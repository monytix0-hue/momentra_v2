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QuickAdd_Catalog" sheetId="3" state="visible" r:id="rId3"/>
    <sheet xmlns:r="http://schemas.openxmlformats.org/officeDocument/2006/relationships" name="Member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Group_Splits" sheetId="6" state="visible" r:id="rId6"/>
    <sheet xmlns:r="http://schemas.openxmlformats.org/officeDocument/2006/relationships" name="Expected_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Maestro_Run" sheetId="9" state="visible" r:id="rId9"/>
    <sheet xmlns:r="http://schemas.openxmlformats.org/officeDocument/2006/relationships" name="Performance_Log" sheetId="10" state="visible" r:id="rId10"/>
    <sheet xmlns:r="http://schemas.openxmlformats.org/officeDocument/2006/relationships" name="Test_Cases" sheetId="11" state="visible" r:id="rId11"/>
    <sheet xmlns:r="http://schemas.openxmlformats.org/officeDocument/2006/relationships" name="Dashboard" sheetId="12" state="visible" r:id="rId12"/>
  </sheets>
  <definedNames>
    <definedName name="_xlnm._FilterDatabase" localSheetId="2" hidden="1">'QuickAdd_Catalog'!$A$1:$I$103</definedName>
    <definedName name="_xlnm._FilterDatabase" localSheetId="4" hidden="1">'Transactions'!$A$1:$V$3501</definedName>
    <definedName name="_xlnm._FilterDatabase" localSheetId="5" hidden="1">'Group_Splits'!$A$1:$I$3502</definedName>
    <definedName name="_xlnm._FilterDatabase" localSheetId="8" hidden="1">'Maestro_Run'!$A$1:$R$3501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hh:mm:ss"/>
    <numFmt numFmtId="166" formatCode="yyyy-mm-dd hh:mm:ss"/>
    <numFmt numFmtId="167" formatCode="yyyy-mm-dd h:mm:ss"/>
    <numFmt numFmtId="168" formatCode="₹#,##0.00;[Red](₹#,##0.00);-"/>
    <numFmt numFmtId="169" formatCode="0.0%"/>
    <numFmt numFmtId="170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293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4" fillId="3" borderId="0" pivotButton="0" quotePrefix="0" xfId="0"/>
    <xf numFmtId="164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168" fontId="3" fillId="2" borderId="1" applyAlignment="1" pivotButton="0" quotePrefix="0" xfId="0">
      <alignment horizontal="center" vertical="center" wrapText="1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Transactions by Context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'Dashboard'!$D$2:$D$4</f>
            </numRef>
          </cat>
          <val>
            <numRef>
              <f>'Dashboard'!$E$2:$E$4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Context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figTable" displayName="ConfigTable" ref="A1:C12" headerRowCount="1">
  <autoFilter ref="A1:C12"/>
  <tableColumns count="3">
    <tableColumn id="1" name="Setting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ickAddCatalogTable" displayName="QuickAddCatalogTable" ref="A1:I103" headerRowCount="1">
  <autoFilter ref="A1:I103"/>
  <tableColumns count="9">
    <tableColumn id="1" name="Mode"/>
    <tableColumn id="2" name="Family"/>
    <tableColumn id="3" name="Moment"/>
    <tableColumn id="4" name="Quick_Add"/>
    <tableColumn id="5" name="Semantic_Type"/>
    <tableColumn id="6" name="Figma_Verification"/>
    <tableColumn id="7" name="Figma_Node"/>
    <tableColumn id="8" name="Target_Txn_Count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bersTable" displayName="MembersTable" ref="A1:E12" headerRowCount="1">
  <autoFilter ref="A1:E12"/>
  <tableColumns count="5">
    <tableColumn id="1" name="Context"/>
    <tableColumn id="2" name="Member_ID"/>
    <tableColumn id="3" name="Display_Name"/>
    <tableColumn id="4" name="Role"/>
    <tableColumn id="5" name="Use_In_Te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ansactionsTable" displayName="TransactionsTable" ref="A1:V3301" headerRowCount="1">
  <autoFilter ref="A1:V3301"/>
  <tableColumns count="22">
    <tableColumn id="1" name="Sequence"/>
    <tableColumn id="2" name="Txn_ID"/>
    <tableColumn id="3" name="Mode"/>
    <tableColumn id="4" name="Family"/>
    <tableColumn id="5" name="Moment"/>
    <tableColumn id="6" name="Quick_Add"/>
    <tableColumn id="7" name="Semantic_Type"/>
    <tableColumn id="8" name="Txn_Date"/>
    <tableColumn id="9" name="Txn_Time"/>
    <tableColumn id="10" name="Timestamp"/>
    <tableColumn id="11" name="Amount"/>
    <tableColumn id="12" name="Currency"/>
    <tableColumn id="13" name="Expected_Signed_Amount"/>
    <tableColumn id="14" name="Paid_By"/>
    <tableColumn id="15" name="Participant_Count"/>
    <tableColumn id="16" name="Split_Method"/>
    <tableColumn id="17" name="Description"/>
    <tableColumn id="18" name="Device_Target"/>
    <tableColumn id="19" name="Run_Batch"/>
    <tableColumn id="20" name="Backend_Load_Band"/>
    <tableColumn id="21" name="Expected_Status"/>
    <tableColumn id="22" name="Idempotency_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roupSplitsTable" displayName="GroupSplitsTable" ref="A1:I4369" headerRowCount="1">
  <autoFilter ref="A1:I4369"/>
  <tableColumns count="9">
    <tableColumn id="1" name="Txn_ID"/>
    <tableColumn id="2" name="Moment"/>
    <tableColumn id="3" name="Split_Method"/>
    <tableColumn id="4" name="Member"/>
    <tableColumn id="5" name="Paid_Amount"/>
    <tableColumn id="6" name="Share_Amount"/>
    <tableColumn id="7" name="Share_Percent"/>
    <tableColumn id="8" name="Expected_Net"/>
    <tableColumn id="9" name="Split_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ectedSummaryTable" displayName="ExpectedSummaryTable" ref="A1:J103" headerRowCount="1">
  <autoFilter ref="A1:J103"/>
  <tableColumns count="10">
    <tableColumn id="1" name="Mode"/>
    <tableColumn id="2" name="Family"/>
    <tableColumn id="3" name="Moment"/>
    <tableColumn id="4" name="Quick_Add"/>
    <tableColumn id="5" name="Expected_Count"/>
    <tableColumn id="6" name="Expected_Gross_Amount"/>
    <tableColumn id="7" name="Expected_Positive"/>
    <tableColumn id="8" name="Expected_Expense_Absolute"/>
    <tableColumn id="9" name="Expected_Net"/>
    <tableColumn id="10" name="Count_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onciliationTable" displayName="ReconciliationTable" ref="A1:O20" headerRowCount="1">
  <autoFilter ref="A1:O20"/>
  <tableColumns count="15">
    <tableColumn id="1" name="Mode"/>
    <tableColumn id="2" name="Family"/>
    <tableColumn id="3" name="Moment"/>
    <tableColumn id="4" name="Expected_Count"/>
    <tableColumn id="5" name="Actual_Count"/>
    <tableColumn id="6" name="Count_Variance"/>
    <tableColumn id="7" name="Expected_Gross"/>
    <tableColumn id="8" name="Actual_Gross"/>
    <tableColumn id="9" name="Gross_Variance"/>
    <tableColumn id="10" name="Expected_Net"/>
    <tableColumn id="11" name="Actual_Net"/>
    <tableColumn id="12" name="Net_Variance"/>
    <tableColumn id="13" name="Tolerance"/>
    <tableColumn id="14" name="Result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estroRunTable" displayName="MaestroRunTable" ref="A1:R3301" headerRowCount="1">
  <autoFilter ref="A1:R3301"/>
  <tableColumns count="18">
    <tableColumn id="1" name="Sequence"/>
    <tableColumn id="2" name="Txn_ID"/>
    <tableColumn id="3" name="Device"/>
    <tableColumn id="4" name="Mode"/>
    <tableColumn id="5" name="Family"/>
    <tableColumn id="6" name="Moment"/>
    <tableColumn id="7" name="Quick_Add"/>
    <tableColumn id="8" name="UI_Path"/>
    <tableColumn id="9" name="Amount"/>
    <tableColumn id="10" name="Expected_Assertion"/>
    <tableColumn id="11" name="Run_Status"/>
    <tableColumn id="12" name="UI_Duration_ms"/>
    <tableColumn id="13" name="API_Duration_ms"/>
    <tableColumn id="14" name="HTTP_Status"/>
    <tableColumn id="15" name="Backend_Txn_ID"/>
    <tableColumn id="16" name="Retry_Count"/>
    <tableColumn id="17" name="Observed_Count_After"/>
    <tableColumn id="1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erformanceLogTable" displayName="PerformanceLogTable" ref="A1:O11" headerRowCount="1">
  <autoFilter ref="A1:O11"/>
  <tableColumns count="15">
    <tableColumn id="1" name="Checkpoint_Txns"/>
    <tableColumn id="2" name="Load_Band"/>
    <tableColumn id="3" name="Create_p50_ms"/>
    <tableColumn id="4" name="Create_p95_ms"/>
    <tableColumn id="5" name="Create_p99_ms"/>
    <tableColumn id="6" name="Activity_Read_p95_ms"/>
    <tableColumn id="7" name="Pulse_Refresh_p95_ms"/>
    <tableColumn id="8" name="DB_Query_p95_ms"/>
    <tableColumn id="9" name="Error_Count"/>
    <tableColumn id="10" name="Error_Rate"/>
    <tableColumn id="11" name="Create_p95_Degradation_vs_Baseline"/>
    <tableColumn id="12" name="Latency_Result"/>
    <tableColumn id="13" name="Error_Result"/>
    <tableColumn id="14" name="Overall_Result"/>
    <tableColumn id="15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estCasesTable" displayName="TestCasesTable" ref="A1:J25" headerRowCount="1">
  <autoFilter ref="A1:J25"/>
  <tableColumns count="10">
    <tableColumn id="1" name="Test_ID"/>
    <tableColumn id="2" name="Area"/>
    <tableColumn id="3" name="Context"/>
    <tableColumn id="4" name="Scenario"/>
    <tableColumn id="5" name="Steps_Summary"/>
    <tableColumn id="6" name="Expected_Result"/>
    <tableColumn id="7" name="Priority"/>
    <tableColumn id="8" name="Device_Coverage"/>
    <tableColumn id="9" name="Data_Reference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1" t="inlineStr">
        <is>
          <t>Momentra iPhone Physical Device + Backend Load Test Workbook</t>
        </is>
      </c>
    </row>
    <row r="2">
      <c r="A2" s="2" t="inlineStr">
        <is>
          <t>Purpose</t>
        </is>
      </c>
      <c r="B2" s="3" t="inlineStr">
        <is>
          <t>Source of truth for Maestro-driven Android/iPhone input, backend load observation, and calculation reconciliation.</t>
        </is>
      </c>
    </row>
    <row r="3">
      <c r="A3" s="2" t="inlineStr">
        <is>
          <t>Dataset</t>
        </is>
      </c>
      <c r="B3" s="3" t="inlineStr">
        <is>
          <t>3,500 valid transactions: 1,167 Personal + 1,167 Group + 1,166 Business.</t>
        </is>
      </c>
    </row>
    <row r="4">
      <c r="A4" s="2" t="inlineStr">
        <is>
          <t>Load strategy</t>
        </is>
      </c>
      <c r="B4" s="3" t="inlineStr">
        <is>
          <t>Transactions are interleaved Personal -&gt; Group -&gt; Business throughout a single-platform 3,500-row certification run.</t>
        </is>
      </c>
    </row>
    <row r="5">
      <c r="A5" s="2" t="inlineStr">
        <is>
          <t>Devices</t>
        </is>
      </c>
      <c r="B5" s="3" t="inlineStr">
        <is>
          <t>Platform-isolated dataset: iPhone only. Use separate QA_* identities from the other platform.</t>
        </is>
      </c>
    </row>
    <row r="6">
      <c r="A6" s="2" t="inlineStr">
        <is>
          <t>Correctness</t>
        </is>
      </c>
      <c r="B6" s="3" t="inlineStr">
        <is>
          <t>Expected_Summary and Group_Splits contain the expected totals/splits. Reconciliation is for pasted actual app/backend values.</t>
        </is>
      </c>
    </row>
    <row r="7">
      <c r="A7" s="2" t="inlineStr">
        <is>
          <t>Performance</t>
        </is>
      </c>
      <c r="B7" s="3" t="inlineStr">
        <is>
          <t>Performance_Log includes checkpoints through 3,300 rows and formulas for degradation/error thresholds.</t>
        </is>
      </c>
    </row>
    <row r="8">
      <c r="A8" s="2" t="inlineStr">
        <is>
          <t>Figma note</t>
        </is>
      </c>
      <c r="B8" s="3" t="inlineStr">
        <is>
          <t>QuickAdd labels in QuickAdd_Catalog are representative placeholders and marked CONFIRM_FROM_FIGMA because the Figma connector did not return readable labels in this session. Replace labels there/Transactions before final Maestro automation if exact UI text differs.</t>
        </is>
      </c>
    </row>
    <row r="9">
      <c r="A9" s="2" t="inlineStr">
        <is>
          <t>Recommended execution</t>
        </is>
      </c>
      <c r="B9" s="3" t="inlineStr">
        <is>
          <t>Run 300-write pilot separately, then certify checkpoints at 100, 250, 500, 1,000, 1,500, 2,000, 2,500, 3,000, 3,100, 3,200, 3,300, 3,400, 3,500.</t>
        </is>
      </c>
    </row>
    <row r="10">
      <c r="A10" s="2" t="inlineStr">
        <is>
          <t>Important</t>
        </is>
      </c>
      <c r="B10" s="3" t="inlineStr">
        <is>
          <t>Main dataset contains only valid writes. Negative/invalid/idempotency/concurrency cases remain in Test_Cases.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55" customWidth="1" min="3" max="3"/>
  </cols>
  <sheetData>
    <row r="1" ht="30" customHeight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Random Seed</t>
        </is>
      </c>
      <c r="B2" t="n">
        <v>20260903</v>
      </c>
      <c r="C2" t="inlineStr">
        <is>
          <t>Deterministic generation</t>
        </is>
      </c>
    </row>
    <row r="3">
      <c r="A3" t="inlineStr">
        <is>
          <t>Total Transactions</t>
        </is>
      </c>
      <c r="B3" t="n">
        <v>3500</v>
      </c>
      <c r="C3" t="inlineStr">
        <is>
          <t>Main valid dataset</t>
        </is>
      </c>
    </row>
    <row r="4">
      <c r="A4" t="inlineStr">
        <is>
          <t>Personal Target</t>
        </is>
      </c>
      <c r="B4" t="n">
        <v>1167</v>
      </c>
      <c r="C4" t="inlineStr">
        <is>
          <t>Minimum requested 1000</t>
        </is>
      </c>
    </row>
    <row r="5">
      <c r="A5" t="inlineStr">
        <is>
          <t>Group Target</t>
        </is>
      </c>
      <c r="B5" t="n">
        <v>1167</v>
      </c>
      <c r="C5" t="inlineStr">
        <is>
          <t>Minimum requested 1000</t>
        </is>
      </c>
    </row>
    <row r="6">
      <c r="A6" t="inlineStr">
        <is>
          <t>Business Target</t>
        </is>
      </c>
      <c r="B6" t="n">
        <v>1166</v>
      </c>
      <c r="C6" t="inlineStr">
        <is>
          <t>Minimum requested 1000</t>
        </is>
      </c>
    </row>
    <row r="7">
      <c r="A7" t="inlineStr">
        <is>
          <t>Currency</t>
        </is>
      </c>
      <c r="B7" t="inlineStr">
        <is>
          <t>INR</t>
        </is>
      </c>
      <c r="C7" t="inlineStr">
        <is>
          <t>Change if a test moment uses another currency</t>
        </is>
      </c>
    </row>
    <row r="8">
      <c r="A8" t="inlineStr">
        <is>
          <t>Money Tolerance</t>
        </is>
      </c>
      <c r="B8" t="n">
        <v>0.01</v>
      </c>
      <c r="C8" t="inlineStr">
        <is>
          <t>PASS tolerance for reconciliation</t>
        </is>
      </c>
    </row>
    <row r="9">
      <c r="A9" t="inlineStr">
        <is>
          <t>Starter Create p95 Threshold ms</t>
        </is>
      </c>
      <c r="B9" t="n">
        <v>2000</v>
      </c>
      <c r="C9" t="inlineStr">
        <is>
          <t>Editable test threshold, not a product SLA</t>
        </is>
      </c>
    </row>
    <row r="10">
      <c r="A10" t="inlineStr">
        <is>
          <t>Starter Read/Refresh p95 Threshold ms</t>
        </is>
      </c>
      <c r="B10" t="n">
        <v>2000</v>
      </c>
      <c r="C10" t="inlineStr">
        <is>
          <t>Editable test threshold, not a product SLA</t>
        </is>
      </c>
    </row>
    <row r="11">
      <c r="A11" t="inlineStr">
        <is>
          <t>Max p95 Degradation vs Baseline</t>
        </is>
      </c>
      <c r="B11" s="5" t="n">
        <v>0.3</v>
      </c>
      <c r="C11" t="inlineStr">
        <is>
          <t>Editable threshold</t>
        </is>
      </c>
    </row>
    <row r="12">
      <c r="A12" t="inlineStr">
        <is>
          <t>Max Error Rate</t>
        </is>
      </c>
      <c r="B12" s="5" t="n">
        <v>0.01</v>
      </c>
      <c r="C12" t="inlineStr">
        <is>
          <t>Editable threshold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4" customWidth="1" min="4" max="4"/>
    <col width="18" customWidth="1" min="5" max="5"/>
    <col width="24" customWidth="1" min="6" max="6"/>
    <col width="14" customWidth="1" min="7" max="7"/>
    <col width="18" customWidth="1" min="8" max="8"/>
    <col width="54" customWidth="1" min="9" max="9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Quick_Add</t>
        </is>
      </c>
      <c r="E1" s="4" t="inlineStr">
        <is>
          <t>Semantic_Type</t>
        </is>
      </c>
      <c r="F1" s="4" t="inlineStr">
        <is>
          <t>Figma_Verification</t>
        </is>
      </c>
      <c r="G1" s="4" t="inlineStr">
        <is>
          <t>Figma_Node</t>
        </is>
      </c>
      <c r="H1" s="4" t="inlineStr">
        <is>
          <t>Target_Txn_Count</t>
        </is>
      </c>
      <c r="I1" s="4" t="inlineStr">
        <is>
          <t>Notes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 t="inlineStr">
        <is>
          <t>Groceries</t>
        </is>
      </c>
      <c r="E2" t="inlineStr">
        <is>
          <t>Expense</t>
        </is>
      </c>
      <c r="F2" t="inlineStr">
        <is>
          <t>CONFIRM_FROM_FIGMA</t>
        </is>
      </c>
      <c r="G2" t="inlineStr">
        <is>
          <t>169:487</t>
        </is>
      </c>
      <c r="H2" t="n">
        <v>275</v>
      </c>
      <c r="I2" t="inlineStr">
        <is>
          <t>Representative label; replace with exact UI text if different.</t>
        </is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Life Operations</t>
        </is>
      </c>
      <c r="D3" t="inlineStr">
        <is>
          <t>Rent</t>
        </is>
      </c>
      <c r="E3" t="inlineStr">
        <is>
          <t>Expense</t>
        </is>
      </c>
      <c r="F3" t="inlineStr">
        <is>
          <t>CONFIRM_FROM_FIGMA</t>
        </is>
      </c>
      <c r="G3" t="inlineStr">
        <is>
          <t>169:487</t>
        </is>
      </c>
      <c r="H3" t="n">
        <v>275</v>
      </c>
      <c r="I3" t="inlineStr">
        <is>
          <t>Representative label; replace with exact UI text if different.</t>
        </is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 Operations</t>
        </is>
      </c>
      <c r="D4" t="inlineStr">
        <is>
          <t>Bills</t>
        </is>
      </c>
      <c r="E4" t="inlineStr">
        <is>
          <t>Expense</t>
        </is>
      </c>
      <c r="F4" t="inlineStr">
        <is>
          <t>CONFIRM_FROM_FIGMA</t>
        </is>
      </c>
      <c r="G4" t="inlineStr">
        <is>
          <t>169:487</t>
        </is>
      </c>
      <c r="H4" t="n">
        <v>275</v>
      </c>
      <c r="I4" t="inlineStr">
        <is>
          <t>Representative label; replace with exact UI text if different.</t>
        </is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Life Operations</t>
        </is>
      </c>
      <c r="D5" t="inlineStr">
        <is>
          <t>Transport</t>
        </is>
      </c>
      <c r="E5" t="inlineStr">
        <is>
          <t>Expense</t>
        </is>
      </c>
      <c r="F5" t="inlineStr">
        <is>
          <t>CONFIRM_FROM_FIGMA</t>
        </is>
      </c>
      <c r="G5" t="inlineStr">
        <is>
          <t>169:487</t>
        </is>
      </c>
      <c r="H5" t="n">
        <v>275</v>
      </c>
      <c r="I5" t="inlineStr">
        <is>
          <t>Representative label; replace with exact UI text if different.</t>
        </is>
      </c>
    </row>
    <row r="6">
      <c r="A6" t="inlineStr">
        <is>
          <t>Personal</t>
        </is>
      </c>
      <c r="B6" t="inlineStr">
        <is>
          <t>Personal</t>
        </is>
      </c>
      <c r="C6" t="inlineStr">
        <is>
          <t>Life Operations</t>
        </is>
      </c>
      <c r="D6" t="inlineStr">
        <is>
          <t>Healthcare</t>
        </is>
      </c>
      <c r="E6" t="inlineStr">
        <is>
          <t>Expense</t>
        </is>
      </c>
      <c r="F6" t="inlineStr">
        <is>
          <t>CONFIRM_FROM_FIGMA</t>
        </is>
      </c>
      <c r="G6" t="inlineStr">
        <is>
          <t>169:487</t>
        </is>
      </c>
      <c r="H6" t="n">
        <v>275</v>
      </c>
      <c r="I6" t="inlineStr">
        <is>
          <t>Representative label; replace with exact UI text if different.</t>
        </is>
      </c>
    </row>
    <row r="7">
      <c r="A7" t="inlineStr">
        <is>
          <t>Personal</t>
        </is>
      </c>
      <c r="B7" t="inlineStr">
        <is>
          <t>Personal</t>
        </is>
      </c>
      <c r="C7" t="inlineStr">
        <is>
          <t>Life Operations</t>
        </is>
      </c>
      <c r="D7" t="inlineStr">
        <is>
          <t>Subscriptions</t>
        </is>
      </c>
      <c r="E7" t="inlineStr">
        <is>
          <t>Expense</t>
        </is>
      </c>
      <c r="F7" t="inlineStr">
        <is>
          <t>CONFIRM_FROM_FIGMA</t>
        </is>
      </c>
      <c r="G7" t="inlineStr">
        <is>
          <t>169:487</t>
        </is>
      </c>
      <c r="H7" t="n">
        <v>275</v>
      </c>
      <c r="I7" t="inlineStr">
        <is>
          <t>Representative label; replace with exact UI text if different.</t>
        </is>
      </c>
    </row>
    <row r="8">
      <c r="A8" t="inlineStr">
        <is>
          <t>Personal</t>
        </is>
      </c>
      <c r="B8" t="inlineStr">
        <is>
          <t>Personal</t>
        </is>
      </c>
      <c r="C8" t="inlineStr">
        <is>
          <t>Life Operations</t>
        </is>
      </c>
      <c r="D8" t="inlineStr">
        <is>
          <t>Repairs</t>
        </is>
      </c>
      <c r="E8" t="inlineStr">
        <is>
          <t>Expense</t>
        </is>
      </c>
      <c r="F8" t="inlineStr">
        <is>
          <t>CONFIRM_FROM_FIGMA</t>
        </is>
      </c>
      <c r="G8" t="inlineStr">
        <is>
          <t>169:487</t>
        </is>
      </c>
      <c r="H8" t="n">
        <v>275</v>
      </c>
      <c r="I8" t="inlineStr">
        <is>
          <t>Representative label; replace with exact UI text if different.</t>
        </is>
      </c>
    </row>
    <row r="9">
      <c r="A9" t="inlineStr">
        <is>
          <t>Personal</t>
        </is>
      </c>
      <c r="B9" t="inlineStr">
        <is>
          <t>Personal</t>
        </is>
      </c>
      <c r="C9" t="inlineStr">
        <is>
          <t>Future Building</t>
        </is>
      </c>
      <c r="D9" t="inlineStr">
        <is>
          <t>Savings</t>
        </is>
      </c>
      <c r="E9" t="inlineStr">
        <is>
          <t>Transfer</t>
        </is>
      </c>
      <c r="F9" t="inlineStr">
        <is>
          <t>CONFIRM_FROM_FIGMA</t>
        </is>
      </c>
      <c r="G9" t="inlineStr">
        <is>
          <t>169:487</t>
        </is>
      </c>
      <c r="H9" t="n">
        <v>275</v>
      </c>
      <c r="I9" t="inlineStr">
        <is>
          <t>Representative label; replace with exact UI text if different.</t>
        </is>
      </c>
    </row>
    <row r="10">
      <c r="A10" t="inlineStr">
        <is>
          <t>Personal</t>
        </is>
      </c>
      <c r="B10" t="inlineStr">
        <is>
          <t>Personal</t>
        </is>
      </c>
      <c r="C10" t="inlineStr">
        <is>
          <t>Future Building</t>
        </is>
      </c>
      <c r="D10" t="inlineStr">
        <is>
          <t>Emergency Fund</t>
        </is>
      </c>
      <c r="E10" t="inlineStr">
        <is>
          <t>Transfer</t>
        </is>
      </c>
      <c r="F10" t="inlineStr">
        <is>
          <t>CONFIRM_FROM_FIGMA</t>
        </is>
      </c>
      <c r="G10" t="inlineStr">
        <is>
          <t>169:487</t>
        </is>
      </c>
      <c r="H10" t="n">
        <v>275</v>
      </c>
      <c r="I10" t="inlineStr">
        <is>
          <t>Representative label; replace with exact UI text if different.</t>
        </is>
      </c>
    </row>
    <row r="11">
      <c r="A11" t="inlineStr">
        <is>
          <t>Personal</t>
        </is>
      </c>
      <c r="B11" t="inlineStr">
        <is>
          <t>Personal</t>
        </is>
      </c>
      <c r="C11" t="inlineStr">
        <is>
          <t>Future Building</t>
        </is>
      </c>
      <c r="D11" t="inlineStr">
        <is>
          <t>Investments</t>
        </is>
      </c>
      <c r="E11" t="inlineStr">
        <is>
          <t>Investment</t>
        </is>
      </c>
      <c r="F11" t="inlineStr">
        <is>
          <t>CONFIRM_FROM_FIGMA</t>
        </is>
      </c>
      <c r="G11" t="inlineStr">
        <is>
          <t>169:487</t>
        </is>
      </c>
      <c r="H11" t="n">
        <v>275</v>
      </c>
      <c r="I11" t="inlineStr">
        <is>
          <t>Representative label; replace with exact UI text if different.</t>
        </is>
      </c>
    </row>
    <row r="12">
      <c r="A12" t="inlineStr">
        <is>
          <t>Personal</t>
        </is>
      </c>
      <c r="B12" t="inlineStr">
        <is>
          <t>Personal</t>
        </is>
      </c>
      <c r="C12" t="inlineStr">
        <is>
          <t>Future Building</t>
        </is>
      </c>
      <c r="D12" t="inlineStr">
        <is>
          <t>Education</t>
        </is>
      </c>
      <c r="E12" t="inlineStr">
        <is>
          <t>Expense</t>
        </is>
      </c>
      <c r="F12" t="inlineStr">
        <is>
          <t>CONFIRM_FROM_FIGMA</t>
        </is>
      </c>
      <c r="G12" t="inlineStr">
        <is>
          <t>169:487</t>
        </is>
      </c>
      <c r="H12" t="n">
        <v>275</v>
      </c>
      <c r="I12" t="inlineStr">
        <is>
          <t>Representative label; replace with exact UI text if different.</t>
        </is>
      </c>
    </row>
    <row r="13">
      <c r="A13" t="inlineStr">
        <is>
          <t>Personal</t>
        </is>
      </c>
      <c r="B13" t="inlineStr">
        <is>
          <t>Personal</t>
        </is>
      </c>
      <c r="C13" t="inlineStr">
        <is>
          <t>Future Building</t>
        </is>
      </c>
      <c r="D13" t="inlineStr">
        <is>
          <t>Goal Contribution</t>
        </is>
      </c>
      <c r="E13" t="inlineStr">
        <is>
          <t>Transfer</t>
        </is>
      </c>
      <c r="F13" t="inlineStr">
        <is>
          <t>CONFIRM_FROM_FIGMA</t>
        </is>
      </c>
      <c r="G13" t="inlineStr">
        <is>
          <t>169:487</t>
        </is>
      </c>
      <c r="H13" t="n">
        <v>275</v>
      </c>
      <c r="I13" t="inlineStr">
        <is>
          <t>Representative label; replace with exact UI text if different.</t>
        </is>
      </c>
    </row>
    <row r="14">
      <c r="A14" t="inlineStr">
        <is>
          <t>Personal</t>
        </is>
      </c>
      <c r="B14" t="inlineStr">
        <is>
          <t>Personal</t>
        </is>
      </c>
      <c r="C14" t="inlineStr">
        <is>
          <t>Lifestyle</t>
        </is>
      </c>
      <c r="D14" t="inlineStr">
        <is>
          <t>Dining</t>
        </is>
      </c>
      <c r="E14" t="inlineStr">
        <is>
          <t>Expense</t>
        </is>
      </c>
      <c r="F14" t="inlineStr">
        <is>
          <t>CONFIRM_FROM_FIGMA</t>
        </is>
      </c>
      <c r="G14" t="inlineStr">
        <is>
          <t>169:487</t>
        </is>
      </c>
      <c r="H14" t="n">
        <v>275</v>
      </c>
      <c r="I14" t="inlineStr">
        <is>
          <t>Representative label; replace with exact UI text if different.</t>
        </is>
      </c>
    </row>
    <row r="15">
      <c r="A15" t="inlineStr">
        <is>
          <t>Personal</t>
        </is>
      </c>
      <c r="B15" t="inlineStr">
        <is>
          <t>Personal</t>
        </is>
      </c>
      <c r="C15" t="inlineStr">
        <is>
          <t>Lifestyle</t>
        </is>
      </c>
      <c r="D15" t="inlineStr">
        <is>
          <t>Shopping</t>
        </is>
      </c>
      <c r="E15" t="inlineStr">
        <is>
          <t>Expense</t>
        </is>
      </c>
      <c r="F15" t="inlineStr">
        <is>
          <t>CONFIRM_FROM_FIGMA</t>
        </is>
      </c>
      <c r="G15" t="inlineStr">
        <is>
          <t>169:487</t>
        </is>
      </c>
      <c r="H15" t="n">
        <v>275</v>
      </c>
      <c r="I15" t="inlineStr">
        <is>
          <t>Representative label; replace with exact UI text if different.</t>
        </is>
      </c>
    </row>
    <row r="16">
      <c r="A16" t="inlineStr">
        <is>
          <t>Personal</t>
        </is>
      </c>
      <c r="B16" t="inlineStr">
        <is>
          <t>Personal</t>
        </is>
      </c>
      <c r="C16" t="inlineStr">
        <is>
          <t>Lifestyle</t>
        </is>
      </c>
      <c r="D16" t="inlineStr">
        <is>
          <t>Entertainment</t>
        </is>
      </c>
      <c r="E16" t="inlineStr">
        <is>
          <t>Expense</t>
        </is>
      </c>
      <c r="F16" t="inlineStr">
        <is>
          <t>CONFIRM_FROM_FIGMA</t>
        </is>
      </c>
      <c r="G16" t="inlineStr">
        <is>
          <t>169:487</t>
        </is>
      </c>
      <c r="H16" t="n">
        <v>275</v>
      </c>
      <c r="I16" t="inlineStr">
        <is>
          <t>Representative label; replace with exact UI text if different.</t>
        </is>
      </c>
    </row>
    <row r="17">
      <c r="A17" t="inlineStr">
        <is>
          <t>Personal</t>
        </is>
      </c>
      <c r="B17" t="inlineStr">
        <is>
          <t>Personal</t>
        </is>
      </c>
      <c r="C17" t="inlineStr">
        <is>
          <t>Lifestyle</t>
        </is>
      </c>
      <c r="D17" t="inlineStr">
        <is>
          <t>Travel</t>
        </is>
      </c>
      <c r="E17" t="inlineStr">
        <is>
          <t>Expense</t>
        </is>
      </c>
      <c r="F17" t="inlineStr">
        <is>
          <t>CONFIRM_FROM_FIGMA</t>
        </is>
      </c>
      <c r="G17" t="inlineStr">
        <is>
          <t>169:487</t>
        </is>
      </c>
      <c r="H17" t="n">
        <v>275</v>
      </c>
      <c r="I17" t="inlineStr">
        <is>
          <t>Representative label; replace with exact UI text if different.</t>
        </is>
      </c>
    </row>
    <row r="18">
      <c r="A18" t="inlineStr">
        <is>
          <t>Personal</t>
        </is>
      </c>
      <c r="B18" t="inlineStr">
        <is>
          <t>Personal</t>
        </is>
      </c>
      <c r="C18" t="inlineStr">
        <is>
          <t>Lifestyle</t>
        </is>
      </c>
      <c r="D18" t="inlineStr">
        <is>
          <t>Fitness</t>
        </is>
      </c>
      <c r="E18" t="inlineStr">
        <is>
          <t>Expense</t>
        </is>
      </c>
      <c r="F18" t="inlineStr">
        <is>
          <t>CONFIRM_FROM_FIGMA</t>
        </is>
      </c>
      <c r="G18" t="inlineStr">
        <is>
          <t>169:487</t>
        </is>
      </c>
      <c r="H18" t="n">
        <v>275</v>
      </c>
      <c r="I18" t="inlineStr">
        <is>
          <t>Representative label; replace with exact UI text if different.</t>
        </is>
      </c>
    </row>
    <row r="19">
      <c r="A19" t="inlineStr">
        <is>
          <t>Personal</t>
        </is>
      </c>
      <c r="B19" t="inlineStr">
        <is>
          <t>Personal</t>
        </is>
      </c>
      <c r="C19" t="inlineStr">
        <is>
          <t>Lifestyle</t>
        </is>
      </c>
      <c r="D19" t="inlineStr">
        <is>
          <t>Hobbies</t>
        </is>
      </c>
      <c r="E19" t="inlineStr">
        <is>
          <t>Expense</t>
        </is>
      </c>
      <c r="F19" t="inlineStr">
        <is>
          <t>CONFIRM_FROM_FIGMA</t>
        </is>
      </c>
      <c r="G19" t="inlineStr">
        <is>
          <t>169:487</t>
        </is>
      </c>
      <c r="H19" t="n">
        <v>275</v>
      </c>
      <c r="I19" t="inlineStr">
        <is>
          <t>Representative label; replace with exact UI text if different.</t>
        </is>
      </c>
    </row>
    <row r="20">
      <c r="A20" t="inlineStr">
        <is>
          <t>Personal</t>
        </is>
      </c>
      <c r="B20" t="inlineStr">
        <is>
          <t>Personal</t>
        </is>
      </c>
      <c r="C20" t="inlineStr">
        <is>
          <t>Relationships</t>
        </is>
      </c>
      <c r="D20" t="inlineStr">
        <is>
          <t>Gifts</t>
        </is>
      </c>
      <c r="E20" t="inlineStr">
        <is>
          <t>Expense</t>
        </is>
      </c>
      <c r="F20" t="inlineStr">
        <is>
          <t>CONFIRM_FROM_FIGMA</t>
        </is>
      </c>
      <c r="G20" t="inlineStr">
        <is>
          <t>169:487</t>
        </is>
      </c>
      <c r="H20" t="n">
        <v>275</v>
      </c>
      <c r="I20" t="inlineStr">
        <is>
          <t>Representative label; replace with exact UI text if different.</t>
        </is>
      </c>
    </row>
    <row r="21">
      <c r="A21" t="inlineStr">
        <is>
          <t>Personal</t>
        </is>
      </c>
      <c r="B21" t="inlineStr">
        <is>
          <t>Personal</t>
        </is>
      </c>
      <c r="C21" t="inlineStr">
        <is>
          <t>Relationships</t>
        </is>
      </c>
      <c r="D21" t="inlineStr">
        <is>
          <t>Dates</t>
        </is>
      </c>
      <c r="E21" t="inlineStr">
        <is>
          <t>Expense</t>
        </is>
      </c>
      <c r="F21" t="inlineStr">
        <is>
          <t>CONFIRM_FROM_FIGMA</t>
        </is>
      </c>
      <c r="G21" t="inlineStr">
        <is>
          <t>169:487</t>
        </is>
      </c>
      <c r="H21" t="n">
        <v>275</v>
      </c>
      <c r="I21" t="inlineStr">
        <is>
          <t>Representative label; replace with exact UI text if different.</t>
        </is>
      </c>
    </row>
    <row r="22">
      <c r="A22" t="inlineStr">
        <is>
          <t>Personal</t>
        </is>
      </c>
      <c r="B22" t="inlineStr">
        <is>
          <t>Personal</t>
        </is>
      </c>
      <c r="C22" t="inlineStr">
        <is>
          <t>Relationships</t>
        </is>
      </c>
      <c r="D22" t="inlineStr">
        <is>
          <t>Family</t>
        </is>
      </c>
      <c r="E22" t="inlineStr">
        <is>
          <t>Expense</t>
        </is>
      </c>
      <c r="F22" t="inlineStr">
        <is>
          <t>CONFIRM_FROM_FIGMA</t>
        </is>
      </c>
      <c r="G22" t="inlineStr">
        <is>
          <t>169:487</t>
        </is>
      </c>
      <c r="H22" t="n">
        <v>275</v>
      </c>
      <c r="I22" t="inlineStr">
        <is>
          <t>Representative label; replace with exact UI text if different.</t>
        </is>
      </c>
    </row>
    <row r="23">
      <c r="A23" t="inlineStr">
        <is>
          <t>Personal</t>
        </is>
      </c>
      <c r="B23" t="inlineStr">
        <is>
          <t>Personal</t>
        </is>
      </c>
      <c r="C23" t="inlineStr">
        <is>
          <t>Relationships</t>
        </is>
      </c>
      <c r="D23" t="inlineStr">
        <is>
          <t>Friends</t>
        </is>
      </c>
      <c r="E23" t="inlineStr">
        <is>
          <t>Expense</t>
        </is>
      </c>
      <c r="F23" t="inlineStr">
        <is>
          <t>CONFIRM_FROM_FIGMA</t>
        </is>
      </c>
      <c r="G23" t="inlineStr">
        <is>
          <t>169:487</t>
        </is>
      </c>
      <c r="H23" t="n">
        <v>275</v>
      </c>
      <c r="I23" t="inlineStr">
        <is>
          <t>Representative label; replace with exact UI text if different.</t>
        </is>
      </c>
    </row>
    <row r="24">
      <c r="A24" t="inlineStr">
        <is>
          <t>Personal</t>
        </is>
      </c>
      <c r="B24" t="inlineStr">
        <is>
          <t>Personal</t>
        </is>
      </c>
      <c r="C24" t="inlineStr">
        <is>
          <t>Relationships</t>
        </is>
      </c>
      <c r="D24" t="inlineStr">
        <is>
          <t>Celebrations</t>
        </is>
      </c>
      <c r="E24" t="inlineStr">
        <is>
          <t>Expense</t>
        </is>
      </c>
      <c r="F24" t="inlineStr">
        <is>
          <t>CONFIRM_FROM_FIGMA</t>
        </is>
      </c>
      <c r="G24" t="inlineStr">
        <is>
          <t>169:487</t>
        </is>
      </c>
      <c r="H24" t="n">
        <v>275</v>
      </c>
      <c r="I24" t="inlineStr">
        <is>
          <t>Representative label; replace with exact UI text if different.</t>
        </is>
      </c>
    </row>
    <row r="25">
      <c r="A25" t="inlineStr">
        <is>
          <t>Group</t>
        </is>
      </c>
      <c r="B25" t="inlineStr">
        <is>
          <t>Shared Experience</t>
        </is>
      </c>
      <c r="C25" t="inlineStr">
        <is>
          <t>Trip</t>
        </is>
      </c>
      <c r="D25" t="inlineStr">
        <is>
          <t>Travel</t>
        </is>
      </c>
      <c r="E25" t="inlineStr">
        <is>
          <t>Expense</t>
        </is>
      </c>
      <c r="F25" t="inlineStr">
        <is>
          <t>CONFIRM_FROM_FIGMA</t>
        </is>
      </c>
      <c r="G25" t="inlineStr">
        <is>
          <t>169:487</t>
        </is>
      </c>
      <c r="H25" t="n">
        <v>92</v>
      </c>
      <c r="I25" t="inlineStr">
        <is>
          <t>Representative label; replace with exact UI text if different.</t>
        </is>
      </c>
    </row>
    <row r="26">
      <c r="A26" t="inlineStr">
        <is>
          <t>Group</t>
        </is>
      </c>
      <c r="B26" t="inlineStr">
        <is>
          <t>Shared Experience</t>
        </is>
      </c>
      <c r="C26" t="inlineStr">
        <is>
          <t>Trip</t>
        </is>
      </c>
      <c r="D26" t="inlineStr">
        <is>
          <t>Stay</t>
        </is>
      </c>
      <c r="E26" t="inlineStr">
        <is>
          <t>Expense</t>
        </is>
      </c>
      <c r="F26" t="inlineStr">
        <is>
          <t>CONFIRM_FROM_FIGMA</t>
        </is>
      </c>
      <c r="G26" t="inlineStr">
        <is>
          <t>169:487</t>
        </is>
      </c>
      <c r="H26" t="n">
        <v>92</v>
      </c>
      <c r="I26" t="inlineStr">
        <is>
          <t>Representative label; replace with exact UI text if different.</t>
        </is>
      </c>
    </row>
    <row r="27">
      <c r="A27" t="inlineStr">
        <is>
          <t>Group</t>
        </is>
      </c>
      <c r="B27" t="inlineStr">
        <is>
          <t>Shared Experience</t>
        </is>
      </c>
      <c r="C27" t="inlineStr">
        <is>
          <t>Trip</t>
        </is>
      </c>
      <c r="D27" t="inlineStr">
        <is>
          <t>Food</t>
        </is>
      </c>
      <c r="E27" t="inlineStr">
        <is>
          <t>Expense</t>
        </is>
      </c>
      <c r="F27" t="inlineStr">
        <is>
          <t>CONFIRM_FROM_FIGMA</t>
        </is>
      </c>
      <c r="G27" t="inlineStr">
        <is>
          <t>169:487</t>
        </is>
      </c>
      <c r="H27" t="n">
        <v>92</v>
      </c>
      <c r="I27" t="inlineStr">
        <is>
          <t>Representative label; replace with exact UI text if different.</t>
        </is>
      </c>
    </row>
    <row r="28">
      <c r="A28" t="inlineStr">
        <is>
          <t>Group</t>
        </is>
      </c>
      <c r="B28" t="inlineStr">
        <is>
          <t>Shared Experience</t>
        </is>
      </c>
      <c r="C28" t="inlineStr">
        <is>
          <t>Trip</t>
        </is>
      </c>
      <c r="D28" t="inlineStr">
        <is>
          <t>Local Transport</t>
        </is>
      </c>
      <c r="E28" t="inlineStr">
        <is>
          <t>Expense</t>
        </is>
      </c>
      <c r="F28" t="inlineStr">
        <is>
          <t>CONFIRM_FROM_FIGMA</t>
        </is>
      </c>
      <c r="G28" t="inlineStr">
        <is>
          <t>169:487</t>
        </is>
      </c>
      <c r="H28" t="n">
        <v>92</v>
      </c>
      <c r="I28" t="inlineStr">
        <is>
          <t>Representative label; replace with exact UI text if different.</t>
        </is>
      </c>
    </row>
    <row r="29">
      <c r="A29" t="inlineStr">
        <is>
          <t>Group</t>
        </is>
      </c>
      <c r="B29" t="inlineStr">
        <is>
          <t>Shared Experience</t>
        </is>
      </c>
      <c r="C29" t="inlineStr">
        <is>
          <t>Trip</t>
        </is>
      </c>
      <c r="D29" t="inlineStr">
        <is>
          <t>Activities</t>
        </is>
      </c>
      <c r="E29" t="inlineStr">
        <is>
          <t>Expense</t>
        </is>
      </c>
      <c r="F29" t="inlineStr">
        <is>
          <t>CONFIRM_FROM_FIGMA</t>
        </is>
      </c>
      <c r="G29" t="inlineStr">
        <is>
          <t>169:487</t>
        </is>
      </c>
      <c r="H29" t="n">
        <v>92</v>
      </c>
      <c r="I29" t="inlineStr">
        <is>
          <t>Representative label; replace with exact UI text if different.</t>
        </is>
      </c>
    </row>
    <row r="30">
      <c r="A30" t="inlineStr">
        <is>
          <t>Group</t>
        </is>
      </c>
      <c r="B30" t="inlineStr">
        <is>
          <t>Shared Experience</t>
        </is>
      </c>
      <c r="C30" t="inlineStr">
        <is>
          <t>Trip</t>
        </is>
      </c>
      <c r="D30" t="inlineStr">
        <is>
          <t>Shopping</t>
        </is>
      </c>
      <c r="E30" t="inlineStr">
        <is>
          <t>Expense</t>
        </is>
      </c>
      <c r="F30" t="inlineStr">
        <is>
          <t>CONFIRM_FROM_FIGMA</t>
        </is>
      </c>
      <c r="G30" t="inlineStr">
        <is>
          <t>169:487</t>
        </is>
      </c>
      <c r="H30" t="n">
        <v>92</v>
      </c>
      <c r="I30" t="inlineStr">
        <is>
          <t>Representative label; replace with exact UI text if different.</t>
        </is>
      </c>
    </row>
    <row r="31">
      <c r="A31" t="inlineStr">
        <is>
          <t>Group</t>
        </is>
      </c>
      <c r="B31" t="inlineStr">
        <is>
          <t>Shared Experience</t>
        </is>
      </c>
      <c r="C31" t="inlineStr">
        <is>
          <t>Trip</t>
        </is>
      </c>
      <c r="D31" t="inlineStr">
        <is>
          <t>Other</t>
        </is>
      </c>
      <c r="E31" t="inlineStr">
        <is>
          <t>Expense</t>
        </is>
      </c>
      <c r="F31" t="inlineStr">
        <is>
          <t>CONFIRM_FROM_FIGMA</t>
        </is>
      </c>
      <c r="G31" t="inlineStr">
        <is>
          <t>169:487</t>
        </is>
      </c>
      <c r="H31" t="n">
        <v>92</v>
      </c>
      <c r="I31" t="inlineStr">
        <is>
          <t>Representative label; replace with exact UI text if different.</t>
        </is>
      </c>
    </row>
    <row r="32">
      <c r="A32" t="inlineStr">
        <is>
          <t>Group</t>
        </is>
      </c>
      <c r="B32" t="inlineStr">
        <is>
          <t>Shared Experience</t>
        </is>
      </c>
      <c r="C32" t="inlineStr">
        <is>
          <t>Wedding</t>
        </is>
      </c>
      <c r="D32" t="inlineStr">
        <is>
          <t>Venue</t>
        </is>
      </c>
      <c r="E32" t="inlineStr">
        <is>
          <t>Expense</t>
        </is>
      </c>
      <c r="F32" t="inlineStr">
        <is>
          <t>CONFIRM_FROM_FIGMA</t>
        </is>
      </c>
      <c r="G32" t="inlineStr">
        <is>
          <t>169:487</t>
        </is>
      </c>
      <c r="H32" t="n">
        <v>92</v>
      </c>
      <c r="I32" t="inlineStr">
        <is>
          <t>Representative label; replace with exact UI text if different.</t>
        </is>
      </c>
    </row>
    <row r="33">
      <c r="A33" t="inlineStr">
        <is>
          <t>Group</t>
        </is>
      </c>
      <c r="B33" t="inlineStr">
        <is>
          <t>Shared Experience</t>
        </is>
      </c>
      <c r="C33" t="inlineStr">
        <is>
          <t>Wedding</t>
        </is>
      </c>
      <c r="D33" t="inlineStr">
        <is>
          <t>Catering</t>
        </is>
      </c>
      <c r="E33" t="inlineStr">
        <is>
          <t>Expense</t>
        </is>
      </c>
      <c r="F33" t="inlineStr">
        <is>
          <t>CONFIRM_FROM_FIGMA</t>
        </is>
      </c>
      <c r="G33" t="inlineStr">
        <is>
          <t>169:487</t>
        </is>
      </c>
      <c r="H33" t="n">
        <v>92</v>
      </c>
      <c r="I33" t="inlineStr">
        <is>
          <t>Representative label; replace with exact UI text if different.</t>
        </is>
      </c>
    </row>
    <row r="34">
      <c r="A34" t="inlineStr">
        <is>
          <t>Group</t>
        </is>
      </c>
      <c r="B34" t="inlineStr">
        <is>
          <t>Shared Experience</t>
        </is>
      </c>
      <c r="C34" t="inlineStr">
        <is>
          <t>Wedding</t>
        </is>
      </c>
      <c r="D34" t="inlineStr">
        <is>
          <t>Decor</t>
        </is>
      </c>
      <c r="E34" t="inlineStr">
        <is>
          <t>Expense</t>
        </is>
      </c>
      <c r="F34" t="inlineStr">
        <is>
          <t>CONFIRM_FROM_FIGMA</t>
        </is>
      </c>
      <c r="G34" t="inlineStr">
        <is>
          <t>169:487</t>
        </is>
      </c>
      <c r="H34" t="n">
        <v>92</v>
      </c>
      <c r="I34" t="inlineStr">
        <is>
          <t>Representative label; replace with exact UI text if different.</t>
        </is>
      </c>
    </row>
    <row r="35">
      <c r="A35" t="inlineStr">
        <is>
          <t>Group</t>
        </is>
      </c>
      <c r="B35" t="inlineStr">
        <is>
          <t>Shared Experience</t>
        </is>
      </c>
      <c r="C35" t="inlineStr">
        <is>
          <t>Wedding</t>
        </is>
      </c>
      <c r="D35" t="inlineStr">
        <is>
          <t>Travel</t>
        </is>
      </c>
      <c r="E35" t="inlineStr">
        <is>
          <t>Expense</t>
        </is>
      </c>
      <c r="F35" t="inlineStr">
        <is>
          <t>CONFIRM_FROM_FIGMA</t>
        </is>
      </c>
      <c r="G35" t="inlineStr">
        <is>
          <t>169:487</t>
        </is>
      </c>
      <c r="H35" t="n">
        <v>92</v>
      </c>
      <c r="I35" t="inlineStr">
        <is>
          <t>Representative label; replace with exact UI text if different.</t>
        </is>
      </c>
    </row>
    <row r="36">
      <c r="A36" t="inlineStr">
        <is>
          <t>Group</t>
        </is>
      </c>
      <c r="B36" t="inlineStr">
        <is>
          <t>Shared Experience</t>
        </is>
      </c>
      <c r="C36" t="inlineStr">
        <is>
          <t>Wedding</t>
        </is>
      </c>
      <c r="D36" t="inlineStr">
        <is>
          <t>Gifts</t>
        </is>
      </c>
      <c r="E36" t="inlineStr">
        <is>
          <t>Expense</t>
        </is>
      </c>
      <c r="F36" t="inlineStr">
        <is>
          <t>CONFIRM_FROM_FIGMA</t>
        </is>
      </c>
      <c r="G36" t="inlineStr">
        <is>
          <t>169:487</t>
        </is>
      </c>
      <c r="H36" t="n">
        <v>92</v>
      </c>
      <c r="I36" t="inlineStr">
        <is>
          <t>Representative label; replace with exact UI text if different.</t>
        </is>
      </c>
    </row>
    <row r="37">
      <c r="A37" t="inlineStr">
        <is>
          <t>Group</t>
        </is>
      </c>
      <c r="B37" t="inlineStr">
        <is>
          <t>Shared Experience</t>
        </is>
      </c>
      <c r="C37" t="inlineStr">
        <is>
          <t>Wedding</t>
        </is>
      </c>
      <c r="D37" t="inlineStr">
        <is>
          <t>Photography</t>
        </is>
      </c>
      <c r="E37" t="inlineStr">
        <is>
          <t>Expense</t>
        </is>
      </c>
      <c r="F37" t="inlineStr">
        <is>
          <t>CONFIRM_FROM_FIGMA</t>
        </is>
      </c>
      <c r="G37" t="inlineStr">
        <is>
          <t>169:487</t>
        </is>
      </c>
      <c r="H37" t="n">
        <v>92</v>
      </c>
      <c r="I37" t="inlineStr">
        <is>
          <t>Representative label; replace with exact UI text if different.</t>
        </is>
      </c>
    </row>
    <row r="38">
      <c r="A38" t="inlineStr">
        <is>
          <t>Group</t>
        </is>
      </c>
      <c r="B38" t="inlineStr">
        <is>
          <t>Shared Experience</t>
        </is>
      </c>
      <c r="C38" t="inlineStr">
        <is>
          <t>Wedding</t>
        </is>
      </c>
      <c r="D38" t="inlineStr">
        <is>
          <t>Other</t>
        </is>
      </c>
      <c r="E38" t="inlineStr">
        <is>
          <t>Expense</t>
        </is>
      </c>
      <c r="F38" t="inlineStr">
        <is>
          <t>CONFIRM_FROM_FIGMA</t>
        </is>
      </c>
      <c r="G38" t="inlineStr">
        <is>
          <t>169:487</t>
        </is>
      </c>
      <c r="H38" t="n">
        <v>92</v>
      </c>
      <c r="I38" t="inlineStr">
        <is>
          <t>Representative label; replace with exact UI text if different.</t>
        </is>
      </c>
    </row>
    <row r="39">
      <c r="A39" t="inlineStr">
        <is>
          <t>Group</t>
        </is>
      </c>
      <c r="B39" t="inlineStr">
        <is>
          <t>Shared Experience</t>
        </is>
      </c>
      <c r="C39" t="inlineStr">
        <is>
          <t>Office Outing</t>
        </is>
      </c>
      <c r="D39" t="inlineStr">
        <is>
          <t>Food</t>
        </is>
      </c>
      <c r="E39" t="inlineStr">
        <is>
          <t>Expense</t>
        </is>
      </c>
      <c r="F39" t="inlineStr">
        <is>
          <t>CONFIRM_FROM_FIGMA</t>
        </is>
      </c>
      <c r="G39" t="inlineStr">
        <is>
          <t>169:487</t>
        </is>
      </c>
      <c r="H39" t="n">
        <v>92</v>
      </c>
      <c r="I39" t="inlineStr">
        <is>
          <t>Representative label; replace with exact UI text if different.</t>
        </is>
      </c>
    </row>
    <row r="40">
      <c r="A40" t="inlineStr">
        <is>
          <t>Group</t>
        </is>
      </c>
      <c r="B40" t="inlineStr">
        <is>
          <t>Shared Experience</t>
        </is>
      </c>
      <c r="C40" t="inlineStr">
        <is>
          <t>Office Outing</t>
        </is>
      </c>
      <c r="D40" t="inlineStr">
        <is>
          <t>Travel</t>
        </is>
      </c>
      <c r="E40" t="inlineStr">
        <is>
          <t>Expense</t>
        </is>
      </c>
      <c r="F40" t="inlineStr">
        <is>
          <t>CONFIRM_FROM_FIGMA</t>
        </is>
      </c>
      <c r="G40" t="inlineStr">
        <is>
          <t>169:487</t>
        </is>
      </c>
      <c r="H40" t="n">
        <v>92</v>
      </c>
      <c r="I40" t="inlineStr">
        <is>
          <t>Representative label; replace with exact UI text if different.</t>
        </is>
      </c>
    </row>
    <row r="41">
      <c r="A41" t="inlineStr">
        <is>
          <t>Group</t>
        </is>
      </c>
      <c r="B41" t="inlineStr">
        <is>
          <t>Shared Experience</t>
        </is>
      </c>
      <c r="C41" t="inlineStr">
        <is>
          <t>Office Outing</t>
        </is>
      </c>
      <c r="D41" t="inlineStr">
        <is>
          <t>Activities</t>
        </is>
      </c>
      <c r="E41" t="inlineStr">
        <is>
          <t>Expense</t>
        </is>
      </c>
      <c r="F41" t="inlineStr">
        <is>
          <t>CONFIRM_FROM_FIGMA</t>
        </is>
      </c>
      <c r="G41" t="inlineStr">
        <is>
          <t>169:487</t>
        </is>
      </c>
      <c r="H41" t="n">
        <v>92</v>
      </c>
      <c r="I41" t="inlineStr">
        <is>
          <t>Representative label; replace with exact UI text if different.</t>
        </is>
      </c>
    </row>
    <row r="42">
      <c r="A42" t="inlineStr">
        <is>
          <t>Group</t>
        </is>
      </c>
      <c r="B42" t="inlineStr">
        <is>
          <t>Shared Experience</t>
        </is>
      </c>
      <c r="C42" t="inlineStr">
        <is>
          <t>Office Outing</t>
        </is>
      </c>
      <c r="D42" t="inlineStr">
        <is>
          <t>Venue</t>
        </is>
      </c>
      <c r="E42" t="inlineStr">
        <is>
          <t>Expense</t>
        </is>
      </c>
      <c r="F42" t="inlineStr">
        <is>
          <t>CONFIRM_FROM_FIGMA</t>
        </is>
      </c>
      <c r="G42" t="inlineStr">
        <is>
          <t>169:487</t>
        </is>
      </c>
      <c r="H42" t="n">
        <v>92</v>
      </c>
      <c r="I42" t="inlineStr">
        <is>
          <t>Representative label; replace with exact UI text if different.</t>
        </is>
      </c>
    </row>
    <row r="43">
      <c r="A43" t="inlineStr">
        <is>
          <t>Group</t>
        </is>
      </c>
      <c r="B43" t="inlineStr">
        <is>
          <t>Shared Experience</t>
        </is>
      </c>
      <c r="C43" t="inlineStr">
        <is>
          <t>Office Outing</t>
        </is>
      </c>
      <c r="D43" t="inlineStr">
        <is>
          <t>Other</t>
        </is>
      </c>
      <c r="E43" t="inlineStr">
        <is>
          <t>Expense</t>
        </is>
      </c>
      <c r="F43" t="inlineStr">
        <is>
          <t>CONFIRM_FROM_FIGMA</t>
        </is>
      </c>
      <c r="G43" t="inlineStr">
        <is>
          <t>169:487</t>
        </is>
      </c>
      <c r="H43" t="n">
        <v>92</v>
      </c>
      <c r="I43" t="inlineStr">
        <is>
          <t>Representative label; replace with exact UI text if different.</t>
        </is>
      </c>
    </row>
    <row r="44">
      <c r="A44" t="inlineStr">
        <is>
          <t>Group</t>
        </is>
      </c>
      <c r="B44" t="inlineStr">
        <is>
          <t>Shared Experience</t>
        </is>
      </c>
      <c r="C44" t="inlineStr">
        <is>
          <t>House Party</t>
        </is>
      </c>
      <c r="D44" t="inlineStr">
        <is>
          <t>Food</t>
        </is>
      </c>
      <c r="E44" t="inlineStr">
        <is>
          <t>Expense</t>
        </is>
      </c>
      <c r="F44" t="inlineStr">
        <is>
          <t>CONFIRM_FROM_FIGMA</t>
        </is>
      </c>
      <c r="G44" t="inlineStr">
        <is>
          <t>169:487</t>
        </is>
      </c>
      <c r="H44" t="n">
        <v>92</v>
      </c>
      <c r="I44" t="inlineStr">
        <is>
          <t>Representative label; replace with exact UI text if different.</t>
        </is>
      </c>
    </row>
    <row r="45">
      <c r="A45" t="inlineStr">
        <is>
          <t>Group</t>
        </is>
      </c>
      <c r="B45" t="inlineStr">
        <is>
          <t>Shared Experience</t>
        </is>
      </c>
      <c r="C45" t="inlineStr">
        <is>
          <t>House Party</t>
        </is>
      </c>
      <c r="D45" t="inlineStr">
        <is>
          <t>Drinks</t>
        </is>
      </c>
      <c r="E45" t="inlineStr">
        <is>
          <t>Expense</t>
        </is>
      </c>
      <c r="F45" t="inlineStr">
        <is>
          <t>CONFIRM_FROM_FIGMA</t>
        </is>
      </c>
      <c r="G45" t="inlineStr">
        <is>
          <t>169:487</t>
        </is>
      </c>
      <c r="H45" t="n">
        <v>92</v>
      </c>
      <c r="I45" t="inlineStr">
        <is>
          <t>Representative label; replace with exact UI text if different.</t>
        </is>
      </c>
    </row>
    <row r="46">
      <c r="A46" t="inlineStr">
        <is>
          <t>Group</t>
        </is>
      </c>
      <c r="B46" t="inlineStr">
        <is>
          <t>Shared Experience</t>
        </is>
      </c>
      <c r="C46" t="inlineStr">
        <is>
          <t>House Party</t>
        </is>
      </c>
      <c r="D46" t="inlineStr">
        <is>
          <t>Decor</t>
        </is>
      </c>
      <c r="E46" t="inlineStr">
        <is>
          <t>Expense</t>
        </is>
      </c>
      <c r="F46" t="inlineStr">
        <is>
          <t>CONFIRM_FROM_FIGMA</t>
        </is>
      </c>
      <c r="G46" t="inlineStr">
        <is>
          <t>169:487</t>
        </is>
      </c>
      <c r="H46" t="n">
        <v>92</v>
      </c>
      <c r="I46" t="inlineStr">
        <is>
          <t>Representative label; replace with exact UI text if different.</t>
        </is>
      </c>
    </row>
    <row r="47">
      <c r="A47" t="inlineStr">
        <is>
          <t>Group</t>
        </is>
      </c>
      <c r="B47" t="inlineStr">
        <is>
          <t>Shared Experience</t>
        </is>
      </c>
      <c r="C47" t="inlineStr">
        <is>
          <t>House Party</t>
        </is>
      </c>
      <c r="D47" t="inlineStr">
        <is>
          <t>Supplies</t>
        </is>
      </c>
      <c r="E47" t="inlineStr">
        <is>
          <t>Expense</t>
        </is>
      </c>
      <c r="F47" t="inlineStr">
        <is>
          <t>CONFIRM_FROM_FIGMA</t>
        </is>
      </c>
      <c r="G47" t="inlineStr">
        <is>
          <t>169:487</t>
        </is>
      </c>
      <c r="H47" t="n">
        <v>92</v>
      </c>
      <c r="I47" t="inlineStr">
        <is>
          <t>Representative label; replace with exact UI text if different.</t>
        </is>
      </c>
    </row>
    <row r="48">
      <c r="A48" t="inlineStr">
        <is>
          <t>Group</t>
        </is>
      </c>
      <c r="B48" t="inlineStr">
        <is>
          <t>Shared Experience</t>
        </is>
      </c>
      <c r="C48" t="inlineStr">
        <is>
          <t>House Party</t>
        </is>
      </c>
      <c r="D48" t="inlineStr">
        <is>
          <t>Other</t>
        </is>
      </c>
      <c r="E48" t="inlineStr">
        <is>
          <t>Expense</t>
        </is>
      </c>
      <c r="F48" t="inlineStr">
        <is>
          <t>CONFIRM_FROM_FIGMA</t>
        </is>
      </c>
      <c r="G48" t="inlineStr">
        <is>
          <t>169:487</t>
        </is>
      </c>
      <c r="H48" t="n">
        <v>92</v>
      </c>
      <c r="I48" t="inlineStr">
        <is>
          <t>Representative label; replace with exact UI text if different.</t>
        </is>
      </c>
    </row>
    <row r="49">
      <c r="A49" t="inlineStr">
        <is>
          <t>Group</t>
        </is>
      </c>
      <c r="B49" t="inlineStr">
        <is>
          <t>Shared Purchase</t>
        </is>
      </c>
      <c r="C49" t="inlineStr">
        <is>
          <t>Gift Pool</t>
        </is>
      </c>
      <c r="D49" t="inlineStr">
        <is>
          <t>Contribution</t>
        </is>
      </c>
      <c r="E49" t="inlineStr">
        <is>
          <t>Contribution</t>
        </is>
      </c>
      <c r="F49" t="inlineStr">
        <is>
          <t>CONFIRM_FROM_FIGMA</t>
        </is>
      </c>
      <c r="G49" t="inlineStr">
        <is>
          <t>169:487</t>
        </is>
      </c>
      <c r="H49" t="n">
        <v>92</v>
      </c>
      <c r="I49" t="inlineStr">
        <is>
          <t>Representative label; replace with exact UI text if different.</t>
        </is>
      </c>
    </row>
    <row r="50">
      <c r="A50" t="inlineStr">
        <is>
          <t>Group</t>
        </is>
      </c>
      <c r="B50" t="inlineStr">
        <is>
          <t>Shared Purchase</t>
        </is>
      </c>
      <c r="C50" t="inlineStr">
        <is>
          <t>Gift Pool</t>
        </is>
      </c>
      <c r="D50" t="inlineStr">
        <is>
          <t>Gift Purchase</t>
        </is>
      </c>
      <c r="E50" t="inlineStr">
        <is>
          <t>Expense</t>
        </is>
      </c>
      <c r="F50" t="inlineStr">
        <is>
          <t>CONFIRM_FROM_FIGMA</t>
        </is>
      </c>
      <c r="G50" t="inlineStr">
        <is>
          <t>169:487</t>
        </is>
      </c>
      <c r="H50" t="n">
        <v>92</v>
      </c>
      <c r="I50" t="inlineStr">
        <is>
          <t>Representative label; replace with exact UI text if different.</t>
        </is>
      </c>
    </row>
    <row r="51">
      <c r="A51" t="inlineStr">
        <is>
          <t>Group</t>
        </is>
      </c>
      <c r="B51" t="inlineStr">
        <is>
          <t>Shared Purchase</t>
        </is>
      </c>
      <c r="C51" t="inlineStr">
        <is>
          <t>Gift Pool</t>
        </is>
      </c>
      <c r="D51" t="inlineStr">
        <is>
          <t>Delivery</t>
        </is>
      </c>
      <c r="E51" t="inlineStr">
        <is>
          <t>Expense</t>
        </is>
      </c>
      <c r="F51" t="inlineStr">
        <is>
          <t>CONFIRM_FROM_FIGMA</t>
        </is>
      </c>
      <c r="G51" t="inlineStr">
        <is>
          <t>169:487</t>
        </is>
      </c>
      <c r="H51" t="n">
        <v>92</v>
      </c>
      <c r="I51" t="inlineStr">
        <is>
          <t>Representative label; replace with exact UI text if different.</t>
        </is>
      </c>
    </row>
    <row r="52">
      <c r="A52" t="inlineStr">
        <is>
          <t>Group</t>
        </is>
      </c>
      <c r="B52" t="inlineStr">
        <is>
          <t>Shared Purchase</t>
        </is>
      </c>
      <c r="C52" t="inlineStr">
        <is>
          <t>Gift Pool</t>
        </is>
      </c>
      <c r="D52" t="inlineStr">
        <is>
          <t>Other</t>
        </is>
      </c>
      <c r="E52" t="inlineStr">
        <is>
          <t>Expense</t>
        </is>
      </c>
      <c r="F52" t="inlineStr">
        <is>
          <t>CONFIRM_FROM_FIGMA</t>
        </is>
      </c>
      <c r="G52" t="inlineStr">
        <is>
          <t>169:487</t>
        </is>
      </c>
      <c r="H52" t="n">
        <v>92</v>
      </c>
      <c r="I52" t="inlineStr">
        <is>
          <t>Representative label; replace with exact UI text if different.</t>
        </is>
      </c>
    </row>
    <row r="53">
      <c r="A53" t="inlineStr">
        <is>
          <t>Group</t>
        </is>
      </c>
      <c r="B53" t="inlineStr">
        <is>
          <t>Shared Purchase</t>
        </is>
      </c>
      <c r="C53" t="inlineStr">
        <is>
          <t>Purchase</t>
        </is>
      </c>
      <c r="D53" t="inlineStr">
        <is>
          <t>Item</t>
        </is>
      </c>
      <c r="E53" t="inlineStr">
        <is>
          <t>Expense</t>
        </is>
      </c>
      <c r="F53" t="inlineStr">
        <is>
          <t>CONFIRM_FROM_FIGMA</t>
        </is>
      </c>
      <c r="G53" t="inlineStr">
        <is>
          <t>169:487</t>
        </is>
      </c>
      <c r="H53" t="n">
        <v>92</v>
      </c>
      <c r="I53" t="inlineStr">
        <is>
          <t>Representative label; replace with exact UI text if different.</t>
        </is>
      </c>
    </row>
    <row r="54">
      <c r="A54" t="inlineStr">
        <is>
          <t>Group</t>
        </is>
      </c>
      <c r="B54" t="inlineStr">
        <is>
          <t>Shared Purchase</t>
        </is>
      </c>
      <c r="C54" t="inlineStr">
        <is>
          <t>Purchase</t>
        </is>
      </c>
      <c r="D54" t="inlineStr">
        <is>
          <t>Shipping</t>
        </is>
      </c>
      <c r="E54" t="inlineStr">
        <is>
          <t>Expense</t>
        </is>
      </c>
      <c r="F54" t="inlineStr">
        <is>
          <t>CONFIRM_FROM_FIGMA</t>
        </is>
      </c>
      <c r="G54" t="inlineStr">
        <is>
          <t>169:487</t>
        </is>
      </c>
      <c r="H54" t="n">
        <v>92</v>
      </c>
      <c r="I54" t="inlineStr">
        <is>
          <t>Representative label; replace with exact UI text if different.</t>
        </is>
      </c>
    </row>
    <row r="55">
      <c r="A55" t="inlineStr">
        <is>
          <t>Group</t>
        </is>
      </c>
      <c r="B55" t="inlineStr">
        <is>
          <t>Shared Purchase</t>
        </is>
      </c>
      <c r="C55" t="inlineStr">
        <is>
          <t>Purchase</t>
        </is>
      </c>
      <c r="D55" t="inlineStr">
        <is>
          <t>Tax</t>
        </is>
      </c>
      <c r="E55" t="inlineStr">
        <is>
          <t>Expense</t>
        </is>
      </c>
      <c r="F55" t="inlineStr">
        <is>
          <t>CONFIRM_FROM_FIGMA</t>
        </is>
      </c>
      <c r="G55" t="inlineStr">
        <is>
          <t>169:487</t>
        </is>
      </c>
      <c r="H55" t="n">
        <v>92</v>
      </c>
      <c r="I55" t="inlineStr">
        <is>
          <t>Representative label; replace with exact UI text if different.</t>
        </is>
      </c>
    </row>
    <row r="56">
      <c r="A56" t="inlineStr">
        <is>
          <t>Group</t>
        </is>
      </c>
      <c r="B56" t="inlineStr">
        <is>
          <t>Shared Purchase</t>
        </is>
      </c>
      <c r="C56" t="inlineStr">
        <is>
          <t>Purchase</t>
        </is>
      </c>
      <c r="D56" t="inlineStr">
        <is>
          <t>Other</t>
        </is>
      </c>
      <c r="E56" t="inlineStr">
        <is>
          <t>Expense</t>
        </is>
      </c>
      <c r="F56" t="inlineStr">
        <is>
          <t>CONFIRM_FROM_FIGMA</t>
        </is>
      </c>
      <c r="G56" t="inlineStr">
        <is>
          <t>169:487</t>
        </is>
      </c>
      <c r="H56" t="n">
        <v>92</v>
      </c>
      <c r="I56" t="inlineStr">
        <is>
          <t>Representative label; replace with exact UI text if different.</t>
        </is>
      </c>
    </row>
    <row r="57">
      <c r="A57" t="inlineStr">
        <is>
          <t>Group</t>
        </is>
      </c>
      <c r="B57" t="inlineStr">
        <is>
          <t>Shared Purchase</t>
        </is>
      </c>
      <c r="C57" t="inlineStr">
        <is>
          <t>Assets</t>
        </is>
      </c>
      <c r="D57" t="inlineStr">
        <is>
          <t>Purchase</t>
        </is>
      </c>
      <c r="E57" t="inlineStr">
        <is>
          <t>Expense</t>
        </is>
      </c>
      <c r="F57" t="inlineStr">
        <is>
          <t>CONFIRM_FROM_FIGMA</t>
        </is>
      </c>
      <c r="G57" t="inlineStr">
        <is>
          <t>169:487</t>
        </is>
      </c>
      <c r="H57" t="n">
        <v>92</v>
      </c>
      <c r="I57" t="inlineStr">
        <is>
          <t>Representative label; replace with exact UI text if different.</t>
        </is>
      </c>
    </row>
    <row r="58">
      <c r="A58" t="inlineStr">
        <is>
          <t>Group</t>
        </is>
      </c>
      <c r="B58" t="inlineStr">
        <is>
          <t>Shared Purchase</t>
        </is>
      </c>
      <c r="C58" t="inlineStr">
        <is>
          <t>Assets</t>
        </is>
      </c>
      <c r="D58" t="inlineStr">
        <is>
          <t>Maintenance</t>
        </is>
      </c>
      <c r="E58" t="inlineStr">
        <is>
          <t>Expense</t>
        </is>
      </c>
      <c r="F58" t="inlineStr">
        <is>
          <t>CONFIRM_FROM_FIGMA</t>
        </is>
      </c>
      <c r="G58" t="inlineStr">
        <is>
          <t>169:487</t>
        </is>
      </c>
      <c r="H58" t="n">
        <v>92</v>
      </c>
      <c r="I58" t="inlineStr">
        <is>
          <t>Representative label; replace with exact UI text if different.</t>
        </is>
      </c>
    </row>
    <row r="59">
      <c r="A59" t="inlineStr">
        <is>
          <t>Group</t>
        </is>
      </c>
      <c r="B59" t="inlineStr">
        <is>
          <t>Shared Purchase</t>
        </is>
      </c>
      <c r="C59" t="inlineStr">
        <is>
          <t>Assets</t>
        </is>
      </c>
      <c r="D59" t="inlineStr">
        <is>
          <t>Repair</t>
        </is>
      </c>
      <c r="E59" t="inlineStr">
        <is>
          <t>Expense</t>
        </is>
      </c>
      <c r="F59" t="inlineStr">
        <is>
          <t>CONFIRM_FROM_FIGMA</t>
        </is>
      </c>
      <c r="G59" t="inlineStr">
        <is>
          <t>169:487</t>
        </is>
      </c>
      <c r="H59" t="n">
        <v>92</v>
      </c>
      <c r="I59" t="inlineStr">
        <is>
          <t>Representative label; replace with exact UI text if different.</t>
        </is>
      </c>
    </row>
    <row r="60">
      <c r="A60" t="inlineStr">
        <is>
          <t>Group</t>
        </is>
      </c>
      <c r="B60" t="inlineStr">
        <is>
          <t>Shared Purchase</t>
        </is>
      </c>
      <c r="C60" t="inlineStr">
        <is>
          <t>Assets</t>
        </is>
      </c>
      <c r="D60" t="inlineStr">
        <is>
          <t>Insurance</t>
        </is>
      </c>
      <c r="E60" t="inlineStr">
        <is>
          <t>Expense</t>
        </is>
      </c>
      <c r="F60" t="inlineStr">
        <is>
          <t>CONFIRM_FROM_FIGMA</t>
        </is>
      </c>
      <c r="G60" t="inlineStr">
        <is>
          <t>169:487</t>
        </is>
      </c>
      <c r="H60" t="n">
        <v>92</v>
      </c>
      <c r="I60" t="inlineStr">
        <is>
          <t>Representative label; replace with exact UI text if different.</t>
        </is>
      </c>
    </row>
    <row r="61">
      <c r="A61" t="inlineStr">
        <is>
          <t>Group</t>
        </is>
      </c>
      <c r="B61" t="inlineStr">
        <is>
          <t>Shared Purchase</t>
        </is>
      </c>
      <c r="C61" t="inlineStr">
        <is>
          <t>Assets</t>
        </is>
      </c>
      <c r="D61" t="inlineStr">
        <is>
          <t>Other</t>
        </is>
      </c>
      <c r="E61" t="inlineStr">
        <is>
          <t>Expense</t>
        </is>
      </c>
      <c r="F61" t="inlineStr">
        <is>
          <t>CONFIRM_FROM_FIGMA</t>
        </is>
      </c>
      <c r="G61" t="inlineStr">
        <is>
          <t>169:487</t>
        </is>
      </c>
      <c r="H61" t="n">
        <v>92</v>
      </c>
      <c r="I61" t="inlineStr">
        <is>
          <t>Representative label; replace with exact UI text if different.</t>
        </is>
      </c>
    </row>
    <row r="62">
      <c r="A62" t="inlineStr">
        <is>
          <t>Group</t>
        </is>
      </c>
      <c r="B62" t="inlineStr">
        <is>
          <t>Shared Purchase</t>
        </is>
      </c>
      <c r="C62" t="inlineStr">
        <is>
          <t>Custom Purchase</t>
        </is>
      </c>
      <c r="D62" t="inlineStr">
        <is>
          <t>Custom Expense</t>
        </is>
      </c>
      <c r="E62" t="inlineStr">
        <is>
          <t>Expense</t>
        </is>
      </c>
      <c r="F62" t="inlineStr">
        <is>
          <t>CONFIRM_FROM_FIGMA</t>
        </is>
      </c>
      <c r="G62" t="inlineStr">
        <is>
          <t>169:487</t>
        </is>
      </c>
      <c r="H62" t="n">
        <v>92</v>
      </c>
      <c r="I62" t="inlineStr">
        <is>
          <t>Representative label; replace with exact UI text if different.</t>
        </is>
      </c>
    </row>
    <row r="63">
      <c r="A63" t="inlineStr">
        <is>
          <t>Group</t>
        </is>
      </c>
      <c r="B63" t="inlineStr">
        <is>
          <t>Shared Purchase</t>
        </is>
      </c>
      <c r="C63" t="inlineStr">
        <is>
          <t>Custom Purchase</t>
        </is>
      </c>
      <c r="D63" t="inlineStr">
        <is>
          <t>Custom Contribution</t>
        </is>
      </c>
      <c r="E63" t="inlineStr">
        <is>
          <t>Contribution</t>
        </is>
      </c>
      <c r="F63" t="inlineStr">
        <is>
          <t>CONFIRM_FROM_FIGMA</t>
        </is>
      </c>
      <c r="G63" t="inlineStr">
        <is>
          <t>169:487</t>
        </is>
      </c>
      <c r="H63" t="n">
        <v>92</v>
      </c>
      <c r="I63" t="inlineStr">
        <is>
          <t>Representative label; replace with exact UI text if different.</t>
        </is>
      </c>
    </row>
    <row r="64">
      <c r="A64" t="inlineStr">
        <is>
          <t>Group</t>
        </is>
      </c>
      <c r="B64" t="inlineStr">
        <is>
          <t>Shared Living</t>
        </is>
      </c>
      <c r="C64" t="inlineStr">
        <is>
          <t>Flatmates</t>
        </is>
      </c>
      <c r="D64" t="inlineStr">
        <is>
          <t>Rent</t>
        </is>
      </c>
      <c r="E64" t="inlineStr">
        <is>
          <t>Expense</t>
        </is>
      </c>
      <c r="F64" t="inlineStr">
        <is>
          <t>CONFIRM_FROM_FIGMA</t>
        </is>
      </c>
      <c r="G64" t="inlineStr">
        <is>
          <t>169:487</t>
        </is>
      </c>
      <c r="H64" t="n">
        <v>91</v>
      </c>
      <c r="I64" t="inlineStr">
        <is>
          <t>Representative label; replace with exact UI text if different.</t>
        </is>
      </c>
    </row>
    <row r="65">
      <c r="A65" t="inlineStr">
        <is>
          <t>Group</t>
        </is>
      </c>
      <c r="B65" t="inlineStr">
        <is>
          <t>Shared Living</t>
        </is>
      </c>
      <c r="C65" t="inlineStr">
        <is>
          <t>Flatmates</t>
        </is>
      </c>
      <c r="D65" t="inlineStr">
        <is>
          <t>Utilities</t>
        </is>
      </c>
      <c r="E65" t="inlineStr">
        <is>
          <t>Expense</t>
        </is>
      </c>
      <c r="F65" t="inlineStr">
        <is>
          <t>CONFIRM_FROM_FIGMA</t>
        </is>
      </c>
      <c r="G65" t="inlineStr">
        <is>
          <t>169:487</t>
        </is>
      </c>
      <c r="H65" t="n">
        <v>91</v>
      </c>
      <c r="I65" t="inlineStr">
        <is>
          <t>Representative label; replace with exact UI text if different.</t>
        </is>
      </c>
    </row>
    <row r="66">
      <c r="A66" t="inlineStr">
        <is>
          <t>Group</t>
        </is>
      </c>
      <c r="B66" t="inlineStr">
        <is>
          <t>Shared Living</t>
        </is>
      </c>
      <c r="C66" t="inlineStr">
        <is>
          <t>Flatmates</t>
        </is>
      </c>
      <c r="D66" t="inlineStr">
        <is>
          <t>Groceries</t>
        </is>
      </c>
      <c r="E66" t="inlineStr">
        <is>
          <t>Expense</t>
        </is>
      </c>
      <c r="F66" t="inlineStr">
        <is>
          <t>CONFIRM_FROM_FIGMA</t>
        </is>
      </c>
      <c r="G66" t="inlineStr">
        <is>
          <t>169:487</t>
        </is>
      </c>
      <c r="H66" t="n">
        <v>91</v>
      </c>
      <c r="I66" t="inlineStr">
        <is>
          <t>Representative label; replace with exact UI text if different.</t>
        </is>
      </c>
    </row>
    <row r="67">
      <c r="A67" t="inlineStr">
        <is>
          <t>Group</t>
        </is>
      </c>
      <c r="B67" t="inlineStr">
        <is>
          <t>Shared Living</t>
        </is>
      </c>
      <c r="C67" t="inlineStr">
        <is>
          <t>Flatmates</t>
        </is>
      </c>
      <c r="D67" t="inlineStr">
        <is>
          <t>Internet</t>
        </is>
      </c>
      <c r="E67" t="inlineStr">
        <is>
          <t>Expense</t>
        </is>
      </c>
      <c r="F67" t="inlineStr">
        <is>
          <t>CONFIRM_FROM_FIGMA</t>
        </is>
      </c>
      <c r="G67" t="inlineStr">
        <is>
          <t>169:487</t>
        </is>
      </c>
      <c r="H67" t="n">
        <v>91</v>
      </c>
      <c r="I67" t="inlineStr">
        <is>
          <t>Representative label; replace with exact UI text if different.</t>
        </is>
      </c>
    </row>
    <row r="68">
      <c r="A68" t="inlineStr">
        <is>
          <t>Group</t>
        </is>
      </c>
      <c r="B68" t="inlineStr">
        <is>
          <t>Shared Living</t>
        </is>
      </c>
      <c r="C68" t="inlineStr">
        <is>
          <t>Flatmates</t>
        </is>
      </c>
      <c r="D68" t="inlineStr">
        <is>
          <t>House Supplies</t>
        </is>
      </c>
      <c r="E68" t="inlineStr">
        <is>
          <t>Expense</t>
        </is>
      </c>
      <c r="F68" t="inlineStr">
        <is>
          <t>CONFIRM_FROM_FIGMA</t>
        </is>
      </c>
      <c r="G68" t="inlineStr">
        <is>
          <t>169:487</t>
        </is>
      </c>
      <c r="H68" t="n">
        <v>91</v>
      </c>
      <c r="I68" t="inlineStr">
        <is>
          <t>Representative label; replace with exact UI text if different.</t>
        </is>
      </c>
    </row>
    <row r="69">
      <c r="A69" t="inlineStr">
        <is>
          <t>Group</t>
        </is>
      </c>
      <c r="B69" t="inlineStr">
        <is>
          <t>Shared Living</t>
        </is>
      </c>
      <c r="C69" t="inlineStr">
        <is>
          <t>Flatmates</t>
        </is>
      </c>
      <c r="D69" t="inlineStr">
        <is>
          <t>Repairs</t>
        </is>
      </c>
      <c r="E69" t="inlineStr">
        <is>
          <t>Expense</t>
        </is>
      </c>
      <c r="F69" t="inlineStr">
        <is>
          <t>CONFIRM_FROM_FIGMA</t>
        </is>
      </c>
      <c r="G69" t="inlineStr">
        <is>
          <t>169:487</t>
        </is>
      </c>
      <c r="H69" t="n">
        <v>91</v>
      </c>
      <c r="I69" t="inlineStr">
        <is>
          <t>Representative label; replace with exact UI text if different.</t>
        </is>
      </c>
    </row>
    <row r="70">
      <c r="A70" t="inlineStr">
        <is>
          <t>Group</t>
        </is>
      </c>
      <c r="B70" t="inlineStr">
        <is>
          <t>Shared Living</t>
        </is>
      </c>
      <c r="C70" t="inlineStr">
        <is>
          <t>Shared Living</t>
        </is>
      </c>
      <c r="D70" t="inlineStr">
        <is>
          <t>Rent</t>
        </is>
      </c>
      <c r="E70" t="inlineStr">
        <is>
          <t>Expense</t>
        </is>
      </c>
      <c r="F70" t="inlineStr">
        <is>
          <t>CONFIRM_FROM_FIGMA</t>
        </is>
      </c>
      <c r="G70" t="inlineStr">
        <is>
          <t>169:487</t>
        </is>
      </c>
      <c r="H70" t="n">
        <v>91</v>
      </c>
      <c r="I70" t="inlineStr">
        <is>
          <t>Representative label; replace with exact UI text if different.</t>
        </is>
      </c>
    </row>
    <row r="71">
      <c r="A71" t="inlineStr">
        <is>
          <t>Group</t>
        </is>
      </c>
      <c r="B71" t="inlineStr">
        <is>
          <t>Shared Living</t>
        </is>
      </c>
      <c r="C71" t="inlineStr">
        <is>
          <t>Shared Living</t>
        </is>
      </c>
      <c r="D71" t="inlineStr">
        <is>
          <t>Utilities</t>
        </is>
      </c>
      <c r="E71" t="inlineStr">
        <is>
          <t>Expense</t>
        </is>
      </c>
      <c r="F71" t="inlineStr">
        <is>
          <t>CONFIRM_FROM_FIGMA</t>
        </is>
      </c>
      <c r="G71" t="inlineStr">
        <is>
          <t>169:487</t>
        </is>
      </c>
      <c r="H71" t="n">
        <v>91</v>
      </c>
      <c r="I71" t="inlineStr">
        <is>
          <t>Representative label; replace with exact UI text if different.</t>
        </is>
      </c>
    </row>
    <row r="72">
      <c r="A72" t="inlineStr">
        <is>
          <t>Group</t>
        </is>
      </c>
      <c r="B72" t="inlineStr">
        <is>
          <t>Shared Living</t>
        </is>
      </c>
      <c r="C72" t="inlineStr">
        <is>
          <t>Shared Living</t>
        </is>
      </c>
      <c r="D72" t="inlineStr">
        <is>
          <t>Groceries</t>
        </is>
      </c>
      <c r="E72" t="inlineStr">
        <is>
          <t>Expense</t>
        </is>
      </c>
      <c r="F72" t="inlineStr">
        <is>
          <t>CONFIRM_FROM_FIGMA</t>
        </is>
      </c>
      <c r="G72" t="inlineStr">
        <is>
          <t>169:487</t>
        </is>
      </c>
      <c r="H72" t="n">
        <v>91</v>
      </c>
      <c r="I72" t="inlineStr">
        <is>
          <t>Representative label; replace with exact UI text if different.</t>
        </is>
      </c>
    </row>
    <row r="73">
      <c r="A73" t="inlineStr">
        <is>
          <t>Group</t>
        </is>
      </c>
      <c r="B73" t="inlineStr">
        <is>
          <t>Shared Living</t>
        </is>
      </c>
      <c r="C73" t="inlineStr">
        <is>
          <t>Shared Living</t>
        </is>
      </c>
      <c r="D73" t="inlineStr">
        <is>
          <t>Maintenance</t>
        </is>
      </c>
      <c r="E73" t="inlineStr">
        <is>
          <t>Expense</t>
        </is>
      </c>
      <c r="F73" t="inlineStr">
        <is>
          <t>CONFIRM_FROM_FIGMA</t>
        </is>
      </c>
      <c r="G73" t="inlineStr">
        <is>
          <t>169:487</t>
        </is>
      </c>
      <c r="H73" t="n">
        <v>91</v>
      </c>
      <c r="I73" t="inlineStr">
        <is>
          <t>Representative label; replace with exact UI text if different.</t>
        </is>
      </c>
    </row>
    <row r="74">
      <c r="A74" t="inlineStr">
        <is>
          <t>Group</t>
        </is>
      </c>
      <c r="B74" t="inlineStr">
        <is>
          <t>Shared Living</t>
        </is>
      </c>
      <c r="C74" t="inlineStr">
        <is>
          <t>Shared Living</t>
        </is>
      </c>
      <c r="D74" t="inlineStr">
        <is>
          <t>Other</t>
        </is>
      </c>
      <c r="E74" t="inlineStr">
        <is>
          <t>Expense</t>
        </is>
      </c>
      <c r="F74" t="inlineStr">
        <is>
          <t>CONFIRM_FROM_FIGMA</t>
        </is>
      </c>
      <c r="G74" t="inlineStr">
        <is>
          <t>169:487</t>
        </is>
      </c>
      <c r="H74" t="n">
        <v>91</v>
      </c>
      <c r="I74" t="inlineStr">
        <is>
          <t>Representative label; replace with exact UI text if different.</t>
        </is>
      </c>
    </row>
    <row r="75">
      <c r="A75" t="inlineStr">
        <is>
          <t>Group</t>
        </is>
      </c>
      <c r="B75" t="inlineStr">
        <is>
          <t>Shared Living</t>
        </is>
      </c>
      <c r="C75" t="inlineStr">
        <is>
          <t>Family Household</t>
        </is>
      </c>
      <c r="D75" t="inlineStr">
        <is>
          <t>Groceries</t>
        </is>
      </c>
      <c r="E75" t="inlineStr">
        <is>
          <t>Expense</t>
        </is>
      </c>
      <c r="F75" t="inlineStr">
        <is>
          <t>CONFIRM_FROM_FIGMA</t>
        </is>
      </c>
      <c r="G75" t="inlineStr">
        <is>
          <t>169:487</t>
        </is>
      </c>
      <c r="H75" t="n">
        <v>91</v>
      </c>
      <c r="I75" t="inlineStr">
        <is>
          <t>Representative label; replace with exact UI text if different.</t>
        </is>
      </c>
    </row>
    <row r="76">
      <c r="A76" t="inlineStr">
        <is>
          <t>Group</t>
        </is>
      </c>
      <c r="B76" t="inlineStr">
        <is>
          <t>Shared Living</t>
        </is>
      </c>
      <c r="C76" t="inlineStr">
        <is>
          <t>Family Household</t>
        </is>
      </c>
      <c r="D76" t="inlineStr">
        <is>
          <t>Bills</t>
        </is>
      </c>
      <c r="E76" t="inlineStr">
        <is>
          <t>Expense</t>
        </is>
      </c>
      <c r="F76" t="inlineStr">
        <is>
          <t>CONFIRM_FROM_FIGMA</t>
        </is>
      </c>
      <c r="G76" t="inlineStr">
        <is>
          <t>169:487</t>
        </is>
      </c>
      <c r="H76" t="n">
        <v>91</v>
      </c>
      <c r="I76" t="inlineStr">
        <is>
          <t>Representative label; replace with exact UI text if different.</t>
        </is>
      </c>
    </row>
    <row r="77">
      <c r="A77" t="inlineStr">
        <is>
          <t>Group</t>
        </is>
      </c>
      <c r="B77" t="inlineStr">
        <is>
          <t>Shared Living</t>
        </is>
      </c>
      <c r="C77" t="inlineStr">
        <is>
          <t>Family Household</t>
        </is>
      </c>
      <c r="D77" t="inlineStr">
        <is>
          <t>School</t>
        </is>
      </c>
      <c r="E77" t="inlineStr">
        <is>
          <t>Expense</t>
        </is>
      </c>
      <c r="F77" t="inlineStr">
        <is>
          <t>CONFIRM_FROM_FIGMA</t>
        </is>
      </c>
      <c r="G77" t="inlineStr">
        <is>
          <t>169:487</t>
        </is>
      </c>
      <c r="H77" t="n">
        <v>91</v>
      </c>
      <c r="I77" t="inlineStr">
        <is>
          <t>Representative label; replace with exact UI text if different.</t>
        </is>
      </c>
    </row>
    <row r="78">
      <c r="A78" t="inlineStr">
        <is>
          <t>Group</t>
        </is>
      </c>
      <c r="B78" t="inlineStr">
        <is>
          <t>Shared Living</t>
        </is>
      </c>
      <c r="C78" t="inlineStr">
        <is>
          <t>Family Household</t>
        </is>
      </c>
      <c r="D78" t="inlineStr">
        <is>
          <t>Healthcare</t>
        </is>
      </c>
      <c r="E78" t="inlineStr">
        <is>
          <t>Expense</t>
        </is>
      </c>
      <c r="F78" t="inlineStr">
        <is>
          <t>CONFIRM_FROM_FIGMA</t>
        </is>
      </c>
      <c r="G78" t="inlineStr">
        <is>
          <t>169:487</t>
        </is>
      </c>
      <c r="H78" t="n">
        <v>91</v>
      </c>
      <c r="I78" t="inlineStr">
        <is>
          <t>Representative label; replace with exact UI text if different.</t>
        </is>
      </c>
    </row>
    <row r="79">
      <c r="A79" t="inlineStr">
        <is>
          <t>Group</t>
        </is>
      </c>
      <c r="B79" t="inlineStr">
        <is>
          <t>Shared Living</t>
        </is>
      </c>
      <c r="C79" t="inlineStr">
        <is>
          <t>Family Household</t>
        </is>
      </c>
      <c r="D79" t="inlineStr">
        <is>
          <t>Home</t>
        </is>
      </c>
      <c r="E79" t="inlineStr">
        <is>
          <t>Expense</t>
        </is>
      </c>
      <c r="F79" t="inlineStr">
        <is>
          <t>CONFIRM_FROM_FIGMA</t>
        </is>
      </c>
      <c r="G79" t="inlineStr">
        <is>
          <t>169:487</t>
        </is>
      </c>
      <c r="H79" t="n">
        <v>91</v>
      </c>
      <c r="I79" t="inlineStr">
        <is>
          <t>Representative label; replace with exact UI text if different.</t>
        </is>
      </c>
    </row>
    <row r="80">
      <c r="A80" t="inlineStr">
        <is>
          <t>Group</t>
        </is>
      </c>
      <c r="B80" t="inlineStr">
        <is>
          <t>Shared Living</t>
        </is>
      </c>
      <c r="C80" t="inlineStr">
        <is>
          <t>Family Household</t>
        </is>
      </c>
      <c r="D80" t="inlineStr">
        <is>
          <t>Other</t>
        </is>
      </c>
      <c r="E80" t="inlineStr">
        <is>
          <t>Expense</t>
        </is>
      </c>
      <c r="F80" t="inlineStr">
        <is>
          <t>CONFIRM_FROM_FIGMA</t>
        </is>
      </c>
      <c r="G80" t="inlineStr">
        <is>
          <t>169:487</t>
        </is>
      </c>
      <c r="H80" t="n">
        <v>91</v>
      </c>
      <c r="I80" t="inlineStr">
        <is>
          <t>Representative label; replace with exact UI text if different.</t>
        </is>
      </c>
    </row>
    <row r="81">
      <c r="A81" t="inlineStr">
        <is>
          <t>Group</t>
        </is>
      </c>
      <c r="B81" t="inlineStr">
        <is>
          <t>Shared Living</t>
        </is>
      </c>
      <c r="C81" t="inlineStr">
        <is>
          <t>Custom Living</t>
        </is>
      </c>
      <c r="D81" t="inlineStr">
        <is>
          <t>Custom Expense</t>
        </is>
      </c>
      <c r="E81" t="inlineStr">
        <is>
          <t>Expense</t>
        </is>
      </c>
      <c r="F81" t="inlineStr">
        <is>
          <t>CONFIRM_FROM_FIGMA</t>
        </is>
      </c>
      <c r="G81" t="inlineStr">
        <is>
          <t>169:487</t>
        </is>
      </c>
      <c r="H81" t="n">
        <v>91</v>
      </c>
      <c r="I81" t="inlineStr">
        <is>
          <t>Representative label; replace with exact UI text if different.</t>
        </is>
      </c>
    </row>
    <row r="82">
      <c r="A82" t="inlineStr">
        <is>
          <t>Group</t>
        </is>
      </c>
      <c r="B82" t="inlineStr">
        <is>
          <t>Shared Living</t>
        </is>
      </c>
      <c r="C82" t="inlineStr">
        <is>
          <t>Custom Living</t>
        </is>
      </c>
      <c r="D82" t="inlineStr">
        <is>
          <t>Custom Contribution</t>
        </is>
      </c>
      <c r="E82" t="inlineStr">
        <is>
          <t>Contribution</t>
        </is>
      </c>
      <c r="F82" t="inlineStr">
        <is>
          <t>CONFIRM_FROM_FIGMA</t>
        </is>
      </c>
      <c r="G82" t="inlineStr">
        <is>
          <t>169:487</t>
        </is>
      </c>
      <c r="H82" t="n">
        <v>91</v>
      </c>
      <c r="I82" t="inlineStr">
        <is>
          <t>Representative label; replace with exact UI text if different.</t>
        </is>
      </c>
    </row>
    <row r="83">
      <c r="A83" t="inlineStr">
        <is>
          <t>Business</t>
        </is>
      </c>
      <c r="B83" t="inlineStr">
        <is>
          <t>Business</t>
        </is>
      </c>
      <c r="C83" t="inlineStr">
        <is>
          <t>Team Operations</t>
        </is>
      </c>
      <c r="D83" t="inlineStr">
        <is>
          <t>Payroll</t>
        </is>
      </c>
      <c r="E83" t="inlineStr">
        <is>
          <t>Expense</t>
        </is>
      </c>
      <c r="F83" t="inlineStr">
        <is>
          <t>CONFIRM_FROM_FIGMA</t>
        </is>
      </c>
      <c r="G83" t="inlineStr">
        <is>
          <t>169:487</t>
        </is>
      </c>
      <c r="H83" t="n">
        <v>367</v>
      </c>
      <c r="I83" t="inlineStr">
        <is>
          <t>Representative label; replace with exact UI text if different.</t>
        </is>
      </c>
    </row>
    <row r="84">
      <c r="A84" t="inlineStr">
        <is>
          <t>Business</t>
        </is>
      </c>
      <c r="B84" t="inlineStr">
        <is>
          <t>Business</t>
        </is>
      </c>
      <c r="C84" t="inlineStr">
        <is>
          <t>Team Operations</t>
        </is>
      </c>
      <c r="D84" t="inlineStr">
        <is>
          <t>Contractor</t>
        </is>
      </c>
      <c r="E84" t="inlineStr">
        <is>
          <t>Expense</t>
        </is>
      </c>
      <c r="F84" t="inlineStr">
        <is>
          <t>CONFIRM_FROM_FIGMA</t>
        </is>
      </c>
      <c r="G84" t="inlineStr">
        <is>
          <t>169:487</t>
        </is>
      </c>
      <c r="H84" t="n">
        <v>367</v>
      </c>
      <c r="I84" t="inlineStr">
        <is>
          <t>Representative label; replace with exact UI text if different.</t>
        </is>
      </c>
    </row>
    <row r="85">
      <c r="A85" t="inlineStr">
        <is>
          <t>Business</t>
        </is>
      </c>
      <c r="B85" t="inlineStr">
        <is>
          <t>Business</t>
        </is>
      </c>
      <c r="C85" t="inlineStr">
        <is>
          <t>Team Operations</t>
        </is>
      </c>
      <c r="D85" t="inlineStr">
        <is>
          <t>Hiring</t>
        </is>
      </c>
      <c r="E85" t="inlineStr">
        <is>
          <t>Expense</t>
        </is>
      </c>
      <c r="F85" t="inlineStr">
        <is>
          <t>CONFIRM_FROM_FIGMA</t>
        </is>
      </c>
      <c r="G85" t="inlineStr">
        <is>
          <t>169:487</t>
        </is>
      </c>
      <c r="H85" t="n">
        <v>367</v>
      </c>
      <c r="I85" t="inlineStr">
        <is>
          <t>Representative label; replace with exact UI text if different.</t>
        </is>
      </c>
    </row>
    <row r="86">
      <c r="A86" t="inlineStr">
        <is>
          <t>Business</t>
        </is>
      </c>
      <c r="B86" t="inlineStr">
        <is>
          <t>Business</t>
        </is>
      </c>
      <c r="C86" t="inlineStr">
        <is>
          <t>Team Operations</t>
        </is>
      </c>
      <c r="D86" t="inlineStr">
        <is>
          <t>Team Meal</t>
        </is>
      </c>
      <c r="E86" t="inlineStr">
        <is>
          <t>Expense</t>
        </is>
      </c>
      <c r="F86" t="inlineStr">
        <is>
          <t>CONFIRM_FROM_FIGMA</t>
        </is>
      </c>
      <c r="G86" t="inlineStr">
        <is>
          <t>169:487</t>
        </is>
      </c>
      <c r="H86" t="n">
        <v>367</v>
      </c>
      <c r="I86" t="inlineStr">
        <is>
          <t>Representative label; replace with exact UI text if different.</t>
        </is>
      </c>
    </row>
    <row r="87">
      <c r="A87" t="inlineStr">
        <is>
          <t>Business</t>
        </is>
      </c>
      <c r="B87" t="inlineStr">
        <is>
          <t>Business</t>
        </is>
      </c>
      <c r="C87" t="inlineStr">
        <is>
          <t>Team Operations</t>
        </is>
      </c>
      <c r="D87" t="inlineStr">
        <is>
          <t>Travel</t>
        </is>
      </c>
      <c r="E87" t="inlineStr">
        <is>
          <t>Expense</t>
        </is>
      </c>
      <c r="F87" t="inlineStr">
        <is>
          <t>CONFIRM_FROM_FIGMA</t>
        </is>
      </c>
      <c r="G87" t="inlineStr">
        <is>
          <t>169:487</t>
        </is>
      </c>
      <c r="H87" t="n">
        <v>367</v>
      </c>
      <c r="I87" t="inlineStr">
        <is>
          <t>Representative label; replace with exact UI text if different.</t>
        </is>
      </c>
    </row>
    <row r="88">
      <c r="A88" t="inlineStr">
        <is>
          <t>Business</t>
        </is>
      </c>
      <c r="B88" t="inlineStr">
        <is>
          <t>Business</t>
        </is>
      </c>
      <c r="C88" t="inlineStr">
        <is>
          <t>Team Operations</t>
        </is>
      </c>
      <c r="D88" t="inlineStr">
        <is>
          <t>Training</t>
        </is>
      </c>
      <c r="E88" t="inlineStr">
        <is>
          <t>Expense</t>
        </is>
      </c>
      <c r="F88" t="inlineStr">
        <is>
          <t>CONFIRM_FROM_FIGMA</t>
        </is>
      </c>
      <c r="G88" t="inlineStr">
        <is>
          <t>169:487</t>
        </is>
      </c>
      <c r="H88" t="n">
        <v>367</v>
      </c>
      <c r="I88" t="inlineStr">
        <is>
          <t>Representative label; replace with exact UI text if different.</t>
        </is>
      </c>
    </row>
    <row r="89">
      <c r="A89" t="inlineStr">
        <is>
          <t>Business</t>
        </is>
      </c>
      <c r="B89" t="inlineStr">
        <is>
          <t>Business</t>
        </is>
      </c>
      <c r="C89" t="inlineStr">
        <is>
          <t>Team Operations</t>
        </is>
      </c>
      <c r="D89" t="inlineStr">
        <is>
          <t>Tools</t>
        </is>
      </c>
      <c r="E89" t="inlineStr">
        <is>
          <t>Expense</t>
        </is>
      </c>
      <c r="F89" t="inlineStr">
        <is>
          <t>CONFIRM_FROM_FIGMA</t>
        </is>
      </c>
      <c r="G89" t="inlineStr">
        <is>
          <t>169:487</t>
        </is>
      </c>
      <c r="H89" t="n">
        <v>367</v>
      </c>
      <c r="I89" t="inlineStr">
        <is>
          <t>Representative label; replace with exact UI text if different.</t>
        </is>
      </c>
    </row>
    <row r="90">
      <c r="A90" t="inlineStr">
        <is>
          <t>Business</t>
        </is>
      </c>
      <c r="B90" t="inlineStr">
        <is>
          <t>Business</t>
        </is>
      </c>
      <c r="C90" t="inlineStr">
        <is>
          <t>Business Runway</t>
        </is>
      </c>
      <c r="D90" t="inlineStr">
        <is>
          <t>Funding</t>
        </is>
      </c>
      <c r="E90" t="inlineStr">
        <is>
          <t>Income</t>
        </is>
      </c>
      <c r="F90" t="inlineStr">
        <is>
          <t>CONFIRM_FROM_FIGMA</t>
        </is>
      </c>
      <c r="G90" t="inlineStr">
        <is>
          <t>169:487</t>
        </is>
      </c>
      <c r="H90" t="n">
        <v>367</v>
      </c>
      <c r="I90" t="inlineStr">
        <is>
          <t>Representative label; replace with exact UI text if different.</t>
        </is>
      </c>
    </row>
    <row r="91">
      <c r="A91" t="inlineStr">
        <is>
          <t>Business</t>
        </is>
      </c>
      <c r="B91" t="inlineStr">
        <is>
          <t>Business</t>
        </is>
      </c>
      <c r="C91" t="inlineStr">
        <is>
          <t>Business Runway</t>
        </is>
      </c>
      <c r="D91" t="inlineStr">
        <is>
          <t>Revenue</t>
        </is>
      </c>
      <c r="E91" t="inlineStr">
        <is>
          <t>Income</t>
        </is>
      </c>
      <c r="F91" t="inlineStr">
        <is>
          <t>CONFIRM_FROM_FIGMA</t>
        </is>
      </c>
      <c r="G91" t="inlineStr">
        <is>
          <t>169:487</t>
        </is>
      </c>
      <c r="H91" t="n">
        <v>367</v>
      </c>
      <c r="I91" t="inlineStr">
        <is>
          <t>Representative label; replace with exact UI text if different.</t>
        </is>
      </c>
    </row>
    <row r="92">
      <c r="A92" t="inlineStr">
        <is>
          <t>Business</t>
        </is>
      </c>
      <c r="B92" t="inlineStr">
        <is>
          <t>Business</t>
        </is>
      </c>
      <c r="C92" t="inlineStr">
        <is>
          <t>Business Runway</t>
        </is>
      </c>
      <c r="D92" t="inlineStr">
        <is>
          <t>Burn</t>
        </is>
      </c>
      <c r="E92" t="inlineStr">
        <is>
          <t>Expense</t>
        </is>
      </c>
      <c r="F92" t="inlineStr">
        <is>
          <t>CONFIRM_FROM_FIGMA</t>
        </is>
      </c>
      <c r="G92" t="inlineStr">
        <is>
          <t>169:487</t>
        </is>
      </c>
      <c r="H92" t="n">
        <v>367</v>
      </c>
      <c r="I92" t="inlineStr">
        <is>
          <t>Representative label; replace with exact UI text if different.</t>
        </is>
      </c>
    </row>
    <row r="93">
      <c r="A93" t="inlineStr">
        <is>
          <t>Business</t>
        </is>
      </c>
      <c r="B93" t="inlineStr">
        <is>
          <t>Business</t>
        </is>
      </c>
      <c r="C93" t="inlineStr">
        <is>
          <t>Business Runway</t>
        </is>
      </c>
      <c r="D93" t="inlineStr">
        <is>
          <t>Reserve</t>
        </is>
      </c>
      <c r="E93" t="inlineStr">
        <is>
          <t>Transfer</t>
        </is>
      </c>
      <c r="F93" t="inlineStr">
        <is>
          <t>CONFIRM_FROM_FIGMA</t>
        </is>
      </c>
      <c r="G93" t="inlineStr">
        <is>
          <t>169:487</t>
        </is>
      </c>
      <c r="H93" t="n">
        <v>367</v>
      </c>
      <c r="I93" t="inlineStr">
        <is>
          <t>Representative label; replace with exact UI text if different.</t>
        </is>
      </c>
    </row>
    <row r="94">
      <c r="A94" t="inlineStr">
        <is>
          <t>Business</t>
        </is>
      </c>
      <c r="B94" t="inlineStr">
        <is>
          <t>Business</t>
        </is>
      </c>
      <c r="C94" t="inlineStr">
        <is>
          <t>Business Runway</t>
        </is>
      </c>
      <c r="D94" t="inlineStr">
        <is>
          <t>Loan</t>
        </is>
      </c>
      <c r="E94" t="inlineStr">
        <is>
          <t>Income</t>
        </is>
      </c>
      <c r="F94" t="inlineStr">
        <is>
          <t>CONFIRM_FROM_FIGMA</t>
        </is>
      </c>
      <c r="G94" t="inlineStr">
        <is>
          <t>169:487</t>
        </is>
      </c>
      <c r="H94" t="n">
        <v>367</v>
      </c>
      <c r="I94" t="inlineStr">
        <is>
          <t>Representative label; replace with exact UI text if different.</t>
        </is>
      </c>
    </row>
    <row r="95">
      <c r="A95" t="inlineStr">
        <is>
          <t>Business</t>
        </is>
      </c>
      <c r="B95" t="inlineStr">
        <is>
          <t>Business</t>
        </is>
      </c>
      <c r="C95" t="inlineStr">
        <is>
          <t>Business Runway</t>
        </is>
      </c>
      <c r="D95" t="inlineStr">
        <is>
          <t>Investment</t>
        </is>
      </c>
      <c r="E95" t="inlineStr">
        <is>
          <t>Income</t>
        </is>
      </c>
      <c r="F95" t="inlineStr">
        <is>
          <t>CONFIRM_FROM_FIGMA</t>
        </is>
      </c>
      <c r="G95" t="inlineStr">
        <is>
          <t>169:487</t>
        </is>
      </c>
      <c r="H95" t="n">
        <v>367</v>
      </c>
      <c r="I95" t="inlineStr">
        <is>
          <t>Representative label; replace with exact UI text if different.</t>
        </is>
      </c>
    </row>
    <row r="96">
      <c r="A96" t="inlineStr">
        <is>
          <t>Business</t>
        </is>
      </c>
      <c r="B96" t="inlineStr">
        <is>
          <t>Business</t>
        </is>
      </c>
      <c r="C96" t="inlineStr">
        <is>
          <t>Business Operations</t>
        </is>
      </c>
      <c r="D96" t="inlineStr">
        <is>
          <t>Software</t>
        </is>
      </c>
      <c r="E96" t="inlineStr">
        <is>
          <t>Expense</t>
        </is>
      </c>
      <c r="F96" t="inlineStr">
        <is>
          <t>CONFIRM_FROM_FIGMA</t>
        </is>
      </c>
      <c r="G96" t="inlineStr">
        <is>
          <t>169:487</t>
        </is>
      </c>
      <c r="H96" t="n">
        <v>366</v>
      </c>
      <c r="I96" t="inlineStr">
        <is>
          <t>Representative label; replace with exact UI text if different.</t>
        </is>
      </c>
    </row>
    <row r="97">
      <c r="A97" t="inlineStr">
        <is>
          <t>Business</t>
        </is>
      </c>
      <c r="B97" t="inlineStr">
        <is>
          <t>Business</t>
        </is>
      </c>
      <c r="C97" t="inlineStr">
        <is>
          <t>Business Operations</t>
        </is>
      </c>
      <c r="D97" t="inlineStr">
        <is>
          <t>Rent</t>
        </is>
      </c>
      <c r="E97" t="inlineStr">
        <is>
          <t>Expense</t>
        </is>
      </c>
      <c r="F97" t="inlineStr">
        <is>
          <t>CONFIRM_FROM_FIGMA</t>
        </is>
      </c>
      <c r="G97" t="inlineStr">
        <is>
          <t>169:487</t>
        </is>
      </c>
      <c r="H97" t="n">
        <v>366</v>
      </c>
      <c r="I97" t="inlineStr">
        <is>
          <t>Representative label; replace with exact UI text if different.</t>
        </is>
      </c>
    </row>
    <row r="98">
      <c r="A98" t="inlineStr">
        <is>
          <t>Business</t>
        </is>
      </c>
      <c r="B98" t="inlineStr">
        <is>
          <t>Business</t>
        </is>
      </c>
      <c r="C98" t="inlineStr">
        <is>
          <t>Business Operations</t>
        </is>
      </c>
      <c r="D98" t="inlineStr">
        <is>
          <t>Marketing</t>
        </is>
      </c>
      <c r="E98" t="inlineStr">
        <is>
          <t>Expense</t>
        </is>
      </c>
      <c r="F98" t="inlineStr">
        <is>
          <t>CONFIRM_FROM_FIGMA</t>
        </is>
      </c>
      <c r="G98" t="inlineStr">
        <is>
          <t>169:487</t>
        </is>
      </c>
      <c r="H98" t="n">
        <v>366</v>
      </c>
      <c r="I98" t="inlineStr">
        <is>
          <t>Representative label; replace with exact UI text if different.</t>
        </is>
      </c>
    </row>
    <row r="99">
      <c r="A99" t="inlineStr">
        <is>
          <t>Business</t>
        </is>
      </c>
      <c r="B99" t="inlineStr">
        <is>
          <t>Business</t>
        </is>
      </c>
      <c r="C99" t="inlineStr">
        <is>
          <t>Business Operations</t>
        </is>
      </c>
      <c r="D99" t="inlineStr">
        <is>
          <t>Legal</t>
        </is>
      </c>
      <c r="E99" t="inlineStr">
        <is>
          <t>Expense</t>
        </is>
      </c>
      <c r="F99" t="inlineStr">
        <is>
          <t>CONFIRM_FROM_FIGMA</t>
        </is>
      </c>
      <c r="G99" t="inlineStr">
        <is>
          <t>169:487</t>
        </is>
      </c>
      <c r="H99" t="n">
        <v>366</v>
      </c>
      <c r="I99" t="inlineStr">
        <is>
          <t>Representative label; replace with exact UI text if different.</t>
        </is>
      </c>
    </row>
    <row r="100">
      <c r="A100" t="inlineStr">
        <is>
          <t>Business</t>
        </is>
      </c>
      <c r="B100" t="inlineStr">
        <is>
          <t>Business</t>
        </is>
      </c>
      <c r="C100" t="inlineStr">
        <is>
          <t>Business Operations</t>
        </is>
      </c>
      <c r="D100" t="inlineStr">
        <is>
          <t>Accounting</t>
        </is>
      </c>
      <c r="E100" t="inlineStr">
        <is>
          <t>Expense</t>
        </is>
      </c>
      <c r="F100" t="inlineStr">
        <is>
          <t>CONFIRM_FROM_FIGMA</t>
        </is>
      </c>
      <c r="G100" t="inlineStr">
        <is>
          <t>169:487</t>
        </is>
      </c>
      <c r="H100" t="n">
        <v>366</v>
      </c>
      <c r="I100" t="inlineStr">
        <is>
          <t>Representative label; replace with exact UI text if different.</t>
        </is>
      </c>
    </row>
    <row r="101">
      <c r="A101" t="inlineStr">
        <is>
          <t>Business</t>
        </is>
      </c>
      <c r="B101" t="inlineStr">
        <is>
          <t>Business</t>
        </is>
      </c>
      <c r="C101" t="inlineStr">
        <is>
          <t>Business Operations</t>
        </is>
      </c>
      <c r="D101" t="inlineStr">
        <is>
          <t>Equipment</t>
        </is>
      </c>
      <c r="E101" t="inlineStr">
        <is>
          <t>Expense</t>
        </is>
      </c>
      <c r="F101" t="inlineStr">
        <is>
          <t>CONFIRM_FROM_FIGMA</t>
        </is>
      </c>
      <c r="G101" t="inlineStr">
        <is>
          <t>169:487</t>
        </is>
      </c>
      <c r="H101" t="n">
        <v>366</v>
      </c>
      <c r="I101" t="inlineStr">
        <is>
          <t>Representative label; replace with exact UI text if different.</t>
        </is>
      </c>
    </row>
    <row r="102">
      <c r="A102" t="inlineStr">
        <is>
          <t>Business</t>
        </is>
      </c>
      <c r="B102" t="inlineStr">
        <is>
          <t>Business</t>
        </is>
      </c>
      <c r="C102" t="inlineStr">
        <is>
          <t>Business Operations</t>
        </is>
      </c>
      <c r="D102" t="inlineStr">
        <is>
          <t>Vendor</t>
        </is>
      </c>
      <c r="E102" t="inlineStr">
        <is>
          <t>Expense</t>
        </is>
      </c>
      <c r="F102" t="inlineStr">
        <is>
          <t>CONFIRM_FROM_FIGMA</t>
        </is>
      </c>
      <c r="G102" t="inlineStr">
        <is>
          <t>169:487</t>
        </is>
      </c>
      <c r="H102" t="n">
        <v>366</v>
      </c>
      <c r="I102" t="inlineStr">
        <is>
          <t>Representative label; replace with exact UI text if different.</t>
        </is>
      </c>
    </row>
    <row r="103">
      <c r="A103" t="inlineStr">
        <is>
          <t>Business</t>
        </is>
      </c>
      <c r="B103" t="inlineStr">
        <is>
          <t>Business</t>
        </is>
      </c>
      <c r="C103" t="inlineStr">
        <is>
          <t>Business Operations</t>
        </is>
      </c>
      <c r="D103" t="inlineStr">
        <is>
          <t>Tax</t>
        </is>
      </c>
      <c r="E103" t="inlineStr">
        <is>
          <t>Expense</t>
        </is>
      </c>
      <c r="F103" t="inlineStr">
        <is>
          <t>CONFIRM_FROM_FIGMA</t>
        </is>
      </c>
      <c r="G103" t="inlineStr">
        <is>
          <t>169:487</t>
        </is>
      </c>
      <c r="H103" t="n">
        <v>366</v>
      </c>
      <c r="I103" t="inlineStr">
        <is>
          <t>Representative label; replace with exact UI text if different.</t>
        </is>
      </c>
    </row>
  </sheetData>
  <autoFilter ref="A1:I1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5" customWidth="1" min="4" max="4"/>
    <col width="15" customWidth="1" min="5" max="5"/>
  </cols>
  <sheetData>
    <row r="1" ht="30" customHeight="1">
      <c r="A1" s="4" t="inlineStr">
        <is>
          <t>Context</t>
        </is>
      </c>
      <c r="B1" s="4" t="inlineStr">
        <is>
          <t>Member_ID</t>
        </is>
      </c>
      <c r="C1" s="4" t="inlineStr">
        <is>
          <t>Display_Name</t>
        </is>
      </c>
      <c r="D1" s="4" t="inlineStr">
        <is>
          <t>Role</t>
        </is>
      </c>
      <c r="E1" s="4" t="inlineStr">
        <is>
          <t>Use_In_Test</t>
        </is>
      </c>
    </row>
    <row r="2">
      <c r="A2" t="inlineStr">
        <is>
          <t>Personal</t>
        </is>
      </c>
      <c r="B2" t="inlineStr">
        <is>
          <t>IOS-MEM-01</t>
        </is>
      </c>
      <c r="C2" t="inlineStr">
        <is>
          <t>IOS Santosh</t>
        </is>
      </c>
      <c r="D2" t="inlineStr">
        <is>
          <t>OWNER</t>
        </is>
      </c>
      <c r="E2" t="inlineStr">
        <is>
          <t>YES</t>
        </is>
      </c>
    </row>
    <row r="3">
      <c r="A3" t="inlineStr">
        <is>
          <t>Group</t>
        </is>
      </c>
      <c r="B3" t="inlineStr">
        <is>
          <t>IOS-MEM-02</t>
        </is>
      </c>
      <c r="C3" t="inlineStr">
        <is>
          <t>IOS Santosh</t>
        </is>
      </c>
      <c r="D3" t="inlineStr">
        <is>
          <t>OWNER</t>
        </is>
      </c>
      <c r="E3" t="inlineStr">
        <is>
          <t>YES</t>
        </is>
      </c>
    </row>
    <row r="4">
      <c r="A4" t="inlineStr">
        <is>
          <t>Group</t>
        </is>
      </c>
      <c r="B4" t="inlineStr">
        <is>
          <t>IOS-MEM-03</t>
        </is>
      </c>
      <c r="C4" t="inlineStr">
        <is>
          <t>IOS Aarav</t>
        </is>
      </c>
      <c r="D4" t="inlineStr">
        <is>
          <t>MEMBER</t>
        </is>
      </c>
      <c r="E4" t="inlineStr">
        <is>
          <t>YES</t>
        </is>
      </c>
    </row>
    <row r="5">
      <c r="A5" t="inlineStr">
        <is>
          <t>Group</t>
        </is>
      </c>
      <c r="B5" t="inlineStr">
        <is>
          <t>IOS-MEM-04</t>
        </is>
      </c>
      <c r="C5" t="inlineStr">
        <is>
          <t>IOS Meera</t>
        </is>
      </c>
      <c r="D5" t="inlineStr">
        <is>
          <t>MEMBER</t>
        </is>
      </c>
      <c r="E5" t="inlineStr">
        <is>
          <t>YES</t>
        </is>
      </c>
    </row>
    <row r="6">
      <c r="A6" t="inlineStr">
        <is>
          <t>Group</t>
        </is>
      </c>
      <c r="B6" t="inlineStr">
        <is>
          <t>IOS-MEM-05</t>
        </is>
      </c>
      <c r="C6" t="inlineStr">
        <is>
          <t>IOS Rohan</t>
        </is>
      </c>
      <c r="D6" t="inlineStr">
        <is>
          <t>MEMBER</t>
        </is>
      </c>
      <c r="E6" t="inlineStr">
        <is>
          <t>YES</t>
        </is>
      </c>
    </row>
    <row r="7">
      <c r="A7" t="inlineStr">
        <is>
          <t>Group</t>
        </is>
      </c>
      <c r="B7" t="inlineStr">
        <is>
          <t>IOS-MEM-06</t>
        </is>
      </c>
      <c r="C7" t="inlineStr">
        <is>
          <t>IOS Isha</t>
        </is>
      </c>
      <c r="D7" t="inlineStr">
        <is>
          <t>MEMBER</t>
        </is>
      </c>
      <c r="E7" t="inlineStr">
        <is>
          <t>YES</t>
        </is>
      </c>
    </row>
    <row r="8">
      <c r="A8" t="inlineStr">
        <is>
          <t>Group</t>
        </is>
      </c>
      <c r="B8" t="inlineStr">
        <is>
          <t>IOS-MEM-07</t>
        </is>
      </c>
      <c r="C8" t="inlineStr">
        <is>
          <t>IOS Vikram</t>
        </is>
      </c>
      <c r="D8" t="inlineStr">
        <is>
          <t>MEMBER</t>
        </is>
      </c>
      <c r="E8" t="inlineStr">
        <is>
          <t>YES</t>
        </is>
      </c>
    </row>
    <row r="9">
      <c r="A9" t="inlineStr">
        <is>
          <t>Business</t>
        </is>
      </c>
      <c r="B9" t="inlineStr">
        <is>
          <t>IOS-MEM-08</t>
        </is>
      </c>
      <c r="C9" t="inlineStr">
        <is>
          <t>IOS Santosh</t>
        </is>
      </c>
      <c r="D9" t="inlineStr">
        <is>
          <t>OWNER</t>
        </is>
      </c>
      <c r="E9" t="inlineStr">
        <is>
          <t>YES</t>
        </is>
      </c>
    </row>
    <row r="10">
      <c r="A10" t="inlineStr">
        <is>
          <t>Business</t>
        </is>
      </c>
      <c r="B10" t="inlineStr">
        <is>
          <t>IOS-MEM-09</t>
        </is>
      </c>
      <c r="C10" t="inlineStr">
        <is>
          <t>IOS Ops Admin</t>
        </is>
      </c>
      <c r="D10" t="inlineStr">
        <is>
          <t>ADMIN</t>
        </is>
      </c>
      <c r="E10" t="inlineStr">
        <is>
          <t>YES</t>
        </is>
      </c>
    </row>
    <row r="11">
      <c r="A11" t="inlineStr">
        <is>
          <t>Business</t>
        </is>
      </c>
      <c r="B11" t="inlineStr">
        <is>
          <t>IOS-MEM-10</t>
        </is>
      </c>
      <c r="C11" t="inlineStr">
        <is>
          <t>IOS Finance Lead</t>
        </is>
      </c>
      <c r="D11" t="inlineStr">
        <is>
          <t>ADMIN</t>
        </is>
      </c>
      <c r="E11" t="inlineStr">
        <is>
          <t>YES</t>
        </is>
      </c>
    </row>
    <row r="12">
      <c r="A12" t="inlineStr">
        <is>
          <t>Business</t>
        </is>
      </c>
      <c r="B12" t="inlineStr">
        <is>
          <t>IOS-MEM-11</t>
        </is>
      </c>
      <c r="C12" t="inlineStr">
        <is>
          <t>IOS Team Member</t>
        </is>
      </c>
      <c r="D12" t="inlineStr">
        <is>
          <t>MEMBER</t>
        </is>
      </c>
      <c r="E1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22" customWidth="1" min="5" max="5"/>
    <col width="22" customWidth="1" min="6" max="6"/>
    <col width="17" customWidth="1" min="7" max="7"/>
    <col width="13" customWidth="1" min="8" max="8"/>
    <col width="12" customWidth="1" min="9" max="9"/>
    <col width="21" customWidth="1" min="10" max="10"/>
    <col width="15" customWidth="1" min="11" max="11"/>
    <col width="10" customWidth="1" min="12" max="12"/>
    <col width="22" customWidth="1" min="13" max="13"/>
    <col width="18" customWidth="1" min="14" max="14"/>
    <col width="17" customWidth="1" min="15" max="15"/>
    <col width="16" customWidth="1" min="16" max="16"/>
    <col width="38" customWidth="1" min="17" max="17"/>
    <col width="15" customWidth="1" min="18" max="18"/>
    <col width="12" customWidth="1" min="19" max="19"/>
    <col width="22" customWidth="1" min="20" max="20"/>
    <col width="17" customWidth="1" min="21" max="21"/>
    <col width="27" customWidth="1" min="22" max="22"/>
  </cols>
  <sheetData>
    <row r="1" ht="30" customHeight="1">
      <c r="A1" s="4" t="inlineStr">
        <is>
          <t>Sequence</t>
        </is>
      </c>
      <c r="B1" s="4" t="inlineStr">
        <is>
          <t>Txn_ID</t>
        </is>
      </c>
      <c r="C1" s="4" t="inlineStr">
        <is>
          <t>Mode</t>
        </is>
      </c>
      <c r="D1" s="4" t="inlineStr">
        <is>
          <t>Family</t>
        </is>
      </c>
      <c r="E1" s="4" t="inlineStr">
        <is>
          <t>Moment</t>
        </is>
      </c>
      <c r="F1" s="4" t="inlineStr">
        <is>
          <t>Quick_Add</t>
        </is>
      </c>
      <c r="G1" s="4" t="inlineStr">
        <is>
          <t>Semantic_Type</t>
        </is>
      </c>
      <c r="H1" s="4" t="inlineStr">
        <is>
          <t>Txn_Date</t>
        </is>
      </c>
      <c r="I1" s="4" t="inlineStr">
        <is>
          <t>Txn_Time</t>
        </is>
      </c>
      <c r="J1" s="4" t="inlineStr">
        <is>
          <t>Timestamp</t>
        </is>
      </c>
      <c r="K1" s="4" t="inlineStr">
        <is>
          <t>Amount</t>
        </is>
      </c>
      <c r="L1" s="4" t="inlineStr">
        <is>
          <t>Currency</t>
        </is>
      </c>
      <c r="M1" s="4" t="inlineStr">
        <is>
          <t>Expected_Signed_Amount</t>
        </is>
      </c>
      <c r="N1" s="4" t="inlineStr">
        <is>
          <t>Paid_By</t>
        </is>
      </c>
      <c r="O1" s="4" t="inlineStr">
        <is>
          <t>Participant_Count</t>
        </is>
      </c>
      <c r="P1" s="4" t="inlineStr">
        <is>
          <t>Split_Method</t>
        </is>
      </c>
      <c r="Q1" s="4" t="inlineStr">
        <is>
          <t>Description</t>
        </is>
      </c>
      <c r="R1" s="4" t="inlineStr">
        <is>
          <t>Device_Target</t>
        </is>
      </c>
      <c r="S1" s="4" t="inlineStr">
        <is>
          <t>Run_Batch</t>
        </is>
      </c>
      <c r="T1" s="4" t="inlineStr">
        <is>
          <t>Backend_Load_Band</t>
        </is>
      </c>
      <c r="U1" s="4" t="inlineStr">
        <is>
          <t>Expected_Status</t>
        </is>
      </c>
      <c r="V1" s="4" t="inlineStr">
        <is>
          <t>Idempotency_Key</t>
        </is>
      </c>
    </row>
    <row r="2" ht="30" customHeight="1">
      <c r="A2" s="4" t="n">
        <v>1</v>
      </c>
      <c r="B2" s="4" t="inlineStr">
        <is>
          <t>MTR-IOS-0001</t>
        </is>
      </c>
      <c r="C2" s="4" t="inlineStr">
        <is>
          <t>Personal</t>
        </is>
      </c>
      <c r="D2" s="4" t="inlineStr">
        <is>
          <t>Personal</t>
        </is>
      </c>
      <c r="E2" s="4" t="inlineStr">
        <is>
          <t>Life Operations</t>
        </is>
      </c>
      <c r="F2" s="4" t="inlineStr">
        <is>
          <t>Groceries</t>
        </is>
      </c>
      <c r="G2" s="4" t="inlineStr">
        <is>
          <t>Expense</t>
        </is>
      </c>
      <c r="H2" s="12" t="n">
        <v>46042</v>
      </c>
      <c r="I2" s="13" t="n">
        <v>0.2365046296296296</v>
      </c>
      <c r="J2" s="14" t="n">
        <v>46042.23650462963</v>
      </c>
      <c r="K2" s="15" t="n">
        <v>14066.5</v>
      </c>
      <c r="L2" s="4" t="inlineStr">
        <is>
          <t>INR</t>
        </is>
      </c>
      <c r="M2" s="15" t="n">
        <v>-14066.5</v>
      </c>
      <c r="N2" s="4" t="inlineStr">
        <is>
          <t>IOS Owner</t>
        </is>
      </c>
      <c r="O2" s="4" t="n"/>
      <c r="P2" s="4" t="n"/>
      <c r="Q2" s="4" t="inlineStr">
        <is>
          <t>MAESTRO-IOS-PERSONAL-LIFE_OPERATIONS-0001 | Groceries | 14066.50</t>
        </is>
      </c>
      <c r="R2" s="4" t="inlineStr">
        <is>
          <t>iPhone</t>
        </is>
      </c>
      <c r="S2" s="4" t="inlineStr">
        <is>
          <t>B01</t>
        </is>
      </c>
      <c r="T2" s="4" t="inlineStr">
        <is>
          <t>BASELINE_1_500</t>
        </is>
      </c>
      <c r="U2" s="4" t="inlineStr">
        <is>
          <t>CREATED</t>
        </is>
      </c>
      <c r="V2" s="4" t="inlineStr">
        <is>
          <t>idem-20260902-ios-0001</t>
        </is>
      </c>
    </row>
    <row r="3" ht="30" customHeight="1">
      <c r="A3" s="4" t="n">
        <v>2</v>
      </c>
      <c r="B3" s="4" t="inlineStr">
        <is>
          <t>MTR-IOS-0002</t>
        </is>
      </c>
      <c r="C3" s="4" t="inlineStr">
        <is>
          <t>Group</t>
        </is>
      </c>
      <c r="D3" s="4" t="inlineStr">
        <is>
          <t>Shared Experience</t>
        </is>
      </c>
      <c r="E3" s="4" t="inlineStr">
        <is>
          <t>Trip</t>
        </is>
      </c>
      <c r="F3" s="4" t="inlineStr">
        <is>
          <t>Travel</t>
        </is>
      </c>
      <c r="G3" s="4" t="inlineStr">
        <is>
          <t>Expense</t>
        </is>
      </c>
      <c r="H3" s="12" t="n">
        <v>46023</v>
      </c>
      <c r="I3" s="13" t="n">
        <v>0.7315856481481482</v>
      </c>
      <c r="J3" s="14" t="n">
        <v>46023.73158564815</v>
      </c>
      <c r="K3" s="15" t="n">
        <v>26868.32</v>
      </c>
      <c r="L3" s="4" t="inlineStr">
        <is>
          <t>INR</t>
        </is>
      </c>
      <c r="M3" s="15" t="n">
        <v>-26868.32</v>
      </c>
      <c r="N3" s="4" t="inlineStr">
        <is>
          <t>IOS Owner</t>
        </is>
      </c>
      <c r="O3" s="4" t="n">
        <v>3</v>
      </c>
      <c r="P3" s="4" t="inlineStr">
        <is>
          <t>EQUAL</t>
        </is>
      </c>
      <c r="Q3" s="4" t="inlineStr">
        <is>
          <t>MAESTRO-IOS-GROUP-TRIP-0002 | Travel | 26868.32</t>
        </is>
      </c>
      <c r="R3" s="4" t="inlineStr">
        <is>
          <t>iPhone</t>
        </is>
      </c>
      <c r="S3" s="4" t="inlineStr">
        <is>
          <t>B01</t>
        </is>
      </c>
      <c r="T3" s="4" t="inlineStr">
        <is>
          <t>BASELINE_1_500</t>
        </is>
      </c>
      <c r="U3" s="4" t="inlineStr">
        <is>
          <t>CREATED</t>
        </is>
      </c>
      <c r="V3" s="4" t="inlineStr">
        <is>
          <t>idem-20260902-ios-0002</t>
        </is>
      </c>
    </row>
    <row r="4" ht="30" customHeight="1">
      <c r="A4" s="4" t="n">
        <v>3</v>
      </c>
      <c r="B4" s="4" t="inlineStr">
        <is>
          <t>MTR-IOS-0003</t>
        </is>
      </c>
      <c r="C4" s="4" t="inlineStr">
        <is>
          <t>Business</t>
        </is>
      </c>
      <c r="D4" s="4" t="inlineStr">
        <is>
          <t>Business</t>
        </is>
      </c>
      <c r="E4" s="4" t="inlineStr">
        <is>
          <t>Team Operations</t>
        </is>
      </c>
      <c r="F4" s="4" t="inlineStr">
        <is>
          <t>Payroll</t>
        </is>
      </c>
      <c r="G4" s="4" t="inlineStr">
        <is>
          <t>Expense</t>
        </is>
      </c>
      <c r="H4" s="12" t="n">
        <v>46131</v>
      </c>
      <c r="I4" s="13" t="n">
        <v>0.5060416666666666</v>
      </c>
      <c r="J4" s="14" t="n">
        <v>46131.50604166667</v>
      </c>
      <c r="K4" s="15" t="n">
        <v>57453.63</v>
      </c>
      <c r="L4" s="4" t="inlineStr">
        <is>
          <t>INR</t>
        </is>
      </c>
      <c r="M4" s="15" t="n">
        <v>-57453.63</v>
      </c>
      <c r="N4" s="4" t="inlineStr">
        <is>
          <t>IOS Owner</t>
        </is>
      </c>
      <c r="O4" s="4" t="n"/>
      <c r="P4" s="4" t="n"/>
      <c r="Q4" s="4" t="inlineStr">
        <is>
          <t>MAESTRO-IOS-BUSINESS-TEAM_OPERATIONS-0003 | Payroll | 57453.63</t>
        </is>
      </c>
      <c r="R4" s="4" t="inlineStr">
        <is>
          <t>iPhone</t>
        </is>
      </c>
      <c r="S4" s="4" t="inlineStr">
        <is>
          <t>B01</t>
        </is>
      </c>
      <c r="T4" s="4" t="inlineStr">
        <is>
          <t>BASELINE_1_500</t>
        </is>
      </c>
      <c r="U4" s="4" t="inlineStr">
        <is>
          <t>CREATED</t>
        </is>
      </c>
      <c r="V4" s="4" t="inlineStr">
        <is>
          <t>idem-20260902-ios-0003</t>
        </is>
      </c>
    </row>
    <row r="5" ht="30" customHeight="1">
      <c r="A5" s="4" t="n">
        <v>4</v>
      </c>
      <c r="B5" s="4" t="inlineStr">
        <is>
          <t>MTR-IOS-0004</t>
        </is>
      </c>
      <c r="C5" s="4" t="inlineStr">
        <is>
          <t>Personal</t>
        </is>
      </c>
      <c r="D5" s="4" t="inlineStr">
        <is>
          <t>Personal</t>
        </is>
      </c>
      <c r="E5" s="4" t="inlineStr">
        <is>
          <t>Life Operations</t>
        </is>
      </c>
      <c r="F5" s="4" t="inlineStr">
        <is>
          <t>Rent</t>
        </is>
      </c>
      <c r="G5" s="4" t="inlineStr">
        <is>
          <t>Expense</t>
        </is>
      </c>
      <c r="H5" s="12" t="n">
        <v>46167</v>
      </c>
      <c r="I5" s="13" t="n">
        <v>0.1881597222222222</v>
      </c>
      <c r="J5" s="14" t="n">
        <v>46167.18815972222</v>
      </c>
      <c r="K5" s="15" t="n">
        <v>2414.9</v>
      </c>
      <c r="L5" s="4" t="inlineStr">
        <is>
          <t>INR</t>
        </is>
      </c>
      <c r="M5" s="15" t="n">
        <v>-2414.9</v>
      </c>
      <c r="N5" s="4" t="inlineStr">
        <is>
          <t>IOS Owner</t>
        </is>
      </c>
      <c r="O5" s="4" t="n"/>
      <c r="P5" s="4" t="n"/>
      <c r="Q5" s="4" t="inlineStr">
        <is>
          <t>MAESTRO-IOS-PERSONAL-LIFE_OPERATIONS-0004 | Rent | 2414.90</t>
        </is>
      </c>
      <c r="R5" s="4" t="inlineStr">
        <is>
          <t>iPhone</t>
        </is>
      </c>
      <c r="S5" s="4" t="inlineStr">
        <is>
          <t>B01</t>
        </is>
      </c>
      <c r="T5" s="4" t="inlineStr">
        <is>
          <t>BASELINE_1_500</t>
        </is>
      </c>
      <c r="U5" s="4" t="inlineStr">
        <is>
          <t>CREATED</t>
        </is>
      </c>
      <c r="V5" s="4" t="inlineStr">
        <is>
          <t>idem-20260902-ios-0004</t>
        </is>
      </c>
    </row>
    <row r="6" ht="30" customHeight="1">
      <c r="A6" s="4" t="n">
        <v>5</v>
      </c>
      <c r="B6" s="4" t="inlineStr">
        <is>
          <t>MTR-IOS-0005</t>
        </is>
      </c>
      <c r="C6" s="4" t="inlineStr">
        <is>
          <t>Group</t>
        </is>
      </c>
      <c r="D6" s="4" t="inlineStr">
        <is>
          <t>Shared Experience</t>
        </is>
      </c>
      <c r="E6" s="4" t="inlineStr">
        <is>
          <t>Trip</t>
        </is>
      </c>
      <c r="F6" s="4" t="inlineStr">
        <is>
          <t>Stay</t>
        </is>
      </c>
      <c r="G6" s="4" t="inlineStr">
        <is>
          <t>Expense</t>
        </is>
      </c>
      <c r="H6" s="12" t="n">
        <v>46231</v>
      </c>
      <c r="I6" s="13" t="n">
        <v>0.3446990740740741</v>
      </c>
      <c r="J6" s="14" t="n">
        <v>46231.34469907408</v>
      </c>
      <c r="K6" s="15" t="n">
        <v>18351.21</v>
      </c>
      <c r="L6" s="4" t="inlineStr">
        <is>
          <t>INR</t>
        </is>
      </c>
      <c r="M6" s="15" t="n">
        <v>-18351.21</v>
      </c>
      <c r="N6" s="4" t="inlineStr">
        <is>
          <t>IOS Aarav</t>
        </is>
      </c>
      <c r="O6" s="4" t="n">
        <v>3</v>
      </c>
      <c r="P6" s="4" t="inlineStr">
        <is>
          <t>PERCENTAGE</t>
        </is>
      </c>
      <c r="Q6" s="4" t="inlineStr">
        <is>
          <t>MAESTRO-IOS-GROUP-TRIP-0005 | Stay | 18351.21</t>
        </is>
      </c>
      <c r="R6" s="4" t="inlineStr">
        <is>
          <t>iPhone</t>
        </is>
      </c>
      <c r="S6" s="4" t="inlineStr">
        <is>
          <t>B01</t>
        </is>
      </c>
      <c r="T6" s="4" t="inlineStr">
        <is>
          <t>BASELINE_1_500</t>
        </is>
      </c>
      <c r="U6" s="4" t="inlineStr">
        <is>
          <t>CREATED</t>
        </is>
      </c>
      <c r="V6" s="4" t="inlineStr">
        <is>
          <t>idem-20260902-ios-0005</t>
        </is>
      </c>
    </row>
    <row r="7" ht="30" customHeight="1">
      <c r="A7" s="4" t="n">
        <v>6</v>
      </c>
      <c r="B7" s="4" t="inlineStr">
        <is>
          <t>MTR-IOS-0006</t>
        </is>
      </c>
      <c r="C7" s="4" t="inlineStr">
        <is>
          <t>Business</t>
        </is>
      </c>
      <c r="D7" s="4" t="inlineStr">
        <is>
          <t>Business</t>
        </is>
      </c>
      <c r="E7" s="4" t="inlineStr">
        <is>
          <t>Team Operations</t>
        </is>
      </c>
      <c r="F7" s="4" t="inlineStr">
        <is>
          <t>Contractor</t>
        </is>
      </c>
      <c r="G7" s="4" t="inlineStr">
        <is>
          <t>Expense</t>
        </is>
      </c>
      <c r="H7" s="12" t="n">
        <v>45913</v>
      </c>
      <c r="I7" s="13" t="n">
        <v>0.4131365740740741</v>
      </c>
      <c r="J7" s="14" t="n">
        <v>45913.41313657408</v>
      </c>
      <c r="K7" s="15" t="n">
        <v>109737.08</v>
      </c>
      <c r="L7" s="4" t="inlineStr">
        <is>
          <t>INR</t>
        </is>
      </c>
      <c r="M7" s="15" t="n">
        <v>-109737.08</v>
      </c>
      <c r="N7" s="4" t="inlineStr">
        <is>
          <t>IOS Owner</t>
        </is>
      </c>
      <c r="O7" s="4" t="n"/>
      <c r="P7" s="4" t="n"/>
      <c r="Q7" s="4" t="inlineStr">
        <is>
          <t>MAESTRO-IOS-BUSINESS-TEAM_OPERATIONS-0006 | Contractor | 109737.08</t>
        </is>
      </c>
      <c r="R7" s="4" t="inlineStr">
        <is>
          <t>iPhone</t>
        </is>
      </c>
      <c r="S7" s="4" t="inlineStr">
        <is>
          <t>B01</t>
        </is>
      </c>
      <c r="T7" s="4" t="inlineStr">
        <is>
          <t>BASELINE_1_500</t>
        </is>
      </c>
      <c r="U7" s="4" t="inlineStr">
        <is>
          <t>CREATED</t>
        </is>
      </c>
      <c r="V7" s="4" t="inlineStr">
        <is>
          <t>idem-20260902-ios-0006</t>
        </is>
      </c>
    </row>
    <row r="8" ht="30" customHeight="1">
      <c r="A8" s="4" t="n">
        <v>7</v>
      </c>
      <c r="B8" s="4" t="inlineStr">
        <is>
          <t>MTR-IOS-0007</t>
        </is>
      </c>
      <c r="C8" s="4" t="inlineStr">
        <is>
          <t>Personal</t>
        </is>
      </c>
      <c r="D8" s="4" t="inlineStr">
        <is>
          <t>Personal</t>
        </is>
      </c>
      <c r="E8" s="4" t="inlineStr">
        <is>
          <t>Life Operations</t>
        </is>
      </c>
      <c r="F8" s="4" t="inlineStr">
        <is>
          <t>Bills</t>
        </is>
      </c>
      <c r="G8" s="4" t="inlineStr">
        <is>
          <t>Expense</t>
        </is>
      </c>
      <c r="H8" s="12" t="n">
        <v>46044</v>
      </c>
      <c r="I8" s="13" t="n">
        <v>0.1009490740740741</v>
      </c>
      <c r="J8" s="14" t="n">
        <v>46044.10094907408</v>
      </c>
      <c r="K8" s="15" t="n">
        <v>7285.65</v>
      </c>
      <c r="L8" s="4" t="inlineStr">
        <is>
          <t>INR</t>
        </is>
      </c>
      <c r="M8" s="15" t="n">
        <v>-7285.65</v>
      </c>
      <c r="N8" s="4" t="inlineStr">
        <is>
          <t>IOS Owner</t>
        </is>
      </c>
      <c r="O8" s="4" t="n"/>
      <c r="P8" s="4" t="n"/>
      <c r="Q8" s="4" t="inlineStr">
        <is>
          <t>MAESTRO-IOS-PERSONAL-LIFE_OPERATIONS-0007 | Bills | 7285.65</t>
        </is>
      </c>
      <c r="R8" s="4" t="inlineStr">
        <is>
          <t>iPhone</t>
        </is>
      </c>
      <c r="S8" s="4" t="inlineStr">
        <is>
          <t>B01</t>
        </is>
      </c>
      <c r="T8" s="4" t="inlineStr">
        <is>
          <t>BASELINE_1_500</t>
        </is>
      </c>
      <c r="U8" s="4" t="inlineStr">
        <is>
          <t>CREATED</t>
        </is>
      </c>
      <c r="V8" s="4" t="inlineStr">
        <is>
          <t>idem-20260902-ios-0007</t>
        </is>
      </c>
    </row>
    <row r="9" ht="30" customHeight="1">
      <c r="A9" s="4" t="n">
        <v>8</v>
      </c>
      <c r="B9" s="4" t="inlineStr">
        <is>
          <t>MTR-IOS-0008</t>
        </is>
      </c>
      <c r="C9" s="4" t="inlineStr">
        <is>
          <t>Group</t>
        </is>
      </c>
      <c r="D9" s="4" t="inlineStr">
        <is>
          <t>Shared Experience</t>
        </is>
      </c>
      <c r="E9" s="4" t="inlineStr">
        <is>
          <t>Trip</t>
        </is>
      </c>
      <c r="F9" s="4" t="inlineStr">
        <is>
          <t>Food</t>
        </is>
      </c>
      <c r="G9" s="4" t="inlineStr">
        <is>
          <t>Expense</t>
        </is>
      </c>
      <c r="H9" s="12" t="n">
        <v>45963</v>
      </c>
      <c r="I9" s="13" t="n">
        <v>0.3988078703703704</v>
      </c>
      <c r="J9" s="14" t="n">
        <v>45963.39880787037</v>
      </c>
      <c r="K9" s="15" t="n">
        <v>25422.15</v>
      </c>
      <c r="L9" s="4" t="inlineStr">
        <is>
          <t>INR</t>
        </is>
      </c>
      <c r="M9" s="15" t="n">
        <v>-25422.15</v>
      </c>
      <c r="N9" s="4" t="inlineStr">
        <is>
          <t>IOS Meera</t>
        </is>
      </c>
      <c r="O9" s="4" t="n">
        <v>3</v>
      </c>
      <c r="P9" s="4" t="inlineStr">
        <is>
          <t>EXACT</t>
        </is>
      </c>
      <c r="Q9" s="4" t="inlineStr">
        <is>
          <t>MAESTRO-IOS-GROUP-TRIP-0008 | Food | 25422.15</t>
        </is>
      </c>
      <c r="R9" s="4" t="inlineStr">
        <is>
          <t>iPhone</t>
        </is>
      </c>
      <c r="S9" s="4" t="inlineStr">
        <is>
          <t>B01</t>
        </is>
      </c>
      <c r="T9" s="4" t="inlineStr">
        <is>
          <t>BASELINE_1_500</t>
        </is>
      </c>
      <c r="U9" s="4" t="inlineStr">
        <is>
          <t>CREATED</t>
        </is>
      </c>
      <c r="V9" s="4" t="inlineStr">
        <is>
          <t>idem-20260902-ios-0008</t>
        </is>
      </c>
    </row>
    <row r="10" ht="30" customHeight="1">
      <c r="A10" s="4" t="n">
        <v>9</v>
      </c>
      <c r="B10" s="4" t="inlineStr">
        <is>
          <t>MTR-IOS-0009</t>
        </is>
      </c>
      <c r="C10" s="4" t="inlineStr">
        <is>
          <t>Business</t>
        </is>
      </c>
      <c r="D10" s="4" t="inlineStr">
        <is>
          <t>Business</t>
        </is>
      </c>
      <c r="E10" s="4" t="inlineStr">
        <is>
          <t>Team Operations</t>
        </is>
      </c>
      <c r="F10" s="4" t="inlineStr">
        <is>
          <t>Hiring</t>
        </is>
      </c>
      <c r="G10" s="4" t="inlineStr">
        <is>
          <t>Expense</t>
        </is>
      </c>
      <c r="H10" s="12" t="n">
        <v>45990</v>
      </c>
      <c r="I10" s="13" t="n">
        <v>0.351724537037037</v>
      </c>
      <c r="J10" s="14" t="n">
        <v>45990.35172453704</v>
      </c>
      <c r="K10" s="15" t="n">
        <v>142974.65</v>
      </c>
      <c r="L10" s="4" t="inlineStr">
        <is>
          <t>INR</t>
        </is>
      </c>
      <c r="M10" s="15" t="n">
        <v>-142974.65</v>
      </c>
      <c r="N10" s="4" t="inlineStr">
        <is>
          <t>IOS Owner</t>
        </is>
      </c>
      <c r="O10" s="4" t="n"/>
      <c r="P10" s="4" t="n"/>
      <c r="Q10" s="4" t="inlineStr">
        <is>
          <t>MAESTRO-IOS-BUSINESS-TEAM_OPERATIONS-0009 | Hiring | 142974.65</t>
        </is>
      </c>
      <c r="R10" s="4" t="inlineStr">
        <is>
          <t>iPhone</t>
        </is>
      </c>
      <c r="S10" s="4" t="inlineStr">
        <is>
          <t>B01</t>
        </is>
      </c>
      <c r="T10" s="4" t="inlineStr">
        <is>
          <t>BASELINE_1_500</t>
        </is>
      </c>
      <c r="U10" s="4" t="inlineStr">
        <is>
          <t>CREATED</t>
        </is>
      </c>
      <c r="V10" s="4" t="inlineStr">
        <is>
          <t>idem-20260902-ios-0009</t>
        </is>
      </c>
    </row>
    <row r="11" ht="30" customHeight="1">
      <c r="A11" s="4" t="n">
        <v>10</v>
      </c>
      <c r="B11" s="4" t="inlineStr">
        <is>
          <t>MTR-IOS-0010</t>
        </is>
      </c>
      <c r="C11" s="4" t="inlineStr">
        <is>
          <t>Personal</t>
        </is>
      </c>
      <c r="D11" s="4" t="inlineStr">
        <is>
          <t>Personal</t>
        </is>
      </c>
      <c r="E11" s="4" t="inlineStr">
        <is>
          <t>Life Operations</t>
        </is>
      </c>
      <c r="F11" s="4" t="inlineStr">
        <is>
          <t>Transport</t>
        </is>
      </c>
      <c r="G11" s="4" t="inlineStr">
        <is>
          <t>Expense</t>
        </is>
      </c>
      <c r="H11" s="12" t="n">
        <v>45975</v>
      </c>
      <c r="I11" s="13" t="n">
        <v>0.913125</v>
      </c>
      <c r="J11" s="14" t="n">
        <v>45975.913125</v>
      </c>
      <c r="K11" s="15" t="n">
        <v>13838.38</v>
      </c>
      <c r="L11" s="4" t="inlineStr">
        <is>
          <t>INR</t>
        </is>
      </c>
      <c r="M11" s="15" t="n">
        <v>-13838.38</v>
      </c>
      <c r="N11" s="4" t="inlineStr">
        <is>
          <t>IOS Owner</t>
        </is>
      </c>
      <c r="O11" s="4" t="n"/>
      <c r="P11" s="4" t="n"/>
      <c r="Q11" s="4" t="inlineStr">
        <is>
          <t>MAESTRO-IOS-PERSONAL-LIFE_OPERATIONS-0010 | Transport | 13838.38</t>
        </is>
      </c>
      <c r="R11" s="4" t="inlineStr">
        <is>
          <t>iPhone</t>
        </is>
      </c>
      <c r="S11" s="4" t="inlineStr">
        <is>
          <t>B01</t>
        </is>
      </c>
      <c r="T11" s="4" t="inlineStr">
        <is>
          <t>BASELINE_1_500</t>
        </is>
      </c>
      <c r="U11" s="4" t="inlineStr">
        <is>
          <t>CREATED</t>
        </is>
      </c>
      <c r="V11" s="4" t="inlineStr">
        <is>
          <t>idem-20260902-ios-0010</t>
        </is>
      </c>
    </row>
    <row r="12" ht="30" customHeight="1">
      <c r="A12" s="4" t="n">
        <v>11</v>
      </c>
      <c r="B12" s="4" t="inlineStr">
        <is>
          <t>MTR-IOS-0011</t>
        </is>
      </c>
      <c r="C12" s="4" t="inlineStr">
        <is>
          <t>Group</t>
        </is>
      </c>
      <c r="D12" s="4" t="inlineStr">
        <is>
          <t>Shared Experience</t>
        </is>
      </c>
      <c r="E12" s="4" t="inlineStr">
        <is>
          <t>Trip</t>
        </is>
      </c>
      <c r="F12" s="4" t="inlineStr">
        <is>
          <t>Local Transport</t>
        </is>
      </c>
      <c r="G12" s="4" t="inlineStr">
        <is>
          <t>Expense</t>
        </is>
      </c>
      <c r="H12" s="12" t="n">
        <v>46193</v>
      </c>
      <c r="I12" s="13" t="n">
        <v>0.05348379629629629</v>
      </c>
      <c r="J12" s="14" t="n">
        <v>46193.0534837963</v>
      </c>
      <c r="K12" s="15" t="n">
        <v>20814.45</v>
      </c>
      <c r="L12" s="4" t="inlineStr">
        <is>
          <t>INR</t>
        </is>
      </c>
      <c r="M12" s="15" t="n">
        <v>-20814.45</v>
      </c>
      <c r="N12" s="4" t="inlineStr">
        <is>
          <t>IOS Owner</t>
        </is>
      </c>
      <c r="O12" s="4" t="n">
        <v>3</v>
      </c>
      <c r="P12" s="4" t="inlineStr">
        <is>
          <t>SHARES</t>
        </is>
      </c>
      <c r="Q12" s="4" t="inlineStr">
        <is>
          <t>MAESTRO-IOS-GROUP-TRIP-0011 | Local Transport | 20814.45</t>
        </is>
      </c>
      <c r="R12" s="4" t="inlineStr">
        <is>
          <t>iPhone</t>
        </is>
      </c>
      <c r="S12" s="4" t="inlineStr">
        <is>
          <t>B01</t>
        </is>
      </c>
      <c r="T12" s="4" t="inlineStr">
        <is>
          <t>BASELINE_1_500</t>
        </is>
      </c>
      <c r="U12" s="4" t="inlineStr">
        <is>
          <t>CREATED</t>
        </is>
      </c>
      <c r="V12" s="4" t="inlineStr">
        <is>
          <t>idem-20260902-ios-0011</t>
        </is>
      </c>
    </row>
    <row r="13" ht="30" customHeight="1">
      <c r="A13" s="4" t="n">
        <v>12</v>
      </c>
      <c r="B13" s="4" t="inlineStr">
        <is>
          <t>MTR-IOS-0012</t>
        </is>
      </c>
      <c r="C13" s="4" t="inlineStr">
        <is>
          <t>Business</t>
        </is>
      </c>
      <c r="D13" s="4" t="inlineStr">
        <is>
          <t>Business</t>
        </is>
      </c>
      <c r="E13" s="4" t="inlineStr">
        <is>
          <t>Team Operations</t>
        </is>
      </c>
      <c r="F13" s="4" t="inlineStr">
        <is>
          <t>Team Meal</t>
        </is>
      </c>
      <c r="G13" s="4" t="inlineStr">
        <is>
          <t>Expense</t>
        </is>
      </c>
      <c r="H13" s="12" t="n">
        <v>45972</v>
      </c>
      <c r="I13" s="13" t="n">
        <v>0.7221643518518519</v>
      </c>
      <c r="J13" s="14" t="n">
        <v>45972.72216435185</v>
      </c>
      <c r="K13" s="15" t="n">
        <v>153816.21</v>
      </c>
      <c r="L13" s="4" t="inlineStr">
        <is>
          <t>INR</t>
        </is>
      </c>
      <c r="M13" s="15" t="n">
        <v>-153816.21</v>
      </c>
      <c r="N13" s="4" t="inlineStr">
        <is>
          <t>IOS Owner</t>
        </is>
      </c>
      <c r="O13" s="4" t="n"/>
      <c r="P13" s="4" t="n"/>
      <c r="Q13" s="4" t="inlineStr">
        <is>
          <t>MAESTRO-IOS-BUSINESS-TEAM_OPERATIONS-0012 | Team Meal | 153816.21</t>
        </is>
      </c>
      <c r="R13" s="4" t="inlineStr">
        <is>
          <t>iPhone</t>
        </is>
      </c>
      <c r="S13" s="4" t="inlineStr">
        <is>
          <t>B01</t>
        </is>
      </c>
      <c r="T13" s="4" t="inlineStr">
        <is>
          <t>BASELINE_1_500</t>
        </is>
      </c>
      <c r="U13" s="4" t="inlineStr">
        <is>
          <t>CREATED</t>
        </is>
      </c>
      <c r="V13" s="4" t="inlineStr">
        <is>
          <t>idem-20260902-ios-0012</t>
        </is>
      </c>
    </row>
    <row r="14" ht="30" customHeight="1">
      <c r="A14" s="4" t="n">
        <v>13</v>
      </c>
      <c r="B14" s="4" t="inlineStr">
        <is>
          <t>MTR-IOS-0013</t>
        </is>
      </c>
      <c r="C14" s="4" t="inlineStr">
        <is>
          <t>Personal</t>
        </is>
      </c>
      <c r="D14" s="4" t="inlineStr">
        <is>
          <t>Personal</t>
        </is>
      </c>
      <c r="E14" s="4" t="inlineStr">
        <is>
          <t>Life Operations</t>
        </is>
      </c>
      <c r="F14" s="4" t="inlineStr">
        <is>
          <t>Healthcare</t>
        </is>
      </c>
      <c r="G14" s="4" t="inlineStr">
        <is>
          <t>Expense</t>
        </is>
      </c>
      <c r="H14" s="12" t="n">
        <v>45970</v>
      </c>
      <c r="I14" s="13" t="n">
        <v>0.3726273148148148</v>
      </c>
      <c r="J14" s="14" t="n">
        <v>45970.37262731481</v>
      </c>
      <c r="K14" s="15" t="n">
        <v>12883.33</v>
      </c>
      <c r="L14" s="4" t="inlineStr">
        <is>
          <t>INR</t>
        </is>
      </c>
      <c r="M14" s="15" t="n">
        <v>-12883.33</v>
      </c>
      <c r="N14" s="4" t="inlineStr">
        <is>
          <t>IOS Owner</t>
        </is>
      </c>
      <c r="O14" s="4" t="n"/>
      <c r="P14" s="4" t="n"/>
      <c r="Q14" s="4" t="inlineStr">
        <is>
          <t>MAESTRO-IOS-PERSONAL-LIFE_OPERATIONS-0013 | Healthcare | 12883.33</t>
        </is>
      </c>
      <c r="R14" s="4" t="inlineStr">
        <is>
          <t>iPhone</t>
        </is>
      </c>
      <c r="S14" s="4" t="inlineStr">
        <is>
          <t>B01</t>
        </is>
      </c>
      <c r="T14" s="4" t="inlineStr">
        <is>
          <t>BASELINE_1_500</t>
        </is>
      </c>
      <c r="U14" s="4" t="inlineStr">
        <is>
          <t>CREATED</t>
        </is>
      </c>
      <c r="V14" s="4" t="inlineStr">
        <is>
          <t>idem-20260902-ios-0013</t>
        </is>
      </c>
    </row>
    <row r="15" ht="30" customHeight="1">
      <c r="A15" s="4" t="n">
        <v>14</v>
      </c>
      <c r="B15" s="4" t="inlineStr">
        <is>
          <t>MTR-IOS-0014</t>
        </is>
      </c>
      <c r="C15" s="4" t="inlineStr">
        <is>
          <t>Group</t>
        </is>
      </c>
      <c r="D15" s="4" t="inlineStr">
        <is>
          <t>Shared Experience</t>
        </is>
      </c>
      <c r="E15" s="4" t="inlineStr">
        <is>
          <t>Trip</t>
        </is>
      </c>
      <c r="F15" s="4" t="inlineStr">
        <is>
          <t>Activities</t>
        </is>
      </c>
      <c r="G15" s="4" t="inlineStr">
        <is>
          <t>Expense</t>
        </is>
      </c>
      <c r="H15" s="12" t="n">
        <v>46176</v>
      </c>
      <c r="I15" s="13" t="n">
        <v>0.03525462962962963</v>
      </c>
      <c r="J15" s="14" t="n">
        <v>46176.03525462963</v>
      </c>
      <c r="K15" s="15" t="n">
        <v>8585.780000000001</v>
      </c>
      <c r="L15" s="4" t="inlineStr">
        <is>
          <t>INR</t>
        </is>
      </c>
      <c r="M15" s="15" t="n">
        <v>-8585.780000000001</v>
      </c>
      <c r="N15" s="4" t="inlineStr">
        <is>
          <t>IOS Aarav</t>
        </is>
      </c>
      <c r="O15" s="4" t="n">
        <v>3</v>
      </c>
      <c r="P15" s="4" t="inlineStr">
        <is>
          <t>EQUAL</t>
        </is>
      </c>
      <c r="Q15" s="4" t="inlineStr">
        <is>
          <t>MAESTRO-IOS-GROUP-TRIP-0014 | Activities | 8585.78</t>
        </is>
      </c>
      <c r="R15" s="4" t="inlineStr">
        <is>
          <t>iPhone</t>
        </is>
      </c>
      <c r="S15" s="4" t="inlineStr">
        <is>
          <t>B01</t>
        </is>
      </c>
      <c r="T15" s="4" t="inlineStr">
        <is>
          <t>BASELINE_1_500</t>
        </is>
      </c>
      <c r="U15" s="4" t="inlineStr">
        <is>
          <t>CREATED</t>
        </is>
      </c>
      <c r="V15" s="4" t="inlineStr">
        <is>
          <t>idem-20260902-ios-0014</t>
        </is>
      </c>
    </row>
    <row r="16" ht="30" customHeight="1">
      <c r="A16" s="4" t="n">
        <v>15</v>
      </c>
      <c r="B16" s="4" t="inlineStr">
        <is>
          <t>MTR-IOS-0015</t>
        </is>
      </c>
      <c r="C16" s="4" t="inlineStr">
        <is>
          <t>Business</t>
        </is>
      </c>
      <c r="D16" s="4" t="inlineStr">
        <is>
          <t>Business</t>
        </is>
      </c>
      <c r="E16" s="4" t="inlineStr">
        <is>
          <t>Team Operations</t>
        </is>
      </c>
      <c r="F16" s="4" t="inlineStr">
        <is>
          <t>Travel</t>
        </is>
      </c>
      <c r="G16" s="4" t="inlineStr">
        <is>
          <t>Expense</t>
        </is>
      </c>
      <c r="H16" s="12" t="n">
        <v>46115</v>
      </c>
      <c r="I16" s="13" t="n">
        <v>0.2031018518518518</v>
      </c>
      <c r="J16" s="14" t="n">
        <v>46115.20310185185</v>
      </c>
      <c r="K16" s="15" t="n">
        <v>126238.94</v>
      </c>
      <c r="L16" s="4" t="inlineStr">
        <is>
          <t>INR</t>
        </is>
      </c>
      <c r="M16" s="15" t="n">
        <v>-126238.94</v>
      </c>
      <c r="N16" s="4" t="inlineStr">
        <is>
          <t>IOS Owner</t>
        </is>
      </c>
      <c r="O16" s="4" t="n"/>
      <c r="P16" s="4" t="n"/>
      <c r="Q16" s="4" t="inlineStr">
        <is>
          <t>MAESTRO-IOS-BUSINESS-TEAM_OPERATIONS-0015 | Travel | 126238.94</t>
        </is>
      </c>
      <c r="R16" s="4" t="inlineStr">
        <is>
          <t>iPhone</t>
        </is>
      </c>
      <c r="S16" s="4" t="inlineStr">
        <is>
          <t>B01</t>
        </is>
      </c>
      <c r="T16" s="4" t="inlineStr">
        <is>
          <t>BASELINE_1_500</t>
        </is>
      </c>
      <c r="U16" s="4" t="inlineStr">
        <is>
          <t>CREATED</t>
        </is>
      </c>
      <c r="V16" s="4" t="inlineStr">
        <is>
          <t>idem-20260902-ios-0015</t>
        </is>
      </c>
    </row>
    <row r="17" ht="30" customHeight="1">
      <c r="A17" s="4" t="n">
        <v>16</v>
      </c>
      <c r="B17" s="4" t="inlineStr">
        <is>
          <t>MTR-IOS-0016</t>
        </is>
      </c>
      <c r="C17" s="4" t="inlineStr">
        <is>
          <t>Personal</t>
        </is>
      </c>
      <c r="D17" s="4" t="inlineStr">
        <is>
          <t>Personal</t>
        </is>
      </c>
      <c r="E17" s="4" t="inlineStr">
        <is>
          <t>Life Operations</t>
        </is>
      </c>
      <c r="F17" s="4" t="inlineStr">
        <is>
          <t>Subscriptions</t>
        </is>
      </c>
      <c r="G17" s="4" t="inlineStr">
        <is>
          <t>Expense</t>
        </is>
      </c>
      <c r="H17" s="12" t="n">
        <v>46010</v>
      </c>
      <c r="I17" s="13" t="n">
        <v>0.6559375</v>
      </c>
      <c r="J17" s="14" t="n">
        <v>46010.6559375</v>
      </c>
      <c r="K17" s="15" t="n">
        <v>12564.33</v>
      </c>
      <c r="L17" s="4" t="inlineStr">
        <is>
          <t>INR</t>
        </is>
      </c>
      <c r="M17" s="15" t="n">
        <v>-12564.33</v>
      </c>
      <c r="N17" s="4" t="inlineStr">
        <is>
          <t>IOS Owner</t>
        </is>
      </c>
      <c r="O17" s="4" t="n"/>
      <c r="P17" s="4" t="n"/>
      <c r="Q17" s="4" t="inlineStr">
        <is>
          <t>MAESTRO-IOS-PERSONAL-LIFE_OPERATIONS-0016 | Subscriptions | 12564.33</t>
        </is>
      </c>
      <c r="R17" s="4" t="inlineStr">
        <is>
          <t>iPhone</t>
        </is>
      </c>
      <c r="S17" s="4" t="inlineStr">
        <is>
          <t>B01</t>
        </is>
      </c>
      <c r="T17" s="4" t="inlineStr">
        <is>
          <t>BASELINE_1_500</t>
        </is>
      </c>
      <c r="U17" s="4" t="inlineStr">
        <is>
          <t>CREATED</t>
        </is>
      </c>
      <c r="V17" s="4" t="inlineStr">
        <is>
          <t>idem-20260902-ios-0016</t>
        </is>
      </c>
    </row>
    <row r="18" ht="30" customHeight="1">
      <c r="A18" s="4" t="n">
        <v>17</v>
      </c>
      <c r="B18" s="4" t="inlineStr">
        <is>
          <t>MTR-IOS-0017</t>
        </is>
      </c>
      <c r="C18" s="4" t="inlineStr">
        <is>
          <t>Group</t>
        </is>
      </c>
      <c r="D18" s="4" t="inlineStr">
        <is>
          <t>Shared Experience</t>
        </is>
      </c>
      <c r="E18" s="4" t="inlineStr">
        <is>
          <t>Trip</t>
        </is>
      </c>
      <c r="F18" s="4" t="inlineStr">
        <is>
          <t>Shopping</t>
        </is>
      </c>
      <c r="G18" s="4" t="inlineStr">
        <is>
          <t>Expense</t>
        </is>
      </c>
      <c r="H18" s="12" t="n">
        <v>46216</v>
      </c>
      <c r="I18" s="13" t="n">
        <v>0.7216087962962963</v>
      </c>
      <c r="J18" s="14" t="n">
        <v>46216.7216087963</v>
      </c>
      <c r="K18" s="15" t="n">
        <v>14891.49</v>
      </c>
      <c r="L18" s="4" t="inlineStr">
        <is>
          <t>INR</t>
        </is>
      </c>
      <c r="M18" s="15" t="n">
        <v>-14891.49</v>
      </c>
      <c r="N18" s="4" t="inlineStr">
        <is>
          <t>IOS Meera</t>
        </is>
      </c>
      <c r="O18" s="4" t="n">
        <v>3</v>
      </c>
      <c r="P18" s="4" t="inlineStr">
        <is>
          <t>PERCENTAGE</t>
        </is>
      </c>
      <c r="Q18" s="4" t="inlineStr">
        <is>
          <t>MAESTRO-IOS-GROUP-TRIP-0017 | Shopping | 14891.49</t>
        </is>
      </c>
      <c r="R18" s="4" t="inlineStr">
        <is>
          <t>iPhone</t>
        </is>
      </c>
      <c r="S18" s="4" t="inlineStr">
        <is>
          <t>B01</t>
        </is>
      </c>
      <c r="T18" s="4" t="inlineStr">
        <is>
          <t>BASELINE_1_500</t>
        </is>
      </c>
      <c r="U18" s="4" t="inlineStr">
        <is>
          <t>CREATED</t>
        </is>
      </c>
      <c r="V18" s="4" t="inlineStr">
        <is>
          <t>idem-20260902-ios-0017</t>
        </is>
      </c>
    </row>
    <row r="19" ht="30" customHeight="1">
      <c r="A19" s="4" t="n">
        <v>18</v>
      </c>
      <c r="B19" s="4" t="inlineStr">
        <is>
          <t>MTR-IOS-0018</t>
        </is>
      </c>
      <c r="C19" s="4" t="inlineStr">
        <is>
          <t>Business</t>
        </is>
      </c>
      <c r="D19" s="4" t="inlineStr">
        <is>
          <t>Business</t>
        </is>
      </c>
      <c r="E19" s="4" t="inlineStr">
        <is>
          <t>Team Operations</t>
        </is>
      </c>
      <c r="F19" s="4" t="inlineStr">
        <is>
          <t>Training</t>
        </is>
      </c>
      <c r="G19" s="4" t="inlineStr">
        <is>
          <t>Expense</t>
        </is>
      </c>
      <c r="H19" s="12" t="n">
        <v>45997</v>
      </c>
      <c r="I19" s="13" t="n">
        <v>0.8909027777777778</v>
      </c>
      <c r="J19" s="14" t="n">
        <v>45997.89090277778</v>
      </c>
      <c r="K19" s="15" t="n">
        <v>77896.48</v>
      </c>
      <c r="L19" s="4" t="inlineStr">
        <is>
          <t>INR</t>
        </is>
      </c>
      <c r="M19" s="15" t="n">
        <v>-77896.48</v>
      </c>
      <c r="N19" s="4" t="inlineStr">
        <is>
          <t>IOS Owner</t>
        </is>
      </c>
      <c r="O19" s="4" t="n"/>
      <c r="P19" s="4" t="n"/>
      <c r="Q19" s="4" t="inlineStr">
        <is>
          <t>MAESTRO-IOS-BUSINESS-TEAM_OPERATIONS-0018 | Training | 77896.48</t>
        </is>
      </c>
      <c r="R19" s="4" t="inlineStr">
        <is>
          <t>iPhone</t>
        </is>
      </c>
      <c r="S19" s="4" t="inlineStr">
        <is>
          <t>B01</t>
        </is>
      </c>
      <c r="T19" s="4" t="inlineStr">
        <is>
          <t>BASELINE_1_500</t>
        </is>
      </c>
      <c r="U19" s="4" t="inlineStr">
        <is>
          <t>CREATED</t>
        </is>
      </c>
      <c r="V19" s="4" t="inlineStr">
        <is>
          <t>idem-20260902-ios-0018</t>
        </is>
      </c>
    </row>
    <row r="20" ht="30" customHeight="1">
      <c r="A20" s="4" t="n">
        <v>19</v>
      </c>
      <c r="B20" s="4" t="inlineStr">
        <is>
          <t>MTR-IOS-0019</t>
        </is>
      </c>
      <c r="C20" s="4" t="inlineStr">
        <is>
          <t>Personal</t>
        </is>
      </c>
      <c r="D20" s="4" t="inlineStr">
        <is>
          <t>Personal</t>
        </is>
      </c>
      <c r="E20" s="4" t="inlineStr">
        <is>
          <t>Life Operations</t>
        </is>
      </c>
      <c r="F20" s="4" t="inlineStr">
        <is>
          <t>Repairs</t>
        </is>
      </c>
      <c r="G20" s="4" t="inlineStr">
        <is>
          <t>Expense</t>
        </is>
      </c>
      <c r="H20" s="12" t="n">
        <v>46026</v>
      </c>
      <c r="I20" s="13" t="n">
        <v>0.5380439814814815</v>
      </c>
      <c r="J20" s="14" t="n">
        <v>46026.53804398148</v>
      </c>
      <c r="K20" s="15" t="n">
        <v>17848.59</v>
      </c>
      <c r="L20" s="4" t="inlineStr">
        <is>
          <t>INR</t>
        </is>
      </c>
      <c r="M20" s="15" t="n">
        <v>-17848.59</v>
      </c>
      <c r="N20" s="4" t="inlineStr">
        <is>
          <t>IOS Owner</t>
        </is>
      </c>
      <c r="O20" s="4" t="n"/>
      <c r="P20" s="4" t="n"/>
      <c r="Q20" s="4" t="inlineStr">
        <is>
          <t>MAESTRO-IOS-PERSONAL-LIFE_OPERATIONS-0019 | Repairs | 17848.59</t>
        </is>
      </c>
      <c r="R20" s="4" t="inlineStr">
        <is>
          <t>iPhone</t>
        </is>
      </c>
      <c r="S20" s="4" t="inlineStr">
        <is>
          <t>B01</t>
        </is>
      </c>
      <c r="T20" s="4" t="inlineStr">
        <is>
          <t>BASELINE_1_500</t>
        </is>
      </c>
      <c r="U20" s="4" t="inlineStr">
        <is>
          <t>CREATED</t>
        </is>
      </c>
      <c r="V20" s="4" t="inlineStr">
        <is>
          <t>idem-20260902-ios-0019</t>
        </is>
      </c>
    </row>
    <row r="21" ht="30" customHeight="1">
      <c r="A21" s="4" t="n">
        <v>20</v>
      </c>
      <c r="B21" s="4" t="inlineStr">
        <is>
          <t>MTR-IOS-0020</t>
        </is>
      </c>
      <c r="C21" s="4" t="inlineStr">
        <is>
          <t>Group</t>
        </is>
      </c>
      <c r="D21" s="4" t="inlineStr">
        <is>
          <t>Shared Experience</t>
        </is>
      </c>
      <c r="E21" s="4" t="inlineStr">
        <is>
          <t>Trip</t>
        </is>
      </c>
      <c r="F21" s="4" t="inlineStr">
        <is>
          <t>Other</t>
        </is>
      </c>
      <c r="G21" s="4" t="inlineStr">
        <is>
          <t>Expense</t>
        </is>
      </c>
      <c r="H21" s="12" t="n">
        <v>46213</v>
      </c>
      <c r="I21" s="13" t="n">
        <v>0.1119444444444444</v>
      </c>
      <c r="J21" s="14" t="n">
        <v>46213.11194444444</v>
      </c>
      <c r="K21" s="15" t="n">
        <v>16125.67</v>
      </c>
      <c r="L21" s="4" t="inlineStr">
        <is>
          <t>INR</t>
        </is>
      </c>
      <c r="M21" s="15" t="n">
        <v>-16125.67</v>
      </c>
      <c r="N21" s="4" t="inlineStr">
        <is>
          <t>IOS Owner</t>
        </is>
      </c>
      <c r="O21" s="4" t="n">
        <v>3</v>
      </c>
      <c r="P21" s="4" t="inlineStr">
        <is>
          <t>EXACT</t>
        </is>
      </c>
      <c r="Q21" s="4" t="inlineStr">
        <is>
          <t>MAESTRO-IOS-GROUP-TRIP-0020 | Other | 16125.67</t>
        </is>
      </c>
      <c r="R21" s="4" t="inlineStr">
        <is>
          <t>iPhone</t>
        </is>
      </c>
      <c r="S21" s="4" t="inlineStr">
        <is>
          <t>B01</t>
        </is>
      </c>
      <c r="T21" s="4" t="inlineStr">
        <is>
          <t>BASELINE_1_500</t>
        </is>
      </c>
      <c r="U21" s="4" t="inlineStr">
        <is>
          <t>CREATED</t>
        </is>
      </c>
      <c r="V21" s="4" t="inlineStr">
        <is>
          <t>idem-20260902-ios-0020</t>
        </is>
      </c>
    </row>
    <row r="22" ht="30" customHeight="1">
      <c r="A22" s="4" t="n">
        <v>21</v>
      </c>
      <c r="B22" s="4" t="inlineStr">
        <is>
          <t>MTR-IOS-0021</t>
        </is>
      </c>
      <c r="C22" s="4" t="inlineStr">
        <is>
          <t>Business</t>
        </is>
      </c>
      <c r="D22" s="4" t="inlineStr">
        <is>
          <t>Business</t>
        </is>
      </c>
      <c r="E22" s="4" t="inlineStr">
        <is>
          <t>Team Operations</t>
        </is>
      </c>
      <c r="F22" s="4" t="inlineStr">
        <is>
          <t>Tools</t>
        </is>
      </c>
      <c r="G22" s="4" t="inlineStr">
        <is>
          <t>Expense</t>
        </is>
      </c>
      <c r="H22" s="12" t="n">
        <v>46264</v>
      </c>
      <c r="I22" s="13" t="n">
        <v>0.8773958333333334</v>
      </c>
      <c r="J22" s="14" t="n">
        <v>46264.87739583333</v>
      </c>
      <c r="K22" s="15" t="n">
        <v>135446.27</v>
      </c>
      <c r="L22" s="4" t="inlineStr">
        <is>
          <t>INR</t>
        </is>
      </c>
      <c r="M22" s="15" t="n">
        <v>-135446.27</v>
      </c>
      <c r="N22" s="4" t="inlineStr">
        <is>
          <t>IOS Owner</t>
        </is>
      </c>
      <c r="O22" s="4" t="n"/>
      <c r="P22" s="4" t="n"/>
      <c r="Q22" s="4" t="inlineStr">
        <is>
          <t>MAESTRO-IOS-BUSINESS-TEAM_OPERATIONS-0021 | Tools | 135446.27</t>
        </is>
      </c>
      <c r="R22" s="4" t="inlineStr">
        <is>
          <t>iPhone</t>
        </is>
      </c>
      <c r="S22" s="4" t="inlineStr">
        <is>
          <t>B01</t>
        </is>
      </c>
      <c r="T22" s="4" t="inlineStr">
        <is>
          <t>BASELINE_1_500</t>
        </is>
      </c>
      <c r="U22" s="4" t="inlineStr">
        <is>
          <t>CREATED</t>
        </is>
      </c>
      <c r="V22" s="4" t="inlineStr">
        <is>
          <t>idem-20260902-ios-0021</t>
        </is>
      </c>
    </row>
    <row r="23" ht="30" customHeight="1">
      <c r="A23" s="4" t="n">
        <v>22</v>
      </c>
      <c r="B23" s="4" t="inlineStr">
        <is>
          <t>MTR-IOS-0022</t>
        </is>
      </c>
      <c r="C23" s="4" t="inlineStr">
        <is>
          <t>Personal</t>
        </is>
      </c>
      <c r="D23" s="4" t="inlineStr">
        <is>
          <t>Personal</t>
        </is>
      </c>
      <c r="E23" s="4" t="inlineStr">
        <is>
          <t>Future Building</t>
        </is>
      </c>
      <c r="F23" s="4" t="inlineStr">
        <is>
          <t>Savings</t>
        </is>
      </c>
      <c r="G23" s="4" t="inlineStr">
        <is>
          <t>Transfer</t>
        </is>
      </c>
      <c r="H23" s="12" t="n">
        <v>46252</v>
      </c>
      <c r="I23" s="13" t="n">
        <v>0.5221875</v>
      </c>
      <c r="J23" s="14" t="n">
        <v>46252.5221875</v>
      </c>
      <c r="K23" s="15" t="n">
        <v>16827.67</v>
      </c>
      <c r="L23" s="4" t="inlineStr">
        <is>
          <t>INR</t>
        </is>
      </c>
      <c r="M23" s="15" t="n">
        <v>0</v>
      </c>
      <c r="N23" s="4" t="inlineStr">
        <is>
          <t>IOS Owner</t>
        </is>
      </c>
      <c r="O23" s="4" t="n"/>
      <c r="P23" s="4" t="n"/>
      <c r="Q23" s="4" t="inlineStr">
        <is>
          <t>MAESTRO-IOS-PERSONAL-FUTURE_BUILDING-0022 | Savings | 16827.67</t>
        </is>
      </c>
      <c r="R23" s="4" t="inlineStr">
        <is>
          <t>iPhone</t>
        </is>
      </c>
      <c r="S23" s="4" t="inlineStr">
        <is>
          <t>B01</t>
        </is>
      </c>
      <c r="T23" s="4" t="inlineStr">
        <is>
          <t>BASELINE_1_500</t>
        </is>
      </c>
      <c r="U23" s="4" t="inlineStr">
        <is>
          <t>CREATED</t>
        </is>
      </c>
      <c r="V23" s="4" t="inlineStr">
        <is>
          <t>idem-20260902-ios-0022</t>
        </is>
      </c>
    </row>
    <row r="24" ht="30" customHeight="1">
      <c r="A24" s="4" t="n">
        <v>23</v>
      </c>
      <c r="B24" s="4" t="inlineStr">
        <is>
          <t>MTR-IOS-0023</t>
        </is>
      </c>
      <c r="C24" s="4" t="inlineStr">
        <is>
          <t>Group</t>
        </is>
      </c>
      <c r="D24" s="4" t="inlineStr">
        <is>
          <t>Shared Experience</t>
        </is>
      </c>
      <c r="E24" s="4" t="inlineStr">
        <is>
          <t>Wedding</t>
        </is>
      </c>
      <c r="F24" s="4" t="inlineStr">
        <is>
          <t>Venue</t>
        </is>
      </c>
      <c r="G24" s="4" t="inlineStr">
        <is>
          <t>Expense</t>
        </is>
      </c>
      <c r="H24" s="12" t="n">
        <v>46174</v>
      </c>
      <c r="I24" s="13" t="n">
        <v>0.8699768518518518</v>
      </c>
      <c r="J24" s="14" t="n">
        <v>46174.86997685185</v>
      </c>
      <c r="K24" s="15" t="n">
        <v>24925.16</v>
      </c>
      <c r="L24" s="4" t="inlineStr">
        <is>
          <t>INR</t>
        </is>
      </c>
      <c r="M24" s="15" t="n">
        <v>-24925.16</v>
      </c>
      <c r="N24" s="4" t="inlineStr">
        <is>
          <t>IOS Aarav</t>
        </is>
      </c>
      <c r="O24" s="4" t="n">
        <v>3</v>
      </c>
      <c r="P24" s="4" t="inlineStr">
        <is>
          <t>SHARES</t>
        </is>
      </c>
      <c r="Q24" s="4" t="inlineStr">
        <is>
          <t>MAESTRO-IOS-GROUP-WEDDING-0023 | Venue | 24925.16</t>
        </is>
      </c>
      <c r="R24" s="4" t="inlineStr">
        <is>
          <t>iPhone</t>
        </is>
      </c>
      <c r="S24" s="4" t="inlineStr">
        <is>
          <t>B01</t>
        </is>
      </c>
      <c r="T24" s="4" t="inlineStr">
        <is>
          <t>BASELINE_1_500</t>
        </is>
      </c>
      <c r="U24" s="4" t="inlineStr">
        <is>
          <t>CREATED</t>
        </is>
      </c>
      <c r="V24" s="4" t="inlineStr">
        <is>
          <t>idem-20260902-ios-0023</t>
        </is>
      </c>
    </row>
    <row r="25" ht="30" customHeight="1">
      <c r="A25" s="4" t="n">
        <v>24</v>
      </c>
      <c r="B25" s="4" t="inlineStr">
        <is>
          <t>MTR-IOS-0024</t>
        </is>
      </c>
      <c r="C25" s="4" t="inlineStr">
        <is>
          <t>Business</t>
        </is>
      </c>
      <c r="D25" s="4" t="inlineStr">
        <is>
          <t>Business</t>
        </is>
      </c>
      <c r="E25" s="4" t="inlineStr">
        <is>
          <t>Business Runway</t>
        </is>
      </c>
      <c r="F25" s="4" t="inlineStr">
        <is>
          <t>Funding</t>
        </is>
      </c>
      <c r="G25" s="4" t="inlineStr">
        <is>
          <t>Income</t>
        </is>
      </c>
      <c r="H25" s="12" t="n">
        <v>46013</v>
      </c>
      <c r="I25" s="13" t="n">
        <v>0.5229861111111112</v>
      </c>
      <c r="J25" s="14" t="n">
        <v>46013.52298611111</v>
      </c>
      <c r="K25" s="15" t="n">
        <v>121141.46</v>
      </c>
      <c r="L25" s="4" t="inlineStr">
        <is>
          <t>INR</t>
        </is>
      </c>
      <c r="M25" s="15" t="n">
        <v>121141.46</v>
      </c>
      <c r="N25" s="4" t="inlineStr">
        <is>
          <t>IOS Owner</t>
        </is>
      </c>
      <c r="O25" s="4" t="n"/>
      <c r="P25" s="4" t="n"/>
      <c r="Q25" s="4" t="inlineStr">
        <is>
          <t>MAESTRO-IOS-BUSINESS-BUSINESS_RUNWAY-0024 | Funding | 121141.46</t>
        </is>
      </c>
      <c r="R25" s="4" t="inlineStr">
        <is>
          <t>iPhone</t>
        </is>
      </c>
      <c r="S25" s="4" t="inlineStr">
        <is>
          <t>B01</t>
        </is>
      </c>
      <c r="T25" s="4" t="inlineStr">
        <is>
          <t>BASELINE_1_500</t>
        </is>
      </c>
      <c r="U25" s="4" t="inlineStr">
        <is>
          <t>CREATED</t>
        </is>
      </c>
      <c r="V25" s="4" t="inlineStr">
        <is>
          <t>idem-20260902-ios-0024</t>
        </is>
      </c>
    </row>
    <row r="26" ht="30" customHeight="1">
      <c r="A26" s="4" t="n">
        <v>25</v>
      </c>
      <c r="B26" s="4" t="inlineStr">
        <is>
          <t>MTR-IOS-0025</t>
        </is>
      </c>
      <c r="C26" s="4" t="inlineStr">
        <is>
          <t>Personal</t>
        </is>
      </c>
      <c r="D26" s="4" t="inlineStr">
        <is>
          <t>Personal</t>
        </is>
      </c>
      <c r="E26" s="4" t="inlineStr">
        <is>
          <t>Future Building</t>
        </is>
      </c>
      <c r="F26" s="4" t="inlineStr">
        <is>
          <t>Emergency Fund</t>
        </is>
      </c>
      <c r="G26" s="4" t="inlineStr">
        <is>
          <t>Transfer</t>
        </is>
      </c>
      <c r="H26" s="12" t="n">
        <v>45982</v>
      </c>
      <c r="I26" s="13" t="n">
        <v>0.125787037037037</v>
      </c>
      <c r="J26" s="14" t="n">
        <v>45982.12578703704</v>
      </c>
      <c r="K26" s="15" t="n">
        <v>4005.71</v>
      </c>
      <c r="L26" s="4" t="inlineStr">
        <is>
          <t>INR</t>
        </is>
      </c>
      <c r="M26" s="15" t="n">
        <v>0</v>
      </c>
      <c r="N26" s="4" t="inlineStr">
        <is>
          <t>IOS Owner</t>
        </is>
      </c>
      <c r="O26" s="4" t="n"/>
      <c r="P26" s="4" t="n"/>
      <c r="Q26" s="4" t="inlineStr">
        <is>
          <t>MAESTRO-IOS-PERSONAL-FUTURE_BUILDING-0025 | Emergency Fund | 4005.71</t>
        </is>
      </c>
      <c r="R26" s="4" t="inlineStr">
        <is>
          <t>iPhone</t>
        </is>
      </c>
      <c r="S26" s="4" t="inlineStr">
        <is>
          <t>B01</t>
        </is>
      </c>
      <c r="T26" s="4" t="inlineStr">
        <is>
          <t>BASELINE_1_500</t>
        </is>
      </c>
      <c r="U26" s="4" t="inlineStr">
        <is>
          <t>CREATED</t>
        </is>
      </c>
      <c r="V26" s="4" t="inlineStr">
        <is>
          <t>idem-20260902-ios-0025</t>
        </is>
      </c>
    </row>
    <row r="27" ht="30" customHeight="1">
      <c r="A27" s="4" t="n">
        <v>26</v>
      </c>
      <c r="B27" s="4" t="inlineStr">
        <is>
          <t>MTR-IOS-0026</t>
        </is>
      </c>
      <c r="C27" s="4" t="inlineStr">
        <is>
          <t>Group</t>
        </is>
      </c>
      <c r="D27" s="4" t="inlineStr">
        <is>
          <t>Shared Experience</t>
        </is>
      </c>
      <c r="E27" s="4" t="inlineStr">
        <is>
          <t>Wedding</t>
        </is>
      </c>
      <c r="F27" s="4" t="inlineStr">
        <is>
          <t>Catering</t>
        </is>
      </c>
      <c r="G27" s="4" t="inlineStr">
        <is>
          <t>Expense</t>
        </is>
      </c>
      <c r="H27" s="12" t="n">
        <v>46186</v>
      </c>
      <c r="I27" s="13" t="n">
        <v>0.5157986111111111</v>
      </c>
      <c r="J27" s="14" t="n">
        <v>46186.51579861111</v>
      </c>
      <c r="K27" s="15" t="n">
        <v>19704.71</v>
      </c>
      <c r="L27" s="4" t="inlineStr">
        <is>
          <t>INR</t>
        </is>
      </c>
      <c r="M27" s="15" t="n">
        <v>-19704.71</v>
      </c>
      <c r="N27" s="4" t="inlineStr">
        <is>
          <t>IOS Meera</t>
        </is>
      </c>
      <c r="O27" s="4" t="n">
        <v>3</v>
      </c>
      <c r="P27" s="4" t="inlineStr">
        <is>
          <t>EQUAL</t>
        </is>
      </c>
      <c r="Q27" s="4" t="inlineStr">
        <is>
          <t>MAESTRO-IOS-GROUP-WEDDING-0026 | Catering | 19704.71</t>
        </is>
      </c>
      <c r="R27" s="4" t="inlineStr">
        <is>
          <t>iPhone</t>
        </is>
      </c>
      <c r="S27" s="4" t="inlineStr">
        <is>
          <t>B01</t>
        </is>
      </c>
      <c r="T27" s="4" t="inlineStr">
        <is>
          <t>BASELINE_1_500</t>
        </is>
      </c>
      <c r="U27" s="4" t="inlineStr">
        <is>
          <t>CREATED</t>
        </is>
      </c>
      <c r="V27" s="4" t="inlineStr">
        <is>
          <t>idem-20260902-ios-0026</t>
        </is>
      </c>
    </row>
    <row r="28" ht="30" customHeight="1">
      <c r="A28" s="4" t="n">
        <v>27</v>
      </c>
      <c r="B28" s="4" t="inlineStr">
        <is>
          <t>MTR-IOS-0027</t>
        </is>
      </c>
      <c r="C28" s="4" t="inlineStr">
        <is>
          <t>Business</t>
        </is>
      </c>
      <c r="D28" s="4" t="inlineStr">
        <is>
          <t>Business</t>
        </is>
      </c>
      <c r="E28" s="4" t="inlineStr">
        <is>
          <t>Business Runway</t>
        </is>
      </c>
      <c r="F28" s="4" t="inlineStr">
        <is>
          <t>Revenue</t>
        </is>
      </c>
      <c r="G28" s="4" t="inlineStr">
        <is>
          <t>Income</t>
        </is>
      </c>
      <c r="H28" s="12" t="n">
        <v>45994</v>
      </c>
      <c r="I28" s="13" t="n">
        <v>0.2504861111111111</v>
      </c>
      <c r="J28" s="14" t="n">
        <v>45994.25048611111</v>
      </c>
      <c r="K28" s="15" t="n">
        <v>144069.9</v>
      </c>
      <c r="L28" s="4" t="inlineStr">
        <is>
          <t>INR</t>
        </is>
      </c>
      <c r="M28" s="15" t="n">
        <v>144069.9</v>
      </c>
      <c r="N28" s="4" t="inlineStr">
        <is>
          <t>IOS Owner</t>
        </is>
      </c>
      <c r="O28" s="4" t="n"/>
      <c r="P28" s="4" t="n"/>
      <c r="Q28" s="4" t="inlineStr">
        <is>
          <t>MAESTRO-IOS-BUSINESS-BUSINESS_RUNWAY-0027 | Revenue | 144069.90</t>
        </is>
      </c>
      <c r="R28" s="4" t="inlineStr">
        <is>
          <t>iPhone</t>
        </is>
      </c>
      <c r="S28" s="4" t="inlineStr">
        <is>
          <t>B01</t>
        </is>
      </c>
      <c r="T28" s="4" t="inlineStr">
        <is>
          <t>BASELINE_1_500</t>
        </is>
      </c>
      <c r="U28" s="4" t="inlineStr">
        <is>
          <t>CREATED</t>
        </is>
      </c>
      <c r="V28" s="4" t="inlineStr">
        <is>
          <t>idem-20260902-ios-0027</t>
        </is>
      </c>
    </row>
    <row r="29" ht="30" customHeight="1">
      <c r="A29" s="4" t="n">
        <v>28</v>
      </c>
      <c r="B29" s="4" t="inlineStr">
        <is>
          <t>MTR-IOS-0028</t>
        </is>
      </c>
      <c r="C29" s="4" t="inlineStr">
        <is>
          <t>Personal</t>
        </is>
      </c>
      <c r="D29" s="4" t="inlineStr">
        <is>
          <t>Personal</t>
        </is>
      </c>
      <c r="E29" s="4" t="inlineStr">
        <is>
          <t>Future Building</t>
        </is>
      </c>
      <c r="F29" s="4" t="inlineStr">
        <is>
          <t>Investments</t>
        </is>
      </c>
      <c r="G29" s="4" t="inlineStr">
        <is>
          <t>Investment</t>
        </is>
      </c>
      <c r="H29" s="12" t="n">
        <v>45934</v>
      </c>
      <c r="I29" s="13" t="n">
        <v>0.9444791666666666</v>
      </c>
      <c r="J29" s="14" t="n">
        <v>45934.94447916667</v>
      </c>
      <c r="K29" s="15" t="n">
        <v>4161.04</v>
      </c>
      <c r="L29" s="4" t="inlineStr">
        <is>
          <t>INR</t>
        </is>
      </c>
      <c r="M29" s="15" t="n">
        <v>0</v>
      </c>
      <c r="N29" s="4" t="inlineStr">
        <is>
          <t>IOS Owner</t>
        </is>
      </c>
      <c r="O29" s="4" t="n"/>
      <c r="P29" s="4" t="n"/>
      <c r="Q29" s="4" t="inlineStr">
        <is>
          <t>MAESTRO-IOS-PERSONAL-FUTURE_BUILDING-0028 | Investments | 4161.04</t>
        </is>
      </c>
      <c r="R29" s="4" t="inlineStr">
        <is>
          <t>iPhone</t>
        </is>
      </c>
      <c r="S29" s="4" t="inlineStr">
        <is>
          <t>B01</t>
        </is>
      </c>
      <c r="T29" s="4" t="inlineStr">
        <is>
          <t>BASELINE_1_500</t>
        </is>
      </c>
      <c r="U29" s="4" t="inlineStr">
        <is>
          <t>CREATED</t>
        </is>
      </c>
      <c r="V29" s="4" t="inlineStr">
        <is>
          <t>idem-20260902-ios-0028</t>
        </is>
      </c>
    </row>
    <row r="30" ht="30" customHeight="1">
      <c r="A30" s="4" t="n">
        <v>29</v>
      </c>
      <c r="B30" s="4" t="inlineStr">
        <is>
          <t>MTR-IOS-0029</t>
        </is>
      </c>
      <c r="C30" s="4" t="inlineStr">
        <is>
          <t>Group</t>
        </is>
      </c>
      <c r="D30" s="4" t="inlineStr">
        <is>
          <t>Shared Experience</t>
        </is>
      </c>
      <c r="E30" s="4" t="inlineStr">
        <is>
          <t>Wedding</t>
        </is>
      </c>
      <c r="F30" s="4" t="inlineStr">
        <is>
          <t>Decor</t>
        </is>
      </c>
      <c r="G30" s="4" t="inlineStr">
        <is>
          <t>Expense</t>
        </is>
      </c>
      <c r="H30" s="12" t="n">
        <v>46113</v>
      </c>
      <c r="I30" s="13" t="n">
        <v>0.6691319444444445</v>
      </c>
      <c r="J30" s="14" t="n">
        <v>46113.66913194444</v>
      </c>
      <c r="K30" s="15" t="n">
        <v>15620.75</v>
      </c>
      <c r="L30" s="4" t="inlineStr">
        <is>
          <t>INR</t>
        </is>
      </c>
      <c r="M30" s="15" t="n">
        <v>-15620.75</v>
      </c>
      <c r="N30" s="4" t="inlineStr">
        <is>
          <t>IOS Owner</t>
        </is>
      </c>
      <c r="O30" s="4" t="n">
        <v>3</v>
      </c>
      <c r="P30" s="4" t="inlineStr">
        <is>
          <t>PERCENTAGE</t>
        </is>
      </c>
      <c r="Q30" s="4" t="inlineStr">
        <is>
          <t>MAESTRO-IOS-GROUP-WEDDING-0029 | Decor | 15620.75</t>
        </is>
      </c>
      <c r="R30" s="4" t="inlineStr">
        <is>
          <t>iPhone</t>
        </is>
      </c>
      <c r="S30" s="4" t="inlineStr">
        <is>
          <t>B01</t>
        </is>
      </c>
      <c r="T30" s="4" t="inlineStr">
        <is>
          <t>BASELINE_1_500</t>
        </is>
      </c>
      <c r="U30" s="4" t="inlineStr">
        <is>
          <t>CREATED</t>
        </is>
      </c>
      <c r="V30" s="4" t="inlineStr">
        <is>
          <t>idem-20260902-ios-0029</t>
        </is>
      </c>
    </row>
    <row r="31" ht="30" customHeight="1">
      <c r="A31" s="4" t="n">
        <v>30</v>
      </c>
      <c r="B31" s="4" t="inlineStr">
        <is>
          <t>MTR-IOS-0030</t>
        </is>
      </c>
      <c r="C31" s="4" t="inlineStr">
        <is>
          <t>Business</t>
        </is>
      </c>
      <c r="D31" s="4" t="inlineStr">
        <is>
          <t>Business</t>
        </is>
      </c>
      <c r="E31" s="4" t="inlineStr">
        <is>
          <t>Business Runway</t>
        </is>
      </c>
      <c r="F31" s="4" t="inlineStr">
        <is>
          <t>Burn</t>
        </is>
      </c>
      <c r="G31" s="4" t="inlineStr">
        <is>
          <t>Expense</t>
        </is>
      </c>
      <c r="H31" s="12" t="n">
        <v>46170</v>
      </c>
      <c r="I31" s="13" t="n">
        <v>0.3424652777777778</v>
      </c>
      <c r="J31" s="14" t="n">
        <v>46170.34246527778</v>
      </c>
      <c r="K31" s="15" t="n">
        <v>142385.1</v>
      </c>
      <c r="L31" s="4" t="inlineStr">
        <is>
          <t>INR</t>
        </is>
      </c>
      <c r="M31" s="15" t="n">
        <v>-142385.1</v>
      </c>
      <c r="N31" s="4" t="inlineStr">
        <is>
          <t>IOS Owner</t>
        </is>
      </c>
      <c r="O31" s="4" t="n"/>
      <c r="P31" s="4" t="n"/>
      <c r="Q31" s="4" t="inlineStr">
        <is>
          <t>MAESTRO-IOS-BUSINESS-BUSINESS_RUNWAY-0030 | Burn | 142385.10</t>
        </is>
      </c>
      <c r="R31" s="4" t="inlineStr">
        <is>
          <t>iPhone</t>
        </is>
      </c>
      <c r="S31" s="4" t="inlineStr">
        <is>
          <t>B01</t>
        </is>
      </c>
      <c r="T31" s="4" t="inlineStr">
        <is>
          <t>BASELINE_1_500</t>
        </is>
      </c>
      <c r="U31" s="4" t="inlineStr">
        <is>
          <t>CREATED</t>
        </is>
      </c>
      <c r="V31" s="4" t="inlineStr">
        <is>
          <t>idem-20260902-ios-0030</t>
        </is>
      </c>
    </row>
    <row r="32" ht="30" customHeight="1">
      <c r="A32" s="4" t="n">
        <v>31</v>
      </c>
      <c r="B32" s="4" t="inlineStr">
        <is>
          <t>MTR-IOS-0031</t>
        </is>
      </c>
      <c r="C32" s="4" t="inlineStr">
        <is>
          <t>Personal</t>
        </is>
      </c>
      <c r="D32" s="4" t="inlineStr">
        <is>
          <t>Personal</t>
        </is>
      </c>
      <c r="E32" s="4" t="inlineStr">
        <is>
          <t>Future Building</t>
        </is>
      </c>
      <c r="F32" s="4" t="inlineStr">
        <is>
          <t>Education</t>
        </is>
      </c>
      <c r="G32" s="4" t="inlineStr">
        <is>
          <t>Expense</t>
        </is>
      </c>
      <c r="H32" s="12" t="n">
        <v>45931</v>
      </c>
      <c r="I32" s="13" t="n">
        <v>0.9445949074074074</v>
      </c>
      <c r="J32" s="14" t="n">
        <v>45931.94459490741</v>
      </c>
      <c r="K32" s="15" t="n">
        <v>6294.62</v>
      </c>
      <c r="L32" s="4" t="inlineStr">
        <is>
          <t>INR</t>
        </is>
      </c>
      <c r="M32" s="15" t="n">
        <v>-6294.62</v>
      </c>
      <c r="N32" s="4" t="inlineStr">
        <is>
          <t>IOS Owner</t>
        </is>
      </c>
      <c r="O32" s="4" t="n"/>
      <c r="P32" s="4" t="n"/>
      <c r="Q32" s="4" t="inlineStr">
        <is>
          <t>MAESTRO-IOS-PERSONAL-FUTURE_BUILDING-0031 | Education | 6294.62</t>
        </is>
      </c>
      <c r="R32" s="4" t="inlineStr">
        <is>
          <t>iPhone</t>
        </is>
      </c>
      <c r="S32" s="4" t="inlineStr">
        <is>
          <t>B01</t>
        </is>
      </c>
      <c r="T32" s="4" t="inlineStr">
        <is>
          <t>BASELINE_1_500</t>
        </is>
      </c>
      <c r="U32" s="4" t="inlineStr">
        <is>
          <t>CREATED</t>
        </is>
      </c>
      <c r="V32" s="4" t="inlineStr">
        <is>
          <t>idem-20260902-ios-0031</t>
        </is>
      </c>
    </row>
    <row r="33" ht="30" customHeight="1">
      <c r="A33" s="4" t="n">
        <v>32</v>
      </c>
      <c r="B33" s="4" t="inlineStr">
        <is>
          <t>MTR-IOS-0032</t>
        </is>
      </c>
      <c r="C33" s="4" t="inlineStr">
        <is>
          <t>Group</t>
        </is>
      </c>
      <c r="D33" s="4" t="inlineStr">
        <is>
          <t>Shared Experience</t>
        </is>
      </c>
      <c r="E33" s="4" t="inlineStr">
        <is>
          <t>Wedding</t>
        </is>
      </c>
      <c r="F33" s="4" t="inlineStr">
        <is>
          <t>Travel</t>
        </is>
      </c>
      <c r="G33" s="4" t="inlineStr">
        <is>
          <t>Expense</t>
        </is>
      </c>
      <c r="H33" s="12" t="n">
        <v>45999</v>
      </c>
      <c r="I33" s="13" t="n">
        <v>0.1104166666666667</v>
      </c>
      <c r="J33" s="14" t="n">
        <v>45999.11041666667</v>
      </c>
      <c r="K33" s="15" t="n">
        <v>16472.62</v>
      </c>
      <c r="L33" s="4" t="inlineStr">
        <is>
          <t>INR</t>
        </is>
      </c>
      <c r="M33" s="15" t="n">
        <v>-16472.62</v>
      </c>
      <c r="N33" s="4" t="inlineStr">
        <is>
          <t>IOS Aarav</t>
        </is>
      </c>
      <c r="O33" s="4" t="n">
        <v>3</v>
      </c>
      <c r="P33" s="4" t="inlineStr">
        <is>
          <t>EXACT</t>
        </is>
      </c>
      <c r="Q33" s="4" t="inlineStr">
        <is>
          <t>MAESTRO-IOS-GROUP-WEDDING-0032 | Travel | 16472.62</t>
        </is>
      </c>
      <c r="R33" s="4" t="inlineStr">
        <is>
          <t>iPhone</t>
        </is>
      </c>
      <c r="S33" s="4" t="inlineStr">
        <is>
          <t>B01</t>
        </is>
      </c>
      <c r="T33" s="4" t="inlineStr">
        <is>
          <t>BASELINE_1_500</t>
        </is>
      </c>
      <c r="U33" s="4" t="inlineStr">
        <is>
          <t>CREATED</t>
        </is>
      </c>
      <c r="V33" s="4" t="inlineStr">
        <is>
          <t>idem-20260902-ios-0032</t>
        </is>
      </c>
    </row>
    <row r="34" ht="30" customHeight="1">
      <c r="A34" s="4" t="n">
        <v>33</v>
      </c>
      <c r="B34" s="4" t="inlineStr">
        <is>
          <t>MTR-IOS-0033</t>
        </is>
      </c>
      <c r="C34" s="4" t="inlineStr">
        <is>
          <t>Business</t>
        </is>
      </c>
      <c r="D34" s="4" t="inlineStr">
        <is>
          <t>Business</t>
        </is>
      </c>
      <c r="E34" s="4" t="inlineStr">
        <is>
          <t>Business Runway</t>
        </is>
      </c>
      <c r="F34" s="4" t="inlineStr">
        <is>
          <t>Reserve</t>
        </is>
      </c>
      <c r="G34" s="4" t="inlineStr">
        <is>
          <t>Transfer</t>
        </is>
      </c>
      <c r="H34" s="12" t="n">
        <v>46079</v>
      </c>
      <c r="I34" s="13" t="n">
        <v>0.5141782407407407</v>
      </c>
      <c r="J34" s="14" t="n">
        <v>46079.51417824074</v>
      </c>
      <c r="K34" s="15" t="n">
        <v>827.54</v>
      </c>
      <c r="L34" s="4" t="inlineStr">
        <is>
          <t>INR</t>
        </is>
      </c>
      <c r="M34" s="15" t="n">
        <v>0</v>
      </c>
      <c r="N34" s="4" t="inlineStr">
        <is>
          <t>IOS Owner</t>
        </is>
      </c>
      <c r="O34" s="4" t="n"/>
      <c r="P34" s="4" t="n"/>
      <c r="Q34" s="4" t="inlineStr">
        <is>
          <t>MAESTRO-IOS-BUSINESS-BUSINESS_RUNWAY-0033 | Reserve | 827.54</t>
        </is>
      </c>
      <c r="R34" s="4" t="inlineStr">
        <is>
          <t>iPhone</t>
        </is>
      </c>
      <c r="S34" s="4" t="inlineStr">
        <is>
          <t>B01</t>
        </is>
      </c>
      <c r="T34" s="4" t="inlineStr">
        <is>
          <t>BASELINE_1_500</t>
        </is>
      </c>
      <c r="U34" s="4" t="inlineStr">
        <is>
          <t>CREATED</t>
        </is>
      </c>
      <c r="V34" s="4" t="inlineStr">
        <is>
          <t>idem-20260902-ios-0033</t>
        </is>
      </c>
    </row>
    <row r="35" ht="30" customHeight="1">
      <c r="A35" s="4" t="n">
        <v>34</v>
      </c>
      <c r="B35" s="4" t="inlineStr">
        <is>
          <t>MTR-IOS-0034</t>
        </is>
      </c>
      <c r="C35" s="4" t="inlineStr">
        <is>
          <t>Personal</t>
        </is>
      </c>
      <c r="D35" s="4" t="inlineStr">
        <is>
          <t>Personal</t>
        </is>
      </c>
      <c r="E35" s="4" t="inlineStr">
        <is>
          <t>Future Building</t>
        </is>
      </c>
      <c r="F35" s="4" t="inlineStr">
        <is>
          <t>Goal Contribution</t>
        </is>
      </c>
      <c r="G35" s="4" t="inlineStr">
        <is>
          <t>Transfer</t>
        </is>
      </c>
      <c r="H35" s="12" t="n">
        <v>46192</v>
      </c>
      <c r="I35" s="13" t="n">
        <v>0.143599537037037</v>
      </c>
      <c r="J35" s="14" t="n">
        <v>46192.14359953703</v>
      </c>
      <c r="K35" s="15" t="n">
        <v>10116.79</v>
      </c>
      <c r="L35" s="4" t="inlineStr">
        <is>
          <t>INR</t>
        </is>
      </c>
      <c r="M35" s="15" t="n">
        <v>0</v>
      </c>
      <c r="N35" s="4" t="inlineStr">
        <is>
          <t>IOS Owner</t>
        </is>
      </c>
      <c r="O35" s="4" t="n"/>
      <c r="P35" s="4" t="n"/>
      <c r="Q35" s="4" t="inlineStr">
        <is>
          <t>MAESTRO-IOS-PERSONAL-FUTURE_BUILDING-0034 | Goal Contribution | 10116.79</t>
        </is>
      </c>
      <c r="R35" s="4" t="inlineStr">
        <is>
          <t>iPhone</t>
        </is>
      </c>
      <c r="S35" s="4" t="inlineStr">
        <is>
          <t>B01</t>
        </is>
      </c>
      <c r="T35" s="4" t="inlineStr">
        <is>
          <t>BASELINE_1_500</t>
        </is>
      </c>
      <c r="U35" s="4" t="inlineStr">
        <is>
          <t>CREATED</t>
        </is>
      </c>
      <c r="V35" s="4" t="inlineStr">
        <is>
          <t>idem-20260902-ios-0034</t>
        </is>
      </c>
    </row>
    <row r="36" ht="30" customHeight="1">
      <c r="A36" s="4" t="n">
        <v>35</v>
      </c>
      <c r="B36" s="4" t="inlineStr">
        <is>
          <t>MTR-IOS-0035</t>
        </is>
      </c>
      <c r="C36" s="4" t="inlineStr">
        <is>
          <t>Group</t>
        </is>
      </c>
      <c r="D36" s="4" t="inlineStr">
        <is>
          <t>Shared Experience</t>
        </is>
      </c>
      <c r="E36" s="4" t="inlineStr">
        <is>
          <t>Wedding</t>
        </is>
      </c>
      <c r="F36" s="4" t="inlineStr">
        <is>
          <t>Gifts</t>
        </is>
      </c>
      <c r="G36" s="4" t="inlineStr">
        <is>
          <t>Expense</t>
        </is>
      </c>
      <c r="H36" s="12" t="n">
        <v>45984</v>
      </c>
      <c r="I36" s="13" t="n">
        <v>0.1518055555555556</v>
      </c>
      <c r="J36" s="14" t="n">
        <v>45984.15180555556</v>
      </c>
      <c r="K36" s="15" t="n">
        <v>18821.96</v>
      </c>
      <c r="L36" s="4" t="inlineStr">
        <is>
          <t>INR</t>
        </is>
      </c>
      <c r="M36" s="15" t="n">
        <v>-18821.96</v>
      </c>
      <c r="N36" s="4" t="inlineStr">
        <is>
          <t>IOS Meera</t>
        </is>
      </c>
      <c r="O36" s="4" t="n">
        <v>3</v>
      </c>
      <c r="P36" s="4" t="inlineStr">
        <is>
          <t>SHARES</t>
        </is>
      </c>
      <c r="Q36" s="4" t="inlineStr">
        <is>
          <t>MAESTRO-IOS-GROUP-WEDDING-0035 | Gifts | 18821.96</t>
        </is>
      </c>
      <c r="R36" s="4" t="inlineStr">
        <is>
          <t>iPhone</t>
        </is>
      </c>
      <c r="S36" s="4" t="inlineStr">
        <is>
          <t>B01</t>
        </is>
      </c>
      <c r="T36" s="4" t="inlineStr">
        <is>
          <t>BASELINE_1_500</t>
        </is>
      </c>
      <c r="U36" s="4" t="inlineStr">
        <is>
          <t>CREATED</t>
        </is>
      </c>
      <c r="V36" s="4" t="inlineStr">
        <is>
          <t>idem-20260902-ios-0035</t>
        </is>
      </c>
    </row>
    <row r="37" ht="30" customHeight="1">
      <c r="A37" s="4" t="n">
        <v>36</v>
      </c>
      <c r="B37" s="4" t="inlineStr">
        <is>
          <t>MTR-IOS-0036</t>
        </is>
      </c>
      <c r="C37" s="4" t="inlineStr">
        <is>
          <t>Business</t>
        </is>
      </c>
      <c r="D37" s="4" t="inlineStr">
        <is>
          <t>Business</t>
        </is>
      </c>
      <c r="E37" s="4" t="inlineStr">
        <is>
          <t>Business Runway</t>
        </is>
      </c>
      <c r="F37" s="4" t="inlineStr">
        <is>
          <t>Loan</t>
        </is>
      </c>
      <c r="G37" s="4" t="inlineStr">
        <is>
          <t>Income</t>
        </is>
      </c>
      <c r="H37" s="12" t="n">
        <v>46087</v>
      </c>
      <c r="I37" s="13" t="n">
        <v>0.9968171296296297</v>
      </c>
      <c r="J37" s="14" t="n">
        <v>46087.99681712963</v>
      </c>
      <c r="K37" s="15" t="n">
        <v>122441.2</v>
      </c>
      <c r="L37" s="4" t="inlineStr">
        <is>
          <t>INR</t>
        </is>
      </c>
      <c r="M37" s="15" t="n">
        <v>122441.2</v>
      </c>
      <c r="N37" s="4" t="inlineStr">
        <is>
          <t>IOS Owner</t>
        </is>
      </c>
      <c r="O37" s="4" t="n"/>
      <c r="P37" s="4" t="n"/>
      <c r="Q37" s="4" t="inlineStr">
        <is>
          <t>MAESTRO-IOS-BUSINESS-BUSINESS_RUNWAY-0036 | Loan | 122441.20</t>
        </is>
      </c>
      <c r="R37" s="4" t="inlineStr">
        <is>
          <t>iPhone</t>
        </is>
      </c>
      <c r="S37" s="4" t="inlineStr">
        <is>
          <t>B01</t>
        </is>
      </c>
      <c r="T37" s="4" t="inlineStr">
        <is>
          <t>BASELINE_1_500</t>
        </is>
      </c>
      <c r="U37" s="4" t="inlineStr">
        <is>
          <t>CREATED</t>
        </is>
      </c>
      <c r="V37" s="4" t="inlineStr">
        <is>
          <t>idem-20260902-ios-0036</t>
        </is>
      </c>
    </row>
    <row r="38" ht="30" customHeight="1">
      <c r="A38" s="4" t="n">
        <v>37</v>
      </c>
      <c r="B38" s="4" t="inlineStr">
        <is>
          <t>MTR-IOS-0037</t>
        </is>
      </c>
      <c r="C38" s="4" t="inlineStr">
        <is>
          <t>Personal</t>
        </is>
      </c>
      <c r="D38" s="4" t="inlineStr">
        <is>
          <t>Personal</t>
        </is>
      </c>
      <c r="E38" s="4" t="inlineStr">
        <is>
          <t>Lifestyle</t>
        </is>
      </c>
      <c r="F38" s="4" t="inlineStr">
        <is>
          <t>Dining</t>
        </is>
      </c>
      <c r="G38" s="4" t="inlineStr">
        <is>
          <t>Expense</t>
        </is>
      </c>
      <c r="H38" s="12" t="n">
        <v>46118</v>
      </c>
      <c r="I38" s="13" t="n">
        <v>0.724849537037037</v>
      </c>
      <c r="J38" s="14" t="n">
        <v>46118.72484953704</v>
      </c>
      <c r="K38" s="15" t="n">
        <v>1</v>
      </c>
      <c r="L38" s="4" t="inlineStr">
        <is>
          <t>INR</t>
        </is>
      </c>
      <c r="M38" s="15" t="n">
        <v>-1</v>
      </c>
      <c r="N38" s="4" t="inlineStr">
        <is>
          <t>IOS Owner</t>
        </is>
      </c>
      <c r="O38" s="4" t="n"/>
      <c r="P38" s="4" t="n"/>
      <c r="Q38" s="4" t="inlineStr">
        <is>
          <t>MAESTRO-IOS-PERSONAL-LIFESTYLE-0037 | Dining | 1.00</t>
        </is>
      </c>
      <c r="R38" s="4" t="inlineStr">
        <is>
          <t>iPhone</t>
        </is>
      </c>
      <c r="S38" s="4" t="inlineStr">
        <is>
          <t>B01</t>
        </is>
      </c>
      <c r="T38" s="4" t="inlineStr">
        <is>
          <t>BASELINE_1_500</t>
        </is>
      </c>
      <c r="U38" s="4" t="inlineStr">
        <is>
          <t>CREATED</t>
        </is>
      </c>
      <c r="V38" s="4" t="inlineStr">
        <is>
          <t>idem-20260902-ios-0037</t>
        </is>
      </c>
    </row>
    <row r="39" ht="30" customHeight="1">
      <c r="A39" s="4" t="n">
        <v>38</v>
      </c>
      <c r="B39" s="4" t="inlineStr">
        <is>
          <t>MTR-IOS-0038</t>
        </is>
      </c>
      <c r="C39" s="4" t="inlineStr">
        <is>
          <t>Group</t>
        </is>
      </c>
      <c r="D39" s="4" t="inlineStr">
        <is>
          <t>Shared Experience</t>
        </is>
      </c>
      <c r="E39" s="4" t="inlineStr">
        <is>
          <t>Wedding</t>
        </is>
      </c>
      <c r="F39" s="4" t="inlineStr">
        <is>
          <t>Photography</t>
        </is>
      </c>
      <c r="G39" s="4" t="inlineStr">
        <is>
          <t>Expense</t>
        </is>
      </c>
      <c r="H39" s="12" t="n">
        <v>46108</v>
      </c>
      <c r="I39" s="13" t="n">
        <v>0.08805555555555555</v>
      </c>
      <c r="J39" s="14" t="n">
        <v>46108.08805555556</v>
      </c>
      <c r="K39" s="15" t="n">
        <v>6824.65</v>
      </c>
      <c r="L39" s="4" t="inlineStr">
        <is>
          <t>INR</t>
        </is>
      </c>
      <c r="M39" s="15" t="n">
        <v>-6824.65</v>
      </c>
      <c r="N39" s="4" t="inlineStr">
        <is>
          <t>IOS Owner</t>
        </is>
      </c>
      <c r="O39" s="4" t="n">
        <v>3</v>
      </c>
      <c r="P39" s="4" t="inlineStr">
        <is>
          <t>EQUAL</t>
        </is>
      </c>
      <c r="Q39" s="4" t="inlineStr">
        <is>
          <t>MAESTRO-IOS-GROUP-WEDDING-0038 | Photography | 6824.65</t>
        </is>
      </c>
      <c r="R39" s="4" t="inlineStr">
        <is>
          <t>iPhone</t>
        </is>
      </c>
      <c r="S39" s="4" t="inlineStr">
        <is>
          <t>B01</t>
        </is>
      </c>
      <c r="T39" s="4" t="inlineStr">
        <is>
          <t>BASELINE_1_500</t>
        </is>
      </c>
      <c r="U39" s="4" t="inlineStr">
        <is>
          <t>CREATED</t>
        </is>
      </c>
      <c r="V39" s="4" t="inlineStr">
        <is>
          <t>idem-20260902-ios-0038</t>
        </is>
      </c>
    </row>
    <row r="40" ht="30" customHeight="1">
      <c r="A40" s="4" t="n">
        <v>39</v>
      </c>
      <c r="B40" s="4" t="inlineStr">
        <is>
          <t>MTR-IOS-0039</t>
        </is>
      </c>
      <c r="C40" s="4" t="inlineStr">
        <is>
          <t>Business</t>
        </is>
      </c>
      <c r="D40" s="4" t="inlineStr">
        <is>
          <t>Business</t>
        </is>
      </c>
      <c r="E40" s="4" t="inlineStr">
        <is>
          <t>Business Runway</t>
        </is>
      </c>
      <c r="F40" s="4" t="inlineStr">
        <is>
          <t>Investment</t>
        </is>
      </c>
      <c r="G40" s="4" t="inlineStr">
        <is>
          <t>Income</t>
        </is>
      </c>
      <c r="H40" s="12" t="n">
        <v>46231</v>
      </c>
      <c r="I40" s="13" t="n">
        <v>0.6890972222222222</v>
      </c>
      <c r="J40" s="14" t="n">
        <v>46231.68909722222</v>
      </c>
      <c r="K40" s="15" t="n">
        <v>161177.11</v>
      </c>
      <c r="L40" s="4" t="inlineStr">
        <is>
          <t>INR</t>
        </is>
      </c>
      <c r="M40" s="15" t="n">
        <v>161177.11</v>
      </c>
      <c r="N40" s="4" t="inlineStr">
        <is>
          <t>IOS Owner</t>
        </is>
      </c>
      <c r="O40" s="4" t="n"/>
      <c r="P40" s="4" t="n"/>
      <c r="Q40" s="4" t="inlineStr">
        <is>
          <t>MAESTRO-IOS-BUSINESS-BUSINESS_RUNWAY-0039 | Investment | 161177.11</t>
        </is>
      </c>
      <c r="R40" s="4" t="inlineStr">
        <is>
          <t>iPhone</t>
        </is>
      </c>
      <c r="S40" s="4" t="inlineStr">
        <is>
          <t>B01</t>
        </is>
      </c>
      <c r="T40" s="4" t="inlineStr">
        <is>
          <t>BASELINE_1_500</t>
        </is>
      </c>
      <c r="U40" s="4" t="inlineStr">
        <is>
          <t>CREATED</t>
        </is>
      </c>
      <c r="V40" s="4" t="inlineStr">
        <is>
          <t>idem-20260902-ios-0039</t>
        </is>
      </c>
    </row>
    <row r="41" ht="30" customHeight="1">
      <c r="A41" s="4" t="n">
        <v>40</v>
      </c>
      <c r="B41" s="4" t="inlineStr">
        <is>
          <t>MTR-IOS-0040</t>
        </is>
      </c>
      <c r="C41" s="4" t="inlineStr">
        <is>
          <t>Personal</t>
        </is>
      </c>
      <c r="D41" s="4" t="inlineStr">
        <is>
          <t>Personal</t>
        </is>
      </c>
      <c r="E41" s="4" t="inlineStr">
        <is>
          <t>Lifestyle</t>
        </is>
      </c>
      <c r="F41" s="4" t="inlineStr">
        <is>
          <t>Shopping</t>
        </is>
      </c>
      <c r="G41" s="4" t="inlineStr">
        <is>
          <t>Expense</t>
        </is>
      </c>
      <c r="H41" s="12" t="n">
        <v>46198</v>
      </c>
      <c r="I41" s="13" t="n">
        <v>0.9310648148148148</v>
      </c>
      <c r="J41" s="14" t="n">
        <v>46198.93106481482</v>
      </c>
      <c r="K41" s="15" t="n">
        <v>8933.08</v>
      </c>
      <c r="L41" s="4" t="inlineStr">
        <is>
          <t>INR</t>
        </is>
      </c>
      <c r="M41" s="15" t="n">
        <v>-8933.08</v>
      </c>
      <c r="N41" s="4" t="inlineStr">
        <is>
          <t>IOS Owner</t>
        </is>
      </c>
      <c r="O41" s="4" t="n"/>
      <c r="P41" s="4" t="n"/>
      <c r="Q41" s="4" t="inlineStr">
        <is>
          <t>MAESTRO-IOS-PERSONAL-LIFESTYLE-0040 | Shopping | 8933.08</t>
        </is>
      </c>
      <c r="R41" s="4" t="inlineStr">
        <is>
          <t>iPhone</t>
        </is>
      </c>
      <c r="S41" s="4" t="inlineStr">
        <is>
          <t>B01</t>
        </is>
      </c>
      <c r="T41" s="4" t="inlineStr">
        <is>
          <t>BASELINE_1_500</t>
        </is>
      </c>
      <c r="U41" s="4" t="inlineStr">
        <is>
          <t>CREATED</t>
        </is>
      </c>
      <c r="V41" s="4" t="inlineStr">
        <is>
          <t>idem-20260902-ios-0040</t>
        </is>
      </c>
    </row>
    <row r="42" ht="30" customHeight="1">
      <c r="A42" s="4" t="n">
        <v>41</v>
      </c>
      <c r="B42" s="4" t="inlineStr">
        <is>
          <t>MTR-IOS-0041</t>
        </is>
      </c>
      <c r="C42" s="4" t="inlineStr">
        <is>
          <t>Group</t>
        </is>
      </c>
      <c r="D42" s="4" t="inlineStr">
        <is>
          <t>Shared Experience</t>
        </is>
      </c>
      <c r="E42" s="4" t="inlineStr">
        <is>
          <t>Wedding</t>
        </is>
      </c>
      <c r="F42" s="4" t="inlineStr">
        <is>
          <t>Other</t>
        </is>
      </c>
      <c r="G42" s="4" t="inlineStr">
        <is>
          <t>Expense</t>
        </is>
      </c>
      <c r="H42" s="12" t="n">
        <v>45956</v>
      </c>
      <c r="I42" s="13" t="n">
        <v>0.574675925925926</v>
      </c>
      <c r="J42" s="14" t="n">
        <v>45956.57467592593</v>
      </c>
      <c r="K42" s="15" t="n">
        <v>18392.39</v>
      </c>
      <c r="L42" s="4" t="inlineStr">
        <is>
          <t>INR</t>
        </is>
      </c>
      <c r="M42" s="15" t="n">
        <v>-18392.39</v>
      </c>
      <c r="N42" s="4" t="inlineStr">
        <is>
          <t>IOS Aarav</t>
        </is>
      </c>
      <c r="O42" s="4" t="n">
        <v>3</v>
      </c>
      <c r="P42" s="4" t="inlineStr">
        <is>
          <t>PERCENTAGE</t>
        </is>
      </c>
      <c r="Q42" s="4" t="inlineStr">
        <is>
          <t>MAESTRO-IOS-GROUP-WEDDING-0041 | Other | 18392.39</t>
        </is>
      </c>
      <c r="R42" s="4" t="inlineStr">
        <is>
          <t>iPhone</t>
        </is>
      </c>
      <c r="S42" s="4" t="inlineStr">
        <is>
          <t>B01</t>
        </is>
      </c>
      <c r="T42" s="4" t="inlineStr">
        <is>
          <t>BASELINE_1_500</t>
        </is>
      </c>
      <c r="U42" s="4" t="inlineStr">
        <is>
          <t>CREATED</t>
        </is>
      </c>
      <c r="V42" s="4" t="inlineStr">
        <is>
          <t>idem-20260902-ios-0041</t>
        </is>
      </c>
    </row>
    <row r="43" ht="30" customHeight="1">
      <c r="A43" s="4" t="n">
        <v>42</v>
      </c>
      <c r="B43" s="4" t="inlineStr">
        <is>
          <t>MTR-IOS-0042</t>
        </is>
      </c>
      <c r="C43" s="4" t="inlineStr">
        <is>
          <t>Business</t>
        </is>
      </c>
      <c r="D43" s="4" t="inlineStr">
        <is>
          <t>Business</t>
        </is>
      </c>
      <c r="E43" s="4" t="inlineStr">
        <is>
          <t>Business Operations</t>
        </is>
      </c>
      <c r="F43" s="4" t="inlineStr">
        <is>
          <t>Software</t>
        </is>
      </c>
      <c r="G43" s="4" t="inlineStr">
        <is>
          <t>Expense</t>
        </is>
      </c>
      <c r="H43" s="12" t="n">
        <v>46127</v>
      </c>
      <c r="I43" s="13" t="n">
        <v>0.5655208333333334</v>
      </c>
      <c r="J43" s="14" t="n">
        <v>46127.56552083333</v>
      </c>
      <c r="K43" s="15" t="n">
        <v>31212.26</v>
      </c>
      <c r="L43" s="4" t="inlineStr">
        <is>
          <t>INR</t>
        </is>
      </c>
      <c r="M43" s="15" t="n">
        <v>-31212.26</v>
      </c>
      <c r="N43" s="4" t="inlineStr">
        <is>
          <t>IOS Owner</t>
        </is>
      </c>
      <c r="O43" s="4" t="n"/>
      <c r="P43" s="4" t="n"/>
      <c r="Q43" s="4" t="inlineStr">
        <is>
          <t>MAESTRO-IOS-BUSINESS-BUSINESS_OPERATIONS-0042 | Software | 31212.26</t>
        </is>
      </c>
      <c r="R43" s="4" t="inlineStr">
        <is>
          <t>iPhone</t>
        </is>
      </c>
      <c r="S43" s="4" t="inlineStr">
        <is>
          <t>B01</t>
        </is>
      </c>
      <c r="T43" s="4" t="inlineStr">
        <is>
          <t>BASELINE_1_500</t>
        </is>
      </c>
      <c r="U43" s="4" t="inlineStr">
        <is>
          <t>CREATED</t>
        </is>
      </c>
      <c r="V43" s="4" t="inlineStr">
        <is>
          <t>idem-20260902-ios-0042</t>
        </is>
      </c>
    </row>
    <row r="44" ht="30" customHeight="1">
      <c r="A44" s="4" t="n">
        <v>43</v>
      </c>
      <c r="B44" s="4" t="inlineStr">
        <is>
          <t>MTR-IOS-0043</t>
        </is>
      </c>
      <c r="C44" s="4" t="inlineStr">
        <is>
          <t>Personal</t>
        </is>
      </c>
      <c r="D44" s="4" t="inlineStr">
        <is>
          <t>Personal</t>
        </is>
      </c>
      <c r="E44" s="4" t="inlineStr">
        <is>
          <t>Lifestyle</t>
        </is>
      </c>
      <c r="F44" s="4" t="inlineStr">
        <is>
          <t>Entertainment</t>
        </is>
      </c>
      <c r="G44" s="4" t="inlineStr">
        <is>
          <t>Expense</t>
        </is>
      </c>
      <c r="H44" s="12" t="n">
        <v>45998</v>
      </c>
      <c r="I44" s="13" t="n">
        <v>0.1922800925925926</v>
      </c>
      <c r="J44" s="14" t="n">
        <v>45998.19228009259</v>
      </c>
      <c r="K44" s="15" t="n">
        <v>3405.74</v>
      </c>
      <c r="L44" s="4" t="inlineStr">
        <is>
          <t>INR</t>
        </is>
      </c>
      <c r="M44" s="15" t="n">
        <v>-3405.74</v>
      </c>
      <c r="N44" s="4" t="inlineStr">
        <is>
          <t>IOS Owner</t>
        </is>
      </c>
      <c r="O44" s="4" t="n"/>
      <c r="P44" s="4" t="n"/>
      <c r="Q44" s="4" t="inlineStr">
        <is>
          <t>MAESTRO-IOS-PERSONAL-LIFESTYLE-0043 | Entertainment | 3405.74</t>
        </is>
      </c>
      <c r="R44" s="4" t="inlineStr">
        <is>
          <t>iPhone</t>
        </is>
      </c>
      <c r="S44" s="4" t="inlineStr">
        <is>
          <t>B01</t>
        </is>
      </c>
      <c r="T44" s="4" t="inlineStr">
        <is>
          <t>BASELINE_1_500</t>
        </is>
      </c>
      <c r="U44" s="4" t="inlineStr">
        <is>
          <t>CREATED</t>
        </is>
      </c>
      <c r="V44" s="4" t="inlineStr">
        <is>
          <t>idem-20260902-ios-0043</t>
        </is>
      </c>
    </row>
    <row r="45" ht="30" customHeight="1">
      <c r="A45" s="4" t="n">
        <v>44</v>
      </c>
      <c r="B45" s="4" t="inlineStr">
        <is>
          <t>MTR-IOS-0044</t>
        </is>
      </c>
      <c r="C45" s="4" t="inlineStr">
        <is>
          <t>Group</t>
        </is>
      </c>
      <c r="D45" s="4" t="inlineStr">
        <is>
          <t>Shared Experience</t>
        </is>
      </c>
      <c r="E45" s="4" t="inlineStr">
        <is>
          <t>Office Outing</t>
        </is>
      </c>
      <c r="F45" s="4" t="inlineStr">
        <is>
          <t>Food</t>
        </is>
      </c>
      <c r="G45" s="4" t="inlineStr">
        <is>
          <t>Expense</t>
        </is>
      </c>
      <c r="H45" s="12" t="n">
        <v>46158</v>
      </c>
      <c r="I45" s="13" t="n">
        <v>0.2019212962962963</v>
      </c>
      <c r="J45" s="14" t="n">
        <v>46158.2019212963</v>
      </c>
      <c r="K45" s="15" t="n">
        <v>24075.67</v>
      </c>
      <c r="L45" s="4" t="inlineStr">
        <is>
          <t>INR</t>
        </is>
      </c>
      <c r="M45" s="15" t="n">
        <v>-24075.67</v>
      </c>
      <c r="N45" s="4" t="inlineStr">
        <is>
          <t>IOS Meera</t>
        </is>
      </c>
      <c r="O45" s="4" t="n">
        <v>3</v>
      </c>
      <c r="P45" s="4" t="inlineStr">
        <is>
          <t>EXACT</t>
        </is>
      </c>
      <c r="Q45" s="4" t="inlineStr">
        <is>
          <t>MAESTRO-IOS-GROUP-OFFICE_OUTING-0044 | Food | 24075.67</t>
        </is>
      </c>
      <c r="R45" s="4" t="inlineStr">
        <is>
          <t>iPhone</t>
        </is>
      </c>
      <c r="S45" s="4" t="inlineStr">
        <is>
          <t>B01</t>
        </is>
      </c>
      <c r="T45" s="4" t="inlineStr">
        <is>
          <t>BASELINE_1_500</t>
        </is>
      </c>
      <c r="U45" s="4" t="inlineStr">
        <is>
          <t>CREATED</t>
        </is>
      </c>
      <c r="V45" s="4" t="inlineStr">
        <is>
          <t>idem-20260902-ios-0044</t>
        </is>
      </c>
    </row>
    <row r="46" ht="30" customHeight="1">
      <c r="A46" s="4" t="n">
        <v>45</v>
      </c>
      <c r="B46" s="4" t="inlineStr">
        <is>
          <t>MTR-IOS-0045</t>
        </is>
      </c>
      <c r="C46" s="4" t="inlineStr">
        <is>
          <t>Business</t>
        </is>
      </c>
      <c r="D46" s="4" t="inlineStr">
        <is>
          <t>Business</t>
        </is>
      </c>
      <c r="E46" s="4" t="inlineStr">
        <is>
          <t>Business Operations</t>
        </is>
      </c>
      <c r="F46" s="4" t="inlineStr">
        <is>
          <t>Rent</t>
        </is>
      </c>
      <c r="G46" s="4" t="inlineStr">
        <is>
          <t>Expense</t>
        </is>
      </c>
      <c r="H46" s="12" t="n">
        <v>46054</v>
      </c>
      <c r="I46" s="13" t="n">
        <v>0.7599421296296296</v>
      </c>
      <c r="J46" s="14" t="n">
        <v>46054.75994212963</v>
      </c>
      <c r="K46" s="15" t="n">
        <v>115020.15</v>
      </c>
      <c r="L46" s="4" t="inlineStr">
        <is>
          <t>INR</t>
        </is>
      </c>
      <c r="M46" s="15" t="n">
        <v>-115020.15</v>
      </c>
      <c r="N46" s="4" t="inlineStr">
        <is>
          <t>IOS Owner</t>
        </is>
      </c>
      <c r="O46" s="4" t="n"/>
      <c r="P46" s="4" t="n"/>
      <c r="Q46" s="4" t="inlineStr">
        <is>
          <t>MAESTRO-IOS-BUSINESS-BUSINESS_OPERATIONS-0045 | Rent | 115020.15</t>
        </is>
      </c>
      <c r="R46" s="4" t="inlineStr">
        <is>
          <t>iPhone</t>
        </is>
      </c>
      <c r="S46" s="4" t="inlineStr">
        <is>
          <t>B01</t>
        </is>
      </c>
      <c r="T46" s="4" t="inlineStr">
        <is>
          <t>BASELINE_1_500</t>
        </is>
      </c>
      <c r="U46" s="4" t="inlineStr">
        <is>
          <t>CREATED</t>
        </is>
      </c>
      <c r="V46" s="4" t="inlineStr">
        <is>
          <t>idem-20260902-ios-0045</t>
        </is>
      </c>
    </row>
    <row r="47" ht="30" customHeight="1">
      <c r="A47" s="4" t="n">
        <v>46</v>
      </c>
      <c r="B47" s="4" t="inlineStr">
        <is>
          <t>MTR-IOS-0046</t>
        </is>
      </c>
      <c r="C47" s="4" t="inlineStr">
        <is>
          <t>Personal</t>
        </is>
      </c>
      <c r="D47" s="4" t="inlineStr">
        <is>
          <t>Personal</t>
        </is>
      </c>
      <c r="E47" s="4" t="inlineStr">
        <is>
          <t>Lifestyle</t>
        </is>
      </c>
      <c r="F47" s="4" t="inlineStr">
        <is>
          <t>Travel</t>
        </is>
      </c>
      <c r="G47" s="4" t="inlineStr">
        <is>
          <t>Expense</t>
        </is>
      </c>
      <c r="H47" s="12" t="n">
        <v>46166</v>
      </c>
      <c r="I47" s="13" t="n">
        <v>0.04493055555555556</v>
      </c>
      <c r="J47" s="14" t="n">
        <v>46166.04493055555</v>
      </c>
      <c r="K47" s="15" t="n">
        <v>2690.2</v>
      </c>
      <c r="L47" s="4" t="inlineStr">
        <is>
          <t>INR</t>
        </is>
      </c>
      <c r="M47" s="15" t="n">
        <v>-2690.2</v>
      </c>
      <c r="N47" s="4" t="inlineStr">
        <is>
          <t>IOS Owner</t>
        </is>
      </c>
      <c r="O47" s="4" t="n"/>
      <c r="P47" s="4" t="n"/>
      <c r="Q47" s="4" t="inlineStr">
        <is>
          <t>MAESTRO-IOS-PERSONAL-LIFESTYLE-0046 | Travel | 2690.20</t>
        </is>
      </c>
      <c r="R47" s="4" t="inlineStr">
        <is>
          <t>iPhone</t>
        </is>
      </c>
      <c r="S47" s="4" t="inlineStr">
        <is>
          <t>B01</t>
        </is>
      </c>
      <c r="T47" s="4" t="inlineStr">
        <is>
          <t>BASELINE_1_500</t>
        </is>
      </c>
      <c r="U47" s="4" t="inlineStr">
        <is>
          <t>CREATED</t>
        </is>
      </c>
      <c r="V47" s="4" t="inlineStr">
        <is>
          <t>idem-20260902-ios-0046</t>
        </is>
      </c>
    </row>
    <row r="48" ht="30" customHeight="1">
      <c r="A48" s="4" t="n">
        <v>47</v>
      </c>
      <c r="B48" s="4" t="inlineStr">
        <is>
          <t>MTR-IOS-0047</t>
        </is>
      </c>
      <c r="C48" s="4" t="inlineStr">
        <is>
          <t>Group</t>
        </is>
      </c>
      <c r="D48" s="4" t="inlineStr">
        <is>
          <t>Shared Experience</t>
        </is>
      </c>
      <c r="E48" s="4" t="inlineStr">
        <is>
          <t>Office Outing</t>
        </is>
      </c>
      <c r="F48" s="4" t="inlineStr">
        <is>
          <t>Travel</t>
        </is>
      </c>
      <c r="G48" s="4" t="inlineStr">
        <is>
          <t>Expense</t>
        </is>
      </c>
      <c r="H48" s="12" t="n">
        <v>46202</v>
      </c>
      <c r="I48" s="13" t="n">
        <v>0.3971180555555556</v>
      </c>
      <c r="J48" s="14" t="n">
        <v>46202.39711805555</v>
      </c>
      <c r="K48" s="15" t="n">
        <v>26939.54</v>
      </c>
      <c r="L48" s="4" t="inlineStr">
        <is>
          <t>INR</t>
        </is>
      </c>
      <c r="M48" s="15" t="n">
        <v>-26939.54</v>
      </c>
      <c r="N48" s="4" t="inlineStr">
        <is>
          <t>IOS Owner</t>
        </is>
      </c>
      <c r="O48" s="4" t="n">
        <v>3</v>
      </c>
      <c r="P48" s="4" t="inlineStr">
        <is>
          <t>SHARES</t>
        </is>
      </c>
      <c r="Q48" s="4" t="inlineStr">
        <is>
          <t>MAESTRO-IOS-GROUP-OFFICE_OUTING-0047 | Travel | 26939.54</t>
        </is>
      </c>
      <c r="R48" s="4" t="inlineStr">
        <is>
          <t>iPhone</t>
        </is>
      </c>
      <c r="S48" s="4" t="inlineStr">
        <is>
          <t>B01</t>
        </is>
      </c>
      <c r="T48" s="4" t="inlineStr">
        <is>
          <t>BASELINE_1_500</t>
        </is>
      </c>
      <c r="U48" s="4" t="inlineStr">
        <is>
          <t>CREATED</t>
        </is>
      </c>
      <c r="V48" s="4" t="inlineStr">
        <is>
          <t>idem-20260902-ios-0047</t>
        </is>
      </c>
    </row>
    <row r="49" ht="30" customHeight="1">
      <c r="A49" s="4" t="n">
        <v>48</v>
      </c>
      <c r="B49" s="4" t="inlineStr">
        <is>
          <t>MTR-IOS-0048</t>
        </is>
      </c>
      <c r="C49" s="4" t="inlineStr">
        <is>
          <t>Business</t>
        </is>
      </c>
      <c r="D49" s="4" t="inlineStr">
        <is>
          <t>Business</t>
        </is>
      </c>
      <c r="E49" s="4" t="inlineStr">
        <is>
          <t>Business Operations</t>
        </is>
      </c>
      <c r="F49" s="4" t="inlineStr">
        <is>
          <t>Marketing</t>
        </is>
      </c>
      <c r="G49" s="4" t="inlineStr">
        <is>
          <t>Expense</t>
        </is>
      </c>
      <c r="H49" s="12" t="n">
        <v>46092</v>
      </c>
      <c r="I49" s="13" t="n">
        <v>0.4108333333333333</v>
      </c>
      <c r="J49" s="14" t="n">
        <v>46092.41083333334</v>
      </c>
      <c r="K49" s="15" t="n">
        <v>13101.49</v>
      </c>
      <c r="L49" s="4" t="inlineStr">
        <is>
          <t>INR</t>
        </is>
      </c>
      <c r="M49" s="15" t="n">
        <v>-13101.49</v>
      </c>
      <c r="N49" s="4" t="inlineStr">
        <is>
          <t>IOS Owner</t>
        </is>
      </c>
      <c r="O49" s="4" t="n"/>
      <c r="P49" s="4" t="n"/>
      <c r="Q49" s="4" t="inlineStr">
        <is>
          <t>MAESTRO-IOS-BUSINESS-BUSINESS_OPERATIONS-0048 | Marketing | 13101.49</t>
        </is>
      </c>
      <c r="R49" s="4" t="inlineStr">
        <is>
          <t>iPhone</t>
        </is>
      </c>
      <c r="S49" s="4" t="inlineStr">
        <is>
          <t>B01</t>
        </is>
      </c>
      <c r="T49" s="4" t="inlineStr">
        <is>
          <t>BASELINE_1_500</t>
        </is>
      </c>
      <c r="U49" s="4" t="inlineStr">
        <is>
          <t>CREATED</t>
        </is>
      </c>
      <c r="V49" s="4" t="inlineStr">
        <is>
          <t>idem-20260902-ios-0048</t>
        </is>
      </c>
    </row>
    <row r="50" ht="30" customHeight="1">
      <c r="A50" s="4" t="n">
        <v>49</v>
      </c>
      <c r="B50" s="4" t="inlineStr">
        <is>
          <t>MTR-IOS-0049</t>
        </is>
      </c>
      <c r="C50" s="4" t="inlineStr">
        <is>
          <t>Personal</t>
        </is>
      </c>
      <c r="D50" s="4" t="inlineStr">
        <is>
          <t>Personal</t>
        </is>
      </c>
      <c r="E50" s="4" t="inlineStr">
        <is>
          <t>Lifestyle</t>
        </is>
      </c>
      <c r="F50" s="4" t="inlineStr">
        <is>
          <t>Fitness</t>
        </is>
      </c>
      <c r="G50" s="4" t="inlineStr">
        <is>
          <t>Expense</t>
        </is>
      </c>
      <c r="H50" s="12" t="n">
        <v>46188</v>
      </c>
      <c r="I50" s="13" t="n">
        <v>0.8146180555555556</v>
      </c>
      <c r="J50" s="14" t="n">
        <v>46188.81461805556</v>
      </c>
      <c r="K50" s="15" t="n">
        <v>11242.4</v>
      </c>
      <c r="L50" s="4" t="inlineStr">
        <is>
          <t>INR</t>
        </is>
      </c>
      <c r="M50" s="15" t="n">
        <v>-11242.4</v>
      </c>
      <c r="N50" s="4" t="inlineStr">
        <is>
          <t>IOS Owner</t>
        </is>
      </c>
      <c r="O50" s="4" t="n"/>
      <c r="P50" s="4" t="n"/>
      <c r="Q50" s="4" t="inlineStr">
        <is>
          <t>MAESTRO-IOS-PERSONAL-LIFESTYLE-0049 | Fitness | 11242.40</t>
        </is>
      </c>
      <c r="R50" s="4" t="inlineStr">
        <is>
          <t>iPhone</t>
        </is>
      </c>
      <c r="S50" s="4" t="inlineStr">
        <is>
          <t>B01</t>
        </is>
      </c>
      <c r="T50" s="4" t="inlineStr">
        <is>
          <t>BASELINE_1_500</t>
        </is>
      </c>
      <c r="U50" s="4" t="inlineStr">
        <is>
          <t>CREATED</t>
        </is>
      </c>
      <c r="V50" s="4" t="inlineStr">
        <is>
          <t>idem-20260902-ios-0049</t>
        </is>
      </c>
    </row>
    <row r="51" ht="30" customHeight="1">
      <c r="A51" s="4" t="n">
        <v>50</v>
      </c>
      <c r="B51" s="4" t="inlineStr">
        <is>
          <t>MTR-IOS-0050</t>
        </is>
      </c>
      <c r="C51" s="4" t="inlineStr">
        <is>
          <t>Group</t>
        </is>
      </c>
      <c r="D51" s="4" t="inlineStr">
        <is>
          <t>Shared Experience</t>
        </is>
      </c>
      <c r="E51" s="4" t="inlineStr">
        <is>
          <t>Office Outing</t>
        </is>
      </c>
      <c r="F51" s="4" t="inlineStr">
        <is>
          <t>Activities</t>
        </is>
      </c>
      <c r="G51" s="4" t="inlineStr">
        <is>
          <t>Expense</t>
        </is>
      </c>
      <c r="H51" s="12" t="n">
        <v>46149</v>
      </c>
      <c r="I51" s="13" t="n">
        <v>0.7857291666666667</v>
      </c>
      <c r="J51" s="14" t="n">
        <v>46149.78572916667</v>
      </c>
      <c r="K51" s="15" t="n">
        <v>23929.09</v>
      </c>
      <c r="L51" s="4" t="inlineStr">
        <is>
          <t>INR</t>
        </is>
      </c>
      <c r="M51" s="15" t="n">
        <v>-23929.09</v>
      </c>
      <c r="N51" s="4" t="inlineStr">
        <is>
          <t>IOS Aarav</t>
        </is>
      </c>
      <c r="O51" s="4" t="n">
        <v>3</v>
      </c>
      <c r="P51" s="4" t="inlineStr">
        <is>
          <t>EQUAL</t>
        </is>
      </c>
      <c r="Q51" s="4" t="inlineStr">
        <is>
          <t>MAESTRO-IOS-GROUP-OFFICE_OUTING-0050 | Activities | 23929.09</t>
        </is>
      </c>
      <c r="R51" s="4" t="inlineStr">
        <is>
          <t>iPhone</t>
        </is>
      </c>
      <c r="S51" s="4" t="inlineStr">
        <is>
          <t>B01</t>
        </is>
      </c>
      <c r="T51" s="4" t="inlineStr">
        <is>
          <t>BASELINE_1_500</t>
        </is>
      </c>
      <c r="U51" s="4" t="inlineStr">
        <is>
          <t>CREATED</t>
        </is>
      </c>
      <c r="V51" s="4" t="inlineStr">
        <is>
          <t>idem-20260902-ios-0050</t>
        </is>
      </c>
    </row>
    <row r="52" ht="30" customHeight="1">
      <c r="A52" s="4" t="n">
        <v>51</v>
      </c>
      <c r="B52" s="4" t="inlineStr">
        <is>
          <t>MTR-IOS-0051</t>
        </is>
      </c>
      <c r="C52" s="4" t="inlineStr">
        <is>
          <t>Business</t>
        </is>
      </c>
      <c r="D52" s="4" t="inlineStr">
        <is>
          <t>Business</t>
        </is>
      </c>
      <c r="E52" s="4" t="inlineStr">
        <is>
          <t>Business Operations</t>
        </is>
      </c>
      <c r="F52" s="4" t="inlineStr">
        <is>
          <t>Legal</t>
        </is>
      </c>
      <c r="G52" s="4" t="inlineStr">
        <is>
          <t>Expense</t>
        </is>
      </c>
      <c r="H52" s="12" t="n">
        <v>46144</v>
      </c>
      <c r="I52" s="13" t="n">
        <v>0.3546296296296296</v>
      </c>
      <c r="J52" s="14" t="n">
        <v>46144.35462962963</v>
      </c>
      <c r="K52" s="15" t="n">
        <v>129560.87</v>
      </c>
      <c r="L52" s="4" t="inlineStr">
        <is>
          <t>INR</t>
        </is>
      </c>
      <c r="M52" s="15" t="n">
        <v>-129560.87</v>
      </c>
      <c r="N52" s="4" t="inlineStr">
        <is>
          <t>IOS Owner</t>
        </is>
      </c>
      <c r="O52" s="4" t="n"/>
      <c r="P52" s="4" t="n"/>
      <c r="Q52" s="4" t="inlineStr">
        <is>
          <t>MAESTRO-IOS-BUSINESS-BUSINESS_OPERATIONS-0051 | Legal | 129560.87</t>
        </is>
      </c>
      <c r="R52" s="4" t="inlineStr">
        <is>
          <t>iPhone</t>
        </is>
      </c>
      <c r="S52" s="4" t="inlineStr">
        <is>
          <t>B02</t>
        </is>
      </c>
      <c r="T52" s="4" t="inlineStr">
        <is>
          <t>BASELINE_1_500</t>
        </is>
      </c>
      <c r="U52" s="4" t="inlineStr">
        <is>
          <t>CREATED</t>
        </is>
      </c>
      <c r="V52" s="4" t="inlineStr">
        <is>
          <t>idem-20260902-ios-0051</t>
        </is>
      </c>
    </row>
    <row r="53" ht="30" customHeight="1">
      <c r="A53" s="4" t="n">
        <v>52</v>
      </c>
      <c r="B53" s="4" t="inlineStr">
        <is>
          <t>MTR-IOS-0052</t>
        </is>
      </c>
      <c r="C53" s="4" t="inlineStr">
        <is>
          <t>Personal</t>
        </is>
      </c>
      <c r="D53" s="4" t="inlineStr">
        <is>
          <t>Personal</t>
        </is>
      </c>
      <c r="E53" s="4" t="inlineStr">
        <is>
          <t>Lifestyle</t>
        </is>
      </c>
      <c r="F53" s="4" t="inlineStr">
        <is>
          <t>Hobbies</t>
        </is>
      </c>
      <c r="G53" s="4" t="inlineStr">
        <is>
          <t>Expense</t>
        </is>
      </c>
      <c r="H53" s="12" t="n">
        <v>46125</v>
      </c>
      <c r="I53" s="13" t="n">
        <v>0.02555555555555556</v>
      </c>
      <c r="J53" s="14" t="n">
        <v>46125.02555555556</v>
      </c>
      <c r="K53" s="15" t="n">
        <v>12569.92</v>
      </c>
      <c r="L53" s="4" t="inlineStr">
        <is>
          <t>INR</t>
        </is>
      </c>
      <c r="M53" s="15" t="n">
        <v>-12569.92</v>
      </c>
      <c r="N53" s="4" t="inlineStr">
        <is>
          <t>IOS Owner</t>
        </is>
      </c>
      <c r="O53" s="4" t="n"/>
      <c r="P53" s="4" t="n"/>
      <c r="Q53" s="4" t="inlineStr">
        <is>
          <t>MAESTRO-IOS-PERSONAL-LIFESTYLE-0052 | Hobbies | 12569.92</t>
        </is>
      </c>
      <c r="R53" s="4" t="inlineStr">
        <is>
          <t>iPhone</t>
        </is>
      </c>
      <c r="S53" s="4" t="inlineStr">
        <is>
          <t>B02</t>
        </is>
      </c>
      <c r="T53" s="4" t="inlineStr">
        <is>
          <t>BASELINE_1_500</t>
        </is>
      </c>
      <c r="U53" s="4" t="inlineStr">
        <is>
          <t>CREATED</t>
        </is>
      </c>
      <c r="V53" s="4" t="inlineStr">
        <is>
          <t>idem-20260902-ios-0052</t>
        </is>
      </c>
    </row>
    <row r="54" ht="30" customHeight="1">
      <c r="A54" s="4" t="n">
        <v>53</v>
      </c>
      <c r="B54" s="4" t="inlineStr">
        <is>
          <t>MTR-IOS-0053</t>
        </is>
      </c>
      <c r="C54" s="4" t="inlineStr">
        <is>
          <t>Group</t>
        </is>
      </c>
      <c r="D54" s="4" t="inlineStr">
        <is>
          <t>Shared Experience</t>
        </is>
      </c>
      <c r="E54" s="4" t="inlineStr">
        <is>
          <t>Office Outing</t>
        </is>
      </c>
      <c r="F54" s="4" t="inlineStr">
        <is>
          <t>Venue</t>
        </is>
      </c>
      <c r="G54" s="4" t="inlineStr">
        <is>
          <t>Expense</t>
        </is>
      </c>
      <c r="H54" s="12" t="n">
        <v>46247</v>
      </c>
      <c r="I54" s="13" t="n">
        <v>0.04945601851851852</v>
      </c>
      <c r="J54" s="14" t="n">
        <v>46247.04945601852</v>
      </c>
      <c r="K54" s="15" t="n">
        <v>4138</v>
      </c>
      <c r="L54" s="4" t="inlineStr">
        <is>
          <t>INR</t>
        </is>
      </c>
      <c r="M54" s="15" t="n">
        <v>-4138</v>
      </c>
      <c r="N54" s="4" t="inlineStr">
        <is>
          <t>IOS Meera</t>
        </is>
      </c>
      <c r="O54" s="4" t="n">
        <v>3</v>
      </c>
      <c r="P54" s="4" t="inlineStr">
        <is>
          <t>PERCENTAGE</t>
        </is>
      </c>
      <c r="Q54" s="4" t="inlineStr">
        <is>
          <t>MAESTRO-IOS-GROUP-OFFICE_OUTING-0053 | Venue | 4138.00</t>
        </is>
      </c>
      <c r="R54" s="4" t="inlineStr">
        <is>
          <t>iPhone</t>
        </is>
      </c>
      <c r="S54" s="4" t="inlineStr">
        <is>
          <t>B02</t>
        </is>
      </c>
      <c r="T54" s="4" t="inlineStr">
        <is>
          <t>BASELINE_1_500</t>
        </is>
      </c>
      <c r="U54" s="4" t="inlineStr">
        <is>
          <t>CREATED</t>
        </is>
      </c>
      <c r="V54" s="4" t="inlineStr">
        <is>
          <t>idem-20260902-ios-0053</t>
        </is>
      </c>
    </row>
    <row r="55" ht="30" customHeight="1">
      <c r="A55" s="4" t="n">
        <v>54</v>
      </c>
      <c r="B55" s="4" t="inlineStr">
        <is>
          <t>MTR-IOS-0054</t>
        </is>
      </c>
      <c r="C55" s="4" t="inlineStr">
        <is>
          <t>Business</t>
        </is>
      </c>
      <c r="D55" s="4" t="inlineStr">
        <is>
          <t>Business</t>
        </is>
      </c>
      <c r="E55" s="4" t="inlineStr">
        <is>
          <t>Business Operations</t>
        </is>
      </c>
      <c r="F55" s="4" t="inlineStr">
        <is>
          <t>Accounting</t>
        </is>
      </c>
      <c r="G55" s="4" t="inlineStr">
        <is>
          <t>Expense</t>
        </is>
      </c>
      <c r="H55" s="12" t="n">
        <v>46064</v>
      </c>
      <c r="I55" s="13" t="n">
        <v>0.9146064814814815</v>
      </c>
      <c r="J55" s="14" t="n">
        <v>46064.91460648148</v>
      </c>
      <c r="K55" s="15" t="n">
        <v>56575.85</v>
      </c>
      <c r="L55" s="4" t="inlineStr">
        <is>
          <t>INR</t>
        </is>
      </c>
      <c r="M55" s="15" t="n">
        <v>-56575.85</v>
      </c>
      <c r="N55" s="4" t="inlineStr">
        <is>
          <t>IOS Owner</t>
        </is>
      </c>
      <c r="O55" s="4" t="n"/>
      <c r="P55" s="4" t="n"/>
      <c r="Q55" s="4" t="inlineStr">
        <is>
          <t>MAESTRO-IOS-BUSINESS-BUSINESS_OPERATIONS-0054 | Accounting | 56575.85</t>
        </is>
      </c>
      <c r="R55" s="4" t="inlineStr">
        <is>
          <t>iPhone</t>
        </is>
      </c>
      <c r="S55" s="4" t="inlineStr">
        <is>
          <t>B02</t>
        </is>
      </c>
      <c r="T55" s="4" t="inlineStr">
        <is>
          <t>BASELINE_1_500</t>
        </is>
      </c>
      <c r="U55" s="4" t="inlineStr">
        <is>
          <t>CREATED</t>
        </is>
      </c>
      <c r="V55" s="4" t="inlineStr">
        <is>
          <t>idem-20260902-ios-0054</t>
        </is>
      </c>
    </row>
    <row r="56" ht="30" customHeight="1">
      <c r="A56" s="4" t="n">
        <v>55</v>
      </c>
      <c r="B56" s="4" t="inlineStr">
        <is>
          <t>MTR-IOS-0055</t>
        </is>
      </c>
      <c r="C56" s="4" t="inlineStr">
        <is>
          <t>Personal</t>
        </is>
      </c>
      <c r="D56" s="4" t="inlineStr">
        <is>
          <t>Personal</t>
        </is>
      </c>
      <c r="E56" s="4" t="inlineStr">
        <is>
          <t>Relationships</t>
        </is>
      </c>
      <c r="F56" s="4" t="inlineStr">
        <is>
          <t>Gifts</t>
        </is>
      </c>
      <c r="G56" s="4" t="inlineStr">
        <is>
          <t>Expense</t>
        </is>
      </c>
      <c r="H56" s="12" t="n">
        <v>45997</v>
      </c>
      <c r="I56" s="13" t="n">
        <v>0.7414814814814815</v>
      </c>
      <c r="J56" s="14" t="n">
        <v>45997.74148148148</v>
      </c>
      <c r="K56" s="15" t="n">
        <v>11894.24</v>
      </c>
      <c r="L56" s="4" t="inlineStr">
        <is>
          <t>INR</t>
        </is>
      </c>
      <c r="M56" s="15" t="n">
        <v>-11894.24</v>
      </c>
      <c r="N56" s="4" t="inlineStr">
        <is>
          <t>IOS Owner</t>
        </is>
      </c>
      <c r="O56" s="4" t="n"/>
      <c r="P56" s="4" t="n"/>
      <c r="Q56" s="4" t="inlineStr">
        <is>
          <t>MAESTRO-IOS-PERSONAL-RELATIONSHIPS-0055 | Gifts | 11894.24</t>
        </is>
      </c>
      <c r="R56" s="4" t="inlineStr">
        <is>
          <t>iPhone</t>
        </is>
      </c>
      <c r="S56" s="4" t="inlineStr">
        <is>
          <t>B02</t>
        </is>
      </c>
      <c r="T56" s="4" t="inlineStr">
        <is>
          <t>BASELINE_1_500</t>
        </is>
      </c>
      <c r="U56" s="4" t="inlineStr">
        <is>
          <t>CREATED</t>
        </is>
      </c>
      <c r="V56" s="4" t="inlineStr">
        <is>
          <t>idem-20260902-ios-0055</t>
        </is>
      </c>
    </row>
    <row r="57" ht="30" customHeight="1">
      <c r="A57" s="4" t="n">
        <v>56</v>
      </c>
      <c r="B57" s="4" t="inlineStr">
        <is>
          <t>MTR-IOS-0056</t>
        </is>
      </c>
      <c r="C57" s="4" t="inlineStr">
        <is>
          <t>Group</t>
        </is>
      </c>
      <c r="D57" s="4" t="inlineStr">
        <is>
          <t>Shared Experience</t>
        </is>
      </c>
      <c r="E57" s="4" t="inlineStr">
        <is>
          <t>Office Outing</t>
        </is>
      </c>
      <c r="F57" s="4" t="inlineStr">
        <is>
          <t>Other</t>
        </is>
      </c>
      <c r="G57" s="4" t="inlineStr">
        <is>
          <t>Expense</t>
        </is>
      </c>
      <c r="H57" s="12" t="n">
        <v>46050</v>
      </c>
      <c r="I57" s="13" t="n">
        <v>0.8178472222222222</v>
      </c>
      <c r="J57" s="14" t="n">
        <v>46050.81784722222</v>
      </c>
      <c r="K57" s="15" t="n">
        <v>2675.67</v>
      </c>
      <c r="L57" s="4" t="inlineStr">
        <is>
          <t>INR</t>
        </is>
      </c>
      <c r="M57" s="15" t="n">
        <v>-2675.67</v>
      </c>
      <c r="N57" s="4" t="inlineStr">
        <is>
          <t>IOS Owner</t>
        </is>
      </c>
      <c r="O57" s="4" t="n">
        <v>3</v>
      </c>
      <c r="P57" s="4" t="inlineStr">
        <is>
          <t>EXACT</t>
        </is>
      </c>
      <c r="Q57" s="4" t="inlineStr">
        <is>
          <t>MAESTRO-IOS-GROUP-OFFICE_OUTING-0056 | Other | 2675.67</t>
        </is>
      </c>
      <c r="R57" s="4" t="inlineStr">
        <is>
          <t>iPhone</t>
        </is>
      </c>
      <c r="S57" s="4" t="inlineStr">
        <is>
          <t>B02</t>
        </is>
      </c>
      <c r="T57" s="4" t="inlineStr">
        <is>
          <t>BASELINE_1_500</t>
        </is>
      </c>
      <c r="U57" s="4" t="inlineStr">
        <is>
          <t>CREATED</t>
        </is>
      </c>
      <c r="V57" s="4" t="inlineStr">
        <is>
          <t>idem-20260902-ios-0056</t>
        </is>
      </c>
    </row>
    <row r="58" ht="30" customHeight="1">
      <c r="A58" s="4" t="n">
        <v>57</v>
      </c>
      <c r="B58" s="4" t="inlineStr">
        <is>
          <t>MTR-IOS-0057</t>
        </is>
      </c>
      <c r="C58" s="4" t="inlineStr">
        <is>
          <t>Business</t>
        </is>
      </c>
      <c r="D58" s="4" t="inlineStr">
        <is>
          <t>Business</t>
        </is>
      </c>
      <c r="E58" s="4" t="inlineStr">
        <is>
          <t>Business Operations</t>
        </is>
      </c>
      <c r="F58" s="4" t="inlineStr">
        <is>
          <t>Equipment</t>
        </is>
      </c>
      <c r="G58" s="4" t="inlineStr">
        <is>
          <t>Expense</t>
        </is>
      </c>
      <c r="H58" s="12" t="n">
        <v>46119</v>
      </c>
      <c r="I58" s="13" t="n">
        <v>0.8626041666666666</v>
      </c>
      <c r="J58" s="14" t="n">
        <v>46119.86260416666</v>
      </c>
      <c r="K58" s="15" t="n">
        <v>133277.16</v>
      </c>
      <c r="L58" s="4" t="inlineStr">
        <is>
          <t>INR</t>
        </is>
      </c>
      <c r="M58" s="15" t="n">
        <v>-133277.16</v>
      </c>
      <c r="N58" s="4" t="inlineStr">
        <is>
          <t>IOS Owner</t>
        </is>
      </c>
      <c r="O58" s="4" t="n"/>
      <c r="P58" s="4" t="n"/>
      <c r="Q58" s="4" t="inlineStr">
        <is>
          <t>MAESTRO-IOS-BUSINESS-BUSINESS_OPERATIONS-0057 | Equipment | 133277.16</t>
        </is>
      </c>
      <c r="R58" s="4" t="inlineStr">
        <is>
          <t>iPhone</t>
        </is>
      </c>
      <c r="S58" s="4" t="inlineStr">
        <is>
          <t>B02</t>
        </is>
      </c>
      <c r="T58" s="4" t="inlineStr">
        <is>
          <t>BASELINE_1_500</t>
        </is>
      </c>
      <c r="U58" s="4" t="inlineStr">
        <is>
          <t>CREATED</t>
        </is>
      </c>
      <c r="V58" s="4" t="inlineStr">
        <is>
          <t>idem-20260902-ios-0057</t>
        </is>
      </c>
    </row>
    <row r="59" ht="30" customHeight="1">
      <c r="A59" s="4" t="n">
        <v>58</v>
      </c>
      <c r="B59" s="4" t="inlineStr">
        <is>
          <t>MTR-IOS-0058</t>
        </is>
      </c>
      <c r="C59" s="4" t="inlineStr">
        <is>
          <t>Personal</t>
        </is>
      </c>
      <c r="D59" s="4" t="inlineStr">
        <is>
          <t>Personal</t>
        </is>
      </c>
      <c r="E59" s="4" t="inlineStr">
        <is>
          <t>Relationships</t>
        </is>
      </c>
      <c r="F59" s="4" t="inlineStr">
        <is>
          <t>Dates</t>
        </is>
      </c>
      <c r="G59" s="4" t="inlineStr">
        <is>
          <t>Expense</t>
        </is>
      </c>
      <c r="H59" s="12" t="n">
        <v>46098</v>
      </c>
      <c r="I59" s="13" t="n">
        <v>0.9777777777777777</v>
      </c>
      <c r="J59" s="14" t="n">
        <v>46098.97777777778</v>
      </c>
      <c r="K59" s="15" t="n">
        <v>9526.280000000001</v>
      </c>
      <c r="L59" s="4" t="inlineStr">
        <is>
          <t>INR</t>
        </is>
      </c>
      <c r="M59" s="15" t="n">
        <v>-9526.280000000001</v>
      </c>
      <c r="N59" s="4" t="inlineStr">
        <is>
          <t>IOS Owner</t>
        </is>
      </c>
      <c r="O59" s="4" t="n"/>
      <c r="P59" s="4" t="n"/>
      <c r="Q59" s="4" t="inlineStr">
        <is>
          <t>MAESTRO-IOS-PERSONAL-RELATIONSHIPS-0058 | Dates | 9526.28</t>
        </is>
      </c>
      <c r="R59" s="4" t="inlineStr">
        <is>
          <t>iPhone</t>
        </is>
      </c>
      <c r="S59" s="4" t="inlineStr">
        <is>
          <t>B02</t>
        </is>
      </c>
      <c r="T59" s="4" t="inlineStr">
        <is>
          <t>BASELINE_1_500</t>
        </is>
      </c>
      <c r="U59" s="4" t="inlineStr">
        <is>
          <t>CREATED</t>
        </is>
      </c>
      <c r="V59" s="4" t="inlineStr">
        <is>
          <t>idem-20260902-ios-0058</t>
        </is>
      </c>
    </row>
    <row r="60" ht="30" customHeight="1">
      <c r="A60" s="4" t="n">
        <v>59</v>
      </c>
      <c r="B60" s="4" t="inlineStr">
        <is>
          <t>MTR-IOS-0059</t>
        </is>
      </c>
      <c r="C60" s="4" t="inlineStr">
        <is>
          <t>Group</t>
        </is>
      </c>
      <c r="D60" s="4" t="inlineStr">
        <is>
          <t>Shared Experience</t>
        </is>
      </c>
      <c r="E60" s="4" t="inlineStr">
        <is>
          <t>House Party</t>
        </is>
      </c>
      <c r="F60" s="4" t="inlineStr">
        <is>
          <t>Food</t>
        </is>
      </c>
      <c r="G60" s="4" t="inlineStr">
        <is>
          <t>Expense</t>
        </is>
      </c>
      <c r="H60" s="12" t="n">
        <v>46083</v>
      </c>
      <c r="I60" s="13" t="n">
        <v>0.01604166666666667</v>
      </c>
      <c r="J60" s="14" t="n">
        <v>46083.01604166667</v>
      </c>
      <c r="K60" s="15" t="n">
        <v>645.28</v>
      </c>
      <c r="L60" s="4" t="inlineStr">
        <is>
          <t>INR</t>
        </is>
      </c>
      <c r="M60" s="15" t="n">
        <v>-645.28</v>
      </c>
      <c r="N60" s="4" t="inlineStr">
        <is>
          <t>IOS Aarav</t>
        </is>
      </c>
      <c r="O60" s="4" t="n">
        <v>3</v>
      </c>
      <c r="P60" s="4" t="inlineStr">
        <is>
          <t>SHARES</t>
        </is>
      </c>
      <c r="Q60" s="4" t="inlineStr">
        <is>
          <t>MAESTRO-IOS-GROUP-HOUSE_PARTY-0059 | Food | 645.28</t>
        </is>
      </c>
      <c r="R60" s="4" t="inlineStr">
        <is>
          <t>iPhone</t>
        </is>
      </c>
      <c r="S60" s="4" t="inlineStr">
        <is>
          <t>B02</t>
        </is>
      </c>
      <c r="T60" s="4" t="inlineStr">
        <is>
          <t>BASELINE_1_500</t>
        </is>
      </c>
      <c r="U60" s="4" t="inlineStr">
        <is>
          <t>CREATED</t>
        </is>
      </c>
      <c r="V60" s="4" t="inlineStr">
        <is>
          <t>idem-20260902-ios-0059</t>
        </is>
      </c>
    </row>
    <row r="61" ht="30" customHeight="1">
      <c r="A61" s="4" t="n">
        <v>60</v>
      </c>
      <c r="B61" s="4" t="inlineStr">
        <is>
          <t>MTR-IOS-0060</t>
        </is>
      </c>
      <c r="C61" s="4" t="inlineStr">
        <is>
          <t>Business</t>
        </is>
      </c>
      <c r="D61" s="4" t="inlineStr">
        <is>
          <t>Business</t>
        </is>
      </c>
      <c r="E61" s="4" t="inlineStr">
        <is>
          <t>Business Operations</t>
        </is>
      </c>
      <c r="F61" s="4" t="inlineStr">
        <is>
          <t>Vendor</t>
        </is>
      </c>
      <c r="G61" s="4" t="inlineStr">
        <is>
          <t>Expense</t>
        </is>
      </c>
      <c r="H61" s="12" t="n">
        <v>45974</v>
      </c>
      <c r="I61" s="13" t="n">
        <v>0.3039351851851852</v>
      </c>
      <c r="J61" s="14" t="n">
        <v>45974.30393518518</v>
      </c>
      <c r="K61" s="15" t="n">
        <v>56257.61</v>
      </c>
      <c r="L61" s="4" t="inlineStr">
        <is>
          <t>INR</t>
        </is>
      </c>
      <c r="M61" s="15" t="n">
        <v>-56257.61</v>
      </c>
      <c r="N61" s="4" t="inlineStr">
        <is>
          <t>IOS Owner</t>
        </is>
      </c>
      <c r="O61" s="4" t="n"/>
      <c r="P61" s="4" t="n"/>
      <c r="Q61" s="4" t="inlineStr">
        <is>
          <t>MAESTRO-IOS-BUSINESS-BUSINESS_OPERATIONS-0060 | Vendor | 56257.61</t>
        </is>
      </c>
      <c r="R61" s="4" t="inlineStr">
        <is>
          <t>iPhone</t>
        </is>
      </c>
      <c r="S61" s="4" t="inlineStr">
        <is>
          <t>B02</t>
        </is>
      </c>
      <c r="T61" s="4" t="inlineStr">
        <is>
          <t>BASELINE_1_500</t>
        </is>
      </c>
      <c r="U61" s="4" t="inlineStr">
        <is>
          <t>CREATED</t>
        </is>
      </c>
      <c r="V61" s="4" t="inlineStr">
        <is>
          <t>idem-20260902-ios-0060</t>
        </is>
      </c>
    </row>
    <row r="62" ht="30" customHeight="1">
      <c r="A62" s="4" t="n">
        <v>61</v>
      </c>
      <c r="B62" s="4" t="inlineStr">
        <is>
          <t>MTR-IOS-0061</t>
        </is>
      </c>
      <c r="C62" s="4" t="inlineStr">
        <is>
          <t>Personal</t>
        </is>
      </c>
      <c r="D62" s="4" t="inlineStr">
        <is>
          <t>Personal</t>
        </is>
      </c>
      <c r="E62" s="4" t="inlineStr">
        <is>
          <t>Relationships</t>
        </is>
      </c>
      <c r="F62" s="4" t="inlineStr">
        <is>
          <t>Family</t>
        </is>
      </c>
      <c r="G62" s="4" t="inlineStr">
        <is>
          <t>Expense</t>
        </is>
      </c>
      <c r="H62" s="12" t="n">
        <v>45999</v>
      </c>
      <c r="I62" s="13" t="n">
        <v>0.1698726851851852</v>
      </c>
      <c r="J62" s="14" t="n">
        <v>45999.16987268518</v>
      </c>
      <c r="K62" s="15" t="n">
        <v>15808.23</v>
      </c>
      <c r="L62" s="4" t="inlineStr">
        <is>
          <t>INR</t>
        </is>
      </c>
      <c r="M62" s="15" t="n">
        <v>-15808.23</v>
      </c>
      <c r="N62" s="4" t="inlineStr">
        <is>
          <t>IOS Owner</t>
        </is>
      </c>
      <c r="O62" s="4" t="n"/>
      <c r="P62" s="4" t="n"/>
      <c r="Q62" s="4" t="inlineStr">
        <is>
          <t>MAESTRO-IOS-PERSONAL-RELATIONSHIPS-0061 | Family | 15808.23</t>
        </is>
      </c>
      <c r="R62" s="4" t="inlineStr">
        <is>
          <t>iPhone</t>
        </is>
      </c>
      <c r="S62" s="4" t="inlineStr">
        <is>
          <t>B02</t>
        </is>
      </c>
      <c r="T62" s="4" t="inlineStr">
        <is>
          <t>BASELINE_1_500</t>
        </is>
      </c>
      <c r="U62" s="4" t="inlineStr">
        <is>
          <t>CREATED</t>
        </is>
      </c>
      <c r="V62" s="4" t="inlineStr">
        <is>
          <t>idem-20260902-ios-0061</t>
        </is>
      </c>
    </row>
    <row r="63" ht="30" customHeight="1">
      <c r="A63" s="4" t="n">
        <v>62</v>
      </c>
      <c r="B63" s="4" t="inlineStr">
        <is>
          <t>MTR-IOS-0062</t>
        </is>
      </c>
      <c r="C63" s="4" t="inlineStr">
        <is>
          <t>Group</t>
        </is>
      </c>
      <c r="D63" s="4" t="inlineStr">
        <is>
          <t>Shared Experience</t>
        </is>
      </c>
      <c r="E63" s="4" t="inlineStr">
        <is>
          <t>House Party</t>
        </is>
      </c>
      <c r="F63" s="4" t="inlineStr">
        <is>
          <t>Drinks</t>
        </is>
      </c>
      <c r="G63" s="4" t="inlineStr">
        <is>
          <t>Expense</t>
        </is>
      </c>
      <c r="H63" s="12" t="n">
        <v>46101</v>
      </c>
      <c r="I63" s="13" t="n">
        <v>0.4026388888888889</v>
      </c>
      <c r="J63" s="14" t="n">
        <v>46101.40263888889</v>
      </c>
      <c r="K63" s="15" t="n">
        <v>16257.19</v>
      </c>
      <c r="L63" s="4" t="inlineStr">
        <is>
          <t>INR</t>
        </is>
      </c>
      <c r="M63" s="15" t="n">
        <v>-16257.19</v>
      </c>
      <c r="N63" s="4" t="inlineStr">
        <is>
          <t>IOS Meera</t>
        </is>
      </c>
      <c r="O63" s="4" t="n">
        <v>3</v>
      </c>
      <c r="P63" s="4" t="inlineStr">
        <is>
          <t>EQUAL</t>
        </is>
      </c>
      <c r="Q63" s="4" t="inlineStr">
        <is>
          <t>MAESTRO-IOS-GROUP-HOUSE_PARTY-0062 | Drinks | 16257.19</t>
        </is>
      </c>
      <c r="R63" s="4" t="inlineStr">
        <is>
          <t>iPhone</t>
        </is>
      </c>
      <c r="S63" s="4" t="inlineStr">
        <is>
          <t>B02</t>
        </is>
      </c>
      <c r="T63" s="4" t="inlineStr">
        <is>
          <t>BASELINE_1_500</t>
        </is>
      </c>
      <c r="U63" s="4" t="inlineStr">
        <is>
          <t>CREATED</t>
        </is>
      </c>
      <c r="V63" s="4" t="inlineStr">
        <is>
          <t>idem-20260902-ios-0062</t>
        </is>
      </c>
    </row>
    <row r="64" ht="30" customHeight="1">
      <c r="A64" s="4" t="n">
        <v>63</v>
      </c>
      <c r="B64" s="4" t="inlineStr">
        <is>
          <t>MTR-IOS-0063</t>
        </is>
      </c>
      <c r="C64" s="4" t="inlineStr">
        <is>
          <t>Business</t>
        </is>
      </c>
      <c r="D64" s="4" t="inlineStr">
        <is>
          <t>Business</t>
        </is>
      </c>
      <c r="E64" s="4" t="inlineStr">
        <is>
          <t>Business Operations</t>
        </is>
      </c>
      <c r="F64" s="4" t="inlineStr">
        <is>
          <t>Tax</t>
        </is>
      </c>
      <c r="G64" s="4" t="inlineStr">
        <is>
          <t>Expense</t>
        </is>
      </c>
      <c r="H64" s="12" t="n">
        <v>46120</v>
      </c>
      <c r="I64" s="13" t="n">
        <v>0.6873495370370371</v>
      </c>
      <c r="J64" s="14" t="n">
        <v>46120.68734953704</v>
      </c>
      <c r="K64" s="15" t="n">
        <v>139365.36</v>
      </c>
      <c r="L64" s="4" t="inlineStr">
        <is>
          <t>INR</t>
        </is>
      </c>
      <c r="M64" s="15" t="n">
        <v>-139365.36</v>
      </c>
      <c r="N64" s="4" t="inlineStr">
        <is>
          <t>IOS Owner</t>
        </is>
      </c>
      <c r="O64" s="4" t="n"/>
      <c r="P64" s="4" t="n"/>
      <c r="Q64" s="4" t="inlineStr">
        <is>
          <t>MAESTRO-IOS-BUSINESS-BUSINESS_OPERATIONS-0063 | Tax | 139365.36</t>
        </is>
      </c>
      <c r="R64" s="4" t="inlineStr">
        <is>
          <t>iPhone</t>
        </is>
      </c>
      <c r="S64" s="4" t="inlineStr">
        <is>
          <t>B02</t>
        </is>
      </c>
      <c r="T64" s="4" t="inlineStr">
        <is>
          <t>BASELINE_1_500</t>
        </is>
      </c>
      <c r="U64" s="4" t="inlineStr">
        <is>
          <t>CREATED</t>
        </is>
      </c>
      <c r="V64" s="4" t="inlineStr">
        <is>
          <t>idem-20260902-ios-0063</t>
        </is>
      </c>
    </row>
    <row r="65" ht="30" customHeight="1">
      <c r="A65" s="4" t="n">
        <v>64</v>
      </c>
      <c r="B65" s="4" t="inlineStr">
        <is>
          <t>MTR-IOS-0064</t>
        </is>
      </c>
      <c r="C65" s="4" t="inlineStr">
        <is>
          <t>Personal</t>
        </is>
      </c>
      <c r="D65" s="4" t="inlineStr">
        <is>
          <t>Personal</t>
        </is>
      </c>
      <c r="E65" s="4" t="inlineStr">
        <is>
          <t>Relationships</t>
        </is>
      </c>
      <c r="F65" s="4" t="inlineStr">
        <is>
          <t>Friends</t>
        </is>
      </c>
      <c r="G65" s="4" t="inlineStr">
        <is>
          <t>Expense</t>
        </is>
      </c>
      <c r="H65" s="12" t="n">
        <v>45961</v>
      </c>
      <c r="I65" s="13" t="n">
        <v>0.806886574074074</v>
      </c>
      <c r="J65" s="14" t="n">
        <v>45961.80688657407</v>
      </c>
      <c r="K65" s="15" t="n">
        <v>14580.17</v>
      </c>
      <c r="L65" s="4" t="inlineStr">
        <is>
          <t>INR</t>
        </is>
      </c>
      <c r="M65" s="15" t="n">
        <v>-14580.17</v>
      </c>
      <c r="N65" s="4" t="inlineStr">
        <is>
          <t>IOS Owner</t>
        </is>
      </c>
      <c r="O65" s="4" t="n"/>
      <c r="P65" s="4" t="n"/>
      <c r="Q65" s="4" t="inlineStr">
        <is>
          <t>MAESTRO-IOS-PERSONAL-RELATIONSHIPS-0064 | Friends | 14580.17</t>
        </is>
      </c>
      <c r="R65" s="4" t="inlineStr">
        <is>
          <t>iPhone</t>
        </is>
      </c>
      <c r="S65" s="4" t="inlineStr">
        <is>
          <t>B02</t>
        </is>
      </c>
      <c r="T65" s="4" t="inlineStr">
        <is>
          <t>BASELINE_1_500</t>
        </is>
      </c>
      <c r="U65" s="4" t="inlineStr">
        <is>
          <t>CREATED</t>
        </is>
      </c>
      <c r="V65" s="4" t="inlineStr">
        <is>
          <t>idem-20260902-ios-0064</t>
        </is>
      </c>
    </row>
    <row r="66" ht="30" customHeight="1">
      <c r="A66" s="4" t="n">
        <v>65</v>
      </c>
      <c r="B66" s="4" t="inlineStr">
        <is>
          <t>MTR-IOS-0065</t>
        </is>
      </c>
      <c r="C66" s="4" t="inlineStr">
        <is>
          <t>Group</t>
        </is>
      </c>
      <c r="D66" s="4" t="inlineStr">
        <is>
          <t>Shared Experience</t>
        </is>
      </c>
      <c r="E66" s="4" t="inlineStr">
        <is>
          <t>House Party</t>
        </is>
      </c>
      <c r="F66" s="4" t="inlineStr">
        <is>
          <t>Decor</t>
        </is>
      </c>
      <c r="G66" s="4" t="inlineStr">
        <is>
          <t>Expense</t>
        </is>
      </c>
      <c r="H66" s="12" t="n">
        <v>46142</v>
      </c>
      <c r="I66" s="13" t="n">
        <v>0.3528935185185185</v>
      </c>
      <c r="J66" s="14" t="n">
        <v>46142.35289351852</v>
      </c>
      <c r="K66" s="15" t="n">
        <v>6500.81</v>
      </c>
      <c r="L66" s="4" t="inlineStr">
        <is>
          <t>INR</t>
        </is>
      </c>
      <c r="M66" s="15" t="n">
        <v>-6500.81</v>
      </c>
      <c r="N66" s="4" t="inlineStr">
        <is>
          <t>IOS Owner</t>
        </is>
      </c>
      <c r="O66" s="4" t="n">
        <v>3</v>
      </c>
      <c r="P66" s="4" t="inlineStr">
        <is>
          <t>PERCENTAGE</t>
        </is>
      </c>
      <c r="Q66" s="4" t="inlineStr">
        <is>
          <t>MAESTRO-IOS-GROUP-HOUSE_PARTY-0065 | Decor | 6500.81</t>
        </is>
      </c>
      <c r="R66" s="4" t="inlineStr">
        <is>
          <t>iPhone</t>
        </is>
      </c>
      <c r="S66" s="4" t="inlineStr">
        <is>
          <t>B02</t>
        </is>
      </c>
      <c r="T66" s="4" t="inlineStr">
        <is>
          <t>BASELINE_1_500</t>
        </is>
      </c>
      <c r="U66" s="4" t="inlineStr">
        <is>
          <t>CREATED</t>
        </is>
      </c>
      <c r="V66" s="4" t="inlineStr">
        <is>
          <t>idem-20260902-ios-0065</t>
        </is>
      </c>
    </row>
    <row r="67" ht="30" customHeight="1">
      <c r="A67" s="4" t="n">
        <v>66</v>
      </c>
      <c r="B67" s="4" t="inlineStr">
        <is>
          <t>MTR-IOS-0066</t>
        </is>
      </c>
      <c r="C67" s="4" t="inlineStr">
        <is>
          <t>Business</t>
        </is>
      </c>
      <c r="D67" s="4" t="inlineStr">
        <is>
          <t>Business</t>
        </is>
      </c>
      <c r="E67" s="4" t="inlineStr">
        <is>
          <t>Team Operations</t>
        </is>
      </c>
      <c r="F67" s="4" t="inlineStr">
        <is>
          <t>Payroll</t>
        </is>
      </c>
      <c r="G67" s="4" t="inlineStr">
        <is>
          <t>Expense</t>
        </is>
      </c>
      <c r="H67" s="12" t="n">
        <v>46262</v>
      </c>
      <c r="I67" s="13" t="n">
        <v>0.7045949074074074</v>
      </c>
      <c r="J67" s="14" t="n">
        <v>46262.70459490741</v>
      </c>
      <c r="K67" s="15" t="n">
        <v>113953.26</v>
      </c>
      <c r="L67" s="4" t="inlineStr">
        <is>
          <t>INR</t>
        </is>
      </c>
      <c r="M67" s="15" t="n">
        <v>-113953.26</v>
      </c>
      <c r="N67" s="4" t="inlineStr">
        <is>
          <t>IOS Owner</t>
        </is>
      </c>
      <c r="O67" s="4" t="n"/>
      <c r="P67" s="4" t="n"/>
      <c r="Q67" s="4" t="inlineStr">
        <is>
          <t>MAESTRO-IOS-BUSINESS-TEAM_OPERATIONS-0066 | Payroll | 113953.26</t>
        </is>
      </c>
      <c r="R67" s="4" t="inlineStr">
        <is>
          <t>iPhone</t>
        </is>
      </c>
      <c r="S67" s="4" t="inlineStr">
        <is>
          <t>B02</t>
        </is>
      </c>
      <c r="T67" s="4" t="inlineStr">
        <is>
          <t>BASELINE_1_500</t>
        </is>
      </c>
      <c r="U67" s="4" t="inlineStr">
        <is>
          <t>CREATED</t>
        </is>
      </c>
      <c r="V67" s="4" t="inlineStr">
        <is>
          <t>idem-20260902-ios-0066</t>
        </is>
      </c>
    </row>
    <row r="68" ht="30" customHeight="1">
      <c r="A68" s="4" t="n">
        <v>67</v>
      </c>
      <c r="B68" s="4" t="inlineStr">
        <is>
          <t>MTR-IOS-0067</t>
        </is>
      </c>
      <c r="C68" s="4" t="inlineStr">
        <is>
          <t>Personal</t>
        </is>
      </c>
      <c r="D68" s="4" t="inlineStr">
        <is>
          <t>Personal</t>
        </is>
      </c>
      <c r="E68" s="4" t="inlineStr">
        <is>
          <t>Relationships</t>
        </is>
      </c>
      <c r="F68" s="4" t="inlineStr">
        <is>
          <t>Celebrations</t>
        </is>
      </c>
      <c r="G68" s="4" t="inlineStr">
        <is>
          <t>Expense</t>
        </is>
      </c>
      <c r="H68" s="12" t="n">
        <v>46044</v>
      </c>
      <c r="I68" s="13" t="n">
        <v>0.1181018518518518</v>
      </c>
      <c r="J68" s="14" t="n">
        <v>46044.11810185185</v>
      </c>
      <c r="K68" s="15" t="n">
        <v>9094.309999999999</v>
      </c>
      <c r="L68" s="4" t="inlineStr">
        <is>
          <t>INR</t>
        </is>
      </c>
      <c r="M68" s="15" t="n">
        <v>-9094.309999999999</v>
      </c>
      <c r="N68" s="4" t="inlineStr">
        <is>
          <t>IOS Owner</t>
        </is>
      </c>
      <c r="O68" s="4" t="n"/>
      <c r="P68" s="4" t="n"/>
      <c r="Q68" s="4" t="inlineStr">
        <is>
          <t>MAESTRO-IOS-PERSONAL-RELATIONSHIPS-0067 | Celebrations | 9094.31</t>
        </is>
      </c>
      <c r="R68" s="4" t="inlineStr">
        <is>
          <t>iPhone</t>
        </is>
      </c>
      <c r="S68" s="4" t="inlineStr">
        <is>
          <t>B02</t>
        </is>
      </c>
      <c r="T68" s="4" t="inlineStr">
        <is>
          <t>BASELINE_1_500</t>
        </is>
      </c>
      <c r="U68" s="4" t="inlineStr">
        <is>
          <t>CREATED</t>
        </is>
      </c>
      <c r="V68" s="4" t="inlineStr">
        <is>
          <t>idem-20260902-ios-0067</t>
        </is>
      </c>
    </row>
    <row r="69" ht="30" customHeight="1">
      <c r="A69" s="4" t="n">
        <v>68</v>
      </c>
      <c r="B69" s="4" t="inlineStr">
        <is>
          <t>MTR-IOS-0068</t>
        </is>
      </c>
      <c r="C69" s="4" t="inlineStr">
        <is>
          <t>Group</t>
        </is>
      </c>
      <c r="D69" s="4" t="inlineStr">
        <is>
          <t>Shared Experience</t>
        </is>
      </c>
      <c r="E69" s="4" t="inlineStr">
        <is>
          <t>House Party</t>
        </is>
      </c>
      <c r="F69" s="4" t="inlineStr">
        <is>
          <t>Supplies</t>
        </is>
      </c>
      <c r="G69" s="4" t="inlineStr">
        <is>
          <t>Expense</t>
        </is>
      </c>
      <c r="H69" s="12" t="n">
        <v>45904</v>
      </c>
      <c r="I69" s="13" t="n">
        <v>0.1398611111111111</v>
      </c>
      <c r="J69" s="14" t="n">
        <v>45904.13986111111</v>
      </c>
      <c r="K69" s="15" t="n">
        <v>12595.83</v>
      </c>
      <c r="L69" s="4" t="inlineStr">
        <is>
          <t>INR</t>
        </is>
      </c>
      <c r="M69" s="15" t="n">
        <v>-12595.83</v>
      </c>
      <c r="N69" s="4" t="inlineStr">
        <is>
          <t>IOS Aarav</t>
        </is>
      </c>
      <c r="O69" s="4" t="n">
        <v>3</v>
      </c>
      <c r="P69" s="4" t="inlineStr">
        <is>
          <t>EXACT</t>
        </is>
      </c>
      <c r="Q69" s="4" t="inlineStr">
        <is>
          <t>MAESTRO-IOS-GROUP-HOUSE_PARTY-0068 | Supplies | 12595.83</t>
        </is>
      </c>
      <c r="R69" s="4" t="inlineStr">
        <is>
          <t>iPhone</t>
        </is>
      </c>
      <c r="S69" s="4" t="inlineStr">
        <is>
          <t>B02</t>
        </is>
      </c>
      <c r="T69" s="4" t="inlineStr">
        <is>
          <t>BASELINE_1_500</t>
        </is>
      </c>
      <c r="U69" s="4" t="inlineStr">
        <is>
          <t>CREATED</t>
        </is>
      </c>
      <c r="V69" s="4" t="inlineStr">
        <is>
          <t>idem-20260902-ios-0068</t>
        </is>
      </c>
    </row>
    <row r="70" ht="30" customHeight="1">
      <c r="A70" s="4" t="n">
        <v>69</v>
      </c>
      <c r="B70" s="4" t="inlineStr">
        <is>
          <t>MTR-IOS-0069</t>
        </is>
      </c>
      <c r="C70" s="4" t="inlineStr">
        <is>
          <t>Business</t>
        </is>
      </c>
      <c r="D70" s="4" t="inlineStr">
        <is>
          <t>Business</t>
        </is>
      </c>
      <c r="E70" s="4" t="inlineStr">
        <is>
          <t>Team Operations</t>
        </is>
      </c>
      <c r="F70" s="4" t="inlineStr">
        <is>
          <t>Contractor</t>
        </is>
      </c>
      <c r="G70" s="4" t="inlineStr">
        <is>
          <t>Expense</t>
        </is>
      </c>
      <c r="H70" s="12" t="n">
        <v>46162</v>
      </c>
      <c r="I70" s="13" t="n">
        <v>0.3395601851851852</v>
      </c>
      <c r="J70" s="14" t="n">
        <v>46162.33956018519</v>
      </c>
      <c r="K70" s="15" t="n">
        <v>136731.74</v>
      </c>
      <c r="L70" s="4" t="inlineStr">
        <is>
          <t>INR</t>
        </is>
      </c>
      <c r="M70" s="15" t="n">
        <v>-136731.74</v>
      </c>
      <c r="N70" s="4" t="inlineStr">
        <is>
          <t>IOS Owner</t>
        </is>
      </c>
      <c r="O70" s="4" t="n"/>
      <c r="P70" s="4" t="n"/>
      <c r="Q70" s="4" t="inlineStr">
        <is>
          <t>MAESTRO-IOS-BUSINESS-TEAM_OPERATIONS-0069 | Contractor | 136731.74</t>
        </is>
      </c>
      <c r="R70" s="4" t="inlineStr">
        <is>
          <t>iPhone</t>
        </is>
      </c>
      <c r="S70" s="4" t="inlineStr">
        <is>
          <t>B02</t>
        </is>
      </c>
      <c r="T70" s="4" t="inlineStr">
        <is>
          <t>BASELINE_1_500</t>
        </is>
      </c>
      <c r="U70" s="4" t="inlineStr">
        <is>
          <t>CREATED</t>
        </is>
      </c>
      <c r="V70" s="4" t="inlineStr">
        <is>
          <t>idem-20260902-ios-0069</t>
        </is>
      </c>
    </row>
    <row r="71" ht="30" customHeight="1">
      <c r="A71" s="4" t="n">
        <v>70</v>
      </c>
      <c r="B71" s="4" t="inlineStr">
        <is>
          <t>MTR-IOS-0070</t>
        </is>
      </c>
      <c r="C71" s="4" t="inlineStr">
        <is>
          <t>Personal</t>
        </is>
      </c>
      <c r="D71" s="4" t="inlineStr">
        <is>
          <t>Personal</t>
        </is>
      </c>
      <c r="E71" s="4" t="inlineStr">
        <is>
          <t>Life Operations</t>
        </is>
      </c>
      <c r="F71" s="4" t="inlineStr">
        <is>
          <t>Groceries</t>
        </is>
      </c>
      <c r="G71" s="4" t="inlineStr">
        <is>
          <t>Expense</t>
        </is>
      </c>
      <c r="H71" s="12" t="n">
        <v>46139</v>
      </c>
      <c r="I71" s="13" t="n">
        <v>0.2803819444444444</v>
      </c>
      <c r="J71" s="14" t="n">
        <v>46139.28038194445</v>
      </c>
      <c r="K71" s="15" t="n">
        <v>1050.87</v>
      </c>
      <c r="L71" s="4" t="inlineStr">
        <is>
          <t>INR</t>
        </is>
      </c>
      <c r="M71" s="15" t="n">
        <v>-1050.87</v>
      </c>
      <c r="N71" s="4" t="inlineStr">
        <is>
          <t>IOS Owner</t>
        </is>
      </c>
      <c r="O71" s="4" t="n"/>
      <c r="P71" s="4" t="n"/>
      <c r="Q71" s="4" t="inlineStr">
        <is>
          <t>MAESTRO-IOS-PERSONAL-LIFE_OPERATIONS-0070 | Groceries | 1050.87</t>
        </is>
      </c>
      <c r="R71" s="4" t="inlineStr">
        <is>
          <t>iPhone</t>
        </is>
      </c>
      <c r="S71" s="4" t="inlineStr">
        <is>
          <t>B02</t>
        </is>
      </c>
      <c r="T71" s="4" t="inlineStr">
        <is>
          <t>BASELINE_1_500</t>
        </is>
      </c>
      <c r="U71" s="4" t="inlineStr">
        <is>
          <t>CREATED</t>
        </is>
      </c>
      <c r="V71" s="4" t="inlineStr">
        <is>
          <t>idem-20260902-ios-0070</t>
        </is>
      </c>
    </row>
    <row r="72" ht="30" customHeight="1">
      <c r="A72" s="4" t="n">
        <v>71</v>
      </c>
      <c r="B72" s="4" t="inlineStr">
        <is>
          <t>MTR-IOS-0071</t>
        </is>
      </c>
      <c r="C72" s="4" t="inlineStr">
        <is>
          <t>Group</t>
        </is>
      </c>
      <c r="D72" s="4" t="inlineStr">
        <is>
          <t>Shared Experience</t>
        </is>
      </c>
      <c r="E72" s="4" t="inlineStr">
        <is>
          <t>House Party</t>
        </is>
      </c>
      <c r="F72" s="4" t="inlineStr">
        <is>
          <t>Other</t>
        </is>
      </c>
      <c r="G72" s="4" t="inlineStr">
        <is>
          <t>Expense</t>
        </is>
      </c>
      <c r="H72" s="12" t="n">
        <v>46235</v>
      </c>
      <c r="I72" s="13" t="n">
        <v>0.6586921296296296</v>
      </c>
      <c r="J72" s="14" t="n">
        <v>46235.65869212963</v>
      </c>
      <c r="K72" s="15" t="n">
        <v>22932.1</v>
      </c>
      <c r="L72" s="4" t="inlineStr">
        <is>
          <t>INR</t>
        </is>
      </c>
      <c r="M72" s="15" t="n">
        <v>-22932.1</v>
      </c>
      <c r="N72" s="4" t="inlineStr">
        <is>
          <t>IOS Meera</t>
        </is>
      </c>
      <c r="O72" s="4" t="n">
        <v>3</v>
      </c>
      <c r="P72" s="4" t="inlineStr">
        <is>
          <t>SHARES</t>
        </is>
      </c>
      <c r="Q72" s="4" t="inlineStr">
        <is>
          <t>MAESTRO-IOS-GROUP-HOUSE_PARTY-0071 | Other | 22932.10</t>
        </is>
      </c>
      <c r="R72" s="4" t="inlineStr">
        <is>
          <t>iPhone</t>
        </is>
      </c>
      <c r="S72" s="4" t="inlineStr">
        <is>
          <t>B02</t>
        </is>
      </c>
      <c r="T72" s="4" t="inlineStr">
        <is>
          <t>BASELINE_1_500</t>
        </is>
      </c>
      <c r="U72" s="4" t="inlineStr">
        <is>
          <t>CREATED</t>
        </is>
      </c>
      <c r="V72" s="4" t="inlineStr">
        <is>
          <t>idem-20260902-ios-0071</t>
        </is>
      </c>
    </row>
    <row r="73" ht="30" customHeight="1">
      <c r="A73" s="4" t="n">
        <v>72</v>
      </c>
      <c r="B73" s="4" t="inlineStr">
        <is>
          <t>MTR-IOS-0072</t>
        </is>
      </c>
      <c r="C73" s="4" t="inlineStr">
        <is>
          <t>Business</t>
        </is>
      </c>
      <c r="D73" s="4" t="inlineStr">
        <is>
          <t>Business</t>
        </is>
      </c>
      <c r="E73" s="4" t="inlineStr">
        <is>
          <t>Team Operations</t>
        </is>
      </c>
      <c r="F73" s="4" t="inlineStr">
        <is>
          <t>Hiring</t>
        </is>
      </c>
      <c r="G73" s="4" t="inlineStr">
        <is>
          <t>Expense</t>
        </is>
      </c>
      <c r="H73" s="12" t="n">
        <v>46131</v>
      </c>
      <c r="I73" s="13" t="n">
        <v>0.5783449074074074</v>
      </c>
      <c r="J73" s="14" t="n">
        <v>46131.57834490741</v>
      </c>
      <c r="K73" s="15" t="n">
        <v>101440.72</v>
      </c>
      <c r="L73" s="4" t="inlineStr">
        <is>
          <t>INR</t>
        </is>
      </c>
      <c r="M73" s="15" t="n">
        <v>-101440.72</v>
      </c>
      <c r="N73" s="4" t="inlineStr">
        <is>
          <t>IOS Owner</t>
        </is>
      </c>
      <c r="O73" s="4" t="n"/>
      <c r="P73" s="4" t="n"/>
      <c r="Q73" s="4" t="inlineStr">
        <is>
          <t>MAESTRO-IOS-BUSINESS-TEAM_OPERATIONS-0072 | Hiring | 101440.72</t>
        </is>
      </c>
      <c r="R73" s="4" t="inlineStr">
        <is>
          <t>iPhone</t>
        </is>
      </c>
      <c r="S73" s="4" t="inlineStr">
        <is>
          <t>B02</t>
        </is>
      </c>
      <c r="T73" s="4" t="inlineStr">
        <is>
          <t>BASELINE_1_500</t>
        </is>
      </c>
      <c r="U73" s="4" t="inlineStr">
        <is>
          <t>CREATED</t>
        </is>
      </c>
      <c r="V73" s="4" t="inlineStr">
        <is>
          <t>idem-20260902-ios-0072</t>
        </is>
      </c>
    </row>
    <row r="74" ht="30" customHeight="1">
      <c r="A74" s="4" t="n">
        <v>73</v>
      </c>
      <c r="B74" s="4" t="inlineStr">
        <is>
          <t>MTR-IOS-0073</t>
        </is>
      </c>
      <c r="C74" s="4" t="inlineStr">
        <is>
          <t>Personal</t>
        </is>
      </c>
      <c r="D74" s="4" t="inlineStr">
        <is>
          <t>Personal</t>
        </is>
      </c>
      <c r="E74" s="4" t="inlineStr">
        <is>
          <t>Life Operations</t>
        </is>
      </c>
      <c r="F74" s="4" t="inlineStr">
        <is>
          <t>Rent</t>
        </is>
      </c>
      <c r="G74" s="4" t="inlineStr">
        <is>
          <t>Expense</t>
        </is>
      </c>
      <c r="H74" s="12" t="n">
        <v>46237</v>
      </c>
      <c r="I74" s="13" t="n">
        <v>0.7421180555555555</v>
      </c>
      <c r="J74" s="14" t="n">
        <v>46237.74211805555</v>
      </c>
      <c r="K74" s="15" t="n">
        <v>2637.28</v>
      </c>
      <c r="L74" s="4" t="inlineStr">
        <is>
          <t>INR</t>
        </is>
      </c>
      <c r="M74" s="15" t="n">
        <v>-2637.28</v>
      </c>
      <c r="N74" s="4" t="inlineStr">
        <is>
          <t>IOS Owner</t>
        </is>
      </c>
      <c r="O74" s="4" t="n"/>
      <c r="P74" s="4" t="n"/>
      <c r="Q74" s="4" t="inlineStr">
        <is>
          <t>MAESTRO-IOS-PERSONAL-LIFE_OPERATIONS-0073 | Rent | 2637.28</t>
        </is>
      </c>
      <c r="R74" s="4" t="inlineStr">
        <is>
          <t>iPhone</t>
        </is>
      </c>
      <c r="S74" s="4" t="inlineStr">
        <is>
          <t>B02</t>
        </is>
      </c>
      <c r="T74" s="4" t="inlineStr">
        <is>
          <t>BASELINE_1_500</t>
        </is>
      </c>
      <c r="U74" s="4" t="inlineStr">
        <is>
          <t>CREATED</t>
        </is>
      </c>
      <c r="V74" s="4" t="inlineStr">
        <is>
          <t>idem-20260902-ios-0073</t>
        </is>
      </c>
    </row>
    <row r="75" ht="30" customHeight="1">
      <c r="A75" s="4" t="n">
        <v>74</v>
      </c>
      <c r="B75" s="4" t="inlineStr">
        <is>
          <t>MTR-IOS-0074</t>
        </is>
      </c>
      <c r="C75" s="4" t="inlineStr">
        <is>
          <t>Group</t>
        </is>
      </c>
      <c r="D75" s="4" t="inlineStr">
        <is>
          <t>Shared Purchase</t>
        </is>
      </c>
      <c r="E75" s="4" t="inlineStr">
        <is>
          <t>Gift Pool</t>
        </is>
      </c>
      <c r="F75" s="4" t="inlineStr">
        <is>
          <t>Contribution</t>
        </is>
      </c>
      <c r="G75" s="4" t="inlineStr">
        <is>
          <t>Contribution</t>
        </is>
      </c>
      <c r="H75" s="12" t="n">
        <v>46260</v>
      </c>
      <c r="I75" s="13" t="n">
        <v>0.3548611111111111</v>
      </c>
      <c r="J75" s="14" t="n">
        <v>46260.35486111111</v>
      </c>
      <c r="K75" s="15" t="n">
        <v>99.98999999999999</v>
      </c>
      <c r="L75" s="4" t="inlineStr">
        <is>
          <t>INR</t>
        </is>
      </c>
      <c r="M75" s="15" t="n">
        <v>99.98999999999999</v>
      </c>
      <c r="N75" s="4" t="inlineStr">
        <is>
          <t>IOS Owner</t>
        </is>
      </c>
      <c r="O75" s="4" t="n">
        <v>3</v>
      </c>
      <c r="P75" s="4" t="inlineStr">
        <is>
          <t>EQUAL</t>
        </is>
      </c>
      <c r="Q75" s="4" t="inlineStr">
        <is>
          <t>MAESTRO-IOS-GROUP-GIFT_POOL-0074 | Contribution | 99.99</t>
        </is>
      </c>
      <c r="R75" s="4" t="inlineStr">
        <is>
          <t>iPhone</t>
        </is>
      </c>
      <c r="S75" s="4" t="inlineStr">
        <is>
          <t>B02</t>
        </is>
      </c>
      <c r="T75" s="4" t="inlineStr">
        <is>
          <t>BASELINE_1_500</t>
        </is>
      </c>
      <c r="U75" s="4" t="inlineStr">
        <is>
          <t>CREATED</t>
        </is>
      </c>
      <c r="V75" s="4" t="inlineStr">
        <is>
          <t>idem-20260902-ios-0074</t>
        </is>
      </c>
    </row>
    <row r="76" ht="30" customHeight="1">
      <c r="A76" s="4" t="n">
        <v>75</v>
      </c>
      <c r="B76" s="4" t="inlineStr">
        <is>
          <t>MTR-IOS-0075</t>
        </is>
      </c>
      <c r="C76" s="4" t="inlineStr">
        <is>
          <t>Business</t>
        </is>
      </c>
      <c r="D76" s="4" t="inlineStr">
        <is>
          <t>Business</t>
        </is>
      </c>
      <c r="E76" s="4" t="inlineStr">
        <is>
          <t>Team Operations</t>
        </is>
      </c>
      <c r="F76" s="4" t="inlineStr">
        <is>
          <t>Team Meal</t>
        </is>
      </c>
      <c r="G76" s="4" t="inlineStr">
        <is>
          <t>Expense</t>
        </is>
      </c>
      <c r="H76" s="12" t="n">
        <v>46148</v>
      </c>
      <c r="I76" s="13" t="n">
        <v>0.3913541666666667</v>
      </c>
      <c r="J76" s="14" t="n">
        <v>46148.39135416667</v>
      </c>
      <c r="K76" s="15" t="n">
        <v>31526.73</v>
      </c>
      <c r="L76" s="4" t="inlineStr">
        <is>
          <t>INR</t>
        </is>
      </c>
      <c r="M76" s="15" t="n">
        <v>-31526.73</v>
      </c>
      <c r="N76" s="4" t="inlineStr">
        <is>
          <t>IOS Owner</t>
        </is>
      </c>
      <c r="O76" s="4" t="n"/>
      <c r="P76" s="4" t="n"/>
      <c r="Q76" s="4" t="inlineStr">
        <is>
          <t>MAESTRO-IOS-BUSINESS-TEAM_OPERATIONS-0075 | Team Meal | 31526.73</t>
        </is>
      </c>
      <c r="R76" s="4" t="inlineStr">
        <is>
          <t>iPhone</t>
        </is>
      </c>
      <c r="S76" s="4" t="inlineStr">
        <is>
          <t>B02</t>
        </is>
      </c>
      <c r="T76" s="4" t="inlineStr">
        <is>
          <t>BASELINE_1_500</t>
        </is>
      </c>
      <c r="U76" s="4" t="inlineStr">
        <is>
          <t>CREATED</t>
        </is>
      </c>
      <c r="V76" s="4" t="inlineStr">
        <is>
          <t>idem-20260902-ios-0075</t>
        </is>
      </c>
    </row>
    <row r="77" ht="30" customHeight="1">
      <c r="A77" s="4" t="n">
        <v>76</v>
      </c>
      <c r="B77" s="4" t="inlineStr">
        <is>
          <t>MTR-IOS-0076</t>
        </is>
      </c>
      <c r="C77" s="4" t="inlineStr">
        <is>
          <t>Personal</t>
        </is>
      </c>
      <c r="D77" s="4" t="inlineStr">
        <is>
          <t>Personal</t>
        </is>
      </c>
      <c r="E77" s="4" t="inlineStr">
        <is>
          <t>Life Operations</t>
        </is>
      </c>
      <c r="F77" s="4" t="inlineStr">
        <is>
          <t>Bills</t>
        </is>
      </c>
      <c r="G77" s="4" t="inlineStr">
        <is>
          <t>Expense</t>
        </is>
      </c>
      <c r="H77" s="12" t="n">
        <v>46132</v>
      </c>
      <c r="I77" s="13" t="n">
        <v>0.2595601851851852</v>
      </c>
      <c r="J77" s="14" t="n">
        <v>46132.25956018519</v>
      </c>
      <c r="K77" s="15" t="n">
        <v>12479.77</v>
      </c>
      <c r="L77" s="4" t="inlineStr">
        <is>
          <t>INR</t>
        </is>
      </c>
      <c r="M77" s="15" t="n">
        <v>-12479.77</v>
      </c>
      <c r="N77" s="4" t="inlineStr">
        <is>
          <t>IOS Owner</t>
        </is>
      </c>
      <c r="O77" s="4" t="n"/>
      <c r="P77" s="4" t="n"/>
      <c r="Q77" s="4" t="inlineStr">
        <is>
          <t>MAESTRO-IOS-PERSONAL-LIFE_OPERATIONS-0076 | Bills | 12479.77</t>
        </is>
      </c>
      <c r="R77" s="4" t="inlineStr">
        <is>
          <t>iPhone</t>
        </is>
      </c>
      <c r="S77" s="4" t="inlineStr">
        <is>
          <t>B02</t>
        </is>
      </c>
      <c r="T77" s="4" t="inlineStr">
        <is>
          <t>BASELINE_1_500</t>
        </is>
      </c>
      <c r="U77" s="4" t="inlineStr">
        <is>
          <t>CREATED</t>
        </is>
      </c>
      <c r="V77" s="4" t="inlineStr">
        <is>
          <t>idem-20260902-ios-0076</t>
        </is>
      </c>
    </row>
    <row r="78" ht="30" customHeight="1">
      <c r="A78" s="4" t="n">
        <v>77</v>
      </c>
      <c r="B78" s="4" t="inlineStr">
        <is>
          <t>MTR-IOS-0077</t>
        </is>
      </c>
      <c r="C78" s="4" t="inlineStr">
        <is>
          <t>Group</t>
        </is>
      </c>
      <c r="D78" s="4" t="inlineStr">
        <is>
          <t>Shared Purchase</t>
        </is>
      </c>
      <c r="E78" s="4" t="inlineStr">
        <is>
          <t>Gift Pool</t>
        </is>
      </c>
      <c r="F78" s="4" t="inlineStr">
        <is>
          <t>Gift Purchase</t>
        </is>
      </c>
      <c r="G78" s="4" t="inlineStr">
        <is>
          <t>Expense</t>
        </is>
      </c>
      <c r="H78" s="12" t="n">
        <v>45952</v>
      </c>
      <c r="I78" s="13" t="n">
        <v>0.9135763888888889</v>
      </c>
      <c r="J78" s="14" t="n">
        <v>45952.91357638889</v>
      </c>
      <c r="K78" s="15" t="n">
        <v>10652.95</v>
      </c>
      <c r="L78" s="4" t="inlineStr">
        <is>
          <t>INR</t>
        </is>
      </c>
      <c r="M78" s="15" t="n">
        <v>-10652.95</v>
      </c>
      <c r="N78" s="4" t="inlineStr">
        <is>
          <t>IOS Aarav</t>
        </is>
      </c>
      <c r="O78" s="4" t="n">
        <v>3</v>
      </c>
      <c r="P78" s="4" t="inlineStr">
        <is>
          <t>PERCENTAGE</t>
        </is>
      </c>
      <c r="Q78" s="4" t="inlineStr">
        <is>
          <t>MAESTRO-IOS-GROUP-GIFT_POOL-0077 | Gift Purchase | 10652.95</t>
        </is>
      </c>
      <c r="R78" s="4" t="inlineStr">
        <is>
          <t>iPhone</t>
        </is>
      </c>
      <c r="S78" s="4" t="inlineStr">
        <is>
          <t>B02</t>
        </is>
      </c>
      <c r="T78" s="4" t="inlineStr">
        <is>
          <t>BASELINE_1_500</t>
        </is>
      </c>
      <c r="U78" s="4" t="inlineStr">
        <is>
          <t>CREATED</t>
        </is>
      </c>
      <c r="V78" s="4" t="inlineStr">
        <is>
          <t>idem-20260902-ios-0077</t>
        </is>
      </c>
    </row>
    <row r="79" ht="30" customHeight="1">
      <c r="A79" s="4" t="n">
        <v>78</v>
      </c>
      <c r="B79" s="4" t="inlineStr">
        <is>
          <t>MTR-IOS-0078</t>
        </is>
      </c>
      <c r="C79" s="4" t="inlineStr">
        <is>
          <t>Business</t>
        </is>
      </c>
      <c r="D79" s="4" t="inlineStr">
        <is>
          <t>Business</t>
        </is>
      </c>
      <c r="E79" s="4" t="inlineStr">
        <is>
          <t>Team Operations</t>
        </is>
      </c>
      <c r="F79" s="4" t="inlineStr">
        <is>
          <t>Travel</t>
        </is>
      </c>
      <c r="G79" s="4" t="inlineStr">
        <is>
          <t>Expense</t>
        </is>
      </c>
      <c r="H79" s="12" t="n">
        <v>46072</v>
      </c>
      <c r="I79" s="13" t="n">
        <v>0.8271643518518519</v>
      </c>
      <c r="J79" s="14" t="n">
        <v>46072.82716435185</v>
      </c>
      <c r="K79" s="15" t="n">
        <v>122605.77</v>
      </c>
      <c r="L79" s="4" t="inlineStr">
        <is>
          <t>INR</t>
        </is>
      </c>
      <c r="M79" s="15" t="n">
        <v>-122605.77</v>
      </c>
      <c r="N79" s="4" t="inlineStr">
        <is>
          <t>IOS Owner</t>
        </is>
      </c>
      <c r="O79" s="4" t="n"/>
      <c r="P79" s="4" t="n"/>
      <c r="Q79" s="4" t="inlineStr">
        <is>
          <t>MAESTRO-IOS-BUSINESS-TEAM_OPERATIONS-0078 | Travel | 122605.77</t>
        </is>
      </c>
      <c r="R79" s="4" t="inlineStr">
        <is>
          <t>iPhone</t>
        </is>
      </c>
      <c r="S79" s="4" t="inlineStr">
        <is>
          <t>B02</t>
        </is>
      </c>
      <c r="T79" s="4" t="inlineStr">
        <is>
          <t>BASELINE_1_500</t>
        </is>
      </c>
      <c r="U79" s="4" t="inlineStr">
        <is>
          <t>CREATED</t>
        </is>
      </c>
      <c r="V79" s="4" t="inlineStr">
        <is>
          <t>idem-20260902-ios-0078</t>
        </is>
      </c>
    </row>
    <row r="80" ht="30" customHeight="1">
      <c r="A80" s="4" t="n">
        <v>79</v>
      </c>
      <c r="B80" s="4" t="inlineStr">
        <is>
          <t>MTR-IOS-0079</t>
        </is>
      </c>
      <c r="C80" s="4" t="inlineStr">
        <is>
          <t>Personal</t>
        </is>
      </c>
      <c r="D80" s="4" t="inlineStr">
        <is>
          <t>Personal</t>
        </is>
      </c>
      <c r="E80" s="4" t="inlineStr">
        <is>
          <t>Life Operations</t>
        </is>
      </c>
      <c r="F80" s="4" t="inlineStr">
        <is>
          <t>Transport</t>
        </is>
      </c>
      <c r="G80" s="4" t="inlineStr">
        <is>
          <t>Expense</t>
        </is>
      </c>
      <c r="H80" s="12" t="n">
        <v>46255</v>
      </c>
      <c r="I80" s="13" t="n">
        <v>0.3644560185185185</v>
      </c>
      <c r="J80" s="14" t="n">
        <v>46255.36445601852</v>
      </c>
      <c r="K80" s="15" t="n">
        <v>7262.27</v>
      </c>
      <c r="L80" s="4" t="inlineStr">
        <is>
          <t>INR</t>
        </is>
      </c>
      <c r="M80" s="15" t="n">
        <v>-7262.27</v>
      </c>
      <c r="N80" s="4" t="inlineStr">
        <is>
          <t>IOS Owner</t>
        </is>
      </c>
      <c r="O80" s="4" t="n"/>
      <c r="P80" s="4" t="n"/>
      <c r="Q80" s="4" t="inlineStr">
        <is>
          <t>MAESTRO-IOS-PERSONAL-LIFE_OPERATIONS-0079 | Transport | 7262.27</t>
        </is>
      </c>
      <c r="R80" s="4" t="inlineStr">
        <is>
          <t>iPhone</t>
        </is>
      </c>
      <c r="S80" s="4" t="inlineStr">
        <is>
          <t>B02</t>
        </is>
      </c>
      <c r="T80" s="4" t="inlineStr">
        <is>
          <t>BASELINE_1_500</t>
        </is>
      </c>
      <c r="U80" s="4" t="inlineStr">
        <is>
          <t>CREATED</t>
        </is>
      </c>
      <c r="V80" s="4" t="inlineStr">
        <is>
          <t>idem-20260902-ios-0079</t>
        </is>
      </c>
    </row>
    <row r="81" ht="30" customHeight="1">
      <c r="A81" s="4" t="n">
        <v>80</v>
      </c>
      <c r="B81" s="4" t="inlineStr">
        <is>
          <t>MTR-IOS-0080</t>
        </is>
      </c>
      <c r="C81" s="4" t="inlineStr">
        <is>
          <t>Group</t>
        </is>
      </c>
      <c r="D81" s="4" t="inlineStr">
        <is>
          <t>Shared Purchase</t>
        </is>
      </c>
      <c r="E81" s="4" t="inlineStr">
        <is>
          <t>Gift Pool</t>
        </is>
      </c>
      <c r="F81" s="4" t="inlineStr">
        <is>
          <t>Delivery</t>
        </is>
      </c>
      <c r="G81" s="4" t="inlineStr">
        <is>
          <t>Expense</t>
        </is>
      </c>
      <c r="H81" s="12" t="n">
        <v>46075</v>
      </c>
      <c r="I81" s="13" t="n">
        <v>0.7805902777777778</v>
      </c>
      <c r="J81" s="14" t="n">
        <v>46075.78059027778</v>
      </c>
      <c r="K81" s="15" t="n">
        <v>5391.57</v>
      </c>
      <c r="L81" s="4" t="inlineStr">
        <is>
          <t>INR</t>
        </is>
      </c>
      <c r="M81" s="15" t="n">
        <v>-5391.57</v>
      </c>
      <c r="N81" s="4" t="inlineStr">
        <is>
          <t>IOS Meera</t>
        </is>
      </c>
      <c r="O81" s="4" t="n">
        <v>3</v>
      </c>
      <c r="P81" s="4" t="inlineStr">
        <is>
          <t>EXACT</t>
        </is>
      </c>
      <c r="Q81" s="4" t="inlineStr">
        <is>
          <t>MAESTRO-IOS-GROUP-GIFT_POOL-0080 | Delivery | 5391.57</t>
        </is>
      </c>
      <c r="R81" s="4" t="inlineStr">
        <is>
          <t>iPhone</t>
        </is>
      </c>
      <c r="S81" s="4" t="inlineStr">
        <is>
          <t>B02</t>
        </is>
      </c>
      <c r="T81" s="4" t="inlineStr">
        <is>
          <t>BASELINE_1_500</t>
        </is>
      </c>
      <c r="U81" s="4" t="inlineStr">
        <is>
          <t>CREATED</t>
        </is>
      </c>
      <c r="V81" s="4" t="inlineStr">
        <is>
          <t>idem-20260902-ios-0080</t>
        </is>
      </c>
    </row>
    <row r="82" ht="30" customHeight="1">
      <c r="A82" s="4" t="n">
        <v>81</v>
      </c>
      <c r="B82" s="4" t="inlineStr">
        <is>
          <t>MTR-IOS-0081</t>
        </is>
      </c>
      <c r="C82" s="4" t="inlineStr">
        <is>
          <t>Business</t>
        </is>
      </c>
      <c r="D82" s="4" t="inlineStr">
        <is>
          <t>Business</t>
        </is>
      </c>
      <c r="E82" s="4" t="inlineStr">
        <is>
          <t>Team Operations</t>
        </is>
      </c>
      <c r="F82" s="4" t="inlineStr">
        <is>
          <t>Training</t>
        </is>
      </c>
      <c r="G82" s="4" t="inlineStr">
        <is>
          <t>Expense</t>
        </is>
      </c>
      <c r="H82" s="12" t="n">
        <v>46022</v>
      </c>
      <c r="I82" s="13" t="n">
        <v>0.839375</v>
      </c>
      <c r="J82" s="14" t="n">
        <v>46022.839375</v>
      </c>
      <c r="K82" s="15" t="n">
        <v>91592.45</v>
      </c>
      <c r="L82" s="4" t="inlineStr">
        <is>
          <t>INR</t>
        </is>
      </c>
      <c r="M82" s="15" t="n">
        <v>-91592.45</v>
      </c>
      <c r="N82" s="4" t="inlineStr">
        <is>
          <t>IOS Owner</t>
        </is>
      </c>
      <c r="O82" s="4" t="n"/>
      <c r="P82" s="4" t="n"/>
      <c r="Q82" s="4" t="inlineStr">
        <is>
          <t>MAESTRO-IOS-BUSINESS-TEAM_OPERATIONS-0081 | Training | 91592.45</t>
        </is>
      </c>
      <c r="R82" s="4" t="inlineStr">
        <is>
          <t>iPhone</t>
        </is>
      </c>
      <c r="S82" s="4" t="inlineStr">
        <is>
          <t>B02</t>
        </is>
      </c>
      <c r="T82" s="4" t="inlineStr">
        <is>
          <t>BASELINE_1_500</t>
        </is>
      </c>
      <c r="U82" s="4" t="inlineStr">
        <is>
          <t>CREATED</t>
        </is>
      </c>
      <c r="V82" s="4" t="inlineStr">
        <is>
          <t>idem-20260902-ios-0081</t>
        </is>
      </c>
    </row>
    <row r="83" ht="30" customHeight="1">
      <c r="A83" s="4" t="n">
        <v>82</v>
      </c>
      <c r="B83" s="4" t="inlineStr">
        <is>
          <t>MTR-IOS-0082</t>
        </is>
      </c>
      <c r="C83" s="4" t="inlineStr">
        <is>
          <t>Personal</t>
        </is>
      </c>
      <c r="D83" s="4" t="inlineStr">
        <is>
          <t>Personal</t>
        </is>
      </c>
      <c r="E83" s="4" t="inlineStr">
        <is>
          <t>Life Operations</t>
        </is>
      </c>
      <c r="F83" s="4" t="inlineStr">
        <is>
          <t>Healthcare</t>
        </is>
      </c>
      <c r="G83" s="4" t="inlineStr">
        <is>
          <t>Expense</t>
        </is>
      </c>
      <c r="H83" s="12" t="n">
        <v>45945</v>
      </c>
      <c r="I83" s="13" t="n">
        <v>0.8835069444444444</v>
      </c>
      <c r="J83" s="14" t="n">
        <v>45945.88350694445</v>
      </c>
      <c r="K83" s="15" t="n">
        <v>16572.13</v>
      </c>
      <c r="L83" s="4" t="inlineStr">
        <is>
          <t>INR</t>
        </is>
      </c>
      <c r="M83" s="15" t="n">
        <v>-16572.13</v>
      </c>
      <c r="N83" s="4" t="inlineStr">
        <is>
          <t>IOS Owner</t>
        </is>
      </c>
      <c r="O83" s="4" t="n"/>
      <c r="P83" s="4" t="n"/>
      <c r="Q83" s="4" t="inlineStr">
        <is>
          <t>MAESTRO-IOS-PERSONAL-LIFE_OPERATIONS-0082 | Healthcare | 16572.13</t>
        </is>
      </c>
      <c r="R83" s="4" t="inlineStr">
        <is>
          <t>iPhone</t>
        </is>
      </c>
      <c r="S83" s="4" t="inlineStr">
        <is>
          <t>B02</t>
        </is>
      </c>
      <c r="T83" s="4" t="inlineStr">
        <is>
          <t>BASELINE_1_500</t>
        </is>
      </c>
      <c r="U83" s="4" t="inlineStr">
        <is>
          <t>CREATED</t>
        </is>
      </c>
      <c r="V83" s="4" t="inlineStr">
        <is>
          <t>idem-20260902-ios-0082</t>
        </is>
      </c>
    </row>
    <row r="84" ht="30" customHeight="1">
      <c r="A84" s="4" t="n">
        <v>83</v>
      </c>
      <c r="B84" s="4" t="inlineStr">
        <is>
          <t>MTR-IOS-0083</t>
        </is>
      </c>
      <c r="C84" s="4" t="inlineStr">
        <is>
          <t>Group</t>
        </is>
      </c>
      <c r="D84" s="4" t="inlineStr">
        <is>
          <t>Shared Purchase</t>
        </is>
      </c>
      <c r="E84" s="4" t="inlineStr">
        <is>
          <t>Gift Pool</t>
        </is>
      </c>
      <c r="F84" s="4" t="inlineStr">
        <is>
          <t>Other</t>
        </is>
      </c>
      <c r="G84" s="4" t="inlineStr">
        <is>
          <t>Expense</t>
        </is>
      </c>
      <c r="H84" s="12" t="n">
        <v>46248</v>
      </c>
      <c r="I84" s="13" t="n">
        <v>0.01950231481481482</v>
      </c>
      <c r="J84" s="14" t="n">
        <v>46248.01950231481</v>
      </c>
      <c r="K84" s="15" t="n">
        <v>22439.56</v>
      </c>
      <c r="L84" s="4" t="inlineStr">
        <is>
          <t>INR</t>
        </is>
      </c>
      <c r="M84" s="15" t="n">
        <v>-22439.56</v>
      </c>
      <c r="N84" s="4" t="inlineStr">
        <is>
          <t>IOS Owner</t>
        </is>
      </c>
      <c r="O84" s="4" t="n">
        <v>3</v>
      </c>
      <c r="P84" s="4" t="inlineStr">
        <is>
          <t>SHARES</t>
        </is>
      </c>
      <c r="Q84" s="4" t="inlineStr">
        <is>
          <t>MAESTRO-IOS-GROUP-GIFT_POOL-0083 | Other | 22439.56</t>
        </is>
      </c>
      <c r="R84" s="4" t="inlineStr">
        <is>
          <t>iPhone</t>
        </is>
      </c>
      <c r="S84" s="4" t="inlineStr">
        <is>
          <t>B02</t>
        </is>
      </c>
      <c r="T84" s="4" t="inlineStr">
        <is>
          <t>BASELINE_1_500</t>
        </is>
      </c>
      <c r="U84" s="4" t="inlineStr">
        <is>
          <t>CREATED</t>
        </is>
      </c>
      <c r="V84" s="4" t="inlineStr">
        <is>
          <t>idem-20260902-ios-0083</t>
        </is>
      </c>
    </row>
    <row r="85" ht="30" customHeight="1">
      <c r="A85" s="4" t="n">
        <v>84</v>
      </c>
      <c r="B85" s="4" t="inlineStr">
        <is>
          <t>MTR-IOS-0084</t>
        </is>
      </c>
      <c r="C85" s="4" t="inlineStr">
        <is>
          <t>Business</t>
        </is>
      </c>
      <c r="D85" s="4" t="inlineStr">
        <is>
          <t>Business</t>
        </is>
      </c>
      <c r="E85" s="4" t="inlineStr">
        <is>
          <t>Team Operations</t>
        </is>
      </c>
      <c r="F85" s="4" t="inlineStr">
        <is>
          <t>Tools</t>
        </is>
      </c>
      <c r="G85" s="4" t="inlineStr">
        <is>
          <t>Expense</t>
        </is>
      </c>
      <c r="H85" s="12" t="n">
        <v>45976</v>
      </c>
      <c r="I85" s="13" t="n">
        <v>0.4559259259259259</v>
      </c>
      <c r="J85" s="14" t="n">
        <v>45976.45592592593</v>
      </c>
      <c r="K85" s="15" t="n">
        <v>28921.75</v>
      </c>
      <c r="L85" s="4" t="inlineStr">
        <is>
          <t>INR</t>
        </is>
      </c>
      <c r="M85" s="15" t="n">
        <v>-28921.75</v>
      </c>
      <c r="N85" s="4" t="inlineStr">
        <is>
          <t>IOS Owner</t>
        </is>
      </c>
      <c r="O85" s="4" t="n"/>
      <c r="P85" s="4" t="n"/>
      <c r="Q85" s="4" t="inlineStr">
        <is>
          <t>MAESTRO-IOS-BUSINESS-TEAM_OPERATIONS-0084 | Tools | 28921.75</t>
        </is>
      </c>
      <c r="R85" s="4" t="inlineStr">
        <is>
          <t>iPhone</t>
        </is>
      </c>
      <c r="S85" s="4" t="inlineStr">
        <is>
          <t>B02</t>
        </is>
      </c>
      <c r="T85" s="4" t="inlineStr">
        <is>
          <t>BASELINE_1_500</t>
        </is>
      </c>
      <c r="U85" s="4" t="inlineStr">
        <is>
          <t>CREATED</t>
        </is>
      </c>
      <c r="V85" s="4" t="inlineStr">
        <is>
          <t>idem-20260902-ios-0084</t>
        </is>
      </c>
    </row>
    <row r="86" ht="30" customHeight="1">
      <c r="A86" s="4" t="n">
        <v>85</v>
      </c>
      <c r="B86" s="4" t="inlineStr">
        <is>
          <t>MTR-IOS-0085</t>
        </is>
      </c>
      <c r="C86" s="4" t="inlineStr">
        <is>
          <t>Personal</t>
        </is>
      </c>
      <c r="D86" s="4" t="inlineStr">
        <is>
          <t>Personal</t>
        </is>
      </c>
      <c r="E86" s="4" t="inlineStr">
        <is>
          <t>Life Operations</t>
        </is>
      </c>
      <c r="F86" s="4" t="inlineStr">
        <is>
          <t>Subscriptions</t>
        </is>
      </c>
      <c r="G86" s="4" t="inlineStr">
        <is>
          <t>Expense</t>
        </is>
      </c>
      <c r="H86" s="12" t="n">
        <v>45992</v>
      </c>
      <c r="I86" s="13" t="n">
        <v>0.6057754629629629</v>
      </c>
      <c r="J86" s="14" t="n">
        <v>45992.60577546297</v>
      </c>
      <c r="K86" s="15" t="n">
        <v>888.95</v>
      </c>
      <c r="L86" s="4" t="inlineStr">
        <is>
          <t>INR</t>
        </is>
      </c>
      <c r="M86" s="15" t="n">
        <v>-888.95</v>
      </c>
      <c r="N86" s="4" t="inlineStr">
        <is>
          <t>IOS Owner</t>
        </is>
      </c>
      <c r="O86" s="4" t="n"/>
      <c r="P86" s="4" t="n"/>
      <c r="Q86" s="4" t="inlineStr">
        <is>
          <t>MAESTRO-IOS-PERSONAL-LIFE_OPERATIONS-0085 | Subscriptions | 888.95</t>
        </is>
      </c>
      <c r="R86" s="4" t="inlineStr">
        <is>
          <t>iPhone</t>
        </is>
      </c>
      <c r="S86" s="4" t="inlineStr">
        <is>
          <t>B02</t>
        </is>
      </c>
      <c r="T86" s="4" t="inlineStr">
        <is>
          <t>BASELINE_1_500</t>
        </is>
      </c>
      <c r="U86" s="4" t="inlineStr">
        <is>
          <t>CREATED</t>
        </is>
      </c>
      <c r="V86" s="4" t="inlineStr">
        <is>
          <t>idem-20260902-ios-0085</t>
        </is>
      </c>
    </row>
    <row r="87" ht="30" customHeight="1">
      <c r="A87" s="4" t="n">
        <v>86</v>
      </c>
      <c r="B87" s="4" t="inlineStr">
        <is>
          <t>MTR-IOS-0086</t>
        </is>
      </c>
      <c r="C87" s="4" t="inlineStr">
        <is>
          <t>Group</t>
        </is>
      </c>
      <c r="D87" s="4" t="inlineStr">
        <is>
          <t>Shared Purchase</t>
        </is>
      </c>
      <c r="E87" s="4" t="inlineStr">
        <is>
          <t>Purchase</t>
        </is>
      </c>
      <c r="F87" s="4" t="inlineStr">
        <is>
          <t>Item</t>
        </is>
      </c>
      <c r="G87" s="4" t="inlineStr">
        <is>
          <t>Expense</t>
        </is>
      </c>
      <c r="H87" s="12" t="n">
        <v>46144</v>
      </c>
      <c r="I87" s="13" t="n">
        <v>0.858738425925926</v>
      </c>
      <c r="J87" s="14" t="n">
        <v>46144.85873842592</v>
      </c>
      <c r="K87" s="15" t="n">
        <v>1987.64</v>
      </c>
      <c r="L87" s="4" t="inlineStr">
        <is>
          <t>INR</t>
        </is>
      </c>
      <c r="M87" s="15" t="n">
        <v>-1987.64</v>
      </c>
      <c r="N87" s="4" t="inlineStr">
        <is>
          <t>IOS Aarav</t>
        </is>
      </c>
      <c r="O87" s="4" t="n">
        <v>3</v>
      </c>
      <c r="P87" s="4" t="inlineStr">
        <is>
          <t>EQUAL</t>
        </is>
      </c>
      <c r="Q87" s="4" t="inlineStr">
        <is>
          <t>MAESTRO-IOS-GROUP-PURCHASE-0086 | Item | 1987.64</t>
        </is>
      </c>
      <c r="R87" s="4" t="inlineStr">
        <is>
          <t>iPhone</t>
        </is>
      </c>
      <c r="S87" s="4" t="inlineStr">
        <is>
          <t>B02</t>
        </is>
      </c>
      <c r="T87" s="4" t="inlineStr">
        <is>
          <t>BASELINE_1_500</t>
        </is>
      </c>
      <c r="U87" s="4" t="inlineStr">
        <is>
          <t>CREATED</t>
        </is>
      </c>
      <c r="V87" s="4" t="inlineStr">
        <is>
          <t>idem-20260902-ios-0086</t>
        </is>
      </c>
    </row>
    <row r="88" ht="30" customHeight="1">
      <c r="A88" s="4" t="n">
        <v>87</v>
      </c>
      <c r="B88" s="4" t="inlineStr">
        <is>
          <t>MTR-IOS-0087</t>
        </is>
      </c>
      <c r="C88" s="4" t="inlineStr">
        <is>
          <t>Business</t>
        </is>
      </c>
      <c r="D88" s="4" t="inlineStr">
        <is>
          <t>Business</t>
        </is>
      </c>
      <c r="E88" s="4" t="inlineStr">
        <is>
          <t>Business Runway</t>
        </is>
      </c>
      <c r="F88" s="4" t="inlineStr">
        <is>
          <t>Funding</t>
        </is>
      </c>
      <c r="G88" s="4" t="inlineStr">
        <is>
          <t>Income</t>
        </is>
      </c>
      <c r="H88" s="12" t="n">
        <v>45924</v>
      </c>
      <c r="I88" s="13" t="n">
        <v>0.7027199074074074</v>
      </c>
      <c r="J88" s="14" t="n">
        <v>45924.70271990741</v>
      </c>
      <c r="K88" s="15" t="n">
        <v>106112.85</v>
      </c>
      <c r="L88" s="4" t="inlineStr">
        <is>
          <t>INR</t>
        </is>
      </c>
      <c r="M88" s="15" t="n">
        <v>106112.85</v>
      </c>
      <c r="N88" s="4" t="inlineStr">
        <is>
          <t>IOS Owner</t>
        </is>
      </c>
      <c r="O88" s="4" t="n"/>
      <c r="P88" s="4" t="n"/>
      <c r="Q88" s="4" t="inlineStr">
        <is>
          <t>MAESTRO-IOS-BUSINESS-BUSINESS_RUNWAY-0087 | Funding | 106112.85</t>
        </is>
      </c>
      <c r="R88" s="4" t="inlineStr">
        <is>
          <t>iPhone</t>
        </is>
      </c>
      <c r="S88" s="4" t="inlineStr">
        <is>
          <t>B02</t>
        </is>
      </c>
      <c r="T88" s="4" t="inlineStr">
        <is>
          <t>BASELINE_1_500</t>
        </is>
      </c>
      <c r="U88" s="4" t="inlineStr">
        <is>
          <t>CREATED</t>
        </is>
      </c>
      <c r="V88" s="4" t="inlineStr">
        <is>
          <t>idem-20260902-ios-0087</t>
        </is>
      </c>
    </row>
    <row r="89" ht="30" customHeight="1">
      <c r="A89" s="4" t="n">
        <v>88</v>
      </c>
      <c r="B89" s="4" t="inlineStr">
        <is>
          <t>MTR-IOS-0088</t>
        </is>
      </c>
      <c r="C89" s="4" t="inlineStr">
        <is>
          <t>Personal</t>
        </is>
      </c>
      <c r="D89" s="4" t="inlineStr">
        <is>
          <t>Personal</t>
        </is>
      </c>
      <c r="E89" s="4" t="inlineStr">
        <is>
          <t>Life Operations</t>
        </is>
      </c>
      <c r="F89" s="4" t="inlineStr">
        <is>
          <t>Repairs</t>
        </is>
      </c>
      <c r="G89" s="4" t="inlineStr">
        <is>
          <t>Expense</t>
        </is>
      </c>
      <c r="H89" s="12" t="n">
        <v>45905</v>
      </c>
      <c r="I89" s="13" t="n">
        <v>0.01539351851851852</v>
      </c>
      <c r="J89" s="14" t="n">
        <v>45905.01539351852</v>
      </c>
      <c r="K89" s="15" t="n">
        <v>508.87</v>
      </c>
      <c r="L89" s="4" t="inlineStr">
        <is>
          <t>INR</t>
        </is>
      </c>
      <c r="M89" s="15" t="n">
        <v>-508.87</v>
      </c>
      <c r="N89" s="4" t="inlineStr">
        <is>
          <t>IOS Owner</t>
        </is>
      </c>
      <c r="O89" s="4" t="n"/>
      <c r="P89" s="4" t="n"/>
      <c r="Q89" s="4" t="inlineStr">
        <is>
          <t>MAESTRO-IOS-PERSONAL-LIFE_OPERATIONS-0088 | Repairs | 508.87</t>
        </is>
      </c>
      <c r="R89" s="4" t="inlineStr">
        <is>
          <t>iPhone</t>
        </is>
      </c>
      <c r="S89" s="4" t="inlineStr">
        <is>
          <t>B02</t>
        </is>
      </c>
      <c r="T89" s="4" t="inlineStr">
        <is>
          <t>BASELINE_1_500</t>
        </is>
      </c>
      <c r="U89" s="4" t="inlineStr">
        <is>
          <t>CREATED</t>
        </is>
      </c>
      <c r="V89" s="4" t="inlineStr">
        <is>
          <t>idem-20260902-ios-0088</t>
        </is>
      </c>
    </row>
    <row r="90" ht="30" customHeight="1">
      <c r="A90" s="4" t="n">
        <v>89</v>
      </c>
      <c r="B90" s="4" t="inlineStr">
        <is>
          <t>MTR-IOS-0089</t>
        </is>
      </c>
      <c r="C90" s="4" t="inlineStr">
        <is>
          <t>Group</t>
        </is>
      </c>
      <c r="D90" s="4" t="inlineStr">
        <is>
          <t>Shared Purchase</t>
        </is>
      </c>
      <c r="E90" s="4" t="inlineStr">
        <is>
          <t>Purchase</t>
        </is>
      </c>
      <c r="F90" s="4" t="inlineStr">
        <is>
          <t>Shipping</t>
        </is>
      </c>
      <c r="G90" s="4" t="inlineStr">
        <is>
          <t>Expense</t>
        </is>
      </c>
      <c r="H90" s="12" t="n">
        <v>46011</v>
      </c>
      <c r="I90" s="13" t="n">
        <v>0.9511226851851852</v>
      </c>
      <c r="J90" s="14" t="n">
        <v>46011.95112268518</v>
      </c>
      <c r="K90" s="15" t="n">
        <v>8397.299999999999</v>
      </c>
      <c r="L90" s="4" t="inlineStr">
        <is>
          <t>INR</t>
        </is>
      </c>
      <c r="M90" s="15" t="n">
        <v>-8397.299999999999</v>
      </c>
      <c r="N90" s="4" t="inlineStr">
        <is>
          <t>IOS Meera</t>
        </is>
      </c>
      <c r="O90" s="4" t="n">
        <v>3</v>
      </c>
      <c r="P90" s="4" t="inlineStr">
        <is>
          <t>PERCENTAGE</t>
        </is>
      </c>
      <c r="Q90" s="4" t="inlineStr">
        <is>
          <t>MAESTRO-IOS-GROUP-PURCHASE-0089 | Shipping | 8397.30</t>
        </is>
      </c>
      <c r="R90" s="4" t="inlineStr">
        <is>
          <t>iPhone</t>
        </is>
      </c>
      <c r="S90" s="4" t="inlineStr">
        <is>
          <t>B02</t>
        </is>
      </c>
      <c r="T90" s="4" t="inlineStr">
        <is>
          <t>BASELINE_1_500</t>
        </is>
      </c>
      <c r="U90" s="4" t="inlineStr">
        <is>
          <t>CREATED</t>
        </is>
      </c>
      <c r="V90" s="4" t="inlineStr">
        <is>
          <t>idem-20260902-ios-0089</t>
        </is>
      </c>
    </row>
    <row r="91" ht="30" customHeight="1">
      <c r="A91" s="4" t="n">
        <v>90</v>
      </c>
      <c r="B91" s="4" t="inlineStr">
        <is>
          <t>MTR-IOS-0090</t>
        </is>
      </c>
      <c r="C91" s="4" t="inlineStr">
        <is>
          <t>Business</t>
        </is>
      </c>
      <c r="D91" s="4" t="inlineStr">
        <is>
          <t>Business</t>
        </is>
      </c>
      <c r="E91" s="4" t="inlineStr">
        <is>
          <t>Business Runway</t>
        </is>
      </c>
      <c r="F91" s="4" t="inlineStr">
        <is>
          <t>Revenue</t>
        </is>
      </c>
      <c r="G91" s="4" t="inlineStr">
        <is>
          <t>Income</t>
        </is>
      </c>
      <c r="H91" s="12" t="n">
        <v>46206</v>
      </c>
      <c r="I91" s="13" t="n">
        <v>0.4911226851851852</v>
      </c>
      <c r="J91" s="14" t="n">
        <v>46206.49112268518</v>
      </c>
      <c r="K91" s="15" t="n">
        <v>164732.5</v>
      </c>
      <c r="L91" s="4" t="inlineStr">
        <is>
          <t>INR</t>
        </is>
      </c>
      <c r="M91" s="15" t="n">
        <v>164732.5</v>
      </c>
      <c r="N91" s="4" t="inlineStr">
        <is>
          <t>IOS Owner</t>
        </is>
      </c>
      <c r="O91" s="4" t="n"/>
      <c r="P91" s="4" t="n"/>
      <c r="Q91" s="4" t="inlineStr">
        <is>
          <t>MAESTRO-IOS-BUSINESS-BUSINESS_RUNWAY-0090 | Revenue | 164732.50</t>
        </is>
      </c>
      <c r="R91" s="4" t="inlineStr">
        <is>
          <t>iPhone</t>
        </is>
      </c>
      <c r="S91" s="4" t="inlineStr">
        <is>
          <t>B02</t>
        </is>
      </c>
      <c r="T91" s="4" t="inlineStr">
        <is>
          <t>BASELINE_1_500</t>
        </is>
      </c>
      <c r="U91" s="4" t="inlineStr">
        <is>
          <t>CREATED</t>
        </is>
      </c>
      <c r="V91" s="4" t="inlineStr">
        <is>
          <t>idem-20260902-ios-0090</t>
        </is>
      </c>
    </row>
    <row r="92" ht="30" customHeight="1">
      <c r="A92" s="4" t="n">
        <v>91</v>
      </c>
      <c r="B92" s="4" t="inlineStr">
        <is>
          <t>MTR-IOS-0091</t>
        </is>
      </c>
      <c r="C92" s="4" t="inlineStr">
        <is>
          <t>Personal</t>
        </is>
      </c>
      <c r="D92" s="4" t="inlineStr">
        <is>
          <t>Personal</t>
        </is>
      </c>
      <c r="E92" s="4" t="inlineStr">
        <is>
          <t>Future Building</t>
        </is>
      </c>
      <c r="F92" s="4" t="inlineStr">
        <is>
          <t>Savings</t>
        </is>
      </c>
      <c r="G92" s="4" t="inlineStr">
        <is>
          <t>Transfer</t>
        </is>
      </c>
      <c r="H92" s="12" t="n">
        <v>46207</v>
      </c>
      <c r="I92" s="13" t="n">
        <v>0.6740393518518518</v>
      </c>
      <c r="J92" s="14" t="n">
        <v>46207.67403935185</v>
      </c>
      <c r="K92" s="15" t="n">
        <v>1047.28</v>
      </c>
      <c r="L92" s="4" t="inlineStr">
        <is>
          <t>INR</t>
        </is>
      </c>
      <c r="M92" s="15" t="n">
        <v>0</v>
      </c>
      <c r="N92" s="4" t="inlineStr">
        <is>
          <t>IOS Owner</t>
        </is>
      </c>
      <c r="O92" s="4" t="n"/>
      <c r="P92" s="4" t="n"/>
      <c r="Q92" s="4" t="inlineStr">
        <is>
          <t>MAESTRO-IOS-PERSONAL-FUTURE_BUILDING-0091 | Savings | 1047.28</t>
        </is>
      </c>
      <c r="R92" s="4" t="inlineStr">
        <is>
          <t>iPhone</t>
        </is>
      </c>
      <c r="S92" s="4" t="inlineStr">
        <is>
          <t>B02</t>
        </is>
      </c>
      <c r="T92" s="4" t="inlineStr">
        <is>
          <t>BASELINE_1_500</t>
        </is>
      </c>
      <c r="U92" s="4" t="inlineStr">
        <is>
          <t>CREATED</t>
        </is>
      </c>
      <c r="V92" s="4" t="inlineStr">
        <is>
          <t>idem-20260902-ios-0091</t>
        </is>
      </c>
    </row>
    <row r="93" ht="30" customHeight="1">
      <c r="A93" s="4" t="n">
        <v>92</v>
      </c>
      <c r="B93" s="4" t="inlineStr">
        <is>
          <t>MTR-IOS-0092</t>
        </is>
      </c>
      <c r="C93" s="4" t="inlineStr">
        <is>
          <t>Group</t>
        </is>
      </c>
      <c r="D93" s="4" t="inlineStr">
        <is>
          <t>Shared Purchase</t>
        </is>
      </c>
      <c r="E93" s="4" t="inlineStr">
        <is>
          <t>Purchase</t>
        </is>
      </c>
      <c r="F93" s="4" t="inlineStr">
        <is>
          <t>Tax</t>
        </is>
      </c>
      <c r="G93" s="4" t="inlineStr">
        <is>
          <t>Expense</t>
        </is>
      </c>
      <c r="H93" s="12" t="n">
        <v>46097</v>
      </c>
      <c r="I93" s="13" t="n">
        <v>0.2424652777777778</v>
      </c>
      <c r="J93" s="14" t="n">
        <v>46097.24246527778</v>
      </c>
      <c r="K93" s="15" t="n">
        <v>22954.16</v>
      </c>
      <c r="L93" s="4" t="inlineStr">
        <is>
          <t>INR</t>
        </is>
      </c>
      <c r="M93" s="15" t="n">
        <v>-22954.16</v>
      </c>
      <c r="N93" s="4" t="inlineStr">
        <is>
          <t>IOS Owner</t>
        </is>
      </c>
      <c r="O93" s="4" t="n">
        <v>3</v>
      </c>
      <c r="P93" s="4" t="inlineStr">
        <is>
          <t>EXACT</t>
        </is>
      </c>
      <c r="Q93" s="4" t="inlineStr">
        <is>
          <t>MAESTRO-IOS-GROUP-PURCHASE-0092 | Tax | 22954.16</t>
        </is>
      </c>
      <c r="R93" s="4" t="inlineStr">
        <is>
          <t>iPhone</t>
        </is>
      </c>
      <c r="S93" s="4" t="inlineStr">
        <is>
          <t>B02</t>
        </is>
      </c>
      <c r="T93" s="4" t="inlineStr">
        <is>
          <t>BASELINE_1_500</t>
        </is>
      </c>
      <c r="U93" s="4" t="inlineStr">
        <is>
          <t>CREATED</t>
        </is>
      </c>
      <c r="V93" s="4" t="inlineStr">
        <is>
          <t>idem-20260902-ios-0092</t>
        </is>
      </c>
    </row>
    <row r="94" ht="30" customHeight="1">
      <c r="A94" s="4" t="n">
        <v>93</v>
      </c>
      <c r="B94" s="4" t="inlineStr">
        <is>
          <t>MTR-IOS-0093</t>
        </is>
      </c>
      <c r="C94" s="4" t="inlineStr">
        <is>
          <t>Business</t>
        </is>
      </c>
      <c r="D94" s="4" t="inlineStr">
        <is>
          <t>Business</t>
        </is>
      </c>
      <c r="E94" s="4" t="inlineStr">
        <is>
          <t>Business Runway</t>
        </is>
      </c>
      <c r="F94" s="4" t="inlineStr">
        <is>
          <t>Burn</t>
        </is>
      </c>
      <c r="G94" s="4" t="inlineStr">
        <is>
          <t>Expense</t>
        </is>
      </c>
      <c r="H94" s="12" t="n">
        <v>45940</v>
      </c>
      <c r="I94" s="13" t="n">
        <v>0.9043981481481481</v>
      </c>
      <c r="J94" s="14" t="n">
        <v>45940.90439814814</v>
      </c>
      <c r="K94" s="15" t="n">
        <v>87834.75</v>
      </c>
      <c r="L94" s="4" t="inlineStr">
        <is>
          <t>INR</t>
        </is>
      </c>
      <c r="M94" s="15" t="n">
        <v>-87834.75</v>
      </c>
      <c r="N94" s="4" t="inlineStr">
        <is>
          <t>IOS Owner</t>
        </is>
      </c>
      <c r="O94" s="4" t="n"/>
      <c r="P94" s="4" t="n"/>
      <c r="Q94" s="4" t="inlineStr">
        <is>
          <t>MAESTRO-IOS-BUSINESS-BUSINESS_RUNWAY-0093 | Burn | 87834.75</t>
        </is>
      </c>
      <c r="R94" s="4" t="inlineStr">
        <is>
          <t>iPhone</t>
        </is>
      </c>
      <c r="S94" s="4" t="inlineStr">
        <is>
          <t>B02</t>
        </is>
      </c>
      <c r="T94" s="4" t="inlineStr">
        <is>
          <t>BASELINE_1_500</t>
        </is>
      </c>
      <c r="U94" s="4" t="inlineStr">
        <is>
          <t>CREATED</t>
        </is>
      </c>
      <c r="V94" s="4" t="inlineStr">
        <is>
          <t>idem-20260902-ios-0093</t>
        </is>
      </c>
    </row>
    <row r="95" ht="30" customHeight="1">
      <c r="A95" s="4" t="n">
        <v>94</v>
      </c>
      <c r="B95" s="4" t="inlineStr">
        <is>
          <t>MTR-IOS-0094</t>
        </is>
      </c>
      <c r="C95" s="4" t="inlineStr">
        <is>
          <t>Personal</t>
        </is>
      </c>
      <c r="D95" s="4" t="inlineStr">
        <is>
          <t>Personal</t>
        </is>
      </c>
      <c r="E95" s="4" t="inlineStr">
        <is>
          <t>Future Building</t>
        </is>
      </c>
      <c r="F95" s="4" t="inlineStr">
        <is>
          <t>Emergency Fund</t>
        </is>
      </c>
      <c r="G95" s="4" t="inlineStr">
        <is>
          <t>Transfer</t>
        </is>
      </c>
      <c r="H95" s="12" t="n">
        <v>45992</v>
      </c>
      <c r="I95" s="13" t="n">
        <v>0.5147453703703704</v>
      </c>
      <c r="J95" s="14" t="n">
        <v>45992.51474537037</v>
      </c>
      <c r="K95" s="15" t="n">
        <v>16467.85</v>
      </c>
      <c r="L95" s="4" t="inlineStr">
        <is>
          <t>INR</t>
        </is>
      </c>
      <c r="M95" s="15" t="n">
        <v>0</v>
      </c>
      <c r="N95" s="4" t="inlineStr">
        <is>
          <t>IOS Owner</t>
        </is>
      </c>
      <c r="O95" s="4" t="n"/>
      <c r="P95" s="4" t="n"/>
      <c r="Q95" s="4" t="inlineStr">
        <is>
          <t>MAESTRO-IOS-PERSONAL-FUTURE_BUILDING-0094 | Emergency Fund | 16467.85</t>
        </is>
      </c>
      <c r="R95" s="4" t="inlineStr">
        <is>
          <t>iPhone</t>
        </is>
      </c>
      <c r="S95" s="4" t="inlineStr">
        <is>
          <t>B02</t>
        </is>
      </c>
      <c r="T95" s="4" t="inlineStr">
        <is>
          <t>BASELINE_1_500</t>
        </is>
      </c>
      <c r="U95" s="4" t="inlineStr">
        <is>
          <t>CREATED</t>
        </is>
      </c>
      <c r="V95" s="4" t="inlineStr">
        <is>
          <t>idem-20260902-ios-0094</t>
        </is>
      </c>
    </row>
    <row r="96" ht="30" customHeight="1">
      <c r="A96" s="4" t="n">
        <v>95</v>
      </c>
      <c r="B96" s="4" t="inlineStr">
        <is>
          <t>MTR-IOS-0095</t>
        </is>
      </c>
      <c r="C96" s="4" t="inlineStr">
        <is>
          <t>Group</t>
        </is>
      </c>
      <c r="D96" s="4" t="inlineStr">
        <is>
          <t>Shared Purchase</t>
        </is>
      </c>
      <c r="E96" s="4" t="inlineStr">
        <is>
          <t>Purchase</t>
        </is>
      </c>
      <c r="F96" s="4" t="inlineStr">
        <is>
          <t>Other</t>
        </is>
      </c>
      <c r="G96" s="4" t="inlineStr">
        <is>
          <t>Expense</t>
        </is>
      </c>
      <c r="H96" s="12" t="n">
        <v>45985</v>
      </c>
      <c r="I96" s="13" t="n">
        <v>0.5465972222222222</v>
      </c>
      <c r="J96" s="14" t="n">
        <v>45985.54659722222</v>
      </c>
      <c r="K96" s="15" t="n">
        <v>25633.17</v>
      </c>
      <c r="L96" s="4" t="inlineStr">
        <is>
          <t>INR</t>
        </is>
      </c>
      <c r="M96" s="15" t="n">
        <v>-25633.17</v>
      </c>
      <c r="N96" s="4" t="inlineStr">
        <is>
          <t>IOS Aarav</t>
        </is>
      </c>
      <c r="O96" s="4" t="n">
        <v>3</v>
      </c>
      <c r="P96" s="4" t="inlineStr">
        <is>
          <t>SHARES</t>
        </is>
      </c>
      <c r="Q96" s="4" t="inlineStr">
        <is>
          <t>MAESTRO-IOS-GROUP-PURCHASE-0095 | Other | 25633.17</t>
        </is>
      </c>
      <c r="R96" s="4" t="inlineStr">
        <is>
          <t>iPhone</t>
        </is>
      </c>
      <c r="S96" s="4" t="inlineStr">
        <is>
          <t>B02</t>
        </is>
      </c>
      <c r="T96" s="4" t="inlineStr">
        <is>
          <t>BASELINE_1_500</t>
        </is>
      </c>
      <c r="U96" s="4" t="inlineStr">
        <is>
          <t>CREATED</t>
        </is>
      </c>
      <c r="V96" s="4" t="inlineStr">
        <is>
          <t>idem-20260902-ios-0095</t>
        </is>
      </c>
    </row>
    <row r="97" ht="30" customHeight="1">
      <c r="A97" s="4" t="n">
        <v>96</v>
      </c>
      <c r="B97" s="4" t="inlineStr">
        <is>
          <t>MTR-IOS-0096</t>
        </is>
      </c>
      <c r="C97" s="4" t="inlineStr">
        <is>
          <t>Business</t>
        </is>
      </c>
      <c r="D97" s="4" t="inlineStr">
        <is>
          <t>Business</t>
        </is>
      </c>
      <c r="E97" s="4" t="inlineStr">
        <is>
          <t>Business Runway</t>
        </is>
      </c>
      <c r="F97" s="4" t="inlineStr">
        <is>
          <t>Reserve</t>
        </is>
      </c>
      <c r="G97" s="4" t="inlineStr">
        <is>
          <t>Transfer</t>
        </is>
      </c>
      <c r="H97" s="12" t="n">
        <v>45969</v>
      </c>
      <c r="I97" s="13" t="n">
        <v>0.4137847222222222</v>
      </c>
      <c r="J97" s="14" t="n">
        <v>45969.41378472222</v>
      </c>
      <c r="K97" s="15" t="n">
        <v>91780.94</v>
      </c>
      <c r="L97" s="4" t="inlineStr">
        <is>
          <t>INR</t>
        </is>
      </c>
      <c r="M97" s="15" t="n">
        <v>0</v>
      </c>
      <c r="N97" s="4" t="inlineStr">
        <is>
          <t>IOS Owner</t>
        </is>
      </c>
      <c r="O97" s="4" t="n"/>
      <c r="P97" s="4" t="n"/>
      <c r="Q97" s="4" t="inlineStr">
        <is>
          <t>MAESTRO-IOS-BUSINESS-BUSINESS_RUNWAY-0096 | Reserve | 91780.94</t>
        </is>
      </c>
      <c r="R97" s="4" t="inlineStr">
        <is>
          <t>iPhone</t>
        </is>
      </c>
      <c r="S97" s="4" t="inlineStr">
        <is>
          <t>B02</t>
        </is>
      </c>
      <c r="T97" s="4" t="inlineStr">
        <is>
          <t>BASELINE_1_500</t>
        </is>
      </c>
      <c r="U97" s="4" t="inlineStr">
        <is>
          <t>CREATED</t>
        </is>
      </c>
      <c r="V97" s="4" t="inlineStr">
        <is>
          <t>idem-20260902-ios-0096</t>
        </is>
      </c>
    </row>
    <row r="98" ht="30" customHeight="1">
      <c r="A98" s="4" t="n">
        <v>97</v>
      </c>
      <c r="B98" s="4" t="inlineStr">
        <is>
          <t>MTR-IOS-0097</t>
        </is>
      </c>
      <c r="C98" s="4" t="inlineStr">
        <is>
          <t>Personal</t>
        </is>
      </c>
      <c r="D98" s="4" t="inlineStr">
        <is>
          <t>Personal</t>
        </is>
      </c>
      <c r="E98" s="4" t="inlineStr">
        <is>
          <t>Future Building</t>
        </is>
      </c>
      <c r="F98" s="4" t="inlineStr">
        <is>
          <t>Investments</t>
        </is>
      </c>
      <c r="G98" s="4" t="inlineStr">
        <is>
          <t>Investment</t>
        </is>
      </c>
      <c r="H98" s="12" t="n">
        <v>46165</v>
      </c>
      <c r="I98" s="13" t="n">
        <v>0.1612731481481481</v>
      </c>
      <c r="J98" s="14" t="n">
        <v>46165.16127314815</v>
      </c>
      <c r="K98" s="15" t="n">
        <v>14426.24</v>
      </c>
      <c r="L98" s="4" t="inlineStr">
        <is>
          <t>INR</t>
        </is>
      </c>
      <c r="M98" s="15" t="n">
        <v>0</v>
      </c>
      <c r="N98" s="4" t="inlineStr">
        <is>
          <t>IOS Owner</t>
        </is>
      </c>
      <c r="O98" s="4" t="n"/>
      <c r="P98" s="4" t="n"/>
      <c r="Q98" s="4" t="inlineStr">
        <is>
          <t>MAESTRO-IOS-PERSONAL-FUTURE_BUILDING-0097 | Investments | 14426.24</t>
        </is>
      </c>
      <c r="R98" s="4" t="inlineStr">
        <is>
          <t>iPhone</t>
        </is>
      </c>
      <c r="S98" s="4" t="inlineStr">
        <is>
          <t>B02</t>
        </is>
      </c>
      <c r="T98" s="4" t="inlineStr">
        <is>
          <t>BASELINE_1_500</t>
        </is>
      </c>
      <c r="U98" s="4" t="inlineStr">
        <is>
          <t>CREATED</t>
        </is>
      </c>
      <c r="V98" s="4" t="inlineStr">
        <is>
          <t>idem-20260902-ios-0097</t>
        </is>
      </c>
    </row>
    <row r="99" ht="30" customHeight="1">
      <c r="A99" s="4" t="n">
        <v>98</v>
      </c>
      <c r="B99" s="4" t="inlineStr">
        <is>
          <t>MTR-IOS-0098</t>
        </is>
      </c>
      <c r="C99" s="4" t="inlineStr">
        <is>
          <t>Group</t>
        </is>
      </c>
      <c r="D99" s="4" t="inlineStr">
        <is>
          <t>Shared Purchase</t>
        </is>
      </c>
      <c r="E99" s="4" t="inlineStr">
        <is>
          <t>Assets</t>
        </is>
      </c>
      <c r="F99" s="4" t="inlineStr">
        <is>
          <t>Purchase</t>
        </is>
      </c>
      <c r="G99" s="4" t="inlineStr">
        <is>
          <t>Expense</t>
        </is>
      </c>
      <c r="H99" s="12" t="n">
        <v>46163</v>
      </c>
      <c r="I99" s="13" t="n">
        <v>0.9999074074074074</v>
      </c>
      <c r="J99" s="14" t="n">
        <v>46163.99990740741</v>
      </c>
      <c r="K99" s="15" t="n">
        <v>20917.42</v>
      </c>
      <c r="L99" s="4" t="inlineStr">
        <is>
          <t>INR</t>
        </is>
      </c>
      <c r="M99" s="15" t="n">
        <v>-20917.42</v>
      </c>
      <c r="N99" s="4" t="inlineStr">
        <is>
          <t>IOS Meera</t>
        </is>
      </c>
      <c r="O99" s="4" t="n">
        <v>3</v>
      </c>
      <c r="P99" s="4" t="inlineStr">
        <is>
          <t>EQUAL</t>
        </is>
      </c>
      <c r="Q99" s="4" t="inlineStr">
        <is>
          <t>MAESTRO-IOS-GROUP-ASSETS-0098 | Purchase | 20917.42</t>
        </is>
      </c>
      <c r="R99" s="4" t="inlineStr">
        <is>
          <t>iPhone</t>
        </is>
      </c>
      <c r="S99" s="4" t="inlineStr">
        <is>
          <t>B02</t>
        </is>
      </c>
      <c r="T99" s="4" t="inlineStr">
        <is>
          <t>BASELINE_1_500</t>
        </is>
      </c>
      <c r="U99" s="4" t="inlineStr">
        <is>
          <t>CREATED</t>
        </is>
      </c>
      <c r="V99" s="4" t="inlineStr">
        <is>
          <t>idem-20260902-ios-0098</t>
        </is>
      </c>
    </row>
    <row r="100" ht="30" customHeight="1">
      <c r="A100" s="4" t="n">
        <v>99</v>
      </c>
      <c r="B100" s="4" t="inlineStr">
        <is>
          <t>MTR-IOS-0099</t>
        </is>
      </c>
      <c r="C100" s="4" t="inlineStr">
        <is>
          <t>Business</t>
        </is>
      </c>
      <c r="D100" s="4" t="inlineStr">
        <is>
          <t>Business</t>
        </is>
      </c>
      <c r="E100" s="4" t="inlineStr">
        <is>
          <t>Business Runway</t>
        </is>
      </c>
      <c r="F100" s="4" t="inlineStr">
        <is>
          <t>Loan</t>
        </is>
      </c>
      <c r="G100" s="4" t="inlineStr">
        <is>
          <t>Income</t>
        </is>
      </c>
      <c r="H100" s="12" t="n">
        <v>46114</v>
      </c>
      <c r="I100" s="13" t="n">
        <v>0.7920486111111111</v>
      </c>
      <c r="J100" s="14" t="n">
        <v>46114.79204861111</v>
      </c>
      <c r="K100" s="15" t="n">
        <v>9873.35</v>
      </c>
      <c r="L100" s="4" t="inlineStr">
        <is>
          <t>INR</t>
        </is>
      </c>
      <c r="M100" s="15" t="n">
        <v>9873.35</v>
      </c>
      <c r="N100" s="4" t="inlineStr">
        <is>
          <t>IOS Owner</t>
        </is>
      </c>
      <c r="O100" s="4" t="n"/>
      <c r="P100" s="4" t="n"/>
      <c r="Q100" s="4" t="inlineStr">
        <is>
          <t>MAESTRO-IOS-BUSINESS-BUSINESS_RUNWAY-0099 | Loan | 9873.35</t>
        </is>
      </c>
      <c r="R100" s="4" t="inlineStr">
        <is>
          <t>iPhone</t>
        </is>
      </c>
      <c r="S100" s="4" t="inlineStr">
        <is>
          <t>B02</t>
        </is>
      </c>
      <c r="T100" s="4" t="inlineStr">
        <is>
          <t>BASELINE_1_500</t>
        </is>
      </c>
      <c r="U100" s="4" t="inlineStr">
        <is>
          <t>CREATED</t>
        </is>
      </c>
      <c r="V100" s="4" t="inlineStr">
        <is>
          <t>idem-20260902-ios-0099</t>
        </is>
      </c>
    </row>
    <row r="101" ht="30" customHeight="1">
      <c r="A101" s="4" t="n">
        <v>100</v>
      </c>
      <c r="B101" s="4" t="inlineStr">
        <is>
          <t>MTR-IOS-0100</t>
        </is>
      </c>
      <c r="C101" s="4" t="inlineStr">
        <is>
          <t>Personal</t>
        </is>
      </c>
      <c r="D101" s="4" t="inlineStr">
        <is>
          <t>Personal</t>
        </is>
      </c>
      <c r="E101" s="4" t="inlineStr">
        <is>
          <t>Future Building</t>
        </is>
      </c>
      <c r="F101" s="4" t="inlineStr">
        <is>
          <t>Education</t>
        </is>
      </c>
      <c r="G101" s="4" t="inlineStr">
        <is>
          <t>Expense</t>
        </is>
      </c>
      <c r="H101" s="12" t="n">
        <v>46146</v>
      </c>
      <c r="I101" s="13" t="n">
        <v>0.339375</v>
      </c>
      <c r="J101" s="14" t="n">
        <v>46146.339375</v>
      </c>
      <c r="K101" s="15" t="n">
        <v>16161.79</v>
      </c>
      <c r="L101" s="4" t="inlineStr">
        <is>
          <t>INR</t>
        </is>
      </c>
      <c r="M101" s="15" t="n">
        <v>-16161.79</v>
      </c>
      <c r="N101" s="4" t="inlineStr">
        <is>
          <t>IOS Owner</t>
        </is>
      </c>
      <c r="O101" s="4" t="n"/>
      <c r="P101" s="4" t="n"/>
      <c r="Q101" s="4" t="inlineStr">
        <is>
          <t>MAESTRO-IOS-PERSONAL-FUTURE_BUILDING-0100 | Education | 16161.79</t>
        </is>
      </c>
      <c r="R101" s="4" t="inlineStr">
        <is>
          <t>iPhone</t>
        </is>
      </c>
      <c r="S101" s="4" t="inlineStr">
        <is>
          <t>B02</t>
        </is>
      </c>
      <c r="T101" s="4" t="inlineStr">
        <is>
          <t>BASELINE_1_500</t>
        </is>
      </c>
      <c r="U101" s="4" t="inlineStr">
        <is>
          <t>CREATED</t>
        </is>
      </c>
      <c r="V101" s="4" t="inlineStr">
        <is>
          <t>idem-20260902-ios-0100</t>
        </is>
      </c>
    </row>
    <row r="102" ht="30" customHeight="1">
      <c r="A102" s="4" t="n">
        <v>101</v>
      </c>
      <c r="B102" s="4" t="inlineStr">
        <is>
          <t>MTR-IOS-0101</t>
        </is>
      </c>
      <c r="C102" s="4" t="inlineStr">
        <is>
          <t>Group</t>
        </is>
      </c>
      <c r="D102" s="4" t="inlineStr">
        <is>
          <t>Shared Purchase</t>
        </is>
      </c>
      <c r="E102" s="4" t="inlineStr">
        <is>
          <t>Assets</t>
        </is>
      </c>
      <c r="F102" s="4" t="inlineStr">
        <is>
          <t>Maintenance</t>
        </is>
      </c>
      <c r="G102" s="4" t="inlineStr">
        <is>
          <t>Expense</t>
        </is>
      </c>
      <c r="H102" s="12" t="n">
        <v>46034</v>
      </c>
      <c r="I102" s="13" t="n">
        <v>0.1186574074074074</v>
      </c>
      <c r="J102" s="14" t="n">
        <v>46034.11865740741</v>
      </c>
      <c r="K102" s="15" t="n">
        <v>21681.29</v>
      </c>
      <c r="L102" s="4" t="inlineStr">
        <is>
          <t>INR</t>
        </is>
      </c>
      <c r="M102" s="15" t="n">
        <v>-21681.29</v>
      </c>
      <c r="N102" s="4" t="inlineStr">
        <is>
          <t>IOS Owner</t>
        </is>
      </c>
      <c r="O102" s="4" t="n">
        <v>3</v>
      </c>
      <c r="P102" s="4" t="inlineStr">
        <is>
          <t>PERCENTAGE</t>
        </is>
      </c>
      <c r="Q102" s="4" t="inlineStr">
        <is>
          <t>MAESTRO-IOS-GROUP-ASSETS-0101 | Maintenance | 21681.29</t>
        </is>
      </c>
      <c r="R102" s="4" t="inlineStr">
        <is>
          <t>iPhone</t>
        </is>
      </c>
      <c r="S102" s="4" t="inlineStr">
        <is>
          <t>B03</t>
        </is>
      </c>
      <c r="T102" s="4" t="inlineStr">
        <is>
          <t>BASELINE_1_500</t>
        </is>
      </c>
      <c r="U102" s="4" t="inlineStr">
        <is>
          <t>CREATED</t>
        </is>
      </c>
      <c r="V102" s="4" t="inlineStr">
        <is>
          <t>idem-20260902-ios-0101</t>
        </is>
      </c>
    </row>
    <row r="103" ht="30" customHeight="1">
      <c r="A103" s="4" t="n">
        <v>102</v>
      </c>
      <c r="B103" s="4" t="inlineStr">
        <is>
          <t>MTR-IOS-0102</t>
        </is>
      </c>
      <c r="C103" s="4" t="inlineStr">
        <is>
          <t>Business</t>
        </is>
      </c>
      <c r="D103" s="4" t="inlineStr">
        <is>
          <t>Business</t>
        </is>
      </c>
      <c r="E103" s="4" t="inlineStr">
        <is>
          <t>Business Runway</t>
        </is>
      </c>
      <c r="F103" s="4" t="inlineStr">
        <is>
          <t>Investment</t>
        </is>
      </c>
      <c r="G103" s="4" t="inlineStr">
        <is>
          <t>Income</t>
        </is>
      </c>
      <c r="H103" s="12" t="n">
        <v>46142</v>
      </c>
      <c r="I103" s="13" t="n">
        <v>0.3967824074074074</v>
      </c>
      <c r="J103" s="14" t="n">
        <v>46142.39678240741</v>
      </c>
      <c r="K103" s="15" t="n">
        <v>148459.45</v>
      </c>
      <c r="L103" s="4" t="inlineStr">
        <is>
          <t>INR</t>
        </is>
      </c>
      <c r="M103" s="15" t="n">
        <v>148459.45</v>
      </c>
      <c r="N103" s="4" t="inlineStr">
        <is>
          <t>IOS Owner</t>
        </is>
      </c>
      <c r="O103" s="4" t="n"/>
      <c r="P103" s="4" t="n"/>
      <c r="Q103" s="4" t="inlineStr">
        <is>
          <t>MAESTRO-IOS-BUSINESS-BUSINESS_RUNWAY-0102 | Investment | 148459.45</t>
        </is>
      </c>
      <c r="R103" s="4" t="inlineStr">
        <is>
          <t>iPhone</t>
        </is>
      </c>
      <c r="S103" s="4" t="inlineStr">
        <is>
          <t>B03</t>
        </is>
      </c>
      <c r="T103" s="4" t="inlineStr">
        <is>
          <t>BASELINE_1_500</t>
        </is>
      </c>
      <c r="U103" s="4" t="inlineStr">
        <is>
          <t>CREATED</t>
        </is>
      </c>
      <c r="V103" s="4" t="inlineStr">
        <is>
          <t>idem-20260902-ios-0102</t>
        </is>
      </c>
    </row>
    <row r="104" ht="30" customHeight="1">
      <c r="A104" s="4" t="n">
        <v>103</v>
      </c>
      <c r="B104" s="4" t="inlineStr">
        <is>
          <t>MTR-IOS-0103</t>
        </is>
      </c>
      <c r="C104" s="4" t="inlineStr">
        <is>
          <t>Personal</t>
        </is>
      </c>
      <c r="D104" s="4" t="inlineStr">
        <is>
          <t>Personal</t>
        </is>
      </c>
      <c r="E104" s="4" t="inlineStr">
        <is>
          <t>Future Building</t>
        </is>
      </c>
      <c r="F104" s="4" t="inlineStr">
        <is>
          <t>Goal Contribution</t>
        </is>
      </c>
      <c r="G104" s="4" t="inlineStr">
        <is>
          <t>Transfer</t>
        </is>
      </c>
      <c r="H104" s="12" t="n">
        <v>45986</v>
      </c>
      <c r="I104" s="13" t="n">
        <v>0.9575115740740741</v>
      </c>
      <c r="J104" s="14" t="n">
        <v>45986.95751157407</v>
      </c>
      <c r="K104" s="15" t="n">
        <v>13732.74</v>
      </c>
      <c r="L104" s="4" t="inlineStr">
        <is>
          <t>INR</t>
        </is>
      </c>
      <c r="M104" s="15" t="n">
        <v>0</v>
      </c>
      <c r="N104" s="4" t="inlineStr">
        <is>
          <t>IOS Owner</t>
        </is>
      </c>
      <c r="O104" s="4" t="n"/>
      <c r="P104" s="4" t="n"/>
      <c r="Q104" s="4" t="inlineStr">
        <is>
          <t>MAESTRO-IOS-PERSONAL-FUTURE_BUILDING-0103 | Goal Contribution | 13732.74</t>
        </is>
      </c>
      <c r="R104" s="4" t="inlineStr">
        <is>
          <t>iPhone</t>
        </is>
      </c>
      <c r="S104" s="4" t="inlineStr">
        <is>
          <t>B03</t>
        </is>
      </c>
      <c r="T104" s="4" t="inlineStr">
        <is>
          <t>BASELINE_1_500</t>
        </is>
      </c>
      <c r="U104" s="4" t="inlineStr">
        <is>
          <t>CREATED</t>
        </is>
      </c>
      <c r="V104" s="4" t="inlineStr">
        <is>
          <t>idem-20260902-ios-0103</t>
        </is>
      </c>
    </row>
    <row r="105" ht="30" customHeight="1">
      <c r="A105" s="4" t="n">
        <v>104</v>
      </c>
      <c r="B105" s="4" t="inlineStr">
        <is>
          <t>MTR-IOS-0104</t>
        </is>
      </c>
      <c r="C105" s="4" t="inlineStr">
        <is>
          <t>Group</t>
        </is>
      </c>
      <c r="D105" s="4" t="inlineStr">
        <is>
          <t>Shared Purchase</t>
        </is>
      </c>
      <c r="E105" s="4" t="inlineStr">
        <is>
          <t>Assets</t>
        </is>
      </c>
      <c r="F105" s="4" t="inlineStr">
        <is>
          <t>Repair</t>
        </is>
      </c>
      <c r="G105" s="4" t="inlineStr">
        <is>
          <t>Expense</t>
        </is>
      </c>
      <c r="H105" s="12" t="n">
        <v>46117</v>
      </c>
      <c r="I105" s="13" t="n">
        <v>0.0959837962962963</v>
      </c>
      <c r="J105" s="14" t="n">
        <v>46117.09598379629</v>
      </c>
      <c r="K105" s="15" t="n">
        <v>23860.34</v>
      </c>
      <c r="L105" s="4" t="inlineStr">
        <is>
          <t>INR</t>
        </is>
      </c>
      <c r="M105" s="15" t="n">
        <v>-23860.34</v>
      </c>
      <c r="N105" s="4" t="inlineStr">
        <is>
          <t>IOS Aarav</t>
        </is>
      </c>
      <c r="O105" s="4" t="n">
        <v>3</v>
      </c>
      <c r="P105" s="4" t="inlineStr">
        <is>
          <t>EXACT</t>
        </is>
      </c>
      <c r="Q105" s="4" t="inlineStr">
        <is>
          <t>MAESTRO-IOS-GROUP-ASSETS-0104 | Repair | 23860.34</t>
        </is>
      </c>
      <c r="R105" s="4" t="inlineStr">
        <is>
          <t>iPhone</t>
        </is>
      </c>
      <c r="S105" s="4" t="inlineStr">
        <is>
          <t>B03</t>
        </is>
      </c>
      <c r="T105" s="4" t="inlineStr">
        <is>
          <t>BASELINE_1_500</t>
        </is>
      </c>
      <c r="U105" s="4" t="inlineStr">
        <is>
          <t>CREATED</t>
        </is>
      </c>
      <c r="V105" s="4" t="inlineStr">
        <is>
          <t>idem-20260902-ios-0104</t>
        </is>
      </c>
    </row>
    <row r="106" ht="30" customHeight="1">
      <c r="A106" s="4" t="n">
        <v>105</v>
      </c>
      <c r="B106" s="4" t="inlineStr">
        <is>
          <t>MTR-IOS-0105</t>
        </is>
      </c>
      <c r="C106" s="4" t="inlineStr">
        <is>
          <t>Business</t>
        </is>
      </c>
      <c r="D106" s="4" t="inlineStr">
        <is>
          <t>Business</t>
        </is>
      </c>
      <c r="E106" s="4" t="inlineStr">
        <is>
          <t>Business Operations</t>
        </is>
      </c>
      <c r="F106" s="4" t="inlineStr">
        <is>
          <t>Software</t>
        </is>
      </c>
      <c r="G106" s="4" t="inlineStr">
        <is>
          <t>Expense</t>
        </is>
      </c>
      <c r="H106" s="12" t="n">
        <v>46008</v>
      </c>
      <c r="I106" s="13" t="n">
        <v>0.2178472222222222</v>
      </c>
      <c r="J106" s="14" t="n">
        <v>46008.21784722222</v>
      </c>
      <c r="K106" s="15" t="n">
        <v>109716.24</v>
      </c>
      <c r="L106" s="4" t="inlineStr">
        <is>
          <t>INR</t>
        </is>
      </c>
      <c r="M106" s="15" t="n">
        <v>-109716.24</v>
      </c>
      <c r="N106" s="4" t="inlineStr">
        <is>
          <t>IOS Owner</t>
        </is>
      </c>
      <c r="O106" s="4" t="n"/>
      <c r="P106" s="4" t="n"/>
      <c r="Q106" s="4" t="inlineStr">
        <is>
          <t>MAESTRO-IOS-BUSINESS-BUSINESS_OPERATIONS-0105 | Software | 109716.24</t>
        </is>
      </c>
      <c r="R106" s="4" t="inlineStr">
        <is>
          <t>iPhone</t>
        </is>
      </c>
      <c r="S106" s="4" t="inlineStr">
        <is>
          <t>B03</t>
        </is>
      </c>
      <c r="T106" s="4" t="inlineStr">
        <is>
          <t>BASELINE_1_500</t>
        </is>
      </c>
      <c r="U106" s="4" t="inlineStr">
        <is>
          <t>CREATED</t>
        </is>
      </c>
      <c r="V106" s="4" t="inlineStr">
        <is>
          <t>idem-20260902-ios-0105</t>
        </is>
      </c>
    </row>
    <row r="107" ht="30" customHeight="1">
      <c r="A107" s="4" t="n">
        <v>106</v>
      </c>
      <c r="B107" s="4" t="inlineStr">
        <is>
          <t>MTR-IOS-0106</t>
        </is>
      </c>
      <c r="C107" s="4" t="inlineStr">
        <is>
          <t>Personal</t>
        </is>
      </c>
      <c r="D107" s="4" t="inlineStr">
        <is>
          <t>Personal</t>
        </is>
      </c>
      <c r="E107" s="4" t="inlineStr">
        <is>
          <t>Lifestyle</t>
        </is>
      </c>
      <c r="F107" s="4" t="inlineStr">
        <is>
          <t>Dining</t>
        </is>
      </c>
      <c r="G107" s="4" t="inlineStr">
        <is>
          <t>Expense</t>
        </is>
      </c>
      <c r="H107" s="12" t="n">
        <v>46254</v>
      </c>
      <c r="I107" s="13" t="n">
        <v>0.1460069444444445</v>
      </c>
      <c r="J107" s="14" t="n">
        <v>46254.14600694444</v>
      </c>
      <c r="K107" s="15" t="n">
        <v>3093</v>
      </c>
      <c r="L107" s="4" t="inlineStr">
        <is>
          <t>INR</t>
        </is>
      </c>
      <c r="M107" s="15" t="n">
        <v>-3093</v>
      </c>
      <c r="N107" s="4" t="inlineStr">
        <is>
          <t>IOS Owner</t>
        </is>
      </c>
      <c r="O107" s="4" t="n"/>
      <c r="P107" s="4" t="n"/>
      <c r="Q107" s="4" t="inlineStr">
        <is>
          <t>MAESTRO-IOS-PERSONAL-LIFESTYLE-0106 | Dining | 3093.00</t>
        </is>
      </c>
      <c r="R107" s="4" t="inlineStr">
        <is>
          <t>iPhone</t>
        </is>
      </c>
      <c r="S107" s="4" t="inlineStr">
        <is>
          <t>B03</t>
        </is>
      </c>
      <c r="T107" s="4" t="inlineStr">
        <is>
          <t>BASELINE_1_500</t>
        </is>
      </c>
      <c r="U107" s="4" t="inlineStr">
        <is>
          <t>CREATED</t>
        </is>
      </c>
      <c r="V107" s="4" t="inlineStr">
        <is>
          <t>idem-20260902-ios-0106</t>
        </is>
      </c>
    </row>
    <row r="108" ht="30" customHeight="1">
      <c r="A108" s="4" t="n">
        <v>107</v>
      </c>
      <c r="B108" s="4" t="inlineStr">
        <is>
          <t>MTR-IOS-0107</t>
        </is>
      </c>
      <c r="C108" s="4" t="inlineStr">
        <is>
          <t>Group</t>
        </is>
      </c>
      <c r="D108" s="4" t="inlineStr">
        <is>
          <t>Shared Purchase</t>
        </is>
      </c>
      <c r="E108" s="4" t="inlineStr">
        <is>
          <t>Assets</t>
        </is>
      </c>
      <c r="F108" s="4" t="inlineStr">
        <is>
          <t>Insurance</t>
        </is>
      </c>
      <c r="G108" s="4" t="inlineStr">
        <is>
          <t>Expense</t>
        </is>
      </c>
      <c r="H108" s="12" t="n">
        <v>46209</v>
      </c>
      <c r="I108" s="13" t="n">
        <v>0.02615740740740741</v>
      </c>
      <c r="J108" s="14" t="n">
        <v>46209.02615740741</v>
      </c>
      <c r="K108" s="15" t="n">
        <v>16865.3</v>
      </c>
      <c r="L108" s="4" t="inlineStr">
        <is>
          <t>INR</t>
        </is>
      </c>
      <c r="M108" s="15" t="n">
        <v>-16865.3</v>
      </c>
      <c r="N108" s="4" t="inlineStr">
        <is>
          <t>IOS Meera</t>
        </is>
      </c>
      <c r="O108" s="4" t="n">
        <v>3</v>
      </c>
      <c r="P108" s="4" t="inlineStr">
        <is>
          <t>SHARES</t>
        </is>
      </c>
      <c r="Q108" s="4" t="inlineStr">
        <is>
          <t>MAESTRO-IOS-GROUP-ASSETS-0107 | Insurance | 16865.30</t>
        </is>
      </c>
      <c r="R108" s="4" t="inlineStr">
        <is>
          <t>iPhone</t>
        </is>
      </c>
      <c r="S108" s="4" t="inlineStr">
        <is>
          <t>B03</t>
        </is>
      </c>
      <c r="T108" s="4" t="inlineStr">
        <is>
          <t>BASELINE_1_500</t>
        </is>
      </c>
      <c r="U108" s="4" t="inlineStr">
        <is>
          <t>CREATED</t>
        </is>
      </c>
      <c r="V108" s="4" t="inlineStr">
        <is>
          <t>idem-20260902-ios-0107</t>
        </is>
      </c>
    </row>
    <row r="109" ht="30" customHeight="1">
      <c r="A109" s="4" t="n">
        <v>108</v>
      </c>
      <c r="B109" s="4" t="inlineStr">
        <is>
          <t>MTR-IOS-0108</t>
        </is>
      </c>
      <c r="C109" s="4" t="inlineStr">
        <is>
          <t>Business</t>
        </is>
      </c>
      <c r="D109" s="4" t="inlineStr">
        <is>
          <t>Business</t>
        </is>
      </c>
      <c r="E109" s="4" t="inlineStr">
        <is>
          <t>Business Operations</t>
        </is>
      </c>
      <c r="F109" s="4" t="inlineStr">
        <is>
          <t>Rent</t>
        </is>
      </c>
      <c r="G109" s="4" t="inlineStr">
        <is>
          <t>Expense</t>
        </is>
      </c>
      <c r="H109" s="12" t="n">
        <v>45969</v>
      </c>
      <c r="I109" s="13" t="n">
        <v>0.6205324074074074</v>
      </c>
      <c r="J109" s="14" t="n">
        <v>45969.62053240741</v>
      </c>
      <c r="K109" s="15" t="n">
        <v>105825.15</v>
      </c>
      <c r="L109" s="4" t="inlineStr">
        <is>
          <t>INR</t>
        </is>
      </c>
      <c r="M109" s="15" t="n">
        <v>-105825.15</v>
      </c>
      <c r="N109" s="4" t="inlineStr">
        <is>
          <t>IOS Owner</t>
        </is>
      </c>
      <c r="O109" s="4" t="n"/>
      <c r="P109" s="4" t="n"/>
      <c r="Q109" s="4" t="inlineStr">
        <is>
          <t>MAESTRO-IOS-BUSINESS-BUSINESS_OPERATIONS-0108 | Rent | 105825.15</t>
        </is>
      </c>
      <c r="R109" s="4" t="inlineStr">
        <is>
          <t>iPhone</t>
        </is>
      </c>
      <c r="S109" s="4" t="inlineStr">
        <is>
          <t>B03</t>
        </is>
      </c>
      <c r="T109" s="4" t="inlineStr">
        <is>
          <t>BASELINE_1_500</t>
        </is>
      </c>
      <c r="U109" s="4" t="inlineStr">
        <is>
          <t>CREATED</t>
        </is>
      </c>
      <c r="V109" s="4" t="inlineStr">
        <is>
          <t>idem-20260902-ios-0108</t>
        </is>
      </c>
    </row>
    <row r="110" ht="30" customHeight="1">
      <c r="A110" s="4" t="n">
        <v>109</v>
      </c>
      <c r="B110" s="4" t="inlineStr">
        <is>
          <t>MTR-IOS-0109</t>
        </is>
      </c>
      <c r="C110" s="4" t="inlineStr">
        <is>
          <t>Personal</t>
        </is>
      </c>
      <c r="D110" s="4" t="inlineStr">
        <is>
          <t>Personal</t>
        </is>
      </c>
      <c r="E110" s="4" t="inlineStr">
        <is>
          <t>Lifestyle</t>
        </is>
      </c>
      <c r="F110" s="4" t="inlineStr">
        <is>
          <t>Shopping</t>
        </is>
      </c>
      <c r="G110" s="4" t="inlineStr">
        <is>
          <t>Expense</t>
        </is>
      </c>
      <c r="H110" s="12" t="n">
        <v>46062</v>
      </c>
      <c r="I110" s="13" t="n">
        <v>0.8084722222222223</v>
      </c>
      <c r="J110" s="14" t="n">
        <v>46062.80847222222</v>
      </c>
      <c r="K110" s="15" t="n">
        <v>16207.58</v>
      </c>
      <c r="L110" s="4" t="inlineStr">
        <is>
          <t>INR</t>
        </is>
      </c>
      <c r="M110" s="15" t="n">
        <v>-16207.58</v>
      </c>
      <c r="N110" s="4" t="inlineStr">
        <is>
          <t>IOS Owner</t>
        </is>
      </c>
      <c r="O110" s="4" t="n"/>
      <c r="P110" s="4" t="n"/>
      <c r="Q110" s="4" t="inlineStr">
        <is>
          <t>MAESTRO-IOS-PERSONAL-LIFESTYLE-0109 | Shopping | 16207.58</t>
        </is>
      </c>
      <c r="R110" s="4" t="inlineStr">
        <is>
          <t>iPhone</t>
        </is>
      </c>
      <c r="S110" s="4" t="inlineStr">
        <is>
          <t>B03</t>
        </is>
      </c>
      <c r="T110" s="4" t="inlineStr">
        <is>
          <t>BASELINE_1_500</t>
        </is>
      </c>
      <c r="U110" s="4" t="inlineStr">
        <is>
          <t>CREATED</t>
        </is>
      </c>
      <c r="V110" s="4" t="inlineStr">
        <is>
          <t>idem-20260902-ios-0109</t>
        </is>
      </c>
    </row>
    <row r="111" ht="30" customHeight="1">
      <c r="A111" s="4" t="n">
        <v>110</v>
      </c>
      <c r="B111" s="4" t="inlineStr">
        <is>
          <t>MTR-IOS-0110</t>
        </is>
      </c>
      <c r="C111" s="4" t="inlineStr">
        <is>
          <t>Group</t>
        </is>
      </c>
      <c r="D111" s="4" t="inlineStr">
        <is>
          <t>Shared Purchase</t>
        </is>
      </c>
      <c r="E111" s="4" t="inlineStr">
        <is>
          <t>Assets</t>
        </is>
      </c>
      <c r="F111" s="4" t="inlineStr">
        <is>
          <t>Other</t>
        </is>
      </c>
      <c r="G111" s="4" t="inlineStr">
        <is>
          <t>Expense</t>
        </is>
      </c>
      <c r="H111" s="12" t="n">
        <v>46157</v>
      </c>
      <c r="I111" s="13" t="n">
        <v>0.1713657407407407</v>
      </c>
      <c r="J111" s="14" t="n">
        <v>46157.17136574074</v>
      </c>
      <c r="K111" s="15" t="n">
        <v>2670.61</v>
      </c>
      <c r="L111" s="4" t="inlineStr">
        <is>
          <t>INR</t>
        </is>
      </c>
      <c r="M111" s="15" t="n">
        <v>-2670.61</v>
      </c>
      <c r="N111" s="4" t="inlineStr">
        <is>
          <t>IOS Owner</t>
        </is>
      </c>
      <c r="O111" s="4" t="n">
        <v>3</v>
      </c>
      <c r="P111" s="4" t="inlineStr">
        <is>
          <t>EQUAL</t>
        </is>
      </c>
      <c r="Q111" s="4" t="inlineStr">
        <is>
          <t>MAESTRO-IOS-GROUP-ASSETS-0110 | Other | 2670.61</t>
        </is>
      </c>
      <c r="R111" s="4" t="inlineStr">
        <is>
          <t>iPhone</t>
        </is>
      </c>
      <c r="S111" s="4" t="inlineStr">
        <is>
          <t>B03</t>
        </is>
      </c>
      <c r="T111" s="4" t="inlineStr">
        <is>
          <t>BASELINE_1_500</t>
        </is>
      </c>
      <c r="U111" s="4" t="inlineStr">
        <is>
          <t>CREATED</t>
        </is>
      </c>
      <c r="V111" s="4" t="inlineStr">
        <is>
          <t>idem-20260902-ios-0110</t>
        </is>
      </c>
    </row>
    <row r="112" ht="30" customHeight="1">
      <c r="A112" s="4" t="n">
        <v>111</v>
      </c>
      <c r="B112" s="4" t="inlineStr">
        <is>
          <t>MTR-IOS-0111</t>
        </is>
      </c>
      <c r="C112" s="4" t="inlineStr">
        <is>
          <t>Business</t>
        </is>
      </c>
      <c r="D112" s="4" t="inlineStr">
        <is>
          <t>Business</t>
        </is>
      </c>
      <c r="E112" s="4" t="inlineStr">
        <is>
          <t>Business Operations</t>
        </is>
      </c>
      <c r="F112" s="4" t="inlineStr">
        <is>
          <t>Marketing</t>
        </is>
      </c>
      <c r="G112" s="4" t="inlineStr">
        <is>
          <t>Expense</t>
        </is>
      </c>
      <c r="H112" s="12" t="n">
        <v>46253</v>
      </c>
      <c r="I112" s="13" t="n">
        <v>0.2475</v>
      </c>
      <c r="J112" s="14" t="n">
        <v>46253.2475</v>
      </c>
      <c r="K112" s="15" t="n">
        <v>100</v>
      </c>
      <c r="L112" s="4" t="inlineStr">
        <is>
          <t>INR</t>
        </is>
      </c>
      <c r="M112" s="15" t="n">
        <v>-100</v>
      </c>
      <c r="N112" s="4" t="inlineStr">
        <is>
          <t>IOS Owner</t>
        </is>
      </c>
      <c r="O112" s="4" t="n"/>
      <c r="P112" s="4" t="n"/>
      <c r="Q112" s="4" t="inlineStr">
        <is>
          <t>MAESTRO-IOS-BUSINESS-BUSINESS_OPERATIONS-0111 | Marketing | 100.00</t>
        </is>
      </c>
      <c r="R112" s="4" t="inlineStr">
        <is>
          <t>iPhone</t>
        </is>
      </c>
      <c r="S112" s="4" t="inlineStr">
        <is>
          <t>B03</t>
        </is>
      </c>
      <c r="T112" s="4" t="inlineStr">
        <is>
          <t>BASELINE_1_500</t>
        </is>
      </c>
      <c r="U112" s="4" t="inlineStr">
        <is>
          <t>CREATED</t>
        </is>
      </c>
      <c r="V112" s="4" t="inlineStr">
        <is>
          <t>idem-20260902-ios-0111</t>
        </is>
      </c>
    </row>
    <row r="113" ht="30" customHeight="1">
      <c r="A113" s="4" t="n">
        <v>112</v>
      </c>
      <c r="B113" s="4" t="inlineStr">
        <is>
          <t>MTR-IOS-0112</t>
        </is>
      </c>
      <c r="C113" s="4" t="inlineStr">
        <is>
          <t>Personal</t>
        </is>
      </c>
      <c r="D113" s="4" t="inlineStr">
        <is>
          <t>Personal</t>
        </is>
      </c>
      <c r="E113" s="4" t="inlineStr">
        <is>
          <t>Lifestyle</t>
        </is>
      </c>
      <c r="F113" s="4" t="inlineStr">
        <is>
          <t>Entertainment</t>
        </is>
      </c>
      <c r="G113" s="4" t="inlineStr">
        <is>
          <t>Expense</t>
        </is>
      </c>
      <c r="H113" s="12" t="n">
        <v>46111</v>
      </c>
      <c r="I113" s="13" t="n">
        <v>0.7877083333333333</v>
      </c>
      <c r="J113" s="14" t="n">
        <v>46111.78770833334</v>
      </c>
      <c r="K113" s="15" t="n">
        <v>14904.21</v>
      </c>
      <c r="L113" s="4" t="inlineStr">
        <is>
          <t>INR</t>
        </is>
      </c>
      <c r="M113" s="15" t="n">
        <v>-14904.21</v>
      </c>
      <c r="N113" s="4" t="inlineStr">
        <is>
          <t>IOS Owner</t>
        </is>
      </c>
      <c r="O113" s="4" t="n"/>
      <c r="P113" s="4" t="n"/>
      <c r="Q113" s="4" t="inlineStr">
        <is>
          <t>MAESTRO-IOS-PERSONAL-LIFESTYLE-0112 | Entertainment | 14904.21</t>
        </is>
      </c>
      <c r="R113" s="4" t="inlineStr">
        <is>
          <t>iPhone</t>
        </is>
      </c>
      <c r="S113" s="4" t="inlineStr">
        <is>
          <t>B03</t>
        </is>
      </c>
      <c r="T113" s="4" t="inlineStr">
        <is>
          <t>BASELINE_1_500</t>
        </is>
      </c>
      <c r="U113" s="4" t="inlineStr">
        <is>
          <t>CREATED</t>
        </is>
      </c>
      <c r="V113" s="4" t="inlineStr">
        <is>
          <t>idem-20260902-ios-0112</t>
        </is>
      </c>
    </row>
    <row r="114" ht="30" customHeight="1">
      <c r="A114" s="4" t="n">
        <v>113</v>
      </c>
      <c r="B114" s="4" t="inlineStr">
        <is>
          <t>MTR-IOS-0113</t>
        </is>
      </c>
      <c r="C114" s="4" t="inlineStr">
        <is>
          <t>Group</t>
        </is>
      </c>
      <c r="D114" s="4" t="inlineStr">
        <is>
          <t>Shared Purchase</t>
        </is>
      </c>
      <c r="E114" s="4" t="inlineStr">
        <is>
          <t>Custom Purchase</t>
        </is>
      </c>
      <c r="F114" s="4" t="inlineStr">
        <is>
          <t>Custom Expense</t>
        </is>
      </c>
      <c r="G114" s="4" t="inlineStr">
        <is>
          <t>Expense</t>
        </is>
      </c>
      <c r="H114" s="12" t="n">
        <v>46102</v>
      </c>
      <c r="I114" s="13" t="n">
        <v>0.4507291666666667</v>
      </c>
      <c r="J114" s="14" t="n">
        <v>46102.45072916667</v>
      </c>
      <c r="K114" s="15" t="n">
        <v>12012</v>
      </c>
      <c r="L114" s="4" t="inlineStr">
        <is>
          <t>INR</t>
        </is>
      </c>
      <c r="M114" s="15" t="n">
        <v>-12012</v>
      </c>
      <c r="N114" s="4" t="inlineStr">
        <is>
          <t>IOS Aarav</t>
        </is>
      </c>
      <c r="O114" s="4" t="n">
        <v>3</v>
      </c>
      <c r="P114" s="4" t="inlineStr">
        <is>
          <t>PERCENTAGE</t>
        </is>
      </c>
      <c r="Q114" s="4" t="inlineStr">
        <is>
          <t>MAESTRO-IOS-GROUP-CUSTOM_PURCHASE-0113 | Custom Expense | 12012.00</t>
        </is>
      </c>
      <c r="R114" s="4" t="inlineStr">
        <is>
          <t>iPhone</t>
        </is>
      </c>
      <c r="S114" s="4" t="inlineStr">
        <is>
          <t>B03</t>
        </is>
      </c>
      <c r="T114" s="4" t="inlineStr">
        <is>
          <t>BASELINE_1_500</t>
        </is>
      </c>
      <c r="U114" s="4" t="inlineStr">
        <is>
          <t>CREATED</t>
        </is>
      </c>
      <c r="V114" s="4" t="inlineStr">
        <is>
          <t>idem-20260902-ios-0113</t>
        </is>
      </c>
    </row>
    <row r="115" ht="30" customHeight="1">
      <c r="A115" s="4" t="n">
        <v>114</v>
      </c>
      <c r="B115" s="4" t="inlineStr">
        <is>
          <t>MTR-IOS-0114</t>
        </is>
      </c>
      <c r="C115" s="4" t="inlineStr">
        <is>
          <t>Business</t>
        </is>
      </c>
      <c r="D115" s="4" t="inlineStr">
        <is>
          <t>Business</t>
        </is>
      </c>
      <c r="E115" s="4" t="inlineStr">
        <is>
          <t>Business Operations</t>
        </is>
      </c>
      <c r="F115" s="4" t="inlineStr">
        <is>
          <t>Legal</t>
        </is>
      </c>
      <c r="G115" s="4" t="inlineStr">
        <is>
          <t>Expense</t>
        </is>
      </c>
      <c r="H115" s="12" t="n">
        <v>46058</v>
      </c>
      <c r="I115" s="13" t="n">
        <v>0.6598148148148149</v>
      </c>
      <c r="J115" s="14" t="n">
        <v>46058.65981481481</v>
      </c>
      <c r="K115" s="15" t="n">
        <v>97844.99000000001</v>
      </c>
      <c r="L115" s="4" t="inlineStr">
        <is>
          <t>INR</t>
        </is>
      </c>
      <c r="M115" s="15" t="n">
        <v>-97844.99000000001</v>
      </c>
      <c r="N115" s="4" t="inlineStr">
        <is>
          <t>IOS Owner</t>
        </is>
      </c>
      <c r="O115" s="4" t="n"/>
      <c r="P115" s="4" t="n"/>
      <c r="Q115" s="4" t="inlineStr">
        <is>
          <t>MAESTRO-IOS-BUSINESS-BUSINESS_OPERATIONS-0114 | Legal | 97844.99</t>
        </is>
      </c>
      <c r="R115" s="4" t="inlineStr">
        <is>
          <t>iPhone</t>
        </is>
      </c>
      <c r="S115" s="4" t="inlineStr">
        <is>
          <t>B03</t>
        </is>
      </c>
      <c r="T115" s="4" t="inlineStr">
        <is>
          <t>BASELINE_1_500</t>
        </is>
      </c>
      <c r="U115" s="4" t="inlineStr">
        <is>
          <t>CREATED</t>
        </is>
      </c>
      <c r="V115" s="4" t="inlineStr">
        <is>
          <t>idem-20260902-ios-0114</t>
        </is>
      </c>
    </row>
    <row r="116" ht="30" customHeight="1">
      <c r="A116" s="4" t="n">
        <v>115</v>
      </c>
      <c r="B116" s="4" t="inlineStr">
        <is>
          <t>MTR-IOS-0115</t>
        </is>
      </c>
      <c r="C116" s="4" t="inlineStr">
        <is>
          <t>Personal</t>
        </is>
      </c>
      <c r="D116" s="4" t="inlineStr">
        <is>
          <t>Personal</t>
        </is>
      </c>
      <c r="E116" s="4" t="inlineStr">
        <is>
          <t>Lifestyle</t>
        </is>
      </c>
      <c r="F116" s="4" t="inlineStr">
        <is>
          <t>Travel</t>
        </is>
      </c>
      <c r="G116" s="4" t="inlineStr">
        <is>
          <t>Expense</t>
        </is>
      </c>
      <c r="H116" s="12" t="n">
        <v>46102</v>
      </c>
      <c r="I116" s="13" t="n">
        <v>0.4206365740740741</v>
      </c>
      <c r="J116" s="14" t="n">
        <v>46102.42063657408</v>
      </c>
      <c r="K116" s="15" t="n">
        <v>110.04</v>
      </c>
      <c r="L116" s="4" t="inlineStr">
        <is>
          <t>INR</t>
        </is>
      </c>
      <c r="M116" s="15" t="n">
        <v>-110.04</v>
      </c>
      <c r="N116" s="4" t="inlineStr">
        <is>
          <t>IOS Owner</t>
        </is>
      </c>
      <c r="O116" s="4" t="n"/>
      <c r="P116" s="4" t="n"/>
      <c r="Q116" s="4" t="inlineStr">
        <is>
          <t>MAESTRO-IOS-PERSONAL-LIFESTYLE-0115 | Travel | 110.04</t>
        </is>
      </c>
      <c r="R116" s="4" t="inlineStr">
        <is>
          <t>iPhone</t>
        </is>
      </c>
      <c r="S116" s="4" t="inlineStr">
        <is>
          <t>B03</t>
        </is>
      </c>
      <c r="T116" s="4" t="inlineStr">
        <is>
          <t>BASELINE_1_500</t>
        </is>
      </c>
      <c r="U116" s="4" t="inlineStr">
        <is>
          <t>CREATED</t>
        </is>
      </c>
      <c r="V116" s="4" t="inlineStr">
        <is>
          <t>idem-20260902-ios-0115</t>
        </is>
      </c>
    </row>
    <row r="117" ht="30" customHeight="1">
      <c r="A117" s="4" t="n">
        <v>116</v>
      </c>
      <c r="B117" s="4" t="inlineStr">
        <is>
          <t>MTR-IOS-0116</t>
        </is>
      </c>
      <c r="C117" s="4" t="inlineStr">
        <is>
          <t>Group</t>
        </is>
      </c>
      <c r="D117" s="4" t="inlineStr">
        <is>
          <t>Shared Purchase</t>
        </is>
      </c>
      <c r="E117" s="4" t="inlineStr">
        <is>
          <t>Custom Purchase</t>
        </is>
      </c>
      <c r="F117" s="4" t="inlineStr">
        <is>
          <t>Custom Contribution</t>
        </is>
      </c>
      <c r="G117" s="4" t="inlineStr">
        <is>
          <t>Contribution</t>
        </is>
      </c>
      <c r="H117" s="12" t="n">
        <v>46250</v>
      </c>
      <c r="I117" s="13" t="n">
        <v>0.375162037037037</v>
      </c>
      <c r="J117" s="14" t="n">
        <v>46250.37516203704</v>
      </c>
      <c r="K117" s="15" t="n">
        <v>23361.36</v>
      </c>
      <c r="L117" s="4" t="inlineStr">
        <is>
          <t>INR</t>
        </is>
      </c>
      <c r="M117" s="15" t="n">
        <v>23361.36</v>
      </c>
      <c r="N117" s="4" t="inlineStr">
        <is>
          <t>IOS Meera</t>
        </is>
      </c>
      <c r="O117" s="4" t="n">
        <v>3</v>
      </c>
      <c r="P117" s="4" t="inlineStr">
        <is>
          <t>EXACT</t>
        </is>
      </c>
      <c r="Q117" s="4" t="inlineStr">
        <is>
          <t>MAESTRO-IOS-GROUP-CUSTOM_PURCHASE-0116 | Custom Contribution | 23361.36</t>
        </is>
      </c>
      <c r="R117" s="4" t="inlineStr">
        <is>
          <t>iPhone</t>
        </is>
      </c>
      <c r="S117" s="4" t="inlineStr">
        <is>
          <t>B03</t>
        </is>
      </c>
      <c r="T117" s="4" t="inlineStr">
        <is>
          <t>BASELINE_1_500</t>
        </is>
      </c>
      <c r="U117" s="4" t="inlineStr">
        <is>
          <t>CREATED</t>
        </is>
      </c>
      <c r="V117" s="4" t="inlineStr">
        <is>
          <t>idem-20260902-ios-0116</t>
        </is>
      </c>
    </row>
    <row r="118" ht="30" customHeight="1">
      <c r="A118" s="4" t="n">
        <v>117</v>
      </c>
      <c r="B118" s="4" t="inlineStr">
        <is>
          <t>MTR-IOS-0117</t>
        </is>
      </c>
      <c r="C118" s="4" t="inlineStr">
        <is>
          <t>Business</t>
        </is>
      </c>
      <c r="D118" s="4" t="inlineStr">
        <is>
          <t>Business</t>
        </is>
      </c>
      <c r="E118" s="4" t="inlineStr">
        <is>
          <t>Business Operations</t>
        </is>
      </c>
      <c r="F118" s="4" t="inlineStr">
        <is>
          <t>Accounting</t>
        </is>
      </c>
      <c r="G118" s="4" t="inlineStr">
        <is>
          <t>Expense</t>
        </is>
      </c>
      <c r="H118" s="12" t="n">
        <v>45944</v>
      </c>
      <c r="I118" s="13" t="n">
        <v>0.05553240740740741</v>
      </c>
      <c r="J118" s="14" t="n">
        <v>45944.05553240741</v>
      </c>
      <c r="K118" s="15" t="n">
        <v>12783.36</v>
      </c>
      <c r="L118" s="4" t="inlineStr">
        <is>
          <t>INR</t>
        </is>
      </c>
      <c r="M118" s="15" t="n">
        <v>-12783.36</v>
      </c>
      <c r="N118" s="4" t="inlineStr">
        <is>
          <t>IOS Owner</t>
        </is>
      </c>
      <c r="O118" s="4" t="n"/>
      <c r="P118" s="4" t="n"/>
      <c r="Q118" s="4" t="inlineStr">
        <is>
          <t>MAESTRO-IOS-BUSINESS-BUSINESS_OPERATIONS-0117 | Accounting | 12783.36</t>
        </is>
      </c>
      <c r="R118" s="4" t="inlineStr">
        <is>
          <t>iPhone</t>
        </is>
      </c>
      <c r="S118" s="4" t="inlineStr">
        <is>
          <t>B03</t>
        </is>
      </c>
      <c r="T118" s="4" t="inlineStr">
        <is>
          <t>BASELINE_1_500</t>
        </is>
      </c>
      <c r="U118" s="4" t="inlineStr">
        <is>
          <t>CREATED</t>
        </is>
      </c>
      <c r="V118" s="4" t="inlineStr">
        <is>
          <t>idem-20260902-ios-0117</t>
        </is>
      </c>
    </row>
    <row r="119" ht="30" customHeight="1">
      <c r="A119" s="4" t="n">
        <v>118</v>
      </c>
      <c r="B119" s="4" t="inlineStr">
        <is>
          <t>MTR-IOS-0118</t>
        </is>
      </c>
      <c r="C119" s="4" t="inlineStr">
        <is>
          <t>Personal</t>
        </is>
      </c>
      <c r="D119" s="4" t="inlineStr">
        <is>
          <t>Personal</t>
        </is>
      </c>
      <c r="E119" s="4" t="inlineStr">
        <is>
          <t>Lifestyle</t>
        </is>
      </c>
      <c r="F119" s="4" t="inlineStr">
        <is>
          <t>Fitness</t>
        </is>
      </c>
      <c r="G119" s="4" t="inlineStr">
        <is>
          <t>Expense</t>
        </is>
      </c>
      <c r="H119" s="12" t="n">
        <v>45966</v>
      </c>
      <c r="I119" s="13" t="n">
        <v>0.3222337962962963</v>
      </c>
      <c r="J119" s="14" t="n">
        <v>45966.32223379629</v>
      </c>
      <c r="K119" s="15" t="n">
        <v>9923.610000000001</v>
      </c>
      <c r="L119" s="4" t="inlineStr">
        <is>
          <t>INR</t>
        </is>
      </c>
      <c r="M119" s="15" t="n">
        <v>-9923.610000000001</v>
      </c>
      <c r="N119" s="4" t="inlineStr">
        <is>
          <t>IOS Owner</t>
        </is>
      </c>
      <c r="O119" s="4" t="n"/>
      <c r="P119" s="4" t="n"/>
      <c r="Q119" s="4" t="inlineStr">
        <is>
          <t>MAESTRO-IOS-PERSONAL-LIFESTYLE-0118 | Fitness | 9923.61</t>
        </is>
      </c>
      <c r="R119" s="4" t="inlineStr">
        <is>
          <t>iPhone</t>
        </is>
      </c>
      <c r="S119" s="4" t="inlineStr">
        <is>
          <t>B03</t>
        </is>
      </c>
      <c r="T119" s="4" t="inlineStr">
        <is>
          <t>BASELINE_1_500</t>
        </is>
      </c>
      <c r="U119" s="4" t="inlineStr">
        <is>
          <t>CREATED</t>
        </is>
      </c>
      <c r="V119" s="4" t="inlineStr">
        <is>
          <t>idem-20260902-ios-0118</t>
        </is>
      </c>
    </row>
    <row r="120" ht="30" customHeight="1">
      <c r="A120" s="4" t="n">
        <v>119</v>
      </c>
      <c r="B120" s="4" t="inlineStr">
        <is>
          <t>MTR-IOS-0119</t>
        </is>
      </c>
      <c r="C120" s="4" t="inlineStr">
        <is>
          <t>Group</t>
        </is>
      </c>
      <c r="D120" s="4" t="inlineStr">
        <is>
          <t>Shared Living</t>
        </is>
      </c>
      <c r="E120" s="4" t="inlineStr">
        <is>
          <t>Flatmates</t>
        </is>
      </c>
      <c r="F120" s="4" t="inlineStr">
        <is>
          <t>Rent</t>
        </is>
      </c>
      <c r="G120" s="4" t="inlineStr">
        <is>
          <t>Expense</t>
        </is>
      </c>
      <c r="H120" s="12" t="n">
        <v>46131</v>
      </c>
      <c r="I120" s="13" t="n">
        <v>0.9185069444444445</v>
      </c>
      <c r="J120" s="14" t="n">
        <v>46131.91850694444</v>
      </c>
      <c r="K120" s="15" t="n">
        <v>15229.04</v>
      </c>
      <c r="L120" s="4" t="inlineStr">
        <is>
          <t>INR</t>
        </is>
      </c>
      <c r="M120" s="15" t="n">
        <v>-15229.04</v>
      </c>
      <c r="N120" s="4" t="inlineStr">
        <is>
          <t>IOS Owner</t>
        </is>
      </c>
      <c r="O120" s="4" t="n">
        <v>3</v>
      </c>
      <c r="P120" s="4" t="inlineStr">
        <is>
          <t>SHARES</t>
        </is>
      </c>
      <c r="Q120" s="4" t="inlineStr">
        <is>
          <t>MAESTRO-IOS-GROUP-FLATMATES-0119 | Rent | 15229.04</t>
        </is>
      </c>
      <c r="R120" s="4" t="inlineStr">
        <is>
          <t>iPhone</t>
        </is>
      </c>
      <c r="S120" s="4" t="inlineStr">
        <is>
          <t>B03</t>
        </is>
      </c>
      <c r="T120" s="4" t="inlineStr">
        <is>
          <t>BASELINE_1_500</t>
        </is>
      </c>
      <c r="U120" s="4" t="inlineStr">
        <is>
          <t>CREATED</t>
        </is>
      </c>
      <c r="V120" s="4" t="inlineStr">
        <is>
          <t>idem-20260902-ios-0119</t>
        </is>
      </c>
    </row>
    <row r="121" ht="30" customHeight="1">
      <c r="A121" s="4" t="n">
        <v>120</v>
      </c>
      <c r="B121" s="4" t="inlineStr">
        <is>
          <t>MTR-IOS-0120</t>
        </is>
      </c>
      <c r="C121" s="4" t="inlineStr">
        <is>
          <t>Business</t>
        </is>
      </c>
      <c r="D121" s="4" t="inlineStr">
        <is>
          <t>Business</t>
        </is>
      </c>
      <c r="E121" s="4" t="inlineStr">
        <is>
          <t>Business Operations</t>
        </is>
      </c>
      <c r="F121" s="4" t="inlineStr">
        <is>
          <t>Equipment</t>
        </is>
      </c>
      <c r="G121" s="4" t="inlineStr">
        <is>
          <t>Expense</t>
        </is>
      </c>
      <c r="H121" s="12" t="n">
        <v>46042</v>
      </c>
      <c r="I121" s="13" t="n">
        <v>0.3111111111111111</v>
      </c>
      <c r="J121" s="14" t="n">
        <v>46042.31111111111</v>
      </c>
      <c r="K121" s="15" t="n">
        <v>100774.25</v>
      </c>
      <c r="L121" s="4" t="inlineStr">
        <is>
          <t>INR</t>
        </is>
      </c>
      <c r="M121" s="15" t="n">
        <v>-100774.25</v>
      </c>
      <c r="N121" s="4" t="inlineStr">
        <is>
          <t>IOS Owner</t>
        </is>
      </c>
      <c r="O121" s="4" t="n"/>
      <c r="P121" s="4" t="n"/>
      <c r="Q121" s="4" t="inlineStr">
        <is>
          <t>MAESTRO-IOS-BUSINESS-BUSINESS_OPERATIONS-0120 | Equipment | 100774.25</t>
        </is>
      </c>
      <c r="R121" s="4" t="inlineStr">
        <is>
          <t>iPhone</t>
        </is>
      </c>
      <c r="S121" s="4" t="inlineStr">
        <is>
          <t>B03</t>
        </is>
      </c>
      <c r="T121" s="4" t="inlineStr">
        <is>
          <t>BASELINE_1_500</t>
        </is>
      </c>
      <c r="U121" s="4" t="inlineStr">
        <is>
          <t>CREATED</t>
        </is>
      </c>
      <c r="V121" s="4" t="inlineStr">
        <is>
          <t>idem-20260902-ios-0120</t>
        </is>
      </c>
    </row>
    <row r="122" ht="30" customHeight="1">
      <c r="A122" s="4" t="n">
        <v>121</v>
      </c>
      <c r="B122" s="4" t="inlineStr">
        <is>
          <t>MTR-IOS-0121</t>
        </is>
      </c>
      <c r="C122" s="4" t="inlineStr">
        <is>
          <t>Personal</t>
        </is>
      </c>
      <c r="D122" s="4" t="inlineStr">
        <is>
          <t>Personal</t>
        </is>
      </c>
      <c r="E122" s="4" t="inlineStr">
        <is>
          <t>Lifestyle</t>
        </is>
      </c>
      <c r="F122" s="4" t="inlineStr">
        <is>
          <t>Hobbies</t>
        </is>
      </c>
      <c r="G122" s="4" t="inlineStr">
        <is>
          <t>Expense</t>
        </is>
      </c>
      <c r="H122" s="12" t="n">
        <v>46192</v>
      </c>
      <c r="I122" s="13" t="n">
        <v>0.5455208333333333</v>
      </c>
      <c r="J122" s="14" t="n">
        <v>46192.54552083334</v>
      </c>
      <c r="K122" s="15" t="n">
        <v>7452.91</v>
      </c>
      <c r="L122" s="4" t="inlineStr">
        <is>
          <t>INR</t>
        </is>
      </c>
      <c r="M122" s="15" t="n">
        <v>-7452.91</v>
      </c>
      <c r="N122" s="4" t="inlineStr">
        <is>
          <t>IOS Owner</t>
        </is>
      </c>
      <c r="O122" s="4" t="n"/>
      <c r="P122" s="4" t="n"/>
      <c r="Q122" s="4" t="inlineStr">
        <is>
          <t>MAESTRO-IOS-PERSONAL-LIFESTYLE-0121 | Hobbies | 7452.91</t>
        </is>
      </c>
      <c r="R122" s="4" t="inlineStr">
        <is>
          <t>iPhone</t>
        </is>
      </c>
      <c r="S122" s="4" t="inlineStr">
        <is>
          <t>B03</t>
        </is>
      </c>
      <c r="T122" s="4" t="inlineStr">
        <is>
          <t>BASELINE_1_500</t>
        </is>
      </c>
      <c r="U122" s="4" t="inlineStr">
        <is>
          <t>CREATED</t>
        </is>
      </c>
      <c r="V122" s="4" t="inlineStr">
        <is>
          <t>idem-20260902-ios-0121</t>
        </is>
      </c>
    </row>
    <row r="123" ht="30" customHeight="1">
      <c r="A123" s="4" t="n">
        <v>122</v>
      </c>
      <c r="B123" s="4" t="inlineStr">
        <is>
          <t>MTR-IOS-0122</t>
        </is>
      </c>
      <c r="C123" s="4" t="inlineStr">
        <is>
          <t>Group</t>
        </is>
      </c>
      <c r="D123" s="4" t="inlineStr">
        <is>
          <t>Shared Living</t>
        </is>
      </c>
      <c r="E123" s="4" t="inlineStr">
        <is>
          <t>Flatmates</t>
        </is>
      </c>
      <c r="F123" s="4" t="inlineStr">
        <is>
          <t>Utilities</t>
        </is>
      </c>
      <c r="G123" s="4" t="inlineStr">
        <is>
          <t>Expense</t>
        </is>
      </c>
      <c r="H123" s="12" t="n">
        <v>45927</v>
      </c>
      <c r="I123" s="13" t="n">
        <v>0.9768287037037037</v>
      </c>
      <c r="J123" s="14" t="n">
        <v>45927.9768287037</v>
      </c>
      <c r="K123" s="15" t="n">
        <v>4951.63</v>
      </c>
      <c r="L123" s="4" t="inlineStr">
        <is>
          <t>INR</t>
        </is>
      </c>
      <c r="M123" s="15" t="n">
        <v>-4951.63</v>
      </c>
      <c r="N123" s="4" t="inlineStr">
        <is>
          <t>IOS Aarav</t>
        </is>
      </c>
      <c r="O123" s="4" t="n">
        <v>3</v>
      </c>
      <c r="P123" s="4" t="inlineStr">
        <is>
          <t>EQUAL</t>
        </is>
      </c>
      <c r="Q123" s="4" t="inlineStr">
        <is>
          <t>MAESTRO-IOS-GROUP-FLATMATES-0122 | Utilities | 4951.63</t>
        </is>
      </c>
      <c r="R123" s="4" t="inlineStr">
        <is>
          <t>iPhone</t>
        </is>
      </c>
      <c r="S123" s="4" t="inlineStr">
        <is>
          <t>B03</t>
        </is>
      </c>
      <c r="T123" s="4" t="inlineStr">
        <is>
          <t>BASELINE_1_500</t>
        </is>
      </c>
      <c r="U123" s="4" t="inlineStr">
        <is>
          <t>CREATED</t>
        </is>
      </c>
      <c r="V123" s="4" t="inlineStr">
        <is>
          <t>idem-20260902-ios-0122</t>
        </is>
      </c>
    </row>
    <row r="124" ht="30" customHeight="1">
      <c r="A124" s="4" t="n">
        <v>123</v>
      </c>
      <c r="B124" s="4" t="inlineStr">
        <is>
          <t>MTR-IOS-0123</t>
        </is>
      </c>
      <c r="C124" s="4" t="inlineStr">
        <is>
          <t>Business</t>
        </is>
      </c>
      <c r="D124" s="4" t="inlineStr">
        <is>
          <t>Business</t>
        </is>
      </c>
      <c r="E124" s="4" t="inlineStr">
        <is>
          <t>Business Operations</t>
        </is>
      </c>
      <c r="F124" s="4" t="inlineStr">
        <is>
          <t>Vendor</t>
        </is>
      </c>
      <c r="G124" s="4" t="inlineStr">
        <is>
          <t>Expense</t>
        </is>
      </c>
      <c r="H124" s="12" t="n">
        <v>46067</v>
      </c>
      <c r="I124" s="13" t="n">
        <v>0.1118981481481481</v>
      </c>
      <c r="J124" s="14" t="n">
        <v>46067.11189814815</v>
      </c>
      <c r="K124" s="15" t="n">
        <v>95373.75</v>
      </c>
      <c r="L124" s="4" t="inlineStr">
        <is>
          <t>INR</t>
        </is>
      </c>
      <c r="M124" s="15" t="n">
        <v>-95373.75</v>
      </c>
      <c r="N124" s="4" t="inlineStr">
        <is>
          <t>IOS Owner</t>
        </is>
      </c>
      <c r="O124" s="4" t="n"/>
      <c r="P124" s="4" t="n"/>
      <c r="Q124" s="4" t="inlineStr">
        <is>
          <t>MAESTRO-IOS-BUSINESS-BUSINESS_OPERATIONS-0123 | Vendor | 95373.75</t>
        </is>
      </c>
      <c r="R124" s="4" t="inlineStr">
        <is>
          <t>iPhone</t>
        </is>
      </c>
      <c r="S124" s="4" t="inlineStr">
        <is>
          <t>B03</t>
        </is>
      </c>
      <c r="T124" s="4" t="inlineStr">
        <is>
          <t>BASELINE_1_500</t>
        </is>
      </c>
      <c r="U124" s="4" t="inlineStr">
        <is>
          <t>CREATED</t>
        </is>
      </c>
      <c r="V124" s="4" t="inlineStr">
        <is>
          <t>idem-20260902-ios-0123</t>
        </is>
      </c>
    </row>
    <row r="125" ht="30" customHeight="1">
      <c r="A125" s="4" t="n">
        <v>124</v>
      </c>
      <c r="B125" s="4" t="inlineStr">
        <is>
          <t>MTR-IOS-0124</t>
        </is>
      </c>
      <c r="C125" s="4" t="inlineStr">
        <is>
          <t>Personal</t>
        </is>
      </c>
      <c r="D125" s="4" t="inlineStr">
        <is>
          <t>Personal</t>
        </is>
      </c>
      <c r="E125" s="4" t="inlineStr">
        <is>
          <t>Relationships</t>
        </is>
      </c>
      <c r="F125" s="4" t="inlineStr">
        <is>
          <t>Gifts</t>
        </is>
      </c>
      <c r="G125" s="4" t="inlineStr">
        <is>
          <t>Expense</t>
        </is>
      </c>
      <c r="H125" s="12" t="n">
        <v>46245</v>
      </c>
      <c r="I125" s="13" t="n">
        <v>0.903587962962963</v>
      </c>
      <c r="J125" s="14" t="n">
        <v>46245.90358796297</v>
      </c>
      <c r="K125" s="15" t="n">
        <v>16450.12</v>
      </c>
      <c r="L125" s="4" t="inlineStr">
        <is>
          <t>INR</t>
        </is>
      </c>
      <c r="M125" s="15" t="n">
        <v>-16450.12</v>
      </c>
      <c r="N125" s="4" t="inlineStr">
        <is>
          <t>IOS Owner</t>
        </is>
      </c>
      <c r="O125" s="4" t="n"/>
      <c r="P125" s="4" t="n"/>
      <c r="Q125" s="4" t="inlineStr">
        <is>
          <t>MAESTRO-IOS-PERSONAL-RELATIONSHIPS-0124 | Gifts | 16450.12</t>
        </is>
      </c>
      <c r="R125" s="4" t="inlineStr">
        <is>
          <t>iPhone</t>
        </is>
      </c>
      <c r="S125" s="4" t="inlineStr">
        <is>
          <t>B03</t>
        </is>
      </c>
      <c r="T125" s="4" t="inlineStr">
        <is>
          <t>BASELINE_1_500</t>
        </is>
      </c>
      <c r="U125" s="4" t="inlineStr">
        <is>
          <t>CREATED</t>
        </is>
      </c>
      <c r="V125" s="4" t="inlineStr">
        <is>
          <t>idem-20260902-ios-0124</t>
        </is>
      </c>
    </row>
    <row r="126" ht="30" customHeight="1">
      <c r="A126" s="4" t="n">
        <v>125</v>
      </c>
      <c r="B126" s="4" t="inlineStr">
        <is>
          <t>MTR-IOS-0125</t>
        </is>
      </c>
      <c r="C126" s="4" t="inlineStr">
        <is>
          <t>Group</t>
        </is>
      </c>
      <c r="D126" s="4" t="inlineStr">
        <is>
          <t>Shared Living</t>
        </is>
      </c>
      <c r="E126" s="4" t="inlineStr">
        <is>
          <t>Flatmates</t>
        </is>
      </c>
      <c r="F126" s="4" t="inlineStr">
        <is>
          <t>Groceries</t>
        </is>
      </c>
      <c r="G126" s="4" t="inlineStr">
        <is>
          <t>Expense</t>
        </is>
      </c>
      <c r="H126" s="12" t="n">
        <v>46161</v>
      </c>
      <c r="I126" s="13" t="n">
        <v>0.3075462962962963</v>
      </c>
      <c r="J126" s="14" t="n">
        <v>46161.3075462963</v>
      </c>
      <c r="K126" s="15" t="n">
        <v>6259.59</v>
      </c>
      <c r="L126" s="4" t="inlineStr">
        <is>
          <t>INR</t>
        </is>
      </c>
      <c r="M126" s="15" t="n">
        <v>-6259.59</v>
      </c>
      <c r="N126" s="4" t="inlineStr">
        <is>
          <t>IOS Meera</t>
        </is>
      </c>
      <c r="O126" s="4" t="n">
        <v>3</v>
      </c>
      <c r="P126" s="4" t="inlineStr">
        <is>
          <t>PERCENTAGE</t>
        </is>
      </c>
      <c r="Q126" s="4" t="inlineStr">
        <is>
          <t>MAESTRO-IOS-GROUP-FLATMATES-0125 | Groceries | 6259.59</t>
        </is>
      </c>
      <c r="R126" s="4" t="inlineStr">
        <is>
          <t>iPhone</t>
        </is>
      </c>
      <c r="S126" s="4" t="inlineStr">
        <is>
          <t>B03</t>
        </is>
      </c>
      <c r="T126" s="4" t="inlineStr">
        <is>
          <t>BASELINE_1_500</t>
        </is>
      </c>
      <c r="U126" s="4" t="inlineStr">
        <is>
          <t>CREATED</t>
        </is>
      </c>
      <c r="V126" s="4" t="inlineStr">
        <is>
          <t>idem-20260902-ios-0125</t>
        </is>
      </c>
    </row>
    <row r="127" ht="30" customHeight="1">
      <c r="A127" s="4" t="n">
        <v>126</v>
      </c>
      <c r="B127" s="4" t="inlineStr">
        <is>
          <t>MTR-IOS-0126</t>
        </is>
      </c>
      <c r="C127" s="4" t="inlineStr">
        <is>
          <t>Business</t>
        </is>
      </c>
      <c r="D127" s="4" t="inlineStr">
        <is>
          <t>Business</t>
        </is>
      </c>
      <c r="E127" s="4" t="inlineStr">
        <is>
          <t>Business Operations</t>
        </is>
      </c>
      <c r="F127" s="4" t="inlineStr">
        <is>
          <t>Tax</t>
        </is>
      </c>
      <c r="G127" s="4" t="inlineStr">
        <is>
          <t>Expense</t>
        </is>
      </c>
      <c r="H127" s="12" t="n">
        <v>45981</v>
      </c>
      <c r="I127" s="13" t="n">
        <v>0.8086805555555555</v>
      </c>
      <c r="J127" s="14" t="n">
        <v>45981.80868055556</v>
      </c>
      <c r="K127" s="15" t="n">
        <v>147664.79</v>
      </c>
      <c r="L127" s="4" t="inlineStr">
        <is>
          <t>INR</t>
        </is>
      </c>
      <c r="M127" s="15" t="n">
        <v>-147664.79</v>
      </c>
      <c r="N127" s="4" t="inlineStr">
        <is>
          <t>IOS Owner</t>
        </is>
      </c>
      <c r="O127" s="4" t="n"/>
      <c r="P127" s="4" t="n"/>
      <c r="Q127" s="4" t="inlineStr">
        <is>
          <t>MAESTRO-IOS-BUSINESS-BUSINESS_OPERATIONS-0126 | Tax | 147664.79</t>
        </is>
      </c>
      <c r="R127" s="4" t="inlineStr">
        <is>
          <t>iPhone</t>
        </is>
      </c>
      <c r="S127" s="4" t="inlineStr">
        <is>
          <t>B03</t>
        </is>
      </c>
      <c r="T127" s="4" t="inlineStr">
        <is>
          <t>BASELINE_1_500</t>
        </is>
      </c>
      <c r="U127" s="4" t="inlineStr">
        <is>
          <t>CREATED</t>
        </is>
      </c>
      <c r="V127" s="4" t="inlineStr">
        <is>
          <t>idem-20260902-ios-0126</t>
        </is>
      </c>
    </row>
    <row r="128" ht="30" customHeight="1">
      <c r="A128" s="4" t="n">
        <v>127</v>
      </c>
      <c r="B128" s="4" t="inlineStr">
        <is>
          <t>MTR-IOS-0127</t>
        </is>
      </c>
      <c r="C128" s="4" t="inlineStr">
        <is>
          <t>Personal</t>
        </is>
      </c>
      <c r="D128" s="4" t="inlineStr">
        <is>
          <t>Personal</t>
        </is>
      </c>
      <c r="E128" s="4" t="inlineStr">
        <is>
          <t>Relationships</t>
        </is>
      </c>
      <c r="F128" s="4" t="inlineStr">
        <is>
          <t>Dates</t>
        </is>
      </c>
      <c r="G128" s="4" t="inlineStr">
        <is>
          <t>Expense</t>
        </is>
      </c>
      <c r="H128" s="12" t="n">
        <v>46150</v>
      </c>
      <c r="I128" s="13" t="n">
        <v>0.7675578703703704</v>
      </c>
      <c r="J128" s="14" t="n">
        <v>46150.76755787037</v>
      </c>
      <c r="K128" s="15" t="n">
        <v>5226.1</v>
      </c>
      <c r="L128" s="4" t="inlineStr">
        <is>
          <t>INR</t>
        </is>
      </c>
      <c r="M128" s="15" t="n">
        <v>-5226.1</v>
      </c>
      <c r="N128" s="4" t="inlineStr">
        <is>
          <t>IOS Owner</t>
        </is>
      </c>
      <c r="O128" s="4" t="n"/>
      <c r="P128" s="4" t="n"/>
      <c r="Q128" s="4" t="inlineStr">
        <is>
          <t>MAESTRO-IOS-PERSONAL-RELATIONSHIPS-0127 | Dates | 5226.10</t>
        </is>
      </c>
      <c r="R128" s="4" t="inlineStr">
        <is>
          <t>iPhone</t>
        </is>
      </c>
      <c r="S128" s="4" t="inlineStr">
        <is>
          <t>B03</t>
        </is>
      </c>
      <c r="T128" s="4" t="inlineStr">
        <is>
          <t>BASELINE_1_500</t>
        </is>
      </c>
      <c r="U128" s="4" t="inlineStr">
        <is>
          <t>CREATED</t>
        </is>
      </c>
      <c r="V128" s="4" t="inlineStr">
        <is>
          <t>idem-20260902-ios-0127</t>
        </is>
      </c>
    </row>
    <row r="129" ht="30" customHeight="1">
      <c r="A129" s="4" t="n">
        <v>128</v>
      </c>
      <c r="B129" s="4" t="inlineStr">
        <is>
          <t>MTR-IOS-0128</t>
        </is>
      </c>
      <c r="C129" s="4" t="inlineStr">
        <is>
          <t>Group</t>
        </is>
      </c>
      <c r="D129" s="4" t="inlineStr">
        <is>
          <t>Shared Living</t>
        </is>
      </c>
      <c r="E129" s="4" t="inlineStr">
        <is>
          <t>Flatmates</t>
        </is>
      </c>
      <c r="F129" s="4" t="inlineStr">
        <is>
          <t>Internet</t>
        </is>
      </c>
      <c r="G129" s="4" t="inlineStr">
        <is>
          <t>Expense</t>
        </is>
      </c>
      <c r="H129" s="12" t="n">
        <v>45961</v>
      </c>
      <c r="I129" s="13" t="n">
        <v>0.8424768518518518</v>
      </c>
      <c r="J129" s="14" t="n">
        <v>45961.84247685185</v>
      </c>
      <c r="K129" s="15" t="n">
        <v>21504.53</v>
      </c>
      <c r="L129" s="4" t="inlineStr">
        <is>
          <t>INR</t>
        </is>
      </c>
      <c r="M129" s="15" t="n">
        <v>-21504.53</v>
      </c>
      <c r="N129" s="4" t="inlineStr">
        <is>
          <t>IOS Owner</t>
        </is>
      </c>
      <c r="O129" s="4" t="n">
        <v>3</v>
      </c>
      <c r="P129" s="4" t="inlineStr">
        <is>
          <t>EXACT</t>
        </is>
      </c>
      <c r="Q129" s="4" t="inlineStr">
        <is>
          <t>MAESTRO-IOS-GROUP-FLATMATES-0128 | Internet | 21504.53</t>
        </is>
      </c>
      <c r="R129" s="4" t="inlineStr">
        <is>
          <t>iPhone</t>
        </is>
      </c>
      <c r="S129" s="4" t="inlineStr">
        <is>
          <t>B03</t>
        </is>
      </c>
      <c r="T129" s="4" t="inlineStr">
        <is>
          <t>BASELINE_1_500</t>
        </is>
      </c>
      <c r="U129" s="4" t="inlineStr">
        <is>
          <t>CREATED</t>
        </is>
      </c>
      <c r="V129" s="4" t="inlineStr">
        <is>
          <t>idem-20260902-ios-0128</t>
        </is>
      </c>
    </row>
    <row r="130" ht="30" customHeight="1">
      <c r="A130" s="4" t="n">
        <v>129</v>
      </c>
      <c r="B130" s="4" t="inlineStr">
        <is>
          <t>MTR-IOS-0129</t>
        </is>
      </c>
      <c r="C130" s="4" t="inlineStr">
        <is>
          <t>Business</t>
        </is>
      </c>
      <c r="D130" s="4" t="inlineStr">
        <is>
          <t>Business</t>
        </is>
      </c>
      <c r="E130" s="4" t="inlineStr">
        <is>
          <t>Team Operations</t>
        </is>
      </c>
      <c r="F130" s="4" t="inlineStr">
        <is>
          <t>Payroll</t>
        </is>
      </c>
      <c r="G130" s="4" t="inlineStr">
        <is>
          <t>Expense</t>
        </is>
      </c>
      <c r="H130" s="12" t="n">
        <v>46130</v>
      </c>
      <c r="I130" s="13" t="n">
        <v>0.1272800925925926</v>
      </c>
      <c r="J130" s="14" t="n">
        <v>46130.12728009259</v>
      </c>
      <c r="K130" s="15" t="n">
        <v>145801.42</v>
      </c>
      <c r="L130" s="4" t="inlineStr">
        <is>
          <t>INR</t>
        </is>
      </c>
      <c r="M130" s="15" t="n">
        <v>-145801.42</v>
      </c>
      <c r="N130" s="4" t="inlineStr">
        <is>
          <t>IOS Owner</t>
        </is>
      </c>
      <c r="O130" s="4" t="n"/>
      <c r="P130" s="4" t="n"/>
      <c r="Q130" s="4" t="inlineStr">
        <is>
          <t>MAESTRO-IOS-BUSINESS-TEAM_OPERATIONS-0129 | Payroll | 145801.42</t>
        </is>
      </c>
      <c r="R130" s="4" t="inlineStr">
        <is>
          <t>iPhone</t>
        </is>
      </c>
      <c r="S130" s="4" t="inlineStr">
        <is>
          <t>B03</t>
        </is>
      </c>
      <c r="T130" s="4" t="inlineStr">
        <is>
          <t>BASELINE_1_500</t>
        </is>
      </c>
      <c r="U130" s="4" t="inlineStr">
        <is>
          <t>CREATED</t>
        </is>
      </c>
      <c r="V130" s="4" t="inlineStr">
        <is>
          <t>idem-20260902-ios-0129</t>
        </is>
      </c>
    </row>
    <row r="131" ht="30" customHeight="1">
      <c r="A131" s="4" t="n">
        <v>130</v>
      </c>
      <c r="B131" s="4" t="inlineStr">
        <is>
          <t>MTR-IOS-0130</t>
        </is>
      </c>
      <c r="C131" s="4" t="inlineStr">
        <is>
          <t>Personal</t>
        </is>
      </c>
      <c r="D131" s="4" t="inlineStr">
        <is>
          <t>Personal</t>
        </is>
      </c>
      <c r="E131" s="4" t="inlineStr">
        <is>
          <t>Relationships</t>
        </is>
      </c>
      <c r="F131" s="4" t="inlineStr">
        <is>
          <t>Family</t>
        </is>
      </c>
      <c r="G131" s="4" t="inlineStr">
        <is>
          <t>Expense</t>
        </is>
      </c>
      <c r="H131" s="12" t="n">
        <v>46063</v>
      </c>
      <c r="I131" s="13" t="n">
        <v>0.4209837962962963</v>
      </c>
      <c r="J131" s="14" t="n">
        <v>46063.4209837963</v>
      </c>
      <c r="K131" s="15" t="n">
        <v>3511.53</v>
      </c>
      <c r="L131" s="4" t="inlineStr">
        <is>
          <t>INR</t>
        </is>
      </c>
      <c r="M131" s="15" t="n">
        <v>-3511.53</v>
      </c>
      <c r="N131" s="4" t="inlineStr">
        <is>
          <t>IOS Owner</t>
        </is>
      </c>
      <c r="O131" s="4" t="n"/>
      <c r="P131" s="4" t="n"/>
      <c r="Q131" s="4" t="inlineStr">
        <is>
          <t>MAESTRO-IOS-PERSONAL-RELATIONSHIPS-0130 | Family | 3511.53</t>
        </is>
      </c>
      <c r="R131" s="4" t="inlineStr">
        <is>
          <t>iPhone</t>
        </is>
      </c>
      <c r="S131" s="4" t="inlineStr">
        <is>
          <t>B03</t>
        </is>
      </c>
      <c r="T131" s="4" t="inlineStr">
        <is>
          <t>BASELINE_1_500</t>
        </is>
      </c>
      <c r="U131" s="4" t="inlineStr">
        <is>
          <t>CREATED</t>
        </is>
      </c>
      <c r="V131" s="4" t="inlineStr">
        <is>
          <t>idem-20260902-ios-0130</t>
        </is>
      </c>
    </row>
    <row r="132" ht="30" customHeight="1">
      <c r="A132" s="4" t="n">
        <v>131</v>
      </c>
      <c r="B132" s="4" t="inlineStr">
        <is>
          <t>MTR-IOS-0131</t>
        </is>
      </c>
      <c r="C132" s="4" t="inlineStr">
        <is>
          <t>Group</t>
        </is>
      </c>
      <c r="D132" s="4" t="inlineStr">
        <is>
          <t>Shared Living</t>
        </is>
      </c>
      <c r="E132" s="4" t="inlineStr">
        <is>
          <t>Flatmates</t>
        </is>
      </c>
      <c r="F132" s="4" t="inlineStr">
        <is>
          <t>House Supplies</t>
        </is>
      </c>
      <c r="G132" s="4" t="inlineStr">
        <is>
          <t>Expense</t>
        </is>
      </c>
      <c r="H132" s="12" t="n">
        <v>46122</v>
      </c>
      <c r="I132" s="13" t="n">
        <v>0.2743865740740741</v>
      </c>
      <c r="J132" s="14" t="n">
        <v>46122.27438657408</v>
      </c>
      <c r="K132" s="15" t="n">
        <v>20374.27</v>
      </c>
      <c r="L132" s="4" t="inlineStr">
        <is>
          <t>INR</t>
        </is>
      </c>
      <c r="M132" s="15" t="n">
        <v>-20374.27</v>
      </c>
      <c r="N132" s="4" t="inlineStr">
        <is>
          <t>IOS Aarav</t>
        </is>
      </c>
      <c r="O132" s="4" t="n">
        <v>3</v>
      </c>
      <c r="P132" s="4" t="inlineStr">
        <is>
          <t>SHARES</t>
        </is>
      </c>
      <c r="Q132" s="4" t="inlineStr">
        <is>
          <t>MAESTRO-IOS-GROUP-FLATMATES-0131 | House Supplies | 20374.27</t>
        </is>
      </c>
      <c r="R132" s="4" t="inlineStr">
        <is>
          <t>iPhone</t>
        </is>
      </c>
      <c r="S132" s="4" t="inlineStr">
        <is>
          <t>B03</t>
        </is>
      </c>
      <c r="T132" s="4" t="inlineStr">
        <is>
          <t>BASELINE_1_500</t>
        </is>
      </c>
      <c r="U132" s="4" t="inlineStr">
        <is>
          <t>CREATED</t>
        </is>
      </c>
      <c r="V132" s="4" t="inlineStr">
        <is>
          <t>idem-20260902-ios-0131</t>
        </is>
      </c>
    </row>
    <row r="133" ht="30" customHeight="1">
      <c r="A133" s="4" t="n">
        <v>132</v>
      </c>
      <c r="B133" s="4" t="inlineStr">
        <is>
          <t>MTR-IOS-0132</t>
        </is>
      </c>
      <c r="C133" s="4" t="inlineStr">
        <is>
          <t>Business</t>
        </is>
      </c>
      <c r="D133" s="4" t="inlineStr">
        <is>
          <t>Business</t>
        </is>
      </c>
      <c r="E133" s="4" t="inlineStr">
        <is>
          <t>Team Operations</t>
        </is>
      </c>
      <c r="F133" s="4" t="inlineStr">
        <is>
          <t>Contractor</t>
        </is>
      </c>
      <c r="G133" s="4" t="inlineStr">
        <is>
          <t>Expense</t>
        </is>
      </c>
      <c r="H133" s="12" t="n">
        <v>45948</v>
      </c>
      <c r="I133" s="13" t="n">
        <v>0.3298263888888889</v>
      </c>
      <c r="J133" s="14" t="n">
        <v>45948.32982638889</v>
      </c>
      <c r="K133" s="15" t="n">
        <v>50810.92</v>
      </c>
      <c r="L133" s="4" t="inlineStr">
        <is>
          <t>INR</t>
        </is>
      </c>
      <c r="M133" s="15" t="n">
        <v>-50810.92</v>
      </c>
      <c r="N133" s="4" t="inlineStr">
        <is>
          <t>IOS Owner</t>
        </is>
      </c>
      <c r="O133" s="4" t="n"/>
      <c r="P133" s="4" t="n"/>
      <c r="Q133" s="4" t="inlineStr">
        <is>
          <t>MAESTRO-IOS-BUSINESS-TEAM_OPERATIONS-0132 | Contractor | 50810.92</t>
        </is>
      </c>
      <c r="R133" s="4" t="inlineStr">
        <is>
          <t>iPhone</t>
        </is>
      </c>
      <c r="S133" s="4" t="inlineStr">
        <is>
          <t>B03</t>
        </is>
      </c>
      <c r="T133" s="4" t="inlineStr">
        <is>
          <t>BASELINE_1_500</t>
        </is>
      </c>
      <c r="U133" s="4" t="inlineStr">
        <is>
          <t>CREATED</t>
        </is>
      </c>
      <c r="V133" s="4" t="inlineStr">
        <is>
          <t>idem-20260902-ios-0132</t>
        </is>
      </c>
    </row>
    <row r="134" ht="30" customHeight="1">
      <c r="A134" s="4" t="n">
        <v>133</v>
      </c>
      <c r="B134" s="4" t="inlineStr">
        <is>
          <t>MTR-IOS-0133</t>
        </is>
      </c>
      <c r="C134" s="4" t="inlineStr">
        <is>
          <t>Personal</t>
        </is>
      </c>
      <c r="D134" s="4" t="inlineStr">
        <is>
          <t>Personal</t>
        </is>
      </c>
      <c r="E134" s="4" t="inlineStr">
        <is>
          <t>Relationships</t>
        </is>
      </c>
      <c r="F134" s="4" t="inlineStr">
        <is>
          <t>Friends</t>
        </is>
      </c>
      <c r="G134" s="4" t="inlineStr">
        <is>
          <t>Expense</t>
        </is>
      </c>
      <c r="H134" s="12" t="n">
        <v>45959</v>
      </c>
      <c r="I134" s="13" t="n">
        <v>0.2840856481481481</v>
      </c>
      <c r="J134" s="14" t="n">
        <v>45959.28408564815</v>
      </c>
      <c r="K134" s="15" t="n">
        <v>5211.63</v>
      </c>
      <c r="L134" s="4" t="inlineStr">
        <is>
          <t>INR</t>
        </is>
      </c>
      <c r="M134" s="15" t="n">
        <v>-5211.63</v>
      </c>
      <c r="N134" s="4" t="inlineStr">
        <is>
          <t>IOS Owner</t>
        </is>
      </c>
      <c r="O134" s="4" t="n"/>
      <c r="P134" s="4" t="n"/>
      <c r="Q134" s="4" t="inlineStr">
        <is>
          <t>MAESTRO-IOS-PERSONAL-RELATIONSHIPS-0133 | Friends | 5211.63</t>
        </is>
      </c>
      <c r="R134" s="4" t="inlineStr">
        <is>
          <t>iPhone</t>
        </is>
      </c>
      <c r="S134" s="4" t="inlineStr">
        <is>
          <t>B03</t>
        </is>
      </c>
      <c r="T134" s="4" t="inlineStr">
        <is>
          <t>BASELINE_1_500</t>
        </is>
      </c>
      <c r="U134" s="4" t="inlineStr">
        <is>
          <t>CREATED</t>
        </is>
      </c>
      <c r="V134" s="4" t="inlineStr">
        <is>
          <t>idem-20260902-ios-0133</t>
        </is>
      </c>
    </row>
    <row r="135" ht="30" customHeight="1">
      <c r="A135" s="4" t="n">
        <v>134</v>
      </c>
      <c r="B135" s="4" t="inlineStr">
        <is>
          <t>MTR-IOS-0134</t>
        </is>
      </c>
      <c r="C135" s="4" t="inlineStr">
        <is>
          <t>Group</t>
        </is>
      </c>
      <c r="D135" s="4" t="inlineStr">
        <is>
          <t>Shared Living</t>
        </is>
      </c>
      <c r="E135" s="4" t="inlineStr">
        <is>
          <t>Flatmates</t>
        </is>
      </c>
      <c r="F135" s="4" t="inlineStr">
        <is>
          <t>Repairs</t>
        </is>
      </c>
      <c r="G135" s="4" t="inlineStr">
        <is>
          <t>Expense</t>
        </is>
      </c>
      <c r="H135" s="12" t="n">
        <v>46115</v>
      </c>
      <c r="I135" s="13" t="n">
        <v>0.3776388888888889</v>
      </c>
      <c r="J135" s="14" t="n">
        <v>46115.37763888889</v>
      </c>
      <c r="K135" s="15" t="n">
        <v>5377.39</v>
      </c>
      <c r="L135" s="4" t="inlineStr">
        <is>
          <t>INR</t>
        </is>
      </c>
      <c r="M135" s="15" t="n">
        <v>-5377.39</v>
      </c>
      <c r="N135" s="4" t="inlineStr">
        <is>
          <t>IOS Meera</t>
        </is>
      </c>
      <c r="O135" s="4" t="n">
        <v>3</v>
      </c>
      <c r="P135" s="4" t="inlineStr">
        <is>
          <t>EQUAL</t>
        </is>
      </c>
      <c r="Q135" s="4" t="inlineStr">
        <is>
          <t>MAESTRO-IOS-GROUP-FLATMATES-0134 | Repairs | 5377.39</t>
        </is>
      </c>
      <c r="R135" s="4" t="inlineStr">
        <is>
          <t>iPhone</t>
        </is>
      </c>
      <c r="S135" s="4" t="inlineStr">
        <is>
          <t>B03</t>
        </is>
      </c>
      <c r="T135" s="4" t="inlineStr">
        <is>
          <t>BASELINE_1_500</t>
        </is>
      </c>
      <c r="U135" s="4" t="inlineStr">
        <is>
          <t>CREATED</t>
        </is>
      </c>
      <c r="V135" s="4" t="inlineStr">
        <is>
          <t>idem-20260902-ios-0134</t>
        </is>
      </c>
    </row>
    <row r="136" ht="30" customHeight="1">
      <c r="A136" s="4" t="n">
        <v>135</v>
      </c>
      <c r="B136" s="4" t="inlineStr">
        <is>
          <t>MTR-IOS-0135</t>
        </is>
      </c>
      <c r="C136" s="4" t="inlineStr">
        <is>
          <t>Business</t>
        </is>
      </c>
      <c r="D136" s="4" t="inlineStr">
        <is>
          <t>Business</t>
        </is>
      </c>
      <c r="E136" s="4" t="inlineStr">
        <is>
          <t>Team Operations</t>
        </is>
      </c>
      <c r="F136" s="4" t="inlineStr">
        <is>
          <t>Hiring</t>
        </is>
      </c>
      <c r="G136" s="4" t="inlineStr">
        <is>
          <t>Expense</t>
        </is>
      </c>
      <c r="H136" s="12" t="n">
        <v>45941</v>
      </c>
      <c r="I136" s="13" t="n">
        <v>0.4323611111111111</v>
      </c>
      <c r="J136" s="14" t="n">
        <v>45941.43236111111</v>
      </c>
      <c r="K136" s="15" t="n">
        <v>23755.77</v>
      </c>
      <c r="L136" s="4" t="inlineStr">
        <is>
          <t>INR</t>
        </is>
      </c>
      <c r="M136" s="15" t="n">
        <v>-23755.77</v>
      </c>
      <c r="N136" s="4" t="inlineStr">
        <is>
          <t>IOS Owner</t>
        </is>
      </c>
      <c r="O136" s="4" t="n"/>
      <c r="P136" s="4" t="n"/>
      <c r="Q136" s="4" t="inlineStr">
        <is>
          <t>MAESTRO-IOS-BUSINESS-TEAM_OPERATIONS-0135 | Hiring | 23755.77</t>
        </is>
      </c>
      <c r="R136" s="4" t="inlineStr">
        <is>
          <t>iPhone</t>
        </is>
      </c>
      <c r="S136" s="4" t="inlineStr">
        <is>
          <t>B03</t>
        </is>
      </c>
      <c r="T136" s="4" t="inlineStr">
        <is>
          <t>BASELINE_1_500</t>
        </is>
      </c>
      <c r="U136" s="4" t="inlineStr">
        <is>
          <t>CREATED</t>
        </is>
      </c>
      <c r="V136" s="4" t="inlineStr">
        <is>
          <t>idem-20260902-ios-0135</t>
        </is>
      </c>
    </row>
    <row r="137" ht="30" customHeight="1">
      <c r="A137" s="4" t="n">
        <v>136</v>
      </c>
      <c r="B137" s="4" t="inlineStr">
        <is>
          <t>MTR-IOS-0136</t>
        </is>
      </c>
      <c r="C137" s="4" t="inlineStr">
        <is>
          <t>Personal</t>
        </is>
      </c>
      <c r="D137" s="4" t="inlineStr">
        <is>
          <t>Personal</t>
        </is>
      </c>
      <c r="E137" s="4" t="inlineStr">
        <is>
          <t>Relationships</t>
        </is>
      </c>
      <c r="F137" s="4" t="inlineStr">
        <is>
          <t>Celebrations</t>
        </is>
      </c>
      <c r="G137" s="4" t="inlineStr">
        <is>
          <t>Expense</t>
        </is>
      </c>
      <c r="H137" s="12" t="n">
        <v>45982</v>
      </c>
      <c r="I137" s="13" t="n">
        <v>0.003993055555555555</v>
      </c>
      <c r="J137" s="14" t="n">
        <v>45982.00399305556</v>
      </c>
      <c r="K137" s="15" t="n">
        <v>5772.26</v>
      </c>
      <c r="L137" s="4" t="inlineStr">
        <is>
          <t>INR</t>
        </is>
      </c>
      <c r="M137" s="15" t="n">
        <v>-5772.26</v>
      </c>
      <c r="N137" s="4" t="inlineStr">
        <is>
          <t>IOS Owner</t>
        </is>
      </c>
      <c r="O137" s="4" t="n"/>
      <c r="P137" s="4" t="n"/>
      <c r="Q137" s="4" t="inlineStr">
        <is>
          <t>MAESTRO-IOS-PERSONAL-RELATIONSHIPS-0136 | Celebrations | 5772.26</t>
        </is>
      </c>
      <c r="R137" s="4" t="inlineStr">
        <is>
          <t>iPhone</t>
        </is>
      </c>
      <c r="S137" s="4" t="inlineStr">
        <is>
          <t>B03</t>
        </is>
      </c>
      <c r="T137" s="4" t="inlineStr">
        <is>
          <t>BASELINE_1_500</t>
        </is>
      </c>
      <c r="U137" s="4" t="inlineStr">
        <is>
          <t>CREATED</t>
        </is>
      </c>
      <c r="V137" s="4" t="inlineStr">
        <is>
          <t>idem-20260902-ios-0136</t>
        </is>
      </c>
    </row>
    <row r="138" ht="30" customHeight="1">
      <c r="A138" s="4" t="n">
        <v>137</v>
      </c>
      <c r="B138" s="4" t="inlineStr">
        <is>
          <t>MTR-IOS-0137</t>
        </is>
      </c>
      <c r="C138" s="4" t="inlineStr">
        <is>
          <t>Group</t>
        </is>
      </c>
      <c r="D138" s="4" t="inlineStr">
        <is>
          <t>Shared Living</t>
        </is>
      </c>
      <c r="E138" s="4" t="inlineStr">
        <is>
          <t>Shared Living</t>
        </is>
      </c>
      <c r="F138" s="4" t="inlineStr">
        <is>
          <t>Rent</t>
        </is>
      </c>
      <c r="G138" s="4" t="inlineStr">
        <is>
          <t>Expense</t>
        </is>
      </c>
      <c r="H138" s="12" t="n">
        <v>45954</v>
      </c>
      <c r="I138" s="13" t="n">
        <v>0.8084953703703703</v>
      </c>
      <c r="J138" s="14" t="n">
        <v>45954.80849537037</v>
      </c>
      <c r="K138" s="15" t="n">
        <v>14722.69</v>
      </c>
      <c r="L138" s="4" t="inlineStr">
        <is>
          <t>INR</t>
        </is>
      </c>
      <c r="M138" s="15" t="n">
        <v>-14722.69</v>
      </c>
      <c r="N138" s="4" t="inlineStr">
        <is>
          <t>IOS Owner</t>
        </is>
      </c>
      <c r="O138" s="4" t="n">
        <v>3</v>
      </c>
      <c r="P138" s="4" t="inlineStr">
        <is>
          <t>PERCENTAGE</t>
        </is>
      </c>
      <c r="Q138" s="4" t="inlineStr">
        <is>
          <t>MAESTRO-IOS-GROUP-SHARED_LIVING-0137 | Rent | 14722.69</t>
        </is>
      </c>
      <c r="R138" s="4" t="inlineStr">
        <is>
          <t>iPhone</t>
        </is>
      </c>
      <c r="S138" s="4" t="inlineStr">
        <is>
          <t>B03</t>
        </is>
      </c>
      <c r="T138" s="4" t="inlineStr">
        <is>
          <t>BASELINE_1_500</t>
        </is>
      </c>
      <c r="U138" s="4" t="inlineStr">
        <is>
          <t>CREATED</t>
        </is>
      </c>
      <c r="V138" s="4" t="inlineStr">
        <is>
          <t>idem-20260902-ios-0137</t>
        </is>
      </c>
    </row>
    <row r="139" ht="30" customHeight="1">
      <c r="A139" s="4" t="n">
        <v>138</v>
      </c>
      <c r="B139" s="4" t="inlineStr">
        <is>
          <t>MTR-IOS-0138</t>
        </is>
      </c>
      <c r="C139" s="4" t="inlineStr">
        <is>
          <t>Business</t>
        </is>
      </c>
      <c r="D139" s="4" t="inlineStr">
        <is>
          <t>Business</t>
        </is>
      </c>
      <c r="E139" s="4" t="inlineStr">
        <is>
          <t>Team Operations</t>
        </is>
      </c>
      <c r="F139" s="4" t="inlineStr">
        <is>
          <t>Team Meal</t>
        </is>
      </c>
      <c r="G139" s="4" t="inlineStr">
        <is>
          <t>Expense</t>
        </is>
      </c>
      <c r="H139" s="12" t="n">
        <v>46146</v>
      </c>
      <c r="I139" s="13" t="n">
        <v>0.1352314814814815</v>
      </c>
      <c r="J139" s="14" t="n">
        <v>46146.13523148148</v>
      </c>
      <c r="K139" s="15" t="n">
        <v>111815.52</v>
      </c>
      <c r="L139" s="4" t="inlineStr">
        <is>
          <t>INR</t>
        </is>
      </c>
      <c r="M139" s="15" t="n">
        <v>-111815.52</v>
      </c>
      <c r="N139" s="4" t="inlineStr">
        <is>
          <t>IOS Owner</t>
        </is>
      </c>
      <c r="O139" s="4" t="n"/>
      <c r="P139" s="4" t="n"/>
      <c r="Q139" s="4" t="inlineStr">
        <is>
          <t>MAESTRO-IOS-BUSINESS-TEAM_OPERATIONS-0138 | Team Meal | 111815.52</t>
        </is>
      </c>
      <c r="R139" s="4" t="inlineStr">
        <is>
          <t>iPhone</t>
        </is>
      </c>
      <c r="S139" s="4" t="inlineStr">
        <is>
          <t>B03</t>
        </is>
      </c>
      <c r="T139" s="4" t="inlineStr">
        <is>
          <t>BASELINE_1_500</t>
        </is>
      </c>
      <c r="U139" s="4" t="inlineStr">
        <is>
          <t>CREATED</t>
        </is>
      </c>
      <c r="V139" s="4" t="inlineStr">
        <is>
          <t>idem-20260902-ios-0138</t>
        </is>
      </c>
    </row>
    <row r="140" ht="30" customHeight="1">
      <c r="A140" s="4" t="n">
        <v>139</v>
      </c>
      <c r="B140" s="4" t="inlineStr">
        <is>
          <t>MTR-IOS-0139</t>
        </is>
      </c>
      <c r="C140" s="4" t="inlineStr">
        <is>
          <t>Personal</t>
        </is>
      </c>
      <c r="D140" s="4" t="inlineStr">
        <is>
          <t>Personal</t>
        </is>
      </c>
      <c r="E140" s="4" t="inlineStr">
        <is>
          <t>Life Operations</t>
        </is>
      </c>
      <c r="F140" s="4" t="inlineStr">
        <is>
          <t>Groceries</t>
        </is>
      </c>
      <c r="G140" s="4" t="inlineStr">
        <is>
          <t>Expense</t>
        </is>
      </c>
      <c r="H140" s="12" t="n">
        <v>46214</v>
      </c>
      <c r="I140" s="13" t="n">
        <v>0.8467129629629629</v>
      </c>
      <c r="J140" s="14" t="n">
        <v>46214.84671296296</v>
      </c>
      <c r="K140" s="15" t="n">
        <v>10801.91</v>
      </c>
      <c r="L140" s="4" t="inlineStr">
        <is>
          <t>INR</t>
        </is>
      </c>
      <c r="M140" s="15" t="n">
        <v>-10801.91</v>
      </c>
      <c r="N140" s="4" t="inlineStr">
        <is>
          <t>IOS Owner</t>
        </is>
      </c>
      <c r="O140" s="4" t="n"/>
      <c r="P140" s="4" t="n"/>
      <c r="Q140" s="4" t="inlineStr">
        <is>
          <t>MAESTRO-IOS-PERSONAL-LIFE_OPERATIONS-0139 | Groceries | 10801.91</t>
        </is>
      </c>
      <c r="R140" s="4" t="inlineStr">
        <is>
          <t>iPhone</t>
        </is>
      </c>
      <c r="S140" s="4" t="inlineStr">
        <is>
          <t>B03</t>
        </is>
      </c>
      <c r="T140" s="4" t="inlineStr">
        <is>
          <t>BASELINE_1_500</t>
        </is>
      </c>
      <c r="U140" s="4" t="inlineStr">
        <is>
          <t>CREATED</t>
        </is>
      </c>
      <c r="V140" s="4" t="inlineStr">
        <is>
          <t>idem-20260902-ios-0139</t>
        </is>
      </c>
    </row>
    <row r="141" ht="30" customHeight="1">
      <c r="A141" s="4" t="n">
        <v>140</v>
      </c>
      <c r="B141" s="4" t="inlineStr">
        <is>
          <t>MTR-IOS-0140</t>
        </is>
      </c>
      <c r="C141" s="4" t="inlineStr">
        <is>
          <t>Group</t>
        </is>
      </c>
      <c r="D141" s="4" t="inlineStr">
        <is>
          <t>Shared Living</t>
        </is>
      </c>
      <c r="E141" s="4" t="inlineStr">
        <is>
          <t>Shared Living</t>
        </is>
      </c>
      <c r="F141" s="4" t="inlineStr">
        <is>
          <t>Utilities</t>
        </is>
      </c>
      <c r="G141" s="4" t="inlineStr">
        <is>
          <t>Expense</t>
        </is>
      </c>
      <c r="H141" s="12" t="n">
        <v>46120</v>
      </c>
      <c r="I141" s="13" t="n">
        <v>0.3273842592592592</v>
      </c>
      <c r="J141" s="14" t="n">
        <v>46120.32738425926</v>
      </c>
      <c r="K141" s="15" t="n">
        <v>17152.95</v>
      </c>
      <c r="L141" s="4" t="inlineStr">
        <is>
          <t>INR</t>
        </is>
      </c>
      <c r="M141" s="15" t="n">
        <v>-17152.95</v>
      </c>
      <c r="N141" s="4" t="inlineStr">
        <is>
          <t>IOS Aarav</t>
        </is>
      </c>
      <c r="O141" s="4" t="n">
        <v>3</v>
      </c>
      <c r="P141" s="4" t="inlineStr">
        <is>
          <t>EXACT</t>
        </is>
      </c>
      <c r="Q141" s="4" t="inlineStr">
        <is>
          <t>MAESTRO-IOS-GROUP-SHARED_LIVING-0140 | Utilities | 17152.95</t>
        </is>
      </c>
      <c r="R141" s="4" t="inlineStr">
        <is>
          <t>iPhone</t>
        </is>
      </c>
      <c r="S141" s="4" t="inlineStr">
        <is>
          <t>B03</t>
        </is>
      </c>
      <c r="T141" s="4" t="inlineStr">
        <is>
          <t>BASELINE_1_500</t>
        </is>
      </c>
      <c r="U141" s="4" t="inlineStr">
        <is>
          <t>CREATED</t>
        </is>
      </c>
      <c r="V141" s="4" t="inlineStr">
        <is>
          <t>idem-20260902-ios-0140</t>
        </is>
      </c>
    </row>
    <row r="142" ht="30" customHeight="1">
      <c r="A142" s="4" t="n">
        <v>141</v>
      </c>
      <c r="B142" s="4" t="inlineStr">
        <is>
          <t>MTR-IOS-0141</t>
        </is>
      </c>
      <c r="C142" s="4" t="inlineStr">
        <is>
          <t>Business</t>
        </is>
      </c>
      <c r="D142" s="4" t="inlineStr">
        <is>
          <t>Business</t>
        </is>
      </c>
      <c r="E142" s="4" t="inlineStr">
        <is>
          <t>Team Operations</t>
        </is>
      </c>
      <c r="F142" s="4" t="inlineStr">
        <is>
          <t>Travel</t>
        </is>
      </c>
      <c r="G142" s="4" t="inlineStr">
        <is>
          <t>Expense</t>
        </is>
      </c>
      <c r="H142" s="12" t="n">
        <v>46195</v>
      </c>
      <c r="I142" s="13" t="n">
        <v>0.5605208333333334</v>
      </c>
      <c r="J142" s="14" t="n">
        <v>46195.56052083334</v>
      </c>
      <c r="K142" s="15" t="n">
        <v>65923.33</v>
      </c>
      <c r="L142" s="4" t="inlineStr">
        <is>
          <t>INR</t>
        </is>
      </c>
      <c r="M142" s="15" t="n">
        <v>-65923.33</v>
      </c>
      <c r="N142" s="4" t="inlineStr">
        <is>
          <t>IOS Owner</t>
        </is>
      </c>
      <c r="O142" s="4" t="n"/>
      <c r="P142" s="4" t="n"/>
      <c r="Q142" s="4" t="inlineStr">
        <is>
          <t>MAESTRO-IOS-BUSINESS-TEAM_OPERATIONS-0141 | Travel | 65923.33</t>
        </is>
      </c>
      <c r="R142" s="4" t="inlineStr">
        <is>
          <t>iPhone</t>
        </is>
      </c>
      <c r="S142" s="4" t="inlineStr">
        <is>
          <t>B03</t>
        </is>
      </c>
      <c r="T142" s="4" t="inlineStr">
        <is>
          <t>BASELINE_1_500</t>
        </is>
      </c>
      <c r="U142" s="4" t="inlineStr">
        <is>
          <t>CREATED</t>
        </is>
      </c>
      <c r="V142" s="4" t="inlineStr">
        <is>
          <t>idem-20260902-ios-0141</t>
        </is>
      </c>
    </row>
    <row r="143" ht="30" customHeight="1">
      <c r="A143" s="4" t="n">
        <v>142</v>
      </c>
      <c r="B143" s="4" t="inlineStr">
        <is>
          <t>MTR-IOS-0142</t>
        </is>
      </c>
      <c r="C143" s="4" t="inlineStr">
        <is>
          <t>Personal</t>
        </is>
      </c>
      <c r="D143" s="4" t="inlineStr">
        <is>
          <t>Personal</t>
        </is>
      </c>
      <c r="E143" s="4" t="inlineStr">
        <is>
          <t>Life Operations</t>
        </is>
      </c>
      <c r="F143" s="4" t="inlineStr">
        <is>
          <t>Rent</t>
        </is>
      </c>
      <c r="G143" s="4" t="inlineStr">
        <is>
          <t>Expense</t>
        </is>
      </c>
      <c r="H143" s="12" t="n">
        <v>46009</v>
      </c>
      <c r="I143" s="13" t="n">
        <v>0.4007060185185185</v>
      </c>
      <c r="J143" s="14" t="n">
        <v>46009.40070601852</v>
      </c>
      <c r="K143" s="15" t="n">
        <v>12878.9</v>
      </c>
      <c r="L143" s="4" t="inlineStr">
        <is>
          <t>INR</t>
        </is>
      </c>
      <c r="M143" s="15" t="n">
        <v>-12878.9</v>
      </c>
      <c r="N143" s="4" t="inlineStr">
        <is>
          <t>IOS Owner</t>
        </is>
      </c>
      <c r="O143" s="4" t="n"/>
      <c r="P143" s="4" t="n"/>
      <c r="Q143" s="4" t="inlineStr">
        <is>
          <t>MAESTRO-IOS-PERSONAL-LIFE_OPERATIONS-0142 | Rent | 12878.90</t>
        </is>
      </c>
      <c r="R143" s="4" t="inlineStr">
        <is>
          <t>iPhone</t>
        </is>
      </c>
      <c r="S143" s="4" t="inlineStr">
        <is>
          <t>B03</t>
        </is>
      </c>
      <c r="T143" s="4" t="inlineStr">
        <is>
          <t>BASELINE_1_500</t>
        </is>
      </c>
      <c r="U143" s="4" t="inlineStr">
        <is>
          <t>CREATED</t>
        </is>
      </c>
      <c r="V143" s="4" t="inlineStr">
        <is>
          <t>idem-20260902-ios-0142</t>
        </is>
      </c>
    </row>
    <row r="144" ht="30" customHeight="1">
      <c r="A144" s="4" t="n">
        <v>143</v>
      </c>
      <c r="B144" s="4" t="inlineStr">
        <is>
          <t>MTR-IOS-0143</t>
        </is>
      </c>
      <c r="C144" s="4" t="inlineStr">
        <is>
          <t>Group</t>
        </is>
      </c>
      <c r="D144" s="4" t="inlineStr">
        <is>
          <t>Shared Living</t>
        </is>
      </c>
      <c r="E144" s="4" t="inlineStr">
        <is>
          <t>Shared Living</t>
        </is>
      </c>
      <c r="F144" s="4" t="inlineStr">
        <is>
          <t>Groceries</t>
        </is>
      </c>
      <c r="G144" s="4" t="inlineStr">
        <is>
          <t>Expense</t>
        </is>
      </c>
      <c r="H144" s="12" t="n">
        <v>46251</v>
      </c>
      <c r="I144" s="13" t="n">
        <v>0.4413773148148148</v>
      </c>
      <c r="J144" s="14" t="n">
        <v>46251.44137731481</v>
      </c>
      <c r="K144" s="15" t="n">
        <v>23736.03</v>
      </c>
      <c r="L144" s="4" t="inlineStr">
        <is>
          <t>INR</t>
        </is>
      </c>
      <c r="M144" s="15" t="n">
        <v>-23736.03</v>
      </c>
      <c r="N144" s="4" t="inlineStr">
        <is>
          <t>IOS Meera</t>
        </is>
      </c>
      <c r="O144" s="4" t="n">
        <v>3</v>
      </c>
      <c r="P144" s="4" t="inlineStr">
        <is>
          <t>SHARES</t>
        </is>
      </c>
      <c r="Q144" s="4" t="inlineStr">
        <is>
          <t>MAESTRO-IOS-GROUP-SHARED_LIVING-0143 | Groceries | 23736.03</t>
        </is>
      </c>
      <c r="R144" s="4" t="inlineStr">
        <is>
          <t>iPhone</t>
        </is>
      </c>
      <c r="S144" s="4" t="inlineStr">
        <is>
          <t>B03</t>
        </is>
      </c>
      <c r="T144" s="4" t="inlineStr">
        <is>
          <t>BASELINE_1_500</t>
        </is>
      </c>
      <c r="U144" s="4" t="inlineStr">
        <is>
          <t>CREATED</t>
        </is>
      </c>
      <c r="V144" s="4" t="inlineStr">
        <is>
          <t>idem-20260902-ios-0143</t>
        </is>
      </c>
    </row>
    <row r="145" ht="30" customHeight="1">
      <c r="A145" s="4" t="n">
        <v>144</v>
      </c>
      <c r="B145" s="4" t="inlineStr">
        <is>
          <t>MTR-IOS-0144</t>
        </is>
      </c>
      <c r="C145" s="4" t="inlineStr">
        <is>
          <t>Business</t>
        </is>
      </c>
      <c r="D145" s="4" t="inlineStr">
        <is>
          <t>Business</t>
        </is>
      </c>
      <c r="E145" s="4" t="inlineStr">
        <is>
          <t>Team Operations</t>
        </is>
      </c>
      <c r="F145" s="4" t="inlineStr">
        <is>
          <t>Training</t>
        </is>
      </c>
      <c r="G145" s="4" t="inlineStr">
        <is>
          <t>Expense</t>
        </is>
      </c>
      <c r="H145" s="12" t="n">
        <v>46101</v>
      </c>
      <c r="I145" s="13" t="n">
        <v>0.4432523148148148</v>
      </c>
      <c r="J145" s="14" t="n">
        <v>46101.44325231481</v>
      </c>
      <c r="K145" s="15" t="n">
        <v>146788.26</v>
      </c>
      <c r="L145" s="4" t="inlineStr">
        <is>
          <t>INR</t>
        </is>
      </c>
      <c r="M145" s="15" t="n">
        <v>-146788.26</v>
      </c>
      <c r="N145" s="4" t="inlineStr">
        <is>
          <t>IOS Owner</t>
        </is>
      </c>
      <c r="O145" s="4" t="n"/>
      <c r="P145" s="4" t="n"/>
      <c r="Q145" s="4" t="inlineStr">
        <is>
          <t>MAESTRO-IOS-BUSINESS-TEAM_OPERATIONS-0144 | Training | 146788.26</t>
        </is>
      </c>
      <c r="R145" s="4" t="inlineStr">
        <is>
          <t>iPhone</t>
        </is>
      </c>
      <c r="S145" s="4" t="inlineStr">
        <is>
          <t>B03</t>
        </is>
      </c>
      <c r="T145" s="4" t="inlineStr">
        <is>
          <t>BASELINE_1_500</t>
        </is>
      </c>
      <c r="U145" s="4" t="inlineStr">
        <is>
          <t>CREATED</t>
        </is>
      </c>
      <c r="V145" s="4" t="inlineStr">
        <is>
          <t>idem-20260902-ios-0144</t>
        </is>
      </c>
    </row>
    <row r="146" ht="30" customHeight="1">
      <c r="A146" s="4" t="n">
        <v>145</v>
      </c>
      <c r="B146" s="4" t="inlineStr">
        <is>
          <t>MTR-IOS-0145</t>
        </is>
      </c>
      <c r="C146" s="4" t="inlineStr">
        <is>
          <t>Personal</t>
        </is>
      </c>
      <c r="D146" s="4" t="inlineStr">
        <is>
          <t>Personal</t>
        </is>
      </c>
      <c r="E146" s="4" t="inlineStr">
        <is>
          <t>Life Operations</t>
        </is>
      </c>
      <c r="F146" s="4" t="inlineStr">
        <is>
          <t>Bills</t>
        </is>
      </c>
      <c r="G146" s="4" t="inlineStr">
        <is>
          <t>Expense</t>
        </is>
      </c>
      <c r="H146" s="12" t="n">
        <v>46134</v>
      </c>
      <c r="I146" s="13" t="n">
        <v>0.5390046296296296</v>
      </c>
      <c r="J146" s="14" t="n">
        <v>46134.53900462963</v>
      </c>
      <c r="K146" s="15" t="n">
        <v>7474.05</v>
      </c>
      <c r="L146" s="4" t="inlineStr">
        <is>
          <t>INR</t>
        </is>
      </c>
      <c r="M146" s="15" t="n">
        <v>-7474.05</v>
      </c>
      <c r="N146" s="4" t="inlineStr">
        <is>
          <t>IOS Owner</t>
        </is>
      </c>
      <c r="O146" s="4" t="n"/>
      <c r="P146" s="4" t="n"/>
      <c r="Q146" s="4" t="inlineStr">
        <is>
          <t>MAESTRO-IOS-PERSONAL-LIFE_OPERATIONS-0145 | Bills | 7474.05</t>
        </is>
      </c>
      <c r="R146" s="4" t="inlineStr">
        <is>
          <t>iPhone</t>
        </is>
      </c>
      <c r="S146" s="4" t="inlineStr">
        <is>
          <t>B03</t>
        </is>
      </c>
      <c r="T146" s="4" t="inlineStr">
        <is>
          <t>BASELINE_1_500</t>
        </is>
      </c>
      <c r="U146" s="4" t="inlineStr">
        <is>
          <t>CREATED</t>
        </is>
      </c>
      <c r="V146" s="4" t="inlineStr">
        <is>
          <t>idem-20260902-ios-0145</t>
        </is>
      </c>
    </row>
    <row r="147" ht="30" customHeight="1">
      <c r="A147" s="4" t="n">
        <v>146</v>
      </c>
      <c r="B147" s="4" t="inlineStr">
        <is>
          <t>MTR-IOS-0146</t>
        </is>
      </c>
      <c r="C147" s="4" t="inlineStr">
        <is>
          <t>Group</t>
        </is>
      </c>
      <c r="D147" s="4" t="inlineStr">
        <is>
          <t>Shared Living</t>
        </is>
      </c>
      <c r="E147" s="4" t="inlineStr">
        <is>
          <t>Shared Living</t>
        </is>
      </c>
      <c r="F147" s="4" t="inlineStr">
        <is>
          <t>Maintenance</t>
        </is>
      </c>
      <c r="G147" s="4" t="inlineStr">
        <is>
          <t>Expense</t>
        </is>
      </c>
      <c r="H147" s="12" t="n">
        <v>46071</v>
      </c>
      <c r="I147" s="13" t="n">
        <v>0.2516319444444444</v>
      </c>
      <c r="J147" s="14" t="n">
        <v>46071.25163194445</v>
      </c>
      <c r="K147" s="15" t="n">
        <v>10279</v>
      </c>
      <c r="L147" s="4" t="inlineStr">
        <is>
          <t>INR</t>
        </is>
      </c>
      <c r="M147" s="15" t="n">
        <v>-10279</v>
      </c>
      <c r="N147" s="4" t="inlineStr">
        <is>
          <t>IOS Owner</t>
        </is>
      </c>
      <c r="O147" s="4" t="n">
        <v>3</v>
      </c>
      <c r="P147" s="4" t="inlineStr">
        <is>
          <t>EQUAL</t>
        </is>
      </c>
      <c r="Q147" s="4" t="inlineStr">
        <is>
          <t>MAESTRO-IOS-GROUP-SHARED_LIVING-0146 | Maintenance | 10279.00</t>
        </is>
      </c>
      <c r="R147" s="4" t="inlineStr">
        <is>
          <t>iPhone</t>
        </is>
      </c>
      <c r="S147" s="4" t="inlineStr">
        <is>
          <t>B03</t>
        </is>
      </c>
      <c r="T147" s="4" t="inlineStr">
        <is>
          <t>BASELINE_1_500</t>
        </is>
      </c>
      <c r="U147" s="4" t="inlineStr">
        <is>
          <t>CREATED</t>
        </is>
      </c>
      <c r="V147" s="4" t="inlineStr">
        <is>
          <t>idem-20260902-ios-0146</t>
        </is>
      </c>
    </row>
    <row r="148" ht="30" customHeight="1">
      <c r="A148" s="4" t="n">
        <v>147</v>
      </c>
      <c r="B148" s="4" t="inlineStr">
        <is>
          <t>MTR-IOS-0147</t>
        </is>
      </c>
      <c r="C148" s="4" t="inlineStr">
        <is>
          <t>Business</t>
        </is>
      </c>
      <c r="D148" s="4" t="inlineStr">
        <is>
          <t>Business</t>
        </is>
      </c>
      <c r="E148" s="4" t="inlineStr">
        <is>
          <t>Team Operations</t>
        </is>
      </c>
      <c r="F148" s="4" t="inlineStr">
        <is>
          <t>Tools</t>
        </is>
      </c>
      <c r="G148" s="4" t="inlineStr">
        <is>
          <t>Expense</t>
        </is>
      </c>
      <c r="H148" s="12" t="n">
        <v>46237</v>
      </c>
      <c r="I148" s="13" t="n">
        <v>0.3969097222222222</v>
      </c>
      <c r="J148" s="14" t="n">
        <v>46237.39690972222</v>
      </c>
      <c r="K148" s="15" t="n">
        <v>93638.52</v>
      </c>
      <c r="L148" s="4" t="inlineStr">
        <is>
          <t>INR</t>
        </is>
      </c>
      <c r="M148" s="15" t="n">
        <v>-93638.52</v>
      </c>
      <c r="N148" s="4" t="inlineStr">
        <is>
          <t>IOS Owner</t>
        </is>
      </c>
      <c r="O148" s="4" t="n"/>
      <c r="P148" s="4" t="n"/>
      <c r="Q148" s="4" t="inlineStr">
        <is>
          <t>MAESTRO-IOS-BUSINESS-TEAM_OPERATIONS-0147 | Tools | 93638.52</t>
        </is>
      </c>
      <c r="R148" s="4" t="inlineStr">
        <is>
          <t>iPhone</t>
        </is>
      </c>
      <c r="S148" s="4" t="inlineStr">
        <is>
          <t>B03</t>
        </is>
      </c>
      <c r="T148" s="4" t="inlineStr">
        <is>
          <t>BASELINE_1_500</t>
        </is>
      </c>
      <c r="U148" s="4" t="inlineStr">
        <is>
          <t>CREATED</t>
        </is>
      </c>
      <c r="V148" s="4" t="inlineStr">
        <is>
          <t>idem-20260902-ios-0147</t>
        </is>
      </c>
    </row>
    <row r="149" ht="30" customHeight="1">
      <c r="A149" s="4" t="n">
        <v>148</v>
      </c>
      <c r="B149" s="4" t="inlineStr">
        <is>
          <t>MTR-IOS-0148</t>
        </is>
      </c>
      <c r="C149" s="4" t="inlineStr">
        <is>
          <t>Personal</t>
        </is>
      </c>
      <c r="D149" s="4" t="inlineStr">
        <is>
          <t>Personal</t>
        </is>
      </c>
      <c r="E149" s="4" t="inlineStr">
        <is>
          <t>Life Operations</t>
        </is>
      </c>
      <c r="F149" s="4" t="inlineStr">
        <is>
          <t>Transport</t>
        </is>
      </c>
      <c r="G149" s="4" t="inlineStr">
        <is>
          <t>Expense</t>
        </is>
      </c>
      <c r="H149" s="12" t="n">
        <v>46189</v>
      </c>
      <c r="I149" s="13" t="n">
        <v>0.8953240740740741</v>
      </c>
      <c r="J149" s="14" t="n">
        <v>46189.89532407407</v>
      </c>
      <c r="K149" s="15" t="n">
        <v>999.99</v>
      </c>
      <c r="L149" s="4" t="inlineStr">
        <is>
          <t>INR</t>
        </is>
      </c>
      <c r="M149" s="15" t="n">
        <v>-999.99</v>
      </c>
      <c r="N149" s="4" t="inlineStr">
        <is>
          <t>IOS Owner</t>
        </is>
      </c>
      <c r="O149" s="4" t="n"/>
      <c r="P149" s="4" t="n"/>
      <c r="Q149" s="4" t="inlineStr">
        <is>
          <t>MAESTRO-IOS-PERSONAL-LIFE_OPERATIONS-0148 | Transport | 999.99</t>
        </is>
      </c>
      <c r="R149" s="4" t="inlineStr">
        <is>
          <t>iPhone</t>
        </is>
      </c>
      <c r="S149" s="4" t="inlineStr">
        <is>
          <t>B03</t>
        </is>
      </c>
      <c r="T149" s="4" t="inlineStr">
        <is>
          <t>BASELINE_1_500</t>
        </is>
      </c>
      <c r="U149" s="4" t="inlineStr">
        <is>
          <t>CREATED</t>
        </is>
      </c>
      <c r="V149" s="4" t="inlineStr">
        <is>
          <t>idem-20260902-ios-0148</t>
        </is>
      </c>
    </row>
    <row r="150" ht="30" customHeight="1">
      <c r="A150" s="4" t="n">
        <v>149</v>
      </c>
      <c r="B150" s="4" t="inlineStr">
        <is>
          <t>MTR-IOS-0149</t>
        </is>
      </c>
      <c r="C150" s="4" t="inlineStr">
        <is>
          <t>Group</t>
        </is>
      </c>
      <c r="D150" s="4" t="inlineStr">
        <is>
          <t>Shared Living</t>
        </is>
      </c>
      <c r="E150" s="4" t="inlineStr">
        <is>
          <t>Shared Living</t>
        </is>
      </c>
      <c r="F150" s="4" t="inlineStr">
        <is>
          <t>Other</t>
        </is>
      </c>
      <c r="G150" s="4" t="inlineStr">
        <is>
          <t>Expense</t>
        </is>
      </c>
      <c r="H150" s="12" t="n">
        <v>46181</v>
      </c>
      <c r="I150" s="13" t="n">
        <v>0.539375</v>
      </c>
      <c r="J150" s="14" t="n">
        <v>46181.539375</v>
      </c>
      <c r="K150" s="15" t="n">
        <v>16826.75</v>
      </c>
      <c r="L150" s="4" t="inlineStr">
        <is>
          <t>INR</t>
        </is>
      </c>
      <c r="M150" s="15" t="n">
        <v>-16826.75</v>
      </c>
      <c r="N150" s="4" t="inlineStr">
        <is>
          <t>IOS Aarav</t>
        </is>
      </c>
      <c r="O150" s="4" t="n">
        <v>3</v>
      </c>
      <c r="P150" s="4" t="inlineStr">
        <is>
          <t>PERCENTAGE</t>
        </is>
      </c>
      <c r="Q150" s="4" t="inlineStr">
        <is>
          <t>MAESTRO-IOS-GROUP-SHARED_LIVING-0149 | Other | 16826.75</t>
        </is>
      </c>
      <c r="R150" s="4" t="inlineStr">
        <is>
          <t>iPhone</t>
        </is>
      </c>
      <c r="S150" s="4" t="inlineStr">
        <is>
          <t>B03</t>
        </is>
      </c>
      <c r="T150" s="4" t="inlineStr">
        <is>
          <t>BASELINE_1_500</t>
        </is>
      </c>
      <c r="U150" s="4" t="inlineStr">
        <is>
          <t>CREATED</t>
        </is>
      </c>
      <c r="V150" s="4" t="inlineStr">
        <is>
          <t>idem-20260902-ios-0149</t>
        </is>
      </c>
    </row>
    <row r="151" ht="30" customHeight="1">
      <c r="A151" s="4" t="n">
        <v>150</v>
      </c>
      <c r="B151" s="4" t="inlineStr">
        <is>
          <t>MTR-IOS-0150</t>
        </is>
      </c>
      <c r="C151" s="4" t="inlineStr">
        <is>
          <t>Business</t>
        </is>
      </c>
      <c r="D151" s="4" t="inlineStr">
        <is>
          <t>Business</t>
        </is>
      </c>
      <c r="E151" s="4" t="inlineStr">
        <is>
          <t>Business Runway</t>
        </is>
      </c>
      <c r="F151" s="4" t="inlineStr">
        <is>
          <t>Funding</t>
        </is>
      </c>
      <c r="G151" s="4" t="inlineStr">
        <is>
          <t>Income</t>
        </is>
      </c>
      <c r="H151" s="12" t="n">
        <v>46192</v>
      </c>
      <c r="I151" s="13" t="n">
        <v>0.9149189814814814</v>
      </c>
      <c r="J151" s="14" t="n">
        <v>46192.91491898148</v>
      </c>
      <c r="K151" s="15" t="n">
        <v>46466.32</v>
      </c>
      <c r="L151" s="4" t="inlineStr">
        <is>
          <t>INR</t>
        </is>
      </c>
      <c r="M151" s="15" t="n">
        <v>46466.32</v>
      </c>
      <c r="N151" s="4" t="inlineStr">
        <is>
          <t>IOS Owner</t>
        </is>
      </c>
      <c r="O151" s="4" t="n"/>
      <c r="P151" s="4" t="n"/>
      <c r="Q151" s="4" t="inlineStr">
        <is>
          <t>MAESTRO-IOS-BUSINESS-BUSINESS_RUNWAY-0150 | Funding | 46466.32</t>
        </is>
      </c>
      <c r="R151" s="4" t="inlineStr">
        <is>
          <t>iPhone</t>
        </is>
      </c>
      <c r="S151" s="4" t="inlineStr">
        <is>
          <t>B03</t>
        </is>
      </c>
      <c r="T151" s="4" t="inlineStr">
        <is>
          <t>BASELINE_1_500</t>
        </is>
      </c>
      <c r="U151" s="4" t="inlineStr">
        <is>
          <t>CREATED</t>
        </is>
      </c>
      <c r="V151" s="4" t="inlineStr">
        <is>
          <t>idem-20260902-ios-0150</t>
        </is>
      </c>
    </row>
    <row r="152" ht="30" customHeight="1">
      <c r="A152" s="4" t="n">
        <v>151</v>
      </c>
      <c r="B152" s="4" t="inlineStr">
        <is>
          <t>MTR-IOS-0151</t>
        </is>
      </c>
      <c r="C152" s="4" t="inlineStr">
        <is>
          <t>Personal</t>
        </is>
      </c>
      <c r="D152" s="4" t="inlineStr">
        <is>
          <t>Personal</t>
        </is>
      </c>
      <c r="E152" s="4" t="inlineStr">
        <is>
          <t>Life Operations</t>
        </is>
      </c>
      <c r="F152" s="4" t="inlineStr">
        <is>
          <t>Healthcare</t>
        </is>
      </c>
      <c r="G152" s="4" t="inlineStr">
        <is>
          <t>Expense</t>
        </is>
      </c>
      <c r="H152" s="12" t="n">
        <v>46236</v>
      </c>
      <c r="I152" s="13" t="n">
        <v>0.9701388888888889</v>
      </c>
      <c r="J152" s="14" t="n">
        <v>46236.97013888889</v>
      </c>
      <c r="K152" s="15" t="n">
        <v>10274.72</v>
      </c>
      <c r="L152" s="4" t="inlineStr">
        <is>
          <t>INR</t>
        </is>
      </c>
      <c r="M152" s="15" t="n">
        <v>-10274.72</v>
      </c>
      <c r="N152" s="4" t="inlineStr">
        <is>
          <t>IOS Owner</t>
        </is>
      </c>
      <c r="O152" s="4" t="n"/>
      <c r="P152" s="4" t="n"/>
      <c r="Q152" s="4" t="inlineStr">
        <is>
          <t>MAESTRO-IOS-PERSONAL-LIFE_OPERATIONS-0151 | Healthcare | 10274.72</t>
        </is>
      </c>
      <c r="R152" s="4" t="inlineStr">
        <is>
          <t>iPhone</t>
        </is>
      </c>
      <c r="S152" s="4" t="inlineStr">
        <is>
          <t>B04</t>
        </is>
      </c>
      <c r="T152" s="4" t="inlineStr">
        <is>
          <t>BASELINE_1_500</t>
        </is>
      </c>
      <c r="U152" s="4" t="inlineStr">
        <is>
          <t>CREATED</t>
        </is>
      </c>
      <c r="V152" s="4" t="inlineStr">
        <is>
          <t>idem-20260902-ios-0151</t>
        </is>
      </c>
    </row>
    <row r="153" ht="30" customHeight="1">
      <c r="A153" s="4" t="n">
        <v>152</v>
      </c>
      <c r="B153" s="4" t="inlineStr">
        <is>
          <t>MTR-IOS-0152</t>
        </is>
      </c>
      <c r="C153" s="4" t="inlineStr">
        <is>
          <t>Group</t>
        </is>
      </c>
      <c r="D153" s="4" t="inlineStr">
        <is>
          <t>Shared Living</t>
        </is>
      </c>
      <c r="E153" s="4" t="inlineStr">
        <is>
          <t>Family Household</t>
        </is>
      </c>
      <c r="F153" s="4" t="inlineStr">
        <is>
          <t>Groceries</t>
        </is>
      </c>
      <c r="G153" s="4" t="inlineStr">
        <is>
          <t>Expense</t>
        </is>
      </c>
      <c r="H153" s="12" t="n">
        <v>46104</v>
      </c>
      <c r="I153" s="13" t="n">
        <v>0.1643171296296296</v>
      </c>
      <c r="J153" s="14" t="n">
        <v>46104.16431712963</v>
      </c>
      <c r="K153" s="15" t="n">
        <v>15708.48</v>
      </c>
      <c r="L153" s="4" t="inlineStr">
        <is>
          <t>INR</t>
        </is>
      </c>
      <c r="M153" s="15" t="n">
        <v>-15708.48</v>
      </c>
      <c r="N153" s="4" t="inlineStr">
        <is>
          <t>IOS Meera</t>
        </is>
      </c>
      <c r="O153" s="4" t="n">
        <v>3</v>
      </c>
      <c r="P153" s="4" t="inlineStr">
        <is>
          <t>EXACT</t>
        </is>
      </c>
      <c r="Q153" s="4" t="inlineStr">
        <is>
          <t>MAESTRO-IOS-GROUP-FAMILY_HOUSEHOLD-0152 | Groceries | 15708.48</t>
        </is>
      </c>
      <c r="R153" s="4" t="inlineStr">
        <is>
          <t>iPhone</t>
        </is>
      </c>
      <c r="S153" s="4" t="inlineStr">
        <is>
          <t>B04</t>
        </is>
      </c>
      <c r="T153" s="4" t="inlineStr">
        <is>
          <t>BASELINE_1_500</t>
        </is>
      </c>
      <c r="U153" s="4" t="inlineStr">
        <is>
          <t>CREATED</t>
        </is>
      </c>
      <c r="V153" s="4" t="inlineStr">
        <is>
          <t>idem-20260902-ios-0152</t>
        </is>
      </c>
    </row>
    <row r="154" ht="30" customHeight="1">
      <c r="A154" s="4" t="n">
        <v>153</v>
      </c>
      <c r="B154" s="4" t="inlineStr">
        <is>
          <t>MTR-IOS-0153</t>
        </is>
      </c>
      <c r="C154" s="4" t="inlineStr">
        <is>
          <t>Business</t>
        </is>
      </c>
      <c r="D154" s="4" t="inlineStr">
        <is>
          <t>Business</t>
        </is>
      </c>
      <c r="E154" s="4" t="inlineStr">
        <is>
          <t>Business Runway</t>
        </is>
      </c>
      <c r="F154" s="4" t="inlineStr">
        <is>
          <t>Revenue</t>
        </is>
      </c>
      <c r="G154" s="4" t="inlineStr">
        <is>
          <t>Income</t>
        </is>
      </c>
      <c r="H154" s="12" t="n">
        <v>46079</v>
      </c>
      <c r="I154" s="13" t="n">
        <v>0.04804398148148148</v>
      </c>
      <c r="J154" s="14" t="n">
        <v>46079.04804398148</v>
      </c>
      <c r="K154" s="15" t="n">
        <v>62765.08</v>
      </c>
      <c r="L154" s="4" t="inlineStr">
        <is>
          <t>INR</t>
        </is>
      </c>
      <c r="M154" s="15" t="n">
        <v>62765.08</v>
      </c>
      <c r="N154" s="4" t="inlineStr">
        <is>
          <t>IOS Owner</t>
        </is>
      </c>
      <c r="O154" s="4" t="n"/>
      <c r="P154" s="4" t="n"/>
      <c r="Q154" s="4" t="inlineStr">
        <is>
          <t>MAESTRO-IOS-BUSINESS-BUSINESS_RUNWAY-0153 | Revenue | 62765.08</t>
        </is>
      </c>
      <c r="R154" s="4" t="inlineStr">
        <is>
          <t>iPhone</t>
        </is>
      </c>
      <c r="S154" s="4" t="inlineStr">
        <is>
          <t>B04</t>
        </is>
      </c>
      <c r="T154" s="4" t="inlineStr">
        <is>
          <t>BASELINE_1_500</t>
        </is>
      </c>
      <c r="U154" s="4" t="inlineStr">
        <is>
          <t>CREATED</t>
        </is>
      </c>
      <c r="V154" s="4" t="inlineStr">
        <is>
          <t>idem-20260902-ios-0153</t>
        </is>
      </c>
    </row>
    <row r="155" ht="30" customHeight="1">
      <c r="A155" s="4" t="n">
        <v>154</v>
      </c>
      <c r="B155" s="4" t="inlineStr">
        <is>
          <t>MTR-IOS-0154</t>
        </is>
      </c>
      <c r="C155" s="4" t="inlineStr">
        <is>
          <t>Personal</t>
        </is>
      </c>
      <c r="D155" s="4" t="inlineStr">
        <is>
          <t>Personal</t>
        </is>
      </c>
      <c r="E155" s="4" t="inlineStr">
        <is>
          <t>Life Operations</t>
        </is>
      </c>
      <c r="F155" s="4" t="inlineStr">
        <is>
          <t>Subscriptions</t>
        </is>
      </c>
      <c r="G155" s="4" t="inlineStr">
        <is>
          <t>Expense</t>
        </is>
      </c>
      <c r="H155" s="12" t="n">
        <v>46075</v>
      </c>
      <c r="I155" s="13" t="n">
        <v>0.9310648148148148</v>
      </c>
      <c r="J155" s="14" t="n">
        <v>46075.93106481482</v>
      </c>
      <c r="K155" s="15" t="n">
        <v>6690.3</v>
      </c>
      <c r="L155" s="4" t="inlineStr">
        <is>
          <t>INR</t>
        </is>
      </c>
      <c r="M155" s="15" t="n">
        <v>-6690.3</v>
      </c>
      <c r="N155" s="4" t="inlineStr">
        <is>
          <t>IOS Owner</t>
        </is>
      </c>
      <c r="O155" s="4" t="n"/>
      <c r="P155" s="4" t="n"/>
      <c r="Q155" s="4" t="inlineStr">
        <is>
          <t>MAESTRO-IOS-PERSONAL-LIFE_OPERATIONS-0154 | Subscriptions | 6690.30</t>
        </is>
      </c>
      <c r="R155" s="4" t="inlineStr">
        <is>
          <t>iPhone</t>
        </is>
      </c>
      <c r="S155" s="4" t="inlineStr">
        <is>
          <t>B04</t>
        </is>
      </c>
      <c r="T155" s="4" t="inlineStr">
        <is>
          <t>BASELINE_1_500</t>
        </is>
      </c>
      <c r="U155" s="4" t="inlineStr">
        <is>
          <t>CREATED</t>
        </is>
      </c>
      <c r="V155" s="4" t="inlineStr">
        <is>
          <t>idem-20260902-ios-0154</t>
        </is>
      </c>
    </row>
    <row r="156" ht="30" customHeight="1">
      <c r="A156" s="4" t="n">
        <v>155</v>
      </c>
      <c r="B156" s="4" t="inlineStr">
        <is>
          <t>MTR-IOS-0155</t>
        </is>
      </c>
      <c r="C156" s="4" t="inlineStr">
        <is>
          <t>Group</t>
        </is>
      </c>
      <c r="D156" s="4" t="inlineStr">
        <is>
          <t>Shared Living</t>
        </is>
      </c>
      <c r="E156" s="4" t="inlineStr">
        <is>
          <t>Family Household</t>
        </is>
      </c>
      <c r="F156" s="4" t="inlineStr">
        <is>
          <t>Bills</t>
        </is>
      </c>
      <c r="G156" s="4" t="inlineStr">
        <is>
          <t>Expense</t>
        </is>
      </c>
      <c r="H156" s="12" t="n">
        <v>46112</v>
      </c>
      <c r="I156" s="13" t="n">
        <v>0.2730324074074074</v>
      </c>
      <c r="J156" s="14" t="n">
        <v>46112.27303240741</v>
      </c>
      <c r="K156" s="15" t="n">
        <v>12976.19</v>
      </c>
      <c r="L156" s="4" t="inlineStr">
        <is>
          <t>INR</t>
        </is>
      </c>
      <c r="M156" s="15" t="n">
        <v>-12976.19</v>
      </c>
      <c r="N156" s="4" t="inlineStr">
        <is>
          <t>IOS Owner</t>
        </is>
      </c>
      <c r="O156" s="4" t="n">
        <v>3</v>
      </c>
      <c r="P156" s="4" t="inlineStr">
        <is>
          <t>SHARES</t>
        </is>
      </c>
      <c r="Q156" s="4" t="inlineStr">
        <is>
          <t>MAESTRO-IOS-GROUP-FAMILY_HOUSEHOLD-0155 | Bills | 12976.19</t>
        </is>
      </c>
      <c r="R156" s="4" t="inlineStr">
        <is>
          <t>iPhone</t>
        </is>
      </c>
      <c r="S156" s="4" t="inlineStr">
        <is>
          <t>B04</t>
        </is>
      </c>
      <c r="T156" s="4" t="inlineStr">
        <is>
          <t>BASELINE_1_500</t>
        </is>
      </c>
      <c r="U156" s="4" t="inlineStr">
        <is>
          <t>CREATED</t>
        </is>
      </c>
      <c r="V156" s="4" t="inlineStr">
        <is>
          <t>idem-20260902-ios-0155</t>
        </is>
      </c>
    </row>
    <row r="157" ht="30" customHeight="1">
      <c r="A157" s="4" t="n">
        <v>156</v>
      </c>
      <c r="B157" s="4" t="inlineStr">
        <is>
          <t>MTR-IOS-0156</t>
        </is>
      </c>
      <c r="C157" s="4" t="inlineStr">
        <is>
          <t>Business</t>
        </is>
      </c>
      <c r="D157" s="4" t="inlineStr">
        <is>
          <t>Business</t>
        </is>
      </c>
      <c r="E157" s="4" t="inlineStr">
        <is>
          <t>Business Runway</t>
        </is>
      </c>
      <c r="F157" s="4" t="inlineStr">
        <is>
          <t>Burn</t>
        </is>
      </c>
      <c r="G157" s="4" t="inlineStr">
        <is>
          <t>Expense</t>
        </is>
      </c>
      <c r="H157" s="12" t="n">
        <v>45935</v>
      </c>
      <c r="I157" s="13" t="n">
        <v>0.6804282407407407</v>
      </c>
      <c r="J157" s="14" t="n">
        <v>45935.68042824074</v>
      </c>
      <c r="K157" s="15" t="n">
        <v>93486.41</v>
      </c>
      <c r="L157" s="4" t="inlineStr">
        <is>
          <t>INR</t>
        </is>
      </c>
      <c r="M157" s="15" t="n">
        <v>-93486.41</v>
      </c>
      <c r="N157" s="4" t="inlineStr">
        <is>
          <t>IOS Owner</t>
        </is>
      </c>
      <c r="O157" s="4" t="n"/>
      <c r="P157" s="4" t="n"/>
      <c r="Q157" s="4" t="inlineStr">
        <is>
          <t>MAESTRO-IOS-BUSINESS-BUSINESS_RUNWAY-0156 | Burn | 93486.41</t>
        </is>
      </c>
      <c r="R157" s="4" t="inlineStr">
        <is>
          <t>iPhone</t>
        </is>
      </c>
      <c r="S157" s="4" t="inlineStr">
        <is>
          <t>B04</t>
        </is>
      </c>
      <c r="T157" s="4" t="inlineStr">
        <is>
          <t>BASELINE_1_500</t>
        </is>
      </c>
      <c r="U157" s="4" t="inlineStr">
        <is>
          <t>CREATED</t>
        </is>
      </c>
      <c r="V157" s="4" t="inlineStr">
        <is>
          <t>idem-20260902-ios-0156</t>
        </is>
      </c>
    </row>
    <row r="158" ht="30" customHeight="1">
      <c r="A158" s="4" t="n">
        <v>157</v>
      </c>
      <c r="B158" s="4" t="inlineStr">
        <is>
          <t>MTR-IOS-0157</t>
        </is>
      </c>
      <c r="C158" s="4" t="inlineStr">
        <is>
          <t>Personal</t>
        </is>
      </c>
      <c r="D158" s="4" t="inlineStr">
        <is>
          <t>Personal</t>
        </is>
      </c>
      <c r="E158" s="4" t="inlineStr">
        <is>
          <t>Life Operations</t>
        </is>
      </c>
      <c r="F158" s="4" t="inlineStr">
        <is>
          <t>Repairs</t>
        </is>
      </c>
      <c r="G158" s="4" t="inlineStr">
        <is>
          <t>Expense</t>
        </is>
      </c>
      <c r="H158" s="12" t="n">
        <v>45929</v>
      </c>
      <c r="I158" s="13" t="n">
        <v>0.3380324074074074</v>
      </c>
      <c r="J158" s="14" t="n">
        <v>45929.33803240741</v>
      </c>
      <c r="K158" s="15" t="n">
        <v>10719.83</v>
      </c>
      <c r="L158" s="4" t="inlineStr">
        <is>
          <t>INR</t>
        </is>
      </c>
      <c r="M158" s="15" t="n">
        <v>-10719.83</v>
      </c>
      <c r="N158" s="4" t="inlineStr">
        <is>
          <t>IOS Owner</t>
        </is>
      </c>
      <c r="O158" s="4" t="n"/>
      <c r="P158" s="4" t="n"/>
      <c r="Q158" s="4" t="inlineStr">
        <is>
          <t>MAESTRO-IOS-PERSONAL-LIFE_OPERATIONS-0157 | Repairs | 10719.83</t>
        </is>
      </c>
      <c r="R158" s="4" t="inlineStr">
        <is>
          <t>iPhone</t>
        </is>
      </c>
      <c r="S158" s="4" t="inlineStr">
        <is>
          <t>B04</t>
        </is>
      </c>
      <c r="T158" s="4" t="inlineStr">
        <is>
          <t>BASELINE_1_500</t>
        </is>
      </c>
      <c r="U158" s="4" t="inlineStr">
        <is>
          <t>CREATED</t>
        </is>
      </c>
      <c r="V158" s="4" t="inlineStr">
        <is>
          <t>idem-20260902-ios-0157</t>
        </is>
      </c>
    </row>
    <row r="159" ht="30" customHeight="1">
      <c r="A159" s="4" t="n">
        <v>158</v>
      </c>
      <c r="B159" s="4" t="inlineStr">
        <is>
          <t>MTR-IOS-0158</t>
        </is>
      </c>
      <c r="C159" s="4" t="inlineStr">
        <is>
          <t>Group</t>
        </is>
      </c>
      <c r="D159" s="4" t="inlineStr">
        <is>
          <t>Shared Living</t>
        </is>
      </c>
      <c r="E159" s="4" t="inlineStr">
        <is>
          <t>Family Household</t>
        </is>
      </c>
      <c r="F159" s="4" t="inlineStr">
        <is>
          <t>School</t>
        </is>
      </c>
      <c r="G159" s="4" t="inlineStr">
        <is>
          <t>Expense</t>
        </is>
      </c>
      <c r="H159" s="12" t="n">
        <v>46151</v>
      </c>
      <c r="I159" s="13" t="n">
        <v>0.6928935185185185</v>
      </c>
      <c r="J159" s="14" t="n">
        <v>46151.69289351852</v>
      </c>
      <c r="K159" s="15" t="n">
        <v>26260.83</v>
      </c>
      <c r="L159" s="4" t="inlineStr">
        <is>
          <t>INR</t>
        </is>
      </c>
      <c r="M159" s="15" t="n">
        <v>-26260.83</v>
      </c>
      <c r="N159" s="4" t="inlineStr">
        <is>
          <t>IOS Aarav</t>
        </is>
      </c>
      <c r="O159" s="4" t="n">
        <v>3</v>
      </c>
      <c r="P159" s="4" t="inlineStr">
        <is>
          <t>EQUAL</t>
        </is>
      </c>
      <c r="Q159" s="4" t="inlineStr">
        <is>
          <t>MAESTRO-IOS-GROUP-FAMILY_HOUSEHOLD-0158 | School | 26260.83</t>
        </is>
      </c>
      <c r="R159" s="4" t="inlineStr">
        <is>
          <t>iPhone</t>
        </is>
      </c>
      <c r="S159" s="4" t="inlineStr">
        <is>
          <t>B04</t>
        </is>
      </c>
      <c r="T159" s="4" t="inlineStr">
        <is>
          <t>BASELINE_1_500</t>
        </is>
      </c>
      <c r="U159" s="4" t="inlineStr">
        <is>
          <t>CREATED</t>
        </is>
      </c>
      <c r="V159" s="4" t="inlineStr">
        <is>
          <t>idem-20260902-ios-0158</t>
        </is>
      </c>
    </row>
    <row r="160" ht="30" customHeight="1">
      <c r="A160" s="4" t="n">
        <v>159</v>
      </c>
      <c r="B160" s="4" t="inlineStr">
        <is>
          <t>MTR-IOS-0159</t>
        </is>
      </c>
      <c r="C160" s="4" t="inlineStr">
        <is>
          <t>Business</t>
        </is>
      </c>
      <c r="D160" s="4" t="inlineStr">
        <is>
          <t>Business</t>
        </is>
      </c>
      <c r="E160" s="4" t="inlineStr">
        <is>
          <t>Business Runway</t>
        </is>
      </c>
      <c r="F160" s="4" t="inlineStr">
        <is>
          <t>Reserve</t>
        </is>
      </c>
      <c r="G160" s="4" t="inlineStr">
        <is>
          <t>Transfer</t>
        </is>
      </c>
      <c r="H160" s="12" t="n">
        <v>46006</v>
      </c>
      <c r="I160" s="13" t="n">
        <v>0.5651273148148148</v>
      </c>
      <c r="J160" s="14" t="n">
        <v>46006.56512731482</v>
      </c>
      <c r="K160" s="15" t="n">
        <v>58015.12</v>
      </c>
      <c r="L160" s="4" t="inlineStr">
        <is>
          <t>INR</t>
        </is>
      </c>
      <c r="M160" s="15" t="n">
        <v>0</v>
      </c>
      <c r="N160" s="4" t="inlineStr">
        <is>
          <t>IOS Owner</t>
        </is>
      </c>
      <c r="O160" s="4" t="n"/>
      <c r="P160" s="4" t="n"/>
      <c r="Q160" s="4" t="inlineStr">
        <is>
          <t>MAESTRO-IOS-BUSINESS-BUSINESS_RUNWAY-0159 | Reserve | 58015.12</t>
        </is>
      </c>
      <c r="R160" s="4" t="inlineStr">
        <is>
          <t>iPhone</t>
        </is>
      </c>
      <c r="S160" s="4" t="inlineStr">
        <is>
          <t>B04</t>
        </is>
      </c>
      <c r="T160" s="4" t="inlineStr">
        <is>
          <t>BASELINE_1_500</t>
        </is>
      </c>
      <c r="U160" s="4" t="inlineStr">
        <is>
          <t>CREATED</t>
        </is>
      </c>
      <c r="V160" s="4" t="inlineStr">
        <is>
          <t>idem-20260902-ios-0159</t>
        </is>
      </c>
    </row>
    <row r="161" ht="30" customHeight="1">
      <c r="A161" s="4" t="n">
        <v>160</v>
      </c>
      <c r="B161" s="4" t="inlineStr">
        <is>
          <t>MTR-IOS-0160</t>
        </is>
      </c>
      <c r="C161" s="4" t="inlineStr">
        <is>
          <t>Personal</t>
        </is>
      </c>
      <c r="D161" s="4" t="inlineStr">
        <is>
          <t>Personal</t>
        </is>
      </c>
      <c r="E161" s="4" t="inlineStr">
        <is>
          <t>Future Building</t>
        </is>
      </c>
      <c r="F161" s="4" t="inlineStr">
        <is>
          <t>Savings</t>
        </is>
      </c>
      <c r="G161" s="4" t="inlineStr">
        <is>
          <t>Transfer</t>
        </is>
      </c>
      <c r="H161" s="12" t="n">
        <v>46081</v>
      </c>
      <c r="I161" s="13" t="n">
        <v>0.8147222222222222</v>
      </c>
      <c r="J161" s="14" t="n">
        <v>46081.81472222223</v>
      </c>
      <c r="K161" s="15" t="n">
        <v>10202.14</v>
      </c>
      <c r="L161" s="4" t="inlineStr">
        <is>
          <t>INR</t>
        </is>
      </c>
      <c r="M161" s="15" t="n">
        <v>0</v>
      </c>
      <c r="N161" s="4" t="inlineStr">
        <is>
          <t>IOS Owner</t>
        </is>
      </c>
      <c r="O161" s="4" t="n"/>
      <c r="P161" s="4" t="n"/>
      <c r="Q161" s="4" t="inlineStr">
        <is>
          <t>MAESTRO-IOS-PERSONAL-FUTURE_BUILDING-0160 | Savings | 10202.14</t>
        </is>
      </c>
      <c r="R161" s="4" t="inlineStr">
        <is>
          <t>iPhone</t>
        </is>
      </c>
      <c r="S161" s="4" t="inlineStr">
        <is>
          <t>B04</t>
        </is>
      </c>
      <c r="T161" s="4" t="inlineStr">
        <is>
          <t>BASELINE_1_500</t>
        </is>
      </c>
      <c r="U161" s="4" t="inlineStr">
        <is>
          <t>CREATED</t>
        </is>
      </c>
      <c r="V161" s="4" t="inlineStr">
        <is>
          <t>idem-20260902-ios-0160</t>
        </is>
      </c>
    </row>
    <row r="162" ht="30" customHeight="1">
      <c r="A162" s="4" t="n">
        <v>161</v>
      </c>
      <c r="B162" s="4" t="inlineStr">
        <is>
          <t>MTR-IOS-0161</t>
        </is>
      </c>
      <c r="C162" s="4" t="inlineStr">
        <is>
          <t>Group</t>
        </is>
      </c>
      <c r="D162" s="4" t="inlineStr">
        <is>
          <t>Shared Living</t>
        </is>
      </c>
      <c r="E162" s="4" t="inlineStr">
        <is>
          <t>Family Household</t>
        </is>
      </c>
      <c r="F162" s="4" t="inlineStr">
        <is>
          <t>Healthcare</t>
        </is>
      </c>
      <c r="G162" s="4" t="inlineStr">
        <is>
          <t>Expense</t>
        </is>
      </c>
      <c r="H162" s="12" t="n">
        <v>46058</v>
      </c>
      <c r="I162" s="13" t="n">
        <v>0.3477893518518518</v>
      </c>
      <c r="J162" s="14" t="n">
        <v>46058.34778935185</v>
      </c>
      <c r="K162" s="15" t="n">
        <v>15494.7</v>
      </c>
      <c r="L162" s="4" t="inlineStr">
        <is>
          <t>INR</t>
        </is>
      </c>
      <c r="M162" s="15" t="n">
        <v>-15494.7</v>
      </c>
      <c r="N162" s="4" t="inlineStr">
        <is>
          <t>IOS Meera</t>
        </is>
      </c>
      <c r="O162" s="4" t="n">
        <v>3</v>
      </c>
      <c r="P162" s="4" t="inlineStr">
        <is>
          <t>PERCENTAGE</t>
        </is>
      </c>
      <c r="Q162" s="4" t="inlineStr">
        <is>
          <t>MAESTRO-IOS-GROUP-FAMILY_HOUSEHOLD-0161 | Healthcare | 15494.70</t>
        </is>
      </c>
      <c r="R162" s="4" t="inlineStr">
        <is>
          <t>iPhone</t>
        </is>
      </c>
      <c r="S162" s="4" t="inlineStr">
        <is>
          <t>B04</t>
        </is>
      </c>
      <c r="T162" s="4" t="inlineStr">
        <is>
          <t>BASELINE_1_500</t>
        </is>
      </c>
      <c r="U162" s="4" t="inlineStr">
        <is>
          <t>CREATED</t>
        </is>
      </c>
      <c r="V162" s="4" t="inlineStr">
        <is>
          <t>idem-20260902-ios-0161</t>
        </is>
      </c>
    </row>
    <row r="163" ht="30" customHeight="1">
      <c r="A163" s="4" t="n">
        <v>162</v>
      </c>
      <c r="B163" s="4" t="inlineStr">
        <is>
          <t>MTR-IOS-0162</t>
        </is>
      </c>
      <c r="C163" s="4" t="inlineStr">
        <is>
          <t>Business</t>
        </is>
      </c>
      <c r="D163" s="4" t="inlineStr">
        <is>
          <t>Business</t>
        </is>
      </c>
      <c r="E163" s="4" t="inlineStr">
        <is>
          <t>Business Runway</t>
        </is>
      </c>
      <c r="F163" s="4" t="inlineStr">
        <is>
          <t>Loan</t>
        </is>
      </c>
      <c r="G163" s="4" t="inlineStr">
        <is>
          <t>Income</t>
        </is>
      </c>
      <c r="H163" s="12" t="n">
        <v>45932</v>
      </c>
      <c r="I163" s="13" t="n">
        <v>0.2779861111111111</v>
      </c>
      <c r="J163" s="14" t="n">
        <v>45932.27798611111</v>
      </c>
      <c r="K163" s="15" t="n">
        <v>101981.99</v>
      </c>
      <c r="L163" s="4" t="inlineStr">
        <is>
          <t>INR</t>
        </is>
      </c>
      <c r="M163" s="15" t="n">
        <v>101981.99</v>
      </c>
      <c r="N163" s="4" t="inlineStr">
        <is>
          <t>IOS Owner</t>
        </is>
      </c>
      <c r="O163" s="4" t="n"/>
      <c r="P163" s="4" t="n"/>
      <c r="Q163" s="4" t="inlineStr">
        <is>
          <t>MAESTRO-IOS-BUSINESS-BUSINESS_RUNWAY-0162 | Loan | 101981.99</t>
        </is>
      </c>
      <c r="R163" s="4" t="inlineStr">
        <is>
          <t>iPhone</t>
        </is>
      </c>
      <c r="S163" s="4" t="inlineStr">
        <is>
          <t>B04</t>
        </is>
      </c>
      <c r="T163" s="4" t="inlineStr">
        <is>
          <t>BASELINE_1_500</t>
        </is>
      </c>
      <c r="U163" s="4" t="inlineStr">
        <is>
          <t>CREATED</t>
        </is>
      </c>
      <c r="V163" s="4" t="inlineStr">
        <is>
          <t>idem-20260902-ios-0162</t>
        </is>
      </c>
    </row>
    <row r="164" ht="30" customHeight="1">
      <c r="A164" s="4" t="n">
        <v>163</v>
      </c>
      <c r="B164" s="4" t="inlineStr">
        <is>
          <t>MTR-IOS-0163</t>
        </is>
      </c>
      <c r="C164" s="4" t="inlineStr">
        <is>
          <t>Personal</t>
        </is>
      </c>
      <c r="D164" s="4" t="inlineStr">
        <is>
          <t>Personal</t>
        </is>
      </c>
      <c r="E164" s="4" t="inlineStr">
        <is>
          <t>Future Building</t>
        </is>
      </c>
      <c r="F164" s="4" t="inlineStr">
        <is>
          <t>Emergency Fund</t>
        </is>
      </c>
      <c r="G164" s="4" t="inlineStr">
        <is>
          <t>Transfer</t>
        </is>
      </c>
      <c r="H164" s="12" t="n">
        <v>46006</v>
      </c>
      <c r="I164" s="13" t="n">
        <v>0.9801041666666667</v>
      </c>
      <c r="J164" s="14" t="n">
        <v>46006.98010416667</v>
      </c>
      <c r="K164" s="15" t="n">
        <v>4396.48</v>
      </c>
      <c r="L164" s="4" t="inlineStr">
        <is>
          <t>INR</t>
        </is>
      </c>
      <c r="M164" s="15" t="n">
        <v>0</v>
      </c>
      <c r="N164" s="4" t="inlineStr">
        <is>
          <t>IOS Owner</t>
        </is>
      </c>
      <c r="O164" s="4" t="n"/>
      <c r="P164" s="4" t="n"/>
      <c r="Q164" s="4" t="inlineStr">
        <is>
          <t>MAESTRO-IOS-PERSONAL-FUTURE_BUILDING-0163 | Emergency Fund | 4396.48</t>
        </is>
      </c>
      <c r="R164" s="4" t="inlineStr">
        <is>
          <t>iPhone</t>
        </is>
      </c>
      <c r="S164" s="4" t="inlineStr">
        <is>
          <t>B04</t>
        </is>
      </c>
      <c r="T164" s="4" t="inlineStr">
        <is>
          <t>BASELINE_1_500</t>
        </is>
      </c>
      <c r="U164" s="4" t="inlineStr">
        <is>
          <t>CREATED</t>
        </is>
      </c>
      <c r="V164" s="4" t="inlineStr">
        <is>
          <t>idem-20260902-ios-0163</t>
        </is>
      </c>
    </row>
    <row r="165" ht="30" customHeight="1">
      <c r="A165" s="4" t="n">
        <v>164</v>
      </c>
      <c r="B165" s="4" t="inlineStr">
        <is>
          <t>MTR-IOS-0164</t>
        </is>
      </c>
      <c r="C165" s="4" t="inlineStr">
        <is>
          <t>Group</t>
        </is>
      </c>
      <c r="D165" s="4" t="inlineStr">
        <is>
          <t>Shared Living</t>
        </is>
      </c>
      <c r="E165" s="4" t="inlineStr">
        <is>
          <t>Family Household</t>
        </is>
      </c>
      <c r="F165" s="4" t="inlineStr">
        <is>
          <t>Home</t>
        </is>
      </c>
      <c r="G165" s="4" t="inlineStr">
        <is>
          <t>Expense</t>
        </is>
      </c>
      <c r="H165" s="12" t="n">
        <v>46107</v>
      </c>
      <c r="I165" s="13" t="n">
        <v>0.4653935185185185</v>
      </c>
      <c r="J165" s="14" t="n">
        <v>46107.46539351852</v>
      </c>
      <c r="K165" s="15" t="n">
        <v>7216.51</v>
      </c>
      <c r="L165" s="4" t="inlineStr">
        <is>
          <t>INR</t>
        </is>
      </c>
      <c r="M165" s="15" t="n">
        <v>-7216.51</v>
      </c>
      <c r="N165" s="4" t="inlineStr">
        <is>
          <t>IOS Owner</t>
        </is>
      </c>
      <c r="O165" s="4" t="n">
        <v>3</v>
      </c>
      <c r="P165" s="4" t="inlineStr">
        <is>
          <t>EXACT</t>
        </is>
      </c>
      <c r="Q165" s="4" t="inlineStr">
        <is>
          <t>MAESTRO-IOS-GROUP-FAMILY_HOUSEHOLD-0164 | Home | 7216.51</t>
        </is>
      </c>
      <c r="R165" s="4" t="inlineStr">
        <is>
          <t>iPhone</t>
        </is>
      </c>
      <c r="S165" s="4" t="inlineStr">
        <is>
          <t>B04</t>
        </is>
      </c>
      <c r="T165" s="4" t="inlineStr">
        <is>
          <t>BASELINE_1_500</t>
        </is>
      </c>
      <c r="U165" s="4" t="inlineStr">
        <is>
          <t>CREATED</t>
        </is>
      </c>
      <c r="V165" s="4" t="inlineStr">
        <is>
          <t>idem-20260902-ios-0164</t>
        </is>
      </c>
    </row>
    <row r="166" ht="30" customHeight="1">
      <c r="A166" s="4" t="n">
        <v>165</v>
      </c>
      <c r="B166" s="4" t="inlineStr">
        <is>
          <t>MTR-IOS-0165</t>
        </is>
      </c>
      <c r="C166" s="4" t="inlineStr">
        <is>
          <t>Business</t>
        </is>
      </c>
      <c r="D166" s="4" t="inlineStr">
        <is>
          <t>Business</t>
        </is>
      </c>
      <c r="E166" s="4" t="inlineStr">
        <is>
          <t>Business Runway</t>
        </is>
      </c>
      <c r="F166" s="4" t="inlineStr">
        <is>
          <t>Investment</t>
        </is>
      </c>
      <c r="G166" s="4" t="inlineStr">
        <is>
          <t>Income</t>
        </is>
      </c>
      <c r="H166" s="12" t="n">
        <v>46129</v>
      </c>
      <c r="I166" s="13" t="n">
        <v>0.2709837962962963</v>
      </c>
      <c r="J166" s="14" t="n">
        <v>46129.2709837963</v>
      </c>
      <c r="K166" s="15" t="n">
        <v>97120.67999999999</v>
      </c>
      <c r="L166" s="4" t="inlineStr">
        <is>
          <t>INR</t>
        </is>
      </c>
      <c r="M166" s="15" t="n">
        <v>97120.67999999999</v>
      </c>
      <c r="N166" s="4" t="inlineStr">
        <is>
          <t>IOS Owner</t>
        </is>
      </c>
      <c r="O166" s="4" t="n"/>
      <c r="P166" s="4" t="n"/>
      <c r="Q166" s="4" t="inlineStr">
        <is>
          <t>MAESTRO-IOS-BUSINESS-BUSINESS_RUNWAY-0165 | Investment | 97120.68</t>
        </is>
      </c>
      <c r="R166" s="4" t="inlineStr">
        <is>
          <t>iPhone</t>
        </is>
      </c>
      <c r="S166" s="4" t="inlineStr">
        <is>
          <t>B04</t>
        </is>
      </c>
      <c r="T166" s="4" t="inlineStr">
        <is>
          <t>BASELINE_1_500</t>
        </is>
      </c>
      <c r="U166" s="4" t="inlineStr">
        <is>
          <t>CREATED</t>
        </is>
      </c>
      <c r="V166" s="4" t="inlineStr">
        <is>
          <t>idem-20260902-ios-0165</t>
        </is>
      </c>
    </row>
    <row r="167" ht="30" customHeight="1">
      <c r="A167" s="4" t="n">
        <v>166</v>
      </c>
      <c r="B167" s="4" t="inlineStr">
        <is>
          <t>MTR-IOS-0166</t>
        </is>
      </c>
      <c r="C167" s="4" t="inlineStr">
        <is>
          <t>Personal</t>
        </is>
      </c>
      <c r="D167" s="4" t="inlineStr">
        <is>
          <t>Personal</t>
        </is>
      </c>
      <c r="E167" s="4" t="inlineStr">
        <is>
          <t>Future Building</t>
        </is>
      </c>
      <c r="F167" s="4" t="inlineStr">
        <is>
          <t>Investments</t>
        </is>
      </c>
      <c r="G167" s="4" t="inlineStr">
        <is>
          <t>Investment</t>
        </is>
      </c>
      <c r="H167" s="12" t="n">
        <v>45906</v>
      </c>
      <c r="I167" s="13" t="n">
        <v>0.7630092592592592</v>
      </c>
      <c r="J167" s="14" t="n">
        <v>45906.76300925926</v>
      </c>
      <c r="K167" s="15" t="n">
        <v>2055.08</v>
      </c>
      <c r="L167" s="4" t="inlineStr">
        <is>
          <t>INR</t>
        </is>
      </c>
      <c r="M167" s="15" t="n">
        <v>0</v>
      </c>
      <c r="N167" s="4" t="inlineStr">
        <is>
          <t>IOS Owner</t>
        </is>
      </c>
      <c r="O167" s="4" t="n"/>
      <c r="P167" s="4" t="n"/>
      <c r="Q167" s="4" t="inlineStr">
        <is>
          <t>MAESTRO-IOS-PERSONAL-FUTURE_BUILDING-0166 | Investments | 2055.08</t>
        </is>
      </c>
      <c r="R167" s="4" t="inlineStr">
        <is>
          <t>iPhone</t>
        </is>
      </c>
      <c r="S167" s="4" t="inlineStr">
        <is>
          <t>B04</t>
        </is>
      </c>
      <c r="T167" s="4" t="inlineStr">
        <is>
          <t>BASELINE_1_500</t>
        </is>
      </c>
      <c r="U167" s="4" t="inlineStr">
        <is>
          <t>CREATED</t>
        </is>
      </c>
      <c r="V167" s="4" t="inlineStr">
        <is>
          <t>idem-20260902-ios-0166</t>
        </is>
      </c>
    </row>
    <row r="168" ht="30" customHeight="1">
      <c r="A168" s="4" t="n">
        <v>167</v>
      </c>
      <c r="B168" s="4" t="inlineStr">
        <is>
          <t>MTR-IOS-0167</t>
        </is>
      </c>
      <c r="C168" s="4" t="inlineStr">
        <is>
          <t>Group</t>
        </is>
      </c>
      <c r="D168" s="4" t="inlineStr">
        <is>
          <t>Shared Living</t>
        </is>
      </c>
      <c r="E168" s="4" t="inlineStr">
        <is>
          <t>Family Household</t>
        </is>
      </c>
      <c r="F168" s="4" t="inlineStr">
        <is>
          <t>Other</t>
        </is>
      </c>
      <c r="G168" s="4" t="inlineStr">
        <is>
          <t>Expense</t>
        </is>
      </c>
      <c r="H168" s="12" t="n">
        <v>46236</v>
      </c>
      <c r="I168" s="13" t="n">
        <v>0.6042476851851852</v>
      </c>
      <c r="J168" s="14" t="n">
        <v>46236.60424768519</v>
      </c>
      <c r="K168" s="15" t="n">
        <v>5909.24</v>
      </c>
      <c r="L168" s="4" t="inlineStr">
        <is>
          <t>INR</t>
        </is>
      </c>
      <c r="M168" s="15" t="n">
        <v>-5909.24</v>
      </c>
      <c r="N168" s="4" t="inlineStr">
        <is>
          <t>IOS Aarav</t>
        </is>
      </c>
      <c r="O168" s="4" t="n">
        <v>3</v>
      </c>
      <c r="P168" s="4" t="inlineStr">
        <is>
          <t>SHARES</t>
        </is>
      </c>
      <c r="Q168" s="4" t="inlineStr">
        <is>
          <t>MAESTRO-IOS-GROUP-FAMILY_HOUSEHOLD-0167 | Other | 5909.24</t>
        </is>
      </c>
      <c r="R168" s="4" t="inlineStr">
        <is>
          <t>iPhone</t>
        </is>
      </c>
      <c r="S168" s="4" t="inlineStr">
        <is>
          <t>B04</t>
        </is>
      </c>
      <c r="T168" s="4" t="inlineStr">
        <is>
          <t>BASELINE_1_500</t>
        </is>
      </c>
      <c r="U168" s="4" t="inlineStr">
        <is>
          <t>CREATED</t>
        </is>
      </c>
      <c r="V168" s="4" t="inlineStr">
        <is>
          <t>idem-20260902-ios-0167</t>
        </is>
      </c>
    </row>
    <row r="169" ht="30" customHeight="1">
      <c r="A169" s="4" t="n">
        <v>168</v>
      </c>
      <c r="B169" s="4" t="inlineStr">
        <is>
          <t>MTR-IOS-0168</t>
        </is>
      </c>
      <c r="C169" s="4" t="inlineStr">
        <is>
          <t>Business</t>
        </is>
      </c>
      <c r="D169" s="4" t="inlineStr">
        <is>
          <t>Business</t>
        </is>
      </c>
      <c r="E169" s="4" t="inlineStr">
        <is>
          <t>Business Operations</t>
        </is>
      </c>
      <c r="F169" s="4" t="inlineStr">
        <is>
          <t>Software</t>
        </is>
      </c>
      <c r="G169" s="4" t="inlineStr">
        <is>
          <t>Expense</t>
        </is>
      </c>
      <c r="H169" s="12" t="n">
        <v>46265</v>
      </c>
      <c r="I169" s="13" t="n">
        <v>0.7711805555555555</v>
      </c>
      <c r="J169" s="14" t="n">
        <v>46265.77118055556</v>
      </c>
      <c r="K169" s="15" t="n">
        <v>67031.19</v>
      </c>
      <c r="L169" s="4" t="inlineStr">
        <is>
          <t>INR</t>
        </is>
      </c>
      <c r="M169" s="15" t="n">
        <v>-67031.19</v>
      </c>
      <c r="N169" s="4" t="inlineStr">
        <is>
          <t>IOS Owner</t>
        </is>
      </c>
      <c r="O169" s="4" t="n"/>
      <c r="P169" s="4" t="n"/>
      <c r="Q169" s="4" t="inlineStr">
        <is>
          <t>MAESTRO-IOS-BUSINESS-BUSINESS_OPERATIONS-0168 | Software | 67031.19</t>
        </is>
      </c>
      <c r="R169" s="4" t="inlineStr">
        <is>
          <t>iPhone</t>
        </is>
      </c>
      <c r="S169" s="4" t="inlineStr">
        <is>
          <t>B04</t>
        </is>
      </c>
      <c r="T169" s="4" t="inlineStr">
        <is>
          <t>BASELINE_1_500</t>
        </is>
      </c>
      <c r="U169" s="4" t="inlineStr">
        <is>
          <t>CREATED</t>
        </is>
      </c>
      <c r="V169" s="4" t="inlineStr">
        <is>
          <t>idem-20260902-ios-0168</t>
        </is>
      </c>
    </row>
    <row r="170" ht="30" customHeight="1">
      <c r="A170" s="4" t="n">
        <v>169</v>
      </c>
      <c r="B170" s="4" t="inlineStr">
        <is>
          <t>MTR-IOS-0169</t>
        </is>
      </c>
      <c r="C170" s="4" t="inlineStr">
        <is>
          <t>Personal</t>
        </is>
      </c>
      <c r="D170" s="4" t="inlineStr">
        <is>
          <t>Personal</t>
        </is>
      </c>
      <c r="E170" s="4" t="inlineStr">
        <is>
          <t>Future Building</t>
        </is>
      </c>
      <c r="F170" s="4" t="inlineStr">
        <is>
          <t>Education</t>
        </is>
      </c>
      <c r="G170" s="4" t="inlineStr">
        <is>
          <t>Expense</t>
        </is>
      </c>
      <c r="H170" s="12" t="n">
        <v>46205</v>
      </c>
      <c r="I170" s="13" t="n">
        <v>0.8845138888888889</v>
      </c>
      <c r="J170" s="14" t="n">
        <v>46205.88451388889</v>
      </c>
      <c r="K170" s="15" t="n">
        <v>16850.8</v>
      </c>
      <c r="L170" s="4" t="inlineStr">
        <is>
          <t>INR</t>
        </is>
      </c>
      <c r="M170" s="15" t="n">
        <v>-16850.8</v>
      </c>
      <c r="N170" s="4" t="inlineStr">
        <is>
          <t>IOS Owner</t>
        </is>
      </c>
      <c r="O170" s="4" t="n"/>
      <c r="P170" s="4" t="n"/>
      <c r="Q170" s="4" t="inlineStr">
        <is>
          <t>MAESTRO-IOS-PERSONAL-FUTURE_BUILDING-0169 | Education | 16850.80</t>
        </is>
      </c>
      <c r="R170" s="4" t="inlineStr">
        <is>
          <t>iPhone</t>
        </is>
      </c>
      <c r="S170" s="4" t="inlineStr">
        <is>
          <t>B04</t>
        </is>
      </c>
      <c r="T170" s="4" t="inlineStr">
        <is>
          <t>BASELINE_1_500</t>
        </is>
      </c>
      <c r="U170" s="4" t="inlineStr">
        <is>
          <t>CREATED</t>
        </is>
      </c>
      <c r="V170" s="4" t="inlineStr">
        <is>
          <t>idem-20260902-ios-0169</t>
        </is>
      </c>
    </row>
    <row r="171" ht="30" customHeight="1">
      <c r="A171" s="4" t="n">
        <v>170</v>
      </c>
      <c r="B171" s="4" t="inlineStr">
        <is>
          <t>MTR-IOS-0170</t>
        </is>
      </c>
      <c r="C171" s="4" t="inlineStr">
        <is>
          <t>Group</t>
        </is>
      </c>
      <c r="D171" s="4" t="inlineStr">
        <is>
          <t>Shared Living</t>
        </is>
      </c>
      <c r="E171" s="4" t="inlineStr">
        <is>
          <t>Custom Living</t>
        </is>
      </c>
      <c r="F171" s="4" t="inlineStr">
        <is>
          <t>Custom Expense</t>
        </is>
      </c>
      <c r="G171" s="4" t="inlineStr">
        <is>
          <t>Expense</t>
        </is>
      </c>
      <c r="H171" s="12" t="n">
        <v>45932</v>
      </c>
      <c r="I171" s="13" t="n">
        <v>0.373275462962963</v>
      </c>
      <c r="J171" s="14" t="n">
        <v>45932.37327546296</v>
      </c>
      <c r="K171" s="15" t="n">
        <v>6518.51</v>
      </c>
      <c r="L171" s="4" t="inlineStr">
        <is>
          <t>INR</t>
        </is>
      </c>
      <c r="M171" s="15" t="n">
        <v>-6518.51</v>
      </c>
      <c r="N171" s="4" t="inlineStr">
        <is>
          <t>IOS Meera</t>
        </is>
      </c>
      <c r="O171" s="4" t="n">
        <v>3</v>
      </c>
      <c r="P171" s="4" t="inlineStr">
        <is>
          <t>EQUAL</t>
        </is>
      </c>
      <c r="Q171" s="4" t="inlineStr">
        <is>
          <t>MAESTRO-IOS-GROUP-CUSTOM_LIVING-0170 | Custom Expense | 6518.51</t>
        </is>
      </c>
      <c r="R171" s="4" t="inlineStr">
        <is>
          <t>iPhone</t>
        </is>
      </c>
      <c r="S171" s="4" t="inlineStr">
        <is>
          <t>B04</t>
        </is>
      </c>
      <c r="T171" s="4" t="inlineStr">
        <is>
          <t>BASELINE_1_500</t>
        </is>
      </c>
      <c r="U171" s="4" t="inlineStr">
        <is>
          <t>CREATED</t>
        </is>
      </c>
      <c r="V171" s="4" t="inlineStr">
        <is>
          <t>idem-20260902-ios-0170</t>
        </is>
      </c>
    </row>
    <row r="172" ht="30" customHeight="1">
      <c r="A172" s="4" t="n">
        <v>171</v>
      </c>
      <c r="B172" s="4" t="inlineStr">
        <is>
          <t>MTR-IOS-0171</t>
        </is>
      </c>
      <c r="C172" s="4" t="inlineStr">
        <is>
          <t>Business</t>
        </is>
      </c>
      <c r="D172" s="4" t="inlineStr">
        <is>
          <t>Business</t>
        </is>
      </c>
      <c r="E172" s="4" t="inlineStr">
        <is>
          <t>Business Operations</t>
        </is>
      </c>
      <c r="F172" s="4" t="inlineStr">
        <is>
          <t>Rent</t>
        </is>
      </c>
      <c r="G172" s="4" t="inlineStr">
        <is>
          <t>Expense</t>
        </is>
      </c>
      <c r="H172" s="12" t="n">
        <v>46250</v>
      </c>
      <c r="I172" s="13" t="n">
        <v>0.8137615740740741</v>
      </c>
      <c r="J172" s="14" t="n">
        <v>46250.81376157407</v>
      </c>
      <c r="K172" s="15" t="n">
        <v>135639.59</v>
      </c>
      <c r="L172" s="4" t="inlineStr">
        <is>
          <t>INR</t>
        </is>
      </c>
      <c r="M172" s="15" t="n">
        <v>-135639.59</v>
      </c>
      <c r="N172" s="4" t="inlineStr">
        <is>
          <t>IOS Owner</t>
        </is>
      </c>
      <c r="O172" s="4" t="n"/>
      <c r="P172" s="4" t="n"/>
      <c r="Q172" s="4" t="inlineStr">
        <is>
          <t>MAESTRO-IOS-BUSINESS-BUSINESS_OPERATIONS-0171 | Rent | 135639.59</t>
        </is>
      </c>
      <c r="R172" s="4" t="inlineStr">
        <is>
          <t>iPhone</t>
        </is>
      </c>
      <c r="S172" s="4" t="inlineStr">
        <is>
          <t>B04</t>
        </is>
      </c>
      <c r="T172" s="4" t="inlineStr">
        <is>
          <t>BASELINE_1_500</t>
        </is>
      </c>
      <c r="U172" s="4" t="inlineStr">
        <is>
          <t>CREATED</t>
        </is>
      </c>
      <c r="V172" s="4" t="inlineStr">
        <is>
          <t>idem-20260902-ios-0171</t>
        </is>
      </c>
    </row>
    <row r="173" ht="30" customHeight="1">
      <c r="A173" s="4" t="n">
        <v>172</v>
      </c>
      <c r="B173" s="4" t="inlineStr">
        <is>
          <t>MTR-IOS-0172</t>
        </is>
      </c>
      <c r="C173" s="4" t="inlineStr">
        <is>
          <t>Personal</t>
        </is>
      </c>
      <c r="D173" s="4" t="inlineStr">
        <is>
          <t>Personal</t>
        </is>
      </c>
      <c r="E173" s="4" t="inlineStr">
        <is>
          <t>Future Building</t>
        </is>
      </c>
      <c r="F173" s="4" t="inlineStr">
        <is>
          <t>Goal Contribution</t>
        </is>
      </c>
      <c r="G173" s="4" t="inlineStr">
        <is>
          <t>Transfer</t>
        </is>
      </c>
      <c r="H173" s="12" t="n">
        <v>46265</v>
      </c>
      <c r="I173" s="13" t="n">
        <v>0.1931365740740741</v>
      </c>
      <c r="J173" s="14" t="n">
        <v>46265.19313657407</v>
      </c>
      <c r="K173" s="15" t="n">
        <v>15522.76</v>
      </c>
      <c r="L173" s="4" t="inlineStr">
        <is>
          <t>INR</t>
        </is>
      </c>
      <c r="M173" s="15" t="n">
        <v>0</v>
      </c>
      <c r="N173" s="4" t="inlineStr">
        <is>
          <t>IOS Owner</t>
        </is>
      </c>
      <c r="O173" s="4" t="n"/>
      <c r="P173" s="4" t="n"/>
      <c r="Q173" s="4" t="inlineStr">
        <is>
          <t>MAESTRO-IOS-PERSONAL-FUTURE_BUILDING-0172 | Goal Contribution | 15522.76</t>
        </is>
      </c>
      <c r="R173" s="4" t="inlineStr">
        <is>
          <t>iPhone</t>
        </is>
      </c>
      <c r="S173" s="4" t="inlineStr">
        <is>
          <t>B04</t>
        </is>
      </c>
      <c r="T173" s="4" t="inlineStr">
        <is>
          <t>BASELINE_1_500</t>
        </is>
      </c>
      <c r="U173" s="4" t="inlineStr">
        <is>
          <t>CREATED</t>
        </is>
      </c>
      <c r="V173" s="4" t="inlineStr">
        <is>
          <t>idem-20260902-ios-0172</t>
        </is>
      </c>
    </row>
    <row r="174" ht="30" customHeight="1">
      <c r="A174" s="4" t="n">
        <v>173</v>
      </c>
      <c r="B174" s="4" t="inlineStr">
        <is>
          <t>MTR-IOS-0173</t>
        </is>
      </c>
      <c r="C174" s="4" t="inlineStr">
        <is>
          <t>Group</t>
        </is>
      </c>
      <c r="D174" s="4" t="inlineStr">
        <is>
          <t>Shared Living</t>
        </is>
      </c>
      <c r="E174" s="4" t="inlineStr">
        <is>
          <t>Custom Living</t>
        </is>
      </c>
      <c r="F174" s="4" t="inlineStr">
        <is>
          <t>Custom Contribution</t>
        </is>
      </c>
      <c r="G174" s="4" t="inlineStr">
        <is>
          <t>Contribution</t>
        </is>
      </c>
      <c r="H174" s="12" t="n">
        <v>45946</v>
      </c>
      <c r="I174" s="13" t="n">
        <v>0.9849768518518518</v>
      </c>
      <c r="J174" s="14" t="n">
        <v>45946.98497685185</v>
      </c>
      <c r="K174" s="15" t="n">
        <v>11183.99</v>
      </c>
      <c r="L174" s="4" t="inlineStr">
        <is>
          <t>INR</t>
        </is>
      </c>
      <c r="M174" s="15" t="n">
        <v>11183.99</v>
      </c>
      <c r="N174" s="4" t="inlineStr">
        <is>
          <t>IOS Owner</t>
        </is>
      </c>
      <c r="O174" s="4" t="n">
        <v>3</v>
      </c>
      <c r="P174" s="4" t="inlineStr">
        <is>
          <t>PERCENTAGE</t>
        </is>
      </c>
      <c r="Q174" s="4" t="inlineStr">
        <is>
          <t>MAESTRO-IOS-GROUP-CUSTOM_LIVING-0173 | Custom Contribution | 11183.99</t>
        </is>
      </c>
      <c r="R174" s="4" t="inlineStr">
        <is>
          <t>iPhone</t>
        </is>
      </c>
      <c r="S174" s="4" t="inlineStr">
        <is>
          <t>B04</t>
        </is>
      </c>
      <c r="T174" s="4" t="inlineStr">
        <is>
          <t>BASELINE_1_500</t>
        </is>
      </c>
      <c r="U174" s="4" t="inlineStr">
        <is>
          <t>CREATED</t>
        </is>
      </c>
      <c r="V174" s="4" t="inlineStr">
        <is>
          <t>idem-20260902-ios-0173</t>
        </is>
      </c>
    </row>
    <row r="175" ht="30" customHeight="1">
      <c r="A175" s="4" t="n">
        <v>174</v>
      </c>
      <c r="B175" s="4" t="inlineStr">
        <is>
          <t>MTR-IOS-0174</t>
        </is>
      </c>
      <c r="C175" s="4" t="inlineStr">
        <is>
          <t>Business</t>
        </is>
      </c>
      <c r="D175" s="4" t="inlineStr">
        <is>
          <t>Business</t>
        </is>
      </c>
      <c r="E175" s="4" t="inlineStr">
        <is>
          <t>Business Operations</t>
        </is>
      </c>
      <c r="F175" s="4" t="inlineStr">
        <is>
          <t>Marketing</t>
        </is>
      </c>
      <c r="G175" s="4" t="inlineStr">
        <is>
          <t>Expense</t>
        </is>
      </c>
      <c r="H175" s="12" t="n">
        <v>46196</v>
      </c>
      <c r="I175" s="13" t="n">
        <v>0.3211805555555556</v>
      </c>
      <c r="J175" s="14" t="n">
        <v>46196.32118055555</v>
      </c>
      <c r="K175" s="15" t="n">
        <v>78643.25999999999</v>
      </c>
      <c r="L175" s="4" t="inlineStr">
        <is>
          <t>INR</t>
        </is>
      </c>
      <c r="M175" s="15" t="n">
        <v>-78643.25999999999</v>
      </c>
      <c r="N175" s="4" t="inlineStr">
        <is>
          <t>IOS Owner</t>
        </is>
      </c>
      <c r="O175" s="4" t="n"/>
      <c r="P175" s="4" t="n"/>
      <c r="Q175" s="4" t="inlineStr">
        <is>
          <t>MAESTRO-IOS-BUSINESS-BUSINESS_OPERATIONS-0174 | Marketing | 78643.26</t>
        </is>
      </c>
      <c r="R175" s="4" t="inlineStr">
        <is>
          <t>iPhone</t>
        </is>
      </c>
      <c r="S175" s="4" t="inlineStr">
        <is>
          <t>B04</t>
        </is>
      </c>
      <c r="T175" s="4" t="inlineStr">
        <is>
          <t>BASELINE_1_500</t>
        </is>
      </c>
      <c r="U175" s="4" t="inlineStr">
        <is>
          <t>CREATED</t>
        </is>
      </c>
      <c r="V175" s="4" t="inlineStr">
        <is>
          <t>idem-20260902-ios-0174</t>
        </is>
      </c>
    </row>
    <row r="176" ht="30" customHeight="1">
      <c r="A176" s="4" t="n">
        <v>175</v>
      </c>
      <c r="B176" s="4" t="inlineStr">
        <is>
          <t>MTR-IOS-0175</t>
        </is>
      </c>
      <c r="C176" s="4" t="inlineStr">
        <is>
          <t>Personal</t>
        </is>
      </c>
      <c r="D176" s="4" t="inlineStr">
        <is>
          <t>Personal</t>
        </is>
      </c>
      <c r="E176" s="4" t="inlineStr">
        <is>
          <t>Lifestyle</t>
        </is>
      </c>
      <c r="F176" s="4" t="inlineStr">
        <is>
          <t>Dining</t>
        </is>
      </c>
      <c r="G176" s="4" t="inlineStr">
        <is>
          <t>Expense</t>
        </is>
      </c>
      <c r="H176" s="12" t="n">
        <v>46092</v>
      </c>
      <c r="I176" s="13" t="n">
        <v>0.4633217592592593</v>
      </c>
      <c r="J176" s="14" t="n">
        <v>46092.46332175926</v>
      </c>
      <c r="K176" s="15" t="n">
        <v>7899.13</v>
      </c>
      <c r="L176" s="4" t="inlineStr">
        <is>
          <t>INR</t>
        </is>
      </c>
      <c r="M176" s="15" t="n">
        <v>-7899.13</v>
      </c>
      <c r="N176" s="4" t="inlineStr">
        <is>
          <t>IOS Owner</t>
        </is>
      </c>
      <c r="O176" s="4" t="n"/>
      <c r="P176" s="4" t="n"/>
      <c r="Q176" s="4" t="inlineStr">
        <is>
          <t>MAESTRO-IOS-PERSONAL-LIFESTYLE-0175 | Dining | 7899.13</t>
        </is>
      </c>
      <c r="R176" s="4" t="inlineStr">
        <is>
          <t>iPhone</t>
        </is>
      </c>
      <c r="S176" s="4" t="inlineStr">
        <is>
          <t>B04</t>
        </is>
      </c>
      <c r="T176" s="4" t="inlineStr">
        <is>
          <t>BASELINE_1_500</t>
        </is>
      </c>
      <c r="U176" s="4" t="inlineStr">
        <is>
          <t>CREATED</t>
        </is>
      </c>
      <c r="V176" s="4" t="inlineStr">
        <is>
          <t>idem-20260902-ios-0175</t>
        </is>
      </c>
    </row>
    <row r="177" ht="30" customHeight="1">
      <c r="A177" s="4" t="n">
        <v>176</v>
      </c>
      <c r="B177" s="4" t="inlineStr">
        <is>
          <t>MTR-IOS-0176</t>
        </is>
      </c>
      <c r="C177" s="4" t="inlineStr">
        <is>
          <t>Group</t>
        </is>
      </c>
      <c r="D177" s="4" t="inlineStr">
        <is>
          <t>Shared Experience</t>
        </is>
      </c>
      <c r="E177" s="4" t="inlineStr">
        <is>
          <t>Trip</t>
        </is>
      </c>
      <c r="F177" s="4" t="inlineStr">
        <is>
          <t>Travel</t>
        </is>
      </c>
      <c r="G177" s="4" t="inlineStr">
        <is>
          <t>Expense</t>
        </is>
      </c>
      <c r="H177" s="12" t="n">
        <v>46047</v>
      </c>
      <c r="I177" s="13" t="n">
        <v>0.495300925925926</v>
      </c>
      <c r="J177" s="14" t="n">
        <v>46047.49530092593</v>
      </c>
      <c r="K177" s="15" t="n">
        <v>2166.1</v>
      </c>
      <c r="L177" s="4" t="inlineStr">
        <is>
          <t>INR</t>
        </is>
      </c>
      <c r="M177" s="15" t="n">
        <v>-2166.1</v>
      </c>
      <c r="N177" s="4" t="inlineStr">
        <is>
          <t>IOS Aarav</t>
        </is>
      </c>
      <c r="O177" s="4" t="n">
        <v>3</v>
      </c>
      <c r="P177" s="4" t="inlineStr">
        <is>
          <t>EXACT</t>
        </is>
      </c>
      <c r="Q177" s="4" t="inlineStr">
        <is>
          <t>MAESTRO-IOS-GROUP-TRIP-0176 | Travel | 2166.10</t>
        </is>
      </c>
      <c r="R177" s="4" t="inlineStr">
        <is>
          <t>iPhone</t>
        </is>
      </c>
      <c r="S177" s="4" t="inlineStr">
        <is>
          <t>B04</t>
        </is>
      </c>
      <c r="T177" s="4" t="inlineStr">
        <is>
          <t>BASELINE_1_500</t>
        </is>
      </c>
      <c r="U177" s="4" t="inlineStr">
        <is>
          <t>CREATED</t>
        </is>
      </c>
      <c r="V177" s="4" t="inlineStr">
        <is>
          <t>idem-20260902-ios-0176</t>
        </is>
      </c>
    </row>
    <row r="178" ht="30" customHeight="1">
      <c r="A178" s="4" t="n">
        <v>177</v>
      </c>
      <c r="B178" s="4" t="inlineStr">
        <is>
          <t>MTR-IOS-0177</t>
        </is>
      </c>
      <c r="C178" s="4" t="inlineStr">
        <is>
          <t>Business</t>
        </is>
      </c>
      <c r="D178" s="4" t="inlineStr">
        <is>
          <t>Business</t>
        </is>
      </c>
      <c r="E178" s="4" t="inlineStr">
        <is>
          <t>Business Operations</t>
        </is>
      </c>
      <c r="F178" s="4" t="inlineStr">
        <is>
          <t>Legal</t>
        </is>
      </c>
      <c r="G178" s="4" t="inlineStr">
        <is>
          <t>Expense</t>
        </is>
      </c>
      <c r="H178" s="12" t="n">
        <v>46111</v>
      </c>
      <c r="I178" s="13" t="n">
        <v>0.6923263888888889</v>
      </c>
      <c r="J178" s="14" t="n">
        <v>46111.69232638889</v>
      </c>
      <c r="K178" s="15" t="n">
        <v>61147.29</v>
      </c>
      <c r="L178" s="4" t="inlineStr">
        <is>
          <t>INR</t>
        </is>
      </c>
      <c r="M178" s="15" t="n">
        <v>-61147.29</v>
      </c>
      <c r="N178" s="4" t="inlineStr">
        <is>
          <t>IOS Owner</t>
        </is>
      </c>
      <c r="O178" s="4" t="n"/>
      <c r="P178" s="4" t="n"/>
      <c r="Q178" s="4" t="inlineStr">
        <is>
          <t>MAESTRO-IOS-BUSINESS-BUSINESS_OPERATIONS-0177 | Legal | 61147.29</t>
        </is>
      </c>
      <c r="R178" s="4" t="inlineStr">
        <is>
          <t>iPhone</t>
        </is>
      </c>
      <c r="S178" s="4" t="inlineStr">
        <is>
          <t>B04</t>
        </is>
      </c>
      <c r="T178" s="4" t="inlineStr">
        <is>
          <t>BASELINE_1_500</t>
        </is>
      </c>
      <c r="U178" s="4" t="inlineStr">
        <is>
          <t>CREATED</t>
        </is>
      </c>
      <c r="V178" s="4" t="inlineStr">
        <is>
          <t>idem-20260902-ios-0177</t>
        </is>
      </c>
    </row>
    <row r="179" ht="30" customHeight="1">
      <c r="A179" s="4" t="n">
        <v>178</v>
      </c>
      <c r="B179" s="4" t="inlineStr">
        <is>
          <t>MTR-IOS-0178</t>
        </is>
      </c>
      <c r="C179" s="4" t="inlineStr">
        <is>
          <t>Personal</t>
        </is>
      </c>
      <c r="D179" s="4" t="inlineStr">
        <is>
          <t>Personal</t>
        </is>
      </c>
      <c r="E179" s="4" t="inlineStr">
        <is>
          <t>Lifestyle</t>
        </is>
      </c>
      <c r="F179" s="4" t="inlineStr">
        <is>
          <t>Shopping</t>
        </is>
      </c>
      <c r="G179" s="4" t="inlineStr">
        <is>
          <t>Expense</t>
        </is>
      </c>
      <c r="H179" s="12" t="n">
        <v>46160</v>
      </c>
      <c r="I179" s="13" t="n">
        <v>0.8297569444444445</v>
      </c>
      <c r="J179" s="14" t="n">
        <v>46160.82975694445</v>
      </c>
      <c r="K179" s="15" t="n">
        <v>5657.47</v>
      </c>
      <c r="L179" s="4" t="inlineStr">
        <is>
          <t>INR</t>
        </is>
      </c>
      <c r="M179" s="15" t="n">
        <v>-5657.47</v>
      </c>
      <c r="N179" s="4" t="inlineStr">
        <is>
          <t>IOS Owner</t>
        </is>
      </c>
      <c r="O179" s="4" t="n"/>
      <c r="P179" s="4" t="n"/>
      <c r="Q179" s="4" t="inlineStr">
        <is>
          <t>MAESTRO-IOS-PERSONAL-LIFESTYLE-0178 | Shopping | 5657.47</t>
        </is>
      </c>
      <c r="R179" s="4" t="inlineStr">
        <is>
          <t>iPhone</t>
        </is>
      </c>
      <c r="S179" s="4" t="inlineStr">
        <is>
          <t>B04</t>
        </is>
      </c>
      <c r="T179" s="4" t="inlineStr">
        <is>
          <t>BASELINE_1_500</t>
        </is>
      </c>
      <c r="U179" s="4" t="inlineStr">
        <is>
          <t>CREATED</t>
        </is>
      </c>
      <c r="V179" s="4" t="inlineStr">
        <is>
          <t>idem-20260902-ios-0178</t>
        </is>
      </c>
    </row>
    <row r="180" ht="30" customHeight="1">
      <c r="A180" s="4" t="n">
        <v>179</v>
      </c>
      <c r="B180" s="4" t="inlineStr">
        <is>
          <t>MTR-IOS-0179</t>
        </is>
      </c>
      <c r="C180" s="4" t="inlineStr">
        <is>
          <t>Group</t>
        </is>
      </c>
      <c r="D180" s="4" t="inlineStr">
        <is>
          <t>Shared Experience</t>
        </is>
      </c>
      <c r="E180" s="4" t="inlineStr">
        <is>
          <t>Trip</t>
        </is>
      </c>
      <c r="F180" s="4" t="inlineStr">
        <is>
          <t>Stay</t>
        </is>
      </c>
      <c r="G180" s="4" t="inlineStr">
        <is>
          <t>Expense</t>
        </is>
      </c>
      <c r="H180" s="12" t="n">
        <v>46236</v>
      </c>
      <c r="I180" s="13" t="n">
        <v>0.4433449074074074</v>
      </c>
      <c r="J180" s="14" t="n">
        <v>46236.44334490741</v>
      </c>
      <c r="K180" s="15" t="n">
        <v>6603.2</v>
      </c>
      <c r="L180" s="4" t="inlineStr">
        <is>
          <t>INR</t>
        </is>
      </c>
      <c r="M180" s="15" t="n">
        <v>-6603.2</v>
      </c>
      <c r="N180" s="4" t="inlineStr">
        <is>
          <t>IOS Meera</t>
        </is>
      </c>
      <c r="O180" s="4" t="n">
        <v>3</v>
      </c>
      <c r="P180" s="4" t="inlineStr">
        <is>
          <t>SHARES</t>
        </is>
      </c>
      <c r="Q180" s="4" t="inlineStr">
        <is>
          <t>MAESTRO-IOS-GROUP-TRIP-0179 | Stay | 6603.20</t>
        </is>
      </c>
      <c r="R180" s="4" t="inlineStr">
        <is>
          <t>iPhone</t>
        </is>
      </c>
      <c r="S180" s="4" t="inlineStr">
        <is>
          <t>B04</t>
        </is>
      </c>
      <c r="T180" s="4" t="inlineStr">
        <is>
          <t>BASELINE_1_500</t>
        </is>
      </c>
      <c r="U180" s="4" t="inlineStr">
        <is>
          <t>CREATED</t>
        </is>
      </c>
      <c r="V180" s="4" t="inlineStr">
        <is>
          <t>idem-20260902-ios-0179</t>
        </is>
      </c>
    </row>
    <row r="181" ht="30" customHeight="1">
      <c r="A181" s="4" t="n">
        <v>180</v>
      </c>
      <c r="B181" s="4" t="inlineStr">
        <is>
          <t>MTR-IOS-0180</t>
        </is>
      </c>
      <c r="C181" s="4" t="inlineStr">
        <is>
          <t>Business</t>
        </is>
      </c>
      <c r="D181" s="4" t="inlineStr">
        <is>
          <t>Business</t>
        </is>
      </c>
      <c r="E181" s="4" t="inlineStr">
        <is>
          <t>Business Operations</t>
        </is>
      </c>
      <c r="F181" s="4" t="inlineStr">
        <is>
          <t>Accounting</t>
        </is>
      </c>
      <c r="G181" s="4" t="inlineStr">
        <is>
          <t>Expense</t>
        </is>
      </c>
      <c r="H181" s="12" t="n">
        <v>46261</v>
      </c>
      <c r="I181" s="13" t="n">
        <v>0.8629398148148149</v>
      </c>
      <c r="J181" s="14" t="n">
        <v>46261.86293981481</v>
      </c>
      <c r="K181" s="15" t="n">
        <v>62879.88</v>
      </c>
      <c r="L181" s="4" t="inlineStr">
        <is>
          <t>INR</t>
        </is>
      </c>
      <c r="M181" s="15" t="n">
        <v>-62879.88</v>
      </c>
      <c r="N181" s="4" t="inlineStr">
        <is>
          <t>IOS Owner</t>
        </is>
      </c>
      <c r="O181" s="4" t="n"/>
      <c r="P181" s="4" t="n"/>
      <c r="Q181" s="4" t="inlineStr">
        <is>
          <t>MAESTRO-IOS-BUSINESS-BUSINESS_OPERATIONS-0180 | Accounting | 62879.88</t>
        </is>
      </c>
      <c r="R181" s="4" t="inlineStr">
        <is>
          <t>iPhone</t>
        </is>
      </c>
      <c r="S181" s="4" t="inlineStr">
        <is>
          <t>B04</t>
        </is>
      </c>
      <c r="T181" s="4" t="inlineStr">
        <is>
          <t>BASELINE_1_500</t>
        </is>
      </c>
      <c r="U181" s="4" t="inlineStr">
        <is>
          <t>CREATED</t>
        </is>
      </c>
      <c r="V181" s="4" t="inlineStr">
        <is>
          <t>idem-20260902-ios-0180</t>
        </is>
      </c>
    </row>
    <row r="182" ht="30" customHeight="1">
      <c r="A182" s="4" t="n">
        <v>181</v>
      </c>
      <c r="B182" s="4" t="inlineStr">
        <is>
          <t>MTR-IOS-0181</t>
        </is>
      </c>
      <c r="C182" s="4" t="inlineStr">
        <is>
          <t>Personal</t>
        </is>
      </c>
      <c r="D182" s="4" t="inlineStr">
        <is>
          <t>Personal</t>
        </is>
      </c>
      <c r="E182" s="4" t="inlineStr">
        <is>
          <t>Lifestyle</t>
        </is>
      </c>
      <c r="F182" s="4" t="inlineStr">
        <is>
          <t>Entertainment</t>
        </is>
      </c>
      <c r="G182" s="4" t="inlineStr">
        <is>
          <t>Expense</t>
        </is>
      </c>
      <c r="H182" s="12" t="n">
        <v>46103</v>
      </c>
      <c r="I182" s="13" t="n">
        <v>0.83375</v>
      </c>
      <c r="J182" s="14" t="n">
        <v>46103.83375</v>
      </c>
      <c r="K182" s="15" t="n">
        <v>777.25</v>
      </c>
      <c r="L182" s="4" t="inlineStr">
        <is>
          <t>INR</t>
        </is>
      </c>
      <c r="M182" s="15" t="n">
        <v>-777.25</v>
      </c>
      <c r="N182" s="4" t="inlineStr">
        <is>
          <t>IOS Owner</t>
        </is>
      </c>
      <c r="O182" s="4" t="n"/>
      <c r="P182" s="4" t="n"/>
      <c r="Q182" s="4" t="inlineStr">
        <is>
          <t>MAESTRO-IOS-PERSONAL-LIFESTYLE-0181 | Entertainment | 777.25</t>
        </is>
      </c>
      <c r="R182" s="4" t="inlineStr">
        <is>
          <t>iPhone</t>
        </is>
      </c>
      <c r="S182" s="4" t="inlineStr">
        <is>
          <t>B04</t>
        </is>
      </c>
      <c r="T182" s="4" t="inlineStr">
        <is>
          <t>BASELINE_1_500</t>
        </is>
      </c>
      <c r="U182" s="4" t="inlineStr">
        <is>
          <t>CREATED</t>
        </is>
      </c>
      <c r="V182" s="4" t="inlineStr">
        <is>
          <t>idem-20260902-ios-0181</t>
        </is>
      </c>
    </row>
    <row r="183" ht="30" customHeight="1">
      <c r="A183" s="4" t="n">
        <v>182</v>
      </c>
      <c r="B183" s="4" t="inlineStr">
        <is>
          <t>MTR-IOS-0182</t>
        </is>
      </c>
      <c r="C183" s="4" t="inlineStr">
        <is>
          <t>Group</t>
        </is>
      </c>
      <c r="D183" s="4" t="inlineStr">
        <is>
          <t>Shared Experience</t>
        </is>
      </c>
      <c r="E183" s="4" t="inlineStr">
        <is>
          <t>Trip</t>
        </is>
      </c>
      <c r="F183" s="4" t="inlineStr">
        <is>
          <t>Food</t>
        </is>
      </c>
      <c r="G183" s="4" t="inlineStr">
        <is>
          <t>Expense</t>
        </is>
      </c>
      <c r="H183" s="12" t="n">
        <v>46024</v>
      </c>
      <c r="I183" s="13" t="n">
        <v>0.1152430555555556</v>
      </c>
      <c r="J183" s="14" t="n">
        <v>46024.11524305555</v>
      </c>
      <c r="K183" s="15" t="n">
        <v>17792.66</v>
      </c>
      <c r="L183" s="4" t="inlineStr">
        <is>
          <t>INR</t>
        </is>
      </c>
      <c r="M183" s="15" t="n">
        <v>-17792.66</v>
      </c>
      <c r="N183" s="4" t="inlineStr">
        <is>
          <t>IOS Owner</t>
        </is>
      </c>
      <c r="O183" s="4" t="n">
        <v>3</v>
      </c>
      <c r="P183" s="4" t="inlineStr">
        <is>
          <t>EQUAL</t>
        </is>
      </c>
      <c r="Q183" s="4" t="inlineStr">
        <is>
          <t>MAESTRO-IOS-GROUP-TRIP-0182 | Food | 17792.66</t>
        </is>
      </c>
      <c r="R183" s="4" t="inlineStr">
        <is>
          <t>iPhone</t>
        </is>
      </c>
      <c r="S183" s="4" t="inlineStr">
        <is>
          <t>B04</t>
        </is>
      </c>
      <c r="T183" s="4" t="inlineStr">
        <is>
          <t>BASELINE_1_500</t>
        </is>
      </c>
      <c r="U183" s="4" t="inlineStr">
        <is>
          <t>CREATED</t>
        </is>
      </c>
      <c r="V183" s="4" t="inlineStr">
        <is>
          <t>idem-20260902-ios-0182</t>
        </is>
      </c>
    </row>
    <row r="184" ht="30" customHeight="1">
      <c r="A184" s="4" t="n">
        <v>183</v>
      </c>
      <c r="B184" s="4" t="inlineStr">
        <is>
          <t>MTR-IOS-0183</t>
        </is>
      </c>
      <c r="C184" s="4" t="inlineStr">
        <is>
          <t>Business</t>
        </is>
      </c>
      <c r="D184" s="4" t="inlineStr">
        <is>
          <t>Business</t>
        </is>
      </c>
      <c r="E184" s="4" t="inlineStr">
        <is>
          <t>Business Operations</t>
        </is>
      </c>
      <c r="F184" s="4" t="inlineStr">
        <is>
          <t>Equipment</t>
        </is>
      </c>
      <c r="G184" s="4" t="inlineStr">
        <is>
          <t>Expense</t>
        </is>
      </c>
      <c r="H184" s="12" t="n">
        <v>46156</v>
      </c>
      <c r="I184" s="13" t="n">
        <v>0.1280671296296296</v>
      </c>
      <c r="J184" s="14" t="n">
        <v>46156.12806712963</v>
      </c>
      <c r="K184" s="15" t="n">
        <v>117344.54</v>
      </c>
      <c r="L184" s="4" t="inlineStr">
        <is>
          <t>INR</t>
        </is>
      </c>
      <c r="M184" s="15" t="n">
        <v>-117344.54</v>
      </c>
      <c r="N184" s="4" t="inlineStr">
        <is>
          <t>IOS Owner</t>
        </is>
      </c>
      <c r="O184" s="4" t="n"/>
      <c r="P184" s="4" t="n"/>
      <c r="Q184" s="4" t="inlineStr">
        <is>
          <t>MAESTRO-IOS-BUSINESS-BUSINESS_OPERATIONS-0183 | Equipment | 117344.54</t>
        </is>
      </c>
      <c r="R184" s="4" t="inlineStr">
        <is>
          <t>iPhone</t>
        </is>
      </c>
      <c r="S184" s="4" t="inlineStr">
        <is>
          <t>B04</t>
        </is>
      </c>
      <c r="T184" s="4" t="inlineStr">
        <is>
          <t>BASELINE_1_500</t>
        </is>
      </c>
      <c r="U184" s="4" t="inlineStr">
        <is>
          <t>CREATED</t>
        </is>
      </c>
      <c r="V184" s="4" t="inlineStr">
        <is>
          <t>idem-20260902-ios-0183</t>
        </is>
      </c>
    </row>
    <row r="185" ht="30" customHeight="1">
      <c r="A185" s="4" t="n">
        <v>184</v>
      </c>
      <c r="B185" s="4" t="inlineStr">
        <is>
          <t>MTR-IOS-0184</t>
        </is>
      </c>
      <c r="C185" s="4" t="inlineStr">
        <is>
          <t>Personal</t>
        </is>
      </c>
      <c r="D185" s="4" t="inlineStr">
        <is>
          <t>Personal</t>
        </is>
      </c>
      <c r="E185" s="4" t="inlineStr">
        <is>
          <t>Lifestyle</t>
        </is>
      </c>
      <c r="F185" s="4" t="inlineStr">
        <is>
          <t>Travel</t>
        </is>
      </c>
      <c r="G185" s="4" t="inlineStr">
        <is>
          <t>Expense</t>
        </is>
      </c>
      <c r="H185" s="12" t="n">
        <v>46160</v>
      </c>
      <c r="I185" s="13" t="n">
        <v>0.2279398148148148</v>
      </c>
      <c r="J185" s="14" t="n">
        <v>46160.22793981482</v>
      </c>
      <c r="K185" s="15" t="n">
        <v>10885.86</v>
      </c>
      <c r="L185" s="4" t="inlineStr">
        <is>
          <t>INR</t>
        </is>
      </c>
      <c r="M185" s="15" t="n">
        <v>-10885.86</v>
      </c>
      <c r="N185" s="4" t="inlineStr">
        <is>
          <t>IOS Owner</t>
        </is>
      </c>
      <c r="O185" s="4" t="n"/>
      <c r="P185" s="4" t="n"/>
      <c r="Q185" s="4" t="inlineStr">
        <is>
          <t>MAESTRO-IOS-PERSONAL-LIFESTYLE-0184 | Travel | 10885.86</t>
        </is>
      </c>
      <c r="R185" s="4" t="inlineStr">
        <is>
          <t>iPhone</t>
        </is>
      </c>
      <c r="S185" s="4" t="inlineStr">
        <is>
          <t>B04</t>
        </is>
      </c>
      <c r="T185" s="4" t="inlineStr">
        <is>
          <t>BASELINE_1_500</t>
        </is>
      </c>
      <c r="U185" s="4" t="inlineStr">
        <is>
          <t>CREATED</t>
        </is>
      </c>
      <c r="V185" s="4" t="inlineStr">
        <is>
          <t>idem-20260902-ios-0184</t>
        </is>
      </c>
    </row>
    <row r="186" ht="30" customHeight="1">
      <c r="A186" s="4" t="n">
        <v>185</v>
      </c>
      <c r="B186" s="4" t="inlineStr">
        <is>
          <t>MTR-IOS-0185</t>
        </is>
      </c>
      <c r="C186" s="4" t="inlineStr">
        <is>
          <t>Group</t>
        </is>
      </c>
      <c r="D186" s="4" t="inlineStr">
        <is>
          <t>Shared Experience</t>
        </is>
      </c>
      <c r="E186" s="4" t="inlineStr">
        <is>
          <t>Trip</t>
        </is>
      </c>
      <c r="F186" s="4" t="inlineStr">
        <is>
          <t>Local Transport</t>
        </is>
      </c>
      <c r="G186" s="4" t="inlineStr">
        <is>
          <t>Expense</t>
        </is>
      </c>
      <c r="H186" s="12" t="n">
        <v>45929</v>
      </c>
      <c r="I186" s="13" t="n">
        <v>0.3886226851851852</v>
      </c>
      <c r="J186" s="14" t="n">
        <v>45929.38862268518</v>
      </c>
      <c r="K186" s="15" t="n">
        <v>10000</v>
      </c>
      <c r="L186" s="4" t="inlineStr">
        <is>
          <t>INR</t>
        </is>
      </c>
      <c r="M186" s="15" t="n">
        <v>-10000</v>
      </c>
      <c r="N186" s="4" t="inlineStr">
        <is>
          <t>IOS Aarav</t>
        </is>
      </c>
      <c r="O186" s="4" t="n">
        <v>3</v>
      </c>
      <c r="P186" s="4" t="inlineStr">
        <is>
          <t>PERCENTAGE</t>
        </is>
      </c>
      <c r="Q186" s="4" t="inlineStr">
        <is>
          <t>MAESTRO-IOS-GROUP-TRIP-0185 | Local Transport | 10000.00</t>
        </is>
      </c>
      <c r="R186" s="4" t="inlineStr">
        <is>
          <t>iPhone</t>
        </is>
      </c>
      <c r="S186" s="4" t="inlineStr">
        <is>
          <t>B04</t>
        </is>
      </c>
      <c r="T186" s="4" t="inlineStr">
        <is>
          <t>BASELINE_1_500</t>
        </is>
      </c>
      <c r="U186" s="4" t="inlineStr">
        <is>
          <t>CREATED</t>
        </is>
      </c>
      <c r="V186" s="4" t="inlineStr">
        <is>
          <t>idem-20260902-ios-0185</t>
        </is>
      </c>
    </row>
    <row r="187" ht="30" customHeight="1">
      <c r="A187" s="4" t="n">
        <v>186</v>
      </c>
      <c r="B187" s="4" t="inlineStr">
        <is>
          <t>MTR-IOS-0186</t>
        </is>
      </c>
      <c r="C187" s="4" t="inlineStr">
        <is>
          <t>Business</t>
        </is>
      </c>
      <c r="D187" s="4" t="inlineStr">
        <is>
          <t>Business</t>
        </is>
      </c>
      <c r="E187" s="4" t="inlineStr">
        <is>
          <t>Business Operations</t>
        </is>
      </c>
      <c r="F187" s="4" t="inlineStr">
        <is>
          <t>Vendor</t>
        </is>
      </c>
      <c r="G187" s="4" t="inlineStr">
        <is>
          <t>Expense</t>
        </is>
      </c>
      <c r="H187" s="12" t="n">
        <v>45914</v>
      </c>
      <c r="I187" s="13" t="n">
        <v>0.5127083333333333</v>
      </c>
      <c r="J187" s="14" t="n">
        <v>45914.51270833334</v>
      </c>
      <c r="K187" s="15" t="n">
        <v>68985.53</v>
      </c>
      <c r="L187" s="4" t="inlineStr">
        <is>
          <t>INR</t>
        </is>
      </c>
      <c r="M187" s="15" t="n">
        <v>-68985.53</v>
      </c>
      <c r="N187" s="4" t="inlineStr">
        <is>
          <t>IOS Owner</t>
        </is>
      </c>
      <c r="O187" s="4" t="n"/>
      <c r="P187" s="4" t="n"/>
      <c r="Q187" s="4" t="inlineStr">
        <is>
          <t>MAESTRO-IOS-BUSINESS-BUSINESS_OPERATIONS-0186 | Vendor | 68985.53</t>
        </is>
      </c>
      <c r="R187" s="4" t="inlineStr">
        <is>
          <t>iPhone</t>
        </is>
      </c>
      <c r="S187" s="4" t="inlineStr">
        <is>
          <t>B04</t>
        </is>
      </c>
      <c r="T187" s="4" t="inlineStr">
        <is>
          <t>BASELINE_1_500</t>
        </is>
      </c>
      <c r="U187" s="4" t="inlineStr">
        <is>
          <t>CREATED</t>
        </is>
      </c>
      <c r="V187" s="4" t="inlineStr">
        <is>
          <t>idem-20260902-ios-0186</t>
        </is>
      </c>
    </row>
    <row r="188" ht="30" customHeight="1">
      <c r="A188" s="4" t="n">
        <v>187</v>
      </c>
      <c r="B188" s="4" t="inlineStr">
        <is>
          <t>MTR-IOS-0187</t>
        </is>
      </c>
      <c r="C188" s="4" t="inlineStr">
        <is>
          <t>Personal</t>
        </is>
      </c>
      <c r="D188" s="4" t="inlineStr">
        <is>
          <t>Personal</t>
        </is>
      </c>
      <c r="E188" s="4" t="inlineStr">
        <is>
          <t>Lifestyle</t>
        </is>
      </c>
      <c r="F188" s="4" t="inlineStr">
        <is>
          <t>Fitness</t>
        </is>
      </c>
      <c r="G188" s="4" t="inlineStr">
        <is>
          <t>Expense</t>
        </is>
      </c>
      <c r="H188" s="12" t="n">
        <v>45989</v>
      </c>
      <c r="I188" s="13" t="n">
        <v>0.4665972222222222</v>
      </c>
      <c r="J188" s="14" t="n">
        <v>45989.46659722222</v>
      </c>
      <c r="K188" s="15" t="n">
        <v>12943.32</v>
      </c>
      <c r="L188" s="4" t="inlineStr">
        <is>
          <t>INR</t>
        </is>
      </c>
      <c r="M188" s="15" t="n">
        <v>-12943.32</v>
      </c>
      <c r="N188" s="4" t="inlineStr">
        <is>
          <t>IOS Owner</t>
        </is>
      </c>
      <c r="O188" s="4" t="n"/>
      <c r="P188" s="4" t="n"/>
      <c r="Q188" s="4" t="inlineStr">
        <is>
          <t>MAESTRO-IOS-PERSONAL-LIFESTYLE-0187 | Fitness | 12943.32</t>
        </is>
      </c>
      <c r="R188" s="4" t="inlineStr">
        <is>
          <t>iPhone</t>
        </is>
      </c>
      <c r="S188" s="4" t="inlineStr">
        <is>
          <t>B04</t>
        </is>
      </c>
      <c r="T188" s="4" t="inlineStr">
        <is>
          <t>BASELINE_1_500</t>
        </is>
      </c>
      <c r="U188" s="4" t="inlineStr">
        <is>
          <t>CREATED</t>
        </is>
      </c>
      <c r="V188" s="4" t="inlineStr">
        <is>
          <t>idem-20260902-ios-0187</t>
        </is>
      </c>
    </row>
    <row r="189" ht="30" customHeight="1">
      <c r="A189" s="4" t="n">
        <v>188</v>
      </c>
      <c r="B189" s="4" t="inlineStr">
        <is>
          <t>MTR-IOS-0188</t>
        </is>
      </c>
      <c r="C189" s="4" t="inlineStr">
        <is>
          <t>Group</t>
        </is>
      </c>
      <c r="D189" s="4" t="inlineStr">
        <is>
          <t>Shared Experience</t>
        </is>
      </c>
      <c r="E189" s="4" t="inlineStr">
        <is>
          <t>Trip</t>
        </is>
      </c>
      <c r="F189" s="4" t="inlineStr">
        <is>
          <t>Activities</t>
        </is>
      </c>
      <c r="G189" s="4" t="inlineStr">
        <is>
          <t>Expense</t>
        </is>
      </c>
      <c r="H189" s="12" t="n">
        <v>46028</v>
      </c>
      <c r="I189" s="13" t="n">
        <v>0.004120370370370371</v>
      </c>
      <c r="J189" s="14" t="n">
        <v>46028.00412037037</v>
      </c>
      <c r="K189" s="15" t="n">
        <v>7309.68</v>
      </c>
      <c r="L189" s="4" t="inlineStr">
        <is>
          <t>INR</t>
        </is>
      </c>
      <c r="M189" s="15" t="n">
        <v>-7309.68</v>
      </c>
      <c r="N189" s="4" t="inlineStr">
        <is>
          <t>IOS Meera</t>
        </is>
      </c>
      <c r="O189" s="4" t="n">
        <v>3</v>
      </c>
      <c r="P189" s="4" t="inlineStr">
        <is>
          <t>EXACT</t>
        </is>
      </c>
      <c r="Q189" s="4" t="inlineStr">
        <is>
          <t>MAESTRO-IOS-GROUP-TRIP-0188 | Activities | 7309.68</t>
        </is>
      </c>
      <c r="R189" s="4" t="inlineStr">
        <is>
          <t>iPhone</t>
        </is>
      </c>
      <c r="S189" s="4" t="inlineStr">
        <is>
          <t>B04</t>
        </is>
      </c>
      <c r="T189" s="4" t="inlineStr">
        <is>
          <t>BASELINE_1_500</t>
        </is>
      </c>
      <c r="U189" s="4" t="inlineStr">
        <is>
          <t>CREATED</t>
        </is>
      </c>
      <c r="V189" s="4" t="inlineStr">
        <is>
          <t>idem-20260902-ios-0188</t>
        </is>
      </c>
    </row>
    <row r="190" ht="30" customHeight="1">
      <c r="A190" s="4" t="n">
        <v>189</v>
      </c>
      <c r="B190" s="4" t="inlineStr">
        <is>
          <t>MTR-IOS-0189</t>
        </is>
      </c>
      <c r="C190" s="4" t="inlineStr">
        <is>
          <t>Business</t>
        </is>
      </c>
      <c r="D190" s="4" t="inlineStr">
        <is>
          <t>Business</t>
        </is>
      </c>
      <c r="E190" s="4" t="inlineStr">
        <is>
          <t>Business Operations</t>
        </is>
      </c>
      <c r="F190" s="4" t="inlineStr">
        <is>
          <t>Tax</t>
        </is>
      </c>
      <c r="G190" s="4" t="inlineStr">
        <is>
          <t>Expense</t>
        </is>
      </c>
      <c r="H190" s="12" t="n">
        <v>46167</v>
      </c>
      <c r="I190" s="13" t="n">
        <v>0.7643634259259259</v>
      </c>
      <c r="J190" s="14" t="n">
        <v>46167.76436342593</v>
      </c>
      <c r="K190" s="15" t="n">
        <v>49872.54</v>
      </c>
      <c r="L190" s="4" t="inlineStr">
        <is>
          <t>INR</t>
        </is>
      </c>
      <c r="M190" s="15" t="n">
        <v>-49872.54</v>
      </c>
      <c r="N190" s="4" t="inlineStr">
        <is>
          <t>IOS Owner</t>
        </is>
      </c>
      <c r="O190" s="4" t="n"/>
      <c r="P190" s="4" t="n"/>
      <c r="Q190" s="4" t="inlineStr">
        <is>
          <t>MAESTRO-IOS-BUSINESS-BUSINESS_OPERATIONS-0189 | Tax | 49872.54</t>
        </is>
      </c>
      <c r="R190" s="4" t="inlineStr">
        <is>
          <t>iPhone</t>
        </is>
      </c>
      <c r="S190" s="4" t="inlineStr">
        <is>
          <t>B04</t>
        </is>
      </c>
      <c r="T190" s="4" t="inlineStr">
        <is>
          <t>BASELINE_1_500</t>
        </is>
      </c>
      <c r="U190" s="4" t="inlineStr">
        <is>
          <t>CREATED</t>
        </is>
      </c>
      <c r="V190" s="4" t="inlineStr">
        <is>
          <t>idem-20260902-ios-0189</t>
        </is>
      </c>
    </row>
    <row r="191" ht="30" customHeight="1">
      <c r="A191" s="4" t="n">
        <v>190</v>
      </c>
      <c r="B191" s="4" t="inlineStr">
        <is>
          <t>MTR-IOS-0190</t>
        </is>
      </c>
      <c r="C191" s="4" t="inlineStr">
        <is>
          <t>Personal</t>
        </is>
      </c>
      <c r="D191" s="4" t="inlineStr">
        <is>
          <t>Personal</t>
        </is>
      </c>
      <c r="E191" s="4" t="inlineStr">
        <is>
          <t>Lifestyle</t>
        </is>
      </c>
      <c r="F191" s="4" t="inlineStr">
        <is>
          <t>Hobbies</t>
        </is>
      </c>
      <c r="G191" s="4" t="inlineStr">
        <is>
          <t>Expense</t>
        </is>
      </c>
      <c r="H191" s="12" t="n">
        <v>46224</v>
      </c>
      <c r="I191" s="13" t="n">
        <v>0.1728009259259259</v>
      </c>
      <c r="J191" s="14" t="n">
        <v>46224.17280092592</v>
      </c>
      <c r="K191" s="15" t="n">
        <v>11527</v>
      </c>
      <c r="L191" s="4" t="inlineStr">
        <is>
          <t>INR</t>
        </is>
      </c>
      <c r="M191" s="15" t="n">
        <v>-11527</v>
      </c>
      <c r="N191" s="4" t="inlineStr">
        <is>
          <t>IOS Owner</t>
        </is>
      </c>
      <c r="O191" s="4" t="n"/>
      <c r="P191" s="4" t="n"/>
      <c r="Q191" s="4" t="inlineStr">
        <is>
          <t>MAESTRO-IOS-PERSONAL-LIFESTYLE-0190 | Hobbies | 11527.00</t>
        </is>
      </c>
      <c r="R191" s="4" t="inlineStr">
        <is>
          <t>iPhone</t>
        </is>
      </c>
      <c r="S191" s="4" t="inlineStr">
        <is>
          <t>B04</t>
        </is>
      </c>
      <c r="T191" s="4" t="inlineStr">
        <is>
          <t>BASELINE_1_500</t>
        </is>
      </c>
      <c r="U191" s="4" t="inlineStr">
        <is>
          <t>CREATED</t>
        </is>
      </c>
      <c r="V191" s="4" t="inlineStr">
        <is>
          <t>idem-20260902-ios-0190</t>
        </is>
      </c>
    </row>
    <row r="192" ht="30" customHeight="1">
      <c r="A192" s="4" t="n">
        <v>191</v>
      </c>
      <c r="B192" s="4" t="inlineStr">
        <is>
          <t>MTR-IOS-0191</t>
        </is>
      </c>
      <c r="C192" s="4" t="inlineStr">
        <is>
          <t>Group</t>
        </is>
      </c>
      <c r="D192" s="4" t="inlineStr">
        <is>
          <t>Shared Experience</t>
        </is>
      </c>
      <c r="E192" s="4" t="inlineStr">
        <is>
          <t>Trip</t>
        </is>
      </c>
      <c r="F192" s="4" t="inlineStr">
        <is>
          <t>Shopping</t>
        </is>
      </c>
      <c r="G192" s="4" t="inlineStr">
        <is>
          <t>Expense</t>
        </is>
      </c>
      <c r="H192" s="12" t="n">
        <v>45957</v>
      </c>
      <c r="I192" s="13" t="n">
        <v>0.7336921296296296</v>
      </c>
      <c r="J192" s="14" t="n">
        <v>45957.73369212963</v>
      </c>
      <c r="K192" s="15" t="n">
        <v>17401.75</v>
      </c>
      <c r="L192" s="4" t="inlineStr">
        <is>
          <t>INR</t>
        </is>
      </c>
      <c r="M192" s="15" t="n">
        <v>-17401.75</v>
      </c>
      <c r="N192" s="4" t="inlineStr">
        <is>
          <t>IOS Owner</t>
        </is>
      </c>
      <c r="O192" s="4" t="n">
        <v>3</v>
      </c>
      <c r="P192" s="4" t="inlineStr">
        <is>
          <t>SHARES</t>
        </is>
      </c>
      <c r="Q192" s="4" t="inlineStr">
        <is>
          <t>MAESTRO-IOS-GROUP-TRIP-0191 | Shopping | 17401.75</t>
        </is>
      </c>
      <c r="R192" s="4" t="inlineStr">
        <is>
          <t>iPhone</t>
        </is>
      </c>
      <c r="S192" s="4" t="inlineStr">
        <is>
          <t>B04</t>
        </is>
      </c>
      <c r="T192" s="4" t="inlineStr">
        <is>
          <t>BASELINE_1_500</t>
        </is>
      </c>
      <c r="U192" s="4" t="inlineStr">
        <is>
          <t>CREATED</t>
        </is>
      </c>
      <c r="V192" s="4" t="inlineStr">
        <is>
          <t>idem-20260902-ios-0191</t>
        </is>
      </c>
    </row>
    <row r="193" ht="30" customHeight="1">
      <c r="A193" s="4" t="n">
        <v>192</v>
      </c>
      <c r="B193" s="4" t="inlineStr">
        <is>
          <t>MTR-IOS-0192</t>
        </is>
      </c>
      <c r="C193" s="4" t="inlineStr">
        <is>
          <t>Business</t>
        </is>
      </c>
      <c r="D193" s="4" t="inlineStr">
        <is>
          <t>Business</t>
        </is>
      </c>
      <c r="E193" s="4" t="inlineStr">
        <is>
          <t>Team Operations</t>
        </is>
      </c>
      <c r="F193" s="4" t="inlineStr">
        <is>
          <t>Payroll</t>
        </is>
      </c>
      <c r="G193" s="4" t="inlineStr">
        <is>
          <t>Expense</t>
        </is>
      </c>
      <c r="H193" s="12" t="n">
        <v>45928</v>
      </c>
      <c r="I193" s="13" t="n">
        <v>0.2001967592592593</v>
      </c>
      <c r="J193" s="14" t="n">
        <v>45928.20019675926</v>
      </c>
      <c r="K193" s="15" t="n">
        <v>112911.32</v>
      </c>
      <c r="L193" s="4" t="inlineStr">
        <is>
          <t>INR</t>
        </is>
      </c>
      <c r="M193" s="15" t="n">
        <v>-112911.32</v>
      </c>
      <c r="N193" s="4" t="inlineStr">
        <is>
          <t>IOS Owner</t>
        </is>
      </c>
      <c r="O193" s="4" t="n"/>
      <c r="P193" s="4" t="n"/>
      <c r="Q193" s="4" t="inlineStr">
        <is>
          <t>MAESTRO-IOS-BUSINESS-TEAM_OPERATIONS-0192 | Payroll | 112911.32</t>
        </is>
      </c>
      <c r="R193" s="4" t="inlineStr">
        <is>
          <t>iPhone</t>
        </is>
      </c>
      <c r="S193" s="4" t="inlineStr">
        <is>
          <t>B04</t>
        </is>
      </c>
      <c r="T193" s="4" t="inlineStr">
        <is>
          <t>BASELINE_1_500</t>
        </is>
      </c>
      <c r="U193" s="4" t="inlineStr">
        <is>
          <t>CREATED</t>
        </is>
      </c>
      <c r="V193" s="4" t="inlineStr">
        <is>
          <t>idem-20260902-ios-0192</t>
        </is>
      </c>
    </row>
    <row r="194" ht="30" customHeight="1">
      <c r="A194" s="4" t="n">
        <v>193</v>
      </c>
      <c r="B194" s="4" t="inlineStr">
        <is>
          <t>MTR-IOS-0193</t>
        </is>
      </c>
      <c r="C194" s="4" t="inlineStr">
        <is>
          <t>Personal</t>
        </is>
      </c>
      <c r="D194" s="4" t="inlineStr">
        <is>
          <t>Personal</t>
        </is>
      </c>
      <c r="E194" s="4" t="inlineStr">
        <is>
          <t>Relationships</t>
        </is>
      </c>
      <c r="F194" s="4" t="inlineStr">
        <is>
          <t>Gifts</t>
        </is>
      </c>
      <c r="G194" s="4" t="inlineStr">
        <is>
          <t>Expense</t>
        </is>
      </c>
      <c r="H194" s="12" t="n">
        <v>46013</v>
      </c>
      <c r="I194" s="13" t="n">
        <v>0.9025578703703704</v>
      </c>
      <c r="J194" s="14" t="n">
        <v>46013.90255787037</v>
      </c>
      <c r="K194" s="15" t="n">
        <v>11696.22</v>
      </c>
      <c r="L194" s="4" t="inlineStr">
        <is>
          <t>INR</t>
        </is>
      </c>
      <c r="M194" s="15" t="n">
        <v>-11696.22</v>
      </c>
      <c r="N194" s="4" t="inlineStr">
        <is>
          <t>IOS Owner</t>
        </is>
      </c>
      <c r="O194" s="4" t="n"/>
      <c r="P194" s="4" t="n"/>
      <c r="Q194" s="4" t="inlineStr">
        <is>
          <t>MAESTRO-IOS-PERSONAL-RELATIONSHIPS-0193 | Gifts | 11696.22</t>
        </is>
      </c>
      <c r="R194" s="4" t="inlineStr">
        <is>
          <t>iPhone</t>
        </is>
      </c>
      <c r="S194" s="4" t="inlineStr">
        <is>
          <t>B04</t>
        </is>
      </c>
      <c r="T194" s="4" t="inlineStr">
        <is>
          <t>BASELINE_1_500</t>
        </is>
      </c>
      <c r="U194" s="4" t="inlineStr">
        <is>
          <t>CREATED</t>
        </is>
      </c>
      <c r="V194" s="4" t="inlineStr">
        <is>
          <t>idem-20260902-ios-0193</t>
        </is>
      </c>
    </row>
    <row r="195" ht="30" customHeight="1">
      <c r="A195" s="4" t="n">
        <v>194</v>
      </c>
      <c r="B195" s="4" t="inlineStr">
        <is>
          <t>MTR-IOS-0194</t>
        </is>
      </c>
      <c r="C195" s="4" t="inlineStr">
        <is>
          <t>Group</t>
        </is>
      </c>
      <c r="D195" s="4" t="inlineStr">
        <is>
          <t>Shared Experience</t>
        </is>
      </c>
      <c r="E195" s="4" t="inlineStr">
        <is>
          <t>Trip</t>
        </is>
      </c>
      <c r="F195" s="4" t="inlineStr">
        <is>
          <t>Other</t>
        </is>
      </c>
      <c r="G195" s="4" t="inlineStr">
        <is>
          <t>Expense</t>
        </is>
      </c>
      <c r="H195" s="12" t="n">
        <v>46167</v>
      </c>
      <c r="I195" s="13" t="n">
        <v>0.2231828703703704</v>
      </c>
      <c r="J195" s="14" t="n">
        <v>46167.22318287037</v>
      </c>
      <c r="K195" s="15" t="n">
        <v>11110.31</v>
      </c>
      <c r="L195" s="4" t="inlineStr">
        <is>
          <t>INR</t>
        </is>
      </c>
      <c r="M195" s="15" t="n">
        <v>-11110.31</v>
      </c>
      <c r="N195" s="4" t="inlineStr">
        <is>
          <t>IOS Aarav</t>
        </is>
      </c>
      <c r="O195" s="4" t="n">
        <v>3</v>
      </c>
      <c r="P195" s="4" t="inlineStr">
        <is>
          <t>EQUAL</t>
        </is>
      </c>
      <c r="Q195" s="4" t="inlineStr">
        <is>
          <t>MAESTRO-IOS-GROUP-TRIP-0194 | Other | 11110.31</t>
        </is>
      </c>
      <c r="R195" s="4" t="inlineStr">
        <is>
          <t>iPhone</t>
        </is>
      </c>
      <c r="S195" s="4" t="inlineStr">
        <is>
          <t>B04</t>
        </is>
      </c>
      <c r="T195" s="4" t="inlineStr">
        <is>
          <t>BASELINE_1_500</t>
        </is>
      </c>
      <c r="U195" s="4" t="inlineStr">
        <is>
          <t>CREATED</t>
        </is>
      </c>
      <c r="V195" s="4" t="inlineStr">
        <is>
          <t>idem-20260902-ios-0194</t>
        </is>
      </c>
    </row>
    <row r="196" ht="30" customHeight="1">
      <c r="A196" s="4" t="n">
        <v>195</v>
      </c>
      <c r="B196" s="4" t="inlineStr">
        <is>
          <t>MTR-IOS-0195</t>
        </is>
      </c>
      <c r="C196" s="4" t="inlineStr">
        <is>
          <t>Business</t>
        </is>
      </c>
      <c r="D196" s="4" t="inlineStr">
        <is>
          <t>Business</t>
        </is>
      </c>
      <c r="E196" s="4" t="inlineStr">
        <is>
          <t>Team Operations</t>
        </is>
      </c>
      <c r="F196" s="4" t="inlineStr">
        <is>
          <t>Contractor</t>
        </is>
      </c>
      <c r="G196" s="4" t="inlineStr">
        <is>
          <t>Expense</t>
        </is>
      </c>
      <c r="H196" s="12" t="n">
        <v>46231</v>
      </c>
      <c r="I196" s="13" t="n">
        <v>0.7030671296296296</v>
      </c>
      <c r="J196" s="14" t="n">
        <v>46231.70306712963</v>
      </c>
      <c r="K196" s="15" t="n">
        <v>18718.25</v>
      </c>
      <c r="L196" s="4" t="inlineStr">
        <is>
          <t>INR</t>
        </is>
      </c>
      <c r="M196" s="15" t="n">
        <v>-18718.25</v>
      </c>
      <c r="N196" s="4" t="inlineStr">
        <is>
          <t>IOS Owner</t>
        </is>
      </c>
      <c r="O196" s="4" t="n"/>
      <c r="P196" s="4" t="n"/>
      <c r="Q196" s="4" t="inlineStr">
        <is>
          <t>MAESTRO-IOS-BUSINESS-TEAM_OPERATIONS-0195 | Contractor | 18718.25</t>
        </is>
      </c>
      <c r="R196" s="4" t="inlineStr">
        <is>
          <t>iPhone</t>
        </is>
      </c>
      <c r="S196" s="4" t="inlineStr">
        <is>
          <t>B04</t>
        </is>
      </c>
      <c r="T196" s="4" t="inlineStr">
        <is>
          <t>BASELINE_1_500</t>
        </is>
      </c>
      <c r="U196" s="4" t="inlineStr">
        <is>
          <t>CREATED</t>
        </is>
      </c>
      <c r="V196" s="4" t="inlineStr">
        <is>
          <t>idem-20260902-ios-0195</t>
        </is>
      </c>
    </row>
    <row r="197" ht="30" customHeight="1">
      <c r="A197" s="4" t="n">
        <v>196</v>
      </c>
      <c r="B197" s="4" t="inlineStr">
        <is>
          <t>MTR-IOS-0196</t>
        </is>
      </c>
      <c r="C197" s="4" t="inlineStr">
        <is>
          <t>Personal</t>
        </is>
      </c>
      <c r="D197" s="4" t="inlineStr">
        <is>
          <t>Personal</t>
        </is>
      </c>
      <c r="E197" s="4" t="inlineStr">
        <is>
          <t>Relationships</t>
        </is>
      </c>
      <c r="F197" s="4" t="inlineStr">
        <is>
          <t>Dates</t>
        </is>
      </c>
      <c r="G197" s="4" t="inlineStr">
        <is>
          <t>Expense</t>
        </is>
      </c>
      <c r="H197" s="12" t="n">
        <v>46253</v>
      </c>
      <c r="I197" s="13" t="n">
        <v>0.6381828703703704</v>
      </c>
      <c r="J197" s="14" t="n">
        <v>46253.63818287037</v>
      </c>
      <c r="K197" s="15" t="n">
        <v>17565</v>
      </c>
      <c r="L197" s="4" t="inlineStr">
        <is>
          <t>INR</t>
        </is>
      </c>
      <c r="M197" s="15" t="n">
        <v>-17565</v>
      </c>
      <c r="N197" s="4" t="inlineStr">
        <is>
          <t>IOS Owner</t>
        </is>
      </c>
      <c r="O197" s="4" t="n"/>
      <c r="P197" s="4" t="n"/>
      <c r="Q197" s="4" t="inlineStr">
        <is>
          <t>MAESTRO-IOS-PERSONAL-RELATIONSHIPS-0196 | Dates | 17565.00</t>
        </is>
      </c>
      <c r="R197" s="4" t="inlineStr">
        <is>
          <t>iPhone</t>
        </is>
      </c>
      <c r="S197" s="4" t="inlineStr">
        <is>
          <t>B04</t>
        </is>
      </c>
      <c r="T197" s="4" t="inlineStr">
        <is>
          <t>BASELINE_1_500</t>
        </is>
      </c>
      <c r="U197" s="4" t="inlineStr">
        <is>
          <t>CREATED</t>
        </is>
      </c>
      <c r="V197" s="4" t="inlineStr">
        <is>
          <t>idem-20260902-ios-0196</t>
        </is>
      </c>
    </row>
    <row r="198" ht="30" customHeight="1">
      <c r="A198" s="4" t="n">
        <v>197</v>
      </c>
      <c r="B198" s="4" t="inlineStr">
        <is>
          <t>MTR-IOS-0197</t>
        </is>
      </c>
      <c r="C198" s="4" t="inlineStr">
        <is>
          <t>Group</t>
        </is>
      </c>
      <c r="D198" s="4" t="inlineStr">
        <is>
          <t>Shared Experience</t>
        </is>
      </c>
      <c r="E198" s="4" t="inlineStr">
        <is>
          <t>Wedding</t>
        </is>
      </c>
      <c r="F198" s="4" t="inlineStr">
        <is>
          <t>Venue</t>
        </is>
      </c>
      <c r="G198" s="4" t="inlineStr">
        <is>
          <t>Expense</t>
        </is>
      </c>
      <c r="H198" s="12" t="n">
        <v>46037</v>
      </c>
      <c r="I198" s="13" t="n">
        <v>0.2114699074074074</v>
      </c>
      <c r="J198" s="14" t="n">
        <v>46037.21146990741</v>
      </c>
      <c r="K198" s="15" t="n">
        <v>3385.73</v>
      </c>
      <c r="L198" s="4" t="inlineStr">
        <is>
          <t>INR</t>
        </is>
      </c>
      <c r="M198" s="15" t="n">
        <v>-3385.73</v>
      </c>
      <c r="N198" s="4" t="inlineStr">
        <is>
          <t>IOS Meera</t>
        </is>
      </c>
      <c r="O198" s="4" t="n">
        <v>3</v>
      </c>
      <c r="P198" s="4" t="inlineStr">
        <is>
          <t>PERCENTAGE</t>
        </is>
      </c>
      <c r="Q198" s="4" t="inlineStr">
        <is>
          <t>MAESTRO-IOS-GROUP-WEDDING-0197 | Venue | 3385.73</t>
        </is>
      </c>
      <c r="R198" s="4" t="inlineStr">
        <is>
          <t>iPhone</t>
        </is>
      </c>
      <c r="S198" s="4" t="inlineStr">
        <is>
          <t>B04</t>
        </is>
      </c>
      <c r="T198" s="4" t="inlineStr">
        <is>
          <t>BASELINE_1_500</t>
        </is>
      </c>
      <c r="U198" s="4" t="inlineStr">
        <is>
          <t>CREATED</t>
        </is>
      </c>
      <c r="V198" s="4" t="inlineStr">
        <is>
          <t>idem-20260902-ios-0197</t>
        </is>
      </c>
    </row>
    <row r="199" ht="30" customHeight="1">
      <c r="A199" s="4" t="n">
        <v>198</v>
      </c>
      <c r="B199" s="4" t="inlineStr">
        <is>
          <t>MTR-IOS-0198</t>
        </is>
      </c>
      <c r="C199" s="4" t="inlineStr">
        <is>
          <t>Business</t>
        </is>
      </c>
      <c r="D199" s="4" t="inlineStr">
        <is>
          <t>Business</t>
        </is>
      </c>
      <c r="E199" s="4" t="inlineStr">
        <is>
          <t>Team Operations</t>
        </is>
      </c>
      <c r="F199" s="4" t="inlineStr">
        <is>
          <t>Hiring</t>
        </is>
      </c>
      <c r="G199" s="4" t="inlineStr">
        <is>
          <t>Expense</t>
        </is>
      </c>
      <c r="H199" s="12" t="n">
        <v>45906</v>
      </c>
      <c r="I199" s="13" t="n">
        <v>0.8973263888888889</v>
      </c>
      <c r="J199" s="14" t="n">
        <v>45906.89732638889</v>
      </c>
      <c r="K199" s="15" t="n">
        <v>65142.73</v>
      </c>
      <c r="L199" s="4" t="inlineStr">
        <is>
          <t>INR</t>
        </is>
      </c>
      <c r="M199" s="15" t="n">
        <v>-65142.73</v>
      </c>
      <c r="N199" s="4" t="inlineStr">
        <is>
          <t>IOS Owner</t>
        </is>
      </c>
      <c r="O199" s="4" t="n"/>
      <c r="P199" s="4" t="n"/>
      <c r="Q199" s="4" t="inlineStr">
        <is>
          <t>MAESTRO-IOS-BUSINESS-TEAM_OPERATIONS-0198 | Hiring | 65142.73</t>
        </is>
      </c>
      <c r="R199" s="4" t="inlineStr">
        <is>
          <t>iPhone</t>
        </is>
      </c>
      <c r="S199" s="4" t="inlineStr">
        <is>
          <t>B04</t>
        </is>
      </c>
      <c r="T199" s="4" t="inlineStr">
        <is>
          <t>BASELINE_1_500</t>
        </is>
      </c>
      <c r="U199" s="4" t="inlineStr">
        <is>
          <t>CREATED</t>
        </is>
      </c>
      <c r="V199" s="4" t="inlineStr">
        <is>
          <t>idem-20260902-ios-0198</t>
        </is>
      </c>
    </row>
    <row r="200" ht="30" customHeight="1">
      <c r="A200" s="4" t="n">
        <v>199</v>
      </c>
      <c r="B200" s="4" t="inlineStr">
        <is>
          <t>MTR-IOS-0199</t>
        </is>
      </c>
      <c r="C200" s="4" t="inlineStr">
        <is>
          <t>Personal</t>
        </is>
      </c>
      <c r="D200" s="4" t="inlineStr">
        <is>
          <t>Personal</t>
        </is>
      </c>
      <c r="E200" s="4" t="inlineStr">
        <is>
          <t>Relationships</t>
        </is>
      </c>
      <c r="F200" s="4" t="inlineStr">
        <is>
          <t>Family</t>
        </is>
      </c>
      <c r="G200" s="4" t="inlineStr">
        <is>
          <t>Expense</t>
        </is>
      </c>
      <c r="H200" s="12" t="n">
        <v>45910</v>
      </c>
      <c r="I200" s="13" t="n">
        <v>0.08278935185185185</v>
      </c>
      <c r="J200" s="14" t="n">
        <v>45910.08278935185</v>
      </c>
      <c r="K200" s="15" t="n">
        <v>10432.68</v>
      </c>
      <c r="L200" s="4" t="inlineStr">
        <is>
          <t>INR</t>
        </is>
      </c>
      <c r="M200" s="15" t="n">
        <v>-10432.68</v>
      </c>
      <c r="N200" s="4" t="inlineStr">
        <is>
          <t>IOS Owner</t>
        </is>
      </c>
      <c r="O200" s="4" t="n"/>
      <c r="P200" s="4" t="n"/>
      <c r="Q200" s="4" t="inlineStr">
        <is>
          <t>MAESTRO-IOS-PERSONAL-RELATIONSHIPS-0199 | Family | 10432.68</t>
        </is>
      </c>
      <c r="R200" s="4" t="inlineStr">
        <is>
          <t>iPhone</t>
        </is>
      </c>
      <c r="S200" s="4" t="inlineStr">
        <is>
          <t>B04</t>
        </is>
      </c>
      <c r="T200" s="4" t="inlineStr">
        <is>
          <t>BASELINE_1_500</t>
        </is>
      </c>
      <c r="U200" s="4" t="inlineStr">
        <is>
          <t>CREATED</t>
        </is>
      </c>
      <c r="V200" s="4" t="inlineStr">
        <is>
          <t>idem-20260902-ios-0199</t>
        </is>
      </c>
    </row>
    <row r="201" ht="30" customHeight="1">
      <c r="A201" s="4" t="n">
        <v>200</v>
      </c>
      <c r="B201" s="4" t="inlineStr">
        <is>
          <t>MTR-IOS-0200</t>
        </is>
      </c>
      <c r="C201" s="4" t="inlineStr">
        <is>
          <t>Group</t>
        </is>
      </c>
      <c r="D201" s="4" t="inlineStr">
        <is>
          <t>Shared Experience</t>
        </is>
      </c>
      <c r="E201" s="4" t="inlineStr">
        <is>
          <t>Wedding</t>
        </is>
      </c>
      <c r="F201" s="4" t="inlineStr">
        <is>
          <t>Catering</t>
        </is>
      </c>
      <c r="G201" s="4" t="inlineStr">
        <is>
          <t>Expense</t>
        </is>
      </c>
      <c r="H201" s="12" t="n">
        <v>46071</v>
      </c>
      <c r="I201" s="13" t="n">
        <v>0.8688541666666667</v>
      </c>
      <c r="J201" s="14" t="n">
        <v>46071.86885416666</v>
      </c>
      <c r="K201" s="15" t="n">
        <v>9035.43</v>
      </c>
      <c r="L201" s="4" t="inlineStr">
        <is>
          <t>INR</t>
        </is>
      </c>
      <c r="M201" s="15" t="n">
        <v>-9035.43</v>
      </c>
      <c r="N201" s="4" t="inlineStr">
        <is>
          <t>IOS Owner</t>
        </is>
      </c>
      <c r="O201" s="4" t="n">
        <v>3</v>
      </c>
      <c r="P201" s="4" t="inlineStr">
        <is>
          <t>EXACT</t>
        </is>
      </c>
      <c r="Q201" s="4" t="inlineStr">
        <is>
          <t>MAESTRO-IOS-GROUP-WEDDING-0200 | Catering | 9035.43</t>
        </is>
      </c>
      <c r="R201" s="4" t="inlineStr">
        <is>
          <t>iPhone</t>
        </is>
      </c>
      <c r="S201" s="4" t="inlineStr">
        <is>
          <t>B04</t>
        </is>
      </c>
      <c r="T201" s="4" t="inlineStr">
        <is>
          <t>BASELINE_1_500</t>
        </is>
      </c>
      <c r="U201" s="4" t="inlineStr">
        <is>
          <t>CREATED</t>
        </is>
      </c>
      <c r="V201" s="4" t="inlineStr">
        <is>
          <t>idem-20260902-ios-0200</t>
        </is>
      </c>
    </row>
    <row r="202" ht="30" customHeight="1">
      <c r="A202" s="4" t="n">
        <v>201</v>
      </c>
      <c r="B202" s="4" t="inlineStr">
        <is>
          <t>MTR-IOS-0201</t>
        </is>
      </c>
      <c r="C202" s="4" t="inlineStr">
        <is>
          <t>Business</t>
        </is>
      </c>
      <c r="D202" s="4" t="inlineStr">
        <is>
          <t>Business</t>
        </is>
      </c>
      <c r="E202" s="4" t="inlineStr">
        <is>
          <t>Team Operations</t>
        </is>
      </c>
      <c r="F202" s="4" t="inlineStr">
        <is>
          <t>Team Meal</t>
        </is>
      </c>
      <c r="G202" s="4" t="inlineStr">
        <is>
          <t>Expense</t>
        </is>
      </c>
      <c r="H202" s="12" t="n">
        <v>46023</v>
      </c>
      <c r="I202" s="13" t="n">
        <v>0.006041666666666667</v>
      </c>
      <c r="J202" s="14" t="n">
        <v>46023.00604166667</v>
      </c>
      <c r="K202" s="15" t="n">
        <v>29009.96</v>
      </c>
      <c r="L202" s="4" t="inlineStr">
        <is>
          <t>INR</t>
        </is>
      </c>
      <c r="M202" s="15" t="n">
        <v>-29009.96</v>
      </c>
      <c r="N202" s="4" t="inlineStr">
        <is>
          <t>IOS Owner</t>
        </is>
      </c>
      <c r="O202" s="4" t="n"/>
      <c r="P202" s="4" t="n"/>
      <c r="Q202" s="4" t="inlineStr">
        <is>
          <t>MAESTRO-IOS-BUSINESS-TEAM_OPERATIONS-0201 | Team Meal | 29009.96</t>
        </is>
      </c>
      <c r="R202" s="4" t="inlineStr">
        <is>
          <t>iPhone</t>
        </is>
      </c>
      <c r="S202" s="4" t="inlineStr">
        <is>
          <t>B05</t>
        </is>
      </c>
      <c r="T202" s="4" t="inlineStr">
        <is>
          <t>BASELINE_1_500</t>
        </is>
      </c>
      <c r="U202" s="4" t="inlineStr">
        <is>
          <t>CREATED</t>
        </is>
      </c>
      <c r="V202" s="4" t="inlineStr">
        <is>
          <t>idem-20260902-ios-0201</t>
        </is>
      </c>
    </row>
    <row r="203" ht="30" customHeight="1">
      <c r="A203" s="4" t="n">
        <v>202</v>
      </c>
      <c r="B203" s="4" t="inlineStr">
        <is>
          <t>MTR-IOS-0202</t>
        </is>
      </c>
      <c r="C203" s="4" t="inlineStr">
        <is>
          <t>Personal</t>
        </is>
      </c>
      <c r="D203" s="4" t="inlineStr">
        <is>
          <t>Personal</t>
        </is>
      </c>
      <c r="E203" s="4" t="inlineStr">
        <is>
          <t>Relationships</t>
        </is>
      </c>
      <c r="F203" s="4" t="inlineStr">
        <is>
          <t>Friends</t>
        </is>
      </c>
      <c r="G203" s="4" t="inlineStr">
        <is>
          <t>Expense</t>
        </is>
      </c>
      <c r="H203" s="12" t="n">
        <v>45955</v>
      </c>
      <c r="I203" s="13" t="n">
        <v>0.632800925925926</v>
      </c>
      <c r="J203" s="14" t="n">
        <v>45955.63280092592</v>
      </c>
      <c r="K203" s="15" t="n">
        <v>4829.67</v>
      </c>
      <c r="L203" s="4" t="inlineStr">
        <is>
          <t>INR</t>
        </is>
      </c>
      <c r="M203" s="15" t="n">
        <v>-4829.67</v>
      </c>
      <c r="N203" s="4" t="inlineStr">
        <is>
          <t>IOS Owner</t>
        </is>
      </c>
      <c r="O203" s="4" t="n"/>
      <c r="P203" s="4" t="n"/>
      <c r="Q203" s="4" t="inlineStr">
        <is>
          <t>MAESTRO-IOS-PERSONAL-RELATIONSHIPS-0202 | Friends | 4829.67</t>
        </is>
      </c>
      <c r="R203" s="4" t="inlineStr">
        <is>
          <t>iPhone</t>
        </is>
      </c>
      <c r="S203" s="4" t="inlineStr">
        <is>
          <t>B05</t>
        </is>
      </c>
      <c r="T203" s="4" t="inlineStr">
        <is>
          <t>BASELINE_1_500</t>
        </is>
      </c>
      <c r="U203" s="4" t="inlineStr">
        <is>
          <t>CREATED</t>
        </is>
      </c>
      <c r="V203" s="4" t="inlineStr">
        <is>
          <t>idem-20260902-ios-0202</t>
        </is>
      </c>
    </row>
    <row r="204" ht="30" customHeight="1">
      <c r="A204" s="4" t="n">
        <v>203</v>
      </c>
      <c r="B204" s="4" t="inlineStr">
        <is>
          <t>MTR-IOS-0203</t>
        </is>
      </c>
      <c r="C204" s="4" t="inlineStr">
        <is>
          <t>Group</t>
        </is>
      </c>
      <c r="D204" s="4" t="inlineStr">
        <is>
          <t>Shared Experience</t>
        </is>
      </c>
      <c r="E204" s="4" t="inlineStr">
        <is>
          <t>Wedding</t>
        </is>
      </c>
      <c r="F204" s="4" t="inlineStr">
        <is>
          <t>Decor</t>
        </is>
      </c>
      <c r="G204" s="4" t="inlineStr">
        <is>
          <t>Expense</t>
        </is>
      </c>
      <c r="H204" s="12" t="n">
        <v>46029</v>
      </c>
      <c r="I204" s="13" t="n">
        <v>0.5172106481481481</v>
      </c>
      <c r="J204" s="14" t="n">
        <v>46029.51721064815</v>
      </c>
      <c r="K204" s="15" t="n">
        <v>14089.12</v>
      </c>
      <c r="L204" s="4" t="inlineStr">
        <is>
          <t>INR</t>
        </is>
      </c>
      <c r="M204" s="15" t="n">
        <v>-14089.12</v>
      </c>
      <c r="N204" s="4" t="inlineStr">
        <is>
          <t>IOS Aarav</t>
        </is>
      </c>
      <c r="O204" s="4" t="n">
        <v>3</v>
      </c>
      <c r="P204" s="4" t="inlineStr">
        <is>
          <t>SHARES</t>
        </is>
      </c>
      <c r="Q204" s="4" t="inlineStr">
        <is>
          <t>MAESTRO-IOS-GROUP-WEDDING-0203 | Decor | 14089.12</t>
        </is>
      </c>
      <c r="R204" s="4" t="inlineStr">
        <is>
          <t>iPhone</t>
        </is>
      </c>
      <c r="S204" s="4" t="inlineStr">
        <is>
          <t>B05</t>
        </is>
      </c>
      <c r="T204" s="4" t="inlineStr">
        <is>
          <t>BASELINE_1_500</t>
        </is>
      </c>
      <c r="U204" s="4" t="inlineStr">
        <is>
          <t>CREATED</t>
        </is>
      </c>
      <c r="V204" s="4" t="inlineStr">
        <is>
          <t>idem-20260902-ios-0203</t>
        </is>
      </c>
    </row>
    <row r="205" ht="30" customHeight="1">
      <c r="A205" s="4" t="n">
        <v>204</v>
      </c>
      <c r="B205" s="4" t="inlineStr">
        <is>
          <t>MTR-IOS-0204</t>
        </is>
      </c>
      <c r="C205" s="4" t="inlineStr">
        <is>
          <t>Business</t>
        </is>
      </c>
      <c r="D205" s="4" t="inlineStr">
        <is>
          <t>Business</t>
        </is>
      </c>
      <c r="E205" s="4" t="inlineStr">
        <is>
          <t>Team Operations</t>
        </is>
      </c>
      <c r="F205" s="4" t="inlineStr">
        <is>
          <t>Travel</t>
        </is>
      </c>
      <c r="G205" s="4" t="inlineStr">
        <is>
          <t>Expense</t>
        </is>
      </c>
      <c r="H205" s="12" t="n">
        <v>46189</v>
      </c>
      <c r="I205" s="13" t="n">
        <v>0.9018402777777778</v>
      </c>
      <c r="J205" s="14" t="n">
        <v>46189.90184027778</v>
      </c>
      <c r="K205" s="15" t="n">
        <v>141787.26</v>
      </c>
      <c r="L205" s="4" t="inlineStr">
        <is>
          <t>INR</t>
        </is>
      </c>
      <c r="M205" s="15" t="n">
        <v>-141787.26</v>
      </c>
      <c r="N205" s="4" t="inlineStr">
        <is>
          <t>IOS Owner</t>
        </is>
      </c>
      <c r="O205" s="4" t="n"/>
      <c r="P205" s="4" t="n"/>
      <c r="Q205" s="4" t="inlineStr">
        <is>
          <t>MAESTRO-IOS-BUSINESS-TEAM_OPERATIONS-0204 | Travel | 141787.26</t>
        </is>
      </c>
      <c r="R205" s="4" t="inlineStr">
        <is>
          <t>iPhone</t>
        </is>
      </c>
      <c r="S205" s="4" t="inlineStr">
        <is>
          <t>B05</t>
        </is>
      </c>
      <c r="T205" s="4" t="inlineStr">
        <is>
          <t>BASELINE_1_500</t>
        </is>
      </c>
      <c r="U205" s="4" t="inlineStr">
        <is>
          <t>CREATED</t>
        </is>
      </c>
      <c r="V205" s="4" t="inlineStr">
        <is>
          <t>idem-20260902-ios-0204</t>
        </is>
      </c>
    </row>
    <row r="206" ht="30" customHeight="1">
      <c r="A206" s="4" t="n">
        <v>205</v>
      </c>
      <c r="B206" s="4" t="inlineStr">
        <is>
          <t>MTR-IOS-0205</t>
        </is>
      </c>
      <c r="C206" s="4" t="inlineStr">
        <is>
          <t>Personal</t>
        </is>
      </c>
      <c r="D206" s="4" t="inlineStr">
        <is>
          <t>Personal</t>
        </is>
      </c>
      <c r="E206" s="4" t="inlineStr">
        <is>
          <t>Relationships</t>
        </is>
      </c>
      <c r="F206" s="4" t="inlineStr">
        <is>
          <t>Celebrations</t>
        </is>
      </c>
      <c r="G206" s="4" t="inlineStr">
        <is>
          <t>Expense</t>
        </is>
      </c>
      <c r="H206" s="12" t="n">
        <v>46026</v>
      </c>
      <c r="I206" s="13" t="n">
        <v>0.6166087962962963</v>
      </c>
      <c r="J206" s="14" t="n">
        <v>46026.6166087963</v>
      </c>
      <c r="K206" s="15" t="n">
        <v>3977.56</v>
      </c>
      <c r="L206" s="4" t="inlineStr">
        <is>
          <t>INR</t>
        </is>
      </c>
      <c r="M206" s="15" t="n">
        <v>-3977.56</v>
      </c>
      <c r="N206" s="4" t="inlineStr">
        <is>
          <t>IOS Owner</t>
        </is>
      </c>
      <c r="O206" s="4" t="n"/>
      <c r="P206" s="4" t="n"/>
      <c r="Q206" s="4" t="inlineStr">
        <is>
          <t>MAESTRO-IOS-PERSONAL-RELATIONSHIPS-0205 | Celebrations | 3977.56</t>
        </is>
      </c>
      <c r="R206" s="4" t="inlineStr">
        <is>
          <t>iPhone</t>
        </is>
      </c>
      <c r="S206" s="4" t="inlineStr">
        <is>
          <t>B05</t>
        </is>
      </c>
      <c r="T206" s="4" t="inlineStr">
        <is>
          <t>BASELINE_1_500</t>
        </is>
      </c>
      <c r="U206" s="4" t="inlineStr">
        <is>
          <t>CREATED</t>
        </is>
      </c>
      <c r="V206" s="4" t="inlineStr">
        <is>
          <t>idem-20260902-ios-0205</t>
        </is>
      </c>
    </row>
    <row r="207" ht="30" customHeight="1">
      <c r="A207" s="4" t="n">
        <v>206</v>
      </c>
      <c r="B207" s="4" t="inlineStr">
        <is>
          <t>MTR-IOS-0206</t>
        </is>
      </c>
      <c r="C207" s="4" t="inlineStr">
        <is>
          <t>Group</t>
        </is>
      </c>
      <c r="D207" s="4" t="inlineStr">
        <is>
          <t>Shared Experience</t>
        </is>
      </c>
      <c r="E207" s="4" t="inlineStr">
        <is>
          <t>Wedding</t>
        </is>
      </c>
      <c r="F207" s="4" t="inlineStr">
        <is>
          <t>Travel</t>
        </is>
      </c>
      <c r="G207" s="4" t="inlineStr">
        <is>
          <t>Expense</t>
        </is>
      </c>
      <c r="H207" s="12" t="n">
        <v>45905</v>
      </c>
      <c r="I207" s="13" t="n">
        <v>0.1491782407407407</v>
      </c>
      <c r="J207" s="14" t="n">
        <v>45905.14917824074</v>
      </c>
      <c r="K207" s="15" t="n">
        <v>13925.5</v>
      </c>
      <c r="L207" s="4" t="inlineStr">
        <is>
          <t>INR</t>
        </is>
      </c>
      <c r="M207" s="15" t="n">
        <v>-13925.5</v>
      </c>
      <c r="N207" s="4" t="inlineStr">
        <is>
          <t>IOS Meera</t>
        </is>
      </c>
      <c r="O207" s="4" t="n">
        <v>3</v>
      </c>
      <c r="P207" s="4" t="inlineStr">
        <is>
          <t>EQUAL</t>
        </is>
      </c>
      <c r="Q207" s="4" t="inlineStr">
        <is>
          <t>MAESTRO-IOS-GROUP-WEDDING-0206 | Travel | 13925.50</t>
        </is>
      </c>
      <c r="R207" s="4" t="inlineStr">
        <is>
          <t>iPhone</t>
        </is>
      </c>
      <c r="S207" s="4" t="inlineStr">
        <is>
          <t>B05</t>
        </is>
      </c>
      <c r="T207" s="4" t="inlineStr">
        <is>
          <t>BASELINE_1_500</t>
        </is>
      </c>
      <c r="U207" s="4" t="inlineStr">
        <is>
          <t>CREATED</t>
        </is>
      </c>
      <c r="V207" s="4" t="inlineStr">
        <is>
          <t>idem-20260902-ios-0206</t>
        </is>
      </c>
    </row>
    <row r="208" ht="30" customHeight="1">
      <c r="A208" s="4" t="n">
        <v>207</v>
      </c>
      <c r="B208" s="4" t="inlineStr">
        <is>
          <t>MTR-IOS-0207</t>
        </is>
      </c>
      <c r="C208" s="4" t="inlineStr">
        <is>
          <t>Business</t>
        </is>
      </c>
      <c r="D208" s="4" t="inlineStr">
        <is>
          <t>Business</t>
        </is>
      </c>
      <c r="E208" s="4" t="inlineStr">
        <is>
          <t>Team Operations</t>
        </is>
      </c>
      <c r="F208" s="4" t="inlineStr">
        <is>
          <t>Training</t>
        </is>
      </c>
      <c r="G208" s="4" t="inlineStr">
        <is>
          <t>Expense</t>
        </is>
      </c>
      <c r="H208" s="12" t="n">
        <v>46098</v>
      </c>
      <c r="I208" s="13" t="n">
        <v>0.9835300925925926</v>
      </c>
      <c r="J208" s="14" t="n">
        <v>46098.98353009259</v>
      </c>
      <c r="K208" s="15" t="n">
        <v>102659.76</v>
      </c>
      <c r="L208" s="4" t="inlineStr">
        <is>
          <t>INR</t>
        </is>
      </c>
      <c r="M208" s="15" t="n">
        <v>-102659.76</v>
      </c>
      <c r="N208" s="4" t="inlineStr">
        <is>
          <t>IOS Owner</t>
        </is>
      </c>
      <c r="O208" s="4" t="n"/>
      <c r="P208" s="4" t="n"/>
      <c r="Q208" s="4" t="inlineStr">
        <is>
          <t>MAESTRO-IOS-BUSINESS-TEAM_OPERATIONS-0207 | Training | 102659.76</t>
        </is>
      </c>
      <c r="R208" s="4" t="inlineStr">
        <is>
          <t>iPhone</t>
        </is>
      </c>
      <c r="S208" s="4" t="inlineStr">
        <is>
          <t>B05</t>
        </is>
      </c>
      <c r="T208" s="4" t="inlineStr">
        <is>
          <t>BASELINE_1_500</t>
        </is>
      </c>
      <c r="U208" s="4" t="inlineStr">
        <is>
          <t>CREATED</t>
        </is>
      </c>
      <c r="V208" s="4" t="inlineStr">
        <is>
          <t>idem-20260902-ios-0207</t>
        </is>
      </c>
    </row>
    <row r="209" ht="30" customHeight="1">
      <c r="A209" s="4" t="n">
        <v>208</v>
      </c>
      <c r="B209" s="4" t="inlineStr">
        <is>
          <t>MTR-IOS-0208</t>
        </is>
      </c>
      <c r="C209" s="4" t="inlineStr">
        <is>
          <t>Personal</t>
        </is>
      </c>
      <c r="D209" s="4" t="inlineStr">
        <is>
          <t>Personal</t>
        </is>
      </c>
      <c r="E209" s="4" t="inlineStr">
        <is>
          <t>Life Operations</t>
        </is>
      </c>
      <c r="F209" s="4" t="inlineStr">
        <is>
          <t>Groceries</t>
        </is>
      </c>
      <c r="G209" s="4" t="inlineStr">
        <is>
          <t>Expense</t>
        </is>
      </c>
      <c r="H209" s="12" t="n">
        <v>46138</v>
      </c>
      <c r="I209" s="13" t="n">
        <v>0.956875</v>
      </c>
      <c r="J209" s="14" t="n">
        <v>46138.956875</v>
      </c>
      <c r="K209" s="15" t="n">
        <v>10367.13</v>
      </c>
      <c r="L209" s="4" t="inlineStr">
        <is>
          <t>INR</t>
        </is>
      </c>
      <c r="M209" s="15" t="n">
        <v>-10367.13</v>
      </c>
      <c r="N209" s="4" t="inlineStr">
        <is>
          <t>IOS Owner</t>
        </is>
      </c>
      <c r="O209" s="4" t="n"/>
      <c r="P209" s="4" t="n"/>
      <c r="Q209" s="4" t="inlineStr">
        <is>
          <t>MAESTRO-IOS-PERSONAL-LIFE_OPERATIONS-0208 | Groceries | 10367.13</t>
        </is>
      </c>
      <c r="R209" s="4" t="inlineStr">
        <is>
          <t>iPhone</t>
        </is>
      </c>
      <c r="S209" s="4" t="inlineStr">
        <is>
          <t>B05</t>
        </is>
      </c>
      <c r="T209" s="4" t="inlineStr">
        <is>
          <t>BASELINE_1_500</t>
        </is>
      </c>
      <c r="U209" s="4" t="inlineStr">
        <is>
          <t>CREATED</t>
        </is>
      </c>
      <c r="V209" s="4" t="inlineStr">
        <is>
          <t>idem-20260902-ios-0208</t>
        </is>
      </c>
    </row>
    <row r="210" ht="30" customHeight="1">
      <c r="A210" s="4" t="n">
        <v>209</v>
      </c>
      <c r="B210" s="4" t="inlineStr">
        <is>
          <t>MTR-IOS-0209</t>
        </is>
      </c>
      <c r="C210" s="4" t="inlineStr">
        <is>
          <t>Group</t>
        </is>
      </c>
      <c r="D210" s="4" t="inlineStr">
        <is>
          <t>Shared Experience</t>
        </is>
      </c>
      <c r="E210" s="4" t="inlineStr">
        <is>
          <t>Wedding</t>
        </is>
      </c>
      <c r="F210" s="4" t="inlineStr">
        <is>
          <t>Gifts</t>
        </is>
      </c>
      <c r="G210" s="4" t="inlineStr">
        <is>
          <t>Expense</t>
        </is>
      </c>
      <c r="H210" s="12" t="n">
        <v>45968</v>
      </c>
      <c r="I210" s="13" t="n">
        <v>0.1288773148148148</v>
      </c>
      <c r="J210" s="14" t="n">
        <v>45968.12887731481</v>
      </c>
      <c r="K210" s="15" t="n">
        <v>26113.74</v>
      </c>
      <c r="L210" s="4" t="inlineStr">
        <is>
          <t>INR</t>
        </is>
      </c>
      <c r="M210" s="15" t="n">
        <v>-26113.74</v>
      </c>
      <c r="N210" s="4" t="inlineStr">
        <is>
          <t>IOS Owner</t>
        </is>
      </c>
      <c r="O210" s="4" t="n">
        <v>3</v>
      </c>
      <c r="P210" s="4" t="inlineStr">
        <is>
          <t>PERCENTAGE</t>
        </is>
      </c>
      <c r="Q210" s="4" t="inlineStr">
        <is>
          <t>MAESTRO-IOS-GROUP-WEDDING-0209 | Gifts | 26113.74</t>
        </is>
      </c>
      <c r="R210" s="4" t="inlineStr">
        <is>
          <t>iPhone</t>
        </is>
      </c>
      <c r="S210" s="4" t="inlineStr">
        <is>
          <t>B05</t>
        </is>
      </c>
      <c r="T210" s="4" t="inlineStr">
        <is>
          <t>BASELINE_1_500</t>
        </is>
      </c>
      <c r="U210" s="4" t="inlineStr">
        <is>
          <t>CREATED</t>
        </is>
      </c>
      <c r="V210" s="4" t="inlineStr">
        <is>
          <t>idem-20260902-ios-0209</t>
        </is>
      </c>
    </row>
    <row r="211" ht="30" customHeight="1">
      <c r="A211" s="4" t="n">
        <v>210</v>
      </c>
      <c r="B211" s="4" t="inlineStr">
        <is>
          <t>MTR-IOS-0210</t>
        </is>
      </c>
      <c r="C211" s="4" t="inlineStr">
        <is>
          <t>Business</t>
        </is>
      </c>
      <c r="D211" s="4" t="inlineStr">
        <is>
          <t>Business</t>
        </is>
      </c>
      <c r="E211" s="4" t="inlineStr">
        <is>
          <t>Team Operations</t>
        </is>
      </c>
      <c r="F211" s="4" t="inlineStr">
        <is>
          <t>Tools</t>
        </is>
      </c>
      <c r="G211" s="4" t="inlineStr">
        <is>
          <t>Expense</t>
        </is>
      </c>
      <c r="H211" s="12" t="n">
        <v>45982</v>
      </c>
      <c r="I211" s="13" t="n">
        <v>0.4677083333333333</v>
      </c>
      <c r="J211" s="14" t="n">
        <v>45982.46770833333</v>
      </c>
      <c r="K211" s="15" t="n">
        <v>12020.39</v>
      </c>
      <c r="L211" s="4" t="inlineStr">
        <is>
          <t>INR</t>
        </is>
      </c>
      <c r="M211" s="15" t="n">
        <v>-12020.39</v>
      </c>
      <c r="N211" s="4" t="inlineStr">
        <is>
          <t>IOS Owner</t>
        </is>
      </c>
      <c r="O211" s="4" t="n"/>
      <c r="P211" s="4" t="n"/>
      <c r="Q211" s="4" t="inlineStr">
        <is>
          <t>MAESTRO-IOS-BUSINESS-TEAM_OPERATIONS-0210 | Tools | 12020.39</t>
        </is>
      </c>
      <c r="R211" s="4" t="inlineStr">
        <is>
          <t>iPhone</t>
        </is>
      </c>
      <c r="S211" s="4" t="inlineStr">
        <is>
          <t>B05</t>
        </is>
      </c>
      <c r="T211" s="4" t="inlineStr">
        <is>
          <t>BASELINE_1_500</t>
        </is>
      </c>
      <c r="U211" s="4" t="inlineStr">
        <is>
          <t>CREATED</t>
        </is>
      </c>
      <c r="V211" s="4" t="inlineStr">
        <is>
          <t>idem-20260902-ios-0210</t>
        </is>
      </c>
    </row>
    <row r="212" ht="30" customHeight="1">
      <c r="A212" s="4" t="n">
        <v>211</v>
      </c>
      <c r="B212" s="4" t="inlineStr">
        <is>
          <t>MTR-IOS-0211</t>
        </is>
      </c>
      <c r="C212" s="4" t="inlineStr">
        <is>
          <t>Personal</t>
        </is>
      </c>
      <c r="D212" s="4" t="inlineStr">
        <is>
          <t>Personal</t>
        </is>
      </c>
      <c r="E212" s="4" t="inlineStr">
        <is>
          <t>Life Operations</t>
        </is>
      </c>
      <c r="F212" s="4" t="inlineStr">
        <is>
          <t>Rent</t>
        </is>
      </c>
      <c r="G212" s="4" t="inlineStr">
        <is>
          <t>Expense</t>
        </is>
      </c>
      <c r="H212" s="12" t="n">
        <v>46202</v>
      </c>
      <c r="I212" s="13" t="n">
        <v>0.4353240740740741</v>
      </c>
      <c r="J212" s="14" t="n">
        <v>46202.43532407407</v>
      </c>
      <c r="K212" s="15" t="n">
        <v>12789.01</v>
      </c>
      <c r="L212" s="4" t="inlineStr">
        <is>
          <t>INR</t>
        </is>
      </c>
      <c r="M212" s="15" t="n">
        <v>-12789.01</v>
      </c>
      <c r="N212" s="4" t="inlineStr">
        <is>
          <t>IOS Owner</t>
        </is>
      </c>
      <c r="O212" s="4" t="n"/>
      <c r="P212" s="4" t="n"/>
      <c r="Q212" s="4" t="inlineStr">
        <is>
          <t>MAESTRO-IOS-PERSONAL-LIFE_OPERATIONS-0211 | Rent | 12789.01</t>
        </is>
      </c>
      <c r="R212" s="4" t="inlineStr">
        <is>
          <t>iPhone</t>
        </is>
      </c>
      <c r="S212" s="4" t="inlineStr">
        <is>
          <t>B05</t>
        </is>
      </c>
      <c r="T212" s="4" t="inlineStr">
        <is>
          <t>BASELINE_1_500</t>
        </is>
      </c>
      <c r="U212" s="4" t="inlineStr">
        <is>
          <t>CREATED</t>
        </is>
      </c>
      <c r="V212" s="4" t="inlineStr">
        <is>
          <t>idem-20260902-ios-0211</t>
        </is>
      </c>
    </row>
    <row r="213" ht="30" customHeight="1">
      <c r="A213" s="4" t="n">
        <v>212</v>
      </c>
      <c r="B213" s="4" t="inlineStr">
        <is>
          <t>MTR-IOS-0212</t>
        </is>
      </c>
      <c r="C213" s="4" t="inlineStr">
        <is>
          <t>Group</t>
        </is>
      </c>
      <c r="D213" s="4" t="inlineStr">
        <is>
          <t>Shared Experience</t>
        </is>
      </c>
      <c r="E213" s="4" t="inlineStr">
        <is>
          <t>Wedding</t>
        </is>
      </c>
      <c r="F213" s="4" t="inlineStr">
        <is>
          <t>Photography</t>
        </is>
      </c>
      <c r="G213" s="4" t="inlineStr">
        <is>
          <t>Expense</t>
        </is>
      </c>
      <c r="H213" s="12" t="n">
        <v>46219</v>
      </c>
      <c r="I213" s="13" t="n">
        <v>0.6986689814814815</v>
      </c>
      <c r="J213" s="14" t="n">
        <v>46219.69866898148</v>
      </c>
      <c r="K213" s="15" t="n">
        <v>338.55</v>
      </c>
      <c r="L213" s="4" t="inlineStr">
        <is>
          <t>INR</t>
        </is>
      </c>
      <c r="M213" s="15" t="n">
        <v>-338.55</v>
      </c>
      <c r="N213" s="4" t="inlineStr">
        <is>
          <t>IOS Aarav</t>
        </is>
      </c>
      <c r="O213" s="4" t="n">
        <v>3</v>
      </c>
      <c r="P213" s="4" t="inlineStr">
        <is>
          <t>EXACT</t>
        </is>
      </c>
      <c r="Q213" s="4" t="inlineStr">
        <is>
          <t>MAESTRO-IOS-GROUP-WEDDING-0212 | Photography | 338.55</t>
        </is>
      </c>
      <c r="R213" s="4" t="inlineStr">
        <is>
          <t>iPhone</t>
        </is>
      </c>
      <c r="S213" s="4" t="inlineStr">
        <is>
          <t>B05</t>
        </is>
      </c>
      <c r="T213" s="4" t="inlineStr">
        <is>
          <t>BASELINE_1_500</t>
        </is>
      </c>
      <c r="U213" s="4" t="inlineStr">
        <is>
          <t>CREATED</t>
        </is>
      </c>
      <c r="V213" s="4" t="inlineStr">
        <is>
          <t>idem-20260902-ios-0212</t>
        </is>
      </c>
    </row>
    <row r="214" ht="30" customHeight="1">
      <c r="A214" s="4" t="n">
        <v>213</v>
      </c>
      <c r="B214" s="4" t="inlineStr">
        <is>
          <t>MTR-IOS-0213</t>
        </is>
      </c>
      <c r="C214" s="4" t="inlineStr">
        <is>
          <t>Business</t>
        </is>
      </c>
      <c r="D214" s="4" t="inlineStr">
        <is>
          <t>Business</t>
        </is>
      </c>
      <c r="E214" s="4" t="inlineStr">
        <is>
          <t>Business Runway</t>
        </is>
      </c>
      <c r="F214" s="4" t="inlineStr">
        <is>
          <t>Funding</t>
        </is>
      </c>
      <c r="G214" s="4" t="inlineStr">
        <is>
          <t>Income</t>
        </is>
      </c>
      <c r="H214" s="12" t="n">
        <v>46157</v>
      </c>
      <c r="I214" s="13" t="n">
        <v>0.3282754629629629</v>
      </c>
      <c r="J214" s="14" t="n">
        <v>46157.32827546296</v>
      </c>
      <c r="K214" s="15" t="n">
        <v>150823.97</v>
      </c>
      <c r="L214" s="4" t="inlineStr">
        <is>
          <t>INR</t>
        </is>
      </c>
      <c r="M214" s="15" t="n">
        <v>150823.97</v>
      </c>
      <c r="N214" s="4" t="inlineStr">
        <is>
          <t>IOS Owner</t>
        </is>
      </c>
      <c r="O214" s="4" t="n"/>
      <c r="P214" s="4" t="n"/>
      <c r="Q214" s="4" t="inlineStr">
        <is>
          <t>MAESTRO-IOS-BUSINESS-BUSINESS_RUNWAY-0213 | Funding | 150823.97</t>
        </is>
      </c>
      <c r="R214" s="4" t="inlineStr">
        <is>
          <t>iPhone</t>
        </is>
      </c>
      <c r="S214" s="4" t="inlineStr">
        <is>
          <t>B05</t>
        </is>
      </c>
      <c r="T214" s="4" t="inlineStr">
        <is>
          <t>BASELINE_1_500</t>
        </is>
      </c>
      <c r="U214" s="4" t="inlineStr">
        <is>
          <t>CREATED</t>
        </is>
      </c>
      <c r="V214" s="4" t="inlineStr">
        <is>
          <t>idem-20260902-ios-0213</t>
        </is>
      </c>
    </row>
    <row r="215" ht="30" customHeight="1">
      <c r="A215" s="4" t="n">
        <v>214</v>
      </c>
      <c r="B215" s="4" t="inlineStr">
        <is>
          <t>MTR-IOS-0214</t>
        </is>
      </c>
      <c r="C215" s="4" t="inlineStr">
        <is>
          <t>Personal</t>
        </is>
      </c>
      <c r="D215" s="4" t="inlineStr">
        <is>
          <t>Personal</t>
        </is>
      </c>
      <c r="E215" s="4" t="inlineStr">
        <is>
          <t>Life Operations</t>
        </is>
      </c>
      <c r="F215" s="4" t="inlineStr">
        <is>
          <t>Bills</t>
        </is>
      </c>
      <c r="G215" s="4" t="inlineStr">
        <is>
          <t>Expense</t>
        </is>
      </c>
      <c r="H215" s="12" t="n">
        <v>45911</v>
      </c>
      <c r="I215" s="13" t="n">
        <v>0.4572337962962963</v>
      </c>
      <c r="J215" s="14" t="n">
        <v>45911.4572337963</v>
      </c>
      <c r="K215" s="15" t="n">
        <v>6142.84</v>
      </c>
      <c r="L215" s="4" t="inlineStr">
        <is>
          <t>INR</t>
        </is>
      </c>
      <c r="M215" s="15" t="n">
        <v>-6142.84</v>
      </c>
      <c r="N215" s="4" t="inlineStr">
        <is>
          <t>IOS Owner</t>
        </is>
      </c>
      <c r="O215" s="4" t="n"/>
      <c r="P215" s="4" t="n"/>
      <c r="Q215" s="4" t="inlineStr">
        <is>
          <t>MAESTRO-IOS-PERSONAL-LIFE_OPERATIONS-0214 | Bills | 6142.84</t>
        </is>
      </c>
      <c r="R215" s="4" t="inlineStr">
        <is>
          <t>iPhone</t>
        </is>
      </c>
      <c r="S215" s="4" t="inlineStr">
        <is>
          <t>B05</t>
        </is>
      </c>
      <c r="T215" s="4" t="inlineStr">
        <is>
          <t>BASELINE_1_500</t>
        </is>
      </c>
      <c r="U215" s="4" t="inlineStr">
        <is>
          <t>CREATED</t>
        </is>
      </c>
      <c r="V215" s="4" t="inlineStr">
        <is>
          <t>idem-20260902-ios-0214</t>
        </is>
      </c>
    </row>
    <row r="216" ht="30" customHeight="1">
      <c r="A216" s="4" t="n">
        <v>215</v>
      </c>
      <c r="B216" s="4" t="inlineStr">
        <is>
          <t>MTR-IOS-0215</t>
        </is>
      </c>
      <c r="C216" s="4" t="inlineStr">
        <is>
          <t>Group</t>
        </is>
      </c>
      <c r="D216" s="4" t="inlineStr">
        <is>
          <t>Shared Experience</t>
        </is>
      </c>
      <c r="E216" s="4" t="inlineStr">
        <is>
          <t>Wedding</t>
        </is>
      </c>
      <c r="F216" s="4" t="inlineStr">
        <is>
          <t>Other</t>
        </is>
      </c>
      <c r="G216" s="4" t="inlineStr">
        <is>
          <t>Expense</t>
        </is>
      </c>
      <c r="H216" s="12" t="n">
        <v>46262</v>
      </c>
      <c r="I216" s="13" t="n">
        <v>0.9073263888888888</v>
      </c>
      <c r="J216" s="14" t="n">
        <v>46262.90732638889</v>
      </c>
      <c r="K216" s="15" t="n">
        <v>24110.99</v>
      </c>
      <c r="L216" s="4" t="inlineStr">
        <is>
          <t>INR</t>
        </is>
      </c>
      <c r="M216" s="15" t="n">
        <v>-24110.99</v>
      </c>
      <c r="N216" s="4" t="inlineStr">
        <is>
          <t>IOS Meera</t>
        </is>
      </c>
      <c r="O216" s="4" t="n">
        <v>3</v>
      </c>
      <c r="P216" s="4" t="inlineStr">
        <is>
          <t>SHARES</t>
        </is>
      </c>
      <c r="Q216" s="4" t="inlineStr">
        <is>
          <t>MAESTRO-IOS-GROUP-WEDDING-0215 | Other | 24110.99</t>
        </is>
      </c>
      <c r="R216" s="4" t="inlineStr">
        <is>
          <t>iPhone</t>
        </is>
      </c>
      <c r="S216" s="4" t="inlineStr">
        <is>
          <t>B05</t>
        </is>
      </c>
      <c r="T216" s="4" t="inlineStr">
        <is>
          <t>BASELINE_1_500</t>
        </is>
      </c>
      <c r="U216" s="4" t="inlineStr">
        <is>
          <t>CREATED</t>
        </is>
      </c>
      <c r="V216" s="4" t="inlineStr">
        <is>
          <t>idem-20260902-ios-0215</t>
        </is>
      </c>
    </row>
    <row r="217" ht="30" customHeight="1">
      <c r="A217" s="4" t="n">
        <v>216</v>
      </c>
      <c r="B217" s="4" t="inlineStr">
        <is>
          <t>MTR-IOS-0216</t>
        </is>
      </c>
      <c r="C217" s="4" t="inlineStr">
        <is>
          <t>Business</t>
        </is>
      </c>
      <c r="D217" s="4" t="inlineStr">
        <is>
          <t>Business</t>
        </is>
      </c>
      <c r="E217" s="4" t="inlineStr">
        <is>
          <t>Business Runway</t>
        </is>
      </c>
      <c r="F217" s="4" t="inlineStr">
        <is>
          <t>Revenue</t>
        </is>
      </c>
      <c r="G217" s="4" t="inlineStr">
        <is>
          <t>Income</t>
        </is>
      </c>
      <c r="H217" s="12" t="n">
        <v>45948</v>
      </c>
      <c r="I217" s="13" t="n">
        <v>0.7914236111111111</v>
      </c>
      <c r="J217" s="14" t="n">
        <v>45948.79142361111</v>
      </c>
      <c r="K217" s="15" t="n">
        <v>71822.89999999999</v>
      </c>
      <c r="L217" s="4" t="inlineStr">
        <is>
          <t>INR</t>
        </is>
      </c>
      <c r="M217" s="15" t="n">
        <v>71822.89999999999</v>
      </c>
      <c r="N217" s="4" t="inlineStr">
        <is>
          <t>IOS Owner</t>
        </is>
      </c>
      <c r="O217" s="4" t="n"/>
      <c r="P217" s="4" t="n"/>
      <c r="Q217" s="4" t="inlineStr">
        <is>
          <t>MAESTRO-IOS-BUSINESS-BUSINESS_RUNWAY-0216 | Revenue | 71822.90</t>
        </is>
      </c>
      <c r="R217" s="4" t="inlineStr">
        <is>
          <t>iPhone</t>
        </is>
      </c>
      <c r="S217" s="4" t="inlineStr">
        <is>
          <t>B05</t>
        </is>
      </c>
      <c r="T217" s="4" t="inlineStr">
        <is>
          <t>BASELINE_1_500</t>
        </is>
      </c>
      <c r="U217" s="4" t="inlineStr">
        <is>
          <t>CREATED</t>
        </is>
      </c>
      <c r="V217" s="4" t="inlineStr">
        <is>
          <t>idem-20260902-ios-0216</t>
        </is>
      </c>
    </row>
    <row r="218" ht="30" customHeight="1">
      <c r="A218" s="4" t="n">
        <v>217</v>
      </c>
      <c r="B218" s="4" t="inlineStr">
        <is>
          <t>MTR-IOS-0217</t>
        </is>
      </c>
      <c r="C218" s="4" t="inlineStr">
        <is>
          <t>Personal</t>
        </is>
      </c>
      <c r="D218" s="4" t="inlineStr">
        <is>
          <t>Personal</t>
        </is>
      </c>
      <c r="E218" s="4" t="inlineStr">
        <is>
          <t>Life Operations</t>
        </is>
      </c>
      <c r="F218" s="4" t="inlineStr">
        <is>
          <t>Transport</t>
        </is>
      </c>
      <c r="G218" s="4" t="inlineStr">
        <is>
          <t>Expense</t>
        </is>
      </c>
      <c r="H218" s="12" t="n">
        <v>46221</v>
      </c>
      <c r="I218" s="13" t="n">
        <v>0.262025462962963</v>
      </c>
      <c r="J218" s="14" t="n">
        <v>46221.26202546297</v>
      </c>
      <c r="K218" s="15" t="n">
        <v>932.99</v>
      </c>
      <c r="L218" s="4" t="inlineStr">
        <is>
          <t>INR</t>
        </is>
      </c>
      <c r="M218" s="15" t="n">
        <v>-932.99</v>
      </c>
      <c r="N218" s="4" t="inlineStr">
        <is>
          <t>IOS Owner</t>
        </is>
      </c>
      <c r="O218" s="4" t="n"/>
      <c r="P218" s="4" t="n"/>
      <c r="Q218" s="4" t="inlineStr">
        <is>
          <t>MAESTRO-IOS-PERSONAL-LIFE_OPERATIONS-0217 | Transport | 932.99</t>
        </is>
      </c>
      <c r="R218" s="4" t="inlineStr">
        <is>
          <t>iPhone</t>
        </is>
      </c>
      <c r="S218" s="4" t="inlineStr">
        <is>
          <t>B05</t>
        </is>
      </c>
      <c r="T218" s="4" t="inlineStr">
        <is>
          <t>BASELINE_1_500</t>
        </is>
      </c>
      <c r="U218" s="4" t="inlineStr">
        <is>
          <t>CREATED</t>
        </is>
      </c>
      <c r="V218" s="4" t="inlineStr">
        <is>
          <t>idem-20260902-ios-0217</t>
        </is>
      </c>
    </row>
    <row r="219" ht="30" customHeight="1">
      <c r="A219" s="4" t="n">
        <v>218</v>
      </c>
      <c r="B219" s="4" t="inlineStr">
        <is>
          <t>MTR-IOS-0218</t>
        </is>
      </c>
      <c r="C219" s="4" t="inlineStr">
        <is>
          <t>Group</t>
        </is>
      </c>
      <c r="D219" s="4" t="inlineStr">
        <is>
          <t>Shared Experience</t>
        </is>
      </c>
      <c r="E219" s="4" t="inlineStr">
        <is>
          <t>Office Outing</t>
        </is>
      </c>
      <c r="F219" s="4" t="inlineStr">
        <is>
          <t>Food</t>
        </is>
      </c>
      <c r="G219" s="4" t="inlineStr">
        <is>
          <t>Expense</t>
        </is>
      </c>
      <c r="H219" s="12" t="n">
        <v>46184</v>
      </c>
      <c r="I219" s="13" t="n">
        <v>0.8706018518518519</v>
      </c>
      <c r="J219" s="14" t="n">
        <v>46184.87060185185</v>
      </c>
      <c r="K219" s="15" t="n">
        <v>13122.27</v>
      </c>
      <c r="L219" s="4" t="inlineStr">
        <is>
          <t>INR</t>
        </is>
      </c>
      <c r="M219" s="15" t="n">
        <v>-13122.27</v>
      </c>
      <c r="N219" s="4" t="inlineStr">
        <is>
          <t>IOS Owner</t>
        </is>
      </c>
      <c r="O219" s="4" t="n">
        <v>3</v>
      </c>
      <c r="P219" s="4" t="inlineStr">
        <is>
          <t>EQUAL</t>
        </is>
      </c>
      <c r="Q219" s="4" t="inlineStr">
        <is>
          <t>MAESTRO-IOS-GROUP-OFFICE_OUTING-0218 | Food | 13122.27</t>
        </is>
      </c>
      <c r="R219" s="4" t="inlineStr">
        <is>
          <t>iPhone</t>
        </is>
      </c>
      <c r="S219" s="4" t="inlineStr">
        <is>
          <t>B05</t>
        </is>
      </c>
      <c r="T219" s="4" t="inlineStr">
        <is>
          <t>BASELINE_1_500</t>
        </is>
      </c>
      <c r="U219" s="4" t="inlineStr">
        <is>
          <t>CREATED</t>
        </is>
      </c>
      <c r="V219" s="4" t="inlineStr">
        <is>
          <t>idem-20260902-ios-0218</t>
        </is>
      </c>
    </row>
    <row r="220" ht="30" customHeight="1">
      <c r="A220" s="4" t="n">
        <v>219</v>
      </c>
      <c r="B220" s="4" t="inlineStr">
        <is>
          <t>MTR-IOS-0219</t>
        </is>
      </c>
      <c r="C220" s="4" t="inlineStr">
        <is>
          <t>Business</t>
        </is>
      </c>
      <c r="D220" s="4" t="inlineStr">
        <is>
          <t>Business</t>
        </is>
      </c>
      <c r="E220" s="4" t="inlineStr">
        <is>
          <t>Business Runway</t>
        </is>
      </c>
      <c r="F220" s="4" t="inlineStr">
        <is>
          <t>Burn</t>
        </is>
      </c>
      <c r="G220" s="4" t="inlineStr">
        <is>
          <t>Expense</t>
        </is>
      </c>
      <c r="H220" s="12" t="n">
        <v>46099</v>
      </c>
      <c r="I220" s="13" t="n">
        <v>0.9136574074074074</v>
      </c>
      <c r="J220" s="14" t="n">
        <v>46099.91365740741</v>
      </c>
      <c r="K220" s="15" t="n">
        <v>36982.47</v>
      </c>
      <c r="L220" s="4" t="inlineStr">
        <is>
          <t>INR</t>
        </is>
      </c>
      <c r="M220" s="15" t="n">
        <v>-36982.47</v>
      </c>
      <c r="N220" s="4" t="inlineStr">
        <is>
          <t>IOS Owner</t>
        </is>
      </c>
      <c r="O220" s="4" t="n"/>
      <c r="P220" s="4" t="n"/>
      <c r="Q220" s="4" t="inlineStr">
        <is>
          <t>MAESTRO-IOS-BUSINESS-BUSINESS_RUNWAY-0219 | Burn | 36982.47</t>
        </is>
      </c>
      <c r="R220" s="4" t="inlineStr">
        <is>
          <t>iPhone</t>
        </is>
      </c>
      <c r="S220" s="4" t="inlineStr">
        <is>
          <t>B05</t>
        </is>
      </c>
      <c r="T220" s="4" t="inlineStr">
        <is>
          <t>BASELINE_1_500</t>
        </is>
      </c>
      <c r="U220" s="4" t="inlineStr">
        <is>
          <t>CREATED</t>
        </is>
      </c>
      <c r="V220" s="4" t="inlineStr">
        <is>
          <t>idem-20260902-ios-0219</t>
        </is>
      </c>
    </row>
    <row r="221" ht="30" customHeight="1">
      <c r="A221" s="4" t="n">
        <v>220</v>
      </c>
      <c r="B221" s="4" t="inlineStr">
        <is>
          <t>MTR-IOS-0220</t>
        </is>
      </c>
      <c r="C221" s="4" t="inlineStr">
        <is>
          <t>Personal</t>
        </is>
      </c>
      <c r="D221" s="4" t="inlineStr">
        <is>
          <t>Personal</t>
        </is>
      </c>
      <c r="E221" s="4" t="inlineStr">
        <is>
          <t>Life Operations</t>
        </is>
      </c>
      <c r="F221" s="4" t="inlineStr">
        <is>
          <t>Healthcare</t>
        </is>
      </c>
      <c r="G221" s="4" t="inlineStr">
        <is>
          <t>Expense</t>
        </is>
      </c>
      <c r="H221" s="12" t="n">
        <v>46040</v>
      </c>
      <c r="I221" s="13" t="n">
        <v>0.7645949074074074</v>
      </c>
      <c r="J221" s="14" t="n">
        <v>46040.76459490741</v>
      </c>
      <c r="K221" s="15" t="n">
        <v>2377.65</v>
      </c>
      <c r="L221" s="4" t="inlineStr">
        <is>
          <t>INR</t>
        </is>
      </c>
      <c r="M221" s="15" t="n">
        <v>-2377.65</v>
      </c>
      <c r="N221" s="4" t="inlineStr">
        <is>
          <t>IOS Owner</t>
        </is>
      </c>
      <c r="O221" s="4" t="n"/>
      <c r="P221" s="4" t="n"/>
      <c r="Q221" s="4" t="inlineStr">
        <is>
          <t>MAESTRO-IOS-PERSONAL-LIFE_OPERATIONS-0220 | Healthcare | 2377.65</t>
        </is>
      </c>
      <c r="R221" s="4" t="inlineStr">
        <is>
          <t>iPhone</t>
        </is>
      </c>
      <c r="S221" s="4" t="inlineStr">
        <is>
          <t>B05</t>
        </is>
      </c>
      <c r="T221" s="4" t="inlineStr">
        <is>
          <t>BASELINE_1_500</t>
        </is>
      </c>
      <c r="U221" s="4" t="inlineStr">
        <is>
          <t>CREATED</t>
        </is>
      </c>
      <c r="V221" s="4" t="inlineStr">
        <is>
          <t>idem-20260902-ios-0220</t>
        </is>
      </c>
    </row>
    <row r="222" ht="30" customHeight="1">
      <c r="A222" s="4" t="n">
        <v>221</v>
      </c>
      <c r="B222" s="4" t="inlineStr">
        <is>
          <t>MTR-IOS-0221</t>
        </is>
      </c>
      <c r="C222" s="4" t="inlineStr">
        <is>
          <t>Group</t>
        </is>
      </c>
      <c r="D222" s="4" t="inlineStr">
        <is>
          <t>Shared Experience</t>
        </is>
      </c>
      <c r="E222" s="4" t="inlineStr">
        <is>
          <t>Office Outing</t>
        </is>
      </c>
      <c r="F222" s="4" t="inlineStr">
        <is>
          <t>Travel</t>
        </is>
      </c>
      <c r="G222" s="4" t="inlineStr">
        <is>
          <t>Expense</t>
        </is>
      </c>
      <c r="H222" s="12" t="n">
        <v>45921</v>
      </c>
      <c r="I222" s="13" t="n">
        <v>0.9125347222222222</v>
      </c>
      <c r="J222" s="14" t="n">
        <v>45921.91253472222</v>
      </c>
      <c r="K222" s="15" t="n">
        <v>24244.95</v>
      </c>
      <c r="L222" s="4" t="inlineStr">
        <is>
          <t>INR</t>
        </is>
      </c>
      <c r="M222" s="15" t="n">
        <v>-24244.95</v>
      </c>
      <c r="N222" s="4" t="inlineStr">
        <is>
          <t>IOS Aarav</t>
        </is>
      </c>
      <c r="O222" s="4" t="n">
        <v>3</v>
      </c>
      <c r="P222" s="4" t="inlineStr">
        <is>
          <t>PERCENTAGE</t>
        </is>
      </c>
      <c r="Q222" s="4" t="inlineStr">
        <is>
          <t>MAESTRO-IOS-GROUP-OFFICE_OUTING-0221 | Travel | 24244.95</t>
        </is>
      </c>
      <c r="R222" s="4" t="inlineStr">
        <is>
          <t>iPhone</t>
        </is>
      </c>
      <c r="S222" s="4" t="inlineStr">
        <is>
          <t>B05</t>
        </is>
      </c>
      <c r="T222" s="4" t="inlineStr">
        <is>
          <t>BASELINE_1_500</t>
        </is>
      </c>
      <c r="U222" s="4" t="inlineStr">
        <is>
          <t>CREATED</t>
        </is>
      </c>
      <c r="V222" s="4" t="inlineStr">
        <is>
          <t>idem-20260902-ios-0221</t>
        </is>
      </c>
    </row>
    <row r="223" ht="30" customHeight="1">
      <c r="A223" s="4" t="n">
        <v>222</v>
      </c>
      <c r="B223" s="4" t="inlineStr">
        <is>
          <t>MTR-IOS-0222</t>
        </is>
      </c>
      <c r="C223" s="4" t="inlineStr">
        <is>
          <t>Business</t>
        </is>
      </c>
      <c r="D223" s="4" t="inlineStr">
        <is>
          <t>Business</t>
        </is>
      </c>
      <c r="E223" s="4" t="inlineStr">
        <is>
          <t>Business Runway</t>
        </is>
      </c>
      <c r="F223" s="4" t="inlineStr">
        <is>
          <t>Reserve</t>
        </is>
      </c>
      <c r="G223" s="4" t="inlineStr">
        <is>
          <t>Transfer</t>
        </is>
      </c>
      <c r="H223" s="12" t="n">
        <v>46175</v>
      </c>
      <c r="I223" s="13" t="n">
        <v>0.9933680555555555</v>
      </c>
      <c r="J223" s="14" t="n">
        <v>46175.99336805556</v>
      </c>
      <c r="K223" s="15" t="n">
        <v>0.01</v>
      </c>
      <c r="L223" s="4" t="inlineStr">
        <is>
          <t>INR</t>
        </is>
      </c>
      <c r="M223" s="15" t="n">
        <v>0</v>
      </c>
      <c r="N223" s="4" t="inlineStr">
        <is>
          <t>IOS Owner</t>
        </is>
      </c>
      <c r="O223" s="4" t="n"/>
      <c r="P223" s="4" t="n"/>
      <c r="Q223" s="4" t="inlineStr">
        <is>
          <t>MAESTRO-IOS-BUSINESS-BUSINESS_RUNWAY-0222 | Reserve | 0.01</t>
        </is>
      </c>
      <c r="R223" s="4" t="inlineStr">
        <is>
          <t>iPhone</t>
        </is>
      </c>
      <c r="S223" s="4" t="inlineStr">
        <is>
          <t>B05</t>
        </is>
      </c>
      <c r="T223" s="4" t="inlineStr">
        <is>
          <t>BASELINE_1_500</t>
        </is>
      </c>
      <c r="U223" s="4" t="inlineStr">
        <is>
          <t>CREATED</t>
        </is>
      </c>
      <c r="V223" s="4" t="inlineStr">
        <is>
          <t>idem-20260902-ios-0222</t>
        </is>
      </c>
    </row>
    <row r="224" ht="30" customHeight="1">
      <c r="A224" s="4" t="n">
        <v>223</v>
      </c>
      <c r="B224" s="4" t="inlineStr">
        <is>
          <t>MTR-IOS-0223</t>
        </is>
      </c>
      <c r="C224" s="4" t="inlineStr">
        <is>
          <t>Personal</t>
        </is>
      </c>
      <c r="D224" s="4" t="inlineStr">
        <is>
          <t>Personal</t>
        </is>
      </c>
      <c r="E224" s="4" t="inlineStr">
        <is>
          <t>Life Operations</t>
        </is>
      </c>
      <c r="F224" s="4" t="inlineStr">
        <is>
          <t>Subscriptions</t>
        </is>
      </c>
      <c r="G224" s="4" t="inlineStr">
        <is>
          <t>Expense</t>
        </is>
      </c>
      <c r="H224" s="12" t="n">
        <v>45965</v>
      </c>
      <c r="I224" s="13" t="n">
        <v>0.7045601851851852</v>
      </c>
      <c r="J224" s="14" t="n">
        <v>45965.70456018519</v>
      </c>
      <c r="K224" s="15" t="n">
        <v>9357.82</v>
      </c>
      <c r="L224" s="4" t="inlineStr">
        <is>
          <t>INR</t>
        </is>
      </c>
      <c r="M224" s="15" t="n">
        <v>-9357.82</v>
      </c>
      <c r="N224" s="4" t="inlineStr">
        <is>
          <t>IOS Owner</t>
        </is>
      </c>
      <c r="O224" s="4" t="n"/>
      <c r="P224" s="4" t="n"/>
      <c r="Q224" s="4" t="inlineStr">
        <is>
          <t>MAESTRO-IOS-PERSONAL-LIFE_OPERATIONS-0223 | Subscriptions | 9357.82</t>
        </is>
      </c>
      <c r="R224" s="4" t="inlineStr">
        <is>
          <t>iPhone</t>
        </is>
      </c>
      <c r="S224" s="4" t="inlineStr">
        <is>
          <t>B05</t>
        </is>
      </c>
      <c r="T224" s="4" t="inlineStr">
        <is>
          <t>BASELINE_1_500</t>
        </is>
      </c>
      <c r="U224" s="4" t="inlineStr">
        <is>
          <t>CREATED</t>
        </is>
      </c>
      <c r="V224" s="4" t="inlineStr">
        <is>
          <t>idem-20260902-ios-0223</t>
        </is>
      </c>
    </row>
    <row r="225" ht="30" customHeight="1">
      <c r="A225" s="4" t="n">
        <v>224</v>
      </c>
      <c r="B225" s="4" t="inlineStr">
        <is>
          <t>MTR-IOS-0224</t>
        </is>
      </c>
      <c r="C225" s="4" t="inlineStr">
        <is>
          <t>Group</t>
        </is>
      </c>
      <c r="D225" s="4" t="inlineStr">
        <is>
          <t>Shared Experience</t>
        </is>
      </c>
      <c r="E225" s="4" t="inlineStr">
        <is>
          <t>Office Outing</t>
        </is>
      </c>
      <c r="F225" s="4" t="inlineStr">
        <is>
          <t>Activities</t>
        </is>
      </c>
      <c r="G225" s="4" t="inlineStr">
        <is>
          <t>Expense</t>
        </is>
      </c>
      <c r="H225" s="12" t="n">
        <v>46082</v>
      </c>
      <c r="I225" s="13" t="n">
        <v>0.4062731481481481</v>
      </c>
      <c r="J225" s="14" t="n">
        <v>46082.40627314815</v>
      </c>
      <c r="K225" s="15" t="n">
        <v>4140.64</v>
      </c>
      <c r="L225" s="4" t="inlineStr">
        <is>
          <t>INR</t>
        </is>
      </c>
      <c r="M225" s="15" t="n">
        <v>-4140.64</v>
      </c>
      <c r="N225" s="4" t="inlineStr">
        <is>
          <t>IOS Meera</t>
        </is>
      </c>
      <c r="O225" s="4" t="n">
        <v>3</v>
      </c>
      <c r="P225" s="4" t="inlineStr">
        <is>
          <t>EXACT</t>
        </is>
      </c>
      <c r="Q225" s="4" t="inlineStr">
        <is>
          <t>MAESTRO-IOS-GROUP-OFFICE_OUTING-0224 | Activities | 4140.64</t>
        </is>
      </c>
      <c r="R225" s="4" t="inlineStr">
        <is>
          <t>iPhone</t>
        </is>
      </c>
      <c r="S225" s="4" t="inlineStr">
        <is>
          <t>B05</t>
        </is>
      </c>
      <c r="T225" s="4" t="inlineStr">
        <is>
          <t>BASELINE_1_500</t>
        </is>
      </c>
      <c r="U225" s="4" t="inlineStr">
        <is>
          <t>CREATED</t>
        </is>
      </c>
      <c r="V225" s="4" t="inlineStr">
        <is>
          <t>idem-20260902-ios-0224</t>
        </is>
      </c>
    </row>
    <row r="226" ht="30" customHeight="1">
      <c r="A226" s="4" t="n">
        <v>225</v>
      </c>
      <c r="B226" s="4" t="inlineStr">
        <is>
          <t>MTR-IOS-0225</t>
        </is>
      </c>
      <c r="C226" s="4" t="inlineStr">
        <is>
          <t>Business</t>
        </is>
      </c>
      <c r="D226" s="4" t="inlineStr">
        <is>
          <t>Business</t>
        </is>
      </c>
      <c r="E226" s="4" t="inlineStr">
        <is>
          <t>Business Runway</t>
        </is>
      </c>
      <c r="F226" s="4" t="inlineStr">
        <is>
          <t>Loan</t>
        </is>
      </c>
      <c r="G226" s="4" t="inlineStr">
        <is>
          <t>Income</t>
        </is>
      </c>
      <c r="H226" s="12" t="n">
        <v>45926</v>
      </c>
      <c r="I226" s="13" t="n">
        <v>0.4683449074074074</v>
      </c>
      <c r="J226" s="14" t="n">
        <v>45926.46834490741</v>
      </c>
      <c r="K226" s="15" t="n">
        <v>30702.93</v>
      </c>
      <c r="L226" s="4" t="inlineStr">
        <is>
          <t>INR</t>
        </is>
      </c>
      <c r="M226" s="15" t="n">
        <v>30702.93</v>
      </c>
      <c r="N226" s="4" t="inlineStr">
        <is>
          <t>IOS Owner</t>
        </is>
      </c>
      <c r="O226" s="4" t="n"/>
      <c r="P226" s="4" t="n"/>
      <c r="Q226" s="4" t="inlineStr">
        <is>
          <t>MAESTRO-IOS-BUSINESS-BUSINESS_RUNWAY-0225 | Loan | 30702.93</t>
        </is>
      </c>
      <c r="R226" s="4" t="inlineStr">
        <is>
          <t>iPhone</t>
        </is>
      </c>
      <c r="S226" s="4" t="inlineStr">
        <is>
          <t>B05</t>
        </is>
      </c>
      <c r="T226" s="4" t="inlineStr">
        <is>
          <t>BASELINE_1_500</t>
        </is>
      </c>
      <c r="U226" s="4" t="inlineStr">
        <is>
          <t>CREATED</t>
        </is>
      </c>
      <c r="V226" s="4" t="inlineStr">
        <is>
          <t>idem-20260902-ios-0225</t>
        </is>
      </c>
    </row>
    <row r="227" ht="30" customHeight="1">
      <c r="A227" s="4" t="n">
        <v>226</v>
      </c>
      <c r="B227" s="4" t="inlineStr">
        <is>
          <t>MTR-IOS-0226</t>
        </is>
      </c>
      <c r="C227" s="4" t="inlineStr">
        <is>
          <t>Personal</t>
        </is>
      </c>
      <c r="D227" s="4" t="inlineStr">
        <is>
          <t>Personal</t>
        </is>
      </c>
      <c r="E227" s="4" t="inlineStr">
        <is>
          <t>Life Operations</t>
        </is>
      </c>
      <c r="F227" s="4" t="inlineStr">
        <is>
          <t>Repairs</t>
        </is>
      </c>
      <c r="G227" s="4" t="inlineStr">
        <is>
          <t>Expense</t>
        </is>
      </c>
      <c r="H227" s="12" t="n">
        <v>45912</v>
      </c>
      <c r="I227" s="13" t="n">
        <v>0.3113078703703704</v>
      </c>
      <c r="J227" s="14" t="n">
        <v>45912.31130787037</v>
      </c>
      <c r="K227" s="15" t="n">
        <v>4389.78</v>
      </c>
      <c r="L227" s="4" t="inlineStr">
        <is>
          <t>INR</t>
        </is>
      </c>
      <c r="M227" s="15" t="n">
        <v>-4389.78</v>
      </c>
      <c r="N227" s="4" t="inlineStr">
        <is>
          <t>IOS Owner</t>
        </is>
      </c>
      <c r="O227" s="4" t="n"/>
      <c r="P227" s="4" t="n"/>
      <c r="Q227" s="4" t="inlineStr">
        <is>
          <t>MAESTRO-IOS-PERSONAL-LIFE_OPERATIONS-0226 | Repairs | 4389.78</t>
        </is>
      </c>
      <c r="R227" s="4" t="inlineStr">
        <is>
          <t>iPhone</t>
        </is>
      </c>
      <c r="S227" s="4" t="inlineStr">
        <is>
          <t>B05</t>
        </is>
      </c>
      <c r="T227" s="4" t="inlineStr">
        <is>
          <t>BASELINE_1_500</t>
        </is>
      </c>
      <c r="U227" s="4" t="inlineStr">
        <is>
          <t>CREATED</t>
        </is>
      </c>
      <c r="V227" s="4" t="inlineStr">
        <is>
          <t>idem-20260902-ios-0226</t>
        </is>
      </c>
    </row>
    <row r="228" ht="30" customHeight="1">
      <c r="A228" s="4" t="n">
        <v>227</v>
      </c>
      <c r="B228" s="4" t="inlineStr">
        <is>
          <t>MTR-IOS-0227</t>
        </is>
      </c>
      <c r="C228" s="4" t="inlineStr">
        <is>
          <t>Group</t>
        </is>
      </c>
      <c r="D228" s="4" t="inlineStr">
        <is>
          <t>Shared Experience</t>
        </is>
      </c>
      <c r="E228" s="4" t="inlineStr">
        <is>
          <t>Office Outing</t>
        </is>
      </c>
      <c r="F228" s="4" t="inlineStr">
        <is>
          <t>Venue</t>
        </is>
      </c>
      <c r="G228" s="4" t="inlineStr">
        <is>
          <t>Expense</t>
        </is>
      </c>
      <c r="H228" s="12" t="n">
        <v>46037</v>
      </c>
      <c r="I228" s="13" t="n">
        <v>0.2916319444444445</v>
      </c>
      <c r="J228" s="14" t="n">
        <v>46037.29163194444</v>
      </c>
      <c r="K228" s="15" t="n">
        <v>25883.88</v>
      </c>
      <c r="L228" s="4" t="inlineStr">
        <is>
          <t>INR</t>
        </is>
      </c>
      <c r="M228" s="15" t="n">
        <v>-25883.88</v>
      </c>
      <c r="N228" s="4" t="inlineStr">
        <is>
          <t>IOS Owner</t>
        </is>
      </c>
      <c r="O228" s="4" t="n">
        <v>3</v>
      </c>
      <c r="P228" s="4" t="inlineStr">
        <is>
          <t>SHARES</t>
        </is>
      </c>
      <c r="Q228" s="4" t="inlineStr">
        <is>
          <t>MAESTRO-IOS-GROUP-OFFICE_OUTING-0227 | Venue | 25883.88</t>
        </is>
      </c>
      <c r="R228" s="4" t="inlineStr">
        <is>
          <t>iPhone</t>
        </is>
      </c>
      <c r="S228" s="4" t="inlineStr">
        <is>
          <t>B05</t>
        </is>
      </c>
      <c r="T228" s="4" t="inlineStr">
        <is>
          <t>BASELINE_1_500</t>
        </is>
      </c>
      <c r="U228" s="4" t="inlineStr">
        <is>
          <t>CREATED</t>
        </is>
      </c>
      <c r="V228" s="4" t="inlineStr">
        <is>
          <t>idem-20260902-ios-0227</t>
        </is>
      </c>
    </row>
    <row r="229" ht="30" customHeight="1">
      <c r="A229" s="4" t="n">
        <v>228</v>
      </c>
      <c r="B229" s="4" t="inlineStr">
        <is>
          <t>MTR-IOS-0228</t>
        </is>
      </c>
      <c r="C229" s="4" t="inlineStr">
        <is>
          <t>Business</t>
        </is>
      </c>
      <c r="D229" s="4" t="inlineStr">
        <is>
          <t>Business</t>
        </is>
      </c>
      <c r="E229" s="4" t="inlineStr">
        <is>
          <t>Business Runway</t>
        </is>
      </c>
      <c r="F229" s="4" t="inlineStr">
        <is>
          <t>Investment</t>
        </is>
      </c>
      <c r="G229" s="4" t="inlineStr">
        <is>
          <t>Income</t>
        </is>
      </c>
      <c r="H229" s="12" t="n">
        <v>46217</v>
      </c>
      <c r="I229" s="13" t="n">
        <v>0.1755324074074074</v>
      </c>
      <c r="J229" s="14" t="n">
        <v>46217.1755324074</v>
      </c>
      <c r="K229" s="15" t="n">
        <v>5858.7</v>
      </c>
      <c r="L229" s="4" t="inlineStr">
        <is>
          <t>INR</t>
        </is>
      </c>
      <c r="M229" s="15" t="n">
        <v>5858.7</v>
      </c>
      <c r="N229" s="4" t="inlineStr">
        <is>
          <t>IOS Owner</t>
        </is>
      </c>
      <c r="O229" s="4" t="n"/>
      <c r="P229" s="4" t="n"/>
      <c r="Q229" s="4" t="inlineStr">
        <is>
          <t>MAESTRO-IOS-BUSINESS-BUSINESS_RUNWAY-0228 | Investment | 5858.70</t>
        </is>
      </c>
      <c r="R229" s="4" t="inlineStr">
        <is>
          <t>iPhone</t>
        </is>
      </c>
      <c r="S229" s="4" t="inlineStr">
        <is>
          <t>B05</t>
        </is>
      </c>
      <c r="T229" s="4" t="inlineStr">
        <is>
          <t>BASELINE_1_500</t>
        </is>
      </c>
      <c r="U229" s="4" t="inlineStr">
        <is>
          <t>CREATED</t>
        </is>
      </c>
      <c r="V229" s="4" t="inlineStr">
        <is>
          <t>idem-20260902-ios-0228</t>
        </is>
      </c>
    </row>
    <row r="230" ht="30" customHeight="1">
      <c r="A230" s="4" t="n">
        <v>229</v>
      </c>
      <c r="B230" s="4" t="inlineStr">
        <is>
          <t>MTR-IOS-0229</t>
        </is>
      </c>
      <c r="C230" s="4" t="inlineStr">
        <is>
          <t>Personal</t>
        </is>
      </c>
      <c r="D230" s="4" t="inlineStr">
        <is>
          <t>Personal</t>
        </is>
      </c>
      <c r="E230" s="4" t="inlineStr">
        <is>
          <t>Future Building</t>
        </is>
      </c>
      <c r="F230" s="4" t="inlineStr">
        <is>
          <t>Savings</t>
        </is>
      </c>
      <c r="G230" s="4" t="inlineStr">
        <is>
          <t>Transfer</t>
        </is>
      </c>
      <c r="H230" s="12" t="n">
        <v>46151</v>
      </c>
      <c r="I230" s="13" t="n">
        <v>0.0478125</v>
      </c>
      <c r="J230" s="14" t="n">
        <v>46151.0478125</v>
      </c>
      <c r="K230" s="15" t="n">
        <v>14106.16</v>
      </c>
      <c r="L230" s="4" t="inlineStr">
        <is>
          <t>INR</t>
        </is>
      </c>
      <c r="M230" s="15" t="n">
        <v>0</v>
      </c>
      <c r="N230" s="4" t="inlineStr">
        <is>
          <t>IOS Owner</t>
        </is>
      </c>
      <c r="O230" s="4" t="n"/>
      <c r="P230" s="4" t="n"/>
      <c r="Q230" s="4" t="inlineStr">
        <is>
          <t>MAESTRO-IOS-PERSONAL-FUTURE_BUILDING-0229 | Savings | 14106.16</t>
        </is>
      </c>
      <c r="R230" s="4" t="inlineStr">
        <is>
          <t>iPhone</t>
        </is>
      </c>
      <c r="S230" s="4" t="inlineStr">
        <is>
          <t>B05</t>
        </is>
      </c>
      <c r="T230" s="4" t="inlineStr">
        <is>
          <t>BASELINE_1_500</t>
        </is>
      </c>
      <c r="U230" s="4" t="inlineStr">
        <is>
          <t>CREATED</t>
        </is>
      </c>
      <c r="V230" s="4" t="inlineStr">
        <is>
          <t>idem-20260902-ios-0229</t>
        </is>
      </c>
    </row>
    <row r="231" ht="30" customHeight="1">
      <c r="A231" s="4" t="n">
        <v>230</v>
      </c>
      <c r="B231" s="4" t="inlineStr">
        <is>
          <t>MTR-IOS-0230</t>
        </is>
      </c>
      <c r="C231" s="4" t="inlineStr">
        <is>
          <t>Group</t>
        </is>
      </c>
      <c r="D231" s="4" t="inlineStr">
        <is>
          <t>Shared Experience</t>
        </is>
      </c>
      <c r="E231" s="4" t="inlineStr">
        <is>
          <t>Office Outing</t>
        </is>
      </c>
      <c r="F231" s="4" t="inlineStr">
        <is>
          <t>Other</t>
        </is>
      </c>
      <c r="G231" s="4" t="inlineStr">
        <is>
          <t>Expense</t>
        </is>
      </c>
      <c r="H231" s="12" t="n">
        <v>45960</v>
      </c>
      <c r="I231" s="13" t="n">
        <v>0.8738194444444445</v>
      </c>
      <c r="J231" s="14" t="n">
        <v>45960.87381944444</v>
      </c>
      <c r="K231" s="15" t="n">
        <v>2122.17</v>
      </c>
      <c r="L231" s="4" t="inlineStr">
        <is>
          <t>INR</t>
        </is>
      </c>
      <c r="M231" s="15" t="n">
        <v>-2122.17</v>
      </c>
      <c r="N231" s="4" t="inlineStr">
        <is>
          <t>IOS Aarav</t>
        </is>
      </c>
      <c r="O231" s="4" t="n">
        <v>3</v>
      </c>
      <c r="P231" s="4" t="inlineStr">
        <is>
          <t>EQUAL</t>
        </is>
      </c>
      <c r="Q231" s="4" t="inlineStr">
        <is>
          <t>MAESTRO-IOS-GROUP-OFFICE_OUTING-0230 | Other | 2122.17</t>
        </is>
      </c>
      <c r="R231" s="4" t="inlineStr">
        <is>
          <t>iPhone</t>
        </is>
      </c>
      <c r="S231" s="4" t="inlineStr">
        <is>
          <t>B05</t>
        </is>
      </c>
      <c r="T231" s="4" t="inlineStr">
        <is>
          <t>BASELINE_1_500</t>
        </is>
      </c>
      <c r="U231" s="4" t="inlineStr">
        <is>
          <t>CREATED</t>
        </is>
      </c>
      <c r="V231" s="4" t="inlineStr">
        <is>
          <t>idem-20260902-ios-0230</t>
        </is>
      </c>
    </row>
    <row r="232" ht="30" customHeight="1">
      <c r="A232" s="4" t="n">
        <v>231</v>
      </c>
      <c r="B232" s="4" t="inlineStr">
        <is>
          <t>MTR-IOS-0231</t>
        </is>
      </c>
      <c r="C232" s="4" t="inlineStr">
        <is>
          <t>Business</t>
        </is>
      </c>
      <c r="D232" s="4" t="inlineStr">
        <is>
          <t>Business</t>
        </is>
      </c>
      <c r="E232" s="4" t="inlineStr">
        <is>
          <t>Business Operations</t>
        </is>
      </c>
      <c r="F232" s="4" t="inlineStr">
        <is>
          <t>Software</t>
        </is>
      </c>
      <c r="G232" s="4" t="inlineStr">
        <is>
          <t>Expense</t>
        </is>
      </c>
      <c r="H232" s="12" t="n">
        <v>46066</v>
      </c>
      <c r="I232" s="13" t="n">
        <v>0.613125</v>
      </c>
      <c r="J232" s="14" t="n">
        <v>46066.613125</v>
      </c>
      <c r="K232" s="15" t="n">
        <v>131467.35</v>
      </c>
      <c r="L232" s="4" t="inlineStr">
        <is>
          <t>INR</t>
        </is>
      </c>
      <c r="M232" s="15" t="n">
        <v>-131467.35</v>
      </c>
      <c r="N232" s="4" t="inlineStr">
        <is>
          <t>IOS Owner</t>
        </is>
      </c>
      <c r="O232" s="4" t="n"/>
      <c r="P232" s="4" t="n"/>
      <c r="Q232" s="4" t="inlineStr">
        <is>
          <t>MAESTRO-IOS-BUSINESS-BUSINESS_OPERATIONS-0231 | Software | 131467.35</t>
        </is>
      </c>
      <c r="R232" s="4" t="inlineStr">
        <is>
          <t>iPhone</t>
        </is>
      </c>
      <c r="S232" s="4" t="inlineStr">
        <is>
          <t>B05</t>
        </is>
      </c>
      <c r="T232" s="4" t="inlineStr">
        <is>
          <t>BASELINE_1_500</t>
        </is>
      </c>
      <c r="U232" s="4" t="inlineStr">
        <is>
          <t>CREATED</t>
        </is>
      </c>
      <c r="V232" s="4" t="inlineStr">
        <is>
          <t>idem-20260902-ios-0231</t>
        </is>
      </c>
    </row>
    <row r="233" ht="30" customHeight="1">
      <c r="A233" s="4" t="n">
        <v>232</v>
      </c>
      <c r="B233" s="4" t="inlineStr">
        <is>
          <t>MTR-IOS-0232</t>
        </is>
      </c>
      <c r="C233" s="4" t="inlineStr">
        <is>
          <t>Personal</t>
        </is>
      </c>
      <c r="D233" s="4" t="inlineStr">
        <is>
          <t>Personal</t>
        </is>
      </c>
      <c r="E233" s="4" t="inlineStr">
        <is>
          <t>Future Building</t>
        </is>
      </c>
      <c r="F233" s="4" t="inlineStr">
        <is>
          <t>Emergency Fund</t>
        </is>
      </c>
      <c r="G233" s="4" t="inlineStr">
        <is>
          <t>Transfer</t>
        </is>
      </c>
      <c r="H233" s="12" t="n">
        <v>46262</v>
      </c>
      <c r="I233" s="13" t="n">
        <v>0.4389583333333333</v>
      </c>
      <c r="J233" s="14" t="n">
        <v>46262.43895833333</v>
      </c>
      <c r="K233" s="15" t="n">
        <v>1815.43</v>
      </c>
      <c r="L233" s="4" t="inlineStr">
        <is>
          <t>INR</t>
        </is>
      </c>
      <c r="M233" s="15" t="n">
        <v>0</v>
      </c>
      <c r="N233" s="4" t="inlineStr">
        <is>
          <t>IOS Owner</t>
        </is>
      </c>
      <c r="O233" s="4" t="n"/>
      <c r="P233" s="4" t="n"/>
      <c r="Q233" s="4" t="inlineStr">
        <is>
          <t>MAESTRO-IOS-PERSONAL-FUTURE_BUILDING-0232 | Emergency Fund | 1815.43</t>
        </is>
      </c>
      <c r="R233" s="4" t="inlineStr">
        <is>
          <t>iPhone</t>
        </is>
      </c>
      <c r="S233" s="4" t="inlineStr">
        <is>
          <t>B05</t>
        </is>
      </c>
      <c r="T233" s="4" t="inlineStr">
        <is>
          <t>BASELINE_1_500</t>
        </is>
      </c>
      <c r="U233" s="4" t="inlineStr">
        <is>
          <t>CREATED</t>
        </is>
      </c>
      <c r="V233" s="4" t="inlineStr">
        <is>
          <t>idem-20260902-ios-0232</t>
        </is>
      </c>
    </row>
    <row r="234" ht="30" customHeight="1">
      <c r="A234" s="4" t="n">
        <v>233</v>
      </c>
      <c r="B234" s="4" t="inlineStr">
        <is>
          <t>MTR-IOS-0233</t>
        </is>
      </c>
      <c r="C234" s="4" t="inlineStr">
        <is>
          <t>Group</t>
        </is>
      </c>
      <c r="D234" s="4" t="inlineStr">
        <is>
          <t>Shared Experience</t>
        </is>
      </c>
      <c r="E234" s="4" t="inlineStr">
        <is>
          <t>House Party</t>
        </is>
      </c>
      <c r="F234" s="4" t="inlineStr">
        <is>
          <t>Food</t>
        </is>
      </c>
      <c r="G234" s="4" t="inlineStr">
        <is>
          <t>Expense</t>
        </is>
      </c>
      <c r="H234" s="12" t="n">
        <v>45997</v>
      </c>
      <c r="I234" s="13" t="n">
        <v>0.4686458333333333</v>
      </c>
      <c r="J234" s="14" t="n">
        <v>45997.46864583333</v>
      </c>
      <c r="K234" s="15" t="n">
        <v>25219.85</v>
      </c>
      <c r="L234" s="4" t="inlineStr">
        <is>
          <t>INR</t>
        </is>
      </c>
      <c r="M234" s="15" t="n">
        <v>-25219.85</v>
      </c>
      <c r="N234" s="4" t="inlineStr">
        <is>
          <t>IOS Meera</t>
        </is>
      </c>
      <c r="O234" s="4" t="n">
        <v>3</v>
      </c>
      <c r="P234" s="4" t="inlineStr">
        <is>
          <t>PERCENTAGE</t>
        </is>
      </c>
      <c r="Q234" s="4" t="inlineStr">
        <is>
          <t>MAESTRO-IOS-GROUP-HOUSE_PARTY-0233 | Food | 25219.85</t>
        </is>
      </c>
      <c r="R234" s="4" t="inlineStr">
        <is>
          <t>iPhone</t>
        </is>
      </c>
      <c r="S234" s="4" t="inlineStr">
        <is>
          <t>B05</t>
        </is>
      </c>
      <c r="T234" s="4" t="inlineStr">
        <is>
          <t>BASELINE_1_500</t>
        </is>
      </c>
      <c r="U234" s="4" t="inlineStr">
        <is>
          <t>CREATED</t>
        </is>
      </c>
      <c r="V234" s="4" t="inlineStr">
        <is>
          <t>idem-20260902-ios-0233</t>
        </is>
      </c>
    </row>
    <row r="235" ht="30" customHeight="1">
      <c r="A235" s="4" t="n">
        <v>234</v>
      </c>
      <c r="B235" s="4" t="inlineStr">
        <is>
          <t>MTR-IOS-0234</t>
        </is>
      </c>
      <c r="C235" s="4" t="inlineStr">
        <is>
          <t>Business</t>
        </is>
      </c>
      <c r="D235" s="4" t="inlineStr">
        <is>
          <t>Business</t>
        </is>
      </c>
      <c r="E235" s="4" t="inlineStr">
        <is>
          <t>Business Operations</t>
        </is>
      </c>
      <c r="F235" s="4" t="inlineStr">
        <is>
          <t>Rent</t>
        </is>
      </c>
      <c r="G235" s="4" t="inlineStr">
        <is>
          <t>Expense</t>
        </is>
      </c>
      <c r="H235" s="12" t="n">
        <v>45943</v>
      </c>
      <c r="I235" s="13" t="n">
        <v>0.9770486111111111</v>
      </c>
      <c r="J235" s="14" t="n">
        <v>45943.97704861111</v>
      </c>
      <c r="K235" s="15" t="n">
        <v>145928.31</v>
      </c>
      <c r="L235" s="4" t="inlineStr">
        <is>
          <t>INR</t>
        </is>
      </c>
      <c r="M235" s="15" t="n">
        <v>-145928.31</v>
      </c>
      <c r="N235" s="4" t="inlineStr">
        <is>
          <t>IOS Owner</t>
        </is>
      </c>
      <c r="O235" s="4" t="n"/>
      <c r="P235" s="4" t="n"/>
      <c r="Q235" s="4" t="inlineStr">
        <is>
          <t>MAESTRO-IOS-BUSINESS-BUSINESS_OPERATIONS-0234 | Rent | 145928.31</t>
        </is>
      </c>
      <c r="R235" s="4" t="inlineStr">
        <is>
          <t>iPhone</t>
        </is>
      </c>
      <c r="S235" s="4" t="inlineStr">
        <is>
          <t>B05</t>
        </is>
      </c>
      <c r="T235" s="4" t="inlineStr">
        <is>
          <t>BASELINE_1_500</t>
        </is>
      </c>
      <c r="U235" s="4" t="inlineStr">
        <is>
          <t>CREATED</t>
        </is>
      </c>
      <c r="V235" s="4" t="inlineStr">
        <is>
          <t>idem-20260902-ios-0234</t>
        </is>
      </c>
    </row>
    <row r="236" ht="30" customHeight="1">
      <c r="A236" s="4" t="n">
        <v>235</v>
      </c>
      <c r="B236" s="4" t="inlineStr">
        <is>
          <t>MTR-IOS-0235</t>
        </is>
      </c>
      <c r="C236" s="4" t="inlineStr">
        <is>
          <t>Personal</t>
        </is>
      </c>
      <c r="D236" s="4" t="inlineStr">
        <is>
          <t>Personal</t>
        </is>
      </c>
      <c r="E236" s="4" t="inlineStr">
        <is>
          <t>Future Building</t>
        </is>
      </c>
      <c r="F236" s="4" t="inlineStr">
        <is>
          <t>Investments</t>
        </is>
      </c>
      <c r="G236" s="4" t="inlineStr">
        <is>
          <t>Investment</t>
        </is>
      </c>
      <c r="H236" s="12" t="n">
        <v>45967</v>
      </c>
      <c r="I236" s="13" t="n">
        <v>0.7672337962962963</v>
      </c>
      <c r="J236" s="14" t="n">
        <v>45967.76723379629</v>
      </c>
      <c r="K236" s="15" t="n">
        <v>748.6799999999999</v>
      </c>
      <c r="L236" s="4" t="inlineStr">
        <is>
          <t>INR</t>
        </is>
      </c>
      <c r="M236" s="15" t="n">
        <v>0</v>
      </c>
      <c r="N236" s="4" t="inlineStr">
        <is>
          <t>IOS Owner</t>
        </is>
      </c>
      <c r="O236" s="4" t="n"/>
      <c r="P236" s="4" t="n"/>
      <c r="Q236" s="4" t="inlineStr">
        <is>
          <t>MAESTRO-IOS-PERSONAL-FUTURE_BUILDING-0235 | Investments | 748.68</t>
        </is>
      </c>
      <c r="R236" s="4" t="inlineStr">
        <is>
          <t>iPhone</t>
        </is>
      </c>
      <c r="S236" s="4" t="inlineStr">
        <is>
          <t>B05</t>
        </is>
      </c>
      <c r="T236" s="4" t="inlineStr">
        <is>
          <t>BASELINE_1_500</t>
        </is>
      </c>
      <c r="U236" s="4" t="inlineStr">
        <is>
          <t>CREATED</t>
        </is>
      </c>
      <c r="V236" s="4" t="inlineStr">
        <is>
          <t>idem-20260902-ios-0235</t>
        </is>
      </c>
    </row>
    <row r="237" ht="30" customHeight="1">
      <c r="A237" s="4" t="n">
        <v>236</v>
      </c>
      <c r="B237" s="4" t="inlineStr">
        <is>
          <t>MTR-IOS-0236</t>
        </is>
      </c>
      <c r="C237" s="4" t="inlineStr">
        <is>
          <t>Group</t>
        </is>
      </c>
      <c r="D237" s="4" t="inlineStr">
        <is>
          <t>Shared Experience</t>
        </is>
      </c>
      <c r="E237" s="4" t="inlineStr">
        <is>
          <t>House Party</t>
        </is>
      </c>
      <c r="F237" s="4" t="inlineStr">
        <is>
          <t>Drinks</t>
        </is>
      </c>
      <c r="G237" s="4" t="inlineStr">
        <is>
          <t>Expense</t>
        </is>
      </c>
      <c r="H237" s="12" t="n">
        <v>46158</v>
      </c>
      <c r="I237" s="13" t="n">
        <v>0.2561921296296296</v>
      </c>
      <c r="J237" s="14" t="n">
        <v>46158.25619212963</v>
      </c>
      <c r="K237" s="15" t="n">
        <v>25493.74</v>
      </c>
      <c r="L237" s="4" t="inlineStr">
        <is>
          <t>INR</t>
        </is>
      </c>
      <c r="M237" s="15" t="n">
        <v>-25493.74</v>
      </c>
      <c r="N237" s="4" t="inlineStr">
        <is>
          <t>IOS Owner</t>
        </is>
      </c>
      <c r="O237" s="4" t="n">
        <v>3</v>
      </c>
      <c r="P237" s="4" t="inlineStr">
        <is>
          <t>EXACT</t>
        </is>
      </c>
      <c r="Q237" s="4" t="inlineStr">
        <is>
          <t>MAESTRO-IOS-GROUP-HOUSE_PARTY-0236 | Drinks | 25493.74</t>
        </is>
      </c>
      <c r="R237" s="4" t="inlineStr">
        <is>
          <t>iPhone</t>
        </is>
      </c>
      <c r="S237" s="4" t="inlineStr">
        <is>
          <t>B05</t>
        </is>
      </c>
      <c r="T237" s="4" t="inlineStr">
        <is>
          <t>BASELINE_1_500</t>
        </is>
      </c>
      <c r="U237" s="4" t="inlineStr">
        <is>
          <t>CREATED</t>
        </is>
      </c>
      <c r="V237" s="4" t="inlineStr">
        <is>
          <t>idem-20260902-ios-0236</t>
        </is>
      </c>
    </row>
    <row r="238" ht="30" customHeight="1">
      <c r="A238" s="4" t="n">
        <v>237</v>
      </c>
      <c r="B238" s="4" t="inlineStr">
        <is>
          <t>MTR-IOS-0237</t>
        </is>
      </c>
      <c r="C238" s="4" t="inlineStr">
        <is>
          <t>Business</t>
        </is>
      </c>
      <c r="D238" s="4" t="inlineStr">
        <is>
          <t>Business</t>
        </is>
      </c>
      <c r="E238" s="4" t="inlineStr">
        <is>
          <t>Business Operations</t>
        </is>
      </c>
      <c r="F238" s="4" t="inlineStr">
        <is>
          <t>Marketing</t>
        </is>
      </c>
      <c r="G238" s="4" t="inlineStr">
        <is>
          <t>Expense</t>
        </is>
      </c>
      <c r="H238" s="12" t="n">
        <v>45941</v>
      </c>
      <c r="I238" s="13" t="n">
        <v>0.1013657407407407</v>
      </c>
      <c r="J238" s="14" t="n">
        <v>45941.10136574074</v>
      </c>
      <c r="K238" s="15" t="n">
        <v>129268.79</v>
      </c>
      <c r="L238" s="4" t="inlineStr">
        <is>
          <t>INR</t>
        </is>
      </c>
      <c r="M238" s="15" t="n">
        <v>-129268.79</v>
      </c>
      <c r="N238" s="4" t="inlineStr">
        <is>
          <t>IOS Owner</t>
        </is>
      </c>
      <c r="O238" s="4" t="n"/>
      <c r="P238" s="4" t="n"/>
      <c r="Q238" s="4" t="inlineStr">
        <is>
          <t>MAESTRO-IOS-BUSINESS-BUSINESS_OPERATIONS-0237 | Marketing | 129268.79</t>
        </is>
      </c>
      <c r="R238" s="4" t="inlineStr">
        <is>
          <t>iPhone</t>
        </is>
      </c>
      <c r="S238" s="4" t="inlineStr">
        <is>
          <t>B05</t>
        </is>
      </c>
      <c r="T238" s="4" t="inlineStr">
        <is>
          <t>BASELINE_1_500</t>
        </is>
      </c>
      <c r="U238" s="4" t="inlineStr">
        <is>
          <t>CREATED</t>
        </is>
      </c>
      <c r="V238" s="4" t="inlineStr">
        <is>
          <t>idem-20260902-ios-0237</t>
        </is>
      </c>
    </row>
    <row r="239" ht="30" customHeight="1">
      <c r="A239" s="4" t="n">
        <v>238</v>
      </c>
      <c r="B239" s="4" t="inlineStr">
        <is>
          <t>MTR-IOS-0238</t>
        </is>
      </c>
      <c r="C239" s="4" t="inlineStr">
        <is>
          <t>Personal</t>
        </is>
      </c>
      <c r="D239" s="4" t="inlineStr">
        <is>
          <t>Personal</t>
        </is>
      </c>
      <c r="E239" s="4" t="inlineStr">
        <is>
          <t>Future Building</t>
        </is>
      </c>
      <c r="F239" s="4" t="inlineStr">
        <is>
          <t>Education</t>
        </is>
      </c>
      <c r="G239" s="4" t="inlineStr">
        <is>
          <t>Expense</t>
        </is>
      </c>
      <c r="H239" s="12" t="n">
        <v>45996</v>
      </c>
      <c r="I239" s="13" t="n">
        <v>0.2519907407407407</v>
      </c>
      <c r="J239" s="14" t="n">
        <v>45996.25199074074</v>
      </c>
      <c r="K239" s="15" t="n">
        <v>8900.450000000001</v>
      </c>
      <c r="L239" s="4" t="inlineStr">
        <is>
          <t>INR</t>
        </is>
      </c>
      <c r="M239" s="15" t="n">
        <v>-8900.450000000001</v>
      </c>
      <c r="N239" s="4" t="inlineStr">
        <is>
          <t>IOS Owner</t>
        </is>
      </c>
      <c r="O239" s="4" t="n"/>
      <c r="P239" s="4" t="n"/>
      <c r="Q239" s="4" t="inlineStr">
        <is>
          <t>MAESTRO-IOS-PERSONAL-FUTURE_BUILDING-0238 | Education | 8900.45</t>
        </is>
      </c>
      <c r="R239" s="4" t="inlineStr">
        <is>
          <t>iPhone</t>
        </is>
      </c>
      <c r="S239" s="4" t="inlineStr">
        <is>
          <t>B05</t>
        </is>
      </c>
      <c r="T239" s="4" t="inlineStr">
        <is>
          <t>BASELINE_1_500</t>
        </is>
      </c>
      <c r="U239" s="4" t="inlineStr">
        <is>
          <t>CREATED</t>
        </is>
      </c>
      <c r="V239" s="4" t="inlineStr">
        <is>
          <t>idem-20260902-ios-0238</t>
        </is>
      </c>
    </row>
    <row r="240" ht="30" customHeight="1">
      <c r="A240" s="4" t="n">
        <v>239</v>
      </c>
      <c r="B240" s="4" t="inlineStr">
        <is>
          <t>MTR-IOS-0239</t>
        </is>
      </c>
      <c r="C240" s="4" t="inlineStr">
        <is>
          <t>Group</t>
        </is>
      </c>
      <c r="D240" s="4" t="inlineStr">
        <is>
          <t>Shared Experience</t>
        </is>
      </c>
      <c r="E240" s="4" t="inlineStr">
        <is>
          <t>House Party</t>
        </is>
      </c>
      <c r="F240" s="4" t="inlineStr">
        <is>
          <t>Decor</t>
        </is>
      </c>
      <c r="G240" s="4" t="inlineStr">
        <is>
          <t>Expense</t>
        </is>
      </c>
      <c r="H240" s="12" t="n">
        <v>45996</v>
      </c>
      <c r="I240" s="13" t="n">
        <v>0.6673263888888888</v>
      </c>
      <c r="J240" s="14" t="n">
        <v>45996.66732638889</v>
      </c>
      <c r="K240" s="15" t="n">
        <v>3397.68</v>
      </c>
      <c r="L240" s="4" t="inlineStr">
        <is>
          <t>INR</t>
        </is>
      </c>
      <c r="M240" s="15" t="n">
        <v>-3397.68</v>
      </c>
      <c r="N240" s="4" t="inlineStr">
        <is>
          <t>IOS Aarav</t>
        </is>
      </c>
      <c r="O240" s="4" t="n">
        <v>3</v>
      </c>
      <c r="P240" s="4" t="inlineStr">
        <is>
          <t>SHARES</t>
        </is>
      </c>
      <c r="Q240" s="4" t="inlineStr">
        <is>
          <t>MAESTRO-IOS-GROUP-HOUSE_PARTY-0239 | Decor | 3397.68</t>
        </is>
      </c>
      <c r="R240" s="4" t="inlineStr">
        <is>
          <t>iPhone</t>
        </is>
      </c>
      <c r="S240" s="4" t="inlineStr">
        <is>
          <t>B05</t>
        </is>
      </c>
      <c r="T240" s="4" t="inlineStr">
        <is>
          <t>BASELINE_1_500</t>
        </is>
      </c>
      <c r="U240" s="4" t="inlineStr">
        <is>
          <t>CREATED</t>
        </is>
      </c>
      <c r="V240" s="4" t="inlineStr">
        <is>
          <t>idem-20260902-ios-0239</t>
        </is>
      </c>
    </row>
    <row r="241" ht="30" customHeight="1">
      <c r="A241" s="4" t="n">
        <v>240</v>
      </c>
      <c r="B241" s="4" t="inlineStr">
        <is>
          <t>MTR-IOS-0240</t>
        </is>
      </c>
      <c r="C241" s="4" t="inlineStr">
        <is>
          <t>Business</t>
        </is>
      </c>
      <c r="D241" s="4" t="inlineStr">
        <is>
          <t>Business</t>
        </is>
      </c>
      <c r="E241" s="4" t="inlineStr">
        <is>
          <t>Business Operations</t>
        </is>
      </c>
      <c r="F241" s="4" t="inlineStr">
        <is>
          <t>Legal</t>
        </is>
      </c>
      <c r="G241" s="4" t="inlineStr">
        <is>
          <t>Expense</t>
        </is>
      </c>
      <c r="H241" s="12" t="n">
        <v>46095</v>
      </c>
      <c r="I241" s="13" t="n">
        <v>0.5597337962962963</v>
      </c>
      <c r="J241" s="14" t="n">
        <v>46095.5597337963</v>
      </c>
      <c r="K241" s="15" t="n">
        <v>71306.11</v>
      </c>
      <c r="L241" s="4" t="inlineStr">
        <is>
          <t>INR</t>
        </is>
      </c>
      <c r="M241" s="15" t="n">
        <v>-71306.11</v>
      </c>
      <c r="N241" s="4" t="inlineStr">
        <is>
          <t>IOS Owner</t>
        </is>
      </c>
      <c r="O241" s="4" t="n"/>
      <c r="P241" s="4" t="n"/>
      <c r="Q241" s="4" t="inlineStr">
        <is>
          <t>MAESTRO-IOS-BUSINESS-BUSINESS_OPERATIONS-0240 | Legal | 71306.11</t>
        </is>
      </c>
      <c r="R241" s="4" t="inlineStr">
        <is>
          <t>iPhone</t>
        </is>
      </c>
      <c r="S241" s="4" t="inlineStr">
        <is>
          <t>B05</t>
        </is>
      </c>
      <c r="T241" s="4" t="inlineStr">
        <is>
          <t>BASELINE_1_500</t>
        </is>
      </c>
      <c r="U241" s="4" t="inlineStr">
        <is>
          <t>CREATED</t>
        </is>
      </c>
      <c r="V241" s="4" t="inlineStr">
        <is>
          <t>idem-20260902-ios-0240</t>
        </is>
      </c>
    </row>
    <row r="242" ht="30" customHeight="1">
      <c r="A242" s="4" t="n">
        <v>241</v>
      </c>
      <c r="B242" s="4" t="inlineStr">
        <is>
          <t>MTR-IOS-0241</t>
        </is>
      </c>
      <c r="C242" s="4" t="inlineStr">
        <is>
          <t>Personal</t>
        </is>
      </c>
      <c r="D242" s="4" t="inlineStr">
        <is>
          <t>Personal</t>
        </is>
      </c>
      <c r="E242" s="4" t="inlineStr">
        <is>
          <t>Future Building</t>
        </is>
      </c>
      <c r="F242" s="4" t="inlineStr">
        <is>
          <t>Goal Contribution</t>
        </is>
      </c>
      <c r="G242" s="4" t="inlineStr">
        <is>
          <t>Transfer</t>
        </is>
      </c>
      <c r="H242" s="12" t="n">
        <v>46103</v>
      </c>
      <c r="I242" s="13" t="n">
        <v>0.3866666666666667</v>
      </c>
      <c r="J242" s="14" t="n">
        <v>46103.38666666667</v>
      </c>
      <c r="K242" s="15" t="n">
        <v>14587.95</v>
      </c>
      <c r="L242" s="4" t="inlineStr">
        <is>
          <t>INR</t>
        </is>
      </c>
      <c r="M242" s="15" t="n">
        <v>0</v>
      </c>
      <c r="N242" s="4" t="inlineStr">
        <is>
          <t>IOS Owner</t>
        </is>
      </c>
      <c r="O242" s="4" t="n"/>
      <c r="P242" s="4" t="n"/>
      <c r="Q242" s="4" t="inlineStr">
        <is>
          <t>MAESTRO-IOS-PERSONAL-FUTURE_BUILDING-0241 | Goal Contribution | 14587.95</t>
        </is>
      </c>
      <c r="R242" s="4" t="inlineStr">
        <is>
          <t>iPhone</t>
        </is>
      </c>
      <c r="S242" s="4" t="inlineStr">
        <is>
          <t>B05</t>
        </is>
      </c>
      <c r="T242" s="4" t="inlineStr">
        <is>
          <t>BASELINE_1_500</t>
        </is>
      </c>
      <c r="U242" s="4" t="inlineStr">
        <is>
          <t>CREATED</t>
        </is>
      </c>
      <c r="V242" s="4" t="inlineStr">
        <is>
          <t>idem-20260902-ios-0241</t>
        </is>
      </c>
    </row>
    <row r="243" ht="30" customHeight="1">
      <c r="A243" s="4" t="n">
        <v>242</v>
      </c>
      <c r="B243" s="4" t="inlineStr">
        <is>
          <t>MTR-IOS-0242</t>
        </is>
      </c>
      <c r="C243" s="4" t="inlineStr">
        <is>
          <t>Group</t>
        </is>
      </c>
      <c r="D243" s="4" t="inlineStr">
        <is>
          <t>Shared Experience</t>
        </is>
      </c>
      <c r="E243" s="4" t="inlineStr">
        <is>
          <t>House Party</t>
        </is>
      </c>
      <c r="F243" s="4" t="inlineStr">
        <is>
          <t>Supplies</t>
        </is>
      </c>
      <c r="G243" s="4" t="inlineStr">
        <is>
          <t>Expense</t>
        </is>
      </c>
      <c r="H243" s="12" t="n">
        <v>46010</v>
      </c>
      <c r="I243" s="13" t="n">
        <v>0.008148148148148147</v>
      </c>
      <c r="J243" s="14" t="n">
        <v>46010.00814814815</v>
      </c>
      <c r="K243" s="15" t="n">
        <v>5144.52</v>
      </c>
      <c r="L243" s="4" t="inlineStr">
        <is>
          <t>INR</t>
        </is>
      </c>
      <c r="M243" s="15" t="n">
        <v>-5144.52</v>
      </c>
      <c r="N243" s="4" t="inlineStr">
        <is>
          <t>IOS Meera</t>
        </is>
      </c>
      <c r="O243" s="4" t="n">
        <v>3</v>
      </c>
      <c r="P243" s="4" t="inlineStr">
        <is>
          <t>EQUAL</t>
        </is>
      </c>
      <c r="Q243" s="4" t="inlineStr">
        <is>
          <t>MAESTRO-IOS-GROUP-HOUSE_PARTY-0242 | Supplies | 5144.52</t>
        </is>
      </c>
      <c r="R243" s="4" t="inlineStr">
        <is>
          <t>iPhone</t>
        </is>
      </c>
      <c r="S243" s="4" t="inlineStr">
        <is>
          <t>B05</t>
        </is>
      </c>
      <c r="T243" s="4" t="inlineStr">
        <is>
          <t>BASELINE_1_500</t>
        </is>
      </c>
      <c r="U243" s="4" t="inlineStr">
        <is>
          <t>CREATED</t>
        </is>
      </c>
      <c r="V243" s="4" t="inlineStr">
        <is>
          <t>idem-20260902-ios-0242</t>
        </is>
      </c>
    </row>
    <row r="244" ht="30" customHeight="1">
      <c r="A244" s="4" t="n">
        <v>243</v>
      </c>
      <c r="B244" s="4" t="inlineStr">
        <is>
          <t>MTR-IOS-0243</t>
        </is>
      </c>
      <c r="C244" s="4" t="inlineStr">
        <is>
          <t>Business</t>
        </is>
      </c>
      <c r="D244" s="4" t="inlineStr">
        <is>
          <t>Business</t>
        </is>
      </c>
      <c r="E244" s="4" t="inlineStr">
        <is>
          <t>Business Operations</t>
        </is>
      </c>
      <c r="F244" s="4" t="inlineStr">
        <is>
          <t>Accounting</t>
        </is>
      </c>
      <c r="G244" s="4" t="inlineStr">
        <is>
          <t>Expense</t>
        </is>
      </c>
      <c r="H244" s="12" t="n">
        <v>46171</v>
      </c>
      <c r="I244" s="13" t="n">
        <v>0.8265856481481482</v>
      </c>
      <c r="J244" s="14" t="n">
        <v>46171.82658564814</v>
      </c>
      <c r="K244" s="15" t="n">
        <v>29167.01</v>
      </c>
      <c r="L244" s="4" t="inlineStr">
        <is>
          <t>INR</t>
        </is>
      </c>
      <c r="M244" s="15" t="n">
        <v>-29167.01</v>
      </c>
      <c r="N244" s="4" t="inlineStr">
        <is>
          <t>IOS Owner</t>
        </is>
      </c>
      <c r="O244" s="4" t="n"/>
      <c r="P244" s="4" t="n"/>
      <c r="Q244" s="4" t="inlineStr">
        <is>
          <t>MAESTRO-IOS-BUSINESS-BUSINESS_OPERATIONS-0243 | Accounting | 29167.01</t>
        </is>
      </c>
      <c r="R244" s="4" t="inlineStr">
        <is>
          <t>iPhone</t>
        </is>
      </c>
      <c r="S244" s="4" t="inlineStr">
        <is>
          <t>B05</t>
        </is>
      </c>
      <c r="T244" s="4" t="inlineStr">
        <is>
          <t>BASELINE_1_500</t>
        </is>
      </c>
      <c r="U244" s="4" t="inlineStr">
        <is>
          <t>CREATED</t>
        </is>
      </c>
      <c r="V244" s="4" t="inlineStr">
        <is>
          <t>idem-20260902-ios-0243</t>
        </is>
      </c>
    </row>
    <row r="245" ht="30" customHeight="1">
      <c r="A245" s="4" t="n">
        <v>244</v>
      </c>
      <c r="B245" s="4" t="inlineStr">
        <is>
          <t>MTR-IOS-0244</t>
        </is>
      </c>
      <c r="C245" s="4" t="inlineStr">
        <is>
          <t>Personal</t>
        </is>
      </c>
      <c r="D245" s="4" t="inlineStr">
        <is>
          <t>Personal</t>
        </is>
      </c>
      <c r="E245" s="4" t="inlineStr">
        <is>
          <t>Lifestyle</t>
        </is>
      </c>
      <c r="F245" s="4" t="inlineStr">
        <is>
          <t>Dining</t>
        </is>
      </c>
      <c r="G245" s="4" t="inlineStr">
        <is>
          <t>Expense</t>
        </is>
      </c>
      <c r="H245" s="12" t="n">
        <v>46068</v>
      </c>
      <c r="I245" s="13" t="n">
        <v>0.3090162037037037</v>
      </c>
      <c r="J245" s="14" t="n">
        <v>46068.3090162037</v>
      </c>
      <c r="K245" s="15" t="n">
        <v>6999.08</v>
      </c>
      <c r="L245" s="4" t="inlineStr">
        <is>
          <t>INR</t>
        </is>
      </c>
      <c r="M245" s="15" t="n">
        <v>-6999.08</v>
      </c>
      <c r="N245" s="4" t="inlineStr">
        <is>
          <t>IOS Owner</t>
        </is>
      </c>
      <c r="O245" s="4" t="n"/>
      <c r="P245" s="4" t="n"/>
      <c r="Q245" s="4" t="inlineStr">
        <is>
          <t>MAESTRO-IOS-PERSONAL-LIFESTYLE-0244 | Dining | 6999.08</t>
        </is>
      </c>
      <c r="R245" s="4" t="inlineStr">
        <is>
          <t>iPhone</t>
        </is>
      </c>
      <c r="S245" s="4" t="inlineStr">
        <is>
          <t>B05</t>
        </is>
      </c>
      <c r="T245" s="4" t="inlineStr">
        <is>
          <t>BASELINE_1_500</t>
        </is>
      </c>
      <c r="U245" s="4" t="inlineStr">
        <is>
          <t>CREATED</t>
        </is>
      </c>
      <c r="V245" s="4" t="inlineStr">
        <is>
          <t>idem-20260902-ios-0244</t>
        </is>
      </c>
    </row>
    <row r="246" ht="30" customHeight="1">
      <c r="A246" s="4" t="n">
        <v>245</v>
      </c>
      <c r="B246" s="4" t="inlineStr">
        <is>
          <t>MTR-IOS-0245</t>
        </is>
      </c>
      <c r="C246" s="4" t="inlineStr">
        <is>
          <t>Group</t>
        </is>
      </c>
      <c r="D246" s="4" t="inlineStr">
        <is>
          <t>Shared Experience</t>
        </is>
      </c>
      <c r="E246" s="4" t="inlineStr">
        <is>
          <t>House Party</t>
        </is>
      </c>
      <c r="F246" s="4" t="inlineStr">
        <is>
          <t>Other</t>
        </is>
      </c>
      <c r="G246" s="4" t="inlineStr">
        <is>
          <t>Expense</t>
        </is>
      </c>
      <c r="H246" s="12" t="n">
        <v>46039</v>
      </c>
      <c r="I246" s="13" t="n">
        <v>0.8649189814814815</v>
      </c>
      <c r="J246" s="14" t="n">
        <v>46039.86491898148</v>
      </c>
      <c r="K246" s="15" t="n">
        <v>26303.07</v>
      </c>
      <c r="L246" s="4" t="inlineStr">
        <is>
          <t>INR</t>
        </is>
      </c>
      <c r="M246" s="15" t="n">
        <v>-26303.07</v>
      </c>
      <c r="N246" s="4" t="inlineStr">
        <is>
          <t>IOS Owner</t>
        </is>
      </c>
      <c r="O246" s="4" t="n">
        <v>3</v>
      </c>
      <c r="P246" s="4" t="inlineStr">
        <is>
          <t>PERCENTAGE</t>
        </is>
      </c>
      <c r="Q246" s="4" t="inlineStr">
        <is>
          <t>MAESTRO-IOS-GROUP-HOUSE_PARTY-0245 | Other | 26303.07</t>
        </is>
      </c>
      <c r="R246" s="4" t="inlineStr">
        <is>
          <t>iPhone</t>
        </is>
      </c>
      <c r="S246" s="4" t="inlineStr">
        <is>
          <t>B05</t>
        </is>
      </c>
      <c r="T246" s="4" t="inlineStr">
        <is>
          <t>BASELINE_1_500</t>
        </is>
      </c>
      <c r="U246" s="4" t="inlineStr">
        <is>
          <t>CREATED</t>
        </is>
      </c>
      <c r="V246" s="4" t="inlineStr">
        <is>
          <t>idem-20260902-ios-0245</t>
        </is>
      </c>
    </row>
    <row r="247" ht="30" customHeight="1">
      <c r="A247" s="4" t="n">
        <v>246</v>
      </c>
      <c r="B247" s="4" t="inlineStr">
        <is>
          <t>MTR-IOS-0246</t>
        </is>
      </c>
      <c r="C247" s="4" t="inlineStr">
        <is>
          <t>Business</t>
        </is>
      </c>
      <c r="D247" s="4" t="inlineStr">
        <is>
          <t>Business</t>
        </is>
      </c>
      <c r="E247" s="4" t="inlineStr">
        <is>
          <t>Business Operations</t>
        </is>
      </c>
      <c r="F247" s="4" t="inlineStr">
        <is>
          <t>Equipment</t>
        </is>
      </c>
      <c r="G247" s="4" t="inlineStr">
        <is>
          <t>Expense</t>
        </is>
      </c>
      <c r="H247" s="12" t="n">
        <v>45955</v>
      </c>
      <c r="I247" s="13" t="n">
        <v>0.6767592592592593</v>
      </c>
      <c r="J247" s="14" t="n">
        <v>45955.67675925926</v>
      </c>
      <c r="K247" s="15" t="n">
        <v>36231.77</v>
      </c>
      <c r="L247" s="4" t="inlineStr">
        <is>
          <t>INR</t>
        </is>
      </c>
      <c r="M247" s="15" t="n">
        <v>-36231.77</v>
      </c>
      <c r="N247" s="4" t="inlineStr">
        <is>
          <t>IOS Owner</t>
        </is>
      </c>
      <c r="O247" s="4" t="n"/>
      <c r="P247" s="4" t="n"/>
      <c r="Q247" s="4" t="inlineStr">
        <is>
          <t>MAESTRO-IOS-BUSINESS-BUSINESS_OPERATIONS-0246 | Equipment | 36231.77</t>
        </is>
      </c>
      <c r="R247" s="4" t="inlineStr">
        <is>
          <t>iPhone</t>
        </is>
      </c>
      <c r="S247" s="4" t="inlineStr">
        <is>
          <t>B05</t>
        </is>
      </c>
      <c r="T247" s="4" t="inlineStr">
        <is>
          <t>BASELINE_1_500</t>
        </is>
      </c>
      <c r="U247" s="4" t="inlineStr">
        <is>
          <t>CREATED</t>
        </is>
      </c>
      <c r="V247" s="4" t="inlineStr">
        <is>
          <t>idem-20260902-ios-0246</t>
        </is>
      </c>
    </row>
    <row r="248" ht="30" customHeight="1">
      <c r="A248" s="4" t="n">
        <v>247</v>
      </c>
      <c r="B248" s="4" t="inlineStr">
        <is>
          <t>MTR-IOS-0247</t>
        </is>
      </c>
      <c r="C248" s="4" t="inlineStr">
        <is>
          <t>Personal</t>
        </is>
      </c>
      <c r="D248" s="4" t="inlineStr">
        <is>
          <t>Personal</t>
        </is>
      </c>
      <c r="E248" s="4" t="inlineStr">
        <is>
          <t>Lifestyle</t>
        </is>
      </c>
      <c r="F248" s="4" t="inlineStr">
        <is>
          <t>Shopping</t>
        </is>
      </c>
      <c r="G248" s="4" t="inlineStr">
        <is>
          <t>Expense</t>
        </is>
      </c>
      <c r="H248" s="12" t="n">
        <v>46190</v>
      </c>
      <c r="I248" s="13" t="n">
        <v>0.4604282407407407</v>
      </c>
      <c r="J248" s="14" t="n">
        <v>46190.46042824074</v>
      </c>
      <c r="K248" s="15" t="n">
        <v>13704.06</v>
      </c>
      <c r="L248" s="4" t="inlineStr">
        <is>
          <t>INR</t>
        </is>
      </c>
      <c r="M248" s="15" t="n">
        <v>-13704.06</v>
      </c>
      <c r="N248" s="4" t="inlineStr">
        <is>
          <t>IOS Owner</t>
        </is>
      </c>
      <c r="O248" s="4" t="n"/>
      <c r="P248" s="4" t="n"/>
      <c r="Q248" s="4" t="inlineStr">
        <is>
          <t>MAESTRO-IOS-PERSONAL-LIFESTYLE-0247 | Shopping | 13704.06</t>
        </is>
      </c>
      <c r="R248" s="4" t="inlineStr">
        <is>
          <t>iPhone</t>
        </is>
      </c>
      <c r="S248" s="4" t="inlineStr">
        <is>
          <t>B05</t>
        </is>
      </c>
      <c r="T248" s="4" t="inlineStr">
        <is>
          <t>BASELINE_1_500</t>
        </is>
      </c>
      <c r="U248" s="4" t="inlineStr">
        <is>
          <t>CREATED</t>
        </is>
      </c>
      <c r="V248" s="4" t="inlineStr">
        <is>
          <t>idem-20260902-ios-0247</t>
        </is>
      </c>
    </row>
    <row r="249" ht="30" customHeight="1">
      <c r="A249" s="4" t="n">
        <v>248</v>
      </c>
      <c r="B249" s="4" t="inlineStr">
        <is>
          <t>MTR-IOS-0248</t>
        </is>
      </c>
      <c r="C249" s="4" t="inlineStr">
        <is>
          <t>Group</t>
        </is>
      </c>
      <c r="D249" s="4" t="inlineStr">
        <is>
          <t>Shared Purchase</t>
        </is>
      </c>
      <c r="E249" s="4" t="inlineStr">
        <is>
          <t>Gift Pool</t>
        </is>
      </c>
      <c r="F249" s="4" t="inlineStr">
        <is>
          <t>Contribution</t>
        </is>
      </c>
      <c r="G249" s="4" t="inlineStr">
        <is>
          <t>Contribution</t>
        </is>
      </c>
      <c r="H249" s="12" t="n">
        <v>45946</v>
      </c>
      <c r="I249" s="13" t="n">
        <v>0.1587384259259259</v>
      </c>
      <c r="J249" s="14" t="n">
        <v>45946.15873842593</v>
      </c>
      <c r="K249" s="15" t="n">
        <v>3559.52</v>
      </c>
      <c r="L249" s="4" t="inlineStr">
        <is>
          <t>INR</t>
        </is>
      </c>
      <c r="M249" s="15" t="n">
        <v>3559.52</v>
      </c>
      <c r="N249" s="4" t="inlineStr">
        <is>
          <t>IOS Aarav</t>
        </is>
      </c>
      <c r="O249" s="4" t="n">
        <v>3</v>
      </c>
      <c r="P249" s="4" t="inlineStr">
        <is>
          <t>EXACT</t>
        </is>
      </c>
      <c r="Q249" s="4" t="inlineStr">
        <is>
          <t>MAESTRO-IOS-GROUP-GIFT_POOL-0248 | Contribution | 3559.52</t>
        </is>
      </c>
      <c r="R249" s="4" t="inlineStr">
        <is>
          <t>iPhone</t>
        </is>
      </c>
      <c r="S249" s="4" t="inlineStr">
        <is>
          <t>B05</t>
        </is>
      </c>
      <c r="T249" s="4" t="inlineStr">
        <is>
          <t>BASELINE_1_500</t>
        </is>
      </c>
      <c r="U249" s="4" t="inlineStr">
        <is>
          <t>CREATED</t>
        </is>
      </c>
      <c r="V249" s="4" t="inlineStr">
        <is>
          <t>idem-20260902-ios-0248</t>
        </is>
      </c>
    </row>
    <row r="250" ht="30" customHeight="1">
      <c r="A250" s="4" t="n">
        <v>249</v>
      </c>
      <c r="B250" s="4" t="inlineStr">
        <is>
          <t>MTR-IOS-0249</t>
        </is>
      </c>
      <c r="C250" s="4" t="inlineStr">
        <is>
          <t>Business</t>
        </is>
      </c>
      <c r="D250" s="4" t="inlineStr">
        <is>
          <t>Business</t>
        </is>
      </c>
      <c r="E250" s="4" t="inlineStr">
        <is>
          <t>Business Operations</t>
        </is>
      </c>
      <c r="F250" s="4" t="inlineStr">
        <is>
          <t>Vendor</t>
        </is>
      </c>
      <c r="G250" s="4" t="inlineStr">
        <is>
          <t>Expense</t>
        </is>
      </c>
      <c r="H250" s="12" t="n">
        <v>46140</v>
      </c>
      <c r="I250" s="13" t="n">
        <v>0.4926273148148148</v>
      </c>
      <c r="J250" s="14" t="n">
        <v>46140.49262731482</v>
      </c>
      <c r="K250" s="15" t="n">
        <v>3151.11</v>
      </c>
      <c r="L250" s="4" t="inlineStr">
        <is>
          <t>INR</t>
        </is>
      </c>
      <c r="M250" s="15" t="n">
        <v>-3151.11</v>
      </c>
      <c r="N250" s="4" t="inlineStr">
        <is>
          <t>IOS Owner</t>
        </is>
      </c>
      <c r="O250" s="4" t="n"/>
      <c r="P250" s="4" t="n"/>
      <c r="Q250" s="4" t="inlineStr">
        <is>
          <t>MAESTRO-IOS-BUSINESS-BUSINESS_OPERATIONS-0249 | Vendor | 3151.11</t>
        </is>
      </c>
      <c r="R250" s="4" t="inlineStr">
        <is>
          <t>iPhone</t>
        </is>
      </c>
      <c r="S250" s="4" t="inlineStr">
        <is>
          <t>B05</t>
        </is>
      </c>
      <c r="T250" s="4" t="inlineStr">
        <is>
          <t>BASELINE_1_500</t>
        </is>
      </c>
      <c r="U250" s="4" t="inlineStr">
        <is>
          <t>CREATED</t>
        </is>
      </c>
      <c r="V250" s="4" t="inlineStr">
        <is>
          <t>idem-20260902-ios-0249</t>
        </is>
      </c>
    </row>
    <row r="251" ht="30" customHeight="1">
      <c r="A251" s="4" t="n">
        <v>250</v>
      </c>
      <c r="B251" s="4" t="inlineStr">
        <is>
          <t>MTR-IOS-0250</t>
        </is>
      </c>
      <c r="C251" s="4" t="inlineStr">
        <is>
          <t>Personal</t>
        </is>
      </c>
      <c r="D251" s="4" t="inlineStr">
        <is>
          <t>Personal</t>
        </is>
      </c>
      <c r="E251" s="4" t="inlineStr">
        <is>
          <t>Lifestyle</t>
        </is>
      </c>
      <c r="F251" s="4" t="inlineStr">
        <is>
          <t>Entertainment</t>
        </is>
      </c>
      <c r="G251" s="4" t="inlineStr">
        <is>
          <t>Expense</t>
        </is>
      </c>
      <c r="H251" s="12" t="n">
        <v>46126</v>
      </c>
      <c r="I251" s="13" t="n">
        <v>0.1226736111111111</v>
      </c>
      <c r="J251" s="14" t="n">
        <v>46126.12267361111</v>
      </c>
      <c r="K251" s="15" t="n">
        <v>1549.49</v>
      </c>
      <c r="L251" s="4" t="inlineStr">
        <is>
          <t>INR</t>
        </is>
      </c>
      <c r="M251" s="15" t="n">
        <v>-1549.49</v>
      </c>
      <c r="N251" s="4" t="inlineStr">
        <is>
          <t>IOS Owner</t>
        </is>
      </c>
      <c r="O251" s="4" t="n"/>
      <c r="P251" s="4" t="n"/>
      <c r="Q251" s="4" t="inlineStr">
        <is>
          <t>MAESTRO-IOS-PERSONAL-LIFESTYLE-0250 | Entertainment | 1549.49</t>
        </is>
      </c>
      <c r="R251" s="4" t="inlineStr">
        <is>
          <t>iPhone</t>
        </is>
      </c>
      <c r="S251" s="4" t="inlineStr">
        <is>
          <t>B05</t>
        </is>
      </c>
      <c r="T251" s="4" t="inlineStr">
        <is>
          <t>BASELINE_1_500</t>
        </is>
      </c>
      <c r="U251" s="4" t="inlineStr">
        <is>
          <t>CREATED</t>
        </is>
      </c>
      <c r="V251" s="4" t="inlineStr">
        <is>
          <t>idem-20260902-ios-0250</t>
        </is>
      </c>
    </row>
    <row r="252" ht="30" customHeight="1">
      <c r="A252" s="4" t="n">
        <v>251</v>
      </c>
      <c r="B252" s="4" t="inlineStr">
        <is>
          <t>MTR-IOS-0251</t>
        </is>
      </c>
      <c r="C252" s="4" t="inlineStr">
        <is>
          <t>Group</t>
        </is>
      </c>
      <c r="D252" s="4" t="inlineStr">
        <is>
          <t>Shared Purchase</t>
        </is>
      </c>
      <c r="E252" s="4" t="inlineStr">
        <is>
          <t>Gift Pool</t>
        </is>
      </c>
      <c r="F252" s="4" t="inlineStr">
        <is>
          <t>Gift Purchase</t>
        </is>
      </c>
      <c r="G252" s="4" t="inlineStr">
        <is>
          <t>Expense</t>
        </is>
      </c>
      <c r="H252" s="12" t="n">
        <v>46148</v>
      </c>
      <c r="I252" s="13" t="n">
        <v>0.6697337962962963</v>
      </c>
      <c r="J252" s="14" t="n">
        <v>46148.6697337963</v>
      </c>
      <c r="K252" s="15" t="n">
        <v>5744.22</v>
      </c>
      <c r="L252" s="4" t="inlineStr">
        <is>
          <t>INR</t>
        </is>
      </c>
      <c r="M252" s="15" t="n">
        <v>-5744.22</v>
      </c>
      <c r="N252" s="4" t="inlineStr">
        <is>
          <t>IOS Meera</t>
        </is>
      </c>
      <c r="O252" s="4" t="n">
        <v>3</v>
      </c>
      <c r="P252" s="4" t="inlineStr">
        <is>
          <t>SHARES</t>
        </is>
      </c>
      <c r="Q252" s="4" t="inlineStr">
        <is>
          <t>MAESTRO-IOS-GROUP-GIFT_POOL-0251 | Gift Purchase | 5744.22</t>
        </is>
      </c>
      <c r="R252" s="4" t="inlineStr">
        <is>
          <t>iPhone</t>
        </is>
      </c>
      <c r="S252" s="4" t="inlineStr">
        <is>
          <t>B06</t>
        </is>
      </c>
      <c r="T252" s="4" t="inlineStr">
        <is>
          <t>BASELINE_1_500</t>
        </is>
      </c>
      <c r="U252" s="4" t="inlineStr">
        <is>
          <t>CREATED</t>
        </is>
      </c>
      <c r="V252" s="4" t="inlineStr">
        <is>
          <t>idem-20260902-ios-0251</t>
        </is>
      </c>
    </row>
    <row r="253" ht="30" customHeight="1">
      <c r="A253" s="4" t="n">
        <v>252</v>
      </c>
      <c r="B253" s="4" t="inlineStr">
        <is>
          <t>MTR-IOS-0252</t>
        </is>
      </c>
      <c r="C253" s="4" t="inlineStr">
        <is>
          <t>Business</t>
        </is>
      </c>
      <c r="D253" s="4" t="inlineStr">
        <is>
          <t>Business</t>
        </is>
      </c>
      <c r="E253" s="4" t="inlineStr">
        <is>
          <t>Business Operations</t>
        </is>
      </c>
      <c r="F253" s="4" t="inlineStr">
        <is>
          <t>Tax</t>
        </is>
      </c>
      <c r="G253" s="4" t="inlineStr">
        <is>
          <t>Expense</t>
        </is>
      </c>
      <c r="H253" s="12" t="n">
        <v>45925</v>
      </c>
      <c r="I253" s="13" t="n">
        <v>0.1690046296296296</v>
      </c>
      <c r="J253" s="14" t="n">
        <v>45925.16900462963</v>
      </c>
      <c r="K253" s="15" t="n">
        <v>96076.7</v>
      </c>
      <c r="L253" s="4" t="inlineStr">
        <is>
          <t>INR</t>
        </is>
      </c>
      <c r="M253" s="15" t="n">
        <v>-96076.7</v>
      </c>
      <c r="N253" s="4" t="inlineStr">
        <is>
          <t>IOS Owner</t>
        </is>
      </c>
      <c r="O253" s="4" t="n"/>
      <c r="P253" s="4" t="n"/>
      <c r="Q253" s="4" t="inlineStr">
        <is>
          <t>MAESTRO-IOS-BUSINESS-BUSINESS_OPERATIONS-0252 | Tax | 96076.70</t>
        </is>
      </c>
      <c r="R253" s="4" t="inlineStr">
        <is>
          <t>iPhone</t>
        </is>
      </c>
      <c r="S253" s="4" t="inlineStr">
        <is>
          <t>B06</t>
        </is>
      </c>
      <c r="T253" s="4" t="inlineStr">
        <is>
          <t>BASELINE_1_500</t>
        </is>
      </c>
      <c r="U253" s="4" t="inlineStr">
        <is>
          <t>CREATED</t>
        </is>
      </c>
      <c r="V253" s="4" t="inlineStr">
        <is>
          <t>idem-20260902-ios-0252</t>
        </is>
      </c>
    </row>
    <row r="254" ht="30" customHeight="1">
      <c r="A254" s="4" t="n">
        <v>253</v>
      </c>
      <c r="B254" s="4" t="inlineStr">
        <is>
          <t>MTR-IOS-0253</t>
        </is>
      </c>
      <c r="C254" s="4" t="inlineStr">
        <is>
          <t>Personal</t>
        </is>
      </c>
      <c r="D254" s="4" t="inlineStr">
        <is>
          <t>Personal</t>
        </is>
      </c>
      <c r="E254" s="4" t="inlineStr">
        <is>
          <t>Lifestyle</t>
        </is>
      </c>
      <c r="F254" s="4" t="inlineStr">
        <is>
          <t>Travel</t>
        </is>
      </c>
      <c r="G254" s="4" t="inlineStr">
        <is>
          <t>Expense</t>
        </is>
      </c>
      <c r="H254" s="12" t="n">
        <v>46201</v>
      </c>
      <c r="I254" s="13" t="n">
        <v>0.08872685185185185</v>
      </c>
      <c r="J254" s="14" t="n">
        <v>46201.08872685185</v>
      </c>
      <c r="K254" s="15" t="n">
        <v>5402.08</v>
      </c>
      <c r="L254" s="4" t="inlineStr">
        <is>
          <t>INR</t>
        </is>
      </c>
      <c r="M254" s="15" t="n">
        <v>-5402.08</v>
      </c>
      <c r="N254" s="4" t="inlineStr">
        <is>
          <t>IOS Owner</t>
        </is>
      </c>
      <c r="O254" s="4" t="n"/>
      <c r="P254" s="4" t="n"/>
      <c r="Q254" s="4" t="inlineStr">
        <is>
          <t>MAESTRO-IOS-PERSONAL-LIFESTYLE-0253 | Travel | 5402.08</t>
        </is>
      </c>
      <c r="R254" s="4" t="inlineStr">
        <is>
          <t>iPhone</t>
        </is>
      </c>
      <c r="S254" s="4" t="inlineStr">
        <is>
          <t>B06</t>
        </is>
      </c>
      <c r="T254" s="4" t="inlineStr">
        <is>
          <t>BASELINE_1_500</t>
        </is>
      </c>
      <c r="U254" s="4" t="inlineStr">
        <is>
          <t>CREATED</t>
        </is>
      </c>
      <c r="V254" s="4" t="inlineStr">
        <is>
          <t>idem-20260902-ios-0253</t>
        </is>
      </c>
    </row>
    <row r="255" ht="30" customHeight="1">
      <c r="A255" s="4" t="n">
        <v>254</v>
      </c>
      <c r="B255" s="4" t="inlineStr">
        <is>
          <t>MTR-IOS-0254</t>
        </is>
      </c>
      <c r="C255" s="4" t="inlineStr">
        <is>
          <t>Group</t>
        </is>
      </c>
      <c r="D255" s="4" t="inlineStr">
        <is>
          <t>Shared Purchase</t>
        </is>
      </c>
      <c r="E255" s="4" t="inlineStr">
        <is>
          <t>Gift Pool</t>
        </is>
      </c>
      <c r="F255" s="4" t="inlineStr">
        <is>
          <t>Delivery</t>
        </is>
      </c>
      <c r="G255" s="4" t="inlineStr">
        <is>
          <t>Expense</t>
        </is>
      </c>
      <c r="H255" s="12" t="n">
        <v>46211</v>
      </c>
      <c r="I255" s="13" t="n">
        <v>0.462349537037037</v>
      </c>
      <c r="J255" s="14" t="n">
        <v>46211.46234953704</v>
      </c>
      <c r="K255" s="15" t="n">
        <v>19482.92</v>
      </c>
      <c r="L255" s="4" t="inlineStr">
        <is>
          <t>INR</t>
        </is>
      </c>
      <c r="M255" s="15" t="n">
        <v>-19482.92</v>
      </c>
      <c r="N255" s="4" t="inlineStr">
        <is>
          <t>IOS Owner</t>
        </is>
      </c>
      <c r="O255" s="4" t="n">
        <v>3</v>
      </c>
      <c r="P255" s="4" t="inlineStr">
        <is>
          <t>EQUAL</t>
        </is>
      </c>
      <c r="Q255" s="4" t="inlineStr">
        <is>
          <t>MAESTRO-IOS-GROUP-GIFT_POOL-0254 | Delivery | 19482.92</t>
        </is>
      </c>
      <c r="R255" s="4" t="inlineStr">
        <is>
          <t>iPhone</t>
        </is>
      </c>
      <c r="S255" s="4" t="inlineStr">
        <is>
          <t>B06</t>
        </is>
      </c>
      <c r="T255" s="4" t="inlineStr">
        <is>
          <t>BASELINE_1_500</t>
        </is>
      </c>
      <c r="U255" s="4" t="inlineStr">
        <is>
          <t>CREATED</t>
        </is>
      </c>
      <c r="V255" s="4" t="inlineStr">
        <is>
          <t>idem-20260902-ios-0254</t>
        </is>
      </c>
    </row>
    <row r="256" ht="30" customHeight="1">
      <c r="A256" s="4" t="n">
        <v>255</v>
      </c>
      <c r="B256" s="4" t="inlineStr">
        <is>
          <t>MTR-IOS-0255</t>
        </is>
      </c>
      <c r="C256" s="4" t="inlineStr">
        <is>
          <t>Business</t>
        </is>
      </c>
      <c r="D256" s="4" t="inlineStr">
        <is>
          <t>Business</t>
        </is>
      </c>
      <c r="E256" s="4" t="inlineStr">
        <is>
          <t>Team Operations</t>
        </is>
      </c>
      <c r="F256" s="4" t="inlineStr">
        <is>
          <t>Payroll</t>
        </is>
      </c>
      <c r="G256" s="4" t="inlineStr">
        <is>
          <t>Expense</t>
        </is>
      </c>
      <c r="H256" s="12" t="n">
        <v>46198</v>
      </c>
      <c r="I256" s="13" t="n">
        <v>0.2934837962962963</v>
      </c>
      <c r="J256" s="14" t="n">
        <v>46198.2934837963</v>
      </c>
      <c r="K256" s="15" t="n">
        <v>116332.46</v>
      </c>
      <c r="L256" s="4" t="inlineStr">
        <is>
          <t>INR</t>
        </is>
      </c>
      <c r="M256" s="15" t="n">
        <v>-116332.46</v>
      </c>
      <c r="N256" s="4" t="inlineStr">
        <is>
          <t>IOS Owner</t>
        </is>
      </c>
      <c r="O256" s="4" t="n"/>
      <c r="P256" s="4" t="n"/>
      <c r="Q256" s="4" t="inlineStr">
        <is>
          <t>MAESTRO-IOS-BUSINESS-TEAM_OPERATIONS-0255 | Payroll | 116332.46</t>
        </is>
      </c>
      <c r="R256" s="4" t="inlineStr">
        <is>
          <t>iPhone</t>
        </is>
      </c>
      <c r="S256" s="4" t="inlineStr">
        <is>
          <t>B06</t>
        </is>
      </c>
      <c r="T256" s="4" t="inlineStr">
        <is>
          <t>BASELINE_1_500</t>
        </is>
      </c>
      <c r="U256" s="4" t="inlineStr">
        <is>
          <t>CREATED</t>
        </is>
      </c>
      <c r="V256" s="4" t="inlineStr">
        <is>
          <t>idem-20260902-ios-0255</t>
        </is>
      </c>
    </row>
    <row r="257" ht="30" customHeight="1">
      <c r="A257" s="4" t="n">
        <v>256</v>
      </c>
      <c r="B257" s="4" t="inlineStr">
        <is>
          <t>MTR-IOS-0256</t>
        </is>
      </c>
      <c r="C257" s="4" t="inlineStr">
        <is>
          <t>Personal</t>
        </is>
      </c>
      <c r="D257" s="4" t="inlineStr">
        <is>
          <t>Personal</t>
        </is>
      </c>
      <c r="E257" s="4" t="inlineStr">
        <is>
          <t>Lifestyle</t>
        </is>
      </c>
      <c r="F257" s="4" t="inlineStr">
        <is>
          <t>Fitness</t>
        </is>
      </c>
      <c r="G257" s="4" t="inlineStr">
        <is>
          <t>Expense</t>
        </is>
      </c>
      <c r="H257" s="12" t="n">
        <v>46057</v>
      </c>
      <c r="I257" s="13" t="n">
        <v>0.4757060185185185</v>
      </c>
      <c r="J257" s="14" t="n">
        <v>46057.47570601852</v>
      </c>
      <c r="K257" s="15" t="n">
        <v>6469.28</v>
      </c>
      <c r="L257" s="4" t="inlineStr">
        <is>
          <t>INR</t>
        </is>
      </c>
      <c r="M257" s="15" t="n">
        <v>-6469.28</v>
      </c>
      <c r="N257" s="4" t="inlineStr">
        <is>
          <t>IOS Owner</t>
        </is>
      </c>
      <c r="O257" s="4" t="n"/>
      <c r="P257" s="4" t="n"/>
      <c r="Q257" s="4" t="inlineStr">
        <is>
          <t>MAESTRO-IOS-PERSONAL-LIFESTYLE-0256 | Fitness | 6469.28</t>
        </is>
      </c>
      <c r="R257" s="4" t="inlineStr">
        <is>
          <t>iPhone</t>
        </is>
      </c>
      <c r="S257" s="4" t="inlineStr">
        <is>
          <t>B06</t>
        </is>
      </c>
      <c r="T257" s="4" t="inlineStr">
        <is>
          <t>BASELINE_1_500</t>
        </is>
      </c>
      <c r="U257" s="4" t="inlineStr">
        <is>
          <t>CREATED</t>
        </is>
      </c>
      <c r="V257" s="4" t="inlineStr">
        <is>
          <t>idem-20260902-ios-0256</t>
        </is>
      </c>
    </row>
    <row r="258" ht="30" customHeight="1">
      <c r="A258" s="4" t="n">
        <v>257</v>
      </c>
      <c r="B258" s="4" t="inlineStr">
        <is>
          <t>MTR-IOS-0257</t>
        </is>
      </c>
      <c r="C258" s="4" t="inlineStr">
        <is>
          <t>Group</t>
        </is>
      </c>
      <c r="D258" s="4" t="inlineStr">
        <is>
          <t>Shared Purchase</t>
        </is>
      </c>
      <c r="E258" s="4" t="inlineStr">
        <is>
          <t>Gift Pool</t>
        </is>
      </c>
      <c r="F258" s="4" t="inlineStr">
        <is>
          <t>Other</t>
        </is>
      </c>
      <c r="G258" s="4" t="inlineStr">
        <is>
          <t>Expense</t>
        </is>
      </c>
      <c r="H258" s="12" t="n">
        <v>46099</v>
      </c>
      <c r="I258" s="13" t="n">
        <v>0.1482870370370371</v>
      </c>
      <c r="J258" s="14" t="n">
        <v>46099.14828703704</v>
      </c>
      <c r="K258" s="15" t="n">
        <v>14984.45</v>
      </c>
      <c r="L258" s="4" t="inlineStr">
        <is>
          <t>INR</t>
        </is>
      </c>
      <c r="M258" s="15" t="n">
        <v>-14984.45</v>
      </c>
      <c r="N258" s="4" t="inlineStr">
        <is>
          <t>IOS Aarav</t>
        </is>
      </c>
      <c r="O258" s="4" t="n">
        <v>3</v>
      </c>
      <c r="P258" s="4" t="inlineStr">
        <is>
          <t>PERCENTAGE</t>
        </is>
      </c>
      <c r="Q258" s="4" t="inlineStr">
        <is>
          <t>MAESTRO-IOS-GROUP-GIFT_POOL-0257 | Other | 14984.45</t>
        </is>
      </c>
      <c r="R258" s="4" t="inlineStr">
        <is>
          <t>iPhone</t>
        </is>
      </c>
      <c r="S258" s="4" t="inlineStr">
        <is>
          <t>B06</t>
        </is>
      </c>
      <c r="T258" s="4" t="inlineStr">
        <is>
          <t>BASELINE_1_500</t>
        </is>
      </c>
      <c r="U258" s="4" t="inlineStr">
        <is>
          <t>CREATED</t>
        </is>
      </c>
      <c r="V258" s="4" t="inlineStr">
        <is>
          <t>idem-20260902-ios-0257</t>
        </is>
      </c>
    </row>
    <row r="259" ht="30" customHeight="1">
      <c r="A259" s="4" t="n">
        <v>258</v>
      </c>
      <c r="B259" s="4" t="inlineStr">
        <is>
          <t>MTR-IOS-0258</t>
        </is>
      </c>
      <c r="C259" s="4" t="inlineStr">
        <is>
          <t>Business</t>
        </is>
      </c>
      <c r="D259" s="4" t="inlineStr">
        <is>
          <t>Business</t>
        </is>
      </c>
      <c r="E259" s="4" t="inlineStr">
        <is>
          <t>Team Operations</t>
        </is>
      </c>
      <c r="F259" s="4" t="inlineStr">
        <is>
          <t>Contractor</t>
        </is>
      </c>
      <c r="G259" s="4" t="inlineStr">
        <is>
          <t>Expense</t>
        </is>
      </c>
      <c r="H259" s="12" t="n">
        <v>46114</v>
      </c>
      <c r="I259" s="13" t="n">
        <v>0.180150462962963</v>
      </c>
      <c r="J259" s="14" t="n">
        <v>46114.18015046296</v>
      </c>
      <c r="K259" s="15" t="n">
        <v>18431.52</v>
      </c>
      <c r="L259" s="4" t="inlineStr">
        <is>
          <t>INR</t>
        </is>
      </c>
      <c r="M259" s="15" t="n">
        <v>-18431.52</v>
      </c>
      <c r="N259" s="4" t="inlineStr">
        <is>
          <t>IOS Owner</t>
        </is>
      </c>
      <c r="O259" s="4" t="n"/>
      <c r="P259" s="4" t="n"/>
      <c r="Q259" s="4" t="inlineStr">
        <is>
          <t>MAESTRO-IOS-BUSINESS-TEAM_OPERATIONS-0258 | Contractor | 18431.52</t>
        </is>
      </c>
      <c r="R259" s="4" t="inlineStr">
        <is>
          <t>iPhone</t>
        </is>
      </c>
      <c r="S259" s="4" t="inlineStr">
        <is>
          <t>B06</t>
        </is>
      </c>
      <c r="T259" s="4" t="inlineStr">
        <is>
          <t>BASELINE_1_500</t>
        </is>
      </c>
      <c r="U259" s="4" t="inlineStr">
        <is>
          <t>CREATED</t>
        </is>
      </c>
      <c r="V259" s="4" t="inlineStr">
        <is>
          <t>idem-20260902-ios-0258</t>
        </is>
      </c>
    </row>
    <row r="260" ht="30" customHeight="1">
      <c r="A260" s="4" t="n">
        <v>259</v>
      </c>
      <c r="B260" s="4" t="inlineStr">
        <is>
          <t>MTR-IOS-0259</t>
        </is>
      </c>
      <c r="C260" s="4" t="inlineStr">
        <is>
          <t>Personal</t>
        </is>
      </c>
      <c r="D260" s="4" t="inlineStr">
        <is>
          <t>Personal</t>
        </is>
      </c>
      <c r="E260" s="4" t="inlineStr">
        <is>
          <t>Lifestyle</t>
        </is>
      </c>
      <c r="F260" s="4" t="inlineStr">
        <is>
          <t>Hobbies</t>
        </is>
      </c>
      <c r="G260" s="4" t="inlineStr">
        <is>
          <t>Expense</t>
        </is>
      </c>
      <c r="H260" s="12" t="n">
        <v>45973</v>
      </c>
      <c r="I260" s="13" t="n">
        <v>0.9451273148148148</v>
      </c>
      <c r="J260" s="14" t="n">
        <v>45973.94512731482</v>
      </c>
      <c r="K260" s="15" t="n">
        <v>1</v>
      </c>
      <c r="L260" s="4" t="inlineStr">
        <is>
          <t>INR</t>
        </is>
      </c>
      <c r="M260" s="15" t="n">
        <v>-1</v>
      </c>
      <c r="N260" s="4" t="inlineStr">
        <is>
          <t>IOS Owner</t>
        </is>
      </c>
      <c r="O260" s="4" t="n"/>
      <c r="P260" s="4" t="n"/>
      <c r="Q260" s="4" t="inlineStr">
        <is>
          <t>MAESTRO-IOS-PERSONAL-LIFESTYLE-0259 | Hobbies | 1.00</t>
        </is>
      </c>
      <c r="R260" s="4" t="inlineStr">
        <is>
          <t>iPhone</t>
        </is>
      </c>
      <c r="S260" s="4" t="inlineStr">
        <is>
          <t>B06</t>
        </is>
      </c>
      <c r="T260" s="4" t="inlineStr">
        <is>
          <t>BASELINE_1_500</t>
        </is>
      </c>
      <c r="U260" s="4" t="inlineStr">
        <is>
          <t>CREATED</t>
        </is>
      </c>
      <c r="V260" s="4" t="inlineStr">
        <is>
          <t>idem-20260902-ios-0259</t>
        </is>
      </c>
    </row>
    <row r="261" ht="30" customHeight="1">
      <c r="A261" s="4" t="n">
        <v>260</v>
      </c>
      <c r="B261" s="4" t="inlineStr">
        <is>
          <t>MTR-IOS-0260</t>
        </is>
      </c>
      <c r="C261" s="4" t="inlineStr">
        <is>
          <t>Group</t>
        </is>
      </c>
      <c r="D261" s="4" t="inlineStr">
        <is>
          <t>Shared Purchase</t>
        </is>
      </c>
      <c r="E261" s="4" t="inlineStr">
        <is>
          <t>Purchase</t>
        </is>
      </c>
      <c r="F261" s="4" t="inlineStr">
        <is>
          <t>Item</t>
        </is>
      </c>
      <c r="G261" s="4" t="inlineStr">
        <is>
          <t>Expense</t>
        </is>
      </c>
      <c r="H261" s="12" t="n">
        <v>46232</v>
      </c>
      <c r="I261" s="13" t="n">
        <v>0.3717013888888889</v>
      </c>
      <c r="J261" s="14" t="n">
        <v>46232.37170138889</v>
      </c>
      <c r="K261" s="15" t="n">
        <v>22552.2</v>
      </c>
      <c r="L261" s="4" t="inlineStr">
        <is>
          <t>INR</t>
        </is>
      </c>
      <c r="M261" s="15" t="n">
        <v>-22552.2</v>
      </c>
      <c r="N261" s="4" t="inlineStr">
        <is>
          <t>IOS Meera</t>
        </is>
      </c>
      <c r="O261" s="4" t="n">
        <v>3</v>
      </c>
      <c r="P261" s="4" t="inlineStr">
        <is>
          <t>EXACT</t>
        </is>
      </c>
      <c r="Q261" s="4" t="inlineStr">
        <is>
          <t>MAESTRO-IOS-GROUP-PURCHASE-0260 | Item | 22552.20</t>
        </is>
      </c>
      <c r="R261" s="4" t="inlineStr">
        <is>
          <t>iPhone</t>
        </is>
      </c>
      <c r="S261" s="4" t="inlineStr">
        <is>
          <t>B06</t>
        </is>
      </c>
      <c r="T261" s="4" t="inlineStr">
        <is>
          <t>BASELINE_1_500</t>
        </is>
      </c>
      <c r="U261" s="4" t="inlineStr">
        <is>
          <t>CREATED</t>
        </is>
      </c>
      <c r="V261" s="4" t="inlineStr">
        <is>
          <t>idem-20260902-ios-0260</t>
        </is>
      </c>
    </row>
    <row r="262" ht="30" customHeight="1">
      <c r="A262" s="4" t="n">
        <v>261</v>
      </c>
      <c r="B262" s="4" t="inlineStr">
        <is>
          <t>MTR-IOS-0261</t>
        </is>
      </c>
      <c r="C262" s="4" t="inlineStr">
        <is>
          <t>Business</t>
        </is>
      </c>
      <c r="D262" s="4" t="inlineStr">
        <is>
          <t>Business</t>
        </is>
      </c>
      <c r="E262" s="4" t="inlineStr">
        <is>
          <t>Team Operations</t>
        </is>
      </c>
      <c r="F262" s="4" t="inlineStr">
        <is>
          <t>Hiring</t>
        </is>
      </c>
      <c r="G262" s="4" t="inlineStr">
        <is>
          <t>Expense</t>
        </is>
      </c>
      <c r="H262" s="12" t="n">
        <v>46016</v>
      </c>
      <c r="I262" s="13" t="n">
        <v>0.387962962962963</v>
      </c>
      <c r="J262" s="14" t="n">
        <v>46016.38796296297</v>
      </c>
      <c r="K262" s="15" t="n">
        <v>15938.59</v>
      </c>
      <c r="L262" s="4" t="inlineStr">
        <is>
          <t>INR</t>
        </is>
      </c>
      <c r="M262" s="15" t="n">
        <v>-15938.59</v>
      </c>
      <c r="N262" s="4" t="inlineStr">
        <is>
          <t>IOS Owner</t>
        </is>
      </c>
      <c r="O262" s="4" t="n"/>
      <c r="P262" s="4" t="n"/>
      <c r="Q262" s="4" t="inlineStr">
        <is>
          <t>MAESTRO-IOS-BUSINESS-TEAM_OPERATIONS-0261 | Hiring | 15938.59</t>
        </is>
      </c>
      <c r="R262" s="4" t="inlineStr">
        <is>
          <t>iPhone</t>
        </is>
      </c>
      <c r="S262" s="4" t="inlineStr">
        <is>
          <t>B06</t>
        </is>
      </c>
      <c r="T262" s="4" t="inlineStr">
        <is>
          <t>BASELINE_1_500</t>
        </is>
      </c>
      <c r="U262" s="4" t="inlineStr">
        <is>
          <t>CREATED</t>
        </is>
      </c>
      <c r="V262" s="4" t="inlineStr">
        <is>
          <t>idem-20260902-ios-0261</t>
        </is>
      </c>
    </row>
    <row r="263" ht="30" customHeight="1">
      <c r="A263" s="4" t="n">
        <v>262</v>
      </c>
      <c r="B263" s="4" t="inlineStr">
        <is>
          <t>MTR-IOS-0262</t>
        </is>
      </c>
      <c r="C263" s="4" t="inlineStr">
        <is>
          <t>Personal</t>
        </is>
      </c>
      <c r="D263" s="4" t="inlineStr">
        <is>
          <t>Personal</t>
        </is>
      </c>
      <c r="E263" s="4" t="inlineStr">
        <is>
          <t>Relationships</t>
        </is>
      </c>
      <c r="F263" s="4" t="inlineStr">
        <is>
          <t>Gifts</t>
        </is>
      </c>
      <c r="G263" s="4" t="inlineStr">
        <is>
          <t>Expense</t>
        </is>
      </c>
      <c r="H263" s="12" t="n">
        <v>46257</v>
      </c>
      <c r="I263" s="13" t="n">
        <v>0.7208680555555556</v>
      </c>
      <c r="J263" s="14" t="n">
        <v>46257.72086805556</v>
      </c>
      <c r="K263" s="15" t="n">
        <v>506.33</v>
      </c>
      <c r="L263" s="4" t="inlineStr">
        <is>
          <t>INR</t>
        </is>
      </c>
      <c r="M263" s="15" t="n">
        <v>-506.33</v>
      </c>
      <c r="N263" s="4" t="inlineStr">
        <is>
          <t>IOS Owner</t>
        </is>
      </c>
      <c r="O263" s="4" t="n"/>
      <c r="P263" s="4" t="n"/>
      <c r="Q263" s="4" t="inlineStr">
        <is>
          <t>MAESTRO-IOS-PERSONAL-RELATIONSHIPS-0262 | Gifts | 506.33</t>
        </is>
      </c>
      <c r="R263" s="4" t="inlineStr">
        <is>
          <t>iPhone</t>
        </is>
      </c>
      <c r="S263" s="4" t="inlineStr">
        <is>
          <t>B06</t>
        </is>
      </c>
      <c r="T263" s="4" t="inlineStr">
        <is>
          <t>BASELINE_1_500</t>
        </is>
      </c>
      <c r="U263" s="4" t="inlineStr">
        <is>
          <t>CREATED</t>
        </is>
      </c>
      <c r="V263" s="4" t="inlineStr">
        <is>
          <t>idem-20260902-ios-0262</t>
        </is>
      </c>
    </row>
    <row r="264" ht="30" customHeight="1">
      <c r="A264" s="4" t="n">
        <v>263</v>
      </c>
      <c r="B264" s="4" t="inlineStr">
        <is>
          <t>MTR-IOS-0263</t>
        </is>
      </c>
      <c r="C264" s="4" t="inlineStr">
        <is>
          <t>Group</t>
        </is>
      </c>
      <c r="D264" s="4" t="inlineStr">
        <is>
          <t>Shared Purchase</t>
        </is>
      </c>
      <c r="E264" s="4" t="inlineStr">
        <is>
          <t>Purchase</t>
        </is>
      </c>
      <c r="F264" s="4" t="inlineStr">
        <is>
          <t>Shipping</t>
        </is>
      </c>
      <c r="G264" s="4" t="inlineStr">
        <is>
          <t>Expense</t>
        </is>
      </c>
      <c r="H264" s="12" t="n">
        <v>46238</v>
      </c>
      <c r="I264" s="13" t="n">
        <v>0.4491782407407408</v>
      </c>
      <c r="J264" s="14" t="n">
        <v>46238.44917824074</v>
      </c>
      <c r="K264" s="15" t="n">
        <v>10911.16</v>
      </c>
      <c r="L264" s="4" t="inlineStr">
        <is>
          <t>INR</t>
        </is>
      </c>
      <c r="M264" s="15" t="n">
        <v>-10911.16</v>
      </c>
      <c r="N264" s="4" t="inlineStr">
        <is>
          <t>IOS Owner</t>
        </is>
      </c>
      <c r="O264" s="4" t="n">
        <v>3</v>
      </c>
      <c r="P264" s="4" t="inlineStr">
        <is>
          <t>SHARES</t>
        </is>
      </c>
      <c r="Q264" s="4" t="inlineStr">
        <is>
          <t>MAESTRO-IOS-GROUP-PURCHASE-0263 | Shipping | 10911.16</t>
        </is>
      </c>
      <c r="R264" s="4" t="inlineStr">
        <is>
          <t>iPhone</t>
        </is>
      </c>
      <c r="S264" s="4" t="inlineStr">
        <is>
          <t>B06</t>
        </is>
      </c>
      <c r="T264" s="4" t="inlineStr">
        <is>
          <t>BASELINE_1_500</t>
        </is>
      </c>
      <c r="U264" s="4" t="inlineStr">
        <is>
          <t>CREATED</t>
        </is>
      </c>
      <c r="V264" s="4" t="inlineStr">
        <is>
          <t>idem-20260902-ios-0263</t>
        </is>
      </c>
    </row>
    <row r="265" ht="30" customHeight="1">
      <c r="A265" s="4" t="n">
        <v>264</v>
      </c>
      <c r="B265" s="4" t="inlineStr">
        <is>
          <t>MTR-IOS-0264</t>
        </is>
      </c>
      <c r="C265" s="4" t="inlineStr">
        <is>
          <t>Business</t>
        </is>
      </c>
      <c r="D265" s="4" t="inlineStr">
        <is>
          <t>Business</t>
        </is>
      </c>
      <c r="E265" s="4" t="inlineStr">
        <is>
          <t>Team Operations</t>
        </is>
      </c>
      <c r="F265" s="4" t="inlineStr">
        <is>
          <t>Team Meal</t>
        </is>
      </c>
      <c r="G265" s="4" t="inlineStr">
        <is>
          <t>Expense</t>
        </is>
      </c>
      <c r="H265" s="12" t="n">
        <v>46078</v>
      </c>
      <c r="I265" s="13" t="n">
        <v>0.9927199074074075</v>
      </c>
      <c r="J265" s="14" t="n">
        <v>46078.99271990741</v>
      </c>
      <c r="K265" s="15" t="n">
        <v>33632.79</v>
      </c>
      <c r="L265" s="4" t="inlineStr">
        <is>
          <t>INR</t>
        </is>
      </c>
      <c r="M265" s="15" t="n">
        <v>-33632.79</v>
      </c>
      <c r="N265" s="4" t="inlineStr">
        <is>
          <t>IOS Owner</t>
        </is>
      </c>
      <c r="O265" s="4" t="n"/>
      <c r="P265" s="4" t="n"/>
      <c r="Q265" s="4" t="inlineStr">
        <is>
          <t>MAESTRO-IOS-BUSINESS-TEAM_OPERATIONS-0264 | Team Meal | 33632.79</t>
        </is>
      </c>
      <c r="R265" s="4" t="inlineStr">
        <is>
          <t>iPhone</t>
        </is>
      </c>
      <c r="S265" s="4" t="inlineStr">
        <is>
          <t>B06</t>
        </is>
      </c>
      <c r="T265" s="4" t="inlineStr">
        <is>
          <t>BASELINE_1_500</t>
        </is>
      </c>
      <c r="U265" s="4" t="inlineStr">
        <is>
          <t>CREATED</t>
        </is>
      </c>
      <c r="V265" s="4" t="inlineStr">
        <is>
          <t>idem-20260902-ios-0264</t>
        </is>
      </c>
    </row>
    <row r="266" ht="30" customHeight="1">
      <c r="A266" s="4" t="n">
        <v>265</v>
      </c>
      <c r="B266" s="4" t="inlineStr">
        <is>
          <t>MTR-IOS-0265</t>
        </is>
      </c>
      <c r="C266" s="4" t="inlineStr">
        <is>
          <t>Personal</t>
        </is>
      </c>
      <c r="D266" s="4" t="inlineStr">
        <is>
          <t>Personal</t>
        </is>
      </c>
      <c r="E266" s="4" t="inlineStr">
        <is>
          <t>Relationships</t>
        </is>
      </c>
      <c r="F266" s="4" t="inlineStr">
        <is>
          <t>Dates</t>
        </is>
      </c>
      <c r="G266" s="4" t="inlineStr">
        <is>
          <t>Expense</t>
        </is>
      </c>
      <c r="H266" s="12" t="n">
        <v>46225</v>
      </c>
      <c r="I266" s="13" t="n">
        <v>0.7879398148148148</v>
      </c>
      <c r="J266" s="14" t="n">
        <v>46225.78793981481</v>
      </c>
      <c r="K266" s="15" t="n">
        <v>9511.299999999999</v>
      </c>
      <c r="L266" s="4" t="inlineStr">
        <is>
          <t>INR</t>
        </is>
      </c>
      <c r="M266" s="15" t="n">
        <v>-9511.299999999999</v>
      </c>
      <c r="N266" s="4" t="inlineStr">
        <is>
          <t>IOS Owner</t>
        </is>
      </c>
      <c r="O266" s="4" t="n"/>
      <c r="P266" s="4" t="n"/>
      <c r="Q266" s="4" t="inlineStr">
        <is>
          <t>MAESTRO-IOS-PERSONAL-RELATIONSHIPS-0265 | Dates | 9511.30</t>
        </is>
      </c>
      <c r="R266" s="4" t="inlineStr">
        <is>
          <t>iPhone</t>
        </is>
      </c>
      <c r="S266" s="4" t="inlineStr">
        <is>
          <t>B06</t>
        </is>
      </c>
      <c r="T266" s="4" t="inlineStr">
        <is>
          <t>BASELINE_1_500</t>
        </is>
      </c>
      <c r="U266" s="4" t="inlineStr">
        <is>
          <t>CREATED</t>
        </is>
      </c>
      <c r="V266" s="4" t="inlineStr">
        <is>
          <t>idem-20260902-ios-0265</t>
        </is>
      </c>
    </row>
    <row r="267" ht="30" customHeight="1">
      <c r="A267" s="4" t="n">
        <v>266</v>
      </c>
      <c r="B267" s="4" t="inlineStr">
        <is>
          <t>MTR-IOS-0266</t>
        </is>
      </c>
      <c r="C267" s="4" t="inlineStr">
        <is>
          <t>Group</t>
        </is>
      </c>
      <c r="D267" s="4" t="inlineStr">
        <is>
          <t>Shared Purchase</t>
        </is>
      </c>
      <c r="E267" s="4" t="inlineStr">
        <is>
          <t>Purchase</t>
        </is>
      </c>
      <c r="F267" s="4" t="inlineStr">
        <is>
          <t>Tax</t>
        </is>
      </c>
      <c r="G267" s="4" t="inlineStr">
        <is>
          <t>Expense</t>
        </is>
      </c>
      <c r="H267" s="12" t="n">
        <v>46071</v>
      </c>
      <c r="I267" s="13" t="n">
        <v>0.8784837962962962</v>
      </c>
      <c r="J267" s="14" t="n">
        <v>46071.8784837963</v>
      </c>
      <c r="K267" s="15" t="n">
        <v>20835.17</v>
      </c>
      <c r="L267" s="4" t="inlineStr">
        <is>
          <t>INR</t>
        </is>
      </c>
      <c r="M267" s="15" t="n">
        <v>-20835.17</v>
      </c>
      <c r="N267" s="4" t="inlineStr">
        <is>
          <t>IOS Aarav</t>
        </is>
      </c>
      <c r="O267" s="4" t="n">
        <v>3</v>
      </c>
      <c r="P267" s="4" t="inlineStr">
        <is>
          <t>EQUAL</t>
        </is>
      </c>
      <c r="Q267" s="4" t="inlineStr">
        <is>
          <t>MAESTRO-IOS-GROUP-PURCHASE-0266 | Tax | 20835.17</t>
        </is>
      </c>
      <c r="R267" s="4" t="inlineStr">
        <is>
          <t>iPhone</t>
        </is>
      </c>
      <c r="S267" s="4" t="inlineStr">
        <is>
          <t>B06</t>
        </is>
      </c>
      <c r="T267" s="4" t="inlineStr">
        <is>
          <t>BASELINE_1_500</t>
        </is>
      </c>
      <c r="U267" s="4" t="inlineStr">
        <is>
          <t>CREATED</t>
        </is>
      </c>
      <c r="V267" s="4" t="inlineStr">
        <is>
          <t>idem-20260902-ios-0266</t>
        </is>
      </c>
    </row>
    <row r="268" ht="30" customHeight="1">
      <c r="A268" s="4" t="n">
        <v>267</v>
      </c>
      <c r="B268" s="4" t="inlineStr">
        <is>
          <t>MTR-IOS-0267</t>
        </is>
      </c>
      <c r="C268" s="4" t="inlineStr">
        <is>
          <t>Business</t>
        </is>
      </c>
      <c r="D268" s="4" t="inlineStr">
        <is>
          <t>Business</t>
        </is>
      </c>
      <c r="E268" s="4" t="inlineStr">
        <is>
          <t>Team Operations</t>
        </is>
      </c>
      <c r="F268" s="4" t="inlineStr">
        <is>
          <t>Travel</t>
        </is>
      </c>
      <c r="G268" s="4" t="inlineStr">
        <is>
          <t>Expense</t>
        </is>
      </c>
      <c r="H268" s="12" t="n">
        <v>46153</v>
      </c>
      <c r="I268" s="13" t="n">
        <v>0.9227546296296296</v>
      </c>
      <c r="J268" s="14" t="n">
        <v>46153.92275462963</v>
      </c>
      <c r="K268" s="15" t="n">
        <v>60034.72</v>
      </c>
      <c r="L268" s="4" t="inlineStr">
        <is>
          <t>INR</t>
        </is>
      </c>
      <c r="M268" s="15" t="n">
        <v>-60034.72</v>
      </c>
      <c r="N268" s="4" t="inlineStr">
        <is>
          <t>IOS Owner</t>
        </is>
      </c>
      <c r="O268" s="4" t="n"/>
      <c r="P268" s="4" t="n"/>
      <c r="Q268" s="4" t="inlineStr">
        <is>
          <t>MAESTRO-IOS-BUSINESS-TEAM_OPERATIONS-0267 | Travel | 60034.72</t>
        </is>
      </c>
      <c r="R268" s="4" t="inlineStr">
        <is>
          <t>iPhone</t>
        </is>
      </c>
      <c r="S268" s="4" t="inlineStr">
        <is>
          <t>B06</t>
        </is>
      </c>
      <c r="T268" s="4" t="inlineStr">
        <is>
          <t>BASELINE_1_500</t>
        </is>
      </c>
      <c r="U268" s="4" t="inlineStr">
        <is>
          <t>CREATED</t>
        </is>
      </c>
      <c r="V268" s="4" t="inlineStr">
        <is>
          <t>idem-20260902-ios-0267</t>
        </is>
      </c>
    </row>
    <row r="269" ht="30" customHeight="1">
      <c r="A269" s="4" t="n">
        <v>268</v>
      </c>
      <c r="B269" s="4" t="inlineStr">
        <is>
          <t>MTR-IOS-0268</t>
        </is>
      </c>
      <c r="C269" s="4" t="inlineStr">
        <is>
          <t>Personal</t>
        </is>
      </c>
      <c r="D269" s="4" t="inlineStr">
        <is>
          <t>Personal</t>
        </is>
      </c>
      <c r="E269" s="4" t="inlineStr">
        <is>
          <t>Relationships</t>
        </is>
      </c>
      <c r="F269" s="4" t="inlineStr">
        <is>
          <t>Family</t>
        </is>
      </c>
      <c r="G269" s="4" t="inlineStr">
        <is>
          <t>Expense</t>
        </is>
      </c>
      <c r="H269" s="12" t="n">
        <v>46158</v>
      </c>
      <c r="I269" s="13" t="n">
        <v>0.2661342592592593</v>
      </c>
      <c r="J269" s="14" t="n">
        <v>46158.26613425926</v>
      </c>
      <c r="K269" s="15" t="n">
        <v>11878.71</v>
      </c>
      <c r="L269" s="4" t="inlineStr">
        <is>
          <t>INR</t>
        </is>
      </c>
      <c r="M269" s="15" t="n">
        <v>-11878.71</v>
      </c>
      <c r="N269" s="4" t="inlineStr">
        <is>
          <t>IOS Owner</t>
        </is>
      </c>
      <c r="O269" s="4" t="n"/>
      <c r="P269" s="4" t="n"/>
      <c r="Q269" s="4" t="inlineStr">
        <is>
          <t>MAESTRO-IOS-PERSONAL-RELATIONSHIPS-0268 | Family | 11878.71</t>
        </is>
      </c>
      <c r="R269" s="4" t="inlineStr">
        <is>
          <t>iPhone</t>
        </is>
      </c>
      <c r="S269" s="4" t="inlineStr">
        <is>
          <t>B06</t>
        </is>
      </c>
      <c r="T269" s="4" t="inlineStr">
        <is>
          <t>BASELINE_1_500</t>
        </is>
      </c>
      <c r="U269" s="4" t="inlineStr">
        <is>
          <t>CREATED</t>
        </is>
      </c>
      <c r="V269" s="4" t="inlineStr">
        <is>
          <t>idem-20260902-ios-0268</t>
        </is>
      </c>
    </row>
    <row r="270" ht="30" customHeight="1">
      <c r="A270" s="4" t="n">
        <v>269</v>
      </c>
      <c r="B270" s="4" t="inlineStr">
        <is>
          <t>MTR-IOS-0269</t>
        </is>
      </c>
      <c r="C270" s="4" t="inlineStr">
        <is>
          <t>Group</t>
        </is>
      </c>
      <c r="D270" s="4" t="inlineStr">
        <is>
          <t>Shared Purchase</t>
        </is>
      </c>
      <c r="E270" s="4" t="inlineStr">
        <is>
          <t>Purchase</t>
        </is>
      </c>
      <c r="F270" s="4" t="inlineStr">
        <is>
          <t>Other</t>
        </is>
      </c>
      <c r="G270" s="4" t="inlineStr">
        <is>
          <t>Expense</t>
        </is>
      </c>
      <c r="H270" s="12" t="n">
        <v>46100</v>
      </c>
      <c r="I270" s="13" t="n">
        <v>0.9589467592592592</v>
      </c>
      <c r="J270" s="14" t="n">
        <v>46100.95894675926</v>
      </c>
      <c r="K270" s="15" t="n">
        <v>7185.47</v>
      </c>
      <c r="L270" s="4" t="inlineStr">
        <is>
          <t>INR</t>
        </is>
      </c>
      <c r="M270" s="15" t="n">
        <v>-7185.47</v>
      </c>
      <c r="N270" s="4" t="inlineStr">
        <is>
          <t>IOS Meera</t>
        </is>
      </c>
      <c r="O270" s="4" t="n">
        <v>3</v>
      </c>
      <c r="P270" s="4" t="inlineStr">
        <is>
          <t>PERCENTAGE</t>
        </is>
      </c>
      <c r="Q270" s="4" t="inlineStr">
        <is>
          <t>MAESTRO-IOS-GROUP-PURCHASE-0269 | Other | 7185.47</t>
        </is>
      </c>
      <c r="R270" s="4" t="inlineStr">
        <is>
          <t>iPhone</t>
        </is>
      </c>
      <c r="S270" s="4" t="inlineStr">
        <is>
          <t>B06</t>
        </is>
      </c>
      <c r="T270" s="4" t="inlineStr">
        <is>
          <t>BASELINE_1_500</t>
        </is>
      </c>
      <c r="U270" s="4" t="inlineStr">
        <is>
          <t>CREATED</t>
        </is>
      </c>
      <c r="V270" s="4" t="inlineStr">
        <is>
          <t>idem-20260902-ios-0269</t>
        </is>
      </c>
    </row>
    <row r="271" ht="30" customHeight="1">
      <c r="A271" s="4" t="n">
        <v>270</v>
      </c>
      <c r="B271" s="4" t="inlineStr">
        <is>
          <t>MTR-IOS-0270</t>
        </is>
      </c>
      <c r="C271" s="4" t="inlineStr">
        <is>
          <t>Business</t>
        </is>
      </c>
      <c r="D271" s="4" t="inlineStr">
        <is>
          <t>Business</t>
        </is>
      </c>
      <c r="E271" s="4" t="inlineStr">
        <is>
          <t>Team Operations</t>
        </is>
      </c>
      <c r="F271" s="4" t="inlineStr">
        <is>
          <t>Training</t>
        </is>
      </c>
      <c r="G271" s="4" t="inlineStr">
        <is>
          <t>Expense</t>
        </is>
      </c>
      <c r="H271" s="12" t="n">
        <v>45988</v>
      </c>
      <c r="I271" s="13" t="n">
        <v>0.2300462962962963</v>
      </c>
      <c r="J271" s="14" t="n">
        <v>45988.2300462963</v>
      </c>
      <c r="K271" s="15" t="n">
        <v>7332.04</v>
      </c>
      <c r="L271" s="4" t="inlineStr">
        <is>
          <t>INR</t>
        </is>
      </c>
      <c r="M271" s="15" t="n">
        <v>-7332.04</v>
      </c>
      <c r="N271" s="4" t="inlineStr">
        <is>
          <t>IOS Owner</t>
        </is>
      </c>
      <c r="O271" s="4" t="n"/>
      <c r="P271" s="4" t="n"/>
      <c r="Q271" s="4" t="inlineStr">
        <is>
          <t>MAESTRO-IOS-BUSINESS-TEAM_OPERATIONS-0270 | Training | 7332.04</t>
        </is>
      </c>
      <c r="R271" s="4" t="inlineStr">
        <is>
          <t>iPhone</t>
        </is>
      </c>
      <c r="S271" s="4" t="inlineStr">
        <is>
          <t>B06</t>
        </is>
      </c>
      <c r="T271" s="4" t="inlineStr">
        <is>
          <t>BASELINE_1_500</t>
        </is>
      </c>
      <c r="U271" s="4" t="inlineStr">
        <is>
          <t>CREATED</t>
        </is>
      </c>
      <c r="V271" s="4" t="inlineStr">
        <is>
          <t>idem-20260902-ios-0270</t>
        </is>
      </c>
    </row>
    <row r="272" ht="30" customHeight="1">
      <c r="A272" s="4" t="n">
        <v>271</v>
      </c>
      <c r="B272" s="4" t="inlineStr">
        <is>
          <t>MTR-IOS-0271</t>
        </is>
      </c>
      <c r="C272" s="4" t="inlineStr">
        <is>
          <t>Personal</t>
        </is>
      </c>
      <c r="D272" s="4" t="inlineStr">
        <is>
          <t>Personal</t>
        </is>
      </c>
      <c r="E272" s="4" t="inlineStr">
        <is>
          <t>Relationships</t>
        </is>
      </c>
      <c r="F272" s="4" t="inlineStr">
        <is>
          <t>Friends</t>
        </is>
      </c>
      <c r="G272" s="4" t="inlineStr">
        <is>
          <t>Expense</t>
        </is>
      </c>
      <c r="H272" s="12" t="n">
        <v>46255</v>
      </c>
      <c r="I272" s="13" t="n">
        <v>0.5</v>
      </c>
      <c r="J272" s="14" t="n">
        <v>46255.5</v>
      </c>
      <c r="K272" s="15" t="n">
        <v>4398.61</v>
      </c>
      <c r="L272" s="4" t="inlineStr">
        <is>
          <t>INR</t>
        </is>
      </c>
      <c r="M272" s="15" t="n">
        <v>-4398.61</v>
      </c>
      <c r="N272" s="4" t="inlineStr">
        <is>
          <t>IOS Owner</t>
        </is>
      </c>
      <c r="O272" s="4" t="n"/>
      <c r="P272" s="4" t="n"/>
      <c r="Q272" s="4" t="inlineStr">
        <is>
          <t>MAESTRO-IOS-PERSONAL-RELATIONSHIPS-0271 | Friends | 4398.61</t>
        </is>
      </c>
      <c r="R272" s="4" t="inlineStr">
        <is>
          <t>iPhone</t>
        </is>
      </c>
      <c r="S272" s="4" t="inlineStr">
        <is>
          <t>B06</t>
        </is>
      </c>
      <c r="T272" s="4" t="inlineStr">
        <is>
          <t>BASELINE_1_500</t>
        </is>
      </c>
      <c r="U272" s="4" t="inlineStr">
        <is>
          <t>CREATED</t>
        </is>
      </c>
      <c r="V272" s="4" t="inlineStr">
        <is>
          <t>idem-20260902-ios-0271</t>
        </is>
      </c>
    </row>
    <row r="273" ht="30" customHeight="1">
      <c r="A273" s="4" t="n">
        <v>272</v>
      </c>
      <c r="B273" s="4" t="inlineStr">
        <is>
          <t>MTR-IOS-0272</t>
        </is>
      </c>
      <c r="C273" s="4" t="inlineStr">
        <is>
          <t>Group</t>
        </is>
      </c>
      <c r="D273" s="4" t="inlineStr">
        <is>
          <t>Shared Purchase</t>
        </is>
      </c>
      <c r="E273" s="4" t="inlineStr">
        <is>
          <t>Assets</t>
        </is>
      </c>
      <c r="F273" s="4" t="inlineStr">
        <is>
          <t>Purchase</t>
        </is>
      </c>
      <c r="G273" s="4" t="inlineStr">
        <is>
          <t>Expense</t>
        </is>
      </c>
      <c r="H273" s="12" t="n">
        <v>46075</v>
      </c>
      <c r="I273" s="13" t="n">
        <v>0.4451273148148148</v>
      </c>
      <c r="J273" s="14" t="n">
        <v>46075.44512731482</v>
      </c>
      <c r="K273" s="15" t="n">
        <v>13337.69</v>
      </c>
      <c r="L273" s="4" t="inlineStr">
        <is>
          <t>INR</t>
        </is>
      </c>
      <c r="M273" s="15" t="n">
        <v>-13337.69</v>
      </c>
      <c r="N273" s="4" t="inlineStr">
        <is>
          <t>IOS Owner</t>
        </is>
      </c>
      <c r="O273" s="4" t="n">
        <v>3</v>
      </c>
      <c r="P273" s="4" t="inlineStr">
        <is>
          <t>EXACT</t>
        </is>
      </c>
      <c r="Q273" s="4" t="inlineStr">
        <is>
          <t>MAESTRO-IOS-GROUP-ASSETS-0272 | Purchase | 13337.69</t>
        </is>
      </c>
      <c r="R273" s="4" t="inlineStr">
        <is>
          <t>iPhone</t>
        </is>
      </c>
      <c r="S273" s="4" t="inlineStr">
        <is>
          <t>B06</t>
        </is>
      </c>
      <c r="T273" s="4" t="inlineStr">
        <is>
          <t>BASELINE_1_500</t>
        </is>
      </c>
      <c r="U273" s="4" t="inlineStr">
        <is>
          <t>CREATED</t>
        </is>
      </c>
      <c r="V273" s="4" t="inlineStr">
        <is>
          <t>idem-20260902-ios-0272</t>
        </is>
      </c>
    </row>
    <row r="274" ht="30" customHeight="1">
      <c r="A274" s="4" t="n">
        <v>273</v>
      </c>
      <c r="B274" s="4" t="inlineStr">
        <is>
          <t>MTR-IOS-0273</t>
        </is>
      </c>
      <c r="C274" s="4" t="inlineStr">
        <is>
          <t>Business</t>
        </is>
      </c>
      <c r="D274" s="4" t="inlineStr">
        <is>
          <t>Business</t>
        </is>
      </c>
      <c r="E274" s="4" t="inlineStr">
        <is>
          <t>Team Operations</t>
        </is>
      </c>
      <c r="F274" s="4" t="inlineStr">
        <is>
          <t>Tools</t>
        </is>
      </c>
      <c r="G274" s="4" t="inlineStr">
        <is>
          <t>Expense</t>
        </is>
      </c>
      <c r="H274" s="12" t="n">
        <v>46159</v>
      </c>
      <c r="I274" s="13" t="n">
        <v>0.1816550925925926</v>
      </c>
      <c r="J274" s="14" t="n">
        <v>46159.18165509259</v>
      </c>
      <c r="K274" s="15" t="n">
        <v>134438.24</v>
      </c>
      <c r="L274" s="4" t="inlineStr">
        <is>
          <t>INR</t>
        </is>
      </c>
      <c r="M274" s="15" t="n">
        <v>-134438.24</v>
      </c>
      <c r="N274" s="4" t="inlineStr">
        <is>
          <t>IOS Owner</t>
        </is>
      </c>
      <c r="O274" s="4" t="n"/>
      <c r="P274" s="4" t="n"/>
      <c r="Q274" s="4" t="inlineStr">
        <is>
          <t>MAESTRO-IOS-BUSINESS-TEAM_OPERATIONS-0273 | Tools | 134438.24</t>
        </is>
      </c>
      <c r="R274" s="4" t="inlineStr">
        <is>
          <t>iPhone</t>
        </is>
      </c>
      <c r="S274" s="4" t="inlineStr">
        <is>
          <t>B06</t>
        </is>
      </c>
      <c r="T274" s="4" t="inlineStr">
        <is>
          <t>BASELINE_1_500</t>
        </is>
      </c>
      <c r="U274" s="4" t="inlineStr">
        <is>
          <t>CREATED</t>
        </is>
      </c>
      <c r="V274" s="4" t="inlineStr">
        <is>
          <t>idem-20260902-ios-0273</t>
        </is>
      </c>
    </row>
    <row r="275" ht="30" customHeight="1">
      <c r="A275" s="4" t="n">
        <v>274</v>
      </c>
      <c r="B275" s="4" t="inlineStr">
        <is>
          <t>MTR-IOS-0274</t>
        </is>
      </c>
      <c r="C275" s="4" t="inlineStr">
        <is>
          <t>Personal</t>
        </is>
      </c>
      <c r="D275" s="4" t="inlineStr">
        <is>
          <t>Personal</t>
        </is>
      </c>
      <c r="E275" s="4" t="inlineStr">
        <is>
          <t>Relationships</t>
        </is>
      </c>
      <c r="F275" s="4" t="inlineStr">
        <is>
          <t>Celebrations</t>
        </is>
      </c>
      <c r="G275" s="4" t="inlineStr">
        <is>
          <t>Expense</t>
        </is>
      </c>
      <c r="H275" s="12" t="n">
        <v>46127</v>
      </c>
      <c r="I275" s="13" t="n">
        <v>0.7079745370370371</v>
      </c>
      <c r="J275" s="14" t="n">
        <v>46127.70797453704</v>
      </c>
      <c r="K275" s="15" t="n">
        <v>14827.17</v>
      </c>
      <c r="L275" s="4" t="inlineStr">
        <is>
          <t>INR</t>
        </is>
      </c>
      <c r="M275" s="15" t="n">
        <v>-14827.17</v>
      </c>
      <c r="N275" s="4" t="inlineStr">
        <is>
          <t>IOS Owner</t>
        </is>
      </c>
      <c r="O275" s="4" t="n"/>
      <c r="P275" s="4" t="n"/>
      <c r="Q275" s="4" t="inlineStr">
        <is>
          <t>MAESTRO-IOS-PERSONAL-RELATIONSHIPS-0274 | Celebrations | 14827.17</t>
        </is>
      </c>
      <c r="R275" s="4" t="inlineStr">
        <is>
          <t>iPhone</t>
        </is>
      </c>
      <c r="S275" s="4" t="inlineStr">
        <is>
          <t>B06</t>
        </is>
      </c>
      <c r="T275" s="4" t="inlineStr">
        <is>
          <t>BASELINE_1_500</t>
        </is>
      </c>
      <c r="U275" s="4" t="inlineStr">
        <is>
          <t>CREATED</t>
        </is>
      </c>
      <c r="V275" s="4" t="inlineStr">
        <is>
          <t>idem-20260902-ios-0274</t>
        </is>
      </c>
    </row>
    <row r="276" ht="30" customHeight="1">
      <c r="A276" s="4" t="n">
        <v>275</v>
      </c>
      <c r="B276" s="4" t="inlineStr">
        <is>
          <t>MTR-IOS-0275</t>
        </is>
      </c>
      <c r="C276" s="4" t="inlineStr">
        <is>
          <t>Group</t>
        </is>
      </c>
      <c r="D276" s="4" t="inlineStr">
        <is>
          <t>Shared Purchase</t>
        </is>
      </c>
      <c r="E276" s="4" t="inlineStr">
        <is>
          <t>Assets</t>
        </is>
      </c>
      <c r="F276" s="4" t="inlineStr">
        <is>
          <t>Maintenance</t>
        </is>
      </c>
      <c r="G276" s="4" t="inlineStr">
        <is>
          <t>Expense</t>
        </is>
      </c>
      <c r="H276" s="12" t="n">
        <v>45922</v>
      </c>
      <c r="I276" s="13" t="n">
        <v>0.7548726851851851</v>
      </c>
      <c r="J276" s="14" t="n">
        <v>45922.75487268518</v>
      </c>
      <c r="K276" s="15" t="n">
        <v>5682.01</v>
      </c>
      <c r="L276" s="4" t="inlineStr">
        <is>
          <t>INR</t>
        </is>
      </c>
      <c r="M276" s="15" t="n">
        <v>-5682.01</v>
      </c>
      <c r="N276" s="4" t="inlineStr">
        <is>
          <t>IOS Aarav</t>
        </is>
      </c>
      <c r="O276" s="4" t="n">
        <v>3</v>
      </c>
      <c r="P276" s="4" t="inlineStr">
        <is>
          <t>SHARES</t>
        </is>
      </c>
      <c r="Q276" s="4" t="inlineStr">
        <is>
          <t>MAESTRO-IOS-GROUP-ASSETS-0275 | Maintenance | 5682.01</t>
        </is>
      </c>
      <c r="R276" s="4" t="inlineStr">
        <is>
          <t>iPhone</t>
        </is>
      </c>
      <c r="S276" s="4" t="inlineStr">
        <is>
          <t>B06</t>
        </is>
      </c>
      <c r="T276" s="4" t="inlineStr">
        <is>
          <t>BASELINE_1_500</t>
        </is>
      </c>
      <c r="U276" s="4" t="inlineStr">
        <is>
          <t>CREATED</t>
        </is>
      </c>
      <c r="V276" s="4" t="inlineStr">
        <is>
          <t>idem-20260902-ios-0275</t>
        </is>
      </c>
    </row>
    <row r="277" ht="30" customHeight="1">
      <c r="A277" s="4" t="n">
        <v>276</v>
      </c>
      <c r="B277" s="4" t="inlineStr">
        <is>
          <t>MTR-IOS-0276</t>
        </is>
      </c>
      <c r="C277" s="4" t="inlineStr">
        <is>
          <t>Business</t>
        </is>
      </c>
      <c r="D277" s="4" t="inlineStr">
        <is>
          <t>Business</t>
        </is>
      </c>
      <c r="E277" s="4" t="inlineStr">
        <is>
          <t>Business Runway</t>
        </is>
      </c>
      <c r="F277" s="4" t="inlineStr">
        <is>
          <t>Funding</t>
        </is>
      </c>
      <c r="G277" s="4" t="inlineStr">
        <is>
          <t>Income</t>
        </is>
      </c>
      <c r="H277" s="12" t="n">
        <v>46032</v>
      </c>
      <c r="I277" s="13" t="n">
        <v>0.7683796296296296</v>
      </c>
      <c r="J277" s="14" t="n">
        <v>46032.76837962963</v>
      </c>
      <c r="K277" s="15" t="n">
        <v>134066.94</v>
      </c>
      <c r="L277" s="4" t="inlineStr">
        <is>
          <t>INR</t>
        </is>
      </c>
      <c r="M277" s="15" t="n">
        <v>134066.94</v>
      </c>
      <c r="N277" s="4" t="inlineStr">
        <is>
          <t>IOS Owner</t>
        </is>
      </c>
      <c r="O277" s="4" t="n"/>
      <c r="P277" s="4" t="n"/>
      <c r="Q277" s="4" t="inlineStr">
        <is>
          <t>MAESTRO-IOS-BUSINESS-BUSINESS_RUNWAY-0276 | Funding | 134066.94</t>
        </is>
      </c>
      <c r="R277" s="4" t="inlineStr">
        <is>
          <t>iPhone</t>
        </is>
      </c>
      <c r="S277" s="4" t="inlineStr">
        <is>
          <t>B06</t>
        </is>
      </c>
      <c r="T277" s="4" t="inlineStr">
        <is>
          <t>BASELINE_1_500</t>
        </is>
      </c>
      <c r="U277" s="4" t="inlineStr">
        <is>
          <t>CREATED</t>
        </is>
      </c>
      <c r="V277" s="4" t="inlineStr">
        <is>
          <t>idem-20260902-ios-0276</t>
        </is>
      </c>
    </row>
    <row r="278" ht="30" customHeight="1">
      <c r="A278" s="4" t="n">
        <v>277</v>
      </c>
      <c r="B278" s="4" t="inlineStr">
        <is>
          <t>MTR-IOS-0277</t>
        </is>
      </c>
      <c r="C278" s="4" t="inlineStr">
        <is>
          <t>Personal</t>
        </is>
      </c>
      <c r="D278" s="4" t="inlineStr">
        <is>
          <t>Personal</t>
        </is>
      </c>
      <c r="E278" s="4" t="inlineStr">
        <is>
          <t>Life Operations</t>
        </is>
      </c>
      <c r="F278" s="4" t="inlineStr">
        <is>
          <t>Groceries</t>
        </is>
      </c>
      <c r="G278" s="4" t="inlineStr">
        <is>
          <t>Expense</t>
        </is>
      </c>
      <c r="H278" s="12" t="n">
        <v>46245</v>
      </c>
      <c r="I278" s="13" t="n">
        <v>0.2978240740740741</v>
      </c>
      <c r="J278" s="14" t="n">
        <v>46245.29782407408</v>
      </c>
      <c r="K278" s="15" t="n">
        <v>5592.82</v>
      </c>
      <c r="L278" s="4" t="inlineStr">
        <is>
          <t>INR</t>
        </is>
      </c>
      <c r="M278" s="15" t="n">
        <v>-5592.82</v>
      </c>
      <c r="N278" s="4" t="inlineStr">
        <is>
          <t>IOS Owner</t>
        </is>
      </c>
      <c r="O278" s="4" t="n"/>
      <c r="P278" s="4" t="n"/>
      <c r="Q278" s="4" t="inlineStr">
        <is>
          <t>MAESTRO-IOS-PERSONAL-LIFE_OPERATIONS-0277 | Groceries | 5592.82</t>
        </is>
      </c>
      <c r="R278" s="4" t="inlineStr">
        <is>
          <t>iPhone</t>
        </is>
      </c>
      <c r="S278" s="4" t="inlineStr">
        <is>
          <t>B06</t>
        </is>
      </c>
      <c r="T278" s="4" t="inlineStr">
        <is>
          <t>BASELINE_1_500</t>
        </is>
      </c>
      <c r="U278" s="4" t="inlineStr">
        <is>
          <t>CREATED</t>
        </is>
      </c>
      <c r="V278" s="4" t="inlineStr">
        <is>
          <t>idem-20260902-ios-0277</t>
        </is>
      </c>
    </row>
    <row r="279" ht="30" customHeight="1">
      <c r="A279" s="4" t="n">
        <v>278</v>
      </c>
      <c r="B279" s="4" t="inlineStr">
        <is>
          <t>MTR-IOS-0278</t>
        </is>
      </c>
      <c r="C279" s="4" t="inlineStr">
        <is>
          <t>Group</t>
        </is>
      </c>
      <c r="D279" s="4" t="inlineStr">
        <is>
          <t>Shared Purchase</t>
        </is>
      </c>
      <c r="E279" s="4" t="inlineStr">
        <is>
          <t>Assets</t>
        </is>
      </c>
      <c r="F279" s="4" t="inlineStr">
        <is>
          <t>Repair</t>
        </is>
      </c>
      <c r="G279" s="4" t="inlineStr">
        <is>
          <t>Expense</t>
        </is>
      </c>
      <c r="H279" s="12" t="n">
        <v>46190</v>
      </c>
      <c r="I279" s="13" t="n">
        <v>0.959837962962963</v>
      </c>
      <c r="J279" s="14" t="n">
        <v>46190.95983796296</v>
      </c>
      <c r="K279" s="15" t="n">
        <v>25797.51</v>
      </c>
      <c r="L279" s="4" t="inlineStr">
        <is>
          <t>INR</t>
        </is>
      </c>
      <c r="M279" s="15" t="n">
        <v>-25797.51</v>
      </c>
      <c r="N279" s="4" t="inlineStr">
        <is>
          <t>IOS Meera</t>
        </is>
      </c>
      <c r="O279" s="4" t="n">
        <v>3</v>
      </c>
      <c r="P279" s="4" t="inlineStr">
        <is>
          <t>EQUAL</t>
        </is>
      </c>
      <c r="Q279" s="4" t="inlineStr">
        <is>
          <t>MAESTRO-IOS-GROUP-ASSETS-0278 | Repair | 25797.51</t>
        </is>
      </c>
      <c r="R279" s="4" t="inlineStr">
        <is>
          <t>iPhone</t>
        </is>
      </c>
      <c r="S279" s="4" t="inlineStr">
        <is>
          <t>B06</t>
        </is>
      </c>
      <c r="T279" s="4" t="inlineStr">
        <is>
          <t>BASELINE_1_500</t>
        </is>
      </c>
      <c r="U279" s="4" t="inlineStr">
        <is>
          <t>CREATED</t>
        </is>
      </c>
      <c r="V279" s="4" t="inlineStr">
        <is>
          <t>idem-20260902-ios-0278</t>
        </is>
      </c>
    </row>
    <row r="280" ht="30" customHeight="1">
      <c r="A280" s="4" t="n">
        <v>279</v>
      </c>
      <c r="B280" s="4" t="inlineStr">
        <is>
          <t>MTR-IOS-0279</t>
        </is>
      </c>
      <c r="C280" s="4" t="inlineStr">
        <is>
          <t>Business</t>
        </is>
      </c>
      <c r="D280" s="4" t="inlineStr">
        <is>
          <t>Business</t>
        </is>
      </c>
      <c r="E280" s="4" t="inlineStr">
        <is>
          <t>Business Runway</t>
        </is>
      </c>
      <c r="F280" s="4" t="inlineStr">
        <is>
          <t>Revenue</t>
        </is>
      </c>
      <c r="G280" s="4" t="inlineStr">
        <is>
          <t>Income</t>
        </is>
      </c>
      <c r="H280" s="12" t="n">
        <v>45936</v>
      </c>
      <c r="I280" s="13" t="n">
        <v>0.9582175925925925</v>
      </c>
      <c r="J280" s="14" t="n">
        <v>45936.95821759259</v>
      </c>
      <c r="K280" s="15" t="n">
        <v>56460.54</v>
      </c>
      <c r="L280" s="4" t="inlineStr">
        <is>
          <t>INR</t>
        </is>
      </c>
      <c r="M280" s="15" t="n">
        <v>56460.54</v>
      </c>
      <c r="N280" s="4" t="inlineStr">
        <is>
          <t>IOS Owner</t>
        </is>
      </c>
      <c r="O280" s="4" t="n"/>
      <c r="P280" s="4" t="n"/>
      <c r="Q280" s="4" t="inlineStr">
        <is>
          <t>MAESTRO-IOS-BUSINESS-BUSINESS_RUNWAY-0279 | Revenue | 56460.54</t>
        </is>
      </c>
      <c r="R280" s="4" t="inlineStr">
        <is>
          <t>iPhone</t>
        </is>
      </c>
      <c r="S280" s="4" t="inlineStr">
        <is>
          <t>B06</t>
        </is>
      </c>
      <c r="T280" s="4" t="inlineStr">
        <is>
          <t>BASELINE_1_500</t>
        </is>
      </c>
      <c r="U280" s="4" t="inlineStr">
        <is>
          <t>CREATED</t>
        </is>
      </c>
      <c r="V280" s="4" t="inlineStr">
        <is>
          <t>idem-20260902-ios-0279</t>
        </is>
      </c>
    </row>
    <row r="281" ht="30" customHeight="1">
      <c r="A281" s="4" t="n">
        <v>280</v>
      </c>
      <c r="B281" s="4" t="inlineStr">
        <is>
          <t>MTR-IOS-0280</t>
        </is>
      </c>
      <c r="C281" s="4" t="inlineStr">
        <is>
          <t>Personal</t>
        </is>
      </c>
      <c r="D281" s="4" t="inlineStr">
        <is>
          <t>Personal</t>
        </is>
      </c>
      <c r="E281" s="4" t="inlineStr">
        <is>
          <t>Life Operations</t>
        </is>
      </c>
      <c r="F281" s="4" t="inlineStr">
        <is>
          <t>Rent</t>
        </is>
      </c>
      <c r="G281" s="4" t="inlineStr">
        <is>
          <t>Expense</t>
        </is>
      </c>
      <c r="H281" s="12" t="n">
        <v>46253</v>
      </c>
      <c r="I281" s="13" t="n">
        <v>0.3577314814814815</v>
      </c>
      <c r="J281" s="14" t="n">
        <v>46253.35773148148</v>
      </c>
      <c r="K281" s="15" t="n">
        <v>11549.52</v>
      </c>
      <c r="L281" s="4" t="inlineStr">
        <is>
          <t>INR</t>
        </is>
      </c>
      <c r="M281" s="15" t="n">
        <v>-11549.52</v>
      </c>
      <c r="N281" s="4" t="inlineStr">
        <is>
          <t>IOS Owner</t>
        </is>
      </c>
      <c r="O281" s="4" t="n"/>
      <c r="P281" s="4" t="n"/>
      <c r="Q281" s="4" t="inlineStr">
        <is>
          <t>MAESTRO-IOS-PERSONAL-LIFE_OPERATIONS-0280 | Rent | 11549.52</t>
        </is>
      </c>
      <c r="R281" s="4" t="inlineStr">
        <is>
          <t>iPhone</t>
        </is>
      </c>
      <c r="S281" s="4" t="inlineStr">
        <is>
          <t>B06</t>
        </is>
      </c>
      <c r="T281" s="4" t="inlineStr">
        <is>
          <t>BASELINE_1_500</t>
        </is>
      </c>
      <c r="U281" s="4" t="inlineStr">
        <is>
          <t>CREATED</t>
        </is>
      </c>
      <c r="V281" s="4" t="inlineStr">
        <is>
          <t>idem-20260902-ios-0280</t>
        </is>
      </c>
    </row>
    <row r="282" ht="30" customHeight="1">
      <c r="A282" s="4" t="n">
        <v>281</v>
      </c>
      <c r="B282" s="4" t="inlineStr">
        <is>
          <t>MTR-IOS-0281</t>
        </is>
      </c>
      <c r="C282" s="4" t="inlineStr">
        <is>
          <t>Group</t>
        </is>
      </c>
      <c r="D282" s="4" t="inlineStr">
        <is>
          <t>Shared Purchase</t>
        </is>
      </c>
      <c r="E282" s="4" t="inlineStr">
        <is>
          <t>Assets</t>
        </is>
      </c>
      <c r="F282" s="4" t="inlineStr">
        <is>
          <t>Insurance</t>
        </is>
      </c>
      <c r="G282" s="4" t="inlineStr">
        <is>
          <t>Expense</t>
        </is>
      </c>
      <c r="H282" s="12" t="n">
        <v>45975</v>
      </c>
      <c r="I282" s="13" t="n">
        <v>0.09099537037037037</v>
      </c>
      <c r="J282" s="14" t="n">
        <v>45975.09099537037</v>
      </c>
      <c r="K282" s="15" t="n">
        <v>325.85</v>
      </c>
      <c r="L282" s="4" t="inlineStr">
        <is>
          <t>INR</t>
        </is>
      </c>
      <c r="M282" s="15" t="n">
        <v>-325.85</v>
      </c>
      <c r="N282" s="4" t="inlineStr">
        <is>
          <t>IOS Owner</t>
        </is>
      </c>
      <c r="O282" s="4" t="n">
        <v>3</v>
      </c>
      <c r="P282" s="4" t="inlineStr">
        <is>
          <t>PERCENTAGE</t>
        </is>
      </c>
      <c r="Q282" s="4" t="inlineStr">
        <is>
          <t>MAESTRO-IOS-GROUP-ASSETS-0281 | Insurance | 325.85</t>
        </is>
      </c>
      <c r="R282" s="4" t="inlineStr">
        <is>
          <t>iPhone</t>
        </is>
      </c>
      <c r="S282" s="4" t="inlineStr">
        <is>
          <t>B06</t>
        </is>
      </c>
      <c r="T282" s="4" t="inlineStr">
        <is>
          <t>BASELINE_1_500</t>
        </is>
      </c>
      <c r="U282" s="4" t="inlineStr">
        <is>
          <t>CREATED</t>
        </is>
      </c>
      <c r="V282" s="4" t="inlineStr">
        <is>
          <t>idem-20260902-ios-0281</t>
        </is>
      </c>
    </row>
    <row r="283" ht="30" customHeight="1">
      <c r="A283" s="4" t="n">
        <v>282</v>
      </c>
      <c r="B283" s="4" t="inlineStr">
        <is>
          <t>MTR-IOS-0282</t>
        </is>
      </c>
      <c r="C283" s="4" t="inlineStr">
        <is>
          <t>Business</t>
        </is>
      </c>
      <c r="D283" s="4" t="inlineStr">
        <is>
          <t>Business</t>
        </is>
      </c>
      <c r="E283" s="4" t="inlineStr">
        <is>
          <t>Business Runway</t>
        </is>
      </c>
      <c r="F283" s="4" t="inlineStr">
        <is>
          <t>Burn</t>
        </is>
      </c>
      <c r="G283" s="4" t="inlineStr">
        <is>
          <t>Expense</t>
        </is>
      </c>
      <c r="H283" s="12" t="n">
        <v>46075</v>
      </c>
      <c r="I283" s="13" t="n">
        <v>0.7640972222222222</v>
      </c>
      <c r="J283" s="14" t="n">
        <v>46075.76409722222</v>
      </c>
      <c r="K283" s="15" t="n">
        <v>110941.69</v>
      </c>
      <c r="L283" s="4" t="inlineStr">
        <is>
          <t>INR</t>
        </is>
      </c>
      <c r="M283" s="15" t="n">
        <v>-110941.69</v>
      </c>
      <c r="N283" s="4" t="inlineStr">
        <is>
          <t>IOS Owner</t>
        </is>
      </c>
      <c r="O283" s="4" t="n"/>
      <c r="P283" s="4" t="n"/>
      <c r="Q283" s="4" t="inlineStr">
        <is>
          <t>MAESTRO-IOS-BUSINESS-BUSINESS_RUNWAY-0282 | Burn | 110941.69</t>
        </is>
      </c>
      <c r="R283" s="4" t="inlineStr">
        <is>
          <t>iPhone</t>
        </is>
      </c>
      <c r="S283" s="4" t="inlineStr">
        <is>
          <t>B06</t>
        </is>
      </c>
      <c r="T283" s="4" t="inlineStr">
        <is>
          <t>BASELINE_1_500</t>
        </is>
      </c>
      <c r="U283" s="4" t="inlineStr">
        <is>
          <t>CREATED</t>
        </is>
      </c>
      <c r="V283" s="4" t="inlineStr">
        <is>
          <t>idem-20260902-ios-0282</t>
        </is>
      </c>
    </row>
    <row r="284" ht="30" customHeight="1">
      <c r="A284" s="4" t="n">
        <v>283</v>
      </c>
      <c r="B284" s="4" t="inlineStr">
        <is>
          <t>MTR-IOS-0283</t>
        </is>
      </c>
      <c r="C284" s="4" t="inlineStr">
        <is>
          <t>Personal</t>
        </is>
      </c>
      <c r="D284" s="4" t="inlineStr">
        <is>
          <t>Personal</t>
        </is>
      </c>
      <c r="E284" s="4" t="inlineStr">
        <is>
          <t>Life Operations</t>
        </is>
      </c>
      <c r="F284" s="4" t="inlineStr">
        <is>
          <t>Bills</t>
        </is>
      </c>
      <c r="G284" s="4" t="inlineStr">
        <is>
          <t>Expense</t>
        </is>
      </c>
      <c r="H284" s="12" t="n">
        <v>45954</v>
      </c>
      <c r="I284" s="13" t="n">
        <v>0.1510416666666667</v>
      </c>
      <c r="J284" s="14" t="n">
        <v>45954.15104166666</v>
      </c>
      <c r="K284" s="15" t="n">
        <v>14882.51</v>
      </c>
      <c r="L284" s="4" t="inlineStr">
        <is>
          <t>INR</t>
        </is>
      </c>
      <c r="M284" s="15" t="n">
        <v>-14882.51</v>
      </c>
      <c r="N284" s="4" t="inlineStr">
        <is>
          <t>IOS Owner</t>
        </is>
      </c>
      <c r="O284" s="4" t="n"/>
      <c r="P284" s="4" t="n"/>
      <c r="Q284" s="4" t="inlineStr">
        <is>
          <t>MAESTRO-IOS-PERSONAL-LIFE_OPERATIONS-0283 | Bills | 14882.51</t>
        </is>
      </c>
      <c r="R284" s="4" t="inlineStr">
        <is>
          <t>iPhone</t>
        </is>
      </c>
      <c r="S284" s="4" t="inlineStr">
        <is>
          <t>B06</t>
        </is>
      </c>
      <c r="T284" s="4" t="inlineStr">
        <is>
          <t>BASELINE_1_500</t>
        </is>
      </c>
      <c r="U284" s="4" t="inlineStr">
        <is>
          <t>CREATED</t>
        </is>
      </c>
      <c r="V284" s="4" t="inlineStr">
        <is>
          <t>idem-20260902-ios-0283</t>
        </is>
      </c>
    </row>
    <row r="285" ht="30" customHeight="1">
      <c r="A285" s="4" t="n">
        <v>284</v>
      </c>
      <c r="B285" s="4" t="inlineStr">
        <is>
          <t>MTR-IOS-0284</t>
        </is>
      </c>
      <c r="C285" s="4" t="inlineStr">
        <is>
          <t>Group</t>
        </is>
      </c>
      <c r="D285" s="4" t="inlineStr">
        <is>
          <t>Shared Purchase</t>
        </is>
      </c>
      <c r="E285" s="4" t="inlineStr">
        <is>
          <t>Assets</t>
        </is>
      </c>
      <c r="F285" s="4" t="inlineStr">
        <is>
          <t>Other</t>
        </is>
      </c>
      <c r="G285" s="4" t="inlineStr">
        <is>
          <t>Expense</t>
        </is>
      </c>
      <c r="H285" s="12" t="n">
        <v>46073</v>
      </c>
      <c r="I285" s="13" t="n">
        <v>0.6599537037037037</v>
      </c>
      <c r="J285" s="14" t="n">
        <v>46073.6599537037</v>
      </c>
      <c r="K285" s="15" t="n">
        <v>10697.13</v>
      </c>
      <c r="L285" s="4" t="inlineStr">
        <is>
          <t>INR</t>
        </is>
      </c>
      <c r="M285" s="15" t="n">
        <v>-10697.13</v>
      </c>
      <c r="N285" s="4" t="inlineStr">
        <is>
          <t>IOS Aarav</t>
        </is>
      </c>
      <c r="O285" s="4" t="n">
        <v>3</v>
      </c>
      <c r="P285" s="4" t="inlineStr">
        <is>
          <t>EXACT</t>
        </is>
      </c>
      <c r="Q285" s="4" t="inlineStr">
        <is>
          <t>MAESTRO-IOS-GROUP-ASSETS-0284 | Other | 10697.13</t>
        </is>
      </c>
      <c r="R285" s="4" t="inlineStr">
        <is>
          <t>iPhone</t>
        </is>
      </c>
      <c r="S285" s="4" t="inlineStr">
        <is>
          <t>B06</t>
        </is>
      </c>
      <c r="T285" s="4" t="inlineStr">
        <is>
          <t>BASELINE_1_500</t>
        </is>
      </c>
      <c r="U285" s="4" t="inlineStr">
        <is>
          <t>CREATED</t>
        </is>
      </c>
      <c r="V285" s="4" t="inlineStr">
        <is>
          <t>idem-20260902-ios-0284</t>
        </is>
      </c>
    </row>
    <row r="286" ht="30" customHeight="1">
      <c r="A286" s="4" t="n">
        <v>285</v>
      </c>
      <c r="B286" s="4" t="inlineStr">
        <is>
          <t>MTR-IOS-0285</t>
        </is>
      </c>
      <c r="C286" s="4" t="inlineStr">
        <is>
          <t>Business</t>
        </is>
      </c>
      <c r="D286" s="4" t="inlineStr">
        <is>
          <t>Business</t>
        </is>
      </c>
      <c r="E286" s="4" t="inlineStr">
        <is>
          <t>Business Runway</t>
        </is>
      </c>
      <c r="F286" s="4" t="inlineStr">
        <is>
          <t>Reserve</t>
        </is>
      </c>
      <c r="G286" s="4" t="inlineStr">
        <is>
          <t>Transfer</t>
        </is>
      </c>
      <c r="H286" s="12" t="n">
        <v>46061</v>
      </c>
      <c r="I286" s="13" t="n">
        <v>0.5884606481481481</v>
      </c>
      <c r="J286" s="14" t="n">
        <v>46061.58846064815</v>
      </c>
      <c r="K286" s="15" t="n">
        <v>112784.57</v>
      </c>
      <c r="L286" s="4" t="inlineStr">
        <is>
          <t>INR</t>
        </is>
      </c>
      <c r="M286" s="15" t="n">
        <v>0</v>
      </c>
      <c r="N286" s="4" t="inlineStr">
        <is>
          <t>IOS Owner</t>
        </is>
      </c>
      <c r="O286" s="4" t="n"/>
      <c r="P286" s="4" t="n"/>
      <c r="Q286" s="4" t="inlineStr">
        <is>
          <t>MAESTRO-IOS-BUSINESS-BUSINESS_RUNWAY-0285 | Reserve | 112784.57</t>
        </is>
      </c>
      <c r="R286" s="4" t="inlineStr">
        <is>
          <t>iPhone</t>
        </is>
      </c>
      <c r="S286" s="4" t="inlineStr">
        <is>
          <t>B06</t>
        </is>
      </c>
      <c r="T286" s="4" t="inlineStr">
        <is>
          <t>BASELINE_1_500</t>
        </is>
      </c>
      <c r="U286" s="4" t="inlineStr">
        <is>
          <t>CREATED</t>
        </is>
      </c>
      <c r="V286" s="4" t="inlineStr">
        <is>
          <t>idem-20260902-ios-0285</t>
        </is>
      </c>
    </row>
    <row r="287" ht="30" customHeight="1">
      <c r="A287" s="4" t="n">
        <v>286</v>
      </c>
      <c r="B287" s="4" t="inlineStr">
        <is>
          <t>MTR-IOS-0286</t>
        </is>
      </c>
      <c r="C287" s="4" t="inlineStr">
        <is>
          <t>Personal</t>
        </is>
      </c>
      <c r="D287" s="4" t="inlineStr">
        <is>
          <t>Personal</t>
        </is>
      </c>
      <c r="E287" s="4" t="inlineStr">
        <is>
          <t>Life Operations</t>
        </is>
      </c>
      <c r="F287" s="4" t="inlineStr">
        <is>
          <t>Transport</t>
        </is>
      </c>
      <c r="G287" s="4" t="inlineStr">
        <is>
          <t>Expense</t>
        </is>
      </c>
      <c r="H287" s="12" t="n">
        <v>46236</v>
      </c>
      <c r="I287" s="13" t="n">
        <v>0.343587962962963</v>
      </c>
      <c r="J287" s="14" t="n">
        <v>46236.34358796296</v>
      </c>
      <c r="K287" s="15" t="n">
        <v>9729.48</v>
      </c>
      <c r="L287" s="4" t="inlineStr">
        <is>
          <t>INR</t>
        </is>
      </c>
      <c r="M287" s="15" t="n">
        <v>-9729.48</v>
      </c>
      <c r="N287" s="4" t="inlineStr">
        <is>
          <t>IOS Owner</t>
        </is>
      </c>
      <c r="O287" s="4" t="n"/>
      <c r="P287" s="4" t="n"/>
      <c r="Q287" s="4" t="inlineStr">
        <is>
          <t>MAESTRO-IOS-PERSONAL-LIFE_OPERATIONS-0286 | Transport | 9729.48</t>
        </is>
      </c>
      <c r="R287" s="4" t="inlineStr">
        <is>
          <t>iPhone</t>
        </is>
      </c>
      <c r="S287" s="4" t="inlineStr">
        <is>
          <t>B06</t>
        </is>
      </c>
      <c r="T287" s="4" t="inlineStr">
        <is>
          <t>BASELINE_1_500</t>
        </is>
      </c>
      <c r="U287" s="4" t="inlineStr">
        <is>
          <t>CREATED</t>
        </is>
      </c>
      <c r="V287" s="4" t="inlineStr">
        <is>
          <t>idem-20260902-ios-0286</t>
        </is>
      </c>
    </row>
    <row r="288" ht="30" customHeight="1">
      <c r="A288" s="4" t="n">
        <v>287</v>
      </c>
      <c r="B288" s="4" t="inlineStr">
        <is>
          <t>MTR-IOS-0287</t>
        </is>
      </c>
      <c r="C288" s="4" t="inlineStr">
        <is>
          <t>Group</t>
        </is>
      </c>
      <c r="D288" s="4" t="inlineStr">
        <is>
          <t>Shared Purchase</t>
        </is>
      </c>
      <c r="E288" s="4" t="inlineStr">
        <is>
          <t>Custom Purchase</t>
        </is>
      </c>
      <c r="F288" s="4" t="inlineStr">
        <is>
          <t>Custom Expense</t>
        </is>
      </c>
      <c r="G288" s="4" t="inlineStr">
        <is>
          <t>Expense</t>
        </is>
      </c>
      <c r="H288" s="12" t="n">
        <v>45909</v>
      </c>
      <c r="I288" s="13" t="n">
        <v>0.02059027777777778</v>
      </c>
      <c r="J288" s="14" t="n">
        <v>45909.02059027777</v>
      </c>
      <c r="K288" s="15" t="n">
        <v>21347.47</v>
      </c>
      <c r="L288" s="4" t="inlineStr">
        <is>
          <t>INR</t>
        </is>
      </c>
      <c r="M288" s="15" t="n">
        <v>-21347.47</v>
      </c>
      <c r="N288" s="4" t="inlineStr">
        <is>
          <t>IOS Meera</t>
        </is>
      </c>
      <c r="O288" s="4" t="n">
        <v>3</v>
      </c>
      <c r="P288" s="4" t="inlineStr">
        <is>
          <t>SHARES</t>
        </is>
      </c>
      <c r="Q288" s="4" t="inlineStr">
        <is>
          <t>MAESTRO-IOS-GROUP-CUSTOM_PURCHASE-0287 | Custom Expense | 21347.47</t>
        </is>
      </c>
      <c r="R288" s="4" t="inlineStr">
        <is>
          <t>iPhone</t>
        </is>
      </c>
      <c r="S288" s="4" t="inlineStr">
        <is>
          <t>B06</t>
        </is>
      </c>
      <c r="T288" s="4" t="inlineStr">
        <is>
          <t>BASELINE_1_500</t>
        </is>
      </c>
      <c r="U288" s="4" t="inlineStr">
        <is>
          <t>CREATED</t>
        </is>
      </c>
      <c r="V288" s="4" t="inlineStr">
        <is>
          <t>idem-20260902-ios-0287</t>
        </is>
      </c>
    </row>
    <row r="289" ht="30" customHeight="1">
      <c r="A289" s="4" t="n">
        <v>288</v>
      </c>
      <c r="B289" s="4" t="inlineStr">
        <is>
          <t>MTR-IOS-0288</t>
        </is>
      </c>
      <c r="C289" s="4" t="inlineStr">
        <is>
          <t>Business</t>
        </is>
      </c>
      <c r="D289" s="4" t="inlineStr">
        <is>
          <t>Business</t>
        </is>
      </c>
      <c r="E289" s="4" t="inlineStr">
        <is>
          <t>Business Runway</t>
        </is>
      </c>
      <c r="F289" s="4" t="inlineStr">
        <is>
          <t>Loan</t>
        </is>
      </c>
      <c r="G289" s="4" t="inlineStr">
        <is>
          <t>Income</t>
        </is>
      </c>
      <c r="H289" s="12" t="n">
        <v>46139</v>
      </c>
      <c r="I289" s="13" t="n">
        <v>0.4686689814814815</v>
      </c>
      <c r="J289" s="14" t="n">
        <v>46139.46866898148</v>
      </c>
      <c r="K289" s="15" t="n">
        <v>77071.73</v>
      </c>
      <c r="L289" s="4" t="inlineStr">
        <is>
          <t>INR</t>
        </is>
      </c>
      <c r="M289" s="15" t="n">
        <v>77071.73</v>
      </c>
      <c r="N289" s="4" t="inlineStr">
        <is>
          <t>IOS Owner</t>
        </is>
      </c>
      <c r="O289" s="4" t="n"/>
      <c r="P289" s="4" t="n"/>
      <c r="Q289" s="4" t="inlineStr">
        <is>
          <t>MAESTRO-IOS-BUSINESS-BUSINESS_RUNWAY-0288 | Loan | 77071.73</t>
        </is>
      </c>
      <c r="R289" s="4" t="inlineStr">
        <is>
          <t>iPhone</t>
        </is>
      </c>
      <c r="S289" s="4" t="inlineStr">
        <is>
          <t>B06</t>
        </is>
      </c>
      <c r="T289" s="4" t="inlineStr">
        <is>
          <t>BASELINE_1_500</t>
        </is>
      </c>
      <c r="U289" s="4" t="inlineStr">
        <is>
          <t>CREATED</t>
        </is>
      </c>
      <c r="V289" s="4" t="inlineStr">
        <is>
          <t>idem-20260902-ios-0288</t>
        </is>
      </c>
    </row>
    <row r="290" ht="30" customHeight="1">
      <c r="A290" s="4" t="n">
        <v>289</v>
      </c>
      <c r="B290" s="4" t="inlineStr">
        <is>
          <t>MTR-IOS-0289</t>
        </is>
      </c>
      <c r="C290" s="4" t="inlineStr">
        <is>
          <t>Personal</t>
        </is>
      </c>
      <c r="D290" s="4" t="inlineStr">
        <is>
          <t>Personal</t>
        </is>
      </c>
      <c r="E290" s="4" t="inlineStr">
        <is>
          <t>Life Operations</t>
        </is>
      </c>
      <c r="F290" s="4" t="inlineStr">
        <is>
          <t>Healthcare</t>
        </is>
      </c>
      <c r="G290" s="4" t="inlineStr">
        <is>
          <t>Expense</t>
        </is>
      </c>
      <c r="H290" s="12" t="n">
        <v>46083</v>
      </c>
      <c r="I290" s="13" t="n">
        <v>0.5660648148148149</v>
      </c>
      <c r="J290" s="14" t="n">
        <v>46083.56606481481</v>
      </c>
      <c r="K290" s="15" t="n">
        <v>16085.69</v>
      </c>
      <c r="L290" s="4" t="inlineStr">
        <is>
          <t>INR</t>
        </is>
      </c>
      <c r="M290" s="15" t="n">
        <v>-16085.69</v>
      </c>
      <c r="N290" s="4" t="inlineStr">
        <is>
          <t>IOS Owner</t>
        </is>
      </c>
      <c r="O290" s="4" t="n"/>
      <c r="P290" s="4" t="n"/>
      <c r="Q290" s="4" t="inlineStr">
        <is>
          <t>MAESTRO-IOS-PERSONAL-LIFE_OPERATIONS-0289 | Healthcare | 16085.69</t>
        </is>
      </c>
      <c r="R290" s="4" t="inlineStr">
        <is>
          <t>iPhone</t>
        </is>
      </c>
      <c r="S290" s="4" t="inlineStr">
        <is>
          <t>B06</t>
        </is>
      </c>
      <c r="T290" s="4" t="inlineStr">
        <is>
          <t>BASELINE_1_500</t>
        </is>
      </c>
      <c r="U290" s="4" t="inlineStr">
        <is>
          <t>CREATED</t>
        </is>
      </c>
      <c r="V290" s="4" t="inlineStr">
        <is>
          <t>idem-20260902-ios-0289</t>
        </is>
      </c>
    </row>
    <row r="291" ht="30" customHeight="1">
      <c r="A291" s="4" t="n">
        <v>290</v>
      </c>
      <c r="B291" s="4" t="inlineStr">
        <is>
          <t>MTR-IOS-0290</t>
        </is>
      </c>
      <c r="C291" s="4" t="inlineStr">
        <is>
          <t>Group</t>
        </is>
      </c>
      <c r="D291" s="4" t="inlineStr">
        <is>
          <t>Shared Purchase</t>
        </is>
      </c>
      <c r="E291" s="4" t="inlineStr">
        <is>
          <t>Custom Purchase</t>
        </is>
      </c>
      <c r="F291" s="4" t="inlineStr">
        <is>
          <t>Custom Contribution</t>
        </is>
      </c>
      <c r="G291" s="4" t="inlineStr">
        <is>
          <t>Contribution</t>
        </is>
      </c>
      <c r="H291" s="12" t="n">
        <v>46111</v>
      </c>
      <c r="I291" s="13" t="n">
        <v>0.9465625</v>
      </c>
      <c r="J291" s="14" t="n">
        <v>46111.9465625</v>
      </c>
      <c r="K291" s="15" t="n">
        <v>9774.290000000001</v>
      </c>
      <c r="L291" s="4" t="inlineStr">
        <is>
          <t>INR</t>
        </is>
      </c>
      <c r="M291" s="15" t="n">
        <v>9774.290000000001</v>
      </c>
      <c r="N291" s="4" t="inlineStr">
        <is>
          <t>IOS Owner</t>
        </is>
      </c>
      <c r="O291" s="4" t="n">
        <v>3</v>
      </c>
      <c r="P291" s="4" t="inlineStr">
        <is>
          <t>EQUAL</t>
        </is>
      </c>
      <c r="Q291" s="4" t="inlineStr">
        <is>
          <t>MAESTRO-IOS-GROUP-CUSTOM_PURCHASE-0290 | Custom Contribution | 9774.29</t>
        </is>
      </c>
      <c r="R291" s="4" t="inlineStr">
        <is>
          <t>iPhone</t>
        </is>
      </c>
      <c r="S291" s="4" t="inlineStr">
        <is>
          <t>B06</t>
        </is>
      </c>
      <c r="T291" s="4" t="inlineStr">
        <is>
          <t>BASELINE_1_500</t>
        </is>
      </c>
      <c r="U291" s="4" t="inlineStr">
        <is>
          <t>CREATED</t>
        </is>
      </c>
      <c r="V291" s="4" t="inlineStr">
        <is>
          <t>idem-20260902-ios-0290</t>
        </is>
      </c>
    </row>
    <row r="292" ht="30" customHeight="1">
      <c r="A292" s="4" t="n">
        <v>291</v>
      </c>
      <c r="B292" s="4" t="inlineStr">
        <is>
          <t>MTR-IOS-0291</t>
        </is>
      </c>
      <c r="C292" s="4" t="inlineStr">
        <is>
          <t>Business</t>
        </is>
      </c>
      <c r="D292" s="4" t="inlineStr">
        <is>
          <t>Business</t>
        </is>
      </c>
      <c r="E292" s="4" t="inlineStr">
        <is>
          <t>Business Runway</t>
        </is>
      </c>
      <c r="F292" s="4" t="inlineStr">
        <is>
          <t>Investment</t>
        </is>
      </c>
      <c r="G292" s="4" t="inlineStr">
        <is>
          <t>Income</t>
        </is>
      </c>
      <c r="H292" s="12" t="n">
        <v>46023</v>
      </c>
      <c r="I292" s="13" t="n">
        <v>0.1174305555555556</v>
      </c>
      <c r="J292" s="14" t="n">
        <v>46023.11743055555</v>
      </c>
      <c r="K292" s="15" t="n">
        <v>57205.57</v>
      </c>
      <c r="L292" s="4" t="inlineStr">
        <is>
          <t>INR</t>
        </is>
      </c>
      <c r="M292" s="15" t="n">
        <v>57205.57</v>
      </c>
      <c r="N292" s="4" t="inlineStr">
        <is>
          <t>IOS Owner</t>
        </is>
      </c>
      <c r="O292" s="4" t="n"/>
      <c r="P292" s="4" t="n"/>
      <c r="Q292" s="4" t="inlineStr">
        <is>
          <t>MAESTRO-IOS-BUSINESS-BUSINESS_RUNWAY-0291 | Investment | 57205.57</t>
        </is>
      </c>
      <c r="R292" s="4" t="inlineStr">
        <is>
          <t>iPhone</t>
        </is>
      </c>
      <c r="S292" s="4" t="inlineStr">
        <is>
          <t>B06</t>
        </is>
      </c>
      <c r="T292" s="4" t="inlineStr">
        <is>
          <t>BASELINE_1_500</t>
        </is>
      </c>
      <c r="U292" s="4" t="inlineStr">
        <is>
          <t>CREATED</t>
        </is>
      </c>
      <c r="V292" s="4" t="inlineStr">
        <is>
          <t>idem-20260902-ios-0291</t>
        </is>
      </c>
    </row>
    <row r="293" ht="30" customHeight="1">
      <c r="A293" s="4" t="n">
        <v>292</v>
      </c>
      <c r="B293" s="4" t="inlineStr">
        <is>
          <t>MTR-IOS-0292</t>
        </is>
      </c>
      <c r="C293" s="4" t="inlineStr">
        <is>
          <t>Personal</t>
        </is>
      </c>
      <c r="D293" s="4" t="inlineStr">
        <is>
          <t>Personal</t>
        </is>
      </c>
      <c r="E293" s="4" t="inlineStr">
        <is>
          <t>Life Operations</t>
        </is>
      </c>
      <c r="F293" s="4" t="inlineStr">
        <is>
          <t>Subscriptions</t>
        </is>
      </c>
      <c r="G293" s="4" t="inlineStr">
        <is>
          <t>Expense</t>
        </is>
      </c>
      <c r="H293" s="12" t="n">
        <v>45936</v>
      </c>
      <c r="I293" s="13" t="n">
        <v>0.5553703703703704</v>
      </c>
      <c r="J293" s="14" t="n">
        <v>45936.55537037037</v>
      </c>
      <c r="K293" s="15" t="n">
        <v>7371.63</v>
      </c>
      <c r="L293" s="4" t="inlineStr">
        <is>
          <t>INR</t>
        </is>
      </c>
      <c r="M293" s="15" t="n">
        <v>-7371.63</v>
      </c>
      <c r="N293" s="4" t="inlineStr">
        <is>
          <t>IOS Owner</t>
        </is>
      </c>
      <c r="O293" s="4" t="n"/>
      <c r="P293" s="4" t="n"/>
      <c r="Q293" s="4" t="inlineStr">
        <is>
          <t>MAESTRO-IOS-PERSONAL-LIFE_OPERATIONS-0292 | Subscriptions | 7371.63</t>
        </is>
      </c>
      <c r="R293" s="4" t="inlineStr">
        <is>
          <t>iPhone</t>
        </is>
      </c>
      <c r="S293" s="4" t="inlineStr">
        <is>
          <t>B06</t>
        </is>
      </c>
      <c r="T293" s="4" t="inlineStr">
        <is>
          <t>BASELINE_1_500</t>
        </is>
      </c>
      <c r="U293" s="4" t="inlineStr">
        <is>
          <t>CREATED</t>
        </is>
      </c>
      <c r="V293" s="4" t="inlineStr">
        <is>
          <t>idem-20260902-ios-0292</t>
        </is>
      </c>
    </row>
    <row r="294" ht="30" customHeight="1">
      <c r="A294" s="4" t="n">
        <v>293</v>
      </c>
      <c r="B294" s="4" t="inlineStr">
        <is>
          <t>MTR-IOS-0293</t>
        </is>
      </c>
      <c r="C294" s="4" t="inlineStr">
        <is>
          <t>Group</t>
        </is>
      </c>
      <c r="D294" s="4" t="inlineStr">
        <is>
          <t>Shared Living</t>
        </is>
      </c>
      <c r="E294" s="4" t="inlineStr">
        <is>
          <t>Flatmates</t>
        </is>
      </c>
      <c r="F294" s="4" t="inlineStr">
        <is>
          <t>Rent</t>
        </is>
      </c>
      <c r="G294" s="4" t="inlineStr">
        <is>
          <t>Expense</t>
        </is>
      </c>
      <c r="H294" s="12" t="n">
        <v>45936</v>
      </c>
      <c r="I294" s="13" t="n">
        <v>0.1452546296296296</v>
      </c>
      <c r="J294" s="14" t="n">
        <v>45936.14525462963</v>
      </c>
      <c r="K294" s="15" t="n">
        <v>25125.18</v>
      </c>
      <c r="L294" s="4" t="inlineStr">
        <is>
          <t>INR</t>
        </is>
      </c>
      <c r="M294" s="15" t="n">
        <v>-25125.18</v>
      </c>
      <c r="N294" s="4" t="inlineStr">
        <is>
          <t>IOS Aarav</t>
        </is>
      </c>
      <c r="O294" s="4" t="n">
        <v>3</v>
      </c>
      <c r="P294" s="4" t="inlineStr">
        <is>
          <t>PERCENTAGE</t>
        </is>
      </c>
      <c r="Q294" s="4" t="inlineStr">
        <is>
          <t>MAESTRO-IOS-GROUP-FLATMATES-0293 | Rent | 25125.18</t>
        </is>
      </c>
      <c r="R294" s="4" t="inlineStr">
        <is>
          <t>iPhone</t>
        </is>
      </c>
      <c r="S294" s="4" t="inlineStr">
        <is>
          <t>B06</t>
        </is>
      </c>
      <c r="T294" s="4" t="inlineStr">
        <is>
          <t>BASELINE_1_500</t>
        </is>
      </c>
      <c r="U294" s="4" t="inlineStr">
        <is>
          <t>CREATED</t>
        </is>
      </c>
      <c r="V294" s="4" t="inlineStr">
        <is>
          <t>idem-20260902-ios-0293</t>
        </is>
      </c>
    </row>
    <row r="295" ht="30" customHeight="1">
      <c r="A295" s="4" t="n">
        <v>294</v>
      </c>
      <c r="B295" s="4" t="inlineStr">
        <is>
          <t>MTR-IOS-0294</t>
        </is>
      </c>
      <c r="C295" s="4" t="inlineStr">
        <is>
          <t>Business</t>
        </is>
      </c>
      <c r="D295" s="4" t="inlineStr">
        <is>
          <t>Business</t>
        </is>
      </c>
      <c r="E295" s="4" t="inlineStr">
        <is>
          <t>Business Operations</t>
        </is>
      </c>
      <c r="F295" s="4" t="inlineStr">
        <is>
          <t>Software</t>
        </is>
      </c>
      <c r="G295" s="4" t="inlineStr">
        <is>
          <t>Expense</t>
        </is>
      </c>
      <c r="H295" s="12" t="n">
        <v>46033</v>
      </c>
      <c r="I295" s="13" t="n">
        <v>0.6898148148148148</v>
      </c>
      <c r="J295" s="14" t="n">
        <v>46033.68981481482</v>
      </c>
      <c r="K295" s="15" t="n">
        <v>107467.51</v>
      </c>
      <c r="L295" s="4" t="inlineStr">
        <is>
          <t>INR</t>
        </is>
      </c>
      <c r="M295" s="15" t="n">
        <v>-107467.51</v>
      </c>
      <c r="N295" s="4" t="inlineStr">
        <is>
          <t>IOS Owner</t>
        </is>
      </c>
      <c r="O295" s="4" t="n"/>
      <c r="P295" s="4" t="n"/>
      <c r="Q295" s="4" t="inlineStr">
        <is>
          <t>MAESTRO-IOS-BUSINESS-BUSINESS_OPERATIONS-0294 | Software | 107467.51</t>
        </is>
      </c>
      <c r="R295" s="4" t="inlineStr">
        <is>
          <t>iPhone</t>
        </is>
      </c>
      <c r="S295" s="4" t="inlineStr">
        <is>
          <t>B06</t>
        </is>
      </c>
      <c r="T295" s="4" t="inlineStr">
        <is>
          <t>BASELINE_1_500</t>
        </is>
      </c>
      <c r="U295" s="4" t="inlineStr">
        <is>
          <t>CREATED</t>
        </is>
      </c>
      <c r="V295" s="4" t="inlineStr">
        <is>
          <t>idem-20260902-ios-0294</t>
        </is>
      </c>
    </row>
    <row r="296" ht="30" customHeight="1">
      <c r="A296" s="4" t="n">
        <v>295</v>
      </c>
      <c r="B296" s="4" t="inlineStr">
        <is>
          <t>MTR-IOS-0295</t>
        </is>
      </c>
      <c r="C296" s="4" t="inlineStr">
        <is>
          <t>Personal</t>
        </is>
      </c>
      <c r="D296" s="4" t="inlineStr">
        <is>
          <t>Personal</t>
        </is>
      </c>
      <c r="E296" s="4" t="inlineStr">
        <is>
          <t>Life Operations</t>
        </is>
      </c>
      <c r="F296" s="4" t="inlineStr">
        <is>
          <t>Repairs</t>
        </is>
      </c>
      <c r="G296" s="4" t="inlineStr">
        <is>
          <t>Expense</t>
        </is>
      </c>
      <c r="H296" s="12" t="n">
        <v>46011</v>
      </c>
      <c r="I296" s="13" t="n">
        <v>0.8889583333333333</v>
      </c>
      <c r="J296" s="14" t="n">
        <v>46011.88895833334</v>
      </c>
      <c r="K296" s="15" t="n">
        <v>2441.06</v>
      </c>
      <c r="L296" s="4" t="inlineStr">
        <is>
          <t>INR</t>
        </is>
      </c>
      <c r="M296" s="15" t="n">
        <v>-2441.06</v>
      </c>
      <c r="N296" s="4" t="inlineStr">
        <is>
          <t>IOS Owner</t>
        </is>
      </c>
      <c r="O296" s="4" t="n"/>
      <c r="P296" s="4" t="n"/>
      <c r="Q296" s="4" t="inlineStr">
        <is>
          <t>MAESTRO-IOS-PERSONAL-LIFE_OPERATIONS-0295 | Repairs | 2441.06</t>
        </is>
      </c>
      <c r="R296" s="4" t="inlineStr">
        <is>
          <t>iPhone</t>
        </is>
      </c>
      <c r="S296" s="4" t="inlineStr">
        <is>
          <t>B06</t>
        </is>
      </c>
      <c r="T296" s="4" t="inlineStr">
        <is>
          <t>BASELINE_1_500</t>
        </is>
      </c>
      <c r="U296" s="4" t="inlineStr">
        <is>
          <t>CREATED</t>
        </is>
      </c>
      <c r="V296" s="4" t="inlineStr">
        <is>
          <t>idem-20260902-ios-0295</t>
        </is>
      </c>
    </row>
    <row r="297" ht="30" customHeight="1">
      <c r="A297" s="4" t="n">
        <v>296</v>
      </c>
      <c r="B297" s="4" t="inlineStr">
        <is>
          <t>MTR-IOS-0296</t>
        </is>
      </c>
      <c r="C297" s="4" t="inlineStr">
        <is>
          <t>Group</t>
        </is>
      </c>
      <c r="D297" s="4" t="inlineStr">
        <is>
          <t>Shared Living</t>
        </is>
      </c>
      <c r="E297" s="4" t="inlineStr">
        <is>
          <t>Flatmates</t>
        </is>
      </c>
      <c r="F297" s="4" t="inlineStr">
        <is>
          <t>Utilities</t>
        </is>
      </c>
      <c r="G297" s="4" t="inlineStr">
        <is>
          <t>Expense</t>
        </is>
      </c>
      <c r="H297" s="12" t="n">
        <v>45966</v>
      </c>
      <c r="I297" s="13" t="n">
        <v>0.8020023148148148</v>
      </c>
      <c r="J297" s="14" t="n">
        <v>45966.80200231481</v>
      </c>
      <c r="K297" s="15" t="n">
        <v>99.98999999999999</v>
      </c>
      <c r="L297" s="4" t="inlineStr">
        <is>
          <t>INR</t>
        </is>
      </c>
      <c r="M297" s="15" t="n">
        <v>-99.98999999999999</v>
      </c>
      <c r="N297" s="4" t="inlineStr">
        <is>
          <t>IOS Meera</t>
        </is>
      </c>
      <c r="O297" s="4" t="n">
        <v>3</v>
      </c>
      <c r="P297" s="4" t="inlineStr">
        <is>
          <t>EXACT</t>
        </is>
      </c>
      <c r="Q297" s="4" t="inlineStr">
        <is>
          <t>MAESTRO-IOS-GROUP-FLATMATES-0296 | Utilities | 99.99</t>
        </is>
      </c>
      <c r="R297" s="4" t="inlineStr">
        <is>
          <t>iPhone</t>
        </is>
      </c>
      <c r="S297" s="4" t="inlineStr">
        <is>
          <t>B06</t>
        </is>
      </c>
      <c r="T297" s="4" t="inlineStr">
        <is>
          <t>BASELINE_1_500</t>
        </is>
      </c>
      <c r="U297" s="4" t="inlineStr">
        <is>
          <t>CREATED</t>
        </is>
      </c>
      <c r="V297" s="4" t="inlineStr">
        <is>
          <t>idem-20260902-ios-0296</t>
        </is>
      </c>
    </row>
    <row r="298" ht="30" customHeight="1">
      <c r="A298" s="4" t="n">
        <v>297</v>
      </c>
      <c r="B298" s="4" t="inlineStr">
        <is>
          <t>MTR-IOS-0297</t>
        </is>
      </c>
      <c r="C298" s="4" t="inlineStr">
        <is>
          <t>Business</t>
        </is>
      </c>
      <c r="D298" s="4" t="inlineStr">
        <is>
          <t>Business</t>
        </is>
      </c>
      <c r="E298" s="4" t="inlineStr">
        <is>
          <t>Business Operations</t>
        </is>
      </c>
      <c r="F298" s="4" t="inlineStr">
        <is>
          <t>Rent</t>
        </is>
      </c>
      <c r="G298" s="4" t="inlineStr">
        <is>
          <t>Expense</t>
        </is>
      </c>
      <c r="H298" s="12" t="n">
        <v>46129</v>
      </c>
      <c r="I298" s="13" t="n">
        <v>0.04481481481481481</v>
      </c>
      <c r="J298" s="14" t="n">
        <v>46129.04481481481</v>
      </c>
      <c r="K298" s="15" t="n">
        <v>36571.42</v>
      </c>
      <c r="L298" s="4" t="inlineStr">
        <is>
          <t>INR</t>
        </is>
      </c>
      <c r="M298" s="15" t="n">
        <v>-36571.42</v>
      </c>
      <c r="N298" s="4" t="inlineStr">
        <is>
          <t>IOS Owner</t>
        </is>
      </c>
      <c r="O298" s="4" t="n"/>
      <c r="P298" s="4" t="n"/>
      <c r="Q298" s="4" t="inlineStr">
        <is>
          <t>MAESTRO-IOS-BUSINESS-BUSINESS_OPERATIONS-0297 | Rent | 36571.42</t>
        </is>
      </c>
      <c r="R298" s="4" t="inlineStr">
        <is>
          <t>iPhone</t>
        </is>
      </c>
      <c r="S298" s="4" t="inlineStr">
        <is>
          <t>B06</t>
        </is>
      </c>
      <c r="T298" s="4" t="inlineStr">
        <is>
          <t>BASELINE_1_500</t>
        </is>
      </c>
      <c r="U298" s="4" t="inlineStr">
        <is>
          <t>CREATED</t>
        </is>
      </c>
      <c r="V298" s="4" t="inlineStr">
        <is>
          <t>idem-20260902-ios-0297</t>
        </is>
      </c>
    </row>
    <row r="299" ht="30" customHeight="1">
      <c r="A299" s="4" t="n">
        <v>298</v>
      </c>
      <c r="B299" s="4" t="inlineStr">
        <is>
          <t>MTR-IOS-0298</t>
        </is>
      </c>
      <c r="C299" s="4" t="inlineStr">
        <is>
          <t>Personal</t>
        </is>
      </c>
      <c r="D299" s="4" t="inlineStr">
        <is>
          <t>Personal</t>
        </is>
      </c>
      <c r="E299" s="4" t="inlineStr">
        <is>
          <t>Future Building</t>
        </is>
      </c>
      <c r="F299" s="4" t="inlineStr">
        <is>
          <t>Savings</t>
        </is>
      </c>
      <c r="G299" s="4" t="inlineStr">
        <is>
          <t>Transfer</t>
        </is>
      </c>
      <c r="H299" s="12" t="n">
        <v>46216</v>
      </c>
      <c r="I299" s="13" t="n">
        <v>0.8908333333333334</v>
      </c>
      <c r="J299" s="14" t="n">
        <v>46216.89083333333</v>
      </c>
      <c r="K299" s="15" t="n">
        <v>12711.96</v>
      </c>
      <c r="L299" s="4" t="inlineStr">
        <is>
          <t>INR</t>
        </is>
      </c>
      <c r="M299" s="15" t="n">
        <v>0</v>
      </c>
      <c r="N299" s="4" t="inlineStr">
        <is>
          <t>IOS Owner</t>
        </is>
      </c>
      <c r="O299" s="4" t="n"/>
      <c r="P299" s="4" t="n"/>
      <c r="Q299" s="4" t="inlineStr">
        <is>
          <t>MAESTRO-IOS-PERSONAL-FUTURE_BUILDING-0298 | Savings | 12711.96</t>
        </is>
      </c>
      <c r="R299" s="4" t="inlineStr">
        <is>
          <t>iPhone</t>
        </is>
      </c>
      <c r="S299" s="4" t="inlineStr">
        <is>
          <t>B06</t>
        </is>
      </c>
      <c r="T299" s="4" t="inlineStr">
        <is>
          <t>BASELINE_1_500</t>
        </is>
      </c>
      <c r="U299" s="4" t="inlineStr">
        <is>
          <t>CREATED</t>
        </is>
      </c>
      <c r="V299" s="4" t="inlineStr">
        <is>
          <t>idem-20260902-ios-0298</t>
        </is>
      </c>
    </row>
    <row r="300" ht="30" customHeight="1">
      <c r="A300" s="4" t="n">
        <v>299</v>
      </c>
      <c r="B300" s="4" t="inlineStr">
        <is>
          <t>MTR-IOS-0299</t>
        </is>
      </c>
      <c r="C300" s="4" t="inlineStr">
        <is>
          <t>Group</t>
        </is>
      </c>
      <c r="D300" s="4" t="inlineStr">
        <is>
          <t>Shared Living</t>
        </is>
      </c>
      <c r="E300" s="4" t="inlineStr">
        <is>
          <t>Flatmates</t>
        </is>
      </c>
      <c r="F300" s="4" t="inlineStr">
        <is>
          <t>Groceries</t>
        </is>
      </c>
      <c r="G300" s="4" t="inlineStr">
        <is>
          <t>Expense</t>
        </is>
      </c>
      <c r="H300" s="12" t="n">
        <v>46057</v>
      </c>
      <c r="I300" s="13" t="n">
        <v>0.3322337962962963</v>
      </c>
      <c r="J300" s="14" t="n">
        <v>46057.3322337963</v>
      </c>
      <c r="K300" s="15" t="n">
        <v>18077.99</v>
      </c>
      <c r="L300" s="4" t="inlineStr">
        <is>
          <t>INR</t>
        </is>
      </c>
      <c r="M300" s="15" t="n">
        <v>-18077.99</v>
      </c>
      <c r="N300" s="4" t="inlineStr">
        <is>
          <t>IOS Owner</t>
        </is>
      </c>
      <c r="O300" s="4" t="n">
        <v>3</v>
      </c>
      <c r="P300" s="4" t="inlineStr">
        <is>
          <t>SHARES</t>
        </is>
      </c>
      <c r="Q300" s="4" t="inlineStr">
        <is>
          <t>MAESTRO-IOS-GROUP-FLATMATES-0299 | Groceries | 18077.99</t>
        </is>
      </c>
      <c r="R300" s="4" t="inlineStr">
        <is>
          <t>iPhone</t>
        </is>
      </c>
      <c r="S300" s="4" t="inlineStr">
        <is>
          <t>B06</t>
        </is>
      </c>
      <c r="T300" s="4" t="inlineStr">
        <is>
          <t>BASELINE_1_500</t>
        </is>
      </c>
      <c r="U300" s="4" t="inlineStr">
        <is>
          <t>CREATED</t>
        </is>
      </c>
      <c r="V300" s="4" t="inlineStr">
        <is>
          <t>idem-20260902-ios-0299</t>
        </is>
      </c>
    </row>
    <row r="301" ht="30" customHeight="1">
      <c r="A301" s="4" t="n">
        <v>300</v>
      </c>
      <c r="B301" s="4" t="inlineStr">
        <is>
          <t>MTR-IOS-0300</t>
        </is>
      </c>
      <c r="C301" s="4" t="inlineStr">
        <is>
          <t>Business</t>
        </is>
      </c>
      <c r="D301" s="4" t="inlineStr">
        <is>
          <t>Business</t>
        </is>
      </c>
      <c r="E301" s="4" t="inlineStr">
        <is>
          <t>Business Operations</t>
        </is>
      </c>
      <c r="F301" s="4" t="inlineStr">
        <is>
          <t>Marketing</t>
        </is>
      </c>
      <c r="G301" s="4" t="inlineStr">
        <is>
          <t>Expense</t>
        </is>
      </c>
      <c r="H301" s="12" t="n">
        <v>46163</v>
      </c>
      <c r="I301" s="13" t="n">
        <v>0.3908449074074074</v>
      </c>
      <c r="J301" s="14" t="n">
        <v>46163.39084490741</v>
      </c>
      <c r="K301" s="15" t="n">
        <v>33783.66</v>
      </c>
      <c r="L301" s="4" t="inlineStr">
        <is>
          <t>INR</t>
        </is>
      </c>
      <c r="M301" s="15" t="n">
        <v>-33783.66</v>
      </c>
      <c r="N301" s="4" t="inlineStr">
        <is>
          <t>IOS Owner</t>
        </is>
      </c>
      <c r="O301" s="4" t="n"/>
      <c r="P301" s="4" t="n"/>
      <c r="Q301" s="4" t="inlineStr">
        <is>
          <t>MAESTRO-IOS-BUSINESS-BUSINESS_OPERATIONS-0300 | Marketing | 33783.66</t>
        </is>
      </c>
      <c r="R301" s="4" t="inlineStr">
        <is>
          <t>iPhone</t>
        </is>
      </c>
      <c r="S301" s="4" t="inlineStr">
        <is>
          <t>B06</t>
        </is>
      </c>
      <c r="T301" s="4" t="inlineStr">
        <is>
          <t>BASELINE_1_500</t>
        </is>
      </c>
      <c r="U301" s="4" t="inlineStr">
        <is>
          <t>CREATED</t>
        </is>
      </c>
      <c r="V301" s="4" t="inlineStr">
        <is>
          <t>idem-20260902-ios-0300</t>
        </is>
      </c>
    </row>
    <row r="302" ht="30" customHeight="1">
      <c r="A302" s="4" t="n">
        <v>301</v>
      </c>
      <c r="B302" s="4" t="inlineStr">
        <is>
          <t>MTR-IOS-0301</t>
        </is>
      </c>
      <c r="C302" s="4" t="inlineStr">
        <is>
          <t>Personal</t>
        </is>
      </c>
      <c r="D302" s="4" t="inlineStr">
        <is>
          <t>Personal</t>
        </is>
      </c>
      <c r="E302" s="4" t="inlineStr">
        <is>
          <t>Future Building</t>
        </is>
      </c>
      <c r="F302" s="4" t="inlineStr">
        <is>
          <t>Emergency Fund</t>
        </is>
      </c>
      <c r="G302" s="4" t="inlineStr">
        <is>
          <t>Transfer</t>
        </is>
      </c>
      <c r="H302" s="12" t="n">
        <v>46242</v>
      </c>
      <c r="I302" s="13" t="n">
        <v>0.529537037037037</v>
      </c>
      <c r="J302" s="14" t="n">
        <v>46242.52953703704</v>
      </c>
      <c r="K302" s="15" t="n">
        <v>9488.33</v>
      </c>
      <c r="L302" s="4" t="inlineStr">
        <is>
          <t>INR</t>
        </is>
      </c>
      <c r="M302" s="15" t="n">
        <v>0</v>
      </c>
      <c r="N302" s="4" t="inlineStr">
        <is>
          <t>IOS Owner</t>
        </is>
      </c>
      <c r="O302" s="4" t="n"/>
      <c r="P302" s="4" t="n"/>
      <c r="Q302" s="4" t="inlineStr">
        <is>
          <t>MAESTRO-IOS-PERSONAL-FUTURE_BUILDING-0301 | Emergency Fund | 9488.33</t>
        </is>
      </c>
      <c r="R302" s="4" t="inlineStr">
        <is>
          <t>iPhone</t>
        </is>
      </c>
      <c r="S302" s="4" t="inlineStr">
        <is>
          <t>B07</t>
        </is>
      </c>
      <c r="T302" s="4" t="inlineStr">
        <is>
          <t>BASELINE_1_500</t>
        </is>
      </c>
      <c r="U302" s="4" t="inlineStr">
        <is>
          <t>CREATED</t>
        </is>
      </c>
      <c r="V302" s="4" t="inlineStr">
        <is>
          <t>idem-20260902-ios-0301</t>
        </is>
      </c>
    </row>
    <row r="303" ht="30" customHeight="1">
      <c r="A303" s="4" t="n">
        <v>302</v>
      </c>
      <c r="B303" s="4" t="inlineStr">
        <is>
          <t>MTR-IOS-0302</t>
        </is>
      </c>
      <c r="C303" s="4" t="inlineStr">
        <is>
          <t>Group</t>
        </is>
      </c>
      <c r="D303" s="4" t="inlineStr">
        <is>
          <t>Shared Living</t>
        </is>
      </c>
      <c r="E303" s="4" t="inlineStr">
        <is>
          <t>Flatmates</t>
        </is>
      </c>
      <c r="F303" s="4" t="inlineStr">
        <is>
          <t>Internet</t>
        </is>
      </c>
      <c r="G303" s="4" t="inlineStr">
        <is>
          <t>Expense</t>
        </is>
      </c>
      <c r="H303" s="12" t="n">
        <v>45935</v>
      </c>
      <c r="I303" s="13" t="n">
        <v>0.1954629629629629</v>
      </c>
      <c r="J303" s="14" t="n">
        <v>45935.19546296296</v>
      </c>
      <c r="K303" s="15" t="n">
        <v>308.75</v>
      </c>
      <c r="L303" s="4" t="inlineStr">
        <is>
          <t>INR</t>
        </is>
      </c>
      <c r="M303" s="15" t="n">
        <v>-308.75</v>
      </c>
      <c r="N303" s="4" t="inlineStr">
        <is>
          <t>IOS Aarav</t>
        </is>
      </c>
      <c r="O303" s="4" t="n">
        <v>3</v>
      </c>
      <c r="P303" s="4" t="inlineStr">
        <is>
          <t>EQUAL</t>
        </is>
      </c>
      <c r="Q303" s="4" t="inlineStr">
        <is>
          <t>MAESTRO-IOS-GROUP-FLATMATES-0302 | Internet | 308.75</t>
        </is>
      </c>
      <c r="R303" s="4" t="inlineStr">
        <is>
          <t>iPhone</t>
        </is>
      </c>
      <c r="S303" s="4" t="inlineStr">
        <is>
          <t>B07</t>
        </is>
      </c>
      <c r="T303" s="4" t="inlineStr">
        <is>
          <t>BASELINE_1_500</t>
        </is>
      </c>
      <c r="U303" s="4" t="inlineStr">
        <is>
          <t>CREATED</t>
        </is>
      </c>
      <c r="V303" s="4" t="inlineStr">
        <is>
          <t>idem-20260902-ios-0302</t>
        </is>
      </c>
    </row>
    <row r="304" ht="30" customHeight="1">
      <c r="A304" s="4" t="n">
        <v>303</v>
      </c>
      <c r="B304" s="4" t="inlineStr">
        <is>
          <t>MTR-IOS-0303</t>
        </is>
      </c>
      <c r="C304" s="4" t="inlineStr">
        <is>
          <t>Business</t>
        </is>
      </c>
      <c r="D304" s="4" t="inlineStr">
        <is>
          <t>Business</t>
        </is>
      </c>
      <c r="E304" s="4" t="inlineStr">
        <is>
          <t>Business Operations</t>
        </is>
      </c>
      <c r="F304" s="4" t="inlineStr">
        <is>
          <t>Legal</t>
        </is>
      </c>
      <c r="G304" s="4" t="inlineStr">
        <is>
          <t>Expense</t>
        </is>
      </c>
      <c r="H304" s="12" t="n">
        <v>46254</v>
      </c>
      <c r="I304" s="13" t="n">
        <v>0.8155671296296296</v>
      </c>
      <c r="J304" s="14" t="n">
        <v>46254.81556712963</v>
      </c>
      <c r="K304" s="15" t="n">
        <v>104511.21</v>
      </c>
      <c r="L304" s="4" t="inlineStr">
        <is>
          <t>INR</t>
        </is>
      </c>
      <c r="M304" s="15" t="n">
        <v>-104511.21</v>
      </c>
      <c r="N304" s="4" t="inlineStr">
        <is>
          <t>IOS Owner</t>
        </is>
      </c>
      <c r="O304" s="4" t="n"/>
      <c r="P304" s="4" t="n"/>
      <c r="Q304" s="4" t="inlineStr">
        <is>
          <t>MAESTRO-IOS-BUSINESS-BUSINESS_OPERATIONS-0303 | Legal | 104511.21</t>
        </is>
      </c>
      <c r="R304" s="4" t="inlineStr">
        <is>
          <t>iPhone</t>
        </is>
      </c>
      <c r="S304" s="4" t="inlineStr">
        <is>
          <t>B07</t>
        </is>
      </c>
      <c r="T304" s="4" t="inlineStr">
        <is>
          <t>BASELINE_1_500</t>
        </is>
      </c>
      <c r="U304" s="4" t="inlineStr">
        <is>
          <t>CREATED</t>
        </is>
      </c>
      <c r="V304" s="4" t="inlineStr">
        <is>
          <t>idem-20260902-ios-0303</t>
        </is>
      </c>
    </row>
    <row r="305" ht="30" customHeight="1">
      <c r="A305" s="4" t="n">
        <v>304</v>
      </c>
      <c r="B305" s="4" t="inlineStr">
        <is>
          <t>MTR-IOS-0304</t>
        </is>
      </c>
      <c r="C305" s="4" t="inlineStr">
        <is>
          <t>Personal</t>
        </is>
      </c>
      <c r="D305" s="4" t="inlineStr">
        <is>
          <t>Personal</t>
        </is>
      </c>
      <c r="E305" s="4" t="inlineStr">
        <is>
          <t>Future Building</t>
        </is>
      </c>
      <c r="F305" s="4" t="inlineStr">
        <is>
          <t>Investments</t>
        </is>
      </c>
      <c r="G305" s="4" t="inlineStr">
        <is>
          <t>Investment</t>
        </is>
      </c>
      <c r="H305" s="12" t="n">
        <v>46141</v>
      </c>
      <c r="I305" s="13" t="n">
        <v>0.2613310185185185</v>
      </c>
      <c r="J305" s="14" t="n">
        <v>46141.26133101852</v>
      </c>
      <c r="K305" s="15" t="n">
        <v>2794.17</v>
      </c>
      <c r="L305" s="4" t="inlineStr">
        <is>
          <t>INR</t>
        </is>
      </c>
      <c r="M305" s="15" t="n">
        <v>0</v>
      </c>
      <c r="N305" s="4" t="inlineStr">
        <is>
          <t>IOS Owner</t>
        </is>
      </c>
      <c r="O305" s="4" t="n"/>
      <c r="P305" s="4" t="n"/>
      <c r="Q305" s="4" t="inlineStr">
        <is>
          <t>MAESTRO-IOS-PERSONAL-FUTURE_BUILDING-0304 | Investments | 2794.17</t>
        </is>
      </c>
      <c r="R305" s="4" t="inlineStr">
        <is>
          <t>iPhone</t>
        </is>
      </c>
      <c r="S305" s="4" t="inlineStr">
        <is>
          <t>B07</t>
        </is>
      </c>
      <c r="T305" s="4" t="inlineStr">
        <is>
          <t>BASELINE_1_500</t>
        </is>
      </c>
      <c r="U305" s="4" t="inlineStr">
        <is>
          <t>CREATED</t>
        </is>
      </c>
      <c r="V305" s="4" t="inlineStr">
        <is>
          <t>idem-20260902-ios-0304</t>
        </is>
      </c>
    </row>
    <row r="306" ht="30" customHeight="1">
      <c r="A306" s="4" t="n">
        <v>305</v>
      </c>
      <c r="B306" s="4" t="inlineStr">
        <is>
          <t>MTR-IOS-0305</t>
        </is>
      </c>
      <c r="C306" s="4" t="inlineStr">
        <is>
          <t>Group</t>
        </is>
      </c>
      <c r="D306" s="4" t="inlineStr">
        <is>
          <t>Shared Living</t>
        </is>
      </c>
      <c r="E306" s="4" t="inlineStr">
        <is>
          <t>Flatmates</t>
        </is>
      </c>
      <c r="F306" s="4" t="inlineStr">
        <is>
          <t>House Supplies</t>
        </is>
      </c>
      <c r="G306" s="4" t="inlineStr">
        <is>
          <t>Expense</t>
        </is>
      </c>
      <c r="H306" s="12" t="n">
        <v>45965</v>
      </c>
      <c r="I306" s="13" t="n">
        <v>0.2875578703703704</v>
      </c>
      <c r="J306" s="14" t="n">
        <v>45965.28755787037</v>
      </c>
      <c r="K306" s="15" t="n">
        <v>21035.19</v>
      </c>
      <c r="L306" s="4" t="inlineStr">
        <is>
          <t>INR</t>
        </is>
      </c>
      <c r="M306" s="15" t="n">
        <v>-21035.19</v>
      </c>
      <c r="N306" s="4" t="inlineStr">
        <is>
          <t>IOS Meera</t>
        </is>
      </c>
      <c r="O306" s="4" t="n">
        <v>3</v>
      </c>
      <c r="P306" s="4" t="inlineStr">
        <is>
          <t>PERCENTAGE</t>
        </is>
      </c>
      <c r="Q306" s="4" t="inlineStr">
        <is>
          <t>MAESTRO-IOS-GROUP-FLATMATES-0305 | House Supplies | 21035.19</t>
        </is>
      </c>
      <c r="R306" s="4" t="inlineStr">
        <is>
          <t>iPhone</t>
        </is>
      </c>
      <c r="S306" s="4" t="inlineStr">
        <is>
          <t>B07</t>
        </is>
      </c>
      <c r="T306" s="4" t="inlineStr">
        <is>
          <t>BASELINE_1_500</t>
        </is>
      </c>
      <c r="U306" s="4" t="inlineStr">
        <is>
          <t>CREATED</t>
        </is>
      </c>
      <c r="V306" s="4" t="inlineStr">
        <is>
          <t>idem-20260902-ios-0305</t>
        </is>
      </c>
    </row>
    <row r="307" ht="30" customHeight="1">
      <c r="A307" s="4" t="n">
        <v>306</v>
      </c>
      <c r="B307" s="4" t="inlineStr">
        <is>
          <t>MTR-IOS-0306</t>
        </is>
      </c>
      <c r="C307" s="4" t="inlineStr">
        <is>
          <t>Business</t>
        </is>
      </c>
      <c r="D307" s="4" t="inlineStr">
        <is>
          <t>Business</t>
        </is>
      </c>
      <c r="E307" s="4" t="inlineStr">
        <is>
          <t>Business Operations</t>
        </is>
      </c>
      <c r="F307" s="4" t="inlineStr">
        <is>
          <t>Accounting</t>
        </is>
      </c>
      <c r="G307" s="4" t="inlineStr">
        <is>
          <t>Expense</t>
        </is>
      </c>
      <c r="H307" s="12" t="n">
        <v>46249</v>
      </c>
      <c r="I307" s="13" t="n">
        <v>0.2891666666666667</v>
      </c>
      <c r="J307" s="14" t="n">
        <v>46249.28916666667</v>
      </c>
      <c r="K307" s="15" t="n">
        <v>163472.03</v>
      </c>
      <c r="L307" s="4" t="inlineStr">
        <is>
          <t>INR</t>
        </is>
      </c>
      <c r="M307" s="15" t="n">
        <v>-163472.03</v>
      </c>
      <c r="N307" s="4" t="inlineStr">
        <is>
          <t>IOS Owner</t>
        </is>
      </c>
      <c r="O307" s="4" t="n"/>
      <c r="P307" s="4" t="n"/>
      <c r="Q307" s="4" t="inlineStr">
        <is>
          <t>MAESTRO-IOS-BUSINESS-BUSINESS_OPERATIONS-0306 | Accounting | 163472.03</t>
        </is>
      </c>
      <c r="R307" s="4" t="inlineStr">
        <is>
          <t>iPhone</t>
        </is>
      </c>
      <c r="S307" s="4" t="inlineStr">
        <is>
          <t>B07</t>
        </is>
      </c>
      <c r="T307" s="4" t="inlineStr">
        <is>
          <t>BASELINE_1_500</t>
        </is>
      </c>
      <c r="U307" s="4" t="inlineStr">
        <is>
          <t>CREATED</t>
        </is>
      </c>
      <c r="V307" s="4" t="inlineStr">
        <is>
          <t>idem-20260902-ios-0306</t>
        </is>
      </c>
    </row>
    <row r="308" ht="30" customHeight="1">
      <c r="A308" s="4" t="n">
        <v>307</v>
      </c>
      <c r="B308" s="4" t="inlineStr">
        <is>
          <t>MTR-IOS-0307</t>
        </is>
      </c>
      <c r="C308" s="4" t="inlineStr">
        <is>
          <t>Personal</t>
        </is>
      </c>
      <c r="D308" s="4" t="inlineStr">
        <is>
          <t>Personal</t>
        </is>
      </c>
      <c r="E308" s="4" t="inlineStr">
        <is>
          <t>Future Building</t>
        </is>
      </c>
      <c r="F308" s="4" t="inlineStr">
        <is>
          <t>Education</t>
        </is>
      </c>
      <c r="G308" s="4" t="inlineStr">
        <is>
          <t>Expense</t>
        </is>
      </c>
      <c r="H308" s="12" t="n">
        <v>46155</v>
      </c>
      <c r="I308" s="13" t="n">
        <v>0.007083333333333333</v>
      </c>
      <c r="J308" s="14" t="n">
        <v>46155.00708333333</v>
      </c>
      <c r="K308" s="15" t="n">
        <v>107.59</v>
      </c>
      <c r="L308" s="4" t="inlineStr">
        <is>
          <t>INR</t>
        </is>
      </c>
      <c r="M308" s="15" t="n">
        <v>-107.59</v>
      </c>
      <c r="N308" s="4" t="inlineStr">
        <is>
          <t>IOS Owner</t>
        </is>
      </c>
      <c r="O308" s="4" t="n"/>
      <c r="P308" s="4" t="n"/>
      <c r="Q308" s="4" t="inlineStr">
        <is>
          <t>MAESTRO-IOS-PERSONAL-FUTURE_BUILDING-0307 | Education | 107.59</t>
        </is>
      </c>
      <c r="R308" s="4" t="inlineStr">
        <is>
          <t>iPhone</t>
        </is>
      </c>
      <c r="S308" s="4" t="inlineStr">
        <is>
          <t>B07</t>
        </is>
      </c>
      <c r="T308" s="4" t="inlineStr">
        <is>
          <t>BASELINE_1_500</t>
        </is>
      </c>
      <c r="U308" s="4" t="inlineStr">
        <is>
          <t>CREATED</t>
        </is>
      </c>
      <c r="V308" s="4" t="inlineStr">
        <is>
          <t>idem-20260902-ios-0307</t>
        </is>
      </c>
    </row>
    <row r="309" ht="30" customHeight="1">
      <c r="A309" s="4" t="n">
        <v>308</v>
      </c>
      <c r="B309" s="4" t="inlineStr">
        <is>
          <t>MTR-IOS-0308</t>
        </is>
      </c>
      <c r="C309" s="4" t="inlineStr">
        <is>
          <t>Group</t>
        </is>
      </c>
      <c r="D309" s="4" t="inlineStr">
        <is>
          <t>Shared Living</t>
        </is>
      </c>
      <c r="E309" s="4" t="inlineStr">
        <is>
          <t>Flatmates</t>
        </is>
      </c>
      <c r="F309" s="4" t="inlineStr">
        <is>
          <t>Repairs</t>
        </is>
      </c>
      <c r="G309" s="4" t="inlineStr">
        <is>
          <t>Expense</t>
        </is>
      </c>
      <c r="H309" s="12" t="n">
        <v>46155</v>
      </c>
      <c r="I309" s="13" t="n">
        <v>0.4661226851851852</v>
      </c>
      <c r="J309" s="14" t="n">
        <v>46155.46612268518</v>
      </c>
      <c r="K309" s="15" t="n">
        <v>8538.32</v>
      </c>
      <c r="L309" s="4" t="inlineStr">
        <is>
          <t>INR</t>
        </is>
      </c>
      <c r="M309" s="15" t="n">
        <v>-8538.32</v>
      </c>
      <c r="N309" s="4" t="inlineStr">
        <is>
          <t>IOS Owner</t>
        </is>
      </c>
      <c r="O309" s="4" t="n">
        <v>3</v>
      </c>
      <c r="P309" s="4" t="inlineStr">
        <is>
          <t>EXACT</t>
        </is>
      </c>
      <c r="Q309" s="4" t="inlineStr">
        <is>
          <t>MAESTRO-IOS-GROUP-FLATMATES-0308 | Repairs | 8538.32</t>
        </is>
      </c>
      <c r="R309" s="4" t="inlineStr">
        <is>
          <t>iPhone</t>
        </is>
      </c>
      <c r="S309" s="4" t="inlineStr">
        <is>
          <t>B07</t>
        </is>
      </c>
      <c r="T309" s="4" t="inlineStr">
        <is>
          <t>BASELINE_1_500</t>
        </is>
      </c>
      <c r="U309" s="4" t="inlineStr">
        <is>
          <t>CREATED</t>
        </is>
      </c>
      <c r="V309" s="4" t="inlineStr">
        <is>
          <t>idem-20260902-ios-0308</t>
        </is>
      </c>
    </row>
    <row r="310" ht="30" customHeight="1">
      <c r="A310" s="4" t="n">
        <v>309</v>
      </c>
      <c r="B310" s="4" t="inlineStr">
        <is>
          <t>MTR-IOS-0309</t>
        </is>
      </c>
      <c r="C310" s="4" t="inlineStr">
        <is>
          <t>Business</t>
        </is>
      </c>
      <c r="D310" s="4" t="inlineStr">
        <is>
          <t>Business</t>
        </is>
      </c>
      <c r="E310" s="4" t="inlineStr">
        <is>
          <t>Business Operations</t>
        </is>
      </c>
      <c r="F310" s="4" t="inlineStr">
        <is>
          <t>Equipment</t>
        </is>
      </c>
      <c r="G310" s="4" t="inlineStr">
        <is>
          <t>Expense</t>
        </is>
      </c>
      <c r="H310" s="12" t="n">
        <v>45978</v>
      </c>
      <c r="I310" s="13" t="n">
        <v>0.9002083333333334</v>
      </c>
      <c r="J310" s="14" t="n">
        <v>45978.90020833333</v>
      </c>
      <c r="K310" s="15" t="n">
        <v>164742.8</v>
      </c>
      <c r="L310" s="4" t="inlineStr">
        <is>
          <t>INR</t>
        </is>
      </c>
      <c r="M310" s="15" t="n">
        <v>-164742.8</v>
      </c>
      <c r="N310" s="4" t="inlineStr">
        <is>
          <t>IOS Owner</t>
        </is>
      </c>
      <c r="O310" s="4" t="n"/>
      <c r="P310" s="4" t="n"/>
      <c r="Q310" s="4" t="inlineStr">
        <is>
          <t>MAESTRO-IOS-BUSINESS-BUSINESS_OPERATIONS-0309 | Equipment | 164742.80</t>
        </is>
      </c>
      <c r="R310" s="4" t="inlineStr">
        <is>
          <t>iPhone</t>
        </is>
      </c>
      <c r="S310" s="4" t="inlineStr">
        <is>
          <t>B07</t>
        </is>
      </c>
      <c r="T310" s="4" t="inlineStr">
        <is>
          <t>BASELINE_1_500</t>
        </is>
      </c>
      <c r="U310" s="4" t="inlineStr">
        <is>
          <t>CREATED</t>
        </is>
      </c>
      <c r="V310" s="4" t="inlineStr">
        <is>
          <t>idem-20260902-ios-0309</t>
        </is>
      </c>
    </row>
    <row r="311" ht="30" customHeight="1">
      <c r="A311" s="4" t="n">
        <v>310</v>
      </c>
      <c r="B311" s="4" t="inlineStr">
        <is>
          <t>MTR-IOS-0310</t>
        </is>
      </c>
      <c r="C311" s="4" t="inlineStr">
        <is>
          <t>Personal</t>
        </is>
      </c>
      <c r="D311" s="4" t="inlineStr">
        <is>
          <t>Personal</t>
        </is>
      </c>
      <c r="E311" s="4" t="inlineStr">
        <is>
          <t>Future Building</t>
        </is>
      </c>
      <c r="F311" s="4" t="inlineStr">
        <is>
          <t>Goal Contribution</t>
        </is>
      </c>
      <c r="G311" s="4" t="inlineStr">
        <is>
          <t>Transfer</t>
        </is>
      </c>
      <c r="H311" s="12" t="n">
        <v>46233</v>
      </c>
      <c r="I311" s="13" t="n">
        <v>0.1013888888888889</v>
      </c>
      <c r="J311" s="14" t="n">
        <v>46233.10138888889</v>
      </c>
      <c r="K311" s="15" t="n">
        <v>3276.39</v>
      </c>
      <c r="L311" s="4" t="inlineStr">
        <is>
          <t>INR</t>
        </is>
      </c>
      <c r="M311" s="15" t="n">
        <v>0</v>
      </c>
      <c r="N311" s="4" t="inlineStr">
        <is>
          <t>IOS Owner</t>
        </is>
      </c>
      <c r="O311" s="4" t="n"/>
      <c r="P311" s="4" t="n"/>
      <c r="Q311" s="4" t="inlineStr">
        <is>
          <t>MAESTRO-IOS-PERSONAL-FUTURE_BUILDING-0310 | Goal Contribution | 3276.39</t>
        </is>
      </c>
      <c r="R311" s="4" t="inlineStr">
        <is>
          <t>iPhone</t>
        </is>
      </c>
      <c r="S311" s="4" t="inlineStr">
        <is>
          <t>B07</t>
        </is>
      </c>
      <c r="T311" s="4" t="inlineStr">
        <is>
          <t>BASELINE_1_500</t>
        </is>
      </c>
      <c r="U311" s="4" t="inlineStr">
        <is>
          <t>CREATED</t>
        </is>
      </c>
      <c r="V311" s="4" t="inlineStr">
        <is>
          <t>idem-20260902-ios-0310</t>
        </is>
      </c>
    </row>
    <row r="312" ht="30" customHeight="1">
      <c r="A312" s="4" t="n">
        <v>311</v>
      </c>
      <c r="B312" s="4" t="inlineStr">
        <is>
          <t>MTR-IOS-0311</t>
        </is>
      </c>
      <c r="C312" s="4" t="inlineStr">
        <is>
          <t>Group</t>
        </is>
      </c>
      <c r="D312" s="4" t="inlineStr">
        <is>
          <t>Shared Living</t>
        </is>
      </c>
      <c r="E312" s="4" t="inlineStr">
        <is>
          <t>Shared Living</t>
        </is>
      </c>
      <c r="F312" s="4" t="inlineStr">
        <is>
          <t>Rent</t>
        </is>
      </c>
      <c r="G312" s="4" t="inlineStr">
        <is>
          <t>Expense</t>
        </is>
      </c>
      <c r="H312" s="12" t="n">
        <v>46053</v>
      </c>
      <c r="I312" s="13" t="n">
        <v>0.07017361111111112</v>
      </c>
      <c r="J312" s="14" t="n">
        <v>46053.07017361111</v>
      </c>
      <c r="K312" s="15" t="n">
        <v>15767.35</v>
      </c>
      <c r="L312" s="4" t="inlineStr">
        <is>
          <t>INR</t>
        </is>
      </c>
      <c r="M312" s="15" t="n">
        <v>-15767.35</v>
      </c>
      <c r="N312" s="4" t="inlineStr">
        <is>
          <t>IOS Aarav</t>
        </is>
      </c>
      <c r="O312" s="4" t="n">
        <v>3</v>
      </c>
      <c r="P312" s="4" t="inlineStr">
        <is>
          <t>SHARES</t>
        </is>
      </c>
      <c r="Q312" s="4" t="inlineStr">
        <is>
          <t>MAESTRO-IOS-GROUP-SHARED_LIVING-0311 | Rent | 15767.35</t>
        </is>
      </c>
      <c r="R312" s="4" t="inlineStr">
        <is>
          <t>iPhone</t>
        </is>
      </c>
      <c r="S312" s="4" t="inlineStr">
        <is>
          <t>B07</t>
        </is>
      </c>
      <c r="T312" s="4" t="inlineStr">
        <is>
          <t>BASELINE_1_500</t>
        </is>
      </c>
      <c r="U312" s="4" t="inlineStr">
        <is>
          <t>CREATED</t>
        </is>
      </c>
      <c r="V312" s="4" t="inlineStr">
        <is>
          <t>idem-20260902-ios-0311</t>
        </is>
      </c>
    </row>
    <row r="313" ht="30" customHeight="1">
      <c r="A313" s="4" t="n">
        <v>312</v>
      </c>
      <c r="B313" s="4" t="inlineStr">
        <is>
          <t>MTR-IOS-0312</t>
        </is>
      </c>
      <c r="C313" s="4" t="inlineStr">
        <is>
          <t>Business</t>
        </is>
      </c>
      <c r="D313" s="4" t="inlineStr">
        <is>
          <t>Business</t>
        </is>
      </c>
      <c r="E313" s="4" t="inlineStr">
        <is>
          <t>Business Operations</t>
        </is>
      </c>
      <c r="F313" s="4" t="inlineStr">
        <is>
          <t>Vendor</t>
        </is>
      </c>
      <c r="G313" s="4" t="inlineStr">
        <is>
          <t>Expense</t>
        </is>
      </c>
      <c r="H313" s="12" t="n">
        <v>46199</v>
      </c>
      <c r="I313" s="13" t="n">
        <v>0.2264467592592593</v>
      </c>
      <c r="J313" s="14" t="n">
        <v>46199.22644675926</v>
      </c>
      <c r="K313" s="15" t="n">
        <v>160141.82</v>
      </c>
      <c r="L313" s="4" t="inlineStr">
        <is>
          <t>INR</t>
        </is>
      </c>
      <c r="M313" s="15" t="n">
        <v>-160141.82</v>
      </c>
      <c r="N313" s="4" t="inlineStr">
        <is>
          <t>IOS Owner</t>
        </is>
      </c>
      <c r="O313" s="4" t="n"/>
      <c r="P313" s="4" t="n"/>
      <c r="Q313" s="4" t="inlineStr">
        <is>
          <t>MAESTRO-IOS-BUSINESS-BUSINESS_OPERATIONS-0312 | Vendor | 160141.82</t>
        </is>
      </c>
      <c r="R313" s="4" t="inlineStr">
        <is>
          <t>iPhone</t>
        </is>
      </c>
      <c r="S313" s="4" t="inlineStr">
        <is>
          <t>B07</t>
        </is>
      </c>
      <c r="T313" s="4" t="inlineStr">
        <is>
          <t>BASELINE_1_500</t>
        </is>
      </c>
      <c r="U313" s="4" t="inlineStr">
        <is>
          <t>CREATED</t>
        </is>
      </c>
      <c r="V313" s="4" t="inlineStr">
        <is>
          <t>idem-20260902-ios-0312</t>
        </is>
      </c>
    </row>
    <row r="314" ht="30" customHeight="1">
      <c r="A314" s="4" t="n">
        <v>313</v>
      </c>
      <c r="B314" s="4" t="inlineStr">
        <is>
          <t>MTR-IOS-0313</t>
        </is>
      </c>
      <c r="C314" s="4" t="inlineStr">
        <is>
          <t>Personal</t>
        </is>
      </c>
      <c r="D314" s="4" t="inlineStr">
        <is>
          <t>Personal</t>
        </is>
      </c>
      <c r="E314" s="4" t="inlineStr">
        <is>
          <t>Lifestyle</t>
        </is>
      </c>
      <c r="F314" s="4" t="inlineStr">
        <is>
          <t>Dining</t>
        </is>
      </c>
      <c r="G314" s="4" t="inlineStr">
        <is>
          <t>Expense</t>
        </is>
      </c>
      <c r="H314" s="12" t="n">
        <v>46210</v>
      </c>
      <c r="I314" s="13" t="n">
        <v>0.9645138888888889</v>
      </c>
      <c r="J314" s="14" t="n">
        <v>46210.96451388889</v>
      </c>
      <c r="K314" s="15" t="n">
        <v>12783.22</v>
      </c>
      <c r="L314" s="4" t="inlineStr">
        <is>
          <t>INR</t>
        </is>
      </c>
      <c r="M314" s="15" t="n">
        <v>-12783.22</v>
      </c>
      <c r="N314" s="4" t="inlineStr">
        <is>
          <t>IOS Owner</t>
        </is>
      </c>
      <c r="O314" s="4" t="n"/>
      <c r="P314" s="4" t="n"/>
      <c r="Q314" s="4" t="inlineStr">
        <is>
          <t>MAESTRO-IOS-PERSONAL-LIFESTYLE-0313 | Dining | 12783.22</t>
        </is>
      </c>
      <c r="R314" s="4" t="inlineStr">
        <is>
          <t>iPhone</t>
        </is>
      </c>
      <c r="S314" s="4" t="inlineStr">
        <is>
          <t>B07</t>
        </is>
      </c>
      <c r="T314" s="4" t="inlineStr">
        <is>
          <t>BASELINE_1_500</t>
        </is>
      </c>
      <c r="U314" s="4" t="inlineStr">
        <is>
          <t>CREATED</t>
        </is>
      </c>
      <c r="V314" s="4" t="inlineStr">
        <is>
          <t>idem-20260902-ios-0313</t>
        </is>
      </c>
    </row>
    <row r="315" ht="30" customHeight="1">
      <c r="A315" s="4" t="n">
        <v>314</v>
      </c>
      <c r="B315" s="4" t="inlineStr">
        <is>
          <t>MTR-IOS-0314</t>
        </is>
      </c>
      <c r="C315" s="4" t="inlineStr">
        <is>
          <t>Group</t>
        </is>
      </c>
      <c r="D315" s="4" t="inlineStr">
        <is>
          <t>Shared Living</t>
        </is>
      </c>
      <c r="E315" s="4" t="inlineStr">
        <is>
          <t>Shared Living</t>
        </is>
      </c>
      <c r="F315" s="4" t="inlineStr">
        <is>
          <t>Utilities</t>
        </is>
      </c>
      <c r="G315" s="4" t="inlineStr">
        <is>
          <t>Expense</t>
        </is>
      </c>
      <c r="H315" s="12" t="n">
        <v>46117</v>
      </c>
      <c r="I315" s="13" t="n">
        <v>0.4535532407407407</v>
      </c>
      <c r="J315" s="14" t="n">
        <v>46117.45355324074</v>
      </c>
      <c r="K315" s="15" t="n">
        <v>1701.74</v>
      </c>
      <c r="L315" s="4" t="inlineStr">
        <is>
          <t>INR</t>
        </is>
      </c>
      <c r="M315" s="15" t="n">
        <v>-1701.74</v>
      </c>
      <c r="N315" s="4" t="inlineStr">
        <is>
          <t>IOS Meera</t>
        </is>
      </c>
      <c r="O315" s="4" t="n">
        <v>3</v>
      </c>
      <c r="P315" s="4" t="inlineStr">
        <is>
          <t>EQUAL</t>
        </is>
      </c>
      <c r="Q315" s="4" t="inlineStr">
        <is>
          <t>MAESTRO-IOS-GROUP-SHARED_LIVING-0314 | Utilities | 1701.74</t>
        </is>
      </c>
      <c r="R315" s="4" t="inlineStr">
        <is>
          <t>iPhone</t>
        </is>
      </c>
      <c r="S315" s="4" t="inlineStr">
        <is>
          <t>B07</t>
        </is>
      </c>
      <c r="T315" s="4" t="inlineStr">
        <is>
          <t>BASELINE_1_500</t>
        </is>
      </c>
      <c r="U315" s="4" t="inlineStr">
        <is>
          <t>CREATED</t>
        </is>
      </c>
      <c r="V315" s="4" t="inlineStr">
        <is>
          <t>idem-20260902-ios-0314</t>
        </is>
      </c>
    </row>
    <row r="316" ht="30" customHeight="1">
      <c r="A316" s="4" t="n">
        <v>315</v>
      </c>
      <c r="B316" s="4" t="inlineStr">
        <is>
          <t>MTR-IOS-0315</t>
        </is>
      </c>
      <c r="C316" s="4" t="inlineStr">
        <is>
          <t>Business</t>
        </is>
      </c>
      <c r="D316" s="4" t="inlineStr">
        <is>
          <t>Business</t>
        </is>
      </c>
      <c r="E316" s="4" t="inlineStr">
        <is>
          <t>Business Operations</t>
        </is>
      </c>
      <c r="F316" s="4" t="inlineStr">
        <is>
          <t>Tax</t>
        </is>
      </c>
      <c r="G316" s="4" t="inlineStr">
        <is>
          <t>Expense</t>
        </is>
      </c>
      <c r="H316" s="12" t="n">
        <v>46150</v>
      </c>
      <c r="I316" s="13" t="n">
        <v>0.6009375</v>
      </c>
      <c r="J316" s="14" t="n">
        <v>46150.6009375</v>
      </c>
      <c r="K316" s="15" t="n">
        <v>137200.68</v>
      </c>
      <c r="L316" s="4" t="inlineStr">
        <is>
          <t>INR</t>
        </is>
      </c>
      <c r="M316" s="15" t="n">
        <v>-137200.68</v>
      </c>
      <c r="N316" s="4" t="inlineStr">
        <is>
          <t>IOS Owner</t>
        </is>
      </c>
      <c r="O316" s="4" t="n"/>
      <c r="P316" s="4" t="n"/>
      <c r="Q316" s="4" t="inlineStr">
        <is>
          <t>MAESTRO-IOS-BUSINESS-BUSINESS_OPERATIONS-0315 | Tax | 137200.68</t>
        </is>
      </c>
      <c r="R316" s="4" t="inlineStr">
        <is>
          <t>iPhone</t>
        </is>
      </c>
      <c r="S316" s="4" t="inlineStr">
        <is>
          <t>B07</t>
        </is>
      </c>
      <c r="T316" s="4" t="inlineStr">
        <is>
          <t>BASELINE_1_500</t>
        </is>
      </c>
      <c r="U316" s="4" t="inlineStr">
        <is>
          <t>CREATED</t>
        </is>
      </c>
      <c r="V316" s="4" t="inlineStr">
        <is>
          <t>idem-20260902-ios-0315</t>
        </is>
      </c>
    </row>
    <row r="317" ht="30" customHeight="1">
      <c r="A317" s="4" t="n">
        <v>316</v>
      </c>
      <c r="B317" s="4" t="inlineStr">
        <is>
          <t>MTR-IOS-0316</t>
        </is>
      </c>
      <c r="C317" s="4" t="inlineStr">
        <is>
          <t>Personal</t>
        </is>
      </c>
      <c r="D317" s="4" t="inlineStr">
        <is>
          <t>Personal</t>
        </is>
      </c>
      <c r="E317" s="4" t="inlineStr">
        <is>
          <t>Lifestyle</t>
        </is>
      </c>
      <c r="F317" s="4" t="inlineStr">
        <is>
          <t>Shopping</t>
        </is>
      </c>
      <c r="G317" s="4" t="inlineStr">
        <is>
          <t>Expense</t>
        </is>
      </c>
      <c r="H317" s="12" t="n">
        <v>46084</v>
      </c>
      <c r="I317" s="13" t="n">
        <v>0.3080208333333334</v>
      </c>
      <c r="J317" s="14" t="n">
        <v>46084.30802083333</v>
      </c>
      <c r="K317" s="15" t="n">
        <v>9348.82</v>
      </c>
      <c r="L317" s="4" t="inlineStr">
        <is>
          <t>INR</t>
        </is>
      </c>
      <c r="M317" s="15" t="n">
        <v>-9348.82</v>
      </c>
      <c r="N317" s="4" t="inlineStr">
        <is>
          <t>IOS Owner</t>
        </is>
      </c>
      <c r="O317" s="4" t="n"/>
      <c r="P317" s="4" t="n"/>
      <c r="Q317" s="4" t="inlineStr">
        <is>
          <t>MAESTRO-IOS-PERSONAL-LIFESTYLE-0316 | Shopping | 9348.82</t>
        </is>
      </c>
      <c r="R317" s="4" t="inlineStr">
        <is>
          <t>iPhone</t>
        </is>
      </c>
      <c r="S317" s="4" t="inlineStr">
        <is>
          <t>B07</t>
        </is>
      </c>
      <c r="T317" s="4" t="inlineStr">
        <is>
          <t>BASELINE_1_500</t>
        </is>
      </c>
      <c r="U317" s="4" t="inlineStr">
        <is>
          <t>CREATED</t>
        </is>
      </c>
      <c r="V317" s="4" t="inlineStr">
        <is>
          <t>idem-20260902-ios-0316</t>
        </is>
      </c>
    </row>
    <row r="318" ht="30" customHeight="1">
      <c r="A318" s="4" t="n">
        <v>317</v>
      </c>
      <c r="B318" s="4" t="inlineStr">
        <is>
          <t>MTR-IOS-0317</t>
        </is>
      </c>
      <c r="C318" s="4" t="inlineStr">
        <is>
          <t>Group</t>
        </is>
      </c>
      <c r="D318" s="4" t="inlineStr">
        <is>
          <t>Shared Living</t>
        </is>
      </c>
      <c r="E318" s="4" t="inlineStr">
        <is>
          <t>Shared Living</t>
        </is>
      </c>
      <c r="F318" s="4" t="inlineStr">
        <is>
          <t>Groceries</t>
        </is>
      </c>
      <c r="G318" s="4" t="inlineStr">
        <is>
          <t>Expense</t>
        </is>
      </c>
      <c r="H318" s="12" t="n">
        <v>46245</v>
      </c>
      <c r="I318" s="13" t="n">
        <v>0.3134143518518518</v>
      </c>
      <c r="J318" s="14" t="n">
        <v>46245.31341435185</v>
      </c>
      <c r="K318" s="15" t="n">
        <v>4985.51</v>
      </c>
      <c r="L318" s="4" t="inlineStr">
        <is>
          <t>INR</t>
        </is>
      </c>
      <c r="M318" s="15" t="n">
        <v>-4985.51</v>
      </c>
      <c r="N318" s="4" t="inlineStr">
        <is>
          <t>IOS Owner</t>
        </is>
      </c>
      <c r="O318" s="4" t="n">
        <v>3</v>
      </c>
      <c r="P318" s="4" t="inlineStr">
        <is>
          <t>PERCENTAGE</t>
        </is>
      </c>
      <c r="Q318" s="4" t="inlineStr">
        <is>
          <t>MAESTRO-IOS-GROUP-SHARED_LIVING-0317 | Groceries | 4985.51</t>
        </is>
      </c>
      <c r="R318" s="4" t="inlineStr">
        <is>
          <t>iPhone</t>
        </is>
      </c>
      <c r="S318" s="4" t="inlineStr">
        <is>
          <t>B07</t>
        </is>
      </c>
      <c r="T318" s="4" t="inlineStr">
        <is>
          <t>BASELINE_1_500</t>
        </is>
      </c>
      <c r="U318" s="4" t="inlineStr">
        <is>
          <t>CREATED</t>
        </is>
      </c>
      <c r="V318" s="4" t="inlineStr">
        <is>
          <t>idem-20260902-ios-0317</t>
        </is>
      </c>
    </row>
    <row r="319" ht="30" customHeight="1">
      <c r="A319" s="4" t="n">
        <v>318</v>
      </c>
      <c r="B319" s="4" t="inlineStr">
        <is>
          <t>MTR-IOS-0318</t>
        </is>
      </c>
      <c r="C319" s="4" t="inlineStr">
        <is>
          <t>Business</t>
        </is>
      </c>
      <c r="D319" s="4" t="inlineStr">
        <is>
          <t>Business</t>
        </is>
      </c>
      <c r="E319" s="4" t="inlineStr">
        <is>
          <t>Team Operations</t>
        </is>
      </c>
      <c r="F319" s="4" t="inlineStr">
        <is>
          <t>Payroll</t>
        </is>
      </c>
      <c r="G319" s="4" t="inlineStr">
        <is>
          <t>Expense</t>
        </is>
      </c>
      <c r="H319" s="12" t="n">
        <v>46241</v>
      </c>
      <c r="I319" s="13" t="n">
        <v>0.690474537037037</v>
      </c>
      <c r="J319" s="14" t="n">
        <v>46241.69047453703</v>
      </c>
      <c r="K319" s="15" t="n">
        <v>19059.36</v>
      </c>
      <c r="L319" s="4" t="inlineStr">
        <is>
          <t>INR</t>
        </is>
      </c>
      <c r="M319" s="15" t="n">
        <v>-19059.36</v>
      </c>
      <c r="N319" s="4" t="inlineStr">
        <is>
          <t>IOS Owner</t>
        </is>
      </c>
      <c r="O319" s="4" t="n"/>
      <c r="P319" s="4" t="n"/>
      <c r="Q319" s="4" t="inlineStr">
        <is>
          <t>MAESTRO-IOS-BUSINESS-TEAM_OPERATIONS-0318 | Payroll | 19059.36</t>
        </is>
      </c>
      <c r="R319" s="4" t="inlineStr">
        <is>
          <t>iPhone</t>
        </is>
      </c>
      <c r="S319" s="4" t="inlineStr">
        <is>
          <t>B07</t>
        </is>
      </c>
      <c r="T319" s="4" t="inlineStr">
        <is>
          <t>BASELINE_1_500</t>
        </is>
      </c>
      <c r="U319" s="4" t="inlineStr">
        <is>
          <t>CREATED</t>
        </is>
      </c>
      <c r="V319" s="4" t="inlineStr">
        <is>
          <t>idem-20260902-ios-0318</t>
        </is>
      </c>
    </row>
    <row r="320" ht="30" customHeight="1">
      <c r="A320" s="4" t="n">
        <v>319</v>
      </c>
      <c r="B320" s="4" t="inlineStr">
        <is>
          <t>MTR-IOS-0319</t>
        </is>
      </c>
      <c r="C320" s="4" t="inlineStr">
        <is>
          <t>Personal</t>
        </is>
      </c>
      <c r="D320" s="4" t="inlineStr">
        <is>
          <t>Personal</t>
        </is>
      </c>
      <c r="E320" s="4" t="inlineStr">
        <is>
          <t>Lifestyle</t>
        </is>
      </c>
      <c r="F320" s="4" t="inlineStr">
        <is>
          <t>Entertainment</t>
        </is>
      </c>
      <c r="G320" s="4" t="inlineStr">
        <is>
          <t>Expense</t>
        </is>
      </c>
      <c r="H320" s="12" t="n">
        <v>46016</v>
      </c>
      <c r="I320" s="13" t="n">
        <v>0.2346643518518519</v>
      </c>
      <c r="J320" s="14" t="n">
        <v>46016.23466435185</v>
      </c>
      <c r="K320" s="15" t="n">
        <v>4961.61</v>
      </c>
      <c r="L320" s="4" t="inlineStr">
        <is>
          <t>INR</t>
        </is>
      </c>
      <c r="M320" s="15" t="n">
        <v>-4961.61</v>
      </c>
      <c r="N320" s="4" t="inlineStr">
        <is>
          <t>IOS Owner</t>
        </is>
      </c>
      <c r="O320" s="4" t="n"/>
      <c r="P320" s="4" t="n"/>
      <c r="Q320" s="4" t="inlineStr">
        <is>
          <t>MAESTRO-IOS-PERSONAL-LIFESTYLE-0319 | Entertainment | 4961.61</t>
        </is>
      </c>
      <c r="R320" s="4" t="inlineStr">
        <is>
          <t>iPhone</t>
        </is>
      </c>
      <c r="S320" s="4" t="inlineStr">
        <is>
          <t>B07</t>
        </is>
      </c>
      <c r="T320" s="4" t="inlineStr">
        <is>
          <t>BASELINE_1_500</t>
        </is>
      </c>
      <c r="U320" s="4" t="inlineStr">
        <is>
          <t>CREATED</t>
        </is>
      </c>
      <c r="V320" s="4" t="inlineStr">
        <is>
          <t>idem-20260902-ios-0319</t>
        </is>
      </c>
    </row>
    <row r="321" ht="30" customHeight="1">
      <c r="A321" s="4" t="n">
        <v>320</v>
      </c>
      <c r="B321" s="4" t="inlineStr">
        <is>
          <t>MTR-IOS-0320</t>
        </is>
      </c>
      <c r="C321" s="4" t="inlineStr">
        <is>
          <t>Group</t>
        </is>
      </c>
      <c r="D321" s="4" t="inlineStr">
        <is>
          <t>Shared Living</t>
        </is>
      </c>
      <c r="E321" s="4" t="inlineStr">
        <is>
          <t>Shared Living</t>
        </is>
      </c>
      <c r="F321" s="4" t="inlineStr">
        <is>
          <t>Maintenance</t>
        </is>
      </c>
      <c r="G321" s="4" t="inlineStr">
        <is>
          <t>Expense</t>
        </is>
      </c>
      <c r="H321" s="12" t="n">
        <v>46122</v>
      </c>
      <c r="I321" s="13" t="n">
        <v>0.6373726851851852</v>
      </c>
      <c r="J321" s="14" t="n">
        <v>46122.63737268518</v>
      </c>
      <c r="K321" s="15" t="n">
        <v>5889.92</v>
      </c>
      <c r="L321" s="4" t="inlineStr">
        <is>
          <t>INR</t>
        </is>
      </c>
      <c r="M321" s="15" t="n">
        <v>-5889.92</v>
      </c>
      <c r="N321" s="4" t="inlineStr">
        <is>
          <t>IOS Aarav</t>
        </is>
      </c>
      <c r="O321" s="4" t="n">
        <v>3</v>
      </c>
      <c r="P321" s="4" t="inlineStr">
        <is>
          <t>EXACT</t>
        </is>
      </c>
      <c r="Q321" s="4" t="inlineStr">
        <is>
          <t>MAESTRO-IOS-GROUP-SHARED_LIVING-0320 | Maintenance | 5889.92</t>
        </is>
      </c>
      <c r="R321" s="4" t="inlineStr">
        <is>
          <t>iPhone</t>
        </is>
      </c>
      <c r="S321" s="4" t="inlineStr">
        <is>
          <t>B07</t>
        </is>
      </c>
      <c r="T321" s="4" t="inlineStr">
        <is>
          <t>BASELINE_1_500</t>
        </is>
      </c>
      <c r="U321" s="4" t="inlineStr">
        <is>
          <t>CREATED</t>
        </is>
      </c>
      <c r="V321" s="4" t="inlineStr">
        <is>
          <t>idem-20260902-ios-0320</t>
        </is>
      </c>
    </row>
    <row r="322" ht="30" customHeight="1">
      <c r="A322" s="4" t="n">
        <v>321</v>
      </c>
      <c r="B322" s="4" t="inlineStr">
        <is>
          <t>MTR-IOS-0321</t>
        </is>
      </c>
      <c r="C322" s="4" t="inlineStr">
        <is>
          <t>Business</t>
        </is>
      </c>
      <c r="D322" s="4" t="inlineStr">
        <is>
          <t>Business</t>
        </is>
      </c>
      <c r="E322" s="4" t="inlineStr">
        <is>
          <t>Team Operations</t>
        </is>
      </c>
      <c r="F322" s="4" t="inlineStr">
        <is>
          <t>Contractor</t>
        </is>
      </c>
      <c r="G322" s="4" t="inlineStr">
        <is>
          <t>Expense</t>
        </is>
      </c>
      <c r="H322" s="12" t="n">
        <v>45939</v>
      </c>
      <c r="I322" s="13" t="n">
        <v>0.3102314814814815</v>
      </c>
      <c r="J322" s="14" t="n">
        <v>45939.31023148148</v>
      </c>
      <c r="K322" s="15" t="n">
        <v>48191.3</v>
      </c>
      <c r="L322" s="4" t="inlineStr">
        <is>
          <t>INR</t>
        </is>
      </c>
      <c r="M322" s="15" t="n">
        <v>-48191.3</v>
      </c>
      <c r="N322" s="4" t="inlineStr">
        <is>
          <t>IOS Owner</t>
        </is>
      </c>
      <c r="O322" s="4" t="n"/>
      <c r="P322" s="4" t="n"/>
      <c r="Q322" s="4" t="inlineStr">
        <is>
          <t>MAESTRO-IOS-BUSINESS-TEAM_OPERATIONS-0321 | Contractor | 48191.30</t>
        </is>
      </c>
      <c r="R322" s="4" t="inlineStr">
        <is>
          <t>iPhone</t>
        </is>
      </c>
      <c r="S322" s="4" t="inlineStr">
        <is>
          <t>B07</t>
        </is>
      </c>
      <c r="T322" s="4" t="inlineStr">
        <is>
          <t>BASELINE_1_500</t>
        </is>
      </c>
      <c r="U322" s="4" t="inlineStr">
        <is>
          <t>CREATED</t>
        </is>
      </c>
      <c r="V322" s="4" t="inlineStr">
        <is>
          <t>idem-20260902-ios-0321</t>
        </is>
      </c>
    </row>
    <row r="323" ht="30" customHeight="1">
      <c r="A323" s="4" t="n">
        <v>322</v>
      </c>
      <c r="B323" s="4" t="inlineStr">
        <is>
          <t>MTR-IOS-0322</t>
        </is>
      </c>
      <c r="C323" s="4" t="inlineStr">
        <is>
          <t>Personal</t>
        </is>
      </c>
      <c r="D323" s="4" t="inlineStr">
        <is>
          <t>Personal</t>
        </is>
      </c>
      <c r="E323" s="4" t="inlineStr">
        <is>
          <t>Lifestyle</t>
        </is>
      </c>
      <c r="F323" s="4" t="inlineStr">
        <is>
          <t>Travel</t>
        </is>
      </c>
      <c r="G323" s="4" t="inlineStr">
        <is>
          <t>Expense</t>
        </is>
      </c>
      <c r="H323" s="12" t="n">
        <v>45991</v>
      </c>
      <c r="I323" s="13" t="n">
        <v>0.1729050925925926</v>
      </c>
      <c r="J323" s="14" t="n">
        <v>45991.17290509259</v>
      </c>
      <c r="K323" s="15" t="n">
        <v>8717.02</v>
      </c>
      <c r="L323" s="4" t="inlineStr">
        <is>
          <t>INR</t>
        </is>
      </c>
      <c r="M323" s="15" t="n">
        <v>-8717.02</v>
      </c>
      <c r="N323" s="4" t="inlineStr">
        <is>
          <t>IOS Owner</t>
        </is>
      </c>
      <c r="O323" s="4" t="n"/>
      <c r="P323" s="4" t="n"/>
      <c r="Q323" s="4" t="inlineStr">
        <is>
          <t>MAESTRO-IOS-PERSONAL-LIFESTYLE-0322 | Travel | 8717.02</t>
        </is>
      </c>
      <c r="R323" s="4" t="inlineStr">
        <is>
          <t>iPhone</t>
        </is>
      </c>
      <c r="S323" s="4" t="inlineStr">
        <is>
          <t>B07</t>
        </is>
      </c>
      <c r="T323" s="4" t="inlineStr">
        <is>
          <t>BASELINE_1_500</t>
        </is>
      </c>
      <c r="U323" s="4" t="inlineStr">
        <is>
          <t>CREATED</t>
        </is>
      </c>
      <c r="V323" s="4" t="inlineStr">
        <is>
          <t>idem-20260902-ios-0322</t>
        </is>
      </c>
    </row>
    <row r="324" ht="30" customHeight="1">
      <c r="A324" s="4" t="n">
        <v>323</v>
      </c>
      <c r="B324" s="4" t="inlineStr">
        <is>
          <t>MTR-IOS-0323</t>
        </is>
      </c>
      <c r="C324" s="4" t="inlineStr">
        <is>
          <t>Group</t>
        </is>
      </c>
      <c r="D324" s="4" t="inlineStr">
        <is>
          <t>Shared Living</t>
        </is>
      </c>
      <c r="E324" s="4" t="inlineStr">
        <is>
          <t>Shared Living</t>
        </is>
      </c>
      <c r="F324" s="4" t="inlineStr">
        <is>
          <t>Other</t>
        </is>
      </c>
      <c r="G324" s="4" t="inlineStr">
        <is>
          <t>Expense</t>
        </is>
      </c>
      <c r="H324" s="12" t="n">
        <v>46247</v>
      </c>
      <c r="I324" s="13" t="n">
        <v>0.8747453703703704</v>
      </c>
      <c r="J324" s="14" t="n">
        <v>46247.87474537037</v>
      </c>
      <c r="K324" s="15" t="n">
        <v>5755.9</v>
      </c>
      <c r="L324" s="4" t="inlineStr">
        <is>
          <t>INR</t>
        </is>
      </c>
      <c r="M324" s="15" t="n">
        <v>-5755.9</v>
      </c>
      <c r="N324" s="4" t="inlineStr">
        <is>
          <t>IOS Meera</t>
        </is>
      </c>
      <c r="O324" s="4" t="n">
        <v>3</v>
      </c>
      <c r="P324" s="4" t="inlineStr">
        <is>
          <t>SHARES</t>
        </is>
      </c>
      <c r="Q324" s="4" t="inlineStr">
        <is>
          <t>MAESTRO-IOS-GROUP-SHARED_LIVING-0323 | Other | 5755.90</t>
        </is>
      </c>
      <c r="R324" s="4" t="inlineStr">
        <is>
          <t>iPhone</t>
        </is>
      </c>
      <c r="S324" s="4" t="inlineStr">
        <is>
          <t>B07</t>
        </is>
      </c>
      <c r="T324" s="4" t="inlineStr">
        <is>
          <t>BASELINE_1_500</t>
        </is>
      </c>
      <c r="U324" s="4" t="inlineStr">
        <is>
          <t>CREATED</t>
        </is>
      </c>
      <c r="V324" s="4" t="inlineStr">
        <is>
          <t>idem-20260902-ios-0323</t>
        </is>
      </c>
    </row>
    <row r="325" ht="30" customHeight="1">
      <c r="A325" s="4" t="n">
        <v>324</v>
      </c>
      <c r="B325" s="4" t="inlineStr">
        <is>
          <t>MTR-IOS-0324</t>
        </is>
      </c>
      <c r="C325" s="4" t="inlineStr">
        <is>
          <t>Business</t>
        </is>
      </c>
      <c r="D325" s="4" t="inlineStr">
        <is>
          <t>Business</t>
        </is>
      </c>
      <c r="E325" s="4" t="inlineStr">
        <is>
          <t>Team Operations</t>
        </is>
      </c>
      <c r="F325" s="4" t="inlineStr">
        <is>
          <t>Hiring</t>
        </is>
      </c>
      <c r="G325" s="4" t="inlineStr">
        <is>
          <t>Expense</t>
        </is>
      </c>
      <c r="H325" s="12" t="n">
        <v>46182</v>
      </c>
      <c r="I325" s="13" t="n">
        <v>0.253287037037037</v>
      </c>
      <c r="J325" s="14" t="n">
        <v>46182.25328703703</v>
      </c>
      <c r="K325" s="15" t="n">
        <v>131213.76</v>
      </c>
      <c r="L325" s="4" t="inlineStr">
        <is>
          <t>INR</t>
        </is>
      </c>
      <c r="M325" s="15" t="n">
        <v>-131213.76</v>
      </c>
      <c r="N325" s="4" t="inlineStr">
        <is>
          <t>IOS Owner</t>
        </is>
      </c>
      <c r="O325" s="4" t="n"/>
      <c r="P325" s="4" t="n"/>
      <c r="Q325" s="4" t="inlineStr">
        <is>
          <t>MAESTRO-IOS-BUSINESS-TEAM_OPERATIONS-0324 | Hiring | 131213.76</t>
        </is>
      </c>
      <c r="R325" s="4" t="inlineStr">
        <is>
          <t>iPhone</t>
        </is>
      </c>
      <c r="S325" s="4" t="inlineStr">
        <is>
          <t>B07</t>
        </is>
      </c>
      <c r="T325" s="4" t="inlineStr">
        <is>
          <t>BASELINE_1_500</t>
        </is>
      </c>
      <c r="U325" s="4" t="inlineStr">
        <is>
          <t>CREATED</t>
        </is>
      </c>
      <c r="V325" s="4" t="inlineStr">
        <is>
          <t>idem-20260902-ios-0324</t>
        </is>
      </c>
    </row>
    <row r="326" ht="30" customHeight="1">
      <c r="A326" s="4" t="n">
        <v>325</v>
      </c>
      <c r="B326" s="4" t="inlineStr">
        <is>
          <t>MTR-IOS-0325</t>
        </is>
      </c>
      <c r="C326" s="4" t="inlineStr">
        <is>
          <t>Personal</t>
        </is>
      </c>
      <c r="D326" s="4" t="inlineStr">
        <is>
          <t>Personal</t>
        </is>
      </c>
      <c r="E326" s="4" t="inlineStr">
        <is>
          <t>Lifestyle</t>
        </is>
      </c>
      <c r="F326" s="4" t="inlineStr">
        <is>
          <t>Fitness</t>
        </is>
      </c>
      <c r="G326" s="4" t="inlineStr">
        <is>
          <t>Expense</t>
        </is>
      </c>
      <c r="H326" s="12" t="n">
        <v>46058</v>
      </c>
      <c r="I326" s="13" t="n">
        <v>0.4355671296296296</v>
      </c>
      <c r="J326" s="14" t="n">
        <v>46058.43556712963</v>
      </c>
      <c r="K326" s="15" t="n">
        <v>9077.91</v>
      </c>
      <c r="L326" s="4" t="inlineStr">
        <is>
          <t>INR</t>
        </is>
      </c>
      <c r="M326" s="15" t="n">
        <v>-9077.91</v>
      </c>
      <c r="N326" s="4" t="inlineStr">
        <is>
          <t>IOS Owner</t>
        </is>
      </c>
      <c r="O326" s="4" t="n"/>
      <c r="P326" s="4" t="n"/>
      <c r="Q326" s="4" t="inlineStr">
        <is>
          <t>MAESTRO-IOS-PERSONAL-LIFESTYLE-0325 | Fitness | 9077.91</t>
        </is>
      </c>
      <c r="R326" s="4" t="inlineStr">
        <is>
          <t>iPhone</t>
        </is>
      </c>
      <c r="S326" s="4" t="inlineStr">
        <is>
          <t>B07</t>
        </is>
      </c>
      <c r="T326" s="4" t="inlineStr">
        <is>
          <t>BASELINE_1_500</t>
        </is>
      </c>
      <c r="U326" s="4" t="inlineStr">
        <is>
          <t>CREATED</t>
        </is>
      </c>
      <c r="V326" s="4" t="inlineStr">
        <is>
          <t>idem-20260902-ios-0325</t>
        </is>
      </c>
    </row>
    <row r="327" ht="30" customHeight="1">
      <c r="A327" s="4" t="n">
        <v>326</v>
      </c>
      <c r="B327" s="4" t="inlineStr">
        <is>
          <t>MTR-IOS-0326</t>
        </is>
      </c>
      <c r="C327" s="4" t="inlineStr">
        <is>
          <t>Group</t>
        </is>
      </c>
      <c r="D327" s="4" t="inlineStr">
        <is>
          <t>Shared Living</t>
        </is>
      </c>
      <c r="E327" s="4" t="inlineStr">
        <is>
          <t>Family Household</t>
        </is>
      </c>
      <c r="F327" s="4" t="inlineStr">
        <is>
          <t>Groceries</t>
        </is>
      </c>
      <c r="G327" s="4" t="inlineStr">
        <is>
          <t>Expense</t>
        </is>
      </c>
      <c r="H327" s="12" t="n">
        <v>45959</v>
      </c>
      <c r="I327" s="13" t="n">
        <v>0.0692013888888889</v>
      </c>
      <c r="J327" s="14" t="n">
        <v>45959.06920138889</v>
      </c>
      <c r="K327" s="15" t="n">
        <v>295.7</v>
      </c>
      <c r="L327" s="4" t="inlineStr">
        <is>
          <t>INR</t>
        </is>
      </c>
      <c r="M327" s="15" t="n">
        <v>-295.7</v>
      </c>
      <c r="N327" s="4" t="inlineStr">
        <is>
          <t>IOS Owner</t>
        </is>
      </c>
      <c r="O327" s="4" t="n">
        <v>3</v>
      </c>
      <c r="P327" s="4" t="inlineStr">
        <is>
          <t>EQUAL</t>
        </is>
      </c>
      <c r="Q327" s="4" t="inlineStr">
        <is>
          <t>MAESTRO-IOS-GROUP-FAMILY_HOUSEHOLD-0326 | Groceries | 295.70</t>
        </is>
      </c>
      <c r="R327" s="4" t="inlineStr">
        <is>
          <t>iPhone</t>
        </is>
      </c>
      <c r="S327" s="4" t="inlineStr">
        <is>
          <t>B07</t>
        </is>
      </c>
      <c r="T327" s="4" t="inlineStr">
        <is>
          <t>BASELINE_1_500</t>
        </is>
      </c>
      <c r="U327" s="4" t="inlineStr">
        <is>
          <t>CREATED</t>
        </is>
      </c>
      <c r="V327" s="4" t="inlineStr">
        <is>
          <t>idem-20260902-ios-0326</t>
        </is>
      </c>
    </row>
    <row r="328" ht="30" customHeight="1">
      <c r="A328" s="4" t="n">
        <v>327</v>
      </c>
      <c r="B328" s="4" t="inlineStr">
        <is>
          <t>MTR-IOS-0327</t>
        </is>
      </c>
      <c r="C328" s="4" t="inlineStr">
        <is>
          <t>Business</t>
        </is>
      </c>
      <c r="D328" s="4" t="inlineStr">
        <is>
          <t>Business</t>
        </is>
      </c>
      <c r="E328" s="4" t="inlineStr">
        <is>
          <t>Team Operations</t>
        </is>
      </c>
      <c r="F328" s="4" t="inlineStr">
        <is>
          <t>Team Meal</t>
        </is>
      </c>
      <c r="G328" s="4" t="inlineStr">
        <is>
          <t>Expense</t>
        </is>
      </c>
      <c r="H328" s="12" t="n">
        <v>46076</v>
      </c>
      <c r="I328" s="13" t="n">
        <v>0.660625</v>
      </c>
      <c r="J328" s="14" t="n">
        <v>46076.660625</v>
      </c>
      <c r="K328" s="15" t="n">
        <v>57961.3</v>
      </c>
      <c r="L328" s="4" t="inlineStr">
        <is>
          <t>INR</t>
        </is>
      </c>
      <c r="M328" s="15" t="n">
        <v>-57961.3</v>
      </c>
      <c r="N328" s="4" t="inlineStr">
        <is>
          <t>IOS Owner</t>
        </is>
      </c>
      <c r="O328" s="4" t="n"/>
      <c r="P328" s="4" t="n"/>
      <c r="Q328" s="4" t="inlineStr">
        <is>
          <t>MAESTRO-IOS-BUSINESS-TEAM_OPERATIONS-0327 | Team Meal | 57961.30</t>
        </is>
      </c>
      <c r="R328" s="4" t="inlineStr">
        <is>
          <t>iPhone</t>
        </is>
      </c>
      <c r="S328" s="4" t="inlineStr">
        <is>
          <t>B07</t>
        </is>
      </c>
      <c r="T328" s="4" t="inlineStr">
        <is>
          <t>BASELINE_1_500</t>
        </is>
      </c>
      <c r="U328" s="4" t="inlineStr">
        <is>
          <t>CREATED</t>
        </is>
      </c>
      <c r="V328" s="4" t="inlineStr">
        <is>
          <t>idem-20260902-ios-0327</t>
        </is>
      </c>
    </row>
    <row r="329" ht="30" customHeight="1">
      <c r="A329" s="4" t="n">
        <v>328</v>
      </c>
      <c r="B329" s="4" t="inlineStr">
        <is>
          <t>MTR-IOS-0328</t>
        </is>
      </c>
      <c r="C329" s="4" t="inlineStr">
        <is>
          <t>Personal</t>
        </is>
      </c>
      <c r="D329" s="4" t="inlineStr">
        <is>
          <t>Personal</t>
        </is>
      </c>
      <c r="E329" s="4" t="inlineStr">
        <is>
          <t>Lifestyle</t>
        </is>
      </c>
      <c r="F329" s="4" t="inlineStr">
        <is>
          <t>Hobbies</t>
        </is>
      </c>
      <c r="G329" s="4" t="inlineStr">
        <is>
          <t>Expense</t>
        </is>
      </c>
      <c r="H329" s="12" t="n">
        <v>46232</v>
      </c>
      <c r="I329" s="13" t="n">
        <v>0.1159490740740741</v>
      </c>
      <c r="J329" s="14" t="n">
        <v>46232.11594907408</v>
      </c>
      <c r="K329" s="15" t="n">
        <v>1158.29</v>
      </c>
      <c r="L329" s="4" t="inlineStr">
        <is>
          <t>INR</t>
        </is>
      </c>
      <c r="M329" s="15" t="n">
        <v>-1158.29</v>
      </c>
      <c r="N329" s="4" t="inlineStr">
        <is>
          <t>IOS Owner</t>
        </is>
      </c>
      <c r="O329" s="4" t="n"/>
      <c r="P329" s="4" t="n"/>
      <c r="Q329" s="4" t="inlineStr">
        <is>
          <t>MAESTRO-IOS-PERSONAL-LIFESTYLE-0328 | Hobbies | 1158.29</t>
        </is>
      </c>
      <c r="R329" s="4" t="inlineStr">
        <is>
          <t>iPhone</t>
        </is>
      </c>
      <c r="S329" s="4" t="inlineStr">
        <is>
          <t>B07</t>
        </is>
      </c>
      <c r="T329" s="4" t="inlineStr">
        <is>
          <t>BASELINE_1_500</t>
        </is>
      </c>
      <c r="U329" s="4" t="inlineStr">
        <is>
          <t>CREATED</t>
        </is>
      </c>
      <c r="V329" s="4" t="inlineStr">
        <is>
          <t>idem-20260902-ios-0328</t>
        </is>
      </c>
    </row>
    <row r="330" ht="30" customHeight="1">
      <c r="A330" s="4" t="n">
        <v>329</v>
      </c>
      <c r="B330" s="4" t="inlineStr">
        <is>
          <t>MTR-IOS-0329</t>
        </is>
      </c>
      <c r="C330" s="4" t="inlineStr">
        <is>
          <t>Group</t>
        </is>
      </c>
      <c r="D330" s="4" t="inlineStr">
        <is>
          <t>Shared Living</t>
        </is>
      </c>
      <c r="E330" s="4" t="inlineStr">
        <is>
          <t>Family Household</t>
        </is>
      </c>
      <c r="F330" s="4" t="inlineStr">
        <is>
          <t>Bills</t>
        </is>
      </c>
      <c r="G330" s="4" t="inlineStr">
        <is>
          <t>Expense</t>
        </is>
      </c>
      <c r="H330" s="12" t="n">
        <v>46179</v>
      </c>
      <c r="I330" s="13" t="n">
        <v>0.1460416666666667</v>
      </c>
      <c r="J330" s="14" t="n">
        <v>46179.14604166667</v>
      </c>
      <c r="K330" s="15" t="n">
        <v>6671.33</v>
      </c>
      <c r="L330" s="4" t="inlineStr">
        <is>
          <t>INR</t>
        </is>
      </c>
      <c r="M330" s="15" t="n">
        <v>-6671.33</v>
      </c>
      <c r="N330" s="4" t="inlineStr">
        <is>
          <t>IOS Aarav</t>
        </is>
      </c>
      <c r="O330" s="4" t="n">
        <v>3</v>
      </c>
      <c r="P330" s="4" t="inlineStr">
        <is>
          <t>PERCENTAGE</t>
        </is>
      </c>
      <c r="Q330" s="4" t="inlineStr">
        <is>
          <t>MAESTRO-IOS-GROUP-FAMILY_HOUSEHOLD-0329 | Bills | 6671.33</t>
        </is>
      </c>
      <c r="R330" s="4" t="inlineStr">
        <is>
          <t>iPhone</t>
        </is>
      </c>
      <c r="S330" s="4" t="inlineStr">
        <is>
          <t>B07</t>
        </is>
      </c>
      <c r="T330" s="4" t="inlineStr">
        <is>
          <t>BASELINE_1_500</t>
        </is>
      </c>
      <c r="U330" s="4" t="inlineStr">
        <is>
          <t>CREATED</t>
        </is>
      </c>
      <c r="V330" s="4" t="inlineStr">
        <is>
          <t>idem-20260902-ios-0329</t>
        </is>
      </c>
    </row>
    <row r="331" ht="30" customHeight="1">
      <c r="A331" s="4" t="n">
        <v>330</v>
      </c>
      <c r="B331" s="4" t="inlineStr">
        <is>
          <t>MTR-IOS-0330</t>
        </is>
      </c>
      <c r="C331" s="4" t="inlineStr">
        <is>
          <t>Business</t>
        </is>
      </c>
      <c r="D331" s="4" t="inlineStr">
        <is>
          <t>Business</t>
        </is>
      </c>
      <c r="E331" s="4" t="inlineStr">
        <is>
          <t>Team Operations</t>
        </is>
      </c>
      <c r="F331" s="4" t="inlineStr">
        <is>
          <t>Travel</t>
        </is>
      </c>
      <c r="G331" s="4" t="inlineStr">
        <is>
          <t>Expense</t>
        </is>
      </c>
      <c r="H331" s="12" t="n">
        <v>45907</v>
      </c>
      <c r="I331" s="13" t="n">
        <v>0.9505208333333334</v>
      </c>
      <c r="J331" s="14" t="n">
        <v>45907.95052083334</v>
      </c>
      <c r="K331" s="15" t="n">
        <v>163231.59</v>
      </c>
      <c r="L331" s="4" t="inlineStr">
        <is>
          <t>INR</t>
        </is>
      </c>
      <c r="M331" s="15" t="n">
        <v>-163231.59</v>
      </c>
      <c r="N331" s="4" t="inlineStr">
        <is>
          <t>IOS Owner</t>
        </is>
      </c>
      <c r="O331" s="4" t="n"/>
      <c r="P331" s="4" t="n"/>
      <c r="Q331" s="4" t="inlineStr">
        <is>
          <t>MAESTRO-IOS-BUSINESS-TEAM_OPERATIONS-0330 | Travel | 163231.59</t>
        </is>
      </c>
      <c r="R331" s="4" t="inlineStr">
        <is>
          <t>iPhone</t>
        </is>
      </c>
      <c r="S331" s="4" t="inlineStr">
        <is>
          <t>B07</t>
        </is>
      </c>
      <c r="T331" s="4" t="inlineStr">
        <is>
          <t>BASELINE_1_500</t>
        </is>
      </c>
      <c r="U331" s="4" t="inlineStr">
        <is>
          <t>CREATED</t>
        </is>
      </c>
      <c r="V331" s="4" t="inlineStr">
        <is>
          <t>idem-20260902-ios-0330</t>
        </is>
      </c>
    </row>
    <row r="332" ht="30" customHeight="1">
      <c r="A332" s="4" t="n">
        <v>331</v>
      </c>
      <c r="B332" s="4" t="inlineStr">
        <is>
          <t>MTR-IOS-0331</t>
        </is>
      </c>
      <c r="C332" s="4" t="inlineStr">
        <is>
          <t>Personal</t>
        </is>
      </c>
      <c r="D332" s="4" t="inlineStr">
        <is>
          <t>Personal</t>
        </is>
      </c>
      <c r="E332" s="4" t="inlineStr">
        <is>
          <t>Relationships</t>
        </is>
      </c>
      <c r="F332" s="4" t="inlineStr">
        <is>
          <t>Gifts</t>
        </is>
      </c>
      <c r="G332" s="4" t="inlineStr">
        <is>
          <t>Expense</t>
        </is>
      </c>
      <c r="H332" s="12" t="n">
        <v>45946</v>
      </c>
      <c r="I332" s="13" t="n">
        <v>0.6503240740740741</v>
      </c>
      <c r="J332" s="14" t="n">
        <v>45946.65032407407</v>
      </c>
      <c r="K332" s="15" t="n">
        <v>9057.809999999999</v>
      </c>
      <c r="L332" s="4" t="inlineStr">
        <is>
          <t>INR</t>
        </is>
      </c>
      <c r="M332" s="15" t="n">
        <v>-9057.809999999999</v>
      </c>
      <c r="N332" s="4" t="inlineStr">
        <is>
          <t>IOS Owner</t>
        </is>
      </c>
      <c r="O332" s="4" t="n"/>
      <c r="P332" s="4" t="n"/>
      <c r="Q332" s="4" t="inlineStr">
        <is>
          <t>MAESTRO-IOS-PERSONAL-RELATIONSHIPS-0331 | Gifts | 9057.81</t>
        </is>
      </c>
      <c r="R332" s="4" t="inlineStr">
        <is>
          <t>iPhone</t>
        </is>
      </c>
      <c r="S332" s="4" t="inlineStr">
        <is>
          <t>B07</t>
        </is>
      </c>
      <c r="T332" s="4" t="inlineStr">
        <is>
          <t>BASELINE_1_500</t>
        </is>
      </c>
      <c r="U332" s="4" t="inlineStr">
        <is>
          <t>CREATED</t>
        </is>
      </c>
      <c r="V332" s="4" t="inlineStr">
        <is>
          <t>idem-20260902-ios-0331</t>
        </is>
      </c>
    </row>
    <row r="333" ht="30" customHeight="1">
      <c r="A333" s="4" t="n">
        <v>332</v>
      </c>
      <c r="B333" s="4" t="inlineStr">
        <is>
          <t>MTR-IOS-0332</t>
        </is>
      </c>
      <c r="C333" s="4" t="inlineStr">
        <is>
          <t>Group</t>
        </is>
      </c>
      <c r="D333" s="4" t="inlineStr">
        <is>
          <t>Shared Living</t>
        </is>
      </c>
      <c r="E333" s="4" t="inlineStr">
        <is>
          <t>Family Household</t>
        </is>
      </c>
      <c r="F333" s="4" t="inlineStr">
        <is>
          <t>School</t>
        </is>
      </c>
      <c r="G333" s="4" t="inlineStr">
        <is>
          <t>Expense</t>
        </is>
      </c>
      <c r="H333" s="12" t="n">
        <v>46128</v>
      </c>
      <c r="I333" s="13" t="n">
        <v>0.4860416666666666</v>
      </c>
      <c r="J333" s="14" t="n">
        <v>46128.48604166666</v>
      </c>
      <c r="K333" s="15" t="n">
        <v>1392</v>
      </c>
      <c r="L333" s="4" t="inlineStr">
        <is>
          <t>INR</t>
        </is>
      </c>
      <c r="M333" s="15" t="n">
        <v>-1392</v>
      </c>
      <c r="N333" s="4" t="inlineStr">
        <is>
          <t>IOS Meera</t>
        </is>
      </c>
      <c r="O333" s="4" t="n">
        <v>3</v>
      </c>
      <c r="P333" s="4" t="inlineStr">
        <is>
          <t>EXACT</t>
        </is>
      </c>
      <c r="Q333" s="4" t="inlineStr">
        <is>
          <t>MAESTRO-IOS-GROUP-FAMILY_HOUSEHOLD-0332 | School | 1392.00</t>
        </is>
      </c>
      <c r="R333" s="4" t="inlineStr">
        <is>
          <t>iPhone</t>
        </is>
      </c>
      <c r="S333" s="4" t="inlineStr">
        <is>
          <t>B07</t>
        </is>
      </c>
      <c r="T333" s="4" t="inlineStr">
        <is>
          <t>BASELINE_1_500</t>
        </is>
      </c>
      <c r="U333" s="4" t="inlineStr">
        <is>
          <t>CREATED</t>
        </is>
      </c>
      <c r="V333" s="4" t="inlineStr">
        <is>
          <t>idem-20260902-ios-0332</t>
        </is>
      </c>
    </row>
    <row r="334" ht="30" customHeight="1">
      <c r="A334" s="4" t="n">
        <v>333</v>
      </c>
      <c r="B334" s="4" t="inlineStr">
        <is>
          <t>MTR-IOS-0333</t>
        </is>
      </c>
      <c r="C334" s="4" t="inlineStr">
        <is>
          <t>Business</t>
        </is>
      </c>
      <c r="D334" s="4" t="inlineStr">
        <is>
          <t>Business</t>
        </is>
      </c>
      <c r="E334" s="4" t="inlineStr">
        <is>
          <t>Team Operations</t>
        </is>
      </c>
      <c r="F334" s="4" t="inlineStr">
        <is>
          <t>Training</t>
        </is>
      </c>
      <c r="G334" s="4" t="inlineStr">
        <is>
          <t>Expense</t>
        </is>
      </c>
      <c r="H334" s="12" t="n">
        <v>46140</v>
      </c>
      <c r="I334" s="13" t="n">
        <v>0.7409375</v>
      </c>
      <c r="J334" s="14" t="n">
        <v>46140.7409375</v>
      </c>
      <c r="K334" s="15" t="n">
        <v>100</v>
      </c>
      <c r="L334" s="4" t="inlineStr">
        <is>
          <t>INR</t>
        </is>
      </c>
      <c r="M334" s="15" t="n">
        <v>-100</v>
      </c>
      <c r="N334" s="4" t="inlineStr">
        <is>
          <t>IOS Owner</t>
        </is>
      </c>
      <c r="O334" s="4" t="n"/>
      <c r="P334" s="4" t="n"/>
      <c r="Q334" s="4" t="inlineStr">
        <is>
          <t>MAESTRO-IOS-BUSINESS-TEAM_OPERATIONS-0333 | Training | 100.00</t>
        </is>
      </c>
      <c r="R334" s="4" t="inlineStr">
        <is>
          <t>iPhone</t>
        </is>
      </c>
      <c r="S334" s="4" t="inlineStr">
        <is>
          <t>B07</t>
        </is>
      </c>
      <c r="T334" s="4" t="inlineStr">
        <is>
          <t>BASELINE_1_500</t>
        </is>
      </c>
      <c r="U334" s="4" t="inlineStr">
        <is>
          <t>CREATED</t>
        </is>
      </c>
      <c r="V334" s="4" t="inlineStr">
        <is>
          <t>idem-20260902-ios-0333</t>
        </is>
      </c>
    </row>
    <row r="335" ht="30" customHeight="1">
      <c r="A335" s="4" t="n">
        <v>334</v>
      </c>
      <c r="B335" s="4" t="inlineStr">
        <is>
          <t>MTR-IOS-0334</t>
        </is>
      </c>
      <c r="C335" s="4" t="inlineStr">
        <is>
          <t>Personal</t>
        </is>
      </c>
      <c r="D335" s="4" t="inlineStr">
        <is>
          <t>Personal</t>
        </is>
      </c>
      <c r="E335" s="4" t="inlineStr">
        <is>
          <t>Relationships</t>
        </is>
      </c>
      <c r="F335" s="4" t="inlineStr">
        <is>
          <t>Dates</t>
        </is>
      </c>
      <c r="G335" s="4" t="inlineStr">
        <is>
          <t>Expense</t>
        </is>
      </c>
      <c r="H335" s="12" t="n">
        <v>46189</v>
      </c>
      <c r="I335" s="13" t="n">
        <v>0.2412268518518519</v>
      </c>
      <c r="J335" s="14" t="n">
        <v>46189.24122685185</v>
      </c>
      <c r="K335" s="15" t="n">
        <v>4156.33</v>
      </c>
      <c r="L335" s="4" t="inlineStr">
        <is>
          <t>INR</t>
        </is>
      </c>
      <c r="M335" s="15" t="n">
        <v>-4156.33</v>
      </c>
      <c r="N335" s="4" t="inlineStr">
        <is>
          <t>IOS Owner</t>
        </is>
      </c>
      <c r="O335" s="4" t="n"/>
      <c r="P335" s="4" t="n"/>
      <c r="Q335" s="4" t="inlineStr">
        <is>
          <t>MAESTRO-IOS-PERSONAL-RELATIONSHIPS-0334 | Dates | 4156.33</t>
        </is>
      </c>
      <c r="R335" s="4" t="inlineStr">
        <is>
          <t>iPhone</t>
        </is>
      </c>
      <c r="S335" s="4" t="inlineStr">
        <is>
          <t>B07</t>
        </is>
      </c>
      <c r="T335" s="4" t="inlineStr">
        <is>
          <t>BASELINE_1_500</t>
        </is>
      </c>
      <c r="U335" s="4" t="inlineStr">
        <is>
          <t>CREATED</t>
        </is>
      </c>
      <c r="V335" s="4" t="inlineStr">
        <is>
          <t>idem-20260902-ios-0334</t>
        </is>
      </c>
    </row>
    <row r="336" ht="30" customHeight="1">
      <c r="A336" s="4" t="n">
        <v>335</v>
      </c>
      <c r="B336" s="4" t="inlineStr">
        <is>
          <t>MTR-IOS-0335</t>
        </is>
      </c>
      <c r="C336" s="4" t="inlineStr">
        <is>
          <t>Group</t>
        </is>
      </c>
      <c r="D336" s="4" t="inlineStr">
        <is>
          <t>Shared Living</t>
        </is>
      </c>
      <c r="E336" s="4" t="inlineStr">
        <is>
          <t>Family Household</t>
        </is>
      </c>
      <c r="F336" s="4" t="inlineStr">
        <is>
          <t>Healthcare</t>
        </is>
      </c>
      <c r="G336" s="4" t="inlineStr">
        <is>
          <t>Expense</t>
        </is>
      </c>
      <c r="H336" s="12" t="n">
        <v>46095</v>
      </c>
      <c r="I336" s="13" t="n">
        <v>0.6316782407407407</v>
      </c>
      <c r="J336" s="14" t="n">
        <v>46095.63167824074</v>
      </c>
      <c r="K336" s="15" t="n">
        <v>11897.85</v>
      </c>
      <c r="L336" s="4" t="inlineStr">
        <is>
          <t>INR</t>
        </is>
      </c>
      <c r="M336" s="15" t="n">
        <v>-11897.85</v>
      </c>
      <c r="N336" s="4" t="inlineStr">
        <is>
          <t>IOS Owner</t>
        </is>
      </c>
      <c r="O336" s="4" t="n">
        <v>3</v>
      </c>
      <c r="P336" s="4" t="inlineStr">
        <is>
          <t>SHARES</t>
        </is>
      </c>
      <c r="Q336" s="4" t="inlineStr">
        <is>
          <t>MAESTRO-IOS-GROUP-FAMILY_HOUSEHOLD-0335 | Healthcare | 11897.85</t>
        </is>
      </c>
      <c r="R336" s="4" t="inlineStr">
        <is>
          <t>iPhone</t>
        </is>
      </c>
      <c r="S336" s="4" t="inlineStr">
        <is>
          <t>B07</t>
        </is>
      </c>
      <c r="T336" s="4" t="inlineStr">
        <is>
          <t>BASELINE_1_500</t>
        </is>
      </c>
      <c r="U336" s="4" t="inlineStr">
        <is>
          <t>CREATED</t>
        </is>
      </c>
      <c r="V336" s="4" t="inlineStr">
        <is>
          <t>idem-20260902-ios-0335</t>
        </is>
      </c>
    </row>
    <row r="337" ht="30" customHeight="1">
      <c r="A337" s="4" t="n">
        <v>336</v>
      </c>
      <c r="B337" s="4" t="inlineStr">
        <is>
          <t>MTR-IOS-0336</t>
        </is>
      </c>
      <c r="C337" s="4" t="inlineStr">
        <is>
          <t>Business</t>
        </is>
      </c>
      <c r="D337" s="4" t="inlineStr">
        <is>
          <t>Business</t>
        </is>
      </c>
      <c r="E337" s="4" t="inlineStr">
        <is>
          <t>Team Operations</t>
        </is>
      </c>
      <c r="F337" s="4" t="inlineStr">
        <is>
          <t>Tools</t>
        </is>
      </c>
      <c r="G337" s="4" t="inlineStr">
        <is>
          <t>Expense</t>
        </is>
      </c>
      <c r="H337" s="12" t="n">
        <v>45924</v>
      </c>
      <c r="I337" s="13" t="n">
        <v>0.6145949074074074</v>
      </c>
      <c r="J337" s="14" t="n">
        <v>45924.61459490741</v>
      </c>
      <c r="K337" s="15" t="n">
        <v>156108.48</v>
      </c>
      <c r="L337" s="4" t="inlineStr">
        <is>
          <t>INR</t>
        </is>
      </c>
      <c r="M337" s="15" t="n">
        <v>-156108.48</v>
      </c>
      <c r="N337" s="4" t="inlineStr">
        <is>
          <t>IOS Owner</t>
        </is>
      </c>
      <c r="O337" s="4" t="n"/>
      <c r="P337" s="4" t="n"/>
      <c r="Q337" s="4" t="inlineStr">
        <is>
          <t>MAESTRO-IOS-BUSINESS-TEAM_OPERATIONS-0336 | Tools | 156108.48</t>
        </is>
      </c>
      <c r="R337" s="4" t="inlineStr">
        <is>
          <t>iPhone</t>
        </is>
      </c>
      <c r="S337" s="4" t="inlineStr">
        <is>
          <t>B07</t>
        </is>
      </c>
      <c r="T337" s="4" t="inlineStr">
        <is>
          <t>BASELINE_1_500</t>
        </is>
      </c>
      <c r="U337" s="4" t="inlineStr">
        <is>
          <t>CREATED</t>
        </is>
      </c>
      <c r="V337" s="4" t="inlineStr">
        <is>
          <t>idem-20260902-ios-0336</t>
        </is>
      </c>
    </row>
    <row r="338" ht="30" customHeight="1">
      <c r="A338" s="4" t="n">
        <v>337</v>
      </c>
      <c r="B338" s="4" t="inlineStr">
        <is>
          <t>MTR-IOS-0337</t>
        </is>
      </c>
      <c r="C338" s="4" t="inlineStr">
        <is>
          <t>Personal</t>
        </is>
      </c>
      <c r="D338" s="4" t="inlineStr">
        <is>
          <t>Personal</t>
        </is>
      </c>
      <c r="E338" s="4" t="inlineStr">
        <is>
          <t>Relationships</t>
        </is>
      </c>
      <c r="F338" s="4" t="inlineStr">
        <is>
          <t>Family</t>
        </is>
      </c>
      <c r="G338" s="4" t="inlineStr">
        <is>
          <t>Expense</t>
        </is>
      </c>
      <c r="H338" s="12" t="n">
        <v>45988</v>
      </c>
      <c r="I338" s="13" t="n">
        <v>0.8607754629629629</v>
      </c>
      <c r="J338" s="14" t="n">
        <v>45988.86077546296</v>
      </c>
      <c r="K338" s="15" t="n">
        <v>12797.71</v>
      </c>
      <c r="L338" s="4" t="inlineStr">
        <is>
          <t>INR</t>
        </is>
      </c>
      <c r="M338" s="15" t="n">
        <v>-12797.71</v>
      </c>
      <c r="N338" s="4" t="inlineStr">
        <is>
          <t>IOS Owner</t>
        </is>
      </c>
      <c r="O338" s="4" t="n"/>
      <c r="P338" s="4" t="n"/>
      <c r="Q338" s="4" t="inlineStr">
        <is>
          <t>MAESTRO-IOS-PERSONAL-RELATIONSHIPS-0337 | Family | 12797.71</t>
        </is>
      </c>
      <c r="R338" s="4" t="inlineStr">
        <is>
          <t>iPhone</t>
        </is>
      </c>
      <c r="S338" s="4" t="inlineStr">
        <is>
          <t>B07</t>
        </is>
      </c>
      <c r="T338" s="4" t="inlineStr">
        <is>
          <t>BASELINE_1_500</t>
        </is>
      </c>
      <c r="U338" s="4" t="inlineStr">
        <is>
          <t>CREATED</t>
        </is>
      </c>
      <c r="V338" s="4" t="inlineStr">
        <is>
          <t>idem-20260902-ios-0337</t>
        </is>
      </c>
    </row>
    <row r="339" ht="30" customHeight="1">
      <c r="A339" s="4" t="n">
        <v>338</v>
      </c>
      <c r="B339" s="4" t="inlineStr">
        <is>
          <t>MTR-IOS-0338</t>
        </is>
      </c>
      <c r="C339" s="4" t="inlineStr">
        <is>
          <t>Group</t>
        </is>
      </c>
      <c r="D339" s="4" t="inlineStr">
        <is>
          <t>Shared Living</t>
        </is>
      </c>
      <c r="E339" s="4" t="inlineStr">
        <is>
          <t>Family Household</t>
        </is>
      </c>
      <c r="F339" s="4" t="inlineStr">
        <is>
          <t>Home</t>
        </is>
      </c>
      <c r="G339" s="4" t="inlineStr">
        <is>
          <t>Expense</t>
        </is>
      </c>
      <c r="H339" s="12" t="n">
        <v>46215</v>
      </c>
      <c r="I339" s="13" t="n">
        <v>0.5413310185185185</v>
      </c>
      <c r="J339" s="14" t="n">
        <v>46215.54133101852</v>
      </c>
      <c r="K339" s="15" t="n">
        <v>8898.84</v>
      </c>
      <c r="L339" s="4" t="inlineStr">
        <is>
          <t>INR</t>
        </is>
      </c>
      <c r="M339" s="15" t="n">
        <v>-8898.84</v>
      </c>
      <c r="N339" s="4" t="inlineStr">
        <is>
          <t>IOS Aarav</t>
        </is>
      </c>
      <c r="O339" s="4" t="n">
        <v>3</v>
      </c>
      <c r="P339" s="4" t="inlineStr">
        <is>
          <t>EQUAL</t>
        </is>
      </c>
      <c r="Q339" s="4" t="inlineStr">
        <is>
          <t>MAESTRO-IOS-GROUP-FAMILY_HOUSEHOLD-0338 | Home | 8898.84</t>
        </is>
      </c>
      <c r="R339" s="4" t="inlineStr">
        <is>
          <t>iPhone</t>
        </is>
      </c>
      <c r="S339" s="4" t="inlineStr">
        <is>
          <t>B07</t>
        </is>
      </c>
      <c r="T339" s="4" t="inlineStr">
        <is>
          <t>BASELINE_1_500</t>
        </is>
      </c>
      <c r="U339" s="4" t="inlineStr">
        <is>
          <t>CREATED</t>
        </is>
      </c>
      <c r="V339" s="4" t="inlineStr">
        <is>
          <t>idem-20260902-ios-0338</t>
        </is>
      </c>
    </row>
    <row r="340" ht="30" customHeight="1">
      <c r="A340" s="4" t="n">
        <v>339</v>
      </c>
      <c r="B340" s="4" t="inlineStr">
        <is>
          <t>MTR-IOS-0339</t>
        </is>
      </c>
      <c r="C340" s="4" t="inlineStr">
        <is>
          <t>Business</t>
        </is>
      </c>
      <c r="D340" s="4" t="inlineStr">
        <is>
          <t>Business</t>
        </is>
      </c>
      <c r="E340" s="4" t="inlineStr">
        <is>
          <t>Business Runway</t>
        </is>
      </c>
      <c r="F340" s="4" t="inlineStr">
        <is>
          <t>Funding</t>
        </is>
      </c>
      <c r="G340" s="4" t="inlineStr">
        <is>
          <t>Income</t>
        </is>
      </c>
      <c r="H340" s="12" t="n">
        <v>46214</v>
      </c>
      <c r="I340" s="13" t="n">
        <v>0.6827430555555556</v>
      </c>
      <c r="J340" s="14" t="n">
        <v>46214.68274305556</v>
      </c>
      <c r="K340" s="15" t="n">
        <v>161396.3</v>
      </c>
      <c r="L340" s="4" t="inlineStr">
        <is>
          <t>INR</t>
        </is>
      </c>
      <c r="M340" s="15" t="n">
        <v>161396.3</v>
      </c>
      <c r="N340" s="4" t="inlineStr">
        <is>
          <t>IOS Owner</t>
        </is>
      </c>
      <c r="O340" s="4" t="n"/>
      <c r="P340" s="4" t="n"/>
      <c r="Q340" s="4" t="inlineStr">
        <is>
          <t>MAESTRO-IOS-BUSINESS-BUSINESS_RUNWAY-0339 | Funding | 161396.30</t>
        </is>
      </c>
      <c r="R340" s="4" t="inlineStr">
        <is>
          <t>iPhone</t>
        </is>
      </c>
      <c r="S340" s="4" t="inlineStr">
        <is>
          <t>B07</t>
        </is>
      </c>
      <c r="T340" s="4" t="inlineStr">
        <is>
          <t>BASELINE_1_500</t>
        </is>
      </c>
      <c r="U340" s="4" t="inlineStr">
        <is>
          <t>CREATED</t>
        </is>
      </c>
      <c r="V340" s="4" t="inlineStr">
        <is>
          <t>idem-20260902-ios-0339</t>
        </is>
      </c>
    </row>
    <row r="341" ht="30" customHeight="1">
      <c r="A341" s="4" t="n">
        <v>340</v>
      </c>
      <c r="B341" s="4" t="inlineStr">
        <is>
          <t>MTR-IOS-0340</t>
        </is>
      </c>
      <c r="C341" s="4" t="inlineStr">
        <is>
          <t>Personal</t>
        </is>
      </c>
      <c r="D341" s="4" t="inlineStr">
        <is>
          <t>Personal</t>
        </is>
      </c>
      <c r="E341" s="4" t="inlineStr">
        <is>
          <t>Relationships</t>
        </is>
      </c>
      <c r="F341" s="4" t="inlineStr">
        <is>
          <t>Friends</t>
        </is>
      </c>
      <c r="G341" s="4" t="inlineStr">
        <is>
          <t>Expense</t>
        </is>
      </c>
      <c r="H341" s="12" t="n">
        <v>45986</v>
      </c>
      <c r="I341" s="13" t="n">
        <v>0.8987152777777778</v>
      </c>
      <c r="J341" s="14" t="n">
        <v>45986.89871527778</v>
      </c>
      <c r="K341" s="15" t="n">
        <v>1327.72</v>
      </c>
      <c r="L341" s="4" t="inlineStr">
        <is>
          <t>INR</t>
        </is>
      </c>
      <c r="M341" s="15" t="n">
        <v>-1327.72</v>
      </c>
      <c r="N341" s="4" t="inlineStr">
        <is>
          <t>IOS Owner</t>
        </is>
      </c>
      <c r="O341" s="4" t="n"/>
      <c r="P341" s="4" t="n"/>
      <c r="Q341" s="4" t="inlineStr">
        <is>
          <t>MAESTRO-IOS-PERSONAL-RELATIONSHIPS-0340 | Friends | 1327.72</t>
        </is>
      </c>
      <c r="R341" s="4" t="inlineStr">
        <is>
          <t>iPhone</t>
        </is>
      </c>
      <c r="S341" s="4" t="inlineStr">
        <is>
          <t>B07</t>
        </is>
      </c>
      <c r="T341" s="4" t="inlineStr">
        <is>
          <t>BASELINE_1_500</t>
        </is>
      </c>
      <c r="U341" s="4" t="inlineStr">
        <is>
          <t>CREATED</t>
        </is>
      </c>
      <c r="V341" s="4" t="inlineStr">
        <is>
          <t>idem-20260902-ios-0340</t>
        </is>
      </c>
    </row>
    <row r="342" ht="30" customHeight="1">
      <c r="A342" s="4" t="n">
        <v>341</v>
      </c>
      <c r="B342" s="4" t="inlineStr">
        <is>
          <t>MTR-IOS-0341</t>
        </is>
      </c>
      <c r="C342" s="4" t="inlineStr">
        <is>
          <t>Group</t>
        </is>
      </c>
      <c r="D342" s="4" t="inlineStr">
        <is>
          <t>Shared Living</t>
        </is>
      </c>
      <c r="E342" s="4" t="inlineStr">
        <is>
          <t>Family Household</t>
        </is>
      </c>
      <c r="F342" s="4" t="inlineStr">
        <is>
          <t>Other</t>
        </is>
      </c>
      <c r="G342" s="4" t="inlineStr">
        <is>
          <t>Expense</t>
        </is>
      </c>
      <c r="H342" s="12" t="n">
        <v>45966</v>
      </c>
      <c r="I342" s="13" t="n">
        <v>0.8786342592592593</v>
      </c>
      <c r="J342" s="14" t="n">
        <v>45966.87863425926</v>
      </c>
      <c r="K342" s="15" t="n">
        <v>24254.23</v>
      </c>
      <c r="L342" s="4" t="inlineStr">
        <is>
          <t>INR</t>
        </is>
      </c>
      <c r="M342" s="15" t="n">
        <v>-24254.23</v>
      </c>
      <c r="N342" s="4" t="inlineStr">
        <is>
          <t>IOS Meera</t>
        </is>
      </c>
      <c r="O342" s="4" t="n">
        <v>3</v>
      </c>
      <c r="P342" s="4" t="inlineStr">
        <is>
          <t>PERCENTAGE</t>
        </is>
      </c>
      <c r="Q342" s="4" t="inlineStr">
        <is>
          <t>MAESTRO-IOS-GROUP-FAMILY_HOUSEHOLD-0341 | Other | 24254.23</t>
        </is>
      </c>
      <c r="R342" s="4" t="inlineStr">
        <is>
          <t>iPhone</t>
        </is>
      </c>
      <c r="S342" s="4" t="inlineStr">
        <is>
          <t>B07</t>
        </is>
      </c>
      <c r="T342" s="4" t="inlineStr">
        <is>
          <t>BASELINE_1_500</t>
        </is>
      </c>
      <c r="U342" s="4" t="inlineStr">
        <is>
          <t>CREATED</t>
        </is>
      </c>
      <c r="V342" s="4" t="inlineStr">
        <is>
          <t>idem-20260902-ios-0341</t>
        </is>
      </c>
    </row>
    <row r="343" ht="30" customHeight="1">
      <c r="A343" s="4" t="n">
        <v>342</v>
      </c>
      <c r="B343" s="4" t="inlineStr">
        <is>
          <t>MTR-IOS-0342</t>
        </is>
      </c>
      <c r="C343" s="4" t="inlineStr">
        <is>
          <t>Business</t>
        </is>
      </c>
      <c r="D343" s="4" t="inlineStr">
        <is>
          <t>Business</t>
        </is>
      </c>
      <c r="E343" s="4" t="inlineStr">
        <is>
          <t>Business Runway</t>
        </is>
      </c>
      <c r="F343" s="4" t="inlineStr">
        <is>
          <t>Revenue</t>
        </is>
      </c>
      <c r="G343" s="4" t="inlineStr">
        <is>
          <t>Income</t>
        </is>
      </c>
      <c r="H343" s="12" t="n">
        <v>45905</v>
      </c>
      <c r="I343" s="13" t="n">
        <v>0.5005208333333333</v>
      </c>
      <c r="J343" s="14" t="n">
        <v>45905.50052083333</v>
      </c>
      <c r="K343" s="15" t="n">
        <v>124440.75</v>
      </c>
      <c r="L343" s="4" t="inlineStr">
        <is>
          <t>INR</t>
        </is>
      </c>
      <c r="M343" s="15" t="n">
        <v>124440.75</v>
      </c>
      <c r="N343" s="4" t="inlineStr">
        <is>
          <t>IOS Owner</t>
        </is>
      </c>
      <c r="O343" s="4" t="n"/>
      <c r="P343" s="4" t="n"/>
      <c r="Q343" s="4" t="inlineStr">
        <is>
          <t>MAESTRO-IOS-BUSINESS-BUSINESS_RUNWAY-0342 | Revenue | 124440.75</t>
        </is>
      </c>
      <c r="R343" s="4" t="inlineStr">
        <is>
          <t>iPhone</t>
        </is>
      </c>
      <c r="S343" s="4" t="inlineStr">
        <is>
          <t>B07</t>
        </is>
      </c>
      <c r="T343" s="4" t="inlineStr">
        <is>
          <t>BASELINE_1_500</t>
        </is>
      </c>
      <c r="U343" s="4" t="inlineStr">
        <is>
          <t>CREATED</t>
        </is>
      </c>
      <c r="V343" s="4" t="inlineStr">
        <is>
          <t>idem-20260902-ios-0342</t>
        </is>
      </c>
    </row>
    <row r="344" ht="30" customHeight="1">
      <c r="A344" s="4" t="n">
        <v>343</v>
      </c>
      <c r="B344" s="4" t="inlineStr">
        <is>
          <t>MTR-IOS-0343</t>
        </is>
      </c>
      <c r="C344" s="4" t="inlineStr">
        <is>
          <t>Personal</t>
        </is>
      </c>
      <c r="D344" s="4" t="inlineStr">
        <is>
          <t>Personal</t>
        </is>
      </c>
      <c r="E344" s="4" t="inlineStr">
        <is>
          <t>Relationships</t>
        </is>
      </c>
      <c r="F344" s="4" t="inlineStr">
        <is>
          <t>Celebrations</t>
        </is>
      </c>
      <c r="G344" s="4" t="inlineStr">
        <is>
          <t>Expense</t>
        </is>
      </c>
      <c r="H344" s="12" t="n">
        <v>46227</v>
      </c>
      <c r="I344" s="13" t="n">
        <v>0.2176388888888889</v>
      </c>
      <c r="J344" s="14" t="n">
        <v>46227.21763888889</v>
      </c>
      <c r="K344" s="15" t="n">
        <v>8340.26</v>
      </c>
      <c r="L344" s="4" t="inlineStr">
        <is>
          <t>INR</t>
        </is>
      </c>
      <c r="M344" s="15" t="n">
        <v>-8340.26</v>
      </c>
      <c r="N344" s="4" t="inlineStr">
        <is>
          <t>IOS Owner</t>
        </is>
      </c>
      <c r="O344" s="4" t="n"/>
      <c r="P344" s="4" t="n"/>
      <c r="Q344" s="4" t="inlineStr">
        <is>
          <t>MAESTRO-IOS-PERSONAL-RELATIONSHIPS-0343 | Celebrations | 8340.26</t>
        </is>
      </c>
      <c r="R344" s="4" t="inlineStr">
        <is>
          <t>iPhone</t>
        </is>
      </c>
      <c r="S344" s="4" t="inlineStr">
        <is>
          <t>B07</t>
        </is>
      </c>
      <c r="T344" s="4" t="inlineStr">
        <is>
          <t>BASELINE_1_500</t>
        </is>
      </c>
      <c r="U344" s="4" t="inlineStr">
        <is>
          <t>CREATED</t>
        </is>
      </c>
      <c r="V344" s="4" t="inlineStr">
        <is>
          <t>idem-20260902-ios-0343</t>
        </is>
      </c>
    </row>
    <row r="345" ht="30" customHeight="1">
      <c r="A345" s="4" t="n">
        <v>344</v>
      </c>
      <c r="B345" s="4" t="inlineStr">
        <is>
          <t>MTR-IOS-0344</t>
        </is>
      </c>
      <c r="C345" s="4" t="inlineStr">
        <is>
          <t>Group</t>
        </is>
      </c>
      <c r="D345" s="4" t="inlineStr">
        <is>
          <t>Shared Living</t>
        </is>
      </c>
      <c r="E345" s="4" t="inlineStr">
        <is>
          <t>Custom Living</t>
        </is>
      </c>
      <c r="F345" s="4" t="inlineStr">
        <is>
          <t>Custom Expense</t>
        </is>
      </c>
      <c r="G345" s="4" t="inlineStr">
        <is>
          <t>Expense</t>
        </is>
      </c>
      <c r="H345" s="12" t="n">
        <v>46040</v>
      </c>
      <c r="I345" s="13" t="n">
        <v>0.2425578703703704</v>
      </c>
      <c r="J345" s="14" t="n">
        <v>46040.24255787037</v>
      </c>
      <c r="K345" s="15" t="n">
        <v>19090.95</v>
      </c>
      <c r="L345" s="4" t="inlineStr">
        <is>
          <t>INR</t>
        </is>
      </c>
      <c r="M345" s="15" t="n">
        <v>-19090.95</v>
      </c>
      <c r="N345" s="4" t="inlineStr">
        <is>
          <t>IOS Owner</t>
        </is>
      </c>
      <c r="O345" s="4" t="n">
        <v>3</v>
      </c>
      <c r="P345" s="4" t="inlineStr">
        <is>
          <t>EXACT</t>
        </is>
      </c>
      <c r="Q345" s="4" t="inlineStr">
        <is>
          <t>MAESTRO-IOS-GROUP-CUSTOM_LIVING-0344 | Custom Expense | 19090.95</t>
        </is>
      </c>
      <c r="R345" s="4" t="inlineStr">
        <is>
          <t>iPhone</t>
        </is>
      </c>
      <c r="S345" s="4" t="inlineStr">
        <is>
          <t>B07</t>
        </is>
      </c>
      <c r="T345" s="4" t="inlineStr">
        <is>
          <t>BASELINE_1_500</t>
        </is>
      </c>
      <c r="U345" s="4" t="inlineStr">
        <is>
          <t>CREATED</t>
        </is>
      </c>
      <c r="V345" s="4" t="inlineStr">
        <is>
          <t>idem-20260902-ios-0344</t>
        </is>
      </c>
    </row>
    <row r="346" ht="30" customHeight="1">
      <c r="A346" s="4" t="n">
        <v>345</v>
      </c>
      <c r="B346" s="4" t="inlineStr">
        <is>
          <t>MTR-IOS-0345</t>
        </is>
      </c>
      <c r="C346" s="4" t="inlineStr">
        <is>
          <t>Business</t>
        </is>
      </c>
      <c r="D346" s="4" t="inlineStr">
        <is>
          <t>Business</t>
        </is>
      </c>
      <c r="E346" s="4" t="inlineStr">
        <is>
          <t>Business Runway</t>
        </is>
      </c>
      <c r="F346" s="4" t="inlineStr">
        <is>
          <t>Burn</t>
        </is>
      </c>
      <c r="G346" s="4" t="inlineStr">
        <is>
          <t>Expense</t>
        </is>
      </c>
      <c r="H346" s="12" t="n">
        <v>46171</v>
      </c>
      <c r="I346" s="13" t="n">
        <v>0.9520717592592592</v>
      </c>
      <c r="J346" s="14" t="n">
        <v>46171.95207175926</v>
      </c>
      <c r="K346" s="15" t="n">
        <v>103311.44</v>
      </c>
      <c r="L346" s="4" t="inlineStr">
        <is>
          <t>INR</t>
        </is>
      </c>
      <c r="M346" s="15" t="n">
        <v>-103311.44</v>
      </c>
      <c r="N346" s="4" t="inlineStr">
        <is>
          <t>IOS Owner</t>
        </is>
      </c>
      <c r="O346" s="4" t="n"/>
      <c r="P346" s="4" t="n"/>
      <c r="Q346" s="4" t="inlineStr">
        <is>
          <t>MAESTRO-IOS-BUSINESS-BUSINESS_RUNWAY-0345 | Burn | 103311.44</t>
        </is>
      </c>
      <c r="R346" s="4" t="inlineStr">
        <is>
          <t>iPhone</t>
        </is>
      </c>
      <c r="S346" s="4" t="inlineStr">
        <is>
          <t>B07</t>
        </is>
      </c>
      <c r="T346" s="4" t="inlineStr">
        <is>
          <t>BASELINE_1_500</t>
        </is>
      </c>
      <c r="U346" s="4" t="inlineStr">
        <is>
          <t>CREATED</t>
        </is>
      </c>
      <c r="V346" s="4" t="inlineStr">
        <is>
          <t>idem-20260902-ios-0345</t>
        </is>
      </c>
    </row>
    <row r="347" ht="30" customHeight="1">
      <c r="A347" s="4" t="n">
        <v>346</v>
      </c>
      <c r="B347" s="4" t="inlineStr">
        <is>
          <t>MTR-IOS-0346</t>
        </is>
      </c>
      <c r="C347" s="4" t="inlineStr">
        <is>
          <t>Personal</t>
        </is>
      </c>
      <c r="D347" s="4" t="inlineStr">
        <is>
          <t>Personal</t>
        </is>
      </c>
      <c r="E347" s="4" t="inlineStr">
        <is>
          <t>Life Operations</t>
        </is>
      </c>
      <c r="F347" s="4" t="inlineStr">
        <is>
          <t>Groceries</t>
        </is>
      </c>
      <c r="G347" s="4" t="inlineStr">
        <is>
          <t>Expense</t>
        </is>
      </c>
      <c r="H347" s="12" t="n">
        <v>46241</v>
      </c>
      <c r="I347" s="13" t="n">
        <v>0.9053472222222222</v>
      </c>
      <c r="J347" s="14" t="n">
        <v>46241.90534722222</v>
      </c>
      <c r="K347" s="15" t="n">
        <v>12336.92</v>
      </c>
      <c r="L347" s="4" t="inlineStr">
        <is>
          <t>INR</t>
        </is>
      </c>
      <c r="M347" s="15" t="n">
        <v>-12336.92</v>
      </c>
      <c r="N347" s="4" t="inlineStr">
        <is>
          <t>IOS Owner</t>
        </is>
      </c>
      <c r="O347" s="4" t="n"/>
      <c r="P347" s="4" t="n"/>
      <c r="Q347" s="4" t="inlineStr">
        <is>
          <t>MAESTRO-IOS-PERSONAL-LIFE_OPERATIONS-0346 | Groceries | 12336.92</t>
        </is>
      </c>
      <c r="R347" s="4" t="inlineStr">
        <is>
          <t>iPhone</t>
        </is>
      </c>
      <c r="S347" s="4" t="inlineStr">
        <is>
          <t>B07</t>
        </is>
      </c>
      <c r="T347" s="4" t="inlineStr">
        <is>
          <t>BASELINE_1_500</t>
        </is>
      </c>
      <c r="U347" s="4" t="inlineStr">
        <is>
          <t>CREATED</t>
        </is>
      </c>
      <c r="V347" s="4" t="inlineStr">
        <is>
          <t>idem-20260902-ios-0346</t>
        </is>
      </c>
    </row>
    <row r="348" ht="30" customHeight="1">
      <c r="A348" s="4" t="n">
        <v>347</v>
      </c>
      <c r="B348" s="4" t="inlineStr">
        <is>
          <t>MTR-IOS-0347</t>
        </is>
      </c>
      <c r="C348" s="4" t="inlineStr">
        <is>
          <t>Group</t>
        </is>
      </c>
      <c r="D348" s="4" t="inlineStr">
        <is>
          <t>Shared Living</t>
        </is>
      </c>
      <c r="E348" s="4" t="inlineStr">
        <is>
          <t>Custom Living</t>
        </is>
      </c>
      <c r="F348" s="4" t="inlineStr">
        <is>
          <t>Custom Contribution</t>
        </is>
      </c>
      <c r="G348" s="4" t="inlineStr">
        <is>
          <t>Contribution</t>
        </is>
      </c>
      <c r="H348" s="12" t="n">
        <v>46147</v>
      </c>
      <c r="I348" s="13" t="n">
        <v>0.8435763888888889</v>
      </c>
      <c r="J348" s="14" t="n">
        <v>46147.84357638889</v>
      </c>
      <c r="K348" s="15" t="n">
        <v>10821.75</v>
      </c>
      <c r="L348" s="4" t="inlineStr">
        <is>
          <t>INR</t>
        </is>
      </c>
      <c r="M348" s="15" t="n">
        <v>10821.75</v>
      </c>
      <c r="N348" s="4" t="inlineStr">
        <is>
          <t>IOS Aarav</t>
        </is>
      </c>
      <c r="O348" s="4" t="n">
        <v>3</v>
      </c>
      <c r="P348" s="4" t="inlineStr">
        <is>
          <t>SHARES</t>
        </is>
      </c>
      <c r="Q348" s="4" t="inlineStr">
        <is>
          <t>MAESTRO-IOS-GROUP-CUSTOM_LIVING-0347 | Custom Contribution | 10821.75</t>
        </is>
      </c>
      <c r="R348" s="4" t="inlineStr">
        <is>
          <t>iPhone</t>
        </is>
      </c>
      <c r="S348" s="4" t="inlineStr">
        <is>
          <t>B07</t>
        </is>
      </c>
      <c r="T348" s="4" t="inlineStr">
        <is>
          <t>BASELINE_1_500</t>
        </is>
      </c>
      <c r="U348" s="4" t="inlineStr">
        <is>
          <t>CREATED</t>
        </is>
      </c>
      <c r="V348" s="4" t="inlineStr">
        <is>
          <t>idem-20260902-ios-0347</t>
        </is>
      </c>
    </row>
    <row r="349" ht="30" customHeight="1">
      <c r="A349" s="4" t="n">
        <v>348</v>
      </c>
      <c r="B349" s="4" t="inlineStr">
        <is>
          <t>MTR-IOS-0348</t>
        </is>
      </c>
      <c r="C349" s="4" t="inlineStr">
        <is>
          <t>Business</t>
        </is>
      </c>
      <c r="D349" s="4" t="inlineStr">
        <is>
          <t>Business</t>
        </is>
      </c>
      <c r="E349" s="4" t="inlineStr">
        <is>
          <t>Business Runway</t>
        </is>
      </c>
      <c r="F349" s="4" t="inlineStr">
        <is>
          <t>Reserve</t>
        </is>
      </c>
      <c r="G349" s="4" t="inlineStr">
        <is>
          <t>Transfer</t>
        </is>
      </c>
      <c r="H349" s="12" t="n">
        <v>46060</v>
      </c>
      <c r="I349" s="13" t="n">
        <v>0.7848611111111111</v>
      </c>
      <c r="J349" s="14" t="n">
        <v>46060.78486111111</v>
      </c>
      <c r="K349" s="15" t="n">
        <v>96515.7</v>
      </c>
      <c r="L349" s="4" t="inlineStr">
        <is>
          <t>INR</t>
        </is>
      </c>
      <c r="M349" s="15" t="n">
        <v>0</v>
      </c>
      <c r="N349" s="4" t="inlineStr">
        <is>
          <t>IOS Owner</t>
        </is>
      </c>
      <c r="O349" s="4" t="n"/>
      <c r="P349" s="4" t="n"/>
      <c r="Q349" s="4" t="inlineStr">
        <is>
          <t>MAESTRO-IOS-BUSINESS-BUSINESS_RUNWAY-0348 | Reserve | 96515.70</t>
        </is>
      </c>
      <c r="R349" s="4" t="inlineStr">
        <is>
          <t>iPhone</t>
        </is>
      </c>
      <c r="S349" s="4" t="inlineStr">
        <is>
          <t>B07</t>
        </is>
      </c>
      <c r="T349" s="4" t="inlineStr">
        <is>
          <t>BASELINE_1_500</t>
        </is>
      </c>
      <c r="U349" s="4" t="inlineStr">
        <is>
          <t>CREATED</t>
        </is>
      </c>
      <c r="V349" s="4" t="inlineStr">
        <is>
          <t>idem-20260902-ios-0348</t>
        </is>
      </c>
    </row>
    <row r="350" ht="30" customHeight="1">
      <c r="A350" s="4" t="n">
        <v>349</v>
      </c>
      <c r="B350" s="4" t="inlineStr">
        <is>
          <t>MTR-IOS-0349</t>
        </is>
      </c>
      <c r="C350" s="4" t="inlineStr">
        <is>
          <t>Personal</t>
        </is>
      </c>
      <c r="D350" s="4" t="inlineStr">
        <is>
          <t>Personal</t>
        </is>
      </c>
      <c r="E350" s="4" t="inlineStr">
        <is>
          <t>Life Operations</t>
        </is>
      </c>
      <c r="F350" s="4" t="inlineStr">
        <is>
          <t>Rent</t>
        </is>
      </c>
      <c r="G350" s="4" t="inlineStr">
        <is>
          <t>Expense</t>
        </is>
      </c>
      <c r="H350" s="12" t="n">
        <v>46088</v>
      </c>
      <c r="I350" s="13" t="n">
        <v>0.4657870370370371</v>
      </c>
      <c r="J350" s="14" t="n">
        <v>46088.46578703704</v>
      </c>
      <c r="K350" s="15" t="n">
        <v>8091.29</v>
      </c>
      <c r="L350" s="4" t="inlineStr">
        <is>
          <t>INR</t>
        </is>
      </c>
      <c r="M350" s="15" t="n">
        <v>-8091.29</v>
      </c>
      <c r="N350" s="4" t="inlineStr">
        <is>
          <t>IOS Owner</t>
        </is>
      </c>
      <c r="O350" s="4" t="n"/>
      <c r="P350" s="4" t="n"/>
      <c r="Q350" s="4" t="inlineStr">
        <is>
          <t>MAESTRO-IOS-PERSONAL-LIFE_OPERATIONS-0349 | Rent | 8091.29</t>
        </is>
      </c>
      <c r="R350" s="4" t="inlineStr">
        <is>
          <t>iPhone</t>
        </is>
      </c>
      <c r="S350" s="4" t="inlineStr">
        <is>
          <t>B07</t>
        </is>
      </c>
      <c r="T350" s="4" t="inlineStr">
        <is>
          <t>BASELINE_1_500</t>
        </is>
      </c>
      <c r="U350" s="4" t="inlineStr">
        <is>
          <t>CREATED</t>
        </is>
      </c>
      <c r="V350" s="4" t="inlineStr">
        <is>
          <t>idem-20260902-ios-0349</t>
        </is>
      </c>
    </row>
    <row r="351" ht="30" customHeight="1">
      <c r="A351" s="4" t="n">
        <v>350</v>
      </c>
      <c r="B351" s="4" t="inlineStr">
        <is>
          <t>MTR-IOS-0350</t>
        </is>
      </c>
      <c r="C351" s="4" t="inlineStr">
        <is>
          <t>Group</t>
        </is>
      </c>
      <c r="D351" s="4" t="inlineStr">
        <is>
          <t>Shared Experience</t>
        </is>
      </c>
      <c r="E351" s="4" t="inlineStr">
        <is>
          <t>Trip</t>
        </is>
      </c>
      <c r="F351" s="4" t="inlineStr">
        <is>
          <t>Travel</t>
        </is>
      </c>
      <c r="G351" s="4" t="inlineStr">
        <is>
          <t>Expense</t>
        </is>
      </c>
      <c r="H351" s="12" t="n">
        <v>46081</v>
      </c>
      <c r="I351" s="13" t="n">
        <v>0.4474189814814815</v>
      </c>
      <c r="J351" s="14" t="n">
        <v>46081.44741898148</v>
      </c>
      <c r="K351" s="15" t="n">
        <v>11938.96</v>
      </c>
      <c r="L351" s="4" t="inlineStr">
        <is>
          <t>INR</t>
        </is>
      </c>
      <c r="M351" s="15" t="n">
        <v>-11938.96</v>
      </c>
      <c r="N351" s="4" t="inlineStr">
        <is>
          <t>IOS Meera</t>
        </is>
      </c>
      <c r="O351" s="4" t="n">
        <v>3</v>
      </c>
      <c r="P351" s="4" t="inlineStr">
        <is>
          <t>EQUAL</t>
        </is>
      </c>
      <c r="Q351" s="4" t="inlineStr">
        <is>
          <t>MAESTRO-IOS-GROUP-TRIP-0350 | Travel | 11938.96</t>
        </is>
      </c>
      <c r="R351" s="4" t="inlineStr">
        <is>
          <t>iPhone</t>
        </is>
      </c>
      <c r="S351" s="4" t="inlineStr">
        <is>
          <t>B07</t>
        </is>
      </c>
      <c r="T351" s="4" t="inlineStr">
        <is>
          <t>BASELINE_1_500</t>
        </is>
      </c>
      <c r="U351" s="4" t="inlineStr">
        <is>
          <t>CREATED</t>
        </is>
      </c>
      <c r="V351" s="4" t="inlineStr">
        <is>
          <t>idem-20260902-ios-0350</t>
        </is>
      </c>
    </row>
    <row r="352" ht="30" customHeight="1">
      <c r="A352" s="4" t="n">
        <v>351</v>
      </c>
      <c r="B352" s="4" t="inlineStr">
        <is>
          <t>MTR-IOS-0351</t>
        </is>
      </c>
      <c r="C352" s="4" t="inlineStr">
        <is>
          <t>Business</t>
        </is>
      </c>
      <c r="D352" s="4" t="inlineStr">
        <is>
          <t>Business</t>
        </is>
      </c>
      <c r="E352" s="4" t="inlineStr">
        <is>
          <t>Business Runway</t>
        </is>
      </c>
      <c r="F352" s="4" t="inlineStr">
        <is>
          <t>Loan</t>
        </is>
      </c>
      <c r="G352" s="4" t="inlineStr">
        <is>
          <t>Income</t>
        </is>
      </c>
      <c r="H352" s="12" t="n">
        <v>45910</v>
      </c>
      <c r="I352" s="13" t="n">
        <v>0.09608796296296296</v>
      </c>
      <c r="J352" s="14" t="n">
        <v>45910.09608796296</v>
      </c>
      <c r="K352" s="15" t="n">
        <v>37243.44</v>
      </c>
      <c r="L352" s="4" t="inlineStr">
        <is>
          <t>INR</t>
        </is>
      </c>
      <c r="M352" s="15" t="n">
        <v>37243.44</v>
      </c>
      <c r="N352" s="4" t="inlineStr">
        <is>
          <t>IOS Owner</t>
        </is>
      </c>
      <c r="O352" s="4" t="n"/>
      <c r="P352" s="4" t="n"/>
      <c r="Q352" s="4" t="inlineStr">
        <is>
          <t>MAESTRO-IOS-BUSINESS-BUSINESS_RUNWAY-0351 | Loan | 37243.44</t>
        </is>
      </c>
      <c r="R352" s="4" t="inlineStr">
        <is>
          <t>iPhone</t>
        </is>
      </c>
      <c r="S352" s="4" t="inlineStr">
        <is>
          <t>B08</t>
        </is>
      </c>
      <c r="T352" s="4" t="inlineStr">
        <is>
          <t>BASELINE_1_500</t>
        </is>
      </c>
      <c r="U352" s="4" t="inlineStr">
        <is>
          <t>CREATED</t>
        </is>
      </c>
      <c r="V352" s="4" t="inlineStr">
        <is>
          <t>idem-20260902-ios-0351</t>
        </is>
      </c>
    </row>
    <row r="353" ht="30" customHeight="1">
      <c r="A353" s="4" t="n">
        <v>352</v>
      </c>
      <c r="B353" s="4" t="inlineStr">
        <is>
          <t>MTR-IOS-0352</t>
        </is>
      </c>
      <c r="C353" s="4" t="inlineStr">
        <is>
          <t>Personal</t>
        </is>
      </c>
      <c r="D353" s="4" t="inlineStr">
        <is>
          <t>Personal</t>
        </is>
      </c>
      <c r="E353" s="4" t="inlineStr">
        <is>
          <t>Life Operations</t>
        </is>
      </c>
      <c r="F353" s="4" t="inlineStr">
        <is>
          <t>Bills</t>
        </is>
      </c>
      <c r="G353" s="4" t="inlineStr">
        <is>
          <t>Expense</t>
        </is>
      </c>
      <c r="H353" s="12" t="n">
        <v>46189</v>
      </c>
      <c r="I353" s="13" t="n">
        <v>0.3824537037037037</v>
      </c>
      <c r="J353" s="14" t="n">
        <v>46189.38245370371</v>
      </c>
      <c r="K353" s="15" t="n">
        <v>14194.84</v>
      </c>
      <c r="L353" s="4" t="inlineStr">
        <is>
          <t>INR</t>
        </is>
      </c>
      <c r="M353" s="15" t="n">
        <v>-14194.84</v>
      </c>
      <c r="N353" s="4" t="inlineStr">
        <is>
          <t>IOS Owner</t>
        </is>
      </c>
      <c r="O353" s="4" t="n"/>
      <c r="P353" s="4" t="n"/>
      <c r="Q353" s="4" t="inlineStr">
        <is>
          <t>MAESTRO-IOS-PERSONAL-LIFE_OPERATIONS-0352 | Bills | 14194.84</t>
        </is>
      </c>
      <c r="R353" s="4" t="inlineStr">
        <is>
          <t>iPhone</t>
        </is>
      </c>
      <c r="S353" s="4" t="inlineStr">
        <is>
          <t>B08</t>
        </is>
      </c>
      <c r="T353" s="4" t="inlineStr">
        <is>
          <t>BASELINE_1_500</t>
        </is>
      </c>
      <c r="U353" s="4" t="inlineStr">
        <is>
          <t>CREATED</t>
        </is>
      </c>
      <c r="V353" s="4" t="inlineStr">
        <is>
          <t>idem-20260902-ios-0352</t>
        </is>
      </c>
    </row>
    <row r="354" ht="30" customHeight="1">
      <c r="A354" s="4" t="n">
        <v>353</v>
      </c>
      <c r="B354" s="4" t="inlineStr">
        <is>
          <t>MTR-IOS-0353</t>
        </is>
      </c>
      <c r="C354" s="4" t="inlineStr">
        <is>
          <t>Group</t>
        </is>
      </c>
      <c r="D354" s="4" t="inlineStr">
        <is>
          <t>Shared Experience</t>
        </is>
      </c>
      <c r="E354" s="4" t="inlineStr">
        <is>
          <t>Trip</t>
        </is>
      </c>
      <c r="F354" s="4" t="inlineStr">
        <is>
          <t>Stay</t>
        </is>
      </c>
      <c r="G354" s="4" t="inlineStr">
        <is>
          <t>Expense</t>
        </is>
      </c>
      <c r="H354" s="12" t="n">
        <v>46071</v>
      </c>
      <c r="I354" s="13" t="n">
        <v>0.4094328703703703</v>
      </c>
      <c r="J354" s="14" t="n">
        <v>46071.40943287037</v>
      </c>
      <c r="K354" s="15" t="n">
        <v>4462.15</v>
      </c>
      <c r="L354" s="4" t="inlineStr">
        <is>
          <t>INR</t>
        </is>
      </c>
      <c r="M354" s="15" t="n">
        <v>-4462.15</v>
      </c>
      <c r="N354" s="4" t="inlineStr">
        <is>
          <t>IOS Owner</t>
        </is>
      </c>
      <c r="O354" s="4" t="n">
        <v>3</v>
      </c>
      <c r="P354" s="4" t="inlineStr">
        <is>
          <t>PERCENTAGE</t>
        </is>
      </c>
      <c r="Q354" s="4" t="inlineStr">
        <is>
          <t>MAESTRO-IOS-GROUP-TRIP-0353 | Stay | 4462.15</t>
        </is>
      </c>
      <c r="R354" s="4" t="inlineStr">
        <is>
          <t>iPhone</t>
        </is>
      </c>
      <c r="S354" s="4" t="inlineStr">
        <is>
          <t>B08</t>
        </is>
      </c>
      <c r="T354" s="4" t="inlineStr">
        <is>
          <t>BASELINE_1_500</t>
        </is>
      </c>
      <c r="U354" s="4" t="inlineStr">
        <is>
          <t>CREATED</t>
        </is>
      </c>
      <c r="V354" s="4" t="inlineStr">
        <is>
          <t>idem-20260902-ios-0353</t>
        </is>
      </c>
    </row>
    <row r="355" ht="30" customHeight="1">
      <c r="A355" s="4" t="n">
        <v>354</v>
      </c>
      <c r="B355" s="4" t="inlineStr">
        <is>
          <t>MTR-IOS-0354</t>
        </is>
      </c>
      <c r="C355" s="4" t="inlineStr">
        <is>
          <t>Business</t>
        </is>
      </c>
      <c r="D355" s="4" t="inlineStr">
        <is>
          <t>Business</t>
        </is>
      </c>
      <c r="E355" s="4" t="inlineStr">
        <is>
          <t>Business Runway</t>
        </is>
      </c>
      <c r="F355" s="4" t="inlineStr">
        <is>
          <t>Investment</t>
        </is>
      </c>
      <c r="G355" s="4" t="inlineStr">
        <is>
          <t>Income</t>
        </is>
      </c>
      <c r="H355" s="12" t="n">
        <v>46073</v>
      </c>
      <c r="I355" s="13" t="n">
        <v>0.7648495370370371</v>
      </c>
      <c r="J355" s="14" t="n">
        <v>46073.76484953704</v>
      </c>
      <c r="K355" s="15" t="n">
        <v>84091.09</v>
      </c>
      <c r="L355" s="4" t="inlineStr">
        <is>
          <t>INR</t>
        </is>
      </c>
      <c r="M355" s="15" t="n">
        <v>84091.09</v>
      </c>
      <c r="N355" s="4" t="inlineStr">
        <is>
          <t>IOS Owner</t>
        </is>
      </c>
      <c r="O355" s="4" t="n"/>
      <c r="P355" s="4" t="n"/>
      <c r="Q355" s="4" t="inlineStr">
        <is>
          <t>MAESTRO-IOS-BUSINESS-BUSINESS_RUNWAY-0354 | Investment | 84091.09</t>
        </is>
      </c>
      <c r="R355" s="4" t="inlineStr">
        <is>
          <t>iPhone</t>
        </is>
      </c>
      <c r="S355" s="4" t="inlineStr">
        <is>
          <t>B08</t>
        </is>
      </c>
      <c r="T355" s="4" t="inlineStr">
        <is>
          <t>BASELINE_1_500</t>
        </is>
      </c>
      <c r="U355" s="4" t="inlineStr">
        <is>
          <t>CREATED</t>
        </is>
      </c>
      <c r="V355" s="4" t="inlineStr">
        <is>
          <t>idem-20260902-ios-0354</t>
        </is>
      </c>
    </row>
    <row r="356" ht="30" customHeight="1">
      <c r="A356" s="4" t="n">
        <v>355</v>
      </c>
      <c r="B356" s="4" t="inlineStr">
        <is>
          <t>MTR-IOS-0355</t>
        </is>
      </c>
      <c r="C356" s="4" t="inlineStr">
        <is>
          <t>Personal</t>
        </is>
      </c>
      <c r="D356" s="4" t="inlineStr">
        <is>
          <t>Personal</t>
        </is>
      </c>
      <c r="E356" s="4" t="inlineStr">
        <is>
          <t>Life Operations</t>
        </is>
      </c>
      <c r="F356" s="4" t="inlineStr">
        <is>
          <t>Transport</t>
        </is>
      </c>
      <c r="G356" s="4" t="inlineStr">
        <is>
          <t>Expense</t>
        </is>
      </c>
      <c r="H356" s="12" t="n">
        <v>46100</v>
      </c>
      <c r="I356" s="13" t="n">
        <v>0.6181712962962963</v>
      </c>
      <c r="J356" s="14" t="n">
        <v>46100.61817129629</v>
      </c>
      <c r="K356" s="15" t="n">
        <v>4459.95</v>
      </c>
      <c r="L356" s="4" t="inlineStr">
        <is>
          <t>INR</t>
        </is>
      </c>
      <c r="M356" s="15" t="n">
        <v>-4459.95</v>
      </c>
      <c r="N356" s="4" t="inlineStr">
        <is>
          <t>IOS Owner</t>
        </is>
      </c>
      <c r="O356" s="4" t="n"/>
      <c r="P356" s="4" t="n"/>
      <c r="Q356" s="4" t="inlineStr">
        <is>
          <t>MAESTRO-IOS-PERSONAL-LIFE_OPERATIONS-0355 | Transport | 4459.95</t>
        </is>
      </c>
      <c r="R356" s="4" t="inlineStr">
        <is>
          <t>iPhone</t>
        </is>
      </c>
      <c r="S356" s="4" t="inlineStr">
        <is>
          <t>B08</t>
        </is>
      </c>
      <c r="T356" s="4" t="inlineStr">
        <is>
          <t>BASELINE_1_500</t>
        </is>
      </c>
      <c r="U356" s="4" t="inlineStr">
        <is>
          <t>CREATED</t>
        </is>
      </c>
      <c r="V356" s="4" t="inlineStr">
        <is>
          <t>idem-20260902-ios-0355</t>
        </is>
      </c>
    </row>
    <row r="357" ht="30" customHeight="1">
      <c r="A357" s="4" t="n">
        <v>356</v>
      </c>
      <c r="B357" s="4" t="inlineStr">
        <is>
          <t>MTR-IOS-0356</t>
        </is>
      </c>
      <c r="C357" s="4" t="inlineStr">
        <is>
          <t>Group</t>
        </is>
      </c>
      <c r="D357" s="4" t="inlineStr">
        <is>
          <t>Shared Experience</t>
        </is>
      </c>
      <c r="E357" s="4" t="inlineStr">
        <is>
          <t>Trip</t>
        </is>
      </c>
      <c r="F357" s="4" t="inlineStr">
        <is>
          <t>Food</t>
        </is>
      </c>
      <c r="G357" s="4" t="inlineStr">
        <is>
          <t>Expense</t>
        </is>
      </c>
      <c r="H357" s="12" t="n">
        <v>46181</v>
      </c>
      <c r="I357" s="13" t="n">
        <v>0.3805902777777778</v>
      </c>
      <c r="J357" s="14" t="n">
        <v>46181.38059027777</v>
      </c>
      <c r="K357" s="15" t="n">
        <v>6546</v>
      </c>
      <c r="L357" s="4" t="inlineStr">
        <is>
          <t>INR</t>
        </is>
      </c>
      <c r="M357" s="15" t="n">
        <v>-6546</v>
      </c>
      <c r="N357" s="4" t="inlineStr">
        <is>
          <t>IOS Aarav</t>
        </is>
      </c>
      <c r="O357" s="4" t="n">
        <v>3</v>
      </c>
      <c r="P357" s="4" t="inlineStr">
        <is>
          <t>EXACT</t>
        </is>
      </c>
      <c r="Q357" s="4" t="inlineStr">
        <is>
          <t>MAESTRO-IOS-GROUP-TRIP-0356 | Food | 6546.00</t>
        </is>
      </c>
      <c r="R357" s="4" t="inlineStr">
        <is>
          <t>iPhone</t>
        </is>
      </c>
      <c r="S357" s="4" t="inlineStr">
        <is>
          <t>B08</t>
        </is>
      </c>
      <c r="T357" s="4" t="inlineStr">
        <is>
          <t>BASELINE_1_500</t>
        </is>
      </c>
      <c r="U357" s="4" t="inlineStr">
        <is>
          <t>CREATED</t>
        </is>
      </c>
      <c r="V357" s="4" t="inlineStr">
        <is>
          <t>idem-20260902-ios-0356</t>
        </is>
      </c>
    </row>
    <row r="358" ht="30" customHeight="1">
      <c r="A358" s="4" t="n">
        <v>357</v>
      </c>
      <c r="B358" s="4" t="inlineStr">
        <is>
          <t>MTR-IOS-0357</t>
        </is>
      </c>
      <c r="C358" s="4" t="inlineStr">
        <is>
          <t>Business</t>
        </is>
      </c>
      <c r="D358" s="4" t="inlineStr">
        <is>
          <t>Business</t>
        </is>
      </c>
      <c r="E358" s="4" t="inlineStr">
        <is>
          <t>Business Operations</t>
        </is>
      </c>
      <c r="F358" s="4" t="inlineStr">
        <is>
          <t>Software</t>
        </is>
      </c>
      <c r="G358" s="4" t="inlineStr">
        <is>
          <t>Expense</t>
        </is>
      </c>
      <c r="H358" s="12" t="n">
        <v>46128</v>
      </c>
      <c r="I358" s="13" t="n">
        <v>0.5944560185185185</v>
      </c>
      <c r="J358" s="14" t="n">
        <v>46128.59445601852</v>
      </c>
      <c r="K358" s="15" t="n">
        <v>164774.78</v>
      </c>
      <c r="L358" s="4" t="inlineStr">
        <is>
          <t>INR</t>
        </is>
      </c>
      <c r="M358" s="15" t="n">
        <v>-164774.78</v>
      </c>
      <c r="N358" s="4" t="inlineStr">
        <is>
          <t>IOS Owner</t>
        </is>
      </c>
      <c r="O358" s="4" t="n"/>
      <c r="P358" s="4" t="n"/>
      <c r="Q358" s="4" t="inlineStr">
        <is>
          <t>MAESTRO-IOS-BUSINESS-BUSINESS_OPERATIONS-0357 | Software | 164774.78</t>
        </is>
      </c>
      <c r="R358" s="4" t="inlineStr">
        <is>
          <t>iPhone</t>
        </is>
      </c>
      <c r="S358" s="4" t="inlineStr">
        <is>
          <t>B08</t>
        </is>
      </c>
      <c r="T358" s="4" t="inlineStr">
        <is>
          <t>BASELINE_1_500</t>
        </is>
      </c>
      <c r="U358" s="4" t="inlineStr">
        <is>
          <t>CREATED</t>
        </is>
      </c>
      <c r="V358" s="4" t="inlineStr">
        <is>
          <t>idem-20260902-ios-0357</t>
        </is>
      </c>
    </row>
    <row r="359" ht="30" customHeight="1">
      <c r="A359" s="4" t="n">
        <v>358</v>
      </c>
      <c r="B359" s="4" t="inlineStr">
        <is>
          <t>MTR-IOS-0358</t>
        </is>
      </c>
      <c r="C359" s="4" t="inlineStr">
        <is>
          <t>Personal</t>
        </is>
      </c>
      <c r="D359" s="4" t="inlineStr">
        <is>
          <t>Personal</t>
        </is>
      </c>
      <c r="E359" s="4" t="inlineStr">
        <is>
          <t>Life Operations</t>
        </is>
      </c>
      <c r="F359" s="4" t="inlineStr">
        <is>
          <t>Healthcare</t>
        </is>
      </c>
      <c r="G359" s="4" t="inlineStr">
        <is>
          <t>Expense</t>
        </is>
      </c>
      <c r="H359" s="12" t="n">
        <v>45960</v>
      </c>
      <c r="I359" s="13" t="n">
        <v>0.3382986111111111</v>
      </c>
      <c r="J359" s="14" t="n">
        <v>45960.33829861111</v>
      </c>
      <c r="K359" s="15" t="n">
        <v>8130.87</v>
      </c>
      <c r="L359" s="4" t="inlineStr">
        <is>
          <t>INR</t>
        </is>
      </c>
      <c r="M359" s="15" t="n">
        <v>-8130.87</v>
      </c>
      <c r="N359" s="4" t="inlineStr">
        <is>
          <t>IOS Owner</t>
        </is>
      </c>
      <c r="O359" s="4" t="n"/>
      <c r="P359" s="4" t="n"/>
      <c r="Q359" s="4" t="inlineStr">
        <is>
          <t>MAESTRO-IOS-PERSONAL-LIFE_OPERATIONS-0358 | Healthcare | 8130.87</t>
        </is>
      </c>
      <c r="R359" s="4" t="inlineStr">
        <is>
          <t>iPhone</t>
        </is>
      </c>
      <c r="S359" s="4" t="inlineStr">
        <is>
          <t>B08</t>
        </is>
      </c>
      <c r="T359" s="4" t="inlineStr">
        <is>
          <t>BASELINE_1_500</t>
        </is>
      </c>
      <c r="U359" s="4" t="inlineStr">
        <is>
          <t>CREATED</t>
        </is>
      </c>
      <c r="V359" s="4" t="inlineStr">
        <is>
          <t>idem-20260902-ios-0358</t>
        </is>
      </c>
    </row>
    <row r="360" ht="30" customHeight="1">
      <c r="A360" s="4" t="n">
        <v>359</v>
      </c>
      <c r="B360" s="4" t="inlineStr">
        <is>
          <t>MTR-IOS-0359</t>
        </is>
      </c>
      <c r="C360" s="4" t="inlineStr">
        <is>
          <t>Group</t>
        </is>
      </c>
      <c r="D360" s="4" t="inlineStr">
        <is>
          <t>Shared Experience</t>
        </is>
      </c>
      <c r="E360" s="4" t="inlineStr">
        <is>
          <t>Trip</t>
        </is>
      </c>
      <c r="F360" s="4" t="inlineStr">
        <is>
          <t>Local Transport</t>
        </is>
      </c>
      <c r="G360" s="4" t="inlineStr">
        <is>
          <t>Expense</t>
        </is>
      </c>
      <c r="H360" s="12" t="n">
        <v>45976</v>
      </c>
      <c r="I360" s="13" t="n">
        <v>0.6878125</v>
      </c>
      <c r="J360" s="14" t="n">
        <v>45976.6878125</v>
      </c>
      <c r="K360" s="15" t="n">
        <v>7770.15</v>
      </c>
      <c r="L360" s="4" t="inlineStr">
        <is>
          <t>INR</t>
        </is>
      </c>
      <c r="M360" s="15" t="n">
        <v>-7770.15</v>
      </c>
      <c r="N360" s="4" t="inlineStr">
        <is>
          <t>IOS Meera</t>
        </is>
      </c>
      <c r="O360" s="4" t="n">
        <v>3</v>
      </c>
      <c r="P360" s="4" t="inlineStr">
        <is>
          <t>SHARES</t>
        </is>
      </c>
      <c r="Q360" s="4" t="inlineStr">
        <is>
          <t>MAESTRO-IOS-GROUP-TRIP-0359 | Local Transport | 7770.15</t>
        </is>
      </c>
      <c r="R360" s="4" t="inlineStr">
        <is>
          <t>iPhone</t>
        </is>
      </c>
      <c r="S360" s="4" t="inlineStr">
        <is>
          <t>B08</t>
        </is>
      </c>
      <c r="T360" s="4" t="inlineStr">
        <is>
          <t>BASELINE_1_500</t>
        </is>
      </c>
      <c r="U360" s="4" t="inlineStr">
        <is>
          <t>CREATED</t>
        </is>
      </c>
      <c r="V360" s="4" t="inlineStr">
        <is>
          <t>idem-20260902-ios-0359</t>
        </is>
      </c>
    </row>
    <row r="361" ht="30" customHeight="1">
      <c r="A361" s="4" t="n">
        <v>360</v>
      </c>
      <c r="B361" s="4" t="inlineStr">
        <is>
          <t>MTR-IOS-0360</t>
        </is>
      </c>
      <c r="C361" s="4" t="inlineStr">
        <is>
          <t>Business</t>
        </is>
      </c>
      <c r="D361" s="4" t="inlineStr">
        <is>
          <t>Business</t>
        </is>
      </c>
      <c r="E361" s="4" t="inlineStr">
        <is>
          <t>Business Operations</t>
        </is>
      </c>
      <c r="F361" s="4" t="inlineStr">
        <is>
          <t>Rent</t>
        </is>
      </c>
      <c r="G361" s="4" t="inlineStr">
        <is>
          <t>Expense</t>
        </is>
      </c>
      <c r="H361" s="12" t="n">
        <v>45920</v>
      </c>
      <c r="I361" s="13" t="n">
        <v>0.1775578703703704</v>
      </c>
      <c r="J361" s="14" t="n">
        <v>45920.17755787037</v>
      </c>
      <c r="K361" s="15" t="n">
        <v>75488.28999999999</v>
      </c>
      <c r="L361" s="4" t="inlineStr">
        <is>
          <t>INR</t>
        </is>
      </c>
      <c r="M361" s="15" t="n">
        <v>-75488.28999999999</v>
      </c>
      <c r="N361" s="4" t="inlineStr">
        <is>
          <t>IOS Owner</t>
        </is>
      </c>
      <c r="O361" s="4" t="n"/>
      <c r="P361" s="4" t="n"/>
      <c r="Q361" s="4" t="inlineStr">
        <is>
          <t>MAESTRO-IOS-BUSINESS-BUSINESS_OPERATIONS-0360 | Rent | 75488.29</t>
        </is>
      </c>
      <c r="R361" s="4" t="inlineStr">
        <is>
          <t>iPhone</t>
        </is>
      </c>
      <c r="S361" s="4" t="inlineStr">
        <is>
          <t>B08</t>
        </is>
      </c>
      <c r="T361" s="4" t="inlineStr">
        <is>
          <t>BASELINE_1_500</t>
        </is>
      </c>
      <c r="U361" s="4" t="inlineStr">
        <is>
          <t>CREATED</t>
        </is>
      </c>
      <c r="V361" s="4" t="inlineStr">
        <is>
          <t>idem-20260902-ios-0360</t>
        </is>
      </c>
    </row>
    <row r="362" ht="30" customHeight="1">
      <c r="A362" s="4" t="n">
        <v>361</v>
      </c>
      <c r="B362" s="4" t="inlineStr">
        <is>
          <t>MTR-IOS-0361</t>
        </is>
      </c>
      <c r="C362" s="4" t="inlineStr">
        <is>
          <t>Personal</t>
        </is>
      </c>
      <c r="D362" s="4" t="inlineStr">
        <is>
          <t>Personal</t>
        </is>
      </c>
      <c r="E362" s="4" t="inlineStr">
        <is>
          <t>Life Operations</t>
        </is>
      </c>
      <c r="F362" s="4" t="inlineStr">
        <is>
          <t>Subscriptions</t>
        </is>
      </c>
      <c r="G362" s="4" t="inlineStr">
        <is>
          <t>Expense</t>
        </is>
      </c>
      <c r="H362" s="12" t="n">
        <v>46161</v>
      </c>
      <c r="I362" s="13" t="n">
        <v>0.4116087962962963</v>
      </c>
      <c r="J362" s="14" t="n">
        <v>46161.4116087963</v>
      </c>
      <c r="K362" s="15" t="n">
        <v>840.9</v>
      </c>
      <c r="L362" s="4" t="inlineStr">
        <is>
          <t>INR</t>
        </is>
      </c>
      <c r="M362" s="15" t="n">
        <v>-840.9</v>
      </c>
      <c r="N362" s="4" t="inlineStr">
        <is>
          <t>IOS Owner</t>
        </is>
      </c>
      <c r="O362" s="4" t="n"/>
      <c r="P362" s="4" t="n"/>
      <c r="Q362" s="4" t="inlineStr">
        <is>
          <t>MAESTRO-IOS-PERSONAL-LIFE_OPERATIONS-0361 | Subscriptions | 840.90</t>
        </is>
      </c>
      <c r="R362" s="4" t="inlineStr">
        <is>
          <t>iPhone</t>
        </is>
      </c>
      <c r="S362" s="4" t="inlineStr">
        <is>
          <t>B08</t>
        </is>
      </c>
      <c r="T362" s="4" t="inlineStr">
        <is>
          <t>BASELINE_1_500</t>
        </is>
      </c>
      <c r="U362" s="4" t="inlineStr">
        <is>
          <t>CREATED</t>
        </is>
      </c>
      <c r="V362" s="4" t="inlineStr">
        <is>
          <t>idem-20260902-ios-0361</t>
        </is>
      </c>
    </row>
    <row r="363" ht="30" customHeight="1">
      <c r="A363" s="4" t="n">
        <v>362</v>
      </c>
      <c r="B363" s="4" t="inlineStr">
        <is>
          <t>MTR-IOS-0362</t>
        </is>
      </c>
      <c r="C363" s="4" t="inlineStr">
        <is>
          <t>Group</t>
        </is>
      </c>
      <c r="D363" s="4" t="inlineStr">
        <is>
          <t>Shared Experience</t>
        </is>
      </c>
      <c r="E363" s="4" t="inlineStr">
        <is>
          <t>Trip</t>
        </is>
      </c>
      <c r="F363" s="4" t="inlineStr">
        <is>
          <t>Activities</t>
        </is>
      </c>
      <c r="G363" s="4" t="inlineStr">
        <is>
          <t>Expense</t>
        </is>
      </c>
      <c r="H363" s="12" t="n">
        <v>46256</v>
      </c>
      <c r="I363" s="13" t="n">
        <v>0.1709953703703704</v>
      </c>
      <c r="J363" s="14" t="n">
        <v>46256.17099537037</v>
      </c>
      <c r="K363" s="15" t="n">
        <v>13215.49</v>
      </c>
      <c r="L363" s="4" t="inlineStr">
        <is>
          <t>INR</t>
        </is>
      </c>
      <c r="M363" s="15" t="n">
        <v>-13215.49</v>
      </c>
      <c r="N363" s="4" t="inlineStr">
        <is>
          <t>IOS Owner</t>
        </is>
      </c>
      <c r="O363" s="4" t="n">
        <v>3</v>
      </c>
      <c r="P363" s="4" t="inlineStr">
        <is>
          <t>EQUAL</t>
        </is>
      </c>
      <c r="Q363" s="4" t="inlineStr">
        <is>
          <t>MAESTRO-IOS-GROUP-TRIP-0362 | Activities | 13215.49</t>
        </is>
      </c>
      <c r="R363" s="4" t="inlineStr">
        <is>
          <t>iPhone</t>
        </is>
      </c>
      <c r="S363" s="4" t="inlineStr">
        <is>
          <t>B08</t>
        </is>
      </c>
      <c r="T363" s="4" t="inlineStr">
        <is>
          <t>BASELINE_1_500</t>
        </is>
      </c>
      <c r="U363" s="4" t="inlineStr">
        <is>
          <t>CREATED</t>
        </is>
      </c>
      <c r="V363" s="4" t="inlineStr">
        <is>
          <t>idem-20260902-ios-0362</t>
        </is>
      </c>
    </row>
    <row r="364" ht="30" customHeight="1">
      <c r="A364" s="4" t="n">
        <v>363</v>
      </c>
      <c r="B364" s="4" t="inlineStr">
        <is>
          <t>MTR-IOS-0363</t>
        </is>
      </c>
      <c r="C364" s="4" t="inlineStr">
        <is>
          <t>Business</t>
        </is>
      </c>
      <c r="D364" s="4" t="inlineStr">
        <is>
          <t>Business</t>
        </is>
      </c>
      <c r="E364" s="4" t="inlineStr">
        <is>
          <t>Business Operations</t>
        </is>
      </c>
      <c r="F364" s="4" t="inlineStr">
        <is>
          <t>Marketing</t>
        </is>
      </c>
      <c r="G364" s="4" t="inlineStr">
        <is>
          <t>Expense</t>
        </is>
      </c>
      <c r="H364" s="12" t="n">
        <v>46192</v>
      </c>
      <c r="I364" s="13" t="n">
        <v>0.1240046296296296</v>
      </c>
      <c r="J364" s="14" t="n">
        <v>46192.12400462963</v>
      </c>
      <c r="K364" s="15" t="n">
        <v>147978.31</v>
      </c>
      <c r="L364" s="4" t="inlineStr">
        <is>
          <t>INR</t>
        </is>
      </c>
      <c r="M364" s="15" t="n">
        <v>-147978.31</v>
      </c>
      <c r="N364" s="4" t="inlineStr">
        <is>
          <t>IOS Owner</t>
        </is>
      </c>
      <c r="O364" s="4" t="n"/>
      <c r="P364" s="4" t="n"/>
      <c r="Q364" s="4" t="inlineStr">
        <is>
          <t>MAESTRO-IOS-BUSINESS-BUSINESS_OPERATIONS-0363 | Marketing | 147978.31</t>
        </is>
      </c>
      <c r="R364" s="4" t="inlineStr">
        <is>
          <t>iPhone</t>
        </is>
      </c>
      <c r="S364" s="4" t="inlineStr">
        <is>
          <t>B08</t>
        </is>
      </c>
      <c r="T364" s="4" t="inlineStr">
        <is>
          <t>BASELINE_1_500</t>
        </is>
      </c>
      <c r="U364" s="4" t="inlineStr">
        <is>
          <t>CREATED</t>
        </is>
      </c>
      <c r="V364" s="4" t="inlineStr">
        <is>
          <t>idem-20260902-ios-0363</t>
        </is>
      </c>
    </row>
    <row r="365" ht="30" customHeight="1">
      <c r="A365" s="4" t="n">
        <v>364</v>
      </c>
      <c r="B365" s="4" t="inlineStr">
        <is>
          <t>MTR-IOS-0364</t>
        </is>
      </c>
      <c r="C365" s="4" t="inlineStr">
        <is>
          <t>Personal</t>
        </is>
      </c>
      <c r="D365" s="4" t="inlineStr">
        <is>
          <t>Personal</t>
        </is>
      </c>
      <c r="E365" s="4" t="inlineStr">
        <is>
          <t>Life Operations</t>
        </is>
      </c>
      <c r="F365" s="4" t="inlineStr">
        <is>
          <t>Repairs</t>
        </is>
      </c>
      <c r="G365" s="4" t="inlineStr">
        <is>
          <t>Expense</t>
        </is>
      </c>
      <c r="H365" s="12" t="n">
        <v>46020</v>
      </c>
      <c r="I365" s="13" t="n">
        <v>0.9456134259259259</v>
      </c>
      <c r="J365" s="14" t="n">
        <v>46020.94561342592</v>
      </c>
      <c r="K365" s="15" t="n">
        <v>2120.4</v>
      </c>
      <c r="L365" s="4" t="inlineStr">
        <is>
          <t>INR</t>
        </is>
      </c>
      <c r="M365" s="15" t="n">
        <v>-2120.4</v>
      </c>
      <c r="N365" s="4" t="inlineStr">
        <is>
          <t>IOS Owner</t>
        </is>
      </c>
      <c r="O365" s="4" t="n"/>
      <c r="P365" s="4" t="n"/>
      <c r="Q365" s="4" t="inlineStr">
        <is>
          <t>MAESTRO-IOS-PERSONAL-LIFE_OPERATIONS-0364 | Repairs | 2120.40</t>
        </is>
      </c>
      <c r="R365" s="4" t="inlineStr">
        <is>
          <t>iPhone</t>
        </is>
      </c>
      <c r="S365" s="4" t="inlineStr">
        <is>
          <t>B08</t>
        </is>
      </c>
      <c r="T365" s="4" t="inlineStr">
        <is>
          <t>BASELINE_1_500</t>
        </is>
      </c>
      <c r="U365" s="4" t="inlineStr">
        <is>
          <t>CREATED</t>
        </is>
      </c>
      <c r="V365" s="4" t="inlineStr">
        <is>
          <t>idem-20260902-ios-0364</t>
        </is>
      </c>
    </row>
    <row r="366" ht="30" customHeight="1">
      <c r="A366" s="4" t="n">
        <v>365</v>
      </c>
      <c r="B366" s="4" t="inlineStr">
        <is>
          <t>MTR-IOS-0365</t>
        </is>
      </c>
      <c r="C366" s="4" t="inlineStr">
        <is>
          <t>Group</t>
        </is>
      </c>
      <c r="D366" s="4" t="inlineStr">
        <is>
          <t>Shared Experience</t>
        </is>
      </c>
      <c r="E366" s="4" t="inlineStr">
        <is>
          <t>Trip</t>
        </is>
      </c>
      <c r="F366" s="4" t="inlineStr">
        <is>
          <t>Shopping</t>
        </is>
      </c>
      <c r="G366" s="4" t="inlineStr">
        <is>
          <t>Expense</t>
        </is>
      </c>
      <c r="H366" s="12" t="n">
        <v>45909</v>
      </c>
      <c r="I366" s="13" t="n">
        <v>0.1918055555555556</v>
      </c>
      <c r="J366" s="14" t="n">
        <v>45909.19180555556</v>
      </c>
      <c r="K366" s="15" t="n">
        <v>22196.23</v>
      </c>
      <c r="L366" s="4" t="inlineStr">
        <is>
          <t>INR</t>
        </is>
      </c>
      <c r="M366" s="15" t="n">
        <v>-22196.23</v>
      </c>
      <c r="N366" s="4" t="inlineStr">
        <is>
          <t>IOS Aarav</t>
        </is>
      </c>
      <c r="O366" s="4" t="n">
        <v>3</v>
      </c>
      <c r="P366" s="4" t="inlineStr">
        <is>
          <t>PERCENTAGE</t>
        </is>
      </c>
      <c r="Q366" s="4" t="inlineStr">
        <is>
          <t>MAESTRO-IOS-GROUP-TRIP-0365 | Shopping | 22196.23</t>
        </is>
      </c>
      <c r="R366" s="4" t="inlineStr">
        <is>
          <t>iPhone</t>
        </is>
      </c>
      <c r="S366" s="4" t="inlineStr">
        <is>
          <t>B08</t>
        </is>
      </c>
      <c r="T366" s="4" t="inlineStr">
        <is>
          <t>BASELINE_1_500</t>
        </is>
      </c>
      <c r="U366" s="4" t="inlineStr">
        <is>
          <t>CREATED</t>
        </is>
      </c>
      <c r="V366" s="4" t="inlineStr">
        <is>
          <t>idem-20260902-ios-0365</t>
        </is>
      </c>
    </row>
    <row r="367" ht="30" customHeight="1">
      <c r="A367" s="4" t="n">
        <v>366</v>
      </c>
      <c r="B367" s="4" t="inlineStr">
        <is>
          <t>MTR-IOS-0366</t>
        </is>
      </c>
      <c r="C367" s="4" t="inlineStr">
        <is>
          <t>Business</t>
        </is>
      </c>
      <c r="D367" s="4" t="inlineStr">
        <is>
          <t>Business</t>
        </is>
      </c>
      <c r="E367" s="4" t="inlineStr">
        <is>
          <t>Business Operations</t>
        </is>
      </c>
      <c r="F367" s="4" t="inlineStr">
        <is>
          <t>Legal</t>
        </is>
      </c>
      <c r="G367" s="4" t="inlineStr">
        <is>
          <t>Expense</t>
        </is>
      </c>
      <c r="H367" s="12" t="n">
        <v>46043</v>
      </c>
      <c r="I367" s="13" t="n">
        <v>0.4498726851851852</v>
      </c>
      <c r="J367" s="14" t="n">
        <v>46043.44987268518</v>
      </c>
      <c r="K367" s="15" t="n">
        <v>63943.45</v>
      </c>
      <c r="L367" s="4" t="inlineStr">
        <is>
          <t>INR</t>
        </is>
      </c>
      <c r="M367" s="15" t="n">
        <v>-63943.45</v>
      </c>
      <c r="N367" s="4" t="inlineStr">
        <is>
          <t>IOS Owner</t>
        </is>
      </c>
      <c r="O367" s="4" t="n"/>
      <c r="P367" s="4" t="n"/>
      <c r="Q367" s="4" t="inlineStr">
        <is>
          <t>MAESTRO-IOS-BUSINESS-BUSINESS_OPERATIONS-0366 | Legal | 63943.45</t>
        </is>
      </c>
      <c r="R367" s="4" t="inlineStr">
        <is>
          <t>iPhone</t>
        </is>
      </c>
      <c r="S367" s="4" t="inlineStr">
        <is>
          <t>B08</t>
        </is>
      </c>
      <c r="T367" s="4" t="inlineStr">
        <is>
          <t>BASELINE_1_500</t>
        </is>
      </c>
      <c r="U367" s="4" t="inlineStr">
        <is>
          <t>CREATED</t>
        </is>
      </c>
      <c r="V367" s="4" t="inlineStr">
        <is>
          <t>idem-20260902-ios-0366</t>
        </is>
      </c>
    </row>
    <row r="368" ht="30" customHeight="1">
      <c r="A368" s="4" t="n">
        <v>367</v>
      </c>
      <c r="B368" s="4" t="inlineStr">
        <is>
          <t>MTR-IOS-0367</t>
        </is>
      </c>
      <c r="C368" s="4" t="inlineStr">
        <is>
          <t>Personal</t>
        </is>
      </c>
      <c r="D368" s="4" t="inlineStr">
        <is>
          <t>Personal</t>
        </is>
      </c>
      <c r="E368" s="4" t="inlineStr">
        <is>
          <t>Future Building</t>
        </is>
      </c>
      <c r="F368" s="4" t="inlineStr">
        <is>
          <t>Savings</t>
        </is>
      </c>
      <c r="G368" s="4" t="inlineStr">
        <is>
          <t>Transfer</t>
        </is>
      </c>
      <c r="H368" s="12" t="n">
        <v>45973</v>
      </c>
      <c r="I368" s="13" t="n">
        <v>0.7299537037037037</v>
      </c>
      <c r="J368" s="14" t="n">
        <v>45973.7299537037</v>
      </c>
      <c r="K368" s="15" t="n">
        <v>2396.78</v>
      </c>
      <c r="L368" s="4" t="inlineStr">
        <is>
          <t>INR</t>
        </is>
      </c>
      <c r="M368" s="15" t="n">
        <v>0</v>
      </c>
      <c r="N368" s="4" t="inlineStr">
        <is>
          <t>IOS Owner</t>
        </is>
      </c>
      <c r="O368" s="4" t="n"/>
      <c r="P368" s="4" t="n"/>
      <c r="Q368" s="4" t="inlineStr">
        <is>
          <t>MAESTRO-IOS-PERSONAL-FUTURE_BUILDING-0367 | Savings | 2396.78</t>
        </is>
      </c>
      <c r="R368" s="4" t="inlineStr">
        <is>
          <t>iPhone</t>
        </is>
      </c>
      <c r="S368" s="4" t="inlineStr">
        <is>
          <t>B08</t>
        </is>
      </c>
      <c r="T368" s="4" t="inlineStr">
        <is>
          <t>BASELINE_1_500</t>
        </is>
      </c>
      <c r="U368" s="4" t="inlineStr">
        <is>
          <t>CREATED</t>
        </is>
      </c>
      <c r="V368" s="4" t="inlineStr">
        <is>
          <t>idem-20260902-ios-0367</t>
        </is>
      </c>
    </row>
    <row r="369" ht="30" customHeight="1">
      <c r="A369" s="4" t="n">
        <v>368</v>
      </c>
      <c r="B369" s="4" t="inlineStr">
        <is>
          <t>MTR-IOS-0368</t>
        </is>
      </c>
      <c r="C369" s="4" t="inlineStr">
        <is>
          <t>Group</t>
        </is>
      </c>
      <c r="D369" s="4" t="inlineStr">
        <is>
          <t>Shared Experience</t>
        </is>
      </c>
      <c r="E369" s="4" t="inlineStr">
        <is>
          <t>Trip</t>
        </is>
      </c>
      <c r="F369" s="4" t="inlineStr">
        <is>
          <t>Other</t>
        </is>
      </c>
      <c r="G369" s="4" t="inlineStr">
        <is>
          <t>Expense</t>
        </is>
      </c>
      <c r="H369" s="12" t="n">
        <v>46186</v>
      </c>
      <c r="I369" s="13" t="n">
        <v>0.1752893518518518</v>
      </c>
      <c r="J369" s="14" t="n">
        <v>46186.17528935185</v>
      </c>
      <c r="K369" s="15" t="n">
        <v>24153.02</v>
      </c>
      <c r="L369" s="4" t="inlineStr">
        <is>
          <t>INR</t>
        </is>
      </c>
      <c r="M369" s="15" t="n">
        <v>-24153.02</v>
      </c>
      <c r="N369" s="4" t="inlineStr">
        <is>
          <t>IOS Meera</t>
        </is>
      </c>
      <c r="O369" s="4" t="n">
        <v>3</v>
      </c>
      <c r="P369" s="4" t="inlineStr">
        <is>
          <t>EXACT</t>
        </is>
      </c>
      <c r="Q369" s="4" t="inlineStr">
        <is>
          <t>MAESTRO-IOS-GROUP-TRIP-0368 | Other | 24153.02</t>
        </is>
      </c>
      <c r="R369" s="4" t="inlineStr">
        <is>
          <t>iPhone</t>
        </is>
      </c>
      <c r="S369" s="4" t="inlineStr">
        <is>
          <t>B08</t>
        </is>
      </c>
      <c r="T369" s="4" t="inlineStr">
        <is>
          <t>BASELINE_1_500</t>
        </is>
      </c>
      <c r="U369" s="4" t="inlineStr">
        <is>
          <t>CREATED</t>
        </is>
      </c>
      <c r="V369" s="4" t="inlineStr">
        <is>
          <t>idem-20260902-ios-0368</t>
        </is>
      </c>
    </row>
    <row r="370" ht="30" customHeight="1">
      <c r="A370" s="4" t="n">
        <v>369</v>
      </c>
      <c r="B370" s="4" t="inlineStr">
        <is>
          <t>MTR-IOS-0369</t>
        </is>
      </c>
      <c r="C370" s="4" t="inlineStr">
        <is>
          <t>Business</t>
        </is>
      </c>
      <c r="D370" s="4" t="inlineStr">
        <is>
          <t>Business</t>
        </is>
      </c>
      <c r="E370" s="4" t="inlineStr">
        <is>
          <t>Business Operations</t>
        </is>
      </c>
      <c r="F370" s="4" t="inlineStr">
        <is>
          <t>Accounting</t>
        </is>
      </c>
      <c r="G370" s="4" t="inlineStr">
        <is>
          <t>Expense</t>
        </is>
      </c>
      <c r="H370" s="12" t="n">
        <v>46145</v>
      </c>
      <c r="I370" s="13" t="n">
        <v>0.7210416666666667</v>
      </c>
      <c r="J370" s="14" t="n">
        <v>46145.72104166666</v>
      </c>
      <c r="K370" s="15" t="n">
        <v>126622.5</v>
      </c>
      <c r="L370" s="4" t="inlineStr">
        <is>
          <t>INR</t>
        </is>
      </c>
      <c r="M370" s="15" t="n">
        <v>-126622.5</v>
      </c>
      <c r="N370" s="4" t="inlineStr">
        <is>
          <t>IOS Owner</t>
        </is>
      </c>
      <c r="O370" s="4" t="n"/>
      <c r="P370" s="4" t="n"/>
      <c r="Q370" s="4" t="inlineStr">
        <is>
          <t>MAESTRO-IOS-BUSINESS-BUSINESS_OPERATIONS-0369 | Accounting | 126622.50</t>
        </is>
      </c>
      <c r="R370" s="4" t="inlineStr">
        <is>
          <t>iPhone</t>
        </is>
      </c>
      <c r="S370" s="4" t="inlineStr">
        <is>
          <t>B08</t>
        </is>
      </c>
      <c r="T370" s="4" t="inlineStr">
        <is>
          <t>BASELINE_1_500</t>
        </is>
      </c>
      <c r="U370" s="4" t="inlineStr">
        <is>
          <t>CREATED</t>
        </is>
      </c>
      <c r="V370" s="4" t="inlineStr">
        <is>
          <t>idem-20260902-ios-0369</t>
        </is>
      </c>
    </row>
    <row r="371" ht="30" customHeight="1">
      <c r="A371" s="4" t="n">
        <v>370</v>
      </c>
      <c r="B371" s="4" t="inlineStr">
        <is>
          <t>MTR-IOS-0370</t>
        </is>
      </c>
      <c r="C371" s="4" t="inlineStr">
        <is>
          <t>Personal</t>
        </is>
      </c>
      <c r="D371" s="4" t="inlineStr">
        <is>
          <t>Personal</t>
        </is>
      </c>
      <c r="E371" s="4" t="inlineStr">
        <is>
          <t>Future Building</t>
        </is>
      </c>
      <c r="F371" s="4" t="inlineStr">
        <is>
          <t>Emergency Fund</t>
        </is>
      </c>
      <c r="G371" s="4" t="inlineStr">
        <is>
          <t>Transfer</t>
        </is>
      </c>
      <c r="H371" s="12" t="n">
        <v>45912</v>
      </c>
      <c r="I371" s="13" t="n">
        <v>0.1607986111111111</v>
      </c>
      <c r="J371" s="14" t="n">
        <v>45912.16079861111</v>
      </c>
      <c r="K371" s="15" t="n">
        <v>999.99</v>
      </c>
      <c r="L371" s="4" t="inlineStr">
        <is>
          <t>INR</t>
        </is>
      </c>
      <c r="M371" s="15" t="n">
        <v>0</v>
      </c>
      <c r="N371" s="4" t="inlineStr">
        <is>
          <t>IOS Owner</t>
        </is>
      </c>
      <c r="O371" s="4" t="n"/>
      <c r="P371" s="4" t="n"/>
      <c r="Q371" s="4" t="inlineStr">
        <is>
          <t>MAESTRO-IOS-PERSONAL-FUTURE_BUILDING-0370 | Emergency Fund | 999.99</t>
        </is>
      </c>
      <c r="R371" s="4" t="inlineStr">
        <is>
          <t>iPhone</t>
        </is>
      </c>
      <c r="S371" s="4" t="inlineStr">
        <is>
          <t>B08</t>
        </is>
      </c>
      <c r="T371" s="4" t="inlineStr">
        <is>
          <t>BASELINE_1_500</t>
        </is>
      </c>
      <c r="U371" s="4" t="inlineStr">
        <is>
          <t>CREATED</t>
        </is>
      </c>
      <c r="V371" s="4" t="inlineStr">
        <is>
          <t>idem-20260902-ios-0370</t>
        </is>
      </c>
    </row>
    <row r="372" ht="30" customHeight="1">
      <c r="A372" s="4" t="n">
        <v>371</v>
      </c>
      <c r="B372" s="4" t="inlineStr">
        <is>
          <t>MTR-IOS-0371</t>
        </is>
      </c>
      <c r="C372" s="4" t="inlineStr">
        <is>
          <t>Group</t>
        </is>
      </c>
      <c r="D372" s="4" t="inlineStr">
        <is>
          <t>Shared Experience</t>
        </is>
      </c>
      <c r="E372" s="4" t="inlineStr">
        <is>
          <t>Wedding</t>
        </is>
      </c>
      <c r="F372" s="4" t="inlineStr">
        <is>
          <t>Venue</t>
        </is>
      </c>
      <c r="G372" s="4" t="inlineStr">
        <is>
          <t>Expense</t>
        </is>
      </c>
      <c r="H372" s="12" t="n">
        <v>45920</v>
      </c>
      <c r="I372" s="13" t="n">
        <v>0.216724537037037</v>
      </c>
      <c r="J372" s="14" t="n">
        <v>45920.21672453704</v>
      </c>
      <c r="K372" s="15" t="n">
        <v>21281.27</v>
      </c>
      <c r="L372" s="4" t="inlineStr">
        <is>
          <t>INR</t>
        </is>
      </c>
      <c r="M372" s="15" t="n">
        <v>-21281.27</v>
      </c>
      <c r="N372" s="4" t="inlineStr">
        <is>
          <t>IOS Owner</t>
        </is>
      </c>
      <c r="O372" s="4" t="n">
        <v>3</v>
      </c>
      <c r="P372" s="4" t="inlineStr">
        <is>
          <t>SHARES</t>
        </is>
      </c>
      <c r="Q372" s="4" t="inlineStr">
        <is>
          <t>MAESTRO-IOS-GROUP-WEDDING-0371 | Venue | 21281.27</t>
        </is>
      </c>
      <c r="R372" s="4" t="inlineStr">
        <is>
          <t>iPhone</t>
        </is>
      </c>
      <c r="S372" s="4" t="inlineStr">
        <is>
          <t>B08</t>
        </is>
      </c>
      <c r="T372" s="4" t="inlineStr">
        <is>
          <t>BASELINE_1_500</t>
        </is>
      </c>
      <c r="U372" s="4" t="inlineStr">
        <is>
          <t>CREATED</t>
        </is>
      </c>
      <c r="V372" s="4" t="inlineStr">
        <is>
          <t>idem-20260902-ios-0371</t>
        </is>
      </c>
    </row>
    <row r="373" ht="30" customHeight="1">
      <c r="A373" s="4" t="n">
        <v>372</v>
      </c>
      <c r="B373" s="4" t="inlineStr">
        <is>
          <t>MTR-IOS-0372</t>
        </is>
      </c>
      <c r="C373" s="4" t="inlineStr">
        <is>
          <t>Business</t>
        </is>
      </c>
      <c r="D373" s="4" t="inlineStr">
        <is>
          <t>Business</t>
        </is>
      </c>
      <c r="E373" s="4" t="inlineStr">
        <is>
          <t>Business Operations</t>
        </is>
      </c>
      <c r="F373" s="4" t="inlineStr">
        <is>
          <t>Equipment</t>
        </is>
      </c>
      <c r="G373" s="4" t="inlineStr">
        <is>
          <t>Expense</t>
        </is>
      </c>
      <c r="H373" s="12" t="n">
        <v>46122</v>
      </c>
      <c r="I373" s="13" t="n">
        <v>0.3780208333333333</v>
      </c>
      <c r="J373" s="14" t="n">
        <v>46122.37802083333</v>
      </c>
      <c r="K373" s="15" t="n">
        <v>51812.89</v>
      </c>
      <c r="L373" s="4" t="inlineStr">
        <is>
          <t>INR</t>
        </is>
      </c>
      <c r="M373" s="15" t="n">
        <v>-51812.89</v>
      </c>
      <c r="N373" s="4" t="inlineStr">
        <is>
          <t>IOS Owner</t>
        </is>
      </c>
      <c r="O373" s="4" t="n"/>
      <c r="P373" s="4" t="n"/>
      <c r="Q373" s="4" t="inlineStr">
        <is>
          <t>MAESTRO-IOS-BUSINESS-BUSINESS_OPERATIONS-0372 | Equipment | 51812.89</t>
        </is>
      </c>
      <c r="R373" s="4" t="inlineStr">
        <is>
          <t>iPhone</t>
        </is>
      </c>
      <c r="S373" s="4" t="inlineStr">
        <is>
          <t>B08</t>
        </is>
      </c>
      <c r="T373" s="4" t="inlineStr">
        <is>
          <t>BASELINE_1_500</t>
        </is>
      </c>
      <c r="U373" s="4" t="inlineStr">
        <is>
          <t>CREATED</t>
        </is>
      </c>
      <c r="V373" s="4" t="inlineStr">
        <is>
          <t>idem-20260902-ios-0372</t>
        </is>
      </c>
    </row>
    <row r="374" ht="30" customHeight="1">
      <c r="A374" s="4" t="n">
        <v>373</v>
      </c>
      <c r="B374" s="4" t="inlineStr">
        <is>
          <t>MTR-IOS-0373</t>
        </is>
      </c>
      <c r="C374" s="4" t="inlineStr">
        <is>
          <t>Personal</t>
        </is>
      </c>
      <c r="D374" s="4" t="inlineStr">
        <is>
          <t>Personal</t>
        </is>
      </c>
      <c r="E374" s="4" t="inlineStr">
        <is>
          <t>Future Building</t>
        </is>
      </c>
      <c r="F374" s="4" t="inlineStr">
        <is>
          <t>Investments</t>
        </is>
      </c>
      <c r="G374" s="4" t="inlineStr">
        <is>
          <t>Investment</t>
        </is>
      </c>
      <c r="H374" s="12" t="n">
        <v>46182</v>
      </c>
      <c r="I374" s="13" t="n">
        <v>0.8590740740740741</v>
      </c>
      <c r="J374" s="14" t="n">
        <v>46182.85907407408</v>
      </c>
      <c r="K374" s="15" t="n">
        <v>3915.81</v>
      </c>
      <c r="L374" s="4" t="inlineStr">
        <is>
          <t>INR</t>
        </is>
      </c>
      <c r="M374" s="15" t="n">
        <v>0</v>
      </c>
      <c r="N374" s="4" t="inlineStr">
        <is>
          <t>IOS Owner</t>
        </is>
      </c>
      <c r="O374" s="4" t="n"/>
      <c r="P374" s="4" t="n"/>
      <c r="Q374" s="4" t="inlineStr">
        <is>
          <t>MAESTRO-IOS-PERSONAL-FUTURE_BUILDING-0373 | Investments | 3915.81</t>
        </is>
      </c>
      <c r="R374" s="4" t="inlineStr">
        <is>
          <t>iPhone</t>
        </is>
      </c>
      <c r="S374" s="4" t="inlineStr">
        <is>
          <t>B08</t>
        </is>
      </c>
      <c r="T374" s="4" t="inlineStr">
        <is>
          <t>BASELINE_1_500</t>
        </is>
      </c>
      <c r="U374" s="4" t="inlineStr">
        <is>
          <t>CREATED</t>
        </is>
      </c>
      <c r="V374" s="4" t="inlineStr">
        <is>
          <t>idem-20260902-ios-0373</t>
        </is>
      </c>
    </row>
    <row r="375" ht="30" customHeight="1">
      <c r="A375" s="4" t="n">
        <v>374</v>
      </c>
      <c r="B375" s="4" t="inlineStr">
        <is>
          <t>MTR-IOS-0374</t>
        </is>
      </c>
      <c r="C375" s="4" t="inlineStr">
        <is>
          <t>Group</t>
        </is>
      </c>
      <c r="D375" s="4" t="inlineStr">
        <is>
          <t>Shared Experience</t>
        </is>
      </c>
      <c r="E375" s="4" t="inlineStr">
        <is>
          <t>Wedding</t>
        </is>
      </c>
      <c r="F375" s="4" t="inlineStr">
        <is>
          <t>Catering</t>
        </is>
      </c>
      <c r="G375" s="4" t="inlineStr">
        <is>
          <t>Expense</t>
        </is>
      </c>
      <c r="H375" s="12" t="n">
        <v>45965</v>
      </c>
      <c r="I375" s="13" t="n">
        <v>0.06282407407407407</v>
      </c>
      <c r="J375" s="14" t="n">
        <v>45965.06282407408</v>
      </c>
      <c r="K375" s="15" t="n">
        <v>13875.58</v>
      </c>
      <c r="L375" s="4" t="inlineStr">
        <is>
          <t>INR</t>
        </is>
      </c>
      <c r="M375" s="15" t="n">
        <v>-13875.58</v>
      </c>
      <c r="N375" s="4" t="inlineStr">
        <is>
          <t>IOS Aarav</t>
        </is>
      </c>
      <c r="O375" s="4" t="n">
        <v>3</v>
      </c>
      <c r="P375" s="4" t="inlineStr">
        <is>
          <t>EQUAL</t>
        </is>
      </c>
      <c r="Q375" s="4" t="inlineStr">
        <is>
          <t>MAESTRO-IOS-GROUP-WEDDING-0374 | Catering | 13875.58</t>
        </is>
      </c>
      <c r="R375" s="4" t="inlineStr">
        <is>
          <t>iPhone</t>
        </is>
      </c>
      <c r="S375" s="4" t="inlineStr">
        <is>
          <t>B08</t>
        </is>
      </c>
      <c r="T375" s="4" t="inlineStr">
        <is>
          <t>BASELINE_1_500</t>
        </is>
      </c>
      <c r="U375" s="4" t="inlineStr">
        <is>
          <t>CREATED</t>
        </is>
      </c>
      <c r="V375" s="4" t="inlineStr">
        <is>
          <t>idem-20260902-ios-0374</t>
        </is>
      </c>
    </row>
    <row r="376" ht="30" customHeight="1">
      <c r="A376" s="4" t="n">
        <v>375</v>
      </c>
      <c r="B376" s="4" t="inlineStr">
        <is>
          <t>MTR-IOS-0375</t>
        </is>
      </c>
      <c r="C376" s="4" t="inlineStr">
        <is>
          <t>Business</t>
        </is>
      </c>
      <c r="D376" s="4" t="inlineStr">
        <is>
          <t>Business</t>
        </is>
      </c>
      <c r="E376" s="4" t="inlineStr">
        <is>
          <t>Business Operations</t>
        </is>
      </c>
      <c r="F376" s="4" t="inlineStr">
        <is>
          <t>Vendor</t>
        </is>
      </c>
      <c r="G376" s="4" t="inlineStr">
        <is>
          <t>Expense</t>
        </is>
      </c>
      <c r="H376" s="12" t="n">
        <v>46091</v>
      </c>
      <c r="I376" s="13" t="n">
        <v>0.7792592592592592</v>
      </c>
      <c r="J376" s="14" t="n">
        <v>46091.77925925926</v>
      </c>
      <c r="K376" s="15" t="n">
        <v>138576.85</v>
      </c>
      <c r="L376" s="4" t="inlineStr">
        <is>
          <t>INR</t>
        </is>
      </c>
      <c r="M376" s="15" t="n">
        <v>-138576.85</v>
      </c>
      <c r="N376" s="4" t="inlineStr">
        <is>
          <t>IOS Owner</t>
        </is>
      </c>
      <c r="O376" s="4" t="n"/>
      <c r="P376" s="4" t="n"/>
      <c r="Q376" s="4" t="inlineStr">
        <is>
          <t>MAESTRO-IOS-BUSINESS-BUSINESS_OPERATIONS-0375 | Vendor | 138576.85</t>
        </is>
      </c>
      <c r="R376" s="4" t="inlineStr">
        <is>
          <t>iPhone</t>
        </is>
      </c>
      <c r="S376" s="4" t="inlineStr">
        <is>
          <t>B08</t>
        </is>
      </c>
      <c r="T376" s="4" t="inlineStr">
        <is>
          <t>BASELINE_1_500</t>
        </is>
      </c>
      <c r="U376" s="4" t="inlineStr">
        <is>
          <t>CREATED</t>
        </is>
      </c>
      <c r="V376" s="4" t="inlineStr">
        <is>
          <t>idem-20260902-ios-0375</t>
        </is>
      </c>
    </row>
    <row r="377" ht="30" customHeight="1">
      <c r="A377" s="4" t="n">
        <v>376</v>
      </c>
      <c r="B377" s="4" t="inlineStr">
        <is>
          <t>MTR-IOS-0376</t>
        </is>
      </c>
      <c r="C377" s="4" t="inlineStr">
        <is>
          <t>Personal</t>
        </is>
      </c>
      <c r="D377" s="4" t="inlineStr">
        <is>
          <t>Personal</t>
        </is>
      </c>
      <c r="E377" s="4" t="inlineStr">
        <is>
          <t>Future Building</t>
        </is>
      </c>
      <c r="F377" s="4" t="inlineStr">
        <is>
          <t>Education</t>
        </is>
      </c>
      <c r="G377" s="4" t="inlineStr">
        <is>
          <t>Expense</t>
        </is>
      </c>
      <c r="H377" s="12" t="n">
        <v>46115</v>
      </c>
      <c r="I377" s="13" t="n">
        <v>0.1362731481481481</v>
      </c>
      <c r="J377" s="14" t="n">
        <v>46115.13627314815</v>
      </c>
      <c r="K377" s="15" t="n">
        <v>7552.41</v>
      </c>
      <c r="L377" s="4" t="inlineStr">
        <is>
          <t>INR</t>
        </is>
      </c>
      <c r="M377" s="15" t="n">
        <v>-7552.41</v>
      </c>
      <c r="N377" s="4" t="inlineStr">
        <is>
          <t>IOS Owner</t>
        </is>
      </c>
      <c r="O377" s="4" t="n"/>
      <c r="P377" s="4" t="n"/>
      <c r="Q377" s="4" t="inlineStr">
        <is>
          <t>MAESTRO-IOS-PERSONAL-FUTURE_BUILDING-0376 | Education | 7552.41</t>
        </is>
      </c>
      <c r="R377" s="4" t="inlineStr">
        <is>
          <t>iPhone</t>
        </is>
      </c>
      <c r="S377" s="4" t="inlineStr">
        <is>
          <t>B08</t>
        </is>
      </c>
      <c r="T377" s="4" t="inlineStr">
        <is>
          <t>BASELINE_1_500</t>
        </is>
      </c>
      <c r="U377" s="4" t="inlineStr">
        <is>
          <t>CREATED</t>
        </is>
      </c>
      <c r="V377" s="4" t="inlineStr">
        <is>
          <t>idem-20260902-ios-0376</t>
        </is>
      </c>
    </row>
    <row r="378" ht="30" customHeight="1">
      <c r="A378" s="4" t="n">
        <v>377</v>
      </c>
      <c r="B378" s="4" t="inlineStr">
        <is>
          <t>MTR-IOS-0377</t>
        </is>
      </c>
      <c r="C378" s="4" t="inlineStr">
        <is>
          <t>Group</t>
        </is>
      </c>
      <c r="D378" s="4" t="inlineStr">
        <is>
          <t>Shared Experience</t>
        </is>
      </c>
      <c r="E378" s="4" t="inlineStr">
        <is>
          <t>Wedding</t>
        </is>
      </c>
      <c r="F378" s="4" t="inlineStr">
        <is>
          <t>Decor</t>
        </is>
      </c>
      <c r="G378" s="4" t="inlineStr">
        <is>
          <t>Expense</t>
        </is>
      </c>
      <c r="H378" s="12" t="n">
        <v>45945</v>
      </c>
      <c r="I378" s="13" t="n">
        <v>0.8657986111111111</v>
      </c>
      <c r="J378" s="14" t="n">
        <v>45945.86579861111</v>
      </c>
      <c r="K378" s="15" t="n">
        <v>24743.93</v>
      </c>
      <c r="L378" s="4" t="inlineStr">
        <is>
          <t>INR</t>
        </is>
      </c>
      <c r="M378" s="15" t="n">
        <v>-24743.93</v>
      </c>
      <c r="N378" s="4" t="inlineStr">
        <is>
          <t>IOS Meera</t>
        </is>
      </c>
      <c r="O378" s="4" t="n">
        <v>3</v>
      </c>
      <c r="P378" s="4" t="inlineStr">
        <is>
          <t>PERCENTAGE</t>
        </is>
      </c>
      <c r="Q378" s="4" t="inlineStr">
        <is>
          <t>MAESTRO-IOS-GROUP-WEDDING-0377 | Decor | 24743.93</t>
        </is>
      </c>
      <c r="R378" s="4" t="inlineStr">
        <is>
          <t>iPhone</t>
        </is>
      </c>
      <c r="S378" s="4" t="inlineStr">
        <is>
          <t>B08</t>
        </is>
      </c>
      <c r="T378" s="4" t="inlineStr">
        <is>
          <t>BASELINE_1_500</t>
        </is>
      </c>
      <c r="U378" s="4" t="inlineStr">
        <is>
          <t>CREATED</t>
        </is>
      </c>
      <c r="V378" s="4" t="inlineStr">
        <is>
          <t>idem-20260902-ios-0377</t>
        </is>
      </c>
    </row>
    <row r="379" ht="30" customHeight="1">
      <c r="A379" s="4" t="n">
        <v>378</v>
      </c>
      <c r="B379" s="4" t="inlineStr">
        <is>
          <t>MTR-IOS-0378</t>
        </is>
      </c>
      <c r="C379" s="4" t="inlineStr">
        <is>
          <t>Business</t>
        </is>
      </c>
      <c r="D379" s="4" t="inlineStr">
        <is>
          <t>Business</t>
        </is>
      </c>
      <c r="E379" s="4" t="inlineStr">
        <is>
          <t>Business Operations</t>
        </is>
      </c>
      <c r="F379" s="4" t="inlineStr">
        <is>
          <t>Tax</t>
        </is>
      </c>
      <c r="G379" s="4" t="inlineStr">
        <is>
          <t>Expense</t>
        </is>
      </c>
      <c r="H379" s="12" t="n">
        <v>46044</v>
      </c>
      <c r="I379" s="13" t="n">
        <v>0.8100115740740741</v>
      </c>
      <c r="J379" s="14" t="n">
        <v>46044.81001157407</v>
      </c>
      <c r="K379" s="15" t="n">
        <v>4327.32</v>
      </c>
      <c r="L379" s="4" t="inlineStr">
        <is>
          <t>INR</t>
        </is>
      </c>
      <c r="M379" s="15" t="n">
        <v>-4327.32</v>
      </c>
      <c r="N379" s="4" t="inlineStr">
        <is>
          <t>IOS Owner</t>
        </is>
      </c>
      <c r="O379" s="4" t="n"/>
      <c r="P379" s="4" t="n"/>
      <c r="Q379" s="4" t="inlineStr">
        <is>
          <t>MAESTRO-IOS-BUSINESS-BUSINESS_OPERATIONS-0378 | Tax | 4327.32</t>
        </is>
      </c>
      <c r="R379" s="4" t="inlineStr">
        <is>
          <t>iPhone</t>
        </is>
      </c>
      <c r="S379" s="4" t="inlineStr">
        <is>
          <t>B08</t>
        </is>
      </c>
      <c r="T379" s="4" t="inlineStr">
        <is>
          <t>BASELINE_1_500</t>
        </is>
      </c>
      <c r="U379" s="4" t="inlineStr">
        <is>
          <t>CREATED</t>
        </is>
      </c>
      <c r="V379" s="4" t="inlineStr">
        <is>
          <t>idem-20260902-ios-0378</t>
        </is>
      </c>
    </row>
    <row r="380" ht="30" customHeight="1">
      <c r="A380" s="4" t="n">
        <v>379</v>
      </c>
      <c r="B380" s="4" t="inlineStr">
        <is>
          <t>MTR-IOS-0379</t>
        </is>
      </c>
      <c r="C380" s="4" t="inlineStr">
        <is>
          <t>Personal</t>
        </is>
      </c>
      <c r="D380" s="4" t="inlineStr">
        <is>
          <t>Personal</t>
        </is>
      </c>
      <c r="E380" s="4" t="inlineStr">
        <is>
          <t>Future Building</t>
        </is>
      </c>
      <c r="F380" s="4" t="inlineStr">
        <is>
          <t>Goal Contribution</t>
        </is>
      </c>
      <c r="G380" s="4" t="inlineStr">
        <is>
          <t>Transfer</t>
        </is>
      </c>
      <c r="H380" s="12" t="n">
        <v>46210</v>
      </c>
      <c r="I380" s="13" t="n">
        <v>0.8734259259259259</v>
      </c>
      <c r="J380" s="14" t="n">
        <v>46210.87342592593</v>
      </c>
      <c r="K380" s="15" t="n">
        <v>6526.54</v>
      </c>
      <c r="L380" s="4" t="inlineStr">
        <is>
          <t>INR</t>
        </is>
      </c>
      <c r="M380" s="15" t="n">
        <v>0</v>
      </c>
      <c r="N380" s="4" t="inlineStr">
        <is>
          <t>IOS Owner</t>
        </is>
      </c>
      <c r="O380" s="4" t="n"/>
      <c r="P380" s="4" t="n"/>
      <c r="Q380" s="4" t="inlineStr">
        <is>
          <t>MAESTRO-IOS-PERSONAL-FUTURE_BUILDING-0379 | Goal Contribution | 6526.54</t>
        </is>
      </c>
      <c r="R380" s="4" t="inlineStr">
        <is>
          <t>iPhone</t>
        </is>
      </c>
      <c r="S380" s="4" t="inlineStr">
        <is>
          <t>B08</t>
        </is>
      </c>
      <c r="T380" s="4" t="inlineStr">
        <is>
          <t>BASELINE_1_500</t>
        </is>
      </c>
      <c r="U380" s="4" t="inlineStr">
        <is>
          <t>CREATED</t>
        </is>
      </c>
      <c r="V380" s="4" t="inlineStr">
        <is>
          <t>idem-20260902-ios-0379</t>
        </is>
      </c>
    </row>
    <row r="381" ht="30" customHeight="1">
      <c r="A381" s="4" t="n">
        <v>380</v>
      </c>
      <c r="B381" s="4" t="inlineStr">
        <is>
          <t>MTR-IOS-0380</t>
        </is>
      </c>
      <c r="C381" s="4" t="inlineStr">
        <is>
          <t>Group</t>
        </is>
      </c>
      <c r="D381" s="4" t="inlineStr">
        <is>
          <t>Shared Experience</t>
        </is>
      </c>
      <c r="E381" s="4" t="inlineStr">
        <is>
          <t>Wedding</t>
        </is>
      </c>
      <c r="F381" s="4" t="inlineStr">
        <is>
          <t>Travel</t>
        </is>
      </c>
      <c r="G381" s="4" t="inlineStr">
        <is>
          <t>Expense</t>
        </is>
      </c>
      <c r="H381" s="12" t="n">
        <v>45960</v>
      </c>
      <c r="I381" s="13" t="n">
        <v>0.1465162037037037</v>
      </c>
      <c r="J381" s="14" t="n">
        <v>45960.14651620371</v>
      </c>
      <c r="K381" s="15" t="n">
        <v>9606.290000000001</v>
      </c>
      <c r="L381" s="4" t="inlineStr">
        <is>
          <t>INR</t>
        </is>
      </c>
      <c r="M381" s="15" t="n">
        <v>-9606.290000000001</v>
      </c>
      <c r="N381" s="4" t="inlineStr">
        <is>
          <t>IOS Owner</t>
        </is>
      </c>
      <c r="O381" s="4" t="n">
        <v>3</v>
      </c>
      <c r="P381" s="4" t="inlineStr">
        <is>
          <t>EXACT</t>
        </is>
      </c>
      <c r="Q381" s="4" t="inlineStr">
        <is>
          <t>MAESTRO-IOS-GROUP-WEDDING-0380 | Travel | 9606.29</t>
        </is>
      </c>
      <c r="R381" s="4" t="inlineStr">
        <is>
          <t>iPhone</t>
        </is>
      </c>
      <c r="S381" s="4" t="inlineStr">
        <is>
          <t>B08</t>
        </is>
      </c>
      <c r="T381" s="4" t="inlineStr">
        <is>
          <t>BASELINE_1_500</t>
        </is>
      </c>
      <c r="U381" s="4" t="inlineStr">
        <is>
          <t>CREATED</t>
        </is>
      </c>
      <c r="V381" s="4" t="inlineStr">
        <is>
          <t>idem-20260902-ios-0380</t>
        </is>
      </c>
    </row>
    <row r="382" ht="30" customHeight="1">
      <c r="A382" s="4" t="n">
        <v>381</v>
      </c>
      <c r="B382" s="4" t="inlineStr">
        <is>
          <t>MTR-IOS-0381</t>
        </is>
      </c>
      <c r="C382" s="4" t="inlineStr">
        <is>
          <t>Business</t>
        </is>
      </c>
      <c r="D382" s="4" t="inlineStr">
        <is>
          <t>Business</t>
        </is>
      </c>
      <c r="E382" s="4" t="inlineStr">
        <is>
          <t>Team Operations</t>
        </is>
      </c>
      <c r="F382" s="4" t="inlineStr">
        <is>
          <t>Payroll</t>
        </is>
      </c>
      <c r="G382" s="4" t="inlineStr">
        <is>
          <t>Expense</t>
        </is>
      </c>
      <c r="H382" s="12" t="n">
        <v>46029</v>
      </c>
      <c r="I382" s="13" t="n">
        <v>0.3346412037037037</v>
      </c>
      <c r="J382" s="14" t="n">
        <v>46029.33464120371</v>
      </c>
      <c r="K382" s="15" t="n">
        <v>19541.06</v>
      </c>
      <c r="L382" s="4" t="inlineStr">
        <is>
          <t>INR</t>
        </is>
      </c>
      <c r="M382" s="15" t="n">
        <v>-19541.06</v>
      </c>
      <c r="N382" s="4" t="inlineStr">
        <is>
          <t>IOS Owner</t>
        </is>
      </c>
      <c r="O382" s="4" t="n"/>
      <c r="P382" s="4" t="n"/>
      <c r="Q382" s="4" t="inlineStr">
        <is>
          <t>MAESTRO-IOS-BUSINESS-TEAM_OPERATIONS-0381 | Payroll | 19541.06</t>
        </is>
      </c>
      <c r="R382" s="4" t="inlineStr">
        <is>
          <t>iPhone</t>
        </is>
      </c>
      <c r="S382" s="4" t="inlineStr">
        <is>
          <t>B08</t>
        </is>
      </c>
      <c r="T382" s="4" t="inlineStr">
        <is>
          <t>BASELINE_1_500</t>
        </is>
      </c>
      <c r="U382" s="4" t="inlineStr">
        <is>
          <t>CREATED</t>
        </is>
      </c>
      <c r="V382" s="4" t="inlineStr">
        <is>
          <t>idem-20260902-ios-0381</t>
        </is>
      </c>
    </row>
    <row r="383" ht="30" customHeight="1">
      <c r="A383" s="4" t="n">
        <v>382</v>
      </c>
      <c r="B383" s="4" t="inlineStr">
        <is>
          <t>MTR-IOS-0382</t>
        </is>
      </c>
      <c r="C383" s="4" t="inlineStr">
        <is>
          <t>Personal</t>
        </is>
      </c>
      <c r="D383" s="4" t="inlineStr">
        <is>
          <t>Personal</t>
        </is>
      </c>
      <c r="E383" s="4" t="inlineStr">
        <is>
          <t>Lifestyle</t>
        </is>
      </c>
      <c r="F383" s="4" t="inlineStr">
        <is>
          <t>Dining</t>
        </is>
      </c>
      <c r="G383" s="4" t="inlineStr">
        <is>
          <t>Expense</t>
        </is>
      </c>
      <c r="H383" s="12" t="n">
        <v>46094</v>
      </c>
      <c r="I383" s="13" t="n">
        <v>0.4137152777777778</v>
      </c>
      <c r="J383" s="14" t="n">
        <v>46094.41371527778</v>
      </c>
      <c r="K383" s="15" t="n">
        <v>3453.89</v>
      </c>
      <c r="L383" s="4" t="inlineStr">
        <is>
          <t>INR</t>
        </is>
      </c>
      <c r="M383" s="15" t="n">
        <v>-3453.89</v>
      </c>
      <c r="N383" s="4" t="inlineStr">
        <is>
          <t>IOS Owner</t>
        </is>
      </c>
      <c r="O383" s="4" t="n"/>
      <c r="P383" s="4" t="n"/>
      <c r="Q383" s="4" t="inlineStr">
        <is>
          <t>MAESTRO-IOS-PERSONAL-LIFESTYLE-0382 | Dining | 3453.89</t>
        </is>
      </c>
      <c r="R383" s="4" t="inlineStr">
        <is>
          <t>iPhone</t>
        </is>
      </c>
      <c r="S383" s="4" t="inlineStr">
        <is>
          <t>B08</t>
        </is>
      </c>
      <c r="T383" s="4" t="inlineStr">
        <is>
          <t>BASELINE_1_500</t>
        </is>
      </c>
      <c r="U383" s="4" t="inlineStr">
        <is>
          <t>CREATED</t>
        </is>
      </c>
      <c r="V383" s="4" t="inlineStr">
        <is>
          <t>idem-20260902-ios-0382</t>
        </is>
      </c>
    </row>
    <row r="384" ht="30" customHeight="1">
      <c r="A384" s="4" t="n">
        <v>383</v>
      </c>
      <c r="B384" s="4" t="inlineStr">
        <is>
          <t>MTR-IOS-0383</t>
        </is>
      </c>
      <c r="C384" s="4" t="inlineStr">
        <is>
          <t>Group</t>
        </is>
      </c>
      <c r="D384" s="4" t="inlineStr">
        <is>
          <t>Shared Experience</t>
        </is>
      </c>
      <c r="E384" s="4" t="inlineStr">
        <is>
          <t>Wedding</t>
        </is>
      </c>
      <c r="F384" s="4" t="inlineStr">
        <is>
          <t>Gifts</t>
        </is>
      </c>
      <c r="G384" s="4" t="inlineStr">
        <is>
          <t>Expense</t>
        </is>
      </c>
      <c r="H384" s="12" t="n">
        <v>46098</v>
      </c>
      <c r="I384" s="13" t="n">
        <v>0.09662037037037037</v>
      </c>
      <c r="J384" s="14" t="n">
        <v>46098.09662037037</v>
      </c>
      <c r="K384" s="15" t="n">
        <v>10181.97</v>
      </c>
      <c r="L384" s="4" t="inlineStr">
        <is>
          <t>INR</t>
        </is>
      </c>
      <c r="M384" s="15" t="n">
        <v>-10181.97</v>
      </c>
      <c r="N384" s="4" t="inlineStr">
        <is>
          <t>IOS Aarav</t>
        </is>
      </c>
      <c r="O384" s="4" t="n">
        <v>3</v>
      </c>
      <c r="P384" s="4" t="inlineStr">
        <is>
          <t>SHARES</t>
        </is>
      </c>
      <c r="Q384" s="4" t="inlineStr">
        <is>
          <t>MAESTRO-IOS-GROUP-WEDDING-0383 | Gifts | 10181.97</t>
        </is>
      </c>
      <c r="R384" s="4" t="inlineStr">
        <is>
          <t>iPhone</t>
        </is>
      </c>
      <c r="S384" s="4" t="inlineStr">
        <is>
          <t>B08</t>
        </is>
      </c>
      <c r="T384" s="4" t="inlineStr">
        <is>
          <t>BASELINE_1_500</t>
        </is>
      </c>
      <c r="U384" s="4" t="inlineStr">
        <is>
          <t>CREATED</t>
        </is>
      </c>
      <c r="V384" s="4" t="inlineStr">
        <is>
          <t>idem-20260902-ios-0383</t>
        </is>
      </c>
    </row>
    <row r="385" ht="30" customHeight="1">
      <c r="A385" s="4" t="n">
        <v>384</v>
      </c>
      <c r="B385" s="4" t="inlineStr">
        <is>
          <t>MTR-IOS-0384</t>
        </is>
      </c>
      <c r="C385" s="4" t="inlineStr">
        <is>
          <t>Business</t>
        </is>
      </c>
      <c r="D385" s="4" t="inlineStr">
        <is>
          <t>Business</t>
        </is>
      </c>
      <c r="E385" s="4" t="inlineStr">
        <is>
          <t>Team Operations</t>
        </is>
      </c>
      <c r="F385" s="4" t="inlineStr">
        <is>
          <t>Contractor</t>
        </is>
      </c>
      <c r="G385" s="4" t="inlineStr">
        <is>
          <t>Expense</t>
        </is>
      </c>
      <c r="H385" s="12" t="n">
        <v>46051</v>
      </c>
      <c r="I385" s="13" t="n">
        <v>0.9324189814814815</v>
      </c>
      <c r="J385" s="14" t="n">
        <v>46051.93241898148</v>
      </c>
      <c r="K385" s="15" t="n">
        <v>96904.12</v>
      </c>
      <c r="L385" s="4" t="inlineStr">
        <is>
          <t>INR</t>
        </is>
      </c>
      <c r="M385" s="15" t="n">
        <v>-96904.12</v>
      </c>
      <c r="N385" s="4" t="inlineStr">
        <is>
          <t>IOS Owner</t>
        </is>
      </c>
      <c r="O385" s="4" t="n"/>
      <c r="P385" s="4" t="n"/>
      <c r="Q385" s="4" t="inlineStr">
        <is>
          <t>MAESTRO-IOS-BUSINESS-TEAM_OPERATIONS-0384 | Contractor | 96904.12</t>
        </is>
      </c>
      <c r="R385" s="4" t="inlineStr">
        <is>
          <t>iPhone</t>
        </is>
      </c>
      <c r="S385" s="4" t="inlineStr">
        <is>
          <t>B08</t>
        </is>
      </c>
      <c r="T385" s="4" t="inlineStr">
        <is>
          <t>BASELINE_1_500</t>
        </is>
      </c>
      <c r="U385" s="4" t="inlineStr">
        <is>
          <t>CREATED</t>
        </is>
      </c>
      <c r="V385" s="4" t="inlineStr">
        <is>
          <t>idem-20260902-ios-0384</t>
        </is>
      </c>
    </row>
    <row r="386" ht="30" customHeight="1">
      <c r="A386" s="4" t="n">
        <v>385</v>
      </c>
      <c r="B386" s="4" t="inlineStr">
        <is>
          <t>MTR-IOS-0385</t>
        </is>
      </c>
      <c r="C386" s="4" t="inlineStr">
        <is>
          <t>Personal</t>
        </is>
      </c>
      <c r="D386" s="4" t="inlineStr">
        <is>
          <t>Personal</t>
        </is>
      </c>
      <c r="E386" s="4" t="inlineStr">
        <is>
          <t>Lifestyle</t>
        </is>
      </c>
      <c r="F386" s="4" t="inlineStr">
        <is>
          <t>Shopping</t>
        </is>
      </c>
      <c r="G386" s="4" t="inlineStr">
        <is>
          <t>Expense</t>
        </is>
      </c>
      <c r="H386" s="12" t="n">
        <v>46004</v>
      </c>
      <c r="I386" s="13" t="n">
        <v>0.3005555555555556</v>
      </c>
      <c r="J386" s="14" t="n">
        <v>46004.30055555556</v>
      </c>
      <c r="K386" s="15" t="n">
        <v>17007.58</v>
      </c>
      <c r="L386" s="4" t="inlineStr">
        <is>
          <t>INR</t>
        </is>
      </c>
      <c r="M386" s="15" t="n">
        <v>-17007.58</v>
      </c>
      <c r="N386" s="4" t="inlineStr">
        <is>
          <t>IOS Owner</t>
        </is>
      </c>
      <c r="O386" s="4" t="n"/>
      <c r="P386" s="4" t="n"/>
      <c r="Q386" s="4" t="inlineStr">
        <is>
          <t>MAESTRO-IOS-PERSONAL-LIFESTYLE-0385 | Shopping | 17007.58</t>
        </is>
      </c>
      <c r="R386" s="4" t="inlineStr">
        <is>
          <t>iPhone</t>
        </is>
      </c>
      <c r="S386" s="4" t="inlineStr">
        <is>
          <t>B08</t>
        </is>
      </c>
      <c r="T386" s="4" t="inlineStr">
        <is>
          <t>BASELINE_1_500</t>
        </is>
      </c>
      <c r="U386" s="4" t="inlineStr">
        <is>
          <t>CREATED</t>
        </is>
      </c>
      <c r="V386" s="4" t="inlineStr">
        <is>
          <t>idem-20260902-ios-0385</t>
        </is>
      </c>
    </row>
    <row r="387" ht="30" customHeight="1">
      <c r="A387" s="4" t="n">
        <v>386</v>
      </c>
      <c r="B387" s="4" t="inlineStr">
        <is>
          <t>MTR-IOS-0386</t>
        </is>
      </c>
      <c r="C387" s="4" t="inlineStr">
        <is>
          <t>Group</t>
        </is>
      </c>
      <c r="D387" s="4" t="inlineStr">
        <is>
          <t>Shared Experience</t>
        </is>
      </c>
      <c r="E387" s="4" t="inlineStr">
        <is>
          <t>Wedding</t>
        </is>
      </c>
      <c r="F387" s="4" t="inlineStr">
        <is>
          <t>Photography</t>
        </is>
      </c>
      <c r="G387" s="4" t="inlineStr">
        <is>
          <t>Expense</t>
        </is>
      </c>
      <c r="H387" s="12" t="n">
        <v>46263</v>
      </c>
      <c r="I387" s="13" t="n">
        <v>0.7398726851851852</v>
      </c>
      <c r="J387" s="14" t="n">
        <v>46263.73987268518</v>
      </c>
      <c r="K387" s="15" t="n">
        <v>8068.47</v>
      </c>
      <c r="L387" s="4" t="inlineStr">
        <is>
          <t>INR</t>
        </is>
      </c>
      <c r="M387" s="15" t="n">
        <v>-8068.47</v>
      </c>
      <c r="N387" s="4" t="inlineStr">
        <is>
          <t>IOS Meera</t>
        </is>
      </c>
      <c r="O387" s="4" t="n">
        <v>3</v>
      </c>
      <c r="P387" s="4" t="inlineStr">
        <is>
          <t>EQUAL</t>
        </is>
      </c>
      <c r="Q387" s="4" t="inlineStr">
        <is>
          <t>MAESTRO-IOS-GROUP-WEDDING-0386 | Photography | 8068.47</t>
        </is>
      </c>
      <c r="R387" s="4" t="inlineStr">
        <is>
          <t>iPhone</t>
        </is>
      </c>
      <c r="S387" s="4" t="inlineStr">
        <is>
          <t>B08</t>
        </is>
      </c>
      <c r="T387" s="4" t="inlineStr">
        <is>
          <t>BASELINE_1_500</t>
        </is>
      </c>
      <c r="U387" s="4" t="inlineStr">
        <is>
          <t>CREATED</t>
        </is>
      </c>
      <c r="V387" s="4" t="inlineStr">
        <is>
          <t>idem-20260902-ios-0386</t>
        </is>
      </c>
    </row>
    <row r="388" ht="30" customHeight="1">
      <c r="A388" s="4" t="n">
        <v>387</v>
      </c>
      <c r="B388" s="4" t="inlineStr">
        <is>
          <t>MTR-IOS-0387</t>
        </is>
      </c>
      <c r="C388" s="4" t="inlineStr">
        <is>
          <t>Business</t>
        </is>
      </c>
      <c r="D388" s="4" t="inlineStr">
        <is>
          <t>Business</t>
        </is>
      </c>
      <c r="E388" s="4" t="inlineStr">
        <is>
          <t>Team Operations</t>
        </is>
      </c>
      <c r="F388" s="4" t="inlineStr">
        <is>
          <t>Hiring</t>
        </is>
      </c>
      <c r="G388" s="4" t="inlineStr">
        <is>
          <t>Expense</t>
        </is>
      </c>
      <c r="H388" s="12" t="n">
        <v>46232</v>
      </c>
      <c r="I388" s="13" t="n">
        <v>0.9072916666666667</v>
      </c>
      <c r="J388" s="14" t="n">
        <v>46232.90729166667</v>
      </c>
      <c r="K388" s="15" t="n">
        <v>27486.35</v>
      </c>
      <c r="L388" s="4" t="inlineStr">
        <is>
          <t>INR</t>
        </is>
      </c>
      <c r="M388" s="15" t="n">
        <v>-27486.35</v>
      </c>
      <c r="N388" s="4" t="inlineStr">
        <is>
          <t>IOS Owner</t>
        </is>
      </c>
      <c r="O388" s="4" t="n"/>
      <c r="P388" s="4" t="n"/>
      <c r="Q388" s="4" t="inlineStr">
        <is>
          <t>MAESTRO-IOS-BUSINESS-TEAM_OPERATIONS-0387 | Hiring | 27486.35</t>
        </is>
      </c>
      <c r="R388" s="4" t="inlineStr">
        <is>
          <t>iPhone</t>
        </is>
      </c>
      <c r="S388" s="4" t="inlineStr">
        <is>
          <t>B08</t>
        </is>
      </c>
      <c r="T388" s="4" t="inlineStr">
        <is>
          <t>BASELINE_1_500</t>
        </is>
      </c>
      <c r="U388" s="4" t="inlineStr">
        <is>
          <t>CREATED</t>
        </is>
      </c>
      <c r="V388" s="4" t="inlineStr">
        <is>
          <t>idem-20260902-ios-0387</t>
        </is>
      </c>
    </row>
    <row r="389" ht="30" customHeight="1">
      <c r="A389" s="4" t="n">
        <v>388</v>
      </c>
      <c r="B389" s="4" t="inlineStr">
        <is>
          <t>MTR-IOS-0388</t>
        </is>
      </c>
      <c r="C389" s="4" t="inlineStr">
        <is>
          <t>Personal</t>
        </is>
      </c>
      <c r="D389" s="4" t="inlineStr">
        <is>
          <t>Personal</t>
        </is>
      </c>
      <c r="E389" s="4" t="inlineStr">
        <is>
          <t>Lifestyle</t>
        </is>
      </c>
      <c r="F389" s="4" t="inlineStr">
        <is>
          <t>Entertainment</t>
        </is>
      </c>
      <c r="G389" s="4" t="inlineStr">
        <is>
          <t>Expense</t>
        </is>
      </c>
      <c r="H389" s="12" t="n">
        <v>45960</v>
      </c>
      <c r="I389" s="13" t="n">
        <v>0.7640740740740741</v>
      </c>
      <c r="J389" s="14" t="n">
        <v>45960.76407407408</v>
      </c>
      <c r="K389" s="15" t="n">
        <v>4242.81</v>
      </c>
      <c r="L389" s="4" t="inlineStr">
        <is>
          <t>INR</t>
        </is>
      </c>
      <c r="M389" s="15" t="n">
        <v>-4242.81</v>
      </c>
      <c r="N389" s="4" t="inlineStr">
        <is>
          <t>IOS Owner</t>
        </is>
      </c>
      <c r="O389" s="4" t="n"/>
      <c r="P389" s="4" t="n"/>
      <c r="Q389" s="4" t="inlineStr">
        <is>
          <t>MAESTRO-IOS-PERSONAL-LIFESTYLE-0388 | Entertainment | 4242.81</t>
        </is>
      </c>
      <c r="R389" s="4" t="inlineStr">
        <is>
          <t>iPhone</t>
        </is>
      </c>
      <c r="S389" s="4" t="inlineStr">
        <is>
          <t>B08</t>
        </is>
      </c>
      <c r="T389" s="4" t="inlineStr">
        <is>
          <t>BASELINE_1_500</t>
        </is>
      </c>
      <c r="U389" s="4" t="inlineStr">
        <is>
          <t>CREATED</t>
        </is>
      </c>
      <c r="V389" s="4" t="inlineStr">
        <is>
          <t>idem-20260902-ios-0388</t>
        </is>
      </c>
    </row>
    <row r="390" ht="30" customHeight="1">
      <c r="A390" s="4" t="n">
        <v>389</v>
      </c>
      <c r="B390" s="4" t="inlineStr">
        <is>
          <t>MTR-IOS-0389</t>
        </is>
      </c>
      <c r="C390" s="4" t="inlineStr">
        <is>
          <t>Group</t>
        </is>
      </c>
      <c r="D390" s="4" t="inlineStr">
        <is>
          <t>Shared Experience</t>
        </is>
      </c>
      <c r="E390" s="4" t="inlineStr">
        <is>
          <t>Wedding</t>
        </is>
      </c>
      <c r="F390" s="4" t="inlineStr">
        <is>
          <t>Other</t>
        </is>
      </c>
      <c r="G390" s="4" t="inlineStr">
        <is>
          <t>Expense</t>
        </is>
      </c>
      <c r="H390" s="12" t="n">
        <v>46156</v>
      </c>
      <c r="I390" s="13" t="n">
        <v>0.4404629629629629</v>
      </c>
      <c r="J390" s="14" t="n">
        <v>46156.44046296296</v>
      </c>
      <c r="K390" s="15" t="n">
        <v>19014.31</v>
      </c>
      <c r="L390" s="4" t="inlineStr">
        <is>
          <t>INR</t>
        </is>
      </c>
      <c r="M390" s="15" t="n">
        <v>-19014.31</v>
      </c>
      <c r="N390" s="4" t="inlineStr">
        <is>
          <t>IOS Owner</t>
        </is>
      </c>
      <c r="O390" s="4" t="n">
        <v>3</v>
      </c>
      <c r="P390" s="4" t="inlineStr">
        <is>
          <t>PERCENTAGE</t>
        </is>
      </c>
      <c r="Q390" s="4" t="inlineStr">
        <is>
          <t>MAESTRO-IOS-GROUP-WEDDING-0389 | Other | 19014.31</t>
        </is>
      </c>
      <c r="R390" s="4" t="inlineStr">
        <is>
          <t>iPhone</t>
        </is>
      </c>
      <c r="S390" s="4" t="inlineStr">
        <is>
          <t>B08</t>
        </is>
      </c>
      <c r="T390" s="4" t="inlineStr">
        <is>
          <t>BASELINE_1_500</t>
        </is>
      </c>
      <c r="U390" s="4" t="inlineStr">
        <is>
          <t>CREATED</t>
        </is>
      </c>
      <c r="V390" s="4" t="inlineStr">
        <is>
          <t>idem-20260902-ios-0389</t>
        </is>
      </c>
    </row>
    <row r="391" ht="30" customHeight="1">
      <c r="A391" s="4" t="n">
        <v>390</v>
      </c>
      <c r="B391" s="4" t="inlineStr">
        <is>
          <t>MTR-IOS-0390</t>
        </is>
      </c>
      <c r="C391" s="4" t="inlineStr">
        <is>
          <t>Business</t>
        </is>
      </c>
      <c r="D391" s="4" t="inlineStr">
        <is>
          <t>Business</t>
        </is>
      </c>
      <c r="E391" s="4" t="inlineStr">
        <is>
          <t>Team Operations</t>
        </is>
      </c>
      <c r="F391" s="4" t="inlineStr">
        <is>
          <t>Team Meal</t>
        </is>
      </c>
      <c r="G391" s="4" t="inlineStr">
        <is>
          <t>Expense</t>
        </is>
      </c>
      <c r="H391" s="12" t="n">
        <v>46148</v>
      </c>
      <c r="I391" s="13" t="n">
        <v>0.7692013888888889</v>
      </c>
      <c r="J391" s="14" t="n">
        <v>46148.76920138889</v>
      </c>
      <c r="K391" s="15" t="n">
        <v>129614.6</v>
      </c>
      <c r="L391" s="4" t="inlineStr">
        <is>
          <t>INR</t>
        </is>
      </c>
      <c r="M391" s="15" t="n">
        <v>-129614.6</v>
      </c>
      <c r="N391" s="4" t="inlineStr">
        <is>
          <t>IOS Owner</t>
        </is>
      </c>
      <c r="O391" s="4" t="n"/>
      <c r="P391" s="4" t="n"/>
      <c r="Q391" s="4" t="inlineStr">
        <is>
          <t>MAESTRO-IOS-BUSINESS-TEAM_OPERATIONS-0390 | Team Meal | 129614.60</t>
        </is>
      </c>
      <c r="R391" s="4" t="inlineStr">
        <is>
          <t>iPhone</t>
        </is>
      </c>
      <c r="S391" s="4" t="inlineStr">
        <is>
          <t>B08</t>
        </is>
      </c>
      <c r="T391" s="4" t="inlineStr">
        <is>
          <t>BASELINE_1_500</t>
        </is>
      </c>
      <c r="U391" s="4" t="inlineStr">
        <is>
          <t>CREATED</t>
        </is>
      </c>
      <c r="V391" s="4" t="inlineStr">
        <is>
          <t>idem-20260902-ios-0390</t>
        </is>
      </c>
    </row>
    <row r="392" ht="30" customHeight="1">
      <c r="A392" s="4" t="n">
        <v>391</v>
      </c>
      <c r="B392" s="4" t="inlineStr">
        <is>
          <t>MTR-IOS-0391</t>
        </is>
      </c>
      <c r="C392" s="4" t="inlineStr">
        <is>
          <t>Personal</t>
        </is>
      </c>
      <c r="D392" s="4" t="inlineStr">
        <is>
          <t>Personal</t>
        </is>
      </c>
      <c r="E392" s="4" t="inlineStr">
        <is>
          <t>Lifestyle</t>
        </is>
      </c>
      <c r="F392" s="4" t="inlineStr">
        <is>
          <t>Travel</t>
        </is>
      </c>
      <c r="G392" s="4" t="inlineStr">
        <is>
          <t>Expense</t>
        </is>
      </c>
      <c r="H392" s="12" t="n">
        <v>45911</v>
      </c>
      <c r="I392" s="13" t="n">
        <v>0.09534722222222222</v>
      </c>
      <c r="J392" s="14" t="n">
        <v>45911.09534722222</v>
      </c>
      <c r="K392" s="15" t="n">
        <v>4579.13</v>
      </c>
      <c r="L392" s="4" t="inlineStr">
        <is>
          <t>INR</t>
        </is>
      </c>
      <c r="M392" s="15" t="n">
        <v>-4579.13</v>
      </c>
      <c r="N392" s="4" t="inlineStr">
        <is>
          <t>IOS Owner</t>
        </is>
      </c>
      <c r="O392" s="4" t="n"/>
      <c r="P392" s="4" t="n"/>
      <c r="Q392" s="4" t="inlineStr">
        <is>
          <t>MAESTRO-IOS-PERSONAL-LIFESTYLE-0391 | Travel | 4579.13</t>
        </is>
      </c>
      <c r="R392" s="4" t="inlineStr">
        <is>
          <t>iPhone</t>
        </is>
      </c>
      <c r="S392" s="4" t="inlineStr">
        <is>
          <t>B08</t>
        </is>
      </c>
      <c r="T392" s="4" t="inlineStr">
        <is>
          <t>BASELINE_1_500</t>
        </is>
      </c>
      <c r="U392" s="4" t="inlineStr">
        <is>
          <t>CREATED</t>
        </is>
      </c>
      <c r="V392" s="4" t="inlineStr">
        <is>
          <t>idem-20260902-ios-0391</t>
        </is>
      </c>
    </row>
    <row r="393" ht="30" customHeight="1">
      <c r="A393" s="4" t="n">
        <v>392</v>
      </c>
      <c r="B393" s="4" t="inlineStr">
        <is>
          <t>MTR-IOS-0392</t>
        </is>
      </c>
      <c r="C393" s="4" t="inlineStr">
        <is>
          <t>Group</t>
        </is>
      </c>
      <c r="D393" s="4" t="inlineStr">
        <is>
          <t>Shared Experience</t>
        </is>
      </c>
      <c r="E393" s="4" t="inlineStr">
        <is>
          <t>Office Outing</t>
        </is>
      </c>
      <c r="F393" s="4" t="inlineStr">
        <is>
          <t>Food</t>
        </is>
      </c>
      <c r="G393" s="4" t="inlineStr">
        <is>
          <t>Expense</t>
        </is>
      </c>
      <c r="H393" s="12" t="n">
        <v>46149</v>
      </c>
      <c r="I393" s="13" t="n">
        <v>0.8398726851851852</v>
      </c>
      <c r="J393" s="14" t="n">
        <v>46149.83987268519</v>
      </c>
      <c r="K393" s="15" t="n">
        <v>12577.48</v>
      </c>
      <c r="L393" s="4" t="inlineStr">
        <is>
          <t>INR</t>
        </is>
      </c>
      <c r="M393" s="15" t="n">
        <v>-12577.48</v>
      </c>
      <c r="N393" s="4" t="inlineStr">
        <is>
          <t>IOS Aarav</t>
        </is>
      </c>
      <c r="O393" s="4" t="n">
        <v>3</v>
      </c>
      <c r="P393" s="4" t="inlineStr">
        <is>
          <t>EXACT</t>
        </is>
      </c>
      <c r="Q393" s="4" t="inlineStr">
        <is>
          <t>MAESTRO-IOS-GROUP-OFFICE_OUTING-0392 | Food | 12577.48</t>
        </is>
      </c>
      <c r="R393" s="4" t="inlineStr">
        <is>
          <t>iPhone</t>
        </is>
      </c>
      <c r="S393" s="4" t="inlineStr">
        <is>
          <t>B08</t>
        </is>
      </c>
      <c r="T393" s="4" t="inlineStr">
        <is>
          <t>BASELINE_1_500</t>
        </is>
      </c>
      <c r="U393" s="4" t="inlineStr">
        <is>
          <t>CREATED</t>
        </is>
      </c>
      <c r="V393" s="4" t="inlineStr">
        <is>
          <t>idem-20260902-ios-0392</t>
        </is>
      </c>
    </row>
    <row r="394" ht="30" customHeight="1">
      <c r="A394" s="4" t="n">
        <v>393</v>
      </c>
      <c r="B394" s="4" t="inlineStr">
        <is>
          <t>MTR-IOS-0393</t>
        </is>
      </c>
      <c r="C394" s="4" t="inlineStr">
        <is>
          <t>Business</t>
        </is>
      </c>
      <c r="D394" s="4" t="inlineStr">
        <is>
          <t>Business</t>
        </is>
      </c>
      <c r="E394" s="4" t="inlineStr">
        <is>
          <t>Team Operations</t>
        </is>
      </c>
      <c r="F394" s="4" t="inlineStr">
        <is>
          <t>Travel</t>
        </is>
      </c>
      <c r="G394" s="4" t="inlineStr">
        <is>
          <t>Expense</t>
        </is>
      </c>
      <c r="H394" s="12" t="n">
        <v>46174</v>
      </c>
      <c r="I394" s="13" t="n">
        <v>0.8280902777777778</v>
      </c>
      <c r="J394" s="14" t="n">
        <v>46174.82809027778</v>
      </c>
      <c r="K394" s="15" t="n">
        <v>65826.23</v>
      </c>
      <c r="L394" s="4" t="inlineStr">
        <is>
          <t>INR</t>
        </is>
      </c>
      <c r="M394" s="15" t="n">
        <v>-65826.23</v>
      </c>
      <c r="N394" s="4" t="inlineStr">
        <is>
          <t>IOS Owner</t>
        </is>
      </c>
      <c r="O394" s="4" t="n"/>
      <c r="P394" s="4" t="n"/>
      <c r="Q394" s="4" t="inlineStr">
        <is>
          <t>MAESTRO-IOS-BUSINESS-TEAM_OPERATIONS-0393 | Travel | 65826.23</t>
        </is>
      </c>
      <c r="R394" s="4" t="inlineStr">
        <is>
          <t>iPhone</t>
        </is>
      </c>
      <c r="S394" s="4" t="inlineStr">
        <is>
          <t>B08</t>
        </is>
      </c>
      <c r="T394" s="4" t="inlineStr">
        <is>
          <t>BASELINE_1_500</t>
        </is>
      </c>
      <c r="U394" s="4" t="inlineStr">
        <is>
          <t>CREATED</t>
        </is>
      </c>
      <c r="V394" s="4" t="inlineStr">
        <is>
          <t>idem-20260902-ios-0393</t>
        </is>
      </c>
    </row>
    <row r="395" ht="30" customHeight="1">
      <c r="A395" s="4" t="n">
        <v>394</v>
      </c>
      <c r="B395" s="4" t="inlineStr">
        <is>
          <t>MTR-IOS-0394</t>
        </is>
      </c>
      <c r="C395" s="4" t="inlineStr">
        <is>
          <t>Personal</t>
        </is>
      </c>
      <c r="D395" s="4" t="inlineStr">
        <is>
          <t>Personal</t>
        </is>
      </c>
      <c r="E395" s="4" t="inlineStr">
        <is>
          <t>Lifestyle</t>
        </is>
      </c>
      <c r="F395" s="4" t="inlineStr">
        <is>
          <t>Fitness</t>
        </is>
      </c>
      <c r="G395" s="4" t="inlineStr">
        <is>
          <t>Expense</t>
        </is>
      </c>
      <c r="H395" s="12" t="n">
        <v>46007</v>
      </c>
      <c r="I395" s="13" t="n">
        <v>0.1374884259259259</v>
      </c>
      <c r="J395" s="14" t="n">
        <v>46007.13748842593</v>
      </c>
      <c r="K395" s="15" t="n">
        <v>7218.02</v>
      </c>
      <c r="L395" s="4" t="inlineStr">
        <is>
          <t>INR</t>
        </is>
      </c>
      <c r="M395" s="15" t="n">
        <v>-7218.02</v>
      </c>
      <c r="N395" s="4" t="inlineStr">
        <is>
          <t>IOS Owner</t>
        </is>
      </c>
      <c r="O395" s="4" t="n"/>
      <c r="P395" s="4" t="n"/>
      <c r="Q395" s="4" t="inlineStr">
        <is>
          <t>MAESTRO-IOS-PERSONAL-LIFESTYLE-0394 | Fitness | 7218.02</t>
        </is>
      </c>
      <c r="R395" s="4" t="inlineStr">
        <is>
          <t>iPhone</t>
        </is>
      </c>
      <c r="S395" s="4" t="inlineStr">
        <is>
          <t>B08</t>
        </is>
      </c>
      <c r="T395" s="4" t="inlineStr">
        <is>
          <t>BASELINE_1_500</t>
        </is>
      </c>
      <c r="U395" s="4" t="inlineStr">
        <is>
          <t>CREATED</t>
        </is>
      </c>
      <c r="V395" s="4" t="inlineStr">
        <is>
          <t>idem-20260902-ios-0394</t>
        </is>
      </c>
    </row>
    <row r="396" ht="30" customHeight="1">
      <c r="A396" s="4" t="n">
        <v>395</v>
      </c>
      <c r="B396" s="4" t="inlineStr">
        <is>
          <t>MTR-IOS-0395</t>
        </is>
      </c>
      <c r="C396" s="4" t="inlineStr">
        <is>
          <t>Group</t>
        </is>
      </c>
      <c r="D396" s="4" t="inlineStr">
        <is>
          <t>Shared Experience</t>
        </is>
      </c>
      <c r="E396" s="4" t="inlineStr">
        <is>
          <t>Office Outing</t>
        </is>
      </c>
      <c r="F396" s="4" t="inlineStr">
        <is>
          <t>Travel</t>
        </is>
      </c>
      <c r="G396" s="4" t="inlineStr">
        <is>
          <t>Expense</t>
        </is>
      </c>
      <c r="H396" s="12" t="n">
        <v>46161</v>
      </c>
      <c r="I396" s="13" t="n">
        <v>0.8609027777777778</v>
      </c>
      <c r="J396" s="14" t="n">
        <v>46161.86090277778</v>
      </c>
      <c r="K396" s="15" t="n">
        <v>25683.24</v>
      </c>
      <c r="L396" s="4" t="inlineStr">
        <is>
          <t>INR</t>
        </is>
      </c>
      <c r="M396" s="15" t="n">
        <v>-25683.24</v>
      </c>
      <c r="N396" s="4" t="inlineStr">
        <is>
          <t>IOS Meera</t>
        </is>
      </c>
      <c r="O396" s="4" t="n">
        <v>3</v>
      </c>
      <c r="P396" s="4" t="inlineStr">
        <is>
          <t>SHARES</t>
        </is>
      </c>
      <c r="Q396" s="4" t="inlineStr">
        <is>
          <t>MAESTRO-IOS-GROUP-OFFICE_OUTING-0395 | Travel | 25683.24</t>
        </is>
      </c>
      <c r="R396" s="4" t="inlineStr">
        <is>
          <t>iPhone</t>
        </is>
      </c>
      <c r="S396" s="4" t="inlineStr">
        <is>
          <t>B08</t>
        </is>
      </c>
      <c r="T396" s="4" t="inlineStr">
        <is>
          <t>BASELINE_1_500</t>
        </is>
      </c>
      <c r="U396" s="4" t="inlineStr">
        <is>
          <t>CREATED</t>
        </is>
      </c>
      <c r="V396" s="4" t="inlineStr">
        <is>
          <t>idem-20260902-ios-0395</t>
        </is>
      </c>
    </row>
    <row r="397" ht="30" customHeight="1">
      <c r="A397" s="4" t="n">
        <v>396</v>
      </c>
      <c r="B397" s="4" t="inlineStr">
        <is>
          <t>MTR-IOS-0396</t>
        </is>
      </c>
      <c r="C397" s="4" t="inlineStr">
        <is>
          <t>Business</t>
        </is>
      </c>
      <c r="D397" s="4" t="inlineStr">
        <is>
          <t>Business</t>
        </is>
      </c>
      <c r="E397" s="4" t="inlineStr">
        <is>
          <t>Team Operations</t>
        </is>
      </c>
      <c r="F397" s="4" t="inlineStr">
        <is>
          <t>Training</t>
        </is>
      </c>
      <c r="G397" s="4" t="inlineStr">
        <is>
          <t>Expense</t>
        </is>
      </c>
      <c r="H397" s="12" t="n">
        <v>45988</v>
      </c>
      <c r="I397" s="13" t="n">
        <v>0.2428356481481481</v>
      </c>
      <c r="J397" s="14" t="n">
        <v>45988.24283564815</v>
      </c>
      <c r="K397" s="15" t="n">
        <v>28188.88</v>
      </c>
      <c r="L397" s="4" t="inlineStr">
        <is>
          <t>INR</t>
        </is>
      </c>
      <c r="M397" s="15" t="n">
        <v>-28188.88</v>
      </c>
      <c r="N397" s="4" t="inlineStr">
        <is>
          <t>IOS Owner</t>
        </is>
      </c>
      <c r="O397" s="4" t="n"/>
      <c r="P397" s="4" t="n"/>
      <c r="Q397" s="4" t="inlineStr">
        <is>
          <t>MAESTRO-IOS-BUSINESS-TEAM_OPERATIONS-0396 | Training | 28188.88</t>
        </is>
      </c>
      <c r="R397" s="4" t="inlineStr">
        <is>
          <t>iPhone</t>
        </is>
      </c>
      <c r="S397" s="4" t="inlineStr">
        <is>
          <t>B08</t>
        </is>
      </c>
      <c r="T397" s="4" t="inlineStr">
        <is>
          <t>BASELINE_1_500</t>
        </is>
      </c>
      <c r="U397" s="4" t="inlineStr">
        <is>
          <t>CREATED</t>
        </is>
      </c>
      <c r="V397" s="4" t="inlineStr">
        <is>
          <t>idem-20260902-ios-0396</t>
        </is>
      </c>
    </row>
    <row r="398" ht="30" customHeight="1">
      <c r="A398" s="4" t="n">
        <v>397</v>
      </c>
      <c r="B398" s="4" t="inlineStr">
        <is>
          <t>MTR-IOS-0397</t>
        </is>
      </c>
      <c r="C398" s="4" t="inlineStr">
        <is>
          <t>Personal</t>
        </is>
      </c>
      <c r="D398" s="4" t="inlineStr">
        <is>
          <t>Personal</t>
        </is>
      </c>
      <c r="E398" s="4" t="inlineStr">
        <is>
          <t>Lifestyle</t>
        </is>
      </c>
      <c r="F398" s="4" t="inlineStr">
        <is>
          <t>Hobbies</t>
        </is>
      </c>
      <c r="G398" s="4" t="inlineStr">
        <is>
          <t>Expense</t>
        </is>
      </c>
      <c r="H398" s="12" t="n">
        <v>46126</v>
      </c>
      <c r="I398" s="13" t="n">
        <v>0.4807523148148148</v>
      </c>
      <c r="J398" s="14" t="n">
        <v>46126.48075231481</v>
      </c>
      <c r="K398" s="15" t="n">
        <v>9642.32</v>
      </c>
      <c r="L398" s="4" t="inlineStr">
        <is>
          <t>INR</t>
        </is>
      </c>
      <c r="M398" s="15" t="n">
        <v>-9642.32</v>
      </c>
      <c r="N398" s="4" t="inlineStr">
        <is>
          <t>IOS Owner</t>
        </is>
      </c>
      <c r="O398" s="4" t="n"/>
      <c r="P398" s="4" t="n"/>
      <c r="Q398" s="4" t="inlineStr">
        <is>
          <t>MAESTRO-IOS-PERSONAL-LIFESTYLE-0397 | Hobbies | 9642.32</t>
        </is>
      </c>
      <c r="R398" s="4" t="inlineStr">
        <is>
          <t>iPhone</t>
        </is>
      </c>
      <c r="S398" s="4" t="inlineStr">
        <is>
          <t>B08</t>
        </is>
      </c>
      <c r="T398" s="4" t="inlineStr">
        <is>
          <t>BASELINE_1_500</t>
        </is>
      </c>
      <c r="U398" s="4" t="inlineStr">
        <is>
          <t>CREATED</t>
        </is>
      </c>
      <c r="V398" s="4" t="inlineStr">
        <is>
          <t>idem-20260902-ios-0397</t>
        </is>
      </c>
    </row>
    <row r="399" ht="30" customHeight="1">
      <c r="A399" s="4" t="n">
        <v>398</v>
      </c>
      <c r="B399" s="4" t="inlineStr">
        <is>
          <t>MTR-IOS-0398</t>
        </is>
      </c>
      <c r="C399" s="4" t="inlineStr">
        <is>
          <t>Group</t>
        </is>
      </c>
      <c r="D399" s="4" t="inlineStr">
        <is>
          <t>Shared Experience</t>
        </is>
      </c>
      <c r="E399" s="4" t="inlineStr">
        <is>
          <t>Office Outing</t>
        </is>
      </c>
      <c r="F399" s="4" t="inlineStr">
        <is>
          <t>Activities</t>
        </is>
      </c>
      <c r="G399" s="4" t="inlineStr">
        <is>
          <t>Expense</t>
        </is>
      </c>
      <c r="H399" s="12" t="n">
        <v>46079</v>
      </c>
      <c r="I399" s="13" t="n">
        <v>0.09184027777777778</v>
      </c>
      <c r="J399" s="14" t="n">
        <v>46079.09184027778</v>
      </c>
      <c r="K399" s="15" t="n">
        <v>13413.27</v>
      </c>
      <c r="L399" s="4" t="inlineStr">
        <is>
          <t>INR</t>
        </is>
      </c>
      <c r="M399" s="15" t="n">
        <v>-13413.27</v>
      </c>
      <c r="N399" s="4" t="inlineStr">
        <is>
          <t>IOS Owner</t>
        </is>
      </c>
      <c r="O399" s="4" t="n">
        <v>3</v>
      </c>
      <c r="P399" s="4" t="inlineStr">
        <is>
          <t>EQUAL</t>
        </is>
      </c>
      <c r="Q399" s="4" t="inlineStr">
        <is>
          <t>MAESTRO-IOS-GROUP-OFFICE_OUTING-0398 | Activities | 13413.27</t>
        </is>
      </c>
      <c r="R399" s="4" t="inlineStr">
        <is>
          <t>iPhone</t>
        </is>
      </c>
      <c r="S399" s="4" t="inlineStr">
        <is>
          <t>B08</t>
        </is>
      </c>
      <c r="T399" s="4" t="inlineStr">
        <is>
          <t>BASELINE_1_500</t>
        </is>
      </c>
      <c r="U399" s="4" t="inlineStr">
        <is>
          <t>CREATED</t>
        </is>
      </c>
      <c r="V399" s="4" t="inlineStr">
        <is>
          <t>idem-20260902-ios-0398</t>
        </is>
      </c>
    </row>
    <row r="400" ht="30" customHeight="1">
      <c r="A400" s="4" t="n">
        <v>399</v>
      </c>
      <c r="B400" s="4" t="inlineStr">
        <is>
          <t>MTR-IOS-0399</t>
        </is>
      </c>
      <c r="C400" s="4" t="inlineStr">
        <is>
          <t>Business</t>
        </is>
      </c>
      <c r="D400" s="4" t="inlineStr">
        <is>
          <t>Business</t>
        </is>
      </c>
      <c r="E400" s="4" t="inlineStr">
        <is>
          <t>Team Operations</t>
        </is>
      </c>
      <c r="F400" s="4" t="inlineStr">
        <is>
          <t>Tools</t>
        </is>
      </c>
      <c r="G400" s="4" t="inlineStr">
        <is>
          <t>Expense</t>
        </is>
      </c>
      <c r="H400" s="12" t="n">
        <v>46145</v>
      </c>
      <c r="I400" s="13" t="n">
        <v>0.4530439814814815</v>
      </c>
      <c r="J400" s="14" t="n">
        <v>46145.45304398148</v>
      </c>
      <c r="K400" s="15" t="n">
        <v>94057.88</v>
      </c>
      <c r="L400" s="4" t="inlineStr">
        <is>
          <t>INR</t>
        </is>
      </c>
      <c r="M400" s="15" t="n">
        <v>-94057.88</v>
      </c>
      <c r="N400" s="4" t="inlineStr">
        <is>
          <t>IOS Owner</t>
        </is>
      </c>
      <c r="O400" s="4" t="n"/>
      <c r="P400" s="4" t="n"/>
      <c r="Q400" s="4" t="inlineStr">
        <is>
          <t>MAESTRO-IOS-BUSINESS-TEAM_OPERATIONS-0399 | Tools | 94057.88</t>
        </is>
      </c>
      <c r="R400" s="4" t="inlineStr">
        <is>
          <t>iPhone</t>
        </is>
      </c>
      <c r="S400" s="4" t="inlineStr">
        <is>
          <t>B08</t>
        </is>
      </c>
      <c r="T400" s="4" t="inlineStr">
        <is>
          <t>BASELINE_1_500</t>
        </is>
      </c>
      <c r="U400" s="4" t="inlineStr">
        <is>
          <t>CREATED</t>
        </is>
      </c>
      <c r="V400" s="4" t="inlineStr">
        <is>
          <t>idem-20260902-ios-0399</t>
        </is>
      </c>
    </row>
    <row r="401" ht="30" customHeight="1">
      <c r="A401" s="4" t="n">
        <v>400</v>
      </c>
      <c r="B401" s="4" t="inlineStr">
        <is>
          <t>MTR-IOS-0400</t>
        </is>
      </c>
      <c r="C401" s="4" t="inlineStr">
        <is>
          <t>Personal</t>
        </is>
      </c>
      <c r="D401" s="4" t="inlineStr">
        <is>
          <t>Personal</t>
        </is>
      </c>
      <c r="E401" s="4" t="inlineStr">
        <is>
          <t>Relationships</t>
        </is>
      </c>
      <c r="F401" s="4" t="inlineStr">
        <is>
          <t>Gifts</t>
        </is>
      </c>
      <c r="G401" s="4" t="inlineStr">
        <is>
          <t>Expense</t>
        </is>
      </c>
      <c r="H401" s="12" t="n">
        <v>46082</v>
      </c>
      <c r="I401" s="13" t="n">
        <v>0.6808796296296297</v>
      </c>
      <c r="J401" s="14" t="n">
        <v>46082.68087962963</v>
      </c>
      <c r="K401" s="15" t="n">
        <v>549.86</v>
      </c>
      <c r="L401" s="4" t="inlineStr">
        <is>
          <t>INR</t>
        </is>
      </c>
      <c r="M401" s="15" t="n">
        <v>-549.86</v>
      </c>
      <c r="N401" s="4" t="inlineStr">
        <is>
          <t>IOS Owner</t>
        </is>
      </c>
      <c r="O401" s="4" t="n"/>
      <c r="P401" s="4" t="n"/>
      <c r="Q401" s="4" t="inlineStr">
        <is>
          <t>MAESTRO-IOS-PERSONAL-RELATIONSHIPS-0400 | Gifts | 549.86</t>
        </is>
      </c>
      <c r="R401" s="4" t="inlineStr">
        <is>
          <t>iPhone</t>
        </is>
      </c>
      <c r="S401" s="4" t="inlineStr">
        <is>
          <t>B08</t>
        </is>
      </c>
      <c r="T401" s="4" t="inlineStr">
        <is>
          <t>BASELINE_1_500</t>
        </is>
      </c>
      <c r="U401" s="4" t="inlineStr">
        <is>
          <t>CREATED</t>
        </is>
      </c>
      <c r="V401" s="4" t="inlineStr">
        <is>
          <t>idem-20260902-ios-0400</t>
        </is>
      </c>
    </row>
    <row r="402" ht="30" customHeight="1">
      <c r="A402" s="4" t="n">
        <v>401</v>
      </c>
      <c r="B402" s="4" t="inlineStr">
        <is>
          <t>MTR-IOS-0401</t>
        </is>
      </c>
      <c r="C402" s="4" t="inlineStr">
        <is>
          <t>Group</t>
        </is>
      </c>
      <c r="D402" s="4" t="inlineStr">
        <is>
          <t>Shared Experience</t>
        </is>
      </c>
      <c r="E402" s="4" t="inlineStr">
        <is>
          <t>Office Outing</t>
        </is>
      </c>
      <c r="F402" s="4" t="inlineStr">
        <is>
          <t>Venue</t>
        </is>
      </c>
      <c r="G402" s="4" t="inlineStr">
        <is>
          <t>Expense</t>
        </is>
      </c>
      <c r="H402" s="12" t="n">
        <v>46150</v>
      </c>
      <c r="I402" s="13" t="n">
        <v>0.6460532407407408</v>
      </c>
      <c r="J402" s="14" t="n">
        <v>46150.64605324074</v>
      </c>
      <c r="K402" s="15" t="n">
        <v>21674.55</v>
      </c>
      <c r="L402" s="4" t="inlineStr">
        <is>
          <t>INR</t>
        </is>
      </c>
      <c r="M402" s="15" t="n">
        <v>-21674.55</v>
      </c>
      <c r="N402" s="4" t="inlineStr">
        <is>
          <t>IOS Aarav</t>
        </is>
      </c>
      <c r="O402" s="4" t="n">
        <v>3</v>
      </c>
      <c r="P402" s="4" t="inlineStr">
        <is>
          <t>PERCENTAGE</t>
        </is>
      </c>
      <c r="Q402" s="4" t="inlineStr">
        <is>
          <t>MAESTRO-IOS-GROUP-OFFICE_OUTING-0401 | Venue | 21674.55</t>
        </is>
      </c>
      <c r="R402" s="4" t="inlineStr">
        <is>
          <t>iPhone</t>
        </is>
      </c>
      <c r="S402" s="4" t="inlineStr">
        <is>
          <t>B09</t>
        </is>
      </c>
      <c r="T402" s="4" t="inlineStr">
        <is>
          <t>BASELINE_1_500</t>
        </is>
      </c>
      <c r="U402" s="4" t="inlineStr">
        <is>
          <t>CREATED</t>
        </is>
      </c>
      <c r="V402" s="4" t="inlineStr">
        <is>
          <t>idem-20260902-ios-0401</t>
        </is>
      </c>
    </row>
    <row r="403" ht="30" customHeight="1">
      <c r="A403" s="4" t="n">
        <v>402</v>
      </c>
      <c r="B403" s="4" t="inlineStr">
        <is>
          <t>MTR-IOS-0402</t>
        </is>
      </c>
      <c r="C403" s="4" t="inlineStr">
        <is>
          <t>Business</t>
        </is>
      </c>
      <c r="D403" s="4" t="inlineStr">
        <is>
          <t>Business</t>
        </is>
      </c>
      <c r="E403" s="4" t="inlineStr">
        <is>
          <t>Business Runway</t>
        </is>
      </c>
      <c r="F403" s="4" t="inlineStr">
        <is>
          <t>Funding</t>
        </is>
      </c>
      <c r="G403" s="4" t="inlineStr">
        <is>
          <t>Income</t>
        </is>
      </c>
      <c r="H403" s="12" t="n">
        <v>46175</v>
      </c>
      <c r="I403" s="13" t="n">
        <v>0.1146180555555556</v>
      </c>
      <c r="J403" s="14" t="n">
        <v>46175.11461805556</v>
      </c>
      <c r="K403" s="15" t="n">
        <v>53498.76</v>
      </c>
      <c r="L403" s="4" t="inlineStr">
        <is>
          <t>INR</t>
        </is>
      </c>
      <c r="M403" s="15" t="n">
        <v>53498.76</v>
      </c>
      <c r="N403" s="4" t="inlineStr">
        <is>
          <t>IOS Owner</t>
        </is>
      </c>
      <c r="O403" s="4" t="n"/>
      <c r="P403" s="4" t="n"/>
      <c r="Q403" s="4" t="inlineStr">
        <is>
          <t>MAESTRO-IOS-BUSINESS-BUSINESS_RUNWAY-0402 | Funding | 53498.76</t>
        </is>
      </c>
      <c r="R403" s="4" t="inlineStr">
        <is>
          <t>iPhone</t>
        </is>
      </c>
      <c r="S403" s="4" t="inlineStr">
        <is>
          <t>B09</t>
        </is>
      </c>
      <c r="T403" s="4" t="inlineStr">
        <is>
          <t>BASELINE_1_500</t>
        </is>
      </c>
      <c r="U403" s="4" t="inlineStr">
        <is>
          <t>CREATED</t>
        </is>
      </c>
      <c r="V403" s="4" t="inlineStr">
        <is>
          <t>idem-20260902-ios-0402</t>
        </is>
      </c>
    </row>
    <row r="404" ht="30" customHeight="1">
      <c r="A404" s="4" t="n">
        <v>403</v>
      </c>
      <c r="B404" s="4" t="inlineStr">
        <is>
          <t>MTR-IOS-0403</t>
        </is>
      </c>
      <c r="C404" s="4" t="inlineStr">
        <is>
          <t>Personal</t>
        </is>
      </c>
      <c r="D404" s="4" t="inlineStr">
        <is>
          <t>Personal</t>
        </is>
      </c>
      <c r="E404" s="4" t="inlineStr">
        <is>
          <t>Relationships</t>
        </is>
      </c>
      <c r="F404" s="4" t="inlineStr">
        <is>
          <t>Dates</t>
        </is>
      </c>
      <c r="G404" s="4" t="inlineStr">
        <is>
          <t>Expense</t>
        </is>
      </c>
      <c r="H404" s="12" t="n">
        <v>45916</v>
      </c>
      <c r="I404" s="13" t="n">
        <v>0.2298148148148148</v>
      </c>
      <c r="J404" s="14" t="n">
        <v>45916.22981481482</v>
      </c>
      <c r="K404" s="15" t="n">
        <v>11459.56</v>
      </c>
      <c r="L404" s="4" t="inlineStr">
        <is>
          <t>INR</t>
        </is>
      </c>
      <c r="M404" s="15" t="n">
        <v>-11459.56</v>
      </c>
      <c r="N404" s="4" t="inlineStr">
        <is>
          <t>IOS Owner</t>
        </is>
      </c>
      <c r="O404" s="4" t="n"/>
      <c r="P404" s="4" t="n"/>
      <c r="Q404" s="4" t="inlineStr">
        <is>
          <t>MAESTRO-IOS-PERSONAL-RELATIONSHIPS-0403 | Dates | 11459.56</t>
        </is>
      </c>
      <c r="R404" s="4" t="inlineStr">
        <is>
          <t>iPhone</t>
        </is>
      </c>
      <c r="S404" s="4" t="inlineStr">
        <is>
          <t>B09</t>
        </is>
      </c>
      <c r="T404" s="4" t="inlineStr">
        <is>
          <t>BASELINE_1_500</t>
        </is>
      </c>
      <c r="U404" s="4" t="inlineStr">
        <is>
          <t>CREATED</t>
        </is>
      </c>
      <c r="V404" s="4" t="inlineStr">
        <is>
          <t>idem-20260902-ios-0403</t>
        </is>
      </c>
    </row>
    <row r="405" ht="30" customHeight="1">
      <c r="A405" s="4" t="n">
        <v>404</v>
      </c>
      <c r="B405" s="4" t="inlineStr">
        <is>
          <t>MTR-IOS-0404</t>
        </is>
      </c>
      <c r="C405" s="4" t="inlineStr">
        <is>
          <t>Group</t>
        </is>
      </c>
      <c r="D405" s="4" t="inlineStr">
        <is>
          <t>Shared Experience</t>
        </is>
      </c>
      <c r="E405" s="4" t="inlineStr">
        <is>
          <t>Office Outing</t>
        </is>
      </c>
      <c r="F405" s="4" t="inlineStr">
        <is>
          <t>Other</t>
        </is>
      </c>
      <c r="G405" s="4" t="inlineStr">
        <is>
          <t>Expense</t>
        </is>
      </c>
      <c r="H405" s="12" t="n">
        <v>45954</v>
      </c>
      <c r="I405" s="13" t="n">
        <v>0.9403703703703704</v>
      </c>
      <c r="J405" s="14" t="n">
        <v>45954.94037037037</v>
      </c>
      <c r="K405" s="15" t="n">
        <v>11009.01</v>
      </c>
      <c r="L405" s="4" t="inlineStr">
        <is>
          <t>INR</t>
        </is>
      </c>
      <c r="M405" s="15" t="n">
        <v>-11009.01</v>
      </c>
      <c r="N405" s="4" t="inlineStr">
        <is>
          <t>IOS Meera</t>
        </is>
      </c>
      <c r="O405" s="4" t="n">
        <v>3</v>
      </c>
      <c r="P405" s="4" t="inlineStr">
        <is>
          <t>EXACT</t>
        </is>
      </c>
      <c r="Q405" s="4" t="inlineStr">
        <is>
          <t>MAESTRO-IOS-GROUP-OFFICE_OUTING-0404 | Other | 11009.01</t>
        </is>
      </c>
      <c r="R405" s="4" t="inlineStr">
        <is>
          <t>iPhone</t>
        </is>
      </c>
      <c r="S405" s="4" t="inlineStr">
        <is>
          <t>B09</t>
        </is>
      </c>
      <c r="T405" s="4" t="inlineStr">
        <is>
          <t>BASELINE_1_500</t>
        </is>
      </c>
      <c r="U405" s="4" t="inlineStr">
        <is>
          <t>CREATED</t>
        </is>
      </c>
      <c r="V405" s="4" t="inlineStr">
        <is>
          <t>idem-20260902-ios-0404</t>
        </is>
      </c>
    </row>
    <row r="406" ht="30" customHeight="1">
      <c r="A406" s="4" t="n">
        <v>405</v>
      </c>
      <c r="B406" s="4" t="inlineStr">
        <is>
          <t>MTR-IOS-0405</t>
        </is>
      </c>
      <c r="C406" s="4" t="inlineStr">
        <is>
          <t>Business</t>
        </is>
      </c>
      <c r="D406" s="4" t="inlineStr">
        <is>
          <t>Business</t>
        </is>
      </c>
      <c r="E406" s="4" t="inlineStr">
        <is>
          <t>Business Runway</t>
        </is>
      </c>
      <c r="F406" s="4" t="inlineStr">
        <is>
          <t>Revenue</t>
        </is>
      </c>
      <c r="G406" s="4" t="inlineStr">
        <is>
          <t>Income</t>
        </is>
      </c>
      <c r="H406" s="12" t="n">
        <v>46111</v>
      </c>
      <c r="I406" s="13" t="n">
        <v>0.8736574074074074</v>
      </c>
      <c r="J406" s="14" t="n">
        <v>46111.87365740741</v>
      </c>
      <c r="K406" s="15" t="n">
        <v>28028.26</v>
      </c>
      <c r="L406" s="4" t="inlineStr">
        <is>
          <t>INR</t>
        </is>
      </c>
      <c r="M406" s="15" t="n">
        <v>28028.26</v>
      </c>
      <c r="N406" s="4" t="inlineStr">
        <is>
          <t>IOS Owner</t>
        </is>
      </c>
      <c r="O406" s="4" t="n"/>
      <c r="P406" s="4" t="n"/>
      <c r="Q406" s="4" t="inlineStr">
        <is>
          <t>MAESTRO-IOS-BUSINESS-BUSINESS_RUNWAY-0405 | Revenue | 28028.26</t>
        </is>
      </c>
      <c r="R406" s="4" t="inlineStr">
        <is>
          <t>iPhone</t>
        </is>
      </c>
      <c r="S406" s="4" t="inlineStr">
        <is>
          <t>B09</t>
        </is>
      </c>
      <c r="T406" s="4" t="inlineStr">
        <is>
          <t>BASELINE_1_500</t>
        </is>
      </c>
      <c r="U406" s="4" t="inlineStr">
        <is>
          <t>CREATED</t>
        </is>
      </c>
      <c r="V406" s="4" t="inlineStr">
        <is>
          <t>idem-20260902-ios-0405</t>
        </is>
      </c>
    </row>
    <row r="407" ht="30" customHeight="1">
      <c r="A407" s="4" t="n">
        <v>406</v>
      </c>
      <c r="B407" s="4" t="inlineStr">
        <is>
          <t>MTR-IOS-0406</t>
        </is>
      </c>
      <c r="C407" s="4" t="inlineStr">
        <is>
          <t>Personal</t>
        </is>
      </c>
      <c r="D407" s="4" t="inlineStr">
        <is>
          <t>Personal</t>
        </is>
      </c>
      <c r="E407" s="4" t="inlineStr">
        <is>
          <t>Relationships</t>
        </is>
      </c>
      <c r="F407" s="4" t="inlineStr">
        <is>
          <t>Family</t>
        </is>
      </c>
      <c r="G407" s="4" t="inlineStr">
        <is>
          <t>Expense</t>
        </is>
      </c>
      <c r="H407" s="12" t="n">
        <v>46001</v>
      </c>
      <c r="I407" s="13" t="n">
        <v>0.4050578703703704</v>
      </c>
      <c r="J407" s="14" t="n">
        <v>46001.40505787037</v>
      </c>
      <c r="K407" s="15" t="n">
        <v>2477.84</v>
      </c>
      <c r="L407" s="4" t="inlineStr">
        <is>
          <t>INR</t>
        </is>
      </c>
      <c r="M407" s="15" t="n">
        <v>-2477.84</v>
      </c>
      <c r="N407" s="4" t="inlineStr">
        <is>
          <t>IOS Owner</t>
        </is>
      </c>
      <c r="O407" s="4" t="n"/>
      <c r="P407" s="4" t="n"/>
      <c r="Q407" s="4" t="inlineStr">
        <is>
          <t>MAESTRO-IOS-PERSONAL-RELATIONSHIPS-0406 | Family | 2477.84</t>
        </is>
      </c>
      <c r="R407" s="4" t="inlineStr">
        <is>
          <t>iPhone</t>
        </is>
      </c>
      <c r="S407" s="4" t="inlineStr">
        <is>
          <t>B09</t>
        </is>
      </c>
      <c r="T407" s="4" t="inlineStr">
        <is>
          <t>BASELINE_1_500</t>
        </is>
      </c>
      <c r="U407" s="4" t="inlineStr">
        <is>
          <t>CREATED</t>
        </is>
      </c>
      <c r="V407" s="4" t="inlineStr">
        <is>
          <t>idem-20260902-ios-0406</t>
        </is>
      </c>
    </row>
    <row r="408" ht="30" customHeight="1">
      <c r="A408" s="4" t="n">
        <v>407</v>
      </c>
      <c r="B408" s="4" t="inlineStr">
        <is>
          <t>MTR-IOS-0407</t>
        </is>
      </c>
      <c r="C408" s="4" t="inlineStr">
        <is>
          <t>Group</t>
        </is>
      </c>
      <c r="D408" s="4" t="inlineStr">
        <is>
          <t>Shared Experience</t>
        </is>
      </c>
      <c r="E408" s="4" t="inlineStr">
        <is>
          <t>House Party</t>
        </is>
      </c>
      <c r="F408" s="4" t="inlineStr">
        <is>
          <t>Food</t>
        </is>
      </c>
      <c r="G408" s="4" t="inlineStr">
        <is>
          <t>Expense</t>
        </is>
      </c>
      <c r="H408" s="12" t="n">
        <v>46262</v>
      </c>
      <c r="I408" s="13" t="n">
        <v>0.9732291666666667</v>
      </c>
      <c r="J408" s="14" t="n">
        <v>46262.97322916667</v>
      </c>
      <c r="K408" s="15" t="n">
        <v>10000</v>
      </c>
      <c r="L408" s="4" t="inlineStr">
        <is>
          <t>INR</t>
        </is>
      </c>
      <c r="M408" s="15" t="n">
        <v>-10000</v>
      </c>
      <c r="N408" s="4" t="inlineStr">
        <is>
          <t>IOS Owner</t>
        </is>
      </c>
      <c r="O408" s="4" t="n">
        <v>3</v>
      </c>
      <c r="P408" s="4" t="inlineStr">
        <is>
          <t>SHARES</t>
        </is>
      </c>
      <c r="Q408" s="4" t="inlineStr">
        <is>
          <t>MAESTRO-IOS-GROUP-HOUSE_PARTY-0407 | Food | 10000.00</t>
        </is>
      </c>
      <c r="R408" s="4" t="inlineStr">
        <is>
          <t>iPhone</t>
        </is>
      </c>
      <c r="S408" s="4" t="inlineStr">
        <is>
          <t>B09</t>
        </is>
      </c>
      <c r="T408" s="4" t="inlineStr">
        <is>
          <t>BASELINE_1_500</t>
        </is>
      </c>
      <c r="U408" s="4" t="inlineStr">
        <is>
          <t>CREATED</t>
        </is>
      </c>
      <c r="V408" s="4" t="inlineStr">
        <is>
          <t>idem-20260902-ios-0407</t>
        </is>
      </c>
    </row>
    <row r="409" ht="30" customHeight="1">
      <c r="A409" s="4" t="n">
        <v>408</v>
      </c>
      <c r="B409" s="4" t="inlineStr">
        <is>
          <t>MTR-IOS-0408</t>
        </is>
      </c>
      <c r="C409" s="4" t="inlineStr">
        <is>
          <t>Business</t>
        </is>
      </c>
      <c r="D409" s="4" t="inlineStr">
        <is>
          <t>Business</t>
        </is>
      </c>
      <c r="E409" s="4" t="inlineStr">
        <is>
          <t>Business Runway</t>
        </is>
      </c>
      <c r="F409" s="4" t="inlineStr">
        <is>
          <t>Burn</t>
        </is>
      </c>
      <c r="G409" s="4" t="inlineStr">
        <is>
          <t>Expense</t>
        </is>
      </c>
      <c r="H409" s="12" t="n">
        <v>46116</v>
      </c>
      <c r="I409" s="13" t="n">
        <v>0.603900462962963</v>
      </c>
      <c r="J409" s="14" t="n">
        <v>46116.60390046296</v>
      </c>
      <c r="K409" s="15" t="n">
        <v>62466.94</v>
      </c>
      <c r="L409" s="4" t="inlineStr">
        <is>
          <t>INR</t>
        </is>
      </c>
      <c r="M409" s="15" t="n">
        <v>-62466.94</v>
      </c>
      <c r="N409" s="4" t="inlineStr">
        <is>
          <t>IOS Owner</t>
        </is>
      </c>
      <c r="O409" s="4" t="n"/>
      <c r="P409" s="4" t="n"/>
      <c r="Q409" s="4" t="inlineStr">
        <is>
          <t>MAESTRO-IOS-BUSINESS-BUSINESS_RUNWAY-0408 | Burn | 62466.94</t>
        </is>
      </c>
      <c r="R409" s="4" t="inlineStr">
        <is>
          <t>iPhone</t>
        </is>
      </c>
      <c r="S409" s="4" t="inlineStr">
        <is>
          <t>B09</t>
        </is>
      </c>
      <c r="T409" s="4" t="inlineStr">
        <is>
          <t>BASELINE_1_500</t>
        </is>
      </c>
      <c r="U409" s="4" t="inlineStr">
        <is>
          <t>CREATED</t>
        </is>
      </c>
      <c r="V409" s="4" t="inlineStr">
        <is>
          <t>idem-20260902-ios-0408</t>
        </is>
      </c>
    </row>
    <row r="410" ht="30" customHeight="1">
      <c r="A410" s="4" t="n">
        <v>409</v>
      </c>
      <c r="B410" s="4" t="inlineStr">
        <is>
          <t>MTR-IOS-0409</t>
        </is>
      </c>
      <c r="C410" s="4" t="inlineStr">
        <is>
          <t>Personal</t>
        </is>
      </c>
      <c r="D410" s="4" t="inlineStr">
        <is>
          <t>Personal</t>
        </is>
      </c>
      <c r="E410" s="4" t="inlineStr">
        <is>
          <t>Relationships</t>
        </is>
      </c>
      <c r="F410" s="4" t="inlineStr">
        <is>
          <t>Friends</t>
        </is>
      </c>
      <c r="G410" s="4" t="inlineStr">
        <is>
          <t>Expense</t>
        </is>
      </c>
      <c r="H410" s="12" t="n">
        <v>45943</v>
      </c>
      <c r="I410" s="13" t="n">
        <v>0.2680555555555555</v>
      </c>
      <c r="J410" s="14" t="n">
        <v>45943.26805555556</v>
      </c>
      <c r="K410" s="15" t="n">
        <v>10584.4</v>
      </c>
      <c r="L410" s="4" t="inlineStr">
        <is>
          <t>INR</t>
        </is>
      </c>
      <c r="M410" s="15" t="n">
        <v>-10584.4</v>
      </c>
      <c r="N410" s="4" t="inlineStr">
        <is>
          <t>IOS Owner</t>
        </is>
      </c>
      <c r="O410" s="4" t="n"/>
      <c r="P410" s="4" t="n"/>
      <c r="Q410" s="4" t="inlineStr">
        <is>
          <t>MAESTRO-IOS-PERSONAL-RELATIONSHIPS-0409 | Friends | 10584.40</t>
        </is>
      </c>
      <c r="R410" s="4" t="inlineStr">
        <is>
          <t>iPhone</t>
        </is>
      </c>
      <c r="S410" s="4" t="inlineStr">
        <is>
          <t>B09</t>
        </is>
      </c>
      <c r="T410" s="4" t="inlineStr">
        <is>
          <t>BASELINE_1_500</t>
        </is>
      </c>
      <c r="U410" s="4" t="inlineStr">
        <is>
          <t>CREATED</t>
        </is>
      </c>
      <c r="V410" s="4" t="inlineStr">
        <is>
          <t>idem-20260902-ios-0409</t>
        </is>
      </c>
    </row>
    <row r="411" ht="30" customHeight="1">
      <c r="A411" s="4" t="n">
        <v>410</v>
      </c>
      <c r="B411" s="4" t="inlineStr">
        <is>
          <t>MTR-IOS-0410</t>
        </is>
      </c>
      <c r="C411" s="4" t="inlineStr">
        <is>
          <t>Group</t>
        </is>
      </c>
      <c r="D411" s="4" t="inlineStr">
        <is>
          <t>Shared Experience</t>
        </is>
      </c>
      <c r="E411" s="4" t="inlineStr">
        <is>
          <t>House Party</t>
        </is>
      </c>
      <c r="F411" s="4" t="inlineStr">
        <is>
          <t>Drinks</t>
        </is>
      </c>
      <c r="G411" s="4" t="inlineStr">
        <is>
          <t>Expense</t>
        </is>
      </c>
      <c r="H411" s="12" t="n">
        <v>46150</v>
      </c>
      <c r="I411" s="13" t="n">
        <v>0.1411226851851852</v>
      </c>
      <c r="J411" s="14" t="n">
        <v>46150.14112268519</v>
      </c>
      <c r="K411" s="15" t="n">
        <v>5532.72</v>
      </c>
      <c r="L411" s="4" t="inlineStr">
        <is>
          <t>INR</t>
        </is>
      </c>
      <c r="M411" s="15" t="n">
        <v>-5532.72</v>
      </c>
      <c r="N411" s="4" t="inlineStr">
        <is>
          <t>IOS Aarav</t>
        </is>
      </c>
      <c r="O411" s="4" t="n">
        <v>3</v>
      </c>
      <c r="P411" s="4" t="inlineStr">
        <is>
          <t>EQUAL</t>
        </is>
      </c>
      <c r="Q411" s="4" t="inlineStr">
        <is>
          <t>MAESTRO-IOS-GROUP-HOUSE_PARTY-0410 | Drinks | 5532.72</t>
        </is>
      </c>
      <c r="R411" s="4" t="inlineStr">
        <is>
          <t>iPhone</t>
        </is>
      </c>
      <c r="S411" s="4" t="inlineStr">
        <is>
          <t>B09</t>
        </is>
      </c>
      <c r="T411" s="4" t="inlineStr">
        <is>
          <t>BASELINE_1_500</t>
        </is>
      </c>
      <c r="U411" s="4" t="inlineStr">
        <is>
          <t>CREATED</t>
        </is>
      </c>
      <c r="V411" s="4" t="inlineStr">
        <is>
          <t>idem-20260902-ios-0410</t>
        </is>
      </c>
    </row>
    <row r="412" ht="30" customHeight="1">
      <c r="A412" s="4" t="n">
        <v>411</v>
      </c>
      <c r="B412" s="4" t="inlineStr">
        <is>
          <t>MTR-IOS-0411</t>
        </is>
      </c>
      <c r="C412" s="4" t="inlineStr">
        <is>
          <t>Business</t>
        </is>
      </c>
      <c r="D412" s="4" t="inlineStr">
        <is>
          <t>Business</t>
        </is>
      </c>
      <c r="E412" s="4" t="inlineStr">
        <is>
          <t>Business Runway</t>
        </is>
      </c>
      <c r="F412" s="4" t="inlineStr">
        <is>
          <t>Reserve</t>
        </is>
      </c>
      <c r="G412" s="4" t="inlineStr">
        <is>
          <t>Transfer</t>
        </is>
      </c>
      <c r="H412" s="12" t="n">
        <v>46094</v>
      </c>
      <c r="I412" s="13" t="n">
        <v>0.1155555555555556</v>
      </c>
      <c r="J412" s="14" t="n">
        <v>46094.11555555555</v>
      </c>
      <c r="K412" s="15" t="n">
        <v>98278.75</v>
      </c>
      <c r="L412" s="4" t="inlineStr">
        <is>
          <t>INR</t>
        </is>
      </c>
      <c r="M412" s="15" t="n">
        <v>0</v>
      </c>
      <c r="N412" s="4" t="inlineStr">
        <is>
          <t>IOS Owner</t>
        </is>
      </c>
      <c r="O412" s="4" t="n"/>
      <c r="P412" s="4" t="n"/>
      <c r="Q412" s="4" t="inlineStr">
        <is>
          <t>MAESTRO-IOS-BUSINESS-BUSINESS_RUNWAY-0411 | Reserve | 98278.75</t>
        </is>
      </c>
      <c r="R412" s="4" t="inlineStr">
        <is>
          <t>iPhone</t>
        </is>
      </c>
      <c r="S412" s="4" t="inlineStr">
        <is>
          <t>B09</t>
        </is>
      </c>
      <c r="T412" s="4" t="inlineStr">
        <is>
          <t>BASELINE_1_500</t>
        </is>
      </c>
      <c r="U412" s="4" t="inlineStr">
        <is>
          <t>CREATED</t>
        </is>
      </c>
      <c r="V412" s="4" t="inlineStr">
        <is>
          <t>idem-20260902-ios-0411</t>
        </is>
      </c>
    </row>
    <row r="413" ht="30" customHeight="1">
      <c r="A413" s="4" t="n">
        <v>412</v>
      </c>
      <c r="B413" s="4" t="inlineStr">
        <is>
          <t>MTR-IOS-0412</t>
        </is>
      </c>
      <c r="C413" s="4" t="inlineStr">
        <is>
          <t>Personal</t>
        </is>
      </c>
      <c r="D413" s="4" t="inlineStr">
        <is>
          <t>Personal</t>
        </is>
      </c>
      <c r="E413" s="4" t="inlineStr">
        <is>
          <t>Relationships</t>
        </is>
      </c>
      <c r="F413" s="4" t="inlineStr">
        <is>
          <t>Celebrations</t>
        </is>
      </c>
      <c r="G413" s="4" t="inlineStr">
        <is>
          <t>Expense</t>
        </is>
      </c>
      <c r="H413" s="12" t="n">
        <v>46006</v>
      </c>
      <c r="I413" s="13" t="n">
        <v>0.6041782407407408</v>
      </c>
      <c r="J413" s="14" t="n">
        <v>46006.60417824074</v>
      </c>
      <c r="K413" s="15" t="n">
        <v>17706.72</v>
      </c>
      <c r="L413" s="4" t="inlineStr">
        <is>
          <t>INR</t>
        </is>
      </c>
      <c r="M413" s="15" t="n">
        <v>-17706.72</v>
      </c>
      <c r="N413" s="4" t="inlineStr">
        <is>
          <t>IOS Owner</t>
        </is>
      </c>
      <c r="O413" s="4" t="n"/>
      <c r="P413" s="4" t="n"/>
      <c r="Q413" s="4" t="inlineStr">
        <is>
          <t>MAESTRO-IOS-PERSONAL-RELATIONSHIPS-0412 | Celebrations | 17706.72</t>
        </is>
      </c>
      <c r="R413" s="4" t="inlineStr">
        <is>
          <t>iPhone</t>
        </is>
      </c>
      <c r="S413" s="4" t="inlineStr">
        <is>
          <t>B09</t>
        </is>
      </c>
      <c r="T413" s="4" t="inlineStr">
        <is>
          <t>BASELINE_1_500</t>
        </is>
      </c>
      <c r="U413" s="4" t="inlineStr">
        <is>
          <t>CREATED</t>
        </is>
      </c>
      <c r="V413" s="4" t="inlineStr">
        <is>
          <t>idem-20260902-ios-0412</t>
        </is>
      </c>
    </row>
    <row r="414" ht="30" customHeight="1">
      <c r="A414" s="4" t="n">
        <v>413</v>
      </c>
      <c r="B414" s="4" t="inlineStr">
        <is>
          <t>MTR-IOS-0413</t>
        </is>
      </c>
      <c r="C414" s="4" t="inlineStr">
        <is>
          <t>Group</t>
        </is>
      </c>
      <c r="D414" s="4" t="inlineStr">
        <is>
          <t>Shared Experience</t>
        </is>
      </c>
      <c r="E414" s="4" t="inlineStr">
        <is>
          <t>House Party</t>
        </is>
      </c>
      <c r="F414" s="4" t="inlineStr">
        <is>
          <t>Decor</t>
        </is>
      </c>
      <c r="G414" s="4" t="inlineStr">
        <is>
          <t>Expense</t>
        </is>
      </c>
      <c r="H414" s="12" t="n">
        <v>46220</v>
      </c>
      <c r="I414" s="13" t="n">
        <v>0.9515509259259259</v>
      </c>
      <c r="J414" s="14" t="n">
        <v>46220.95155092593</v>
      </c>
      <c r="K414" s="15" t="n">
        <v>19183.81</v>
      </c>
      <c r="L414" s="4" t="inlineStr">
        <is>
          <t>INR</t>
        </is>
      </c>
      <c r="M414" s="15" t="n">
        <v>-19183.81</v>
      </c>
      <c r="N414" s="4" t="inlineStr">
        <is>
          <t>IOS Meera</t>
        </is>
      </c>
      <c r="O414" s="4" t="n">
        <v>3</v>
      </c>
      <c r="P414" s="4" t="inlineStr">
        <is>
          <t>PERCENTAGE</t>
        </is>
      </c>
      <c r="Q414" s="4" t="inlineStr">
        <is>
          <t>MAESTRO-IOS-GROUP-HOUSE_PARTY-0413 | Decor | 19183.81</t>
        </is>
      </c>
      <c r="R414" s="4" t="inlineStr">
        <is>
          <t>iPhone</t>
        </is>
      </c>
      <c r="S414" s="4" t="inlineStr">
        <is>
          <t>B09</t>
        </is>
      </c>
      <c r="T414" s="4" t="inlineStr">
        <is>
          <t>BASELINE_1_500</t>
        </is>
      </c>
      <c r="U414" s="4" t="inlineStr">
        <is>
          <t>CREATED</t>
        </is>
      </c>
      <c r="V414" s="4" t="inlineStr">
        <is>
          <t>idem-20260902-ios-0413</t>
        </is>
      </c>
    </row>
    <row r="415" ht="30" customHeight="1">
      <c r="A415" s="4" t="n">
        <v>414</v>
      </c>
      <c r="B415" s="4" t="inlineStr">
        <is>
          <t>MTR-IOS-0414</t>
        </is>
      </c>
      <c r="C415" s="4" t="inlineStr">
        <is>
          <t>Business</t>
        </is>
      </c>
      <c r="D415" s="4" t="inlineStr">
        <is>
          <t>Business</t>
        </is>
      </c>
      <c r="E415" s="4" t="inlineStr">
        <is>
          <t>Business Runway</t>
        </is>
      </c>
      <c r="F415" s="4" t="inlineStr">
        <is>
          <t>Loan</t>
        </is>
      </c>
      <c r="G415" s="4" t="inlineStr">
        <is>
          <t>Income</t>
        </is>
      </c>
      <c r="H415" s="12" t="n">
        <v>46065</v>
      </c>
      <c r="I415" s="13" t="n">
        <v>0.3469907407407408</v>
      </c>
      <c r="J415" s="14" t="n">
        <v>46065.34699074074</v>
      </c>
      <c r="K415" s="15" t="n">
        <v>47240.01</v>
      </c>
      <c r="L415" s="4" t="inlineStr">
        <is>
          <t>INR</t>
        </is>
      </c>
      <c r="M415" s="15" t="n">
        <v>47240.01</v>
      </c>
      <c r="N415" s="4" t="inlineStr">
        <is>
          <t>IOS Owner</t>
        </is>
      </c>
      <c r="O415" s="4" t="n"/>
      <c r="P415" s="4" t="n"/>
      <c r="Q415" s="4" t="inlineStr">
        <is>
          <t>MAESTRO-IOS-BUSINESS-BUSINESS_RUNWAY-0414 | Loan | 47240.01</t>
        </is>
      </c>
      <c r="R415" s="4" t="inlineStr">
        <is>
          <t>iPhone</t>
        </is>
      </c>
      <c r="S415" s="4" t="inlineStr">
        <is>
          <t>B09</t>
        </is>
      </c>
      <c r="T415" s="4" t="inlineStr">
        <is>
          <t>BASELINE_1_500</t>
        </is>
      </c>
      <c r="U415" s="4" t="inlineStr">
        <is>
          <t>CREATED</t>
        </is>
      </c>
      <c r="V415" s="4" t="inlineStr">
        <is>
          <t>idem-20260902-ios-0414</t>
        </is>
      </c>
    </row>
    <row r="416" ht="30" customHeight="1">
      <c r="A416" s="4" t="n">
        <v>415</v>
      </c>
      <c r="B416" s="4" t="inlineStr">
        <is>
          <t>MTR-IOS-0415</t>
        </is>
      </c>
      <c r="C416" s="4" t="inlineStr">
        <is>
          <t>Personal</t>
        </is>
      </c>
      <c r="D416" s="4" t="inlineStr">
        <is>
          <t>Personal</t>
        </is>
      </c>
      <c r="E416" s="4" t="inlineStr">
        <is>
          <t>Life Operations</t>
        </is>
      </c>
      <c r="F416" s="4" t="inlineStr">
        <is>
          <t>Groceries</t>
        </is>
      </c>
      <c r="G416" s="4" t="inlineStr">
        <is>
          <t>Expense</t>
        </is>
      </c>
      <c r="H416" s="12" t="n">
        <v>45991</v>
      </c>
      <c r="I416" s="13" t="n">
        <v>0.08756944444444445</v>
      </c>
      <c r="J416" s="14" t="n">
        <v>45991.08756944445</v>
      </c>
      <c r="K416" s="15" t="n">
        <v>8213.559999999999</v>
      </c>
      <c r="L416" s="4" t="inlineStr">
        <is>
          <t>INR</t>
        </is>
      </c>
      <c r="M416" s="15" t="n">
        <v>-8213.559999999999</v>
      </c>
      <c r="N416" s="4" t="inlineStr">
        <is>
          <t>IOS Owner</t>
        </is>
      </c>
      <c r="O416" s="4" t="n"/>
      <c r="P416" s="4" t="n"/>
      <c r="Q416" s="4" t="inlineStr">
        <is>
          <t>MAESTRO-IOS-PERSONAL-LIFE_OPERATIONS-0415 | Groceries | 8213.56</t>
        </is>
      </c>
      <c r="R416" s="4" t="inlineStr">
        <is>
          <t>iPhone</t>
        </is>
      </c>
      <c r="S416" s="4" t="inlineStr">
        <is>
          <t>B09</t>
        </is>
      </c>
      <c r="T416" s="4" t="inlineStr">
        <is>
          <t>BASELINE_1_500</t>
        </is>
      </c>
      <c r="U416" s="4" t="inlineStr">
        <is>
          <t>CREATED</t>
        </is>
      </c>
      <c r="V416" s="4" t="inlineStr">
        <is>
          <t>idem-20260902-ios-0415</t>
        </is>
      </c>
    </row>
    <row r="417" ht="30" customHeight="1">
      <c r="A417" s="4" t="n">
        <v>416</v>
      </c>
      <c r="B417" s="4" t="inlineStr">
        <is>
          <t>MTR-IOS-0416</t>
        </is>
      </c>
      <c r="C417" s="4" t="inlineStr">
        <is>
          <t>Group</t>
        </is>
      </c>
      <c r="D417" s="4" t="inlineStr">
        <is>
          <t>Shared Experience</t>
        </is>
      </c>
      <c r="E417" s="4" t="inlineStr">
        <is>
          <t>House Party</t>
        </is>
      </c>
      <c r="F417" s="4" t="inlineStr">
        <is>
          <t>Supplies</t>
        </is>
      </c>
      <c r="G417" s="4" t="inlineStr">
        <is>
          <t>Expense</t>
        </is>
      </c>
      <c r="H417" s="12" t="n">
        <v>45919</v>
      </c>
      <c r="I417" s="13" t="n">
        <v>0.6487731481481481</v>
      </c>
      <c r="J417" s="14" t="n">
        <v>45919.64877314815</v>
      </c>
      <c r="K417" s="15" t="n">
        <v>9262.690000000001</v>
      </c>
      <c r="L417" s="4" t="inlineStr">
        <is>
          <t>INR</t>
        </is>
      </c>
      <c r="M417" s="15" t="n">
        <v>-9262.690000000001</v>
      </c>
      <c r="N417" s="4" t="inlineStr">
        <is>
          <t>IOS Owner</t>
        </is>
      </c>
      <c r="O417" s="4" t="n">
        <v>3</v>
      </c>
      <c r="P417" s="4" t="inlineStr">
        <is>
          <t>EXACT</t>
        </is>
      </c>
      <c r="Q417" s="4" t="inlineStr">
        <is>
          <t>MAESTRO-IOS-GROUP-HOUSE_PARTY-0416 | Supplies | 9262.69</t>
        </is>
      </c>
      <c r="R417" s="4" t="inlineStr">
        <is>
          <t>iPhone</t>
        </is>
      </c>
      <c r="S417" s="4" t="inlineStr">
        <is>
          <t>B09</t>
        </is>
      </c>
      <c r="T417" s="4" t="inlineStr">
        <is>
          <t>BASELINE_1_500</t>
        </is>
      </c>
      <c r="U417" s="4" t="inlineStr">
        <is>
          <t>CREATED</t>
        </is>
      </c>
      <c r="V417" s="4" t="inlineStr">
        <is>
          <t>idem-20260902-ios-0416</t>
        </is>
      </c>
    </row>
    <row r="418" ht="30" customHeight="1">
      <c r="A418" s="4" t="n">
        <v>417</v>
      </c>
      <c r="B418" s="4" t="inlineStr">
        <is>
          <t>MTR-IOS-0417</t>
        </is>
      </c>
      <c r="C418" s="4" t="inlineStr">
        <is>
          <t>Business</t>
        </is>
      </c>
      <c r="D418" s="4" t="inlineStr">
        <is>
          <t>Business</t>
        </is>
      </c>
      <c r="E418" s="4" t="inlineStr">
        <is>
          <t>Business Runway</t>
        </is>
      </c>
      <c r="F418" s="4" t="inlineStr">
        <is>
          <t>Investment</t>
        </is>
      </c>
      <c r="G418" s="4" t="inlineStr">
        <is>
          <t>Income</t>
        </is>
      </c>
      <c r="H418" s="12" t="n">
        <v>46014</v>
      </c>
      <c r="I418" s="13" t="n">
        <v>0.4681597222222222</v>
      </c>
      <c r="J418" s="14" t="n">
        <v>46014.46815972222</v>
      </c>
      <c r="K418" s="15" t="n">
        <v>51130.59</v>
      </c>
      <c r="L418" s="4" t="inlineStr">
        <is>
          <t>INR</t>
        </is>
      </c>
      <c r="M418" s="15" t="n">
        <v>51130.59</v>
      </c>
      <c r="N418" s="4" t="inlineStr">
        <is>
          <t>IOS Owner</t>
        </is>
      </c>
      <c r="O418" s="4" t="n"/>
      <c r="P418" s="4" t="n"/>
      <c r="Q418" s="4" t="inlineStr">
        <is>
          <t>MAESTRO-IOS-BUSINESS-BUSINESS_RUNWAY-0417 | Investment | 51130.59</t>
        </is>
      </c>
      <c r="R418" s="4" t="inlineStr">
        <is>
          <t>iPhone</t>
        </is>
      </c>
      <c r="S418" s="4" t="inlineStr">
        <is>
          <t>B09</t>
        </is>
      </c>
      <c r="T418" s="4" t="inlineStr">
        <is>
          <t>BASELINE_1_500</t>
        </is>
      </c>
      <c r="U418" s="4" t="inlineStr">
        <is>
          <t>CREATED</t>
        </is>
      </c>
      <c r="V418" s="4" t="inlineStr">
        <is>
          <t>idem-20260902-ios-0417</t>
        </is>
      </c>
    </row>
    <row r="419" ht="30" customHeight="1">
      <c r="A419" s="4" t="n">
        <v>418</v>
      </c>
      <c r="B419" s="4" t="inlineStr">
        <is>
          <t>MTR-IOS-0418</t>
        </is>
      </c>
      <c r="C419" s="4" t="inlineStr">
        <is>
          <t>Personal</t>
        </is>
      </c>
      <c r="D419" s="4" t="inlineStr">
        <is>
          <t>Personal</t>
        </is>
      </c>
      <c r="E419" s="4" t="inlineStr">
        <is>
          <t>Life Operations</t>
        </is>
      </c>
      <c r="F419" s="4" t="inlineStr">
        <is>
          <t>Rent</t>
        </is>
      </c>
      <c r="G419" s="4" t="inlineStr">
        <is>
          <t>Expense</t>
        </is>
      </c>
      <c r="H419" s="12" t="n">
        <v>46125</v>
      </c>
      <c r="I419" s="13" t="n">
        <v>0.3032060185185185</v>
      </c>
      <c r="J419" s="14" t="n">
        <v>46125.30320601852</v>
      </c>
      <c r="K419" s="15" t="n">
        <v>30.46</v>
      </c>
      <c r="L419" s="4" t="inlineStr">
        <is>
          <t>INR</t>
        </is>
      </c>
      <c r="M419" s="15" t="n">
        <v>-30.46</v>
      </c>
      <c r="N419" s="4" t="inlineStr">
        <is>
          <t>IOS Owner</t>
        </is>
      </c>
      <c r="O419" s="4" t="n"/>
      <c r="P419" s="4" t="n"/>
      <c r="Q419" s="4" t="inlineStr">
        <is>
          <t>MAESTRO-IOS-PERSONAL-LIFE_OPERATIONS-0418 | Rent | 30.46</t>
        </is>
      </c>
      <c r="R419" s="4" t="inlineStr">
        <is>
          <t>iPhone</t>
        </is>
      </c>
      <c r="S419" s="4" t="inlineStr">
        <is>
          <t>B09</t>
        </is>
      </c>
      <c r="T419" s="4" t="inlineStr">
        <is>
          <t>BASELINE_1_500</t>
        </is>
      </c>
      <c r="U419" s="4" t="inlineStr">
        <is>
          <t>CREATED</t>
        </is>
      </c>
      <c r="V419" s="4" t="inlineStr">
        <is>
          <t>idem-20260902-ios-0418</t>
        </is>
      </c>
    </row>
    <row r="420" ht="30" customHeight="1">
      <c r="A420" s="4" t="n">
        <v>419</v>
      </c>
      <c r="B420" s="4" t="inlineStr">
        <is>
          <t>MTR-IOS-0419</t>
        </is>
      </c>
      <c r="C420" s="4" t="inlineStr">
        <is>
          <t>Group</t>
        </is>
      </c>
      <c r="D420" s="4" t="inlineStr">
        <is>
          <t>Shared Experience</t>
        </is>
      </c>
      <c r="E420" s="4" t="inlineStr">
        <is>
          <t>House Party</t>
        </is>
      </c>
      <c r="F420" s="4" t="inlineStr">
        <is>
          <t>Other</t>
        </is>
      </c>
      <c r="G420" s="4" t="inlineStr">
        <is>
          <t>Expense</t>
        </is>
      </c>
      <c r="H420" s="12" t="n">
        <v>46171</v>
      </c>
      <c r="I420" s="13" t="n">
        <v>0.4040625</v>
      </c>
      <c r="J420" s="14" t="n">
        <v>46171.4040625</v>
      </c>
      <c r="K420" s="15" t="n">
        <v>14544.51</v>
      </c>
      <c r="L420" s="4" t="inlineStr">
        <is>
          <t>INR</t>
        </is>
      </c>
      <c r="M420" s="15" t="n">
        <v>-14544.51</v>
      </c>
      <c r="N420" s="4" t="inlineStr">
        <is>
          <t>IOS Aarav</t>
        </is>
      </c>
      <c r="O420" s="4" t="n">
        <v>3</v>
      </c>
      <c r="P420" s="4" t="inlineStr">
        <is>
          <t>SHARES</t>
        </is>
      </c>
      <c r="Q420" s="4" t="inlineStr">
        <is>
          <t>MAESTRO-IOS-GROUP-HOUSE_PARTY-0419 | Other | 14544.51</t>
        </is>
      </c>
      <c r="R420" s="4" t="inlineStr">
        <is>
          <t>iPhone</t>
        </is>
      </c>
      <c r="S420" s="4" t="inlineStr">
        <is>
          <t>B09</t>
        </is>
      </c>
      <c r="T420" s="4" t="inlineStr">
        <is>
          <t>BASELINE_1_500</t>
        </is>
      </c>
      <c r="U420" s="4" t="inlineStr">
        <is>
          <t>CREATED</t>
        </is>
      </c>
      <c r="V420" s="4" t="inlineStr">
        <is>
          <t>idem-20260902-ios-0419</t>
        </is>
      </c>
    </row>
    <row r="421" ht="30" customHeight="1">
      <c r="A421" s="4" t="n">
        <v>420</v>
      </c>
      <c r="B421" s="4" t="inlineStr">
        <is>
          <t>MTR-IOS-0420</t>
        </is>
      </c>
      <c r="C421" s="4" t="inlineStr">
        <is>
          <t>Business</t>
        </is>
      </c>
      <c r="D421" s="4" t="inlineStr">
        <is>
          <t>Business</t>
        </is>
      </c>
      <c r="E421" s="4" t="inlineStr">
        <is>
          <t>Business Operations</t>
        </is>
      </c>
      <c r="F421" s="4" t="inlineStr">
        <is>
          <t>Software</t>
        </is>
      </c>
      <c r="G421" s="4" t="inlineStr">
        <is>
          <t>Expense</t>
        </is>
      </c>
      <c r="H421" s="12" t="n">
        <v>45977</v>
      </c>
      <c r="I421" s="13" t="n">
        <v>0.9724537037037037</v>
      </c>
      <c r="J421" s="14" t="n">
        <v>45977.9724537037</v>
      </c>
      <c r="K421" s="15" t="n">
        <v>38092.97</v>
      </c>
      <c r="L421" s="4" t="inlineStr">
        <is>
          <t>INR</t>
        </is>
      </c>
      <c r="M421" s="15" t="n">
        <v>-38092.97</v>
      </c>
      <c r="N421" s="4" t="inlineStr">
        <is>
          <t>IOS Owner</t>
        </is>
      </c>
      <c r="O421" s="4" t="n"/>
      <c r="P421" s="4" t="n"/>
      <c r="Q421" s="4" t="inlineStr">
        <is>
          <t>MAESTRO-IOS-BUSINESS-BUSINESS_OPERATIONS-0420 | Software | 38092.97</t>
        </is>
      </c>
      <c r="R421" s="4" t="inlineStr">
        <is>
          <t>iPhone</t>
        </is>
      </c>
      <c r="S421" s="4" t="inlineStr">
        <is>
          <t>B09</t>
        </is>
      </c>
      <c r="T421" s="4" t="inlineStr">
        <is>
          <t>BASELINE_1_500</t>
        </is>
      </c>
      <c r="U421" s="4" t="inlineStr">
        <is>
          <t>CREATED</t>
        </is>
      </c>
      <c r="V421" s="4" t="inlineStr">
        <is>
          <t>idem-20260902-ios-0420</t>
        </is>
      </c>
    </row>
    <row r="422" ht="30" customHeight="1">
      <c r="A422" s="4" t="n">
        <v>421</v>
      </c>
      <c r="B422" s="4" t="inlineStr">
        <is>
          <t>MTR-IOS-0421</t>
        </is>
      </c>
      <c r="C422" s="4" t="inlineStr">
        <is>
          <t>Personal</t>
        </is>
      </c>
      <c r="D422" s="4" t="inlineStr">
        <is>
          <t>Personal</t>
        </is>
      </c>
      <c r="E422" s="4" t="inlineStr">
        <is>
          <t>Life Operations</t>
        </is>
      </c>
      <c r="F422" s="4" t="inlineStr">
        <is>
          <t>Bills</t>
        </is>
      </c>
      <c r="G422" s="4" t="inlineStr">
        <is>
          <t>Expense</t>
        </is>
      </c>
      <c r="H422" s="12" t="n">
        <v>46171</v>
      </c>
      <c r="I422" s="13" t="n">
        <v>0.1302430555555555</v>
      </c>
      <c r="J422" s="14" t="n">
        <v>46171.13024305556</v>
      </c>
      <c r="K422" s="15" t="n">
        <v>4609.13</v>
      </c>
      <c r="L422" s="4" t="inlineStr">
        <is>
          <t>INR</t>
        </is>
      </c>
      <c r="M422" s="15" t="n">
        <v>-4609.13</v>
      </c>
      <c r="N422" s="4" t="inlineStr">
        <is>
          <t>IOS Owner</t>
        </is>
      </c>
      <c r="O422" s="4" t="n"/>
      <c r="P422" s="4" t="n"/>
      <c r="Q422" s="4" t="inlineStr">
        <is>
          <t>MAESTRO-IOS-PERSONAL-LIFE_OPERATIONS-0421 | Bills | 4609.13</t>
        </is>
      </c>
      <c r="R422" s="4" t="inlineStr">
        <is>
          <t>iPhone</t>
        </is>
      </c>
      <c r="S422" s="4" t="inlineStr">
        <is>
          <t>B09</t>
        </is>
      </c>
      <c r="T422" s="4" t="inlineStr">
        <is>
          <t>BASELINE_1_500</t>
        </is>
      </c>
      <c r="U422" s="4" t="inlineStr">
        <is>
          <t>CREATED</t>
        </is>
      </c>
      <c r="V422" s="4" t="inlineStr">
        <is>
          <t>idem-20260902-ios-0421</t>
        </is>
      </c>
    </row>
    <row r="423" ht="30" customHeight="1">
      <c r="A423" s="4" t="n">
        <v>422</v>
      </c>
      <c r="B423" s="4" t="inlineStr">
        <is>
          <t>MTR-IOS-0422</t>
        </is>
      </c>
      <c r="C423" s="4" t="inlineStr">
        <is>
          <t>Group</t>
        </is>
      </c>
      <c r="D423" s="4" t="inlineStr">
        <is>
          <t>Shared Purchase</t>
        </is>
      </c>
      <c r="E423" s="4" t="inlineStr">
        <is>
          <t>Gift Pool</t>
        </is>
      </c>
      <c r="F423" s="4" t="inlineStr">
        <is>
          <t>Contribution</t>
        </is>
      </c>
      <c r="G423" s="4" t="inlineStr">
        <is>
          <t>Contribution</t>
        </is>
      </c>
      <c r="H423" s="12" t="n">
        <v>46069</v>
      </c>
      <c r="I423" s="13" t="n">
        <v>0.1267476851851852</v>
      </c>
      <c r="J423" s="14" t="n">
        <v>46069.12674768519</v>
      </c>
      <c r="K423" s="15" t="n">
        <v>24561.16</v>
      </c>
      <c r="L423" s="4" t="inlineStr">
        <is>
          <t>INR</t>
        </is>
      </c>
      <c r="M423" s="15" t="n">
        <v>24561.16</v>
      </c>
      <c r="N423" s="4" t="inlineStr">
        <is>
          <t>IOS Meera</t>
        </is>
      </c>
      <c r="O423" s="4" t="n">
        <v>3</v>
      </c>
      <c r="P423" s="4" t="inlineStr">
        <is>
          <t>EQUAL</t>
        </is>
      </c>
      <c r="Q423" s="4" t="inlineStr">
        <is>
          <t>MAESTRO-IOS-GROUP-GIFT_POOL-0422 | Contribution | 24561.16</t>
        </is>
      </c>
      <c r="R423" s="4" t="inlineStr">
        <is>
          <t>iPhone</t>
        </is>
      </c>
      <c r="S423" s="4" t="inlineStr">
        <is>
          <t>B09</t>
        </is>
      </c>
      <c r="T423" s="4" t="inlineStr">
        <is>
          <t>BASELINE_1_500</t>
        </is>
      </c>
      <c r="U423" s="4" t="inlineStr">
        <is>
          <t>CREATED</t>
        </is>
      </c>
      <c r="V423" s="4" t="inlineStr">
        <is>
          <t>idem-20260902-ios-0422</t>
        </is>
      </c>
    </row>
    <row r="424" ht="30" customHeight="1">
      <c r="A424" s="4" t="n">
        <v>423</v>
      </c>
      <c r="B424" s="4" t="inlineStr">
        <is>
          <t>MTR-IOS-0423</t>
        </is>
      </c>
      <c r="C424" s="4" t="inlineStr">
        <is>
          <t>Business</t>
        </is>
      </c>
      <c r="D424" s="4" t="inlineStr">
        <is>
          <t>Business</t>
        </is>
      </c>
      <c r="E424" s="4" t="inlineStr">
        <is>
          <t>Business Operations</t>
        </is>
      </c>
      <c r="F424" s="4" t="inlineStr">
        <is>
          <t>Rent</t>
        </is>
      </c>
      <c r="G424" s="4" t="inlineStr">
        <is>
          <t>Expense</t>
        </is>
      </c>
      <c r="H424" s="12" t="n">
        <v>46017</v>
      </c>
      <c r="I424" s="13" t="n">
        <v>0.01164351851851852</v>
      </c>
      <c r="J424" s="14" t="n">
        <v>46017.01164351852</v>
      </c>
      <c r="K424" s="15" t="n">
        <v>107947.76</v>
      </c>
      <c r="L424" s="4" t="inlineStr">
        <is>
          <t>INR</t>
        </is>
      </c>
      <c r="M424" s="15" t="n">
        <v>-107947.76</v>
      </c>
      <c r="N424" s="4" t="inlineStr">
        <is>
          <t>IOS Owner</t>
        </is>
      </c>
      <c r="O424" s="4" t="n"/>
      <c r="P424" s="4" t="n"/>
      <c r="Q424" s="4" t="inlineStr">
        <is>
          <t>MAESTRO-IOS-BUSINESS-BUSINESS_OPERATIONS-0423 | Rent | 107947.76</t>
        </is>
      </c>
      <c r="R424" s="4" t="inlineStr">
        <is>
          <t>iPhone</t>
        </is>
      </c>
      <c r="S424" s="4" t="inlineStr">
        <is>
          <t>B09</t>
        </is>
      </c>
      <c r="T424" s="4" t="inlineStr">
        <is>
          <t>BASELINE_1_500</t>
        </is>
      </c>
      <c r="U424" s="4" t="inlineStr">
        <is>
          <t>CREATED</t>
        </is>
      </c>
      <c r="V424" s="4" t="inlineStr">
        <is>
          <t>idem-20260902-ios-0423</t>
        </is>
      </c>
    </row>
    <row r="425" ht="30" customHeight="1">
      <c r="A425" s="4" t="n">
        <v>424</v>
      </c>
      <c r="B425" s="4" t="inlineStr">
        <is>
          <t>MTR-IOS-0424</t>
        </is>
      </c>
      <c r="C425" s="4" t="inlineStr">
        <is>
          <t>Personal</t>
        </is>
      </c>
      <c r="D425" s="4" t="inlineStr">
        <is>
          <t>Personal</t>
        </is>
      </c>
      <c r="E425" s="4" t="inlineStr">
        <is>
          <t>Life Operations</t>
        </is>
      </c>
      <c r="F425" s="4" t="inlineStr">
        <is>
          <t>Transport</t>
        </is>
      </c>
      <c r="G425" s="4" t="inlineStr">
        <is>
          <t>Expense</t>
        </is>
      </c>
      <c r="H425" s="12" t="n">
        <v>46001</v>
      </c>
      <c r="I425" s="13" t="n">
        <v>0.1275</v>
      </c>
      <c r="J425" s="14" t="n">
        <v>46001.1275</v>
      </c>
      <c r="K425" s="15" t="n">
        <v>5252.31</v>
      </c>
      <c r="L425" s="4" t="inlineStr">
        <is>
          <t>INR</t>
        </is>
      </c>
      <c r="M425" s="15" t="n">
        <v>-5252.31</v>
      </c>
      <c r="N425" s="4" t="inlineStr">
        <is>
          <t>IOS Owner</t>
        </is>
      </c>
      <c r="O425" s="4" t="n"/>
      <c r="P425" s="4" t="n"/>
      <c r="Q425" s="4" t="inlineStr">
        <is>
          <t>MAESTRO-IOS-PERSONAL-LIFE_OPERATIONS-0424 | Transport | 5252.31</t>
        </is>
      </c>
      <c r="R425" s="4" t="inlineStr">
        <is>
          <t>iPhone</t>
        </is>
      </c>
      <c r="S425" s="4" t="inlineStr">
        <is>
          <t>B09</t>
        </is>
      </c>
      <c r="T425" s="4" t="inlineStr">
        <is>
          <t>BASELINE_1_500</t>
        </is>
      </c>
      <c r="U425" s="4" t="inlineStr">
        <is>
          <t>CREATED</t>
        </is>
      </c>
      <c r="V425" s="4" t="inlineStr">
        <is>
          <t>idem-20260902-ios-0424</t>
        </is>
      </c>
    </row>
    <row r="426" ht="30" customHeight="1">
      <c r="A426" s="4" t="n">
        <v>425</v>
      </c>
      <c r="B426" s="4" t="inlineStr">
        <is>
          <t>MTR-IOS-0425</t>
        </is>
      </c>
      <c r="C426" s="4" t="inlineStr">
        <is>
          <t>Group</t>
        </is>
      </c>
      <c r="D426" s="4" t="inlineStr">
        <is>
          <t>Shared Purchase</t>
        </is>
      </c>
      <c r="E426" s="4" t="inlineStr">
        <is>
          <t>Gift Pool</t>
        </is>
      </c>
      <c r="F426" s="4" t="inlineStr">
        <is>
          <t>Gift Purchase</t>
        </is>
      </c>
      <c r="G426" s="4" t="inlineStr">
        <is>
          <t>Expense</t>
        </is>
      </c>
      <c r="H426" s="12" t="n">
        <v>45998</v>
      </c>
      <c r="I426" s="13" t="n">
        <v>0.5693518518518519</v>
      </c>
      <c r="J426" s="14" t="n">
        <v>45998.56935185185</v>
      </c>
      <c r="K426" s="15" t="n">
        <v>4434.72</v>
      </c>
      <c r="L426" s="4" t="inlineStr">
        <is>
          <t>INR</t>
        </is>
      </c>
      <c r="M426" s="15" t="n">
        <v>-4434.72</v>
      </c>
      <c r="N426" s="4" t="inlineStr">
        <is>
          <t>IOS Owner</t>
        </is>
      </c>
      <c r="O426" s="4" t="n">
        <v>3</v>
      </c>
      <c r="P426" s="4" t="inlineStr">
        <is>
          <t>PERCENTAGE</t>
        </is>
      </c>
      <c r="Q426" s="4" t="inlineStr">
        <is>
          <t>MAESTRO-IOS-GROUP-GIFT_POOL-0425 | Gift Purchase | 4434.72</t>
        </is>
      </c>
      <c r="R426" s="4" t="inlineStr">
        <is>
          <t>iPhone</t>
        </is>
      </c>
      <c r="S426" s="4" t="inlineStr">
        <is>
          <t>B09</t>
        </is>
      </c>
      <c r="T426" s="4" t="inlineStr">
        <is>
          <t>BASELINE_1_500</t>
        </is>
      </c>
      <c r="U426" s="4" t="inlineStr">
        <is>
          <t>CREATED</t>
        </is>
      </c>
      <c r="V426" s="4" t="inlineStr">
        <is>
          <t>idem-20260902-ios-0425</t>
        </is>
      </c>
    </row>
    <row r="427" ht="30" customHeight="1">
      <c r="A427" s="4" t="n">
        <v>426</v>
      </c>
      <c r="B427" s="4" t="inlineStr">
        <is>
          <t>MTR-IOS-0426</t>
        </is>
      </c>
      <c r="C427" s="4" t="inlineStr">
        <is>
          <t>Business</t>
        </is>
      </c>
      <c r="D427" s="4" t="inlineStr">
        <is>
          <t>Business</t>
        </is>
      </c>
      <c r="E427" s="4" t="inlineStr">
        <is>
          <t>Business Operations</t>
        </is>
      </c>
      <c r="F427" s="4" t="inlineStr">
        <is>
          <t>Marketing</t>
        </is>
      </c>
      <c r="G427" s="4" t="inlineStr">
        <is>
          <t>Expense</t>
        </is>
      </c>
      <c r="H427" s="12" t="n">
        <v>45989</v>
      </c>
      <c r="I427" s="13" t="n">
        <v>0.3093634259259259</v>
      </c>
      <c r="J427" s="14" t="n">
        <v>45989.30936342593</v>
      </c>
      <c r="K427" s="15" t="n">
        <v>17986.18</v>
      </c>
      <c r="L427" s="4" t="inlineStr">
        <is>
          <t>INR</t>
        </is>
      </c>
      <c r="M427" s="15" t="n">
        <v>-17986.18</v>
      </c>
      <c r="N427" s="4" t="inlineStr">
        <is>
          <t>IOS Owner</t>
        </is>
      </c>
      <c r="O427" s="4" t="n"/>
      <c r="P427" s="4" t="n"/>
      <c r="Q427" s="4" t="inlineStr">
        <is>
          <t>MAESTRO-IOS-BUSINESS-BUSINESS_OPERATIONS-0426 | Marketing | 17986.18</t>
        </is>
      </c>
      <c r="R427" s="4" t="inlineStr">
        <is>
          <t>iPhone</t>
        </is>
      </c>
      <c r="S427" s="4" t="inlineStr">
        <is>
          <t>B09</t>
        </is>
      </c>
      <c r="T427" s="4" t="inlineStr">
        <is>
          <t>BASELINE_1_500</t>
        </is>
      </c>
      <c r="U427" s="4" t="inlineStr">
        <is>
          <t>CREATED</t>
        </is>
      </c>
      <c r="V427" s="4" t="inlineStr">
        <is>
          <t>idem-20260902-ios-0426</t>
        </is>
      </c>
    </row>
    <row r="428" ht="30" customHeight="1">
      <c r="A428" s="4" t="n">
        <v>427</v>
      </c>
      <c r="B428" s="4" t="inlineStr">
        <is>
          <t>MTR-IOS-0427</t>
        </is>
      </c>
      <c r="C428" s="4" t="inlineStr">
        <is>
          <t>Personal</t>
        </is>
      </c>
      <c r="D428" s="4" t="inlineStr">
        <is>
          <t>Personal</t>
        </is>
      </c>
      <c r="E428" s="4" t="inlineStr">
        <is>
          <t>Life Operations</t>
        </is>
      </c>
      <c r="F428" s="4" t="inlineStr">
        <is>
          <t>Healthcare</t>
        </is>
      </c>
      <c r="G428" s="4" t="inlineStr">
        <is>
          <t>Expense</t>
        </is>
      </c>
      <c r="H428" s="12" t="n">
        <v>46056</v>
      </c>
      <c r="I428" s="13" t="n">
        <v>0.4481365740740741</v>
      </c>
      <c r="J428" s="14" t="n">
        <v>46056.44813657407</v>
      </c>
      <c r="K428" s="15" t="n">
        <v>11337.61</v>
      </c>
      <c r="L428" s="4" t="inlineStr">
        <is>
          <t>INR</t>
        </is>
      </c>
      <c r="M428" s="15" t="n">
        <v>-11337.61</v>
      </c>
      <c r="N428" s="4" t="inlineStr">
        <is>
          <t>IOS Owner</t>
        </is>
      </c>
      <c r="O428" s="4" t="n"/>
      <c r="P428" s="4" t="n"/>
      <c r="Q428" s="4" t="inlineStr">
        <is>
          <t>MAESTRO-IOS-PERSONAL-LIFE_OPERATIONS-0427 | Healthcare | 11337.61</t>
        </is>
      </c>
      <c r="R428" s="4" t="inlineStr">
        <is>
          <t>iPhone</t>
        </is>
      </c>
      <c r="S428" s="4" t="inlineStr">
        <is>
          <t>B09</t>
        </is>
      </c>
      <c r="T428" s="4" t="inlineStr">
        <is>
          <t>BASELINE_1_500</t>
        </is>
      </c>
      <c r="U428" s="4" t="inlineStr">
        <is>
          <t>CREATED</t>
        </is>
      </c>
      <c r="V428" s="4" t="inlineStr">
        <is>
          <t>idem-20260902-ios-0427</t>
        </is>
      </c>
    </row>
    <row r="429" ht="30" customHeight="1">
      <c r="A429" s="4" t="n">
        <v>428</v>
      </c>
      <c r="B429" s="4" t="inlineStr">
        <is>
          <t>MTR-IOS-0428</t>
        </is>
      </c>
      <c r="C429" s="4" t="inlineStr">
        <is>
          <t>Group</t>
        </is>
      </c>
      <c r="D429" s="4" t="inlineStr">
        <is>
          <t>Shared Purchase</t>
        </is>
      </c>
      <c r="E429" s="4" t="inlineStr">
        <is>
          <t>Gift Pool</t>
        </is>
      </c>
      <c r="F429" s="4" t="inlineStr">
        <is>
          <t>Delivery</t>
        </is>
      </c>
      <c r="G429" s="4" t="inlineStr">
        <is>
          <t>Expense</t>
        </is>
      </c>
      <c r="H429" s="12" t="n">
        <v>45975</v>
      </c>
      <c r="I429" s="13" t="n">
        <v>0.2714351851851852</v>
      </c>
      <c r="J429" s="14" t="n">
        <v>45975.27143518518</v>
      </c>
      <c r="K429" s="15" t="n">
        <v>17199.11</v>
      </c>
      <c r="L429" s="4" t="inlineStr">
        <is>
          <t>INR</t>
        </is>
      </c>
      <c r="M429" s="15" t="n">
        <v>-17199.11</v>
      </c>
      <c r="N429" s="4" t="inlineStr">
        <is>
          <t>IOS Aarav</t>
        </is>
      </c>
      <c r="O429" s="4" t="n">
        <v>3</v>
      </c>
      <c r="P429" s="4" t="inlineStr">
        <is>
          <t>EXACT</t>
        </is>
      </c>
      <c r="Q429" s="4" t="inlineStr">
        <is>
          <t>MAESTRO-IOS-GROUP-GIFT_POOL-0428 | Delivery | 17199.11</t>
        </is>
      </c>
      <c r="R429" s="4" t="inlineStr">
        <is>
          <t>iPhone</t>
        </is>
      </c>
      <c r="S429" s="4" t="inlineStr">
        <is>
          <t>B09</t>
        </is>
      </c>
      <c r="T429" s="4" t="inlineStr">
        <is>
          <t>BASELINE_1_500</t>
        </is>
      </c>
      <c r="U429" s="4" t="inlineStr">
        <is>
          <t>CREATED</t>
        </is>
      </c>
      <c r="V429" s="4" t="inlineStr">
        <is>
          <t>idem-20260902-ios-0428</t>
        </is>
      </c>
    </row>
    <row r="430" ht="30" customHeight="1">
      <c r="A430" s="4" t="n">
        <v>429</v>
      </c>
      <c r="B430" s="4" t="inlineStr">
        <is>
          <t>MTR-IOS-0429</t>
        </is>
      </c>
      <c r="C430" s="4" t="inlineStr">
        <is>
          <t>Business</t>
        </is>
      </c>
      <c r="D430" s="4" t="inlineStr">
        <is>
          <t>Business</t>
        </is>
      </c>
      <c r="E430" s="4" t="inlineStr">
        <is>
          <t>Business Operations</t>
        </is>
      </c>
      <c r="F430" s="4" t="inlineStr">
        <is>
          <t>Legal</t>
        </is>
      </c>
      <c r="G430" s="4" t="inlineStr">
        <is>
          <t>Expense</t>
        </is>
      </c>
      <c r="H430" s="12" t="n">
        <v>45984</v>
      </c>
      <c r="I430" s="13" t="n">
        <v>0.3820601851851852</v>
      </c>
      <c r="J430" s="14" t="n">
        <v>45984.38206018518</v>
      </c>
      <c r="K430" s="15" t="n">
        <v>56929.33</v>
      </c>
      <c r="L430" s="4" t="inlineStr">
        <is>
          <t>INR</t>
        </is>
      </c>
      <c r="M430" s="15" t="n">
        <v>-56929.33</v>
      </c>
      <c r="N430" s="4" t="inlineStr">
        <is>
          <t>IOS Owner</t>
        </is>
      </c>
      <c r="O430" s="4" t="n"/>
      <c r="P430" s="4" t="n"/>
      <c r="Q430" s="4" t="inlineStr">
        <is>
          <t>MAESTRO-IOS-BUSINESS-BUSINESS_OPERATIONS-0429 | Legal | 56929.33</t>
        </is>
      </c>
      <c r="R430" s="4" t="inlineStr">
        <is>
          <t>iPhone</t>
        </is>
      </c>
      <c r="S430" s="4" t="inlineStr">
        <is>
          <t>B09</t>
        </is>
      </c>
      <c r="T430" s="4" t="inlineStr">
        <is>
          <t>BASELINE_1_500</t>
        </is>
      </c>
      <c r="U430" s="4" t="inlineStr">
        <is>
          <t>CREATED</t>
        </is>
      </c>
      <c r="V430" s="4" t="inlineStr">
        <is>
          <t>idem-20260902-ios-0429</t>
        </is>
      </c>
    </row>
    <row r="431" ht="30" customHeight="1">
      <c r="A431" s="4" t="n">
        <v>430</v>
      </c>
      <c r="B431" s="4" t="inlineStr">
        <is>
          <t>MTR-IOS-0430</t>
        </is>
      </c>
      <c r="C431" s="4" t="inlineStr">
        <is>
          <t>Personal</t>
        </is>
      </c>
      <c r="D431" s="4" t="inlineStr">
        <is>
          <t>Personal</t>
        </is>
      </c>
      <c r="E431" s="4" t="inlineStr">
        <is>
          <t>Life Operations</t>
        </is>
      </c>
      <c r="F431" s="4" t="inlineStr">
        <is>
          <t>Subscriptions</t>
        </is>
      </c>
      <c r="G431" s="4" t="inlineStr">
        <is>
          <t>Expense</t>
        </is>
      </c>
      <c r="H431" s="12" t="n">
        <v>46119</v>
      </c>
      <c r="I431" s="13" t="n">
        <v>0.2121412037037037</v>
      </c>
      <c r="J431" s="14" t="n">
        <v>46119.2121412037</v>
      </c>
      <c r="K431" s="15" t="n">
        <v>10010.82</v>
      </c>
      <c r="L431" s="4" t="inlineStr">
        <is>
          <t>INR</t>
        </is>
      </c>
      <c r="M431" s="15" t="n">
        <v>-10010.82</v>
      </c>
      <c r="N431" s="4" t="inlineStr">
        <is>
          <t>IOS Owner</t>
        </is>
      </c>
      <c r="O431" s="4" t="n"/>
      <c r="P431" s="4" t="n"/>
      <c r="Q431" s="4" t="inlineStr">
        <is>
          <t>MAESTRO-IOS-PERSONAL-LIFE_OPERATIONS-0430 | Subscriptions | 10010.82</t>
        </is>
      </c>
      <c r="R431" s="4" t="inlineStr">
        <is>
          <t>iPhone</t>
        </is>
      </c>
      <c r="S431" s="4" t="inlineStr">
        <is>
          <t>B09</t>
        </is>
      </c>
      <c r="T431" s="4" t="inlineStr">
        <is>
          <t>BASELINE_1_500</t>
        </is>
      </c>
      <c r="U431" s="4" t="inlineStr">
        <is>
          <t>CREATED</t>
        </is>
      </c>
      <c r="V431" s="4" t="inlineStr">
        <is>
          <t>idem-20260902-ios-0430</t>
        </is>
      </c>
    </row>
    <row r="432" ht="30" customHeight="1">
      <c r="A432" s="4" t="n">
        <v>431</v>
      </c>
      <c r="B432" s="4" t="inlineStr">
        <is>
          <t>MTR-IOS-0431</t>
        </is>
      </c>
      <c r="C432" s="4" t="inlineStr">
        <is>
          <t>Group</t>
        </is>
      </c>
      <c r="D432" s="4" t="inlineStr">
        <is>
          <t>Shared Purchase</t>
        </is>
      </c>
      <c r="E432" s="4" t="inlineStr">
        <is>
          <t>Gift Pool</t>
        </is>
      </c>
      <c r="F432" s="4" t="inlineStr">
        <is>
          <t>Other</t>
        </is>
      </c>
      <c r="G432" s="4" t="inlineStr">
        <is>
          <t>Expense</t>
        </is>
      </c>
      <c r="H432" s="12" t="n">
        <v>46144</v>
      </c>
      <c r="I432" s="13" t="n">
        <v>0.7466203703703703</v>
      </c>
      <c r="J432" s="14" t="n">
        <v>46144.74662037037</v>
      </c>
      <c r="K432" s="15" t="n">
        <v>8805.559999999999</v>
      </c>
      <c r="L432" s="4" t="inlineStr">
        <is>
          <t>INR</t>
        </is>
      </c>
      <c r="M432" s="15" t="n">
        <v>-8805.559999999999</v>
      </c>
      <c r="N432" s="4" t="inlineStr">
        <is>
          <t>IOS Meera</t>
        </is>
      </c>
      <c r="O432" s="4" t="n">
        <v>3</v>
      </c>
      <c r="P432" s="4" t="inlineStr">
        <is>
          <t>SHARES</t>
        </is>
      </c>
      <c r="Q432" s="4" t="inlineStr">
        <is>
          <t>MAESTRO-IOS-GROUP-GIFT_POOL-0431 | Other | 8805.56</t>
        </is>
      </c>
      <c r="R432" s="4" t="inlineStr">
        <is>
          <t>iPhone</t>
        </is>
      </c>
      <c r="S432" s="4" t="inlineStr">
        <is>
          <t>B09</t>
        </is>
      </c>
      <c r="T432" s="4" t="inlineStr">
        <is>
          <t>BASELINE_1_500</t>
        </is>
      </c>
      <c r="U432" s="4" t="inlineStr">
        <is>
          <t>CREATED</t>
        </is>
      </c>
      <c r="V432" s="4" t="inlineStr">
        <is>
          <t>idem-20260902-ios-0431</t>
        </is>
      </c>
    </row>
    <row r="433" ht="30" customHeight="1">
      <c r="A433" s="4" t="n">
        <v>432</v>
      </c>
      <c r="B433" s="4" t="inlineStr">
        <is>
          <t>MTR-IOS-0432</t>
        </is>
      </c>
      <c r="C433" s="4" t="inlineStr">
        <is>
          <t>Business</t>
        </is>
      </c>
      <c r="D433" s="4" t="inlineStr">
        <is>
          <t>Business</t>
        </is>
      </c>
      <c r="E433" s="4" t="inlineStr">
        <is>
          <t>Business Operations</t>
        </is>
      </c>
      <c r="F433" s="4" t="inlineStr">
        <is>
          <t>Accounting</t>
        </is>
      </c>
      <c r="G433" s="4" t="inlineStr">
        <is>
          <t>Expense</t>
        </is>
      </c>
      <c r="H433" s="12" t="n">
        <v>46254</v>
      </c>
      <c r="I433" s="13" t="n">
        <v>0.9125462962962962</v>
      </c>
      <c r="J433" s="14" t="n">
        <v>46254.9125462963</v>
      </c>
      <c r="K433" s="15" t="n">
        <v>113276.5</v>
      </c>
      <c r="L433" s="4" t="inlineStr">
        <is>
          <t>INR</t>
        </is>
      </c>
      <c r="M433" s="15" t="n">
        <v>-113276.5</v>
      </c>
      <c r="N433" s="4" t="inlineStr">
        <is>
          <t>IOS Owner</t>
        </is>
      </c>
      <c r="O433" s="4" t="n"/>
      <c r="P433" s="4" t="n"/>
      <c r="Q433" s="4" t="inlineStr">
        <is>
          <t>MAESTRO-IOS-BUSINESS-BUSINESS_OPERATIONS-0432 | Accounting | 113276.50</t>
        </is>
      </c>
      <c r="R433" s="4" t="inlineStr">
        <is>
          <t>iPhone</t>
        </is>
      </c>
      <c r="S433" s="4" t="inlineStr">
        <is>
          <t>B09</t>
        </is>
      </c>
      <c r="T433" s="4" t="inlineStr">
        <is>
          <t>BASELINE_1_500</t>
        </is>
      </c>
      <c r="U433" s="4" t="inlineStr">
        <is>
          <t>CREATED</t>
        </is>
      </c>
      <c r="V433" s="4" t="inlineStr">
        <is>
          <t>idem-20260902-ios-0432</t>
        </is>
      </c>
    </row>
    <row r="434" ht="30" customHeight="1">
      <c r="A434" s="4" t="n">
        <v>433</v>
      </c>
      <c r="B434" s="4" t="inlineStr">
        <is>
          <t>MTR-IOS-0433</t>
        </is>
      </c>
      <c r="C434" s="4" t="inlineStr">
        <is>
          <t>Personal</t>
        </is>
      </c>
      <c r="D434" s="4" t="inlineStr">
        <is>
          <t>Personal</t>
        </is>
      </c>
      <c r="E434" s="4" t="inlineStr">
        <is>
          <t>Life Operations</t>
        </is>
      </c>
      <c r="F434" s="4" t="inlineStr">
        <is>
          <t>Repairs</t>
        </is>
      </c>
      <c r="G434" s="4" t="inlineStr">
        <is>
          <t>Expense</t>
        </is>
      </c>
      <c r="H434" s="12" t="n">
        <v>46234</v>
      </c>
      <c r="I434" s="13" t="n">
        <v>0.8933449074074075</v>
      </c>
      <c r="J434" s="14" t="n">
        <v>46234.89334490741</v>
      </c>
      <c r="K434" s="15" t="n">
        <v>9929.879999999999</v>
      </c>
      <c r="L434" s="4" t="inlineStr">
        <is>
          <t>INR</t>
        </is>
      </c>
      <c r="M434" s="15" t="n">
        <v>-9929.879999999999</v>
      </c>
      <c r="N434" s="4" t="inlineStr">
        <is>
          <t>IOS Owner</t>
        </is>
      </c>
      <c r="O434" s="4" t="n"/>
      <c r="P434" s="4" t="n"/>
      <c r="Q434" s="4" t="inlineStr">
        <is>
          <t>MAESTRO-IOS-PERSONAL-LIFE_OPERATIONS-0433 | Repairs | 9929.88</t>
        </is>
      </c>
      <c r="R434" s="4" t="inlineStr">
        <is>
          <t>iPhone</t>
        </is>
      </c>
      <c r="S434" s="4" t="inlineStr">
        <is>
          <t>B09</t>
        </is>
      </c>
      <c r="T434" s="4" t="inlineStr">
        <is>
          <t>BASELINE_1_500</t>
        </is>
      </c>
      <c r="U434" s="4" t="inlineStr">
        <is>
          <t>CREATED</t>
        </is>
      </c>
      <c r="V434" s="4" t="inlineStr">
        <is>
          <t>idem-20260902-ios-0433</t>
        </is>
      </c>
    </row>
    <row r="435" ht="30" customHeight="1">
      <c r="A435" s="4" t="n">
        <v>434</v>
      </c>
      <c r="B435" s="4" t="inlineStr">
        <is>
          <t>MTR-IOS-0434</t>
        </is>
      </c>
      <c r="C435" s="4" t="inlineStr">
        <is>
          <t>Group</t>
        </is>
      </c>
      <c r="D435" s="4" t="inlineStr">
        <is>
          <t>Shared Purchase</t>
        </is>
      </c>
      <c r="E435" s="4" t="inlineStr">
        <is>
          <t>Purchase</t>
        </is>
      </c>
      <c r="F435" s="4" t="inlineStr">
        <is>
          <t>Item</t>
        </is>
      </c>
      <c r="G435" s="4" t="inlineStr">
        <is>
          <t>Expense</t>
        </is>
      </c>
      <c r="H435" s="12" t="n">
        <v>46182</v>
      </c>
      <c r="I435" s="13" t="n">
        <v>0.1806712962962963</v>
      </c>
      <c r="J435" s="14" t="n">
        <v>46182.18067129629</v>
      </c>
      <c r="K435" s="15" t="n">
        <v>20412.85</v>
      </c>
      <c r="L435" s="4" t="inlineStr">
        <is>
          <t>INR</t>
        </is>
      </c>
      <c r="M435" s="15" t="n">
        <v>-20412.85</v>
      </c>
      <c r="N435" s="4" t="inlineStr">
        <is>
          <t>IOS Owner</t>
        </is>
      </c>
      <c r="O435" s="4" t="n">
        <v>3</v>
      </c>
      <c r="P435" s="4" t="inlineStr">
        <is>
          <t>EQUAL</t>
        </is>
      </c>
      <c r="Q435" s="4" t="inlineStr">
        <is>
          <t>MAESTRO-IOS-GROUP-PURCHASE-0434 | Item | 20412.85</t>
        </is>
      </c>
      <c r="R435" s="4" t="inlineStr">
        <is>
          <t>iPhone</t>
        </is>
      </c>
      <c r="S435" s="4" t="inlineStr">
        <is>
          <t>B09</t>
        </is>
      </c>
      <c r="T435" s="4" t="inlineStr">
        <is>
          <t>BASELINE_1_500</t>
        </is>
      </c>
      <c r="U435" s="4" t="inlineStr">
        <is>
          <t>CREATED</t>
        </is>
      </c>
      <c r="V435" s="4" t="inlineStr">
        <is>
          <t>idem-20260902-ios-0434</t>
        </is>
      </c>
    </row>
    <row r="436" ht="30" customHeight="1">
      <c r="A436" s="4" t="n">
        <v>435</v>
      </c>
      <c r="B436" s="4" t="inlineStr">
        <is>
          <t>MTR-IOS-0435</t>
        </is>
      </c>
      <c r="C436" s="4" t="inlineStr">
        <is>
          <t>Business</t>
        </is>
      </c>
      <c r="D436" s="4" t="inlineStr">
        <is>
          <t>Business</t>
        </is>
      </c>
      <c r="E436" s="4" t="inlineStr">
        <is>
          <t>Business Operations</t>
        </is>
      </c>
      <c r="F436" s="4" t="inlineStr">
        <is>
          <t>Equipment</t>
        </is>
      </c>
      <c r="G436" s="4" t="inlineStr">
        <is>
          <t>Expense</t>
        </is>
      </c>
      <c r="H436" s="12" t="n">
        <v>46093</v>
      </c>
      <c r="I436" s="13" t="n">
        <v>0.3266435185185185</v>
      </c>
      <c r="J436" s="14" t="n">
        <v>46093.32664351852</v>
      </c>
      <c r="K436" s="15" t="n">
        <v>46800.73</v>
      </c>
      <c r="L436" s="4" t="inlineStr">
        <is>
          <t>INR</t>
        </is>
      </c>
      <c r="M436" s="15" t="n">
        <v>-46800.73</v>
      </c>
      <c r="N436" s="4" t="inlineStr">
        <is>
          <t>IOS Owner</t>
        </is>
      </c>
      <c r="O436" s="4" t="n"/>
      <c r="P436" s="4" t="n"/>
      <c r="Q436" s="4" t="inlineStr">
        <is>
          <t>MAESTRO-IOS-BUSINESS-BUSINESS_OPERATIONS-0435 | Equipment | 46800.73</t>
        </is>
      </c>
      <c r="R436" s="4" t="inlineStr">
        <is>
          <t>iPhone</t>
        </is>
      </c>
      <c r="S436" s="4" t="inlineStr">
        <is>
          <t>B09</t>
        </is>
      </c>
      <c r="T436" s="4" t="inlineStr">
        <is>
          <t>BASELINE_1_500</t>
        </is>
      </c>
      <c r="U436" s="4" t="inlineStr">
        <is>
          <t>CREATED</t>
        </is>
      </c>
      <c r="V436" s="4" t="inlineStr">
        <is>
          <t>idem-20260902-ios-0435</t>
        </is>
      </c>
    </row>
    <row r="437" ht="30" customHeight="1">
      <c r="A437" s="4" t="n">
        <v>436</v>
      </c>
      <c r="B437" s="4" t="inlineStr">
        <is>
          <t>MTR-IOS-0436</t>
        </is>
      </c>
      <c r="C437" s="4" t="inlineStr">
        <is>
          <t>Personal</t>
        </is>
      </c>
      <c r="D437" s="4" t="inlineStr">
        <is>
          <t>Personal</t>
        </is>
      </c>
      <c r="E437" s="4" t="inlineStr">
        <is>
          <t>Future Building</t>
        </is>
      </c>
      <c r="F437" s="4" t="inlineStr">
        <is>
          <t>Savings</t>
        </is>
      </c>
      <c r="G437" s="4" t="inlineStr">
        <is>
          <t>Transfer</t>
        </is>
      </c>
      <c r="H437" s="12" t="n">
        <v>46123</v>
      </c>
      <c r="I437" s="13" t="n">
        <v>0.3485763888888889</v>
      </c>
      <c r="J437" s="14" t="n">
        <v>46123.34857638889</v>
      </c>
      <c r="K437" s="15" t="n">
        <v>1368.64</v>
      </c>
      <c r="L437" s="4" t="inlineStr">
        <is>
          <t>INR</t>
        </is>
      </c>
      <c r="M437" s="15" t="n">
        <v>0</v>
      </c>
      <c r="N437" s="4" t="inlineStr">
        <is>
          <t>IOS Owner</t>
        </is>
      </c>
      <c r="O437" s="4" t="n"/>
      <c r="P437" s="4" t="n"/>
      <c r="Q437" s="4" t="inlineStr">
        <is>
          <t>MAESTRO-IOS-PERSONAL-FUTURE_BUILDING-0436 | Savings | 1368.64</t>
        </is>
      </c>
      <c r="R437" s="4" t="inlineStr">
        <is>
          <t>iPhone</t>
        </is>
      </c>
      <c r="S437" s="4" t="inlineStr">
        <is>
          <t>B09</t>
        </is>
      </c>
      <c r="T437" s="4" t="inlineStr">
        <is>
          <t>BASELINE_1_500</t>
        </is>
      </c>
      <c r="U437" s="4" t="inlineStr">
        <is>
          <t>CREATED</t>
        </is>
      </c>
      <c r="V437" s="4" t="inlineStr">
        <is>
          <t>idem-20260902-ios-0436</t>
        </is>
      </c>
    </row>
    <row r="438" ht="30" customHeight="1">
      <c r="A438" s="4" t="n">
        <v>437</v>
      </c>
      <c r="B438" s="4" t="inlineStr">
        <is>
          <t>MTR-IOS-0437</t>
        </is>
      </c>
      <c r="C438" s="4" t="inlineStr">
        <is>
          <t>Group</t>
        </is>
      </c>
      <c r="D438" s="4" t="inlineStr">
        <is>
          <t>Shared Purchase</t>
        </is>
      </c>
      <c r="E438" s="4" t="inlineStr">
        <is>
          <t>Purchase</t>
        </is>
      </c>
      <c r="F438" s="4" t="inlineStr">
        <is>
          <t>Shipping</t>
        </is>
      </c>
      <c r="G438" s="4" t="inlineStr">
        <is>
          <t>Expense</t>
        </is>
      </c>
      <c r="H438" s="12" t="n">
        <v>46111</v>
      </c>
      <c r="I438" s="13" t="n">
        <v>0.5660532407407407</v>
      </c>
      <c r="J438" s="14" t="n">
        <v>46111.56605324074</v>
      </c>
      <c r="K438" s="15" t="n">
        <v>13270.79</v>
      </c>
      <c r="L438" s="4" t="inlineStr">
        <is>
          <t>INR</t>
        </is>
      </c>
      <c r="M438" s="15" t="n">
        <v>-13270.79</v>
      </c>
      <c r="N438" s="4" t="inlineStr">
        <is>
          <t>IOS Aarav</t>
        </is>
      </c>
      <c r="O438" s="4" t="n">
        <v>3</v>
      </c>
      <c r="P438" s="4" t="inlineStr">
        <is>
          <t>PERCENTAGE</t>
        </is>
      </c>
      <c r="Q438" s="4" t="inlineStr">
        <is>
          <t>MAESTRO-IOS-GROUP-PURCHASE-0437 | Shipping | 13270.79</t>
        </is>
      </c>
      <c r="R438" s="4" t="inlineStr">
        <is>
          <t>iPhone</t>
        </is>
      </c>
      <c r="S438" s="4" t="inlineStr">
        <is>
          <t>B09</t>
        </is>
      </c>
      <c r="T438" s="4" t="inlineStr">
        <is>
          <t>BASELINE_1_500</t>
        </is>
      </c>
      <c r="U438" s="4" t="inlineStr">
        <is>
          <t>CREATED</t>
        </is>
      </c>
      <c r="V438" s="4" t="inlineStr">
        <is>
          <t>idem-20260902-ios-0437</t>
        </is>
      </c>
    </row>
    <row r="439" ht="30" customHeight="1">
      <c r="A439" s="4" t="n">
        <v>438</v>
      </c>
      <c r="B439" s="4" t="inlineStr">
        <is>
          <t>MTR-IOS-0438</t>
        </is>
      </c>
      <c r="C439" s="4" t="inlineStr">
        <is>
          <t>Business</t>
        </is>
      </c>
      <c r="D439" s="4" t="inlineStr">
        <is>
          <t>Business</t>
        </is>
      </c>
      <c r="E439" s="4" t="inlineStr">
        <is>
          <t>Business Operations</t>
        </is>
      </c>
      <c r="F439" s="4" t="inlineStr">
        <is>
          <t>Vendor</t>
        </is>
      </c>
      <c r="G439" s="4" t="inlineStr">
        <is>
          <t>Expense</t>
        </is>
      </c>
      <c r="H439" s="12" t="n">
        <v>45915</v>
      </c>
      <c r="I439" s="13" t="n">
        <v>0.2347453703703704</v>
      </c>
      <c r="J439" s="14" t="n">
        <v>45915.23474537037</v>
      </c>
      <c r="K439" s="15" t="n">
        <v>135659.13</v>
      </c>
      <c r="L439" s="4" t="inlineStr">
        <is>
          <t>INR</t>
        </is>
      </c>
      <c r="M439" s="15" t="n">
        <v>-135659.13</v>
      </c>
      <c r="N439" s="4" t="inlineStr">
        <is>
          <t>IOS Owner</t>
        </is>
      </c>
      <c r="O439" s="4" t="n"/>
      <c r="P439" s="4" t="n"/>
      <c r="Q439" s="4" t="inlineStr">
        <is>
          <t>MAESTRO-IOS-BUSINESS-BUSINESS_OPERATIONS-0438 | Vendor | 135659.13</t>
        </is>
      </c>
      <c r="R439" s="4" t="inlineStr">
        <is>
          <t>iPhone</t>
        </is>
      </c>
      <c r="S439" s="4" t="inlineStr">
        <is>
          <t>B09</t>
        </is>
      </c>
      <c r="T439" s="4" t="inlineStr">
        <is>
          <t>BASELINE_1_500</t>
        </is>
      </c>
      <c r="U439" s="4" t="inlineStr">
        <is>
          <t>CREATED</t>
        </is>
      </c>
      <c r="V439" s="4" t="inlineStr">
        <is>
          <t>idem-20260902-ios-0438</t>
        </is>
      </c>
    </row>
    <row r="440" ht="30" customHeight="1">
      <c r="A440" s="4" t="n">
        <v>439</v>
      </c>
      <c r="B440" s="4" t="inlineStr">
        <is>
          <t>MTR-IOS-0439</t>
        </is>
      </c>
      <c r="C440" s="4" t="inlineStr">
        <is>
          <t>Personal</t>
        </is>
      </c>
      <c r="D440" s="4" t="inlineStr">
        <is>
          <t>Personal</t>
        </is>
      </c>
      <c r="E440" s="4" t="inlineStr">
        <is>
          <t>Future Building</t>
        </is>
      </c>
      <c r="F440" s="4" t="inlineStr">
        <is>
          <t>Emergency Fund</t>
        </is>
      </c>
      <c r="G440" s="4" t="inlineStr">
        <is>
          <t>Transfer</t>
        </is>
      </c>
      <c r="H440" s="12" t="n">
        <v>45975</v>
      </c>
      <c r="I440" s="13" t="n">
        <v>0.7395833333333334</v>
      </c>
      <c r="J440" s="14" t="n">
        <v>45975.73958333334</v>
      </c>
      <c r="K440" s="15" t="n">
        <v>10707.72</v>
      </c>
      <c r="L440" s="4" t="inlineStr">
        <is>
          <t>INR</t>
        </is>
      </c>
      <c r="M440" s="15" t="n">
        <v>0</v>
      </c>
      <c r="N440" s="4" t="inlineStr">
        <is>
          <t>IOS Owner</t>
        </is>
      </c>
      <c r="O440" s="4" t="n"/>
      <c r="P440" s="4" t="n"/>
      <c r="Q440" s="4" t="inlineStr">
        <is>
          <t>MAESTRO-IOS-PERSONAL-FUTURE_BUILDING-0439 | Emergency Fund | 10707.72</t>
        </is>
      </c>
      <c r="R440" s="4" t="inlineStr">
        <is>
          <t>iPhone</t>
        </is>
      </c>
      <c r="S440" s="4" t="inlineStr">
        <is>
          <t>B09</t>
        </is>
      </c>
      <c r="T440" s="4" t="inlineStr">
        <is>
          <t>BASELINE_1_500</t>
        </is>
      </c>
      <c r="U440" s="4" t="inlineStr">
        <is>
          <t>CREATED</t>
        </is>
      </c>
      <c r="V440" s="4" t="inlineStr">
        <is>
          <t>idem-20260902-ios-0439</t>
        </is>
      </c>
    </row>
    <row r="441" ht="30" customHeight="1">
      <c r="A441" s="4" t="n">
        <v>440</v>
      </c>
      <c r="B441" s="4" t="inlineStr">
        <is>
          <t>MTR-IOS-0440</t>
        </is>
      </c>
      <c r="C441" s="4" t="inlineStr">
        <is>
          <t>Group</t>
        </is>
      </c>
      <c r="D441" s="4" t="inlineStr">
        <is>
          <t>Shared Purchase</t>
        </is>
      </c>
      <c r="E441" s="4" t="inlineStr">
        <is>
          <t>Purchase</t>
        </is>
      </c>
      <c r="F441" s="4" t="inlineStr">
        <is>
          <t>Tax</t>
        </is>
      </c>
      <c r="G441" s="4" t="inlineStr">
        <is>
          <t>Expense</t>
        </is>
      </c>
      <c r="H441" s="12" t="n">
        <v>46200</v>
      </c>
      <c r="I441" s="13" t="n">
        <v>0.9055092592592593</v>
      </c>
      <c r="J441" s="14" t="n">
        <v>46200.90550925926</v>
      </c>
      <c r="K441" s="15" t="n">
        <v>4529.41</v>
      </c>
      <c r="L441" s="4" t="inlineStr">
        <is>
          <t>INR</t>
        </is>
      </c>
      <c r="M441" s="15" t="n">
        <v>-4529.41</v>
      </c>
      <c r="N441" s="4" t="inlineStr">
        <is>
          <t>IOS Meera</t>
        </is>
      </c>
      <c r="O441" s="4" t="n">
        <v>3</v>
      </c>
      <c r="P441" s="4" t="inlineStr">
        <is>
          <t>EXACT</t>
        </is>
      </c>
      <c r="Q441" s="4" t="inlineStr">
        <is>
          <t>MAESTRO-IOS-GROUP-PURCHASE-0440 | Tax | 4529.41</t>
        </is>
      </c>
      <c r="R441" s="4" t="inlineStr">
        <is>
          <t>iPhone</t>
        </is>
      </c>
      <c r="S441" s="4" t="inlineStr">
        <is>
          <t>B09</t>
        </is>
      </c>
      <c r="T441" s="4" t="inlineStr">
        <is>
          <t>BASELINE_1_500</t>
        </is>
      </c>
      <c r="U441" s="4" t="inlineStr">
        <is>
          <t>CREATED</t>
        </is>
      </c>
      <c r="V441" s="4" t="inlineStr">
        <is>
          <t>idem-20260902-ios-0440</t>
        </is>
      </c>
    </row>
    <row r="442" ht="30" customHeight="1">
      <c r="A442" s="4" t="n">
        <v>441</v>
      </c>
      <c r="B442" s="4" t="inlineStr">
        <is>
          <t>MTR-IOS-0441</t>
        </is>
      </c>
      <c r="C442" s="4" t="inlineStr">
        <is>
          <t>Business</t>
        </is>
      </c>
      <c r="D442" s="4" t="inlineStr">
        <is>
          <t>Business</t>
        </is>
      </c>
      <c r="E442" s="4" t="inlineStr">
        <is>
          <t>Business Operations</t>
        </is>
      </c>
      <c r="F442" s="4" t="inlineStr">
        <is>
          <t>Tax</t>
        </is>
      </c>
      <c r="G442" s="4" t="inlineStr">
        <is>
          <t>Expense</t>
        </is>
      </c>
      <c r="H442" s="12" t="n">
        <v>46139</v>
      </c>
      <c r="I442" s="13" t="n">
        <v>0.01958333333333333</v>
      </c>
      <c r="J442" s="14" t="n">
        <v>46139.01958333333</v>
      </c>
      <c r="K442" s="15" t="n">
        <v>125690.78</v>
      </c>
      <c r="L442" s="4" t="inlineStr">
        <is>
          <t>INR</t>
        </is>
      </c>
      <c r="M442" s="15" t="n">
        <v>-125690.78</v>
      </c>
      <c r="N442" s="4" t="inlineStr">
        <is>
          <t>IOS Owner</t>
        </is>
      </c>
      <c r="O442" s="4" t="n"/>
      <c r="P442" s="4" t="n"/>
      <c r="Q442" s="4" t="inlineStr">
        <is>
          <t>MAESTRO-IOS-BUSINESS-BUSINESS_OPERATIONS-0441 | Tax | 125690.78</t>
        </is>
      </c>
      <c r="R442" s="4" t="inlineStr">
        <is>
          <t>iPhone</t>
        </is>
      </c>
      <c r="S442" s="4" t="inlineStr">
        <is>
          <t>B09</t>
        </is>
      </c>
      <c r="T442" s="4" t="inlineStr">
        <is>
          <t>BASELINE_1_500</t>
        </is>
      </c>
      <c r="U442" s="4" t="inlineStr">
        <is>
          <t>CREATED</t>
        </is>
      </c>
      <c r="V442" s="4" t="inlineStr">
        <is>
          <t>idem-20260902-ios-0441</t>
        </is>
      </c>
    </row>
    <row r="443" ht="30" customHeight="1">
      <c r="A443" s="4" t="n">
        <v>442</v>
      </c>
      <c r="B443" s="4" t="inlineStr">
        <is>
          <t>MTR-IOS-0442</t>
        </is>
      </c>
      <c r="C443" s="4" t="inlineStr">
        <is>
          <t>Personal</t>
        </is>
      </c>
      <c r="D443" s="4" t="inlineStr">
        <is>
          <t>Personal</t>
        </is>
      </c>
      <c r="E443" s="4" t="inlineStr">
        <is>
          <t>Future Building</t>
        </is>
      </c>
      <c r="F443" s="4" t="inlineStr">
        <is>
          <t>Investments</t>
        </is>
      </c>
      <c r="G443" s="4" t="inlineStr">
        <is>
          <t>Investment</t>
        </is>
      </c>
      <c r="H443" s="12" t="n">
        <v>46077</v>
      </c>
      <c r="I443" s="13" t="n">
        <v>0.06204861111111111</v>
      </c>
      <c r="J443" s="14" t="n">
        <v>46077.06204861111</v>
      </c>
      <c r="K443" s="15" t="n">
        <v>8713.620000000001</v>
      </c>
      <c r="L443" s="4" t="inlineStr">
        <is>
          <t>INR</t>
        </is>
      </c>
      <c r="M443" s="15" t="n">
        <v>0</v>
      </c>
      <c r="N443" s="4" t="inlineStr">
        <is>
          <t>IOS Owner</t>
        </is>
      </c>
      <c r="O443" s="4" t="n"/>
      <c r="P443" s="4" t="n"/>
      <c r="Q443" s="4" t="inlineStr">
        <is>
          <t>MAESTRO-IOS-PERSONAL-FUTURE_BUILDING-0442 | Investments | 8713.62</t>
        </is>
      </c>
      <c r="R443" s="4" t="inlineStr">
        <is>
          <t>iPhone</t>
        </is>
      </c>
      <c r="S443" s="4" t="inlineStr">
        <is>
          <t>B09</t>
        </is>
      </c>
      <c r="T443" s="4" t="inlineStr">
        <is>
          <t>BASELINE_1_500</t>
        </is>
      </c>
      <c r="U443" s="4" t="inlineStr">
        <is>
          <t>CREATED</t>
        </is>
      </c>
      <c r="V443" s="4" t="inlineStr">
        <is>
          <t>idem-20260902-ios-0442</t>
        </is>
      </c>
    </row>
    <row r="444" ht="30" customHeight="1">
      <c r="A444" s="4" t="n">
        <v>443</v>
      </c>
      <c r="B444" s="4" t="inlineStr">
        <is>
          <t>MTR-IOS-0443</t>
        </is>
      </c>
      <c r="C444" s="4" t="inlineStr">
        <is>
          <t>Group</t>
        </is>
      </c>
      <c r="D444" s="4" t="inlineStr">
        <is>
          <t>Shared Purchase</t>
        </is>
      </c>
      <c r="E444" s="4" t="inlineStr">
        <is>
          <t>Purchase</t>
        </is>
      </c>
      <c r="F444" s="4" t="inlineStr">
        <is>
          <t>Other</t>
        </is>
      </c>
      <c r="G444" s="4" t="inlineStr">
        <is>
          <t>Expense</t>
        </is>
      </c>
      <c r="H444" s="12" t="n">
        <v>46022</v>
      </c>
      <c r="I444" s="13" t="n">
        <v>0.0190625</v>
      </c>
      <c r="J444" s="14" t="n">
        <v>46022.0190625</v>
      </c>
      <c r="K444" s="15" t="n">
        <v>4612.25</v>
      </c>
      <c r="L444" s="4" t="inlineStr">
        <is>
          <t>INR</t>
        </is>
      </c>
      <c r="M444" s="15" t="n">
        <v>-4612.25</v>
      </c>
      <c r="N444" s="4" t="inlineStr">
        <is>
          <t>IOS Owner</t>
        </is>
      </c>
      <c r="O444" s="4" t="n">
        <v>3</v>
      </c>
      <c r="P444" s="4" t="inlineStr">
        <is>
          <t>SHARES</t>
        </is>
      </c>
      <c r="Q444" s="4" t="inlineStr">
        <is>
          <t>MAESTRO-IOS-GROUP-PURCHASE-0443 | Other | 4612.25</t>
        </is>
      </c>
      <c r="R444" s="4" t="inlineStr">
        <is>
          <t>iPhone</t>
        </is>
      </c>
      <c r="S444" s="4" t="inlineStr">
        <is>
          <t>B09</t>
        </is>
      </c>
      <c r="T444" s="4" t="inlineStr">
        <is>
          <t>BASELINE_1_500</t>
        </is>
      </c>
      <c r="U444" s="4" t="inlineStr">
        <is>
          <t>CREATED</t>
        </is>
      </c>
      <c r="V444" s="4" t="inlineStr">
        <is>
          <t>idem-20260902-ios-0443</t>
        </is>
      </c>
    </row>
    <row r="445" ht="30" customHeight="1">
      <c r="A445" s="4" t="n">
        <v>444</v>
      </c>
      <c r="B445" s="4" t="inlineStr">
        <is>
          <t>MTR-IOS-0444</t>
        </is>
      </c>
      <c r="C445" s="4" t="inlineStr">
        <is>
          <t>Business</t>
        </is>
      </c>
      <c r="D445" s="4" t="inlineStr">
        <is>
          <t>Business</t>
        </is>
      </c>
      <c r="E445" s="4" t="inlineStr">
        <is>
          <t>Team Operations</t>
        </is>
      </c>
      <c r="F445" s="4" t="inlineStr">
        <is>
          <t>Payroll</t>
        </is>
      </c>
      <c r="G445" s="4" t="inlineStr">
        <is>
          <t>Expense</t>
        </is>
      </c>
      <c r="H445" s="12" t="n">
        <v>46012</v>
      </c>
      <c r="I445" s="13" t="n">
        <v>0.3926388888888889</v>
      </c>
      <c r="J445" s="14" t="n">
        <v>46012.39263888889</v>
      </c>
      <c r="K445" s="15" t="n">
        <v>0.01</v>
      </c>
      <c r="L445" s="4" t="inlineStr">
        <is>
          <t>INR</t>
        </is>
      </c>
      <c r="M445" s="15" t="n">
        <v>-0.01</v>
      </c>
      <c r="N445" s="4" t="inlineStr">
        <is>
          <t>IOS Owner</t>
        </is>
      </c>
      <c r="O445" s="4" t="n"/>
      <c r="P445" s="4" t="n"/>
      <c r="Q445" s="4" t="inlineStr">
        <is>
          <t>MAESTRO-IOS-BUSINESS-TEAM_OPERATIONS-0444 | Payroll | 0.01</t>
        </is>
      </c>
      <c r="R445" s="4" t="inlineStr">
        <is>
          <t>iPhone</t>
        </is>
      </c>
      <c r="S445" s="4" t="inlineStr">
        <is>
          <t>B09</t>
        </is>
      </c>
      <c r="T445" s="4" t="inlineStr">
        <is>
          <t>BASELINE_1_500</t>
        </is>
      </c>
      <c r="U445" s="4" t="inlineStr">
        <is>
          <t>CREATED</t>
        </is>
      </c>
      <c r="V445" s="4" t="inlineStr">
        <is>
          <t>idem-20260902-ios-0444</t>
        </is>
      </c>
    </row>
    <row r="446" ht="30" customHeight="1">
      <c r="A446" s="4" t="n">
        <v>445</v>
      </c>
      <c r="B446" s="4" t="inlineStr">
        <is>
          <t>MTR-IOS-0445</t>
        </is>
      </c>
      <c r="C446" s="4" t="inlineStr">
        <is>
          <t>Personal</t>
        </is>
      </c>
      <c r="D446" s="4" t="inlineStr">
        <is>
          <t>Personal</t>
        </is>
      </c>
      <c r="E446" s="4" t="inlineStr">
        <is>
          <t>Future Building</t>
        </is>
      </c>
      <c r="F446" s="4" t="inlineStr">
        <is>
          <t>Education</t>
        </is>
      </c>
      <c r="G446" s="4" t="inlineStr">
        <is>
          <t>Expense</t>
        </is>
      </c>
      <c r="H446" s="12" t="n">
        <v>45968</v>
      </c>
      <c r="I446" s="13" t="n">
        <v>0.5445601851851852</v>
      </c>
      <c r="J446" s="14" t="n">
        <v>45968.54456018518</v>
      </c>
      <c r="K446" s="15" t="n">
        <v>7262.84</v>
      </c>
      <c r="L446" s="4" t="inlineStr">
        <is>
          <t>INR</t>
        </is>
      </c>
      <c r="M446" s="15" t="n">
        <v>-7262.84</v>
      </c>
      <c r="N446" s="4" t="inlineStr">
        <is>
          <t>IOS Owner</t>
        </is>
      </c>
      <c r="O446" s="4" t="n"/>
      <c r="P446" s="4" t="n"/>
      <c r="Q446" s="4" t="inlineStr">
        <is>
          <t>MAESTRO-IOS-PERSONAL-FUTURE_BUILDING-0445 | Education | 7262.84</t>
        </is>
      </c>
      <c r="R446" s="4" t="inlineStr">
        <is>
          <t>iPhone</t>
        </is>
      </c>
      <c r="S446" s="4" t="inlineStr">
        <is>
          <t>B09</t>
        </is>
      </c>
      <c r="T446" s="4" t="inlineStr">
        <is>
          <t>BASELINE_1_500</t>
        </is>
      </c>
      <c r="U446" s="4" t="inlineStr">
        <is>
          <t>CREATED</t>
        </is>
      </c>
      <c r="V446" s="4" t="inlineStr">
        <is>
          <t>idem-20260902-ios-0445</t>
        </is>
      </c>
    </row>
    <row r="447" ht="30" customHeight="1">
      <c r="A447" s="4" t="n">
        <v>446</v>
      </c>
      <c r="B447" s="4" t="inlineStr">
        <is>
          <t>MTR-IOS-0446</t>
        </is>
      </c>
      <c r="C447" s="4" t="inlineStr">
        <is>
          <t>Group</t>
        </is>
      </c>
      <c r="D447" s="4" t="inlineStr">
        <is>
          <t>Shared Purchase</t>
        </is>
      </c>
      <c r="E447" s="4" t="inlineStr">
        <is>
          <t>Assets</t>
        </is>
      </c>
      <c r="F447" s="4" t="inlineStr">
        <is>
          <t>Purchase</t>
        </is>
      </c>
      <c r="G447" s="4" t="inlineStr">
        <is>
          <t>Expense</t>
        </is>
      </c>
      <c r="H447" s="12" t="n">
        <v>46100</v>
      </c>
      <c r="I447" s="13" t="n">
        <v>0.4849652777777778</v>
      </c>
      <c r="J447" s="14" t="n">
        <v>46100.48496527778</v>
      </c>
      <c r="K447" s="15" t="n">
        <v>10059</v>
      </c>
      <c r="L447" s="4" t="inlineStr">
        <is>
          <t>INR</t>
        </is>
      </c>
      <c r="M447" s="15" t="n">
        <v>-10059</v>
      </c>
      <c r="N447" s="4" t="inlineStr">
        <is>
          <t>IOS Aarav</t>
        </is>
      </c>
      <c r="O447" s="4" t="n">
        <v>3</v>
      </c>
      <c r="P447" s="4" t="inlineStr">
        <is>
          <t>EQUAL</t>
        </is>
      </c>
      <c r="Q447" s="4" t="inlineStr">
        <is>
          <t>MAESTRO-IOS-GROUP-ASSETS-0446 | Purchase | 10059.00</t>
        </is>
      </c>
      <c r="R447" s="4" t="inlineStr">
        <is>
          <t>iPhone</t>
        </is>
      </c>
      <c r="S447" s="4" t="inlineStr">
        <is>
          <t>B09</t>
        </is>
      </c>
      <c r="T447" s="4" t="inlineStr">
        <is>
          <t>BASELINE_1_500</t>
        </is>
      </c>
      <c r="U447" s="4" t="inlineStr">
        <is>
          <t>CREATED</t>
        </is>
      </c>
      <c r="V447" s="4" t="inlineStr">
        <is>
          <t>idem-20260902-ios-0446</t>
        </is>
      </c>
    </row>
    <row r="448" ht="30" customHeight="1">
      <c r="A448" s="4" t="n">
        <v>447</v>
      </c>
      <c r="B448" s="4" t="inlineStr">
        <is>
          <t>MTR-IOS-0447</t>
        </is>
      </c>
      <c r="C448" s="4" t="inlineStr">
        <is>
          <t>Business</t>
        </is>
      </c>
      <c r="D448" s="4" t="inlineStr">
        <is>
          <t>Business</t>
        </is>
      </c>
      <c r="E448" s="4" t="inlineStr">
        <is>
          <t>Team Operations</t>
        </is>
      </c>
      <c r="F448" s="4" t="inlineStr">
        <is>
          <t>Contractor</t>
        </is>
      </c>
      <c r="G448" s="4" t="inlineStr">
        <is>
          <t>Expense</t>
        </is>
      </c>
      <c r="H448" s="12" t="n">
        <v>46217</v>
      </c>
      <c r="I448" s="13" t="n">
        <v>0.3783796296296296</v>
      </c>
      <c r="J448" s="14" t="n">
        <v>46217.37837962963</v>
      </c>
      <c r="K448" s="15" t="n">
        <v>92859.62</v>
      </c>
      <c r="L448" s="4" t="inlineStr">
        <is>
          <t>INR</t>
        </is>
      </c>
      <c r="M448" s="15" t="n">
        <v>-92859.62</v>
      </c>
      <c r="N448" s="4" t="inlineStr">
        <is>
          <t>IOS Owner</t>
        </is>
      </c>
      <c r="O448" s="4" t="n"/>
      <c r="P448" s="4" t="n"/>
      <c r="Q448" s="4" t="inlineStr">
        <is>
          <t>MAESTRO-IOS-BUSINESS-TEAM_OPERATIONS-0447 | Contractor | 92859.62</t>
        </is>
      </c>
      <c r="R448" s="4" t="inlineStr">
        <is>
          <t>iPhone</t>
        </is>
      </c>
      <c r="S448" s="4" t="inlineStr">
        <is>
          <t>B09</t>
        </is>
      </c>
      <c r="T448" s="4" t="inlineStr">
        <is>
          <t>BASELINE_1_500</t>
        </is>
      </c>
      <c r="U448" s="4" t="inlineStr">
        <is>
          <t>CREATED</t>
        </is>
      </c>
      <c r="V448" s="4" t="inlineStr">
        <is>
          <t>idem-20260902-ios-0447</t>
        </is>
      </c>
    </row>
    <row r="449" ht="30" customHeight="1">
      <c r="A449" s="4" t="n">
        <v>448</v>
      </c>
      <c r="B449" s="4" t="inlineStr">
        <is>
          <t>MTR-IOS-0448</t>
        </is>
      </c>
      <c r="C449" s="4" t="inlineStr">
        <is>
          <t>Personal</t>
        </is>
      </c>
      <c r="D449" s="4" t="inlineStr">
        <is>
          <t>Personal</t>
        </is>
      </c>
      <c r="E449" s="4" t="inlineStr">
        <is>
          <t>Future Building</t>
        </is>
      </c>
      <c r="F449" s="4" t="inlineStr">
        <is>
          <t>Goal Contribution</t>
        </is>
      </c>
      <c r="G449" s="4" t="inlineStr">
        <is>
          <t>Transfer</t>
        </is>
      </c>
      <c r="H449" s="12" t="n">
        <v>45912</v>
      </c>
      <c r="I449" s="13" t="n">
        <v>0.09590277777777778</v>
      </c>
      <c r="J449" s="14" t="n">
        <v>45912.09590277778</v>
      </c>
      <c r="K449" s="15" t="n">
        <v>7555.12</v>
      </c>
      <c r="L449" s="4" t="inlineStr">
        <is>
          <t>INR</t>
        </is>
      </c>
      <c r="M449" s="15" t="n">
        <v>0</v>
      </c>
      <c r="N449" s="4" t="inlineStr">
        <is>
          <t>IOS Owner</t>
        </is>
      </c>
      <c r="O449" s="4" t="n"/>
      <c r="P449" s="4" t="n"/>
      <c r="Q449" s="4" t="inlineStr">
        <is>
          <t>MAESTRO-IOS-PERSONAL-FUTURE_BUILDING-0448 | Goal Contribution | 7555.12</t>
        </is>
      </c>
      <c r="R449" s="4" t="inlineStr">
        <is>
          <t>iPhone</t>
        </is>
      </c>
      <c r="S449" s="4" t="inlineStr">
        <is>
          <t>B09</t>
        </is>
      </c>
      <c r="T449" s="4" t="inlineStr">
        <is>
          <t>BASELINE_1_500</t>
        </is>
      </c>
      <c r="U449" s="4" t="inlineStr">
        <is>
          <t>CREATED</t>
        </is>
      </c>
      <c r="V449" s="4" t="inlineStr">
        <is>
          <t>idem-20260902-ios-0448</t>
        </is>
      </c>
    </row>
    <row r="450" ht="30" customHeight="1">
      <c r="A450" s="4" t="n">
        <v>449</v>
      </c>
      <c r="B450" s="4" t="inlineStr">
        <is>
          <t>MTR-IOS-0449</t>
        </is>
      </c>
      <c r="C450" s="4" t="inlineStr">
        <is>
          <t>Group</t>
        </is>
      </c>
      <c r="D450" s="4" t="inlineStr">
        <is>
          <t>Shared Purchase</t>
        </is>
      </c>
      <c r="E450" s="4" t="inlineStr">
        <is>
          <t>Assets</t>
        </is>
      </c>
      <c r="F450" s="4" t="inlineStr">
        <is>
          <t>Maintenance</t>
        </is>
      </c>
      <c r="G450" s="4" t="inlineStr">
        <is>
          <t>Expense</t>
        </is>
      </c>
      <c r="H450" s="12" t="n">
        <v>45990</v>
      </c>
      <c r="I450" s="13" t="n">
        <v>0.1905439814814815</v>
      </c>
      <c r="J450" s="14" t="n">
        <v>45990.19054398148</v>
      </c>
      <c r="K450" s="15" t="n">
        <v>922.4</v>
      </c>
      <c r="L450" s="4" t="inlineStr">
        <is>
          <t>INR</t>
        </is>
      </c>
      <c r="M450" s="15" t="n">
        <v>-922.4</v>
      </c>
      <c r="N450" s="4" t="inlineStr">
        <is>
          <t>IOS Meera</t>
        </is>
      </c>
      <c r="O450" s="4" t="n">
        <v>3</v>
      </c>
      <c r="P450" s="4" t="inlineStr">
        <is>
          <t>PERCENTAGE</t>
        </is>
      </c>
      <c r="Q450" s="4" t="inlineStr">
        <is>
          <t>MAESTRO-IOS-GROUP-ASSETS-0449 | Maintenance | 922.40</t>
        </is>
      </c>
      <c r="R450" s="4" t="inlineStr">
        <is>
          <t>iPhone</t>
        </is>
      </c>
      <c r="S450" s="4" t="inlineStr">
        <is>
          <t>B09</t>
        </is>
      </c>
      <c r="T450" s="4" t="inlineStr">
        <is>
          <t>BASELINE_1_500</t>
        </is>
      </c>
      <c r="U450" s="4" t="inlineStr">
        <is>
          <t>CREATED</t>
        </is>
      </c>
      <c r="V450" s="4" t="inlineStr">
        <is>
          <t>idem-20260902-ios-0449</t>
        </is>
      </c>
    </row>
    <row r="451" ht="30" customHeight="1">
      <c r="A451" s="4" t="n">
        <v>450</v>
      </c>
      <c r="B451" s="4" t="inlineStr">
        <is>
          <t>MTR-IOS-0450</t>
        </is>
      </c>
      <c r="C451" s="4" t="inlineStr">
        <is>
          <t>Business</t>
        </is>
      </c>
      <c r="D451" s="4" t="inlineStr">
        <is>
          <t>Business</t>
        </is>
      </c>
      <c r="E451" s="4" t="inlineStr">
        <is>
          <t>Team Operations</t>
        </is>
      </c>
      <c r="F451" s="4" t="inlineStr">
        <is>
          <t>Hiring</t>
        </is>
      </c>
      <c r="G451" s="4" t="inlineStr">
        <is>
          <t>Expense</t>
        </is>
      </c>
      <c r="H451" s="12" t="n">
        <v>46029</v>
      </c>
      <c r="I451" s="13" t="n">
        <v>0.9230439814814815</v>
      </c>
      <c r="J451" s="14" t="n">
        <v>46029.92304398148</v>
      </c>
      <c r="K451" s="15" t="n">
        <v>37950.44</v>
      </c>
      <c r="L451" s="4" t="inlineStr">
        <is>
          <t>INR</t>
        </is>
      </c>
      <c r="M451" s="15" t="n">
        <v>-37950.44</v>
      </c>
      <c r="N451" s="4" t="inlineStr">
        <is>
          <t>IOS Owner</t>
        </is>
      </c>
      <c r="O451" s="4" t="n"/>
      <c r="P451" s="4" t="n"/>
      <c r="Q451" s="4" t="inlineStr">
        <is>
          <t>MAESTRO-IOS-BUSINESS-TEAM_OPERATIONS-0450 | Hiring | 37950.44</t>
        </is>
      </c>
      <c r="R451" s="4" t="inlineStr">
        <is>
          <t>iPhone</t>
        </is>
      </c>
      <c r="S451" s="4" t="inlineStr">
        <is>
          <t>B09</t>
        </is>
      </c>
      <c r="T451" s="4" t="inlineStr">
        <is>
          <t>BASELINE_1_500</t>
        </is>
      </c>
      <c r="U451" s="4" t="inlineStr">
        <is>
          <t>CREATED</t>
        </is>
      </c>
      <c r="V451" s="4" t="inlineStr">
        <is>
          <t>idem-20260902-ios-0450</t>
        </is>
      </c>
    </row>
    <row r="452" ht="30" customHeight="1">
      <c r="A452" s="4" t="n">
        <v>451</v>
      </c>
      <c r="B452" s="4" t="inlineStr">
        <is>
          <t>MTR-IOS-0451</t>
        </is>
      </c>
      <c r="C452" s="4" t="inlineStr">
        <is>
          <t>Personal</t>
        </is>
      </c>
      <c r="D452" s="4" t="inlineStr">
        <is>
          <t>Personal</t>
        </is>
      </c>
      <c r="E452" s="4" t="inlineStr">
        <is>
          <t>Lifestyle</t>
        </is>
      </c>
      <c r="F452" s="4" t="inlineStr">
        <is>
          <t>Dining</t>
        </is>
      </c>
      <c r="G452" s="4" t="inlineStr">
        <is>
          <t>Expense</t>
        </is>
      </c>
      <c r="H452" s="12" t="n">
        <v>46206</v>
      </c>
      <c r="I452" s="13" t="n">
        <v>0.2496990740740741</v>
      </c>
      <c r="J452" s="14" t="n">
        <v>46206.24969907408</v>
      </c>
      <c r="K452" s="15" t="n">
        <v>14994.41</v>
      </c>
      <c r="L452" s="4" t="inlineStr">
        <is>
          <t>INR</t>
        </is>
      </c>
      <c r="M452" s="15" t="n">
        <v>-14994.41</v>
      </c>
      <c r="N452" s="4" t="inlineStr">
        <is>
          <t>IOS Owner</t>
        </is>
      </c>
      <c r="O452" s="4" t="n"/>
      <c r="P452" s="4" t="n"/>
      <c r="Q452" s="4" t="inlineStr">
        <is>
          <t>MAESTRO-IOS-PERSONAL-LIFESTYLE-0451 | Dining | 14994.41</t>
        </is>
      </c>
      <c r="R452" s="4" t="inlineStr">
        <is>
          <t>iPhone</t>
        </is>
      </c>
      <c r="S452" s="4" t="inlineStr">
        <is>
          <t>B10</t>
        </is>
      </c>
      <c r="T452" s="4" t="inlineStr">
        <is>
          <t>BASELINE_1_500</t>
        </is>
      </c>
      <c r="U452" s="4" t="inlineStr">
        <is>
          <t>CREATED</t>
        </is>
      </c>
      <c r="V452" s="4" t="inlineStr">
        <is>
          <t>idem-20260902-ios-0451</t>
        </is>
      </c>
    </row>
    <row r="453" ht="30" customHeight="1">
      <c r="A453" s="4" t="n">
        <v>452</v>
      </c>
      <c r="B453" s="4" t="inlineStr">
        <is>
          <t>MTR-IOS-0452</t>
        </is>
      </c>
      <c r="C453" s="4" t="inlineStr">
        <is>
          <t>Group</t>
        </is>
      </c>
      <c r="D453" s="4" t="inlineStr">
        <is>
          <t>Shared Purchase</t>
        </is>
      </c>
      <c r="E453" s="4" t="inlineStr">
        <is>
          <t>Assets</t>
        </is>
      </c>
      <c r="F453" s="4" t="inlineStr">
        <is>
          <t>Repair</t>
        </is>
      </c>
      <c r="G453" s="4" t="inlineStr">
        <is>
          <t>Expense</t>
        </is>
      </c>
      <c r="H453" s="12" t="n">
        <v>46110</v>
      </c>
      <c r="I453" s="13" t="n">
        <v>0.8757291666666667</v>
      </c>
      <c r="J453" s="14" t="n">
        <v>46110.87572916667</v>
      </c>
      <c r="K453" s="15" t="n">
        <v>21974.48</v>
      </c>
      <c r="L453" s="4" t="inlineStr">
        <is>
          <t>INR</t>
        </is>
      </c>
      <c r="M453" s="15" t="n">
        <v>-21974.48</v>
      </c>
      <c r="N453" s="4" t="inlineStr">
        <is>
          <t>IOS Owner</t>
        </is>
      </c>
      <c r="O453" s="4" t="n">
        <v>3</v>
      </c>
      <c r="P453" s="4" t="inlineStr">
        <is>
          <t>EXACT</t>
        </is>
      </c>
      <c r="Q453" s="4" t="inlineStr">
        <is>
          <t>MAESTRO-IOS-GROUP-ASSETS-0452 | Repair | 21974.48</t>
        </is>
      </c>
      <c r="R453" s="4" t="inlineStr">
        <is>
          <t>iPhone</t>
        </is>
      </c>
      <c r="S453" s="4" t="inlineStr">
        <is>
          <t>B10</t>
        </is>
      </c>
      <c r="T453" s="4" t="inlineStr">
        <is>
          <t>BASELINE_1_500</t>
        </is>
      </c>
      <c r="U453" s="4" t="inlineStr">
        <is>
          <t>CREATED</t>
        </is>
      </c>
      <c r="V453" s="4" t="inlineStr">
        <is>
          <t>idem-20260902-ios-0452</t>
        </is>
      </c>
    </row>
    <row r="454" ht="30" customHeight="1">
      <c r="A454" s="4" t="n">
        <v>453</v>
      </c>
      <c r="B454" s="4" t="inlineStr">
        <is>
          <t>MTR-IOS-0453</t>
        </is>
      </c>
      <c r="C454" s="4" t="inlineStr">
        <is>
          <t>Business</t>
        </is>
      </c>
      <c r="D454" s="4" t="inlineStr">
        <is>
          <t>Business</t>
        </is>
      </c>
      <c r="E454" s="4" t="inlineStr">
        <is>
          <t>Team Operations</t>
        </is>
      </c>
      <c r="F454" s="4" t="inlineStr">
        <is>
          <t>Team Meal</t>
        </is>
      </c>
      <c r="G454" s="4" t="inlineStr">
        <is>
          <t>Expense</t>
        </is>
      </c>
      <c r="H454" s="12" t="n">
        <v>46190</v>
      </c>
      <c r="I454" s="13" t="n">
        <v>0.8129166666666666</v>
      </c>
      <c r="J454" s="14" t="n">
        <v>46190.81291666667</v>
      </c>
      <c r="K454" s="15" t="n">
        <v>46032.29</v>
      </c>
      <c r="L454" s="4" t="inlineStr">
        <is>
          <t>INR</t>
        </is>
      </c>
      <c r="M454" s="15" t="n">
        <v>-46032.29</v>
      </c>
      <c r="N454" s="4" t="inlineStr">
        <is>
          <t>IOS Owner</t>
        </is>
      </c>
      <c r="O454" s="4" t="n"/>
      <c r="P454" s="4" t="n"/>
      <c r="Q454" s="4" t="inlineStr">
        <is>
          <t>MAESTRO-IOS-BUSINESS-TEAM_OPERATIONS-0453 | Team Meal | 46032.29</t>
        </is>
      </c>
      <c r="R454" s="4" t="inlineStr">
        <is>
          <t>iPhone</t>
        </is>
      </c>
      <c r="S454" s="4" t="inlineStr">
        <is>
          <t>B10</t>
        </is>
      </c>
      <c r="T454" s="4" t="inlineStr">
        <is>
          <t>BASELINE_1_500</t>
        </is>
      </c>
      <c r="U454" s="4" t="inlineStr">
        <is>
          <t>CREATED</t>
        </is>
      </c>
      <c r="V454" s="4" t="inlineStr">
        <is>
          <t>idem-20260902-ios-0453</t>
        </is>
      </c>
    </row>
    <row r="455" ht="30" customHeight="1">
      <c r="A455" s="4" t="n">
        <v>454</v>
      </c>
      <c r="B455" s="4" t="inlineStr">
        <is>
          <t>MTR-IOS-0454</t>
        </is>
      </c>
      <c r="C455" s="4" t="inlineStr">
        <is>
          <t>Personal</t>
        </is>
      </c>
      <c r="D455" s="4" t="inlineStr">
        <is>
          <t>Personal</t>
        </is>
      </c>
      <c r="E455" s="4" t="inlineStr">
        <is>
          <t>Lifestyle</t>
        </is>
      </c>
      <c r="F455" s="4" t="inlineStr">
        <is>
          <t>Shopping</t>
        </is>
      </c>
      <c r="G455" s="4" t="inlineStr">
        <is>
          <t>Expense</t>
        </is>
      </c>
      <c r="H455" s="12" t="n">
        <v>46172</v>
      </c>
      <c r="I455" s="13" t="n">
        <v>0.8706828703703704</v>
      </c>
      <c r="J455" s="14" t="n">
        <v>46172.87068287037</v>
      </c>
      <c r="K455" s="15" t="n">
        <v>17448.33</v>
      </c>
      <c r="L455" s="4" t="inlineStr">
        <is>
          <t>INR</t>
        </is>
      </c>
      <c r="M455" s="15" t="n">
        <v>-17448.33</v>
      </c>
      <c r="N455" s="4" t="inlineStr">
        <is>
          <t>IOS Owner</t>
        </is>
      </c>
      <c r="O455" s="4" t="n"/>
      <c r="P455" s="4" t="n"/>
      <c r="Q455" s="4" t="inlineStr">
        <is>
          <t>MAESTRO-IOS-PERSONAL-LIFESTYLE-0454 | Shopping | 17448.33</t>
        </is>
      </c>
      <c r="R455" s="4" t="inlineStr">
        <is>
          <t>iPhone</t>
        </is>
      </c>
      <c r="S455" s="4" t="inlineStr">
        <is>
          <t>B10</t>
        </is>
      </c>
      <c r="T455" s="4" t="inlineStr">
        <is>
          <t>BASELINE_1_500</t>
        </is>
      </c>
      <c r="U455" s="4" t="inlineStr">
        <is>
          <t>CREATED</t>
        </is>
      </c>
      <c r="V455" s="4" t="inlineStr">
        <is>
          <t>idem-20260902-ios-0454</t>
        </is>
      </c>
    </row>
    <row r="456" ht="30" customHeight="1">
      <c r="A456" s="4" t="n">
        <v>455</v>
      </c>
      <c r="B456" s="4" t="inlineStr">
        <is>
          <t>MTR-IOS-0455</t>
        </is>
      </c>
      <c r="C456" s="4" t="inlineStr">
        <is>
          <t>Group</t>
        </is>
      </c>
      <c r="D456" s="4" t="inlineStr">
        <is>
          <t>Shared Purchase</t>
        </is>
      </c>
      <c r="E456" s="4" t="inlineStr">
        <is>
          <t>Assets</t>
        </is>
      </c>
      <c r="F456" s="4" t="inlineStr">
        <is>
          <t>Insurance</t>
        </is>
      </c>
      <c r="G456" s="4" t="inlineStr">
        <is>
          <t>Expense</t>
        </is>
      </c>
      <c r="H456" s="12" t="n">
        <v>45987</v>
      </c>
      <c r="I456" s="13" t="n">
        <v>0.5087962962962963</v>
      </c>
      <c r="J456" s="14" t="n">
        <v>45987.50879629629</v>
      </c>
      <c r="K456" s="15" t="n">
        <v>21419.35</v>
      </c>
      <c r="L456" s="4" t="inlineStr">
        <is>
          <t>INR</t>
        </is>
      </c>
      <c r="M456" s="15" t="n">
        <v>-21419.35</v>
      </c>
      <c r="N456" s="4" t="inlineStr">
        <is>
          <t>IOS Aarav</t>
        </is>
      </c>
      <c r="O456" s="4" t="n">
        <v>3</v>
      </c>
      <c r="P456" s="4" t="inlineStr">
        <is>
          <t>SHARES</t>
        </is>
      </c>
      <c r="Q456" s="4" t="inlineStr">
        <is>
          <t>MAESTRO-IOS-GROUP-ASSETS-0455 | Insurance | 21419.35</t>
        </is>
      </c>
      <c r="R456" s="4" t="inlineStr">
        <is>
          <t>iPhone</t>
        </is>
      </c>
      <c r="S456" s="4" t="inlineStr">
        <is>
          <t>B10</t>
        </is>
      </c>
      <c r="T456" s="4" t="inlineStr">
        <is>
          <t>BASELINE_1_500</t>
        </is>
      </c>
      <c r="U456" s="4" t="inlineStr">
        <is>
          <t>CREATED</t>
        </is>
      </c>
      <c r="V456" s="4" t="inlineStr">
        <is>
          <t>idem-20260902-ios-0455</t>
        </is>
      </c>
    </row>
    <row r="457" ht="30" customHeight="1">
      <c r="A457" s="4" t="n">
        <v>456</v>
      </c>
      <c r="B457" s="4" t="inlineStr">
        <is>
          <t>MTR-IOS-0456</t>
        </is>
      </c>
      <c r="C457" s="4" t="inlineStr">
        <is>
          <t>Business</t>
        </is>
      </c>
      <c r="D457" s="4" t="inlineStr">
        <is>
          <t>Business</t>
        </is>
      </c>
      <c r="E457" s="4" t="inlineStr">
        <is>
          <t>Team Operations</t>
        </is>
      </c>
      <c r="F457" s="4" t="inlineStr">
        <is>
          <t>Travel</t>
        </is>
      </c>
      <c r="G457" s="4" t="inlineStr">
        <is>
          <t>Expense</t>
        </is>
      </c>
      <c r="H457" s="12" t="n">
        <v>46113</v>
      </c>
      <c r="I457" s="13" t="n">
        <v>0.925150462962963</v>
      </c>
      <c r="J457" s="14" t="n">
        <v>46113.92515046296</v>
      </c>
      <c r="K457" s="15" t="n">
        <v>100656.7</v>
      </c>
      <c r="L457" s="4" t="inlineStr">
        <is>
          <t>INR</t>
        </is>
      </c>
      <c r="M457" s="15" t="n">
        <v>-100656.7</v>
      </c>
      <c r="N457" s="4" t="inlineStr">
        <is>
          <t>IOS Owner</t>
        </is>
      </c>
      <c r="O457" s="4" t="n"/>
      <c r="P457" s="4" t="n"/>
      <c r="Q457" s="4" t="inlineStr">
        <is>
          <t>MAESTRO-IOS-BUSINESS-TEAM_OPERATIONS-0456 | Travel | 100656.70</t>
        </is>
      </c>
      <c r="R457" s="4" t="inlineStr">
        <is>
          <t>iPhone</t>
        </is>
      </c>
      <c r="S457" s="4" t="inlineStr">
        <is>
          <t>B10</t>
        </is>
      </c>
      <c r="T457" s="4" t="inlineStr">
        <is>
          <t>BASELINE_1_500</t>
        </is>
      </c>
      <c r="U457" s="4" t="inlineStr">
        <is>
          <t>CREATED</t>
        </is>
      </c>
      <c r="V457" s="4" t="inlineStr">
        <is>
          <t>idem-20260902-ios-0456</t>
        </is>
      </c>
    </row>
    <row r="458" ht="30" customHeight="1">
      <c r="A458" s="4" t="n">
        <v>457</v>
      </c>
      <c r="B458" s="4" t="inlineStr">
        <is>
          <t>MTR-IOS-0457</t>
        </is>
      </c>
      <c r="C458" s="4" t="inlineStr">
        <is>
          <t>Personal</t>
        </is>
      </c>
      <c r="D458" s="4" t="inlineStr">
        <is>
          <t>Personal</t>
        </is>
      </c>
      <c r="E458" s="4" t="inlineStr">
        <is>
          <t>Lifestyle</t>
        </is>
      </c>
      <c r="F458" s="4" t="inlineStr">
        <is>
          <t>Entertainment</t>
        </is>
      </c>
      <c r="G458" s="4" t="inlineStr">
        <is>
          <t>Expense</t>
        </is>
      </c>
      <c r="H458" s="12" t="n">
        <v>46228</v>
      </c>
      <c r="I458" s="13" t="n">
        <v>0.04539351851851852</v>
      </c>
      <c r="J458" s="14" t="n">
        <v>46228.04539351852</v>
      </c>
      <c r="K458" s="15" t="n">
        <v>3389.91</v>
      </c>
      <c r="L458" s="4" t="inlineStr">
        <is>
          <t>INR</t>
        </is>
      </c>
      <c r="M458" s="15" t="n">
        <v>-3389.91</v>
      </c>
      <c r="N458" s="4" t="inlineStr">
        <is>
          <t>IOS Owner</t>
        </is>
      </c>
      <c r="O458" s="4" t="n"/>
      <c r="P458" s="4" t="n"/>
      <c r="Q458" s="4" t="inlineStr">
        <is>
          <t>MAESTRO-IOS-PERSONAL-LIFESTYLE-0457 | Entertainment | 3389.91</t>
        </is>
      </c>
      <c r="R458" s="4" t="inlineStr">
        <is>
          <t>iPhone</t>
        </is>
      </c>
      <c r="S458" s="4" t="inlineStr">
        <is>
          <t>B10</t>
        </is>
      </c>
      <c r="T458" s="4" t="inlineStr">
        <is>
          <t>BASELINE_1_500</t>
        </is>
      </c>
      <c r="U458" s="4" t="inlineStr">
        <is>
          <t>CREATED</t>
        </is>
      </c>
      <c r="V458" s="4" t="inlineStr">
        <is>
          <t>idem-20260902-ios-0457</t>
        </is>
      </c>
    </row>
    <row r="459" ht="30" customHeight="1">
      <c r="A459" s="4" t="n">
        <v>458</v>
      </c>
      <c r="B459" s="4" t="inlineStr">
        <is>
          <t>MTR-IOS-0458</t>
        </is>
      </c>
      <c r="C459" s="4" t="inlineStr">
        <is>
          <t>Group</t>
        </is>
      </c>
      <c r="D459" s="4" t="inlineStr">
        <is>
          <t>Shared Purchase</t>
        </is>
      </c>
      <c r="E459" s="4" t="inlineStr">
        <is>
          <t>Assets</t>
        </is>
      </c>
      <c r="F459" s="4" t="inlineStr">
        <is>
          <t>Other</t>
        </is>
      </c>
      <c r="G459" s="4" t="inlineStr">
        <is>
          <t>Expense</t>
        </is>
      </c>
      <c r="H459" s="12" t="n">
        <v>45906</v>
      </c>
      <c r="I459" s="13" t="n">
        <v>0.01265046296296296</v>
      </c>
      <c r="J459" s="14" t="n">
        <v>45906.01265046297</v>
      </c>
      <c r="K459" s="15" t="n">
        <v>26005.71</v>
      </c>
      <c r="L459" s="4" t="inlineStr">
        <is>
          <t>INR</t>
        </is>
      </c>
      <c r="M459" s="15" t="n">
        <v>-26005.71</v>
      </c>
      <c r="N459" s="4" t="inlineStr">
        <is>
          <t>IOS Meera</t>
        </is>
      </c>
      <c r="O459" s="4" t="n">
        <v>3</v>
      </c>
      <c r="P459" s="4" t="inlineStr">
        <is>
          <t>EQUAL</t>
        </is>
      </c>
      <c r="Q459" s="4" t="inlineStr">
        <is>
          <t>MAESTRO-IOS-GROUP-ASSETS-0458 | Other | 26005.71</t>
        </is>
      </c>
      <c r="R459" s="4" t="inlineStr">
        <is>
          <t>iPhone</t>
        </is>
      </c>
      <c r="S459" s="4" t="inlineStr">
        <is>
          <t>B10</t>
        </is>
      </c>
      <c r="T459" s="4" t="inlineStr">
        <is>
          <t>BASELINE_1_500</t>
        </is>
      </c>
      <c r="U459" s="4" t="inlineStr">
        <is>
          <t>CREATED</t>
        </is>
      </c>
      <c r="V459" s="4" t="inlineStr">
        <is>
          <t>idem-20260902-ios-0458</t>
        </is>
      </c>
    </row>
    <row r="460" ht="30" customHeight="1">
      <c r="A460" s="4" t="n">
        <v>459</v>
      </c>
      <c r="B460" s="4" t="inlineStr">
        <is>
          <t>MTR-IOS-0459</t>
        </is>
      </c>
      <c r="C460" s="4" t="inlineStr">
        <is>
          <t>Business</t>
        </is>
      </c>
      <c r="D460" s="4" t="inlineStr">
        <is>
          <t>Business</t>
        </is>
      </c>
      <c r="E460" s="4" t="inlineStr">
        <is>
          <t>Team Operations</t>
        </is>
      </c>
      <c r="F460" s="4" t="inlineStr">
        <is>
          <t>Training</t>
        </is>
      </c>
      <c r="G460" s="4" t="inlineStr">
        <is>
          <t>Expense</t>
        </is>
      </c>
      <c r="H460" s="12" t="n">
        <v>46036</v>
      </c>
      <c r="I460" s="13" t="n">
        <v>0.1554861111111111</v>
      </c>
      <c r="J460" s="14" t="n">
        <v>46036.15548611111</v>
      </c>
      <c r="K460" s="15" t="n">
        <v>40006.81</v>
      </c>
      <c r="L460" s="4" t="inlineStr">
        <is>
          <t>INR</t>
        </is>
      </c>
      <c r="M460" s="15" t="n">
        <v>-40006.81</v>
      </c>
      <c r="N460" s="4" t="inlineStr">
        <is>
          <t>IOS Owner</t>
        </is>
      </c>
      <c r="O460" s="4" t="n"/>
      <c r="P460" s="4" t="n"/>
      <c r="Q460" s="4" t="inlineStr">
        <is>
          <t>MAESTRO-IOS-BUSINESS-TEAM_OPERATIONS-0459 | Training | 40006.81</t>
        </is>
      </c>
      <c r="R460" s="4" t="inlineStr">
        <is>
          <t>iPhone</t>
        </is>
      </c>
      <c r="S460" s="4" t="inlineStr">
        <is>
          <t>B10</t>
        </is>
      </c>
      <c r="T460" s="4" t="inlineStr">
        <is>
          <t>BASELINE_1_500</t>
        </is>
      </c>
      <c r="U460" s="4" t="inlineStr">
        <is>
          <t>CREATED</t>
        </is>
      </c>
      <c r="V460" s="4" t="inlineStr">
        <is>
          <t>idem-20260902-ios-0459</t>
        </is>
      </c>
    </row>
    <row r="461" ht="30" customHeight="1">
      <c r="A461" s="4" t="n">
        <v>460</v>
      </c>
      <c r="B461" s="4" t="inlineStr">
        <is>
          <t>MTR-IOS-0460</t>
        </is>
      </c>
      <c r="C461" s="4" t="inlineStr">
        <is>
          <t>Personal</t>
        </is>
      </c>
      <c r="D461" s="4" t="inlineStr">
        <is>
          <t>Personal</t>
        </is>
      </c>
      <c r="E461" s="4" t="inlineStr">
        <is>
          <t>Lifestyle</t>
        </is>
      </c>
      <c r="F461" s="4" t="inlineStr">
        <is>
          <t>Travel</t>
        </is>
      </c>
      <c r="G461" s="4" t="inlineStr">
        <is>
          <t>Expense</t>
        </is>
      </c>
      <c r="H461" s="12" t="n">
        <v>45935</v>
      </c>
      <c r="I461" s="13" t="n">
        <v>0.2532291666666667</v>
      </c>
      <c r="J461" s="14" t="n">
        <v>45935.25322916666</v>
      </c>
      <c r="K461" s="15" t="n">
        <v>2116.46</v>
      </c>
      <c r="L461" s="4" t="inlineStr">
        <is>
          <t>INR</t>
        </is>
      </c>
      <c r="M461" s="15" t="n">
        <v>-2116.46</v>
      </c>
      <c r="N461" s="4" t="inlineStr">
        <is>
          <t>IOS Owner</t>
        </is>
      </c>
      <c r="O461" s="4" t="n"/>
      <c r="P461" s="4" t="n"/>
      <c r="Q461" s="4" t="inlineStr">
        <is>
          <t>MAESTRO-IOS-PERSONAL-LIFESTYLE-0460 | Travel | 2116.46</t>
        </is>
      </c>
      <c r="R461" s="4" t="inlineStr">
        <is>
          <t>iPhone</t>
        </is>
      </c>
      <c r="S461" s="4" t="inlineStr">
        <is>
          <t>B10</t>
        </is>
      </c>
      <c r="T461" s="4" t="inlineStr">
        <is>
          <t>BASELINE_1_500</t>
        </is>
      </c>
      <c r="U461" s="4" t="inlineStr">
        <is>
          <t>CREATED</t>
        </is>
      </c>
      <c r="V461" s="4" t="inlineStr">
        <is>
          <t>idem-20260902-ios-0460</t>
        </is>
      </c>
    </row>
    <row r="462" ht="30" customHeight="1">
      <c r="A462" s="4" t="n">
        <v>461</v>
      </c>
      <c r="B462" s="4" t="inlineStr">
        <is>
          <t>MTR-IOS-0461</t>
        </is>
      </c>
      <c r="C462" s="4" t="inlineStr">
        <is>
          <t>Group</t>
        </is>
      </c>
      <c r="D462" s="4" t="inlineStr">
        <is>
          <t>Shared Purchase</t>
        </is>
      </c>
      <c r="E462" s="4" t="inlineStr">
        <is>
          <t>Custom Purchase</t>
        </is>
      </c>
      <c r="F462" s="4" t="inlineStr">
        <is>
          <t>Custom Expense</t>
        </is>
      </c>
      <c r="G462" s="4" t="inlineStr">
        <is>
          <t>Expense</t>
        </is>
      </c>
      <c r="H462" s="12" t="n">
        <v>46198</v>
      </c>
      <c r="I462" s="13" t="n">
        <v>0.7399189814814815</v>
      </c>
      <c r="J462" s="14" t="n">
        <v>46198.73991898148</v>
      </c>
      <c r="K462" s="15" t="n">
        <v>21413.66</v>
      </c>
      <c r="L462" s="4" t="inlineStr">
        <is>
          <t>INR</t>
        </is>
      </c>
      <c r="M462" s="15" t="n">
        <v>-21413.66</v>
      </c>
      <c r="N462" s="4" t="inlineStr">
        <is>
          <t>IOS Owner</t>
        </is>
      </c>
      <c r="O462" s="4" t="n">
        <v>3</v>
      </c>
      <c r="P462" s="4" t="inlineStr">
        <is>
          <t>PERCENTAGE</t>
        </is>
      </c>
      <c r="Q462" s="4" t="inlineStr">
        <is>
          <t>MAESTRO-IOS-GROUP-CUSTOM_PURCHASE-0461 | Custom Expense | 21413.66</t>
        </is>
      </c>
      <c r="R462" s="4" t="inlineStr">
        <is>
          <t>iPhone</t>
        </is>
      </c>
      <c r="S462" s="4" t="inlineStr">
        <is>
          <t>B10</t>
        </is>
      </c>
      <c r="T462" s="4" t="inlineStr">
        <is>
          <t>BASELINE_1_500</t>
        </is>
      </c>
      <c r="U462" s="4" t="inlineStr">
        <is>
          <t>CREATED</t>
        </is>
      </c>
      <c r="V462" s="4" t="inlineStr">
        <is>
          <t>idem-20260902-ios-0461</t>
        </is>
      </c>
    </row>
    <row r="463" ht="30" customHeight="1">
      <c r="A463" s="4" t="n">
        <v>462</v>
      </c>
      <c r="B463" s="4" t="inlineStr">
        <is>
          <t>MTR-IOS-0462</t>
        </is>
      </c>
      <c r="C463" s="4" t="inlineStr">
        <is>
          <t>Business</t>
        </is>
      </c>
      <c r="D463" s="4" t="inlineStr">
        <is>
          <t>Business</t>
        </is>
      </c>
      <c r="E463" s="4" t="inlineStr">
        <is>
          <t>Team Operations</t>
        </is>
      </c>
      <c r="F463" s="4" t="inlineStr">
        <is>
          <t>Tools</t>
        </is>
      </c>
      <c r="G463" s="4" t="inlineStr">
        <is>
          <t>Expense</t>
        </is>
      </c>
      <c r="H463" s="12" t="n">
        <v>45992</v>
      </c>
      <c r="I463" s="13" t="n">
        <v>0.5623611111111111</v>
      </c>
      <c r="J463" s="14" t="n">
        <v>45992.56236111111</v>
      </c>
      <c r="K463" s="15" t="n">
        <v>61434.11</v>
      </c>
      <c r="L463" s="4" t="inlineStr">
        <is>
          <t>INR</t>
        </is>
      </c>
      <c r="M463" s="15" t="n">
        <v>-61434.11</v>
      </c>
      <c r="N463" s="4" t="inlineStr">
        <is>
          <t>IOS Owner</t>
        </is>
      </c>
      <c r="O463" s="4" t="n"/>
      <c r="P463" s="4" t="n"/>
      <c r="Q463" s="4" t="inlineStr">
        <is>
          <t>MAESTRO-IOS-BUSINESS-TEAM_OPERATIONS-0462 | Tools | 61434.11</t>
        </is>
      </c>
      <c r="R463" s="4" t="inlineStr">
        <is>
          <t>iPhone</t>
        </is>
      </c>
      <c r="S463" s="4" t="inlineStr">
        <is>
          <t>B10</t>
        </is>
      </c>
      <c r="T463" s="4" t="inlineStr">
        <is>
          <t>BASELINE_1_500</t>
        </is>
      </c>
      <c r="U463" s="4" t="inlineStr">
        <is>
          <t>CREATED</t>
        </is>
      </c>
      <c r="V463" s="4" t="inlineStr">
        <is>
          <t>idem-20260902-ios-0462</t>
        </is>
      </c>
    </row>
    <row r="464" ht="30" customHeight="1">
      <c r="A464" s="4" t="n">
        <v>463</v>
      </c>
      <c r="B464" s="4" t="inlineStr">
        <is>
          <t>MTR-IOS-0463</t>
        </is>
      </c>
      <c r="C464" s="4" t="inlineStr">
        <is>
          <t>Personal</t>
        </is>
      </c>
      <c r="D464" s="4" t="inlineStr">
        <is>
          <t>Personal</t>
        </is>
      </c>
      <c r="E464" s="4" t="inlineStr">
        <is>
          <t>Lifestyle</t>
        </is>
      </c>
      <c r="F464" s="4" t="inlineStr">
        <is>
          <t>Fitness</t>
        </is>
      </c>
      <c r="G464" s="4" t="inlineStr">
        <is>
          <t>Expense</t>
        </is>
      </c>
      <c r="H464" s="12" t="n">
        <v>46006</v>
      </c>
      <c r="I464" s="13" t="n">
        <v>0.1233333333333333</v>
      </c>
      <c r="J464" s="14" t="n">
        <v>46006.12333333334</v>
      </c>
      <c r="K464" s="15" t="n">
        <v>3379.73</v>
      </c>
      <c r="L464" s="4" t="inlineStr">
        <is>
          <t>INR</t>
        </is>
      </c>
      <c r="M464" s="15" t="n">
        <v>-3379.73</v>
      </c>
      <c r="N464" s="4" t="inlineStr">
        <is>
          <t>IOS Owner</t>
        </is>
      </c>
      <c r="O464" s="4" t="n"/>
      <c r="P464" s="4" t="n"/>
      <c r="Q464" s="4" t="inlineStr">
        <is>
          <t>MAESTRO-IOS-PERSONAL-LIFESTYLE-0463 | Fitness | 3379.73</t>
        </is>
      </c>
      <c r="R464" s="4" t="inlineStr">
        <is>
          <t>iPhone</t>
        </is>
      </c>
      <c r="S464" s="4" t="inlineStr">
        <is>
          <t>B10</t>
        </is>
      </c>
      <c r="T464" s="4" t="inlineStr">
        <is>
          <t>BASELINE_1_500</t>
        </is>
      </c>
      <c r="U464" s="4" t="inlineStr">
        <is>
          <t>CREATED</t>
        </is>
      </c>
      <c r="V464" s="4" t="inlineStr">
        <is>
          <t>idem-20260902-ios-0463</t>
        </is>
      </c>
    </row>
    <row r="465" ht="30" customHeight="1">
      <c r="A465" s="4" t="n">
        <v>464</v>
      </c>
      <c r="B465" s="4" t="inlineStr">
        <is>
          <t>MTR-IOS-0464</t>
        </is>
      </c>
      <c r="C465" s="4" t="inlineStr">
        <is>
          <t>Group</t>
        </is>
      </c>
      <c r="D465" s="4" t="inlineStr">
        <is>
          <t>Shared Purchase</t>
        </is>
      </c>
      <c r="E465" s="4" t="inlineStr">
        <is>
          <t>Custom Purchase</t>
        </is>
      </c>
      <c r="F465" s="4" t="inlineStr">
        <is>
          <t>Custom Contribution</t>
        </is>
      </c>
      <c r="G465" s="4" t="inlineStr">
        <is>
          <t>Contribution</t>
        </is>
      </c>
      <c r="H465" s="12" t="n">
        <v>46264</v>
      </c>
      <c r="I465" s="13" t="n">
        <v>0.8257407407407408</v>
      </c>
      <c r="J465" s="14" t="n">
        <v>46264.82574074074</v>
      </c>
      <c r="K465" s="15" t="n">
        <v>3789.99</v>
      </c>
      <c r="L465" s="4" t="inlineStr">
        <is>
          <t>INR</t>
        </is>
      </c>
      <c r="M465" s="15" t="n">
        <v>3789.99</v>
      </c>
      <c r="N465" s="4" t="inlineStr">
        <is>
          <t>IOS Aarav</t>
        </is>
      </c>
      <c r="O465" s="4" t="n">
        <v>3</v>
      </c>
      <c r="P465" s="4" t="inlineStr">
        <is>
          <t>EXACT</t>
        </is>
      </c>
      <c r="Q465" s="4" t="inlineStr">
        <is>
          <t>MAESTRO-IOS-GROUP-CUSTOM_PURCHASE-0464 | Custom Contribution | 3789.99</t>
        </is>
      </c>
      <c r="R465" s="4" t="inlineStr">
        <is>
          <t>iPhone</t>
        </is>
      </c>
      <c r="S465" s="4" t="inlineStr">
        <is>
          <t>B10</t>
        </is>
      </c>
      <c r="T465" s="4" t="inlineStr">
        <is>
          <t>BASELINE_1_500</t>
        </is>
      </c>
      <c r="U465" s="4" t="inlineStr">
        <is>
          <t>CREATED</t>
        </is>
      </c>
      <c r="V465" s="4" t="inlineStr">
        <is>
          <t>idem-20260902-ios-0464</t>
        </is>
      </c>
    </row>
    <row r="466" ht="30" customHeight="1">
      <c r="A466" s="4" t="n">
        <v>465</v>
      </c>
      <c r="B466" s="4" t="inlineStr">
        <is>
          <t>MTR-IOS-0465</t>
        </is>
      </c>
      <c r="C466" s="4" t="inlineStr">
        <is>
          <t>Business</t>
        </is>
      </c>
      <c r="D466" s="4" t="inlineStr">
        <is>
          <t>Business</t>
        </is>
      </c>
      <c r="E466" s="4" t="inlineStr">
        <is>
          <t>Business Runway</t>
        </is>
      </c>
      <c r="F466" s="4" t="inlineStr">
        <is>
          <t>Funding</t>
        </is>
      </c>
      <c r="G466" s="4" t="inlineStr">
        <is>
          <t>Income</t>
        </is>
      </c>
      <c r="H466" s="12" t="n">
        <v>46119</v>
      </c>
      <c r="I466" s="13" t="n">
        <v>0.7224884259259259</v>
      </c>
      <c r="J466" s="14" t="n">
        <v>46119.72248842593</v>
      </c>
      <c r="K466" s="15" t="n">
        <v>160164.33</v>
      </c>
      <c r="L466" s="4" t="inlineStr">
        <is>
          <t>INR</t>
        </is>
      </c>
      <c r="M466" s="15" t="n">
        <v>160164.33</v>
      </c>
      <c r="N466" s="4" t="inlineStr">
        <is>
          <t>IOS Owner</t>
        </is>
      </c>
      <c r="O466" s="4" t="n"/>
      <c r="P466" s="4" t="n"/>
      <c r="Q466" s="4" t="inlineStr">
        <is>
          <t>MAESTRO-IOS-BUSINESS-BUSINESS_RUNWAY-0465 | Funding | 160164.33</t>
        </is>
      </c>
      <c r="R466" s="4" t="inlineStr">
        <is>
          <t>iPhone</t>
        </is>
      </c>
      <c r="S466" s="4" t="inlineStr">
        <is>
          <t>B10</t>
        </is>
      </c>
      <c r="T466" s="4" t="inlineStr">
        <is>
          <t>BASELINE_1_500</t>
        </is>
      </c>
      <c r="U466" s="4" t="inlineStr">
        <is>
          <t>CREATED</t>
        </is>
      </c>
      <c r="V466" s="4" t="inlineStr">
        <is>
          <t>idem-20260902-ios-0465</t>
        </is>
      </c>
    </row>
    <row r="467" ht="30" customHeight="1">
      <c r="A467" s="4" t="n">
        <v>466</v>
      </c>
      <c r="B467" s="4" t="inlineStr">
        <is>
          <t>MTR-IOS-0466</t>
        </is>
      </c>
      <c r="C467" s="4" t="inlineStr">
        <is>
          <t>Personal</t>
        </is>
      </c>
      <c r="D467" s="4" t="inlineStr">
        <is>
          <t>Personal</t>
        </is>
      </c>
      <c r="E467" s="4" t="inlineStr">
        <is>
          <t>Lifestyle</t>
        </is>
      </c>
      <c r="F467" s="4" t="inlineStr">
        <is>
          <t>Hobbies</t>
        </is>
      </c>
      <c r="G467" s="4" t="inlineStr">
        <is>
          <t>Expense</t>
        </is>
      </c>
      <c r="H467" s="12" t="n">
        <v>45932</v>
      </c>
      <c r="I467" s="13" t="n">
        <v>0.9929050925925926</v>
      </c>
      <c r="J467" s="14" t="n">
        <v>45932.99290509259</v>
      </c>
      <c r="K467" s="15" t="n">
        <v>17330.9</v>
      </c>
      <c r="L467" s="4" t="inlineStr">
        <is>
          <t>INR</t>
        </is>
      </c>
      <c r="M467" s="15" t="n">
        <v>-17330.9</v>
      </c>
      <c r="N467" s="4" t="inlineStr">
        <is>
          <t>IOS Owner</t>
        </is>
      </c>
      <c r="O467" s="4" t="n"/>
      <c r="P467" s="4" t="n"/>
      <c r="Q467" s="4" t="inlineStr">
        <is>
          <t>MAESTRO-IOS-PERSONAL-LIFESTYLE-0466 | Hobbies | 17330.90</t>
        </is>
      </c>
      <c r="R467" s="4" t="inlineStr">
        <is>
          <t>iPhone</t>
        </is>
      </c>
      <c r="S467" s="4" t="inlineStr">
        <is>
          <t>B10</t>
        </is>
      </c>
      <c r="T467" s="4" t="inlineStr">
        <is>
          <t>BASELINE_1_500</t>
        </is>
      </c>
      <c r="U467" s="4" t="inlineStr">
        <is>
          <t>CREATED</t>
        </is>
      </c>
      <c r="V467" s="4" t="inlineStr">
        <is>
          <t>idem-20260902-ios-0466</t>
        </is>
      </c>
    </row>
    <row r="468" ht="30" customHeight="1">
      <c r="A468" s="4" t="n">
        <v>467</v>
      </c>
      <c r="B468" s="4" t="inlineStr">
        <is>
          <t>MTR-IOS-0467</t>
        </is>
      </c>
      <c r="C468" s="4" t="inlineStr">
        <is>
          <t>Group</t>
        </is>
      </c>
      <c r="D468" s="4" t="inlineStr">
        <is>
          <t>Shared Living</t>
        </is>
      </c>
      <c r="E468" s="4" t="inlineStr">
        <is>
          <t>Flatmates</t>
        </is>
      </c>
      <c r="F468" s="4" t="inlineStr">
        <is>
          <t>Rent</t>
        </is>
      </c>
      <c r="G468" s="4" t="inlineStr">
        <is>
          <t>Expense</t>
        </is>
      </c>
      <c r="H468" s="12" t="n">
        <v>46093</v>
      </c>
      <c r="I468" s="13" t="n">
        <v>0.6221527777777778</v>
      </c>
      <c r="J468" s="14" t="n">
        <v>46093.62215277777</v>
      </c>
      <c r="K468" s="15" t="n">
        <v>7817</v>
      </c>
      <c r="L468" s="4" t="inlineStr">
        <is>
          <t>INR</t>
        </is>
      </c>
      <c r="M468" s="15" t="n">
        <v>-7817</v>
      </c>
      <c r="N468" s="4" t="inlineStr">
        <is>
          <t>IOS Meera</t>
        </is>
      </c>
      <c r="O468" s="4" t="n">
        <v>3</v>
      </c>
      <c r="P468" s="4" t="inlineStr">
        <is>
          <t>SHARES</t>
        </is>
      </c>
      <c r="Q468" s="4" t="inlineStr">
        <is>
          <t>MAESTRO-IOS-GROUP-FLATMATES-0467 | Rent | 7817.00</t>
        </is>
      </c>
      <c r="R468" s="4" t="inlineStr">
        <is>
          <t>iPhone</t>
        </is>
      </c>
      <c r="S468" s="4" t="inlineStr">
        <is>
          <t>B10</t>
        </is>
      </c>
      <c r="T468" s="4" t="inlineStr">
        <is>
          <t>BASELINE_1_500</t>
        </is>
      </c>
      <c r="U468" s="4" t="inlineStr">
        <is>
          <t>CREATED</t>
        </is>
      </c>
      <c r="V468" s="4" t="inlineStr">
        <is>
          <t>idem-20260902-ios-0467</t>
        </is>
      </c>
    </row>
    <row r="469" ht="30" customHeight="1">
      <c r="A469" s="4" t="n">
        <v>468</v>
      </c>
      <c r="B469" s="4" t="inlineStr">
        <is>
          <t>MTR-IOS-0468</t>
        </is>
      </c>
      <c r="C469" s="4" t="inlineStr">
        <is>
          <t>Business</t>
        </is>
      </c>
      <c r="D469" s="4" t="inlineStr">
        <is>
          <t>Business</t>
        </is>
      </c>
      <c r="E469" s="4" t="inlineStr">
        <is>
          <t>Business Runway</t>
        </is>
      </c>
      <c r="F469" s="4" t="inlineStr">
        <is>
          <t>Revenue</t>
        </is>
      </c>
      <c r="G469" s="4" t="inlineStr">
        <is>
          <t>Income</t>
        </is>
      </c>
      <c r="H469" s="12" t="n">
        <v>46227</v>
      </c>
      <c r="I469" s="13" t="n">
        <v>0.6600810185185185</v>
      </c>
      <c r="J469" s="14" t="n">
        <v>46227.66008101852</v>
      </c>
      <c r="K469" s="15" t="n">
        <v>116049.11</v>
      </c>
      <c r="L469" s="4" t="inlineStr">
        <is>
          <t>INR</t>
        </is>
      </c>
      <c r="M469" s="15" t="n">
        <v>116049.11</v>
      </c>
      <c r="N469" s="4" t="inlineStr">
        <is>
          <t>IOS Owner</t>
        </is>
      </c>
      <c r="O469" s="4" t="n"/>
      <c r="P469" s="4" t="n"/>
      <c r="Q469" s="4" t="inlineStr">
        <is>
          <t>MAESTRO-IOS-BUSINESS-BUSINESS_RUNWAY-0468 | Revenue | 116049.11</t>
        </is>
      </c>
      <c r="R469" s="4" t="inlineStr">
        <is>
          <t>iPhone</t>
        </is>
      </c>
      <c r="S469" s="4" t="inlineStr">
        <is>
          <t>B10</t>
        </is>
      </c>
      <c r="T469" s="4" t="inlineStr">
        <is>
          <t>BASELINE_1_500</t>
        </is>
      </c>
      <c r="U469" s="4" t="inlineStr">
        <is>
          <t>CREATED</t>
        </is>
      </c>
      <c r="V469" s="4" t="inlineStr">
        <is>
          <t>idem-20260902-ios-0468</t>
        </is>
      </c>
    </row>
    <row r="470" ht="30" customHeight="1">
      <c r="A470" s="4" t="n">
        <v>469</v>
      </c>
      <c r="B470" s="4" t="inlineStr">
        <is>
          <t>MTR-IOS-0469</t>
        </is>
      </c>
      <c r="C470" s="4" t="inlineStr">
        <is>
          <t>Personal</t>
        </is>
      </c>
      <c r="D470" s="4" t="inlineStr">
        <is>
          <t>Personal</t>
        </is>
      </c>
      <c r="E470" s="4" t="inlineStr">
        <is>
          <t>Relationships</t>
        </is>
      </c>
      <c r="F470" s="4" t="inlineStr">
        <is>
          <t>Gifts</t>
        </is>
      </c>
      <c r="G470" s="4" t="inlineStr">
        <is>
          <t>Expense</t>
        </is>
      </c>
      <c r="H470" s="12" t="n">
        <v>46190</v>
      </c>
      <c r="I470" s="13" t="n">
        <v>0.1239236111111111</v>
      </c>
      <c r="J470" s="14" t="n">
        <v>46190.12392361111</v>
      </c>
      <c r="K470" s="15" t="n">
        <v>10765.2</v>
      </c>
      <c r="L470" s="4" t="inlineStr">
        <is>
          <t>INR</t>
        </is>
      </c>
      <c r="M470" s="15" t="n">
        <v>-10765.2</v>
      </c>
      <c r="N470" s="4" t="inlineStr">
        <is>
          <t>IOS Owner</t>
        </is>
      </c>
      <c r="O470" s="4" t="n"/>
      <c r="P470" s="4" t="n"/>
      <c r="Q470" s="4" t="inlineStr">
        <is>
          <t>MAESTRO-IOS-PERSONAL-RELATIONSHIPS-0469 | Gifts | 10765.20</t>
        </is>
      </c>
      <c r="R470" s="4" t="inlineStr">
        <is>
          <t>iPhone</t>
        </is>
      </c>
      <c r="S470" s="4" t="inlineStr">
        <is>
          <t>B10</t>
        </is>
      </c>
      <c r="T470" s="4" t="inlineStr">
        <is>
          <t>BASELINE_1_500</t>
        </is>
      </c>
      <c r="U470" s="4" t="inlineStr">
        <is>
          <t>CREATED</t>
        </is>
      </c>
      <c r="V470" s="4" t="inlineStr">
        <is>
          <t>idem-20260902-ios-0469</t>
        </is>
      </c>
    </row>
    <row r="471" ht="30" customHeight="1">
      <c r="A471" s="4" t="n">
        <v>470</v>
      </c>
      <c r="B471" s="4" t="inlineStr">
        <is>
          <t>MTR-IOS-0470</t>
        </is>
      </c>
      <c r="C471" s="4" t="inlineStr">
        <is>
          <t>Group</t>
        </is>
      </c>
      <c r="D471" s="4" t="inlineStr">
        <is>
          <t>Shared Living</t>
        </is>
      </c>
      <c r="E471" s="4" t="inlineStr">
        <is>
          <t>Flatmates</t>
        </is>
      </c>
      <c r="F471" s="4" t="inlineStr">
        <is>
          <t>Utilities</t>
        </is>
      </c>
      <c r="G471" s="4" t="inlineStr">
        <is>
          <t>Expense</t>
        </is>
      </c>
      <c r="H471" s="12" t="n">
        <v>46116</v>
      </c>
      <c r="I471" s="13" t="n">
        <v>0.5460069444444444</v>
      </c>
      <c r="J471" s="14" t="n">
        <v>46116.54600694445</v>
      </c>
      <c r="K471" s="15" t="n">
        <v>2360.02</v>
      </c>
      <c r="L471" s="4" t="inlineStr">
        <is>
          <t>INR</t>
        </is>
      </c>
      <c r="M471" s="15" t="n">
        <v>-2360.02</v>
      </c>
      <c r="N471" s="4" t="inlineStr">
        <is>
          <t>IOS Owner</t>
        </is>
      </c>
      <c r="O471" s="4" t="n">
        <v>3</v>
      </c>
      <c r="P471" s="4" t="inlineStr">
        <is>
          <t>EQUAL</t>
        </is>
      </c>
      <c r="Q471" s="4" t="inlineStr">
        <is>
          <t>MAESTRO-IOS-GROUP-FLATMATES-0470 | Utilities | 2360.02</t>
        </is>
      </c>
      <c r="R471" s="4" t="inlineStr">
        <is>
          <t>iPhone</t>
        </is>
      </c>
      <c r="S471" s="4" t="inlineStr">
        <is>
          <t>B10</t>
        </is>
      </c>
      <c r="T471" s="4" t="inlineStr">
        <is>
          <t>BASELINE_1_500</t>
        </is>
      </c>
      <c r="U471" s="4" t="inlineStr">
        <is>
          <t>CREATED</t>
        </is>
      </c>
      <c r="V471" s="4" t="inlineStr">
        <is>
          <t>idem-20260902-ios-0470</t>
        </is>
      </c>
    </row>
    <row r="472" ht="30" customHeight="1">
      <c r="A472" s="4" t="n">
        <v>471</v>
      </c>
      <c r="B472" s="4" t="inlineStr">
        <is>
          <t>MTR-IOS-0471</t>
        </is>
      </c>
      <c r="C472" s="4" t="inlineStr">
        <is>
          <t>Business</t>
        </is>
      </c>
      <c r="D472" s="4" t="inlineStr">
        <is>
          <t>Business</t>
        </is>
      </c>
      <c r="E472" s="4" t="inlineStr">
        <is>
          <t>Business Runway</t>
        </is>
      </c>
      <c r="F472" s="4" t="inlineStr">
        <is>
          <t>Burn</t>
        </is>
      </c>
      <c r="G472" s="4" t="inlineStr">
        <is>
          <t>Expense</t>
        </is>
      </c>
      <c r="H472" s="12" t="n">
        <v>46169</v>
      </c>
      <c r="I472" s="13" t="n">
        <v>0.4256712962962963</v>
      </c>
      <c r="J472" s="14" t="n">
        <v>46169.4256712963</v>
      </c>
      <c r="K472" s="15" t="n">
        <v>147990.25</v>
      </c>
      <c r="L472" s="4" t="inlineStr">
        <is>
          <t>INR</t>
        </is>
      </c>
      <c r="M472" s="15" t="n">
        <v>-147990.25</v>
      </c>
      <c r="N472" s="4" t="inlineStr">
        <is>
          <t>IOS Owner</t>
        </is>
      </c>
      <c r="O472" s="4" t="n"/>
      <c r="P472" s="4" t="n"/>
      <c r="Q472" s="4" t="inlineStr">
        <is>
          <t>MAESTRO-IOS-BUSINESS-BUSINESS_RUNWAY-0471 | Burn | 147990.25</t>
        </is>
      </c>
      <c r="R472" s="4" t="inlineStr">
        <is>
          <t>iPhone</t>
        </is>
      </c>
      <c r="S472" s="4" t="inlineStr">
        <is>
          <t>B10</t>
        </is>
      </c>
      <c r="T472" s="4" t="inlineStr">
        <is>
          <t>BASELINE_1_500</t>
        </is>
      </c>
      <c r="U472" s="4" t="inlineStr">
        <is>
          <t>CREATED</t>
        </is>
      </c>
      <c r="V472" s="4" t="inlineStr">
        <is>
          <t>idem-20260902-ios-0471</t>
        </is>
      </c>
    </row>
    <row r="473" ht="30" customHeight="1">
      <c r="A473" s="4" t="n">
        <v>472</v>
      </c>
      <c r="B473" s="4" t="inlineStr">
        <is>
          <t>MTR-IOS-0472</t>
        </is>
      </c>
      <c r="C473" s="4" t="inlineStr">
        <is>
          <t>Personal</t>
        </is>
      </c>
      <c r="D473" s="4" t="inlineStr">
        <is>
          <t>Personal</t>
        </is>
      </c>
      <c r="E473" s="4" t="inlineStr">
        <is>
          <t>Relationships</t>
        </is>
      </c>
      <c r="F473" s="4" t="inlineStr">
        <is>
          <t>Dates</t>
        </is>
      </c>
      <c r="G473" s="4" t="inlineStr">
        <is>
          <t>Expense</t>
        </is>
      </c>
      <c r="H473" s="12" t="n">
        <v>46217</v>
      </c>
      <c r="I473" s="13" t="n">
        <v>0.9430208333333333</v>
      </c>
      <c r="J473" s="14" t="n">
        <v>46217.94302083334</v>
      </c>
      <c r="K473" s="15" t="n">
        <v>2079.39</v>
      </c>
      <c r="L473" s="4" t="inlineStr">
        <is>
          <t>INR</t>
        </is>
      </c>
      <c r="M473" s="15" t="n">
        <v>-2079.39</v>
      </c>
      <c r="N473" s="4" t="inlineStr">
        <is>
          <t>IOS Owner</t>
        </is>
      </c>
      <c r="O473" s="4" t="n"/>
      <c r="P473" s="4" t="n"/>
      <c r="Q473" s="4" t="inlineStr">
        <is>
          <t>MAESTRO-IOS-PERSONAL-RELATIONSHIPS-0472 | Dates | 2079.39</t>
        </is>
      </c>
      <c r="R473" s="4" t="inlineStr">
        <is>
          <t>iPhone</t>
        </is>
      </c>
      <c r="S473" s="4" t="inlineStr">
        <is>
          <t>B10</t>
        </is>
      </c>
      <c r="T473" s="4" t="inlineStr">
        <is>
          <t>BASELINE_1_500</t>
        </is>
      </c>
      <c r="U473" s="4" t="inlineStr">
        <is>
          <t>CREATED</t>
        </is>
      </c>
      <c r="V473" s="4" t="inlineStr">
        <is>
          <t>idem-20260902-ios-0472</t>
        </is>
      </c>
    </row>
    <row r="474" ht="30" customHeight="1">
      <c r="A474" s="4" t="n">
        <v>473</v>
      </c>
      <c r="B474" s="4" t="inlineStr">
        <is>
          <t>MTR-IOS-0473</t>
        </is>
      </c>
      <c r="C474" s="4" t="inlineStr">
        <is>
          <t>Group</t>
        </is>
      </c>
      <c r="D474" s="4" t="inlineStr">
        <is>
          <t>Shared Living</t>
        </is>
      </c>
      <c r="E474" s="4" t="inlineStr">
        <is>
          <t>Flatmates</t>
        </is>
      </c>
      <c r="F474" s="4" t="inlineStr">
        <is>
          <t>Groceries</t>
        </is>
      </c>
      <c r="G474" s="4" t="inlineStr">
        <is>
          <t>Expense</t>
        </is>
      </c>
      <c r="H474" s="12" t="n">
        <v>46174</v>
      </c>
      <c r="I474" s="13" t="n">
        <v>0.1265046296296296</v>
      </c>
      <c r="J474" s="14" t="n">
        <v>46174.12650462963</v>
      </c>
      <c r="K474" s="15" t="n">
        <v>14536.73</v>
      </c>
      <c r="L474" s="4" t="inlineStr">
        <is>
          <t>INR</t>
        </is>
      </c>
      <c r="M474" s="15" t="n">
        <v>-14536.73</v>
      </c>
      <c r="N474" s="4" t="inlineStr">
        <is>
          <t>IOS Aarav</t>
        </is>
      </c>
      <c r="O474" s="4" t="n">
        <v>3</v>
      </c>
      <c r="P474" s="4" t="inlineStr">
        <is>
          <t>PERCENTAGE</t>
        </is>
      </c>
      <c r="Q474" s="4" t="inlineStr">
        <is>
          <t>MAESTRO-IOS-GROUP-FLATMATES-0473 | Groceries | 14536.73</t>
        </is>
      </c>
      <c r="R474" s="4" t="inlineStr">
        <is>
          <t>iPhone</t>
        </is>
      </c>
      <c r="S474" s="4" t="inlineStr">
        <is>
          <t>B10</t>
        </is>
      </c>
      <c r="T474" s="4" t="inlineStr">
        <is>
          <t>BASELINE_1_500</t>
        </is>
      </c>
      <c r="U474" s="4" t="inlineStr">
        <is>
          <t>CREATED</t>
        </is>
      </c>
      <c r="V474" s="4" t="inlineStr">
        <is>
          <t>idem-20260902-ios-0473</t>
        </is>
      </c>
    </row>
    <row r="475" ht="30" customHeight="1">
      <c r="A475" s="4" t="n">
        <v>474</v>
      </c>
      <c r="B475" s="4" t="inlineStr">
        <is>
          <t>MTR-IOS-0474</t>
        </is>
      </c>
      <c r="C475" s="4" t="inlineStr">
        <is>
          <t>Business</t>
        </is>
      </c>
      <c r="D475" s="4" t="inlineStr">
        <is>
          <t>Business</t>
        </is>
      </c>
      <c r="E475" s="4" t="inlineStr">
        <is>
          <t>Business Runway</t>
        </is>
      </c>
      <c r="F475" s="4" t="inlineStr">
        <is>
          <t>Reserve</t>
        </is>
      </c>
      <c r="G475" s="4" t="inlineStr">
        <is>
          <t>Transfer</t>
        </is>
      </c>
      <c r="H475" s="12" t="n">
        <v>46121</v>
      </c>
      <c r="I475" s="13" t="n">
        <v>0.5602314814814815</v>
      </c>
      <c r="J475" s="14" t="n">
        <v>46121.56023148148</v>
      </c>
      <c r="K475" s="15" t="n">
        <v>104544.56</v>
      </c>
      <c r="L475" s="4" t="inlineStr">
        <is>
          <t>INR</t>
        </is>
      </c>
      <c r="M475" s="15" t="n">
        <v>0</v>
      </c>
      <c r="N475" s="4" t="inlineStr">
        <is>
          <t>IOS Owner</t>
        </is>
      </c>
      <c r="O475" s="4" t="n"/>
      <c r="P475" s="4" t="n"/>
      <c r="Q475" s="4" t="inlineStr">
        <is>
          <t>MAESTRO-IOS-BUSINESS-BUSINESS_RUNWAY-0474 | Reserve | 104544.56</t>
        </is>
      </c>
      <c r="R475" s="4" t="inlineStr">
        <is>
          <t>iPhone</t>
        </is>
      </c>
      <c r="S475" s="4" t="inlineStr">
        <is>
          <t>B10</t>
        </is>
      </c>
      <c r="T475" s="4" t="inlineStr">
        <is>
          <t>BASELINE_1_500</t>
        </is>
      </c>
      <c r="U475" s="4" t="inlineStr">
        <is>
          <t>CREATED</t>
        </is>
      </c>
      <c r="V475" s="4" t="inlineStr">
        <is>
          <t>idem-20260902-ios-0474</t>
        </is>
      </c>
    </row>
    <row r="476" ht="30" customHeight="1">
      <c r="A476" s="4" t="n">
        <v>475</v>
      </c>
      <c r="B476" s="4" t="inlineStr">
        <is>
          <t>MTR-IOS-0475</t>
        </is>
      </c>
      <c r="C476" s="4" t="inlineStr">
        <is>
          <t>Personal</t>
        </is>
      </c>
      <c r="D476" s="4" t="inlineStr">
        <is>
          <t>Personal</t>
        </is>
      </c>
      <c r="E476" s="4" t="inlineStr">
        <is>
          <t>Relationships</t>
        </is>
      </c>
      <c r="F476" s="4" t="inlineStr">
        <is>
          <t>Family</t>
        </is>
      </c>
      <c r="G476" s="4" t="inlineStr">
        <is>
          <t>Expense</t>
        </is>
      </c>
      <c r="H476" s="12" t="n">
        <v>45925</v>
      </c>
      <c r="I476" s="13" t="n">
        <v>0.03237268518518518</v>
      </c>
      <c r="J476" s="14" t="n">
        <v>45925.03237268519</v>
      </c>
      <c r="K476" s="15" t="n">
        <v>4389.55</v>
      </c>
      <c r="L476" s="4" t="inlineStr">
        <is>
          <t>INR</t>
        </is>
      </c>
      <c r="M476" s="15" t="n">
        <v>-4389.55</v>
      </c>
      <c r="N476" s="4" t="inlineStr">
        <is>
          <t>IOS Owner</t>
        </is>
      </c>
      <c r="O476" s="4" t="n"/>
      <c r="P476" s="4" t="n"/>
      <c r="Q476" s="4" t="inlineStr">
        <is>
          <t>MAESTRO-IOS-PERSONAL-RELATIONSHIPS-0475 | Family | 4389.55</t>
        </is>
      </c>
      <c r="R476" s="4" t="inlineStr">
        <is>
          <t>iPhone</t>
        </is>
      </c>
      <c r="S476" s="4" t="inlineStr">
        <is>
          <t>B10</t>
        </is>
      </c>
      <c r="T476" s="4" t="inlineStr">
        <is>
          <t>BASELINE_1_500</t>
        </is>
      </c>
      <c r="U476" s="4" t="inlineStr">
        <is>
          <t>CREATED</t>
        </is>
      </c>
      <c r="V476" s="4" t="inlineStr">
        <is>
          <t>idem-20260902-ios-0475</t>
        </is>
      </c>
    </row>
    <row r="477" ht="30" customHeight="1">
      <c r="A477" s="4" t="n">
        <v>476</v>
      </c>
      <c r="B477" s="4" t="inlineStr">
        <is>
          <t>MTR-IOS-0476</t>
        </is>
      </c>
      <c r="C477" s="4" t="inlineStr">
        <is>
          <t>Group</t>
        </is>
      </c>
      <c r="D477" s="4" t="inlineStr">
        <is>
          <t>Shared Living</t>
        </is>
      </c>
      <c r="E477" s="4" t="inlineStr">
        <is>
          <t>Flatmates</t>
        </is>
      </c>
      <c r="F477" s="4" t="inlineStr">
        <is>
          <t>Internet</t>
        </is>
      </c>
      <c r="G477" s="4" t="inlineStr">
        <is>
          <t>Expense</t>
        </is>
      </c>
      <c r="H477" s="12" t="n">
        <v>46211</v>
      </c>
      <c r="I477" s="13" t="n">
        <v>0.6983333333333334</v>
      </c>
      <c r="J477" s="14" t="n">
        <v>46211.69833333333</v>
      </c>
      <c r="K477" s="15" t="n">
        <v>6715.64</v>
      </c>
      <c r="L477" s="4" t="inlineStr">
        <is>
          <t>INR</t>
        </is>
      </c>
      <c r="M477" s="15" t="n">
        <v>-6715.64</v>
      </c>
      <c r="N477" s="4" t="inlineStr">
        <is>
          <t>IOS Meera</t>
        </is>
      </c>
      <c r="O477" s="4" t="n">
        <v>3</v>
      </c>
      <c r="P477" s="4" t="inlineStr">
        <is>
          <t>EXACT</t>
        </is>
      </c>
      <c r="Q477" s="4" t="inlineStr">
        <is>
          <t>MAESTRO-IOS-GROUP-FLATMATES-0476 | Internet | 6715.64</t>
        </is>
      </c>
      <c r="R477" s="4" t="inlineStr">
        <is>
          <t>iPhone</t>
        </is>
      </c>
      <c r="S477" s="4" t="inlineStr">
        <is>
          <t>B10</t>
        </is>
      </c>
      <c r="T477" s="4" t="inlineStr">
        <is>
          <t>BASELINE_1_500</t>
        </is>
      </c>
      <c r="U477" s="4" t="inlineStr">
        <is>
          <t>CREATED</t>
        </is>
      </c>
      <c r="V477" s="4" t="inlineStr">
        <is>
          <t>idem-20260902-ios-0476</t>
        </is>
      </c>
    </row>
    <row r="478" ht="30" customHeight="1">
      <c r="A478" s="4" t="n">
        <v>477</v>
      </c>
      <c r="B478" s="4" t="inlineStr">
        <is>
          <t>MTR-IOS-0477</t>
        </is>
      </c>
      <c r="C478" s="4" t="inlineStr">
        <is>
          <t>Business</t>
        </is>
      </c>
      <c r="D478" s="4" t="inlineStr">
        <is>
          <t>Business</t>
        </is>
      </c>
      <c r="E478" s="4" t="inlineStr">
        <is>
          <t>Business Runway</t>
        </is>
      </c>
      <c r="F478" s="4" t="inlineStr">
        <is>
          <t>Loan</t>
        </is>
      </c>
      <c r="G478" s="4" t="inlineStr">
        <is>
          <t>Income</t>
        </is>
      </c>
      <c r="H478" s="12" t="n">
        <v>45969</v>
      </c>
      <c r="I478" s="13" t="n">
        <v>0.2395601851851852</v>
      </c>
      <c r="J478" s="14" t="n">
        <v>45969.23956018518</v>
      </c>
      <c r="K478" s="15" t="n">
        <v>37323.2</v>
      </c>
      <c r="L478" s="4" t="inlineStr">
        <is>
          <t>INR</t>
        </is>
      </c>
      <c r="M478" s="15" t="n">
        <v>37323.2</v>
      </c>
      <c r="N478" s="4" t="inlineStr">
        <is>
          <t>IOS Owner</t>
        </is>
      </c>
      <c r="O478" s="4" t="n"/>
      <c r="P478" s="4" t="n"/>
      <c r="Q478" s="4" t="inlineStr">
        <is>
          <t>MAESTRO-IOS-BUSINESS-BUSINESS_RUNWAY-0477 | Loan | 37323.20</t>
        </is>
      </c>
      <c r="R478" s="4" t="inlineStr">
        <is>
          <t>iPhone</t>
        </is>
      </c>
      <c r="S478" s="4" t="inlineStr">
        <is>
          <t>B10</t>
        </is>
      </c>
      <c r="T478" s="4" t="inlineStr">
        <is>
          <t>BASELINE_1_500</t>
        </is>
      </c>
      <c r="U478" s="4" t="inlineStr">
        <is>
          <t>CREATED</t>
        </is>
      </c>
      <c r="V478" s="4" t="inlineStr">
        <is>
          <t>idem-20260902-ios-0477</t>
        </is>
      </c>
    </row>
    <row r="479" ht="30" customHeight="1">
      <c r="A479" s="4" t="n">
        <v>478</v>
      </c>
      <c r="B479" s="4" t="inlineStr">
        <is>
          <t>MTR-IOS-0478</t>
        </is>
      </c>
      <c r="C479" s="4" t="inlineStr">
        <is>
          <t>Personal</t>
        </is>
      </c>
      <c r="D479" s="4" t="inlineStr">
        <is>
          <t>Personal</t>
        </is>
      </c>
      <c r="E479" s="4" t="inlineStr">
        <is>
          <t>Relationships</t>
        </is>
      </c>
      <c r="F479" s="4" t="inlineStr">
        <is>
          <t>Friends</t>
        </is>
      </c>
      <c r="G479" s="4" t="inlineStr">
        <is>
          <t>Expense</t>
        </is>
      </c>
      <c r="H479" s="12" t="n">
        <v>46102</v>
      </c>
      <c r="I479" s="13" t="n">
        <v>0.6917013888888889</v>
      </c>
      <c r="J479" s="14" t="n">
        <v>46102.69170138889</v>
      </c>
      <c r="K479" s="15" t="n">
        <v>3430.69</v>
      </c>
      <c r="L479" s="4" t="inlineStr">
        <is>
          <t>INR</t>
        </is>
      </c>
      <c r="M479" s="15" t="n">
        <v>-3430.69</v>
      </c>
      <c r="N479" s="4" t="inlineStr">
        <is>
          <t>IOS Owner</t>
        </is>
      </c>
      <c r="O479" s="4" t="n"/>
      <c r="P479" s="4" t="n"/>
      <c r="Q479" s="4" t="inlineStr">
        <is>
          <t>MAESTRO-IOS-PERSONAL-RELATIONSHIPS-0478 | Friends | 3430.69</t>
        </is>
      </c>
      <c r="R479" s="4" t="inlineStr">
        <is>
          <t>iPhone</t>
        </is>
      </c>
      <c r="S479" s="4" t="inlineStr">
        <is>
          <t>B10</t>
        </is>
      </c>
      <c r="T479" s="4" t="inlineStr">
        <is>
          <t>BASELINE_1_500</t>
        </is>
      </c>
      <c r="U479" s="4" t="inlineStr">
        <is>
          <t>CREATED</t>
        </is>
      </c>
      <c r="V479" s="4" t="inlineStr">
        <is>
          <t>idem-20260902-ios-0478</t>
        </is>
      </c>
    </row>
    <row r="480" ht="30" customHeight="1">
      <c r="A480" s="4" t="n">
        <v>479</v>
      </c>
      <c r="B480" s="4" t="inlineStr">
        <is>
          <t>MTR-IOS-0479</t>
        </is>
      </c>
      <c r="C480" s="4" t="inlineStr">
        <is>
          <t>Group</t>
        </is>
      </c>
      <c r="D480" s="4" t="inlineStr">
        <is>
          <t>Shared Living</t>
        </is>
      </c>
      <c r="E480" s="4" t="inlineStr">
        <is>
          <t>Flatmates</t>
        </is>
      </c>
      <c r="F480" s="4" t="inlineStr">
        <is>
          <t>House Supplies</t>
        </is>
      </c>
      <c r="G480" s="4" t="inlineStr">
        <is>
          <t>Expense</t>
        </is>
      </c>
      <c r="H480" s="12" t="n">
        <v>46031</v>
      </c>
      <c r="I480" s="13" t="n">
        <v>0.2481018518518519</v>
      </c>
      <c r="J480" s="14" t="n">
        <v>46031.24810185185</v>
      </c>
      <c r="K480" s="15" t="n">
        <v>10908.23</v>
      </c>
      <c r="L480" s="4" t="inlineStr">
        <is>
          <t>INR</t>
        </is>
      </c>
      <c r="M480" s="15" t="n">
        <v>-10908.23</v>
      </c>
      <c r="N480" s="4" t="inlineStr">
        <is>
          <t>IOS Owner</t>
        </is>
      </c>
      <c r="O480" s="4" t="n">
        <v>3</v>
      </c>
      <c r="P480" s="4" t="inlineStr">
        <is>
          <t>SHARES</t>
        </is>
      </c>
      <c r="Q480" s="4" t="inlineStr">
        <is>
          <t>MAESTRO-IOS-GROUP-FLATMATES-0479 | House Supplies | 10908.23</t>
        </is>
      </c>
      <c r="R480" s="4" t="inlineStr">
        <is>
          <t>iPhone</t>
        </is>
      </c>
      <c r="S480" s="4" t="inlineStr">
        <is>
          <t>B10</t>
        </is>
      </c>
      <c r="T480" s="4" t="inlineStr">
        <is>
          <t>BASELINE_1_500</t>
        </is>
      </c>
      <c r="U480" s="4" t="inlineStr">
        <is>
          <t>CREATED</t>
        </is>
      </c>
      <c r="V480" s="4" t="inlineStr">
        <is>
          <t>idem-20260902-ios-0479</t>
        </is>
      </c>
    </row>
    <row r="481" ht="30" customHeight="1">
      <c r="A481" s="4" t="n">
        <v>480</v>
      </c>
      <c r="B481" s="4" t="inlineStr">
        <is>
          <t>MTR-IOS-0480</t>
        </is>
      </c>
      <c r="C481" s="4" t="inlineStr">
        <is>
          <t>Business</t>
        </is>
      </c>
      <c r="D481" s="4" t="inlineStr">
        <is>
          <t>Business</t>
        </is>
      </c>
      <c r="E481" s="4" t="inlineStr">
        <is>
          <t>Business Runway</t>
        </is>
      </c>
      <c r="F481" s="4" t="inlineStr">
        <is>
          <t>Investment</t>
        </is>
      </c>
      <c r="G481" s="4" t="inlineStr">
        <is>
          <t>Income</t>
        </is>
      </c>
      <c r="H481" s="12" t="n">
        <v>46220</v>
      </c>
      <c r="I481" s="13" t="n">
        <v>0.6199768518518518</v>
      </c>
      <c r="J481" s="14" t="n">
        <v>46220.61997685185</v>
      </c>
      <c r="K481" s="15" t="n">
        <v>2009.12</v>
      </c>
      <c r="L481" s="4" t="inlineStr">
        <is>
          <t>INR</t>
        </is>
      </c>
      <c r="M481" s="15" t="n">
        <v>2009.12</v>
      </c>
      <c r="N481" s="4" t="inlineStr">
        <is>
          <t>IOS Owner</t>
        </is>
      </c>
      <c r="O481" s="4" t="n"/>
      <c r="P481" s="4" t="n"/>
      <c r="Q481" s="4" t="inlineStr">
        <is>
          <t>MAESTRO-IOS-BUSINESS-BUSINESS_RUNWAY-0480 | Investment | 2009.12</t>
        </is>
      </c>
      <c r="R481" s="4" t="inlineStr">
        <is>
          <t>iPhone</t>
        </is>
      </c>
      <c r="S481" s="4" t="inlineStr">
        <is>
          <t>B10</t>
        </is>
      </c>
      <c r="T481" s="4" t="inlineStr">
        <is>
          <t>BASELINE_1_500</t>
        </is>
      </c>
      <c r="U481" s="4" t="inlineStr">
        <is>
          <t>CREATED</t>
        </is>
      </c>
      <c r="V481" s="4" t="inlineStr">
        <is>
          <t>idem-20260902-ios-0480</t>
        </is>
      </c>
    </row>
    <row r="482" ht="30" customHeight="1">
      <c r="A482" s="4" t="n">
        <v>481</v>
      </c>
      <c r="B482" s="4" t="inlineStr">
        <is>
          <t>MTR-IOS-0481</t>
        </is>
      </c>
      <c r="C482" s="4" t="inlineStr">
        <is>
          <t>Personal</t>
        </is>
      </c>
      <c r="D482" s="4" t="inlineStr">
        <is>
          <t>Personal</t>
        </is>
      </c>
      <c r="E482" s="4" t="inlineStr">
        <is>
          <t>Relationships</t>
        </is>
      </c>
      <c r="F482" s="4" t="inlineStr">
        <is>
          <t>Celebrations</t>
        </is>
      </c>
      <c r="G482" s="4" t="inlineStr">
        <is>
          <t>Expense</t>
        </is>
      </c>
      <c r="H482" s="12" t="n">
        <v>45905</v>
      </c>
      <c r="I482" s="13" t="n">
        <v>0.3914467592592593</v>
      </c>
      <c r="J482" s="14" t="n">
        <v>45905.39144675926</v>
      </c>
      <c r="K482" s="15" t="n">
        <v>1</v>
      </c>
      <c r="L482" s="4" t="inlineStr">
        <is>
          <t>INR</t>
        </is>
      </c>
      <c r="M482" s="15" t="n">
        <v>-1</v>
      </c>
      <c r="N482" s="4" t="inlineStr">
        <is>
          <t>IOS Owner</t>
        </is>
      </c>
      <c r="O482" s="4" t="n"/>
      <c r="P482" s="4" t="n"/>
      <c r="Q482" s="4" t="inlineStr">
        <is>
          <t>MAESTRO-IOS-PERSONAL-RELATIONSHIPS-0481 | Celebrations | 1.00</t>
        </is>
      </c>
      <c r="R482" s="4" t="inlineStr">
        <is>
          <t>iPhone</t>
        </is>
      </c>
      <c r="S482" s="4" t="inlineStr">
        <is>
          <t>B10</t>
        </is>
      </c>
      <c r="T482" s="4" t="inlineStr">
        <is>
          <t>BASELINE_1_500</t>
        </is>
      </c>
      <c r="U482" s="4" t="inlineStr">
        <is>
          <t>CREATED</t>
        </is>
      </c>
      <c r="V482" s="4" t="inlineStr">
        <is>
          <t>idem-20260902-ios-0481</t>
        </is>
      </c>
    </row>
    <row r="483" ht="30" customHeight="1">
      <c r="A483" s="4" t="n">
        <v>482</v>
      </c>
      <c r="B483" s="4" t="inlineStr">
        <is>
          <t>MTR-IOS-0482</t>
        </is>
      </c>
      <c r="C483" s="4" t="inlineStr">
        <is>
          <t>Group</t>
        </is>
      </c>
      <c r="D483" s="4" t="inlineStr">
        <is>
          <t>Shared Living</t>
        </is>
      </c>
      <c r="E483" s="4" t="inlineStr">
        <is>
          <t>Flatmates</t>
        </is>
      </c>
      <c r="F483" s="4" t="inlineStr">
        <is>
          <t>Repairs</t>
        </is>
      </c>
      <c r="G483" s="4" t="inlineStr">
        <is>
          <t>Expense</t>
        </is>
      </c>
      <c r="H483" s="12" t="n">
        <v>46120</v>
      </c>
      <c r="I483" s="13" t="n">
        <v>0.7613310185185185</v>
      </c>
      <c r="J483" s="14" t="n">
        <v>46120.76133101852</v>
      </c>
      <c r="K483" s="15" t="n">
        <v>20617.72</v>
      </c>
      <c r="L483" s="4" t="inlineStr">
        <is>
          <t>INR</t>
        </is>
      </c>
      <c r="M483" s="15" t="n">
        <v>-20617.72</v>
      </c>
      <c r="N483" s="4" t="inlineStr">
        <is>
          <t>IOS Aarav</t>
        </is>
      </c>
      <c r="O483" s="4" t="n">
        <v>3</v>
      </c>
      <c r="P483" s="4" t="inlineStr">
        <is>
          <t>EQUAL</t>
        </is>
      </c>
      <c r="Q483" s="4" t="inlineStr">
        <is>
          <t>MAESTRO-IOS-GROUP-FLATMATES-0482 | Repairs | 20617.72</t>
        </is>
      </c>
      <c r="R483" s="4" t="inlineStr">
        <is>
          <t>iPhone</t>
        </is>
      </c>
      <c r="S483" s="4" t="inlineStr">
        <is>
          <t>B10</t>
        </is>
      </c>
      <c r="T483" s="4" t="inlineStr">
        <is>
          <t>BASELINE_1_500</t>
        </is>
      </c>
      <c r="U483" s="4" t="inlineStr">
        <is>
          <t>CREATED</t>
        </is>
      </c>
      <c r="V483" s="4" t="inlineStr">
        <is>
          <t>idem-20260902-ios-0482</t>
        </is>
      </c>
    </row>
    <row r="484" ht="30" customHeight="1">
      <c r="A484" s="4" t="n">
        <v>483</v>
      </c>
      <c r="B484" s="4" t="inlineStr">
        <is>
          <t>MTR-IOS-0483</t>
        </is>
      </c>
      <c r="C484" s="4" t="inlineStr">
        <is>
          <t>Business</t>
        </is>
      </c>
      <c r="D484" s="4" t="inlineStr">
        <is>
          <t>Business</t>
        </is>
      </c>
      <c r="E484" s="4" t="inlineStr">
        <is>
          <t>Business Operations</t>
        </is>
      </c>
      <c r="F484" s="4" t="inlineStr">
        <is>
          <t>Software</t>
        </is>
      </c>
      <c r="G484" s="4" t="inlineStr">
        <is>
          <t>Expense</t>
        </is>
      </c>
      <c r="H484" s="12" t="n">
        <v>45915</v>
      </c>
      <c r="I484" s="13" t="n">
        <v>0.9299074074074074</v>
      </c>
      <c r="J484" s="14" t="n">
        <v>45915.92990740741</v>
      </c>
      <c r="K484" s="15" t="n">
        <v>152674.27</v>
      </c>
      <c r="L484" s="4" t="inlineStr">
        <is>
          <t>INR</t>
        </is>
      </c>
      <c r="M484" s="15" t="n">
        <v>-152674.27</v>
      </c>
      <c r="N484" s="4" t="inlineStr">
        <is>
          <t>IOS Owner</t>
        </is>
      </c>
      <c r="O484" s="4" t="n"/>
      <c r="P484" s="4" t="n"/>
      <c r="Q484" s="4" t="inlineStr">
        <is>
          <t>MAESTRO-IOS-BUSINESS-BUSINESS_OPERATIONS-0483 | Software | 152674.27</t>
        </is>
      </c>
      <c r="R484" s="4" t="inlineStr">
        <is>
          <t>iPhone</t>
        </is>
      </c>
      <c r="S484" s="4" t="inlineStr">
        <is>
          <t>B10</t>
        </is>
      </c>
      <c r="T484" s="4" t="inlineStr">
        <is>
          <t>BASELINE_1_500</t>
        </is>
      </c>
      <c r="U484" s="4" t="inlineStr">
        <is>
          <t>CREATED</t>
        </is>
      </c>
      <c r="V484" s="4" t="inlineStr">
        <is>
          <t>idem-20260902-ios-0483</t>
        </is>
      </c>
    </row>
    <row r="485" ht="30" customHeight="1">
      <c r="A485" s="4" t="n">
        <v>484</v>
      </c>
      <c r="B485" s="4" t="inlineStr">
        <is>
          <t>MTR-IOS-0484</t>
        </is>
      </c>
      <c r="C485" s="4" t="inlineStr">
        <is>
          <t>Personal</t>
        </is>
      </c>
      <c r="D485" s="4" t="inlineStr">
        <is>
          <t>Personal</t>
        </is>
      </c>
      <c r="E485" s="4" t="inlineStr">
        <is>
          <t>Life Operations</t>
        </is>
      </c>
      <c r="F485" s="4" t="inlineStr">
        <is>
          <t>Groceries</t>
        </is>
      </c>
      <c r="G485" s="4" t="inlineStr">
        <is>
          <t>Expense</t>
        </is>
      </c>
      <c r="H485" s="12" t="n">
        <v>46184</v>
      </c>
      <c r="I485" s="13" t="n">
        <v>0.7700231481481481</v>
      </c>
      <c r="J485" s="14" t="n">
        <v>46184.77002314815</v>
      </c>
      <c r="K485" s="15" t="n">
        <v>9335.51</v>
      </c>
      <c r="L485" s="4" t="inlineStr">
        <is>
          <t>INR</t>
        </is>
      </c>
      <c r="M485" s="15" t="n">
        <v>-9335.51</v>
      </c>
      <c r="N485" s="4" t="inlineStr">
        <is>
          <t>IOS Owner</t>
        </is>
      </c>
      <c r="O485" s="4" t="n"/>
      <c r="P485" s="4" t="n"/>
      <c r="Q485" s="4" t="inlineStr">
        <is>
          <t>MAESTRO-IOS-PERSONAL-LIFE_OPERATIONS-0484 | Groceries | 9335.51</t>
        </is>
      </c>
      <c r="R485" s="4" t="inlineStr">
        <is>
          <t>iPhone</t>
        </is>
      </c>
      <c r="S485" s="4" t="inlineStr">
        <is>
          <t>B10</t>
        </is>
      </c>
      <c r="T485" s="4" t="inlineStr">
        <is>
          <t>BASELINE_1_500</t>
        </is>
      </c>
      <c r="U485" s="4" t="inlineStr">
        <is>
          <t>CREATED</t>
        </is>
      </c>
      <c r="V485" s="4" t="inlineStr">
        <is>
          <t>idem-20260902-ios-0484</t>
        </is>
      </c>
    </row>
    <row r="486" ht="30" customHeight="1">
      <c r="A486" s="4" t="n">
        <v>485</v>
      </c>
      <c r="B486" s="4" t="inlineStr">
        <is>
          <t>MTR-IOS-0485</t>
        </is>
      </c>
      <c r="C486" s="4" t="inlineStr">
        <is>
          <t>Group</t>
        </is>
      </c>
      <c r="D486" s="4" t="inlineStr">
        <is>
          <t>Shared Living</t>
        </is>
      </c>
      <c r="E486" s="4" t="inlineStr">
        <is>
          <t>Shared Living</t>
        </is>
      </c>
      <c r="F486" s="4" t="inlineStr">
        <is>
          <t>Rent</t>
        </is>
      </c>
      <c r="G486" s="4" t="inlineStr">
        <is>
          <t>Expense</t>
        </is>
      </c>
      <c r="H486" s="12" t="n">
        <v>46242</v>
      </c>
      <c r="I486" s="13" t="n">
        <v>0.5</v>
      </c>
      <c r="J486" s="14" t="n">
        <v>46242.5</v>
      </c>
      <c r="K486" s="15" t="n">
        <v>21822.95</v>
      </c>
      <c r="L486" s="4" t="inlineStr">
        <is>
          <t>INR</t>
        </is>
      </c>
      <c r="M486" s="15" t="n">
        <v>-21822.95</v>
      </c>
      <c r="N486" s="4" t="inlineStr">
        <is>
          <t>IOS Meera</t>
        </is>
      </c>
      <c r="O486" s="4" t="n">
        <v>3</v>
      </c>
      <c r="P486" s="4" t="inlineStr">
        <is>
          <t>PERCENTAGE</t>
        </is>
      </c>
      <c r="Q486" s="4" t="inlineStr">
        <is>
          <t>MAESTRO-IOS-GROUP-SHARED_LIVING-0485 | Rent | 21822.95</t>
        </is>
      </c>
      <c r="R486" s="4" t="inlineStr">
        <is>
          <t>iPhone</t>
        </is>
      </c>
      <c r="S486" s="4" t="inlineStr">
        <is>
          <t>B10</t>
        </is>
      </c>
      <c r="T486" s="4" t="inlineStr">
        <is>
          <t>BASELINE_1_500</t>
        </is>
      </c>
      <c r="U486" s="4" t="inlineStr">
        <is>
          <t>CREATED</t>
        </is>
      </c>
      <c r="V486" s="4" t="inlineStr">
        <is>
          <t>idem-20260902-ios-0485</t>
        </is>
      </c>
    </row>
    <row r="487" ht="30" customHeight="1">
      <c r="A487" s="4" t="n">
        <v>486</v>
      </c>
      <c r="B487" s="4" t="inlineStr">
        <is>
          <t>MTR-IOS-0486</t>
        </is>
      </c>
      <c r="C487" s="4" t="inlineStr">
        <is>
          <t>Business</t>
        </is>
      </c>
      <c r="D487" s="4" t="inlineStr">
        <is>
          <t>Business</t>
        </is>
      </c>
      <c r="E487" s="4" t="inlineStr">
        <is>
          <t>Business Operations</t>
        </is>
      </c>
      <c r="F487" s="4" t="inlineStr">
        <is>
          <t>Rent</t>
        </is>
      </c>
      <c r="G487" s="4" t="inlineStr">
        <is>
          <t>Expense</t>
        </is>
      </c>
      <c r="H487" s="12" t="n">
        <v>46113</v>
      </c>
      <c r="I487" s="13" t="n">
        <v>0.3165509259259259</v>
      </c>
      <c r="J487" s="14" t="n">
        <v>46113.31655092593</v>
      </c>
      <c r="K487" s="15" t="n">
        <v>127892.09</v>
      </c>
      <c r="L487" s="4" t="inlineStr">
        <is>
          <t>INR</t>
        </is>
      </c>
      <c r="M487" s="15" t="n">
        <v>-127892.09</v>
      </c>
      <c r="N487" s="4" t="inlineStr">
        <is>
          <t>IOS Owner</t>
        </is>
      </c>
      <c r="O487" s="4" t="n"/>
      <c r="P487" s="4" t="n"/>
      <c r="Q487" s="4" t="inlineStr">
        <is>
          <t>MAESTRO-IOS-BUSINESS-BUSINESS_OPERATIONS-0486 | Rent | 127892.09</t>
        </is>
      </c>
      <c r="R487" s="4" t="inlineStr">
        <is>
          <t>iPhone</t>
        </is>
      </c>
      <c r="S487" s="4" t="inlineStr">
        <is>
          <t>B10</t>
        </is>
      </c>
      <c r="T487" s="4" t="inlineStr">
        <is>
          <t>BASELINE_1_500</t>
        </is>
      </c>
      <c r="U487" s="4" t="inlineStr">
        <is>
          <t>CREATED</t>
        </is>
      </c>
      <c r="V487" s="4" t="inlineStr">
        <is>
          <t>idem-20260902-ios-0486</t>
        </is>
      </c>
    </row>
    <row r="488" ht="30" customHeight="1">
      <c r="A488" s="4" t="n">
        <v>487</v>
      </c>
      <c r="B488" s="4" t="inlineStr">
        <is>
          <t>MTR-IOS-0487</t>
        </is>
      </c>
      <c r="C488" s="4" t="inlineStr">
        <is>
          <t>Personal</t>
        </is>
      </c>
      <c r="D488" s="4" t="inlineStr">
        <is>
          <t>Personal</t>
        </is>
      </c>
      <c r="E488" s="4" t="inlineStr">
        <is>
          <t>Life Operations</t>
        </is>
      </c>
      <c r="F488" s="4" t="inlineStr">
        <is>
          <t>Rent</t>
        </is>
      </c>
      <c r="G488" s="4" t="inlineStr">
        <is>
          <t>Expense</t>
        </is>
      </c>
      <c r="H488" s="12" t="n">
        <v>45970</v>
      </c>
      <c r="I488" s="13" t="n">
        <v>0.3860648148148148</v>
      </c>
      <c r="J488" s="14" t="n">
        <v>45970.38606481482</v>
      </c>
      <c r="K488" s="15" t="n">
        <v>1946.89</v>
      </c>
      <c r="L488" s="4" t="inlineStr">
        <is>
          <t>INR</t>
        </is>
      </c>
      <c r="M488" s="15" t="n">
        <v>-1946.89</v>
      </c>
      <c r="N488" s="4" t="inlineStr">
        <is>
          <t>IOS Owner</t>
        </is>
      </c>
      <c r="O488" s="4" t="n"/>
      <c r="P488" s="4" t="n"/>
      <c r="Q488" s="4" t="inlineStr">
        <is>
          <t>MAESTRO-IOS-PERSONAL-LIFE_OPERATIONS-0487 | Rent | 1946.89</t>
        </is>
      </c>
      <c r="R488" s="4" t="inlineStr">
        <is>
          <t>iPhone</t>
        </is>
      </c>
      <c r="S488" s="4" t="inlineStr">
        <is>
          <t>B10</t>
        </is>
      </c>
      <c r="T488" s="4" t="inlineStr">
        <is>
          <t>BASELINE_1_500</t>
        </is>
      </c>
      <c r="U488" s="4" t="inlineStr">
        <is>
          <t>CREATED</t>
        </is>
      </c>
      <c r="V488" s="4" t="inlineStr">
        <is>
          <t>idem-20260902-ios-0487</t>
        </is>
      </c>
    </row>
    <row r="489" ht="30" customHeight="1">
      <c r="A489" s="4" t="n">
        <v>488</v>
      </c>
      <c r="B489" s="4" t="inlineStr">
        <is>
          <t>MTR-IOS-0488</t>
        </is>
      </c>
      <c r="C489" s="4" t="inlineStr">
        <is>
          <t>Group</t>
        </is>
      </c>
      <c r="D489" s="4" t="inlineStr">
        <is>
          <t>Shared Living</t>
        </is>
      </c>
      <c r="E489" s="4" t="inlineStr">
        <is>
          <t>Shared Living</t>
        </is>
      </c>
      <c r="F489" s="4" t="inlineStr">
        <is>
          <t>Utilities</t>
        </is>
      </c>
      <c r="G489" s="4" t="inlineStr">
        <is>
          <t>Expense</t>
        </is>
      </c>
      <c r="H489" s="12" t="n">
        <v>46025</v>
      </c>
      <c r="I489" s="13" t="n">
        <v>0.3706481481481482</v>
      </c>
      <c r="J489" s="14" t="n">
        <v>46025.37064814815</v>
      </c>
      <c r="K489" s="15" t="n">
        <v>5684.17</v>
      </c>
      <c r="L489" s="4" t="inlineStr">
        <is>
          <t>INR</t>
        </is>
      </c>
      <c r="M489" s="15" t="n">
        <v>-5684.17</v>
      </c>
      <c r="N489" s="4" t="inlineStr">
        <is>
          <t>IOS Owner</t>
        </is>
      </c>
      <c r="O489" s="4" t="n">
        <v>3</v>
      </c>
      <c r="P489" s="4" t="inlineStr">
        <is>
          <t>EXACT</t>
        </is>
      </c>
      <c r="Q489" s="4" t="inlineStr">
        <is>
          <t>MAESTRO-IOS-GROUP-SHARED_LIVING-0488 | Utilities | 5684.17</t>
        </is>
      </c>
      <c r="R489" s="4" t="inlineStr">
        <is>
          <t>iPhone</t>
        </is>
      </c>
      <c r="S489" s="4" t="inlineStr">
        <is>
          <t>B10</t>
        </is>
      </c>
      <c r="T489" s="4" t="inlineStr">
        <is>
          <t>BASELINE_1_500</t>
        </is>
      </c>
      <c r="U489" s="4" t="inlineStr">
        <is>
          <t>CREATED</t>
        </is>
      </c>
      <c r="V489" s="4" t="inlineStr">
        <is>
          <t>idem-20260902-ios-0488</t>
        </is>
      </c>
    </row>
    <row r="490" ht="30" customHeight="1">
      <c r="A490" s="4" t="n">
        <v>489</v>
      </c>
      <c r="B490" s="4" t="inlineStr">
        <is>
          <t>MTR-IOS-0489</t>
        </is>
      </c>
      <c r="C490" s="4" t="inlineStr">
        <is>
          <t>Business</t>
        </is>
      </c>
      <c r="D490" s="4" t="inlineStr">
        <is>
          <t>Business</t>
        </is>
      </c>
      <c r="E490" s="4" t="inlineStr">
        <is>
          <t>Business Operations</t>
        </is>
      </c>
      <c r="F490" s="4" t="inlineStr">
        <is>
          <t>Marketing</t>
        </is>
      </c>
      <c r="G490" s="4" t="inlineStr">
        <is>
          <t>Expense</t>
        </is>
      </c>
      <c r="H490" s="12" t="n">
        <v>46087</v>
      </c>
      <c r="I490" s="13" t="n">
        <v>0.6530439814814815</v>
      </c>
      <c r="J490" s="14" t="n">
        <v>46087.65304398148</v>
      </c>
      <c r="K490" s="15" t="n">
        <v>95540.03999999999</v>
      </c>
      <c r="L490" s="4" t="inlineStr">
        <is>
          <t>INR</t>
        </is>
      </c>
      <c r="M490" s="15" t="n">
        <v>-95540.03999999999</v>
      </c>
      <c r="N490" s="4" t="inlineStr">
        <is>
          <t>IOS Owner</t>
        </is>
      </c>
      <c r="O490" s="4" t="n"/>
      <c r="P490" s="4" t="n"/>
      <c r="Q490" s="4" t="inlineStr">
        <is>
          <t>MAESTRO-IOS-BUSINESS-BUSINESS_OPERATIONS-0489 | Marketing | 95540.04</t>
        </is>
      </c>
      <c r="R490" s="4" t="inlineStr">
        <is>
          <t>iPhone</t>
        </is>
      </c>
      <c r="S490" s="4" t="inlineStr">
        <is>
          <t>B10</t>
        </is>
      </c>
      <c r="T490" s="4" t="inlineStr">
        <is>
          <t>BASELINE_1_500</t>
        </is>
      </c>
      <c r="U490" s="4" t="inlineStr">
        <is>
          <t>CREATED</t>
        </is>
      </c>
      <c r="V490" s="4" t="inlineStr">
        <is>
          <t>idem-20260902-ios-0489</t>
        </is>
      </c>
    </row>
    <row r="491" ht="30" customHeight="1">
      <c r="A491" s="4" t="n">
        <v>490</v>
      </c>
      <c r="B491" s="4" t="inlineStr">
        <is>
          <t>MTR-IOS-0490</t>
        </is>
      </c>
      <c r="C491" s="4" t="inlineStr">
        <is>
          <t>Personal</t>
        </is>
      </c>
      <c r="D491" s="4" t="inlineStr">
        <is>
          <t>Personal</t>
        </is>
      </c>
      <c r="E491" s="4" t="inlineStr">
        <is>
          <t>Life Operations</t>
        </is>
      </c>
      <c r="F491" s="4" t="inlineStr">
        <is>
          <t>Bills</t>
        </is>
      </c>
      <c r="G491" s="4" t="inlineStr">
        <is>
          <t>Expense</t>
        </is>
      </c>
      <c r="H491" s="12" t="n">
        <v>46182</v>
      </c>
      <c r="I491" s="13" t="n">
        <v>0.8851851851851852</v>
      </c>
      <c r="J491" s="14" t="n">
        <v>46182.88518518519</v>
      </c>
      <c r="K491" s="15" t="n">
        <v>11090.5</v>
      </c>
      <c r="L491" s="4" t="inlineStr">
        <is>
          <t>INR</t>
        </is>
      </c>
      <c r="M491" s="15" t="n">
        <v>-11090.5</v>
      </c>
      <c r="N491" s="4" t="inlineStr">
        <is>
          <t>IOS Owner</t>
        </is>
      </c>
      <c r="O491" s="4" t="n"/>
      <c r="P491" s="4" t="n"/>
      <c r="Q491" s="4" t="inlineStr">
        <is>
          <t>MAESTRO-IOS-PERSONAL-LIFE_OPERATIONS-0490 | Bills | 11090.50</t>
        </is>
      </c>
      <c r="R491" s="4" t="inlineStr">
        <is>
          <t>iPhone</t>
        </is>
      </c>
      <c r="S491" s="4" t="inlineStr">
        <is>
          <t>B10</t>
        </is>
      </c>
      <c r="T491" s="4" t="inlineStr">
        <is>
          <t>BASELINE_1_500</t>
        </is>
      </c>
      <c r="U491" s="4" t="inlineStr">
        <is>
          <t>CREATED</t>
        </is>
      </c>
      <c r="V491" s="4" t="inlineStr">
        <is>
          <t>idem-20260902-ios-0490</t>
        </is>
      </c>
    </row>
    <row r="492" ht="30" customHeight="1">
      <c r="A492" s="4" t="n">
        <v>491</v>
      </c>
      <c r="B492" s="4" t="inlineStr">
        <is>
          <t>MTR-IOS-0491</t>
        </is>
      </c>
      <c r="C492" s="4" t="inlineStr">
        <is>
          <t>Group</t>
        </is>
      </c>
      <c r="D492" s="4" t="inlineStr">
        <is>
          <t>Shared Living</t>
        </is>
      </c>
      <c r="E492" s="4" t="inlineStr">
        <is>
          <t>Shared Living</t>
        </is>
      </c>
      <c r="F492" s="4" t="inlineStr">
        <is>
          <t>Groceries</t>
        </is>
      </c>
      <c r="G492" s="4" t="inlineStr">
        <is>
          <t>Expense</t>
        </is>
      </c>
      <c r="H492" s="12" t="n">
        <v>45973</v>
      </c>
      <c r="I492" s="13" t="n">
        <v>0.9870949074074075</v>
      </c>
      <c r="J492" s="14" t="n">
        <v>45973.98709490741</v>
      </c>
      <c r="K492" s="15" t="n">
        <v>17985.42</v>
      </c>
      <c r="L492" s="4" t="inlineStr">
        <is>
          <t>INR</t>
        </is>
      </c>
      <c r="M492" s="15" t="n">
        <v>-17985.42</v>
      </c>
      <c r="N492" s="4" t="inlineStr">
        <is>
          <t>IOS Aarav</t>
        </is>
      </c>
      <c r="O492" s="4" t="n">
        <v>3</v>
      </c>
      <c r="P492" s="4" t="inlineStr">
        <is>
          <t>SHARES</t>
        </is>
      </c>
      <c r="Q492" s="4" t="inlineStr">
        <is>
          <t>MAESTRO-IOS-GROUP-SHARED_LIVING-0491 | Groceries | 17985.42</t>
        </is>
      </c>
      <c r="R492" s="4" t="inlineStr">
        <is>
          <t>iPhone</t>
        </is>
      </c>
      <c r="S492" s="4" t="inlineStr">
        <is>
          <t>B10</t>
        </is>
      </c>
      <c r="T492" s="4" t="inlineStr">
        <is>
          <t>BASELINE_1_500</t>
        </is>
      </c>
      <c r="U492" s="4" t="inlineStr">
        <is>
          <t>CREATED</t>
        </is>
      </c>
      <c r="V492" s="4" t="inlineStr">
        <is>
          <t>idem-20260902-ios-0491</t>
        </is>
      </c>
    </row>
    <row r="493" ht="30" customHeight="1">
      <c r="A493" s="4" t="n">
        <v>492</v>
      </c>
      <c r="B493" s="4" t="inlineStr">
        <is>
          <t>MTR-IOS-0492</t>
        </is>
      </c>
      <c r="C493" s="4" t="inlineStr">
        <is>
          <t>Business</t>
        </is>
      </c>
      <c r="D493" s="4" t="inlineStr">
        <is>
          <t>Business</t>
        </is>
      </c>
      <c r="E493" s="4" t="inlineStr">
        <is>
          <t>Business Operations</t>
        </is>
      </c>
      <c r="F493" s="4" t="inlineStr">
        <is>
          <t>Legal</t>
        </is>
      </c>
      <c r="G493" s="4" t="inlineStr">
        <is>
          <t>Expense</t>
        </is>
      </c>
      <c r="H493" s="12" t="n">
        <v>46052</v>
      </c>
      <c r="I493" s="13" t="n">
        <v>0.6403935185185186</v>
      </c>
      <c r="J493" s="14" t="n">
        <v>46052.64039351852</v>
      </c>
      <c r="K493" s="15" t="n">
        <v>144921.79</v>
      </c>
      <c r="L493" s="4" t="inlineStr">
        <is>
          <t>INR</t>
        </is>
      </c>
      <c r="M493" s="15" t="n">
        <v>-144921.79</v>
      </c>
      <c r="N493" s="4" t="inlineStr">
        <is>
          <t>IOS Owner</t>
        </is>
      </c>
      <c r="O493" s="4" t="n"/>
      <c r="P493" s="4" t="n"/>
      <c r="Q493" s="4" t="inlineStr">
        <is>
          <t>MAESTRO-IOS-BUSINESS-BUSINESS_OPERATIONS-0492 | Legal | 144921.79</t>
        </is>
      </c>
      <c r="R493" s="4" t="inlineStr">
        <is>
          <t>iPhone</t>
        </is>
      </c>
      <c r="S493" s="4" t="inlineStr">
        <is>
          <t>B10</t>
        </is>
      </c>
      <c r="T493" s="4" t="inlineStr">
        <is>
          <t>BASELINE_1_500</t>
        </is>
      </c>
      <c r="U493" s="4" t="inlineStr">
        <is>
          <t>CREATED</t>
        </is>
      </c>
      <c r="V493" s="4" t="inlineStr">
        <is>
          <t>idem-20260902-ios-0492</t>
        </is>
      </c>
    </row>
    <row r="494" ht="30" customHeight="1">
      <c r="A494" s="4" t="n">
        <v>493</v>
      </c>
      <c r="B494" s="4" t="inlineStr">
        <is>
          <t>MTR-IOS-0493</t>
        </is>
      </c>
      <c r="C494" s="4" t="inlineStr">
        <is>
          <t>Personal</t>
        </is>
      </c>
      <c r="D494" s="4" t="inlineStr">
        <is>
          <t>Personal</t>
        </is>
      </c>
      <c r="E494" s="4" t="inlineStr">
        <is>
          <t>Life Operations</t>
        </is>
      </c>
      <c r="F494" s="4" t="inlineStr">
        <is>
          <t>Transport</t>
        </is>
      </c>
      <c r="G494" s="4" t="inlineStr">
        <is>
          <t>Expense</t>
        </is>
      </c>
      <c r="H494" s="12" t="n">
        <v>45983</v>
      </c>
      <c r="I494" s="13" t="n">
        <v>0.3115740740740741</v>
      </c>
      <c r="J494" s="14" t="n">
        <v>45983.31157407408</v>
      </c>
      <c r="K494" s="15" t="n">
        <v>5940.29</v>
      </c>
      <c r="L494" s="4" t="inlineStr">
        <is>
          <t>INR</t>
        </is>
      </c>
      <c r="M494" s="15" t="n">
        <v>-5940.29</v>
      </c>
      <c r="N494" s="4" t="inlineStr">
        <is>
          <t>IOS Owner</t>
        </is>
      </c>
      <c r="O494" s="4" t="n"/>
      <c r="P494" s="4" t="n"/>
      <c r="Q494" s="4" t="inlineStr">
        <is>
          <t>MAESTRO-IOS-PERSONAL-LIFE_OPERATIONS-0493 | Transport | 5940.29</t>
        </is>
      </c>
      <c r="R494" s="4" t="inlineStr">
        <is>
          <t>iPhone</t>
        </is>
      </c>
      <c r="S494" s="4" t="inlineStr">
        <is>
          <t>B10</t>
        </is>
      </c>
      <c r="T494" s="4" t="inlineStr">
        <is>
          <t>BASELINE_1_500</t>
        </is>
      </c>
      <c r="U494" s="4" t="inlineStr">
        <is>
          <t>CREATED</t>
        </is>
      </c>
      <c r="V494" s="4" t="inlineStr">
        <is>
          <t>idem-20260902-ios-0493</t>
        </is>
      </c>
    </row>
    <row r="495" ht="30" customHeight="1">
      <c r="A495" s="4" t="n">
        <v>494</v>
      </c>
      <c r="B495" s="4" t="inlineStr">
        <is>
          <t>MTR-IOS-0494</t>
        </is>
      </c>
      <c r="C495" s="4" t="inlineStr">
        <is>
          <t>Group</t>
        </is>
      </c>
      <c r="D495" s="4" t="inlineStr">
        <is>
          <t>Shared Living</t>
        </is>
      </c>
      <c r="E495" s="4" t="inlineStr">
        <is>
          <t>Shared Living</t>
        </is>
      </c>
      <c r="F495" s="4" t="inlineStr">
        <is>
          <t>Maintenance</t>
        </is>
      </c>
      <c r="G495" s="4" t="inlineStr">
        <is>
          <t>Expense</t>
        </is>
      </c>
      <c r="H495" s="12" t="n">
        <v>46123</v>
      </c>
      <c r="I495" s="13" t="n">
        <v>0.7071875</v>
      </c>
      <c r="J495" s="14" t="n">
        <v>46123.7071875</v>
      </c>
      <c r="K495" s="15" t="n">
        <v>10322.21</v>
      </c>
      <c r="L495" s="4" t="inlineStr">
        <is>
          <t>INR</t>
        </is>
      </c>
      <c r="M495" s="15" t="n">
        <v>-10322.21</v>
      </c>
      <c r="N495" s="4" t="inlineStr">
        <is>
          <t>IOS Meera</t>
        </is>
      </c>
      <c r="O495" s="4" t="n">
        <v>3</v>
      </c>
      <c r="P495" s="4" t="inlineStr">
        <is>
          <t>EQUAL</t>
        </is>
      </c>
      <c r="Q495" s="4" t="inlineStr">
        <is>
          <t>MAESTRO-IOS-GROUP-SHARED_LIVING-0494 | Maintenance | 10322.21</t>
        </is>
      </c>
      <c r="R495" s="4" t="inlineStr">
        <is>
          <t>iPhone</t>
        </is>
      </c>
      <c r="S495" s="4" t="inlineStr">
        <is>
          <t>B10</t>
        </is>
      </c>
      <c r="T495" s="4" t="inlineStr">
        <is>
          <t>BASELINE_1_500</t>
        </is>
      </c>
      <c r="U495" s="4" t="inlineStr">
        <is>
          <t>CREATED</t>
        </is>
      </c>
      <c r="V495" s="4" t="inlineStr">
        <is>
          <t>idem-20260902-ios-0494</t>
        </is>
      </c>
    </row>
    <row r="496" ht="30" customHeight="1">
      <c r="A496" s="4" t="n">
        <v>495</v>
      </c>
      <c r="B496" s="4" t="inlineStr">
        <is>
          <t>MTR-IOS-0495</t>
        </is>
      </c>
      <c r="C496" s="4" t="inlineStr">
        <is>
          <t>Business</t>
        </is>
      </c>
      <c r="D496" s="4" t="inlineStr">
        <is>
          <t>Business</t>
        </is>
      </c>
      <c r="E496" s="4" t="inlineStr">
        <is>
          <t>Business Operations</t>
        </is>
      </c>
      <c r="F496" s="4" t="inlineStr">
        <is>
          <t>Accounting</t>
        </is>
      </c>
      <c r="G496" s="4" t="inlineStr">
        <is>
          <t>Expense</t>
        </is>
      </c>
      <c r="H496" s="12" t="n">
        <v>45912</v>
      </c>
      <c r="I496" s="13" t="n">
        <v>0.6443055555555556</v>
      </c>
      <c r="J496" s="14" t="n">
        <v>45912.64430555556</v>
      </c>
      <c r="K496" s="15" t="n">
        <v>104100.75</v>
      </c>
      <c r="L496" s="4" t="inlineStr">
        <is>
          <t>INR</t>
        </is>
      </c>
      <c r="M496" s="15" t="n">
        <v>-104100.75</v>
      </c>
      <c r="N496" s="4" t="inlineStr">
        <is>
          <t>IOS Owner</t>
        </is>
      </c>
      <c r="O496" s="4" t="n"/>
      <c r="P496" s="4" t="n"/>
      <c r="Q496" s="4" t="inlineStr">
        <is>
          <t>MAESTRO-IOS-BUSINESS-BUSINESS_OPERATIONS-0495 | Accounting | 104100.75</t>
        </is>
      </c>
      <c r="R496" s="4" t="inlineStr">
        <is>
          <t>iPhone</t>
        </is>
      </c>
      <c r="S496" s="4" t="inlineStr">
        <is>
          <t>B10</t>
        </is>
      </c>
      <c r="T496" s="4" t="inlineStr">
        <is>
          <t>BASELINE_1_500</t>
        </is>
      </c>
      <c r="U496" s="4" t="inlineStr">
        <is>
          <t>CREATED</t>
        </is>
      </c>
      <c r="V496" s="4" t="inlineStr">
        <is>
          <t>idem-20260902-ios-0495</t>
        </is>
      </c>
    </row>
    <row r="497" ht="30" customHeight="1">
      <c r="A497" s="4" t="n">
        <v>496</v>
      </c>
      <c r="B497" s="4" t="inlineStr">
        <is>
          <t>MTR-IOS-0496</t>
        </is>
      </c>
      <c r="C497" s="4" t="inlineStr">
        <is>
          <t>Personal</t>
        </is>
      </c>
      <c r="D497" s="4" t="inlineStr">
        <is>
          <t>Personal</t>
        </is>
      </c>
      <c r="E497" s="4" t="inlineStr">
        <is>
          <t>Life Operations</t>
        </is>
      </c>
      <c r="F497" s="4" t="inlineStr">
        <is>
          <t>Healthcare</t>
        </is>
      </c>
      <c r="G497" s="4" t="inlineStr">
        <is>
          <t>Expense</t>
        </is>
      </c>
      <c r="H497" s="12" t="n">
        <v>46164</v>
      </c>
      <c r="I497" s="13" t="n">
        <v>0.3261805555555555</v>
      </c>
      <c r="J497" s="14" t="n">
        <v>46164.32618055555</v>
      </c>
      <c r="K497" s="15" t="n">
        <v>2920.77</v>
      </c>
      <c r="L497" s="4" t="inlineStr">
        <is>
          <t>INR</t>
        </is>
      </c>
      <c r="M497" s="15" t="n">
        <v>-2920.77</v>
      </c>
      <c r="N497" s="4" t="inlineStr">
        <is>
          <t>IOS Owner</t>
        </is>
      </c>
      <c r="O497" s="4" t="n"/>
      <c r="P497" s="4" t="n"/>
      <c r="Q497" s="4" t="inlineStr">
        <is>
          <t>MAESTRO-IOS-PERSONAL-LIFE_OPERATIONS-0496 | Healthcare | 2920.77</t>
        </is>
      </c>
      <c r="R497" s="4" t="inlineStr">
        <is>
          <t>iPhone</t>
        </is>
      </c>
      <c r="S497" s="4" t="inlineStr">
        <is>
          <t>B10</t>
        </is>
      </c>
      <c r="T497" s="4" t="inlineStr">
        <is>
          <t>BASELINE_1_500</t>
        </is>
      </c>
      <c r="U497" s="4" t="inlineStr">
        <is>
          <t>CREATED</t>
        </is>
      </c>
      <c r="V497" s="4" t="inlineStr">
        <is>
          <t>idem-20260902-ios-0496</t>
        </is>
      </c>
    </row>
    <row r="498" ht="30" customHeight="1">
      <c r="A498" s="4" t="n">
        <v>497</v>
      </c>
      <c r="B498" s="4" t="inlineStr">
        <is>
          <t>MTR-IOS-0497</t>
        </is>
      </c>
      <c r="C498" s="4" t="inlineStr">
        <is>
          <t>Group</t>
        </is>
      </c>
      <c r="D498" s="4" t="inlineStr">
        <is>
          <t>Shared Living</t>
        </is>
      </c>
      <c r="E498" s="4" t="inlineStr">
        <is>
          <t>Shared Living</t>
        </is>
      </c>
      <c r="F498" s="4" t="inlineStr">
        <is>
          <t>Other</t>
        </is>
      </c>
      <c r="G498" s="4" t="inlineStr">
        <is>
          <t>Expense</t>
        </is>
      </c>
      <c r="H498" s="12" t="n">
        <v>46002</v>
      </c>
      <c r="I498" s="13" t="n">
        <v>0.7342013888888889</v>
      </c>
      <c r="J498" s="14" t="n">
        <v>46002.73420138889</v>
      </c>
      <c r="K498" s="15" t="n">
        <v>24598.59</v>
      </c>
      <c r="L498" s="4" t="inlineStr">
        <is>
          <t>INR</t>
        </is>
      </c>
      <c r="M498" s="15" t="n">
        <v>-24598.59</v>
      </c>
      <c r="N498" s="4" t="inlineStr">
        <is>
          <t>IOS Owner</t>
        </is>
      </c>
      <c r="O498" s="4" t="n">
        <v>3</v>
      </c>
      <c r="P498" s="4" t="inlineStr">
        <is>
          <t>PERCENTAGE</t>
        </is>
      </c>
      <c r="Q498" s="4" t="inlineStr">
        <is>
          <t>MAESTRO-IOS-GROUP-SHARED_LIVING-0497 | Other | 24598.59</t>
        </is>
      </c>
      <c r="R498" s="4" t="inlineStr">
        <is>
          <t>iPhone</t>
        </is>
      </c>
      <c r="S498" s="4" t="inlineStr">
        <is>
          <t>B10</t>
        </is>
      </c>
      <c r="T498" s="4" t="inlineStr">
        <is>
          <t>BASELINE_1_500</t>
        </is>
      </c>
      <c r="U498" s="4" t="inlineStr">
        <is>
          <t>CREATED</t>
        </is>
      </c>
      <c r="V498" s="4" t="inlineStr">
        <is>
          <t>idem-20260902-ios-0497</t>
        </is>
      </c>
    </row>
    <row r="499" ht="30" customHeight="1">
      <c r="A499" s="4" t="n">
        <v>498</v>
      </c>
      <c r="B499" s="4" t="inlineStr">
        <is>
          <t>MTR-IOS-0498</t>
        </is>
      </c>
      <c r="C499" s="4" t="inlineStr">
        <is>
          <t>Business</t>
        </is>
      </c>
      <c r="D499" s="4" t="inlineStr">
        <is>
          <t>Business</t>
        </is>
      </c>
      <c r="E499" s="4" t="inlineStr">
        <is>
          <t>Business Operations</t>
        </is>
      </c>
      <c r="F499" s="4" t="inlineStr">
        <is>
          <t>Equipment</t>
        </is>
      </c>
      <c r="G499" s="4" t="inlineStr">
        <is>
          <t>Expense</t>
        </is>
      </c>
      <c r="H499" s="12" t="n">
        <v>45924</v>
      </c>
      <c r="I499" s="13" t="n">
        <v>0.7877546296296296</v>
      </c>
      <c r="J499" s="14" t="n">
        <v>45924.78775462963</v>
      </c>
      <c r="K499" s="15" t="n">
        <v>88583.41</v>
      </c>
      <c r="L499" s="4" t="inlineStr">
        <is>
          <t>INR</t>
        </is>
      </c>
      <c r="M499" s="15" t="n">
        <v>-88583.41</v>
      </c>
      <c r="N499" s="4" t="inlineStr">
        <is>
          <t>IOS Owner</t>
        </is>
      </c>
      <c r="O499" s="4" t="n"/>
      <c r="P499" s="4" t="n"/>
      <c r="Q499" s="4" t="inlineStr">
        <is>
          <t>MAESTRO-IOS-BUSINESS-BUSINESS_OPERATIONS-0498 | Equipment | 88583.41</t>
        </is>
      </c>
      <c r="R499" s="4" t="inlineStr">
        <is>
          <t>iPhone</t>
        </is>
      </c>
      <c r="S499" s="4" t="inlineStr">
        <is>
          <t>B10</t>
        </is>
      </c>
      <c r="T499" s="4" t="inlineStr">
        <is>
          <t>BASELINE_1_500</t>
        </is>
      </c>
      <c r="U499" s="4" t="inlineStr">
        <is>
          <t>CREATED</t>
        </is>
      </c>
      <c r="V499" s="4" t="inlineStr">
        <is>
          <t>idem-20260902-ios-0498</t>
        </is>
      </c>
    </row>
    <row r="500" ht="30" customHeight="1">
      <c r="A500" s="4" t="n">
        <v>499</v>
      </c>
      <c r="B500" s="4" t="inlineStr">
        <is>
          <t>MTR-IOS-0499</t>
        </is>
      </c>
      <c r="C500" s="4" t="inlineStr">
        <is>
          <t>Personal</t>
        </is>
      </c>
      <c r="D500" s="4" t="inlineStr">
        <is>
          <t>Personal</t>
        </is>
      </c>
      <c r="E500" s="4" t="inlineStr">
        <is>
          <t>Life Operations</t>
        </is>
      </c>
      <c r="F500" s="4" t="inlineStr">
        <is>
          <t>Subscriptions</t>
        </is>
      </c>
      <c r="G500" s="4" t="inlineStr">
        <is>
          <t>Expense</t>
        </is>
      </c>
      <c r="H500" s="12" t="n">
        <v>45978</v>
      </c>
      <c r="I500" s="13" t="n">
        <v>0.2046875</v>
      </c>
      <c r="J500" s="14" t="n">
        <v>45978.2046875</v>
      </c>
      <c r="K500" s="15" t="n">
        <v>7948.26</v>
      </c>
      <c r="L500" s="4" t="inlineStr">
        <is>
          <t>INR</t>
        </is>
      </c>
      <c r="M500" s="15" t="n">
        <v>-7948.26</v>
      </c>
      <c r="N500" s="4" t="inlineStr">
        <is>
          <t>IOS Owner</t>
        </is>
      </c>
      <c r="O500" s="4" t="n"/>
      <c r="P500" s="4" t="n"/>
      <c r="Q500" s="4" t="inlineStr">
        <is>
          <t>MAESTRO-IOS-PERSONAL-LIFE_OPERATIONS-0499 | Subscriptions | 7948.26</t>
        </is>
      </c>
      <c r="R500" s="4" t="inlineStr">
        <is>
          <t>iPhone</t>
        </is>
      </c>
      <c r="S500" s="4" t="inlineStr">
        <is>
          <t>B10</t>
        </is>
      </c>
      <c r="T500" s="4" t="inlineStr">
        <is>
          <t>BASELINE_1_500</t>
        </is>
      </c>
      <c r="U500" s="4" t="inlineStr">
        <is>
          <t>CREATED</t>
        </is>
      </c>
      <c r="V500" s="4" t="inlineStr">
        <is>
          <t>idem-20260902-ios-0499</t>
        </is>
      </c>
    </row>
    <row r="501" ht="30" customHeight="1">
      <c r="A501" s="4" t="n">
        <v>500</v>
      </c>
      <c r="B501" s="4" t="inlineStr">
        <is>
          <t>MTR-IOS-0500</t>
        </is>
      </c>
      <c r="C501" s="4" t="inlineStr">
        <is>
          <t>Group</t>
        </is>
      </c>
      <c r="D501" s="4" t="inlineStr">
        <is>
          <t>Shared Living</t>
        </is>
      </c>
      <c r="E501" s="4" t="inlineStr">
        <is>
          <t>Family Household</t>
        </is>
      </c>
      <c r="F501" s="4" t="inlineStr">
        <is>
          <t>Groceries</t>
        </is>
      </c>
      <c r="G501" s="4" t="inlineStr">
        <is>
          <t>Expense</t>
        </is>
      </c>
      <c r="H501" s="12" t="n">
        <v>45967</v>
      </c>
      <c r="I501" s="13" t="n">
        <v>0.5447106481481482</v>
      </c>
      <c r="J501" s="14" t="n">
        <v>45967.54471064815</v>
      </c>
      <c r="K501" s="15" t="n">
        <v>6277.82</v>
      </c>
      <c r="L501" s="4" t="inlineStr">
        <is>
          <t>INR</t>
        </is>
      </c>
      <c r="M501" s="15" t="n">
        <v>-6277.82</v>
      </c>
      <c r="N501" s="4" t="inlineStr">
        <is>
          <t>IOS Aarav</t>
        </is>
      </c>
      <c r="O501" s="4" t="n">
        <v>3</v>
      </c>
      <c r="P501" s="4" t="inlineStr">
        <is>
          <t>EXACT</t>
        </is>
      </c>
      <c r="Q501" s="4" t="inlineStr">
        <is>
          <t>MAESTRO-IOS-GROUP-FAMILY_HOUSEHOLD-0500 | Groceries | 6277.82</t>
        </is>
      </c>
      <c r="R501" s="4" t="inlineStr">
        <is>
          <t>iPhone</t>
        </is>
      </c>
      <c r="S501" s="4" t="inlineStr">
        <is>
          <t>B10</t>
        </is>
      </c>
      <c r="T501" s="4" t="inlineStr">
        <is>
          <t>BASELINE_1_500</t>
        </is>
      </c>
      <c r="U501" s="4" t="inlineStr">
        <is>
          <t>CREATED</t>
        </is>
      </c>
      <c r="V501" s="4" t="inlineStr">
        <is>
          <t>idem-20260902-ios-0500</t>
        </is>
      </c>
    </row>
    <row r="502" ht="30" customHeight="1">
      <c r="A502" s="4" t="n">
        <v>501</v>
      </c>
      <c r="B502" s="4" t="inlineStr">
        <is>
          <t>MTR-IOS-0501</t>
        </is>
      </c>
      <c r="C502" s="4" t="inlineStr">
        <is>
          <t>Business</t>
        </is>
      </c>
      <c r="D502" s="4" t="inlineStr">
        <is>
          <t>Business</t>
        </is>
      </c>
      <c r="E502" s="4" t="inlineStr">
        <is>
          <t>Business Operations</t>
        </is>
      </c>
      <c r="F502" s="4" t="inlineStr">
        <is>
          <t>Vendor</t>
        </is>
      </c>
      <c r="G502" s="4" t="inlineStr">
        <is>
          <t>Expense</t>
        </is>
      </c>
      <c r="H502" s="12" t="n">
        <v>45949</v>
      </c>
      <c r="I502" s="13" t="n">
        <v>0.8699537037037037</v>
      </c>
      <c r="J502" s="14" t="n">
        <v>45949.8699537037</v>
      </c>
      <c r="K502" s="15" t="n">
        <v>149924.95</v>
      </c>
      <c r="L502" s="4" t="inlineStr">
        <is>
          <t>INR</t>
        </is>
      </c>
      <c r="M502" s="15" t="n">
        <v>-149924.95</v>
      </c>
      <c r="N502" s="4" t="inlineStr">
        <is>
          <t>IOS Owner</t>
        </is>
      </c>
      <c r="O502" s="4" t="n"/>
      <c r="P502" s="4" t="n"/>
      <c r="Q502" s="4" t="inlineStr">
        <is>
          <t>MAESTRO-IOS-BUSINESS-BUSINESS_OPERATIONS-0501 | Vendor | 149924.95</t>
        </is>
      </c>
      <c r="R502" s="4" t="inlineStr">
        <is>
          <t>iPhone</t>
        </is>
      </c>
      <c r="S502" s="4" t="inlineStr">
        <is>
          <t>B11</t>
        </is>
      </c>
      <c r="T502" s="4" t="inlineStr">
        <is>
          <t>RAMP_501_1500</t>
        </is>
      </c>
      <c r="U502" s="4" t="inlineStr">
        <is>
          <t>CREATED</t>
        </is>
      </c>
      <c r="V502" s="4" t="inlineStr">
        <is>
          <t>idem-20260902-ios-0501</t>
        </is>
      </c>
    </row>
    <row r="503" ht="30" customHeight="1">
      <c r="A503" s="4" t="n">
        <v>502</v>
      </c>
      <c r="B503" s="4" t="inlineStr">
        <is>
          <t>MTR-IOS-0502</t>
        </is>
      </c>
      <c r="C503" s="4" t="inlineStr">
        <is>
          <t>Personal</t>
        </is>
      </c>
      <c r="D503" s="4" t="inlineStr">
        <is>
          <t>Personal</t>
        </is>
      </c>
      <c r="E503" s="4" t="inlineStr">
        <is>
          <t>Life Operations</t>
        </is>
      </c>
      <c r="F503" s="4" t="inlineStr">
        <is>
          <t>Repairs</t>
        </is>
      </c>
      <c r="G503" s="4" t="inlineStr">
        <is>
          <t>Expense</t>
        </is>
      </c>
      <c r="H503" s="12" t="n">
        <v>46185</v>
      </c>
      <c r="I503" s="13" t="n">
        <v>0.4841435185185185</v>
      </c>
      <c r="J503" s="14" t="n">
        <v>46185.48414351852</v>
      </c>
      <c r="K503" s="15" t="n">
        <v>11762.54</v>
      </c>
      <c r="L503" s="4" t="inlineStr">
        <is>
          <t>INR</t>
        </is>
      </c>
      <c r="M503" s="15" t="n">
        <v>-11762.54</v>
      </c>
      <c r="N503" s="4" t="inlineStr">
        <is>
          <t>IOS Owner</t>
        </is>
      </c>
      <c r="O503" s="4" t="n"/>
      <c r="P503" s="4" t="n"/>
      <c r="Q503" s="4" t="inlineStr">
        <is>
          <t>MAESTRO-IOS-PERSONAL-LIFE_OPERATIONS-0502 | Repairs | 11762.54</t>
        </is>
      </c>
      <c r="R503" s="4" t="inlineStr">
        <is>
          <t>iPhone</t>
        </is>
      </c>
      <c r="S503" s="4" t="inlineStr">
        <is>
          <t>B11</t>
        </is>
      </c>
      <c r="T503" s="4" t="inlineStr">
        <is>
          <t>RAMP_501_1500</t>
        </is>
      </c>
      <c r="U503" s="4" t="inlineStr">
        <is>
          <t>CREATED</t>
        </is>
      </c>
      <c r="V503" s="4" t="inlineStr">
        <is>
          <t>idem-20260902-ios-0502</t>
        </is>
      </c>
    </row>
    <row r="504" ht="30" customHeight="1">
      <c r="A504" s="4" t="n">
        <v>503</v>
      </c>
      <c r="B504" s="4" t="inlineStr">
        <is>
          <t>MTR-IOS-0503</t>
        </is>
      </c>
      <c r="C504" s="4" t="inlineStr">
        <is>
          <t>Group</t>
        </is>
      </c>
      <c r="D504" s="4" t="inlineStr">
        <is>
          <t>Shared Living</t>
        </is>
      </c>
      <c r="E504" s="4" t="inlineStr">
        <is>
          <t>Family Household</t>
        </is>
      </c>
      <c r="F504" s="4" t="inlineStr">
        <is>
          <t>Bills</t>
        </is>
      </c>
      <c r="G504" s="4" t="inlineStr">
        <is>
          <t>Expense</t>
        </is>
      </c>
      <c r="H504" s="12" t="n">
        <v>46104</v>
      </c>
      <c r="I504" s="13" t="n">
        <v>0.06072916666666667</v>
      </c>
      <c r="J504" s="14" t="n">
        <v>46104.06072916667</v>
      </c>
      <c r="K504" s="15" t="n">
        <v>23613.28</v>
      </c>
      <c r="L504" s="4" t="inlineStr">
        <is>
          <t>INR</t>
        </is>
      </c>
      <c r="M504" s="15" t="n">
        <v>-23613.28</v>
      </c>
      <c r="N504" s="4" t="inlineStr">
        <is>
          <t>IOS Meera</t>
        </is>
      </c>
      <c r="O504" s="4" t="n">
        <v>3</v>
      </c>
      <c r="P504" s="4" t="inlineStr">
        <is>
          <t>SHARES</t>
        </is>
      </c>
      <c r="Q504" s="4" t="inlineStr">
        <is>
          <t>MAESTRO-IOS-GROUP-FAMILY_HOUSEHOLD-0503 | Bills | 23613.28</t>
        </is>
      </c>
      <c r="R504" s="4" t="inlineStr">
        <is>
          <t>iPhone</t>
        </is>
      </c>
      <c r="S504" s="4" t="inlineStr">
        <is>
          <t>B11</t>
        </is>
      </c>
      <c r="T504" s="4" t="inlineStr">
        <is>
          <t>RAMP_501_1500</t>
        </is>
      </c>
      <c r="U504" s="4" t="inlineStr">
        <is>
          <t>CREATED</t>
        </is>
      </c>
      <c r="V504" s="4" t="inlineStr">
        <is>
          <t>idem-20260902-ios-0503</t>
        </is>
      </c>
    </row>
    <row r="505" ht="30" customHeight="1">
      <c r="A505" s="4" t="n">
        <v>504</v>
      </c>
      <c r="B505" s="4" t="inlineStr">
        <is>
          <t>MTR-IOS-0504</t>
        </is>
      </c>
      <c r="C505" s="4" t="inlineStr">
        <is>
          <t>Business</t>
        </is>
      </c>
      <c r="D505" s="4" t="inlineStr">
        <is>
          <t>Business</t>
        </is>
      </c>
      <c r="E505" s="4" t="inlineStr">
        <is>
          <t>Business Operations</t>
        </is>
      </c>
      <c r="F505" s="4" t="inlineStr">
        <is>
          <t>Tax</t>
        </is>
      </c>
      <c r="G505" s="4" t="inlineStr">
        <is>
          <t>Expense</t>
        </is>
      </c>
      <c r="H505" s="12" t="n">
        <v>45912</v>
      </c>
      <c r="I505" s="13" t="n">
        <v>0.2240162037037037</v>
      </c>
      <c r="J505" s="14" t="n">
        <v>45912.22401620371</v>
      </c>
      <c r="K505" s="15" t="n">
        <v>16856.11</v>
      </c>
      <c r="L505" s="4" t="inlineStr">
        <is>
          <t>INR</t>
        </is>
      </c>
      <c r="M505" s="15" t="n">
        <v>-16856.11</v>
      </c>
      <c r="N505" s="4" t="inlineStr">
        <is>
          <t>IOS Owner</t>
        </is>
      </c>
      <c r="O505" s="4" t="n"/>
      <c r="P505" s="4" t="n"/>
      <c r="Q505" s="4" t="inlineStr">
        <is>
          <t>MAESTRO-IOS-BUSINESS-BUSINESS_OPERATIONS-0504 | Tax | 16856.11</t>
        </is>
      </c>
      <c r="R505" s="4" t="inlineStr">
        <is>
          <t>iPhone</t>
        </is>
      </c>
      <c r="S505" s="4" t="inlineStr">
        <is>
          <t>B11</t>
        </is>
      </c>
      <c r="T505" s="4" t="inlineStr">
        <is>
          <t>RAMP_501_1500</t>
        </is>
      </c>
      <c r="U505" s="4" t="inlineStr">
        <is>
          <t>CREATED</t>
        </is>
      </c>
      <c r="V505" s="4" t="inlineStr">
        <is>
          <t>idem-20260902-ios-0504</t>
        </is>
      </c>
    </row>
    <row r="506" ht="30" customHeight="1">
      <c r="A506" s="4" t="n">
        <v>505</v>
      </c>
      <c r="B506" s="4" t="inlineStr">
        <is>
          <t>MTR-IOS-0505</t>
        </is>
      </c>
      <c r="C506" s="4" t="inlineStr">
        <is>
          <t>Personal</t>
        </is>
      </c>
      <c r="D506" s="4" t="inlineStr">
        <is>
          <t>Personal</t>
        </is>
      </c>
      <c r="E506" s="4" t="inlineStr">
        <is>
          <t>Future Building</t>
        </is>
      </c>
      <c r="F506" s="4" t="inlineStr">
        <is>
          <t>Savings</t>
        </is>
      </c>
      <c r="G506" s="4" t="inlineStr">
        <is>
          <t>Transfer</t>
        </is>
      </c>
      <c r="H506" s="12" t="n">
        <v>46002</v>
      </c>
      <c r="I506" s="13" t="n">
        <v>0.43625</v>
      </c>
      <c r="J506" s="14" t="n">
        <v>46002.43625</v>
      </c>
      <c r="K506" s="15" t="n">
        <v>11123.78</v>
      </c>
      <c r="L506" s="4" t="inlineStr">
        <is>
          <t>INR</t>
        </is>
      </c>
      <c r="M506" s="15" t="n">
        <v>0</v>
      </c>
      <c r="N506" s="4" t="inlineStr">
        <is>
          <t>IOS Owner</t>
        </is>
      </c>
      <c r="O506" s="4" t="n"/>
      <c r="P506" s="4" t="n"/>
      <c r="Q506" s="4" t="inlineStr">
        <is>
          <t>MAESTRO-IOS-PERSONAL-FUTURE_BUILDING-0505 | Savings | 11123.78</t>
        </is>
      </c>
      <c r="R506" s="4" t="inlineStr">
        <is>
          <t>iPhone</t>
        </is>
      </c>
      <c r="S506" s="4" t="inlineStr">
        <is>
          <t>B11</t>
        </is>
      </c>
      <c r="T506" s="4" t="inlineStr">
        <is>
          <t>RAMP_501_1500</t>
        </is>
      </c>
      <c r="U506" s="4" t="inlineStr">
        <is>
          <t>CREATED</t>
        </is>
      </c>
      <c r="V506" s="4" t="inlineStr">
        <is>
          <t>idem-20260902-ios-0505</t>
        </is>
      </c>
    </row>
    <row r="507" ht="30" customHeight="1">
      <c r="A507" s="4" t="n">
        <v>506</v>
      </c>
      <c r="B507" s="4" t="inlineStr">
        <is>
          <t>MTR-IOS-0506</t>
        </is>
      </c>
      <c r="C507" s="4" t="inlineStr">
        <is>
          <t>Group</t>
        </is>
      </c>
      <c r="D507" s="4" t="inlineStr">
        <is>
          <t>Shared Living</t>
        </is>
      </c>
      <c r="E507" s="4" t="inlineStr">
        <is>
          <t>Family Household</t>
        </is>
      </c>
      <c r="F507" s="4" t="inlineStr">
        <is>
          <t>School</t>
        </is>
      </c>
      <c r="G507" s="4" t="inlineStr">
        <is>
          <t>Expense</t>
        </is>
      </c>
      <c r="H507" s="12" t="n">
        <v>46228</v>
      </c>
      <c r="I507" s="13" t="n">
        <v>0.4166319444444445</v>
      </c>
      <c r="J507" s="14" t="n">
        <v>46228.41663194444</v>
      </c>
      <c r="K507" s="15" t="n">
        <v>1216.54</v>
      </c>
      <c r="L507" s="4" t="inlineStr">
        <is>
          <t>INR</t>
        </is>
      </c>
      <c r="M507" s="15" t="n">
        <v>-1216.54</v>
      </c>
      <c r="N507" s="4" t="inlineStr">
        <is>
          <t>IOS Owner</t>
        </is>
      </c>
      <c r="O507" s="4" t="n">
        <v>3</v>
      </c>
      <c r="P507" s="4" t="inlineStr">
        <is>
          <t>EQUAL</t>
        </is>
      </c>
      <c r="Q507" s="4" t="inlineStr">
        <is>
          <t>MAESTRO-IOS-GROUP-FAMILY_HOUSEHOLD-0506 | School | 1216.54</t>
        </is>
      </c>
      <c r="R507" s="4" t="inlineStr">
        <is>
          <t>iPhone</t>
        </is>
      </c>
      <c r="S507" s="4" t="inlineStr">
        <is>
          <t>B11</t>
        </is>
      </c>
      <c r="T507" s="4" t="inlineStr">
        <is>
          <t>RAMP_501_1500</t>
        </is>
      </c>
      <c r="U507" s="4" t="inlineStr">
        <is>
          <t>CREATED</t>
        </is>
      </c>
      <c r="V507" s="4" t="inlineStr">
        <is>
          <t>idem-20260902-ios-0506</t>
        </is>
      </c>
    </row>
    <row r="508" ht="30" customHeight="1">
      <c r="A508" s="4" t="n">
        <v>507</v>
      </c>
      <c r="B508" s="4" t="inlineStr">
        <is>
          <t>MTR-IOS-0507</t>
        </is>
      </c>
      <c r="C508" s="4" t="inlineStr">
        <is>
          <t>Business</t>
        </is>
      </c>
      <c r="D508" s="4" t="inlineStr">
        <is>
          <t>Business</t>
        </is>
      </c>
      <c r="E508" s="4" t="inlineStr">
        <is>
          <t>Team Operations</t>
        </is>
      </c>
      <c r="F508" s="4" t="inlineStr">
        <is>
          <t>Payroll</t>
        </is>
      </c>
      <c r="G508" s="4" t="inlineStr">
        <is>
          <t>Expense</t>
        </is>
      </c>
      <c r="H508" s="12" t="n">
        <v>46210</v>
      </c>
      <c r="I508" s="13" t="n">
        <v>0.1127546296296296</v>
      </c>
      <c r="J508" s="14" t="n">
        <v>46210.11275462963</v>
      </c>
      <c r="K508" s="15" t="n">
        <v>38876.26</v>
      </c>
      <c r="L508" s="4" t="inlineStr">
        <is>
          <t>INR</t>
        </is>
      </c>
      <c r="M508" s="15" t="n">
        <v>-38876.26</v>
      </c>
      <c r="N508" s="4" t="inlineStr">
        <is>
          <t>IOS Owner</t>
        </is>
      </c>
      <c r="O508" s="4" t="n"/>
      <c r="P508" s="4" t="n"/>
      <c r="Q508" s="4" t="inlineStr">
        <is>
          <t>MAESTRO-IOS-BUSINESS-TEAM_OPERATIONS-0507 | Payroll | 38876.26</t>
        </is>
      </c>
      <c r="R508" s="4" t="inlineStr">
        <is>
          <t>iPhone</t>
        </is>
      </c>
      <c r="S508" s="4" t="inlineStr">
        <is>
          <t>B11</t>
        </is>
      </c>
      <c r="T508" s="4" t="inlineStr">
        <is>
          <t>RAMP_501_1500</t>
        </is>
      </c>
      <c r="U508" s="4" t="inlineStr">
        <is>
          <t>CREATED</t>
        </is>
      </c>
      <c r="V508" s="4" t="inlineStr">
        <is>
          <t>idem-20260902-ios-0507</t>
        </is>
      </c>
    </row>
    <row r="509" ht="30" customHeight="1">
      <c r="A509" s="4" t="n">
        <v>508</v>
      </c>
      <c r="B509" s="4" t="inlineStr">
        <is>
          <t>MTR-IOS-0508</t>
        </is>
      </c>
      <c r="C509" s="4" t="inlineStr">
        <is>
          <t>Personal</t>
        </is>
      </c>
      <c r="D509" s="4" t="inlineStr">
        <is>
          <t>Personal</t>
        </is>
      </c>
      <c r="E509" s="4" t="inlineStr">
        <is>
          <t>Future Building</t>
        </is>
      </c>
      <c r="F509" s="4" t="inlineStr">
        <is>
          <t>Emergency Fund</t>
        </is>
      </c>
      <c r="G509" s="4" t="inlineStr">
        <is>
          <t>Transfer</t>
        </is>
      </c>
      <c r="H509" s="12" t="n">
        <v>46000</v>
      </c>
      <c r="I509" s="13" t="n">
        <v>0.3440972222222222</v>
      </c>
      <c r="J509" s="14" t="n">
        <v>46000.34409722222</v>
      </c>
      <c r="K509" s="15" t="n">
        <v>4665.94</v>
      </c>
      <c r="L509" s="4" t="inlineStr">
        <is>
          <t>INR</t>
        </is>
      </c>
      <c r="M509" s="15" t="n">
        <v>0</v>
      </c>
      <c r="N509" s="4" t="inlineStr">
        <is>
          <t>IOS Owner</t>
        </is>
      </c>
      <c r="O509" s="4" t="n"/>
      <c r="P509" s="4" t="n"/>
      <c r="Q509" s="4" t="inlineStr">
        <is>
          <t>MAESTRO-IOS-PERSONAL-FUTURE_BUILDING-0508 | Emergency Fund | 4665.94</t>
        </is>
      </c>
      <c r="R509" s="4" t="inlineStr">
        <is>
          <t>iPhone</t>
        </is>
      </c>
      <c r="S509" s="4" t="inlineStr">
        <is>
          <t>B11</t>
        </is>
      </c>
      <c r="T509" s="4" t="inlineStr">
        <is>
          <t>RAMP_501_1500</t>
        </is>
      </c>
      <c r="U509" s="4" t="inlineStr">
        <is>
          <t>CREATED</t>
        </is>
      </c>
      <c r="V509" s="4" t="inlineStr">
        <is>
          <t>idem-20260902-ios-0508</t>
        </is>
      </c>
    </row>
    <row r="510" ht="30" customHeight="1">
      <c r="A510" s="4" t="n">
        <v>509</v>
      </c>
      <c r="B510" s="4" t="inlineStr">
        <is>
          <t>MTR-IOS-0509</t>
        </is>
      </c>
      <c r="C510" s="4" t="inlineStr">
        <is>
          <t>Group</t>
        </is>
      </c>
      <c r="D510" s="4" t="inlineStr">
        <is>
          <t>Shared Living</t>
        </is>
      </c>
      <c r="E510" s="4" t="inlineStr">
        <is>
          <t>Family Household</t>
        </is>
      </c>
      <c r="F510" s="4" t="inlineStr">
        <is>
          <t>Healthcare</t>
        </is>
      </c>
      <c r="G510" s="4" t="inlineStr">
        <is>
          <t>Expense</t>
        </is>
      </c>
      <c r="H510" s="12" t="n">
        <v>46120</v>
      </c>
      <c r="I510" s="13" t="n">
        <v>0.05504629629629629</v>
      </c>
      <c r="J510" s="14" t="n">
        <v>46120.05504629629</v>
      </c>
      <c r="K510" s="15" t="n">
        <v>5220.62</v>
      </c>
      <c r="L510" s="4" t="inlineStr">
        <is>
          <t>INR</t>
        </is>
      </c>
      <c r="M510" s="15" t="n">
        <v>-5220.62</v>
      </c>
      <c r="N510" s="4" t="inlineStr">
        <is>
          <t>IOS Aarav</t>
        </is>
      </c>
      <c r="O510" s="4" t="n">
        <v>3</v>
      </c>
      <c r="P510" s="4" t="inlineStr">
        <is>
          <t>PERCENTAGE</t>
        </is>
      </c>
      <c r="Q510" s="4" t="inlineStr">
        <is>
          <t>MAESTRO-IOS-GROUP-FAMILY_HOUSEHOLD-0509 | Healthcare | 5220.62</t>
        </is>
      </c>
      <c r="R510" s="4" t="inlineStr">
        <is>
          <t>iPhone</t>
        </is>
      </c>
      <c r="S510" s="4" t="inlineStr">
        <is>
          <t>B11</t>
        </is>
      </c>
      <c r="T510" s="4" t="inlineStr">
        <is>
          <t>RAMP_501_1500</t>
        </is>
      </c>
      <c r="U510" s="4" t="inlineStr">
        <is>
          <t>CREATED</t>
        </is>
      </c>
      <c r="V510" s="4" t="inlineStr">
        <is>
          <t>idem-20260902-ios-0509</t>
        </is>
      </c>
    </row>
    <row r="511" ht="30" customHeight="1">
      <c r="A511" s="4" t="n">
        <v>510</v>
      </c>
      <c r="B511" s="4" t="inlineStr">
        <is>
          <t>MTR-IOS-0510</t>
        </is>
      </c>
      <c r="C511" s="4" t="inlineStr">
        <is>
          <t>Business</t>
        </is>
      </c>
      <c r="D511" s="4" t="inlineStr">
        <is>
          <t>Business</t>
        </is>
      </c>
      <c r="E511" s="4" t="inlineStr">
        <is>
          <t>Team Operations</t>
        </is>
      </c>
      <c r="F511" s="4" t="inlineStr">
        <is>
          <t>Contractor</t>
        </is>
      </c>
      <c r="G511" s="4" t="inlineStr">
        <is>
          <t>Expense</t>
        </is>
      </c>
      <c r="H511" s="12" t="n">
        <v>46224</v>
      </c>
      <c r="I511" s="13" t="n">
        <v>0.7970023148148148</v>
      </c>
      <c r="J511" s="14" t="n">
        <v>46224.79700231482</v>
      </c>
      <c r="K511" s="15" t="n">
        <v>104981.7</v>
      </c>
      <c r="L511" s="4" t="inlineStr">
        <is>
          <t>INR</t>
        </is>
      </c>
      <c r="M511" s="15" t="n">
        <v>-104981.7</v>
      </c>
      <c r="N511" s="4" t="inlineStr">
        <is>
          <t>IOS Owner</t>
        </is>
      </c>
      <c r="O511" s="4" t="n"/>
      <c r="P511" s="4" t="n"/>
      <c r="Q511" s="4" t="inlineStr">
        <is>
          <t>MAESTRO-IOS-BUSINESS-TEAM_OPERATIONS-0510 | Contractor | 104981.70</t>
        </is>
      </c>
      <c r="R511" s="4" t="inlineStr">
        <is>
          <t>iPhone</t>
        </is>
      </c>
      <c r="S511" s="4" t="inlineStr">
        <is>
          <t>B11</t>
        </is>
      </c>
      <c r="T511" s="4" t="inlineStr">
        <is>
          <t>RAMP_501_1500</t>
        </is>
      </c>
      <c r="U511" s="4" t="inlineStr">
        <is>
          <t>CREATED</t>
        </is>
      </c>
      <c r="V511" s="4" t="inlineStr">
        <is>
          <t>idem-20260902-ios-0510</t>
        </is>
      </c>
    </row>
    <row r="512" ht="30" customHeight="1">
      <c r="A512" s="4" t="n">
        <v>511</v>
      </c>
      <c r="B512" s="4" t="inlineStr">
        <is>
          <t>MTR-IOS-0511</t>
        </is>
      </c>
      <c r="C512" s="4" t="inlineStr">
        <is>
          <t>Personal</t>
        </is>
      </c>
      <c r="D512" s="4" t="inlineStr">
        <is>
          <t>Personal</t>
        </is>
      </c>
      <c r="E512" s="4" t="inlineStr">
        <is>
          <t>Future Building</t>
        </is>
      </c>
      <c r="F512" s="4" t="inlineStr">
        <is>
          <t>Investments</t>
        </is>
      </c>
      <c r="G512" s="4" t="inlineStr">
        <is>
          <t>Investment</t>
        </is>
      </c>
      <c r="H512" s="12" t="n">
        <v>45960</v>
      </c>
      <c r="I512" s="13" t="n">
        <v>0.07291666666666667</v>
      </c>
      <c r="J512" s="14" t="n">
        <v>45960.07291666666</v>
      </c>
      <c r="K512" s="15" t="n">
        <v>2402.74</v>
      </c>
      <c r="L512" s="4" t="inlineStr">
        <is>
          <t>INR</t>
        </is>
      </c>
      <c r="M512" s="15" t="n">
        <v>0</v>
      </c>
      <c r="N512" s="4" t="inlineStr">
        <is>
          <t>IOS Owner</t>
        </is>
      </c>
      <c r="O512" s="4" t="n"/>
      <c r="P512" s="4" t="n"/>
      <c r="Q512" s="4" t="inlineStr">
        <is>
          <t>MAESTRO-IOS-PERSONAL-FUTURE_BUILDING-0511 | Investments | 2402.74</t>
        </is>
      </c>
      <c r="R512" s="4" t="inlineStr">
        <is>
          <t>iPhone</t>
        </is>
      </c>
      <c r="S512" s="4" t="inlineStr">
        <is>
          <t>B11</t>
        </is>
      </c>
      <c r="T512" s="4" t="inlineStr">
        <is>
          <t>RAMP_501_1500</t>
        </is>
      </c>
      <c r="U512" s="4" t="inlineStr">
        <is>
          <t>CREATED</t>
        </is>
      </c>
      <c r="V512" s="4" t="inlineStr">
        <is>
          <t>idem-20260902-ios-0511</t>
        </is>
      </c>
    </row>
    <row r="513" ht="30" customHeight="1">
      <c r="A513" s="4" t="n">
        <v>512</v>
      </c>
      <c r="B513" s="4" t="inlineStr">
        <is>
          <t>MTR-IOS-0512</t>
        </is>
      </c>
      <c r="C513" s="4" t="inlineStr">
        <is>
          <t>Group</t>
        </is>
      </c>
      <c r="D513" s="4" t="inlineStr">
        <is>
          <t>Shared Living</t>
        </is>
      </c>
      <c r="E513" s="4" t="inlineStr">
        <is>
          <t>Family Household</t>
        </is>
      </c>
      <c r="F513" s="4" t="inlineStr">
        <is>
          <t>Home</t>
        </is>
      </c>
      <c r="G513" s="4" t="inlineStr">
        <is>
          <t>Expense</t>
        </is>
      </c>
      <c r="H513" s="12" t="n">
        <v>45922</v>
      </c>
      <c r="I513" s="13" t="n">
        <v>0.0615162037037037</v>
      </c>
      <c r="J513" s="14" t="n">
        <v>45922.06151620371</v>
      </c>
      <c r="K513" s="15" t="n">
        <v>951.35</v>
      </c>
      <c r="L513" s="4" t="inlineStr">
        <is>
          <t>INR</t>
        </is>
      </c>
      <c r="M513" s="15" t="n">
        <v>-951.35</v>
      </c>
      <c r="N513" s="4" t="inlineStr">
        <is>
          <t>IOS Meera</t>
        </is>
      </c>
      <c r="O513" s="4" t="n">
        <v>3</v>
      </c>
      <c r="P513" s="4" t="inlineStr">
        <is>
          <t>EXACT</t>
        </is>
      </c>
      <c r="Q513" s="4" t="inlineStr">
        <is>
          <t>MAESTRO-IOS-GROUP-FAMILY_HOUSEHOLD-0512 | Home | 951.35</t>
        </is>
      </c>
      <c r="R513" s="4" t="inlineStr">
        <is>
          <t>iPhone</t>
        </is>
      </c>
      <c r="S513" s="4" t="inlineStr">
        <is>
          <t>B11</t>
        </is>
      </c>
      <c r="T513" s="4" t="inlineStr">
        <is>
          <t>RAMP_501_1500</t>
        </is>
      </c>
      <c r="U513" s="4" t="inlineStr">
        <is>
          <t>CREATED</t>
        </is>
      </c>
      <c r="V513" s="4" t="inlineStr">
        <is>
          <t>idem-20260902-ios-0512</t>
        </is>
      </c>
    </row>
    <row r="514" ht="30" customHeight="1">
      <c r="A514" s="4" t="n">
        <v>513</v>
      </c>
      <c r="B514" s="4" t="inlineStr">
        <is>
          <t>MTR-IOS-0513</t>
        </is>
      </c>
      <c r="C514" s="4" t="inlineStr">
        <is>
          <t>Business</t>
        </is>
      </c>
      <c r="D514" s="4" t="inlineStr">
        <is>
          <t>Business</t>
        </is>
      </c>
      <c r="E514" s="4" t="inlineStr">
        <is>
          <t>Team Operations</t>
        </is>
      </c>
      <c r="F514" s="4" t="inlineStr">
        <is>
          <t>Hiring</t>
        </is>
      </c>
      <c r="G514" s="4" t="inlineStr">
        <is>
          <t>Expense</t>
        </is>
      </c>
      <c r="H514" s="12" t="n">
        <v>46213</v>
      </c>
      <c r="I514" s="13" t="n">
        <v>0.1707291666666667</v>
      </c>
      <c r="J514" s="14" t="n">
        <v>46213.17072916667</v>
      </c>
      <c r="K514" s="15" t="n">
        <v>101116.98</v>
      </c>
      <c r="L514" s="4" t="inlineStr">
        <is>
          <t>INR</t>
        </is>
      </c>
      <c r="M514" s="15" t="n">
        <v>-101116.98</v>
      </c>
      <c r="N514" s="4" t="inlineStr">
        <is>
          <t>IOS Owner</t>
        </is>
      </c>
      <c r="O514" s="4" t="n"/>
      <c r="P514" s="4" t="n"/>
      <c r="Q514" s="4" t="inlineStr">
        <is>
          <t>MAESTRO-IOS-BUSINESS-TEAM_OPERATIONS-0513 | Hiring | 101116.98</t>
        </is>
      </c>
      <c r="R514" s="4" t="inlineStr">
        <is>
          <t>iPhone</t>
        </is>
      </c>
      <c r="S514" s="4" t="inlineStr">
        <is>
          <t>B11</t>
        </is>
      </c>
      <c r="T514" s="4" t="inlineStr">
        <is>
          <t>RAMP_501_1500</t>
        </is>
      </c>
      <c r="U514" s="4" t="inlineStr">
        <is>
          <t>CREATED</t>
        </is>
      </c>
      <c r="V514" s="4" t="inlineStr">
        <is>
          <t>idem-20260902-ios-0513</t>
        </is>
      </c>
    </row>
    <row r="515" ht="30" customHeight="1">
      <c r="A515" s="4" t="n">
        <v>514</v>
      </c>
      <c r="B515" s="4" t="inlineStr">
        <is>
          <t>MTR-IOS-0514</t>
        </is>
      </c>
      <c r="C515" s="4" t="inlineStr">
        <is>
          <t>Personal</t>
        </is>
      </c>
      <c r="D515" s="4" t="inlineStr">
        <is>
          <t>Personal</t>
        </is>
      </c>
      <c r="E515" s="4" t="inlineStr">
        <is>
          <t>Future Building</t>
        </is>
      </c>
      <c r="F515" s="4" t="inlineStr">
        <is>
          <t>Education</t>
        </is>
      </c>
      <c r="G515" s="4" t="inlineStr">
        <is>
          <t>Expense</t>
        </is>
      </c>
      <c r="H515" s="12" t="n">
        <v>46167</v>
      </c>
      <c r="I515" s="13" t="n">
        <v>0.9387731481481482</v>
      </c>
      <c r="J515" s="14" t="n">
        <v>46167.93877314815</v>
      </c>
      <c r="K515" s="15" t="n">
        <v>17884.14</v>
      </c>
      <c r="L515" s="4" t="inlineStr">
        <is>
          <t>INR</t>
        </is>
      </c>
      <c r="M515" s="15" t="n">
        <v>-17884.14</v>
      </c>
      <c r="N515" s="4" t="inlineStr">
        <is>
          <t>IOS Owner</t>
        </is>
      </c>
      <c r="O515" s="4" t="n"/>
      <c r="P515" s="4" t="n"/>
      <c r="Q515" s="4" t="inlineStr">
        <is>
          <t>MAESTRO-IOS-PERSONAL-FUTURE_BUILDING-0514 | Education | 17884.14</t>
        </is>
      </c>
      <c r="R515" s="4" t="inlineStr">
        <is>
          <t>iPhone</t>
        </is>
      </c>
      <c r="S515" s="4" t="inlineStr">
        <is>
          <t>B11</t>
        </is>
      </c>
      <c r="T515" s="4" t="inlineStr">
        <is>
          <t>RAMP_501_1500</t>
        </is>
      </c>
      <c r="U515" s="4" t="inlineStr">
        <is>
          <t>CREATED</t>
        </is>
      </c>
      <c r="V515" s="4" t="inlineStr">
        <is>
          <t>idem-20260902-ios-0514</t>
        </is>
      </c>
    </row>
    <row r="516" ht="30" customHeight="1">
      <c r="A516" s="4" t="n">
        <v>515</v>
      </c>
      <c r="B516" s="4" t="inlineStr">
        <is>
          <t>MTR-IOS-0515</t>
        </is>
      </c>
      <c r="C516" s="4" t="inlineStr">
        <is>
          <t>Group</t>
        </is>
      </c>
      <c r="D516" s="4" t="inlineStr">
        <is>
          <t>Shared Living</t>
        </is>
      </c>
      <c r="E516" s="4" t="inlineStr">
        <is>
          <t>Family Household</t>
        </is>
      </c>
      <c r="F516" s="4" t="inlineStr">
        <is>
          <t>Other</t>
        </is>
      </c>
      <c r="G516" s="4" t="inlineStr">
        <is>
          <t>Expense</t>
        </is>
      </c>
      <c r="H516" s="12" t="n">
        <v>45945</v>
      </c>
      <c r="I516" s="13" t="n">
        <v>0.4951041666666667</v>
      </c>
      <c r="J516" s="14" t="n">
        <v>45945.49510416666</v>
      </c>
      <c r="K516" s="15" t="n">
        <v>25779.67</v>
      </c>
      <c r="L516" s="4" t="inlineStr">
        <is>
          <t>INR</t>
        </is>
      </c>
      <c r="M516" s="15" t="n">
        <v>-25779.67</v>
      </c>
      <c r="N516" s="4" t="inlineStr">
        <is>
          <t>IOS Owner</t>
        </is>
      </c>
      <c r="O516" s="4" t="n">
        <v>3</v>
      </c>
      <c r="P516" s="4" t="inlineStr">
        <is>
          <t>SHARES</t>
        </is>
      </c>
      <c r="Q516" s="4" t="inlineStr">
        <is>
          <t>MAESTRO-IOS-GROUP-FAMILY_HOUSEHOLD-0515 | Other | 25779.67</t>
        </is>
      </c>
      <c r="R516" s="4" t="inlineStr">
        <is>
          <t>iPhone</t>
        </is>
      </c>
      <c r="S516" s="4" t="inlineStr">
        <is>
          <t>B11</t>
        </is>
      </c>
      <c r="T516" s="4" t="inlineStr">
        <is>
          <t>RAMP_501_1500</t>
        </is>
      </c>
      <c r="U516" s="4" t="inlineStr">
        <is>
          <t>CREATED</t>
        </is>
      </c>
      <c r="V516" s="4" t="inlineStr">
        <is>
          <t>idem-20260902-ios-0515</t>
        </is>
      </c>
    </row>
    <row r="517" ht="30" customHeight="1">
      <c r="A517" s="4" t="n">
        <v>516</v>
      </c>
      <c r="B517" s="4" t="inlineStr">
        <is>
          <t>MTR-IOS-0516</t>
        </is>
      </c>
      <c r="C517" s="4" t="inlineStr">
        <is>
          <t>Business</t>
        </is>
      </c>
      <c r="D517" s="4" t="inlineStr">
        <is>
          <t>Business</t>
        </is>
      </c>
      <c r="E517" s="4" t="inlineStr">
        <is>
          <t>Team Operations</t>
        </is>
      </c>
      <c r="F517" s="4" t="inlineStr">
        <is>
          <t>Team Meal</t>
        </is>
      </c>
      <c r="G517" s="4" t="inlineStr">
        <is>
          <t>Expense</t>
        </is>
      </c>
      <c r="H517" s="12" t="n">
        <v>45958</v>
      </c>
      <c r="I517" s="13" t="n">
        <v>0.09612268518518519</v>
      </c>
      <c r="J517" s="14" t="n">
        <v>45958.09612268519</v>
      </c>
      <c r="K517" s="15" t="n">
        <v>86653.95</v>
      </c>
      <c r="L517" s="4" t="inlineStr">
        <is>
          <t>INR</t>
        </is>
      </c>
      <c r="M517" s="15" t="n">
        <v>-86653.95</v>
      </c>
      <c r="N517" s="4" t="inlineStr">
        <is>
          <t>IOS Owner</t>
        </is>
      </c>
      <c r="O517" s="4" t="n"/>
      <c r="P517" s="4" t="n"/>
      <c r="Q517" s="4" t="inlineStr">
        <is>
          <t>MAESTRO-IOS-BUSINESS-TEAM_OPERATIONS-0516 | Team Meal | 86653.95</t>
        </is>
      </c>
      <c r="R517" s="4" t="inlineStr">
        <is>
          <t>iPhone</t>
        </is>
      </c>
      <c r="S517" s="4" t="inlineStr">
        <is>
          <t>B11</t>
        </is>
      </c>
      <c r="T517" s="4" t="inlineStr">
        <is>
          <t>RAMP_501_1500</t>
        </is>
      </c>
      <c r="U517" s="4" t="inlineStr">
        <is>
          <t>CREATED</t>
        </is>
      </c>
      <c r="V517" s="4" t="inlineStr">
        <is>
          <t>idem-20260902-ios-0516</t>
        </is>
      </c>
    </row>
    <row r="518" ht="30" customHeight="1">
      <c r="A518" s="4" t="n">
        <v>517</v>
      </c>
      <c r="B518" s="4" t="inlineStr">
        <is>
          <t>MTR-IOS-0517</t>
        </is>
      </c>
      <c r="C518" s="4" t="inlineStr">
        <is>
          <t>Personal</t>
        </is>
      </c>
      <c r="D518" s="4" t="inlineStr">
        <is>
          <t>Personal</t>
        </is>
      </c>
      <c r="E518" s="4" t="inlineStr">
        <is>
          <t>Future Building</t>
        </is>
      </c>
      <c r="F518" s="4" t="inlineStr">
        <is>
          <t>Goal Contribution</t>
        </is>
      </c>
      <c r="G518" s="4" t="inlineStr">
        <is>
          <t>Transfer</t>
        </is>
      </c>
      <c r="H518" s="12" t="n">
        <v>46103</v>
      </c>
      <c r="I518" s="13" t="n">
        <v>0.2705671296296296</v>
      </c>
      <c r="J518" s="14" t="n">
        <v>46103.27056712963</v>
      </c>
      <c r="K518" s="15" t="n">
        <v>11333.54</v>
      </c>
      <c r="L518" s="4" t="inlineStr">
        <is>
          <t>INR</t>
        </is>
      </c>
      <c r="M518" s="15" t="n">
        <v>0</v>
      </c>
      <c r="N518" s="4" t="inlineStr">
        <is>
          <t>IOS Owner</t>
        </is>
      </c>
      <c r="O518" s="4" t="n"/>
      <c r="P518" s="4" t="n"/>
      <c r="Q518" s="4" t="inlineStr">
        <is>
          <t>MAESTRO-IOS-PERSONAL-FUTURE_BUILDING-0517 | Goal Contribution | 11333.54</t>
        </is>
      </c>
      <c r="R518" s="4" t="inlineStr">
        <is>
          <t>iPhone</t>
        </is>
      </c>
      <c r="S518" s="4" t="inlineStr">
        <is>
          <t>B11</t>
        </is>
      </c>
      <c r="T518" s="4" t="inlineStr">
        <is>
          <t>RAMP_501_1500</t>
        </is>
      </c>
      <c r="U518" s="4" t="inlineStr">
        <is>
          <t>CREATED</t>
        </is>
      </c>
      <c r="V518" s="4" t="inlineStr">
        <is>
          <t>idem-20260902-ios-0517</t>
        </is>
      </c>
    </row>
    <row r="519" ht="30" customHeight="1">
      <c r="A519" s="4" t="n">
        <v>518</v>
      </c>
      <c r="B519" s="4" t="inlineStr">
        <is>
          <t>MTR-IOS-0518</t>
        </is>
      </c>
      <c r="C519" s="4" t="inlineStr">
        <is>
          <t>Group</t>
        </is>
      </c>
      <c r="D519" s="4" t="inlineStr">
        <is>
          <t>Shared Living</t>
        </is>
      </c>
      <c r="E519" s="4" t="inlineStr">
        <is>
          <t>Custom Living</t>
        </is>
      </c>
      <c r="F519" s="4" t="inlineStr">
        <is>
          <t>Custom Expense</t>
        </is>
      </c>
      <c r="G519" s="4" t="inlineStr">
        <is>
          <t>Expense</t>
        </is>
      </c>
      <c r="H519" s="12" t="n">
        <v>46125</v>
      </c>
      <c r="I519" s="13" t="n">
        <v>0.2313425925925926</v>
      </c>
      <c r="J519" s="14" t="n">
        <v>46125.23134259259</v>
      </c>
      <c r="K519" s="15" t="n">
        <v>99.98999999999999</v>
      </c>
      <c r="L519" s="4" t="inlineStr">
        <is>
          <t>INR</t>
        </is>
      </c>
      <c r="M519" s="15" t="n">
        <v>-99.98999999999999</v>
      </c>
      <c r="N519" s="4" t="inlineStr">
        <is>
          <t>IOS Aarav</t>
        </is>
      </c>
      <c r="O519" s="4" t="n">
        <v>3</v>
      </c>
      <c r="P519" s="4" t="inlineStr">
        <is>
          <t>EQUAL</t>
        </is>
      </c>
      <c r="Q519" s="4" t="inlineStr">
        <is>
          <t>MAESTRO-IOS-GROUP-CUSTOM_LIVING-0518 | Custom Expense | 99.99</t>
        </is>
      </c>
      <c r="R519" s="4" t="inlineStr">
        <is>
          <t>iPhone</t>
        </is>
      </c>
      <c r="S519" s="4" t="inlineStr">
        <is>
          <t>B11</t>
        </is>
      </c>
      <c r="T519" s="4" t="inlineStr">
        <is>
          <t>RAMP_501_1500</t>
        </is>
      </c>
      <c r="U519" s="4" t="inlineStr">
        <is>
          <t>CREATED</t>
        </is>
      </c>
      <c r="V519" s="4" t="inlineStr">
        <is>
          <t>idem-20260902-ios-0518</t>
        </is>
      </c>
    </row>
    <row r="520" ht="30" customHeight="1">
      <c r="A520" s="4" t="n">
        <v>519</v>
      </c>
      <c r="B520" s="4" t="inlineStr">
        <is>
          <t>MTR-IOS-0519</t>
        </is>
      </c>
      <c r="C520" s="4" t="inlineStr">
        <is>
          <t>Business</t>
        </is>
      </c>
      <c r="D520" s="4" t="inlineStr">
        <is>
          <t>Business</t>
        </is>
      </c>
      <c r="E520" s="4" t="inlineStr">
        <is>
          <t>Team Operations</t>
        </is>
      </c>
      <c r="F520" s="4" t="inlineStr">
        <is>
          <t>Travel</t>
        </is>
      </c>
      <c r="G520" s="4" t="inlineStr">
        <is>
          <t>Expense</t>
        </is>
      </c>
      <c r="H520" s="12" t="n">
        <v>46151</v>
      </c>
      <c r="I520" s="13" t="n">
        <v>0.6851851851851852</v>
      </c>
      <c r="J520" s="14" t="n">
        <v>46151.68518518518</v>
      </c>
      <c r="K520" s="15" t="n">
        <v>5977.75</v>
      </c>
      <c r="L520" s="4" t="inlineStr">
        <is>
          <t>INR</t>
        </is>
      </c>
      <c r="M520" s="15" t="n">
        <v>-5977.75</v>
      </c>
      <c r="N520" s="4" t="inlineStr">
        <is>
          <t>IOS Owner</t>
        </is>
      </c>
      <c r="O520" s="4" t="n"/>
      <c r="P520" s="4" t="n"/>
      <c r="Q520" s="4" t="inlineStr">
        <is>
          <t>MAESTRO-IOS-BUSINESS-TEAM_OPERATIONS-0519 | Travel | 5977.75</t>
        </is>
      </c>
      <c r="R520" s="4" t="inlineStr">
        <is>
          <t>iPhone</t>
        </is>
      </c>
      <c r="S520" s="4" t="inlineStr">
        <is>
          <t>B11</t>
        </is>
      </c>
      <c r="T520" s="4" t="inlineStr">
        <is>
          <t>RAMP_501_1500</t>
        </is>
      </c>
      <c r="U520" s="4" t="inlineStr">
        <is>
          <t>CREATED</t>
        </is>
      </c>
      <c r="V520" s="4" t="inlineStr">
        <is>
          <t>idem-20260902-ios-0519</t>
        </is>
      </c>
    </row>
    <row r="521" ht="30" customHeight="1">
      <c r="A521" s="4" t="n">
        <v>520</v>
      </c>
      <c r="B521" s="4" t="inlineStr">
        <is>
          <t>MTR-IOS-0520</t>
        </is>
      </c>
      <c r="C521" s="4" t="inlineStr">
        <is>
          <t>Personal</t>
        </is>
      </c>
      <c r="D521" s="4" t="inlineStr">
        <is>
          <t>Personal</t>
        </is>
      </c>
      <c r="E521" s="4" t="inlineStr">
        <is>
          <t>Lifestyle</t>
        </is>
      </c>
      <c r="F521" s="4" t="inlineStr">
        <is>
          <t>Dining</t>
        </is>
      </c>
      <c r="G521" s="4" t="inlineStr">
        <is>
          <t>Expense</t>
        </is>
      </c>
      <c r="H521" s="12" t="n">
        <v>45911</v>
      </c>
      <c r="I521" s="13" t="n">
        <v>0.3769328703703704</v>
      </c>
      <c r="J521" s="14" t="n">
        <v>45911.37693287037</v>
      </c>
      <c r="K521" s="15" t="n">
        <v>5945.99</v>
      </c>
      <c r="L521" s="4" t="inlineStr">
        <is>
          <t>INR</t>
        </is>
      </c>
      <c r="M521" s="15" t="n">
        <v>-5945.99</v>
      </c>
      <c r="N521" s="4" t="inlineStr">
        <is>
          <t>IOS Owner</t>
        </is>
      </c>
      <c r="O521" s="4" t="n"/>
      <c r="P521" s="4" t="n"/>
      <c r="Q521" s="4" t="inlineStr">
        <is>
          <t>MAESTRO-IOS-PERSONAL-LIFESTYLE-0520 | Dining | 5945.99</t>
        </is>
      </c>
      <c r="R521" s="4" t="inlineStr">
        <is>
          <t>iPhone</t>
        </is>
      </c>
      <c r="S521" s="4" t="inlineStr">
        <is>
          <t>B11</t>
        </is>
      </c>
      <c r="T521" s="4" t="inlineStr">
        <is>
          <t>RAMP_501_1500</t>
        </is>
      </c>
      <c r="U521" s="4" t="inlineStr">
        <is>
          <t>CREATED</t>
        </is>
      </c>
      <c r="V521" s="4" t="inlineStr">
        <is>
          <t>idem-20260902-ios-0520</t>
        </is>
      </c>
    </row>
    <row r="522" ht="30" customHeight="1">
      <c r="A522" s="4" t="n">
        <v>521</v>
      </c>
      <c r="B522" s="4" t="inlineStr">
        <is>
          <t>MTR-IOS-0521</t>
        </is>
      </c>
      <c r="C522" s="4" t="inlineStr">
        <is>
          <t>Group</t>
        </is>
      </c>
      <c r="D522" s="4" t="inlineStr">
        <is>
          <t>Shared Living</t>
        </is>
      </c>
      <c r="E522" s="4" t="inlineStr">
        <is>
          <t>Custom Living</t>
        </is>
      </c>
      <c r="F522" s="4" t="inlineStr">
        <is>
          <t>Custom Contribution</t>
        </is>
      </c>
      <c r="G522" s="4" t="inlineStr">
        <is>
          <t>Contribution</t>
        </is>
      </c>
      <c r="H522" s="12" t="n">
        <v>46174</v>
      </c>
      <c r="I522" s="13" t="n">
        <v>0.8124768518518518</v>
      </c>
      <c r="J522" s="14" t="n">
        <v>46174.81247685185</v>
      </c>
      <c r="K522" s="15" t="n">
        <v>23621.37</v>
      </c>
      <c r="L522" s="4" t="inlineStr">
        <is>
          <t>INR</t>
        </is>
      </c>
      <c r="M522" s="15" t="n">
        <v>23621.37</v>
      </c>
      <c r="N522" s="4" t="inlineStr">
        <is>
          <t>IOS Meera</t>
        </is>
      </c>
      <c r="O522" s="4" t="n">
        <v>3</v>
      </c>
      <c r="P522" s="4" t="inlineStr">
        <is>
          <t>PERCENTAGE</t>
        </is>
      </c>
      <c r="Q522" s="4" t="inlineStr">
        <is>
          <t>MAESTRO-IOS-GROUP-CUSTOM_LIVING-0521 | Custom Contribution | 23621.37</t>
        </is>
      </c>
      <c r="R522" s="4" t="inlineStr">
        <is>
          <t>iPhone</t>
        </is>
      </c>
      <c r="S522" s="4" t="inlineStr">
        <is>
          <t>B11</t>
        </is>
      </c>
      <c r="T522" s="4" t="inlineStr">
        <is>
          <t>RAMP_501_1500</t>
        </is>
      </c>
      <c r="U522" s="4" t="inlineStr">
        <is>
          <t>CREATED</t>
        </is>
      </c>
      <c r="V522" s="4" t="inlineStr">
        <is>
          <t>idem-20260902-ios-0521</t>
        </is>
      </c>
    </row>
    <row r="523" ht="30" customHeight="1">
      <c r="A523" s="4" t="n">
        <v>522</v>
      </c>
      <c r="B523" s="4" t="inlineStr">
        <is>
          <t>MTR-IOS-0522</t>
        </is>
      </c>
      <c r="C523" s="4" t="inlineStr">
        <is>
          <t>Business</t>
        </is>
      </c>
      <c r="D523" s="4" t="inlineStr">
        <is>
          <t>Business</t>
        </is>
      </c>
      <c r="E523" s="4" t="inlineStr">
        <is>
          <t>Team Operations</t>
        </is>
      </c>
      <c r="F523" s="4" t="inlineStr">
        <is>
          <t>Training</t>
        </is>
      </c>
      <c r="G523" s="4" t="inlineStr">
        <is>
          <t>Expense</t>
        </is>
      </c>
      <c r="H523" s="12" t="n">
        <v>46127</v>
      </c>
      <c r="I523" s="13" t="n">
        <v>0.4995370370370371</v>
      </c>
      <c r="J523" s="14" t="n">
        <v>46127.49953703704</v>
      </c>
      <c r="K523" s="15" t="n">
        <v>99575.53999999999</v>
      </c>
      <c r="L523" s="4" t="inlineStr">
        <is>
          <t>INR</t>
        </is>
      </c>
      <c r="M523" s="15" t="n">
        <v>-99575.53999999999</v>
      </c>
      <c r="N523" s="4" t="inlineStr">
        <is>
          <t>IOS Owner</t>
        </is>
      </c>
      <c r="O523" s="4" t="n"/>
      <c r="P523" s="4" t="n"/>
      <c r="Q523" s="4" t="inlineStr">
        <is>
          <t>MAESTRO-IOS-BUSINESS-TEAM_OPERATIONS-0522 | Training | 99575.54</t>
        </is>
      </c>
      <c r="R523" s="4" t="inlineStr">
        <is>
          <t>iPhone</t>
        </is>
      </c>
      <c r="S523" s="4" t="inlineStr">
        <is>
          <t>B11</t>
        </is>
      </c>
      <c r="T523" s="4" t="inlineStr">
        <is>
          <t>RAMP_501_1500</t>
        </is>
      </c>
      <c r="U523" s="4" t="inlineStr">
        <is>
          <t>CREATED</t>
        </is>
      </c>
      <c r="V523" s="4" t="inlineStr">
        <is>
          <t>idem-20260902-ios-0522</t>
        </is>
      </c>
    </row>
    <row r="524" ht="30" customHeight="1">
      <c r="A524" s="4" t="n">
        <v>523</v>
      </c>
      <c r="B524" s="4" t="inlineStr">
        <is>
          <t>MTR-IOS-0523</t>
        </is>
      </c>
      <c r="C524" s="4" t="inlineStr">
        <is>
          <t>Personal</t>
        </is>
      </c>
      <c r="D524" s="4" t="inlineStr">
        <is>
          <t>Personal</t>
        </is>
      </c>
      <c r="E524" s="4" t="inlineStr">
        <is>
          <t>Lifestyle</t>
        </is>
      </c>
      <c r="F524" s="4" t="inlineStr">
        <is>
          <t>Shopping</t>
        </is>
      </c>
      <c r="G524" s="4" t="inlineStr">
        <is>
          <t>Expense</t>
        </is>
      </c>
      <c r="H524" s="12" t="n">
        <v>46150</v>
      </c>
      <c r="I524" s="13" t="n">
        <v>0.2576273148148148</v>
      </c>
      <c r="J524" s="14" t="n">
        <v>46150.25762731482</v>
      </c>
      <c r="K524" s="15" t="n">
        <v>10364.22</v>
      </c>
      <c r="L524" s="4" t="inlineStr">
        <is>
          <t>INR</t>
        </is>
      </c>
      <c r="M524" s="15" t="n">
        <v>-10364.22</v>
      </c>
      <c r="N524" s="4" t="inlineStr">
        <is>
          <t>IOS Owner</t>
        </is>
      </c>
      <c r="O524" s="4" t="n"/>
      <c r="P524" s="4" t="n"/>
      <c r="Q524" s="4" t="inlineStr">
        <is>
          <t>MAESTRO-IOS-PERSONAL-LIFESTYLE-0523 | Shopping | 10364.22</t>
        </is>
      </c>
      <c r="R524" s="4" t="inlineStr">
        <is>
          <t>iPhone</t>
        </is>
      </c>
      <c r="S524" s="4" t="inlineStr">
        <is>
          <t>B11</t>
        </is>
      </c>
      <c r="T524" s="4" t="inlineStr">
        <is>
          <t>RAMP_501_1500</t>
        </is>
      </c>
      <c r="U524" s="4" t="inlineStr">
        <is>
          <t>CREATED</t>
        </is>
      </c>
      <c r="V524" s="4" t="inlineStr">
        <is>
          <t>idem-20260902-ios-0523</t>
        </is>
      </c>
    </row>
    <row r="525" ht="30" customHeight="1">
      <c r="A525" s="4" t="n">
        <v>524</v>
      </c>
      <c r="B525" s="4" t="inlineStr">
        <is>
          <t>MTR-IOS-0524</t>
        </is>
      </c>
      <c r="C525" s="4" t="inlineStr">
        <is>
          <t>Group</t>
        </is>
      </c>
      <c r="D525" s="4" t="inlineStr">
        <is>
          <t>Shared Experience</t>
        </is>
      </c>
      <c r="E525" s="4" t="inlineStr">
        <is>
          <t>Trip</t>
        </is>
      </c>
      <c r="F525" s="4" t="inlineStr">
        <is>
          <t>Travel</t>
        </is>
      </c>
      <c r="G525" s="4" t="inlineStr">
        <is>
          <t>Expense</t>
        </is>
      </c>
      <c r="H525" s="12" t="n">
        <v>46164</v>
      </c>
      <c r="I525" s="13" t="n">
        <v>0.3781944444444444</v>
      </c>
      <c r="J525" s="14" t="n">
        <v>46164.37819444444</v>
      </c>
      <c r="K525" s="15" t="n">
        <v>18277.44</v>
      </c>
      <c r="L525" s="4" t="inlineStr">
        <is>
          <t>INR</t>
        </is>
      </c>
      <c r="M525" s="15" t="n">
        <v>-18277.44</v>
      </c>
      <c r="N525" s="4" t="inlineStr">
        <is>
          <t>IOS Owner</t>
        </is>
      </c>
      <c r="O525" s="4" t="n">
        <v>3</v>
      </c>
      <c r="P525" s="4" t="inlineStr">
        <is>
          <t>EXACT</t>
        </is>
      </c>
      <c r="Q525" s="4" t="inlineStr">
        <is>
          <t>MAESTRO-IOS-GROUP-TRIP-0524 | Travel | 18277.44</t>
        </is>
      </c>
      <c r="R525" s="4" t="inlineStr">
        <is>
          <t>iPhone</t>
        </is>
      </c>
      <c r="S525" s="4" t="inlineStr">
        <is>
          <t>B11</t>
        </is>
      </c>
      <c r="T525" s="4" t="inlineStr">
        <is>
          <t>RAMP_501_1500</t>
        </is>
      </c>
      <c r="U525" s="4" t="inlineStr">
        <is>
          <t>CREATED</t>
        </is>
      </c>
      <c r="V525" s="4" t="inlineStr">
        <is>
          <t>idem-20260902-ios-0524</t>
        </is>
      </c>
    </row>
    <row r="526" ht="30" customHeight="1">
      <c r="A526" s="4" t="n">
        <v>525</v>
      </c>
      <c r="B526" s="4" t="inlineStr">
        <is>
          <t>MTR-IOS-0525</t>
        </is>
      </c>
      <c r="C526" s="4" t="inlineStr">
        <is>
          <t>Business</t>
        </is>
      </c>
      <c r="D526" s="4" t="inlineStr">
        <is>
          <t>Business</t>
        </is>
      </c>
      <c r="E526" s="4" t="inlineStr">
        <is>
          <t>Team Operations</t>
        </is>
      </c>
      <c r="F526" s="4" t="inlineStr">
        <is>
          <t>Tools</t>
        </is>
      </c>
      <c r="G526" s="4" t="inlineStr">
        <is>
          <t>Expense</t>
        </is>
      </c>
      <c r="H526" s="12" t="n">
        <v>46136</v>
      </c>
      <c r="I526" s="13" t="n">
        <v>0.9103009259259259</v>
      </c>
      <c r="J526" s="14" t="n">
        <v>46136.91030092593</v>
      </c>
      <c r="K526" s="15" t="n">
        <v>38316.73</v>
      </c>
      <c r="L526" s="4" t="inlineStr">
        <is>
          <t>INR</t>
        </is>
      </c>
      <c r="M526" s="15" t="n">
        <v>-38316.73</v>
      </c>
      <c r="N526" s="4" t="inlineStr">
        <is>
          <t>IOS Owner</t>
        </is>
      </c>
      <c r="O526" s="4" t="n"/>
      <c r="P526" s="4" t="n"/>
      <c r="Q526" s="4" t="inlineStr">
        <is>
          <t>MAESTRO-IOS-BUSINESS-TEAM_OPERATIONS-0525 | Tools | 38316.73</t>
        </is>
      </c>
      <c r="R526" s="4" t="inlineStr">
        <is>
          <t>iPhone</t>
        </is>
      </c>
      <c r="S526" s="4" t="inlineStr">
        <is>
          <t>B11</t>
        </is>
      </c>
      <c r="T526" s="4" t="inlineStr">
        <is>
          <t>RAMP_501_1500</t>
        </is>
      </c>
      <c r="U526" s="4" t="inlineStr">
        <is>
          <t>CREATED</t>
        </is>
      </c>
      <c r="V526" s="4" t="inlineStr">
        <is>
          <t>idem-20260902-ios-0525</t>
        </is>
      </c>
    </row>
    <row r="527" ht="30" customHeight="1">
      <c r="A527" s="4" t="n">
        <v>526</v>
      </c>
      <c r="B527" s="4" t="inlineStr">
        <is>
          <t>MTR-IOS-0526</t>
        </is>
      </c>
      <c r="C527" s="4" t="inlineStr">
        <is>
          <t>Personal</t>
        </is>
      </c>
      <c r="D527" s="4" t="inlineStr">
        <is>
          <t>Personal</t>
        </is>
      </c>
      <c r="E527" s="4" t="inlineStr">
        <is>
          <t>Lifestyle</t>
        </is>
      </c>
      <c r="F527" s="4" t="inlineStr">
        <is>
          <t>Entertainment</t>
        </is>
      </c>
      <c r="G527" s="4" t="inlineStr">
        <is>
          <t>Expense</t>
        </is>
      </c>
      <c r="H527" s="12" t="n">
        <v>46255</v>
      </c>
      <c r="I527" s="13" t="n">
        <v>0.5449421296296296</v>
      </c>
      <c r="J527" s="14" t="n">
        <v>46255.54494212963</v>
      </c>
      <c r="K527" s="15" t="n">
        <v>15832.88</v>
      </c>
      <c r="L527" s="4" t="inlineStr">
        <is>
          <t>INR</t>
        </is>
      </c>
      <c r="M527" s="15" t="n">
        <v>-15832.88</v>
      </c>
      <c r="N527" s="4" t="inlineStr">
        <is>
          <t>IOS Owner</t>
        </is>
      </c>
      <c r="O527" s="4" t="n"/>
      <c r="P527" s="4" t="n"/>
      <c r="Q527" s="4" t="inlineStr">
        <is>
          <t>MAESTRO-IOS-PERSONAL-LIFESTYLE-0526 | Entertainment | 15832.88</t>
        </is>
      </c>
      <c r="R527" s="4" t="inlineStr">
        <is>
          <t>iPhone</t>
        </is>
      </c>
      <c r="S527" s="4" t="inlineStr">
        <is>
          <t>B11</t>
        </is>
      </c>
      <c r="T527" s="4" t="inlineStr">
        <is>
          <t>RAMP_501_1500</t>
        </is>
      </c>
      <c r="U527" s="4" t="inlineStr">
        <is>
          <t>CREATED</t>
        </is>
      </c>
      <c r="V527" s="4" t="inlineStr">
        <is>
          <t>idem-20260902-ios-0526</t>
        </is>
      </c>
    </row>
    <row r="528" ht="30" customHeight="1">
      <c r="A528" s="4" t="n">
        <v>527</v>
      </c>
      <c r="B528" s="4" t="inlineStr">
        <is>
          <t>MTR-IOS-0527</t>
        </is>
      </c>
      <c r="C528" s="4" t="inlineStr">
        <is>
          <t>Group</t>
        </is>
      </c>
      <c r="D528" s="4" t="inlineStr">
        <is>
          <t>Shared Experience</t>
        </is>
      </c>
      <c r="E528" s="4" t="inlineStr">
        <is>
          <t>Trip</t>
        </is>
      </c>
      <c r="F528" s="4" t="inlineStr">
        <is>
          <t>Stay</t>
        </is>
      </c>
      <c r="G528" s="4" t="inlineStr">
        <is>
          <t>Expense</t>
        </is>
      </c>
      <c r="H528" s="12" t="n">
        <v>46131</v>
      </c>
      <c r="I528" s="13" t="n">
        <v>0.7582175925925926</v>
      </c>
      <c r="J528" s="14" t="n">
        <v>46131.75821759259</v>
      </c>
      <c r="K528" s="15" t="n">
        <v>24059.04</v>
      </c>
      <c r="L528" s="4" t="inlineStr">
        <is>
          <t>INR</t>
        </is>
      </c>
      <c r="M528" s="15" t="n">
        <v>-24059.04</v>
      </c>
      <c r="N528" s="4" t="inlineStr">
        <is>
          <t>IOS Aarav</t>
        </is>
      </c>
      <c r="O528" s="4" t="n">
        <v>3</v>
      </c>
      <c r="P528" s="4" t="inlineStr">
        <is>
          <t>SHARES</t>
        </is>
      </c>
      <c r="Q528" s="4" t="inlineStr">
        <is>
          <t>MAESTRO-IOS-GROUP-TRIP-0527 | Stay | 24059.04</t>
        </is>
      </c>
      <c r="R528" s="4" t="inlineStr">
        <is>
          <t>iPhone</t>
        </is>
      </c>
      <c r="S528" s="4" t="inlineStr">
        <is>
          <t>B11</t>
        </is>
      </c>
      <c r="T528" s="4" t="inlineStr">
        <is>
          <t>RAMP_501_1500</t>
        </is>
      </c>
      <c r="U528" s="4" t="inlineStr">
        <is>
          <t>CREATED</t>
        </is>
      </c>
      <c r="V528" s="4" t="inlineStr">
        <is>
          <t>idem-20260902-ios-0527</t>
        </is>
      </c>
    </row>
    <row r="529" ht="30" customHeight="1">
      <c r="A529" s="4" t="n">
        <v>528</v>
      </c>
      <c r="B529" s="4" t="inlineStr">
        <is>
          <t>MTR-IOS-0528</t>
        </is>
      </c>
      <c r="C529" s="4" t="inlineStr">
        <is>
          <t>Business</t>
        </is>
      </c>
      <c r="D529" s="4" t="inlineStr">
        <is>
          <t>Business</t>
        </is>
      </c>
      <c r="E529" s="4" t="inlineStr">
        <is>
          <t>Business Runway</t>
        </is>
      </c>
      <c r="F529" s="4" t="inlineStr">
        <is>
          <t>Funding</t>
        </is>
      </c>
      <c r="G529" s="4" t="inlineStr">
        <is>
          <t>Income</t>
        </is>
      </c>
      <c r="H529" s="12" t="n">
        <v>46171</v>
      </c>
      <c r="I529" s="13" t="n">
        <v>0.04186342592592593</v>
      </c>
      <c r="J529" s="14" t="n">
        <v>46171.04186342593</v>
      </c>
      <c r="K529" s="15" t="n">
        <v>77684.67999999999</v>
      </c>
      <c r="L529" s="4" t="inlineStr">
        <is>
          <t>INR</t>
        </is>
      </c>
      <c r="M529" s="15" t="n">
        <v>77684.67999999999</v>
      </c>
      <c r="N529" s="4" t="inlineStr">
        <is>
          <t>IOS Owner</t>
        </is>
      </c>
      <c r="O529" s="4" t="n"/>
      <c r="P529" s="4" t="n"/>
      <c r="Q529" s="4" t="inlineStr">
        <is>
          <t>MAESTRO-IOS-BUSINESS-BUSINESS_RUNWAY-0528 | Funding | 77684.68</t>
        </is>
      </c>
      <c r="R529" s="4" t="inlineStr">
        <is>
          <t>iPhone</t>
        </is>
      </c>
      <c r="S529" s="4" t="inlineStr">
        <is>
          <t>B11</t>
        </is>
      </c>
      <c r="T529" s="4" t="inlineStr">
        <is>
          <t>RAMP_501_1500</t>
        </is>
      </c>
      <c r="U529" s="4" t="inlineStr">
        <is>
          <t>CREATED</t>
        </is>
      </c>
      <c r="V529" s="4" t="inlineStr">
        <is>
          <t>idem-20260902-ios-0528</t>
        </is>
      </c>
    </row>
    <row r="530" ht="30" customHeight="1">
      <c r="A530" s="4" t="n">
        <v>529</v>
      </c>
      <c r="B530" s="4" t="inlineStr">
        <is>
          <t>MTR-IOS-0529</t>
        </is>
      </c>
      <c r="C530" s="4" t="inlineStr">
        <is>
          <t>Personal</t>
        </is>
      </c>
      <c r="D530" s="4" t="inlineStr">
        <is>
          <t>Personal</t>
        </is>
      </c>
      <c r="E530" s="4" t="inlineStr">
        <is>
          <t>Lifestyle</t>
        </is>
      </c>
      <c r="F530" s="4" t="inlineStr">
        <is>
          <t>Travel</t>
        </is>
      </c>
      <c r="G530" s="4" t="inlineStr">
        <is>
          <t>Expense</t>
        </is>
      </c>
      <c r="H530" s="12" t="n">
        <v>46229</v>
      </c>
      <c r="I530" s="13" t="n">
        <v>0.8701736111111111</v>
      </c>
      <c r="J530" s="14" t="n">
        <v>46229.87017361111</v>
      </c>
      <c r="K530" s="15" t="n">
        <v>4856.42</v>
      </c>
      <c r="L530" s="4" t="inlineStr">
        <is>
          <t>INR</t>
        </is>
      </c>
      <c r="M530" s="15" t="n">
        <v>-4856.42</v>
      </c>
      <c r="N530" s="4" t="inlineStr">
        <is>
          <t>IOS Owner</t>
        </is>
      </c>
      <c r="O530" s="4" t="n"/>
      <c r="P530" s="4" t="n"/>
      <c r="Q530" s="4" t="inlineStr">
        <is>
          <t>MAESTRO-IOS-PERSONAL-LIFESTYLE-0529 | Travel | 4856.42</t>
        </is>
      </c>
      <c r="R530" s="4" t="inlineStr">
        <is>
          <t>iPhone</t>
        </is>
      </c>
      <c r="S530" s="4" t="inlineStr">
        <is>
          <t>B11</t>
        </is>
      </c>
      <c r="T530" s="4" t="inlineStr">
        <is>
          <t>RAMP_501_1500</t>
        </is>
      </c>
      <c r="U530" s="4" t="inlineStr">
        <is>
          <t>CREATED</t>
        </is>
      </c>
      <c r="V530" s="4" t="inlineStr">
        <is>
          <t>idem-20260902-ios-0529</t>
        </is>
      </c>
    </row>
    <row r="531" ht="30" customHeight="1">
      <c r="A531" s="4" t="n">
        <v>530</v>
      </c>
      <c r="B531" s="4" t="inlineStr">
        <is>
          <t>MTR-IOS-0530</t>
        </is>
      </c>
      <c r="C531" s="4" t="inlineStr">
        <is>
          <t>Group</t>
        </is>
      </c>
      <c r="D531" s="4" t="inlineStr">
        <is>
          <t>Shared Experience</t>
        </is>
      </c>
      <c r="E531" s="4" t="inlineStr">
        <is>
          <t>Trip</t>
        </is>
      </c>
      <c r="F531" s="4" t="inlineStr">
        <is>
          <t>Food</t>
        </is>
      </c>
      <c r="G531" s="4" t="inlineStr">
        <is>
          <t>Expense</t>
        </is>
      </c>
      <c r="H531" s="12" t="n">
        <v>46214</v>
      </c>
      <c r="I531" s="13" t="n">
        <v>0.1164351851851852</v>
      </c>
      <c r="J531" s="14" t="n">
        <v>46214.11643518518</v>
      </c>
      <c r="K531" s="15" t="n">
        <v>17464.22</v>
      </c>
      <c r="L531" s="4" t="inlineStr">
        <is>
          <t>INR</t>
        </is>
      </c>
      <c r="M531" s="15" t="n">
        <v>-17464.22</v>
      </c>
      <c r="N531" s="4" t="inlineStr">
        <is>
          <t>IOS Meera</t>
        </is>
      </c>
      <c r="O531" s="4" t="n">
        <v>3</v>
      </c>
      <c r="P531" s="4" t="inlineStr">
        <is>
          <t>EQUAL</t>
        </is>
      </c>
      <c r="Q531" s="4" t="inlineStr">
        <is>
          <t>MAESTRO-IOS-GROUP-TRIP-0530 | Food | 17464.22</t>
        </is>
      </c>
      <c r="R531" s="4" t="inlineStr">
        <is>
          <t>iPhone</t>
        </is>
      </c>
      <c r="S531" s="4" t="inlineStr">
        <is>
          <t>B11</t>
        </is>
      </c>
      <c r="T531" s="4" t="inlineStr">
        <is>
          <t>RAMP_501_1500</t>
        </is>
      </c>
      <c r="U531" s="4" t="inlineStr">
        <is>
          <t>CREATED</t>
        </is>
      </c>
      <c r="V531" s="4" t="inlineStr">
        <is>
          <t>idem-20260902-ios-0530</t>
        </is>
      </c>
    </row>
    <row r="532" ht="30" customHeight="1">
      <c r="A532" s="4" t="n">
        <v>531</v>
      </c>
      <c r="B532" s="4" t="inlineStr">
        <is>
          <t>MTR-IOS-0531</t>
        </is>
      </c>
      <c r="C532" s="4" t="inlineStr">
        <is>
          <t>Business</t>
        </is>
      </c>
      <c r="D532" s="4" t="inlineStr">
        <is>
          <t>Business</t>
        </is>
      </c>
      <c r="E532" s="4" t="inlineStr">
        <is>
          <t>Business Runway</t>
        </is>
      </c>
      <c r="F532" s="4" t="inlineStr">
        <is>
          <t>Revenue</t>
        </is>
      </c>
      <c r="G532" s="4" t="inlineStr">
        <is>
          <t>Income</t>
        </is>
      </c>
      <c r="H532" s="12" t="n">
        <v>46031</v>
      </c>
      <c r="I532" s="13" t="n">
        <v>0.6403240740740741</v>
      </c>
      <c r="J532" s="14" t="n">
        <v>46031.64032407408</v>
      </c>
      <c r="K532" s="15" t="n">
        <v>141141.87</v>
      </c>
      <c r="L532" s="4" t="inlineStr">
        <is>
          <t>INR</t>
        </is>
      </c>
      <c r="M532" s="15" t="n">
        <v>141141.87</v>
      </c>
      <c r="N532" s="4" t="inlineStr">
        <is>
          <t>IOS Owner</t>
        </is>
      </c>
      <c r="O532" s="4" t="n"/>
      <c r="P532" s="4" t="n"/>
      <c r="Q532" s="4" t="inlineStr">
        <is>
          <t>MAESTRO-IOS-BUSINESS-BUSINESS_RUNWAY-0531 | Revenue | 141141.87</t>
        </is>
      </c>
      <c r="R532" s="4" t="inlineStr">
        <is>
          <t>iPhone</t>
        </is>
      </c>
      <c r="S532" s="4" t="inlineStr">
        <is>
          <t>B11</t>
        </is>
      </c>
      <c r="T532" s="4" t="inlineStr">
        <is>
          <t>RAMP_501_1500</t>
        </is>
      </c>
      <c r="U532" s="4" t="inlineStr">
        <is>
          <t>CREATED</t>
        </is>
      </c>
      <c r="V532" s="4" t="inlineStr">
        <is>
          <t>idem-20260902-ios-0531</t>
        </is>
      </c>
    </row>
    <row r="533" ht="30" customHeight="1">
      <c r="A533" s="4" t="n">
        <v>532</v>
      </c>
      <c r="B533" s="4" t="inlineStr">
        <is>
          <t>MTR-IOS-0532</t>
        </is>
      </c>
      <c r="C533" s="4" t="inlineStr">
        <is>
          <t>Personal</t>
        </is>
      </c>
      <c r="D533" s="4" t="inlineStr">
        <is>
          <t>Personal</t>
        </is>
      </c>
      <c r="E533" s="4" t="inlineStr">
        <is>
          <t>Lifestyle</t>
        </is>
      </c>
      <c r="F533" s="4" t="inlineStr">
        <is>
          <t>Fitness</t>
        </is>
      </c>
      <c r="G533" s="4" t="inlineStr">
        <is>
          <t>Expense</t>
        </is>
      </c>
      <c r="H533" s="12" t="n">
        <v>46021</v>
      </c>
      <c r="I533" s="13" t="n">
        <v>0.4698263888888889</v>
      </c>
      <c r="J533" s="14" t="n">
        <v>46021.46982638889</v>
      </c>
      <c r="K533" s="15" t="n">
        <v>14618.5</v>
      </c>
      <c r="L533" s="4" t="inlineStr">
        <is>
          <t>INR</t>
        </is>
      </c>
      <c r="M533" s="15" t="n">
        <v>-14618.5</v>
      </c>
      <c r="N533" s="4" t="inlineStr">
        <is>
          <t>IOS Owner</t>
        </is>
      </c>
      <c r="O533" s="4" t="n"/>
      <c r="P533" s="4" t="n"/>
      <c r="Q533" s="4" t="inlineStr">
        <is>
          <t>MAESTRO-IOS-PERSONAL-LIFESTYLE-0532 | Fitness | 14618.50</t>
        </is>
      </c>
      <c r="R533" s="4" t="inlineStr">
        <is>
          <t>iPhone</t>
        </is>
      </c>
      <c r="S533" s="4" t="inlineStr">
        <is>
          <t>B11</t>
        </is>
      </c>
      <c r="T533" s="4" t="inlineStr">
        <is>
          <t>RAMP_501_1500</t>
        </is>
      </c>
      <c r="U533" s="4" t="inlineStr">
        <is>
          <t>CREATED</t>
        </is>
      </c>
      <c r="V533" s="4" t="inlineStr">
        <is>
          <t>idem-20260902-ios-0532</t>
        </is>
      </c>
    </row>
    <row r="534" ht="30" customHeight="1">
      <c r="A534" s="4" t="n">
        <v>533</v>
      </c>
      <c r="B534" s="4" t="inlineStr">
        <is>
          <t>MTR-IOS-0533</t>
        </is>
      </c>
      <c r="C534" s="4" t="inlineStr">
        <is>
          <t>Group</t>
        </is>
      </c>
      <c r="D534" s="4" t="inlineStr">
        <is>
          <t>Shared Experience</t>
        </is>
      </c>
      <c r="E534" s="4" t="inlineStr">
        <is>
          <t>Trip</t>
        </is>
      </c>
      <c r="F534" s="4" t="inlineStr">
        <is>
          <t>Local Transport</t>
        </is>
      </c>
      <c r="G534" s="4" t="inlineStr">
        <is>
          <t>Expense</t>
        </is>
      </c>
      <c r="H534" s="12" t="n">
        <v>46197</v>
      </c>
      <c r="I534" s="13" t="n">
        <v>0.2781481481481481</v>
      </c>
      <c r="J534" s="14" t="n">
        <v>46197.27814814815</v>
      </c>
      <c r="K534" s="15" t="n">
        <v>24222.35</v>
      </c>
      <c r="L534" s="4" t="inlineStr">
        <is>
          <t>INR</t>
        </is>
      </c>
      <c r="M534" s="15" t="n">
        <v>-24222.35</v>
      </c>
      <c r="N534" s="4" t="inlineStr">
        <is>
          <t>IOS Owner</t>
        </is>
      </c>
      <c r="O534" s="4" t="n">
        <v>3</v>
      </c>
      <c r="P534" s="4" t="inlineStr">
        <is>
          <t>PERCENTAGE</t>
        </is>
      </c>
      <c r="Q534" s="4" t="inlineStr">
        <is>
          <t>MAESTRO-IOS-GROUP-TRIP-0533 | Local Transport | 24222.35</t>
        </is>
      </c>
      <c r="R534" s="4" t="inlineStr">
        <is>
          <t>iPhone</t>
        </is>
      </c>
      <c r="S534" s="4" t="inlineStr">
        <is>
          <t>B11</t>
        </is>
      </c>
      <c r="T534" s="4" t="inlineStr">
        <is>
          <t>RAMP_501_1500</t>
        </is>
      </c>
      <c r="U534" s="4" t="inlineStr">
        <is>
          <t>CREATED</t>
        </is>
      </c>
      <c r="V534" s="4" t="inlineStr">
        <is>
          <t>idem-20260902-ios-0533</t>
        </is>
      </c>
    </row>
    <row r="535" ht="30" customHeight="1">
      <c r="A535" s="4" t="n">
        <v>534</v>
      </c>
      <c r="B535" s="4" t="inlineStr">
        <is>
          <t>MTR-IOS-0534</t>
        </is>
      </c>
      <c r="C535" s="4" t="inlineStr">
        <is>
          <t>Business</t>
        </is>
      </c>
      <c r="D535" s="4" t="inlineStr">
        <is>
          <t>Business</t>
        </is>
      </c>
      <c r="E535" s="4" t="inlineStr">
        <is>
          <t>Business Runway</t>
        </is>
      </c>
      <c r="F535" s="4" t="inlineStr">
        <is>
          <t>Burn</t>
        </is>
      </c>
      <c r="G535" s="4" t="inlineStr">
        <is>
          <t>Expense</t>
        </is>
      </c>
      <c r="H535" s="12" t="n">
        <v>45967</v>
      </c>
      <c r="I535" s="13" t="n">
        <v>0.8700925925925926</v>
      </c>
      <c r="J535" s="14" t="n">
        <v>45967.8700925926</v>
      </c>
      <c r="K535" s="15" t="n">
        <v>108759.54</v>
      </c>
      <c r="L535" s="4" t="inlineStr">
        <is>
          <t>INR</t>
        </is>
      </c>
      <c r="M535" s="15" t="n">
        <v>-108759.54</v>
      </c>
      <c r="N535" s="4" t="inlineStr">
        <is>
          <t>IOS Owner</t>
        </is>
      </c>
      <c r="O535" s="4" t="n"/>
      <c r="P535" s="4" t="n"/>
      <c r="Q535" s="4" t="inlineStr">
        <is>
          <t>MAESTRO-IOS-BUSINESS-BUSINESS_RUNWAY-0534 | Burn | 108759.54</t>
        </is>
      </c>
      <c r="R535" s="4" t="inlineStr">
        <is>
          <t>iPhone</t>
        </is>
      </c>
      <c r="S535" s="4" t="inlineStr">
        <is>
          <t>B11</t>
        </is>
      </c>
      <c r="T535" s="4" t="inlineStr">
        <is>
          <t>RAMP_501_1500</t>
        </is>
      </c>
      <c r="U535" s="4" t="inlineStr">
        <is>
          <t>CREATED</t>
        </is>
      </c>
      <c r="V535" s="4" t="inlineStr">
        <is>
          <t>idem-20260902-ios-0534</t>
        </is>
      </c>
    </row>
    <row r="536" ht="30" customHeight="1">
      <c r="A536" s="4" t="n">
        <v>535</v>
      </c>
      <c r="B536" s="4" t="inlineStr">
        <is>
          <t>MTR-IOS-0535</t>
        </is>
      </c>
      <c r="C536" s="4" t="inlineStr">
        <is>
          <t>Personal</t>
        </is>
      </c>
      <c r="D536" s="4" t="inlineStr">
        <is>
          <t>Personal</t>
        </is>
      </c>
      <c r="E536" s="4" t="inlineStr">
        <is>
          <t>Lifestyle</t>
        </is>
      </c>
      <c r="F536" s="4" t="inlineStr">
        <is>
          <t>Hobbies</t>
        </is>
      </c>
      <c r="G536" s="4" t="inlineStr">
        <is>
          <t>Expense</t>
        </is>
      </c>
      <c r="H536" s="12" t="n">
        <v>45932</v>
      </c>
      <c r="I536" s="13" t="n">
        <v>0.4042592592592593</v>
      </c>
      <c r="J536" s="14" t="n">
        <v>45932.40425925926</v>
      </c>
      <c r="K536" s="15" t="n">
        <v>6478.85</v>
      </c>
      <c r="L536" s="4" t="inlineStr">
        <is>
          <t>INR</t>
        </is>
      </c>
      <c r="M536" s="15" t="n">
        <v>-6478.85</v>
      </c>
      <c r="N536" s="4" t="inlineStr">
        <is>
          <t>IOS Owner</t>
        </is>
      </c>
      <c r="O536" s="4" t="n"/>
      <c r="P536" s="4" t="n"/>
      <c r="Q536" s="4" t="inlineStr">
        <is>
          <t>MAESTRO-IOS-PERSONAL-LIFESTYLE-0535 | Hobbies | 6478.85</t>
        </is>
      </c>
      <c r="R536" s="4" t="inlineStr">
        <is>
          <t>iPhone</t>
        </is>
      </c>
      <c r="S536" s="4" t="inlineStr">
        <is>
          <t>B11</t>
        </is>
      </c>
      <c r="T536" s="4" t="inlineStr">
        <is>
          <t>RAMP_501_1500</t>
        </is>
      </c>
      <c r="U536" s="4" t="inlineStr">
        <is>
          <t>CREATED</t>
        </is>
      </c>
      <c r="V536" s="4" t="inlineStr">
        <is>
          <t>idem-20260902-ios-0535</t>
        </is>
      </c>
    </row>
    <row r="537" ht="30" customHeight="1">
      <c r="A537" s="4" t="n">
        <v>536</v>
      </c>
      <c r="B537" s="4" t="inlineStr">
        <is>
          <t>MTR-IOS-0536</t>
        </is>
      </c>
      <c r="C537" s="4" t="inlineStr">
        <is>
          <t>Group</t>
        </is>
      </c>
      <c r="D537" s="4" t="inlineStr">
        <is>
          <t>Shared Experience</t>
        </is>
      </c>
      <c r="E537" s="4" t="inlineStr">
        <is>
          <t>Trip</t>
        </is>
      </c>
      <c r="F537" s="4" t="inlineStr">
        <is>
          <t>Activities</t>
        </is>
      </c>
      <c r="G537" s="4" t="inlineStr">
        <is>
          <t>Expense</t>
        </is>
      </c>
      <c r="H537" s="12" t="n">
        <v>45928</v>
      </c>
      <c r="I537" s="13" t="n">
        <v>0.596087962962963</v>
      </c>
      <c r="J537" s="14" t="n">
        <v>45928.59608796296</v>
      </c>
      <c r="K537" s="15" t="n">
        <v>3459.16</v>
      </c>
      <c r="L537" s="4" t="inlineStr">
        <is>
          <t>INR</t>
        </is>
      </c>
      <c r="M537" s="15" t="n">
        <v>-3459.16</v>
      </c>
      <c r="N537" s="4" t="inlineStr">
        <is>
          <t>IOS Aarav</t>
        </is>
      </c>
      <c r="O537" s="4" t="n">
        <v>3</v>
      </c>
      <c r="P537" s="4" t="inlineStr">
        <is>
          <t>EXACT</t>
        </is>
      </c>
      <c r="Q537" s="4" t="inlineStr">
        <is>
          <t>MAESTRO-IOS-GROUP-TRIP-0536 | Activities | 3459.16</t>
        </is>
      </c>
      <c r="R537" s="4" t="inlineStr">
        <is>
          <t>iPhone</t>
        </is>
      </c>
      <c r="S537" s="4" t="inlineStr">
        <is>
          <t>B11</t>
        </is>
      </c>
      <c r="T537" s="4" t="inlineStr">
        <is>
          <t>RAMP_501_1500</t>
        </is>
      </c>
      <c r="U537" s="4" t="inlineStr">
        <is>
          <t>CREATED</t>
        </is>
      </c>
      <c r="V537" s="4" t="inlineStr">
        <is>
          <t>idem-20260902-ios-0536</t>
        </is>
      </c>
    </row>
    <row r="538" ht="30" customHeight="1">
      <c r="A538" s="4" t="n">
        <v>537</v>
      </c>
      <c r="B538" s="4" t="inlineStr">
        <is>
          <t>MTR-IOS-0537</t>
        </is>
      </c>
      <c r="C538" s="4" t="inlineStr">
        <is>
          <t>Business</t>
        </is>
      </c>
      <c r="D538" s="4" t="inlineStr">
        <is>
          <t>Business</t>
        </is>
      </c>
      <c r="E538" s="4" t="inlineStr">
        <is>
          <t>Business Runway</t>
        </is>
      </c>
      <c r="F538" s="4" t="inlineStr">
        <is>
          <t>Reserve</t>
        </is>
      </c>
      <c r="G538" s="4" t="inlineStr">
        <is>
          <t>Transfer</t>
        </is>
      </c>
      <c r="H538" s="12" t="n">
        <v>45972</v>
      </c>
      <c r="I538" s="13" t="n">
        <v>0.6192245370370371</v>
      </c>
      <c r="J538" s="14" t="n">
        <v>45972.61922453704</v>
      </c>
      <c r="K538" s="15" t="n">
        <v>162782.23</v>
      </c>
      <c r="L538" s="4" t="inlineStr">
        <is>
          <t>INR</t>
        </is>
      </c>
      <c r="M538" s="15" t="n">
        <v>0</v>
      </c>
      <c r="N538" s="4" t="inlineStr">
        <is>
          <t>IOS Owner</t>
        </is>
      </c>
      <c r="O538" s="4" t="n"/>
      <c r="P538" s="4" t="n"/>
      <c r="Q538" s="4" t="inlineStr">
        <is>
          <t>MAESTRO-IOS-BUSINESS-BUSINESS_RUNWAY-0537 | Reserve | 162782.23</t>
        </is>
      </c>
      <c r="R538" s="4" t="inlineStr">
        <is>
          <t>iPhone</t>
        </is>
      </c>
      <c r="S538" s="4" t="inlineStr">
        <is>
          <t>B11</t>
        </is>
      </c>
      <c r="T538" s="4" t="inlineStr">
        <is>
          <t>RAMP_501_1500</t>
        </is>
      </c>
      <c r="U538" s="4" t="inlineStr">
        <is>
          <t>CREATED</t>
        </is>
      </c>
      <c r="V538" s="4" t="inlineStr">
        <is>
          <t>idem-20260902-ios-0537</t>
        </is>
      </c>
    </row>
    <row r="539" ht="30" customHeight="1">
      <c r="A539" s="4" t="n">
        <v>538</v>
      </c>
      <c r="B539" s="4" t="inlineStr">
        <is>
          <t>MTR-IOS-0538</t>
        </is>
      </c>
      <c r="C539" s="4" t="inlineStr">
        <is>
          <t>Personal</t>
        </is>
      </c>
      <c r="D539" s="4" t="inlineStr">
        <is>
          <t>Personal</t>
        </is>
      </c>
      <c r="E539" s="4" t="inlineStr">
        <is>
          <t>Relationships</t>
        </is>
      </c>
      <c r="F539" s="4" t="inlineStr">
        <is>
          <t>Gifts</t>
        </is>
      </c>
      <c r="G539" s="4" t="inlineStr">
        <is>
          <t>Expense</t>
        </is>
      </c>
      <c r="H539" s="12" t="n">
        <v>46046</v>
      </c>
      <c r="I539" s="13" t="n">
        <v>0.6153125</v>
      </c>
      <c r="J539" s="14" t="n">
        <v>46046.6153125</v>
      </c>
      <c r="K539" s="15" t="n">
        <v>3380.46</v>
      </c>
      <c r="L539" s="4" t="inlineStr">
        <is>
          <t>INR</t>
        </is>
      </c>
      <c r="M539" s="15" t="n">
        <v>-3380.46</v>
      </c>
      <c r="N539" s="4" t="inlineStr">
        <is>
          <t>IOS Owner</t>
        </is>
      </c>
      <c r="O539" s="4" t="n"/>
      <c r="P539" s="4" t="n"/>
      <c r="Q539" s="4" t="inlineStr">
        <is>
          <t>MAESTRO-IOS-PERSONAL-RELATIONSHIPS-0538 | Gifts | 3380.46</t>
        </is>
      </c>
      <c r="R539" s="4" t="inlineStr">
        <is>
          <t>iPhone</t>
        </is>
      </c>
      <c r="S539" s="4" t="inlineStr">
        <is>
          <t>B11</t>
        </is>
      </c>
      <c r="T539" s="4" t="inlineStr">
        <is>
          <t>RAMP_501_1500</t>
        </is>
      </c>
      <c r="U539" s="4" t="inlineStr">
        <is>
          <t>CREATED</t>
        </is>
      </c>
      <c r="V539" s="4" t="inlineStr">
        <is>
          <t>idem-20260902-ios-0538</t>
        </is>
      </c>
    </row>
    <row r="540" ht="30" customHeight="1">
      <c r="A540" s="4" t="n">
        <v>539</v>
      </c>
      <c r="B540" s="4" t="inlineStr">
        <is>
          <t>MTR-IOS-0539</t>
        </is>
      </c>
      <c r="C540" s="4" t="inlineStr">
        <is>
          <t>Group</t>
        </is>
      </c>
      <c r="D540" s="4" t="inlineStr">
        <is>
          <t>Shared Experience</t>
        </is>
      </c>
      <c r="E540" s="4" t="inlineStr">
        <is>
          <t>Trip</t>
        </is>
      </c>
      <c r="F540" s="4" t="inlineStr">
        <is>
          <t>Shopping</t>
        </is>
      </c>
      <c r="G540" s="4" t="inlineStr">
        <is>
          <t>Expense</t>
        </is>
      </c>
      <c r="H540" s="12" t="n">
        <v>45964</v>
      </c>
      <c r="I540" s="13" t="n">
        <v>0.8243287037037037</v>
      </c>
      <c r="J540" s="14" t="n">
        <v>45964.8243287037</v>
      </c>
      <c r="K540" s="15" t="n">
        <v>468.24</v>
      </c>
      <c r="L540" s="4" t="inlineStr">
        <is>
          <t>INR</t>
        </is>
      </c>
      <c r="M540" s="15" t="n">
        <v>-468.24</v>
      </c>
      <c r="N540" s="4" t="inlineStr">
        <is>
          <t>IOS Meera</t>
        </is>
      </c>
      <c r="O540" s="4" t="n">
        <v>3</v>
      </c>
      <c r="P540" s="4" t="inlineStr">
        <is>
          <t>SHARES</t>
        </is>
      </c>
      <c r="Q540" s="4" t="inlineStr">
        <is>
          <t>MAESTRO-IOS-GROUP-TRIP-0539 | Shopping | 468.24</t>
        </is>
      </c>
      <c r="R540" s="4" t="inlineStr">
        <is>
          <t>iPhone</t>
        </is>
      </c>
      <c r="S540" s="4" t="inlineStr">
        <is>
          <t>B11</t>
        </is>
      </c>
      <c r="T540" s="4" t="inlineStr">
        <is>
          <t>RAMP_501_1500</t>
        </is>
      </c>
      <c r="U540" s="4" t="inlineStr">
        <is>
          <t>CREATED</t>
        </is>
      </c>
      <c r="V540" s="4" t="inlineStr">
        <is>
          <t>idem-20260902-ios-0539</t>
        </is>
      </c>
    </row>
    <row r="541" ht="30" customHeight="1">
      <c r="A541" s="4" t="n">
        <v>540</v>
      </c>
      <c r="B541" s="4" t="inlineStr">
        <is>
          <t>MTR-IOS-0540</t>
        </is>
      </c>
      <c r="C541" s="4" t="inlineStr">
        <is>
          <t>Business</t>
        </is>
      </c>
      <c r="D541" s="4" t="inlineStr">
        <is>
          <t>Business</t>
        </is>
      </c>
      <c r="E541" s="4" t="inlineStr">
        <is>
          <t>Business Runway</t>
        </is>
      </c>
      <c r="F541" s="4" t="inlineStr">
        <is>
          <t>Loan</t>
        </is>
      </c>
      <c r="G541" s="4" t="inlineStr">
        <is>
          <t>Income</t>
        </is>
      </c>
      <c r="H541" s="12" t="n">
        <v>46229</v>
      </c>
      <c r="I541" s="13" t="n">
        <v>0.8597569444444444</v>
      </c>
      <c r="J541" s="14" t="n">
        <v>46229.85975694445</v>
      </c>
      <c r="K541" s="15" t="n">
        <v>90761.07000000001</v>
      </c>
      <c r="L541" s="4" t="inlineStr">
        <is>
          <t>INR</t>
        </is>
      </c>
      <c r="M541" s="15" t="n">
        <v>90761.07000000001</v>
      </c>
      <c r="N541" s="4" t="inlineStr">
        <is>
          <t>IOS Owner</t>
        </is>
      </c>
      <c r="O541" s="4" t="n"/>
      <c r="P541" s="4" t="n"/>
      <c r="Q541" s="4" t="inlineStr">
        <is>
          <t>MAESTRO-IOS-BUSINESS-BUSINESS_RUNWAY-0540 | Loan | 90761.07</t>
        </is>
      </c>
      <c r="R541" s="4" t="inlineStr">
        <is>
          <t>iPhone</t>
        </is>
      </c>
      <c r="S541" s="4" t="inlineStr">
        <is>
          <t>B11</t>
        </is>
      </c>
      <c r="T541" s="4" t="inlineStr">
        <is>
          <t>RAMP_501_1500</t>
        </is>
      </c>
      <c r="U541" s="4" t="inlineStr">
        <is>
          <t>CREATED</t>
        </is>
      </c>
      <c r="V541" s="4" t="inlineStr">
        <is>
          <t>idem-20260902-ios-0540</t>
        </is>
      </c>
    </row>
    <row r="542" ht="30" customHeight="1">
      <c r="A542" s="4" t="n">
        <v>541</v>
      </c>
      <c r="B542" s="4" t="inlineStr">
        <is>
          <t>MTR-IOS-0541</t>
        </is>
      </c>
      <c r="C542" s="4" t="inlineStr">
        <is>
          <t>Personal</t>
        </is>
      </c>
      <c r="D542" s="4" t="inlineStr">
        <is>
          <t>Personal</t>
        </is>
      </c>
      <c r="E542" s="4" t="inlineStr">
        <is>
          <t>Relationships</t>
        </is>
      </c>
      <c r="F542" s="4" t="inlineStr">
        <is>
          <t>Dates</t>
        </is>
      </c>
      <c r="G542" s="4" t="inlineStr">
        <is>
          <t>Expense</t>
        </is>
      </c>
      <c r="H542" s="12" t="n">
        <v>46168</v>
      </c>
      <c r="I542" s="13" t="n">
        <v>0.1782638888888889</v>
      </c>
      <c r="J542" s="14" t="n">
        <v>46168.17826388889</v>
      </c>
      <c r="K542" s="15" t="n">
        <v>4734.81</v>
      </c>
      <c r="L542" s="4" t="inlineStr">
        <is>
          <t>INR</t>
        </is>
      </c>
      <c r="M542" s="15" t="n">
        <v>-4734.81</v>
      </c>
      <c r="N542" s="4" t="inlineStr">
        <is>
          <t>IOS Owner</t>
        </is>
      </c>
      <c r="O542" s="4" t="n"/>
      <c r="P542" s="4" t="n"/>
      <c r="Q542" s="4" t="inlineStr">
        <is>
          <t>MAESTRO-IOS-PERSONAL-RELATIONSHIPS-0541 | Dates | 4734.81</t>
        </is>
      </c>
      <c r="R542" s="4" t="inlineStr">
        <is>
          <t>iPhone</t>
        </is>
      </c>
      <c r="S542" s="4" t="inlineStr">
        <is>
          <t>B11</t>
        </is>
      </c>
      <c r="T542" s="4" t="inlineStr">
        <is>
          <t>RAMP_501_1500</t>
        </is>
      </c>
      <c r="U542" s="4" t="inlineStr">
        <is>
          <t>CREATED</t>
        </is>
      </c>
      <c r="V542" s="4" t="inlineStr">
        <is>
          <t>idem-20260902-ios-0541</t>
        </is>
      </c>
    </row>
    <row r="543" ht="30" customHeight="1">
      <c r="A543" s="4" t="n">
        <v>542</v>
      </c>
      <c r="B543" s="4" t="inlineStr">
        <is>
          <t>MTR-IOS-0542</t>
        </is>
      </c>
      <c r="C543" s="4" t="inlineStr">
        <is>
          <t>Group</t>
        </is>
      </c>
      <c r="D543" s="4" t="inlineStr">
        <is>
          <t>Shared Experience</t>
        </is>
      </c>
      <c r="E543" s="4" t="inlineStr">
        <is>
          <t>Trip</t>
        </is>
      </c>
      <c r="F543" s="4" t="inlineStr">
        <is>
          <t>Other</t>
        </is>
      </c>
      <c r="G543" s="4" t="inlineStr">
        <is>
          <t>Expense</t>
        </is>
      </c>
      <c r="H543" s="12" t="n">
        <v>46013</v>
      </c>
      <c r="I543" s="13" t="n">
        <v>0.1578356481481482</v>
      </c>
      <c r="J543" s="14" t="n">
        <v>46013.15783564815</v>
      </c>
      <c r="K543" s="15" t="n">
        <v>2675.69</v>
      </c>
      <c r="L543" s="4" t="inlineStr">
        <is>
          <t>INR</t>
        </is>
      </c>
      <c r="M543" s="15" t="n">
        <v>-2675.69</v>
      </c>
      <c r="N543" s="4" t="inlineStr">
        <is>
          <t>IOS Owner</t>
        </is>
      </c>
      <c r="O543" s="4" t="n">
        <v>3</v>
      </c>
      <c r="P543" s="4" t="inlineStr">
        <is>
          <t>EQUAL</t>
        </is>
      </c>
      <c r="Q543" s="4" t="inlineStr">
        <is>
          <t>MAESTRO-IOS-GROUP-TRIP-0542 | Other | 2675.69</t>
        </is>
      </c>
      <c r="R543" s="4" t="inlineStr">
        <is>
          <t>iPhone</t>
        </is>
      </c>
      <c r="S543" s="4" t="inlineStr">
        <is>
          <t>B11</t>
        </is>
      </c>
      <c r="T543" s="4" t="inlineStr">
        <is>
          <t>RAMP_501_1500</t>
        </is>
      </c>
      <c r="U543" s="4" t="inlineStr">
        <is>
          <t>CREATED</t>
        </is>
      </c>
      <c r="V543" s="4" t="inlineStr">
        <is>
          <t>idem-20260902-ios-0542</t>
        </is>
      </c>
    </row>
    <row r="544" ht="30" customHeight="1">
      <c r="A544" s="4" t="n">
        <v>543</v>
      </c>
      <c r="B544" s="4" t="inlineStr">
        <is>
          <t>MTR-IOS-0543</t>
        </is>
      </c>
      <c r="C544" s="4" t="inlineStr">
        <is>
          <t>Business</t>
        </is>
      </c>
      <c r="D544" s="4" t="inlineStr">
        <is>
          <t>Business</t>
        </is>
      </c>
      <c r="E544" s="4" t="inlineStr">
        <is>
          <t>Business Runway</t>
        </is>
      </c>
      <c r="F544" s="4" t="inlineStr">
        <is>
          <t>Investment</t>
        </is>
      </c>
      <c r="G544" s="4" t="inlineStr">
        <is>
          <t>Income</t>
        </is>
      </c>
      <c r="H544" s="12" t="n">
        <v>45987</v>
      </c>
      <c r="I544" s="13" t="n">
        <v>0.4353125</v>
      </c>
      <c r="J544" s="14" t="n">
        <v>45987.4353125</v>
      </c>
      <c r="K544" s="15" t="n">
        <v>83981.39999999999</v>
      </c>
      <c r="L544" s="4" t="inlineStr">
        <is>
          <t>INR</t>
        </is>
      </c>
      <c r="M544" s="15" t="n">
        <v>83981.39999999999</v>
      </c>
      <c r="N544" s="4" t="inlineStr">
        <is>
          <t>IOS Owner</t>
        </is>
      </c>
      <c r="O544" s="4" t="n"/>
      <c r="P544" s="4" t="n"/>
      <c r="Q544" s="4" t="inlineStr">
        <is>
          <t>MAESTRO-IOS-BUSINESS-BUSINESS_RUNWAY-0543 | Investment | 83981.40</t>
        </is>
      </c>
      <c r="R544" s="4" t="inlineStr">
        <is>
          <t>iPhone</t>
        </is>
      </c>
      <c r="S544" s="4" t="inlineStr">
        <is>
          <t>B11</t>
        </is>
      </c>
      <c r="T544" s="4" t="inlineStr">
        <is>
          <t>RAMP_501_1500</t>
        </is>
      </c>
      <c r="U544" s="4" t="inlineStr">
        <is>
          <t>CREATED</t>
        </is>
      </c>
      <c r="V544" s="4" t="inlineStr">
        <is>
          <t>idem-20260902-ios-0543</t>
        </is>
      </c>
    </row>
    <row r="545" ht="30" customHeight="1">
      <c r="A545" s="4" t="n">
        <v>544</v>
      </c>
      <c r="B545" s="4" t="inlineStr">
        <is>
          <t>MTR-IOS-0544</t>
        </is>
      </c>
      <c r="C545" s="4" t="inlineStr">
        <is>
          <t>Personal</t>
        </is>
      </c>
      <c r="D545" s="4" t="inlineStr">
        <is>
          <t>Personal</t>
        </is>
      </c>
      <c r="E545" s="4" t="inlineStr">
        <is>
          <t>Relationships</t>
        </is>
      </c>
      <c r="F545" s="4" t="inlineStr">
        <is>
          <t>Family</t>
        </is>
      </c>
      <c r="G545" s="4" t="inlineStr">
        <is>
          <t>Expense</t>
        </is>
      </c>
      <c r="H545" s="12" t="n">
        <v>46025</v>
      </c>
      <c r="I545" s="13" t="n">
        <v>0.2455671296296296</v>
      </c>
      <c r="J545" s="14" t="n">
        <v>46025.24556712963</v>
      </c>
      <c r="K545" s="15" t="n">
        <v>9469.280000000001</v>
      </c>
      <c r="L545" s="4" t="inlineStr">
        <is>
          <t>INR</t>
        </is>
      </c>
      <c r="M545" s="15" t="n">
        <v>-9469.280000000001</v>
      </c>
      <c r="N545" s="4" t="inlineStr">
        <is>
          <t>IOS Owner</t>
        </is>
      </c>
      <c r="O545" s="4" t="n"/>
      <c r="P545" s="4" t="n"/>
      <c r="Q545" s="4" t="inlineStr">
        <is>
          <t>MAESTRO-IOS-PERSONAL-RELATIONSHIPS-0544 | Family | 9469.28</t>
        </is>
      </c>
      <c r="R545" s="4" t="inlineStr">
        <is>
          <t>iPhone</t>
        </is>
      </c>
      <c r="S545" s="4" t="inlineStr">
        <is>
          <t>B11</t>
        </is>
      </c>
      <c r="T545" s="4" t="inlineStr">
        <is>
          <t>RAMP_501_1500</t>
        </is>
      </c>
      <c r="U545" s="4" t="inlineStr">
        <is>
          <t>CREATED</t>
        </is>
      </c>
      <c r="V545" s="4" t="inlineStr">
        <is>
          <t>idem-20260902-ios-0544</t>
        </is>
      </c>
    </row>
    <row r="546" ht="30" customHeight="1">
      <c r="A546" s="4" t="n">
        <v>545</v>
      </c>
      <c r="B546" s="4" t="inlineStr">
        <is>
          <t>MTR-IOS-0545</t>
        </is>
      </c>
      <c r="C546" s="4" t="inlineStr">
        <is>
          <t>Group</t>
        </is>
      </c>
      <c r="D546" s="4" t="inlineStr">
        <is>
          <t>Shared Experience</t>
        </is>
      </c>
      <c r="E546" s="4" t="inlineStr">
        <is>
          <t>Wedding</t>
        </is>
      </c>
      <c r="F546" s="4" t="inlineStr">
        <is>
          <t>Venue</t>
        </is>
      </c>
      <c r="G546" s="4" t="inlineStr">
        <is>
          <t>Expense</t>
        </is>
      </c>
      <c r="H546" s="12" t="n">
        <v>46259</v>
      </c>
      <c r="I546" s="13" t="n">
        <v>0.3838310185185185</v>
      </c>
      <c r="J546" s="14" t="n">
        <v>46259.38383101852</v>
      </c>
      <c r="K546" s="15" t="n">
        <v>2138.81</v>
      </c>
      <c r="L546" s="4" t="inlineStr">
        <is>
          <t>INR</t>
        </is>
      </c>
      <c r="M546" s="15" t="n">
        <v>-2138.81</v>
      </c>
      <c r="N546" s="4" t="inlineStr">
        <is>
          <t>IOS Aarav</t>
        </is>
      </c>
      <c r="O546" s="4" t="n">
        <v>3</v>
      </c>
      <c r="P546" s="4" t="inlineStr">
        <is>
          <t>PERCENTAGE</t>
        </is>
      </c>
      <c r="Q546" s="4" t="inlineStr">
        <is>
          <t>MAESTRO-IOS-GROUP-WEDDING-0545 | Venue | 2138.81</t>
        </is>
      </c>
      <c r="R546" s="4" t="inlineStr">
        <is>
          <t>iPhone</t>
        </is>
      </c>
      <c r="S546" s="4" t="inlineStr">
        <is>
          <t>B11</t>
        </is>
      </c>
      <c r="T546" s="4" t="inlineStr">
        <is>
          <t>RAMP_501_1500</t>
        </is>
      </c>
      <c r="U546" s="4" t="inlineStr">
        <is>
          <t>CREATED</t>
        </is>
      </c>
      <c r="V546" s="4" t="inlineStr">
        <is>
          <t>idem-20260902-ios-0545</t>
        </is>
      </c>
    </row>
    <row r="547" ht="30" customHeight="1">
      <c r="A547" s="4" t="n">
        <v>546</v>
      </c>
      <c r="B547" s="4" t="inlineStr">
        <is>
          <t>MTR-IOS-0546</t>
        </is>
      </c>
      <c r="C547" s="4" t="inlineStr">
        <is>
          <t>Business</t>
        </is>
      </c>
      <c r="D547" s="4" t="inlineStr">
        <is>
          <t>Business</t>
        </is>
      </c>
      <c r="E547" s="4" t="inlineStr">
        <is>
          <t>Business Operations</t>
        </is>
      </c>
      <c r="F547" s="4" t="inlineStr">
        <is>
          <t>Software</t>
        </is>
      </c>
      <c r="G547" s="4" t="inlineStr">
        <is>
          <t>Expense</t>
        </is>
      </c>
      <c r="H547" s="12" t="n">
        <v>45974</v>
      </c>
      <c r="I547" s="13" t="n">
        <v>0.8811921296296297</v>
      </c>
      <c r="J547" s="14" t="n">
        <v>45974.88119212963</v>
      </c>
      <c r="K547" s="15" t="n">
        <v>28446.05</v>
      </c>
      <c r="L547" s="4" t="inlineStr">
        <is>
          <t>INR</t>
        </is>
      </c>
      <c r="M547" s="15" t="n">
        <v>-28446.05</v>
      </c>
      <c r="N547" s="4" t="inlineStr">
        <is>
          <t>IOS Owner</t>
        </is>
      </c>
      <c r="O547" s="4" t="n"/>
      <c r="P547" s="4" t="n"/>
      <c r="Q547" s="4" t="inlineStr">
        <is>
          <t>MAESTRO-IOS-BUSINESS-BUSINESS_OPERATIONS-0546 | Software | 28446.05</t>
        </is>
      </c>
      <c r="R547" s="4" t="inlineStr">
        <is>
          <t>iPhone</t>
        </is>
      </c>
      <c r="S547" s="4" t="inlineStr">
        <is>
          <t>B11</t>
        </is>
      </c>
      <c r="T547" s="4" t="inlineStr">
        <is>
          <t>RAMP_501_1500</t>
        </is>
      </c>
      <c r="U547" s="4" t="inlineStr">
        <is>
          <t>CREATED</t>
        </is>
      </c>
      <c r="V547" s="4" t="inlineStr">
        <is>
          <t>idem-20260902-ios-0546</t>
        </is>
      </c>
    </row>
    <row r="548" ht="30" customHeight="1">
      <c r="A548" s="4" t="n">
        <v>547</v>
      </c>
      <c r="B548" s="4" t="inlineStr">
        <is>
          <t>MTR-IOS-0547</t>
        </is>
      </c>
      <c r="C548" s="4" t="inlineStr">
        <is>
          <t>Personal</t>
        </is>
      </c>
      <c r="D548" s="4" t="inlineStr">
        <is>
          <t>Personal</t>
        </is>
      </c>
      <c r="E548" s="4" t="inlineStr">
        <is>
          <t>Relationships</t>
        </is>
      </c>
      <c r="F548" s="4" t="inlineStr">
        <is>
          <t>Friends</t>
        </is>
      </c>
      <c r="G548" s="4" t="inlineStr">
        <is>
          <t>Expense</t>
        </is>
      </c>
      <c r="H548" s="12" t="n">
        <v>46156</v>
      </c>
      <c r="I548" s="13" t="n">
        <v>0.3029398148148148</v>
      </c>
      <c r="J548" s="14" t="n">
        <v>46156.30293981481</v>
      </c>
      <c r="K548" s="15" t="n">
        <v>483.99</v>
      </c>
      <c r="L548" s="4" t="inlineStr">
        <is>
          <t>INR</t>
        </is>
      </c>
      <c r="M548" s="15" t="n">
        <v>-483.99</v>
      </c>
      <c r="N548" s="4" t="inlineStr">
        <is>
          <t>IOS Owner</t>
        </is>
      </c>
      <c r="O548" s="4" t="n"/>
      <c r="P548" s="4" t="n"/>
      <c r="Q548" s="4" t="inlineStr">
        <is>
          <t>MAESTRO-IOS-PERSONAL-RELATIONSHIPS-0547 | Friends | 483.99</t>
        </is>
      </c>
      <c r="R548" s="4" t="inlineStr">
        <is>
          <t>iPhone</t>
        </is>
      </c>
      <c r="S548" s="4" t="inlineStr">
        <is>
          <t>B11</t>
        </is>
      </c>
      <c r="T548" s="4" t="inlineStr">
        <is>
          <t>RAMP_501_1500</t>
        </is>
      </c>
      <c r="U548" s="4" t="inlineStr">
        <is>
          <t>CREATED</t>
        </is>
      </c>
      <c r="V548" s="4" t="inlineStr">
        <is>
          <t>idem-20260902-ios-0547</t>
        </is>
      </c>
    </row>
    <row r="549" ht="30" customHeight="1">
      <c r="A549" s="4" t="n">
        <v>548</v>
      </c>
      <c r="B549" s="4" t="inlineStr">
        <is>
          <t>MTR-IOS-0548</t>
        </is>
      </c>
      <c r="C549" s="4" t="inlineStr">
        <is>
          <t>Group</t>
        </is>
      </c>
      <c r="D549" s="4" t="inlineStr">
        <is>
          <t>Shared Experience</t>
        </is>
      </c>
      <c r="E549" s="4" t="inlineStr">
        <is>
          <t>Wedding</t>
        </is>
      </c>
      <c r="F549" s="4" t="inlineStr">
        <is>
          <t>Catering</t>
        </is>
      </c>
      <c r="G549" s="4" t="inlineStr">
        <is>
          <t>Expense</t>
        </is>
      </c>
      <c r="H549" s="12" t="n">
        <v>46015</v>
      </c>
      <c r="I549" s="13" t="n">
        <v>0.9622106481481482</v>
      </c>
      <c r="J549" s="14" t="n">
        <v>46015.96221064815</v>
      </c>
      <c r="K549" s="15" t="n">
        <v>384.73</v>
      </c>
      <c r="L549" s="4" t="inlineStr">
        <is>
          <t>INR</t>
        </is>
      </c>
      <c r="M549" s="15" t="n">
        <v>-384.73</v>
      </c>
      <c r="N549" s="4" t="inlineStr">
        <is>
          <t>IOS Meera</t>
        </is>
      </c>
      <c r="O549" s="4" t="n">
        <v>3</v>
      </c>
      <c r="P549" s="4" t="inlineStr">
        <is>
          <t>EXACT</t>
        </is>
      </c>
      <c r="Q549" s="4" t="inlineStr">
        <is>
          <t>MAESTRO-IOS-GROUP-WEDDING-0548 | Catering | 384.73</t>
        </is>
      </c>
      <c r="R549" s="4" t="inlineStr">
        <is>
          <t>iPhone</t>
        </is>
      </c>
      <c r="S549" s="4" t="inlineStr">
        <is>
          <t>B11</t>
        </is>
      </c>
      <c r="T549" s="4" t="inlineStr">
        <is>
          <t>RAMP_501_1500</t>
        </is>
      </c>
      <c r="U549" s="4" t="inlineStr">
        <is>
          <t>CREATED</t>
        </is>
      </c>
      <c r="V549" s="4" t="inlineStr">
        <is>
          <t>idem-20260902-ios-0548</t>
        </is>
      </c>
    </row>
    <row r="550" ht="30" customHeight="1">
      <c r="A550" s="4" t="n">
        <v>549</v>
      </c>
      <c r="B550" s="4" t="inlineStr">
        <is>
          <t>MTR-IOS-0549</t>
        </is>
      </c>
      <c r="C550" s="4" t="inlineStr">
        <is>
          <t>Business</t>
        </is>
      </c>
      <c r="D550" s="4" t="inlineStr">
        <is>
          <t>Business</t>
        </is>
      </c>
      <c r="E550" s="4" t="inlineStr">
        <is>
          <t>Business Operations</t>
        </is>
      </c>
      <c r="F550" s="4" t="inlineStr">
        <is>
          <t>Rent</t>
        </is>
      </c>
      <c r="G550" s="4" t="inlineStr">
        <is>
          <t>Expense</t>
        </is>
      </c>
      <c r="H550" s="12" t="n">
        <v>46118</v>
      </c>
      <c r="I550" s="13" t="n">
        <v>0.7215162037037037</v>
      </c>
      <c r="J550" s="14" t="n">
        <v>46118.7215162037</v>
      </c>
      <c r="K550" s="15" t="n">
        <v>134778.36</v>
      </c>
      <c r="L550" s="4" t="inlineStr">
        <is>
          <t>INR</t>
        </is>
      </c>
      <c r="M550" s="15" t="n">
        <v>-134778.36</v>
      </c>
      <c r="N550" s="4" t="inlineStr">
        <is>
          <t>IOS Owner</t>
        </is>
      </c>
      <c r="O550" s="4" t="n"/>
      <c r="P550" s="4" t="n"/>
      <c r="Q550" s="4" t="inlineStr">
        <is>
          <t>MAESTRO-IOS-BUSINESS-BUSINESS_OPERATIONS-0549 | Rent | 134778.36</t>
        </is>
      </c>
      <c r="R550" s="4" t="inlineStr">
        <is>
          <t>iPhone</t>
        </is>
      </c>
      <c r="S550" s="4" t="inlineStr">
        <is>
          <t>B11</t>
        </is>
      </c>
      <c r="T550" s="4" t="inlineStr">
        <is>
          <t>RAMP_501_1500</t>
        </is>
      </c>
      <c r="U550" s="4" t="inlineStr">
        <is>
          <t>CREATED</t>
        </is>
      </c>
      <c r="V550" s="4" t="inlineStr">
        <is>
          <t>idem-20260902-ios-0549</t>
        </is>
      </c>
    </row>
    <row r="551" ht="30" customHeight="1">
      <c r="A551" s="4" t="n">
        <v>550</v>
      </c>
      <c r="B551" s="4" t="inlineStr">
        <is>
          <t>MTR-IOS-0550</t>
        </is>
      </c>
      <c r="C551" s="4" t="inlineStr">
        <is>
          <t>Personal</t>
        </is>
      </c>
      <c r="D551" s="4" t="inlineStr">
        <is>
          <t>Personal</t>
        </is>
      </c>
      <c r="E551" s="4" t="inlineStr">
        <is>
          <t>Relationships</t>
        </is>
      </c>
      <c r="F551" s="4" t="inlineStr">
        <is>
          <t>Celebrations</t>
        </is>
      </c>
      <c r="G551" s="4" t="inlineStr">
        <is>
          <t>Expense</t>
        </is>
      </c>
      <c r="H551" s="12" t="n">
        <v>46056</v>
      </c>
      <c r="I551" s="13" t="n">
        <v>0.3792013888888889</v>
      </c>
      <c r="J551" s="14" t="n">
        <v>46056.37920138889</v>
      </c>
      <c r="K551" s="15" t="n">
        <v>5608.18</v>
      </c>
      <c r="L551" s="4" t="inlineStr">
        <is>
          <t>INR</t>
        </is>
      </c>
      <c r="M551" s="15" t="n">
        <v>-5608.18</v>
      </c>
      <c r="N551" s="4" t="inlineStr">
        <is>
          <t>IOS Owner</t>
        </is>
      </c>
      <c r="O551" s="4" t="n"/>
      <c r="P551" s="4" t="n"/>
      <c r="Q551" s="4" t="inlineStr">
        <is>
          <t>MAESTRO-IOS-PERSONAL-RELATIONSHIPS-0550 | Celebrations | 5608.18</t>
        </is>
      </c>
      <c r="R551" s="4" t="inlineStr">
        <is>
          <t>iPhone</t>
        </is>
      </c>
      <c r="S551" s="4" t="inlineStr">
        <is>
          <t>B11</t>
        </is>
      </c>
      <c r="T551" s="4" t="inlineStr">
        <is>
          <t>RAMP_501_1500</t>
        </is>
      </c>
      <c r="U551" s="4" t="inlineStr">
        <is>
          <t>CREATED</t>
        </is>
      </c>
      <c r="V551" s="4" t="inlineStr">
        <is>
          <t>idem-20260902-ios-0550</t>
        </is>
      </c>
    </row>
    <row r="552" ht="30" customHeight="1">
      <c r="A552" s="4" t="n">
        <v>551</v>
      </c>
      <c r="B552" s="4" t="inlineStr">
        <is>
          <t>MTR-IOS-0551</t>
        </is>
      </c>
      <c r="C552" s="4" t="inlineStr">
        <is>
          <t>Group</t>
        </is>
      </c>
      <c r="D552" s="4" t="inlineStr">
        <is>
          <t>Shared Experience</t>
        </is>
      </c>
      <c r="E552" s="4" t="inlineStr">
        <is>
          <t>Wedding</t>
        </is>
      </c>
      <c r="F552" s="4" t="inlineStr">
        <is>
          <t>Decor</t>
        </is>
      </c>
      <c r="G552" s="4" t="inlineStr">
        <is>
          <t>Expense</t>
        </is>
      </c>
      <c r="H552" s="12" t="n">
        <v>46165</v>
      </c>
      <c r="I552" s="13" t="n">
        <v>0.8497685185185185</v>
      </c>
      <c r="J552" s="14" t="n">
        <v>46165.84976851852</v>
      </c>
      <c r="K552" s="15" t="n">
        <v>25205.46</v>
      </c>
      <c r="L552" s="4" t="inlineStr">
        <is>
          <t>INR</t>
        </is>
      </c>
      <c r="M552" s="15" t="n">
        <v>-25205.46</v>
      </c>
      <c r="N552" s="4" t="inlineStr">
        <is>
          <t>IOS Owner</t>
        </is>
      </c>
      <c r="O552" s="4" t="n">
        <v>3</v>
      </c>
      <c r="P552" s="4" t="inlineStr">
        <is>
          <t>SHARES</t>
        </is>
      </c>
      <c r="Q552" s="4" t="inlineStr">
        <is>
          <t>MAESTRO-IOS-GROUP-WEDDING-0551 | Decor | 25205.46</t>
        </is>
      </c>
      <c r="R552" s="4" t="inlineStr">
        <is>
          <t>iPhone</t>
        </is>
      </c>
      <c r="S552" s="4" t="inlineStr">
        <is>
          <t>B12</t>
        </is>
      </c>
      <c r="T552" s="4" t="inlineStr">
        <is>
          <t>RAMP_501_1500</t>
        </is>
      </c>
      <c r="U552" s="4" t="inlineStr">
        <is>
          <t>CREATED</t>
        </is>
      </c>
      <c r="V552" s="4" t="inlineStr">
        <is>
          <t>idem-20260902-ios-0551</t>
        </is>
      </c>
    </row>
    <row r="553" ht="30" customHeight="1">
      <c r="A553" s="4" t="n">
        <v>552</v>
      </c>
      <c r="B553" s="4" t="inlineStr">
        <is>
          <t>MTR-IOS-0552</t>
        </is>
      </c>
      <c r="C553" s="4" t="inlineStr">
        <is>
          <t>Business</t>
        </is>
      </c>
      <c r="D553" s="4" t="inlineStr">
        <is>
          <t>Business</t>
        </is>
      </c>
      <c r="E553" s="4" t="inlineStr">
        <is>
          <t>Business Operations</t>
        </is>
      </c>
      <c r="F553" s="4" t="inlineStr">
        <is>
          <t>Marketing</t>
        </is>
      </c>
      <c r="G553" s="4" t="inlineStr">
        <is>
          <t>Expense</t>
        </is>
      </c>
      <c r="H553" s="12" t="n">
        <v>46030</v>
      </c>
      <c r="I553" s="13" t="n">
        <v>0.2817592592592593</v>
      </c>
      <c r="J553" s="14" t="n">
        <v>46030.28175925926</v>
      </c>
      <c r="K553" s="15" t="n">
        <v>64560.56</v>
      </c>
      <c r="L553" s="4" t="inlineStr">
        <is>
          <t>INR</t>
        </is>
      </c>
      <c r="M553" s="15" t="n">
        <v>-64560.56</v>
      </c>
      <c r="N553" s="4" t="inlineStr">
        <is>
          <t>IOS Owner</t>
        </is>
      </c>
      <c r="O553" s="4" t="n"/>
      <c r="P553" s="4" t="n"/>
      <c r="Q553" s="4" t="inlineStr">
        <is>
          <t>MAESTRO-IOS-BUSINESS-BUSINESS_OPERATIONS-0552 | Marketing | 64560.56</t>
        </is>
      </c>
      <c r="R553" s="4" t="inlineStr">
        <is>
          <t>iPhone</t>
        </is>
      </c>
      <c r="S553" s="4" t="inlineStr">
        <is>
          <t>B12</t>
        </is>
      </c>
      <c r="T553" s="4" t="inlineStr">
        <is>
          <t>RAMP_501_1500</t>
        </is>
      </c>
      <c r="U553" s="4" t="inlineStr">
        <is>
          <t>CREATED</t>
        </is>
      </c>
      <c r="V553" s="4" t="inlineStr">
        <is>
          <t>idem-20260902-ios-0552</t>
        </is>
      </c>
    </row>
    <row r="554" ht="30" customHeight="1">
      <c r="A554" s="4" t="n">
        <v>553</v>
      </c>
      <c r="B554" s="4" t="inlineStr">
        <is>
          <t>MTR-IOS-0553</t>
        </is>
      </c>
      <c r="C554" s="4" t="inlineStr">
        <is>
          <t>Personal</t>
        </is>
      </c>
      <c r="D554" s="4" t="inlineStr">
        <is>
          <t>Personal</t>
        </is>
      </c>
      <c r="E554" s="4" t="inlineStr">
        <is>
          <t>Life Operations</t>
        </is>
      </c>
      <c r="F554" s="4" t="inlineStr">
        <is>
          <t>Groceries</t>
        </is>
      </c>
      <c r="G554" s="4" t="inlineStr">
        <is>
          <t>Expense</t>
        </is>
      </c>
      <c r="H554" s="12" t="n">
        <v>45993</v>
      </c>
      <c r="I554" s="13" t="n">
        <v>0.5884374999999999</v>
      </c>
      <c r="J554" s="14" t="n">
        <v>45993.5884375</v>
      </c>
      <c r="K554" s="15" t="n">
        <v>11336.32</v>
      </c>
      <c r="L554" s="4" t="inlineStr">
        <is>
          <t>INR</t>
        </is>
      </c>
      <c r="M554" s="15" t="n">
        <v>-11336.32</v>
      </c>
      <c r="N554" s="4" t="inlineStr">
        <is>
          <t>IOS Owner</t>
        </is>
      </c>
      <c r="O554" s="4" t="n"/>
      <c r="P554" s="4" t="n"/>
      <c r="Q554" s="4" t="inlineStr">
        <is>
          <t>MAESTRO-IOS-PERSONAL-LIFE_OPERATIONS-0553 | Groceries | 11336.32</t>
        </is>
      </c>
      <c r="R554" s="4" t="inlineStr">
        <is>
          <t>iPhone</t>
        </is>
      </c>
      <c r="S554" s="4" t="inlineStr">
        <is>
          <t>B12</t>
        </is>
      </c>
      <c r="T554" s="4" t="inlineStr">
        <is>
          <t>RAMP_501_1500</t>
        </is>
      </c>
      <c r="U554" s="4" t="inlineStr">
        <is>
          <t>CREATED</t>
        </is>
      </c>
      <c r="V554" s="4" t="inlineStr">
        <is>
          <t>idem-20260902-ios-0553</t>
        </is>
      </c>
    </row>
    <row r="555" ht="30" customHeight="1">
      <c r="A555" s="4" t="n">
        <v>554</v>
      </c>
      <c r="B555" s="4" t="inlineStr">
        <is>
          <t>MTR-IOS-0554</t>
        </is>
      </c>
      <c r="C555" s="4" t="inlineStr">
        <is>
          <t>Group</t>
        </is>
      </c>
      <c r="D555" s="4" t="inlineStr">
        <is>
          <t>Shared Experience</t>
        </is>
      </c>
      <c r="E555" s="4" t="inlineStr">
        <is>
          <t>Wedding</t>
        </is>
      </c>
      <c r="F555" s="4" t="inlineStr">
        <is>
          <t>Travel</t>
        </is>
      </c>
      <c r="G555" s="4" t="inlineStr">
        <is>
          <t>Expense</t>
        </is>
      </c>
      <c r="H555" s="12" t="n">
        <v>46215</v>
      </c>
      <c r="I555" s="13" t="n">
        <v>0.6777777777777778</v>
      </c>
      <c r="J555" s="14" t="n">
        <v>46215.67777777778</v>
      </c>
      <c r="K555" s="15" t="n">
        <v>3297.35</v>
      </c>
      <c r="L555" s="4" t="inlineStr">
        <is>
          <t>INR</t>
        </is>
      </c>
      <c r="M555" s="15" t="n">
        <v>-3297.35</v>
      </c>
      <c r="N555" s="4" t="inlineStr">
        <is>
          <t>IOS Aarav</t>
        </is>
      </c>
      <c r="O555" s="4" t="n">
        <v>3</v>
      </c>
      <c r="P555" s="4" t="inlineStr">
        <is>
          <t>EQUAL</t>
        </is>
      </c>
      <c r="Q555" s="4" t="inlineStr">
        <is>
          <t>MAESTRO-IOS-GROUP-WEDDING-0554 | Travel | 3297.35</t>
        </is>
      </c>
      <c r="R555" s="4" t="inlineStr">
        <is>
          <t>iPhone</t>
        </is>
      </c>
      <c r="S555" s="4" t="inlineStr">
        <is>
          <t>B12</t>
        </is>
      </c>
      <c r="T555" s="4" t="inlineStr">
        <is>
          <t>RAMP_501_1500</t>
        </is>
      </c>
      <c r="U555" s="4" t="inlineStr">
        <is>
          <t>CREATED</t>
        </is>
      </c>
      <c r="V555" s="4" t="inlineStr">
        <is>
          <t>idem-20260902-ios-0554</t>
        </is>
      </c>
    </row>
    <row r="556" ht="30" customHeight="1">
      <c r="A556" s="4" t="n">
        <v>555</v>
      </c>
      <c r="B556" s="4" t="inlineStr">
        <is>
          <t>MTR-IOS-0555</t>
        </is>
      </c>
      <c r="C556" s="4" t="inlineStr">
        <is>
          <t>Business</t>
        </is>
      </c>
      <c r="D556" s="4" t="inlineStr">
        <is>
          <t>Business</t>
        </is>
      </c>
      <c r="E556" s="4" t="inlineStr">
        <is>
          <t>Business Operations</t>
        </is>
      </c>
      <c r="F556" s="4" t="inlineStr">
        <is>
          <t>Legal</t>
        </is>
      </c>
      <c r="G556" s="4" t="inlineStr">
        <is>
          <t>Expense</t>
        </is>
      </c>
      <c r="H556" s="12" t="n">
        <v>45999</v>
      </c>
      <c r="I556" s="13" t="n">
        <v>0.6629050925925926</v>
      </c>
      <c r="J556" s="14" t="n">
        <v>45999.66290509259</v>
      </c>
      <c r="K556" s="15" t="n">
        <v>100</v>
      </c>
      <c r="L556" s="4" t="inlineStr">
        <is>
          <t>INR</t>
        </is>
      </c>
      <c r="M556" s="15" t="n">
        <v>-100</v>
      </c>
      <c r="N556" s="4" t="inlineStr">
        <is>
          <t>IOS Owner</t>
        </is>
      </c>
      <c r="O556" s="4" t="n"/>
      <c r="P556" s="4" t="n"/>
      <c r="Q556" s="4" t="inlineStr">
        <is>
          <t>MAESTRO-IOS-BUSINESS-BUSINESS_OPERATIONS-0555 | Legal | 100.00</t>
        </is>
      </c>
      <c r="R556" s="4" t="inlineStr">
        <is>
          <t>iPhone</t>
        </is>
      </c>
      <c r="S556" s="4" t="inlineStr">
        <is>
          <t>B12</t>
        </is>
      </c>
      <c r="T556" s="4" t="inlineStr">
        <is>
          <t>RAMP_501_1500</t>
        </is>
      </c>
      <c r="U556" s="4" t="inlineStr">
        <is>
          <t>CREATED</t>
        </is>
      </c>
      <c r="V556" s="4" t="inlineStr">
        <is>
          <t>idem-20260902-ios-0555</t>
        </is>
      </c>
    </row>
    <row r="557" ht="30" customHeight="1">
      <c r="A557" s="4" t="n">
        <v>556</v>
      </c>
      <c r="B557" s="4" t="inlineStr">
        <is>
          <t>MTR-IOS-0556</t>
        </is>
      </c>
      <c r="C557" s="4" t="inlineStr">
        <is>
          <t>Personal</t>
        </is>
      </c>
      <c r="D557" s="4" t="inlineStr">
        <is>
          <t>Personal</t>
        </is>
      </c>
      <c r="E557" s="4" t="inlineStr">
        <is>
          <t>Life Operations</t>
        </is>
      </c>
      <c r="F557" s="4" t="inlineStr">
        <is>
          <t>Rent</t>
        </is>
      </c>
      <c r="G557" s="4" t="inlineStr">
        <is>
          <t>Expense</t>
        </is>
      </c>
      <c r="H557" s="12" t="n">
        <v>46230</v>
      </c>
      <c r="I557" s="13" t="n">
        <v>0.5932407407407407</v>
      </c>
      <c r="J557" s="14" t="n">
        <v>46230.59324074074</v>
      </c>
      <c r="K557" s="15" t="n">
        <v>5502.66</v>
      </c>
      <c r="L557" s="4" t="inlineStr">
        <is>
          <t>INR</t>
        </is>
      </c>
      <c r="M557" s="15" t="n">
        <v>-5502.66</v>
      </c>
      <c r="N557" s="4" t="inlineStr">
        <is>
          <t>IOS Owner</t>
        </is>
      </c>
      <c r="O557" s="4" t="n"/>
      <c r="P557" s="4" t="n"/>
      <c r="Q557" s="4" t="inlineStr">
        <is>
          <t>MAESTRO-IOS-PERSONAL-LIFE_OPERATIONS-0556 | Rent | 5502.66</t>
        </is>
      </c>
      <c r="R557" s="4" t="inlineStr">
        <is>
          <t>iPhone</t>
        </is>
      </c>
      <c r="S557" s="4" t="inlineStr">
        <is>
          <t>B12</t>
        </is>
      </c>
      <c r="T557" s="4" t="inlineStr">
        <is>
          <t>RAMP_501_1500</t>
        </is>
      </c>
      <c r="U557" s="4" t="inlineStr">
        <is>
          <t>CREATED</t>
        </is>
      </c>
      <c r="V557" s="4" t="inlineStr">
        <is>
          <t>idem-20260902-ios-0556</t>
        </is>
      </c>
    </row>
    <row r="558" ht="30" customHeight="1">
      <c r="A558" s="4" t="n">
        <v>557</v>
      </c>
      <c r="B558" s="4" t="inlineStr">
        <is>
          <t>MTR-IOS-0557</t>
        </is>
      </c>
      <c r="C558" s="4" t="inlineStr">
        <is>
          <t>Group</t>
        </is>
      </c>
      <c r="D558" s="4" t="inlineStr">
        <is>
          <t>Shared Experience</t>
        </is>
      </c>
      <c r="E558" s="4" t="inlineStr">
        <is>
          <t>Wedding</t>
        </is>
      </c>
      <c r="F558" s="4" t="inlineStr">
        <is>
          <t>Gifts</t>
        </is>
      </c>
      <c r="G558" s="4" t="inlineStr">
        <is>
          <t>Expense</t>
        </is>
      </c>
      <c r="H558" s="12" t="n">
        <v>46260</v>
      </c>
      <c r="I558" s="13" t="n">
        <v>0.6616550925925926</v>
      </c>
      <c r="J558" s="14" t="n">
        <v>46260.66165509259</v>
      </c>
      <c r="K558" s="15" t="n">
        <v>17760.78</v>
      </c>
      <c r="L558" s="4" t="inlineStr">
        <is>
          <t>INR</t>
        </is>
      </c>
      <c r="M558" s="15" t="n">
        <v>-17760.78</v>
      </c>
      <c r="N558" s="4" t="inlineStr">
        <is>
          <t>IOS Meera</t>
        </is>
      </c>
      <c r="O558" s="4" t="n">
        <v>3</v>
      </c>
      <c r="P558" s="4" t="inlineStr">
        <is>
          <t>PERCENTAGE</t>
        </is>
      </c>
      <c r="Q558" s="4" t="inlineStr">
        <is>
          <t>MAESTRO-IOS-GROUP-WEDDING-0557 | Gifts | 17760.78</t>
        </is>
      </c>
      <c r="R558" s="4" t="inlineStr">
        <is>
          <t>iPhone</t>
        </is>
      </c>
      <c r="S558" s="4" t="inlineStr">
        <is>
          <t>B12</t>
        </is>
      </c>
      <c r="T558" s="4" t="inlineStr">
        <is>
          <t>RAMP_501_1500</t>
        </is>
      </c>
      <c r="U558" s="4" t="inlineStr">
        <is>
          <t>CREATED</t>
        </is>
      </c>
      <c r="V558" s="4" t="inlineStr">
        <is>
          <t>idem-20260902-ios-0557</t>
        </is>
      </c>
    </row>
    <row r="559" ht="30" customHeight="1">
      <c r="A559" s="4" t="n">
        <v>558</v>
      </c>
      <c r="B559" s="4" t="inlineStr">
        <is>
          <t>MTR-IOS-0558</t>
        </is>
      </c>
      <c r="C559" s="4" t="inlineStr">
        <is>
          <t>Business</t>
        </is>
      </c>
      <c r="D559" s="4" t="inlineStr">
        <is>
          <t>Business</t>
        </is>
      </c>
      <c r="E559" s="4" t="inlineStr">
        <is>
          <t>Business Operations</t>
        </is>
      </c>
      <c r="F559" s="4" t="inlineStr">
        <is>
          <t>Accounting</t>
        </is>
      </c>
      <c r="G559" s="4" t="inlineStr">
        <is>
          <t>Expense</t>
        </is>
      </c>
      <c r="H559" s="12" t="n">
        <v>46163</v>
      </c>
      <c r="I559" s="13" t="n">
        <v>0.4683796296296296</v>
      </c>
      <c r="J559" s="14" t="n">
        <v>46163.46837962963</v>
      </c>
      <c r="K559" s="15" t="n">
        <v>136525.6</v>
      </c>
      <c r="L559" s="4" t="inlineStr">
        <is>
          <t>INR</t>
        </is>
      </c>
      <c r="M559" s="15" t="n">
        <v>-136525.6</v>
      </c>
      <c r="N559" s="4" t="inlineStr">
        <is>
          <t>IOS Owner</t>
        </is>
      </c>
      <c r="O559" s="4" t="n"/>
      <c r="P559" s="4" t="n"/>
      <c r="Q559" s="4" t="inlineStr">
        <is>
          <t>MAESTRO-IOS-BUSINESS-BUSINESS_OPERATIONS-0558 | Accounting | 136525.60</t>
        </is>
      </c>
      <c r="R559" s="4" t="inlineStr">
        <is>
          <t>iPhone</t>
        </is>
      </c>
      <c r="S559" s="4" t="inlineStr">
        <is>
          <t>B12</t>
        </is>
      </c>
      <c r="T559" s="4" t="inlineStr">
        <is>
          <t>RAMP_501_1500</t>
        </is>
      </c>
      <c r="U559" s="4" t="inlineStr">
        <is>
          <t>CREATED</t>
        </is>
      </c>
      <c r="V559" s="4" t="inlineStr">
        <is>
          <t>idem-20260902-ios-0558</t>
        </is>
      </c>
    </row>
    <row r="560" ht="30" customHeight="1">
      <c r="A560" s="4" t="n">
        <v>559</v>
      </c>
      <c r="B560" s="4" t="inlineStr">
        <is>
          <t>MTR-IOS-0559</t>
        </is>
      </c>
      <c r="C560" s="4" t="inlineStr">
        <is>
          <t>Personal</t>
        </is>
      </c>
      <c r="D560" s="4" t="inlineStr">
        <is>
          <t>Personal</t>
        </is>
      </c>
      <c r="E560" s="4" t="inlineStr">
        <is>
          <t>Life Operations</t>
        </is>
      </c>
      <c r="F560" s="4" t="inlineStr">
        <is>
          <t>Bills</t>
        </is>
      </c>
      <c r="G560" s="4" t="inlineStr">
        <is>
          <t>Expense</t>
        </is>
      </c>
      <c r="H560" s="12" t="n">
        <v>46214</v>
      </c>
      <c r="I560" s="13" t="n">
        <v>0.2502083333333333</v>
      </c>
      <c r="J560" s="14" t="n">
        <v>46214.25020833333</v>
      </c>
      <c r="K560" s="15" t="n">
        <v>9685.73</v>
      </c>
      <c r="L560" s="4" t="inlineStr">
        <is>
          <t>INR</t>
        </is>
      </c>
      <c r="M560" s="15" t="n">
        <v>-9685.73</v>
      </c>
      <c r="N560" s="4" t="inlineStr">
        <is>
          <t>IOS Owner</t>
        </is>
      </c>
      <c r="O560" s="4" t="n"/>
      <c r="P560" s="4" t="n"/>
      <c r="Q560" s="4" t="inlineStr">
        <is>
          <t>MAESTRO-IOS-PERSONAL-LIFE_OPERATIONS-0559 | Bills | 9685.73</t>
        </is>
      </c>
      <c r="R560" s="4" t="inlineStr">
        <is>
          <t>iPhone</t>
        </is>
      </c>
      <c r="S560" s="4" t="inlineStr">
        <is>
          <t>B12</t>
        </is>
      </c>
      <c r="T560" s="4" t="inlineStr">
        <is>
          <t>RAMP_501_1500</t>
        </is>
      </c>
      <c r="U560" s="4" t="inlineStr">
        <is>
          <t>CREATED</t>
        </is>
      </c>
      <c r="V560" s="4" t="inlineStr">
        <is>
          <t>idem-20260902-ios-0559</t>
        </is>
      </c>
    </row>
    <row r="561" ht="30" customHeight="1">
      <c r="A561" s="4" t="n">
        <v>560</v>
      </c>
      <c r="B561" s="4" t="inlineStr">
        <is>
          <t>MTR-IOS-0560</t>
        </is>
      </c>
      <c r="C561" s="4" t="inlineStr">
        <is>
          <t>Group</t>
        </is>
      </c>
      <c r="D561" s="4" t="inlineStr">
        <is>
          <t>Shared Experience</t>
        </is>
      </c>
      <c r="E561" s="4" t="inlineStr">
        <is>
          <t>Wedding</t>
        </is>
      </c>
      <c r="F561" s="4" t="inlineStr">
        <is>
          <t>Photography</t>
        </is>
      </c>
      <c r="G561" s="4" t="inlineStr">
        <is>
          <t>Expense</t>
        </is>
      </c>
      <c r="H561" s="12" t="n">
        <v>45973</v>
      </c>
      <c r="I561" s="13" t="n">
        <v>0.2943518518518519</v>
      </c>
      <c r="J561" s="14" t="n">
        <v>45973.29435185185</v>
      </c>
      <c r="K561" s="15" t="n">
        <v>10303.38</v>
      </c>
      <c r="L561" s="4" t="inlineStr">
        <is>
          <t>INR</t>
        </is>
      </c>
      <c r="M561" s="15" t="n">
        <v>-10303.38</v>
      </c>
      <c r="N561" s="4" t="inlineStr">
        <is>
          <t>IOS Owner</t>
        </is>
      </c>
      <c r="O561" s="4" t="n">
        <v>3</v>
      </c>
      <c r="P561" s="4" t="inlineStr">
        <is>
          <t>EXACT</t>
        </is>
      </c>
      <c r="Q561" s="4" t="inlineStr">
        <is>
          <t>MAESTRO-IOS-GROUP-WEDDING-0560 | Photography | 10303.38</t>
        </is>
      </c>
      <c r="R561" s="4" t="inlineStr">
        <is>
          <t>iPhone</t>
        </is>
      </c>
      <c r="S561" s="4" t="inlineStr">
        <is>
          <t>B12</t>
        </is>
      </c>
      <c r="T561" s="4" t="inlineStr">
        <is>
          <t>RAMP_501_1500</t>
        </is>
      </c>
      <c r="U561" s="4" t="inlineStr">
        <is>
          <t>CREATED</t>
        </is>
      </c>
      <c r="V561" s="4" t="inlineStr">
        <is>
          <t>idem-20260902-ios-0560</t>
        </is>
      </c>
    </row>
    <row r="562" ht="30" customHeight="1">
      <c r="A562" s="4" t="n">
        <v>561</v>
      </c>
      <c r="B562" s="4" t="inlineStr">
        <is>
          <t>MTR-IOS-0561</t>
        </is>
      </c>
      <c r="C562" s="4" t="inlineStr">
        <is>
          <t>Business</t>
        </is>
      </c>
      <c r="D562" s="4" t="inlineStr">
        <is>
          <t>Business</t>
        </is>
      </c>
      <c r="E562" s="4" t="inlineStr">
        <is>
          <t>Business Operations</t>
        </is>
      </c>
      <c r="F562" s="4" t="inlineStr">
        <is>
          <t>Equipment</t>
        </is>
      </c>
      <c r="G562" s="4" t="inlineStr">
        <is>
          <t>Expense</t>
        </is>
      </c>
      <c r="H562" s="12" t="n">
        <v>46046</v>
      </c>
      <c r="I562" s="13" t="n">
        <v>0.3791435185185185</v>
      </c>
      <c r="J562" s="14" t="n">
        <v>46046.37914351852</v>
      </c>
      <c r="K562" s="15" t="n">
        <v>76900.42999999999</v>
      </c>
      <c r="L562" s="4" t="inlineStr">
        <is>
          <t>INR</t>
        </is>
      </c>
      <c r="M562" s="15" t="n">
        <v>-76900.42999999999</v>
      </c>
      <c r="N562" s="4" t="inlineStr">
        <is>
          <t>IOS Owner</t>
        </is>
      </c>
      <c r="O562" s="4" t="n"/>
      <c r="P562" s="4" t="n"/>
      <c r="Q562" s="4" t="inlineStr">
        <is>
          <t>MAESTRO-IOS-BUSINESS-BUSINESS_OPERATIONS-0561 | Equipment | 76900.43</t>
        </is>
      </c>
      <c r="R562" s="4" t="inlineStr">
        <is>
          <t>iPhone</t>
        </is>
      </c>
      <c r="S562" s="4" t="inlineStr">
        <is>
          <t>B12</t>
        </is>
      </c>
      <c r="T562" s="4" t="inlineStr">
        <is>
          <t>RAMP_501_1500</t>
        </is>
      </c>
      <c r="U562" s="4" t="inlineStr">
        <is>
          <t>CREATED</t>
        </is>
      </c>
      <c r="V562" s="4" t="inlineStr">
        <is>
          <t>idem-20260902-ios-0561</t>
        </is>
      </c>
    </row>
    <row r="563" ht="30" customHeight="1">
      <c r="A563" s="4" t="n">
        <v>562</v>
      </c>
      <c r="B563" s="4" t="inlineStr">
        <is>
          <t>MTR-IOS-0562</t>
        </is>
      </c>
      <c r="C563" s="4" t="inlineStr">
        <is>
          <t>Personal</t>
        </is>
      </c>
      <c r="D563" s="4" t="inlineStr">
        <is>
          <t>Personal</t>
        </is>
      </c>
      <c r="E563" s="4" t="inlineStr">
        <is>
          <t>Life Operations</t>
        </is>
      </c>
      <c r="F563" s="4" t="inlineStr">
        <is>
          <t>Transport</t>
        </is>
      </c>
      <c r="G563" s="4" t="inlineStr">
        <is>
          <t>Expense</t>
        </is>
      </c>
      <c r="H563" s="12" t="n">
        <v>46076</v>
      </c>
      <c r="I563" s="13" t="n">
        <v>0.1958333333333333</v>
      </c>
      <c r="J563" s="14" t="n">
        <v>46076.19583333333</v>
      </c>
      <c r="K563" s="15" t="n">
        <v>13366.37</v>
      </c>
      <c r="L563" s="4" t="inlineStr">
        <is>
          <t>INR</t>
        </is>
      </c>
      <c r="M563" s="15" t="n">
        <v>-13366.37</v>
      </c>
      <c r="N563" s="4" t="inlineStr">
        <is>
          <t>IOS Owner</t>
        </is>
      </c>
      <c r="O563" s="4" t="n"/>
      <c r="P563" s="4" t="n"/>
      <c r="Q563" s="4" t="inlineStr">
        <is>
          <t>MAESTRO-IOS-PERSONAL-LIFE_OPERATIONS-0562 | Transport | 13366.37</t>
        </is>
      </c>
      <c r="R563" s="4" t="inlineStr">
        <is>
          <t>iPhone</t>
        </is>
      </c>
      <c r="S563" s="4" t="inlineStr">
        <is>
          <t>B12</t>
        </is>
      </c>
      <c r="T563" s="4" t="inlineStr">
        <is>
          <t>RAMP_501_1500</t>
        </is>
      </c>
      <c r="U563" s="4" t="inlineStr">
        <is>
          <t>CREATED</t>
        </is>
      </c>
      <c r="V563" s="4" t="inlineStr">
        <is>
          <t>idem-20260902-ios-0562</t>
        </is>
      </c>
    </row>
    <row r="564" ht="30" customHeight="1">
      <c r="A564" s="4" t="n">
        <v>563</v>
      </c>
      <c r="B564" s="4" t="inlineStr">
        <is>
          <t>MTR-IOS-0563</t>
        </is>
      </c>
      <c r="C564" s="4" t="inlineStr">
        <is>
          <t>Group</t>
        </is>
      </c>
      <c r="D564" s="4" t="inlineStr">
        <is>
          <t>Shared Experience</t>
        </is>
      </c>
      <c r="E564" s="4" t="inlineStr">
        <is>
          <t>Wedding</t>
        </is>
      </c>
      <c r="F564" s="4" t="inlineStr">
        <is>
          <t>Other</t>
        </is>
      </c>
      <c r="G564" s="4" t="inlineStr">
        <is>
          <t>Expense</t>
        </is>
      </c>
      <c r="H564" s="12" t="n">
        <v>45907</v>
      </c>
      <c r="I564" s="13" t="n">
        <v>0.5134722222222222</v>
      </c>
      <c r="J564" s="14" t="n">
        <v>45907.51347222222</v>
      </c>
      <c r="K564" s="15" t="n">
        <v>18746.66</v>
      </c>
      <c r="L564" s="4" t="inlineStr">
        <is>
          <t>INR</t>
        </is>
      </c>
      <c r="M564" s="15" t="n">
        <v>-18746.66</v>
      </c>
      <c r="N564" s="4" t="inlineStr">
        <is>
          <t>IOS Aarav</t>
        </is>
      </c>
      <c r="O564" s="4" t="n">
        <v>3</v>
      </c>
      <c r="P564" s="4" t="inlineStr">
        <is>
          <t>SHARES</t>
        </is>
      </c>
      <c r="Q564" s="4" t="inlineStr">
        <is>
          <t>MAESTRO-IOS-GROUP-WEDDING-0563 | Other | 18746.66</t>
        </is>
      </c>
      <c r="R564" s="4" t="inlineStr">
        <is>
          <t>iPhone</t>
        </is>
      </c>
      <c r="S564" s="4" t="inlineStr">
        <is>
          <t>B12</t>
        </is>
      </c>
      <c r="T564" s="4" t="inlineStr">
        <is>
          <t>RAMP_501_1500</t>
        </is>
      </c>
      <c r="U564" s="4" t="inlineStr">
        <is>
          <t>CREATED</t>
        </is>
      </c>
      <c r="V564" s="4" t="inlineStr">
        <is>
          <t>idem-20260902-ios-0563</t>
        </is>
      </c>
    </row>
    <row r="565" ht="30" customHeight="1">
      <c r="A565" s="4" t="n">
        <v>564</v>
      </c>
      <c r="B565" s="4" t="inlineStr">
        <is>
          <t>MTR-IOS-0564</t>
        </is>
      </c>
      <c r="C565" s="4" t="inlineStr">
        <is>
          <t>Business</t>
        </is>
      </c>
      <c r="D565" s="4" t="inlineStr">
        <is>
          <t>Business</t>
        </is>
      </c>
      <c r="E565" s="4" t="inlineStr">
        <is>
          <t>Business Operations</t>
        </is>
      </c>
      <c r="F565" s="4" t="inlineStr">
        <is>
          <t>Vendor</t>
        </is>
      </c>
      <c r="G565" s="4" t="inlineStr">
        <is>
          <t>Expense</t>
        </is>
      </c>
      <c r="H565" s="12" t="n">
        <v>46212</v>
      </c>
      <c r="I565" s="13" t="n">
        <v>0.8405671296296297</v>
      </c>
      <c r="J565" s="14" t="n">
        <v>46212.84056712963</v>
      </c>
      <c r="K565" s="15" t="n">
        <v>5157.89</v>
      </c>
      <c r="L565" s="4" t="inlineStr">
        <is>
          <t>INR</t>
        </is>
      </c>
      <c r="M565" s="15" t="n">
        <v>-5157.89</v>
      </c>
      <c r="N565" s="4" t="inlineStr">
        <is>
          <t>IOS Owner</t>
        </is>
      </c>
      <c r="O565" s="4" t="n"/>
      <c r="P565" s="4" t="n"/>
      <c r="Q565" s="4" t="inlineStr">
        <is>
          <t>MAESTRO-IOS-BUSINESS-BUSINESS_OPERATIONS-0564 | Vendor | 5157.89</t>
        </is>
      </c>
      <c r="R565" s="4" t="inlineStr">
        <is>
          <t>iPhone</t>
        </is>
      </c>
      <c r="S565" s="4" t="inlineStr">
        <is>
          <t>B12</t>
        </is>
      </c>
      <c r="T565" s="4" t="inlineStr">
        <is>
          <t>RAMP_501_1500</t>
        </is>
      </c>
      <c r="U565" s="4" t="inlineStr">
        <is>
          <t>CREATED</t>
        </is>
      </c>
      <c r="V565" s="4" t="inlineStr">
        <is>
          <t>idem-20260902-ios-0564</t>
        </is>
      </c>
    </row>
    <row r="566" ht="30" customHeight="1">
      <c r="A566" s="4" t="n">
        <v>565</v>
      </c>
      <c r="B566" s="4" t="inlineStr">
        <is>
          <t>MTR-IOS-0565</t>
        </is>
      </c>
      <c r="C566" s="4" t="inlineStr">
        <is>
          <t>Personal</t>
        </is>
      </c>
      <c r="D566" s="4" t="inlineStr">
        <is>
          <t>Personal</t>
        </is>
      </c>
      <c r="E566" s="4" t="inlineStr">
        <is>
          <t>Life Operations</t>
        </is>
      </c>
      <c r="F566" s="4" t="inlineStr">
        <is>
          <t>Healthcare</t>
        </is>
      </c>
      <c r="G566" s="4" t="inlineStr">
        <is>
          <t>Expense</t>
        </is>
      </c>
      <c r="H566" s="12" t="n">
        <v>46100</v>
      </c>
      <c r="I566" s="13" t="n">
        <v>0.3146296296296296</v>
      </c>
      <c r="J566" s="14" t="n">
        <v>46100.31462962963</v>
      </c>
      <c r="K566" s="15" t="n">
        <v>15676.53</v>
      </c>
      <c r="L566" s="4" t="inlineStr">
        <is>
          <t>INR</t>
        </is>
      </c>
      <c r="M566" s="15" t="n">
        <v>-15676.53</v>
      </c>
      <c r="N566" s="4" t="inlineStr">
        <is>
          <t>IOS Owner</t>
        </is>
      </c>
      <c r="O566" s="4" t="n"/>
      <c r="P566" s="4" t="n"/>
      <c r="Q566" s="4" t="inlineStr">
        <is>
          <t>MAESTRO-IOS-PERSONAL-LIFE_OPERATIONS-0565 | Healthcare | 15676.53</t>
        </is>
      </c>
      <c r="R566" s="4" t="inlineStr">
        <is>
          <t>iPhone</t>
        </is>
      </c>
      <c r="S566" s="4" t="inlineStr">
        <is>
          <t>B12</t>
        </is>
      </c>
      <c r="T566" s="4" t="inlineStr">
        <is>
          <t>RAMP_501_1500</t>
        </is>
      </c>
      <c r="U566" s="4" t="inlineStr">
        <is>
          <t>CREATED</t>
        </is>
      </c>
      <c r="V566" s="4" t="inlineStr">
        <is>
          <t>idem-20260902-ios-0565</t>
        </is>
      </c>
    </row>
    <row r="567" ht="30" customHeight="1">
      <c r="A567" s="4" t="n">
        <v>566</v>
      </c>
      <c r="B567" s="4" t="inlineStr">
        <is>
          <t>MTR-IOS-0566</t>
        </is>
      </c>
      <c r="C567" s="4" t="inlineStr">
        <is>
          <t>Group</t>
        </is>
      </c>
      <c r="D567" s="4" t="inlineStr">
        <is>
          <t>Shared Experience</t>
        </is>
      </c>
      <c r="E567" s="4" t="inlineStr">
        <is>
          <t>Office Outing</t>
        </is>
      </c>
      <c r="F567" s="4" t="inlineStr">
        <is>
          <t>Food</t>
        </is>
      </c>
      <c r="G567" s="4" t="inlineStr">
        <is>
          <t>Expense</t>
        </is>
      </c>
      <c r="H567" s="12" t="n">
        <v>46104</v>
      </c>
      <c r="I567" s="13" t="n">
        <v>0.3827083333333333</v>
      </c>
      <c r="J567" s="14" t="n">
        <v>46104.38270833333</v>
      </c>
      <c r="K567" s="15" t="n">
        <v>20585.49</v>
      </c>
      <c r="L567" s="4" t="inlineStr">
        <is>
          <t>INR</t>
        </is>
      </c>
      <c r="M567" s="15" t="n">
        <v>-20585.49</v>
      </c>
      <c r="N567" s="4" t="inlineStr">
        <is>
          <t>IOS Meera</t>
        </is>
      </c>
      <c r="O567" s="4" t="n">
        <v>3</v>
      </c>
      <c r="P567" s="4" t="inlineStr">
        <is>
          <t>EQUAL</t>
        </is>
      </c>
      <c r="Q567" s="4" t="inlineStr">
        <is>
          <t>MAESTRO-IOS-GROUP-OFFICE_OUTING-0566 | Food | 20585.49</t>
        </is>
      </c>
      <c r="R567" s="4" t="inlineStr">
        <is>
          <t>iPhone</t>
        </is>
      </c>
      <c r="S567" s="4" t="inlineStr">
        <is>
          <t>B12</t>
        </is>
      </c>
      <c r="T567" s="4" t="inlineStr">
        <is>
          <t>RAMP_501_1500</t>
        </is>
      </c>
      <c r="U567" s="4" t="inlineStr">
        <is>
          <t>CREATED</t>
        </is>
      </c>
      <c r="V567" s="4" t="inlineStr">
        <is>
          <t>idem-20260902-ios-0566</t>
        </is>
      </c>
    </row>
    <row r="568" ht="30" customHeight="1">
      <c r="A568" s="4" t="n">
        <v>567</v>
      </c>
      <c r="B568" s="4" t="inlineStr">
        <is>
          <t>MTR-IOS-0567</t>
        </is>
      </c>
      <c r="C568" s="4" t="inlineStr">
        <is>
          <t>Business</t>
        </is>
      </c>
      <c r="D568" s="4" t="inlineStr">
        <is>
          <t>Business</t>
        </is>
      </c>
      <c r="E568" s="4" t="inlineStr">
        <is>
          <t>Business Operations</t>
        </is>
      </c>
      <c r="F568" s="4" t="inlineStr">
        <is>
          <t>Tax</t>
        </is>
      </c>
      <c r="G568" s="4" t="inlineStr">
        <is>
          <t>Expense</t>
        </is>
      </c>
      <c r="H568" s="12" t="n">
        <v>45917</v>
      </c>
      <c r="I568" s="13" t="n">
        <v>0.8123611111111111</v>
      </c>
      <c r="J568" s="14" t="n">
        <v>45917.81236111111</v>
      </c>
      <c r="K568" s="15" t="n">
        <v>51587.42</v>
      </c>
      <c r="L568" s="4" t="inlineStr">
        <is>
          <t>INR</t>
        </is>
      </c>
      <c r="M568" s="15" t="n">
        <v>-51587.42</v>
      </c>
      <c r="N568" s="4" t="inlineStr">
        <is>
          <t>IOS Owner</t>
        </is>
      </c>
      <c r="O568" s="4" t="n"/>
      <c r="P568" s="4" t="n"/>
      <c r="Q568" s="4" t="inlineStr">
        <is>
          <t>MAESTRO-IOS-BUSINESS-BUSINESS_OPERATIONS-0567 | Tax | 51587.42</t>
        </is>
      </c>
      <c r="R568" s="4" t="inlineStr">
        <is>
          <t>iPhone</t>
        </is>
      </c>
      <c r="S568" s="4" t="inlineStr">
        <is>
          <t>B12</t>
        </is>
      </c>
      <c r="T568" s="4" t="inlineStr">
        <is>
          <t>RAMP_501_1500</t>
        </is>
      </c>
      <c r="U568" s="4" t="inlineStr">
        <is>
          <t>CREATED</t>
        </is>
      </c>
      <c r="V568" s="4" t="inlineStr">
        <is>
          <t>idem-20260902-ios-0567</t>
        </is>
      </c>
    </row>
    <row r="569" ht="30" customHeight="1">
      <c r="A569" s="4" t="n">
        <v>568</v>
      </c>
      <c r="B569" s="4" t="inlineStr">
        <is>
          <t>MTR-IOS-0568</t>
        </is>
      </c>
      <c r="C569" s="4" t="inlineStr">
        <is>
          <t>Personal</t>
        </is>
      </c>
      <c r="D569" s="4" t="inlineStr">
        <is>
          <t>Personal</t>
        </is>
      </c>
      <c r="E569" s="4" t="inlineStr">
        <is>
          <t>Life Operations</t>
        </is>
      </c>
      <c r="F569" s="4" t="inlineStr">
        <is>
          <t>Subscriptions</t>
        </is>
      </c>
      <c r="G569" s="4" t="inlineStr">
        <is>
          <t>Expense</t>
        </is>
      </c>
      <c r="H569" s="12" t="n">
        <v>46049</v>
      </c>
      <c r="I569" s="13" t="n">
        <v>0.68</v>
      </c>
      <c r="J569" s="14" t="n">
        <v>46049.68</v>
      </c>
      <c r="K569" s="15" t="n">
        <v>198.23</v>
      </c>
      <c r="L569" s="4" t="inlineStr">
        <is>
          <t>INR</t>
        </is>
      </c>
      <c r="M569" s="15" t="n">
        <v>-198.23</v>
      </c>
      <c r="N569" s="4" t="inlineStr">
        <is>
          <t>IOS Owner</t>
        </is>
      </c>
      <c r="O569" s="4" t="n"/>
      <c r="P569" s="4" t="n"/>
      <c r="Q569" s="4" t="inlineStr">
        <is>
          <t>MAESTRO-IOS-PERSONAL-LIFE_OPERATIONS-0568 | Subscriptions | 198.23</t>
        </is>
      </c>
      <c r="R569" s="4" t="inlineStr">
        <is>
          <t>iPhone</t>
        </is>
      </c>
      <c r="S569" s="4" t="inlineStr">
        <is>
          <t>B12</t>
        </is>
      </c>
      <c r="T569" s="4" t="inlineStr">
        <is>
          <t>RAMP_501_1500</t>
        </is>
      </c>
      <c r="U569" s="4" t="inlineStr">
        <is>
          <t>CREATED</t>
        </is>
      </c>
      <c r="V569" s="4" t="inlineStr">
        <is>
          <t>idem-20260902-ios-0568</t>
        </is>
      </c>
    </row>
    <row r="570" ht="30" customHeight="1">
      <c r="A570" s="4" t="n">
        <v>569</v>
      </c>
      <c r="B570" s="4" t="inlineStr">
        <is>
          <t>MTR-IOS-0569</t>
        </is>
      </c>
      <c r="C570" s="4" t="inlineStr">
        <is>
          <t>Group</t>
        </is>
      </c>
      <c r="D570" s="4" t="inlineStr">
        <is>
          <t>Shared Experience</t>
        </is>
      </c>
      <c r="E570" s="4" t="inlineStr">
        <is>
          <t>Office Outing</t>
        </is>
      </c>
      <c r="F570" s="4" t="inlineStr">
        <is>
          <t>Travel</t>
        </is>
      </c>
      <c r="G570" s="4" t="inlineStr">
        <is>
          <t>Expense</t>
        </is>
      </c>
      <c r="H570" s="12" t="n">
        <v>46094</v>
      </c>
      <c r="I570" s="13" t="n">
        <v>0.2772685185185185</v>
      </c>
      <c r="J570" s="14" t="n">
        <v>46094.27726851852</v>
      </c>
      <c r="K570" s="15" t="n">
        <v>19065.06</v>
      </c>
      <c r="L570" s="4" t="inlineStr">
        <is>
          <t>INR</t>
        </is>
      </c>
      <c r="M570" s="15" t="n">
        <v>-19065.06</v>
      </c>
      <c r="N570" s="4" t="inlineStr">
        <is>
          <t>IOS Owner</t>
        </is>
      </c>
      <c r="O570" s="4" t="n">
        <v>3</v>
      </c>
      <c r="P570" s="4" t="inlineStr">
        <is>
          <t>PERCENTAGE</t>
        </is>
      </c>
      <c r="Q570" s="4" t="inlineStr">
        <is>
          <t>MAESTRO-IOS-GROUP-OFFICE_OUTING-0569 | Travel | 19065.06</t>
        </is>
      </c>
      <c r="R570" s="4" t="inlineStr">
        <is>
          <t>iPhone</t>
        </is>
      </c>
      <c r="S570" s="4" t="inlineStr">
        <is>
          <t>B12</t>
        </is>
      </c>
      <c r="T570" s="4" t="inlineStr">
        <is>
          <t>RAMP_501_1500</t>
        </is>
      </c>
      <c r="U570" s="4" t="inlineStr">
        <is>
          <t>CREATED</t>
        </is>
      </c>
      <c r="V570" s="4" t="inlineStr">
        <is>
          <t>idem-20260902-ios-0569</t>
        </is>
      </c>
    </row>
    <row r="571" ht="30" customHeight="1">
      <c r="A571" s="4" t="n">
        <v>570</v>
      </c>
      <c r="B571" s="4" t="inlineStr">
        <is>
          <t>MTR-IOS-0570</t>
        </is>
      </c>
      <c r="C571" s="4" t="inlineStr">
        <is>
          <t>Business</t>
        </is>
      </c>
      <c r="D571" s="4" t="inlineStr">
        <is>
          <t>Business</t>
        </is>
      </c>
      <c r="E571" s="4" t="inlineStr">
        <is>
          <t>Team Operations</t>
        </is>
      </c>
      <c r="F571" s="4" t="inlineStr">
        <is>
          <t>Payroll</t>
        </is>
      </c>
      <c r="G571" s="4" t="inlineStr">
        <is>
          <t>Expense</t>
        </is>
      </c>
      <c r="H571" s="12" t="n">
        <v>46261</v>
      </c>
      <c r="I571" s="13" t="n">
        <v>0.7642361111111111</v>
      </c>
      <c r="J571" s="14" t="n">
        <v>46261.76423611111</v>
      </c>
      <c r="K571" s="15" t="n">
        <v>84539.02</v>
      </c>
      <c r="L571" s="4" t="inlineStr">
        <is>
          <t>INR</t>
        </is>
      </c>
      <c r="M571" s="15" t="n">
        <v>-84539.02</v>
      </c>
      <c r="N571" s="4" t="inlineStr">
        <is>
          <t>IOS Owner</t>
        </is>
      </c>
      <c r="O571" s="4" t="n"/>
      <c r="P571" s="4" t="n"/>
      <c r="Q571" s="4" t="inlineStr">
        <is>
          <t>MAESTRO-IOS-BUSINESS-TEAM_OPERATIONS-0570 | Payroll | 84539.02</t>
        </is>
      </c>
      <c r="R571" s="4" t="inlineStr">
        <is>
          <t>iPhone</t>
        </is>
      </c>
      <c r="S571" s="4" t="inlineStr">
        <is>
          <t>B12</t>
        </is>
      </c>
      <c r="T571" s="4" t="inlineStr">
        <is>
          <t>RAMP_501_1500</t>
        </is>
      </c>
      <c r="U571" s="4" t="inlineStr">
        <is>
          <t>CREATED</t>
        </is>
      </c>
      <c r="V571" s="4" t="inlineStr">
        <is>
          <t>idem-20260902-ios-0570</t>
        </is>
      </c>
    </row>
    <row r="572" ht="30" customHeight="1">
      <c r="A572" s="4" t="n">
        <v>571</v>
      </c>
      <c r="B572" s="4" t="inlineStr">
        <is>
          <t>MTR-IOS-0571</t>
        </is>
      </c>
      <c r="C572" s="4" t="inlineStr">
        <is>
          <t>Personal</t>
        </is>
      </c>
      <c r="D572" s="4" t="inlineStr">
        <is>
          <t>Personal</t>
        </is>
      </c>
      <c r="E572" s="4" t="inlineStr">
        <is>
          <t>Life Operations</t>
        </is>
      </c>
      <c r="F572" s="4" t="inlineStr">
        <is>
          <t>Repairs</t>
        </is>
      </c>
      <c r="G572" s="4" t="inlineStr">
        <is>
          <t>Expense</t>
        </is>
      </c>
      <c r="H572" s="12" t="n">
        <v>46210</v>
      </c>
      <c r="I572" s="13" t="n">
        <v>0.6127314814814815</v>
      </c>
      <c r="J572" s="14" t="n">
        <v>46210.61273148148</v>
      </c>
      <c r="K572" s="15" t="n">
        <v>3685.26</v>
      </c>
      <c r="L572" s="4" t="inlineStr">
        <is>
          <t>INR</t>
        </is>
      </c>
      <c r="M572" s="15" t="n">
        <v>-3685.26</v>
      </c>
      <c r="N572" s="4" t="inlineStr">
        <is>
          <t>IOS Owner</t>
        </is>
      </c>
      <c r="O572" s="4" t="n"/>
      <c r="P572" s="4" t="n"/>
      <c r="Q572" s="4" t="inlineStr">
        <is>
          <t>MAESTRO-IOS-PERSONAL-LIFE_OPERATIONS-0571 | Repairs | 3685.26</t>
        </is>
      </c>
      <c r="R572" s="4" t="inlineStr">
        <is>
          <t>iPhone</t>
        </is>
      </c>
      <c r="S572" s="4" t="inlineStr">
        <is>
          <t>B12</t>
        </is>
      </c>
      <c r="T572" s="4" t="inlineStr">
        <is>
          <t>RAMP_501_1500</t>
        </is>
      </c>
      <c r="U572" s="4" t="inlineStr">
        <is>
          <t>CREATED</t>
        </is>
      </c>
      <c r="V572" s="4" t="inlineStr">
        <is>
          <t>idem-20260902-ios-0571</t>
        </is>
      </c>
    </row>
    <row r="573" ht="30" customHeight="1">
      <c r="A573" s="4" t="n">
        <v>572</v>
      </c>
      <c r="B573" s="4" t="inlineStr">
        <is>
          <t>MTR-IOS-0572</t>
        </is>
      </c>
      <c r="C573" s="4" t="inlineStr">
        <is>
          <t>Group</t>
        </is>
      </c>
      <c r="D573" s="4" t="inlineStr">
        <is>
          <t>Shared Experience</t>
        </is>
      </c>
      <c r="E573" s="4" t="inlineStr">
        <is>
          <t>Office Outing</t>
        </is>
      </c>
      <c r="F573" s="4" t="inlineStr">
        <is>
          <t>Activities</t>
        </is>
      </c>
      <c r="G573" s="4" t="inlineStr">
        <is>
          <t>Expense</t>
        </is>
      </c>
      <c r="H573" s="12" t="n">
        <v>46003</v>
      </c>
      <c r="I573" s="13" t="n">
        <v>0.1534259259259259</v>
      </c>
      <c r="J573" s="14" t="n">
        <v>46003.15342592593</v>
      </c>
      <c r="K573" s="15" t="n">
        <v>9827.799999999999</v>
      </c>
      <c r="L573" s="4" t="inlineStr">
        <is>
          <t>INR</t>
        </is>
      </c>
      <c r="M573" s="15" t="n">
        <v>-9827.799999999999</v>
      </c>
      <c r="N573" s="4" t="inlineStr">
        <is>
          <t>IOS Aarav</t>
        </is>
      </c>
      <c r="O573" s="4" t="n">
        <v>3</v>
      </c>
      <c r="P573" s="4" t="inlineStr">
        <is>
          <t>EXACT</t>
        </is>
      </c>
      <c r="Q573" s="4" t="inlineStr">
        <is>
          <t>MAESTRO-IOS-GROUP-OFFICE_OUTING-0572 | Activities | 9827.80</t>
        </is>
      </c>
      <c r="R573" s="4" t="inlineStr">
        <is>
          <t>iPhone</t>
        </is>
      </c>
      <c r="S573" s="4" t="inlineStr">
        <is>
          <t>B12</t>
        </is>
      </c>
      <c r="T573" s="4" t="inlineStr">
        <is>
          <t>RAMP_501_1500</t>
        </is>
      </c>
      <c r="U573" s="4" t="inlineStr">
        <is>
          <t>CREATED</t>
        </is>
      </c>
      <c r="V573" s="4" t="inlineStr">
        <is>
          <t>idem-20260902-ios-0572</t>
        </is>
      </c>
    </row>
    <row r="574" ht="30" customHeight="1">
      <c r="A574" s="4" t="n">
        <v>573</v>
      </c>
      <c r="B574" s="4" t="inlineStr">
        <is>
          <t>MTR-IOS-0573</t>
        </is>
      </c>
      <c r="C574" s="4" t="inlineStr">
        <is>
          <t>Business</t>
        </is>
      </c>
      <c r="D574" s="4" t="inlineStr">
        <is>
          <t>Business</t>
        </is>
      </c>
      <c r="E574" s="4" t="inlineStr">
        <is>
          <t>Team Operations</t>
        </is>
      </c>
      <c r="F574" s="4" t="inlineStr">
        <is>
          <t>Contractor</t>
        </is>
      </c>
      <c r="G574" s="4" t="inlineStr">
        <is>
          <t>Expense</t>
        </is>
      </c>
      <c r="H574" s="12" t="n">
        <v>46069</v>
      </c>
      <c r="I574" s="13" t="n">
        <v>0.235775462962963</v>
      </c>
      <c r="J574" s="14" t="n">
        <v>46069.23577546296</v>
      </c>
      <c r="K574" s="15" t="n">
        <v>152796.41</v>
      </c>
      <c r="L574" s="4" t="inlineStr">
        <is>
          <t>INR</t>
        </is>
      </c>
      <c r="M574" s="15" t="n">
        <v>-152796.41</v>
      </c>
      <c r="N574" s="4" t="inlineStr">
        <is>
          <t>IOS Owner</t>
        </is>
      </c>
      <c r="O574" s="4" t="n"/>
      <c r="P574" s="4" t="n"/>
      <c r="Q574" s="4" t="inlineStr">
        <is>
          <t>MAESTRO-IOS-BUSINESS-TEAM_OPERATIONS-0573 | Contractor | 152796.41</t>
        </is>
      </c>
      <c r="R574" s="4" t="inlineStr">
        <is>
          <t>iPhone</t>
        </is>
      </c>
      <c r="S574" s="4" t="inlineStr">
        <is>
          <t>B12</t>
        </is>
      </c>
      <c r="T574" s="4" t="inlineStr">
        <is>
          <t>RAMP_501_1500</t>
        </is>
      </c>
      <c r="U574" s="4" t="inlineStr">
        <is>
          <t>CREATED</t>
        </is>
      </c>
      <c r="V574" s="4" t="inlineStr">
        <is>
          <t>idem-20260902-ios-0573</t>
        </is>
      </c>
    </row>
    <row r="575" ht="30" customHeight="1">
      <c r="A575" s="4" t="n">
        <v>574</v>
      </c>
      <c r="B575" s="4" t="inlineStr">
        <is>
          <t>MTR-IOS-0574</t>
        </is>
      </c>
      <c r="C575" s="4" t="inlineStr">
        <is>
          <t>Personal</t>
        </is>
      </c>
      <c r="D575" s="4" t="inlineStr">
        <is>
          <t>Personal</t>
        </is>
      </c>
      <c r="E575" s="4" t="inlineStr">
        <is>
          <t>Future Building</t>
        </is>
      </c>
      <c r="F575" s="4" t="inlineStr">
        <is>
          <t>Savings</t>
        </is>
      </c>
      <c r="G575" s="4" t="inlineStr">
        <is>
          <t>Transfer</t>
        </is>
      </c>
      <c r="H575" s="12" t="n">
        <v>46065</v>
      </c>
      <c r="I575" s="13" t="n">
        <v>0.5916087962962963</v>
      </c>
      <c r="J575" s="14" t="n">
        <v>46065.5916087963</v>
      </c>
      <c r="K575" s="15" t="n">
        <v>7463.81</v>
      </c>
      <c r="L575" s="4" t="inlineStr">
        <is>
          <t>INR</t>
        </is>
      </c>
      <c r="M575" s="15" t="n">
        <v>0</v>
      </c>
      <c r="N575" s="4" t="inlineStr">
        <is>
          <t>IOS Owner</t>
        </is>
      </c>
      <c r="O575" s="4" t="n"/>
      <c r="P575" s="4" t="n"/>
      <c r="Q575" s="4" t="inlineStr">
        <is>
          <t>MAESTRO-IOS-PERSONAL-FUTURE_BUILDING-0574 | Savings | 7463.81</t>
        </is>
      </c>
      <c r="R575" s="4" t="inlineStr">
        <is>
          <t>iPhone</t>
        </is>
      </c>
      <c r="S575" s="4" t="inlineStr">
        <is>
          <t>B12</t>
        </is>
      </c>
      <c r="T575" s="4" t="inlineStr">
        <is>
          <t>RAMP_501_1500</t>
        </is>
      </c>
      <c r="U575" s="4" t="inlineStr">
        <is>
          <t>CREATED</t>
        </is>
      </c>
      <c r="V575" s="4" t="inlineStr">
        <is>
          <t>idem-20260902-ios-0574</t>
        </is>
      </c>
    </row>
    <row r="576" ht="30" customHeight="1">
      <c r="A576" s="4" t="n">
        <v>575</v>
      </c>
      <c r="B576" s="4" t="inlineStr">
        <is>
          <t>MTR-IOS-0575</t>
        </is>
      </c>
      <c r="C576" s="4" t="inlineStr">
        <is>
          <t>Group</t>
        </is>
      </c>
      <c r="D576" s="4" t="inlineStr">
        <is>
          <t>Shared Experience</t>
        </is>
      </c>
      <c r="E576" s="4" t="inlineStr">
        <is>
          <t>Office Outing</t>
        </is>
      </c>
      <c r="F576" s="4" t="inlineStr">
        <is>
          <t>Venue</t>
        </is>
      </c>
      <c r="G576" s="4" t="inlineStr">
        <is>
          <t>Expense</t>
        </is>
      </c>
      <c r="H576" s="12" t="n">
        <v>46229</v>
      </c>
      <c r="I576" s="13" t="n">
        <v>0.4755671296296296</v>
      </c>
      <c r="J576" s="14" t="n">
        <v>46229.47556712963</v>
      </c>
      <c r="K576" s="15" t="n">
        <v>84.77</v>
      </c>
      <c r="L576" s="4" t="inlineStr">
        <is>
          <t>INR</t>
        </is>
      </c>
      <c r="M576" s="15" t="n">
        <v>-84.77</v>
      </c>
      <c r="N576" s="4" t="inlineStr">
        <is>
          <t>IOS Meera</t>
        </is>
      </c>
      <c r="O576" s="4" t="n">
        <v>3</v>
      </c>
      <c r="P576" s="4" t="inlineStr">
        <is>
          <t>SHARES</t>
        </is>
      </c>
      <c r="Q576" s="4" t="inlineStr">
        <is>
          <t>MAESTRO-IOS-GROUP-OFFICE_OUTING-0575 | Venue | 84.77</t>
        </is>
      </c>
      <c r="R576" s="4" t="inlineStr">
        <is>
          <t>iPhone</t>
        </is>
      </c>
      <c r="S576" s="4" t="inlineStr">
        <is>
          <t>B12</t>
        </is>
      </c>
      <c r="T576" s="4" t="inlineStr">
        <is>
          <t>RAMP_501_1500</t>
        </is>
      </c>
      <c r="U576" s="4" t="inlineStr">
        <is>
          <t>CREATED</t>
        </is>
      </c>
      <c r="V576" s="4" t="inlineStr">
        <is>
          <t>idem-20260902-ios-0575</t>
        </is>
      </c>
    </row>
    <row r="577" ht="30" customHeight="1">
      <c r="A577" s="4" t="n">
        <v>576</v>
      </c>
      <c r="B577" s="4" t="inlineStr">
        <is>
          <t>MTR-IOS-0576</t>
        </is>
      </c>
      <c r="C577" s="4" t="inlineStr">
        <is>
          <t>Business</t>
        </is>
      </c>
      <c r="D577" s="4" t="inlineStr">
        <is>
          <t>Business</t>
        </is>
      </c>
      <c r="E577" s="4" t="inlineStr">
        <is>
          <t>Team Operations</t>
        </is>
      </c>
      <c r="F577" s="4" t="inlineStr">
        <is>
          <t>Hiring</t>
        </is>
      </c>
      <c r="G577" s="4" t="inlineStr">
        <is>
          <t>Expense</t>
        </is>
      </c>
      <c r="H577" s="12" t="n">
        <v>46007</v>
      </c>
      <c r="I577" s="13" t="n">
        <v>0.1925462962962963</v>
      </c>
      <c r="J577" s="14" t="n">
        <v>46007.1925462963</v>
      </c>
      <c r="K577" s="15" t="n">
        <v>150848.4</v>
      </c>
      <c r="L577" s="4" t="inlineStr">
        <is>
          <t>INR</t>
        </is>
      </c>
      <c r="M577" s="15" t="n">
        <v>-150848.4</v>
      </c>
      <c r="N577" s="4" t="inlineStr">
        <is>
          <t>IOS Owner</t>
        </is>
      </c>
      <c r="O577" s="4" t="n"/>
      <c r="P577" s="4" t="n"/>
      <c r="Q577" s="4" t="inlineStr">
        <is>
          <t>MAESTRO-IOS-BUSINESS-TEAM_OPERATIONS-0576 | Hiring | 150848.40</t>
        </is>
      </c>
      <c r="R577" s="4" t="inlineStr">
        <is>
          <t>iPhone</t>
        </is>
      </c>
      <c r="S577" s="4" t="inlineStr">
        <is>
          <t>B12</t>
        </is>
      </c>
      <c r="T577" s="4" t="inlineStr">
        <is>
          <t>RAMP_501_1500</t>
        </is>
      </c>
      <c r="U577" s="4" t="inlineStr">
        <is>
          <t>CREATED</t>
        </is>
      </c>
      <c r="V577" s="4" t="inlineStr">
        <is>
          <t>idem-20260902-ios-0576</t>
        </is>
      </c>
    </row>
    <row r="578" ht="30" customHeight="1">
      <c r="A578" s="4" t="n">
        <v>577</v>
      </c>
      <c r="B578" s="4" t="inlineStr">
        <is>
          <t>MTR-IOS-0577</t>
        </is>
      </c>
      <c r="C578" s="4" t="inlineStr">
        <is>
          <t>Personal</t>
        </is>
      </c>
      <c r="D578" s="4" t="inlineStr">
        <is>
          <t>Personal</t>
        </is>
      </c>
      <c r="E578" s="4" t="inlineStr">
        <is>
          <t>Future Building</t>
        </is>
      </c>
      <c r="F578" s="4" t="inlineStr">
        <is>
          <t>Emergency Fund</t>
        </is>
      </c>
      <c r="G578" s="4" t="inlineStr">
        <is>
          <t>Transfer</t>
        </is>
      </c>
      <c r="H578" s="12" t="n">
        <v>45994</v>
      </c>
      <c r="I578" s="13" t="n">
        <v>0.6709606481481482</v>
      </c>
      <c r="J578" s="14" t="n">
        <v>45994.67096064815</v>
      </c>
      <c r="K578" s="15" t="n">
        <v>4027.98</v>
      </c>
      <c r="L578" s="4" t="inlineStr">
        <is>
          <t>INR</t>
        </is>
      </c>
      <c r="M578" s="15" t="n">
        <v>0</v>
      </c>
      <c r="N578" s="4" t="inlineStr">
        <is>
          <t>IOS Owner</t>
        </is>
      </c>
      <c r="O578" s="4" t="n"/>
      <c r="P578" s="4" t="n"/>
      <c r="Q578" s="4" t="inlineStr">
        <is>
          <t>MAESTRO-IOS-PERSONAL-FUTURE_BUILDING-0577 | Emergency Fund | 4027.98</t>
        </is>
      </c>
      <c r="R578" s="4" t="inlineStr">
        <is>
          <t>iPhone</t>
        </is>
      </c>
      <c r="S578" s="4" t="inlineStr">
        <is>
          <t>B12</t>
        </is>
      </c>
      <c r="T578" s="4" t="inlineStr">
        <is>
          <t>RAMP_501_1500</t>
        </is>
      </c>
      <c r="U578" s="4" t="inlineStr">
        <is>
          <t>CREATED</t>
        </is>
      </c>
      <c r="V578" s="4" t="inlineStr">
        <is>
          <t>idem-20260902-ios-0577</t>
        </is>
      </c>
    </row>
    <row r="579" ht="30" customHeight="1">
      <c r="A579" s="4" t="n">
        <v>578</v>
      </c>
      <c r="B579" s="4" t="inlineStr">
        <is>
          <t>MTR-IOS-0578</t>
        </is>
      </c>
      <c r="C579" s="4" t="inlineStr">
        <is>
          <t>Group</t>
        </is>
      </c>
      <c r="D579" s="4" t="inlineStr">
        <is>
          <t>Shared Experience</t>
        </is>
      </c>
      <c r="E579" s="4" t="inlineStr">
        <is>
          <t>Office Outing</t>
        </is>
      </c>
      <c r="F579" s="4" t="inlineStr">
        <is>
          <t>Other</t>
        </is>
      </c>
      <c r="G579" s="4" t="inlineStr">
        <is>
          <t>Expense</t>
        </is>
      </c>
      <c r="H579" s="12" t="n">
        <v>45953</v>
      </c>
      <c r="I579" s="13" t="n">
        <v>0.8406481481481481</v>
      </c>
      <c r="J579" s="14" t="n">
        <v>45953.84064814815</v>
      </c>
      <c r="K579" s="15" t="n">
        <v>419.29</v>
      </c>
      <c r="L579" s="4" t="inlineStr">
        <is>
          <t>INR</t>
        </is>
      </c>
      <c r="M579" s="15" t="n">
        <v>-419.29</v>
      </c>
      <c r="N579" s="4" t="inlineStr">
        <is>
          <t>IOS Owner</t>
        </is>
      </c>
      <c r="O579" s="4" t="n">
        <v>3</v>
      </c>
      <c r="P579" s="4" t="inlineStr">
        <is>
          <t>EQUAL</t>
        </is>
      </c>
      <c r="Q579" s="4" t="inlineStr">
        <is>
          <t>MAESTRO-IOS-GROUP-OFFICE_OUTING-0578 | Other | 419.29</t>
        </is>
      </c>
      <c r="R579" s="4" t="inlineStr">
        <is>
          <t>iPhone</t>
        </is>
      </c>
      <c r="S579" s="4" t="inlineStr">
        <is>
          <t>B12</t>
        </is>
      </c>
      <c r="T579" s="4" t="inlineStr">
        <is>
          <t>RAMP_501_1500</t>
        </is>
      </c>
      <c r="U579" s="4" t="inlineStr">
        <is>
          <t>CREATED</t>
        </is>
      </c>
      <c r="V579" s="4" t="inlineStr">
        <is>
          <t>idem-20260902-ios-0578</t>
        </is>
      </c>
    </row>
    <row r="580" ht="30" customHeight="1">
      <c r="A580" s="4" t="n">
        <v>579</v>
      </c>
      <c r="B580" s="4" t="inlineStr">
        <is>
          <t>MTR-IOS-0579</t>
        </is>
      </c>
      <c r="C580" s="4" t="inlineStr">
        <is>
          <t>Business</t>
        </is>
      </c>
      <c r="D580" s="4" t="inlineStr">
        <is>
          <t>Business</t>
        </is>
      </c>
      <c r="E580" s="4" t="inlineStr">
        <is>
          <t>Team Operations</t>
        </is>
      </c>
      <c r="F580" s="4" t="inlineStr">
        <is>
          <t>Team Meal</t>
        </is>
      </c>
      <c r="G580" s="4" t="inlineStr">
        <is>
          <t>Expense</t>
        </is>
      </c>
      <c r="H580" s="12" t="n">
        <v>46196</v>
      </c>
      <c r="I580" s="13" t="n">
        <v>0.8355671296296296</v>
      </c>
      <c r="J580" s="14" t="n">
        <v>46196.83556712963</v>
      </c>
      <c r="K580" s="15" t="n">
        <v>45744.78</v>
      </c>
      <c r="L580" s="4" t="inlineStr">
        <is>
          <t>INR</t>
        </is>
      </c>
      <c r="M580" s="15" t="n">
        <v>-45744.78</v>
      </c>
      <c r="N580" s="4" t="inlineStr">
        <is>
          <t>IOS Owner</t>
        </is>
      </c>
      <c r="O580" s="4" t="n"/>
      <c r="P580" s="4" t="n"/>
      <c r="Q580" s="4" t="inlineStr">
        <is>
          <t>MAESTRO-IOS-BUSINESS-TEAM_OPERATIONS-0579 | Team Meal | 45744.78</t>
        </is>
      </c>
      <c r="R580" s="4" t="inlineStr">
        <is>
          <t>iPhone</t>
        </is>
      </c>
      <c r="S580" s="4" t="inlineStr">
        <is>
          <t>B12</t>
        </is>
      </c>
      <c r="T580" s="4" t="inlineStr">
        <is>
          <t>RAMP_501_1500</t>
        </is>
      </c>
      <c r="U580" s="4" t="inlineStr">
        <is>
          <t>CREATED</t>
        </is>
      </c>
      <c r="V580" s="4" t="inlineStr">
        <is>
          <t>idem-20260902-ios-0579</t>
        </is>
      </c>
    </row>
    <row r="581" ht="30" customHeight="1">
      <c r="A581" s="4" t="n">
        <v>580</v>
      </c>
      <c r="B581" s="4" t="inlineStr">
        <is>
          <t>MTR-IOS-0580</t>
        </is>
      </c>
      <c r="C581" s="4" t="inlineStr">
        <is>
          <t>Personal</t>
        </is>
      </c>
      <c r="D581" s="4" t="inlineStr">
        <is>
          <t>Personal</t>
        </is>
      </c>
      <c r="E581" s="4" t="inlineStr">
        <is>
          <t>Future Building</t>
        </is>
      </c>
      <c r="F581" s="4" t="inlineStr">
        <is>
          <t>Investments</t>
        </is>
      </c>
      <c r="G581" s="4" t="inlineStr">
        <is>
          <t>Investment</t>
        </is>
      </c>
      <c r="H581" s="12" t="n">
        <v>45919</v>
      </c>
      <c r="I581" s="13" t="n">
        <v>0.1582523148148148</v>
      </c>
      <c r="J581" s="14" t="n">
        <v>45919.15825231482</v>
      </c>
      <c r="K581" s="15" t="n">
        <v>12676.47</v>
      </c>
      <c r="L581" s="4" t="inlineStr">
        <is>
          <t>INR</t>
        </is>
      </c>
      <c r="M581" s="15" t="n">
        <v>0</v>
      </c>
      <c r="N581" s="4" t="inlineStr">
        <is>
          <t>IOS Owner</t>
        </is>
      </c>
      <c r="O581" s="4" t="n"/>
      <c r="P581" s="4" t="n"/>
      <c r="Q581" s="4" t="inlineStr">
        <is>
          <t>MAESTRO-IOS-PERSONAL-FUTURE_BUILDING-0580 | Investments | 12676.47</t>
        </is>
      </c>
      <c r="R581" s="4" t="inlineStr">
        <is>
          <t>iPhone</t>
        </is>
      </c>
      <c r="S581" s="4" t="inlineStr">
        <is>
          <t>B12</t>
        </is>
      </c>
      <c r="T581" s="4" t="inlineStr">
        <is>
          <t>RAMP_501_1500</t>
        </is>
      </c>
      <c r="U581" s="4" t="inlineStr">
        <is>
          <t>CREATED</t>
        </is>
      </c>
      <c r="V581" s="4" t="inlineStr">
        <is>
          <t>idem-20260902-ios-0580</t>
        </is>
      </c>
    </row>
    <row r="582" ht="30" customHeight="1">
      <c r="A582" s="4" t="n">
        <v>581</v>
      </c>
      <c r="B582" s="4" t="inlineStr">
        <is>
          <t>MTR-IOS-0581</t>
        </is>
      </c>
      <c r="C582" s="4" t="inlineStr">
        <is>
          <t>Group</t>
        </is>
      </c>
      <c r="D582" s="4" t="inlineStr">
        <is>
          <t>Shared Experience</t>
        </is>
      </c>
      <c r="E582" s="4" t="inlineStr">
        <is>
          <t>House Party</t>
        </is>
      </c>
      <c r="F582" s="4" t="inlineStr">
        <is>
          <t>Food</t>
        </is>
      </c>
      <c r="G582" s="4" t="inlineStr">
        <is>
          <t>Expense</t>
        </is>
      </c>
      <c r="H582" s="12" t="n">
        <v>46059</v>
      </c>
      <c r="I582" s="13" t="n">
        <v>0.6458564814814814</v>
      </c>
      <c r="J582" s="14" t="n">
        <v>46059.64585648148</v>
      </c>
      <c r="K582" s="15" t="n">
        <v>2033.2</v>
      </c>
      <c r="L582" s="4" t="inlineStr">
        <is>
          <t>INR</t>
        </is>
      </c>
      <c r="M582" s="15" t="n">
        <v>-2033.2</v>
      </c>
      <c r="N582" s="4" t="inlineStr">
        <is>
          <t>IOS Aarav</t>
        </is>
      </c>
      <c r="O582" s="4" t="n">
        <v>3</v>
      </c>
      <c r="P582" s="4" t="inlineStr">
        <is>
          <t>PERCENTAGE</t>
        </is>
      </c>
      <c r="Q582" s="4" t="inlineStr">
        <is>
          <t>MAESTRO-IOS-GROUP-HOUSE_PARTY-0581 | Food | 2033.20</t>
        </is>
      </c>
      <c r="R582" s="4" t="inlineStr">
        <is>
          <t>iPhone</t>
        </is>
      </c>
      <c r="S582" s="4" t="inlineStr">
        <is>
          <t>B12</t>
        </is>
      </c>
      <c r="T582" s="4" t="inlineStr">
        <is>
          <t>RAMP_501_1500</t>
        </is>
      </c>
      <c r="U582" s="4" t="inlineStr">
        <is>
          <t>CREATED</t>
        </is>
      </c>
      <c r="V582" s="4" t="inlineStr">
        <is>
          <t>idem-20260902-ios-0581</t>
        </is>
      </c>
    </row>
    <row r="583" ht="30" customHeight="1">
      <c r="A583" s="4" t="n">
        <v>582</v>
      </c>
      <c r="B583" s="4" t="inlineStr">
        <is>
          <t>MTR-IOS-0582</t>
        </is>
      </c>
      <c r="C583" s="4" t="inlineStr">
        <is>
          <t>Business</t>
        </is>
      </c>
      <c r="D583" s="4" t="inlineStr">
        <is>
          <t>Business</t>
        </is>
      </c>
      <c r="E583" s="4" t="inlineStr">
        <is>
          <t>Team Operations</t>
        </is>
      </c>
      <c r="F583" s="4" t="inlineStr">
        <is>
          <t>Travel</t>
        </is>
      </c>
      <c r="G583" s="4" t="inlineStr">
        <is>
          <t>Expense</t>
        </is>
      </c>
      <c r="H583" s="12" t="n">
        <v>46213</v>
      </c>
      <c r="I583" s="13" t="n">
        <v>0.4012847222222222</v>
      </c>
      <c r="J583" s="14" t="n">
        <v>46213.40128472223</v>
      </c>
      <c r="K583" s="15" t="n">
        <v>58970.47</v>
      </c>
      <c r="L583" s="4" t="inlineStr">
        <is>
          <t>INR</t>
        </is>
      </c>
      <c r="M583" s="15" t="n">
        <v>-58970.47</v>
      </c>
      <c r="N583" s="4" t="inlineStr">
        <is>
          <t>IOS Owner</t>
        </is>
      </c>
      <c r="O583" s="4" t="n"/>
      <c r="P583" s="4" t="n"/>
      <c r="Q583" s="4" t="inlineStr">
        <is>
          <t>MAESTRO-IOS-BUSINESS-TEAM_OPERATIONS-0582 | Travel | 58970.47</t>
        </is>
      </c>
      <c r="R583" s="4" t="inlineStr">
        <is>
          <t>iPhone</t>
        </is>
      </c>
      <c r="S583" s="4" t="inlineStr">
        <is>
          <t>B12</t>
        </is>
      </c>
      <c r="T583" s="4" t="inlineStr">
        <is>
          <t>RAMP_501_1500</t>
        </is>
      </c>
      <c r="U583" s="4" t="inlineStr">
        <is>
          <t>CREATED</t>
        </is>
      </c>
      <c r="V583" s="4" t="inlineStr">
        <is>
          <t>idem-20260902-ios-0582</t>
        </is>
      </c>
    </row>
    <row r="584" ht="30" customHeight="1">
      <c r="A584" s="4" t="n">
        <v>583</v>
      </c>
      <c r="B584" s="4" t="inlineStr">
        <is>
          <t>MTR-IOS-0583</t>
        </is>
      </c>
      <c r="C584" s="4" t="inlineStr">
        <is>
          <t>Personal</t>
        </is>
      </c>
      <c r="D584" s="4" t="inlineStr">
        <is>
          <t>Personal</t>
        </is>
      </c>
      <c r="E584" s="4" t="inlineStr">
        <is>
          <t>Future Building</t>
        </is>
      </c>
      <c r="F584" s="4" t="inlineStr">
        <is>
          <t>Education</t>
        </is>
      </c>
      <c r="G584" s="4" t="inlineStr">
        <is>
          <t>Expense</t>
        </is>
      </c>
      <c r="H584" s="12" t="n">
        <v>46001</v>
      </c>
      <c r="I584" s="13" t="n">
        <v>0.32875</v>
      </c>
      <c r="J584" s="14" t="n">
        <v>46001.32875</v>
      </c>
      <c r="K584" s="15" t="n">
        <v>8299</v>
      </c>
      <c r="L584" s="4" t="inlineStr">
        <is>
          <t>INR</t>
        </is>
      </c>
      <c r="M584" s="15" t="n">
        <v>-8299</v>
      </c>
      <c r="N584" s="4" t="inlineStr">
        <is>
          <t>IOS Owner</t>
        </is>
      </c>
      <c r="O584" s="4" t="n"/>
      <c r="P584" s="4" t="n"/>
      <c r="Q584" s="4" t="inlineStr">
        <is>
          <t>MAESTRO-IOS-PERSONAL-FUTURE_BUILDING-0583 | Education | 8299.00</t>
        </is>
      </c>
      <c r="R584" s="4" t="inlineStr">
        <is>
          <t>iPhone</t>
        </is>
      </c>
      <c r="S584" s="4" t="inlineStr">
        <is>
          <t>B12</t>
        </is>
      </c>
      <c r="T584" s="4" t="inlineStr">
        <is>
          <t>RAMP_501_1500</t>
        </is>
      </c>
      <c r="U584" s="4" t="inlineStr">
        <is>
          <t>CREATED</t>
        </is>
      </c>
      <c r="V584" s="4" t="inlineStr">
        <is>
          <t>idem-20260902-ios-0583</t>
        </is>
      </c>
    </row>
    <row r="585" ht="30" customHeight="1">
      <c r="A585" s="4" t="n">
        <v>584</v>
      </c>
      <c r="B585" s="4" t="inlineStr">
        <is>
          <t>MTR-IOS-0584</t>
        </is>
      </c>
      <c r="C585" s="4" t="inlineStr">
        <is>
          <t>Group</t>
        </is>
      </c>
      <c r="D585" s="4" t="inlineStr">
        <is>
          <t>Shared Experience</t>
        </is>
      </c>
      <c r="E585" s="4" t="inlineStr">
        <is>
          <t>House Party</t>
        </is>
      </c>
      <c r="F585" s="4" t="inlineStr">
        <is>
          <t>Drinks</t>
        </is>
      </c>
      <c r="G585" s="4" t="inlineStr">
        <is>
          <t>Expense</t>
        </is>
      </c>
      <c r="H585" s="12" t="n">
        <v>46113</v>
      </c>
      <c r="I585" s="13" t="n">
        <v>0.01645833333333333</v>
      </c>
      <c r="J585" s="14" t="n">
        <v>46113.01645833333</v>
      </c>
      <c r="K585" s="15" t="n">
        <v>11477.96</v>
      </c>
      <c r="L585" s="4" t="inlineStr">
        <is>
          <t>INR</t>
        </is>
      </c>
      <c r="M585" s="15" t="n">
        <v>-11477.96</v>
      </c>
      <c r="N585" s="4" t="inlineStr">
        <is>
          <t>IOS Meera</t>
        </is>
      </c>
      <c r="O585" s="4" t="n">
        <v>3</v>
      </c>
      <c r="P585" s="4" t="inlineStr">
        <is>
          <t>EXACT</t>
        </is>
      </c>
      <c r="Q585" s="4" t="inlineStr">
        <is>
          <t>MAESTRO-IOS-GROUP-HOUSE_PARTY-0584 | Drinks | 11477.96</t>
        </is>
      </c>
      <c r="R585" s="4" t="inlineStr">
        <is>
          <t>iPhone</t>
        </is>
      </c>
      <c r="S585" s="4" t="inlineStr">
        <is>
          <t>B12</t>
        </is>
      </c>
      <c r="T585" s="4" t="inlineStr">
        <is>
          <t>RAMP_501_1500</t>
        </is>
      </c>
      <c r="U585" s="4" t="inlineStr">
        <is>
          <t>CREATED</t>
        </is>
      </c>
      <c r="V585" s="4" t="inlineStr">
        <is>
          <t>idem-20260902-ios-0584</t>
        </is>
      </c>
    </row>
    <row r="586" ht="30" customHeight="1">
      <c r="A586" s="4" t="n">
        <v>585</v>
      </c>
      <c r="B586" s="4" t="inlineStr">
        <is>
          <t>MTR-IOS-0585</t>
        </is>
      </c>
      <c r="C586" s="4" t="inlineStr">
        <is>
          <t>Business</t>
        </is>
      </c>
      <c r="D586" s="4" t="inlineStr">
        <is>
          <t>Business</t>
        </is>
      </c>
      <c r="E586" s="4" t="inlineStr">
        <is>
          <t>Team Operations</t>
        </is>
      </c>
      <c r="F586" s="4" t="inlineStr">
        <is>
          <t>Training</t>
        </is>
      </c>
      <c r="G586" s="4" t="inlineStr">
        <is>
          <t>Expense</t>
        </is>
      </c>
      <c r="H586" s="12" t="n">
        <v>45931</v>
      </c>
      <c r="I586" s="13" t="n">
        <v>0.897962962962963</v>
      </c>
      <c r="J586" s="14" t="n">
        <v>45931.89796296296</v>
      </c>
      <c r="K586" s="15" t="n">
        <v>132351.26</v>
      </c>
      <c r="L586" s="4" t="inlineStr">
        <is>
          <t>INR</t>
        </is>
      </c>
      <c r="M586" s="15" t="n">
        <v>-132351.26</v>
      </c>
      <c r="N586" s="4" t="inlineStr">
        <is>
          <t>IOS Owner</t>
        </is>
      </c>
      <c r="O586" s="4" t="n"/>
      <c r="P586" s="4" t="n"/>
      <c r="Q586" s="4" t="inlineStr">
        <is>
          <t>MAESTRO-IOS-BUSINESS-TEAM_OPERATIONS-0585 | Training | 132351.26</t>
        </is>
      </c>
      <c r="R586" s="4" t="inlineStr">
        <is>
          <t>iPhone</t>
        </is>
      </c>
      <c r="S586" s="4" t="inlineStr">
        <is>
          <t>B12</t>
        </is>
      </c>
      <c r="T586" s="4" t="inlineStr">
        <is>
          <t>RAMP_501_1500</t>
        </is>
      </c>
      <c r="U586" s="4" t="inlineStr">
        <is>
          <t>CREATED</t>
        </is>
      </c>
      <c r="V586" s="4" t="inlineStr">
        <is>
          <t>idem-20260902-ios-0585</t>
        </is>
      </c>
    </row>
    <row r="587" ht="30" customHeight="1">
      <c r="A587" s="4" t="n">
        <v>586</v>
      </c>
      <c r="B587" s="4" t="inlineStr">
        <is>
          <t>MTR-IOS-0586</t>
        </is>
      </c>
      <c r="C587" s="4" t="inlineStr">
        <is>
          <t>Personal</t>
        </is>
      </c>
      <c r="D587" s="4" t="inlineStr">
        <is>
          <t>Personal</t>
        </is>
      </c>
      <c r="E587" s="4" t="inlineStr">
        <is>
          <t>Future Building</t>
        </is>
      </c>
      <c r="F587" s="4" t="inlineStr">
        <is>
          <t>Goal Contribution</t>
        </is>
      </c>
      <c r="G587" s="4" t="inlineStr">
        <is>
          <t>Transfer</t>
        </is>
      </c>
      <c r="H587" s="12" t="n">
        <v>46265</v>
      </c>
      <c r="I587" s="13" t="n">
        <v>0.2242708333333333</v>
      </c>
      <c r="J587" s="14" t="n">
        <v>46265.22427083334</v>
      </c>
      <c r="K587" s="15" t="n">
        <v>7479.81</v>
      </c>
      <c r="L587" s="4" t="inlineStr">
        <is>
          <t>INR</t>
        </is>
      </c>
      <c r="M587" s="15" t="n">
        <v>0</v>
      </c>
      <c r="N587" s="4" t="inlineStr">
        <is>
          <t>IOS Owner</t>
        </is>
      </c>
      <c r="O587" s="4" t="n"/>
      <c r="P587" s="4" t="n"/>
      <c r="Q587" s="4" t="inlineStr">
        <is>
          <t>MAESTRO-IOS-PERSONAL-FUTURE_BUILDING-0586 | Goal Contribution | 7479.81</t>
        </is>
      </c>
      <c r="R587" s="4" t="inlineStr">
        <is>
          <t>iPhone</t>
        </is>
      </c>
      <c r="S587" s="4" t="inlineStr">
        <is>
          <t>B12</t>
        </is>
      </c>
      <c r="T587" s="4" t="inlineStr">
        <is>
          <t>RAMP_501_1500</t>
        </is>
      </c>
      <c r="U587" s="4" t="inlineStr">
        <is>
          <t>CREATED</t>
        </is>
      </c>
      <c r="V587" s="4" t="inlineStr">
        <is>
          <t>idem-20260902-ios-0586</t>
        </is>
      </c>
    </row>
    <row r="588" ht="30" customHeight="1">
      <c r="A588" s="4" t="n">
        <v>587</v>
      </c>
      <c r="B588" s="4" t="inlineStr">
        <is>
          <t>MTR-IOS-0587</t>
        </is>
      </c>
      <c r="C588" s="4" t="inlineStr">
        <is>
          <t>Group</t>
        </is>
      </c>
      <c r="D588" s="4" t="inlineStr">
        <is>
          <t>Shared Experience</t>
        </is>
      </c>
      <c r="E588" s="4" t="inlineStr">
        <is>
          <t>House Party</t>
        </is>
      </c>
      <c r="F588" s="4" t="inlineStr">
        <is>
          <t>Decor</t>
        </is>
      </c>
      <c r="G588" s="4" t="inlineStr">
        <is>
          <t>Expense</t>
        </is>
      </c>
      <c r="H588" s="12" t="n">
        <v>46015</v>
      </c>
      <c r="I588" s="13" t="n">
        <v>0.1378125</v>
      </c>
      <c r="J588" s="14" t="n">
        <v>46015.1378125</v>
      </c>
      <c r="K588" s="15" t="n">
        <v>21960.55</v>
      </c>
      <c r="L588" s="4" t="inlineStr">
        <is>
          <t>INR</t>
        </is>
      </c>
      <c r="M588" s="15" t="n">
        <v>-21960.55</v>
      </c>
      <c r="N588" s="4" t="inlineStr">
        <is>
          <t>IOS Owner</t>
        </is>
      </c>
      <c r="O588" s="4" t="n">
        <v>3</v>
      </c>
      <c r="P588" s="4" t="inlineStr">
        <is>
          <t>SHARES</t>
        </is>
      </c>
      <c r="Q588" s="4" t="inlineStr">
        <is>
          <t>MAESTRO-IOS-GROUP-HOUSE_PARTY-0587 | Decor | 21960.55</t>
        </is>
      </c>
      <c r="R588" s="4" t="inlineStr">
        <is>
          <t>iPhone</t>
        </is>
      </c>
      <c r="S588" s="4" t="inlineStr">
        <is>
          <t>B12</t>
        </is>
      </c>
      <c r="T588" s="4" t="inlineStr">
        <is>
          <t>RAMP_501_1500</t>
        </is>
      </c>
      <c r="U588" s="4" t="inlineStr">
        <is>
          <t>CREATED</t>
        </is>
      </c>
      <c r="V588" s="4" t="inlineStr">
        <is>
          <t>idem-20260902-ios-0587</t>
        </is>
      </c>
    </row>
    <row r="589" ht="30" customHeight="1">
      <c r="A589" s="4" t="n">
        <v>588</v>
      </c>
      <c r="B589" s="4" t="inlineStr">
        <is>
          <t>MTR-IOS-0588</t>
        </is>
      </c>
      <c r="C589" s="4" t="inlineStr">
        <is>
          <t>Business</t>
        </is>
      </c>
      <c r="D589" s="4" t="inlineStr">
        <is>
          <t>Business</t>
        </is>
      </c>
      <c r="E589" s="4" t="inlineStr">
        <is>
          <t>Team Operations</t>
        </is>
      </c>
      <c r="F589" s="4" t="inlineStr">
        <is>
          <t>Tools</t>
        </is>
      </c>
      <c r="G589" s="4" t="inlineStr">
        <is>
          <t>Expense</t>
        </is>
      </c>
      <c r="H589" s="12" t="n">
        <v>46183</v>
      </c>
      <c r="I589" s="13" t="n">
        <v>0.1512615740740741</v>
      </c>
      <c r="J589" s="14" t="n">
        <v>46183.15126157407</v>
      </c>
      <c r="K589" s="15" t="n">
        <v>145428.15</v>
      </c>
      <c r="L589" s="4" t="inlineStr">
        <is>
          <t>INR</t>
        </is>
      </c>
      <c r="M589" s="15" t="n">
        <v>-145428.15</v>
      </c>
      <c r="N589" s="4" t="inlineStr">
        <is>
          <t>IOS Owner</t>
        </is>
      </c>
      <c r="O589" s="4" t="n"/>
      <c r="P589" s="4" t="n"/>
      <c r="Q589" s="4" t="inlineStr">
        <is>
          <t>MAESTRO-IOS-BUSINESS-TEAM_OPERATIONS-0588 | Tools | 145428.15</t>
        </is>
      </c>
      <c r="R589" s="4" t="inlineStr">
        <is>
          <t>iPhone</t>
        </is>
      </c>
      <c r="S589" s="4" t="inlineStr">
        <is>
          <t>B12</t>
        </is>
      </c>
      <c r="T589" s="4" t="inlineStr">
        <is>
          <t>RAMP_501_1500</t>
        </is>
      </c>
      <c r="U589" s="4" t="inlineStr">
        <is>
          <t>CREATED</t>
        </is>
      </c>
      <c r="V589" s="4" t="inlineStr">
        <is>
          <t>idem-20260902-ios-0588</t>
        </is>
      </c>
    </row>
    <row r="590" ht="30" customHeight="1">
      <c r="A590" s="4" t="n">
        <v>589</v>
      </c>
      <c r="B590" s="4" t="inlineStr">
        <is>
          <t>MTR-IOS-0589</t>
        </is>
      </c>
      <c r="C590" s="4" t="inlineStr">
        <is>
          <t>Personal</t>
        </is>
      </c>
      <c r="D590" s="4" t="inlineStr">
        <is>
          <t>Personal</t>
        </is>
      </c>
      <c r="E590" s="4" t="inlineStr">
        <is>
          <t>Lifestyle</t>
        </is>
      </c>
      <c r="F590" s="4" t="inlineStr">
        <is>
          <t>Dining</t>
        </is>
      </c>
      <c r="G590" s="4" t="inlineStr">
        <is>
          <t>Expense</t>
        </is>
      </c>
      <c r="H590" s="12" t="n">
        <v>45945</v>
      </c>
      <c r="I590" s="13" t="n">
        <v>0.6549884259259259</v>
      </c>
      <c r="J590" s="14" t="n">
        <v>45945.65498842593</v>
      </c>
      <c r="K590" s="15" t="n">
        <v>16504.03</v>
      </c>
      <c r="L590" s="4" t="inlineStr">
        <is>
          <t>INR</t>
        </is>
      </c>
      <c r="M590" s="15" t="n">
        <v>-16504.03</v>
      </c>
      <c r="N590" s="4" t="inlineStr">
        <is>
          <t>IOS Owner</t>
        </is>
      </c>
      <c r="O590" s="4" t="n"/>
      <c r="P590" s="4" t="n"/>
      <c r="Q590" s="4" t="inlineStr">
        <is>
          <t>MAESTRO-IOS-PERSONAL-LIFESTYLE-0589 | Dining | 16504.03</t>
        </is>
      </c>
      <c r="R590" s="4" t="inlineStr">
        <is>
          <t>iPhone</t>
        </is>
      </c>
      <c r="S590" s="4" t="inlineStr">
        <is>
          <t>B12</t>
        </is>
      </c>
      <c r="T590" s="4" t="inlineStr">
        <is>
          <t>RAMP_501_1500</t>
        </is>
      </c>
      <c r="U590" s="4" t="inlineStr">
        <is>
          <t>CREATED</t>
        </is>
      </c>
      <c r="V590" s="4" t="inlineStr">
        <is>
          <t>idem-20260902-ios-0589</t>
        </is>
      </c>
    </row>
    <row r="591" ht="30" customHeight="1">
      <c r="A591" s="4" t="n">
        <v>590</v>
      </c>
      <c r="B591" s="4" t="inlineStr">
        <is>
          <t>MTR-IOS-0590</t>
        </is>
      </c>
      <c r="C591" s="4" t="inlineStr">
        <is>
          <t>Group</t>
        </is>
      </c>
      <c r="D591" s="4" t="inlineStr">
        <is>
          <t>Shared Experience</t>
        </is>
      </c>
      <c r="E591" s="4" t="inlineStr">
        <is>
          <t>House Party</t>
        </is>
      </c>
      <c r="F591" s="4" t="inlineStr">
        <is>
          <t>Supplies</t>
        </is>
      </c>
      <c r="G591" s="4" t="inlineStr">
        <is>
          <t>Expense</t>
        </is>
      </c>
      <c r="H591" s="12" t="n">
        <v>46000</v>
      </c>
      <c r="I591" s="13" t="n">
        <v>0.7660416666666666</v>
      </c>
      <c r="J591" s="14" t="n">
        <v>46000.76604166667</v>
      </c>
      <c r="K591" s="15" t="n">
        <v>6551.22</v>
      </c>
      <c r="L591" s="4" t="inlineStr">
        <is>
          <t>INR</t>
        </is>
      </c>
      <c r="M591" s="15" t="n">
        <v>-6551.22</v>
      </c>
      <c r="N591" s="4" t="inlineStr">
        <is>
          <t>IOS Aarav</t>
        </is>
      </c>
      <c r="O591" s="4" t="n">
        <v>3</v>
      </c>
      <c r="P591" s="4" t="inlineStr">
        <is>
          <t>EQUAL</t>
        </is>
      </c>
      <c r="Q591" s="4" t="inlineStr">
        <is>
          <t>MAESTRO-IOS-GROUP-HOUSE_PARTY-0590 | Supplies | 6551.22</t>
        </is>
      </c>
      <c r="R591" s="4" t="inlineStr">
        <is>
          <t>iPhone</t>
        </is>
      </c>
      <c r="S591" s="4" t="inlineStr">
        <is>
          <t>B12</t>
        </is>
      </c>
      <c r="T591" s="4" t="inlineStr">
        <is>
          <t>RAMP_501_1500</t>
        </is>
      </c>
      <c r="U591" s="4" t="inlineStr">
        <is>
          <t>CREATED</t>
        </is>
      </c>
      <c r="V591" s="4" t="inlineStr">
        <is>
          <t>idem-20260902-ios-0590</t>
        </is>
      </c>
    </row>
    <row r="592" ht="30" customHeight="1">
      <c r="A592" s="4" t="n">
        <v>591</v>
      </c>
      <c r="B592" s="4" t="inlineStr">
        <is>
          <t>MTR-IOS-0591</t>
        </is>
      </c>
      <c r="C592" s="4" t="inlineStr">
        <is>
          <t>Business</t>
        </is>
      </c>
      <c r="D592" s="4" t="inlineStr">
        <is>
          <t>Business</t>
        </is>
      </c>
      <c r="E592" s="4" t="inlineStr">
        <is>
          <t>Business Runway</t>
        </is>
      </c>
      <c r="F592" s="4" t="inlineStr">
        <is>
          <t>Funding</t>
        </is>
      </c>
      <c r="G592" s="4" t="inlineStr">
        <is>
          <t>Income</t>
        </is>
      </c>
      <c r="H592" s="12" t="n">
        <v>46171</v>
      </c>
      <c r="I592" s="13" t="n">
        <v>0.7578472222222222</v>
      </c>
      <c r="J592" s="14" t="n">
        <v>46171.75784722222</v>
      </c>
      <c r="K592" s="15" t="n">
        <v>126911.75</v>
      </c>
      <c r="L592" s="4" t="inlineStr">
        <is>
          <t>INR</t>
        </is>
      </c>
      <c r="M592" s="15" t="n">
        <v>126911.75</v>
      </c>
      <c r="N592" s="4" t="inlineStr">
        <is>
          <t>IOS Owner</t>
        </is>
      </c>
      <c r="O592" s="4" t="n"/>
      <c r="P592" s="4" t="n"/>
      <c r="Q592" s="4" t="inlineStr">
        <is>
          <t>MAESTRO-IOS-BUSINESS-BUSINESS_RUNWAY-0591 | Funding | 126911.75</t>
        </is>
      </c>
      <c r="R592" s="4" t="inlineStr">
        <is>
          <t>iPhone</t>
        </is>
      </c>
      <c r="S592" s="4" t="inlineStr">
        <is>
          <t>B12</t>
        </is>
      </c>
      <c r="T592" s="4" t="inlineStr">
        <is>
          <t>RAMP_501_1500</t>
        </is>
      </c>
      <c r="U592" s="4" t="inlineStr">
        <is>
          <t>CREATED</t>
        </is>
      </c>
      <c r="V592" s="4" t="inlineStr">
        <is>
          <t>idem-20260902-ios-0591</t>
        </is>
      </c>
    </row>
    <row r="593" ht="30" customHeight="1">
      <c r="A593" s="4" t="n">
        <v>592</v>
      </c>
      <c r="B593" s="4" t="inlineStr">
        <is>
          <t>MTR-IOS-0592</t>
        </is>
      </c>
      <c r="C593" s="4" t="inlineStr">
        <is>
          <t>Personal</t>
        </is>
      </c>
      <c r="D593" s="4" t="inlineStr">
        <is>
          <t>Personal</t>
        </is>
      </c>
      <c r="E593" s="4" t="inlineStr">
        <is>
          <t>Lifestyle</t>
        </is>
      </c>
      <c r="F593" s="4" t="inlineStr">
        <is>
          <t>Shopping</t>
        </is>
      </c>
      <c r="G593" s="4" t="inlineStr">
        <is>
          <t>Expense</t>
        </is>
      </c>
      <c r="H593" s="12" t="n">
        <v>46066</v>
      </c>
      <c r="I593" s="13" t="n">
        <v>0.6132523148148148</v>
      </c>
      <c r="J593" s="14" t="n">
        <v>46066.61325231481</v>
      </c>
      <c r="K593" s="15" t="n">
        <v>999.99</v>
      </c>
      <c r="L593" s="4" t="inlineStr">
        <is>
          <t>INR</t>
        </is>
      </c>
      <c r="M593" s="15" t="n">
        <v>-999.99</v>
      </c>
      <c r="N593" s="4" t="inlineStr">
        <is>
          <t>IOS Owner</t>
        </is>
      </c>
      <c r="O593" s="4" t="n"/>
      <c r="P593" s="4" t="n"/>
      <c r="Q593" s="4" t="inlineStr">
        <is>
          <t>MAESTRO-IOS-PERSONAL-LIFESTYLE-0592 | Shopping | 999.99</t>
        </is>
      </c>
      <c r="R593" s="4" t="inlineStr">
        <is>
          <t>iPhone</t>
        </is>
      </c>
      <c r="S593" s="4" t="inlineStr">
        <is>
          <t>B12</t>
        </is>
      </c>
      <c r="T593" s="4" t="inlineStr">
        <is>
          <t>RAMP_501_1500</t>
        </is>
      </c>
      <c r="U593" s="4" t="inlineStr">
        <is>
          <t>CREATED</t>
        </is>
      </c>
      <c r="V593" s="4" t="inlineStr">
        <is>
          <t>idem-20260902-ios-0592</t>
        </is>
      </c>
    </row>
    <row r="594" ht="30" customHeight="1">
      <c r="A594" s="4" t="n">
        <v>593</v>
      </c>
      <c r="B594" s="4" t="inlineStr">
        <is>
          <t>MTR-IOS-0593</t>
        </is>
      </c>
      <c r="C594" s="4" t="inlineStr">
        <is>
          <t>Group</t>
        </is>
      </c>
      <c r="D594" s="4" t="inlineStr">
        <is>
          <t>Shared Experience</t>
        </is>
      </c>
      <c r="E594" s="4" t="inlineStr">
        <is>
          <t>House Party</t>
        </is>
      </c>
      <c r="F594" s="4" t="inlineStr">
        <is>
          <t>Other</t>
        </is>
      </c>
      <c r="G594" s="4" t="inlineStr">
        <is>
          <t>Expense</t>
        </is>
      </c>
      <c r="H594" s="12" t="n">
        <v>46135</v>
      </c>
      <c r="I594" s="13" t="n">
        <v>0.001574074074074074</v>
      </c>
      <c r="J594" s="14" t="n">
        <v>46135.00157407407</v>
      </c>
      <c r="K594" s="15" t="n">
        <v>11102.48</v>
      </c>
      <c r="L594" s="4" t="inlineStr">
        <is>
          <t>INR</t>
        </is>
      </c>
      <c r="M594" s="15" t="n">
        <v>-11102.48</v>
      </c>
      <c r="N594" s="4" t="inlineStr">
        <is>
          <t>IOS Meera</t>
        </is>
      </c>
      <c r="O594" s="4" t="n">
        <v>3</v>
      </c>
      <c r="P594" s="4" t="inlineStr">
        <is>
          <t>PERCENTAGE</t>
        </is>
      </c>
      <c r="Q594" s="4" t="inlineStr">
        <is>
          <t>MAESTRO-IOS-GROUP-HOUSE_PARTY-0593 | Other | 11102.48</t>
        </is>
      </c>
      <c r="R594" s="4" t="inlineStr">
        <is>
          <t>iPhone</t>
        </is>
      </c>
      <c r="S594" s="4" t="inlineStr">
        <is>
          <t>B12</t>
        </is>
      </c>
      <c r="T594" s="4" t="inlineStr">
        <is>
          <t>RAMP_501_1500</t>
        </is>
      </c>
      <c r="U594" s="4" t="inlineStr">
        <is>
          <t>CREATED</t>
        </is>
      </c>
      <c r="V594" s="4" t="inlineStr">
        <is>
          <t>idem-20260902-ios-0593</t>
        </is>
      </c>
    </row>
    <row r="595" ht="30" customHeight="1">
      <c r="A595" s="4" t="n">
        <v>594</v>
      </c>
      <c r="B595" s="4" t="inlineStr">
        <is>
          <t>MTR-IOS-0594</t>
        </is>
      </c>
      <c r="C595" s="4" t="inlineStr">
        <is>
          <t>Business</t>
        </is>
      </c>
      <c r="D595" s="4" t="inlineStr">
        <is>
          <t>Business</t>
        </is>
      </c>
      <c r="E595" s="4" t="inlineStr">
        <is>
          <t>Business Runway</t>
        </is>
      </c>
      <c r="F595" s="4" t="inlineStr">
        <is>
          <t>Revenue</t>
        </is>
      </c>
      <c r="G595" s="4" t="inlineStr">
        <is>
          <t>Income</t>
        </is>
      </c>
      <c r="H595" s="12" t="n">
        <v>46106</v>
      </c>
      <c r="I595" s="13" t="n">
        <v>0.267037037037037</v>
      </c>
      <c r="J595" s="14" t="n">
        <v>46106.26703703704</v>
      </c>
      <c r="K595" s="15" t="n">
        <v>89244.50999999999</v>
      </c>
      <c r="L595" s="4" t="inlineStr">
        <is>
          <t>INR</t>
        </is>
      </c>
      <c r="M595" s="15" t="n">
        <v>89244.50999999999</v>
      </c>
      <c r="N595" s="4" t="inlineStr">
        <is>
          <t>IOS Owner</t>
        </is>
      </c>
      <c r="O595" s="4" t="n"/>
      <c r="P595" s="4" t="n"/>
      <c r="Q595" s="4" t="inlineStr">
        <is>
          <t>MAESTRO-IOS-BUSINESS-BUSINESS_RUNWAY-0594 | Revenue | 89244.51</t>
        </is>
      </c>
      <c r="R595" s="4" t="inlineStr">
        <is>
          <t>iPhone</t>
        </is>
      </c>
      <c r="S595" s="4" t="inlineStr">
        <is>
          <t>B12</t>
        </is>
      </c>
      <c r="T595" s="4" t="inlineStr">
        <is>
          <t>RAMP_501_1500</t>
        </is>
      </c>
      <c r="U595" s="4" t="inlineStr">
        <is>
          <t>CREATED</t>
        </is>
      </c>
      <c r="V595" s="4" t="inlineStr">
        <is>
          <t>idem-20260902-ios-0594</t>
        </is>
      </c>
    </row>
    <row r="596" ht="30" customHeight="1">
      <c r="A596" s="4" t="n">
        <v>595</v>
      </c>
      <c r="B596" s="4" t="inlineStr">
        <is>
          <t>MTR-IOS-0595</t>
        </is>
      </c>
      <c r="C596" s="4" t="inlineStr">
        <is>
          <t>Personal</t>
        </is>
      </c>
      <c r="D596" s="4" t="inlineStr">
        <is>
          <t>Personal</t>
        </is>
      </c>
      <c r="E596" s="4" t="inlineStr">
        <is>
          <t>Lifestyle</t>
        </is>
      </c>
      <c r="F596" s="4" t="inlineStr">
        <is>
          <t>Entertainment</t>
        </is>
      </c>
      <c r="G596" s="4" t="inlineStr">
        <is>
          <t>Expense</t>
        </is>
      </c>
      <c r="H596" s="12" t="n">
        <v>46092</v>
      </c>
      <c r="I596" s="13" t="n">
        <v>0.1828587962962963</v>
      </c>
      <c r="J596" s="14" t="n">
        <v>46092.1828587963</v>
      </c>
      <c r="K596" s="15" t="n">
        <v>17862.21</v>
      </c>
      <c r="L596" s="4" t="inlineStr">
        <is>
          <t>INR</t>
        </is>
      </c>
      <c r="M596" s="15" t="n">
        <v>-17862.21</v>
      </c>
      <c r="N596" s="4" t="inlineStr">
        <is>
          <t>IOS Owner</t>
        </is>
      </c>
      <c r="O596" s="4" t="n"/>
      <c r="P596" s="4" t="n"/>
      <c r="Q596" s="4" t="inlineStr">
        <is>
          <t>MAESTRO-IOS-PERSONAL-LIFESTYLE-0595 | Entertainment | 17862.21</t>
        </is>
      </c>
      <c r="R596" s="4" t="inlineStr">
        <is>
          <t>iPhone</t>
        </is>
      </c>
      <c r="S596" s="4" t="inlineStr">
        <is>
          <t>B12</t>
        </is>
      </c>
      <c r="T596" s="4" t="inlineStr">
        <is>
          <t>RAMP_501_1500</t>
        </is>
      </c>
      <c r="U596" s="4" t="inlineStr">
        <is>
          <t>CREATED</t>
        </is>
      </c>
      <c r="V596" s="4" t="inlineStr">
        <is>
          <t>idem-20260902-ios-0595</t>
        </is>
      </c>
    </row>
    <row r="597" ht="30" customHeight="1">
      <c r="A597" s="4" t="n">
        <v>596</v>
      </c>
      <c r="B597" s="4" t="inlineStr">
        <is>
          <t>MTR-IOS-0596</t>
        </is>
      </c>
      <c r="C597" s="4" t="inlineStr">
        <is>
          <t>Group</t>
        </is>
      </c>
      <c r="D597" s="4" t="inlineStr">
        <is>
          <t>Shared Purchase</t>
        </is>
      </c>
      <c r="E597" s="4" t="inlineStr">
        <is>
          <t>Gift Pool</t>
        </is>
      </c>
      <c r="F597" s="4" t="inlineStr">
        <is>
          <t>Contribution</t>
        </is>
      </c>
      <c r="G597" s="4" t="inlineStr">
        <is>
          <t>Contribution</t>
        </is>
      </c>
      <c r="H597" s="12" t="n">
        <v>45934</v>
      </c>
      <c r="I597" s="13" t="n">
        <v>0.5064236111111111</v>
      </c>
      <c r="J597" s="14" t="n">
        <v>45934.50642361111</v>
      </c>
      <c r="K597" s="15" t="n">
        <v>1096.86</v>
      </c>
      <c r="L597" s="4" t="inlineStr">
        <is>
          <t>INR</t>
        </is>
      </c>
      <c r="M597" s="15" t="n">
        <v>1096.86</v>
      </c>
      <c r="N597" s="4" t="inlineStr">
        <is>
          <t>IOS Owner</t>
        </is>
      </c>
      <c r="O597" s="4" t="n">
        <v>3</v>
      </c>
      <c r="P597" s="4" t="inlineStr">
        <is>
          <t>EXACT</t>
        </is>
      </c>
      <c r="Q597" s="4" t="inlineStr">
        <is>
          <t>MAESTRO-IOS-GROUP-GIFT_POOL-0596 | Contribution | 1096.86</t>
        </is>
      </c>
      <c r="R597" s="4" t="inlineStr">
        <is>
          <t>iPhone</t>
        </is>
      </c>
      <c r="S597" s="4" t="inlineStr">
        <is>
          <t>B12</t>
        </is>
      </c>
      <c r="T597" s="4" t="inlineStr">
        <is>
          <t>RAMP_501_1500</t>
        </is>
      </c>
      <c r="U597" s="4" t="inlineStr">
        <is>
          <t>CREATED</t>
        </is>
      </c>
      <c r="V597" s="4" t="inlineStr">
        <is>
          <t>idem-20260902-ios-0596</t>
        </is>
      </c>
    </row>
    <row r="598" ht="30" customHeight="1">
      <c r="A598" s="4" t="n">
        <v>597</v>
      </c>
      <c r="B598" s="4" t="inlineStr">
        <is>
          <t>MTR-IOS-0597</t>
        </is>
      </c>
      <c r="C598" s="4" t="inlineStr">
        <is>
          <t>Business</t>
        </is>
      </c>
      <c r="D598" s="4" t="inlineStr">
        <is>
          <t>Business</t>
        </is>
      </c>
      <c r="E598" s="4" t="inlineStr">
        <is>
          <t>Business Runway</t>
        </is>
      </c>
      <c r="F598" s="4" t="inlineStr">
        <is>
          <t>Burn</t>
        </is>
      </c>
      <c r="G598" s="4" t="inlineStr">
        <is>
          <t>Expense</t>
        </is>
      </c>
      <c r="H598" s="12" t="n">
        <v>46100</v>
      </c>
      <c r="I598" s="13" t="n">
        <v>0.2264583333333333</v>
      </c>
      <c r="J598" s="14" t="n">
        <v>46100.22645833333</v>
      </c>
      <c r="K598" s="15" t="n">
        <v>28203.59</v>
      </c>
      <c r="L598" s="4" t="inlineStr">
        <is>
          <t>INR</t>
        </is>
      </c>
      <c r="M598" s="15" t="n">
        <v>-28203.59</v>
      </c>
      <c r="N598" s="4" t="inlineStr">
        <is>
          <t>IOS Owner</t>
        </is>
      </c>
      <c r="O598" s="4" t="n"/>
      <c r="P598" s="4" t="n"/>
      <c r="Q598" s="4" t="inlineStr">
        <is>
          <t>MAESTRO-IOS-BUSINESS-BUSINESS_RUNWAY-0597 | Burn | 28203.59</t>
        </is>
      </c>
      <c r="R598" s="4" t="inlineStr">
        <is>
          <t>iPhone</t>
        </is>
      </c>
      <c r="S598" s="4" t="inlineStr">
        <is>
          <t>B12</t>
        </is>
      </c>
      <c r="T598" s="4" t="inlineStr">
        <is>
          <t>RAMP_501_1500</t>
        </is>
      </c>
      <c r="U598" s="4" t="inlineStr">
        <is>
          <t>CREATED</t>
        </is>
      </c>
      <c r="V598" s="4" t="inlineStr">
        <is>
          <t>idem-20260902-ios-0597</t>
        </is>
      </c>
    </row>
    <row r="599" ht="30" customHeight="1">
      <c r="A599" s="4" t="n">
        <v>598</v>
      </c>
      <c r="B599" s="4" t="inlineStr">
        <is>
          <t>MTR-IOS-0598</t>
        </is>
      </c>
      <c r="C599" s="4" t="inlineStr">
        <is>
          <t>Personal</t>
        </is>
      </c>
      <c r="D599" s="4" t="inlineStr">
        <is>
          <t>Personal</t>
        </is>
      </c>
      <c r="E599" s="4" t="inlineStr">
        <is>
          <t>Lifestyle</t>
        </is>
      </c>
      <c r="F599" s="4" t="inlineStr">
        <is>
          <t>Travel</t>
        </is>
      </c>
      <c r="G599" s="4" t="inlineStr">
        <is>
          <t>Expense</t>
        </is>
      </c>
      <c r="H599" s="12" t="n">
        <v>46174</v>
      </c>
      <c r="I599" s="13" t="n">
        <v>0.6044328703703704</v>
      </c>
      <c r="J599" s="14" t="n">
        <v>46174.60443287037</v>
      </c>
      <c r="K599" s="15" t="n">
        <v>17185.3</v>
      </c>
      <c r="L599" s="4" t="inlineStr">
        <is>
          <t>INR</t>
        </is>
      </c>
      <c r="M599" s="15" t="n">
        <v>-17185.3</v>
      </c>
      <c r="N599" s="4" t="inlineStr">
        <is>
          <t>IOS Owner</t>
        </is>
      </c>
      <c r="O599" s="4" t="n"/>
      <c r="P599" s="4" t="n"/>
      <c r="Q599" s="4" t="inlineStr">
        <is>
          <t>MAESTRO-IOS-PERSONAL-LIFESTYLE-0598 | Travel | 17185.30</t>
        </is>
      </c>
      <c r="R599" s="4" t="inlineStr">
        <is>
          <t>iPhone</t>
        </is>
      </c>
      <c r="S599" s="4" t="inlineStr">
        <is>
          <t>B12</t>
        </is>
      </c>
      <c r="T599" s="4" t="inlineStr">
        <is>
          <t>RAMP_501_1500</t>
        </is>
      </c>
      <c r="U599" s="4" t="inlineStr">
        <is>
          <t>CREATED</t>
        </is>
      </c>
      <c r="V599" s="4" t="inlineStr">
        <is>
          <t>idem-20260902-ios-0598</t>
        </is>
      </c>
    </row>
    <row r="600" ht="30" customHeight="1">
      <c r="A600" s="4" t="n">
        <v>599</v>
      </c>
      <c r="B600" s="4" t="inlineStr">
        <is>
          <t>MTR-IOS-0599</t>
        </is>
      </c>
      <c r="C600" s="4" t="inlineStr">
        <is>
          <t>Group</t>
        </is>
      </c>
      <c r="D600" s="4" t="inlineStr">
        <is>
          <t>Shared Purchase</t>
        </is>
      </c>
      <c r="E600" s="4" t="inlineStr">
        <is>
          <t>Gift Pool</t>
        </is>
      </c>
      <c r="F600" s="4" t="inlineStr">
        <is>
          <t>Gift Purchase</t>
        </is>
      </c>
      <c r="G600" s="4" t="inlineStr">
        <is>
          <t>Expense</t>
        </is>
      </c>
      <c r="H600" s="12" t="n">
        <v>46231</v>
      </c>
      <c r="I600" s="13" t="n">
        <v>0.5538425925925926</v>
      </c>
      <c r="J600" s="14" t="n">
        <v>46231.55384259259</v>
      </c>
      <c r="K600" s="15" t="n">
        <v>6955.64</v>
      </c>
      <c r="L600" s="4" t="inlineStr">
        <is>
          <t>INR</t>
        </is>
      </c>
      <c r="M600" s="15" t="n">
        <v>-6955.64</v>
      </c>
      <c r="N600" s="4" t="inlineStr">
        <is>
          <t>IOS Aarav</t>
        </is>
      </c>
      <c r="O600" s="4" t="n">
        <v>3</v>
      </c>
      <c r="P600" s="4" t="inlineStr">
        <is>
          <t>SHARES</t>
        </is>
      </c>
      <c r="Q600" s="4" t="inlineStr">
        <is>
          <t>MAESTRO-IOS-GROUP-GIFT_POOL-0599 | Gift Purchase | 6955.64</t>
        </is>
      </c>
      <c r="R600" s="4" t="inlineStr">
        <is>
          <t>iPhone</t>
        </is>
      </c>
      <c r="S600" s="4" t="inlineStr">
        <is>
          <t>B12</t>
        </is>
      </c>
      <c r="T600" s="4" t="inlineStr">
        <is>
          <t>RAMP_501_1500</t>
        </is>
      </c>
      <c r="U600" s="4" t="inlineStr">
        <is>
          <t>CREATED</t>
        </is>
      </c>
      <c r="V600" s="4" t="inlineStr">
        <is>
          <t>idem-20260902-ios-0599</t>
        </is>
      </c>
    </row>
    <row r="601" ht="30" customHeight="1">
      <c r="A601" s="4" t="n">
        <v>600</v>
      </c>
      <c r="B601" s="4" t="inlineStr">
        <is>
          <t>MTR-IOS-0600</t>
        </is>
      </c>
      <c r="C601" s="4" t="inlineStr">
        <is>
          <t>Business</t>
        </is>
      </c>
      <c r="D601" s="4" t="inlineStr">
        <is>
          <t>Business</t>
        </is>
      </c>
      <c r="E601" s="4" t="inlineStr">
        <is>
          <t>Business Runway</t>
        </is>
      </c>
      <c r="F601" s="4" t="inlineStr">
        <is>
          <t>Reserve</t>
        </is>
      </c>
      <c r="G601" s="4" t="inlineStr">
        <is>
          <t>Transfer</t>
        </is>
      </c>
      <c r="H601" s="12" t="n">
        <v>45927</v>
      </c>
      <c r="I601" s="13" t="n">
        <v>0.8750694444444445</v>
      </c>
      <c r="J601" s="14" t="n">
        <v>45927.87506944445</v>
      </c>
      <c r="K601" s="15" t="n">
        <v>103457.56</v>
      </c>
      <c r="L601" s="4" t="inlineStr">
        <is>
          <t>INR</t>
        </is>
      </c>
      <c r="M601" s="15" t="n">
        <v>0</v>
      </c>
      <c r="N601" s="4" t="inlineStr">
        <is>
          <t>IOS Owner</t>
        </is>
      </c>
      <c r="O601" s="4" t="n"/>
      <c r="P601" s="4" t="n"/>
      <c r="Q601" s="4" t="inlineStr">
        <is>
          <t>MAESTRO-IOS-BUSINESS-BUSINESS_RUNWAY-0600 | Reserve | 103457.56</t>
        </is>
      </c>
      <c r="R601" s="4" t="inlineStr">
        <is>
          <t>iPhone</t>
        </is>
      </c>
      <c r="S601" s="4" t="inlineStr">
        <is>
          <t>B12</t>
        </is>
      </c>
      <c r="T601" s="4" t="inlineStr">
        <is>
          <t>RAMP_501_1500</t>
        </is>
      </c>
      <c r="U601" s="4" t="inlineStr">
        <is>
          <t>CREATED</t>
        </is>
      </c>
      <c r="V601" s="4" t="inlineStr">
        <is>
          <t>idem-20260902-ios-0600</t>
        </is>
      </c>
    </row>
    <row r="602" ht="30" customHeight="1">
      <c r="A602" s="4" t="n">
        <v>601</v>
      </c>
      <c r="B602" s="4" t="inlineStr">
        <is>
          <t>MTR-IOS-0601</t>
        </is>
      </c>
      <c r="C602" s="4" t="inlineStr">
        <is>
          <t>Personal</t>
        </is>
      </c>
      <c r="D602" s="4" t="inlineStr">
        <is>
          <t>Personal</t>
        </is>
      </c>
      <c r="E602" s="4" t="inlineStr">
        <is>
          <t>Lifestyle</t>
        </is>
      </c>
      <c r="F602" s="4" t="inlineStr">
        <is>
          <t>Fitness</t>
        </is>
      </c>
      <c r="G602" s="4" t="inlineStr">
        <is>
          <t>Expense</t>
        </is>
      </c>
      <c r="H602" s="12" t="n">
        <v>46042</v>
      </c>
      <c r="I602" s="13" t="n">
        <v>0.9366782407407407</v>
      </c>
      <c r="J602" s="14" t="n">
        <v>46042.93667824074</v>
      </c>
      <c r="K602" s="15" t="n">
        <v>11481.79</v>
      </c>
      <c r="L602" s="4" t="inlineStr">
        <is>
          <t>INR</t>
        </is>
      </c>
      <c r="M602" s="15" t="n">
        <v>-11481.79</v>
      </c>
      <c r="N602" s="4" t="inlineStr">
        <is>
          <t>IOS Owner</t>
        </is>
      </c>
      <c r="O602" s="4" t="n"/>
      <c r="P602" s="4" t="n"/>
      <c r="Q602" s="4" t="inlineStr">
        <is>
          <t>MAESTRO-IOS-PERSONAL-LIFESTYLE-0601 | Fitness | 11481.79</t>
        </is>
      </c>
      <c r="R602" s="4" t="inlineStr">
        <is>
          <t>iPhone</t>
        </is>
      </c>
      <c r="S602" s="4" t="inlineStr">
        <is>
          <t>B13</t>
        </is>
      </c>
      <c r="T602" s="4" t="inlineStr">
        <is>
          <t>RAMP_501_1500</t>
        </is>
      </c>
      <c r="U602" s="4" t="inlineStr">
        <is>
          <t>CREATED</t>
        </is>
      </c>
      <c r="V602" s="4" t="inlineStr">
        <is>
          <t>idem-20260902-ios-0601</t>
        </is>
      </c>
    </row>
    <row r="603" ht="30" customHeight="1">
      <c r="A603" s="4" t="n">
        <v>602</v>
      </c>
      <c r="B603" s="4" t="inlineStr">
        <is>
          <t>MTR-IOS-0602</t>
        </is>
      </c>
      <c r="C603" s="4" t="inlineStr">
        <is>
          <t>Group</t>
        </is>
      </c>
      <c r="D603" s="4" t="inlineStr">
        <is>
          <t>Shared Purchase</t>
        </is>
      </c>
      <c r="E603" s="4" t="inlineStr">
        <is>
          <t>Gift Pool</t>
        </is>
      </c>
      <c r="F603" s="4" t="inlineStr">
        <is>
          <t>Delivery</t>
        </is>
      </c>
      <c r="G603" s="4" t="inlineStr">
        <is>
          <t>Expense</t>
        </is>
      </c>
      <c r="H603" s="12" t="n">
        <v>46082</v>
      </c>
      <c r="I603" s="13" t="n">
        <v>0.03127314814814815</v>
      </c>
      <c r="J603" s="14" t="n">
        <v>46082.03127314815</v>
      </c>
      <c r="K603" s="15" t="n">
        <v>16551.8</v>
      </c>
      <c r="L603" s="4" t="inlineStr">
        <is>
          <t>INR</t>
        </is>
      </c>
      <c r="M603" s="15" t="n">
        <v>-16551.8</v>
      </c>
      <c r="N603" s="4" t="inlineStr">
        <is>
          <t>IOS Meera</t>
        </is>
      </c>
      <c r="O603" s="4" t="n">
        <v>3</v>
      </c>
      <c r="P603" s="4" t="inlineStr">
        <is>
          <t>EQUAL</t>
        </is>
      </c>
      <c r="Q603" s="4" t="inlineStr">
        <is>
          <t>MAESTRO-IOS-GROUP-GIFT_POOL-0602 | Delivery | 16551.80</t>
        </is>
      </c>
      <c r="R603" s="4" t="inlineStr">
        <is>
          <t>iPhone</t>
        </is>
      </c>
      <c r="S603" s="4" t="inlineStr">
        <is>
          <t>B13</t>
        </is>
      </c>
      <c r="T603" s="4" t="inlineStr">
        <is>
          <t>RAMP_501_1500</t>
        </is>
      </c>
      <c r="U603" s="4" t="inlineStr">
        <is>
          <t>CREATED</t>
        </is>
      </c>
      <c r="V603" s="4" t="inlineStr">
        <is>
          <t>idem-20260902-ios-0602</t>
        </is>
      </c>
    </row>
    <row r="604" ht="30" customHeight="1">
      <c r="A604" s="4" t="n">
        <v>603</v>
      </c>
      <c r="B604" s="4" t="inlineStr">
        <is>
          <t>MTR-IOS-0603</t>
        </is>
      </c>
      <c r="C604" s="4" t="inlineStr">
        <is>
          <t>Business</t>
        </is>
      </c>
      <c r="D604" s="4" t="inlineStr">
        <is>
          <t>Business</t>
        </is>
      </c>
      <c r="E604" s="4" t="inlineStr">
        <is>
          <t>Business Runway</t>
        </is>
      </c>
      <c r="F604" s="4" t="inlineStr">
        <is>
          <t>Loan</t>
        </is>
      </c>
      <c r="G604" s="4" t="inlineStr">
        <is>
          <t>Income</t>
        </is>
      </c>
      <c r="H604" s="12" t="n">
        <v>45917</v>
      </c>
      <c r="I604" s="13" t="n">
        <v>0.09502314814814815</v>
      </c>
      <c r="J604" s="14" t="n">
        <v>45917.09502314815</v>
      </c>
      <c r="K604" s="15" t="n">
        <v>26296.26</v>
      </c>
      <c r="L604" s="4" t="inlineStr">
        <is>
          <t>INR</t>
        </is>
      </c>
      <c r="M604" s="15" t="n">
        <v>26296.26</v>
      </c>
      <c r="N604" s="4" t="inlineStr">
        <is>
          <t>IOS Owner</t>
        </is>
      </c>
      <c r="O604" s="4" t="n"/>
      <c r="P604" s="4" t="n"/>
      <c r="Q604" s="4" t="inlineStr">
        <is>
          <t>MAESTRO-IOS-BUSINESS-BUSINESS_RUNWAY-0603 | Loan | 26296.26</t>
        </is>
      </c>
      <c r="R604" s="4" t="inlineStr">
        <is>
          <t>iPhone</t>
        </is>
      </c>
      <c r="S604" s="4" t="inlineStr">
        <is>
          <t>B13</t>
        </is>
      </c>
      <c r="T604" s="4" t="inlineStr">
        <is>
          <t>RAMP_501_1500</t>
        </is>
      </c>
      <c r="U604" s="4" t="inlineStr">
        <is>
          <t>CREATED</t>
        </is>
      </c>
      <c r="V604" s="4" t="inlineStr">
        <is>
          <t>idem-20260902-ios-0603</t>
        </is>
      </c>
    </row>
    <row r="605" ht="30" customHeight="1">
      <c r="A605" s="4" t="n">
        <v>604</v>
      </c>
      <c r="B605" s="4" t="inlineStr">
        <is>
          <t>MTR-IOS-0604</t>
        </is>
      </c>
      <c r="C605" s="4" t="inlineStr">
        <is>
          <t>Personal</t>
        </is>
      </c>
      <c r="D605" s="4" t="inlineStr">
        <is>
          <t>Personal</t>
        </is>
      </c>
      <c r="E605" s="4" t="inlineStr">
        <is>
          <t>Lifestyle</t>
        </is>
      </c>
      <c r="F605" s="4" t="inlineStr">
        <is>
          <t>Hobbies</t>
        </is>
      </c>
      <c r="G605" s="4" t="inlineStr">
        <is>
          <t>Expense</t>
        </is>
      </c>
      <c r="H605" s="12" t="n">
        <v>46122</v>
      </c>
      <c r="I605" s="13" t="n">
        <v>0.3790972222222222</v>
      </c>
      <c r="J605" s="14" t="n">
        <v>46122.37909722222</v>
      </c>
      <c r="K605" s="15" t="n">
        <v>7591.34</v>
      </c>
      <c r="L605" s="4" t="inlineStr">
        <is>
          <t>INR</t>
        </is>
      </c>
      <c r="M605" s="15" t="n">
        <v>-7591.34</v>
      </c>
      <c r="N605" s="4" t="inlineStr">
        <is>
          <t>IOS Owner</t>
        </is>
      </c>
      <c r="O605" s="4" t="n"/>
      <c r="P605" s="4" t="n"/>
      <c r="Q605" s="4" t="inlineStr">
        <is>
          <t>MAESTRO-IOS-PERSONAL-LIFESTYLE-0604 | Hobbies | 7591.34</t>
        </is>
      </c>
      <c r="R605" s="4" t="inlineStr">
        <is>
          <t>iPhone</t>
        </is>
      </c>
      <c r="S605" s="4" t="inlineStr">
        <is>
          <t>B13</t>
        </is>
      </c>
      <c r="T605" s="4" t="inlineStr">
        <is>
          <t>RAMP_501_1500</t>
        </is>
      </c>
      <c r="U605" s="4" t="inlineStr">
        <is>
          <t>CREATED</t>
        </is>
      </c>
      <c r="V605" s="4" t="inlineStr">
        <is>
          <t>idem-20260902-ios-0604</t>
        </is>
      </c>
    </row>
    <row r="606" ht="30" customHeight="1">
      <c r="A606" s="4" t="n">
        <v>605</v>
      </c>
      <c r="B606" s="4" t="inlineStr">
        <is>
          <t>MTR-IOS-0605</t>
        </is>
      </c>
      <c r="C606" s="4" t="inlineStr">
        <is>
          <t>Group</t>
        </is>
      </c>
      <c r="D606" s="4" t="inlineStr">
        <is>
          <t>Shared Purchase</t>
        </is>
      </c>
      <c r="E606" s="4" t="inlineStr">
        <is>
          <t>Gift Pool</t>
        </is>
      </c>
      <c r="F606" s="4" t="inlineStr">
        <is>
          <t>Other</t>
        </is>
      </c>
      <c r="G606" s="4" t="inlineStr">
        <is>
          <t>Expense</t>
        </is>
      </c>
      <c r="H606" s="12" t="n">
        <v>46241</v>
      </c>
      <c r="I606" s="13" t="n">
        <v>0.5628703703703704</v>
      </c>
      <c r="J606" s="14" t="n">
        <v>46241.56287037037</v>
      </c>
      <c r="K606" s="15" t="n">
        <v>16551.48</v>
      </c>
      <c r="L606" s="4" t="inlineStr">
        <is>
          <t>INR</t>
        </is>
      </c>
      <c r="M606" s="15" t="n">
        <v>-16551.48</v>
      </c>
      <c r="N606" s="4" t="inlineStr">
        <is>
          <t>IOS Owner</t>
        </is>
      </c>
      <c r="O606" s="4" t="n">
        <v>3</v>
      </c>
      <c r="P606" s="4" t="inlineStr">
        <is>
          <t>PERCENTAGE</t>
        </is>
      </c>
      <c r="Q606" s="4" t="inlineStr">
        <is>
          <t>MAESTRO-IOS-GROUP-GIFT_POOL-0605 | Other | 16551.48</t>
        </is>
      </c>
      <c r="R606" s="4" t="inlineStr">
        <is>
          <t>iPhone</t>
        </is>
      </c>
      <c r="S606" s="4" t="inlineStr">
        <is>
          <t>B13</t>
        </is>
      </c>
      <c r="T606" s="4" t="inlineStr">
        <is>
          <t>RAMP_501_1500</t>
        </is>
      </c>
      <c r="U606" s="4" t="inlineStr">
        <is>
          <t>CREATED</t>
        </is>
      </c>
      <c r="V606" s="4" t="inlineStr">
        <is>
          <t>idem-20260902-ios-0605</t>
        </is>
      </c>
    </row>
    <row r="607" ht="30" customHeight="1">
      <c r="A607" s="4" t="n">
        <v>606</v>
      </c>
      <c r="B607" s="4" t="inlineStr">
        <is>
          <t>MTR-IOS-0606</t>
        </is>
      </c>
      <c r="C607" s="4" t="inlineStr">
        <is>
          <t>Business</t>
        </is>
      </c>
      <c r="D607" s="4" t="inlineStr">
        <is>
          <t>Business</t>
        </is>
      </c>
      <c r="E607" s="4" t="inlineStr">
        <is>
          <t>Business Runway</t>
        </is>
      </c>
      <c r="F607" s="4" t="inlineStr">
        <is>
          <t>Investment</t>
        </is>
      </c>
      <c r="G607" s="4" t="inlineStr">
        <is>
          <t>Income</t>
        </is>
      </c>
      <c r="H607" s="12" t="n">
        <v>46213</v>
      </c>
      <c r="I607" s="13" t="n">
        <v>0.1735416666666667</v>
      </c>
      <c r="J607" s="14" t="n">
        <v>46213.17354166666</v>
      </c>
      <c r="K607" s="15" t="n">
        <v>95656.63</v>
      </c>
      <c r="L607" s="4" t="inlineStr">
        <is>
          <t>INR</t>
        </is>
      </c>
      <c r="M607" s="15" t="n">
        <v>95656.63</v>
      </c>
      <c r="N607" s="4" t="inlineStr">
        <is>
          <t>IOS Owner</t>
        </is>
      </c>
      <c r="O607" s="4" t="n"/>
      <c r="P607" s="4" t="n"/>
      <c r="Q607" s="4" t="inlineStr">
        <is>
          <t>MAESTRO-IOS-BUSINESS-BUSINESS_RUNWAY-0606 | Investment | 95656.63</t>
        </is>
      </c>
      <c r="R607" s="4" t="inlineStr">
        <is>
          <t>iPhone</t>
        </is>
      </c>
      <c r="S607" s="4" t="inlineStr">
        <is>
          <t>B13</t>
        </is>
      </c>
      <c r="T607" s="4" t="inlineStr">
        <is>
          <t>RAMP_501_1500</t>
        </is>
      </c>
      <c r="U607" s="4" t="inlineStr">
        <is>
          <t>CREATED</t>
        </is>
      </c>
      <c r="V607" s="4" t="inlineStr">
        <is>
          <t>idem-20260902-ios-0606</t>
        </is>
      </c>
    </row>
    <row r="608" ht="30" customHeight="1">
      <c r="A608" s="4" t="n">
        <v>607</v>
      </c>
      <c r="B608" s="4" t="inlineStr">
        <is>
          <t>MTR-IOS-0607</t>
        </is>
      </c>
      <c r="C608" s="4" t="inlineStr">
        <is>
          <t>Personal</t>
        </is>
      </c>
      <c r="D608" s="4" t="inlineStr">
        <is>
          <t>Personal</t>
        </is>
      </c>
      <c r="E608" s="4" t="inlineStr">
        <is>
          <t>Relationships</t>
        </is>
      </c>
      <c r="F608" s="4" t="inlineStr">
        <is>
          <t>Gifts</t>
        </is>
      </c>
      <c r="G608" s="4" t="inlineStr">
        <is>
          <t>Expense</t>
        </is>
      </c>
      <c r="H608" s="12" t="n">
        <v>46259</v>
      </c>
      <c r="I608" s="13" t="n">
        <v>0.2610416666666667</v>
      </c>
      <c r="J608" s="14" t="n">
        <v>46259.26104166666</v>
      </c>
      <c r="K608" s="15" t="n">
        <v>9526.709999999999</v>
      </c>
      <c r="L608" s="4" t="inlineStr">
        <is>
          <t>INR</t>
        </is>
      </c>
      <c r="M608" s="15" t="n">
        <v>-9526.709999999999</v>
      </c>
      <c r="N608" s="4" t="inlineStr">
        <is>
          <t>IOS Owner</t>
        </is>
      </c>
      <c r="O608" s="4" t="n"/>
      <c r="P608" s="4" t="n"/>
      <c r="Q608" s="4" t="inlineStr">
        <is>
          <t>MAESTRO-IOS-PERSONAL-RELATIONSHIPS-0607 | Gifts | 9526.71</t>
        </is>
      </c>
      <c r="R608" s="4" t="inlineStr">
        <is>
          <t>iPhone</t>
        </is>
      </c>
      <c r="S608" s="4" t="inlineStr">
        <is>
          <t>B13</t>
        </is>
      </c>
      <c r="T608" s="4" t="inlineStr">
        <is>
          <t>RAMP_501_1500</t>
        </is>
      </c>
      <c r="U608" s="4" t="inlineStr">
        <is>
          <t>CREATED</t>
        </is>
      </c>
      <c r="V608" s="4" t="inlineStr">
        <is>
          <t>idem-20260902-ios-0607</t>
        </is>
      </c>
    </row>
    <row r="609" ht="30" customHeight="1">
      <c r="A609" s="4" t="n">
        <v>608</v>
      </c>
      <c r="B609" s="4" t="inlineStr">
        <is>
          <t>MTR-IOS-0608</t>
        </is>
      </c>
      <c r="C609" s="4" t="inlineStr">
        <is>
          <t>Group</t>
        </is>
      </c>
      <c r="D609" s="4" t="inlineStr">
        <is>
          <t>Shared Purchase</t>
        </is>
      </c>
      <c r="E609" s="4" t="inlineStr">
        <is>
          <t>Purchase</t>
        </is>
      </c>
      <c r="F609" s="4" t="inlineStr">
        <is>
          <t>Item</t>
        </is>
      </c>
      <c r="G609" s="4" t="inlineStr">
        <is>
          <t>Expense</t>
        </is>
      </c>
      <c r="H609" s="12" t="n">
        <v>46161</v>
      </c>
      <c r="I609" s="13" t="n">
        <v>0.8162847222222223</v>
      </c>
      <c r="J609" s="14" t="n">
        <v>46161.81628472222</v>
      </c>
      <c r="K609" s="15" t="n">
        <v>4168.3</v>
      </c>
      <c r="L609" s="4" t="inlineStr">
        <is>
          <t>INR</t>
        </is>
      </c>
      <c r="M609" s="15" t="n">
        <v>-4168.3</v>
      </c>
      <c r="N609" s="4" t="inlineStr">
        <is>
          <t>IOS Aarav</t>
        </is>
      </c>
      <c r="O609" s="4" t="n">
        <v>3</v>
      </c>
      <c r="P609" s="4" t="inlineStr">
        <is>
          <t>EXACT</t>
        </is>
      </c>
      <c r="Q609" s="4" t="inlineStr">
        <is>
          <t>MAESTRO-IOS-GROUP-PURCHASE-0608 | Item | 4168.30</t>
        </is>
      </c>
      <c r="R609" s="4" t="inlineStr">
        <is>
          <t>iPhone</t>
        </is>
      </c>
      <c r="S609" s="4" t="inlineStr">
        <is>
          <t>B13</t>
        </is>
      </c>
      <c r="T609" s="4" t="inlineStr">
        <is>
          <t>RAMP_501_1500</t>
        </is>
      </c>
      <c r="U609" s="4" t="inlineStr">
        <is>
          <t>CREATED</t>
        </is>
      </c>
      <c r="V609" s="4" t="inlineStr">
        <is>
          <t>idem-20260902-ios-0608</t>
        </is>
      </c>
    </row>
    <row r="610" ht="30" customHeight="1">
      <c r="A610" s="4" t="n">
        <v>609</v>
      </c>
      <c r="B610" s="4" t="inlineStr">
        <is>
          <t>MTR-IOS-0609</t>
        </is>
      </c>
      <c r="C610" s="4" t="inlineStr">
        <is>
          <t>Business</t>
        </is>
      </c>
      <c r="D610" s="4" t="inlineStr">
        <is>
          <t>Business</t>
        </is>
      </c>
      <c r="E610" s="4" t="inlineStr">
        <is>
          <t>Business Operations</t>
        </is>
      </c>
      <c r="F610" s="4" t="inlineStr">
        <is>
          <t>Software</t>
        </is>
      </c>
      <c r="G610" s="4" t="inlineStr">
        <is>
          <t>Expense</t>
        </is>
      </c>
      <c r="H610" s="12" t="n">
        <v>45911</v>
      </c>
      <c r="I610" s="13" t="n">
        <v>0.1269675925925926</v>
      </c>
      <c r="J610" s="14" t="n">
        <v>45911.12696759259</v>
      </c>
      <c r="K610" s="15" t="n">
        <v>156650.57</v>
      </c>
      <c r="L610" s="4" t="inlineStr">
        <is>
          <t>INR</t>
        </is>
      </c>
      <c r="M610" s="15" t="n">
        <v>-156650.57</v>
      </c>
      <c r="N610" s="4" t="inlineStr">
        <is>
          <t>IOS Owner</t>
        </is>
      </c>
      <c r="O610" s="4" t="n"/>
      <c r="P610" s="4" t="n"/>
      <c r="Q610" s="4" t="inlineStr">
        <is>
          <t>MAESTRO-IOS-BUSINESS-BUSINESS_OPERATIONS-0609 | Software | 156650.57</t>
        </is>
      </c>
      <c r="R610" s="4" t="inlineStr">
        <is>
          <t>iPhone</t>
        </is>
      </c>
      <c r="S610" s="4" t="inlineStr">
        <is>
          <t>B13</t>
        </is>
      </c>
      <c r="T610" s="4" t="inlineStr">
        <is>
          <t>RAMP_501_1500</t>
        </is>
      </c>
      <c r="U610" s="4" t="inlineStr">
        <is>
          <t>CREATED</t>
        </is>
      </c>
      <c r="V610" s="4" t="inlineStr">
        <is>
          <t>idem-20260902-ios-0609</t>
        </is>
      </c>
    </row>
    <row r="611" ht="30" customHeight="1">
      <c r="A611" s="4" t="n">
        <v>610</v>
      </c>
      <c r="B611" s="4" t="inlineStr">
        <is>
          <t>MTR-IOS-0610</t>
        </is>
      </c>
      <c r="C611" s="4" t="inlineStr">
        <is>
          <t>Personal</t>
        </is>
      </c>
      <c r="D611" s="4" t="inlineStr">
        <is>
          <t>Personal</t>
        </is>
      </c>
      <c r="E611" s="4" t="inlineStr">
        <is>
          <t>Relationships</t>
        </is>
      </c>
      <c r="F611" s="4" t="inlineStr">
        <is>
          <t>Dates</t>
        </is>
      </c>
      <c r="G611" s="4" t="inlineStr">
        <is>
          <t>Expense</t>
        </is>
      </c>
      <c r="H611" s="12" t="n">
        <v>45921</v>
      </c>
      <c r="I611" s="13" t="n">
        <v>0.6087847222222222</v>
      </c>
      <c r="J611" s="14" t="n">
        <v>45921.60878472222</v>
      </c>
      <c r="K611" s="15" t="n">
        <v>1840.74</v>
      </c>
      <c r="L611" s="4" t="inlineStr">
        <is>
          <t>INR</t>
        </is>
      </c>
      <c r="M611" s="15" t="n">
        <v>-1840.74</v>
      </c>
      <c r="N611" s="4" t="inlineStr">
        <is>
          <t>IOS Owner</t>
        </is>
      </c>
      <c r="O611" s="4" t="n"/>
      <c r="P611" s="4" t="n"/>
      <c r="Q611" s="4" t="inlineStr">
        <is>
          <t>MAESTRO-IOS-PERSONAL-RELATIONSHIPS-0610 | Dates | 1840.74</t>
        </is>
      </c>
      <c r="R611" s="4" t="inlineStr">
        <is>
          <t>iPhone</t>
        </is>
      </c>
      <c r="S611" s="4" t="inlineStr">
        <is>
          <t>B13</t>
        </is>
      </c>
      <c r="T611" s="4" t="inlineStr">
        <is>
          <t>RAMP_501_1500</t>
        </is>
      </c>
      <c r="U611" s="4" t="inlineStr">
        <is>
          <t>CREATED</t>
        </is>
      </c>
      <c r="V611" s="4" t="inlineStr">
        <is>
          <t>idem-20260902-ios-0610</t>
        </is>
      </c>
    </row>
    <row r="612" ht="30" customHeight="1">
      <c r="A612" s="4" t="n">
        <v>611</v>
      </c>
      <c r="B612" s="4" t="inlineStr">
        <is>
          <t>MTR-IOS-0611</t>
        </is>
      </c>
      <c r="C612" s="4" t="inlineStr">
        <is>
          <t>Group</t>
        </is>
      </c>
      <c r="D612" s="4" t="inlineStr">
        <is>
          <t>Shared Purchase</t>
        </is>
      </c>
      <c r="E612" s="4" t="inlineStr">
        <is>
          <t>Purchase</t>
        </is>
      </c>
      <c r="F612" s="4" t="inlineStr">
        <is>
          <t>Shipping</t>
        </is>
      </c>
      <c r="G612" s="4" t="inlineStr">
        <is>
          <t>Expense</t>
        </is>
      </c>
      <c r="H612" s="12" t="n">
        <v>45938</v>
      </c>
      <c r="I612" s="13" t="n">
        <v>0.3055439814814815</v>
      </c>
      <c r="J612" s="14" t="n">
        <v>45938.30554398148</v>
      </c>
      <c r="K612" s="15" t="n">
        <v>22837.72</v>
      </c>
      <c r="L612" s="4" t="inlineStr">
        <is>
          <t>INR</t>
        </is>
      </c>
      <c r="M612" s="15" t="n">
        <v>-22837.72</v>
      </c>
      <c r="N612" s="4" t="inlineStr">
        <is>
          <t>IOS Meera</t>
        </is>
      </c>
      <c r="O612" s="4" t="n">
        <v>3</v>
      </c>
      <c r="P612" s="4" t="inlineStr">
        <is>
          <t>SHARES</t>
        </is>
      </c>
      <c r="Q612" s="4" t="inlineStr">
        <is>
          <t>MAESTRO-IOS-GROUP-PURCHASE-0611 | Shipping | 22837.72</t>
        </is>
      </c>
      <c r="R612" s="4" t="inlineStr">
        <is>
          <t>iPhone</t>
        </is>
      </c>
      <c r="S612" s="4" t="inlineStr">
        <is>
          <t>B13</t>
        </is>
      </c>
      <c r="T612" s="4" t="inlineStr">
        <is>
          <t>RAMP_501_1500</t>
        </is>
      </c>
      <c r="U612" s="4" t="inlineStr">
        <is>
          <t>CREATED</t>
        </is>
      </c>
      <c r="V612" s="4" t="inlineStr">
        <is>
          <t>idem-20260902-ios-0611</t>
        </is>
      </c>
    </row>
    <row r="613" ht="30" customHeight="1">
      <c r="A613" s="4" t="n">
        <v>612</v>
      </c>
      <c r="B613" s="4" t="inlineStr">
        <is>
          <t>MTR-IOS-0612</t>
        </is>
      </c>
      <c r="C613" s="4" t="inlineStr">
        <is>
          <t>Business</t>
        </is>
      </c>
      <c r="D613" s="4" t="inlineStr">
        <is>
          <t>Business</t>
        </is>
      </c>
      <c r="E613" s="4" t="inlineStr">
        <is>
          <t>Business Operations</t>
        </is>
      </c>
      <c r="F613" s="4" t="inlineStr">
        <is>
          <t>Rent</t>
        </is>
      </c>
      <c r="G613" s="4" t="inlineStr">
        <is>
          <t>Expense</t>
        </is>
      </c>
      <c r="H613" s="12" t="n">
        <v>45924</v>
      </c>
      <c r="I613" s="13" t="n">
        <v>0.002662037037037037</v>
      </c>
      <c r="J613" s="14" t="n">
        <v>45924.00266203703</v>
      </c>
      <c r="K613" s="15" t="n">
        <v>101478.04</v>
      </c>
      <c r="L613" s="4" t="inlineStr">
        <is>
          <t>INR</t>
        </is>
      </c>
      <c r="M613" s="15" t="n">
        <v>-101478.04</v>
      </c>
      <c r="N613" s="4" t="inlineStr">
        <is>
          <t>IOS Owner</t>
        </is>
      </c>
      <c r="O613" s="4" t="n"/>
      <c r="P613" s="4" t="n"/>
      <c r="Q613" s="4" t="inlineStr">
        <is>
          <t>MAESTRO-IOS-BUSINESS-BUSINESS_OPERATIONS-0612 | Rent | 101478.04</t>
        </is>
      </c>
      <c r="R613" s="4" t="inlineStr">
        <is>
          <t>iPhone</t>
        </is>
      </c>
      <c r="S613" s="4" t="inlineStr">
        <is>
          <t>B13</t>
        </is>
      </c>
      <c r="T613" s="4" t="inlineStr">
        <is>
          <t>RAMP_501_1500</t>
        </is>
      </c>
      <c r="U613" s="4" t="inlineStr">
        <is>
          <t>CREATED</t>
        </is>
      </c>
      <c r="V613" s="4" t="inlineStr">
        <is>
          <t>idem-20260902-ios-0612</t>
        </is>
      </c>
    </row>
    <row r="614" ht="30" customHeight="1">
      <c r="A614" s="4" t="n">
        <v>613</v>
      </c>
      <c r="B614" s="4" t="inlineStr">
        <is>
          <t>MTR-IOS-0613</t>
        </is>
      </c>
      <c r="C614" s="4" t="inlineStr">
        <is>
          <t>Personal</t>
        </is>
      </c>
      <c r="D614" s="4" t="inlineStr">
        <is>
          <t>Personal</t>
        </is>
      </c>
      <c r="E614" s="4" t="inlineStr">
        <is>
          <t>Relationships</t>
        </is>
      </c>
      <c r="F614" s="4" t="inlineStr">
        <is>
          <t>Family</t>
        </is>
      </c>
      <c r="G614" s="4" t="inlineStr">
        <is>
          <t>Expense</t>
        </is>
      </c>
      <c r="H614" s="12" t="n">
        <v>46047</v>
      </c>
      <c r="I614" s="13" t="n">
        <v>0.3159259259259259</v>
      </c>
      <c r="J614" s="14" t="n">
        <v>46047.31592592593</v>
      </c>
      <c r="K614" s="15" t="n">
        <v>10846.07</v>
      </c>
      <c r="L614" s="4" t="inlineStr">
        <is>
          <t>INR</t>
        </is>
      </c>
      <c r="M614" s="15" t="n">
        <v>-10846.07</v>
      </c>
      <c r="N614" s="4" t="inlineStr">
        <is>
          <t>IOS Owner</t>
        </is>
      </c>
      <c r="O614" s="4" t="n"/>
      <c r="P614" s="4" t="n"/>
      <c r="Q614" s="4" t="inlineStr">
        <is>
          <t>MAESTRO-IOS-PERSONAL-RELATIONSHIPS-0613 | Family | 10846.07</t>
        </is>
      </c>
      <c r="R614" s="4" t="inlineStr">
        <is>
          <t>iPhone</t>
        </is>
      </c>
      <c r="S614" s="4" t="inlineStr">
        <is>
          <t>B13</t>
        </is>
      </c>
      <c r="T614" s="4" t="inlineStr">
        <is>
          <t>RAMP_501_1500</t>
        </is>
      </c>
      <c r="U614" s="4" t="inlineStr">
        <is>
          <t>CREATED</t>
        </is>
      </c>
      <c r="V614" s="4" t="inlineStr">
        <is>
          <t>idem-20260902-ios-0613</t>
        </is>
      </c>
    </row>
    <row r="615" ht="30" customHeight="1">
      <c r="A615" s="4" t="n">
        <v>614</v>
      </c>
      <c r="B615" s="4" t="inlineStr">
        <is>
          <t>MTR-IOS-0614</t>
        </is>
      </c>
      <c r="C615" s="4" t="inlineStr">
        <is>
          <t>Group</t>
        </is>
      </c>
      <c r="D615" s="4" t="inlineStr">
        <is>
          <t>Shared Purchase</t>
        </is>
      </c>
      <c r="E615" s="4" t="inlineStr">
        <is>
          <t>Purchase</t>
        </is>
      </c>
      <c r="F615" s="4" t="inlineStr">
        <is>
          <t>Tax</t>
        </is>
      </c>
      <c r="G615" s="4" t="inlineStr">
        <is>
          <t>Expense</t>
        </is>
      </c>
      <c r="H615" s="12" t="n">
        <v>46002</v>
      </c>
      <c r="I615" s="13" t="n">
        <v>0.4658564814814815</v>
      </c>
      <c r="J615" s="14" t="n">
        <v>46002.46585648148</v>
      </c>
      <c r="K615" s="15" t="n">
        <v>24505.96</v>
      </c>
      <c r="L615" s="4" t="inlineStr">
        <is>
          <t>INR</t>
        </is>
      </c>
      <c r="M615" s="15" t="n">
        <v>-24505.96</v>
      </c>
      <c r="N615" s="4" t="inlineStr">
        <is>
          <t>IOS Owner</t>
        </is>
      </c>
      <c r="O615" s="4" t="n">
        <v>3</v>
      </c>
      <c r="P615" s="4" t="inlineStr">
        <is>
          <t>EQUAL</t>
        </is>
      </c>
      <c r="Q615" s="4" t="inlineStr">
        <is>
          <t>MAESTRO-IOS-GROUP-PURCHASE-0614 | Tax | 24505.96</t>
        </is>
      </c>
      <c r="R615" s="4" t="inlineStr">
        <is>
          <t>iPhone</t>
        </is>
      </c>
      <c r="S615" s="4" t="inlineStr">
        <is>
          <t>B13</t>
        </is>
      </c>
      <c r="T615" s="4" t="inlineStr">
        <is>
          <t>RAMP_501_1500</t>
        </is>
      </c>
      <c r="U615" s="4" t="inlineStr">
        <is>
          <t>CREATED</t>
        </is>
      </c>
      <c r="V615" s="4" t="inlineStr">
        <is>
          <t>idem-20260902-ios-0614</t>
        </is>
      </c>
    </row>
    <row r="616" ht="30" customHeight="1">
      <c r="A616" s="4" t="n">
        <v>615</v>
      </c>
      <c r="B616" s="4" t="inlineStr">
        <is>
          <t>MTR-IOS-0615</t>
        </is>
      </c>
      <c r="C616" s="4" t="inlineStr">
        <is>
          <t>Business</t>
        </is>
      </c>
      <c r="D616" s="4" t="inlineStr">
        <is>
          <t>Business</t>
        </is>
      </c>
      <c r="E616" s="4" t="inlineStr">
        <is>
          <t>Business Operations</t>
        </is>
      </c>
      <c r="F616" s="4" t="inlineStr">
        <is>
          <t>Marketing</t>
        </is>
      </c>
      <c r="G616" s="4" t="inlineStr">
        <is>
          <t>Expense</t>
        </is>
      </c>
      <c r="H616" s="12" t="n">
        <v>46240</v>
      </c>
      <c r="I616" s="13" t="n">
        <v>0.5</v>
      </c>
      <c r="J616" s="14" t="n">
        <v>46240.5</v>
      </c>
      <c r="K616" s="15" t="n">
        <v>50081.47</v>
      </c>
      <c r="L616" s="4" t="inlineStr">
        <is>
          <t>INR</t>
        </is>
      </c>
      <c r="M616" s="15" t="n">
        <v>-50081.47</v>
      </c>
      <c r="N616" s="4" t="inlineStr">
        <is>
          <t>IOS Owner</t>
        </is>
      </c>
      <c r="O616" s="4" t="n"/>
      <c r="P616" s="4" t="n"/>
      <c r="Q616" s="4" t="inlineStr">
        <is>
          <t>MAESTRO-IOS-BUSINESS-BUSINESS_OPERATIONS-0615 | Marketing | 50081.47</t>
        </is>
      </c>
      <c r="R616" s="4" t="inlineStr">
        <is>
          <t>iPhone</t>
        </is>
      </c>
      <c r="S616" s="4" t="inlineStr">
        <is>
          <t>B13</t>
        </is>
      </c>
      <c r="T616" s="4" t="inlineStr">
        <is>
          <t>RAMP_501_1500</t>
        </is>
      </c>
      <c r="U616" s="4" t="inlineStr">
        <is>
          <t>CREATED</t>
        </is>
      </c>
      <c r="V616" s="4" t="inlineStr">
        <is>
          <t>idem-20260902-ios-0615</t>
        </is>
      </c>
    </row>
    <row r="617" ht="30" customHeight="1">
      <c r="A617" s="4" t="n">
        <v>616</v>
      </c>
      <c r="B617" s="4" t="inlineStr">
        <is>
          <t>MTR-IOS-0616</t>
        </is>
      </c>
      <c r="C617" s="4" t="inlineStr">
        <is>
          <t>Personal</t>
        </is>
      </c>
      <c r="D617" s="4" t="inlineStr">
        <is>
          <t>Personal</t>
        </is>
      </c>
      <c r="E617" s="4" t="inlineStr">
        <is>
          <t>Relationships</t>
        </is>
      </c>
      <c r="F617" s="4" t="inlineStr">
        <is>
          <t>Friends</t>
        </is>
      </c>
      <c r="G617" s="4" t="inlineStr">
        <is>
          <t>Expense</t>
        </is>
      </c>
      <c r="H617" s="12" t="n">
        <v>46133</v>
      </c>
      <c r="I617" s="13" t="n">
        <v>0.9616782407407407</v>
      </c>
      <c r="J617" s="14" t="n">
        <v>46133.96167824074</v>
      </c>
      <c r="K617" s="15" t="n">
        <v>1451.92</v>
      </c>
      <c r="L617" s="4" t="inlineStr">
        <is>
          <t>INR</t>
        </is>
      </c>
      <c r="M617" s="15" t="n">
        <v>-1451.92</v>
      </c>
      <c r="N617" s="4" t="inlineStr">
        <is>
          <t>IOS Owner</t>
        </is>
      </c>
      <c r="O617" s="4" t="n"/>
      <c r="P617" s="4" t="n"/>
      <c r="Q617" s="4" t="inlineStr">
        <is>
          <t>MAESTRO-IOS-PERSONAL-RELATIONSHIPS-0616 | Friends | 1451.92</t>
        </is>
      </c>
      <c r="R617" s="4" t="inlineStr">
        <is>
          <t>iPhone</t>
        </is>
      </c>
      <c r="S617" s="4" t="inlineStr">
        <is>
          <t>B13</t>
        </is>
      </c>
      <c r="T617" s="4" t="inlineStr">
        <is>
          <t>RAMP_501_1500</t>
        </is>
      </c>
      <c r="U617" s="4" t="inlineStr">
        <is>
          <t>CREATED</t>
        </is>
      </c>
      <c r="V617" s="4" t="inlineStr">
        <is>
          <t>idem-20260902-ios-0616</t>
        </is>
      </c>
    </row>
    <row r="618" ht="30" customHeight="1">
      <c r="A618" s="4" t="n">
        <v>617</v>
      </c>
      <c r="B618" s="4" t="inlineStr">
        <is>
          <t>MTR-IOS-0617</t>
        </is>
      </c>
      <c r="C618" s="4" t="inlineStr">
        <is>
          <t>Group</t>
        </is>
      </c>
      <c r="D618" s="4" t="inlineStr">
        <is>
          <t>Shared Purchase</t>
        </is>
      </c>
      <c r="E618" s="4" t="inlineStr">
        <is>
          <t>Purchase</t>
        </is>
      </c>
      <c r="F618" s="4" t="inlineStr">
        <is>
          <t>Other</t>
        </is>
      </c>
      <c r="G618" s="4" t="inlineStr">
        <is>
          <t>Expense</t>
        </is>
      </c>
      <c r="H618" s="12" t="n">
        <v>46227</v>
      </c>
      <c r="I618" s="13" t="n">
        <v>0.7825347222222222</v>
      </c>
      <c r="J618" s="14" t="n">
        <v>46227.78253472222</v>
      </c>
      <c r="K618" s="15" t="n">
        <v>13391.74</v>
      </c>
      <c r="L618" s="4" t="inlineStr">
        <is>
          <t>INR</t>
        </is>
      </c>
      <c r="M618" s="15" t="n">
        <v>-13391.74</v>
      </c>
      <c r="N618" s="4" t="inlineStr">
        <is>
          <t>IOS Aarav</t>
        </is>
      </c>
      <c r="O618" s="4" t="n">
        <v>3</v>
      </c>
      <c r="P618" s="4" t="inlineStr">
        <is>
          <t>PERCENTAGE</t>
        </is>
      </c>
      <c r="Q618" s="4" t="inlineStr">
        <is>
          <t>MAESTRO-IOS-GROUP-PURCHASE-0617 | Other | 13391.74</t>
        </is>
      </c>
      <c r="R618" s="4" t="inlineStr">
        <is>
          <t>iPhone</t>
        </is>
      </c>
      <c r="S618" s="4" t="inlineStr">
        <is>
          <t>B13</t>
        </is>
      </c>
      <c r="T618" s="4" t="inlineStr">
        <is>
          <t>RAMP_501_1500</t>
        </is>
      </c>
      <c r="U618" s="4" t="inlineStr">
        <is>
          <t>CREATED</t>
        </is>
      </c>
      <c r="V618" s="4" t="inlineStr">
        <is>
          <t>idem-20260902-ios-0617</t>
        </is>
      </c>
    </row>
    <row r="619" ht="30" customHeight="1">
      <c r="A619" s="4" t="n">
        <v>618</v>
      </c>
      <c r="B619" s="4" t="inlineStr">
        <is>
          <t>MTR-IOS-0618</t>
        </is>
      </c>
      <c r="C619" s="4" t="inlineStr">
        <is>
          <t>Business</t>
        </is>
      </c>
      <c r="D619" s="4" t="inlineStr">
        <is>
          <t>Business</t>
        </is>
      </c>
      <c r="E619" s="4" t="inlineStr">
        <is>
          <t>Business Operations</t>
        </is>
      </c>
      <c r="F619" s="4" t="inlineStr">
        <is>
          <t>Legal</t>
        </is>
      </c>
      <c r="G619" s="4" t="inlineStr">
        <is>
          <t>Expense</t>
        </is>
      </c>
      <c r="H619" s="12" t="n">
        <v>46038</v>
      </c>
      <c r="I619" s="13" t="n">
        <v>0.9815046296296296</v>
      </c>
      <c r="J619" s="14" t="n">
        <v>46038.98150462963</v>
      </c>
      <c r="K619" s="15" t="n">
        <v>115076.85</v>
      </c>
      <c r="L619" s="4" t="inlineStr">
        <is>
          <t>INR</t>
        </is>
      </c>
      <c r="M619" s="15" t="n">
        <v>-115076.85</v>
      </c>
      <c r="N619" s="4" t="inlineStr">
        <is>
          <t>IOS Owner</t>
        </is>
      </c>
      <c r="O619" s="4" t="n"/>
      <c r="P619" s="4" t="n"/>
      <c r="Q619" s="4" t="inlineStr">
        <is>
          <t>MAESTRO-IOS-BUSINESS-BUSINESS_OPERATIONS-0618 | Legal | 115076.85</t>
        </is>
      </c>
      <c r="R619" s="4" t="inlineStr">
        <is>
          <t>iPhone</t>
        </is>
      </c>
      <c r="S619" s="4" t="inlineStr">
        <is>
          <t>B13</t>
        </is>
      </c>
      <c r="T619" s="4" t="inlineStr">
        <is>
          <t>RAMP_501_1500</t>
        </is>
      </c>
      <c r="U619" s="4" t="inlineStr">
        <is>
          <t>CREATED</t>
        </is>
      </c>
      <c r="V619" s="4" t="inlineStr">
        <is>
          <t>idem-20260902-ios-0618</t>
        </is>
      </c>
    </row>
    <row r="620" ht="30" customHeight="1">
      <c r="A620" s="4" t="n">
        <v>619</v>
      </c>
      <c r="B620" s="4" t="inlineStr">
        <is>
          <t>MTR-IOS-0619</t>
        </is>
      </c>
      <c r="C620" s="4" t="inlineStr">
        <is>
          <t>Personal</t>
        </is>
      </c>
      <c r="D620" s="4" t="inlineStr">
        <is>
          <t>Personal</t>
        </is>
      </c>
      <c r="E620" s="4" t="inlineStr">
        <is>
          <t>Relationships</t>
        </is>
      </c>
      <c r="F620" s="4" t="inlineStr">
        <is>
          <t>Celebrations</t>
        </is>
      </c>
      <c r="G620" s="4" t="inlineStr">
        <is>
          <t>Expense</t>
        </is>
      </c>
      <c r="H620" s="12" t="n">
        <v>46248</v>
      </c>
      <c r="I620" s="13" t="n">
        <v>0.3536805555555556</v>
      </c>
      <c r="J620" s="14" t="n">
        <v>46248.35368055556</v>
      </c>
      <c r="K620" s="15" t="n">
        <v>7649.64</v>
      </c>
      <c r="L620" s="4" t="inlineStr">
        <is>
          <t>INR</t>
        </is>
      </c>
      <c r="M620" s="15" t="n">
        <v>-7649.64</v>
      </c>
      <c r="N620" s="4" t="inlineStr">
        <is>
          <t>IOS Owner</t>
        </is>
      </c>
      <c r="O620" s="4" t="n"/>
      <c r="P620" s="4" t="n"/>
      <c r="Q620" s="4" t="inlineStr">
        <is>
          <t>MAESTRO-IOS-PERSONAL-RELATIONSHIPS-0619 | Celebrations | 7649.64</t>
        </is>
      </c>
      <c r="R620" s="4" t="inlineStr">
        <is>
          <t>iPhone</t>
        </is>
      </c>
      <c r="S620" s="4" t="inlineStr">
        <is>
          <t>B13</t>
        </is>
      </c>
      <c r="T620" s="4" t="inlineStr">
        <is>
          <t>RAMP_501_1500</t>
        </is>
      </c>
      <c r="U620" s="4" t="inlineStr">
        <is>
          <t>CREATED</t>
        </is>
      </c>
      <c r="V620" s="4" t="inlineStr">
        <is>
          <t>idem-20260902-ios-0619</t>
        </is>
      </c>
    </row>
    <row r="621" ht="30" customHeight="1">
      <c r="A621" s="4" t="n">
        <v>620</v>
      </c>
      <c r="B621" s="4" t="inlineStr">
        <is>
          <t>MTR-IOS-0620</t>
        </is>
      </c>
      <c r="C621" s="4" t="inlineStr">
        <is>
          <t>Group</t>
        </is>
      </c>
      <c r="D621" s="4" t="inlineStr">
        <is>
          <t>Shared Purchase</t>
        </is>
      </c>
      <c r="E621" s="4" t="inlineStr">
        <is>
          <t>Assets</t>
        </is>
      </c>
      <c r="F621" s="4" t="inlineStr">
        <is>
          <t>Purchase</t>
        </is>
      </c>
      <c r="G621" s="4" t="inlineStr">
        <is>
          <t>Expense</t>
        </is>
      </c>
      <c r="H621" s="12" t="n">
        <v>45994</v>
      </c>
      <c r="I621" s="13" t="n">
        <v>0.4637962962962963</v>
      </c>
      <c r="J621" s="14" t="n">
        <v>45994.4637962963</v>
      </c>
      <c r="K621" s="15" t="n">
        <v>1012.42</v>
      </c>
      <c r="L621" s="4" t="inlineStr">
        <is>
          <t>INR</t>
        </is>
      </c>
      <c r="M621" s="15" t="n">
        <v>-1012.42</v>
      </c>
      <c r="N621" s="4" t="inlineStr">
        <is>
          <t>IOS Meera</t>
        </is>
      </c>
      <c r="O621" s="4" t="n">
        <v>3</v>
      </c>
      <c r="P621" s="4" t="inlineStr">
        <is>
          <t>EXACT</t>
        </is>
      </c>
      <c r="Q621" s="4" t="inlineStr">
        <is>
          <t>MAESTRO-IOS-GROUP-ASSETS-0620 | Purchase | 1012.42</t>
        </is>
      </c>
      <c r="R621" s="4" t="inlineStr">
        <is>
          <t>iPhone</t>
        </is>
      </c>
      <c r="S621" s="4" t="inlineStr">
        <is>
          <t>B13</t>
        </is>
      </c>
      <c r="T621" s="4" t="inlineStr">
        <is>
          <t>RAMP_501_1500</t>
        </is>
      </c>
      <c r="U621" s="4" t="inlineStr">
        <is>
          <t>CREATED</t>
        </is>
      </c>
      <c r="V621" s="4" t="inlineStr">
        <is>
          <t>idem-20260902-ios-0620</t>
        </is>
      </c>
    </row>
    <row r="622" ht="30" customHeight="1">
      <c r="A622" s="4" t="n">
        <v>621</v>
      </c>
      <c r="B622" s="4" t="inlineStr">
        <is>
          <t>MTR-IOS-0621</t>
        </is>
      </c>
      <c r="C622" s="4" t="inlineStr">
        <is>
          <t>Business</t>
        </is>
      </c>
      <c r="D622" s="4" t="inlineStr">
        <is>
          <t>Business</t>
        </is>
      </c>
      <c r="E622" s="4" t="inlineStr">
        <is>
          <t>Business Operations</t>
        </is>
      </c>
      <c r="F622" s="4" t="inlineStr">
        <is>
          <t>Accounting</t>
        </is>
      </c>
      <c r="G622" s="4" t="inlineStr">
        <is>
          <t>Expense</t>
        </is>
      </c>
      <c r="H622" s="12" t="n">
        <v>46215</v>
      </c>
      <c r="I622" s="13" t="n">
        <v>0.07347222222222222</v>
      </c>
      <c r="J622" s="14" t="n">
        <v>46215.07347222222</v>
      </c>
      <c r="K622" s="15" t="n">
        <v>2881.94</v>
      </c>
      <c r="L622" s="4" t="inlineStr">
        <is>
          <t>INR</t>
        </is>
      </c>
      <c r="M622" s="15" t="n">
        <v>-2881.94</v>
      </c>
      <c r="N622" s="4" t="inlineStr">
        <is>
          <t>IOS Owner</t>
        </is>
      </c>
      <c r="O622" s="4" t="n"/>
      <c r="P622" s="4" t="n"/>
      <c r="Q622" s="4" t="inlineStr">
        <is>
          <t>MAESTRO-IOS-BUSINESS-BUSINESS_OPERATIONS-0621 | Accounting | 2881.94</t>
        </is>
      </c>
      <c r="R622" s="4" t="inlineStr">
        <is>
          <t>iPhone</t>
        </is>
      </c>
      <c r="S622" s="4" t="inlineStr">
        <is>
          <t>B13</t>
        </is>
      </c>
      <c r="T622" s="4" t="inlineStr">
        <is>
          <t>RAMP_501_1500</t>
        </is>
      </c>
      <c r="U622" s="4" t="inlineStr">
        <is>
          <t>CREATED</t>
        </is>
      </c>
      <c r="V622" s="4" t="inlineStr">
        <is>
          <t>idem-20260902-ios-0621</t>
        </is>
      </c>
    </row>
    <row r="623" ht="30" customHeight="1">
      <c r="A623" s="4" t="n">
        <v>622</v>
      </c>
      <c r="B623" s="4" t="inlineStr">
        <is>
          <t>MTR-IOS-0622</t>
        </is>
      </c>
      <c r="C623" s="4" t="inlineStr">
        <is>
          <t>Personal</t>
        </is>
      </c>
      <c r="D623" s="4" t="inlineStr">
        <is>
          <t>Personal</t>
        </is>
      </c>
      <c r="E623" s="4" t="inlineStr">
        <is>
          <t>Life Operations</t>
        </is>
      </c>
      <c r="F623" s="4" t="inlineStr">
        <is>
          <t>Groceries</t>
        </is>
      </c>
      <c r="G623" s="4" t="inlineStr">
        <is>
          <t>Expense</t>
        </is>
      </c>
      <c r="H623" s="12" t="n">
        <v>46020</v>
      </c>
      <c r="I623" s="13" t="n">
        <v>0.7048032407407407</v>
      </c>
      <c r="J623" s="14" t="n">
        <v>46020.70480324074</v>
      </c>
      <c r="K623" s="15" t="n">
        <v>16435.9</v>
      </c>
      <c r="L623" s="4" t="inlineStr">
        <is>
          <t>INR</t>
        </is>
      </c>
      <c r="M623" s="15" t="n">
        <v>-16435.9</v>
      </c>
      <c r="N623" s="4" t="inlineStr">
        <is>
          <t>IOS Owner</t>
        </is>
      </c>
      <c r="O623" s="4" t="n"/>
      <c r="P623" s="4" t="n"/>
      <c r="Q623" s="4" t="inlineStr">
        <is>
          <t>MAESTRO-IOS-PERSONAL-LIFE_OPERATIONS-0622 | Groceries | 16435.90</t>
        </is>
      </c>
      <c r="R623" s="4" t="inlineStr">
        <is>
          <t>iPhone</t>
        </is>
      </c>
      <c r="S623" s="4" t="inlineStr">
        <is>
          <t>B13</t>
        </is>
      </c>
      <c r="T623" s="4" t="inlineStr">
        <is>
          <t>RAMP_501_1500</t>
        </is>
      </c>
      <c r="U623" s="4" t="inlineStr">
        <is>
          <t>CREATED</t>
        </is>
      </c>
      <c r="V623" s="4" t="inlineStr">
        <is>
          <t>idem-20260902-ios-0622</t>
        </is>
      </c>
    </row>
    <row r="624" ht="30" customHeight="1">
      <c r="A624" s="4" t="n">
        <v>623</v>
      </c>
      <c r="B624" s="4" t="inlineStr">
        <is>
          <t>MTR-IOS-0623</t>
        </is>
      </c>
      <c r="C624" s="4" t="inlineStr">
        <is>
          <t>Group</t>
        </is>
      </c>
      <c r="D624" s="4" t="inlineStr">
        <is>
          <t>Shared Purchase</t>
        </is>
      </c>
      <c r="E624" s="4" t="inlineStr">
        <is>
          <t>Assets</t>
        </is>
      </c>
      <c r="F624" s="4" t="inlineStr">
        <is>
          <t>Maintenance</t>
        </is>
      </c>
      <c r="G624" s="4" t="inlineStr">
        <is>
          <t>Expense</t>
        </is>
      </c>
      <c r="H624" s="12" t="n">
        <v>46128</v>
      </c>
      <c r="I624" s="13" t="n">
        <v>0.2657175925925926</v>
      </c>
      <c r="J624" s="14" t="n">
        <v>46128.26571759259</v>
      </c>
      <c r="K624" s="15" t="n">
        <v>13034.89</v>
      </c>
      <c r="L624" s="4" t="inlineStr">
        <is>
          <t>INR</t>
        </is>
      </c>
      <c r="M624" s="15" t="n">
        <v>-13034.89</v>
      </c>
      <c r="N624" s="4" t="inlineStr">
        <is>
          <t>IOS Owner</t>
        </is>
      </c>
      <c r="O624" s="4" t="n">
        <v>3</v>
      </c>
      <c r="P624" s="4" t="inlineStr">
        <is>
          <t>SHARES</t>
        </is>
      </c>
      <c r="Q624" s="4" t="inlineStr">
        <is>
          <t>MAESTRO-IOS-GROUP-ASSETS-0623 | Maintenance | 13034.89</t>
        </is>
      </c>
      <c r="R624" s="4" t="inlineStr">
        <is>
          <t>iPhone</t>
        </is>
      </c>
      <c r="S624" s="4" t="inlineStr">
        <is>
          <t>B13</t>
        </is>
      </c>
      <c r="T624" s="4" t="inlineStr">
        <is>
          <t>RAMP_501_1500</t>
        </is>
      </c>
      <c r="U624" s="4" t="inlineStr">
        <is>
          <t>CREATED</t>
        </is>
      </c>
      <c r="V624" s="4" t="inlineStr">
        <is>
          <t>idem-20260902-ios-0623</t>
        </is>
      </c>
    </row>
    <row r="625" ht="30" customHeight="1">
      <c r="A625" s="4" t="n">
        <v>624</v>
      </c>
      <c r="B625" s="4" t="inlineStr">
        <is>
          <t>MTR-IOS-0624</t>
        </is>
      </c>
      <c r="C625" s="4" t="inlineStr">
        <is>
          <t>Business</t>
        </is>
      </c>
      <c r="D625" s="4" t="inlineStr">
        <is>
          <t>Business</t>
        </is>
      </c>
      <c r="E625" s="4" t="inlineStr">
        <is>
          <t>Business Operations</t>
        </is>
      </c>
      <c r="F625" s="4" t="inlineStr">
        <is>
          <t>Equipment</t>
        </is>
      </c>
      <c r="G625" s="4" t="inlineStr">
        <is>
          <t>Expense</t>
        </is>
      </c>
      <c r="H625" s="12" t="n">
        <v>46126</v>
      </c>
      <c r="I625" s="13" t="n">
        <v>0.2842592592592593</v>
      </c>
      <c r="J625" s="14" t="n">
        <v>46126.28425925926</v>
      </c>
      <c r="K625" s="15" t="n">
        <v>86576.31</v>
      </c>
      <c r="L625" s="4" t="inlineStr">
        <is>
          <t>INR</t>
        </is>
      </c>
      <c r="M625" s="15" t="n">
        <v>-86576.31</v>
      </c>
      <c r="N625" s="4" t="inlineStr">
        <is>
          <t>IOS Owner</t>
        </is>
      </c>
      <c r="O625" s="4" t="n"/>
      <c r="P625" s="4" t="n"/>
      <c r="Q625" s="4" t="inlineStr">
        <is>
          <t>MAESTRO-IOS-BUSINESS-BUSINESS_OPERATIONS-0624 | Equipment | 86576.31</t>
        </is>
      </c>
      <c r="R625" s="4" t="inlineStr">
        <is>
          <t>iPhone</t>
        </is>
      </c>
      <c r="S625" s="4" t="inlineStr">
        <is>
          <t>B13</t>
        </is>
      </c>
      <c r="T625" s="4" t="inlineStr">
        <is>
          <t>RAMP_501_1500</t>
        </is>
      </c>
      <c r="U625" s="4" t="inlineStr">
        <is>
          <t>CREATED</t>
        </is>
      </c>
      <c r="V625" s="4" t="inlineStr">
        <is>
          <t>idem-20260902-ios-0624</t>
        </is>
      </c>
    </row>
    <row r="626" ht="30" customHeight="1">
      <c r="A626" s="4" t="n">
        <v>625</v>
      </c>
      <c r="B626" s="4" t="inlineStr">
        <is>
          <t>MTR-IOS-0625</t>
        </is>
      </c>
      <c r="C626" s="4" t="inlineStr">
        <is>
          <t>Personal</t>
        </is>
      </c>
      <c r="D626" s="4" t="inlineStr">
        <is>
          <t>Personal</t>
        </is>
      </c>
      <c r="E626" s="4" t="inlineStr">
        <is>
          <t>Life Operations</t>
        </is>
      </c>
      <c r="F626" s="4" t="inlineStr">
        <is>
          <t>Rent</t>
        </is>
      </c>
      <c r="G626" s="4" t="inlineStr">
        <is>
          <t>Expense</t>
        </is>
      </c>
      <c r="H626" s="12" t="n">
        <v>46198</v>
      </c>
      <c r="I626" s="13" t="n">
        <v>0.3406018518518519</v>
      </c>
      <c r="J626" s="14" t="n">
        <v>46198.34060185185</v>
      </c>
      <c r="K626" s="15" t="n">
        <v>13936.98</v>
      </c>
      <c r="L626" s="4" t="inlineStr">
        <is>
          <t>INR</t>
        </is>
      </c>
      <c r="M626" s="15" t="n">
        <v>-13936.98</v>
      </c>
      <c r="N626" s="4" t="inlineStr">
        <is>
          <t>IOS Owner</t>
        </is>
      </c>
      <c r="O626" s="4" t="n"/>
      <c r="P626" s="4" t="n"/>
      <c r="Q626" s="4" t="inlineStr">
        <is>
          <t>MAESTRO-IOS-PERSONAL-LIFE_OPERATIONS-0625 | Rent | 13936.98</t>
        </is>
      </c>
      <c r="R626" s="4" t="inlineStr">
        <is>
          <t>iPhone</t>
        </is>
      </c>
      <c r="S626" s="4" t="inlineStr">
        <is>
          <t>B13</t>
        </is>
      </c>
      <c r="T626" s="4" t="inlineStr">
        <is>
          <t>RAMP_501_1500</t>
        </is>
      </c>
      <c r="U626" s="4" t="inlineStr">
        <is>
          <t>CREATED</t>
        </is>
      </c>
      <c r="V626" s="4" t="inlineStr">
        <is>
          <t>idem-20260902-ios-0625</t>
        </is>
      </c>
    </row>
    <row r="627" ht="30" customHeight="1">
      <c r="A627" s="4" t="n">
        <v>626</v>
      </c>
      <c r="B627" s="4" t="inlineStr">
        <is>
          <t>MTR-IOS-0626</t>
        </is>
      </c>
      <c r="C627" s="4" t="inlineStr">
        <is>
          <t>Group</t>
        </is>
      </c>
      <c r="D627" s="4" t="inlineStr">
        <is>
          <t>Shared Purchase</t>
        </is>
      </c>
      <c r="E627" s="4" t="inlineStr">
        <is>
          <t>Assets</t>
        </is>
      </c>
      <c r="F627" s="4" t="inlineStr">
        <is>
          <t>Repair</t>
        </is>
      </c>
      <c r="G627" s="4" t="inlineStr">
        <is>
          <t>Expense</t>
        </is>
      </c>
      <c r="H627" s="12" t="n">
        <v>46199</v>
      </c>
      <c r="I627" s="13" t="n">
        <v>0.6916435185185185</v>
      </c>
      <c r="J627" s="14" t="n">
        <v>46199.69164351852</v>
      </c>
      <c r="K627" s="15" t="n">
        <v>23283.77</v>
      </c>
      <c r="L627" s="4" t="inlineStr">
        <is>
          <t>INR</t>
        </is>
      </c>
      <c r="M627" s="15" t="n">
        <v>-23283.77</v>
      </c>
      <c r="N627" s="4" t="inlineStr">
        <is>
          <t>IOS Aarav</t>
        </is>
      </c>
      <c r="O627" s="4" t="n">
        <v>3</v>
      </c>
      <c r="P627" s="4" t="inlineStr">
        <is>
          <t>EQUAL</t>
        </is>
      </c>
      <c r="Q627" s="4" t="inlineStr">
        <is>
          <t>MAESTRO-IOS-GROUP-ASSETS-0626 | Repair | 23283.77</t>
        </is>
      </c>
      <c r="R627" s="4" t="inlineStr">
        <is>
          <t>iPhone</t>
        </is>
      </c>
      <c r="S627" s="4" t="inlineStr">
        <is>
          <t>B13</t>
        </is>
      </c>
      <c r="T627" s="4" t="inlineStr">
        <is>
          <t>RAMP_501_1500</t>
        </is>
      </c>
      <c r="U627" s="4" t="inlineStr">
        <is>
          <t>CREATED</t>
        </is>
      </c>
      <c r="V627" s="4" t="inlineStr">
        <is>
          <t>idem-20260902-ios-0626</t>
        </is>
      </c>
    </row>
    <row r="628" ht="30" customHeight="1">
      <c r="A628" s="4" t="n">
        <v>627</v>
      </c>
      <c r="B628" s="4" t="inlineStr">
        <is>
          <t>MTR-IOS-0627</t>
        </is>
      </c>
      <c r="C628" s="4" t="inlineStr">
        <is>
          <t>Business</t>
        </is>
      </c>
      <c r="D628" s="4" t="inlineStr">
        <is>
          <t>Business</t>
        </is>
      </c>
      <c r="E628" s="4" t="inlineStr">
        <is>
          <t>Business Operations</t>
        </is>
      </c>
      <c r="F628" s="4" t="inlineStr">
        <is>
          <t>Vendor</t>
        </is>
      </c>
      <c r="G628" s="4" t="inlineStr">
        <is>
          <t>Expense</t>
        </is>
      </c>
      <c r="H628" s="12" t="n">
        <v>46010</v>
      </c>
      <c r="I628" s="13" t="n">
        <v>0.0759375</v>
      </c>
      <c r="J628" s="14" t="n">
        <v>46010.0759375</v>
      </c>
      <c r="K628" s="15" t="n">
        <v>37462.12</v>
      </c>
      <c r="L628" s="4" t="inlineStr">
        <is>
          <t>INR</t>
        </is>
      </c>
      <c r="M628" s="15" t="n">
        <v>-37462.12</v>
      </c>
      <c r="N628" s="4" t="inlineStr">
        <is>
          <t>IOS Owner</t>
        </is>
      </c>
      <c r="O628" s="4" t="n"/>
      <c r="P628" s="4" t="n"/>
      <c r="Q628" s="4" t="inlineStr">
        <is>
          <t>MAESTRO-IOS-BUSINESS-BUSINESS_OPERATIONS-0627 | Vendor | 37462.12</t>
        </is>
      </c>
      <c r="R628" s="4" t="inlineStr">
        <is>
          <t>iPhone</t>
        </is>
      </c>
      <c r="S628" s="4" t="inlineStr">
        <is>
          <t>B13</t>
        </is>
      </c>
      <c r="T628" s="4" t="inlineStr">
        <is>
          <t>RAMP_501_1500</t>
        </is>
      </c>
      <c r="U628" s="4" t="inlineStr">
        <is>
          <t>CREATED</t>
        </is>
      </c>
      <c r="V628" s="4" t="inlineStr">
        <is>
          <t>idem-20260902-ios-0627</t>
        </is>
      </c>
    </row>
    <row r="629" ht="30" customHeight="1">
      <c r="A629" s="4" t="n">
        <v>628</v>
      </c>
      <c r="B629" s="4" t="inlineStr">
        <is>
          <t>MTR-IOS-0628</t>
        </is>
      </c>
      <c r="C629" s="4" t="inlineStr">
        <is>
          <t>Personal</t>
        </is>
      </c>
      <c r="D629" s="4" t="inlineStr">
        <is>
          <t>Personal</t>
        </is>
      </c>
      <c r="E629" s="4" t="inlineStr">
        <is>
          <t>Life Operations</t>
        </is>
      </c>
      <c r="F629" s="4" t="inlineStr">
        <is>
          <t>Bills</t>
        </is>
      </c>
      <c r="G629" s="4" t="inlineStr">
        <is>
          <t>Expense</t>
        </is>
      </c>
      <c r="H629" s="12" t="n">
        <v>46008</v>
      </c>
      <c r="I629" s="13" t="n">
        <v>0.4764699074074074</v>
      </c>
      <c r="J629" s="14" t="n">
        <v>46008.47646990741</v>
      </c>
      <c r="K629" s="15" t="n">
        <v>13166.69</v>
      </c>
      <c r="L629" s="4" t="inlineStr">
        <is>
          <t>INR</t>
        </is>
      </c>
      <c r="M629" s="15" t="n">
        <v>-13166.69</v>
      </c>
      <c r="N629" s="4" t="inlineStr">
        <is>
          <t>IOS Owner</t>
        </is>
      </c>
      <c r="O629" s="4" t="n"/>
      <c r="P629" s="4" t="n"/>
      <c r="Q629" s="4" t="inlineStr">
        <is>
          <t>MAESTRO-IOS-PERSONAL-LIFE_OPERATIONS-0628 | Bills | 13166.69</t>
        </is>
      </c>
      <c r="R629" s="4" t="inlineStr">
        <is>
          <t>iPhone</t>
        </is>
      </c>
      <c r="S629" s="4" t="inlineStr">
        <is>
          <t>B13</t>
        </is>
      </c>
      <c r="T629" s="4" t="inlineStr">
        <is>
          <t>RAMP_501_1500</t>
        </is>
      </c>
      <c r="U629" s="4" t="inlineStr">
        <is>
          <t>CREATED</t>
        </is>
      </c>
      <c r="V629" s="4" t="inlineStr">
        <is>
          <t>idem-20260902-ios-0628</t>
        </is>
      </c>
    </row>
    <row r="630" ht="30" customHeight="1">
      <c r="A630" s="4" t="n">
        <v>629</v>
      </c>
      <c r="B630" s="4" t="inlineStr">
        <is>
          <t>MTR-IOS-0629</t>
        </is>
      </c>
      <c r="C630" s="4" t="inlineStr">
        <is>
          <t>Group</t>
        </is>
      </c>
      <c r="D630" s="4" t="inlineStr">
        <is>
          <t>Shared Purchase</t>
        </is>
      </c>
      <c r="E630" s="4" t="inlineStr">
        <is>
          <t>Assets</t>
        </is>
      </c>
      <c r="F630" s="4" t="inlineStr">
        <is>
          <t>Insurance</t>
        </is>
      </c>
      <c r="G630" s="4" t="inlineStr">
        <is>
          <t>Expense</t>
        </is>
      </c>
      <c r="H630" s="12" t="n">
        <v>46056</v>
      </c>
      <c r="I630" s="13" t="n">
        <v>0.5085300925925926</v>
      </c>
      <c r="J630" s="14" t="n">
        <v>46056.50853009259</v>
      </c>
      <c r="K630" s="15" t="n">
        <v>10000</v>
      </c>
      <c r="L630" s="4" t="inlineStr">
        <is>
          <t>INR</t>
        </is>
      </c>
      <c r="M630" s="15" t="n">
        <v>-10000</v>
      </c>
      <c r="N630" s="4" t="inlineStr">
        <is>
          <t>IOS Meera</t>
        </is>
      </c>
      <c r="O630" s="4" t="n">
        <v>3</v>
      </c>
      <c r="P630" s="4" t="inlineStr">
        <is>
          <t>PERCENTAGE</t>
        </is>
      </c>
      <c r="Q630" s="4" t="inlineStr">
        <is>
          <t>MAESTRO-IOS-GROUP-ASSETS-0629 | Insurance | 10000.00</t>
        </is>
      </c>
      <c r="R630" s="4" t="inlineStr">
        <is>
          <t>iPhone</t>
        </is>
      </c>
      <c r="S630" s="4" t="inlineStr">
        <is>
          <t>B13</t>
        </is>
      </c>
      <c r="T630" s="4" t="inlineStr">
        <is>
          <t>RAMP_501_1500</t>
        </is>
      </c>
      <c r="U630" s="4" t="inlineStr">
        <is>
          <t>CREATED</t>
        </is>
      </c>
      <c r="V630" s="4" t="inlineStr">
        <is>
          <t>idem-20260902-ios-0629</t>
        </is>
      </c>
    </row>
    <row r="631" ht="30" customHeight="1">
      <c r="A631" s="4" t="n">
        <v>630</v>
      </c>
      <c r="B631" s="4" t="inlineStr">
        <is>
          <t>MTR-IOS-0630</t>
        </is>
      </c>
      <c r="C631" s="4" t="inlineStr">
        <is>
          <t>Business</t>
        </is>
      </c>
      <c r="D631" s="4" t="inlineStr">
        <is>
          <t>Business</t>
        </is>
      </c>
      <c r="E631" s="4" t="inlineStr">
        <is>
          <t>Business Operations</t>
        </is>
      </c>
      <c r="F631" s="4" t="inlineStr">
        <is>
          <t>Tax</t>
        </is>
      </c>
      <c r="G631" s="4" t="inlineStr">
        <is>
          <t>Expense</t>
        </is>
      </c>
      <c r="H631" s="12" t="n">
        <v>45964</v>
      </c>
      <c r="I631" s="13" t="n">
        <v>0.1313541666666667</v>
      </c>
      <c r="J631" s="14" t="n">
        <v>45964.13135416667</v>
      </c>
      <c r="K631" s="15" t="n">
        <v>113547.7</v>
      </c>
      <c r="L631" s="4" t="inlineStr">
        <is>
          <t>INR</t>
        </is>
      </c>
      <c r="M631" s="15" t="n">
        <v>-113547.7</v>
      </c>
      <c r="N631" s="4" t="inlineStr">
        <is>
          <t>IOS Owner</t>
        </is>
      </c>
      <c r="O631" s="4" t="n"/>
      <c r="P631" s="4" t="n"/>
      <c r="Q631" s="4" t="inlineStr">
        <is>
          <t>MAESTRO-IOS-BUSINESS-BUSINESS_OPERATIONS-0630 | Tax | 113547.70</t>
        </is>
      </c>
      <c r="R631" s="4" t="inlineStr">
        <is>
          <t>iPhone</t>
        </is>
      </c>
      <c r="S631" s="4" t="inlineStr">
        <is>
          <t>B13</t>
        </is>
      </c>
      <c r="T631" s="4" t="inlineStr">
        <is>
          <t>RAMP_501_1500</t>
        </is>
      </c>
      <c r="U631" s="4" t="inlineStr">
        <is>
          <t>CREATED</t>
        </is>
      </c>
      <c r="V631" s="4" t="inlineStr">
        <is>
          <t>idem-20260902-ios-0630</t>
        </is>
      </c>
    </row>
    <row r="632" ht="30" customHeight="1">
      <c r="A632" s="4" t="n">
        <v>631</v>
      </c>
      <c r="B632" s="4" t="inlineStr">
        <is>
          <t>MTR-IOS-0631</t>
        </is>
      </c>
      <c r="C632" s="4" t="inlineStr">
        <is>
          <t>Personal</t>
        </is>
      </c>
      <c r="D632" s="4" t="inlineStr">
        <is>
          <t>Personal</t>
        </is>
      </c>
      <c r="E632" s="4" t="inlineStr">
        <is>
          <t>Life Operations</t>
        </is>
      </c>
      <c r="F632" s="4" t="inlineStr">
        <is>
          <t>Transport</t>
        </is>
      </c>
      <c r="G632" s="4" t="inlineStr">
        <is>
          <t>Expense</t>
        </is>
      </c>
      <c r="H632" s="12" t="n">
        <v>45960</v>
      </c>
      <c r="I632" s="13" t="n">
        <v>0.5059490740740741</v>
      </c>
      <c r="J632" s="14" t="n">
        <v>45960.50594907408</v>
      </c>
      <c r="K632" s="15" t="n">
        <v>732.91</v>
      </c>
      <c r="L632" s="4" t="inlineStr">
        <is>
          <t>INR</t>
        </is>
      </c>
      <c r="M632" s="15" t="n">
        <v>-732.91</v>
      </c>
      <c r="N632" s="4" t="inlineStr">
        <is>
          <t>IOS Owner</t>
        </is>
      </c>
      <c r="O632" s="4" t="n"/>
      <c r="P632" s="4" t="n"/>
      <c r="Q632" s="4" t="inlineStr">
        <is>
          <t>MAESTRO-IOS-PERSONAL-LIFE_OPERATIONS-0631 | Transport | 732.91</t>
        </is>
      </c>
      <c r="R632" s="4" t="inlineStr">
        <is>
          <t>iPhone</t>
        </is>
      </c>
      <c r="S632" s="4" t="inlineStr">
        <is>
          <t>B13</t>
        </is>
      </c>
      <c r="T632" s="4" t="inlineStr">
        <is>
          <t>RAMP_501_1500</t>
        </is>
      </c>
      <c r="U632" s="4" t="inlineStr">
        <is>
          <t>CREATED</t>
        </is>
      </c>
      <c r="V632" s="4" t="inlineStr">
        <is>
          <t>idem-20260902-ios-0631</t>
        </is>
      </c>
    </row>
    <row r="633" ht="30" customHeight="1">
      <c r="A633" s="4" t="n">
        <v>632</v>
      </c>
      <c r="B633" s="4" t="inlineStr">
        <is>
          <t>MTR-IOS-0632</t>
        </is>
      </c>
      <c r="C633" s="4" t="inlineStr">
        <is>
          <t>Group</t>
        </is>
      </c>
      <c r="D633" s="4" t="inlineStr">
        <is>
          <t>Shared Purchase</t>
        </is>
      </c>
      <c r="E633" s="4" t="inlineStr">
        <is>
          <t>Assets</t>
        </is>
      </c>
      <c r="F633" s="4" t="inlineStr">
        <is>
          <t>Other</t>
        </is>
      </c>
      <c r="G633" s="4" t="inlineStr">
        <is>
          <t>Expense</t>
        </is>
      </c>
      <c r="H633" s="12" t="n">
        <v>46077</v>
      </c>
      <c r="I633" s="13" t="n">
        <v>0.448425925925926</v>
      </c>
      <c r="J633" s="14" t="n">
        <v>46077.44842592593</v>
      </c>
      <c r="K633" s="15" t="n">
        <v>23455.44</v>
      </c>
      <c r="L633" s="4" t="inlineStr">
        <is>
          <t>INR</t>
        </is>
      </c>
      <c r="M633" s="15" t="n">
        <v>-23455.44</v>
      </c>
      <c r="N633" s="4" t="inlineStr">
        <is>
          <t>IOS Owner</t>
        </is>
      </c>
      <c r="O633" s="4" t="n">
        <v>3</v>
      </c>
      <c r="P633" s="4" t="inlineStr">
        <is>
          <t>EXACT</t>
        </is>
      </c>
      <c r="Q633" s="4" t="inlineStr">
        <is>
          <t>MAESTRO-IOS-GROUP-ASSETS-0632 | Other | 23455.44</t>
        </is>
      </c>
      <c r="R633" s="4" t="inlineStr">
        <is>
          <t>iPhone</t>
        </is>
      </c>
      <c r="S633" s="4" t="inlineStr">
        <is>
          <t>B13</t>
        </is>
      </c>
      <c r="T633" s="4" t="inlineStr">
        <is>
          <t>RAMP_501_1500</t>
        </is>
      </c>
      <c r="U633" s="4" t="inlineStr">
        <is>
          <t>CREATED</t>
        </is>
      </c>
      <c r="V633" s="4" t="inlineStr">
        <is>
          <t>idem-20260902-ios-0632</t>
        </is>
      </c>
    </row>
    <row r="634" ht="30" customHeight="1">
      <c r="A634" s="4" t="n">
        <v>633</v>
      </c>
      <c r="B634" s="4" t="inlineStr">
        <is>
          <t>MTR-IOS-0633</t>
        </is>
      </c>
      <c r="C634" s="4" t="inlineStr">
        <is>
          <t>Business</t>
        </is>
      </c>
      <c r="D634" s="4" t="inlineStr">
        <is>
          <t>Business</t>
        </is>
      </c>
      <c r="E634" s="4" t="inlineStr">
        <is>
          <t>Team Operations</t>
        </is>
      </c>
      <c r="F634" s="4" t="inlineStr">
        <is>
          <t>Payroll</t>
        </is>
      </c>
      <c r="G634" s="4" t="inlineStr">
        <is>
          <t>Expense</t>
        </is>
      </c>
      <c r="H634" s="12" t="n">
        <v>45918</v>
      </c>
      <c r="I634" s="13" t="n">
        <v>0.9341435185185185</v>
      </c>
      <c r="J634" s="14" t="n">
        <v>45918.93414351852</v>
      </c>
      <c r="K634" s="15" t="n">
        <v>73021.27</v>
      </c>
      <c r="L634" s="4" t="inlineStr">
        <is>
          <t>INR</t>
        </is>
      </c>
      <c r="M634" s="15" t="n">
        <v>-73021.27</v>
      </c>
      <c r="N634" s="4" t="inlineStr">
        <is>
          <t>IOS Owner</t>
        </is>
      </c>
      <c r="O634" s="4" t="n"/>
      <c r="P634" s="4" t="n"/>
      <c r="Q634" s="4" t="inlineStr">
        <is>
          <t>MAESTRO-IOS-BUSINESS-TEAM_OPERATIONS-0633 | Payroll | 73021.27</t>
        </is>
      </c>
      <c r="R634" s="4" t="inlineStr">
        <is>
          <t>iPhone</t>
        </is>
      </c>
      <c r="S634" s="4" t="inlineStr">
        <is>
          <t>B13</t>
        </is>
      </c>
      <c r="T634" s="4" t="inlineStr">
        <is>
          <t>RAMP_501_1500</t>
        </is>
      </c>
      <c r="U634" s="4" t="inlineStr">
        <is>
          <t>CREATED</t>
        </is>
      </c>
      <c r="V634" s="4" t="inlineStr">
        <is>
          <t>idem-20260902-ios-0633</t>
        </is>
      </c>
    </row>
    <row r="635" ht="30" customHeight="1">
      <c r="A635" s="4" t="n">
        <v>634</v>
      </c>
      <c r="B635" s="4" t="inlineStr">
        <is>
          <t>MTR-IOS-0634</t>
        </is>
      </c>
      <c r="C635" s="4" t="inlineStr">
        <is>
          <t>Personal</t>
        </is>
      </c>
      <c r="D635" s="4" t="inlineStr">
        <is>
          <t>Personal</t>
        </is>
      </c>
      <c r="E635" s="4" t="inlineStr">
        <is>
          <t>Life Operations</t>
        </is>
      </c>
      <c r="F635" s="4" t="inlineStr">
        <is>
          <t>Healthcare</t>
        </is>
      </c>
      <c r="G635" s="4" t="inlineStr">
        <is>
          <t>Expense</t>
        </is>
      </c>
      <c r="H635" s="12" t="n">
        <v>46004</v>
      </c>
      <c r="I635" s="13" t="n">
        <v>0.5045486111111112</v>
      </c>
      <c r="J635" s="14" t="n">
        <v>46004.50454861111</v>
      </c>
      <c r="K635" s="15" t="n">
        <v>10600.42</v>
      </c>
      <c r="L635" s="4" t="inlineStr">
        <is>
          <t>INR</t>
        </is>
      </c>
      <c r="M635" s="15" t="n">
        <v>-10600.42</v>
      </c>
      <c r="N635" s="4" t="inlineStr">
        <is>
          <t>IOS Owner</t>
        </is>
      </c>
      <c r="O635" s="4" t="n"/>
      <c r="P635" s="4" t="n"/>
      <c r="Q635" s="4" t="inlineStr">
        <is>
          <t>MAESTRO-IOS-PERSONAL-LIFE_OPERATIONS-0634 | Healthcare | 10600.42</t>
        </is>
      </c>
      <c r="R635" s="4" t="inlineStr">
        <is>
          <t>iPhone</t>
        </is>
      </c>
      <c r="S635" s="4" t="inlineStr">
        <is>
          <t>B13</t>
        </is>
      </c>
      <c r="T635" s="4" t="inlineStr">
        <is>
          <t>RAMP_501_1500</t>
        </is>
      </c>
      <c r="U635" s="4" t="inlineStr">
        <is>
          <t>CREATED</t>
        </is>
      </c>
      <c r="V635" s="4" t="inlineStr">
        <is>
          <t>idem-20260902-ios-0634</t>
        </is>
      </c>
    </row>
    <row r="636" ht="30" customHeight="1">
      <c r="A636" s="4" t="n">
        <v>635</v>
      </c>
      <c r="B636" s="4" t="inlineStr">
        <is>
          <t>MTR-IOS-0635</t>
        </is>
      </c>
      <c r="C636" s="4" t="inlineStr">
        <is>
          <t>Group</t>
        </is>
      </c>
      <c r="D636" s="4" t="inlineStr">
        <is>
          <t>Shared Purchase</t>
        </is>
      </c>
      <c r="E636" s="4" t="inlineStr">
        <is>
          <t>Custom Purchase</t>
        </is>
      </c>
      <c r="F636" s="4" t="inlineStr">
        <is>
          <t>Custom Expense</t>
        </is>
      </c>
      <c r="G636" s="4" t="inlineStr">
        <is>
          <t>Expense</t>
        </is>
      </c>
      <c r="H636" s="12" t="n">
        <v>46001</v>
      </c>
      <c r="I636" s="13" t="n">
        <v>0.2465625</v>
      </c>
      <c r="J636" s="14" t="n">
        <v>46001.2465625</v>
      </c>
      <c r="K636" s="15" t="n">
        <v>21706.95</v>
      </c>
      <c r="L636" s="4" t="inlineStr">
        <is>
          <t>INR</t>
        </is>
      </c>
      <c r="M636" s="15" t="n">
        <v>-21706.95</v>
      </c>
      <c r="N636" s="4" t="inlineStr">
        <is>
          <t>IOS Aarav</t>
        </is>
      </c>
      <c r="O636" s="4" t="n">
        <v>3</v>
      </c>
      <c r="P636" s="4" t="inlineStr">
        <is>
          <t>SHARES</t>
        </is>
      </c>
      <c r="Q636" s="4" t="inlineStr">
        <is>
          <t>MAESTRO-IOS-GROUP-CUSTOM_PURCHASE-0635 | Custom Expense | 21706.95</t>
        </is>
      </c>
      <c r="R636" s="4" t="inlineStr">
        <is>
          <t>iPhone</t>
        </is>
      </c>
      <c r="S636" s="4" t="inlineStr">
        <is>
          <t>B13</t>
        </is>
      </c>
      <c r="T636" s="4" t="inlineStr">
        <is>
          <t>RAMP_501_1500</t>
        </is>
      </c>
      <c r="U636" s="4" t="inlineStr">
        <is>
          <t>CREATED</t>
        </is>
      </c>
      <c r="V636" s="4" t="inlineStr">
        <is>
          <t>idem-20260902-ios-0635</t>
        </is>
      </c>
    </row>
    <row r="637" ht="30" customHeight="1">
      <c r="A637" s="4" t="n">
        <v>636</v>
      </c>
      <c r="B637" s="4" t="inlineStr">
        <is>
          <t>MTR-IOS-0636</t>
        </is>
      </c>
      <c r="C637" s="4" t="inlineStr">
        <is>
          <t>Business</t>
        </is>
      </c>
      <c r="D637" s="4" t="inlineStr">
        <is>
          <t>Business</t>
        </is>
      </c>
      <c r="E637" s="4" t="inlineStr">
        <is>
          <t>Team Operations</t>
        </is>
      </c>
      <c r="F637" s="4" t="inlineStr">
        <is>
          <t>Contractor</t>
        </is>
      </c>
      <c r="G637" s="4" t="inlineStr">
        <is>
          <t>Expense</t>
        </is>
      </c>
      <c r="H637" s="12" t="n">
        <v>46119</v>
      </c>
      <c r="I637" s="13" t="n">
        <v>0.09040509259259259</v>
      </c>
      <c r="J637" s="14" t="n">
        <v>46119.09040509259</v>
      </c>
      <c r="K637" s="15" t="n">
        <v>158475.94</v>
      </c>
      <c r="L637" s="4" t="inlineStr">
        <is>
          <t>INR</t>
        </is>
      </c>
      <c r="M637" s="15" t="n">
        <v>-158475.94</v>
      </c>
      <c r="N637" s="4" t="inlineStr">
        <is>
          <t>IOS Owner</t>
        </is>
      </c>
      <c r="O637" s="4" t="n"/>
      <c r="P637" s="4" t="n"/>
      <c r="Q637" s="4" t="inlineStr">
        <is>
          <t>MAESTRO-IOS-BUSINESS-TEAM_OPERATIONS-0636 | Contractor | 158475.94</t>
        </is>
      </c>
      <c r="R637" s="4" t="inlineStr">
        <is>
          <t>iPhone</t>
        </is>
      </c>
      <c r="S637" s="4" t="inlineStr">
        <is>
          <t>B13</t>
        </is>
      </c>
      <c r="T637" s="4" t="inlineStr">
        <is>
          <t>RAMP_501_1500</t>
        </is>
      </c>
      <c r="U637" s="4" t="inlineStr">
        <is>
          <t>CREATED</t>
        </is>
      </c>
      <c r="V637" s="4" t="inlineStr">
        <is>
          <t>idem-20260902-ios-0636</t>
        </is>
      </c>
    </row>
    <row r="638" ht="30" customHeight="1">
      <c r="A638" s="4" t="n">
        <v>637</v>
      </c>
      <c r="B638" s="4" t="inlineStr">
        <is>
          <t>MTR-IOS-0637</t>
        </is>
      </c>
      <c r="C638" s="4" t="inlineStr">
        <is>
          <t>Personal</t>
        </is>
      </c>
      <c r="D638" s="4" t="inlineStr">
        <is>
          <t>Personal</t>
        </is>
      </c>
      <c r="E638" s="4" t="inlineStr">
        <is>
          <t>Life Operations</t>
        </is>
      </c>
      <c r="F638" s="4" t="inlineStr">
        <is>
          <t>Subscriptions</t>
        </is>
      </c>
      <c r="G638" s="4" t="inlineStr">
        <is>
          <t>Expense</t>
        </is>
      </c>
      <c r="H638" s="12" t="n">
        <v>46240</v>
      </c>
      <c r="I638" s="13" t="n">
        <v>0.09089120370370371</v>
      </c>
      <c r="J638" s="14" t="n">
        <v>46240.0908912037</v>
      </c>
      <c r="K638" s="15" t="n">
        <v>17186.58</v>
      </c>
      <c r="L638" s="4" t="inlineStr">
        <is>
          <t>INR</t>
        </is>
      </c>
      <c r="M638" s="15" t="n">
        <v>-17186.58</v>
      </c>
      <c r="N638" s="4" t="inlineStr">
        <is>
          <t>IOS Owner</t>
        </is>
      </c>
      <c r="O638" s="4" t="n"/>
      <c r="P638" s="4" t="n"/>
      <c r="Q638" s="4" t="inlineStr">
        <is>
          <t>MAESTRO-IOS-PERSONAL-LIFE_OPERATIONS-0637 | Subscriptions | 17186.58</t>
        </is>
      </c>
      <c r="R638" s="4" t="inlineStr">
        <is>
          <t>iPhone</t>
        </is>
      </c>
      <c r="S638" s="4" t="inlineStr">
        <is>
          <t>B13</t>
        </is>
      </c>
      <c r="T638" s="4" t="inlineStr">
        <is>
          <t>RAMP_501_1500</t>
        </is>
      </c>
      <c r="U638" s="4" t="inlineStr">
        <is>
          <t>CREATED</t>
        </is>
      </c>
      <c r="V638" s="4" t="inlineStr">
        <is>
          <t>idem-20260902-ios-0637</t>
        </is>
      </c>
    </row>
    <row r="639" ht="30" customHeight="1">
      <c r="A639" s="4" t="n">
        <v>638</v>
      </c>
      <c r="B639" s="4" t="inlineStr">
        <is>
          <t>MTR-IOS-0638</t>
        </is>
      </c>
      <c r="C639" s="4" t="inlineStr">
        <is>
          <t>Group</t>
        </is>
      </c>
      <c r="D639" s="4" t="inlineStr">
        <is>
          <t>Shared Purchase</t>
        </is>
      </c>
      <c r="E639" s="4" t="inlineStr">
        <is>
          <t>Custom Purchase</t>
        </is>
      </c>
      <c r="F639" s="4" t="inlineStr">
        <is>
          <t>Custom Contribution</t>
        </is>
      </c>
      <c r="G639" s="4" t="inlineStr">
        <is>
          <t>Contribution</t>
        </is>
      </c>
      <c r="H639" s="12" t="n">
        <v>46165</v>
      </c>
      <c r="I639" s="13" t="n">
        <v>0.2070833333333333</v>
      </c>
      <c r="J639" s="14" t="n">
        <v>46165.20708333333</v>
      </c>
      <c r="K639" s="15" t="n">
        <v>8516.85</v>
      </c>
      <c r="L639" s="4" t="inlineStr">
        <is>
          <t>INR</t>
        </is>
      </c>
      <c r="M639" s="15" t="n">
        <v>8516.85</v>
      </c>
      <c r="N639" s="4" t="inlineStr">
        <is>
          <t>IOS Meera</t>
        </is>
      </c>
      <c r="O639" s="4" t="n">
        <v>3</v>
      </c>
      <c r="P639" s="4" t="inlineStr">
        <is>
          <t>EQUAL</t>
        </is>
      </c>
      <c r="Q639" s="4" t="inlineStr">
        <is>
          <t>MAESTRO-IOS-GROUP-CUSTOM_PURCHASE-0638 | Custom Contribution | 8516.85</t>
        </is>
      </c>
      <c r="R639" s="4" t="inlineStr">
        <is>
          <t>iPhone</t>
        </is>
      </c>
      <c r="S639" s="4" t="inlineStr">
        <is>
          <t>B13</t>
        </is>
      </c>
      <c r="T639" s="4" t="inlineStr">
        <is>
          <t>RAMP_501_1500</t>
        </is>
      </c>
      <c r="U639" s="4" t="inlineStr">
        <is>
          <t>CREATED</t>
        </is>
      </c>
      <c r="V639" s="4" t="inlineStr">
        <is>
          <t>idem-20260902-ios-0638</t>
        </is>
      </c>
    </row>
    <row r="640" ht="30" customHeight="1">
      <c r="A640" s="4" t="n">
        <v>639</v>
      </c>
      <c r="B640" s="4" t="inlineStr">
        <is>
          <t>MTR-IOS-0639</t>
        </is>
      </c>
      <c r="C640" s="4" t="inlineStr">
        <is>
          <t>Business</t>
        </is>
      </c>
      <c r="D640" s="4" t="inlineStr">
        <is>
          <t>Business</t>
        </is>
      </c>
      <c r="E640" s="4" t="inlineStr">
        <is>
          <t>Team Operations</t>
        </is>
      </c>
      <c r="F640" s="4" t="inlineStr">
        <is>
          <t>Hiring</t>
        </is>
      </c>
      <c r="G640" s="4" t="inlineStr">
        <is>
          <t>Expense</t>
        </is>
      </c>
      <c r="H640" s="12" t="n">
        <v>46152</v>
      </c>
      <c r="I640" s="13" t="n">
        <v>0.3272453703703704</v>
      </c>
      <c r="J640" s="14" t="n">
        <v>46152.32724537037</v>
      </c>
      <c r="K640" s="15" t="n">
        <v>113980.06</v>
      </c>
      <c r="L640" s="4" t="inlineStr">
        <is>
          <t>INR</t>
        </is>
      </c>
      <c r="M640" s="15" t="n">
        <v>-113980.06</v>
      </c>
      <c r="N640" s="4" t="inlineStr">
        <is>
          <t>IOS Owner</t>
        </is>
      </c>
      <c r="O640" s="4" t="n"/>
      <c r="P640" s="4" t="n"/>
      <c r="Q640" s="4" t="inlineStr">
        <is>
          <t>MAESTRO-IOS-BUSINESS-TEAM_OPERATIONS-0639 | Hiring | 113980.06</t>
        </is>
      </c>
      <c r="R640" s="4" t="inlineStr">
        <is>
          <t>iPhone</t>
        </is>
      </c>
      <c r="S640" s="4" t="inlineStr">
        <is>
          <t>B13</t>
        </is>
      </c>
      <c r="T640" s="4" t="inlineStr">
        <is>
          <t>RAMP_501_1500</t>
        </is>
      </c>
      <c r="U640" s="4" t="inlineStr">
        <is>
          <t>CREATED</t>
        </is>
      </c>
      <c r="V640" s="4" t="inlineStr">
        <is>
          <t>idem-20260902-ios-0639</t>
        </is>
      </c>
    </row>
    <row r="641" ht="30" customHeight="1">
      <c r="A641" s="4" t="n">
        <v>640</v>
      </c>
      <c r="B641" s="4" t="inlineStr">
        <is>
          <t>MTR-IOS-0640</t>
        </is>
      </c>
      <c r="C641" s="4" t="inlineStr">
        <is>
          <t>Personal</t>
        </is>
      </c>
      <c r="D641" s="4" t="inlineStr">
        <is>
          <t>Personal</t>
        </is>
      </c>
      <c r="E641" s="4" t="inlineStr">
        <is>
          <t>Life Operations</t>
        </is>
      </c>
      <c r="F641" s="4" t="inlineStr">
        <is>
          <t>Repairs</t>
        </is>
      </c>
      <c r="G641" s="4" t="inlineStr">
        <is>
          <t>Expense</t>
        </is>
      </c>
      <c r="H641" s="12" t="n">
        <v>46223</v>
      </c>
      <c r="I641" s="13" t="n">
        <v>0.1915162037037037</v>
      </c>
      <c r="J641" s="14" t="n">
        <v>46223.1915162037</v>
      </c>
      <c r="K641" s="15" t="n">
        <v>12981.26</v>
      </c>
      <c r="L641" s="4" t="inlineStr">
        <is>
          <t>INR</t>
        </is>
      </c>
      <c r="M641" s="15" t="n">
        <v>-12981.26</v>
      </c>
      <c r="N641" s="4" t="inlineStr">
        <is>
          <t>IOS Owner</t>
        </is>
      </c>
      <c r="O641" s="4" t="n"/>
      <c r="P641" s="4" t="n"/>
      <c r="Q641" s="4" t="inlineStr">
        <is>
          <t>MAESTRO-IOS-PERSONAL-LIFE_OPERATIONS-0640 | Repairs | 12981.26</t>
        </is>
      </c>
      <c r="R641" s="4" t="inlineStr">
        <is>
          <t>iPhone</t>
        </is>
      </c>
      <c r="S641" s="4" t="inlineStr">
        <is>
          <t>B13</t>
        </is>
      </c>
      <c r="T641" s="4" t="inlineStr">
        <is>
          <t>RAMP_501_1500</t>
        </is>
      </c>
      <c r="U641" s="4" t="inlineStr">
        <is>
          <t>CREATED</t>
        </is>
      </c>
      <c r="V641" s="4" t="inlineStr">
        <is>
          <t>idem-20260902-ios-0640</t>
        </is>
      </c>
    </row>
    <row r="642" ht="30" customHeight="1">
      <c r="A642" s="4" t="n">
        <v>641</v>
      </c>
      <c r="B642" s="4" t="inlineStr">
        <is>
          <t>MTR-IOS-0641</t>
        </is>
      </c>
      <c r="C642" s="4" t="inlineStr">
        <is>
          <t>Group</t>
        </is>
      </c>
      <c r="D642" s="4" t="inlineStr">
        <is>
          <t>Shared Living</t>
        </is>
      </c>
      <c r="E642" s="4" t="inlineStr">
        <is>
          <t>Flatmates</t>
        </is>
      </c>
      <c r="F642" s="4" t="inlineStr">
        <is>
          <t>Rent</t>
        </is>
      </c>
      <c r="G642" s="4" t="inlineStr">
        <is>
          <t>Expense</t>
        </is>
      </c>
      <c r="H642" s="12" t="n">
        <v>46016</v>
      </c>
      <c r="I642" s="13" t="n">
        <v>0.5004976851851852</v>
      </c>
      <c r="J642" s="14" t="n">
        <v>46016.50049768519</v>
      </c>
      <c r="K642" s="15" t="n">
        <v>17267.12</v>
      </c>
      <c r="L642" s="4" t="inlineStr">
        <is>
          <t>INR</t>
        </is>
      </c>
      <c r="M642" s="15" t="n">
        <v>-17267.12</v>
      </c>
      <c r="N642" s="4" t="inlineStr">
        <is>
          <t>IOS Owner</t>
        </is>
      </c>
      <c r="O642" s="4" t="n">
        <v>3</v>
      </c>
      <c r="P642" s="4" t="inlineStr">
        <is>
          <t>PERCENTAGE</t>
        </is>
      </c>
      <c r="Q642" s="4" t="inlineStr">
        <is>
          <t>MAESTRO-IOS-GROUP-FLATMATES-0641 | Rent | 17267.12</t>
        </is>
      </c>
      <c r="R642" s="4" t="inlineStr">
        <is>
          <t>iPhone</t>
        </is>
      </c>
      <c r="S642" s="4" t="inlineStr">
        <is>
          <t>B13</t>
        </is>
      </c>
      <c r="T642" s="4" t="inlineStr">
        <is>
          <t>RAMP_501_1500</t>
        </is>
      </c>
      <c r="U642" s="4" t="inlineStr">
        <is>
          <t>CREATED</t>
        </is>
      </c>
      <c r="V642" s="4" t="inlineStr">
        <is>
          <t>idem-20260902-ios-0641</t>
        </is>
      </c>
    </row>
    <row r="643" ht="30" customHeight="1">
      <c r="A643" s="4" t="n">
        <v>642</v>
      </c>
      <c r="B643" s="4" t="inlineStr">
        <is>
          <t>MTR-IOS-0642</t>
        </is>
      </c>
      <c r="C643" s="4" t="inlineStr">
        <is>
          <t>Business</t>
        </is>
      </c>
      <c r="D643" s="4" t="inlineStr">
        <is>
          <t>Business</t>
        </is>
      </c>
      <c r="E643" s="4" t="inlineStr">
        <is>
          <t>Team Operations</t>
        </is>
      </c>
      <c r="F643" s="4" t="inlineStr">
        <is>
          <t>Team Meal</t>
        </is>
      </c>
      <c r="G643" s="4" t="inlineStr">
        <is>
          <t>Expense</t>
        </is>
      </c>
      <c r="H643" s="12" t="n">
        <v>45919</v>
      </c>
      <c r="I643" s="13" t="n">
        <v>0.8002893518518519</v>
      </c>
      <c r="J643" s="14" t="n">
        <v>45919.80028935185</v>
      </c>
      <c r="K643" s="15" t="n">
        <v>39146.32</v>
      </c>
      <c r="L643" s="4" t="inlineStr">
        <is>
          <t>INR</t>
        </is>
      </c>
      <c r="M643" s="15" t="n">
        <v>-39146.32</v>
      </c>
      <c r="N643" s="4" t="inlineStr">
        <is>
          <t>IOS Owner</t>
        </is>
      </c>
      <c r="O643" s="4" t="n"/>
      <c r="P643" s="4" t="n"/>
      <c r="Q643" s="4" t="inlineStr">
        <is>
          <t>MAESTRO-IOS-BUSINESS-TEAM_OPERATIONS-0642 | Team Meal | 39146.32</t>
        </is>
      </c>
      <c r="R643" s="4" t="inlineStr">
        <is>
          <t>iPhone</t>
        </is>
      </c>
      <c r="S643" s="4" t="inlineStr">
        <is>
          <t>B13</t>
        </is>
      </c>
      <c r="T643" s="4" t="inlineStr">
        <is>
          <t>RAMP_501_1500</t>
        </is>
      </c>
      <c r="U643" s="4" t="inlineStr">
        <is>
          <t>CREATED</t>
        </is>
      </c>
      <c r="V643" s="4" t="inlineStr">
        <is>
          <t>idem-20260902-ios-0642</t>
        </is>
      </c>
    </row>
    <row r="644" ht="30" customHeight="1">
      <c r="A644" s="4" t="n">
        <v>643</v>
      </c>
      <c r="B644" s="4" t="inlineStr">
        <is>
          <t>MTR-IOS-0643</t>
        </is>
      </c>
      <c r="C644" s="4" t="inlineStr">
        <is>
          <t>Personal</t>
        </is>
      </c>
      <c r="D644" s="4" t="inlineStr">
        <is>
          <t>Personal</t>
        </is>
      </c>
      <c r="E644" s="4" t="inlineStr">
        <is>
          <t>Future Building</t>
        </is>
      </c>
      <c r="F644" s="4" t="inlineStr">
        <is>
          <t>Savings</t>
        </is>
      </c>
      <c r="G644" s="4" t="inlineStr">
        <is>
          <t>Transfer</t>
        </is>
      </c>
      <c r="H644" s="12" t="n">
        <v>45907</v>
      </c>
      <c r="I644" s="13" t="n">
        <v>0.4404513888888889</v>
      </c>
      <c r="J644" s="14" t="n">
        <v>45907.44045138889</v>
      </c>
      <c r="K644" s="15" t="n">
        <v>7255.28</v>
      </c>
      <c r="L644" s="4" t="inlineStr">
        <is>
          <t>INR</t>
        </is>
      </c>
      <c r="M644" s="15" t="n">
        <v>0</v>
      </c>
      <c r="N644" s="4" t="inlineStr">
        <is>
          <t>IOS Owner</t>
        </is>
      </c>
      <c r="O644" s="4" t="n"/>
      <c r="P644" s="4" t="n"/>
      <c r="Q644" s="4" t="inlineStr">
        <is>
          <t>MAESTRO-IOS-PERSONAL-FUTURE_BUILDING-0643 | Savings | 7255.28</t>
        </is>
      </c>
      <c r="R644" s="4" t="inlineStr">
        <is>
          <t>iPhone</t>
        </is>
      </c>
      <c r="S644" s="4" t="inlineStr">
        <is>
          <t>B13</t>
        </is>
      </c>
      <c r="T644" s="4" t="inlineStr">
        <is>
          <t>RAMP_501_1500</t>
        </is>
      </c>
      <c r="U644" s="4" t="inlineStr">
        <is>
          <t>CREATED</t>
        </is>
      </c>
      <c r="V644" s="4" t="inlineStr">
        <is>
          <t>idem-20260902-ios-0643</t>
        </is>
      </c>
    </row>
    <row r="645" ht="30" customHeight="1">
      <c r="A645" s="4" t="n">
        <v>644</v>
      </c>
      <c r="B645" s="4" t="inlineStr">
        <is>
          <t>MTR-IOS-0644</t>
        </is>
      </c>
      <c r="C645" s="4" t="inlineStr">
        <is>
          <t>Group</t>
        </is>
      </c>
      <c r="D645" s="4" t="inlineStr">
        <is>
          <t>Shared Living</t>
        </is>
      </c>
      <c r="E645" s="4" t="inlineStr">
        <is>
          <t>Flatmates</t>
        </is>
      </c>
      <c r="F645" s="4" t="inlineStr">
        <is>
          <t>Utilities</t>
        </is>
      </c>
      <c r="G645" s="4" t="inlineStr">
        <is>
          <t>Expense</t>
        </is>
      </c>
      <c r="H645" s="12" t="n">
        <v>46006</v>
      </c>
      <c r="I645" s="13" t="n">
        <v>0.299525462962963</v>
      </c>
      <c r="J645" s="14" t="n">
        <v>46006.29952546296</v>
      </c>
      <c r="K645" s="15" t="n">
        <v>14029.33</v>
      </c>
      <c r="L645" s="4" t="inlineStr">
        <is>
          <t>INR</t>
        </is>
      </c>
      <c r="M645" s="15" t="n">
        <v>-14029.33</v>
      </c>
      <c r="N645" s="4" t="inlineStr">
        <is>
          <t>IOS Aarav</t>
        </is>
      </c>
      <c r="O645" s="4" t="n">
        <v>3</v>
      </c>
      <c r="P645" s="4" t="inlineStr">
        <is>
          <t>EXACT</t>
        </is>
      </c>
      <c r="Q645" s="4" t="inlineStr">
        <is>
          <t>MAESTRO-IOS-GROUP-FLATMATES-0644 | Utilities | 14029.33</t>
        </is>
      </c>
      <c r="R645" s="4" t="inlineStr">
        <is>
          <t>iPhone</t>
        </is>
      </c>
      <c r="S645" s="4" t="inlineStr">
        <is>
          <t>B13</t>
        </is>
      </c>
      <c r="T645" s="4" t="inlineStr">
        <is>
          <t>RAMP_501_1500</t>
        </is>
      </c>
      <c r="U645" s="4" t="inlineStr">
        <is>
          <t>CREATED</t>
        </is>
      </c>
      <c r="V645" s="4" t="inlineStr">
        <is>
          <t>idem-20260902-ios-0644</t>
        </is>
      </c>
    </row>
    <row r="646" ht="30" customHeight="1">
      <c r="A646" s="4" t="n">
        <v>645</v>
      </c>
      <c r="B646" s="4" t="inlineStr">
        <is>
          <t>MTR-IOS-0645</t>
        </is>
      </c>
      <c r="C646" s="4" t="inlineStr">
        <is>
          <t>Business</t>
        </is>
      </c>
      <c r="D646" s="4" t="inlineStr">
        <is>
          <t>Business</t>
        </is>
      </c>
      <c r="E646" s="4" t="inlineStr">
        <is>
          <t>Team Operations</t>
        </is>
      </c>
      <c r="F646" s="4" t="inlineStr">
        <is>
          <t>Travel</t>
        </is>
      </c>
      <c r="G646" s="4" t="inlineStr">
        <is>
          <t>Expense</t>
        </is>
      </c>
      <c r="H646" s="12" t="n">
        <v>46258</v>
      </c>
      <c r="I646" s="13" t="n">
        <v>0.437662037037037</v>
      </c>
      <c r="J646" s="14" t="n">
        <v>46258.43766203704</v>
      </c>
      <c r="K646" s="15" t="n">
        <v>110744.17</v>
      </c>
      <c r="L646" s="4" t="inlineStr">
        <is>
          <t>INR</t>
        </is>
      </c>
      <c r="M646" s="15" t="n">
        <v>-110744.17</v>
      </c>
      <c r="N646" s="4" t="inlineStr">
        <is>
          <t>IOS Owner</t>
        </is>
      </c>
      <c r="O646" s="4" t="n"/>
      <c r="P646" s="4" t="n"/>
      <c r="Q646" s="4" t="inlineStr">
        <is>
          <t>MAESTRO-IOS-BUSINESS-TEAM_OPERATIONS-0645 | Travel | 110744.17</t>
        </is>
      </c>
      <c r="R646" s="4" t="inlineStr">
        <is>
          <t>iPhone</t>
        </is>
      </c>
      <c r="S646" s="4" t="inlineStr">
        <is>
          <t>B13</t>
        </is>
      </c>
      <c r="T646" s="4" t="inlineStr">
        <is>
          <t>RAMP_501_1500</t>
        </is>
      </c>
      <c r="U646" s="4" t="inlineStr">
        <is>
          <t>CREATED</t>
        </is>
      </c>
      <c r="V646" s="4" t="inlineStr">
        <is>
          <t>idem-20260902-ios-0645</t>
        </is>
      </c>
    </row>
    <row r="647" ht="30" customHeight="1">
      <c r="A647" s="4" t="n">
        <v>646</v>
      </c>
      <c r="B647" s="4" t="inlineStr">
        <is>
          <t>MTR-IOS-0646</t>
        </is>
      </c>
      <c r="C647" s="4" t="inlineStr">
        <is>
          <t>Personal</t>
        </is>
      </c>
      <c r="D647" s="4" t="inlineStr">
        <is>
          <t>Personal</t>
        </is>
      </c>
      <c r="E647" s="4" t="inlineStr">
        <is>
          <t>Future Building</t>
        </is>
      </c>
      <c r="F647" s="4" t="inlineStr">
        <is>
          <t>Emergency Fund</t>
        </is>
      </c>
      <c r="G647" s="4" t="inlineStr">
        <is>
          <t>Transfer</t>
        </is>
      </c>
      <c r="H647" s="12" t="n">
        <v>46036</v>
      </c>
      <c r="I647" s="13" t="n">
        <v>0.7934953703703703</v>
      </c>
      <c r="J647" s="14" t="n">
        <v>46036.79349537037</v>
      </c>
      <c r="K647" s="15" t="n">
        <v>14330.2</v>
      </c>
      <c r="L647" s="4" t="inlineStr">
        <is>
          <t>INR</t>
        </is>
      </c>
      <c r="M647" s="15" t="n">
        <v>0</v>
      </c>
      <c r="N647" s="4" t="inlineStr">
        <is>
          <t>IOS Owner</t>
        </is>
      </c>
      <c r="O647" s="4" t="n"/>
      <c r="P647" s="4" t="n"/>
      <c r="Q647" s="4" t="inlineStr">
        <is>
          <t>MAESTRO-IOS-PERSONAL-FUTURE_BUILDING-0646 | Emergency Fund | 14330.20</t>
        </is>
      </c>
      <c r="R647" s="4" t="inlineStr">
        <is>
          <t>iPhone</t>
        </is>
      </c>
      <c r="S647" s="4" t="inlineStr">
        <is>
          <t>B13</t>
        </is>
      </c>
      <c r="T647" s="4" t="inlineStr">
        <is>
          <t>RAMP_501_1500</t>
        </is>
      </c>
      <c r="U647" s="4" t="inlineStr">
        <is>
          <t>CREATED</t>
        </is>
      </c>
      <c r="V647" s="4" t="inlineStr">
        <is>
          <t>idem-20260902-ios-0646</t>
        </is>
      </c>
    </row>
    <row r="648" ht="30" customHeight="1">
      <c r="A648" s="4" t="n">
        <v>647</v>
      </c>
      <c r="B648" s="4" t="inlineStr">
        <is>
          <t>MTR-IOS-0647</t>
        </is>
      </c>
      <c r="C648" s="4" t="inlineStr">
        <is>
          <t>Group</t>
        </is>
      </c>
      <c r="D648" s="4" t="inlineStr">
        <is>
          <t>Shared Living</t>
        </is>
      </c>
      <c r="E648" s="4" t="inlineStr">
        <is>
          <t>Flatmates</t>
        </is>
      </c>
      <c r="F648" s="4" t="inlineStr">
        <is>
          <t>Groceries</t>
        </is>
      </c>
      <c r="G648" s="4" t="inlineStr">
        <is>
          <t>Expense</t>
        </is>
      </c>
      <c r="H648" s="12" t="n">
        <v>46154</v>
      </c>
      <c r="I648" s="13" t="n">
        <v>0.841400462962963</v>
      </c>
      <c r="J648" s="14" t="n">
        <v>46154.84140046296</v>
      </c>
      <c r="K648" s="15" t="n">
        <v>7284.49</v>
      </c>
      <c r="L648" s="4" t="inlineStr">
        <is>
          <t>INR</t>
        </is>
      </c>
      <c r="M648" s="15" t="n">
        <v>-7284.49</v>
      </c>
      <c r="N648" s="4" t="inlineStr">
        <is>
          <t>IOS Meera</t>
        </is>
      </c>
      <c r="O648" s="4" t="n">
        <v>3</v>
      </c>
      <c r="P648" s="4" t="inlineStr">
        <is>
          <t>SHARES</t>
        </is>
      </c>
      <c r="Q648" s="4" t="inlineStr">
        <is>
          <t>MAESTRO-IOS-GROUP-FLATMATES-0647 | Groceries | 7284.49</t>
        </is>
      </c>
      <c r="R648" s="4" t="inlineStr">
        <is>
          <t>iPhone</t>
        </is>
      </c>
      <c r="S648" s="4" t="inlineStr">
        <is>
          <t>B13</t>
        </is>
      </c>
      <c r="T648" s="4" t="inlineStr">
        <is>
          <t>RAMP_501_1500</t>
        </is>
      </c>
      <c r="U648" s="4" t="inlineStr">
        <is>
          <t>CREATED</t>
        </is>
      </c>
      <c r="V648" s="4" t="inlineStr">
        <is>
          <t>idem-20260902-ios-0647</t>
        </is>
      </c>
    </row>
    <row r="649" ht="30" customHeight="1">
      <c r="A649" s="4" t="n">
        <v>648</v>
      </c>
      <c r="B649" s="4" t="inlineStr">
        <is>
          <t>MTR-IOS-0648</t>
        </is>
      </c>
      <c r="C649" s="4" t="inlineStr">
        <is>
          <t>Business</t>
        </is>
      </c>
      <c r="D649" s="4" t="inlineStr">
        <is>
          <t>Business</t>
        </is>
      </c>
      <c r="E649" s="4" t="inlineStr">
        <is>
          <t>Team Operations</t>
        </is>
      </c>
      <c r="F649" s="4" t="inlineStr">
        <is>
          <t>Training</t>
        </is>
      </c>
      <c r="G649" s="4" t="inlineStr">
        <is>
          <t>Expense</t>
        </is>
      </c>
      <c r="H649" s="12" t="n">
        <v>46081</v>
      </c>
      <c r="I649" s="13" t="n">
        <v>0.8796064814814815</v>
      </c>
      <c r="J649" s="14" t="n">
        <v>46081.87960648148</v>
      </c>
      <c r="K649" s="15" t="n">
        <v>116121.95</v>
      </c>
      <c r="L649" s="4" t="inlineStr">
        <is>
          <t>INR</t>
        </is>
      </c>
      <c r="M649" s="15" t="n">
        <v>-116121.95</v>
      </c>
      <c r="N649" s="4" t="inlineStr">
        <is>
          <t>IOS Owner</t>
        </is>
      </c>
      <c r="O649" s="4" t="n"/>
      <c r="P649" s="4" t="n"/>
      <c r="Q649" s="4" t="inlineStr">
        <is>
          <t>MAESTRO-IOS-BUSINESS-TEAM_OPERATIONS-0648 | Training | 116121.95</t>
        </is>
      </c>
      <c r="R649" s="4" t="inlineStr">
        <is>
          <t>iPhone</t>
        </is>
      </c>
      <c r="S649" s="4" t="inlineStr">
        <is>
          <t>B13</t>
        </is>
      </c>
      <c r="T649" s="4" t="inlineStr">
        <is>
          <t>RAMP_501_1500</t>
        </is>
      </c>
      <c r="U649" s="4" t="inlineStr">
        <is>
          <t>CREATED</t>
        </is>
      </c>
      <c r="V649" s="4" t="inlineStr">
        <is>
          <t>idem-20260902-ios-0648</t>
        </is>
      </c>
    </row>
    <row r="650" ht="30" customHeight="1">
      <c r="A650" s="4" t="n">
        <v>649</v>
      </c>
      <c r="B650" s="4" t="inlineStr">
        <is>
          <t>MTR-IOS-0649</t>
        </is>
      </c>
      <c r="C650" s="4" t="inlineStr">
        <is>
          <t>Personal</t>
        </is>
      </c>
      <c r="D650" s="4" t="inlineStr">
        <is>
          <t>Personal</t>
        </is>
      </c>
      <c r="E650" s="4" t="inlineStr">
        <is>
          <t>Future Building</t>
        </is>
      </c>
      <c r="F650" s="4" t="inlineStr">
        <is>
          <t>Investments</t>
        </is>
      </c>
      <c r="G650" s="4" t="inlineStr">
        <is>
          <t>Investment</t>
        </is>
      </c>
      <c r="H650" s="12" t="n">
        <v>46130</v>
      </c>
      <c r="I650" s="13" t="n">
        <v>0.7046643518518518</v>
      </c>
      <c r="J650" s="14" t="n">
        <v>46130.70466435186</v>
      </c>
      <c r="K650" s="15" t="n">
        <v>12140.13</v>
      </c>
      <c r="L650" s="4" t="inlineStr">
        <is>
          <t>INR</t>
        </is>
      </c>
      <c r="M650" s="15" t="n">
        <v>0</v>
      </c>
      <c r="N650" s="4" t="inlineStr">
        <is>
          <t>IOS Owner</t>
        </is>
      </c>
      <c r="O650" s="4" t="n"/>
      <c r="P650" s="4" t="n"/>
      <c r="Q650" s="4" t="inlineStr">
        <is>
          <t>MAESTRO-IOS-PERSONAL-FUTURE_BUILDING-0649 | Investments | 12140.13</t>
        </is>
      </c>
      <c r="R650" s="4" t="inlineStr">
        <is>
          <t>iPhone</t>
        </is>
      </c>
      <c r="S650" s="4" t="inlineStr">
        <is>
          <t>B13</t>
        </is>
      </c>
      <c r="T650" s="4" t="inlineStr">
        <is>
          <t>RAMP_501_1500</t>
        </is>
      </c>
      <c r="U650" s="4" t="inlineStr">
        <is>
          <t>CREATED</t>
        </is>
      </c>
      <c r="V650" s="4" t="inlineStr">
        <is>
          <t>idem-20260902-ios-0649</t>
        </is>
      </c>
    </row>
    <row r="651" ht="30" customHeight="1">
      <c r="A651" s="4" t="n">
        <v>650</v>
      </c>
      <c r="B651" s="4" t="inlineStr">
        <is>
          <t>MTR-IOS-0650</t>
        </is>
      </c>
      <c r="C651" s="4" t="inlineStr">
        <is>
          <t>Group</t>
        </is>
      </c>
      <c r="D651" s="4" t="inlineStr">
        <is>
          <t>Shared Living</t>
        </is>
      </c>
      <c r="E651" s="4" t="inlineStr">
        <is>
          <t>Flatmates</t>
        </is>
      </c>
      <c r="F651" s="4" t="inlineStr">
        <is>
          <t>Internet</t>
        </is>
      </c>
      <c r="G651" s="4" t="inlineStr">
        <is>
          <t>Expense</t>
        </is>
      </c>
      <c r="H651" s="12" t="n">
        <v>46119</v>
      </c>
      <c r="I651" s="13" t="n">
        <v>0.1211111111111111</v>
      </c>
      <c r="J651" s="14" t="n">
        <v>46119.12111111111</v>
      </c>
      <c r="K651" s="15" t="n">
        <v>10859.57</v>
      </c>
      <c r="L651" s="4" t="inlineStr">
        <is>
          <t>INR</t>
        </is>
      </c>
      <c r="M651" s="15" t="n">
        <v>-10859.57</v>
      </c>
      <c r="N651" s="4" t="inlineStr">
        <is>
          <t>IOS Owner</t>
        </is>
      </c>
      <c r="O651" s="4" t="n">
        <v>3</v>
      </c>
      <c r="P651" s="4" t="inlineStr">
        <is>
          <t>EQUAL</t>
        </is>
      </c>
      <c r="Q651" s="4" t="inlineStr">
        <is>
          <t>MAESTRO-IOS-GROUP-FLATMATES-0650 | Internet | 10859.57</t>
        </is>
      </c>
      <c r="R651" s="4" t="inlineStr">
        <is>
          <t>iPhone</t>
        </is>
      </c>
      <c r="S651" s="4" t="inlineStr">
        <is>
          <t>B13</t>
        </is>
      </c>
      <c r="T651" s="4" t="inlineStr">
        <is>
          <t>RAMP_501_1500</t>
        </is>
      </c>
      <c r="U651" s="4" t="inlineStr">
        <is>
          <t>CREATED</t>
        </is>
      </c>
      <c r="V651" s="4" t="inlineStr">
        <is>
          <t>idem-20260902-ios-0650</t>
        </is>
      </c>
    </row>
    <row r="652" ht="30" customHeight="1">
      <c r="A652" s="4" t="n">
        <v>651</v>
      </c>
      <c r="B652" s="4" t="inlineStr">
        <is>
          <t>MTR-IOS-0651</t>
        </is>
      </c>
      <c r="C652" s="4" t="inlineStr">
        <is>
          <t>Business</t>
        </is>
      </c>
      <c r="D652" s="4" t="inlineStr">
        <is>
          <t>Business</t>
        </is>
      </c>
      <c r="E652" s="4" t="inlineStr">
        <is>
          <t>Team Operations</t>
        </is>
      </c>
      <c r="F652" s="4" t="inlineStr">
        <is>
          <t>Tools</t>
        </is>
      </c>
      <c r="G652" s="4" t="inlineStr">
        <is>
          <t>Expense</t>
        </is>
      </c>
      <c r="H652" s="12" t="n">
        <v>45948</v>
      </c>
      <c r="I652" s="13" t="n">
        <v>0.7293981481481482</v>
      </c>
      <c r="J652" s="14" t="n">
        <v>45948.72939814815</v>
      </c>
      <c r="K652" s="15" t="n">
        <v>77257.32000000001</v>
      </c>
      <c r="L652" s="4" t="inlineStr">
        <is>
          <t>INR</t>
        </is>
      </c>
      <c r="M652" s="15" t="n">
        <v>-77257.32000000001</v>
      </c>
      <c r="N652" s="4" t="inlineStr">
        <is>
          <t>IOS Owner</t>
        </is>
      </c>
      <c r="O652" s="4" t="n"/>
      <c r="P652" s="4" t="n"/>
      <c r="Q652" s="4" t="inlineStr">
        <is>
          <t>MAESTRO-IOS-BUSINESS-TEAM_OPERATIONS-0651 | Tools | 77257.32</t>
        </is>
      </c>
      <c r="R652" s="4" t="inlineStr">
        <is>
          <t>iPhone</t>
        </is>
      </c>
      <c r="S652" s="4" t="inlineStr">
        <is>
          <t>B14</t>
        </is>
      </c>
      <c r="T652" s="4" t="inlineStr">
        <is>
          <t>RAMP_501_1500</t>
        </is>
      </c>
      <c r="U652" s="4" t="inlineStr">
        <is>
          <t>CREATED</t>
        </is>
      </c>
      <c r="V652" s="4" t="inlineStr">
        <is>
          <t>idem-20260902-ios-0651</t>
        </is>
      </c>
    </row>
    <row r="653" ht="30" customHeight="1">
      <c r="A653" s="4" t="n">
        <v>652</v>
      </c>
      <c r="B653" s="4" t="inlineStr">
        <is>
          <t>MTR-IOS-0652</t>
        </is>
      </c>
      <c r="C653" s="4" t="inlineStr">
        <is>
          <t>Personal</t>
        </is>
      </c>
      <c r="D653" s="4" t="inlineStr">
        <is>
          <t>Personal</t>
        </is>
      </c>
      <c r="E653" s="4" t="inlineStr">
        <is>
          <t>Future Building</t>
        </is>
      </c>
      <c r="F653" s="4" t="inlineStr">
        <is>
          <t>Education</t>
        </is>
      </c>
      <c r="G653" s="4" t="inlineStr">
        <is>
          <t>Expense</t>
        </is>
      </c>
      <c r="H653" s="12" t="n">
        <v>46105</v>
      </c>
      <c r="I653" s="13" t="n">
        <v>0.6496412037037037</v>
      </c>
      <c r="J653" s="14" t="n">
        <v>46105.6496412037</v>
      </c>
      <c r="K653" s="15" t="n">
        <v>10191.41</v>
      </c>
      <c r="L653" s="4" t="inlineStr">
        <is>
          <t>INR</t>
        </is>
      </c>
      <c r="M653" s="15" t="n">
        <v>-10191.41</v>
      </c>
      <c r="N653" s="4" t="inlineStr">
        <is>
          <t>IOS Owner</t>
        </is>
      </c>
      <c r="O653" s="4" t="n"/>
      <c r="P653" s="4" t="n"/>
      <c r="Q653" s="4" t="inlineStr">
        <is>
          <t>MAESTRO-IOS-PERSONAL-FUTURE_BUILDING-0652 | Education | 10191.41</t>
        </is>
      </c>
      <c r="R653" s="4" t="inlineStr">
        <is>
          <t>iPhone</t>
        </is>
      </c>
      <c r="S653" s="4" t="inlineStr">
        <is>
          <t>B14</t>
        </is>
      </c>
      <c r="T653" s="4" t="inlineStr">
        <is>
          <t>RAMP_501_1500</t>
        </is>
      </c>
      <c r="U653" s="4" t="inlineStr">
        <is>
          <t>CREATED</t>
        </is>
      </c>
      <c r="V653" s="4" t="inlineStr">
        <is>
          <t>idem-20260902-ios-0652</t>
        </is>
      </c>
    </row>
    <row r="654" ht="30" customHeight="1">
      <c r="A654" s="4" t="n">
        <v>653</v>
      </c>
      <c r="B654" s="4" t="inlineStr">
        <is>
          <t>MTR-IOS-0653</t>
        </is>
      </c>
      <c r="C654" s="4" t="inlineStr">
        <is>
          <t>Group</t>
        </is>
      </c>
      <c r="D654" s="4" t="inlineStr">
        <is>
          <t>Shared Living</t>
        </is>
      </c>
      <c r="E654" s="4" t="inlineStr">
        <is>
          <t>Flatmates</t>
        </is>
      </c>
      <c r="F654" s="4" t="inlineStr">
        <is>
          <t>House Supplies</t>
        </is>
      </c>
      <c r="G654" s="4" t="inlineStr">
        <is>
          <t>Expense</t>
        </is>
      </c>
      <c r="H654" s="12" t="n">
        <v>46168</v>
      </c>
      <c r="I654" s="13" t="n">
        <v>0.2699305555555556</v>
      </c>
      <c r="J654" s="14" t="n">
        <v>46168.26993055556</v>
      </c>
      <c r="K654" s="15" t="n">
        <v>10478.53</v>
      </c>
      <c r="L654" s="4" t="inlineStr">
        <is>
          <t>INR</t>
        </is>
      </c>
      <c r="M654" s="15" t="n">
        <v>-10478.53</v>
      </c>
      <c r="N654" s="4" t="inlineStr">
        <is>
          <t>IOS Aarav</t>
        </is>
      </c>
      <c r="O654" s="4" t="n">
        <v>3</v>
      </c>
      <c r="P654" s="4" t="inlineStr">
        <is>
          <t>PERCENTAGE</t>
        </is>
      </c>
      <c r="Q654" s="4" t="inlineStr">
        <is>
          <t>MAESTRO-IOS-GROUP-FLATMATES-0653 | House Supplies | 10478.53</t>
        </is>
      </c>
      <c r="R654" s="4" t="inlineStr">
        <is>
          <t>iPhone</t>
        </is>
      </c>
      <c r="S654" s="4" t="inlineStr">
        <is>
          <t>B14</t>
        </is>
      </c>
      <c r="T654" s="4" t="inlineStr">
        <is>
          <t>RAMP_501_1500</t>
        </is>
      </c>
      <c r="U654" s="4" t="inlineStr">
        <is>
          <t>CREATED</t>
        </is>
      </c>
      <c r="V654" s="4" t="inlineStr">
        <is>
          <t>idem-20260902-ios-0653</t>
        </is>
      </c>
    </row>
    <row r="655" ht="30" customHeight="1">
      <c r="A655" s="4" t="n">
        <v>654</v>
      </c>
      <c r="B655" s="4" t="inlineStr">
        <is>
          <t>MTR-IOS-0654</t>
        </is>
      </c>
      <c r="C655" s="4" t="inlineStr">
        <is>
          <t>Business</t>
        </is>
      </c>
      <c r="D655" s="4" t="inlineStr">
        <is>
          <t>Business</t>
        </is>
      </c>
      <c r="E655" s="4" t="inlineStr">
        <is>
          <t>Business Runway</t>
        </is>
      </c>
      <c r="F655" s="4" t="inlineStr">
        <is>
          <t>Funding</t>
        </is>
      </c>
      <c r="G655" s="4" t="inlineStr">
        <is>
          <t>Income</t>
        </is>
      </c>
      <c r="H655" s="12" t="n">
        <v>46191</v>
      </c>
      <c r="I655" s="13" t="n">
        <v>0.06552083333333333</v>
      </c>
      <c r="J655" s="14" t="n">
        <v>46191.06552083333</v>
      </c>
      <c r="K655" s="15" t="n">
        <v>17416.81</v>
      </c>
      <c r="L655" s="4" t="inlineStr">
        <is>
          <t>INR</t>
        </is>
      </c>
      <c r="M655" s="15" t="n">
        <v>17416.81</v>
      </c>
      <c r="N655" s="4" t="inlineStr">
        <is>
          <t>IOS Owner</t>
        </is>
      </c>
      <c r="O655" s="4" t="n"/>
      <c r="P655" s="4" t="n"/>
      <c r="Q655" s="4" t="inlineStr">
        <is>
          <t>MAESTRO-IOS-BUSINESS-BUSINESS_RUNWAY-0654 | Funding | 17416.81</t>
        </is>
      </c>
      <c r="R655" s="4" t="inlineStr">
        <is>
          <t>iPhone</t>
        </is>
      </c>
      <c r="S655" s="4" t="inlineStr">
        <is>
          <t>B14</t>
        </is>
      </c>
      <c r="T655" s="4" t="inlineStr">
        <is>
          <t>RAMP_501_1500</t>
        </is>
      </c>
      <c r="U655" s="4" t="inlineStr">
        <is>
          <t>CREATED</t>
        </is>
      </c>
      <c r="V655" s="4" t="inlineStr">
        <is>
          <t>idem-20260902-ios-0654</t>
        </is>
      </c>
    </row>
    <row r="656" ht="30" customHeight="1">
      <c r="A656" s="4" t="n">
        <v>655</v>
      </c>
      <c r="B656" s="4" t="inlineStr">
        <is>
          <t>MTR-IOS-0655</t>
        </is>
      </c>
      <c r="C656" s="4" t="inlineStr">
        <is>
          <t>Personal</t>
        </is>
      </c>
      <c r="D656" s="4" t="inlineStr">
        <is>
          <t>Personal</t>
        </is>
      </c>
      <c r="E656" s="4" t="inlineStr">
        <is>
          <t>Future Building</t>
        </is>
      </c>
      <c r="F656" s="4" t="inlineStr">
        <is>
          <t>Goal Contribution</t>
        </is>
      </c>
      <c r="G656" s="4" t="inlineStr">
        <is>
          <t>Transfer</t>
        </is>
      </c>
      <c r="H656" s="12" t="n">
        <v>46042</v>
      </c>
      <c r="I656" s="13" t="n">
        <v>0.4628703703703704</v>
      </c>
      <c r="J656" s="14" t="n">
        <v>46042.46287037037</v>
      </c>
      <c r="K656" s="15" t="n">
        <v>3056.43</v>
      </c>
      <c r="L656" s="4" t="inlineStr">
        <is>
          <t>INR</t>
        </is>
      </c>
      <c r="M656" s="15" t="n">
        <v>0</v>
      </c>
      <c r="N656" s="4" t="inlineStr">
        <is>
          <t>IOS Owner</t>
        </is>
      </c>
      <c r="O656" s="4" t="n"/>
      <c r="P656" s="4" t="n"/>
      <c r="Q656" s="4" t="inlineStr">
        <is>
          <t>MAESTRO-IOS-PERSONAL-FUTURE_BUILDING-0655 | Goal Contribution | 3056.43</t>
        </is>
      </c>
      <c r="R656" s="4" t="inlineStr">
        <is>
          <t>iPhone</t>
        </is>
      </c>
      <c r="S656" s="4" t="inlineStr">
        <is>
          <t>B14</t>
        </is>
      </c>
      <c r="T656" s="4" t="inlineStr">
        <is>
          <t>RAMP_501_1500</t>
        </is>
      </c>
      <c r="U656" s="4" t="inlineStr">
        <is>
          <t>CREATED</t>
        </is>
      </c>
      <c r="V656" s="4" t="inlineStr">
        <is>
          <t>idem-20260902-ios-0655</t>
        </is>
      </c>
    </row>
    <row r="657" ht="30" customHeight="1">
      <c r="A657" s="4" t="n">
        <v>656</v>
      </c>
      <c r="B657" s="4" t="inlineStr">
        <is>
          <t>MTR-IOS-0656</t>
        </is>
      </c>
      <c r="C657" s="4" t="inlineStr">
        <is>
          <t>Group</t>
        </is>
      </c>
      <c r="D657" s="4" t="inlineStr">
        <is>
          <t>Shared Living</t>
        </is>
      </c>
      <c r="E657" s="4" t="inlineStr">
        <is>
          <t>Flatmates</t>
        </is>
      </c>
      <c r="F657" s="4" t="inlineStr">
        <is>
          <t>Repairs</t>
        </is>
      </c>
      <c r="G657" s="4" t="inlineStr">
        <is>
          <t>Expense</t>
        </is>
      </c>
      <c r="H657" s="12" t="n">
        <v>46051</v>
      </c>
      <c r="I657" s="13" t="n">
        <v>0.5241319444444444</v>
      </c>
      <c r="J657" s="14" t="n">
        <v>46051.52413194445</v>
      </c>
      <c r="K657" s="15" t="n">
        <v>25866.47</v>
      </c>
      <c r="L657" s="4" t="inlineStr">
        <is>
          <t>INR</t>
        </is>
      </c>
      <c r="M657" s="15" t="n">
        <v>-25866.47</v>
      </c>
      <c r="N657" s="4" t="inlineStr">
        <is>
          <t>IOS Meera</t>
        </is>
      </c>
      <c r="O657" s="4" t="n">
        <v>3</v>
      </c>
      <c r="P657" s="4" t="inlineStr">
        <is>
          <t>EXACT</t>
        </is>
      </c>
      <c r="Q657" s="4" t="inlineStr">
        <is>
          <t>MAESTRO-IOS-GROUP-FLATMATES-0656 | Repairs | 25866.47</t>
        </is>
      </c>
      <c r="R657" s="4" t="inlineStr">
        <is>
          <t>iPhone</t>
        </is>
      </c>
      <c r="S657" s="4" t="inlineStr">
        <is>
          <t>B14</t>
        </is>
      </c>
      <c r="T657" s="4" t="inlineStr">
        <is>
          <t>RAMP_501_1500</t>
        </is>
      </c>
      <c r="U657" s="4" t="inlineStr">
        <is>
          <t>CREATED</t>
        </is>
      </c>
      <c r="V657" s="4" t="inlineStr">
        <is>
          <t>idem-20260902-ios-0656</t>
        </is>
      </c>
    </row>
    <row r="658" ht="30" customHeight="1">
      <c r="A658" s="4" t="n">
        <v>657</v>
      </c>
      <c r="B658" s="4" t="inlineStr">
        <is>
          <t>MTR-IOS-0657</t>
        </is>
      </c>
      <c r="C658" s="4" t="inlineStr">
        <is>
          <t>Business</t>
        </is>
      </c>
      <c r="D658" s="4" t="inlineStr">
        <is>
          <t>Business</t>
        </is>
      </c>
      <c r="E658" s="4" t="inlineStr">
        <is>
          <t>Business Runway</t>
        </is>
      </c>
      <c r="F658" s="4" t="inlineStr">
        <is>
          <t>Revenue</t>
        </is>
      </c>
      <c r="G658" s="4" t="inlineStr">
        <is>
          <t>Income</t>
        </is>
      </c>
      <c r="H658" s="12" t="n">
        <v>46001</v>
      </c>
      <c r="I658" s="13" t="n">
        <v>0.4284143518518518</v>
      </c>
      <c r="J658" s="14" t="n">
        <v>46001.42841435185</v>
      </c>
      <c r="K658" s="15" t="n">
        <v>156133.13</v>
      </c>
      <c r="L658" s="4" t="inlineStr">
        <is>
          <t>INR</t>
        </is>
      </c>
      <c r="M658" s="15" t="n">
        <v>156133.13</v>
      </c>
      <c r="N658" s="4" t="inlineStr">
        <is>
          <t>IOS Owner</t>
        </is>
      </c>
      <c r="O658" s="4" t="n"/>
      <c r="P658" s="4" t="n"/>
      <c r="Q658" s="4" t="inlineStr">
        <is>
          <t>MAESTRO-IOS-BUSINESS-BUSINESS_RUNWAY-0657 | Revenue | 156133.13</t>
        </is>
      </c>
      <c r="R658" s="4" t="inlineStr">
        <is>
          <t>iPhone</t>
        </is>
      </c>
      <c r="S658" s="4" t="inlineStr">
        <is>
          <t>B14</t>
        </is>
      </c>
      <c r="T658" s="4" t="inlineStr">
        <is>
          <t>RAMP_501_1500</t>
        </is>
      </c>
      <c r="U658" s="4" t="inlineStr">
        <is>
          <t>CREATED</t>
        </is>
      </c>
      <c r="V658" s="4" t="inlineStr">
        <is>
          <t>idem-20260902-ios-0657</t>
        </is>
      </c>
    </row>
    <row r="659" ht="30" customHeight="1">
      <c r="A659" s="4" t="n">
        <v>658</v>
      </c>
      <c r="B659" s="4" t="inlineStr">
        <is>
          <t>MTR-IOS-0658</t>
        </is>
      </c>
      <c r="C659" s="4" t="inlineStr">
        <is>
          <t>Personal</t>
        </is>
      </c>
      <c r="D659" s="4" t="inlineStr">
        <is>
          <t>Personal</t>
        </is>
      </c>
      <c r="E659" s="4" t="inlineStr">
        <is>
          <t>Lifestyle</t>
        </is>
      </c>
      <c r="F659" s="4" t="inlineStr">
        <is>
          <t>Dining</t>
        </is>
      </c>
      <c r="G659" s="4" t="inlineStr">
        <is>
          <t>Expense</t>
        </is>
      </c>
      <c r="H659" s="12" t="n">
        <v>46057</v>
      </c>
      <c r="I659" s="13" t="n">
        <v>0.5275694444444444</v>
      </c>
      <c r="J659" s="14" t="n">
        <v>46057.52756944444</v>
      </c>
      <c r="K659" s="15" t="n">
        <v>16337.08</v>
      </c>
      <c r="L659" s="4" t="inlineStr">
        <is>
          <t>INR</t>
        </is>
      </c>
      <c r="M659" s="15" t="n">
        <v>-16337.08</v>
      </c>
      <c r="N659" s="4" t="inlineStr">
        <is>
          <t>IOS Owner</t>
        </is>
      </c>
      <c r="O659" s="4" t="n"/>
      <c r="P659" s="4" t="n"/>
      <c r="Q659" s="4" t="inlineStr">
        <is>
          <t>MAESTRO-IOS-PERSONAL-LIFESTYLE-0658 | Dining | 16337.08</t>
        </is>
      </c>
      <c r="R659" s="4" t="inlineStr">
        <is>
          <t>iPhone</t>
        </is>
      </c>
      <c r="S659" s="4" t="inlineStr">
        <is>
          <t>B14</t>
        </is>
      </c>
      <c r="T659" s="4" t="inlineStr">
        <is>
          <t>RAMP_501_1500</t>
        </is>
      </c>
      <c r="U659" s="4" t="inlineStr">
        <is>
          <t>CREATED</t>
        </is>
      </c>
      <c r="V659" s="4" t="inlineStr">
        <is>
          <t>idem-20260902-ios-0658</t>
        </is>
      </c>
    </row>
    <row r="660" ht="30" customHeight="1">
      <c r="A660" s="4" t="n">
        <v>659</v>
      </c>
      <c r="B660" s="4" t="inlineStr">
        <is>
          <t>MTR-IOS-0659</t>
        </is>
      </c>
      <c r="C660" s="4" t="inlineStr">
        <is>
          <t>Group</t>
        </is>
      </c>
      <c r="D660" s="4" t="inlineStr">
        <is>
          <t>Shared Living</t>
        </is>
      </c>
      <c r="E660" s="4" t="inlineStr">
        <is>
          <t>Shared Living</t>
        </is>
      </c>
      <c r="F660" s="4" t="inlineStr">
        <is>
          <t>Rent</t>
        </is>
      </c>
      <c r="G660" s="4" t="inlineStr">
        <is>
          <t>Expense</t>
        </is>
      </c>
      <c r="H660" s="12" t="n">
        <v>46067</v>
      </c>
      <c r="I660" s="13" t="n">
        <v>0.2913425925925926</v>
      </c>
      <c r="J660" s="14" t="n">
        <v>46067.29134259259</v>
      </c>
      <c r="K660" s="15" t="n">
        <v>23329.24</v>
      </c>
      <c r="L660" s="4" t="inlineStr">
        <is>
          <t>INR</t>
        </is>
      </c>
      <c r="M660" s="15" t="n">
        <v>-23329.24</v>
      </c>
      <c r="N660" s="4" t="inlineStr">
        <is>
          <t>IOS Owner</t>
        </is>
      </c>
      <c r="O660" s="4" t="n">
        <v>3</v>
      </c>
      <c r="P660" s="4" t="inlineStr">
        <is>
          <t>SHARES</t>
        </is>
      </c>
      <c r="Q660" s="4" t="inlineStr">
        <is>
          <t>MAESTRO-IOS-GROUP-SHARED_LIVING-0659 | Rent | 23329.24</t>
        </is>
      </c>
      <c r="R660" s="4" t="inlineStr">
        <is>
          <t>iPhone</t>
        </is>
      </c>
      <c r="S660" s="4" t="inlineStr">
        <is>
          <t>B14</t>
        </is>
      </c>
      <c r="T660" s="4" t="inlineStr">
        <is>
          <t>RAMP_501_1500</t>
        </is>
      </c>
      <c r="U660" s="4" t="inlineStr">
        <is>
          <t>CREATED</t>
        </is>
      </c>
      <c r="V660" s="4" t="inlineStr">
        <is>
          <t>idem-20260902-ios-0659</t>
        </is>
      </c>
    </row>
    <row r="661" ht="30" customHeight="1">
      <c r="A661" s="4" t="n">
        <v>660</v>
      </c>
      <c r="B661" s="4" t="inlineStr">
        <is>
          <t>MTR-IOS-0660</t>
        </is>
      </c>
      <c r="C661" s="4" t="inlineStr">
        <is>
          <t>Business</t>
        </is>
      </c>
      <c r="D661" s="4" t="inlineStr">
        <is>
          <t>Business</t>
        </is>
      </c>
      <c r="E661" s="4" t="inlineStr">
        <is>
          <t>Business Runway</t>
        </is>
      </c>
      <c r="F661" s="4" t="inlineStr">
        <is>
          <t>Burn</t>
        </is>
      </c>
      <c r="G661" s="4" t="inlineStr">
        <is>
          <t>Expense</t>
        </is>
      </c>
      <c r="H661" s="12" t="n">
        <v>45999</v>
      </c>
      <c r="I661" s="13" t="n">
        <v>0.5305439814814815</v>
      </c>
      <c r="J661" s="14" t="n">
        <v>45999.53054398148</v>
      </c>
      <c r="K661" s="15" t="n">
        <v>45200.28</v>
      </c>
      <c r="L661" s="4" t="inlineStr">
        <is>
          <t>INR</t>
        </is>
      </c>
      <c r="M661" s="15" t="n">
        <v>-45200.28</v>
      </c>
      <c r="N661" s="4" t="inlineStr">
        <is>
          <t>IOS Owner</t>
        </is>
      </c>
      <c r="O661" s="4" t="n"/>
      <c r="P661" s="4" t="n"/>
      <c r="Q661" s="4" t="inlineStr">
        <is>
          <t>MAESTRO-IOS-BUSINESS-BUSINESS_RUNWAY-0660 | Burn | 45200.28</t>
        </is>
      </c>
      <c r="R661" s="4" t="inlineStr">
        <is>
          <t>iPhone</t>
        </is>
      </c>
      <c r="S661" s="4" t="inlineStr">
        <is>
          <t>B14</t>
        </is>
      </c>
      <c r="T661" s="4" t="inlineStr">
        <is>
          <t>RAMP_501_1500</t>
        </is>
      </c>
      <c r="U661" s="4" t="inlineStr">
        <is>
          <t>CREATED</t>
        </is>
      </c>
      <c r="V661" s="4" t="inlineStr">
        <is>
          <t>idem-20260902-ios-0660</t>
        </is>
      </c>
    </row>
    <row r="662" ht="30" customHeight="1">
      <c r="A662" s="4" t="n">
        <v>661</v>
      </c>
      <c r="B662" s="4" t="inlineStr">
        <is>
          <t>MTR-IOS-0661</t>
        </is>
      </c>
      <c r="C662" s="4" t="inlineStr">
        <is>
          <t>Personal</t>
        </is>
      </c>
      <c r="D662" s="4" t="inlineStr">
        <is>
          <t>Personal</t>
        </is>
      </c>
      <c r="E662" s="4" t="inlineStr">
        <is>
          <t>Lifestyle</t>
        </is>
      </c>
      <c r="F662" s="4" t="inlineStr">
        <is>
          <t>Shopping</t>
        </is>
      </c>
      <c r="G662" s="4" t="inlineStr">
        <is>
          <t>Expense</t>
        </is>
      </c>
      <c r="H662" s="12" t="n">
        <v>46052</v>
      </c>
      <c r="I662" s="13" t="n">
        <v>0.7787615740740741</v>
      </c>
      <c r="J662" s="14" t="n">
        <v>46052.77876157407</v>
      </c>
      <c r="K662" s="15" t="n">
        <v>2514.51</v>
      </c>
      <c r="L662" s="4" t="inlineStr">
        <is>
          <t>INR</t>
        </is>
      </c>
      <c r="M662" s="15" t="n">
        <v>-2514.51</v>
      </c>
      <c r="N662" s="4" t="inlineStr">
        <is>
          <t>IOS Owner</t>
        </is>
      </c>
      <c r="O662" s="4" t="n"/>
      <c r="P662" s="4" t="n"/>
      <c r="Q662" s="4" t="inlineStr">
        <is>
          <t>MAESTRO-IOS-PERSONAL-LIFESTYLE-0661 | Shopping | 2514.51</t>
        </is>
      </c>
      <c r="R662" s="4" t="inlineStr">
        <is>
          <t>iPhone</t>
        </is>
      </c>
      <c r="S662" s="4" t="inlineStr">
        <is>
          <t>B14</t>
        </is>
      </c>
      <c r="T662" s="4" t="inlineStr">
        <is>
          <t>RAMP_501_1500</t>
        </is>
      </c>
      <c r="U662" s="4" t="inlineStr">
        <is>
          <t>CREATED</t>
        </is>
      </c>
      <c r="V662" s="4" t="inlineStr">
        <is>
          <t>idem-20260902-ios-0661</t>
        </is>
      </c>
    </row>
    <row r="663" ht="30" customHeight="1">
      <c r="A663" s="4" t="n">
        <v>662</v>
      </c>
      <c r="B663" s="4" t="inlineStr">
        <is>
          <t>MTR-IOS-0662</t>
        </is>
      </c>
      <c r="C663" s="4" t="inlineStr">
        <is>
          <t>Group</t>
        </is>
      </c>
      <c r="D663" s="4" t="inlineStr">
        <is>
          <t>Shared Living</t>
        </is>
      </c>
      <c r="E663" s="4" t="inlineStr">
        <is>
          <t>Shared Living</t>
        </is>
      </c>
      <c r="F663" s="4" t="inlineStr">
        <is>
          <t>Utilities</t>
        </is>
      </c>
      <c r="G663" s="4" t="inlineStr">
        <is>
          <t>Expense</t>
        </is>
      </c>
      <c r="H663" s="12" t="n">
        <v>46090</v>
      </c>
      <c r="I663" s="13" t="n">
        <v>0.2515856481481482</v>
      </c>
      <c r="J663" s="14" t="n">
        <v>46090.25158564815</v>
      </c>
      <c r="K663" s="15" t="n">
        <v>14423.91</v>
      </c>
      <c r="L663" s="4" t="inlineStr">
        <is>
          <t>INR</t>
        </is>
      </c>
      <c r="M663" s="15" t="n">
        <v>-14423.91</v>
      </c>
      <c r="N663" s="4" t="inlineStr">
        <is>
          <t>IOS Aarav</t>
        </is>
      </c>
      <c r="O663" s="4" t="n">
        <v>3</v>
      </c>
      <c r="P663" s="4" t="inlineStr">
        <is>
          <t>EQUAL</t>
        </is>
      </c>
      <c r="Q663" s="4" t="inlineStr">
        <is>
          <t>MAESTRO-IOS-GROUP-SHARED_LIVING-0662 | Utilities | 14423.91</t>
        </is>
      </c>
      <c r="R663" s="4" t="inlineStr">
        <is>
          <t>iPhone</t>
        </is>
      </c>
      <c r="S663" s="4" t="inlineStr">
        <is>
          <t>B14</t>
        </is>
      </c>
      <c r="T663" s="4" t="inlineStr">
        <is>
          <t>RAMP_501_1500</t>
        </is>
      </c>
      <c r="U663" s="4" t="inlineStr">
        <is>
          <t>CREATED</t>
        </is>
      </c>
      <c r="V663" s="4" t="inlineStr">
        <is>
          <t>idem-20260902-ios-0662</t>
        </is>
      </c>
    </row>
    <row r="664" ht="30" customHeight="1">
      <c r="A664" s="4" t="n">
        <v>663</v>
      </c>
      <c r="B664" s="4" t="inlineStr">
        <is>
          <t>MTR-IOS-0663</t>
        </is>
      </c>
      <c r="C664" s="4" t="inlineStr">
        <is>
          <t>Business</t>
        </is>
      </c>
      <c r="D664" s="4" t="inlineStr">
        <is>
          <t>Business</t>
        </is>
      </c>
      <c r="E664" s="4" t="inlineStr">
        <is>
          <t>Business Runway</t>
        </is>
      </c>
      <c r="F664" s="4" t="inlineStr">
        <is>
          <t>Reserve</t>
        </is>
      </c>
      <c r="G664" s="4" t="inlineStr">
        <is>
          <t>Transfer</t>
        </is>
      </c>
      <c r="H664" s="12" t="n">
        <v>46229</v>
      </c>
      <c r="I664" s="13" t="n">
        <v>0.7735185185185185</v>
      </c>
      <c r="J664" s="14" t="n">
        <v>46229.77351851852</v>
      </c>
      <c r="K664" s="15" t="n">
        <v>63590.72</v>
      </c>
      <c r="L664" s="4" t="inlineStr">
        <is>
          <t>INR</t>
        </is>
      </c>
      <c r="M664" s="15" t="n">
        <v>0</v>
      </c>
      <c r="N664" s="4" t="inlineStr">
        <is>
          <t>IOS Owner</t>
        </is>
      </c>
      <c r="O664" s="4" t="n"/>
      <c r="P664" s="4" t="n"/>
      <c r="Q664" s="4" t="inlineStr">
        <is>
          <t>MAESTRO-IOS-BUSINESS-BUSINESS_RUNWAY-0663 | Reserve | 63590.72</t>
        </is>
      </c>
      <c r="R664" s="4" t="inlineStr">
        <is>
          <t>iPhone</t>
        </is>
      </c>
      <c r="S664" s="4" t="inlineStr">
        <is>
          <t>B14</t>
        </is>
      </c>
      <c r="T664" s="4" t="inlineStr">
        <is>
          <t>RAMP_501_1500</t>
        </is>
      </c>
      <c r="U664" s="4" t="inlineStr">
        <is>
          <t>CREATED</t>
        </is>
      </c>
      <c r="V664" s="4" t="inlineStr">
        <is>
          <t>idem-20260902-ios-0663</t>
        </is>
      </c>
    </row>
    <row r="665" ht="30" customHeight="1">
      <c r="A665" s="4" t="n">
        <v>664</v>
      </c>
      <c r="B665" s="4" t="inlineStr">
        <is>
          <t>MTR-IOS-0664</t>
        </is>
      </c>
      <c r="C665" s="4" t="inlineStr">
        <is>
          <t>Personal</t>
        </is>
      </c>
      <c r="D665" s="4" t="inlineStr">
        <is>
          <t>Personal</t>
        </is>
      </c>
      <c r="E665" s="4" t="inlineStr">
        <is>
          <t>Lifestyle</t>
        </is>
      </c>
      <c r="F665" s="4" t="inlineStr">
        <is>
          <t>Entertainment</t>
        </is>
      </c>
      <c r="G665" s="4" t="inlineStr">
        <is>
          <t>Expense</t>
        </is>
      </c>
      <c r="H665" s="12" t="n">
        <v>46145</v>
      </c>
      <c r="I665" s="13" t="n">
        <v>0.6046064814814814</v>
      </c>
      <c r="J665" s="14" t="n">
        <v>46145.60460648148</v>
      </c>
      <c r="K665" s="15" t="n">
        <v>16640.07</v>
      </c>
      <c r="L665" s="4" t="inlineStr">
        <is>
          <t>INR</t>
        </is>
      </c>
      <c r="M665" s="15" t="n">
        <v>-16640.07</v>
      </c>
      <c r="N665" s="4" t="inlineStr">
        <is>
          <t>IOS Owner</t>
        </is>
      </c>
      <c r="O665" s="4" t="n"/>
      <c r="P665" s="4" t="n"/>
      <c r="Q665" s="4" t="inlineStr">
        <is>
          <t>MAESTRO-IOS-PERSONAL-LIFESTYLE-0664 | Entertainment | 16640.07</t>
        </is>
      </c>
      <c r="R665" s="4" t="inlineStr">
        <is>
          <t>iPhone</t>
        </is>
      </c>
      <c r="S665" s="4" t="inlineStr">
        <is>
          <t>B14</t>
        </is>
      </c>
      <c r="T665" s="4" t="inlineStr">
        <is>
          <t>RAMP_501_1500</t>
        </is>
      </c>
      <c r="U665" s="4" t="inlineStr">
        <is>
          <t>CREATED</t>
        </is>
      </c>
      <c r="V665" s="4" t="inlineStr">
        <is>
          <t>idem-20260902-ios-0664</t>
        </is>
      </c>
    </row>
    <row r="666" ht="30" customHeight="1">
      <c r="A666" s="4" t="n">
        <v>665</v>
      </c>
      <c r="B666" s="4" t="inlineStr">
        <is>
          <t>MTR-IOS-0665</t>
        </is>
      </c>
      <c r="C666" s="4" t="inlineStr">
        <is>
          <t>Group</t>
        </is>
      </c>
      <c r="D666" s="4" t="inlineStr">
        <is>
          <t>Shared Living</t>
        </is>
      </c>
      <c r="E666" s="4" t="inlineStr">
        <is>
          <t>Shared Living</t>
        </is>
      </c>
      <c r="F666" s="4" t="inlineStr">
        <is>
          <t>Groceries</t>
        </is>
      </c>
      <c r="G666" s="4" t="inlineStr">
        <is>
          <t>Expense</t>
        </is>
      </c>
      <c r="H666" s="12" t="n">
        <v>46221</v>
      </c>
      <c r="I666" s="13" t="n">
        <v>0.00162037037037037</v>
      </c>
      <c r="J666" s="14" t="n">
        <v>46221.00162037037</v>
      </c>
      <c r="K666" s="15" t="n">
        <v>25181.9</v>
      </c>
      <c r="L666" s="4" t="inlineStr">
        <is>
          <t>INR</t>
        </is>
      </c>
      <c r="M666" s="15" t="n">
        <v>-25181.9</v>
      </c>
      <c r="N666" s="4" t="inlineStr">
        <is>
          <t>IOS Meera</t>
        </is>
      </c>
      <c r="O666" s="4" t="n">
        <v>3</v>
      </c>
      <c r="P666" s="4" t="inlineStr">
        <is>
          <t>PERCENTAGE</t>
        </is>
      </c>
      <c r="Q666" s="4" t="inlineStr">
        <is>
          <t>MAESTRO-IOS-GROUP-SHARED_LIVING-0665 | Groceries | 25181.90</t>
        </is>
      </c>
      <c r="R666" s="4" t="inlineStr">
        <is>
          <t>iPhone</t>
        </is>
      </c>
      <c r="S666" s="4" t="inlineStr">
        <is>
          <t>B14</t>
        </is>
      </c>
      <c r="T666" s="4" t="inlineStr">
        <is>
          <t>RAMP_501_1500</t>
        </is>
      </c>
      <c r="U666" s="4" t="inlineStr">
        <is>
          <t>CREATED</t>
        </is>
      </c>
      <c r="V666" s="4" t="inlineStr">
        <is>
          <t>idem-20260902-ios-0665</t>
        </is>
      </c>
    </row>
    <row r="667" ht="30" customHeight="1">
      <c r="A667" s="4" t="n">
        <v>666</v>
      </c>
      <c r="B667" s="4" t="inlineStr">
        <is>
          <t>MTR-IOS-0666</t>
        </is>
      </c>
      <c r="C667" s="4" t="inlineStr">
        <is>
          <t>Business</t>
        </is>
      </c>
      <c r="D667" s="4" t="inlineStr">
        <is>
          <t>Business</t>
        </is>
      </c>
      <c r="E667" s="4" t="inlineStr">
        <is>
          <t>Business Runway</t>
        </is>
      </c>
      <c r="F667" s="4" t="inlineStr">
        <is>
          <t>Loan</t>
        </is>
      </c>
      <c r="G667" s="4" t="inlineStr">
        <is>
          <t>Income</t>
        </is>
      </c>
      <c r="H667" s="12" t="n">
        <v>45913</v>
      </c>
      <c r="I667" s="13" t="n">
        <v>0.009108796296296297</v>
      </c>
      <c r="J667" s="14" t="n">
        <v>45913.00910879629</v>
      </c>
      <c r="K667" s="15" t="n">
        <v>0.01</v>
      </c>
      <c r="L667" s="4" t="inlineStr">
        <is>
          <t>INR</t>
        </is>
      </c>
      <c r="M667" s="15" t="n">
        <v>0.01</v>
      </c>
      <c r="N667" s="4" t="inlineStr">
        <is>
          <t>IOS Owner</t>
        </is>
      </c>
      <c r="O667" s="4" t="n"/>
      <c r="P667" s="4" t="n"/>
      <c r="Q667" s="4" t="inlineStr">
        <is>
          <t>MAESTRO-IOS-BUSINESS-BUSINESS_RUNWAY-0666 | Loan | 0.01</t>
        </is>
      </c>
      <c r="R667" s="4" t="inlineStr">
        <is>
          <t>iPhone</t>
        </is>
      </c>
      <c r="S667" s="4" t="inlineStr">
        <is>
          <t>B14</t>
        </is>
      </c>
      <c r="T667" s="4" t="inlineStr">
        <is>
          <t>RAMP_501_1500</t>
        </is>
      </c>
      <c r="U667" s="4" t="inlineStr">
        <is>
          <t>CREATED</t>
        </is>
      </c>
      <c r="V667" s="4" t="inlineStr">
        <is>
          <t>idem-20260902-ios-0666</t>
        </is>
      </c>
    </row>
    <row r="668" ht="30" customHeight="1">
      <c r="A668" s="4" t="n">
        <v>667</v>
      </c>
      <c r="B668" s="4" t="inlineStr">
        <is>
          <t>MTR-IOS-0667</t>
        </is>
      </c>
      <c r="C668" s="4" t="inlineStr">
        <is>
          <t>Personal</t>
        </is>
      </c>
      <c r="D668" s="4" t="inlineStr">
        <is>
          <t>Personal</t>
        </is>
      </c>
      <c r="E668" s="4" t="inlineStr">
        <is>
          <t>Lifestyle</t>
        </is>
      </c>
      <c r="F668" s="4" t="inlineStr">
        <is>
          <t>Travel</t>
        </is>
      </c>
      <c r="G668" s="4" t="inlineStr">
        <is>
          <t>Expense</t>
        </is>
      </c>
      <c r="H668" s="12" t="n">
        <v>46035</v>
      </c>
      <c r="I668" s="13" t="n">
        <v>0.1965046296296296</v>
      </c>
      <c r="J668" s="14" t="n">
        <v>46035.19650462963</v>
      </c>
      <c r="K668" s="15" t="n">
        <v>7243.96</v>
      </c>
      <c r="L668" s="4" t="inlineStr">
        <is>
          <t>INR</t>
        </is>
      </c>
      <c r="M668" s="15" t="n">
        <v>-7243.96</v>
      </c>
      <c r="N668" s="4" t="inlineStr">
        <is>
          <t>IOS Owner</t>
        </is>
      </c>
      <c r="O668" s="4" t="n"/>
      <c r="P668" s="4" t="n"/>
      <c r="Q668" s="4" t="inlineStr">
        <is>
          <t>MAESTRO-IOS-PERSONAL-LIFESTYLE-0667 | Travel | 7243.96</t>
        </is>
      </c>
      <c r="R668" s="4" t="inlineStr">
        <is>
          <t>iPhone</t>
        </is>
      </c>
      <c r="S668" s="4" t="inlineStr">
        <is>
          <t>B14</t>
        </is>
      </c>
      <c r="T668" s="4" t="inlineStr">
        <is>
          <t>RAMP_501_1500</t>
        </is>
      </c>
      <c r="U668" s="4" t="inlineStr">
        <is>
          <t>CREATED</t>
        </is>
      </c>
      <c r="V668" s="4" t="inlineStr">
        <is>
          <t>idem-20260902-ios-0667</t>
        </is>
      </c>
    </row>
    <row r="669" ht="30" customHeight="1">
      <c r="A669" s="4" t="n">
        <v>668</v>
      </c>
      <c r="B669" s="4" t="inlineStr">
        <is>
          <t>MTR-IOS-0668</t>
        </is>
      </c>
      <c r="C669" s="4" t="inlineStr">
        <is>
          <t>Group</t>
        </is>
      </c>
      <c r="D669" s="4" t="inlineStr">
        <is>
          <t>Shared Living</t>
        </is>
      </c>
      <c r="E669" s="4" t="inlineStr">
        <is>
          <t>Shared Living</t>
        </is>
      </c>
      <c r="F669" s="4" t="inlineStr">
        <is>
          <t>Maintenance</t>
        </is>
      </c>
      <c r="G669" s="4" t="inlineStr">
        <is>
          <t>Expense</t>
        </is>
      </c>
      <c r="H669" s="12" t="n">
        <v>46108</v>
      </c>
      <c r="I669" s="13" t="n">
        <v>0.5738888888888889</v>
      </c>
      <c r="J669" s="14" t="n">
        <v>46108.57388888889</v>
      </c>
      <c r="K669" s="15" t="n">
        <v>23437.48</v>
      </c>
      <c r="L669" s="4" t="inlineStr">
        <is>
          <t>INR</t>
        </is>
      </c>
      <c r="M669" s="15" t="n">
        <v>-23437.48</v>
      </c>
      <c r="N669" s="4" t="inlineStr">
        <is>
          <t>IOS Owner</t>
        </is>
      </c>
      <c r="O669" s="4" t="n">
        <v>3</v>
      </c>
      <c r="P669" s="4" t="inlineStr">
        <is>
          <t>EXACT</t>
        </is>
      </c>
      <c r="Q669" s="4" t="inlineStr">
        <is>
          <t>MAESTRO-IOS-GROUP-SHARED_LIVING-0668 | Maintenance | 23437.48</t>
        </is>
      </c>
      <c r="R669" s="4" t="inlineStr">
        <is>
          <t>iPhone</t>
        </is>
      </c>
      <c r="S669" s="4" t="inlineStr">
        <is>
          <t>B14</t>
        </is>
      </c>
      <c r="T669" s="4" t="inlineStr">
        <is>
          <t>RAMP_501_1500</t>
        </is>
      </c>
      <c r="U669" s="4" t="inlineStr">
        <is>
          <t>CREATED</t>
        </is>
      </c>
      <c r="V669" s="4" t="inlineStr">
        <is>
          <t>idem-20260902-ios-0668</t>
        </is>
      </c>
    </row>
    <row r="670" ht="30" customHeight="1">
      <c r="A670" s="4" t="n">
        <v>669</v>
      </c>
      <c r="B670" s="4" t="inlineStr">
        <is>
          <t>MTR-IOS-0669</t>
        </is>
      </c>
      <c r="C670" s="4" t="inlineStr">
        <is>
          <t>Business</t>
        </is>
      </c>
      <c r="D670" s="4" t="inlineStr">
        <is>
          <t>Business</t>
        </is>
      </c>
      <c r="E670" s="4" t="inlineStr">
        <is>
          <t>Business Runway</t>
        </is>
      </c>
      <c r="F670" s="4" t="inlineStr">
        <is>
          <t>Investment</t>
        </is>
      </c>
      <c r="G670" s="4" t="inlineStr">
        <is>
          <t>Income</t>
        </is>
      </c>
      <c r="H670" s="12" t="n">
        <v>46191</v>
      </c>
      <c r="I670" s="13" t="n">
        <v>0.6110300925925926</v>
      </c>
      <c r="J670" s="14" t="n">
        <v>46191.61103009259</v>
      </c>
      <c r="K670" s="15" t="n">
        <v>105148.78</v>
      </c>
      <c r="L670" s="4" t="inlineStr">
        <is>
          <t>INR</t>
        </is>
      </c>
      <c r="M670" s="15" t="n">
        <v>105148.78</v>
      </c>
      <c r="N670" s="4" t="inlineStr">
        <is>
          <t>IOS Owner</t>
        </is>
      </c>
      <c r="O670" s="4" t="n"/>
      <c r="P670" s="4" t="n"/>
      <c r="Q670" s="4" t="inlineStr">
        <is>
          <t>MAESTRO-IOS-BUSINESS-BUSINESS_RUNWAY-0669 | Investment | 105148.78</t>
        </is>
      </c>
      <c r="R670" s="4" t="inlineStr">
        <is>
          <t>iPhone</t>
        </is>
      </c>
      <c r="S670" s="4" t="inlineStr">
        <is>
          <t>B14</t>
        </is>
      </c>
      <c r="T670" s="4" t="inlineStr">
        <is>
          <t>RAMP_501_1500</t>
        </is>
      </c>
      <c r="U670" s="4" t="inlineStr">
        <is>
          <t>CREATED</t>
        </is>
      </c>
      <c r="V670" s="4" t="inlineStr">
        <is>
          <t>idem-20260902-ios-0669</t>
        </is>
      </c>
    </row>
    <row r="671" ht="30" customHeight="1">
      <c r="A671" s="4" t="n">
        <v>670</v>
      </c>
      <c r="B671" s="4" t="inlineStr">
        <is>
          <t>MTR-IOS-0670</t>
        </is>
      </c>
      <c r="C671" s="4" t="inlineStr">
        <is>
          <t>Personal</t>
        </is>
      </c>
      <c r="D671" s="4" t="inlineStr">
        <is>
          <t>Personal</t>
        </is>
      </c>
      <c r="E671" s="4" t="inlineStr">
        <is>
          <t>Lifestyle</t>
        </is>
      </c>
      <c r="F671" s="4" t="inlineStr">
        <is>
          <t>Fitness</t>
        </is>
      </c>
      <c r="G671" s="4" t="inlineStr">
        <is>
          <t>Expense</t>
        </is>
      </c>
      <c r="H671" s="12" t="n">
        <v>46057</v>
      </c>
      <c r="I671" s="13" t="n">
        <v>0.8252083333333333</v>
      </c>
      <c r="J671" s="14" t="n">
        <v>46057.82520833334</v>
      </c>
      <c r="K671" s="15" t="n">
        <v>4358.27</v>
      </c>
      <c r="L671" s="4" t="inlineStr">
        <is>
          <t>INR</t>
        </is>
      </c>
      <c r="M671" s="15" t="n">
        <v>-4358.27</v>
      </c>
      <c r="N671" s="4" t="inlineStr">
        <is>
          <t>IOS Owner</t>
        </is>
      </c>
      <c r="O671" s="4" t="n"/>
      <c r="P671" s="4" t="n"/>
      <c r="Q671" s="4" t="inlineStr">
        <is>
          <t>MAESTRO-IOS-PERSONAL-LIFESTYLE-0670 | Fitness | 4358.27</t>
        </is>
      </c>
      <c r="R671" s="4" t="inlineStr">
        <is>
          <t>iPhone</t>
        </is>
      </c>
      <c r="S671" s="4" t="inlineStr">
        <is>
          <t>B14</t>
        </is>
      </c>
      <c r="T671" s="4" t="inlineStr">
        <is>
          <t>RAMP_501_1500</t>
        </is>
      </c>
      <c r="U671" s="4" t="inlineStr">
        <is>
          <t>CREATED</t>
        </is>
      </c>
      <c r="V671" s="4" t="inlineStr">
        <is>
          <t>idem-20260902-ios-0670</t>
        </is>
      </c>
    </row>
    <row r="672" ht="30" customHeight="1">
      <c r="A672" s="4" t="n">
        <v>671</v>
      </c>
      <c r="B672" s="4" t="inlineStr">
        <is>
          <t>MTR-IOS-0671</t>
        </is>
      </c>
      <c r="C672" s="4" t="inlineStr">
        <is>
          <t>Group</t>
        </is>
      </c>
      <c r="D672" s="4" t="inlineStr">
        <is>
          <t>Shared Living</t>
        </is>
      </c>
      <c r="E672" s="4" t="inlineStr">
        <is>
          <t>Shared Living</t>
        </is>
      </c>
      <c r="F672" s="4" t="inlineStr">
        <is>
          <t>Other</t>
        </is>
      </c>
      <c r="G672" s="4" t="inlineStr">
        <is>
          <t>Expense</t>
        </is>
      </c>
      <c r="H672" s="12" t="n">
        <v>45984</v>
      </c>
      <c r="I672" s="13" t="n">
        <v>0.5948032407407408</v>
      </c>
      <c r="J672" s="14" t="n">
        <v>45984.59480324074</v>
      </c>
      <c r="K672" s="15" t="n">
        <v>14876.55</v>
      </c>
      <c r="L672" s="4" t="inlineStr">
        <is>
          <t>INR</t>
        </is>
      </c>
      <c r="M672" s="15" t="n">
        <v>-14876.55</v>
      </c>
      <c r="N672" s="4" t="inlineStr">
        <is>
          <t>IOS Aarav</t>
        </is>
      </c>
      <c r="O672" s="4" t="n">
        <v>3</v>
      </c>
      <c r="P672" s="4" t="inlineStr">
        <is>
          <t>SHARES</t>
        </is>
      </c>
      <c r="Q672" s="4" t="inlineStr">
        <is>
          <t>MAESTRO-IOS-GROUP-SHARED_LIVING-0671 | Other | 14876.55</t>
        </is>
      </c>
      <c r="R672" s="4" t="inlineStr">
        <is>
          <t>iPhone</t>
        </is>
      </c>
      <c r="S672" s="4" t="inlineStr">
        <is>
          <t>B14</t>
        </is>
      </c>
      <c r="T672" s="4" t="inlineStr">
        <is>
          <t>RAMP_501_1500</t>
        </is>
      </c>
      <c r="U672" s="4" t="inlineStr">
        <is>
          <t>CREATED</t>
        </is>
      </c>
      <c r="V672" s="4" t="inlineStr">
        <is>
          <t>idem-20260902-ios-0671</t>
        </is>
      </c>
    </row>
    <row r="673" ht="30" customHeight="1">
      <c r="A673" s="4" t="n">
        <v>672</v>
      </c>
      <c r="B673" s="4" t="inlineStr">
        <is>
          <t>MTR-IOS-0672</t>
        </is>
      </c>
      <c r="C673" s="4" t="inlineStr">
        <is>
          <t>Business</t>
        </is>
      </c>
      <c r="D673" s="4" t="inlineStr">
        <is>
          <t>Business</t>
        </is>
      </c>
      <c r="E673" s="4" t="inlineStr">
        <is>
          <t>Business Operations</t>
        </is>
      </c>
      <c r="F673" s="4" t="inlineStr">
        <is>
          <t>Software</t>
        </is>
      </c>
      <c r="G673" s="4" t="inlineStr">
        <is>
          <t>Expense</t>
        </is>
      </c>
      <c r="H673" s="12" t="n">
        <v>46048</v>
      </c>
      <c r="I673" s="13" t="n">
        <v>0.8049884259259259</v>
      </c>
      <c r="J673" s="14" t="n">
        <v>46048.80498842592</v>
      </c>
      <c r="K673" s="15" t="n">
        <v>79573.49000000001</v>
      </c>
      <c r="L673" s="4" t="inlineStr">
        <is>
          <t>INR</t>
        </is>
      </c>
      <c r="M673" s="15" t="n">
        <v>-79573.49000000001</v>
      </c>
      <c r="N673" s="4" t="inlineStr">
        <is>
          <t>IOS Owner</t>
        </is>
      </c>
      <c r="O673" s="4" t="n"/>
      <c r="P673" s="4" t="n"/>
      <c r="Q673" s="4" t="inlineStr">
        <is>
          <t>MAESTRO-IOS-BUSINESS-BUSINESS_OPERATIONS-0672 | Software | 79573.49</t>
        </is>
      </c>
      <c r="R673" s="4" t="inlineStr">
        <is>
          <t>iPhone</t>
        </is>
      </c>
      <c r="S673" s="4" t="inlineStr">
        <is>
          <t>B14</t>
        </is>
      </c>
      <c r="T673" s="4" t="inlineStr">
        <is>
          <t>RAMP_501_1500</t>
        </is>
      </c>
      <c r="U673" s="4" t="inlineStr">
        <is>
          <t>CREATED</t>
        </is>
      </c>
      <c r="V673" s="4" t="inlineStr">
        <is>
          <t>idem-20260902-ios-0672</t>
        </is>
      </c>
    </row>
    <row r="674" ht="30" customHeight="1">
      <c r="A674" s="4" t="n">
        <v>673</v>
      </c>
      <c r="B674" s="4" t="inlineStr">
        <is>
          <t>MTR-IOS-0673</t>
        </is>
      </c>
      <c r="C674" s="4" t="inlineStr">
        <is>
          <t>Personal</t>
        </is>
      </c>
      <c r="D674" s="4" t="inlineStr">
        <is>
          <t>Personal</t>
        </is>
      </c>
      <c r="E674" s="4" t="inlineStr">
        <is>
          <t>Lifestyle</t>
        </is>
      </c>
      <c r="F674" s="4" t="inlineStr">
        <is>
          <t>Hobbies</t>
        </is>
      </c>
      <c r="G674" s="4" t="inlineStr">
        <is>
          <t>Expense</t>
        </is>
      </c>
      <c r="H674" s="12" t="n">
        <v>46018</v>
      </c>
      <c r="I674" s="13" t="n">
        <v>0.03932870370370371</v>
      </c>
      <c r="J674" s="14" t="n">
        <v>46018.0393287037</v>
      </c>
      <c r="K674" s="15" t="n">
        <v>17463.77</v>
      </c>
      <c r="L674" s="4" t="inlineStr">
        <is>
          <t>INR</t>
        </is>
      </c>
      <c r="M674" s="15" t="n">
        <v>-17463.77</v>
      </c>
      <c r="N674" s="4" t="inlineStr">
        <is>
          <t>IOS Owner</t>
        </is>
      </c>
      <c r="O674" s="4" t="n"/>
      <c r="P674" s="4" t="n"/>
      <c r="Q674" s="4" t="inlineStr">
        <is>
          <t>MAESTRO-IOS-PERSONAL-LIFESTYLE-0673 | Hobbies | 17463.77</t>
        </is>
      </c>
      <c r="R674" s="4" t="inlineStr">
        <is>
          <t>iPhone</t>
        </is>
      </c>
      <c r="S674" s="4" t="inlineStr">
        <is>
          <t>B14</t>
        </is>
      </c>
      <c r="T674" s="4" t="inlineStr">
        <is>
          <t>RAMP_501_1500</t>
        </is>
      </c>
      <c r="U674" s="4" t="inlineStr">
        <is>
          <t>CREATED</t>
        </is>
      </c>
      <c r="V674" s="4" t="inlineStr">
        <is>
          <t>idem-20260902-ios-0673</t>
        </is>
      </c>
    </row>
    <row r="675" ht="30" customHeight="1">
      <c r="A675" s="4" t="n">
        <v>674</v>
      </c>
      <c r="B675" s="4" t="inlineStr">
        <is>
          <t>MTR-IOS-0674</t>
        </is>
      </c>
      <c r="C675" s="4" t="inlineStr">
        <is>
          <t>Group</t>
        </is>
      </c>
      <c r="D675" s="4" t="inlineStr">
        <is>
          <t>Shared Living</t>
        </is>
      </c>
      <c r="E675" s="4" t="inlineStr">
        <is>
          <t>Family Household</t>
        </is>
      </c>
      <c r="F675" s="4" t="inlineStr">
        <is>
          <t>Groceries</t>
        </is>
      </c>
      <c r="G675" s="4" t="inlineStr">
        <is>
          <t>Expense</t>
        </is>
      </c>
      <c r="H675" s="12" t="n">
        <v>46186</v>
      </c>
      <c r="I675" s="13" t="n">
        <v>0.04398148148148148</v>
      </c>
      <c r="J675" s="14" t="n">
        <v>46186.04398148148</v>
      </c>
      <c r="K675" s="15" t="n">
        <v>8750.790000000001</v>
      </c>
      <c r="L675" s="4" t="inlineStr">
        <is>
          <t>INR</t>
        </is>
      </c>
      <c r="M675" s="15" t="n">
        <v>-8750.790000000001</v>
      </c>
      <c r="N675" s="4" t="inlineStr">
        <is>
          <t>IOS Meera</t>
        </is>
      </c>
      <c r="O675" s="4" t="n">
        <v>3</v>
      </c>
      <c r="P675" s="4" t="inlineStr">
        <is>
          <t>EQUAL</t>
        </is>
      </c>
      <c r="Q675" s="4" t="inlineStr">
        <is>
          <t>MAESTRO-IOS-GROUP-FAMILY_HOUSEHOLD-0674 | Groceries | 8750.79</t>
        </is>
      </c>
      <c r="R675" s="4" t="inlineStr">
        <is>
          <t>iPhone</t>
        </is>
      </c>
      <c r="S675" s="4" t="inlineStr">
        <is>
          <t>B14</t>
        </is>
      </c>
      <c r="T675" s="4" t="inlineStr">
        <is>
          <t>RAMP_501_1500</t>
        </is>
      </c>
      <c r="U675" s="4" t="inlineStr">
        <is>
          <t>CREATED</t>
        </is>
      </c>
      <c r="V675" s="4" t="inlineStr">
        <is>
          <t>idem-20260902-ios-0674</t>
        </is>
      </c>
    </row>
    <row r="676" ht="30" customHeight="1">
      <c r="A676" s="4" t="n">
        <v>675</v>
      </c>
      <c r="B676" s="4" t="inlineStr">
        <is>
          <t>MTR-IOS-0675</t>
        </is>
      </c>
      <c r="C676" s="4" t="inlineStr">
        <is>
          <t>Business</t>
        </is>
      </c>
      <c r="D676" s="4" t="inlineStr">
        <is>
          <t>Business</t>
        </is>
      </c>
      <c r="E676" s="4" t="inlineStr">
        <is>
          <t>Business Operations</t>
        </is>
      </c>
      <c r="F676" s="4" t="inlineStr">
        <is>
          <t>Rent</t>
        </is>
      </c>
      <c r="G676" s="4" t="inlineStr">
        <is>
          <t>Expense</t>
        </is>
      </c>
      <c r="H676" s="12" t="n">
        <v>46195</v>
      </c>
      <c r="I676" s="13" t="n">
        <v>0.3055671296296296</v>
      </c>
      <c r="J676" s="14" t="n">
        <v>46195.30556712963</v>
      </c>
      <c r="K676" s="15" t="n">
        <v>90412.63</v>
      </c>
      <c r="L676" s="4" t="inlineStr">
        <is>
          <t>INR</t>
        </is>
      </c>
      <c r="M676" s="15" t="n">
        <v>-90412.63</v>
      </c>
      <c r="N676" s="4" t="inlineStr">
        <is>
          <t>IOS Owner</t>
        </is>
      </c>
      <c r="O676" s="4" t="n"/>
      <c r="P676" s="4" t="n"/>
      <c r="Q676" s="4" t="inlineStr">
        <is>
          <t>MAESTRO-IOS-BUSINESS-BUSINESS_OPERATIONS-0675 | Rent | 90412.63</t>
        </is>
      </c>
      <c r="R676" s="4" t="inlineStr">
        <is>
          <t>iPhone</t>
        </is>
      </c>
      <c r="S676" s="4" t="inlineStr">
        <is>
          <t>B14</t>
        </is>
      </c>
      <c r="T676" s="4" t="inlineStr">
        <is>
          <t>RAMP_501_1500</t>
        </is>
      </c>
      <c r="U676" s="4" t="inlineStr">
        <is>
          <t>CREATED</t>
        </is>
      </c>
      <c r="V676" s="4" t="inlineStr">
        <is>
          <t>idem-20260902-ios-0675</t>
        </is>
      </c>
    </row>
    <row r="677" ht="30" customHeight="1">
      <c r="A677" s="4" t="n">
        <v>676</v>
      </c>
      <c r="B677" s="4" t="inlineStr">
        <is>
          <t>MTR-IOS-0676</t>
        </is>
      </c>
      <c r="C677" s="4" t="inlineStr">
        <is>
          <t>Personal</t>
        </is>
      </c>
      <c r="D677" s="4" t="inlineStr">
        <is>
          <t>Personal</t>
        </is>
      </c>
      <c r="E677" s="4" t="inlineStr">
        <is>
          <t>Relationships</t>
        </is>
      </c>
      <c r="F677" s="4" t="inlineStr">
        <is>
          <t>Gifts</t>
        </is>
      </c>
      <c r="G677" s="4" t="inlineStr">
        <is>
          <t>Expense</t>
        </is>
      </c>
      <c r="H677" s="12" t="n">
        <v>45985</v>
      </c>
      <c r="I677" s="13" t="n">
        <v>0.8501620370370371</v>
      </c>
      <c r="J677" s="14" t="n">
        <v>45985.85016203704</v>
      </c>
      <c r="K677" s="15" t="n">
        <v>11351.96</v>
      </c>
      <c r="L677" s="4" t="inlineStr">
        <is>
          <t>INR</t>
        </is>
      </c>
      <c r="M677" s="15" t="n">
        <v>-11351.96</v>
      </c>
      <c r="N677" s="4" t="inlineStr">
        <is>
          <t>IOS Owner</t>
        </is>
      </c>
      <c r="O677" s="4" t="n"/>
      <c r="P677" s="4" t="n"/>
      <c r="Q677" s="4" t="inlineStr">
        <is>
          <t>MAESTRO-IOS-PERSONAL-RELATIONSHIPS-0676 | Gifts | 11351.96</t>
        </is>
      </c>
      <c r="R677" s="4" t="inlineStr">
        <is>
          <t>iPhone</t>
        </is>
      </c>
      <c r="S677" s="4" t="inlineStr">
        <is>
          <t>B14</t>
        </is>
      </c>
      <c r="T677" s="4" t="inlineStr">
        <is>
          <t>RAMP_501_1500</t>
        </is>
      </c>
      <c r="U677" s="4" t="inlineStr">
        <is>
          <t>CREATED</t>
        </is>
      </c>
      <c r="V677" s="4" t="inlineStr">
        <is>
          <t>idem-20260902-ios-0676</t>
        </is>
      </c>
    </row>
    <row r="678" ht="30" customHeight="1">
      <c r="A678" s="4" t="n">
        <v>677</v>
      </c>
      <c r="B678" s="4" t="inlineStr">
        <is>
          <t>MTR-IOS-0677</t>
        </is>
      </c>
      <c r="C678" s="4" t="inlineStr">
        <is>
          <t>Group</t>
        </is>
      </c>
      <c r="D678" s="4" t="inlineStr">
        <is>
          <t>Shared Living</t>
        </is>
      </c>
      <c r="E678" s="4" t="inlineStr">
        <is>
          <t>Family Household</t>
        </is>
      </c>
      <c r="F678" s="4" t="inlineStr">
        <is>
          <t>Bills</t>
        </is>
      </c>
      <c r="G678" s="4" t="inlineStr">
        <is>
          <t>Expense</t>
        </is>
      </c>
      <c r="H678" s="12" t="n">
        <v>46035</v>
      </c>
      <c r="I678" s="13" t="n">
        <v>0.06307870370370371</v>
      </c>
      <c r="J678" s="14" t="n">
        <v>46035.0630787037</v>
      </c>
      <c r="K678" s="15" t="n">
        <v>18927.92</v>
      </c>
      <c r="L678" s="4" t="inlineStr">
        <is>
          <t>INR</t>
        </is>
      </c>
      <c r="M678" s="15" t="n">
        <v>-18927.92</v>
      </c>
      <c r="N678" s="4" t="inlineStr">
        <is>
          <t>IOS Owner</t>
        </is>
      </c>
      <c r="O678" s="4" t="n">
        <v>3</v>
      </c>
      <c r="P678" s="4" t="inlineStr">
        <is>
          <t>PERCENTAGE</t>
        </is>
      </c>
      <c r="Q678" s="4" t="inlineStr">
        <is>
          <t>MAESTRO-IOS-GROUP-FAMILY_HOUSEHOLD-0677 | Bills | 18927.92</t>
        </is>
      </c>
      <c r="R678" s="4" t="inlineStr">
        <is>
          <t>iPhone</t>
        </is>
      </c>
      <c r="S678" s="4" t="inlineStr">
        <is>
          <t>B14</t>
        </is>
      </c>
      <c r="T678" s="4" t="inlineStr">
        <is>
          <t>RAMP_501_1500</t>
        </is>
      </c>
      <c r="U678" s="4" t="inlineStr">
        <is>
          <t>CREATED</t>
        </is>
      </c>
      <c r="V678" s="4" t="inlineStr">
        <is>
          <t>idem-20260902-ios-0677</t>
        </is>
      </c>
    </row>
    <row r="679" ht="30" customHeight="1">
      <c r="A679" s="4" t="n">
        <v>678</v>
      </c>
      <c r="B679" s="4" t="inlineStr">
        <is>
          <t>MTR-IOS-0678</t>
        </is>
      </c>
      <c r="C679" s="4" t="inlineStr">
        <is>
          <t>Business</t>
        </is>
      </c>
      <c r="D679" s="4" t="inlineStr">
        <is>
          <t>Business</t>
        </is>
      </c>
      <c r="E679" s="4" t="inlineStr">
        <is>
          <t>Business Operations</t>
        </is>
      </c>
      <c r="F679" s="4" t="inlineStr">
        <is>
          <t>Marketing</t>
        </is>
      </c>
      <c r="G679" s="4" t="inlineStr">
        <is>
          <t>Expense</t>
        </is>
      </c>
      <c r="H679" s="12" t="n">
        <v>46124</v>
      </c>
      <c r="I679" s="13" t="n">
        <v>0.3840509259259259</v>
      </c>
      <c r="J679" s="14" t="n">
        <v>46124.38405092592</v>
      </c>
      <c r="K679" s="15" t="n">
        <v>106145.75</v>
      </c>
      <c r="L679" s="4" t="inlineStr">
        <is>
          <t>INR</t>
        </is>
      </c>
      <c r="M679" s="15" t="n">
        <v>-106145.75</v>
      </c>
      <c r="N679" s="4" t="inlineStr">
        <is>
          <t>IOS Owner</t>
        </is>
      </c>
      <c r="O679" s="4" t="n"/>
      <c r="P679" s="4" t="n"/>
      <c r="Q679" s="4" t="inlineStr">
        <is>
          <t>MAESTRO-IOS-BUSINESS-BUSINESS_OPERATIONS-0678 | Marketing | 106145.75</t>
        </is>
      </c>
      <c r="R679" s="4" t="inlineStr">
        <is>
          <t>iPhone</t>
        </is>
      </c>
      <c r="S679" s="4" t="inlineStr">
        <is>
          <t>B14</t>
        </is>
      </c>
      <c r="T679" s="4" t="inlineStr">
        <is>
          <t>RAMP_501_1500</t>
        </is>
      </c>
      <c r="U679" s="4" t="inlineStr">
        <is>
          <t>CREATED</t>
        </is>
      </c>
      <c r="V679" s="4" t="inlineStr">
        <is>
          <t>idem-20260902-ios-0678</t>
        </is>
      </c>
    </row>
    <row r="680" ht="30" customHeight="1">
      <c r="A680" s="4" t="n">
        <v>679</v>
      </c>
      <c r="B680" s="4" t="inlineStr">
        <is>
          <t>MTR-IOS-0679</t>
        </is>
      </c>
      <c r="C680" s="4" t="inlineStr">
        <is>
          <t>Personal</t>
        </is>
      </c>
      <c r="D680" s="4" t="inlineStr">
        <is>
          <t>Personal</t>
        </is>
      </c>
      <c r="E680" s="4" t="inlineStr">
        <is>
          <t>Relationships</t>
        </is>
      </c>
      <c r="F680" s="4" t="inlineStr">
        <is>
          <t>Dates</t>
        </is>
      </c>
      <c r="G680" s="4" t="inlineStr">
        <is>
          <t>Expense</t>
        </is>
      </c>
      <c r="H680" s="12" t="n">
        <v>46097</v>
      </c>
      <c r="I680" s="13" t="n">
        <v>0.8410185185185185</v>
      </c>
      <c r="J680" s="14" t="n">
        <v>46097.84101851852</v>
      </c>
      <c r="K680" s="15" t="n">
        <v>12471.96</v>
      </c>
      <c r="L680" s="4" t="inlineStr">
        <is>
          <t>INR</t>
        </is>
      </c>
      <c r="M680" s="15" t="n">
        <v>-12471.96</v>
      </c>
      <c r="N680" s="4" t="inlineStr">
        <is>
          <t>IOS Owner</t>
        </is>
      </c>
      <c r="O680" s="4" t="n"/>
      <c r="P680" s="4" t="n"/>
      <c r="Q680" s="4" t="inlineStr">
        <is>
          <t>MAESTRO-IOS-PERSONAL-RELATIONSHIPS-0679 | Dates | 12471.96</t>
        </is>
      </c>
      <c r="R680" s="4" t="inlineStr">
        <is>
          <t>iPhone</t>
        </is>
      </c>
      <c r="S680" s="4" t="inlineStr">
        <is>
          <t>B14</t>
        </is>
      </c>
      <c r="T680" s="4" t="inlineStr">
        <is>
          <t>RAMP_501_1500</t>
        </is>
      </c>
      <c r="U680" s="4" t="inlineStr">
        <is>
          <t>CREATED</t>
        </is>
      </c>
      <c r="V680" s="4" t="inlineStr">
        <is>
          <t>idem-20260902-ios-0679</t>
        </is>
      </c>
    </row>
    <row r="681" ht="30" customHeight="1">
      <c r="A681" s="4" t="n">
        <v>680</v>
      </c>
      <c r="B681" s="4" t="inlineStr">
        <is>
          <t>MTR-IOS-0680</t>
        </is>
      </c>
      <c r="C681" s="4" t="inlineStr">
        <is>
          <t>Group</t>
        </is>
      </c>
      <c r="D681" s="4" t="inlineStr">
        <is>
          <t>Shared Living</t>
        </is>
      </c>
      <c r="E681" s="4" t="inlineStr">
        <is>
          <t>Family Household</t>
        </is>
      </c>
      <c r="F681" s="4" t="inlineStr">
        <is>
          <t>School</t>
        </is>
      </c>
      <c r="G681" s="4" t="inlineStr">
        <is>
          <t>Expense</t>
        </is>
      </c>
      <c r="H681" s="12" t="n">
        <v>46049</v>
      </c>
      <c r="I681" s="13" t="n">
        <v>0.8092476851851852</v>
      </c>
      <c r="J681" s="14" t="n">
        <v>46049.80924768518</v>
      </c>
      <c r="K681" s="15" t="n">
        <v>24620.33</v>
      </c>
      <c r="L681" s="4" t="inlineStr">
        <is>
          <t>INR</t>
        </is>
      </c>
      <c r="M681" s="15" t="n">
        <v>-24620.33</v>
      </c>
      <c r="N681" s="4" t="inlineStr">
        <is>
          <t>IOS Aarav</t>
        </is>
      </c>
      <c r="O681" s="4" t="n">
        <v>3</v>
      </c>
      <c r="P681" s="4" t="inlineStr">
        <is>
          <t>EXACT</t>
        </is>
      </c>
      <c r="Q681" s="4" t="inlineStr">
        <is>
          <t>MAESTRO-IOS-GROUP-FAMILY_HOUSEHOLD-0680 | School | 24620.33</t>
        </is>
      </c>
      <c r="R681" s="4" t="inlineStr">
        <is>
          <t>iPhone</t>
        </is>
      </c>
      <c r="S681" s="4" t="inlineStr">
        <is>
          <t>B14</t>
        </is>
      </c>
      <c r="T681" s="4" t="inlineStr">
        <is>
          <t>RAMP_501_1500</t>
        </is>
      </c>
      <c r="U681" s="4" t="inlineStr">
        <is>
          <t>CREATED</t>
        </is>
      </c>
      <c r="V681" s="4" t="inlineStr">
        <is>
          <t>idem-20260902-ios-0680</t>
        </is>
      </c>
    </row>
    <row r="682" ht="30" customHeight="1">
      <c r="A682" s="4" t="n">
        <v>681</v>
      </c>
      <c r="B682" s="4" t="inlineStr">
        <is>
          <t>MTR-IOS-0681</t>
        </is>
      </c>
      <c r="C682" s="4" t="inlineStr">
        <is>
          <t>Business</t>
        </is>
      </c>
      <c r="D682" s="4" t="inlineStr">
        <is>
          <t>Business</t>
        </is>
      </c>
      <c r="E682" s="4" t="inlineStr">
        <is>
          <t>Business Operations</t>
        </is>
      </c>
      <c r="F682" s="4" t="inlineStr">
        <is>
          <t>Legal</t>
        </is>
      </c>
      <c r="G682" s="4" t="inlineStr">
        <is>
          <t>Expense</t>
        </is>
      </c>
      <c r="H682" s="12" t="n">
        <v>45981</v>
      </c>
      <c r="I682" s="13" t="n">
        <v>0.055625</v>
      </c>
      <c r="J682" s="14" t="n">
        <v>45981.055625</v>
      </c>
      <c r="K682" s="15" t="n">
        <v>66718.7</v>
      </c>
      <c r="L682" s="4" t="inlineStr">
        <is>
          <t>INR</t>
        </is>
      </c>
      <c r="M682" s="15" t="n">
        <v>-66718.7</v>
      </c>
      <c r="N682" s="4" t="inlineStr">
        <is>
          <t>IOS Owner</t>
        </is>
      </c>
      <c r="O682" s="4" t="n"/>
      <c r="P682" s="4" t="n"/>
      <c r="Q682" s="4" t="inlineStr">
        <is>
          <t>MAESTRO-IOS-BUSINESS-BUSINESS_OPERATIONS-0681 | Legal | 66718.70</t>
        </is>
      </c>
      <c r="R682" s="4" t="inlineStr">
        <is>
          <t>iPhone</t>
        </is>
      </c>
      <c r="S682" s="4" t="inlineStr">
        <is>
          <t>B14</t>
        </is>
      </c>
      <c r="T682" s="4" t="inlineStr">
        <is>
          <t>RAMP_501_1500</t>
        </is>
      </c>
      <c r="U682" s="4" t="inlineStr">
        <is>
          <t>CREATED</t>
        </is>
      </c>
      <c r="V682" s="4" t="inlineStr">
        <is>
          <t>idem-20260902-ios-0681</t>
        </is>
      </c>
    </row>
    <row r="683" ht="30" customHeight="1">
      <c r="A683" s="4" t="n">
        <v>682</v>
      </c>
      <c r="B683" s="4" t="inlineStr">
        <is>
          <t>MTR-IOS-0682</t>
        </is>
      </c>
      <c r="C683" s="4" t="inlineStr">
        <is>
          <t>Personal</t>
        </is>
      </c>
      <c r="D683" s="4" t="inlineStr">
        <is>
          <t>Personal</t>
        </is>
      </c>
      <c r="E683" s="4" t="inlineStr">
        <is>
          <t>Relationships</t>
        </is>
      </c>
      <c r="F683" s="4" t="inlineStr">
        <is>
          <t>Family</t>
        </is>
      </c>
      <c r="G683" s="4" t="inlineStr">
        <is>
          <t>Expense</t>
        </is>
      </c>
      <c r="H683" s="12" t="n">
        <v>46016</v>
      </c>
      <c r="I683" s="13" t="n">
        <v>0.4833912037037037</v>
      </c>
      <c r="J683" s="14" t="n">
        <v>46016.48339120371</v>
      </c>
      <c r="K683" s="15" t="n">
        <v>12715.36</v>
      </c>
      <c r="L683" s="4" t="inlineStr">
        <is>
          <t>INR</t>
        </is>
      </c>
      <c r="M683" s="15" t="n">
        <v>-12715.36</v>
      </c>
      <c r="N683" s="4" t="inlineStr">
        <is>
          <t>IOS Owner</t>
        </is>
      </c>
      <c r="O683" s="4" t="n"/>
      <c r="P683" s="4" t="n"/>
      <c r="Q683" s="4" t="inlineStr">
        <is>
          <t>MAESTRO-IOS-PERSONAL-RELATIONSHIPS-0682 | Family | 12715.36</t>
        </is>
      </c>
      <c r="R683" s="4" t="inlineStr">
        <is>
          <t>iPhone</t>
        </is>
      </c>
      <c r="S683" s="4" t="inlineStr">
        <is>
          <t>B14</t>
        </is>
      </c>
      <c r="T683" s="4" t="inlineStr">
        <is>
          <t>RAMP_501_1500</t>
        </is>
      </c>
      <c r="U683" s="4" t="inlineStr">
        <is>
          <t>CREATED</t>
        </is>
      </c>
      <c r="V683" s="4" t="inlineStr">
        <is>
          <t>idem-20260902-ios-0682</t>
        </is>
      </c>
    </row>
    <row r="684" ht="30" customHeight="1">
      <c r="A684" s="4" t="n">
        <v>683</v>
      </c>
      <c r="B684" s="4" t="inlineStr">
        <is>
          <t>MTR-IOS-0683</t>
        </is>
      </c>
      <c r="C684" s="4" t="inlineStr">
        <is>
          <t>Group</t>
        </is>
      </c>
      <c r="D684" s="4" t="inlineStr">
        <is>
          <t>Shared Living</t>
        </is>
      </c>
      <c r="E684" s="4" t="inlineStr">
        <is>
          <t>Family Household</t>
        </is>
      </c>
      <c r="F684" s="4" t="inlineStr">
        <is>
          <t>Healthcare</t>
        </is>
      </c>
      <c r="G684" s="4" t="inlineStr">
        <is>
          <t>Expense</t>
        </is>
      </c>
      <c r="H684" s="12" t="n">
        <v>46003</v>
      </c>
      <c r="I684" s="13" t="n">
        <v>0.8362384259259259</v>
      </c>
      <c r="J684" s="14" t="n">
        <v>46003.83623842592</v>
      </c>
      <c r="K684" s="15" t="n">
        <v>14560.41</v>
      </c>
      <c r="L684" s="4" t="inlineStr">
        <is>
          <t>INR</t>
        </is>
      </c>
      <c r="M684" s="15" t="n">
        <v>-14560.41</v>
      </c>
      <c r="N684" s="4" t="inlineStr">
        <is>
          <t>IOS Meera</t>
        </is>
      </c>
      <c r="O684" s="4" t="n">
        <v>3</v>
      </c>
      <c r="P684" s="4" t="inlineStr">
        <is>
          <t>SHARES</t>
        </is>
      </c>
      <c r="Q684" s="4" t="inlineStr">
        <is>
          <t>MAESTRO-IOS-GROUP-FAMILY_HOUSEHOLD-0683 | Healthcare | 14560.41</t>
        </is>
      </c>
      <c r="R684" s="4" t="inlineStr">
        <is>
          <t>iPhone</t>
        </is>
      </c>
      <c r="S684" s="4" t="inlineStr">
        <is>
          <t>B14</t>
        </is>
      </c>
      <c r="T684" s="4" t="inlineStr">
        <is>
          <t>RAMP_501_1500</t>
        </is>
      </c>
      <c r="U684" s="4" t="inlineStr">
        <is>
          <t>CREATED</t>
        </is>
      </c>
      <c r="V684" s="4" t="inlineStr">
        <is>
          <t>idem-20260902-ios-0683</t>
        </is>
      </c>
    </row>
    <row r="685" ht="30" customHeight="1">
      <c r="A685" s="4" t="n">
        <v>684</v>
      </c>
      <c r="B685" s="4" t="inlineStr">
        <is>
          <t>MTR-IOS-0684</t>
        </is>
      </c>
      <c r="C685" s="4" t="inlineStr">
        <is>
          <t>Business</t>
        </is>
      </c>
      <c r="D685" s="4" t="inlineStr">
        <is>
          <t>Business</t>
        </is>
      </c>
      <c r="E685" s="4" t="inlineStr">
        <is>
          <t>Business Operations</t>
        </is>
      </c>
      <c r="F685" s="4" t="inlineStr">
        <is>
          <t>Accounting</t>
        </is>
      </c>
      <c r="G685" s="4" t="inlineStr">
        <is>
          <t>Expense</t>
        </is>
      </c>
      <c r="H685" s="12" t="n">
        <v>46092</v>
      </c>
      <c r="I685" s="13" t="n">
        <v>0.8869097222222222</v>
      </c>
      <c r="J685" s="14" t="n">
        <v>46092.88690972222</v>
      </c>
      <c r="K685" s="15" t="n">
        <v>45441.68</v>
      </c>
      <c r="L685" s="4" t="inlineStr">
        <is>
          <t>INR</t>
        </is>
      </c>
      <c r="M685" s="15" t="n">
        <v>-45441.68</v>
      </c>
      <c r="N685" s="4" t="inlineStr">
        <is>
          <t>IOS Owner</t>
        </is>
      </c>
      <c r="O685" s="4" t="n"/>
      <c r="P685" s="4" t="n"/>
      <c r="Q685" s="4" t="inlineStr">
        <is>
          <t>MAESTRO-IOS-BUSINESS-BUSINESS_OPERATIONS-0684 | Accounting | 45441.68</t>
        </is>
      </c>
      <c r="R685" s="4" t="inlineStr">
        <is>
          <t>iPhone</t>
        </is>
      </c>
      <c r="S685" s="4" t="inlineStr">
        <is>
          <t>B14</t>
        </is>
      </c>
      <c r="T685" s="4" t="inlineStr">
        <is>
          <t>RAMP_501_1500</t>
        </is>
      </c>
      <c r="U685" s="4" t="inlineStr">
        <is>
          <t>CREATED</t>
        </is>
      </c>
      <c r="V685" s="4" t="inlineStr">
        <is>
          <t>idem-20260902-ios-0684</t>
        </is>
      </c>
    </row>
    <row r="686" ht="30" customHeight="1">
      <c r="A686" s="4" t="n">
        <v>685</v>
      </c>
      <c r="B686" s="4" t="inlineStr">
        <is>
          <t>MTR-IOS-0685</t>
        </is>
      </c>
      <c r="C686" s="4" t="inlineStr">
        <is>
          <t>Personal</t>
        </is>
      </c>
      <c r="D686" s="4" t="inlineStr">
        <is>
          <t>Personal</t>
        </is>
      </c>
      <c r="E686" s="4" t="inlineStr">
        <is>
          <t>Relationships</t>
        </is>
      </c>
      <c r="F686" s="4" t="inlineStr">
        <is>
          <t>Friends</t>
        </is>
      </c>
      <c r="G686" s="4" t="inlineStr">
        <is>
          <t>Expense</t>
        </is>
      </c>
      <c r="H686" s="12" t="n">
        <v>46110</v>
      </c>
      <c r="I686" s="13" t="n">
        <v>0.9344212962962963</v>
      </c>
      <c r="J686" s="14" t="n">
        <v>46110.9344212963</v>
      </c>
      <c r="K686" s="15" t="n">
        <v>2768.7</v>
      </c>
      <c r="L686" s="4" t="inlineStr">
        <is>
          <t>INR</t>
        </is>
      </c>
      <c r="M686" s="15" t="n">
        <v>-2768.7</v>
      </c>
      <c r="N686" s="4" t="inlineStr">
        <is>
          <t>IOS Owner</t>
        </is>
      </c>
      <c r="O686" s="4" t="n"/>
      <c r="P686" s="4" t="n"/>
      <c r="Q686" s="4" t="inlineStr">
        <is>
          <t>MAESTRO-IOS-PERSONAL-RELATIONSHIPS-0685 | Friends | 2768.70</t>
        </is>
      </c>
      <c r="R686" s="4" t="inlineStr">
        <is>
          <t>iPhone</t>
        </is>
      </c>
      <c r="S686" s="4" t="inlineStr">
        <is>
          <t>B14</t>
        </is>
      </c>
      <c r="T686" s="4" t="inlineStr">
        <is>
          <t>RAMP_501_1500</t>
        </is>
      </c>
      <c r="U686" s="4" t="inlineStr">
        <is>
          <t>CREATED</t>
        </is>
      </c>
      <c r="V686" s="4" t="inlineStr">
        <is>
          <t>idem-20260902-ios-0685</t>
        </is>
      </c>
    </row>
    <row r="687" ht="30" customHeight="1">
      <c r="A687" s="4" t="n">
        <v>686</v>
      </c>
      <c r="B687" s="4" t="inlineStr">
        <is>
          <t>MTR-IOS-0686</t>
        </is>
      </c>
      <c r="C687" s="4" t="inlineStr">
        <is>
          <t>Group</t>
        </is>
      </c>
      <c r="D687" s="4" t="inlineStr">
        <is>
          <t>Shared Living</t>
        </is>
      </c>
      <c r="E687" s="4" t="inlineStr">
        <is>
          <t>Family Household</t>
        </is>
      </c>
      <c r="F687" s="4" t="inlineStr">
        <is>
          <t>Home</t>
        </is>
      </c>
      <c r="G687" s="4" t="inlineStr">
        <is>
          <t>Expense</t>
        </is>
      </c>
      <c r="H687" s="12" t="n">
        <v>45939</v>
      </c>
      <c r="I687" s="13" t="n">
        <v>0.05123842592592592</v>
      </c>
      <c r="J687" s="14" t="n">
        <v>45939.05123842593</v>
      </c>
      <c r="K687" s="15" t="n">
        <v>16747.63</v>
      </c>
      <c r="L687" s="4" t="inlineStr">
        <is>
          <t>INR</t>
        </is>
      </c>
      <c r="M687" s="15" t="n">
        <v>-16747.63</v>
      </c>
      <c r="N687" s="4" t="inlineStr">
        <is>
          <t>IOS Owner</t>
        </is>
      </c>
      <c r="O687" s="4" t="n">
        <v>3</v>
      </c>
      <c r="P687" s="4" t="inlineStr">
        <is>
          <t>EQUAL</t>
        </is>
      </c>
      <c r="Q687" s="4" t="inlineStr">
        <is>
          <t>MAESTRO-IOS-GROUP-FAMILY_HOUSEHOLD-0686 | Home | 16747.63</t>
        </is>
      </c>
      <c r="R687" s="4" t="inlineStr">
        <is>
          <t>iPhone</t>
        </is>
      </c>
      <c r="S687" s="4" t="inlineStr">
        <is>
          <t>B14</t>
        </is>
      </c>
      <c r="T687" s="4" t="inlineStr">
        <is>
          <t>RAMP_501_1500</t>
        </is>
      </c>
      <c r="U687" s="4" t="inlineStr">
        <is>
          <t>CREATED</t>
        </is>
      </c>
      <c r="V687" s="4" t="inlineStr">
        <is>
          <t>idem-20260902-ios-0686</t>
        </is>
      </c>
    </row>
    <row r="688" ht="30" customHeight="1">
      <c r="A688" s="4" t="n">
        <v>687</v>
      </c>
      <c r="B688" s="4" t="inlineStr">
        <is>
          <t>MTR-IOS-0687</t>
        </is>
      </c>
      <c r="C688" s="4" t="inlineStr">
        <is>
          <t>Business</t>
        </is>
      </c>
      <c r="D688" s="4" t="inlineStr">
        <is>
          <t>Business</t>
        </is>
      </c>
      <c r="E688" s="4" t="inlineStr">
        <is>
          <t>Business Operations</t>
        </is>
      </c>
      <c r="F688" s="4" t="inlineStr">
        <is>
          <t>Equipment</t>
        </is>
      </c>
      <c r="G688" s="4" t="inlineStr">
        <is>
          <t>Expense</t>
        </is>
      </c>
      <c r="H688" s="12" t="n">
        <v>46202</v>
      </c>
      <c r="I688" s="13" t="n">
        <v>0.7419328703703704</v>
      </c>
      <c r="J688" s="14" t="n">
        <v>46202.74193287037</v>
      </c>
      <c r="K688" s="15" t="n">
        <v>156479.18</v>
      </c>
      <c r="L688" s="4" t="inlineStr">
        <is>
          <t>INR</t>
        </is>
      </c>
      <c r="M688" s="15" t="n">
        <v>-156479.18</v>
      </c>
      <c r="N688" s="4" t="inlineStr">
        <is>
          <t>IOS Owner</t>
        </is>
      </c>
      <c r="O688" s="4" t="n"/>
      <c r="P688" s="4" t="n"/>
      <c r="Q688" s="4" t="inlineStr">
        <is>
          <t>MAESTRO-IOS-BUSINESS-BUSINESS_OPERATIONS-0687 | Equipment | 156479.18</t>
        </is>
      </c>
      <c r="R688" s="4" t="inlineStr">
        <is>
          <t>iPhone</t>
        </is>
      </c>
      <c r="S688" s="4" t="inlineStr">
        <is>
          <t>B14</t>
        </is>
      </c>
      <c r="T688" s="4" t="inlineStr">
        <is>
          <t>RAMP_501_1500</t>
        </is>
      </c>
      <c r="U688" s="4" t="inlineStr">
        <is>
          <t>CREATED</t>
        </is>
      </c>
      <c r="V688" s="4" t="inlineStr">
        <is>
          <t>idem-20260902-ios-0687</t>
        </is>
      </c>
    </row>
    <row r="689" ht="30" customHeight="1">
      <c r="A689" s="4" t="n">
        <v>688</v>
      </c>
      <c r="B689" s="4" t="inlineStr">
        <is>
          <t>MTR-IOS-0688</t>
        </is>
      </c>
      <c r="C689" s="4" t="inlineStr">
        <is>
          <t>Personal</t>
        </is>
      </c>
      <c r="D689" s="4" t="inlineStr">
        <is>
          <t>Personal</t>
        </is>
      </c>
      <c r="E689" s="4" t="inlineStr">
        <is>
          <t>Relationships</t>
        </is>
      </c>
      <c r="F689" s="4" t="inlineStr">
        <is>
          <t>Celebrations</t>
        </is>
      </c>
      <c r="G689" s="4" t="inlineStr">
        <is>
          <t>Expense</t>
        </is>
      </c>
      <c r="H689" s="12" t="n">
        <v>46103</v>
      </c>
      <c r="I689" s="13" t="n">
        <v>0.6213888888888889</v>
      </c>
      <c r="J689" s="14" t="n">
        <v>46103.62138888889</v>
      </c>
      <c r="K689" s="15" t="n">
        <v>2924.18</v>
      </c>
      <c r="L689" s="4" t="inlineStr">
        <is>
          <t>INR</t>
        </is>
      </c>
      <c r="M689" s="15" t="n">
        <v>-2924.18</v>
      </c>
      <c r="N689" s="4" t="inlineStr">
        <is>
          <t>IOS Owner</t>
        </is>
      </c>
      <c r="O689" s="4" t="n"/>
      <c r="P689" s="4" t="n"/>
      <c r="Q689" s="4" t="inlineStr">
        <is>
          <t>MAESTRO-IOS-PERSONAL-RELATIONSHIPS-0688 | Celebrations | 2924.18</t>
        </is>
      </c>
      <c r="R689" s="4" t="inlineStr">
        <is>
          <t>iPhone</t>
        </is>
      </c>
      <c r="S689" s="4" t="inlineStr">
        <is>
          <t>B14</t>
        </is>
      </c>
      <c r="T689" s="4" t="inlineStr">
        <is>
          <t>RAMP_501_1500</t>
        </is>
      </c>
      <c r="U689" s="4" t="inlineStr">
        <is>
          <t>CREATED</t>
        </is>
      </c>
      <c r="V689" s="4" t="inlineStr">
        <is>
          <t>idem-20260902-ios-0688</t>
        </is>
      </c>
    </row>
    <row r="690" ht="30" customHeight="1">
      <c r="A690" s="4" t="n">
        <v>689</v>
      </c>
      <c r="B690" s="4" t="inlineStr">
        <is>
          <t>MTR-IOS-0689</t>
        </is>
      </c>
      <c r="C690" s="4" t="inlineStr">
        <is>
          <t>Group</t>
        </is>
      </c>
      <c r="D690" s="4" t="inlineStr">
        <is>
          <t>Shared Living</t>
        </is>
      </c>
      <c r="E690" s="4" t="inlineStr">
        <is>
          <t>Family Household</t>
        </is>
      </c>
      <c r="F690" s="4" t="inlineStr">
        <is>
          <t>Other</t>
        </is>
      </c>
      <c r="G690" s="4" t="inlineStr">
        <is>
          <t>Expense</t>
        </is>
      </c>
      <c r="H690" s="12" t="n">
        <v>46113</v>
      </c>
      <c r="I690" s="13" t="n">
        <v>0.9727546296296297</v>
      </c>
      <c r="J690" s="14" t="n">
        <v>46113.97275462963</v>
      </c>
      <c r="K690" s="15" t="n">
        <v>4309.21</v>
      </c>
      <c r="L690" s="4" t="inlineStr">
        <is>
          <t>INR</t>
        </is>
      </c>
      <c r="M690" s="15" t="n">
        <v>-4309.21</v>
      </c>
      <c r="N690" s="4" t="inlineStr">
        <is>
          <t>IOS Aarav</t>
        </is>
      </c>
      <c r="O690" s="4" t="n">
        <v>3</v>
      </c>
      <c r="P690" s="4" t="inlineStr">
        <is>
          <t>PERCENTAGE</t>
        </is>
      </c>
      <c r="Q690" s="4" t="inlineStr">
        <is>
          <t>MAESTRO-IOS-GROUP-FAMILY_HOUSEHOLD-0689 | Other | 4309.21</t>
        </is>
      </c>
      <c r="R690" s="4" t="inlineStr">
        <is>
          <t>iPhone</t>
        </is>
      </c>
      <c r="S690" s="4" t="inlineStr">
        <is>
          <t>B14</t>
        </is>
      </c>
      <c r="T690" s="4" t="inlineStr">
        <is>
          <t>RAMP_501_1500</t>
        </is>
      </c>
      <c r="U690" s="4" t="inlineStr">
        <is>
          <t>CREATED</t>
        </is>
      </c>
      <c r="V690" s="4" t="inlineStr">
        <is>
          <t>idem-20260902-ios-0689</t>
        </is>
      </c>
    </row>
    <row r="691" ht="30" customHeight="1">
      <c r="A691" s="4" t="n">
        <v>690</v>
      </c>
      <c r="B691" s="4" t="inlineStr">
        <is>
          <t>MTR-IOS-0690</t>
        </is>
      </c>
      <c r="C691" s="4" t="inlineStr">
        <is>
          <t>Business</t>
        </is>
      </c>
      <c r="D691" s="4" t="inlineStr">
        <is>
          <t>Business</t>
        </is>
      </c>
      <c r="E691" s="4" t="inlineStr">
        <is>
          <t>Business Operations</t>
        </is>
      </c>
      <c r="F691" s="4" t="inlineStr">
        <is>
          <t>Vendor</t>
        </is>
      </c>
      <c r="G691" s="4" t="inlineStr">
        <is>
          <t>Expense</t>
        </is>
      </c>
      <c r="H691" s="12" t="n">
        <v>46080</v>
      </c>
      <c r="I691" s="13" t="n">
        <v>0.5464583333333334</v>
      </c>
      <c r="J691" s="14" t="n">
        <v>46080.54645833333</v>
      </c>
      <c r="K691" s="15" t="n">
        <v>54000.51</v>
      </c>
      <c r="L691" s="4" t="inlineStr">
        <is>
          <t>INR</t>
        </is>
      </c>
      <c r="M691" s="15" t="n">
        <v>-54000.51</v>
      </c>
      <c r="N691" s="4" t="inlineStr">
        <is>
          <t>IOS Owner</t>
        </is>
      </c>
      <c r="O691" s="4" t="n"/>
      <c r="P691" s="4" t="n"/>
      <c r="Q691" s="4" t="inlineStr">
        <is>
          <t>MAESTRO-IOS-BUSINESS-BUSINESS_OPERATIONS-0690 | Vendor | 54000.51</t>
        </is>
      </c>
      <c r="R691" s="4" t="inlineStr">
        <is>
          <t>iPhone</t>
        </is>
      </c>
      <c r="S691" s="4" t="inlineStr">
        <is>
          <t>B14</t>
        </is>
      </c>
      <c r="T691" s="4" t="inlineStr">
        <is>
          <t>RAMP_501_1500</t>
        </is>
      </c>
      <c r="U691" s="4" t="inlineStr">
        <is>
          <t>CREATED</t>
        </is>
      </c>
      <c r="V691" s="4" t="inlineStr">
        <is>
          <t>idem-20260902-ios-0690</t>
        </is>
      </c>
    </row>
    <row r="692" ht="30" customHeight="1">
      <c r="A692" s="4" t="n">
        <v>691</v>
      </c>
      <c r="B692" s="4" t="inlineStr">
        <is>
          <t>MTR-IOS-0691</t>
        </is>
      </c>
      <c r="C692" s="4" t="inlineStr">
        <is>
          <t>Personal</t>
        </is>
      </c>
      <c r="D692" s="4" t="inlineStr">
        <is>
          <t>Personal</t>
        </is>
      </c>
      <c r="E692" s="4" t="inlineStr">
        <is>
          <t>Life Operations</t>
        </is>
      </c>
      <c r="F692" s="4" t="inlineStr">
        <is>
          <t>Groceries</t>
        </is>
      </c>
      <c r="G692" s="4" t="inlineStr">
        <is>
          <t>Expense</t>
        </is>
      </c>
      <c r="H692" s="12" t="n">
        <v>46172</v>
      </c>
      <c r="I692" s="13" t="n">
        <v>0.8482060185185185</v>
      </c>
      <c r="J692" s="14" t="n">
        <v>46172.84820601852</v>
      </c>
      <c r="K692" s="15" t="n">
        <v>1047.76</v>
      </c>
      <c r="L692" s="4" t="inlineStr">
        <is>
          <t>INR</t>
        </is>
      </c>
      <c r="M692" s="15" t="n">
        <v>-1047.76</v>
      </c>
      <c r="N692" s="4" t="inlineStr">
        <is>
          <t>IOS Owner</t>
        </is>
      </c>
      <c r="O692" s="4" t="n"/>
      <c r="P692" s="4" t="n"/>
      <c r="Q692" s="4" t="inlineStr">
        <is>
          <t>MAESTRO-IOS-PERSONAL-LIFE_OPERATIONS-0691 | Groceries | 1047.76</t>
        </is>
      </c>
      <c r="R692" s="4" t="inlineStr">
        <is>
          <t>iPhone</t>
        </is>
      </c>
      <c r="S692" s="4" t="inlineStr">
        <is>
          <t>B14</t>
        </is>
      </c>
      <c r="T692" s="4" t="inlineStr">
        <is>
          <t>RAMP_501_1500</t>
        </is>
      </c>
      <c r="U692" s="4" t="inlineStr">
        <is>
          <t>CREATED</t>
        </is>
      </c>
      <c r="V692" s="4" t="inlineStr">
        <is>
          <t>idem-20260902-ios-0691</t>
        </is>
      </c>
    </row>
    <row r="693" ht="30" customHeight="1">
      <c r="A693" s="4" t="n">
        <v>692</v>
      </c>
      <c r="B693" s="4" t="inlineStr">
        <is>
          <t>MTR-IOS-0692</t>
        </is>
      </c>
      <c r="C693" s="4" t="inlineStr">
        <is>
          <t>Group</t>
        </is>
      </c>
      <c r="D693" s="4" t="inlineStr">
        <is>
          <t>Shared Living</t>
        </is>
      </c>
      <c r="E693" s="4" t="inlineStr">
        <is>
          <t>Custom Living</t>
        </is>
      </c>
      <c r="F693" s="4" t="inlineStr">
        <is>
          <t>Custom Expense</t>
        </is>
      </c>
      <c r="G693" s="4" t="inlineStr">
        <is>
          <t>Expense</t>
        </is>
      </c>
      <c r="H693" s="12" t="n">
        <v>46225</v>
      </c>
      <c r="I693" s="13" t="n">
        <v>0.9213425925925925</v>
      </c>
      <c r="J693" s="14" t="n">
        <v>46225.92134259259</v>
      </c>
      <c r="K693" s="15" t="n">
        <v>3797.62</v>
      </c>
      <c r="L693" s="4" t="inlineStr">
        <is>
          <t>INR</t>
        </is>
      </c>
      <c r="M693" s="15" t="n">
        <v>-3797.62</v>
      </c>
      <c r="N693" s="4" t="inlineStr">
        <is>
          <t>IOS Meera</t>
        </is>
      </c>
      <c r="O693" s="4" t="n">
        <v>3</v>
      </c>
      <c r="P693" s="4" t="inlineStr">
        <is>
          <t>EXACT</t>
        </is>
      </c>
      <c r="Q693" s="4" t="inlineStr">
        <is>
          <t>MAESTRO-IOS-GROUP-CUSTOM_LIVING-0692 | Custom Expense | 3797.62</t>
        </is>
      </c>
      <c r="R693" s="4" t="inlineStr">
        <is>
          <t>iPhone</t>
        </is>
      </c>
      <c r="S693" s="4" t="inlineStr">
        <is>
          <t>B14</t>
        </is>
      </c>
      <c r="T693" s="4" t="inlineStr">
        <is>
          <t>RAMP_501_1500</t>
        </is>
      </c>
      <c r="U693" s="4" t="inlineStr">
        <is>
          <t>CREATED</t>
        </is>
      </c>
      <c r="V693" s="4" t="inlineStr">
        <is>
          <t>idem-20260902-ios-0692</t>
        </is>
      </c>
    </row>
    <row r="694" ht="30" customHeight="1">
      <c r="A694" s="4" t="n">
        <v>693</v>
      </c>
      <c r="B694" s="4" t="inlineStr">
        <is>
          <t>MTR-IOS-0693</t>
        </is>
      </c>
      <c r="C694" s="4" t="inlineStr">
        <is>
          <t>Business</t>
        </is>
      </c>
      <c r="D694" s="4" t="inlineStr">
        <is>
          <t>Business</t>
        </is>
      </c>
      <c r="E694" s="4" t="inlineStr">
        <is>
          <t>Business Operations</t>
        </is>
      </c>
      <c r="F694" s="4" t="inlineStr">
        <is>
          <t>Tax</t>
        </is>
      </c>
      <c r="G694" s="4" t="inlineStr">
        <is>
          <t>Expense</t>
        </is>
      </c>
      <c r="H694" s="12" t="n">
        <v>46080</v>
      </c>
      <c r="I694" s="13" t="n">
        <v>0.1770486111111111</v>
      </c>
      <c r="J694" s="14" t="n">
        <v>46080.17704861111</v>
      </c>
      <c r="K694" s="15" t="n">
        <v>103463.52</v>
      </c>
      <c r="L694" s="4" t="inlineStr">
        <is>
          <t>INR</t>
        </is>
      </c>
      <c r="M694" s="15" t="n">
        <v>-103463.52</v>
      </c>
      <c r="N694" s="4" t="inlineStr">
        <is>
          <t>IOS Owner</t>
        </is>
      </c>
      <c r="O694" s="4" t="n"/>
      <c r="P694" s="4" t="n"/>
      <c r="Q694" s="4" t="inlineStr">
        <is>
          <t>MAESTRO-IOS-BUSINESS-BUSINESS_OPERATIONS-0693 | Tax | 103463.52</t>
        </is>
      </c>
      <c r="R694" s="4" t="inlineStr">
        <is>
          <t>iPhone</t>
        </is>
      </c>
      <c r="S694" s="4" t="inlineStr">
        <is>
          <t>B14</t>
        </is>
      </c>
      <c r="T694" s="4" t="inlineStr">
        <is>
          <t>RAMP_501_1500</t>
        </is>
      </c>
      <c r="U694" s="4" t="inlineStr">
        <is>
          <t>CREATED</t>
        </is>
      </c>
      <c r="V694" s="4" t="inlineStr">
        <is>
          <t>idem-20260902-ios-0693</t>
        </is>
      </c>
    </row>
    <row r="695" ht="30" customHeight="1">
      <c r="A695" s="4" t="n">
        <v>694</v>
      </c>
      <c r="B695" s="4" t="inlineStr">
        <is>
          <t>MTR-IOS-0694</t>
        </is>
      </c>
      <c r="C695" s="4" t="inlineStr">
        <is>
          <t>Personal</t>
        </is>
      </c>
      <c r="D695" s="4" t="inlineStr">
        <is>
          <t>Personal</t>
        </is>
      </c>
      <c r="E695" s="4" t="inlineStr">
        <is>
          <t>Life Operations</t>
        </is>
      </c>
      <c r="F695" s="4" t="inlineStr">
        <is>
          <t>Rent</t>
        </is>
      </c>
      <c r="G695" s="4" t="inlineStr">
        <is>
          <t>Expense</t>
        </is>
      </c>
      <c r="H695" s="12" t="n">
        <v>45947</v>
      </c>
      <c r="I695" s="13" t="n">
        <v>0.1283101851851852</v>
      </c>
      <c r="J695" s="14" t="n">
        <v>45947.12831018519</v>
      </c>
      <c r="K695" s="15" t="n">
        <v>17524.19</v>
      </c>
      <c r="L695" s="4" t="inlineStr">
        <is>
          <t>INR</t>
        </is>
      </c>
      <c r="M695" s="15" t="n">
        <v>-17524.19</v>
      </c>
      <c r="N695" s="4" t="inlineStr">
        <is>
          <t>IOS Owner</t>
        </is>
      </c>
      <c r="O695" s="4" t="n"/>
      <c r="P695" s="4" t="n"/>
      <c r="Q695" s="4" t="inlineStr">
        <is>
          <t>MAESTRO-IOS-PERSONAL-LIFE_OPERATIONS-0694 | Rent | 17524.19</t>
        </is>
      </c>
      <c r="R695" s="4" t="inlineStr">
        <is>
          <t>iPhone</t>
        </is>
      </c>
      <c r="S695" s="4" t="inlineStr">
        <is>
          <t>B14</t>
        </is>
      </c>
      <c r="T695" s="4" t="inlineStr">
        <is>
          <t>RAMP_501_1500</t>
        </is>
      </c>
      <c r="U695" s="4" t="inlineStr">
        <is>
          <t>CREATED</t>
        </is>
      </c>
      <c r="V695" s="4" t="inlineStr">
        <is>
          <t>idem-20260902-ios-0694</t>
        </is>
      </c>
    </row>
    <row r="696" ht="30" customHeight="1">
      <c r="A696" s="4" t="n">
        <v>695</v>
      </c>
      <c r="B696" s="4" t="inlineStr">
        <is>
          <t>MTR-IOS-0695</t>
        </is>
      </c>
      <c r="C696" s="4" t="inlineStr">
        <is>
          <t>Group</t>
        </is>
      </c>
      <c r="D696" s="4" t="inlineStr">
        <is>
          <t>Shared Living</t>
        </is>
      </c>
      <c r="E696" s="4" t="inlineStr">
        <is>
          <t>Custom Living</t>
        </is>
      </c>
      <c r="F696" s="4" t="inlineStr">
        <is>
          <t>Custom Contribution</t>
        </is>
      </c>
      <c r="G696" s="4" t="inlineStr">
        <is>
          <t>Contribution</t>
        </is>
      </c>
      <c r="H696" s="12" t="n">
        <v>46217</v>
      </c>
      <c r="I696" s="13" t="n">
        <v>0.4427430555555555</v>
      </c>
      <c r="J696" s="14" t="n">
        <v>46217.44274305556</v>
      </c>
      <c r="K696" s="15" t="n">
        <v>15542.73</v>
      </c>
      <c r="L696" s="4" t="inlineStr">
        <is>
          <t>INR</t>
        </is>
      </c>
      <c r="M696" s="15" t="n">
        <v>15542.73</v>
      </c>
      <c r="N696" s="4" t="inlineStr">
        <is>
          <t>IOS Owner</t>
        </is>
      </c>
      <c r="O696" s="4" t="n">
        <v>3</v>
      </c>
      <c r="P696" s="4" t="inlineStr">
        <is>
          <t>SHARES</t>
        </is>
      </c>
      <c r="Q696" s="4" t="inlineStr">
        <is>
          <t>MAESTRO-IOS-GROUP-CUSTOM_LIVING-0695 | Custom Contribution | 15542.73</t>
        </is>
      </c>
      <c r="R696" s="4" t="inlineStr">
        <is>
          <t>iPhone</t>
        </is>
      </c>
      <c r="S696" s="4" t="inlineStr">
        <is>
          <t>B14</t>
        </is>
      </c>
      <c r="T696" s="4" t="inlineStr">
        <is>
          <t>RAMP_501_1500</t>
        </is>
      </c>
      <c r="U696" s="4" t="inlineStr">
        <is>
          <t>CREATED</t>
        </is>
      </c>
      <c r="V696" s="4" t="inlineStr">
        <is>
          <t>idem-20260902-ios-0695</t>
        </is>
      </c>
    </row>
    <row r="697" ht="30" customHeight="1">
      <c r="A697" s="4" t="n">
        <v>696</v>
      </c>
      <c r="B697" s="4" t="inlineStr">
        <is>
          <t>MTR-IOS-0696</t>
        </is>
      </c>
      <c r="C697" s="4" t="inlineStr">
        <is>
          <t>Business</t>
        </is>
      </c>
      <c r="D697" s="4" t="inlineStr">
        <is>
          <t>Business</t>
        </is>
      </c>
      <c r="E697" s="4" t="inlineStr">
        <is>
          <t>Team Operations</t>
        </is>
      </c>
      <c r="F697" s="4" t="inlineStr">
        <is>
          <t>Payroll</t>
        </is>
      </c>
      <c r="G697" s="4" t="inlineStr">
        <is>
          <t>Expense</t>
        </is>
      </c>
      <c r="H697" s="12" t="n">
        <v>46122</v>
      </c>
      <c r="I697" s="13" t="n">
        <v>0.2952546296296296</v>
      </c>
      <c r="J697" s="14" t="n">
        <v>46122.29525462963</v>
      </c>
      <c r="K697" s="15" t="n">
        <v>103715.04</v>
      </c>
      <c r="L697" s="4" t="inlineStr">
        <is>
          <t>INR</t>
        </is>
      </c>
      <c r="M697" s="15" t="n">
        <v>-103715.04</v>
      </c>
      <c r="N697" s="4" t="inlineStr">
        <is>
          <t>IOS Owner</t>
        </is>
      </c>
      <c r="O697" s="4" t="n"/>
      <c r="P697" s="4" t="n"/>
      <c r="Q697" s="4" t="inlineStr">
        <is>
          <t>MAESTRO-IOS-BUSINESS-TEAM_OPERATIONS-0696 | Payroll | 103715.04</t>
        </is>
      </c>
      <c r="R697" s="4" t="inlineStr">
        <is>
          <t>iPhone</t>
        </is>
      </c>
      <c r="S697" s="4" t="inlineStr">
        <is>
          <t>B14</t>
        </is>
      </c>
      <c r="T697" s="4" t="inlineStr">
        <is>
          <t>RAMP_501_1500</t>
        </is>
      </c>
      <c r="U697" s="4" t="inlineStr">
        <is>
          <t>CREATED</t>
        </is>
      </c>
      <c r="V697" s="4" t="inlineStr">
        <is>
          <t>idem-20260902-ios-0696</t>
        </is>
      </c>
    </row>
    <row r="698" ht="30" customHeight="1">
      <c r="A698" s="4" t="n">
        <v>697</v>
      </c>
      <c r="B698" s="4" t="inlineStr">
        <is>
          <t>MTR-IOS-0697</t>
        </is>
      </c>
      <c r="C698" s="4" t="inlineStr">
        <is>
          <t>Personal</t>
        </is>
      </c>
      <c r="D698" s="4" t="inlineStr">
        <is>
          <t>Personal</t>
        </is>
      </c>
      <c r="E698" s="4" t="inlineStr">
        <is>
          <t>Life Operations</t>
        </is>
      </c>
      <c r="F698" s="4" t="inlineStr">
        <is>
          <t>Bills</t>
        </is>
      </c>
      <c r="G698" s="4" t="inlineStr">
        <is>
          <t>Expense</t>
        </is>
      </c>
      <c r="H698" s="12" t="n">
        <v>46167</v>
      </c>
      <c r="I698" s="13" t="n">
        <v>0.7284143518518519</v>
      </c>
      <c r="J698" s="14" t="n">
        <v>46167.72841435186</v>
      </c>
      <c r="K698" s="15" t="n">
        <v>16131.41</v>
      </c>
      <c r="L698" s="4" t="inlineStr">
        <is>
          <t>INR</t>
        </is>
      </c>
      <c r="M698" s="15" t="n">
        <v>-16131.41</v>
      </c>
      <c r="N698" s="4" t="inlineStr">
        <is>
          <t>IOS Owner</t>
        </is>
      </c>
      <c r="O698" s="4" t="n"/>
      <c r="P698" s="4" t="n"/>
      <c r="Q698" s="4" t="inlineStr">
        <is>
          <t>MAESTRO-IOS-PERSONAL-LIFE_OPERATIONS-0697 | Bills | 16131.41</t>
        </is>
      </c>
      <c r="R698" s="4" t="inlineStr">
        <is>
          <t>iPhone</t>
        </is>
      </c>
      <c r="S698" s="4" t="inlineStr">
        <is>
          <t>B14</t>
        </is>
      </c>
      <c r="T698" s="4" t="inlineStr">
        <is>
          <t>RAMP_501_1500</t>
        </is>
      </c>
      <c r="U698" s="4" t="inlineStr">
        <is>
          <t>CREATED</t>
        </is>
      </c>
      <c r="V698" s="4" t="inlineStr">
        <is>
          <t>idem-20260902-ios-0697</t>
        </is>
      </c>
    </row>
    <row r="699" ht="30" customHeight="1">
      <c r="A699" s="4" t="n">
        <v>698</v>
      </c>
      <c r="B699" s="4" t="inlineStr">
        <is>
          <t>MTR-IOS-0698</t>
        </is>
      </c>
      <c r="C699" s="4" t="inlineStr">
        <is>
          <t>Group</t>
        </is>
      </c>
      <c r="D699" s="4" t="inlineStr">
        <is>
          <t>Shared Experience</t>
        </is>
      </c>
      <c r="E699" s="4" t="inlineStr">
        <is>
          <t>Trip</t>
        </is>
      </c>
      <c r="F699" s="4" t="inlineStr">
        <is>
          <t>Travel</t>
        </is>
      </c>
      <c r="G699" s="4" t="inlineStr">
        <is>
          <t>Expense</t>
        </is>
      </c>
      <c r="H699" s="12" t="n">
        <v>46049</v>
      </c>
      <c r="I699" s="13" t="n">
        <v>0.7351388888888889</v>
      </c>
      <c r="J699" s="14" t="n">
        <v>46049.73513888889</v>
      </c>
      <c r="K699" s="15" t="n">
        <v>14568.64</v>
      </c>
      <c r="L699" s="4" t="inlineStr">
        <is>
          <t>INR</t>
        </is>
      </c>
      <c r="M699" s="15" t="n">
        <v>-14568.64</v>
      </c>
      <c r="N699" s="4" t="inlineStr">
        <is>
          <t>IOS Aarav</t>
        </is>
      </c>
      <c r="O699" s="4" t="n">
        <v>3</v>
      </c>
      <c r="P699" s="4" t="inlineStr">
        <is>
          <t>EQUAL</t>
        </is>
      </c>
      <c r="Q699" s="4" t="inlineStr">
        <is>
          <t>MAESTRO-IOS-GROUP-TRIP-0698 | Travel | 14568.64</t>
        </is>
      </c>
      <c r="R699" s="4" t="inlineStr">
        <is>
          <t>iPhone</t>
        </is>
      </c>
      <c r="S699" s="4" t="inlineStr">
        <is>
          <t>B14</t>
        </is>
      </c>
      <c r="T699" s="4" t="inlineStr">
        <is>
          <t>RAMP_501_1500</t>
        </is>
      </c>
      <c r="U699" s="4" t="inlineStr">
        <is>
          <t>CREATED</t>
        </is>
      </c>
      <c r="V699" s="4" t="inlineStr">
        <is>
          <t>idem-20260902-ios-0698</t>
        </is>
      </c>
    </row>
    <row r="700" ht="30" customHeight="1">
      <c r="A700" s="4" t="n">
        <v>699</v>
      </c>
      <c r="B700" s="4" t="inlineStr">
        <is>
          <t>MTR-IOS-0699</t>
        </is>
      </c>
      <c r="C700" s="4" t="inlineStr">
        <is>
          <t>Business</t>
        </is>
      </c>
      <c r="D700" s="4" t="inlineStr">
        <is>
          <t>Business</t>
        </is>
      </c>
      <c r="E700" s="4" t="inlineStr">
        <is>
          <t>Team Operations</t>
        </is>
      </c>
      <c r="F700" s="4" t="inlineStr">
        <is>
          <t>Contractor</t>
        </is>
      </c>
      <c r="G700" s="4" t="inlineStr">
        <is>
          <t>Expense</t>
        </is>
      </c>
      <c r="H700" s="12" t="n">
        <v>46229</v>
      </c>
      <c r="I700" s="13" t="n">
        <v>0.4026967592592592</v>
      </c>
      <c r="J700" s="14" t="n">
        <v>46229.40269675926</v>
      </c>
      <c r="K700" s="15" t="n">
        <v>55338.53</v>
      </c>
      <c r="L700" s="4" t="inlineStr">
        <is>
          <t>INR</t>
        </is>
      </c>
      <c r="M700" s="15" t="n">
        <v>-55338.53</v>
      </c>
      <c r="N700" s="4" t="inlineStr">
        <is>
          <t>IOS Owner</t>
        </is>
      </c>
      <c r="O700" s="4" t="n"/>
      <c r="P700" s="4" t="n"/>
      <c r="Q700" s="4" t="inlineStr">
        <is>
          <t>MAESTRO-IOS-BUSINESS-TEAM_OPERATIONS-0699 | Contractor | 55338.53</t>
        </is>
      </c>
      <c r="R700" s="4" t="inlineStr">
        <is>
          <t>iPhone</t>
        </is>
      </c>
      <c r="S700" s="4" t="inlineStr">
        <is>
          <t>B14</t>
        </is>
      </c>
      <c r="T700" s="4" t="inlineStr">
        <is>
          <t>RAMP_501_1500</t>
        </is>
      </c>
      <c r="U700" s="4" t="inlineStr">
        <is>
          <t>CREATED</t>
        </is>
      </c>
      <c r="V700" s="4" t="inlineStr">
        <is>
          <t>idem-20260902-ios-0699</t>
        </is>
      </c>
    </row>
    <row r="701" ht="30" customHeight="1">
      <c r="A701" s="4" t="n">
        <v>700</v>
      </c>
      <c r="B701" s="4" t="inlineStr">
        <is>
          <t>MTR-IOS-0700</t>
        </is>
      </c>
      <c r="C701" s="4" t="inlineStr">
        <is>
          <t>Personal</t>
        </is>
      </c>
      <c r="D701" s="4" t="inlineStr">
        <is>
          <t>Personal</t>
        </is>
      </c>
      <c r="E701" s="4" t="inlineStr">
        <is>
          <t>Life Operations</t>
        </is>
      </c>
      <c r="F701" s="4" t="inlineStr">
        <is>
          <t>Transport</t>
        </is>
      </c>
      <c r="G701" s="4" t="inlineStr">
        <is>
          <t>Expense</t>
        </is>
      </c>
      <c r="H701" s="12" t="n">
        <v>46118</v>
      </c>
      <c r="I701" s="13" t="n">
        <v>0.7428125</v>
      </c>
      <c r="J701" s="14" t="n">
        <v>46118.7428125</v>
      </c>
      <c r="K701" s="15" t="n">
        <v>437.1</v>
      </c>
      <c r="L701" s="4" t="inlineStr">
        <is>
          <t>INR</t>
        </is>
      </c>
      <c r="M701" s="15" t="n">
        <v>-437.1</v>
      </c>
      <c r="N701" s="4" t="inlineStr">
        <is>
          <t>IOS Owner</t>
        </is>
      </c>
      <c r="O701" s="4" t="n"/>
      <c r="P701" s="4" t="n"/>
      <c r="Q701" s="4" t="inlineStr">
        <is>
          <t>MAESTRO-IOS-PERSONAL-LIFE_OPERATIONS-0700 | Transport | 437.10</t>
        </is>
      </c>
      <c r="R701" s="4" t="inlineStr">
        <is>
          <t>iPhone</t>
        </is>
      </c>
      <c r="S701" s="4" t="inlineStr">
        <is>
          <t>B14</t>
        </is>
      </c>
      <c r="T701" s="4" t="inlineStr">
        <is>
          <t>RAMP_501_1500</t>
        </is>
      </c>
      <c r="U701" s="4" t="inlineStr">
        <is>
          <t>CREATED</t>
        </is>
      </c>
      <c r="V701" s="4" t="inlineStr">
        <is>
          <t>idem-20260902-ios-0700</t>
        </is>
      </c>
    </row>
    <row r="702" ht="30" customHeight="1">
      <c r="A702" s="4" t="n">
        <v>701</v>
      </c>
      <c r="B702" s="4" t="inlineStr">
        <is>
          <t>MTR-IOS-0701</t>
        </is>
      </c>
      <c r="C702" s="4" t="inlineStr">
        <is>
          <t>Group</t>
        </is>
      </c>
      <c r="D702" s="4" t="inlineStr">
        <is>
          <t>Shared Experience</t>
        </is>
      </c>
      <c r="E702" s="4" t="inlineStr">
        <is>
          <t>Trip</t>
        </is>
      </c>
      <c r="F702" s="4" t="inlineStr">
        <is>
          <t>Stay</t>
        </is>
      </c>
      <c r="G702" s="4" t="inlineStr">
        <is>
          <t>Expense</t>
        </is>
      </c>
      <c r="H702" s="12" t="n">
        <v>45969</v>
      </c>
      <c r="I702" s="13" t="n">
        <v>0.9566435185185185</v>
      </c>
      <c r="J702" s="14" t="n">
        <v>45969.95664351852</v>
      </c>
      <c r="K702" s="15" t="n">
        <v>19775.46</v>
      </c>
      <c r="L702" s="4" t="inlineStr">
        <is>
          <t>INR</t>
        </is>
      </c>
      <c r="M702" s="15" t="n">
        <v>-19775.46</v>
      </c>
      <c r="N702" s="4" t="inlineStr">
        <is>
          <t>IOS Meera</t>
        </is>
      </c>
      <c r="O702" s="4" t="n">
        <v>3</v>
      </c>
      <c r="P702" s="4" t="inlineStr">
        <is>
          <t>PERCENTAGE</t>
        </is>
      </c>
      <c r="Q702" s="4" t="inlineStr">
        <is>
          <t>MAESTRO-IOS-GROUP-TRIP-0701 | Stay | 19775.46</t>
        </is>
      </c>
      <c r="R702" s="4" t="inlineStr">
        <is>
          <t>iPhone</t>
        </is>
      </c>
      <c r="S702" s="4" t="inlineStr">
        <is>
          <t>B15</t>
        </is>
      </c>
      <c r="T702" s="4" t="inlineStr">
        <is>
          <t>RAMP_501_1500</t>
        </is>
      </c>
      <c r="U702" s="4" t="inlineStr">
        <is>
          <t>CREATED</t>
        </is>
      </c>
      <c r="V702" s="4" t="inlineStr">
        <is>
          <t>idem-20260902-ios-0701</t>
        </is>
      </c>
    </row>
    <row r="703" ht="30" customHeight="1">
      <c r="A703" s="4" t="n">
        <v>702</v>
      </c>
      <c r="B703" s="4" t="inlineStr">
        <is>
          <t>MTR-IOS-0702</t>
        </is>
      </c>
      <c r="C703" s="4" t="inlineStr">
        <is>
          <t>Business</t>
        </is>
      </c>
      <c r="D703" s="4" t="inlineStr">
        <is>
          <t>Business</t>
        </is>
      </c>
      <c r="E703" s="4" t="inlineStr">
        <is>
          <t>Team Operations</t>
        </is>
      </c>
      <c r="F703" s="4" t="inlineStr">
        <is>
          <t>Hiring</t>
        </is>
      </c>
      <c r="G703" s="4" t="inlineStr">
        <is>
          <t>Expense</t>
        </is>
      </c>
      <c r="H703" s="12" t="n">
        <v>46110</v>
      </c>
      <c r="I703" s="13" t="n">
        <v>0.3788310185185185</v>
      </c>
      <c r="J703" s="14" t="n">
        <v>46110.37883101852</v>
      </c>
      <c r="K703" s="15" t="n">
        <v>10190.11</v>
      </c>
      <c r="L703" s="4" t="inlineStr">
        <is>
          <t>INR</t>
        </is>
      </c>
      <c r="M703" s="15" t="n">
        <v>-10190.11</v>
      </c>
      <c r="N703" s="4" t="inlineStr">
        <is>
          <t>IOS Owner</t>
        </is>
      </c>
      <c r="O703" s="4" t="n"/>
      <c r="P703" s="4" t="n"/>
      <c r="Q703" s="4" t="inlineStr">
        <is>
          <t>MAESTRO-IOS-BUSINESS-TEAM_OPERATIONS-0702 | Hiring | 10190.11</t>
        </is>
      </c>
      <c r="R703" s="4" t="inlineStr">
        <is>
          <t>iPhone</t>
        </is>
      </c>
      <c r="S703" s="4" t="inlineStr">
        <is>
          <t>B15</t>
        </is>
      </c>
      <c r="T703" s="4" t="inlineStr">
        <is>
          <t>RAMP_501_1500</t>
        </is>
      </c>
      <c r="U703" s="4" t="inlineStr">
        <is>
          <t>CREATED</t>
        </is>
      </c>
      <c r="V703" s="4" t="inlineStr">
        <is>
          <t>idem-20260902-ios-0702</t>
        </is>
      </c>
    </row>
    <row r="704" ht="30" customHeight="1">
      <c r="A704" s="4" t="n">
        <v>703</v>
      </c>
      <c r="B704" s="4" t="inlineStr">
        <is>
          <t>MTR-IOS-0703</t>
        </is>
      </c>
      <c r="C704" s="4" t="inlineStr">
        <is>
          <t>Personal</t>
        </is>
      </c>
      <c r="D704" s="4" t="inlineStr">
        <is>
          <t>Personal</t>
        </is>
      </c>
      <c r="E704" s="4" t="inlineStr">
        <is>
          <t>Life Operations</t>
        </is>
      </c>
      <c r="F704" s="4" t="inlineStr">
        <is>
          <t>Healthcare</t>
        </is>
      </c>
      <c r="G704" s="4" t="inlineStr">
        <is>
          <t>Expense</t>
        </is>
      </c>
      <c r="H704" s="12" t="n">
        <v>46261</v>
      </c>
      <c r="I704" s="13" t="n">
        <v>0.8863078703703704</v>
      </c>
      <c r="J704" s="14" t="n">
        <v>46261.88630787037</v>
      </c>
      <c r="K704" s="15" t="n">
        <v>1</v>
      </c>
      <c r="L704" s="4" t="inlineStr">
        <is>
          <t>INR</t>
        </is>
      </c>
      <c r="M704" s="15" t="n">
        <v>-1</v>
      </c>
      <c r="N704" s="4" t="inlineStr">
        <is>
          <t>IOS Owner</t>
        </is>
      </c>
      <c r="O704" s="4" t="n"/>
      <c r="P704" s="4" t="n"/>
      <c r="Q704" s="4" t="inlineStr">
        <is>
          <t>MAESTRO-IOS-PERSONAL-LIFE_OPERATIONS-0703 | Healthcare | 1.00</t>
        </is>
      </c>
      <c r="R704" s="4" t="inlineStr">
        <is>
          <t>iPhone</t>
        </is>
      </c>
      <c r="S704" s="4" t="inlineStr">
        <is>
          <t>B15</t>
        </is>
      </c>
      <c r="T704" s="4" t="inlineStr">
        <is>
          <t>RAMP_501_1500</t>
        </is>
      </c>
      <c r="U704" s="4" t="inlineStr">
        <is>
          <t>CREATED</t>
        </is>
      </c>
      <c r="V704" s="4" t="inlineStr">
        <is>
          <t>idem-20260902-ios-0703</t>
        </is>
      </c>
    </row>
    <row r="705" ht="30" customHeight="1">
      <c r="A705" s="4" t="n">
        <v>704</v>
      </c>
      <c r="B705" s="4" t="inlineStr">
        <is>
          <t>MTR-IOS-0704</t>
        </is>
      </c>
      <c r="C705" s="4" t="inlineStr">
        <is>
          <t>Group</t>
        </is>
      </c>
      <c r="D705" s="4" t="inlineStr">
        <is>
          <t>Shared Experience</t>
        </is>
      </c>
      <c r="E705" s="4" t="inlineStr">
        <is>
          <t>Trip</t>
        </is>
      </c>
      <c r="F705" s="4" t="inlineStr">
        <is>
          <t>Food</t>
        </is>
      </c>
      <c r="G705" s="4" t="inlineStr">
        <is>
          <t>Expense</t>
        </is>
      </c>
      <c r="H705" s="12" t="n">
        <v>46162</v>
      </c>
      <c r="I705" s="13" t="n">
        <v>0.4677662037037037</v>
      </c>
      <c r="J705" s="14" t="n">
        <v>46162.46776620371</v>
      </c>
      <c r="K705" s="15" t="n">
        <v>19361.31</v>
      </c>
      <c r="L705" s="4" t="inlineStr">
        <is>
          <t>INR</t>
        </is>
      </c>
      <c r="M705" s="15" t="n">
        <v>-19361.31</v>
      </c>
      <c r="N705" s="4" t="inlineStr">
        <is>
          <t>IOS Owner</t>
        </is>
      </c>
      <c r="O705" s="4" t="n">
        <v>3</v>
      </c>
      <c r="P705" s="4" t="inlineStr">
        <is>
          <t>EXACT</t>
        </is>
      </c>
      <c r="Q705" s="4" t="inlineStr">
        <is>
          <t>MAESTRO-IOS-GROUP-TRIP-0704 | Food | 19361.31</t>
        </is>
      </c>
      <c r="R705" s="4" t="inlineStr">
        <is>
          <t>iPhone</t>
        </is>
      </c>
      <c r="S705" s="4" t="inlineStr">
        <is>
          <t>B15</t>
        </is>
      </c>
      <c r="T705" s="4" t="inlineStr">
        <is>
          <t>RAMP_501_1500</t>
        </is>
      </c>
      <c r="U705" s="4" t="inlineStr">
        <is>
          <t>CREATED</t>
        </is>
      </c>
      <c r="V705" s="4" t="inlineStr">
        <is>
          <t>idem-20260902-ios-0704</t>
        </is>
      </c>
    </row>
    <row r="706" ht="30" customHeight="1">
      <c r="A706" s="4" t="n">
        <v>705</v>
      </c>
      <c r="B706" s="4" t="inlineStr">
        <is>
          <t>MTR-IOS-0705</t>
        </is>
      </c>
      <c r="C706" s="4" t="inlineStr">
        <is>
          <t>Business</t>
        </is>
      </c>
      <c r="D706" s="4" t="inlineStr">
        <is>
          <t>Business</t>
        </is>
      </c>
      <c r="E706" s="4" t="inlineStr">
        <is>
          <t>Team Operations</t>
        </is>
      </c>
      <c r="F706" s="4" t="inlineStr">
        <is>
          <t>Team Meal</t>
        </is>
      </c>
      <c r="G706" s="4" t="inlineStr">
        <is>
          <t>Expense</t>
        </is>
      </c>
      <c r="H706" s="12" t="n">
        <v>46099</v>
      </c>
      <c r="I706" s="13" t="n">
        <v>0.8598842592592593</v>
      </c>
      <c r="J706" s="14" t="n">
        <v>46099.85988425926</v>
      </c>
      <c r="K706" s="15" t="n">
        <v>150844.06</v>
      </c>
      <c r="L706" s="4" t="inlineStr">
        <is>
          <t>INR</t>
        </is>
      </c>
      <c r="M706" s="15" t="n">
        <v>-150844.06</v>
      </c>
      <c r="N706" s="4" t="inlineStr">
        <is>
          <t>IOS Owner</t>
        </is>
      </c>
      <c r="O706" s="4" t="n"/>
      <c r="P706" s="4" t="n"/>
      <c r="Q706" s="4" t="inlineStr">
        <is>
          <t>MAESTRO-IOS-BUSINESS-TEAM_OPERATIONS-0705 | Team Meal | 150844.06</t>
        </is>
      </c>
      <c r="R706" s="4" t="inlineStr">
        <is>
          <t>iPhone</t>
        </is>
      </c>
      <c r="S706" s="4" t="inlineStr">
        <is>
          <t>B15</t>
        </is>
      </c>
      <c r="T706" s="4" t="inlineStr">
        <is>
          <t>RAMP_501_1500</t>
        </is>
      </c>
      <c r="U706" s="4" t="inlineStr">
        <is>
          <t>CREATED</t>
        </is>
      </c>
      <c r="V706" s="4" t="inlineStr">
        <is>
          <t>idem-20260902-ios-0705</t>
        </is>
      </c>
    </row>
    <row r="707" ht="30" customHeight="1">
      <c r="A707" s="4" t="n">
        <v>706</v>
      </c>
      <c r="B707" s="4" t="inlineStr">
        <is>
          <t>MTR-IOS-0706</t>
        </is>
      </c>
      <c r="C707" s="4" t="inlineStr">
        <is>
          <t>Personal</t>
        </is>
      </c>
      <c r="D707" s="4" t="inlineStr">
        <is>
          <t>Personal</t>
        </is>
      </c>
      <c r="E707" s="4" t="inlineStr">
        <is>
          <t>Life Operations</t>
        </is>
      </c>
      <c r="F707" s="4" t="inlineStr">
        <is>
          <t>Subscriptions</t>
        </is>
      </c>
      <c r="G707" s="4" t="inlineStr">
        <is>
          <t>Expense</t>
        </is>
      </c>
      <c r="H707" s="12" t="n">
        <v>45947</v>
      </c>
      <c r="I707" s="13" t="n">
        <v>0.3155671296296296</v>
      </c>
      <c r="J707" s="14" t="n">
        <v>45947.31556712963</v>
      </c>
      <c r="K707" s="15" t="n">
        <v>8937.23</v>
      </c>
      <c r="L707" s="4" t="inlineStr">
        <is>
          <t>INR</t>
        </is>
      </c>
      <c r="M707" s="15" t="n">
        <v>-8937.23</v>
      </c>
      <c r="N707" s="4" t="inlineStr">
        <is>
          <t>IOS Owner</t>
        </is>
      </c>
      <c r="O707" s="4" t="n"/>
      <c r="P707" s="4" t="n"/>
      <c r="Q707" s="4" t="inlineStr">
        <is>
          <t>MAESTRO-IOS-PERSONAL-LIFE_OPERATIONS-0706 | Subscriptions | 8937.23</t>
        </is>
      </c>
      <c r="R707" s="4" t="inlineStr">
        <is>
          <t>iPhone</t>
        </is>
      </c>
      <c r="S707" s="4" t="inlineStr">
        <is>
          <t>B15</t>
        </is>
      </c>
      <c r="T707" s="4" t="inlineStr">
        <is>
          <t>RAMP_501_1500</t>
        </is>
      </c>
      <c r="U707" s="4" t="inlineStr">
        <is>
          <t>CREATED</t>
        </is>
      </c>
      <c r="V707" s="4" t="inlineStr">
        <is>
          <t>idem-20260902-ios-0706</t>
        </is>
      </c>
    </row>
    <row r="708" ht="30" customHeight="1">
      <c r="A708" s="4" t="n">
        <v>707</v>
      </c>
      <c r="B708" s="4" t="inlineStr">
        <is>
          <t>MTR-IOS-0707</t>
        </is>
      </c>
      <c r="C708" s="4" t="inlineStr">
        <is>
          <t>Group</t>
        </is>
      </c>
      <c r="D708" s="4" t="inlineStr">
        <is>
          <t>Shared Experience</t>
        </is>
      </c>
      <c r="E708" s="4" t="inlineStr">
        <is>
          <t>Trip</t>
        </is>
      </c>
      <c r="F708" s="4" t="inlineStr">
        <is>
          <t>Local Transport</t>
        </is>
      </c>
      <c r="G708" s="4" t="inlineStr">
        <is>
          <t>Expense</t>
        </is>
      </c>
      <c r="H708" s="12" t="n">
        <v>45925</v>
      </c>
      <c r="I708" s="13" t="n">
        <v>0.2110532407407407</v>
      </c>
      <c r="J708" s="14" t="n">
        <v>45925.21105324074</v>
      </c>
      <c r="K708" s="15" t="n">
        <v>4297.14</v>
      </c>
      <c r="L708" s="4" t="inlineStr">
        <is>
          <t>INR</t>
        </is>
      </c>
      <c r="M708" s="15" t="n">
        <v>-4297.14</v>
      </c>
      <c r="N708" s="4" t="inlineStr">
        <is>
          <t>IOS Aarav</t>
        </is>
      </c>
      <c r="O708" s="4" t="n">
        <v>3</v>
      </c>
      <c r="P708" s="4" t="inlineStr">
        <is>
          <t>SHARES</t>
        </is>
      </c>
      <c r="Q708" s="4" t="inlineStr">
        <is>
          <t>MAESTRO-IOS-GROUP-TRIP-0707 | Local Transport | 4297.14</t>
        </is>
      </c>
      <c r="R708" s="4" t="inlineStr">
        <is>
          <t>iPhone</t>
        </is>
      </c>
      <c r="S708" s="4" t="inlineStr">
        <is>
          <t>B15</t>
        </is>
      </c>
      <c r="T708" s="4" t="inlineStr">
        <is>
          <t>RAMP_501_1500</t>
        </is>
      </c>
      <c r="U708" s="4" t="inlineStr">
        <is>
          <t>CREATED</t>
        </is>
      </c>
      <c r="V708" s="4" t="inlineStr">
        <is>
          <t>idem-20260902-ios-0707</t>
        </is>
      </c>
    </row>
    <row r="709" ht="30" customHeight="1">
      <c r="A709" s="4" t="n">
        <v>708</v>
      </c>
      <c r="B709" s="4" t="inlineStr">
        <is>
          <t>MTR-IOS-0708</t>
        </is>
      </c>
      <c r="C709" s="4" t="inlineStr">
        <is>
          <t>Business</t>
        </is>
      </c>
      <c r="D709" s="4" t="inlineStr">
        <is>
          <t>Business</t>
        </is>
      </c>
      <c r="E709" s="4" t="inlineStr">
        <is>
          <t>Team Operations</t>
        </is>
      </c>
      <c r="F709" s="4" t="inlineStr">
        <is>
          <t>Travel</t>
        </is>
      </c>
      <c r="G709" s="4" t="inlineStr">
        <is>
          <t>Expense</t>
        </is>
      </c>
      <c r="H709" s="12" t="n">
        <v>45975</v>
      </c>
      <c r="I709" s="13" t="n">
        <v>0.3091087962962963</v>
      </c>
      <c r="J709" s="14" t="n">
        <v>45975.3091087963</v>
      </c>
      <c r="K709" s="15" t="n">
        <v>6816</v>
      </c>
      <c r="L709" s="4" t="inlineStr">
        <is>
          <t>INR</t>
        </is>
      </c>
      <c r="M709" s="15" t="n">
        <v>-6816</v>
      </c>
      <c r="N709" s="4" t="inlineStr">
        <is>
          <t>IOS Owner</t>
        </is>
      </c>
      <c r="O709" s="4" t="n"/>
      <c r="P709" s="4" t="n"/>
      <c r="Q709" s="4" t="inlineStr">
        <is>
          <t>MAESTRO-IOS-BUSINESS-TEAM_OPERATIONS-0708 | Travel | 6816.00</t>
        </is>
      </c>
      <c r="R709" s="4" t="inlineStr">
        <is>
          <t>iPhone</t>
        </is>
      </c>
      <c r="S709" s="4" t="inlineStr">
        <is>
          <t>B15</t>
        </is>
      </c>
      <c r="T709" s="4" t="inlineStr">
        <is>
          <t>RAMP_501_1500</t>
        </is>
      </c>
      <c r="U709" s="4" t="inlineStr">
        <is>
          <t>CREATED</t>
        </is>
      </c>
      <c r="V709" s="4" t="inlineStr">
        <is>
          <t>idem-20260902-ios-0708</t>
        </is>
      </c>
    </row>
    <row r="710" ht="30" customHeight="1">
      <c r="A710" s="4" t="n">
        <v>709</v>
      </c>
      <c r="B710" s="4" t="inlineStr">
        <is>
          <t>MTR-IOS-0709</t>
        </is>
      </c>
      <c r="C710" s="4" t="inlineStr">
        <is>
          <t>Personal</t>
        </is>
      </c>
      <c r="D710" s="4" t="inlineStr">
        <is>
          <t>Personal</t>
        </is>
      </c>
      <c r="E710" s="4" t="inlineStr">
        <is>
          <t>Life Operations</t>
        </is>
      </c>
      <c r="F710" s="4" t="inlineStr">
        <is>
          <t>Repairs</t>
        </is>
      </c>
      <c r="G710" s="4" t="inlineStr">
        <is>
          <t>Expense</t>
        </is>
      </c>
      <c r="H710" s="12" t="n">
        <v>46227</v>
      </c>
      <c r="I710" s="13" t="n">
        <v>0.4196527777777778</v>
      </c>
      <c r="J710" s="14" t="n">
        <v>46227.41965277777</v>
      </c>
      <c r="K710" s="15" t="n">
        <v>5359.78</v>
      </c>
      <c r="L710" s="4" t="inlineStr">
        <is>
          <t>INR</t>
        </is>
      </c>
      <c r="M710" s="15" t="n">
        <v>-5359.78</v>
      </c>
      <c r="N710" s="4" t="inlineStr">
        <is>
          <t>IOS Owner</t>
        </is>
      </c>
      <c r="O710" s="4" t="n"/>
      <c r="P710" s="4" t="n"/>
      <c r="Q710" s="4" t="inlineStr">
        <is>
          <t>MAESTRO-IOS-PERSONAL-LIFE_OPERATIONS-0709 | Repairs | 5359.78</t>
        </is>
      </c>
      <c r="R710" s="4" t="inlineStr">
        <is>
          <t>iPhone</t>
        </is>
      </c>
      <c r="S710" s="4" t="inlineStr">
        <is>
          <t>B15</t>
        </is>
      </c>
      <c r="T710" s="4" t="inlineStr">
        <is>
          <t>RAMP_501_1500</t>
        </is>
      </c>
      <c r="U710" s="4" t="inlineStr">
        <is>
          <t>CREATED</t>
        </is>
      </c>
      <c r="V710" s="4" t="inlineStr">
        <is>
          <t>idem-20260902-ios-0709</t>
        </is>
      </c>
    </row>
    <row r="711" ht="30" customHeight="1">
      <c r="A711" s="4" t="n">
        <v>710</v>
      </c>
      <c r="B711" s="4" t="inlineStr">
        <is>
          <t>MTR-IOS-0710</t>
        </is>
      </c>
      <c r="C711" s="4" t="inlineStr">
        <is>
          <t>Group</t>
        </is>
      </c>
      <c r="D711" s="4" t="inlineStr">
        <is>
          <t>Shared Experience</t>
        </is>
      </c>
      <c r="E711" s="4" t="inlineStr">
        <is>
          <t>Trip</t>
        </is>
      </c>
      <c r="F711" s="4" t="inlineStr">
        <is>
          <t>Activities</t>
        </is>
      </c>
      <c r="G711" s="4" t="inlineStr">
        <is>
          <t>Expense</t>
        </is>
      </c>
      <c r="H711" s="12" t="n">
        <v>46216</v>
      </c>
      <c r="I711" s="13" t="n">
        <v>0.599386574074074</v>
      </c>
      <c r="J711" s="14" t="n">
        <v>46216.59938657407</v>
      </c>
      <c r="K711" s="15" t="n">
        <v>20209.87</v>
      </c>
      <c r="L711" s="4" t="inlineStr">
        <is>
          <t>INR</t>
        </is>
      </c>
      <c r="M711" s="15" t="n">
        <v>-20209.87</v>
      </c>
      <c r="N711" s="4" t="inlineStr">
        <is>
          <t>IOS Meera</t>
        </is>
      </c>
      <c r="O711" s="4" t="n">
        <v>3</v>
      </c>
      <c r="P711" s="4" t="inlineStr">
        <is>
          <t>EQUAL</t>
        </is>
      </c>
      <c r="Q711" s="4" t="inlineStr">
        <is>
          <t>MAESTRO-IOS-GROUP-TRIP-0710 | Activities | 20209.87</t>
        </is>
      </c>
      <c r="R711" s="4" t="inlineStr">
        <is>
          <t>iPhone</t>
        </is>
      </c>
      <c r="S711" s="4" t="inlineStr">
        <is>
          <t>B15</t>
        </is>
      </c>
      <c r="T711" s="4" t="inlineStr">
        <is>
          <t>RAMP_501_1500</t>
        </is>
      </c>
      <c r="U711" s="4" t="inlineStr">
        <is>
          <t>CREATED</t>
        </is>
      </c>
      <c r="V711" s="4" t="inlineStr">
        <is>
          <t>idem-20260902-ios-0710</t>
        </is>
      </c>
    </row>
    <row r="712" ht="30" customHeight="1">
      <c r="A712" s="4" t="n">
        <v>711</v>
      </c>
      <c r="B712" s="4" t="inlineStr">
        <is>
          <t>MTR-IOS-0711</t>
        </is>
      </c>
      <c r="C712" s="4" t="inlineStr">
        <is>
          <t>Business</t>
        </is>
      </c>
      <c r="D712" s="4" t="inlineStr">
        <is>
          <t>Business</t>
        </is>
      </c>
      <c r="E712" s="4" t="inlineStr">
        <is>
          <t>Team Operations</t>
        </is>
      </c>
      <c r="F712" s="4" t="inlineStr">
        <is>
          <t>Training</t>
        </is>
      </c>
      <c r="G712" s="4" t="inlineStr">
        <is>
          <t>Expense</t>
        </is>
      </c>
      <c r="H712" s="12" t="n">
        <v>46013</v>
      </c>
      <c r="I712" s="13" t="n">
        <v>0.1827314814814815</v>
      </c>
      <c r="J712" s="14" t="n">
        <v>46013.18273148148</v>
      </c>
      <c r="K712" s="15" t="n">
        <v>89853.31</v>
      </c>
      <c r="L712" s="4" t="inlineStr">
        <is>
          <t>INR</t>
        </is>
      </c>
      <c r="M712" s="15" t="n">
        <v>-89853.31</v>
      </c>
      <c r="N712" s="4" t="inlineStr">
        <is>
          <t>IOS Owner</t>
        </is>
      </c>
      <c r="O712" s="4" t="n"/>
      <c r="P712" s="4" t="n"/>
      <c r="Q712" s="4" t="inlineStr">
        <is>
          <t>MAESTRO-IOS-BUSINESS-TEAM_OPERATIONS-0711 | Training | 89853.31</t>
        </is>
      </c>
      <c r="R712" s="4" t="inlineStr">
        <is>
          <t>iPhone</t>
        </is>
      </c>
      <c r="S712" s="4" t="inlineStr">
        <is>
          <t>B15</t>
        </is>
      </c>
      <c r="T712" s="4" t="inlineStr">
        <is>
          <t>RAMP_501_1500</t>
        </is>
      </c>
      <c r="U712" s="4" t="inlineStr">
        <is>
          <t>CREATED</t>
        </is>
      </c>
      <c r="V712" s="4" t="inlineStr">
        <is>
          <t>idem-20260902-ios-0711</t>
        </is>
      </c>
    </row>
    <row r="713" ht="30" customHeight="1">
      <c r="A713" s="4" t="n">
        <v>712</v>
      </c>
      <c r="B713" s="4" t="inlineStr">
        <is>
          <t>MTR-IOS-0712</t>
        </is>
      </c>
      <c r="C713" s="4" t="inlineStr">
        <is>
          <t>Personal</t>
        </is>
      </c>
      <c r="D713" s="4" t="inlineStr">
        <is>
          <t>Personal</t>
        </is>
      </c>
      <c r="E713" s="4" t="inlineStr">
        <is>
          <t>Future Building</t>
        </is>
      </c>
      <c r="F713" s="4" t="inlineStr">
        <is>
          <t>Savings</t>
        </is>
      </c>
      <c r="G713" s="4" t="inlineStr">
        <is>
          <t>Transfer</t>
        </is>
      </c>
      <c r="H713" s="12" t="n">
        <v>46099</v>
      </c>
      <c r="I713" s="13" t="n">
        <v>0.4852314814814815</v>
      </c>
      <c r="J713" s="14" t="n">
        <v>46099.48523148148</v>
      </c>
      <c r="K713" s="15" t="n">
        <v>16214.63</v>
      </c>
      <c r="L713" s="4" t="inlineStr">
        <is>
          <t>INR</t>
        </is>
      </c>
      <c r="M713" s="15" t="n">
        <v>0</v>
      </c>
      <c r="N713" s="4" t="inlineStr">
        <is>
          <t>IOS Owner</t>
        </is>
      </c>
      <c r="O713" s="4" t="n"/>
      <c r="P713" s="4" t="n"/>
      <c r="Q713" s="4" t="inlineStr">
        <is>
          <t>MAESTRO-IOS-PERSONAL-FUTURE_BUILDING-0712 | Savings | 16214.63</t>
        </is>
      </c>
      <c r="R713" s="4" t="inlineStr">
        <is>
          <t>iPhone</t>
        </is>
      </c>
      <c r="S713" s="4" t="inlineStr">
        <is>
          <t>B15</t>
        </is>
      </c>
      <c r="T713" s="4" t="inlineStr">
        <is>
          <t>RAMP_501_1500</t>
        </is>
      </c>
      <c r="U713" s="4" t="inlineStr">
        <is>
          <t>CREATED</t>
        </is>
      </c>
      <c r="V713" s="4" t="inlineStr">
        <is>
          <t>idem-20260902-ios-0712</t>
        </is>
      </c>
    </row>
    <row r="714" ht="30" customHeight="1">
      <c r="A714" s="4" t="n">
        <v>713</v>
      </c>
      <c r="B714" s="4" t="inlineStr">
        <is>
          <t>MTR-IOS-0713</t>
        </is>
      </c>
      <c r="C714" s="4" t="inlineStr">
        <is>
          <t>Group</t>
        </is>
      </c>
      <c r="D714" s="4" t="inlineStr">
        <is>
          <t>Shared Experience</t>
        </is>
      </c>
      <c r="E714" s="4" t="inlineStr">
        <is>
          <t>Trip</t>
        </is>
      </c>
      <c r="F714" s="4" t="inlineStr">
        <is>
          <t>Shopping</t>
        </is>
      </c>
      <c r="G714" s="4" t="inlineStr">
        <is>
          <t>Expense</t>
        </is>
      </c>
      <c r="H714" s="12" t="n">
        <v>46076</v>
      </c>
      <c r="I714" s="13" t="n">
        <v>0.4003703703703704</v>
      </c>
      <c r="J714" s="14" t="n">
        <v>46076.40037037037</v>
      </c>
      <c r="K714" s="15" t="n">
        <v>19645.05</v>
      </c>
      <c r="L714" s="4" t="inlineStr">
        <is>
          <t>INR</t>
        </is>
      </c>
      <c r="M714" s="15" t="n">
        <v>-19645.05</v>
      </c>
      <c r="N714" s="4" t="inlineStr">
        <is>
          <t>IOS Owner</t>
        </is>
      </c>
      <c r="O714" s="4" t="n">
        <v>3</v>
      </c>
      <c r="P714" s="4" t="inlineStr">
        <is>
          <t>PERCENTAGE</t>
        </is>
      </c>
      <c r="Q714" s="4" t="inlineStr">
        <is>
          <t>MAESTRO-IOS-GROUP-TRIP-0713 | Shopping | 19645.05</t>
        </is>
      </c>
      <c r="R714" s="4" t="inlineStr">
        <is>
          <t>iPhone</t>
        </is>
      </c>
      <c r="S714" s="4" t="inlineStr">
        <is>
          <t>B15</t>
        </is>
      </c>
      <c r="T714" s="4" t="inlineStr">
        <is>
          <t>RAMP_501_1500</t>
        </is>
      </c>
      <c r="U714" s="4" t="inlineStr">
        <is>
          <t>CREATED</t>
        </is>
      </c>
      <c r="V714" s="4" t="inlineStr">
        <is>
          <t>idem-20260902-ios-0713</t>
        </is>
      </c>
    </row>
    <row r="715" ht="30" customHeight="1">
      <c r="A715" s="4" t="n">
        <v>714</v>
      </c>
      <c r="B715" s="4" t="inlineStr">
        <is>
          <t>MTR-IOS-0714</t>
        </is>
      </c>
      <c r="C715" s="4" t="inlineStr">
        <is>
          <t>Business</t>
        </is>
      </c>
      <c r="D715" s="4" t="inlineStr">
        <is>
          <t>Business</t>
        </is>
      </c>
      <c r="E715" s="4" t="inlineStr">
        <is>
          <t>Team Operations</t>
        </is>
      </c>
      <c r="F715" s="4" t="inlineStr">
        <is>
          <t>Tools</t>
        </is>
      </c>
      <c r="G715" s="4" t="inlineStr">
        <is>
          <t>Expense</t>
        </is>
      </c>
      <c r="H715" s="12" t="n">
        <v>46212</v>
      </c>
      <c r="I715" s="13" t="n">
        <v>0.7798842592592593</v>
      </c>
      <c r="J715" s="14" t="n">
        <v>46212.77988425926</v>
      </c>
      <c r="K715" s="15" t="n">
        <v>158190.71</v>
      </c>
      <c r="L715" s="4" t="inlineStr">
        <is>
          <t>INR</t>
        </is>
      </c>
      <c r="M715" s="15" t="n">
        <v>-158190.71</v>
      </c>
      <c r="N715" s="4" t="inlineStr">
        <is>
          <t>IOS Owner</t>
        </is>
      </c>
      <c r="O715" s="4" t="n"/>
      <c r="P715" s="4" t="n"/>
      <c r="Q715" s="4" t="inlineStr">
        <is>
          <t>MAESTRO-IOS-BUSINESS-TEAM_OPERATIONS-0714 | Tools | 158190.71</t>
        </is>
      </c>
      <c r="R715" s="4" t="inlineStr">
        <is>
          <t>iPhone</t>
        </is>
      </c>
      <c r="S715" s="4" t="inlineStr">
        <is>
          <t>B15</t>
        </is>
      </c>
      <c r="T715" s="4" t="inlineStr">
        <is>
          <t>RAMP_501_1500</t>
        </is>
      </c>
      <c r="U715" s="4" t="inlineStr">
        <is>
          <t>CREATED</t>
        </is>
      </c>
      <c r="V715" s="4" t="inlineStr">
        <is>
          <t>idem-20260902-ios-0714</t>
        </is>
      </c>
    </row>
    <row r="716" ht="30" customHeight="1">
      <c r="A716" s="4" t="n">
        <v>715</v>
      </c>
      <c r="B716" s="4" t="inlineStr">
        <is>
          <t>MTR-IOS-0715</t>
        </is>
      </c>
      <c r="C716" s="4" t="inlineStr">
        <is>
          <t>Personal</t>
        </is>
      </c>
      <c r="D716" s="4" t="inlineStr">
        <is>
          <t>Personal</t>
        </is>
      </c>
      <c r="E716" s="4" t="inlineStr">
        <is>
          <t>Future Building</t>
        </is>
      </c>
      <c r="F716" s="4" t="inlineStr">
        <is>
          <t>Emergency Fund</t>
        </is>
      </c>
      <c r="G716" s="4" t="inlineStr">
        <is>
          <t>Transfer</t>
        </is>
      </c>
      <c r="H716" s="12" t="n">
        <v>46165</v>
      </c>
      <c r="I716" s="13" t="n">
        <v>0.5760185185185185</v>
      </c>
      <c r="J716" s="14" t="n">
        <v>46165.57601851852</v>
      </c>
      <c r="K716" s="15" t="n">
        <v>1733.85</v>
      </c>
      <c r="L716" s="4" t="inlineStr">
        <is>
          <t>INR</t>
        </is>
      </c>
      <c r="M716" s="15" t="n">
        <v>0</v>
      </c>
      <c r="N716" s="4" t="inlineStr">
        <is>
          <t>IOS Owner</t>
        </is>
      </c>
      <c r="O716" s="4" t="n"/>
      <c r="P716" s="4" t="n"/>
      <c r="Q716" s="4" t="inlineStr">
        <is>
          <t>MAESTRO-IOS-PERSONAL-FUTURE_BUILDING-0715 | Emergency Fund | 1733.85</t>
        </is>
      </c>
      <c r="R716" s="4" t="inlineStr">
        <is>
          <t>iPhone</t>
        </is>
      </c>
      <c r="S716" s="4" t="inlineStr">
        <is>
          <t>B15</t>
        </is>
      </c>
      <c r="T716" s="4" t="inlineStr">
        <is>
          <t>RAMP_501_1500</t>
        </is>
      </c>
      <c r="U716" s="4" t="inlineStr">
        <is>
          <t>CREATED</t>
        </is>
      </c>
      <c r="V716" s="4" t="inlineStr">
        <is>
          <t>idem-20260902-ios-0715</t>
        </is>
      </c>
    </row>
    <row r="717" ht="30" customHeight="1">
      <c r="A717" s="4" t="n">
        <v>716</v>
      </c>
      <c r="B717" s="4" t="inlineStr">
        <is>
          <t>MTR-IOS-0716</t>
        </is>
      </c>
      <c r="C717" s="4" t="inlineStr">
        <is>
          <t>Group</t>
        </is>
      </c>
      <c r="D717" s="4" t="inlineStr">
        <is>
          <t>Shared Experience</t>
        </is>
      </c>
      <c r="E717" s="4" t="inlineStr">
        <is>
          <t>Trip</t>
        </is>
      </c>
      <c r="F717" s="4" t="inlineStr">
        <is>
          <t>Other</t>
        </is>
      </c>
      <c r="G717" s="4" t="inlineStr">
        <is>
          <t>Expense</t>
        </is>
      </c>
      <c r="H717" s="12" t="n">
        <v>46004</v>
      </c>
      <c r="I717" s="13" t="n">
        <v>0.2474305555555555</v>
      </c>
      <c r="J717" s="14" t="n">
        <v>46004.24743055556</v>
      </c>
      <c r="K717" s="15" t="n">
        <v>6347.16</v>
      </c>
      <c r="L717" s="4" t="inlineStr">
        <is>
          <t>INR</t>
        </is>
      </c>
      <c r="M717" s="15" t="n">
        <v>-6347.16</v>
      </c>
      <c r="N717" s="4" t="inlineStr">
        <is>
          <t>IOS Aarav</t>
        </is>
      </c>
      <c r="O717" s="4" t="n">
        <v>3</v>
      </c>
      <c r="P717" s="4" t="inlineStr">
        <is>
          <t>EXACT</t>
        </is>
      </c>
      <c r="Q717" s="4" t="inlineStr">
        <is>
          <t>MAESTRO-IOS-GROUP-TRIP-0716 | Other | 6347.16</t>
        </is>
      </c>
      <c r="R717" s="4" t="inlineStr">
        <is>
          <t>iPhone</t>
        </is>
      </c>
      <c r="S717" s="4" t="inlineStr">
        <is>
          <t>B15</t>
        </is>
      </c>
      <c r="T717" s="4" t="inlineStr">
        <is>
          <t>RAMP_501_1500</t>
        </is>
      </c>
      <c r="U717" s="4" t="inlineStr">
        <is>
          <t>CREATED</t>
        </is>
      </c>
      <c r="V717" s="4" t="inlineStr">
        <is>
          <t>idem-20260902-ios-0716</t>
        </is>
      </c>
    </row>
    <row r="718" ht="30" customHeight="1">
      <c r="A718" s="4" t="n">
        <v>717</v>
      </c>
      <c r="B718" s="4" t="inlineStr">
        <is>
          <t>MTR-IOS-0717</t>
        </is>
      </c>
      <c r="C718" s="4" t="inlineStr">
        <is>
          <t>Business</t>
        </is>
      </c>
      <c r="D718" s="4" t="inlineStr">
        <is>
          <t>Business</t>
        </is>
      </c>
      <c r="E718" s="4" t="inlineStr">
        <is>
          <t>Business Runway</t>
        </is>
      </c>
      <c r="F718" s="4" t="inlineStr">
        <is>
          <t>Funding</t>
        </is>
      </c>
      <c r="G718" s="4" t="inlineStr">
        <is>
          <t>Income</t>
        </is>
      </c>
      <c r="H718" s="12" t="n">
        <v>45925</v>
      </c>
      <c r="I718" s="13" t="n">
        <v>0.4006712962962963</v>
      </c>
      <c r="J718" s="14" t="n">
        <v>45925.40067129629</v>
      </c>
      <c r="K718" s="15" t="n">
        <v>147493</v>
      </c>
      <c r="L718" s="4" t="inlineStr">
        <is>
          <t>INR</t>
        </is>
      </c>
      <c r="M718" s="15" t="n">
        <v>147493</v>
      </c>
      <c r="N718" s="4" t="inlineStr">
        <is>
          <t>IOS Owner</t>
        </is>
      </c>
      <c r="O718" s="4" t="n"/>
      <c r="P718" s="4" t="n"/>
      <c r="Q718" s="4" t="inlineStr">
        <is>
          <t>MAESTRO-IOS-BUSINESS-BUSINESS_RUNWAY-0717 | Funding | 147493.00</t>
        </is>
      </c>
      <c r="R718" s="4" t="inlineStr">
        <is>
          <t>iPhone</t>
        </is>
      </c>
      <c r="S718" s="4" t="inlineStr">
        <is>
          <t>B15</t>
        </is>
      </c>
      <c r="T718" s="4" t="inlineStr">
        <is>
          <t>RAMP_501_1500</t>
        </is>
      </c>
      <c r="U718" s="4" t="inlineStr">
        <is>
          <t>CREATED</t>
        </is>
      </c>
      <c r="V718" s="4" t="inlineStr">
        <is>
          <t>idem-20260902-ios-0717</t>
        </is>
      </c>
    </row>
    <row r="719" ht="30" customHeight="1">
      <c r="A719" s="4" t="n">
        <v>718</v>
      </c>
      <c r="B719" s="4" t="inlineStr">
        <is>
          <t>MTR-IOS-0718</t>
        </is>
      </c>
      <c r="C719" s="4" t="inlineStr">
        <is>
          <t>Personal</t>
        </is>
      </c>
      <c r="D719" s="4" t="inlineStr">
        <is>
          <t>Personal</t>
        </is>
      </c>
      <c r="E719" s="4" t="inlineStr">
        <is>
          <t>Future Building</t>
        </is>
      </c>
      <c r="F719" s="4" t="inlineStr">
        <is>
          <t>Investments</t>
        </is>
      </c>
      <c r="G719" s="4" t="inlineStr">
        <is>
          <t>Investment</t>
        </is>
      </c>
      <c r="H719" s="12" t="n">
        <v>46170</v>
      </c>
      <c r="I719" s="13" t="n">
        <v>0.4815856481481481</v>
      </c>
      <c r="J719" s="14" t="n">
        <v>46170.48158564815</v>
      </c>
      <c r="K719" s="15" t="n">
        <v>6967.55</v>
      </c>
      <c r="L719" s="4" t="inlineStr">
        <is>
          <t>INR</t>
        </is>
      </c>
      <c r="M719" s="15" t="n">
        <v>0</v>
      </c>
      <c r="N719" s="4" t="inlineStr">
        <is>
          <t>IOS Owner</t>
        </is>
      </c>
      <c r="O719" s="4" t="n"/>
      <c r="P719" s="4" t="n"/>
      <c r="Q719" s="4" t="inlineStr">
        <is>
          <t>MAESTRO-IOS-PERSONAL-FUTURE_BUILDING-0718 | Investments | 6967.55</t>
        </is>
      </c>
      <c r="R719" s="4" t="inlineStr">
        <is>
          <t>iPhone</t>
        </is>
      </c>
      <c r="S719" s="4" t="inlineStr">
        <is>
          <t>B15</t>
        </is>
      </c>
      <c r="T719" s="4" t="inlineStr">
        <is>
          <t>RAMP_501_1500</t>
        </is>
      </c>
      <c r="U719" s="4" t="inlineStr">
        <is>
          <t>CREATED</t>
        </is>
      </c>
      <c r="V719" s="4" t="inlineStr">
        <is>
          <t>idem-20260902-ios-0718</t>
        </is>
      </c>
    </row>
    <row r="720" ht="30" customHeight="1">
      <c r="A720" s="4" t="n">
        <v>719</v>
      </c>
      <c r="B720" s="4" t="inlineStr">
        <is>
          <t>MTR-IOS-0719</t>
        </is>
      </c>
      <c r="C720" s="4" t="inlineStr">
        <is>
          <t>Group</t>
        </is>
      </c>
      <c r="D720" s="4" t="inlineStr">
        <is>
          <t>Shared Experience</t>
        </is>
      </c>
      <c r="E720" s="4" t="inlineStr">
        <is>
          <t>Wedding</t>
        </is>
      </c>
      <c r="F720" s="4" t="inlineStr">
        <is>
          <t>Venue</t>
        </is>
      </c>
      <c r="G720" s="4" t="inlineStr">
        <is>
          <t>Expense</t>
        </is>
      </c>
      <c r="H720" s="12" t="n">
        <v>46178</v>
      </c>
      <c r="I720" s="13" t="n">
        <v>0.2671412037037037</v>
      </c>
      <c r="J720" s="14" t="n">
        <v>46178.2671412037</v>
      </c>
      <c r="K720" s="15" t="n">
        <v>21269.75</v>
      </c>
      <c r="L720" s="4" t="inlineStr">
        <is>
          <t>INR</t>
        </is>
      </c>
      <c r="M720" s="15" t="n">
        <v>-21269.75</v>
      </c>
      <c r="N720" s="4" t="inlineStr">
        <is>
          <t>IOS Meera</t>
        </is>
      </c>
      <c r="O720" s="4" t="n">
        <v>3</v>
      </c>
      <c r="P720" s="4" t="inlineStr">
        <is>
          <t>SHARES</t>
        </is>
      </c>
      <c r="Q720" s="4" t="inlineStr">
        <is>
          <t>MAESTRO-IOS-GROUP-WEDDING-0719 | Venue | 21269.75</t>
        </is>
      </c>
      <c r="R720" s="4" t="inlineStr">
        <is>
          <t>iPhone</t>
        </is>
      </c>
      <c r="S720" s="4" t="inlineStr">
        <is>
          <t>B15</t>
        </is>
      </c>
      <c r="T720" s="4" t="inlineStr">
        <is>
          <t>RAMP_501_1500</t>
        </is>
      </c>
      <c r="U720" s="4" t="inlineStr">
        <is>
          <t>CREATED</t>
        </is>
      </c>
      <c r="V720" s="4" t="inlineStr">
        <is>
          <t>idem-20260902-ios-0719</t>
        </is>
      </c>
    </row>
    <row r="721" ht="30" customHeight="1">
      <c r="A721" s="4" t="n">
        <v>720</v>
      </c>
      <c r="B721" s="4" t="inlineStr">
        <is>
          <t>MTR-IOS-0720</t>
        </is>
      </c>
      <c r="C721" s="4" t="inlineStr">
        <is>
          <t>Business</t>
        </is>
      </c>
      <c r="D721" s="4" t="inlineStr">
        <is>
          <t>Business</t>
        </is>
      </c>
      <c r="E721" s="4" t="inlineStr">
        <is>
          <t>Business Runway</t>
        </is>
      </c>
      <c r="F721" s="4" t="inlineStr">
        <is>
          <t>Revenue</t>
        </is>
      </c>
      <c r="G721" s="4" t="inlineStr">
        <is>
          <t>Income</t>
        </is>
      </c>
      <c r="H721" s="12" t="n">
        <v>45909</v>
      </c>
      <c r="I721" s="13" t="n">
        <v>0.4689467592592593</v>
      </c>
      <c r="J721" s="14" t="n">
        <v>45909.46894675926</v>
      </c>
      <c r="K721" s="15" t="n">
        <v>8064.37</v>
      </c>
      <c r="L721" s="4" t="inlineStr">
        <is>
          <t>INR</t>
        </is>
      </c>
      <c r="M721" s="15" t="n">
        <v>8064.37</v>
      </c>
      <c r="N721" s="4" t="inlineStr">
        <is>
          <t>IOS Owner</t>
        </is>
      </c>
      <c r="O721" s="4" t="n"/>
      <c r="P721" s="4" t="n"/>
      <c r="Q721" s="4" t="inlineStr">
        <is>
          <t>MAESTRO-IOS-BUSINESS-BUSINESS_RUNWAY-0720 | Revenue | 8064.37</t>
        </is>
      </c>
      <c r="R721" s="4" t="inlineStr">
        <is>
          <t>iPhone</t>
        </is>
      </c>
      <c r="S721" s="4" t="inlineStr">
        <is>
          <t>B15</t>
        </is>
      </c>
      <c r="T721" s="4" t="inlineStr">
        <is>
          <t>RAMP_501_1500</t>
        </is>
      </c>
      <c r="U721" s="4" t="inlineStr">
        <is>
          <t>CREATED</t>
        </is>
      </c>
      <c r="V721" s="4" t="inlineStr">
        <is>
          <t>idem-20260902-ios-0720</t>
        </is>
      </c>
    </row>
    <row r="722" ht="30" customHeight="1">
      <c r="A722" s="4" t="n">
        <v>721</v>
      </c>
      <c r="B722" s="4" t="inlineStr">
        <is>
          <t>MTR-IOS-0721</t>
        </is>
      </c>
      <c r="C722" s="4" t="inlineStr">
        <is>
          <t>Personal</t>
        </is>
      </c>
      <c r="D722" s="4" t="inlineStr">
        <is>
          <t>Personal</t>
        </is>
      </c>
      <c r="E722" s="4" t="inlineStr">
        <is>
          <t>Future Building</t>
        </is>
      </c>
      <c r="F722" s="4" t="inlineStr">
        <is>
          <t>Education</t>
        </is>
      </c>
      <c r="G722" s="4" t="inlineStr">
        <is>
          <t>Expense</t>
        </is>
      </c>
      <c r="H722" s="12" t="n">
        <v>46075</v>
      </c>
      <c r="I722" s="13" t="n">
        <v>0.9079861111111112</v>
      </c>
      <c r="J722" s="14" t="n">
        <v>46075.90798611111</v>
      </c>
      <c r="K722" s="15" t="n">
        <v>14677.29</v>
      </c>
      <c r="L722" s="4" t="inlineStr">
        <is>
          <t>INR</t>
        </is>
      </c>
      <c r="M722" s="15" t="n">
        <v>-14677.29</v>
      </c>
      <c r="N722" s="4" t="inlineStr">
        <is>
          <t>IOS Owner</t>
        </is>
      </c>
      <c r="O722" s="4" t="n"/>
      <c r="P722" s="4" t="n"/>
      <c r="Q722" s="4" t="inlineStr">
        <is>
          <t>MAESTRO-IOS-PERSONAL-FUTURE_BUILDING-0721 | Education | 14677.29</t>
        </is>
      </c>
      <c r="R722" s="4" t="inlineStr">
        <is>
          <t>iPhone</t>
        </is>
      </c>
      <c r="S722" s="4" t="inlineStr">
        <is>
          <t>B15</t>
        </is>
      </c>
      <c r="T722" s="4" t="inlineStr">
        <is>
          <t>RAMP_501_1500</t>
        </is>
      </c>
      <c r="U722" s="4" t="inlineStr">
        <is>
          <t>CREATED</t>
        </is>
      </c>
      <c r="V722" s="4" t="inlineStr">
        <is>
          <t>idem-20260902-ios-0721</t>
        </is>
      </c>
    </row>
    <row r="723" ht="30" customHeight="1">
      <c r="A723" s="4" t="n">
        <v>722</v>
      </c>
      <c r="B723" s="4" t="inlineStr">
        <is>
          <t>MTR-IOS-0722</t>
        </is>
      </c>
      <c r="C723" s="4" t="inlineStr">
        <is>
          <t>Group</t>
        </is>
      </c>
      <c r="D723" s="4" t="inlineStr">
        <is>
          <t>Shared Experience</t>
        </is>
      </c>
      <c r="E723" s="4" t="inlineStr">
        <is>
          <t>Wedding</t>
        </is>
      </c>
      <c r="F723" s="4" t="inlineStr">
        <is>
          <t>Catering</t>
        </is>
      </c>
      <c r="G723" s="4" t="inlineStr">
        <is>
          <t>Expense</t>
        </is>
      </c>
      <c r="H723" s="12" t="n">
        <v>46043</v>
      </c>
      <c r="I723" s="13" t="n">
        <v>0.0763888888888889</v>
      </c>
      <c r="J723" s="14" t="n">
        <v>46043.07638888889</v>
      </c>
      <c r="K723" s="15" t="n">
        <v>4701.97</v>
      </c>
      <c r="L723" s="4" t="inlineStr">
        <is>
          <t>INR</t>
        </is>
      </c>
      <c r="M723" s="15" t="n">
        <v>-4701.97</v>
      </c>
      <c r="N723" s="4" t="inlineStr">
        <is>
          <t>IOS Owner</t>
        </is>
      </c>
      <c r="O723" s="4" t="n">
        <v>3</v>
      </c>
      <c r="P723" s="4" t="inlineStr">
        <is>
          <t>EQUAL</t>
        </is>
      </c>
      <c r="Q723" s="4" t="inlineStr">
        <is>
          <t>MAESTRO-IOS-GROUP-WEDDING-0722 | Catering | 4701.97</t>
        </is>
      </c>
      <c r="R723" s="4" t="inlineStr">
        <is>
          <t>iPhone</t>
        </is>
      </c>
      <c r="S723" s="4" t="inlineStr">
        <is>
          <t>B15</t>
        </is>
      </c>
      <c r="T723" s="4" t="inlineStr">
        <is>
          <t>RAMP_501_1500</t>
        </is>
      </c>
      <c r="U723" s="4" t="inlineStr">
        <is>
          <t>CREATED</t>
        </is>
      </c>
      <c r="V723" s="4" t="inlineStr">
        <is>
          <t>idem-20260902-ios-0722</t>
        </is>
      </c>
    </row>
    <row r="724" ht="30" customHeight="1">
      <c r="A724" s="4" t="n">
        <v>723</v>
      </c>
      <c r="B724" s="4" t="inlineStr">
        <is>
          <t>MTR-IOS-0723</t>
        </is>
      </c>
      <c r="C724" s="4" t="inlineStr">
        <is>
          <t>Business</t>
        </is>
      </c>
      <c r="D724" s="4" t="inlineStr">
        <is>
          <t>Business</t>
        </is>
      </c>
      <c r="E724" s="4" t="inlineStr">
        <is>
          <t>Business Runway</t>
        </is>
      </c>
      <c r="F724" s="4" t="inlineStr">
        <is>
          <t>Burn</t>
        </is>
      </c>
      <c r="G724" s="4" t="inlineStr">
        <is>
          <t>Expense</t>
        </is>
      </c>
      <c r="H724" s="12" t="n">
        <v>46243</v>
      </c>
      <c r="I724" s="13" t="n">
        <v>0.8797569444444444</v>
      </c>
      <c r="J724" s="14" t="n">
        <v>46243.87975694444</v>
      </c>
      <c r="K724" s="15" t="n">
        <v>49946.97</v>
      </c>
      <c r="L724" s="4" t="inlineStr">
        <is>
          <t>INR</t>
        </is>
      </c>
      <c r="M724" s="15" t="n">
        <v>-49946.97</v>
      </c>
      <c r="N724" s="4" t="inlineStr">
        <is>
          <t>IOS Owner</t>
        </is>
      </c>
      <c r="O724" s="4" t="n"/>
      <c r="P724" s="4" t="n"/>
      <c r="Q724" s="4" t="inlineStr">
        <is>
          <t>MAESTRO-IOS-BUSINESS-BUSINESS_RUNWAY-0723 | Burn | 49946.97</t>
        </is>
      </c>
      <c r="R724" s="4" t="inlineStr">
        <is>
          <t>iPhone</t>
        </is>
      </c>
      <c r="S724" s="4" t="inlineStr">
        <is>
          <t>B15</t>
        </is>
      </c>
      <c r="T724" s="4" t="inlineStr">
        <is>
          <t>RAMP_501_1500</t>
        </is>
      </c>
      <c r="U724" s="4" t="inlineStr">
        <is>
          <t>CREATED</t>
        </is>
      </c>
      <c r="V724" s="4" t="inlineStr">
        <is>
          <t>idem-20260902-ios-0723</t>
        </is>
      </c>
    </row>
    <row r="725" ht="30" customHeight="1">
      <c r="A725" s="4" t="n">
        <v>724</v>
      </c>
      <c r="B725" s="4" t="inlineStr">
        <is>
          <t>MTR-IOS-0724</t>
        </is>
      </c>
      <c r="C725" s="4" t="inlineStr">
        <is>
          <t>Personal</t>
        </is>
      </c>
      <c r="D725" s="4" t="inlineStr">
        <is>
          <t>Personal</t>
        </is>
      </c>
      <c r="E725" s="4" t="inlineStr">
        <is>
          <t>Future Building</t>
        </is>
      </c>
      <c r="F725" s="4" t="inlineStr">
        <is>
          <t>Goal Contribution</t>
        </is>
      </c>
      <c r="G725" s="4" t="inlineStr">
        <is>
          <t>Transfer</t>
        </is>
      </c>
      <c r="H725" s="12" t="n">
        <v>45968</v>
      </c>
      <c r="I725" s="13" t="n">
        <v>0.2733564814814815</v>
      </c>
      <c r="J725" s="14" t="n">
        <v>45968.27335648148</v>
      </c>
      <c r="K725" s="15" t="n">
        <v>10016.45</v>
      </c>
      <c r="L725" s="4" t="inlineStr">
        <is>
          <t>INR</t>
        </is>
      </c>
      <c r="M725" s="15" t="n">
        <v>0</v>
      </c>
      <c r="N725" s="4" t="inlineStr">
        <is>
          <t>IOS Owner</t>
        </is>
      </c>
      <c r="O725" s="4" t="n"/>
      <c r="P725" s="4" t="n"/>
      <c r="Q725" s="4" t="inlineStr">
        <is>
          <t>MAESTRO-IOS-PERSONAL-FUTURE_BUILDING-0724 | Goal Contribution | 10016.45</t>
        </is>
      </c>
      <c r="R725" s="4" t="inlineStr">
        <is>
          <t>iPhone</t>
        </is>
      </c>
      <c r="S725" s="4" t="inlineStr">
        <is>
          <t>B15</t>
        </is>
      </c>
      <c r="T725" s="4" t="inlineStr">
        <is>
          <t>RAMP_501_1500</t>
        </is>
      </c>
      <c r="U725" s="4" t="inlineStr">
        <is>
          <t>CREATED</t>
        </is>
      </c>
      <c r="V725" s="4" t="inlineStr">
        <is>
          <t>idem-20260902-ios-0724</t>
        </is>
      </c>
    </row>
    <row r="726" ht="30" customHeight="1">
      <c r="A726" s="4" t="n">
        <v>725</v>
      </c>
      <c r="B726" s="4" t="inlineStr">
        <is>
          <t>MTR-IOS-0725</t>
        </is>
      </c>
      <c r="C726" s="4" t="inlineStr">
        <is>
          <t>Group</t>
        </is>
      </c>
      <c r="D726" s="4" t="inlineStr">
        <is>
          <t>Shared Experience</t>
        </is>
      </c>
      <c r="E726" s="4" t="inlineStr">
        <is>
          <t>Wedding</t>
        </is>
      </c>
      <c r="F726" s="4" t="inlineStr">
        <is>
          <t>Decor</t>
        </is>
      </c>
      <c r="G726" s="4" t="inlineStr">
        <is>
          <t>Expense</t>
        </is>
      </c>
      <c r="H726" s="12" t="n">
        <v>45925</v>
      </c>
      <c r="I726" s="13" t="n">
        <v>0.6288657407407408</v>
      </c>
      <c r="J726" s="14" t="n">
        <v>45925.62886574074</v>
      </c>
      <c r="K726" s="15" t="n">
        <v>9738.32</v>
      </c>
      <c r="L726" s="4" t="inlineStr">
        <is>
          <t>INR</t>
        </is>
      </c>
      <c r="M726" s="15" t="n">
        <v>-9738.32</v>
      </c>
      <c r="N726" s="4" t="inlineStr">
        <is>
          <t>IOS Aarav</t>
        </is>
      </c>
      <c r="O726" s="4" t="n">
        <v>3</v>
      </c>
      <c r="P726" s="4" t="inlineStr">
        <is>
          <t>PERCENTAGE</t>
        </is>
      </c>
      <c r="Q726" s="4" t="inlineStr">
        <is>
          <t>MAESTRO-IOS-GROUP-WEDDING-0725 | Decor | 9738.32</t>
        </is>
      </c>
      <c r="R726" s="4" t="inlineStr">
        <is>
          <t>iPhone</t>
        </is>
      </c>
      <c r="S726" s="4" t="inlineStr">
        <is>
          <t>B15</t>
        </is>
      </c>
      <c r="T726" s="4" t="inlineStr">
        <is>
          <t>RAMP_501_1500</t>
        </is>
      </c>
      <c r="U726" s="4" t="inlineStr">
        <is>
          <t>CREATED</t>
        </is>
      </c>
      <c r="V726" s="4" t="inlineStr">
        <is>
          <t>idem-20260902-ios-0725</t>
        </is>
      </c>
    </row>
    <row r="727" ht="30" customHeight="1">
      <c r="A727" s="4" t="n">
        <v>726</v>
      </c>
      <c r="B727" s="4" t="inlineStr">
        <is>
          <t>MTR-IOS-0726</t>
        </is>
      </c>
      <c r="C727" s="4" t="inlineStr">
        <is>
          <t>Business</t>
        </is>
      </c>
      <c r="D727" s="4" t="inlineStr">
        <is>
          <t>Business</t>
        </is>
      </c>
      <c r="E727" s="4" t="inlineStr">
        <is>
          <t>Business Runway</t>
        </is>
      </c>
      <c r="F727" s="4" t="inlineStr">
        <is>
          <t>Reserve</t>
        </is>
      </c>
      <c r="G727" s="4" t="inlineStr">
        <is>
          <t>Transfer</t>
        </is>
      </c>
      <c r="H727" s="12" t="n">
        <v>46134</v>
      </c>
      <c r="I727" s="13" t="n">
        <v>0.0346412037037037</v>
      </c>
      <c r="J727" s="14" t="n">
        <v>46134.0346412037</v>
      </c>
      <c r="K727" s="15" t="n">
        <v>153038.66</v>
      </c>
      <c r="L727" s="4" t="inlineStr">
        <is>
          <t>INR</t>
        </is>
      </c>
      <c r="M727" s="15" t="n">
        <v>0</v>
      </c>
      <c r="N727" s="4" t="inlineStr">
        <is>
          <t>IOS Owner</t>
        </is>
      </c>
      <c r="O727" s="4" t="n"/>
      <c r="P727" s="4" t="n"/>
      <c r="Q727" s="4" t="inlineStr">
        <is>
          <t>MAESTRO-IOS-BUSINESS-BUSINESS_RUNWAY-0726 | Reserve | 153038.66</t>
        </is>
      </c>
      <c r="R727" s="4" t="inlineStr">
        <is>
          <t>iPhone</t>
        </is>
      </c>
      <c r="S727" s="4" t="inlineStr">
        <is>
          <t>B15</t>
        </is>
      </c>
      <c r="T727" s="4" t="inlineStr">
        <is>
          <t>RAMP_501_1500</t>
        </is>
      </c>
      <c r="U727" s="4" t="inlineStr">
        <is>
          <t>CREATED</t>
        </is>
      </c>
      <c r="V727" s="4" t="inlineStr">
        <is>
          <t>idem-20260902-ios-0726</t>
        </is>
      </c>
    </row>
    <row r="728" ht="30" customHeight="1">
      <c r="A728" s="4" t="n">
        <v>727</v>
      </c>
      <c r="B728" s="4" t="inlineStr">
        <is>
          <t>MTR-IOS-0727</t>
        </is>
      </c>
      <c r="C728" s="4" t="inlineStr">
        <is>
          <t>Personal</t>
        </is>
      </c>
      <c r="D728" s="4" t="inlineStr">
        <is>
          <t>Personal</t>
        </is>
      </c>
      <c r="E728" s="4" t="inlineStr">
        <is>
          <t>Lifestyle</t>
        </is>
      </c>
      <c r="F728" s="4" t="inlineStr">
        <is>
          <t>Dining</t>
        </is>
      </c>
      <c r="G728" s="4" t="inlineStr">
        <is>
          <t>Expense</t>
        </is>
      </c>
      <c r="H728" s="12" t="n">
        <v>46259</v>
      </c>
      <c r="I728" s="13" t="n">
        <v>0.05959490740740741</v>
      </c>
      <c r="J728" s="14" t="n">
        <v>46259.0595949074</v>
      </c>
      <c r="K728" s="15" t="n">
        <v>9084.07</v>
      </c>
      <c r="L728" s="4" t="inlineStr">
        <is>
          <t>INR</t>
        </is>
      </c>
      <c r="M728" s="15" t="n">
        <v>-9084.07</v>
      </c>
      <c r="N728" s="4" t="inlineStr">
        <is>
          <t>IOS Owner</t>
        </is>
      </c>
      <c r="O728" s="4" t="n"/>
      <c r="P728" s="4" t="n"/>
      <c r="Q728" s="4" t="inlineStr">
        <is>
          <t>MAESTRO-IOS-PERSONAL-LIFESTYLE-0727 | Dining | 9084.07</t>
        </is>
      </c>
      <c r="R728" s="4" t="inlineStr">
        <is>
          <t>iPhone</t>
        </is>
      </c>
      <c r="S728" s="4" t="inlineStr">
        <is>
          <t>B15</t>
        </is>
      </c>
      <c r="T728" s="4" t="inlineStr">
        <is>
          <t>RAMP_501_1500</t>
        </is>
      </c>
      <c r="U728" s="4" t="inlineStr">
        <is>
          <t>CREATED</t>
        </is>
      </c>
      <c r="V728" s="4" t="inlineStr">
        <is>
          <t>idem-20260902-ios-0727</t>
        </is>
      </c>
    </row>
    <row r="729" ht="30" customHeight="1">
      <c r="A729" s="4" t="n">
        <v>728</v>
      </c>
      <c r="B729" s="4" t="inlineStr">
        <is>
          <t>MTR-IOS-0728</t>
        </is>
      </c>
      <c r="C729" s="4" t="inlineStr">
        <is>
          <t>Group</t>
        </is>
      </c>
      <c r="D729" s="4" t="inlineStr">
        <is>
          <t>Shared Experience</t>
        </is>
      </c>
      <c r="E729" s="4" t="inlineStr">
        <is>
          <t>Wedding</t>
        </is>
      </c>
      <c r="F729" s="4" t="inlineStr">
        <is>
          <t>Travel</t>
        </is>
      </c>
      <c r="G729" s="4" t="inlineStr">
        <is>
          <t>Expense</t>
        </is>
      </c>
      <c r="H729" s="12" t="n">
        <v>46243</v>
      </c>
      <c r="I729" s="13" t="n">
        <v>0.3408333333333333</v>
      </c>
      <c r="J729" s="14" t="n">
        <v>46243.34083333334</v>
      </c>
      <c r="K729" s="15" t="n">
        <v>6227.89</v>
      </c>
      <c r="L729" s="4" t="inlineStr">
        <is>
          <t>INR</t>
        </is>
      </c>
      <c r="M729" s="15" t="n">
        <v>-6227.89</v>
      </c>
      <c r="N729" s="4" t="inlineStr">
        <is>
          <t>IOS Meera</t>
        </is>
      </c>
      <c r="O729" s="4" t="n">
        <v>3</v>
      </c>
      <c r="P729" s="4" t="inlineStr">
        <is>
          <t>EXACT</t>
        </is>
      </c>
      <c r="Q729" s="4" t="inlineStr">
        <is>
          <t>MAESTRO-IOS-GROUP-WEDDING-0728 | Travel | 6227.89</t>
        </is>
      </c>
      <c r="R729" s="4" t="inlineStr">
        <is>
          <t>iPhone</t>
        </is>
      </c>
      <c r="S729" s="4" t="inlineStr">
        <is>
          <t>B15</t>
        </is>
      </c>
      <c r="T729" s="4" t="inlineStr">
        <is>
          <t>RAMP_501_1500</t>
        </is>
      </c>
      <c r="U729" s="4" t="inlineStr">
        <is>
          <t>CREATED</t>
        </is>
      </c>
      <c r="V729" s="4" t="inlineStr">
        <is>
          <t>idem-20260902-ios-0728</t>
        </is>
      </c>
    </row>
    <row r="730" ht="30" customHeight="1">
      <c r="A730" s="4" t="n">
        <v>729</v>
      </c>
      <c r="B730" s="4" t="inlineStr">
        <is>
          <t>MTR-IOS-0729</t>
        </is>
      </c>
      <c r="C730" s="4" t="inlineStr">
        <is>
          <t>Business</t>
        </is>
      </c>
      <c r="D730" s="4" t="inlineStr">
        <is>
          <t>Business</t>
        </is>
      </c>
      <c r="E730" s="4" t="inlineStr">
        <is>
          <t>Business Runway</t>
        </is>
      </c>
      <c r="F730" s="4" t="inlineStr">
        <is>
          <t>Loan</t>
        </is>
      </c>
      <c r="G730" s="4" t="inlineStr">
        <is>
          <t>Income</t>
        </is>
      </c>
      <c r="H730" s="12" t="n">
        <v>46107</v>
      </c>
      <c r="I730" s="13" t="n">
        <v>0.2608333333333333</v>
      </c>
      <c r="J730" s="14" t="n">
        <v>46107.26083333333</v>
      </c>
      <c r="K730" s="15" t="n">
        <v>153951.13</v>
      </c>
      <c r="L730" s="4" t="inlineStr">
        <is>
          <t>INR</t>
        </is>
      </c>
      <c r="M730" s="15" t="n">
        <v>153951.13</v>
      </c>
      <c r="N730" s="4" t="inlineStr">
        <is>
          <t>IOS Owner</t>
        </is>
      </c>
      <c r="O730" s="4" t="n"/>
      <c r="P730" s="4" t="n"/>
      <c r="Q730" s="4" t="inlineStr">
        <is>
          <t>MAESTRO-IOS-BUSINESS-BUSINESS_RUNWAY-0729 | Loan | 153951.13</t>
        </is>
      </c>
      <c r="R730" s="4" t="inlineStr">
        <is>
          <t>iPhone</t>
        </is>
      </c>
      <c r="S730" s="4" t="inlineStr">
        <is>
          <t>B15</t>
        </is>
      </c>
      <c r="T730" s="4" t="inlineStr">
        <is>
          <t>RAMP_501_1500</t>
        </is>
      </c>
      <c r="U730" s="4" t="inlineStr">
        <is>
          <t>CREATED</t>
        </is>
      </c>
      <c r="V730" s="4" t="inlineStr">
        <is>
          <t>idem-20260902-ios-0729</t>
        </is>
      </c>
    </row>
    <row r="731" ht="30" customHeight="1">
      <c r="A731" s="4" t="n">
        <v>730</v>
      </c>
      <c r="B731" s="4" t="inlineStr">
        <is>
          <t>MTR-IOS-0730</t>
        </is>
      </c>
      <c r="C731" s="4" t="inlineStr">
        <is>
          <t>Personal</t>
        </is>
      </c>
      <c r="D731" s="4" t="inlineStr">
        <is>
          <t>Personal</t>
        </is>
      </c>
      <c r="E731" s="4" t="inlineStr">
        <is>
          <t>Lifestyle</t>
        </is>
      </c>
      <c r="F731" s="4" t="inlineStr">
        <is>
          <t>Shopping</t>
        </is>
      </c>
      <c r="G731" s="4" t="inlineStr">
        <is>
          <t>Expense</t>
        </is>
      </c>
      <c r="H731" s="12" t="n">
        <v>46259</v>
      </c>
      <c r="I731" s="13" t="n">
        <v>0.3186805555555556</v>
      </c>
      <c r="J731" s="14" t="n">
        <v>46259.31868055555</v>
      </c>
      <c r="K731" s="15" t="n">
        <v>17362.93</v>
      </c>
      <c r="L731" s="4" t="inlineStr">
        <is>
          <t>INR</t>
        </is>
      </c>
      <c r="M731" s="15" t="n">
        <v>-17362.93</v>
      </c>
      <c r="N731" s="4" t="inlineStr">
        <is>
          <t>IOS Owner</t>
        </is>
      </c>
      <c r="O731" s="4" t="n"/>
      <c r="P731" s="4" t="n"/>
      <c r="Q731" s="4" t="inlineStr">
        <is>
          <t>MAESTRO-IOS-PERSONAL-LIFESTYLE-0730 | Shopping | 17362.93</t>
        </is>
      </c>
      <c r="R731" s="4" t="inlineStr">
        <is>
          <t>iPhone</t>
        </is>
      </c>
      <c r="S731" s="4" t="inlineStr">
        <is>
          <t>B15</t>
        </is>
      </c>
      <c r="T731" s="4" t="inlineStr">
        <is>
          <t>RAMP_501_1500</t>
        </is>
      </c>
      <c r="U731" s="4" t="inlineStr">
        <is>
          <t>CREATED</t>
        </is>
      </c>
      <c r="V731" s="4" t="inlineStr">
        <is>
          <t>idem-20260902-ios-0730</t>
        </is>
      </c>
    </row>
    <row r="732" ht="30" customHeight="1">
      <c r="A732" s="4" t="n">
        <v>731</v>
      </c>
      <c r="B732" s="4" t="inlineStr">
        <is>
          <t>MTR-IOS-0731</t>
        </is>
      </c>
      <c r="C732" s="4" t="inlineStr">
        <is>
          <t>Group</t>
        </is>
      </c>
      <c r="D732" s="4" t="inlineStr">
        <is>
          <t>Shared Experience</t>
        </is>
      </c>
      <c r="E732" s="4" t="inlineStr">
        <is>
          <t>Wedding</t>
        </is>
      </c>
      <c r="F732" s="4" t="inlineStr">
        <is>
          <t>Gifts</t>
        </is>
      </c>
      <c r="G732" s="4" t="inlineStr">
        <is>
          <t>Expense</t>
        </is>
      </c>
      <c r="H732" s="12" t="n">
        <v>46199</v>
      </c>
      <c r="I732" s="13" t="n">
        <v>0.7744560185185185</v>
      </c>
      <c r="J732" s="14" t="n">
        <v>46199.77445601852</v>
      </c>
      <c r="K732" s="15" t="n">
        <v>21170.4</v>
      </c>
      <c r="L732" s="4" t="inlineStr">
        <is>
          <t>INR</t>
        </is>
      </c>
      <c r="M732" s="15" t="n">
        <v>-21170.4</v>
      </c>
      <c r="N732" s="4" t="inlineStr">
        <is>
          <t>IOS Owner</t>
        </is>
      </c>
      <c r="O732" s="4" t="n">
        <v>3</v>
      </c>
      <c r="P732" s="4" t="inlineStr">
        <is>
          <t>SHARES</t>
        </is>
      </c>
      <c r="Q732" s="4" t="inlineStr">
        <is>
          <t>MAESTRO-IOS-GROUP-WEDDING-0731 | Gifts | 21170.40</t>
        </is>
      </c>
      <c r="R732" s="4" t="inlineStr">
        <is>
          <t>iPhone</t>
        </is>
      </c>
      <c r="S732" s="4" t="inlineStr">
        <is>
          <t>B15</t>
        </is>
      </c>
      <c r="T732" s="4" t="inlineStr">
        <is>
          <t>RAMP_501_1500</t>
        </is>
      </c>
      <c r="U732" s="4" t="inlineStr">
        <is>
          <t>CREATED</t>
        </is>
      </c>
      <c r="V732" s="4" t="inlineStr">
        <is>
          <t>idem-20260902-ios-0731</t>
        </is>
      </c>
    </row>
    <row r="733" ht="30" customHeight="1">
      <c r="A733" s="4" t="n">
        <v>732</v>
      </c>
      <c r="B733" s="4" t="inlineStr">
        <is>
          <t>MTR-IOS-0732</t>
        </is>
      </c>
      <c r="C733" s="4" t="inlineStr">
        <is>
          <t>Business</t>
        </is>
      </c>
      <c r="D733" s="4" t="inlineStr">
        <is>
          <t>Business</t>
        </is>
      </c>
      <c r="E733" s="4" t="inlineStr">
        <is>
          <t>Business Runway</t>
        </is>
      </c>
      <c r="F733" s="4" t="inlineStr">
        <is>
          <t>Investment</t>
        </is>
      </c>
      <c r="G733" s="4" t="inlineStr">
        <is>
          <t>Income</t>
        </is>
      </c>
      <c r="H733" s="12" t="n">
        <v>45979</v>
      </c>
      <c r="I733" s="13" t="n">
        <v>0.1715277777777778</v>
      </c>
      <c r="J733" s="14" t="n">
        <v>45979.17152777778</v>
      </c>
      <c r="K733" s="15" t="n">
        <v>97906.28999999999</v>
      </c>
      <c r="L733" s="4" t="inlineStr">
        <is>
          <t>INR</t>
        </is>
      </c>
      <c r="M733" s="15" t="n">
        <v>97906.28999999999</v>
      </c>
      <c r="N733" s="4" t="inlineStr">
        <is>
          <t>IOS Owner</t>
        </is>
      </c>
      <c r="O733" s="4" t="n"/>
      <c r="P733" s="4" t="n"/>
      <c r="Q733" s="4" t="inlineStr">
        <is>
          <t>MAESTRO-IOS-BUSINESS-BUSINESS_RUNWAY-0732 | Investment | 97906.29</t>
        </is>
      </c>
      <c r="R733" s="4" t="inlineStr">
        <is>
          <t>iPhone</t>
        </is>
      </c>
      <c r="S733" s="4" t="inlineStr">
        <is>
          <t>B15</t>
        </is>
      </c>
      <c r="T733" s="4" t="inlineStr">
        <is>
          <t>RAMP_501_1500</t>
        </is>
      </c>
      <c r="U733" s="4" t="inlineStr">
        <is>
          <t>CREATED</t>
        </is>
      </c>
      <c r="V733" s="4" t="inlineStr">
        <is>
          <t>idem-20260902-ios-0732</t>
        </is>
      </c>
    </row>
    <row r="734" ht="30" customHeight="1">
      <c r="A734" s="4" t="n">
        <v>733</v>
      </c>
      <c r="B734" s="4" t="inlineStr">
        <is>
          <t>MTR-IOS-0733</t>
        </is>
      </c>
      <c r="C734" s="4" t="inlineStr">
        <is>
          <t>Personal</t>
        </is>
      </c>
      <c r="D734" s="4" t="inlineStr">
        <is>
          <t>Personal</t>
        </is>
      </c>
      <c r="E734" s="4" t="inlineStr">
        <is>
          <t>Lifestyle</t>
        </is>
      </c>
      <c r="F734" s="4" t="inlineStr">
        <is>
          <t>Entertainment</t>
        </is>
      </c>
      <c r="G734" s="4" t="inlineStr">
        <is>
          <t>Expense</t>
        </is>
      </c>
      <c r="H734" s="12" t="n">
        <v>46108</v>
      </c>
      <c r="I734" s="13" t="n">
        <v>0.6071643518518518</v>
      </c>
      <c r="J734" s="14" t="n">
        <v>46108.60716435185</v>
      </c>
      <c r="K734" s="15" t="n">
        <v>15358.89</v>
      </c>
      <c r="L734" s="4" t="inlineStr">
        <is>
          <t>INR</t>
        </is>
      </c>
      <c r="M734" s="15" t="n">
        <v>-15358.89</v>
      </c>
      <c r="N734" s="4" t="inlineStr">
        <is>
          <t>IOS Owner</t>
        </is>
      </c>
      <c r="O734" s="4" t="n"/>
      <c r="P734" s="4" t="n"/>
      <c r="Q734" s="4" t="inlineStr">
        <is>
          <t>MAESTRO-IOS-PERSONAL-LIFESTYLE-0733 | Entertainment | 15358.89</t>
        </is>
      </c>
      <c r="R734" s="4" t="inlineStr">
        <is>
          <t>iPhone</t>
        </is>
      </c>
      <c r="S734" s="4" t="inlineStr">
        <is>
          <t>B15</t>
        </is>
      </c>
      <c r="T734" s="4" t="inlineStr">
        <is>
          <t>RAMP_501_1500</t>
        </is>
      </c>
      <c r="U734" s="4" t="inlineStr">
        <is>
          <t>CREATED</t>
        </is>
      </c>
      <c r="V734" s="4" t="inlineStr">
        <is>
          <t>idem-20260902-ios-0733</t>
        </is>
      </c>
    </row>
    <row r="735" ht="30" customHeight="1">
      <c r="A735" s="4" t="n">
        <v>734</v>
      </c>
      <c r="B735" s="4" t="inlineStr">
        <is>
          <t>MTR-IOS-0734</t>
        </is>
      </c>
      <c r="C735" s="4" t="inlineStr">
        <is>
          <t>Group</t>
        </is>
      </c>
      <c r="D735" s="4" t="inlineStr">
        <is>
          <t>Shared Experience</t>
        </is>
      </c>
      <c r="E735" s="4" t="inlineStr">
        <is>
          <t>Wedding</t>
        </is>
      </c>
      <c r="F735" s="4" t="inlineStr">
        <is>
          <t>Photography</t>
        </is>
      </c>
      <c r="G735" s="4" t="inlineStr">
        <is>
          <t>Expense</t>
        </is>
      </c>
      <c r="H735" s="12" t="n">
        <v>46189</v>
      </c>
      <c r="I735" s="13" t="n">
        <v>0.6902199074074075</v>
      </c>
      <c r="J735" s="14" t="n">
        <v>46189.69021990741</v>
      </c>
      <c r="K735" s="15" t="n">
        <v>1628.58</v>
      </c>
      <c r="L735" s="4" t="inlineStr">
        <is>
          <t>INR</t>
        </is>
      </c>
      <c r="M735" s="15" t="n">
        <v>-1628.58</v>
      </c>
      <c r="N735" s="4" t="inlineStr">
        <is>
          <t>IOS Aarav</t>
        </is>
      </c>
      <c r="O735" s="4" t="n">
        <v>3</v>
      </c>
      <c r="P735" s="4" t="inlineStr">
        <is>
          <t>EQUAL</t>
        </is>
      </c>
      <c r="Q735" s="4" t="inlineStr">
        <is>
          <t>MAESTRO-IOS-GROUP-WEDDING-0734 | Photography | 1628.58</t>
        </is>
      </c>
      <c r="R735" s="4" t="inlineStr">
        <is>
          <t>iPhone</t>
        </is>
      </c>
      <c r="S735" s="4" t="inlineStr">
        <is>
          <t>B15</t>
        </is>
      </c>
      <c r="T735" s="4" t="inlineStr">
        <is>
          <t>RAMP_501_1500</t>
        </is>
      </c>
      <c r="U735" s="4" t="inlineStr">
        <is>
          <t>CREATED</t>
        </is>
      </c>
      <c r="V735" s="4" t="inlineStr">
        <is>
          <t>idem-20260902-ios-0734</t>
        </is>
      </c>
    </row>
    <row r="736" ht="30" customHeight="1">
      <c r="A736" s="4" t="n">
        <v>735</v>
      </c>
      <c r="B736" s="4" t="inlineStr">
        <is>
          <t>MTR-IOS-0735</t>
        </is>
      </c>
      <c r="C736" s="4" t="inlineStr">
        <is>
          <t>Business</t>
        </is>
      </c>
      <c r="D736" s="4" t="inlineStr">
        <is>
          <t>Business</t>
        </is>
      </c>
      <c r="E736" s="4" t="inlineStr">
        <is>
          <t>Business Operations</t>
        </is>
      </c>
      <c r="F736" s="4" t="inlineStr">
        <is>
          <t>Software</t>
        </is>
      </c>
      <c r="G736" s="4" t="inlineStr">
        <is>
          <t>Expense</t>
        </is>
      </c>
      <c r="H736" s="12" t="n">
        <v>46003</v>
      </c>
      <c r="I736" s="13" t="n">
        <v>0.1246643518518518</v>
      </c>
      <c r="J736" s="14" t="n">
        <v>46003.12466435185</v>
      </c>
      <c r="K736" s="15" t="n">
        <v>136529.31</v>
      </c>
      <c r="L736" s="4" t="inlineStr">
        <is>
          <t>INR</t>
        </is>
      </c>
      <c r="M736" s="15" t="n">
        <v>-136529.31</v>
      </c>
      <c r="N736" s="4" t="inlineStr">
        <is>
          <t>IOS Owner</t>
        </is>
      </c>
      <c r="O736" s="4" t="n"/>
      <c r="P736" s="4" t="n"/>
      <c r="Q736" s="4" t="inlineStr">
        <is>
          <t>MAESTRO-IOS-BUSINESS-BUSINESS_OPERATIONS-0735 | Software | 136529.31</t>
        </is>
      </c>
      <c r="R736" s="4" t="inlineStr">
        <is>
          <t>iPhone</t>
        </is>
      </c>
      <c r="S736" s="4" t="inlineStr">
        <is>
          <t>B15</t>
        </is>
      </c>
      <c r="T736" s="4" t="inlineStr">
        <is>
          <t>RAMP_501_1500</t>
        </is>
      </c>
      <c r="U736" s="4" t="inlineStr">
        <is>
          <t>CREATED</t>
        </is>
      </c>
      <c r="V736" s="4" t="inlineStr">
        <is>
          <t>idem-20260902-ios-0735</t>
        </is>
      </c>
    </row>
    <row r="737" ht="30" customHeight="1">
      <c r="A737" s="4" t="n">
        <v>736</v>
      </c>
      <c r="B737" s="4" t="inlineStr">
        <is>
          <t>MTR-IOS-0736</t>
        </is>
      </c>
      <c r="C737" s="4" t="inlineStr">
        <is>
          <t>Personal</t>
        </is>
      </c>
      <c r="D737" s="4" t="inlineStr">
        <is>
          <t>Personal</t>
        </is>
      </c>
      <c r="E737" s="4" t="inlineStr">
        <is>
          <t>Lifestyle</t>
        </is>
      </c>
      <c r="F737" s="4" t="inlineStr">
        <is>
          <t>Travel</t>
        </is>
      </c>
      <c r="G737" s="4" t="inlineStr">
        <is>
          <t>Expense</t>
        </is>
      </c>
      <c r="H737" s="12" t="n">
        <v>46172</v>
      </c>
      <c r="I737" s="13" t="n">
        <v>0.4716666666666667</v>
      </c>
      <c r="J737" s="14" t="n">
        <v>46172.47166666666</v>
      </c>
      <c r="K737" s="15" t="n">
        <v>535.5700000000001</v>
      </c>
      <c r="L737" s="4" t="inlineStr">
        <is>
          <t>INR</t>
        </is>
      </c>
      <c r="M737" s="15" t="n">
        <v>-535.5700000000001</v>
      </c>
      <c r="N737" s="4" t="inlineStr">
        <is>
          <t>IOS Owner</t>
        </is>
      </c>
      <c r="O737" s="4" t="n"/>
      <c r="P737" s="4" t="n"/>
      <c r="Q737" s="4" t="inlineStr">
        <is>
          <t>MAESTRO-IOS-PERSONAL-LIFESTYLE-0736 | Travel | 535.57</t>
        </is>
      </c>
      <c r="R737" s="4" t="inlineStr">
        <is>
          <t>iPhone</t>
        </is>
      </c>
      <c r="S737" s="4" t="inlineStr">
        <is>
          <t>B15</t>
        </is>
      </c>
      <c r="T737" s="4" t="inlineStr">
        <is>
          <t>RAMP_501_1500</t>
        </is>
      </c>
      <c r="U737" s="4" t="inlineStr">
        <is>
          <t>CREATED</t>
        </is>
      </c>
      <c r="V737" s="4" t="inlineStr">
        <is>
          <t>idem-20260902-ios-0736</t>
        </is>
      </c>
    </row>
    <row r="738" ht="30" customHeight="1">
      <c r="A738" s="4" t="n">
        <v>737</v>
      </c>
      <c r="B738" s="4" t="inlineStr">
        <is>
          <t>MTR-IOS-0737</t>
        </is>
      </c>
      <c r="C738" s="4" t="inlineStr">
        <is>
          <t>Group</t>
        </is>
      </c>
      <c r="D738" s="4" t="inlineStr">
        <is>
          <t>Shared Experience</t>
        </is>
      </c>
      <c r="E738" s="4" t="inlineStr">
        <is>
          <t>Wedding</t>
        </is>
      </c>
      <c r="F738" s="4" t="inlineStr">
        <is>
          <t>Other</t>
        </is>
      </c>
      <c r="G738" s="4" t="inlineStr">
        <is>
          <t>Expense</t>
        </is>
      </c>
      <c r="H738" s="12" t="n">
        <v>45918</v>
      </c>
      <c r="I738" s="13" t="n">
        <v>0.9950347222222222</v>
      </c>
      <c r="J738" s="14" t="n">
        <v>45918.99503472223</v>
      </c>
      <c r="K738" s="15" t="n">
        <v>24412.88</v>
      </c>
      <c r="L738" s="4" t="inlineStr">
        <is>
          <t>INR</t>
        </is>
      </c>
      <c r="M738" s="15" t="n">
        <v>-24412.88</v>
      </c>
      <c r="N738" s="4" t="inlineStr">
        <is>
          <t>IOS Meera</t>
        </is>
      </c>
      <c r="O738" s="4" t="n">
        <v>3</v>
      </c>
      <c r="P738" s="4" t="inlineStr">
        <is>
          <t>PERCENTAGE</t>
        </is>
      </c>
      <c r="Q738" s="4" t="inlineStr">
        <is>
          <t>MAESTRO-IOS-GROUP-WEDDING-0737 | Other | 24412.88</t>
        </is>
      </c>
      <c r="R738" s="4" t="inlineStr">
        <is>
          <t>iPhone</t>
        </is>
      </c>
      <c r="S738" s="4" t="inlineStr">
        <is>
          <t>B15</t>
        </is>
      </c>
      <c r="T738" s="4" t="inlineStr">
        <is>
          <t>RAMP_501_1500</t>
        </is>
      </c>
      <c r="U738" s="4" t="inlineStr">
        <is>
          <t>CREATED</t>
        </is>
      </c>
      <c r="V738" s="4" t="inlineStr">
        <is>
          <t>idem-20260902-ios-0737</t>
        </is>
      </c>
    </row>
    <row r="739" ht="30" customHeight="1">
      <c r="A739" s="4" t="n">
        <v>738</v>
      </c>
      <c r="B739" s="4" t="inlineStr">
        <is>
          <t>MTR-IOS-0738</t>
        </is>
      </c>
      <c r="C739" s="4" t="inlineStr">
        <is>
          <t>Business</t>
        </is>
      </c>
      <c r="D739" s="4" t="inlineStr">
        <is>
          <t>Business</t>
        </is>
      </c>
      <c r="E739" s="4" t="inlineStr">
        <is>
          <t>Business Operations</t>
        </is>
      </c>
      <c r="F739" s="4" t="inlineStr">
        <is>
          <t>Rent</t>
        </is>
      </c>
      <c r="G739" s="4" t="inlineStr">
        <is>
          <t>Expense</t>
        </is>
      </c>
      <c r="H739" s="12" t="n">
        <v>46007</v>
      </c>
      <c r="I739" s="13" t="n">
        <v>0.8223726851851851</v>
      </c>
      <c r="J739" s="14" t="n">
        <v>46007.82237268519</v>
      </c>
      <c r="K739" s="15" t="n">
        <v>160362.52</v>
      </c>
      <c r="L739" s="4" t="inlineStr">
        <is>
          <t>INR</t>
        </is>
      </c>
      <c r="M739" s="15" t="n">
        <v>-160362.52</v>
      </c>
      <c r="N739" s="4" t="inlineStr">
        <is>
          <t>IOS Owner</t>
        </is>
      </c>
      <c r="O739" s="4" t="n"/>
      <c r="P739" s="4" t="n"/>
      <c r="Q739" s="4" t="inlineStr">
        <is>
          <t>MAESTRO-IOS-BUSINESS-BUSINESS_OPERATIONS-0738 | Rent | 160362.52</t>
        </is>
      </c>
      <c r="R739" s="4" t="inlineStr">
        <is>
          <t>iPhone</t>
        </is>
      </c>
      <c r="S739" s="4" t="inlineStr">
        <is>
          <t>B15</t>
        </is>
      </c>
      <c r="T739" s="4" t="inlineStr">
        <is>
          <t>RAMP_501_1500</t>
        </is>
      </c>
      <c r="U739" s="4" t="inlineStr">
        <is>
          <t>CREATED</t>
        </is>
      </c>
      <c r="V739" s="4" t="inlineStr">
        <is>
          <t>idem-20260902-ios-0738</t>
        </is>
      </c>
    </row>
    <row r="740" ht="30" customHeight="1">
      <c r="A740" s="4" t="n">
        <v>739</v>
      </c>
      <c r="B740" s="4" t="inlineStr">
        <is>
          <t>MTR-IOS-0739</t>
        </is>
      </c>
      <c r="C740" s="4" t="inlineStr">
        <is>
          <t>Personal</t>
        </is>
      </c>
      <c r="D740" s="4" t="inlineStr">
        <is>
          <t>Personal</t>
        </is>
      </c>
      <c r="E740" s="4" t="inlineStr">
        <is>
          <t>Lifestyle</t>
        </is>
      </c>
      <c r="F740" s="4" t="inlineStr">
        <is>
          <t>Fitness</t>
        </is>
      </c>
      <c r="G740" s="4" t="inlineStr">
        <is>
          <t>Expense</t>
        </is>
      </c>
      <c r="H740" s="12" t="n">
        <v>46250</v>
      </c>
      <c r="I740" s="13" t="n">
        <v>0.7099537037037037</v>
      </c>
      <c r="J740" s="14" t="n">
        <v>46250.70995370371</v>
      </c>
      <c r="K740" s="15" t="n">
        <v>2004.96</v>
      </c>
      <c r="L740" s="4" t="inlineStr">
        <is>
          <t>INR</t>
        </is>
      </c>
      <c r="M740" s="15" t="n">
        <v>-2004.96</v>
      </c>
      <c r="N740" s="4" t="inlineStr">
        <is>
          <t>IOS Owner</t>
        </is>
      </c>
      <c r="O740" s="4" t="n"/>
      <c r="P740" s="4" t="n"/>
      <c r="Q740" s="4" t="inlineStr">
        <is>
          <t>MAESTRO-IOS-PERSONAL-LIFESTYLE-0739 | Fitness | 2004.96</t>
        </is>
      </c>
      <c r="R740" s="4" t="inlineStr">
        <is>
          <t>iPhone</t>
        </is>
      </c>
      <c r="S740" s="4" t="inlineStr">
        <is>
          <t>B15</t>
        </is>
      </c>
      <c r="T740" s="4" t="inlineStr">
        <is>
          <t>RAMP_501_1500</t>
        </is>
      </c>
      <c r="U740" s="4" t="inlineStr">
        <is>
          <t>CREATED</t>
        </is>
      </c>
      <c r="V740" s="4" t="inlineStr">
        <is>
          <t>idem-20260902-ios-0739</t>
        </is>
      </c>
    </row>
    <row r="741" ht="30" customHeight="1">
      <c r="A741" s="4" t="n">
        <v>740</v>
      </c>
      <c r="B741" s="4" t="inlineStr">
        <is>
          <t>MTR-IOS-0740</t>
        </is>
      </c>
      <c r="C741" s="4" t="inlineStr">
        <is>
          <t>Group</t>
        </is>
      </c>
      <c r="D741" s="4" t="inlineStr">
        <is>
          <t>Shared Experience</t>
        </is>
      </c>
      <c r="E741" s="4" t="inlineStr">
        <is>
          <t>Office Outing</t>
        </is>
      </c>
      <c r="F741" s="4" t="inlineStr">
        <is>
          <t>Food</t>
        </is>
      </c>
      <c r="G741" s="4" t="inlineStr">
        <is>
          <t>Expense</t>
        </is>
      </c>
      <c r="H741" s="12" t="n">
        <v>46167</v>
      </c>
      <c r="I741" s="13" t="n">
        <v>0.6396412037037037</v>
      </c>
      <c r="J741" s="14" t="n">
        <v>46167.63964120371</v>
      </c>
      <c r="K741" s="15" t="n">
        <v>99.98999999999999</v>
      </c>
      <c r="L741" s="4" t="inlineStr">
        <is>
          <t>INR</t>
        </is>
      </c>
      <c r="M741" s="15" t="n">
        <v>-99.98999999999999</v>
      </c>
      <c r="N741" s="4" t="inlineStr">
        <is>
          <t>IOS Owner</t>
        </is>
      </c>
      <c r="O741" s="4" t="n">
        <v>3</v>
      </c>
      <c r="P741" s="4" t="inlineStr">
        <is>
          <t>EXACT</t>
        </is>
      </c>
      <c r="Q741" s="4" t="inlineStr">
        <is>
          <t>MAESTRO-IOS-GROUP-OFFICE_OUTING-0740 | Food | 99.99</t>
        </is>
      </c>
      <c r="R741" s="4" t="inlineStr">
        <is>
          <t>iPhone</t>
        </is>
      </c>
      <c r="S741" s="4" t="inlineStr">
        <is>
          <t>B15</t>
        </is>
      </c>
      <c r="T741" s="4" t="inlineStr">
        <is>
          <t>RAMP_501_1500</t>
        </is>
      </c>
      <c r="U741" s="4" t="inlineStr">
        <is>
          <t>CREATED</t>
        </is>
      </c>
      <c r="V741" s="4" t="inlineStr">
        <is>
          <t>idem-20260902-ios-0740</t>
        </is>
      </c>
    </row>
    <row r="742" ht="30" customHeight="1">
      <c r="A742" s="4" t="n">
        <v>741</v>
      </c>
      <c r="B742" s="4" t="inlineStr">
        <is>
          <t>MTR-IOS-0741</t>
        </is>
      </c>
      <c r="C742" s="4" t="inlineStr">
        <is>
          <t>Business</t>
        </is>
      </c>
      <c r="D742" s="4" t="inlineStr">
        <is>
          <t>Business</t>
        </is>
      </c>
      <c r="E742" s="4" t="inlineStr">
        <is>
          <t>Business Operations</t>
        </is>
      </c>
      <c r="F742" s="4" t="inlineStr">
        <is>
          <t>Marketing</t>
        </is>
      </c>
      <c r="G742" s="4" t="inlineStr">
        <is>
          <t>Expense</t>
        </is>
      </c>
      <c r="H742" s="12" t="n">
        <v>46195</v>
      </c>
      <c r="I742" s="13" t="n">
        <v>0.02785879629629629</v>
      </c>
      <c r="J742" s="14" t="n">
        <v>46195.0278587963</v>
      </c>
      <c r="K742" s="15" t="n">
        <v>135306.51</v>
      </c>
      <c r="L742" s="4" t="inlineStr">
        <is>
          <t>INR</t>
        </is>
      </c>
      <c r="M742" s="15" t="n">
        <v>-135306.51</v>
      </c>
      <c r="N742" s="4" t="inlineStr">
        <is>
          <t>IOS Owner</t>
        </is>
      </c>
      <c r="O742" s="4" t="n"/>
      <c r="P742" s="4" t="n"/>
      <c r="Q742" s="4" t="inlineStr">
        <is>
          <t>MAESTRO-IOS-BUSINESS-BUSINESS_OPERATIONS-0741 | Marketing | 135306.51</t>
        </is>
      </c>
      <c r="R742" s="4" t="inlineStr">
        <is>
          <t>iPhone</t>
        </is>
      </c>
      <c r="S742" s="4" t="inlineStr">
        <is>
          <t>B15</t>
        </is>
      </c>
      <c r="T742" s="4" t="inlineStr">
        <is>
          <t>RAMP_501_1500</t>
        </is>
      </c>
      <c r="U742" s="4" t="inlineStr">
        <is>
          <t>CREATED</t>
        </is>
      </c>
      <c r="V742" s="4" t="inlineStr">
        <is>
          <t>idem-20260902-ios-0741</t>
        </is>
      </c>
    </row>
    <row r="743" ht="30" customHeight="1">
      <c r="A743" s="4" t="n">
        <v>742</v>
      </c>
      <c r="B743" s="4" t="inlineStr">
        <is>
          <t>MTR-IOS-0742</t>
        </is>
      </c>
      <c r="C743" s="4" t="inlineStr">
        <is>
          <t>Personal</t>
        </is>
      </c>
      <c r="D743" s="4" t="inlineStr">
        <is>
          <t>Personal</t>
        </is>
      </c>
      <c r="E743" s="4" t="inlineStr">
        <is>
          <t>Lifestyle</t>
        </is>
      </c>
      <c r="F743" s="4" t="inlineStr">
        <is>
          <t>Hobbies</t>
        </is>
      </c>
      <c r="G743" s="4" t="inlineStr">
        <is>
          <t>Expense</t>
        </is>
      </c>
      <c r="H743" s="12" t="n">
        <v>46240</v>
      </c>
      <c r="I743" s="13" t="n">
        <v>0.1053240740740741</v>
      </c>
      <c r="J743" s="14" t="n">
        <v>46240.10532407407</v>
      </c>
      <c r="K743" s="15" t="n">
        <v>17468.71</v>
      </c>
      <c r="L743" s="4" t="inlineStr">
        <is>
          <t>INR</t>
        </is>
      </c>
      <c r="M743" s="15" t="n">
        <v>-17468.71</v>
      </c>
      <c r="N743" s="4" t="inlineStr">
        <is>
          <t>IOS Owner</t>
        </is>
      </c>
      <c r="O743" s="4" t="n"/>
      <c r="P743" s="4" t="n"/>
      <c r="Q743" s="4" t="inlineStr">
        <is>
          <t>MAESTRO-IOS-PERSONAL-LIFESTYLE-0742 | Hobbies | 17468.71</t>
        </is>
      </c>
      <c r="R743" s="4" t="inlineStr">
        <is>
          <t>iPhone</t>
        </is>
      </c>
      <c r="S743" s="4" t="inlineStr">
        <is>
          <t>B15</t>
        </is>
      </c>
      <c r="T743" s="4" t="inlineStr">
        <is>
          <t>RAMP_501_1500</t>
        </is>
      </c>
      <c r="U743" s="4" t="inlineStr">
        <is>
          <t>CREATED</t>
        </is>
      </c>
      <c r="V743" s="4" t="inlineStr">
        <is>
          <t>idem-20260902-ios-0742</t>
        </is>
      </c>
    </row>
    <row r="744" ht="30" customHeight="1">
      <c r="A744" s="4" t="n">
        <v>743</v>
      </c>
      <c r="B744" s="4" t="inlineStr">
        <is>
          <t>MTR-IOS-0743</t>
        </is>
      </c>
      <c r="C744" s="4" t="inlineStr">
        <is>
          <t>Group</t>
        </is>
      </c>
      <c r="D744" s="4" t="inlineStr">
        <is>
          <t>Shared Experience</t>
        </is>
      </c>
      <c r="E744" s="4" t="inlineStr">
        <is>
          <t>Office Outing</t>
        </is>
      </c>
      <c r="F744" s="4" t="inlineStr">
        <is>
          <t>Travel</t>
        </is>
      </c>
      <c r="G744" s="4" t="inlineStr">
        <is>
          <t>Expense</t>
        </is>
      </c>
      <c r="H744" s="12" t="n">
        <v>45964</v>
      </c>
      <c r="I744" s="13" t="n">
        <v>0.06895833333333333</v>
      </c>
      <c r="J744" s="14" t="n">
        <v>45964.06895833334</v>
      </c>
      <c r="K744" s="15" t="n">
        <v>2545.06</v>
      </c>
      <c r="L744" s="4" t="inlineStr">
        <is>
          <t>INR</t>
        </is>
      </c>
      <c r="M744" s="15" t="n">
        <v>-2545.06</v>
      </c>
      <c r="N744" s="4" t="inlineStr">
        <is>
          <t>IOS Aarav</t>
        </is>
      </c>
      <c r="O744" s="4" t="n">
        <v>3</v>
      </c>
      <c r="P744" s="4" t="inlineStr">
        <is>
          <t>SHARES</t>
        </is>
      </c>
      <c r="Q744" s="4" t="inlineStr">
        <is>
          <t>MAESTRO-IOS-GROUP-OFFICE_OUTING-0743 | Travel | 2545.06</t>
        </is>
      </c>
      <c r="R744" s="4" t="inlineStr">
        <is>
          <t>iPhone</t>
        </is>
      </c>
      <c r="S744" s="4" t="inlineStr">
        <is>
          <t>B15</t>
        </is>
      </c>
      <c r="T744" s="4" t="inlineStr">
        <is>
          <t>RAMP_501_1500</t>
        </is>
      </c>
      <c r="U744" s="4" t="inlineStr">
        <is>
          <t>CREATED</t>
        </is>
      </c>
      <c r="V744" s="4" t="inlineStr">
        <is>
          <t>idem-20260902-ios-0743</t>
        </is>
      </c>
    </row>
    <row r="745" ht="30" customHeight="1">
      <c r="A745" s="4" t="n">
        <v>744</v>
      </c>
      <c r="B745" s="4" t="inlineStr">
        <is>
          <t>MTR-IOS-0744</t>
        </is>
      </c>
      <c r="C745" s="4" t="inlineStr">
        <is>
          <t>Business</t>
        </is>
      </c>
      <c r="D745" s="4" t="inlineStr">
        <is>
          <t>Business</t>
        </is>
      </c>
      <c r="E745" s="4" t="inlineStr">
        <is>
          <t>Business Operations</t>
        </is>
      </c>
      <c r="F745" s="4" t="inlineStr">
        <is>
          <t>Legal</t>
        </is>
      </c>
      <c r="G745" s="4" t="inlineStr">
        <is>
          <t>Expense</t>
        </is>
      </c>
      <c r="H745" s="12" t="n">
        <v>45962</v>
      </c>
      <c r="I745" s="13" t="n">
        <v>0.8568402777777778</v>
      </c>
      <c r="J745" s="14" t="n">
        <v>45962.85684027777</v>
      </c>
      <c r="K745" s="15" t="n">
        <v>46733.45</v>
      </c>
      <c r="L745" s="4" t="inlineStr">
        <is>
          <t>INR</t>
        </is>
      </c>
      <c r="M745" s="15" t="n">
        <v>-46733.45</v>
      </c>
      <c r="N745" s="4" t="inlineStr">
        <is>
          <t>IOS Owner</t>
        </is>
      </c>
      <c r="O745" s="4" t="n"/>
      <c r="P745" s="4" t="n"/>
      <c r="Q745" s="4" t="inlineStr">
        <is>
          <t>MAESTRO-IOS-BUSINESS-BUSINESS_OPERATIONS-0744 | Legal | 46733.45</t>
        </is>
      </c>
      <c r="R745" s="4" t="inlineStr">
        <is>
          <t>iPhone</t>
        </is>
      </c>
      <c r="S745" s="4" t="inlineStr">
        <is>
          <t>B15</t>
        </is>
      </c>
      <c r="T745" s="4" t="inlineStr">
        <is>
          <t>RAMP_501_1500</t>
        </is>
      </c>
      <c r="U745" s="4" t="inlineStr">
        <is>
          <t>CREATED</t>
        </is>
      </c>
      <c r="V745" s="4" t="inlineStr">
        <is>
          <t>idem-20260902-ios-0744</t>
        </is>
      </c>
    </row>
    <row r="746" ht="30" customHeight="1">
      <c r="A746" s="4" t="n">
        <v>745</v>
      </c>
      <c r="B746" s="4" t="inlineStr">
        <is>
          <t>MTR-IOS-0745</t>
        </is>
      </c>
      <c r="C746" s="4" t="inlineStr">
        <is>
          <t>Personal</t>
        </is>
      </c>
      <c r="D746" s="4" t="inlineStr">
        <is>
          <t>Personal</t>
        </is>
      </c>
      <c r="E746" s="4" t="inlineStr">
        <is>
          <t>Relationships</t>
        </is>
      </c>
      <c r="F746" s="4" t="inlineStr">
        <is>
          <t>Gifts</t>
        </is>
      </c>
      <c r="G746" s="4" t="inlineStr">
        <is>
          <t>Expense</t>
        </is>
      </c>
      <c r="H746" s="12" t="n">
        <v>45983</v>
      </c>
      <c r="I746" s="13" t="n">
        <v>0.6196180555555556</v>
      </c>
      <c r="J746" s="14" t="n">
        <v>45983.61961805556</v>
      </c>
      <c r="K746" s="15" t="n">
        <v>11141.95</v>
      </c>
      <c r="L746" s="4" t="inlineStr">
        <is>
          <t>INR</t>
        </is>
      </c>
      <c r="M746" s="15" t="n">
        <v>-11141.95</v>
      </c>
      <c r="N746" s="4" t="inlineStr">
        <is>
          <t>IOS Owner</t>
        </is>
      </c>
      <c r="O746" s="4" t="n"/>
      <c r="P746" s="4" t="n"/>
      <c r="Q746" s="4" t="inlineStr">
        <is>
          <t>MAESTRO-IOS-PERSONAL-RELATIONSHIPS-0745 | Gifts | 11141.95</t>
        </is>
      </c>
      <c r="R746" s="4" t="inlineStr">
        <is>
          <t>iPhone</t>
        </is>
      </c>
      <c r="S746" s="4" t="inlineStr">
        <is>
          <t>B15</t>
        </is>
      </c>
      <c r="T746" s="4" t="inlineStr">
        <is>
          <t>RAMP_501_1500</t>
        </is>
      </c>
      <c r="U746" s="4" t="inlineStr">
        <is>
          <t>CREATED</t>
        </is>
      </c>
      <c r="V746" s="4" t="inlineStr">
        <is>
          <t>idem-20260902-ios-0745</t>
        </is>
      </c>
    </row>
    <row r="747" ht="30" customHeight="1">
      <c r="A747" s="4" t="n">
        <v>746</v>
      </c>
      <c r="B747" s="4" t="inlineStr">
        <is>
          <t>MTR-IOS-0746</t>
        </is>
      </c>
      <c r="C747" s="4" t="inlineStr">
        <is>
          <t>Group</t>
        </is>
      </c>
      <c r="D747" s="4" t="inlineStr">
        <is>
          <t>Shared Experience</t>
        </is>
      </c>
      <c r="E747" s="4" t="inlineStr">
        <is>
          <t>Office Outing</t>
        </is>
      </c>
      <c r="F747" s="4" t="inlineStr">
        <is>
          <t>Activities</t>
        </is>
      </c>
      <c r="G747" s="4" t="inlineStr">
        <is>
          <t>Expense</t>
        </is>
      </c>
      <c r="H747" s="12" t="n">
        <v>46125</v>
      </c>
      <c r="I747" s="13" t="n">
        <v>0.9402546296296296</v>
      </c>
      <c r="J747" s="14" t="n">
        <v>46125.94025462963</v>
      </c>
      <c r="K747" s="15" t="n">
        <v>13181.29</v>
      </c>
      <c r="L747" s="4" t="inlineStr">
        <is>
          <t>INR</t>
        </is>
      </c>
      <c r="M747" s="15" t="n">
        <v>-13181.29</v>
      </c>
      <c r="N747" s="4" t="inlineStr">
        <is>
          <t>IOS Meera</t>
        </is>
      </c>
      <c r="O747" s="4" t="n">
        <v>3</v>
      </c>
      <c r="P747" s="4" t="inlineStr">
        <is>
          <t>EQUAL</t>
        </is>
      </c>
      <c r="Q747" s="4" t="inlineStr">
        <is>
          <t>MAESTRO-IOS-GROUP-OFFICE_OUTING-0746 | Activities | 13181.29</t>
        </is>
      </c>
      <c r="R747" s="4" t="inlineStr">
        <is>
          <t>iPhone</t>
        </is>
      </c>
      <c r="S747" s="4" t="inlineStr">
        <is>
          <t>B15</t>
        </is>
      </c>
      <c r="T747" s="4" t="inlineStr">
        <is>
          <t>RAMP_501_1500</t>
        </is>
      </c>
      <c r="U747" s="4" t="inlineStr">
        <is>
          <t>CREATED</t>
        </is>
      </c>
      <c r="V747" s="4" t="inlineStr">
        <is>
          <t>idem-20260902-ios-0746</t>
        </is>
      </c>
    </row>
    <row r="748" ht="30" customHeight="1">
      <c r="A748" s="4" t="n">
        <v>747</v>
      </c>
      <c r="B748" s="4" t="inlineStr">
        <is>
          <t>MTR-IOS-0747</t>
        </is>
      </c>
      <c r="C748" s="4" t="inlineStr">
        <is>
          <t>Business</t>
        </is>
      </c>
      <c r="D748" s="4" t="inlineStr">
        <is>
          <t>Business</t>
        </is>
      </c>
      <c r="E748" s="4" t="inlineStr">
        <is>
          <t>Business Operations</t>
        </is>
      </c>
      <c r="F748" s="4" t="inlineStr">
        <is>
          <t>Accounting</t>
        </is>
      </c>
      <c r="G748" s="4" t="inlineStr">
        <is>
          <t>Expense</t>
        </is>
      </c>
      <c r="H748" s="12" t="n">
        <v>46070</v>
      </c>
      <c r="I748" s="13" t="n">
        <v>0.3371990740740741</v>
      </c>
      <c r="J748" s="14" t="n">
        <v>46070.33719907407</v>
      </c>
      <c r="K748" s="15" t="n">
        <v>36428.09</v>
      </c>
      <c r="L748" s="4" t="inlineStr">
        <is>
          <t>INR</t>
        </is>
      </c>
      <c r="M748" s="15" t="n">
        <v>-36428.09</v>
      </c>
      <c r="N748" s="4" t="inlineStr">
        <is>
          <t>IOS Owner</t>
        </is>
      </c>
      <c r="O748" s="4" t="n"/>
      <c r="P748" s="4" t="n"/>
      <c r="Q748" s="4" t="inlineStr">
        <is>
          <t>MAESTRO-IOS-BUSINESS-BUSINESS_OPERATIONS-0747 | Accounting | 36428.09</t>
        </is>
      </c>
      <c r="R748" s="4" t="inlineStr">
        <is>
          <t>iPhone</t>
        </is>
      </c>
      <c r="S748" s="4" t="inlineStr">
        <is>
          <t>B15</t>
        </is>
      </c>
      <c r="T748" s="4" t="inlineStr">
        <is>
          <t>RAMP_501_1500</t>
        </is>
      </c>
      <c r="U748" s="4" t="inlineStr">
        <is>
          <t>CREATED</t>
        </is>
      </c>
      <c r="V748" s="4" t="inlineStr">
        <is>
          <t>idem-20260902-ios-0747</t>
        </is>
      </c>
    </row>
    <row r="749" ht="30" customHeight="1">
      <c r="A749" s="4" t="n">
        <v>748</v>
      </c>
      <c r="B749" s="4" t="inlineStr">
        <is>
          <t>MTR-IOS-0748</t>
        </is>
      </c>
      <c r="C749" s="4" t="inlineStr">
        <is>
          <t>Personal</t>
        </is>
      </c>
      <c r="D749" s="4" t="inlineStr">
        <is>
          <t>Personal</t>
        </is>
      </c>
      <c r="E749" s="4" t="inlineStr">
        <is>
          <t>Relationships</t>
        </is>
      </c>
      <c r="F749" s="4" t="inlineStr">
        <is>
          <t>Dates</t>
        </is>
      </c>
      <c r="G749" s="4" t="inlineStr">
        <is>
          <t>Expense</t>
        </is>
      </c>
      <c r="H749" s="12" t="n">
        <v>46070</v>
      </c>
      <c r="I749" s="13" t="n">
        <v>0.9955439814814815</v>
      </c>
      <c r="J749" s="14" t="n">
        <v>46070.99554398148</v>
      </c>
      <c r="K749" s="15" t="n">
        <v>12105.01</v>
      </c>
      <c r="L749" s="4" t="inlineStr">
        <is>
          <t>INR</t>
        </is>
      </c>
      <c r="M749" s="15" t="n">
        <v>-12105.01</v>
      </c>
      <c r="N749" s="4" t="inlineStr">
        <is>
          <t>IOS Owner</t>
        </is>
      </c>
      <c r="O749" s="4" t="n"/>
      <c r="P749" s="4" t="n"/>
      <c r="Q749" s="4" t="inlineStr">
        <is>
          <t>MAESTRO-IOS-PERSONAL-RELATIONSHIPS-0748 | Dates | 12105.01</t>
        </is>
      </c>
      <c r="R749" s="4" t="inlineStr">
        <is>
          <t>iPhone</t>
        </is>
      </c>
      <c r="S749" s="4" t="inlineStr">
        <is>
          <t>B15</t>
        </is>
      </c>
      <c r="T749" s="4" t="inlineStr">
        <is>
          <t>RAMP_501_1500</t>
        </is>
      </c>
      <c r="U749" s="4" t="inlineStr">
        <is>
          <t>CREATED</t>
        </is>
      </c>
      <c r="V749" s="4" t="inlineStr">
        <is>
          <t>idem-20260902-ios-0748</t>
        </is>
      </c>
    </row>
    <row r="750" ht="30" customHeight="1">
      <c r="A750" s="4" t="n">
        <v>749</v>
      </c>
      <c r="B750" s="4" t="inlineStr">
        <is>
          <t>MTR-IOS-0749</t>
        </is>
      </c>
      <c r="C750" s="4" t="inlineStr">
        <is>
          <t>Group</t>
        </is>
      </c>
      <c r="D750" s="4" t="inlineStr">
        <is>
          <t>Shared Experience</t>
        </is>
      </c>
      <c r="E750" s="4" t="inlineStr">
        <is>
          <t>Office Outing</t>
        </is>
      </c>
      <c r="F750" s="4" t="inlineStr">
        <is>
          <t>Venue</t>
        </is>
      </c>
      <c r="G750" s="4" t="inlineStr">
        <is>
          <t>Expense</t>
        </is>
      </c>
      <c r="H750" s="12" t="n">
        <v>46033</v>
      </c>
      <c r="I750" s="13" t="n">
        <v>0.1764583333333333</v>
      </c>
      <c r="J750" s="14" t="n">
        <v>46033.17645833334</v>
      </c>
      <c r="K750" s="15" t="n">
        <v>26012.96</v>
      </c>
      <c r="L750" s="4" t="inlineStr">
        <is>
          <t>INR</t>
        </is>
      </c>
      <c r="M750" s="15" t="n">
        <v>-26012.96</v>
      </c>
      <c r="N750" s="4" t="inlineStr">
        <is>
          <t>IOS Owner</t>
        </is>
      </c>
      <c r="O750" s="4" t="n">
        <v>3</v>
      </c>
      <c r="P750" s="4" t="inlineStr">
        <is>
          <t>PERCENTAGE</t>
        </is>
      </c>
      <c r="Q750" s="4" t="inlineStr">
        <is>
          <t>MAESTRO-IOS-GROUP-OFFICE_OUTING-0749 | Venue | 26012.96</t>
        </is>
      </c>
      <c r="R750" s="4" t="inlineStr">
        <is>
          <t>iPhone</t>
        </is>
      </c>
      <c r="S750" s="4" t="inlineStr">
        <is>
          <t>B15</t>
        </is>
      </c>
      <c r="T750" s="4" t="inlineStr">
        <is>
          <t>RAMP_501_1500</t>
        </is>
      </c>
      <c r="U750" s="4" t="inlineStr">
        <is>
          <t>CREATED</t>
        </is>
      </c>
      <c r="V750" s="4" t="inlineStr">
        <is>
          <t>idem-20260902-ios-0749</t>
        </is>
      </c>
    </row>
    <row r="751" ht="30" customHeight="1">
      <c r="A751" s="4" t="n">
        <v>750</v>
      </c>
      <c r="B751" s="4" t="inlineStr">
        <is>
          <t>MTR-IOS-0750</t>
        </is>
      </c>
      <c r="C751" s="4" t="inlineStr">
        <is>
          <t>Business</t>
        </is>
      </c>
      <c r="D751" s="4" t="inlineStr">
        <is>
          <t>Business</t>
        </is>
      </c>
      <c r="E751" s="4" t="inlineStr">
        <is>
          <t>Business Operations</t>
        </is>
      </c>
      <c r="F751" s="4" t="inlineStr">
        <is>
          <t>Equipment</t>
        </is>
      </c>
      <c r="G751" s="4" t="inlineStr">
        <is>
          <t>Expense</t>
        </is>
      </c>
      <c r="H751" s="12" t="n">
        <v>46002</v>
      </c>
      <c r="I751" s="13" t="n">
        <v>0.3065162037037037</v>
      </c>
      <c r="J751" s="14" t="n">
        <v>46002.3065162037</v>
      </c>
      <c r="K751" s="15" t="n">
        <v>130801.18</v>
      </c>
      <c r="L751" s="4" t="inlineStr">
        <is>
          <t>INR</t>
        </is>
      </c>
      <c r="M751" s="15" t="n">
        <v>-130801.18</v>
      </c>
      <c r="N751" s="4" t="inlineStr">
        <is>
          <t>IOS Owner</t>
        </is>
      </c>
      <c r="O751" s="4" t="n"/>
      <c r="P751" s="4" t="n"/>
      <c r="Q751" s="4" t="inlineStr">
        <is>
          <t>MAESTRO-IOS-BUSINESS-BUSINESS_OPERATIONS-0750 | Equipment | 130801.18</t>
        </is>
      </c>
      <c r="R751" s="4" t="inlineStr">
        <is>
          <t>iPhone</t>
        </is>
      </c>
      <c r="S751" s="4" t="inlineStr">
        <is>
          <t>B15</t>
        </is>
      </c>
      <c r="T751" s="4" t="inlineStr">
        <is>
          <t>RAMP_501_1500</t>
        </is>
      </c>
      <c r="U751" s="4" t="inlineStr">
        <is>
          <t>CREATED</t>
        </is>
      </c>
      <c r="V751" s="4" t="inlineStr">
        <is>
          <t>idem-20260902-ios-0750</t>
        </is>
      </c>
    </row>
    <row r="752" ht="30" customHeight="1">
      <c r="A752" s="4" t="n">
        <v>751</v>
      </c>
      <c r="B752" s="4" t="inlineStr">
        <is>
          <t>MTR-IOS-0751</t>
        </is>
      </c>
      <c r="C752" s="4" t="inlineStr">
        <is>
          <t>Personal</t>
        </is>
      </c>
      <c r="D752" s="4" t="inlineStr">
        <is>
          <t>Personal</t>
        </is>
      </c>
      <c r="E752" s="4" t="inlineStr">
        <is>
          <t>Relationships</t>
        </is>
      </c>
      <c r="F752" s="4" t="inlineStr">
        <is>
          <t>Family</t>
        </is>
      </c>
      <c r="G752" s="4" t="inlineStr">
        <is>
          <t>Expense</t>
        </is>
      </c>
      <c r="H752" s="12" t="n">
        <v>46078</v>
      </c>
      <c r="I752" s="13" t="n">
        <v>0.3503587962962963</v>
      </c>
      <c r="J752" s="14" t="n">
        <v>46078.3503587963</v>
      </c>
      <c r="K752" s="15" t="n">
        <v>13321.15</v>
      </c>
      <c r="L752" s="4" t="inlineStr">
        <is>
          <t>INR</t>
        </is>
      </c>
      <c r="M752" s="15" t="n">
        <v>-13321.15</v>
      </c>
      <c r="N752" s="4" t="inlineStr">
        <is>
          <t>IOS Owner</t>
        </is>
      </c>
      <c r="O752" s="4" t="n"/>
      <c r="P752" s="4" t="n"/>
      <c r="Q752" s="4" t="inlineStr">
        <is>
          <t>MAESTRO-IOS-PERSONAL-RELATIONSHIPS-0751 | Family | 13321.15</t>
        </is>
      </c>
      <c r="R752" s="4" t="inlineStr">
        <is>
          <t>iPhone</t>
        </is>
      </c>
      <c r="S752" s="4" t="inlineStr">
        <is>
          <t>B16</t>
        </is>
      </c>
      <c r="T752" s="4" t="inlineStr">
        <is>
          <t>RAMP_501_1500</t>
        </is>
      </c>
      <c r="U752" s="4" t="inlineStr">
        <is>
          <t>CREATED</t>
        </is>
      </c>
      <c r="V752" s="4" t="inlineStr">
        <is>
          <t>idem-20260902-ios-0751</t>
        </is>
      </c>
    </row>
    <row r="753" ht="30" customHeight="1">
      <c r="A753" s="4" t="n">
        <v>752</v>
      </c>
      <c r="B753" s="4" t="inlineStr">
        <is>
          <t>MTR-IOS-0752</t>
        </is>
      </c>
      <c r="C753" s="4" t="inlineStr">
        <is>
          <t>Group</t>
        </is>
      </c>
      <c r="D753" s="4" t="inlineStr">
        <is>
          <t>Shared Experience</t>
        </is>
      </c>
      <c r="E753" s="4" t="inlineStr">
        <is>
          <t>Office Outing</t>
        </is>
      </c>
      <c r="F753" s="4" t="inlineStr">
        <is>
          <t>Other</t>
        </is>
      </c>
      <c r="G753" s="4" t="inlineStr">
        <is>
          <t>Expense</t>
        </is>
      </c>
      <c r="H753" s="12" t="n">
        <v>46026</v>
      </c>
      <c r="I753" s="13" t="n">
        <v>0.3784490740740741</v>
      </c>
      <c r="J753" s="14" t="n">
        <v>46026.37844907407</v>
      </c>
      <c r="K753" s="15" t="n">
        <v>20495.83</v>
      </c>
      <c r="L753" s="4" t="inlineStr">
        <is>
          <t>INR</t>
        </is>
      </c>
      <c r="M753" s="15" t="n">
        <v>-20495.83</v>
      </c>
      <c r="N753" s="4" t="inlineStr">
        <is>
          <t>IOS Aarav</t>
        </is>
      </c>
      <c r="O753" s="4" t="n">
        <v>3</v>
      </c>
      <c r="P753" s="4" t="inlineStr">
        <is>
          <t>EXACT</t>
        </is>
      </c>
      <c r="Q753" s="4" t="inlineStr">
        <is>
          <t>MAESTRO-IOS-GROUP-OFFICE_OUTING-0752 | Other | 20495.83</t>
        </is>
      </c>
      <c r="R753" s="4" t="inlineStr">
        <is>
          <t>iPhone</t>
        </is>
      </c>
      <c r="S753" s="4" t="inlineStr">
        <is>
          <t>B16</t>
        </is>
      </c>
      <c r="T753" s="4" t="inlineStr">
        <is>
          <t>RAMP_501_1500</t>
        </is>
      </c>
      <c r="U753" s="4" t="inlineStr">
        <is>
          <t>CREATED</t>
        </is>
      </c>
      <c r="V753" s="4" t="inlineStr">
        <is>
          <t>idem-20260902-ios-0752</t>
        </is>
      </c>
    </row>
    <row r="754" ht="30" customHeight="1">
      <c r="A754" s="4" t="n">
        <v>753</v>
      </c>
      <c r="B754" s="4" t="inlineStr">
        <is>
          <t>MTR-IOS-0753</t>
        </is>
      </c>
      <c r="C754" s="4" t="inlineStr">
        <is>
          <t>Business</t>
        </is>
      </c>
      <c r="D754" s="4" t="inlineStr">
        <is>
          <t>Business</t>
        </is>
      </c>
      <c r="E754" s="4" t="inlineStr">
        <is>
          <t>Business Operations</t>
        </is>
      </c>
      <c r="F754" s="4" t="inlineStr">
        <is>
          <t>Vendor</t>
        </is>
      </c>
      <c r="G754" s="4" t="inlineStr">
        <is>
          <t>Expense</t>
        </is>
      </c>
      <c r="H754" s="12" t="n">
        <v>46122</v>
      </c>
      <c r="I754" s="13" t="n">
        <v>0.6710532407407407</v>
      </c>
      <c r="J754" s="14" t="n">
        <v>46122.67105324074</v>
      </c>
      <c r="K754" s="15" t="n">
        <v>88653.11</v>
      </c>
      <c r="L754" s="4" t="inlineStr">
        <is>
          <t>INR</t>
        </is>
      </c>
      <c r="M754" s="15" t="n">
        <v>-88653.11</v>
      </c>
      <c r="N754" s="4" t="inlineStr">
        <is>
          <t>IOS Owner</t>
        </is>
      </c>
      <c r="O754" s="4" t="n"/>
      <c r="P754" s="4" t="n"/>
      <c r="Q754" s="4" t="inlineStr">
        <is>
          <t>MAESTRO-IOS-BUSINESS-BUSINESS_OPERATIONS-0753 | Vendor | 88653.11</t>
        </is>
      </c>
      <c r="R754" s="4" t="inlineStr">
        <is>
          <t>iPhone</t>
        </is>
      </c>
      <c r="S754" s="4" t="inlineStr">
        <is>
          <t>B16</t>
        </is>
      </c>
      <c r="T754" s="4" t="inlineStr">
        <is>
          <t>RAMP_501_1500</t>
        </is>
      </c>
      <c r="U754" s="4" t="inlineStr">
        <is>
          <t>CREATED</t>
        </is>
      </c>
      <c r="V754" s="4" t="inlineStr">
        <is>
          <t>idem-20260902-ios-0753</t>
        </is>
      </c>
    </row>
    <row r="755" ht="30" customHeight="1">
      <c r="A755" s="4" t="n">
        <v>754</v>
      </c>
      <c r="B755" s="4" t="inlineStr">
        <is>
          <t>MTR-IOS-0754</t>
        </is>
      </c>
      <c r="C755" s="4" t="inlineStr">
        <is>
          <t>Personal</t>
        </is>
      </c>
      <c r="D755" s="4" t="inlineStr">
        <is>
          <t>Personal</t>
        </is>
      </c>
      <c r="E755" s="4" t="inlineStr">
        <is>
          <t>Relationships</t>
        </is>
      </c>
      <c r="F755" s="4" t="inlineStr">
        <is>
          <t>Friends</t>
        </is>
      </c>
      <c r="G755" s="4" t="inlineStr">
        <is>
          <t>Expense</t>
        </is>
      </c>
      <c r="H755" s="12" t="n">
        <v>45963</v>
      </c>
      <c r="I755" s="13" t="n">
        <v>0.9557638888888889</v>
      </c>
      <c r="J755" s="14" t="n">
        <v>45963.95576388889</v>
      </c>
      <c r="K755" s="15" t="n">
        <v>4424.1</v>
      </c>
      <c r="L755" s="4" t="inlineStr">
        <is>
          <t>INR</t>
        </is>
      </c>
      <c r="M755" s="15" t="n">
        <v>-4424.1</v>
      </c>
      <c r="N755" s="4" t="inlineStr">
        <is>
          <t>IOS Owner</t>
        </is>
      </c>
      <c r="O755" s="4" t="n"/>
      <c r="P755" s="4" t="n"/>
      <c r="Q755" s="4" t="inlineStr">
        <is>
          <t>MAESTRO-IOS-PERSONAL-RELATIONSHIPS-0754 | Friends | 4424.10</t>
        </is>
      </c>
      <c r="R755" s="4" t="inlineStr">
        <is>
          <t>iPhone</t>
        </is>
      </c>
      <c r="S755" s="4" t="inlineStr">
        <is>
          <t>B16</t>
        </is>
      </c>
      <c r="T755" s="4" t="inlineStr">
        <is>
          <t>RAMP_501_1500</t>
        </is>
      </c>
      <c r="U755" s="4" t="inlineStr">
        <is>
          <t>CREATED</t>
        </is>
      </c>
      <c r="V755" s="4" t="inlineStr">
        <is>
          <t>idem-20260902-ios-0754</t>
        </is>
      </c>
    </row>
    <row r="756" ht="30" customHeight="1">
      <c r="A756" s="4" t="n">
        <v>755</v>
      </c>
      <c r="B756" s="4" t="inlineStr">
        <is>
          <t>MTR-IOS-0755</t>
        </is>
      </c>
      <c r="C756" s="4" t="inlineStr">
        <is>
          <t>Group</t>
        </is>
      </c>
      <c r="D756" s="4" t="inlineStr">
        <is>
          <t>Shared Experience</t>
        </is>
      </c>
      <c r="E756" s="4" t="inlineStr">
        <is>
          <t>House Party</t>
        </is>
      </c>
      <c r="F756" s="4" t="inlineStr">
        <is>
          <t>Food</t>
        </is>
      </c>
      <c r="G756" s="4" t="inlineStr">
        <is>
          <t>Expense</t>
        </is>
      </c>
      <c r="H756" s="12" t="n">
        <v>46195</v>
      </c>
      <c r="I756" s="13" t="n">
        <v>0.9070717592592593</v>
      </c>
      <c r="J756" s="14" t="n">
        <v>46195.90707175926</v>
      </c>
      <c r="K756" s="15" t="n">
        <v>7797.1</v>
      </c>
      <c r="L756" s="4" t="inlineStr">
        <is>
          <t>INR</t>
        </is>
      </c>
      <c r="M756" s="15" t="n">
        <v>-7797.1</v>
      </c>
      <c r="N756" s="4" t="inlineStr">
        <is>
          <t>IOS Meera</t>
        </is>
      </c>
      <c r="O756" s="4" t="n">
        <v>3</v>
      </c>
      <c r="P756" s="4" t="inlineStr">
        <is>
          <t>SHARES</t>
        </is>
      </c>
      <c r="Q756" s="4" t="inlineStr">
        <is>
          <t>MAESTRO-IOS-GROUP-HOUSE_PARTY-0755 | Food | 7797.10</t>
        </is>
      </c>
      <c r="R756" s="4" t="inlineStr">
        <is>
          <t>iPhone</t>
        </is>
      </c>
      <c r="S756" s="4" t="inlineStr">
        <is>
          <t>B16</t>
        </is>
      </c>
      <c r="T756" s="4" t="inlineStr">
        <is>
          <t>RAMP_501_1500</t>
        </is>
      </c>
      <c r="U756" s="4" t="inlineStr">
        <is>
          <t>CREATED</t>
        </is>
      </c>
      <c r="V756" s="4" t="inlineStr">
        <is>
          <t>idem-20260902-ios-0755</t>
        </is>
      </c>
    </row>
    <row r="757" ht="30" customHeight="1">
      <c r="A757" s="4" t="n">
        <v>756</v>
      </c>
      <c r="B757" s="4" t="inlineStr">
        <is>
          <t>MTR-IOS-0756</t>
        </is>
      </c>
      <c r="C757" s="4" t="inlineStr">
        <is>
          <t>Business</t>
        </is>
      </c>
      <c r="D757" s="4" t="inlineStr">
        <is>
          <t>Business</t>
        </is>
      </c>
      <c r="E757" s="4" t="inlineStr">
        <is>
          <t>Business Operations</t>
        </is>
      </c>
      <c r="F757" s="4" t="inlineStr">
        <is>
          <t>Tax</t>
        </is>
      </c>
      <c r="G757" s="4" t="inlineStr">
        <is>
          <t>Expense</t>
        </is>
      </c>
      <c r="H757" s="12" t="n">
        <v>46026</v>
      </c>
      <c r="I757" s="13" t="n">
        <v>0.7162731481481481</v>
      </c>
      <c r="J757" s="14" t="n">
        <v>46026.71627314815</v>
      </c>
      <c r="K757" s="15" t="n">
        <v>38962.46</v>
      </c>
      <c r="L757" s="4" t="inlineStr">
        <is>
          <t>INR</t>
        </is>
      </c>
      <c r="M757" s="15" t="n">
        <v>-38962.46</v>
      </c>
      <c r="N757" s="4" t="inlineStr">
        <is>
          <t>IOS Owner</t>
        </is>
      </c>
      <c r="O757" s="4" t="n"/>
      <c r="P757" s="4" t="n"/>
      <c r="Q757" s="4" t="inlineStr">
        <is>
          <t>MAESTRO-IOS-BUSINESS-BUSINESS_OPERATIONS-0756 | Tax | 38962.46</t>
        </is>
      </c>
      <c r="R757" s="4" t="inlineStr">
        <is>
          <t>iPhone</t>
        </is>
      </c>
      <c r="S757" s="4" t="inlineStr">
        <is>
          <t>B16</t>
        </is>
      </c>
      <c r="T757" s="4" t="inlineStr">
        <is>
          <t>RAMP_501_1500</t>
        </is>
      </c>
      <c r="U757" s="4" t="inlineStr">
        <is>
          <t>CREATED</t>
        </is>
      </c>
      <c r="V757" s="4" t="inlineStr">
        <is>
          <t>idem-20260902-ios-0756</t>
        </is>
      </c>
    </row>
    <row r="758" ht="30" customHeight="1">
      <c r="A758" s="4" t="n">
        <v>757</v>
      </c>
      <c r="B758" s="4" t="inlineStr">
        <is>
          <t>MTR-IOS-0757</t>
        </is>
      </c>
      <c r="C758" s="4" t="inlineStr">
        <is>
          <t>Personal</t>
        </is>
      </c>
      <c r="D758" s="4" t="inlineStr">
        <is>
          <t>Personal</t>
        </is>
      </c>
      <c r="E758" s="4" t="inlineStr">
        <is>
          <t>Relationships</t>
        </is>
      </c>
      <c r="F758" s="4" t="inlineStr">
        <is>
          <t>Celebrations</t>
        </is>
      </c>
      <c r="G758" s="4" t="inlineStr">
        <is>
          <t>Expense</t>
        </is>
      </c>
      <c r="H758" s="12" t="n">
        <v>46082</v>
      </c>
      <c r="I758" s="13" t="n">
        <v>0.8713888888888889</v>
      </c>
      <c r="J758" s="14" t="n">
        <v>46082.87138888889</v>
      </c>
      <c r="K758" s="15" t="n">
        <v>3957.3</v>
      </c>
      <c r="L758" s="4" t="inlineStr">
        <is>
          <t>INR</t>
        </is>
      </c>
      <c r="M758" s="15" t="n">
        <v>-3957.3</v>
      </c>
      <c r="N758" s="4" t="inlineStr">
        <is>
          <t>IOS Owner</t>
        </is>
      </c>
      <c r="O758" s="4" t="n"/>
      <c r="P758" s="4" t="n"/>
      <c r="Q758" s="4" t="inlineStr">
        <is>
          <t>MAESTRO-IOS-PERSONAL-RELATIONSHIPS-0757 | Celebrations | 3957.30</t>
        </is>
      </c>
      <c r="R758" s="4" t="inlineStr">
        <is>
          <t>iPhone</t>
        </is>
      </c>
      <c r="S758" s="4" t="inlineStr">
        <is>
          <t>B16</t>
        </is>
      </c>
      <c r="T758" s="4" t="inlineStr">
        <is>
          <t>RAMP_501_1500</t>
        </is>
      </c>
      <c r="U758" s="4" t="inlineStr">
        <is>
          <t>CREATED</t>
        </is>
      </c>
      <c r="V758" s="4" t="inlineStr">
        <is>
          <t>idem-20260902-ios-0757</t>
        </is>
      </c>
    </row>
    <row r="759" ht="30" customHeight="1">
      <c r="A759" s="4" t="n">
        <v>758</v>
      </c>
      <c r="B759" s="4" t="inlineStr">
        <is>
          <t>MTR-IOS-0758</t>
        </is>
      </c>
      <c r="C759" s="4" t="inlineStr">
        <is>
          <t>Group</t>
        </is>
      </c>
      <c r="D759" s="4" t="inlineStr">
        <is>
          <t>Shared Experience</t>
        </is>
      </c>
      <c r="E759" s="4" t="inlineStr">
        <is>
          <t>House Party</t>
        </is>
      </c>
      <c r="F759" s="4" t="inlineStr">
        <is>
          <t>Drinks</t>
        </is>
      </c>
      <c r="G759" s="4" t="inlineStr">
        <is>
          <t>Expense</t>
        </is>
      </c>
      <c r="H759" s="12" t="n">
        <v>46017</v>
      </c>
      <c r="I759" s="13" t="n">
        <v>0.3691203703703704</v>
      </c>
      <c r="J759" s="14" t="n">
        <v>46017.36912037037</v>
      </c>
      <c r="K759" s="15" t="n">
        <v>6832.39</v>
      </c>
      <c r="L759" s="4" t="inlineStr">
        <is>
          <t>INR</t>
        </is>
      </c>
      <c r="M759" s="15" t="n">
        <v>-6832.39</v>
      </c>
      <c r="N759" s="4" t="inlineStr">
        <is>
          <t>IOS Owner</t>
        </is>
      </c>
      <c r="O759" s="4" t="n">
        <v>3</v>
      </c>
      <c r="P759" s="4" t="inlineStr">
        <is>
          <t>EQUAL</t>
        </is>
      </c>
      <c r="Q759" s="4" t="inlineStr">
        <is>
          <t>MAESTRO-IOS-GROUP-HOUSE_PARTY-0758 | Drinks | 6832.39</t>
        </is>
      </c>
      <c r="R759" s="4" t="inlineStr">
        <is>
          <t>iPhone</t>
        </is>
      </c>
      <c r="S759" s="4" t="inlineStr">
        <is>
          <t>B16</t>
        </is>
      </c>
      <c r="T759" s="4" t="inlineStr">
        <is>
          <t>RAMP_501_1500</t>
        </is>
      </c>
      <c r="U759" s="4" t="inlineStr">
        <is>
          <t>CREATED</t>
        </is>
      </c>
      <c r="V759" s="4" t="inlineStr">
        <is>
          <t>idem-20260902-ios-0758</t>
        </is>
      </c>
    </row>
    <row r="760" ht="30" customHeight="1">
      <c r="A760" s="4" t="n">
        <v>759</v>
      </c>
      <c r="B760" s="4" t="inlineStr">
        <is>
          <t>MTR-IOS-0759</t>
        </is>
      </c>
      <c r="C760" s="4" t="inlineStr">
        <is>
          <t>Business</t>
        </is>
      </c>
      <c r="D760" s="4" t="inlineStr">
        <is>
          <t>Business</t>
        </is>
      </c>
      <c r="E760" s="4" t="inlineStr">
        <is>
          <t>Team Operations</t>
        </is>
      </c>
      <c r="F760" s="4" t="inlineStr">
        <is>
          <t>Payroll</t>
        </is>
      </c>
      <c r="G760" s="4" t="inlineStr">
        <is>
          <t>Expense</t>
        </is>
      </c>
      <c r="H760" s="12" t="n">
        <v>46170</v>
      </c>
      <c r="I760" s="13" t="n">
        <v>0.8078819444444445</v>
      </c>
      <c r="J760" s="14" t="n">
        <v>46170.80788194444</v>
      </c>
      <c r="K760" s="15" t="n">
        <v>20344.27</v>
      </c>
      <c r="L760" s="4" t="inlineStr">
        <is>
          <t>INR</t>
        </is>
      </c>
      <c r="M760" s="15" t="n">
        <v>-20344.27</v>
      </c>
      <c r="N760" s="4" t="inlineStr">
        <is>
          <t>IOS Owner</t>
        </is>
      </c>
      <c r="O760" s="4" t="n"/>
      <c r="P760" s="4" t="n"/>
      <c r="Q760" s="4" t="inlineStr">
        <is>
          <t>MAESTRO-IOS-BUSINESS-TEAM_OPERATIONS-0759 | Payroll | 20344.27</t>
        </is>
      </c>
      <c r="R760" s="4" t="inlineStr">
        <is>
          <t>iPhone</t>
        </is>
      </c>
      <c r="S760" s="4" t="inlineStr">
        <is>
          <t>B16</t>
        </is>
      </c>
      <c r="T760" s="4" t="inlineStr">
        <is>
          <t>RAMP_501_1500</t>
        </is>
      </c>
      <c r="U760" s="4" t="inlineStr">
        <is>
          <t>CREATED</t>
        </is>
      </c>
      <c r="V760" s="4" t="inlineStr">
        <is>
          <t>idem-20260902-ios-0759</t>
        </is>
      </c>
    </row>
    <row r="761" ht="30" customHeight="1">
      <c r="A761" s="4" t="n">
        <v>760</v>
      </c>
      <c r="B761" s="4" t="inlineStr">
        <is>
          <t>MTR-IOS-0760</t>
        </is>
      </c>
      <c r="C761" s="4" t="inlineStr">
        <is>
          <t>Personal</t>
        </is>
      </c>
      <c r="D761" s="4" t="inlineStr">
        <is>
          <t>Personal</t>
        </is>
      </c>
      <c r="E761" s="4" t="inlineStr">
        <is>
          <t>Life Operations</t>
        </is>
      </c>
      <c r="F761" s="4" t="inlineStr">
        <is>
          <t>Groceries</t>
        </is>
      </c>
      <c r="G761" s="4" t="inlineStr">
        <is>
          <t>Expense</t>
        </is>
      </c>
      <c r="H761" s="12" t="n">
        <v>45980</v>
      </c>
      <c r="I761" s="13" t="n">
        <v>0.1375578703703704</v>
      </c>
      <c r="J761" s="14" t="n">
        <v>45980.13755787037</v>
      </c>
      <c r="K761" s="15" t="n">
        <v>12032.67</v>
      </c>
      <c r="L761" s="4" t="inlineStr">
        <is>
          <t>INR</t>
        </is>
      </c>
      <c r="M761" s="15" t="n">
        <v>-12032.67</v>
      </c>
      <c r="N761" s="4" t="inlineStr">
        <is>
          <t>IOS Owner</t>
        </is>
      </c>
      <c r="O761" s="4" t="n"/>
      <c r="P761" s="4" t="n"/>
      <c r="Q761" s="4" t="inlineStr">
        <is>
          <t>MAESTRO-IOS-PERSONAL-LIFE_OPERATIONS-0760 | Groceries | 12032.67</t>
        </is>
      </c>
      <c r="R761" s="4" t="inlineStr">
        <is>
          <t>iPhone</t>
        </is>
      </c>
      <c r="S761" s="4" t="inlineStr">
        <is>
          <t>B16</t>
        </is>
      </c>
      <c r="T761" s="4" t="inlineStr">
        <is>
          <t>RAMP_501_1500</t>
        </is>
      </c>
      <c r="U761" s="4" t="inlineStr">
        <is>
          <t>CREATED</t>
        </is>
      </c>
      <c r="V761" s="4" t="inlineStr">
        <is>
          <t>idem-20260902-ios-0760</t>
        </is>
      </c>
    </row>
    <row r="762" ht="30" customHeight="1">
      <c r="A762" s="4" t="n">
        <v>761</v>
      </c>
      <c r="B762" s="4" t="inlineStr">
        <is>
          <t>MTR-IOS-0761</t>
        </is>
      </c>
      <c r="C762" s="4" t="inlineStr">
        <is>
          <t>Group</t>
        </is>
      </c>
      <c r="D762" s="4" t="inlineStr">
        <is>
          <t>Shared Experience</t>
        </is>
      </c>
      <c r="E762" s="4" t="inlineStr">
        <is>
          <t>House Party</t>
        </is>
      </c>
      <c r="F762" s="4" t="inlineStr">
        <is>
          <t>Decor</t>
        </is>
      </c>
      <c r="G762" s="4" t="inlineStr">
        <is>
          <t>Expense</t>
        </is>
      </c>
      <c r="H762" s="12" t="n">
        <v>46188</v>
      </c>
      <c r="I762" s="13" t="n">
        <v>0.3807175925925926</v>
      </c>
      <c r="J762" s="14" t="n">
        <v>46188.38071759259</v>
      </c>
      <c r="K762" s="15" t="n">
        <v>8485.51</v>
      </c>
      <c r="L762" s="4" t="inlineStr">
        <is>
          <t>INR</t>
        </is>
      </c>
      <c r="M762" s="15" t="n">
        <v>-8485.51</v>
      </c>
      <c r="N762" s="4" t="inlineStr">
        <is>
          <t>IOS Aarav</t>
        </is>
      </c>
      <c r="O762" s="4" t="n">
        <v>3</v>
      </c>
      <c r="P762" s="4" t="inlineStr">
        <is>
          <t>PERCENTAGE</t>
        </is>
      </c>
      <c r="Q762" s="4" t="inlineStr">
        <is>
          <t>MAESTRO-IOS-GROUP-HOUSE_PARTY-0761 | Decor | 8485.51</t>
        </is>
      </c>
      <c r="R762" s="4" t="inlineStr">
        <is>
          <t>iPhone</t>
        </is>
      </c>
      <c r="S762" s="4" t="inlineStr">
        <is>
          <t>B16</t>
        </is>
      </c>
      <c r="T762" s="4" t="inlineStr">
        <is>
          <t>RAMP_501_1500</t>
        </is>
      </c>
      <c r="U762" s="4" t="inlineStr">
        <is>
          <t>CREATED</t>
        </is>
      </c>
      <c r="V762" s="4" t="inlineStr">
        <is>
          <t>idem-20260902-ios-0761</t>
        </is>
      </c>
    </row>
    <row r="763" ht="30" customHeight="1">
      <c r="A763" s="4" t="n">
        <v>762</v>
      </c>
      <c r="B763" s="4" t="inlineStr">
        <is>
          <t>MTR-IOS-0762</t>
        </is>
      </c>
      <c r="C763" s="4" t="inlineStr">
        <is>
          <t>Business</t>
        </is>
      </c>
      <c r="D763" s="4" t="inlineStr">
        <is>
          <t>Business</t>
        </is>
      </c>
      <c r="E763" s="4" t="inlineStr">
        <is>
          <t>Team Operations</t>
        </is>
      </c>
      <c r="F763" s="4" t="inlineStr">
        <is>
          <t>Contractor</t>
        </is>
      </c>
      <c r="G763" s="4" t="inlineStr">
        <is>
          <t>Expense</t>
        </is>
      </c>
      <c r="H763" s="12" t="n">
        <v>46084</v>
      </c>
      <c r="I763" s="13" t="n">
        <v>0.2400810185185185</v>
      </c>
      <c r="J763" s="14" t="n">
        <v>46084.24008101852</v>
      </c>
      <c r="K763" s="15" t="n">
        <v>159498.48</v>
      </c>
      <c r="L763" s="4" t="inlineStr">
        <is>
          <t>INR</t>
        </is>
      </c>
      <c r="M763" s="15" t="n">
        <v>-159498.48</v>
      </c>
      <c r="N763" s="4" t="inlineStr">
        <is>
          <t>IOS Owner</t>
        </is>
      </c>
      <c r="O763" s="4" t="n"/>
      <c r="P763" s="4" t="n"/>
      <c r="Q763" s="4" t="inlineStr">
        <is>
          <t>MAESTRO-IOS-BUSINESS-TEAM_OPERATIONS-0762 | Contractor | 159498.48</t>
        </is>
      </c>
      <c r="R763" s="4" t="inlineStr">
        <is>
          <t>iPhone</t>
        </is>
      </c>
      <c r="S763" s="4" t="inlineStr">
        <is>
          <t>B16</t>
        </is>
      </c>
      <c r="T763" s="4" t="inlineStr">
        <is>
          <t>RAMP_501_1500</t>
        </is>
      </c>
      <c r="U763" s="4" t="inlineStr">
        <is>
          <t>CREATED</t>
        </is>
      </c>
      <c r="V763" s="4" t="inlineStr">
        <is>
          <t>idem-20260902-ios-0762</t>
        </is>
      </c>
    </row>
    <row r="764" ht="30" customHeight="1">
      <c r="A764" s="4" t="n">
        <v>763</v>
      </c>
      <c r="B764" s="4" t="inlineStr">
        <is>
          <t>MTR-IOS-0763</t>
        </is>
      </c>
      <c r="C764" s="4" t="inlineStr">
        <is>
          <t>Personal</t>
        </is>
      </c>
      <c r="D764" s="4" t="inlineStr">
        <is>
          <t>Personal</t>
        </is>
      </c>
      <c r="E764" s="4" t="inlineStr">
        <is>
          <t>Life Operations</t>
        </is>
      </c>
      <c r="F764" s="4" t="inlineStr">
        <is>
          <t>Rent</t>
        </is>
      </c>
      <c r="G764" s="4" t="inlineStr">
        <is>
          <t>Expense</t>
        </is>
      </c>
      <c r="H764" s="12" t="n">
        <v>45985</v>
      </c>
      <c r="I764" s="13" t="n">
        <v>0.05202546296296296</v>
      </c>
      <c r="J764" s="14" t="n">
        <v>45985.05202546297</v>
      </c>
      <c r="K764" s="15" t="n">
        <v>16501.95</v>
      </c>
      <c r="L764" s="4" t="inlineStr">
        <is>
          <t>INR</t>
        </is>
      </c>
      <c r="M764" s="15" t="n">
        <v>-16501.95</v>
      </c>
      <c r="N764" s="4" t="inlineStr">
        <is>
          <t>IOS Owner</t>
        </is>
      </c>
      <c r="O764" s="4" t="n"/>
      <c r="P764" s="4" t="n"/>
      <c r="Q764" s="4" t="inlineStr">
        <is>
          <t>MAESTRO-IOS-PERSONAL-LIFE_OPERATIONS-0763 | Rent | 16501.95</t>
        </is>
      </c>
      <c r="R764" s="4" t="inlineStr">
        <is>
          <t>iPhone</t>
        </is>
      </c>
      <c r="S764" s="4" t="inlineStr">
        <is>
          <t>B16</t>
        </is>
      </c>
      <c r="T764" s="4" t="inlineStr">
        <is>
          <t>RAMP_501_1500</t>
        </is>
      </c>
      <c r="U764" s="4" t="inlineStr">
        <is>
          <t>CREATED</t>
        </is>
      </c>
      <c r="V764" s="4" t="inlineStr">
        <is>
          <t>idem-20260902-ios-0763</t>
        </is>
      </c>
    </row>
    <row r="765" ht="30" customHeight="1">
      <c r="A765" s="4" t="n">
        <v>764</v>
      </c>
      <c r="B765" s="4" t="inlineStr">
        <is>
          <t>MTR-IOS-0764</t>
        </is>
      </c>
      <c r="C765" s="4" t="inlineStr">
        <is>
          <t>Group</t>
        </is>
      </c>
      <c r="D765" s="4" t="inlineStr">
        <is>
          <t>Shared Experience</t>
        </is>
      </c>
      <c r="E765" s="4" t="inlineStr">
        <is>
          <t>House Party</t>
        </is>
      </c>
      <c r="F765" s="4" t="inlineStr">
        <is>
          <t>Supplies</t>
        </is>
      </c>
      <c r="G765" s="4" t="inlineStr">
        <is>
          <t>Expense</t>
        </is>
      </c>
      <c r="H765" s="12" t="n">
        <v>45939</v>
      </c>
      <c r="I765" s="13" t="n">
        <v>0.03194444444444444</v>
      </c>
      <c r="J765" s="14" t="n">
        <v>45939.03194444445</v>
      </c>
      <c r="K765" s="15" t="n">
        <v>21912.19</v>
      </c>
      <c r="L765" s="4" t="inlineStr">
        <is>
          <t>INR</t>
        </is>
      </c>
      <c r="M765" s="15" t="n">
        <v>-21912.19</v>
      </c>
      <c r="N765" s="4" t="inlineStr">
        <is>
          <t>IOS Meera</t>
        </is>
      </c>
      <c r="O765" s="4" t="n">
        <v>3</v>
      </c>
      <c r="P765" s="4" t="inlineStr">
        <is>
          <t>EXACT</t>
        </is>
      </c>
      <c r="Q765" s="4" t="inlineStr">
        <is>
          <t>MAESTRO-IOS-GROUP-HOUSE_PARTY-0764 | Supplies | 21912.19</t>
        </is>
      </c>
      <c r="R765" s="4" t="inlineStr">
        <is>
          <t>iPhone</t>
        </is>
      </c>
      <c r="S765" s="4" t="inlineStr">
        <is>
          <t>B16</t>
        </is>
      </c>
      <c r="T765" s="4" t="inlineStr">
        <is>
          <t>RAMP_501_1500</t>
        </is>
      </c>
      <c r="U765" s="4" t="inlineStr">
        <is>
          <t>CREATED</t>
        </is>
      </c>
      <c r="V765" s="4" t="inlineStr">
        <is>
          <t>idem-20260902-ios-0764</t>
        </is>
      </c>
    </row>
    <row r="766" ht="30" customHeight="1">
      <c r="A766" s="4" t="n">
        <v>765</v>
      </c>
      <c r="B766" s="4" t="inlineStr">
        <is>
          <t>MTR-IOS-0765</t>
        </is>
      </c>
      <c r="C766" s="4" t="inlineStr">
        <is>
          <t>Business</t>
        </is>
      </c>
      <c r="D766" s="4" t="inlineStr">
        <is>
          <t>Business</t>
        </is>
      </c>
      <c r="E766" s="4" t="inlineStr">
        <is>
          <t>Team Operations</t>
        </is>
      </c>
      <c r="F766" s="4" t="inlineStr">
        <is>
          <t>Hiring</t>
        </is>
      </c>
      <c r="G766" s="4" t="inlineStr">
        <is>
          <t>Expense</t>
        </is>
      </c>
      <c r="H766" s="12" t="n">
        <v>46185</v>
      </c>
      <c r="I766" s="13" t="n">
        <v>0.6615162037037037</v>
      </c>
      <c r="J766" s="14" t="n">
        <v>46185.66151620371</v>
      </c>
      <c r="K766" s="15" t="n">
        <v>110345.2</v>
      </c>
      <c r="L766" s="4" t="inlineStr">
        <is>
          <t>INR</t>
        </is>
      </c>
      <c r="M766" s="15" t="n">
        <v>-110345.2</v>
      </c>
      <c r="N766" s="4" t="inlineStr">
        <is>
          <t>IOS Owner</t>
        </is>
      </c>
      <c r="O766" s="4" t="n"/>
      <c r="P766" s="4" t="n"/>
      <c r="Q766" s="4" t="inlineStr">
        <is>
          <t>MAESTRO-IOS-BUSINESS-TEAM_OPERATIONS-0765 | Hiring | 110345.20</t>
        </is>
      </c>
      <c r="R766" s="4" t="inlineStr">
        <is>
          <t>iPhone</t>
        </is>
      </c>
      <c r="S766" s="4" t="inlineStr">
        <is>
          <t>B16</t>
        </is>
      </c>
      <c r="T766" s="4" t="inlineStr">
        <is>
          <t>RAMP_501_1500</t>
        </is>
      </c>
      <c r="U766" s="4" t="inlineStr">
        <is>
          <t>CREATED</t>
        </is>
      </c>
      <c r="V766" s="4" t="inlineStr">
        <is>
          <t>idem-20260902-ios-0765</t>
        </is>
      </c>
    </row>
    <row r="767" ht="30" customHeight="1">
      <c r="A767" s="4" t="n">
        <v>766</v>
      </c>
      <c r="B767" s="4" t="inlineStr">
        <is>
          <t>MTR-IOS-0766</t>
        </is>
      </c>
      <c r="C767" s="4" t="inlineStr">
        <is>
          <t>Personal</t>
        </is>
      </c>
      <c r="D767" s="4" t="inlineStr">
        <is>
          <t>Personal</t>
        </is>
      </c>
      <c r="E767" s="4" t="inlineStr">
        <is>
          <t>Life Operations</t>
        </is>
      </c>
      <c r="F767" s="4" t="inlineStr">
        <is>
          <t>Bills</t>
        </is>
      </c>
      <c r="G767" s="4" t="inlineStr">
        <is>
          <t>Expense</t>
        </is>
      </c>
      <c r="H767" s="12" t="n">
        <v>46186</v>
      </c>
      <c r="I767" s="13" t="n">
        <v>0.63</v>
      </c>
      <c r="J767" s="14" t="n">
        <v>46186.63</v>
      </c>
      <c r="K767" s="15" t="n">
        <v>10565.17</v>
      </c>
      <c r="L767" s="4" t="inlineStr">
        <is>
          <t>INR</t>
        </is>
      </c>
      <c r="M767" s="15" t="n">
        <v>-10565.17</v>
      </c>
      <c r="N767" s="4" t="inlineStr">
        <is>
          <t>IOS Owner</t>
        </is>
      </c>
      <c r="O767" s="4" t="n"/>
      <c r="P767" s="4" t="n"/>
      <c r="Q767" s="4" t="inlineStr">
        <is>
          <t>MAESTRO-IOS-PERSONAL-LIFE_OPERATIONS-0766 | Bills | 10565.17</t>
        </is>
      </c>
      <c r="R767" s="4" t="inlineStr">
        <is>
          <t>iPhone</t>
        </is>
      </c>
      <c r="S767" s="4" t="inlineStr">
        <is>
          <t>B16</t>
        </is>
      </c>
      <c r="T767" s="4" t="inlineStr">
        <is>
          <t>RAMP_501_1500</t>
        </is>
      </c>
      <c r="U767" s="4" t="inlineStr">
        <is>
          <t>CREATED</t>
        </is>
      </c>
      <c r="V767" s="4" t="inlineStr">
        <is>
          <t>idem-20260902-ios-0766</t>
        </is>
      </c>
    </row>
    <row r="768" ht="30" customHeight="1">
      <c r="A768" s="4" t="n">
        <v>767</v>
      </c>
      <c r="B768" s="4" t="inlineStr">
        <is>
          <t>MTR-IOS-0767</t>
        </is>
      </c>
      <c r="C768" s="4" t="inlineStr">
        <is>
          <t>Group</t>
        </is>
      </c>
      <c r="D768" s="4" t="inlineStr">
        <is>
          <t>Shared Experience</t>
        </is>
      </c>
      <c r="E768" s="4" t="inlineStr">
        <is>
          <t>House Party</t>
        </is>
      </c>
      <c r="F768" s="4" t="inlineStr">
        <is>
          <t>Other</t>
        </is>
      </c>
      <c r="G768" s="4" t="inlineStr">
        <is>
          <t>Expense</t>
        </is>
      </c>
      <c r="H768" s="12" t="n">
        <v>46034</v>
      </c>
      <c r="I768" s="13" t="n">
        <v>0.1127546296296296</v>
      </c>
      <c r="J768" s="14" t="n">
        <v>46034.11275462963</v>
      </c>
      <c r="K768" s="15" t="n">
        <v>18929.96</v>
      </c>
      <c r="L768" s="4" t="inlineStr">
        <is>
          <t>INR</t>
        </is>
      </c>
      <c r="M768" s="15" t="n">
        <v>-18929.96</v>
      </c>
      <c r="N768" s="4" t="inlineStr">
        <is>
          <t>IOS Owner</t>
        </is>
      </c>
      <c r="O768" s="4" t="n">
        <v>3</v>
      </c>
      <c r="P768" s="4" t="inlineStr">
        <is>
          <t>SHARES</t>
        </is>
      </c>
      <c r="Q768" s="4" t="inlineStr">
        <is>
          <t>MAESTRO-IOS-GROUP-HOUSE_PARTY-0767 | Other | 18929.96</t>
        </is>
      </c>
      <c r="R768" s="4" t="inlineStr">
        <is>
          <t>iPhone</t>
        </is>
      </c>
      <c r="S768" s="4" t="inlineStr">
        <is>
          <t>B16</t>
        </is>
      </c>
      <c r="T768" s="4" t="inlineStr">
        <is>
          <t>RAMP_501_1500</t>
        </is>
      </c>
      <c r="U768" s="4" t="inlineStr">
        <is>
          <t>CREATED</t>
        </is>
      </c>
      <c r="V768" s="4" t="inlineStr">
        <is>
          <t>idem-20260902-ios-0767</t>
        </is>
      </c>
    </row>
    <row r="769" ht="30" customHeight="1">
      <c r="A769" s="4" t="n">
        <v>768</v>
      </c>
      <c r="B769" s="4" t="inlineStr">
        <is>
          <t>MTR-IOS-0768</t>
        </is>
      </c>
      <c r="C769" s="4" t="inlineStr">
        <is>
          <t>Business</t>
        </is>
      </c>
      <c r="D769" s="4" t="inlineStr">
        <is>
          <t>Business</t>
        </is>
      </c>
      <c r="E769" s="4" t="inlineStr">
        <is>
          <t>Team Operations</t>
        </is>
      </c>
      <c r="F769" s="4" t="inlineStr">
        <is>
          <t>Team Meal</t>
        </is>
      </c>
      <c r="G769" s="4" t="inlineStr">
        <is>
          <t>Expense</t>
        </is>
      </c>
      <c r="H769" s="12" t="n">
        <v>45967</v>
      </c>
      <c r="I769" s="13" t="n">
        <v>0.9247106481481482</v>
      </c>
      <c r="J769" s="14" t="n">
        <v>45967.92471064815</v>
      </c>
      <c r="K769" s="15" t="n">
        <v>14333.34</v>
      </c>
      <c r="L769" s="4" t="inlineStr">
        <is>
          <t>INR</t>
        </is>
      </c>
      <c r="M769" s="15" t="n">
        <v>-14333.34</v>
      </c>
      <c r="N769" s="4" t="inlineStr">
        <is>
          <t>IOS Owner</t>
        </is>
      </c>
      <c r="O769" s="4" t="n"/>
      <c r="P769" s="4" t="n"/>
      <c r="Q769" s="4" t="inlineStr">
        <is>
          <t>MAESTRO-IOS-BUSINESS-TEAM_OPERATIONS-0768 | Team Meal | 14333.34</t>
        </is>
      </c>
      <c r="R769" s="4" t="inlineStr">
        <is>
          <t>iPhone</t>
        </is>
      </c>
      <c r="S769" s="4" t="inlineStr">
        <is>
          <t>B16</t>
        </is>
      </c>
      <c r="T769" s="4" t="inlineStr">
        <is>
          <t>RAMP_501_1500</t>
        </is>
      </c>
      <c r="U769" s="4" t="inlineStr">
        <is>
          <t>CREATED</t>
        </is>
      </c>
      <c r="V769" s="4" t="inlineStr">
        <is>
          <t>idem-20260902-ios-0768</t>
        </is>
      </c>
    </row>
    <row r="770" ht="30" customHeight="1">
      <c r="A770" s="4" t="n">
        <v>769</v>
      </c>
      <c r="B770" s="4" t="inlineStr">
        <is>
          <t>MTR-IOS-0769</t>
        </is>
      </c>
      <c r="C770" s="4" t="inlineStr">
        <is>
          <t>Personal</t>
        </is>
      </c>
      <c r="D770" s="4" t="inlineStr">
        <is>
          <t>Personal</t>
        </is>
      </c>
      <c r="E770" s="4" t="inlineStr">
        <is>
          <t>Life Operations</t>
        </is>
      </c>
      <c r="F770" s="4" t="inlineStr">
        <is>
          <t>Transport</t>
        </is>
      </c>
      <c r="G770" s="4" t="inlineStr">
        <is>
          <t>Expense</t>
        </is>
      </c>
      <c r="H770" s="12" t="n">
        <v>46200</v>
      </c>
      <c r="I770" s="13" t="n">
        <v>0.9475231481481482</v>
      </c>
      <c r="J770" s="14" t="n">
        <v>46200.94752314815</v>
      </c>
      <c r="K770" s="15" t="n">
        <v>369.1</v>
      </c>
      <c r="L770" s="4" t="inlineStr">
        <is>
          <t>INR</t>
        </is>
      </c>
      <c r="M770" s="15" t="n">
        <v>-369.1</v>
      </c>
      <c r="N770" s="4" t="inlineStr">
        <is>
          <t>IOS Owner</t>
        </is>
      </c>
      <c r="O770" s="4" t="n"/>
      <c r="P770" s="4" t="n"/>
      <c r="Q770" s="4" t="inlineStr">
        <is>
          <t>MAESTRO-IOS-PERSONAL-LIFE_OPERATIONS-0769 | Transport | 369.10</t>
        </is>
      </c>
      <c r="R770" s="4" t="inlineStr">
        <is>
          <t>iPhone</t>
        </is>
      </c>
      <c r="S770" s="4" t="inlineStr">
        <is>
          <t>B16</t>
        </is>
      </c>
      <c r="T770" s="4" t="inlineStr">
        <is>
          <t>RAMP_501_1500</t>
        </is>
      </c>
      <c r="U770" s="4" t="inlineStr">
        <is>
          <t>CREATED</t>
        </is>
      </c>
      <c r="V770" s="4" t="inlineStr">
        <is>
          <t>idem-20260902-ios-0769</t>
        </is>
      </c>
    </row>
    <row r="771" ht="30" customHeight="1">
      <c r="A771" s="4" t="n">
        <v>770</v>
      </c>
      <c r="B771" s="4" t="inlineStr">
        <is>
          <t>MTR-IOS-0770</t>
        </is>
      </c>
      <c r="C771" s="4" t="inlineStr">
        <is>
          <t>Group</t>
        </is>
      </c>
      <c r="D771" s="4" t="inlineStr">
        <is>
          <t>Shared Purchase</t>
        </is>
      </c>
      <c r="E771" s="4" t="inlineStr">
        <is>
          <t>Gift Pool</t>
        </is>
      </c>
      <c r="F771" s="4" t="inlineStr">
        <is>
          <t>Contribution</t>
        </is>
      </c>
      <c r="G771" s="4" t="inlineStr">
        <is>
          <t>Contribution</t>
        </is>
      </c>
      <c r="H771" s="12" t="n">
        <v>46203</v>
      </c>
      <c r="I771" s="13" t="n">
        <v>0.977025462962963</v>
      </c>
      <c r="J771" s="14" t="n">
        <v>46203.97702546296</v>
      </c>
      <c r="K771" s="15" t="n">
        <v>10416.83</v>
      </c>
      <c r="L771" s="4" t="inlineStr">
        <is>
          <t>INR</t>
        </is>
      </c>
      <c r="M771" s="15" t="n">
        <v>10416.83</v>
      </c>
      <c r="N771" s="4" t="inlineStr">
        <is>
          <t>IOS Aarav</t>
        </is>
      </c>
      <c r="O771" s="4" t="n">
        <v>3</v>
      </c>
      <c r="P771" s="4" t="inlineStr">
        <is>
          <t>EQUAL</t>
        </is>
      </c>
      <c r="Q771" s="4" t="inlineStr">
        <is>
          <t>MAESTRO-IOS-GROUP-GIFT_POOL-0770 | Contribution | 10416.83</t>
        </is>
      </c>
      <c r="R771" s="4" t="inlineStr">
        <is>
          <t>iPhone</t>
        </is>
      </c>
      <c r="S771" s="4" t="inlineStr">
        <is>
          <t>B16</t>
        </is>
      </c>
      <c r="T771" s="4" t="inlineStr">
        <is>
          <t>RAMP_501_1500</t>
        </is>
      </c>
      <c r="U771" s="4" t="inlineStr">
        <is>
          <t>CREATED</t>
        </is>
      </c>
      <c r="V771" s="4" t="inlineStr">
        <is>
          <t>idem-20260902-ios-0770</t>
        </is>
      </c>
    </row>
    <row r="772" ht="30" customHeight="1">
      <c r="A772" s="4" t="n">
        <v>771</v>
      </c>
      <c r="B772" s="4" t="inlineStr">
        <is>
          <t>MTR-IOS-0771</t>
        </is>
      </c>
      <c r="C772" s="4" t="inlineStr">
        <is>
          <t>Business</t>
        </is>
      </c>
      <c r="D772" s="4" t="inlineStr">
        <is>
          <t>Business</t>
        </is>
      </c>
      <c r="E772" s="4" t="inlineStr">
        <is>
          <t>Team Operations</t>
        </is>
      </c>
      <c r="F772" s="4" t="inlineStr">
        <is>
          <t>Travel</t>
        </is>
      </c>
      <c r="G772" s="4" t="inlineStr">
        <is>
          <t>Expense</t>
        </is>
      </c>
      <c r="H772" s="12" t="n">
        <v>46002</v>
      </c>
      <c r="I772" s="13" t="n">
        <v>0.9220138888888889</v>
      </c>
      <c r="J772" s="14" t="n">
        <v>46002.92201388889</v>
      </c>
      <c r="K772" s="15" t="n">
        <v>33055.13</v>
      </c>
      <c r="L772" s="4" t="inlineStr">
        <is>
          <t>INR</t>
        </is>
      </c>
      <c r="M772" s="15" t="n">
        <v>-33055.13</v>
      </c>
      <c r="N772" s="4" t="inlineStr">
        <is>
          <t>IOS Owner</t>
        </is>
      </c>
      <c r="O772" s="4" t="n"/>
      <c r="P772" s="4" t="n"/>
      <c r="Q772" s="4" t="inlineStr">
        <is>
          <t>MAESTRO-IOS-BUSINESS-TEAM_OPERATIONS-0771 | Travel | 33055.13</t>
        </is>
      </c>
      <c r="R772" s="4" t="inlineStr">
        <is>
          <t>iPhone</t>
        </is>
      </c>
      <c r="S772" s="4" t="inlineStr">
        <is>
          <t>B16</t>
        </is>
      </c>
      <c r="T772" s="4" t="inlineStr">
        <is>
          <t>RAMP_501_1500</t>
        </is>
      </c>
      <c r="U772" s="4" t="inlineStr">
        <is>
          <t>CREATED</t>
        </is>
      </c>
      <c r="V772" s="4" t="inlineStr">
        <is>
          <t>idem-20260902-ios-0771</t>
        </is>
      </c>
    </row>
    <row r="773" ht="30" customHeight="1">
      <c r="A773" s="4" t="n">
        <v>772</v>
      </c>
      <c r="B773" s="4" t="inlineStr">
        <is>
          <t>MTR-IOS-0772</t>
        </is>
      </c>
      <c r="C773" s="4" t="inlineStr">
        <is>
          <t>Personal</t>
        </is>
      </c>
      <c r="D773" s="4" t="inlineStr">
        <is>
          <t>Personal</t>
        </is>
      </c>
      <c r="E773" s="4" t="inlineStr">
        <is>
          <t>Life Operations</t>
        </is>
      </c>
      <c r="F773" s="4" t="inlineStr">
        <is>
          <t>Healthcare</t>
        </is>
      </c>
      <c r="G773" s="4" t="inlineStr">
        <is>
          <t>Expense</t>
        </is>
      </c>
      <c r="H773" s="12" t="n">
        <v>46207</v>
      </c>
      <c r="I773" s="13" t="n">
        <v>0.2146643518518518</v>
      </c>
      <c r="J773" s="14" t="n">
        <v>46207.21466435185</v>
      </c>
      <c r="K773" s="15" t="n">
        <v>2093.23</v>
      </c>
      <c r="L773" s="4" t="inlineStr">
        <is>
          <t>INR</t>
        </is>
      </c>
      <c r="M773" s="15" t="n">
        <v>-2093.23</v>
      </c>
      <c r="N773" s="4" t="inlineStr">
        <is>
          <t>IOS Owner</t>
        </is>
      </c>
      <c r="O773" s="4" t="n"/>
      <c r="P773" s="4" t="n"/>
      <c r="Q773" s="4" t="inlineStr">
        <is>
          <t>MAESTRO-IOS-PERSONAL-LIFE_OPERATIONS-0772 | Healthcare | 2093.23</t>
        </is>
      </c>
      <c r="R773" s="4" t="inlineStr">
        <is>
          <t>iPhone</t>
        </is>
      </c>
      <c r="S773" s="4" t="inlineStr">
        <is>
          <t>B16</t>
        </is>
      </c>
      <c r="T773" s="4" t="inlineStr">
        <is>
          <t>RAMP_501_1500</t>
        </is>
      </c>
      <c r="U773" s="4" t="inlineStr">
        <is>
          <t>CREATED</t>
        </is>
      </c>
      <c r="V773" s="4" t="inlineStr">
        <is>
          <t>idem-20260902-ios-0772</t>
        </is>
      </c>
    </row>
    <row r="774" ht="30" customHeight="1">
      <c r="A774" s="4" t="n">
        <v>773</v>
      </c>
      <c r="B774" s="4" t="inlineStr">
        <is>
          <t>MTR-IOS-0773</t>
        </is>
      </c>
      <c r="C774" s="4" t="inlineStr">
        <is>
          <t>Group</t>
        </is>
      </c>
      <c r="D774" s="4" t="inlineStr">
        <is>
          <t>Shared Purchase</t>
        </is>
      </c>
      <c r="E774" s="4" t="inlineStr">
        <is>
          <t>Gift Pool</t>
        </is>
      </c>
      <c r="F774" s="4" t="inlineStr">
        <is>
          <t>Gift Purchase</t>
        </is>
      </c>
      <c r="G774" s="4" t="inlineStr">
        <is>
          <t>Expense</t>
        </is>
      </c>
      <c r="H774" s="12" t="n">
        <v>45959</v>
      </c>
      <c r="I774" s="13" t="n">
        <v>0.1862847222222222</v>
      </c>
      <c r="J774" s="14" t="n">
        <v>45959.18628472222</v>
      </c>
      <c r="K774" s="15" t="n">
        <v>11289.5</v>
      </c>
      <c r="L774" s="4" t="inlineStr">
        <is>
          <t>INR</t>
        </is>
      </c>
      <c r="M774" s="15" t="n">
        <v>-11289.5</v>
      </c>
      <c r="N774" s="4" t="inlineStr">
        <is>
          <t>IOS Meera</t>
        </is>
      </c>
      <c r="O774" s="4" t="n">
        <v>3</v>
      </c>
      <c r="P774" s="4" t="inlineStr">
        <is>
          <t>PERCENTAGE</t>
        </is>
      </c>
      <c r="Q774" s="4" t="inlineStr">
        <is>
          <t>MAESTRO-IOS-GROUP-GIFT_POOL-0773 | Gift Purchase | 11289.50</t>
        </is>
      </c>
      <c r="R774" s="4" t="inlineStr">
        <is>
          <t>iPhone</t>
        </is>
      </c>
      <c r="S774" s="4" t="inlineStr">
        <is>
          <t>B16</t>
        </is>
      </c>
      <c r="T774" s="4" t="inlineStr">
        <is>
          <t>RAMP_501_1500</t>
        </is>
      </c>
      <c r="U774" s="4" t="inlineStr">
        <is>
          <t>CREATED</t>
        </is>
      </c>
      <c r="V774" s="4" t="inlineStr">
        <is>
          <t>idem-20260902-ios-0773</t>
        </is>
      </c>
    </row>
    <row r="775" ht="30" customHeight="1">
      <c r="A775" s="4" t="n">
        <v>774</v>
      </c>
      <c r="B775" s="4" t="inlineStr">
        <is>
          <t>MTR-IOS-0774</t>
        </is>
      </c>
      <c r="C775" s="4" t="inlineStr">
        <is>
          <t>Business</t>
        </is>
      </c>
      <c r="D775" s="4" t="inlineStr">
        <is>
          <t>Business</t>
        </is>
      </c>
      <c r="E775" s="4" t="inlineStr">
        <is>
          <t>Team Operations</t>
        </is>
      </c>
      <c r="F775" s="4" t="inlineStr">
        <is>
          <t>Training</t>
        </is>
      </c>
      <c r="G775" s="4" t="inlineStr">
        <is>
          <t>Expense</t>
        </is>
      </c>
      <c r="H775" s="12" t="n">
        <v>46248</v>
      </c>
      <c r="I775" s="13" t="n">
        <v>0.1657175925925926</v>
      </c>
      <c r="J775" s="14" t="n">
        <v>46248.16571759259</v>
      </c>
      <c r="K775" s="15" t="n">
        <v>31651.66</v>
      </c>
      <c r="L775" s="4" t="inlineStr">
        <is>
          <t>INR</t>
        </is>
      </c>
      <c r="M775" s="15" t="n">
        <v>-31651.66</v>
      </c>
      <c r="N775" s="4" t="inlineStr">
        <is>
          <t>IOS Owner</t>
        </is>
      </c>
      <c r="O775" s="4" t="n"/>
      <c r="P775" s="4" t="n"/>
      <c r="Q775" s="4" t="inlineStr">
        <is>
          <t>MAESTRO-IOS-BUSINESS-TEAM_OPERATIONS-0774 | Training | 31651.66</t>
        </is>
      </c>
      <c r="R775" s="4" t="inlineStr">
        <is>
          <t>iPhone</t>
        </is>
      </c>
      <c r="S775" s="4" t="inlineStr">
        <is>
          <t>B16</t>
        </is>
      </c>
      <c r="T775" s="4" t="inlineStr">
        <is>
          <t>RAMP_501_1500</t>
        </is>
      </c>
      <c r="U775" s="4" t="inlineStr">
        <is>
          <t>CREATED</t>
        </is>
      </c>
      <c r="V775" s="4" t="inlineStr">
        <is>
          <t>idem-20260902-ios-0774</t>
        </is>
      </c>
    </row>
    <row r="776" ht="30" customHeight="1">
      <c r="A776" s="4" t="n">
        <v>775</v>
      </c>
      <c r="B776" s="4" t="inlineStr">
        <is>
          <t>MTR-IOS-0775</t>
        </is>
      </c>
      <c r="C776" s="4" t="inlineStr">
        <is>
          <t>Personal</t>
        </is>
      </c>
      <c r="D776" s="4" t="inlineStr">
        <is>
          <t>Personal</t>
        </is>
      </c>
      <c r="E776" s="4" t="inlineStr">
        <is>
          <t>Life Operations</t>
        </is>
      </c>
      <c r="F776" s="4" t="inlineStr">
        <is>
          <t>Subscriptions</t>
        </is>
      </c>
      <c r="G776" s="4" t="inlineStr">
        <is>
          <t>Expense</t>
        </is>
      </c>
      <c r="H776" s="12" t="n">
        <v>46231</v>
      </c>
      <c r="I776" s="13" t="n">
        <v>0.6191898148148148</v>
      </c>
      <c r="J776" s="14" t="n">
        <v>46231.61918981482</v>
      </c>
      <c r="K776" s="15" t="n">
        <v>3612.25</v>
      </c>
      <c r="L776" s="4" t="inlineStr">
        <is>
          <t>INR</t>
        </is>
      </c>
      <c r="M776" s="15" t="n">
        <v>-3612.25</v>
      </c>
      <c r="N776" s="4" t="inlineStr">
        <is>
          <t>IOS Owner</t>
        </is>
      </c>
      <c r="O776" s="4" t="n"/>
      <c r="P776" s="4" t="n"/>
      <c r="Q776" s="4" t="inlineStr">
        <is>
          <t>MAESTRO-IOS-PERSONAL-LIFE_OPERATIONS-0775 | Subscriptions | 3612.25</t>
        </is>
      </c>
      <c r="R776" s="4" t="inlineStr">
        <is>
          <t>iPhone</t>
        </is>
      </c>
      <c r="S776" s="4" t="inlineStr">
        <is>
          <t>B16</t>
        </is>
      </c>
      <c r="T776" s="4" t="inlineStr">
        <is>
          <t>RAMP_501_1500</t>
        </is>
      </c>
      <c r="U776" s="4" t="inlineStr">
        <is>
          <t>CREATED</t>
        </is>
      </c>
      <c r="V776" s="4" t="inlineStr">
        <is>
          <t>idem-20260902-ios-0775</t>
        </is>
      </c>
    </row>
    <row r="777" ht="30" customHeight="1">
      <c r="A777" s="4" t="n">
        <v>776</v>
      </c>
      <c r="B777" s="4" t="inlineStr">
        <is>
          <t>MTR-IOS-0776</t>
        </is>
      </c>
      <c r="C777" s="4" t="inlineStr">
        <is>
          <t>Group</t>
        </is>
      </c>
      <c r="D777" s="4" t="inlineStr">
        <is>
          <t>Shared Purchase</t>
        </is>
      </c>
      <c r="E777" s="4" t="inlineStr">
        <is>
          <t>Gift Pool</t>
        </is>
      </c>
      <c r="F777" s="4" t="inlineStr">
        <is>
          <t>Delivery</t>
        </is>
      </c>
      <c r="G777" s="4" t="inlineStr">
        <is>
          <t>Expense</t>
        </is>
      </c>
      <c r="H777" s="12" t="n">
        <v>46239</v>
      </c>
      <c r="I777" s="13" t="n">
        <v>0.08744212962962963</v>
      </c>
      <c r="J777" s="14" t="n">
        <v>46239.08744212963</v>
      </c>
      <c r="K777" s="15" t="n">
        <v>24822.71</v>
      </c>
      <c r="L777" s="4" t="inlineStr">
        <is>
          <t>INR</t>
        </is>
      </c>
      <c r="M777" s="15" t="n">
        <v>-24822.71</v>
      </c>
      <c r="N777" s="4" t="inlineStr">
        <is>
          <t>IOS Owner</t>
        </is>
      </c>
      <c r="O777" s="4" t="n">
        <v>3</v>
      </c>
      <c r="P777" s="4" t="inlineStr">
        <is>
          <t>EXACT</t>
        </is>
      </c>
      <c r="Q777" s="4" t="inlineStr">
        <is>
          <t>MAESTRO-IOS-GROUP-GIFT_POOL-0776 | Delivery | 24822.71</t>
        </is>
      </c>
      <c r="R777" s="4" t="inlineStr">
        <is>
          <t>iPhone</t>
        </is>
      </c>
      <c r="S777" s="4" t="inlineStr">
        <is>
          <t>B16</t>
        </is>
      </c>
      <c r="T777" s="4" t="inlineStr">
        <is>
          <t>RAMP_501_1500</t>
        </is>
      </c>
      <c r="U777" s="4" t="inlineStr">
        <is>
          <t>CREATED</t>
        </is>
      </c>
      <c r="V777" s="4" t="inlineStr">
        <is>
          <t>idem-20260902-ios-0776</t>
        </is>
      </c>
    </row>
    <row r="778" ht="30" customHeight="1">
      <c r="A778" s="4" t="n">
        <v>777</v>
      </c>
      <c r="B778" s="4" t="inlineStr">
        <is>
          <t>MTR-IOS-0777</t>
        </is>
      </c>
      <c r="C778" s="4" t="inlineStr">
        <is>
          <t>Business</t>
        </is>
      </c>
      <c r="D778" s="4" t="inlineStr">
        <is>
          <t>Business</t>
        </is>
      </c>
      <c r="E778" s="4" t="inlineStr">
        <is>
          <t>Team Operations</t>
        </is>
      </c>
      <c r="F778" s="4" t="inlineStr">
        <is>
          <t>Tools</t>
        </is>
      </c>
      <c r="G778" s="4" t="inlineStr">
        <is>
          <t>Expense</t>
        </is>
      </c>
      <c r="H778" s="12" t="n">
        <v>46115</v>
      </c>
      <c r="I778" s="13" t="n">
        <v>0.3537037037037037</v>
      </c>
      <c r="J778" s="14" t="n">
        <v>46115.3537037037</v>
      </c>
      <c r="K778" s="15" t="n">
        <v>100</v>
      </c>
      <c r="L778" s="4" t="inlineStr">
        <is>
          <t>INR</t>
        </is>
      </c>
      <c r="M778" s="15" t="n">
        <v>-100</v>
      </c>
      <c r="N778" s="4" t="inlineStr">
        <is>
          <t>IOS Owner</t>
        </is>
      </c>
      <c r="O778" s="4" t="n"/>
      <c r="P778" s="4" t="n"/>
      <c r="Q778" s="4" t="inlineStr">
        <is>
          <t>MAESTRO-IOS-BUSINESS-TEAM_OPERATIONS-0777 | Tools | 100.00</t>
        </is>
      </c>
      <c r="R778" s="4" t="inlineStr">
        <is>
          <t>iPhone</t>
        </is>
      </c>
      <c r="S778" s="4" t="inlineStr">
        <is>
          <t>B16</t>
        </is>
      </c>
      <c r="T778" s="4" t="inlineStr">
        <is>
          <t>RAMP_501_1500</t>
        </is>
      </c>
      <c r="U778" s="4" t="inlineStr">
        <is>
          <t>CREATED</t>
        </is>
      </c>
      <c r="V778" s="4" t="inlineStr">
        <is>
          <t>idem-20260902-ios-0777</t>
        </is>
      </c>
    </row>
    <row r="779" ht="30" customHeight="1">
      <c r="A779" s="4" t="n">
        <v>778</v>
      </c>
      <c r="B779" s="4" t="inlineStr">
        <is>
          <t>MTR-IOS-0778</t>
        </is>
      </c>
      <c r="C779" s="4" t="inlineStr">
        <is>
          <t>Personal</t>
        </is>
      </c>
      <c r="D779" s="4" t="inlineStr">
        <is>
          <t>Personal</t>
        </is>
      </c>
      <c r="E779" s="4" t="inlineStr">
        <is>
          <t>Life Operations</t>
        </is>
      </c>
      <c r="F779" s="4" t="inlineStr">
        <is>
          <t>Repairs</t>
        </is>
      </c>
      <c r="G779" s="4" t="inlineStr">
        <is>
          <t>Expense</t>
        </is>
      </c>
      <c r="H779" s="12" t="n">
        <v>46194</v>
      </c>
      <c r="I779" s="13" t="n">
        <v>0.04444444444444445</v>
      </c>
      <c r="J779" s="14" t="n">
        <v>46194.04444444444</v>
      </c>
      <c r="K779" s="15" t="n">
        <v>6444.01</v>
      </c>
      <c r="L779" s="4" t="inlineStr">
        <is>
          <t>INR</t>
        </is>
      </c>
      <c r="M779" s="15" t="n">
        <v>-6444.01</v>
      </c>
      <c r="N779" s="4" t="inlineStr">
        <is>
          <t>IOS Owner</t>
        </is>
      </c>
      <c r="O779" s="4" t="n"/>
      <c r="P779" s="4" t="n"/>
      <c r="Q779" s="4" t="inlineStr">
        <is>
          <t>MAESTRO-IOS-PERSONAL-LIFE_OPERATIONS-0778 | Repairs | 6444.01</t>
        </is>
      </c>
      <c r="R779" s="4" t="inlineStr">
        <is>
          <t>iPhone</t>
        </is>
      </c>
      <c r="S779" s="4" t="inlineStr">
        <is>
          <t>B16</t>
        </is>
      </c>
      <c r="T779" s="4" t="inlineStr">
        <is>
          <t>RAMP_501_1500</t>
        </is>
      </c>
      <c r="U779" s="4" t="inlineStr">
        <is>
          <t>CREATED</t>
        </is>
      </c>
      <c r="V779" s="4" t="inlineStr">
        <is>
          <t>idem-20260902-ios-0778</t>
        </is>
      </c>
    </row>
    <row r="780" ht="30" customHeight="1">
      <c r="A780" s="4" t="n">
        <v>779</v>
      </c>
      <c r="B780" s="4" t="inlineStr">
        <is>
          <t>MTR-IOS-0779</t>
        </is>
      </c>
      <c r="C780" s="4" t="inlineStr">
        <is>
          <t>Group</t>
        </is>
      </c>
      <c r="D780" s="4" t="inlineStr">
        <is>
          <t>Shared Purchase</t>
        </is>
      </c>
      <c r="E780" s="4" t="inlineStr">
        <is>
          <t>Gift Pool</t>
        </is>
      </c>
      <c r="F780" s="4" t="inlineStr">
        <is>
          <t>Other</t>
        </is>
      </c>
      <c r="G780" s="4" t="inlineStr">
        <is>
          <t>Expense</t>
        </is>
      </c>
      <c r="H780" s="12" t="n">
        <v>46151</v>
      </c>
      <c r="I780" s="13" t="n">
        <v>0.1003472222222222</v>
      </c>
      <c r="J780" s="14" t="n">
        <v>46151.10034722222</v>
      </c>
      <c r="K780" s="15" t="n">
        <v>7709.54</v>
      </c>
      <c r="L780" s="4" t="inlineStr">
        <is>
          <t>INR</t>
        </is>
      </c>
      <c r="M780" s="15" t="n">
        <v>-7709.54</v>
      </c>
      <c r="N780" s="4" t="inlineStr">
        <is>
          <t>IOS Aarav</t>
        </is>
      </c>
      <c r="O780" s="4" t="n">
        <v>3</v>
      </c>
      <c r="P780" s="4" t="inlineStr">
        <is>
          <t>SHARES</t>
        </is>
      </c>
      <c r="Q780" s="4" t="inlineStr">
        <is>
          <t>MAESTRO-IOS-GROUP-GIFT_POOL-0779 | Other | 7709.54</t>
        </is>
      </c>
      <c r="R780" s="4" t="inlineStr">
        <is>
          <t>iPhone</t>
        </is>
      </c>
      <c r="S780" s="4" t="inlineStr">
        <is>
          <t>B16</t>
        </is>
      </c>
      <c r="T780" s="4" t="inlineStr">
        <is>
          <t>RAMP_501_1500</t>
        </is>
      </c>
      <c r="U780" s="4" t="inlineStr">
        <is>
          <t>CREATED</t>
        </is>
      </c>
      <c r="V780" s="4" t="inlineStr">
        <is>
          <t>idem-20260902-ios-0779</t>
        </is>
      </c>
    </row>
    <row r="781" ht="30" customHeight="1">
      <c r="A781" s="4" t="n">
        <v>780</v>
      </c>
      <c r="B781" s="4" t="inlineStr">
        <is>
          <t>MTR-IOS-0780</t>
        </is>
      </c>
      <c r="C781" s="4" t="inlineStr">
        <is>
          <t>Business</t>
        </is>
      </c>
      <c r="D781" s="4" t="inlineStr">
        <is>
          <t>Business</t>
        </is>
      </c>
      <c r="E781" s="4" t="inlineStr">
        <is>
          <t>Business Runway</t>
        </is>
      </c>
      <c r="F781" s="4" t="inlineStr">
        <is>
          <t>Funding</t>
        </is>
      </c>
      <c r="G781" s="4" t="inlineStr">
        <is>
          <t>Income</t>
        </is>
      </c>
      <c r="H781" s="12" t="n">
        <v>46264</v>
      </c>
      <c r="I781" s="13" t="n">
        <v>0.6920023148148148</v>
      </c>
      <c r="J781" s="14" t="n">
        <v>46264.69200231481</v>
      </c>
      <c r="K781" s="15" t="n">
        <v>87031.49000000001</v>
      </c>
      <c r="L781" s="4" t="inlineStr">
        <is>
          <t>INR</t>
        </is>
      </c>
      <c r="M781" s="15" t="n">
        <v>87031.49000000001</v>
      </c>
      <c r="N781" s="4" t="inlineStr">
        <is>
          <t>IOS Owner</t>
        </is>
      </c>
      <c r="O781" s="4" t="n"/>
      <c r="P781" s="4" t="n"/>
      <c r="Q781" s="4" t="inlineStr">
        <is>
          <t>MAESTRO-IOS-BUSINESS-BUSINESS_RUNWAY-0780 | Funding | 87031.49</t>
        </is>
      </c>
      <c r="R781" s="4" t="inlineStr">
        <is>
          <t>iPhone</t>
        </is>
      </c>
      <c r="S781" s="4" t="inlineStr">
        <is>
          <t>B16</t>
        </is>
      </c>
      <c r="T781" s="4" t="inlineStr">
        <is>
          <t>RAMP_501_1500</t>
        </is>
      </c>
      <c r="U781" s="4" t="inlineStr">
        <is>
          <t>CREATED</t>
        </is>
      </c>
      <c r="V781" s="4" t="inlineStr">
        <is>
          <t>idem-20260902-ios-0780</t>
        </is>
      </c>
    </row>
    <row r="782" ht="30" customHeight="1">
      <c r="A782" s="4" t="n">
        <v>781</v>
      </c>
      <c r="B782" s="4" t="inlineStr">
        <is>
          <t>MTR-IOS-0781</t>
        </is>
      </c>
      <c r="C782" s="4" t="inlineStr">
        <is>
          <t>Personal</t>
        </is>
      </c>
      <c r="D782" s="4" t="inlineStr">
        <is>
          <t>Personal</t>
        </is>
      </c>
      <c r="E782" s="4" t="inlineStr">
        <is>
          <t>Future Building</t>
        </is>
      </c>
      <c r="F782" s="4" t="inlineStr">
        <is>
          <t>Savings</t>
        </is>
      </c>
      <c r="G782" s="4" t="inlineStr">
        <is>
          <t>Transfer</t>
        </is>
      </c>
      <c r="H782" s="12" t="n">
        <v>46046</v>
      </c>
      <c r="I782" s="13" t="n">
        <v>0.9365856481481482</v>
      </c>
      <c r="J782" s="14" t="n">
        <v>46046.93658564815</v>
      </c>
      <c r="K782" s="15" t="n">
        <v>6472.44</v>
      </c>
      <c r="L782" s="4" t="inlineStr">
        <is>
          <t>INR</t>
        </is>
      </c>
      <c r="M782" s="15" t="n">
        <v>0</v>
      </c>
      <c r="N782" s="4" t="inlineStr">
        <is>
          <t>IOS Owner</t>
        </is>
      </c>
      <c r="O782" s="4" t="n"/>
      <c r="P782" s="4" t="n"/>
      <c r="Q782" s="4" t="inlineStr">
        <is>
          <t>MAESTRO-IOS-PERSONAL-FUTURE_BUILDING-0781 | Savings | 6472.44</t>
        </is>
      </c>
      <c r="R782" s="4" t="inlineStr">
        <is>
          <t>iPhone</t>
        </is>
      </c>
      <c r="S782" s="4" t="inlineStr">
        <is>
          <t>B16</t>
        </is>
      </c>
      <c r="T782" s="4" t="inlineStr">
        <is>
          <t>RAMP_501_1500</t>
        </is>
      </c>
      <c r="U782" s="4" t="inlineStr">
        <is>
          <t>CREATED</t>
        </is>
      </c>
      <c r="V782" s="4" t="inlineStr">
        <is>
          <t>idem-20260902-ios-0781</t>
        </is>
      </c>
    </row>
    <row r="783" ht="30" customHeight="1">
      <c r="A783" s="4" t="n">
        <v>782</v>
      </c>
      <c r="B783" s="4" t="inlineStr">
        <is>
          <t>MTR-IOS-0782</t>
        </is>
      </c>
      <c r="C783" s="4" t="inlineStr">
        <is>
          <t>Group</t>
        </is>
      </c>
      <c r="D783" s="4" t="inlineStr">
        <is>
          <t>Shared Purchase</t>
        </is>
      </c>
      <c r="E783" s="4" t="inlineStr">
        <is>
          <t>Purchase</t>
        </is>
      </c>
      <c r="F783" s="4" t="inlineStr">
        <is>
          <t>Item</t>
        </is>
      </c>
      <c r="G783" s="4" t="inlineStr">
        <is>
          <t>Expense</t>
        </is>
      </c>
      <c r="H783" s="12" t="n">
        <v>45967</v>
      </c>
      <c r="I783" s="13" t="n">
        <v>0.7804745370370371</v>
      </c>
      <c r="J783" s="14" t="n">
        <v>45967.78047453704</v>
      </c>
      <c r="K783" s="15" t="n">
        <v>11275.21</v>
      </c>
      <c r="L783" s="4" t="inlineStr">
        <is>
          <t>INR</t>
        </is>
      </c>
      <c r="M783" s="15" t="n">
        <v>-11275.21</v>
      </c>
      <c r="N783" s="4" t="inlineStr">
        <is>
          <t>IOS Meera</t>
        </is>
      </c>
      <c r="O783" s="4" t="n">
        <v>3</v>
      </c>
      <c r="P783" s="4" t="inlineStr">
        <is>
          <t>EQUAL</t>
        </is>
      </c>
      <c r="Q783" s="4" t="inlineStr">
        <is>
          <t>MAESTRO-IOS-GROUP-PURCHASE-0782 | Item | 11275.21</t>
        </is>
      </c>
      <c r="R783" s="4" t="inlineStr">
        <is>
          <t>iPhone</t>
        </is>
      </c>
      <c r="S783" s="4" t="inlineStr">
        <is>
          <t>B16</t>
        </is>
      </c>
      <c r="T783" s="4" t="inlineStr">
        <is>
          <t>RAMP_501_1500</t>
        </is>
      </c>
      <c r="U783" s="4" t="inlineStr">
        <is>
          <t>CREATED</t>
        </is>
      </c>
      <c r="V783" s="4" t="inlineStr">
        <is>
          <t>idem-20260902-ios-0782</t>
        </is>
      </c>
    </row>
    <row r="784" ht="30" customHeight="1">
      <c r="A784" s="4" t="n">
        <v>783</v>
      </c>
      <c r="B784" s="4" t="inlineStr">
        <is>
          <t>MTR-IOS-0783</t>
        </is>
      </c>
      <c r="C784" s="4" t="inlineStr">
        <is>
          <t>Business</t>
        </is>
      </c>
      <c r="D784" s="4" t="inlineStr">
        <is>
          <t>Business</t>
        </is>
      </c>
      <c r="E784" s="4" t="inlineStr">
        <is>
          <t>Business Runway</t>
        </is>
      </c>
      <c r="F784" s="4" t="inlineStr">
        <is>
          <t>Revenue</t>
        </is>
      </c>
      <c r="G784" s="4" t="inlineStr">
        <is>
          <t>Income</t>
        </is>
      </c>
      <c r="H784" s="12" t="n">
        <v>46022</v>
      </c>
      <c r="I784" s="13" t="n">
        <v>0.3022453703703704</v>
      </c>
      <c r="J784" s="14" t="n">
        <v>46022.30224537037</v>
      </c>
      <c r="K784" s="15" t="n">
        <v>131720.98</v>
      </c>
      <c r="L784" s="4" t="inlineStr">
        <is>
          <t>INR</t>
        </is>
      </c>
      <c r="M784" s="15" t="n">
        <v>131720.98</v>
      </c>
      <c r="N784" s="4" t="inlineStr">
        <is>
          <t>IOS Owner</t>
        </is>
      </c>
      <c r="O784" s="4" t="n"/>
      <c r="P784" s="4" t="n"/>
      <c r="Q784" s="4" t="inlineStr">
        <is>
          <t>MAESTRO-IOS-BUSINESS-BUSINESS_RUNWAY-0783 | Revenue | 131720.98</t>
        </is>
      </c>
      <c r="R784" s="4" t="inlineStr">
        <is>
          <t>iPhone</t>
        </is>
      </c>
      <c r="S784" s="4" t="inlineStr">
        <is>
          <t>B16</t>
        </is>
      </c>
      <c r="T784" s="4" t="inlineStr">
        <is>
          <t>RAMP_501_1500</t>
        </is>
      </c>
      <c r="U784" s="4" t="inlineStr">
        <is>
          <t>CREATED</t>
        </is>
      </c>
      <c r="V784" s="4" t="inlineStr">
        <is>
          <t>idem-20260902-ios-0783</t>
        </is>
      </c>
    </row>
    <row r="785" ht="30" customHeight="1">
      <c r="A785" s="4" t="n">
        <v>784</v>
      </c>
      <c r="B785" s="4" t="inlineStr">
        <is>
          <t>MTR-IOS-0784</t>
        </is>
      </c>
      <c r="C785" s="4" t="inlineStr">
        <is>
          <t>Personal</t>
        </is>
      </c>
      <c r="D785" s="4" t="inlineStr">
        <is>
          <t>Personal</t>
        </is>
      </c>
      <c r="E785" s="4" t="inlineStr">
        <is>
          <t>Future Building</t>
        </is>
      </c>
      <c r="F785" s="4" t="inlineStr">
        <is>
          <t>Emergency Fund</t>
        </is>
      </c>
      <c r="G785" s="4" t="inlineStr">
        <is>
          <t>Transfer</t>
        </is>
      </c>
      <c r="H785" s="12" t="n">
        <v>46009</v>
      </c>
      <c r="I785" s="13" t="n">
        <v>0.3856944444444445</v>
      </c>
      <c r="J785" s="14" t="n">
        <v>46009.38569444444</v>
      </c>
      <c r="K785" s="15" t="n">
        <v>4880.59</v>
      </c>
      <c r="L785" s="4" t="inlineStr">
        <is>
          <t>INR</t>
        </is>
      </c>
      <c r="M785" s="15" t="n">
        <v>0</v>
      </c>
      <c r="N785" s="4" t="inlineStr">
        <is>
          <t>IOS Owner</t>
        </is>
      </c>
      <c r="O785" s="4" t="n"/>
      <c r="P785" s="4" t="n"/>
      <c r="Q785" s="4" t="inlineStr">
        <is>
          <t>MAESTRO-IOS-PERSONAL-FUTURE_BUILDING-0784 | Emergency Fund | 4880.59</t>
        </is>
      </c>
      <c r="R785" s="4" t="inlineStr">
        <is>
          <t>iPhone</t>
        </is>
      </c>
      <c r="S785" s="4" t="inlineStr">
        <is>
          <t>B16</t>
        </is>
      </c>
      <c r="T785" s="4" t="inlineStr">
        <is>
          <t>RAMP_501_1500</t>
        </is>
      </c>
      <c r="U785" s="4" t="inlineStr">
        <is>
          <t>CREATED</t>
        </is>
      </c>
      <c r="V785" s="4" t="inlineStr">
        <is>
          <t>idem-20260902-ios-0784</t>
        </is>
      </c>
    </row>
    <row r="786" ht="30" customHeight="1">
      <c r="A786" s="4" t="n">
        <v>785</v>
      </c>
      <c r="B786" s="4" t="inlineStr">
        <is>
          <t>MTR-IOS-0785</t>
        </is>
      </c>
      <c r="C786" s="4" t="inlineStr">
        <is>
          <t>Group</t>
        </is>
      </c>
      <c r="D786" s="4" t="inlineStr">
        <is>
          <t>Shared Purchase</t>
        </is>
      </c>
      <c r="E786" s="4" t="inlineStr">
        <is>
          <t>Purchase</t>
        </is>
      </c>
      <c r="F786" s="4" t="inlineStr">
        <is>
          <t>Shipping</t>
        </is>
      </c>
      <c r="G786" s="4" t="inlineStr">
        <is>
          <t>Expense</t>
        </is>
      </c>
      <c r="H786" s="12" t="n">
        <v>46165</v>
      </c>
      <c r="I786" s="13" t="n">
        <v>0.3632291666666667</v>
      </c>
      <c r="J786" s="14" t="n">
        <v>46165.36322916667</v>
      </c>
      <c r="K786" s="15" t="n">
        <v>5403.62</v>
      </c>
      <c r="L786" s="4" t="inlineStr">
        <is>
          <t>INR</t>
        </is>
      </c>
      <c r="M786" s="15" t="n">
        <v>-5403.62</v>
      </c>
      <c r="N786" s="4" t="inlineStr">
        <is>
          <t>IOS Owner</t>
        </is>
      </c>
      <c r="O786" s="4" t="n">
        <v>3</v>
      </c>
      <c r="P786" s="4" t="inlineStr">
        <is>
          <t>PERCENTAGE</t>
        </is>
      </c>
      <c r="Q786" s="4" t="inlineStr">
        <is>
          <t>MAESTRO-IOS-GROUP-PURCHASE-0785 | Shipping | 5403.62</t>
        </is>
      </c>
      <c r="R786" s="4" t="inlineStr">
        <is>
          <t>iPhone</t>
        </is>
      </c>
      <c r="S786" s="4" t="inlineStr">
        <is>
          <t>B16</t>
        </is>
      </c>
      <c r="T786" s="4" t="inlineStr">
        <is>
          <t>RAMP_501_1500</t>
        </is>
      </c>
      <c r="U786" s="4" t="inlineStr">
        <is>
          <t>CREATED</t>
        </is>
      </c>
      <c r="V786" s="4" t="inlineStr">
        <is>
          <t>idem-20260902-ios-0785</t>
        </is>
      </c>
    </row>
    <row r="787" ht="30" customHeight="1">
      <c r="A787" s="4" t="n">
        <v>786</v>
      </c>
      <c r="B787" s="4" t="inlineStr">
        <is>
          <t>MTR-IOS-0786</t>
        </is>
      </c>
      <c r="C787" s="4" t="inlineStr">
        <is>
          <t>Business</t>
        </is>
      </c>
      <c r="D787" s="4" t="inlineStr">
        <is>
          <t>Business</t>
        </is>
      </c>
      <c r="E787" s="4" t="inlineStr">
        <is>
          <t>Business Runway</t>
        </is>
      </c>
      <c r="F787" s="4" t="inlineStr">
        <is>
          <t>Burn</t>
        </is>
      </c>
      <c r="G787" s="4" t="inlineStr">
        <is>
          <t>Expense</t>
        </is>
      </c>
      <c r="H787" s="12" t="n">
        <v>45962</v>
      </c>
      <c r="I787" s="13" t="n">
        <v>0.1343865740740741</v>
      </c>
      <c r="J787" s="14" t="n">
        <v>45962.13438657407</v>
      </c>
      <c r="K787" s="15" t="n">
        <v>76955.64</v>
      </c>
      <c r="L787" s="4" t="inlineStr">
        <is>
          <t>INR</t>
        </is>
      </c>
      <c r="M787" s="15" t="n">
        <v>-76955.64</v>
      </c>
      <c r="N787" s="4" t="inlineStr">
        <is>
          <t>IOS Owner</t>
        </is>
      </c>
      <c r="O787" s="4" t="n"/>
      <c r="P787" s="4" t="n"/>
      <c r="Q787" s="4" t="inlineStr">
        <is>
          <t>MAESTRO-IOS-BUSINESS-BUSINESS_RUNWAY-0786 | Burn | 76955.64</t>
        </is>
      </c>
      <c r="R787" s="4" t="inlineStr">
        <is>
          <t>iPhone</t>
        </is>
      </c>
      <c r="S787" s="4" t="inlineStr">
        <is>
          <t>B16</t>
        </is>
      </c>
      <c r="T787" s="4" t="inlineStr">
        <is>
          <t>RAMP_501_1500</t>
        </is>
      </c>
      <c r="U787" s="4" t="inlineStr">
        <is>
          <t>CREATED</t>
        </is>
      </c>
      <c r="V787" s="4" t="inlineStr">
        <is>
          <t>idem-20260902-ios-0786</t>
        </is>
      </c>
    </row>
    <row r="788" ht="30" customHeight="1">
      <c r="A788" s="4" t="n">
        <v>787</v>
      </c>
      <c r="B788" s="4" t="inlineStr">
        <is>
          <t>MTR-IOS-0787</t>
        </is>
      </c>
      <c r="C788" s="4" t="inlineStr">
        <is>
          <t>Personal</t>
        </is>
      </c>
      <c r="D788" s="4" t="inlineStr">
        <is>
          <t>Personal</t>
        </is>
      </c>
      <c r="E788" s="4" t="inlineStr">
        <is>
          <t>Future Building</t>
        </is>
      </c>
      <c r="F788" s="4" t="inlineStr">
        <is>
          <t>Investments</t>
        </is>
      </c>
      <c r="G788" s="4" t="inlineStr">
        <is>
          <t>Investment</t>
        </is>
      </c>
      <c r="H788" s="12" t="n">
        <v>46123</v>
      </c>
      <c r="I788" s="13" t="n">
        <v>0.8386921296296296</v>
      </c>
      <c r="J788" s="14" t="n">
        <v>46123.83869212963</v>
      </c>
      <c r="K788" s="15" t="n">
        <v>13529.68</v>
      </c>
      <c r="L788" s="4" t="inlineStr">
        <is>
          <t>INR</t>
        </is>
      </c>
      <c r="M788" s="15" t="n">
        <v>0</v>
      </c>
      <c r="N788" s="4" t="inlineStr">
        <is>
          <t>IOS Owner</t>
        </is>
      </c>
      <c r="O788" s="4" t="n"/>
      <c r="P788" s="4" t="n"/>
      <c r="Q788" s="4" t="inlineStr">
        <is>
          <t>MAESTRO-IOS-PERSONAL-FUTURE_BUILDING-0787 | Investments | 13529.68</t>
        </is>
      </c>
      <c r="R788" s="4" t="inlineStr">
        <is>
          <t>iPhone</t>
        </is>
      </c>
      <c r="S788" s="4" t="inlineStr">
        <is>
          <t>B16</t>
        </is>
      </c>
      <c r="T788" s="4" t="inlineStr">
        <is>
          <t>RAMP_501_1500</t>
        </is>
      </c>
      <c r="U788" s="4" t="inlineStr">
        <is>
          <t>CREATED</t>
        </is>
      </c>
      <c r="V788" s="4" t="inlineStr">
        <is>
          <t>idem-20260902-ios-0787</t>
        </is>
      </c>
    </row>
    <row r="789" ht="30" customHeight="1">
      <c r="A789" s="4" t="n">
        <v>788</v>
      </c>
      <c r="B789" s="4" t="inlineStr">
        <is>
          <t>MTR-IOS-0788</t>
        </is>
      </c>
      <c r="C789" s="4" t="inlineStr">
        <is>
          <t>Group</t>
        </is>
      </c>
      <c r="D789" s="4" t="inlineStr">
        <is>
          <t>Shared Purchase</t>
        </is>
      </c>
      <c r="E789" s="4" t="inlineStr">
        <is>
          <t>Purchase</t>
        </is>
      </c>
      <c r="F789" s="4" t="inlineStr">
        <is>
          <t>Tax</t>
        </is>
      </c>
      <c r="G789" s="4" t="inlineStr">
        <is>
          <t>Expense</t>
        </is>
      </c>
      <c r="H789" s="12" t="n">
        <v>45933</v>
      </c>
      <c r="I789" s="13" t="n">
        <v>0.5594328703703704</v>
      </c>
      <c r="J789" s="14" t="n">
        <v>45933.55943287037</v>
      </c>
      <c r="K789" s="15" t="n">
        <v>12564.93</v>
      </c>
      <c r="L789" s="4" t="inlineStr">
        <is>
          <t>INR</t>
        </is>
      </c>
      <c r="M789" s="15" t="n">
        <v>-12564.93</v>
      </c>
      <c r="N789" s="4" t="inlineStr">
        <is>
          <t>IOS Aarav</t>
        </is>
      </c>
      <c r="O789" s="4" t="n">
        <v>3</v>
      </c>
      <c r="P789" s="4" t="inlineStr">
        <is>
          <t>EXACT</t>
        </is>
      </c>
      <c r="Q789" s="4" t="inlineStr">
        <is>
          <t>MAESTRO-IOS-GROUP-PURCHASE-0788 | Tax | 12564.93</t>
        </is>
      </c>
      <c r="R789" s="4" t="inlineStr">
        <is>
          <t>iPhone</t>
        </is>
      </c>
      <c r="S789" s="4" t="inlineStr">
        <is>
          <t>B16</t>
        </is>
      </c>
      <c r="T789" s="4" t="inlineStr">
        <is>
          <t>RAMP_501_1500</t>
        </is>
      </c>
      <c r="U789" s="4" t="inlineStr">
        <is>
          <t>CREATED</t>
        </is>
      </c>
      <c r="V789" s="4" t="inlineStr">
        <is>
          <t>idem-20260902-ios-0788</t>
        </is>
      </c>
    </row>
    <row r="790" ht="30" customHeight="1">
      <c r="A790" s="4" t="n">
        <v>789</v>
      </c>
      <c r="B790" s="4" t="inlineStr">
        <is>
          <t>MTR-IOS-0789</t>
        </is>
      </c>
      <c r="C790" s="4" t="inlineStr">
        <is>
          <t>Business</t>
        </is>
      </c>
      <c r="D790" s="4" t="inlineStr">
        <is>
          <t>Business</t>
        </is>
      </c>
      <c r="E790" s="4" t="inlineStr">
        <is>
          <t>Business Runway</t>
        </is>
      </c>
      <c r="F790" s="4" t="inlineStr">
        <is>
          <t>Reserve</t>
        </is>
      </c>
      <c r="G790" s="4" t="inlineStr">
        <is>
          <t>Transfer</t>
        </is>
      </c>
      <c r="H790" s="12" t="n">
        <v>46082</v>
      </c>
      <c r="I790" s="13" t="n">
        <v>0.1325925925925926</v>
      </c>
      <c r="J790" s="14" t="n">
        <v>46082.13259259259</v>
      </c>
      <c r="K790" s="15" t="n">
        <v>59444.71</v>
      </c>
      <c r="L790" s="4" t="inlineStr">
        <is>
          <t>INR</t>
        </is>
      </c>
      <c r="M790" s="15" t="n">
        <v>0</v>
      </c>
      <c r="N790" s="4" t="inlineStr">
        <is>
          <t>IOS Owner</t>
        </is>
      </c>
      <c r="O790" s="4" t="n"/>
      <c r="P790" s="4" t="n"/>
      <c r="Q790" s="4" t="inlineStr">
        <is>
          <t>MAESTRO-IOS-BUSINESS-BUSINESS_RUNWAY-0789 | Reserve | 59444.71</t>
        </is>
      </c>
      <c r="R790" s="4" t="inlineStr">
        <is>
          <t>iPhone</t>
        </is>
      </c>
      <c r="S790" s="4" t="inlineStr">
        <is>
          <t>B16</t>
        </is>
      </c>
      <c r="T790" s="4" t="inlineStr">
        <is>
          <t>RAMP_501_1500</t>
        </is>
      </c>
      <c r="U790" s="4" t="inlineStr">
        <is>
          <t>CREATED</t>
        </is>
      </c>
      <c r="V790" s="4" t="inlineStr">
        <is>
          <t>idem-20260902-ios-0789</t>
        </is>
      </c>
    </row>
    <row r="791" ht="30" customHeight="1">
      <c r="A791" s="4" t="n">
        <v>790</v>
      </c>
      <c r="B791" s="4" t="inlineStr">
        <is>
          <t>MTR-IOS-0790</t>
        </is>
      </c>
      <c r="C791" s="4" t="inlineStr">
        <is>
          <t>Personal</t>
        </is>
      </c>
      <c r="D791" s="4" t="inlineStr">
        <is>
          <t>Personal</t>
        </is>
      </c>
      <c r="E791" s="4" t="inlineStr">
        <is>
          <t>Future Building</t>
        </is>
      </c>
      <c r="F791" s="4" t="inlineStr">
        <is>
          <t>Education</t>
        </is>
      </c>
      <c r="G791" s="4" t="inlineStr">
        <is>
          <t>Expense</t>
        </is>
      </c>
      <c r="H791" s="12" t="n">
        <v>46124</v>
      </c>
      <c r="I791" s="13" t="n">
        <v>0.9942476851851851</v>
      </c>
      <c r="J791" s="14" t="n">
        <v>46124.99424768519</v>
      </c>
      <c r="K791" s="15" t="n">
        <v>12753.85</v>
      </c>
      <c r="L791" s="4" t="inlineStr">
        <is>
          <t>INR</t>
        </is>
      </c>
      <c r="M791" s="15" t="n">
        <v>-12753.85</v>
      </c>
      <c r="N791" s="4" t="inlineStr">
        <is>
          <t>IOS Owner</t>
        </is>
      </c>
      <c r="O791" s="4" t="n"/>
      <c r="P791" s="4" t="n"/>
      <c r="Q791" s="4" t="inlineStr">
        <is>
          <t>MAESTRO-IOS-PERSONAL-FUTURE_BUILDING-0790 | Education | 12753.85</t>
        </is>
      </c>
      <c r="R791" s="4" t="inlineStr">
        <is>
          <t>iPhone</t>
        </is>
      </c>
      <c r="S791" s="4" t="inlineStr">
        <is>
          <t>B16</t>
        </is>
      </c>
      <c r="T791" s="4" t="inlineStr">
        <is>
          <t>RAMP_501_1500</t>
        </is>
      </c>
      <c r="U791" s="4" t="inlineStr">
        <is>
          <t>CREATED</t>
        </is>
      </c>
      <c r="V791" s="4" t="inlineStr">
        <is>
          <t>idem-20260902-ios-0790</t>
        </is>
      </c>
    </row>
    <row r="792" ht="30" customHeight="1">
      <c r="A792" s="4" t="n">
        <v>791</v>
      </c>
      <c r="B792" s="4" t="inlineStr">
        <is>
          <t>MTR-IOS-0791</t>
        </is>
      </c>
      <c r="C792" s="4" t="inlineStr">
        <is>
          <t>Group</t>
        </is>
      </c>
      <c r="D792" s="4" t="inlineStr">
        <is>
          <t>Shared Purchase</t>
        </is>
      </c>
      <c r="E792" s="4" t="inlineStr">
        <is>
          <t>Purchase</t>
        </is>
      </c>
      <c r="F792" s="4" t="inlineStr">
        <is>
          <t>Other</t>
        </is>
      </c>
      <c r="G792" s="4" t="inlineStr">
        <is>
          <t>Expense</t>
        </is>
      </c>
      <c r="H792" s="12" t="n">
        <v>46072</v>
      </c>
      <c r="I792" s="13" t="n">
        <v>0.2860648148148148</v>
      </c>
      <c r="J792" s="14" t="n">
        <v>46072.28606481481</v>
      </c>
      <c r="K792" s="15" t="n">
        <v>24453</v>
      </c>
      <c r="L792" s="4" t="inlineStr">
        <is>
          <t>INR</t>
        </is>
      </c>
      <c r="M792" s="15" t="n">
        <v>-24453</v>
      </c>
      <c r="N792" s="4" t="inlineStr">
        <is>
          <t>IOS Meera</t>
        </is>
      </c>
      <c r="O792" s="4" t="n">
        <v>3</v>
      </c>
      <c r="P792" s="4" t="inlineStr">
        <is>
          <t>SHARES</t>
        </is>
      </c>
      <c r="Q792" s="4" t="inlineStr">
        <is>
          <t>MAESTRO-IOS-GROUP-PURCHASE-0791 | Other | 24453.00</t>
        </is>
      </c>
      <c r="R792" s="4" t="inlineStr">
        <is>
          <t>iPhone</t>
        </is>
      </c>
      <c r="S792" s="4" t="inlineStr">
        <is>
          <t>B16</t>
        </is>
      </c>
      <c r="T792" s="4" t="inlineStr">
        <is>
          <t>RAMP_501_1500</t>
        </is>
      </c>
      <c r="U792" s="4" t="inlineStr">
        <is>
          <t>CREATED</t>
        </is>
      </c>
      <c r="V792" s="4" t="inlineStr">
        <is>
          <t>idem-20260902-ios-0791</t>
        </is>
      </c>
    </row>
    <row r="793" ht="30" customHeight="1">
      <c r="A793" s="4" t="n">
        <v>792</v>
      </c>
      <c r="B793" s="4" t="inlineStr">
        <is>
          <t>MTR-IOS-0792</t>
        </is>
      </c>
      <c r="C793" s="4" t="inlineStr">
        <is>
          <t>Business</t>
        </is>
      </c>
      <c r="D793" s="4" t="inlineStr">
        <is>
          <t>Business</t>
        </is>
      </c>
      <c r="E793" s="4" t="inlineStr">
        <is>
          <t>Business Runway</t>
        </is>
      </c>
      <c r="F793" s="4" t="inlineStr">
        <is>
          <t>Loan</t>
        </is>
      </c>
      <c r="G793" s="4" t="inlineStr">
        <is>
          <t>Income</t>
        </is>
      </c>
      <c r="H793" s="12" t="n">
        <v>46228</v>
      </c>
      <c r="I793" s="13" t="n">
        <v>0.1542824074074074</v>
      </c>
      <c r="J793" s="14" t="n">
        <v>46228.15428240741</v>
      </c>
      <c r="K793" s="15" t="n">
        <v>105313.17</v>
      </c>
      <c r="L793" s="4" t="inlineStr">
        <is>
          <t>INR</t>
        </is>
      </c>
      <c r="M793" s="15" t="n">
        <v>105313.17</v>
      </c>
      <c r="N793" s="4" t="inlineStr">
        <is>
          <t>IOS Owner</t>
        </is>
      </c>
      <c r="O793" s="4" t="n"/>
      <c r="P793" s="4" t="n"/>
      <c r="Q793" s="4" t="inlineStr">
        <is>
          <t>MAESTRO-IOS-BUSINESS-BUSINESS_RUNWAY-0792 | Loan | 105313.17</t>
        </is>
      </c>
      <c r="R793" s="4" t="inlineStr">
        <is>
          <t>iPhone</t>
        </is>
      </c>
      <c r="S793" s="4" t="inlineStr">
        <is>
          <t>B16</t>
        </is>
      </c>
      <c r="T793" s="4" t="inlineStr">
        <is>
          <t>RAMP_501_1500</t>
        </is>
      </c>
      <c r="U793" s="4" t="inlineStr">
        <is>
          <t>CREATED</t>
        </is>
      </c>
      <c r="V793" s="4" t="inlineStr">
        <is>
          <t>idem-20260902-ios-0792</t>
        </is>
      </c>
    </row>
    <row r="794" ht="30" customHeight="1">
      <c r="A794" s="4" t="n">
        <v>793</v>
      </c>
      <c r="B794" s="4" t="inlineStr">
        <is>
          <t>MTR-IOS-0793</t>
        </is>
      </c>
      <c r="C794" s="4" t="inlineStr">
        <is>
          <t>Personal</t>
        </is>
      </c>
      <c r="D794" s="4" t="inlineStr">
        <is>
          <t>Personal</t>
        </is>
      </c>
      <c r="E794" s="4" t="inlineStr">
        <is>
          <t>Future Building</t>
        </is>
      </c>
      <c r="F794" s="4" t="inlineStr">
        <is>
          <t>Goal Contribution</t>
        </is>
      </c>
      <c r="G794" s="4" t="inlineStr">
        <is>
          <t>Transfer</t>
        </is>
      </c>
      <c r="H794" s="12" t="n">
        <v>45973</v>
      </c>
      <c r="I794" s="13" t="n">
        <v>0.9193518518518519</v>
      </c>
      <c r="J794" s="14" t="n">
        <v>45973.91935185185</v>
      </c>
      <c r="K794" s="15" t="n">
        <v>7124.49</v>
      </c>
      <c r="L794" s="4" t="inlineStr">
        <is>
          <t>INR</t>
        </is>
      </c>
      <c r="M794" s="15" t="n">
        <v>0</v>
      </c>
      <c r="N794" s="4" t="inlineStr">
        <is>
          <t>IOS Owner</t>
        </is>
      </c>
      <c r="O794" s="4" t="n"/>
      <c r="P794" s="4" t="n"/>
      <c r="Q794" s="4" t="inlineStr">
        <is>
          <t>MAESTRO-IOS-PERSONAL-FUTURE_BUILDING-0793 | Goal Contribution | 7124.49</t>
        </is>
      </c>
      <c r="R794" s="4" t="inlineStr">
        <is>
          <t>iPhone</t>
        </is>
      </c>
      <c r="S794" s="4" t="inlineStr">
        <is>
          <t>B16</t>
        </is>
      </c>
      <c r="T794" s="4" t="inlineStr">
        <is>
          <t>RAMP_501_1500</t>
        </is>
      </c>
      <c r="U794" s="4" t="inlineStr">
        <is>
          <t>CREATED</t>
        </is>
      </c>
      <c r="V794" s="4" t="inlineStr">
        <is>
          <t>idem-20260902-ios-0793</t>
        </is>
      </c>
    </row>
    <row r="795" ht="30" customHeight="1">
      <c r="A795" s="4" t="n">
        <v>794</v>
      </c>
      <c r="B795" s="4" t="inlineStr">
        <is>
          <t>MTR-IOS-0794</t>
        </is>
      </c>
      <c r="C795" s="4" t="inlineStr">
        <is>
          <t>Group</t>
        </is>
      </c>
      <c r="D795" s="4" t="inlineStr">
        <is>
          <t>Shared Purchase</t>
        </is>
      </c>
      <c r="E795" s="4" t="inlineStr">
        <is>
          <t>Assets</t>
        </is>
      </c>
      <c r="F795" s="4" t="inlineStr">
        <is>
          <t>Purchase</t>
        </is>
      </c>
      <c r="G795" s="4" t="inlineStr">
        <is>
          <t>Expense</t>
        </is>
      </c>
      <c r="H795" s="12" t="n">
        <v>46160</v>
      </c>
      <c r="I795" s="13" t="n">
        <v>0.5935648148148148</v>
      </c>
      <c r="J795" s="14" t="n">
        <v>46160.59356481482</v>
      </c>
      <c r="K795" s="15" t="n">
        <v>7894.57</v>
      </c>
      <c r="L795" s="4" t="inlineStr">
        <is>
          <t>INR</t>
        </is>
      </c>
      <c r="M795" s="15" t="n">
        <v>-7894.57</v>
      </c>
      <c r="N795" s="4" t="inlineStr">
        <is>
          <t>IOS Owner</t>
        </is>
      </c>
      <c r="O795" s="4" t="n">
        <v>3</v>
      </c>
      <c r="P795" s="4" t="inlineStr">
        <is>
          <t>EQUAL</t>
        </is>
      </c>
      <c r="Q795" s="4" t="inlineStr">
        <is>
          <t>MAESTRO-IOS-GROUP-ASSETS-0794 | Purchase | 7894.57</t>
        </is>
      </c>
      <c r="R795" s="4" t="inlineStr">
        <is>
          <t>iPhone</t>
        </is>
      </c>
      <c r="S795" s="4" t="inlineStr">
        <is>
          <t>B16</t>
        </is>
      </c>
      <c r="T795" s="4" t="inlineStr">
        <is>
          <t>RAMP_501_1500</t>
        </is>
      </c>
      <c r="U795" s="4" t="inlineStr">
        <is>
          <t>CREATED</t>
        </is>
      </c>
      <c r="V795" s="4" t="inlineStr">
        <is>
          <t>idem-20260902-ios-0794</t>
        </is>
      </c>
    </row>
    <row r="796" ht="30" customHeight="1">
      <c r="A796" s="4" t="n">
        <v>795</v>
      </c>
      <c r="B796" s="4" t="inlineStr">
        <is>
          <t>MTR-IOS-0795</t>
        </is>
      </c>
      <c r="C796" s="4" t="inlineStr">
        <is>
          <t>Business</t>
        </is>
      </c>
      <c r="D796" s="4" t="inlineStr">
        <is>
          <t>Business</t>
        </is>
      </c>
      <c r="E796" s="4" t="inlineStr">
        <is>
          <t>Business Runway</t>
        </is>
      </c>
      <c r="F796" s="4" t="inlineStr">
        <is>
          <t>Investment</t>
        </is>
      </c>
      <c r="G796" s="4" t="inlineStr">
        <is>
          <t>Income</t>
        </is>
      </c>
      <c r="H796" s="12" t="n">
        <v>46120</v>
      </c>
      <c r="I796" s="13" t="n">
        <v>0.08957175925925925</v>
      </c>
      <c r="J796" s="14" t="n">
        <v>46120.08957175926</v>
      </c>
      <c r="K796" s="15" t="n">
        <v>62513.98</v>
      </c>
      <c r="L796" s="4" t="inlineStr">
        <is>
          <t>INR</t>
        </is>
      </c>
      <c r="M796" s="15" t="n">
        <v>62513.98</v>
      </c>
      <c r="N796" s="4" t="inlineStr">
        <is>
          <t>IOS Owner</t>
        </is>
      </c>
      <c r="O796" s="4" t="n"/>
      <c r="P796" s="4" t="n"/>
      <c r="Q796" s="4" t="inlineStr">
        <is>
          <t>MAESTRO-IOS-BUSINESS-BUSINESS_RUNWAY-0795 | Investment | 62513.98</t>
        </is>
      </c>
      <c r="R796" s="4" t="inlineStr">
        <is>
          <t>iPhone</t>
        </is>
      </c>
      <c r="S796" s="4" t="inlineStr">
        <is>
          <t>B16</t>
        </is>
      </c>
      <c r="T796" s="4" t="inlineStr">
        <is>
          <t>RAMP_501_1500</t>
        </is>
      </c>
      <c r="U796" s="4" t="inlineStr">
        <is>
          <t>CREATED</t>
        </is>
      </c>
      <c r="V796" s="4" t="inlineStr">
        <is>
          <t>idem-20260902-ios-0795</t>
        </is>
      </c>
    </row>
    <row r="797" ht="30" customHeight="1">
      <c r="A797" s="4" t="n">
        <v>796</v>
      </c>
      <c r="B797" s="4" t="inlineStr">
        <is>
          <t>MTR-IOS-0796</t>
        </is>
      </c>
      <c r="C797" s="4" t="inlineStr">
        <is>
          <t>Personal</t>
        </is>
      </c>
      <c r="D797" s="4" t="inlineStr">
        <is>
          <t>Personal</t>
        </is>
      </c>
      <c r="E797" s="4" t="inlineStr">
        <is>
          <t>Lifestyle</t>
        </is>
      </c>
      <c r="F797" s="4" t="inlineStr">
        <is>
          <t>Dining</t>
        </is>
      </c>
      <c r="G797" s="4" t="inlineStr">
        <is>
          <t>Expense</t>
        </is>
      </c>
      <c r="H797" s="12" t="n">
        <v>46266</v>
      </c>
      <c r="I797" s="13" t="n">
        <v>0.160462962962963</v>
      </c>
      <c r="J797" s="14" t="n">
        <v>46266.16046296297</v>
      </c>
      <c r="K797" s="15" t="n">
        <v>3196.74</v>
      </c>
      <c r="L797" s="4" t="inlineStr">
        <is>
          <t>INR</t>
        </is>
      </c>
      <c r="M797" s="15" t="n">
        <v>-3196.74</v>
      </c>
      <c r="N797" s="4" t="inlineStr">
        <is>
          <t>IOS Owner</t>
        </is>
      </c>
      <c r="O797" s="4" t="n"/>
      <c r="P797" s="4" t="n"/>
      <c r="Q797" s="4" t="inlineStr">
        <is>
          <t>MAESTRO-IOS-PERSONAL-LIFESTYLE-0796 | Dining | 3196.74</t>
        </is>
      </c>
      <c r="R797" s="4" t="inlineStr">
        <is>
          <t>iPhone</t>
        </is>
      </c>
      <c r="S797" s="4" t="inlineStr">
        <is>
          <t>B16</t>
        </is>
      </c>
      <c r="T797" s="4" t="inlineStr">
        <is>
          <t>RAMP_501_1500</t>
        </is>
      </c>
      <c r="U797" s="4" t="inlineStr">
        <is>
          <t>CREATED</t>
        </is>
      </c>
      <c r="V797" s="4" t="inlineStr">
        <is>
          <t>idem-20260902-ios-0796</t>
        </is>
      </c>
    </row>
    <row r="798" ht="30" customHeight="1">
      <c r="A798" s="4" t="n">
        <v>797</v>
      </c>
      <c r="B798" s="4" t="inlineStr">
        <is>
          <t>MTR-IOS-0797</t>
        </is>
      </c>
      <c r="C798" s="4" t="inlineStr">
        <is>
          <t>Group</t>
        </is>
      </c>
      <c r="D798" s="4" t="inlineStr">
        <is>
          <t>Shared Purchase</t>
        </is>
      </c>
      <c r="E798" s="4" t="inlineStr">
        <is>
          <t>Assets</t>
        </is>
      </c>
      <c r="F798" s="4" t="inlineStr">
        <is>
          <t>Maintenance</t>
        </is>
      </c>
      <c r="G798" s="4" t="inlineStr">
        <is>
          <t>Expense</t>
        </is>
      </c>
      <c r="H798" s="12" t="n">
        <v>45906</v>
      </c>
      <c r="I798" s="13" t="n">
        <v>0.157974537037037</v>
      </c>
      <c r="J798" s="14" t="n">
        <v>45906.15797453704</v>
      </c>
      <c r="K798" s="15" t="n">
        <v>11559.44</v>
      </c>
      <c r="L798" s="4" t="inlineStr">
        <is>
          <t>INR</t>
        </is>
      </c>
      <c r="M798" s="15" t="n">
        <v>-11559.44</v>
      </c>
      <c r="N798" s="4" t="inlineStr">
        <is>
          <t>IOS Aarav</t>
        </is>
      </c>
      <c r="O798" s="4" t="n">
        <v>3</v>
      </c>
      <c r="P798" s="4" t="inlineStr">
        <is>
          <t>PERCENTAGE</t>
        </is>
      </c>
      <c r="Q798" s="4" t="inlineStr">
        <is>
          <t>MAESTRO-IOS-GROUP-ASSETS-0797 | Maintenance | 11559.44</t>
        </is>
      </c>
      <c r="R798" s="4" t="inlineStr">
        <is>
          <t>iPhone</t>
        </is>
      </c>
      <c r="S798" s="4" t="inlineStr">
        <is>
          <t>B16</t>
        </is>
      </c>
      <c r="T798" s="4" t="inlineStr">
        <is>
          <t>RAMP_501_1500</t>
        </is>
      </c>
      <c r="U798" s="4" t="inlineStr">
        <is>
          <t>CREATED</t>
        </is>
      </c>
      <c r="V798" s="4" t="inlineStr">
        <is>
          <t>idem-20260902-ios-0797</t>
        </is>
      </c>
    </row>
    <row r="799" ht="30" customHeight="1">
      <c r="A799" s="4" t="n">
        <v>798</v>
      </c>
      <c r="B799" s="4" t="inlineStr">
        <is>
          <t>MTR-IOS-0798</t>
        </is>
      </c>
      <c r="C799" s="4" t="inlineStr">
        <is>
          <t>Business</t>
        </is>
      </c>
      <c r="D799" s="4" t="inlineStr">
        <is>
          <t>Business</t>
        </is>
      </c>
      <c r="E799" s="4" t="inlineStr">
        <is>
          <t>Business Operations</t>
        </is>
      </c>
      <c r="F799" s="4" t="inlineStr">
        <is>
          <t>Software</t>
        </is>
      </c>
      <c r="G799" s="4" t="inlineStr">
        <is>
          <t>Expense</t>
        </is>
      </c>
      <c r="H799" s="12" t="n">
        <v>46157</v>
      </c>
      <c r="I799" s="13" t="n">
        <v>0.5376273148148148</v>
      </c>
      <c r="J799" s="14" t="n">
        <v>46157.53762731481</v>
      </c>
      <c r="K799" s="15" t="n">
        <v>61804.71</v>
      </c>
      <c r="L799" s="4" t="inlineStr">
        <is>
          <t>INR</t>
        </is>
      </c>
      <c r="M799" s="15" t="n">
        <v>-61804.71</v>
      </c>
      <c r="N799" s="4" t="inlineStr">
        <is>
          <t>IOS Owner</t>
        </is>
      </c>
      <c r="O799" s="4" t="n"/>
      <c r="P799" s="4" t="n"/>
      <c r="Q799" s="4" t="inlineStr">
        <is>
          <t>MAESTRO-IOS-BUSINESS-BUSINESS_OPERATIONS-0798 | Software | 61804.71</t>
        </is>
      </c>
      <c r="R799" s="4" t="inlineStr">
        <is>
          <t>iPhone</t>
        </is>
      </c>
      <c r="S799" s="4" t="inlineStr">
        <is>
          <t>B16</t>
        </is>
      </c>
      <c r="T799" s="4" t="inlineStr">
        <is>
          <t>RAMP_501_1500</t>
        </is>
      </c>
      <c r="U799" s="4" t="inlineStr">
        <is>
          <t>CREATED</t>
        </is>
      </c>
      <c r="V799" s="4" t="inlineStr">
        <is>
          <t>idem-20260902-ios-0798</t>
        </is>
      </c>
    </row>
    <row r="800" ht="30" customHeight="1">
      <c r="A800" s="4" t="n">
        <v>799</v>
      </c>
      <c r="B800" s="4" t="inlineStr">
        <is>
          <t>MTR-IOS-0799</t>
        </is>
      </c>
      <c r="C800" s="4" t="inlineStr">
        <is>
          <t>Personal</t>
        </is>
      </c>
      <c r="D800" s="4" t="inlineStr">
        <is>
          <t>Personal</t>
        </is>
      </c>
      <c r="E800" s="4" t="inlineStr">
        <is>
          <t>Lifestyle</t>
        </is>
      </c>
      <c r="F800" s="4" t="inlineStr">
        <is>
          <t>Shopping</t>
        </is>
      </c>
      <c r="G800" s="4" t="inlineStr">
        <is>
          <t>Expense</t>
        </is>
      </c>
      <c r="H800" s="12" t="n">
        <v>46038</v>
      </c>
      <c r="I800" s="13" t="n">
        <v>0.8692245370370371</v>
      </c>
      <c r="J800" s="14" t="n">
        <v>46038.86922453704</v>
      </c>
      <c r="K800" s="15" t="n">
        <v>5969.08</v>
      </c>
      <c r="L800" s="4" t="inlineStr">
        <is>
          <t>INR</t>
        </is>
      </c>
      <c r="M800" s="15" t="n">
        <v>-5969.08</v>
      </c>
      <c r="N800" s="4" t="inlineStr">
        <is>
          <t>IOS Owner</t>
        </is>
      </c>
      <c r="O800" s="4" t="n"/>
      <c r="P800" s="4" t="n"/>
      <c r="Q800" s="4" t="inlineStr">
        <is>
          <t>MAESTRO-IOS-PERSONAL-LIFESTYLE-0799 | Shopping | 5969.08</t>
        </is>
      </c>
      <c r="R800" s="4" t="inlineStr">
        <is>
          <t>iPhone</t>
        </is>
      </c>
      <c r="S800" s="4" t="inlineStr">
        <is>
          <t>B16</t>
        </is>
      </c>
      <c r="T800" s="4" t="inlineStr">
        <is>
          <t>RAMP_501_1500</t>
        </is>
      </c>
      <c r="U800" s="4" t="inlineStr">
        <is>
          <t>CREATED</t>
        </is>
      </c>
      <c r="V800" s="4" t="inlineStr">
        <is>
          <t>idem-20260902-ios-0799</t>
        </is>
      </c>
    </row>
    <row r="801" ht="30" customHeight="1">
      <c r="A801" s="4" t="n">
        <v>800</v>
      </c>
      <c r="B801" s="4" t="inlineStr">
        <is>
          <t>MTR-IOS-0800</t>
        </is>
      </c>
      <c r="C801" s="4" t="inlineStr">
        <is>
          <t>Group</t>
        </is>
      </c>
      <c r="D801" s="4" t="inlineStr">
        <is>
          <t>Shared Purchase</t>
        </is>
      </c>
      <c r="E801" s="4" t="inlineStr">
        <is>
          <t>Assets</t>
        </is>
      </c>
      <c r="F801" s="4" t="inlineStr">
        <is>
          <t>Repair</t>
        </is>
      </c>
      <c r="G801" s="4" t="inlineStr">
        <is>
          <t>Expense</t>
        </is>
      </c>
      <c r="H801" s="12" t="n">
        <v>46183</v>
      </c>
      <c r="I801" s="13" t="n">
        <v>0.4978819444444444</v>
      </c>
      <c r="J801" s="14" t="n">
        <v>46183.49788194444</v>
      </c>
      <c r="K801" s="15" t="n">
        <v>20159.69</v>
      </c>
      <c r="L801" s="4" t="inlineStr">
        <is>
          <t>INR</t>
        </is>
      </c>
      <c r="M801" s="15" t="n">
        <v>-20159.69</v>
      </c>
      <c r="N801" s="4" t="inlineStr">
        <is>
          <t>IOS Meera</t>
        </is>
      </c>
      <c r="O801" s="4" t="n">
        <v>3</v>
      </c>
      <c r="P801" s="4" t="inlineStr">
        <is>
          <t>EXACT</t>
        </is>
      </c>
      <c r="Q801" s="4" t="inlineStr">
        <is>
          <t>MAESTRO-IOS-GROUP-ASSETS-0800 | Repair | 20159.69</t>
        </is>
      </c>
      <c r="R801" s="4" t="inlineStr">
        <is>
          <t>iPhone</t>
        </is>
      </c>
      <c r="S801" s="4" t="inlineStr">
        <is>
          <t>B16</t>
        </is>
      </c>
      <c r="T801" s="4" t="inlineStr">
        <is>
          <t>RAMP_501_1500</t>
        </is>
      </c>
      <c r="U801" s="4" t="inlineStr">
        <is>
          <t>CREATED</t>
        </is>
      </c>
      <c r="V801" s="4" t="inlineStr">
        <is>
          <t>idem-20260902-ios-0800</t>
        </is>
      </c>
    </row>
    <row r="802" ht="30" customHeight="1">
      <c r="A802" s="4" t="n">
        <v>801</v>
      </c>
      <c r="B802" s="4" t="inlineStr">
        <is>
          <t>MTR-IOS-0801</t>
        </is>
      </c>
      <c r="C802" s="4" t="inlineStr">
        <is>
          <t>Business</t>
        </is>
      </c>
      <c r="D802" s="4" t="inlineStr">
        <is>
          <t>Business</t>
        </is>
      </c>
      <c r="E802" s="4" t="inlineStr">
        <is>
          <t>Business Operations</t>
        </is>
      </c>
      <c r="F802" s="4" t="inlineStr">
        <is>
          <t>Rent</t>
        </is>
      </c>
      <c r="G802" s="4" t="inlineStr">
        <is>
          <t>Expense</t>
        </is>
      </c>
      <c r="H802" s="12" t="n">
        <v>45916</v>
      </c>
      <c r="I802" s="13" t="n">
        <v>0.186099537037037</v>
      </c>
      <c r="J802" s="14" t="n">
        <v>45916.18609953704</v>
      </c>
      <c r="K802" s="15" t="n">
        <v>121565.26</v>
      </c>
      <c r="L802" s="4" t="inlineStr">
        <is>
          <t>INR</t>
        </is>
      </c>
      <c r="M802" s="15" t="n">
        <v>-121565.26</v>
      </c>
      <c r="N802" s="4" t="inlineStr">
        <is>
          <t>IOS Owner</t>
        </is>
      </c>
      <c r="O802" s="4" t="n"/>
      <c r="P802" s="4" t="n"/>
      <c r="Q802" s="4" t="inlineStr">
        <is>
          <t>MAESTRO-IOS-BUSINESS-BUSINESS_OPERATIONS-0801 | Rent | 121565.26</t>
        </is>
      </c>
      <c r="R802" s="4" t="inlineStr">
        <is>
          <t>iPhone</t>
        </is>
      </c>
      <c r="S802" s="4" t="inlineStr">
        <is>
          <t>B17</t>
        </is>
      </c>
      <c r="T802" s="4" t="inlineStr">
        <is>
          <t>RAMP_501_1500</t>
        </is>
      </c>
      <c r="U802" s="4" t="inlineStr">
        <is>
          <t>CREATED</t>
        </is>
      </c>
      <c r="V802" s="4" t="inlineStr">
        <is>
          <t>idem-20260902-ios-0801</t>
        </is>
      </c>
    </row>
    <row r="803" ht="30" customHeight="1">
      <c r="A803" s="4" t="n">
        <v>802</v>
      </c>
      <c r="B803" s="4" t="inlineStr">
        <is>
          <t>MTR-IOS-0802</t>
        </is>
      </c>
      <c r="C803" s="4" t="inlineStr">
        <is>
          <t>Personal</t>
        </is>
      </c>
      <c r="D803" s="4" t="inlineStr">
        <is>
          <t>Personal</t>
        </is>
      </c>
      <c r="E803" s="4" t="inlineStr">
        <is>
          <t>Lifestyle</t>
        </is>
      </c>
      <c r="F803" s="4" t="inlineStr">
        <is>
          <t>Entertainment</t>
        </is>
      </c>
      <c r="G803" s="4" t="inlineStr">
        <is>
          <t>Expense</t>
        </is>
      </c>
      <c r="H803" s="12" t="n">
        <v>46254</v>
      </c>
      <c r="I803" s="13" t="n">
        <v>0.7351967592592593</v>
      </c>
      <c r="J803" s="14" t="n">
        <v>46254.73519675926</v>
      </c>
      <c r="K803" s="15" t="n">
        <v>16517.6</v>
      </c>
      <c r="L803" s="4" t="inlineStr">
        <is>
          <t>INR</t>
        </is>
      </c>
      <c r="M803" s="15" t="n">
        <v>-16517.6</v>
      </c>
      <c r="N803" s="4" t="inlineStr">
        <is>
          <t>IOS Owner</t>
        </is>
      </c>
      <c r="O803" s="4" t="n"/>
      <c r="P803" s="4" t="n"/>
      <c r="Q803" s="4" t="inlineStr">
        <is>
          <t>MAESTRO-IOS-PERSONAL-LIFESTYLE-0802 | Entertainment | 16517.60</t>
        </is>
      </c>
      <c r="R803" s="4" t="inlineStr">
        <is>
          <t>iPhone</t>
        </is>
      </c>
      <c r="S803" s="4" t="inlineStr">
        <is>
          <t>B17</t>
        </is>
      </c>
      <c r="T803" s="4" t="inlineStr">
        <is>
          <t>RAMP_501_1500</t>
        </is>
      </c>
      <c r="U803" s="4" t="inlineStr">
        <is>
          <t>CREATED</t>
        </is>
      </c>
      <c r="V803" s="4" t="inlineStr">
        <is>
          <t>idem-20260902-ios-0802</t>
        </is>
      </c>
    </row>
    <row r="804" ht="30" customHeight="1">
      <c r="A804" s="4" t="n">
        <v>803</v>
      </c>
      <c r="B804" s="4" t="inlineStr">
        <is>
          <t>MTR-IOS-0803</t>
        </is>
      </c>
      <c r="C804" s="4" t="inlineStr">
        <is>
          <t>Group</t>
        </is>
      </c>
      <c r="D804" s="4" t="inlineStr">
        <is>
          <t>Shared Purchase</t>
        </is>
      </c>
      <c r="E804" s="4" t="inlineStr">
        <is>
          <t>Assets</t>
        </is>
      </c>
      <c r="F804" s="4" t="inlineStr">
        <is>
          <t>Insurance</t>
        </is>
      </c>
      <c r="G804" s="4" t="inlineStr">
        <is>
          <t>Expense</t>
        </is>
      </c>
      <c r="H804" s="12" t="n">
        <v>45946</v>
      </c>
      <c r="I804" s="13" t="n">
        <v>0.3300462962962963</v>
      </c>
      <c r="J804" s="14" t="n">
        <v>45946.33004629629</v>
      </c>
      <c r="K804" s="15" t="n">
        <v>19594.23</v>
      </c>
      <c r="L804" s="4" t="inlineStr">
        <is>
          <t>INR</t>
        </is>
      </c>
      <c r="M804" s="15" t="n">
        <v>-19594.23</v>
      </c>
      <c r="N804" s="4" t="inlineStr">
        <is>
          <t>IOS Owner</t>
        </is>
      </c>
      <c r="O804" s="4" t="n">
        <v>3</v>
      </c>
      <c r="P804" s="4" t="inlineStr">
        <is>
          <t>SHARES</t>
        </is>
      </c>
      <c r="Q804" s="4" t="inlineStr">
        <is>
          <t>MAESTRO-IOS-GROUP-ASSETS-0803 | Insurance | 19594.23</t>
        </is>
      </c>
      <c r="R804" s="4" t="inlineStr">
        <is>
          <t>iPhone</t>
        </is>
      </c>
      <c r="S804" s="4" t="inlineStr">
        <is>
          <t>B17</t>
        </is>
      </c>
      <c r="T804" s="4" t="inlineStr">
        <is>
          <t>RAMP_501_1500</t>
        </is>
      </c>
      <c r="U804" s="4" t="inlineStr">
        <is>
          <t>CREATED</t>
        </is>
      </c>
      <c r="V804" s="4" t="inlineStr">
        <is>
          <t>idem-20260902-ios-0803</t>
        </is>
      </c>
    </row>
    <row r="805" ht="30" customHeight="1">
      <c r="A805" s="4" t="n">
        <v>804</v>
      </c>
      <c r="B805" s="4" t="inlineStr">
        <is>
          <t>MTR-IOS-0804</t>
        </is>
      </c>
      <c r="C805" s="4" t="inlineStr">
        <is>
          <t>Business</t>
        </is>
      </c>
      <c r="D805" s="4" t="inlineStr">
        <is>
          <t>Business</t>
        </is>
      </c>
      <c r="E805" s="4" t="inlineStr">
        <is>
          <t>Business Operations</t>
        </is>
      </c>
      <c r="F805" s="4" t="inlineStr">
        <is>
          <t>Marketing</t>
        </is>
      </c>
      <c r="G805" s="4" t="inlineStr">
        <is>
          <t>Expense</t>
        </is>
      </c>
      <c r="H805" s="12" t="n">
        <v>46079</v>
      </c>
      <c r="I805" s="13" t="n">
        <v>0.5319675925925926</v>
      </c>
      <c r="J805" s="14" t="n">
        <v>46079.53196759259</v>
      </c>
      <c r="K805" s="15" t="n">
        <v>94690.02</v>
      </c>
      <c r="L805" s="4" t="inlineStr">
        <is>
          <t>INR</t>
        </is>
      </c>
      <c r="M805" s="15" t="n">
        <v>-94690.02</v>
      </c>
      <c r="N805" s="4" t="inlineStr">
        <is>
          <t>IOS Owner</t>
        </is>
      </c>
      <c r="O805" s="4" t="n"/>
      <c r="P805" s="4" t="n"/>
      <c r="Q805" s="4" t="inlineStr">
        <is>
          <t>MAESTRO-IOS-BUSINESS-BUSINESS_OPERATIONS-0804 | Marketing | 94690.02</t>
        </is>
      </c>
      <c r="R805" s="4" t="inlineStr">
        <is>
          <t>iPhone</t>
        </is>
      </c>
      <c r="S805" s="4" t="inlineStr">
        <is>
          <t>B17</t>
        </is>
      </c>
      <c r="T805" s="4" t="inlineStr">
        <is>
          <t>RAMP_501_1500</t>
        </is>
      </c>
      <c r="U805" s="4" t="inlineStr">
        <is>
          <t>CREATED</t>
        </is>
      </c>
      <c r="V805" s="4" t="inlineStr">
        <is>
          <t>idem-20260902-ios-0804</t>
        </is>
      </c>
    </row>
    <row r="806" ht="30" customHeight="1">
      <c r="A806" s="4" t="n">
        <v>805</v>
      </c>
      <c r="B806" s="4" t="inlineStr">
        <is>
          <t>MTR-IOS-0805</t>
        </is>
      </c>
      <c r="C806" s="4" t="inlineStr">
        <is>
          <t>Personal</t>
        </is>
      </c>
      <c r="D806" s="4" t="inlineStr">
        <is>
          <t>Personal</t>
        </is>
      </c>
      <c r="E806" s="4" t="inlineStr">
        <is>
          <t>Lifestyle</t>
        </is>
      </c>
      <c r="F806" s="4" t="inlineStr">
        <is>
          <t>Travel</t>
        </is>
      </c>
      <c r="G806" s="4" t="inlineStr">
        <is>
          <t>Expense</t>
        </is>
      </c>
      <c r="H806" s="12" t="n">
        <v>45909</v>
      </c>
      <c r="I806" s="13" t="n">
        <v>0.2280555555555556</v>
      </c>
      <c r="J806" s="14" t="n">
        <v>45909.22805555556</v>
      </c>
      <c r="K806" s="15" t="n">
        <v>7255.3</v>
      </c>
      <c r="L806" s="4" t="inlineStr">
        <is>
          <t>INR</t>
        </is>
      </c>
      <c r="M806" s="15" t="n">
        <v>-7255.3</v>
      </c>
      <c r="N806" s="4" t="inlineStr">
        <is>
          <t>IOS Owner</t>
        </is>
      </c>
      <c r="O806" s="4" t="n"/>
      <c r="P806" s="4" t="n"/>
      <c r="Q806" s="4" t="inlineStr">
        <is>
          <t>MAESTRO-IOS-PERSONAL-LIFESTYLE-0805 | Travel | 7255.30</t>
        </is>
      </c>
      <c r="R806" s="4" t="inlineStr">
        <is>
          <t>iPhone</t>
        </is>
      </c>
      <c r="S806" s="4" t="inlineStr">
        <is>
          <t>B17</t>
        </is>
      </c>
      <c r="T806" s="4" t="inlineStr">
        <is>
          <t>RAMP_501_1500</t>
        </is>
      </c>
      <c r="U806" s="4" t="inlineStr">
        <is>
          <t>CREATED</t>
        </is>
      </c>
      <c r="V806" s="4" t="inlineStr">
        <is>
          <t>idem-20260902-ios-0805</t>
        </is>
      </c>
    </row>
    <row r="807" ht="30" customHeight="1">
      <c r="A807" s="4" t="n">
        <v>806</v>
      </c>
      <c r="B807" s="4" t="inlineStr">
        <is>
          <t>MTR-IOS-0806</t>
        </is>
      </c>
      <c r="C807" s="4" t="inlineStr">
        <is>
          <t>Group</t>
        </is>
      </c>
      <c r="D807" s="4" t="inlineStr">
        <is>
          <t>Shared Purchase</t>
        </is>
      </c>
      <c r="E807" s="4" t="inlineStr">
        <is>
          <t>Assets</t>
        </is>
      </c>
      <c r="F807" s="4" t="inlineStr">
        <is>
          <t>Other</t>
        </is>
      </c>
      <c r="G807" s="4" t="inlineStr">
        <is>
          <t>Expense</t>
        </is>
      </c>
      <c r="H807" s="12" t="n">
        <v>46037</v>
      </c>
      <c r="I807" s="13" t="n">
        <v>0.7108101851851852</v>
      </c>
      <c r="J807" s="14" t="n">
        <v>46037.71081018518</v>
      </c>
      <c r="K807" s="15" t="n">
        <v>22246.36</v>
      </c>
      <c r="L807" s="4" t="inlineStr">
        <is>
          <t>INR</t>
        </is>
      </c>
      <c r="M807" s="15" t="n">
        <v>-22246.36</v>
      </c>
      <c r="N807" s="4" t="inlineStr">
        <is>
          <t>IOS Aarav</t>
        </is>
      </c>
      <c r="O807" s="4" t="n">
        <v>3</v>
      </c>
      <c r="P807" s="4" t="inlineStr">
        <is>
          <t>EQUAL</t>
        </is>
      </c>
      <c r="Q807" s="4" t="inlineStr">
        <is>
          <t>MAESTRO-IOS-GROUP-ASSETS-0806 | Other | 22246.36</t>
        </is>
      </c>
      <c r="R807" s="4" t="inlineStr">
        <is>
          <t>iPhone</t>
        </is>
      </c>
      <c r="S807" s="4" t="inlineStr">
        <is>
          <t>B17</t>
        </is>
      </c>
      <c r="T807" s="4" t="inlineStr">
        <is>
          <t>RAMP_501_1500</t>
        </is>
      </c>
      <c r="U807" s="4" t="inlineStr">
        <is>
          <t>CREATED</t>
        </is>
      </c>
      <c r="V807" s="4" t="inlineStr">
        <is>
          <t>idem-20260902-ios-0806</t>
        </is>
      </c>
    </row>
    <row r="808" ht="30" customHeight="1">
      <c r="A808" s="4" t="n">
        <v>807</v>
      </c>
      <c r="B808" s="4" t="inlineStr">
        <is>
          <t>MTR-IOS-0807</t>
        </is>
      </c>
      <c r="C808" s="4" t="inlineStr">
        <is>
          <t>Business</t>
        </is>
      </c>
      <c r="D808" s="4" t="inlineStr">
        <is>
          <t>Business</t>
        </is>
      </c>
      <c r="E808" s="4" t="inlineStr">
        <is>
          <t>Business Operations</t>
        </is>
      </c>
      <c r="F808" s="4" t="inlineStr">
        <is>
          <t>Legal</t>
        </is>
      </c>
      <c r="G808" s="4" t="inlineStr">
        <is>
          <t>Expense</t>
        </is>
      </c>
      <c r="H808" s="12" t="n">
        <v>46138</v>
      </c>
      <c r="I808" s="13" t="n">
        <v>0.402650462962963</v>
      </c>
      <c r="J808" s="14" t="n">
        <v>46138.40265046297</v>
      </c>
      <c r="K808" s="15" t="n">
        <v>20906.84</v>
      </c>
      <c r="L808" s="4" t="inlineStr">
        <is>
          <t>INR</t>
        </is>
      </c>
      <c r="M808" s="15" t="n">
        <v>-20906.84</v>
      </c>
      <c r="N808" s="4" t="inlineStr">
        <is>
          <t>IOS Owner</t>
        </is>
      </c>
      <c r="O808" s="4" t="n"/>
      <c r="P808" s="4" t="n"/>
      <c r="Q808" s="4" t="inlineStr">
        <is>
          <t>MAESTRO-IOS-BUSINESS-BUSINESS_OPERATIONS-0807 | Legal | 20906.84</t>
        </is>
      </c>
      <c r="R808" s="4" t="inlineStr">
        <is>
          <t>iPhone</t>
        </is>
      </c>
      <c r="S808" s="4" t="inlineStr">
        <is>
          <t>B17</t>
        </is>
      </c>
      <c r="T808" s="4" t="inlineStr">
        <is>
          <t>RAMP_501_1500</t>
        </is>
      </c>
      <c r="U808" s="4" t="inlineStr">
        <is>
          <t>CREATED</t>
        </is>
      </c>
      <c r="V808" s="4" t="inlineStr">
        <is>
          <t>idem-20260902-ios-0807</t>
        </is>
      </c>
    </row>
    <row r="809" ht="30" customHeight="1">
      <c r="A809" s="4" t="n">
        <v>808</v>
      </c>
      <c r="B809" s="4" t="inlineStr">
        <is>
          <t>MTR-IOS-0808</t>
        </is>
      </c>
      <c r="C809" s="4" t="inlineStr">
        <is>
          <t>Personal</t>
        </is>
      </c>
      <c r="D809" s="4" t="inlineStr">
        <is>
          <t>Personal</t>
        </is>
      </c>
      <c r="E809" s="4" t="inlineStr">
        <is>
          <t>Lifestyle</t>
        </is>
      </c>
      <c r="F809" s="4" t="inlineStr">
        <is>
          <t>Fitness</t>
        </is>
      </c>
      <c r="G809" s="4" t="inlineStr">
        <is>
          <t>Expense</t>
        </is>
      </c>
      <c r="H809" s="12" t="n">
        <v>45962</v>
      </c>
      <c r="I809" s="13" t="n">
        <v>0.5403009259259259</v>
      </c>
      <c r="J809" s="14" t="n">
        <v>45962.54030092592</v>
      </c>
      <c r="K809" s="15" t="n">
        <v>9595.120000000001</v>
      </c>
      <c r="L809" s="4" t="inlineStr">
        <is>
          <t>INR</t>
        </is>
      </c>
      <c r="M809" s="15" t="n">
        <v>-9595.120000000001</v>
      </c>
      <c r="N809" s="4" t="inlineStr">
        <is>
          <t>IOS Owner</t>
        </is>
      </c>
      <c r="O809" s="4" t="n"/>
      <c r="P809" s="4" t="n"/>
      <c r="Q809" s="4" t="inlineStr">
        <is>
          <t>MAESTRO-IOS-PERSONAL-LIFESTYLE-0808 | Fitness | 9595.12</t>
        </is>
      </c>
      <c r="R809" s="4" t="inlineStr">
        <is>
          <t>iPhone</t>
        </is>
      </c>
      <c r="S809" s="4" t="inlineStr">
        <is>
          <t>B17</t>
        </is>
      </c>
      <c r="T809" s="4" t="inlineStr">
        <is>
          <t>RAMP_501_1500</t>
        </is>
      </c>
      <c r="U809" s="4" t="inlineStr">
        <is>
          <t>CREATED</t>
        </is>
      </c>
      <c r="V809" s="4" t="inlineStr">
        <is>
          <t>idem-20260902-ios-0808</t>
        </is>
      </c>
    </row>
    <row r="810" ht="30" customHeight="1">
      <c r="A810" s="4" t="n">
        <v>809</v>
      </c>
      <c r="B810" s="4" t="inlineStr">
        <is>
          <t>MTR-IOS-0809</t>
        </is>
      </c>
      <c r="C810" s="4" t="inlineStr">
        <is>
          <t>Group</t>
        </is>
      </c>
      <c r="D810" s="4" t="inlineStr">
        <is>
          <t>Shared Purchase</t>
        </is>
      </c>
      <c r="E810" s="4" t="inlineStr">
        <is>
          <t>Custom Purchase</t>
        </is>
      </c>
      <c r="F810" s="4" t="inlineStr">
        <is>
          <t>Custom Expense</t>
        </is>
      </c>
      <c r="G810" s="4" t="inlineStr">
        <is>
          <t>Expense</t>
        </is>
      </c>
      <c r="H810" s="12" t="n">
        <v>46097</v>
      </c>
      <c r="I810" s="13" t="n">
        <v>0.6539351851851852</v>
      </c>
      <c r="J810" s="14" t="n">
        <v>46097.65393518518</v>
      </c>
      <c r="K810" s="15" t="n">
        <v>20465.07</v>
      </c>
      <c r="L810" s="4" t="inlineStr">
        <is>
          <t>INR</t>
        </is>
      </c>
      <c r="M810" s="15" t="n">
        <v>-20465.07</v>
      </c>
      <c r="N810" s="4" t="inlineStr">
        <is>
          <t>IOS Meera</t>
        </is>
      </c>
      <c r="O810" s="4" t="n">
        <v>3</v>
      </c>
      <c r="P810" s="4" t="inlineStr">
        <is>
          <t>PERCENTAGE</t>
        </is>
      </c>
      <c r="Q810" s="4" t="inlineStr">
        <is>
          <t>MAESTRO-IOS-GROUP-CUSTOM_PURCHASE-0809 | Custom Expense | 20465.07</t>
        </is>
      </c>
      <c r="R810" s="4" t="inlineStr">
        <is>
          <t>iPhone</t>
        </is>
      </c>
      <c r="S810" s="4" t="inlineStr">
        <is>
          <t>B17</t>
        </is>
      </c>
      <c r="T810" s="4" t="inlineStr">
        <is>
          <t>RAMP_501_1500</t>
        </is>
      </c>
      <c r="U810" s="4" t="inlineStr">
        <is>
          <t>CREATED</t>
        </is>
      </c>
      <c r="V810" s="4" t="inlineStr">
        <is>
          <t>idem-20260902-ios-0809</t>
        </is>
      </c>
    </row>
    <row r="811" ht="30" customHeight="1">
      <c r="A811" s="4" t="n">
        <v>810</v>
      </c>
      <c r="B811" s="4" t="inlineStr">
        <is>
          <t>MTR-IOS-0810</t>
        </is>
      </c>
      <c r="C811" s="4" t="inlineStr">
        <is>
          <t>Business</t>
        </is>
      </c>
      <c r="D811" s="4" t="inlineStr">
        <is>
          <t>Business</t>
        </is>
      </c>
      <c r="E811" s="4" t="inlineStr">
        <is>
          <t>Business Operations</t>
        </is>
      </c>
      <c r="F811" s="4" t="inlineStr">
        <is>
          <t>Accounting</t>
        </is>
      </c>
      <c r="G811" s="4" t="inlineStr">
        <is>
          <t>Expense</t>
        </is>
      </c>
      <c r="H811" s="12" t="n">
        <v>45967</v>
      </c>
      <c r="I811" s="13" t="n">
        <v>0.4507407407407407</v>
      </c>
      <c r="J811" s="14" t="n">
        <v>45967.45074074074</v>
      </c>
      <c r="K811" s="15" t="n">
        <v>78050.60000000001</v>
      </c>
      <c r="L811" s="4" t="inlineStr">
        <is>
          <t>INR</t>
        </is>
      </c>
      <c r="M811" s="15" t="n">
        <v>-78050.60000000001</v>
      </c>
      <c r="N811" s="4" t="inlineStr">
        <is>
          <t>IOS Owner</t>
        </is>
      </c>
      <c r="O811" s="4" t="n"/>
      <c r="P811" s="4" t="n"/>
      <c r="Q811" s="4" t="inlineStr">
        <is>
          <t>MAESTRO-IOS-BUSINESS-BUSINESS_OPERATIONS-0810 | Accounting | 78050.60</t>
        </is>
      </c>
      <c r="R811" s="4" t="inlineStr">
        <is>
          <t>iPhone</t>
        </is>
      </c>
      <c r="S811" s="4" t="inlineStr">
        <is>
          <t>B17</t>
        </is>
      </c>
      <c r="T811" s="4" t="inlineStr">
        <is>
          <t>RAMP_501_1500</t>
        </is>
      </c>
      <c r="U811" s="4" t="inlineStr">
        <is>
          <t>CREATED</t>
        </is>
      </c>
      <c r="V811" s="4" t="inlineStr">
        <is>
          <t>idem-20260902-ios-0810</t>
        </is>
      </c>
    </row>
    <row r="812" ht="30" customHeight="1">
      <c r="A812" s="4" t="n">
        <v>811</v>
      </c>
      <c r="B812" s="4" t="inlineStr">
        <is>
          <t>MTR-IOS-0811</t>
        </is>
      </c>
      <c r="C812" s="4" t="inlineStr">
        <is>
          <t>Personal</t>
        </is>
      </c>
      <c r="D812" s="4" t="inlineStr">
        <is>
          <t>Personal</t>
        </is>
      </c>
      <c r="E812" s="4" t="inlineStr">
        <is>
          <t>Lifestyle</t>
        </is>
      </c>
      <c r="F812" s="4" t="inlineStr">
        <is>
          <t>Hobbies</t>
        </is>
      </c>
      <c r="G812" s="4" t="inlineStr">
        <is>
          <t>Expense</t>
        </is>
      </c>
      <c r="H812" s="12" t="n">
        <v>46198</v>
      </c>
      <c r="I812" s="13" t="n">
        <v>0.9582638888888889</v>
      </c>
      <c r="J812" s="14" t="n">
        <v>46198.95826388889</v>
      </c>
      <c r="K812" s="15" t="n">
        <v>1920.51</v>
      </c>
      <c r="L812" s="4" t="inlineStr">
        <is>
          <t>INR</t>
        </is>
      </c>
      <c r="M812" s="15" t="n">
        <v>-1920.51</v>
      </c>
      <c r="N812" s="4" t="inlineStr">
        <is>
          <t>IOS Owner</t>
        </is>
      </c>
      <c r="O812" s="4" t="n"/>
      <c r="P812" s="4" t="n"/>
      <c r="Q812" s="4" t="inlineStr">
        <is>
          <t>MAESTRO-IOS-PERSONAL-LIFESTYLE-0811 | Hobbies | 1920.51</t>
        </is>
      </c>
      <c r="R812" s="4" t="inlineStr">
        <is>
          <t>iPhone</t>
        </is>
      </c>
      <c r="S812" s="4" t="inlineStr">
        <is>
          <t>B17</t>
        </is>
      </c>
      <c r="T812" s="4" t="inlineStr">
        <is>
          <t>RAMP_501_1500</t>
        </is>
      </c>
      <c r="U812" s="4" t="inlineStr">
        <is>
          <t>CREATED</t>
        </is>
      </c>
      <c r="V812" s="4" t="inlineStr">
        <is>
          <t>idem-20260902-ios-0811</t>
        </is>
      </c>
    </row>
    <row r="813" ht="30" customHeight="1">
      <c r="A813" s="4" t="n">
        <v>812</v>
      </c>
      <c r="B813" s="4" t="inlineStr">
        <is>
          <t>MTR-IOS-0812</t>
        </is>
      </c>
      <c r="C813" s="4" t="inlineStr">
        <is>
          <t>Group</t>
        </is>
      </c>
      <c r="D813" s="4" t="inlineStr">
        <is>
          <t>Shared Purchase</t>
        </is>
      </c>
      <c r="E813" s="4" t="inlineStr">
        <is>
          <t>Custom Purchase</t>
        </is>
      </c>
      <c r="F813" s="4" t="inlineStr">
        <is>
          <t>Custom Contribution</t>
        </is>
      </c>
      <c r="G813" s="4" t="inlineStr">
        <is>
          <t>Contribution</t>
        </is>
      </c>
      <c r="H813" s="12" t="n">
        <v>46177</v>
      </c>
      <c r="I813" s="13" t="n">
        <v>0.7346875</v>
      </c>
      <c r="J813" s="14" t="n">
        <v>46177.7346875</v>
      </c>
      <c r="K813" s="15" t="n">
        <v>1326</v>
      </c>
      <c r="L813" s="4" t="inlineStr">
        <is>
          <t>INR</t>
        </is>
      </c>
      <c r="M813" s="15" t="n">
        <v>1326</v>
      </c>
      <c r="N813" s="4" t="inlineStr">
        <is>
          <t>IOS Owner</t>
        </is>
      </c>
      <c r="O813" s="4" t="n">
        <v>3</v>
      </c>
      <c r="P813" s="4" t="inlineStr">
        <is>
          <t>EXACT</t>
        </is>
      </c>
      <c r="Q813" s="4" t="inlineStr">
        <is>
          <t>MAESTRO-IOS-GROUP-CUSTOM_PURCHASE-0812 | Custom Contribution | 1326.00</t>
        </is>
      </c>
      <c r="R813" s="4" t="inlineStr">
        <is>
          <t>iPhone</t>
        </is>
      </c>
      <c r="S813" s="4" t="inlineStr">
        <is>
          <t>B17</t>
        </is>
      </c>
      <c r="T813" s="4" t="inlineStr">
        <is>
          <t>RAMP_501_1500</t>
        </is>
      </c>
      <c r="U813" s="4" t="inlineStr">
        <is>
          <t>CREATED</t>
        </is>
      </c>
      <c r="V813" s="4" t="inlineStr">
        <is>
          <t>idem-20260902-ios-0812</t>
        </is>
      </c>
    </row>
    <row r="814" ht="30" customHeight="1">
      <c r="A814" s="4" t="n">
        <v>813</v>
      </c>
      <c r="B814" s="4" t="inlineStr">
        <is>
          <t>MTR-IOS-0813</t>
        </is>
      </c>
      <c r="C814" s="4" t="inlineStr">
        <is>
          <t>Business</t>
        </is>
      </c>
      <c r="D814" s="4" t="inlineStr">
        <is>
          <t>Business</t>
        </is>
      </c>
      <c r="E814" s="4" t="inlineStr">
        <is>
          <t>Business Operations</t>
        </is>
      </c>
      <c r="F814" s="4" t="inlineStr">
        <is>
          <t>Equipment</t>
        </is>
      </c>
      <c r="G814" s="4" t="inlineStr">
        <is>
          <t>Expense</t>
        </is>
      </c>
      <c r="H814" s="12" t="n">
        <v>46234</v>
      </c>
      <c r="I814" s="13" t="n">
        <v>0.9203356481481482</v>
      </c>
      <c r="J814" s="14" t="n">
        <v>46234.92033564814</v>
      </c>
      <c r="K814" s="15" t="n">
        <v>22857.21</v>
      </c>
      <c r="L814" s="4" t="inlineStr">
        <is>
          <t>INR</t>
        </is>
      </c>
      <c r="M814" s="15" t="n">
        <v>-22857.21</v>
      </c>
      <c r="N814" s="4" t="inlineStr">
        <is>
          <t>IOS Owner</t>
        </is>
      </c>
      <c r="O814" s="4" t="n"/>
      <c r="P814" s="4" t="n"/>
      <c r="Q814" s="4" t="inlineStr">
        <is>
          <t>MAESTRO-IOS-BUSINESS-BUSINESS_OPERATIONS-0813 | Equipment | 22857.21</t>
        </is>
      </c>
      <c r="R814" s="4" t="inlineStr">
        <is>
          <t>iPhone</t>
        </is>
      </c>
      <c r="S814" s="4" t="inlineStr">
        <is>
          <t>B17</t>
        </is>
      </c>
      <c r="T814" s="4" t="inlineStr">
        <is>
          <t>RAMP_501_1500</t>
        </is>
      </c>
      <c r="U814" s="4" t="inlineStr">
        <is>
          <t>CREATED</t>
        </is>
      </c>
      <c r="V814" s="4" t="inlineStr">
        <is>
          <t>idem-20260902-ios-0813</t>
        </is>
      </c>
    </row>
    <row r="815" ht="30" customHeight="1">
      <c r="A815" s="4" t="n">
        <v>814</v>
      </c>
      <c r="B815" s="4" t="inlineStr">
        <is>
          <t>MTR-IOS-0814</t>
        </is>
      </c>
      <c r="C815" s="4" t="inlineStr">
        <is>
          <t>Personal</t>
        </is>
      </c>
      <c r="D815" s="4" t="inlineStr">
        <is>
          <t>Personal</t>
        </is>
      </c>
      <c r="E815" s="4" t="inlineStr">
        <is>
          <t>Relationships</t>
        </is>
      </c>
      <c r="F815" s="4" t="inlineStr">
        <is>
          <t>Gifts</t>
        </is>
      </c>
      <c r="G815" s="4" t="inlineStr">
        <is>
          <t>Expense</t>
        </is>
      </c>
      <c r="H815" s="12" t="n">
        <v>46019</v>
      </c>
      <c r="I815" s="13" t="n">
        <v>0.6725578703703704</v>
      </c>
      <c r="J815" s="14" t="n">
        <v>46019.67255787037</v>
      </c>
      <c r="K815" s="15" t="n">
        <v>999.99</v>
      </c>
      <c r="L815" s="4" t="inlineStr">
        <is>
          <t>INR</t>
        </is>
      </c>
      <c r="M815" s="15" t="n">
        <v>-999.99</v>
      </c>
      <c r="N815" s="4" t="inlineStr">
        <is>
          <t>IOS Owner</t>
        </is>
      </c>
      <c r="O815" s="4" t="n"/>
      <c r="P815" s="4" t="n"/>
      <c r="Q815" s="4" t="inlineStr">
        <is>
          <t>MAESTRO-IOS-PERSONAL-RELATIONSHIPS-0814 | Gifts | 999.99</t>
        </is>
      </c>
      <c r="R815" s="4" t="inlineStr">
        <is>
          <t>iPhone</t>
        </is>
      </c>
      <c r="S815" s="4" t="inlineStr">
        <is>
          <t>B17</t>
        </is>
      </c>
      <c r="T815" s="4" t="inlineStr">
        <is>
          <t>RAMP_501_1500</t>
        </is>
      </c>
      <c r="U815" s="4" t="inlineStr">
        <is>
          <t>CREATED</t>
        </is>
      </c>
      <c r="V815" s="4" t="inlineStr">
        <is>
          <t>idem-20260902-ios-0814</t>
        </is>
      </c>
    </row>
    <row r="816" ht="30" customHeight="1">
      <c r="A816" s="4" t="n">
        <v>815</v>
      </c>
      <c r="B816" s="4" t="inlineStr">
        <is>
          <t>MTR-IOS-0815</t>
        </is>
      </c>
      <c r="C816" s="4" t="inlineStr">
        <is>
          <t>Group</t>
        </is>
      </c>
      <c r="D816" s="4" t="inlineStr">
        <is>
          <t>Shared Living</t>
        </is>
      </c>
      <c r="E816" s="4" t="inlineStr">
        <is>
          <t>Flatmates</t>
        </is>
      </c>
      <c r="F816" s="4" t="inlineStr">
        <is>
          <t>Rent</t>
        </is>
      </c>
      <c r="G816" s="4" t="inlineStr">
        <is>
          <t>Expense</t>
        </is>
      </c>
      <c r="H816" s="12" t="n">
        <v>45905</v>
      </c>
      <c r="I816" s="13" t="n">
        <v>0.6808912037037037</v>
      </c>
      <c r="J816" s="14" t="n">
        <v>45905.6808912037</v>
      </c>
      <c r="K816" s="15" t="n">
        <v>2224.7</v>
      </c>
      <c r="L816" s="4" t="inlineStr">
        <is>
          <t>INR</t>
        </is>
      </c>
      <c r="M816" s="15" t="n">
        <v>-2224.7</v>
      </c>
      <c r="N816" s="4" t="inlineStr">
        <is>
          <t>IOS Aarav</t>
        </is>
      </c>
      <c r="O816" s="4" t="n">
        <v>3</v>
      </c>
      <c r="P816" s="4" t="inlineStr">
        <is>
          <t>SHARES</t>
        </is>
      </c>
      <c r="Q816" s="4" t="inlineStr">
        <is>
          <t>MAESTRO-IOS-GROUP-FLATMATES-0815 | Rent | 2224.70</t>
        </is>
      </c>
      <c r="R816" s="4" t="inlineStr">
        <is>
          <t>iPhone</t>
        </is>
      </c>
      <c r="S816" s="4" t="inlineStr">
        <is>
          <t>B17</t>
        </is>
      </c>
      <c r="T816" s="4" t="inlineStr">
        <is>
          <t>RAMP_501_1500</t>
        </is>
      </c>
      <c r="U816" s="4" t="inlineStr">
        <is>
          <t>CREATED</t>
        </is>
      </c>
      <c r="V816" s="4" t="inlineStr">
        <is>
          <t>idem-20260902-ios-0815</t>
        </is>
      </c>
    </row>
    <row r="817" ht="30" customHeight="1">
      <c r="A817" s="4" t="n">
        <v>816</v>
      </c>
      <c r="B817" s="4" t="inlineStr">
        <is>
          <t>MTR-IOS-0816</t>
        </is>
      </c>
      <c r="C817" s="4" t="inlineStr">
        <is>
          <t>Business</t>
        </is>
      </c>
      <c r="D817" s="4" t="inlineStr">
        <is>
          <t>Business</t>
        </is>
      </c>
      <c r="E817" s="4" t="inlineStr">
        <is>
          <t>Business Operations</t>
        </is>
      </c>
      <c r="F817" s="4" t="inlineStr">
        <is>
          <t>Vendor</t>
        </is>
      </c>
      <c r="G817" s="4" t="inlineStr">
        <is>
          <t>Expense</t>
        </is>
      </c>
      <c r="H817" s="12" t="n">
        <v>46091</v>
      </c>
      <c r="I817" s="13" t="n">
        <v>0.7041666666666667</v>
      </c>
      <c r="J817" s="14" t="n">
        <v>46091.70416666667</v>
      </c>
      <c r="K817" s="15" t="n">
        <v>126875.94</v>
      </c>
      <c r="L817" s="4" t="inlineStr">
        <is>
          <t>INR</t>
        </is>
      </c>
      <c r="M817" s="15" t="n">
        <v>-126875.94</v>
      </c>
      <c r="N817" s="4" t="inlineStr">
        <is>
          <t>IOS Owner</t>
        </is>
      </c>
      <c r="O817" s="4" t="n"/>
      <c r="P817" s="4" t="n"/>
      <c r="Q817" s="4" t="inlineStr">
        <is>
          <t>MAESTRO-IOS-BUSINESS-BUSINESS_OPERATIONS-0816 | Vendor | 126875.94</t>
        </is>
      </c>
      <c r="R817" s="4" t="inlineStr">
        <is>
          <t>iPhone</t>
        </is>
      </c>
      <c r="S817" s="4" t="inlineStr">
        <is>
          <t>B17</t>
        </is>
      </c>
      <c r="T817" s="4" t="inlineStr">
        <is>
          <t>RAMP_501_1500</t>
        </is>
      </c>
      <c r="U817" s="4" t="inlineStr">
        <is>
          <t>CREATED</t>
        </is>
      </c>
      <c r="V817" s="4" t="inlineStr">
        <is>
          <t>idem-20260902-ios-0816</t>
        </is>
      </c>
    </row>
    <row r="818" ht="30" customHeight="1">
      <c r="A818" s="4" t="n">
        <v>817</v>
      </c>
      <c r="B818" s="4" t="inlineStr">
        <is>
          <t>MTR-IOS-0817</t>
        </is>
      </c>
      <c r="C818" s="4" t="inlineStr">
        <is>
          <t>Personal</t>
        </is>
      </c>
      <c r="D818" s="4" t="inlineStr">
        <is>
          <t>Personal</t>
        </is>
      </c>
      <c r="E818" s="4" t="inlineStr">
        <is>
          <t>Relationships</t>
        </is>
      </c>
      <c r="F818" s="4" t="inlineStr">
        <is>
          <t>Dates</t>
        </is>
      </c>
      <c r="G818" s="4" t="inlineStr">
        <is>
          <t>Expense</t>
        </is>
      </c>
      <c r="H818" s="12" t="n">
        <v>46154</v>
      </c>
      <c r="I818" s="13" t="n">
        <v>0.8971296296296296</v>
      </c>
      <c r="J818" s="14" t="n">
        <v>46154.89712962963</v>
      </c>
      <c r="K818" s="15" t="n">
        <v>174.04</v>
      </c>
      <c r="L818" s="4" t="inlineStr">
        <is>
          <t>INR</t>
        </is>
      </c>
      <c r="M818" s="15" t="n">
        <v>-174.04</v>
      </c>
      <c r="N818" s="4" t="inlineStr">
        <is>
          <t>IOS Owner</t>
        </is>
      </c>
      <c r="O818" s="4" t="n"/>
      <c r="P818" s="4" t="n"/>
      <c r="Q818" s="4" t="inlineStr">
        <is>
          <t>MAESTRO-IOS-PERSONAL-RELATIONSHIPS-0817 | Dates | 174.04</t>
        </is>
      </c>
      <c r="R818" s="4" t="inlineStr">
        <is>
          <t>iPhone</t>
        </is>
      </c>
      <c r="S818" s="4" t="inlineStr">
        <is>
          <t>B17</t>
        </is>
      </c>
      <c r="T818" s="4" t="inlineStr">
        <is>
          <t>RAMP_501_1500</t>
        </is>
      </c>
      <c r="U818" s="4" t="inlineStr">
        <is>
          <t>CREATED</t>
        </is>
      </c>
      <c r="V818" s="4" t="inlineStr">
        <is>
          <t>idem-20260902-ios-0817</t>
        </is>
      </c>
    </row>
    <row r="819" ht="30" customHeight="1">
      <c r="A819" s="4" t="n">
        <v>818</v>
      </c>
      <c r="B819" s="4" t="inlineStr">
        <is>
          <t>MTR-IOS-0818</t>
        </is>
      </c>
      <c r="C819" s="4" t="inlineStr">
        <is>
          <t>Group</t>
        </is>
      </c>
      <c r="D819" s="4" t="inlineStr">
        <is>
          <t>Shared Living</t>
        </is>
      </c>
      <c r="E819" s="4" t="inlineStr">
        <is>
          <t>Flatmates</t>
        </is>
      </c>
      <c r="F819" s="4" t="inlineStr">
        <is>
          <t>Utilities</t>
        </is>
      </c>
      <c r="G819" s="4" t="inlineStr">
        <is>
          <t>Expense</t>
        </is>
      </c>
      <c r="H819" s="12" t="n">
        <v>46065</v>
      </c>
      <c r="I819" s="13" t="n">
        <v>0.09371527777777777</v>
      </c>
      <c r="J819" s="14" t="n">
        <v>46065.09371527778</v>
      </c>
      <c r="K819" s="15" t="n">
        <v>21789.61</v>
      </c>
      <c r="L819" s="4" t="inlineStr">
        <is>
          <t>INR</t>
        </is>
      </c>
      <c r="M819" s="15" t="n">
        <v>-21789.61</v>
      </c>
      <c r="N819" s="4" t="inlineStr">
        <is>
          <t>IOS Meera</t>
        </is>
      </c>
      <c r="O819" s="4" t="n">
        <v>3</v>
      </c>
      <c r="P819" s="4" t="inlineStr">
        <is>
          <t>EQUAL</t>
        </is>
      </c>
      <c r="Q819" s="4" t="inlineStr">
        <is>
          <t>MAESTRO-IOS-GROUP-FLATMATES-0818 | Utilities | 21789.61</t>
        </is>
      </c>
      <c r="R819" s="4" t="inlineStr">
        <is>
          <t>iPhone</t>
        </is>
      </c>
      <c r="S819" s="4" t="inlineStr">
        <is>
          <t>B17</t>
        </is>
      </c>
      <c r="T819" s="4" t="inlineStr">
        <is>
          <t>RAMP_501_1500</t>
        </is>
      </c>
      <c r="U819" s="4" t="inlineStr">
        <is>
          <t>CREATED</t>
        </is>
      </c>
      <c r="V819" s="4" t="inlineStr">
        <is>
          <t>idem-20260902-ios-0818</t>
        </is>
      </c>
    </row>
    <row r="820" ht="30" customHeight="1">
      <c r="A820" s="4" t="n">
        <v>819</v>
      </c>
      <c r="B820" s="4" t="inlineStr">
        <is>
          <t>MTR-IOS-0819</t>
        </is>
      </c>
      <c r="C820" s="4" t="inlineStr">
        <is>
          <t>Business</t>
        </is>
      </c>
      <c r="D820" s="4" t="inlineStr">
        <is>
          <t>Business</t>
        </is>
      </c>
      <c r="E820" s="4" t="inlineStr">
        <is>
          <t>Business Operations</t>
        </is>
      </c>
      <c r="F820" s="4" t="inlineStr">
        <is>
          <t>Tax</t>
        </is>
      </c>
      <c r="G820" s="4" t="inlineStr">
        <is>
          <t>Expense</t>
        </is>
      </c>
      <c r="H820" s="12" t="n">
        <v>46245</v>
      </c>
      <c r="I820" s="13" t="n">
        <v>0.8809490740740741</v>
      </c>
      <c r="J820" s="14" t="n">
        <v>46245.88094907408</v>
      </c>
      <c r="K820" s="15" t="n">
        <v>16965.62</v>
      </c>
      <c r="L820" s="4" t="inlineStr">
        <is>
          <t>INR</t>
        </is>
      </c>
      <c r="M820" s="15" t="n">
        <v>-16965.62</v>
      </c>
      <c r="N820" s="4" t="inlineStr">
        <is>
          <t>IOS Owner</t>
        </is>
      </c>
      <c r="O820" s="4" t="n"/>
      <c r="P820" s="4" t="n"/>
      <c r="Q820" s="4" t="inlineStr">
        <is>
          <t>MAESTRO-IOS-BUSINESS-BUSINESS_OPERATIONS-0819 | Tax | 16965.62</t>
        </is>
      </c>
      <c r="R820" s="4" t="inlineStr">
        <is>
          <t>iPhone</t>
        </is>
      </c>
      <c r="S820" s="4" t="inlineStr">
        <is>
          <t>B17</t>
        </is>
      </c>
      <c r="T820" s="4" t="inlineStr">
        <is>
          <t>RAMP_501_1500</t>
        </is>
      </c>
      <c r="U820" s="4" t="inlineStr">
        <is>
          <t>CREATED</t>
        </is>
      </c>
      <c r="V820" s="4" t="inlineStr">
        <is>
          <t>idem-20260902-ios-0819</t>
        </is>
      </c>
    </row>
    <row r="821" ht="30" customHeight="1">
      <c r="A821" s="4" t="n">
        <v>820</v>
      </c>
      <c r="B821" s="4" t="inlineStr">
        <is>
          <t>MTR-IOS-0820</t>
        </is>
      </c>
      <c r="C821" s="4" t="inlineStr">
        <is>
          <t>Personal</t>
        </is>
      </c>
      <c r="D821" s="4" t="inlineStr">
        <is>
          <t>Personal</t>
        </is>
      </c>
      <c r="E821" s="4" t="inlineStr">
        <is>
          <t>Relationships</t>
        </is>
      </c>
      <c r="F821" s="4" t="inlineStr">
        <is>
          <t>Family</t>
        </is>
      </c>
      <c r="G821" s="4" t="inlineStr">
        <is>
          <t>Expense</t>
        </is>
      </c>
      <c r="H821" s="12" t="n">
        <v>46009</v>
      </c>
      <c r="I821" s="13" t="n">
        <v>0.427037037037037</v>
      </c>
      <c r="J821" s="14" t="n">
        <v>46009.42703703704</v>
      </c>
      <c r="K821" s="15" t="n">
        <v>6052.11</v>
      </c>
      <c r="L821" s="4" t="inlineStr">
        <is>
          <t>INR</t>
        </is>
      </c>
      <c r="M821" s="15" t="n">
        <v>-6052.11</v>
      </c>
      <c r="N821" s="4" t="inlineStr">
        <is>
          <t>IOS Owner</t>
        </is>
      </c>
      <c r="O821" s="4" t="n"/>
      <c r="P821" s="4" t="n"/>
      <c r="Q821" s="4" t="inlineStr">
        <is>
          <t>MAESTRO-IOS-PERSONAL-RELATIONSHIPS-0820 | Family | 6052.11</t>
        </is>
      </c>
      <c r="R821" s="4" t="inlineStr">
        <is>
          <t>iPhone</t>
        </is>
      </c>
      <c r="S821" s="4" t="inlineStr">
        <is>
          <t>B17</t>
        </is>
      </c>
      <c r="T821" s="4" t="inlineStr">
        <is>
          <t>RAMP_501_1500</t>
        </is>
      </c>
      <c r="U821" s="4" t="inlineStr">
        <is>
          <t>CREATED</t>
        </is>
      </c>
      <c r="V821" s="4" t="inlineStr">
        <is>
          <t>idem-20260902-ios-0820</t>
        </is>
      </c>
    </row>
    <row r="822" ht="30" customHeight="1">
      <c r="A822" s="4" t="n">
        <v>821</v>
      </c>
      <c r="B822" s="4" t="inlineStr">
        <is>
          <t>MTR-IOS-0821</t>
        </is>
      </c>
      <c r="C822" s="4" t="inlineStr">
        <is>
          <t>Group</t>
        </is>
      </c>
      <c r="D822" s="4" t="inlineStr">
        <is>
          <t>Shared Living</t>
        </is>
      </c>
      <c r="E822" s="4" t="inlineStr">
        <is>
          <t>Flatmates</t>
        </is>
      </c>
      <c r="F822" s="4" t="inlineStr">
        <is>
          <t>Groceries</t>
        </is>
      </c>
      <c r="G822" s="4" t="inlineStr">
        <is>
          <t>Expense</t>
        </is>
      </c>
      <c r="H822" s="12" t="n">
        <v>45949</v>
      </c>
      <c r="I822" s="13" t="n">
        <v>0.5885763888888889</v>
      </c>
      <c r="J822" s="14" t="n">
        <v>45949.58857638889</v>
      </c>
      <c r="K822" s="15" t="n">
        <v>1857.83</v>
      </c>
      <c r="L822" s="4" t="inlineStr">
        <is>
          <t>INR</t>
        </is>
      </c>
      <c r="M822" s="15" t="n">
        <v>-1857.83</v>
      </c>
      <c r="N822" s="4" t="inlineStr">
        <is>
          <t>IOS Owner</t>
        </is>
      </c>
      <c r="O822" s="4" t="n">
        <v>3</v>
      </c>
      <c r="P822" s="4" t="inlineStr">
        <is>
          <t>PERCENTAGE</t>
        </is>
      </c>
      <c r="Q822" s="4" t="inlineStr">
        <is>
          <t>MAESTRO-IOS-GROUP-FLATMATES-0821 | Groceries | 1857.83</t>
        </is>
      </c>
      <c r="R822" s="4" t="inlineStr">
        <is>
          <t>iPhone</t>
        </is>
      </c>
      <c r="S822" s="4" t="inlineStr">
        <is>
          <t>B17</t>
        </is>
      </c>
      <c r="T822" s="4" t="inlineStr">
        <is>
          <t>RAMP_501_1500</t>
        </is>
      </c>
      <c r="U822" s="4" t="inlineStr">
        <is>
          <t>CREATED</t>
        </is>
      </c>
      <c r="V822" s="4" t="inlineStr">
        <is>
          <t>idem-20260902-ios-0821</t>
        </is>
      </c>
    </row>
    <row r="823" ht="30" customHeight="1">
      <c r="A823" s="4" t="n">
        <v>822</v>
      </c>
      <c r="B823" s="4" t="inlineStr">
        <is>
          <t>MTR-IOS-0822</t>
        </is>
      </c>
      <c r="C823" s="4" t="inlineStr">
        <is>
          <t>Business</t>
        </is>
      </c>
      <c r="D823" s="4" t="inlineStr">
        <is>
          <t>Business</t>
        </is>
      </c>
      <c r="E823" s="4" t="inlineStr">
        <is>
          <t>Team Operations</t>
        </is>
      </c>
      <c r="F823" s="4" t="inlineStr">
        <is>
          <t>Payroll</t>
        </is>
      </c>
      <c r="G823" s="4" t="inlineStr">
        <is>
          <t>Expense</t>
        </is>
      </c>
      <c r="H823" s="12" t="n">
        <v>46221</v>
      </c>
      <c r="I823" s="13" t="n">
        <v>0.8999537037037038</v>
      </c>
      <c r="J823" s="14" t="n">
        <v>46221.8999537037</v>
      </c>
      <c r="K823" s="15" t="n">
        <v>149524.85</v>
      </c>
      <c r="L823" s="4" t="inlineStr">
        <is>
          <t>INR</t>
        </is>
      </c>
      <c r="M823" s="15" t="n">
        <v>-149524.85</v>
      </c>
      <c r="N823" s="4" t="inlineStr">
        <is>
          <t>IOS Owner</t>
        </is>
      </c>
      <c r="O823" s="4" t="n"/>
      <c r="P823" s="4" t="n"/>
      <c r="Q823" s="4" t="inlineStr">
        <is>
          <t>MAESTRO-IOS-BUSINESS-TEAM_OPERATIONS-0822 | Payroll | 149524.85</t>
        </is>
      </c>
      <c r="R823" s="4" t="inlineStr">
        <is>
          <t>iPhone</t>
        </is>
      </c>
      <c r="S823" s="4" t="inlineStr">
        <is>
          <t>B17</t>
        </is>
      </c>
      <c r="T823" s="4" t="inlineStr">
        <is>
          <t>RAMP_501_1500</t>
        </is>
      </c>
      <c r="U823" s="4" t="inlineStr">
        <is>
          <t>CREATED</t>
        </is>
      </c>
      <c r="V823" s="4" t="inlineStr">
        <is>
          <t>idem-20260902-ios-0822</t>
        </is>
      </c>
    </row>
    <row r="824" ht="30" customHeight="1">
      <c r="A824" s="4" t="n">
        <v>823</v>
      </c>
      <c r="B824" s="4" t="inlineStr">
        <is>
          <t>MTR-IOS-0823</t>
        </is>
      </c>
      <c r="C824" s="4" t="inlineStr">
        <is>
          <t>Personal</t>
        </is>
      </c>
      <c r="D824" s="4" t="inlineStr">
        <is>
          <t>Personal</t>
        </is>
      </c>
      <c r="E824" s="4" t="inlineStr">
        <is>
          <t>Relationships</t>
        </is>
      </c>
      <c r="F824" s="4" t="inlineStr">
        <is>
          <t>Friends</t>
        </is>
      </c>
      <c r="G824" s="4" t="inlineStr">
        <is>
          <t>Expense</t>
        </is>
      </c>
      <c r="H824" s="12" t="n">
        <v>46109</v>
      </c>
      <c r="I824" s="13" t="n">
        <v>0.1255555555555556</v>
      </c>
      <c r="J824" s="14" t="n">
        <v>46109.12555555555</v>
      </c>
      <c r="K824" s="15" t="n">
        <v>2557.88</v>
      </c>
      <c r="L824" s="4" t="inlineStr">
        <is>
          <t>INR</t>
        </is>
      </c>
      <c r="M824" s="15" t="n">
        <v>-2557.88</v>
      </c>
      <c r="N824" s="4" t="inlineStr">
        <is>
          <t>IOS Owner</t>
        </is>
      </c>
      <c r="O824" s="4" t="n"/>
      <c r="P824" s="4" t="n"/>
      <c r="Q824" s="4" t="inlineStr">
        <is>
          <t>MAESTRO-IOS-PERSONAL-RELATIONSHIPS-0823 | Friends | 2557.88</t>
        </is>
      </c>
      <c r="R824" s="4" t="inlineStr">
        <is>
          <t>iPhone</t>
        </is>
      </c>
      <c r="S824" s="4" t="inlineStr">
        <is>
          <t>B17</t>
        </is>
      </c>
      <c r="T824" s="4" t="inlineStr">
        <is>
          <t>RAMP_501_1500</t>
        </is>
      </c>
      <c r="U824" s="4" t="inlineStr">
        <is>
          <t>CREATED</t>
        </is>
      </c>
      <c r="V824" s="4" t="inlineStr">
        <is>
          <t>idem-20260902-ios-0823</t>
        </is>
      </c>
    </row>
    <row r="825" ht="30" customHeight="1">
      <c r="A825" s="4" t="n">
        <v>824</v>
      </c>
      <c r="B825" s="4" t="inlineStr">
        <is>
          <t>MTR-IOS-0824</t>
        </is>
      </c>
      <c r="C825" s="4" t="inlineStr">
        <is>
          <t>Group</t>
        </is>
      </c>
      <c r="D825" s="4" t="inlineStr">
        <is>
          <t>Shared Living</t>
        </is>
      </c>
      <c r="E825" s="4" t="inlineStr">
        <is>
          <t>Flatmates</t>
        </is>
      </c>
      <c r="F825" s="4" t="inlineStr">
        <is>
          <t>Internet</t>
        </is>
      </c>
      <c r="G825" s="4" t="inlineStr">
        <is>
          <t>Expense</t>
        </is>
      </c>
      <c r="H825" s="12" t="n">
        <v>46057</v>
      </c>
      <c r="I825" s="13" t="n">
        <v>0.7070023148148148</v>
      </c>
      <c r="J825" s="14" t="n">
        <v>46057.70700231481</v>
      </c>
      <c r="K825" s="15" t="n">
        <v>9574.98</v>
      </c>
      <c r="L825" s="4" t="inlineStr">
        <is>
          <t>INR</t>
        </is>
      </c>
      <c r="M825" s="15" t="n">
        <v>-9574.98</v>
      </c>
      <c r="N825" s="4" t="inlineStr">
        <is>
          <t>IOS Aarav</t>
        </is>
      </c>
      <c r="O825" s="4" t="n">
        <v>3</v>
      </c>
      <c r="P825" s="4" t="inlineStr">
        <is>
          <t>EXACT</t>
        </is>
      </c>
      <c r="Q825" s="4" t="inlineStr">
        <is>
          <t>MAESTRO-IOS-GROUP-FLATMATES-0824 | Internet | 9574.98</t>
        </is>
      </c>
      <c r="R825" s="4" t="inlineStr">
        <is>
          <t>iPhone</t>
        </is>
      </c>
      <c r="S825" s="4" t="inlineStr">
        <is>
          <t>B17</t>
        </is>
      </c>
      <c r="T825" s="4" t="inlineStr">
        <is>
          <t>RAMP_501_1500</t>
        </is>
      </c>
      <c r="U825" s="4" t="inlineStr">
        <is>
          <t>CREATED</t>
        </is>
      </c>
      <c r="V825" s="4" t="inlineStr">
        <is>
          <t>idem-20260902-ios-0824</t>
        </is>
      </c>
    </row>
    <row r="826" ht="30" customHeight="1">
      <c r="A826" s="4" t="n">
        <v>825</v>
      </c>
      <c r="B826" s="4" t="inlineStr">
        <is>
          <t>MTR-IOS-0825</t>
        </is>
      </c>
      <c r="C826" s="4" t="inlineStr">
        <is>
          <t>Business</t>
        </is>
      </c>
      <c r="D826" s="4" t="inlineStr">
        <is>
          <t>Business</t>
        </is>
      </c>
      <c r="E826" s="4" t="inlineStr">
        <is>
          <t>Team Operations</t>
        </is>
      </c>
      <c r="F826" s="4" t="inlineStr">
        <is>
          <t>Contractor</t>
        </is>
      </c>
      <c r="G826" s="4" t="inlineStr">
        <is>
          <t>Expense</t>
        </is>
      </c>
      <c r="H826" s="12" t="n">
        <v>46201</v>
      </c>
      <c r="I826" s="13" t="n">
        <v>0.819849537037037</v>
      </c>
      <c r="J826" s="14" t="n">
        <v>46201.81984953704</v>
      </c>
      <c r="K826" s="15" t="n">
        <v>74535</v>
      </c>
      <c r="L826" s="4" t="inlineStr">
        <is>
          <t>INR</t>
        </is>
      </c>
      <c r="M826" s="15" t="n">
        <v>-74535</v>
      </c>
      <c r="N826" s="4" t="inlineStr">
        <is>
          <t>IOS Owner</t>
        </is>
      </c>
      <c r="O826" s="4" t="n"/>
      <c r="P826" s="4" t="n"/>
      <c r="Q826" s="4" t="inlineStr">
        <is>
          <t>MAESTRO-IOS-BUSINESS-TEAM_OPERATIONS-0825 | Contractor | 74535.00</t>
        </is>
      </c>
      <c r="R826" s="4" t="inlineStr">
        <is>
          <t>iPhone</t>
        </is>
      </c>
      <c r="S826" s="4" t="inlineStr">
        <is>
          <t>B17</t>
        </is>
      </c>
      <c r="T826" s="4" t="inlineStr">
        <is>
          <t>RAMP_501_1500</t>
        </is>
      </c>
      <c r="U826" s="4" t="inlineStr">
        <is>
          <t>CREATED</t>
        </is>
      </c>
      <c r="V826" s="4" t="inlineStr">
        <is>
          <t>idem-20260902-ios-0825</t>
        </is>
      </c>
    </row>
    <row r="827" ht="30" customHeight="1">
      <c r="A827" s="4" t="n">
        <v>826</v>
      </c>
      <c r="B827" s="4" t="inlineStr">
        <is>
          <t>MTR-IOS-0826</t>
        </is>
      </c>
      <c r="C827" s="4" t="inlineStr">
        <is>
          <t>Personal</t>
        </is>
      </c>
      <c r="D827" s="4" t="inlineStr">
        <is>
          <t>Personal</t>
        </is>
      </c>
      <c r="E827" s="4" t="inlineStr">
        <is>
          <t>Relationships</t>
        </is>
      </c>
      <c r="F827" s="4" t="inlineStr">
        <is>
          <t>Celebrations</t>
        </is>
      </c>
      <c r="G827" s="4" t="inlineStr">
        <is>
          <t>Expense</t>
        </is>
      </c>
      <c r="H827" s="12" t="n">
        <v>46184</v>
      </c>
      <c r="I827" s="13" t="n">
        <v>0.2534027777777778</v>
      </c>
      <c r="J827" s="14" t="n">
        <v>46184.25340277778</v>
      </c>
      <c r="K827" s="15" t="n">
        <v>14494.95</v>
      </c>
      <c r="L827" s="4" t="inlineStr">
        <is>
          <t>INR</t>
        </is>
      </c>
      <c r="M827" s="15" t="n">
        <v>-14494.95</v>
      </c>
      <c r="N827" s="4" t="inlineStr">
        <is>
          <t>IOS Owner</t>
        </is>
      </c>
      <c r="O827" s="4" t="n"/>
      <c r="P827" s="4" t="n"/>
      <c r="Q827" s="4" t="inlineStr">
        <is>
          <t>MAESTRO-IOS-PERSONAL-RELATIONSHIPS-0826 | Celebrations | 14494.95</t>
        </is>
      </c>
      <c r="R827" s="4" t="inlineStr">
        <is>
          <t>iPhone</t>
        </is>
      </c>
      <c r="S827" s="4" t="inlineStr">
        <is>
          <t>B17</t>
        </is>
      </c>
      <c r="T827" s="4" t="inlineStr">
        <is>
          <t>RAMP_501_1500</t>
        </is>
      </c>
      <c r="U827" s="4" t="inlineStr">
        <is>
          <t>CREATED</t>
        </is>
      </c>
      <c r="V827" s="4" t="inlineStr">
        <is>
          <t>idem-20260902-ios-0826</t>
        </is>
      </c>
    </row>
    <row r="828" ht="30" customHeight="1">
      <c r="A828" s="4" t="n">
        <v>827</v>
      </c>
      <c r="B828" s="4" t="inlineStr">
        <is>
          <t>MTR-IOS-0827</t>
        </is>
      </c>
      <c r="C828" s="4" t="inlineStr">
        <is>
          <t>Group</t>
        </is>
      </c>
      <c r="D828" s="4" t="inlineStr">
        <is>
          <t>Shared Living</t>
        </is>
      </c>
      <c r="E828" s="4" t="inlineStr">
        <is>
          <t>Flatmates</t>
        </is>
      </c>
      <c r="F828" s="4" t="inlineStr">
        <is>
          <t>House Supplies</t>
        </is>
      </c>
      <c r="G828" s="4" t="inlineStr">
        <is>
          <t>Expense</t>
        </is>
      </c>
      <c r="H828" s="12" t="n">
        <v>46089</v>
      </c>
      <c r="I828" s="13" t="n">
        <v>0.3755324074074074</v>
      </c>
      <c r="J828" s="14" t="n">
        <v>46089.37553240741</v>
      </c>
      <c r="K828" s="15" t="n">
        <v>15283.29</v>
      </c>
      <c r="L828" s="4" t="inlineStr">
        <is>
          <t>INR</t>
        </is>
      </c>
      <c r="M828" s="15" t="n">
        <v>-15283.29</v>
      </c>
      <c r="N828" s="4" t="inlineStr">
        <is>
          <t>IOS Meera</t>
        </is>
      </c>
      <c r="O828" s="4" t="n">
        <v>3</v>
      </c>
      <c r="P828" s="4" t="inlineStr">
        <is>
          <t>SHARES</t>
        </is>
      </c>
      <c r="Q828" s="4" t="inlineStr">
        <is>
          <t>MAESTRO-IOS-GROUP-FLATMATES-0827 | House Supplies | 15283.29</t>
        </is>
      </c>
      <c r="R828" s="4" t="inlineStr">
        <is>
          <t>iPhone</t>
        </is>
      </c>
      <c r="S828" s="4" t="inlineStr">
        <is>
          <t>B17</t>
        </is>
      </c>
      <c r="T828" s="4" t="inlineStr">
        <is>
          <t>RAMP_501_1500</t>
        </is>
      </c>
      <c r="U828" s="4" t="inlineStr">
        <is>
          <t>CREATED</t>
        </is>
      </c>
      <c r="V828" s="4" t="inlineStr">
        <is>
          <t>idem-20260902-ios-0827</t>
        </is>
      </c>
    </row>
    <row r="829" ht="30" customHeight="1">
      <c r="A829" s="4" t="n">
        <v>828</v>
      </c>
      <c r="B829" s="4" t="inlineStr">
        <is>
          <t>MTR-IOS-0828</t>
        </is>
      </c>
      <c r="C829" s="4" t="inlineStr">
        <is>
          <t>Business</t>
        </is>
      </c>
      <c r="D829" s="4" t="inlineStr">
        <is>
          <t>Business</t>
        </is>
      </c>
      <c r="E829" s="4" t="inlineStr">
        <is>
          <t>Team Operations</t>
        </is>
      </c>
      <c r="F829" s="4" t="inlineStr">
        <is>
          <t>Hiring</t>
        </is>
      </c>
      <c r="G829" s="4" t="inlineStr">
        <is>
          <t>Expense</t>
        </is>
      </c>
      <c r="H829" s="12" t="n">
        <v>45916</v>
      </c>
      <c r="I829" s="13" t="n">
        <v>0.1877083333333333</v>
      </c>
      <c r="J829" s="14" t="n">
        <v>45916.18770833333</v>
      </c>
      <c r="K829" s="15" t="n">
        <v>97722.71000000001</v>
      </c>
      <c r="L829" s="4" t="inlineStr">
        <is>
          <t>INR</t>
        </is>
      </c>
      <c r="M829" s="15" t="n">
        <v>-97722.71000000001</v>
      </c>
      <c r="N829" s="4" t="inlineStr">
        <is>
          <t>IOS Owner</t>
        </is>
      </c>
      <c r="O829" s="4" t="n"/>
      <c r="P829" s="4" t="n"/>
      <c r="Q829" s="4" t="inlineStr">
        <is>
          <t>MAESTRO-IOS-BUSINESS-TEAM_OPERATIONS-0828 | Hiring | 97722.71</t>
        </is>
      </c>
      <c r="R829" s="4" t="inlineStr">
        <is>
          <t>iPhone</t>
        </is>
      </c>
      <c r="S829" s="4" t="inlineStr">
        <is>
          <t>B17</t>
        </is>
      </c>
      <c r="T829" s="4" t="inlineStr">
        <is>
          <t>RAMP_501_1500</t>
        </is>
      </c>
      <c r="U829" s="4" t="inlineStr">
        <is>
          <t>CREATED</t>
        </is>
      </c>
      <c r="V829" s="4" t="inlineStr">
        <is>
          <t>idem-20260902-ios-0828</t>
        </is>
      </c>
    </row>
    <row r="830" ht="30" customHeight="1">
      <c r="A830" s="4" t="n">
        <v>829</v>
      </c>
      <c r="B830" s="4" t="inlineStr">
        <is>
          <t>MTR-IOS-0829</t>
        </is>
      </c>
      <c r="C830" s="4" t="inlineStr">
        <is>
          <t>Personal</t>
        </is>
      </c>
      <c r="D830" s="4" t="inlineStr">
        <is>
          <t>Personal</t>
        </is>
      </c>
      <c r="E830" s="4" t="inlineStr">
        <is>
          <t>Life Operations</t>
        </is>
      </c>
      <c r="F830" s="4" t="inlineStr">
        <is>
          <t>Groceries</t>
        </is>
      </c>
      <c r="G830" s="4" t="inlineStr">
        <is>
          <t>Expense</t>
        </is>
      </c>
      <c r="H830" s="12" t="n">
        <v>46059</v>
      </c>
      <c r="I830" s="13" t="n">
        <v>0.05392361111111111</v>
      </c>
      <c r="J830" s="14" t="n">
        <v>46059.05392361111</v>
      </c>
      <c r="K830" s="15" t="n">
        <v>11069.93</v>
      </c>
      <c r="L830" s="4" t="inlineStr">
        <is>
          <t>INR</t>
        </is>
      </c>
      <c r="M830" s="15" t="n">
        <v>-11069.93</v>
      </c>
      <c r="N830" s="4" t="inlineStr">
        <is>
          <t>IOS Owner</t>
        </is>
      </c>
      <c r="O830" s="4" t="n"/>
      <c r="P830" s="4" t="n"/>
      <c r="Q830" s="4" t="inlineStr">
        <is>
          <t>MAESTRO-IOS-PERSONAL-LIFE_OPERATIONS-0829 | Groceries | 11069.93</t>
        </is>
      </c>
      <c r="R830" s="4" t="inlineStr">
        <is>
          <t>iPhone</t>
        </is>
      </c>
      <c r="S830" s="4" t="inlineStr">
        <is>
          <t>B17</t>
        </is>
      </c>
      <c r="T830" s="4" t="inlineStr">
        <is>
          <t>RAMP_501_1500</t>
        </is>
      </c>
      <c r="U830" s="4" t="inlineStr">
        <is>
          <t>CREATED</t>
        </is>
      </c>
      <c r="V830" s="4" t="inlineStr">
        <is>
          <t>idem-20260902-ios-0829</t>
        </is>
      </c>
    </row>
    <row r="831" ht="30" customHeight="1">
      <c r="A831" s="4" t="n">
        <v>830</v>
      </c>
      <c r="B831" s="4" t="inlineStr">
        <is>
          <t>MTR-IOS-0830</t>
        </is>
      </c>
      <c r="C831" s="4" t="inlineStr">
        <is>
          <t>Group</t>
        </is>
      </c>
      <c r="D831" s="4" t="inlineStr">
        <is>
          <t>Shared Living</t>
        </is>
      </c>
      <c r="E831" s="4" t="inlineStr">
        <is>
          <t>Flatmates</t>
        </is>
      </c>
      <c r="F831" s="4" t="inlineStr">
        <is>
          <t>Repairs</t>
        </is>
      </c>
      <c r="G831" s="4" t="inlineStr">
        <is>
          <t>Expense</t>
        </is>
      </c>
      <c r="H831" s="12" t="n">
        <v>45932</v>
      </c>
      <c r="I831" s="13" t="n">
        <v>0.1765393518518519</v>
      </c>
      <c r="J831" s="14" t="n">
        <v>45932.17653935185</v>
      </c>
      <c r="K831" s="15" t="n">
        <v>25216.96</v>
      </c>
      <c r="L831" s="4" t="inlineStr">
        <is>
          <t>INR</t>
        </is>
      </c>
      <c r="M831" s="15" t="n">
        <v>-25216.96</v>
      </c>
      <c r="N831" s="4" t="inlineStr">
        <is>
          <t>IOS Owner</t>
        </is>
      </c>
      <c r="O831" s="4" t="n">
        <v>3</v>
      </c>
      <c r="P831" s="4" t="inlineStr">
        <is>
          <t>EQUAL</t>
        </is>
      </c>
      <c r="Q831" s="4" t="inlineStr">
        <is>
          <t>MAESTRO-IOS-GROUP-FLATMATES-0830 | Repairs | 25216.96</t>
        </is>
      </c>
      <c r="R831" s="4" t="inlineStr">
        <is>
          <t>iPhone</t>
        </is>
      </c>
      <c r="S831" s="4" t="inlineStr">
        <is>
          <t>B17</t>
        </is>
      </c>
      <c r="T831" s="4" t="inlineStr">
        <is>
          <t>RAMP_501_1500</t>
        </is>
      </c>
      <c r="U831" s="4" t="inlineStr">
        <is>
          <t>CREATED</t>
        </is>
      </c>
      <c r="V831" s="4" t="inlineStr">
        <is>
          <t>idem-20260902-ios-0830</t>
        </is>
      </c>
    </row>
    <row r="832" ht="30" customHeight="1">
      <c r="A832" s="4" t="n">
        <v>831</v>
      </c>
      <c r="B832" s="4" t="inlineStr">
        <is>
          <t>MTR-IOS-0831</t>
        </is>
      </c>
      <c r="C832" s="4" t="inlineStr">
        <is>
          <t>Business</t>
        </is>
      </c>
      <c r="D832" s="4" t="inlineStr">
        <is>
          <t>Business</t>
        </is>
      </c>
      <c r="E832" s="4" t="inlineStr">
        <is>
          <t>Team Operations</t>
        </is>
      </c>
      <c r="F832" s="4" t="inlineStr">
        <is>
          <t>Team Meal</t>
        </is>
      </c>
      <c r="G832" s="4" t="inlineStr">
        <is>
          <t>Expense</t>
        </is>
      </c>
      <c r="H832" s="12" t="n">
        <v>45955</v>
      </c>
      <c r="I832" s="13" t="n">
        <v>0.8330324074074074</v>
      </c>
      <c r="J832" s="14" t="n">
        <v>45955.8330324074</v>
      </c>
      <c r="K832" s="15" t="n">
        <v>84155.02</v>
      </c>
      <c r="L832" s="4" t="inlineStr">
        <is>
          <t>INR</t>
        </is>
      </c>
      <c r="M832" s="15" t="n">
        <v>-84155.02</v>
      </c>
      <c r="N832" s="4" t="inlineStr">
        <is>
          <t>IOS Owner</t>
        </is>
      </c>
      <c r="O832" s="4" t="n"/>
      <c r="P832" s="4" t="n"/>
      <c r="Q832" s="4" t="inlineStr">
        <is>
          <t>MAESTRO-IOS-BUSINESS-TEAM_OPERATIONS-0831 | Team Meal | 84155.02</t>
        </is>
      </c>
      <c r="R832" s="4" t="inlineStr">
        <is>
          <t>iPhone</t>
        </is>
      </c>
      <c r="S832" s="4" t="inlineStr">
        <is>
          <t>B17</t>
        </is>
      </c>
      <c r="T832" s="4" t="inlineStr">
        <is>
          <t>RAMP_501_1500</t>
        </is>
      </c>
      <c r="U832" s="4" t="inlineStr">
        <is>
          <t>CREATED</t>
        </is>
      </c>
      <c r="V832" s="4" t="inlineStr">
        <is>
          <t>idem-20260902-ios-0831</t>
        </is>
      </c>
    </row>
    <row r="833" ht="30" customHeight="1">
      <c r="A833" s="4" t="n">
        <v>832</v>
      </c>
      <c r="B833" s="4" t="inlineStr">
        <is>
          <t>MTR-IOS-0832</t>
        </is>
      </c>
      <c r="C833" s="4" t="inlineStr">
        <is>
          <t>Personal</t>
        </is>
      </c>
      <c r="D833" s="4" t="inlineStr">
        <is>
          <t>Personal</t>
        </is>
      </c>
      <c r="E833" s="4" t="inlineStr">
        <is>
          <t>Life Operations</t>
        </is>
      </c>
      <c r="F833" s="4" t="inlineStr">
        <is>
          <t>Rent</t>
        </is>
      </c>
      <c r="G833" s="4" t="inlineStr">
        <is>
          <t>Expense</t>
        </is>
      </c>
      <c r="H833" s="12" t="n">
        <v>46187</v>
      </c>
      <c r="I833" s="13" t="n">
        <v>0.1160300925925926</v>
      </c>
      <c r="J833" s="14" t="n">
        <v>46187.11603009259</v>
      </c>
      <c r="K833" s="15" t="n">
        <v>11975.11</v>
      </c>
      <c r="L833" s="4" t="inlineStr">
        <is>
          <t>INR</t>
        </is>
      </c>
      <c r="M833" s="15" t="n">
        <v>-11975.11</v>
      </c>
      <c r="N833" s="4" t="inlineStr">
        <is>
          <t>IOS Owner</t>
        </is>
      </c>
      <c r="O833" s="4" t="n"/>
      <c r="P833" s="4" t="n"/>
      <c r="Q833" s="4" t="inlineStr">
        <is>
          <t>MAESTRO-IOS-PERSONAL-LIFE_OPERATIONS-0832 | Rent | 11975.11</t>
        </is>
      </c>
      <c r="R833" s="4" t="inlineStr">
        <is>
          <t>iPhone</t>
        </is>
      </c>
      <c r="S833" s="4" t="inlineStr">
        <is>
          <t>B17</t>
        </is>
      </c>
      <c r="T833" s="4" t="inlineStr">
        <is>
          <t>RAMP_501_1500</t>
        </is>
      </c>
      <c r="U833" s="4" t="inlineStr">
        <is>
          <t>CREATED</t>
        </is>
      </c>
      <c r="V833" s="4" t="inlineStr">
        <is>
          <t>idem-20260902-ios-0832</t>
        </is>
      </c>
    </row>
    <row r="834" ht="30" customHeight="1">
      <c r="A834" s="4" t="n">
        <v>833</v>
      </c>
      <c r="B834" s="4" t="inlineStr">
        <is>
          <t>MTR-IOS-0833</t>
        </is>
      </c>
      <c r="C834" s="4" t="inlineStr">
        <is>
          <t>Group</t>
        </is>
      </c>
      <c r="D834" s="4" t="inlineStr">
        <is>
          <t>Shared Living</t>
        </is>
      </c>
      <c r="E834" s="4" t="inlineStr">
        <is>
          <t>Shared Living</t>
        </is>
      </c>
      <c r="F834" s="4" t="inlineStr">
        <is>
          <t>Rent</t>
        </is>
      </c>
      <c r="G834" s="4" t="inlineStr">
        <is>
          <t>Expense</t>
        </is>
      </c>
      <c r="H834" s="12" t="n">
        <v>45973</v>
      </c>
      <c r="I834" s="13" t="n">
        <v>0.02483796296296296</v>
      </c>
      <c r="J834" s="14" t="n">
        <v>45973.02483796296</v>
      </c>
      <c r="K834" s="15" t="n">
        <v>17042.97</v>
      </c>
      <c r="L834" s="4" t="inlineStr">
        <is>
          <t>INR</t>
        </is>
      </c>
      <c r="M834" s="15" t="n">
        <v>-17042.97</v>
      </c>
      <c r="N834" s="4" t="inlineStr">
        <is>
          <t>IOS Aarav</t>
        </is>
      </c>
      <c r="O834" s="4" t="n">
        <v>3</v>
      </c>
      <c r="P834" s="4" t="inlineStr">
        <is>
          <t>PERCENTAGE</t>
        </is>
      </c>
      <c r="Q834" s="4" t="inlineStr">
        <is>
          <t>MAESTRO-IOS-GROUP-SHARED_LIVING-0833 | Rent | 17042.97</t>
        </is>
      </c>
      <c r="R834" s="4" t="inlineStr">
        <is>
          <t>iPhone</t>
        </is>
      </c>
      <c r="S834" s="4" t="inlineStr">
        <is>
          <t>B17</t>
        </is>
      </c>
      <c r="T834" s="4" t="inlineStr">
        <is>
          <t>RAMP_501_1500</t>
        </is>
      </c>
      <c r="U834" s="4" t="inlineStr">
        <is>
          <t>CREATED</t>
        </is>
      </c>
      <c r="V834" s="4" t="inlineStr">
        <is>
          <t>idem-20260902-ios-0833</t>
        </is>
      </c>
    </row>
    <row r="835" ht="30" customHeight="1">
      <c r="A835" s="4" t="n">
        <v>834</v>
      </c>
      <c r="B835" s="4" t="inlineStr">
        <is>
          <t>MTR-IOS-0834</t>
        </is>
      </c>
      <c r="C835" s="4" t="inlineStr">
        <is>
          <t>Business</t>
        </is>
      </c>
      <c r="D835" s="4" t="inlineStr">
        <is>
          <t>Business</t>
        </is>
      </c>
      <c r="E835" s="4" t="inlineStr">
        <is>
          <t>Team Operations</t>
        </is>
      </c>
      <c r="F835" s="4" t="inlineStr">
        <is>
          <t>Travel</t>
        </is>
      </c>
      <c r="G835" s="4" t="inlineStr">
        <is>
          <t>Expense</t>
        </is>
      </c>
      <c r="H835" s="12" t="n">
        <v>46104</v>
      </c>
      <c r="I835" s="13" t="n">
        <v>0.0230787037037037</v>
      </c>
      <c r="J835" s="14" t="n">
        <v>46104.02307870371</v>
      </c>
      <c r="K835" s="15" t="n">
        <v>164073.28</v>
      </c>
      <c r="L835" s="4" t="inlineStr">
        <is>
          <t>INR</t>
        </is>
      </c>
      <c r="M835" s="15" t="n">
        <v>-164073.28</v>
      </c>
      <c r="N835" s="4" t="inlineStr">
        <is>
          <t>IOS Owner</t>
        </is>
      </c>
      <c r="O835" s="4" t="n"/>
      <c r="P835" s="4" t="n"/>
      <c r="Q835" s="4" t="inlineStr">
        <is>
          <t>MAESTRO-IOS-BUSINESS-TEAM_OPERATIONS-0834 | Travel | 164073.28</t>
        </is>
      </c>
      <c r="R835" s="4" t="inlineStr">
        <is>
          <t>iPhone</t>
        </is>
      </c>
      <c r="S835" s="4" t="inlineStr">
        <is>
          <t>B17</t>
        </is>
      </c>
      <c r="T835" s="4" t="inlineStr">
        <is>
          <t>RAMP_501_1500</t>
        </is>
      </c>
      <c r="U835" s="4" t="inlineStr">
        <is>
          <t>CREATED</t>
        </is>
      </c>
      <c r="V835" s="4" t="inlineStr">
        <is>
          <t>idem-20260902-ios-0834</t>
        </is>
      </c>
    </row>
    <row r="836" ht="30" customHeight="1">
      <c r="A836" s="4" t="n">
        <v>835</v>
      </c>
      <c r="B836" s="4" t="inlineStr">
        <is>
          <t>MTR-IOS-0835</t>
        </is>
      </c>
      <c r="C836" s="4" t="inlineStr">
        <is>
          <t>Personal</t>
        </is>
      </c>
      <c r="D836" s="4" t="inlineStr">
        <is>
          <t>Personal</t>
        </is>
      </c>
      <c r="E836" s="4" t="inlineStr">
        <is>
          <t>Life Operations</t>
        </is>
      </c>
      <c r="F836" s="4" t="inlineStr">
        <is>
          <t>Bills</t>
        </is>
      </c>
      <c r="G836" s="4" t="inlineStr">
        <is>
          <t>Expense</t>
        </is>
      </c>
      <c r="H836" s="12" t="n">
        <v>46211</v>
      </c>
      <c r="I836" s="13" t="n">
        <v>0.4861226851851852</v>
      </c>
      <c r="J836" s="14" t="n">
        <v>46211.48612268519</v>
      </c>
      <c r="K836" s="15" t="n">
        <v>3508.24</v>
      </c>
      <c r="L836" s="4" t="inlineStr">
        <is>
          <t>INR</t>
        </is>
      </c>
      <c r="M836" s="15" t="n">
        <v>-3508.24</v>
      </c>
      <c r="N836" s="4" t="inlineStr">
        <is>
          <t>IOS Owner</t>
        </is>
      </c>
      <c r="O836" s="4" t="n"/>
      <c r="P836" s="4" t="n"/>
      <c r="Q836" s="4" t="inlineStr">
        <is>
          <t>MAESTRO-IOS-PERSONAL-LIFE_OPERATIONS-0835 | Bills | 3508.24</t>
        </is>
      </c>
      <c r="R836" s="4" t="inlineStr">
        <is>
          <t>iPhone</t>
        </is>
      </c>
      <c r="S836" s="4" t="inlineStr">
        <is>
          <t>B17</t>
        </is>
      </c>
      <c r="T836" s="4" t="inlineStr">
        <is>
          <t>RAMP_501_1500</t>
        </is>
      </c>
      <c r="U836" s="4" t="inlineStr">
        <is>
          <t>CREATED</t>
        </is>
      </c>
      <c r="V836" s="4" t="inlineStr">
        <is>
          <t>idem-20260902-ios-0835</t>
        </is>
      </c>
    </row>
    <row r="837" ht="30" customHeight="1">
      <c r="A837" s="4" t="n">
        <v>836</v>
      </c>
      <c r="B837" s="4" t="inlineStr">
        <is>
          <t>MTR-IOS-0836</t>
        </is>
      </c>
      <c r="C837" s="4" t="inlineStr">
        <is>
          <t>Group</t>
        </is>
      </c>
      <c r="D837" s="4" t="inlineStr">
        <is>
          <t>Shared Living</t>
        </is>
      </c>
      <c r="E837" s="4" t="inlineStr">
        <is>
          <t>Shared Living</t>
        </is>
      </c>
      <c r="F837" s="4" t="inlineStr">
        <is>
          <t>Utilities</t>
        </is>
      </c>
      <c r="G837" s="4" t="inlineStr">
        <is>
          <t>Expense</t>
        </is>
      </c>
      <c r="H837" s="12" t="n">
        <v>46107</v>
      </c>
      <c r="I837" s="13" t="n">
        <v>0.06167824074074074</v>
      </c>
      <c r="J837" s="14" t="n">
        <v>46107.06167824074</v>
      </c>
      <c r="K837" s="15" t="n">
        <v>3167.82</v>
      </c>
      <c r="L837" s="4" t="inlineStr">
        <is>
          <t>INR</t>
        </is>
      </c>
      <c r="M837" s="15" t="n">
        <v>-3167.82</v>
      </c>
      <c r="N837" s="4" t="inlineStr">
        <is>
          <t>IOS Meera</t>
        </is>
      </c>
      <c r="O837" s="4" t="n">
        <v>3</v>
      </c>
      <c r="P837" s="4" t="inlineStr">
        <is>
          <t>EXACT</t>
        </is>
      </c>
      <c r="Q837" s="4" t="inlineStr">
        <is>
          <t>MAESTRO-IOS-GROUP-SHARED_LIVING-0836 | Utilities | 3167.82</t>
        </is>
      </c>
      <c r="R837" s="4" t="inlineStr">
        <is>
          <t>iPhone</t>
        </is>
      </c>
      <c r="S837" s="4" t="inlineStr">
        <is>
          <t>B17</t>
        </is>
      </c>
      <c r="T837" s="4" t="inlineStr">
        <is>
          <t>RAMP_501_1500</t>
        </is>
      </c>
      <c r="U837" s="4" t="inlineStr">
        <is>
          <t>CREATED</t>
        </is>
      </c>
      <c r="V837" s="4" t="inlineStr">
        <is>
          <t>idem-20260902-ios-0836</t>
        </is>
      </c>
    </row>
    <row r="838" ht="30" customHeight="1">
      <c r="A838" s="4" t="n">
        <v>837</v>
      </c>
      <c r="B838" s="4" t="inlineStr">
        <is>
          <t>MTR-IOS-0837</t>
        </is>
      </c>
      <c r="C838" s="4" t="inlineStr">
        <is>
          <t>Business</t>
        </is>
      </c>
      <c r="D838" s="4" t="inlineStr">
        <is>
          <t>Business</t>
        </is>
      </c>
      <c r="E838" s="4" t="inlineStr">
        <is>
          <t>Team Operations</t>
        </is>
      </c>
      <c r="F838" s="4" t="inlineStr">
        <is>
          <t>Training</t>
        </is>
      </c>
      <c r="G838" s="4" t="inlineStr">
        <is>
          <t>Expense</t>
        </is>
      </c>
      <c r="H838" s="12" t="n">
        <v>46124</v>
      </c>
      <c r="I838" s="13" t="n">
        <v>0.9339236111111111</v>
      </c>
      <c r="J838" s="14" t="n">
        <v>46124.93392361111</v>
      </c>
      <c r="K838" s="15" t="n">
        <v>117817.77</v>
      </c>
      <c r="L838" s="4" t="inlineStr">
        <is>
          <t>INR</t>
        </is>
      </c>
      <c r="M838" s="15" t="n">
        <v>-117817.77</v>
      </c>
      <c r="N838" s="4" t="inlineStr">
        <is>
          <t>IOS Owner</t>
        </is>
      </c>
      <c r="O838" s="4" t="n"/>
      <c r="P838" s="4" t="n"/>
      <c r="Q838" s="4" t="inlineStr">
        <is>
          <t>MAESTRO-IOS-BUSINESS-TEAM_OPERATIONS-0837 | Training | 117817.77</t>
        </is>
      </c>
      <c r="R838" s="4" t="inlineStr">
        <is>
          <t>iPhone</t>
        </is>
      </c>
      <c r="S838" s="4" t="inlineStr">
        <is>
          <t>B17</t>
        </is>
      </c>
      <c r="T838" s="4" t="inlineStr">
        <is>
          <t>RAMP_501_1500</t>
        </is>
      </c>
      <c r="U838" s="4" t="inlineStr">
        <is>
          <t>CREATED</t>
        </is>
      </c>
      <c r="V838" s="4" t="inlineStr">
        <is>
          <t>idem-20260902-ios-0837</t>
        </is>
      </c>
    </row>
    <row r="839" ht="30" customHeight="1">
      <c r="A839" s="4" t="n">
        <v>838</v>
      </c>
      <c r="B839" s="4" t="inlineStr">
        <is>
          <t>MTR-IOS-0838</t>
        </is>
      </c>
      <c r="C839" s="4" t="inlineStr">
        <is>
          <t>Personal</t>
        </is>
      </c>
      <c r="D839" s="4" t="inlineStr">
        <is>
          <t>Personal</t>
        </is>
      </c>
      <c r="E839" s="4" t="inlineStr">
        <is>
          <t>Life Operations</t>
        </is>
      </c>
      <c r="F839" s="4" t="inlineStr">
        <is>
          <t>Transport</t>
        </is>
      </c>
      <c r="G839" s="4" t="inlineStr">
        <is>
          <t>Expense</t>
        </is>
      </c>
      <c r="H839" s="12" t="n">
        <v>46086</v>
      </c>
      <c r="I839" s="13" t="n">
        <v>0.3514351851851852</v>
      </c>
      <c r="J839" s="14" t="n">
        <v>46086.35143518518</v>
      </c>
      <c r="K839" s="15" t="n">
        <v>6216.45</v>
      </c>
      <c r="L839" s="4" t="inlineStr">
        <is>
          <t>INR</t>
        </is>
      </c>
      <c r="M839" s="15" t="n">
        <v>-6216.45</v>
      </c>
      <c r="N839" s="4" t="inlineStr">
        <is>
          <t>IOS Owner</t>
        </is>
      </c>
      <c r="O839" s="4" t="n"/>
      <c r="P839" s="4" t="n"/>
      <c r="Q839" s="4" t="inlineStr">
        <is>
          <t>MAESTRO-IOS-PERSONAL-LIFE_OPERATIONS-0838 | Transport | 6216.45</t>
        </is>
      </c>
      <c r="R839" s="4" t="inlineStr">
        <is>
          <t>iPhone</t>
        </is>
      </c>
      <c r="S839" s="4" t="inlineStr">
        <is>
          <t>B17</t>
        </is>
      </c>
      <c r="T839" s="4" t="inlineStr">
        <is>
          <t>RAMP_501_1500</t>
        </is>
      </c>
      <c r="U839" s="4" t="inlineStr">
        <is>
          <t>CREATED</t>
        </is>
      </c>
      <c r="V839" s="4" t="inlineStr">
        <is>
          <t>idem-20260902-ios-0838</t>
        </is>
      </c>
    </row>
    <row r="840" ht="30" customHeight="1">
      <c r="A840" s="4" t="n">
        <v>839</v>
      </c>
      <c r="B840" s="4" t="inlineStr">
        <is>
          <t>MTR-IOS-0839</t>
        </is>
      </c>
      <c r="C840" s="4" t="inlineStr">
        <is>
          <t>Group</t>
        </is>
      </c>
      <c r="D840" s="4" t="inlineStr">
        <is>
          <t>Shared Living</t>
        </is>
      </c>
      <c r="E840" s="4" t="inlineStr">
        <is>
          <t>Shared Living</t>
        </is>
      </c>
      <c r="F840" s="4" t="inlineStr">
        <is>
          <t>Groceries</t>
        </is>
      </c>
      <c r="G840" s="4" t="inlineStr">
        <is>
          <t>Expense</t>
        </is>
      </c>
      <c r="H840" s="12" t="n">
        <v>45951</v>
      </c>
      <c r="I840" s="13" t="n">
        <v>0.4377314814814815</v>
      </c>
      <c r="J840" s="14" t="n">
        <v>45951.43773148148</v>
      </c>
      <c r="K840" s="15" t="n">
        <v>22475.65</v>
      </c>
      <c r="L840" s="4" t="inlineStr">
        <is>
          <t>INR</t>
        </is>
      </c>
      <c r="M840" s="15" t="n">
        <v>-22475.65</v>
      </c>
      <c r="N840" s="4" t="inlineStr">
        <is>
          <t>IOS Owner</t>
        </is>
      </c>
      <c r="O840" s="4" t="n">
        <v>3</v>
      </c>
      <c r="P840" s="4" t="inlineStr">
        <is>
          <t>SHARES</t>
        </is>
      </c>
      <c r="Q840" s="4" t="inlineStr">
        <is>
          <t>MAESTRO-IOS-GROUP-SHARED_LIVING-0839 | Groceries | 22475.65</t>
        </is>
      </c>
      <c r="R840" s="4" t="inlineStr">
        <is>
          <t>iPhone</t>
        </is>
      </c>
      <c r="S840" s="4" t="inlineStr">
        <is>
          <t>B17</t>
        </is>
      </c>
      <c r="T840" s="4" t="inlineStr">
        <is>
          <t>RAMP_501_1500</t>
        </is>
      </c>
      <c r="U840" s="4" t="inlineStr">
        <is>
          <t>CREATED</t>
        </is>
      </c>
      <c r="V840" s="4" t="inlineStr">
        <is>
          <t>idem-20260902-ios-0839</t>
        </is>
      </c>
    </row>
    <row r="841" ht="30" customHeight="1">
      <c r="A841" s="4" t="n">
        <v>840</v>
      </c>
      <c r="B841" s="4" t="inlineStr">
        <is>
          <t>MTR-IOS-0840</t>
        </is>
      </c>
      <c r="C841" s="4" t="inlineStr">
        <is>
          <t>Business</t>
        </is>
      </c>
      <c r="D841" s="4" t="inlineStr">
        <is>
          <t>Business</t>
        </is>
      </c>
      <c r="E841" s="4" t="inlineStr">
        <is>
          <t>Team Operations</t>
        </is>
      </c>
      <c r="F841" s="4" t="inlineStr">
        <is>
          <t>Tools</t>
        </is>
      </c>
      <c r="G841" s="4" t="inlineStr">
        <is>
          <t>Expense</t>
        </is>
      </c>
      <c r="H841" s="12" t="n">
        <v>46022</v>
      </c>
      <c r="I841" s="13" t="n">
        <v>0.2457523148148148</v>
      </c>
      <c r="J841" s="14" t="n">
        <v>46022.24575231481</v>
      </c>
      <c r="K841" s="15" t="n">
        <v>19229.34</v>
      </c>
      <c r="L841" s="4" t="inlineStr">
        <is>
          <t>INR</t>
        </is>
      </c>
      <c r="M841" s="15" t="n">
        <v>-19229.34</v>
      </c>
      <c r="N841" s="4" t="inlineStr">
        <is>
          <t>IOS Owner</t>
        </is>
      </c>
      <c r="O841" s="4" t="n"/>
      <c r="P841" s="4" t="n"/>
      <c r="Q841" s="4" t="inlineStr">
        <is>
          <t>MAESTRO-IOS-BUSINESS-TEAM_OPERATIONS-0840 | Tools | 19229.34</t>
        </is>
      </c>
      <c r="R841" s="4" t="inlineStr">
        <is>
          <t>iPhone</t>
        </is>
      </c>
      <c r="S841" s="4" t="inlineStr">
        <is>
          <t>B17</t>
        </is>
      </c>
      <c r="T841" s="4" t="inlineStr">
        <is>
          <t>RAMP_501_1500</t>
        </is>
      </c>
      <c r="U841" s="4" t="inlineStr">
        <is>
          <t>CREATED</t>
        </is>
      </c>
      <c r="V841" s="4" t="inlineStr">
        <is>
          <t>idem-20260902-ios-0840</t>
        </is>
      </c>
    </row>
    <row r="842" ht="30" customHeight="1">
      <c r="A842" s="4" t="n">
        <v>841</v>
      </c>
      <c r="B842" s="4" t="inlineStr">
        <is>
          <t>MTR-IOS-0841</t>
        </is>
      </c>
      <c r="C842" s="4" t="inlineStr">
        <is>
          <t>Personal</t>
        </is>
      </c>
      <c r="D842" s="4" t="inlineStr">
        <is>
          <t>Personal</t>
        </is>
      </c>
      <c r="E842" s="4" t="inlineStr">
        <is>
          <t>Life Operations</t>
        </is>
      </c>
      <c r="F842" s="4" t="inlineStr">
        <is>
          <t>Healthcare</t>
        </is>
      </c>
      <c r="G842" s="4" t="inlineStr">
        <is>
          <t>Expense</t>
        </is>
      </c>
      <c r="H842" s="12" t="n">
        <v>46035</v>
      </c>
      <c r="I842" s="13" t="n">
        <v>0.7054861111111111</v>
      </c>
      <c r="J842" s="14" t="n">
        <v>46035.70548611111</v>
      </c>
      <c r="K842" s="15" t="n">
        <v>7280.19</v>
      </c>
      <c r="L842" s="4" t="inlineStr">
        <is>
          <t>INR</t>
        </is>
      </c>
      <c r="M842" s="15" t="n">
        <v>-7280.19</v>
      </c>
      <c r="N842" s="4" t="inlineStr">
        <is>
          <t>IOS Owner</t>
        </is>
      </c>
      <c r="O842" s="4" t="n"/>
      <c r="P842" s="4" t="n"/>
      <c r="Q842" s="4" t="inlineStr">
        <is>
          <t>MAESTRO-IOS-PERSONAL-LIFE_OPERATIONS-0841 | Healthcare | 7280.19</t>
        </is>
      </c>
      <c r="R842" s="4" t="inlineStr">
        <is>
          <t>iPhone</t>
        </is>
      </c>
      <c r="S842" s="4" t="inlineStr">
        <is>
          <t>B17</t>
        </is>
      </c>
      <c r="T842" s="4" t="inlineStr">
        <is>
          <t>RAMP_501_1500</t>
        </is>
      </c>
      <c r="U842" s="4" t="inlineStr">
        <is>
          <t>CREATED</t>
        </is>
      </c>
      <c r="V842" s="4" t="inlineStr">
        <is>
          <t>idem-20260902-ios-0841</t>
        </is>
      </c>
    </row>
    <row r="843" ht="30" customHeight="1">
      <c r="A843" s="4" t="n">
        <v>842</v>
      </c>
      <c r="B843" s="4" t="inlineStr">
        <is>
          <t>MTR-IOS-0842</t>
        </is>
      </c>
      <c r="C843" s="4" t="inlineStr">
        <is>
          <t>Group</t>
        </is>
      </c>
      <c r="D843" s="4" t="inlineStr">
        <is>
          <t>Shared Living</t>
        </is>
      </c>
      <c r="E843" s="4" t="inlineStr">
        <is>
          <t>Shared Living</t>
        </is>
      </c>
      <c r="F843" s="4" t="inlineStr">
        <is>
          <t>Maintenance</t>
        </is>
      </c>
      <c r="G843" s="4" t="inlineStr">
        <is>
          <t>Expense</t>
        </is>
      </c>
      <c r="H843" s="12" t="n">
        <v>46151</v>
      </c>
      <c r="I843" s="13" t="n">
        <v>0.9653935185185185</v>
      </c>
      <c r="J843" s="14" t="n">
        <v>46151.96539351852</v>
      </c>
      <c r="K843" s="15" t="n">
        <v>2021.92</v>
      </c>
      <c r="L843" s="4" t="inlineStr">
        <is>
          <t>INR</t>
        </is>
      </c>
      <c r="M843" s="15" t="n">
        <v>-2021.92</v>
      </c>
      <c r="N843" s="4" t="inlineStr">
        <is>
          <t>IOS Aarav</t>
        </is>
      </c>
      <c r="O843" s="4" t="n">
        <v>3</v>
      </c>
      <c r="P843" s="4" t="inlineStr">
        <is>
          <t>EQUAL</t>
        </is>
      </c>
      <c r="Q843" s="4" t="inlineStr">
        <is>
          <t>MAESTRO-IOS-GROUP-SHARED_LIVING-0842 | Maintenance | 2021.92</t>
        </is>
      </c>
      <c r="R843" s="4" t="inlineStr">
        <is>
          <t>iPhone</t>
        </is>
      </c>
      <c r="S843" s="4" t="inlineStr">
        <is>
          <t>B17</t>
        </is>
      </c>
      <c r="T843" s="4" t="inlineStr">
        <is>
          <t>RAMP_501_1500</t>
        </is>
      </c>
      <c r="U843" s="4" t="inlineStr">
        <is>
          <t>CREATED</t>
        </is>
      </c>
      <c r="V843" s="4" t="inlineStr">
        <is>
          <t>idem-20260902-ios-0842</t>
        </is>
      </c>
    </row>
    <row r="844" ht="30" customHeight="1">
      <c r="A844" s="4" t="n">
        <v>843</v>
      </c>
      <c r="B844" s="4" t="inlineStr">
        <is>
          <t>MTR-IOS-0843</t>
        </is>
      </c>
      <c r="C844" s="4" t="inlineStr">
        <is>
          <t>Business</t>
        </is>
      </c>
      <c r="D844" s="4" t="inlineStr">
        <is>
          <t>Business</t>
        </is>
      </c>
      <c r="E844" s="4" t="inlineStr">
        <is>
          <t>Business Runway</t>
        </is>
      </c>
      <c r="F844" s="4" t="inlineStr">
        <is>
          <t>Funding</t>
        </is>
      </c>
      <c r="G844" s="4" t="inlineStr">
        <is>
          <t>Income</t>
        </is>
      </c>
      <c r="H844" s="12" t="n">
        <v>46020</v>
      </c>
      <c r="I844" s="13" t="n">
        <v>0.9352083333333333</v>
      </c>
      <c r="J844" s="14" t="n">
        <v>46020.93520833334</v>
      </c>
      <c r="K844" s="15" t="n">
        <v>59673.14</v>
      </c>
      <c r="L844" s="4" t="inlineStr">
        <is>
          <t>INR</t>
        </is>
      </c>
      <c r="M844" s="15" t="n">
        <v>59673.14</v>
      </c>
      <c r="N844" s="4" t="inlineStr">
        <is>
          <t>IOS Owner</t>
        </is>
      </c>
      <c r="O844" s="4" t="n"/>
      <c r="P844" s="4" t="n"/>
      <c r="Q844" s="4" t="inlineStr">
        <is>
          <t>MAESTRO-IOS-BUSINESS-BUSINESS_RUNWAY-0843 | Funding | 59673.14</t>
        </is>
      </c>
      <c r="R844" s="4" t="inlineStr">
        <is>
          <t>iPhone</t>
        </is>
      </c>
      <c r="S844" s="4" t="inlineStr">
        <is>
          <t>B17</t>
        </is>
      </c>
      <c r="T844" s="4" t="inlineStr">
        <is>
          <t>RAMP_501_1500</t>
        </is>
      </c>
      <c r="U844" s="4" t="inlineStr">
        <is>
          <t>CREATED</t>
        </is>
      </c>
      <c r="V844" s="4" t="inlineStr">
        <is>
          <t>idem-20260902-ios-0843</t>
        </is>
      </c>
    </row>
    <row r="845" ht="30" customHeight="1">
      <c r="A845" s="4" t="n">
        <v>844</v>
      </c>
      <c r="B845" s="4" t="inlineStr">
        <is>
          <t>MTR-IOS-0844</t>
        </is>
      </c>
      <c r="C845" s="4" t="inlineStr">
        <is>
          <t>Personal</t>
        </is>
      </c>
      <c r="D845" s="4" t="inlineStr">
        <is>
          <t>Personal</t>
        </is>
      </c>
      <c r="E845" s="4" t="inlineStr">
        <is>
          <t>Life Operations</t>
        </is>
      </c>
      <c r="F845" s="4" t="inlineStr">
        <is>
          <t>Subscriptions</t>
        </is>
      </c>
      <c r="G845" s="4" t="inlineStr">
        <is>
          <t>Expense</t>
        </is>
      </c>
      <c r="H845" s="12" t="n">
        <v>46105</v>
      </c>
      <c r="I845" s="13" t="n">
        <v>0.6656712962962963</v>
      </c>
      <c r="J845" s="14" t="n">
        <v>46105.66567129629</v>
      </c>
      <c r="K845" s="15" t="n">
        <v>17485.54</v>
      </c>
      <c r="L845" s="4" t="inlineStr">
        <is>
          <t>INR</t>
        </is>
      </c>
      <c r="M845" s="15" t="n">
        <v>-17485.54</v>
      </c>
      <c r="N845" s="4" t="inlineStr">
        <is>
          <t>IOS Owner</t>
        </is>
      </c>
      <c r="O845" s="4" t="n"/>
      <c r="P845" s="4" t="n"/>
      <c r="Q845" s="4" t="inlineStr">
        <is>
          <t>MAESTRO-IOS-PERSONAL-LIFE_OPERATIONS-0844 | Subscriptions | 17485.54</t>
        </is>
      </c>
      <c r="R845" s="4" t="inlineStr">
        <is>
          <t>iPhone</t>
        </is>
      </c>
      <c r="S845" s="4" t="inlineStr">
        <is>
          <t>B17</t>
        </is>
      </c>
      <c r="T845" s="4" t="inlineStr">
        <is>
          <t>RAMP_501_1500</t>
        </is>
      </c>
      <c r="U845" s="4" t="inlineStr">
        <is>
          <t>CREATED</t>
        </is>
      </c>
      <c r="V845" s="4" t="inlineStr">
        <is>
          <t>idem-20260902-ios-0844</t>
        </is>
      </c>
    </row>
    <row r="846" ht="30" customHeight="1">
      <c r="A846" s="4" t="n">
        <v>845</v>
      </c>
      <c r="B846" s="4" t="inlineStr">
        <is>
          <t>MTR-IOS-0845</t>
        </is>
      </c>
      <c r="C846" s="4" t="inlineStr">
        <is>
          <t>Group</t>
        </is>
      </c>
      <c r="D846" s="4" t="inlineStr">
        <is>
          <t>Shared Living</t>
        </is>
      </c>
      <c r="E846" s="4" t="inlineStr">
        <is>
          <t>Shared Living</t>
        </is>
      </c>
      <c r="F846" s="4" t="inlineStr">
        <is>
          <t>Other</t>
        </is>
      </c>
      <c r="G846" s="4" t="inlineStr">
        <is>
          <t>Expense</t>
        </is>
      </c>
      <c r="H846" s="12" t="n">
        <v>45905</v>
      </c>
      <c r="I846" s="13" t="n">
        <v>0.2015393518518518</v>
      </c>
      <c r="J846" s="14" t="n">
        <v>45905.20153935185</v>
      </c>
      <c r="K846" s="15" t="n">
        <v>2467.13</v>
      </c>
      <c r="L846" s="4" t="inlineStr">
        <is>
          <t>INR</t>
        </is>
      </c>
      <c r="M846" s="15" t="n">
        <v>-2467.13</v>
      </c>
      <c r="N846" s="4" t="inlineStr">
        <is>
          <t>IOS Meera</t>
        </is>
      </c>
      <c r="O846" s="4" t="n">
        <v>3</v>
      </c>
      <c r="P846" s="4" t="inlineStr">
        <is>
          <t>PERCENTAGE</t>
        </is>
      </c>
      <c r="Q846" s="4" t="inlineStr">
        <is>
          <t>MAESTRO-IOS-GROUP-SHARED_LIVING-0845 | Other | 2467.13</t>
        </is>
      </c>
      <c r="R846" s="4" t="inlineStr">
        <is>
          <t>iPhone</t>
        </is>
      </c>
      <c r="S846" s="4" t="inlineStr">
        <is>
          <t>B17</t>
        </is>
      </c>
      <c r="T846" s="4" t="inlineStr">
        <is>
          <t>RAMP_501_1500</t>
        </is>
      </c>
      <c r="U846" s="4" t="inlineStr">
        <is>
          <t>CREATED</t>
        </is>
      </c>
      <c r="V846" s="4" t="inlineStr">
        <is>
          <t>idem-20260902-ios-0845</t>
        </is>
      </c>
    </row>
    <row r="847" ht="30" customHeight="1">
      <c r="A847" s="4" t="n">
        <v>846</v>
      </c>
      <c r="B847" s="4" t="inlineStr">
        <is>
          <t>MTR-IOS-0846</t>
        </is>
      </c>
      <c r="C847" s="4" t="inlineStr">
        <is>
          <t>Business</t>
        </is>
      </c>
      <c r="D847" s="4" t="inlineStr">
        <is>
          <t>Business</t>
        </is>
      </c>
      <c r="E847" s="4" t="inlineStr">
        <is>
          <t>Business Runway</t>
        </is>
      </c>
      <c r="F847" s="4" t="inlineStr">
        <is>
          <t>Revenue</t>
        </is>
      </c>
      <c r="G847" s="4" t="inlineStr">
        <is>
          <t>Income</t>
        </is>
      </c>
      <c r="H847" s="12" t="n">
        <v>45977</v>
      </c>
      <c r="I847" s="13" t="n">
        <v>0.8789930555555555</v>
      </c>
      <c r="J847" s="14" t="n">
        <v>45977.87899305556</v>
      </c>
      <c r="K847" s="15" t="n">
        <v>21402.54</v>
      </c>
      <c r="L847" s="4" t="inlineStr">
        <is>
          <t>INR</t>
        </is>
      </c>
      <c r="M847" s="15" t="n">
        <v>21402.54</v>
      </c>
      <c r="N847" s="4" t="inlineStr">
        <is>
          <t>IOS Owner</t>
        </is>
      </c>
      <c r="O847" s="4" t="n"/>
      <c r="P847" s="4" t="n"/>
      <c r="Q847" s="4" t="inlineStr">
        <is>
          <t>MAESTRO-IOS-BUSINESS-BUSINESS_RUNWAY-0846 | Revenue | 21402.54</t>
        </is>
      </c>
      <c r="R847" s="4" t="inlineStr">
        <is>
          <t>iPhone</t>
        </is>
      </c>
      <c r="S847" s="4" t="inlineStr">
        <is>
          <t>B17</t>
        </is>
      </c>
      <c r="T847" s="4" t="inlineStr">
        <is>
          <t>RAMP_501_1500</t>
        </is>
      </c>
      <c r="U847" s="4" t="inlineStr">
        <is>
          <t>CREATED</t>
        </is>
      </c>
      <c r="V847" s="4" t="inlineStr">
        <is>
          <t>idem-20260902-ios-0846</t>
        </is>
      </c>
    </row>
    <row r="848" ht="30" customHeight="1">
      <c r="A848" s="4" t="n">
        <v>847</v>
      </c>
      <c r="B848" s="4" t="inlineStr">
        <is>
          <t>MTR-IOS-0847</t>
        </is>
      </c>
      <c r="C848" s="4" t="inlineStr">
        <is>
          <t>Personal</t>
        </is>
      </c>
      <c r="D848" s="4" t="inlineStr">
        <is>
          <t>Personal</t>
        </is>
      </c>
      <c r="E848" s="4" t="inlineStr">
        <is>
          <t>Life Operations</t>
        </is>
      </c>
      <c r="F848" s="4" t="inlineStr">
        <is>
          <t>Repairs</t>
        </is>
      </c>
      <c r="G848" s="4" t="inlineStr">
        <is>
          <t>Expense</t>
        </is>
      </c>
      <c r="H848" s="12" t="n">
        <v>46155</v>
      </c>
      <c r="I848" s="13" t="n">
        <v>0.472974537037037</v>
      </c>
      <c r="J848" s="14" t="n">
        <v>46155.47297453704</v>
      </c>
      <c r="K848" s="15" t="n">
        <v>317.55</v>
      </c>
      <c r="L848" s="4" t="inlineStr">
        <is>
          <t>INR</t>
        </is>
      </c>
      <c r="M848" s="15" t="n">
        <v>-317.55</v>
      </c>
      <c r="N848" s="4" t="inlineStr">
        <is>
          <t>IOS Owner</t>
        </is>
      </c>
      <c r="O848" s="4" t="n"/>
      <c r="P848" s="4" t="n"/>
      <c r="Q848" s="4" t="inlineStr">
        <is>
          <t>MAESTRO-IOS-PERSONAL-LIFE_OPERATIONS-0847 | Repairs | 317.55</t>
        </is>
      </c>
      <c r="R848" s="4" t="inlineStr">
        <is>
          <t>iPhone</t>
        </is>
      </c>
      <c r="S848" s="4" t="inlineStr">
        <is>
          <t>B17</t>
        </is>
      </c>
      <c r="T848" s="4" t="inlineStr">
        <is>
          <t>RAMP_501_1500</t>
        </is>
      </c>
      <c r="U848" s="4" t="inlineStr">
        <is>
          <t>CREATED</t>
        </is>
      </c>
      <c r="V848" s="4" t="inlineStr">
        <is>
          <t>idem-20260902-ios-0847</t>
        </is>
      </c>
    </row>
    <row r="849" ht="30" customHeight="1">
      <c r="A849" s="4" t="n">
        <v>848</v>
      </c>
      <c r="B849" s="4" t="inlineStr">
        <is>
          <t>MTR-IOS-0848</t>
        </is>
      </c>
      <c r="C849" s="4" t="inlineStr">
        <is>
          <t>Group</t>
        </is>
      </c>
      <c r="D849" s="4" t="inlineStr">
        <is>
          <t>Shared Living</t>
        </is>
      </c>
      <c r="E849" s="4" t="inlineStr">
        <is>
          <t>Family Household</t>
        </is>
      </c>
      <c r="F849" s="4" t="inlineStr">
        <is>
          <t>Groceries</t>
        </is>
      </c>
      <c r="G849" s="4" t="inlineStr">
        <is>
          <t>Expense</t>
        </is>
      </c>
      <c r="H849" s="12" t="n">
        <v>46063</v>
      </c>
      <c r="I849" s="13" t="n">
        <v>0.8678356481481482</v>
      </c>
      <c r="J849" s="14" t="n">
        <v>46063.86783564815</v>
      </c>
      <c r="K849" s="15" t="n">
        <v>24302.63</v>
      </c>
      <c r="L849" s="4" t="inlineStr">
        <is>
          <t>INR</t>
        </is>
      </c>
      <c r="M849" s="15" t="n">
        <v>-24302.63</v>
      </c>
      <c r="N849" s="4" t="inlineStr">
        <is>
          <t>IOS Owner</t>
        </is>
      </c>
      <c r="O849" s="4" t="n">
        <v>3</v>
      </c>
      <c r="P849" s="4" t="inlineStr">
        <is>
          <t>EXACT</t>
        </is>
      </c>
      <c r="Q849" s="4" t="inlineStr">
        <is>
          <t>MAESTRO-IOS-GROUP-FAMILY_HOUSEHOLD-0848 | Groceries | 24302.63</t>
        </is>
      </c>
      <c r="R849" s="4" t="inlineStr">
        <is>
          <t>iPhone</t>
        </is>
      </c>
      <c r="S849" s="4" t="inlineStr">
        <is>
          <t>B17</t>
        </is>
      </c>
      <c r="T849" s="4" t="inlineStr">
        <is>
          <t>RAMP_501_1500</t>
        </is>
      </c>
      <c r="U849" s="4" t="inlineStr">
        <is>
          <t>CREATED</t>
        </is>
      </c>
      <c r="V849" s="4" t="inlineStr">
        <is>
          <t>idem-20260902-ios-0848</t>
        </is>
      </c>
    </row>
    <row r="850" ht="30" customHeight="1">
      <c r="A850" s="4" t="n">
        <v>849</v>
      </c>
      <c r="B850" s="4" t="inlineStr">
        <is>
          <t>MTR-IOS-0849</t>
        </is>
      </c>
      <c r="C850" s="4" t="inlineStr">
        <is>
          <t>Business</t>
        </is>
      </c>
      <c r="D850" s="4" t="inlineStr">
        <is>
          <t>Business</t>
        </is>
      </c>
      <c r="E850" s="4" t="inlineStr">
        <is>
          <t>Business Runway</t>
        </is>
      </c>
      <c r="F850" s="4" t="inlineStr">
        <is>
          <t>Burn</t>
        </is>
      </c>
      <c r="G850" s="4" t="inlineStr">
        <is>
          <t>Expense</t>
        </is>
      </c>
      <c r="H850" s="12" t="n">
        <v>46112</v>
      </c>
      <c r="I850" s="13" t="n">
        <v>0.04763888888888889</v>
      </c>
      <c r="J850" s="14" t="n">
        <v>46112.04763888889</v>
      </c>
      <c r="K850" s="15" t="n">
        <v>31563.98</v>
      </c>
      <c r="L850" s="4" t="inlineStr">
        <is>
          <t>INR</t>
        </is>
      </c>
      <c r="M850" s="15" t="n">
        <v>-31563.98</v>
      </c>
      <c r="N850" s="4" t="inlineStr">
        <is>
          <t>IOS Owner</t>
        </is>
      </c>
      <c r="O850" s="4" t="n"/>
      <c r="P850" s="4" t="n"/>
      <c r="Q850" s="4" t="inlineStr">
        <is>
          <t>MAESTRO-IOS-BUSINESS-BUSINESS_RUNWAY-0849 | Burn | 31563.98</t>
        </is>
      </c>
      <c r="R850" s="4" t="inlineStr">
        <is>
          <t>iPhone</t>
        </is>
      </c>
      <c r="S850" s="4" t="inlineStr">
        <is>
          <t>B17</t>
        </is>
      </c>
      <c r="T850" s="4" t="inlineStr">
        <is>
          <t>RAMP_501_1500</t>
        </is>
      </c>
      <c r="U850" s="4" t="inlineStr">
        <is>
          <t>CREATED</t>
        </is>
      </c>
      <c r="V850" s="4" t="inlineStr">
        <is>
          <t>idem-20260902-ios-0849</t>
        </is>
      </c>
    </row>
    <row r="851" ht="30" customHeight="1">
      <c r="A851" s="4" t="n">
        <v>850</v>
      </c>
      <c r="B851" s="4" t="inlineStr">
        <is>
          <t>MTR-IOS-0850</t>
        </is>
      </c>
      <c r="C851" s="4" t="inlineStr">
        <is>
          <t>Personal</t>
        </is>
      </c>
      <c r="D851" s="4" t="inlineStr">
        <is>
          <t>Personal</t>
        </is>
      </c>
      <c r="E851" s="4" t="inlineStr">
        <is>
          <t>Future Building</t>
        </is>
      </c>
      <c r="F851" s="4" t="inlineStr">
        <is>
          <t>Savings</t>
        </is>
      </c>
      <c r="G851" s="4" t="inlineStr">
        <is>
          <t>Transfer</t>
        </is>
      </c>
      <c r="H851" s="12" t="n">
        <v>46169</v>
      </c>
      <c r="I851" s="13" t="n">
        <v>0.6320370370370371</v>
      </c>
      <c r="J851" s="14" t="n">
        <v>46169.63203703704</v>
      </c>
      <c r="K851" s="15" t="n">
        <v>2352.96</v>
      </c>
      <c r="L851" s="4" t="inlineStr">
        <is>
          <t>INR</t>
        </is>
      </c>
      <c r="M851" s="15" t="n">
        <v>0</v>
      </c>
      <c r="N851" s="4" t="inlineStr">
        <is>
          <t>IOS Owner</t>
        </is>
      </c>
      <c r="O851" s="4" t="n"/>
      <c r="P851" s="4" t="n"/>
      <c r="Q851" s="4" t="inlineStr">
        <is>
          <t>MAESTRO-IOS-PERSONAL-FUTURE_BUILDING-0850 | Savings | 2352.96</t>
        </is>
      </c>
      <c r="R851" s="4" t="inlineStr">
        <is>
          <t>iPhone</t>
        </is>
      </c>
      <c r="S851" s="4" t="inlineStr">
        <is>
          <t>B17</t>
        </is>
      </c>
      <c r="T851" s="4" t="inlineStr">
        <is>
          <t>RAMP_501_1500</t>
        </is>
      </c>
      <c r="U851" s="4" t="inlineStr">
        <is>
          <t>CREATED</t>
        </is>
      </c>
      <c r="V851" s="4" t="inlineStr">
        <is>
          <t>idem-20260902-ios-0850</t>
        </is>
      </c>
    </row>
    <row r="852" ht="30" customHeight="1">
      <c r="A852" s="4" t="n">
        <v>851</v>
      </c>
      <c r="B852" s="4" t="inlineStr">
        <is>
          <t>MTR-IOS-0851</t>
        </is>
      </c>
      <c r="C852" s="4" t="inlineStr">
        <is>
          <t>Group</t>
        </is>
      </c>
      <c r="D852" s="4" t="inlineStr">
        <is>
          <t>Shared Living</t>
        </is>
      </c>
      <c r="E852" s="4" t="inlineStr">
        <is>
          <t>Family Household</t>
        </is>
      </c>
      <c r="F852" s="4" t="inlineStr">
        <is>
          <t>Bills</t>
        </is>
      </c>
      <c r="G852" s="4" t="inlineStr">
        <is>
          <t>Expense</t>
        </is>
      </c>
      <c r="H852" s="12" t="n">
        <v>46053</v>
      </c>
      <c r="I852" s="13" t="n">
        <v>0.6219791666666666</v>
      </c>
      <c r="J852" s="14" t="n">
        <v>46053.62197916667</v>
      </c>
      <c r="K852" s="15" t="n">
        <v>10000</v>
      </c>
      <c r="L852" s="4" t="inlineStr">
        <is>
          <t>INR</t>
        </is>
      </c>
      <c r="M852" s="15" t="n">
        <v>-10000</v>
      </c>
      <c r="N852" s="4" t="inlineStr">
        <is>
          <t>IOS Aarav</t>
        </is>
      </c>
      <c r="O852" s="4" t="n">
        <v>3</v>
      </c>
      <c r="P852" s="4" t="inlineStr">
        <is>
          <t>SHARES</t>
        </is>
      </c>
      <c r="Q852" s="4" t="inlineStr">
        <is>
          <t>MAESTRO-IOS-GROUP-FAMILY_HOUSEHOLD-0851 | Bills | 10000.00</t>
        </is>
      </c>
      <c r="R852" s="4" t="inlineStr">
        <is>
          <t>iPhone</t>
        </is>
      </c>
      <c r="S852" s="4" t="inlineStr">
        <is>
          <t>B18</t>
        </is>
      </c>
      <c r="T852" s="4" t="inlineStr">
        <is>
          <t>RAMP_501_1500</t>
        </is>
      </c>
      <c r="U852" s="4" t="inlineStr">
        <is>
          <t>CREATED</t>
        </is>
      </c>
      <c r="V852" s="4" t="inlineStr">
        <is>
          <t>idem-20260902-ios-0851</t>
        </is>
      </c>
    </row>
    <row r="853" ht="30" customHeight="1">
      <c r="A853" s="4" t="n">
        <v>852</v>
      </c>
      <c r="B853" s="4" t="inlineStr">
        <is>
          <t>MTR-IOS-0852</t>
        </is>
      </c>
      <c r="C853" s="4" t="inlineStr">
        <is>
          <t>Business</t>
        </is>
      </c>
      <c r="D853" s="4" t="inlineStr">
        <is>
          <t>Business</t>
        </is>
      </c>
      <c r="E853" s="4" t="inlineStr">
        <is>
          <t>Business Runway</t>
        </is>
      </c>
      <c r="F853" s="4" t="inlineStr">
        <is>
          <t>Reserve</t>
        </is>
      </c>
      <c r="G853" s="4" t="inlineStr">
        <is>
          <t>Transfer</t>
        </is>
      </c>
      <c r="H853" s="12" t="n">
        <v>46143</v>
      </c>
      <c r="I853" s="13" t="n">
        <v>0.3958217592592593</v>
      </c>
      <c r="J853" s="14" t="n">
        <v>46143.39582175926</v>
      </c>
      <c r="K853" s="15" t="n">
        <v>153346.27</v>
      </c>
      <c r="L853" s="4" t="inlineStr">
        <is>
          <t>INR</t>
        </is>
      </c>
      <c r="M853" s="15" t="n">
        <v>0</v>
      </c>
      <c r="N853" s="4" t="inlineStr">
        <is>
          <t>IOS Owner</t>
        </is>
      </c>
      <c r="O853" s="4" t="n"/>
      <c r="P853" s="4" t="n"/>
      <c r="Q853" s="4" t="inlineStr">
        <is>
          <t>MAESTRO-IOS-BUSINESS-BUSINESS_RUNWAY-0852 | Reserve | 153346.27</t>
        </is>
      </c>
      <c r="R853" s="4" t="inlineStr">
        <is>
          <t>iPhone</t>
        </is>
      </c>
      <c r="S853" s="4" t="inlineStr">
        <is>
          <t>B18</t>
        </is>
      </c>
      <c r="T853" s="4" t="inlineStr">
        <is>
          <t>RAMP_501_1500</t>
        </is>
      </c>
      <c r="U853" s="4" t="inlineStr">
        <is>
          <t>CREATED</t>
        </is>
      </c>
      <c r="V853" s="4" t="inlineStr">
        <is>
          <t>idem-20260902-ios-0852</t>
        </is>
      </c>
    </row>
    <row r="854" ht="30" customHeight="1">
      <c r="A854" s="4" t="n">
        <v>853</v>
      </c>
      <c r="B854" s="4" t="inlineStr">
        <is>
          <t>MTR-IOS-0853</t>
        </is>
      </c>
      <c r="C854" s="4" t="inlineStr">
        <is>
          <t>Personal</t>
        </is>
      </c>
      <c r="D854" s="4" t="inlineStr">
        <is>
          <t>Personal</t>
        </is>
      </c>
      <c r="E854" s="4" t="inlineStr">
        <is>
          <t>Future Building</t>
        </is>
      </c>
      <c r="F854" s="4" t="inlineStr">
        <is>
          <t>Emergency Fund</t>
        </is>
      </c>
      <c r="G854" s="4" t="inlineStr">
        <is>
          <t>Transfer</t>
        </is>
      </c>
      <c r="H854" s="12" t="n">
        <v>46089</v>
      </c>
      <c r="I854" s="13" t="n">
        <v>0.8122106481481481</v>
      </c>
      <c r="J854" s="14" t="n">
        <v>46089.81221064815</v>
      </c>
      <c r="K854" s="15" t="n">
        <v>2505.51</v>
      </c>
      <c r="L854" s="4" t="inlineStr">
        <is>
          <t>INR</t>
        </is>
      </c>
      <c r="M854" s="15" t="n">
        <v>0</v>
      </c>
      <c r="N854" s="4" t="inlineStr">
        <is>
          <t>IOS Owner</t>
        </is>
      </c>
      <c r="O854" s="4" t="n"/>
      <c r="P854" s="4" t="n"/>
      <c r="Q854" s="4" t="inlineStr">
        <is>
          <t>MAESTRO-IOS-PERSONAL-FUTURE_BUILDING-0853 | Emergency Fund | 2505.51</t>
        </is>
      </c>
      <c r="R854" s="4" t="inlineStr">
        <is>
          <t>iPhone</t>
        </is>
      </c>
      <c r="S854" s="4" t="inlineStr">
        <is>
          <t>B18</t>
        </is>
      </c>
      <c r="T854" s="4" t="inlineStr">
        <is>
          <t>RAMP_501_1500</t>
        </is>
      </c>
      <c r="U854" s="4" t="inlineStr">
        <is>
          <t>CREATED</t>
        </is>
      </c>
      <c r="V854" s="4" t="inlineStr">
        <is>
          <t>idem-20260902-ios-0853</t>
        </is>
      </c>
    </row>
    <row r="855" ht="30" customHeight="1">
      <c r="A855" s="4" t="n">
        <v>854</v>
      </c>
      <c r="B855" s="4" t="inlineStr">
        <is>
          <t>MTR-IOS-0854</t>
        </is>
      </c>
      <c r="C855" s="4" t="inlineStr">
        <is>
          <t>Group</t>
        </is>
      </c>
      <c r="D855" s="4" t="inlineStr">
        <is>
          <t>Shared Living</t>
        </is>
      </c>
      <c r="E855" s="4" t="inlineStr">
        <is>
          <t>Family Household</t>
        </is>
      </c>
      <c r="F855" s="4" t="inlineStr">
        <is>
          <t>School</t>
        </is>
      </c>
      <c r="G855" s="4" t="inlineStr">
        <is>
          <t>Expense</t>
        </is>
      </c>
      <c r="H855" s="12" t="n">
        <v>46144</v>
      </c>
      <c r="I855" s="13" t="n">
        <v>0.8582291666666667</v>
      </c>
      <c r="J855" s="14" t="n">
        <v>46144.85822916667</v>
      </c>
      <c r="K855" s="15" t="n">
        <v>13736.33</v>
      </c>
      <c r="L855" s="4" t="inlineStr">
        <is>
          <t>INR</t>
        </is>
      </c>
      <c r="M855" s="15" t="n">
        <v>-13736.33</v>
      </c>
      <c r="N855" s="4" t="inlineStr">
        <is>
          <t>IOS Meera</t>
        </is>
      </c>
      <c r="O855" s="4" t="n">
        <v>3</v>
      </c>
      <c r="P855" s="4" t="inlineStr">
        <is>
          <t>EQUAL</t>
        </is>
      </c>
      <c r="Q855" s="4" t="inlineStr">
        <is>
          <t>MAESTRO-IOS-GROUP-FAMILY_HOUSEHOLD-0854 | School | 13736.33</t>
        </is>
      </c>
      <c r="R855" s="4" t="inlineStr">
        <is>
          <t>iPhone</t>
        </is>
      </c>
      <c r="S855" s="4" t="inlineStr">
        <is>
          <t>B18</t>
        </is>
      </c>
      <c r="T855" s="4" t="inlineStr">
        <is>
          <t>RAMP_501_1500</t>
        </is>
      </c>
      <c r="U855" s="4" t="inlineStr">
        <is>
          <t>CREATED</t>
        </is>
      </c>
      <c r="V855" s="4" t="inlineStr">
        <is>
          <t>idem-20260902-ios-0854</t>
        </is>
      </c>
    </row>
    <row r="856" ht="30" customHeight="1">
      <c r="A856" s="4" t="n">
        <v>855</v>
      </c>
      <c r="B856" s="4" t="inlineStr">
        <is>
          <t>MTR-IOS-0855</t>
        </is>
      </c>
      <c r="C856" s="4" t="inlineStr">
        <is>
          <t>Business</t>
        </is>
      </c>
      <c r="D856" s="4" t="inlineStr">
        <is>
          <t>Business</t>
        </is>
      </c>
      <c r="E856" s="4" t="inlineStr">
        <is>
          <t>Business Runway</t>
        </is>
      </c>
      <c r="F856" s="4" t="inlineStr">
        <is>
          <t>Loan</t>
        </is>
      </c>
      <c r="G856" s="4" t="inlineStr">
        <is>
          <t>Income</t>
        </is>
      </c>
      <c r="H856" s="12" t="n">
        <v>46192</v>
      </c>
      <c r="I856" s="13" t="n">
        <v>0.9409953703703704</v>
      </c>
      <c r="J856" s="14" t="n">
        <v>46192.94099537037</v>
      </c>
      <c r="K856" s="15" t="n">
        <v>103867.96</v>
      </c>
      <c r="L856" s="4" t="inlineStr">
        <is>
          <t>INR</t>
        </is>
      </c>
      <c r="M856" s="15" t="n">
        <v>103867.96</v>
      </c>
      <c r="N856" s="4" t="inlineStr">
        <is>
          <t>IOS Owner</t>
        </is>
      </c>
      <c r="O856" s="4" t="n"/>
      <c r="P856" s="4" t="n"/>
      <c r="Q856" s="4" t="inlineStr">
        <is>
          <t>MAESTRO-IOS-BUSINESS-BUSINESS_RUNWAY-0855 | Loan | 103867.96</t>
        </is>
      </c>
      <c r="R856" s="4" t="inlineStr">
        <is>
          <t>iPhone</t>
        </is>
      </c>
      <c r="S856" s="4" t="inlineStr">
        <is>
          <t>B18</t>
        </is>
      </c>
      <c r="T856" s="4" t="inlineStr">
        <is>
          <t>RAMP_501_1500</t>
        </is>
      </c>
      <c r="U856" s="4" t="inlineStr">
        <is>
          <t>CREATED</t>
        </is>
      </c>
      <c r="V856" s="4" t="inlineStr">
        <is>
          <t>idem-20260902-ios-0855</t>
        </is>
      </c>
    </row>
    <row r="857" ht="30" customHeight="1">
      <c r="A857" s="4" t="n">
        <v>856</v>
      </c>
      <c r="B857" s="4" t="inlineStr">
        <is>
          <t>MTR-IOS-0856</t>
        </is>
      </c>
      <c r="C857" s="4" t="inlineStr">
        <is>
          <t>Personal</t>
        </is>
      </c>
      <c r="D857" s="4" t="inlineStr">
        <is>
          <t>Personal</t>
        </is>
      </c>
      <c r="E857" s="4" t="inlineStr">
        <is>
          <t>Future Building</t>
        </is>
      </c>
      <c r="F857" s="4" t="inlineStr">
        <is>
          <t>Investments</t>
        </is>
      </c>
      <c r="G857" s="4" t="inlineStr">
        <is>
          <t>Investment</t>
        </is>
      </c>
      <c r="H857" s="12" t="n">
        <v>45962</v>
      </c>
      <c r="I857" s="13" t="n">
        <v>0.2146064814814815</v>
      </c>
      <c r="J857" s="14" t="n">
        <v>45962.21460648148</v>
      </c>
      <c r="K857" s="15" t="n">
        <v>4257.21</v>
      </c>
      <c r="L857" s="4" t="inlineStr">
        <is>
          <t>INR</t>
        </is>
      </c>
      <c r="M857" s="15" t="n">
        <v>0</v>
      </c>
      <c r="N857" s="4" t="inlineStr">
        <is>
          <t>IOS Owner</t>
        </is>
      </c>
      <c r="O857" s="4" t="n"/>
      <c r="P857" s="4" t="n"/>
      <c r="Q857" s="4" t="inlineStr">
        <is>
          <t>MAESTRO-IOS-PERSONAL-FUTURE_BUILDING-0856 | Investments | 4257.21</t>
        </is>
      </c>
      <c r="R857" s="4" t="inlineStr">
        <is>
          <t>iPhone</t>
        </is>
      </c>
      <c r="S857" s="4" t="inlineStr">
        <is>
          <t>B18</t>
        </is>
      </c>
      <c r="T857" s="4" t="inlineStr">
        <is>
          <t>RAMP_501_1500</t>
        </is>
      </c>
      <c r="U857" s="4" t="inlineStr">
        <is>
          <t>CREATED</t>
        </is>
      </c>
      <c r="V857" s="4" t="inlineStr">
        <is>
          <t>idem-20260902-ios-0856</t>
        </is>
      </c>
    </row>
    <row r="858" ht="30" customHeight="1">
      <c r="A858" s="4" t="n">
        <v>857</v>
      </c>
      <c r="B858" s="4" t="inlineStr">
        <is>
          <t>MTR-IOS-0857</t>
        </is>
      </c>
      <c r="C858" s="4" t="inlineStr">
        <is>
          <t>Group</t>
        </is>
      </c>
      <c r="D858" s="4" t="inlineStr">
        <is>
          <t>Shared Living</t>
        </is>
      </c>
      <c r="E858" s="4" t="inlineStr">
        <is>
          <t>Family Household</t>
        </is>
      </c>
      <c r="F858" s="4" t="inlineStr">
        <is>
          <t>Healthcare</t>
        </is>
      </c>
      <c r="G858" s="4" t="inlineStr">
        <is>
          <t>Expense</t>
        </is>
      </c>
      <c r="H858" s="12" t="n">
        <v>46257</v>
      </c>
      <c r="I858" s="13" t="n">
        <v>0.8430555555555556</v>
      </c>
      <c r="J858" s="14" t="n">
        <v>46257.84305555555</v>
      </c>
      <c r="K858" s="15" t="n">
        <v>22984.52</v>
      </c>
      <c r="L858" s="4" t="inlineStr">
        <is>
          <t>INR</t>
        </is>
      </c>
      <c r="M858" s="15" t="n">
        <v>-22984.52</v>
      </c>
      <c r="N858" s="4" t="inlineStr">
        <is>
          <t>IOS Owner</t>
        </is>
      </c>
      <c r="O858" s="4" t="n">
        <v>3</v>
      </c>
      <c r="P858" s="4" t="inlineStr">
        <is>
          <t>PERCENTAGE</t>
        </is>
      </c>
      <c r="Q858" s="4" t="inlineStr">
        <is>
          <t>MAESTRO-IOS-GROUP-FAMILY_HOUSEHOLD-0857 | Healthcare | 22984.52</t>
        </is>
      </c>
      <c r="R858" s="4" t="inlineStr">
        <is>
          <t>iPhone</t>
        </is>
      </c>
      <c r="S858" s="4" t="inlineStr">
        <is>
          <t>B18</t>
        </is>
      </c>
      <c r="T858" s="4" t="inlineStr">
        <is>
          <t>RAMP_501_1500</t>
        </is>
      </c>
      <c r="U858" s="4" t="inlineStr">
        <is>
          <t>CREATED</t>
        </is>
      </c>
      <c r="V858" s="4" t="inlineStr">
        <is>
          <t>idem-20260902-ios-0857</t>
        </is>
      </c>
    </row>
    <row r="859" ht="30" customHeight="1">
      <c r="A859" s="4" t="n">
        <v>858</v>
      </c>
      <c r="B859" s="4" t="inlineStr">
        <is>
          <t>MTR-IOS-0858</t>
        </is>
      </c>
      <c r="C859" s="4" t="inlineStr">
        <is>
          <t>Business</t>
        </is>
      </c>
      <c r="D859" s="4" t="inlineStr">
        <is>
          <t>Business</t>
        </is>
      </c>
      <c r="E859" s="4" t="inlineStr">
        <is>
          <t>Business Runway</t>
        </is>
      </c>
      <c r="F859" s="4" t="inlineStr">
        <is>
          <t>Investment</t>
        </is>
      </c>
      <c r="G859" s="4" t="inlineStr">
        <is>
          <t>Income</t>
        </is>
      </c>
      <c r="H859" s="12" t="n">
        <v>46200</v>
      </c>
      <c r="I859" s="13" t="n">
        <v>0.7041203703703703</v>
      </c>
      <c r="J859" s="14" t="n">
        <v>46200.70412037037</v>
      </c>
      <c r="K859" s="15" t="n">
        <v>132289.28</v>
      </c>
      <c r="L859" s="4" t="inlineStr">
        <is>
          <t>INR</t>
        </is>
      </c>
      <c r="M859" s="15" t="n">
        <v>132289.28</v>
      </c>
      <c r="N859" s="4" t="inlineStr">
        <is>
          <t>IOS Owner</t>
        </is>
      </c>
      <c r="O859" s="4" t="n"/>
      <c r="P859" s="4" t="n"/>
      <c r="Q859" s="4" t="inlineStr">
        <is>
          <t>MAESTRO-IOS-BUSINESS-BUSINESS_RUNWAY-0858 | Investment | 132289.28</t>
        </is>
      </c>
      <c r="R859" s="4" t="inlineStr">
        <is>
          <t>iPhone</t>
        </is>
      </c>
      <c r="S859" s="4" t="inlineStr">
        <is>
          <t>B18</t>
        </is>
      </c>
      <c r="T859" s="4" t="inlineStr">
        <is>
          <t>RAMP_501_1500</t>
        </is>
      </c>
      <c r="U859" s="4" t="inlineStr">
        <is>
          <t>CREATED</t>
        </is>
      </c>
      <c r="V859" s="4" t="inlineStr">
        <is>
          <t>idem-20260902-ios-0858</t>
        </is>
      </c>
    </row>
    <row r="860" ht="30" customHeight="1">
      <c r="A860" s="4" t="n">
        <v>859</v>
      </c>
      <c r="B860" s="4" t="inlineStr">
        <is>
          <t>MTR-IOS-0859</t>
        </is>
      </c>
      <c r="C860" s="4" t="inlineStr">
        <is>
          <t>Personal</t>
        </is>
      </c>
      <c r="D860" s="4" t="inlineStr">
        <is>
          <t>Personal</t>
        </is>
      </c>
      <c r="E860" s="4" t="inlineStr">
        <is>
          <t>Future Building</t>
        </is>
      </c>
      <c r="F860" s="4" t="inlineStr">
        <is>
          <t>Education</t>
        </is>
      </c>
      <c r="G860" s="4" t="inlineStr">
        <is>
          <t>Expense</t>
        </is>
      </c>
      <c r="H860" s="12" t="n">
        <v>46024</v>
      </c>
      <c r="I860" s="13" t="n">
        <v>0.3069560185185185</v>
      </c>
      <c r="J860" s="14" t="n">
        <v>46024.30695601852</v>
      </c>
      <c r="K860" s="15" t="n">
        <v>2322.72</v>
      </c>
      <c r="L860" s="4" t="inlineStr">
        <is>
          <t>INR</t>
        </is>
      </c>
      <c r="M860" s="15" t="n">
        <v>-2322.72</v>
      </c>
      <c r="N860" s="4" t="inlineStr">
        <is>
          <t>IOS Owner</t>
        </is>
      </c>
      <c r="O860" s="4" t="n"/>
      <c r="P860" s="4" t="n"/>
      <c r="Q860" s="4" t="inlineStr">
        <is>
          <t>MAESTRO-IOS-PERSONAL-FUTURE_BUILDING-0859 | Education | 2322.72</t>
        </is>
      </c>
      <c r="R860" s="4" t="inlineStr">
        <is>
          <t>iPhone</t>
        </is>
      </c>
      <c r="S860" s="4" t="inlineStr">
        <is>
          <t>B18</t>
        </is>
      </c>
      <c r="T860" s="4" t="inlineStr">
        <is>
          <t>RAMP_501_1500</t>
        </is>
      </c>
      <c r="U860" s="4" t="inlineStr">
        <is>
          <t>CREATED</t>
        </is>
      </c>
      <c r="V860" s="4" t="inlineStr">
        <is>
          <t>idem-20260902-ios-0859</t>
        </is>
      </c>
    </row>
    <row r="861" ht="30" customHeight="1">
      <c r="A861" s="4" t="n">
        <v>860</v>
      </c>
      <c r="B861" s="4" t="inlineStr">
        <is>
          <t>MTR-IOS-0860</t>
        </is>
      </c>
      <c r="C861" s="4" t="inlineStr">
        <is>
          <t>Group</t>
        </is>
      </c>
      <c r="D861" s="4" t="inlineStr">
        <is>
          <t>Shared Living</t>
        </is>
      </c>
      <c r="E861" s="4" t="inlineStr">
        <is>
          <t>Family Household</t>
        </is>
      </c>
      <c r="F861" s="4" t="inlineStr">
        <is>
          <t>Home</t>
        </is>
      </c>
      <c r="G861" s="4" t="inlineStr">
        <is>
          <t>Expense</t>
        </is>
      </c>
      <c r="H861" s="12" t="n">
        <v>46019</v>
      </c>
      <c r="I861" s="13" t="n">
        <v>0.4784027777777778</v>
      </c>
      <c r="J861" s="14" t="n">
        <v>46019.47840277778</v>
      </c>
      <c r="K861" s="15" t="n">
        <v>6273.54</v>
      </c>
      <c r="L861" s="4" t="inlineStr">
        <is>
          <t>INR</t>
        </is>
      </c>
      <c r="M861" s="15" t="n">
        <v>-6273.54</v>
      </c>
      <c r="N861" s="4" t="inlineStr">
        <is>
          <t>IOS Aarav</t>
        </is>
      </c>
      <c r="O861" s="4" t="n">
        <v>3</v>
      </c>
      <c r="P861" s="4" t="inlineStr">
        <is>
          <t>EXACT</t>
        </is>
      </c>
      <c r="Q861" s="4" t="inlineStr">
        <is>
          <t>MAESTRO-IOS-GROUP-FAMILY_HOUSEHOLD-0860 | Home | 6273.54</t>
        </is>
      </c>
      <c r="R861" s="4" t="inlineStr">
        <is>
          <t>iPhone</t>
        </is>
      </c>
      <c r="S861" s="4" t="inlineStr">
        <is>
          <t>B18</t>
        </is>
      </c>
      <c r="T861" s="4" t="inlineStr">
        <is>
          <t>RAMP_501_1500</t>
        </is>
      </c>
      <c r="U861" s="4" t="inlineStr">
        <is>
          <t>CREATED</t>
        </is>
      </c>
      <c r="V861" s="4" t="inlineStr">
        <is>
          <t>idem-20260902-ios-0860</t>
        </is>
      </c>
    </row>
    <row r="862" ht="30" customHeight="1">
      <c r="A862" s="4" t="n">
        <v>861</v>
      </c>
      <c r="B862" s="4" t="inlineStr">
        <is>
          <t>MTR-IOS-0861</t>
        </is>
      </c>
      <c r="C862" s="4" t="inlineStr">
        <is>
          <t>Business</t>
        </is>
      </c>
      <c r="D862" s="4" t="inlineStr">
        <is>
          <t>Business</t>
        </is>
      </c>
      <c r="E862" s="4" t="inlineStr">
        <is>
          <t>Business Operations</t>
        </is>
      </c>
      <c r="F862" s="4" t="inlineStr">
        <is>
          <t>Software</t>
        </is>
      </c>
      <c r="G862" s="4" t="inlineStr">
        <is>
          <t>Expense</t>
        </is>
      </c>
      <c r="H862" s="12" t="n">
        <v>46033</v>
      </c>
      <c r="I862" s="13" t="n">
        <v>0.9313310185185185</v>
      </c>
      <c r="J862" s="14" t="n">
        <v>46033.93133101852</v>
      </c>
      <c r="K862" s="15" t="n">
        <v>134575.96</v>
      </c>
      <c r="L862" s="4" t="inlineStr">
        <is>
          <t>INR</t>
        </is>
      </c>
      <c r="M862" s="15" t="n">
        <v>-134575.96</v>
      </c>
      <c r="N862" s="4" t="inlineStr">
        <is>
          <t>IOS Owner</t>
        </is>
      </c>
      <c r="O862" s="4" t="n"/>
      <c r="P862" s="4" t="n"/>
      <c r="Q862" s="4" t="inlineStr">
        <is>
          <t>MAESTRO-IOS-BUSINESS-BUSINESS_OPERATIONS-0861 | Software | 134575.96</t>
        </is>
      </c>
      <c r="R862" s="4" t="inlineStr">
        <is>
          <t>iPhone</t>
        </is>
      </c>
      <c r="S862" s="4" t="inlineStr">
        <is>
          <t>B18</t>
        </is>
      </c>
      <c r="T862" s="4" t="inlineStr">
        <is>
          <t>RAMP_501_1500</t>
        </is>
      </c>
      <c r="U862" s="4" t="inlineStr">
        <is>
          <t>CREATED</t>
        </is>
      </c>
      <c r="V862" s="4" t="inlineStr">
        <is>
          <t>idem-20260902-ios-0861</t>
        </is>
      </c>
    </row>
    <row r="863" ht="30" customHeight="1">
      <c r="A863" s="4" t="n">
        <v>862</v>
      </c>
      <c r="B863" s="4" t="inlineStr">
        <is>
          <t>MTR-IOS-0862</t>
        </is>
      </c>
      <c r="C863" s="4" t="inlineStr">
        <is>
          <t>Personal</t>
        </is>
      </c>
      <c r="D863" s="4" t="inlineStr">
        <is>
          <t>Personal</t>
        </is>
      </c>
      <c r="E863" s="4" t="inlineStr">
        <is>
          <t>Future Building</t>
        </is>
      </c>
      <c r="F863" s="4" t="inlineStr">
        <is>
          <t>Goal Contribution</t>
        </is>
      </c>
      <c r="G863" s="4" t="inlineStr">
        <is>
          <t>Transfer</t>
        </is>
      </c>
      <c r="H863" s="12" t="n">
        <v>46230</v>
      </c>
      <c r="I863" s="13" t="n">
        <v>0.1961342592592593</v>
      </c>
      <c r="J863" s="14" t="n">
        <v>46230.19613425926</v>
      </c>
      <c r="K863" s="15" t="n">
        <v>17815.82</v>
      </c>
      <c r="L863" s="4" t="inlineStr">
        <is>
          <t>INR</t>
        </is>
      </c>
      <c r="M863" s="15" t="n">
        <v>0</v>
      </c>
      <c r="N863" s="4" t="inlineStr">
        <is>
          <t>IOS Owner</t>
        </is>
      </c>
      <c r="O863" s="4" t="n"/>
      <c r="P863" s="4" t="n"/>
      <c r="Q863" s="4" t="inlineStr">
        <is>
          <t>MAESTRO-IOS-PERSONAL-FUTURE_BUILDING-0862 | Goal Contribution | 17815.82</t>
        </is>
      </c>
      <c r="R863" s="4" t="inlineStr">
        <is>
          <t>iPhone</t>
        </is>
      </c>
      <c r="S863" s="4" t="inlineStr">
        <is>
          <t>B18</t>
        </is>
      </c>
      <c r="T863" s="4" t="inlineStr">
        <is>
          <t>RAMP_501_1500</t>
        </is>
      </c>
      <c r="U863" s="4" t="inlineStr">
        <is>
          <t>CREATED</t>
        </is>
      </c>
      <c r="V863" s="4" t="inlineStr">
        <is>
          <t>idem-20260902-ios-0862</t>
        </is>
      </c>
    </row>
    <row r="864" ht="30" customHeight="1">
      <c r="A864" s="4" t="n">
        <v>863</v>
      </c>
      <c r="B864" s="4" t="inlineStr">
        <is>
          <t>MTR-IOS-0863</t>
        </is>
      </c>
      <c r="C864" s="4" t="inlineStr">
        <is>
          <t>Group</t>
        </is>
      </c>
      <c r="D864" s="4" t="inlineStr">
        <is>
          <t>Shared Living</t>
        </is>
      </c>
      <c r="E864" s="4" t="inlineStr">
        <is>
          <t>Family Household</t>
        </is>
      </c>
      <c r="F864" s="4" t="inlineStr">
        <is>
          <t>Other</t>
        </is>
      </c>
      <c r="G864" s="4" t="inlineStr">
        <is>
          <t>Expense</t>
        </is>
      </c>
      <c r="H864" s="12" t="n">
        <v>46010</v>
      </c>
      <c r="I864" s="13" t="n">
        <v>0.9216782407407408</v>
      </c>
      <c r="J864" s="14" t="n">
        <v>46010.92167824074</v>
      </c>
      <c r="K864" s="15" t="n">
        <v>13289.51</v>
      </c>
      <c r="L864" s="4" t="inlineStr">
        <is>
          <t>INR</t>
        </is>
      </c>
      <c r="M864" s="15" t="n">
        <v>-13289.51</v>
      </c>
      <c r="N864" s="4" t="inlineStr">
        <is>
          <t>IOS Meera</t>
        </is>
      </c>
      <c r="O864" s="4" t="n">
        <v>3</v>
      </c>
      <c r="P864" s="4" t="inlineStr">
        <is>
          <t>SHARES</t>
        </is>
      </c>
      <c r="Q864" s="4" t="inlineStr">
        <is>
          <t>MAESTRO-IOS-GROUP-FAMILY_HOUSEHOLD-0863 | Other | 13289.51</t>
        </is>
      </c>
      <c r="R864" s="4" t="inlineStr">
        <is>
          <t>iPhone</t>
        </is>
      </c>
      <c r="S864" s="4" t="inlineStr">
        <is>
          <t>B18</t>
        </is>
      </c>
      <c r="T864" s="4" t="inlineStr">
        <is>
          <t>RAMP_501_1500</t>
        </is>
      </c>
      <c r="U864" s="4" t="inlineStr">
        <is>
          <t>CREATED</t>
        </is>
      </c>
      <c r="V864" s="4" t="inlineStr">
        <is>
          <t>idem-20260902-ios-0863</t>
        </is>
      </c>
    </row>
    <row r="865" ht="30" customHeight="1">
      <c r="A865" s="4" t="n">
        <v>864</v>
      </c>
      <c r="B865" s="4" t="inlineStr">
        <is>
          <t>MTR-IOS-0864</t>
        </is>
      </c>
      <c r="C865" s="4" t="inlineStr">
        <is>
          <t>Business</t>
        </is>
      </c>
      <c r="D865" s="4" t="inlineStr">
        <is>
          <t>Business</t>
        </is>
      </c>
      <c r="E865" s="4" t="inlineStr">
        <is>
          <t>Business Operations</t>
        </is>
      </c>
      <c r="F865" s="4" t="inlineStr">
        <is>
          <t>Rent</t>
        </is>
      </c>
      <c r="G865" s="4" t="inlineStr">
        <is>
          <t>Expense</t>
        </is>
      </c>
      <c r="H865" s="12" t="n">
        <v>46134</v>
      </c>
      <c r="I865" s="13" t="n">
        <v>0.8697337962962963</v>
      </c>
      <c r="J865" s="14" t="n">
        <v>46134.86973379629</v>
      </c>
      <c r="K865" s="15" t="n">
        <v>113631.59</v>
      </c>
      <c r="L865" s="4" t="inlineStr">
        <is>
          <t>INR</t>
        </is>
      </c>
      <c r="M865" s="15" t="n">
        <v>-113631.59</v>
      </c>
      <c r="N865" s="4" t="inlineStr">
        <is>
          <t>IOS Owner</t>
        </is>
      </c>
      <c r="O865" s="4" t="n"/>
      <c r="P865" s="4" t="n"/>
      <c r="Q865" s="4" t="inlineStr">
        <is>
          <t>MAESTRO-IOS-BUSINESS-BUSINESS_OPERATIONS-0864 | Rent | 113631.59</t>
        </is>
      </c>
      <c r="R865" s="4" t="inlineStr">
        <is>
          <t>iPhone</t>
        </is>
      </c>
      <c r="S865" s="4" t="inlineStr">
        <is>
          <t>B18</t>
        </is>
      </c>
      <c r="T865" s="4" t="inlineStr">
        <is>
          <t>RAMP_501_1500</t>
        </is>
      </c>
      <c r="U865" s="4" t="inlineStr">
        <is>
          <t>CREATED</t>
        </is>
      </c>
      <c r="V865" s="4" t="inlineStr">
        <is>
          <t>idem-20260902-ios-0864</t>
        </is>
      </c>
    </row>
    <row r="866" ht="30" customHeight="1">
      <c r="A866" s="4" t="n">
        <v>865</v>
      </c>
      <c r="B866" s="4" t="inlineStr">
        <is>
          <t>MTR-IOS-0865</t>
        </is>
      </c>
      <c r="C866" s="4" t="inlineStr">
        <is>
          <t>Personal</t>
        </is>
      </c>
      <c r="D866" s="4" t="inlineStr">
        <is>
          <t>Personal</t>
        </is>
      </c>
      <c r="E866" s="4" t="inlineStr">
        <is>
          <t>Lifestyle</t>
        </is>
      </c>
      <c r="F866" s="4" t="inlineStr">
        <is>
          <t>Dining</t>
        </is>
      </c>
      <c r="G866" s="4" t="inlineStr">
        <is>
          <t>Expense</t>
        </is>
      </c>
      <c r="H866" s="12" t="n">
        <v>46231</v>
      </c>
      <c r="I866" s="13" t="n">
        <v>0.4430324074074074</v>
      </c>
      <c r="J866" s="14" t="n">
        <v>46231.44303240741</v>
      </c>
      <c r="K866" s="15" t="n">
        <v>14191.17</v>
      </c>
      <c r="L866" s="4" t="inlineStr">
        <is>
          <t>INR</t>
        </is>
      </c>
      <c r="M866" s="15" t="n">
        <v>-14191.17</v>
      </c>
      <c r="N866" s="4" t="inlineStr">
        <is>
          <t>IOS Owner</t>
        </is>
      </c>
      <c r="O866" s="4" t="n"/>
      <c r="P866" s="4" t="n"/>
      <c r="Q866" s="4" t="inlineStr">
        <is>
          <t>MAESTRO-IOS-PERSONAL-LIFESTYLE-0865 | Dining | 14191.17</t>
        </is>
      </c>
      <c r="R866" s="4" t="inlineStr">
        <is>
          <t>iPhone</t>
        </is>
      </c>
      <c r="S866" s="4" t="inlineStr">
        <is>
          <t>B18</t>
        </is>
      </c>
      <c r="T866" s="4" t="inlineStr">
        <is>
          <t>RAMP_501_1500</t>
        </is>
      </c>
      <c r="U866" s="4" t="inlineStr">
        <is>
          <t>CREATED</t>
        </is>
      </c>
      <c r="V866" s="4" t="inlineStr">
        <is>
          <t>idem-20260902-ios-0865</t>
        </is>
      </c>
    </row>
    <row r="867" ht="30" customHeight="1">
      <c r="A867" s="4" t="n">
        <v>866</v>
      </c>
      <c r="B867" s="4" t="inlineStr">
        <is>
          <t>MTR-IOS-0866</t>
        </is>
      </c>
      <c r="C867" s="4" t="inlineStr">
        <is>
          <t>Group</t>
        </is>
      </c>
      <c r="D867" s="4" t="inlineStr">
        <is>
          <t>Shared Living</t>
        </is>
      </c>
      <c r="E867" s="4" t="inlineStr">
        <is>
          <t>Custom Living</t>
        </is>
      </c>
      <c r="F867" s="4" t="inlineStr">
        <is>
          <t>Custom Expense</t>
        </is>
      </c>
      <c r="G867" s="4" t="inlineStr">
        <is>
          <t>Expense</t>
        </is>
      </c>
      <c r="H867" s="12" t="n">
        <v>46053</v>
      </c>
      <c r="I867" s="13" t="n">
        <v>0.008032407407407408</v>
      </c>
      <c r="J867" s="14" t="n">
        <v>46053.00803240741</v>
      </c>
      <c r="K867" s="15" t="n">
        <v>14865.78</v>
      </c>
      <c r="L867" s="4" t="inlineStr">
        <is>
          <t>INR</t>
        </is>
      </c>
      <c r="M867" s="15" t="n">
        <v>-14865.78</v>
      </c>
      <c r="N867" s="4" t="inlineStr">
        <is>
          <t>IOS Owner</t>
        </is>
      </c>
      <c r="O867" s="4" t="n">
        <v>3</v>
      </c>
      <c r="P867" s="4" t="inlineStr">
        <is>
          <t>EQUAL</t>
        </is>
      </c>
      <c r="Q867" s="4" t="inlineStr">
        <is>
          <t>MAESTRO-IOS-GROUP-CUSTOM_LIVING-0866 | Custom Expense | 14865.78</t>
        </is>
      </c>
      <c r="R867" s="4" t="inlineStr">
        <is>
          <t>iPhone</t>
        </is>
      </c>
      <c r="S867" s="4" t="inlineStr">
        <is>
          <t>B18</t>
        </is>
      </c>
      <c r="T867" s="4" t="inlineStr">
        <is>
          <t>RAMP_501_1500</t>
        </is>
      </c>
      <c r="U867" s="4" t="inlineStr">
        <is>
          <t>CREATED</t>
        </is>
      </c>
      <c r="V867" s="4" t="inlineStr">
        <is>
          <t>idem-20260902-ios-0866</t>
        </is>
      </c>
    </row>
    <row r="868" ht="30" customHeight="1">
      <c r="A868" s="4" t="n">
        <v>867</v>
      </c>
      <c r="B868" s="4" t="inlineStr">
        <is>
          <t>MTR-IOS-0867</t>
        </is>
      </c>
      <c r="C868" s="4" t="inlineStr">
        <is>
          <t>Business</t>
        </is>
      </c>
      <c r="D868" s="4" t="inlineStr">
        <is>
          <t>Business</t>
        </is>
      </c>
      <c r="E868" s="4" t="inlineStr">
        <is>
          <t>Business Operations</t>
        </is>
      </c>
      <c r="F868" s="4" t="inlineStr">
        <is>
          <t>Marketing</t>
        </is>
      </c>
      <c r="G868" s="4" t="inlineStr">
        <is>
          <t>Expense</t>
        </is>
      </c>
      <c r="H868" s="12" t="n">
        <v>46098</v>
      </c>
      <c r="I868" s="13" t="n">
        <v>0.5774189814814815</v>
      </c>
      <c r="J868" s="14" t="n">
        <v>46098.57741898148</v>
      </c>
      <c r="K868" s="15" t="n">
        <v>134106.95</v>
      </c>
      <c r="L868" s="4" t="inlineStr">
        <is>
          <t>INR</t>
        </is>
      </c>
      <c r="M868" s="15" t="n">
        <v>-134106.95</v>
      </c>
      <c r="N868" s="4" t="inlineStr">
        <is>
          <t>IOS Owner</t>
        </is>
      </c>
      <c r="O868" s="4" t="n"/>
      <c r="P868" s="4" t="n"/>
      <c r="Q868" s="4" t="inlineStr">
        <is>
          <t>MAESTRO-IOS-BUSINESS-BUSINESS_OPERATIONS-0867 | Marketing | 134106.95</t>
        </is>
      </c>
      <c r="R868" s="4" t="inlineStr">
        <is>
          <t>iPhone</t>
        </is>
      </c>
      <c r="S868" s="4" t="inlineStr">
        <is>
          <t>B18</t>
        </is>
      </c>
      <c r="T868" s="4" t="inlineStr">
        <is>
          <t>RAMP_501_1500</t>
        </is>
      </c>
      <c r="U868" s="4" t="inlineStr">
        <is>
          <t>CREATED</t>
        </is>
      </c>
      <c r="V868" s="4" t="inlineStr">
        <is>
          <t>idem-20260902-ios-0867</t>
        </is>
      </c>
    </row>
    <row r="869" ht="30" customHeight="1">
      <c r="A869" s="4" t="n">
        <v>868</v>
      </c>
      <c r="B869" s="4" t="inlineStr">
        <is>
          <t>MTR-IOS-0868</t>
        </is>
      </c>
      <c r="C869" s="4" t="inlineStr">
        <is>
          <t>Personal</t>
        </is>
      </c>
      <c r="D869" s="4" t="inlineStr">
        <is>
          <t>Personal</t>
        </is>
      </c>
      <c r="E869" s="4" t="inlineStr">
        <is>
          <t>Lifestyle</t>
        </is>
      </c>
      <c r="F869" s="4" t="inlineStr">
        <is>
          <t>Shopping</t>
        </is>
      </c>
      <c r="G869" s="4" t="inlineStr">
        <is>
          <t>Expense</t>
        </is>
      </c>
      <c r="H869" s="12" t="n">
        <v>45953</v>
      </c>
      <c r="I869" s="13" t="n">
        <v>0.3127777777777778</v>
      </c>
      <c r="J869" s="14" t="n">
        <v>45953.31277777778</v>
      </c>
      <c r="K869" s="15" t="n">
        <v>12485.3</v>
      </c>
      <c r="L869" s="4" t="inlineStr">
        <is>
          <t>INR</t>
        </is>
      </c>
      <c r="M869" s="15" t="n">
        <v>-12485.3</v>
      </c>
      <c r="N869" s="4" t="inlineStr">
        <is>
          <t>IOS Owner</t>
        </is>
      </c>
      <c r="O869" s="4" t="n"/>
      <c r="P869" s="4" t="n"/>
      <c r="Q869" s="4" t="inlineStr">
        <is>
          <t>MAESTRO-IOS-PERSONAL-LIFESTYLE-0868 | Shopping | 12485.30</t>
        </is>
      </c>
      <c r="R869" s="4" t="inlineStr">
        <is>
          <t>iPhone</t>
        </is>
      </c>
      <c r="S869" s="4" t="inlineStr">
        <is>
          <t>B18</t>
        </is>
      </c>
      <c r="T869" s="4" t="inlineStr">
        <is>
          <t>RAMP_501_1500</t>
        </is>
      </c>
      <c r="U869" s="4" t="inlineStr">
        <is>
          <t>CREATED</t>
        </is>
      </c>
      <c r="V869" s="4" t="inlineStr">
        <is>
          <t>idem-20260902-ios-0868</t>
        </is>
      </c>
    </row>
    <row r="870" ht="30" customHeight="1">
      <c r="A870" s="4" t="n">
        <v>869</v>
      </c>
      <c r="B870" s="4" t="inlineStr">
        <is>
          <t>MTR-IOS-0869</t>
        </is>
      </c>
      <c r="C870" s="4" t="inlineStr">
        <is>
          <t>Group</t>
        </is>
      </c>
      <c r="D870" s="4" t="inlineStr">
        <is>
          <t>Shared Living</t>
        </is>
      </c>
      <c r="E870" s="4" t="inlineStr">
        <is>
          <t>Custom Living</t>
        </is>
      </c>
      <c r="F870" s="4" t="inlineStr">
        <is>
          <t>Custom Contribution</t>
        </is>
      </c>
      <c r="G870" s="4" t="inlineStr">
        <is>
          <t>Contribution</t>
        </is>
      </c>
      <c r="H870" s="12" t="n">
        <v>46126</v>
      </c>
      <c r="I870" s="13" t="n">
        <v>0.8453472222222222</v>
      </c>
      <c r="J870" s="14" t="n">
        <v>46126.84534722222</v>
      </c>
      <c r="K870" s="15" t="n">
        <v>12515.18</v>
      </c>
      <c r="L870" s="4" t="inlineStr">
        <is>
          <t>INR</t>
        </is>
      </c>
      <c r="M870" s="15" t="n">
        <v>12515.18</v>
      </c>
      <c r="N870" s="4" t="inlineStr">
        <is>
          <t>IOS Aarav</t>
        </is>
      </c>
      <c r="O870" s="4" t="n">
        <v>3</v>
      </c>
      <c r="P870" s="4" t="inlineStr">
        <is>
          <t>PERCENTAGE</t>
        </is>
      </c>
      <c r="Q870" s="4" t="inlineStr">
        <is>
          <t>MAESTRO-IOS-GROUP-CUSTOM_LIVING-0869 | Custom Contribution | 12515.18</t>
        </is>
      </c>
      <c r="R870" s="4" t="inlineStr">
        <is>
          <t>iPhone</t>
        </is>
      </c>
      <c r="S870" s="4" t="inlineStr">
        <is>
          <t>B18</t>
        </is>
      </c>
      <c r="T870" s="4" t="inlineStr">
        <is>
          <t>RAMP_501_1500</t>
        </is>
      </c>
      <c r="U870" s="4" t="inlineStr">
        <is>
          <t>CREATED</t>
        </is>
      </c>
      <c r="V870" s="4" t="inlineStr">
        <is>
          <t>idem-20260902-ios-0869</t>
        </is>
      </c>
    </row>
    <row r="871" ht="30" customHeight="1">
      <c r="A871" s="4" t="n">
        <v>870</v>
      </c>
      <c r="B871" s="4" t="inlineStr">
        <is>
          <t>MTR-IOS-0870</t>
        </is>
      </c>
      <c r="C871" s="4" t="inlineStr">
        <is>
          <t>Business</t>
        </is>
      </c>
      <c r="D871" s="4" t="inlineStr">
        <is>
          <t>Business</t>
        </is>
      </c>
      <c r="E871" s="4" t="inlineStr">
        <is>
          <t>Business Operations</t>
        </is>
      </c>
      <c r="F871" s="4" t="inlineStr">
        <is>
          <t>Legal</t>
        </is>
      </c>
      <c r="G871" s="4" t="inlineStr">
        <is>
          <t>Expense</t>
        </is>
      </c>
      <c r="H871" s="12" t="n">
        <v>46137</v>
      </c>
      <c r="I871" s="13" t="n">
        <v>0.521724537037037</v>
      </c>
      <c r="J871" s="14" t="n">
        <v>46137.52172453704</v>
      </c>
      <c r="K871" s="15" t="n">
        <v>61077.69</v>
      </c>
      <c r="L871" s="4" t="inlineStr">
        <is>
          <t>INR</t>
        </is>
      </c>
      <c r="M871" s="15" t="n">
        <v>-61077.69</v>
      </c>
      <c r="N871" s="4" t="inlineStr">
        <is>
          <t>IOS Owner</t>
        </is>
      </c>
      <c r="O871" s="4" t="n"/>
      <c r="P871" s="4" t="n"/>
      <c r="Q871" s="4" t="inlineStr">
        <is>
          <t>MAESTRO-IOS-BUSINESS-BUSINESS_OPERATIONS-0870 | Legal | 61077.69</t>
        </is>
      </c>
      <c r="R871" s="4" t="inlineStr">
        <is>
          <t>iPhone</t>
        </is>
      </c>
      <c r="S871" s="4" t="inlineStr">
        <is>
          <t>B18</t>
        </is>
      </c>
      <c r="T871" s="4" t="inlineStr">
        <is>
          <t>RAMP_501_1500</t>
        </is>
      </c>
      <c r="U871" s="4" t="inlineStr">
        <is>
          <t>CREATED</t>
        </is>
      </c>
      <c r="V871" s="4" t="inlineStr">
        <is>
          <t>idem-20260902-ios-0870</t>
        </is>
      </c>
    </row>
    <row r="872" ht="30" customHeight="1">
      <c r="A872" s="4" t="n">
        <v>871</v>
      </c>
      <c r="B872" s="4" t="inlineStr">
        <is>
          <t>MTR-IOS-0871</t>
        </is>
      </c>
      <c r="C872" s="4" t="inlineStr">
        <is>
          <t>Personal</t>
        </is>
      </c>
      <c r="D872" s="4" t="inlineStr">
        <is>
          <t>Personal</t>
        </is>
      </c>
      <c r="E872" s="4" t="inlineStr">
        <is>
          <t>Lifestyle</t>
        </is>
      </c>
      <c r="F872" s="4" t="inlineStr">
        <is>
          <t>Entertainment</t>
        </is>
      </c>
      <c r="G872" s="4" t="inlineStr">
        <is>
          <t>Expense</t>
        </is>
      </c>
      <c r="H872" s="12" t="n">
        <v>46164</v>
      </c>
      <c r="I872" s="13" t="n">
        <v>0.8219328703703703</v>
      </c>
      <c r="J872" s="14" t="n">
        <v>46164.82193287037</v>
      </c>
      <c r="K872" s="15" t="n">
        <v>4590.41</v>
      </c>
      <c r="L872" s="4" t="inlineStr">
        <is>
          <t>INR</t>
        </is>
      </c>
      <c r="M872" s="15" t="n">
        <v>-4590.41</v>
      </c>
      <c r="N872" s="4" t="inlineStr">
        <is>
          <t>IOS Owner</t>
        </is>
      </c>
      <c r="O872" s="4" t="n"/>
      <c r="P872" s="4" t="n"/>
      <c r="Q872" s="4" t="inlineStr">
        <is>
          <t>MAESTRO-IOS-PERSONAL-LIFESTYLE-0871 | Entertainment | 4590.41</t>
        </is>
      </c>
      <c r="R872" s="4" t="inlineStr">
        <is>
          <t>iPhone</t>
        </is>
      </c>
      <c r="S872" s="4" t="inlineStr">
        <is>
          <t>B18</t>
        </is>
      </c>
      <c r="T872" s="4" t="inlineStr">
        <is>
          <t>RAMP_501_1500</t>
        </is>
      </c>
      <c r="U872" s="4" t="inlineStr">
        <is>
          <t>CREATED</t>
        </is>
      </c>
      <c r="V872" s="4" t="inlineStr">
        <is>
          <t>idem-20260902-ios-0871</t>
        </is>
      </c>
    </row>
    <row r="873" ht="30" customHeight="1">
      <c r="A873" s="4" t="n">
        <v>872</v>
      </c>
      <c r="B873" s="4" t="inlineStr">
        <is>
          <t>MTR-IOS-0872</t>
        </is>
      </c>
      <c r="C873" s="4" t="inlineStr">
        <is>
          <t>Group</t>
        </is>
      </c>
      <c r="D873" s="4" t="inlineStr">
        <is>
          <t>Shared Experience</t>
        </is>
      </c>
      <c r="E873" s="4" t="inlineStr">
        <is>
          <t>Trip</t>
        </is>
      </c>
      <c r="F873" s="4" t="inlineStr">
        <is>
          <t>Travel</t>
        </is>
      </c>
      <c r="G873" s="4" t="inlineStr">
        <is>
          <t>Expense</t>
        </is>
      </c>
      <c r="H873" s="12" t="n">
        <v>45950</v>
      </c>
      <c r="I873" s="13" t="n">
        <v>0.7990046296296296</v>
      </c>
      <c r="J873" s="14" t="n">
        <v>45950.79900462963</v>
      </c>
      <c r="K873" s="15" t="n">
        <v>25374.39</v>
      </c>
      <c r="L873" s="4" t="inlineStr">
        <is>
          <t>INR</t>
        </is>
      </c>
      <c r="M873" s="15" t="n">
        <v>-25374.39</v>
      </c>
      <c r="N873" s="4" t="inlineStr">
        <is>
          <t>IOS Meera</t>
        </is>
      </c>
      <c r="O873" s="4" t="n">
        <v>3</v>
      </c>
      <c r="P873" s="4" t="inlineStr">
        <is>
          <t>EXACT</t>
        </is>
      </c>
      <c r="Q873" s="4" t="inlineStr">
        <is>
          <t>MAESTRO-IOS-GROUP-TRIP-0872 | Travel | 25374.39</t>
        </is>
      </c>
      <c r="R873" s="4" t="inlineStr">
        <is>
          <t>iPhone</t>
        </is>
      </c>
      <c r="S873" s="4" t="inlineStr">
        <is>
          <t>B18</t>
        </is>
      </c>
      <c r="T873" s="4" t="inlineStr">
        <is>
          <t>RAMP_501_1500</t>
        </is>
      </c>
      <c r="U873" s="4" t="inlineStr">
        <is>
          <t>CREATED</t>
        </is>
      </c>
      <c r="V873" s="4" t="inlineStr">
        <is>
          <t>idem-20260902-ios-0872</t>
        </is>
      </c>
    </row>
    <row r="874" ht="30" customHeight="1">
      <c r="A874" s="4" t="n">
        <v>873</v>
      </c>
      <c r="B874" s="4" t="inlineStr">
        <is>
          <t>MTR-IOS-0873</t>
        </is>
      </c>
      <c r="C874" s="4" t="inlineStr">
        <is>
          <t>Business</t>
        </is>
      </c>
      <c r="D874" s="4" t="inlineStr">
        <is>
          <t>Business</t>
        </is>
      </c>
      <c r="E874" s="4" t="inlineStr">
        <is>
          <t>Business Operations</t>
        </is>
      </c>
      <c r="F874" s="4" t="inlineStr">
        <is>
          <t>Accounting</t>
        </is>
      </c>
      <c r="G874" s="4" t="inlineStr">
        <is>
          <t>Expense</t>
        </is>
      </c>
      <c r="H874" s="12" t="n">
        <v>45908</v>
      </c>
      <c r="I874" s="13" t="n">
        <v>0.9231481481481482</v>
      </c>
      <c r="J874" s="14" t="n">
        <v>45908.92314814815</v>
      </c>
      <c r="K874" s="15" t="n">
        <v>96365.53999999999</v>
      </c>
      <c r="L874" s="4" t="inlineStr">
        <is>
          <t>INR</t>
        </is>
      </c>
      <c r="M874" s="15" t="n">
        <v>-96365.53999999999</v>
      </c>
      <c r="N874" s="4" t="inlineStr">
        <is>
          <t>IOS Owner</t>
        </is>
      </c>
      <c r="O874" s="4" t="n"/>
      <c r="P874" s="4" t="n"/>
      <c r="Q874" s="4" t="inlineStr">
        <is>
          <t>MAESTRO-IOS-BUSINESS-BUSINESS_OPERATIONS-0873 | Accounting | 96365.54</t>
        </is>
      </c>
      <c r="R874" s="4" t="inlineStr">
        <is>
          <t>iPhone</t>
        </is>
      </c>
      <c r="S874" s="4" t="inlineStr">
        <is>
          <t>B18</t>
        </is>
      </c>
      <c r="T874" s="4" t="inlineStr">
        <is>
          <t>RAMP_501_1500</t>
        </is>
      </c>
      <c r="U874" s="4" t="inlineStr">
        <is>
          <t>CREATED</t>
        </is>
      </c>
      <c r="V874" s="4" t="inlineStr">
        <is>
          <t>idem-20260902-ios-0873</t>
        </is>
      </c>
    </row>
    <row r="875" ht="30" customHeight="1">
      <c r="A875" s="4" t="n">
        <v>874</v>
      </c>
      <c r="B875" s="4" t="inlineStr">
        <is>
          <t>MTR-IOS-0874</t>
        </is>
      </c>
      <c r="C875" s="4" t="inlineStr">
        <is>
          <t>Personal</t>
        </is>
      </c>
      <c r="D875" s="4" t="inlineStr">
        <is>
          <t>Personal</t>
        </is>
      </c>
      <c r="E875" s="4" t="inlineStr">
        <is>
          <t>Lifestyle</t>
        </is>
      </c>
      <c r="F875" s="4" t="inlineStr">
        <is>
          <t>Travel</t>
        </is>
      </c>
      <c r="G875" s="4" t="inlineStr">
        <is>
          <t>Expense</t>
        </is>
      </c>
      <c r="H875" s="12" t="n">
        <v>45988</v>
      </c>
      <c r="I875" s="13" t="n">
        <v>0.1308680555555556</v>
      </c>
      <c r="J875" s="14" t="n">
        <v>45988.13086805555</v>
      </c>
      <c r="K875" s="15" t="n">
        <v>13224.68</v>
      </c>
      <c r="L875" s="4" t="inlineStr">
        <is>
          <t>INR</t>
        </is>
      </c>
      <c r="M875" s="15" t="n">
        <v>-13224.68</v>
      </c>
      <c r="N875" s="4" t="inlineStr">
        <is>
          <t>IOS Owner</t>
        </is>
      </c>
      <c r="O875" s="4" t="n"/>
      <c r="P875" s="4" t="n"/>
      <c r="Q875" s="4" t="inlineStr">
        <is>
          <t>MAESTRO-IOS-PERSONAL-LIFESTYLE-0874 | Travel | 13224.68</t>
        </is>
      </c>
      <c r="R875" s="4" t="inlineStr">
        <is>
          <t>iPhone</t>
        </is>
      </c>
      <c r="S875" s="4" t="inlineStr">
        <is>
          <t>B18</t>
        </is>
      </c>
      <c r="T875" s="4" t="inlineStr">
        <is>
          <t>RAMP_501_1500</t>
        </is>
      </c>
      <c r="U875" s="4" t="inlineStr">
        <is>
          <t>CREATED</t>
        </is>
      </c>
      <c r="V875" s="4" t="inlineStr">
        <is>
          <t>idem-20260902-ios-0874</t>
        </is>
      </c>
    </row>
    <row r="876" ht="30" customHeight="1">
      <c r="A876" s="4" t="n">
        <v>875</v>
      </c>
      <c r="B876" s="4" t="inlineStr">
        <is>
          <t>MTR-IOS-0875</t>
        </is>
      </c>
      <c r="C876" s="4" t="inlineStr">
        <is>
          <t>Group</t>
        </is>
      </c>
      <c r="D876" s="4" t="inlineStr">
        <is>
          <t>Shared Experience</t>
        </is>
      </c>
      <c r="E876" s="4" t="inlineStr">
        <is>
          <t>Trip</t>
        </is>
      </c>
      <c r="F876" s="4" t="inlineStr">
        <is>
          <t>Stay</t>
        </is>
      </c>
      <c r="G876" s="4" t="inlineStr">
        <is>
          <t>Expense</t>
        </is>
      </c>
      <c r="H876" s="12" t="n">
        <v>45946</v>
      </c>
      <c r="I876" s="13" t="n">
        <v>0.6089467592592592</v>
      </c>
      <c r="J876" s="14" t="n">
        <v>45946.60894675926</v>
      </c>
      <c r="K876" s="15" t="n">
        <v>17089.33</v>
      </c>
      <c r="L876" s="4" t="inlineStr">
        <is>
          <t>INR</t>
        </is>
      </c>
      <c r="M876" s="15" t="n">
        <v>-17089.33</v>
      </c>
      <c r="N876" s="4" t="inlineStr">
        <is>
          <t>IOS Owner</t>
        </is>
      </c>
      <c r="O876" s="4" t="n">
        <v>3</v>
      </c>
      <c r="P876" s="4" t="inlineStr">
        <is>
          <t>SHARES</t>
        </is>
      </c>
      <c r="Q876" s="4" t="inlineStr">
        <is>
          <t>MAESTRO-IOS-GROUP-TRIP-0875 | Stay | 17089.33</t>
        </is>
      </c>
      <c r="R876" s="4" t="inlineStr">
        <is>
          <t>iPhone</t>
        </is>
      </c>
      <c r="S876" s="4" t="inlineStr">
        <is>
          <t>B18</t>
        </is>
      </c>
      <c r="T876" s="4" t="inlineStr">
        <is>
          <t>RAMP_501_1500</t>
        </is>
      </c>
      <c r="U876" s="4" t="inlineStr">
        <is>
          <t>CREATED</t>
        </is>
      </c>
      <c r="V876" s="4" t="inlineStr">
        <is>
          <t>idem-20260902-ios-0875</t>
        </is>
      </c>
    </row>
    <row r="877" ht="30" customHeight="1">
      <c r="A877" s="4" t="n">
        <v>876</v>
      </c>
      <c r="B877" s="4" t="inlineStr">
        <is>
          <t>MTR-IOS-0876</t>
        </is>
      </c>
      <c r="C877" s="4" t="inlineStr">
        <is>
          <t>Business</t>
        </is>
      </c>
      <c r="D877" s="4" t="inlineStr">
        <is>
          <t>Business</t>
        </is>
      </c>
      <c r="E877" s="4" t="inlineStr">
        <is>
          <t>Business Operations</t>
        </is>
      </c>
      <c r="F877" s="4" t="inlineStr">
        <is>
          <t>Equipment</t>
        </is>
      </c>
      <c r="G877" s="4" t="inlineStr">
        <is>
          <t>Expense</t>
        </is>
      </c>
      <c r="H877" s="12" t="n">
        <v>46267</v>
      </c>
      <c r="I877" s="13" t="n">
        <v>0.905162037037037</v>
      </c>
      <c r="J877" s="14" t="n">
        <v>46267.90516203704</v>
      </c>
      <c r="K877" s="15" t="n">
        <v>48491.7</v>
      </c>
      <c r="L877" s="4" t="inlineStr">
        <is>
          <t>INR</t>
        </is>
      </c>
      <c r="M877" s="15" t="n">
        <v>-48491.7</v>
      </c>
      <c r="N877" s="4" t="inlineStr">
        <is>
          <t>IOS Owner</t>
        </is>
      </c>
      <c r="O877" s="4" t="n"/>
      <c r="P877" s="4" t="n"/>
      <c r="Q877" s="4" t="inlineStr">
        <is>
          <t>MAESTRO-IOS-BUSINESS-BUSINESS_OPERATIONS-0876 | Equipment | 48491.70</t>
        </is>
      </c>
      <c r="R877" s="4" t="inlineStr">
        <is>
          <t>iPhone</t>
        </is>
      </c>
      <c r="S877" s="4" t="inlineStr">
        <is>
          <t>B18</t>
        </is>
      </c>
      <c r="T877" s="4" t="inlineStr">
        <is>
          <t>RAMP_501_1500</t>
        </is>
      </c>
      <c r="U877" s="4" t="inlineStr">
        <is>
          <t>CREATED</t>
        </is>
      </c>
      <c r="V877" s="4" t="inlineStr">
        <is>
          <t>idem-20260902-ios-0876</t>
        </is>
      </c>
    </row>
    <row r="878" ht="30" customHeight="1">
      <c r="A878" s="4" t="n">
        <v>877</v>
      </c>
      <c r="B878" s="4" t="inlineStr">
        <is>
          <t>MTR-IOS-0877</t>
        </is>
      </c>
      <c r="C878" s="4" t="inlineStr">
        <is>
          <t>Personal</t>
        </is>
      </c>
      <c r="D878" s="4" t="inlineStr">
        <is>
          <t>Personal</t>
        </is>
      </c>
      <c r="E878" s="4" t="inlineStr">
        <is>
          <t>Lifestyle</t>
        </is>
      </c>
      <c r="F878" s="4" t="inlineStr">
        <is>
          <t>Fitness</t>
        </is>
      </c>
      <c r="G878" s="4" t="inlineStr">
        <is>
          <t>Expense</t>
        </is>
      </c>
      <c r="H878" s="12" t="n">
        <v>46230</v>
      </c>
      <c r="I878" s="13" t="n">
        <v>0.0712962962962963</v>
      </c>
      <c r="J878" s="14" t="n">
        <v>46230.07129629629</v>
      </c>
      <c r="K878" s="15" t="n">
        <v>2070.12</v>
      </c>
      <c r="L878" s="4" t="inlineStr">
        <is>
          <t>INR</t>
        </is>
      </c>
      <c r="M878" s="15" t="n">
        <v>-2070.12</v>
      </c>
      <c r="N878" s="4" t="inlineStr">
        <is>
          <t>IOS Owner</t>
        </is>
      </c>
      <c r="O878" s="4" t="n"/>
      <c r="P878" s="4" t="n"/>
      <c r="Q878" s="4" t="inlineStr">
        <is>
          <t>MAESTRO-IOS-PERSONAL-LIFESTYLE-0877 | Fitness | 2070.12</t>
        </is>
      </c>
      <c r="R878" s="4" t="inlineStr">
        <is>
          <t>iPhone</t>
        </is>
      </c>
      <c r="S878" s="4" t="inlineStr">
        <is>
          <t>B18</t>
        </is>
      </c>
      <c r="T878" s="4" t="inlineStr">
        <is>
          <t>RAMP_501_1500</t>
        </is>
      </c>
      <c r="U878" s="4" t="inlineStr">
        <is>
          <t>CREATED</t>
        </is>
      </c>
      <c r="V878" s="4" t="inlineStr">
        <is>
          <t>idem-20260902-ios-0877</t>
        </is>
      </c>
    </row>
    <row r="879" ht="30" customHeight="1">
      <c r="A879" s="4" t="n">
        <v>878</v>
      </c>
      <c r="B879" s="4" t="inlineStr">
        <is>
          <t>MTR-IOS-0878</t>
        </is>
      </c>
      <c r="C879" s="4" t="inlineStr">
        <is>
          <t>Group</t>
        </is>
      </c>
      <c r="D879" s="4" t="inlineStr">
        <is>
          <t>Shared Experience</t>
        </is>
      </c>
      <c r="E879" s="4" t="inlineStr">
        <is>
          <t>Trip</t>
        </is>
      </c>
      <c r="F879" s="4" t="inlineStr">
        <is>
          <t>Food</t>
        </is>
      </c>
      <c r="G879" s="4" t="inlineStr">
        <is>
          <t>Expense</t>
        </is>
      </c>
      <c r="H879" s="12" t="n">
        <v>45962</v>
      </c>
      <c r="I879" s="13" t="n">
        <v>0.02346064814814815</v>
      </c>
      <c r="J879" s="14" t="n">
        <v>45962.02346064815</v>
      </c>
      <c r="K879" s="15" t="n">
        <v>18352.23</v>
      </c>
      <c r="L879" s="4" t="inlineStr">
        <is>
          <t>INR</t>
        </is>
      </c>
      <c r="M879" s="15" t="n">
        <v>-18352.23</v>
      </c>
      <c r="N879" s="4" t="inlineStr">
        <is>
          <t>IOS Aarav</t>
        </is>
      </c>
      <c r="O879" s="4" t="n">
        <v>3</v>
      </c>
      <c r="P879" s="4" t="inlineStr">
        <is>
          <t>EQUAL</t>
        </is>
      </c>
      <c r="Q879" s="4" t="inlineStr">
        <is>
          <t>MAESTRO-IOS-GROUP-TRIP-0878 | Food | 18352.23</t>
        </is>
      </c>
      <c r="R879" s="4" t="inlineStr">
        <is>
          <t>iPhone</t>
        </is>
      </c>
      <c r="S879" s="4" t="inlineStr">
        <is>
          <t>B18</t>
        </is>
      </c>
      <c r="T879" s="4" t="inlineStr">
        <is>
          <t>RAMP_501_1500</t>
        </is>
      </c>
      <c r="U879" s="4" t="inlineStr">
        <is>
          <t>CREATED</t>
        </is>
      </c>
      <c r="V879" s="4" t="inlineStr">
        <is>
          <t>idem-20260902-ios-0878</t>
        </is>
      </c>
    </row>
    <row r="880" ht="30" customHeight="1">
      <c r="A880" s="4" t="n">
        <v>879</v>
      </c>
      <c r="B880" s="4" t="inlineStr">
        <is>
          <t>MTR-IOS-0879</t>
        </is>
      </c>
      <c r="C880" s="4" t="inlineStr">
        <is>
          <t>Business</t>
        </is>
      </c>
      <c r="D880" s="4" t="inlineStr">
        <is>
          <t>Business</t>
        </is>
      </c>
      <c r="E880" s="4" t="inlineStr">
        <is>
          <t>Business Operations</t>
        </is>
      </c>
      <c r="F880" s="4" t="inlineStr">
        <is>
          <t>Vendor</t>
        </is>
      </c>
      <c r="G880" s="4" t="inlineStr">
        <is>
          <t>Expense</t>
        </is>
      </c>
      <c r="H880" s="12" t="n">
        <v>46184</v>
      </c>
      <c r="I880" s="13" t="n">
        <v>0.7779398148148148</v>
      </c>
      <c r="J880" s="14" t="n">
        <v>46184.77793981481</v>
      </c>
      <c r="K880" s="15" t="n">
        <v>134634.34</v>
      </c>
      <c r="L880" s="4" t="inlineStr">
        <is>
          <t>INR</t>
        </is>
      </c>
      <c r="M880" s="15" t="n">
        <v>-134634.34</v>
      </c>
      <c r="N880" s="4" t="inlineStr">
        <is>
          <t>IOS Owner</t>
        </is>
      </c>
      <c r="O880" s="4" t="n"/>
      <c r="P880" s="4" t="n"/>
      <c r="Q880" s="4" t="inlineStr">
        <is>
          <t>MAESTRO-IOS-BUSINESS-BUSINESS_OPERATIONS-0879 | Vendor | 134634.34</t>
        </is>
      </c>
      <c r="R880" s="4" t="inlineStr">
        <is>
          <t>iPhone</t>
        </is>
      </c>
      <c r="S880" s="4" t="inlineStr">
        <is>
          <t>B18</t>
        </is>
      </c>
      <c r="T880" s="4" t="inlineStr">
        <is>
          <t>RAMP_501_1500</t>
        </is>
      </c>
      <c r="U880" s="4" t="inlineStr">
        <is>
          <t>CREATED</t>
        </is>
      </c>
      <c r="V880" s="4" t="inlineStr">
        <is>
          <t>idem-20260902-ios-0879</t>
        </is>
      </c>
    </row>
    <row r="881" ht="30" customHeight="1">
      <c r="A881" s="4" t="n">
        <v>880</v>
      </c>
      <c r="B881" s="4" t="inlineStr">
        <is>
          <t>MTR-IOS-0880</t>
        </is>
      </c>
      <c r="C881" s="4" t="inlineStr">
        <is>
          <t>Personal</t>
        </is>
      </c>
      <c r="D881" s="4" t="inlineStr">
        <is>
          <t>Personal</t>
        </is>
      </c>
      <c r="E881" s="4" t="inlineStr">
        <is>
          <t>Lifestyle</t>
        </is>
      </c>
      <c r="F881" s="4" t="inlineStr">
        <is>
          <t>Hobbies</t>
        </is>
      </c>
      <c r="G881" s="4" t="inlineStr">
        <is>
          <t>Expense</t>
        </is>
      </c>
      <c r="H881" s="12" t="n">
        <v>46264</v>
      </c>
      <c r="I881" s="13" t="n">
        <v>0.9226736111111111</v>
      </c>
      <c r="J881" s="14" t="n">
        <v>46264.92267361111</v>
      </c>
      <c r="K881" s="15" t="n">
        <v>17627.88</v>
      </c>
      <c r="L881" s="4" t="inlineStr">
        <is>
          <t>INR</t>
        </is>
      </c>
      <c r="M881" s="15" t="n">
        <v>-17627.88</v>
      </c>
      <c r="N881" s="4" t="inlineStr">
        <is>
          <t>IOS Owner</t>
        </is>
      </c>
      <c r="O881" s="4" t="n"/>
      <c r="P881" s="4" t="n"/>
      <c r="Q881" s="4" t="inlineStr">
        <is>
          <t>MAESTRO-IOS-PERSONAL-LIFESTYLE-0880 | Hobbies | 17627.88</t>
        </is>
      </c>
      <c r="R881" s="4" t="inlineStr">
        <is>
          <t>iPhone</t>
        </is>
      </c>
      <c r="S881" s="4" t="inlineStr">
        <is>
          <t>B18</t>
        </is>
      </c>
      <c r="T881" s="4" t="inlineStr">
        <is>
          <t>RAMP_501_1500</t>
        </is>
      </c>
      <c r="U881" s="4" t="inlineStr">
        <is>
          <t>CREATED</t>
        </is>
      </c>
      <c r="V881" s="4" t="inlineStr">
        <is>
          <t>idem-20260902-ios-0880</t>
        </is>
      </c>
    </row>
    <row r="882" ht="30" customHeight="1">
      <c r="A882" s="4" t="n">
        <v>881</v>
      </c>
      <c r="B882" s="4" t="inlineStr">
        <is>
          <t>MTR-IOS-0881</t>
        </is>
      </c>
      <c r="C882" s="4" t="inlineStr">
        <is>
          <t>Group</t>
        </is>
      </c>
      <c r="D882" s="4" t="inlineStr">
        <is>
          <t>Shared Experience</t>
        </is>
      </c>
      <c r="E882" s="4" t="inlineStr">
        <is>
          <t>Trip</t>
        </is>
      </c>
      <c r="F882" s="4" t="inlineStr">
        <is>
          <t>Local Transport</t>
        </is>
      </c>
      <c r="G882" s="4" t="inlineStr">
        <is>
          <t>Expense</t>
        </is>
      </c>
      <c r="H882" s="12" t="n">
        <v>45991</v>
      </c>
      <c r="I882" s="13" t="n">
        <v>0.4952314814814815</v>
      </c>
      <c r="J882" s="14" t="n">
        <v>45991.49523148148</v>
      </c>
      <c r="K882" s="15" t="n">
        <v>24796.99</v>
      </c>
      <c r="L882" s="4" t="inlineStr">
        <is>
          <t>INR</t>
        </is>
      </c>
      <c r="M882" s="15" t="n">
        <v>-24796.99</v>
      </c>
      <c r="N882" s="4" t="inlineStr">
        <is>
          <t>IOS Meera</t>
        </is>
      </c>
      <c r="O882" s="4" t="n">
        <v>3</v>
      </c>
      <c r="P882" s="4" t="inlineStr">
        <is>
          <t>PERCENTAGE</t>
        </is>
      </c>
      <c r="Q882" s="4" t="inlineStr">
        <is>
          <t>MAESTRO-IOS-GROUP-TRIP-0881 | Local Transport | 24796.99</t>
        </is>
      </c>
      <c r="R882" s="4" t="inlineStr">
        <is>
          <t>iPhone</t>
        </is>
      </c>
      <c r="S882" s="4" t="inlineStr">
        <is>
          <t>B18</t>
        </is>
      </c>
      <c r="T882" s="4" t="inlineStr">
        <is>
          <t>RAMP_501_1500</t>
        </is>
      </c>
      <c r="U882" s="4" t="inlineStr">
        <is>
          <t>CREATED</t>
        </is>
      </c>
      <c r="V882" s="4" t="inlineStr">
        <is>
          <t>idem-20260902-ios-0881</t>
        </is>
      </c>
    </row>
    <row r="883" ht="30" customHeight="1">
      <c r="A883" s="4" t="n">
        <v>882</v>
      </c>
      <c r="B883" s="4" t="inlineStr">
        <is>
          <t>MTR-IOS-0882</t>
        </is>
      </c>
      <c r="C883" s="4" t="inlineStr">
        <is>
          <t>Business</t>
        </is>
      </c>
      <c r="D883" s="4" t="inlineStr">
        <is>
          <t>Business</t>
        </is>
      </c>
      <c r="E883" s="4" t="inlineStr">
        <is>
          <t>Business Operations</t>
        </is>
      </c>
      <c r="F883" s="4" t="inlineStr">
        <is>
          <t>Tax</t>
        </is>
      </c>
      <c r="G883" s="4" t="inlineStr">
        <is>
          <t>Expense</t>
        </is>
      </c>
      <c r="H883" s="12" t="n">
        <v>46250</v>
      </c>
      <c r="I883" s="13" t="n">
        <v>0.08106481481481481</v>
      </c>
      <c r="J883" s="14" t="n">
        <v>46250.08106481482</v>
      </c>
      <c r="K883" s="15" t="n">
        <v>85993.59</v>
      </c>
      <c r="L883" s="4" t="inlineStr">
        <is>
          <t>INR</t>
        </is>
      </c>
      <c r="M883" s="15" t="n">
        <v>-85993.59</v>
      </c>
      <c r="N883" s="4" t="inlineStr">
        <is>
          <t>IOS Owner</t>
        </is>
      </c>
      <c r="O883" s="4" t="n"/>
      <c r="P883" s="4" t="n"/>
      <c r="Q883" s="4" t="inlineStr">
        <is>
          <t>MAESTRO-IOS-BUSINESS-BUSINESS_OPERATIONS-0882 | Tax | 85993.59</t>
        </is>
      </c>
      <c r="R883" s="4" t="inlineStr">
        <is>
          <t>iPhone</t>
        </is>
      </c>
      <c r="S883" s="4" t="inlineStr">
        <is>
          <t>B18</t>
        </is>
      </c>
      <c r="T883" s="4" t="inlineStr">
        <is>
          <t>RAMP_501_1500</t>
        </is>
      </c>
      <c r="U883" s="4" t="inlineStr">
        <is>
          <t>CREATED</t>
        </is>
      </c>
      <c r="V883" s="4" t="inlineStr">
        <is>
          <t>idem-20260902-ios-0882</t>
        </is>
      </c>
    </row>
    <row r="884" ht="30" customHeight="1">
      <c r="A884" s="4" t="n">
        <v>883</v>
      </c>
      <c r="B884" s="4" t="inlineStr">
        <is>
          <t>MTR-IOS-0883</t>
        </is>
      </c>
      <c r="C884" s="4" t="inlineStr">
        <is>
          <t>Personal</t>
        </is>
      </c>
      <c r="D884" s="4" t="inlineStr">
        <is>
          <t>Personal</t>
        </is>
      </c>
      <c r="E884" s="4" t="inlineStr">
        <is>
          <t>Relationships</t>
        </is>
      </c>
      <c r="F884" s="4" t="inlineStr">
        <is>
          <t>Gifts</t>
        </is>
      </c>
      <c r="G884" s="4" t="inlineStr">
        <is>
          <t>Expense</t>
        </is>
      </c>
      <c r="H884" s="12" t="n">
        <v>46222</v>
      </c>
      <c r="I884" s="13" t="n">
        <v>0.1954398148148148</v>
      </c>
      <c r="J884" s="14" t="n">
        <v>46222.19543981482</v>
      </c>
      <c r="K884" s="15" t="n">
        <v>725.4400000000001</v>
      </c>
      <c r="L884" s="4" t="inlineStr">
        <is>
          <t>INR</t>
        </is>
      </c>
      <c r="M884" s="15" t="n">
        <v>-725.4400000000001</v>
      </c>
      <c r="N884" s="4" t="inlineStr">
        <is>
          <t>IOS Owner</t>
        </is>
      </c>
      <c r="O884" s="4" t="n"/>
      <c r="P884" s="4" t="n"/>
      <c r="Q884" s="4" t="inlineStr">
        <is>
          <t>MAESTRO-IOS-PERSONAL-RELATIONSHIPS-0883 | Gifts | 725.44</t>
        </is>
      </c>
      <c r="R884" s="4" t="inlineStr">
        <is>
          <t>iPhone</t>
        </is>
      </c>
      <c r="S884" s="4" t="inlineStr">
        <is>
          <t>B18</t>
        </is>
      </c>
      <c r="T884" s="4" t="inlineStr">
        <is>
          <t>RAMP_501_1500</t>
        </is>
      </c>
      <c r="U884" s="4" t="inlineStr">
        <is>
          <t>CREATED</t>
        </is>
      </c>
      <c r="V884" s="4" t="inlineStr">
        <is>
          <t>idem-20260902-ios-0883</t>
        </is>
      </c>
    </row>
    <row r="885" ht="30" customHeight="1">
      <c r="A885" s="4" t="n">
        <v>884</v>
      </c>
      <c r="B885" s="4" t="inlineStr">
        <is>
          <t>MTR-IOS-0884</t>
        </is>
      </c>
      <c r="C885" s="4" t="inlineStr">
        <is>
          <t>Group</t>
        </is>
      </c>
      <c r="D885" s="4" t="inlineStr">
        <is>
          <t>Shared Experience</t>
        </is>
      </c>
      <c r="E885" s="4" t="inlineStr">
        <is>
          <t>Trip</t>
        </is>
      </c>
      <c r="F885" s="4" t="inlineStr">
        <is>
          <t>Activities</t>
        </is>
      </c>
      <c r="G885" s="4" t="inlineStr">
        <is>
          <t>Expense</t>
        </is>
      </c>
      <c r="H885" s="12" t="n">
        <v>46027</v>
      </c>
      <c r="I885" s="13" t="n">
        <v>0.2607638888888889</v>
      </c>
      <c r="J885" s="14" t="n">
        <v>46027.26076388889</v>
      </c>
      <c r="K885" s="15" t="n">
        <v>13689.47</v>
      </c>
      <c r="L885" s="4" t="inlineStr">
        <is>
          <t>INR</t>
        </is>
      </c>
      <c r="M885" s="15" t="n">
        <v>-13689.47</v>
      </c>
      <c r="N885" s="4" t="inlineStr">
        <is>
          <t>IOS Owner</t>
        </is>
      </c>
      <c r="O885" s="4" t="n">
        <v>3</v>
      </c>
      <c r="P885" s="4" t="inlineStr">
        <is>
          <t>EXACT</t>
        </is>
      </c>
      <c r="Q885" s="4" t="inlineStr">
        <is>
          <t>MAESTRO-IOS-GROUP-TRIP-0884 | Activities | 13689.47</t>
        </is>
      </c>
      <c r="R885" s="4" t="inlineStr">
        <is>
          <t>iPhone</t>
        </is>
      </c>
      <c r="S885" s="4" t="inlineStr">
        <is>
          <t>B18</t>
        </is>
      </c>
      <c r="T885" s="4" t="inlineStr">
        <is>
          <t>RAMP_501_1500</t>
        </is>
      </c>
      <c r="U885" s="4" t="inlineStr">
        <is>
          <t>CREATED</t>
        </is>
      </c>
      <c r="V885" s="4" t="inlineStr">
        <is>
          <t>idem-20260902-ios-0884</t>
        </is>
      </c>
    </row>
    <row r="886" ht="30" customHeight="1">
      <c r="A886" s="4" t="n">
        <v>885</v>
      </c>
      <c r="B886" s="4" t="inlineStr">
        <is>
          <t>MTR-IOS-0885</t>
        </is>
      </c>
      <c r="C886" s="4" t="inlineStr">
        <is>
          <t>Business</t>
        </is>
      </c>
      <c r="D886" s="4" t="inlineStr">
        <is>
          <t>Business</t>
        </is>
      </c>
      <c r="E886" s="4" t="inlineStr">
        <is>
          <t>Team Operations</t>
        </is>
      </c>
      <c r="F886" s="4" t="inlineStr">
        <is>
          <t>Payroll</t>
        </is>
      </c>
      <c r="G886" s="4" t="inlineStr">
        <is>
          <t>Expense</t>
        </is>
      </c>
      <c r="H886" s="12" t="n">
        <v>46045</v>
      </c>
      <c r="I886" s="13" t="n">
        <v>0.3855092592592593</v>
      </c>
      <c r="J886" s="14" t="n">
        <v>46045.38550925926</v>
      </c>
      <c r="K886" s="15" t="n">
        <v>5213.19</v>
      </c>
      <c r="L886" s="4" t="inlineStr">
        <is>
          <t>INR</t>
        </is>
      </c>
      <c r="M886" s="15" t="n">
        <v>-5213.19</v>
      </c>
      <c r="N886" s="4" t="inlineStr">
        <is>
          <t>IOS Owner</t>
        </is>
      </c>
      <c r="O886" s="4" t="n"/>
      <c r="P886" s="4" t="n"/>
      <c r="Q886" s="4" t="inlineStr">
        <is>
          <t>MAESTRO-IOS-BUSINESS-TEAM_OPERATIONS-0885 | Payroll | 5213.19</t>
        </is>
      </c>
      <c r="R886" s="4" t="inlineStr">
        <is>
          <t>iPhone</t>
        </is>
      </c>
      <c r="S886" s="4" t="inlineStr">
        <is>
          <t>B18</t>
        </is>
      </c>
      <c r="T886" s="4" t="inlineStr">
        <is>
          <t>RAMP_501_1500</t>
        </is>
      </c>
      <c r="U886" s="4" t="inlineStr">
        <is>
          <t>CREATED</t>
        </is>
      </c>
      <c r="V886" s="4" t="inlineStr">
        <is>
          <t>idem-20260902-ios-0885</t>
        </is>
      </c>
    </row>
    <row r="887" ht="30" customHeight="1">
      <c r="A887" s="4" t="n">
        <v>886</v>
      </c>
      <c r="B887" s="4" t="inlineStr">
        <is>
          <t>MTR-IOS-0886</t>
        </is>
      </c>
      <c r="C887" s="4" t="inlineStr">
        <is>
          <t>Personal</t>
        </is>
      </c>
      <c r="D887" s="4" t="inlineStr">
        <is>
          <t>Personal</t>
        </is>
      </c>
      <c r="E887" s="4" t="inlineStr">
        <is>
          <t>Relationships</t>
        </is>
      </c>
      <c r="F887" s="4" t="inlineStr">
        <is>
          <t>Dates</t>
        </is>
      </c>
      <c r="G887" s="4" t="inlineStr">
        <is>
          <t>Expense</t>
        </is>
      </c>
      <c r="H887" s="12" t="n">
        <v>46231</v>
      </c>
      <c r="I887" s="13" t="n">
        <v>0.5980092592592593</v>
      </c>
      <c r="J887" s="14" t="n">
        <v>46231.59800925926</v>
      </c>
      <c r="K887" s="15" t="n">
        <v>6645.53</v>
      </c>
      <c r="L887" s="4" t="inlineStr">
        <is>
          <t>INR</t>
        </is>
      </c>
      <c r="M887" s="15" t="n">
        <v>-6645.53</v>
      </c>
      <c r="N887" s="4" t="inlineStr">
        <is>
          <t>IOS Owner</t>
        </is>
      </c>
      <c r="O887" s="4" t="n"/>
      <c r="P887" s="4" t="n"/>
      <c r="Q887" s="4" t="inlineStr">
        <is>
          <t>MAESTRO-IOS-PERSONAL-RELATIONSHIPS-0886 | Dates | 6645.53</t>
        </is>
      </c>
      <c r="R887" s="4" t="inlineStr">
        <is>
          <t>iPhone</t>
        </is>
      </c>
      <c r="S887" s="4" t="inlineStr">
        <is>
          <t>B18</t>
        </is>
      </c>
      <c r="T887" s="4" t="inlineStr">
        <is>
          <t>RAMP_501_1500</t>
        </is>
      </c>
      <c r="U887" s="4" t="inlineStr">
        <is>
          <t>CREATED</t>
        </is>
      </c>
      <c r="V887" s="4" t="inlineStr">
        <is>
          <t>idem-20260902-ios-0886</t>
        </is>
      </c>
    </row>
    <row r="888" ht="30" customHeight="1">
      <c r="A888" s="4" t="n">
        <v>887</v>
      </c>
      <c r="B888" s="4" t="inlineStr">
        <is>
          <t>MTR-IOS-0887</t>
        </is>
      </c>
      <c r="C888" s="4" t="inlineStr">
        <is>
          <t>Group</t>
        </is>
      </c>
      <c r="D888" s="4" t="inlineStr">
        <is>
          <t>Shared Experience</t>
        </is>
      </c>
      <c r="E888" s="4" t="inlineStr">
        <is>
          <t>Trip</t>
        </is>
      </c>
      <c r="F888" s="4" t="inlineStr">
        <is>
          <t>Shopping</t>
        </is>
      </c>
      <c r="G888" s="4" t="inlineStr">
        <is>
          <t>Expense</t>
        </is>
      </c>
      <c r="H888" s="12" t="n">
        <v>46126</v>
      </c>
      <c r="I888" s="13" t="n">
        <v>0.366099537037037</v>
      </c>
      <c r="J888" s="14" t="n">
        <v>46126.36609953704</v>
      </c>
      <c r="K888" s="15" t="n">
        <v>5391.73</v>
      </c>
      <c r="L888" s="4" t="inlineStr">
        <is>
          <t>INR</t>
        </is>
      </c>
      <c r="M888" s="15" t="n">
        <v>-5391.73</v>
      </c>
      <c r="N888" s="4" t="inlineStr">
        <is>
          <t>IOS Aarav</t>
        </is>
      </c>
      <c r="O888" s="4" t="n">
        <v>3</v>
      </c>
      <c r="P888" s="4" t="inlineStr">
        <is>
          <t>SHARES</t>
        </is>
      </c>
      <c r="Q888" s="4" t="inlineStr">
        <is>
          <t>MAESTRO-IOS-GROUP-TRIP-0887 | Shopping | 5391.73</t>
        </is>
      </c>
      <c r="R888" s="4" t="inlineStr">
        <is>
          <t>iPhone</t>
        </is>
      </c>
      <c r="S888" s="4" t="inlineStr">
        <is>
          <t>B18</t>
        </is>
      </c>
      <c r="T888" s="4" t="inlineStr">
        <is>
          <t>RAMP_501_1500</t>
        </is>
      </c>
      <c r="U888" s="4" t="inlineStr">
        <is>
          <t>CREATED</t>
        </is>
      </c>
      <c r="V888" s="4" t="inlineStr">
        <is>
          <t>idem-20260902-ios-0887</t>
        </is>
      </c>
    </row>
    <row r="889" ht="30" customHeight="1">
      <c r="A889" s="4" t="n">
        <v>888</v>
      </c>
      <c r="B889" s="4" t="inlineStr">
        <is>
          <t>MTR-IOS-0888</t>
        </is>
      </c>
      <c r="C889" s="4" t="inlineStr">
        <is>
          <t>Business</t>
        </is>
      </c>
      <c r="D889" s="4" t="inlineStr">
        <is>
          <t>Business</t>
        </is>
      </c>
      <c r="E889" s="4" t="inlineStr">
        <is>
          <t>Team Operations</t>
        </is>
      </c>
      <c r="F889" s="4" t="inlineStr">
        <is>
          <t>Contractor</t>
        </is>
      </c>
      <c r="G889" s="4" t="inlineStr">
        <is>
          <t>Expense</t>
        </is>
      </c>
      <c r="H889" s="12" t="n">
        <v>46177</v>
      </c>
      <c r="I889" s="13" t="n">
        <v>0.3471875</v>
      </c>
      <c r="J889" s="14" t="n">
        <v>46177.3471875</v>
      </c>
      <c r="K889" s="15" t="n">
        <v>0.01</v>
      </c>
      <c r="L889" s="4" t="inlineStr">
        <is>
          <t>INR</t>
        </is>
      </c>
      <c r="M889" s="15" t="n">
        <v>-0.01</v>
      </c>
      <c r="N889" s="4" t="inlineStr">
        <is>
          <t>IOS Owner</t>
        </is>
      </c>
      <c r="O889" s="4" t="n"/>
      <c r="P889" s="4" t="n"/>
      <c r="Q889" s="4" t="inlineStr">
        <is>
          <t>MAESTRO-IOS-BUSINESS-TEAM_OPERATIONS-0888 | Contractor | 0.01</t>
        </is>
      </c>
      <c r="R889" s="4" t="inlineStr">
        <is>
          <t>iPhone</t>
        </is>
      </c>
      <c r="S889" s="4" t="inlineStr">
        <is>
          <t>B18</t>
        </is>
      </c>
      <c r="T889" s="4" t="inlineStr">
        <is>
          <t>RAMP_501_1500</t>
        </is>
      </c>
      <c r="U889" s="4" t="inlineStr">
        <is>
          <t>CREATED</t>
        </is>
      </c>
      <c r="V889" s="4" t="inlineStr">
        <is>
          <t>idem-20260902-ios-0888</t>
        </is>
      </c>
    </row>
    <row r="890" ht="30" customHeight="1">
      <c r="A890" s="4" t="n">
        <v>889</v>
      </c>
      <c r="B890" s="4" t="inlineStr">
        <is>
          <t>MTR-IOS-0889</t>
        </is>
      </c>
      <c r="C890" s="4" t="inlineStr">
        <is>
          <t>Personal</t>
        </is>
      </c>
      <c r="D890" s="4" t="inlineStr">
        <is>
          <t>Personal</t>
        </is>
      </c>
      <c r="E890" s="4" t="inlineStr">
        <is>
          <t>Relationships</t>
        </is>
      </c>
      <c r="F890" s="4" t="inlineStr">
        <is>
          <t>Family</t>
        </is>
      </c>
      <c r="G890" s="4" t="inlineStr">
        <is>
          <t>Expense</t>
        </is>
      </c>
      <c r="H890" s="12" t="n">
        <v>46152</v>
      </c>
      <c r="I890" s="13" t="n">
        <v>0.8458680555555556</v>
      </c>
      <c r="J890" s="14" t="n">
        <v>46152.84586805556</v>
      </c>
      <c r="K890" s="15" t="n">
        <v>12122.94</v>
      </c>
      <c r="L890" s="4" t="inlineStr">
        <is>
          <t>INR</t>
        </is>
      </c>
      <c r="M890" s="15" t="n">
        <v>-12122.94</v>
      </c>
      <c r="N890" s="4" t="inlineStr">
        <is>
          <t>IOS Owner</t>
        </is>
      </c>
      <c r="O890" s="4" t="n"/>
      <c r="P890" s="4" t="n"/>
      <c r="Q890" s="4" t="inlineStr">
        <is>
          <t>MAESTRO-IOS-PERSONAL-RELATIONSHIPS-0889 | Family | 12122.94</t>
        </is>
      </c>
      <c r="R890" s="4" t="inlineStr">
        <is>
          <t>iPhone</t>
        </is>
      </c>
      <c r="S890" s="4" t="inlineStr">
        <is>
          <t>B18</t>
        </is>
      </c>
      <c r="T890" s="4" t="inlineStr">
        <is>
          <t>RAMP_501_1500</t>
        </is>
      </c>
      <c r="U890" s="4" t="inlineStr">
        <is>
          <t>CREATED</t>
        </is>
      </c>
      <c r="V890" s="4" t="inlineStr">
        <is>
          <t>idem-20260902-ios-0889</t>
        </is>
      </c>
    </row>
    <row r="891" ht="30" customHeight="1">
      <c r="A891" s="4" t="n">
        <v>890</v>
      </c>
      <c r="B891" s="4" t="inlineStr">
        <is>
          <t>MTR-IOS-0890</t>
        </is>
      </c>
      <c r="C891" s="4" t="inlineStr">
        <is>
          <t>Group</t>
        </is>
      </c>
      <c r="D891" s="4" t="inlineStr">
        <is>
          <t>Shared Experience</t>
        </is>
      </c>
      <c r="E891" s="4" t="inlineStr">
        <is>
          <t>Trip</t>
        </is>
      </c>
      <c r="F891" s="4" t="inlineStr">
        <is>
          <t>Other</t>
        </is>
      </c>
      <c r="G891" s="4" t="inlineStr">
        <is>
          <t>Expense</t>
        </is>
      </c>
      <c r="H891" s="12" t="n">
        <v>45956</v>
      </c>
      <c r="I891" s="13" t="n">
        <v>0.01857638888888889</v>
      </c>
      <c r="J891" s="14" t="n">
        <v>45956.01857638889</v>
      </c>
      <c r="K891" s="15" t="n">
        <v>14597.82</v>
      </c>
      <c r="L891" s="4" t="inlineStr">
        <is>
          <t>INR</t>
        </is>
      </c>
      <c r="M891" s="15" t="n">
        <v>-14597.82</v>
      </c>
      <c r="N891" s="4" t="inlineStr">
        <is>
          <t>IOS Meera</t>
        </is>
      </c>
      <c r="O891" s="4" t="n">
        <v>3</v>
      </c>
      <c r="P891" s="4" t="inlineStr">
        <is>
          <t>EQUAL</t>
        </is>
      </c>
      <c r="Q891" s="4" t="inlineStr">
        <is>
          <t>MAESTRO-IOS-GROUP-TRIP-0890 | Other | 14597.82</t>
        </is>
      </c>
      <c r="R891" s="4" t="inlineStr">
        <is>
          <t>iPhone</t>
        </is>
      </c>
      <c r="S891" s="4" t="inlineStr">
        <is>
          <t>B18</t>
        </is>
      </c>
      <c r="T891" s="4" t="inlineStr">
        <is>
          <t>RAMP_501_1500</t>
        </is>
      </c>
      <c r="U891" s="4" t="inlineStr">
        <is>
          <t>CREATED</t>
        </is>
      </c>
      <c r="V891" s="4" t="inlineStr">
        <is>
          <t>idem-20260902-ios-0890</t>
        </is>
      </c>
    </row>
    <row r="892" ht="30" customHeight="1">
      <c r="A892" s="4" t="n">
        <v>891</v>
      </c>
      <c r="B892" s="4" t="inlineStr">
        <is>
          <t>MTR-IOS-0891</t>
        </is>
      </c>
      <c r="C892" s="4" t="inlineStr">
        <is>
          <t>Business</t>
        </is>
      </c>
      <c r="D892" s="4" t="inlineStr">
        <is>
          <t>Business</t>
        </is>
      </c>
      <c r="E892" s="4" t="inlineStr">
        <is>
          <t>Team Operations</t>
        </is>
      </c>
      <c r="F892" s="4" t="inlineStr">
        <is>
          <t>Hiring</t>
        </is>
      </c>
      <c r="G892" s="4" t="inlineStr">
        <is>
          <t>Expense</t>
        </is>
      </c>
      <c r="H892" s="12" t="n">
        <v>45980</v>
      </c>
      <c r="I892" s="13" t="n">
        <v>0.7836111111111111</v>
      </c>
      <c r="J892" s="14" t="n">
        <v>45980.78361111111</v>
      </c>
      <c r="K892" s="15" t="n">
        <v>124981.34</v>
      </c>
      <c r="L892" s="4" t="inlineStr">
        <is>
          <t>INR</t>
        </is>
      </c>
      <c r="M892" s="15" t="n">
        <v>-124981.34</v>
      </c>
      <c r="N892" s="4" t="inlineStr">
        <is>
          <t>IOS Owner</t>
        </is>
      </c>
      <c r="O892" s="4" t="n"/>
      <c r="P892" s="4" t="n"/>
      <c r="Q892" s="4" t="inlineStr">
        <is>
          <t>MAESTRO-IOS-BUSINESS-TEAM_OPERATIONS-0891 | Hiring | 124981.34</t>
        </is>
      </c>
      <c r="R892" s="4" t="inlineStr">
        <is>
          <t>iPhone</t>
        </is>
      </c>
      <c r="S892" s="4" t="inlineStr">
        <is>
          <t>B18</t>
        </is>
      </c>
      <c r="T892" s="4" t="inlineStr">
        <is>
          <t>RAMP_501_1500</t>
        </is>
      </c>
      <c r="U892" s="4" t="inlineStr">
        <is>
          <t>CREATED</t>
        </is>
      </c>
      <c r="V892" s="4" t="inlineStr">
        <is>
          <t>idem-20260902-ios-0891</t>
        </is>
      </c>
    </row>
    <row r="893" ht="30" customHeight="1">
      <c r="A893" s="4" t="n">
        <v>892</v>
      </c>
      <c r="B893" s="4" t="inlineStr">
        <is>
          <t>MTR-IOS-0892</t>
        </is>
      </c>
      <c r="C893" s="4" t="inlineStr">
        <is>
          <t>Personal</t>
        </is>
      </c>
      <c r="D893" s="4" t="inlineStr">
        <is>
          <t>Personal</t>
        </is>
      </c>
      <c r="E893" s="4" t="inlineStr">
        <is>
          <t>Relationships</t>
        </is>
      </c>
      <c r="F893" s="4" t="inlineStr">
        <is>
          <t>Friends</t>
        </is>
      </c>
      <c r="G893" s="4" t="inlineStr">
        <is>
          <t>Expense</t>
        </is>
      </c>
      <c r="H893" s="12" t="n">
        <v>46175</v>
      </c>
      <c r="I893" s="13" t="n">
        <v>0.03131944444444444</v>
      </c>
      <c r="J893" s="14" t="n">
        <v>46175.03131944445</v>
      </c>
      <c r="K893" s="15" t="n">
        <v>3852.74</v>
      </c>
      <c r="L893" s="4" t="inlineStr">
        <is>
          <t>INR</t>
        </is>
      </c>
      <c r="M893" s="15" t="n">
        <v>-3852.74</v>
      </c>
      <c r="N893" s="4" t="inlineStr">
        <is>
          <t>IOS Owner</t>
        </is>
      </c>
      <c r="O893" s="4" t="n"/>
      <c r="P893" s="4" t="n"/>
      <c r="Q893" s="4" t="inlineStr">
        <is>
          <t>MAESTRO-IOS-PERSONAL-RELATIONSHIPS-0892 | Friends | 3852.74</t>
        </is>
      </c>
      <c r="R893" s="4" t="inlineStr">
        <is>
          <t>iPhone</t>
        </is>
      </c>
      <c r="S893" s="4" t="inlineStr">
        <is>
          <t>B18</t>
        </is>
      </c>
      <c r="T893" s="4" t="inlineStr">
        <is>
          <t>RAMP_501_1500</t>
        </is>
      </c>
      <c r="U893" s="4" t="inlineStr">
        <is>
          <t>CREATED</t>
        </is>
      </c>
      <c r="V893" s="4" t="inlineStr">
        <is>
          <t>idem-20260902-ios-0892</t>
        </is>
      </c>
    </row>
    <row r="894" ht="30" customHeight="1">
      <c r="A894" s="4" t="n">
        <v>893</v>
      </c>
      <c r="B894" s="4" t="inlineStr">
        <is>
          <t>MTR-IOS-0893</t>
        </is>
      </c>
      <c r="C894" s="4" t="inlineStr">
        <is>
          <t>Group</t>
        </is>
      </c>
      <c r="D894" s="4" t="inlineStr">
        <is>
          <t>Shared Experience</t>
        </is>
      </c>
      <c r="E894" s="4" t="inlineStr">
        <is>
          <t>Wedding</t>
        </is>
      </c>
      <c r="F894" s="4" t="inlineStr">
        <is>
          <t>Venue</t>
        </is>
      </c>
      <c r="G894" s="4" t="inlineStr">
        <is>
          <t>Expense</t>
        </is>
      </c>
      <c r="H894" s="12" t="n">
        <v>45966</v>
      </c>
      <c r="I894" s="13" t="n">
        <v>0.01109953703703704</v>
      </c>
      <c r="J894" s="14" t="n">
        <v>45966.01109953703</v>
      </c>
      <c r="K894" s="15" t="n">
        <v>11003.99</v>
      </c>
      <c r="L894" s="4" t="inlineStr">
        <is>
          <t>INR</t>
        </is>
      </c>
      <c r="M894" s="15" t="n">
        <v>-11003.99</v>
      </c>
      <c r="N894" s="4" t="inlineStr">
        <is>
          <t>IOS Owner</t>
        </is>
      </c>
      <c r="O894" s="4" t="n">
        <v>3</v>
      </c>
      <c r="P894" s="4" t="inlineStr">
        <is>
          <t>PERCENTAGE</t>
        </is>
      </c>
      <c r="Q894" s="4" t="inlineStr">
        <is>
          <t>MAESTRO-IOS-GROUP-WEDDING-0893 | Venue | 11003.99</t>
        </is>
      </c>
      <c r="R894" s="4" t="inlineStr">
        <is>
          <t>iPhone</t>
        </is>
      </c>
      <c r="S894" s="4" t="inlineStr">
        <is>
          <t>B18</t>
        </is>
      </c>
      <c r="T894" s="4" t="inlineStr">
        <is>
          <t>RAMP_501_1500</t>
        </is>
      </c>
      <c r="U894" s="4" t="inlineStr">
        <is>
          <t>CREATED</t>
        </is>
      </c>
      <c r="V894" s="4" t="inlineStr">
        <is>
          <t>idem-20260902-ios-0893</t>
        </is>
      </c>
    </row>
    <row r="895" ht="30" customHeight="1">
      <c r="A895" s="4" t="n">
        <v>894</v>
      </c>
      <c r="B895" s="4" t="inlineStr">
        <is>
          <t>MTR-IOS-0894</t>
        </is>
      </c>
      <c r="C895" s="4" t="inlineStr">
        <is>
          <t>Business</t>
        </is>
      </c>
      <c r="D895" s="4" t="inlineStr">
        <is>
          <t>Business</t>
        </is>
      </c>
      <c r="E895" s="4" t="inlineStr">
        <is>
          <t>Team Operations</t>
        </is>
      </c>
      <c r="F895" s="4" t="inlineStr">
        <is>
          <t>Team Meal</t>
        </is>
      </c>
      <c r="G895" s="4" t="inlineStr">
        <is>
          <t>Expense</t>
        </is>
      </c>
      <c r="H895" s="12" t="n">
        <v>46011</v>
      </c>
      <c r="I895" s="13" t="n">
        <v>0.1361574074074074</v>
      </c>
      <c r="J895" s="14" t="n">
        <v>46011.13615740741</v>
      </c>
      <c r="K895" s="15" t="n">
        <v>36560.61</v>
      </c>
      <c r="L895" s="4" t="inlineStr">
        <is>
          <t>INR</t>
        </is>
      </c>
      <c r="M895" s="15" t="n">
        <v>-36560.61</v>
      </c>
      <c r="N895" s="4" t="inlineStr">
        <is>
          <t>IOS Owner</t>
        </is>
      </c>
      <c r="O895" s="4" t="n"/>
      <c r="P895" s="4" t="n"/>
      <c r="Q895" s="4" t="inlineStr">
        <is>
          <t>MAESTRO-IOS-BUSINESS-TEAM_OPERATIONS-0894 | Team Meal | 36560.61</t>
        </is>
      </c>
      <c r="R895" s="4" t="inlineStr">
        <is>
          <t>iPhone</t>
        </is>
      </c>
      <c r="S895" s="4" t="inlineStr">
        <is>
          <t>B18</t>
        </is>
      </c>
      <c r="T895" s="4" t="inlineStr">
        <is>
          <t>RAMP_501_1500</t>
        </is>
      </c>
      <c r="U895" s="4" t="inlineStr">
        <is>
          <t>CREATED</t>
        </is>
      </c>
      <c r="V895" s="4" t="inlineStr">
        <is>
          <t>idem-20260902-ios-0894</t>
        </is>
      </c>
    </row>
    <row r="896" ht="30" customHeight="1">
      <c r="A896" s="4" t="n">
        <v>895</v>
      </c>
      <c r="B896" s="4" t="inlineStr">
        <is>
          <t>MTR-IOS-0895</t>
        </is>
      </c>
      <c r="C896" s="4" t="inlineStr">
        <is>
          <t>Personal</t>
        </is>
      </c>
      <c r="D896" s="4" t="inlineStr">
        <is>
          <t>Personal</t>
        </is>
      </c>
      <c r="E896" s="4" t="inlineStr">
        <is>
          <t>Relationships</t>
        </is>
      </c>
      <c r="F896" s="4" t="inlineStr">
        <is>
          <t>Celebrations</t>
        </is>
      </c>
      <c r="G896" s="4" t="inlineStr">
        <is>
          <t>Expense</t>
        </is>
      </c>
      <c r="H896" s="12" t="n">
        <v>46220</v>
      </c>
      <c r="I896" s="13" t="n">
        <v>0.6240046296296297</v>
      </c>
      <c r="J896" s="14" t="n">
        <v>46220.62400462963</v>
      </c>
      <c r="K896" s="15" t="n">
        <v>9809.440000000001</v>
      </c>
      <c r="L896" s="4" t="inlineStr">
        <is>
          <t>INR</t>
        </is>
      </c>
      <c r="M896" s="15" t="n">
        <v>-9809.440000000001</v>
      </c>
      <c r="N896" s="4" t="inlineStr">
        <is>
          <t>IOS Owner</t>
        </is>
      </c>
      <c r="O896" s="4" t="n"/>
      <c r="P896" s="4" t="n"/>
      <c r="Q896" s="4" t="inlineStr">
        <is>
          <t>MAESTRO-IOS-PERSONAL-RELATIONSHIPS-0895 | Celebrations | 9809.44</t>
        </is>
      </c>
      <c r="R896" s="4" t="inlineStr">
        <is>
          <t>iPhone</t>
        </is>
      </c>
      <c r="S896" s="4" t="inlineStr">
        <is>
          <t>B18</t>
        </is>
      </c>
      <c r="T896" s="4" t="inlineStr">
        <is>
          <t>RAMP_501_1500</t>
        </is>
      </c>
      <c r="U896" s="4" t="inlineStr">
        <is>
          <t>CREATED</t>
        </is>
      </c>
      <c r="V896" s="4" t="inlineStr">
        <is>
          <t>idem-20260902-ios-0895</t>
        </is>
      </c>
    </row>
    <row r="897" ht="30" customHeight="1">
      <c r="A897" s="4" t="n">
        <v>896</v>
      </c>
      <c r="B897" s="4" t="inlineStr">
        <is>
          <t>MTR-IOS-0896</t>
        </is>
      </c>
      <c r="C897" s="4" t="inlineStr">
        <is>
          <t>Group</t>
        </is>
      </c>
      <c r="D897" s="4" t="inlineStr">
        <is>
          <t>Shared Experience</t>
        </is>
      </c>
      <c r="E897" s="4" t="inlineStr">
        <is>
          <t>Wedding</t>
        </is>
      </c>
      <c r="F897" s="4" t="inlineStr">
        <is>
          <t>Catering</t>
        </is>
      </c>
      <c r="G897" s="4" t="inlineStr">
        <is>
          <t>Expense</t>
        </is>
      </c>
      <c r="H897" s="12" t="n">
        <v>46160</v>
      </c>
      <c r="I897" s="13" t="n">
        <v>0.2075</v>
      </c>
      <c r="J897" s="14" t="n">
        <v>46160.2075</v>
      </c>
      <c r="K897" s="15" t="n">
        <v>12399.58</v>
      </c>
      <c r="L897" s="4" t="inlineStr">
        <is>
          <t>INR</t>
        </is>
      </c>
      <c r="M897" s="15" t="n">
        <v>-12399.58</v>
      </c>
      <c r="N897" s="4" t="inlineStr">
        <is>
          <t>IOS Aarav</t>
        </is>
      </c>
      <c r="O897" s="4" t="n">
        <v>3</v>
      </c>
      <c r="P897" s="4" t="inlineStr">
        <is>
          <t>EXACT</t>
        </is>
      </c>
      <c r="Q897" s="4" t="inlineStr">
        <is>
          <t>MAESTRO-IOS-GROUP-WEDDING-0896 | Catering | 12399.58</t>
        </is>
      </c>
      <c r="R897" s="4" t="inlineStr">
        <is>
          <t>iPhone</t>
        </is>
      </c>
      <c r="S897" s="4" t="inlineStr">
        <is>
          <t>B18</t>
        </is>
      </c>
      <c r="T897" s="4" t="inlineStr">
        <is>
          <t>RAMP_501_1500</t>
        </is>
      </c>
      <c r="U897" s="4" t="inlineStr">
        <is>
          <t>CREATED</t>
        </is>
      </c>
      <c r="V897" s="4" t="inlineStr">
        <is>
          <t>idem-20260902-ios-0896</t>
        </is>
      </c>
    </row>
    <row r="898" ht="30" customHeight="1">
      <c r="A898" s="4" t="n">
        <v>897</v>
      </c>
      <c r="B898" s="4" t="inlineStr">
        <is>
          <t>MTR-IOS-0897</t>
        </is>
      </c>
      <c r="C898" s="4" t="inlineStr">
        <is>
          <t>Business</t>
        </is>
      </c>
      <c r="D898" s="4" t="inlineStr">
        <is>
          <t>Business</t>
        </is>
      </c>
      <c r="E898" s="4" t="inlineStr">
        <is>
          <t>Team Operations</t>
        </is>
      </c>
      <c r="F898" s="4" t="inlineStr">
        <is>
          <t>Travel</t>
        </is>
      </c>
      <c r="G898" s="4" t="inlineStr">
        <is>
          <t>Expense</t>
        </is>
      </c>
      <c r="H898" s="12" t="n">
        <v>45917</v>
      </c>
      <c r="I898" s="13" t="n">
        <v>0.4530902777777778</v>
      </c>
      <c r="J898" s="14" t="n">
        <v>45917.45309027778</v>
      </c>
      <c r="K898" s="15" t="n">
        <v>19473.15</v>
      </c>
      <c r="L898" s="4" t="inlineStr">
        <is>
          <t>INR</t>
        </is>
      </c>
      <c r="M898" s="15" t="n">
        <v>-19473.15</v>
      </c>
      <c r="N898" s="4" t="inlineStr">
        <is>
          <t>IOS Owner</t>
        </is>
      </c>
      <c r="O898" s="4" t="n"/>
      <c r="P898" s="4" t="n"/>
      <c r="Q898" s="4" t="inlineStr">
        <is>
          <t>MAESTRO-IOS-BUSINESS-TEAM_OPERATIONS-0897 | Travel | 19473.15</t>
        </is>
      </c>
      <c r="R898" s="4" t="inlineStr">
        <is>
          <t>iPhone</t>
        </is>
      </c>
      <c r="S898" s="4" t="inlineStr">
        <is>
          <t>B18</t>
        </is>
      </c>
      <c r="T898" s="4" t="inlineStr">
        <is>
          <t>RAMP_501_1500</t>
        </is>
      </c>
      <c r="U898" s="4" t="inlineStr">
        <is>
          <t>CREATED</t>
        </is>
      </c>
      <c r="V898" s="4" t="inlineStr">
        <is>
          <t>idem-20260902-ios-0897</t>
        </is>
      </c>
    </row>
    <row r="899" ht="30" customHeight="1">
      <c r="A899" s="4" t="n">
        <v>898</v>
      </c>
      <c r="B899" s="4" t="inlineStr">
        <is>
          <t>MTR-IOS-0898</t>
        </is>
      </c>
      <c r="C899" s="4" t="inlineStr">
        <is>
          <t>Personal</t>
        </is>
      </c>
      <c r="D899" s="4" t="inlineStr">
        <is>
          <t>Personal</t>
        </is>
      </c>
      <c r="E899" s="4" t="inlineStr">
        <is>
          <t>Life Operations</t>
        </is>
      </c>
      <c r="F899" s="4" t="inlineStr">
        <is>
          <t>Groceries</t>
        </is>
      </c>
      <c r="G899" s="4" t="inlineStr">
        <is>
          <t>Expense</t>
        </is>
      </c>
      <c r="H899" s="12" t="n">
        <v>45928</v>
      </c>
      <c r="I899" s="13" t="n">
        <v>0.7529050925925926</v>
      </c>
      <c r="J899" s="14" t="n">
        <v>45928.7529050926</v>
      </c>
      <c r="K899" s="15" t="n">
        <v>14347.57</v>
      </c>
      <c r="L899" s="4" t="inlineStr">
        <is>
          <t>INR</t>
        </is>
      </c>
      <c r="M899" s="15" t="n">
        <v>-14347.57</v>
      </c>
      <c r="N899" s="4" t="inlineStr">
        <is>
          <t>IOS Owner</t>
        </is>
      </c>
      <c r="O899" s="4" t="n"/>
      <c r="P899" s="4" t="n"/>
      <c r="Q899" s="4" t="inlineStr">
        <is>
          <t>MAESTRO-IOS-PERSONAL-LIFE_OPERATIONS-0898 | Groceries | 14347.57</t>
        </is>
      </c>
      <c r="R899" s="4" t="inlineStr">
        <is>
          <t>iPhone</t>
        </is>
      </c>
      <c r="S899" s="4" t="inlineStr">
        <is>
          <t>B18</t>
        </is>
      </c>
      <c r="T899" s="4" t="inlineStr">
        <is>
          <t>RAMP_501_1500</t>
        </is>
      </c>
      <c r="U899" s="4" t="inlineStr">
        <is>
          <t>CREATED</t>
        </is>
      </c>
      <c r="V899" s="4" t="inlineStr">
        <is>
          <t>idem-20260902-ios-0898</t>
        </is>
      </c>
    </row>
    <row r="900" ht="30" customHeight="1">
      <c r="A900" s="4" t="n">
        <v>899</v>
      </c>
      <c r="B900" s="4" t="inlineStr">
        <is>
          <t>MTR-IOS-0899</t>
        </is>
      </c>
      <c r="C900" s="4" t="inlineStr">
        <is>
          <t>Group</t>
        </is>
      </c>
      <c r="D900" s="4" t="inlineStr">
        <is>
          <t>Shared Experience</t>
        </is>
      </c>
      <c r="E900" s="4" t="inlineStr">
        <is>
          <t>Wedding</t>
        </is>
      </c>
      <c r="F900" s="4" t="inlineStr">
        <is>
          <t>Decor</t>
        </is>
      </c>
      <c r="G900" s="4" t="inlineStr">
        <is>
          <t>Expense</t>
        </is>
      </c>
      <c r="H900" s="12" t="n">
        <v>46051</v>
      </c>
      <c r="I900" s="13" t="n">
        <v>0.9540046296296296</v>
      </c>
      <c r="J900" s="14" t="n">
        <v>46051.95400462963</v>
      </c>
      <c r="K900" s="15" t="n">
        <v>20422.51</v>
      </c>
      <c r="L900" s="4" t="inlineStr">
        <is>
          <t>INR</t>
        </is>
      </c>
      <c r="M900" s="15" t="n">
        <v>-20422.51</v>
      </c>
      <c r="N900" s="4" t="inlineStr">
        <is>
          <t>IOS Meera</t>
        </is>
      </c>
      <c r="O900" s="4" t="n">
        <v>3</v>
      </c>
      <c r="P900" s="4" t="inlineStr">
        <is>
          <t>SHARES</t>
        </is>
      </c>
      <c r="Q900" s="4" t="inlineStr">
        <is>
          <t>MAESTRO-IOS-GROUP-WEDDING-0899 | Decor | 20422.51</t>
        </is>
      </c>
      <c r="R900" s="4" t="inlineStr">
        <is>
          <t>iPhone</t>
        </is>
      </c>
      <c r="S900" s="4" t="inlineStr">
        <is>
          <t>B18</t>
        </is>
      </c>
      <c r="T900" s="4" t="inlineStr">
        <is>
          <t>RAMP_501_1500</t>
        </is>
      </c>
      <c r="U900" s="4" t="inlineStr">
        <is>
          <t>CREATED</t>
        </is>
      </c>
      <c r="V900" s="4" t="inlineStr">
        <is>
          <t>idem-20260902-ios-0899</t>
        </is>
      </c>
    </row>
    <row r="901" ht="30" customHeight="1">
      <c r="A901" s="4" t="n">
        <v>900</v>
      </c>
      <c r="B901" s="4" t="inlineStr">
        <is>
          <t>MTR-IOS-0900</t>
        </is>
      </c>
      <c r="C901" s="4" t="inlineStr">
        <is>
          <t>Business</t>
        </is>
      </c>
      <c r="D901" s="4" t="inlineStr">
        <is>
          <t>Business</t>
        </is>
      </c>
      <c r="E901" s="4" t="inlineStr">
        <is>
          <t>Team Operations</t>
        </is>
      </c>
      <c r="F901" s="4" t="inlineStr">
        <is>
          <t>Training</t>
        </is>
      </c>
      <c r="G901" s="4" t="inlineStr">
        <is>
          <t>Expense</t>
        </is>
      </c>
      <c r="H901" s="12" t="n">
        <v>46204</v>
      </c>
      <c r="I901" s="13" t="n">
        <v>0.5699305555555556</v>
      </c>
      <c r="J901" s="14" t="n">
        <v>46204.56993055555</v>
      </c>
      <c r="K901" s="15" t="n">
        <v>33336.62</v>
      </c>
      <c r="L901" s="4" t="inlineStr">
        <is>
          <t>INR</t>
        </is>
      </c>
      <c r="M901" s="15" t="n">
        <v>-33336.62</v>
      </c>
      <c r="N901" s="4" t="inlineStr">
        <is>
          <t>IOS Owner</t>
        </is>
      </c>
      <c r="O901" s="4" t="n"/>
      <c r="P901" s="4" t="n"/>
      <c r="Q901" s="4" t="inlineStr">
        <is>
          <t>MAESTRO-IOS-BUSINESS-TEAM_OPERATIONS-0900 | Training | 33336.62</t>
        </is>
      </c>
      <c r="R901" s="4" t="inlineStr">
        <is>
          <t>iPhone</t>
        </is>
      </c>
      <c r="S901" s="4" t="inlineStr">
        <is>
          <t>B18</t>
        </is>
      </c>
      <c r="T901" s="4" t="inlineStr">
        <is>
          <t>RAMP_501_1500</t>
        </is>
      </c>
      <c r="U901" s="4" t="inlineStr">
        <is>
          <t>CREATED</t>
        </is>
      </c>
      <c r="V901" s="4" t="inlineStr">
        <is>
          <t>idem-20260902-ios-0900</t>
        </is>
      </c>
    </row>
    <row r="902" ht="30" customHeight="1">
      <c r="A902" s="4" t="n">
        <v>901</v>
      </c>
      <c r="B902" s="4" t="inlineStr">
        <is>
          <t>MTR-IOS-0901</t>
        </is>
      </c>
      <c r="C902" s="4" t="inlineStr">
        <is>
          <t>Personal</t>
        </is>
      </c>
      <c r="D902" s="4" t="inlineStr">
        <is>
          <t>Personal</t>
        </is>
      </c>
      <c r="E902" s="4" t="inlineStr">
        <is>
          <t>Life Operations</t>
        </is>
      </c>
      <c r="F902" s="4" t="inlineStr">
        <is>
          <t>Rent</t>
        </is>
      </c>
      <c r="G902" s="4" t="inlineStr">
        <is>
          <t>Expense</t>
        </is>
      </c>
      <c r="H902" s="12" t="n">
        <v>46030</v>
      </c>
      <c r="I902" s="13" t="n">
        <v>0.2802314814814815</v>
      </c>
      <c r="J902" s="14" t="n">
        <v>46030.28023148148</v>
      </c>
      <c r="K902" s="15" t="n">
        <v>1737.84</v>
      </c>
      <c r="L902" s="4" t="inlineStr">
        <is>
          <t>INR</t>
        </is>
      </c>
      <c r="M902" s="15" t="n">
        <v>-1737.84</v>
      </c>
      <c r="N902" s="4" t="inlineStr">
        <is>
          <t>IOS Owner</t>
        </is>
      </c>
      <c r="O902" s="4" t="n"/>
      <c r="P902" s="4" t="n"/>
      <c r="Q902" s="4" t="inlineStr">
        <is>
          <t>MAESTRO-IOS-PERSONAL-LIFE_OPERATIONS-0901 | Rent | 1737.84</t>
        </is>
      </c>
      <c r="R902" s="4" t="inlineStr">
        <is>
          <t>iPhone</t>
        </is>
      </c>
      <c r="S902" s="4" t="inlineStr">
        <is>
          <t>B19</t>
        </is>
      </c>
      <c r="T902" s="4" t="inlineStr">
        <is>
          <t>RAMP_501_1500</t>
        </is>
      </c>
      <c r="U902" s="4" t="inlineStr">
        <is>
          <t>CREATED</t>
        </is>
      </c>
      <c r="V902" s="4" t="inlineStr">
        <is>
          <t>idem-20260902-ios-0901</t>
        </is>
      </c>
    </row>
    <row r="903" ht="30" customHeight="1">
      <c r="A903" s="4" t="n">
        <v>902</v>
      </c>
      <c r="B903" s="4" t="inlineStr">
        <is>
          <t>MTR-IOS-0902</t>
        </is>
      </c>
      <c r="C903" s="4" t="inlineStr">
        <is>
          <t>Group</t>
        </is>
      </c>
      <c r="D903" s="4" t="inlineStr">
        <is>
          <t>Shared Experience</t>
        </is>
      </c>
      <c r="E903" s="4" t="inlineStr">
        <is>
          <t>Wedding</t>
        </is>
      </c>
      <c r="F903" s="4" t="inlineStr">
        <is>
          <t>Travel</t>
        </is>
      </c>
      <c r="G903" s="4" t="inlineStr">
        <is>
          <t>Expense</t>
        </is>
      </c>
      <c r="H903" s="12" t="n">
        <v>45906</v>
      </c>
      <c r="I903" s="13" t="n">
        <v>0.6665162037037037</v>
      </c>
      <c r="J903" s="14" t="n">
        <v>45906.6665162037</v>
      </c>
      <c r="K903" s="15" t="n">
        <v>23877.11</v>
      </c>
      <c r="L903" s="4" t="inlineStr">
        <is>
          <t>INR</t>
        </is>
      </c>
      <c r="M903" s="15" t="n">
        <v>-23877.11</v>
      </c>
      <c r="N903" s="4" t="inlineStr">
        <is>
          <t>IOS Owner</t>
        </is>
      </c>
      <c r="O903" s="4" t="n">
        <v>3</v>
      </c>
      <c r="P903" s="4" t="inlineStr">
        <is>
          <t>EQUAL</t>
        </is>
      </c>
      <c r="Q903" s="4" t="inlineStr">
        <is>
          <t>MAESTRO-IOS-GROUP-WEDDING-0902 | Travel | 23877.11</t>
        </is>
      </c>
      <c r="R903" s="4" t="inlineStr">
        <is>
          <t>iPhone</t>
        </is>
      </c>
      <c r="S903" s="4" t="inlineStr">
        <is>
          <t>B19</t>
        </is>
      </c>
      <c r="T903" s="4" t="inlineStr">
        <is>
          <t>RAMP_501_1500</t>
        </is>
      </c>
      <c r="U903" s="4" t="inlineStr">
        <is>
          <t>CREATED</t>
        </is>
      </c>
      <c r="V903" s="4" t="inlineStr">
        <is>
          <t>idem-20260902-ios-0902</t>
        </is>
      </c>
    </row>
    <row r="904" ht="30" customHeight="1">
      <c r="A904" s="4" t="n">
        <v>903</v>
      </c>
      <c r="B904" s="4" t="inlineStr">
        <is>
          <t>MTR-IOS-0903</t>
        </is>
      </c>
      <c r="C904" s="4" t="inlineStr">
        <is>
          <t>Business</t>
        </is>
      </c>
      <c r="D904" s="4" t="inlineStr">
        <is>
          <t>Business</t>
        </is>
      </c>
      <c r="E904" s="4" t="inlineStr">
        <is>
          <t>Team Operations</t>
        </is>
      </c>
      <c r="F904" s="4" t="inlineStr">
        <is>
          <t>Tools</t>
        </is>
      </c>
      <c r="G904" s="4" t="inlineStr">
        <is>
          <t>Expense</t>
        </is>
      </c>
      <c r="H904" s="12" t="n">
        <v>45949</v>
      </c>
      <c r="I904" s="13" t="n">
        <v>0.8212384259259259</v>
      </c>
      <c r="J904" s="14" t="n">
        <v>45949.82123842592</v>
      </c>
      <c r="K904" s="15" t="n">
        <v>144263.58</v>
      </c>
      <c r="L904" s="4" t="inlineStr">
        <is>
          <t>INR</t>
        </is>
      </c>
      <c r="M904" s="15" t="n">
        <v>-144263.58</v>
      </c>
      <c r="N904" s="4" t="inlineStr">
        <is>
          <t>IOS Owner</t>
        </is>
      </c>
      <c r="O904" s="4" t="n"/>
      <c r="P904" s="4" t="n"/>
      <c r="Q904" s="4" t="inlineStr">
        <is>
          <t>MAESTRO-IOS-BUSINESS-TEAM_OPERATIONS-0903 | Tools | 144263.58</t>
        </is>
      </c>
      <c r="R904" s="4" t="inlineStr">
        <is>
          <t>iPhone</t>
        </is>
      </c>
      <c r="S904" s="4" t="inlineStr">
        <is>
          <t>B19</t>
        </is>
      </c>
      <c r="T904" s="4" t="inlineStr">
        <is>
          <t>RAMP_501_1500</t>
        </is>
      </c>
      <c r="U904" s="4" t="inlineStr">
        <is>
          <t>CREATED</t>
        </is>
      </c>
      <c r="V904" s="4" t="inlineStr">
        <is>
          <t>idem-20260902-ios-0903</t>
        </is>
      </c>
    </row>
    <row r="905" ht="30" customHeight="1">
      <c r="A905" s="4" t="n">
        <v>904</v>
      </c>
      <c r="B905" s="4" t="inlineStr">
        <is>
          <t>MTR-IOS-0904</t>
        </is>
      </c>
      <c r="C905" s="4" t="inlineStr">
        <is>
          <t>Personal</t>
        </is>
      </c>
      <c r="D905" s="4" t="inlineStr">
        <is>
          <t>Personal</t>
        </is>
      </c>
      <c r="E905" s="4" t="inlineStr">
        <is>
          <t>Life Operations</t>
        </is>
      </c>
      <c r="F905" s="4" t="inlineStr">
        <is>
          <t>Bills</t>
        </is>
      </c>
      <c r="G905" s="4" t="inlineStr">
        <is>
          <t>Expense</t>
        </is>
      </c>
      <c r="H905" s="12" t="n">
        <v>45915</v>
      </c>
      <c r="I905" s="13" t="n">
        <v>0.9149537037037037</v>
      </c>
      <c r="J905" s="14" t="n">
        <v>45915.9149537037</v>
      </c>
      <c r="K905" s="15" t="n">
        <v>7350.81</v>
      </c>
      <c r="L905" s="4" t="inlineStr">
        <is>
          <t>INR</t>
        </is>
      </c>
      <c r="M905" s="15" t="n">
        <v>-7350.81</v>
      </c>
      <c r="N905" s="4" t="inlineStr">
        <is>
          <t>IOS Owner</t>
        </is>
      </c>
      <c r="O905" s="4" t="n"/>
      <c r="P905" s="4" t="n"/>
      <c r="Q905" s="4" t="inlineStr">
        <is>
          <t>MAESTRO-IOS-PERSONAL-LIFE_OPERATIONS-0904 | Bills | 7350.81</t>
        </is>
      </c>
      <c r="R905" s="4" t="inlineStr">
        <is>
          <t>iPhone</t>
        </is>
      </c>
      <c r="S905" s="4" t="inlineStr">
        <is>
          <t>B19</t>
        </is>
      </c>
      <c r="T905" s="4" t="inlineStr">
        <is>
          <t>RAMP_501_1500</t>
        </is>
      </c>
      <c r="U905" s="4" t="inlineStr">
        <is>
          <t>CREATED</t>
        </is>
      </c>
      <c r="V905" s="4" t="inlineStr">
        <is>
          <t>idem-20260902-ios-0904</t>
        </is>
      </c>
    </row>
    <row r="906" ht="30" customHeight="1">
      <c r="A906" s="4" t="n">
        <v>905</v>
      </c>
      <c r="B906" s="4" t="inlineStr">
        <is>
          <t>MTR-IOS-0905</t>
        </is>
      </c>
      <c r="C906" s="4" t="inlineStr">
        <is>
          <t>Group</t>
        </is>
      </c>
      <c r="D906" s="4" t="inlineStr">
        <is>
          <t>Shared Experience</t>
        </is>
      </c>
      <c r="E906" s="4" t="inlineStr">
        <is>
          <t>Wedding</t>
        </is>
      </c>
      <c r="F906" s="4" t="inlineStr">
        <is>
          <t>Gifts</t>
        </is>
      </c>
      <c r="G906" s="4" t="inlineStr">
        <is>
          <t>Expense</t>
        </is>
      </c>
      <c r="H906" s="12" t="n">
        <v>46039</v>
      </c>
      <c r="I906" s="13" t="n">
        <v>0.7225810185185185</v>
      </c>
      <c r="J906" s="14" t="n">
        <v>46039.72258101852</v>
      </c>
      <c r="K906" s="15" t="n">
        <v>7381.95</v>
      </c>
      <c r="L906" s="4" t="inlineStr">
        <is>
          <t>INR</t>
        </is>
      </c>
      <c r="M906" s="15" t="n">
        <v>-7381.95</v>
      </c>
      <c r="N906" s="4" t="inlineStr">
        <is>
          <t>IOS Aarav</t>
        </is>
      </c>
      <c r="O906" s="4" t="n">
        <v>3</v>
      </c>
      <c r="P906" s="4" t="inlineStr">
        <is>
          <t>PERCENTAGE</t>
        </is>
      </c>
      <c r="Q906" s="4" t="inlineStr">
        <is>
          <t>MAESTRO-IOS-GROUP-WEDDING-0905 | Gifts | 7381.95</t>
        </is>
      </c>
      <c r="R906" s="4" t="inlineStr">
        <is>
          <t>iPhone</t>
        </is>
      </c>
      <c r="S906" s="4" t="inlineStr">
        <is>
          <t>B19</t>
        </is>
      </c>
      <c r="T906" s="4" t="inlineStr">
        <is>
          <t>RAMP_501_1500</t>
        </is>
      </c>
      <c r="U906" s="4" t="inlineStr">
        <is>
          <t>CREATED</t>
        </is>
      </c>
      <c r="V906" s="4" t="inlineStr">
        <is>
          <t>idem-20260902-ios-0905</t>
        </is>
      </c>
    </row>
    <row r="907" ht="30" customHeight="1">
      <c r="A907" s="4" t="n">
        <v>906</v>
      </c>
      <c r="B907" s="4" t="inlineStr">
        <is>
          <t>MTR-IOS-0906</t>
        </is>
      </c>
      <c r="C907" s="4" t="inlineStr">
        <is>
          <t>Business</t>
        </is>
      </c>
      <c r="D907" s="4" t="inlineStr">
        <is>
          <t>Business</t>
        </is>
      </c>
      <c r="E907" s="4" t="inlineStr">
        <is>
          <t>Business Runway</t>
        </is>
      </c>
      <c r="F907" s="4" t="inlineStr">
        <is>
          <t>Funding</t>
        </is>
      </c>
      <c r="G907" s="4" t="inlineStr">
        <is>
          <t>Income</t>
        </is>
      </c>
      <c r="H907" s="12" t="n">
        <v>46061</v>
      </c>
      <c r="I907" s="13" t="n">
        <v>0.6147222222222222</v>
      </c>
      <c r="J907" s="14" t="n">
        <v>46061.61472222222</v>
      </c>
      <c r="K907" s="15" t="n">
        <v>123077.74</v>
      </c>
      <c r="L907" s="4" t="inlineStr">
        <is>
          <t>INR</t>
        </is>
      </c>
      <c r="M907" s="15" t="n">
        <v>123077.74</v>
      </c>
      <c r="N907" s="4" t="inlineStr">
        <is>
          <t>IOS Owner</t>
        </is>
      </c>
      <c r="O907" s="4" t="n"/>
      <c r="P907" s="4" t="n"/>
      <c r="Q907" s="4" t="inlineStr">
        <is>
          <t>MAESTRO-IOS-BUSINESS-BUSINESS_RUNWAY-0906 | Funding | 123077.74</t>
        </is>
      </c>
      <c r="R907" s="4" t="inlineStr">
        <is>
          <t>iPhone</t>
        </is>
      </c>
      <c r="S907" s="4" t="inlineStr">
        <is>
          <t>B19</t>
        </is>
      </c>
      <c r="T907" s="4" t="inlineStr">
        <is>
          <t>RAMP_501_1500</t>
        </is>
      </c>
      <c r="U907" s="4" t="inlineStr">
        <is>
          <t>CREATED</t>
        </is>
      </c>
      <c r="V907" s="4" t="inlineStr">
        <is>
          <t>idem-20260902-ios-0906</t>
        </is>
      </c>
    </row>
    <row r="908" ht="30" customHeight="1">
      <c r="A908" s="4" t="n">
        <v>907</v>
      </c>
      <c r="B908" s="4" t="inlineStr">
        <is>
          <t>MTR-IOS-0907</t>
        </is>
      </c>
      <c r="C908" s="4" t="inlineStr">
        <is>
          <t>Personal</t>
        </is>
      </c>
      <c r="D908" s="4" t="inlineStr">
        <is>
          <t>Personal</t>
        </is>
      </c>
      <c r="E908" s="4" t="inlineStr">
        <is>
          <t>Life Operations</t>
        </is>
      </c>
      <c r="F908" s="4" t="inlineStr">
        <is>
          <t>Transport</t>
        </is>
      </c>
      <c r="G908" s="4" t="inlineStr">
        <is>
          <t>Expense</t>
        </is>
      </c>
      <c r="H908" s="12" t="n">
        <v>46050</v>
      </c>
      <c r="I908" s="13" t="n">
        <v>0.3122222222222222</v>
      </c>
      <c r="J908" s="14" t="n">
        <v>46050.31222222222</v>
      </c>
      <c r="K908" s="15" t="n">
        <v>11564.9</v>
      </c>
      <c r="L908" s="4" t="inlineStr">
        <is>
          <t>INR</t>
        </is>
      </c>
      <c r="M908" s="15" t="n">
        <v>-11564.9</v>
      </c>
      <c r="N908" s="4" t="inlineStr">
        <is>
          <t>IOS Owner</t>
        </is>
      </c>
      <c r="O908" s="4" t="n"/>
      <c r="P908" s="4" t="n"/>
      <c r="Q908" s="4" t="inlineStr">
        <is>
          <t>MAESTRO-IOS-PERSONAL-LIFE_OPERATIONS-0907 | Transport | 11564.90</t>
        </is>
      </c>
      <c r="R908" s="4" t="inlineStr">
        <is>
          <t>iPhone</t>
        </is>
      </c>
      <c r="S908" s="4" t="inlineStr">
        <is>
          <t>B19</t>
        </is>
      </c>
      <c r="T908" s="4" t="inlineStr">
        <is>
          <t>RAMP_501_1500</t>
        </is>
      </c>
      <c r="U908" s="4" t="inlineStr">
        <is>
          <t>CREATED</t>
        </is>
      </c>
      <c r="V908" s="4" t="inlineStr">
        <is>
          <t>idem-20260902-ios-0907</t>
        </is>
      </c>
    </row>
    <row r="909" ht="30" customHeight="1">
      <c r="A909" s="4" t="n">
        <v>908</v>
      </c>
      <c r="B909" s="4" t="inlineStr">
        <is>
          <t>MTR-IOS-0908</t>
        </is>
      </c>
      <c r="C909" s="4" t="inlineStr">
        <is>
          <t>Group</t>
        </is>
      </c>
      <c r="D909" s="4" t="inlineStr">
        <is>
          <t>Shared Experience</t>
        </is>
      </c>
      <c r="E909" s="4" t="inlineStr">
        <is>
          <t>Wedding</t>
        </is>
      </c>
      <c r="F909" s="4" t="inlineStr">
        <is>
          <t>Photography</t>
        </is>
      </c>
      <c r="G909" s="4" t="inlineStr">
        <is>
          <t>Expense</t>
        </is>
      </c>
      <c r="H909" s="12" t="n">
        <v>46099</v>
      </c>
      <c r="I909" s="13" t="n">
        <v>0.1717592592592593</v>
      </c>
      <c r="J909" s="14" t="n">
        <v>46099.17175925926</v>
      </c>
      <c r="K909" s="15" t="n">
        <v>22247.99</v>
      </c>
      <c r="L909" s="4" t="inlineStr">
        <is>
          <t>INR</t>
        </is>
      </c>
      <c r="M909" s="15" t="n">
        <v>-22247.99</v>
      </c>
      <c r="N909" s="4" t="inlineStr">
        <is>
          <t>IOS Meera</t>
        </is>
      </c>
      <c r="O909" s="4" t="n">
        <v>3</v>
      </c>
      <c r="P909" s="4" t="inlineStr">
        <is>
          <t>EXACT</t>
        </is>
      </c>
      <c r="Q909" s="4" t="inlineStr">
        <is>
          <t>MAESTRO-IOS-GROUP-WEDDING-0908 | Photography | 22247.99</t>
        </is>
      </c>
      <c r="R909" s="4" t="inlineStr">
        <is>
          <t>iPhone</t>
        </is>
      </c>
      <c r="S909" s="4" t="inlineStr">
        <is>
          <t>B19</t>
        </is>
      </c>
      <c r="T909" s="4" t="inlineStr">
        <is>
          <t>RAMP_501_1500</t>
        </is>
      </c>
      <c r="U909" s="4" t="inlineStr">
        <is>
          <t>CREATED</t>
        </is>
      </c>
      <c r="V909" s="4" t="inlineStr">
        <is>
          <t>idem-20260902-ios-0908</t>
        </is>
      </c>
    </row>
    <row r="910" ht="30" customHeight="1">
      <c r="A910" s="4" t="n">
        <v>909</v>
      </c>
      <c r="B910" s="4" t="inlineStr">
        <is>
          <t>MTR-IOS-0909</t>
        </is>
      </c>
      <c r="C910" s="4" t="inlineStr">
        <is>
          <t>Business</t>
        </is>
      </c>
      <c r="D910" s="4" t="inlineStr">
        <is>
          <t>Business</t>
        </is>
      </c>
      <c r="E910" s="4" t="inlineStr">
        <is>
          <t>Business Runway</t>
        </is>
      </c>
      <c r="F910" s="4" t="inlineStr">
        <is>
          <t>Revenue</t>
        </is>
      </c>
      <c r="G910" s="4" t="inlineStr">
        <is>
          <t>Income</t>
        </is>
      </c>
      <c r="H910" s="12" t="n">
        <v>46069</v>
      </c>
      <c r="I910" s="13" t="n">
        <v>0.6890393518518518</v>
      </c>
      <c r="J910" s="14" t="n">
        <v>46069.68903935186</v>
      </c>
      <c r="K910" s="15" t="n">
        <v>148251.07</v>
      </c>
      <c r="L910" s="4" t="inlineStr">
        <is>
          <t>INR</t>
        </is>
      </c>
      <c r="M910" s="15" t="n">
        <v>148251.07</v>
      </c>
      <c r="N910" s="4" t="inlineStr">
        <is>
          <t>IOS Owner</t>
        </is>
      </c>
      <c r="O910" s="4" t="n"/>
      <c r="P910" s="4" t="n"/>
      <c r="Q910" s="4" t="inlineStr">
        <is>
          <t>MAESTRO-IOS-BUSINESS-BUSINESS_RUNWAY-0909 | Revenue | 148251.07</t>
        </is>
      </c>
      <c r="R910" s="4" t="inlineStr">
        <is>
          <t>iPhone</t>
        </is>
      </c>
      <c r="S910" s="4" t="inlineStr">
        <is>
          <t>B19</t>
        </is>
      </c>
      <c r="T910" s="4" t="inlineStr">
        <is>
          <t>RAMP_501_1500</t>
        </is>
      </c>
      <c r="U910" s="4" t="inlineStr">
        <is>
          <t>CREATED</t>
        </is>
      </c>
      <c r="V910" s="4" t="inlineStr">
        <is>
          <t>idem-20260902-ios-0909</t>
        </is>
      </c>
    </row>
    <row r="911" ht="30" customHeight="1">
      <c r="A911" s="4" t="n">
        <v>910</v>
      </c>
      <c r="B911" s="4" t="inlineStr">
        <is>
          <t>MTR-IOS-0910</t>
        </is>
      </c>
      <c r="C911" s="4" t="inlineStr">
        <is>
          <t>Personal</t>
        </is>
      </c>
      <c r="D911" s="4" t="inlineStr">
        <is>
          <t>Personal</t>
        </is>
      </c>
      <c r="E911" s="4" t="inlineStr">
        <is>
          <t>Life Operations</t>
        </is>
      </c>
      <c r="F911" s="4" t="inlineStr">
        <is>
          <t>Healthcare</t>
        </is>
      </c>
      <c r="G911" s="4" t="inlineStr">
        <is>
          <t>Expense</t>
        </is>
      </c>
      <c r="H911" s="12" t="n">
        <v>46170</v>
      </c>
      <c r="I911" s="13" t="n">
        <v>0.7144791666666667</v>
      </c>
      <c r="J911" s="14" t="n">
        <v>46170.71447916667</v>
      </c>
      <c r="K911" s="15" t="n">
        <v>9151.99</v>
      </c>
      <c r="L911" s="4" t="inlineStr">
        <is>
          <t>INR</t>
        </is>
      </c>
      <c r="M911" s="15" t="n">
        <v>-9151.99</v>
      </c>
      <c r="N911" s="4" t="inlineStr">
        <is>
          <t>IOS Owner</t>
        </is>
      </c>
      <c r="O911" s="4" t="n"/>
      <c r="P911" s="4" t="n"/>
      <c r="Q911" s="4" t="inlineStr">
        <is>
          <t>MAESTRO-IOS-PERSONAL-LIFE_OPERATIONS-0910 | Healthcare | 9151.99</t>
        </is>
      </c>
      <c r="R911" s="4" t="inlineStr">
        <is>
          <t>iPhone</t>
        </is>
      </c>
      <c r="S911" s="4" t="inlineStr">
        <is>
          <t>B19</t>
        </is>
      </c>
      <c r="T911" s="4" t="inlineStr">
        <is>
          <t>RAMP_501_1500</t>
        </is>
      </c>
      <c r="U911" s="4" t="inlineStr">
        <is>
          <t>CREATED</t>
        </is>
      </c>
      <c r="V911" s="4" t="inlineStr">
        <is>
          <t>idem-20260902-ios-0910</t>
        </is>
      </c>
    </row>
    <row r="912" ht="30" customHeight="1">
      <c r="A912" s="4" t="n">
        <v>911</v>
      </c>
      <c r="B912" s="4" t="inlineStr">
        <is>
          <t>MTR-IOS-0911</t>
        </is>
      </c>
      <c r="C912" s="4" t="inlineStr">
        <is>
          <t>Group</t>
        </is>
      </c>
      <c r="D912" s="4" t="inlineStr">
        <is>
          <t>Shared Experience</t>
        </is>
      </c>
      <c r="E912" s="4" t="inlineStr">
        <is>
          <t>Wedding</t>
        </is>
      </c>
      <c r="F912" s="4" t="inlineStr">
        <is>
          <t>Other</t>
        </is>
      </c>
      <c r="G912" s="4" t="inlineStr">
        <is>
          <t>Expense</t>
        </is>
      </c>
      <c r="H912" s="12" t="n">
        <v>46090</v>
      </c>
      <c r="I912" s="13" t="n">
        <v>0.3481018518518518</v>
      </c>
      <c r="J912" s="14" t="n">
        <v>46090.34810185185</v>
      </c>
      <c r="K912" s="15" t="n">
        <v>26400.46</v>
      </c>
      <c r="L912" s="4" t="inlineStr">
        <is>
          <t>INR</t>
        </is>
      </c>
      <c r="M912" s="15" t="n">
        <v>-26400.46</v>
      </c>
      <c r="N912" s="4" t="inlineStr">
        <is>
          <t>IOS Owner</t>
        </is>
      </c>
      <c r="O912" s="4" t="n">
        <v>3</v>
      </c>
      <c r="P912" s="4" t="inlineStr">
        <is>
          <t>SHARES</t>
        </is>
      </c>
      <c r="Q912" s="4" t="inlineStr">
        <is>
          <t>MAESTRO-IOS-GROUP-WEDDING-0911 | Other | 26400.46</t>
        </is>
      </c>
      <c r="R912" s="4" t="inlineStr">
        <is>
          <t>iPhone</t>
        </is>
      </c>
      <c r="S912" s="4" t="inlineStr">
        <is>
          <t>B19</t>
        </is>
      </c>
      <c r="T912" s="4" t="inlineStr">
        <is>
          <t>RAMP_501_1500</t>
        </is>
      </c>
      <c r="U912" s="4" t="inlineStr">
        <is>
          <t>CREATED</t>
        </is>
      </c>
      <c r="V912" s="4" t="inlineStr">
        <is>
          <t>idem-20260902-ios-0911</t>
        </is>
      </c>
    </row>
    <row r="913" ht="30" customHeight="1">
      <c r="A913" s="4" t="n">
        <v>912</v>
      </c>
      <c r="B913" s="4" t="inlineStr">
        <is>
          <t>MTR-IOS-0912</t>
        </is>
      </c>
      <c r="C913" s="4" t="inlineStr">
        <is>
          <t>Business</t>
        </is>
      </c>
      <c r="D913" s="4" t="inlineStr">
        <is>
          <t>Business</t>
        </is>
      </c>
      <c r="E913" s="4" t="inlineStr">
        <is>
          <t>Business Runway</t>
        </is>
      </c>
      <c r="F913" s="4" t="inlineStr">
        <is>
          <t>Burn</t>
        </is>
      </c>
      <c r="G913" s="4" t="inlineStr">
        <is>
          <t>Expense</t>
        </is>
      </c>
      <c r="H913" s="12" t="n">
        <v>46088</v>
      </c>
      <c r="I913" s="13" t="n">
        <v>0.2706712962962963</v>
      </c>
      <c r="J913" s="14" t="n">
        <v>46088.2706712963</v>
      </c>
      <c r="K913" s="15" t="n">
        <v>164925.51</v>
      </c>
      <c r="L913" s="4" t="inlineStr">
        <is>
          <t>INR</t>
        </is>
      </c>
      <c r="M913" s="15" t="n">
        <v>-164925.51</v>
      </c>
      <c r="N913" s="4" t="inlineStr">
        <is>
          <t>IOS Owner</t>
        </is>
      </c>
      <c r="O913" s="4" t="n"/>
      <c r="P913" s="4" t="n"/>
      <c r="Q913" s="4" t="inlineStr">
        <is>
          <t>MAESTRO-IOS-BUSINESS-BUSINESS_RUNWAY-0912 | Burn | 164925.51</t>
        </is>
      </c>
      <c r="R913" s="4" t="inlineStr">
        <is>
          <t>iPhone</t>
        </is>
      </c>
      <c r="S913" s="4" t="inlineStr">
        <is>
          <t>B19</t>
        </is>
      </c>
      <c r="T913" s="4" t="inlineStr">
        <is>
          <t>RAMP_501_1500</t>
        </is>
      </c>
      <c r="U913" s="4" t="inlineStr">
        <is>
          <t>CREATED</t>
        </is>
      </c>
      <c r="V913" s="4" t="inlineStr">
        <is>
          <t>idem-20260902-ios-0912</t>
        </is>
      </c>
    </row>
    <row r="914" ht="30" customHeight="1">
      <c r="A914" s="4" t="n">
        <v>913</v>
      </c>
      <c r="B914" s="4" t="inlineStr">
        <is>
          <t>MTR-IOS-0913</t>
        </is>
      </c>
      <c r="C914" s="4" t="inlineStr">
        <is>
          <t>Personal</t>
        </is>
      </c>
      <c r="D914" s="4" t="inlineStr">
        <is>
          <t>Personal</t>
        </is>
      </c>
      <c r="E914" s="4" t="inlineStr">
        <is>
          <t>Life Operations</t>
        </is>
      </c>
      <c r="F914" s="4" t="inlineStr">
        <is>
          <t>Subscriptions</t>
        </is>
      </c>
      <c r="G914" s="4" t="inlineStr">
        <is>
          <t>Expense</t>
        </is>
      </c>
      <c r="H914" s="12" t="n">
        <v>45935</v>
      </c>
      <c r="I914" s="13" t="n">
        <v>0.4834259259259259</v>
      </c>
      <c r="J914" s="14" t="n">
        <v>45935.48342592592</v>
      </c>
      <c r="K914" s="15" t="n">
        <v>15777.54</v>
      </c>
      <c r="L914" s="4" t="inlineStr">
        <is>
          <t>INR</t>
        </is>
      </c>
      <c r="M914" s="15" t="n">
        <v>-15777.54</v>
      </c>
      <c r="N914" s="4" t="inlineStr">
        <is>
          <t>IOS Owner</t>
        </is>
      </c>
      <c r="O914" s="4" t="n"/>
      <c r="P914" s="4" t="n"/>
      <c r="Q914" s="4" t="inlineStr">
        <is>
          <t>MAESTRO-IOS-PERSONAL-LIFE_OPERATIONS-0913 | Subscriptions | 15777.54</t>
        </is>
      </c>
      <c r="R914" s="4" t="inlineStr">
        <is>
          <t>iPhone</t>
        </is>
      </c>
      <c r="S914" s="4" t="inlineStr">
        <is>
          <t>B19</t>
        </is>
      </c>
      <c r="T914" s="4" t="inlineStr">
        <is>
          <t>RAMP_501_1500</t>
        </is>
      </c>
      <c r="U914" s="4" t="inlineStr">
        <is>
          <t>CREATED</t>
        </is>
      </c>
      <c r="V914" s="4" t="inlineStr">
        <is>
          <t>idem-20260902-ios-0913</t>
        </is>
      </c>
    </row>
    <row r="915" ht="30" customHeight="1">
      <c r="A915" s="4" t="n">
        <v>914</v>
      </c>
      <c r="B915" s="4" t="inlineStr">
        <is>
          <t>MTR-IOS-0914</t>
        </is>
      </c>
      <c r="C915" s="4" t="inlineStr">
        <is>
          <t>Group</t>
        </is>
      </c>
      <c r="D915" s="4" t="inlineStr">
        <is>
          <t>Shared Experience</t>
        </is>
      </c>
      <c r="E915" s="4" t="inlineStr">
        <is>
          <t>Office Outing</t>
        </is>
      </c>
      <c r="F915" s="4" t="inlineStr">
        <is>
          <t>Food</t>
        </is>
      </c>
      <c r="G915" s="4" t="inlineStr">
        <is>
          <t>Expense</t>
        </is>
      </c>
      <c r="H915" s="12" t="n">
        <v>46076</v>
      </c>
      <c r="I915" s="13" t="n">
        <v>0.8292361111111111</v>
      </c>
      <c r="J915" s="14" t="n">
        <v>46076.82923611111</v>
      </c>
      <c r="K915" s="15" t="n">
        <v>14277.5</v>
      </c>
      <c r="L915" s="4" t="inlineStr">
        <is>
          <t>INR</t>
        </is>
      </c>
      <c r="M915" s="15" t="n">
        <v>-14277.5</v>
      </c>
      <c r="N915" s="4" t="inlineStr">
        <is>
          <t>IOS Aarav</t>
        </is>
      </c>
      <c r="O915" s="4" t="n">
        <v>3</v>
      </c>
      <c r="P915" s="4" t="inlineStr">
        <is>
          <t>EQUAL</t>
        </is>
      </c>
      <c r="Q915" s="4" t="inlineStr">
        <is>
          <t>MAESTRO-IOS-GROUP-OFFICE_OUTING-0914 | Food | 14277.50</t>
        </is>
      </c>
      <c r="R915" s="4" t="inlineStr">
        <is>
          <t>iPhone</t>
        </is>
      </c>
      <c r="S915" s="4" t="inlineStr">
        <is>
          <t>B19</t>
        </is>
      </c>
      <c r="T915" s="4" t="inlineStr">
        <is>
          <t>RAMP_501_1500</t>
        </is>
      </c>
      <c r="U915" s="4" t="inlineStr">
        <is>
          <t>CREATED</t>
        </is>
      </c>
      <c r="V915" s="4" t="inlineStr">
        <is>
          <t>idem-20260902-ios-0914</t>
        </is>
      </c>
    </row>
    <row r="916" ht="30" customHeight="1">
      <c r="A916" s="4" t="n">
        <v>915</v>
      </c>
      <c r="B916" s="4" t="inlineStr">
        <is>
          <t>MTR-IOS-0915</t>
        </is>
      </c>
      <c r="C916" s="4" t="inlineStr">
        <is>
          <t>Business</t>
        </is>
      </c>
      <c r="D916" s="4" t="inlineStr">
        <is>
          <t>Business</t>
        </is>
      </c>
      <c r="E916" s="4" t="inlineStr">
        <is>
          <t>Business Runway</t>
        </is>
      </c>
      <c r="F916" s="4" t="inlineStr">
        <is>
          <t>Reserve</t>
        </is>
      </c>
      <c r="G916" s="4" t="inlineStr">
        <is>
          <t>Transfer</t>
        </is>
      </c>
      <c r="H916" s="12" t="n">
        <v>46063</v>
      </c>
      <c r="I916" s="13" t="n">
        <v>0.5310648148148148</v>
      </c>
      <c r="J916" s="14" t="n">
        <v>46063.53106481482</v>
      </c>
      <c r="K916" s="15" t="n">
        <v>163689.25</v>
      </c>
      <c r="L916" s="4" t="inlineStr">
        <is>
          <t>INR</t>
        </is>
      </c>
      <c r="M916" s="15" t="n">
        <v>0</v>
      </c>
      <c r="N916" s="4" t="inlineStr">
        <is>
          <t>IOS Owner</t>
        </is>
      </c>
      <c r="O916" s="4" t="n"/>
      <c r="P916" s="4" t="n"/>
      <c r="Q916" s="4" t="inlineStr">
        <is>
          <t>MAESTRO-IOS-BUSINESS-BUSINESS_RUNWAY-0915 | Reserve | 163689.25</t>
        </is>
      </c>
      <c r="R916" s="4" t="inlineStr">
        <is>
          <t>iPhone</t>
        </is>
      </c>
      <c r="S916" s="4" t="inlineStr">
        <is>
          <t>B19</t>
        </is>
      </c>
      <c r="T916" s="4" t="inlineStr">
        <is>
          <t>RAMP_501_1500</t>
        </is>
      </c>
      <c r="U916" s="4" t="inlineStr">
        <is>
          <t>CREATED</t>
        </is>
      </c>
      <c r="V916" s="4" t="inlineStr">
        <is>
          <t>idem-20260902-ios-0915</t>
        </is>
      </c>
    </row>
    <row r="917" ht="30" customHeight="1">
      <c r="A917" s="4" t="n">
        <v>916</v>
      </c>
      <c r="B917" s="4" t="inlineStr">
        <is>
          <t>MTR-IOS-0916</t>
        </is>
      </c>
      <c r="C917" s="4" t="inlineStr">
        <is>
          <t>Personal</t>
        </is>
      </c>
      <c r="D917" s="4" t="inlineStr">
        <is>
          <t>Personal</t>
        </is>
      </c>
      <c r="E917" s="4" t="inlineStr">
        <is>
          <t>Life Operations</t>
        </is>
      </c>
      <c r="F917" s="4" t="inlineStr">
        <is>
          <t>Repairs</t>
        </is>
      </c>
      <c r="G917" s="4" t="inlineStr">
        <is>
          <t>Expense</t>
        </is>
      </c>
      <c r="H917" s="12" t="n">
        <v>45915</v>
      </c>
      <c r="I917" s="13" t="n">
        <v>0.0933449074074074</v>
      </c>
      <c r="J917" s="14" t="n">
        <v>45915.09334490741</v>
      </c>
      <c r="K917" s="15" t="n">
        <v>8533.4</v>
      </c>
      <c r="L917" s="4" t="inlineStr">
        <is>
          <t>INR</t>
        </is>
      </c>
      <c r="M917" s="15" t="n">
        <v>-8533.4</v>
      </c>
      <c r="N917" s="4" t="inlineStr">
        <is>
          <t>IOS Owner</t>
        </is>
      </c>
      <c r="O917" s="4" t="n"/>
      <c r="P917" s="4" t="n"/>
      <c r="Q917" s="4" t="inlineStr">
        <is>
          <t>MAESTRO-IOS-PERSONAL-LIFE_OPERATIONS-0916 | Repairs | 8533.40</t>
        </is>
      </c>
      <c r="R917" s="4" t="inlineStr">
        <is>
          <t>iPhone</t>
        </is>
      </c>
      <c r="S917" s="4" t="inlineStr">
        <is>
          <t>B19</t>
        </is>
      </c>
      <c r="T917" s="4" t="inlineStr">
        <is>
          <t>RAMP_501_1500</t>
        </is>
      </c>
      <c r="U917" s="4" t="inlineStr">
        <is>
          <t>CREATED</t>
        </is>
      </c>
      <c r="V917" s="4" t="inlineStr">
        <is>
          <t>idem-20260902-ios-0916</t>
        </is>
      </c>
    </row>
    <row r="918" ht="30" customHeight="1">
      <c r="A918" s="4" t="n">
        <v>917</v>
      </c>
      <c r="B918" s="4" t="inlineStr">
        <is>
          <t>MTR-IOS-0917</t>
        </is>
      </c>
      <c r="C918" s="4" t="inlineStr">
        <is>
          <t>Group</t>
        </is>
      </c>
      <c r="D918" s="4" t="inlineStr">
        <is>
          <t>Shared Experience</t>
        </is>
      </c>
      <c r="E918" s="4" t="inlineStr">
        <is>
          <t>Office Outing</t>
        </is>
      </c>
      <c r="F918" s="4" t="inlineStr">
        <is>
          <t>Travel</t>
        </is>
      </c>
      <c r="G918" s="4" t="inlineStr">
        <is>
          <t>Expense</t>
        </is>
      </c>
      <c r="H918" s="12" t="n">
        <v>46249</v>
      </c>
      <c r="I918" s="13" t="n">
        <v>0.4710648148148148</v>
      </c>
      <c r="J918" s="14" t="n">
        <v>46249.47106481482</v>
      </c>
      <c r="K918" s="15" t="n">
        <v>24996.09</v>
      </c>
      <c r="L918" s="4" t="inlineStr">
        <is>
          <t>INR</t>
        </is>
      </c>
      <c r="M918" s="15" t="n">
        <v>-24996.09</v>
      </c>
      <c r="N918" s="4" t="inlineStr">
        <is>
          <t>IOS Meera</t>
        </is>
      </c>
      <c r="O918" s="4" t="n">
        <v>3</v>
      </c>
      <c r="P918" s="4" t="inlineStr">
        <is>
          <t>PERCENTAGE</t>
        </is>
      </c>
      <c r="Q918" s="4" t="inlineStr">
        <is>
          <t>MAESTRO-IOS-GROUP-OFFICE_OUTING-0917 | Travel | 24996.09</t>
        </is>
      </c>
      <c r="R918" s="4" t="inlineStr">
        <is>
          <t>iPhone</t>
        </is>
      </c>
      <c r="S918" s="4" t="inlineStr">
        <is>
          <t>B19</t>
        </is>
      </c>
      <c r="T918" s="4" t="inlineStr">
        <is>
          <t>RAMP_501_1500</t>
        </is>
      </c>
      <c r="U918" s="4" t="inlineStr">
        <is>
          <t>CREATED</t>
        </is>
      </c>
      <c r="V918" s="4" t="inlineStr">
        <is>
          <t>idem-20260902-ios-0917</t>
        </is>
      </c>
    </row>
    <row r="919" ht="30" customHeight="1">
      <c r="A919" s="4" t="n">
        <v>918</v>
      </c>
      <c r="B919" s="4" t="inlineStr">
        <is>
          <t>MTR-IOS-0918</t>
        </is>
      </c>
      <c r="C919" s="4" t="inlineStr">
        <is>
          <t>Business</t>
        </is>
      </c>
      <c r="D919" s="4" t="inlineStr">
        <is>
          <t>Business</t>
        </is>
      </c>
      <c r="E919" s="4" t="inlineStr">
        <is>
          <t>Business Runway</t>
        </is>
      </c>
      <c r="F919" s="4" t="inlineStr">
        <is>
          <t>Loan</t>
        </is>
      </c>
      <c r="G919" s="4" t="inlineStr">
        <is>
          <t>Income</t>
        </is>
      </c>
      <c r="H919" s="12" t="n">
        <v>46204</v>
      </c>
      <c r="I919" s="13" t="n">
        <v>0.7531365740740741</v>
      </c>
      <c r="J919" s="14" t="n">
        <v>46204.75313657407</v>
      </c>
      <c r="K919" s="15" t="n">
        <v>116773.53</v>
      </c>
      <c r="L919" s="4" t="inlineStr">
        <is>
          <t>INR</t>
        </is>
      </c>
      <c r="M919" s="15" t="n">
        <v>116773.53</v>
      </c>
      <c r="N919" s="4" t="inlineStr">
        <is>
          <t>IOS Owner</t>
        </is>
      </c>
      <c r="O919" s="4" t="n"/>
      <c r="P919" s="4" t="n"/>
      <c r="Q919" s="4" t="inlineStr">
        <is>
          <t>MAESTRO-IOS-BUSINESS-BUSINESS_RUNWAY-0918 | Loan | 116773.53</t>
        </is>
      </c>
      <c r="R919" s="4" t="inlineStr">
        <is>
          <t>iPhone</t>
        </is>
      </c>
      <c r="S919" s="4" t="inlineStr">
        <is>
          <t>B19</t>
        </is>
      </c>
      <c r="T919" s="4" t="inlineStr">
        <is>
          <t>RAMP_501_1500</t>
        </is>
      </c>
      <c r="U919" s="4" t="inlineStr">
        <is>
          <t>CREATED</t>
        </is>
      </c>
      <c r="V919" s="4" t="inlineStr">
        <is>
          <t>idem-20260902-ios-0918</t>
        </is>
      </c>
    </row>
    <row r="920" ht="30" customHeight="1">
      <c r="A920" s="4" t="n">
        <v>919</v>
      </c>
      <c r="B920" s="4" t="inlineStr">
        <is>
          <t>MTR-IOS-0919</t>
        </is>
      </c>
      <c r="C920" s="4" t="inlineStr">
        <is>
          <t>Personal</t>
        </is>
      </c>
      <c r="D920" s="4" t="inlineStr">
        <is>
          <t>Personal</t>
        </is>
      </c>
      <c r="E920" s="4" t="inlineStr">
        <is>
          <t>Future Building</t>
        </is>
      </c>
      <c r="F920" s="4" t="inlineStr">
        <is>
          <t>Savings</t>
        </is>
      </c>
      <c r="G920" s="4" t="inlineStr">
        <is>
          <t>Transfer</t>
        </is>
      </c>
      <c r="H920" s="12" t="n">
        <v>45917</v>
      </c>
      <c r="I920" s="13" t="n">
        <v>0.02928240740740741</v>
      </c>
      <c r="J920" s="14" t="n">
        <v>45917.02928240741</v>
      </c>
      <c r="K920" s="15" t="n">
        <v>17229.47</v>
      </c>
      <c r="L920" s="4" t="inlineStr">
        <is>
          <t>INR</t>
        </is>
      </c>
      <c r="M920" s="15" t="n">
        <v>0</v>
      </c>
      <c r="N920" s="4" t="inlineStr">
        <is>
          <t>IOS Owner</t>
        </is>
      </c>
      <c r="O920" s="4" t="n"/>
      <c r="P920" s="4" t="n"/>
      <c r="Q920" s="4" t="inlineStr">
        <is>
          <t>MAESTRO-IOS-PERSONAL-FUTURE_BUILDING-0919 | Savings | 17229.47</t>
        </is>
      </c>
      <c r="R920" s="4" t="inlineStr">
        <is>
          <t>iPhone</t>
        </is>
      </c>
      <c r="S920" s="4" t="inlineStr">
        <is>
          <t>B19</t>
        </is>
      </c>
      <c r="T920" s="4" t="inlineStr">
        <is>
          <t>RAMP_501_1500</t>
        </is>
      </c>
      <c r="U920" s="4" t="inlineStr">
        <is>
          <t>CREATED</t>
        </is>
      </c>
      <c r="V920" s="4" t="inlineStr">
        <is>
          <t>idem-20260902-ios-0919</t>
        </is>
      </c>
    </row>
    <row r="921" ht="30" customHeight="1">
      <c r="A921" s="4" t="n">
        <v>920</v>
      </c>
      <c r="B921" s="4" t="inlineStr">
        <is>
          <t>MTR-IOS-0920</t>
        </is>
      </c>
      <c r="C921" s="4" t="inlineStr">
        <is>
          <t>Group</t>
        </is>
      </c>
      <c r="D921" s="4" t="inlineStr">
        <is>
          <t>Shared Experience</t>
        </is>
      </c>
      <c r="E921" s="4" t="inlineStr">
        <is>
          <t>Office Outing</t>
        </is>
      </c>
      <c r="F921" s="4" t="inlineStr">
        <is>
          <t>Activities</t>
        </is>
      </c>
      <c r="G921" s="4" t="inlineStr">
        <is>
          <t>Expense</t>
        </is>
      </c>
      <c r="H921" s="12" t="n">
        <v>46182</v>
      </c>
      <c r="I921" s="13" t="n">
        <v>0.5468055555555555</v>
      </c>
      <c r="J921" s="14" t="n">
        <v>46182.54680555555</v>
      </c>
      <c r="K921" s="15" t="n">
        <v>19053.14</v>
      </c>
      <c r="L921" s="4" t="inlineStr">
        <is>
          <t>INR</t>
        </is>
      </c>
      <c r="M921" s="15" t="n">
        <v>-19053.14</v>
      </c>
      <c r="N921" s="4" t="inlineStr">
        <is>
          <t>IOS Owner</t>
        </is>
      </c>
      <c r="O921" s="4" t="n">
        <v>3</v>
      </c>
      <c r="P921" s="4" t="inlineStr">
        <is>
          <t>EXACT</t>
        </is>
      </c>
      <c r="Q921" s="4" t="inlineStr">
        <is>
          <t>MAESTRO-IOS-GROUP-OFFICE_OUTING-0920 | Activities | 19053.14</t>
        </is>
      </c>
      <c r="R921" s="4" t="inlineStr">
        <is>
          <t>iPhone</t>
        </is>
      </c>
      <c r="S921" s="4" t="inlineStr">
        <is>
          <t>B19</t>
        </is>
      </c>
      <c r="T921" s="4" t="inlineStr">
        <is>
          <t>RAMP_501_1500</t>
        </is>
      </c>
      <c r="U921" s="4" t="inlineStr">
        <is>
          <t>CREATED</t>
        </is>
      </c>
      <c r="V921" s="4" t="inlineStr">
        <is>
          <t>idem-20260902-ios-0920</t>
        </is>
      </c>
    </row>
    <row r="922" ht="30" customHeight="1">
      <c r="A922" s="4" t="n">
        <v>921</v>
      </c>
      <c r="B922" s="4" t="inlineStr">
        <is>
          <t>MTR-IOS-0921</t>
        </is>
      </c>
      <c r="C922" s="4" t="inlineStr">
        <is>
          <t>Business</t>
        </is>
      </c>
      <c r="D922" s="4" t="inlineStr">
        <is>
          <t>Business</t>
        </is>
      </c>
      <c r="E922" s="4" t="inlineStr">
        <is>
          <t>Business Runway</t>
        </is>
      </c>
      <c r="F922" s="4" t="inlineStr">
        <is>
          <t>Investment</t>
        </is>
      </c>
      <c r="G922" s="4" t="inlineStr">
        <is>
          <t>Income</t>
        </is>
      </c>
      <c r="H922" s="12" t="n">
        <v>46017</v>
      </c>
      <c r="I922" s="13" t="n">
        <v>0.03733796296296296</v>
      </c>
      <c r="J922" s="14" t="n">
        <v>46017.03733796296</v>
      </c>
      <c r="K922" s="15" t="n">
        <v>124575.81</v>
      </c>
      <c r="L922" s="4" t="inlineStr">
        <is>
          <t>INR</t>
        </is>
      </c>
      <c r="M922" s="15" t="n">
        <v>124575.81</v>
      </c>
      <c r="N922" s="4" t="inlineStr">
        <is>
          <t>IOS Owner</t>
        </is>
      </c>
      <c r="O922" s="4" t="n"/>
      <c r="P922" s="4" t="n"/>
      <c r="Q922" s="4" t="inlineStr">
        <is>
          <t>MAESTRO-IOS-BUSINESS-BUSINESS_RUNWAY-0921 | Investment | 124575.81</t>
        </is>
      </c>
      <c r="R922" s="4" t="inlineStr">
        <is>
          <t>iPhone</t>
        </is>
      </c>
      <c r="S922" s="4" t="inlineStr">
        <is>
          <t>B19</t>
        </is>
      </c>
      <c r="T922" s="4" t="inlineStr">
        <is>
          <t>RAMP_501_1500</t>
        </is>
      </c>
      <c r="U922" s="4" t="inlineStr">
        <is>
          <t>CREATED</t>
        </is>
      </c>
      <c r="V922" s="4" t="inlineStr">
        <is>
          <t>idem-20260902-ios-0921</t>
        </is>
      </c>
    </row>
    <row r="923" ht="30" customHeight="1">
      <c r="A923" s="4" t="n">
        <v>922</v>
      </c>
      <c r="B923" s="4" t="inlineStr">
        <is>
          <t>MTR-IOS-0922</t>
        </is>
      </c>
      <c r="C923" s="4" t="inlineStr">
        <is>
          <t>Personal</t>
        </is>
      </c>
      <c r="D923" s="4" t="inlineStr">
        <is>
          <t>Personal</t>
        </is>
      </c>
      <c r="E923" s="4" t="inlineStr">
        <is>
          <t>Future Building</t>
        </is>
      </c>
      <c r="F923" s="4" t="inlineStr">
        <is>
          <t>Emergency Fund</t>
        </is>
      </c>
      <c r="G923" s="4" t="inlineStr">
        <is>
          <t>Transfer</t>
        </is>
      </c>
      <c r="H923" s="12" t="n">
        <v>45973</v>
      </c>
      <c r="I923" s="13" t="n">
        <v>0.1864351851851852</v>
      </c>
      <c r="J923" s="14" t="n">
        <v>45973.18643518518</v>
      </c>
      <c r="K923" s="15" t="n">
        <v>11033.03</v>
      </c>
      <c r="L923" s="4" t="inlineStr">
        <is>
          <t>INR</t>
        </is>
      </c>
      <c r="M923" s="15" t="n">
        <v>0</v>
      </c>
      <c r="N923" s="4" t="inlineStr">
        <is>
          <t>IOS Owner</t>
        </is>
      </c>
      <c r="O923" s="4" t="n"/>
      <c r="P923" s="4" t="n"/>
      <c r="Q923" s="4" t="inlineStr">
        <is>
          <t>MAESTRO-IOS-PERSONAL-FUTURE_BUILDING-0922 | Emergency Fund | 11033.03</t>
        </is>
      </c>
      <c r="R923" s="4" t="inlineStr">
        <is>
          <t>iPhone</t>
        </is>
      </c>
      <c r="S923" s="4" t="inlineStr">
        <is>
          <t>B19</t>
        </is>
      </c>
      <c r="T923" s="4" t="inlineStr">
        <is>
          <t>RAMP_501_1500</t>
        </is>
      </c>
      <c r="U923" s="4" t="inlineStr">
        <is>
          <t>CREATED</t>
        </is>
      </c>
      <c r="V923" s="4" t="inlineStr">
        <is>
          <t>idem-20260902-ios-0922</t>
        </is>
      </c>
    </row>
    <row r="924" ht="30" customHeight="1">
      <c r="A924" s="4" t="n">
        <v>923</v>
      </c>
      <c r="B924" s="4" t="inlineStr">
        <is>
          <t>MTR-IOS-0923</t>
        </is>
      </c>
      <c r="C924" s="4" t="inlineStr">
        <is>
          <t>Group</t>
        </is>
      </c>
      <c r="D924" s="4" t="inlineStr">
        <is>
          <t>Shared Experience</t>
        </is>
      </c>
      <c r="E924" s="4" t="inlineStr">
        <is>
          <t>Office Outing</t>
        </is>
      </c>
      <c r="F924" s="4" t="inlineStr">
        <is>
          <t>Venue</t>
        </is>
      </c>
      <c r="G924" s="4" t="inlineStr">
        <is>
          <t>Expense</t>
        </is>
      </c>
      <c r="H924" s="12" t="n">
        <v>45966</v>
      </c>
      <c r="I924" s="13" t="n">
        <v>0.4350115740740741</v>
      </c>
      <c r="J924" s="14" t="n">
        <v>45966.43501157407</v>
      </c>
      <c r="K924" s="15" t="n">
        <v>23510.72</v>
      </c>
      <c r="L924" s="4" t="inlineStr">
        <is>
          <t>INR</t>
        </is>
      </c>
      <c r="M924" s="15" t="n">
        <v>-23510.72</v>
      </c>
      <c r="N924" s="4" t="inlineStr">
        <is>
          <t>IOS Aarav</t>
        </is>
      </c>
      <c r="O924" s="4" t="n">
        <v>3</v>
      </c>
      <c r="P924" s="4" t="inlineStr">
        <is>
          <t>SHARES</t>
        </is>
      </c>
      <c r="Q924" s="4" t="inlineStr">
        <is>
          <t>MAESTRO-IOS-GROUP-OFFICE_OUTING-0923 | Venue | 23510.72</t>
        </is>
      </c>
      <c r="R924" s="4" t="inlineStr">
        <is>
          <t>iPhone</t>
        </is>
      </c>
      <c r="S924" s="4" t="inlineStr">
        <is>
          <t>B19</t>
        </is>
      </c>
      <c r="T924" s="4" t="inlineStr">
        <is>
          <t>RAMP_501_1500</t>
        </is>
      </c>
      <c r="U924" s="4" t="inlineStr">
        <is>
          <t>CREATED</t>
        </is>
      </c>
      <c r="V924" s="4" t="inlineStr">
        <is>
          <t>idem-20260902-ios-0923</t>
        </is>
      </c>
    </row>
    <row r="925" ht="30" customHeight="1">
      <c r="A925" s="4" t="n">
        <v>924</v>
      </c>
      <c r="B925" s="4" t="inlineStr">
        <is>
          <t>MTR-IOS-0924</t>
        </is>
      </c>
      <c r="C925" s="4" t="inlineStr">
        <is>
          <t>Business</t>
        </is>
      </c>
      <c r="D925" s="4" t="inlineStr">
        <is>
          <t>Business</t>
        </is>
      </c>
      <c r="E925" s="4" t="inlineStr">
        <is>
          <t>Business Operations</t>
        </is>
      </c>
      <c r="F925" s="4" t="inlineStr">
        <is>
          <t>Software</t>
        </is>
      </c>
      <c r="G925" s="4" t="inlineStr">
        <is>
          <t>Expense</t>
        </is>
      </c>
      <c r="H925" s="12" t="n">
        <v>45967</v>
      </c>
      <c r="I925" s="13" t="n">
        <v>0.507349537037037</v>
      </c>
      <c r="J925" s="14" t="n">
        <v>45967.50734953704</v>
      </c>
      <c r="K925" s="15" t="n">
        <v>122432.18</v>
      </c>
      <c r="L925" s="4" t="inlineStr">
        <is>
          <t>INR</t>
        </is>
      </c>
      <c r="M925" s="15" t="n">
        <v>-122432.18</v>
      </c>
      <c r="N925" s="4" t="inlineStr">
        <is>
          <t>IOS Owner</t>
        </is>
      </c>
      <c r="O925" s="4" t="n"/>
      <c r="P925" s="4" t="n"/>
      <c r="Q925" s="4" t="inlineStr">
        <is>
          <t>MAESTRO-IOS-BUSINESS-BUSINESS_OPERATIONS-0924 | Software | 122432.18</t>
        </is>
      </c>
      <c r="R925" s="4" t="inlineStr">
        <is>
          <t>iPhone</t>
        </is>
      </c>
      <c r="S925" s="4" t="inlineStr">
        <is>
          <t>B19</t>
        </is>
      </c>
      <c r="T925" s="4" t="inlineStr">
        <is>
          <t>RAMP_501_1500</t>
        </is>
      </c>
      <c r="U925" s="4" t="inlineStr">
        <is>
          <t>CREATED</t>
        </is>
      </c>
      <c r="V925" s="4" t="inlineStr">
        <is>
          <t>idem-20260902-ios-0924</t>
        </is>
      </c>
    </row>
    <row r="926" ht="30" customHeight="1">
      <c r="A926" s="4" t="n">
        <v>925</v>
      </c>
      <c r="B926" s="4" t="inlineStr">
        <is>
          <t>MTR-IOS-0925</t>
        </is>
      </c>
      <c r="C926" s="4" t="inlineStr">
        <is>
          <t>Personal</t>
        </is>
      </c>
      <c r="D926" s="4" t="inlineStr">
        <is>
          <t>Personal</t>
        </is>
      </c>
      <c r="E926" s="4" t="inlineStr">
        <is>
          <t>Future Building</t>
        </is>
      </c>
      <c r="F926" s="4" t="inlineStr">
        <is>
          <t>Investments</t>
        </is>
      </c>
      <c r="G926" s="4" t="inlineStr">
        <is>
          <t>Investment</t>
        </is>
      </c>
      <c r="H926" s="12" t="n">
        <v>46202</v>
      </c>
      <c r="I926" s="13" t="n">
        <v>0.7032060185185185</v>
      </c>
      <c r="J926" s="14" t="n">
        <v>46202.70320601852</v>
      </c>
      <c r="K926" s="15" t="n">
        <v>1</v>
      </c>
      <c r="L926" s="4" t="inlineStr">
        <is>
          <t>INR</t>
        </is>
      </c>
      <c r="M926" s="15" t="n">
        <v>0</v>
      </c>
      <c r="N926" s="4" t="inlineStr">
        <is>
          <t>IOS Owner</t>
        </is>
      </c>
      <c r="O926" s="4" t="n"/>
      <c r="P926" s="4" t="n"/>
      <c r="Q926" s="4" t="inlineStr">
        <is>
          <t>MAESTRO-IOS-PERSONAL-FUTURE_BUILDING-0925 | Investments | 1.00</t>
        </is>
      </c>
      <c r="R926" s="4" t="inlineStr">
        <is>
          <t>iPhone</t>
        </is>
      </c>
      <c r="S926" s="4" t="inlineStr">
        <is>
          <t>B19</t>
        </is>
      </c>
      <c r="T926" s="4" t="inlineStr">
        <is>
          <t>RAMP_501_1500</t>
        </is>
      </c>
      <c r="U926" s="4" t="inlineStr">
        <is>
          <t>CREATED</t>
        </is>
      </c>
      <c r="V926" s="4" t="inlineStr">
        <is>
          <t>idem-20260902-ios-0925</t>
        </is>
      </c>
    </row>
    <row r="927" ht="30" customHeight="1">
      <c r="A927" s="4" t="n">
        <v>926</v>
      </c>
      <c r="B927" s="4" t="inlineStr">
        <is>
          <t>MTR-IOS-0926</t>
        </is>
      </c>
      <c r="C927" s="4" t="inlineStr">
        <is>
          <t>Group</t>
        </is>
      </c>
      <c r="D927" s="4" t="inlineStr">
        <is>
          <t>Shared Experience</t>
        </is>
      </c>
      <c r="E927" s="4" t="inlineStr">
        <is>
          <t>Office Outing</t>
        </is>
      </c>
      <c r="F927" s="4" t="inlineStr">
        <is>
          <t>Other</t>
        </is>
      </c>
      <c r="G927" s="4" t="inlineStr">
        <is>
          <t>Expense</t>
        </is>
      </c>
      <c r="H927" s="12" t="n">
        <v>46228</v>
      </c>
      <c r="I927" s="13" t="n">
        <v>0.4768518518518519</v>
      </c>
      <c r="J927" s="14" t="n">
        <v>46228.47685185185</v>
      </c>
      <c r="K927" s="15" t="n">
        <v>3294.48</v>
      </c>
      <c r="L927" s="4" t="inlineStr">
        <is>
          <t>INR</t>
        </is>
      </c>
      <c r="M927" s="15" t="n">
        <v>-3294.48</v>
      </c>
      <c r="N927" s="4" t="inlineStr">
        <is>
          <t>IOS Meera</t>
        </is>
      </c>
      <c r="O927" s="4" t="n">
        <v>3</v>
      </c>
      <c r="P927" s="4" t="inlineStr">
        <is>
          <t>EQUAL</t>
        </is>
      </c>
      <c r="Q927" s="4" t="inlineStr">
        <is>
          <t>MAESTRO-IOS-GROUP-OFFICE_OUTING-0926 | Other | 3294.48</t>
        </is>
      </c>
      <c r="R927" s="4" t="inlineStr">
        <is>
          <t>iPhone</t>
        </is>
      </c>
      <c r="S927" s="4" t="inlineStr">
        <is>
          <t>B19</t>
        </is>
      </c>
      <c r="T927" s="4" t="inlineStr">
        <is>
          <t>RAMP_501_1500</t>
        </is>
      </c>
      <c r="U927" s="4" t="inlineStr">
        <is>
          <t>CREATED</t>
        </is>
      </c>
      <c r="V927" s="4" t="inlineStr">
        <is>
          <t>idem-20260902-ios-0926</t>
        </is>
      </c>
    </row>
    <row r="928" ht="30" customHeight="1">
      <c r="A928" s="4" t="n">
        <v>927</v>
      </c>
      <c r="B928" s="4" t="inlineStr">
        <is>
          <t>MTR-IOS-0927</t>
        </is>
      </c>
      <c r="C928" s="4" t="inlineStr">
        <is>
          <t>Business</t>
        </is>
      </c>
      <c r="D928" s="4" t="inlineStr">
        <is>
          <t>Business</t>
        </is>
      </c>
      <c r="E928" s="4" t="inlineStr">
        <is>
          <t>Business Operations</t>
        </is>
      </c>
      <c r="F928" s="4" t="inlineStr">
        <is>
          <t>Rent</t>
        </is>
      </c>
      <c r="G928" s="4" t="inlineStr">
        <is>
          <t>Expense</t>
        </is>
      </c>
      <c r="H928" s="12" t="n">
        <v>46089</v>
      </c>
      <c r="I928" s="13" t="n">
        <v>0.2291550925925926</v>
      </c>
      <c r="J928" s="14" t="n">
        <v>46089.22915509259</v>
      </c>
      <c r="K928" s="15" t="n">
        <v>149879.42</v>
      </c>
      <c r="L928" s="4" t="inlineStr">
        <is>
          <t>INR</t>
        </is>
      </c>
      <c r="M928" s="15" t="n">
        <v>-149879.42</v>
      </c>
      <c r="N928" s="4" t="inlineStr">
        <is>
          <t>IOS Owner</t>
        </is>
      </c>
      <c r="O928" s="4" t="n"/>
      <c r="P928" s="4" t="n"/>
      <c r="Q928" s="4" t="inlineStr">
        <is>
          <t>MAESTRO-IOS-BUSINESS-BUSINESS_OPERATIONS-0927 | Rent | 149879.42</t>
        </is>
      </c>
      <c r="R928" s="4" t="inlineStr">
        <is>
          <t>iPhone</t>
        </is>
      </c>
      <c r="S928" s="4" t="inlineStr">
        <is>
          <t>B19</t>
        </is>
      </c>
      <c r="T928" s="4" t="inlineStr">
        <is>
          <t>RAMP_501_1500</t>
        </is>
      </c>
      <c r="U928" s="4" t="inlineStr">
        <is>
          <t>CREATED</t>
        </is>
      </c>
      <c r="V928" s="4" t="inlineStr">
        <is>
          <t>idem-20260902-ios-0927</t>
        </is>
      </c>
    </row>
    <row r="929" ht="30" customHeight="1">
      <c r="A929" s="4" t="n">
        <v>928</v>
      </c>
      <c r="B929" s="4" t="inlineStr">
        <is>
          <t>MTR-IOS-0928</t>
        </is>
      </c>
      <c r="C929" s="4" t="inlineStr">
        <is>
          <t>Personal</t>
        </is>
      </c>
      <c r="D929" s="4" t="inlineStr">
        <is>
          <t>Personal</t>
        </is>
      </c>
      <c r="E929" s="4" t="inlineStr">
        <is>
          <t>Future Building</t>
        </is>
      </c>
      <c r="F929" s="4" t="inlineStr">
        <is>
          <t>Education</t>
        </is>
      </c>
      <c r="G929" s="4" t="inlineStr">
        <is>
          <t>Expense</t>
        </is>
      </c>
      <c r="H929" s="12" t="n">
        <v>45959</v>
      </c>
      <c r="I929" s="13" t="n">
        <v>0.1239236111111111</v>
      </c>
      <c r="J929" s="14" t="n">
        <v>45959.12392361111</v>
      </c>
      <c r="K929" s="15" t="n">
        <v>12533.43</v>
      </c>
      <c r="L929" s="4" t="inlineStr">
        <is>
          <t>INR</t>
        </is>
      </c>
      <c r="M929" s="15" t="n">
        <v>-12533.43</v>
      </c>
      <c r="N929" s="4" t="inlineStr">
        <is>
          <t>IOS Owner</t>
        </is>
      </c>
      <c r="O929" s="4" t="n"/>
      <c r="P929" s="4" t="n"/>
      <c r="Q929" s="4" t="inlineStr">
        <is>
          <t>MAESTRO-IOS-PERSONAL-FUTURE_BUILDING-0928 | Education | 12533.43</t>
        </is>
      </c>
      <c r="R929" s="4" t="inlineStr">
        <is>
          <t>iPhone</t>
        </is>
      </c>
      <c r="S929" s="4" t="inlineStr">
        <is>
          <t>B19</t>
        </is>
      </c>
      <c r="T929" s="4" t="inlineStr">
        <is>
          <t>RAMP_501_1500</t>
        </is>
      </c>
      <c r="U929" s="4" t="inlineStr">
        <is>
          <t>CREATED</t>
        </is>
      </c>
      <c r="V929" s="4" t="inlineStr">
        <is>
          <t>idem-20260902-ios-0928</t>
        </is>
      </c>
    </row>
    <row r="930" ht="30" customHeight="1">
      <c r="A930" s="4" t="n">
        <v>929</v>
      </c>
      <c r="B930" s="4" t="inlineStr">
        <is>
          <t>MTR-IOS-0929</t>
        </is>
      </c>
      <c r="C930" s="4" t="inlineStr">
        <is>
          <t>Group</t>
        </is>
      </c>
      <c r="D930" s="4" t="inlineStr">
        <is>
          <t>Shared Experience</t>
        </is>
      </c>
      <c r="E930" s="4" t="inlineStr">
        <is>
          <t>House Party</t>
        </is>
      </c>
      <c r="F930" s="4" t="inlineStr">
        <is>
          <t>Food</t>
        </is>
      </c>
      <c r="G930" s="4" t="inlineStr">
        <is>
          <t>Expense</t>
        </is>
      </c>
      <c r="H930" s="12" t="n">
        <v>46175</v>
      </c>
      <c r="I930" s="13" t="n">
        <v>0.3333449074074074</v>
      </c>
      <c r="J930" s="14" t="n">
        <v>46175.33334490741</v>
      </c>
      <c r="K930" s="15" t="n">
        <v>14093.19</v>
      </c>
      <c r="L930" s="4" t="inlineStr">
        <is>
          <t>INR</t>
        </is>
      </c>
      <c r="M930" s="15" t="n">
        <v>-14093.19</v>
      </c>
      <c r="N930" s="4" t="inlineStr">
        <is>
          <t>IOS Owner</t>
        </is>
      </c>
      <c r="O930" s="4" t="n">
        <v>3</v>
      </c>
      <c r="P930" s="4" t="inlineStr">
        <is>
          <t>PERCENTAGE</t>
        </is>
      </c>
      <c r="Q930" s="4" t="inlineStr">
        <is>
          <t>MAESTRO-IOS-GROUP-HOUSE_PARTY-0929 | Food | 14093.19</t>
        </is>
      </c>
      <c r="R930" s="4" t="inlineStr">
        <is>
          <t>iPhone</t>
        </is>
      </c>
      <c r="S930" s="4" t="inlineStr">
        <is>
          <t>B19</t>
        </is>
      </c>
      <c r="T930" s="4" t="inlineStr">
        <is>
          <t>RAMP_501_1500</t>
        </is>
      </c>
      <c r="U930" s="4" t="inlineStr">
        <is>
          <t>CREATED</t>
        </is>
      </c>
      <c r="V930" s="4" t="inlineStr">
        <is>
          <t>idem-20260902-ios-0929</t>
        </is>
      </c>
    </row>
    <row r="931" ht="30" customHeight="1">
      <c r="A931" s="4" t="n">
        <v>930</v>
      </c>
      <c r="B931" s="4" t="inlineStr">
        <is>
          <t>MTR-IOS-0930</t>
        </is>
      </c>
      <c r="C931" s="4" t="inlineStr">
        <is>
          <t>Business</t>
        </is>
      </c>
      <c r="D931" s="4" t="inlineStr">
        <is>
          <t>Business</t>
        </is>
      </c>
      <c r="E931" s="4" t="inlineStr">
        <is>
          <t>Business Operations</t>
        </is>
      </c>
      <c r="F931" s="4" t="inlineStr">
        <is>
          <t>Marketing</t>
        </is>
      </c>
      <c r="G931" s="4" t="inlineStr">
        <is>
          <t>Expense</t>
        </is>
      </c>
      <c r="H931" s="12" t="n">
        <v>46226</v>
      </c>
      <c r="I931" s="13" t="n">
        <v>0.3006712962962963</v>
      </c>
      <c r="J931" s="14" t="n">
        <v>46226.3006712963</v>
      </c>
      <c r="K931" s="15" t="n">
        <v>96701.77</v>
      </c>
      <c r="L931" s="4" t="inlineStr">
        <is>
          <t>INR</t>
        </is>
      </c>
      <c r="M931" s="15" t="n">
        <v>-96701.77</v>
      </c>
      <c r="N931" s="4" t="inlineStr">
        <is>
          <t>IOS Owner</t>
        </is>
      </c>
      <c r="O931" s="4" t="n"/>
      <c r="P931" s="4" t="n"/>
      <c r="Q931" s="4" t="inlineStr">
        <is>
          <t>MAESTRO-IOS-BUSINESS-BUSINESS_OPERATIONS-0930 | Marketing | 96701.77</t>
        </is>
      </c>
      <c r="R931" s="4" t="inlineStr">
        <is>
          <t>iPhone</t>
        </is>
      </c>
      <c r="S931" s="4" t="inlineStr">
        <is>
          <t>B19</t>
        </is>
      </c>
      <c r="T931" s="4" t="inlineStr">
        <is>
          <t>RAMP_501_1500</t>
        </is>
      </c>
      <c r="U931" s="4" t="inlineStr">
        <is>
          <t>CREATED</t>
        </is>
      </c>
      <c r="V931" s="4" t="inlineStr">
        <is>
          <t>idem-20260902-ios-0930</t>
        </is>
      </c>
    </row>
    <row r="932" ht="30" customHeight="1">
      <c r="A932" s="4" t="n">
        <v>931</v>
      </c>
      <c r="B932" s="4" t="inlineStr">
        <is>
          <t>MTR-IOS-0931</t>
        </is>
      </c>
      <c r="C932" s="4" t="inlineStr">
        <is>
          <t>Personal</t>
        </is>
      </c>
      <c r="D932" s="4" t="inlineStr">
        <is>
          <t>Personal</t>
        </is>
      </c>
      <c r="E932" s="4" t="inlineStr">
        <is>
          <t>Future Building</t>
        </is>
      </c>
      <c r="F932" s="4" t="inlineStr">
        <is>
          <t>Goal Contribution</t>
        </is>
      </c>
      <c r="G932" s="4" t="inlineStr">
        <is>
          <t>Transfer</t>
        </is>
      </c>
      <c r="H932" s="12" t="n">
        <v>46195</v>
      </c>
      <c r="I932" s="13" t="n">
        <v>0.3106134259259259</v>
      </c>
      <c r="J932" s="14" t="n">
        <v>46195.31061342593</v>
      </c>
      <c r="K932" s="15" t="n">
        <v>4130.92</v>
      </c>
      <c r="L932" s="4" t="inlineStr">
        <is>
          <t>INR</t>
        </is>
      </c>
      <c r="M932" s="15" t="n">
        <v>0</v>
      </c>
      <c r="N932" s="4" t="inlineStr">
        <is>
          <t>IOS Owner</t>
        </is>
      </c>
      <c r="O932" s="4" t="n"/>
      <c r="P932" s="4" t="n"/>
      <c r="Q932" s="4" t="inlineStr">
        <is>
          <t>MAESTRO-IOS-PERSONAL-FUTURE_BUILDING-0931 | Goal Contribution | 4130.92</t>
        </is>
      </c>
      <c r="R932" s="4" t="inlineStr">
        <is>
          <t>iPhone</t>
        </is>
      </c>
      <c r="S932" s="4" t="inlineStr">
        <is>
          <t>B19</t>
        </is>
      </c>
      <c r="T932" s="4" t="inlineStr">
        <is>
          <t>RAMP_501_1500</t>
        </is>
      </c>
      <c r="U932" s="4" t="inlineStr">
        <is>
          <t>CREATED</t>
        </is>
      </c>
      <c r="V932" s="4" t="inlineStr">
        <is>
          <t>idem-20260902-ios-0931</t>
        </is>
      </c>
    </row>
    <row r="933" ht="30" customHeight="1">
      <c r="A933" s="4" t="n">
        <v>932</v>
      </c>
      <c r="B933" s="4" t="inlineStr">
        <is>
          <t>MTR-IOS-0932</t>
        </is>
      </c>
      <c r="C933" s="4" t="inlineStr">
        <is>
          <t>Group</t>
        </is>
      </c>
      <c r="D933" s="4" t="inlineStr">
        <is>
          <t>Shared Experience</t>
        </is>
      </c>
      <c r="E933" s="4" t="inlineStr">
        <is>
          <t>House Party</t>
        </is>
      </c>
      <c r="F933" s="4" t="inlineStr">
        <is>
          <t>Drinks</t>
        </is>
      </c>
      <c r="G933" s="4" t="inlineStr">
        <is>
          <t>Expense</t>
        </is>
      </c>
      <c r="H933" s="12" t="n">
        <v>45914</v>
      </c>
      <c r="I933" s="13" t="n">
        <v>0.4132986111111111</v>
      </c>
      <c r="J933" s="14" t="n">
        <v>45914.41329861111</v>
      </c>
      <c r="K933" s="15" t="n">
        <v>13049.89</v>
      </c>
      <c r="L933" s="4" t="inlineStr">
        <is>
          <t>INR</t>
        </is>
      </c>
      <c r="M933" s="15" t="n">
        <v>-13049.89</v>
      </c>
      <c r="N933" s="4" t="inlineStr">
        <is>
          <t>IOS Aarav</t>
        </is>
      </c>
      <c r="O933" s="4" t="n">
        <v>3</v>
      </c>
      <c r="P933" s="4" t="inlineStr">
        <is>
          <t>EXACT</t>
        </is>
      </c>
      <c r="Q933" s="4" t="inlineStr">
        <is>
          <t>MAESTRO-IOS-GROUP-HOUSE_PARTY-0932 | Drinks | 13049.89</t>
        </is>
      </c>
      <c r="R933" s="4" t="inlineStr">
        <is>
          <t>iPhone</t>
        </is>
      </c>
      <c r="S933" s="4" t="inlineStr">
        <is>
          <t>B19</t>
        </is>
      </c>
      <c r="T933" s="4" t="inlineStr">
        <is>
          <t>RAMP_501_1500</t>
        </is>
      </c>
      <c r="U933" s="4" t="inlineStr">
        <is>
          <t>CREATED</t>
        </is>
      </c>
      <c r="V933" s="4" t="inlineStr">
        <is>
          <t>idem-20260902-ios-0932</t>
        </is>
      </c>
    </row>
    <row r="934" ht="30" customHeight="1">
      <c r="A934" s="4" t="n">
        <v>933</v>
      </c>
      <c r="B934" s="4" t="inlineStr">
        <is>
          <t>MTR-IOS-0933</t>
        </is>
      </c>
      <c r="C934" s="4" t="inlineStr">
        <is>
          <t>Business</t>
        </is>
      </c>
      <c r="D934" s="4" t="inlineStr">
        <is>
          <t>Business</t>
        </is>
      </c>
      <c r="E934" s="4" t="inlineStr">
        <is>
          <t>Business Operations</t>
        </is>
      </c>
      <c r="F934" s="4" t="inlineStr">
        <is>
          <t>Legal</t>
        </is>
      </c>
      <c r="G934" s="4" t="inlineStr">
        <is>
          <t>Expense</t>
        </is>
      </c>
      <c r="H934" s="12" t="n">
        <v>45973</v>
      </c>
      <c r="I934" s="13" t="n">
        <v>0.9628935185185186</v>
      </c>
      <c r="J934" s="14" t="n">
        <v>45973.96289351852</v>
      </c>
      <c r="K934" s="15" t="n">
        <v>155120.7</v>
      </c>
      <c r="L934" s="4" t="inlineStr">
        <is>
          <t>INR</t>
        </is>
      </c>
      <c r="M934" s="15" t="n">
        <v>-155120.7</v>
      </c>
      <c r="N934" s="4" t="inlineStr">
        <is>
          <t>IOS Owner</t>
        </is>
      </c>
      <c r="O934" s="4" t="n"/>
      <c r="P934" s="4" t="n"/>
      <c r="Q934" s="4" t="inlineStr">
        <is>
          <t>MAESTRO-IOS-BUSINESS-BUSINESS_OPERATIONS-0933 | Legal | 155120.70</t>
        </is>
      </c>
      <c r="R934" s="4" t="inlineStr">
        <is>
          <t>iPhone</t>
        </is>
      </c>
      <c r="S934" s="4" t="inlineStr">
        <is>
          <t>B19</t>
        </is>
      </c>
      <c r="T934" s="4" t="inlineStr">
        <is>
          <t>RAMP_501_1500</t>
        </is>
      </c>
      <c r="U934" s="4" t="inlineStr">
        <is>
          <t>CREATED</t>
        </is>
      </c>
      <c r="V934" s="4" t="inlineStr">
        <is>
          <t>idem-20260902-ios-0933</t>
        </is>
      </c>
    </row>
    <row r="935" ht="30" customHeight="1">
      <c r="A935" s="4" t="n">
        <v>934</v>
      </c>
      <c r="B935" s="4" t="inlineStr">
        <is>
          <t>MTR-IOS-0934</t>
        </is>
      </c>
      <c r="C935" s="4" t="inlineStr">
        <is>
          <t>Personal</t>
        </is>
      </c>
      <c r="D935" s="4" t="inlineStr">
        <is>
          <t>Personal</t>
        </is>
      </c>
      <c r="E935" s="4" t="inlineStr">
        <is>
          <t>Lifestyle</t>
        </is>
      </c>
      <c r="F935" s="4" t="inlineStr">
        <is>
          <t>Dining</t>
        </is>
      </c>
      <c r="G935" s="4" t="inlineStr">
        <is>
          <t>Expense</t>
        </is>
      </c>
      <c r="H935" s="12" t="n">
        <v>45991</v>
      </c>
      <c r="I935" s="13" t="n">
        <v>0.2650578703703704</v>
      </c>
      <c r="J935" s="14" t="n">
        <v>45991.26505787037</v>
      </c>
      <c r="K935" s="15" t="n">
        <v>6384.33</v>
      </c>
      <c r="L935" s="4" t="inlineStr">
        <is>
          <t>INR</t>
        </is>
      </c>
      <c r="M935" s="15" t="n">
        <v>-6384.33</v>
      </c>
      <c r="N935" s="4" t="inlineStr">
        <is>
          <t>IOS Owner</t>
        </is>
      </c>
      <c r="O935" s="4" t="n"/>
      <c r="P935" s="4" t="n"/>
      <c r="Q935" s="4" t="inlineStr">
        <is>
          <t>MAESTRO-IOS-PERSONAL-LIFESTYLE-0934 | Dining | 6384.33</t>
        </is>
      </c>
      <c r="R935" s="4" t="inlineStr">
        <is>
          <t>iPhone</t>
        </is>
      </c>
      <c r="S935" s="4" t="inlineStr">
        <is>
          <t>B19</t>
        </is>
      </c>
      <c r="T935" s="4" t="inlineStr">
        <is>
          <t>RAMP_501_1500</t>
        </is>
      </c>
      <c r="U935" s="4" t="inlineStr">
        <is>
          <t>CREATED</t>
        </is>
      </c>
      <c r="V935" s="4" t="inlineStr">
        <is>
          <t>idem-20260902-ios-0934</t>
        </is>
      </c>
    </row>
    <row r="936" ht="30" customHeight="1">
      <c r="A936" s="4" t="n">
        <v>935</v>
      </c>
      <c r="B936" s="4" t="inlineStr">
        <is>
          <t>MTR-IOS-0935</t>
        </is>
      </c>
      <c r="C936" s="4" t="inlineStr">
        <is>
          <t>Group</t>
        </is>
      </c>
      <c r="D936" s="4" t="inlineStr">
        <is>
          <t>Shared Experience</t>
        </is>
      </c>
      <c r="E936" s="4" t="inlineStr">
        <is>
          <t>House Party</t>
        </is>
      </c>
      <c r="F936" s="4" t="inlineStr">
        <is>
          <t>Decor</t>
        </is>
      </c>
      <c r="G936" s="4" t="inlineStr">
        <is>
          <t>Expense</t>
        </is>
      </c>
      <c r="H936" s="12" t="n">
        <v>46168</v>
      </c>
      <c r="I936" s="13" t="n">
        <v>0.720925925925926</v>
      </c>
      <c r="J936" s="14" t="n">
        <v>46168.72092592593</v>
      </c>
      <c r="K936" s="15" t="n">
        <v>11636.49</v>
      </c>
      <c r="L936" s="4" t="inlineStr">
        <is>
          <t>INR</t>
        </is>
      </c>
      <c r="M936" s="15" t="n">
        <v>-11636.49</v>
      </c>
      <c r="N936" s="4" t="inlineStr">
        <is>
          <t>IOS Meera</t>
        </is>
      </c>
      <c r="O936" s="4" t="n">
        <v>3</v>
      </c>
      <c r="P936" s="4" t="inlineStr">
        <is>
          <t>SHARES</t>
        </is>
      </c>
      <c r="Q936" s="4" t="inlineStr">
        <is>
          <t>MAESTRO-IOS-GROUP-HOUSE_PARTY-0935 | Decor | 11636.49</t>
        </is>
      </c>
      <c r="R936" s="4" t="inlineStr">
        <is>
          <t>iPhone</t>
        </is>
      </c>
      <c r="S936" s="4" t="inlineStr">
        <is>
          <t>B19</t>
        </is>
      </c>
      <c r="T936" s="4" t="inlineStr">
        <is>
          <t>RAMP_501_1500</t>
        </is>
      </c>
      <c r="U936" s="4" t="inlineStr">
        <is>
          <t>CREATED</t>
        </is>
      </c>
      <c r="V936" s="4" t="inlineStr">
        <is>
          <t>idem-20260902-ios-0935</t>
        </is>
      </c>
    </row>
    <row r="937" ht="30" customHeight="1">
      <c r="A937" s="4" t="n">
        <v>936</v>
      </c>
      <c r="B937" s="4" t="inlineStr">
        <is>
          <t>MTR-IOS-0936</t>
        </is>
      </c>
      <c r="C937" s="4" t="inlineStr">
        <is>
          <t>Business</t>
        </is>
      </c>
      <c r="D937" s="4" t="inlineStr">
        <is>
          <t>Business</t>
        </is>
      </c>
      <c r="E937" s="4" t="inlineStr">
        <is>
          <t>Business Operations</t>
        </is>
      </c>
      <c r="F937" s="4" t="inlineStr">
        <is>
          <t>Accounting</t>
        </is>
      </c>
      <c r="G937" s="4" t="inlineStr">
        <is>
          <t>Expense</t>
        </is>
      </c>
      <c r="H937" s="12" t="n">
        <v>46085</v>
      </c>
      <c r="I937" s="13" t="n">
        <v>0.9071990740740741</v>
      </c>
      <c r="J937" s="14" t="n">
        <v>46085.90719907408</v>
      </c>
      <c r="K937" s="15" t="n">
        <v>98400.13</v>
      </c>
      <c r="L937" s="4" t="inlineStr">
        <is>
          <t>INR</t>
        </is>
      </c>
      <c r="M937" s="15" t="n">
        <v>-98400.13</v>
      </c>
      <c r="N937" s="4" t="inlineStr">
        <is>
          <t>IOS Owner</t>
        </is>
      </c>
      <c r="O937" s="4" t="n"/>
      <c r="P937" s="4" t="n"/>
      <c r="Q937" s="4" t="inlineStr">
        <is>
          <t>MAESTRO-IOS-BUSINESS-BUSINESS_OPERATIONS-0936 | Accounting | 98400.13</t>
        </is>
      </c>
      <c r="R937" s="4" t="inlineStr">
        <is>
          <t>iPhone</t>
        </is>
      </c>
      <c r="S937" s="4" t="inlineStr">
        <is>
          <t>B19</t>
        </is>
      </c>
      <c r="T937" s="4" t="inlineStr">
        <is>
          <t>RAMP_501_1500</t>
        </is>
      </c>
      <c r="U937" s="4" t="inlineStr">
        <is>
          <t>CREATED</t>
        </is>
      </c>
      <c r="V937" s="4" t="inlineStr">
        <is>
          <t>idem-20260902-ios-0936</t>
        </is>
      </c>
    </row>
    <row r="938" ht="30" customHeight="1">
      <c r="A938" s="4" t="n">
        <v>937</v>
      </c>
      <c r="B938" s="4" t="inlineStr">
        <is>
          <t>MTR-IOS-0937</t>
        </is>
      </c>
      <c r="C938" s="4" t="inlineStr">
        <is>
          <t>Personal</t>
        </is>
      </c>
      <c r="D938" s="4" t="inlineStr">
        <is>
          <t>Personal</t>
        </is>
      </c>
      <c r="E938" s="4" t="inlineStr">
        <is>
          <t>Lifestyle</t>
        </is>
      </c>
      <c r="F938" s="4" t="inlineStr">
        <is>
          <t>Shopping</t>
        </is>
      </c>
      <c r="G938" s="4" t="inlineStr">
        <is>
          <t>Expense</t>
        </is>
      </c>
      <c r="H938" s="12" t="n">
        <v>46143</v>
      </c>
      <c r="I938" s="13" t="n">
        <v>0.9966782407407407</v>
      </c>
      <c r="J938" s="14" t="n">
        <v>46143.99667824074</v>
      </c>
      <c r="K938" s="15" t="n">
        <v>4198.68</v>
      </c>
      <c r="L938" s="4" t="inlineStr">
        <is>
          <t>INR</t>
        </is>
      </c>
      <c r="M938" s="15" t="n">
        <v>-4198.68</v>
      </c>
      <c r="N938" s="4" t="inlineStr">
        <is>
          <t>IOS Owner</t>
        </is>
      </c>
      <c r="O938" s="4" t="n"/>
      <c r="P938" s="4" t="n"/>
      <c r="Q938" s="4" t="inlineStr">
        <is>
          <t>MAESTRO-IOS-PERSONAL-LIFESTYLE-0937 | Shopping | 4198.68</t>
        </is>
      </c>
      <c r="R938" s="4" t="inlineStr">
        <is>
          <t>iPhone</t>
        </is>
      </c>
      <c r="S938" s="4" t="inlineStr">
        <is>
          <t>B19</t>
        </is>
      </c>
      <c r="T938" s="4" t="inlineStr">
        <is>
          <t>RAMP_501_1500</t>
        </is>
      </c>
      <c r="U938" s="4" t="inlineStr">
        <is>
          <t>CREATED</t>
        </is>
      </c>
      <c r="V938" s="4" t="inlineStr">
        <is>
          <t>idem-20260902-ios-0937</t>
        </is>
      </c>
    </row>
    <row r="939" ht="30" customHeight="1">
      <c r="A939" s="4" t="n">
        <v>938</v>
      </c>
      <c r="B939" s="4" t="inlineStr">
        <is>
          <t>MTR-IOS-0938</t>
        </is>
      </c>
      <c r="C939" s="4" t="inlineStr">
        <is>
          <t>Group</t>
        </is>
      </c>
      <c r="D939" s="4" t="inlineStr">
        <is>
          <t>Shared Experience</t>
        </is>
      </c>
      <c r="E939" s="4" t="inlineStr">
        <is>
          <t>House Party</t>
        </is>
      </c>
      <c r="F939" s="4" t="inlineStr">
        <is>
          <t>Supplies</t>
        </is>
      </c>
      <c r="G939" s="4" t="inlineStr">
        <is>
          <t>Expense</t>
        </is>
      </c>
      <c r="H939" s="12" t="n">
        <v>45973</v>
      </c>
      <c r="I939" s="13" t="n">
        <v>0.9018287037037037</v>
      </c>
      <c r="J939" s="14" t="n">
        <v>45973.9018287037</v>
      </c>
      <c r="K939" s="15" t="n">
        <v>2136.52</v>
      </c>
      <c r="L939" s="4" t="inlineStr">
        <is>
          <t>INR</t>
        </is>
      </c>
      <c r="M939" s="15" t="n">
        <v>-2136.52</v>
      </c>
      <c r="N939" s="4" t="inlineStr">
        <is>
          <t>IOS Owner</t>
        </is>
      </c>
      <c r="O939" s="4" t="n">
        <v>3</v>
      </c>
      <c r="P939" s="4" t="inlineStr">
        <is>
          <t>EQUAL</t>
        </is>
      </c>
      <c r="Q939" s="4" t="inlineStr">
        <is>
          <t>MAESTRO-IOS-GROUP-HOUSE_PARTY-0938 | Supplies | 2136.52</t>
        </is>
      </c>
      <c r="R939" s="4" t="inlineStr">
        <is>
          <t>iPhone</t>
        </is>
      </c>
      <c r="S939" s="4" t="inlineStr">
        <is>
          <t>B19</t>
        </is>
      </c>
      <c r="T939" s="4" t="inlineStr">
        <is>
          <t>RAMP_501_1500</t>
        </is>
      </c>
      <c r="U939" s="4" t="inlineStr">
        <is>
          <t>CREATED</t>
        </is>
      </c>
      <c r="V939" s="4" t="inlineStr">
        <is>
          <t>idem-20260902-ios-0938</t>
        </is>
      </c>
    </row>
    <row r="940" ht="30" customHeight="1">
      <c r="A940" s="4" t="n">
        <v>939</v>
      </c>
      <c r="B940" s="4" t="inlineStr">
        <is>
          <t>MTR-IOS-0939</t>
        </is>
      </c>
      <c r="C940" s="4" t="inlineStr">
        <is>
          <t>Business</t>
        </is>
      </c>
      <c r="D940" s="4" t="inlineStr">
        <is>
          <t>Business</t>
        </is>
      </c>
      <c r="E940" s="4" t="inlineStr">
        <is>
          <t>Business Operations</t>
        </is>
      </c>
      <c r="F940" s="4" t="inlineStr">
        <is>
          <t>Equipment</t>
        </is>
      </c>
      <c r="G940" s="4" t="inlineStr">
        <is>
          <t>Expense</t>
        </is>
      </c>
      <c r="H940" s="12" t="n">
        <v>46212</v>
      </c>
      <c r="I940" s="13" t="n">
        <v>0.949224537037037</v>
      </c>
      <c r="J940" s="14" t="n">
        <v>46212.94922453703</v>
      </c>
      <c r="K940" s="15" t="n">
        <v>99359.71000000001</v>
      </c>
      <c r="L940" s="4" t="inlineStr">
        <is>
          <t>INR</t>
        </is>
      </c>
      <c r="M940" s="15" t="n">
        <v>-99359.71000000001</v>
      </c>
      <c r="N940" s="4" t="inlineStr">
        <is>
          <t>IOS Owner</t>
        </is>
      </c>
      <c r="O940" s="4" t="n"/>
      <c r="P940" s="4" t="n"/>
      <c r="Q940" s="4" t="inlineStr">
        <is>
          <t>MAESTRO-IOS-BUSINESS-BUSINESS_OPERATIONS-0939 | Equipment | 99359.71</t>
        </is>
      </c>
      <c r="R940" s="4" t="inlineStr">
        <is>
          <t>iPhone</t>
        </is>
      </c>
      <c r="S940" s="4" t="inlineStr">
        <is>
          <t>B19</t>
        </is>
      </c>
      <c r="T940" s="4" t="inlineStr">
        <is>
          <t>RAMP_501_1500</t>
        </is>
      </c>
      <c r="U940" s="4" t="inlineStr">
        <is>
          <t>CREATED</t>
        </is>
      </c>
      <c r="V940" s="4" t="inlineStr">
        <is>
          <t>idem-20260902-ios-0939</t>
        </is>
      </c>
    </row>
    <row r="941" ht="30" customHeight="1">
      <c r="A941" s="4" t="n">
        <v>940</v>
      </c>
      <c r="B941" s="4" t="inlineStr">
        <is>
          <t>MTR-IOS-0940</t>
        </is>
      </c>
      <c r="C941" s="4" t="inlineStr">
        <is>
          <t>Personal</t>
        </is>
      </c>
      <c r="D941" s="4" t="inlineStr">
        <is>
          <t>Personal</t>
        </is>
      </c>
      <c r="E941" s="4" t="inlineStr">
        <is>
          <t>Lifestyle</t>
        </is>
      </c>
      <c r="F941" s="4" t="inlineStr">
        <is>
          <t>Entertainment</t>
        </is>
      </c>
      <c r="G941" s="4" t="inlineStr">
        <is>
          <t>Expense</t>
        </is>
      </c>
      <c r="H941" s="12" t="n">
        <v>45982</v>
      </c>
      <c r="I941" s="13" t="n">
        <v>0.1822453703703704</v>
      </c>
      <c r="J941" s="14" t="n">
        <v>45982.18224537037</v>
      </c>
      <c r="K941" s="15" t="n">
        <v>4236.57</v>
      </c>
      <c r="L941" s="4" t="inlineStr">
        <is>
          <t>INR</t>
        </is>
      </c>
      <c r="M941" s="15" t="n">
        <v>-4236.57</v>
      </c>
      <c r="N941" s="4" t="inlineStr">
        <is>
          <t>IOS Owner</t>
        </is>
      </c>
      <c r="O941" s="4" t="n"/>
      <c r="P941" s="4" t="n"/>
      <c r="Q941" s="4" t="inlineStr">
        <is>
          <t>MAESTRO-IOS-PERSONAL-LIFESTYLE-0940 | Entertainment | 4236.57</t>
        </is>
      </c>
      <c r="R941" s="4" t="inlineStr">
        <is>
          <t>iPhone</t>
        </is>
      </c>
      <c r="S941" s="4" t="inlineStr">
        <is>
          <t>B19</t>
        </is>
      </c>
      <c r="T941" s="4" t="inlineStr">
        <is>
          <t>RAMP_501_1500</t>
        </is>
      </c>
      <c r="U941" s="4" t="inlineStr">
        <is>
          <t>CREATED</t>
        </is>
      </c>
      <c r="V941" s="4" t="inlineStr">
        <is>
          <t>idem-20260902-ios-0940</t>
        </is>
      </c>
    </row>
    <row r="942" ht="30" customHeight="1">
      <c r="A942" s="4" t="n">
        <v>941</v>
      </c>
      <c r="B942" s="4" t="inlineStr">
        <is>
          <t>MTR-IOS-0941</t>
        </is>
      </c>
      <c r="C942" s="4" t="inlineStr">
        <is>
          <t>Group</t>
        </is>
      </c>
      <c r="D942" s="4" t="inlineStr">
        <is>
          <t>Shared Experience</t>
        </is>
      </c>
      <c r="E942" s="4" t="inlineStr">
        <is>
          <t>House Party</t>
        </is>
      </c>
      <c r="F942" s="4" t="inlineStr">
        <is>
          <t>Other</t>
        </is>
      </c>
      <c r="G942" s="4" t="inlineStr">
        <is>
          <t>Expense</t>
        </is>
      </c>
      <c r="H942" s="12" t="n">
        <v>46078</v>
      </c>
      <c r="I942" s="13" t="n">
        <v>0.2496296296296296</v>
      </c>
      <c r="J942" s="14" t="n">
        <v>46078.24962962963</v>
      </c>
      <c r="K942" s="15" t="n">
        <v>21003.97</v>
      </c>
      <c r="L942" s="4" t="inlineStr">
        <is>
          <t>INR</t>
        </is>
      </c>
      <c r="M942" s="15" t="n">
        <v>-21003.97</v>
      </c>
      <c r="N942" s="4" t="inlineStr">
        <is>
          <t>IOS Aarav</t>
        </is>
      </c>
      <c r="O942" s="4" t="n">
        <v>3</v>
      </c>
      <c r="P942" s="4" t="inlineStr">
        <is>
          <t>PERCENTAGE</t>
        </is>
      </c>
      <c r="Q942" s="4" t="inlineStr">
        <is>
          <t>MAESTRO-IOS-GROUP-HOUSE_PARTY-0941 | Other | 21003.97</t>
        </is>
      </c>
      <c r="R942" s="4" t="inlineStr">
        <is>
          <t>iPhone</t>
        </is>
      </c>
      <c r="S942" s="4" t="inlineStr">
        <is>
          <t>B19</t>
        </is>
      </c>
      <c r="T942" s="4" t="inlineStr">
        <is>
          <t>RAMP_501_1500</t>
        </is>
      </c>
      <c r="U942" s="4" t="inlineStr">
        <is>
          <t>CREATED</t>
        </is>
      </c>
      <c r="V942" s="4" t="inlineStr">
        <is>
          <t>idem-20260902-ios-0941</t>
        </is>
      </c>
    </row>
    <row r="943" ht="30" customHeight="1">
      <c r="A943" s="4" t="n">
        <v>942</v>
      </c>
      <c r="B943" s="4" t="inlineStr">
        <is>
          <t>MTR-IOS-0942</t>
        </is>
      </c>
      <c r="C943" s="4" t="inlineStr">
        <is>
          <t>Business</t>
        </is>
      </c>
      <c r="D943" s="4" t="inlineStr">
        <is>
          <t>Business</t>
        </is>
      </c>
      <c r="E943" s="4" t="inlineStr">
        <is>
          <t>Business Operations</t>
        </is>
      </c>
      <c r="F943" s="4" t="inlineStr">
        <is>
          <t>Vendor</t>
        </is>
      </c>
      <c r="G943" s="4" t="inlineStr">
        <is>
          <t>Expense</t>
        </is>
      </c>
      <c r="H943" s="12" t="n">
        <v>45937</v>
      </c>
      <c r="I943" s="13" t="n">
        <v>0.7113773148148148</v>
      </c>
      <c r="J943" s="14" t="n">
        <v>45937.71137731482</v>
      </c>
      <c r="K943" s="15" t="n">
        <v>109583.25</v>
      </c>
      <c r="L943" s="4" t="inlineStr">
        <is>
          <t>INR</t>
        </is>
      </c>
      <c r="M943" s="15" t="n">
        <v>-109583.25</v>
      </c>
      <c r="N943" s="4" t="inlineStr">
        <is>
          <t>IOS Owner</t>
        </is>
      </c>
      <c r="O943" s="4" t="n"/>
      <c r="P943" s="4" t="n"/>
      <c r="Q943" s="4" t="inlineStr">
        <is>
          <t>MAESTRO-IOS-BUSINESS-BUSINESS_OPERATIONS-0942 | Vendor | 109583.25</t>
        </is>
      </c>
      <c r="R943" s="4" t="inlineStr">
        <is>
          <t>iPhone</t>
        </is>
      </c>
      <c r="S943" s="4" t="inlineStr">
        <is>
          <t>B19</t>
        </is>
      </c>
      <c r="T943" s="4" t="inlineStr">
        <is>
          <t>RAMP_501_1500</t>
        </is>
      </c>
      <c r="U943" s="4" t="inlineStr">
        <is>
          <t>CREATED</t>
        </is>
      </c>
      <c r="V943" s="4" t="inlineStr">
        <is>
          <t>idem-20260902-ios-0942</t>
        </is>
      </c>
    </row>
    <row r="944" ht="30" customHeight="1">
      <c r="A944" s="4" t="n">
        <v>943</v>
      </c>
      <c r="B944" s="4" t="inlineStr">
        <is>
          <t>MTR-IOS-0943</t>
        </is>
      </c>
      <c r="C944" s="4" t="inlineStr">
        <is>
          <t>Personal</t>
        </is>
      </c>
      <c r="D944" s="4" t="inlineStr">
        <is>
          <t>Personal</t>
        </is>
      </c>
      <c r="E944" s="4" t="inlineStr">
        <is>
          <t>Lifestyle</t>
        </is>
      </c>
      <c r="F944" s="4" t="inlineStr">
        <is>
          <t>Travel</t>
        </is>
      </c>
      <c r="G944" s="4" t="inlineStr">
        <is>
          <t>Expense</t>
        </is>
      </c>
      <c r="H944" s="12" t="n">
        <v>45923</v>
      </c>
      <c r="I944" s="13" t="n">
        <v>0.4542476851851852</v>
      </c>
      <c r="J944" s="14" t="n">
        <v>45923.45424768519</v>
      </c>
      <c r="K944" s="15" t="n">
        <v>15671.9</v>
      </c>
      <c r="L944" s="4" t="inlineStr">
        <is>
          <t>INR</t>
        </is>
      </c>
      <c r="M944" s="15" t="n">
        <v>-15671.9</v>
      </c>
      <c r="N944" s="4" t="inlineStr">
        <is>
          <t>IOS Owner</t>
        </is>
      </c>
      <c r="O944" s="4" t="n"/>
      <c r="P944" s="4" t="n"/>
      <c r="Q944" s="4" t="inlineStr">
        <is>
          <t>MAESTRO-IOS-PERSONAL-LIFESTYLE-0943 | Travel | 15671.90</t>
        </is>
      </c>
      <c r="R944" s="4" t="inlineStr">
        <is>
          <t>iPhone</t>
        </is>
      </c>
      <c r="S944" s="4" t="inlineStr">
        <is>
          <t>B19</t>
        </is>
      </c>
      <c r="T944" s="4" t="inlineStr">
        <is>
          <t>RAMP_501_1500</t>
        </is>
      </c>
      <c r="U944" s="4" t="inlineStr">
        <is>
          <t>CREATED</t>
        </is>
      </c>
      <c r="V944" s="4" t="inlineStr">
        <is>
          <t>idem-20260902-ios-0943</t>
        </is>
      </c>
    </row>
    <row r="945" ht="30" customHeight="1">
      <c r="A945" s="4" t="n">
        <v>944</v>
      </c>
      <c r="B945" s="4" t="inlineStr">
        <is>
          <t>MTR-IOS-0944</t>
        </is>
      </c>
      <c r="C945" s="4" t="inlineStr">
        <is>
          <t>Group</t>
        </is>
      </c>
      <c r="D945" s="4" t="inlineStr">
        <is>
          <t>Shared Purchase</t>
        </is>
      </c>
      <c r="E945" s="4" t="inlineStr">
        <is>
          <t>Gift Pool</t>
        </is>
      </c>
      <c r="F945" s="4" t="inlineStr">
        <is>
          <t>Contribution</t>
        </is>
      </c>
      <c r="G945" s="4" t="inlineStr">
        <is>
          <t>Contribution</t>
        </is>
      </c>
      <c r="H945" s="12" t="n">
        <v>45919</v>
      </c>
      <c r="I945" s="13" t="n">
        <v>0.9115046296296296</v>
      </c>
      <c r="J945" s="14" t="n">
        <v>45919.91150462963</v>
      </c>
      <c r="K945" s="15" t="n">
        <v>18907.28</v>
      </c>
      <c r="L945" s="4" t="inlineStr">
        <is>
          <t>INR</t>
        </is>
      </c>
      <c r="M945" s="15" t="n">
        <v>18907.28</v>
      </c>
      <c r="N945" s="4" t="inlineStr">
        <is>
          <t>IOS Meera</t>
        </is>
      </c>
      <c r="O945" s="4" t="n">
        <v>3</v>
      </c>
      <c r="P945" s="4" t="inlineStr">
        <is>
          <t>EXACT</t>
        </is>
      </c>
      <c r="Q945" s="4" t="inlineStr">
        <is>
          <t>MAESTRO-IOS-GROUP-GIFT_POOL-0944 | Contribution | 18907.28</t>
        </is>
      </c>
      <c r="R945" s="4" t="inlineStr">
        <is>
          <t>iPhone</t>
        </is>
      </c>
      <c r="S945" s="4" t="inlineStr">
        <is>
          <t>B19</t>
        </is>
      </c>
      <c r="T945" s="4" t="inlineStr">
        <is>
          <t>RAMP_501_1500</t>
        </is>
      </c>
      <c r="U945" s="4" t="inlineStr">
        <is>
          <t>CREATED</t>
        </is>
      </c>
      <c r="V945" s="4" t="inlineStr">
        <is>
          <t>idem-20260902-ios-0944</t>
        </is>
      </c>
    </row>
    <row r="946" ht="30" customHeight="1">
      <c r="A946" s="4" t="n">
        <v>945</v>
      </c>
      <c r="B946" s="4" t="inlineStr">
        <is>
          <t>MTR-IOS-0945</t>
        </is>
      </c>
      <c r="C946" s="4" t="inlineStr">
        <is>
          <t>Business</t>
        </is>
      </c>
      <c r="D946" s="4" t="inlineStr">
        <is>
          <t>Business</t>
        </is>
      </c>
      <c r="E946" s="4" t="inlineStr">
        <is>
          <t>Business Operations</t>
        </is>
      </c>
      <c r="F946" s="4" t="inlineStr">
        <is>
          <t>Tax</t>
        </is>
      </c>
      <c r="G946" s="4" t="inlineStr">
        <is>
          <t>Expense</t>
        </is>
      </c>
      <c r="H946" s="12" t="n">
        <v>45962</v>
      </c>
      <c r="I946" s="13" t="n">
        <v>0.5416319444444444</v>
      </c>
      <c r="J946" s="14" t="n">
        <v>45962.54163194444</v>
      </c>
      <c r="K946" s="15" t="n">
        <v>85303.78</v>
      </c>
      <c r="L946" s="4" t="inlineStr">
        <is>
          <t>INR</t>
        </is>
      </c>
      <c r="M946" s="15" t="n">
        <v>-85303.78</v>
      </c>
      <c r="N946" s="4" t="inlineStr">
        <is>
          <t>IOS Owner</t>
        </is>
      </c>
      <c r="O946" s="4" t="n"/>
      <c r="P946" s="4" t="n"/>
      <c r="Q946" s="4" t="inlineStr">
        <is>
          <t>MAESTRO-IOS-BUSINESS-BUSINESS_OPERATIONS-0945 | Tax | 85303.78</t>
        </is>
      </c>
      <c r="R946" s="4" t="inlineStr">
        <is>
          <t>iPhone</t>
        </is>
      </c>
      <c r="S946" s="4" t="inlineStr">
        <is>
          <t>B19</t>
        </is>
      </c>
      <c r="T946" s="4" t="inlineStr">
        <is>
          <t>RAMP_501_1500</t>
        </is>
      </c>
      <c r="U946" s="4" t="inlineStr">
        <is>
          <t>CREATED</t>
        </is>
      </c>
      <c r="V946" s="4" t="inlineStr">
        <is>
          <t>idem-20260902-ios-0945</t>
        </is>
      </c>
    </row>
    <row r="947" ht="30" customHeight="1">
      <c r="A947" s="4" t="n">
        <v>946</v>
      </c>
      <c r="B947" s="4" t="inlineStr">
        <is>
          <t>MTR-IOS-0946</t>
        </is>
      </c>
      <c r="C947" s="4" t="inlineStr">
        <is>
          <t>Personal</t>
        </is>
      </c>
      <c r="D947" s="4" t="inlineStr">
        <is>
          <t>Personal</t>
        </is>
      </c>
      <c r="E947" s="4" t="inlineStr">
        <is>
          <t>Lifestyle</t>
        </is>
      </c>
      <c r="F947" s="4" t="inlineStr">
        <is>
          <t>Fitness</t>
        </is>
      </c>
      <c r="G947" s="4" t="inlineStr">
        <is>
          <t>Expense</t>
        </is>
      </c>
      <c r="H947" s="12" t="n">
        <v>46204</v>
      </c>
      <c r="I947" s="13" t="n">
        <v>0.7440625</v>
      </c>
      <c r="J947" s="14" t="n">
        <v>46204.7440625</v>
      </c>
      <c r="K947" s="15" t="n">
        <v>16375.27</v>
      </c>
      <c r="L947" s="4" t="inlineStr">
        <is>
          <t>INR</t>
        </is>
      </c>
      <c r="M947" s="15" t="n">
        <v>-16375.27</v>
      </c>
      <c r="N947" s="4" t="inlineStr">
        <is>
          <t>IOS Owner</t>
        </is>
      </c>
      <c r="O947" s="4" t="n"/>
      <c r="P947" s="4" t="n"/>
      <c r="Q947" s="4" t="inlineStr">
        <is>
          <t>MAESTRO-IOS-PERSONAL-LIFESTYLE-0946 | Fitness | 16375.27</t>
        </is>
      </c>
      <c r="R947" s="4" t="inlineStr">
        <is>
          <t>iPhone</t>
        </is>
      </c>
      <c r="S947" s="4" t="inlineStr">
        <is>
          <t>B19</t>
        </is>
      </c>
      <c r="T947" s="4" t="inlineStr">
        <is>
          <t>RAMP_501_1500</t>
        </is>
      </c>
      <c r="U947" s="4" t="inlineStr">
        <is>
          <t>CREATED</t>
        </is>
      </c>
      <c r="V947" s="4" t="inlineStr">
        <is>
          <t>idem-20260902-ios-0946</t>
        </is>
      </c>
    </row>
    <row r="948" ht="30" customHeight="1">
      <c r="A948" s="4" t="n">
        <v>947</v>
      </c>
      <c r="B948" s="4" t="inlineStr">
        <is>
          <t>MTR-IOS-0947</t>
        </is>
      </c>
      <c r="C948" s="4" t="inlineStr">
        <is>
          <t>Group</t>
        </is>
      </c>
      <c r="D948" s="4" t="inlineStr">
        <is>
          <t>Shared Purchase</t>
        </is>
      </c>
      <c r="E948" s="4" t="inlineStr">
        <is>
          <t>Gift Pool</t>
        </is>
      </c>
      <c r="F948" s="4" t="inlineStr">
        <is>
          <t>Gift Purchase</t>
        </is>
      </c>
      <c r="G948" s="4" t="inlineStr">
        <is>
          <t>Expense</t>
        </is>
      </c>
      <c r="H948" s="12" t="n">
        <v>46075</v>
      </c>
      <c r="I948" s="13" t="n">
        <v>0.01604166666666667</v>
      </c>
      <c r="J948" s="14" t="n">
        <v>46075.01604166667</v>
      </c>
      <c r="K948" s="15" t="n">
        <v>11841.22</v>
      </c>
      <c r="L948" s="4" t="inlineStr">
        <is>
          <t>INR</t>
        </is>
      </c>
      <c r="M948" s="15" t="n">
        <v>-11841.22</v>
      </c>
      <c r="N948" s="4" t="inlineStr">
        <is>
          <t>IOS Owner</t>
        </is>
      </c>
      <c r="O948" s="4" t="n">
        <v>3</v>
      </c>
      <c r="P948" s="4" t="inlineStr">
        <is>
          <t>SHARES</t>
        </is>
      </c>
      <c r="Q948" s="4" t="inlineStr">
        <is>
          <t>MAESTRO-IOS-GROUP-GIFT_POOL-0947 | Gift Purchase | 11841.22</t>
        </is>
      </c>
      <c r="R948" s="4" t="inlineStr">
        <is>
          <t>iPhone</t>
        </is>
      </c>
      <c r="S948" s="4" t="inlineStr">
        <is>
          <t>B19</t>
        </is>
      </c>
      <c r="T948" s="4" t="inlineStr">
        <is>
          <t>RAMP_501_1500</t>
        </is>
      </c>
      <c r="U948" s="4" t="inlineStr">
        <is>
          <t>CREATED</t>
        </is>
      </c>
      <c r="V948" s="4" t="inlineStr">
        <is>
          <t>idem-20260902-ios-0947</t>
        </is>
      </c>
    </row>
    <row r="949" ht="30" customHeight="1">
      <c r="A949" s="4" t="n">
        <v>948</v>
      </c>
      <c r="B949" s="4" t="inlineStr">
        <is>
          <t>MTR-IOS-0948</t>
        </is>
      </c>
      <c r="C949" s="4" t="inlineStr">
        <is>
          <t>Business</t>
        </is>
      </c>
      <c r="D949" s="4" t="inlineStr">
        <is>
          <t>Business</t>
        </is>
      </c>
      <c r="E949" s="4" t="inlineStr">
        <is>
          <t>Team Operations</t>
        </is>
      </c>
      <c r="F949" s="4" t="inlineStr">
        <is>
          <t>Payroll</t>
        </is>
      </c>
      <c r="G949" s="4" t="inlineStr">
        <is>
          <t>Expense</t>
        </is>
      </c>
      <c r="H949" s="12" t="n">
        <v>46007</v>
      </c>
      <c r="I949" s="13" t="n">
        <v>0.6414930555555556</v>
      </c>
      <c r="J949" s="14" t="n">
        <v>46007.64149305555</v>
      </c>
      <c r="K949" s="15" t="n">
        <v>800.16</v>
      </c>
      <c r="L949" s="4" t="inlineStr">
        <is>
          <t>INR</t>
        </is>
      </c>
      <c r="M949" s="15" t="n">
        <v>-800.16</v>
      </c>
      <c r="N949" s="4" t="inlineStr">
        <is>
          <t>IOS Owner</t>
        </is>
      </c>
      <c r="O949" s="4" t="n"/>
      <c r="P949" s="4" t="n"/>
      <c r="Q949" s="4" t="inlineStr">
        <is>
          <t>MAESTRO-IOS-BUSINESS-TEAM_OPERATIONS-0948 | Payroll | 800.16</t>
        </is>
      </c>
      <c r="R949" s="4" t="inlineStr">
        <is>
          <t>iPhone</t>
        </is>
      </c>
      <c r="S949" s="4" t="inlineStr">
        <is>
          <t>B19</t>
        </is>
      </c>
      <c r="T949" s="4" t="inlineStr">
        <is>
          <t>RAMP_501_1500</t>
        </is>
      </c>
      <c r="U949" s="4" t="inlineStr">
        <is>
          <t>CREATED</t>
        </is>
      </c>
      <c r="V949" s="4" t="inlineStr">
        <is>
          <t>idem-20260902-ios-0948</t>
        </is>
      </c>
    </row>
    <row r="950" ht="30" customHeight="1">
      <c r="A950" s="4" t="n">
        <v>949</v>
      </c>
      <c r="B950" s="4" t="inlineStr">
        <is>
          <t>MTR-IOS-0949</t>
        </is>
      </c>
      <c r="C950" s="4" t="inlineStr">
        <is>
          <t>Personal</t>
        </is>
      </c>
      <c r="D950" s="4" t="inlineStr">
        <is>
          <t>Personal</t>
        </is>
      </c>
      <c r="E950" s="4" t="inlineStr">
        <is>
          <t>Lifestyle</t>
        </is>
      </c>
      <c r="F950" s="4" t="inlineStr">
        <is>
          <t>Hobbies</t>
        </is>
      </c>
      <c r="G950" s="4" t="inlineStr">
        <is>
          <t>Expense</t>
        </is>
      </c>
      <c r="H950" s="12" t="n">
        <v>45929</v>
      </c>
      <c r="I950" s="13" t="n">
        <v>0.3801736111111111</v>
      </c>
      <c r="J950" s="14" t="n">
        <v>45929.38017361111</v>
      </c>
      <c r="K950" s="15" t="n">
        <v>4467.72</v>
      </c>
      <c r="L950" s="4" t="inlineStr">
        <is>
          <t>INR</t>
        </is>
      </c>
      <c r="M950" s="15" t="n">
        <v>-4467.72</v>
      </c>
      <c r="N950" s="4" t="inlineStr">
        <is>
          <t>IOS Owner</t>
        </is>
      </c>
      <c r="O950" s="4" t="n"/>
      <c r="P950" s="4" t="n"/>
      <c r="Q950" s="4" t="inlineStr">
        <is>
          <t>MAESTRO-IOS-PERSONAL-LIFESTYLE-0949 | Hobbies | 4467.72</t>
        </is>
      </c>
      <c r="R950" s="4" t="inlineStr">
        <is>
          <t>iPhone</t>
        </is>
      </c>
      <c r="S950" s="4" t="inlineStr">
        <is>
          <t>B19</t>
        </is>
      </c>
      <c r="T950" s="4" t="inlineStr">
        <is>
          <t>RAMP_501_1500</t>
        </is>
      </c>
      <c r="U950" s="4" t="inlineStr">
        <is>
          <t>CREATED</t>
        </is>
      </c>
      <c r="V950" s="4" t="inlineStr">
        <is>
          <t>idem-20260902-ios-0949</t>
        </is>
      </c>
    </row>
    <row r="951" ht="30" customHeight="1">
      <c r="A951" s="4" t="n">
        <v>950</v>
      </c>
      <c r="B951" s="4" t="inlineStr">
        <is>
          <t>MTR-IOS-0950</t>
        </is>
      </c>
      <c r="C951" s="4" t="inlineStr">
        <is>
          <t>Group</t>
        </is>
      </c>
      <c r="D951" s="4" t="inlineStr">
        <is>
          <t>Shared Purchase</t>
        </is>
      </c>
      <c r="E951" s="4" t="inlineStr">
        <is>
          <t>Gift Pool</t>
        </is>
      </c>
      <c r="F951" s="4" t="inlineStr">
        <is>
          <t>Delivery</t>
        </is>
      </c>
      <c r="G951" s="4" t="inlineStr">
        <is>
          <t>Expense</t>
        </is>
      </c>
      <c r="H951" s="12" t="n">
        <v>46248</v>
      </c>
      <c r="I951" s="13" t="n">
        <v>0.5188194444444445</v>
      </c>
      <c r="J951" s="14" t="n">
        <v>46248.51881944444</v>
      </c>
      <c r="K951" s="15" t="n">
        <v>20782.52</v>
      </c>
      <c r="L951" s="4" t="inlineStr">
        <is>
          <t>INR</t>
        </is>
      </c>
      <c r="M951" s="15" t="n">
        <v>-20782.52</v>
      </c>
      <c r="N951" s="4" t="inlineStr">
        <is>
          <t>IOS Aarav</t>
        </is>
      </c>
      <c r="O951" s="4" t="n">
        <v>3</v>
      </c>
      <c r="P951" s="4" t="inlineStr">
        <is>
          <t>EQUAL</t>
        </is>
      </c>
      <c r="Q951" s="4" t="inlineStr">
        <is>
          <t>MAESTRO-IOS-GROUP-GIFT_POOL-0950 | Delivery | 20782.52</t>
        </is>
      </c>
      <c r="R951" s="4" t="inlineStr">
        <is>
          <t>iPhone</t>
        </is>
      </c>
      <c r="S951" s="4" t="inlineStr">
        <is>
          <t>B19</t>
        </is>
      </c>
      <c r="T951" s="4" t="inlineStr">
        <is>
          <t>RAMP_501_1500</t>
        </is>
      </c>
      <c r="U951" s="4" t="inlineStr">
        <is>
          <t>CREATED</t>
        </is>
      </c>
      <c r="V951" s="4" t="inlineStr">
        <is>
          <t>idem-20260902-ios-0950</t>
        </is>
      </c>
    </row>
    <row r="952" ht="30" customHeight="1">
      <c r="A952" s="4" t="n">
        <v>951</v>
      </c>
      <c r="B952" s="4" t="inlineStr">
        <is>
          <t>MTR-IOS-0951</t>
        </is>
      </c>
      <c r="C952" s="4" t="inlineStr">
        <is>
          <t>Business</t>
        </is>
      </c>
      <c r="D952" s="4" t="inlineStr">
        <is>
          <t>Business</t>
        </is>
      </c>
      <c r="E952" s="4" t="inlineStr">
        <is>
          <t>Team Operations</t>
        </is>
      </c>
      <c r="F952" s="4" t="inlineStr">
        <is>
          <t>Contractor</t>
        </is>
      </c>
      <c r="G952" s="4" t="inlineStr">
        <is>
          <t>Expense</t>
        </is>
      </c>
      <c r="H952" s="12" t="n">
        <v>45929</v>
      </c>
      <c r="I952" s="13" t="n">
        <v>0.6967824074074074</v>
      </c>
      <c r="J952" s="14" t="n">
        <v>45929.69678240741</v>
      </c>
      <c r="K952" s="15" t="n">
        <v>118678.22</v>
      </c>
      <c r="L952" s="4" t="inlineStr">
        <is>
          <t>INR</t>
        </is>
      </c>
      <c r="M952" s="15" t="n">
        <v>-118678.22</v>
      </c>
      <c r="N952" s="4" t="inlineStr">
        <is>
          <t>IOS Owner</t>
        </is>
      </c>
      <c r="O952" s="4" t="n"/>
      <c r="P952" s="4" t="n"/>
      <c r="Q952" s="4" t="inlineStr">
        <is>
          <t>MAESTRO-IOS-BUSINESS-TEAM_OPERATIONS-0951 | Contractor | 118678.22</t>
        </is>
      </c>
      <c r="R952" s="4" t="inlineStr">
        <is>
          <t>iPhone</t>
        </is>
      </c>
      <c r="S952" s="4" t="inlineStr">
        <is>
          <t>B20</t>
        </is>
      </c>
      <c r="T952" s="4" t="inlineStr">
        <is>
          <t>RAMP_501_1500</t>
        </is>
      </c>
      <c r="U952" s="4" t="inlineStr">
        <is>
          <t>CREATED</t>
        </is>
      </c>
      <c r="V952" s="4" t="inlineStr">
        <is>
          <t>idem-20260902-ios-0951</t>
        </is>
      </c>
    </row>
    <row r="953" ht="30" customHeight="1">
      <c r="A953" s="4" t="n">
        <v>952</v>
      </c>
      <c r="B953" s="4" t="inlineStr">
        <is>
          <t>MTR-IOS-0952</t>
        </is>
      </c>
      <c r="C953" s="4" t="inlineStr">
        <is>
          <t>Personal</t>
        </is>
      </c>
      <c r="D953" s="4" t="inlineStr">
        <is>
          <t>Personal</t>
        </is>
      </c>
      <c r="E953" s="4" t="inlineStr">
        <is>
          <t>Relationships</t>
        </is>
      </c>
      <c r="F953" s="4" t="inlineStr">
        <is>
          <t>Gifts</t>
        </is>
      </c>
      <c r="G953" s="4" t="inlineStr">
        <is>
          <t>Expense</t>
        </is>
      </c>
      <c r="H953" s="12" t="n">
        <v>46084</v>
      </c>
      <c r="I953" s="13" t="n">
        <v>0.1875231481481482</v>
      </c>
      <c r="J953" s="14" t="n">
        <v>46084.18752314815</v>
      </c>
      <c r="K953" s="15" t="n">
        <v>8303.780000000001</v>
      </c>
      <c r="L953" s="4" t="inlineStr">
        <is>
          <t>INR</t>
        </is>
      </c>
      <c r="M953" s="15" t="n">
        <v>-8303.780000000001</v>
      </c>
      <c r="N953" s="4" t="inlineStr">
        <is>
          <t>IOS Owner</t>
        </is>
      </c>
      <c r="O953" s="4" t="n"/>
      <c r="P953" s="4" t="n"/>
      <c r="Q953" s="4" t="inlineStr">
        <is>
          <t>MAESTRO-IOS-PERSONAL-RELATIONSHIPS-0952 | Gifts | 8303.78</t>
        </is>
      </c>
      <c r="R953" s="4" t="inlineStr">
        <is>
          <t>iPhone</t>
        </is>
      </c>
      <c r="S953" s="4" t="inlineStr">
        <is>
          <t>B20</t>
        </is>
      </c>
      <c r="T953" s="4" t="inlineStr">
        <is>
          <t>RAMP_501_1500</t>
        </is>
      </c>
      <c r="U953" s="4" t="inlineStr">
        <is>
          <t>CREATED</t>
        </is>
      </c>
      <c r="V953" s="4" t="inlineStr">
        <is>
          <t>idem-20260902-ios-0952</t>
        </is>
      </c>
    </row>
    <row r="954" ht="30" customHeight="1">
      <c r="A954" s="4" t="n">
        <v>953</v>
      </c>
      <c r="B954" s="4" t="inlineStr">
        <is>
          <t>MTR-IOS-0953</t>
        </is>
      </c>
      <c r="C954" s="4" t="inlineStr">
        <is>
          <t>Group</t>
        </is>
      </c>
      <c r="D954" s="4" t="inlineStr">
        <is>
          <t>Shared Purchase</t>
        </is>
      </c>
      <c r="E954" s="4" t="inlineStr">
        <is>
          <t>Gift Pool</t>
        </is>
      </c>
      <c r="F954" s="4" t="inlineStr">
        <is>
          <t>Other</t>
        </is>
      </c>
      <c r="G954" s="4" t="inlineStr">
        <is>
          <t>Expense</t>
        </is>
      </c>
      <c r="H954" s="12" t="n">
        <v>45923</v>
      </c>
      <c r="I954" s="13" t="n">
        <v>0.5463657407407407</v>
      </c>
      <c r="J954" s="14" t="n">
        <v>45923.54636574074</v>
      </c>
      <c r="K954" s="15" t="n">
        <v>8343.309999999999</v>
      </c>
      <c r="L954" s="4" t="inlineStr">
        <is>
          <t>INR</t>
        </is>
      </c>
      <c r="M954" s="15" t="n">
        <v>-8343.309999999999</v>
      </c>
      <c r="N954" s="4" t="inlineStr">
        <is>
          <t>IOS Meera</t>
        </is>
      </c>
      <c r="O954" s="4" t="n">
        <v>3</v>
      </c>
      <c r="P954" s="4" t="inlineStr">
        <is>
          <t>PERCENTAGE</t>
        </is>
      </c>
      <c r="Q954" s="4" t="inlineStr">
        <is>
          <t>MAESTRO-IOS-GROUP-GIFT_POOL-0953 | Other | 8343.31</t>
        </is>
      </c>
      <c r="R954" s="4" t="inlineStr">
        <is>
          <t>iPhone</t>
        </is>
      </c>
      <c r="S954" s="4" t="inlineStr">
        <is>
          <t>B20</t>
        </is>
      </c>
      <c r="T954" s="4" t="inlineStr">
        <is>
          <t>RAMP_501_1500</t>
        </is>
      </c>
      <c r="U954" s="4" t="inlineStr">
        <is>
          <t>CREATED</t>
        </is>
      </c>
      <c r="V954" s="4" t="inlineStr">
        <is>
          <t>idem-20260902-ios-0953</t>
        </is>
      </c>
    </row>
    <row r="955" ht="30" customHeight="1">
      <c r="A955" s="4" t="n">
        <v>954</v>
      </c>
      <c r="B955" s="4" t="inlineStr">
        <is>
          <t>MTR-IOS-0954</t>
        </is>
      </c>
      <c r="C955" s="4" t="inlineStr">
        <is>
          <t>Business</t>
        </is>
      </c>
      <c r="D955" s="4" t="inlineStr">
        <is>
          <t>Business</t>
        </is>
      </c>
      <c r="E955" s="4" t="inlineStr">
        <is>
          <t>Team Operations</t>
        </is>
      </c>
      <c r="F955" s="4" t="inlineStr">
        <is>
          <t>Hiring</t>
        </is>
      </c>
      <c r="G955" s="4" t="inlineStr">
        <is>
          <t>Expense</t>
        </is>
      </c>
      <c r="H955" s="12" t="n">
        <v>46038</v>
      </c>
      <c r="I955" s="13" t="n">
        <v>0.2454166666666667</v>
      </c>
      <c r="J955" s="14" t="n">
        <v>46038.24541666666</v>
      </c>
      <c r="K955" s="15" t="n">
        <v>139744.57</v>
      </c>
      <c r="L955" s="4" t="inlineStr">
        <is>
          <t>INR</t>
        </is>
      </c>
      <c r="M955" s="15" t="n">
        <v>-139744.57</v>
      </c>
      <c r="N955" s="4" t="inlineStr">
        <is>
          <t>IOS Owner</t>
        </is>
      </c>
      <c r="O955" s="4" t="n"/>
      <c r="P955" s="4" t="n"/>
      <c r="Q955" s="4" t="inlineStr">
        <is>
          <t>MAESTRO-IOS-BUSINESS-TEAM_OPERATIONS-0954 | Hiring | 139744.57</t>
        </is>
      </c>
      <c r="R955" s="4" t="inlineStr">
        <is>
          <t>iPhone</t>
        </is>
      </c>
      <c r="S955" s="4" t="inlineStr">
        <is>
          <t>B20</t>
        </is>
      </c>
      <c r="T955" s="4" t="inlineStr">
        <is>
          <t>RAMP_501_1500</t>
        </is>
      </c>
      <c r="U955" s="4" t="inlineStr">
        <is>
          <t>CREATED</t>
        </is>
      </c>
      <c r="V955" s="4" t="inlineStr">
        <is>
          <t>idem-20260902-ios-0954</t>
        </is>
      </c>
    </row>
    <row r="956" ht="30" customHeight="1">
      <c r="A956" s="4" t="n">
        <v>955</v>
      </c>
      <c r="B956" s="4" t="inlineStr">
        <is>
          <t>MTR-IOS-0955</t>
        </is>
      </c>
      <c r="C956" s="4" t="inlineStr">
        <is>
          <t>Personal</t>
        </is>
      </c>
      <c r="D956" s="4" t="inlineStr">
        <is>
          <t>Personal</t>
        </is>
      </c>
      <c r="E956" s="4" t="inlineStr">
        <is>
          <t>Relationships</t>
        </is>
      </c>
      <c r="F956" s="4" t="inlineStr">
        <is>
          <t>Dates</t>
        </is>
      </c>
      <c r="G956" s="4" t="inlineStr">
        <is>
          <t>Expense</t>
        </is>
      </c>
      <c r="H956" s="12" t="n">
        <v>46047</v>
      </c>
      <c r="I956" s="13" t="n">
        <v>0.4723032407407408</v>
      </c>
      <c r="J956" s="14" t="n">
        <v>46047.47230324074</v>
      </c>
      <c r="K956" s="15" t="n">
        <v>12344.36</v>
      </c>
      <c r="L956" s="4" t="inlineStr">
        <is>
          <t>INR</t>
        </is>
      </c>
      <c r="M956" s="15" t="n">
        <v>-12344.36</v>
      </c>
      <c r="N956" s="4" t="inlineStr">
        <is>
          <t>IOS Owner</t>
        </is>
      </c>
      <c r="O956" s="4" t="n"/>
      <c r="P956" s="4" t="n"/>
      <c r="Q956" s="4" t="inlineStr">
        <is>
          <t>MAESTRO-IOS-PERSONAL-RELATIONSHIPS-0955 | Dates | 12344.36</t>
        </is>
      </c>
      <c r="R956" s="4" t="inlineStr">
        <is>
          <t>iPhone</t>
        </is>
      </c>
      <c r="S956" s="4" t="inlineStr">
        <is>
          <t>B20</t>
        </is>
      </c>
      <c r="T956" s="4" t="inlineStr">
        <is>
          <t>RAMP_501_1500</t>
        </is>
      </c>
      <c r="U956" s="4" t="inlineStr">
        <is>
          <t>CREATED</t>
        </is>
      </c>
      <c r="V956" s="4" t="inlineStr">
        <is>
          <t>idem-20260902-ios-0955</t>
        </is>
      </c>
    </row>
    <row r="957" ht="30" customHeight="1">
      <c r="A957" s="4" t="n">
        <v>956</v>
      </c>
      <c r="B957" s="4" t="inlineStr">
        <is>
          <t>MTR-IOS-0956</t>
        </is>
      </c>
      <c r="C957" s="4" t="inlineStr">
        <is>
          <t>Group</t>
        </is>
      </c>
      <c r="D957" s="4" t="inlineStr">
        <is>
          <t>Shared Purchase</t>
        </is>
      </c>
      <c r="E957" s="4" t="inlineStr">
        <is>
          <t>Purchase</t>
        </is>
      </c>
      <c r="F957" s="4" t="inlineStr">
        <is>
          <t>Item</t>
        </is>
      </c>
      <c r="G957" s="4" t="inlineStr">
        <is>
          <t>Expense</t>
        </is>
      </c>
      <c r="H957" s="12" t="n">
        <v>46115</v>
      </c>
      <c r="I957" s="13" t="n">
        <v>0.04605324074074074</v>
      </c>
      <c r="J957" s="14" t="n">
        <v>46115.04605324074</v>
      </c>
      <c r="K957" s="15" t="n">
        <v>23073.01</v>
      </c>
      <c r="L957" s="4" t="inlineStr">
        <is>
          <t>INR</t>
        </is>
      </c>
      <c r="M957" s="15" t="n">
        <v>-23073.01</v>
      </c>
      <c r="N957" s="4" t="inlineStr">
        <is>
          <t>IOS Owner</t>
        </is>
      </c>
      <c r="O957" s="4" t="n">
        <v>3</v>
      </c>
      <c r="P957" s="4" t="inlineStr">
        <is>
          <t>EXACT</t>
        </is>
      </c>
      <c r="Q957" s="4" t="inlineStr">
        <is>
          <t>MAESTRO-IOS-GROUP-PURCHASE-0956 | Item | 23073.01</t>
        </is>
      </c>
      <c r="R957" s="4" t="inlineStr">
        <is>
          <t>iPhone</t>
        </is>
      </c>
      <c r="S957" s="4" t="inlineStr">
        <is>
          <t>B20</t>
        </is>
      </c>
      <c r="T957" s="4" t="inlineStr">
        <is>
          <t>RAMP_501_1500</t>
        </is>
      </c>
      <c r="U957" s="4" t="inlineStr">
        <is>
          <t>CREATED</t>
        </is>
      </c>
      <c r="V957" s="4" t="inlineStr">
        <is>
          <t>idem-20260902-ios-0956</t>
        </is>
      </c>
    </row>
    <row r="958" ht="30" customHeight="1">
      <c r="A958" s="4" t="n">
        <v>957</v>
      </c>
      <c r="B958" s="4" t="inlineStr">
        <is>
          <t>MTR-IOS-0957</t>
        </is>
      </c>
      <c r="C958" s="4" t="inlineStr">
        <is>
          <t>Business</t>
        </is>
      </c>
      <c r="D958" s="4" t="inlineStr">
        <is>
          <t>Business</t>
        </is>
      </c>
      <c r="E958" s="4" t="inlineStr">
        <is>
          <t>Team Operations</t>
        </is>
      </c>
      <c r="F958" s="4" t="inlineStr">
        <is>
          <t>Team Meal</t>
        </is>
      </c>
      <c r="G958" s="4" t="inlineStr">
        <is>
          <t>Expense</t>
        </is>
      </c>
      <c r="H958" s="12" t="n">
        <v>46070</v>
      </c>
      <c r="I958" s="13" t="n">
        <v>0.7944560185185185</v>
      </c>
      <c r="J958" s="14" t="n">
        <v>46070.79445601852</v>
      </c>
      <c r="K958" s="15" t="n">
        <v>80075.78999999999</v>
      </c>
      <c r="L958" s="4" t="inlineStr">
        <is>
          <t>INR</t>
        </is>
      </c>
      <c r="M958" s="15" t="n">
        <v>-80075.78999999999</v>
      </c>
      <c r="N958" s="4" t="inlineStr">
        <is>
          <t>IOS Owner</t>
        </is>
      </c>
      <c r="O958" s="4" t="n"/>
      <c r="P958" s="4" t="n"/>
      <c r="Q958" s="4" t="inlineStr">
        <is>
          <t>MAESTRO-IOS-BUSINESS-TEAM_OPERATIONS-0957 | Team Meal | 80075.79</t>
        </is>
      </c>
      <c r="R958" s="4" t="inlineStr">
        <is>
          <t>iPhone</t>
        </is>
      </c>
      <c r="S958" s="4" t="inlineStr">
        <is>
          <t>B20</t>
        </is>
      </c>
      <c r="T958" s="4" t="inlineStr">
        <is>
          <t>RAMP_501_1500</t>
        </is>
      </c>
      <c r="U958" s="4" t="inlineStr">
        <is>
          <t>CREATED</t>
        </is>
      </c>
      <c r="V958" s="4" t="inlineStr">
        <is>
          <t>idem-20260902-ios-0957</t>
        </is>
      </c>
    </row>
    <row r="959" ht="30" customHeight="1">
      <c r="A959" s="4" t="n">
        <v>958</v>
      </c>
      <c r="B959" s="4" t="inlineStr">
        <is>
          <t>MTR-IOS-0958</t>
        </is>
      </c>
      <c r="C959" s="4" t="inlineStr">
        <is>
          <t>Personal</t>
        </is>
      </c>
      <c r="D959" s="4" t="inlineStr">
        <is>
          <t>Personal</t>
        </is>
      </c>
      <c r="E959" s="4" t="inlineStr">
        <is>
          <t>Relationships</t>
        </is>
      </c>
      <c r="F959" s="4" t="inlineStr">
        <is>
          <t>Family</t>
        </is>
      </c>
      <c r="G959" s="4" t="inlineStr">
        <is>
          <t>Expense</t>
        </is>
      </c>
      <c r="H959" s="12" t="n">
        <v>46020</v>
      </c>
      <c r="I959" s="13" t="n">
        <v>0.6905324074074074</v>
      </c>
      <c r="J959" s="14" t="n">
        <v>46020.69053240741</v>
      </c>
      <c r="K959" s="15" t="n">
        <v>1258.04</v>
      </c>
      <c r="L959" s="4" t="inlineStr">
        <is>
          <t>INR</t>
        </is>
      </c>
      <c r="M959" s="15" t="n">
        <v>-1258.04</v>
      </c>
      <c r="N959" s="4" t="inlineStr">
        <is>
          <t>IOS Owner</t>
        </is>
      </c>
      <c r="O959" s="4" t="n"/>
      <c r="P959" s="4" t="n"/>
      <c r="Q959" s="4" t="inlineStr">
        <is>
          <t>MAESTRO-IOS-PERSONAL-RELATIONSHIPS-0958 | Family | 1258.04</t>
        </is>
      </c>
      <c r="R959" s="4" t="inlineStr">
        <is>
          <t>iPhone</t>
        </is>
      </c>
      <c r="S959" s="4" t="inlineStr">
        <is>
          <t>B20</t>
        </is>
      </c>
      <c r="T959" s="4" t="inlineStr">
        <is>
          <t>RAMP_501_1500</t>
        </is>
      </c>
      <c r="U959" s="4" t="inlineStr">
        <is>
          <t>CREATED</t>
        </is>
      </c>
      <c r="V959" s="4" t="inlineStr">
        <is>
          <t>idem-20260902-ios-0958</t>
        </is>
      </c>
    </row>
    <row r="960" ht="30" customHeight="1">
      <c r="A960" s="4" t="n">
        <v>959</v>
      </c>
      <c r="B960" s="4" t="inlineStr">
        <is>
          <t>MTR-IOS-0959</t>
        </is>
      </c>
      <c r="C960" s="4" t="inlineStr">
        <is>
          <t>Group</t>
        </is>
      </c>
      <c r="D960" s="4" t="inlineStr">
        <is>
          <t>Shared Purchase</t>
        </is>
      </c>
      <c r="E960" s="4" t="inlineStr">
        <is>
          <t>Purchase</t>
        </is>
      </c>
      <c r="F960" s="4" t="inlineStr">
        <is>
          <t>Shipping</t>
        </is>
      </c>
      <c r="G960" s="4" t="inlineStr">
        <is>
          <t>Expense</t>
        </is>
      </c>
      <c r="H960" s="12" t="n">
        <v>46228</v>
      </c>
      <c r="I960" s="13" t="n">
        <v>0.08644675925925926</v>
      </c>
      <c r="J960" s="14" t="n">
        <v>46228.08644675926</v>
      </c>
      <c r="K960" s="15" t="n">
        <v>9019.700000000001</v>
      </c>
      <c r="L960" s="4" t="inlineStr">
        <is>
          <t>INR</t>
        </is>
      </c>
      <c r="M960" s="15" t="n">
        <v>-9019.700000000001</v>
      </c>
      <c r="N960" s="4" t="inlineStr">
        <is>
          <t>IOS Aarav</t>
        </is>
      </c>
      <c r="O960" s="4" t="n">
        <v>3</v>
      </c>
      <c r="P960" s="4" t="inlineStr">
        <is>
          <t>SHARES</t>
        </is>
      </c>
      <c r="Q960" s="4" t="inlineStr">
        <is>
          <t>MAESTRO-IOS-GROUP-PURCHASE-0959 | Shipping | 9019.70</t>
        </is>
      </c>
      <c r="R960" s="4" t="inlineStr">
        <is>
          <t>iPhone</t>
        </is>
      </c>
      <c r="S960" s="4" t="inlineStr">
        <is>
          <t>B20</t>
        </is>
      </c>
      <c r="T960" s="4" t="inlineStr">
        <is>
          <t>RAMP_501_1500</t>
        </is>
      </c>
      <c r="U960" s="4" t="inlineStr">
        <is>
          <t>CREATED</t>
        </is>
      </c>
      <c r="V960" s="4" t="inlineStr">
        <is>
          <t>idem-20260902-ios-0959</t>
        </is>
      </c>
    </row>
    <row r="961" ht="30" customHeight="1">
      <c r="A961" s="4" t="n">
        <v>960</v>
      </c>
      <c r="B961" s="4" t="inlineStr">
        <is>
          <t>MTR-IOS-0960</t>
        </is>
      </c>
      <c r="C961" s="4" t="inlineStr">
        <is>
          <t>Business</t>
        </is>
      </c>
      <c r="D961" s="4" t="inlineStr">
        <is>
          <t>Business</t>
        </is>
      </c>
      <c r="E961" s="4" t="inlineStr">
        <is>
          <t>Team Operations</t>
        </is>
      </c>
      <c r="F961" s="4" t="inlineStr">
        <is>
          <t>Travel</t>
        </is>
      </c>
      <c r="G961" s="4" t="inlineStr">
        <is>
          <t>Expense</t>
        </is>
      </c>
      <c r="H961" s="12" t="n">
        <v>46082</v>
      </c>
      <c r="I961" s="13" t="n">
        <v>0.5309375</v>
      </c>
      <c r="J961" s="14" t="n">
        <v>46082.5309375</v>
      </c>
      <c r="K961" s="15" t="n">
        <v>16504.4</v>
      </c>
      <c r="L961" s="4" t="inlineStr">
        <is>
          <t>INR</t>
        </is>
      </c>
      <c r="M961" s="15" t="n">
        <v>-16504.4</v>
      </c>
      <c r="N961" s="4" t="inlineStr">
        <is>
          <t>IOS Owner</t>
        </is>
      </c>
      <c r="O961" s="4" t="n"/>
      <c r="P961" s="4" t="n"/>
      <c r="Q961" s="4" t="inlineStr">
        <is>
          <t>MAESTRO-IOS-BUSINESS-TEAM_OPERATIONS-0960 | Travel | 16504.40</t>
        </is>
      </c>
      <c r="R961" s="4" t="inlineStr">
        <is>
          <t>iPhone</t>
        </is>
      </c>
      <c r="S961" s="4" t="inlineStr">
        <is>
          <t>B20</t>
        </is>
      </c>
      <c r="T961" s="4" t="inlineStr">
        <is>
          <t>RAMP_501_1500</t>
        </is>
      </c>
      <c r="U961" s="4" t="inlineStr">
        <is>
          <t>CREATED</t>
        </is>
      </c>
      <c r="V961" s="4" t="inlineStr">
        <is>
          <t>idem-20260902-ios-0960</t>
        </is>
      </c>
    </row>
    <row r="962" ht="30" customHeight="1">
      <c r="A962" s="4" t="n">
        <v>961</v>
      </c>
      <c r="B962" s="4" t="inlineStr">
        <is>
          <t>MTR-IOS-0961</t>
        </is>
      </c>
      <c r="C962" s="4" t="inlineStr">
        <is>
          <t>Personal</t>
        </is>
      </c>
      <c r="D962" s="4" t="inlineStr">
        <is>
          <t>Personal</t>
        </is>
      </c>
      <c r="E962" s="4" t="inlineStr">
        <is>
          <t>Relationships</t>
        </is>
      </c>
      <c r="F962" s="4" t="inlineStr">
        <is>
          <t>Friends</t>
        </is>
      </c>
      <c r="G962" s="4" t="inlineStr">
        <is>
          <t>Expense</t>
        </is>
      </c>
      <c r="H962" s="12" t="n">
        <v>46123</v>
      </c>
      <c r="I962" s="13" t="n">
        <v>0.2618171296296296</v>
      </c>
      <c r="J962" s="14" t="n">
        <v>46123.26181712963</v>
      </c>
      <c r="K962" s="15" t="n">
        <v>11025.08</v>
      </c>
      <c r="L962" s="4" t="inlineStr">
        <is>
          <t>INR</t>
        </is>
      </c>
      <c r="M962" s="15" t="n">
        <v>-11025.08</v>
      </c>
      <c r="N962" s="4" t="inlineStr">
        <is>
          <t>IOS Owner</t>
        </is>
      </c>
      <c r="O962" s="4" t="n"/>
      <c r="P962" s="4" t="n"/>
      <c r="Q962" s="4" t="inlineStr">
        <is>
          <t>MAESTRO-IOS-PERSONAL-RELATIONSHIPS-0961 | Friends | 11025.08</t>
        </is>
      </c>
      <c r="R962" s="4" t="inlineStr">
        <is>
          <t>iPhone</t>
        </is>
      </c>
      <c r="S962" s="4" t="inlineStr">
        <is>
          <t>B20</t>
        </is>
      </c>
      <c r="T962" s="4" t="inlineStr">
        <is>
          <t>RAMP_501_1500</t>
        </is>
      </c>
      <c r="U962" s="4" t="inlineStr">
        <is>
          <t>CREATED</t>
        </is>
      </c>
      <c r="V962" s="4" t="inlineStr">
        <is>
          <t>idem-20260902-ios-0961</t>
        </is>
      </c>
    </row>
    <row r="963" ht="30" customHeight="1">
      <c r="A963" s="4" t="n">
        <v>962</v>
      </c>
      <c r="B963" s="4" t="inlineStr">
        <is>
          <t>MTR-IOS-0962</t>
        </is>
      </c>
      <c r="C963" s="4" t="inlineStr">
        <is>
          <t>Group</t>
        </is>
      </c>
      <c r="D963" s="4" t="inlineStr">
        <is>
          <t>Shared Purchase</t>
        </is>
      </c>
      <c r="E963" s="4" t="inlineStr">
        <is>
          <t>Purchase</t>
        </is>
      </c>
      <c r="F963" s="4" t="inlineStr">
        <is>
          <t>Tax</t>
        </is>
      </c>
      <c r="G963" s="4" t="inlineStr">
        <is>
          <t>Expense</t>
        </is>
      </c>
      <c r="H963" s="12" t="n">
        <v>46099</v>
      </c>
      <c r="I963" s="13" t="n">
        <v>0.2340162037037037</v>
      </c>
      <c r="J963" s="14" t="n">
        <v>46099.23401620371</v>
      </c>
      <c r="K963" s="15" t="n">
        <v>99.98999999999999</v>
      </c>
      <c r="L963" s="4" t="inlineStr">
        <is>
          <t>INR</t>
        </is>
      </c>
      <c r="M963" s="15" t="n">
        <v>-99.98999999999999</v>
      </c>
      <c r="N963" s="4" t="inlineStr">
        <is>
          <t>IOS Meera</t>
        </is>
      </c>
      <c r="O963" s="4" t="n">
        <v>3</v>
      </c>
      <c r="P963" s="4" t="inlineStr">
        <is>
          <t>EQUAL</t>
        </is>
      </c>
      <c r="Q963" s="4" t="inlineStr">
        <is>
          <t>MAESTRO-IOS-GROUP-PURCHASE-0962 | Tax | 99.99</t>
        </is>
      </c>
      <c r="R963" s="4" t="inlineStr">
        <is>
          <t>iPhone</t>
        </is>
      </c>
      <c r="S963" s="4" t="inlineStr">
        <is>
          <t>B20</t>
        </is>
      </c>
      <c r="T963" s="4" t="inlineStr">
        <is>
          <t>RAMP_501_1500</t>
        </is>
      </c>
      <c r="U963" s="4" t="inlineStr">
        <is>
          <t>CREATED</t>
        </is>
      </c>
      <c r="V963" s="4" t="inlineStr">
        <is>
          <t>idem-20260902-ios-0962</t>
        </is>
      </c>
    </row>
    <row r="964" ht="30" customHeight="1">
      <c r="A964" s="4" t="n">
        <v>963</v>
      </c>
      <c r="B964" s="4" t="inlineStr">
        <is>
          <t>MTR-IOS-0963</t>
        </is>
      </c>
      <c r="C964" s="4" t="inlineStr">
        <is>
          <t>Business</t>
        </is>
      </c>
      <c r="D964" s="4" t="inlineStr">
        <is>
          <t>Business</t>
        </is>
      </c>
      <c r="E964" s="4" t="inlineStr">
        <is>
          <t>Team Operations</t>
        </is>
      </c>
      <c r="F964" s="4" t="inlineStr">
        <is>
          <t>Training</t>
        </is>
      </c>
      <c r="G964" s="4" t="inlineStr">
        <is>
          <t>Expense</t>
        </is>
      </c>
      <c r="H964" s="12" t="n">
        <v>46239</v>
      </c>
      <c r="I964" s="13" t="n">
        <v>0.1927314814814815</v>
      </c>
      <c r="J964" s="14" t="n">
        <v>46239.19273148148</v>
      </c>
      <c r="K964" s="15" t="n">
        <v>126530.08</v>
      </c>
      <c r="L964" s="4" t="inlineStr">
        <is>
          <t>INR</t>
        </is>
      </c>
      <c r="M964" s="15" t="n">
        <v>-126530.08</v>
      </c>
      <c r="N964" s="4" t="inlineStr">
        <is>
          <t>IOS Owner</t>
        </is>
      </c>
      <c r="O964" s="4" t="n"/>
      <c r="P964" s="4" t="n"/>
      <c r="Q964" s="4" t="inlineStr">
        <is>
          <t>MAESTRO-IOS-BUSINESS-TEAM_OPERATIONS-0963 | Training | 126530.08</t>
        </is>
      </c>
      <c r="R964" s="4" t="inlineStr">
        <is>
          <t>iPhone</t>
        </is>
      </c>
      <c r="S964" s="4" t="inlineStr">
        <is>
          <t>B20</t>
        </is>
      </c>
      <c r="T964" s="4" t="inlineStr">
        <is>
          <t>RAMP_501_1500</t>
        </is>
      </c>
      <c r="U964" s="4" t="inlineStr">
        <is>
          <t>CREATED</t>
        </is>
      </c>
      <c r="V964" s="4" t="inlineStr">
        <is>
          <t>idem-20260902-ios-0963</t>
        </is>
      </c>
    </row>
    <row r="965" ht="30" customHeight="1">
      <c r="A965" s="4" t="n">
        <v>964</v>
      </c>
      <c r="B965" s="4" t="inlineStr">
        <is>
          <t>MTR-IOS-0964</t>
        </is>
      </c>
      <c r="C965" s="4" t="inlineStr">
        <is>
          <t>Personal</t>
        </is>
      </c>
      <c r="D965" s="4" t="inlineStr">
        <is>
          <t>Personal</t>
        </is>
      </c>
      <c r="E965" s="4" t="inlineStr">
        <is>
          <t>Relationships</t>
        </is>
      </c>
      <c r="F965" s="4" t="inlineStr">
        <is>
          <t>Celebrations</t>
        </is>
      </c>
      <c r="G965" s="4" t="inlineStr">
        <is>
          <t>Expense</t>
        </is>
      </c>
      <c r="H965" s="12" t="n">
        <v>45912</v>
      </c>
      <c r="I965" s="13" t="n">
        <v>0.7865972222222222</v>
      </c>
      <c r="J965" s="14" t="n">
        <v>45912.78659722222</v>
      </c>
      <c r="K965" s="15" t="n">
        <v>13063</v>
      </c>
      <c r="L965" s="4" t="inlineStr">
        <is>
          <t>INR</t>
        </is>
      </c>
      <c r="M965" s="15" t="n">
        <v>-13063</v>
      </c>
      <c r="N965" s="4" t="inlineStr">
        <is>
          <t>IOS Owner</t>
        </is>
      </c>
      <c r="O965" s="4" t="n"/>
      <c r="P965" s="4" t="n"/>
      <c r="Q965" s="4" t="inlineStr">
        <is>
          <t>MAESTRO-IOS-PERSONAL-RELATIONSHIPS-0964 | Celebrations | 13063.00</t>
        </is>
      </c>
      <c r="R965" s="4" t="inlineStr">
        <is>
          <t>iPhone</t>
        </is>
      </c>
      <c r="S965" s="4" t="inlineStr">
        <is>
          <t>B20</t>
        </is>
      </c>
      <c r="T965" s="4" t="inlineStr">
        <is>
          <t>RAMP_501_1500</t>
        </is>
      </c>
      <c r="U965" s="4" t="inlineStr">
        <is>
          <t>CREATED</t>
        </is>
      </c>
      <c r="V965" s="4" t="inlineStr">
        <is>
          <t>idem-20260902-ios-0964</t>
        </is>
      </c>
    </row>
    <row r="966" ht="30" customHeight="1">
      <c r="A966" s="4" t="n">
        <v>965</v>
      </c>
      <c r="B966" s="4" t="inlineStr">
        <is>
          <t>MTR-IOS-0965</t>
        </is>
      </c>
      <c r="C966" s="4" t="inlineStr">
        <is>
          <t>Group</t>
        </is>
      </c>
      <c r="D966" s="4" t="inlineStr">
        <is>
          <t>Shared Purchase</t>
        </is>
      </c>
      <c r="E966" s="4" t="inlineStr">
        <is>
          <t>Purchase</t>
        </is>
      </c>
      <c r="F966" s="4" t="inlineStr">
        <is>
          <t>Other</t>
        </is>
      </c>
      <c r="G966" s="4" t="inlineStr">
        <is>
          <t>Expense</t>
        </is>
      </c>
      <c r="H966" s="12" t="n">
        <v>46185</v>
      </c>
      <c r="I966" s="13" t="n">
        <v>0.4175925925925926</v>
      </c>
      <c r="J966" s="14" t="n">
        <v>46185.4175925926</v>
      </c>
      <c r="K966" s="15" t="n">
        <v>17357.36</v>
      </c>
      <c r="L966" s="4" t="inlineStr">
        <is>
          <t>INR</t>
        </is>
      </c>
      <c r="M966" s="15" t="n">
        <v>-17357.36</v>
      </c>
      <c r="N966" s="4" t="inlineStr">
        <is>
          <t>IOS Owner</t>
        </is>
      </c>
      <c r="O966" s="4" t="n">
        <v>3</v>
      </c>
      <c r="P966" s="4" t="inlineStr">
        <is>
          <t>PERCENTAGE</t>
        </is>
      </c>
      <c r="Q966" s="4" t="inlineStr">
        <is>
          <t>MAESTRO-IOS-GROUP-PURCHASE-0965 | Other | 17357.36</t>
        </is>
      </c>
      <c r="R966" s="4" t="inlineStr">
        <is>
          <t>iPhone</t>
        </is>
      </c>
      <c r="S966" s="4" t="inlineStr">
        <is>
          <t>B20</t>
        </is>
      </c>
      <c r="T966" s="4" t="inlineStr">
        <is>
          <t>RAMP_501_1500</t>
        </is>
      </c>
      <c r="U966" s="4" t="inlineStr">
        <is>
          <t>CREATED</t>
        </is>
      </c>
      <c r="V966" s="4" t="inlineStr">
        <is>
          <t>idem-20260902-ios-0965</t>
        </is>
      </c>
    </row>
    <row r="967" ht="30" customHeight="1">
      <c r="A967" s="4" t="n">
        <v>966</v>
      </c>
      <c r="B967" s="4" t="inlineStr">
        <is>
          <t>MTR-IOS-0966</t>
        </is>
      </c>
      <c r="C967" s="4" t="inlineStr">
        <is>
          <t>Business</t>
        </is>
      </c>
      <c r="D967" s="4" t="inlineStr">
        <is>
          <t>Business</t>
        </is>
      </c>
      <c r="E967" s="4" t="inlineStr">
        <is>
          <t>Team Operations</t>
        </is>
      </c>
      <c r="F967" s="4" t="inlineStr">
        <is>
          <t>Tools</t>
        </is>
      </c>
      <c r="G967" s="4" t="inlineStr">
        <is>
          <t>Expense</t>
        </is>
      </c>
      <c r="H967" s="12" t="n">
        <v>46077</v>
      </c>
      <c r="I967" s="13" t="n">
        <v>0.817337962962963</v>
      </c>
      <c r="J967" s="14" t="n">
        <v>46077.81733796297</v>
      </c>
      <c r="K967" s="15" t="n">
        <v>19595.55</v>
      </c>
      <c r="L967" s="4" t="inlineStr">
        <is>
          <t>INR</t>
        </is>
      </c>
      <c r="M967" s="15" t="n">
        <v>-19595.55</v>
      </c>
      <c r="N967" s="4" t="inlineStr">
        <is>
          <t>IOS Owner</t>
        </is>
      </c>
      <c r="O967" s="4" t="n"/>
      <c r="P967" s="4" t="n"/>
      <c r="Q967" s="4" t="inlineStr">
        <is>
          <t>MAESTRO-IOS-BUSINESS-TEAM_OPERATIONS-0966 | Tools | 19595.55</t>
        </is>
      </c>
      <c r="R967" s="4" t="inlineStr">
        <is>
          <t>iPhone</t>
        </is>
      </c>
      <c r="S967" s="4" t="inlineStr">
        <is>
          <t>B20</t>
        </is>
      </c>
      <c r="T967" s="4" t="inlineStr">
        <is>
          <t>RAMP_501_1500</t>
        </is>
      </c>
      <c r="U967" s="4" t="inlineStr">
        <is>
          <t>CREATED</t>
        </is>
      </c>
      <c r="V967" s="4" t="inlineStr">
        <is>
          <t>idem-20260902-ios-0966</t>
        </is>
      </c>
    </row>
    <row r="968" ht="30" customHeight="1">
      <c r="A968" s="4" t="n">
        <v>967</v>
      </c>
      <c r="B968" s="4" t="inlineStr">
        <is>
          <t>MTR-IOS-0967</t>
        </is>
      </c>
      <c r="C968" s="4" t="inlineStr">
        <is>
          <t>Personal</t>
        </is>
      </c>
      <c r="D968" s="4" t="inlineStr">
        <is>
          <t>Personal</t>
        </is>
      </c>
      <c r="E968" s="4" t="inlineStr">
        <is>
          <t>Life Operations</t>
        </is>
      </c>
      <c r="F968" s="4" t="inlineStr">
        <is>
          <t>Groceries</t>
        </is>
      </c>
      <c r="G968" s="4" t="inlineStr">
        <is>
          <t>Expense</t>
        </is>
      </c>
      <c r="H968" s="12" t="n">
        <v>46075</v>
      </c>
      <c r="I968" s="13" t="n">
        <v>0.9148495370370371</v>
      </c>
      <c r="J968" s="14" t="n">
        <v>46075.91484953704</v>
      </c>
      <c r="K968" s="15" t="n">
        <v>11746.29</v>
      </c>
      <c r="L968" s="4" t="inlineStr">
        <is>
          <t>INR</t>
        </is>
      </c>
      <c r="M968" s="15" t="n">
        <v>-11746.29</v>
      </c>
      <c r="N968" s="4" t="inlineStr">
        <is>
          <t>IOS Owner</t>
        </is>
      </c>
      <c r="O968" s="4" t="n"/>
      <c r="P968" s="4" t="n"/>
      <c r="Q968" s="4" t="inlineStr">
        <is>
          <t>MAESTRO-IOS-PERSONAL-LIFE_OPERATIONS-0967 | Groceries | 11746.29</t>
        </is>
      </c>
      <c r="R968" s="4" t="inlineStr">
        <is>
          <t>iPhone</t>
        </is>
      </c>
      <c r="S968" s="4" t="inlineStr">
        <is>
          <t>B20</t>
        </is>
      </c>
      <c r="T968" s="4" t="inlineStr">
        <is>
          <t>RAMP_501_1500</t>
        </is>
      </c>
      <c r="U968" s="4" t="inlineStr">
        <is>
          <t>CREATED</t>
        </is>
      </c>
      <c r="V968" s="4" t="inlineStr">
        <is>
          <t>idem-20260902-ios-0967</t>
        </is>
      </c>
    </row>
    <row r="969" ht="30" customHeight="1">
      <c r="A969" s="4" t="n">
        <v>968</v>
      </c>
      <c r="B969" s="4" t="inlineStr">
        <is>
          <t>MTR-IOS-0968</t>
        </is>
      </c>
      <c r="C969" s="4" t="inlineStr">
        <is>
          <t>Group</t>
        </is>
      </c>
      <c r="D969" s="4" t="inlineStr">
        <is>
          <t>Shared Purchase</t>
        </is>
      </c>
      <c r="E969" s="4" t="inlineStr">
        <is>
          <t>Assets</t>
        </is>
      </c>
      <c r="F969" s="4" t="inlineStr">
        <is>
          <t>Purchase</t>
        </is>
      </c>
      <c r="G969" s="4" t="inlineStr">
        <is>
          <t>Expense</t>
        </is>
      </c>
      <c r="H969" s="12" t="n">
        <v>46074</v>
      </c>
      <c r="I969" s="13" t="n">
        <v>0.256087962962963</v>
      </c>
      <c r="J969" s="14" t="n">
        <v>46074.25608796296</v>
      </c>
      <c r="K969" s="15" t="n">
        <v>8019.57</v>
      </c>
      <c r="L969" s="4" t="inlineStr">
        <is>
          <t>INR</t>
        </is>
      </c>
      <c r="M969" s="15" t="n">
        <v>-8019.57</v>
      </c>
      <c r="N969" s="4" t="inlineStr">
        <is>
          <t>IOS Aarav</t>
        </is>
      </c>
      <c r="O969" s="4" t="n">
        <v>3</v>
      </c>
      <c r="P969" s="4" t="inlineStr">
        <is>
          <t>EXACT</t>
        </is>
      </c>
      <c r="Q969" s="4" t="inlineStr">
        <is>
          <t>MAESTRO-IOS-GROUP-ASSETS-0968 | Purchase | 8019.57</t>
        </is>
      </c>
      <c r="R969" s="4" t="inlineStr">
        <is>
          <t>iPhone</t>
        </is>
      </c>
      <c r="S969" s="4" t="inlineStr">
        <is>
          <t>B20</t>
        </is>
      </c>
      <c r="T969" s="4" t="inlineStr">
        <is>
          <t>RAMP_501_1500</t>
        </is>
      </c>
      <c r="U969" s="4" t="inlineStr">
        <is>
          <t>CREATED</t>
        </is>
      </c>
      <c r="V969" s="4" t="inlineStr">
        <is>
          <t>idem-20260902-ios-0968</t>
        </is>
      </c>
    </row>
    <row r="970" ht="30" customHeight="1">
      <c r="A970" s="4" t="n">
        <v>969</v>
      </c>
      <c r="B970" s="4" t="inlineStr">
        <is>
          <t>MTR-IOS-0969</t>
        </is>
      </c>
      <c r="C970" s="4" t="inlineStr">
        <is>
          <t>Business</t>
        </is>
      </c>
      <c r="D970" s="4" t="inlineStr">
        <is>
          <t>Business</t>
        </is>
      </c>
      <c r="E970" s="4" t="inlineStr">
        <is>
          <t>Business Runway</t>
        </is>
      </c>
      <c r="F970" s="4" t="inlineStr">
        <is>
          <t>Funding</t>
        </is>
      </c>
      <c r="G970" s="4" t="inlineStr">
        <is>
          <t>Income</t>
        </is>
      </c>
      <c r="H970" s="12" t="n">
        <v>46155</v>
      </c>
      <c r="I970" s="13" t="n">
        <v>0.6669212962962963</v>
      </c>
      <c r="J970" s="14" t="n">
        <v>46155.6669212963</v>
      </c>
      <c r="K970" s="15" t="n">
        <v>151654.18</v>
      </c>
      <c r="L970" s="4" t="inlineStr">
        <is>
          <t>INR</t>
        </is>
      </c>
      <c r="M970" s="15" t="n">
        <v>151654.18</v>
      </c>
      <c r="N970" s="4" t="inlineStr">
        <is>
          <t>IOS Owner</t>
        </is>
      </c>
      <c r="O970" s="4" t="n"/>
      <c r="P970" s="4" t="n"/>
      <c r="Q970" s="4" t="inlineStr">
        <is>
          <t>MAESTRO-IOS-BUSINESS-BUSINESS_RUNWAY-0969 | Funding | 151654.18</t>
        </is>
      </c>
      <c r="R970" s="4" t="inlineStr">
        <is>
          <t>iPhone</t>
        </is>
      </c>
      <c r="S970" s="4" t="inlineStr">
        <is>
          <t>B20</t>
        </is>
      </c>
      <c r="T970" s="4" t="inlineStr">
        <is>
          <t>RAMP_501_1500</t>
        </is>
      </c>
      <c r="U970" s="4" t="inlineStr">
        <is>
          <t>CREATED</t>
        </is>
      </c>
      <c r="V970" s="4" t="inlineStr">
        <is>
          <t>idem-20260902-ios-0969</t>
        </is>
      </c>
    </row>
    <row r="971" ht="30" customHeight="1">
      <c r="A971" s="4" t="n">
        <v>970</v>
      </c>
      <c r="B971" s="4" t="inlineStr">
        <is>
          <t>MTR-IOS-0970</t>
        </is>
      </c>
      <c r="C971" s="4" t="inlineStr">
        <is>
          <t>Personal</t>
        </is>
      </c>
      <c r="D971" s="4" t="inlineStr">
        <is>
          <t>Personal</t>
        </is>
      </c>
      <c r="E971" s="4" t="inlineStr">
        <is>
          <t>Life Operations</t>
        </is>
      </c>
      <c r="F971" s="4" t="inlineStr">
        <is>
          <t>Rent</t>
        </is>
      </c>
      <c r="G971" s="4" t="inlineStr">
        <is>
          <t>Expense</t>
        </is>
      </c>
      <c r="H971" s="12" t="n">
        <v>46133</v>
      </c>
      <c r="I971" s="13" t="n">
        <v>0.9637152777777778</v>
      </c>
      <c r="J971" s="14" t="n">
        <v>46133.96371527778</v>
      </c>
      <c r="K971" s="15" t="n">
        <v>3536.71</v>
      </c>
      <c r="L971" s="4" t="inlineStr">
        <is>
          <t>INR</t>
        </is>
      </c>
      <c r="M971" s="15" t="n">
        <v>-3536.71</v>
      </c>
      <c r="N971" s="4" t="inlineStr">
        <is>
          <t>IOS Owner</t>
        </is>
      </c>
      <c r="O971" s="4" t="n"/>
      <c r="P971" s="4" t="n"/>
      <c r="Q971" s="4" t="inlineStr">
        <is>
          <t>MAESTRO-IOS-PERSONAL-LIFE_OPERATIONS-0970 | Rent | 3536.71</t>
        </is>
      </c>
      <c r="R971" s="4" t="inlineStr">
        <is>
          <t>iPhone</t>
        </is>
      </c>
      <c r="S971" s="4" t="inlineStr">
        <is>
          <t>B20</t>
        </is>
      </c>
      <c r="T971" s="4" t="inlineStr">
        <is>
          <t>RAMP_501_1500</t>
        </is>
      </c>
      <c r="U971" s="4" t="inlineStr">
        <is>
          <t>CREATED</t>
        </is>
      </c>
      <c r="V971" s="4" t="inlineStr">
        <is>
          <t>idem-20260902-ios-0970</t>
        </is>
      </c>
    </row>
    <row r="972" ht="30" customHeight="1">
      <c r="A972" s="4" t="n">
        <v>971</v>
      </c>
      <c r="B972" s="4" t="inlineStr">
        <is>
          <t>MTR-IOS-0971</t>
        </is>
      </c>
      <c r="C972" s="4" t="inlineStr">
        <is>
          <t>Group</t>
        </is>
      </c>
      <c r="D972" s="4" t="inlineStr">
        <is>
          <t>Shared Purchase</t>
        </is>
      </c>
      <c r="E972" s="4" t="inlineStr">
        <is>
          <t>Assets</t>
        </is>
      </c>
      <c r="F972" s="4" t="inlineStr">
        <is>
          <t>Maintenance</t>
        </is>
      </c>
      <c r="G972" s="4" t="inlineStr">
        <is>
          <t>Expense</t>
        </is>
      </c>
      <c r="H972" s="12" t="n">
        <v>46134</v>
      </c>
      <c r="I972" s="13" t="n">
        <v>0.8864699074074074</v>
      </c>
      <c r="J972" s="14" t="n">
        <v>46134.8864699074</v>
      </c>
      <c r="K972" s="15" t="n">
        <v>14058.4</v>
      </c>
      <c r="L972" s="4" t="inlineStr">
        <is>
          <t>INR</t>
        </is>
      </c>
      <c r="M972" s="15" t="n">
        <v>-14058.4</v>
      </c>
      <c r="N972" s="4" t="inlineStr">
        <is>
          <t>IOS Meera</t>
        </is>
      </c>
      <c r="O972" s="4" t="n">
        <v>3</v>
      </c>
      <c r="P972" s="4" t="inlineStr">
        <is>
          <t>SHARES</t>
        </is>
      </c>
      <c r="Q972" s="4" t="inlineStr">
        <is>
          <t>MAESTRO-IOS-GROUP-ASSETS-0971 | Maintenance | 14058.40</t>
        </is>
      </c>
      <c r="R972" s="4" t="inlineStr">
        <is>
          <t>iPhone</t>
        </is>
      </c>
      <c r="S972" s="4" t="inlineStr">
        <is>
          <t>B20</t>
        </is>
      </c>
      <c r="T972" s="4" t="inlineStr">
        <is>
          <t>RAMP_501_1500</t>
        </is>
      </c>
      <c r="U972" s="4" t="inlineStr">
        <is>
          <t>CREATED</t>
        </is>
      </c>
      <c r="V972" s="4" t="inlineStr">
        <is>
          <t>idem-20260902-ios-0971</t>
        </is>
      </c>
    </row>
    <row r="973" ht="30" customHeight="1">
      <c r="A973" s="4" t="n">
        <v>972</v>
      </c>
      <c r="B973" s="4" t="inlineStr">
        <is>
          <t>MTR-IOS-0972</t>
        </is>
      </c>
      <c r="C973" s="4" t="inlineStr">
        <is>
          <t>Business</t>
        </is>
      </c>
      <c r="D973" s="4" t="inlineStr">
        <is>
          <t>Business</t>
        </is>
      </c>
      <c r="E973" s="4" t="inlineStr">
        <is>
          <t>Business Runway</t>
        </is>
      </c>
      <c r="F973" s="4" t="inlineStr">
        <is>
          <t>Revenue</t>
        </is>
      </c>
      <c r="G973" s="4" t="inlineStr">
        <is>
          <t>Income</t>
        </is>
      </c>
      <c r="H973" s="12" t="n">
        <v>46266</v>
      </c>
      <c r="I973" s="13" t="n">
        <v>0.7055324074074074</v>
      </c>
      <c r="J973" s="14" t="n">
        <v>46266.70553240741</v>
      </c>
      <c r="K973" s="15" t="n">
        <v>33825.7</v>
      </c>
      <c r="L973" s="4" t="inlineStr">
        <is>
          <t>INR</t>
        </is>
      </c>
      <c r="M973" s="15" t="n">
        <v>33825.7</v>
      </c>
      <c r="N973" s="4" t="inlineStr">
        <is>
          <t>IOS Owner</t>
        </is>
      </c>
      <c r="O973" s="4" t="n"/>
      <c r="P973" s="4" t="n"/>
      <c r="Q973" s="4" t="inlineStr">
        <is>
          <t>MAESTRO-IOS-BUSINESS-BUSINESS_RUNWAY-0972 | Revenue | 33825.70</t>
        </is>
      </c>
      <c r="R973" s="4" t="inlineStr">
        <is>
          <t>iPhone</t>
        </is>
      </c>
      <c r="S973" s="4" t="inlineStr">
        <is>
          <t>B20</t>
        </is>
      </c>
      <c r="T973" s="4" t="inlineStr">
        <is>
          <t>RAMP_501_1500</t>
        </is>
      </c>
      <c r="U973" s="4" t="inlineStr">
        <is>
          <t>CREATED</t>
        </is>
      </c>
      <c r="V973" s="4" t="inlineStr">
        <is>
          <t>idem-20260902-ios-0972</t>
        </is>
      </c>
    </row>
    <row r="974" ht="30" customHeight="1">
      <c r="A974" s="4" t="n">
        <v>973</v>
      </c>
      <c r="B974" s="4" t="inlineStr">
        <is>
          <t>MTR-IOS-0973</t>
        </is>
      </c>
      <c r="C974" s="4" t="inlineStr">
        <is>
          <t>Personal</t>
        </is>
      </c>
      <c r="D974" s="4" t="inlineStr">
        <is>
          <t>Personal</t>
        </is>
      </c>
      <c r="E974" s="4" t="inlineStr">
        <is>
          <t>Life Operations</t>
        </is>
      </c>
      <c r="F974" s="4" t="inlineStr">
        <is>
          <t>Bills</t>
        </is>
      </c>
      <c r="G974" s="4" t="inlineStr">
        <is>
          <t>Expense</t>
        </is>
      </c>
      <c r="H974" s="12" t="n">
        <v>45975</v>
      </c>
      <c r="I974" s="13" t="n">
        <v>0.9035648148148148</v>
      </c>
      <c r="J974" s="14" t="n">
        <v>45975.90356481481</v>
      </c>
      <c r="K974" s="15" t="n">
        <v>9429.860000000001</v>
      </c>
      <c r="L974" s="4" t="inlineStr">
        <is>
          <t>INR</t>
        </is>
      </c>
      <c r="M974" s="15" t="n">
        <v>-9429.860000000001</v>
      </c>
      <c r="N974" s="4" t="inlineStr">
        <is>
          <t>IOS Owner</t>
        </is>
      </c>
      <c r="O974" s="4" t="n"/>
      <c r="P974" s="4" t="n"/>
      <c r="Q974" s="4" t="inlineStr">
        <is>
          <t>MAESTRO-IOS-PERSONAL-LIFE_OPERATIONS-0973 | Bills | 9429.86</t>
        </is>
      </c>
      <c r="R974" s="4" t="inlineStr">
        <is>
          <t>iPhone</t>
        </is>
      </c>
      <c r="S974" s="4" t="inlineStr">
        <is>
          <t>B20</t>
        </is>
      </c>
      <c r="T974" s="4" t="inlineStr">
        <is>
          <t>RAMP_501_1500</t>
        </is>
      </c>
      <c r="U974" s="4" t="inlineStr">
        <is>
          <t>CREATED</t>
        </is>
      </c>
      <c r="V974" s="4" t="inlineStr">
        <is>
          <t>idem-20260902-ios-0973</t>
        </is>
      </c>
    </row>
    <row r="975" ht="30" customHeight="1">
      <c r="A975" s="4" t="n">
        <v>974</v>
      </c>
      <c r="B975" s="4" t="inlineStr">
        <is>
          <t>MTR-IOS-0974</t>
        </is>
      </c>
      <c r="C975" s="4" t="inlineStr">
        <is>
          <t>Group</t>
        </is>
      </c>
      <c r="D975" s="4" t="inlineStr">
        <is>
          <t>Shared Purchase</t>
        </is>
      </c>
      <c r="E975" s="4" t="inlineStr">
        <is>
          <t>Assets</t>
        </is>
      </c>
      <c r="F975" s="4" t="inlineStr">
        <is>
          <t>Repair</t>
        </is>
      </c>
      <c r="G975" s="4" t="inlineStr">
        <is>
          <t>Expense</t>
        </is>
      </c>
      <c r="H975" s="12" t="n">
        <v>46224</v>
      </c>
      <c r="I975" s="13" t="n">
        <v>0.7384259259259259</v>
      </c>
      <c r="J975" s="14" t="n">
        <v>46224.73842592593</v>
      </c>
      <c r="K975" s="15" t="n">
        <v>13193.58</v>
      </c>
      <c r="L975" s="4" t="inlineStr">
        <is>
          <t>INR</t>
        </is>
      </c>
      <c r="M975" s="15" t="n">
        <v>-13193.58</v>
      </c>
      <c r="N975" s="4" t="inlineStr">
        <is>
          <t>IOS Owner</t>
        </is>
      </c>
      <c r="O975" s="4" t="n">
        <v>3</v>
      </c>
      <c r="P975" s="4" t="inlineStr">
        <is>
          <t>EQUAL</t>
        </is>
      </c>
      <c r="Q975" s="4" t="inlineStr">
        <is>
          <t>MAESTRO-IOS-GROUP-ASSETS-0974 | Repair | 13193.58</t>
        </is>
      </c>
      <c r="R975" s="4" t="inlineStr">
        <is>
          <t>iPhone</t>
        </is>
      </c>
      <c r="S975" s="4" t="inlineStr">
        <is>
          <t>B20</t>
        </is>
      </c>
      <c r="T975" s="4" t="inlineStr">
        <is>
          <t>RAMP_501_1500</t>
        </is>
      </c>
      <c r="U975" s="4" t="inlineStr">
        <is>
          <t>CREATED</t>
        </is>
      </c>
      <c r="V975" s="4" t="inlineStr">
        <is>
          <t>idem-20260902-ios-0974</t>
        </is>
      </c>
    </row>
    <row r="976" ht="30" customHeight="1">
      <c r="A976" s="4" t="n">
        <v>975</v>
      </c>
      <c r="B976" s="4" t="inlineStr">
        <is>
          <t>MTR-IOS-0975</t>
        </is>
      </c>
      <c r="C976" s="4" t="inlineStr">
        <is>
          <t>Business</t>
        </is>
      </c>
      <c r="D976" s="4" t="inlineStr">
        <is>
          <t>Business</t>
        </is>
      </c>
      <c r="E976" s="4" t="inlineStr">
        <is>
          <t>Business Runway</t>
        </is>
      </c>
      <c r="F976" s="4" t="inlineStr">
        <is>
          <t>Burn</t>
        </is>
      </c>
      <c r="G976" s="4" t="inlineStr">
        <is>
          <t>Expense</t>
        </is>
      </c>
      <c r="H976" s="12" t="n">
        <v>45907</v>
      </c>
      <c r="I976" s="13" t="n">
        <v>0.4975115740740741</v>
      </c>
      <c r="J976" s="14" t="n">
        <v>45907.49751157407</v>
      </c>
      <c r="K976" s="15" t="n">
        <v>56157.34</v>
      </c>
      <c r="L976" s="4" t="inlineStr">
        <is>
          <t>INR</t>
        </is>
      </c>
      <c r="M976" s="15" t="n">
        <v>-56157.34</v>
      </c>
      <c r="N976" s="4" t="inlineStr">
        <is>
          <t>IOS Owner</t>
        </is>
      </c>
      <c r="O976" s="4" t="n"/>
      <c r="P976" s="4" t="n"/>
      <c r="Q976" s="4" t="inlineStr">
        <is>
          <t>MAESTRO-IOS-BUSINESS-BUSINESS_RUNWAY-0975 | Burn | 56157.34</t>
        </is>
      </c>
      <c r="R976" s="4" t="inlineStr">
        <is>
          <t>iPhone</t>
        </is>
      </c>
      <c r="S976" s="4" t="inlineStr">
        <is>
          <t>B20</t>
        </is>
      </c>
      <c r="T976" s="4" t="inlineStr">
        <is>
          <t>RAMP_501_1500</t>
        </is>
      </c>
      <c r="U976" s="4" t="inlineStr">
        <is>
          <t>CREATED</t>
        </is>
      </c>
      <c r="V976" s="4" t="inlineStr">
        <is>
          <t>idem-20260902-ios-0975</t>
        </is>
      </c>
    </row>
    <row r="977" ht="30" customHeight="1">
      <c r="A977" s="4" t="n">
        <v>976</v>
      </c>
      <c r="B977" s="4" t="inlineStr">
        <is>
          <t>MTR-IOS-0976</t>
        </is>
      </c>
      <c r="C977" s="4" t="inlineStr">
        <is>
          <t>Personal</t>
        </is>
      </c>
      <c r="D977" s="4" t="inlineStr">
        <is>
          <t>Personal</t>
        </is>
      </c>
      <c r="E977" s="4" t="inlineStr">
        <is>
          <t>Life Operations</t>
        </is>
      </c>
      <c r="F977" s="4" t="inlineStr">
        <is>
          <t>Transport</t>
        </is>
      </c>
      <c r="G977" s="4" t="inlineStr">
        <is>
          <t>Expense</t>
        </is>
      </c>
      <c r="H977" s="12" t="n">
        <v>46075</v>
      </c>
      <c r="I977" s="13" t="n">
        <v>0.7733333333333333</v>
      </c>
      <c r="J977" s="14" t="n">
        <v>46075.77333333333</v>
      </c>
      <c r="K977" s="15" t="n">
        <v>17175.86</v>
      </c>
      <c r="L977" s="4" t="inlineStr">
        <is>
          <t>INR</t>
        </is>
      </c>
      <c r="M977" s="15" t="n">
        <v>-17175.86</v>
      </c>
      <c r="N977" s="4" t="inlineStr">
        <is>
          <t>IOS Owner</t>
        </is>
      </c>
      <c r="O977" s="4" t="n"/>
      <c r="P977" s="4" t="n"/>
      <c r="Q977" s="4" t="inlineStr">
        <is>
          <t>MAESTRO-IOS-PERSONAL-LIFE_OPERATIONS-0976 | Transport | 17175.86</t>
        </is>
      </c>
      <c r="R977" s="4" t="inlineStr">
        <is>
          <t>iPhone</t>
        </is>
      </c>
      <c r="S977" s="4" t="inlineStr">
        <is>
          <t>B20</t>
        </is>
      </c>
      <c r="T977" s="4" t="inlineStr">
        <is>
          <t>RAMP_501_1500</t>
        </is>
      </c>
      <c r="U977" s="4" t="inlineStr">
        <is>
          <t>CREATED</t>
        </is>
      </c>
      <c r="V977" s="4" t="inlineStr">
        <is>
          <t>idem-20260902-ios-0976</t>
        </is>
      </c>
    </row>
    <row r="978" ht="30" customHeight="1">
      <c r="A978" s="4" t="n">
        <v>977</v>
      </c>
      <c r="B978" s="4" t="inlineStr">
        <is>
          <t>MTR-IOS-0977</t>
        </is>
      </c>
      <c r="C978" s="4" t="inlineStr">
        <is>
          <t>Group</t>
        </is>
      </c>
      <c r="D978" s="4" t="inlineStr">
        <is>
          <t>Shared Purchase</t>
        </is>
      </c>
      <c r="E978" s="4" t="inlineStr">
        <is>
          <t>Assets</t>
        </is>
      </c>
      <c r="F978" s="4" t="inlineStr">
        <is>
          <t>Insurance</t>
        </is>
      </c>
      <c r="G978" s="4" t="inlineStr">
        <is>
          <t>Expense</t>
        </is>
      </c>
      <c r="H978" s="12" t="n">
        <v>46100</v>
      </c>
      <c r="I978" s="13" t="n">
        <v>0.8011574074074074</v>
      </c>
      <c r="J978" s="14" t="n">
        <v>46100.8011574074</v>
      </c>
      <c r="K978" s="15" t="n">
        <v>14177.37</v>
      </c>
      <c r="L978" s="4" t="inlineStr">
        <is>
          <t>INR</t>
        </is>
      </c>
      <c r="M978" s="15" t="n">
        <v>-14177.37</v>
      </c>
      <c r="N978" s="4" t="inlineStr">
        <is>
          <t>IOS Aarav</t>
        </is>
      </c>
      <c r="O978" s="4" t="n">
        <v>3</v>
      </c>
      <c r="P978" s="4" t="inlineStr">
        <is>
          <t>PERCENTAGE</t>
        </is>
      </c>
      <c r="Q978" s="4" t="inlineStr">
        <is>
          <t>MAESTRO-IOS-GROUP-ASSETS-0977 | Insurance | 14177.37</t>
        </is>
      </c>
      <c r="R978" s="4" t="inlineStr">
        <is>
          <t>iPhone</t>
        </is>
      </c>
      <c r="S978" s="4" t="inlineStr">
        <is>
          <t>B20</t>
        </is>
      </c>
      <c r="T978" s="4" t="inlineStr">
        <is>
          <t>RAMP_501_1500</t>
        </is>
      </c>
      <c r="U978" s="4" t="inlineStr">
        <is>
          <t>CREATED</t>
        </is>
      </c>
      <c r="V978" s="4" t="inlineStr">
        <is>
          <t>idem-20260902-ios-0977</t>
        </is>
      </c>
    </row>
    <row r="979" ht="30" customHeight="1">
      <c r="A979" s="4" t="n">
        <v>978</v>
      </c>
      <c r="B979" s="4" t="inlineStr">
        <is>
          <t>MTR-IOS-0978</t>
        </is>
      </c>
      <c r="C979" s="4" t="inlineStr">
        <is>
          <t>Business</t>
        </is>
      </c>
      <c r="D979" s="4" t="inlineStr">
        <is>
          <t>Business</t>
        </is>
      </c>
      <c r="E979" s="4" t="inlineStr">
        <is>
          <t>Business Runway</t>
        </is>
      </c>
      <c r="F979" s="4" t="inlineStr">
        <is>
          <t>Reserve</t>
        </is>
      </c>
      <c r="G979" s="4" t="inlineStr">
        <is>
          <t>Transfer</t>
        </is>
      </c>
      <c r="H979" s="12" t="n">
        <v>46106</v>
      </c>
      <c r="I979" s="13" t="n">
        <v>0.5345949074074074</v>
      </c>
      <c r="J979" s="14" t="n">
        <v>46106.53459490741</v>
      </c>
      <c r="K979" s="15" t="n">
        <v>72153.3</v>
      </c>
      <c r="L979" s="4" t="inlineStr">
        <is>
          <t>INR</t>
        </is>
      </c>
      <c r="M979" s="15" t="n">
        <v>0</v>
      </c>
      <c r="N979" s="4" t="inlineStr">
        <is>
          <t>IOS Owner</t>
        </is>
      </c>
      <c r="O979" s="4" t="n"/>
      <c r="P979" s="4" t="n"/>
      <c r="Q979" s="4" t="inlineStr">
        <is>
          <t>MAESTRO-IOS-BUSINESS-BUSINESS_RUNWAY-0978 | Reserve | 72153.30</t>
        </is>
      </c>
      <c r="R979" s="4" t="inlineStr">
        <is>
          <t>iPhone</t>
        </is>
      </c>
      <c r="S979" s="4" t="inlineStr">
        <is>
          <t>B20</t>
        </is>
      </c>
      <c r="T979" s="4" t="inlineStr">
        <is>
          <t>RAMP_501_1500</t>
        </is>
      </c>
      <c r="U979" s="4" t="inlineStr">
        <is>
          <t>CREATED</t>
        </is>
      </c>
      <c r="V979" s="4" t="inlineStr">
        <is>
          <t>idem-20260902-ios-0978</t>
        </is>
      </c>
    </row>
    <row r="980" ht="30" customHeight="1">
      <c r="A980" s="4" t="n">
        <v>979</v>
      </c>
      <c r="B980" s="4" t="inlineStr">
        <is>
          <t>MTR-IOS-0979</t>
        </is>
      </c>
      <c r="C980" s="4" t="inlineStr">
        <is>
          <t>Personal</t>
        </is>
      </c>
      <c r="D980" s="4" t="inlineStr">
        <is>
          <t>Personal</t>
        </is>
      </c>
      <c r="E980" s="4" t="inlineStr">
        <is>
          <t>Life Operations</t>
        </is>
      </c>
      <c r="F980" s="4" t="inlineStr">
        <is>
          <t>Healthcare</t>
        </is>
      </c>
      <c r="G980" s="4" t="inlineStr">
        <is>
          <t>Expense</t>
        </is>
      </c>
      <c r="H980" s="12" t="n">
        <v>46244</v>
      </c>
      <c r="I980" s="13" t="n">
        <v>0.49625</v>
      </c>
      <c r="J980" s="14" t="n">
        <v>46244.49625</v>
      </c>
      <c r="K980" s="15" t="n">
        <v>5524.74</v>
      </c>
      <c r="L980" s="4" t="inlineStr">
        <is>
          <t>INR</t>
        </is>
      </c>
      <c r="M980" s="15" t="n">
        <v>-5524.74</v>
      </c>
      <c r="N980" s="4" t="inlineStr">
        <is>
          <t>IOS Owner</t>
        </is>
      </c>
      <c r="O980" s="4" t="n"/>
      <c r="P980" s="4" t="n"/>
      <c r="Q980" s="4" t="inlineStr">
        <is>
          <t>MAESTRO-IOS-PERSONAL-LIFE_OPERATIONS-0979 | Healthcare | 5524.74</t>
        </is>
      </c>
      <c r="R980" s="4" t="inlineStr">
        <is>
          <t>iPhone</t>
        </is>
      </c>
      <c r="S980" s="4" t="inlineStr">
        <is>
          <t>B20</t>
        </is>
      </c>
      <c r="T980" s="4" t="inlineStr">
        <is>
          <t>RAMP_501_1500</t>
        </is>
      </c>
      <c r="U980" s="4" t="inlineStr">
        <is>
          <t>CREATED</t>
        </is>
      </c>
      <c r="V980" s="4" t="inlineStr">
        <is>
          <t>idem-20260902-ios-0979</t>
        </is>
      </c>
    </row>
    <row r="981" ht="30" customHeight="1">
      <c r="A981" s="4" t="n">
        <v>980</v>
      </c>
      <c r="B981" s="4" t="inlineStr">
        <is>
          <t>MTR-IOS-0980</t>
        </is>
      </c>
      <c r="C981" s="4" t="inlineStr">
        <is>
          <t>Group</t>
        </is>
      </c>
      <c r="D981" s="4" t="inlineStr">
        <is>
          <t>Shared Purchase</t>
        </is>
      </c>
      <c r="E981" s="4" t="inlineStr">
        <is>
          <t>Assets</t>
        </is>
      </c>
      <c r="F981" s="4" t="inlineStr">
        <is>
          <t>Other</t>
        </is>
      </c>
      <c r="G981" s="4" t="inlineStr">
        <is>
          <t>Expense</t>
        </is>
      </c>
      <c r="H981" s="12" t="n">
        <v>46212</v>
      </c>
      <c r="I981" s="13" t="n">
        <v>0.9724652777777778</v>
      </c>
      <c r="J981" s="14" t="n">
        <v>46212.97246527778</v>
      </c>
      <c r="K981" s="15" t="n">
        <v>21158.34</v>
      </c>
      <c r="L981" s="4" t="inlineStr">
        <is>
          <t>INR</t>
        </is>
      </c>
      <c r="M981" s="15" t="n">
        <v>-21158.34</v>
      </c>
      <c r="N981" s="4" t="inlineStr">
        <is>
          <t>IOS Meera</t>
        </is>
      </c>
      <c r="O981" s="4" t="n">
        <v>3</v>
      </c>
      <c r="P981" s="4" t="inlineStr">
        <is>
          <t>EXACT</t>
        </is>
      </c>
      <c r="Q981" s="4" t="inlineStr">
        <is>
          <t>MAESTRO-IOS-GROUP-ASSETS-0980 | Other | 21158.34</t>
        </is>
      </c>
      <c r="R981" s="4" t="inlineStr">
        <is>
          <t>iPhone</t>
        </is>
      </c>
      <c r="S981" s="4" t="inlineStr">
        <is>
          <t>B20</t>
        </is>
      </c>
      <c r="T981" s="4" t="inlineStr">
        <is>
          <t>RAMP_501_1500</t>
        </is>
      </c>
      <c r="U981" s="4" t="inlineStr">
        <is>
          <t>CREATED</t>
        </is>
      </c>
      <c r="V981" s="4" t="inlineStr">
        <is>
          <t>idem-20260902-ios-0980</t>
        </is>
      </c>
    </row>
    <row r="982" ht="30" customHeight="1">
      <c r="A982" s="4" t="n">
        <v>981</v>
      </c>
      <c r="B982" s="4" t="inlineStr">
        <is>
          <t>MTR-IOS-0981</t>
        </is>
      </c>
      <c r="C982" s="4" t="inlineStr">
        <is>
          <t>Business</t>
        </is>
      </c>
      <c r="D982" s="4" t="inlineStr">
        <is>
          <t>Business</t>
        </is>
      </c>
      <c r="E982" s="4" t="inlineStr">
        <is>
          <t>Business Runway</t>
        </is>
      </c>
      <c r="F982" s="4" t="inlineStr">
        <is>
          <t>Loan</t>
        </is>
      </c>
      <c r="G982" s="4" t="inlineStr">
        <is>
          <t>Income</t>
        </is>
      </c>
      <c r="H982" s="12" t="n">
        <v>46245</v>
      </c>
      <c r="I982" s="13" t="n">
        <v>0.4067939814814815</v>
      </c>
      <c r="J982" s="14" t="n">
        <v>46245.40679398148</v>
      </c>
      <c r="K982" s="15" t="n">
        <v>49625.56</v>
      </c>
      <c r="L982" s="4" t="inlineStr">
        <is>
          <t>INR</t>
        </is>
      </c>
      <c r="M982" s="15" t="n">
        <v>49625.56</v>
      </c>
      <c r="N982" s="4" t="inlineStr">
        <is>
          <t>IOS Owner</t>
        </is>
      </c>
      <c r="O982" s="4" t="n"/>
      <c r="P982" s="4" t="n"/>
      <c r="Q982" s="4" t="inlineStr">
        <is>
          <t>MAESTRO-IOS-BUSINESS-BUSINESS_RUNWAY-0981 | Loan | 49625.56</t>
        </is>
      </c>
      <c r="R982" s="4" t="inlineStr">
        <is>
          <t>iPhone</t>
        </is>
      </c>
      <c r="S982" s="4" t="inlineStr">
        <is>
          <t>B20</t>
        </is>
      </c>
      <c r="T982" s="4" t="inlineStr">
        <is>
          <t>RAMP_501_1500</t>
        </is>
      </c>
      <c r="U982" s="4" t="inlineStr">
        <is>
          <t>CREATED</t>
        </is>
      </c>
      <c r="V982" s="4" t="inlineStr">
        <is>
          <t>idem-20260902-ios-0981</t>
        </is>
      </c>
    </row>
    <row r="983" ht="30" customHeight="1">
      <c r="A983" s="4" t="n">
        <v>982</v>
      </c>
      <c r="B983" s="4" t="inlineStr">
        <is>
          <t>MTR-IOS-0982</t>
        </is>
      </c>
      <c r="C983" s="4" t="inlineStr">
        <is>
          <t>Personal</t>
        </is>
      </c>
      <c r="D983" s="4" t="inlineStr">
        <is>
          <t>Personal</t>
        </is>
      </c>
      <c r="E983" s="4" t="inlineStr">
        <is>
          <t>Life Operations</t>
        </is>
      </c>
      <c r="F983" s="4" t="inlineStr">
        <is>
          <t>Subscriptions</t>
        </is>
      </c>
      <c r="G983" s="4" t="inlineStr">
        <is>
          <t>Expense</t>
        </is>
      </c>
      <c r="H983" s="12" t="n">
        <v>46011</v>
      </c>
      <c r="I983" s="13" t="n">
        <v>0.6706365740740741</v>
      </c>
      <c r="J983" s="14" t="n">
        <v>46011.67063657408</v>
      </c>
      <c r="K983" s="15" t="n">
        <v>4978.62</v>
      </c>
      <c r="L983" s="4" t="inlineStr">
        <is>
          <t>INR</t>
        </is>
      </c>
      <c r="M983" s="15" t="n">
        <v>-4978.62</v>
      </c>
      <c r="N983" s="4" t="inlineStr">
        <is>
          <t>IOS Owner</t>
        </is>
      </c>
      <c r="O983" s="4" t="n"/>
      <c r="P983" s="4" t="n"/>
      <c r="Q983" s="4" t="inlineStr">
        <is>
          <t>MAESTRO-IOS-PERSONAL-LIFE_OPERATIONS-0982 | Subscriptions | 4978.62</t>
        </is>
      </c>
      <c r="R983" s="4" t="inlineStr">
        <is>
          <t>iPhone</t>
        </is>
      </c>
      <c r="S983" s="4" t="inlineStr">
        <is>
          <t>B20</t>
        </is>
      </c>
      <c r="T983" s="4" t="inlineStr">
        <is>
          <t>RAMP_501_1500</t>
        </is>
      </c>
      <c r="U983" s="4" t="inlineStr">
        <is>
          <t>CREATED</t>
        </is>
      </c>
      <c r="V983" s="4" t="inlineStr">
        <is>
          <t>idem-20260902-ios-0982</t>
        </is>
      </c>
    </row>
    <row r="984" ht="30" customHeight="1">
      <c r="A984" s="4" t="n">
        <v>983</v>
      </c>
      <c r="B984" s="4" t="inlineStr">
        <is>
          <t>MTR-IOS-0983</t>
        </is>
      </c>
      <c r="C984" s="4" t="inlineStr">
        <is>
          <t>Group</t>
        </is>
      </c>
      <c r="D984" s="4" t="inlineStr">
        <is>
          <t>Shared Purchase</t>
        </is>
      </c>
      <c r="E984" s="4" t="inlineStr">
        <is>
          <t>Custom Purchase</t>
        </is>
      </c>
      <c r="F984" s="4" t="inlineStr">
        <is>
          <t>Custom Expense</t>
        </is>
      </c>
      <c r="G984" s="4" t="inlineStr">
        <is>
          <t>Expense</t>
        </is>
      </c>
      <c r="H984" s="12" t="n">
        <v>46124</v>
      </c>
      <c r="I984" s="13" t="n">
        <v>0.1708564814814815</v>
      </c>
      <c r="J984" s="14" t="n">
        <v>46124.17085648148</v>
      </c>
      <c r="K984" s="15" t="n">
        <v>26532.74</v>
      </c>
      <c r="L984" s="4" t="inlineStr">
        <is>
          <t>INR</t>
        </is>
      </c>
      <c r="M984" s="15" t="n">
        <v>-26532.74</v>
      </c>
      <c r="N984" s="4" t="inlineStr">
        <is>
          <t>IOS Owner</t>
        </is>
      </c>
      <c r="O984" s="4" t="n">
        <v>3</v>
      </c>
      <c r="P984" s="4" t="inlineStr">
        <is>
          <t>SHARES</t>
        </is>
      </c>
      <c r="Q984" s="4" t="inlineStr">
        <is>
          <t>MAESTRO-IOS-GROUP-CUSTOM_PURCHASE-0983 | Custom Expense | 26532.74</t>
        </is>
      </c>
      <c r="R984" s="4" t="inlineStr">
        <is>
          <t>iPhone</t>
        </is>
      </c>
      <c r="S984" s="4" t="inlineStr">
        <is>
          <t>B20</t>
        </is>
      </c>
      <c r="T984" s="4" t="inlineStr">
        <is>
          <t>RAMP_501_1500</t>
        </is>
      </c>
      <c r="U984" s="4" t="inlineStr">
        <is>
          <t>CREATED</t>
        </is>
      </c>
      <c r="V984" s="4" t="inlineStr">
        <is>
          <t>idem-20260902-ios-0983</t>
        </is>
      </c>
    </row>
    <row r="985" ht="30" customHeight="1">
      <c r="A985" s="4" t="n">
        <v>984</v>
      </c>
      <c r="B985" s="4" t="inlineStr">
        <is>
          <t>MTR-IOS-0984</t>
        </is>
      </c>
      <c r="C985" s="4" t="inlineStr">
        <is>
          <t>Business</t>
        </is>
      </c>
      <c r="D985" s="4" t="inlineStr">
        <is>
          <t>Business</t>
        </is>
      </c>
      <c r="E985" s="4" t="inlineStr">
        <is>
          <t>Business Runway</t>
        </is>
      </c>
      <c r="F985" s="4" t="inlineStr">
        <is>
          <t>Investment</t>
        </is>
      </c>
      <c r="G985" s="4" t="inlineStr">
        <is>
          <t>Income</t>
        </is>
      </c>
      <c r="H985" s="12" t="n">
        <v>46048</v>
      </c>
      <c r="I985" s="13" t="n">
        <v>0.09341435185185185</v>
      </c>
      <c r="J985" s="14" t="n">
        <v>46048.09341435185</v>
      </c>
      <c r="K985" s="15" t="n">
        <v>121300.49</v>
      </c>
      <c r="L985" s="4" t="inlineStr">
        <is>
          <t>INR</t>
        </is>
      </c>
      <c r="M985" s="15" t="n">
        <v>121300.49</v>
      </c>
      <c r="N985" s="4" t="inlineStr">
        <is>
          <t>IOS Owner</t>
        </is>
      </c>
      <c r="O985" s="4" t="n"/>
      <c r="P985" s="4" t="n"/>
      <c r="Q985" s="4" t="inlineStr">
        <is>
          <t>MAESTRO-IOS-BUSINESS-BUSINESS_RUNWAY-0984 | Investment | 121300.49</t>
        </is>
      </c>
      <c r="R985" s="4" t="inlineStr">
        <is>
          <t>iPhone</t>
        </is>
      </c>
      <c r="S985" s="4" t="inlineStr">
        <is>
          <t>B20</t>
        </is>
      </c>
      <c r="T985" s="4" t="inlineStr">
        <is>
          <t>RAMP_501_1500</t>
        </is>
      </c>
      <c r="U985" s="4" t="inlineStr">
        <is>
          <t>CREATED</t>
        </is>
      </c>
      <c r="V985" s="4" t="inlineStr">
        <is>
          <t>idem-20260902-ios-0984</t>
        </is>
      </c>
    </row>
    <row r="986" ht="30" customHeight="1">
      <c r="A986" s="4" t="n">
        <v>985</v>
      </c>
      <c r="B986" s="4" t="inlineStr">
        <is>
          <t>MTR-IOS-0985</t>
        </is>
      </c>
      <c r="C986" s="4" t="inlineStr">
        <is>
          <t>Personal</t>
        </is>
      </c>
      <c r="D986" s="4" t="inlineStr">
        <is>
          <t>Personal</t>
        </is>
      </c>
      <c r="E986" s="4" t="inlineStr">
        <is>
          <t>Life Operations</t>
        </is>
      </c>
      <c r="F986" s="4" t="inlineStr">
        <is>
          <t>Repairs</t>
        </is>
      </c>
      <c r="G986" s="4" t="inlineStr">
        <is>
          <t>Expense</t>
        </is>
      </c>
      <c r="H986" s="12" t="n">
        <v>46052</v>
      </c>
      <c r="I986" s="13" t="n">
        <v>0.2401157407407407</v>
      </c>
      <c r="J986" s="14" t="n">
        <v>46052.24011574074</v>
      </c>
      <c r="K986" s="15" t="n">
        <v>5243.03</v>
      </c>
      <c r="L986" s="4" t="inlineStr">
        <is>
          <t>INR</t>
        </is>
      </c>
      <c r="M986" s="15" t="n">
        <v>-5243.03</v>
      </c>
      <c r="N986" s="4" t="inlineStr">
        <is>
          <t>IOS Owner</t>
        </is>
      </c>
      <c r="O986" s="4" t="n"/>
      <c r="P986" s="4" t="n"/>
      <c r="Q986" s="4" t="inlineStr">
        <is>
          <t>MAESTRO-IOS-PERSONAL-LIFE_OPERATIONS-0985 | Repairs | 5243.03</t>
        </is>
      </c>
      <c r="R986" s="4" t="inlineStr">
        <is>
          <t>iPhone</t>
        </is>
      </c>
      <c r="S986" s="4" t="inlineStr">
        <is>
          <t>B20</t>
        </is>
      </c>
      <c r="T986" s="4" t="inlineStr">
        <is>
          <t>RAMP_501_1500</t>
        </is>
      </c>
      <c r="U986" s="4" t="inlineStr">
        <is>
          <t>CREATED</t>
        </is>
      </c>
      <c r="V986" s="4" t="inlineStr">
        <is>
          <t>idem-20260902-ios-0985</t>
        </is>
      </c>
    </row>
    <row r="987" ht="30" customHeight="1">
      <c r="A987" s="4" t="n">
        <v>986</v>
      </c>
      <c r="B987" s="4" t="inlineStr">
        <is>
          <t>MTR-IOS-0986</t>
        </is>
      </c>
      <c r="C987" s="4" t="inlineStr">
        <is>
          <t>Group</t>
        </is>
      </c>
      <c r="D987" s="4" t="inlineStr">
        <is>
          <t>Shared Purchase</t>
        </is>
      </c>
      <c r="E987" s="4" t="inlineStr">
        <is>
          <t>Custom Purchase</t>
        </is>
      </c>
      <c r="F987" s="4" t="inlineStr">
        <is>
          <t>Custom Contribution</t>
        </is>
      </c>
      <c r="G987" s="4" t="inlineStr">
        <is>
          <t>Contribution</t>
        </is>
      </c>
      <c r="H987" s="12" t="n">
        <v>46100</v>
      </c>
      <c r="I987" s="13" t="n">
        <v>0.7553472222222222</v>
      </c>
      <c r="J987" s="14" t="n">
        <v>46100.75534722222</v>
      </c>
      <c r="K987" s="15" t="n">
        <v>15480.16</v>
      </c>
      <c r="L987" s="4" t="inlineStr">
        <is>
          <t>INR</t>
        </is>
      </c>
      <c r="M987" s="15" t="n">
        <v>15480.16</v>
      </c>
      <c r="N987" s="4" t="inlineStr">
        <is>
          <t>IOS Aarav</t>
        </is>
      </c>
      <c r="O987" s="4" t="n">
        <v>3</v>
      </c>
      <c r="P987" s="4" t="inlineStr">
        <is>
          <t>EQUAL</t>
        </is>
      </c>
      <c r="Q987" s="4" t="inlineStr">
        <is>
          <t>MAESTRO-IOS-GROUP-CUSTOM_PURCHASE-0986 | Custom Contribution | 15480.16</t>
        </is>
      </c>
      <c r="R987" s="4" t="inlineStr">
        <is>
          <t>iPhone</t>
        </is>
      </c>
      <c r="S987" s="4" t="inlineStr">
        <is>
          <t>B20</t>
        </is>
      </c>
      <c r="T987" s="4" t="inlineStr">
        <is>
          <t>RAMP_501_1500</t>
        </is>
      </c>
      <c r="U987" s="4" t="inlineStr">
        <is>
          <t>CREATED</t>
        </is>
      </c>
      <c r="V987" s="4" t="inlineStr">
        <is>
          <t>idem-20260902-ios-0986</t>
        </is>
      </c>
    </row>
    <row r="988" ht="30" customHeight="1">
      <c r="A988" s="4" t="n">
        <v>987</v>
      </c>
      <c r="B988" s="4" t="inlineStr">
        <is>
          <t>MTR-IOS-0987</t>
        </is>
      </c>
      <c r="C988" s="4" t="inlineStr">
        <is>
          <t>Business</t>
        </is>
      </c>
      <c r="D988" s="4" t="inlineStr">
        <is>
          <t>Business</t>
        </is>
      </c>
      <c r="E988" s="4" t="inlineStr">
        <is>
          <t>Business Operations</t>
        </is>
      </c>
      <c r="F988" s="4" t="inlineStr">
        <is>
          <t>Software</t>
        </is>
      </c>
      <c r="G988" s="4" t="inlineStr">
        <is>
          <t>Expense</t>
        </is>
      </c>
      <c r="H988" s="12" t="n">
        <v>46174</v>
      </c>
      <c r="I988" s="13" t="n">
        <v>0.650775462962963</v>
      </c>
      <c r="J988" s="14" t="n">
        <v>46174.65077546296</v>
      </c>
      <c r="K988" s="15" t="n">
        <v>47060.46</v>
      </c>
      <c r="L988" s="4" t="inlineStr">
        <is>
          <t>INR</t>
        </is>
      </c>
      <c r="M988" s="15" t="n">
        <v>-47060.46</v>
      </c>
      <c r="N988" s="4" t="inlineStr">
        <is>
          <t>IOS Owner</t>
        </is>
      </c>
      <c r="O988" s="4" t="n"/>
      <c r="P988" s="4" t="n"/>
      <c r="Q988" s="4" t="inlineStr">
        <is>
          <t>MAESTRO-IOS-BUSINESS-BUSINESS_OPERATIONS-0987 | Software | 47060.46</t>
        </is>
      </c>
      <c r="R988" s="4" t="inlineStr">
        <is>
          <t>iPhone</t>
        </is>
      </c>
      <c r="S988" s="4" t="inlineStr">
        <is>
          <t>B20</t>
        </is>
      </c>
      <c r="T988" s="4" t="inlineStr">
        <is>
          <t>RAMP_501_1500</t>
        </is>
      </c>
      <c r="U988" s="4" t="inlineStr">
        <is>
          <t>CREATED</t>
        </is>
      </c>
      <c r="V988" s="4" t="inlineStr">
        <is>
          <t>idem-20260902-ios-0987</t>
        </is>
      </c>
    </row>
    <row r="989" ht="30" customHeight="1">
      <c r="A989" s="4" t="n">
        <v>988</v>
      </c>
      <c r="B989" s="4" t="inlineStr">
        <is>
          <t>MTR-IOS-0988</t>
        </is>
      </c>
      <c r="C989" s="4" t="inlineStr">
        <is>
          <t>Personal</t>
        </is>
      </c>
      <c r="D989" s="4" t="inlineStr">
        <is>
          <t>Personal</t>
        </is>
      </c>
      <c r="E989" s="4" t="inlineStr">
        <is>
          <t>Future Building</t>
        </is>
      </c>
      <c r="F989" s="4" t="inlineStr">
        <is>
          <t>Savings</t>
        </is>
      </c>
      <c r="G989" s="4" t="inlineStr">
        <is>
          <t>Transfer</t>
        </is>
      </c>
      <c r="H989" s="12" t="n">
        <v>45904</v>
      </c>
      <c r="I989" s="13" t="n">
        <v>0.07486111111111111</v>
      </c>
      <c r="J989" s="14" t="n">
        <v>45904.07486111111</v>
      </c>
      <c r="K989" s="15" t="n">
        <v>12305.47</v>
      </c>
      <c r="L989" s="4" t="inlineStr">
        <is>
          <t>INR</t>
        </is>
      </c>
      <c r="M989" s="15" t="n">
        <v>0</v>
      </c>
      <c r="N989" s="4" t="inlineStr">
        <is>
          <t>IOS Owner</t>
        </is>
      </c>
      <c r="O989" s="4" t="n"/>
      <c r="P989" s="4" t="n"/>
      <c r="Q989" s="4" t="inlineStr">
        <is>
          <t>MAESTRO-IOS-PERSONAL-FUTURE_BUILDING-0988 | Savings | 12305.47</t>
        </is>
      </c>
      <c r="R989" s="4" t="inlineStr">
        <is>
          <t>iPhone</t>
        </is>
      </c>
      <c r="S989" s="4" t="inlineStr">
        <is>
          <t>B20</t>
        </is>
      </c>
      <c r="T989" s="4" t="inlineStr">
        <is>
          <t>RAMP_501_1500</t>
        </is>
      </c>
      <c r="U989" s="4" t="inlineStr">
        <is>
          <t>CREATED</t>
        </is>
      </c>
      <c r="V989" s="4" t="inlineStr">
        <is>
          <t>idem-20260902-ios-0988</t>
        </is>
      </c>
    </row>
    <row r="990" ht="30" customHeight="1">
      <c r="A990" s="4" t="n">
        <v>989</v>
      </c>
      <c r="B990" s="4" t="inlineStr">
        <is>
          <t>MTR-IOS-0989</t>
        </is>
      </c>
      <c r="C990" s="4" t="inlineStr">
        <is>
          <t>Group</t>
        </is>
      </c>
      <c r="D990" s="4" t="inlineStr">
        <is>
          <t>Shared Living</t>
        </is>
      </c>
      <c r="E990" s="4" t="inlineStr">
        <is>
          <t>Flatmates</t>
        </is>
      </c>
      <c r="F990" s="4" t="inlineStr">
        <is>
          <t>Rent</t>
        </is>
      </c>
      <c r="G990" s="4" t="inlineStr">
        <is>
          <t>Expense</t>
        </is>
      </c>
      <c r="H990" s="12" t="n">
        <v>46141</v>
      </c>
      <c r="I990" s="13" t="n">
        <v>0.7232523148148148</v>
      </c>
      <c r="J990" s="14" t="n">
        <v>46141.72325231481</v>
      </c>
      <c r="K990" s="15" t="n">
        <v>8431.33</v>
      </c>
      <c r="L990" s="4" t="inlineStr">
        <is>
          <t>INR</t>
        </is>
      </c>
      <c r="M990" s="15" t="n">
        <v>-8431.33</v>
      </c>
      <c r="N990" s="4" t="inlineStr">
        <is>
          <t>IOS Meera</t>
        </is>
      </c>
      <c r="O990" s="4" t="n">
        <v>3</v>
      </c>
      <c r="P990" s="4" t="inlineStr">
        <is>
          <t>PERCENTAGE</t>
        </is>
      </c>
      <c r="Q990" s="4" t="inlineStr">
        <is>
          <t>MAESTRO-IOS-GROUP-FLATMATES-0989 | Rent | 8431.33</t>
        </is>
      </c>
      <c r="R990" s="4" t="inlineStr">
        <is>
          <t>iPhone</t>
        </is>
      </c>
      <c r="S990" s="4" t="inlineStr">
        <is>
          <t>B20</t>
        </is>
      </c>
      <c r="T990" s="4" t="inlineStr">
        <is>
          <t>RAMP_501_1500</t>
        </is>
      </c>
      <c r="U990" s="4" t="inlineStr">
        <is>
          <t>CREATED</t>
        </is>
      </c>
      <c r="V990" s="4" t="inlineStr">
        <is>
          <t>idem-20260902-ios-0989</t>
        </is>
      </c>
    </row>
    <row r="991" ht="30" customHeight="1">
      <c r="A991" s="4" t="n">
        <v>990</v>
      </c>
      <c r="B991" s="4" t="inlineStr">
        <is>
          <t>MTR-IOS-0990</t>
        </is>
      </c>
      <c r="C991" s="4" t="inlineStr">
        <is>
          <t>Business</t>
        </is>
      </c>
      <c r="D991" s="4" t="inlineStr">
        <is>
          <t>Business</t>
        </is>
      </c>
      <c r="E991" s="4" t="inlineStr">
        <is>
          <t>Business Operations</t>
        </is>
      </c>
      <c r="F991" s="4" t="inlineStr">
        <is>
          <t>Rent</t>
        </is>
      </c>
      <c r="G991" s="4" t="inlineStr">
        <is>
          <t>Expense</t>
        </is>
      </c>
      <c r="H991" s="12" t="n">
        <v>46095</v>
      </c>
      <c r="I991" s="13" t="n">
        <v>0.7576388888888889</v>
      </c>
      <c r="J991" s="14" t="n">
        <v>46095.75763888889</v>
      </c>
      <c r="K991" s="15" t="n">
        <v>65763.50999999999</v>
      </c>
      <c r="L991" s="4" t="inlineStr">
        <is>
          <t>INR</t>
        </is>
      </c>
      <c r="M991" s="15" t="n">
        <v>-65763.50999999999</v>
      </c>
      <c r="N991" s="4" t="inlineStr">
        <is>
          <t>IOS Owner</t>
        </is>
      </c>
      <c r="O991" s="4" t="n"/>
      <c r="P991" s="4" t="n"/>
      <c r="Q991" s="4" t="inlineStr">
        <is>
          <t>MAESTRO-IOS-BUSINESS-BUSINESS_OPERATIONS-0990 | Rent | 65763.51</t>
        </is>
      </c>
      <c r="R991" s="4" t="inlineStr">
        <is>
          <t>iPhone</t>
        </is>
      </c>
      <c r="S991" s="4" t="inlineStr">
        <is>
          <t>B20</t>
        </is>
      </c>
      <c r="T991" s="4" t="inlineStr">
        <is>
          <t>RAMP_501_1500</t>
        </is>
      </c>
      <c r="U991" s="4" t="inlineStr">
        <is>
          <t>CREATED</t>
        </is>
      </c>
      <c r="V991" s="4" t="inlineStr">
        <is>
          <t>idem-20260902-ios-0990</t>
        </is>
      </c>
    </row>
    <row r="992" ht="30" customHeight="1">
      <c r="A992" s="4" t="n">
        <v>991</v>
      </c>
      <c r="B992" s="4" t="inlineStr">
        <is>
          <t>MTR-IOS-0991</t>
        </is>
      </c>
      <c r="C992" s="4" t="inlineStr">
        <is>
          <t>Personal</t>
        </is>
      </c>
      <c r="D992" s="4" t="inlineStr">
        <is>
          <t>Personal</t>
        </is>
      </c>
      <c r="E992" s="4" t="inlineStr">
        <is>
          <t>Future Building</t>
        </is>
      </c>
      <c r="F992" s="4" t="inlineStr">
        <is>
          <t>Emergency Fund</t>
        </is>
      </c>
      <c r="G992" s="4" t="inlineStr">
        <is>
          <t>Transfer</t>
        </is>
      </c>
      <c r="H992" s="12" t="n">
        <v>46055</v>
      </c>
      <c r="I992" s="13" t="n">
        <v>0.6320949074074074</v>
      </c>
      <c r="J992" s="14" t="n">
        <v>46055.63209490741</v>
      </c>
      <c r="K992" s="15" t="n">
        <v>4603.83</v>
      </c>
      <c r="L992" s="4" t="inlineStr">
        <is>
          <t>INR</t>
        </is>
      </c>
      <c r="M992" s="15" t="n">
        <v>0</v>
      </c>
      <c r="N992" s="4" t="inlineStr">
        <is>
          <t>IOS Owner</t>
        </is>
      </c>
      <c r="O992" s="4" t="n"/>
      <c r="P992" s="4" t="n"/>
      <c r="Q992" s="4" t="inlineStr">
        <is>
          <t>MAESTRO-IOS-PERSONAL-FUTURE_BUILDING-0991 | Emergency Fund | 4603.83</t>
        </is>
      </c>
      <c r="R992" s="4" t="inlineStr">
        <is>
          <t>iPhone</t>
        </is>
      </c>
      <c r="S992" s="4" t="inlineStr">
        <is>
          <t>B20</t>
        </is>
      </c>
      <c r="T992" s="4" t="inlineStr">
        <is>
          <t>RAMP_501_1500</t>
        </is>
      </c>
      <c r="U992" s="4" t="inlineStr">
        <is>
          <t>CREATED</t>
        </is>
      </c>
      <c r="V992" s="4" t="inlineStr">
        <is>
          <t>idem-20260902-ios-0991</t>
        </is>
      </c>
    </row>
    <row r="993" ht="30" customHeight="1">
      <c r="A993" s="4" t="n">
        <v>992</v>
      </c>
      <c r="B993" s="4" t="inlineStr">
        <is>
          <t>MTR-IOS-0992</t>
        </is>
      </c>
      <c r="C993" s="4" t="inlineStr">
        <is>
          <t>Group</t>
        </is>
      </c>
      <c r="D993" s="4" t="inlineStr">
        <is>
          <t>Shared Living</t>
        </is>
      </c>
      <c r="E993" s="4" t="inlineStr">
        <is>
          <t>Flatmates</t>
        </is>
      </c>
      <c r="F993" s="4" t="inlineStr">
        <is>
          <t>Utilities</t>
        </is>
      </c>
      <c r="G993" s="4" t="inlineStr">
        <is>
          <t>Expense</t>
        </is>
      </c>
      <c r="H993" s="12" t="n">
        <v>46220</v>
      </c>
      <c r="I993" s="13" t="n">
        <v>0.8326157407407407</v>
      </c>
      <c r="J993" s="14" t="n">
        <v>46220.83261574074</v>
      </c>
      <c r="K993" s="15" t="n">
        <v>4505</v>
      </c>
      <c r="L993" s="4" t="inlineStr">
        <is>
          <t>INR</t>
        </is>
      </c>
      <c r="M993" s="15" t="n">
        <v>-4505</v>
      </c>
      <c r="N993" s="4" t="inlineStr">
        <is>
          <t>IOS Owner</t>
        </is>
      </c>
      <c r="O993" s="4" t="n">
        <v>3</v>
      </c>
      <c r="P993" s="4" t="inlineStr">
        <is>
          <t>EXACT</t>
        </is>
      </c>
      <c r="Q993" s="4" t="inlineStr">
        <is>
          <t>MAESTRO-IOS-GROUP-FLATMATES-0992 | Utilities | 4505.00</t>
        </is>
      </c>
      <c r="R993" s="4" t="inlineStr">
        <is>
          <t>iPhone</t>
        </is>
      </c>
      <c r="S993" s="4" t="inlineStr">
        <is>
          <t>B20</t>
        </is>
      </c>
      <c r="T993" s="4" t="inlineStr">
        <is>
          <t>RAMP_501_1500</t>
        </is>
      </c>
      <c r="U993" s="4" t="inlineStr">
        <is>
          <t>CREATED</t>
        </is>
      </c>
      <c r="V993" s="4" t="inlineStr">
        <is>
          <t>idem-20260902-ios-0992</t>
        </is>
      </c>
    </row>
    <row r="994" ht="30" customHeight="1">
      <c r="A994" s="4" t="n">
        <v>993</v>
      </c>
      <c r="B994" s="4" t="inlineStr">
        <is>
          <t>MTR-IOS-0993</t>
        </is>
      </c>
      <c r="C994" s="4" t="inlineStr">
        <is>
          <t>Business</t>
        </is>
      </c>
      <c r="D994" s="4" t="inlineStr">
        <is>
          <t>Business</t>
        </is>
      </c>
      <c r="E994" s="4" t="inlineStr">
        <is>
          <t>Business Operations</t>
        </is>
      </c>
      <c r="F994" s="4" t="inlineStr">
        <is>
          <t>Marketing</t>
        </is>
      </c>
      <c r="G994" s="4" t="inlineStr">
        <is>
          <t>Expense</t>
        </is>
      </c>
      <c r="H994" s="12" t="n">
        <v>45985</v>
      </c>
      <c r="I994" s="13" t="n">
        <v>0.7774074074074074</v>
      </c>
      <c r="J994" s="14" t="n">
        <v>45985.7774074074</v>
      </c>
      <c r="K994" s="15" t="n">
        <v>12764.14</v>
      </c>
      <c r="L994" s="4" t="inlineStr">
        <is>
          <t>INR</t>
        </is>
      </c>
      <c r="M994" s="15" t="n">
        <v>-12764.14</v>
      </c>
      <c r="N994" s="4" t="inlineStr">
        <is>
          <t>IOS Owner</t>
        </is>
      </c>
      <c r="O994" s="4" t="n"/>
      <c r="P994" s="4" t="n"/>
      <c r="Q994" s="4" t="inlineStr">
        <is>
          <t>MAESTRO-IOS-BUSINESS-BUSINESS_OPERATIONS-0993 | Marketing | 12764.14</t>
        </is>
      </c>
      <c r="R994" s="4" t="inlineStr">
        <is>
          <t>iPhone</t>
        </is>
      </c>
      <c r="S994" s="4" t="inlineStr">
        <is>
          <t>B20</t>
        </is>
      </c>
      <c r="T994" s="4" t="inlineStr">
        <is>
          <t>RAMP_501_1500</t>
        </is>
      </c>
      <c r="U994" s="4" t="inlineStr">
        <is>
          <t>CREATED</t>
        </is>
      </c>
      <c r="V994" s="4" t="inlineStr">
        <is>
          <t>idem-20260902-ios-0993</t>
        </is>
      </c>
    </row>
    <row r="995" ht="30" customHeight="1">
      <c r="A995" s="4" t="n">
        <v>994</v>
      </c>
      <c r="B995" s="4" t="inlineStr">
        <is>
          <t>MTR-IOS-0994</t>
        </is>
      </c>
      <c r="C995" s="4" t="inlineStr">
        <is>
          <t>Personal</t>
        </is>
      </c>
      <c r="D995" s="4" t="inlineStr">
        <is>
          <t>Personal</t>
        </is>
      </c>
      <c r="E995" s="4" t="inlineStr">
        <is>
          <t>Future Building</t>
        </is>
      </c>
      <c r="F995" s="4" t="inlineStr">
        <is>
          <t>Investments</t>
        </is>
      </c>
      <c r="G995" s="4" t="inlineStr">
        <is>
          <t>Investment</t>
        </is>
      </c>
      <c r="H995" s="12" t="n">
        <v>46181</v>
      </c>
      <c r="I995" s="13" t="n">
        <v>0.004826388888888889</v>
      </c>
      <c r="J995" s="14" t="n">
        <v>46181.00482638889</v>
      </c>
      <c r="K995" s="15" t="n">
        <v>13174.57</v>
      </c>
      <c r="L995" s="4" t="inlineStr">
        <is>
          <t>INR</t>
        </is>
      </c>
      <c r="M995" s="15" t="n">
        <v>0</v>
      </c>
      <c r="N995" s="4" t="inlineStr">
        <is>
          <t>IOS Owner</t>
        </is>
      </c>
      <c r="O995" s="4" t="n"/>
      <c r="P995" s="4" t="n"/>
      <c r="Q995" s="4" t="inlineStr">
        <is>
          <t>MAESTRO-IOS-PERSONAL-FUTURE_BUILDING-0994 | Investments | 13174.57</t>
        </is>
      </c>
      <c r="R995" s="4" t="inlineStr">
        <is>
          <t>iPhone</t>
        </is>
      </c>
      <c r="S995" s="4" t="inlineStr">
        <is>
          <t>B20</t>
        </is>
      </c>
      <c r="T995" s="4" t="inlineStr">
        <is>
          <t>RAMP_501_1500</t>
        </is>
      </c>
      <c r="U995" s="4" t="inlineStr">
        <is>
          <t>CREATED</t>
        </is>
      </c>
      <c r="V995" s="4" t="inlineStr">
        <is>
          <t>idem-20260902-ios-0994</t>
        </is>
      </c>
    </row>
    <row r="996" ht="30" customHeight="1">
      <c r="A996" s="4" t="n">
        <v>995</v>
      </c>
      <c r="B996" s="4" t="inlineStr">
        <is>
          <t>MTR-IOS-0995</t>
        </is>
      </c>
      <c r="C996" s="4" t="inlineStr">
        <is>
          <t>Group</t>
        </is>
      </c>
      <c r="D996" s="4" t="inlineStr">
        <is>
          <t>Shared Living</t>
        </is>
      </c>
      <c r="E996" s="4" t="inlineStr">
        <is>
          <t>Flatmates</t>
        </is>
      </c>
      <c r="F996" s="4" t="inlineStr">
        <is>
          <t>Groceries</t>
        </is>
      </c>
      <c r="G996" s="4" t="inlineStr">
        <is>
          <t>Expense</t>
        </is>
      </c>
      <c r="H996" s="12" t="n">
        <v>46181</v>
      </c>
      <c r="I996" s="13" t="n">
        <v>0.5984490740740741</v>
      </c>
      <c r="J996" s="14" t="n">
        <v>46181.59844907407</v>
      </c>
      <c r="K996" s="15" t="n">
        <v>18340.57</v>
      </c>
      <c r="L996" s="4" t="inlineStr">
        <is>
          <t>INR</t>
        </is>
      </c>
      <c r="M996" s="15" t="n">
        <v>-18340.57</v>
      </c>
      <c r="N996" s="4" t="inlineStr">
        <is>
          <t>IOS Aarav</t>
        </is>
      </c>
      <c r="O996" s="4" t="n">
        <v>3</v>
      </c>
      <c r="P996" s="4" t="inlineStr">
        <is>
          <t>SHARES</t>
        </is>
      </c>
      <c r="Q996" s="4" t="inlineStr">
        <is>
          <t>MAESTRO-IOS-GROUP-FLATMATES-0995 | Groceries | 18340.57</t>
        </is>
      </c>
      <c r="R996" s="4" t="inlineStr">
        <is>
          <t>iPhone</t>
        </is>
      </c>
      <c r="S996" s="4" t="inlineStr">
        <is>
          <t>B20</t>
        </is>
      </c>
      <c r="T996" s="4" t="inlineStr">
        <is>
          <t>RAMP_501_1500</t>
        </is>
      </c>
      <c r="U996" s="4" t="inlineStr">
        <is>
          <t>CREATED</t>
        </is>
      </c>
      <c r="V996" s="4" t="inlineStr">
        <is>
          <t>idem-20260902-ios-0995</t>
        </is>
      </c>
    </row>
    <row r="997" ht="30" customHeight="1">
      <c r="A997" s="4" t="n">
        <v>996</v>
      </c>
      <c r="B997" s="4" t="inlineStr">
        <is>
          <t>MTR-IOS-0996</t>
        </is>
      </c>
      <c r="C997" s="4" t="inlineStr">
        <is>
          <t>Business</t>
        </is>
      </c>
      <c r="D997" s="4" t="inlineStr">
        <is>
          <t>Business</t>
        </is>
      </c>
      <c r="E997" s="4" t="inlineStr">
        <is>
          <t>Business Operations</t>
        </is>
      </c>
      <c r="F997" s="4" t="inlineStr">
        <is>
          <t>Legal</t>
        </is>
      </c>
      <c r="G997" s="4" t="inlineStr">
        <is>
          <t>Expense</t>
        </is>
      </c>
      <c r="H997" s="12" t="n">
        <v>46040</v>
      </c>
      <c r="I997" s="13" t="n">
        <v>0.7777083333333333</v>
      </c>
      <c r="J997" s="14" t="n">
        <v>46040.77770833333</v>
      </c>
      <c r="K997" s="15" t="n">
        <v>156834.62</v>
      </c>
      <c r="L997" s="4" t="inlineStr">
        <is>
          <t>INR</t>
        </is>
      </c>
      <c r="M997" s="15" t="n">
        <v>-156834.62</v>
      </c>
      <c r="N997" s="4" t="inlineStr">
        <is>
          <t>IOS Owner</t>
        </is>
      </c>
      <c r="O997" s="4" t="n"/>
      <c r="P997" s="4" t="n"/>
      <c r="Q997" s="4" t="inlineStr">
        <is>
          <t>MAESTRO-IOS-BUSINESS-BUSINESS_OPERATIONS-0996 | Legal | 156834.62</t>
        </is>
      </c>
      <c r="R997" s="4" t="inlineStr">
        <is>
          <t>iPhone</t>
        </is>
      </c>
      <c r="S997" s="4" t="inlineStr">
        <is>
          <t>B20</t>
        </is>
      </c>
      <c r="T997" s="4" t="inlineStr">
        <is>
          <t>RAMP_501_1500</t>
        </is>
      </c>
      <c r="U997" s="4" t="inlineStr">
        <is>
          <t>CREATED</t>
        </is>
      </c>
      <c r="V997" s="4" t="inlineStr">
        <is>
          <t>idem-20260902-ios-0996</t>
        </is>
      </c>
    </row>
    <row r="998" ht="30" customHeight="1">
      <c r="A998" s="4" t="n">
        <v>997</v>
      </c>
      <c r="B998" s="4" t="inlineStr">
        <is>
          <t>MTR-IOS-0997</t>
        </is>
      </c>
      <c r="C998" s="4" t="inlineStr">
        <is>
          <t>Personal</t>
        </is>
      </c>
      <c r="D998" s="4" t="inlineStr">
        <is>
          <t>Personal</t>
        </is>
      </c>
      <c r="E998" s="4" t="inlineStr">
        <is>
          <t>Future Building</t>
        </is>
      </c>
      <c r="F998" s="4" t="inlineStr">
        <is>
          <t>Education</t>
        </is>
      </c>
      <c r="G998" s="4" t="inlineStr">
        <is>
          <t>Expense</t>
        </is>
      </c>
      <c r="H998" s="12" t="n">
        <v>46072</v>
      </c>
      <c r="I998" s="13" t="n">
        <v>0.4024537037037037</v>
      </c>
      <c r="J998" s="14" t="n">
        <v>46072.4024537037</v>
      </c>
      <c r="K998" s="15" t="n">
        <v>16324.82</v>
      </c>
      <c r="L998" s="4" t="inlineStr">
        <is>
          <t>INR</t>
        </is>
      </c>
      <c r="M998" s="15" t="n">
        <v>-16324.82</v>
      </c>
      <c r="N998" s="4" t="inlineStr">
        <is>
          <t>IOS Owner</t>
        </is>
      </c>
      <c r="O998" s="4" t="n"/>
      <c r="P998" s="4" t="n"/>
      <c r="Q998" s="4" t="inlineStr">
        <is>
          <t>MAESTRO-IOS-PERSONAL-FUTURE_BUILDING-0997 | Education | 16324.82</t>
        </is>
      </c>
      <c r="R998" s="4" t="inlineStr">
        <is>
          <t>iPhone</t>
        </is>
      </c>
      <c r="S998" s="4" t="inlineStr">
        <is>
          <t>B20</t>
        </is>
      </c>
      <c r="T998" s="4" t="inlineStr">
        <is>
          <t>RAMP_501_1500</t>
        </is>
      </c>
      <c r="U998" s="4" t="inlineStr">
        <is>
          <t>CREATED</t>
        </is>
      </c>
      <c r="V998" s="4" t="inlineStr">
        <is>
          <t>idem-20260902-ios-0997</t>
        </is>
      </c>
    </row>
    <row r="999" ht="30" customHeight="1">
      <c r="A999" s="4" t="n">
        <v>998</v>
      </c>
      <c r="B999" s="4" t="inlineStr">
        <is>
          <t>MTR-IOS-0998</t>
        </is>
      </c>
      <c r="C999" s="4" t="inlineStr">
        <is>
          <t>Group</t>
        </is>
      </c>
      <c r="D999" s="4" t="inlineStr">
        <is>
          <t>Shared Living</t>
        </is>
      </c>
      <c r="E999" s="4" t="inlineStr">
        <is>
          <t>Flatmates</t>
        </is>
      </c>
      <c r="F999" s="4" t="inlineStr">
        <is>
          <t>Internet</t>
        </is>
      </c>
      <c r="G999" s="4" t="inlineStr">
        <is>
          <t>Expense</t>
        </is>
      </c>
      <c r="H999" s="12" t="n">
        <v>45964</v>
      </c>
      <c r="I999" s="13" t="n">
        <v>0.7231365740740741</v>
      </c>
      <c r="J999" s="14" t="n">
        <v>45964.72313657407</v>
      </c>
      <c r="K999" s="15" t="n">
        <v>11826.54</v>
      </c>
      <c r="L999" s="4" t="inlineStr">
        <is>
          <t>INR</t>
        </is>
      </c>
      <c r="M999" s="15" t="n">
        <v>-11826.54</v>
      </c>
      <c r="N999" s="4" t="inlineStr">
        <is>
          <t>IOS Meera</t>
        </is>
      </c>
      <c r="O999" s="4" t="n">
        <v>3</v>
      </c>
      <c r="P999" s="4" t="inlineStr">
        <is>
          <t>EQUAL</t>
        </is>
      </c>
      <c r="Q999" s="4" t="inlineStr">
        <is>
          <t>MAESTRO-IOS-GROUP-FLATMATES-0998 | Internet | 11826.54</t>
        </is>
      </c>
      <c r="R999" s="4" t="inlineStr">
        <is>
          <t>iPhone</t>
        </is>
      </c>
      <c r="S999" s="4" t="inlineStr">
        <is>
          <t>B20</t>
        </is>
      </c>
      <c r="T999" s="4" t="inlineStr">
        <is>
          <t>RAMP_501_1500</t>
        </is>
      </c>
      <c r="U999" s="4" t="inlineStr">
        <is>
          <t>CREATED</t>
        </is>
      </c>
      <c r="V999" s="4" t="inlineStr">
        <is>
          <t>idem-20260902-ios-0998</t>
        </is>
      </c>
    </row>
    <row r="1000" ht="30" customHeight="1">
      <c r="A1000" s="4" t="n">
        <v>999</v>
      </c>
      <c r="B1000" s="4" t="inlineStr">
        <is>
          <t>MTR-IOS-0999</t>
        </is>
      </c>
      <c r="C1000" s="4" t="inlineStr">
        <is>
          <t>Business</t>
        </is>
      </c>
      <c r="D1000" s="4" t="inlineStr">
        <is>
          <t>Business</t>
        </is>
      </c>
      <c r="E1000" s="4" t="inlineStr">
        <is>
          <t>Business Operations</t>
        </is>
      </c>
      <c r="F1000" s="4" t="inlineStr">
        <is>
          <t>Accounting</t>
        </is>
      </c>
      <c r="G1000" s="4" t="inlineStr">
        <is>
          <t>Expense</t>
        </is>
      </c>
      <c r="H1000" s="12" t="n">
        <v>46082</v>
      </c>
      <c r="I1000" s="13" t="n">
        <v>0.9733333333333334</v>
      </c>
      <c r="J1000" s="14" t="n">
        <v>46082.97333333334</v>
      </c>
      <c r="K1000" s="15" t="n">
        <v>100</v>
      </c>
      <c r="L1000" s="4" t="inlineStr">
        <is>
          <t>INR</t>
        </is>
      </c>
      <c r="M1000" s="15" t="n">
        <v>-100</v>
      </c>
      <c r="N1000" s="4" t="inlineStr">
        <is>
          <t>IOS Owner</t>
        </is>
      </c>
      <c r="O1000" s="4" t="n"/>
      <c r="P1000" s="4" t="n"/>
      <c r="Q1000" s="4" t="inlineStr">
        <is>
          <t>MAESTRO-IOS-BUSINESS-BUSINESS_OPERATIONS-0999 | Accounting | 100.00</t>
        </is>
      </c>
      <c r="R1000" s="4" t="inlineStr">
        <is>
          <t>iPhone</t>
        </is>
      </c>
      <c r="S1000" s="4" t="inlineStr">
        <is>
          <t>B20</t>
        </is>
      </c>
      <c r="T1000" s="4" t="inlineStr">
        <is>
          <t>RAMP_501_1500</t>
        </is>
      </c>
      <c r="U1000" s="4" t="inlineStr">
        <is>
          <t>CREATED</t>
        </is>
      </c>
      <c r="V1000" s="4" t="inlineStr">
        <is>
          <t>idem-20260902-ios-0999</t>
        </is>
      </c>
    </row>
    <row r="1001" ht="30" customHeight="1">
      <c r="A1001" s="4" t="n">
        <v>1000</v>
      </c>
      <c r="B1001" s="4" t="inlineStr">
        <is>
          <t>MTR-IOS-1000</t>
        </is>
      </c>
      <c r="C1001" s="4" t="inlineStr">
        <is>
          <t>Personal</t>
        </is>
      </c>
      <c r="D1001" s="4" t="inlineStr">
        <is>
          <t>Personal</t>
        </is>
      </c>
      <c r="E1001" s="4" t="inlineStr">
        <is>
          <t>Future Building</t>
        </is>
      </c>
      <c r="F1001" s="4" t="inlineStr">
        <is>
          <t>Goal Contribution</t>
        </is>
      </c>
      <c r="G1001" s="4" t="inlineStr">
        <is>
          <t>Transfer</t>
        </is>
      </c>
      <c r="H1001" s="12" t="n">
        <v>45912</v>
      </c>
      <c r="I1001" s="13" t="n">
        <v>0.2615046296296296</v>
      </c>
      <c r="J1001" s="14" t="n">
        <v>45912.26150462963</v>
      </c>
      <c r="K1001" s="15" t="n">
        <v>1673.93</v>
      </c>
      <c r="L1001" s="4" t="inlineStr">
        <is>
          <t>INR</t>
        </is>
      </c>
      <c r="M1001" s="15" t="n">
        <v>0</v>
      </c>
      <c r="N1001" s="4" t="inlineStr">
        <is>
          <t>IOS Owner</t>
        </is>
      </c>
      <c r="O1001" s="4" t="n"/>
      <c r="P1001" s="4" t="n"/>
      <c r="Q1001" s="4" t="inlineStr">
        <is>
          <t>MAESTRO-IOS-PERSONAL-FUTURE_BUILDING-1000 | Goal Contribution | 1673.93</t>
        </is>
      </c>
      <c r="R1001" s="4" t="inlineStr">
        <is>
          <t>iPhone</t>
        </is>
      </c>
      <c r="S1001" s="4" t="inlineStr">
        <is>
          <t>B20</t>
        </is>
      </c>
      <c r="T1001" s="4" t="inlineStr">
        <is>
          <t>RAMP_501_1500</t>
        </is>
      </c>
      <c r="U1001" s="4" t="inlineStr">
        <is>
          <t>CREATED</t>
        </is>
      </c>
      <c r="V1001" s="4" t="inlineStr">
        <is>
          <t>idem-20260902-ios-1000</t>
        </is>
      </c>
    </row>
    <row r="1002" ht="30" customHeight="1">
      <c r="A1002" s="4" t="n">
        <v>1001</v>
      </c>
      <c r="B1002" s="4" t="inlineStr">
        <is>
          <t>MTR-IOS-1001</t>
        </is>
      </c>
      <c r="C1002" s="4" t="inlineStr">
        <is>
          <t>Group</t>
        </is>
      </c>
      <c r="D1002" s="4" t="inlineStr">
        <is>
          <t>Shared Living</t>
        </is>
      </c>
      <c r="E1002" s="4" t="inlineStr">
        <is>
          <t>Flatmates</t>
        </is>
      </c>
      <c r="F1002" s="4" t="inlineStr">
        <is>
          <t>House Supplies</t>
        </is>
      </c>
      <c r="G1002" s="4" t="inlineStr">
        <is>
          <t>Expense</t>
        </is>
      </c>
      <c r="H1002" s="12" t="n">
        <v>46052</v>
      </c>
      <c r="I1002" s="13" t="n">
        <v>0.9525231481481482</v>
      </c>
      <c r="J1002" s="14" t="n">
        <v>46052.95252314815</v>
      </c>
      <c r="K1002" s="15" t="n">
        <v>4949.91</v>
      </c>
      <c r="L1002" s="4" t="inlineStr">
        <is>
          <t>INR</t>
        </is>
      </c>
      <c r="M1002" s="15" t="n">
        <v>-4949.91</v>
      </c>
      <c r="N1002" s="4" t="inlineStr">
        <is>
          <t>IOS Owner</t>
        </is>
      </c>
      <c r="O1002" s="4" t="n">
        <v>3</v>
      </c>
      <c r="P1002" s="4" t="inlineStr">
        <is>
          <t>PERCENTAGE</t>
        </is>
      </c>
      <c r="Q1002" s="4" t="inlineStr">
        <is>
          <t>MAESTRO-IOS-GROUP-FLATMATES-1001 | House Supplies | 4949.91</t>
        </is>
      </c>
      <c r="R1002" s="4" t="inlineStr">
        <is>
          <t>iPhone</t>
        </is>
      </c>
      <c r="S1002" s="4" t="inlineStr">
        <is>
          <t>B21</t>
        </is>
      </c>
      <c r="T1002" s="4" t="inlineStr">
        <is>
          <t>RAMP_501_1500</t>
        </is>
      </c>
      <c r="U1002" s="4" t="inlineStr">
        <is>
          <t>CREATED</t>
        </is>
      </c>
      <c r="V1002" s="4" t="inlineStr">
        <is>
          <t>idem-20260902-ios-1001</t>
        </is>
      </c>
    </row>
    <row r="1003" ht="30" customHeight="1">
      <c r="A1003" s="4" t="n">
        <v>1002</v>
      </c>
      <c r="B1003" s="4" t="inlineStr">
        <is>
          <t>MTR-IOS-1002</t>
        </is>
      </c>
      <c r="C1003" s="4" t="inlineStr">
        <is>
          <t>Business</t>
        </is>
      </c>
      <c r="D1003" s="4" t="inlineStr">
        <is>
          <t>Business</t>
        </is>
      </c>
      <c r="E1003" s="4" t="inlineStr">
        <is>
          <t>Business Operations</t>
        </is>
      </c>
      <c r="F1003" s="4" t="inlineStr">
        <is>
          <t>Equipment</t>
        </is>
      </c>
      <c r="G1003" s="4" t="inlineStr">
        <is>
          <t>Expense</t>
        </is>
      </c>
      <c r="H1003" s="12" t="n">
        <v>46057</v>
      </c>
      <c r="I1003" s="13" t="n">
        <v>0.3195023148148148</v>
      </c>
      <c r="J1003" s="14" t="n">
        <v>46057.31950231481</v>
      </c>
      <c r="K1003" s="15" t="n">
        <v>91371.35000000001</v>
      </c>
      <c r="L1003" s="4" t="inlineStr">
        <is>
          <t>INR</t>
        </is>
      </c>
      <c r="M1003" s="15" t="n">
        <v>-91371.35000000001</v>
      </c>
      <c r="N1003" s="4" t="inlineStr">
        <is>
          <t>IOS Owner</t>
        </is>
      </c>
      <c r="O1003" s="4" t="n"/>
      <c r="P1003" s="4" t="n"/>
      <c r="Q1003" s="4" t="inlineStr">
        <is>
          <t>MAESTRO-IOS-BUSINESS-BUSINESS_OPERATIONS-1002 | Equipment | 91371.35</t>
        </is>
      </c>
      <c r="R1003" s="4" t="inlineStr">
        <is>
          <t>iPhone</t>
        </is>
      </c>
      <c r="S1003" s="4" t="inlineStr">
        <is>
          <t>B21</t>
        </is>
      </c>
      <c r="T1003" s="4" t="inlineStr">
        <is>
          <t>RAMP_501_1500</t>
        </is>
      </c>
      <c r="U1003" s="4" t="inlineStr">
        <is>
          <t>CREATED</t>
        </is>
      </c>
      <c r="V1003" s="4" t="inlineStr">
        <is>
          <t>idem-20260902-ios-1002</t>
        </is>
      </c>
    </row>
    <row r="1004" ht="30" customHeight="1">
      <c r="A1004" s="4" t="n">
        <v>1003</v>
      </c>
      <c r="B1004" s="4" t="inlineStr">
        <is>
          <t>MTR-IOS-1003</t>
        </is>
      </c>
      <c r="C1004" s="4" t="inlineStr">
        <is>
          <t>Personal</t>
        </is>
      </c>
      <c r="D1004" s="4" t="inlineStr">
        <is>
          <t>Personal</t>
        </is>
      </c>
      <c r="E1004" s="4" t="inlineStr">
        <is>
          <t>Lifestyle</t>
        </is>
      </c>
      <c r="F1004" s="4" t="inlineStr">
        <is>
          <t>Dining</t>
        </is>
      </c>
      <c r="G1004" s="4" t="inlineStr">
        <is>
          <t>Expense</t>
        </is>
      </c>
      <c r="H1004" s="12" t="n">
        <v>45945</v>
      </c>
      <c r="I1004" s="13" t="n">
        <v>0.178912037037037</v>
      </c>
      <c r="J1004" s="14" t="n">
        <v>45945.17891203704</v>
      </c>
      <c r="K1004" s="15" t="n">
        <v>14057.07</v>
      </c>
      <c r="L1004" s="4" t="inlineStr">
        <is>
          <t>INR</t>
        </is>
      </c>
      <c r="M1004" s="15" t="n">
        <v>-14057.07</v>
      </c>
      <c r="N1004" s="4" t="inlineStr">
        <is>
          <t>IOS Owner</t>
        </is>
      </c>
      <c r="O1004" s="4" t="n"/>
      <c r="P1004" s="4" t="n"/>
      <c r="Q1004" s="4" t="inlineStr">
        <is>
          <t>MAESTRO-IOS-PERSONAL-LIFESTYLE-1003 | Dining | 14057.07</t>
        </is>
      </c>
      <c r="R1004" s="4" t="inlineStr">
        <is>
          <t>iPhone</t>
        </is>
      </c>
      <c r="S1004" s="4" t="inlineStr">
        <is>
          <t>B21</t>
        </is>
      </c>
      <c r="T1004" s="4" t="inlineStr">
        <is>
          <t>RAMP_501_1500</t>
        </is>
      </c>
      <c r="U1004" s="4" t="inlineStr">
        <is>
          <t>CREATED</t>
        </is>
      </c>
      <c r="V1004" s="4" t="inlineStr">
        <is>
          <t>idem-20260902-ios-1003</t>
        </is>
      </c>
    </row>
    <row r="1005" ht="30" customHeight="1">
      <c r="A1005" s="4" t="n">
        <v>1004</v>
      </c>
      <c r="B1005" s="4" t="inlineStr">
        <is>
          <t>MTR-IOS-1004</t>
        </is>
      </c>
      <c r="C1005" s="4" t="inlineStr">
        <is>
          <t>Group</t>
        </is>
      </c>
      <c r="D1005" s="4" t="inlineStr">
        <is>
          <t>Shared Living</t>
        </is>
      </c>
      <c r="E1005" s="4" t="inlineStr">
        <is>
          <t>Flatmates</t>
        </is>
      </c>
      <c r="F1005" s="4" t="inlineStr">
        <is>
          <t>Repairs</t>
        </is>
      </c>
      <c r="G1005" s="4" t="inlineStr">
        <is>
          <t>Expense</t>
        </is>
      </c>
      <c r="H1005" s="12" t="n">
        <v>45909</v>
      </c>
      <c r="I1005" s="13" t="n">
        <v>0.7229513888888889</v>
      </c>
      <c r="J1005" s="14" t="n">
        <v>45909.72295138889</v>
      </c>
      <c r="K1005" s="15" t="n">
        <v>18872.06</v>
      </c>
      <c r="L1005" s="4" t="inlineStr">
        <is>
          <t>INR</t>
        </is>
      </c>
      <c r="M1005" s="15" t="n">
        <v>-18872.06</v>
      </c>
      <c r="N1005" s="4" t="inlineStr">
        <is>
          <t>IOS Aarav</t>
        </is>
      </c>
      <c r="O1005" s="4" t="n">
        <v>3</v>
      </c>
      <c r="P1005" s="4" t="inlineStr">
        <is>
          <t>EXACT</t>
        </is>
      </c>
      <c r="Q1005" s="4" t="inlineStr">
        <is>
          <t>MAESTRO-IOS-GROUP-FLATMATES-1004 | Repairs | 18872.06</t>
        </is>
      </c>
      <c r="R1005" s="4" t="inlineStr">
        <is>
          <t>iPhone</t>
        </is>
      </c>
      <c r="S1005" s="4" t="inlineStr">
        <is>
          <t>B21</t>
        </is>
      </c>
      <c r="T1005" s="4" t="inlineStr">
        <is>
          <t>RAMP_501_1500</t>
        </is>
      </c>
      <c r="U1005" s="4" t="inlineStr">
        <is>
          <t>CREATED</t>
        </is>
      </c>
      <c r="V1005" s="4" t="inlineStr">
        <is>
          <t>idem-20260902-ios-1004</t>
        </is>
      </c>
    </row>
    <row r="1006" ht="30" customHeight="1">
      <c r="A1006" s="4" t="n">
        <v>1005</v>
      </c>
      <c r="B1006" s="4" t="inlineStr">
        <is>
          <t>MTR-IOS-1005</t>
        </is>
      </c>
      <c r="C1006" s="4" t="inlineStr">
        <is>
          <t>Business</t>
        </is>
      </c>
      <c r="D1006" s="4" t="inlineStr">
        <is>
          <t>Business</t>
        </is>
      </c>
      <c r="E1006" s="4" t="inlineStr">
        <is>
          <t>Business Operations</t>
        </is>
      </c>
      <c r="F1006" s="4" t="inlineStr">
        <is>
          <t>Vendor</t>
        </is>
      </c>
      <c r="G1006" s="4" t="inlineStr">
        <is>
          <t>Expense</t>
        </is>
      </c>
      <c r="H1006" s="12" t="n">
        <v>45939</v>
      </c>
      <c r="I1006" s="13" t="n">
        <v>0.5950115740740741</v>
      </c>
      <c r="J1006" s="14" t="n">
        <v>45939.59501157407</v>
      </c>
      <c r="K1006" s="15" t="n">
        <v>156257.44</v>
      </c>
      <c r="L1006" s="4" t="inlineStr">
        <is>
          <t>INR</t>
        </is>
      </c>
      <c r="M1006" s="15" t="n">
        <v>-156257.44</v>
      </c>
      <c r="N1006" s="4" t="inlineStr">
        <is>
          <t>IOS Owner</t>
        </is>
      </c>
      <c r="O1006" s="4" t="n"/>
      <c r="P1006" s="4" t="n"/>
      <c r="Q1006" s="4" t="inlineStr">
        <is>
          <t>MAESTRO-IOS-BUSINESS-BUSINESS_OPERATIONS-1005 | Vendor | 156257.44</t>
        </is>
      </c>
      <c r="R1006" s="4" t="inlineStr">
        <is>
          <t>iPhone</t>
        </is>
      </c>
      <c r="S1006" s="4" t="inlineStr">
        <is>
          <t>B21</t>
        </is>
      </c>
      <c r="T1006" s="4" t="inlineStr">
        <is>
          <t>RAMP_501_1500</t>
        </is>
      </c>
      <c r="U1006" s="4" t="inlineStr">
        <is>
          <t>CREATED</t>
        </is>
      </c>
      <c r="V1006" s="4" t="inlineStr">
        <is>
          <t>idem-20260902-ios-1005</t>
        </is>
      </c>
    </row>
    <row r="1007" ht="30" customHeight="1">
      <c r="A1007" s="4" t="n">
        <v>1006</v>
      </c>
      <c r="B1007" s="4" t="inlineStr">
        <is>
          <t>MTR-IOS-1006</t>
        </is>
      </c>
      <c r="C1007" s="4" t="inlineStr">
        <is>
          <t>Personal</t>
        </is>
      </c>
      <c r="D1007" s="4" t="inlineStr">
        <is>
          <t>Personal</t>
        </is>
      </c>
      <c r="E1007" s="4" t="inlineStr">
        <is>
          <t>Lifestyle</t>
        </is>
      </c>
      <c r="F1007" s="4" t="inlineStr">
        <is>
          <t>Shopping</t>
        </is>
      </c>
      <c r="G1007" s="4" t="inlineStr">
        <is>
          <t>Expense</t>
        </is>
      </c>
      <c r="H1007" s="12" t="n">
        <v>46253</v>
      </c>
      <c r="I1007" s="13" t="n">
        <v>0.622349537037037</v>
      </c>
      <c r="J1007" s="14" t="n">
        <v>46253.62234953704</v>
      </c>
      <c r="K1007" s="15" t="n">
        <v>15685.28</v>
      </c>
      <c r="L1007" s="4" t="inlineStr">
        <is>
          <t>INR</t>
        </is>
      </c>
      <c r="M1007" s="15" t="n">
        <v>-15685.28</v>
      </c>
      <c r="N1007" s="4" t="inlineStr">
        <is>
          <t>IOS Owner</t>
        </is>
      </c>
      <c r="O1007" s="4" t="n"/>
      <c r="P1007" s="4" t="n"/>
      <c r="Q1007" s="4" t="inlineStr">
        <is>
          <t>MAESTRO-IOS-PERSONAL-LIFESTYLE-1006 | Shopping | 15685.28</t>
        </is>
      </c>
      <c r="R1007" s="4" t="inlineStr">
        <is>
          <t>iPhone</t>
        </is>
      </c>
      <c r="S1007" s="4" t="inlineStr">
        <is>
          <t>B21</t>
        </is>
      </c>
      <c r="T1007" s="4" t="inlineStr">
        <is>
          <t>RAMP_501_1500</t>
        </is>
      </c>
      <c r="U1007" s="4" t="inlineStr">
        <is>
          <t>CREATED</t>
        </is>
      </c>
      <c r="V1007" s="4" t="inlineStr">
        <is>
          <t>idem-20260902-ios-1006</t>
        </is>
      </c>
    </row>
    <row r="1008" ht="30" customHeight="1">
      <c r="A1008" s="4" t="n">
        <v>1007</v>
      </c>
      <c r="B1008" s="4" t="inlineStr">
        <is>
          <t>MTR-IOS-1007</t>
        </is>
      </c>
      <c r="C1008" s="4" t="inlineStr">
        <is>
          <t>Group</t>
        </is>
      </c>
      <c r="D1008" s="4" t="inlineStr">
        <is>
          <t>Shared Living</t>
        </is>
      </c>
      <c r="E1008" s="4" t="inlineStr">
        <is>
          <t>Shared Living</t>
        </is>
      </c>
      <c r="F1008" s="4" t="inlineStr">
        <is>
          <t>Rent</t>
        </is>
      </c>
      <c r="G1008" s="4" t="inlineStr">
        <is>
          <t>Expense</t>
        </is>
      </c>
      <c r="H1008" s="12" t="n">
        <v>45926</v>
      </c>
      <c r="I1008" s="13" t="n">
        <v>0.6374305555555555</v>
      </c>
      <c r="J1008" s="14" t="n">
        <v>45926.63743055556</v>
      </c>
      <c r="K1008" s="15" t="n">
        <v>19604.88</v>
      </c>
      <c r="L1008" s="4" t="inlineStr">
        <is>
          <t>INR</t>
        </is>
      </c>
      <c r="M1008" s="15" t="n">
        <v>-19604.88</v>
      </c>
      <c r="N1008" s="4" t="inlineStr">
        <is>
          <t>IOS Meera</t>
        </is>
      </c>
      <c r="O1008" s="4" t="n">
        <v>3</v>
      </c>
      <c r="P1008" s="4" t="inlineStr">
        <is>
          <t>SHARES</t>
        </is>
      </c>
      <c r="Q1008" s="4" t="inlineStr">
        <is>
          <t>MAESTRO-IOS-GROUP-SHARED_LIVING-1007 | Rent | 19604.88</t>
        </is>
      </c>
      <c r="R1008" s="4" t="inlineStr">
        <is>
          <t>iPhone</t>
        </is>
      </c>
      <c r="S1008" s="4" t="inlineStr">
        <is>
          <t>B21</t>
        </is>
      </c>
      <c r="T1008" s="4" t="inlineStr">
        <is>
          <t>RAMP_501_1500</t>
        </is>
      </c>
      <c r="U1008" s="4" t="inlineStr">
        <is>
          <t>CREATED</t>
        </is>
      </c>
      <c r="V1008" s="4" t="inlineStr">
        <is>
          <t>idem-20260902-ios-1007</t>
        </is>
      </c>
    </row>
    <row r="1009" ht="30" customHeight="1">
      <c r="A1009" s="4" t="n">
        <v>1008</v>
      </c>
      <c r="B1009" s="4" t="inlineStr">
        <is>
          <t>MTR-IOS-1008</t>
        </is>
      </c>
      <c r="C1009" s="4" t="inlineStr">
        <is>
          <t>Business</t>
        </is>
      </c>
      <c r="D1009" s="4" t="inlineStr">
        <is>
          <t>Business</t>
        </is>
      </c>
      <c r="E1009" s="4" t="inlineStr">
        <is>
          <t>Business Operations</t>
        </is>
      </c>
      <c r="F1009" s="4" t="inlineStr">
        <is>
          <t>Tax</t>
        </is>
      </c>
      <c r="G1009" s="4" t="inlineStr">
        <is>
          <t>Expense</t>
        </is>
      </c>
      <c r="H1009" s="12" t="n">
        <v>46204</v>
      </c>
      <c r="I1009" s="13" t="n">
        <v>0.8630902777777778</v>
      </c>
      <c r="J1009" s="14" t="n">
        <v>46204.86309027778</v>
      </c>
      <c r="K1009" s="15" t="n">
        <v>98578.83</v>
      </c>
      <c r="L1009" s="4" t="inlineStr">
        <is>
          <t>INR</t>
        </is>
      </c>
      <c r="M1009" s="15" t="n">
        <v>-98578.83</v>
      </c>
      <c r="N1009" s="4" t="inlineStr">
        <is>
          <t>IOS Owner</t>
        </is>
      </c>
      <c r="O1009" s="4" t="n"/>
      <c r="P1009" s="4" t="n"/>
      <c r="Q1009" s="4" t="inlineStr">
        <is>
          <t>MAESTRO-IOS-BUSINESS-BUSINESS_OPERATIONS-1008 | Tax | 98578.83</t>
        </is>
      </c>
      <c r="R1009" s="4" t="inlineStr">
        <is>
          <t>iPhone</t>
        </is>
      </c>
      <c r="S1009" s="4" t="inlineStr">
        <is>
          <t>B21</t>
        </is>
      </c>
      <c r="T1009" s="4" t="inlineStr">
        <is>
          <t>RAMP_501_1500</t>
        </is>
      </c>
      <c r="U1009" s="4" t="inlineStr">
        <is>
          <t>CREATED</t>
        </is>
      </c>
      <c r="V1009" s="4" t="inlineStr">
        <is>
          <t>idem-20260902-ios-1008</t>
        </is>
      </c>
    </row>
    <row r="1010" ht="30" customHeight="1">
      <c r="A1010" s="4" t="n">
        <v>1009</v>
      </c>
      <c r="B1010" s="4" t="inlineStr">
        <is>
          <t>MTR-IOS-1009</t>
        </is>
      </c>
      <c r="C1010" s="4" t="inlineStr">
        <is>
          <t>Personal</t>
        </is>
      </c>
      <c r="D1010" s="4" t="inlineStr">
        <is>
          <t>Personal</t>
        </is>
      </c>
      <c r="E1010" s="4" t="inlineStr">
        <is>
          <t>Lifestyle</t>
        </is>
      </c>
      <c r="F1010" s="4" t="inlineStr">
        <is>
          <t>Entertainment</t>
        </is>
      </c>
      <c r="G1010" s="4" t="inlineStr">
        <is>
          <t>Expense</t>
        </is>
      </c>
      <c r="H1010" s="12" t="n">
        <v>46122</v>
      </c>
      <c r="I1010" s="13" t="n">
        <v>0.3729166666666667</v>
      </c>
      <c r="J1010" s="14" t="n">
        <v>46122.37291666667</v>
      </c>
      <c r="K1010" s="15" t="n">
        <v>9677.5</v>
      </c>
      <c r="L1010" s="4" t="inlineStr">
        <is>
          <t>INR</t>
        </is>
      </c>
      <c r="M1010" s="15" t="n">
        <v>-9677.5</v>
      </c>
      <c r="N1010" s="4" t="inlineStr">
        <is>
          <t>IOS Owner</t>
        </is>
      </c>
      <c r="O1010" s="4" t="n"/>
      <c r="P1010" s="4" t="n"/>
      <c r="Q1010" s="4" t="inlineStr">
        <is>
          <t>MAESTRO-IOS-PERSONAL-LIFESTYLE-1009 | Entertainment | 9677.50</t>
        </is>
      </c>
      <c r="R1010" s="4" t="inlineStr">
        <is>
          <t>iPhone</t>
        </is>
      </c>
      <c r="S1010" s="4" t="inlineStr">
        <is>
          <t>B21</t>
        </is>
      </c>
      <c r="T1010" s="4" t="inlineStr">
        <is>
          <t>RAMP_501_1500</t>
        </is>
      </c>
      <c r="U1010" s="4" t="inlineStr">
        <is>
          <t>CREATED</t>
        </is>
      </c>
      <c r="V1010" s="4" t="inlineStr">
        <is>
          <t>idem-20260902-ios-1009</t>
        </is>
      </c>
    </row>
    <row r="1011" ht="30" customHeight="1">
      <c r="A1011" s="4" t="n">
        <v>1010</v>
      </c>
      <c r="B1011" s="4" t="inlineStr">
        <is>
          <t>MTR-IOS-1010</t>
        </is>
      </c>
      <c r="C1011" s="4" t="inlineStr">
        <is>
          <t>Group</t>
        </is>
      </c>
      <c r="D1011" s="4" t="inlineStr">
        <is>
          <t>Shared Living</t>
        </is>
      </c>
      <c r="E1011" s="4" t="inlineStr">
        <is>
          <t>Shared Living</t>
        </is>
      </c>
      <c r="F1011" s="4" t="inlineStr">
        <is>
          <t>Utilities</t>
        </is>
      </c>
      <c r="G1011" s="4" t="inlineStr">
        <is>
          <t>Expense</t>
        </is>
      </c>
      <c r="H1011" s="12" t="n">
        <v>46266</v>
      </c>
      <c r="I1011" s="13" t="n">
        <v>0.8829050925925926</v>
      </c>
      <c r="J1011" s="14" t="n">
        <v>46266.88290509259</v>
      </c>
      <c r="K1011" s="15" t="n">
        <v>7531.2</v>
      </c>
      <c r="L1011" s="4" t="inlineStr">
        <is>
          <t>INR</t>
        </is>
      </c>
      <c r="M1011" s="15" t="n">
        <v>-7531.2</v>
      </c>
      <c r="N1011" s="4" t="inlineStr">
        <is>
          <t>IOS Owner</t>
        </is>
      </c>
      <c r="O1011" s="4" t="n">
        <v>3</v>
      </c>
      <c r="P1011" s="4" t="inlineStr">
        <is>
          <t>EQUAL</t>
        </is>
      </c>
      <c r="Q1011" s="4" t="inlineStr">
        <is>
          <t>MAESTRO-IOS-GROUP-SHARED_LIVING-1010 | Utilities | 7531.20</t>
        </is>
      </c>
      <c r="R1011" s="4" t="inlineStr">
        <is>
          <t>iPhone</t>
        </is>
      </c>
      <c r="S1011" s="4" t="inlineStr">
        <is>
          <t>B21</t>
        </is>
      </c>
      <c r="T1011" s="4" t="inlineStr">
        <is>
          <t>RAMP_501_1500</t>
        </is>
      </c>
      <c r="U1011" s="4" t="inlineStr">
        <is>
          <t>CREATED</t>
        </is>
      </c>
      <c r="V1011" s="4" t="inlineStr">
        <is>
          <t>idem-20260902-ios-1010</t>
        </is>
      </c>
    </row>
    <row r="1012" ht="30" customHeight="1">
      <c r="A1012" s="4" t="n">
        <v>1011</v>
      </c>
      <c r="B1012" s="4" t="inlineStr">
        <is>
          <t>MTR-IOS-1011</t>
        </is>
      </c>
      <c r="C1012" s="4" t="inlineStr">
        <is>
          <t>Business</t>
        </is>
      </c>
      <c r="D1012" s="4" t="inlineStr">
        <is>
          <t>Business</t>
        </is>
      </c>
      <c r="E1012" s="4" t="inlineStr">
        <is>
          <t>Team Operations</t>
        </is>
      </c>
      <c r="F1012" s="4" t="inlineStr">
        <is>
          <t>Payroll</t>
        </is>
      </c>
      <c r="G1012" s="4" t="inlineStr">
        <is>
          <t>Expense</t>
        </is>
      </c>
      <c r="H1012" s="12" t="n">
        <v>45969</v>
      </c>
      <c r="I1012" s="13" t="n">
        <v>0.2865162037037037</v>
      </c>
      <c r="J1012" s="14" t="n">
        <v>45969.28651620371</v>
      </c>
      <c r="K1012" s="15" t="n">
        <v>110608.72</v>
      </c>
      <c r="L1012" s="4" t="inlineStr">
        <is>
          <t>INR</t>
        </is>
      </c>
      <c r="M1012" s="15" t="n">
        <v>-110608.72</v>
      </c>
      <c r="N1012" s="4" t="inlineStr">
        <is>
          <t>IOS Owner</t>
        </is>
      </c>
      <c r="O1012" s="4" t="n"/>
      <c r="P1012" s="4" t="n"/>
      <c r="Q1012" s="4" t="inlineStr">
        <is>
          <t>MAESTRO-IOS-BUSINESS-TEAM_OPERATIONS-1011 | Payroll | 110608.72</t>
        </is>
      </c>
      <c r="R1012" s="4" t="inlineStr">
        <is>
          <t>iPhone</t>
        </is>
      </c>
      <c r="S1012" s="4" t="inlineStr">
        <is>
          <t>B21</t>
        </is>
      </c>
      <c r="T1012" s="4" t="inlineStr">
        <is>
          <t>RAMP_501_1500</t>
        </is>
      </c>
      <c r="U1012" s="4" t="inlineStr">
        <is>
          <t>CREATED</t>
        </is>
      </c>
      <c r="V1012" s="4" t="inlineStr">
        <is>
          <t>idem-20260902-ios-1011</t>
        </is>
      </c>
    </row>
    <row r="1013" ht="30" customHeight="1">
      <c r="A1013" s="4" t="n">
        <v>1012</v>
      </c>
      <c r="B1013" s="4" t="inlineStr">
        <is>
          <t>MTR-IOS-1012</t>
        </is>
      </c>
      <c r="C1013" s="4" t="inlineStr">
        <is>
          <t>Personal</t>
        </is>
      </c>
      <c r="D1013" s="4" t="inlineStr">
        <is>
          <t>Personal</t>
        </is>
      </c>
      <c r="E1013" s="4" t="inlineStr">
        <is>
          <t>Lifestyle</t>
        </is>
      </c>
      <c r="F1013" s="4" t="inlineStr">
        <is>
          <t>Travel</t>
        </is>
      </c>
      <c r="G1013" s="4" t="inlineStr">
        <is>
          <t>Expense</t>
        </is>
      </c>
      <c r="H1013" s="12" t="n">
        <v>46160</v>
      </c>
      <c r="I1013" s="13" t="n">
        <v>0.5004282407407408</v>
      </c>
      <c r="J1013" s="14" t="n">
        <v>46160.50042824074</v>
      </c>
      <c r="K1013" s="15" t="n">
        <v>12998.58</v>
      </c>
      <c r="L1013" s="4" t="inlineStr">
        <is>
          <t>INR</t>
        </is>
      </c>
      <c r="M1013" s="15" t="n">
        <v>-12998.58</v>
      </c>
      <c r="N1013" s="4" t="inlineStr">
        <is>
          <t>IOS Owner</t>
        </is>
      </c>
      <c r="O1013" s="4" t="n"/>
      <c r="P1013" s="4" t="n"/>
      <c r="Q1013" s="4" t="inlineStr">
        <is>
          <t>MAESTRO-IOS-PERSONAL-LIFESTYLE-1012 | Travel | 12998.58</t>
        </is>
      </c>
      <c r="R1013" s="4" t="inlineStr">
        <is>
          <t>iPhone</t>
        </is>
      </c>
      <c r="S1013" s="4" t="inlineStr">
        <is>
          <t>B21</t>
        </is>
      </c>
      <c r="T1013" s="4" t="inlineStr">
        <is>
          <t>RAMP_501_1500</t>
        </is>
      </c>
      <c r="U1013" s="4" t="inlineStr">
        <is>
          <t>CREATED</t>
        </is>
      </c>
      <c r="V1013" s="4" t="inlineStr">
        <is>
          <t>idem-20260902-ios-1012</t>
        </is>
      </c>
    </row>
    <row r="1014" ht="30" customHeight="1">
      <c r="A1014" s="4" t="n">
        <v>1013</v>
      </c>
      <c r="B1014" s="4" t="inlineStr">
        <is>
          <t>MTR-IOS-1013</t>
        </is>
      </c>
      <c r="C1014" s="4" t="inlineStr">
        <is>
          <t>Group</t>
        </is>
      </c>
      <c r="D1014" s="4" t="inlineStr">
        <is>
          <t>Shared Living</t>
        </is>
      </c>
      <c r="E1014" s="4" t="inlineStr">
        <is>
          <t>Shared Living</t>
        </is>
      </c>
      <c r="F1014" s="4" t="inlineStr">
        <is>
          <t>Groceries</t>
        </is>
      </c>
      <c r="G1014" s="4" t="inlineStr">
        <is>
          <t>Expense</t>
        </is>
      </c>
      <c r="H1014" s="12" t="n">
        <v>45966</v>
      </c>
      <c r="I1014" s="13" t="n">
        <v>0.8753587962962963</v>
      </c>
      <c r="J1014" s="14" t="n">
        <v>45966.87535879629</v>
      </c>
      <c r="K1014" s="15" t="n">
        <v>19375.74</v>
      </c>
      <c r="L1014" s="4" t="inlineStr">
        <is>
          <t>INR</t>
        </is>
      </c>
      <c r="M1014" s="15" t="n">
        <v>-19375.74</v>
      </c>
      <c r="N1014" s="4" t="inlineStr">
        <is>
          <t>IOS Aarav</t>
        </is>
      </c>
      <c r="O1014" s="4" t="n">
        <v>3</v>
      </c>
      <c r="P1014" s="4" t="inlineStr">
        <is>
          <t>PERCENTAGE</t>
        </is>
      </c>
      <c r="Q1014" s="4" t="inlineStr">
        <is>
          <t>MAESTRO-IOS-GROUP-SHARED_LIVING-1013 | Groceries | 19375.74</t>
        </is>
      </c>
      <c r="R1014" s="4" t="inlineStr">
        <is>
          <t>iPhone</t>
        </is>
      </c>
      <c r="S1014" s="4" t="inlineStr">
        <is>
          <t>B21</t>
        </is>
      </c>
      <c r="T1014" s="4" t="inlineStr">
        <is>
          <t>RAMP_501_1500</t>
        </is>
      </c>
      <c r="U1014" s="4" t="inlineStr">
        <is>
          <t>CREATED</t>
        </is>
      </c>
      <c r="V1014" s="4" t="inlineStr">
        <is>
          <t>idem-20260902-ios-1013</t>
        </is>
      </c>
    </row>
    <row r="1015" ht="30" customHeight="1">
      <c r="A1015" s="4" t="n">
        <v>1014</v>
      </c>
      <c r="B1015" s="4" t="inlineStr">
        <is>
          <t>MTR-IOS-1014</t>
        </is>
      </c>
      <c r="C1015" s="4" t="inlineStr">
        <is>
          <t>Business</t>
        </is>
      </c>
      <c r="D1015" s="4" t="inlineStr">
        <is>
          <t>Business</t>
        </is>
      </c>
      <c r="E1015" s="4" t="inlineStr">
        <is>
          <t>Team Operations</t>
        </is>
      </c>
      <c r="F1015" s="4" t="inlineStr">
        <is>
          <t>Contractor</t>
        </is>
      </c>
      <c r="G1015" s="4" t="inlineStr">
        <is>
          <t>Expense</t>
        </is>
      </c>
      <c r="H1015" s="12" t="n">
        <v>46260</v>
      </c>
      <c r="I1015" s="13" t="n">
        <v>0.02150462962962963</v>
      </c>
      <c r="J1015" s="14" t="n">
        <v>46260.02150462963</v>
      </c>
      <c r="K1015" s="15" t="n">
        <v>61658.15</v>
      </c>
      <c r="L1015" s="4" t="inlineStr">
        <is>
          <t>INR</t>
        </is>
      </c>
      <c r="M1015" s="15" t="n">
        <v>-61658.15</v>
      </c>
      <c r="N1015" s="4" t="inlineStr">
        <is>
          <t>IOS Owner</t>
        </is>
      </c>
      <c r="O1015" s="4" t="n"/>
      <c r="P1015" s="4" t="n"/>
      <c r="Q1015" s="4" t="inlineStr">
        <is>
          <t>MAESTRO-IOS-BUSINESS-TEAM_OPERATIONS-1014 | Contractor | 61658.15</t>
        </is>
      </c>
      <c r="R1015" s="4" t="inlineStr">
        <is>
          <t>iPhone</t>
        </is>
      </c>
      <c r="S1015" s="4" t="inlineStr">
        <is>
          <t>B21</t>
        </is>
      </c>
      <c r="T1015" s="4" t="inlineStr">
        <is>
          <t>RAMP_501_1500</t>
        </is>
      </c>
      <c r="U1015" s="4" t="inlineStr">
        <is>
          <t>CREATED</t>
        </is>
      </c>
      <c r="V1015" s="4" t="inlineStr">
        <is>
          <t>idem-20260902-ios-1014</t>
        </is>
      </c>
    </row>
    <row r="1016" ht="30" customHeight="1">
      <c r="A1016" s="4" t="n">
        <v>1015</v>
      </c>
      <c r="B1016" s="4" t="inlineStr">
        <is>
          <t>MTR-IOS-1015</t>
        </is>
      </c>
      <c r="C1016" s="4" t="inlineStr">
        <is>
          <t>Personal</t>
        </is>
      </c>
      <c r="D1016" s="4" t="inlineStr">
        <is>
          <t>Personal</t>
        </is>
      </c>
      <c r="E1016" s="4" t="inlineStr">
        <is>
          <t>Lifestyle</t>
        </is>
      </c>
      <c r="F1016" s="4" t="inlineStr">
        <is>
          <t>Fitness</t>
        </is>
      </c>
      <c r="G1016" s="4" t="inlineStr">
        <is>
          <t>Expense</t>
        </is>
      </c>
      <c r="H1016" s="12" t="n">
        <v>46016</v>
      </c>
      <c r="I1016" s="13" t="n">
        <v>0.195150462962963</v>
      </c>
      <c r="J1016" s="14" t="n">
        <v>46016.19515046296</v>
      </c>
      <c r="K1016" s="15" t="n">
        <v>12464.75</v>
      </c>
      <c r="L1016" s="4" t="inlineStr">
        <is>
          <t>INR</t>
        </is>
      </c>
      <c r="M1016" s="15" t="n">
        <v>-12464.75</v>
      </c>
      <c r="N1016" s="4" t="inlineStr">
        <is>
          <t>IOS Owner</t>
        </is>
      </c>
      <c r="O1016" s="4" t="n"/>
      <c r="P1016" s="4" t="n"/>
      <c r="Q1016" s="4" t="inlineStr">
        <is>
          <t>MAESTRO-IOS-PERSONAL-LIFESTYLE-1015 | Fitness | 12464.75</t>
        </is>
      </c>
      <c r="R1016" s="4" t="inlineStr">
        <is>
          <t>iPhone</t>
        </is>
      </c>
      <c r="S1016" s="4" t="inlineStr">
        <is>
          <t>B21</t>
        </is>
      </c>
      <c r="T1016" s="4" t="inlineStr">
        <is>
          <t>RAMP_501_1500</t>
        </is>
      </c>
      <c r="U1016" s="4" t="inlineStr">
        <is>
          <t>CREATED</t>
        </is>
      </c>
      <c r="V1016" s="4" t="inlineStr">
        <is>
          <t>idem-20260902-ios-1015</t>
        </is>
      </c>
    </row>
    <row r="1017" ht="30" customHeight="1">
      <c r="A1017" s="4" t="n">
        <v>1016</v>
      </c>
      <c r="B1017" s="4" t="inlineStr">
        <is>
          <t>MTR-IOS-1016</t>
        </is>
      </c>
      <c r="C1017" s="4" t="inlineStr">
        <is>
          <t>Group</t>
        </is>
      </c>
      <c r="D1017" s="4" t="inlineStr">
        <is>
          <t>Shared Living</t>
        </is>
      </c>
      <c r="E1017" s="4" t="inlineStr">
        <is>
          <t>Shared Living</t>
        </is>
      </c>
      <c r="F1017" s="4" t="inlineStr">
        <is>
          <t>Maintenance</t>
        </is>
      </c>
      <c r="G1017" s="4" t="inlineStr">
        <is>
          <t>Expense</t>
        </is>
      </c>
      <c r="H1017" s="12" t="n">
        <v>46212</v>
      </c>
      <c r="I1017" s="13" t="n">
        <v>0.07442129629629629</v>
      </c>
      <c r="J1017" s="14" t="n">
        <v>46212.0744212963</v>
      </c>
      <c r="K1017" s="15" t="n">
        <v>18585.29</v>
      </c>
      <c r="L1017" s="4" t="inlineStr">
        <is>
          <t>INR</t>
        </is>
      </c>
      <c r="M1017" s="15" t="n">
        <v>-18585.29</v>
      </c>
      <c r="N1017" s="4" t="inlineStr">
        <is>
          <t>IOS Meera</t>
        </is>
      </c>
      <c r="O1017" s="4" t="n">
        <v>3</v>
      </c>
      <c r="P1017" s="4" t="inlineStr">
        <is>
          <t>EXACT</t>
        </is>
      </c>
      <c r="Q1017" s="4" t="inlineStr">
        <is>
          <t>MAESTRO-IOS-GROUP-SHARED_LIVING-1016 | Maintenance | 18585.29</t>
        </is>
      </c>
      <c r="R1017" s="4" t="inlineStr">
        <is>
          <t>iPhone</t>
        </is>
      </c>
      <c r="S1017" s="4" t="inlineStr">
        <is>
          <t>B21</t>
        </is>
      </c>
      <c r="T1017" s="4" t="inlineStr">
        <is>
          <t>RAMP_501_1500</t>
        </is>
      </c>
      <c r="U1017" s="4" t="inlineStr">
        <is>
          <t>CREATED</t>
        </is>
      </c>
      <c r="V1017" s="4" t="inlineStr">
        <is>
          <t>idem-20260902-ios-1016</t>
        </is>
      </c>
    </row>
    <row r="1018" ht="30" customHeight="1">
      <c r="A1018" s="4" t="n">
        <v>1017</v>
      </c>
      <c r="B1018" s="4" t="inlineStr">
        <is>
          <t>MTR-IOS-1017</t>
        </is>
      </c>
      <c r="C1018" s="4" t="inlineStr">
        <is>
          <t>Business</t>
        </is>
      </c>
      <c r="D1018" s="4" t="inlineStr">
        <is>
          <t>Business</t>
        </is>
      </c>
      <c r="E1018" s="4" t="inlineStr">
        <is>
          <t>Team Operations</t>
        </is>
      </c>
      <c r="F1018" s="4" t="inlineStr">
        <is>
          <t>Hiring</t>
        </is>
      </c>
      <c r="G1018" s="4" t="inlineStr">
        <is>
          <t>Expense</t>
        </is>
      </c>
      <c r="H1018" s="12" t="n">
        <v>46218</v>
      </c>
      <c r="I1018" s="13" t="n">
        <v>0.08358796296296296</v>
      </c>
      <c r="J1018" s="14" t="n">
        <v>46218.08358796296</v>
      </c>
      <c r="K1018" s="15" t="n">
        <v>16814.47</v>
      </c>
      <c r="L1018" s="4" t="inlineStr">
        <is>
          <t>INR</t>
        </is>
      </c>
      <c r="M1018" s="15" t="n">
        <v>-16814.47</v>
      </c>
      <c r="N1018" s="4" t="inlineStr">
        <is>
          <t>IOS Owner</t>
        </is>
      </c>
      <c r="O1018" s="4" t="n"/>
      <c r="P1018" s="4" t="n"/>
      <c r="Q1018" s="4" t="inlineStr">
        <is>
          <t>MAESTRO-IOS-BUSINESS-TEAM_OPERATIONS-1017 | Hiring | 16814.47</t>
        </is>
      </c>
      <c r="R1018" s="4" t="inlineStr">
        <is>
          <t>iPhone</t>
        </is>
      </c>
      <c r="S1018" s="4" t="inlineStr">
        <is>
          <t>B21</t>
        </is>
      </c>
      <c r="T1018" s="4" t="inlineStr">
        <is>
          <t>RAMP_501_1500</t>
        </is>
      </c>
      <c r="U1018" s="4" t="inlineStr">
        <is>
          <t>CREATED</t>
        </is>
      </c>
      <c r="V1018" s="4" t="inlineStr">
        <is>
          <t>idem-20260902-ios-1017</t>
        </is>
      </c>
    </row>
    <row r="1019" ht="30" customHeight="1">
      <c r="A1019" s="4" t="n">
        <v>1018</v>
      </c>
      <c r="B1019" s="4" t="inlineStr">
        <is>
          <t>MTR-IOS-1018</t>
        </is>
      </c>
      <c r="C1019" s="4" t="inlineStr">
        <is>
          <t>Personal</t>
        </is>
      </c>
      <c r="D1019" s="4" t="inlineStr">
        <is>
          <t>Personal</t>
        </is>
      </c>
      <c r="E1019" s="4" t="inlineStr">
        <is>
          <t>Lifestyle</t>
        </is>
      </c>
      <c r="F1019" s="4" t="inlineStr">
        <is>
          <t>Hobbies</t>
        </is>
      </c>
      <c r="G1019" s="4" t="inlineStr">
        <is>
          <t>Expense</t>
        </is>
      </c>
      <c r="H1019" s="12" t="n">
        <v>45975</v>
      </c>
      <c r="I1019" s="13" t="n">
        <v>0.8096296296296296</v>
      </c>
      <c r="J1019" s="14" t="n">
        <v>45975.80962962963</v>
      </c>
      <c r="K1019" s="15" t="n">
        <v>1421.3</v>
      </c>
      <c r="L1019" s="4" t="inlineStr">
        <is>
          <t>INR</t>
        </is>
      </c>
      <c r="M1019" s="15" t="n">
        <v>-1421.3</v>
      </c>
      <c r="N1019" s="4" t="inlineStr">
        <is>
          <t>IOS Owner</t>
        </is>
      </c>
      <c r="O1019" s="4" t="n"/>
      <c r="P1019" s="4" t="n"/>
      <c r="Q1019" s="4" t="inlineStr">
        <is>
          <t>MAESTRO-IOS-PERSONAL-LIFESTYLE-1018 | Hobbies | 1421.30</t>
        </is>
      </c>
      <c r="R1019" s="4" t="inlineStr">
        <is>
          <t>iPhone</t>
        </is>
      </c>
      <c r="S1019" s="4" t="inlineStr">
        <is>
          <t>B21</t>
        </is>
      </c>
      <c r="T1019" s="4" t="inlineStr">
        <is>
          <t>RAMP_501_1500</t>
        </is>
      </c>
      <c r="U1019" s="4" t="inlineStr">
        <is>
          <t>CREATED</t>
        </is>
      </c>
      <c r="V1019" s="4" t="inlineStr">
        <is>
          <t>idem-20260902-ios-1018</t>
        </is>
      </c>
    </row>
    <row r="1020" ht="30" customHeight="1">
      <c r="A1020" s="4" t="n">
        <v>1019</v>
      </c>
      <c r="B1020" s="4" t="inlineStr">
        <is>
          <t>MTR-IOS-1019</t>
        </is>
      </c>
      <c r="C1020" s="4" t="inlineStr">
        <is>
          <t>Group</t>
        </is>
      </c>
      <c r="D1020" s="4" t="inlineStr">
        <is>
          <t>Shared Living</t>
        </is>
      </c>
      <c r="E1020" s="4" t="inlineStr">
        <is>
          <t>Shared Living</t>
        </is>
      </c>
      <c r="F1020" s="4" t="inlineStr">
        <is>
          <t>Other</t>
        </is>
      </c>
      <c r="G1020" s="4" t="inlineStr">
        <is>
          <t>Expense</t>
        </is>
      </c>
      <c r="H1020" s="12" t="n">
        <v>46264</v>
      </c>
      <c r="I1020" s="13" t="n">
        <v>0.4419791666666666</v>
      </c>
      <c r="J1020" s="14" t="n">
        <v>46264.44197916667</v>
      </c>
      <c r="K1020" s="15" t="n">
        <v>22445.97</v>
      </c>
      <c r="L1020" s="4" t="inlineStr">
        <is>
          <t>INR</t>
        </is>
      </c>
      <c r="M1020" s="15" t="n">
        <v>-22445.97</v>
      </c>
      <c r="N1020" s="4" t="inlineStr">
        <is>
          <t>IOS Owner</t>
        </is>
      </c>
      <c r="O1020" s="4" t="n">
        <v>3</v>
      </c>
      <c r="P1020" s="4" t="inlineStr">
        <is>
          <t>SHARES</t>
        </is>
      </c>
      <c r="Q1020" s="4" t="inlineStr">
        <is>
          <t>MAESTRO-IOS-GROUP-SHARED_LIVING-1019 | Other | 22445.97</t>
        </is>
      </c>
      <c r="R1020" s="4" t="inlineStr">
        <is>
          <t>iPhone</t>
        </is>
      </c>
      <c r="S1020" s="4" t="inlineStr">
        <is>
          <t>B21</t>
        </is>
      </c>
      <c r="T1020" s="4" t="inlineStr">
        <is>
          <t>RAMP_501_1500</t>
        </is>
      </c>
      <c r="U1020" s="4" t="inlineStr">
        <is>
          <t>CREATED</t>
        </is>
      </c>
      <c r="V1020" s="4" t="inlineStr">
        <is>
          <t>idem-20260902-ios-1019</t>
        </is>
      </c>
    </row>
    <row r="1021" ht="30" customHeight="1">
      <c r="A1021" s="4" t="n">
        <v>1020</v>
      </c>
      <c r="B1021" s="4" t="inlineStr">
        <is>
          <t>MTR-IOS-1020</t>
        </is>
      </c>
      <c r="C1021" s="4" t="inlineStr">
        <is>
          <t>Business</t>
        </is>
      </c>
      <c r="D1021" s="4" t="inlineStr">
        <is>
          <t>Business</t>
        </is>
      </c>
      <c r="E1021" s="4" t="inlineStr">
        <is>
          <t>Team Operations</t>
        </is>
      </c>
      <c r="F1021" s="4" t="inlineStr">
        <is>
          <t>Team Meal</t>
        </is>
      </c>
      <c r="G1021" s="4" t="inlineStr">
        <is>
          <t>Expense</t>
        </is>
      </c>
      <c r="H1021" s="12" t="n">
        <v>45919</v>
      </c>
      <c r="I1021" s="13" t="n">
        <v>0.0443287037037037</v>
      </c>
      <c r="J1021" s="14" t="n">
        <v>45919.04432870371</v>
      </c>
      <c r="K1021" s="15" t="n">
        <v>56941.96</v>
      </c>
      <c r="L1021" s="4" t="inlineStr">
        <is>
          <t>INR</t>
        </is>
      </c>
      <c r="M1021" s="15" t="n">
        <v>-56941.96</v>
      </c>
      <c r="N1021" s="4" t="inlineStr">
        <is>
          <t>IOS Owner</t>
        </is>
      </c>
      <c r="O1021" s="4" t="n"/>
      <c r="P1021" s="4" t="n"/>
      <c r="Q1021" s="4" t="inlineStr">
        <is>
          <t>MAESTRO-IOS-BUSINESS-TEAM_OPERATIONS-1020 | Team Meal | 56941.96</t>
        </is>
      </c>
      <c r="R1021" s="4" t="inlineStr">
        <is>
          <t>iPhone</t>
        </is>
      </c>
      <c r="S1021" s="4" t="inlineStr">
        <is>
          <t>B21</t>
        </is>
      </c>
      <c r="T1021" s="4" t="inlineStr">
        <is>
          <t>RAMP_501_1500</t>
        </is>
      </c>
      <c r="U1021" s="4" t="inlineStr">
        <is>
          <t>CREATED</t>
        </is>
      </c>
      <c r="V1021" s="4" t="inlineStr">
        <is>
          <t>idem-20260902-ios-1020</t>
        </is>
      </c>
    </row>
    <row r="1022" ht="30" customHeight="1">
      <c r="A1022" s="4" t="n">
        <v>1021</v>
      </c>
      <c r="B1022" s="4" t="inlineStr">
        <is>
          <t>MTR-IOS-1021</t>
        </is>
      </c>
      <c r="C1022" s="4" t="inlineStr">
        <is>
          <t>Personal</t>
        </is>
      </c>
      <c r="D1022" s="4" t="inlineStr">
        <is>
          <t>Personal</t>
        </is>
      </c>
      <c r="E1022" s="4" t="inlineStr">
        <is>
          <t>Relationships</t>
        </is>
      </c>
      <c r="F1022" s="4" t="inlineStr">
        <is>
          <t>Gifts</t>
        </is>
      </c>
      <c r="G1022" s="4" t="inlineStr">
        <is>
          <t>Expense</t>
        </is>
      </c>
      <c r="H1022" s="12" t="n">
        <v>46249</v>
      </c>
      <c r="I1022" s="13" t="n">
        <v>0.2668981481481482</v>
      </c>
      <c r="J1022" s="14" t="n">
        <v>46249.26689814815</v>
      </c>
      <c r="K1022" s="15" t="n">
        <v>11856.82</v>
      </c>
      <c r="L1022" s="4" t="inlineStr">
        <is>
          <t>INR</t>
        </is>
      </c>
      <c r="M1022" s="15" t="n">
        <v>-11856.82</v>
      </c>
      <c r="N1022" s="4" t="inlineStr">
        <is>
          <t>IOS Owner</t>
        </is>
      </c>
      <c r="O1022" s="4" t="n"/>
      <c r="P1022" s="4" t="n"/>
      <c r="Q1022" s="4" t="inlineStr">
        <is>
          <t>MAESTRO-IOS-PERSONAL-RELATIONSHIPS-1021 | Gifts | 11856.82</t>
        </is>
      </c>
      <c r="R1022" s="4" t="inlineStr">
        <is>
          <t>iPhone</t>
        </is>
      </c>
      <c r="S1022" s="4" t="inlineStr">
        <is>
          <t>B21</t>
        </is>
      </c>
      <c r="T1022" s="4" t="inlineStr">
        <is>
          <t>RAMP_501_1500</t>
        </is>
      </c>
      <c r="U1022" s="4" t="inlineStr">
        <is>
          <t>CREATED</t>
        </is>
      </c>
      <c r="V1022" s="4" t="inlineStr">
        <is>
          <t>idem-20260902-ios-1021</t>
        </is>
      </c>
    </row>
    <row r="1023" ht="30" customHeight="1">
      <c r="A1023" s="4" t="n">
        <v>1022</v>
      </c>
      <c r="B1023" s="4" t="inlineStr">
        <is>
          <t>MTR-IOS-1022</t>
        </is>
      </c>
      <c r="C1023" s="4" t="inlineStr">
        <is>
          <t>Group</t>
        </is>
      </c>
      <c r="D1023" s="4" t="inlineStr">
        <is>
          <t>Shared Living</t>
        </is>
      </c>
      <c r="E1023" s="4" t="inlineStr">
        <is>
          <t>Family Household</t>
        </is>
      </c>
      <c r="F1023" s="4" t="inlineStr">
        <is>
          <t>Groceries</t>
        </is>
      </c>
      <c r="G1023" s="4" t="inlineStr">
        <is>
          <t>Expense</t>
        </is>
      </c>
      <c r="H1023" s="12" t="n">
        <v>45968</v>
      </c>
      <c r="I1023" s="13" t="n">
        <v>0.4714351851851852</v>
      </c>
      <c r="J1023" s="14" t="n">
        <v>45968.47143518519</v>
      </c>
      <c r="K1023" s="15" t="n">
        <v>14794.74</v>
      </c>
      <c r="L1023" s="4" t="inlineStr">
        <is>
          <t>INR</t>
        </is>
      </c>
      <c r="M1023" s="15" t="n">
        <v>-14794.74</v>
      </c>
      <c r="N1023" s="4" t="inlineStr">
        <is>
          <t>IOS Aarav</t>
        </is>
      </c>
      <c r="O1023" s="4" t="n">
        <v>3</v>
      </c>
      <c r="P1023" s="4" t="inlineStr">
        <is>
          <t>EQUAL</t>
        </is>
      </c>
      <c r="Q1023" s="4" t="inlineStr">
        <is>
          <t>MAESTRO-IOS-GROUP-FAMILY_HOUSEHOLD-1022 | Groceries | 14794.74</t>
        </is>
      </c>
      <c r="R1023" s="4" t="inlineStr">
        <is>
          <t>iPhone</t>
        </is>
      </c>
      <c r="S1023" s="4" t="inlineStr">
        <is>
          <t>B21</t>
        </is>
      </c>
      <c r="T1023" s="4" t="inlineStr">
        <is>
          <t>RAMP_501_1500</t>
        </is>
      </c>
      <c r="U1023" s="4" t="inlineStr">
        <is>
          <t>CREATED</t>
        </is>
      </c>
      <c r="V1023" s="4" t="inlineStr">
        <is>
          <t>idem-20260902-ios-1022</t>
        </is>
      </c>
    </row>
    <row r="1024" ht="30" customHeight="1">
      <c r="A1024" s="4" t="n">
        <v>1023</v>
      </c>
      <c r="B1024" s="4" t="inlineStr">
        <is>
          <t>MTR-IOS-1023</t>
        </is>
      </c>
      <c r="C1024" s="4" t="inlineStr">
        <is>
          <t>Business</t>
        </is>
      </c>
      <c r="D1024" s="4" t="inlineStr">
        <is>
          <t>Business</t>
        </is>
      </c>
      <c r="E1024" s="4" t="inlineStr">
        <is>
          <t>Team Operations</t>
        </is>
      </c>
      <c r="F1024" s="4" t="inlineStr">
        <is>
          <t>Travel</t>
        </is>
      </c>
      <c r="G1024" s="4" t="inlineStr">
        <is>
          <t>Expense</t>
        </is>
      </c>
      <c r="H1024" s="12" t="n">
        <v>46226</v>
      </c>
      <c r="I1024" s="13" t="n">
        <v>0.7452430555555556</v>
      </c>
      <c r="J1024" s="14" t="n">
        <v>46226.74524305556</v>
      </c>
      <c r="K1024" s="15" t="n">
        <v>161328.48</v>
      </c>
      <c r="L1024" s="4" t="inlineStr">
        <is>
          <t>INR</t>
        </is>
      </c>
      <c r="M1024" s="15" t="n">
        <v>-161328.48</v>
      </c>
      <c r="N1024" s="4" t="inlineStr">
        <is>
          <t>IOS Owner</t>
        </is>
      </c>
      <c r="O1024" s="4" t="n"/>
      <c r="P1024" s="4" t="n"/>
      <c r="Q1024" s="4" t="inlineStr">
        <is>
          <t>MAESTRO-IOS-BUSINESS-TEAM_OPERATIONS-1023 | Travel | 161328.48</t>
        </is>
      </c>
      <c r="R1024" s="4" t="inlineStr">
        <is>
          <t>iPhone</t>
        </is>
      </c>
      <c r="S1024" s="4" t="inlineStr">
        <is>
          <t>B21</t>
        </is>
      </c>
      <c r="T1024" s="4" t="inlineStr">
        <is>
          <t>RAMP_501_1500</t>
        </is>
      </c>
      <c r="U1024" s="4" t="inlineStr">
        <is>
          <t>CREATED</t>
        </is>
      </c>
      <c r="V1024" s="4" t="inlineStr">
        <is>
          <t>idem-20260902-ios-1023</t>
        </is>
      </c>
    </row>
    <row r="1025" ht="30" customHeight="1">
      <c r="A1025" s="4" t="n">
        <v>1024</v>
      </c>
      <c r="B1025" s="4" t="inlineStr">
        <is>
          <t>MTR-IOS-1024</t>
        </is>
      </c>
      <c r="C1025" s="4" t="inlineStr">
        <is>
          <t>Personal</t>
        </is>
      </c>
      <c r="D1025" s="4" t="inlineStr">
        <is>
          <t>Personal</t>
        </is>
      </c>
      <c r="E1025" s="4" t="inlineStr">
        <is>
          <t>Relationships</t>
        </is>
      </c>
      <c r="F1025" s="4" t="inlineStr">
        <is>
          <t>Dates</t>
        </is>
      </c>
      <c r="G1025" s="4" t="inlineStr">
        <is>
          <t>Expense</t>
        </is>
      </c>
      <c r="H1025" s="12" t="n">
        <v>46066</v>
      </c>
      <c r="I1025" s="13" t="n">
        <v>0.02974537037037037</v>
      </c>
      <c r="J1025" s="14" t="n">
        <v>46066.02974537037</v>
      </c>
      <c r="K1025" s="15" t="n">
        <v>8626.82</v>
      </c>
      <c r="L1025" s="4" t="inlineStr">
        <is>
          <t>INR</t>
        </is>
      </c>
      <c r="M1025" s="15" t="n">
        <v>-8626.82</v>
      </c>
      <c r="N1025" s="4" t="inlineStr">
        <is>
          <t>IOS Owner</t>
        </is>
      </c>
      <c r="O1025" s="4" t="n"/>
      <c r="P1025" s="4" t="n"/>
      <c r="Q1025" s="4" t="inlineStr">
        <is>
          <t>MAESTRO-IOS-PERSONAL-RELATIONSHIPS-1024 | Dates | 8626.82</t>
        </is>
      </c>
      <c r="R1025" s="4" t="inlineStr">
        <is>
          <t>iPhone</t>
        </is>
      </c>
      <c r="S1025" s="4" t="inlineStr">
        <is>
          <t>B21</t>
        </is>
      </c>
      <c r="T1025" s="4" t="inlineStr">
        <is>
          <t>RAMP_501_1500</t>
        </is>
      </c>
      <c r="U1025" s="4" t="inlineStr">
        <is>
          <t>CREATED</t>
        </is>
      </c>
      <c r="V1025" s="4" t="inlineStr">
        <is>
          <t>idem-20260902-ios-1024</t>
        </is>
      </c>
    </row>
    <row r="1026" ht="30" customHeight="1">
      <c r="A1026" s="4" t="n">
        <v>1025</v>
      </c>
      <c r="B1026" s="4" t="inlineStr">
        <is>
          <t>MTR-IOS-1025</t>
        </is>
      </c>
      <c r="C1026" s="4" t="inlineStr">
        <is>
          <t>Group</t>
        </is>
      </c>
      <c r="D1026" s="4" t="inlineStr">
        <is>
          <t>Shared Living</t>
        </is>
      </c>
      <c r="E1026" s="4" t="inlineStr">
        <is>
          <t>Family Household</t>
        </is>
      </c>
      <c r="F1026" s="4" t="inlineStr">
        <is>
          <t>Bills</t>
        </is>
      </c>
      <c r="G1026" s="4" t="inlineStr">
        <is>
          <t>Expense</t>
        </is>
      </c>
      <c r="H1026" s="12" t="n">
        <v>46234</v>
      </c>
      <c r="I1026" s="13" t="n">
        <v>0.1027546296296296</v>
      </c>
      <c r="J1026" s="14" t="n">
        <v>46234.10275462963</v>
      </c>
      <c r="K1026" s="15" t="n">
        <v>13977.75</v>
      </c>
      <c r="L1026" s="4" t="inlineStr">
        <is>
          <t>INR</t>
        </is>
      </c>
      <c r="M1026" s="15" t="n">
        <v>-13977.75</v>
      </c>
      <c r="N1026" s="4" t="inlineStr">
        <is>
          <t>IOS Meera</t>
        </is>
      </c>
      <c r="O1026" s="4" t="n">
        <v>3</v>
      </c>
      <c r="P1026" s="4" t="inlineStr">
        <is>
          <t>PERCENTAGE</t>
        </is>
      </c>
      <c r="Q1026" s="4" t="inlineStr">
        <is>
          <t>MAESTRO-IOS-GROUP-FAMILY_HOUSEHOLD-1025 | Bills | 13977.75</t>
        </is>
      </c>
      <c r="R1026" s="4" t="inlineStr">
        <is>
          <t>iPhone</t>
        </is>
      </c>
      <c r="S1026" s="4" t="inlineStr">
        <is>
          <t>B21</t>
        </is>
      </c>
      <c r="T1026" s="4" t="inlineStr">
        <is>
          <t>RAMP_501_1500</t>
        </is>
      </c>
      <c r="U1026" s="4" t="inlineStr">
        <is>
          <t>CREATED</t>
        </is>
      </c>
      <c r="V1026" s="4" t="inlineStr">
        <is>
          <t>idem-20260902-ios-1025</t>
        </is>
      </c>
    </row>
    <row r="1027" ht="30" customHeight="1">
      <c r="A1027" s="4" t="n">
        <v>1026</v>
      </c>
      <c r="B1027" s="4" t="inlineStr">
        <is>
          <t>MTR-IOS-1026</t>
        </is>
      </c>
      <c r="C1027" s="4" t="inlineStr">
        <is>
          <t>Business</t>
        </is>
      </c>
      <c r="D1027" s="4" t="inlineStr">
        <is>
          <t>Business</t>
        </is>
      </c>
      <c r="E1027" s="4" t="inlineStr">
        <is>
          <t>Team Operations</t>
        </is>
      </c>
      <c r="F1027" s="4" t="inlineStr">
        <is>
          <t>Training</t>
        </is>
      </c>
      <c r="G1027" s="4" t="inlineStr">
        <is>
          <t>Expense</t>
        </is>
      </c>
      <c r="H1027" s="12" t="n">
        <v>45976</v>
      </c>
      <c r="I1027" s="13" t="n">
        <v>0.04236111111111111</v>
      </c>
      <c r="J1027" s="14" t="n">
        <v>45976.04236111111</v>
      </c>
      <c r="K1027" s="15" t="n">
        <v>63900.25</v>
      </c>
      <c r="L1027" s="4" t="inlineStr">
        <is>
          <t>INR</t>
        </is>
      </c>
      <c r="M1027" s="15" t="n">
        <v>-63900.25</v>
      </c>
      <c r="N1027" s="4" t="inlineStr">
        <is>
          <t>IOS Owner</t>
        </is>
      </c>
      <c r="O1027" s="4" t="n"/>
      <c r="P1027" s="4" t="n"/>
      <c r="Q1027" s="4" t="inlineStr">
        <is>
          <t>MAESTRO-IOS-BUSINESS-TEAM_OPERATIONS-1026 | Training | 63900.25</t>
        </is>
      </c>
      <c r="R1027" s="4" t="inlineStr">
        <is>
          <t>iPhone</t>
        </is>
      </c>
      <c r="S1027" s="4" t="inlineStr">
        <is>
          <t>B21</t>
        </is>
      </c>
      <c r="T1027" s="4" t="inlineStr">
        <is>
          <t>RAMP_501_1500</t>
        </is>
      </c>
      <c r="U1027" s="4" t="inlineStr">
        <is>
          <t>CREATED</t>
        </is>
      </c>
      <c r="V1027" s="4" t="inlineStr">
        <is>
          <t>idem-20260902-ios-1026</t>
        </is>
      </c>
    </row>
    <row r="1028" ht="30" customHeight="1">
      <c r="A1028" s="4" t="n">
        <v>1027</v>
      </c>
      <c r="B1028" s="4" t="inlineStr">
        <is>
          <t>MTR-IOS-1027</t>
        </is>
      </c>
      <c r="C1028" s="4" t="inlineStr">
        <is>
          <t>Personal</t>
        </is>
      </c>
      <c r="D1028" s="4" t="inlineStr">
        <is>
          <t>Personal</t>
        </is>
      </c>
      <c r="E1028" s="4" t="inlineStr">
        <is>
          <t>Relationships</t>
        </is>
      </c>
      <c r="F1028" s="4" t="inlineStr">
        <is>
          <t>Family</t>
        </is>
      </c>
      <c r="G1028" s="4" t="inlineStr">
        <is>
          <t>Expense</t>
        </is>
      </c>
      <c r="H1028" s="12" t="n">
        <v>46109</v>
      </c>
      <c r="I1028" s="13" t="n">
        <v>0.7336574074074074</v>
      </c>
      <c r="J1028" s="14" t="n">
        <v>46109.73365740741</v>
      </c>
      <c r="K1028" s="15" t="n">
        <v>7474.74</v>
      </c>
      <c r="L1028" s="4" t="inlineStr">
        <is>
          <t>INR</t>
        </is>
      </c>
      <c r="M1028" s="15" t="n">
        <v>-7474.74</v>
      </c>
      <c r="N1028" s="4" t="inlineStr">
        <is>
          <t>IOS Owner</t>
        </is>
      </c>
      <c r="O1028" s="4" t="n"/>
      <c r="P1028" s="4" t="n"/>
      <c r="Q1028" s="4" t="inlineStr">
        <is>
          <t>MAESTRO-IOS-PERSONAL-RELATIONSHIPS-1027 | Family | 7474.74</t>
        </is>
      </c>
      <c r="R1028" s="4" t="inlineStr">
        <is>
          <t>iPhone</t>
        </is>
      </c>
      <c r="S1028" s="4" t="inlineStr">
        <is>
          <t>B21</t>
        </is>
      </c>
      <c r="T1028" s="4" t="inlineStr">
        <is>
          <t>RAMP_501_1500</t>
        </is>
      </c>
      <c r="U1028" s="4" t="inlineStr">
        <is>
          <t>CREATED</t>
        </is>
      </c>
      <c r="V1028" s="4" t="inlineStr">
        <is>
          <t>idem-20260902-ios-1027</t>
        </is>
      </c>
    </row>
    <row r="1029" ht="30" customHeight="1">
      <c r="A1029" s="4" t="n">
        <v>1028</v>
      </c>
      <c r="B1029" s="4" t="inlineStr">
        <is>
          <t>MTR-IOS-1028</t>
        </is>
      </c>
      <c r="C1029" s="4" t="inlineStr">
        <is>
          <t>Group</t>
        </is>
      </c>
      <c r="D1029" s="4" t="inlineStr">
        <is>
          <t>Shared Living</t>
        </is>
      </c>
      <c r="E1029" s="4" t="inlineStr">
        <is>
          <t>Family Household</t>
        </is>
      </c>
      <c r="F1029" s="4" t="inlineStr">
        <is>
          <t>School</t>
        </is>
      </c>
      <c r="G1029" s="4" t="inlineStr">
        <is>
          <t>Expense</t>
        </is>
      </c>
      <c r="H1029" s="12" t="n">
        <v>46229</v>
      </c>
      <c r="I1029" s="13" t="n">
        <v>0.325625</v>
      </c>
      <c r="J1029" s="14" t="n">
        <v>46229.325625</v>
      </c>
      <c r="K1029" s="15" t="n">
        <v>7608.98</v>
      </c>
      <c r="L1029" s="4" t="inlineStr">
        <is>
          <t>INR</t>
        </is>
      </c>
      <c r="M1029" s="15" t="n">
        <v>-7608.98</v>
      </c>
      <c r="N1029" s="4" t="inlineStr">
        <is>
          <t>IOS Owner</t>
        </is>
      </c>
      <c r="O1029" s="4" t="n">
        <v>3</v>
      </c>
      <c r="P1029" s="4" t="inlineStr">
        <is>
          <t>EXACT</t>
        </is>
      </c>
      <c r="Q1029" s="4" t="inlineStr">
        <is>
          <t>MAESTRO-IOS-GROUP-FAMILY_HOUSEHOLD-1028 | School | 7608.98</t>
        </is>
      </c>
      <c r="R1029" s="4" t="inlineStr">
        <is>
          <t>iPhone</t>
        </is>
      </c>
      <c r="S1029" s="4" t="inlineStr">
        <is>
          <t>B21</t>
        </is>
      </c>
      <c r="T1029" s="4" t="inlineStr">
        <is>
          <t>RAMP_501_1500</t>
        </is>
      </c>
      <c r="U1029" s="4" t="inlineStr">
        <is>
          <t>CREATED</t>
        </is>
      </c>
      <c r="V1029" s="4" t="inlineStr">
        <is>
          <t>idem-20260902-ios-1028</t>
        </is>
      </c>
    </row>
    <row r="1030" ht="30" customHeight="1">
      <c r="A1030" s="4" t="n">
        <v>1029</v>
      </c>
      <c r="B1030" s="4" t="inlineStr">
        <is>
          <t>MTR-IOS-1029</t>
        </is>
      </c>
      <c r="C1030" s="4" t="inlineStr">
        <is>
          <t>Business</t>
        </is>
      </c>
      <c r="D1030" s="4" t="inlineStr">
        <is>
          <t>Business</t>
        </is>
      </c>
      <c r="E1030" s="4" t="inlineStr">
        <is>
          <t>Team Operations</t>
        </is>
      </c>
      <c r="F1030" s="4" t="inlineStr">
        <is>
          <t>Tools</t>
        </is>
      </c>
      <c r="G1030" s="4" t="inlineStr">
        <is>
          <t>Expense</t>
        </is>
      </c>
      <c r="H1030" s="12" t="n">
        <v>46123</v>
      </c>
      <c r="I1030" s="13" t="n">
        <v>0.1935185185185185</v>
      </c>
      <c r="J1030" s="14" t="n">
        <v>46123.19351851852</v>
      </c>
      <c r="K1030" s="15" t="n">
        <v>112790.1</v>
      </c>
      <c r="L1030" s="4" t="inlineStr">
        <is>
          <t>INR</t>
        </is>
      </c>
      <c r="M1030" s="15" t="n">
        <v>-112790.1</v>
      </c>
      <c r="N1030" s="4" t="inlineStr">
        <is>
          <t>IOS Owner</t>
        </is>
      </c>
      <c r="O1030" s="4" t="n"/>
      <c r="P1030" s="4" t="n"/>
      <c r="Q1030" s="4" t="inlineStr">
        <is>
          <t>MAESTRO-IOS-BUSINESS-TEAM_OPERATIONS-1029 | Tools | 112790.10</t>
        </is>
      </c>
      <c r="R1030" s="4" t="inlineStr">
        <is>
          <t>iPhone</t>
        </is>
      </c>
      <c r="S1030" s="4" t="inlineStr">
        <is>
          <t>B21</t>
        </is>
      </c>
      <c r="T1030" s="4" t="inlineStr">
        <is>
          <t>RAMP_501_1500</t>
        </is>
      </c>
      <c r="U1030" s="4" t="inlineStr">
        <is>
          <t>CREATED</t>
        </is>
      </c>
      <c r="V1030" s="4" t="inlineStr">
        <is>
          <t>idem-20260902-ios-1029</t>
        </is>
      </c>
    </row>
    <row r="1031" ht="30" customHeight="1">
      <c r="A1031" s="4" t="n">
        <v>1030</v>
      </c>
      <c r="B1031" s="4" t="inlineStr">
        <is>
          <t>MTR-IOS-1030</t>
        </is>
      </c>
      <c r="C1031" s="4" t="inlineStr">
        <is>
          <t>Personal</t>
        </is>
      </c>
      <c r="D1031" s="4" t="inlineStr">
        <is>
          <t>Personal</t>
        </is>
      </c>
      <c r="E1031" s="4" t="inlineStr">
        <is>
          <t>Relationships</t>
        </is>
      </c>
      <c r="F1031" s="4" t="inlineStr">
        <is>
          <t>Friends</t>
        </is>
      </c>
      <c r="G1031" s="4" t="inlineStr">
        <is>
          <t>Expense</t>
        </is>
      </c>
      <c r="H1031" s="12" t="n">
        <v>46228</v>
      </c>
      <c r="I1031" s="13" t="n">
        <v>0.1938078703703704</v>
      </c>
      <c r="J1031" s="14" t="n">
        <v>46228.19380787037</v>
      </c>
      <c r="K1031" s="15" t="n">
        <v>10611.74</v>
      </c>
      <c r="L1031" s="4" t="inlineStr">
        <is>
          <t>INR</t>
        </is>
      </c>
      <c r="M1031" s="15" t="n">
        <v>-10611.74</v>
      </c>
      <c r="N1031" s="4" t="inlineStr">
        <is>
          <t>IOS Owner</t>
        </is>
      </c>
      <c r="O1031" s="4" t="n"/>
      <c r="P1031" s="4" t="n"/>
      <c r="Q1031" s="4" t="inlineStr">
        <is>
          <t>MAESTRO-IOS-PERSONAL-RELATIONSHIPS-1030 | Friends | 10611.74</t>
        </is>
      </c>
      <c r="R1031" s="4" t="inlineStr">
        <is>
          <t>iPhone</t>
        </is>
      </c>
      <c r="S1031" s="4" t="inlineStr">
        <is>
          <t>B21</t>
        </is>
      </c>
      <c r="T1031" s="4" t="inlineStr">
        <is>
          <t>RAMP_501_1500</t>
        </is>
      </c>
      <c r="U1031" s="4" t="inlineStr">
        <is>
          <t>CREATED</t>
        </is>
      </c>
      <c r="V1031" s="4" t="inlineStr">
        <is>
          <t>idem-20260902-ios-1030</t>
        </is>
      </c>
    </row>
    <row r="1032" ht="30" customHeight="1">
      <c r="A1032" s="4" t="n">
        <v>1031</v>
      </c>
      <c r="B1032" s="4" t="inlineStr">
        <is>
          <t>MTR-IOS-1031</t>
        </is>
      </c>
      <c r="C1032" s="4" t="inlineStr">
        <is>
          <t>Group</t>
        </is>
      </c>
      <c r="D1032" s="4" t="inlineStr">
        <is>
          <t>Shared Living</t>
        </is>
      </c>
      <c r="E1032" s="4" t="inlineStr">
        <is>
          <t>Family Household</t>
        </is>
      </c>
      <c r="F1032" s="4" t="inlineStr">
        <is>
          <t>Healthcare</t>
        </is>
      </c>
      <c r="G1032" s="4" t="inlineStr">
        <is>
          <t>Expense</t>
        </is>
      </c>
      <c r="H1032" s="12" t="n">
        <v>45906</v>
      </c>
      <c r="I1032" s="13" t="n">
        <v>0.5528240740740741</v>
      </c>
      <c r="J1032" s="14" t="n">
        <v>45906.55282407408</v>
      </c>
      <c r="K1032" s="15" t="n">
        <v>2917.35</v>
      </c>
      <c r="L1032" s="4" t="inlineStr">
        <is>
          <t>INR</t>
        </is>
      </c>
      <c r="M1032" s="15" t="n">
        <v>-2917.35</v>
      </c>
      <c r="N1032" s="4" t="inlineStr">
        <is>
          <t>IOS Aarav</t>
        </is>
      </c>
      <c r="O1032" s="4" t="n">
        <v>3</v>
      </c>
      <c r="P1032" s="4" t="inlineStr">
        <is>
          <t>SHARES</t>
        </is>
      </c>
      <c r="Q1032" s="4" t="inlineStr">
        <is>
          <t>MAESTRO-IOS-GROUP-FAMILY_HOUSEHOLD-1031 | Healthcare | 2917.35</t>
        </is>
      </c>
      <c r="R1032" s="4" t="inlineStr">
        <is>
          <t>iPhone</t>
        </is>
      </c>
      <c r="S1032" s="4" t="inlineStr">
        <is>
          <t>B21</t>
        </is>
      </c>
      <c r="T1032" s="4" t="inlineStr">
        <is>
          <t>RAMP_501_1500</t>
        </is>
      </c>
      <c r="U1032" s="4" t="inlineStr">
        <is>
          <t>CREATED</t>
        </is>
      </c>
      <c r="V1032" s="4" t="inlineStr">
        <is>
          <t>idem-20260902-ios-1031</t>
        </is>
      </c>
    </row>
    <row r="1033" ht="30" customHeight="1">
      <c r="A1033" s="4" t="n">
        <v>1032</v>
      </c>
      <c r="B1033" s="4" t="inlineStr">
        <is>
          <t>MTR-IOS-1032</t>
        </is>
      </c>
      <c r="C1033" s="4" t="inlineStr">
        <is>
          <t>Business</t>
        </is>
      </c>
      <c r="D1033" s="4" t="inlineStr">
        <is>
          <t>Business</t>
        </is>
      </c>
      <c r="E1033" s="4" t="inlineStr">
        <is>
          <t>Business Runway</t>
        </is>
      </c>
      <c r="F1033" s="4" t="inlineStr">
        <is>
          <t>Funding</t>
        </is>
      </c>
      <c r="G1033" s="4" t="inlineStr">
        <is>
          <t>Income</t>
        </is>
      </c>
      <c r="H1033" s="12" t="n">
        <v>46229</v>
      </c>
      <c r="I1033" s="13" t="n">
        <v>0.1725925925925926</v>
      </c>
      <c r="J1033" s="14" t="n">
        <v>46229.17259259259</v>
      </c>
      <c r="K1033" s="15" t="n">
        <v>101125.97</v>
      </c>
      <c r="L1033" s="4" t="inlineStr">
        <is>
          <t>INR</t>
        </is>
      </c>
      <c r="M1033" s="15" t="n">
        <v>101125.97</v>
      </c>
      <c r="N1033" s="4" t="inlineStr">
        <is>
          <t>IOS Owner</t>
        </is>
      </c>
      <c r="O1033" s="4" t="n"/>
      <c r="P1033" s="4" t="n"/>
      <c r="Q1033" s="4" t="inlineStr">
        <is>
          <t>MAESTRO-IOS-BUSINESS-BUSINESS_RUNWAY-1032 | Funding | 101125.97</t>
        </is>
      </c>
      <c r="R1033" s="4" t="inlineStr">
        <is>
          <t>iPhone</t>
        </is>
      </c>
      <c r="S1033" s="4" t="inlineStr">
        <is>
          <t>B21</t>
        </is>
      </c>
      <c r="T1033" s="4" t="inlineStr">
        <is>
          <t>RAMP_501_1500</t>
        </is>
      </c>
      <c r="U1033" s="4" t="inlineStr">
        <is>
          <t>CREATED</t>
        </is>
      </c>
      <c r="V1033" s="4" t="inlineStr">
        <is>
          <t>idem-20260902-ios-1032</t>
        </is>
      </c>
    </row>
    <row r="1034" ht="30" customHeight="1">
      <c r="A1034" s="4" t="n">
        <v>1033</v>
      </c>
      <c r="B1034" s="4" t="inlineStr">
        <is>
          <t>MTR-IOS-1033</t>
        </is>
      </c>
      <c r="C1034" s="4" t="inlineStr">
        <is>
          <t>Personal</t>
        </is>
      </c>
      <c r="D1034" s="4" t="inlineStr">
        <is>
          <t>Personal</t>
        </is>
      </c>
      <c r="E1034" s="4" t="inlineStr">
        <is>
          <t>Relationships</t>
        </is>
      </c>
      <c r="F1034" s="4" t="inlineStr">
        <is>
          <t>Celebrations</t>
        </is>
      </c>
      <c r="G1034" s="4" t="inlineStr">
        <is>
          <t>Expense</t>
        </is>
      </c>
      <c r="H1034" s="12" t="n">
        <v>46143</v>
      </c>
      <c r="I1034" s="13" t="n">
        <v>0.7589583333333333</v>
      </c>
      <c r="J1034" s="14" t="n">
        <v>46143.75895833333</v>
      </c>
      <c r="K1034" s="15" t="n">
        <v>4661.53</v>
      </c>
      <c r="L1034" s="4" t="inlineStr">
        <is>
          <t>INR</t>
        </is>
      </c>
      <c r="M1034" s="15" t="n">
        <v>-4661.53</v>
      </c>
      <c r="N1034" s="4" t="inlineStr">
        <is>
          <t>IOS Owner</t>
        </is>
      </c>
      <c r="O1034" s="4" t="n"/>
      <c r="P1034" s="4" t="n"/>
      <c r="Q1034" s="4" t="inlineStr">
        <is>
          <t>MAESTRO-IOS-PERSONAL-RELATIONSHIPS-1033 | Celebrations | 4661.53</t>
        </is>
      </c>
      <c r="R1034" s="4" t="inlineStr">
        <is>
          <t>iPhone</t>
        </is>
      </c>
      <c r="S1034" s="4" t="inlineStr">
        <is>
          <t>B21</t>
        </is>
      </c>
      <c r="T1034" s="4" t="inlineStr">
        <is>
          <t>RAMP_501_1500</t>
        </is>
      </c>
      <c r="U1034" s="4" t="inlineStr">
        <is>
          <t>CREATED</t>
        </is>
      </c>
      <c r="V1034" s="4" t="inlineStr">
        <is>
          <t>idem-20260902-ios-1033</t>
        </is>
      </c>
    </row>
    <row r="1035" ht="30" customHeight="1">
      <c r="A1035" s="4" t="n">
        <v>1034</v>
      </c>
      <c r="B1035" s="4" t="inlineStr">
        <is>
          <t>MTR-IOS-1034</t>
        </is>
      </c>
      <c r="C1035" s="4" t="inlineStr">
        <is>
          <t>Group</t>
        </is>
      </c>
      <c r="D1035" s="4" t="inlineStr">
        <is>
          <t>Shared Living</t>
        </is>
      </c>
      <c r="E1035" s="4" t="inlineStr">
        <is>
          <t>Family Household</t>
        </is>
      </c>
      <c r="F1035" s="4" t="inlineStr">
        <is>
          <t>Home</t>
        </is>
      </c>
      <c r="G1035" s="4" t="inlineStr">
        <is>
          <t>Expense</t>
        </is>
      </c>
      <c r="H1035" s="12" t="n">
        <v>45904</v>
      </c>
      <c r="I1035" s="13" t="n">
        <v>0.7071412037037037</v>
      </c>
      <c r="J1035" s="14" t="n">
        <v>45904.7071412037</v>
      </c>
      <c r="K1035" s="15" t="n">
        <v>17252.22</v>
      </c>
      <c r="L1035" s="4" t="inlineStr">
        <is>
          <t>INR</t>
        </is>
      </c>
      <c r="M1035" s="15" t="n">
        <v>-17252.22</v>
      </c>
      <c r="N1035" s="4" t="inlineStr">
        <is>
          <t>IOS Meera</t>
        </is>
      </c>
      <c r="O1035" s="4" t="n">
        <v>3</v>
      </c>
      <c r="P1035" s="4" t="inlineStr">
        <is>
          <t>EQUAL</t>
        </is>
      </c>
      <c r="Q1035" s="4" t="inlineStr">
        <is>
          <t>MAESTRO-IOS-GROUP-FAMILY_HOUSEHOLD-1034 | Home | 17252.22</t>
        </is>
      </c>
      <c r="R1035" s="4" t="inlineStr">
        <is>
          <t>iPhone</t>
        </is>
      </c>
      <c r="S1035" s="4" t="inlineStr">
        <is>
          <t>B21</t>
        </is>
      </c>
      <c r="T1035" s="4" t="inlineStr">
        <is>
          <t>RAMP_501_1500</t>
        </is>
      </c>
      <c r="U1035" s="4" t="inlineStr">
        <is>
          <t>CREATED</t>
        </is>
      </c>
      <c r="V1035" s="4" t="inlineStr">
        <is>
          <t>idem-20260902-ios-1034</t>
        </is>
      </c>
    </row>
    <row r="1036" ht="30" customHeight="1">
      <c r="A1036" s="4" t="n">
        <v>1035</v>
      </c>
      <c r="B1036" s="4" t="inlineStr">
        <is>
          <t>MTR-IOS-1035</t>
        </is>
      </c>
      <c r="C1036" s="4" t="inlineStr">
        <is>
          <t>Business</t>
        </is>
      </c>
      <c r="D1036" s="4" t="inlineStr">
        <is>
          <t>Business</t>
        </is>
      </c>
      <c r="E1036" s="4" t="inlineStr">
        <is>
          <t>Business Runway</t>
        </is>
      </c>
      <c r="F1036" s="4" t="inlineStr">
        <is>
          <t>Revenue</t>
        </is>
      </c>
      <c r="G1036" s="4" t="inlineStr">
        <is>
          <t>Income</t>
        </is>
      </c>
      <c r="H1036" s="12" t="n">
        <v>45911</v>
      </c>
      <c r="I1036" s="13" t="n">
        <v>0.3808796296296296</v>
      </c>
      <c r="J1036" s="14" t="n">
        <v>45911.38087962963</v>
      </c>
      <c r="K1036" s="15" t="n">
        <v>49523</v>
      </c>
      <c r="L1036" s="4" t="inlineStr">
        <is>
          <t>INR</t>
        </is>
      </c>
      <c r="M1036" s="15" t="n">
        <v>49523</v>
      </c>
      <c r="N1036" s="4" t="inlineStr">
        <is>
          <t>IOS Owner</t>
        </is>
      </c>
      <c r="O1036" s="4" t="n"/>
      <c r="P1036" s="4" t="n"/>
      <c r="Q1036" s="4" t="inlineStr">
        <is>
          <t>MAESTRO-IOS-BUSINESS-BUSINESS_RUNWAY-1035 | Revenue | 49523.00</t>
        </is>
      </c>
      <c r="R1036" s="4" t="inlineStr">
        <is>
          <t>iPhone</t>
        </is>
      </c>
      <c r="S1036" s="4" t="inlineStr">
        <is>
          <t>B21</t>
        </is>
      </c>
      <c r="T1036" s="4" t="inlineStr">
        <is>
          <t>RAMP_501_1500</t>
        </is>
      </c>
      <c r="U1036" s="4" t="inlineStr">
        <is>
          <t>CREATED</t>
        </is>
      </c>
      <c r="V1036" s="4" t="inlineStr">
        <is>
          <t>idem-20260902-ios-1035</t>
        </is>
      </c>
    </row>
    <row r="1037" ht="30" customHeight="1">
      <c r="A1037" s="4" t="n">
        <v>1036</v>
      </c>
      <c r="B1037" s="4" t="inlineStr">
        <is>
          <t>MTR-IOS-1036</t>
        </is>
      </c>
      <c r="C1037" s="4" t="inlineStr">
        <is>
          <t>Personal</t>
        </is>
      </c>
      <c r="D1037" s="4" t="inlineStr">
        <is>
          <t>Personal</t>
        </is>
      </c>
      <c r="E1037" s="4" t="inlineStr">
        <is>
          <t>Life Operations</t>
        </is>
      </c>
      <c r="F1037" s="4" t="inlineStr">
        <is>
          <t>Groceries</t>
        </is>
      </c>
      <c r="G1037" s="4" t="inlineStr">
        <is>
          <t>Expense</t>
        </is>
      </c>
      <c r="H1037" s="12" t="n">
        <v>46033</v>
      </c>
      <c r="I1037" s="13" t="n">
        <v>0.9477199074074074</v>
      </c>
      <c r="J1037" s="14" t="n">
        <v>46033.94771990741</v>
      </c>
      <c r="K1037" s="15" t="n">
        <v>999.99</v>
      </c>
      <c r="L1037" s="4" t="inlineStr">
        <is>
          <t>INR</t>
        </is>
      </c>
      <c r="M1037" s="15" t="n">
        <v>-999.99</v>
      </c>
      <c r="N1037" s="4" t="inlineStr">
        <is>
          <t>IOS Owner</t>
        </is>
      </c>
      <c r="O1037" s="4" t="n"/>
      <c r="P1037" s="4" t="n"/>
      <c r="Q1037" s="4" t="inlineStr">
        <is>
          <t>MAESTRO-IOS-PERSONAL-LIFE_OPERATIONS-1036 | Groceries | 999.99</t>
        </is>
      </c>
      <c r="R1037" s="4" t="inlineStr">
        <is>
          <t>iPhone</t>
        </is>
      </c>
      <c r="S1037" s="4" t="inlineStr">
        <is>
          <t>B21</t>
        </is>
      </c>
      <c r="T1037" s="4" t="inlineStr">
        <is>
          <t>RAMP_501_1500</t>
        </is>
      </c>
      <c r="U1037" s="4" t="inlineStr">
        <is>
          <t>CREATED</t>
        </is>
      </c>
      <c r="V1037" s="4" t="inlineStr">
        <is>
          <t>idem-20260902-ios-1036</t>
        </is>
      </c>
    </row>
    <row r="1038" ht="30" customHeight="1">
      <c r="A1038" s="4" t="n">
        <v>1037</v>
      </c>
      <c r="B1038" s="4" t="inlineStr">
        <is>
          <t>MTR-IOS-1037</t>
        </is>
      </c>
      <c r="C1038" s="4" t="inlineStr">
        <is>
          <t>Group</t>
        </is>
      </c>
      <c r="D1038" s="4" t="inlineStr">
        <is>
          <t>Shared Living</t>
        </is>
      </c>
      <c r="E1038" s="4" t="inlineStr">
        <is>
          <t>Family Household</t>
        </is>
      </c>
      <c r="F1038" s="4" t="inlineStr">
        <is>
          <t>Other</t>
        </is>
      </c>
      <c r="G1038" s="4" t="inlineStr">
        <is>
          <t>Expense</t>
        </is>
      </c>
      <c r="H1038" s="12" t="n">
        <v>46116</v>
      </c>
      <c r="I1038" s="13" t="n">
        <v>0.9890625</v>
      </c>
      <c r="J1038" s="14" t="n">
        <v>46116.9890625</v>
      </c>
      <c r="K1038" s="15" t="n">
        <v>5335</v>
      </c>
      <c r="L1038" s="4" t="inlineStr">
        <is>
          <t>INR</t>
        </is>
      </c>
      <c r="M1038" s="15" t="n">
        <v>-5335</v>
      </c>
      <c r="N1038" s="4" t="inlineStr">
        <is>
          <t>IOS Owner</t>
        </is>
      </c>
      <c r="O1038" s="4" t="n">
        <v>3</v>
      </c>
      <c r="P1038" s="4" t="inlineStr">
        <is>
          <t>PERCENTAGE</t>
        </is>
      </c>
      <c r="Q1038" s="4" t="inlineStr">
        <is>
          <t>MAESTRO-IOS-GROUP-FAMILY_HOUSEHOLD-1037 | Other | 5335.00</t>
        </is>
      </c>
      <c r="R1038" s="4" t="inlineStr">
        <is>
          <t>iPhone</t>
        </is>
      </c>
      <c r="S1038" s="4" t="inlineStr">
        <is>
          <t>B21</t>
        </is>
      </c>
      <c r="T1038" s="4" t="inlineStr">
        <is>
          <t>RAMP_501_1500</t>
        </is>
      </c>
      <c r="U1038" s="4" t="inlineStr">
        <is>
          <t>CREATED</t>
        </is>
      </c>
      <c r="V1038" s="4" t="inlineStr">
        <is>
          <t>idem-20260902-ios-1037</t>
        </is>
      </c>
    </row>
    <row r="1039" ht="30" customHeight="1">
      <c r="A1039" s="4" t="n">
        <v>1038</v>
      </c>
      <c r="B1039" s="4" t="inlineStr">
        <is>
          <t>MTR-IOS-1038</t>
        </is>
      </c>
      <c r="C1039" s="4" t="inlineStr">
        <is>
          <t>Business</t>
        </is>
      </c>
      <c r="D1039" s="4" t="inlineStr">
        <is>
          <t>Business</t>
        </is>
      </c>
      <c r="E1039" s="4" t="inlineStr">
        <is>
          <t>Business Runway</t>
        </is>
      </c>
      <c r="F1039" s="4" t="inlineStr">
        <is>
          <t>Burn</t>
        </is>
      </c>
      <c r="G1039" s="4" t="inlineStr">
        <is>
          <t>Expense</t>
        </is>
      </c>
      <c r="H1039" s="12" t="n">
        <v>46120</v>
      </c>
      <c r="I1039" s="13" t="n">
        <v>0.640625</v>
      </c>
      <c r="J1039" s="14" t="n">
        <v>46120.640625</v>
      </c>
      <c r="K1039" s="15" t="n">
        <v>111757.73</v>
      </c>
      <c r="L1039" s="4" t="inlineStr">
        <is>
          <t>INR</t>
        </is>
      </c>
      <c r="M1039" s="15" t="n">
        <v>-111757.73</v>
      </c>
      <c r="N1039" s="4" t="inlineStr">
        <is>
          <t>IOS Owner</t>
        </is>
      </c>
      <c r="O1039" s="4" t="n"/>
      <c r="P1039" s="4" t="n"/>
      <c r="Q1039" s="4" t="inlineStr">
        <is>
          <t>MAESTRO-IOS-BUSINESS-BUSINESS_RUNWAY-1038 | Burn | 111757.73</t>
        </is>
      </c>
      <c r="R1039" s="4" t="inlineStr">
        <is>
          <t>iPhone</t>
        </is>
      </c>
      <c r="S1039" s="4" t="inlineStr">
        <is>
          <t>B21</t>
        </is>
      </c>
      <c r="T1039" s="4" t="inlineStr">
        <is>
          <t>RAMP_501_1500</t>
        </is>
      </c>
      <c r="U1039" s="4" t="inlineStr">
        <is>
          <t>CREATED</t>
        </is>
      </c>
      <c r="V1039" s="4" t="inlineStr">
        <is>
          <t>idem-20260902-ios-1038</t>
        </is>
      </c>
    </row>
    <row r="1040" ht="30" customHeight="1">
      <c r="A1040" s="4" t="n">
        <v>1039</v>
      </c>
      <c r="B1040" s="4" t="inlineStr">
        <is>
          <t>MTR-IOS-1039</t>
        </is>
      </c>
      <c r="C1040" s="4" t="inlineStr">
        <is>
          <t>Personal</t>
        </is>
      </c>
      <c r="D1040" s="4" t="inlineStr">
        <is>
          <t>Personal</t>
        </is>
      </c>
      <c r="E1040" s="4" t="inlineStr">
        <is>
          <t>Life Operations</t>
        </is>
      </c>
      <c r="F1040" s="4" t="inlineStr">
        <is>
          <t>Rent</t>
        </is>
      </c>
      <c r="G1040" s="4" t="inlineStr">
        <is>
          <t>Expense</t>
        </is>
      </c>
      <c r="H1040" s="12" t="n">
        <v>46180</v>
      </c>
      <c r="I1040" s="13" t="n">
        <v>0.09792824074074075</v>
      </c>
      <c r="J1040" s="14" t="n">
        <v>46180.09792824074</v>
      </c>
      <c r="K1040" s="15" t="n">
        <v>10204.93</v>
      </c>
      <c r="L1040" s="4" t="inlineStr">
        <is>
          <t>INR</t>
        </is>
      </c>
      <c r="M1040" s="15" t="n">
        <v>-10204.93</v>
      </c>
      <c r="N1040" s="4" t="inlineStr">
        <is>
          <t>IOS Owner</t>
        </is>
      </c>
      <c r="O1040" s="4" t="n"/>
      <c r="P1040" s="4" t="n"/>
      <c r="Q1040" s="4" t="inlineStr">
        <is>
          <t>MAESTRO-IOS-PERSONAL-LIFE_OPERATIONS-1039 | Rent | 10204.93</t>
        </is>
      </c>
      <c r="R1040" s="4" t="inlineStr">
        <is>
          <t>iPhone</t>
        </is>
      </c>
      <c r="S1040" s="4" t="inlineStr">
        <is>
          <t>B21</t>
        </is>
      </c>
      <c r="T1040" s="4" t="inlineStr">
        <is>
          <t>RAMP_501_1500</t>
        </is>
      </c>
      <c r="U1040" s="4" t="inlineStr">
        <is>
          <t>CREATED</t>
        </is>
      </c>
      <c r="V1040" s="4" t="inlineStr">
        <is>
          <t>idem-20260902-ios-1039</t>
        </is>
      </c>
    </row>
    <row r="1041" ht="30" customHeight="1">
      <c r="A1041" s="4" t="n">
        <v>1040</v>
      </c>
      <c r="B1041" s="4" t="inlineStr">
        <is>
          <t>MTR-IOS-1040</t>
        </is>
      </c>
      <c r="C1041" s="4" t="inlineStr">
        <is>
          <t>Group</t>
        </is>
      </c>
      <c r="D1041" s="4" t="inlineStr">
        <is>
          <t>Shared Living</t>
        </is>
      </c>
      <c r="E1041" s="4" t="inlineStr">
        <is>
          <t>Custom Living</t>
        </is>
      </c>
      <c r="F1041" s="4" t="inlineStr">
        <is>
          <t>Custom Expense</t>
        </is>
      </c>
      <c r="G1041" s="4" t="inlineStr">
        <is>
          <t>Expense</t>
        </is>
      </c>
      <c r="H1041" s="12" t="n">
        <v>46260</v>
      </c>
      <c r="I1041" s="13" t="n">
        <v>0.02243055555555555</v>
      </c>
      <c r="J1041" s="14" t="n">
        <v>46260.02243055555</v>
      </c>
      <c r="K1041" s="15" t="n">
        <v>17896.86</v>
      </c>
      <c r="L1041" s="4" t="inlineStr">
        <is>
          <t>INR</t>
        </is>
      </c>
      <c r="M1041" s="15" t="n">
        <v>-17896.86</v>
      </c>
      <c r="N1041" s="4" t="inlineStr">
        <is>
          <t>IOS Aarav</t>
        </is>
      </c>
      <c r="O1041" s="4" t="n">
        <v>3</v>
      </c>
      <c r="P1041" s="4" t="inlineStr">
        <is>
          <t>EXACT</t>
        </is>
      </c>
      <c r="Q1041" s="4" t="inlineStr">
        <is>
          <t>MAESTRO-IOS-GROUP-CUSTOM_LIVING-1040 | Custom Expense | 17896.86</t>
        </is>
      </c>
      <c r="R1041" s="4" t="inlineStr">
        <is>
          <t>iPhone</t>
        </is>
      </c>
      <c r="S1041" s="4" t="inlineStr">
        <is>
          <t>B21</t>
        </is>
      </c>
      <c r="T1041" s="4" t="inlineStr">
        <is>
          <t>RAMP_501_1500</t>
        </is>
      </c>
      <c r="U1041" s="4" t="inlineStr">
        <is>
          <t>CREATED</t>
        </is>
      </c>
      <c r="V1041" s="4" t="inlineStr">
        <is>
          <t>idem-20260902-ios-1040</t>
        </is>
      </c>
    </row>
    <row r="1042" ht="30" customHeight="1">
      <c r="A1042" s="4" t="n">
        <v>1041</v>
      </c>
      <c r="B1042" s="4" t="inlineStr">
        <is>
          <t>MTR-IOS-1041</t>
        </is>
      </c>
      <c r="C1042" s="4" t="inlineStr">
        <is>
          <t>Business</t>
        </is>
      </c>
      <c r="D1042" s="4" t="inlineStr">
        <is>
          <t>Business</t>
        </is>
      </c>
      <c r="E1042" s="4" t="inlineStr">
        <is>
          <t>Business Runway</t>
        </is>
      </c>
      <c r="F1042" s="4" t="inlineStr">
        <is>
          <t>Reserve</t>
        </is>
      </c>
      <c r="G1042" s="4" t="inlineStr">
        <is>
          <t>Transfer</t>
        </is>
      </c>
      <c r="H1042" s="12" t="n">
        <v>45982</v>
      </c>
      <c r="I1042" s="13" t="n">
        <v>0.3514699074074074</v>
      </c>
      <c r="J1042" s="14" t="n">
        <v>45982.35146990741</v>
      </c>
      <c r="K1042" s="15" t="n">
        <v>91949.98</v>
      </c>
      <c r="L1042" s="4" t="inlineStr">
        <is>
          <t>INR</t>
        </is>
      </c>
      <c r="M1042" s="15" t="n">
        <v>0</v>
      </c>
      <c r="N1042" s="4" t="inlineStr">
        <is>
          <t>IOS Owner</t>
        </is>
      </c>
      <c r="O1042" s="4" t="n"/>
      <c r="P1042" s="4" t="n"/>
      <c r="Q1042" s="4" t="inlineStr">
        <is>
          <t>MAESTRO-IOS-BUSINESS-BUSINESS_RUNWAY-1041 | Reserve | 91949.98</t>
        </is>
      </c>
      <c r="R1042" s="4" t="inlineStr">
        <is>
          <t>iPhone</t>
        </is>
      </c>
      <c r="S1042" s="4" t="inlineStr">
        <is>
          <t>B21</t>
        </is>
      </c>
      <c r="T1042" s="4" t="inlineStr">
        <is>
          <t>RAMP_501_1500</t>
        </is>
      </c>
      <c r="U1042" s="4" t="inlineStr">
        <is>
          <t>CREATED</t>
        </is>
      </c>
      <c r="V1042" s="4" t="inlineStr">
        <is>
          <t>idem-20260902-ios-1041</t>
        </is>
      </c>
    </row>
    <row r="1043" ht="30" customHeight="1">
      <c r="A1043" s="4" t="n">
        <v>1042</v>
      </c>
      <c r="B1043" s="4" t="inlineStr">
        <is>
          <t>MTR-IOS-1042</t>
        </is>
      </c>
      <c r="C1043" s="4" t="inlineStr">
        <is>
          <t>Personal</t>
        </is>
      </c>
      <c r="D1043" s="4" t="inlineStr">
        <is>
          <t>Personal</t>
        </is>
      </c>
      <c r="E1043" s="4" t="inlineStr">
        <is>
          <t>Life Operations</t>
        </is>
      </c>
      <c r="F1043" s="4" t="inlineStr">
        <is>
          <t>Bills</t>
        </is>
      </c>
      <c r="G1043" s="4" t="inlineStr">
        <is>
          <t>Expense</t>
        </is>
      </c>
      <c r="H1043" s="12" t="n">
        <v>45972</v>
      </c>
      <c r="I1043" s="13" t="n">
        <v>0.4677314814814815</v>
      </c>
      <c r="J1043" s="14" t="n">
        <v>45972.46773148148</v>
      </c>
      <c r="K1043" s="15" t="n">
        <v>12928.25</v>
      </c>
      <c r="L1043" s="4" t="inlineStr">
        <is>
          <t>INR</t>
        </is>
      </c>
      <c r="M1043" s="15" t="n">
        <v>-12928.25</v>
      </c>
      <c r="N1043" s="4" t="inlineStr">
        <is>
          <t>IOS Owner</t>
        </is>
      </c>
      <c r="O1043" s="4" t="n"/>
      <c r="P1043" s="4" t="n"/>
      <c r="Q1043" s="4" t="inlineStr">
        <is>
          <t>MAESTRO-IOS-PERSONAL-LIFE_OPERATIONS-1042 | Bills | 12928.25</t>
        </is>
      </c>
      <c r="R1043" s="4" t="inlineStr">
        <is>
          <t>iPhone</t>
        </is>
      </c>
      <c r="S1043" s="4" t="inlineStr">
        <is>
          <t>B21</t>
        </is>
      </c>
      <c r="T1043" s="4" t="inlineStr">
        <is>
          <t>RAMP_501_1500</t>
        </is>
      </c>
      <c r="U1043" s="4" t="inlineStr">
        <is>
          <t>CREATED</t>
        </is>
      </c>
      <c r="V1043" s="4" t="inlineStr">
        <is>
          <t>idem-20260902-ios-1042</t>
        </is>
      </c>
    </row>
    <row r="1044" ht="30" customHeight="1">
      <c r="A1044" s="4" t="n">
        <v>1043</v>
      </c>
      <c r="B1044" s="4" t="inlineStr">
        <is>
          <t>MTR-IOS-1043</t>
        </is>
      </c>
      <c r="C1044" s="4" t="inlineStr">
        <is>
          <t>Group</t>
        </is>
      </c>
      <c r="D1044" s="4" t="inlineStr">
        <is>
          <t>Shared Living</t>
        </is>
      </c>
      <c r="E1044" s="4" t="inlineStr">
        <is>
          <t>Custom Living</t>
        </is>
      </c>
      <c r="F1044" s="4" t="inlineStr">
        <is>
          <t>Custom Contribution</t>
        </is>
      </c>
      <c r="G1044" s="4" t="inlineStr">
        <is>
          <t>Contribution</t>
        </is>
      </c>
      <c r="H1044" s="12" t="n">
        <v>46063</v>
      </c>
      <c r="I1044" s="13" t="n">
        <v>0.2374305555555556</v>
      </c>
      <c r="J1044" s="14" t="n">
        <v>46063.23743055556</v>
      </c>
      <c r="K1044" s="15" t="n">
        <v>880.49</v>
      </c>
      <c r="L1044" s="4" t="inlineStr">
        <is>
          <t>INR</t>
        </is>
      </c>
      <c r="M1044" s="15" t="n">
        <v>880.49</v>
      </c>
      <c r="N1044" s="4" t="inlineStr">
        <is>
          <t>IOS Meera</t>
        </is>
      </c>
      <c r="O1044" s="4" t="n">
        <v>3</v>
      </c>
      <c r="P1044" s="4" t="inlineStr">
        <is>
          <t>SHARES</t>
        </is>
      </c>
      <c r="Q1044" s="4" t="inlineStr">
        <is>
          <t>MAESTRO-IOS-GROUP-CUSTOM_LIVING-1043 | Custom Contribution | 880.49</t>
        </is>
      </c>
      <c r="R1044" s="4" t="inlineStr">
        <is>
          <t>iPhone</t>
        </is>
      </c>
      <c r="S1044" s="4" t="inlineStr">
        <is>
          <t>B21</t>
        </is>
      </c>
      <c r="T1044" s="4" t="inlineStr">
        <is>
          <t>RAMP_501_1500</t>
        </is>
      </c>
      <c r="U1044" s="4" t="inlineStr">
        <is>
          <t>CREATED</t>
        </is>
      </c>
      <c r="V1044" s="4" t="inlineStr">
        <is>
          <t>idem-20260902-ios-1043</t>
        </is>
      </c>
    </row>
    <row r="1045" ht="30" customHeight="1">
      <c r="A1045" s="4" t="n">
        <v>1044</v>
      </c>
      <c r="B1045" s="4" t="inlineStr">
        <is>
          <t>MTR-IOS-1044</t>
        </is>
      </c>
      <c r="C1045" s="4" t="inlineStr">
        <is>
          <t>Business</t>
        </is>
      </c>
      <c r="D1045" s="4" t="inlineStr">
        <is>
          <t>Business</t>
        </is>
      </c>
      <c r="E1045" s="4" t="inlineStr">
        <is>
          <t>Business Runway</t>
        </is>
      </c>
      <c r="F1045" s="4" t="inlineStr">
        <is>
          <t>Loan</t>
        </is>
      </c>
      <c r="G1045" s="4" t="inlineStr">
        <is>
          <t>Income</t>
        </is>
      </c>
      <c r="H1045" s="12" t="n">
        <v>46046</v>
      </c>
      <c r="I1045" s="13" t="n">
        <v>0.8690393518518519</v>
      </c>
      <c r="J1045" s="14" t="n">
        <v>46046.86903935186</v>
      </c>
      <c r="K1045" s="15" t="n">
        <v>134633.13</v>
      </c>
      <c r="L1045" s="4" t="inlineStr">
        <is>
          <t>INR</t>
        </is>
      </c>
      <c r="M1045" s="15" t="n">
        <v>134633.13</v>
      </c>
      <c r="N1045" s="4" t="inlineStr">
        <is>
          <t>IOS Owner</t>
        </is>
      </c>
      <c r="O1045" s="4" t="n"/>
      <c r="P1045" s="4" t="n"/>
      <c r="Q1045" s="4" t="inlineStr">
        <is>
          <t>MAESTRO-IOS-BUSINESS-BUSINESS_RUNWAY-1044 | Loan | 134633.13</t>
        </is>
      </c>
      <c r="R1045" s="4" t="inlineStr">
        <is>
          <t>iPhone</t>
        </is>
      </c>
      <c r="S1045" s="4" t="inlineStr">
        <is>
          <t>B21</t>
        </is>
      </c>
      <c r="T1045" s="4" t="inlineStr">
        <is>
          <t>RAMP_501_1500</t>
        </is>
      </c>
      <c r="U1045" s="4" t="inlineStr">
        <is>
          <t>CREATED</t>
        </is>
      </c>
      <c r="V1045" s="4" t="inlineStr">
        <is>
          <t>idem-20260902-ios-1044</t>
        </is>
      </c>
    </row>
    <row r="1046" ht="30" customHeight="1">
      <c r="A1046" s="4" t="n">
        <v>1045</v>
      </c>
      <c r="B1046" s="4" t="inlineStr">
        <is>
          <t>MTR-IOS-1045</t>
        </is>
      </c>
      <c r="C1046" s="4" t="inlineStr">
        <is>
          <t>Personal</t>
        </is>
      </c>
      <c r="D1046" s="4" t="inlineStr">
        <is>
          <t>Personal</t>
        </is>
      </c>
      <c r="E1046" s="4" t="inlineStr">
        <is>
          <t>Life Operations</t>
        </is>
      </c>
      <c r="F1046" s="4" t="inlineStr">
        <is>
          <t>Transport</t>
        </is>
      </c>
      <c r="G1046" s="4" t="inlineStr">
        <is>
          <t>Expense</t>
        </is>
      </c>
      <c r="H1046" s="12" t="n">
        <v>46130</v>
      </c>
      <c r="I1046" s="13" t="n">
        <v>0.1259259259259259</v>
      </c>
      <c r="J1046" s="14" t="n">
        <v>46130.12592592592</v>
      </c>
      <c r="K1046" s="15" t="n">
        <v>16292.19</v>
      </c>
      <c r="L1046" s="4" t="inlineStr">
        <is>
          <t>INR</t>
        </is>
      </c>
      <c r="M1046" s="15" t="n">
        <v>-16292.19</v>
      </c>
      <c r="N1046" s="4" t="inlineStr">
        <is>
          <t>IOS Owner</t>
        </is>
      </c>
      <c r="O1046" s="4" t="n"/>
      <c r="P1046" s="4" t="n"/>
      <c r="Q1046" s="4" t="inlineStr">
        <is>
          <t>MAESTRO-IOS-PERSONAL-LIFE_OPERATIONS-1045 | Transport | 16292.19</t>
        </is>
      </c>
      <c r="R1046" s="4" t="inlineStr">
        <is>
          <t>iPhone</t>
        </is>
      </c>
      <c r="S1046" s="4" t="inlineStr">
        <is>
          <t>B21</t>
        </is>
      </c>
      <c r="T1046" s="4" t="inlineStr">
        <is>
          <t>RAMP_501_1500</t>
        </is>
      </c>
      <c r="U1046" s="4" t="inlineStr">
        <is>
          <t>CREATED</t>
        </is>
      </c>
      <c r="V1046" s="4" t="inlineStr">
        <is>
          <t>idem-20260902-ios-1045</t>
        </is>
      </c>
    </row>
    <row r="1047" ht="30" customHeight="1">
      <c r="A1047" s="4" t="n">
        <v>1046</v>
      </c>
      <c r="B1047" s="4" t="inlineStr">
        <is>
          <t>MTR-IOS-1046</t>
        </is>
      </c>
      <c r="C1047" s="4" t="inlineStr">
        <is>
          <t>Group</t>
        </is>
      </c>
      <c r="D1047" s="4" t="inlineStr">
        <is>
          <t>Shared Experience</t>
        </is>
      </c>
      <c r="E1047" s="4" t="inlineStr">
        <is>
          <t>Trip</t>
        </is>
      </c>
      <c r="F1047" s="4" t="inlineStr">
        <is>
          <t>Travel</t>
        </is>
      </c>
      <c r="G1047" s="4" t="inlineStr">
        <is>
          <t>Expense</t>
        </is>
      </c>
      <c r="H1047" s="12" t="n">
        <v>46175</v>
      </c>
      <c r="I1047" s="13" t="n">
        <v>0.8991666666666667</v>
      </c>
      <c r="J1047" s="14" t="n">
        <v>46175.89916666667</v>
      </c>
      <c r="K1047" s="15" t="n">
        <v>16471.21</v>
      </c>
      <c r="L1047" s="4" t="inlineStr">
        <is>
          <t>INR</t>
        </is>
      </c>
      <c r="M1047" s="15" t="n">
        <v>-16471.21</v>
      </c>
      <c r="N1047" s="4" t="inlineStr">
        <is>
          <t>IOS Owner</t>
        </is>
      </c>
      <c r="O1047" s="4" t="n">
        <v>3</v>
      </c>
      <c r="P1047" s="4" t="inlineStr">
        <is>
          <t>EQUAL</t>
        </is>
      </c>
      <c r="Q1047" s="4" t="inlineStr">
        <is>
          <t>MAESTRO-IOS-GROUP-TRIP-1046 | Travel | 16471.21</t>
        </is>
      </c>
      <c r="R1047" s="4" t="inlineStr">
        <is>
          <t>iPhone</t>
        </is>
      </c>
      <c r="S1047" s="4" t="inlineStr">
        <is>
          <t>B21</t>
        </is>
      </c>
      <c r="T1047" s="4" t="inlineStr">
        <is>
          <t>RAMP_501_1500</t>
        </is>
      </c>
      <c r="U1047" s="4" t="inlineStr">
        <is>
          <t>CREATED</t>
        </is>
      </c>
      <c r="V1047" s="4" t="inlineStr">
        <is>
          <t>idem-20260902-ios-1046</t>
        </is>
      </c>
    </row>
    <row r="1048" ht="30" customHeight="1">
      <c r="A1048" s="4" t="n">
        <v>1047</v>
      </c>
      <c r="B1048" s="4" t="inlineStr">
        <is>
          <t>MTR-IOS-1047</t>
        </is>
      </c>
      <c r="C1048" s="4" t="inlineStr">
        <is>
          <t>Business</t>
        </is>
      </c>
      <c r="D1048" s="4" t="inlineStr">
        <is>
          <t>Business</t>
        </is>
      </c>
      <c r="E1048" s="4" t="inlineStr">
        <is>
          <t>Business Runway</t>
        </is>
      </c>
      <c r="F1048" s="4" t="inlineStr">
        <is>
          <t>Investment</t>
        </is>
      </c>
      <c r="G1048" s="4" t="inlineStr">
        <is>
          <t>Income</t>
        </is>
      </c>
      <c r="H1048" s="12" t="n">
        <v>46257</v>
      </c>
      <c r="I1048" s="13" t="n">
        <v>0.7101851851851851</v>
      </c>
      <c r="J1048" s="14" t="n">
        <v>46257.71018518518</v>
      </c>
      <c r="K1048" s="15" t="n">
        <v>49310.78</v>
      </c>
      <c r="L1048" s="4" t="inlineStr">
        <is>
          <t>INR</t>
        </is>
      </c>
      <c r="M1048" s="15" t="n">
        <v>49310.78</v>
      </c>
      <c r="N1048" s="4" t="inlineStr">
        <is>
          <t>IOS Owner</t>
        </is>
      </c>
      <c r="O1048" s="4" t="n"/>
      <c r="P1048" s="4" t="n"/>
      <c r="Q1048" s="4" t="inlineStr">
        <is>
          <t>MAESTRO-IOS-BUSINESS-BUSINESS_RUNWAY-1047 | Investment | 49310.78</t>
        </is>
      </c>
      <c r="R1048" s="4" t="inlineStr">
        <is>
          <t>iPhone</t>
        </is>
      </c>
      <c r="S1048" s="4" t="inlineStr">
        <is>
          <t>B21</t>
        </is>
      </c>
      <c r="T1048" s="4" t="inlineStr">
        <is>
          <t>RAMP_501_1500</t>
        </is>
      </c>
      <c r="U1048" s="4" t="inlineStr">
        <is>
          <t>CREATED</t>
        </is>
      </c>
      <c r="V1048" s="4" t="inlineStr">
        <is>
          <t>idem-20260902-ios-1047</t>
        </is>
      </c>
    </row>
    <row r="1049" ht="30" customHeight="1">
      <c r="A1049" s="4" t="n">
        <v>1048</v>
      </c>
      <c r="B1049" s="4" t="inlineStr">
        <is>
          <t>MTR-IOS-1048</t>
        </is>
      </c>
      <c r="C1049" s="4" t="inlineStr">
        <is>
          <t>Personal</t>
        </is>
      </c>
      <c r="D1049" s="4" t="inlineStr">
        <is>
          <t>Personal</t>
        </is>
      </c>
      <c r="E1049" s="4" t="inlineStr">
        <is>
          <t>Life Operations</t>
        </is>
      </c>
      <c r="F1049" s="4" t="inlineStr">
        <is>
          <t>Healthcare</t>
        </is>
      </c>
      <c r="G1049" s="4" t="inlineStr">
        <is>
          <t>Expense</t>
        </is>
      </c>
      <c r="H1049" s="12" t="n">
        <v>46184</v>
      </c>
      <c r="I1049" s="13" t="n">
        <v>0.1307523148148148</v>
      </c>
      <c r="J1049" s="14" t="n">
        <v>46184.13075231481</v>
      </c>
      <c r="K1049" s="15" t="n">
        <v>16820.06</v>
      </c>
      <c r="L1049" s="4" t="inlineStr">
        <is>
          <t>INR</t>
        </is>
      </c>
      <c r="M1049" s="15" t="n">
        <v>-16820.06</v>
      </c>
      <c r="N1049" s="4" t="inlineStr">
        <is>
          <t>IOS Owner</t>
        </is>
      </c>
      <c r="O1049" s="4" t="n"/>
      <c r="P1049" s="4" t="n"/>
      <c r="Q1049" s="4" t="inlineStr">
        <is>
          <t>MAESTRO-IOS-PERSONAL-LIFE_OPERATIONS-1048 | Healthcare | 16820.06</t>
        </is>
      </c>
      <c r="R1049" s="4" t="inlineStr">
        <is>
          <t>iPhone</t>
        </is>
      </c>
      <c r="S1049" s="4" t="inlineStr">
        <is>
          <t>B21</t>
        </is>
      </c>
      <c r="T1049" s="4" t="inlineStr">
        <is>
          <t>RAMP_501_1500</t>
        </is>
      </c>
      <c r="U1049" s="4" t="inlineStr">
        <is>
          <t>CREATED</t>
        </is>
      </c>
      <c r="V1049" s="4" t="inlineStr">
        <is>
          <t>idem-20260902-ios-1048</t>
        </is>
      </c>
    </row>
    <row r="1050" ht="30" customHeight="1">
      <c r="A1050" s="4" t="n">
        <v>1049</v>
      </c>
      <c r="B1050" s="4" t="inlineStr">
        <is>
          <t>MTR-IOS-1049</t>
        </is>
      </c>
      <c r="C1050" s="4" t="inlineStr">
        <is>
          <t>Group</t>
        </is>
      </c>
      <c r="D1050" s="4" t="inlineStr">
        <is>
          <t>Shared Experience</t>
        </is>
      </c>
      <c r="E1050" s="4" t="inlineStr">
        <is>
          <t>Trip</t>
        </is>
      </c>
      <c r="F1050" s="4" t="inlineStr">
        <is>
          <t>Stay</t>
        </is>
      </c>
      <c r="G1050" s="4" t="inlineStr">
        <is>
          <t>Expense</t>
        </is>
      </c>
      <c r="H1050" s="12" t="n">
        <v>45985</v>
      </c>
      <c r="I1050" s="13" t="n">
        <v>0.9344328703703704</v>
      </c>
      <c r="J1050" s="14" t="n">
        <v>45985.93443287037</v>
      </c>
      <c r="K1050" s="15" t="n">
        <v>24557.28</v>
      </c>
      <c r="L1050" s="4" t="inlineStr">
        <is>
          <t>INR</t>
        </is>
      </c>
      <c r="M1050" s="15" t="n">
        <v>-24557.28</v>
      </c>
      <c r="N1050" s="4" t="inlineStr">
        <is>
          <t>IOS Aarav</t>
        </is>
      </c>
      <c r="O1050" s="4" t="n">
        <v>3</v>
      </c>
      <c r="P1050" s="4" t="inlineStr">
        <is>
          <t>PERCENTAGE</t>
        </is>
      </c>
      <c r="Q1050" s="4" t="inlineStr">
        <is>
          <t>MAESTRO-IOS-GROUP-TRIP-1049 | Stay | 24557.28</t>
        </is>
      </c>
      <c r="R1050" s="4" t="inlineStr">
        <is>
          <t>iPhone</t>
        </is>
      </c>
      <c r="S1050" s="4" t="inlineStr">
        <is>
          <t>B21</t>
        </is>
      </c>
      <c r="T1050" s="4" t="inlineStr">
        <is>
          <t>RAMP_501_1500</t>
        </is>
      </c>
      <c r="U1050" s="4" t="inlineStr">
        <is>
          <t>CREATED</t>
        </is>
      </c>
      <c r="V1050" s="4" t="inlineStr">
        <is>
          <t>idem-20260902-ios-1049</t>
        </is>
      </c>
    </row>
    <row r="1051" ht="30" customHeight="1">
      <c r="A1051" s="4" t="n">
        <v>1050</v>
      </c>
      <c r="B1051" s="4" t="inlineStr">
        <is>
          <t>MTR-IOS-1050</t>
        </is>
      </c>
      <c r="C1051" s="4" t="inlineStr">
        <is>
          <t>Business</t>
        </is>
      </c>
      <c r="D1051" s="4" t="inlineStr">
        <is>
          <t>Business</t>
        </is>
      </c>
      <c r="E1051" s="4" t="inlineStr">
        <is>
          <t>Business Operations</t>
        </is>
      </c>
      <c r="F1051" s="4" t="inlineStr">
        <is>
          <t>Software</t>
        </is>
      </c>
      <c r="G1051" s="4" t="inlineStr">
        <is>
          <t>Expense</t>
        </is>
      </c>
      <c r="H1051" s="12" t="n">
        <v>46267</v>
      </c>
      <c r="I1051" s="13" t="n">
        <v>0.5</v>
      </c>
      <c r="J1051" s="14" t="n">
        <v>46267.5</v>
      </c>
      <c r="K1051" s="15" t="n">
        <v>40430.14</v>
      </c>
      <c r="L1051" s="4" t="inlineStr">
        <is>
          <t>INR</t>
        </is>
      </c>
      <c r="M1051" s="15" t="n">
        <v>-40430.14</v>
      </c>
      <c r="N1051" s="4" t="inlineStr">
        <is>
          <t>IOS Owner</t>
        </is>
      </c>
      <c r="O1051" s="4" t="n"/>
      <c r="P1051" s="4" t="n"/>
      <c r="Q1051" s="4" t="inlineStr">
        <is>
          <t>MAESTRO-IOS-BUSINESS-BUSINESS_OPERATIONS-1050 | Software | 40430.14</t>
        </is>
      </c>
      <c r="R1051" s="4" t="inlineStr">
        <is>
          <t>iPhone</t>
        </is>
      </c>
      <c r="S1051" s="4" t="inlineStr">
        <is>
          <t>B21</t>
        </is>
      </c>
      <c r="T1051" s="4" t="inlineStr">
        <is>
          <t>RAMP_501_1500</t>
        </is>
      </c>
      <c r="U1051" s="4" t="inlineStr">
        <is>
          <t>CREATED</t>
        </is>
      </c>
      <c r="V1051" s="4" t="inlineStr">
        <is>
          <t>idem-20260902-ios-1050</t>
        </is>
      </c>
    </row>
    <row r="1052" ht="30" customHeight="1">
      <c r="A1052" s="4" t="n">
        <v>1051</v>
      </c>
      <c r="B1052" s="4" t="inlineStr">
        <is>
          <t>MTR-IOS-1051</t>
        </is>
      </c>
      <c r="C1052" s="4" t="inlineStr">
        <is>
          <t>Personal</t>
        </is>
      </c>
      <c r="D1052" s="4" t="inlineStr">
        <is>
          <t>Personal</t>
        </is>
      </c>
      <c r="E1052" s="4" t="inlineStr">
        <is>
          <t>Life Operations</t>
        </is>
      </c>
      <c r="F1052" s="4" t="inlineStr">
        <is>
          <t>Subscriptions</t>
        </is>
      </c>
      <c r="G1052" s="4" t="inlineStr">
        <is>
          <t>Expense</t>
        </is>
      </c>
      <c r="H1052" s="12" t="n">
        <v>46180</v>
      </c>
      <c r="I1052" s="13" t="n">
        <v>0.01710648148148148</v>
      </c>
      <c r="J1052" s="14" t="n">
        <v>46180.01710648148</v>
      </c>
      <c r="K1052" s="15" t="n">
        <v>14592.97</v>
      </c>
      <c r="L1052" s="4" t="inlineStr">
        <is>
          <t>INR</t>
        </is>
      </c>
      <c r="M1052" s="15" t="n">
        <v>-14592.97</v>
      </c>
      <c r="N1052" s="4" t="inlineStr">
        <is>
          <t>IOS Owner</t>
        </is>
      </c>
      <c r="O1052" s="4" t="n"/>
      <c r="P1052" s="4" t="n"/>
      <c r="Q1052" s="4" t="inlineStr">
        <is>
          <t>MAESTRO-IOS-PERSONAL-LIFE_OPERATIONS-1051 | Subscriptions | 14592.97</t>
        </is>
      </c>
      <c r="R1052" s="4" t="inlineStr">
        <is>
          <t>iPhone</t>
        </is>
      </c>
      <c r="S1052" s="4" t="inlineStr">
        <is>
          <t>B22</t>
        </is>
      </c>
      <c r="T1052" s="4" t="inlineStr">
        <is>
          <t>RAMP_501_1500</t>
        </is>
      </c>
      <c r="U1052" s="4" t="inlineStr">
        <is>
          <t>CREATED</t>
        </is>
      </c>
      <c r="V1052" s="4" t="inlineStr">
        <is>
          <t>idem-20260902-ios-1051</t>
        </is>
      </c>
    </row>
    <row r="1053" ht="30" customHeight="1">
      <c r="A1053" s="4" t="n">
        <v>1052</v>
      </c>
      <c r="B1053" s="4" t="inlineStr">
        <is>
          <t>MTR-IOS-1052</t>
        </is>
      </c>
      <c r="C1053" s="4" t="inlineStr">
        <is>
          <t>Group</t>
        </is>
      </c>
      <c r="D1053" s="4" t="inlineStr">
        <is>
          <t>Shared Experience</t>
        </is>
      </c>
      <c r="E1053" s="4" t="inlineStr">
        <is>
          <t>Trip</t>
        </is>
      </c>
      <c r="F1053" s="4" t="inlineStr">
        <is>
          <t>Food</t>
        </is>
      </c>
      <c r="G1053" s="4" t="inlineStr">
        <is>
          <t>Expense</t>
        </is>
      </c>
      <c r="H1053" s="12" t="n">
        <v>46232</v>
      </c>
      <c r="I1053" s="13" t="n">
        <v>0.763287037037037</v>
      </c>
      <c r="J1053" s="14" t="n">
        <v>46232.76328703704</v>
      </c>
      <c r="K1053" s="15" t="n">
        <v>17147.21</v>
      </c>
      <c r="L1053" s="4" t="inlineStr">
        <is>
          <t>INR</t>
        </is>
      </c>
      <c r="M1053" s="15" t="n">
        <v>-17147.21</v>
      </c>
      <c r="N1053" s="4" t="inlineStr">
        <is>
          <t>IOS Meera</t>
        </is>
      </c>
      <c r="O1053" s="4" t="n">
        <v>3</v>
      </c>
      <c r="P1053" s="4" t="inlineStr">
        <is>
          <t>EXACT</t>
        </is>
      </c>
      <c r="Q1053" s="4" t="inlineStr">
        <is>
          <t>MAESTRO-IOS-GROUP-TRIP-1052 | Food | 17147.21</t>
        </is>
      </c>
      <c r="R1053" s="4" t="inlineStr">
        <is>
          <t>iPhone</t>
        </is>
      </c>
      <c r="S1053" s="4" t="inlineStr">
        <is>
          <t>B22</t>
        </is>
      </c>
      <c r="T1053" s="4" t="inlineStr">
        <is>
          <t>RAMP_501_1500</t>
        </is>
      </c>
      <c r="U1053" s="4" t="inlineStr">
        <is>
          <t>CREATED</t>
        </is>
      </c>
      <c r="V1053" s="4" t="inlineStr">
        <is>
          <t>idem-20260902-ios-1052</t>
        </is>
      </c>
    </row>
    <row r="1054" ht="30" customHeight="1">
      <c r="A1054" s="4" t="n">
        <v>1053</v>
      </c>
      <c r="B1054" s="4" t="inlineStr">
        <is>
          <t>MTR-IOS-1053</t>
        </is>
      </c>
      <c r="C1054" s="4" t="inlineStr">
        <is>
          <t>Business</t>
        </is>
      </c>
      <c r="D1054" s="4" t="inlineStr">
        <is>
          <t>Business</t>
        </is>
      </c>
      <c r="E1054" s="4" t="inlineStr">
        <is>
          <t>Business Operations</t>
        </is>
      </c>
      <c r="F1054" s="4" t="inlineStr">
        <is>
          <t>Rent</t>
        </is>
      </c>
      <c r="G1054" s="4" t="inlineStr">
        <is>
          <t>Expense</t>
        </is>
      </c>
      <c r="H1054" s="12" t="n">
        <v>45928</v>
      </c>
      <c r="I1054" s="13" t="n">
        <v>0.3677430555555555</v>
      </c>
      <c r="J1054" s="14" t="n">
        <v>45928.36774305555</v>
      </c>
      <c r="K1054" s="15" t="n">
        <v>164271.09</v>
      </c>
      <c r="L1054" s="4" t="inlineStr">
        <is>
          <t>INR</t>
        </is>
      </c>
      <c r="M1054" s="15" t="n">
        <v>-164271.09</v>
      </c>
      <c r="N1054" s="4" t="inlineStr">
        <is>
          <t>IOS Owner</t>
        </is>
      </c>
      <c r="O1054" s="4" t="n"/>
      <c r="P1054" s="4" t="n"/>
      <c r="Q1054" s="4" t="inlineStr">
        <is>
          <t>MAESTRO-IOS-BUSINESS-BUSINESS_OPERATIONS-1053 | Rent | 164271.09</t>
        </is>
      </c>
      <c r="R1054" s="4" t="inlineStr">
        <is>
          <t>iPhone</t>
        </is>
      </c>
      <c r="S1054" s="4" t="inlineStr">
        <is>
          <t>B22</t>
        </is>
      </c>
      <c r="T1054" s="4" t="inlineStr">
        <is>
          <t>RAMP_501_1500</t>
        </is>
      </c>
      <c r="U1054" s="4" t="inlineStr">
        <is>
          <t>CREATED</t>
        </is>
      </c>
      <c r="V1054" s="4" t="inlineStr">
        <is>
          <t>idem-20260902-ios-1053</t>
        </is>
      </c>
    </row>
    <row r="1055" ht="30" customHeight="1">
      <c r="A1055" s="4" t="n">
        <v>1054</v>
      </c>
      <c r="B1055" s="4" t="inlineStr">
        <is>
          <t>MTR-IOS-1054</t>
        </is>
      </c>
      <c r="C1055" s="4" t="inlineStr">
        <is>
          <t>Personal</t>
        </is>
      </c>
      <c r="D1055" s="4" t="inlineStr">
        <is>
          <t>Personal</t>
        </is>
      </c>
      <c r="E1055" s="4" t="inlineStr">
        <is>
          <t>Life Operations</t>
        </is>
      </c>
      <c r="F1055" s="4" t="inlineStr">
        <is>
          <t>Repairs</t>
        </is>
      </c>
      <c r="G1055" s="4" t="inlineStr">
        <is>
          <t>Expense</t>
        </is>
      </c>
      <c r="H1055" s="12" t="n">
        <v>45908</v>
      </c>
      <c r="I1055" s="13" t="n">
        <v>0.1267708333333333</v>
      </c>
      <c r="J1055" s="14" t="n">
        <v>45908.12677083333</v>
      </c>
      <c r="K1055" s="15" t="n">
        <v>16364.77</v>
      </c>
      <c r="L1055" s="4" t="inlineStr">
        <is>
          <t>INR</t>
        </is>
      </c>
      <c r="M1055" s="15" t="n">
        <v>-16364.77</v>
      </c>
      <c r="N1055" s="4" t="inlineStr">
        <is>
          <t>IOS Owner</t>
        </is>
      </c>
      <c r="O1055" s="4" t="n"/>
      <c r="P1055" s="4" t="n"/>
      <c r="Q1055" s="4" t="inlineStr">
        <is>
          <t>MAESTRO-IOS-PERSONAL-LIFE_OPERATIONS-1054 | Repairs | 16364.77</t>
        </is>
      </c>
      <c r="R1055" s="4" t="inlineStr">
        <is>
          <t>iPhone</t>
        </is>
      </c>
      <c r="S1055" s="4" t="inlineStr">
        <is>
          <t>B22</t>
        </is>
      </c>
      <c r="T1055" s="4" t="inlineStr">
        <is>
          <t>RAMP_501_1500</t>
        </is>
      </c>
      <c r="U1055" s="4" t="inlineStr">
        <is>
          <t>CREATED</t>
        </is>
      </c>
      <c r="V1055" s="4" t="inlineStr">
        <is>
          <t>idem-20260902-ios-1054</t>
        </is>
      </c>
    </row>
    <row r="1056" ht="30" customHeight="1">
      <c r="A1056" s="4" t="n">
        <v>1055</v>
      </c>
      <c r="B1056" s="4" t="inlineStr">
        <is>
          <t>MTR-IOS-1055</t>
        </is>
      </c>
      <c r="C1056" s="4" t="inlineStr">
        <is>
          <t>Group</t>
        </is>
      </c>
      <c r="D1056" s="4" t="inlineStr">
        <is>
          <t>Shared Experience</t>
        </is>
      </c>
      <c r="E1056" s="4" t="inlineStr">
        <is>
          <t>Trip</t>
        </is>
      </c>
      <c r="F1056" s="4" t="inlineStr">
        <is>
          <t>Local Transport</t>
        </is>
      </c>
      <c r="G1056" s="4" t="inlineStr">
        <is>
          <t>Expense</t>
        </is>
      </c>
      <c r="H1056" s="12" t="n">
        <v>45983</v>
      </c>
      <c r="I1056" s="13" t="n">
        <v>0.8567361111111111</v>
      </c>
      <c r="J1056" s="14" t="n">
        <v>45983.85673611111</v>
      </c>
      <c r="K1056" s="15" t="n">
        <v>11921.61</v>
      </c>
      <c r="L1056" s="4" t="inlineStr">
        <is>
          <t>INR</t>
        </is>
      </c>
      <c r="M1056" s="15" t="n">
        <v>-11921.61</v>
      </c>
      <c r="N1056" s="4" t="inlineStr">
        <is>
          <t>IOS Owner</t>
        </is>
      </c>
      <c r="O1056" s="4" t="n">
        <v>3</v>
      </c>
      <c r="P1056" s="4" t="inlineStr">
        <is>
          <t>SHARES</t>
        </is>
      </c>
      <c r="Q1056" s="4" t="inlineStr">
        <is>
          <t>MAESTRO-IOS-GROUP-TRIP-1055 | Local Transport | 11921.61</t>
        </is>
      </c>
      <c r="R1056" s="4" t="inlineStr">
        <is>
          <t>iPhone</t>
        </is>
      </c>
      <c r="S1056" s="4" t="inlineStr">
        <is>
          <t>B22</t>
        </is>
      </c>
      <c r="T1056" s="4" t="inlineStr">
        <is>
          <t>RAMP_501_1500</t>
        </is>
      </c>
      <c r="U1056" s="4" t="inlineStr">
        <is>
          <t>CREATED</t>
        </is>
      </c>
      <c r="V1056" s="4" t="inlineStr">
        <is>
          <t>idem-20260902-ios-1055</t>
        </is>
      </c>
    </row>
    <row r="1057" ht="30" customHeight="1">
      <c r="A1057" s="4" t="n">
        <v>1056</v>
      </c>
      <c r="B1057" s="4" t="inlineStr">
        <is>
          <t>MTR-IOS-1056</t>
        </is>
      </c>
      <c r="C1057" s="4" t="inlineStr">
        <is>
          <t>Business</t>
        </is>
      </c>
      <c r="D1057" s="4" t="inlineStr">
        <is>
          <t>Business</t>
        </is>
      </c>
      <c r="E1057" s="4" t="inlineStr">
        <is>
          <t>Business Operations</t>
        </is>
      </c>
      <c r="F1057" s="4" t="inlineStr">
        <is>
          <t>Marketing</t>
        </is>
      </c>
      <c r="G1057" s="4" t="inlineStr">
        <is>
          <t>Expense</t>
        </is>
      </c>
      <c r="H1057" s="12" t="n">
        <v>46065</v>
      </c>
      <c r="I1057" s="13" t="n">
        <v>0.2923842592592593</v>
      </c>
      <c r="J1057" s="14" t="n">
        <v>46065.29238425926</v>
      </c>
      <c r="K1057" s="15" t="n">
        <v>26174.95</v>
      </c>
      <c r="L1057" s="4" t="inlineStr">
        <is>
          <t>INR</t>
        </is>
      </c>
      <c r="M1057" s="15" t="n">
        <v>-26174.95</v>
      </c>
      <c r="N1057" s="4" t="inlineStr">
        <is>
          <t>IOS Owner</t>
        </is>
      </c>
      <c r="O1057" s="4" t="n"/>
      <c r="P1057" s="4" t="n"/>
      <c r="Q1057" s="4" t="inlineStr">
        <is>
          <t>MAESTRO-IOS-BUSINESS-BUSINESS_OPERATIONS-1056 | Marketing | 26174.95</t>
        </is>
      </c>
      <c r="R1057" s="4" t="inlineStr">
        <is>
          <t>iPhone</t>
        </is>
      </c>
      <c r="S1057" s="4" t="inlineStr">
        <is>
          <t>B22</t>
        </is>
      </c>
      <c r="T1057" s="4" t="inlineStr">
        <is>
          <t>RAMP_501_1500</t>
        </is>
      </c>
      <c r="U1057" s="4" t="inlineStr">
        <is>
          <t>CREATED</t>
        </is>
      </c>
      <c r="V1057" s="4" t="inlineStr">
        <is>
          <t>idem-20260902-ios-1056</t>
        </is>
      </c>
    </row>
    <row r="1058" ht="30" customHeight="1">
      <c r="A1058" s="4" t="n">
        <v>1057</v>
      </c>
      <c r="B1058" s="4" t="inlineStr">
        <is>
          <t>MTR-IOS-1057</t>
        </is>
      </c>
      <c r="C1058" s="4" t="inlineStr">
        <is>
          <t>Personal</t>
        </is>
      </c>
      <c r="D1058" s="4" t="inlineStr">
        <is>
          <t>Personal</t>
        </is>
      </c>
      <c r="E1058" s="4" t="inlineStr">
        <is>
          <t>Future Building</t>
        </is>
      </c>
      <c r="F1058" s="4" t="inlineStr">
        <is>
          <t>Savings</t>
        </is>
      </c>
      <c r="G1058" s="4" t="inlineStr">
        <is>
          <t>Transfer</t>
        </is>
      </c>
      <c r="H1058" s="12" t="n">
        <v>46177</v>
      </c>
      <c r="I1058" s="13" t="n">
        <v>0.9956134259259259</v>
      </c>
      <c r="J1058" s="14" t="n">
        <v>46177.99561342593</v>
      </c>
      <c r="K1058" s="15" t="n">
        <v>5588.88</v>
      </c>
      <c r="L1058" s="4" t="inlineStr">
        <is>
          <t>INR</t>
        </is>
      </c>
      <c r="M1058" s="15" t="n">
        <v>0</v>
      </c>
      <c r="N1058" s="4" t="inlineStr">
        <is>
          <t>IOS Owner</t>
        </is>
      </c>
      <c r="O1058" s="4" t="n"/>
      <c r="P1058" s="4" t="n"/>
      <c r="Q1058" s="4" t="inlineStr">
        <is>
          <t>MAESTRO-IOS-PERSONAL-FUTURE_BUILDING-1057 | Savings | 5588.88</t>
        </is>
      </c>
      <c r="R1058" s="4" t="inlineStr">
        <is>
          <t>iPhone</t>
        </is>
      </c>
      <c r="S1058" s="4" t="inlineStr">
        <is>
          <t>B22</t>
        </is>
      </c>
      <c r="T1058" s="4" t="inlineStr">
        <is>
          <t>RAMP_501_1500</t>
        </is>
      </c>
      <c r="U1058" s="4" t="inlineStr">
        <is>
          <t>CREATED</t>
        </is>
      </c>
      <c r="V1058" s="4" t="inlineStr">
        <is>
          <t>idem-20260902-ios-1057</t>
        </is>
      </c>
    </row>
    <row r="1059" ht="30" customHeight="1">
      <c r="A1059" s="4" t="n">
        <v>1058</v>
      </c>
      <c r="B1059" s="4" t="inlineStr">
        <is>
          <t>MTR-IOS-1058</t>
        </is>
      </c>
      <c r="C1059" s="4" t="inlineStr">
        <is>
          <t>Group</t>
        </is>
      </c>
      <c r="D1059" s="4" t="inlineStr">
        <is>
          <t>Shared Experience</t>
        </is>
      </c>
      <c r="E1059" s="4" t="inlineStr">
        <is>
          <t>Trip</t>
        </is>
      </c>
      <c r="F1059" s="4" t="inlineStr">
        <is>
          <t>Activities</t>
        </is>
      </c>
      <c r="G1059" s="4" t="inlineStr">
        <is>
          <t>Expense</t>
        </is>
      </c>
      <c r="H1059" s="12" t="n">
        <v>45950</v>
      </c>
      <c r="I1059" s="13" t="n">
        <v>0.1662384259259259</v>
      </c>
      <c r="J1059" s="14" t="n">
        <v>45950.16623842593</v>
      </c>
      <c r="K1059" s="15" t="n">
        <v>13717.8</v>
      </c>
      <c r="L1059" s="4" t="inlineStr">
        <is>
          <t>INR</t>
        </is>
      </c>
      <c r="M1059" s="15" t="n">
        <v>-13717.8</v>
      </c>
      <c r="N1059" s="4" t="inlineStr">
        <is>
          <t>IOS Aarav</t>
        </is>
      </c>
      <c r="O1059" s="4" t="n">
        <v>3</v>
      </c>
      <c r="P1059" s="4" t="inlineStr">
        <is>
          <t>EQUAL</t>
        </is>
      </c>
      <c r="Q1059" s="4" t="inlineStr">
        <is>
          <t>MAESTRO-IOS-GROUP-TRIP-1058 | Activities | 13717.80</t>
        </is>
      </c>
      <c r="R1059" s="4" t="inlineStr">
        <is>
          <t>iPhone</t>
        </is>
      </c>
      <c r="S1059" s="4" t="inlineStr">
        <is>
          <t>B22</t>
        </is>
      </c>
      <c r="T1059" s="4" t="inlineStr">
        <is>
          <t>RAMP_501_1500</t>
        </is>
      </c>
      <c r="U1059" s="4" t="inlineStr">
        <is>
          <t>CREATED</t>
        </is>
      </c>
      <c r="V1059" s="4" t="inlineStr">
        <is>
          <t>idem-20260902-ios-1058</t>
        </is>
      </c>
    </row>
    <row r="1060" ht="30" customHeight="1">
      <c r="A1060" s="4" t="n">
        <v>1059</v>
      </c>
      <c r="B1060" s="4" t="inlineStr">
        <is>
          <t>MTR-IOS-1059</t>
        </is>
      </c>
      <c r="C1060" s="4" t="inlineStr">
        <is>
          <t>Business</t>
        </is>
      </c>
      <c r="D1060" s="4" t="inlineStr">
        <is>
          <t>Business</t>
        </is>
      </c>
      <c r="E1060" s="4" t="inlineStr">
        <is>
          <t>Business Operations</t>
        </is>
      </c>
      <c r="F1060" s="4" t="inlineStr">
        <is>
          <t>Legal</t>
        </is>
      </c>
      <c r="G1060" s="4" t="inlineStr">
        <is>
          <t>Expense</t>
        </is>
      </c>
      <c r="H1060" s="12" t="n">
        <v>46263</v>
      </c>
      <c r="I1060" s="13" t="n">
        <v>0.1308796296296296</v>
      </c>
      <c r="J1060" s="14" t="n">
        <v>46263.13087962963</v>
      </c>
      <c r="K1060" s="15" t="n">
        <v>130126.6</v>
      </c>
      <c r="L1060" s="4" t="inlineStr">
        <is>
          <t>INR</t>
        </is>
      </c>
      <c r="M1060" s="15" t="n">
        <v>-130126.6</v>
      </c>
      <c r="N1060" s="4" t="inlineStr">
        <is>
          <t>IOS Owner</t>
        </is>
      </c>
      <c r="O1060" s="4" t="n"/>
      <c r="P1060" s="4" t="n"/>
      <c r="Q1060" s="4" t="inlineStr">
        <is>
          <t>MAESTRO-IOS-BUSINESS-BUSINESS_OPERATIONS-1059 | Legal | 130126.60</t>
        </is>
      </c>
      <c r="R1060" s="4" t="inlineStr">
        <is>
          <t>iPhone</t>
        </is>
      </c>
      <c r="S1060" s="4" t="inlineStr">
        <is>
          <t>B22</t>
        </is>
      </c>
      <c r="T1060" s="4" t="inlineStr">
        <is>
          <t>RAMP_501_1500</t>
        </is>
      </c>
      <c r="U1060" s="4" t="inlineStr">
        <is>
          <t>CREATED</t>
        </is>
      </c>
      <c r="V1060" s="4" t="inlineStr">
        <is>
          <t>idem-20260902-ios-1059</t>
        </is>
      </c>
    </row>
    <row r="1061" ht="30" customHeight="1">
      <c r="A1061" s="4" t="n">
        <v>1060</v>
      </c>
      <c r="B1061" s="4" t="inlineStr">
        <is>
          <t>MTR-IOS-1060</t>
        </is>
      </c>
      <c r="C1061" s="4" t="inlineStr">
        <is>
          <t>Personal</t>
        </is>
      </c>
      <c r="D1061" s="4" t="inlineStr">
        <is>
          <t>Personal</t>
        </is>
      </c>
      <c r="E1061" s="4" t="inlineStr">
        <is>
          <t>Future Building</t>
        </is>
      </c>
      <c r="F1061" s="4" t="inlineStr">
        <is>
          <t>Emergency Fund</t>
        </is>
      </c>
      <c r="G1061" s="4" t="inlineStr">
        <is>
          <t>Transfer</t>
        </is>
      </c>
      <c r="H1061" s="12" t="n">
        <v>45997</v>
      </c>
      <c r="I1061" s="13" t="n">
        <v>0.6880902777777778</v>
      </c>
      <c r="J1061" s="14" t="n">
        <v>45997.68809027778</v>
      </c>
      <c r="K1061" s="15" t="n">
        <v>3964.94</v>
      </c>
      <c r="L1061" s="4" t="inlineStr">
        <is>
          <t>INR</t>
        </is>
      </c>
      <c r="M1061" s="15" t="n">
        <v>0</v>
      </c>
      <c r="N1061" s="4" t="inlineStr">
        <is>
          <t>IOS Owner</t>
        </is>
      </c>
      <c r="O1061" s="4" t="n"/>
      <c r="P1061" s="4" t="n"/>
      <c r="Q1061" s="4" t="inlineStr">
        <is>
          <t>MAESTRO-IOS-PERSONAL-FUTURE_BUILDING-1060 | Emergency Fund | 3964.94</t>
        </is>
      </c>
      <c r="R1061" s="4" t="inlineStr">
        <is>
          <t>iPhone</t>
        </is>
      </c>
      <c r="S1061" s="4" t="inlineStr">
        <is>
          <t>B22</t>
        </is>
      </c>
      <c r="T1061" s="4" t="inlineStr">
        <is>
          <t>RAMP_501_1500</t>
        </is>
      </c>
      <c r="U1061" s="4" t="inlineStr">
        <is>
          <t>CREATED</t>
        </is>
      </c>
      <c r="V1061" s="4" t="inlineStr">
        <is>
          <t>idem-20260902-ios-1060</t>
        </is>
      </c>
    </row>
    <row r="1062" ht="30" customHeight="1">
      <c r="A1062" s="4" t="n">
        <v>1061</v>
      </c>
      <c r="B1062" s="4" t="inlineStr">
        <is>
          <t>MTR-IOS-1061</t>
        </is>
      </c>
      <c r="C1062" s="4" t="inlineStr">
        <is>
          <t>Group</t>
        </is>
      </c>
      <c r="D1062" s="4" t="inlineStr">
        <is>
          <t>Shared Experience</t>
        </is>
      </c>
      <c r="E1062" s="4" t="inlineStr">
        <is>
          <t>Trip</t>
        </is>
      </c>
      <c r="F1062" s="4" t="inlineStr">
        <is>
          <t>Shopping</t>
        </is>
      </c>
      <c r="G1062" s="4" t="inlineStr">
        <is>
          <t>Expense</t>
        </is>
      </c>
      <c r="H1062" s="12" t="n">
        <v>46228</v>
      </c>
      <c r="I1062" s="13" t="n">
        <v>0.6068287037037037</v>
      </c>
      <c r="J1062" s="14" t="n">
        <v>46228.60682870371</v>
      </c>
      <c r="K1062" s="15" t="n">
        <v>17460.27</v>
      </c>
      <c r="L1062" s="4" t="inlineStr">
        <is>
          <t>INR</t>
        </is>
      </c>
      <c r="M1062" s="15" t="n">
        <v>-17460.27</v>
      </c>
      <c r="N1062" s="4" t="inlineStr">
        <is>
          <t>IOS Meera</t>
        </is>
      </c>
      <c r="O1062" s="4" t="n">
        <v>3</v>
      </c>
      <c r="P1062" s="4" t="inlineStr">
        <is>
          <t>PERCENTAGE</t>
        </is>
      </c>
      <c r="Q1062" s="4" t="inlineStr">
        <is>
          <t>MAESTRO-IOS-GROUP-TRIP-1061 | Shopping | 17460.27</t>
        </is>
      </c>
      <c r="R1062" s="4" t="inlineStr">
        <is>
          <t>iPhone</t>
        </is>
      </c>
      <c r="S1062" s="4" t="inlineStr">
        <is>
          <t>B22</t>
        </is>
      </c>
      <c r="T1062" s="4" t="inlineStr">
        <is>
          <t>RAMP_501_1500</t>
        </is>
      </c>
      <c r="U1062" s="4" t="inlineStr">
        <is>
          <t>CREATED</t>
        </is>
      </c>
      <c r="V1062" s="4" t="inlineStr">
        <is>
          <t>idem-20260902-ios-1061</t>
        </is>
      </c>
    </row>
    <row r="1063" ht="30" customHeight="1">
      <c r="A1063" s="4" t="n">
        <v>1062</v>
      </c>
      <c r="B1063" s="4" t="inlineStr">
        <is>
          <t>MTR-IOS-1062</t>
        </is>
      </c>
      <c r="C1063" s="4" t="inlineStr">
        <is>
          <t>Business</t>
        </is>
      </c>
      <c r="D1063" s="4" t="inlineStr">
        <is>
          <t>Business</t>
        </is>
      </c>
      <c r="E1063" s="4" t="inlineStr">
        <is>
          <t>Business Operations</t>
        </is>
      </c>
      <c r="F1063" s="4" t="inlineStr">
        <is>
          <t>Accounting</t>
        </is>
      </c>
      <c r="G1063" s="4" t="inlineStr">
        <is>
          <t>Expense</t>
        </is>
      </c>
      <c r="H1063" s="12" t="n">
        <v>45931</v>
      </c>
      <c r="I1063" s="13" t="n">
        <v>0.9466435185185185</v>
      </c>
      <c r="J1063" s="14" t="n">
        <v>45931.94664351852</v>
      </c>
      <c r="K1063" s="15" t="n">
        <v>48253.3</v>
      </c>
      <c r="L1063" s="4" t="inlineStr">
        <is>
          <t>INR</t>
        </is>
      </c>
      <c r="M1063" s="15" t="n">
        <v>-48253.3</v>
      </c>
      <c r="N1063" s="4" t="inlineStr">
        <is>
          <t>IOS Owner</t>
        </is>
      </c>
      <c r="O1063" s="4" t="n"/>
      <c r="P1063" s="4" t="n"/>
      <c r="Q1063" s="4" t="inlineStr">
        <is>
          <t>MAESTRO-IOS-BUSINESS-BUSINESS_OPERATIONS-1062 | Accounting | 48253.30</t>
        </is>
      </c>
      <c r="R1063" s="4" t="inlineStr">
        <is>
          <t>iPhone</t>
        </is>
      </c>
      <c r="S1063" s="4" t="inlineStr">
        <is>
          <t>B22</t>
        </is>
      </c>
      <c r="T1063" s="4" t="inlineStr">
        <is>
          <t>RAMP_501_1500</t>
        </is>
      </c>
      <c r="U1063" s="4" t="inlineStr">
        <is>
          <t>CREATED</t>
        </is>
      </c>
      <c r="V1063" s="4" t="inlineStr">
        <is>
          <t>idem-20260902-ios-1062</t>
        </is>
      </c>
    </row>
    <row r="1064" ht="30" customHeight="1">
      <c r="A1064" s="4" t="n">
        <v>1063</v>
      </c>
      <c r="B1064" s="4" t="inlineStr">
        <is>
          <t>MTR-IOS-1063</t>
        </is>
      </c>
      <c r="C1064" s="4" t="inlineStr">
        <is>
          <t>Personal</t>
        </is>
      </c>
      <c r="D1064" s="4" t="inlineStr">
        <is>
          <t>Personal</t>
        </is>
      </c>
      <c r="E1064" s="4" t="inlineStr">
        <is>
          <t>Future Building</t>
        </is>
      </c>
      <c r="F1064" s="4" t="inlineStr">
        <is>
          <t>Investments</t>
        </is>
      </c>
      <c r="G1064" s="4" t="inlineStr">
        <is>
          <t>Investment</t>
        </is>
      </c>
      <c r="H1064" s="12" t="n">
        <v>46104</v>
      </c>
      <c r="I1064" s="13" t="n">
        <v>0.2748263888888889</v>
      </c>
      <c r="J1064" s="14" t="n">
        <v>46104.27482638889</v>
      </c>
      <c r="K1064" s="15" t="n">
        <v>6005.05</v>
      </c>
      <c r="L1064" s="4" t="inlineStr">
        <is>
          <t>INR</t>
        </is>
      </c>
      <c r="M1064" s="15" t="n">
        <v>0</v>
      </c>
      <c r="N1064" s="4" t="inlineStr">
        <is>
          <t>IOS Owner</t>
        </is>
      </c>
      <c r="O1064" s="4" t="n"/>
      <c r="P1064" s="4" t="n"/>
      <c r="Q1064" s="4" t="inlineStr">
        <is>
          <t>MAESTRO-IOS-PERSONAL-FUTURE_BUILDING-1063 | Investments | 6005.05</t>
        </is>
      </c>
      <c r="R1064" s="4" t="inlineStr">
        <is>
          <t>iPhone</t>
        </is>
      </c>
      <c r="S1064" s="4" t="inlineStr">
        <is>
          <t>B22</t>
        </is>
      </c>
      <c r="T1064" s="4" t="inlineStr">
        <is>
          <t>RAMP_501_1500</t>
        </is>
      </c>
      <c r="U1064" s="4" t="inlineStr">
        <is>
          <t>CREATED</t>
        </is>
      </c>
      <c r="V1064" s="4" t="inlineStr">
        <is>
          <t>idem-20260902-ios-1063</t>
        </is>
      </c>
    </row>
    <row r="1065" ht="30" customHeight="1">
      <c r="A1065" s="4" t="n">
        <v>1064</v>
      </c>
      <c r="B1065" s="4" t="inlineStr">
        <is>
          <t>MTR-IOS-1064</t>
        </is>
      </c>
      <c r="C1065" s="4" t="inlineStr">
        <is>
          <t>Group</t>
        </is>
      </c>
      <c r="D1065" s="4" t="inlineStr">
        <is>
          <t>Shared Experience</t>
        </is>
      </c>
      <c r="E1065" s="4" t="inlineStr">
        <is>
          <t>Trip</t>
        </is>
      </c>
      <c r="F1065" s="4" t="inlineStr">
        <is>
          <t>Other</t>
        </is>
      </c>
      <c r="G1065" s="4" t="inlineStr">
        <is>
          <t>Expense</t>
        </is>
      </c>
      <c r="H1065" s="12" t="n">
        <v>46236</v>
      </c>
      <c r="I1065" s="13" t="n">
        <v>0.8007175925925926</v>
      </c>
      <c r="J1065" s="14" t="n">
        <v>46236.8007175926</v>
      </c>
      <c r="K1065" s="15" t="n">
        <v>4241.15</v>
      </c>
      <c r="L1065" s="4" t="inlineStr">
        <is>
          <t>INR</t>
        </is>
      </c>
      <c r="M1065" s="15" t="n">
        <v>-4241.15</v>
      </c>
      <c r="N1065" s="4" t="inlineStr">
        <is>
          <t>IOS Owner</t>
        </is>
      </c>
      <c r="O1065" s="4" t="n">
        <v>3</v>
      </c>
      <c r="P1065" s="4" t="inlineStr">
        <is>
          <t>EXACT</t>
        </is>
      </c>
      <c r="Q1065" s="4" t="inlineStr">
        <is>
          <t>MAESTRO-IOS-GROUP-TRIP-1064 | Other | 4241.15</t>
        </is>
      </c>
      <c r="R1065" s="4" t="inlineStr">
        <is>
          <t>iPhone</t>
        </is>
      </c>
      <c r="S1065" s="4" t="inlineStr">
        <is>
          <t>B22</t>
        </is>
      </c>
      <c r="T1065" s="4" t="inlineStr">
        <is>
          <t>RAMP_501_1500</t>
        </is>
      </c>
      <c r="U1065" s="4" t="inlineStr">
        <is>
          <t>CREATED</t>
        </is>
      </c>
      <c r="V1065" s="4" t="inlineStr">
        <is>
          <t>idem-20260902-ios-1064</t>
        </is>
      </c>
    </row>
    <row r="1066" ht="30" customHeight="1">
      <c r="A1066" s="4" t="n">
        <v>1065</v>
      </c>
      <c r="B1066" s="4" t="inlineStr">
        <is>
          <t>MTR-IOS-1065</t>
        </is>
      </c>
      <c r="C1066" s="4" t="inlineStr">
        <is>
          <t>Business</t>
        </is>
      </c>
      <c r="D1066" s="4" t="inlineStr">
        <is>
          <t>Business</t>
        </is>
      </c>
      <c r="E1066" s="4" t="inlineStr">
        <is>
          <t>Business Operations</t>
        </is>
      </c>
      <c r="F1066" s="4" t="inlineStr">
        <is>
          <t>Equipment</t>
        </is>
      </c>
      <c r="G1066" s="4" t="inlineStr">
        <is>
          <t>Expense</t>
        </is>
      </c>
      <c r="H1066" s="12" t="n">
        <v>45999</v>
      </c>
      <c r="I1066" s="13" t="n">
        <v>0.6365162037037037</v>
      </c>
      <c r="J1066" s="14" t="n">
        <v>45999.6365162037</v>
      </c>
      <c r="K1066" s="15" t="n">
        <v>47505.67</v>
      </c>
      <c r="L1066" s="4" t="inlineStr">
        <is>
          <t>INR</t>
        </is>
      </c>
      <c r="M1066" s="15" t="n">
        <v>-47505.67</v>
      </c>
      <c r="N1066" s="4" t="inlineStr">
        <is>
          <t>IOS Owner</t>
        </is>
      </c>
      <c r="O1066" s="4" t="n"/>
      <c r="P1066" s="4" t="n"/>
      <c r="Q1066" s="4" t="inlineStr">
        <is>
          <t>MAESTRO-IOS-BUSINESS-BUSINESS_OPERATIONS-1065 | Equipment | 47505.67</t>
        </is>
      </c>
      <c r="R1066" s="4" t="inlineStr">
        <is>
          <t>iPhone</t>
        </is>
      </c>
      <c r="S1066" s="4" t="inlineStr">
        <is>
          <t>B22</t>
        </is>
      </c>
      <c r="T1066" s="4" t="inlineStr">
        <is>
          <t>RAMP_501_1500</t>
        </is>
      </c>
      <c r="U1066" s="4" t="inlineStr">
        <is>
          <t>CREATED</t>
        </is>
      </c>
      <c r="V1066" s="4" t="inlineStr">
        <is>
          <t>idem-20260902-ios-1065</t>
        </is>
      </c>
    </row>
    <row r="1067" ht="30" customHeight="1">
      <c r="A1067" s="4" t="n">
        <v>1066</v>
      </c>
      <c r="B1067" s="4" t="inlineStr">
        <is>
          <t>MTR-IOS-1066</t>
        </is>
      </c>
      <c r="C1067" s="4" t="inlineStr">
        <is>
          <t>Personal</t>
        </is>
      </c>
      <c r="D1067" s="4" t="inlineStr">
        <is>
          <t>Personal</t>
        </is>
      </c>
      <c r="E1067" s="4" t="inlineStr">
        <is>
          <t>Future Building</t>
        </is>
      </c>
      <c r="F1067" s="4" t="inlineStr">
        <is>
          <t>Education</t>
        </is>
      </c>
      <c r="G1067" s="4" t="inlineStr">
        <is>
          <t>Expense</t>
        </is>
      </c>
      <c r="H1067" s="12" t="n">
        <v>46215</v>
      </c>
      <c r="I1067" s="13" t="n">
        <v>0.3367708333333334</v>
      </c>
      <c r="J1067" s="14" t="n">
        <v>46215.33677083333</v>
      </c>
      <c r="K1067" s="15" t="n">
        <v>13713.15</v>
      </c>
      <c r="L1067" s="4" t="inlineStr">
        <is>
          <t>INR</t>
        </is>
      </c>
      <c r="M1067" s="15" t="n">
        <v>-13713.15</v>
      </c>
      <c r="N1067" s="4" t="inlineStr">
        <is>
          <t>IOS Owner</t>
        </is>
      </c>
      <c r="O1067" s="4" t="n"/>
      <c r="P1067" s="4" t="n"/>
      <c r="Q1067" s="4" t="inlineStr">
        <is>
          <t>MAESTRO-IOS-PERSONAL-FUTURE_BUILDING-1066 | Education | 13713.15</t>
        </is>
      </c>
      <c r="R1067" s="4" t="inlineStr">
        <is>
          <t>iPhone</t>
        </is>
      </c>
      <c r="S1067" s="4" t="inlineStr">
        <is>
          <t>B22</t>
        </is>
      </c>
      <c r="T1067" s="4" t="inlineStr">
        <is>
          <t>RAMP_501_1500</t>
        </is>
      </c>
      <c r="U1067" s="4" t="inlineStr">
        <is>
          <t>CREATED</t>
        </is>
      </c>
      <c r="V1067" s="4" t="inlineStr">
        <is>
          <t>idem-20260902-ios-1066</t>
        </is>
      </c>
    </row>
    <row r="1068" ht="30" customHeight="1">
      <c r="A1068" s="4" t="n">
        <v>1067</v>
      </c>
      <c r="B1068" s="4" t="inlineStr">
        <is>
          <t>MTR-IOS-1067</t>
        </is>
      </c>
      <c r="C1068" s="4" t="inlineStr">
        <is>
          <t>Group</t>
        </is>
      </c>
      <c r="D1068" s="4" t="inlineStr">
        <is>
          <t>Shared Experience</t>
        </is>
      </c>
      <c r="E1068" s="4" t="inlineStr">
        <is>
          <t>Wedding</t>
        </is>
      </c>
      <c r="F1068" s="4" t="inlineStr">
        <is>
          <t>Venue</t>
        </is>
      </c>
      <c r="G1068" s="4" t="inlineStr">
        <is>
          <t>Expense</t>
        </is>
      </c>
      <c r="H1068" s="12" t="n">
        <v>46130</v>
      </c>
      <c r="I1068" s="13" t="n">
        <v>0.003969907407407407</v>
      </c>
      <c r="J1068" s="14" t="n">
        <v>46130.0039699074</v>
      </c>
      <c r="K1068" s="15" t="n">
        <v>1064.27</v>
      </c>
      <c r="L1068" s="4" t="inlineStr">
        <is>
          <t>INR</t>
        </is>
      </c>
      <c r="M1068" s="15" t="n">
        <v>-1064.27</v>
      </c>
      <c r="N1068" s="4" t="inlineStr">
        <is>
          <t>IOS Aarav</t>
        </is>
      </c>
      <c r="O1068" s="4" t="n">
        <v>3</v>
      </c>
      <c r="P1068" s="4" t="inlineStr">
        <is>
          <t>SHARES</t>
        </is>
      </c>
      <c r="Q1068" s="4" t="inlineStr">
        <is>
          <t>MAESTRO-IOS-GROUP-WEDDING-1067 | Venue | 1064.27</t>
        </is>
      </c>
      <c r="R1068" s="4" t="inlineStr">
        <is>
          <t>iPhone</t>
        </is>
      </c>
      <c r="S1068" s="4" t="inlineStr">
        <is>
          <t>B22</t>
        </is>
      </c>
      <c r="T1068" s="4" t="inlineStr">
        <is>
          <t>RAMP_501_1500</t>
        </is>
      </c>
      <c r="U1068" s="4" t="inlineStr">
        <is>
          <t>CREATED</t>
        </is>
      </c>
      <c r="V1068" s="4" t="inlineStr">
        <is>
          <t>idem-20260902-ios-1067</t>
        </is>
      </c>
    </row>
    <row r="1069" ht="30" customHeight="1">
      <c r="A1069" s="4" t="n">
        <v>1068</v>
      </c>
      <c r="B1069" s="4" t="inlineStr">
        <is>
          <t>MTR-IOS-1068</t>
        </is>
      </c>
      <c r="C1069" s="4" t="inlineStr">
        <is>
          <t>Business</t>
        </is>
      </c>
      <c r="D1069" s="4" t="inlineStr">
        <is>
          <t>Business</t>
        </is>
      </c>
      <c r="E1069" s="4" t="inlineStr">
        <is>
          <t>Business Operations</t>
        </is>
      </c>
      <c r="F1069" s="4" t="inlineStr">
        <is>
          <t>Vendor</t>
        </is>
      </c>
      <c r="G1069" s="4" t="inlineStr">
        <is>
          <t>Expense</t>
        </is>
      </c>
      <c r="H1069" s="12" t="n">
        <v>46098</v>
      </c>
      <c r="I1069" s="13" t="n">
        <v>0.507974537037037</v>
      </c>
      <c r="J1069" s="14" t="n">
        <v>46098.50797453704</v>
      </c>
      <c r="K1069" s="15" t="n">
        <v>161359.82</v>
      </c>
      <c r="L1069" s="4" t="inlineStr">
        <is>
          <t>INR</t>
        </is>
      </c>
      <c r="M1069" s="15" t="n">
        <v>-161359.82</v>
      </c>
      <c r="N1069" s="4" t="inlineStr">
        <is>
          <t>IOS Owner</t>
        </is>
      </c>
      <c r="O1069" s="4" t="n"/>
      <c r="P1069" s="4" t="n"/>
      <c r="Q1069" s="4" t="inlineStr">
        <is>
          <t>MAESTRO-IOS-BUSINESS-BUSINESS_OPERATIONS-1068 | Vendor | 161359.82</t>
        </is>
      </c>
      <c r="R1069" s="4" t="inlineStr">
        <is>
          <t>iPhone</t>
        </is>
      </c>
      <c r="S1069" s="4" t="inlineStr">
        <is>
          <t>B22</t>
        </is>
      </c>
      <c r="T1069" s="4" t="inlineStr">
        <is>
          <t>RAMP_501_1500</t>
        </is>
      </c>
      <c r="U1069" s="4" t="inlineStr">
        <is>
          <t>CREATED</t>
        </is>
      </c>
      <c r="V1069" s="4" t="inlineStr">
        <is>
          <t>idem-20260902-ios-1068</t>
        </is>
      </c>
    </row>
    <row r="1070" ht="30" customHeight="1">
      <c r="A1070" s="4" t="n">
        <v>1069</v>
      </c>
      <c r="B1070" s="4" t="inlineStr">
        <is>
          <t>MTR-IOS-1069</t>
        </is>
      </c>
      <c r="C1070" s="4" t="inlineStr">
        <is>
          <t>Personal</t>
        </is>
      </c>
      <c r="D1070" s="4" t="inlineStr">
        <is>
          <t>Personal</t>
        </is>
      </c>
      <c r="E1070" s="4" t="inlineStr">
        <is>
          <t>Future Building</t>
        </is>
      </c>
      <c r="F1070" s="4" t="inlineStr">
        <is>
          <t>Goal Contribution</t>
        </is>
      </c>
      <c r="G1070" s="4" t="inlineStr">
        <is>
          <t>Transfer</t>
        </is>
      </c>
      <c r="H1070" s="12" t="n">
        <v>46244</v>
      </c>
      <c r="I1070" s="13" t="n">
        <v>0.3944791666666667</v>
      </c>
      <c r="J1070" s="14" t="n">
        <v>46244.39447916667</v>
      </c>
      <c r="K1070" s="15" t="n">
        <v>7014.22</v>
      </c>
      <c r="L1070" s="4" t="inlineStr">
        <is>
          <t>INR</t>
        </is>
      </c>
      <c r="M1070" s="15" t="n">
        <v>0</v>
      </c>
      <c r="N1070" s="4" t="inlineStr">
        <is>
          <t>IOS Owner</t>
        </is>
      </c>
      <c r="O1070" s="4" t="n"/>
      <c r="P1070" s="4" t="n"/>
      <c r="Q1070" s="4" t="inlineStr">
        <is>
          <t>MAESTRO-IOS-PERSONAL-FUTURE_BUILDING-1069 | Goal Contribution | 7014.22</t>
        </is>
      </c>
      <c r="R1070" s="4" t="inlineStr">
        <is>
          <t>iPhone</t>
        </is>
      </c>
      <c r="S1070" s="4" t="inlineStr">
        <is>
          <t>B22</t>
        </is>
      </c>
      <c r="T1070" s="4" t="inlineStr">
        <is>
          <t>RAMP_501_1500</t>
        </is>
      </c>
      <c r="U1070" s="4" t="inlineStr">
        <is>
          <t>CREATED</t>
        </is>
      </c>
      <c r="V1070" s="4" t="inlineStr">
        <is>
          <t>idem-20260902-ios-1069</t>
        </is>
      </c>
    </row>
    <row r="1071" ht="30" customHeight="1">
      <c r="A1071" s="4" t="n">
        <v>1070</v>
      </c>
      <c r="B1071" s="4" t="inlineStr">
        <is>
          <t>MTR-IOS-1070</t>
        </is>
      </c>
      <c r="C1071" s="4" t="inlineStr">
        <is>
          <t>Group</t>
        </is>
      </c>
      <c r="D1071" s="4" t="inlineStr">
        <is>
          <t>Shared Experience</t>
        </is>
      </c>
      <c r="E1071" s="4" t="inlineStr">
        <is>
          <t>Wedding</t>
        </is>
      </c>
      <c r="F1071" s="4" t="inlineStr">
        <is>
          <t>Catering</t>
        </is>
      </c>
      <c r="G1071" s="4" t="inlineStr">
        <is>
          <t>Expense</t>
        </is>
      </c>
      <c r="H1071" s="12" t="n">
        <v>45941</v>
      </c>
      <c r="I1071" s="13" t="n">
        <v>0.5941782407407408</v>
      </c>
      <c r="J1071" s="14" t="n">
        <v>45941.59417824074</v>
      </c>
      <c r="K1071" s="15" t="n">
        <v>3571.1</v>
      </c>
      <c r="L1071" s="4" t="inlineStr">
        <is>
          <t>INR</t>
        </is>
      </c>
      <c r="M1071" s="15" t="n">
        <v>-3571.1</v>
      </c>
      <c r="N1071" s="4" t="inlineStr">
        <is>
          <t>IOS Meera</t>
        </is>
      </c>
      <c r="O1071" s="4" t="n">
        <v>3</v>
      </c>
      <c r="P1071" s="4" t="inlineStr">
        <is>
          <t>EQUAL</t>
        </is>
      </c>
      <c r="Q1071" s="4" t="inlineStr">
        <is>
          <t>MAESTRO-IOS-GROUP-WEDDING-1070 | Catering | 3571.10</t>
        </is>
      </c>
      <c r="R1071" s="4" t="inlineStr">
        <is>
          <t>iPhone</t>
        </is>
      </c>
      <c r="S1071" s="4" t="inlineStr">
        <is>
          <t>B22</t>
        </is>
      </c>
      <c r="T1071" s="4" t="inlineStr">
        <is>
          <t>RAMP_501_1500</t>
        </is>
      </c>
      <c r="U1071" s="4" t="inlineStr">
        <is>
          <t>CREATED</t>
        </is>
      </c>
      <c r="V1071" s="4" t="inlineStr">
        <is>
          <t>idem-20260902-ios-1070</t>
        </is>
      </c>
    </row>
    <row r="1072" ht="30" customHeight="1">
      <c r="A1072" s="4" t="n">
        <v>1071</v>
      </c>
      <c r="B1072" s="4" t="inlineStr">
        <is>
          <t>MTR-IOS-1071</t>
        </is>
      </c>
      <c r="C1072" s="4" t="inlineStr">
        <is>
          <t>Business</t>
        </is>
      </c>
      <c r="D1072" s="4" t="inlineStr">
        <is>
          <t>Business</t>
        </is>
      </c>
      <c r="E1072" s="4" t="inlineStr">
        <is>
          <t>Business Operations</t>
        </is>
      </c>
      <c r="F1072" s="4" t="inlineStr">
        <is>
          <t>Tax</t>
        </is>
      </c>
      <c r="G1072" s="4" t="inlineStr">
        <is>
          <t>Expense</t>
        </is>
      </c>
      <c r="H1072" s="12" t="n">
        <v>46195</v>
      </c>
      <c r="I1072" s="13" t="n">
        <v>0.8127546296296296</v>
      </c>
      <c r="J1072" s="14" t="n">
        <v>46195.81275462963</v>
      </c>
      <c r="K1072" s="15" t="n">
        <v>163393.04</v>
      </c>
      <c r="L1072" s="4" t="inlineStr">
        <is>
          <t>INR</t>
        </is>
      </c>
      <c r="M1072" s="15" t="n">
        <v>-163393.04</v>
      </c>
      <c r="N1072" s="4" t="inlineStr">
        <is>
          <t>IOS Owner</t>
        </is>
      </c>
      <c r="O1072" s="4" t="n"/>
      <c r="P1072" s="4" t="n"/>
      <c r="Q1072" s="4" t="inlineStr">
        <is>
          <t>MAESTRO-IOS-BUSINESS-BUSINESS_OPERATIONS-1071 | Tax | 163393.04</t>
        </is>
      </c>
      <c r="R1072" s="4" t="inlineStr">
        <is>
          <t>iPhone</t>
        </is>
      </c>
      <c r="S1072" s="4" t="inlineStr">
        <is>
          <t>B22</t>
        </is>
      </c>
      <c r="T1072" s="4" t="inlineStr">
        <is>
          <t>RAMP_501_1500</t>
        </is>
      </c>
      <c r="U1072" s="4" t="inlineStr">
        <is>
          <t>CREATED</t>
        </is>
      </c>
      <c r="V1072" s="4" t="inlineStr">
        <is>
          <t>idem-20260902-ios-1071</t>
        </is>
      </c>
    </row>
    <row r="1073" ht="30" customHeight="1">
      <c r="A1073" s="4" t="n">
        <v>1072</v>
      </c>
      <c r="B1073" s="4" t="inlineStr">
        <is>
          <t>MTR-IOS-1072</t>
        </is>
      </c>
      <c r="C1073" s="4" t="inlineStr">
        <is>
          <t>Personal</t>
        </is>
      </c>
      <c r="D1073" s="4" t="inlineStr">
        <is>
          <t>Personal</t>
        </is>
      </c>
      <c r="E1073" s="4" t="inlineStr">
        <is>
          <t>Lifestyle</t>
        </is>
      </c>
      <c r="F1073" s="4" t="inlineStr">
        <is>
          <t>Dining</t>
        </is>
      </c>
      <c r="G1073" s="4" t="inlineStr">
        <is>
          <t>Expense</t>
        </is>
      </c>
      <c r="H1073" s="12" t="n">
        <v>45951</v>
      </c>
      <c r="I1073" s="13" t="n">
        <v>0.8560763888888889</v>
      </c>
      <c r="J1073" s="14" t="n">
        <v>45951.85607638889</v>
      </c>
      <c r="K1073" s="15" t="n">
        <v>3813.91</v>
      </c>
      <c r="L1073" s="4" t="inlineStr">
        <is>
          <t>INR</t>
        </is>
      </c>
      <c r="M1073" s="15" t="n">
        <v>-3813.91</v>
      </c>
      <c r="N1073" s="4" t="inlineStr">
        <is>
          <t>IOS Owner</t>
        </is>
      </c>
      <c r="O1073" s="4" t="n"/>
      <c r="P1073" s="4" t="n"/>
      <c r="Q1073" s="4" t="inlineStr">
        <is>
          <t>MAESTRO-IOS-PERSONAL-LIFESTYLE-1072 | Dining | 3813.91</t>
        </is>
      </c>
      <c r="R1073" s="4" t="inlineStr">
        <is>
          <t>iPhone</t>
        </is>
      </c>
      <c r="S1073" s="4" t="inlineStr">
        <is>
          <t>B22</t>
        </is>
      </c>
      <c r="T1073" s="4" t="inlineStr">
        <is>
          <t>RAMP_501_1500</t>
        </is>
      </c>
      <c r="U1073" s="4" t="inlineStr">
        <is>
          <t>CREATED</t>
        </is>
      </c>
      <c r="V1073" s="4" t="inlineStr">
        <is>
          <t>idem-20260902-ios-1072</t>
        </is>
      </c>
    </row>
    <row r="1074" ht="30" customHeight="1">
      <c r="A1074" s="4" t="n">
        <v>1073</v>
      </c>
      <c r="B1074" s="4" t="inlineStr">
        <is>
          <t>MTR-IOS-1073</t>
        </is>
      </c>
      <c r="C1074" s="4" t="inlineStr">
        <is>
          <t>Group</t>
        </is>
      </c>
      <c r="D1074" s="4" t="inlineStr">
        <is>
          <t>Shared Experience</t>
        </is>
      </c>
      <c r="E1074" s="4" t="inlineStr">
        <is>
          <t>Wedding</t>
        </is>
      </c>
      <c r="F1074" s="4" t="inlineStr">
        <is>
          <t>Decor</t>
        </is>
      </c>
      <c r="G1074" s="4" t="inlineStr">
        <is>
          <t>Expense</t>
        </is>
      </c>
      <c r="H1074" s="12" t="n">
        <v>46185</v>
      </c>
      <c r="I1074" s="13" t="n">
        <v>0.2674305555555556</v>
      </c>
      <c r="J1074" s="14" t="n">
        <v>46185.26743055556</v>
      </c>
      <c r="K1074" s="15" t="n">
        <v>10000</v>
      </c>
      <c r="L1074" s="4" t="inlineStr">
        <is>
          <t>INR</t>
        </is>
      </c>
      <c r="M1074" s="15" t="n">
        <v>-10000</v>
      </c>
      <c r="N1074" s="4" t="inlineStr">
        <is>
          <t>IOS Owner</t>
        </is>
      </c>
      <c r="O1074" s="4" t="n">
        <v>3</v>
      </c>
      <c r="P1074" s="4" t="inlineStr">
        <is>
          <t>PERCENTAGE</t>
        </is>
      </c>
      <c r="Q1074" s="4" t="inlineStr">
        <is>
          <t>MAESTRO-IOS-GROUP-WEDDING-1073 | Decor | 10000.00</t>
        </is>
      </c>
      <c r="R1074" s="4" t="inlineStr">
        <is>
          <t>iPhone</t>
        </is>
      </c>
      <c r="S1074" s="4" t="inlineStr">
        <is>
          <t>B22</t>
        </is>
      </c>
      <c r="T1074" s="4" t="inlineStr">
        <is>
          <t>RAMP_501_1500</t>
        </is>
      </c>
      <c r="U1074" s="4" t="inlineStr">
        <is>
          <t>CREATED</t>
        </is>
      </c>
      <c r="V1074" s="4" t="inlineStr">
        <is>
          <t>idem-20260902-ios-1073</t>
        </is>
      </c>
    </row>
    <row r="1075" ht="30" customHeight="1">
      <c r="A1075" s="4" t="n">
        <v>1074</v>
      </c>
      <c r="B1075" s="4" t="inlineStr">
        <is>
          <t>MTR-IOS-1074</t>
        </is>
      </c>
      <c r="C1075" s="4" t="inlineStr">
        <is>
          <t>Business</t>
        </is>
      </c>
      <c r="D1075" s="4" t="inlineStr">
        <is>
          <t>Business</t>
        </is>
      </c>
      <c r="E1075" s="4" t="inlineStr">
        <is>
          <t>Team Operations</t>
        </is>
      </c>
      <c r="F1075" s="4" t="inlineStr">
        <is>
          <t>Payroll</t>
        </is>
      </c>
      <c r="G1075" s="4" t="inlineStr">
        <is>
          <t>Expense</t>
        </is>
      </c>
      <c r="H1075" s="12" t="n">
        <v>46092</v>
      </c>
      <c r="I1075" s="13" t="n">
        <v>0.6553240740740741</v>
      </c>
      <c r="J1075" s="14" t="n">
        <v>46092.65532407408</v>
      </c>
      <c r="K1075" s="15" t="n">
        <v>24566.23</v>
      </c>
      <c r="L1075" s="4" t="inlineStr">
        <is>
          <t>INR</t>
        </is>
      </c>
      <c r="M1075" s="15" t="n">
        <v>-24566.23</v>
      </c>
      <c r="N1075" s="4" t="inlineStr">
        <is>
          <t>IOS Owner</t>
        </is>
      </c>
      <c r="O1075" s="4" t="n"/>
      <c r="P1075" s="4" t="n"/>
      <c r="Q1075" s="4" t="inlineStr">
        <is>
          <t>MAESTRO-IOS-BUSINESS-TEAM_OPERATIONS-1074 | Payroll | 24566.23</t>
        </is>
      </c>
      <c r="R1075" s="4" t="inlineStr">
        <is>
          <t>iPhone</t>
        </is>
      </c>
      <c r="S1075" s="4" t="inlineStr">
        <is>
          <t>B22</t>
        </is>
      </c>
      <c r="T1075" s="4" t="inlineStr">
        <is>
          <t>RAMP_501_1500</t>
        </is>
      </c>
      <c r="U1075" s="4" t="inlineStr">
        <is>
          <t>CREATED</t>
        </is>
      </c>
      <c r="V1075" s="4" t="inlineStr">
        <is>
          <t>idem-20260902-ios-1074</t>
        </is>
      </c>
    </row>
    <row r="1076" ht="30" customHeight="1">
      <c r="A1076" s="4" t="n">
        <v>1075</v>
      </c>
      <c r="B1076" s="4" t="inlineStr">
        <is>
          <t>MTR-IOS-1075</t>
        </is>
      </c>
      <c r="C1076" s="4" t="inlineStr">
        <is>
          <t>Personal</t>
        </is>
      </c>
      <c r="D1076" s="4" t="inlineStr">
        <is>
          <t>Personal</t>
        </is>
      </c>
      <c r="E1076" s="4" t="inlineStr">
        <is>
          <t>Lifestyle</t>
        </is>
      </c>
      <c r="F1076" s="4" t="inlineStr">
        <is>
          <t>Shopping</t>
        </is>
      </c>
      <c r="G1076" s="4" t="inlineStr">
        <is>
          <t>Expense</t>
        </is>
      </c>
      <c r="H1076" s="12" t="n">
        <v>45988</v>
      </c>
      <c r="I1076" s="13" t="n">
        <v>0.9174652777777778</v>
      </c>
      <c r="J1076" s="14" t="n">
        <v>45988.91746527778</v>
      </c>
      <c r="K1076" s="15" t="n">
        <v>2064.01</v>
      </c>
      <c r="L1076" s="4" t="inlineStr">
        <is>
          <t>INR</t>
        </is>
      </c>
      <c r="M1076" s="15" t="n">
        <v>-2064.01</v>
      </c>
      <c r="N1076" s="4" t="inlineStr">
        <is>
          <t>IOS Owner</t>
        </is>
      </c>
      <c r="O1076" s="4" t="n"/>
      <c r="P1076" s="4" t="n"/>
      <c r="Q1076" s="4" t="inlineStr">
        <is>
          <t>MAESTRO-IOS-PERSONAL-LIFESTYLE-1075 | Shopping | 2064.01</t>
        </is>
      </c>
      <c r="R1076" s="4" t="inlineStr">
        <is>
          <t>iPhone</t>
        </is>
      </c>
      <c r="S1076" s="4" t="inlineStr">
        <is>
          <t>B22</t>
        </is>
      </c>
      <c r="T1076" s="4" t="inlineStr">
        <is>
          <t>RAMP_501_1500</t>
        </is>
      </c>
      <c r="U1076" s="4" t="inlineStr">
        <is>
          <t>CREATED</t>
        </is>
      </c>
      <c r="V1076" s="4" t="inlineStr">
        <is>
          <t>idem-20260902-ios-1075</t>
        </is>
      </c>
    </row>
    <row r="1077" ht="30" customHeight="1">
      <c r="A1077" s="4" t="n">
        <v>1076</v>
      </c>
      <c r="B1077" s="4" t="inlineStr">
        <is>
          <t>MTR-IOS-1076</t>
        </is>
      </c>
      <c r="C1077" s="4" t="inlineStr">
        <is>
          <t>Group</t>
        </is>
      </c>
      <c r="D1077" s="4" t="inlineStr">
        <is>
          <t>Shared Experience</t>
        </is>
      </c>
      <c r="E1077" s="4" t="inlineStr">
        <is>
          <t>Wedding</t>
        </is>
      </c>
      <c r="F1077" s="4" t="inlineStr">
        <is>
          <t>Travel</t>
        </is>
      </c>
      <c r="G1077" s="4" t="inlineStr">
        <is>
          <t>Expense</t>
        </is>
      </c>
      <c r="H1077" s="12" t="n">
        <v>46104</v>
      </c>
      <c r="I1077" s="13" t="n">
        <v>0.7397569444444444</v>
      </c>
      <c r="J1077" s="14" t="n">
        <v>46104.73975694444</v>
      </c>
      <c r="K1077" s="15" t="n">
        <v>15325.11</v>
      </c>
      <c r="L1077" s="4" t="inlineStr">
        <is>
          <t>INR</t>
        </is>
      </c>
      <c r="M1077" s="15" t="n">
        <v>-15325.11</v>
      </c>
      <c r="N1077" s="4" t="inlineStr">
        <is>
          <t>IOS Aarav</t>
        </is>
      </c>
      <c r="O1077" s="4" t="n">
        <v>3</v>
      </c>
      <c r="P1077" s="4" t="inlineStr">
        <is>
          <t>EXACT</t>
        </is>
      </c>
      <c r="Q1077" s="4" t="inlineStr">
        <is>
          <t>MAESTRO-IOS-GROUP-WEDDING-1076 | Travel | 15325.11</t>
        </is>
      </c>
      <c r="R1077" s="4" t="inlineStr">
        <is>
          <t>iPhone</t>
        </is>
      </c>
      <c r="S1077" s="4" t="inlineStr">
        <is>
          <t>B22</t>
        </is>
      </c>
      <c r="T1077" s="4" t="inlineStr">
        <is>
          <t>RAMP_501_1500</t>
        </is>
      </c>
      <c r="U1077" s="4" t="inlineStr">
        <is>
          <t>CREATED</t>
        </is>
      </c>
      <c r="V1077" s="4" t="inlineStr">
        <is>
          <t>idem-20260902-ios-1076</t>
        </is>
      </c>
    </row>
    <row r="1078" ht="30" customHeight="1">
      <c r="A1078" s="4" t="n">
        <v>1077</v>
      </c>
      <c r="B1078" s="4" t="inlineStr">
        <is>
          <t>MTR-IOS-1077</t>
        </is>
      </c>
      <c r="C1078" s="4" t="inlineStr">
        <is>
          <t>Business</t>
        </is>
      </c>
      <c r="D1078" s="4" t="inlineStr">
        <is>
          <t>Business</t>
        </is>
      </c>
      <c r="E1078" s="4" t="inlineStr">
        <is>
          <t>Team Operations</t>
        </is>
      </c>
      <c r="F1078" s="4" t="inlineStr">
        <is>
          <t>Contractor</t>
        </is>
      </c>
      <c r="G1078" s="4" t="inlineStr">
        <is>
          <t>Expense</t>
        </is>
      </c>
      <c r="H1078" s="12" t="n">
        <v>45907</v>
      </c>
      <c r="I1078" s="13" t="n">
        <v>0.9915625</v>
      </c>
      <c r="J1078" s="14" t="n">
        <v>45907.9915625</v>
      </c>
      <c r="K1078" s="15" t="n">
        <v>54600.25</v>
      </c>
      <c r="L1078" s="4" t="inlineStr">
        <is>
          <t>INR</t>
        </is>
      </c>
      <c r="M1078" s="15" t="n">
        <v>-54600.25</v>
      </c>
      <c r="N1078" s="4" t="inlineStr">
        <is>
          <t>IOS Owner</t>
        </is>
      </c>
      <c r="O1078" s="4" t="n"/>
      <c r="P1078" s="4" t="n"/>
      <c r="Q1078" s="4" t="inlineStr">
        <is>
          <t>MAESTRO-IOS-BUSINESS-TEAM_OPERATIONS-1077 | Contractor | 54600.25</t>
        </is>
      </c>
      <c r="R1078" s="4" t="inlineStr">
        <is>
          <t>iPhone</t>
        </is>
      </c>
      <c r="S1078" s="4" t="inlineStr">
        <is>
          <t>B22</t>
        </is>
      </c>
      <c r="T1078" s="4" t="inlineStr">
        <is>
          <t>RAMP_501_1500</t>
        </is>
      </c>
      <c r="U1078" s="4" t="inlineStr">
        <is>
          <t>CREATED</t>
        </is>
      </c>
      <c r="V1078" s="4" t="inlineStr">
        <is>
          <t>idem-20260902-ios-1077</t>
        </is>
      </c>
    </row>
    <row r="1079" ht="30" customHeight="1">
      <c r="A1079" s="4" t="n">
        <v>1078</v>
      </c>
      <c r="B1079" s="4" t="inlineStr">
        <is>
          <t>MTR-IOS-1078</t>
        </is>
      </c>
      <c r="C1079" s="4" t="inlineStr">
        <is>
          <t>Personal</t>
        </is>
      </c>
      <c r="D1079" s="4" t="inlineStr">
        <is>
          <t>Personal</t>
        </is>
      </c>
      <c r="E1079" s="4" t="inlineStr">
        <is>
          <t>Lifestyle</t>
        </is>
      </c>
      <c r="F1079" s="4" t="inlineStr">
        <is>
          <t>Entertainment</t>
        </is>
      </c>
      <c r="G1079" s="4" t="inlineStr">
        <is>
          <t>Expense</t>
        </is>
      </c>
      <c r="H1079" s="12" t="n">
        <v>45919</v>
      </c>
      <c r="I1079" s="13" t="n">
        <v>0.04314814814814815</v>
      </c>
      <c r="J1079" s="14" t="n">
        <v>45919.04314814815</v>
      </c>
      <c r="K1079" s="15" t="n">
        <v>9262.98</v>
      </c>
      <c r="L1079" s="4" t="inlineStr">
        <is>
          <t>INR</t>
        </is>
      </c>
      <c r="M1079" s="15" t="n">
        <v>-9262.98</v>
      </c>
      <c r="N1079" s="4" t="inlineStr">
        <is>
          <t>IOS Owner</t>
        </is>
      </c>
      <c r="O1079" s="4" t="n"/>
      <c r="P1079" s="4" t="n"/>
      <c r="Q1079" s="4" t="inlineStr">
        <is>
          <t>MAESTRO-IOS-PERSONAL-LIFESTYLE-1078 | Entertainment | 9262.98</t>
        </is>
      </c>
      <c r="R1079" s="4" t="inlineStr">
        <is>
          <t>iPhone</t>
        </is>
      </c>
      <c r="S1079" s="4" t="inlineStr">
        <is>
          <t>B22</t>
        </is>
      </c>
      <c r="T1079" s="4" t="inlineStr">
        <is>
          <t>RAMP_501_1500</t>
        </is>
      </c>
      <c r="U1079" s="4" t="inlineStr">
        <is>
          <t>CREATED</t>
        </is>
      </c>
      <c r="V1079" s="4" t="inlineStr">
        <is>
          <t>idem-20260902-ios-1078</t>
        </is>
      </c>
    </row>
    <row r="1080" ht="30" customHeight="1">
      <c r="A1080" s="4" t="n">
        <v>1079</v>
      </c>
      <c r="B1080" s="4" t="inlineStr">
        <is>
          <t>MTR-IOS-1079</t>
        </is>
      </c>
      <c r="C1080" s="4" t="inlineStr">
        <is>
          <t>Group</t>
        </is>
      </c>
      <c r="D1080" s="4" t="inlineStr">
        <is>
          <t>Shared Experience</t>
        </is>
      </c>
      <c r="E1080" s="4" t="inlineStr">
        <is>
          <t>Wedding</t>
        </is>
      </c>
      <c r="F1080" s="4" t="inlineStr">
        <is>
          <t>Gifts</t>
        </is>
      </c>
      <c r="G1080" s="4" t="inlineStr">
        <is>
          <t>Expense</t>
        </is>
      </c>
      <c r="H1080" s="12" t="n">
        <v>46139</v>
      </c>
      <c r="I1080" s="13" t="n">
        <v>0.8211689814814814</v>
      </c>
      <c r="J1080" s="14" t="n">
        <v>46139.82116898148</v>
      </c>
      <c r="K1080" s="15" t="n">
        <v>7674.04</v>
      </c>
      <c r="L1080" s="4" t="inlineStr">
        <is>
          <t>INR</t>
        </is>
      </c>
      <c r="M1080" s="15" t="n">
        <v>-7674.04</v>
      </c>
      <c r="N1080" s="4" t="inlineStr">
        <is>
          <t>IOS Meera</t>
        </is>
      </c>
      <c r="O1080" s="4" t="n">
        <v>3</v>
      </c>
      <c r="P1080" s="4" t="inlineStr">
        <is>
          <t>SHARES</t>
        </is>
      </c>
      <c r="Q1080" s="4" t="inlineStr">
        <is>
          <t>MAESTRO-IOS-GROUP-WEDDING-1079 | Gifts | 7674.04</t>
        </is>
      </c>
      <c r="R1080" s="4" t="inlineStr">
        <is>
          <t>iPhone</t>
        </is>
      </c>
      <c r="S1080" s="4" t="inlineStr">
        <is>
          <t>B22</t>
        </is>
      </c>
      <c r="T1080" s="4" t="inlineStr">
        <is>
          <t>RAMP_501_1500</t>
        </is>
      </c>
      <c r="U1080" s="4" t="inlineStr">
        <is>
          <t>CREATED</t>
        </is>
      </c>
      <c r="V1080" s="4" t="inlineStr">
        <is>
          <t>idem-20260902-ios-1079</t>
        </is>
      </c>
    </row>
    <row r="1081" ht="30" customHeight="1">
      <c r="A1081" s="4" t="n">
        <v>1080</v>
      </c>
      <c r="B1081" s="4" t="inlineStr">
        <is>
          <t>MTR-IOS-1080</t>
        </is>
      </c>
      <c r="C1081" s="4" t="inlineStr">
        <is>
          <t>Business</t>
        </is>
      </c>
      <c r="D1081" s="4" t="inlineStr">
        <is>
          <t>Business</t>
        </is>
      </c>
      <c r="E1081" s="4" t="inlineStr">
        <is>
          <t>Team Operations</t>
        </is>
      </c>
      <c r="F1081" s="4" t="inlineStr">
        <is>
          <t>Hiring</t>
        </is>
      </c>
      <c r="G1081" s="4" t="inlineStr">
        <is>
          <t>Expense</t>
        </is>
      </c>
      <c r="H1081" s="12" t="n">
        <v>46008</v>
      </c>
      <c r="I1081" s="13" t="n">
        <v>0.274525462962963</v>
      </c>
      <c r="J1081" s="14" t="n">
        <v>46008.27452546296</v>
      </c>
      <c r="K1081" s="15" t="n">
        <v>79381.72</v>
      </c>
      <c r="L1081" s="4" t="inlineStr">
        <is>
          <t>INR</t>
        </is>
      </c>
      <c r="M1081" s="15" t="n">
        <v>-79381.72</v>
      </c>
      <c r="N1081" s="4" t="inlineStr">
        <is>
          <t>IOS Owner</t>
        </is>
      </c>
      <c r="O1081" s="4" t="n"/>
      <c r="P1081" s="4" t="n"/>
      <c r="Q1081" s="4" t="inlineStr">
        <is>
          <t>MAESTRO-IOS-BUSINESS-TEAM_OPERATIONS-1080 | Hiring | 79381.72</t>
        </is>
      </c>
      <c r="R1081" s="4" t="inlineStr">
        <is>
          <t>iPhone</t>
        </is>
      </c>
      <c r="S1081" s="4" t="inlineStr">
        <is>
          <t>B22</t>
        </is>
      </c>
      <c r="T1081" s="4" t="inlineStr">
        <is>
          <t>RAMP_501_1500</t>
        </is>
      </c>
      <c r="U1081" s="4" t="inlineStr">
        <is>
          <t>CREATED</t>
        </is>
      </c>
      <c r="V1081" s="4" t="inlineStr">
        <is>
          <t>idem-20260902-ios-1080</t>
        </is>
      </c>
    </row>
    <row r="1082" ht="30" customHeight="1">
      <c r="A1082" s="4" t="n">
        <v>1081</v>
      </c>
      <c r="B1082" s="4" t="inlineStr">
        <is>
          <t>MTR-IOS-1081</t>
        </is>
      </c>
      <c r="C1082" s="4" t="inlineStr">
        <is>
          <t>Personal</t>
        </is>
      </c>
      <c r="D1082" s="4" t="inlineStr">
        <is>
          <t>Personal</t>
        </is>
      </c>
      <c r="E1082" s="4" t="inlineStr">
        <is>
          <t>Lifestyle</t>
        </is>
      </c>
      <c r="F1082" s="4" t="inlineStr">
        <is>
          <t>Travel</t>
        </is>
      </c>
      <c r="G1082" s="4" t="inlineStr">
        <is>
          <t>Expense</t>
        </is>
      </c>
      <c r="H1082" s="12" t="n">
        <v>45905</v>
      </c>
      <c r="I1082" s="13" t="n">
        <v>0.2871527777777778</v>
      </c>
      <c r="J1082" s="14" t="n">
        <v>45905.28715277778</v>
      </c>
      <c r="K1082" s="15" t="n">
        <v>17223.6</v>
      </c>
      <c r="L1082" s="4" t="inlineStr">
        <is>
          <t>INR</t>
        </is>
      </c>
      <c r="M1082" s="15" t="n">
        <v>-17223.6</v>
      </c>
      <c r="N1082" s="4" t="inlineStr">
        <is>
          <t>IOS Owner</t>
        </is>
      </c>
      <c r="O1082" s="4" t="n"/>
      <c r="P1082" s="4" t="n"/>
      <c r="Q1082" s="4" t="inlineStr">
        <is>
          <t>MAESTRO-IOS-PERSONAL-LIFESTYLE-1081 | Travel | 17223.60</t>
        </is>
      </c>
      <c r="R1082" s="4" t="inlineStr">
        <is>
          <t>iPhone</t>
        </is>
      </c>
      <c r="S1082" s="4" t="inlineStr">
        <is>
          <t>B22</t>
        </is>
      </c>
      <c r="T1082" s="4" t="inlineStr">
        <is>
          <t>RAMP_501_1500</t>
        </is>
      </c>
      <c r="U1082" s="4" t="inlineStr">
        <is>
          <t>CREATED</t>
        </is>
      </c>
      <c r="V1082" s="4" t="inlineStr">
        <is>
          <t>idem-20260902-ios-1081</t>
        </is>
      </c>
    </row>
    <row r="1083" ht="30" customHeight="1">
      <c r="A1083" s="4" t="n">
        <v>1082</v>
      </c>
      <c r="B1083" s="4" t="inlineStr">
        <is>
          <t>MTR-IOS-1082</t>
        </is>
      </c>
      <c r="C1083" s="4" t="inlineStr">
        <is>
          <t>Group</t>
        </is>
      </c>
      <c r="D1083" s="4" t="inlineStr">
        <is>
          <t>Shared Experience</t>
        </is>
      </c>
      <c r="E1083" s="4" t="inlineStr">
        <is>
          <t>Wedding</t>
        </is>
      </c>
      <c r="F1083" s="4" t="inlineStr">
        <is>
          <t>Photography</t>
        </is>
      </c>
      <c r="G1083" s="4" t="inlineStr">
        <is>
          <t>Expense</t>
        </is>
      </c>
      <c r="H1083" s="12" t="n">
        <v>46016</v>
      </c>
      <c r="I1083" s="13" t="n">
        <v>0.01703703703703704</v>
      </c>
      <c r="J1083" s="14" t="n">
        <v>46016.01703703704</v>
      </c>
      <c r="K1083" s="15" t="n">
        <v>14618.9</v>
      </c>
      <c r="L1083" s="4" t="inlineStr">
        <is>
          <t>INR</t>
        </is>
      </c>
      <c r="M1083" s="15" t="n">
        <v>-14618.9</v>
      </c>
      <c r="N1083" s="4" t="inlineStr">
        <is>
          <t>IOS Owner</t>
        </is>
      </c>
      <c r="O1083" s="4" t="n">
        <v>3</v>
      </c>
      <c r="P1083" s="4" t="inlineStr">
        <is>
          <t>EQUAL</t>
        </is>
      </c>
      <c r="Q1083" s="4" t="inlineStr">
        <is>
          <t>MAESTRO-IOS-GROUP-WEDDING-1082 | Photography | 14618.90</t>
        </is>
      </c>
      <c r="R1083" s="4" t="inlineStr">
        <is>
          <t>iPhone</t>
        </is>
      </c>
      <c r="S1083" s="4" t="inlineStr">
        <is>
          <t>B22</t>
        </is>
      </c>
      <c r="T1083" s="4" t="inlineStr">
        <is>
          <t>RAMP_501_1500</t>
        </is>
      </c>
      <c r="U1083" s="4" t="inlineStr">
        <is>
          <t>CREATED</t>
        </is>
      </c>
      <c r="V1083" s="4" t="inlineStr">
        <is>
          <t>idem-20260902-ios-1082</t>
        </is>
      </c>
    </row>
    <row r="1084" ht="30" customHeight="1">
      <c r="A1084" s="4" t="n">
        <v>1083</v>
      </c>
      <c r="B1084" s="4" t="inlineStr">
        <is>
          <t>MTR-IOS-1083</t>
        </is>
      </c>
      <c r="C1084" s="4" t="inlineStr">
        <is>
          <t>Business</t>
        </is>
      </c>
      <c r="D1084" s="4" t="inlineStr">
        <is>
          <t>Business</t>
        </is>
      </c>
      <c r="E1084" s="4" t="inlineStr">
        <is>
          <t>Team Operations</t>
        </is>
      </c>
      <c r="F1084" s="4" t="inlineStr">
        <is>
          <t>Team Meal</t>
        </is>
      </c>
      <c r="G1084" s="4" t="inlineStr">
        <is>
          <t>Expense</t>
        </is>
      </c>
      <c r="H1084" s="12" t="n">
        <v>45973</v>
      </c>
      <c r="I1084" s="13" t="n">
        <v>0.6395949074074074</v>
      </c>
      <c r="J1084" s="14" t="n">
        <v>45973.63959490741</v>
      </c>
      <c r="K1084" s="15" t="n">
        <v>11571.35</v>
      </c>
      <c r="L1084" s="4" t="inlineStr">
        <is>
          <t>INR</t>
        </is>
      </c>
      <c r="M1084" s="15" t="n">
        <v>-11571.35</v>
      </c>
      <c r="N1084" s="4" t="inlineStr">
        <is>
          <t>IOS Owner</t>
        </is>
      </c>
      <c r="O1084" s="4" t="n"/>
      <c r="P1084" s="4" t="n"/>
      <c r="Q1084" s="4" t="inlineStr">
        <is>
          <t>MAESTRO-IOS-BUSINESS-TEAM_OPERATIONS-1083 | Team Meal | 11571.35</t>
        </is>
      </c>
      <c r="R1084" s="4" t="inlineStr">
        <is>
          <t>iPhone</t>
        </is>
      </c>
      <c r="S1084" s="4" t="inlineStr">
        <is>
          <t>B22</t>
        </is>
      </c>
      <c r="T1084" s="4" t="inlineStr">
        <is>
          <t>RAMP_501_1500</t>
        </is>
      </c>
      <c r="U1084" s="4" t="inlineStr">
        <is>
          <t>CREATED</t>
        </is>
      </c>
      <c r="V1084" s="4" t="inlineStr">
        <is>
          <t>idem-20260902-ios-1083</t>
        </is>
      </c>
    </row>
    <row r="1085" ht="30" customHeight="1">
      <c r="A1085" s="4" t="n">
        <v>1084</v>
      </c>
      <c r="B1085" s="4" t="inlineStr">
        <is>
          <t>MTR-IOS-1084</t>
        </is>
      </c>
      <c r="C1085" s="4" t="inlineStr">
        <is>
          <t>Personal</t>
        </is>
      </c>
      <c r="D1085" s="4" t="inlineStr">
        <is>
          <t>Personal</t>
        </is>
      </c>
      <c r="E1085" s="4" t="inlineStr">
        <is>
          <t>Lifestyle</t>
        </is>
      </c>
      <c r="F1085" s="4" t="inlineStr">
        <is>
          <t>Fitness</t>
        </is>
      </c>
      <c r="G1085" s="4" t="inlineStr">
        <is>
          <t>Expense</t>
        </is>
      </c>
      <c r="H1085" s="12" t="n">
        <v>46172</v>
      </c>
      <c r="I1085" s="13" t="n">
        <v>0.1954976851851852</v>
      </c>
      <c r="J1085" s="14" t="n">
        <v>46172.19549768518</v>
      </c>
      <c r="K1085" s="15" t="n">
        <v>16123.39</v>
      </c>
      <c r="L1085" s="4" t="inlineStr">
        <is>
          <t>INR</t>
        </is>
      </c>
      <c r="M1085" s="15" t="n">
        <v>-16123.39</v>
      </c>
      <c r="N1085" s="4" t="inlineStr">
        <is>
          <t>IOS Owner</t>
        </is>
      </c>
      <c r="O1085" s="4" t="n"/>
      <c r="P1085" s="4" t="n"/>
      <c r="Q1085" s="4" t="inlineStr">
        <is>
          <t>MAESTRO-IOS-PERSONAL-LIFESTYLE-1084 | Fitness | 16123.39</t>
        </is>
      </c>
      <c r="R1085" s="4" t="inlineStr">
        <is>
          <t>iPhone</t>
        </is>
      </c>
      <c r="S1085" s="4" t="inlineStr">
        <is>
          <t>B22</t>
        </is>
      </c>
      <c r="T1085" s="4" t="inlineStr">
        <is>
          <t>RAMP_501_1500</t>
        </is>
      </c>
      <c r="U1085" s="4" t="inlineStr">
        <is>
          <t>CREATED</t>
        </is>
      </c>
      <c r="V1085" s="4" t="inlineStr">
        <is>
          <t>idem-20260902-ios-1084</t>
        </is>
      </c>
    </row>
    <row r="1086" ht="30" customHeight="1">
      <c r="A1086" s="4" t="n">
        <v>1085</v>
      </c>
      <c r="B1086" s="4" t="inlineStr">
        <is>
          <t>MTR-IOS-1085</t>
        </is>
      </c>
      <c r="C1086" s="4" t="inlineStr">
        <is>
          <t>Group</t>
        </is>
      </c>
      <c r="D1086" s="4" t="inlineStr">
        <is>
          <t>Shared Experience</t>
        </is>
      </c>
      <c r="E1086" s="4" t="inlineStr">
        <is>
          <t>Wedding</t>
        </is>
      </c>
      <c r="F1086" s="4" t="inlineStr">
        <is>
          <t>Other</t>
        </is>
      </c>
      <c r="G1086" s="4" t="inlineStr">
        <is>
          <t>Expense</t>
        </is>
      </c>
      <c r="H1086" s="12" t="n">
        <v>46020</v>
      </c>
      <c r="I1086" s="13" t="n">
        <v>0.3710532407407408</v>
      </c>
      <c r="J1086" s="14" t="n">
        <v>46020.37105324074</v>
      </c>
      <c r="K1086" s="15" t="n">
        <v>568.25</v>
      </c>
      <c r="L1086" s="4" t="inlineStr">
        <is>
          <t>INR</t>
        </is>
      </c>
      <c r="M1086" s="15" t="n">
        <v>-568.25</v>
      </c>
      <c r="N1086" s="4" t="inlineStr">
        <is>
          <t>IOS Aarav</t>
        </is>
      </c>
      <c r="O1086" s="4" t="n">
        <v>3</v>
      </c>
      <c r="P1086" s="4" t="inlineStr">
        <is>
          <t>PERCENTAGE</t>
        </is>
      </c>
      <c r="Q1086" s="4" t="inlineStr">
        <is>
          <t>MAESTRO-IOS-GROUP-WEDDING-1085 | Other | 568.25</t>
        </is>
      </c>
      <c r="R1086" s="4" t="inlineStr">
        <is>
          <t>iPhone</t>
        </is>
      </c>
      <c r="S1086" s="4" t="inlineStr">
        <is>
          <t>B22</t>
        </is>
      </c>
      <c r="T1086" s="4" t="inlineStr">
        <is>
          <t>RAMP_501_1500</t>
        </is>
      </c>
      <c r="U1086" s="4" t="inlineStr">
        <is>
          <t>CREATED</t>
        </is>
      </c>
      <c r="V1086" s="4" t="inlineStr">
        <is>
          <t>idem-20260902-ios-1085</t>
        </is>
      </c>
    </row>
    <row r="1087" ht="30" customHeight="1">
      <c r="A1087" s="4" t="n">
        <v>1086</v>
      </c>
      <c r="B1087" s="4" t="inlineStr">
        <is>
          <t>MTR-IOS-1086</t>
        </is>
      </c>
      <c r="C1087" s="4" t="inlineStr">
        <is>
          <t>Business</t>
        </is>
      </c>
      <c r="D1087" s="4" t="inlineStr">
        <is>
          <t>Business</t>
        </is>
      </c>
      <c r="E1087" s="4" t="inlineStr">
        <is>
          <t>Team Operations</t>
        </is>
      </c>
      <c r="F1087" s="4" t="inlineStr">
        <is>
          <t>Travel</t>
        </is>
      </c>
      <c r="G1087" s="4" t="inlineStr">
        <is>
          <t>Expense</t>
        </is>
      </c>
      <c r="H1087" s="12" t="n">
        <v>46046</v>
      </c>
      <c r="I1087" s="13" t="n">
        <v>0.2119675925925926</v>
      </c>
      <c r="J1087" s="14" t="n">
        <v>46046.21196759259</v>
      </c>
      <c r="K1087" s="15" t="n">
        <v>142759.97</v>
      </c>
      <c r="L1087" s="4" t="inlineStr">
        <is>
          <t>INR</t>
        </is>
      </c>
      <c r="M1087" s="15" t="n">
        <v>-142759.97</v>
      </c>
      <c r="N1087" s="4" t="inlineStr">
        <is>
          <t>IOS Owner</t>
        </is>
      </c>
      <c r="O1087" s="4" t="n"/>
      <c r="P1087" s="4" t="n"/>
      <c r="Q1087" s="4" t="inlineStr">
        <is>
          <t>MAESTRO-IOS-BUSINESS-TEAM_OPERATIONS-1086 | Travel | 142759.97</t>
        </is>
      </c>
      <c r="R1087" s="4" t="inlineStr">
        <is>
          <t>iPhone</t>
        </is>
      </c>
      <c r="S1087" s="4" t="inlineStr">
        <is>
          <t>B22</t>
        </is>
      </c>
      <c r="T1087" s="4" t="inlineStr">
        <is>
          <t>RAMP_501_1500</t>
        </is>
      </c>
      <c r="U1087" s="4" t="inlineStr">
        <is>
          <t>CREATED</t>
        </is>
      </c>
      <c r="V1087" s="4" t="inlineStr">
        <is>
          <t>idem-20260902-ios-1086</t>
        </is>
      </c>
    </row>
    <row r="1088" ht="30" customHeight="1">
      <c r="A1088" s="4" t="n">
        <v>1087</v>
      </c>
      <c r="B1088" s="4" t="inlineStr">
        <is>
          <t>MTR-IOS-1087</t>
        </is>
      </c>
      <c r="C1088" s="4" t="inlineStr">
        <is>
          <t>Personal</t>
        </is>
      </c>
      <c r="D1088" s="4" t="inlineStr">
        <is>
          <t>Personal</t>
        </is>
      </c>
      <c r="E1088" s="4" t="inlineStr">
        <is>
          <t>Lifestyle</t>
        </is>
      </c>
      <c r="F1088" s="4" t="inlineStr">
        <is>
          <t>Hobbies</t>
        </is>
      </c>
      <c r="G1088" s="4" t="inlineStr">
        <is>
          <t>Expense</t>
        </is>
      </c>
      <c r="H1088" s="12" t="n">
        <v>45924</v>
      </c>
      <c r="I1088" s="13" t="n">
        <v>0.16625</v>
      </c>
      <c r="J1088" s="14" t="n">
        <v>45924.16625</v>
      </c>
      <c r="K1088" s="15" t="n">
        <v>16587.41</v>
      </c>
      <c r="L1088" s="4" t="inlineStr">
        <is>
          <t>INR</t>
        </is>
      </c>
      <c r="M1088" s="15" t="n">
        <v>-16587.41</v>
      </c>
      <c r="N1088" s="4" t="inlineStr">
        <is>
          <t>IOS Owner</t>
        </is>
      </c>
      <c r="O1088" s="4" t="n"/>
      <c r="P1088" s="4" t="n"/>
      <c r="Q1088" s="4" t="inlineStr">
        <is>
          <t>MAESTRO-IOS-PERSONAL-LIFESTYLE-1087 | Hobbies | 16587.41</t>
        </is>
      </c>
      <c r="R1088" s="4" t="inlineStr">
        <is>
          <t>iPhone</t>
        </is>
      </c>
      <c r="S1088" s="4" t="inlineStr">
        <is>
          <t>B22</t>
        </is>
      </c>
      <c r="T1088" s="4" t="inlineStr">
        <is>
          <t>RAMP_501_1500</t>
        </is>
      </c>
      <c r="U1088" s="4" t="inlineStr">
        <is>
          <t>CREATED</t>
        </is>
      </c>
      <c r="V1088" s="4" t="inlineStr">
        <is>
          <t>idem-20260902-ios-1087</t>
        </is>
      </c>
    </row>
    <row r="1089" ht="30" customHeight="1">
      <c r="A1089" s="4" t="n">
        <v>1088</v>
      </c>
      <c r="B1089" s="4" t="inlineStr">
        <is>
          <t>MTR-IOS-1088</t>
        </is>
      </c>
      <c r="C1089" s="4" t="inlineStr">
        <is>
          <t>Group</t>
        </is>
      </c>
      <c r="D1089" s="4" t="inlineStr">
        <is>
          <t>Shared Experience</t>
        </is>
      </c>
      <c r="E1089" s="4" t="inlineStr">
        <is>
          <t>Office Outing</t>
        </is>
      </c>
      <c r="F1089" s="4" t="inlineStr">
        <is>
          <t>Food</t>
        </is>
      </c>
      <c r="G1089" s="4" t="inlineStr">
        <is>
          <t>Expense</t>
        </is>
      </c>
      <c r="H1089" s="12" t="n">
        <v>45991</v>
      </c>
      <c r="I1089" s="13" t="n">
        <v>0.1338310185185185</v>
      </c>
      <c r="J1089" s="14" t="n">
        <v>45991.13383101852</v>
      </c>
      <c r="K1089" s="15" t="n">
        <v>21716.96</v>
      </c>
      <c r="L1089" s="4" t="inlineStr">
        <is>
          <t>INR</t>
        </is>
      </c>
      <c r="M1089" s="15" t="n">
        <v>-21716.96</v>
      </c>
      <c r="N1089" s="4" t="inlineStr">
        <is>
          <t>IOS Meera</t>
        </is>
      </c>
      <c r="O1089" s="4" t="n">
        <v>3</v>
      </c>
      <c r="P1089" s="4" t="inlineStr">
        <is>
          <t>EXACT</t>
        </is>
      </c>
      <c r="Q1089" s="4" t="inlineStr">
        <is>
          <t>MAESTRO-IOS-GROUP-OFFICE_OUTING-1088 | Food | 21716.96</t>
        </is>
      </c>
      <c r="R1089" s="4" t="inlineStr">
        <is>
          <t>iPhone</t>
        </is>
      </c>
      <c r="S1089" s="4" t="inlineStr">
        <is>
          <t>B22</t>
        </is>
      </c>
      <c r="T1089" s="4" t="inlineStr">
        <is>
          <t>RAMP_501_1500</t>
        </is>
      </c>
      <c r="U1089" s="4" t="inlineStr">
        <is>
          <t>CREATED</t>
        </is>
      </c>
      <c r="V1089" s="4" t="inlineStr">
        <is>
          <t>idem-20260902-ios-1088</t>
        </is>
      </c>
    </row>
    <row r="1090" ht="30" customHeight="1">
      <c r="A1090" s="4" t="n">
        <v>1089</v>
      </c>
      <c r="B1090" s="4" t="inlineStr">
        <is>
          <t>MTR-IOS-1089</t>
        </is>
      </c>
      <c r="C1090" s="4" t="inlineStr">
        <is>
          <t>Business</t>
        </is>
      </c>
      <c r="D1090" s="4" t="inlineStr">
        <is>
          <t>Business</t>
        </is>
      </c>
      <c r="E1090" s="4" t="inlineStr">
        <is>
          <t>Team Operations</t>
        </is>
      </c>
      <c r="F1090" s="4" t="inlineStr">
        <is>
          <t>Training</t>
        </is>
      </c>
      <c r="G1090" s="4" t="inlineStr">
        <is>
          <t>Expense</t>
        </is>
      </c>
      <c r="H1090" s="12" t="n">
        <v>46247</v>
      </c>
      <c r="I1090" s="13" t="n">
        <v>0.6000115740740741</v>
      </c>
      <c r="J1090" s="14" t="n">
        <v>46247.60001157408</v>
      </c>
      <c r="K1090" s="15" t="n">
        <v>72671.85000000001</v>
      </c>
      <c r="L1090" s="4" t="inlineStr">
        <is>
          <t>INR</t>
        </is>
      </c>
      <c r="M1090" s="15" t="n">
        <v>-72671.85000000001</v>
      </c>
      <c r="N1090" s="4" t="inlineStr">
        <is>
          <t>IOS Owner</t>
        </is>
      </c>
      <c r="O1090" s="4" t="n"/>
      <c r="P1090" s="4" t="n"/>
      <c r="Q1090" s="4" t="inlineStr">
        <is>
          <t>MAESTRO-IOS-BUSINESS-TEAM_OPERATIONS-1089 | Training | 72671.85</t>
        </is>
      </c>
      <c r="R1090" s="4" t="inlineStr">
        <is>
          <t>iPhone</t>
        </is>
      </c>
      <c r="S1090" s="4" t="inlineStr">
        <is>
          <t>B22</t>
        </is>
      </c>
      <c r="T1090" s="4" t="inlineStr">
        <is>
          <t>RAMP_501_1500</t>
        </is>
      </c>
      <c r="U1090" s="4" t="inlineStr">
        <is>
          <t>CREATED</t>
        </is>
      </c>
      <c r="V1090" s="4" t="inlineStr">
        <is>
          <t>idem-20260902-ios-1089</t>
        </is>
      </c>
    </row>
    <row r="1091" ht="30" customHeight="1">
      <c r="A1091" s="4" t="n">
        <v>1090</v>
      </c>
      <c r="B1091" s="4" t="inlineStr">
        <is>
          <t>MTR-IOS-1090</t>
        </is>
      </c>
      <c r="C1091" s="4" t="inlineStr">
        <is>
          <t>Personal</t>
        </is>
      </c>
      <c r="D1091" s="4" t="inlineStr">
        <is>
          <t>Personal</t>
        </is>
      </c>
      <c r="E1091" s="4" t="inlineStr">
        <is>
          <t>Relationships</t>
        </is>
      </c>
      <c r="F1091" s="4" t="inlineStr">
        <is>
          <t>Gifts</t>
        </is>
      </c>
      <c r="G1091" s="4" t="inlineStr">
        <is>
          <t>Expense</t>
        </is>
      </c>
      <c r="H1091" s="12" t="n">
        <v>45979</v>
      </c>
      <c r="I1091" s="13" t="n">
        <v>0.5278703703703703</v>
      </c>
      <c r="J1091" s="14" t="n">
        <v>45979.52787037037</v>
      </c>
      <c r="K1091" s="15" t="n">
        <v>542.48</v>
      </c>
      <c r="L1091" s="4" t="inlineStr">
        <is>
          <t>INR</t>
        </is>
      </c>
      <c r="M1091" s="15" t="n">
        <v>-542.48</v>
      </c>
      <c r="N1091" s="4" t="inlineStr">
        <is>
          <t>IOS Owner</t>
        </is>
      </c>
      <c r="O1091" s="4" t="n"/>
      <c r="P1091" s="4" t="n"/>
      <c r="Q1091" s="4" t="inlineStr">
        <is>
          <t>MAESTRO-IOS-PERSONAL-RELATIONSHIPS-1090 | Gifts | 542.48</t>
        </is>
      </c>
      <c r="R1091" s="4" t="inlineStr">
        <is>
          <t>iPhone</t>
        </is>
      </c>
      <c r="S1091" s="4" t="inlineStr">
        <is>
          <t>B22</t>
        </is>
      </c>
      <c r="T1091" s="4" t="inlineStr">
        <is>
          <t>RAMP_501_1500</t>
        </is>
      </c>
      <c r="U1091" s="4" t="inlineStr">
        <is>
          <t>CREATED</t>
        </is>
      </c>
      <c r="V1091" s="4" t="inlineStr">
        <is>
          <t>idem-20260902-ios-1090</t>
        </is>
      </c>
    </row>
    <row r="1092" ht="30" customHeight="1">
      <c r="A1092" s="4" t="n">
        <v>1091</v>
      </c>
      <c r="B1092" s="4" t="inlineStr">
        <is>
          <t>MTR-IOS-1091</t>
        </is>
      </c>
      <c r="C1092" s="4" t="inlineStr">
        <is>
          <t>Group</t>
        </is>
      </c>
      <c r="D1092" s="4" t="inlineStr">
        <is>
          <t>Shared Experience</t>
        </is>
      </c>
      <c r="E1092" s="4" t="inlineStr">
        <is>
          <t>Office Outing</t>
        </is>
      </c>
      <c r="F1092" s="4" t="inlineStr">
        <is>
          <t>Travel</t>
        </is>
      </c>
      <c r="G1092" s="4" t="inlineStr">
        <is>
          <t>Expense</t>
        </is>
      </c>
      <c r="H1092" s="12" t="n">
        <v>46115</v>
      </c>
      <c r="I1092" s="13" t="n">
        <v>0.4978935185185185</v>
      </c>
      <c r="J1092" s="14" t="n">
        <v>46115.49789351852</v>
      </c>
      <c r="K1092" s="15" t="n">
        <v>6263.04</v>
      </c>
      <c r="L1092" s="4" t="inlineStr">
        <is>
          <t>INR</t>
        </is>
      </c>
      <c r="M1092" s="15" t="n">
        <v>-6263.04</v>
      </c>
      <c r="N1092" s="4" t="inlineStr">
        <is>
          <t>IOS Owner</t>
        </is>
      </c>
      <c r="O1092" s="4" t="n">
        <v>3</v>
      </c>
      <c r="P1092" s="4" t="inlineStr">
        <is>
          <t>SHARES</t>
        </is>
      </c>
      <c r="Q1092" s="4" t="inlineStr">
        <is>
          <t>MAESTRO-IOS-GROUP-OFFICE_OUTING-1091 | Travel | 6263.04</t>
        </is>
      </c>
      <c r="R1092" s="4" t="inlineStr">
        <is>
          <t>iPhone</t>
        </is>
      </c>
      <c r="S1092" s="4" t="inlineStr">
        <is>
          <t>B22</t>
        </is>
      </c>
      <c r="T1092" s="4" t="inlineStr">
        <is>
          <t>RAMP_501_1500</t>
        </is>
      </c>
      <c r="U1092" s="4" t="inlineStr">
        <is>
          <t>CREATED</t>
        </is>
      </c>
      <c r="V1092" s="4" t="inlineStr">
        <is>
          <t>idem-20260902-ios-1091</t>
        </is>
      </c>
    </row>
    <row r="1093" ht="30" customHeight="1">
      <c r="A1093" s="4" t="n">
        <v>1092</v>
      </c>
      <c r="B1093" s="4" t="inlineStr">
        <is>
          <t>MTR-IOS-1092</t>
        </is>
      </c>
      <c r="C1093" s="4" t="inlineStr">
        <is>
          <t>Business</t>
        </is>
      </c>
      <c r="D1093" s="4" t="inlineStr">
        <is>
          <t>Business</t>
        </is>
      </c>
      <c r="E1093" s="4" t="inlineStr">
        <is>
          <t>Team Operations</t>
        </is>
      </c>
      <c r="F1093" s="4" t="inlineStr">
        <is>
          <t>Tools</t>
        </is>
      </c>
      <c r="G1093" s="4" t="inlineStr">
        <is>
          <t>Expense</t>
        </is>
      </c>
      <c r="H1093" s="12" t="n">
        <v>45930</v>
      </c>
      <c r="I1093" s="13" t="n">
        <v>0.2557060185185185</v>
      </c>
      <c r="J1093" s="14" t="n">
        <v>45930.25570601852</v>
      </c>
      <c r="K1093" s="15" t="n">
        <v>79755.86</v>
      </c>
      <c r="L1093" s="4" t="inlineStr">
        <is>
          <t>INR</t>
        </is>
      </c>
      <c r="M1093" s="15" t="n">
        <v>-79755.86</v>
      </c>
      <c r="N1093" s="4" t="inlineStr">
        <is>
          <t>IOS Owner</t>
        </is>
      </c>
      <c r="O1093" s="4" t="n"/>
      <c r="P1093" s="4" t="n"/>
      <c r="Q1093" s="4" t="inlineStr">
        <is>
          <t>MAESTRO-IOS-BUSINESS-TEAM_OPERATIONS-1092 | Tools | 79755.86</t>
        </is>
      </c>
      <c r="R1093" s="4" t="inlineStr">
        <is>
          <t>iPhone</t>
        </is>
      </c>
      <c r="S1093" s="4" t="inlineStr">
        <is>
          <t>B22</t>
        </is>
      </c>
      <c r="T1093" s="4" t="inlineStr">
        <is>
          <t>RAMP_501_1500</t>
        </is>
      </c>
      <c r="U1093" s="4" t="inlineStr">
        <is>
          <t>CREATED</t>
        </is>
      </c>
      <c r="V1093" s="4" t="inlineStr">
        <is>
          <t>idem-20260902-ios-1092</t>
        </is>
      </c>
    </row>
    <row r="1094" ht="30" customHeight="1">
      <c r="A1094" s="4" t="n">
        <v>1093</v>
      </c>
      <c r="B1094" s="4" t="inlineStr">
        <is>
          <t>MTR-IOS-1093</t>
        </is>
      </c>
      <c r="C1094" s="4" t="inlineStr">
        <is>
          <t>Personal</t>
        </is>
      </c>
      <c r="D1094" s="4" t="inlineStr">
        <is>
          <t>Personal</t>
        </is>
      </c>
      <c r="E1094" s="4" t="inlineStr">
        <is>
          <t>Relationships</t>
        </is>
      </c>
      <c r="F1094" s="4" t="inlineStr">
        <is>
          <t>Dates</t>
        </is>
      </c>
      <c r="G1094" s="4" t="inlineStr">
        <is>
          <t>Expense</t>
        </is>
      </c>
      <c r="H1094" s="12" t="n">
        <v>46209</v>
      </c>
      <c r="I1094" s="13" t="n">
        <v>0.3767361111111111</v>
      </c>
      <c r="J1094" s="14" t="n">
        <v>46209.37673611111</v>
      </c>
      <c r="K1094" s="15" t="n">
        <v>7522.58</v>
      </c>
      <c r="L1094" s="4" t="inlineStr">
        <is>
          <t>INR</t>
        </is>
      </c>
      <c r="M1094" s="15" t="n">
        <v>-7522.58</v>
      </c>
      <c r="N1094" s="4" t="inlineStr">
        <is>
          <t>IOS Owner</t>
        </is>
      </c>
      <c r="O1094" s="4" t="n"/>
      <c r="P1094" s="4" t="n"/>
      <c r="Q1094" s="4" t="inlineStr">
        <is>
          <t>MAESTRO-IOS-PERSONAL-RELATIONSHIPS-1093 | Dates | 7522.58</t>
        </is>
      </c>
      <c r="R1094" s="4" t="inlineStr">
        <is>
          <t>iPhone</t>
        </is>
      </c>
      <c r="S1094" s="4" t="inlineStr">
        <is>
          <t>B22</t>
        </is>
      </c>
      <c r="T1094" s="4" t="inlineStr">
        <is>
          <t>RAMP_501_1500</t>
        </is>
      </c>
      <c r="U1094" s="4" t="inlineStr">
        <is>
          <t>CREATED</t>
        </is>
      </c>
      <c r="V1094" s="4" t="inlineStr">
        <is>
          <t>idem-20260902-ios-1093</t>
        </is>
      </c>
    </row>
    <row r="1095" ht="30" customHeight="1">
      <c r="A1095" s="4" t="n">
        <v>1094</v>
      </c>
      <c r="B1095" s="4" t="inlineStr">
        <is>
          <t>MTR-IOS-1094</t>
        </is>
      </c>
      <c r="C1095" s="4" t="inlineStr">
        <is>
          <t>Group</t>
        </is>
      </c>
      <c r="D1095" s="4" t="inlineStr">
        <is>
          <t>Shared Experience</t>
        </is>
      </c>
      <c r="E1095" s="4" t="inlineStr">
        <is>
          <t>Office Outing</t>
        </is>
      </c>
      <c r="F1095" s="4" t="inlineStr">
        <is>
          <t>Activities</t>
        </is>
      </c>
      <c r="G1095" s="4" t="inlineStr">
        <is>
          <t>Expense</t>
        </is>
      </c>
      <c r="H1095" s="12" t="n">
        <v>46081</v>
      </c>
      <c r="I1095" s="13" t="n">
        <v>0.4250231481481481</v>
      </c>
      <c r="J1095" s="14" t="n">
        <v>46081.42502314815</v>
      </c>
      <c r="K1095" s="15" t="n">
        <v>12477.28</v>
      </c>
      <c r="L1095" s="4" t="inlineStr">
        <is>
          <t>INR</t>
        </is>
      </c>
      <c r="M1095" s="15" t="n">
        <v>-12477.28</v>
      </c>
      <c r="N1095" s="4" t="inlineStr">
        <is>
          <t>IOS Aarav</t>
        </is>
      </c>
      <c r="O1095" s="4" t="n">
        <v>3</v>
      </c>
      <c r="P1095" s="4" t="inlineStr">
        <is>
          <t>EQUAL</t>
        </is>
      </c>
      <c r="Q1095" s="4" t="inlineStr">
        <is>
          <t>MAESTRO-IOS-GROUP-OFFICE_OUTING-1094 | Activities | 12477.28</t>
        </is>
      </c>
      <c r="R1095" s="4" t="inlineStr">
        <is>
          <t>iPhone</t>
        </is>
      </c>
      <c r="S1095" s="4" t="inlineStr">
        <is>
          <t>B22</t>
        </is>
      </c>
      <c r="T1095" s="4" t="inlineStr">
        <is>
          <t>RAMP_501_1500</t>
        </is>
      </c>
      <c r="U1095" s="4" t="inlineStr">
        <is>
          <t>CREATED</t>
        </is>
      </c>
      <c r="V1095" s="4" t="inlineStr">
        <is>
          <t>idem-20260902-ios-1094</t>
        </is>
      </c>
    </row>
    <row r="1096" ht="30" customHeight="1">
      <c r="A1096" s="4" t="n">
        <v>1095</v>
      </c>
      <c r="B1096" s="4" t="inlineStr">
        <is>
          <t>MTR-IOS-1095</t>
        </is>
      </c>
      <c r="C1096" s="4" t="inlineStr">
        <is>
          <t>Business</t>
        </is>
      </c>
      <c r="D1096" s="4" t="inlineStr">
        <is>
          <t>Business</t>
        </is>
      </c>
      <c r="E1096" s="4" t="inlineStr">
        <is>
          <t>Business Runway</t>
        </is>
      </c>
      <c r="F1096" s="4" t="inlineStr">
        <is>
          <t>Funding</t>
        </is>
      </c>
      <c r="G1096" s="4" t="inlineStr">
        <is>
          <t>Income</t>
        </is>
      </c>
      <c r="H1096" s="12" t="n">
        <v>46134</v>
      </c>
      <c r="I1096" s="13" t="n">
        <v>0.557511574074074</v>
      </c>
      <c r="J1096" s="14" t="n">
        <v>46134.55751157407</v>
      </c>
      <c r="K1096" s="15" t="n">
        <v>15762.67</v>
      </c>
      <c r="L1096" s="4" t="inlineStr">
        <is>
          <t>INR</t>
        </is>
      </c>
      <c r="M1096" s="15" t="n">
        <v>15762.67</v>
      </c>
      <c r="N1096" s="4" t="inlineStr">
        <is>
          <t>IOS Owner</t>
        </is>
      </c>
      <c r="O1096" s="4" t="n"/>
      <c r="P1096" s="4" t="n"/>
      <c r="Q1096" s="4" t="inlineStr">
        <is>
          <t>MAESTRO-IOS-BUSINESS-BUSINESS_RUNWAY-1095 | Funding | 15762.67</t>
        </is>
      </c>
      <c r="R1096" s="4" t="inlineStr">
        <is>
          <t>iPhone</t>
        </is>
      </c>
      <c r="S1096" s="4" t="inlineStr">
        <is>
          <t>B22</t>
        </is>
      </c>
      <c r="T1096" s="4" t="inlineStr">
        <is>
          <t>RAMP_501_1500</t>
        </is>
      </c>
      <c r="U1096" s="4" t="inlineStr">
        <is>
          <t>CREATED</t>
        </is>
      </c>
      <c r="V1096" s="4" t="inlineStr">
        <is>
          <t>idem-20260902-ios-1095</t>
        </is>
      </c>
    </row>
    <row r="1097" ht="30" customHeight="1">
      <c r="A1097" s="4" t="n">
        <v>1096</v>
      </c>
      <c r="B1097" s="4" t="inlineStr">
        <is>
          <t>MTR-IOS-1096</t>
        </is>
      </c>
      <c r="C1097" s="4" t="inlineStr">
        <is>
          <t>Personal</t>
        </is>
      </c>
      <c r="D1097" s="4" t="inlineStr">
        <is>
          <t>Personal</t>
        </is>
      </c>
      <c r="E1097" s="4" t="inlineStr">
        <is>
          <t>Relationships</t>
        </is>
      </c>
      <c r="F1097" s="4" t="inlineStr">
        <is>
          <t>Family</t>
        </is>
      </c>
      <c r="G1097" s="4" t="inlineStr">
        <is>
          <t>Expense</t>
        </is>
      </c>
      <c r="H1097" s="12" t="n">
        <v>46073</v>
      </c>
      <c r="I1097" s="13" t="n">
        <v>0.542962962962963</v>
      </c>
      <c r="J1097" s="14" t="n">
        <v>46073.54296296297</v>
      </c>
      <c r="K1097" s="15" t="n">
        <v>15181.91</v>
      </c>
      <c r="L1097" s="4" t="inlineStr">
        <is>
          <t>INR</t>
        </is>
      </c>
      <c r="M1097" s="15" t="n">
        <v>-15181.91</v>
      </c>
      <c r="N1097" s="4" t="inlineStr">
        <is>
          <t>IOS Owner</t>
        </is>
      </c>
      <c r="O1097" s="4" t="n"/>
      <c r="P1097" s="4" t="n"/>
      <c r="Q1097" s="4" t="inlineStr">
        <is>
          <t>MAESTRO-IOS-PERSONAL-RELATIONSHIPS-1096 | Family | 15181.91</t>
        </is>
      </c>
      <c r="R1097" s="4" t="inlineStr">
        <is>
          <t>iPhone</t>
        </is>
      </c>
      <c r="S1097" s="4" t="inlineStr">
        <is>
          <t>B22</t>
        </is>
      </c>
      <c r="T1097" s="4" t="inlineStr">
        <is>
          <t>RAMP_501_1500</t>
        </is>
      </c>
      <c r="U1097" s="4" t="inlineStr">
        <is>
          <t>CREATED</t>
        </is>
      </c>
      <c r="V1097" s="4" t="inlineStr">
        <is>
          <t>idem-20260902-ios-1096</t>
        </is>
      </c>
    </row>
    <row r="1098" ht="30" customHeight="1">
      <c r="A1098" s="4" t="n">
        <v>1097</v>
      </c>
      <c r="B1098" s="4" t="inlineStr">
        <is>
          <t>MTR-IOS-1097</t>
        </is>
      </c>
      <c r="C1098" s="4" t="inlineStr">
        <is>
          <t>Group</t>
        </is>
      </c>
      <c r="D1098" s="4" t="inlineStr">
        <is>
          <t>Shared Experience</t>
        </is>
      </c>
      <c r="E1098" s="4" t="inlineStr">
        <is>
          <t>Office Outing</t>
        </is>
      </c>
      <c r="F1098" s="4" t="inlineStr">
        <is>
          <t>Venue</t>
        </is>
      </c>
      <c r="G1098" s="4" t="inlineStr">
        <is>
          <t>Expense</t>
        </is>
      </c>
      <c r="H1098" s="12" t="n">
        <v>46262</v>
      </c>
      <c r="I1098" s="13" t="n">
        <v>0.8234375</v>
      </c>
      <c r="J1098" s="14" t="n">
        <v>46262.8234375</v>
      </c>
      <c r="K1098" s="15" t="n">
        <v>13526.76</v>
      </c>
      <c r="L1098" s="4" t="inlineStr">
        <is>
          <t>INR</t>
        </is>
      </c>
      <c r="M1098" s="15" t="n">
        <v>-13526.76</v>
      </c>
      <c r="N1098" s="4" t="inlineStr">
        <is>
          <t>IOS Meera</t>
        </is>
      </c>
      <c r="O1098" s="4" t="n">
        <v>3</v>
      </c>
      <c r="P1098" s="4" t="inlineStr">
        <is>
          <t>PERCENTAGE</t>
        </is>
      </c>
      <c r="Q1098" s="4" t="inlineStr">
        <is>
          <t>MAESTRO-IOS-GROUP-OFFICE_OUTING-1097 | Venue | 13526.76</t>
        </is>
      </c>
      <c r="R1098" s="4" t="inlineStr">
        <is>
          <t>iPhone</t>
        </is>
      </c>
      <c r="S1098" s="4" t="inlineStr">
        <is>
          <t>B22</t>
        </is>
      </c>
      <c r="T1098" s="4" t="inlineStr">
        <is>
          <t>RAMP_501_1500</t>
        </is>
      </c>
      <c r="U1098" s="4" t="inlineStr">
        <is>
          <t>CREATED</t>
        </is>
      </c>
      <c r="V1098" s="4" t="inlineStr">
        <is>
          <t>idem-20260902-ios-1097</t>
        </is>
      </c>
    </row>
    <row r="1099" ht="30" customHeight="1">
      <c r="A1099" s="4" t="n">
        <v>1098</v>
      </c>
      <c r="B1099" s="4" t="inlineStr">
        <is>
          <t>MTR-IOS-1098</t>
        </is>
      </c>
      <c r="C1099" s="4" t="inlineStr">
        <is>
          <t>Business</t>
        </is>
      </c>
      <c r="D1099" s="4" t="inlineStr">
        <is>
          <t>Business</t>
        </is>
      </c>
      <c r="E1099" s="4" t="inlineStr">
        <is>
          <t>Business Runway</t>
        </is>
      </c>
      <c r="F1099" s="4" t="inlineStr">
        <is>
          <t>Revenue</t>
        </is>
      </c>
      <c r="G1099" s="4" t="inlineStr">
        <is>
          <t>Income</t>
        </is>
      </c>
      <c r="H1099" s="12" t="n">
        <v>46238</v>
      </c>
      <c r="I1099" s="13" t="n">
        <v>0.8411574074074074</v>
      </c>
      <c r="J1099" s="14" t="n">
        <v>46238.84115740741</v>
      </c>
      <c r="K1099" s="15" t="n">
        <v>65653.47</v>
      </c>
      <c r="L1099" s="4" t="inlineStr">
        <is>
          <t>INR</t>
        </is>
      </c>
      <c r="M1099" s="15" t="n">
        <v>65653.47</v>
      </c>
      <c r="N1099" s="4" t="inlineStr">
        <is>
          <t>IOS Owner</t>
        </is>
      </c>
      <c r="O1099" s="4" t="n"/>
      <c r="P1099" s="4" t="n"/>
      <c r="Q1099" s="4" t="inlineStr">
        <is>
          <t>MAESTRO-IOS-BUSINESS-BUSINESS_RUNWAY-1098 | Revenue | 65653.47</t>
        </is>
      </c>
      <c r="R1099" s="4" t="inlineStr">
        <is>
          <t>iPhone</t>
        </is>
      </c>
      <c r="S1099" s="4" t="inlineStr">
        <is>
          <t>B22</t>
        </is>
      </c>
      <c r="T1099" s="4" t="inlineStr">
        <is>
          <t>RAMP_501_1500</t>
        </is>
      </c>
      <c r="U1099" s="4" t="inlineStr">
        <is>
          <t>CREATED</t>
        </is>
      </c>
      <c r="V1099" s="4" t="inlineStr">
        <is>
          <t>idem-20260902-ios-1098</t>
        </is>
      </c>
    </row>
    <row r="1100" ht="30" customHeight="1">
      <c r="A1100" s="4" t="n">
        <v>1099</v>
      </c>
      <c r="B1100" s="4" t="inlineStr">
        <is>
          <t>MTR-IOS-1099</t>
        </is>
      </c>
      <c r="C1100" s="4" t="inlineStr">
        <is>
          <t>Personal</t>
        </is>
      </c>
      <c r="D1100" s="4" t="inlineStr">
        <is>
          <t>Personal</t>
        </is>
      </c>
      <c r="E1100" s="4" t="inlineStr">
        <is>
          <t>Relationships</t>
        </is>
      </c>
      <c r="F1100" s="4" t="inlineStr">
        <is>
          <t>Friends</t>
        </is>
      </c>
      <c r="G1100" s="4" t="inlineStr">
        <is>
          <t>Expense</t>
        </is>
      </c>
      <c r="H1100" s="12" t="n">
        <v>46140</v>
      </c>
      <c r="I1100" s="13" t="n">
        <v>0.6983796296296296</v>
      </c>
      <c r="J1100" s="14" t="n">
        <v>46140.69837962963</v>
      </c>
      <c r="K1100" s="15" t="n">
        <v>12624.26</v>
      </c>
      <c r="L1100" s="4" t="inlineStr">
        <is>
          <t>INR</t>
        </is>
      </c>
      <c r="M1100" s="15" t="n">
        <v>-12624.26</v>
      </c>
      <c r="N1100" s="4" t="inlineStr">
        <is>
          <t>IOS Owner</t>
        </is>
      </c>
      <c r="O1100" s="4" t="n"/>
      <c r="P1100" s="4" t="n"/>
      <c r="Q1100" s="4" t="inlineStr">
        <is>
          <t>MAESTRO-IOS-PERSONAL-RELATIONSHIPS-1099 | Friends | 12624.26</t>
        </is>
      </c>
      <c r="R1100" s="4" t="inlineStr">
        <is>
          <t>iPhone</t>
        </is>
      </c>
      <c r="S1100" s="4" t="inlineStr">
        <is>
          <t>B22</t>
        </is>
      </c>
      <c r="T1100" s="4" t="inlineStr">
        <is>
          <t>RAMP_501_1500</t>
        </is>
      </c>
      <c r="U1100" s="4" t="inlineStr">
        <is>
          <t>CREATED</t>
        </is>
      </c>
      <c r="V1100" s="4" t="inlineStr">
        <is>
          <t>idem-20260902-ios-1099</t>
        </is>
      </c>
    </row>
    <row r="1101" ht="30" customHeight="1">
      <c r="A1101" s="4" t="n">
        <v>1100</v>
      </c>
      <c r="B1101" s="4" t="inlineStr">
        <is>
          <t>MTR-IOS-1100</t>
        </is>
      </c>
      <c r="C1101" s="4" t="inlineStr">
        <is>
          <t>Group</t>
        </is>
      </c>
      <c r="D1101" s="4" t="inlineStr">
        <is>
          <t>Shared Experience</t>
        </is>
      </c>
      <c r="E1101" s="4" t="inlineStr">
        <is>
          <t>Office Outing</t>
        </is>
      </c>
      <c r="F1101" s="4" t="inlineStr">
        <is>
          <t>Other</t>
        </is>
      </c>
      <c r="G1101" s="4" t="inlineStr">
        <is>
          <t>Expense</t>
        </is>
      </c>
      <c r="H1101" s="12" t="n">
        <v>45975</v>
      </c>
      <c r="I1101" s="13" t="n">
        <v>0.7610532407407408</v>
      </c>
      <c r="J1101" s="14" t="n">
        <v>45975.76105324074</v>
      </c>
      <c r="K1101" s="15" t="n">
        <v>17701.06</v>
      </c>
      <c r="L1101" s="4" t="inlineStr">
        <is>
          <t>INR</t>
        </is>
      </c>
      <c r="M1101" s="15" t="n">
        <v>-17701.06</v>
      </c>
      <c r="N1101" s="4" t="inlineStr">
        <is>
          <t>IOS Owner</t>
        </is>
      </c>
      <c r="O1101" s="4" t="n">
        <v>3</v>
      </c>
      <c r="P1101" s="4" t="inlineStr">
        <is>
          <t>EXACT</t>
        </is>
      </c>
      <c r="Q1101" s="4" t="inlineStr">
        <is>
          <t>MAESTRO-IOS-GROUP-OFFICE_OUTING-1100 | Other | 17701.06</t>
        </is>
      </c>
      <c r="R1101" s="4" t="inlineStr">
        <is>
          <t>iPhone</t>
        </is>
      </c>
      <c r="S1101" s="4" t="inlineStr">
        <is>
          <t>B22</t>
        </is>
      </c>
      <c r="T1101" s="4" t="inlineStr">
        <is>
          <t>RAMP_501_1500</t>
        </is>
      </c>
      <c r="U1101" s="4" t="inlineStr">
        <is>
          <t>CREATED</t>
        </is>
      </c>
      <c r="V1101" s="4" t="inlineStr">
        <is>
          <t>idem-20260902-ios-1100</t>
        </is>
      </c>
    </row>
    <row r="1102" ht="30" customHeight="1">
      <c r="A1102" s="4" t="n">
        <v>1101</v>
      </c>
      <c r="B1102" s="4" t="inlineStr">
        <is>
          <t>MTR-IOS-1101</t>
        </is>
      </c>
      <c r="C1102" s="4" t="inlineStr">
        <is>
          <t>Business</t>
        </is>
      </c>
      <c r="D1102" s="4" t="inlineStr">
        <is>
          <t>Business</t>
        </is>
      </c>
      <c r="E1102" s="4" t="inlineStr">
        <is>
          <t>Business Runway</t>
        </is>
      </c>
      <c r="F1102" s="4" t="inlineStr">
        <is>
          <t>Burn</t>
        </is>
      </c>
      <c r="G1102" s="4" t="inlineStr">
        <is>
          <t>Expense</t>
        </is>
      </c>
      <c r="H1102" s="12" t="n">
        <v>45984</v>
      </c>
      <c r="I1102" s="13" t="n">
        <v>0.778125</v>
      </c>
      <c r="J1102" s="14" t="n">
        <v>45984.778125</v>
      </c>
      <c r="K1102" s="15" t="n">
        <v>11480.14</v>
      </c>
      <c r="L1102" s="4" t="inlineStr">
        <is>
          <t>INR</t>
        </is>
      </c>
      <c r="M1102" s="15" t="n">
        <v>-11480.14</v>
      </c>
      <c r="N1102" s="4" t="inlineStr">
        <is>
          <t>IOS Owner</t>
        </is>
      </c>
      <c r="O1102" s="4" t="n"/>
      <c r="P1102" s="4" t="n"/>
      <c r="Q1102" s="4" t="inlineStr">
        <is>
          <t>MAESTRO-IOS-BUSINESS-BUSINESS_RUNWAY-1101 | Burn | 11480.14</t>
        </is>
      </c>
      <c r="R1102" s="4" t="inlineStr">
        <is>
          <t>iPhone</t>
        </is>
      </c>
      <c r="S1102" s="4" t="inlineStr">
        <is>
          <t>B23</t>
        </is>
      </c>
      <c r="T1102" s="4" t="inlineStr">
        <is>
          <t>RAMP_501_1500</t>
        </is>
      </c>
      <c r="U1102" s="4" t="inlineStr">
        <is>
          <t>CREATED</t>
        </is>
      </c>
      <c r="V1102" s="4" t="inlineStr">
        <is>
          <t>idem-20260902-ios-1101</t>
        </is>
      </c>
    </row>
    <row r="1103" ht="30" customHeight="1">
      <c r="A1103" s="4" t="n">
        <v>1102</v>
      </c>
      <c r="B1103" s="4" t="inlineStr">
        <is>
          <t>MTR-IOS-1102</t>
        </is>
      </c>
      <c r="C1103" s="4" t="inlineStr">
        <is>
          <t>Personal</t>
        </is>
      </c>
      <c r="D1103" s="4" t="inlineStr">
        <is>
          <t>Personal</t>
        </is>
      </c>
      <c r="E1103" s="4" t="inlineStr">
        <is>
          <t>Relationships</t>
        </is>
      </c>
      <c r="F1103" s="4" t="inlineStr">
        <is>
          <t>Celebrations</t>
        </is>
      </c>
      <c r="G1103" s="4" t="inlineStr">
        <is>
          <t>Expense</t>
        </is>
      </c>
      <c r="H1103" s="12" t="n">
        <v>45965</v>
      </c>
      <c r="I1103" s="13" t="n">
        <v>0.9119675925925926</v>
      </c>
      <c r="J1103" s="14" t="n">
        <v>45965.91196759259</v>
      </c>
      <c r="K1103" s="15" t="n">
        <v>907.65</v>
      </c>
      <c r="L1103" s="4" t="inlineStr">
        <is>
          <t>INR</t>
        </is>
      </c>
      <c r="M1103" s="15" t="n">
        <v>-907.65</v>
      </c>
      <c r="N1103" s="4" t="inlineStr">
        <is>
          <t>IOS Owner</t>
        </is>
      </c>
      <c r="O1103" s="4" t="n"/>
      <c r="P1103" s="4" t="n"/>
      <c r="Q1103" s="4" t="inlineStr">
        <is>
          <t>MAESTRO-IOS-PERSONAL-RELATIONSHIPS-1102 | Celebrations | 907.65</t>
        </is>
      </c>
      <c r="R1103" s="4" t="inlineStr">
        <is>
          <t>iPhone</t>
        </is>
      </c>
      <c r="S1103" s="4" t="inlineStr">
        <is>
          <t>B23</t>
        </is>
      </c>
      <c r="T1103" s="4" t="inlineStr">
        <is>
          <t>RAMP_501_1500</t>
        </is>
      </c>
      <c r="U1103" s="4" t="inlineStr">
        <is>
          <t>CREATED</t>
        </is>
      </c>
      <c r="V1103" s="4" t="inlineStr">
        <is>
          <t>idem-20260902-ios-1102</t>
        </is>
      </c>
    </row>
    <row r="1104" ht="30" customHeight="1">
      <c r="A1104" s="4" t="n">
        <v>1103</v>
      </c>
      <c r="B1104" s="4" t="inlineStr">
        <is>
          <t>MTR-IOS-1103</t>
        </is>
      </c>
      <c r="C1104" s="4" t="inlineStr">
        <is>
          <t>Group</t>
        </is>
      </c>
      <c r="D1104" s="4" t="inlineStr">
        <is>
          <t>Shared Experience</t>
        </is>
      </c>
      <c r="E1104" s="4" t="inlineStr">
        <is>
          <t>House Party</t>
        </is>
      </c>
      <c r="F1104" s="4" t="inlineStr">
        <is>
          <t>Food</t>
        </is>
      </c>
      <c r="G1104" s="4" t="inlineStr">
        <is>
          <t>Expense</t>
        </is>
      </c>
      <c r="H1104" s="12" t="n">
        <v>46032</v>
      </c>
      <c r="I1104" s="13" t="n">
        <v>0.8946412037037037</v>
      </c>
      <c r="J1104" s="14" t="n">
        <v>46032.8946412037</v>
      </c>
      <c r="K1104" s="15" t="n">
        <v>9453.34</v>
      </c>
      <c r="L1104" s="4" t="inlineStr">
        <is>
          <t>INR</t>
        </is>
      </c>
      <c r="M1104" s="15" t="n">
        <v>-9453.34</v>
      </c>
      <c r="N1104" s="4" t="inlineStr">
        <is>
          <t>IOS Aarav</t>
        </is>
      </c>
      <c r="O1104" s="4" t="n">
        <v>3</v>
      </c>
      <c r="P1104" s="4" t="inlineStr">
        <is>
          <t>SHARES</t>
        </is>
      </c>
      <c r="Q1104" s="4" t="inlineStr">
        <is>
          <t>MAESTRO-IOS-GROUP-HOUSE_PARTY-1103 | Food | 9453.34</t>
        </is>
      </c>
      <c r="R1104" s="4" t="inlineStr">
        <is>
          <t>iPhone</t>
        </is>
      </c>
      <c r="S1104" s="4" t="inlineStr">
        <is>
          <t>B23</t>
        </is>
      </c>
      <c r="T1104" s="4" t="inlineStr">
        <is>
          <t>RAMP_501_1500</t>
        </is>
      </c>
      <c r="U1104" s="4" t="inlineStr">
        <is>
          <t>CREATED</t>
        </is>
      </c>
      <c r="V1104" s="4" t="inlineStr">
        <is>
          <t>idem-20260902-ios-1103</t>
        </is>
      </c>
    </row>
    <row r="1105" ht="30" customHeight="1">
      <c r="A1105" s="4" t="n">
        <v>1104</v>
      </c>
      <c r="B1105" s="4" t="inlineStr">
        <is>
          <t>MTR-IOS-1104</t>
        </is>
      </c>
      <c r="C1105" s="4" t="inlineStr">
        <is>
          <t>Business</t>
        </is>
      </c>
      <c r="D1105" s="4" t="inlineStr">
        <is>
          <t>Business</t>
        </is>
      </c>
      <c r="E1105" s="4" t="inlineStr">
        <is>
          <t>Business Runway</t>
        </is>
      </c>
      <c r="F1105" s="4" t="inlineStr">
        <is>
          <t>Reserve</t>
        </is>
      </c>
      <c r="G1105" s="4" t="inlineStr">
        <is>
          <t>Transfer</t>
        </is>
      </c>
      <c r="H1105" s="12" t="n">
        <v>46009</v>
      </c>
      <c r="I1105" s="13" t="n">
        <v>0.7682986111111111</v>
      </c>
      <c r="J1105" s="14" t="n">
        <v>46009.76829861111</v>
      </c>
      <c r="K1105" s="15" t="n">
        <v>75400.96000000001</v>
      </c>
      <c r="L1105" s="4" t="inlineStr">
        <is>
          <t>INR</t>
        </is>
      </c>
      <c r="M1105" s="15" t="n">
        <v>0</v>
      </c>
      <c r="N1105" s="4" t="inlineStr">
        <is>
          <t>IOS Owner</t>
        </is>
      </c>
      <c r="O1105" s="4" t="n"/>
      <c r="P1105" s="4" t="n"/>
      <c r="Q1105" s="4" t="inlineStr">
        <is>
          <t>MAESTRO-IOS-BUSINESS-BUSINESS_RUNWAY-1104 | Reserve | 75400.96</t>
        </is>
      </c>
      <c r="R1105" s="4" t="inlineStr">
        <is>
          <t>iPhone</t>
        </is>
      </c>
      <c r="S1105" s="4" t="inlineStr">
        <is>
          <t>B23</t>
        </is>
      </c>
      <c r="T1105" s="4" t="inlineStr">
        <is>
          <t>RAMP_501_1500</t>
        </is>
      </c>
      <c r="U1105" s="4" t="inlineStr">
        <is>
          <t>CREATED</t>
        </is>
      </c>
      <c r="V1105" s="4" t="inlineStr">
        <is>
          <t>idem-20260902-ios-1104</t>
        </is>
      </c>
    </row>
    <row r="1106" ht="30" customHeight="1">
      <c r="A1106" s="4" t="n">
        <v>1105</v>
      </c>
      <c r="B1106" s="4" t="inlineStr">
        <is>
          <t>MTR-IOS-1105</t>
        </is>
      </c>
      <c r="C1106" s="4" t="inlineStr">
        <is>
          <t>Personal</t>
        </is>
      </c>
      <c r="D1106" s="4" t="inlineStr">
        <is>
          <t>Personal</t>
        </is>
      </c>
      <c r="E1106" s="4" t="inlineStr">
        <is>
          <t>Life Operations</t>
        </is>
      </c>
      <c r="F1106" s="4" t="inlineStr">
        <is>
          <t>Groceries</t>
        </is>
      </c>
      <c r="G1106" s="4" t="inlineStr">
        <is>
          <t>Expense</t>
        </is>
      </c>
      <c r="H1106" s="12" t="n">
        <v>46127</v>
      </c>
      <c r="I1106" s="13" t="n">
        <v>0.317650462962963</v>
      </c>
      <c r="J1106" s="14" t="n">
        <v>46127.31765046297</v>
      </c>
      <c r="K1106" s="15" t="n">
        <v>10670.48</v>
      </c>
      <c r="L1106" s="4" t="inlineStr">
        <is>
          <t>INR</t>
        </is>
      </c>
      <c r="M1106" s="15" t="n">
        <v>-10670.48</v>
      </c>
      <c r="N1106" s="4" t="inlineStr">
        <is>
          <t>IOS Owner</t>
        </is>
      </c>
      <c r="O1106" s="4" t="n"/>
      <c r="P1106" s="4" t="n"/>
      <c r="Q1106" s="4" t="inlineStr">
        <is>
          <t>MAESTRO-IOS-PERSONAL-LIFE_OPERATIONS-1105 | Groceries | 10670.48</t>
        </is>
      </c>
      <c r="R1106" s="4" t="inlineStr">
        <is>
          <t>iPhone</t>
        </is>
      </c>
      <c r="S1106" s="4" t="inlineStr">
        <is>
          <t>B23</t>
        </is>
      </c>
      <c r="T1106" s="4" t="inlineStr">
        <is>
          <t>RAMP_501_1500</t>
        </is>
      </c>
      <c r="U1106" s="4" t="inlineStr">
        <is>
          <t>CREATED</t>
        </is>
      </c>
      <c r="V1106" s="4" t="inlineStr">
        <is>
          <t>idem-20260902-ios-1105</t>
        </is>
      </c>
    </row>
    <row r="1107" ht="30" customHeight="1">
      <c r="A1107" s="4" t="n">
        <v>1106</v>
      </c>
      <c r="B1107" s="4" t="inlineStr">
        <is>
          <t>MTR-IOS-1106</t>
        </is>
      </c>
      <c r="C1107" s="4" t="inlineStr">
        <is>
          <t>Group</t>
        </is>
      </c>
      <c r="D1107" s="4" t="inlineStr">
        <is>
          <t>Shared Experience</t>
        </is>
      </c>
      <c r="E1107" s="4" t="inlineStr">
        <is>
          <t>House Party</t>
        </is>
      </c>
      <c r="F1107" s="4" t="inlineStr">
        <is>
          <t>Drinks</t>
        </is>
      </c>
      <c r="G1107" s="4" t="inlineStr">
        <is>
          <t>Expense</t>
        </is>
      </c>
      <c r="H1107" s="12" t="n">
        <v>46205</v>
      </c>
      <c r="I1107" s="13" t="n">
        <v>0.7637037037037037</v>
      </c>
      <c r="J1107" s="14" t="n">
        <v>46205.76370370371</v>
      </c>
      <c r="K1107" s="15" t="n">
        <v>7443.12</v>
      </c>
      <c r="L1107" s="4" t="inlineStr">
        <is>
          <t>INR</t>
        </is>
      </c>
      <c r="M1107" s="15" t="n">
        <v>-7443.12</v>
      </c>
      <c r="N1107" s="4" t="inlineStr">
        <is>
          <t>IOS Meera</t>
        </is>
      </c>
      <c r="O1107" s="4" t="n">
        <v>3</v>
      </c>
      <c r="P1107" s="4" t="inlineStr">
        <is>
          <t>EQUAL</t>
        </is>
      </c>
      <c r="Q1107" s="4" t="inlineStr">
        <is>
          <t>MAESTRO-IOS-GROUP-HOUSE_PARTY-1106 | Drinks | 7443.12</t>
        </is>
      </c>
      <c r="R1107" s="4" t="inlineStr">
        <is>
          <t>iPhone</t>
        </is>
      </c>
      <c r="S1107" s="4" t="inlineStr">
        <is>
          <t>B23</t>
        </is>
      </c>
      <c r="T1107" s="4" t="inlineStr">
        <is>
          <t>RAMP_501_1500</t>
        </is>
      </c>
      <c r="U1107" s="4" t="inlineStr">
        <is>
          <t>CREATED</t>
        </is>
      </c>
      <c r="V1107" s="4" t="inlineStr">
        <is>
          <t>idem-20260902-ios-1106</t>
        </is>
      </c>
    </row>
    <row r="1108" ht="30" customHeight="1">
      <c r="A1108" s="4" t="n">
        <v>1107</v>
      </c>
      <c r="B1108" s="4" t="inlineStr">
        <is>
          <t>MTR-IOS-1107</t>
        </is>
      </c>
      <c r="C1108" s="4" t="inlineStr">
        <is>
          <t>Business</t>
        </is>
      </c>
      <c r="D1108" s="4" t="inlineStr">
        <is>
          <t>Business</t>
        </is>
      </c>
      <c r="E1108" s="4" t="inlineStr">
        <is>
          <t>Business Runway</t>
        </is>
      </c>
      <c r="F1108" s="4" t="inlineStr">
        <is>
          <t>Loan</t>
        </is>
      </c>
      <c r="G1108" s="4" t="inlineStr">
        <is>
          <t>Income</t>
        </is>
      </c>
      <c r="H1108" s="12" t="n">
        <v>46016</v>
      </c>
      <c r="I1108" s="13" t="n">
        <v>0.08350694444444444</v>
      </c>
      <c r="J1108" s="14" t="n">
        <v>46016.08350694444</v>
      </c>
      <c r="K1108" s="15" t="n">
        <v>82638.64</v>
      </c>
      <c r="L1108" s="4" t="inlineStr">
        <is>
          <t>INR</t>
        </is>
      </c>
      <c r="M1108" s="15" t="n">
        <v>82638.64</v>
      </c>
      <c r="N1108" s="4" t="inlineStr">
        <is>
          <t>IOS Owner</t>
        </is>
      </c>
      <c r="O1108" s="4" t="n"/>
      <c r="P1108" s="4" t="n"/>
      <c r="Q1108" s="4" t="inlineStr">
        <is>
          <t>MAESTRO-IOS-BUSINESS-BUSINESS_RUNWAY-1107 | Loan | 82638.64</t>
        </is>
      </c>
      <c r="R1108" s="4" t="inlineStr">
        <is>
          <t>iPhone</t>
        </is>
      </c>
      <c r="S1108" s="4" t="inlineStr">
        <is>
          <t>B23</t>
        </is>
      </c>
      <c r="T1108" s="4" t="inlineStr">
        <is>
          <t>RAMP_501_1500</t>
        </is>
      </c>
      <c r="U1108" s="4" t="inlineStr">
        <is>
          <t>CREATED</t>
        </is>
      </c>
      <c r="V1108" s="4" t="inlineStr">
        <is>
          <t>idem-20260902-ios-1107</t>
        </is>
      </c>
    </row>
    <row r="1109" ht="30" customHeight="1">
      <c r="A1109" s="4" t="n">
        <v>1108</v>
      </c>
      <c r="B1109" s="4" t="inlineStr">
        <is>
          <t>MTR-IOS-1108</t>
        </is>
      </c>
      <c r="C1109" s="4" t="inlineStr">
        <is>
          <t>Personal</t>
        </is>
      </c>
      <c r="D1109" s="4" t="inlineStr">
        <is>
          <t>Personal</t>
        </is>
      </c>
      <c r="E1109" s="4" t="inlineStr">
        <is>
          <t>Life Operations</t>
        </is>
      </c>
      <c r="F1109" s="4" t="inlineStr">
        <is>
          <t>Rent</t>
        </is>
      </c>
      <c r="G1109" s="4" t="inlineStr">
        <is>
          <t>Expense</t>
        </is>
      </c>
      <c r="H1109" s="12" t="n">
        <v>45964</v>
      </c>
      <c r="I1109" s="13" t="n">
        <v>0.9013541666666667</v>
      </c>
      <c r="J1109" s="14" t="n">
        <v>45964.90135416666</v>
      </c>
      <c r="K1109" s="15" t="n">
        <v>11947.02</v>
      </c>
      <c r="L1109" s="4" t="inlineStr">
        <is>
          <t>INR</t>
        </is>
      </c>
      <c r="M1109" s="15" t="n">
        <v>-11947.02</v>
      </c>
      <c r="N1109" s="4" t="inlineStr">
        <is>
          <t>IOS Owner</t>
        </is>
      </c>
      <c r="O1109" s="4" t="n"/>
      <c r="P1109" s="4" t="n"/>
      <c r="Q1109" s="4" t="inlineStr">
        <is>
          <t>MAESTRO-IOS-PERSONAL-LIFE_OPERATIONS-1108 | Rent | 11947.02</t>
        </is>
      </c>
      <c r="R1109" s="4" t="inlineStr">
        <is>
          <t>iPhone</t>
        </is>
      </c>
      <c r="S1109" s="4" t="inlineStr">
        <is>
          <t>B23</t>
        </is>
      </c>
      <c r="T1109" s="4" t="inlineStr">
        <is>
          <t>RAMP_501_1500</t>
        </is>
      </c>
      <c r="U1109" s="4" t="inlineStr">
        <is>
          <t>CREATED</t>
        </is>
      </c>
      <c r="V1109" s="4" t="inlineStr">
        <is>
          <t>idem-20260902-ios-1108</t>
        </is>
      </c>
    </row>
    <row r="1110" ht="30" customHeight="1">
      <c r="A1110" s="4" t="n">
        <v>1109</v>
      </c>
      <c r="B1110" s="4" t="inlineStr">
        <is>
          <t>MTR-IOS-1109</t>
        </is>
      </c>
      <c r="C1110" s="4" t="inlineStr">
        <is>
          <t>Group</t>
        </is>
      </c>
      <c r="D1110" s="4" t="inlineStr">
        <is>
          <t>Shared Experience</t>
        </is>
      </c>
      <c r="E1110" s="4" t="inlineStr">
        <is>
          <t>House Party</t>
        </is>
      </c>
      <c r="F1110" s="4" t="inlineStr">
        <is>
          <t>Decor</t>
        </is>
      </c>
      <c r="G1110" s="4" t="inlineStr">
        <is>
          <t>Expense</t>
        </is>
      </c>
      <c r="H1110" s="12" t="n">
        <v>46080</v>
      </c>
      <c r="I1110" s="13" t="n">
        <v>0.06508101851851852</v>
      </c>
      <c r="J1110" s="14" t="n">
        <v>46080.06508101852</v>
      </c>
      <c r="K1110" s="15" t="n">
        <v>8165.38</v>
      </c>
      <c r="L1110" s="4" t="inlineStr">
        <is>
          <t>INR</t>
        </is>
      </c>
      <c r="M1110" s="15" t="n">
        <v>-8165.38</v>
      </c>
      <c r="N1110" s="4" t="inlineStr">
        <is>
          <t>IOS Owner</t>
        </is>
      </c>
      <c r="O1110" s="4" t="n">
        <v>3</v>
      </c>
      <c r="P1110" s="4" t="inlineStr">
        <is>
          <t>PERCENTAGE</t>
        </is>
      </c>
      <c r="Q1110" s="4" t="inlineStr">
        <is>
          <t>MAESTRO-IOS-GROUP-HOUSE_PARTY-1109 | Decor | 8165.38</t>
        </is>
      </c>
      <c r="R1110" s="4" t="inlineStr">
        <is>
          <t>iPhone</t>
        </is>
      </c>
      <c r="S1110" s="4" t="inlineStr">
        <is>
          <t>B23</t>
        </is>
      </c>
      <c r="T1110" s="4" t="inlineStr">
        <is>
          <t>RAMP_501_1500</t>
        </is>
      </c>
      <c r="U1110" s="4" t="inlineStr">
        <is>
          <t>CREATED</t>
        </is>
      </c>
      <c r="V1110" s="4" t="inlineStr">
        <is>
          <t>idem-20260902-ios-1109</t>
        </is>
      </c>
    </row>
    <row r="1111" ht="30" customHeight="1">
      <c r="A1111" s="4" t="n">
        <v>1110</v>
      </c>
      <c r="B1111" s="4" t="inlineStr">
        <is>
          <t>MTR-IOS-1110</t>
        </is>
      </c>
      <c r="C1111" s="4" t="inlineStr">
        <is>
          <t>Business</t>
        </is>
      </c>
      <c r="D1111" s="4" t="inlineStr">
        <is>
          <t>Business</t>
        </is>
      </c>
      <c r="E1111" s="4" t="inlineStr">
        <is>
          <t>Business Runway</t>
        </is>
      </c>
      <c r="F1111" s="4" t="inlineStr">
        <is>
          <t>Investment</t>
        </is>
      </c>
      <c r="G1111" s="4" t="inlineStr">
        <is>
          <t>Income</t>
        </is>
      </c>
      <c r="H1111" s="12" t="n">
        <v>46209</v>
      </c>
      <c r="I1111" s="13" t="n">
        <v>0.629363425925926</v>
      </c>
      <c r="J1111" s="14" t="n">
        <v>46209.62936342593</v>
      </c>
      <c r="K1111" s="15" t="n">
        <v>0.01</v>
      </c>
      <c r="L1111" s="4" t="inlineStr">
        <is>
          <t>INR</t>
        </is>
      </c>
      <c r="M1111" s="15" t="n">
        <v>0.01</v>
      </c>
      <c r="N1111" s="4" t="inlineStr">
        <is>
          <t>IOS Owner</t>
        </is>
      </c>
      <c r="O1111" s="4" t="n"/>
      <c r="P1111" s="4" t="n"/>
      <c r="Q1111" s="4" t="inlineStr">
        <is>
          <t>MAESTRO-IOS-BUSINESS-BUSINESS_RUNWAY-1110 | Investment | 0.01</t>
        </is>
      </c>
      <c r="R1111" s="4" t="inlineStr">
        <is>
          <t>iPhone</t>
        </is>
      </c>
      <c r="S1111" s="4" t="inlineStr">
        <is>
          <t>B23</t>
        </is>
      </c>
      <c r="T1111" s="4" t="inlineStr">
        <is>
          <t>RAMP_501_1500</t>
        </is>
      </c>
      <c r="U1111" s="4" t="inlineStr">
        <is>
          <t>CREATED</t>
        </is>
      </c>
      <c r="V1111" s="4" t="inlineStr">
        <is>
          <t>idem-20260902-ios-1110</t>
        </is>
      </c>
    </row>
    <row r="1112" ht="30" customHeight="1">
      <c r="A1112" s="4" t="n">
        <v>1111</v>
      </c>
      <c r="B1112" s="4" t="inlineStr">
        <is>
          <t>MTR-IOS-1111</t>
        </is>
      </c>
      <c r="C1112" s="4" t="inlineStr">
        <is>
          <t>Personal</t>
        </is>
      </c>
      <c r="D1112" s="4" t="inlineStr">
        <is>
          <t>Personal</t>
        </is>
      </c>
      <c r="E1112" s="4" t="inlineStr">
        <is>
          <t>Life Operations</t>
        </is>
      </c>
      <c r="F1112" s="4" t="inlineStr">
        <is>
          <t>Bills</t>
        </is>
      </c>
      <c r="G1112" s="4" t="inlineStr">
        <is>
          <t>Expense</t>
        </is>
      </c>
      <c r="H1112" s="12" t="n">
        <v>46033</v>
      </c>
      <c r="I1112" s="13" t="n">
        <v>0.5520717592592592</v>
      </c>
      <c r="J1112" s="14" t="n">
        <v>46033.55207175926</v>
      </c>
      <c r="K1112" s="15" t="n">
        <v>4001.37</v>
      </c>
      <c r="L1112" s="4" t="inlineStr">
        <is>
          <t>INR</t>
        </is>
      </c>
      <c r="M1112" s="15" t="n">
        <v>-4001.37</v>
      </c>
      <c r="N1112" s="4" t="inlineStr">
        <is>
          <t>IOS Owner</t>
        </is>
      </c>
      <c r="O1112" s="4" t="n"/>
      <c r="P1112" s="4" t="n"/>
      <c r="Q1112" s="4" t="inlineStr">
        <is>
          <t>MAESTRO-IOS-PERSONAL-LIFE_OPERATIONS-1111 | Bills | 4001.37</t>
        </is>
      </c>
      <c r="R1112" s="4" t="inlineStr">
        <is>
          <t>iPhone</t>
        </is>
      </c>
      <c r="S1112" s="4" t="inlineStr">
        <is>
          <t>B23</t>
        </is>
      </c>
      <c r="T1112" s="4" t="inlineStr">
        <is>
          <t>RAMP_501_1500</t>
        </is>
      </c>
      <c r="U1112" s="4" t="inlineStr">
        <is>
          <t>CREATED</t>
        </is>
      </c>
      <c r="V1112" s="4" t="inlineStr">
        <is>
          <t>idem-20260902-ios-1111</t>
        </is>
      </c>
    </row>
    <row r="1113" ht="30" customHeight="1">
      <c r="A1113" s="4" t="n">
        <v>1112</v>
      </c>
      <c r="B1113" s="4" t="inlineStr">
        <is>
          <t>MTR-IOS-1112</t>
        </is>
      </c>
      <c r="C1113" s="4" t="inlineStr">
        <is>
          <t>Group</t>
        </is>
      </c>
      <c r="D1113" s="4" t="inlineStr">
        <is>
          <t>Shared Experience</t>
        </is>
      </c>
      <c r="E1113" s="4" t="inlineStr">
        <is>
          <t>House Party</t>
        </is>
      </c>
      <c r="F1113" s="4" t="inlineStr">
        <is>
          <t>Supplies</t>
        </is>
      </c>
      <c r="G1113" s="4" t="inlineStr">
        <is>
          <t>Expense</t>
        </is>
      </c>
      <c r="H1113" s="12" t="n">
        <v>46202</v>
      </c>
      <c r="I1113" s="13" t="n">
        <v>0.9612152777777778</v>
      </c>
      <c r="J1113" s="14" t="n">
        <v>46202.96121527778</v>
      </c>
      <c r="K1113" s="15" t="n">
        <v>8333.66</v>
      </c>
      <c r="L1113" s="4" t="inlineStr">
        <is>
          <t>INR</t>
        </is>
      </c>
      <c r="M1113" s="15" t="n">
        <v>-8333.66</v>
      </c>
      <c r="N1113" s="4" t="inlineStr">
        <is>
          <t>IOS Aarav</t>
        </is>
      </c>
      <c r="O1113" s="4" t="n">
        <v>3</v>
      </c>
      <c r="P1113" s="4" t="inlineStr">
        <is>
          <t>EXACT</t>
        </is>
      </c>
      <c r="Q1113" s="4" t="inlineStr">
        <is>
          <t>MAESTRO-IOS-GROUP-HOUSE_PARTY-1112 | Supplies | 8333.66</t>
        </is>
      </c>
      <c r="R1113" s="4" t="inlineStr">
        <is>
          <t>iPhone</t>
        </is>
      </c>
      <c r="S1113" s="4" t="inlineStr">
        <is>
          <t>B23</t>
        </is>
      </c>
      <c r="T1113" s="4" t="inlineStr">
        <is>
          <t>RAMP_501_1500</t>
        </is>
      </c>
      <c r="U1113" s="4" t="inlineStr">
        <is>
          <t>CREATED</t>
        </is>
      </c>
      <c r="V1113" s="4" t="inlineStr">
        <is>
          <t>idem-20260902-ios-1112</t>
        </is>
      </c>
    </row>
    <row r="1114" ht="30" customHeight="1">
      <c r="A1114" s="4" t="n">
        <v>1113</v>
      </c>
      <c r="B1114" s="4" t="inlineStr">
        <is>
          <t>MTR-IOS-1113</t>
        </is>
      </c>
      <c r="C1114" s="4" t="inlineStr">
        <is>
          <t>Business</t>
        </is>
      </c>
      <c r="D1114" s="4" t="inlineStr">
        <is>
          <t>Business</t>
        </is>
      </c>
      <c r="E1114" s="4" t="inlineStr">
        <is>
          <t>Business Operations</t>
        </is>
      </c>
      <c r="F1114" s="4" t="inlineStr">
        <is>
          <t>Software</t>
        </is>
      </c>
      <c r="G1114" s="4" t="inlineStr">
        <is>
          <t>Expense</t>
        </is>
      </c>
      <c r="H1114" s="12" t="n">
        <v>46052</v>
      </c>
      <c r="I1114" s="13" t="n">
        <v>0.3966898148148148</v>
      </c>
      <c r="J1114" s="14" t="n">
        <v>46052.39668981481</v>
      </c>
      <c r="K1114" s="15" t="n">
        <v>40255.06</v>
      </c>
      <c r="L1114" s="4" t="inlineStr">
        <is>
          <t>INR</t>
        </is>
      </c>
      <c r="M1114" s="15" t="n">
        <v>-40255.06</v>
      </c>
      <c r="N1114" s="4" t="inlineStr">
        <is>
          <t>IOS Owner</t>
        </is>
      </c>
      <c r="O1114" s="4" t="n"/>
      <c r="P1114" s="4" t="n"/>
      <c r="Q1114" s="4" t="inlineStr">
        <is>
          <t>MAESTRO-IOS-BUSINESS-BUSINESS_OPERATIONS-1113 | Software | 40255.06</t>
        </is>
      </c>
      <c r="R1114" s="4" t="inlineStr">
        <is>
          <t>iPhone</t>
        </is>
      </c>
      <c r="S1114" s="4" t="inlineStr">
        <is>
          <t>B23</t>
        </is>
      </c>
      <c r="T1114" s="4" t="inlineStr">
        <is>
          <t>RAMP_501_1500</t>
        </is>
      </c>
      <c r="U1114" s="4" t="inlineStr">
        <is>
          <t>CREATED</t>
        </is>
      </c>
      <c r="V1114" s="4" t="inlineStr">
        <is>
          <t>idem-20260902-ios-1113</t>
        </is>
      </c>
    </row>
    <row r="1115" ht="30" customHeight="1">
      <c r="A1115" s="4" t="n">
        <v>1114</v>
      </c>
      <c r="B1115" s="4" t="inlineStr">
        <is>
          <t>MTR-IOS-1114</t>
        </is>
      </c>
      <c r="C1115" s="4" t="inlineStr">
        <is>
          <t>Personal</t>
        </is>
      </c>
      <c r="D1115" s="4" t="inlineStr">
        <is>
          <t>Personal</t>
        </is>
      </c>
      <c r="E1115" s="4" t="inlineStr">
        <is>
          <t>Life Operations</t>
        </is>
      </c>
      <c r="F1115" s="4" t="inlineStr">
        <is>
          <t>Transport</t>
        </is>
      </c>
      <c r="G1115" s="4" t="inlineStr">
        <is>
          <t>Expense</t>
        </is>
      </c>
      <c r="H1115" s="12" t="n">
        <v>46076</v>
      </c>
      <c r="I1115" s="13" t="n">
        <v>0.9705208333333334</v>
      </c>
      <c r="J1115" s="14" t="n">
        <v>46076.97052083333</v>
      </c>
      <c r="K1115" s="15" t="n">
        <v>5194.84</v>
      </c>
      <c r="L1115" s="4" t="inlineStr">
        <is>
          <t>INR</t>
        </is>
      </c>
      <c r="M1115" s="15" t="n">
        <v>-5194.84</v>
      </c>
      <c r="N1115" s="4" t="inlineStr">
        <is>
          <t>IOS Owner</t>
        </is>
      </c>
      <c r="O1115" s="4" t="n"/>
      <c r="P1115" s="4" t="n"/>
      <c r="Q1115" s="4" t="inlineStr">
        <is>
          <t>MAESTRO-IOS-PERSONAL-LIFE_OPERATIONS-1114 | Transport | 5194.84</t>
        </is>
      </c>
      <c r="R1115" s="4" t="inlineStr">
        <is>
          <t>iPhone</t>
        </is>
      </c>
      <c r="S1115" s="4" t="inlineStr">
        <is>
          <t>B23</t>
        </is>
      </c>
      <c r="T1115" s="4" t="inlineStr">
        <is>
          <t>RAMP_501_1500</t>
        </is>
      </c>
      <c r="U1115" s="4" t="inlineStr">
        <is>
          <t>CREATED</t>
        </is>
      </c>
      <c r="V1115" s="4" t="inlineStr">
        <is>
          <t>idem-20260902-ios-1114</t>
        </is>
      </c>
    </row>
    <row r="1116" ht="30" customHeight="1">
      <c r="A1116" s="4" t="n">
        <v>1115</v>
      </c>
      <c r="B1116" s="4" t="inlineStr">
        <is>
          <t>MTR-IOS-1115</t>
        </is>
      </c>
      <c r="C1116" s="4" t="inlineStr">
        <is>
          <t>Group</t>
        </is>
      </c>
      <c r="D1116" s="4" t="inlineStr">
        <is>
          <t>Shared Experience</t>
        </is>
      </c>
      <c r="E1116" s="4" t="inlineStr">
        <is>
          <t>House Party</t>
        </is>
      </c>
      <c r="F1116" s="4" t="inlineStr">
        <is>
          <t>Other</t>
        </is>
      </c>
      <c r="G1116" s="4" t="inlineStr">
        <is>
          <t>Expense</t>
        </is>
      </c>
      <c r="H1116" s="12" t="n">
        <v>46227</v>
      </c>
      <c r="I1116" s="13" t="n">
        <v>0.4400694444444445</v>
      </c>
      <c r="J1116" s="14" t="n">
        <v>46227.44006944444</v>
      </c>
      <c r="K1116" s="15" t="n">
        <v>22722.92</v>
      </c>
      <c r="L1116" s="4" t="inlineStr">
        <is>
          <t>INR</t>
        </is>
      </c>
      <c r="M1116" s="15" t="n">
        <v>-22722.92</v>
      </c>
      <c r="N1116" s="4" t="inlineStr">
        <is>
          <t>IOS Meera</t>
        </is>
      </c>
      <c r="O1116" s="4" t="n">
        <v>3</v>
      </c>
      <c r="P1116" s="4" t="inlineStr">
        <is>
          <t>SHARES</t>
        </is>
      </c>
      <c r="Q1116" s="4" t="inlineStr">
        <is>
          <t>MAESTRO-IOS-GROUP-HOUSE_PARTY-1115 | Other | 22722.92</t>
        </is>
      </c>
      <c r="R1116" s="4" t="inlineStr">
        <is>
          <t>iPhone</t>
        </is>
      </c>
      <c r="S1116" s="4" t="inlineStr">
        <is>
          <t>B23</t>
        </is>
      </c>
      <c r="T1116" s="4" t="inlineStr">
        <is>
          <t>RAMP_501_1500</t>
        </is>
      </c>
      <c r="U1116" s="4" t="inlineStr">
        <is>
          <t>CREATED</t>
        </is>
      </c>
      <c r="V1116" s="4" t="inlineStr">
        <is>
          <t>idem-20260902-ios-1115</t>
        </is>
      </c>
    </row>
    <row r="1117" ht="30" customHeight="1">
      <c r="A1117" s="4" t="n">
        <v>1116</v>
      </c>
      <c r="B1117" s="4" t="inlineStr">
        <is>
          <t>MTR-IOS-1116</t>
        </is>
      </c>
      <c r="C1117" s="4" t="inlineStr">
        <is>
          <t>Business</t>
        </is>
      </c>
      <c r="D1117" s="4" t="inlineStr">
        <is>
          <t>Business</t>
        </is>
      </c>
      <c r="E1117" s="4" t="inlineStr">
        <is>
          <t>Business Operations</t>
        </is>
      </c>
      <c r="F1117" s="4" t="inlineStr">
        <is>
          <t>Rent</t>
        </is>
      </c>
      <c r="G1117" s="4" t="inlineStr">
        <is>
          <t>Expense</t>
        </is>
      </c>
      <c r="H1117" s="12" t="n">
        <v>46159</v>
      </c>
      <c r="I1117" s="13" t="n">
        <v>0.170775462962963</v>
      </c>
      <c r="J1117" s="14" t="n">
        <v>46159.17077546296</v>
      </c>
      <c r="K1117" s="15" t="n">
        <v>14299.62</v>
      </c>
      <c r="L1117" s="4" t="inlineStr">
        <is>
          <t>INR</t>
        </is>
      </c>
      <c r="M1117" s="15" t="n">
        <v>-14299.62</v>
      </c>
      <c r="N1117" s="4" t="inlineStr">
        <is>
          <t>IOS Owner</t>
        </is>
      </c>
      <c r="O1117" s="4" t="n"/>
      <c r="P1117" s="4" t="n"/>
      <c r="Q1117" s="4" t="inlineStr">
        <is>
          <t>MAESTRO-IOS-BUSINESS-BUSINESS_OPERATIONS-1116 | Rent | 14299.62</t>
        </is>
      </c>
      <c r="R1117" s="4" t="inlineStr">
        <is>
          <t>iPhone</t>
        </is>
      </c>
      <c r="S1117" s="4" t="inlineStr">
        <is>
          <t>B23</t>
        </is>
      </c>
      <c r="T1117" s="4" t="inlineStr">
        <is>
          <t>RAMP_501_1500</t>
        </is>
      </c>
      <c r="U1117" s="4" t="inlineStr">
        <is>
          <t>CREATED</t>
        </is>
      </c>
      <c r="V1117" s="4" t="inlineStr">
        <is>
          <t>idem-20260902-ios-1116</t>
        </is>
      </c>
    </row>
    <row r="1118" ht="30" customHeight="1">
      <c r="A1118" s="4" t="n">
        <v>1117</v>
      </c>
      <c r="B1118" s="4" t="inlineStr">
        <is>
          <t>MTR-IOS-1117</t>
        </is>
      </c>
      <c r="C1118" s="4" t="inlineStr">
        <is>
          <t>Personal</t>
        </is>
      </c>
      <c r="D1118" s="4" t="inlineStr">
        <is>
          <t>Personal</t>
        </is>
      </c>
      <c r="E1118" s="4" t="inlineStr">
        <is>
          <t>Life Operations</t>
        </is>
      </c>
      <c r="F1118" s="4" t="inlineStr">
        <is>
          <t>Healthcare</t>
        </is>
      </c>
      <c r="G1118" s="4" t="inlineStr">
        <is>
          <t>Expense</t>
        </is>
      </c>
      <c r="H1118" s="12" t="n">
        <v>46110</v>
      </c>
      <c r="I1118" s="13" t="n">
        <v>0.9170254629629629</v>
      </c>
      <c r="J1118" s="14" t="n">
        <v>46110.91702546296</v>
      </c>
      <c r="K1118" s="15" t="n">
        <v>16272.1</v>
      </c>
      <c r="L1118" s="4" t="inlineStr">
        <is>
          <t>INR</t>
        </is>
      </c>
      <c r="M1118" s="15" t="n">
        <v>-16272.1</v>
      </c>
      <c r="N1118" s="4" t="inlineStr">
        <is>
          <t>IOS Owner</t>
        </is>
      </c>
      <c r="O1118" s="4" t="n"/>
      <c r="P1118" s="4" t="n"/>
      <c r="Q1118" s="4" t="inlineStr">
        <is>
          <t>MAESTRO-IOS-PERSONAL-LIFE_OPERATIONS-1117 | Healthcare | 16272.10</t>
        </is>
      </c>
      <c r="R1118" s="4" t="inlineStr">
        <is>
          <t>iPhone</t>
        </is>
      </c>
      <c r="S1118" s="4" t="inlineStr">
        <is>
          <t>B23</t>
        </is>
      </c>
      <c r="T1118" s="4" t="inlineStr">
        <is>
          <t>RAMP_501_1500</t>
        </is>
      </c>
      <c r="U1118" s="4" t="inlineStr">
        <is>
          <t>CREATED</t>
        </is>
      </c>
      <c r="V1118" s="4" t="inlineStr">
        <is>
          <t>idem-20260902-ios-1117</t>
        </is>
      </c>
    </row>
    <row r="1119" ht="30" customHeight="1">
      <c r="A1119" s="4" t="n">
        <v>1118</v>
      </c>
      <c r="B1119" s="4" t="inlineStr">
        <is>
          <t>MTR-IOS-1118</t>
        </is>
      </c>
      <c r="C1119" s="4" t="inlineStr">
        <is>
          <t>Group</t>
        </is>
      </c>
      <c r="D1119" s="4" t="inlineStr">
        <is>
          <t>Shared Purchase</t>
        </is>
      </c>
      <c r="E1119" s="4" t="inlineStr">
        <is>
          <t>Gift Pool</t>
        </is>
      </c>
      <c r="F1119" s="4" t="inlineStr">
        <is>
          <t>Contribution</t>
        </is>
      </c>
      <c r="G1119" s="4" t="inlineStr">
        <is>
          <t>Contribution</t>
        </is>
      </c>
      <c r="H1119" s="12" t="n">
        <v>46262</v>
      </c>
      <c r="I1119" s="13" t="n">
        <v>0.1878587962962963</v>
      </c>
      <c r="J1119" s="14" t="n">
        <v>46262.18785879629</v>
      </c>
      <c r="K1119" s="15" t="n">
        <v>14698.93</v>
      </c>
      <c r="L1119" s="4" t="inlineStr">
        <is>
          <t>INR</t>
        </is>
      </c>
      <c r="M1119" s="15" t="n">
        <v>14698.93</v>
      </c>
      <c r="N1119" s="4" t="inlineStr">
        <is>
          <t>IOS Owner</t>
        </is>
      </c>
      <c r="O1119" s="4" t="n">
        <v>3</v>
      </c>
      <c r="P1119" s="4" t="inlineStr">
        <is>
          <t>EQUAL</t>
        </is>
      </c>
      <c r="Q1119" s="4" t="inlineStr">
        <is>
          <t>MAESTRO-IOS-GROUP-GIFT_POOL-1118 | Contribution | 14698.93</t>
        </is>
      </c>
      <c r="R1119" s="4" t="inlineStr">
        <is>
          <t>iPhone</t>
        </is>
      </c>
      <c r="S1119" s="4" t="inlineStr">
        <is>
          <t>B23</t>
        </is>
      </c>
      <c r="T1119" s="4" t="inlineStr">
        <is>
          <t>RAMP_501_1500</t>
        </is>
      </c>
      <c r="U1119" s="4" t="inlineStr">
        <is>
          <t>CREATED</t>
        </is>
      </c>
      <c r="V1119" s="4" t="inlineStr">
        <is>
          <t>idem-20260902-ios-1118</t>
        </is>
      </c>
    </row>
    <row r="1120" ht="30" customHeight="1">
      <c r="A1120" s="4" t="n">
        <v>1119</v>
      </c>
      <c r="B1120" s="4" t="inlineStr">
        <is>
          <t>MTR-IOS-1119</t>
        </is>
      </c>
      <c r="C1120" s="4" t="inlineStr">
        <is>
          <t>Business</t>
        </is>
      </c>
      <c r="D1120" s="4" t="inlineStr">
        <is>
          <t>Business</t>
        </is>
      </c>
      <c r="E1120" s="4" t="inlineStr">
        <is>
          <t>Business Operations</t>
        </is>
      </c>
      <c r="F1120" s="4" t="inlineStr">
        <is>
          <t>Marketing</t>
        </is>
      </c>
      <c r="G1120" s="4" t="inlineStr">
        <is>
          <t>Expense</t>
        </is>
      </c>
      <c r="H1120" s="12" t="n">
        <v>46194</v>
      </c>
      <c r="I1120" s="13" t="n">
        <v>0.7732407407407408</v>
      </c>
      <c r="J1120" s="14" t="n">
        <v>46194.77324074074</v>
      </c>
      <c r="K1120" s="15" t="n">
        <v>54230.71</v>
      </c>
      <c r="L1120" s="4" t="inlineStr">
        <is>
          <t>INR</t>
        </is>
      </c>
      <c r="M1120" s="15" t="n">
        <v>-54230.71</v>
      </c>
      <c r="N1120" s="4" t="inlineStr">
        <is>
          <t>IOS Owner</t>
        </is>
      </c>
      <c r="O1120" s="4" t="n"/>
      <c r="P1120" s="4" t="n"/>
      <c r="Q1120" s="4" t="inlineStr">
        <is>
          <t>MAESTRO-IOS-BUSINESS-BUSINESS_OPERATIONS-1119 | Marketing | 54230.71</t>
        </is>
      </c>
      <c r="R1120" s="4" t="inlineStr">
        <is>
          <t>iPhone</t>
        </is>
      </c>
      <c r="S1120" s="4" t="inlineStr">
        <is>
          <t>B23</t>
        </is>
      </c>
      <c r="T1120" s="4" t="inlineStr">
        <is>
          <t>RAMP_501_1500</t>
        </is>
      </c>
      <c r="U1120" s="4" t="inlineStr">
        <is>
          <t>CREATED</t>
        </is>
      </c>
      <c r="V1120" s="4" t="inlineStr">
        <is>
          <t>idem-20260902-ios-1119</t>
        </is>
      </c>
    </row>
    <row r="1121" ht="30" customHeight="1">
      <c r="A1121" s="4" t="n">
        <v>1120</v>
      </c>
      <c r="B1121" s="4" t="inlineStr">
        <is>
          <t>MTR-IOS-1120</t>
        </is>
      </c>
      <c r="C1121" s="4" t="inlineStr">
        <is>
          <t>Personal</t>
        </is>
      </c>
      <c r="D1121" s="4" t="inlineStr">
        <is>
          <t>Personal</t>
        </is>
      </c>
      <c r="E1121" s="4" t="inlineStr">
        <is>
          <t>Life Operations</t>
        </is>
      </c>
      <c r="F1121" s="4" t="inlineStr">
        <is>
          <t>Subscriptions</t>
        </is>
      </c>
      <c r="G1121" s="4" t="inlineStr">
        <is>
          <t>Expense</t>
        </is>
      </c>
      <c r="H1121" s="12" t="n">
        <v>46062</v>
      </c>
      <c r="I1121" s="13" t="n">
        <v>0.3384143518518519</v>
      </c>
      <c r="J1121" s="14" t="n">
        <v>46062.33841435185</v>
      </c>
      <c r="K1121" s="15" t="n">
        <v>11718.74</v>
      </c>
      <c r="L1121" s="4" t="inlineStr">
        <is>
          <t>INR</t>
        </is>
      </c>
      <c r="M1121" s="15" t="n">
        <v>-11718.74</v>
      </c>
      <c r="N1121" s="4" t="inlineStr">
        <is>
          <t>IOS Owner</t>
        </is>
      </c>
      <c r="O1121" s="4" t="n"/>
      <c r="P1121" s="4" t="n"/>
      <c r="Q1121" s="4" t="inlineStr">
        <is>
          <t>MAESTRO-IOS-PERSONAL-LIFE_OPERATIONS-1120 | Subscriptions | 11718.74</t>
        </is>
      </c>
      <c r="R1121" s="4" t="inlineStr">
        <is>
          <t>iPhone</t>
        </is>
      </c>
      <c r="S1121" s="4" t="inlineStr">
        <is>
          <t>B23</t>
        </is>
      </c>
      <c r="T1121" s="4" t="inlineStr">
        <is>
          <t>RAMP_501_1500</t>
        </is>
      </c>
      <c r="U1121" s="4" t="inlineStr">
        <is>
          <t>CREATED</t>
        </is>
      </c>
      <c r="V1121" s="4" t="inlineStr">
        <is>
          <t>idem-20260902-ios-1120</t>
        </is>
      </c>
    </row>
    <row r="1122" ht="30" customHeight="1">
      <c r="A1122" s="4" t="n">
        <v>1121</v>
      </c>
      <c r="B1122" s="4" t="inlineStr">
        <is>
          <t>MTR-IOS-1121</t>
        </is>
      </c>
      <c r="C1122" s="4" t="inlineStr">
        <is>
          <t>Group</t>
        </is>
      </c>
      <c r="D1122" s="4" t="inlineStr">
        <is>
          <t>Shared Purchase</t>
        </is>
      </c>
      <c r="E1122" s="4" t="inlineStr">
        <is>
          <t>Gift Pool</t>
        </is>
      </c>
      <c r="F1122" s="4" t="inlineStr">
        <is>
          <t>Gift Purchase</t>
        </is>
      </c>
      <c r="G1122" s="4" t="inlineStr">
        <is>
          <t>Expense</t>
        </is>
      </c>
      <c r="H1122" s="12" t="n">
        <v>45938</v>
      </c>
      <c r="I1122" s="13" t="n">
        <v>0.02608796296296296</v>
      </c>
      <c r="J1122" s="14" t="n">
        <v>45938.02608796296</v>
      </c>
      <c r="K1122" s="15" t="n">
        <v>2683.11</v>
      </c>
      <c r="L1122" s="4" t="inlineStr">
        <is>
          <t>INR</t>
        </is>
      </c>
      <c r="M1122" s="15" t="n">
        <v>-2683.11</v>
      </c>
      <c r="N1122" s="4" t="inlineStr">
        <is>
          <t>IOS Aarav</t>
        </is>
      </c>
      <c r="O1122" s="4" t="n">
        <v>3</v>
      </c>
      <c r="P1122" s="4" t="inlineStr">
        <is>
          <t>PERCENTAGE</t>
        </is>
      </c>
      <c r="Q1122" s="4" t="inlineStr">
        <is>
          <t>MAESTRO-IOS-GROUP-GIFT_POOL-1121 | Gift Purchase | 2683.11</t>
        </is>
      </c>
      <c r="R1122" s="4" t="inlineStr">
        <is>
          <t>iPhone</t>
        </is>
      </c>
      <c r="S1122" s="4" t="inlineStr">
        <is>
          <t>B23</t>
        </is>
      </c>
      <c r="T1122" s="4" t="inlineStr">
        <is>
          <t>RAMP_501_1500</t>
        </is>
      </c>
      <c r="U1122" s="4" t="inlineStr">
        <is>
          <t>CREATED</t>
        </is>
      </c>
      <c r="V1122" s="4" t="inlineStr">
        <is>
          <t>idem-20260902-ios-1121</t>
        </is>
      </c>
    </row>
    <row r="1123" ht="30" customHeight="1">
      <c r="A1123" s="4" t="n">
        <v>1122</v>
      </c>
      <c r="B1123" s="4" t="inlineStr">
        <is>
          <t>MTR-IOS-1122</t>
        </is>
      </c>
      <c r="C1123" s="4" t="inlineStr">
        <is>
          <t>Business</t>
        </is>
      </c>
      <c r="D1123" s="4" t="inlineStr">
        <is>
          <t>Business</t>
        </is>
      </c>
      <c r="E1123" s="4" t="inlineStr">
        <is>
          <t>Business Operations</t>
        </is>
      </c>
      <c r="F1123" s="4" t="inlineStr">
        <is>
          <t>Legal</t>
        </is>
      </c>
      <c r="G1123" s="4" t="inlineStr">
        <is>
          <t>Expense</t>
        </is>
      </c>
      <c r="H1123" s="12" t="n">
        <v>46186</v>
      </c>
      <c r="I1123" s="13" t="n">
        <v>0.1815740740740741</v>
      </c>
      <c r="J1123" s="14" t="n">
        <v>46186.18157407407</v>
      </c>
      <c r="K1123" s="15" t="n">
        <v>13995.14</v>
      </c>
      <c r="L1123" s="4" t="inlineStr">
        <is>
          <t>INR</t>
        </is>
      </c>
      <c r="M1123" s="15" t="n">
        <v>-13995.14</v>
      </c>
      <c r="N1123" s="4" t="inlineStr">
        <is>
          <t>IOS Owner</t>
        </is>
      </c>
      <c r="O1123" s="4" t="n"/>
      <c r="P1123" s="4" t="n"/>
      <c r="Q1123" s="4" t="inlineStr">
        <is>
          <t>MAESTRO-IOS-BUSINESS-BUSINESS_OPERATIONS-1122 | Legal | 13995.14</t>
        </is>
      </c>
      <c r="R1123" s="4" t="inlineStr">
        <is>
          <t>iPhone</t>
        </is>
      </c>
      <c r="S1123" s="4" t="inlineStr">
        <is>
          <t>B23</t>
        </is>
      </c>
      <c r="T1123" s="4" t="inlineStr">
        <is>
          <t>RAMP_501_1500</t>
        </is>
      </c>
      <c r="U1123" s="4" t="inlineStr">
        <is>
          <t>CREATED</t>
        </is>
      </c>
      <c r="V1123" s="4" t="inlineStr">
        <is>
          <t>idem-20260902-ios-1122</t>
        </is>
      </c>
    </row>
    <row r="1124" ht="30" customHeight="1">
      <c r="A1124" s="4" t="n">
        <v>1123</v>
      </c>
      <c r="B1124" s="4" t="inlineStr">
        <is>
          <t>MTR-IOS-1123</t>
        </is>
      </c>
      <c r="C1124" s="4" t="inlineStr">
        <is>
          <t>Personal</t>
        </is>
      </c>
      <c r="D1124" s="4" t="inlineStr">
        <is>
          <t>Personal</t>
        </is>
      </c>
      <c r="E1124" s="4" t="inlineStr">
        <is>
          <t>Life Operations</t>
        </is>
      </c>
      <c r="F1124" s="4" t="inlineStr">
        <is>
          <t>Repairs</t>
        </is>
      </c>
      <c r="G1124" s="4" t="inlineStr">
        <is>
          <t>Expense</t>
        </is>
      </c>
      <c r="H1124" s="12" t="n">
        <v>45912</v>
      </c>
      <c r="I1124" s="13" t="n">
        <v>0.8057291666666667</v>
      </c>
      <c r="J1124" s="14" t="n">
        <v>45912.80572916667</v>
      </c>
      <c r="K1124" s="15" t="n">
        <v>11248.86</v>
      </c>
      <c r="L1124" s="4" t="inlineStr">
        <is>
          <t>INR</t>
        </is>
      </c>
      <c r="M1124" s="15" t="n">
        <v>-11248.86</v>
      </c>
      <c r="N1124" s="4" t="inlineStr">
        <is>
          <t>IOS Owner</t>
        </is>
      </c>
      <c r="O1124" s="4" t="n"/>
      <c r="P1124" s="4" t="n"/>
      <c r="Q1124" s="4" t="inlineStr">
        <is>
          <t>MAESTRO-IOS-PERSONAL-LIFE_OPERATIONS-1123 | Repairs | 11248.86</t>
        </is>
      </c>
      <c r="R1124" s="4" t="inlineStr">
        <is>
          <t>iPhone</t>
        </is>
      </c>
      <c r="S1124" s="4" t="inlineStr">
        <is>
          <t>B23</t>
        </is>
      </c>
      <c r="T1124" s="4" t="inlineStr">
        <is>
          <t>RAMP_501_1500</t>
        </is>
      </c>
      <c r="U1124" s="4" t="inlineStr">
        <is>
          <t>CREATED</t>
        </is>
      </c>
      <c r="V1124" s="4" t="inlineStr">
        <is>
          <t>idem-20260902-ios-1123</t>
        </is>
      </c>
    </row>
    <row r="1125" ht="30" customHeight="1">
      <c r="A1125" s="4" t="n">
        <v>1124</v>
      </c>
      <c r="B1125" s="4" t="inlineStr">
        <is>
          <t>MTR-IOS-1124</t>
        </is>
      </c>
      <c r="C1125" s="4" t="inlineStr">
        <is>
          <t>Group</t>
        </is>
      </c>
      <c r="D1125" s="4" t="inlineStr">
        <is>
          <t>Shared Purchase</t>
        </is>
      </c>
      <c r="E1125" s="4" t="inlineStr">
        <is>
          <t>Gift Pool</t>
        </is>
      </c>
      <c r="F1125" s="4" t="inlineStr">
        <is>
          <t>Delivery</t>
        </is>
      </c>
      <c r="G1125" s="4" t="inlineStr">
        <is>
          <t>Expense</t>
        </is>
      </c>
      <c r="H1125" s="12" t="n">
        <v>46004</v>
      </c>
      <c r="I1125" s="13" t="n">
        <v>0.08092592592592593</v>
      </c>
      <c r="J1125" s="14" t="n">
        <v>46004.08092592593</v>
      </c>
      <c r="K1125" s="15" t="n">
        <v>10311.59</v>
      </c>
      <c r="L1125" s="4" t="inlineStr">
        <is>
          <t>INR</t>
        </is>
      </c>
      <c r="M1125" s="15" t="n">
        <v>-10311.59</v>
      </c>
      <c r="N1125" s="4" t="inlineStr">
        <is>
          <t>IOS Meera</t>
        </is>
      </c>
      <c r="O1125" s="4" t="n">
        <v>3</v>
      </c>
      <c r="P1125" s="4" t="inlineStr">
        <is>
          <t>EXACT</t>
        </is>
      </c>
      <c r="Q1125" s="4" t="inlineStr">
        <is>
          <t>MAESTRO-IOS-GROUP-GIFT_POOL-1124 | Delivery | 10311.59</t>
        </is>
      </c>
      <c r="R1125" s="4" t="inlineStr">
        <is>
          <t>iPhone</t>
        </is>
      </c>
      <c r="S1125" s="4" t="inlineStr">
        <is>
          <t>B23</t>
        </is>
      </c>
      <c r="T1125" s="4" t="inlineStr">
        <is>
          <t>RAMP_501_1500</t>
        </is>
      </c>
      <c r="U1125" s="4" t="inlineStr">
        <is>
          <t>CREATED</t>
        </is>
      </c>
      <c r="V1125" s="4" t="inlineStr">
        <is>
          <t>idem-20260902-ios-1124</t>
        </is>
      </c>
    </row>
    <row r="1126" ht="30" customHeight="1">
      <c r="A1126" s="4" t="n">
        <v>1125</v>
      </c>
      <c r="B1126" s="4" t="inlineStr">
        <is>
          <t>MTR-IOS-1125</t>
        </is>
      </c>
      <c r="C1126" s="4" t="inlineStr">
        <is>
          <t>Business</t>
        </is>
      </c>
      <c r="D1126" s="4" t="inlineStr">
        <is>
          <t>Business</t>
        </is>
      </c>
      <c r="E1126" s="4" t="inlineStr">
        <is>
          <t>Business Operations</t>
        </is>
      </c>
      <c r="F1126" s="4" t="inlineStr">
        <is>
          <t>Accounting</t>
        </is>
      </c>
      <c r="G1126" s="4" t="inlineStr">
        <is>
          <t>Expense</t>
        </is>
      </c>
      <c r="H1126" s="12" t="n">
        <v>46167</v>
      </c>
      <c r="I1126" s="13" t="n">
        <v>0.3241319444444444</v>
      </c>
      <c r="J1126" s="14" t="n">
        <v>46167.32413194444</v>
      </c>
      <c r="K1126" s="15" t="n">
        <v>152712.08</v>
      </c>
      <c r="L1126" s="4" t="inlineStr">
        <is>
          <t>INR</t>
        </is>
      </c>
      <c r="M1126" s="15" t="n">
        <v>-152712.08</v>
      </c>
      <c r="N1126" s="4" t="inlineStr">
        <is>
          <t>IOS Owner</t>
        </is>
      </c>
      <c r="O1126" s="4" t="n"/>
      <c r="P1126" s="4" t="n"/>
      <c r="Q1126" s="4" t="inlineStr">
        <is>
          <t>MAESTRO-IOS-BUSINESS-BUSINESS_OPERATIONS-1125 | Accounting | 152712.08</t>
        </is>
      </c>
      <c r="R1126" s="4" t="inlineStr">
        <is>
          <t>iPhone</t>
        </is>
      </c>
      <c r="S1126" s="4" t="inlineStr">
        <is>
          <t>B23</t>
        </is>
      </c>
      <c r="T1126" s="4" t="inlineStr">
        <is>
          <t>RAMP_501_1500</t>
        </is>
      </c>
      <c r="U1126" s="4" t="inlineStr">
        <is>
          <t>CREATED</t>
        </is>
      </c>
      <c r="V1126" s="4" t="inlineStr">
        <is>
          <t>idem-20260902-ios-1125</t>
        </is>
      </c>
    </row>
    <row r="1127" ht="30" customHeight="1">
      <c r="A1127" s="4" t="n">
        <v>1126</v>
      </c>
      <c r="B1127" s="4" t="inlineStr">
        <is>
          <t>MTR-IOS-1126</t>
        </is>
      </c>
      <c r="C1127" s="4" t="inlineStr">
        <is>
          <t>Personal</t>
        </is>
      </c>
      <c r="D1127" s="4" t="inlineStr">
        <is>
          <t>Personal</t>
        </is>
      </c>
      <c r="E1127" s="4" t="inlineStr">
        <is>
          <t>Future Building</t>
        </is>
      </c>
      <c r="F1127" s="4" t="inlineStr">
        <is>
          <t>Savings</t>
        </is>
      </c>
      <c r="G1127" s="4" t="inlineStr">
        <is>
          <t>Transfer</t>
        </is>
      </c>
      <c r="H1127" s="12" t="n">
        <v>46099</v>
      </c>
      <c r="I1127" s="13" t="n">
        <v>0.6855671296296296</v>
      </c>
      <c r="J1127" s="14" t="n">
        <v>46099.68556712963</v>
      </c>
      <c r="K1127" s="15" t="n">
        <v>6609.56</v>
      </c>
      <c r="L1127" s="4" t="inlineStr">
        <is>
          <t>INR</t>
        </is>
      </c>
      <c r="M1127" s="15" t="n">
        <v>0</v>
      </c>
      <c r="N1127" s="4" t="inlineStr">
        <is>
          <t>IOS Owner</t>
        </is>
      </c>
      <c r="O1127" s="4" t="n"/>
      <c r="P1127" s="4" t="n"/>
      <c r="Q1127" s="4" t="inlineStr">
        <is>
          <t>MAESTRO-IOS-PERSONAL-FUTURE_BUILDING-1126 | Savings | 6609.56</t>
        </is>
      </c>
      <c r="R1127" s="4" t="inlineStr">
        <is>
          <t>iPhone</t>
        </is>
      </c>
      <c r="S1127" s="4" t="inlineStr">
        <is>
          <t>B23</t>
        </is>
      </c>
      <c r="T1127" s="4" t="inlineStr">
        <is>
          <t>RAMP_501_1500</t>
        </is>
      </c>
      <c r="U1127" s="4" t="inlineStr">
        <is>
          <t>CREATED</t>
        </is>
      </c>
      <c r="V1127" s="4" t="inlineStr">
        <is>
          <t>idem-20260902-ios-1126</t>
        </is>
      </c>
    </row>
    <row r="1128" ht="30" customHeight="1">
      <c r="A1128" s="4" t="n">
        <v>1127</v>
      </c>
      <c r="B1128" s="4" t="inlineStr">
        <is>
          <t>MTR-IOS-1127</t>
        </is>
      </c>
      <c r="C1128" s="4" t="inlineStr">
        <is>
          <t>Group</t>
        </is>
      </c>
      <c r="D1128" s="4" t="inlineStr">
        <is>
          <t>Shared Purchase</t>
        </is>
      </c>
      <c r="E1128" s="4" t="inlineStr">
        <is>
          <t>Gift Pool</t>
        </is>
      </c>
      <c r="F1128" s="4" t="inlineStr">
        <is>
          <t>Other</t>
        </is>
      </c>
      <c r="G1128" s="4" t="inlineStr">
        <is>
          <t>Expense</t>
        </is>
      </c>
      <c r="H1128" s="12" t="n">
        <v>46013</v>
      </c>
      <c r="I1128" s="13" t="n">
        <v>0.8966550925925926</v>
      </c>
      <c r="J1128" s="14" t="n">
        <v>46013.89665509259</v>
      </c>
      <c r="K1128" s="15" t="n">
        <v>22082.09</v>
      </c>
      <c r="L1128" s="4" t="inlineStr">
        <is>
          <t>INR</t>
        </is>
      </c>
      <c r="M1128" s="15" t="n">
        <v>-22082.09</v>
      </c>
      <c r="N1128" s="4" t="inlineStr">
        <is>
          <t>IOS Owner</t>
        </is>
      </c>
      <c r="O1128" s="4" t="n">
        <v>3</v>
      </c>
      <c r="P1128" s="4" t="inlineStr">
        <is>
          <t>SHARES</t>
        </is>
      </c>
      <c r="Q1128" s="4" t="inlineStr">
        <is>
          <t>MAESTRO-IOS-GROUP-GIFT_POOL-1127 | Other | 22082.09</t>
        </is>
      </c>
      <c r="R1128" s="4" t="inlineStr">
        <is>
          <t>iPhone</t>
        </is>
      </c>
      <c r="S1128" s="4" t="inlineStr">
        <is>
          <t>B23</t>
        </is>
      </c>
      <c r="T1128" s="4" t="inlineStr">
        <is>
          <t>RAMP_501_1500</t>
        </is>
      </c>
      <c r="U1128" s="4" t="inlineStr">
        <is>
          <t>CREATED</t>
        </is>
      </c>
      <c r="V1128" s="4" t="inlineStr">
        <is>
          <t>idem-20260902-ios-1127</t>
        </is>
      </c>
    </row>
    <row r="1129" ht="30" customHeight="1">
      <c r="A1129" s="4" t="n">
        <v>1128</v>
      </c>
      <c r="B1129" s="4" t="inlineStr">
        <is>
          <t>MTR-IOS-1128</t>
        </is>
      </c>
      <c r="C1129" s="4" t="inlineStr">
        <is>
          <t>Business</t>
        </is>
      </c>
      <c r="D1129" s="4" t="inlineStr">
        <is>
          <t>Business</t>
        </is>
      </c>
      <c r="E1129" s="4" t="inlineStr">
        <is>
          <t>Business Operations</t>
        </is>
      </c>
      <c r="F1129" s="4" t="inlineStr">
        <is>
          <t>Equipment</t>
        </is>
      </c>
      <c r="G1129" s="4" t="inlineStr">
        <is>
          <t>Expense</t>
        </is>
      </c>
      <c r="H1129" s="12" t="n">
        <v>45948</v>
      </c>
      <c r="I1129" s="13" t="n">
        <v>0.2978240740740741</v>
      </c>
      <c r="J1129" s="14" t="n">
        <v>45948.29782407408</v>
      </c>
      <c r="K1129" s="15" t="n">
        <v>50126.16</v>
      </c>
      <c r="L1129" s="4" t="inlineStr">
        <is>
          <t>INR</t>
        </is>
      </c>
      <c r="M1129" s="15" t="n">
        <v>-50126.16</v>
      </c>
      <c r="N1129" s="4" t="inlineStr">
        <is>
          <t>IOS Owner</t>
        </is>
      </c>
      <c r="O1129" s="4" t="n"/>
      <c r="P1129" s="4" t="n"/>
      <c r="Q1129" s="4" t="inlineStr">
        <is>
          <t>MAESTRO-IOS-BUSINESS-BUSINESS_OPERATIONS-1128 | Equipment | 50126.16</t>
        </is>
      </c>
      <c r="R1129" s="4" t="inlineStr">
        <is>
          <t>iPhone</t>
        </is>
      </c>
      <c r="S1129" s="4" t="inlineStr">
        <is>
          <t>B23</t>
        </is>
      </c>
      <c r="T1129" s="4" t="inlineStr">
        <is>
          <t>RAMP_501_1500</t>
        </is>
      </c>
      <c r="U1129" s="4" t="inlineStr">
        <is>
          <t>CREATED</t>
        </is>
      </c>
      <c r="V1129" s="4" t="inlineStr">
        <is>
          <t>idem-20260902-ios-1128</t>
        </is>
      </c>
    </row>
    <row r="1130" ht="30" customHeight="1">
      <c r="A1130" s="4" t="n">
        <v>1129</v>
      </c>
      <c r="B1130" s="4" t="inlineStr">
        <is>
          <t>MTR-IOS-1129</t>
        </is>
      </c>
      <c r="C1130" s="4" t="inlineStr">
        <is>
          <t>Personal</t>
        </is>
      </c>
      <c r="D1130" s="4" t="inlineStr">
        <is>
          <t>Personal</t>
        </is>
      </c>
      <c r="E1130" s="4" t="inlineStr">
        <is>
          <t>Future Building</t>
        </is>
      </c>
      <c r="F1130" s="4" t="inlineStr">
        <is>
          <t>Emergency Fund</t>
        </is>
      </c>
      <c r="G1130" s="4" t="inlineStr">
        <is>
          <t>Transfer</t>
        </is>
      </c>
      <c r="H1130" s="12" t="n">
        <v>46192</v>
      </c>
      <c r="I1130" s="13" t="n">
        <v>0.5990972222222222</v>
      </c>
      <c r="J1130" s="14" t="n">
        <v>46192.59909722222</v>
      </c>
      <c r="K1130" s="15" t="n">
        <v>3187.5</v>
      </c>
      <c r="L1130" s="4" t="inlineStr">
        <is>
          <t>INR</t>
        </is>
      </c>
      <c r="M1130" s="15" t="n">
        <v>0</v>
      </c>
      <c r="N1130" s="4" t="inlineStr">
        <is>
          <t>IOS Owner</t>
        </is>
      </c>
      <c r="O1130" s="4" t="n"/>
      <c r="P1130" s="4" t="n"/>
      <c r="Q1130" s="4" t="inlineStr">
        <is>
          <t>MAESTRO-IOS-PERSONAL-FUTURE_BUILDING-1129 | Emergency Fund | 3187.50</t>
        </is>
      </c>
      <c r="R1130" s="4" t="inlineStr">
        <is>
          <t>iPhone</t>
        </is>
      </c>
      <c r="S1130" s="4" t="inlineStr">
        <is>
          <t>B23</t>
        </is>
      </c>
      <c r="T1130" s="4" t="inlineStr">
        <is>
          <t>RAMP_501_1500</t>
        </is>
      </c>
      <c r="U1130" s="4" t="inlineStr">
        <is>
          <t>CREATED</t>
        </is>
      </c>
      <c r="V1130" s="4" t="inlineStr">
        <is>
          <t>idem-20260902-ios-1129</t>
        </is>
      </c>
    </row>
    <row r="1131" ht="30" customHeight="1">
      <c r="A1131" s="4" t="n">
        <v>1130</v>
      </c>
      <c r="B1131" s="4" t="inlineStr">
        <is>
          <t>MTR-IOS-1130</t>
        </is>
      </c>
      <c r="C1131" s="4" t="inlineStr">
        <is>
          <t>Group</t>
        </is>
      </c>
      <c r="D1131" s="4" t="inlineStr">
        <is>
          <t>Shared Purchase</t>
        </is>
      </c>
      <c r="E1131" s="4" t="inlineStr">
        <is>
          <t>Purchase</t>
        </is>
      </c>
      <c r="F1131" s="4" t="inlineStr">
        <is>
          <t>Item</t>
        </is>
      </c>
      <c r="G1131" s="4" t="inlineStr">
        <is>
          <t>Expense</t>
        </is>
      </c>
      <c r="H1131" s="12" t="n">
        <v>45970</v>
      </c>
      <c r="I1131" s="13" t="n">
        <v>0.8301620370370371</v>
      </c>
      <c r="J1131" s="14" t="n">
        <v>45970.83016203704</v>
      </c>
      <c r="K1131" s="15" t="n">
        <v>7882.48</v>
      </c>
      <c r="L1131" s="4" t="inlineStr">
        <is>
          <t>INR</t>
        </is>
      </c>
      <c r="M1131" s="15" t="n">
        <v>-7882.48</v>
      </c>
      <c r="N1131" s="4" t="inlineStr">
        <is>
          <t>IOS Aarav</t>
        </is>
      </c>
      <c r="O1131" s="4" t="n">
        <v>3</v>
      </c>
      <c r="P1131" s="4" t="inlineStr">
        <is>
          <t>EQUAL</t>
        </is>
      </c>
      <c r="Q1131" s="4" t="inlineStr">
        <is>
          <t>MAESTRO-IOS-GROUP-PURCHASE-1130 | Item | 7882.48</t>
        </is>
      </c>
      <c r="R1131" s="4" t="inlineStr">
        <is>
          <t>iPhone</t>
        </is>
      </c>
      <c r="S1131" s="4" t="inlineStr">
        <is>
          <t>B23</t>
        </is>
      </c>
      <c r="T1131" s="4" t="inlineStr">
        <is>
          <t>RAMP_501_1500</t>
        </is>
      </c>
      <c r="U1131" s="4" t="inlineStr">
        <is>
          <t>CREATED</t>
        </is>
      </c>
      <c r="V1131" s="4" t="inlineStr">
        <is>
          <t>idem-20260902-ios-1130</t>
        </is>
      </c>
    </row>
    <row r="1132" ht="30" customHeight="1">
      <c r="A1132" s="4" t="n">
        <v>1131</v>
      </c>
      <c r="B1132" s="4" t="inlineStr">
        <is>
          <t>MTR-IOS-1131</t>
        </is>
      </c>
      <c r="C1132" s="4" t="inlineStr">
        <is>
          <t>Business</t>
        </is>
      </c>
      <c r="D1132" s="4" t="inlineStr">
        <is>
          <t>Business</t>
        </is>
      </c>
      <c r="E1132" s="4" t="inlineStr">
        <is>
          <t>Business Operations</t>
        </is>
      </c>
      <c r="F1132" s="4" t="inlineStr">
        <is>
          <t>Vendor</t>
        </is>
      </c>
      <c r="G1132" s="4" t="inlineStr">
        <is>
          <t>Expense</t>
        </is>
      </c>
      <c r="H1132" s="12" t="n">
        <v>46157</v>
      </c>
      <c r="I1132" s="13" t="n">
        <v>0.8580208333333333</v>
      </c>
      <c r="J1132" s="14" t="n">
        <v>46157.85802083334</v>
      </c>
      <c r="K1132" s="15" t="n">
        <v>163817.51</v>
      </c>
      <c r="L1132" s="4" t="inlineStr">
        <is>
          <t>INR</t>
        </is>
      </c>
      <c r="M1132" s="15" t="n">
        <v>-163817.51</v>
      </c>
      <c r="N1132" s="4" t="inlineStr">
        <is>
          <t>IOS Owner</t>
        </is>
      </c>
      <c r="O1132" s="4" t="n"/>
      <c r="P1132" s="4" t="n"/>
      <c r="Q1132" s="4" t="inlineStr">
        <is>
          <t>MAESTRO-IOS-BUSINESS-BUSINESS_OPERATIONS-1131 | Vendor | 163817.51</t>
        </is>
      </c>
      <c r="R1132" s="4" t="inlineStr">
        <is>
          <t>iPhone</t>
        </is>
      </c>
      <c r="S1132" s="4" t="inlineStr">
        <is>
          <t>B23</t>
        </is>
      </c>
      <c r="T1132" s="4" t="inlineStr">
        <is>
          <t>RAMP_501_1500</t>
        </is>
      </c>
      <c r="U1132" s="4" t="inlineStr">
        <is>
          <t>CREATED</t>
        </is>
      </c>
      <c r="V1132" s="4" t="inlineStr">
        <is>
          <t>idem-20260902-ios-1131</t>
        </is>
      </c>
    </row>
    <row r="1133" ht="30" customHeight="1">
      <c r="A1133" s="4" t="n">
        <v>1132</v>
      </c>
      <c r="B1133" s="4" t="inlineStr">
        <is>
          <t>MTR-IOS-1132</t>
        </is>
      </c>
      <c r="C1133" s="4" t="inlineStr">
        <is>
          <t>Personal</t>
        </is>
      </c>
      <c r="D1133" s="4" t="inlineStr">
        <is>
          <t>Personal</t>
        </is>
      </c>
      <c r="E1133" s="4" t="inlineStr">
        <is>
          <t>Future Building</t>
        </is>
      </c>
      <c r="F1133" s="4" t="inlineStr">
        <is>
          <t>Investments</t>
        </is>
      </c>
      <c r="G1133" s="4" t="inlineStr">
        <is>
          <t>Investment</t>
        </is>
      </c>
      <c r="H1133" s="12" t="n">
        <v>46195</v>
      </c>
      <c r="I1133" s="13" t="n">
        <v>0.2245833333333333</v>
      </c>
      <c r="J1133" s="14" t="n">
        <v>46195.22458333334</v>
      </c>
      <c r="K1133" s="15" t="n">
        <v>8556.219999999999</v>
      </c>
      <c r="L1133" s="4" t="inlineStr">
        <is>
          <t>INR</t>
        </is>
      </c>
      <c r="M1133" s="15" t="n">
        <v>0</v>
      </c>
      <c r="N1133" s="4" t="inlineStr">
        <is>
          <t>IOS Owner</t>
        </is>
      </c>
      <c r="O1133" s="4" t="n"/>
      <c r="P1133" s="4" t="n"/>
      <c r="Q1133" s="4" t="inlineStr">
        <is>
          <t>MAESTRO-IOS-PERSONAL-FUTURE_BUILDING-1132 | Investments | 8556.22</t>
        </is>
      </c>
      <c r="R1133" s="4" t="inlineStr">
        <is>
          <t>iPhone</t>
        </is>
      </c>
      <c r="S1133" s="4" t="inlineStr">
        <is>
          <t>B23</t>
        </is>
      </c>
      <c r="T1133" s="4" t="inlineStr">
        <is>
          <t>RAMP_501_1500</t>
        </is>
      </c>
      <c r="U1133" s="4" t="inlineStr">
        <is>
          <t>CREATED</t>
        </is>
      </c>
      <c r="V1133" s="4" t="inlineStr">
        <is>
          <t>idem-20260902-ios-1132</t>
        </is>
      </c>
    </row>
    <row r="1134" ht="30" customHeight="1">
      <c r="A1134" s="4" t="n">
        <v>1133</v>
      </c>
      <c r="B1134" s="4" t="inlineStr">
        <is>
          <t>MTR-IOS-1133</t>
        </is>
      </c>
      <c r="C1134" s="4" t="inlineStr">
        <is>
          <t>Group</t>
        </is>
      </c>
      <c r="D1134" s="4" t="inlineStr">
        <is>
          <t>Shared Purchase</t>
        </is>
      </c>
      <c r="E1134" s="4" t="inlineStr">
        <is>
          <t>Purchase</t>
        </is>
      </c>
      <c r="F1134" s="4" t="inlineStr">
        <is>
          <t>Shipping</t>
        </is>
      </c>
      <c r="G1134" s="4" t="inlineStr">
        <is>
          <t>Expense</t>
        </is>
      </c>
      <c r="H1134" s="12" t="n">
        <v>46092</v>
      </c>
      <c r="I1134" s="13" t="n">
        <v>0.5376736111111111</v>
      </c>
      <c r="J1134" s="14" t="n">
        <v>46092.53767361111</v>
      </c>
      <c r="K1134" s="15" t="n">
        <v>20634.49</v>
      </c>
      <c r="L1134" s="4" t="inlineStr">
        <is>
          <t>INR</t>
        </is>
      </c>
      <c r="M1134" s="15" t="n">
        <v>-20634.49</v>
      </c>
      <c r="N1134" s="4" t="inlineStr">
        <is>
          <t>IOS Meera</t>
        </is>
      </c>
      <c r="O1134" s="4" t="n">
        <v>3</v>
      </c>
      <c r="P1134" s="4" t="inlineStr">
        <is>
          <t>PERCENTAGE</t>
        </is>
      </c>
      <c r="Q1134" s="4" t="inlineStr">
        <is>
          <t>MAESTRO-IOS-GROUP-PURCHASE-1133 | Shipping | 20634.49</t>
        </is>
      </c>
      <c r="R1134" s="4" t="inlineStr">
        <is>
          <t>iPhone</t>
        </is>
      </c>
      <c r="S1134" s="4" t="inlineStr">
        <is>
          <t>B23</t>
        </is>
      </c>
      <c r="T1134" s="4" t="inlineStr">
        <is>
          <t>RAMP_501_1500</t>
        </is>
      </c>
      <c r="U1134" s="4" t="inlineStr">
        <is>
          <t>CREATED</t>
        </is>
      </c>
      <c r="V1134" s="4" t="inlineStr">
        <is>
          <t>idem-20260902-ios-1133</t>
        </is>
      </c>
    </row>
    <row r="1135" ht="30" customHeight="1">
      <c r="A1135" s="4" t="n">
        <v>1134</v>
      </c>
      <c r="B1135" s="4" t="inlineStr">
        <is>
          <t>MTR-IOS-1134</t>
        </is>
      </c>
      <c r="C1135" s="4" t="inlineStr">
        <is>
          <t>Business</t>
        </is>
      </c>
      <c r="D1135" s="4" t="inlineStr">
        <is>
          <t>Business</t>
        </is>
      </c>
      <c r="E1135" s="4" t="inlineStr">
        <is>
          <t>Business Operations</t>
        </is>
      </c>
      <c r="F1135" s="4" t="inlineStr">
        <is>
          <t>Tax</t>
        </is>
      </c>
      <c r="G1135" s="4" t="inlineStr">
        <is>
          <t>Expense</t>
        </is>
      </c>
      <c r="H1135" s="12" t="n">
        <v>46209</v>
      </c>
      <c r="I1135" s="13" t="n">
        <v>0.3341087962962963</v>
      </c>
      <c r="J1135" s="14" t="n">
        <v>46209.3341087963</v>
      </c>
      <c r="K1135" s="15" t="n">
        <v>74333.59</v>
      </c>
      <c r="L1135" s="4" t="inlineStr">
        <is>
          <t>INR</t>
        </is>
      </c>
      <c r="M1135" s="15" t="n">
        <v>-74333.59</v>
      </c>
      <c r="N1135" s="4" t="inlineStr">
        <is>
          <t>IOS Owner</t>
        </is>
      </c>
      <c r="O1135" s="4" t="n"/>
      <c r="P1135" s="4" t="n"/>
      <c r="Q1135" s="4" t="inlineStr">
        <is>
          <t>MAESTRO-IOS-BUSINESS-BUSINESS_OPERATIONS-1134 | Tax | 74333.59</t>
        </is>
      </c>
      <c r="R1135" s="4" t="inlineStr">
        <is>
          <t>iPhone</t>
        </is>
      </c>
      <c r="S1135" s="4" t="inlineStr">
        <is>
          <t>B23</t>
        </is>
      </c>
      <c r="T1135" s="4" t="inlineStr">
        <is>
          <t>RAMP_501_1500</t>
        </is>
      </c>
      <c r="U1135" s="4" t="inlineStr">
        <is>
          <t>CREATED</t>
        </is>
      </c>
      <c r="V1135" s="4" t="inlineStr">
        <is>
          <t>idem-20260902-ios-1134</t>
        </is>
      </c>
    </row>
    <row r="1136" ht="30" customHeight="1">
      <c r="A1136" s="4" t="n">
        <v>1135</v>
      </c>
      <c r="B1136" s="4" t="inlineStr">
        <is>
          <t>MTR-IOS-1135</t>
        </is>
      </c>
      <c r="C1136" s="4" t="inlineStr">
        <is>
          <t>Personal</t>
        </is>
      </c>
      <c r="D1136" s="4" t="inlineStr">
        <is>
          <t>Personal</t>
        </is>
      </c>
      <c r="E1136" s="4" t="inlineStr">
        <is>
          <t>Future Building</t>
        </is>
      </c>
      <c r="F1136" s="4" t="inlineStr">
        <is>
          <t>Education</t>
        </is>
      </c>
      <c r="G1136" s="4" t="inlineStr">
        <is>
          <t>Expense</t>
        </is>
      </c>
      <c r="H1136" s="12" t="n">
        <v>46135</v>
      </c>
      <c r="I1136" s="13" t="n">
        <v>0.2485532407407407</v>
      </c>
      <c r="J1136" s="14" t="n">
        <v>46135.24855324074</v>
      </c>
      <c r="K1136" s="15" t="n">
        <v>13086.86</v>
      </c>
      <c r="L1136" s="4" t="inlineStr">
        <is>
          <t>INR</t>
        </is>
      </c>
      <c r="M1136" s="15" t="n">
        <v>-13086.86</v>
      </c>
      <c r="N1136" s="4" t="inlineStr">
        <is>
          <t>IOS Owner</t>
        </is>
      </c>
      <c r="O1136" s="4" t="n"/>
      <c r="P1136" s="4" t="n"/>
      <c r="Q1136" s="4" t="inlineStr">
        <is>
          <t>MAESTRO-IOS-PERSONAL-FUTURE_BUILDING-1135 | Education | 13086.86</t>
        </is>
      </c>
      <c r="R1136" s="4" t="inlineStr">
        <is>
          <t>iPhone</t>
        </is>
      </c>
      <c r="S1136" s="4" t="inlineStr">
        <is>
          <t>B23</t>
        </is>
      </c>
      <c r="T1136" s="4" t="inlineStr">
        <is>
          <t>RAMP_501_1500</t>
        </is>
      </c>
      <c r="U1136" s="4" t="inlineStr">
        <is>
          <t>CREATED</t>
        </is>
      </c>
      <c r="V1136" s="4" t="inlineStr">
        <is>
          <t>idem-20260902-ios-1135</t>
        </is>
      </c>
    </row>
    <row r="1137" ht="30" customHeight="1">
      <c r="A1137" s="4" t="n">
        <v>1136</v>
      </c>
      <c r="B1137" s="4" t="inlineStr">
        <is>
          <t>MTR-IOS-1136</t>
        </is>
      </c>
      <c r="C1137" s="4" t="inlineStr">
        <is>
          <t>Group</t>
        </is>
      </c>
      <c r="D1137" s="4" t="inlineStr">
        <is>
          <t>Shared Purchase</t>
        </is>
      </c>
      <c r="E1137" s="4" t="inlineStr">
        <is>
          <t>Purchase</t>
        </is>
      </c>
      <c r="F1137" s="4" t="inlineStr">
        <is>
          <t>Tax</t>
        </is>
      </c>
      <c r="G1137" s="4" t="inlineStr">
        <is>
          <t>Expense</t>
        </is>
      </c>
      <c r="H1137" s="12" t="n">
        <v>45925</v>
      </c>
      <c r="I1137" s="13" t="n">
        <v>0.5919560185185185</v>
      </c>
      <c r="J1137" s="14" t="n">
        <v>45925.59195601852</v>
      </c>
      <c r="K1137" s="15" t="n">
        <v>12854.28</v>
      </c>
      <c r="L1137" s="4" t="inlineStr">
        <is>
          <t>INR</t>
        </is>
      </c>
      <c r="M1137" s="15" t="n">
        <v>-12854.28</v>
      </c>
      <c r="N1137" s="4" t="inlineStr">
        <is>
          <t>IOS Owner</t>
        </is>
      </c>
      <c r="O1137" s="4" t="n">
        <v>3</v>
      </c>
      <c r="P1137" s="4" t="inlineStr">
        <is>
          <t>EXACT</t>
        </is>
      </c>
      <c r="Q1137" s="4" t="inlineStr">
        <is>
          <t>MAESTRO-IOS-GROUP-PURCHASE-1136 | Tax | 12854.28</t>
        </is>
      </c>
      <c r="R1137" s="4" t="inlineStr">
        <is>
          <t>iPhone</t>
        </is>
      </c>
      <c r="S1137" s="4" t="inlineStr">
        <is>
          <t>B23</t>
        </is>
      </c>
      <c r="T1137" s="4" t="inlineStr">
        <is>
          <t>RAMP_501_1500</t>
        </is>
      </c>
      <c r="U1137" s="4" t="inlineStr">
        <is>
          <t>CREATED</t>
        </is>
      </c>
      <c r="V1137" s="4" t="inlineStr">
        <is>
          <t>idem-20260902-ios-1136</t>
        </is>
      </c>
    </row>
    <row r="1138" ht="30" customHeight="1">
      <c r="A1138" s="4" t="n">
        <v>1137</v>
      </c>
      <c r="B1138" s="4" t="inlineStr">
        <is>
          <t>MTR-IOS-1137</t>
        </is>
      </c>
      <c r="C1138" s="4" t="inlineStr">
        <is>
          <t>Business</t>
        </is>
      </c>
      <c r="D1138" s="4" t="inlineStr">
        <is>
          <t>Business</t>
        </is>
      </c>
      <c r="E1138" s="4" t="inlineStr">
        <is>
          <t>Team Operations</t>
        </is>
      </c>
      <c r="F1138" s="4" t="inlineStr">
        <is>
          <t>Payroll</t>
        </is>
      </c>
      <c r="G1138" s="4" t="inlineStr">
        <is>
          <t>Expense</t>
        </is>
      </c>
      <c r="H1138" s="12" t="n">
        <v>45978</v>
      </c>
      <c r="I1138" s="13" t="n">
        <v>0.7489583333333333</v>
      </c>
      <c r="J1138" s="14" t="n">
        <v>45978.74895833333</v>
      </c>
      <c r="K1138" s="15" t="n">
        <v>74258.56</v>
      </c>
      <c r="L1138" s="4" t="inlineStr">
        <is>
          <t>INR</t>
        </is>
      </c>
      <c r="M1138" s="15" t="n">
        <v>-74258.56</v>
      </c>
      <c r="N1138" s="4" t="inlineStr">
        <is>
          <t>IOS Owner</t>
        </is>
      </c>
      <c r="O1138" s="4" t="n"/>
      <c r="P1138" s="4" t="n"/>
      <c r="Q1138" s="4" t="inlineStr">
        <is>
          <t>MAESTRO-IOS-BUSINESS-TEAM_OPERATIONS-1137 | Payroll | 74258.56</t>
        </is>
      </c>
      <c r="R1138" s="4" t="inlineStr">
        <is>
          <t>iPhone</t>
        </is>
      </c>
      <c r="S1138" s="4" t="inlineStr">
        <is>
          <t>B23</t>
        </is>
      </c>
      <c r="T1138" s="4" t="inlineStr">
        <is>
          <t>RAMP_501_1500</t>
        </is>
      </c>
      <c r="U1138" s="4" t="inlineStr">
        <is>
          <t>CREATED</t>
        </is>
      </c>
      <c r="V1138" s="4" t="inlineStr">
        <is>
          <t>idem-20260902-ios-1137</t>
        </is>
      </c>
    </row>
    <row r="1139" ht="30" customHeight="1">
      <c r="A1139" s="4" t="n">
        <v>1138</v>
      </c>
      <c r="B1139" s="4" t="inlineStr">
        <is>
          <t>MTR-IOS-1138</t>
        </is>
      </c>
      <c r="C1139" s="4" t="inlineStr">
        <is>
          <t>Personal</t>
        </is>
      </c>
      <c r="D1139" s="4" t="inlineStr">
        <is>
          <t>Personal</t>
        </is>
      </c>
      <c r="E1139" s="4" t="inlineStr">
        <is>
          <t>Future Building</t>
        </is>
      </c>
      <c r="F1139" s="4" t="inlineStr">
        <is>
          <t>Goal Contribution</t>
        </is>
      </c>
      <c r="G1139" s="4" t="inlineStr">
        <is>
          <t>Transfer</t>
        </is>
      </c>
      <c r="H1139" s="12" t="n">
        <v>46146</v>
      </c>
      <c r="I1139" s="13" t="n">
        <v>0.6191550925925926</v>
      </c>
      <c r="J1139" s="14" t="n">
        <v>46146.61915509259</v>
      </c>
      <c r="K1139" s="15" t="n">
        <v>8939.469999999999</v>
      </c>
      <c r="L1139" s="4" t="inlineStr">
        <is>
          <t>INR</t>
        </is>
      </c>
      <c r="M1139" s="15" t="n">
        <v>0</v>
      </c>
      <c r="N1139" s="4" t="inlineStr">
        <is>
          <t>IOS Owner</t>
        </is>
      </c>
      <c r="O1139" s="4" t="n"/>
      <c r="P1139" s="4" t="n"/>
      <c r="Q1139" s="4" t="inlineStr">
        <is>
          <t>MAESTRO-IOS-PERSONAL-FUTURE_BUILDING-1138 | Goal Contribution | 8939.47</t>
        </is>
      </c>
      <c r="R1139" s="4" t="inlineStr">
        <is>
          <t>iPhone</t>
        </is>
      </c>
      <c r="S1139" s="4" t="inlineStr">
        <is>
          <t>B23</t>
        </is>
      </c>
      <c r="T1139" s="4" t="inlineStr">
        <is>
          <t>RAMP_501_1500</t>
        </is>
      </c>
      <c r="U1139" s="4" t="inlineStr">
        <is>
          <t>CREATED</t>
        </is>
      </c>
      <c r="V1139" s="4" t="inlineStr">
        <is>
          <t>idem-20260902-ios-1138</t>
        </is>
      </c>
    </row>
    <row r="1140" ht="30" customHeight="1">
      <c r="A1140" s="4" t="n">
        <v>1139</v>
      </c>
      <c r="B1140" s="4" t="inlineStr">
        <is>
          <t>MTR-IOS-1139</t>
        </is>
      </c>
      <c r="C1140" s="4" t="inlineStr">
        <is>
          <t>Group</t>
        </is>
      </c>
      <c r="D1140" s="4" t="inlineStr">
        <is>
          <t>Shared Purchase</t>
        </is>
      </c>
      <c r="E1140" s="4" t="inlineStr">
        <is>
          <t>Purchase</t>
        </is>
      </c>
      <c r="F1140" s="4" t="inlineStr">
        <is>
          <t>Other</t>
        </is>
      </c>
      <c r="G1140" s="4" t="inlineStr">
        <is>
          <t>Expense</t>
        </is>
      </c>
      <c r="H1140" s="12" t="n">
        <v>45994</v>
      </c>
      <c r="I1140" s="13" t="n">
        <v>0.3756597222222222</v>
      </c>
      <c r="J1140" s="14" t="n">
        <v>45994.37565972222</v>
      </c>
      <c r="K1140" s="15" t="n">
        <v>26037.55</v>
      </c>
      <c r="L1140" s="4" t="inlineStr">
        <is>
          <t>INR</t>
        </is>
      </c>
      <c r="M1140" s="15" t="n">
        <v>-26037.55</v>
      </c>
      <c r="N1140" s="4" t="inlineStr">
        <is>
          <t>IOS Aarav</t>
        </is>
      </c>
      <c r="O1140" s="4" t="n">
        <v>3</v>
      </c>
      <c r="P1140" s="4" t="inlineStr">
        <is>
          <t>SHARES</t>
        </is>
      </c>
      <c r="Q1140" s="4" t="inlineStr">
        <is>
          <t>MAESTRO-IOS-GROUP-PURCHASE-1139 | Other | 26037.55</t>
        </is>
      </c>
      <c r="R1140" s="4" t="inlineStr">
        <is>
          <t>iPhone</t>
        </is>
      </c>
      <c r="S1140" s="4" t="inlineStr">
        <is>
          <t>B23</t>
        </is>
      </c>
      <c r="T1140" s="4" t="inlineStr">
        <is>
          <t>RAMP_501_1500</t>
        </is>
      </c>
      <c r="U1140" s="4" t="inlineStr">
        <is>
          <t>CREATED</t>
        </is>
      </c>
      <c r="V1140" s="4" t="inlineStr">
        <is>
          <t>idem-20260902-ios-1139</t>
        </is>
      </c>
    </row>
    <row r="1141" ht="30" customHeight="1">
      <c r="A1141" s="4" t="n">
        <v>1140</v>
      </c>
      <c r="B1141" s="4" t="inlineStr">
        <is>
          <t>MTR-IOS-1140</t>
        </is>
      </c>
      <c r="C1141" s="4" t="inlineStr">
        <is>
          <t>Business</t>
        </is>
      </c>
      <c r="D1141" s="4" t="inlineStr">
        <is>
          <t>Business</t>
        </is>
      </c>
      <c r="E1141" s="4" t="inlineStr">
        <is>
          <t>Team Operations</t>
        </is>
      </c>
      <c r="F1141" s="4" t="inlineStr">
        <is>
          <t>Contractor</t>
        </is>
      </c>
      <c r="G1141" s="4" t="inlineStr">
        <is>
          <t>Expense</t>
        </is>
      </c>
      <c r="H1141" s="12" t="n">
        <v>46005</v>
      </c>
      <c r="I1141" s="13" t="n">
        <v>0.1798148148148148</v>
      </c>
      <c r="J1141" s="14" t="n">
        <v>46005.17981481482</v>
      </c>
      <c r="K1141" s="15" t="n">
        <v>38340.19</v>
      </c>
      <c r="L1141" s="4" t="inlineStr">
        <is>
          <t>INR</t>
        </is>
      </c>
      <c r="M1141" s="15" t="n">
        <v>-38340.19</v>
      </c>
      <c r="N1141" s="4" t="inlineStr">
        <is>
          <t>IOS Owner</t>
        </is>
      </c>
      <c r="O1141" s="4" t="n"/>
      <c r="P1141" s="4" t="n"/>
      <c r="Q1141" s="4" t="inlineStr">
        <is>
          <t>MAESTRO-IOS-BUSINESS-TEAM_OPERATIONS-1140 | Contractor | 38340.19</t>
        </is>
      </c>
      <c r="R1141" s="4" t="inlineStr">
        <is>
          <t>iPhone</t>
        </is>
      </c>
      <c r="S1141" s="4" t="inlineStr">
        <is>
          <t>B23</t>
        </is>
      </c>
      <c r="T1141" s="4" t="inlineStr">
        <is>
          <t>RAMP_501_1500</t>
        </is>
      </c>
      <c r="U1141" s="4" t="inlineStr">
        <is>
          <t>CREATED</t>
        </is>
      </c>
      <c r="V1141" s="4" t="inlineStr">
        <is>
          <t>idem-20260902-ios-1140</t>
        </is>
      </c>
    </row>
    <row r="1142" ht="30" customHeight="1">
      <c r="A1142" s="4" t="n">
        <v>1141</v>
      </c>
      <c r="B1142" s="4" t="inlineStr">
        <is>
          <t>MTR-IOS-1141</t>
        </is>
      </c>
      <c r="C1142" s="4" t="inlineStr">
        <is>
          <t>Personal</t>
        </is>
      </c>
      <c r="D1142" s="4" t="inlineStr">
        <is>
          <t>Personal</t>
        </is>
      </c>
      <c r="E1142" s="4" t="inlineStr">
        <is>
          <t>Lifestyle</t>
        </is>
      </c>
      <c r="F1142" s="4" t="inlineStr">
        <is>
          <t>Dining</t>
        </is>
      </c>
      <c r="G1142" s="4" t="inlineStr">
        <is>
          <t>Expense</t>
        </is>
      </c>
      <c r="H1142" s="12" t="n">
        <v>46000</v>
      </c>
      <c r="I1142" s="13" t="n">
        <v>0.5782175925925926</v>
      </c>
      <c r="J1142" s="14" t="n">
        <v>46000.57821759259</v>
      </c>
      <c r="K1142" s="15" t="n">
        <v>6507.49</v>
      </c>
      <c r="L1142" s="4" t="inlineStr">
        <is>
          <t>INR</t>
        </is>
      </c>
      <c r="M1142" s="15" t="n">
        <v>-6507.49</v>
      </c>
      <c r="N1142" s="4" t="inlineStr">
        <is>
          <t>IOS Owner</t>
        </is>
      </c>
      <c r="O1142" s="4" t="n"/>
      <c r="P1142" s="4" t="n"/>
      <c r="Q1142" s="4" t="inlineStr">
        <is>
          <t>MAESTRO-IOS-PERSONAL-LIFESTYLE-1141 | Dining | 6507.49</t>
        </is>
      </c>
      <c r="R1142" s="4" t="inlineStr">
        <is>
          <t>iPhone</t>
        </is>
      </c>
      <c r="S1142" s="4" t="inlineStr">
        <is>
          <t>B23</t>
        </is>
      </c>
      <c r="T1142" s="4" t="inlineStr">
        <is>
          <t>RAMP_501_1500</t>
        </is>
      </c>
      <c r="U1142" s="4" t="inlineStr">
        <is>
          <t>CREATED</t>
        </is>
      </c>
      <c r="V1142" s="4" t="inlineStr">
        <is>
          <t>idem-20260902-ios-1141</t>
        </is>
      </c>
    </row>
    <row r="1143" ht="30" customHeight="1">
      <c r="A1143" s="4" t="n">
        <v>1142</v>
      </c>
      <c r="B1143" s="4" t="inlineStr">
        <is>
          <t>MTR-IOS-1142</t>
        </is>
      </c>
      <c r="C1143" s="4" t="inlineStr">
        <is>
          <t>Group</t>
        </is>
      </c>
      <c r="D1143" s="4" t="inlineStr">
        <is>
          <t>Shared Purchase</t>
        </is>
      </c>
      <c r="E1143" s="4" t="inlineStr">
        <is>
          <t>Assets</t>
        </is>
      </c>
      <c r="F1143" s="4" t="inlineStr">
        <is>
          <t>Purchase</t>
        </is>
      </c>
      <c r="G1143" s="4" t="inlineStr">
        <is>
          <t>Expense</t>
        </is>
      </c>
      <c r="H1143" s="12" t="n">
        <v>45918</v>
      </c>
      <c r="I1143" s="13" t="n">
        <v>0.5075</v>
      </c>
      <c r="J1143" s="14" t="n">
        <v>45918.5075</v>
      </c>
      <c r="K1143" s="15" t="n">
        <v>18022.19</v>
      </c>
      <c r="L1143" s="4" t="inlineStr">
        <is>
          <t>INR</t>
        </is>
      </c>
      <c r="M1143" s="15" t="n">
        <v>-18022.19</v>
      </c>
      <c r="N1143" s="4" t="inlineStr">
        <is>
          <t>IOS Meera</t>
        </is>
      </c>
      <c r="O1143" s="4" t="n">
        <v>3</v>
      </c>
      <c r="P1143" s="4" t="inlineStr">
        <is>
          <t>EQUAL</t>
        </is>
      </c>
      <c r="Q1143" s="4" t="inlineStr">
        <is>
          <t>MAESTRO-IOS-GROUP-ASSETS-1142 | Purchase | 18022.19</t>
        </is>
      </c>
      <c r="R1143" s="4" t="inlineStr">
        <is>
          <t>iPhone</t>
        </is>
      </c>
      <c r="S1143" s="4" t="inlineStr">
        <is>
          <t>B23</t>
        </is>
      </c>
      <c r="T1143" s="4" t="inlineStr">
        <is>
          <t>RAMP_501_1500</t>
        </is>
      </c>
      <c r="U1143" s="4" t="inlineStr">
        <is>
          <t>CREATED</t>
        </is>
      </c>
      <c r="V1143" s="4" t="inlineStr">
        <is>
          <t>idem-20260902-ios-1142</t>
        </is>
      </c>
    </row>
    <row r="1144" ht="30" customHeight="1">
      <c r="A1144" s="4" t="n">
        <v>1143</v>
      </c>
      <c r="B1144" s="4" t="inlineStr">
        <is>
          <t>MTR-IOS-1143</t>
        </is>
      </c>
      <c r="C1144" s="4" t="inlineStr">
        <is>
          <t>Business</t>
        </is>
      </c>
      <c r="D1144" s="4" t="inlineStr">
        <is>
          <t>Business</t>
        </is>
      </c>
      <c r="E1144" s="4" t="inlineStr">
        <is>
          <t>Team Operations</t>
        </is>
      </c>
      <c r="F1144" s="4" t="inlineStr">
        <is>
          <t>Hiring</t>
        </is>
      </c>
      <c r="G1144" s="4" t="inlineStr">
        <is>
          <t>Expense</t>
        </is>
      </c>
      <c r="H1144" s="12" t="n">
        <v>45982</v>
      </c>
      <c r="I1144" s="13" t="n">
        <v>0.04409722222222223</v>
      </c>
      <c r="J1144" s="14" t="n">
        <v>45982.04409722222</v>
      </c>
      <c r="K1144" s="15" t="n">
        <v>73682.63</v>
      </c>
      <c r="L1144" s="4" t="inlineStr">
        <is>
          <t>INR</t>
        </is>
      </c>
      <c r="M1144" s="15" t="n">
        <v>-73682.63</v>
      </c>
      <c r="N1144" s="4" t="inlineStr">
        <is>
          <t>IOS Owner</t>
        </is>
      </c>
      <c r="O1144" s="4" t="n"/>
      <c r="P1144" s="4" t="n"/>
      <c r="Q1144" s="4" t="inlineStr">
        <is>
          <t>MAESTRO-IOS-BUSINESS-TEAM_OPERATIONS-1143 | Hiring | 73682.63</t>
        </is>
      </c>
      <c r="R1144" s="4" t="inlineStr">
        <is>
          <t>iPhone</t>
        </is>
      </c>
      <c r="S1144" s="4" t="inlineStr">
        <is>
          <t>B23</t>
        </is>
      </c>
      <c r="T1144" s="4" t="inlineStr">
        <is>
          <t>RAMP_501_1500</t>
        </is>
      </c>
      <c r="U1144" s="4" t="inlineStr">
        <is>
          <t>CREATED</t>
        </is>
      </c>
      <c r="V1144" s="4" t="inlineStr">
        <is>
          <t>idem-20260902-ios-1143</t>
        </is>
      </c>
    </row>
    <row r="1145" ht="30" customHeight="1">
      <c r="A1145" s="4" t="n">
        <v>1144</v>
      </c>
      <c r="B1145" s="4" t="inlineStr">
        <is>
          <t>MTR-IOS-1144</t>
        </is>
      </c>
      <c r="C1145" s="4" t="inlineStr">
        <is>
          <t>Personal</t>
        </is>
      </c>
      <c r="D1145" s="4" t="inlineStr">
        <is>
          <t>Personal</t>
        </is>
      </c>
      <c r="E1145" s="4" t="inlineStr">
        <is>
          <t>Lifestyle</t>
        </is>
      </c>
      <c r="F1145" s="4" t="inlineStr">
        <is>
          <t>Shopping</t>
        </is>
      </c>
      <c r="G1145" s="4" t="inlineStr">
        <is>
          <t>Expense</t>
        </is>
      </c>
      <c r="H1145" s="12" t="n">
        <v>45988</v>
      </c>
      <c r="I1145" s="13" t="n">
        <v>0.0009722222222222222</v>
      </c>
      <c r="J1145" s="14" t="n">
        <v>45988.00097222222</v>
      </c>
      <c r="K1145" s="15" t="n">
        <v>5484.04</v>
      </c>
      <c r="L1145" s="4" t="inlineStr">
        <is>
          <t>INR</t>
        </is>
      </c>
      <c r="M1145" s="15" t="n">
        <v>-5484.04</v>
      </c>
      <c r="N1145" s="4" t="inlineStr">
        <is>
          <t>IOS Owner</t>
        </is>
      </c>
      <c r="O1145" s="4" t="n"/>
      <c r="P1145" s="4" t="n"/>
      <c r="Q1145" s="4" t="inlineStr">
        <is>
          <t>MAESTRO-IOS-PERSONAL-LIFESTYLE-1144 | Shopping | 5484.04</t>
        </is>
      </c>
      <c r="R1145" s="4" t="inlineStr">
        <is>
          <t>iPhone</t>
        </is>
      </c>
      <c r="S1145" s="4" t="inlineStr">
        <is>
          <t>B23</t>
        </is>
      </c>
      <c r="T1145" s="4" t="inlineStr">
        <is>
          <t>RAMP_501_1500</t>
        </is>
      </c>
      <c r="U1145" s="4" t="inlineStr">
        <is>
          <t>CREATED</t>
        </is>
      </c>
      <c r="V1145" s="4" t="inlineStr">
        <is>
          <t>idem-20260902-ios-1144</t>
        </is>
      </c>
    </row>
    <row r="1146" ht="30" customHeight="1">
      <c r="A1146" s="4" t="n">
        <v>1145</v>
      </c>
      <c r="B1146" s="4" t="inlineStr">
        <is>
          <t>MTR-IOS-1145</t>
        </is>
      </c>
      <c r="C1146" s="4" t="inlineStr">
        <is>
          <t>Group</t>
        </is>
      </c>
      <c r="D1146" s="4" t="inlineStr">
        <is>
          <t>Shared Purchase</t>
        </is>
      </c>
      <c r="E1146" s="4" t="inlineStr">
        <is>
          <t>Assets</t>
        </is>
      </c>
      <c r="F1146" s="4" t="inlineStr">
        <is>
          <t>Maintenance</t>
        </is>
      </c>
      <c r="G1146" s="4" t="inlineStr">
        <is>
          <t>Expense</t>
        </is>
      </c>
      <c r="H1146" s="12" t="n">
        <v>46221</v>
      </c>
      <c r="I1146" s="13" t="n">
        <v>0.6840625</v>
      </c>
      <c r="J1146" s="14" t="n">
        <v>46221.6840625</v>
      </c>
      <c r="K1146" s="15" t="n">
        <v>22480.75</v>
      </c>
      <c r="L1146" s="4" t="inlineStr">
        <is>
          <t>INR</t>
        </is>
      </c>
      <c r="M1146" s="15" t="n">
        <v>-22480.75</v>
      </c>
      <c r="N1146" s="4" t="inlineStr">
        <is>
          <t>IOS Owner</t>
        </is>
      </c>
      <c r="O1146" s="4" t="n">
        <v>3</v>
      </c>
      <c r="P1146" s="4" t="inlineStr">
        <is>
          <t>PERCENTAGE</t>
        </is>
      </c>
      <c r="Q1146" s="4" t="inlineStr">
        <is>
          <t>MAESTRO-IOS-GROUP-ASSETS-1145 | Maintenance | 22480.75</t>
        </is>
      </c>
      <c r="R1146" s="4" t="inlineStr">
        <is>
          <t>iPhone</t>
        </is>
      </c>
      <c r="S1146" s="4" t="inlineStr">
        <is>
          <t>B23</t>
        </is>
      </c>
      <c r="T1146" s="4" t="inlineStr">
        <is>
          <t>RAMP_501_1500</t>
        </is>
      </c>
      <c r="U1146" s="4" t="inlineStr">
        <is>
          <t>CREATED</t>
        </is>
      </c>
      <c r="V1146" s="4" t="inlineStr">
        <is>
          <t>idem-20260902-ios-1145</t>
        </is>
      </c>
    </row>
    <row r="1147" ht="30" customHeight="1">
      <c r="A1147" s="4" t="n">
        <v>1146</v>
      </c>
      <c r="B1147" s="4" t="inlineStr">
        <is>
          <t>MTR-IOS-1146</t>
        </is>
      </c>
      <c r="C1147" s="4" t="inlineStr">
        <is>
          <t>Business</t>
        </is>
      </c>
      <c r="D1147" s="4" t="inlineStr">
        <is>
          <t>Business</t>
        </is>
      </c>
      <c r="E1147" s="4" t="inlineStr">
        <is>
          <t>Team Operations</t>
        </is>
      </c>
      <c r="F1147" s="4" t="inlineStr">
        <is>
          <t>Team Meal</t>
        </is>
      </c>
      <c r="G1147" s="4" t="inlineStr">
        <is>
          <t>Expense</t>
        </is>
      </c>
      <c r="H1147" s="12" t="n">
        <v>45941</v>
      </c>
      <c r="I1147" s="13" t="n">
        <v>0.4907638888888889</v>
      </c>
      <c r="J1147" s="14" t="n">
        <v>45941.49076388889</v>
      </c>
      <c r="K1147" s="15" t="n">
        <v>137773.36</v>
      </c>
      <c r="L1147" s="4" t="inlineStr">
        <is>
          <t>INR</t>
        </is>
      </c>
      <c r="M1147" s="15" t="n">
        <v>-137773.36</v>
      </c>
      <c r="N1147" s="4" t="inlineStr">
        <is>
          <t>IOS Owner</t>
        </is>
      </c>
      <c r="O1147" s="4" t="n"/>
      <c r="P1147" s="4" t="n"/>
      <c r="Q1147" s="4" t="inlineStr">
        <is>
          <t>MAESTRO-IOS-BUSINESS-TEAM_OPERATIONS-1146 | Team Meal | 137773.36</t>
        </is>
      </c>
      <c r="R1147" s="4" t="inlineStr">
        <is>
          <t>iPhone</t>
        </is>
      </c>
      <c r="S1147" s="4" t="inlineStr">
        <is>
          <t>B23</t>
        </is>
      </c>
      <c r="T1147" s="4" t="inlineStr">
        <is>
          <t>RAMP_501_1500</t>
        </is>
      </c>
      <c r="U1147" s="4" t="inlineStr">
        <is>
          <t>CREATED</t>
        </is>
      </c>
      <c r="V1147" s="4" t="inlineStr">
        <is>
          <t>idem-20260902-ios-1146</t>
        </is>
      </c>
    </row>
    <row r="1148" ht="30" customHeight="1">
      <c r="A1148" s="4" t="n">
        <v>1147</v>
      </c>
      <c r="B1148" s="4" t="inlineStr">
        <is>
          <t>MTR-IOS-1147</t>
        </is>
      </c>
      <c r="C1148" s="4" t="inlineStr">
        <is>
          <t>Personal</t>
        </is>
      </c>
      <c r="D1148" s="4" t="inlineStr">
        <is>
          <t>Personal</t>
        </is>
      </c>
      <c r="E1148" s="4" t="inlineStr">
        <is>
          <t>Lifestyle</t>
        </is>
      </c>
      <c r="F1148" s="4" t="inlineStr">
        <is>
          <t>Entertainment</t>
        </is>
      </c>
      <c r="G1148" s="4" t="inlineStr">
        <is>
          <t>Expense</t>
        </is>
      </c>
      <c r="H1148" s="12" t="n">
        <v>46146</v>
      </c>
      <c r="I1148" s="13" t="n">
        <v>0.1511805555555556</v>
      </c>
      <c r="J1148" s="14" t="n">
        <v>46146.15118055556</v>
      </c>
      <c r="K1148" s="15" t="n">
        <v>1</v>
      </c>
      <c r="L1148" s="4" t="inlineStr">
        <is>
          <t>INR</t>
        </is>
      </c>
      <c r="M1148" s="15" t="n">
        <v>-1</v>
      </c>
      <c r="N1148" s="4" t="inlineStr">
        <is>
          <t>IOS Owner</t>
        </is>
      </c>
      <c r="O1148" s="4" t="n"/>
      <c r="P1148" s="4" t="n"/>
      <c r="Q1148" s="4" t="inlineStr">
        <is>
          <t>MAESTRO-IOS-PERSONAL-LIFESTYLE-1147 | Entertainment | 1.00</t>
        </is>
      </c>
      <c r="R1148" s="4" t="inlineStr">
        <is>
          <t>iPhone</t>
        </is>
      </c>
      <c r="S1148" s="4" t="inlineStr">
        <is>
          <t>B23</t>
        </is>
      </c>
      <c r="T1148" s="4" t="inlineStr">
        <is>
          <t>RAMP_501_1500</t>
        </is>
      </c>
      <c r="U1148" s="4" t="inlineStr">
        <is>
          <t>CREATED</t>
        </is>
      </c>
      <c r="V1148" s="4" t="inlineStr">
        <is>
          <t>idem-20260902-ios-1147</t>
        </is>
      </c>
    </row>
    <row r="1149" ht="30" customHeight="1">
      <c r="A1149" s="4" t="n">
        <v>1148</v>
      </c>
      <c r="B1149" s="4" t="inlineStr">
        <is>
          <t>MTR-IOS-1148</t>
        </is>
      </c>
      <c r="C1149" s="4" t="inlineStr">
        <is>
          <t>Group</t>
        </is>
      </c>
      <c r="D1149" s="4" t="inlineStr">
        <is>
          <t>Shared Purchase</t>
        </is>
      </c>
      <c r="E1149" s="4" t="inlineStr">
        <is>
          <t>Assets</t>
        </is>
      </c>
      <c r="F1149" s="4" t="inlineStr">
        <is>
          <t>Repair</t>
        </is>
      </c>
      <c r="G1149" s="4" t="inlineStr">
        <is>
          <t>Expense</t>
        </is>
      </c>
      <c r="H1149" s="12" t="n">
        <v>46106</v>
      </c>
      <c r="I1149" s="13" t="n">
        <v>0.1280555555555556</v>
      </c>
      <c r="J1149" s="14" t="n">
        <v>46106.12805555556</v>
      </c>
      <c r="K1149" s="15" t="n">
        <v>22351.17</v>
      </c>
      <c r="L1149" s="4" t="inlineStr">
        <is>
          <t>INR</t>
        </is>
      </c>
      <c r="M1149" s="15" t="n">
        <v>-22351.17</v>
      </c>
      <c r="N1149" s="4" t="inlineStr">
        <is>
          <t>IOS Aarav</t>
        </is>
      </c>
      <c r="O1149" s="4" t="n">
        <v>3</v>
      </c>
      <c r="P1149" s="4" t="inlineStr">
        <is>
          <t>EXACT</t>
        </is>
      </c>
      <c r="Q1149" s="4" t="inlineStr">
        <is>
          <t>MAESTRO-IOS-GROUP-ASSETS-1148 | Repair | 22351.17</t>
        </is>
      </c>
      <c r="R1149" s="4" t="inlineStr">
        <is>
          <t>iPhone</t>
        </is>
      </c>
      <c r="S1149" s="4" t="inlineStr">
        <is>
          <t>B23</t>
        </is>
      </c>
      <c r="T1149" s="4" t="inlineStr">
        <is>
          <t>RAMP_501_1500</t>
        </is>
      </c>
      <c r="U1149" s="4" t="inlineStr">
        <is>
          <t>CREATED</t>
        </is>
      </c>
      <c r="V1149" s="4" t="inlineStr">
        <is>
          <t>idem-20260902-ios-1148</t>
        </is>
      </c>
    </row>
    <row r="1150" ht="30" customHeight="1">
      <c r="A1150" s="4" t="n">
        <v>1149</v>
      </c>
      <c r="B1150" s="4" t="inlineStr">
        <is>
          <t>MTR-IOS-1149</t>
        </is>
      </c>
      <c r="C1150" s="4" t="inlineStr">
        <is>
          <t>Business</t>
        </is>
      </c>
      <c r="D1150" s="4" t="inlineStr">
        <is>
          <t>Business</t>
        </is>
      </c>
      <c r="E1150" s="4" t="inlineStr">
        <is>
          <t>Team Operations</t>
        </is>
      </c>
      <c r="F1150" s="4" t="inlineStr">
        <is>
          <t>Travel</t>
        </is>
      </c>
      <c r="G1150" s="4" t="inlineStr">
        <is>
          <t>Expense</t>
        </is>
      </c>
      <c r="H1150" s="12" t="n">
        <v>46031</v>
      </c>
      <c r="I1150" s="13" t="n">
        <v>6.944444444444444e-05</v>
      </c>
      <c r="J1150" s="14" t="n">
        <v>46031.00006944445</v>
      </c>
      <c r="K1150" s="15" t="n">
        <v>65096.23</v>
      </c>
      <c r="L1150" s="4" t="inlineStr">
        <is>
          <t>INR</t>
        </is>
      </c>
      <c r="M1150" s="15" t="n">
        <v>-65096.23</v>
      </c>
      <c r="N1150" s="4" t="inlineStr">
        <is>
          <t>IOS Owner</t>
        </is>
      </c>
      <c r="O1150" s="4" t="n"/>
      <c r="P1150" s="4" t="n"/>
      <c r="Q1150" s="4" t="inlineStr">
        <is>
          <t>MAESTRO-IOS-BUSINESS-TEAM_OPERATIONS-1149 | Travel | 65096.23</t>
        </is>
      </c>
      <c r="R1150" s="4" t="inlineStr">
        <is>
          <t>iPhone</t>
        </is>
      </c>
      <c r="S1150" s="4" t="inlineStr">
        <is>
          <t>B23</t>
        </is>
      </c>
      <c r="T1150" s="4" t="inlineStr">
        <is>
          <t>RAMP_501_1500</t>
        </is>
      </c>
      <c r="U1150" s="4" t="inlineStr">
        <is>
          <t>CREATED</t>
        </is>
      </c>
      <c r="V1150" s="4" t="inlineStr">
        <is>
          <t>idem-20260902-ios-1149</t>
        </is>
      </c>
    </row>
    <row r="1151" ht="30" customHeight="1">
      <c r="A1151" s="4" t="n">
        <v>1150</v>
      </c>
      <c r="B1151" s="4" t="inlineStr">
        <is>
          <t>MTR-IOS-1150</t>
        </is>
      </c>
      <c r="C1151" s="4" t="inlineStr">
        <is>
          <t>Personal</t>
        </is>
      </c>
      <c r="D1151" s="4" t="inlineStr">
        <is>
          <t>Personal</t>
        </is>
      </c>
      <c r="E1151" s="4" t="inlineStr">
        <is>
          <t>Lifestyle</t>
        </is>
      </c>
      <c r="F1151" s="4" t="inlineStr">
        <is>
          <t>Travel</t>
        </is>
      </c>
      <c r="G1151" s="4" t="inlineStr">
        <is>
          <t>Expense</t>
        </is>
      </c>
      <c r="H1151" s="12" t="n">
        <v>46075</v>
      </c>
      <c r="I1151" s="13" t="n">
        <v>0.4503819444444445</v>
      </c>
      <c r="J1151" s="14" t="n">
        <v>46075.45038194444</v>
      </c>
      <c r="K1151" s="15" t="n">
        <v>16247.96</v>
      </c>
      <c r="L1151" s="4" t="inlineStr">
        <is>
          <t>INR</t>
        </is>
      </c>
      <c r="M1151" s="15" t="n">
        <v>-16247.96</v>
      </c>
      <c r="N1151" s="4" t="inlineStr">
        <is>
          <t>IOS Owner</t>
        </is>
      </c>
      <c r="O1151" s="4" t="n"/>
      <c r="P1151" s="4" t="n"/>
      <c r="Q1151" s="4" t="inlineStr">
        <is>
          <t>MAESTRO-IOS-PERSONAL-LIFESTYLE-1150 | Travel | 16247.96</t>
        </is>
      </c>
      <c r="R1151" s="4" t="inlineStr">
        <is>
          <t>iPhone</t>
        </is>
      </c>
      <c r="S1151" s="4" t="inlineStr">
        <is>
          <t>B23</t>
        </is>
      </c>
      <c r="T1151" s="4" t="inlineStr">
        <is>
          <t>RAMP_501_1500</t>
        </is>
      </c>
      <c r="U1151" s="4" t="inlineStr">
        <is>
          <t>CREATED</t>
        </is>
      </c>
      <c r="V1151" s="4" t="inlineStr">
        <is>
          <t>idem-20260902-ios-1150</t>
        </is>
      </c>
    </row>
    <row r="1152" ht="30" customHeight="1">
      <c r="A1152" s="4" t="n">
        <v>1151</v>
      </c>
      <c r="B1152" s="4" t="inlineStr">
        <is>
          <t>MTR-IOS-1151</t>
        </is>
      </c>
      <c r="C1152" s="4" t="inlineStr">
        <is>
          <t>Group</t>
        </is>
      </c>
      <c r="D1152" s="4" t="inlineStr">
        <is>
          <t>Shared Purchase</t>
        </is>
      </c>
      <c r="E1152" s="4" t="inlineStr">
        <is>
          <t>Assets</t>
        </is>
      </c>
      <c r="F1152" s="4" t="inlineStr">
        <is>
          <t>Insurance</t>
        </is>
      </c>
      <c r="G1152" s="4" t="inlineStr">
        <is>
          <t>Expense</t>
        </is>
      </c>
      <c r="H1152" s="12" t="n">
        <v>46233</v>
      </c>
      <c r="I1152" s="13" t="n">
        <v>0.5624652777777778</v>
      </c>
      <c r="J1152" s="14" t="n">
        <v>46233.56246527778</v>
      </c>
      <c r="K1152" s="15" t="n">
        <v>18811.45</v>
      </c>
      <c r="L1152" s="4" t="inlineStr">
        <is>
          <t>INR</t>
        </is>
      </c>
      <c r="M1152" s="15" t="n">
        <v>-18811.45</v>
      </c>
      <c r="N1152" s="4" t="inlineStr">
        <is>
          <t>IOS Meera</t>
        </is>
      </c>
      <c r="O1152" s="4" t="n">
        <v>3</v>
      </c>
      <c r="P1152" s="4" t="inlineStr">
        <is>
          <t>SHARES</t>
        </is>
      </c>
      <c r="Q1152" s="4" t="inlineStr">
        <is>
          <t>MAESTRO-IOS-GROUP-ASSETS-1151 | Insurance | 18811.45</t>
        </is>
      </c>
      <c r="R1152" s="4" t="inlineStr">
        <is>
          <t>iPhone</t>
        </is>
      </c>
      <c r="S1152" s="4" t="inlineStr">
        <is>
          <t>B24</t>
        </is>
      </c>
      <c r="T1152" s="4" t="inlineStr">
        <is>
          <t>RAMP_501_1500</t>
        </is>
      </c>
      <c r="U1152" s="4" t="inlineStr">
        <is>
          <t>CREATED</t>
        </is>
      </c>
      <c r="V1152" s="4" t="inlineStr">
        <is>
          <t>idem-20260902-ios-1151</t>
        </is>
      </c>
    </row>
    <row r="1153" ht="30" customHeight="1">
      <c r="A1153" s="4" t="n">
        <v>1152</v>
      </c>
      <c r="B1153" s="4" t="inlineStr">
        <is>
          <t>MTR-IOS-1152</t>
        </is>
      </c>
      <c r="C1153" s="4" t="inlineStr">
        <is>
          <t>Business</t>
        </is>
      </c>
      <c r="D1153" s="4" t="inlineStr">
        <is>
          <t>Business</t>
        </is>
      </c>
      <c r="E1153" s="4" t="inlineStr">
        <is>
          <t>Team Operations</t>
        </is>
      </c>
      <c r="F1153" s="4" t="inlineStr">
        <is>
          <t>Training</t>
        </is>
      </c>
      <c r="G1153" s="4" t="inlineStr">
        <is>
          <t>Expense</t>
        </is>
      </c>
      <c r="H1153" s="12" t="n">
        <v>45987</v>
      </c>
      <c r="I1153" s="13" t="n">
        <v>0.2814583333333333</v>
      </c>
      <c r="J1153" s="14" t="n">
        <v>45987.28145833333</v>
      </c>
      <c r="K1153" s="15" t="n">
        <v>71789.61</v>
      </c>
      <c r="L1153" s="4" t="inlineStr">
        <is>
          <t>INR</t>
        </is>
      </c>
      <c r="M1153" s="15" t="n">
        <v>-71789.61</v>
      </c>
      <c r="N1153" s="4" t="inlineStr">
        <is>
          <t>IOS Owner</t>
        </is>
      </c>
      <c r="O1153" s="4" t="n"/>
      <c r="P1153" s="4" t="n"/>
      <c r="Q1153" s="4" t="inlineStr">
        <is>
          <t>MAESTRO-IOS-BUSINESS-TEAM_OPERATIONS-1152 | Training | 71789.61</t>
        </is>
      </c>
      <c r="R1153" s="4" t="inlineStr">
        <is>
          <t>iPhone</t>
        </is>
      </c>
      <c r="S1153" s="4" t="inlineStr">
        <is>
          <t>B24</t>
        </is>
      </c>
      <c r="T1153" s="4" t="inlineStr">
        <is>
          <t>RAMP_501_1500</t>
        </is>
      </c>
      <c r="U1153" s="4" t="inlineStr">
        <is>
          <t>CREATED</t>
        </is>
      </c>
      <c r="V1153" s="4" t="inlineStr">
        <is>
          <t>idem-20260902-ios-1152</t>
        </is>
      </c>
    </row>
    <row r="1154" ht="30" customHeight="1">
      <c r="A1154" s="4" t="n">
        <v>1153</v>
      </c>
      <c r="B1154" s="4" t="inlineStr">
        <is>
          <t>MTR-IOS-1153</t>
        </is>
      </c>
      <c r="C1154" s="4" t="inlineStr">
        <is>
          <t>Personal</t>
        </is>
      </c>
      <c r="D1154" s="4" t="inlineStr">
        <is>
          <t>Personal</t>
        </is>
      </c>
      <c r="E1154" s="4" t="inlineStr">
        <is>
          <t>Lifestyle</t>
        </is>
      </c>
      <c r="F1154" s="4" t="inlineStr">
        <is>
          <t>Fitness</t>
        </is>
      </c>
      <c r="G1154" s="4" t="inlineStr">
        <is>
          <t>Expense</t>
        </is>
      </c>
      <c r="H1154" s="12" t="n">
        <v>46099</v>
      </c>
      <c r="I1154" s="13" t="n">
        <v>0.6071875</v>
      </c>
      <c r="J1154" s="14" t="n">
        <v>46099.6071875</v>
      </c>
      <c r="K1154" s="15" t="n">
        <v>11795.57</v>
      </c>
      <c r="L1154" s="4" t="inlineStr">
        <is>
          <t>INR</t>
        </is>
      </c>
      <c r="M1154" s="15" t="n">
        <v>-11795.57</v>
      </c>
      <c r="N1154" s="4" t="inlineStr">
        <is>
          <t>IOS Owner</t>
        </is>
      </c>
      <c r="O1154" s="4" t="n"/>
      <c r="P1154" s="4" t="n"/>
      <c r="Q1154" s="4" t="inlineStr">
        <is>
          <t>MAESTRO-IOS-PERSONAL-LIFESTYLE-1153 | Fitness | 11795.57</t>
        </is>
      </c>
      <c r="R1154" s="4" t="inlineStr">
        <is>
          <t>iPhone</t>
        </is>
      </c>
      <c r="S1154" s="4" t="inlineStr">
        <is>
          <t>B24</t>
        </is>
      </c>
      <c r="T1154" s="4" t="inlineStr">
        <is>
          <t>RAMP_501_1500</t>
        </is>
      </c>
      <c r="U1154" s="4" t="inlineStr">
        <is>
          <t>CREATED</t>
        </is>
      </c>
      <c r="V1154" s="4" t="inlineStr">
        <is>
          <t>idem-20260902-ios-1153</t>
        </is>
      </c>
    </row>
    <row r="1155" ht="30" customHeight="1">
      <c r="A1155" s="4" t="n">
        <v>1154</v>
      </c>
      <c r="B1155" s="4" t="inlineStr">
        <is>
          <t>MTR-IOS-1154</t>
        </is>
      </c>
      <c r="C1155" s="4" t="inlineStr">
        <is>
          <t>Group</t>
        </is>
      </c>
      <c r="D1155" s="4" t="inlineStr">
        <is>
          <t>Shared Purchase</t>
        </is>
      </c>
      <c r="E1155" s="4" t="inlineStr">
        <is>
          <t>Assets</t>
        </is>
      </c>
      <c r="F1155" s="4" t="inlineStr">
        <is>
          <t>Other</t>
        </is>
      </c>
      <c r="G1155" s="4" t="inlineStr">
        <is>
          <t>Expense</t>
        </is>
      </c>
      <c r="H1155" s="12" t="n">
        <v>45980</v>
      </c>
      <c r="I1155" s="13" t="n">
        <v>0.1521412037037037</v>
      </c>
      <c r="J1155" s="14" t="n">
        <v>45980.1521412037</v>
      </c>
      <c r="K1155" s="15" t="n">
        <v>19897.44</v>
      </c>
      <c r="L1155" s="4" t="inlineStr">
        <is>
          <t>INR</t>
        </is>
      </c>
      <c r="M1155" s="15" t="n">
        <v>-19897.44</v>
      </c>
      <c r="N1155" s="4" t="inlineStr">
        <is>
          <t>IOS Owner</t>
        </is>
      </c>
      <c r="O1155" s="4" t="n">
        <v>3</v>
      </c>
      <c r="P1155" s="4" t="inlineStr">
        <is>
          <t>EQUAL</t>
        </is>
      </c>
      <c r="Q1155" s="4" t="inlineStr">
        <is>
          <t>MAESTRO-IOS-GROUP-ASSETS-1154 | Other | 19897.44</t>
        </is>
      </c>
      <c r="R1155" s="4" t="inlineStr">
        <is>
          <t>iPhone</t>
        </is>
      </c>
      <c r="S1155" s="4" t="inlineStr">
        <is>
          <t>B24</t>
        </is>
      </c>
      <c r="T1155" s="4" t="inlineStr">
        <is>
          <t>RAMP_501_1500</t>
        </is>
      </c>
      <c r="U1155" s="4" t="inlineStr">
        <is>
          <t>CREATED</t>
        </is>
      </c>
      <c r="V1155" s="4" t="inlineStr">
        <is>
          <t>idem-20260902-ios-1154</t>
        </is>
      </c>
    </row>
    <row r="1156" ht="30" customHeight="1">
      <c r="A1156" s="4" t="n">
        <v>1155</v>
      </c>
      <c r="B1156" s="4" t="inlineStr">
        <is>
          <t>MTR-IOS-1155</t>
        </is>
      </c>
      <c r="C1156" s="4" t="inlineStr">
        <is>
          <t>Business</t>
        </is>
      </c>
      <c r="D1156" s="4" t="inlineStr">
        <is>
          <t>Business</t>
        </is>
      </c>
      <c r="E1156" s="4" t="inlineStr">
        <is>
          <t>Team Operations</t>
        </is>
      </c>
      <c r="F1156" s="4" t="inlineStr">
        <is>
          <t>Tools</t>
        </is>
      </c>
      <c r="G1156" s="4" t="inlineStr">
        <is>
          <t>Expense</t>
        </is>
      </c>
      <c r="H1156" s="12" t="n">
        <v>46210</v>
      </c>
      <c r="I1156" s="13" t="n">
        <v>0.6127199074074074</v>
      </c>
      <c r="J1156" s="14" t="n">
        <v>46210.61271990741</v>
      </c>
      <c r="K1156" s="15" t="n">
        <v>54600.69</v>
      </c>
      <c r="L1156" s="4" t="inlineStr">
        <is>
          <t>INR</t>
        </is>
      </c>
      <c r="M1156" s="15" t="n">
        <v>-54600.69</v>
      </c>
      <c r="N1156" s="4" t="inlineStr">
        <is>
          <t>IOS Owner</t>
        </is>
      </c>
      <c r="O1156" s="4" t="n"/>
      <c r="P1156" s="4" t="n"/>
      <c r="Q1156" s="4" t="inlineStr">
        <is>
          <t>MAESTRO-IOS-BUSINESS-TEAM_OPERATIONS-1155 | Tools | 54600.69</t>
        </is>
      </c>
      <c r="R1156" s="4" t="inlineStr">
        <is>
          <t>iPhone</t>
        </is>
      </c>
      <c r="S1156" s="4" t="inlineStr">
        <is>
          <t>B24</t>
        </is>
      </c>
      <c r="T1156" s="4" t="inlineStr">
        <is>
          <t>RAMP_501_1500</t>
        </is>
      </c>
      <c r="U1156" s="4" t="inlineStr">
        <is>
          <t>CREATED</t>
        </is>
      </c>
      <c r="V1156" s="4" t="inlineStr">
        <is>
          <t>idem-20260902-ios-1155</t>
        </is>
      </c>
    </row>
    <row r="1157" ht="30" customHeight="1">
      <c r="A1157" s="4" t="n">
        <v>1156</v>
      </c>
      <c r="B1157" s="4" t="inlineStr">
        <is>
          <t>MTR-IOS-1156</t>
        </is>
      </c>
      <c r="C1157" s="4" t="inlineStr">
        <is>
          <t>Personal</t>
        </is>
      </c>
      <c r="D1157" s="4" t="inlineStr">
        <is>
          <t>Personal</t>
        </is>
      </c>
      <c r="E1157" s="4" t="inlineStr">
        <is>
          <t>Lifestyle</t>
        </is>
      </c>
      <c r="F1157" s="4" t="inlineStr">
        <is>
          <t>Hobbies</t>
        </is>
      </c>
      <c r="G1157" s="4" t="inlineStr">
        <is>
          <t>Expense</t>
        </is>
      </c>
      <c r="H1157" s="12" t="n">
        <v>45972</v>
      </c>
      <c r="I1157" s="13" t="n">
        <v>0.0684375</v>
      </c>
      <c r="J1157" s="14" t="n">
        <v>45972.0684375</v>
      </c>
      <c r="K1157" s="15" t="n">
        <v>3366.46</v>
      </c>
      <c r="L1157" s="4" t="inlineStr">
        <is>
          <t>INR</t>
        </is>
      </c>
      <c r="M1157" s="15" t="n">
        <v>-3366.46</v>
      </c>
      <c r="N1157" s="4" t="inlineStr">
        <is>
          <t>IOS Owner</t>
        </is>
      </c>
      <c r="O1157" s="4" t="n"/>
      <c r="P1157" s="4" t="n"/>
      <c r="Q1157" s="4" t="inlineStr">
        <is>
          <t>MAESTRO-IOS-PERSONAL-LIFESTYLE-1156 | Hobbies | 3366.46</t>
        </is>
      </c>
      <c r="R1157" s="4" t="inlineStr">
        <is>
          <t>iPhone</t>
        </is>
      </c>
      <c r="S1157" s="4" t="inlineStr">
        <is>
          <t>B24</t>
        </is>
      </c>
      <c r="T1157" s="4" t="inlineStr">
        <is>
          <t>RAMP_501_1500</t>
        </is>
      </c>
      <c r="U1157" s="4" t="inlineStr">
        <is>
          <t>CREATED</t>
        </is>
      </c>
      <c r="V1157" s="4" t="inlineStr">
        <is>
          <t>idem-20260902-ios-1156</t>
        </is>
      </c>
    </row>
    <row r="1158" ht="30" customHeight="1">
      <c r="A1158" s="4" t="n">
        <v>1157</v>
      </c>
      <c r="B1158" s="4" t="inlineStr">
        <is>
          <t>MTR-IOS-1157</t>
        </is>
      </c>
      <c r="C1158" s="4" t="inlineStr">
        <is>
          <t>Group</t>
        </is>
      </c>
      <c r="D1158" s="4" t="inlineStr">
        <is>
          <t>Shared Purchase</t>
        </is>
      </c>
      <c r="E1158" s="4" t="inlineStr">
        <is>
          <t>Custom Purchase</t>
        </is>
      </c>
      <c r="F1158" s="4" t="inlineStr">
        <is>
          <t>Custom Expense</t>
        </is>
      </c>
      <c r="G1158" s="4" t="inlineStr">
        <is>
          <t>Expense</t>
        </is>
      </c>
      <c r="H1158" s="12" t="n">
        <v>45952</v>
      </c>
      <c r="I1158" s="13" t="n">
        <v>0.7323958333333334</v>
      </c>
      <c r="J1158" s="14" t="n">
        <v>45952.73239583334</v>
      </c>
      <c r="K1158" s="15" t="n">
        <v>17998.34</v>
      </c>
      <c r="L1158" s="4" t="inlineStr">
        <is>
          <t>INR</t>
        </is>
      </c>
      <c r="M1158" s="15" t="n">
        <v>-17998.34</v>
      </c>
      <c r="N1158" s="4" t="inlineStr">
        <is>
          <t>IOS Aarav</t>
        </is>
      </c>
      <c r="O1158" s="4" t="n">
        <v>3</v>
      </c>
      <c r="P1158" s="4" t="inlineStr">
        <is>
          <t>PERCENTAGE</t>
        </is>
      </c>
      <c r="Q1158" s="4" t="inlineStr">
        <is>
          <t>MAESTRO-IOS-GROUP-CUSTOM_PURCHASE-1157 | Custom Expense | 17998.34</t>
        </is>
      </c>
      <c r="R1158" s="4" t="inlineStr">
        <is>
          <t>iPhone</t>
        </is>
      </c>
      <c r="S1158" s="4" t="inlineStr">
        <is>
          <t>B24</t>
        </is>
      </c>
      <c r="T1158" s="4" t="inlineStr">
        <is>
          <t>RAMP_501_1500</t>
        </is>
      </c>
      <c r="U1158" s="4" t="inlineStr">
        <is>
          <t>CREATED</t>
        </is>
      </c>
      <c r="V1158" s="4" t="inlineStr">
        <is>
          <t>idem-20260902-ios-1157</t>
        </is>
      </c>
    </row>
    <row r="1159" ht="30" customHeight="1">
      <c r="A1159" s="4" t="n">
        <v>1158</v>
      </c>
      <c r="B1159" s="4" t="inlineStr">
        <is>
          <t>MTR-IOS-1158</t>
        </is>
      </c>
      <c r="C1159" s="4" t="inlineStr">
        <is>
          <t>Business</t>
        </is>
      </c>
      <c r="D1159" s="4" t="inlineStr">
        <is>
          <t>Business</t>
        </is>
      </c>
      <c r="E1159" s="4" t="inlineStr">
        <is>
          <t>Business Runway</t>
        </is>
      </c>
      <c r="F1159" s="4" t="inlineStr">
        <is>
          <t>Funding</t>
        </is>
      </c>
      <c r="G1159" s="4" t="inlineStr">
        <is>
          <t>Income</t>
        </is>
      </c>
      <c r="H1159" s="12" t="n">
        <v>45982</v>
      </c>
      <c r="I1159" s="13" t="n">
        <v>0.4168981481481481</v>
      </c>
      <c r="J1159" s="14" t="n">
        <v>45982.41689814815</v>
      </c>
      <c r="K1159" s="15" t="n">
        <v>67710.09</v>
      </c>
      <c r="L1159" s="4" t="inlineStr">
        <is>
          <t>INR</t>
        </is>
      </c>
      <c r="M1159" s="15" t="n">
        <v>67710.09</v>
      </c>
      <c r="N1159" s="4" t="inlineStr">
        <is>
          <t>IOS Owner</t>
        </is>
      </c>
      <c r="O1159" s="4" t="n"/>
      <c r="P1159" s="4" t="n"/>
      <c r="Q1159" s="4" t="inlineStr">
        <is>
          <t>MAESTRO-IOS-BUSINESS-BUSINESS_RUNWAY-1158 | Funding | 67710.09</t>
        </is>
      </c>
      <c r="R1159" s="4" t="inlineStr">
        <is>
          <t>iPhone</t>
        </is>
      </c>
      <c r="S1159" s="4" t="inlineStr">
        <is>
          <t>B24</t>
        </is>
      </c>
      <c r="T1159" s="4" t="inlineStr">
        <is>
          <t>RAMP_501_1500</t>
        </is>
      </c>
      <c r="U1159" s="4" t="inlineStr">
        <is>
          <t>CREATED</t>
        </is>
      </c>
      <c r="V1159" s="4" t="inlineStr">
        <is>
          <t>idem-20260902-ios-1158</t>
        </is>
      </c>
    </row>
    <row r="1160" ht="30" customHeight="1">
      <c r="A1160" s="4" t="n">
        <v>1159</v>
      </c>
      <c r="B1160" s="4" t="inlineStr">
        <is>
          <t>MTR-IOS-1159</t>
        </is>
      </c>
      <c r="C1160" s="4" t="inlineStr">
        <is>
          <t>Personal</t>
        </is>
      </c>
      <c r="D1160" s="4" t="inlineStr">
        <is>
          <t>Personal</t>
        </is>
      </c>
      <c r="E1160" s="4" t="inlineStr">
        <is>
          <t>Relationships</t>
        </is>
      </c>
      <c r="F1160" s="4" t="inlineStr">
        <is>
          <t>Gifts</t>
        </is>
      </c>
      <c r="G1160" s="4" t="inlineStr">
        <is>
          <t>Expense</t>
        </is>
      </c>
      <c r="H1160" s="12" t="n">
        <v>46047</v>
      </c>
      <c r="I1160" s="13" t="n">
        <v>0.09417824074074074</v>
      </c>
      <c r="J1160" s="14" t="n">
        <v>46047.09417824074</v>
      </c>
      <c r="K1160" s="15" t="n">
        <v>6619.46</v>
      </c>
      <c r="L1160" s="4" t="inlineStr">
        <is>
          <t>INR</t>
        </is>
      </c>
      <c r="M1160" s="15" t="n">
        <v>-6619.46</v>
      </c>
      <c r="N1160" s="4" t="inlineStr">
        <is>
          <t>IOS Owner</t>
        </is>
      </c>
      <c r="O1160" s="4" t="n"/>
      <c r="P1160" s="4" t="n"/>
      <c r="Q1160" s="4" t="inlineStr">
        <is>
          <t>MAESTRO-IOS-PERSONAL-RELATIONSHIPS-1159 | Gifts | 6619.46</t>
        </is>
      </c>
      <c r="R1160" s="4" t="inlineStr">
        <is>
          <t>iPhone</t>
        </is>
      </c>
      <c r="S1160" s="4" t="inlineStr">
        <is>
          <t>B24</t>
        </is>
      </c>
      <c r="T1160" s="4" t="inlineStr">
        <is>
          <t>RAMP_501_1500</t>
        </is>
      </c>
      <c r="U1160" s="4" t="inlineStr">
        <is>
          <t>CREATED</t>
        </is>
      </c>
      <c r="V1160" s="4" t="inlineStr">
        <is>
          <t>idem-20260902-ios-1159</t>
        </is>
      </c>
    </row>
    <row r="1161" ht="30" customHeight="1">
      <c r="A1161" s="4" t="n">
        <v>1160</v>
      </c>
      <c r="B1161" s="4" t="inlineStr">
        <is>
          <t>MTR-IOS-1160</t>
        </is>
      </c>
      <c r="C1161" s="4" t="inlineStr">
        <is>
          <t>Group</t>
        </is>
      </c>
      <c r="D1161" s="4" t="inlineStr">
        <is>
          <t>Shared Purchase</t>
        </is>
      </c>
      <c r="E1161" s="4" t="inlineStr">
        <is>
          <t>Custom Purchase</t>
        </is>
      </c>
      <c r="F1161" s="4" t="inlineStr">
        <is>
          <t>Custom Contribution</t>
        </is>
      </c>
      <c r="G1161" s="4" t="inlineStr">
        <is>
          <t>Contribution</t>
        </is>
      </c>
      <c r="H1161" s="12" t="n">
        <v>45982</v>
      </c>
      <c r="I1161" s="13" t="n">
        <v>0.2613425925925926</v>
      </c>
      <c r="J1161" s="14" t="n">
        <v>45982.2613425926</v>
      </c>
      <c r="K1161" s="15" t="n">
        <v>16351.34</v>
      </c>
      <c r="L1161" s="4" t="inlineStr">
        <is>
          <t>INR</t>
        </is>
      </c>
      <c r="M1161" s="15" t="n">
        <v>16351.34</v>
      </c>
      <c r="N1161" s="4" t="inlineStr">
        <is>
          <t>IOS Meera</t>
        </is>
      </c>
      <c r="O1161" s="4" t="n">
        <v>3</v>
      </c>
      <c r="P1161" s="4" t="inlineStr">
        <is>
          <t>EXACT</t>
        </is>
      </c>
      <c r="Q1161" s="4" t="inlineStr">
        <is>
          <t>MAESTRO-IOS-GROUP-CUSTOM_PURCHASE-1160 | Custom Contribution | 16351.34</t>
        </is>
      </c>
      <c r="R1161" s="4" t="inlineStr">
        <is>
          <t>iPhone</t>
        </is>
      </c>
      <c r="S1161" s="4" t="inlineStr">
        <is>
          <t>B24</t>
        </is>
      </c>
      <c r="T1161" s="4" t="inlineStr">
        <is>
          <t>RAMP_501_1500</t>
        </is>
      </c>
      <c r="U1161" s="4" t="inlineStr">
        <is>
          <t>CREATED</t>
        </is>
      </c>
      <c r="V1161" s="4" t="inlineStr">
        <is>
          <t>idem-20260902-ios-1160</t>
        </is>
      </c>
    </row>
    <row r="1162" ht="30" customHeight="1">
      <c r="A1162" s="4" t="n">
        <v>1161</v>
      </c>
      <c r="B1162" s="4" t="inlineStr">
        <is>
          <t>MTR-IOS-1161</t>
        </is>
      </c>
      <c r="C1162" s="4" t="inlineStr">
        <is>
          <t>Business</t>
        </is>
      </c>
      <c r="D1162" s="4" t="inlineStr">
        <is>
          <t>Business</t>
        </is>
      </c>
      <c r="E1162" s="4" t="inlineStr">
        <is>
          <t>Business Runway</t>
        </is>
      </c>
      <c r="F1162" s="4" t="inlineStr">
        <is>
          <t>Revenue</t>
        </is>
      </c>
      <c r="G1162" s="4" t="inlineStr">
        <is>
          <t>Income</t>
        </is>
      </c>
      <c r="H1162" s="12" t="n">
        <v>46085</v>
      </c>
      <c r="I1162" s="13" t="n">
        <v>0.8334490740740741</v>
      </c>
      <c r="J1162" s="14" t="n">
        <v>46085.83344907407</v>
      </c>
      <c r="K1162" s="15" t="n">
        <v>102733.31</v>
      </c>
      <c r="L1162" s="4" t="inlineStr">
        <is>
          <t>INR</t>
        </is>
      </c>
      <c r="M1162" s="15" t="n">
        <v>102733.31</v>
      </c>
      <c r="N1162" s="4" t="inlineStr">
        <is>
          <t>IOS Owner</t>
        </is>
      </c>
      <c r="O1162" s="4" t="n"/>
      <c r="P1162" s="4" t="n"/>
      <c r="Q1162" s="4" t="inlineStr">
        <is>
          <t>MAESTRO-IOS-BUSINESS-BUSINESS_RUNWAY-1161 | Revenue | 102733.31</t>
        </is>
      </c>
      <c r="R1162" s="4" t="inlineStr">
        <is>
          <t>iPhone</t>
        </is>
      </c>
      <c r="S1162" s="4" t="inlineStr">
        <is>
          <t>B24</t>
        </is>
      </c>
      <c r="T1162" s="4" t="inlineStr">
        <is>
          <t>RAMP_501_1500</t>
        </is>
      </c>
      <c r="U1162" s="4" t="inlineStr">
        <is>
          <t>CREATED</t>
        </is>
      </c>
      <c r="V1162" s="4" t="inlineStr">
        <is>
          <t>idem-20260902-ios-1161</t>
        </is>
      </c>
    </row>
    <row r="1163" ht="30" customHeight="1">
      <c r="A1163" s="4" t="n">
        <v>1162</v>
      </c>
      <c r="B1163" s="4" t="inlineStr">
        <is>
          <t>MTR-IOS-1162</t>
        </is>
      </c>
      <c r="C1163" s="4" t="inlineStr">
        <is>
          <t>Personal</t>
        </is>
      </c>
      <c r="D1163" s="4" t="inlineStr">
        <is>
          <t>Personal</t>
        </is>
      </c>
      <c r="E1163" s="4" t="inlineStr">
        <is>
          <t>Relationships</t>
        </is>
      </c>
      <c r="F1163" s="4" t="inlineStr">
        <is>
          <t>Dates</t>
        </is>
      </c>
      <c r="G1163" s="4" t="inlineStr">
        <is>
          <t>Expense</t>
        </is>
      </c>
      <c r="H1163" s="12" t="n">
        <v>46259</v>
      </c>
      <c r="I1163" s="13" t="n">
        <v>0.1473611111111111</v>
      </c>
      <c r="J1163" s="14" t="n">
        <v>46259.14736111111</v>
      </c>
      <c r="K1163" s="15" t="n">
        <v>15085.45</v>
      </c>
      <c r="L1163" s="4" t="inlineStr">
        <is>
          <t>INR</t>
        </is>
      </c>
      <c r="M1163" s="15" t="n">
        <v>-15085.45</v>
      </c>
      <c r="N1163" s="4" t="inlineStr">
        <is>
          <t>IOS Owner</t>
        </is>
      </c>
      <c r="O1163" s="4" t="n"/>
      <c r="P1163" s="4" t="n"/>
      <c r="Q1163" s="4" t="inlineStr">
        <is>
          <t>MAESTRO-IOS-PERSONAL-RELATIONSHIPS-1162 | Dates | 15085.45</t>
        </is>
      </c>
      <c r="R1163" s="4" t="inlineStr">
        <is>
          <t>iPhone</t>
        </is>
      </c>
      <c r="S1163" s="4" t="inlineStr">
        <is>
          <t>B24</t>
        </is>
      </c>
      <c r="T1163" s="4" t="inlineStr">
        <is>
          <t>RAMP_501_1500</t>
        </is>
      </c>
      <c r="U1163" s="4" t="inlineStr">
        <is>
          <t>CREATED</t>
        </is>
      </c>
      <c r="V1163" s="4" t="inlineStr">
        <is>
          <t>idem-20260902-ios-1162</t>
        </is>
      </c>
    </row>
    <row r="1164" ht="30" customHeight="1">
      <c r="A1164" s="4" t="n">
        <v>1163</v>
      </c>
      <c r="B1164" s="4" t="inlineStr">
        <is>
          <t>MTR-IOS-1163</t>
        </is>
      </c>
      <c r="C1164" s="4" t="inlineStr">
        <is>
          <t>Group</t>
        </is>
      </c>
      <c r="D1164" s="4" t="inlineStr">
        <is>
          <t>Shared Living</t>
        </is>
      </c>
      <c r="E1164" s="4" t="inlineStr">
        <is>
          <t>Flatmates</t>
        </is>
      </c>
      <c r="F1164" s="4" t="inlineStr">
        <is>
          <t>Rent</t>
        </is>
      </c>
      <c r="G1164" s="4" t="inlineStr">
        <is>
          <t>Expense</t>
        </is>
      </c>
      <c r="H1164" s="12" t="n">
        <v>46163</v>
      </c>
      <c r="I1164" s="13" t="n">
        <v>0.7032060185185185</v>
      </c>
      <c r="J1164" s="14" t="n">
        <v>46163.70320601852</v>
      </c>
      <c r="K1164" s="15" t="n">
        <v>2757.45</v>
      </c>
      <c r="L1164" s="4" t="inlineStr">
        <is>
          <t>INR</t>
        </is>
      </c>
      <c r="M1164" s="15" t="n">
        <v>-2757.45</v>
      </c>
      <c r="N1164" s="4" t="inlineStr">
        <is>
          <t>IOS Owner</t>
        </is>
      </c>
      <c r="O1164" s="4" t="n">
        <v>3</v>
      </c>
      <c r="P1164" s="4" t="inlineStr">
        <is>
          <t>SHARES</t>
        </is>
      </c>
      <c r="Q1164" s="4" t="inlineStr">
        <is>
          <t>MAESTRO-IOS-GROUP-FLATMATES-1163 | Rent | 2757.45</t>
        </is>
      </c>
      <c r="R1164" s="4" t="inlineStr">
        <is>
          <t>iPhone</t>
        </is>
      </c>
      <c r="S1164" s="4" t="inlineStr">
        <is>
          <t>B24</t>
        </is>
      </c>
      <c r="T1164" s="4" t="inlineStr">
        <is>
          <t>RAMP_501_1500</t>
        </is>
      </c>
      <c r="U1164" s="4" t="inlineStr">
        <is>
          <t>CREATED</t>
        </is>
      </c>
      <c r="V1164" s="4" t="inlineStr">
        <is>
          <t>idem-20260902-ios-1163</t>
        </is>
      </c>
    </row>
    <row r="1165" ht="30" customHeight="1">
      <c r="A1165" s="4" t="n">
        <v>1164</v>
      </c>
      <c r="B1165" s="4" t="inlineStr">
        <is>
          <t>MTR-IOS-1164</t>
        </is>
      </c>
      <c r="C1165" s="4" t="inlineStr">
        <is>
          <t>Business</t>
        </is>
      </c>
      <c r="D1165" s="4" t="inlineStr">
        <is>
          <t>Business</t>
        </is>
      </c>
      <c r="E1165" s="4" t="inlineStr">
        <is>
          <t>Business Runway</t>
        </is>
      </c>
      <c r="F1165" s="4" t="inlineStr">
        <is>
          <t>Burn</t>
        </is>
      </c>
      <c r="G1165" s="4" t="inlineStr">
        <is>
          <t>Expense</t>
        </is>
      </c>
      <c r="H1165" s="12" t="n">
        <v>45921</v>
      </c>
      <c r="I1165" s="13" t="n">
        <v>0.1346643518518519</v>
      </c>
      <c r="J1165" s="14" t="n">
        <v>45921.13466435186</v>
      </c>
      <c r="K1165" s="15" t="n">
        <v>151797.19</v>
      </c>
      <c r="L1165" s="4" t="inlineStr">
        <is>
          <t>INR</t>
        </is>
      </c>
      <c r="M1165" s="15" t="n">
        <v>-151797.19</v>
      </c>
      <c r="N1165" s="4" t="inlineStr">
        <is>
          <t>IOS Owner</t>
        </is>
      </c>
      <c r="O1165" s="4" t="n"/>
      <c r="P1165" s="4" t="n"/>
      <c r="Q1165" s="4" t="inlineStr">
        <is>
          <t>MAESTRO-IOS-BUSINESS-BUSINESS_RUNWAY-1164 | Burn | 151797.19</t>
        </is>
      </c>
      <c r="R1165" s="4" t="inlineStr">
        <is>
          <t>iPhone</t>
        </is>
      </c>
      <c r="S1165" s="4" t="inlineStr">
        <is>
          <t>B24</t>
        </is>
      </c>
      <c r="T1165" s="4" t="inlineStr">
        <is>
          <t>RAMP_501_1500</t>
        </is>
      </c>
      <c r="U1165" s="4" t="inlineStr">
        <is>
          <t>CREATED</t>
        </is>
      </c>
      <c r="V1165" s="4" t="inlineStr">
        <is>
          <t>idem-20260902-ios-1164</t>
        </is>
      </c>
    </row>
    <row r="1166" ht="30" customHeight="1">
      <c r="A1166" s="4" t="n">
        <v>1165</v>
      </c>
      <c r="B1166" s="4" t="inlineStr">
        <is>
          <t>MTR-IOS-1165</t>
        </is>
      </c>
      <c r="C1166" s="4" t="inlineStr">
        <is>
          <t>Personal</t>
        </is>
      </c>
      <c r="D1166" s="4" t="inlineStr">
        <is>
          <t>Personal</t>
        </is>
      </c>
      <c r="E1166" s="4" t="inlineStr">
        <is>
          <t>Relationships</t>
        </is>
      </c>
      <c r="F1166" s="4" t="inlineStr">
        <is>
          <t>Family</t>
        </is>
      </c>
      <c r="G1166" s="4" t="inlineStr">
        <is>
          <t>Expense</t>
        </is>
      </c>
      <c r="H1166" s="12" t="n">
        <v>46093</v>
      </c>
      <c r="I1166" s="13" t="n">
        <v>0.4605092592592593</v>
      </c>
      <c r="J1166" s="14" t="n">
        <v>46093.46050925926</v>
      </c>
      <c r="K1166" s="15" t="n">
        <v>14125.32</v>
      </c>
      <c r="L1166" s="4" t="inlineStr">
        <is>
          <t>INR</t>
        </is>
      </c>
      <c r="M1166" s="15" t="n">
        <v>-14125.32</v>
      </c>
      <c r="N1166" s="4" t="inlineStr">
        <is>
          <t>IOS Owner</t>
        </is>
      </c>
      <c r="O1166" s="4" t="n"/>
      <c r="P1166" s="4" t="n"/>
      <c r="Q1166" s="4" t="inlineStr">
        <is>
          <t>MAESTRO-IOS-PERSONAL-RELATIONSHIPS-1165 | Family | 14125.32</t>
        </is>
      </c>
      <c r="R1166" s="4" t="inlineStr">
        <is>
          <t>iPhone</t>
        </is>
      </c>
      <c r="S1166" s="4" t="inlineStr">
        <is>
          <t>B24</t>
        </is>
      </c>
      <c r="T1166" s="4" t="inlineStr">
        <is>
          <t>RAMP_501_1500</t>
        </is>
      </c>
      <c r="U1166" s="4" t="inlineStr">
        <is>
          <t>CREATED</t>
        </is>
      </c>
      <c r="V1166" s="4" t="inlineStr">
        <is>
          <t>idem-20260902-ios-1165</t>
        </is>
      </c>
    </row>
    <row r="1167" ht="30" customHeight="1">
      <c r="A1167" s="4" t="n">
        <v>1166</v>
      </c>
      <c r="B1167" s="4" t="inlineStr">
        <is>
          <t>MTR-IOS-1166</t>
        </is>
      </c>
      <c r="C1167" s="4" t="inlineStr">
        <is>
          <t>Group</t>
        </is>
      </c>
      <c r="D1167" s="4" t="inlineStr">
        <is>
          <t>Shared Living</t>
        </is>
      </c>
      <c r="E1167" s="4" t="inlineStr">
        <is>
          <t>Flatmates</t>
        </is>
      </c>
      <c r="F1167" s="4" t="inlineStr">
        <is>
          <t>Utilities</t>
        </is>
      </c>
      <c r="G1167" s="4" t="inlineStr">
        <is>
          <t>Expense</t>
        </is>
      </c>
      <c r="H1167" s="12" t="n">
        <v>46150</v>
      </c>
      <c r="I1167" s="13" t="n">
        <v>0.4863773148148148</v>
      </c>
      <c r="J1167" s="14" t="n">
        <v>46150.48637731482</v>
      </c>
      <c r="K1167" s="15" t="n">
        <v>8512.15</v>
      </c>
      <c r="L1167" s="4" t="inlineStr">
        <is>
          <t>INR</t>
        </is>
      </c>
      <c r="M1167" s="15" t="n">
        <v>-8512.15</v>
      </c>
      <c r="N1167" s="4" t="inlineStr">
        <is>
          <t>IOS Aarav</t>
        </is>
      </c>
      <c r="O1167" s="4" t="n">
        <v>3</v>
      </c>
      <c r="P1167" s="4" t="inlineStr">
        <is>
          <t>EQUAL</t>
        </is>
      </c>
      <c r="Q1167" s="4" t="inlineStr">
        <is>
          <t>MAESTRO-IOS-GROUP-FLATMATES-1166 | Utilities | 8512.15</t>
        </is>
      </c>
      <c r="R1167" s="4" t="inlineStr">
        <is>
          <t>iPhone</t>
        </is>
      </c>
      <c r="S1167" s="4" t="inlineStr">
        <is>
          <t>B24</t>
        </is>
      </c>
      <c r="T1167" s="4" t="inlineStr">
        <is>
          <t>RAMP_501_1500</t>
        </is>
      </c>
      <c r="U1167" s="4" t="inlineStr">
        <is>
          <t>CREATED</t>
        </is>
      </c>
      <c r="V1167" s="4" t="inlineStr">
        <is>
          <t>idem-20260902-ios-1166</t>
        </is>
      </c>
    </row>
    <row r="1168" ht="30" customHeight="1">
      <c r="A1168" s="4" t="n">
        <v>1167</v>
      </c>
      <c r="B1168" s="4" t="inlineStr">
        <is>
          <t>MTR-IOS-1167</t>
        </is>
      </c>
      <c r="C1168" s="4" t="inlineStr">
        <is>
          <t>Business</t>
        </is>
      </c>
      <c r="D1168" s="4" t="inlineStr">
        <is>
          <t>Business</t>
        </is>
      </c>
      <c r="E1168" s="4" t="inlineStr">
        <is>
          <t>Business Runway</t>
        </is>
      </c>
      <c r="F1168" s="4" t="inlineStr">
        <is>
          <t>Reserve</t>
        </is>
      </c>
      <c r="G1168" s="4" t="inlineStr">
        <is>
          <t>Transfer</t>
        </is>
      </c>
      <c r="H1168" s="12" t="n">
        <v>46132</v>
      </c>
      <c r="I1168" s="13" t="n">
        <v>0.4744791666666667</v>
      </c>
      <c r="J1168" s="14" t="n">
        <v>46132.47447916667</v>
      </c>
      <c r="K1168" s="15" t="n">
        <v>102097.33</v>
      </c>
      <c r="L1168" s="4" t="inlineStr">
        <is>
          <t>INR</t>
        </is>
      </c>
      <c r="M1168" s="15" t="n">
        <v>0</v>
      </c>
      <c r="N1168" s="4" t="inlineStr">
        <is>
          <t>IOS Owner</t>
        </is>
      </c>
      <c r="O1168" s="4" t="n"/>
      <c r="P1168" s="4" t="n"/>
      <c r="Q1168" s="4" t="inlineStr">
        <is>
          <t>MAESTRO-IOS-BUSINESS-BUSINESS_RUNWAY-1167 | Reserve | 102097.33</t>
        </is>
      </c>
      <c r="R1168" s="4" t="inlineStr">
        <is>
          <t>iPhone</t>
        </is>
      </c>
      <c r="S1168" s="4" t="inlineStr">
        <is>
          <t>B24</t>
        </is>
      </c>
      <c r="T1168" s="4" t="inlineStr">
        <is>
          <t>RAMP_501_1500</t>
        </is>
      </c>
      <c r="U1168" s="4" t="inlineStr">
        <is>
          <t>CREATED</t>
        </is>
      </c>
      <c r="V1168" s="4" t="inlineStr">
        <is>
          <t>idem-20260902-ios-1167</t>
        </is>
      </c>
    </row>
    <row r="1169" ht="30" customHeight="1">
      <c r="A1169" s="4" t="n">
        <v>1168</v>
      </c>
      <c r="B1169" s="4" t="inlineStr">
        <is>
          <t>MTR-IOS-1168</t>
        </is>
      </c>
      <c r="C1169" s="4" t="inlineStr">
        <is>
          <t>Personal</t>
        </is>
      </c>
      <c r="D1169" s="4" t="inlineStr">
        <is>
          <t>Personal</t>
        </is>
      </c>
      <c r="E1169" s="4" t="inlineStr">
        <is>
          <t>Relationships</t>
        </is>
      </c>
      <c r="F1169" s="4" t="inlineStr">
        <is>
          <t>Friends</t>
        </is>
      </c>
      <c r="G1169" s="4" t="inlineStr">
        <is>
          <t>Expense</t>
        </is>
      </c>
      <c r="H1169" s="12" t="n">
        <v>45921</v>
      </c>
      <c r="I1169" s="13" t="n">
        <v>0.5655092592592592</v>
      </c>
      <c r="J1169" s="14" t="n">
        <v>45921.56550925926</v>
      </c>
      <c r="K1169" s="15" t="n">
        <v>6505.2</v>
      </c>
      <c r="L1169" s="4" t="inlineStr">
        <is>
          <t>INR</t>
        </is>
      </c>
      <c r="M1169" s="15" t="n">
        <v>-6505.2</v>
      </c>
      <c r="N1169" s="4" t="inlineStr">
        <is>
          <t>IOS Owner</t>
        </is>
      </c>
      <c r="O1169" s="4" t="n"/>
      <c r="P1169" s="4" t="n"/>
      <c r="Q1169" s="4" t="inlineStr">
        <is>
          <t>MAESTRO-IOS-PERSONAL-RELATIONSHIPS-1168 | Friends | 6505.20</t>
        </is>
      </c>
      <c r="R1169" s="4" t="inlineStr">
        <is>
          <t>iPhone</t>
        </is>
      </c>
      <c r="S1169" s="4" t="inlineStr">
        <is>
          <t>B24</t>
        </is>
      </c>
      <c r="T1169" s="4" t="inlineStr">
        <is>
          <t>RAMP_501_1500</t>
        </is>
      </c>
      <c r="U1169" s="4" t="inlineStr">
        <is>
          <t>CREATED</t>
        </is>
      </c>
      <c r="V1169" s="4" t="inlineStr">
        <is>
          <t>idem-20260902-ios-1168</t>
        </is>
      </c>
    </row>
    <row r="1170" ht="30" customHeight="1">
      <c r="A1170" s="4" t="n">
        <v>1169</v>
      </c>
      <c r="B1170" s="4" t="inlineStr">
        <is>
          <t>MTR-IOS-1169</t>
        </is>
      </c>
      <c r="C1170" s="4" t="inlineStr">
        <is>
          <t>Group</t>
        </is>
      </c>
      <c r="D1170" s="4" t="inlineStr">
        <is>
          <t>Shared Living</t>
        </is>
      </c>
      <c r="E1170" s="4" t="inlineStr">
        <is>
          <t>Flatmates</t>
        </is>
      </c>
      <c r="F1170" s="4" t="inlineStr">
        <is>
          <t>Groceries</t>
        </is>
      </c>
      <c r="G1170" s="4" t="inlineStr">
        <is>
          <t>Expense</t>
        </is>
      </c>
      <c r="H1170" s="12" t="n">
        <v>46177</v>
      </c>
      <c r="I1170" s="13" t="n">
        <v>0.8982407407407408</v>
      </c>
      <c r="J1170" s="14" t="n">
        <v>46177.89824074074</v>
      </c>
      <c r="K1170" s="15" t="n">
        <v>26103.76</v>
      </c>
      <c r="L1170" s="4" t="inlineStr">
        <is>
          <t>INR</t>
        </is>
      </c>
      <c r="M1170" s="15" t="n">
        <v>-26103.76</v>
      </c>
      <c r="N1170" s="4" t="inlineStr">
        <is>
          <t>IOS Meera</t>
        </is>
      </c>
      <c r="O1170" s="4" t="n">
        <v>3</v>
      </c>
      <c r="P1170" s="4" t="inlineStr">
        <is>
          <t>PERCENTAGE</t>
        </is>
      </c>
      <c r="Q1170" s="4" t="inlineStr">
        <is>
          <t>MAESTRO-IOS-GROUP-FLATMATES-1169 | Groceries | 26103.76</t>
        </is>
      </c>
      <c r="R1170" s="4" t="inlineStr">
        <is>
          <t>iPhone</t>
        </is>
      </c>
      <c r="S1170" s="4" t="inlineStr">
        <is>
          <t>B24</t>
        </is>
      </c>
      <c r="T1170" s="4" t="inlineStr">
        <is>
          <t>RAMP_501_1500</t>
        </is>
      </c>
      <c r="U1170" s="4" t="inlineStr">
        <is>
          <t>CREATED</t>
        </is>
      </c>
      <c r="V1170" s="4" t="inlineStr">
        <is>
          <t>idem-20260902-ios-1169</t>
        </is>
      </c>
    </row>
    <row r="1171" ht="30" customHeight="1">
      <c r="A1171" s="4" t="n">
        <v>1170</v>
      </c>
      <c r="B1171" s="4" t="inlineStr">
        <is>
          <t>MTR-IOS-1170</t>
        </is>
      </c>
      <c r="C1171" s="4" t="inlineStr">
        <is>
          <t>Business</t>
        </is>
      </c>
      <c r="D1171" s="4" t="inlineStr">
        <is>
          <t>Business</t>
        </is>
      </c>
      <c r="E1171" s="4" t="inlineStr">
        <is>
          <t>Business Runway</t>
        </is>
      </c>
      <c r="F1171" s="4" t="inlineStr">
        <is>
          <t>Loan</t>
        </is>
      </c>
      <c r="G1171" s="4" t="inlineStr">
        <is>
          <t>Income</t>
        </is>
      </c>
      <c r="H1171" s="12" t="n">
        <v>46261</v>
      </c>
      <c r="I1171" s="13" t="n">
        <v>0.4876736111111111</v>
      </c>
      <c r="J1171" s="14" t="n">
        <v>46261.48767361111</v>
      </c>
      <c r="K1171" s="15" t="n">
        <v>106767.96</v>
      </c>
      <c r="L1171" s="4" t="inlineStr">
        <is>
          <t>INR</t>
        </is>
      </c>
      <c r="M1171" s="15" t="n">
        <v>106767.96</v>
      </c>
      <c r="N1171" s="4" t="inlineStr">
        <is>
          <t>IOS Owner</t>
        </is>
      </c>
      <c r="O1171" s="4" t="n"/>
      <c r="P1171" s="4" t="n"/>
      <c r="Q1171" s="4" t="inlineStr">
        <is>
          <t>MAESTRO-IOS-BUSINESS-BUSINESS_RUNWAY-1170 | Loan | 106767.96</t>
        </is>
      </c>
      <c r="R1171" s="4" t="inlineStr">
        <is>
          <t>iPhone</t>
        </is>
      </c>
      <c r="S1171" s="4" t="inlineStr">
        <is>
          <t>B24</t>
        </is>
      </c>
      <c r="T1171" s="4" t="inlineStr">
        <is>
          <t>RAMP_501_1500</t>
        </is>
      </c>
      <c r="U1171" s="4" t="inlineStr">
        <is>
          <t>CREATED</t>
        </is>
      </c>
      <c r="V1171" s="4" t="inlineStr">
        <is>
          <t>idem-20260902-ios-1170</t>
        </is>
      </c>
    </row>
    <row r="1172" ht="30" customHeight="1">
      <c r="A1172" s="4" t="n">
        <v>1171</v>
      </c>
      <c r="B1172" s="4" t="inlineStr">
        <is>
          <t>MTR-IOS-1171</t>
        </is>
      </c>
      <c r="C1172" s="4" t="inlineStr">
        <is>
          <t>Personal</t>
        </is>
      </c>
      <c r="D1172" s="4" t="inlineStr">
        <is>
          <t>Personal</t>
        </is>
      </c>
      <c r="E1172" s="4" t="inlineStr">
        <is>
          <t>Relationships</t>
        </is>
      </c>
      <c r="F1172" s="4" t="inlineStr">
        <is>
          <t>Celebrations</t>
        </is>
      </c>
      <c r="G1172" s="4" t="inlineStr">
        <is>
          <t>Expense</t>
        </is>
      </c>
      <c r="H1172" s="12" t="n">
        <v>46087</v>
      </c>
      <c r="I1172" s="13" t="n">
        <v>0.2243981481481482</v>
      </c>
      <c r="J1172" s="14" t="n">
        <v>46087.22439814815</v>
      </c>
      <c r="K1172" s="15" t="n">
        <v>11306.62</v>
      </c>
      <c r="L1172" s="4" t="inlineStr">
        <is>
          <t>INR</t>
        </is>
      </c>
      <c r="M1172" s="15" t="n">
        <v>-11306.62</v>
      </c>
      <c r="N1172" s="4" t="inlineStr">
        <is>
          <t>IOS Owner</t>
        </is>
      </c>
      <c r="O1172" s="4" t="n"/>
      <c r="P1172" s="4" t="n"/>
      <c r="Q1172" s="4" t="inlineStr">
        <is>
          <t>MAESTRO-IOS-PERSONAL-RELATIONSHIPS-1171 | Celebrations | 11306.62</t>
        </is>
      </c>
      <c r="R1172" s="4" t="inlineStr">
        <is>
          <t>iPhone</t>
        </is>
      </c>
      <c r="S1172" s="4" t="inlineStr">
        <is>
          <t>B24</t>
        </is>
      </c>
      <c r="T1172" s="4" t="inlineStr">
        <is>
          <t>RAMP_501_1500</t>
        </is>
      </c>
      <c r="U1172" s="4" t="inlineStr">
        <is>
          <t>CREATED</t>
        </is>
      </c>
      <c r="V1172" s="4" t="inlineStr">
        <is>
          <t>idem-20260902-ios-1171</t>
        </is>
      </c>
    </row>
    <row r="1173" ht="30" customHeight="1">
      <c r="A1173" s="4" t="n">
        <v>1172</v>
      </c>
      <c r="B1173" s="4" t="inlineStr">
        <is>
          <t>MTR-IOS-1172</t>
        </is>
      </c>
      <c r="C1173" s="4" t="inlineStr">
        <is>
          <t>Group</t>
        </is>
      </c>
      <c r="D1173" s="4" t="inlineStr">
        <is>
          <t>Shared Living</t>
        </is>
      </c>
      <c r="E1173" s="4" t="inlineStr">
        <is>
          <t>Flatmates</t>
        </is>
      </c>
      <c r="F1173" s="4" t="inlineStr">
        <is>
          <t>Internet</t>
        </is>
      </c>
      <c r="G1173" s="4" t="inlineStr">
        <is>
          <t>Expense</t>
        </is>
      </c>
      <c r="H1173" s="12" t="n">
        <v>46207</v>
      </c>
      <c r="I1173" s="13" t="n">
        <v>0.1284027777777778</v>
      </c>
      <c r="J1173" s="14" t="n">
        <v>46207.12840277778</v>
      </c>
      <c r="K1173" s="15" t="n">
        <v>13526.9</v>
      </c>
      <c r="L1173" s="4" t="inlineStr">
        <is>
          <t>INR</t>
        </is>
      </c>
      <c r="M1173" s="15" t="n">
        <v>-13526.9</v>
      </c>
      <c r="N1173" s="4" t="inlineStr">
        <is>
          <t>IOS Owner</t>
        </is>
      </c>
      <c r="O1173" s="4" t="n">
        <v>3</v>
      </c>
      <c r="P1173" s="4" t="inlineStr">
        <is>
          <t>EXACT</t>
        </is>
      </c>
      <c r="Q1173" s="4" t="inlineStr">
        <is>
          <t>MAESTRO-IOS-GROUP-FLATMATES-1172 | Internet | 13526.90</t>
        </is>
      </c>
      <c r="R1173" s="4" t="inlineStr">
        <is>
          <t>iPhone</t>
        </is>
      </c>
      <c r="S1173" s="4" t="inlineStr">
        <is>
          <t>B24</t>
        </is>
      </c>
      <c r="T1173" s="4" t="inlineStr">
        <is>
          <t>RAMP_501_1500</t>
        </is>
      </c>
      <c r="U1173" s="4" t="inlineStr">
        <is>
          <t>CREATED</t>
        </is>
      </c>
      <c r="V1173" s="4" t="inlineStr">
        <is>
          <t>idem-20260902-ios-1172</t>
        </is>
      </c>
    </row>
    <row r="1174" ht="30" customHeight="1">
      <c r="A1174" s="4" t="n">
        <v>1173</v>
      </c>
      <c r="B1174" s="4" t="inlineStr">
        <is>
          <t>MTR-IOS-1173</t>
        </is>
      </c>
      <c r="C1174" s="4" t="inlineStr">
        <is>
          <t>Business</t>
        </is>
      </c>
      <c r="D1174" s="4" t="inlineStr">
        <is>
          <t>Business</t>
        </is>
      </c>
      <c r="E1174" s="4" t="inlineStr">
        <is>
          <t>Business Runway</t>
        </is>
      </c>
      <c r="F1174" s="4" t="inlineStr">
        <is>
          <t>Investment</t>
        </is>
      </c>
      <c r="G1174" s="4" t="inlineStr">
        <is>
          <t>Income</t>
        </is>
      </c>
      <c r="H1174" s="12" t="n">
        <v>46176</v>
      </c>
      <c r="I1174" s="13" t="n">
        <v>0.8953356481481481</v>
      </c>
      <c r="J1174" s="14" t="n">
        <v>46176.89533564815</v>
      </c>
      <c r="K1174" s="15" t="n">
        <v>97833.72</v>
      </c>
      <c r="L1174" s="4" t="inlineStr">
        <is>
          <t>INR</t>
        </is>
      </c>
      <c r="M1174" s="15" t="n">
        <v>97833.72</v>
      </c>
      <c r="N1174" s="4" t="inlineStr">
        <is>
          <t>IOS Owner</t>
        </is>
      </c>
      <c r="O1174" s="4" t="n"/>
      <c r="P1174" s="4" t="n"/>
      <c r="Q1174" s="4" t="inlineStr">
        <is>
          <t>MAESTRO-IOS-BUSINESS-BUSINESS_RUNWAY-1173 | Investment | 97833.72</t>
        </is>
      </c>
      <c r="R1174" s="4" t="inlineStr">
        <is>
          <t>iPhone</t>
        </is>
      </c>
      <c r="S1174" s="4" t="inlineStr">
        <is>
          <t>B24</t>
        </is>
      </c>
      <c r="T1174" s="4" t="inlineStr">
        <is>
          <t>RAMP_501_1500</t>
        </is>
      </c>
      <c r="U1174" s="4" t="inlineStr">
        <is>
          <t>CREATED</t>
        </is>
      </c>
      <c r="V1174" s="4" t="inlineStr">
        <is>
          <t>idem-20260902-ios-1173</t>
        </is>
      </c>
    </row>
    <row r="1175" ht="30" customHeight="1">
      <c r="A1175" s="4" t="n">
        <v>1174</v>
      </c>
      <c r="B1175" s="4" t="inlineStr">
        <is>
          <t>MTR-IOS-1174</t>
        </is>
      </c>
      <c r="C1175" s="4" t="inlineStr">
        <is>
          <t>Personal</t>
        </is>
      </c>
      <c r="D1175" s="4" t="inlineStr">
        <is>
          <t>Personal</t>
        </is>
      </c>
      <c r="E1175" s="4" t="inlineStr">
        <is>
          <t>Life Operations</t>
        </is>
      </c>
      <c r="F1175" s="4" t="inlineStr">
        <is>
          <t>Groceries</t>
        </is>
      </c>
      <c r="G1175" s="4" t="inlineStr">
        <is>
          <t>Expense</t>
        </is>
      </c>
      <c r="H1175" s="12" t="n">
        <v>46111</v>
      </c>
      <c r="I1175" s="13" t="n">
        <v>0.6455787037037037</v>
      </c>
      <c r="J1175" s="14" t="n">
        <v>46111.6455787037</v>
      </c>
      <c r="K1175" s="15" t="n">
        <v>10367.61</v>
      </c>
      <c r="L1175" s="4" t="inlineStr">
        <is>
          <t>INR</t>
        </is>
      </c>
      <c r="M1175" s="15" t="n">
        <v>-10367.61</v>
      </c>
      <c r="N1175" s="4" t="inlineStr">
        <is>
          <t>IOS Owner</t>
        </is>
      </c>
      <c r="O1175" s="4" t="n"/>
      <c r="P1175" s="4" t="n"/>
      <c r="Q1175" s="4" t="inlineStr">
        <is>
          <t>MAESTRO-IOS-PERSONAL-LIFE_OPERATIONS-1174 | Groceries | 10367.61</t>
        </is>
      </c>
      <c r="R1175" s="4" t="inlineStr">
        <is>
          <t>iPhone</t>
        </is>
      </c>
      <c r="S1175" s="4" t="inlineStr">
        <is>
          <t>B24</t>
        </is>
      </c>
      <c r="T1175" s="4" t="inlineStr">
        <is>
          <t>RAMP_501_1500</t>
        </is>
      </c>
      <c r="U1175" s="4" t="inlineStr">
        <is>
          <t>CREATED</t>
        </is>
      </c>
      <c r="V1175" s="4" t="inlineStr">
        <is>
          <t>idem-20260902-ios-1174</t>
        </is>
      </c>
    </row>
    <row r="1176" ht="30" customHeight="1">
      <c r="A1176" s="4" t="n">
        <v>1175</v>
      </c>
      <c r="B1176" s="4" t="inlineStr">
        <is>
          <t>MTR-IOS-1175</t>
        </is>
      </c>
      <c r="C1176" s="4" t="inlineStr">
        <is>
          <t>Group</t>
        </is>
      </c>
      <c r="D1176" s="4" t="inlineStr">
        <is>
          <t>Shared Living</t>
        </is>
      </c>
      <c r="E1176" s="4" t="inlineStr">
        <is>
          <t>Flatmates</t>
        </is>
      </c>
      <c r="F1176" s="4" t="inlineStr">
        <is>
          <t>House Supplies</t>
        </is>
      </c>
      <c r="G1176" s="4" t="inlineStr">
        <is>
          <t>Expense</t>
        </is>
      </c>
      <c r="H1176" s="12" t="n">
        <v>46171</v>
      </c>
      <c r="I1176" s="13" t="n">
        <v>0.3691435185185185</v>
      </c>
      <c r="J1176" s="14" t="n">
        <v>46171.36914351852</v>
      </c>
      <c r="K1176" s="15" t="n">
        <v>13277.83</v>
      </c>
      <c r="L1176" s="4" t="inlineStr">
        <is>
          <t>INR</t>
        </is>
      </c>
      <c r="M1176" s="15" t="n">
        <v>-13277.83</v>
      </c>
      <c r="N1176" s="4" t="inlineStr">
        <is>
          <t>IOS Aarav</t>
        </is>
      </c>
      <c r="O1176" s="4" t="n">
        <v>3</v>
      </c>
      <c r="P1176" s="4" t="inlineStr">
        <is>
          <t>SHARES</t>
        </is>
      </c>
      <c r="Q1176" s="4" t="inlineStr">
        <is>
          <t>MAESTRO-IOS-GROUP-FLATMATES-1175 | House Supplies | 13277.83</t>
        </is>
      </c>
      <c r="R1176" s="4" t="inlineStr">
        <is>
          <t>iPhone</t>
        </is>
      </c>
      <c r="S1176" s="4" t="inlineStr">
        <is>
          <t>B24</t>
        </is>
      </c>
      <c r="T1176" s="4" t="inlineStr">
        <is>
          <t>RAMP_501_1500</t>
        </is>
      </c>
      <c r="U1176" s="4" t="inlineStr">
        <is>
          <t>CREATED</t>
        </is>
      </c>
      <c r="V1176" s="4" t="inlineStr">
        <is>
          <t>idem-20260902-ios-1175</t>
        </is>
      </c>
    </row>
    <row r="1177" ht="30" customHeight="1">
      <c r="A1177" s="4" t="n">
        <v>1176</v>
      </c>
      <c r="B1177" s="4" t="inlineStr">
        <is>
          <t>MTR-IOS-1176</t>
        </is>
      </c>
      <c r="C1177" s="4" t="inlineStr">
        <is>
          <t>Business</t>
        </is>
      </c>
      <c r="D1177" s="4" t="inlineStr">
        <is>
          <t>Business</t>
        </is>
      </c>
      <c r="E1177" s="4" t="inlineStr">
        <is>
          <t>Business Operations</t>
        </is>
      </c>
      <c r="F1177" s="4" t="inlineStr">
        <is>
          <t>Software</t>
        </is>
      </c>
      <c r="G1177" s="4" t="inlineStr">
        <is>
          <t>Expense</t>
        </is>
      </c>
      <c r="H1177" s="12" t="n">
        <v>45954</v>
      </c>
      <c r="I1177" s="13" t="n">
        <v>0.542511574074074</v>
      </c>
      <c r="J1177" s="14" t="n">
        <v>45954.54251157407</v>
      </c>
      <c r="K1177" s="15" t="n">
        <v>36082.79</v>
      </c>
      <c r="L1177" s="4" t="inlineStr">
        <is>
          <t>INR</t>
        </is>
      </c>
      <c r="M1177" s="15" t="n">
        <v>-36082.79</v>
      </c>
      <c r="N1177" s="4" t="inlineStr">
        <is>
          <t>IOS Owner</t>
        </is>
      </c>
      <c r="O1177" s="4" t="n"/>
      <c r="P1177" s="4" t="n"/>
      <c r="Q1177" s="4" t="inlineStr">
        <is>
          <t>MAESTRO-IOS-BUSINESS-BUSINESS_OPERATIONS-1176 | Software | 36082.79</t>
        </is>
      </c>
      <c r="R1177" s="4" t="inlineStr">
        <is>
          <t>iPhone</t>
        </is>
      </c>
      <c r="S1177" s="4" t="inlineStr">
        <is>
          <t>B24</t>
        </is>
      </c>
      <c r="T1177" s="4" t="inlineStr">
        <is>
          <t>RAMP_501_1500</t>
        </is>
      </c>
      <c r="U1177" s="4" t="inlineStr">
        <is>
          <t>CREATED</t>
        </is>
      </c>
      <c r="V1177" s="4" t="inlineStr">
        <is>
          <t>idem-20260902-ios-1176</t>
        </is>
      </c>
    </row>
    <row r="1178" ht="30" customHeight="1">
      <c r="A1178" s="4" t="n">
        <v>1177</v>
      </c>
      <c r="B1178" s="4" t="inlineStr">
        <is>
          <t>MTR-IOS-1177</t>
        </is>
      </c>
      <c r="C1178" s="4" t="inlineStr">
        <is>
          <t>Personal</t>
        </is>
      </c>
      <c r="D1178" s="4" t="inlineStr">
        <is>
          <t>Personal</t>
        </is>
      </c>
      <c r="E1178" s="4" t="inlineStr">
        <is>
          <t>Life Operations</t>
        </is>
      </c>
      <c r="F1178" s="4" t="inlineStr">
        <is>
          <t>Rent</t>
        </is>
      </c>
      <c r="G1178" s="4" t="inlineStr">
        <is>
          <t>Expense</t>
        </is>
      </c>
      <c r="H1178" s="12" t="n">
        <v>46127</v>
      </c>
      <c r="I1178" s="13" t="n">
        <v>0.3175694444444445</v>
      </c>
      <c r="J1178" s="14" t="n">
        <v>46127.31756944444</v>
      </c>
      <c r="K1178" s="15" t="n">
        <v>2282.68</v>
      </c>
      <c r="L1178" s="4" t="inlineStr">
        <is>
          <t>INR</t>
        </is>
      </c>
      <c r="M1178" s="15" t="n">
        <v>-2282.68</v>
      </c>
      <c r="N1178" s="4" t="inlineStr">
        <is>
          <t>IOS Owner</t>
        </is>
      </c>
      <c r="O1178" s="4" t="n"/>
      <c r="P1178" s="4" t="n"/>
      <c r="Q1178" s="4" t="inlineStr">
        <is>
          <t>MAESTRO-IOS-PERSONAL-LIFE_OPERATIONS-1177 | Rent | 2282.68</t>
        </is>
      </c>
      <c r="R1178" s="4" t="inlineStr">
        <is>
          <t>iPhone</t>
        </is>
      </c>
      <c r="S1178" s="4" t="inlineStr">
        <is>
          <t>B24</t>
        </is>
      </c>
      <c r="T1178" s="4" t="inlineStr">
        <is>
          <t>RAMP_501_1500</t>
        </is>
      </c>
      <c r="U1178" s="4" t="inlineStr">
        <is>
          <t>CREATED</t>
        </is>
      </c>
      <c r="V1178" s="4" t="inlineStr">
        <is>
          <t>idem-20260902-ios-1177</t>
        </is>
      </c>
    </row>
    <row r="1179" ht="30" customHeight="1">
      <c r="A1179" s="4" t="n">
        <v>1178</v>
      </c>
      <c r="B1179" s="4" t="inlineStr">
        <is>
          <t>MTR-IOS-1178</t>
        </is>
      </c>
      <c r="C1179" s="4" t="inlineStr">
        <is>
          <t>Group</t>
        </is>
      </c>
      <c r="D1179" s="4" t="inlineStr">
        <is>
          <t>Shared Living</t>
        </is>
      </c>
      <c r="E1179" s="4" t="inlineStr">
        <is>
          <t>Flatmates</t>
        </is>
      </c>
      <c r="F1179" s="4" t="inlineStr">
        <is>
          <t>Repairs</t>
        </is>
      </c>
      <c r="G1179" s="4" t="inlineStr">
        <is>
          <t>Expense</t>
        </is>
      </c>
      <c r="H1179" s="12" t="n">
        <v>45938</v>
      </c>
      <c r="I1179" s="13" t="n">
        <v>0.9975810185185185</v>
      </c>
      <c r="J1179" s="14" t="n">
        <v>45938.99758101852</v>
      </c>
      <c r="K1179" s="15" t="n">
        <v>5640.88</v>
      </c>
      <c r="L1179" s="4" t="inlineStr">
        <is>
          <t>INR</t>
        </is>
      </c>
      <c r="M1179" s="15" t="n">
        <v>-5640.88</v>
      </c>
      <c r="N1179" s="4" t="inlineStr">
        <is>
          <t>IOS Meera</t>
        </is>
      </c>
      <c r="O1179" s="4" t="n">
        <v>3</v>
      </c>
      <c r="P1179" s="4" t="inlineStr">
        <is>
          <t>EQUAL</t>
        </is>
      </c>
      <c r="Q1179" s="4" t="inlineStr">
        <is>
          <t>MAESTRO-IOS-GROUP-FLATMATES-1178 | Repairs | 5640.88</t>
        </is>
      </c>
      <c r="R1179" s="4" t="inlineStr">
        <is>
          <t>iPhone</t>
        </is>
      </c>
      <c r="S1179" s="4" t="inlineStr">
        <is>
          <t>B24</t>
        </is>
      </c>
      <c r="T1179" s="4" t="inlineStr">
        <is>
          <t>RAMP_501_1500</t>
        </is>
      </c>
      <c r="U1179" s="4" t="inlineStr">
        <is>
          <t>CREATED</t>
        </is>
      </c>
      <c r="V1179" s="4" t="inlineStr">
        <is>
          <t>idem-20260902-ios-1178</t>
        </is>
      </c>
    </row>
    <row r="1180" ht="30" customHeight="1">
      <c r="A1180" s="4" t="n">
        <v>1179</v>
      </c>
      <c r="B1180" s="4" t="inlineStr">
        <is>
          <t>MTR-IOS-1179</t>
        </is>
      </c>
      <c r="C1180" s="4" t="inlineStr">
        <is>
          <t>Business</t>
        </is>
      </c>
      <c r="D1180" s="4" t="inlineStr">
        <is>
          <t>Business</t>
        </is>
      </c>
      <c r="E1180" s="4" t="inlineStr">
        <is>
          <t>Business Operations</t>
        </is>
      </c>
      <c r="F1180" s="4" t="inlineStr">
        <is>
          <t>Rent</t>
        </is>
      </c>
      <c r="G1180" s="4" t="inlineStr">
        <is>
          <t>Expense</t>
        </is>
      </c>
      <c r="H1180" s="12" t="n">
        <v>46027</v>
      </c>
      <c r="I1180" s="13" t="n">
        <v>0.3500925925925926</v>
      </c>
      <c r="J1180" s="14" t="n">
        <v>46027.35009259259</v>
      </c>
      <c r="K1180" s="15" t="n">
        <v>127015.72</v>
      </c>
      <c r="L1180" s="4" t="inlineStr">
        <is>
          <t>INR</t>
        </is>
      </c>
      <c r="M1180" s="15" t="n">
        <v>-127015.72</v>
      </c>
      <c r="N1180" s="4" t="inlineStr">
        <is>
          <t>IOS Owner</t>
        </is>
      </c>
      <c r="O1180" s="4" t="n"/>
      <c r="P1180" s="4" t="n"/>
      <c r="Q1180" s="4" t="inlineStr">
        <is>
          <t>MAESTRO-IOS-BUSINESS-BUSINESS_OPERATIONS-1179 | Rent | 127015.72</t>
        </is>
      </c>
      <c r="R1180" s="4" t="inlineStr">
        <is>
          <t>iPhone</t>
        </is>
      </c>
      <c r="S1180" s="4" t="inlineStr">
        <is>
          <t>B24</t>
        </is>
      </c>
      <c r="T1180" s="4" t="inlineStr">
        <is>
          <t>RAMP_501_1500</t>
        </is>
      </c>
      <c r="U1180" s="4" t="inlineStr">
        <is>
          <t>CREATED</t>
        </is>
      </c>
      <c r="V1180" s="4" t="inlineStr">
        <is>
          <t>idem-20260902-ios-1179</t>
        </is>
      </c>
    </row>
    <row r="1181" ht="30" customHeight="1">
      <c r="A1181" s="4" t="n">
        <v>1180</v>
      </c>
      <c r="B1181" s="4" t="inlineStr">
        <is>
          <t>MTR-IOS-1180</t>
        </is>
      </c>
      <c r="C1181" s="4" t="inlineStr">
        <is>
          <t>Personal</t>
        </is>
      </c>
      <c r="D1181" s="4" t="inlineStr">
        <is>
          <t>Personal</t>
        </is>
      </c>
      <c r="E1181" s="4" t="inlineStr">
        <is>
          <t>Life Operations</t>
        </is>
      </c>
      <c r="F1181" s="4" t="inlineStr">
        <is>
          <t>Bills</t>
        </is>
      </c>
      <c r="G1181" s="4" t="inlineStr">
        <is>
          <t>Expense</t>
        </is>
      </c>
      <c r="H1181" s="12" t="n">
        <v>46131</v>
      </c>
      <c r="I1181" s="13" t="n">
        <v>0.9669328703703703</v>
      </c>
      <c r="J1181" s="14" t="n">
        <v>46131.96693287037</v>
      </c>
      <c r="K1181" s="15" t="n">
        <v>3549.55</v>
      </c>
      <c r="L1181" s="4" t="inlineStr">
        <is>
          <t>INR</t>
        </is>
      </c>
      <c r="M1181" s="15" t="n">
        <v>-3549.55</v>
      </c>
      <c r="N1181" s="4" t="inlineStr">
        <is>
          <t>IOS Owner</t>
        </is>
      </c>
      <c r="O1181" s="4" t="n"/>
      <c r="P1181" s="4" t="n"/>
      <c r="Q1181" s="4" t="inlineStr">
        <is>
          <t>MAESTRO-IOS-PERSONAL-LIFE_OPERATIONS-1180 | Bills | 3549.55</t>
        </is>
      </c>
      <c r="R1181" s="4" t="inlineStr">
        <is>
          <t>iPhone</t>
        </is>
      </c>
      <c r="S1181" s="4" t="inlineStr">
        <is>
          <t>B24</t>
        </is>
      </c>
      <c r="T1181" s="4" t="inlineStr">
        <is>
          <t>RAMP_501_1500</t>
        </is>
      </c>
      <c r="U1181" s="4" t="inlineStr">
        <is>
          <t>CREATED</t>
        </is>
      </c>
      <c r="V1181" s="4" t="inlineStr">
        <is>
          <t>idem-20260902-ios-1180</t>
        </is>
      </c>
    </row>
    <row r="1182" ht="30" customHeight="1">
      <c r="A1182" s="4" t="n">
        <v>1181</v>
      </c>
      <c r="B1182" s="4" t="inlineStr">
        <is>
          <t>MTR-IOS-1181</t>
        </is>
      </c>
      <c r="C1182" s="4" t="inlineStr">
        <is>
          <t>Group</t>
        </is>
      </c>
      <c r="D1182" s="4" t="inlineStr">
        <is>
          <t>Shared Living</t>
        </is>
      </c>
      <c r="E1182" s="4" t="inlineStr">
        <is>
          <t>Shared Living</t>
        </is>
      </c>
      <c r="F1182" s="4" t="inlineStr">
        <is>
          <t>Rent</t>
        </is>
      </c>
      <c r="G1182" s="4" t="inlineStr">
        <is>
          <t>Expense</t>
        </is>
      </c>
      <c r="H1182" s="12" t="n">
        <v>46187</v>
      </c>
      <c r="I1182" s="13" t="n">
        <v>0.4866087962962963</v>
      </c>
      <c r="J1182" s="14" t="n">
        <v>46187.48660879629</v>
      </c>
      <c r="K1182" s="15" t="n">
        <v>11742.93</v>
      </c>
      <c r="L1182" s="4" t="inlineStr">
        <is>
          <t>INR</t>
        </is>
      </c>
      <c r="M1182" s="15" t="n">
        <v>-11742.93</v>
      </c>
      <c r="N1182" s="4" t="inlineStr">
        <is>
          <t>IOS Owner</t>
        </is>
      </c>
      <c r="O1182" s="4" t="n">
        <v>3</v>
      </c>
      <c r="P1182" s="4" t="inlineStr">
        <is>
          <t>PERCENTAGE</t>
        </is>
      </c>
      <c r="Q1182" s="4" t="inlineStr">
        <is>
          <t>MAESTRO-IOS-GROUP-SHARED_LIVING-1181 | Rent | 11742.93</t>
        </is>
      </c>
      <c r="R1182" s="4" t="inlineStr">
        <is>
          <t>iPhone</t>
        </is>
      </c>
      <c r="S1182" s="4" t="inlineStr">
        <is>
          <t>B24</t>
        </is>
      </c>
      <c r="T1182" s="4" t="inlineStr">
        <is>
          <t>RAMP_501_1500</t>
        </is>
      </c>
      <c r="U1182" s="4" t="inlineStr">
        <is>
          <t>CREATED</t>
        </is>
      </c>
      <c r="V1182" s="4" t="inlineStr">
        <is>
          <t>idem-20260902-ios-1181</t>
        </is>
      </c>
    </row>
    <row r="1183" ht="30" customHeight="1">
      <c r="A1183" s="4" t="n">
        <v>1182</v>
      </c>
      <c r="B1183" s="4" t="inlineStr">
        <is>
          <t>MTR-IOS-1182</t>
        </is>
      </c>
      <c r="C1183" s="4" t="inlineStr">
        <is>
          <t>Business</t>
        </is>
      </c>
      <c r="D1183" s="4" t="inlineStr">
        <is>
          <t>Business</t>
        </is>
      </c>
      <c r="E1183" s="4" t="inlineStr">
        <is>
          <t>Business Operations</t>
        </is>
      </c>
      <c r="F1183" s="4" t="inlineStr">
        <is>
          <t>Marketing</t>
        </is>
      </c>
      <c r="G1183" s="4" t="inlineStr">
        <is>
          <t>Expense</t>
        </is>
      </c>
      <c r="H1183" s="12" t="n">
        <v>46089</v>
      </c>
      <c r="I1183" s="13" t="n">
        <v>0.3846180555555556</v>
      </c>
      <c r="J1183" s="14" t="n">
        <v>46089.38461805556</v>
      </c>
      <c r="K1183" s="15" t="n">
        <v>31083.8</v>
      </c>
      <c r="L1183" s="4" t="inlineStr">
        <is>
          <t>INR</t>
        </is>
      </c>
      <c r="M1183" s="15" t="n">
        <v>-31083.8</v>
      </c>
      <c r="N1183" s="4" t="inlineStr">
        <is>
          <t>IOS Owner</t>
        </is>
      </c>
      <c r="O1183" s="4" t="n"/>
      <c r="P1183" s="4" t="n"/>
      <c r="Q1183" s="4" t="inlineStr">
        <is>
          <t>MAESTRO-IOS-BUSINESS-BUSINESS_OPERATIONS-1182 | Marketing | 31083.80</t>
        </is>
      </c>
      <c r="R1183" s="4" t="inlineStr">
        <is>
          <t>iPhone</t>
        </is>
      </c>
      <c r="S1183" s="4" t="inlineStr">
        <is>
          <t>B24</t>
        </is>
      </c>
      <c r="T1183" s="4" t="inlineStr">
        <is>
          <t>RAMP_501_1500</t>
        </is>
      </c>
      <c r="U1183" s="4" t="inlineStr">
        <is>
          <t>CREATED</t>
        </is>
      </c>
      <c r="V1183" s="4" t="inlineStr">
        <is>
          <t>idem-20260902-ios-1182</t>
        </is>
      </c>
    </row>
    <row r="1184" ht="30" customHeight="1">
      <c r="A1184" s="4" t="n">
        <v>1183</v>
      </c>
      <c r="B1184" s="4" t="inlineStr">
        <is>
          <t>MTR-IOS-1183</t>
        </is>
      </c>
      <c r="C1184" s="4" t="inlineStr">
        <is>
          <t>Personal</t>
        </is>
      </c>
      <c r="D1184" s="4" t="inlineStr">
        <is>
          <t>Personal</t>
        </is>
      </c>
      <c r="E1184" s="4" t="inlineStr">
        <is>
          <t>Life Operations</t>
        </is>
      </c>
      <c r="F1184" s="4" t="inlineStr">
        <is>
          <t>Transport</t>
        </is>
      </c>
      <c r="G1184" s="4" t="inlineStr">
        <is>
          <t>Expense</t>
        </is>
      </c>
      <c r="H1184" s="12" t="n">
        <v>45930</v>
      </c>
      <c r="I1184" s="13" t="n">
        <v>0.8227893518518519</v>
      </c>
      <c r="J1184" s="14" t="n">
        <v>45930.82278935185</v>
      </c>
      <c r="K1184" s="15" t="n">
        <v>13519.92</v>
      </c>
      <c r="L1184" s="4" t="inlineStr">
        <is>
          <t>INR</t>
        </is>
      </c>
      <c r="M1184" s="15" t="n">
        <v>-13519.92</v>
      </c>
      <c r="N1184" s="4" t="inlineStr">
        <is>
          <t>IOS Owner</t>
        </is>
      </c>
      <c r="O1184" s="4" t="n"/>
      <c r="P1184" s="4" t="n"/>
      <c r="Q1184" s="4" t="inlineStr">
        <is>
          <t>MAESTRO-IOS-PERSONAL-LIFE_OPERATIONS-1183 | Transport | 13519.92</t>
        </is>
      </c>
      <c r="R1184" s="4" t="inlineStr">
        <is>
          <t>iPhone</t>
        </is>
      </c>
      <c r="S1184" s="4" t="inlineStr">
        <is>
          <t>B24</t>
        </is>
      </c>
      <c r="T1184" s="4" t="inlineStr">
        <is>
          <t>RAMP_501_1500</t>
        </is>
      </c>
      <c r="U1184" s="4" t="inlineStr">
        <is>
          <t>CREATED</t>
        </is>
      </c>
      <c r="V1184" s="4" t="inlineStr">
        <is>
          <t>idem-20260902-ios-1183</t>
        </is>
      </c>
    </row>
    <row r="1185" ht="30" customHeight="1">
      <c r="A1185" s="4" t="n">
        <v>1184</v>
      </c>
      <c r="B1185" s="4" t="inlineStr">
        <is>
          <t>MTR-IOS-1184</t>
        </is>
      </c>
      <c r="C1185" s="4" t="inlineStr">
        <is>
          <t>Group</t>
        </is>
      </c>
      <c r="D1185" s="4" t="inlineStr">
        <is>
          <t>Shared Living</t>
        </is>
      </c>
      <c r="E1185" s="4" t="inlineStr">
        <is>
          <t>Shared Living</t>
        </is>
      </c>
      <c r="F1185" s="4" t="inlineStr">
        <is>
          <t>Utilities</t>
        </is>
      </c>
      <c r="G1185" s="4" t="inlineStr">
        <is>
          <t>Expense</t>
        </is>
      </c>
      <c r="H1185" s="12" t="n">
        <v>45977</v>
      </c>
      <c r="I1185" s="13" t="n">
        <v>0.2272685185185185</v>
      </c>
      <c r="J1185" s="14" t="n">
        <v>45977.22726851852</v>
      </c>
      <c r="K1185" s="15" t="n">
        <v>99.98999999999999</v>
      </c>
      <c r="L1185" s="4" t="inlineStr">
        <is>
          <t>INR</t>
        </is>
      </c>
      <c r="M1185" s="15" t="n">
        <v>-99.98999999999999</v>
      </c>
      <c r="N1185" s="4" t="inlineStr">
        <is>
          <t>IOS Aarav</t>
        </is>
      </c>
      <c r="O1185" s="4" t="n">
        <v>3</v>
      </c>
      <c r="P1185" s="4" t="inlineStr">
        <is>
          <t>EXACT</t>
        </is>
      </c>
      <c r="Q1185" s="4" t="inlineStr">
        <is>
          <t>MAESTRO-IOS-GROUP-SHARED_LIVING-1184 | Utilities | 99.99</t>
        </is>
      </c>
      <c r="R1185" s="4" t="inlineStr">
        <is>
          <t>iPhone</t>
        </is>
      </c>
      <c r="S1185" s="4" t="inlineStr">
        <is>
          <t>B24</t>
        </is>
      </c>
      <c r="T1185" s="4" t="inlineStr">
        <is>
          <t>RAMP_501_1500</t>
        </is>
      </c>
      <c r="U1185" s="4" t="inlineStr">
        <is>
          <t>CREATED</t>
        </is>
      </c>
      <c r="V1185" s="4" t="inlineStr">
        <is>
          <t>idem-20260902-ios-1184</t>
        </is>
      </c>
    </row>
    <row r="1186" ht="30" customHeight="1">
      <c r="A1186" s="4" t="n">
        <v>1185</v>
      </c>
      <c r="B1186" s="4" t="inlineStr">
        <is>
          <t>MTR-IOS-1185</t>
        </is>
      </c>
      <c r="C1186" s="4" t="inlineStr">
        <is>
          <t>Business</t>
        </is>
      </c>
      <c r="D1186" s="4" t="inlineStr">
        <is>
          <t>Business</t>
        </is>
      </c>
      <c r="E1186" s="4" t="inlineStr">
        <is>
          <t>Business Operations</t>
        </is>
      </c>
      <c r="F1186" s="4" t="inlineStr">
        <is>
          <t>Legal</t>
        </is>
      </c>
      <c r="G1186" s="4" t="inlineStr">
        <is>
          <t>Expense</t>
        </is>
      </c>
      <c r="H1186" s="12" t="n">
        <v>46188</v>
      </c>
      <c r="I1186" s="13" t="n">
        <v>0.3508912037037037</v>
      </c>
      <c r="J1186" s="14" t="n">
        <v>46188.35089120371</v>
      </c>
      <c r="K1186" s="15" t="n">
        <v>138635.49</v>
      </c>
      <c r="L1186" s="4" t="inlineStr">
        <is>
          <t>INR</t>
        </is>
      </c>
      <c r="M1186" s="15" t="n">
        <v>-138635.49</v>
      </c>
      <c r="N1186" s="4" t="inlineStr">
        <is>
          <t>IOS Owner</t>
        </is>
      </c>
      <c r="O1186" s="4" t="n"/>
      <c r="P1186" s="4" t="n"/>
      <c r="Q1186" s="4" t="inlineStr">
        <is>
          <t>MAESTRO-IOS-BUSINESS-BUSINESS_OPERATIONS-1185 | Legal | 138635.49</t>
        </is>
      </c>
      <c r="R1186" s="4" t="inlineStr">
        <is>
          <t>iPhone</t>
        </is>
      </c>
      <c r="S1186" s="4" t="inlineStr">
        <is>
          <t>B24</t>
        </is>
      </c>
      <c r="T1186" s="4" t="inlineStr">
        <is>
          <t>RAMP_501_1500</t>
        </is>
      </c>
      <c r="U1186" s="4" t="inlineStr">
        <is>
          <t>CREATED</t>
        </is>
      </c>
      <c r="V1186" s="4" t="inlineStr">
        <is>
          <t>idem-20260902-ios-1185</t>
        </is>
      </c>
    </row>
    <row r="1187" ht="30" customHeight="1">
      <c r="A1187" s="4" t="n">
        <v>1186</v>
      </c>
      <c r="B1187" s="4" t="inlineStr">
        <is>
          <t>MTR-IOS-1186</t>
        </is>
      </c>
      <c r="C1187" s="4" t="inlineStr">
        <is>
          <t>Personal</t>
        </is>
      </c>
      <c r="D1187" s="4" t="inlineStr">
        <is>
          <t>Personal</t>
        </is>
      </c>
      <c r="E1187" s="4" t="inlineStr">
        <is>
          <t>Life Operations</t>
        </is>
      </c>
      <c r="F1187" s="4" t="inlineStr">
        <is>
          <t>Healthcare</t>
        </is>
      </c>
      <c r="G1187" s="4" t="inlineStr">
        <is>
          <t>Expense</t>
        </is>
      </c>
      <c r="H1187" s="12" t="n">
        <v>46210</v>
      </c>
      <c r="I1187" s="13" t="n">
        <v>0.8500115740740741</v>
      </c>
      <c r="J1187" s="14" t="n">
        <v>46210.85001157408</v>
      </c>
      <c r="K1187" s="15" t="n">
        <v>4510.48</v>
      </c>
      <c r="L1187" s="4" t="inlineStr">
        <is>
          <t>INR</t>
        </is>
      </c>
      <c r="M1187" s="15" t="n">
        <v>-4510.48</v>
      </c>
      <c r="N1187" s="4" t="inlineStr">
        <is>
          <t>IOS Owner</t>
        </is>
      </c>
      <c r="O1187" s="4" t="n"/>
      <c r="P1187" s="4" t="n"/>
      <c r="Q1187" s="4" t="inlineStr">
        <is>
          <t>MAESTRO-IOS-PERSONAL-LIFE_OPERATIONS-1186 | Healthcare | 4510.48</t>
        </is>
      </c>
      <c r="R1187" s="4" t="inlineStr">
        <is>
          <t>iPhone</t>
        </is>
      </c>
      <c r="S1187" s="4" t="inlineStr">
        <is>
          <t>B24</t>
        </is>
      </c>
      <c r="T1187" s="4" t="inlineStr">
        <is>
          <t>RAMP_501_1500</t>
        </is>
      </c>
      <c r="U1187" s="4" t="inlineStr">
        <is>
          <t>CREATED</t>
        </is>
      </c>
      <c r="V1187" s="4" t="inlineStr">
        <is>
          <t>idem-20260902-ios-1186</t>
        </is>
      </c>
    </row>
    <row r="1188" ht="30" customHeight="1">
      <c r="A1188" s="4" t="n">
        <v>1187</v>
      </c>
      <c r="B1188" s="4" t="inlineStr">
        <is>
          <t>MTR-IOS-1187</t>
        </is>
      </c>
      <c r="C1188" s="4" t="inlineStr">
        <is>
          <t>Group</t>
        </is>
      </c>
      <c r="D1188" s="4" t="inlineStr">
        <is>
          <t>Shared Living</t>
        </is>
      </c>
      <c r="E1188" s="4" t="inlineStr">
        <is>
          <t>Shared Living</t>
        </is>
      </c>
      <c r="F1188" s="4" t="inlineStr">
        <is>
          <t>Groceries</t>
        </is>
      </c>
      <c r="G1188" s="4" t="inlineStr">
        <is>
          <t>Expense</t>
        </is>
      </c>
      <c r="H1188" s="12" t="n">
        <v>46046</v>
      </c>
      <c r="I1188" s="13" t="n">
        <v>0.8982060185185186</v>
      </c>
      <c r="J1188" s="14" t="n">
        <v>46046.89820601852</v>
      </c>
      <c r="K1188" s="15" t="n">
        <v>17308.4</v>
      </c>
      <c r="L1188" s="4" t="inlineStr">
        <is>
          <t>INR</t>
        </is>
      </c>
      <c r="M1188" s="15" t="n">
        <v>-17308.4</v>
      </c>
      <c r="N1188" s="4" t="inlineStr">
        <is>
          <t>IOS Meera</t>
        </is>
      </c>
      <c r="O1188" s="4" t="n">
        <v>3</v>
      </c>
      <c r="P1188" s="4" t="inlineStr">
        <is>
          <t>SHARES</t>
        </is>
      </c>
      <c r="Q1188" s="4" t="inlineStr">
        <is>
          <t>MAESTRO-IOS-GROUP-SHARED_LIVING-1187 | Groceries | 17308.40</t>
        </is>
      </c>
      <c r="R1188" s="4" t="inlineStr">
        <is>
          <t>iPhone</t>
        </is>
      </c>
      <c r="S1188" s="4" t="inlineStr">
        <is>
          <t>B24</t>
        </is>
      </c>
      <c r="T1188" s="4" t="inlineStr">
        <is>
          <t>RAMP_501_1500</t>
        </is>
      </c>
      <c r="U1188" s="4" t="inlineStr">
        <is>
          <t>CREATED</t>
        </is>
      </c>
      <c r="V1188" s="4" t="inlineStr">
        <is>
          <t>idem-20260902-ios-1187</t>
        </is>
      </c>
    </row>
    <row r="1189" ht="30" customHeight="1">
      <c r="A1189" s="4" t="n">
        <v>1188</v>
      </c>
      <c r="B1189" s="4" t="inlineStr">
        <is>
          <t>MTR-IOS-1188</t>
        </is>
      </c>
      <c r="C1189" s="4" t="inlineStr">
        <is>
          <t>Business</t>
        </is>
      </c>
      <c r="D1189" s="4" t="inlineStr">
        <is>
          <t>Business</t>
        </is>
      </c>
      <c r="E1189" s="4" t="inlineStr">
        <is>
          <t>Business Operations</t>
        </is>
      </c>
      <c r="F1189" s="4" t="inlineStr">
        <is>
          <t>Accounting</t>
        </is>
      </c>
      <c r="G1189" s="4" t="inlineStr">
        <is>
          <t>Expense</t>
        </is>
      </c>
      <c r="H1189" s="12" t="n">
        <v>46243</v>
      </c>
      <c r="I1189" s="13" t="n">
        <v>0.5</v>
      </c>
      <c r="J1189" s="14" t="n">
        <v>46243.5</v>
      </c>
      <c r="K1189" s="15" t="n">
        <v>138167.83</v>
      </c>
      <c r="L1189" s="4" t="inlineStr">
        <is>
          <t>INR</t>
        </is>
      </c>
      <c r="M1189" s="15" t="n">
        <v>-138167.83</v>
      </c>
      <c r="N1189" s="4" t="inlineStr">
        <is>
          <t>IOS Owner</t>
        </is>
      </c>
      <c r="O1189" s="4" t="n"/>
      <c r="P1189" s="4" t="n"/>
      <c r="Q1189" s="4" t="inlineStr">
        <is>
          <t>MAESTRO-IOS-BUSINESS-BUSINESS_OPERATIONS-1188 | Accounting | 138167.83</t>
        </is>
      </c>
      <c r="R1189" s="4" t="inlineStr">
        <is>
          <t>iPhone</t>
        </is>
      </c>
      <c r="S1189" s="4" t="inlineStr">
        <is>
          <t>B24</t>
        </is>
      </c>
      <c r="T1189" s="4" t="inlineStr">
        <is>
          <t>RAMP_501_1500</t>
        </is>
      </c>
      <c r="U1189" s="4" t="inlineStr">
        <is>
          <t>CREATED</t>
        </is>
      </c>
      <c r="V1189" s="4" t="inlineStr">
        <is>
          <t>idem-20260902-ios-1188</t>
        </is>
      </c>
    </row>
    <row r="1190" ht="30" customHeight="1">
      <c r="A1190" s="4" t="n">
        <v>1189</v>
      </c>
      <c r="B1190" s="4" t="inlineStr">
        <is>
          <t>MTR-IOS-1189</t>
        </is>
      </c>
      <c r="C1190" s="4" t="inlineStr">
        <is>
          <t>Personal</t>
        </is>
      </c>
      <c r="D1190" s="4" t="inlineStr">
        <is>
          <t>Personal</t>
        </is>
      </c>
      <c r="E1190" s="4" t="inlineStr">
        <is>
          <t>Life Operations</t>
        </is>
      </c>
      <c r="F1190" s="4" t="inlineStr">
        <is>
          <t>Subscriptions</t>
        </is>
      </c>
      <c r="G1190" s="4" t="inlineStr">
        <is>
          <t>Expense</t>
        </is>
      </c>
      <c r="H1190" s="12" t="n">
        <v>46097</v>
      </c>
      <c r="I1190" s="13" t="n">
        <v>0.6282407407407408</v>
      </c>
      <c r="J1190" s="14" t="n">
        <v>46097.62824074074</v>
      </c>
      <c r="K1190" s="15" t="n">
        <v>6190.43</v>
      </c>
      <c r="L1190" s="4" t="inlineStr">
        <is>
          <t>INR</t>
        </is>
      </c>
      <c r="M1190" s="15" t="n">
        <v>-6190.43</v>
      </c>
      <c r="N1190" s="4" t="inlineStr">
        <is>
          <t>IOS Owner</t>
        </is>
      </c>
      <c r="O1190" s="4" t="n"/>
      <c r="P1190" s="4" t="n"/>
      <c r="Q1190" s="4" t="inlineStr">
        <is>
          <t>MAESTRO-IOS-PERSONAL-LIFE_OPERATIONS-1189 | Subscriptions | 6190.43</t>
        </is>
      </c>
      <c r="R1190" s="4" t="inlineStr">
        <is>
          <t>iPhone</t>
        </is>
      </c>
      <c r="S1190" s="4" t="inlineStr">
        <is>
          <t>B24</t>
        </is>
      </c>
      <c r="T1190" s="4" t="inlineStr">
        <is>
          <t>RAMP_501_1500</t>
        </is>
      </c>
      <c r="U1190" s="4" t="inlineStr">
        <is>
          <t>CREATED</t>
        </is>
      </c>
      <c r="V1190" s="4" t="inlineStr">
        <is>
          <t>idem-20260902-ios-1189</t>
        </is>
      </c>
    </row>
    <row r="1191" ht="30" customHeight="1">
      <c r="A1191" s="4" t="n">
        <v>1190</v>
      </c>
      <c r="B1191" s="4" t="inlineStr">
        <is>
          <t>MTR-IOS-1190</t>
        </is>
      </c>
      <c r="C1191" s="4" t="inlineStr">
        <is>
          <t>Group</t>
        </is>
      </c>
      <c r="D1191" s="4" t="inlineStr">
        <is>
          <t>Shared Living</t>
        </is>
      </c>
      <c r="E1191" s="4" t="inlineStr">
        <is>
          <t>Shared Living</t>
        </is>
      </c>
      <c r="F1191" s="4" t="inlineStr">
        <is>
          <t>Maintenance</t>
        </is>
      </c>
      <c r="G1191" s="4" t="inlineStr">
        <is>
          <t>Expense</t>
        </is>
      </c>
      <c r="H1191" s="12" t="n">
        <v>46085</v>
      </c>
      <c r="I1191" s="13" t="n">
        <v>0.676400462962963</v>
      </c>
      <c r="J1191" s="14" t="n">
        <v>46085.67640046297</v>
      </c>
      <c r="K1191" s="15" t="n">
        <v>25102.56</v>
      </c>
      <c r="L1191" s="4" t="inlineStr">
        <is>
          <t>INR</t>
        </is>
      </c>
      <c r="M1191" s="15" t="n">
        <v>-25102.56</v>
      </c>
      <c r="N1191" s="4" t="inlineStr">
        <is>
          <t>IOS Owner</t>
        </is>
      </c>
      <c r="O1191" s="4" t="n">
        <v>3</v>
      </c>
      <c r="P1191" s="4" t="inlineStr">
        <is>
          <t>EQUAL</t>
        </is>
      </c>
      <c r="Q1191" s="4" t="inlineStr">
        <is>
          <t>MAESTRO-IOS-GROUP-SHARED_LIVING-1190 | Maintenance | 25102.56</t>
        </is>
      </c>
      <c r="R1191" s="4" t="inlineStr">
        <is>
          <t>iPhone</t>
        </is>
      </c>
      <c r="S1191" s="4" t="inlineStr">
        <is>
          <t>B24</t>
        </is>
      </c>
      <c r="T1191" s="4" t="inlineStr">
        <is>
          <t>RAMP_501_1500</t>
        </is>
      </c>
      <c r="U1191" s="4" t="inlineStr">
        <is>
          <t>CREATED</t>
        </is>
      </c>
      <c r="V1191" s="4" t="inlineStr">
        <is>
          <t>idem-20260902-ios-1190</t>
        </is>
      </c>
    </row>
    <row r="1192" ht="30" customHeight="1">
      <c r="A1192" s="4" t="n">
        <v>1191</v>
      </c>
      <c r="B1192" s="4" t="inlineStr">
        <is>
          <t>MTR-IOS-1191</t>
        </is>
      </c>
      <c r="C1192" s="4" t="inlineStr">
        <is>
          <t>Business</t>
        </is>
      </c>
      <c r="D1192" s="4" t="inlineStr">
        <is>
          <t>Business</t>
        </is>
      </c>
      <c r="E1192" s="4" t="inlineStr">
        <is>
          <t>Business Operations</t>
        </is>
      </c>
      <c r="F1192" s="4" t="inlineStr">
        <is>
          <t>Equipment</t>
        </is>
      </c>
      <c r="G1192" s="4" t="inlineStr">
        <is>
          <t>Expense</t>
        </is>
      </c>
      <c r="H1192" s="12" t="n">
        <v>46188</v>
      </c>
      <c r="I1192" s="13" t="n">
        <v>0.7195023148148149</v>
      </c>
      <c r="J1192" s="14" t="n">
        <v>46188.71950231482</v>
      </c>
      <c r="K1192" s="15" t="n">
        <v>10806.81</v>
      </c>
      <c r="L1192" s="4" t="inlineStr">
        <is>
          <t>INR</t>
        </is>
      </c>
      <c r="M1192" s="15" t="n">
        <v>-10806.81</v>
      </c>
      <c r="N1192" s="4" t="inlineStr">
        <is>
          <t>IOS Owner</t>
        </is>
      </c>
      <c r="O1192" s="4" t="n"/>
      <c r="P1192" s="4" t="n"/>
      <c r="Q1192" s="4" t="inlineStr">
        <is>
          <t>MAESTRO-IOS-BUSINESS-BUSINESS_OPERATIONS-1191 | Equipment | 10806.81</t>
        </is>
      </c>
      <c r="R1192" s="4" t="inlineStr">
        <is>
          <t>iPhone</t>
        </is>
      </c>
      <c r="S1192" s="4" t="inlineStr">
        <is>
          <t>B24</t>
        </is>
      </c>
      <c r="T1192" s="4" t="inlineStr">
        <is>
          <t>RAMP_501_1500</t>
        </is>
      </c>
      <c r="U1192" s="4" t="inlineStr">
        <is>
          <t>CREATED</t>
        </is>
      </c>
      <c r="V1192" s="4" t="inlineStr">
        <is>
          <t>idem-20260902-ios-1191</t>
        </is>
      </c>
    </row>
    <row r="1193" ht="30" customHeight="1">
      <c r="A1193" s="4" t="n">
        <v>1192</v>
      </c>
      <c r="B1193" s="4" t="inlineStr">
        <is>
          <t>MTR-IOS-1192</t>
        </is>
      </c>
      <c r="C1193" s="4" t="inlineStr">
        <is>
          <t>Personal</t>
        </is>
      </c>
      <c r="D1193" s="4" t="inlineStr">
        <is>
          <t>Personal</t>
        </is>
      </c>
      <c r="E1193" s="4" t="inlineStr">
        <is>
          <t>Life Operations</t>
        </is>
      </c>
      <c r="F1193" s="4" t="inlineStr">
        <is>
          <t>Repairs</t>
        </is>
      </c>
      <c r="G1193" s="4" t="inlineStr">
        <is>
          <t>Expense</t>
        </is>
      </c>
      <c r="H1193" s="12" t="n">
        <v>45991</v>
      </c>
      <c r="I1193" s="13" t="n">
        <v>0.6512847222222222</v>
      </c>
      <c r="J1193" s="14" t="n">
        <v>45991.65128472223</v>
      </c>
      <c r="K1193" s="15" t="n">
        <v>4871.81</v>
      </c>
      <c r="L1193" s="4" t="inlineStr">
        <is>
          <t>INR</t>
        </is>
      </c>
      <c r="M1193" s="15" t="n">
        <v>-4871.81</v>
      </c>
      <c r="N1193" s="4" t="inlineStr">
        <is>
          <t>IOS Owner</t>
        </is>
      </c>
      <c r="O1193" s="4" t="n"/>
      <c r="P1193" s="4" t="n"/>
      <c r="Q1193" s="4" t="inlineStr">
        <is>
          <t>MAESTRO-IOS-PERSONAL-LIFE_OPERATIONS-1192 | Repairs | 4871.81</t>
        </is>
      </c>
      <c r="R1193" s="4" t="inlineStr">
        <is>
          <t>iPhone</t>
        </is>
      </c>
      <c r="S1193" s="4" t="inlineStr">
        <is>
          <t>B24</t>
        </is>
      </c>
      <c r="T1193" s="4" t="inlineStr">
        <is>
          <t>RAMP_501_1500</t>
        </is>
      </c>
      <c r="U1193" s="4" t="inlineStr">
        <is>
          <t>CREATED</t>
        </is>
      </c>
      <c r="V1193" s="4" t="inlineStr">
        <is>
          <t>idem-20260902-ios-1192</t>
        </is>
      </c>
    </row>
    <row r="1194" ht="30" customHeight="1">
      <c r="A1194" s="4" t="n">
        <v>1193</v>
      </c>
      <c r="B1194" s="4" t="inlineStr">
        <is>
          <t>MTR-IOS-1193</t>
        </is>
      </c>
      <c r="C1194" s="4" t="inlineStr">
        <is>
          <t>Group</t>
        </is>
      </c>
      <c r="D1194" s="4" t="inlineStr">
        <is>
          <t>Shared Living</t>
        </is>
      </c>
      <c r="E1194" s="4" t="inlineStr">
        <is>
          <t>Shared Living</t>
        </is>
      </c>
      <c r="F1194" s="4" t="inlineStr">
        <is>
          <t>Other</t>
        </is>
      </c>
      <c r="G1194" s="4" t="inlineStr">
        <is>
          <t>Expense</t>
        </is>
      </c>
      <c r="H1194" s="12" t="n">
        <v>46024</v>
      </c>
      <c r="I1194" s="13" t="n">
        <v>0.3193402777777778</v>
      </c>
      <c r="J1194" s="14" t="n">
        <v>46024.31934027778</v>
      </c>
      <c r="K1194" s="15" t="n">
        <v>2759.32</v>
      </c>
      <c r="L1194" s="4" t="inlineStr">
        <is>
          <t>INR</t>
        </is>
      </c>
      <c r="M1194" s="15" t="n">
        <v>-2759.32</v>
      </c>
      <c r="N1194" s="4" t="inlineStr">
        <is>
          <t>IOS Aarav</t>
        </is>
      </c>
      <c r="O1194" s="4" t="n">
        <v>3</v>
      </c>
      <c r="P1194" s="4" t="inlineStr">
        <is>
          <t>PERCENTAGE</t>
        </is>
      </c>
      <c r="Q1194" s="4" t="inlineStr">
        <is>
          <t>MAESTRO-IOS-GROUP-SHARED_LIVING-1193 | Other | 2759.32</t>
        </is>
      </c>
      <c r="R1194" s="4" t="inlineStr">
        <is>
          <t>iPhone</t>
        </is>
      </c>
      <c r="S1194" s="4" t="inlineStr">
        <is>
          <t>B24</t>
        </is>
      </c>
      <c r="T1194" s="4" t="inlineStr">
        <is>
          <t>RAMP_501_1500</t>
        </is>
      </c>
      <c r="U1194" s="4" t="inlineStr">
        <is>
          <t>CREATED</t>
        </is>
      </c>
      <c r="V1194" s="4" t="inlineStr">
        <is>
          <t>idem-20260902-ios-1193</t>
        </is>
      </c>
    </row>
    <row r="1195" ht="30" customHeight="1">
      <c r="A1195" s="4" t="n">
        <v>1194</v>
      </c>
      <c r="B1195" s="4" t="inlineStr">
        <is>
          <t>MTR-IOS-1194</t>
        </is>
      </c>
      <c r="C1195" s="4" t="inlineStr">
        <is>
          <t>Business</t>
        </is>
      </c>
      <c r="D1195" s="4" t="inlineStr">
        <is>
          <t>Business</t>
        </is>
      </c>
      <c r="E1195" s="4" t="inlineStr">
        <is>
          <t>Business Operations</t>
        </is>
      </c>
      <c r="F1195" s="4" t="inlineStr">
        <is>
          <t>Vendor</t>
        </is>
      </c>
      <c r="G1195" s="4" t="inlineStr">
        <is>
          <t>Expense</t>
        </is>
      </c>
      <c r="H1195" s="12" t="n">
        <v>46050</v>
      </c>
      <c r="I1195" s="13" t="n">
        <v>0.2143055555555556</v>
      </c>
      <c r="J1195" s="14" t="n">
        <v>46050.21430555556</v>
      </c>
      <c r="K1195" s="15" t="n">
        <v>21981.27</v>
      </c>
      <c r="L1195" s="4" t="inlineStr">
        <is>
          <t>INR</t>
        </is>
      </c>
      <c r="M1195" s="15" t="n">
        <v>-21981.27</v>
      </c>
      <c r="N1195" s="4" t="inlineStr">
        <is>
          <t>IOS Owner</t>
        </is>
      </c>
      <c r="O1195" s="4" t="n"/>
      <c r="P1195" s="4" t="n"/>
      <c r="Q1195" s="4" t="inlineStr">
        <is>
          <t>MAESTRO-IOS-BUSINESS-BUSINESS_OPERATIONS-1194 | Vendor | 21981.27</t>
        </is>
      </c>
      <c r="R1195" s="4" t="inlineStr">
        <is>
          <t>iPhone</t>
        </is>
      </c>
      <c r="S1195" s="4" t="inlineStr">
        <is>
          <t>B24</t>
        </is>
      </c>
      <c r="T1195" s="4" t="inlineStr">
        <is>
          <t>RAMP_501_1500</t>
        </is>
      </c>
      <c r="U1195" s="4" t="inlineStr">
        <is>
          <t>CREATED</t>
        </is>
      </c>
      <c r="V1195" s="4" t="inlineStr">
        <is>
          <t>idem-20260902-ios-1194</t>
        </is>
      </c>
    </row>
    <row r="1196" ht="30" customHeight="1">
      <c r="A1196" s="4" t="n">
        <v>1195</v>
      </c>
      <c r="B1196" s="4" t="inlineStr">
        <is>
          <t>MTR-IOS-1195</t>
        </is>
      </c>
      <c r="C1196" s="4" t="inlineStr">
        <is>
          <t>Personal</t>
        </is>
      </c>
      <c r="D1196" s="4" t="inlineStr">
        <is>
          <t>Personal</t>
        </is>
      </c>
      <c r="E1196" s="4" t="inlineStr">
        <is>
          <t>Future Building</t>
        </is>
      </c>
      <c r="F1196" s="4" t="inlineStr">
        <is>
          <t>Savings</t>
        </is>
      </c>
      <c r="G1196" s="4" t="inlineStr">
        <is>
          <t>Transfer</t>
        </is>
      </c>
      <c r="H1196" s="12" t="n">
        <v>46157</v>
      </c>
      <c r="I1196" s="13" t="n">
        <v>0.4740162037037037</v>
      </c>
      <c r="J1196" s="14" t="n">
        <v>46157.47401620371</v>
      </c>
      <c r="K1196" s="15" t="n">
        <v>12911.76</v>
      </c>
      <c r="L1196" s="4" t="inlineStr">
        <is>
          <t>INR</t>
        </is>
      </c>
      <c r="M1196" s="15" t="n">
        <v>0</v>
      </c>
      <c r="N1196" s="4" t="inlineStr">
        <is>
          <t>IOS Owner</t>
        </is>
      </c>
      <c r="O1196" s="4" t="n"/>
      <c r="P1196" s="4" t="n"/>
      <c r="Q1196" s="4" t="inlineStr">
        <is>
          <t>MAESTRO-IOS-PERSONAL-FUTURE_BUILDING-1195 | Savings | 12911.76</t>
        </is>
      </c>
      <c r="R1196" s="4" t="inlineStr">
        <is>
          <t>iPhone</t>
        </is>
      </c>
      <c r="S1196" s="4" t="inlineStr">
        <is>
          <t>B24</t>
        </is>
      </c>
      <c r="T1196" s="4" t="inlineStr">
        <is>
          <t>RAMP_501_1500</t>
        </is>
      </c>
      <c r="U1196" s="4" t="inlineStr">
        <is>
          <t>CREATED</t>
        </is>
      </c>
      <c r="V1196" s="4" t="inlineStr">
        <is>
          <t>idem-20260902-ios-1195</t>
        </is>
      </c>
    </row>
    <row r="1197" ht="30" customHeight="1">
      <c r="A1197" s="4" t="n">
        <v>1196</v>
      </c>
      <c r="B1197" s="4" t="inlineStr">
        <is>
          <t>MTR-IOS-1196</t>
        </is>
      </c>
      <c r="C1197" s="4" t="inlineStr">
        <is>
          <t>Group</t>
        </is>
      </c>
      <c r="D1197" s="4" t="inlineStr">
        <is>
          <t>Shared Living</t>
        </is>
      </c>
      <c r="E1197" s="4" t="inlineStr">
        <is>
          <t>Family Household</t>
        </is>
      </c>
      <c r="F1197" s="4" t="inlineStr">
        <is>
          <t>Groceries</t>
        </is>
      </c>
      <c r="G1197" s="4" t="inlineStr">
        <is>
          <t>Expense</t>
        </is>
      </c>
      <c r="H1197" s="12" t="n">
        <v>46009</v>
      </c>
      <c r="I1197" s="13" t="n">
        <v>0.9166782407407408</v>
      </c>
      <c r="J1197" s="14" t="n">
        <v>46009.91667824074</v>
      </c>
      <c r="K1197" s="15" t="n">
        <v>10550.52</v>
      </c>
      <c r="L1197" s="4" t="inlineStr">
        <is>
          <t>INR</t>
        </is>
      </c>
      <c r="M1197" s="15" t="n">
        <v>-10550.52</v>
      </c>
      <c r="N1197" s="4" t="inlineStr">
        <is>
          <t>IOS Meera</t>
        </is>
      </c>
      <c r="O1197" s="4" t="n">
        <v>3</v>
      </c>
      <c r="P1197" s="4" t="inlineStr">
        <is>
          <t>EXACT</t>
        </is>
      </c>
      <c r="Q1197" s="4" t="inlineStr">
        <is>
          <t>MAESTRO-IOS-GROUP-FAMILY_HOUSEHOLD-1196 | Groceries | 10550.52</t>
        </is>
      </c>
      <c r="R1197" s="4" t="inlineStr">
        <is>
          <t>iPhone</t>
        </is>
      </c>
      <c r="S1197" s="4" t="inlineStr">
        <is>
          <t>B24</t>
        </is>
      </c>
      <c r="T1197" s="4" t="inlineStr">
        <is>
          <t>RAMP_501_1500</t>
        </is>
      </c>
      <c r="U1197" s="4" t="inlineStr">
        <is>
          <t>CREATED</t>
        </is>
      </c>
      <c r="V1197" s="4" t="inlineStr">
        <is>
          <t>idem-20260902-ios-1196</t>
        </is>
      </c>
    </row>
    <row r="1198" ht="30" customHeight="1">
      <c r="A1198" s="4" t="n">
        <v>1197</v>
      </c>
      <c r="B1198" s="4" t="inlineStr">
        <is>
          <t>MTR-IOS-1197</t>
        </is>
      </c>
      <c r="C1198" s="4" t="inlineStr">
        <is>
          <t>Business</t>
        </is>
      </c>
      <c r="D1198" s="4" t="inlineStr">
        <is>
          <t>Business</t>
        </is>
      </c>
      <c r="E1198" s="4" t="inlineStr">
        <is>
          <t>Business Operations</t>
        </is>
      </c>
      <c r="F1198" s="4" t="inlineStr">
        <is>
          <t>Tax</t>
        </is>
      </c>
      <c r="G1198" s="4" t="inlineStr">
        <is>
          <t>Expense</t>
        </is>
      </c>
      <c r="H1198" s="12" t="n">
        <v>45973</v>
      </c>
      <c r="I1198" s="13" t="n">
        <v>0.1556365740740741</v>
      </c>
      <c r="J1198" s="14" t="n">
        <v>45973.15563657408</v>
      </c>
      <c r="K1198" s="15" t="n">
        <v>92742.52</v>
      </c>
      <c r="L1198" s="4" t="inlineStr">
        <is>
          <t>INR</t>
        </is>
      </c>
      <c r="M1198" s="15" t="n">
        <v>-92742.52</v>
      </c>
      <c r="N1198" s="4" t="inlineStr">
        <is>
          <t>IOS Owner</t>
        </is>
      </c>
      <c r="O1198" s="4" t="n"/>
      <c r="P1198" s="4" t="n"/>
      <c r="Q1198" s="4" t="inlineStr">
        <is>
          <t>MAESTRO-IOS-BUSINESS-BUSINESS_OPERATIONS-1197 | Tax | 92742.52</t>
        </is>
      </c>
      <c r="R1198" s="4" t="inlineStr">
        <is>
          <t>iPhone</t>
        </is>
      </c>
      <c r="S1198" s="4" t="inlineStr">
        <is>
          <t>B24</t>
        </is>
      </c>
      <c r="T1198" s="4" t="inlineStr">
        <is>
          <t>RAMP_501_1500</t>
        </is>
      </c>
      <c r="U1198" s="4" t="inlineStr">
        <is>
          <t>CREATED</t>
        </is>
      </c>
      <c r="V1198" s="4" t="inlineStr">
        <is>
          <t>idem-20260902-ios-1197</t>
        </is>
      </c>
    </row>
    <row r="1199" ht="30" customHeight="1">
      <c r="A1199" s="4" t="n">
        <v>1198</v>
      </c>
      <c r="B1199" s="4" t="inlineStr">
        <is>
          <t>MTR-IOS-1198</t>
        </is>
      </c>
      <c r="C1199" s="4" t="inlineStr">
        <is>
          <t>Personal</t>
        </is>
      </c>
      <c r="D1199" s="4" t="inlineStr">
        <is>
          <t>Personal</t>
        </is>
      </c>
      <c r="E1199" s="4" t="inlineStr">
        <is>
          <t>Future Building</t>
        </is>
      </c>
      <c r="F1199" s="4" t="inlineStr">
        <is>
          <t>Emergency Fund</t>
        </is>
      </c>
      <c r="G1199" s="4" t="inlineStr">
        <is>
          <t>Transfer</t>
        </is>
      </c>
      <c r="H1199" s="12" t="n">
        <v>46036</v>
      </c>
      <c r="I1199" s="13" t="n">
        <v>0.1484953703703704</v>
      </c>
      <c r="J1199" s="14" t="n">
        <v>46036.14849537037</v>
      </c>
      <c r="K1199" s="15" t="n">
        <v>5.83</v>
      </c>
      <c r="L1199" s="4" t="inlineStr">
        <is>
          <t>INR</t>
        </is>
      </c>
      <c r="M1199" s="15" t="n">
        <v>0</v>
      </c>
      <c r="N1199" s="4" t="inlineStr">
        <is>
          <t>IOS Owner</t>
        </is>
      </c>
      <c r="O1199" s="4" t="n"/>
      <c r="P1199" s="4" t="n"/>
      <c r="Q1199" s="4" t="inlineStr">
        <is>
          <t>MAESTRO-IOS-PERSONAL-FUTURE_BUILDING-1198 | Emergency Fund | 5.83</t>
        </is>
      </c>
      <c r="R1199" s="4" t="inlineStr">
        <is>
          <t>iPhone</t>
        </is>
      </c>
      <c r="S1199" s="4" t="inlineStr">
        <is>
          <t>B24</t>
        </is>
      </c>
      <c r="T1199" s="4" t="inlineStr">
        <is>
          <t>RAMP_501_1500</t>
        </is>
      </c>
      <c r="U1199" s="4" t="inlineStr">
        <is>
          <t>CREATED</t>
        </is>
      </c>
      <c r="V1199" s="4" t="inlineStr">
        <is>
          <t>idem-20260902-ios-1198</t>
        </is>
      </c>
    </row>
    <row r="1200" ht="30" customHeight="1">
      <c r="A1200" s="4" t="n">
        <v>1199</v>
      </c>
      <c r="B1200" s="4" t="inlineStr">
        <is>
          <t>MTR-IOS-1199</t>
        </is>
      </c>
      <c r="C1200" s="4" t="inlineStr">
        <is>
          <t>Group</t>
        </is>
      </c>
      <c r="D1200" s="4" t="inlineStr">
        <is>
          <t>Shared Living</t>
        </is>
      </c>
      <c r="E1200" s="4" t="inlineStr">
        <is>
          <t>Family Household</t>
        </is>
      </c>
      <c r="F1200" s="4" t="inlineStr">
        <is>
          <t>Bills</t>
        </is>
      </c>
      <c r="G1200" s="4" t="inlineStr">
        <is>
          <t>Expense</t>
        </is>
      </c>
      <c r="H1200" s="12" t="n">
        <v>46250</v>
      </c>
      <c r="I1200" s="13" t="n">
        <v>0.5</v>
      </c>
      <c r="J1200" s="14" t="n">
        <v>46250.5</v>
      </c>
      <c r="K1200" s="15" t="n">
        <v>157.37</v>
      </c>
      <c r="L1200" s="4" t="inlineStr">
        <is>
          <t>INR</t>
        </is>
      </c>
      <c r="M1200" s="15" t="n">
        <v>-157.37</v>
      </c>
      <c r="N1200" s="4" t="inlineStr">
        <is>
          <t>IOS Owner</t>
        </is>
      </c>
      <c r="O1200" s="4" t="n">
        <v>3</v>
      </c>
      <c r="P1200" s="4" t="inlineStr">
        <is>
          <t>SHARES</t>
        </is>
      </c>
      <c r="Q1200" s="4" t="inlineStr">
        <is>
          <t>MAESTRO-IOS-GROUP-FAMILY_HOUSEHOLD-1199 | Bills | 157.37</t>
        </is>
      </c>
      <c r="R1200" s="4" t="inlineStr">
        <is>
          <t>iPhone</t>
        </is>
      </c>
      <c r="S1200" s="4" t="inlineStr">
        <is>
          <t>B24</t>
        </is>
      </c>
      <c r="T1200" s="4" t="inlineStr">
        <is>
          <t>RAMP_501_1500</t>
        </is>
      </c>
      <c r="U1200" s="4" t="inlineStr">
        <is>
          <t>CREATED</t>
        </is>
      </c>
      <c r="V1200" s="4" t="inlineStr">
        <is>
          <t>idem-20260902-ios-1199</t>
        </is>
      </c>
    </row>
    <row r="1201" ht="30" customHeight="1">
      <c r="A1201" s="4" t="n">
        <v>1200</v>
      </c>
      <c r="B1201" s="4" t="inlineStr">
        <is>
          <t>MTR-IOS-1200</t>
        </is>
      </c>
      <c r="C1201" s="4" t="inlineStr">
        <is>
          <t>Business</t>
        </is>
      </c>
      <c r="D1201" s="4" t="inlineStr">
        <is>
          <t>Business</t>
        </is>
      </c>
      <c r="E1201" s="4" t="inlineStr">
        <is>
          <t>Team Operations</t>
        </is>
      </c>
      <c r="F1201" s="4" t="inlineStr">
        <is>
          <t>Payroll</t>
        </is>
      </c>
      <c r="G1201" s="4" t="inlineStr">
        <is>
          <t>Expense</t>
        </is>
      </c>
      <c r="H1201" s="12" t="n">
        <v>46228</v>
      </c>
      <c r="I1201" s="13" t="n">
        <v>0.4945717592592593</v>
      </c>
      <c r="J1201" s="14" t="n">
        <v>46228.49457175926</v>
      </c>
      <c r="K1201" s="15" t="n">
        <v>122299.37</v>
      </c>
      <c r="L1201" s="4" t="inlineStr">
        <is>
          <t>INR</t>
        </is>
      </c>
      <c r="M1201" s="15" t="n">
        <v>-122299.37</v>
      </c>
      <c r="N1201" s="4" t="inlineStr">
        <is>
          <t>IOS Owner</t>
        </is>
      </c>
      <c r="O1201" s="4" t="n"/>
      <c r="P1201" s="4" t="n"/>
      <c r="Q1201" s="4" t="inlineStr">
        <is>
          <t>MAESTRO-IOS-BUSINESS-TEAM_OPERATIONS-1200 | Payroll | 122299.37</t>
        </is>
      </c>
      <c r="R1201" s="4" t="inlineStr">
        <is>
          <t>iPhone</t>
        </is>
      </c>
      <c r="S1201" s="4" t="inlineStr">
        <is>
          <t>B24</t>
        </is>
      </c>
      <c r="T1201" s="4" t="inlineStr">
        <is>
          <t>RAMP_501_1500</t>
        </is>
      </c>
      <c r="U1201" s="4" t="inlineStr">
        <is>
          <t>CREATED</t>
        </is>
      </c>
      <c r="V1201" s="4" t="inlineStr">
        <is>
          <t>idem-20260902-ios-1200</t>
        </is>
      </c>
    </row>
    <row r="1202" ht="30" customHeight="1">
      <c r="A1202" s="4" t="n">
        <v>1201</v>
      </c>
      <c r="B1202" s="4" t="inlineStr">
        <is>
          <t>MTR-IOS-1201</t>
        </is>
      </c>
      <c r="C1202" s="4" t="inlineStr">
        <is>
          <t>Personal</t>
        </is>
      </c>
      <c r="D1202" s="4" t="inlineStr">
        <is>
          <t>Personal</t>
        </is>
      </c>
      <c r="E1202" s="4" t="inlineStr">
        <is>
          <t>Future Building</t>
        </is>
      </c>
      <c r="F1202" s="4" t="inlineStr">
        <is>
          <t>Investments</t>
        </is>
      </c>
      <c r="G1202" s="4" t="inlineStr">
        <is>
          <t>Investment</t>
        </is>
      </c>
      <c r="H1202" s="12" t="n">
        <v>45953</v>
      </c>
      <c r="I1202" s="13" t="n">
        <v>0.4158217592592592</v>
      </c>
      <c r="J1202" s="14" t="n">
        <v>45953.41582175926</v>
      </c>
      <c r="K1202" s="15" t="n">
        <v>16503.89</v>
      </c>
      <c r="L1202" s="4" t="inlineStr">
        <is>
          <t>INR</t>
        </is>
      </c>
      <c r="M1202" s="15" t="n">
        <v>0</v>
      </c>
      <c r="N1202" s="4" t="inlineStr">
        <is>
          <t>IOS Owner</t>
        </is>
      </c>
      <c r="O1202" s="4" t="n"/>
      <c r="P1202" s="4" t="n"/>
      <c r="Q1202" s="4" t="inlineStr">
        <is>
          <t>MAESTRO-IOS-PERSONAL-FUTURE_BUILDING-1201 | Investments | 16503.89</t>
        </is>
      </c>
      <c r="R1202" s="4" t="inlineStr">
        <is>
          <t>iPhone</t>
        </is>
      </c>
      <c r="S1202" s="4" t="inlineStr">
        <is>
          <t>B25</t>
        </is>
      </c>
      <c r="T1202" s="4" t="inlineStr">
        <is>
          <t>RAMP_501_1500</t>
        </is>
      </c>
      <c r="U1202" s="4" t="inlineStr">
        <is>
          <t>CREATED</t>
        </is>
      </c>
      <c r="V1202" s="4" t="inlineStr">
        <is>
          <t>idem-20260902-ios-1201</t>
        </is>
      </c>
    </row>
    <row r="1203" ht="30" customHeight="1">
      <c r="A1203" s="4" t="n">
        <v>1202</v>
      </c>
      <c r="B1203" s="4" t="inlineStr">
        <is>
          <t>MTR-IOS-1202</t>
        </is>
      </c>
      <c r="C1203" s="4" t="inlineStr">
        <is>
          <t>Group</t>
        </is>
      </c>
      <c r="D1203" s="4" t="inlineStr">
        <is>
          <t>Shared Living</t>
        </is>
      </c>
      <c r="E1203" s="4" t="inlineStr">
        <is>
          <t>Family Household</t>
        </is>
      </c>
      <c r="F1203" s="4" t="inlineStr">
        <is>
          <t>School</t>
        </is>
      </c>
      <c r="G1203" s="4" t="inlineStr">
        <is>
          <t>Expense</t>
        </is>
      </c>
      <c r="H1203" s="12" t="n">
        <v>46104</v>
      </c>
      <c r="I1203" s="13" t="n">
        <v>0.9545717592592593</v>
      </c>
      <c r="J1203" s="14" t="n">
        <v>46104.95457175926</v>
      </c>
      <c r="K1203" s="15" t="n">
        <v>17931.08</v>
      </c>
      <c r="L1203" s="4" t="inlineStr">
        <is>
          <t>INR</t>
        </is>
      </c>
      <c r="M1203" s="15" t="n">
        <v>-17931.08</v>
      </c>
      <c r="N1203" s="4" t="inlineStr">
        <is>
          <t>IOS Aarav</t>
        </is>
      </c>
      <c r="O1203" s="4" t="n">
        <v>3</v>
      </c>
      <c r="P1203" s="4" t="inlineStr">
        <is>
          <t>EQUAL</t>
        </is>
      </c>
      <c r="Q1203" s="4" t="inlineStr">
        <is>
          <t>MAESTRO-IOS-GROUP-FAMILY_HOUSEHOLD-1202 | School | 17931.08</t>
        </is>
      </c>
      <c r="R1203" s="4" t="inlineStr">
        <is>
          <t>iPhone</t>
        </is>
      </c>
      <c r="S1203" s="4" t="inlineStr">
        <is>
          <t>B25</t>
        </is>
      </c>
      <c r="T1203" s="4" t="inlineStr">
        <is>
          <t>RAMP_501_1500</t>
        </is>
      </c>
      <c r="U1203" s="4" t="inlineStr">
        <is>
          <t>CREATED</t>
        </is>
      </c>
      <c r="V1203" s="4" t="inlineStr">
        <is>
          <t>idem-20260902-ios-1202</t>
        </is>
      </c>
    </row>
    <row r="1204" ht="30" customHeight="1">
      <c r="A1204" s="4" t="n">
        <v>1203</v>
      </c>
      <c r="B1204" s="4" t="inlineStr">
        <is>
          <t>MTR-IOS-1203</t>
        </is>
      </c>
      <c r="C1204" s="4" t="inlineStr">
        <is>
          <t>Business</t>
        </is>
      </c>
      <c r="D1204" s="4" t="inlineStr">
        <is>
          <t>Business</t>
        </is>
      </c>
      <c r="E1204" s="4" t="inlineStr">
        <is>
          <t>Team Operations</t>
        </is>
      </c>
      <c r="F1204" s="4" t="inlineStr">
        <is>
          <t>Contractor</t>
        </is>
      </c>
      <c r="G1204" s="4" t="inlineStr">
        <is>
          <t>Expense</t>
        </is>
      </c>
      <c r="H1204" s="12" t="n">
        <v>46035</v>
      </c>
      <c r="I1204" s="13" t="n">
        <v>0.2786342592592593</v>
      </c>
      <c r="J1204" s="14" t="n">
        <v>46035.27863425926</v>
      </c>
      <c r="K1204" s="15" t="n">
        <v>101146.02</v>
      </c>
      <c r="L1204" s="4" t="inlineStr">
        <is>
          <t>INR</t>
        </is>
      </c>
      <c r="M1204" s="15" t="n">
        <v>-101146.02</v>
      </c>
      <c r="N1204" s="4" t="inlineStr">
        <is>
          <t>IOS Owner</t>
        </is>
      </c>
      <c r="O1204" s="4" t="n"/>
      <c r="P1204" s="4" t="n"/>
      <c r="Q1204" s="4" t="inlineStr">
        <is>
          <t>MAESTRO-IOS-BUSINESS-TEAM_OPERATIONS-1203 | Contractor | 101146.02</t>
        </is>
      </c>
      <c r="R1204" s="4" t="inlineStr">
        <is>
          <t>iPhone</t>
        </is>
      </c>
      <c r="S1204" s="4" t="inlineStr">
        <is>
          <t>B25</t>
        </is>
      </c>
      <c r="T1204" s="4" t="inlineStr">
        <is>
          <t>RAMP_501_1500</t>
        </is>
      </c>
      <c r="U1204" s="4" t="inlineStr">
        <is>
          <t>CREATED</t>
        </is>
      </c>
      <c r="V1204" s="4" t="inlineStr">
        <is>
          <t>idem-20260902-ios-1203</t>
        </is>
      </c>
    </row>
    <row r="1205" ht="30" customHeight="1">
      <c r="A1205" s="4" t="n">
        <v>1204</v>
      </c>
      <c r="B1205" s="4" t="inlineStr">
        <is>
          <t>MTR-IOS-1204</t>
        </is>
      </c>
      <c r="C1205" s="4" t="inlineStr">
        <is>
          <t>Personal</t>
        </is>
      </c>
      <c r="D1205" s="4" t="inlineStr">
        <is>
          <t>Personal</t>
        </is>
      </c>
      <c r="E1205" s="4" t="inlineStr">
        <is>
          <t>Future Building</t>
        </is>
      </c>
      <c r="F1205" s="4" t="inlineStr">
        <is>
          <t>Education</t>
        </is>
      </c>
      <c r="G1205" s="4" t="inlineStr">
        <is>
          <t>Expense</t>
        </is>
      </c>
      <c r="H1205" s="12" t="n">
        <v>45988</v>
      </c>
      <c r="I1205" s="13" t="n">
        <v>0.8468171296296296</v>
      </c>
      <c r="J1205" s="14" t="n">
        <v>45988.84681712963</v>
      </c>
      <c r="K1205" s="15" t="n">
        <v>10268.89</v>
      </c>
      <c r="L1205" s="4" t="inlineStr">
        <is>
          <t>INR</t>
        </is>
      </c>
      <c r="M1205" s="15" t="n">
        <v>-10268.89</v>
      </c>
      <c r="N1205" s="4" t="inlineStr">
        <is>
          <t>IOS Owner</t>
        </is>
      </c>
      <c r="O1205" s="4" t="n"/>
      <c r="P1205" s="4" t="n"/>
      <c r="Q1205" s="4" t="inlineStr">
        <is>
          <t>MAESTRO-IOS-PERSONAL-FUTURE_BUILDING-1204 | Education | 10268.89</t>
        </is>
      </c>
      <c r="R1205" s="4" t="inlineStr">
        <is>
          <t>iPhone</t>
        </is>
      </c>
      <c r="S1205" s="4" t="inlineStr">
        <is>
          <t>B25</t>
        </is>
      </c>
      <c r="T1205" s="4" t="inlineStr">
        <is>
          <t>RAMP_501_1500</t>
        </is>
      </c>
      <c r="U1205" s="4" t="inlineStr">
        <is>
          <t>CREATED</t>
        </is>
      </c>
      <c r="V1205" s="4" t="inlineStr">
        <is>
          <t>idem-20260902-ios-1204</t>
        </is>
      </c>
    </row>
    <row r="1206" ht="30" customHeight="1">
      <c r="A1206" s="4" t="n">
        <v>1205</v>
      </c>
      <c r="B1206" s="4" t="inlineStr">
        <is>
          <t>MTR-IOS-1205</t>
        </is>
      </c>
      <c r="C1206" s="4" t="inlineStr">
        <is>
          <t>Group</t>
        </is>
      </c>
      <c r="D1206" s="4" t="inlineStr">
        <is>
          <t>Shared Living</t>
        </is>
      </c>
      <c r="E1206" s="4" t="inlineStr">
        <is>
          <t>Family Household</t>
        </is>
      </c>
      <c r="F1206" s="4" t="inlineStr">
        <is>
          <t>Healthcare</t>
        </is>
      </c>
      <c r="G1206" s="4" t="inlineStr">
        <is>
          <t>Expense</t>
        </is>
      </c>
      <c r="H1206" s="12" t="n">
        <v>46260</v>
      </c>
      <c r="I1206" s="13" t="n">
        <v>0.7847685185185185</v>
      </c>
      <c r="J1206" s="14" t="n">
        <v>46260.78476851852</v>
      </c>
      <c r="K1206" s="15" t="n">
        <v>14056.61</v>
      </c>
      <c r="L1206" s="4" t="inlineStr">
        <is>
          <t>INR</t>
        </is>
      </c>
      <c r="M1206" s="15" t="n">
        <v>-14056.61</v>
      </c>
      <c r="N1206" s="4" t="inlineStr">
        <is>
          <t>IOS Meera</t>
        </is>
      </c>
      <c r="O1206" s="4" t="n">
        <v>3</v>
      </c>
      <c r="P1206" s="4" t="inlineStr">
        <is>
          <t>PERCENTAGE</t>
        </is>
      </c>
      <c r="Q1206" s="4" t="inlineStr">
        <is>
          <t>MAESTRO-IOS-GROUP-FAMILY_HOUSEHOLD-1205 | Healthcare | 14056.61</t>
        </is>
      </c>
      <c r="R1206" s="4" t="inlineStr">
        <is>
          <t>iPhone</t>
        </is>
      </c>
      <c r="S1206" s="4" t="inlineStr">
        <is>
          <t>B25</t>
        </is>
      </c>
      <c r="T1206" s="4" t="inlineStr">
        <is>
          <t>RAMP_501_1500</t>
        </is>
      </c>
      <c r="U1206" s="4" t="inlineStr">
        <is>
          <t>CREATED</t>
        </is>
      </c>
      <c r="V1206" s="4" t="inlineStr">
        <is>
          <t>idem-20260902-ios-1205</t>
        </is>
      </c>
    </row>
    <row r="1207" ht="30" customHeight="1">
      <c r="A1207" s="4" t="n">
        <v>1206</v>
      </c>
      <c r="B1207" s="4" t="inlineStr">
        <is>
          <t>MTR-IOS-1206</t>
        </is>
      </c>
      <c r="C1207" s="4" t="inlineStr">
        <is>
          <t>Business</t>
        </is>
      </c>
      <c r="D1207" s="4" t="inlineStr">
        <is>
          <t>Business</t>
        </is>
      </c>
      <c r="E1207" s="4" t="inlineStr">
        <is>
          <t>Team Operations</t>
        </is>
      </c>
      <c r="F1207" s="4" t="inlineStr">
        <is>
          <t>Hiring</t>
        </is>
      </c>
      <c r="G1207" s="4" t="inlineStr">
        <is>
          <t>Expense</t>
        </is>
      </c>
      <c r="H1207" s="12" t="n">
        <v>45913</v>
      </c>
      <c r="I1207" s="13" t="n">
        <v>0.1183796296296296</v>
      </c>
      <c r="J1207" s="14" t="n">
        <v>45913.11837962963</v>
      </c>
      <c r="K1207" s="15" t="n">
        <v>127150.9</v>
      </c>
      <c r="L1207" s="4" t="inlineStr">
        <is>
          <t>INR</t>
        </is>
      </c>
      <c r="M1207" s="15" t="n">
        <v>-127150.9</v>
      </c>
      <c r="N1207" s="4" t="inlineStr">
        <is>
          <t>IOS Owner</t>
        </is>
      </c>
      <c r="O1207" s="4" t="n"/>
      <c r="P1207" s="4" t="n"/>
      <c r="Q1207" s="4" t="inlineStr">
        <is>
          <t>MAESTRO-IOS-BUSINESS-TEAM_OPERATIONS-1206 | Hiring | 127150.90</t>
        </is>
      </c>
      <c r="R1207" s="4" t="inlineStr">
        <is>
          <t>iPhone</t>
        </is>
      </c>
      <c r="S1207" s="4" t="inlineStr">
        <is>
          <t>B25</t>
        </is>
      </c>
      <c r="T1207" s="4" t="inlineStr">
        <is>
          <t>RAMP_501_1500</t>
        </is>
      </c>
      <c r="U1207" s="4" t="inlineStr">
        <is>
          <t>CREATED</t>
        </is>
      </c>
      <c r="V1207" s="4" t="inlineStr">
        <is>
          <t>idem-20260902-ios-1206</t>
        </is>
      </c>
    </row>
    <row r="1208" ht="30" customHeight="1">
      <c r="A1208" s="4" t="n">
        <v>1207</v>
      </c>
      <c r="B1208" s="4" t="inlineStr">
        <is>
          <t>MTR-IOS-1207</t>
        </is>
      </c>
      <c r="C1208" s="4" t="inlineStr">
        <is>
          <t>Personal</t>
        </is>
      </c>
      <c r="D1208" s="4" t="inlineStr">
        <is>
          <t>Personal</t>
        </is>
      </c>
      <c r="E1208" s="4" t="inlineStr">
        <is>
          <t>Future Building</t>
        </is>
      </c>
      <c r="F1208" s="4" t="inlineStr">
        <is>
          <t>Goal Contribution</t>
        </is>
      </c>
      <c r="G1208" s="4" t="inlineStr">
        <is>
          <t>Transfer</t>
        </is>
      </c>
      <c r="H1208" s="12" t="n">
        <v>46085</v>
      </c>
      <c r="I1208" s="13" t="n">
        <v>0.9859490740740741</v>
      </c>
      <c r="J1208" s="14" t="n">
        <v>46085.98594907407</v>
      </c>
      <c r="K1208" s="15" t="n">
        <v>1496.54</v>
      </c>
      <c r="L1208" s="4" t="inlineStr">
        <is>
          <t>INR</t>
        </is>
      </c>
      <c r="M1208" s="15" t="n">
        <v>0</v>
      </c>
      <c r="N1208" s="4" t="inlineStr">
        <is>
          <t>IOS Owner</t>
        </is>
      </c>
      <c r="O1208" s="4" t="n"/>
      <c r="P1208" s="4" t="n"/>
      <c r="Q1208" s="4" t="inlineStr">
        <is>
          <t>MAESTRO-IOS-PERSONAL-FUTURE_BUILDING-1207 | Goal Contribution | 1496.54</t>
        </is>
      </c>
      <c r="R1208" s="4" t="inlineStr">
        <is>
          <t>iPhone</t>
        </is>
      </c>
      <c r="S1208" s="4" t="inlineStr">
        <is>
          <t>B25</t>
        </is>
      </c>
      <c r="T1208" s="4" t="inlineStr">
        <is>
          <t>RAMP_501_1500</t>
        </is>
      </c>
      <c r="U1208" s="4" t="inlineStr">
        <is>
          <t>CREATED</t>
        </is>
      </c>
      <c r="V1208" s="4" t="inlineStr">
        <is>
          <t>idem-20260902-ios-1207</t>
        </is>
      </c>
    </row>
    <row r="1209" ht="30" customHeight="1">
      <c r="A1209" s="4" t="n">
        <v>1208</v>
      </c>
      <c r="B1209" s="4" t="inlineStr">
        <is>
          <t>MTR-IOS-1208</t>
        </is>
      </c>
      <c r="C1209" s="4" t="inlineStr">
        <is>
          <t>Group</t>
        </is>
      </c>
      <c r="D1209" s="4" t="inlineStr">
        <is>
          <t>Shared Living</t>
        </is>
      </c>
      <c r="E1209" s="4" t="inlineStr">
        <is>
          <t>Family Household</t>
        </is>
      </c>
      <c r="F1209" s="4" t="inlineStr">
        <is>
          <t>Home</t>
        </is>
      </c>
      <c r="G1209" s="4" t="inlineStr">
        <is>
          <t>Expense</t>
        </is>
      </c>
      <c r="H1209" s="12" t="n">
        <v>46182</v>
      </c>
      <c r="I1209" s="13" t="n">
        <v>0.6519791666666667</v>
      </c>
      <c r="J1209" s="14" t="n">
        <v>46182.65197916667</v>
      </c>
      <c r="K1209" s="15" t="n">
        <v>5458.31</v>
      </c>
      <c r="L1209" s="4" t="inlineStr">
        <is>
          <t>INR</t>
        </is>
      </c>
      <c r="M1209" s="15" t="n">
        <v>-5458.31</v>
      </c>
      <c r="N1209" s="4" t="inlineStr">
        <is>
          <t>IOS Owner</t>
        </is>
      </c>
      <c r="O1209" s="4" t="n">
        <v>3</v>
      </c>
      <c r="P1209" s="4" t="inlineStr">
        <is>
          <t>EXACT</t>
        </is>
      </c>
      <c r="Q1209" s="4" t="inlineStr">
        <is>
          <t>MAESTRO-IOS-GROUP-FAMILY_HOUSEHOLD-1208 | Home | 5458.31</t>
        </is>
      </c>
      <c r="R1209" s="4" t="inlineStr">
        <is>
          <t>iPhone</t>
        </is>
      </c>
      <c r="S1209" s="4" t="inlineStr">
        <is>
          <t>B25</t>
        </is>
      </c>
      <c r="T1209" s="4" t="inlineStr">
        <is>
          <t>RAMP_501_1500</t>
        </is>
      </c>
      <c r="U1209" s="4" t="inlineStr">
        <is>
          <t>CREATED</t>
        </is>
      </c>
      <c r="V1209" s="4" t="inlineStr">
        <is>
          <t>idem-20260902-ios-1208</t>
        </is>
      </c>
    </row>
    <row r="1210" ht="30" customHeight="1">
      <c r="A1210" s="4" t="n">
        <v>1209</v>
      </c>
      <c r="B1210" s="4" t="inlineStr">
        <is>
          <t>MTR-IOS-1209</t>
        </is>
      </c>
      <c r="C1210" s="4" t="inlineStr">
        <is>
          <t>Business</t>
        </is>
      </c>
      <c r="D1210" s="4" t="inlineStr">
        <is>
          <t>Business</t>
        </is>
      </c>
      <c r="E1210" s="4" t="inlineStr">
        <is>
          <t>Team Operations</t>
        </is>
      </c>
      <c r="F1210" s="4" t="inlineStr">
        <is>
          <t>Team Meal</t>
        </is>
      </c>
      <c r="G1210" s="4" t="inlineStr">
        <is>
          <t>Expense</t>
        </is>
      </c>
      <c r="H1210" s="12" t="n">
        <v>46126</v>
      </c>
      <c r="I1210" s="13" t="n">
        <v>0.9220023148148148</v>
      </c>
      <c r="J1210" s="14" t="n">
        <v>46126.92200231482</v>
      </c>
      <c r="K1210" s="15" t="n">
        <v>121795.48</v>
      </c>
      <c r="L1210" s="4" t="inlineStr">
        <is>
          <t>INR</t>
        </is>
      </c>
      <c r="M1210" s="15" t="n">
        <v>-121795.48</v>
      </c>
      <c r="N1210" s="4" t="inlineStr">
        <is>
          <t>IOS Owner</t>
        </is>
      </c>
      <c r="O1210" s="4" t="n"/>
      <c r="P1210" s="4" t="n"/>
      <c r="Q1210" s="4" t="inlineStr">
        <is>
          <t>MAESTRO-IOS-BUSINESS-TEAM_OPERATIONS-1209 | Team Meal | 121795.48</t>
        </is>
      </c>
      <c r="R1210" s="4" t="inlineStr">
        <is>
          <t>iPhone</t>
        </is>
      </c>
      <c r="S1210" s="4" t="inlineStr">
        <is>
          <t>B25</t>
        </is>
      </c>
      <c r="T1210" s="4" t="inlineStr">
        <is>
          <t>RAMP_501_1500</t>
        </is>
      </c>
      <c r="U1210" s="4" t="inlineStr">
        <is>
          <t>CREATED</t>
        </is>
      </c>
      <c r="V1210" s="4" t="inlineStr">
        <is>
          <t>idem-20260902-ios-1209</t>
        </is>
      </c>
    </row>
    <row r="1211" ht="30" customHeight="1">
      <c r="A1211" s="4" t="n">
        <v>1210</v>
      </c>
      <c r="B1211" s="4" t="inlineStr">
        <is>
          <t>MTR-IOS-1210</t>
        </is>
      </c>
      <c r="C1211" s="4" t="inlineStr">
        <is>
          <t>Personal</t>
        </is>
      </c>
      <c r="D1211" s="4" t="inlineStr">
        <is>
          <t>Personal</t>
        </is>
      </c>
      <c r="E1211" s="4" t="inlineStr">
        <is>
          <t>Lifestyle</t>
        </is>
      </c>
      <c r="F1211" s="4" t="inlineStr">
        <is>
          <t>Dining</t>
        </is>
      </c>
      <c r="G1211" s="4" t="inlineStr">
        <is>
          <t>Expense</t>
        </is>
      </c>
      <c r="H1211" s="12" t="n">
        <v>46104</v>
      </c>
      <c r="I1211" s="13" t="n">
        <v>0.4882986111111111</v>
      </c>
      <c r="J1211" s="14" t="n">
        <v>46104.48829861111</v>
      </c>
      <c r="K1211" s="15" t="n">
        <v>595.79</v>
      </c>
      <c r="L1211" s="4" t="inlineStr">
        <is>
          <t>INR</t>
        </is>
      </c>
      <c r="M1211" s="15" t="n">
        <v>-595.79</v>
      </c>
      <c r="N1211" s="4" t="inlineStr">
        <is>
          <t>IOS Owner</t>
        </is>
      </c>
      <c r="O1211" s="4" t="n"/>
      <c r="P1211" s="4" t="n"/>
      <c r="Q1211" s="4" t="inlineStr">
        <is>
          <t>MAESTRO-IOS-PERSONAL-LIFESTYLE-1210 | Dining | 595.79</t>
        </is>
      </c>
      <c r="R1211" s="4" t="inlineStr">
        <is>
          <t>iPhone</t>
        </is>
      </c>
      <c r="S1211" s="4" t="inlineStr">
        <is>
          <t>B25</t>
        </is>
      </c>
      <c r="T1211" s="4" t="inlineStr">
        <is>
          <t>RAMP_501_1500</t>
        </is>
      </c>
      <c r="U1211" s="4" t="inlineStr">
        <is>
          <t>CREATED</t>
        </is>
      </c>
      <c r="V1211" s="4" t="inlineStr">
        <is>
          <t>idem-20260902-ios-1210</t>
        </is>
      </c>
    </row>
    <row r="1212" ht="30" customHeight="1">
      <c r="A1212" s="4" t="n">
        <v>1211</v>
      </c>
      <c r="B1212" s="4" t="inlineStr">
        <is>
          <t>MTR-IOS-1211</t>
        </is>
      </c>
      <c r="C1212" s="4" t="inlineStr">
        <is>
          <t>Group</t>
        </is>
      </c>
      <c r="D1212" s="4" t="inlineStr">
        <is>
          <t>Shared Living</t>
        </is>
      </c>
      <c r="E1212" s="4" t="inlineStr">
        <is>
          <t>Family Household</t>
        </is>
      </c>
      <c r="F1212" s="4" t="inlineStr">
        <is>
          <t>Other</t>
        </is>
      </c>
      <c r="G1212" s="4" t="inlineStr">
        <is>
          <t>Expense</t>
        </is>
      </c>
      <c r="H1212" s="12" t="n">
        <v>46136</v>
      </c>
      <c r="I1212" s="13" t="n">
        <v>0.08457175925925926</v>
      </c>
      <c r="J1212" s="14" t="n">
        <v>46136.08457175926</v>
      </c>
      <c r="K1212" s="15" t="n">
        <v>1109.69</v>
      </c>
      <c r="L1212" s="4" t="inlineStr">
        <is>
          <t>INR</t>
        </is>
      </c>
      <c r="M1212" s="15" t="n">
        <v>-1109.69</v>
      </c>
      <c r="N1212" s="4" t="inlineStr">
        <is>
          <t>IOS Aarav</t>
        </is>
      </c>
      <c r="O1212" s="4" t="n">
        <v>3</v>
      </c>
      <c r="P1212" s="4" t="inlineStr">
        <is>
          <t>SHARES</t>
        </is>
      </c>
      <c r="Q1212" s="4" t="inlineStr">
        <is>
          <t>MAESTRO-IOS-GROUP-FAMILY_HOUSEHOLD-1211 | Other | 1109.69</t>
        </is>
      </c>
      <c r="R1212" s="4" t="inlineStr">
        <is>
          <t>iPhone</t>
        </is>
      </c>
      <c r="S1212" s="4" t="inlineStr">
        <is>
          <t>B25</t>
        </is>
      </c>
      <c r="T1212" s="4" t="inlineStr">
        <is>
          <t>RAMP_501_1500</t>
        </is>
      </c>
      <c r="U1212" s="4" t="inlineStr">
        <is>
          <t>CREATED</t>
        </is>
      </c>
      <c r="V1212" s="4" t="inlineStr">
        <is>
          <t>idem-20260902-ios-1211</t>
        </is>
      </c>
    </row>
    <row r="1213" ht="30" customHeight="1">
      <c r="A1213" s="4" t="n">
        <v>1212</v>
      </c>
      <c r="B1213" s="4" t="inlineStr">
        <is>
          <t>MTR-IOS-1212</t>
        </is>
      </c>
      <c r="C1213" s="4" t="inlineStr">
        <is>
          <t>Business</t>
        </is>
      </c>
      <c r="D1213" s="4" t="inlineStr">
        <is>
          <t>Business</t>
        </is>
      </c>
      <c r="E1213" s="4" t="inlineStr">
        <is>
          <t>Team Operations</t>
        </is>
      </c>
      <c r="F1213" s="4" t="inlineStr">
        <is>
          <t>Travel</t>
        </is>
      </c>
      <c r="G1213" s="4" t="inlineStr">
        <is>
          <t>Expense</t>
        </is>
      </c>
      <c r="H1213" s="12" t="n">
        <v>46190</v>
      </c>
      <c r="I1213" s="13" t="n">
        <v>0.1274421296296296</v>
      </c>
      <c r="J1213" s="14" t="n">
        <v>46190.12744212963</v>
      </c>
      <c r="K1213" s="15" t="n">
        <v>39987.29</v>
      </c>
      <c r="L1213" s="4" t="inlineStr">
        <is>
          <t>INR</t>
        </is>
      </c>
      <c r="M1213" s="15" t="n">
        <v>-39987.29</v>
      </c>
      <c r="N1213" s="4" t="inlineStr">
        <is>
          <t>IOS Owner</t>
        </is>
      </c>
      <c r="O1213" s="4" t="n"/>
      <c r="P1213" s="4" t="n"/>
      <c r="Q1213" s="4" t="inlineStr">
        <is>
          <t>MAESTRO-IOS-BUSINESS-TEAM_OPERATIONS-1212 | Travel | 39987.29</t>
        </is>
      </c>
      <c r="R1213" s="4" t="inlineStr">
        <is>
          <t>iPhone</t>
        </is>
      </c>
      <c r="S1213" s="4" t="inlineStr">
        <is>
          <t>B25</t>
        </is>
      </c>
      <c r="T1213" s="4" t="inlineStr">
        <is>
          <t>RAMP_501_1500</t>
        </is>
      </c>
      <c r="U1213" s="4" t="inlineStr">
        <is>
          <t>CREATED</t>
        </is>
      </c>
      <c r="V1213" s="4" t="inlineStr">
        <is>
          <t>idem-20260902-ios-1212</t>
        </is>
      </c>
    </row>
    <row r="1214" ht="30" customHeight="1">
      <c r="A1214" s="4" t="n">
        <v>1213</v>
      </c>
      <c r="B1214" s="4" t="inlineStr">
        <is>
          <t>MTR-IOS-1213</t>
        </is>
      </c>
      <c r="C1214" s="4" t="inlineStr">
        <is>
          <t>Personal</t>
        </is>
      </c>
      <c r="D1214" s="4" t="inlineStr">
        <is>
          <t>Personal</t>
        </is>
      </c>
      <c r="E1214" s="4" t="inlineStr">
        <is>
          <t>Lifestyle</t>
        </is>
      </c>
      <c r="F1214" s="4" t="inlineStr">
        <is>
          <t>Shopping</t>
        </is>
      </c>
      <c r="G1214" s="4" t="inlineStr">
        <is>
          <t>Expense</t>
        </is>
      </c>
      <c r="H1214" s="12" t="n">
        <v>46051</v>
      </c>
      <c r="I1214" s="13" t="n">
        <v>0.4031018518518519</v>
      </c>
      <c r="J1214" s="14" t="n">
        <v>46051.40310185185</v>
      </c>
      <c r="K1214" s="15" t="n">
        <v>15877.26</v>
      </c>
      <c r="L1214" s="4" t="inlineStr">
        <is>
          <t>INR</t>
        </is>
      </c>
      <c r="M1214" s="15" t="n">
        <v>-15877.26</v>
      </c>
      <c r="N1214" s="4" t="inlineStr">
        <is>
          <t>IOS Owner</t>
        </is>
      </c>
      <c r="O1214" s="4" t="n"/>
      <c r="P1214" s="4" t="n"/>
      <c r="Q1214" s="4" t="inlineStr">
        <is>
          <t>MAESTRO-IOS-PERSONAL-LIFESTYLE-1213 | Shopping | 15877.26</t>
        </is>
      </c>
      <c r="R1214" s="4" t="inlineStr">
        <is>
          <t>iPhone</t>
        </is>
      </c>
      <c r="S1214" s="4" t="inlineStr">
        <is>
          <t>B25</t>
        </is>
      </c>
      <c r="T1214" s="4" t="inlineStr">
        <is>
          <t>RAMP_501_1500</t>
        </is>
      </c>
      <c r="U1214" s="4" t="inlineStr">
        <is>
          <t>CREATED</t>
        </is>
      </c>
      <c r="V1214" s="4" t="inlineStr">
        <is>
          <t>idem-20260902-ios-1213</t>
        </is>
      </c>
    </row>
    <row r="1215" ht="30" customHeight="1">
      <c r="A1215" s="4" t="n">
        <v>1214</v>
      </c>
      <c r="B1215" s="4" t="inlineStr">
        <is>
          <t>MTR-IOS-1214</t>
        </is>
      </c>
      <c r="C1215" s="4" t="inlineStr">
        <is>
          <t>Group</t>
        </is>
      </c>
      <c r="D1215" s="4" t="inlineStr">
        <is>
          <t>Shared Living</t>
        </is>
      </c>
      <c r="E1215" s="4" t="inlineStr">
        <is>
          <t>Custom Living</t>
        </is>
      </c>
      <c r="F1215" s="4" t="inlineStr">
        <is>
          <t>Custom Expense</t>
        </is>
      </c>
      <c r="G1215" s="4" t="inlineStr">
        <is>
          <t>Expense</t>
        </is>
      </c>
      <c r="H1215" s="12" t="n">
        <v>46079</v>
      </c>
      <c r="I1215" s="13" t="n">
        <v>0.9944212962962963</v>
      </c>
      <c r="J1215" s="14" t="n">
        <v>46079.99442129629</v>
      </c>
      <c r="K1215" s="15" t="n">
        <v>9238.32</v>
      </c>
      <c r="L1215" s="4" t="inlineStr">
        <is>
          <t>INR</t>
        </is>
      </c>
      <c r="M1215" s="15" t="n">
        <v>-9238.32</v>
      </c>
      <c r="N1215" s="4" t="inlineStr">
        <is>
          <t>IOS Meera</t>
        </is>
      </c>
      <c r="O1215" s="4" t="n">
        <v>3</v>
      </c>
      <c r="P1215" s="4" t="inlineStr">
        <is>
          <t>EQUAL</t>
        </is>
      </c>
      <c r="Q1215" s="4" t="inlineStr">
        <is>
          <t>MAESTRO-IOS-GROUP-CUSTOM_LIVING-1214 | Custom Expense | 9238.32</t>
        </is>
      </c>
      <c r="R1215" s="4" t="inlineStr">
        <is>
          <t>iPhone</t>
        </is>
      </c>
      <c r="S1215" s="4" t="inlineStr">
        <is>
          <t>B25</t>
        </is>
      </c>
      <c r="T1215" s="4" t="inlineStr">
        <is>
          <t>RAMP_501_1500</t>
        </is>
      </c>
      <c r="U1215" s="4" t="inlineStr">
        <is>
          <t>CREATED</t>
        </is>
      </c>
      <c r="V1215" s="4" t="inlineStr">
        <is>
          <t>idem-20260902-ios-1214</t>
        </is>
      </c>
    </row>
    <row r="1216" ht="30" customHeight="1">
      <c r="A1216" s="4" t="n">
        <v>1215</v>
      </c>
      <c r="B1216" s="4" t="inlineStr">
        <is>
          <t>MTR-IOS-1215</t>
        </is>
      </c>
      <c r="C1216" s="4" t="inlineStr">
        <is>
          <t>Business</t>
        </is>
      </c>
      <c r="D1216" s="4" t="inlineStr">
        <is>
          <t>Business</t>
        </is>
      </c>
      <c r="E1216" s="4" t="inlineStr">
        <is>
          <t>Team Operations</t>
        </is>
      </c>
      <c r="F1216" s="4" t="inlineStr">
        <is>
          <t>Training</t>
        </is>
      </c>
      <c r="G1216" s="4" t="inlineStr">
        <is>
          <t>Expense</t>
        </is>
      </c>
      <c r="H1216" s="12" t="n">
        <v>46183</v>
      </c>
      <c r="I1216" s="13" t="n">
        <v>0.8772106481481482</v>
      </c>
      <c r="J1216" s="14" t="n">
        <v>46183.87721064815</v>
      </c>
      <c r="K1216" s="15" t="n">
        <v>43688.05</v>
      </c>
      <c r="L1216" s="4" t="inlineStr">
        <is>
          <t>INR</t>
        </is>
      </c>
      <c r="M1216" s="15" t="n">
        <v>-43688.05</v>
      </c>
      <c r="N1216" s="4" t="inlineStr">
        <is>
          <t>IOS Owner</t>
        </is>
      </c>
      <c r="O1216" s="4" t="n"/>
      <c r="P1216" s="4" t="n"/>
      <c r="Q1216" s="4" t="inlineStr">
        <is>
          <t>MAESTRO-IOS-BUSINESS-TEAM_OPERATIONS-1215 | Training | 43688.05</t>
        </is>
      </c>
      <c r="R1216" s="4" t="inlineStr">
        <is>
          <t>iPhone</t>
        </is>
      </c>
      <c r="S1216" s="4" t="inlineStr">
        <is>
          <t>B25</t>
        </is>
      </c>
      <c r="T1216" s="4" t="inlineStr">
        <is>
          <t>RAMP_501_1500</t>
        </is>
      </c>
      <c r="U1216" s="4" t="inlineStr">
        <is>
          <t>CREATED</t>
        </is>
      </c>
      <c r="V1216" s="4" t="inlineStr">
        <is>
          <t>idem-20260902-ios-1215</t>
        </is>
      </c>
    </row>
    <row r="1217" ht="30" customHeight="1">
      <c r="A1217" s="4" t="n">
        <v>1216</v>
      </c>
      <c r="B1217" s="4" t="inlineStr">
        <is>
          <t>MTR-IOS-1216</t>
        </is>
      </c>
      <c r="C1217" s="4" t="inlineStr">
        <is>
          <t>Personal</t>
        </is>
      </c>
      <c r="D1217" s="4" t="inlineStr">
        <is>
          <t>Personal</t>
        </is>
      </c>
      <c r="E1217" s="4" t="inlineStr">
        <is>
          <t>Lifestyle</t>
        </is>
      </c>
      <c r="F1217" s="4" t="inlineStr">
        <is>
          <t>Entertainment</t>
        </is>
      </c>
      <c r="G1217" s="4" t="inlineStr">
        <is>
          <t>Expense</t>
        </is>
      </c>
      <c r="H1217" s="12" t="n">
        <v>46226</v>
      </c>
      <c r="I1217" s="13" t="n">
        <v>0.7330902777777778</v>
      </c>
      <c r="J1217" s="14" t="n">
        <v>46226.73309027778</v>
      </c>
      <c r="K1217" s="15" t="n">
        <v>3358.55</v>
      </c>
      <c r="L1217" s="4" t="inlineStr">
        <is>
          <t>INR</t>
        </is>
      </c>
      <c r="M1217" s="15" t="n">
        <v>-3358.55</v>
      </c>
      <c r="N1217" s="4" t="inlineStr">
        <is>
          <t>IOS Owner</t>
        </is>
      </c>
      <c r="O1217" s="4" t="n"/>
      <c r="P1217" s="4" t="n"/>
      <c r="Q1217" s="4" t="inlineStr">
        <is>
          <t>MAESTRO-IOS-PERSONAL-LIFESTYLE-1216 | Entertainment | 3358.55</t>
        </is>
      </c>
      <c r="R1217" s="4" t="inlineStr">
        <is>
          <t>iPhone</t>
        </is>
      </c>
      <c r="S1217" s="4" t="inlineStr">
        <is>
          <t>B25</t>
        </is>
      </c>
      <c r="T1217" s="4" t="inlineStr">
        <is>
          <t>RAMP_501_1500</t>
        </is>
      </c>
      <c r="U1217" s="4" t="inlineStr">
        <is>
          <t>CREATED</t>
        </is>
      </c>
      <c r="V1217" s="4" t="inlineStr">
        <is>
          <t>idem-20260902-ios-1216</t>
        </is>
      </c>
    </row>
    <row r="1218" ht="30" customHeight="1">
      <c r="A1218" s="4" t="n">
        <v>1217</v>
      </c>
      <c r="B1218" s="4" t="inlineStr">
        <is>
          <t>MTR-IOS-1217</t>
        </is>
      </c>
      <c r="C1218" s="4" t="inlineStr">
        <is>
          <t>Group</t>
        </is>
      </c>
      <c r="D1218" s="4" t="inlineStr">
        <is>
          <t>Shared Living</t>
        </is>
      </c>
      <c r="E1218" s="4" t="inlineStr">
        <is>
          <t>Custom Living</t>
        </is>
      </c>
      <c r="F1218" s="4" t="inlineStr">
        <is>
          <t>Custom Contribution</t>
        </is>
      </c>
      <c r="G1218" s="4" t="inlineStr">
        <is>
          <t>Contribution</t>
        </is>
      </c>
      <c r="H1218" s="12" t="n">
        <v>46209</v>
      </c>
      <c r="I1218" s="13" t="n">
        <v>0.9364814814814815</v>
      </c>
      <c r="J1218" s="14" t="n">
        <v>46209.93648148148</v>
      </c>
      <c r="K1218" s="15" t="n">
        <v>24877.54</v>
      </c>
      <c r="L1218" s="4" t="inlineStr">
        <is>
          <t>INR</t>
        </is>
      </c>
      <c r="M1218" s="15" t="n">
        <v>24877.54</v>
      </c>
      <c r="N1218" s="4" t="inlineStr">
        <is>
          <t>IOS Owner</t>
        </is>
      </c>
      <c r="O1218" s="4" t="n">
        <v>3</v>
      </c>
      <c r="P1218" s="4" t="inlineStr">
        <is>
          <t>PERCENTAGE</t>
        </is>
      </c>
      <c r="Q1218" s="4" t="inlineStr">
        <is>
          <t>MAESTRO-IOS-GROUP-CUSTOM_LIVING-1217 | Custom Contribution | 24877.54</t>
        </is>
      </c>
      <c r="R1218" s="4" t="inlineStr">
        <is>
          <t>iPhone</t>
        </is>
      </c>
      <c r="S1218" s="4" t="inlineStr">
        <is>
          <t>B25</t>
        </is>
      </c>
      <c r="T1218" s="4" t="inlineStr">
        <is>
          <t>RAMP_501_1500</t>
        </is>
      </c>
      <c r="U1218" s="4" t="inlineStr">
        <is>
          <t>CREATED</t>
        </is>
      </c>
      <c r="V1218" s="4" t="inlineStr">
        <is>
          <t>idem-20260902-ios-1217</t>
        </is>
      </c>
    </row>
    <row r="1219" ht="30" customHeight="1">
      <c r="A1219" s="4" t="n">
        <v>1218</v>
      </c>
      <c r="B1219" s="4" t="inlineStr">
        <is>
          <t>MTR-IOS-1218</t>
        </is>
      </c>
      <c r="C1219" s="4" t="inlineStr">
        <is>
          <t>Business</t>
        </is>
      </c>
      <c r="D1219" s="4" t="inlineStr">
        <is>
          <t>Business</t>
        </is>
      </c>
      <c r="E1219" s="4" t="inlineStr">
        <is>
          <t>Team Operations</t>
        </is>
      </c>
      <c r="F1219" s="4" t="inlineStr">
        <is>
          <t>Tools</t>
        </is>
      </c>
      <c r="G1219" s="4" t="inlineStr">
        <is>
          <t>Expense</t>
        </is>
      </c>
      <c r="H1219" s="12" t="n">
        <v>46165</v>
      </c>
      <c r="I1219" s="13" t="n">
        <v>0.3118865740740741</v>
      </c>
      <c r="J1219" s="14" t="n">
        <v>46165.31188657408</v>
      </c>
      <c r="K1219" s="15" t="n">
        <v>93135.28999999999</v>
      </c>
      <c r="L1219" s="4" t="inlineStr">
        <is>
          <t>INR</t>
        </is>
      </c>
      <c r="M1219" s="15" t="n">
        <v>-93135.28999999999</v>
      </c>
      <c r="N1219" s="4" t="inlineStr">
        <is>
          <t>IOS Owner</t>
        </is>
      </c>
      <c r="O1219" s="4" t="n"/>
      <c r="P1219" s="4" t="n"/>
      <c r="Q1219" s="4" t="inlineStr">
        <is>
          <t>MAESTRO-IOS-BUSINESS-TEAM_OPERATIONS-1218 | Tools | 93135.29</t>
        </is>
      </c>
      <c r="R1219" s="4" t="inlineStr">
        <is>
          <t>iPhone</t>
        </is>
      </c>
      <c r="S1219" s="4" t="inlineStr">
        <is>
          <t>B25</t>
        </is>
      </c>
      <c r="T1219" s="4" t="inlineStr">
        <is>
          <t>RAMP_501_1500</t>
        </is>
      </c>
      <c r="U1219" s="4" t="inlineStr">
        <is>
          <t>CREATED</t>
        </is>
      </c>
      <c r="V1219" s="4" t="inlineStr">
        <is>
          <t>idem-20260902-ios-1218</t>
        </is>
      </c>
    </row>
    <row r="1220" ht="30" customHeight="1">
      <c r="A1220" s="4" t="n">
        <v>1219</v>
      </c>
      <c r="B1220" s="4" t="inlineStr">
        <is>
          <t>MTR-IOS-1219</t>
        </is>
      </c>
      <c r="C1220" s="4" t="inlineStr">
        <is>
          <t>Personal</t>
        </is>
      </c>
      <c r="D1220" s="4" t="inlineStr">
        <is>
          <t>Personal</t>
        </is>
      </c>
      <c r="E1220" s="4" t="inlineStr">
        <is>
          <t>Lifestyle</t>
        </is>
      </c>
      <c r="F1220" s="4" t="inlineStr">
        <is>
          <t>Travel</t>
        </is>
      </c>
      <c r="G1220" s="4" t="inlineStr">
        <is>
          <t>Expense</t>
        </is>
      </c>
      <c r="H1220" s="12" t="n">
        <v>45934</v>
      </c>
      <c r="I1220" s="13" t="n">
        <v>0.4295370370370371</v>
      </c>
      <c r="J1220" s="14" t="n">
        <v>45934.42953703704</v>
      </c>
      <c r="K1220" s="15" t="n">
        <v>6992.7</v>
      </c>
      <c r="L1220" s="4" t="inlineStr">
        <is>
          <t>INR</t>
        </is>
      </c>
      <c r="M1220" s="15" t="n">
        <v>-6992.7</v>
      </c>
      <c r="N1220" s="4" t="inlineStr">
        <is>
          <t>IOS Owner</t>
        </is>
      </c>
      <c r="O1220" s="4" t="n"/>
      <c r="P1220" s="4" t="n"/>
      <c r="Q1220" s="4" t="inlineStr">
        <is>
          <t>MAESTRO-IOS-PERSONAL-LIFESTYLE-1219 | Travel | 6992.70</t>
        </is>
      </c>
      <c r="R1220" s="4" t="inlineStr">
        <is>
          <t>iPhone</t>
        </is>
      </c>
      <c r="S1220" s="4" t="inlineStr">
        <is>
          <t>B25</t>
        </is>
      </c>
      <c r="T1220" s="4" t="inlineStr">
        <is>
          <t>RAMP_501_1500</t>
        </is>
      </c>
      <c r="U1220" s="4" t="inlineStr">
        <is>
          <t>CREATED</t>
        </is>
      </c>
      <c r="V1220" s="4" t="inlineStr">
        <is>
          <t>idem-20260902-ios-1219</t>
        </is>
      </c>
    </row>
    <row r="1221" ht="30" customHeight="1">
      <c r="A1221" s="4" t="n">
        <v>1220</v>
      </c>
      <c r="B1221" s="4" t="inlineStr">
        <is>
          <t>MTR-IOS-1220</t>
        </is>
      </c>
      <c r="C1221" s="4" t="inlineStr">
        <is>
          <t>Group</t>
        </is>
      </c>
      <c r="D1221" s="4" t="inlineStr">
        <is>
          <t>Shared Experience</t>
        </is>
      </c>
      <c r="E1221" s="4" t="inlineStr">
        <is>
          <t>Trip</t>
        </is>
      </c>
      <c r="F1221" s="4" t="inlineStr">
        <is>
          <t>Travel</t>
        </is>
      </c>
      <c r="G1221" s="4" t="inlineStr">
        <is>
          <t>Expense</t>
        </is>
      </c>
      <c r="H1221" s="12" t="n">
        <v>46189</v>
      </c>
      <c r="I1221" s="13" t="n">
        <v>0.895775462962963</v>
      </c>
      <c r="J1221" s="14" t="n">
        <v>46189.89577546297</v>
      </c>
      <c r="K1221" s="15" t="n">
        <v>4372.35</v>
      </c>
      <c r="L1221" s="4" t="inlineStr">
        <is>
          <t>INR</t>
        </is>
      </c>
      <c r="M1221" s="15" t="n">
        <v>-4372.35</v>
      </c>
      <c r="N1221" s="4" t="inlineStr">
        <is>
          <t>IOS Aarav</t>
        </is>
      </c>
      <c r="O1221" s="4" t="n">
        <v>3</v>
      </c>
      <c r="P1221" s="4" t="inlineStr">
        <is>
          <t>EXACT</t>
        </is>
      </c>
      <c r="Q1221" s="4" t="inlineStr">
        <is>
          <t>MAESTRO-IOS-GROUP-TRIP-1220 | Travel | 4372.35</t>
        </is>
      </c>
      <c r="R1221" s="4" t="inlineStr">
        <is>
          <t>iPhone</t>
        </is>
      </c>
      <c r="S1221" s="4" t="inlineStr">
        <is>
          <t>B25</t>
        </is>
      </c>
      <c r="T1221" s="4" t="inlineStr">
        <is>
          <t>RAMP_501_1500</t>
        </is>
      </c>
      <c r="U1221" s="4" t="inlineStr">
        <is>
          <t>CREATED</t>
        </is>
      </c>
      <c r="V1221" s="4" t="inlineStr">
        <is>
          <t>idem-20260902-ios-1220</t>
        </is>
      </c>
    </row>
    <row r="1222" ht="30" customHeight="1">
      <c r="A1222" s="4" t="n">
        <v>1221</v>
      </c>
      <c r="B1222" s="4" t="inlineStr">
        <is>
          <t>MTR-IOS-1221</t>
        </is>
      </c>
      <c r="C1222" s="4" t="inlineStr">
        <is>
          <t>Business</t>
        </is>
      </c>
      <c r="D1222" s="4" t="inlineStr">
        <is>
          <t>Business</t>
        </is>
      </c>
      <c r="E1222" s="4" t="inlineStr">
        <is>
          <t>Business Runway</t>
        </is>
      </c>
      <c r="F1222" s="4" t="inlineStr">
        <is>
          <t>Funding</t>
        </is>
      </c>
      <c r="G1222" s="4" t="inlineStr">
        <is>
          <t>Income</t>
        </is>
      </c>
      <c r="H1222" s="12" t="n">
        <v>45915</v>
      </c>
      <c r="I1222" s="13" t="n">
        <v>0.6467013888888888</v>
      </c>
      <c r="J1222" s="14" t="n">
        <v>45915.64670138889</v>
      </c>
      <c r="K1222" s="15" t="n">
        <v>100</v>
      </c>
      <c r="L1222" s="4" t="inlineStr">
        <is>
          <t>INR</t>
        </is>
      </c>
      <c r="M1222" s="15" t="n">
        <v>100</v>
      </c>
      <c r="N1222" s="4" t="inlineStr">
        <is>
          <t>IOS Owner</t>
        </is>
      </c>
      <c r="O1222" s="4" t="n"/>
      <c r="P1222" s="4" t="n"/>
      <c r="Q1222" s="4" t="inlineStr">
        <is>
          <t>MAESTRO-IOS-BUSINESS-BUSINESS_RUNWAY-1221 | Funding | 100.00</t>
        </is>
      </c>
      <c r="R1222" s="4" t="inlineStr">
        <is>
          <t>iPhone</t>
        </is>
      </c>
      <c r="S1222" s="4" t="inlineStr">
        <is>
          <t>B25</t>
        </is>
      </c>
      <c r="T1222" s="4" t="inlineStr">
        <is>
          <t>RAMP_501_1500</t>
        </is>
      </c>
      <c r="U1222" s="4" t="inlineStr">
        <is>
          <t>CREATED</t>
        </is>
      </c>
      <c r="V1222" s="4" t="inlineStr">
        <is>
          <t>idem-20260902-ios-1221</t>
        </is>
      </c>
    </row>
    <row r="1223" ht="30" customHeight="1">
      <c r="A1223" s="4" t="n">
        <v>1222</v>
      </c>
      <c r="B1223" s="4" t="inlineStr">
        <is>
          <t>MTR-IOS-1222</t>
        </is>
      </c>
      <c r="C1223" s="4" t="inlineStr">
        <is>
          <t>Personal</t>
        </is>
      </c>
      <c r="D1223" s="4" t="inlineStr">
        <is>
          <t>Personal</t>
        </is>
      </c>
      <c r="E1223" s="4" t="inlineStr">
        <is>
          <t>Lifestyle</t>
        </is>
      </c>
      <c r="F1223" s="4" t="inlineStr">
        <is>
          <t>Fitness</t>
        </is>
      </c>
      <c r="G1223" s="4" t="inlineStr">
        <is>
          <t>Expense</t>
        </is>
      </c>
      <c r="H1223" s="12" t="n">
        <v>45956</v>
      </c>
      <c r="I1223" s="13" t="n">
        <v>0.6327546296296296</v>
      </c>
      <c r="J1223" s="14" t="n">
        <v>45956.63275462963</v>
      </c>
      <c r="K1223" s="15" t="n">
        <v>16549.79</v>
      </c>
      <c r="L1223" s="4" t="inlineStr">
        <is>
          <t>INR</t>
        </is>
      </c>
      <c r="M1223" s="15" t="n">
        <v>-16549.79</v>
      </c>
      <c r="N1223" s="4" t="inlineStr">
        <is>
          <t>IOS Owner</t>
        </is>
      </c>
      <c r="O1223" s="4" t="n"/>
      <c r="P1223" s="4" t="n"/>
      <c r="Q1223" s="4" t="inlineStr">
        <is>
          <t>MAESTRO-IOS-PERSONAL-LIFESTYLE-1222 | Fitness | 16549.79</t>
        </is>
      </c>
      <c r="R1223" s="4" t="inlineStr">
        <is>
          <t>iPhone</t>
        </is>
      </c>
      <c r="S1223" s="4" t="inlineStr">
        <is>
          <t>B25</t>
        </is>
      </c>
      <c r="T1223" s="4" t="inlineStr">
        <is>
          <t>RAMP_501_1500</t>
        </is>
      </c>
      <c r="U1223" s="4" t="inlineStr">
        <is>
          <t>CREATED</t>
        </is>
      </c>
      <c r="V1223" s="4" t="inlineStr">
        <is>
          <t>idem-20260902-ios-1222</t>
        </is>
      </c>
    </row>
    <row r="1224" ht="30" customHeight="1">
      <c r="A1224" s="4" t="n">
        <v>1223</v>
      </c>
      <c r="B1224" s="4" t="inlineStr">
        <is>
          <t>MTR-IOS-1223</t>
        </is>
      </c>
      <c r="C1224" s="4" t="inlineStr">
        <is>
          <t>Group</t>
        </is>
      </c>
      <c r="D1224" s="4" t="inlineStr">
        <is>
          <t>Shared Experience</t>
        </is>
      </c>
      <c r="E1224" s="4" t="inlineStr">
        <is>
          <t>Trip</t>
        </is>
      </c>
      <c r="F1224" s="4" t="inlineStr">
        <is>
          <t>Stay</t>
        </is>
      </c>
      <c r="G1224" s="4" t="inlineStr">
        <is>
          <t>Expense</t>
        </is>
      </c>
      <c r="H1224" s="12" t="n">
        <v>45928</v>
      </c>
      <c r="I1224" s="13" t="n">
        <v>0.9496296296296296</v>
      </c>
      <c r="J1224" s="14" t="n">
        <v>45928.94962962963</v>
      </c>
      <c r="K1224" s="15" t="n">
        <v>22300.5</v>
      </c>
      <c r="L1224" s="4" t="inlineStr">
        <is>
          <t>INR</t>
        </is>
      </c>
      <c r="M1224" s="15" t="n">
        <v>-22300.5</v>
      </c>
      <c r="N1224" s="4" t="inlineStr">
        <is>
          <t>IOS Meera</t>
        </is>
      </c>
      <c r="O1224" s="4" t="n">
        <v>3</v>
      </c>
      <c r="P1224" s="4" t="inlineStr">
        <is>
          <t>SHARES</t>
        </is>
      </c>
      <c r="Q1224" s="4" t="inlineStr">
        <is>
          <t>MAESTRO-IOS-GROUP-TRIP-1223 | Stay | 22300.50</t>
        </is>
      </c>
      <c r="R1224" s="4" t="inlineStr">
        <is>
          <t>iPhone</t>
        </is>
      </c>
      <c r="S1224" s="4" t="inlineStr">
        <is>
          <t>B25</t>
        </is>
      </c>
      <c r="T1224" s="4" t="inlineStr">
        <is>
          <t>RAMP_501_1500</t>
        </is>
      </c>
      <c r="U1224" s="4" t="inlineStr">
        <is>
          <t>CREATED</t>
        </is>
      </c>
      <c r="V1224" s="4" t="inlineStr">
        <is>
          <t>idem-20260902-ios-1223</t>
        </is>
      </c>
    </row>
    <row r="1225" ht="30" customHeight="1">
      <c r="A1225" s="4" t="n">
        <v>1224</v>
      </c>
      <c r="B1225" s="4" t="inlineStr">
        <is>
          <t>MTR-IOS-1224</t>
        </is>
      </c>
      <c r="C1225" s="4" t="inlineStr">
        <is>
          <t>Business</t>
        </is>
      </c>
      <c r="D1225" s="4" t="inlineStr">
        <is>
          <t>Business</t>
        </is>
      </c>
      <c r="E1225" s="4" t="inlineStr">
        <is>
          <t>Business Runway</t>
        </is>
      </c>
      <c r="F1225" s="4" t="inlineStr">
        <is>
          <t>Revenue</t>
        </is>
      </c>
      <c r="G1225" s="4" t="inlineStr">
        <is>
          <t>Income</t>
        </is>
      </c>
      <c r="H1225" s="12" t="n">
        <v>46110</v>
      </c>
      <c r="I1225" s="13" t="n">
        <v>0.5263888888888889</v>
      </c>
      <c r="J1225" s="14" t="n">
        <v>46110.52638888889</v>
      </c>
      <c r="K1225" s="15" t="n">
        <v>81490.38</v>
      </c>
      <c r="L1225" s="4" t="inlineStr">
        <is>
          <t>INR</t>
        </is>
      </c>
      <c r="M1225" s="15" t="n">
        <v>81490.38</v>
      </c>
      <c r="N1225" s="4" t="inlineStr">
        <is>
          <t>IOS Owner</t>
        </is>
      </c>
      <c r="O1225" s="4" t="n"/>
      <c r="P1225" s="4" t="n"/>
      <c r="Q1225" s="4" t="inlineStr">
        <is>
          <t>MAESTRO-IOS-BUSINESS-BUSINESS_RUNWAY-1224 | Revenue | 81490.38</t>
        </is>
      </c>
      <c r="R1225" s="4" t="inlineStr">
        <is>
          <t>iPhone</t>
        </is>
      </c>
      <c r="S1225" s="4" t="inlineStr">
        <is>
          <t>B25</t>
        </is>
      </c>
      <c r="T1225" s="4" t="inlineStr">
        <is>
          <t>RAMP_501_1500</t>
        </is>
      </c>
      <c r="U1225" s="4" t="inlineStr">
        <is>
          <t>CREATED</t>
        </is>
      </c>
      <c r="V1225" s="4" t="inlineStr">
        <is>
          <t>idem-20260902-ios-1224</t>
        </is>
      </c>
    </row>
    <row r="1226" ht="30" customHeight="1">
      <c r="A1226" s="4" t="n">
        <v>1225</v>
      </c>
      <c r="B1226" s="4" t="inlineStr">
        <is>
          <t>MTR-IOS-1225</t>
        </is>
      </c>
      <c r="C1226" s="4" t="inlineStr">
        <is>
          <t>Personal</t>
        </is>
      </c>
      <c r="D1226" s="4" t="inlineStr">
        <is>
          <t>Personal</t>
        </is>
      </c>
      <c r="E1226" s="4" t="inlineStr">
        <is>
          <t>Lifestyle</t>
        </is>
      </c>
      <c r="F1226" s="4" t="inlineStr">
        <is>
          <t>Hobbies</t>
        </is>
      </c>
      <c r="G1226" s="4" t="inlineStr">
        <is>
          <t>Expense</t>
        </is>
      </c>
      <c r="H1226" s="12" t="n">
        <v>46047</v>
      </c>
      <c r="I1226" s="13" t="n">
        <v>0.8478703703703704</v>
      </c>
      <c r="J1226" s="14" t="n">
        <v>46047.84787037037</v>
      </c>
      <c r="K1226" s="15" t="n">
        <v>12175.21</v>
      </c>
      <c r="L1226" s="4" t="inlineStr">
        <is>
          <t>INR</t>
        </is>
      </c>
      <c r="M1226" s="15" t="n">
        <v>-12175.21</v>
      </c>
      <c r="N1226" s="4" t="inlineStr">
        <is>
          <t>IOS Owner</t>
        </is>
      </c>
      <c r="O1226" s="4" t="n"/>
      <c r="P1226" s="4" t="n"/>
      <c r="Q1226" s="4" t="inlineStr">
        <is>
          <t>MAESTRO-IOS-PERSONAL-LIFESTYLE-1225 | Hobbies | 12175.21</t>
        </is>
      </c>
      <c r="R1226" s="4" t="inlineStr">
        <is>
          <t>iPhone</t>
        </is>
      </c>
      <c r="S1226" s="4" t="inlineStr">
        <is>
          <t>B25</t>
        </is>
      </c>
      <c r="T1226" s="4" t="inlineStr">
        <is>
          <t>RAMP_501_1500</t>
        </is>
      </c>
      <c r="U1226" s="4" t="inlineStr">
        <is>
          <t>CREATED</t>
        </is>
      </c>
      <c r="V1226" s="4" t="inlineStr">
        <is>
          <t>idem-20260902-ios-1225</t>
        </is>
      </c>
    </row>
    <row r="1227" ht="30" customHeight="1">
      <c r="A1227" s="4" t="n">
        <v>1226</v>
      </c>
      <c r="B1227" s="4" t="inlineStr">
        <is>
          <t>MTR-IOS-1226</t>
        </is>
      </c>
      <c r="C1227" s="4" t="inlineStr">
        <is>
          <t>Group</t>
        </is>
      </c>
      <c r="D1227" s="4" t="inlineStr">
        <is>
          <t>Shared Experience</t>
        </is>
      </c>
      <c r="E1227" s="4" t="inlineStr">
        <is>
          <t>Trip</t>
        </is>
      </c>
      <c r="F1227" s="4" t="inlineStr">
        <is>
          <t>Food</t>
        </is>
      </c>
      <c r="G1227" s="4" t="inlineStr">
        <is>
          <t>Expense</t>
        </is>
      </c>
      <c r="H1227" s="12" t="n">
        <v>46013</v>
      </c>
      <c r="I1227" s="13" t="n">
        <v>0.771238425925926</v>
      </c>
      <c r="J1227" s="14" t="n">
        <v>46013.77123842593</v>
      </c>
      <c r="K1227" s="15" t="n">
        <v>22803.04</v>
      </c>
      <c r="L1227" s="4" t="inlineStr">
        <is>
          <t>INR</t>
        </is>
      </c>
      <c r="M1227" s="15" t="n">
        <v>-22803.04</v>
      </c>
      <c r="N1227" s="4" t="inlineStr">
        <is>
          <t>IOS Owner</t>
        </is>
      </c>
      <c r="O1227" s="4" t="n">
        <v>3</v>
      </c>
      <c r="P1227" s="4" t="inlineStr">
        <is>
          <t>EQUAL</t>
        </is>
      </c>
      <c r="Q1227" s="4" t="inlineStr">
        <is>
          <t>MAESTRO-IOS-GROUP-TRIP-1226 | Food | 22803.04</t>
        </is>
      </c>
      <c r="R1227" s="4" t="inlineStr">
        <is>
          <t>iPhone</t>
        </is>
      </c>
      <c r="S1227" s="4" t="inlineStr">
        <is>
          <t>B25</t>
        </is>
      </c>
      <c r="T1227" s="4" t="inlineStr">
        <is>
          <t>RAMP_501_1500</t>
        </is>
      </c>
      <c r="U1227" s="4" t="inlineStr">
        <is>
          <t>CREATED</t>
        </is>
      </c>
      <c r="V1227" s="4" t="inlineStr">
        <is>
          <t>idem-20260902-ios-1226</t>
        </is>
      </c>
    </row>
    <row r="1228" ht="30" customHeight="1">
      <c r="A1228" s="4" t="n">
        <v>1227</v>
      </c>
      <c r="B1228" s="4" t="inlineStr">
        <is>
          <t>MTR-IOS-1227</t>
        </is>
      </c>
      <c r="C1228" s="4" t="inlineStr">
        <is>
          <t>Business</t>
        </is>
      </c>
      <c r="D1228" s="4" t="inlineStr">
        <is>
          <t>Business</t>
        </is>
      </c>
      <c r="E1228" s="4" t="inlineStr">
        <is>
          <t>Business Runway</t>
        </is>
      </c>
      <c r="F1228" s="4" t="inlineStr">
        <is>
          <t>Burn</t>
        </is>
      </c>
      <c r="G1228" s="4" t="inlineStr">
        <is>
          <t>Expense</t>
        </is>
      </c>
      <c r="H1228" s="12" t="n">
        <v>45938</v>
      </c>
      <c r="I1228" s="13" t="n">
        <v>0.849849537037037</v>
      </c>
      <c r="J1228" s="14" t="n">
        <v>45938.84984953704</v>
      </c>
      <c r="K1228" s="15" t="n">
        <v>69851.37</v>
      </c>
      <c r="L1228" s="4" t="inlineStr">
        <is>
          <t>INR</t>
        </is>
      </c>
      <c r="M1228" s="15" t="n">
        <v>-69851.37</v>
      </c>
      <c r="N1228" s="4" t="inlineStr">
        <is>
          <t>IOS Owner</t>
        </is>
      </c>
      <c r="O1228" s="4" t="n"/>
      <c r="P1228" s="4" t="n"/>
      <c r="Q1228" s="4" t="inlineStr">
        <is>
          <t>MAESTRO-IOS-BUSINESS-BUSINESS_RUNWAY-1227 | Burn | 69851.37</t>
        </is>
      </c>
      <c r="R1228" s="4" t="inlineStr">
        <is>
          <t>iPhone</t>
        </is>
      </c>
      <c r="S1228" s="4" t="inlineStr">
        <is>
          <t>B25</t>
        </is>
      </c>
      <c r="T1228" s="4" t="inlineStr">
        <is>
          <t>RAMP_501_1500</t>
        </is>
      </c>
      <c r="U1228" s="4" t="inlineStr">
        <is>
          <t>CREATED</t>
        </is>
      </c>
      <c r="V1228" s="4" t="inlineStr">
        <is>
          <t>idem-20260902-ios-1227</t>
        </is>
      </c>
    </row>
    <row r="1229" ht="30" customHeight="1">
      <c r="A1229" s="4" t="n">
        <v>1228</v>
      </c>
      <c r="B1229" s="4" t="inlineStr">
        <is>
          <t>MTR-IOS-1228</t>
        </is>
      </c>
      <c r="C1229" s="4" t="inlineStr">
        <is>
          <t>Personal</t>
        </is>
      </c>
      <c r="D1229" s="4" t="inlineStr">
        <is>
          <t>Personal</t>
        </is>
      </c>
      <c r="E1229" s="4" t="inlineStr">
        <is>
          <t>Relationships</t>
        </is>
      </c>
      <c r="F1229" s="4" t="inlineStr">
        <is>
          <t>Gifts</t>
        </is>
      </c>
      <c r="G1229" s="4" t="inlineStr">
        <is>
          <t>Expense</t>
        </is>
      </c>
      <c r="H1229" s="12" t="n">
        <v>46193</v>
      </c>
      <c r="I1229" s="13" t="n">
        <v>0.6033796296296297</v>
      </c>
      <c r="J1229" s="14" t="n">
        <v>46193.60337962963</v>
      </c>
      <c r="K1229" s="15" t="n">
        <v>369.8</v>
      </c>
      <c r="L1229" s="4" t="inlineStr">
        <is>
          <t>INR</t>
        </is>
      </c>
      <c r="M1229" s="15" t="n">
        <v>-369.8</v>
      </c>
      <c r="N1229" s="4" t="inlineStr">
        <is>
          <t>IOS Owner</t>
        </is>
      </c>
      <c r="O1229" s="4" t="n"/>
      <c r="P1229" s="4" t="n"/>
      <c r="Q1229" s="4" t="inlineStr">
        <is>
          <t>MAESTRO-IOS-PERSONAL-RELATIONSHIPS-1228 | Gifts | 369.80</t>
        </is>
      </c>
      <c r="R1229" s="4" t="inlineStr">
        <is>
          <t>iPhone</t>
        </is>
      </c>
      <c r="S1229" s="4" t="inlineStr">
        <is>
          <t>B25</t>
        </is>
      </c>
      <c r="T1229" s="4" t="inlineStr">
        <is>
          <t>RAMP_501_1500</t>
        </is>
      </c>
      <c r="U1229" s="4" t="inlineStr">
        <is>
          <t>CREATED</t>
        </is>
      </c>
      <c r="V1229" s="4" t="inlineStr">
        <is>
          <t>idem-20260902-ios-1228</t>
        </is>
      </c>
    </row>
    <row r="1230" ht="30" customHeight="1">
      <c r="A1230" s="4" t="n">
        <v>1229</v>
      </c>
      <c r="B1230" s="4" t="inlineStr">
        <is>
          <t>MTR-IOS-1229</t>
        </is>
      </c>
      <c r="C1230" s="4" t="inlineStr">
        <is>
          <t>Group</t>
        </is>
      </c>
      <c r="D1230" s="4" t="inlineStr">
        <is>
          <t>Shared Experience</t>
        </is>
      </c>
      <c r="E1230" s="4" t="inlineStr">
        <is>
          <t>Trip</t>
        </is>
      </c>
      <c r="F1230" s="4" t="inlineStr">
        <is>
          <t>Local Transport</t>
        </is>
      </c>
      <c r="G1230" s="4" t="inlineStr">
        <is>
          <t>Expense</t>
        </is>
      </c>
      <c r="H1230" s="12" t="n">
        <v>45925</v>
      </c>
      <c r="I1230" s="13" t="n">
        <v>0.9413310185185185</v>
      </c>
      <c r="J1230" s="14" t="n">
        <v>45925.94133101852</v>
      </c>
      <c r="K1230" s="15" t="n">
        <v>19577.15</v>
      </c>
      <c r="L1230" s="4" t="inlineStr">
        <is>
          <t>INR</t>
        </is>
      </c>
      <c r="M1230" s="15" t="n">
        <v>-19577.15</v>
      </c>
      <c r="N1230" s="4" t="inlineStr">
        <is>
          <t>IOS Aarav</t>
        </is>
      </c>
      <c r="O1230" s="4" t="n">
        <v>3</v>
      </c>
      <c r="P1230" s="4" t="inlineStr">
        <is>
          <t>PERCENTAGE</t>
        </is>
      </c>
      <c r="Q1230" s="4" t="inlineStr">
        <is>
          <t>MAESTRO-IOS-GROUP-TRIP-1229 | Local Transport | 19577.15</t>
        </is>
      </c>
      <c r="R1230" s="4" t="inlineStr">
        <is>
          <t>iPhone</t>
        </is>
      </c>
      <c r="S1230" s="4" t="inlineStr">
        <is>
          <t>B25</t>
        </is>
      </c>
      <c r="T1230" s="4" t="inlineStr">
        <is>
          <t>RAMP_501_1500</t>
        </is>
      </c>
      <c r="U1230" s="4" t="inlineStr">
        <is>
          <t>CREATED</t>
        </is>
      </c>
      <c r="V1230" s="4" t="inlineStr">
        <is>
          <t>idem-20260902-ios-1229</t>
        </is>
      </c>
    </row>
    <row r="1231" ht="30" customHeight="1">
      <c r="A1231" s="4" t="n">
        <v>1230</v>
      </c>
      <c r="B1231" s="4" t="inlineStr">
        <is>
          <t>MTR-IOS-1230</t>
        </is>
      </c>
      <c r="C1231" s="4" t="inlineStr">
        <is>
          <t>Business</t>
        </is>
      </c>
      <c r="D1231" s="4" t="inlineStr">
        <is>
          <t>Business</t>
        </is>
      </c>
      <c r="E1231" s="4" t="inlineStr">
        <is>
          <t>Business Runway</t>
        </is>
      </c>
      <c r="F1231" s="4" t="inlineStr">
        <is>
          <t>Reserve</t>
        </is>
      </c>
      <c r="G1231" s="4" t="inlineStr">
        <is>
          <t>Transfer</t>
        </is>
      </c>
      <c r="H1231" s="12" t="n">
        <v>46181</v>
      </c>
      <c r="I1231" s="13" t="n">
        <v>0.3811689814814815</v>
      </c>
      <c r="J1231" s="14" t="n">
        <v>46181.38116898148</v>
      </c>
      <c r="K1231" s="15" t="n">
        <v>80581.05</v>
      </c>
      <c r="L1231" s="4" t="inlineStr">
        <is>
          <t>INR</t>
        </is>
      </c>
      <c r="M1231" s="15" t="n">
        <v>0</v>
      </c>
      <c r="N1231" s="4" t="inlineStr">
        <is>
          <t>IOS Owner</t>
        </is>
      </c>
      <c r="O1231" s="4" t="n"/>
      <c r="P1231" s="4" t="n"/>
      <c r="Q1231" s="4" t="inlineStr">
        <is>
          <t>MAESTRO-IOS-BUSINESS-BUSINESS_RUNWAY-1230 | Reserve | 80581.05</t>
        </is>
      </c>
      <c r="R1231" s="4" t="inlineStr">
        <is>
          <t>iPhone</t>
        </is>
      </c>
      <c r="S1231" s="4" t="inlineStr">
        <is>
          <t>B25</t>
        </is>
      </c>
      <c r="T1231" s="4" t="inlineStr">
        <is>
          <t>RAMP_501_1500</t>
        </is>
      </c>
      <c r="U1231" s="4" t="inlineStr">
        <is>
          <t>CREATED</t>
        </is>
      </c>
      <c r="V1231" s="4" t="inlineStr">
        <is>
          <t>idem-20260902-ios-1230</t>
        </is>
      </c>
    </row>
    <row r="1232" ht="30" customHeight="1">
      <c r="A1232" s="4" t="n">
        <v>1231</v>
      </c>
      <c r="B1232" s="4" t="inlineStr">
        <is>
          <t>MTR-IOS-1231</t>
        </is>
      </c>
      <c r="C1232" s="4" t="inlineStr">
        <is>
          <t>Personal</t>
        </is>
      </c>
      <c r="D1232" s="4" t="inlineStr">
        <is>
          <t>Personal</t>
        </is>
      </c>
      <c r="E1232" s="4" t="inlineStr">
        <is>
          <t>Relationships</t>
        </is>
      </c>
      <c r="F1232" s="4" t="inlineStr">
        <is>
          <t>Dates</t>
        </is>
      </c>
      <c r="G1232" s="4" t="inlineStr">
        <is>
          <t>Expense</t>
        </is>
      </c>
      <c r="H1232" s="12" t="n">
        <v>46234</v>
      </c>
      <c r="I1232" s="13" t="n">
        <v>0.3157523148148148</v>
      </c>
      <c r="J1232" s="14" t="n">
        <v>46234.31575231482</v>
      </c>
      <c r="K1232" s="15" t="n">
        <v>11060.55</v>
      </c>
      <c r="L1232" s="4" t="inlineStr">
        <is>
          <t>INR</t>
        </is>
      </c>
      <c r="M1232" s="15" t="n">
        <v>-11060.55</v>
      </c>
      <c r="N1232" s="4" t="inlineStr">
        <is>
          <t>IOS Owner</t>
        </is>
      </c>
      <c r="O1232" s="4" t="n"/>
      <c r="P1232" s="4" t="n"/>
      <c r="Q1232" s="4" t="inlineStr">
        <is>
          <t>MAESTRO-IOS-PERSONAL-RELATIONSHIPS-1231 | Dates | 11060.55</t>
        </is>
      </c>
      <c r="R1232" s="4" t="inlineStr">
        <is>
          <t>iPhone</t>
        </is>
      </c>
      <c r="S1232" s="4" t="inlineStr">
        <is>
          <t>B25</t>
        </is>
      </c>
      <c r="T1232" s="4" t="inlineStr">
        <is>
          <t>RAMP_501_1500</t>
        </is>
      </c>
      <c r="U1232" s="4" t="inlineStr">
        <is>
          <t>CREATED</t>
        </is>
      </c>
      <c r="V1232" s="4" t="inlineStr">
        <is>
          <t>idem-20260902-ios-1231</t>
        </is>
      </c>
    </row>
    <row r="1233" ht="30" customHeight="1">
      <c r="A1233" s="4" t="n">
        <v>1232</v>
      </c>
      <c r="B1233" s="4" t="inlineStr">
        <is>
          <t>MTR-IOS-1232</t>
        </is>
      </c>
      <c r="C1233" s="4" t="inlineStr">
        <is>
          <t>Group</t>
        </is>
      </c>
      <c r="D1233" s="4" t="inlineStr">
        <is>
          <t>Shared Experience</t>
        </is>
      </c>
      <c r="E1233" s="4" t="inlineStr">
        <is>
          <t>Trip</t>
        </is>
      </c>
      <c r="F1233" s="4" t="inlineStr">
        <is>
          <t>Activities</t>
        </is>
      </c>
      <c r="G1233" s="4" t="inlineStr">
        <is>
          <t>Expense</t>
        </is>
      </c>
      <c r="H1233" s="12" t="n">
        <v>46195</v>
      </c>
      <c r="I1233" s="13" t="n">
        <v>0.6564583333333334</v>
      </c>
      <c r="J1233" s="14" t="n">
        <v>46195.65645833333</v>
      </c>
      <c r="K1233" s="15" t="n">
        <v>1370.93</v>
      </c>
      <c r="L1233" s="4" t="inlineStr">
        <is>
          <t>INR</t>
        </is>
      </c>
      <c r="M1233" s="15" t="n">
        <v>-1370.93</v>
      </c>
      <c r="N1233" s="4" t="inlineStr">
        <is>
          <t>IOS Meera</t>
        </is>
      </c>
      <c r="O1233" s="4" t="n">
        <v>3</v>
      </c>
      <c r="P1233" s="4" t="inlineStr">
        <is>
          <t>EXACT</t>
        </is>
      </c>
      <c r="Q1233" s="4" t="inlineStr">
        <is>
          <t>MAESTRO-IOS-GROUP-TRIP-1232 | Activities | 1370.93</t>
        </is>
      </c>
      <c r="R1233" s="4" t="inlineStr">
        <is>
          <t>iPhone</t>
        </is>
      </c>
      <c r="S1233" s="4" t="inlineStr">
        <is>
          <t>B25</t>
        </is>
      </c>
      <c r="T1233" s="4" t="inlineStr">
        <is>
          <t>RAMP_501_1500</t>
        </is>
      </c>
      <c r="U1233" s="4" t="inlineStr">
        <is>
          <t>CREATED</t>
        </is>
      </c>
      <c r="V1233" s="4" t="inlineStr">
        <is>
          <t>idem-20260902-ios-1232</t>
        </is>
      </c>
    </row>
    <row r="1234" ht="30" customHeight="1">
      <c r="A1234" s="4" t="n">
        <v>1233</v>
      </c>
      <c r="B1234" s="4" t="inlineStr">
        <is>
          <t>MTR-IOS-1233</t>
        </is>
      </c>
      <c r="C1234" s="4" t="inlineStr">
        <is>
          <t>Business</t>
        </is>
      </c>
      <c r="D1234" s="4" t="inlineStr">
        <is>
          <t>Business</t>
        </is>
      </c>
      <c r="E1234" s="4" t="inlineStr">
        <is>
          <t>Business Runway</t>
        </is>
      </c>
      <c r="F1234" s="4" t="inlineStr">
        <is>
          <t>Loan</t>
        </is>
      </c>
      <c r="G1234" s="4" t="inlineStr">
        <is>
          <t>Income</t>
        </is>
      </c>
      <c r="H1234" s="12" t="n">
        <v>46120</v>
      </c>
      <c r="I1234" s="13" t="n">
        <v>0.5758796296296296</v>
      </c>
      <c r="J1234" s="14" t="n">
        <v>46120.57587962963</v>
      </c>
      <c r="K1234" s="15" t="n">
        <v>122689</v>
      </c>
      <c r="L1234" s="4" t="inlineStr">
        <is>
          <t>INR</t>
        </is>
      </c>
      <c r="M1234" s="15" t="n">
        <v>122689</v>
      </c>
      <c r="N1234" s="4" t="inlineStr">
        <is>
          <t>IOS Owner</t>
        </is>
      </c>
      <c r="O1234" s="4" t="n"/>
      <c r="P1234" s="4" t="n"/>
      <c r="Q1234" s="4" t="inlineStr">
        <is>
          <t>MAESTRO-IOS-BUSINESS-BUSINESS_RUNWAY-1233 | Loan | 122689.00</t>
        </is>
      </c>
      <c r="R1234" s="4" t="inlineStr">
        <is>
          <t>iPhone</t>
        </is>
      </c>
      <c r="S1234" s="4" t="inlineStr">
        <is>
          <t>B25</t>
        </is>
      </c>
      <c r="T1234" s="4" t="inlineStr">
        <is>
          <t>RAMP_501_1500</t>
        </is>
      </c>
      <c r="U1234" s="4" t="inlineStr">
        <is>
          <t>CREATED</t>
        </is>
      </c>
      <c r="V1234" s="4" t="inlineStr">
        <is>
          <t>idem-20260902-ios-1233</t>
        </is>
      </c>
    </row>
    <row r="1235" ht="30" customHeight="1">
      <c r="A1235" s="4" t="n">
        <v>1234</v>
      </c>
      <c r="B1235" s="4" t="inlineStr">
        <is>
          <t>MTR-IOS-1234</t>
        </is>
      </c>
      <c r="C1235" s="4" t="inlineStr">
        <is>
          <t>Personal</t>
        </is>
      </c>
      <c r="D1235" s="4" t="inlineStr">
        <is>
          <t>Personal</t>
        </is>
      </c>
      <c r="E1235" s="4" t="inlineStr">
        <is>
          <t>Relationships</t>
        </is>
      </c>
      <c r="F1235" s="4" t="inlineStr">
        <is>
          <t>Family</t>
        </is>
      </c>
      <c r="G1235" s="4" t="inlineStr">
        <is>
          <t>Expense</t>
        </is>
      </c>
      <c r="H1235" s="12" t="n">
        <v>46055</v>
      </c>
      <c r="I1235" s="13" t="n">
        <v>0.9751041666666667</v>
      </c>
      <c r="J1235" s="14" t="n">
        <v>46055.97510416667</v>
      </c>
      <c r="K1235" s="15" t="n">
        <v>15917.49</v>
      </c>
      <c r="L1235" s="4" t="inlineStr">
        <is>
          <t>INR</t>
        </is>
      </c>
      <c r="M1235" s="15" t="n">
        <v>-15917.49</v>
      </c>
      <c r="N1235" s="4" t="inlineStr">
        <is>
          <t>IOS Owner</t>
        </is>
      </c>
      <c r="O1235" s="4" t="n"/>
      <c r="P1235" s="4" t="n"/>
      <c r="Q1235" s="4" t="inlineStr">
        <is>
          <t>MAESTRO-IOS-PERSONAL-RELATIONSHIPS-1234 | Family | 15917.49</t>
        </is>
      </c>
      <c r="R1235" s="4" t="inlineStr">
        <is>
          <t>iPhone</t>
        </is>
      </c>
      <c r="S1235" s="4" t="inlineStr">
        <is>
          <t>B25</t>
        </is>
      </c>
      <c r="T1235" s="4" t="inlineStr">
        <is>
          <t>RAMP_501_1500</t>
        </is>
      </c>
      <c r="U1235" s="4" t="inlineStr">
        <is>
          <t>CREATED</t>
        </is>
      </c>
      <c r="V1235" s="4" t="inlineStr">
        <is>
          <t>idem-20260902-ios-1234</t>
        </is>
      </c>
    </row>
    <row r="1236" ht="30" customHeight="1">
      <c r="A1236" s="4" t="n">
        <v>1235</v>
      </c>
      <c r="B1236" s="4" t="inlineStr">
        <is>
          <t>MTR-IOS-1235</t>
        </is>
      </c>
      <c r="C1236" s="4" t="inlineStr">
        <is>
          <t>Group</t>
        </is>
      </c>
      <c r="D1236" s="4" t="inlineStr">
        <is>
          <t>Shared Experience</t>
        </is>
      </c>
      <c r="E1236" s="4" t="inlineStr">
        <is>
          <t>Trip</t>
        </is>
      </c>
      <c r="F1236" s="4" t="inlineStr">
        <is>
          <t>Shopping</t>
        </is>
      </c>
      <c r="G1236" s="4" t="inlineStr">
        <is>
          <t>Expense</t>
        </is>
      </c>
      <c r="H1236" s="12" t="n">
        <v>46172</v>
      </c>
      <c r="I1236" s="13" t="n">
        <v>0.9393171296296297</v>
      </c>
      <c r="J1236" s="14" t="n">
        <v>46172.93931712963</v>
      </c>
      <c r="K1236" s="15" t="n">
        <v>25577.46</v>
      </c>
      <c r="L1236" s="4" t="inlineStr">
        <is>
          <t>INR</t>
        </is>
      </c>
      <c r="M1236" s="15" t="n">
        <v>-25577.46</v>
      </c>
      <c r="N1236" s="4" t="inlineStr">
        <is>
          <t>IOS Owner</t>
        </is>
      </c>
      <c r="O1236" s="4" t="n">
        <v>3</v>
      </c>
      <c r="P1236" s="4" t="inlineStr">
        <is>
          <t>SHARES</t>
        </is>
      </c>
      <c r="Q1236" s="4" t="inlineStr">
        <is>
          <t>MAESTRO-IOS-GROUP-TRIP-1235 | Shopping | 25577.46</t>
        </is>
      </c>
      <c r="R1236" s="4" t="inlineStr">
        <is>
          <t>iPhone</t>
        </is>
      </c>
      <c r="S1236" s="4" t="inlineStr">
        <is>
          <t>B25</t>
        </is>
      </c>
      <c r="T1236" s="4" t="inlineStr">
        <is>
          <t>RAMP_501_1500</t>
        </is>
      </c>
      <c r="U1236" s="4" t="inlineStr">
        <is>
          <t>CREATED</t>
        </is>
      </c>
      <c r="V1236" s="4" t="inlineStr">
        <is>
          <t>idem-20260902-ios-1235</t>
        </is>
      </c>
    </row>
    <row r="1237" ht="30" customHeight="1">
      <c r="A1237" s="4" t="n">
        <v>1236</v>
      </c>
      <c r="B1237" s="4" t="inlineStr">
        <is>
          <t>MTR-IOS-1236</t>
        </is>
      </c>
      <c r="C1237" s="4" t="inlineStr">
        <is>
          <t>Business</t>
        </is>
      </c>
      <c r="D1237" s="4" t="inlineStr">
        <is>
          <t>Business</t>
        </is>
      </c>
      <c r="E1237" s="4" t="inlineStr">
        <is>
          <t>Business Runway</t>
        </is>
      </c>
      <c r="F1237" s="4" t="inlineStr">
        <is>
          <t>Investment</t>
        </is>
      </c>
      <c r="G1237" s="4" t="inlineStr">
        <is>
          <t>Income</t>
        </is>
      </c>
      <c r="H1237" s="12" t="n">
        <v>46075</v>
      </c>
      <c r="I1237" s="13" t="n">
        <v>0.370775462962963</v>
      </c>
      <c r="J1237" s="14" t="n">
        <v>46075.37077546296</v>
      </c>
      <c r="K1237" s="15" t="n">
        <v>94708.83</v>
      </c>
      <c r="L1237" s="4" t="inlineStr">
        <is>
          <t>INR</t>
        </is>
      </c>
      <c r="M1237" s="15" t="n">
        <v>94708.83</v>
      </c>
      <c r="N1237" s="4" t="inlineStr">
        <is>
          <t>IOS Owner</t>
        </is>
      </c>
      <c r="O1237" s="4" t="n"/>
      <c r="P1237" s="4" t="n"/>
      <c r="Q1237" s="4" t="inlineStr">
        <is>
          <t>MAESTRO-IOS-BUSINESS-BUSINESS_RUNWAY-1236 | Investment | 94708.83</t>
        </is>
      </c>
      <c r="R1237" s="4" t="inlineStr">
        <is>
          <t>iPhone</t>
        </is>
      </c>
      <c r="S1237" s="4" t="inlineStr">
        <is>
          <t>B25</t>
        </is>
      </c>
      <c r="T1237" s="4" t="inlineStr">
        <is>
          <t>RAMP_501_1500</t>
        </is>
      </c>
      <c r="U1237" s="4" t="inlineStr">
        <is>
          <t>CREATED</t>
        </is>
      </c>
      <c r="V1237" s="4" t="inlineStr">
        <is>
          <t>idem-20260902-ios-1236</t>
        </is>
      </c>
    </row>
    <row r="1238" ht="30" customHeight="1">
      <c r="A1238" s="4" t="n">
        <v>1237</v>
      </c>
      <c r="B1238" s="4" t="inlineStr">
        <is>
          <t>MTR-IOS-1237</t>
        </is>
      </c>
      <c r="C1238" s="4" t="inlineStr">
        <is>
          <t>Personal</t>
        </is>
      </c>
      <c r="D1238" s="4" t="inlineStr">
        <is>
          <t>Personal</t>
        </is>
      </c>
      <c r="E1238" s="4" t="inlineStr">
        <is>
          <t>Relationships</t>
        </is>
      </c>
      <c r="F1238" s="4" t="inlineStr">
        <is>
          <t>Friends</t>
        </is>
      </c>
      <c r="G1238" s="4" t="inlineStr">
        <is>
          <t>Expense</t>
        </is>
      </c>
      <c r="H1238" s="12" t="n">
        <v>45983</v>
      </c>
      <c r="I1238" s="13" t="n">
        <v>0.2960069444444444</v>
      </c>
      <c r="J1238" s="14" t="n">
        <v>45983.29600694445</v>
      </c>
      <c r="K1238" s="15" t="n">
        <v>10937.56</v>
      </c>
      <c r="L1238" s="4" t="inlineStr">
        <is>
          <t>INR</t>
        </is>
      </c>
      <c r="M1238" s="15" t="n">
        <v>-10937.56</v>
      </c>
      <c r="N1238" s="4" t="inlineStr">
        <is>
          <t>IOS Owner</t>
        </is>
      </c>
      <c r="O1238" s="4" t="n"/>
      <c r="P1238" s="4" t="n"/>
      <c r="Q1238" s="4" t="inlineStr">
        <is>
          <t>MAESTRO-IOS-PERSONAL-RELATIONSHIPS-1237 | Friends | 10937.56</t>
        </is>
      </c>
      <c r="R1238" s="4" t="inlineStr">
        <is>
          <t>iPhone</t>
        </is>
      </c>
      <c r="S1238" s="4" t="inlineStr">
        <is>
          <t>B25</t>
        </is>
      </c>
      <c r="T1238" s="4" t="inlineStr">
        <is>
          <t>RAMP_501_1500</t>
        </is>
      </c>
      <c r="U1238" s="4" t="inlineStr">
        <is>
          <t>CREATED</t>
        </is>
      </c>
      <c r="V1238" s="4" t="inlineStr">
        <is>
          <t>idem-20260902-ios-1237</t>
        </is>
      </c>
    </row>
    <row r="1239" ht="30" customHeight="1">
      <c r="A1239" s="4" t="n">
        <v>1238</v>
      </c>
      <c r="B1239" s="4" t="inlineStr">
        <is>
          <t>MTR-IOS-1238</t>
        </is>
      </c>
      <c r="C1239" s="4" t="inlineStr">
        <is>
          <t>Group</t>
        </is>
      </c>
      <c r="D1239" s="4" t="inlineStr">
        <is>
          <t>Shared Experience</t>
        </is>
      </c>
      <c r="E1239" s="4" t="inlineStr">
        <is>
          <t>Trip</t>
        </is>
      </c>
      <c r="F1239" s="4" t="inlineStr">
        <is>
          <t>Other</t>
        </is>
      </c>
      <c r="G1239" s="4" t="inlineStr">
        <is>
          <t>Expense</t>
        </is>
      </c>
      <c r="H1239" s="12" t="n">
        <v>46219</v>
      </c>
      <c r="I1239" s="13" t="n">
        <v>0.8405555555555555</v>
      </c>
      <c r="J1239" s="14" t="n">
        <v>46219.84055555556</v>
      </c>
      <c r="K1239" s="15" t="n">
        <v>11584.86</v>
      </c>
      <c r="L1239" s="4" t="inlineStr">
        <is>
          <t>INR</t>
        </is>
      </c>
      <c r="M1239" s="15" t="n">
        <v>-11584.86</v>
      </c>
      <c r="N1239" s="4" t="inlineStr">
        <is>
          <t>IOS Aarav</t>
        </is>
      </c>
      <c r="O1239" s="4" t="n">
        <v>3</v>
      </c>
      <c r="P1239" s="4" t="inlineStr">
        <is>
          <t>EQUAL</t>
        </is>
      </c>
      <c r="Q1239" s="4" t="inlineStr">
        <is>
          <t>MAESTRO-IOS-GROUP-TRIP-1238 | Other | 11584.86</t>
        </is>
      </c>
      <c r="R1239" s="4" t="inlineStr">
        <is>
          <t>iPhone</t>
        </is>
      </c>
      <c r="S1239" s="4" t="inlineStr">
        <is>
          <t>B25</t>
        </is>
      </c>
      <c r="T1239" s="4" t="inlineStr">
        <is>
          <t>RAMP_501_1500</t>
        </is>
      </c>
      <c r="U1239" s="4" t="inlineStr">
        <is>
          <t>CREATED</t>
        </is>
      </c>
      <c r="V1239" s="4" t="inlineStr">
        <is>
          <t>idem-20260902-ios-1238</t>
        </is>
      </c>
    </row>
    <row r="1240" ht="30" customHeight="1">
      <c r="A1240" s="4" t="n">
        <v>1239</v>
      </c>
      <c r="B1240" s="4" t="inlineStr">
        <is>
          <t>MTR-IOS-1239</t>
        </is>
      </c>
      <c r="C1240" s="4" t="inlineStr">
        <is>
          <t>Business</t>
        </is>
      </c>
      <c r="D1240" s="4" t="inlineStr">
        <is>
          <t>Business</t>
        </is>
      </c>
      <c r="E1240" s="4" t="inlineStr">
        <is>
          <t>Business Operations</t>
        </is>
      </c>
      <c r="F1240" s="4" t="inlineStr">
        <is>
          <t>Software</t>
        </is>
      </c>
      <c r="G1240" s="4" t="inlineStr">
        <is>
          <t>Expense</t>
        </is>
      </c>
      <c r="H1240" s="12" t="n">
        <v>46240</v>
      </c>
      <c r="I1240" s="13" t="n">
        <v>0.7418865740740741</v>
      </c>
      <c r="J1240" s="14" t="n">
        <v>46240.74188657408</v>
      </c>
      <c r="K1240" s="15" t="n">
        <v>71128.25</v>
      </c>
      <c r="L1240" s="4" t="inlineStr">
        <is>
          <t>INR</t>
        </is>
      </c>
      <c r="M1240" s="15" t="n">
        <v>-71128.25</v>
      </c>
      <c r="N1240" s="4" t="inlineStr">
        <is>
          <t>IOS Owner</t>
        </is>
      </c>
      <c r="O1240" s="4" t="n"/>
      <c r="P1240" s="4" t="n"/>
      <c r="Q1240" s="4" t="inlineStr">
        <is>
          <t>MAESTRO-IOS-BUSINESS-BUSINESS_OPERATIONS-1239 | Software | 71128.25</t>
        </is>
      </c>
      <c r="R1240" s="4" t="inlineStr">
        <is>
          <t>iPhone</t>
        </is>
      </c>
      <c r="S1240" s="4" t="inlineStr">
        <is>
          <t>B25</t>
        </is>
      </c>
      <c r="T1240" s="4" t="inlineStr">
        <is>
          <t>RAMP_501_1500</t>
        </is>
      </c>
      <c r="U1240" s="4" t="inlineStr">
        <is>
          <t>CREATED</t>
        </is>
      </c>
      <c r="V1240" s="4" t="inlineStr">
        <is>
          <t>idem-20260902-ios-1239</t>
        </is>
      </c>
    </row>
    <row r="1241" ht="30" customHeight="1">
      <c r="A1241" s="4" t="n">
        <v>1240</v>
      </c>
      <c r="B1241" s="4" t="inlineStr">
        <is>
          <t>MTR-IOS-1240</t>
        </is>
      </c>
      <c r="C1241" s="4" t="inlineStr">
        <is>
          <t>Personal</t>
        </is>
      </c>
      <c r="D1241" s="4" t="inlineStr">
        <is>
          <t>Personal</t>
        </is>
      </c>
      <c r="E1241" s="4" t="inlineStr">
        <is>
          <t>Relationships</t>
        </is>
      </c>
      <c r="F1241" s="4" t="inlineStr">
        <is>
          <t>Celebrations</t>
        </is>
      </c>
      <c r="G1241" s="4" t="inlineStr">
        <is>
          <t>Expense</t>
        </is>
      </c>
      <c r="H1241" s="12" t="n">
        <v>46206</v>
      </c>
      <c r="I1241" s="13" t="n">
        <v>0.4915046296296297</v>
      </c>
      <c r="J1241" s="14" t="n">
        <v>46206.49150462963</v>
      </c>
      <c r="K1241" s="15" t="n">
        <v>2623.74</v>
      </c>
      <c r="L1241" s="4" t="inlineStr">
        <is>
          <t>INR</t>
        </is>
      </c>
      <c r="M1241" s="15" t="n">
        <v>-2623.74</v>
      </c>
      <c r="N1241" s="4" t="inlineStr">
        <is>
          <t>IOS Owner</t>
        </is>
      </c>
      <c r="O1241" s="4" t="n"/>
      <c r="P1241" s="4" t="n"/>
      <c r="Q1241" s="4" t="inlineStr">
        <is>
          <t>MAESTRO-IOS-PERSONAL-RELATIONSHIPS-1240 | Celebrations | 2623.74</t>
        </is>
      </c>
      <c r="R1241" s="4" t="inlineStr">
        <is>
          <t>iPhone</t>
        </is>
      </c>
      <c r="S1241" s="4" t="inlineStr">
        <is>
          <t>B25</t>
        </is>
      </c>
      <c r="T1241" s="4" t="inlineStr">
        <is>
          <t>RAMP_501_1500</t>
        </is>
      </c>
      <c r="U1241" s="4" t="inlineStr">
        <is>
          <t>CREATED</t>
        </is>
      </c>
      <c r="V1241" s="4" t="inlineStr">
        <is>
          <t>idem-20260902-ios-1240</t>
        </is>
      </c>
    </row>
    <row r="1242" ht="30" customHeight="1">
      <c r="A1242" s="4" t="n">
        <v>1241</v>
      </c>
      <c r="B1242" s="4" t="inlineStr">
        <is>
          <t>MTR-IOS-1241</t>
        </is>
      </c>
      <c r="C1242" s="4" t="inlineStr">
        <is>
          <t>Group</t>
        </is>
      </c>
      <c r="D1242" s="4" t="inlineStr">
        <is>
          <t>Shared Experience</t>
        </is>
      </c>
      <c r="E1242" s="4" t="inlineStr">
        <is>
          <t>Wedding</t>
        </is>
      </c>
      <c r="F1242" s="4" t="inlineStr">
        <is>
          <t>Venue</t>
        </is>
      </c>
      <c r="G1242" s="4" t="inlineStr">
        <is>
          <t>Expense</t>
        </is>
      </c>
      <c r="H1242" s="12" t="n">
        <v>46170</v>
      </c>
      <c r="I1242" s="13" t="n">
        <v>0.4551388888888889</v>
      </c>
      <c r="J1242" s="14" t="n">
        <v>46170.45513888889</v>
      </c>
      <c r="K1242" s="15" t="n">
        <v>17192.22</v>
      </c>
      <c r="L1242" s="4" t="inlineStr">
        <is>
          <t>INR</t>
        </is>
      </c>
      <c r="M1242" s="15" t="n">
        <v>-17192.22</v>
      </c>
      <c r="N1242" s="4" t="inlineStr">
        <is>
          <t>IOS Meera</t>
        </is>
      </c>
      <c r="O1242" s="4" t="n">
        <v>3</v>
      </c>
      <c r="P1242" s="4" t="inlineStr">
        <is>
          <t>PERCENTAGE</t>
        </is>
      </c>
      <c r="Q1242" s="4" t="inlineStr">
        <is>
          <t>MAESTRO-IOS-GROUP-WEDDING-1241 | Venue | 17192.22</t>
        </is>
      </c>
      <c r="R1242" s="4" t="inlineStr">
        <is>
          <t>iPhone</t>
        </is>
      </c>
      <c r="S1242" s="4" t="inlineStr">
        <is>
          <t>B25</t>
        </is>
      </c>
      <c r="T1242" s="4" t="inlineStr">
        <is>
          <t>RAMP_501_1500</t>
        </is>
      </c>
      <c r="U1242" s="4" t="inlineStr">
        <is>
          <t>CREATED</t>
        </is>
      </c>
      <c r="V1242" s="4" t="inlineStr">
        <is>
          <t>idem-20260902-ios-1241</t>
        </is>
      </c>
    </row>
    <row r="1243" ht="30" customHeight="1">
      <c r="A1243" s="4" t="n">
        <v>1242</v>
      </c>
      <c r="B1243" s="4" t="inlineStr">
        <is>
          <t>MTR-IOS-1242</t>
        </is>
      </c>
      <c r="C1243" s="4" t="inlineStr">
        <is>
          <t>Business</t>
        </is>
      </c>
      <c r="D1243" s="4" t="inlineStr">
        <is>
          <t>Business</t>
        </is>
      </c>
      <c r="E1243" s="4" t="inlineStr">
        <is>
          <t>Business Operations</t>
        </is>
      </c>
      <c r="F1243" s="4" t="inlineStr">
        <is>
          <t>Rent</t>
        </is>
      </c>
      <c r="G1243" s="4" t="inlineStr">
        <is>
          <t>Expense</t>
        </is>
      </c>
      <c r="H1243" s="12" t="n">
        <v>45959</v>
      </c>
      <c r="I1243" s="13" t="n">
        <v>0.8176851851851852</v>
      </c>
      <c r="J1243" s="14" t="n">
        <v>45959.81768518518</v>
      </c>
      <c r="K1243" s="15" t="n">
        <v>81565.84</v>
      </c>
      <c r="L1243" s="4" t="inlineStr">
        <is>
          <t>INR</t>
        </is>
      </c>
      <c r="M1243" s="15" t="n">
        <v>-81565.84</v>
      </c>
      <c r="N1243" s="4" t="inlineStr">
        <is>
          <t>IOS Owner</t>
        </is>
      </c>
      <c r="O1243" s="4" t="n"/>
      <c r="P1243" s="4" t="n"/>
      <c r="Q1243" s="4" t="inlineStr">
        <is>
          <t>MAESTRO-IOS-BUSINESS-BUSINESS_OPERATIONS-1242 | Rent | 81565.84</t>
        </is>
      </c>
      <c r="R1243" s="4" t="inlineStr">
        <is>
          <t>iPhone</t>
        </is>
      </c>
      <c r="S1243" s="4" t="inlineStr">
        <is>
          <t>B25</t>
        </is>
      </c>
      <c r="T1243" s="4" t="inlineStr">
        <is>
          <t>RAMP_501_1500</t>
        </is>
      </c>
      <c r="U1243" s="4" t="inlineStr">
        <is>
          <t>CREATED</t>
        </is>
      </c>
      <c r="V1243" s="4" t="inlineStr">
        <is>
          <t>idem-20260902-ios-1242</t>
        </is>
      </c>
    </row>
    <row r="1244" ht="30" customHeight="1">
      <c r="A1244" s="4" t="n">
        <v>1243</v>
      </c>
      <c r="B1244" s="4" t="inlineStr">
        <is>
          <t>MTR-IOS-1243</t>
        </is>
      </c>
      <c r="C1244" s="4" t="inlineStr">
        <is>
          <t>Personal</t>
        </is>
      </c>
      <c r="D1244" s="4" t="inlineStr">
        <is>
          <t>Personal</t>
        </is>
      </c>
      <c r="E1244" s="4" t="inlineStr">
        <is>
          <t>Life Operations</t>
        </is>
      </c>
      <c r="F1244" s="4" t="inlineStr">
        <is>
          <t>Groceries</t>
        </is>
      </c>
      <c r="G1244" s="4" t="inlineStr">
        <is>
          <t>Expense</t>
        </is>
      </c>
      <c r="H1244" s="12" t="n">
        <v>46091</v>
      </c>
      <c r="I1244" s="13" t="n">
        <v>0.3394791666666667</v>
      </c>
      <c r="J1244" s="14" t="n">
        <v>46091.33947916667</v>
      </c>
      <c r="K1244" s="15" t="n">
        <v>235.95</v>
      </c>
      <c r="L1244" s="4" t="inlineStr">
        <is>
          <t>INR</t>
        </is>
      </c>
      <c r="M1244" s="15" t="n">
        <v>-235.95</v>
      </c>
      <c r="N1244" s="4" t="inlineStr">
        <is>
          <t>IOS Owner</t>
        </is>
      </c>
      <c r="O1244" s="4" t="n"/>
      <c r="P1244" s="4" t="n"/>
      <c r="Q1244" s="4" t="inlineStr">
        <is>
          <t>MAESTRO-IOS-PERSONAL-LIFE_OPERATIONS-1243 | Groceries | 235.95</t>
        </is>
      </c>
      <c r="R1244" s="4" t="inlineStr">
        <is>
          <t>iPhone</t>
        </is>
      </c>
      <c r="S1244" s="4" t="inlineStr">
        <is>
          <t>B25</t>
        </is>
      </c>
      <c r="T1244" s="4" t="inlineStr">
        <is>
          <t>RAMP_501_1500</t>
        </is>
      </c>
      <c r="U1244" s="4" t="inlineStr">
        <is>
          <t>CREATED</t>
        </is>
      </c>
      <c r="V1244" s="4" t="inlineStr">
        <is>
          <t>idem-20260902-ios-1243</t>
        </is>
      </c>
    </row>
    <row r="1245" ht="30" customHeight="1">
      <c r="A1245" s="4" t="n">
        <v>1244</v>
      </c>
      <c r="B1245" s="4" t="inlineStr">
        <is>
          <t>MTR-IOS-1244</t>
        </is>
      </c>
      <c r="C1245" s="4" t="inlineStr">
        <is>
          <t>Group</t>
        </is>
      </c>
      <c r="D1245" s="4" t="inlineStr">
        <is>
          <t>Shared Experience</t>
        </is>
      </c>
      <c r="E1245" s="4" t="inlineStr">
        <is>
          <t>Wedding</t>
        </is>
      </c>
      <c r="F1245" s="4" t="inlineStr">
        <is>
          <t>Catering</t>
        </is>
      </c>
      <c r="G1245" s="4" t="inlineStr">
        <is>
          <t>Expense</t>
        </is>
      </c>
      <c r="H1245" s="12" t="n">
        <v>46084</v>
      </c>
      <c r="I1245" s="13" t="n">
        <v>0.1861226851851852</v>
      </c>
      <c r="J1245" s="14" t="n">
        <v>46084.18612268518</v>
      </c>
      <c r="K1245" s="15" t="n">
        <v>834.4400000000001</v>
      </c>
      <c r="L1245" s="4" t="inlineStr">
        <is>
          <t>INR</t>
        </is>
      </c>
      <c r="M1245" s="15" t="n">
        <v>-834.4400000000001</v>
      </c>
      <c r="N1245" s="4" t="inlineStr">
        <is>
          <t>IOS Owner</t>
        </is>
      </c>
      <c r="O1245" s="4" t="n">
        <v>3</v>
      </c>
      <c r="P1245" s="4" t="inlineStr">
        <is>
          <t>EXACT</t>
        </is>
      </c>
      <c r="Q1245" s="4" t="inlineStr">
        <is>
          <t>MAESTRO-IOS-GROUP-WEDDING-1244 | Catering | 834.44</t>
        </is>
      </c>
      <c r="R1245" s="4" t="inlineStr">
        <is>
          <t>iPhone</t>
        </is>
      </c>
      <c r="S1245" s="4" t="inlineStr">
        <is>
          <t>B25</t>
        </is>
      </c>
      <c r="T1245" s="4" t="inlineStr">
        <is>
          <t>RAMP_501_1500</t>
        </is>
      </c>
      <c r="U1245" s="4" t="inlineStr">
        <is>
          <t>CREATED</t>
        </is>
      </c>
      <c r="V1245" s="4" t="inlineStr">
        <is>
          <t>idem-20260902-ios-1244</t>
        </is>
      </c>
    </row>
    <row r="1246" ht="30" customHeight="1">
      <c r="A1246" s="4" t="n">
        <v>1245</v>
      </c>
      <c r="B1246" s="4" t="inlineStr">
        <is>
          <t>MTR-IOS-1245</t>
        </is>
      </c>
      <c r="C1246" s="4" t="inlineStr">
        <is>
          <t>Business</t>
        </is>
      </c>
      <c r="D1246" s="4" t="inlineStr">
        <is>
          <t>Business</t>
        </is>
      </c>
      <c r="E1246" s="4" t="inlineStr">
        <is>
          <t>Business Operations</t>
        </is>
      </c>
      <c r="F1246" s="4" t="inlineStr">
        <is>
          <t>Marketing</t>
        </is>
      </c>
      <c r="G1246" s="4" t="inlineStr">
        <is>
          <t>Expense</t>
        </is>
      </c>
      <c r="H1246" s="12" t="n">
        <v>46169</v>
      </c>
      <c r="I1246" s="13" t="n">
        <v>0.5313657407407407</v>
      </c>
      <c r="J1246" s="14" t="n">
        <v>46169.53136574074</v>
      </c>
      <c r="K1246" s="15" t="n">
        <v>68614.14</v>
      </c>
      <c r="L1246" s="4" t="inlineStr">
        <is>
          <t>INR</t>
        </is>
      </c>
      <c r="M1246" s="15" t="n">
        <v>-68614.14</v>
      </c>
      <c r="N1246" s="4" t="inlineStr">
        <is>
          <t>IOS Owner</t>
        </is>
      </c>
      <c r="O1246" s="4" t="n"/>
      <c r="P1246" s="4" t="n"/>
      <c r="Q1246" s="4" t="inlineStr">
        <is>
          <t>MAESTRO-IOS-BUSINESS-BUSINESS_OPERATIONS-1245 | Marketing | 68614.14</t>
        </is>
      </c>
      <c r="R1246" s="4" t="inlineStr">
        <is>
          <t>iPhone</t>
        </is>
      </c>
      <c r="S1246" s="4" t="inlineStr">
        <is>
          <t>B25</t>
        </is>
      </c>
      <c r="T1246" s="4" t="inlineStr">
        <is>
          <t>RAMP_501_1500</t>
        </is>
      </c>
      <c r="U1246" s="4" t="inlineStr">
        <is>
          <t>CREATED</t>
        </is>
      </c>
      <c r="V1246" s="4" t="inlineStr">
        <is>
          <t>idem-20260902-ios-1245</t>
        </is>
      </c>
    </row>
    <row r="1247" ht="30" customHeight="1">
      <c r="A1247" s="4" t="n">
        <v>1246</v>
      </c>
      <c r="B1247" s="4" t="inlineStr">
        <is>
          <t>MTR-IOS-1246</t>
        </is>
      </c>
      <c r="C1247" s="4" t="inlineStr">
        <is>
          <t>Personal</t>
        </is>
      </c>
      <c r="D1247" s="4" t="inlineStr">
        <is>
          <t>Personal</t>
        </is>
      </c>
      <c r="E1247" s="4" t="inlineStr">
        <is>
          <t>Life Operations</t>
        </is>
      </c>
      <c r="F1247" s="4" t="inlineStr">
        <is>
          <t>Rent</t>
        </is>
      </c>
      <c r="G1247" s="4" t="inlineStr">
        <is>
          <t>Expense</t>
        </is>
      </c>
      <c r="H1247" s="12" t="n">
        <v>46117</v>
      </c>
      <c r="I1247" s="13" t="n">
        <v>0.001168981481481482</v>
      </c>
      <c r="J1247" s="14" t="n">
        <v>46117.00116898148</v>
      </c>
      <c r="K1247" s="15" t="n">
        <v>15463.42</v>
      </c>
      <c r="L1247" s="4" t="inlineStr">
        <is>
          <t>INR</t>
        </is>
      </c>
      <c r="M1247" s="15" t="n">
        <v>-15463.42</v>
      </c>
      <c r="N1247" s="4" t="inlineStr">
        <is>
          <t>IOS Owner</t>
        </is>
      </c>
      <c r="O1247" s="4" t="n"/>
      <c r="P1247" s="4" t="n"/>
      <c r="Q1247" s="4" t="inlineStr">
        <is>
          <t>MAESTRO-IOS-PERSONAL-LIFE_OPERATIONS-1246 | Rent | 15463.42</t>
        </is>
      </c>
      <c r="R1247" s="4" t="inlineStr">
        <is>
          <t>iPhone</t>
        </is>
      </c>
      <c r="S1247" s="4" t="inlineStr">
        <is>
          <t>B25</t>
        </is>
      </c>
      <c r="T1247" s="4" t="inlineStr">
        <is>
          <t>RAMP_501_1500</t>
        </is>
      </c>
      <c r="U1247" s="4" t="inlineStr">
        <is>
          <t>CREATED</t>
        </is>
      </c>
      <c r="V1247" s="4" t="inlineStr">
        <is>
          <t>idem-20260902-ios-1246</t>
        </is>
      </c>
    </row>
    <row r="1248" ht="30" customHeight="1">
      <c r="A1248" s="4" t="n">
        <v>1247</v>
      </c>
      <c r="B1248" s="4" t="inlineStr">
        <is>
          <t>MTR-IOS-1247</t>
        </is>
      </c>
      <c r="C1248" s="4" t="inlineStr">
        <is>
          <t>Group</t>
        </is>
      </c>
      <c r="D1248" s="4" t="inlineStr">
        <is>
          <t>Shared Experience</t>
        </is>
      </c>
      <c r="E1248" s="4" t="inlineStr">
        <is>
          <t>Wedding</t>
        </is>
      </c>
      <c r="F1248" s="4" t="inlineStr">
        <is>
          <t>Decor</t>
        </is>
      </c>
      <c r="G1248" s="4" t="inlineStr">
        <is>
          <t>Expense</t>
        </is>
      </c>
      <c r="H1248" s="12" t="n">
        <v>46016</v>
      </c>
      <c r="I1248" s="13" t="n">
        <v>0.02032407407407407</v>
      </c>
      <c r="J1248" s="14" t="n">
        <v>46016.02032407407</v>
      </c>
      <c r="K1248" s="15" t="n">
        <v>5406.49</v>
      </c>
      <c r="L1248" s="4" t="inlineStr">
        <is>
          <t>INR</t>
        </is>
      </c>
      <c r="M1248" s="15" t="n">
        <v>-5406.49</v>
      </c>
      <c r="N1248" s="4" t="inlineStr">
        <is>
          <t>IOS Aarav</t>
        </is>
      </c>
      <c r="O1248" s="4" t="n">
        <v>3</v>
      </c>
      <c r="P1248" s="4" t="inlineStr">
        <is>
          <t>SHARES</t>
        </is>
      </c>
      <c r="Q1248" s="4" t="inlineStr">
        <is>
          <t>MAESTRO-IOS-GROUP-WEDDING-1247 | Decor | 5406.49</t>
        </is>
      </c>
      <c r="R1248" s="4" t="inlineStr">
        <is>
          <t>iPhone</t>
        </is>
      </c>
      <c r="S1248" s="4" t="inlineStr">
        <is>
          <t>B25</t>
        </is>
      </c>
      <c r="T1248" s="4" t="inlineStr">
        <is>
          <t>RAMP_501_1500</t>
        </is>
      </c>
      <c r="U1248" s="4" t="inlineStr">
        <is>
          <t>CREATED</t>
        </is>
      </c>
      <c r="V1248" s="4" t="inlineStr">
        <is>
          <t>idem-20260902-ios-1247</t>
        </is>
      </c>
    </row>
    <row r="1249" ht="30" customHeight="1">
      <c r="A1249" s="4" t="n">
        <v>1248</v>
      </c>
      <c r="B1249" s="4" t="inlineStr">
        <is>
          <t>MTR-IOS-1248</t>
        </is>
      </c>
      <c r="C1249" s="4" t="inlineStr">
        <is>
          <t>Business</t>
        </is>
      </c>
      <c r="D1249" s="4" t="inlineStr">
        <is>
          <t>Business</t>
        </is>
      </c>
      <c r="E1249" s="4" t="inlineStr">
        <is>
          <t>Business Operations</t>
        </is>
      </c>
      <c r="F1249" s="4" t="inlineStr">
        <is>
          <t>Legal</t>
        </is>
      </c>
      <c r="G1249" s="4" t="inlineStr">
        <is>
          <t>Expense</t>
        </is>
      </c>
      <c r="H1249" s="12" t="n">
        <v>46104</v>
      </c>
      <c r="I1249" s="13" t="n">
        <v>0.165625</v>
      </c>
      <c r="J1249" s="14" t="n">
        <v>46104.165625</v>
      </c>
      <c r="K1249" s="15" t="n">
        <v>113535.28</v>
      </c>
      <c r="L1249" s="4" t="inlineStr">
        <is>
          <t>INR</t>
        </is>
      </c>
      <c r="M1249" s="15" t="n">
        <v>-113535.28</v>
      </c>
      <c r="N1249" s="4" t="inlineStr">
        <is>
          <t>IOS Owner</t>
        </is>
      </c>
      <c r="O1249" s="4" t="n"/>
      <c r="P1249" s="4" t="n"/>
      <c r="Q1249" s="4" t="inlineStr">
        <is>
          <t>MAESTRO-IOS-BUSINESS-BUSINESS_OPERATIONS-1248 | Legal | 113535.28</t>
        </is>
      </c>
      <c r="R1249" s="4" t="inlineStr">
        <is>
          <t>iPhone</t>
        </is>
      </c>
      <c r="S1249" s="4" t="inlineStr">
        <is>
          <t>B25</t>
        </is>
      </c>
      <c r="T1249" s="4" t="inlineStr">
        <is>
          <t>RAMP_501_1500</t>
        </is>
      </c>
      <c r="U1249" s="4" t="inlineStr">
        <is>
          <t>CREATED</t>
        </is>
      </c>
      <c r="V1249" s="4" t="inlineStr">
        <is>
          <t>idem-20260902-ios-1248</t>
        </is>
      </c>
    </row>
    <row r="1250" ht="30" customHeight="1">
      <c r="A1250" s="4" t="n">
        <v>1249</v>
      </c>
      <c r="B1250" s="4" t="inlineStr">
        <is>
          <t>MTR-IOS-1249</t>
        </is>
      </c>
      <c r="C1250" s="4" t="inlineStr">
        <is>
          <t>Personal</t>
        </is>
      </c>
      <c r="D1250" s="4" t="inlineStr">
        <is>
          <t>Personal</t>
        </is>
      </c>
      <c r="E1250" s="4" t="inlineStr">
        <is>
          <t>Life Operations</t>
        </is>
      </c>
      <c r="F1250" s="4" t="inlineStr">
        <is>
          <t>Bills</t>
        </is>
      </c>
      <c r="G1250" s="4" t="inlineStr">
        <is>
          <t>Expense</t>
        </is>
      </c>
      <c r="H1250" s="12" t="n">
        <v>46019</v>
      </c>
      <c r="I1250" s="13" t="n">
        <v>0.06215277777777778</v>
      </c>
      <c r="J1250" s="14" t="n">
        <v>46019.06215277778</v>
      </c>
      <c r="K1250" s="15" t="n">
        <v>17459.76</v>
      </c>
      <c r="L1250" s="4" t="inlineStr">
        <is>
          <t>INR</t>
        </is>
      </c>
      <c r="M1250" s="15" t="n">
        <v>-17459.76</v>
      </c>
      <c r="N1250" s="4" t="inlineStr">
        <is>
          <t>IOS Owner</t>
        </is>
      </c>
      <c r="O1250" s="4" t="n"/>
      <c r="P1250" s="4" t="n"/>
      <c r="Q1250" s="4" t="inlineStr">
        <is>
          <t>MAESTRO-IOS-PERSONAL-LIFE_OPERATIONS-1249 | Bills | 17459.76</t>
        </is>
      </c>
      <c r="R1250" s="4" t="inlineStr">
        <is>
          <t>iPhone</t>
        </is>
      </c>
      <c r="S1250" s="4" t="inlineStr">
        <is>
          <t>B25</t>
        </is>
      </c>
      <c r="T1250" s="4" t="inlineStr">
        <is>
          <t>RAMP_501_1500</t>
        </is>
      </c>
      <c r="U1250" s="4" t="inlineStr">
        <is>
          <t>CREATED</t>
        </is>
      </c>
      <c r="V1250" s="4" t="inlineStr">
        <is>
          <t>idem-20260902-ios-1249</t>
        </is>
      </c>
    </row>
    <row r="1251" ht="30" customHeight="1">
      <c r="A1251" s="4" t="n">
        <v>1250</v>
      </c>
      <c r="B1251" s="4" t="inlineStr">
        <is>
          <t>MTR-IOS-1250</t>
        </is>
      </c>
      <c r="C1251" s="4" t="inlineStr">
        <is>
          <t>Group</t>
        </is>
      </c>
      <c r="D1251" s="4" t="inlineStr">
        <is>
          <t>Shared Experience</t>
        </is>
      </c>
      <c r="E1251" s="4" t="inlineStr">
        <is>
          <t>Wedding</t>
        </is>
      </c>
      <c r="F1251" s="4" t="inlineStr">
        <is>
          <t>Travel</t>
        </is>
      </c>
      <c r="G1251" s="4" t="inlineStr">
        <is>
          <t>Expense</t>
        </is>
      </c>
      <c r="H1251" s="12" t="n">
        <v>46091</v>
      </c>
      <c r="I1251" s="13" t="n">
        <v>0.006296296296296296</v>
      </c>
      <c r="J1251" s="14" t="n">
        <v>46091.0062962963</v>
      </c>
      <c r="K1251" s="15" t="n">
        <v>10898.25</v>
      </c>
      <c r="L1251" s="4" t="inlineStr">
        <is>
          <t>INR</t>
        </is>
      </c>
      <c r="M1251" s="15" t="n">
        <v>-10898.25</v>
      </c>
      <c r="N1251" s="4" t="inlineStr">
        <is>
          <t>IOS Meera</t>
        </is>
      </c>
      <c r="O1251" s="4" t="n">
        <v>3</v>
      </c>
      <c r="P1251" s="4" t="inlineStr">
        <is>
          <t>EQUAL</t>
        </is>
      </c>
      <c r="Q1251" s="4" t="inlineStr">
        <is>
          <t>MAESTRO-IOS-GROUP-WEDDING-1250 | Travel | 10898.25</t>
        </is>
      </c>
      <c r="R1251" s="4" t="inlineStr">
        <is>
          <t>iPhone</t>
        </is>
      </c>
      <c r="S1251" s="4" t="inlineStr">
        <is>
          <t>B25</t>
        </is>
      </c>
      <c r="T1251" s="4" t="inlineStr">
        <is>
          <t>RAMP_501_1500</t>
        </is>
      </c>
      <c r="U1251" s="4" t="inlineStr">
        <is>
          <t>CREATED</t>
        </is>
      </c>
      <c r="V1251" s="4" t="inlineStr">
        <is>
          <t>idem-20260902-ios-1250</t>
        </is>
      </c>
    </row>
    <row r="1252" ht="30" customHeight="1">
      <c r="A1252" s="4" t="n">
        <v>1251</v>
      </c>
      <c r="B1252" s="4" t="inlineStr">
        <is>
          <t>MTR-IOS-1251</t>
        </is>
      </c>
      <c r="C1252" s="4" t="inlineStr">
        <is>
          <t>Business</t>
        </is>
      </c>
      <c r="D1252" s="4" t="inlineStr">
        <is>
          <t>Business</t>
        </is>
      </c>
      <c r="E1252" s="4" t="inlineStr">
        <is>
          <t>Business Operations</t>
        </is>
      </c>
      <c r="F1252" s="4" t="inlineStr">
        <is>
          <t>Accounting</t>
        </is>
      </c>
      <c r="G1252" s="4" t="inlineStr">
        <is>
          <t>Expense</t>
        </is>
      </c>
      <c r="H1252" s="12" t="n">
        <v>45985</v>
      </c>
      <c r="I1252" s="13" t="n">
        <v>0.5026157407407408</v>
      </c>
      <c r="J1252" s="14" t="n">
        <v>45985.50261574074</v>
      </c>
      <c r="K1252" s="15" t="n">
        <v>73667.35000000001</v>
      </c>
      <c r="L1252" s="4" t="inlineStr">
        <is>
          <t>INR</t>
        </is>
      </c>
      <c r="M1252" s="15" t="n">
        <v>-73667.35000000001</v>
      </c>
      <c r="N1252" s="4" t="inlineStr">
        <is>
          <t>IOS Owner</t>
        </is>
      </c>
      <c r="O1252" s="4" t="n"/>
      <c r="P1252" s="4" t="n"/>
      <c r="Q1252" s="4" t="inlineStr">
        <is>
          <t>MAESTRO-IOS-BUSINESS-BUSINESS_OPERATIONS-1251 | Accounting | 73667.35</t>
        </is>
      </c>
      <c r="R1252" s="4" t="inlineStr">
        <is>
          <t>iPhone</t>
        </is>
      </c>
      <c r="S1252" s="4" t="inlineStr">
        <is>
          <t>B26</t>
        </is>
      </c>
      <c r="T1252" s="4" t="inlineStr">
        <is>
          <t>RAMP_501_1500</t>
        </is>
      </c>
      <c r="U1252" s="4" t="inlineStr">
        <is>
          <t>CREATED</t>
        </is>
      </c>
      <c r="V1252" s="4" t="inlineStr">
        <is>
          <t>idem-20260902-ios-1251</t>
        </is>
      </c>
    </row>
    <row r="1253" ht="30" customHeight="1">
      <c r="A1253" s="4" t="n">
        <v>1252</v>
      </c>
      <c r="B1253" s="4" t="inlineStr">
        <is>
          <t>MTR-IOS-1252</t>
        </is>
      </c>
      <c r="C1253" s="4" t="inlineStr">
        <is>
          <t>Personal</t>
        </is>
      </c>
      <c r="D1253" s="4" t="inlineStr">
        <is>
          <t>Personal</t>
        </is>
      </c>
      <c r="E1253" s="4" t="inlineStr">
        <is>
          <t>Life Operations</t>
        </is>
      </c>
      <c r="F1253" s="4" t="inlineStr">
        <is>
          <t>Transport</t>
        </is>
      </c>
      <c r="G1253" s="4" t="inlineStr">
        <is>
          <t>Expense</t>
        </is>
      </c>
      <c r="H1253" s="12" t="n">
        <v>45949</v>
      </c>
      <c r="I1253" s="13" t="n">
        <v>0.5007754629629629</v>
      </c>
      <c r="J1253" s="14" t="n">
        <v>45949.50077546296</v>
      </c>
      <c r="K1253" s="15" t="n">
        <v>7566.31</v>
      </c>
      <c r="L1253" s="4" t="inlineStr">
        <is>
          <t>INR</t>
        </is>
      </c>
      <c r="M1253" s="15" t="n">
        <v>-7566.31</v>
      </c>
      <c r="N1253" s="4" t="inlineStr">
        <is>
          <t>IOS Owner</t>
        </is>
      </c>
      <c r="O1253" s="4" t="n"/>
      <c r="P1253" s="4" t="n"/>
      <c r="Q1253" s="4" t="inlineStr">
        <is>
          <t>MAESTRO-IOS-PERSONAL-LIFE_OPERATIONS-1252 | Transport | 7566.31</t>
        </is>
      </c>
      <c r="R1253" s="4" t="inlineStr">
        <is>
          <t>iPhone</t>
        </is>
      </c>
      <c r="S1253" s="4" t="inlineStr">
        <is>
          <t>B26</t>
        </is>
      </c>
      <c r="T1253" s="4" t="inlineStr">
        <is>
          <t>RAMP_501_1500</t>
        </is>
      </c>
      <c r="U1253" s="4" t="inlineStr">
        <is>
          <t>CREATED</t>
        </is>
      </c>
      <c r="V1253" s="4" t="inlineStr">
        <is>
          <t>idem-20260902-ios-1252</t>
        </is>
      </c>
    </row>
    <row r="1254" ht="30" customHeight="1">
      <c r="A1254" s="4" t="n">
        <v>1253</v>
      </c>
      <c r="B1254" s="4" t="inlineStr">
        <is>
          <t>MTR-IOS-1253</t>
        </is>
      </c>
      <c r="C1254" s="4" t="inlineStr">
        <is>
          <t>Group</t>
        </is>
      </c>
      <c r="D1254" s="4" t="inlineStr">
        <is>
          <t>Shared Experience</t>
        </is>
      </c>
      <c r="E1254" s="4" t="inlineStr">
        <is>
          <t>Wedding</t>
        </is>
      </c>
      <c r="F1254" s="4" t="inlineStr">
        <is>
          <t>Gifts</t>
        </is>
      </c>
      <c r="G1254" s="4" t="inlineStr">
        <is>
          <t>Expense</t>
        </is>
      </c>
      <c r="H1254" s="12" t="n">
        <v>46050</v>
      </c>
      <c r="I1254" s="13" t="n">
        <v>0.8104745370370371</v>
      </c>
      <c r="J1254" s="14" t="n">
        <v>46050.81047453704</v>
      </c>
      <c r="K1254" s="15" t="n">
        <v>22610.63</v>
      </c>
      <c r="L1254" s="4" t="inlineStr">
        <is>
          <t>INR</t>
        </is>
      </c>
      <c r="M1254" s="15" t="n">
        <v>-22610.63</v>
      </c>
      <c r="N1254" s="4" t="inlineStr">
        <is>
          <t>IOS Owner</t>
        </is>
      </c>
      <c r="O1254" s="4" t="n">
        <v>3</v>
      </c>
      <c r="P1254" s="4" t="inlineStr">
        <is>
          <t>PERCENTAGE</t>
        </is>
      </c>
      <c r="Q1254" s="4" t="inlineStr">
        <is>
          <t>MAESTRO-IOS-GROUP-WEDDING-1253 | Gifts | 22610.63</t>
        </is>
      </c>
      <c r="R1254" s="4" t="inlineStr">
        <is>
          <t>iPhone</t>
        </is>
      </c>
      <c r="S1254" s="4" t="inlineStr">
        <is>
          <t>B26</t>
        </is>
      </c>
      <c r="T1254" s="4" t="inlineStr">
        <is>
          <t>RAMP_501_1500</t>
        </is>
      </c>
      <c r="U1254" s="4" t="inlineStr">
        <is>
          <t>CREATED</t>
        </is>
      </c>
      <c r="V1254" s="4" t="inlineStr">
        <is>
          <t>idem-20260902-ios-1253</t>
        </is>
      </c>
    </row>
    <row r="1255" ht="30" customHeight="1">
      <c r="A1255" s="4" t="n">
        <v>1254</v>
      </c>
      <c r="B1255" s="4" t="inlineStr">
        <is>
          <t>MTR-IOS-1254</t>
        </is>
      </c>
      <c r="C1255" s="4" t="inlineStr">
        <is>
          <t>Business</t>
        </is>
      </c>
      <c r="D1255" s="4" t="inlineStr">
        <is>
          <t>Business</t>
        </is>
      </c>
      <c r="E1255" s="4" t="inlineStr">
        <is>
          <t>Business Operations</t>
        </is>
      </c>
      <c r="F1255" s="4" t="inlineStr">
        <is>
          <t>Equipment</t>
        </is>
      </c>
      <c r="G1255" s="4" t="inlineStr">
        <is>
          <t>Expense</t>
        </is>
      </c>
      <c r="H1255" s="12" t="n">
        <v>45935</v>
      </c>
      <c r="I1255" s="13" t="n">
        <v>0.1059490740740741</v>
      </c>
      <c r="J1255" s="14" t="n">
        <v>45935.10594907407</v>
      </c>
      <c r="K1255" s="15" t="n">
        <v>109206.12</v>
      </c>
      <c r="L1255" s="4" t="inlineStr">
        <is>
          <t>INR</t>
        </is>
      </c>
      <c r="M1255" s="15" t="n">
        <v>-109206.12</v>
      </c>
      <c r="N1255" s="4" t="inlineStr">
        <is>
          <t>IOS Owner</t>
        </is>
      </c>
      <c r="O1255" s="4" t="n"/>
      <c r="P1255" s="4" t="n"/>
      <c r="Q1255" s="4" t="inlineStr">
        <is>
          <t>MAESTRO-IOS-BUSINESS-BUSINESS_OPERATIONS-1254 | Equipment | 109206.12</t>
        </is>
      </c>
      <c r="R1255" s="4" t="inlineStr">
        <is>
          <t>iPhone</t>
        </is>
      </c>
      <c r="S1255" s="4" t="inlineStr">
        <is>
          <t>B26</t>
        </is>
      </c>
      <c r="T1255" s="4" t="inlineStr">
        <is>
          <t>RAMP_501_1500</t>
        </is>
      </c>
      <c r="U1255" s="4" t="inlineStr">
        <is>
          <t>CREATED</t>
        </is>
      </c>
      <c r="V1255" s="4" t="inlineStr">
        <is>
          <t>idem-20260902-ios-1254</t>
        </is>
      </c>
    </row>
    <row r="1256" ht="30" customHeight="1">
      <c r="A1256" s="4" t="n">
        <v>1255</v>
      </c>
      <c r="B1256" s="4" t="inlineStr">
        <is>
          <t>MTR-IOS-1255</t>
        </is>
      </c>
      <c r="C1256" s="4" t="inlineStr">
        <is>
          <t>Personal</t>
        </is>
      </c>
      <c r="D1256" s="4" t="inlineStr">
        <is>
          <t>Personal</t>
        </is>
      </c>
      <c r="E1256" s="4" t="inlineStr">
        <is>
          <t>Life Operations</t>
        </is>
      </c>
      <c r="F1256" s="4" t="inlineStr">
        <is>
          <t>Healthcare</t>
        </is>
      </c>
      <c r="G1256" s="4" t="inlineStr">
        <is>
          <t>Expense</t>
        </is>
      </c>
      <c r="H1256" s="12" t="n">
        <v>46147</v>
      </c>
      <c r="I1256" s="13" t="n">
        <v>0.4982060185185185</v>
      </c>
      <c r="J1256" s="14" t="n">
        <v>46147.49820601852</v>
      </c>
      <c r="K1256" s="15" t="n">
        <v>10673.8</v>
      </c>
      <c r="L1256" s="4" t="inlineStr">
        <is>
          <t>INR</t>
        </is>
      </c>
      <c r="M1256" s="15" t="n">
        <v>-10673.8</v>
      </c>
      <c r="N1256" s="4" t="inlineStr">
        <is>
          <t>IOS Owner</t>
        </is>
      </c>
      <c r="O1256" s="4" t="n"/>
      <c r="P1256" s="4" t="n"/>
      <c r="Q1256" s="4" t="inlineStr">
        <is>
          <t>MAESTRO-IOS-PERSONAL-LIFE_OPERATIONS-1255 | Healthcare | 10673.80</t>
        </is>
      </c>
      <c r="R1256" s="4" t="inlineStr">
        <is>
          <t>iPhone</t>
        </is>
      </c>
      <c r="S1256" s="4" t="inlineStr">
        <is>
          <t>B26</t>
        </is>
      </c>
      <c r="T1256" s="4" t="inlineStr">
        <is>
          <t>RAMP_501_1500</t>
        </is>
      </c>
      <c r="U1256" s="4" t="inlineStr">
        <is>
          <t>CREATED</t>
        </is>
      </c>
      <c r="V1256" s="4" t="inlineStr">
        <is>
          <t>idem-20260902-ios-1255</t>
        </is>
      </c>
    </row>
    <row r="1257" ht="30" customHeight="1">
      <c r="A1257" s="4" t="n">
        <v>1256</v>
      </c>
      <c r="B1257" s="4" t="inlineStr">
        <is>
          <t>MTR-IOS-1256</t>
        </is>
      </c>
      <c r="C1257" s="4" t="inlineStr">
        <is>
          <t>Group</t>
        </is>
      </c>
      <c r="D1257" s="4" t="inlineStr">
        <is>
          <t>Shared Experience</t>
        </is>
      </c>
      <c r="E1257" s="4" t="inlineStr">
        <is>
          <t>Wedding</t>
        </is>
      </c>
      <c r="F1257" s="4" t="inlineStr">
        <is>
          <t>Photography</t>
        </is>
      </c>
      <c r="G1257" s="4" t="inlineStr">
        <is>
          <t>Expense</t>
        </is>
      </c>
      <c r="H1257" s="12" t="n">
        <v>46101</v>
      </c>
      <c r="I1257" s="13" t="n">
        <v>0.1349305555555556</v>
      </c>
      <c r="J1257" s="14" t="n">
        <v>46101.13493055556</v>
      </c>
      <c r="K1257" s="15" t="n">
        <v>1285.64</v>
      </c>
      <c r="L1257" s="4" t="inlineStr">
        <is>
          <t>INR</t>
        </is>
      </c>
      <c r="M1257" s="15" t="n">
        <v>-1285.64</v>
      </c>
      <c r="N1257" s="4" t="inlineStr">
        <is>
          <t>IOS Aarav</t>
        </is>
      </c>
      <c r="O1257" s="4" t="n">
        <v>3</v>
      </c>
      <c r="P1257" s="4" t="inlineStr">
        <is>
          <t>EXACT</t>
        </is>
      </c>
      <c r="Q1257" s="4" t="inlineStr">
        <is>
          <t>MAESTRO-IOS-GROUP-WEDDING-1256 | Photography | 1285.64</t>
        </is>
      </c>
      <c r="R1257" s="4" t="inlineStr">
        <is>
          <t>iPhone</t>
        </is>
      </c>
      <c r="S1257" s="4" t="inlineStr">
        <is>
          <t>B26</t>
        </is>
      </c>
      <c r="T1257" s="4" t="inlineStr">
        <is>
          <t>RAMP_501_1500</t>
        </is>
      </c>
      <c r="U1257" s="4" t="inlineStr">
        <is>
          <t>CREATED</t>
        </is>
      </c>
      <c r="V1257" s="4" t="inlineStr">
        <is>
          <t>idem-20260902-ios-1256</t>
        </is>
      </c>
    </row>
    <row r="1258" ht="30" customHeight="1">
      <c r="A1258" s="4" t="n">
        <v>1257</v>
      </c>
      <c r="B1258" s="4" t="inlineStr">
        <is>
          <t>MTR-IOS-1257</t>
        </is>
      </c>
      <c r="C1258" s="4" t="inlineStr">
        <is>
          <t>Business</t>
        </is>
      </c>
      <c r="D1258" s="4" t="inlineStr">
        <is>
          <t>Business</t>
        </is>
      </c>
      <c r="E1258" s="4" t="inlineStr">
        <is>
          <t>Business Operations</t>
        </is>
      </c>
      <c r="F1258" s="4" t="inlineStr">
        <is>
          <t>Vendor</t>
        </is>
      </c>
      <c r="G1258" s="4" t="inlineStr">
        <is>
          <t>Expense</t>
        </is>
      </c>
      <c r="H1258" s="12" t="n">
        <v>45980</v>
      </c>
      <c r="I1258" s="13" t="n">
        <v>0.2392476851851852</v>
      </c>
      <c r="J1258" s="14" t="n">
        <v>45980.23924768518</v>
      </c>
      <c r="K1258" s="15" t="n">
        <v>102565.63</v>
      </c>
      <c r="L1258" s="4" t="inlineStr">
        <is>
          <t>INR</t>
        </is>
      </c>
      <c r="M1258" s="15" t="n">
        <v>-102565.63</v>
      </c>
      <c r="N1258" s="4" t="inlineStr">
        <is>
          <t>IOS Owner</t>
        </is>
      </c>
      <c r="O1258" s="4" t="n"/>
      <c r="P1258" s="4" t="n"/>
      <c r="Q1258" s="4" t="inlineStr">
        <is>
          <t>MAESTRO-IOS-BUSINESS-BUSINESS_OPERATIONS-1257 | Vendor | 102565.63</t>
        </is>
      </c>
      <c r="R1258" s="4" t="inlineStr">
        <is>
          <t>iPhone</t>
        </is>
      </c>
      <c r="S1258" s="4" t="inlineStr">
        <is>
          <t>B26</t>
        </is>
      </c>
      <c r="T1258" s="4" t="inlineStr">
        <is>
          <t>RAMP_501_1500</t>
        </is>
      </c>
      <c r="U1258" s="4" t="inlineStr">
        <is>
          <t>CREATED</t>
        </is>
      </c>
      <c r="V1258" s="4" t="inlineStr">
        <is>
          <t>idem-20260902-ios-1257</t>
        </is>
      </c>
    </row>
    <row r="1259" ht="30" customHeight="1">
      <c r="A1259" s="4" t="n">
        <v>1258</v>
      </c>
      <c r="B1259" s="4" t="inlineStr">
        <is>
          <t>MTR-IOS-1258</t>
        </is>
      </c>
      <c r="C1259" s="4" t="inlineStr">
        <is>
          <t>Personal</t>
        </is>
      </c>
      <c r="D1259" s="4" t="inlineStr">
        <is>
          <t>Personal</t>
        </is>
      </c>
      <c r="E1259" s="4" t="inlineStr">
        <is>
          <t>Life Operations</t>
        </is>
      </c>
      <c r="F1259" s="4" t="inlineStr">
        <is>
          <t>Subscriptions</t>
        </is>
      </c>
      <c r="G1259" s="4" t="inlineStr">
        <is>
          <t>Expense</t>
        </is>
      </c>
      <c r="H1259" s="12" t="n">
        <v>46222</v>
      </c>
      <c r="I1259" s="13" t="n">
        <v>0.3718055555555556</v>
      </c>
      <c r="J1259" s="14" t="n">
        <v>46222.37180555556</v>
      </c>
      <c r="K1259" s="15" t="n">
        <v>999.99</v>
      </c>
      <c r="L1259" s="4" t="inlineStr">
        <is>
          <t>INR</t>
        </is>
      </c>
      <c r="M1259" s="15" t="n">
        <v>-999.99</v>
      </c>
      <c r="N1259" s="4" t="inlineStr">
        <is>
          <t>IOS Owner</t>
        </is>
      </c>
      <c r="O1259" s="4" t="n"/>
      <c r="P1259" s="4" t="n"/>
      <c r="Q1259" s="4" t="inlineStr">
        <is>
          <t>MAESTRO-IOS-PERSONAL-LIFE_OPERATIONS-1258 | Subscriptions | 999.99</t>
        </is>
      </c>
      <c r="R1259" s="4" t="inlineStr">
        <is>
          <t>iPhone</t>
        </is>
      </c>
      <c r="S1259" s="4" t="inlineStr">
        <is>
          <t>B26</t>
        </is>
      </c>
      <c r="T1259" s="4" t="inlineStr">
        <is>
          <t>RAMP_501_1500</t>
        </is>
      </c>
      <c r="U1259" s="4" t="inlineStr">
        <is>
          <t>CREATED</t>
        </is>
      </c>
      <c r="V1259" s="4" t="inlineStr">
        <is>
          <t>idem-20260902-ios-1258</t>
        </is>
      </c>
    </row>
    <row r="1260" ht="30" customHeight="1">
      <c r="A1260" s="4" t="n">
        <v>1259</v>
      </c>
      <c r="B1260" s="4" t="inlineStr">
        <is>
          <t>MTR-IOS-1259</t>
        </is>
      </c>
      <c r="C1260" s="4" t="inlineStr">
        <is>
          <t>Group</t>
        </is>
      </c>
      <c r="D1260" s="4" t="inlineStr">
        <is>
          <t>Shared Experience</t>
        </is>
      </c>
      <c r="E1260" s="4" t="inlineStr">
        <is>
          <t>Wedding</t>
        </is>
      </c>
      <c r="F1260" s="4" t="inlineStr">
        <is>
          <t>Other</t>
        </is>
      </c>
      <c r="G1260" s="4" t="inlineStr">
        <is>
          <t>Expense</t>
        </is>
      </c>
      <c r="H1260" s="12" t="n">
        <v>45933</v>
      </c>
      <c r="I1260" s="13" t="n">
        <v>0.3992708333333334</v>
      </c>
      <c r="J1260" s="14" t="n">
        <v>45933.39927083333</v>
      </c>
      <c r="K1260" s="15" t="n">
        <v>9350.950000000001</v>
      </c>
      <c r="L1260" s="4" t="inlineStr">
        <is>
          <t>INR</t>
        </is>
      </c>
      <c r="M1260" s="15" t="n">
        <v>-9350.950000000001</v>
      </c>
      <c r="N1260" s="4" t="inlineStr">
        <is>
          <t>IOS Meera</t>
        </is>
      </c>
      <c r="O1260" s="4" t="n">
        <v>3</v>
      </c>
      <c r="P1260" s="4" t="inlineStr">
        <is>
          <t>SHARES</t>
        </is>
      </c>
      <c r="Q1260" s="4" t="inlineStr">
        <is>
          <t>MAESTRO-IOS-GROUP-WEDDING-1259 | Other | 9350.95</t>
        </is>
      </c>
      <c r="R1260" s="4" t="inlineStr">
        <is>
          <t>iPhone</t>
        </is>
      </c>
      <c r="S1260" s="4" t="inlineStr">
        <is>
          <t>B26</t>
        </is>
      </c>
      <c r="T1260" s="4" t="inlineStr">
        <is>
          <t>RAMP_501_1500</t>
        </is>
      </c>
      <c r="U1260" s="4" t="inlineStr">
        <is>
          <t>CREATED</t>
        </is>
      </c>
      <c r="V1260" s="4" t="inlineStr">
        <is>
          <t>idem-20260902-ios-1259</t>
        </is>
      </c>
    </row>
    <row r="1261" ht="30" customHeight="1">
      <c r="A1261" s="4" t="n">
        <v>1260</v>
      </c>
      <c r="B1261" s="4" t="inlineStr">
        <is>
          <t>MTR-IOS-1260</t>
        </is>
      </c>
      <c r="C1261" s="4" t="inlineStr">
        <is>
          <t>Business</t>
        </is>
      </c>
      <c r="D1261" s="4" t="inlineStr">
        <is>
          <t>Business</t>
        </is>
      </c>
      <c r="E1261" s="4" t="inlineStr">
        <is>
          <t>Business Operations</t>
        </is>
      </c>
      <c r="F1261" s="4" t="inlineStr">
        <is>
          <t>Tax</t>
        </is>
      </c>
      <c r="G1261" s="4" t="inlineStr">
        <is>
          <t>Expense</t>
        </is>
      </c>
      <c r="H1261" s="12" t="n">
        <v>45907</v>
      </c>
      <c r="I1261" s="13" t="n">
        <v>0.6511805555555555</v>
      </c>
      <c r="J1261" s="14" t="n">
        <v>45907.65118055556</v>
      </c>
      <c r="K1261" s="15" t="n">
        <v>88326.07000000001</v>
      </c>
      <c r="L1261" s="4" t="inlineStr">
        <is>
          <t>INR</t>
        </is>
      </c>
      <c r="M1261" s="15" t="n">
        <v>-88326.07000000001</v>
      </c>
      <c r="N1261" s="4" t="inlineStr">
        <is>
          <t>IOS Owner</t>
        </is>
      </c>
      <c r="O1261" s="4" t="n"/>
      <c r="P1261" s="4" t="n"/>
      <c r="Q1261" s="4" t="inlineStr">
        <is>
          <t>MAESTRO-IOS-BUSINESS-BUSINESS_OPERATIONS-1260 | Tax | 88326.07</t>
        </is>
      </c>
      <c r="R1261" s="4" t="inlineStr">
        <is>
          <t>iPhone</t>
        </is>
      </c>
      <c r="S1261" s="4" t="inlineStr">
        <is>
          <t>B26</t>
        </is>
      </c>
      <c r="T1261" s="4" t="inlineStr">
        <is>
          <t>RAMP_501_1500</t>
        </is>
      </c>
      <c r="U1261" s="4" t="inlineStr">
        <is>
          <t>CREATED</t>
        </is>
      </c>
      <c r="V1261" s="4" t="inlineStr">
        <is>
          <t>idem-20260902-ios-1260</t>
        </is>
      </c>
    </row>
    <row r="1262" ht="30" customHeight="1">
      <c r="A1262" s="4" t="n">
        <v>1261</v>
      </c>
      <c r="B1262" s="4" t="inlineStr">
        <is>
          <t>MTR-IOS-1261</t>
        </is>
      </c>
      <c r="C1262" s="4" t="inlineStr">
        <is>
          <t>Personal</t>
        </is>
      </c>
      <c r="D1262" s="4" t="inlineStr">
        <is>
          <t>Personal</t>
        </is>
      </c>
      <c r="E1262" s="4" t="inlineStr">
        <is>
          <t>Life Operations</t>
        </is>
      </c>
      <c r="F1262" s="4" t="inlineStr">
        <is>
          <t>Repairs</t>
        </is>
      </c>
      <c r="G1262" s="4" t="inlineStr">
        <is>
          <t>Expense</t>
        </is>
      </c>
      <c r="H1262" s="12" t="n">
        <v>45947</v>
      </c>
      <c r="I1262" s="13" t="n">
        <v>0.9513310185185185</v>
      </c>
      <c r="J1262" s="14" t="n">
        <v>45947.95133101852</v>
      </c>
      <c r="K1262" s="15" t="n">
        <v>17786.98</v>
      </c>
      <c r="L1262" s="4" t="inlineStr">
        <is>
          <t>INR</t>
        </is>
      </c>
      <c r="M1262" s="15" t="n">
        <v>-17786.98</v>
      </c>
      <c r="N1262" s="4" t="inlineStr">
        <is>
          <t>IOS Owner</t>
        </is>
      </c>
      <c r="O1262" s="4" t="n"/>
      <c r="P1262" s="4" t="n"/>
      <c r="Q1262" s="4" t="inlineStr">
        <is>
          <t>MAESTRO-IOS-PERSONAL-LIFE_OPERATIONS-1261 | Repairs | 17786.98</t>
        </is>
      </c>
      <c r="R1262" s="4" t="inlineStr">
        <is>
          <t>iPhone</t>
        </is>
      </c>
      <c r="S1262" s="4" t="inlineStr">
        <is>
          <t>B26</t>
        </is>
      </c>
      <c r="T1262" s="4" t="inlineStr">
        <is>
          <t>RAMP_501_1500</t>
        </is>
      </c>
      <c r="U1262" s="4" t="inlineStr">
        <is>
          <t>CREATED</t>
        </is>
      </c>
      <c r="V1262" s="4" t="inlineStr">
        <is>
          <t>idem-20260902-ios-1261</t>
        </is>
      </c>
    </row>
    <row r="1263" ht="30" customHeight="1">
      <c r="A1263" s="4" t="n">
        <v>1262</v>
      </c>
      <c r="B1263" s="4" t="inlineStr">
        <is>
          <t>MTR-IOS-1262</t>
        </is>
      </c>
      <c r="C1263" s="4" t="inlineStr">
        <is>
          <t>Group</t>
        </is>
      </c>
      <c r="D1263" s="4" t="inlineStr">
        <is>
          <t>Shared Experience</t>
        </is>
      </c>
      <c r="E1263" s="4" t="inlineStr">
        <is>
          <t>Office Outing</t>
        </is>
      </c>
      <c r="F1263" s="4" t="inlineStr">
        <is>
          <t>Food</t>
        </is>
      </c>
      <c r="G1263" s="4" t="inlineStr">
        <is>
          <t>Expense</t>
        </is>
      </c>
      <c r="H1263" s="12" t="n">
        <v>46207</v>
      </c>
      <c r="I1263" s="13" t="n">
        <v>0.2746180555555556</v>
      </c>
      <c r="J1263" s="14" t="n">
        <v>46207.27461805556</v>
      </c>
      <c r="K1263" s="15" t="n">
        <v>21957.13</v>
      </c>
      <c r="L1263" s="4" t="inlineStr">
        <is>
          <t>INR</t>
        </is>
      </c>
      <c r="M1263" s="15" t="n">
        <v>-21957.13</v>
      </c>
      <c r="N1263" s="4" t="inlineStr">
        <is>
          <t>IOS Owner</t>
        </is>
      </c>
      <c r="O1263" s="4" t="n">
        <v>3</v>
      </c>
      <c r="P1263" s="4" t="inlineStr">
        <is>
          <t>EQUAL</t>
        </is>
      </c>
      <c r="Q1263" s="4" t="inlineStr">
        <is>
          <t>MAESTRO-IOS-GROUP-OFFICE_OUTING-1262 | Food | 21957.13</t>
        </is>
      </c>
      <c r="R1263" s="4" t="inlineStr">
        <is>
          <t>iPhone</t>
        </is>
      </c>
      <c r="S1263" s="4" t="inlineStr">
        <is>
          <t>B26</t>
        </is>
      </c>
      <c r="T1263" s="4" t="inlineStr">
        <is>
          <t>RAMP_501_1500</t>
        </is>
      </c>
      <c r="U1263" s="4" t="inlineStr">
        <is>
          <t>CREATED</t>
        </is>
      </c>
      <c r="V1263" s="4" t="inlineStr">
        <is>
          <t>idem-20260902-ios-1262</t>
        </is>
      </c>
    </row>
    <row r="1264" ht="30" customHeight="1">
      <c r="A1264" s="4" t="n">
        <v>1263</v>
      </c>
      <c r="B1264" s="4" t="inlineStr">
        <is>
          <t>MTR-IOS-1263</t>
        </is>
      </c>
      <c r="C1264" s="4" t="inlineStr">
        <is>
          <t>Business</t>
        </is>
      </c>
      <c r="D1264" s="4" t="inlineStr">
        <is>
          <t>Business</t>
        </is>
      </c>
      <c r="E1264" s="4" t="inlineStr">
        <is>
          <t>Team Operations</t>
        </is>
      </c>
      <c r="F1264" s="4" t="inlineStr">
        <is>
          <t>Payroll</t>
        </is>
      </c>
      <c r="G1264" s="4" t="inlineStr">
        <is>
          <t>Expense</t>
        </is>
      </c>
      <c r="H1264" s="12" t="n">
        <v>45956</v>
      </c>
      <c r="I1264" s="13" t="n">
        <v>0.02619212962962963</v>
      </c>
      <c r="J1264" s="14" t="n">
        <v>45956.02619212963</v>
      </c>
      <c r="K1264" s="15" t="n">
        <v>161316.55</v>
      </c>
      <c r="L1264" s="4" t="inlineStr">
        <is>
          <t>INR</t>
        </is>
      </c>
      <c r="M1264" s="15" t="n">
        <v>-161316.55</v>
      </c>
      <c r="N1264" s="4" t="inlineStr">
        <is>
          <t>IOS Owner</t>
        </is>
      </c>
      <c r="O1264" s="4" t="n"/>
      <c r="P1264" s="4" t="n"/>
      <c r="Q1264" s="4" t="inlineStr">
        <is>
          <t>MAESTRO-IOS-BUSINESS-TEAM_OPERATIONS-1263 | Payroll | 161316.55</t>
        </is>
      </c>
      <c r="R1264" s="4" t="inlineStr">
        <is>
          <t>iPhone</t>
        </is>
      </c>
      <c r="S1264" s="4" t="inlineStr">
        <is>
          <t>B26</t>
        </is>
      </c>
      <c r="T1264" s="4" t="inlineStr">
        <is>
          <t>RAMP_501_1500</t>
        </is>
      </c>
      <c r="U1264" s="4" t="inlineStr">
        <is>
          <t>CREATED</t>
        </is>
      </c>
      <c r="V1264" s="4" t="inlineStr">
        <is>
          <t>idem-20260902-ios-1263</t>
        </is>
      </c>
    </row>
    <row r="1265" ht="30" customHeight="1">
      <c r="A1265" s="4" t="n">
        <v>1264</v>
      </c>
      <c r="B1265" s="4" t="inlineStr">
        <is>
          <t>MTR-IOS-1264</t>
        </is>
      </c>
      <c r="C1265" s="4" t="inlineStr">
        <is>
          <t>Personal</t>
        </is>
      </c>
      <c r="D1265" s="4" t="inlineStr">
        <is>
          <t>Personal</t>
        </is>
      </c>
      <c r="E1265" s="4" t="inlineStr">
        <is>
          <t>Future Building</t>
        </is>
      </c>
      <c r="F1265" s="4" t="inlineStr">
        <is>
          <t>Savings</t>
        </is>
      </c>
      <c r="G1265" s="4" t="inlineStr">
        <is>
          <t>Transfer</t>
        </is>
      </c>
      <c r="H1265" s="12" t="n">
        <v>45949</v>
      </c>
      <c r="I1265" s="13" t="n">
        <v>0.5265393518518519</v>
      </c>
      <c r="J1265" s="14" t="n">
        <v>45949.52653935185</v>
      </c>
      <c r="K1265" s="15" t="n">
        <v>13956.39</v>
      </c>
      <c r="L1265" s="4" t="inlineStr">
        <is>
          <t>INR</t>
        </is>
      </c>
      <c r="M1265" s="15" t="n">
        <v>0</v>
      </c>
      <c r="N1265" s="4" t="inlineStr">
        <is>
          <t>IOS Owner</t>
        </is>
      </c>
      <c r="O1265" s="4" t="n"/>
      <c r="P1265" s="4" t="n"/>
      <c r="Q1265" s="4" t="inlineStr">
        <is>
          <t>MAESTRO-IOS-PERSONAL-FUTURE_BUILDING-1264 | Savings | 13956.39</t>
        </is>
      </c>
      <c r="R1265" s="4" t="inlineStr">
        <is>
          <t>iPhone</t>
        </is>
      </c>
      <c r="S1265" s="4" t="inlineStr">
        <is>
          <t>B26</t>
        </is>
      </c>
      <c r="T1265" s="4" t="inlineStr">
        <is>
          <t>RAMP_501_1500</t>
        </is>
      </c>
      <c r="U1265" s="4" t="inlineStr">
        <is>
          <t>CREATED</t>
        </is>
      </c>
      <c r="V1265" s="4" t="inlineStr">
        <is>
          <t>idem-20260902-ios-1264</t>
        </is>
      </c>
    </row>
    <row r="1266" ht="30" customHeight="1">
      <c r="A1266" s="4" t="n">
        <v>1265</v>
      </c>
      <c r="B1266" s="4" t="inlineStr">
        <is>
          <t>MTR-IOS-1265</t>
        </is>
      </c>
      <c r="C1266" s="4" t="inlineStr">
        <is>
          <t>Group</t>
        </is>
      </c>
      <c r="D1266" s="4" t="inlineStr">
        <is>
          <t>Shared Experience</t>
        </is>
      </c>
      <c r="E1266" s="4" t="inlineStr">
        <is>
          <t>Office Outing</t>
        </is>
      </c>
      <c r="F1266" s="4" t="inlineStr">
        <is>
          <t>Travel</t>
        </is>
      </c>
      <c r="G1266" s="4" t="inlineStr">
        <is>
          <t>Expense</t>
        </is>
      </c>
      <c r="H1266" s="12" t="n">
        <v>46140</v>
      </c>
      <c r="I1266" s="13" t="n">
        <v>0.8869444444444444</v>
      </c>
      <c r="J1266" s="14" t="n">
        <v>46140.88694444444</v>
      </c>
      <c r="K1266" s="15" t="n">
        <v>16355.43</v>
      </c>
      <c r="L1266" s="4" t="inlineStr">
        <is>
          <t>INR</t>
        </is>
      </c>
      <c r="M1266" s="15" t="n">
        <v>-16355.43</v>
      </c>
      <c r="N1266" s="4" t="inlineStr">
        <is>
          <t>IOS Aarav</t>
        </is>
      </c>
      <c r="O1266" s="4" t="n">
        <v>3</v>
      </c>
      <c r="P1266" s="4" t="inlineStr">
        <is>
          <t>PERCENTAGE</t>
        </is>
      </c>
      <c r="Q1266" s="4" t="inlineStr">
        <is>
          <t>MAESTRO-IOS-GROUP-OFFICE_OUTING-1265 | Travel | 16355.43</t>
        </is>
      </c>
      <c r="R1266" s="4" t="inlineStr">
        <is>
          <t>iPhone</t>
        </is>
      </c>
      <c r="S1266" s="4" t="inlineStr">
        <is>
          <t>B26</t>
        </is>
      </c>
      <c r="T1266" s="4" t="inlineStr">
        <is>
          <t>RAMP_501_1500</t>
        </is>
      </c>
      <c r="U1266" s="4" t="inlineStr">
        <is>
          <t>CREATED</t>
        </is>
      </c>
      <c r="V1266" s="4" t="inlineStr">
        <is>
          <t>idem-20260902-ios-1265</t>
        </is>
      </c>
    </row>
    <row r="1267" ht="30" customHeight="1">
      <c r="A1267" s="4" t="n">
        <v>1266</v>
      </c>
      <c r="B1267" s="4" t="inlineStr">
        <is>
          <t>MTR-IOS-1266</t>
        </is>
      </c>
      <c r="C1267" s="4" t="inlineStr">
        <is>
          <t>Business</t>
        </is>
      </c>
      <c r="D1267" s="4" t="inlineStr">
        <is>
          <t>Business</t>
        </is>
      </c>
      <c r="E1267" s="4" t="inlineStr">
        <is>
          <t>Team Operations</t>
        </is>
      </c>
      <c r="F1267" s="4" t="inlineStr">
        <is>
          <t>Contractor</t>
        </is>
      </c>
      <c r="G1267" s="4" t="inlineStr">
        <is>
          <t>Expense</t>
        </is>
      </c>
      <c r="H1267" s="12" t="n">
        <v>45976</v>
      </c>
      <c r="I1267" s="13" t="n">
        <v>0.8355555555555556</v>
      </c>
      <c r="J1267" s="14" t="n">
        <v>45976.83555555555</v>
      </c>
      <c r="K1267" s="15" t="n">
        <v>45881.84</v>
      </c>
      <c r="L1267" s="4" t="inlineStr">
        <is>
          <t>INR</t>
        </is>
      </c>
      <c r="M1267" s="15" t="n">
        <v>-45881.84</v>
      </c>
      <c r="N1267" s="4" t="inlineStr">
        <is>
          <t>IOS Owner</t>
        </is>
      </c>
      <c r="O1267" s="4" t="n"/>
      <c r="P1267" s="4" t="n"/>
      <c r="Q1267" s="4" t="inlineStr">
        <is>
          <t>MAESTRO-IOS-BUSINESS-TEAM_OPERATIONS-1266 | Contractor | 45881.84</t>
        </is>
      </c>
      <c r="R1267" s="4" t="inlineStr">
        <is>
          <t>iPhone</t>
        </is>
      </c>
      <c r="S1267" s="4" t="inlineStr">
        <is>
          <t>B26</t>
        </is>
      </c>
      <c r="T1267" s="4" t="inlineStr">
        <is>
          <t>RAMP_501_1500</t>
        </is>
      </c>
      <c r="U1267" s="4" t="inlineStr">
        <is>
          <t>CREATED</t>
        </is>
      </c>
      <c r="V1267" s="4" t="inlineStr">
        <is>
          <t>idem-20260902-ios-1266</t>
        </is>
      </c>
    </row>
    <row r="1268" ht="30" customHeight="1">
      <c r="A1268" s="4" t="n">
        <v>1267</v>
      </c>
      <c r="B1268" s="4" t="inlineStr">
        <is>
          <t>MTR-IOS-1267</t>
        </is>
      </c>
      <c r="C1268" s="4" t="inlineStr">
        <is>
          <t>Personal</t>
        </is>
      </c>
      <c r="D1268" s="4" t="inlineStr">
        <is>
          <t>Personal</t>
        </is>
      </c>
      <c r="E1268" s="4" t="inlineStr">
        <is>
          <t>Future Building</t>
        </is>
      </c>
      <c r="F1268" s="4" t="inlineStr">
        <is>
          <t>Emergency Fund</t>
        </is>
      </c>
      <c r="G1268" s="4" t="inlineStr">
        <is>
          <t>Transfer</t>
        </is>
      </c>
      <c r="H1268" s="12" t="n">
        <v>46155</v>
      </c>
      <c r="I1268" s="13" t="n">
        <v>0.08684027777777778</v>
      </c>
      <c r="J1268" s="14" t="n">
        <v>46155.08684027778</v>
      </c>
      <c r="K1268" s="15" t="n">
        <v>6172.04</v>
      </c>
      <c r="L1268" s="4" t="inlineStr">
        <is>
          <t>INR</t>
        </is>
      </c>
      <c r="M1268" s="15" t="n">
        <v>0</v>
      </c>
      <c r="N1268" s="4" t="inlineStr">
        <is>
          <t>IOS Owner</t>
        </is>
      </c>
      <c r="O1268" s="4" t="n"/>
      <c r="P1268" s="4" t="n"/>
      <c r="Q1268" s="4" t="inlineStr">
        <is>
          <t>MAESTRO-IOS-PERSONAL-FUTURE_BUILDING-1267 | Emergency Fund | 6172.04</t>
        </is>
      </c>
      <c r="R1268" s="4" t="inlineStr">
        <is>
          <t>iPhone</t>
        </is>
      </c>
      <c r="S1268" s="4" t="inlineStr">
        <is>
          <t>B26</t>
        </is>
      </c>
      <c r="T1268" s="4" t="inlineStr">
        <is>
          <t>RAMP_501_1500</t>
        </is>
      </c>
      <c r="U1268" s="4" t="inlineStr">
        <is>
          <t>CREATED</t>
        </is>
      </c>
      <c r="V1268" s="4" t="inlineStr">
        <is>
          <t>idem-20260902-ios-1267</t>
        </is>
      </c>
    </row>
    <row r="1269" ht="30" customHeight="1">
      <c r="A1269" s="4" t="n">
        <v>1268</v>
      </c>
      <c r="B1269" s="4" t="inlineStr">
        <is>
          <t>MTR-IOS-1268</t>
        </is>
      </c>
      <c r="C1269" s="4" t="inlineStr">
        <is>
          <t>Group</t>
        </is>
      </c>
      <c r="D1269" s="4" t="inlineStr">
        <is>
          <t>Shared Experience</t>
        </is>
      </c>
      <c r="E1269" s="4" t="inlineStr">
        <is>
          <t>Office Outing</t>
        </is>
      </c>
      <c r="F1269" s="4" t="inlineStr">
        <is>
          <t>Activities</t>
        </is>
      </c>
      <c r="G1269" s="4" t="inlineStr">
        <is>
          <t>Expense</t>
        </is>
      </c>
      <c r="H1269" s="12" t="n">
        <v>46014</v>
      </c>
      <c r="I1269" s="13" t="n">
        <v>0.7971990740740741</v>
      </c>
      <c r="J1269" s="14" t="n">
        <v>46014.79719907408</v>
      </c>
      <c r="K1269" s="15" t="n">
        <v>23579.49</v>
      </c>
      <c r="L1269" s="4" t="inlineStr">
        <is>
          <t>INR</t>
        </is>
      </c>
      <c r="M1269" s="15" t="n">
        <v>-23579.49</v>
      </c>
      <c r="N1269" s="4" t="inlineStr">
        <is>
          <t>IOS Meera</t>
        </is>
      </c>
      <c r="O1269" s="4" t="n">
        <v>3</v>
      </c>
      <c r="P1269" s="4" t="inlineStr">
        <is>
          <t>EXACT</t>
        </is>
      </c>
      <c r="Q1269" s="4" t="inlineStr">
        <is>
          <t>MAESTRO-IOS-GROUP-OFFICE_OUTING-1268 | Activities | 23579.49</t>
        </is>
      </c>
      <c r="R1269" s="4" t="inlineStr">
        <is>
          <t>iPhone</t>
        </is>
      </c>
      <c r="S1269" s="4" t="inlineStr">
        <is>
          <t>B26</t>
        </is>
      </c>
      <c r="T1269" s="4" t="inlineStr">
        <is>
          <t>RAMP_501_1500</t>
        </is>
      </c>
      <c r="U1269" s="4" t="inlineStr">
        <is>
          <t>CREATED</t>
        </is>
      </c>
      <c r="V1269" s="4" t="inlineStr">
        <is>
          <t>idem-20260902-ios-1268</t>
        </is>
      </c>
    </row>
    <row r="1270" ht="30" customHeight="1">
      <c r="A1270" s="4" t="n">
        <v>1269</v>
      </c>
      <c r="B1270" s="4" t="inlineStr">
        <is>
          <t>MTR-IOS-1269</t>
        </is>
      </c>
      <c r="C1270" s="4" t="inlineStr">
        <is>
          <t>Business</t>
        </is>
      </c>
      <c r="D1270" s="4" t="inlineStr">
        <is>
          <t>Business</t>
        </is>
      </c>
      <c r="E1270" s="4" t="inlineStr">
        <is>
          <t>Team Operations</t>
        </is>
      </c>
      <c r="F1270" s="4" t="inlineStr">
        <is>
          <t>Hiring</t>
        </is>
      </c>
      <c r="G1270" s="4" t="inlineStr">
        <is>
          <t>Expense</t>
        </is>
      </c>
      <c r="H1270" s="12" t="n">
        <v>46112</v>
      </c>
      <c r="I1270" s="13" t="n">
        <v>0.0696875</v>
      </c>
      <c r="J1270" s="14" t="n">
        <v>46112.0696875</v>
      </c>
      <c r="K1270" s="15" t="n">
        <v>1780.13</v>
      </c>
      <c r="L1270" s="4" t="inlineStr">
        <is>
          <t>INR</t>
        </is>
      </c>
      <c r="M1270" s="15" t="n">
        <v>-1780.13</v>
      </c>
      <c r="N1270" s="4" t="inlineStr">
        <is>
          <t>IOS Owner</t>
        </is>
      </c>
      <c r="O1270" s="4" t="n"/>
      <c r="P1270" s="4" t="n"/>
      <c r="Q1270" s="4" t="inlineStr">
        <is>
          <t>MAESTRO-IOS-BUSINESS-TEAM_OPERATIONS-1269 | Hiring | 1780.13</t>
        </is>
      </c>
      <c r="R1270" s="4" t="inlineStr">
        <is>
          <t>iPhone</t>
        </is>
      </c>
      <c r="S1270" s="4" t="inlineStr">
        <is>
          <t>B26</t>
        </is>
      </c>
      <c r="T1270" s="4" t="inlineStr">
        <is>
          <t>RAMP_501_1500</t>
        </is>
      </c>
      <c r="U1270" s="4" t="inlineStr">
        <is>
          <t>CREATED</t>
        </is>
      </c>
      <c r="V1270" s="4" t="inlineStr">
        <is>
          <t>idem-20260902-ios-1269</t>
        </is>
      </c>
    </row>
    <row r="1271" ht="30" customHeight="1">
      <c r="A1271" s="4" t="n">
        <v>1270</v>
      </c>
      <c r="B1271" s="4" t="inlineStr">
        <is>
          <t>MTR-IOS-1270</t>
        </is>
      </c>
      <c r="C1271" s="4" t="inlineStr">
        <is>
          <t>Personal</t>
        </is>
      </c>
      <c r="D1271" s="4" t="inlineStr">
        <is>
          <t>Personal</t>
        </is>
      </c>
      <c r="E1271" s="4" t="inlineStr">
        <is>
          <t>Future Building</t>
        </is>
      </c>
      <c r="F1271" s="4" t="inlineStr">
        <is>
          <t>Investments</t>
        </is>
      </c>
      <c r="G1271" s="4" t="inlineStr">
        <is>
          <t>Investment</t>
        </is>
      </c>
      <c r="H1271" s="12" t="n">
        <v>46106</v>
      </c>
      <c r="I1271" s="13" t="n">
        <v>0.1882523148148148</v>
      </c>
      <c r="J1271" s="14" t="n">
        <v>46106.18825231482</v>
      </c>
      <c r="K1271" s="15" t="n">
        <v>438.73</v>
      </c>
      <c r="L1271" s="4" t="inlineStr">
        <is>
          <t>INR</t>
        </is>
      </c>
      <c r="M1271" s="15" t="n">
        <v>0</v>
      </c>
      <c r="N1271" s="4" t="inlineStr">
        <is>
          <t>IOS Owner</t>
        </is>
      </c>
      <c r="O1271" s="4" t="n"/>
      <c r="P1271" s="4" t="n"/>
      <c r="Q1271" s="4" t="inlineStr">
        <is>
          <t>MAESTRO-IOS-PERSONAL-FUTURE_BUILDING-1270 | Investments | 438.73</t>
        </is>
      </c>
      <c r="R1271" s="4" t="inlineStr">
        <is>
          <t>iPhone</t>
        </is>
      </c>
      <c r="S1271" s="4" t="inlineStr">
        <is>
          <t>B26</t>
        </is>
      </c>
      <c r="T1271" s="4" t="inlineStr">
        <is>
          <t>RAMP_501_1500</t>
        </is>
      </c>
      <c r="U1271" s="4" t="inlineStr">
        <is>
          <t>CREATED</t>
        </is>
      </c>
      <c r="V1271" s="4" t="inlineStr">
        <is>
          <t>idem-20260902-ios-1270</t>
        </is>
      </c>
    </row>
    <row r="1272" ht="30" customHeight="1">
      <c r="A1272" s="4" t="n">
        <v>1271</v>
      </c>
      <c r="B1272" s="4" t="inlineStr">
        <is>
          <t>MTR-IOS-1271</t>
        </is>
      </c>
      <c r="C1272" s="4" t="inlineStr">
        <is>
          <t>Group</t>
        </is>
      </c>
      <c r="D1272" s="4" t="inlineStr">
        <is>
          <t>Shared Experience</t>
        </is>
      </c>
      <c r="E1272" s="4" t="inlineStr">
        <is>
          <t>Office Outing</t>
        </is>
      </c>
      <c r="F1272" s="4" t="inlineStr">
        <is>
          <t>Venue</t>
        </is>
      </c>
      <c r="G1272" s="4" t="inlineStr">
        <is>
          <t>Expense</t>
        </is>
      </c>
      <c r="H1272" s="12" t="n">
        <v>46198</v>
      </c>
      <c r="I1272" s="13" t="n">
        <v>0.9395717592592593</v>
      </c>
      <c r="J1272" s="14" t="n">
        <v>46198.93957175926</v>
      </c>
      <c r="K1272" s="15" t="n">
        <v>3440.83</v>
      </c>
      <c r="L1272" s="4" t="inlineStr">
        <is>
          <t>INR</t>
        </is>
      </c>
      <c r="M1272" s="15" t="n">
        <v>-3440.83</v>
      </c>
      <c r="N1272" s="4" t="inlineStr">
        <is>
          <t>IOS Owner</t>
        </is>
      </c>
      <c r="O1272" s="4" t="n">
        <v>3</v>
      </c>
      <c r="P1272" s="4" t="inlineStr">
        <is>
          <t>SHARES</t>
        </is>
      </c>
      <c r="Q1272" s="4" t="inlineStr">
        <is>
          <t>MAESTRO-IOS-GROUP-OFFICE_OUTING-1271 | Venue | 3440.83</t>
        </is>
      </c>
      <c r="R1272" s="4" t="inlineStr">
        <is>
          <t>iPhone</t>
        </is>
      </c>
      <c r="S1272" s="4" t="inlineStr">
        <is>
          <t>B26</t>
        </is>
      </c>
      <c r="T1272" s="4" t="inlineStr">
        <is>
          <t>RAMP_501_1500</t>
        </is>
      </c>
      <c r="U1272" s="4" t="inlineStr">
        <is>
          <t>CREATED</t>
        </is>
      </c>
      <c r="V1272" s="4" t="inlineStr">
        <is>
          <t>idem-20260902-ios-1271</t>
        </is>
      </c>
    </row>
    <row r="1273" ht="30" customHeight="1">
      <c r="A1273" s="4" t="n">
        <v>1272</v>
      </c>
      <c r="B1273" s="4" t="inlineStr">
        <is>
          <t>MTR-IOS-1272</t>
        </is>
      </c>
      <c r="C1273" s="4" t="inlineStr">
        <is>
          <t>Business</t>
        </is>
      </c>
      <c r="D1273" s="4" t="inlineStr">
        <is>
          <t>Business</t>
        </is>
      </c>
      <c r="E1273" s="4" t="inlineStr">
        <is>
          <t>Team Operations</t>
        </is>
      </c>
      <c r="F1273" s="4" t="inlineStr">
        <is>
          <t>Team Meal</t>
        </is>
      </c>
      <c r="G1273" s="4" t="inlineStr">
        <is>
          <t>Expense</t>
        </is>
      </c>
      <c r="H1273" s="12" t="n">
        <v>46260</v>
      </c>
      <c r="I1273" s="13" t="n">
        <v>0.3469560185185185</v>
      </c>
      <c r="J1273" s="14" t="n">
        <v>46260.34695601852</v>
      </c>
      <c r="K1273" s="15" t="n">
        <v>33965.31</v>
      </c>
      <c r="L1273" s="4" t="inlineStr">
        <is>
          <t>INR</t>
        </is>
      </c>
      <c r="M1273" s="15" t="n">
        <v>-33965.31</v>
      </c>
      <c r="N1273" s="4" t="inlineStr">
        <is>
          <t>IOS Owner</t>
        </is>
      </c>
      <c r="O1273" s="4" t="n"/>
      <c r="P1273" s="4" t="n"/>
      <c r="Q1273" s="4" t="inlineStr">
        <is>
          <t>MAESTRO-IOS-BUSINESS-TEAM_OPERATIONS-1272 | Team Meal | 33965.31</t>
        </is>
      </c>
      <c r="R1273" s="4" t="inlineStr">
        <is>
          <t>iPhone</t>
        </is>
      </c>
      <c r="S1273" s="4" t="inlineStr">
        <is>
          <t>B26</t>
        </is>
      </c>
      <c r="T1273" s="4" t="inlineStr">
        <is>
          <t>RAMP_501_1500</t>
        </is>
      </c>
      <c r="U1273" s="4" t="inlineStr">
        <is>
          <t>CREATED</t>
        </is>
      </c>
      <c r="V1273" s="4" t="inlineStr">
        <is>
          <t>idem-20260902-ios-1272</t>
        </is>
      </c>
    </row>
    <row r="1274" ht="30" customHeight="1">
      <c r="A1274" s="4" t="n">
        <v>1273</v>
      </c>
      <c r="B1274" s="4" t="inlineStr">
        <is>
          <t>MTR-IOS-1273</t>
        </is>
      </c>
      <c r="C1274" s="4" t="inlineStr">
        <is>
          <t>Personal</t>
        </is>
      </c>
      <c r="D1274" s="4" t="inlineStr">
        <is>
          <t>Personal</t>
        </is>
      </c>
      <c r="E1274" s="4" t="inlineStr">
        <is>
          <t>Future Building</t>
        </is>
      </c>
      <c r="F1274" s="4" t="inlineStr">
        <is>
          <t>Education</t>
        </is>
      </c>
      <c r="G1274" s="4" t="inlineStr">
        <is>
          <t>Expense</t>
        </is>
      </c>
      <c r="H1274" s="12" t="n">
        <v>45963</v>
      </c>
      <c r="I1274" s="13" t="n">
        <v>0.5325462962962964</v>
      </c>
      <c r="J1274" s="14" t="n">
        <v>45963.53254629629</v>
      </c>
      <c r="K1274" s="15" t="n">
        <v>13965.37</v>
      </c>
      <c r="L1274" s="4" t="inlineStr">
        <is>
          <t>INR</t>
        </is>
      </c>
      <c r="M1274" s="15" t="n">
        <v>-13965.37</v>
      </c>
      <c r="N1274" s="4" t="inlineStr">
        <is>
          <t>IOS Owner</t>
        </is>
      </c>
      <c r="O1274" s="4" t="n"/>
      <c r="P1274" s="4" t="n"/>
      <c r="Q1274" s="4" t="inlineStr">
        <is>
          <t>MAESTRO-IOS-PERSONAL-FUTURE_BUILDING-1273 | Education | 13965.37</t>
        </is>
      </c>
      <c r="R1274" s="4" t="inlineStr">
        <is>
          <t>iPhone</t>
        </is>
      </c>
      <c r="S1274" s="4" t="inlineStr">
        <is>
          <t>B26</t>
        </is>
      </c>
      <c r="T1274" s="4" t="inlineStr">
        <is>
          <t>RAMP_501_1500</t>
        </is>
      </c>
      <c r="U1274" s="4" t="inlineStr">
        <is>
          <t>CREATED</t>
        </is>
      </c>
      <c r="V1274" s="4" t="inlineStr">
        <is>
          <t>idem-20260902-ios-1273</t>
        </is>
      </c>
    </row>
    <row r="1275" ht="30" customHeight="1">
      <c r="A1275" s="4" t="n">
        <v>1274</v>
      </c>
      <c r="B1275" s="4" t="inlineStr">
        <is>
          <t>MTR-IOS-1274</t>
        </is>
      </c>
      <c r="C1275" s="4" t="inlineStr">
        <is>
          <t>Group</t>
        </is>
      </c>
      <c r="D1275" s="4" t="inlineStr">
        <is>
          <t>Shared Experience</t>
        </is>
      </c>
      <c r="E1275" s="4" t="inlineStr">
        <is>
          <t>Office Outing</t>
        </is>
      </c>
      <c r="F1275" s="4" t="inlineStr">
        <is>
          <t>Other</t>
        </is>
      </c>
      <c r="G1275" s="4" t="inlineStr">
        <is>
          <t>Expense</t>
        </is>
      </c>
      <c r="H1275" s="12" t="n">
        <v>45930</v>
      </c>
      <c r="I1275" s="13" t="n">
        <v>0.09697916666666667</v>
      </c>
      <c r="J1275" s="14" t="n">
        <v>45930.09697916666</v>
      </c>
      <c r="K1275" s="15" t="n">
        <v>19516.35</v>
      </c>
      <c r="L1275" s="4" t="inlineStr">
        <is>
          <t>INR</t>
        </is>
      </c>
      <c r="M1275" s="15" t="n">
        <v>-19516.35</v>
      </c>
      <c r="N1275" s="4" t="inlineStr">
        <is>
          <t>IOS Aarav</t>
        </is>
      </c>
      <c r="O1275" s="4" t="n">
        <v>3</v>
      </c>
      <c r="P1275" s="4" t="inlineStr">
        <is>
          <t>EQUAL</t>
        </is>
      </c>
      <c r="Q1275" s="4" t="inlineStr">
        <is>
          <t>MAESTRO-IOS-GROUP-OFFICE_OUTING-1274 | Other | 19516.35</t>
        </is>
      </c>
      <c r="R1275" s="4" t="inlineStr">
        <is>
          <t>iPhone</t>
        </is>
      </c>
      <c r="S1275" s="4" t="inlineStr">
        <is>
          <t>B26</t>
        </is>
      </c>
      <c r="T1275" s="4" t="inlineStr">
        <is>
          <t>RAMP_501_1500</t>
        </is>
      </c>
      <c r="U1275" s="4" t="inlineStr">
        <is>
          <t>CREATED</t>
        </is>
      </c>
      <c r="V1275" s="4" t="inlineStr">
        <is>
          <t>idem-20260902-ios-1274</t>
        </is>
      </c>
    </row>
    <row r="1276" ht="30" customHeight="1">
      <c r="A1276" s="4" t="n">
        <v>1275</v>
      </c>
      <c r="B1276" s="4" t="inlineStr">
        <is>
          <t>MTR-IOS-1275</t>
        </is>
      </c>
      <c r="C1276" s="4" t="inlineStr">
        <is>
          <t>Business</t>
        </is>
      </c>
      <c r="D1276" s="4" t="inlineStr">
        <is>
          <t>Business</t>
        </is>
      </c>
      <c r="E1276" s="4" t="inlineStr">
        <is>
          <t>Team Operations</t>
        </is>
      </c>
      <c r="F1276" s="4" t="inlineStr">
        <is>
          <t>Travel</t>
        </is>
      </c>
      <c r="G1276" s="4" t="inlineStr">
        <is>
          <t>Expense</t>
        </is>
      </c>
      <c r="H1276" s="12" t="n">
        <v>45904</v>
      </c>
      <c r="I1276" s="13" t="n">
        <v>0.9734259259259259</v>
      </c>
      <c r="J1276" s="14" t="n">
        <v>45904.97342592593</v>
      </c>
      <c r="K1276" s="15" t="n">
        <v>62238.13</v>
      </c>
      <c r="L1276" s="4" t="inlineStr">
        <is>
          <t>INR</t>
        </is>
      </c>
      <c r="M1276" s="15" t="n">
        <v>-62238.13</v>
      </c>
      <c r="N1276" s="4" t="inlineStr">
        <is>
          <t>IOS Owner</t>
        </is>
      </c>
      <c r="O1276" s="4" t="n"/>
      <c r="P1276" s="4" t="n"/>
      <c r="Q1276" s="4" t="inlineStr">
        <is>
          <t>MAESTRO-IOS-BUSINESS-TEAM_OPERATIONS-1275 | Travel | 62238.13</t>
        </is>
      </c>
      <c r="R1276" s="4" t="inlineStr">
        <is>
          <t>iPhone</t>
        </is>
      </c>
      <c r="S1276" s="4" t="inlineStr">
        <is>
          <t>B26</t>
        </is>
      </c>
      <c r="T1276" s="4" t="inlineStr">
        <is>
          <t>RAMP_501_1500</t>
        </is>
      </c>
      <c r="U1276" s="4" t="inlineStr">
        <is>
          <t>CREATED</t>
        </is>
      </c>
      <c r="V1276" s="4" t="inlineStr">
        <is>
          <t>idem-20260902-ios-1275</t>
        </is>
      </c>
    </row>
    <row r="1277" ht="30" customHeight="1">
      <c r="A1277" s="4" t="n">
        <v>1276</v>
      </c>
      <c r="B1277" s="4" t="inlineStr">
        <is>
          <t>MTR-IOS-1276</t>
        </is>
      </c>
      <c r="C1277" s="4" t="inlineStr">
        <is>
          <t>Personal</t>
        </is>
      </c>
      <c r="D1277" s="4" t="inlineStr">
        <is>
          <t>Personal</t>
        </is>
      </c>
      <c r="E1277" s="4" t="inlineStr">
        <is>
          <t>Future Building</t>
        </is>
      </c>
      <c r="F1277" s="4" t="inlineStr">
        <is>
          <t>Goal Contribution</t>
        </is>
      </c>
      <c r="G1277" s="4" t="inlineStr">
        <is>
          <t>Transfer</t>
        </is>
      </c>
      <c r="H1277" s="12" t="n">
        <v>46012</v>
      </c>
      <c r="I1277" s="13" t="n">
        <v>0.136087962962963</v>
      </c>
      <c r="J1277" s="14" t="n">
        <v>46012.13608796296</v>
      </c>
      <c r="K1277" s="15" t="n">
        <v>13369.65</v>
      </c>
      <c r="L1277" s="4" t="inlineStr">
        <is>
          <t>INR</t>
        </is>
      </c>
      <c r="M1277" s="15" t="n">
        <v>0</v>
      </c>
      <c r="N1277" s="4" t="inlineStr">
        <is>
          <t>IOS Owner</t>
        </is>
      </c>
      <c r="O1277" s="4" t="n"/>
      <c r="P1277" s="4" t="n"/>
      <c r="Q1277" s="4" t="inlineStr">
        <is>
          <t>MAESTRO-IOS-PERSONAL-FUTURE_BUILDING-1276 | Goal Contribution | 13369.65</t>
        </is>
      </c>
      <c r="R1277" s="4" t="inlineStr">
        <is>
          <t>iPhone</t>
        </is>
      </c>
      <c r="S1277" s="4" t="inlineStr">
        <is>
          <t>B26</t>
        </is>
      </c>
      <c r="T1277" s="4" t="inlineStr">
        <is>
          <t>RAMP_501_1500</t>
        </is>
      </c>
      <c r="U1277" s="4" t="inlineStr">
        <is>
          <t>CREATED</t>
        </is>
      </c>
      <c r="V1277" s="4" t="inlineStr">
        <is>
          <t>idem-20260902-ios-1276</t>
        </is>
      </c>
    </row>
    <row r="1278" ht="30" customHeight="1">
      <c r="A1278" s="4" t="n">
        <v>1277</v>
      </c>
      <c r="B1278" s="4" t="inlineStr">
        <is>
          <t>MTR-IOS-1277</t>
        </is>
      </c>
      <c r="C1278" s="4" t="inlineStr">
        <is>
          <t>Group</t>
        </is>
      </c>
      <c r="D1278" s="4" t="inlineStr">
        <is>
          <t>Shared Experience</t>
        </is>
      </c>
      <c r="E1278" s="4" t="inlineStr">
        <is>
          <t>House Party</t>
        </is>
      </c>
      <c r="F1278" s="4" t="inlineStr">
        <is>
          <t>Food</t>
        </is>
      </c>
      <c r="G1278" s="4" t="inlineStr">
        <is>
          <t>Expense</t>
        </is>
      </c>
      <c r="H1278" s="12" t="n">
        <v>46144</v>
      </c>
      <c r="I1278" s="13" t="n">
        <v>0.1170717592592593</v>
      </c>
      <c r="J1278" s="14" t="n">
        <v>46144.11707175926</v>
      </c>
      <c r="K1278" s="15" t="n">
        <v>15207.54</v>
      </c>
      <c r="L1278" s="4" t="inlineStr">
        <is>
          <t>INR</t>
        </is>
      </c>
      <c r="M1278" s="15" t="n">
        <v>-15207.54</v>
      </c>
      <c r="N1278" s="4" t="inlineStr">
        <is>
          <t>IOS Meera</t>
        </is>
      </c>
      <c r="O1278" s="4" t="n">
        <v>3</v>
      </c>
      <c r="P1278" s="4" t="inlineStr">
        <is>
          <t>PERCENTAGE</t>
        </is>
      </c>
      <c r="Q1278" s="4" t="inlineStr">
        <is>
          <t>MAESTRO-IOS-GROUP-HOUSE_PARTY-1277 | Food | 15207.54</t>
        </is>
      </c>
      <c r="R1278" s="4" t="inlineStr">
        <is>
          <t>iPhone</t>
        </is>
      </c>
      <c r="S1278" s="4" t="inlineStr">
        <is>
          <t>B26</t>
        </is>
      </c>
      <c r="T1278" s="4" t="inlineStr">
        <is>
          <t>RAMP_501_1500</t>
        </is>
      </c>
      <c r="U1278" s="4" t="inlineStr">
        <is>
          <t>CREATED</t>
        </is>
      </c>
      <c r="V1278" s="4" t="inlineStr">
        <is>
          <t>idem-20260902-ios-1277</t>
        </is>
      </c>
    </row>
    <row r="1279" ht="30" customHeight="1">
      <c r="A1279" s="4" t="n">
        <v>1278</v>
      </c>
      <c r="B1279" s="4" t="inlineStr">
        <is>
          <t>MTR-IOS-1278</t>
        </is>
      </c>
      <c r="C1279" s="4" t="inlineStr">
        <is>
          <t>Business</t>
        </is>
      </c>
      <c r="D1279" s="4" t="inlineStr">
        <is>
          <t>Business</t>
        </is>
      </c>
      <c r="E1279" s="4" t="inlineStr">
        <is>
          <t>Team Operations</t>
        </is>
      </c>
      <c r="F1279" s="4" t="inlineStr">
        <is>
          <t>Training</t>
        </is>
      </c>
      <c r="G1279" s="4" t="inlineStr">
        <is>
          <t>Expense</t>
        </is>
      </c>
      <c r="H1279" s="12" t="n">
        <v>46061</v>
      </c>
      <c r="I1279" s="13" t="n">
        <v>0.1372453703703704</v>
      </c>
      <c r="J1279" s="14" t="n">
        <v>46061.13724537037</v>
      </c>
      <c r="K1279" s="15" t="n">
        <v>125188.9</v>
      </c>
      <c r="L1279" s="4" t="inlineStr">
        <is>
          <t>INR</t>
        </is>
      </c>
      <c r="M1279" s="15" t="n">
        <v>-125188.9</v>
      </c>
      <c r="N1279" s="4" t="inlineStr">
        <is>
          <t>IOS Owner</t>
        </is>
      </c>
      <c r="O1279" s="4" t="n"/>
      <c r="P1279" s="4" t="n"/>
      <c r="Q1279" s="4" t="inlineStr">
        <is>
          <t>MAESTRO-IOS-BUSINESS-TEAM_OPERATIONS-1278 | Training | 125188.90</t>
        </is>
      </c>
      <c r="R1279" s="4" t="inlineStr">
        <is>
          <t>iPhone</t>
        </is>
      </c>
      <c r="S1279" s="4" t="inlineStr">
        <is>
          <t>B26</t>
        </is>
      </c>
      <c r="T1279" s="4" t="inlineStr">
        <is>
          <t>RAMP_501_1500</t>
        </is>
      </c>
      <c r="U1279" s="4" t="inlineStr">
        <is>
          <t>CREATED</t>
        </is>
      </c>
      <c r="V1279" s="4" t="inlineStr">
        <is>
          <t>idem-20260902-ios-1278</t>
        </is>
      </c>
    </row>
    <row r="1280" ht="30" customHeight="1">
      <c r="A1280" s="4" t="n">
        <v>1279</v>
      </c>
      <c r="B1280" s="4" t="inlineStr">
        <is>
          <t>MTR-IOS-1279</t>
        </is>
      </c>
      <c r="C1280" s="4" t="inlineStr">
        <is>
          <t>Personal</t>
        </is>
      </c>
      <c r="D1280" s="4" t="inlineStr">
        <is>
          <t>Personal</t>
        </is>
      </c>
      <c r="E1280" s="4" t="inlineStr">
        <is>
          <t>Lifestyle</t>
        </is>
      </c>
      <c r="F1280" s="4" t="inlineStr">
        <is>
          <t>Dining</t>
        </is>
      </c>
      <c r="G1280" s="4" t="inlineStr">
        <is>
          <t>Expense</t>
        </is>
      </c>
      <c r="H1280" s="12" t="n">
        <v>46092</v>
      </c>
      <c r="I1280" s="13" t="n">
        <v>0.3383912037037037</v>
      </c>
      <c r="J1280" s="14" t="n">
        <v>46092.3383912037</v>
      </c>
      <c r="K1280" s="15" t="n">
        <v>6942.02</v>
      </c>
      <c r="L1280" s="4" t="inlineStr">
        <is>
          <t>INR</t>
        </is>
      </c>
      <c r="M1280" s="15" t="n">
        <v>-6942.02</v>
      </c>
      <c r="N1280" s="4" t="inlineStr">
        <is>
          <t>IOS Owner</t>
        </is>
      </c>
      <c r="O1280" s="4" t="n"/>
      <c r="P1280" s="4" t="n"/>
      <c r="Q1280" s="4" t="inlineStr">
        <is>
          <t>MAESTRO-IOS-PERSONAL-LIFESTYLE-1279 | Dining | 6942.02</t>
        </is>
      </c>
      <c r="R1280" s="4" t="inlineStr">
        <is>
          <t>iPhone</t>
        </is>
      </c>
      <c r="S1280" s="4" t="inlineStr">
        <is>
          <t>B26</t>
        </is>
      </c>
      <c r="T1280" s="4" t="inlineStr">
        <is>
          <t>RAMP_501_1500</t>
        </is>
      </c>
      <c r="U1280" s="4" t="inlineStr">
        <is>
          <t>CREATED</t>
        </is>
      </c>
      <c r="V1280" s="4" t="inlineStr">
        <is>
          <t>idem-20260902-ios-1279</t>
        </is>
      </c>
    </row>
    <row r="1281" ht="30" customHeight="1">
      <c r="A1281" s="4" t="n">
        <v>1280</v>
      </c>
      <c r="B1281" s="4" t="inlineStr">
        <is>
          <t>MTR-IOS-1280</t>
        </is>
      </c>
      <c r="C1281" s="4" t="inlineStr">
        <is>
          <t>Group</t>
        </is>
      </c>
      <c r="D1281" s="4" t="inlineStr">
        <is>
          <t>Shared Experience</t>
        </is>
      </c>
      <c r="E1281" s="4" t="inlineStr">
        <is>
          <t>House Party</t>
        </is>
      </c>
      <c r="F1281" s="4" t="inlineStr">
        <is>
          <t>Drinks</t>
        </is>
      </c>
      <c r="G1281" s="4" t="inlineStr">
        <is>
          <t>Expense</t>
        </is>
      </c>
      <c r="H1281" s="12" t="n">
        <v>45916</v>
      </c>
      <c r="I1281" s="13" t="n">
        <v>0.02321759259259259</v>
      </c>
      <c r="J1281" s="14" t="n">
        <v>45916.02321759259</v>
      </c>
      <c r="K1281" s="15" t="n">
        <v>22153.48</v>
      </c>
      <c r="L1281" s="4" t="inlineStr">
        <is>
          <t>INR</t>
        </is>
      </c>
      <c r="M1281" s="15" t="n">
        <v>-22153.48</v>
      </c>
      <c r="N1281" s="4" t="inlineStr">
        <is>
          <t>IOS Owner</t>
        </is>
      </c>
      <c r="O1281" s="4" t="n">
        <v>3</v>
      </c>
      <c r="P1281" s="4" t="inlineStr">
        <is>
          <t>EXACT</t>
        </is>
      </c>
      <c r="Q1281" s="4" t="inlineStr">
        <is>
          <t>MAESTRO-IOS-GROUP-HOUSE_PARTY-1280 | Drinks | 22153.48</t>
        </is>
      </c>
      <c r="R1281" s="4" t="inlineStr">
        <is>
          <t>iPhone</t>
        </is>
      </c>
      <c r="S1281" s="4" t="inlineStr">
        <is>
          <t>B26</t>
        </is>
      </c>
      <c r="T1281" s="4" t="inlineStr">
        <is>
          <t>RAMP_501_1500</t>
        </is>
      </c>
      <c r="U1281" s="4" t="inlineStr">
        <is>
          <t>CREATED</t>
        </is>
      </c>
      <c r="V1281" s="4" t="inlineStr">
        <is>
          <t>idem-20260902-ios-1280</t>
        </is>
      </c>
    </row>
    <row r="1282" ht="30" customHeight="1">
      <c r="A1282" s="4" t="n">
        <v>1281</v>
      </c>
      <c r="B1282" s="4" t="inlineStr">
        <is>
          <t>MTR-IOS-1281</t>
        </is>
      </c>
      <c r="C1282" s="4" t="inlineStr">
        <is>
          <t>Business</t>
        </is>
      </c>
      <c r="D1282" s="4" t="inlineStr">
        <is>
          <t>Business</t>
        </is>
      </c>
      <c r="E1282" s="4" t="inlineStr">
        <is>
          <t>Team Operations</t>
        </is>
      </c>
      <c r="F1282" s="4" t="inlineStr">
        <is>
          <t>Tools</t>
        </is>
      </c>
      <c r="G1282" s="4" t="inlineStr">
        <is>
          <t>Expense</t>
        </is>
      </c>
      <c r="H1282" s="12" t="n">
        <v>46067</v>
      </c>
      <c r="I1282" s="13" t="n">
        <v>0.2559722222222222</v>
      </c>
      <c r="J1282" s="14" t="n">
        <v>46067.25597222222</v>
      </c>
      <c r="K1282" s="15" t="n">
        <v>23668.83</v>
      </c>
      <c r="L1282" s="4" t="inlineStr">
        <is>
          <t>INR</t>
        </is>
      </c>
      <c r="M1282" s="15" t="n">
        <v>-23668.83</v>
      </c>
      <c r="N1282" s="4" t="inlineStr">
        <is>
          <t>IOS Owner</t>
        </is>
      </c>
      <c r="O1282" s="4" t="n"/>
      <c r="P1282" s="4" t="n"/>
      <c r="Q1282" s="4" t="inlineStr">
        <is>
          <t>MAESTRO-IOS-BUSINESS-TEAM_OPERATIONS-1281 | Tools | 23668.83</t>
        </is>
      </c>
      <c r="R1282" s="4" t="inlineStr">
        <is>
          <t>iPhone</t>
        </is>
      </c>
      <c r="S1282" s="4" t="inlineStr">
        <is>
          <t>B26</t>
        </is>
      </c>
      <c r="T1282" s="4" t="inlineStr">
        <is>
          <t>RAMP_501_1500</t>
        </is>
      </c>
      <c r="U1282" s="4" t="inlineStr">
        <is>
          <t>CREATED</t>
        </is>
      </c>
      <c r="V1282" s="4" t="inlineStr">
        <is>
          <t>idem-20260902-ios-1281</t>
        </is>
      </c>
    </row>
    <row r="1283" ht="30" customHeight="1">
      <c r="A1283" s="4" t="n">
        <v>1282</v>
      </c>
      <c r="B1283" s="4" t="inlineStr">
        <is>
          <t>MTR-IOS-1282</t>
        </is>
      </c>
      <c r="C1283" s="4" t="inlineStr">
        <is>
          <t>Personal</t>
        </is>
      </c>
      <c r="D1283" s="4" t="inlineStr">
        <is>
          <t>Personal</t>
        </is>
      </c>
      <c r="E1283" s="4" t="inlineStr">
        <is>
          <t>Lifestyle</t>
        </is>
      </c>
      <c r="F1283" s="4" t="inlineStr">
        <is>
          <t>Shopping</t>
        </is>
      </c>
      <c r="G1283" s="4" t="inlineStr">
        <is>
          <t>Expense</t>
        </is>
      </c>
      <c r="H1283" s="12" t="n">
        <v>46007</v>
      </c>
      <c r="I1283" s="13" t="n">
        <v>0.02398148148148148</v>
      </c>
      <c r="J1283" s="14" t="n">
        <v>46007.02398148148</v>
      </c>
      <c r="K1283" s="15" t="n">
        <v>11264.2</v>
      </c>
      <c r="L1283" s="4" t="inlineStr">
        <is>
          <t>INR</t>
        </is>
      </c>
      <c r="M1283" s="15" t="n">
        <v>-11264.2</v>
      </c>
      <c r="N1283" s="4" t="inlineStr">
        <is>
          <t>IOS Owner</t>
        </is>
      </c>
      <c r="O1283" s="4" t="n"/>
      <c r="P1283" s="4" t="n"/>
      <c r="Q1283" s="4" t="inlineStr">
        <is>
          <t>MAESTRO-IOS-PERSONAL-LIFESTYLE-1282 | Shopping | 11264.20</t>
        </is>
      </c>
      <c r="R1283" s="4" t="inlineStr">
        <is>
          <t>iPhone</t>
        </is>
      </c>
      <c r="S1283" s="4" t="inlineStr">
        <is>
          <t>B26</t>
        </is>
      </c>
      <c r="T1283" s="4" t="inlineStr">
        <is>
          <t>RAMP_501_1500</t>
        </is>
      </c>
      <c r="U1283" s="4" t="inlineStr">
        <is>
          <t>CREATED</t>
        </is>
      </c>
      <c r="V1283" s="4" t="inlineStr">
        <is>
          <t>idem-20260902-ios-1282</t>
        </is>
      </c>
    </row>
    <row r="1284" ht="30" customHeight="1">
      <c r="A1284" s="4" t="n">
        <v>1283</v>
      </c>
      <c r="B1284" s="4" t="inlineStr">
        <is>
          <t>MTR-IOS-1283</t>
        </is>
      </c>
      <c r="C1284" s="4" t="inlineStr">
        <is>
          <t>Group</t>
        </is>
      </c>
      <c r="D1284" s="4" t="inlineStr">
        <is>
          <t>Shared Experience</t>
        </is>
      </c>
      <c r="E1284" s="4" t="inlineStr">
        <is>
          <t>House Party</t>
        </is>
      </c>
      <c r="F1284" s="4" t="inlineStr">
        <is>
          <t>Decor</t>
        </is>
      </c>
      <c r="G1284" s="4" t="inlineStr">
        <is>
          <t>Expense</t>
        </is>
      </c>
      <c r="H1284" s="12" t="n">
        <v>45963</v>
      </c>
      <c r="I1284" s="13" t="n">
        <v>0.07479166666666667</v>
      </c>
      <c r="J1284" s="14" t="n">
        <v>45963.07479166667</v>
      </c>
      <c r="K1284" s="15" t="n">
        <v>3023.49</v>
      </c>
      <c r="L1284" s="4" t="inlineStr">
        <is>
          <t>INR</t>
        </is>
      </c>
      <c r="M1284" s="15" t="n">
        <v>-3023.49</v>
      </c>
      <c r="N1284" s="4" t="inlineStr">
        <is>
          <t>IOS Aarav</t>
        </is>
      </c>
      <c r="O1284" s="4" t="n">
        <v>3</v>
      </c>
      <c r="P1284" s="4" t="inlineStr">
        <is>
          <t>SHARES</t>
        </is>
      </c>
      <c r="Q1284" s="4" t="inlineStr">
        <is>
          <t>MAESTRO-IOS-GROUP-HOUSE_PARTY-1283 | Decor | 3023.49</t>
        </is>
      </c>
      <c r="R1284" s="4" t="inlineStr">
        <is>
          <t>iPhone</t>
        </is>
      </c>
      <c r="S1284" s="4" t="inlineStr">
        <is>
          <t>B26</t>
        </is>
      </c>
      <c r="T1284" s="4" t="inlineStr">
        <is>
          <t>RAMP_501_1500</t>
        </is>
      </c>
      <c r="U1284" s="4" t="inlineStr">
        <is>
          <t>CREATED</t>
        </is>
      </c>
      <c r="V1284" s="4" t="inlineStr">
        <is>
          <t>idem-20260902-ios-1283</t>
        </is>
      </c>
    </row>
    <row r="1285" ht="30" customHeight="1">
      <c r="A1285" s="4" t="n">
        <v>1284</v>
      </c>
      <c r="B1285" s="4" t="inlineStr">
        <is>
          <t>MTR-IOS-1284</t>
        </is>
      </c>
      <c r="C1285" s="4" t="inlineStr">
        <is>
          <t>Business</t>
        </is>
      </c>
      <c r="D1285" s="4" t="inlineStr">
        <is>
          <t>Business</t>
        </is>
      </c>
      <c r="E1285" s="4" t="inlineStr">
        <is>
          <t>Business Runway</t>
        </is>
      </c>
      <c r="F1285" s="4" t="inlineStr">
        <is>
          <t>Funding</t>
        </is>
      </c>
      <c r="G1285" s="4" t="inlineStr">
        <is>
          <t>Income</t>
        </is>
      </c>
      <c r="H1285" s="12" t="n">
        <v>46124</v>
      </c>
      <c r="I1285" s="13" t="n">
        <v>0.8436921296296296</v>
      </c>
      <c r="J1285" s="14" t="n">
        <v>46124.84369212963</v>
      </c>
      <c r="K1285" s="15" t="n">
        <v>29104.39</v>
      </c>
      <c r="L1285" s="4" t="inlineStr">
        <is>
          <t>INR</t>
        </is>
      </c>
      <c r="M1285" s="15" t="n">
        <v>29104.39</v>
      </c>
      <c r="N1285" s="4" t="inlineStr">
        <is>
          <t>IOS Owner</t>
        </is>
      </c>
      <c r="O1285" s="4" t="n"/>
      <c r="P1285" s="4" t="n"/>
      <c r="Q1285" s="4" t="inlineStr">
        <is>
          <t>MAESTRO-IOS-BUSINESS-BUSINESS_RUNWAY-1284 | Funding | 29104.39</t>
        </is>
      </c>
      <c r="R1285" s="4" t="inlineStr">
        <is>
          <t>iPhone</t>
        </is>
      </c>
      <c r="S1285" s="4" t="inlineStr">
        <is>
          <t>B26</t>
        </is>
      </c>
      <c r="T1285" s="4" t="inlineStr">
        <is>
          <t>RAMP_501_1500</t>
        </is>
      </c>
      <c r="U1285" s="4" t="inlineStr">
        <is>
          <t>CREATED</t>
        </is>
      </c>
      <c r="V1285" s="4" t="inlineStr">
        <is>
          <t>idem-20260902-ios-1284</t>
        </is>
      </c>
    </row>
    <row r="1286" ht="30" customHeight="1">
      <c r="A1286" s="4" t="n">
        <v>1285</v>
      </c>
      <c r="B1286" s="4" t="inlineStr">
        <is>
          <t>MTR-IOS-1285</t>
        </is>
      </c>
      <c r="C1286" s="4" t="inlineStr">
        <is>
          <t>Personal</t>
        </is>
      </c>
      <c r="D1286" s="4" t="inlineStr">
        <is>
          <t>Personal</t>
        </is>
      </c>
      <c r="E1286" s="4" t="inlineStr">
        <is>
          <t>Lifestyle</t>
        </is>
      </c>
      <c r="F1286" s="4" t="inlineStr">
        <is>
          <t>Entertainment</t>
        </is>
      </c>
      <c r="G1286" s="4" t="inlineStr">
        <is>
          <t>Expense</t>
        </is>
      </c>
      <c r="H1286" s="12" t="n">
        <v>46084</v>
      </c>
      <c r="I1286" s="13" t="n">
        <v>0.8729861111111111</v>
      </c>
      <c r="J1286" s="14" t="n">
        <v>46084.87298611111</v>
      </c>
      <c r="K1286" s="15" t="n">
        <v>17663.28</v>
      </c>
      <c r="L1286" s="4" t="inlineStr">
        <is>
          <t>INR</t>
        </is>
      </c>
      <c r="M1286" s="15" t="n">
        <v>-17663.28</v>
      </c>
      <c r="N1286" s="4" t="inlineStr">
        <is>
          <t>IOS Owner</t>
        </is>
      </c>
      <c r="O1286" s="4" t="n"/>
      <c r="P1286" s="4" t="n"/>
      <c r="Q1286" s="4" t="inlineStr">
        <is>
          <t>MAESTRO-IOS-PERSONAL-LIFESTYLE-1285 | Entertainment | 17663.28</t>
        </is>
      </c>
      <c r="R1286" s="4" t="inlineStr">
        <is>
          <t>iPhone</t>
        </is>
      </c>
      <c r="S1286" s="4" t="inlineStr">
        <is>
          <t>B26</t>
        </is>
      </c>
      <c r="T1286" s="4" t="inlineStr">
        <is>
          <t>RAMP_501_1500</t>
        </is>
      </c>
      <c r="U1286" s="4" t="inlineStr">
        <is>
          <t>CREATED</t>
        </is>
      </c>
      <c r="V1286" s="4" t="inlineStr">
        <is>
          <t>idem-20260902-ios-1285</t>
        </is>
      </c>
    </row>
    <row r="1287" ht="30" customHeight="1">
      <c r="A1287" s="4" t="n">
        <v>1286</v>
      </c>
      <c r="B1287" s="4" t="inlineStr">
        <is>
          <t>MTR-IOS-1286</t>
        </is>
      </c>
      <c r="C1287" s="4" t="inlineStr">
        <is>
          <t>Group</t>
        </is>
      </c>
      <c r="D1287" s="4" t="inlineStr">
        <is>
          <t>Shared Experience</t>
        </is>
      </c>
      <c r="E1287" s="4" t="inlineStr">
        <is>
          <t>House Party</t>
        </is>
      </c>
      <c r="F1287" s="4" t="inlineStr">
        <is>
          <t>Supplies</t>
        </is>
      </c>
      <c r="G1287" s="4" t="inlineStr">
        <is>
          <t>Expense</t>
        </is>
      </c>
      <c r="H1287" s="12" t="n">
        <v>46151</v>
      </c>
      <c r="I1287" s="13" t="n">
        <v>0.1837847222222222</v>
      </c>
      <c r="J1287" s="14" t="n">
        <v>46151.18378472222</v>
      </c>
      <c r="K1287" s="15" t="n">
        <v>3255.2</v>
      </c>
      <c r="L1287" s="4" t="inlineStr">
        <is>
          <t>INR</t>
        </is>
      </c>
      <c r="M1287" s="15" t="n">
        <v>-3255.2</v>
      </c>
      <c r="N1287" s="4" t="inlineStr">
        <is>
          <t>IOS Meera</t>
        </is>
      </c>
      <c r="O1287" s="4" t="n">
        <v>3</v>
      </c>
      <c r="P1287" s="4" t="inlineStr">
        <is>
          <t>EQUAL</t>
        </is>
      </c>
      <c r="Q1287" s="4" t="inlineStr">
        <is>
          <t>MAESTRO-IOS-GROUP-HOUSE_PARTY-1286 | Supplies | 3255.20</t>
        </is>
      </c>
      <c r="R1287" s="4" t="inlineStr">
        <is>
          <t>iPhone</t>
        </is>
      </c>
      <c r="S1287" s="4" t="inlineStr">
        <is>
          <t>B26</t>
        </is>
      </c>
      <c r="T1287" s="4" t="inlineStr">
        <is>
          <t>RAMP_501_1500</t>
        </is>
      </c>
      <c r="U1287" s="4" t="inlineStr">
        <is>
          <t>CREATED</t>
        </is>
      </c>
      <c r="V1287" s="4" t="inlineStr">
        <is>
          <t>idem-20260902-ios-1286</t>
        </is>
      </c>
    </row>
    <row r="1288" ht="30" customHeight="1">
      <c r="A1288" s="4" t="n">
        <v>1287</v>
      </c>
      <c r="B1288" s="4" t="inlineStr">
        <is>
          <t>MTR-IOS-1287</t>
        </is>
      </c>
      <c r="C1288" s="4" t="inlineStr">
        <is>
          <t>Business</t>
        </is>
      </c>
      <c r="D1288" s="4" t="inlineStr">
        <is>
          <t>Business</t>
        </is>
      </c>
      <c r="E1288" s="4" t="inlineStr">
        <is>
          <t>Business Runway</t>
        </is>
      </c>
      <c r="F1288" s="4" t="inlineStr">
        <is>
          <t>Revenue</t>
        </is>
      </c>
      <c r="G1288" s="4" t="inlineStr">
        <is>
          <t>Income</t>
        </is>
      </c>
      <c r="H1288" s="12" t="n">
        <v>46225</v>
      </c>
      <c r="I1288" s="13" t="n">
        <v>0.2256018518518519</v>
      </c>
      <c r="J1288" s="14" t="n">
        <v>46225.22560185185</v>
      </c>
      <c r="K1288" s="15" t="n">
        <v>84116.81</v>
      </c>
      <c r="L1288" s="4" t="inlineStr">
        <is>
          <t>INR</t>
        </is>
      </c>
      <c r="M1288" s="15" t="n">
        <v>84116.81</v>
      </c>
      <c r="N1288" s="4" t="inlineStr">
        <is>
          <t>IOS Owner</t>
        </is>
      </c>
      <c r="O1288" s="4" t="n"/>
      <c r="P1288" s="4" t="n"/>
      <c r="Q1288" s="4" t="inlineStr">
        <is>
          <t>MAESTRO-IOS-BUSINESS-BUSINESS_RUNWAY-1287 | Revenue | 84116.81</t>
        </is>
      </c>
      <c r="R1288" s="4" t="inlineStr">
        <is>
          <t>iPhone</t>
        </is>
      </c>
      <c r="S1288" s="4" t="inlineStr">
        <is>
          <t>B26</t>
        </is>
      </c>
      <c r="T1288" s="4" t="inlineStr">
        <is>
          <t>RAMP_501_1500</t>
        </is>
      </c>
      <c r="U1288" s="4" t="inlineStr">
        <is>
          <t>CREATED</t>
        </is>
      </c>
      <c r="V1288" s="4" t="inlineStr">
        <is>
          <t>idem-20260902-ios-1287</t>
        </is>
      </c>
    </row>
    <row r="1289" ht="30" customHeight="1">
      <c r="A1289" s="4" t="n">
        <v>1288</v>
      </c>
      <c r="B1289" s="4" t="inlineStr">
        <is>
          <t>MTR-IOS-1288</t>
        </is>
      </c>
      <c r="C1289" s="4" t="inlineStr">
        <is>
          <t>Personal</t>
        </is>
      </c>
      <c r="D1289" s="4" t="inlineStr">
        <is>
          <t>Personal</t>
        </is>
      </c>
      <c r="E1289" s="4" t="inlineStr">
        <is>
          <t>Lifestyle</t>
        </is>
      </c>
      <c r="F1289" s="4" t="inlineStr">
        <is>
          <t>Travel</t>
        </is>
      </c>
      <c r="G1289" s="4" t="inlineStr">
        <is>
          <t>Expense</t>
        </is>
      </c>
      <c r="H1289" s="12" t="n">
        <v>45943</v>
      </c>
      <c r="I1289" s="13" t="n">
        <v>0.6766782407407408</v>
      </c>
      <c r="J1289" s="14" t="n">
        <v>45943.67667824074</v>
      </c>
      <c r="K1289" s="15" t="n">
        <v>6574.43</v>
      </c>
      <c r="L1289" s="4" t="inlineStr">
        <is>
          <t>INR</t>
        </is>
      </c>
      <c r="M1289" s="15" t="n">
        <v>-6574.43</v>
      </c>
      <c r="N1289" s="4" t="inlineStr">
        <is>
          <t>IOS Owner</t>
        </is>
      </c>
      <c r="O1289" s="4" t="n"/>
      <c r="P1289" s="4" t="n"/>
      <c r="Q1289" s="4" t="inlineStr">
        <is>
          <t>MAESTRO-IOS-PERSONAL-LIFESTYLE-1288 | Travel | 6574.43</t>
        </is>
      </c>
      <c r="R1289" s="4" t="inlineStr">
        <is>
          <t>iPhone</t>
        </is>
      </c>
      <c r="S1289" s="4" t="inlineStr">
        <is>
          <t>B26</t>
        </is>
      </c>
      <c r="T1289" s="4" t="inlineStr">
        <is>
          <t>RAMP_501_1500</t>
        </is>
      </c>
      <c r="U1289" s="4" t="inlineStr">
        <is>
          <t>CREATED</t>
        </is>
      </c>
      <c r="V1289" s="4" t="inlineStr">
        <is>
          <t>idem-20260902-ios-1288</t>
        </is>
      </c>
    </row>
    <row r="1290" ht="30" customHeight="1">
      <c r="A1290" s="4" t="n">
        <v>1289</v>
      </c>
      <c r="B1290" s="4" t="inlineStr">
        <is>
          <t>MTR-IOS-1289</t>
        </is>
      </c>
      <c r="C1290" s="4" t="inlineStr">
        <is>
          <t>Group</t>
        </is>
      </c>
      <c r="D1290" s="4" t="inlineStr">
        <is>
          <t>Shared Experience</t>
        </is>
      </c>
      <c r="E1290" s="4" t="inlineStr">
        <is>
          <t>House Party</t>
        </is>
      </c>
      <c r="F1290" s="4" t="inlineStr">
        <is>
          <t>Other</t>
        </is>
      </c>
      <c r="G1290" s="4" t="inlineStr">
        <is>
          <t>Expense</t>
        </is>
      </c>
      <c r="H1290" s="12" t="n">
        <v>45965</v>
      </c>
      <c r="I1290" s="13" t="n">
        <v>0.1234375</v>
      </c>
      <c r="J1290" s="14" t="n">
        <v>45965.1234375</v>
      </c>
      <c r="K1290" s="15" t="n">
        <v>3122.31</v>
      </c>
      <c r="L1290" s="4" t="inlineStr">
        <is>
          <t>INR</t>
        </is>
      </c>
      <c r="M1290" s="15" t="n">
        <v>-3122.31</v>
      </c>
      <c r="N1290" s="4" t="inlineStr">
        <is>
          <t>IOS Owner</t>
        </is>
      </c>
      <c r="O1290" s="4" t="n">
        <v>3</v>
      </c>
      <c r="P1290" s="4" t="inlineStr">
        <is>
          <t>PERCENTAGE</t>
        </is>
      </c>
      <c r="Q1290" s="4" t="inlineStr">
        <is>
          <t>MAESTRO-IOS-GROUP-HOUSE_PARTY-1289 | Other | 3122.31</t>
        </is>
      </c>
      <c r="R1290" s="4" t="inlineStr">
        <is>
          <t>iPhone</t>
        </is>
      </c>
      <c r="S1290" s="4" t="inlineStr">
        <is>
          <t>B26</t>
        </is>
      </c>
      <c r="T1290" s="4" t="inlineStr">
        <is>
          <t>RAMP_501_1500</t>
        </is>
      </c>
      <c r="U1290" s="4" t="inlineStr">
        <is>
          <t>CREATED</t>
        </is>
      </c>
      <c r="V1290" s="4" t="inlineStr">
        <is>
          <t>idem-20260902-ios-1289</t>
        </is>
      </c>
    </row>
    <row r="1291" ht="30" customHeight="1">
      <c r="A1291" s="4" t="n">
        <v>1290</v>
      </c>
      <c r="B1291" s="4" t="inlineStr">
        <is>
          <t>MTR-IOS-1290</t>
        </is>
      </c>
      <c r="C1291" s="4" t="inlineStr">
        <is>
          <t>Business</t>
        </is>
      </c>
      <c r="D1291" s="4" t="inlineStr">
        <is>
          <t>Business</t>
        </is>
      </c>
      <c r="E1291" s="4" t="inlineStr">
        <is>
          <t>Business Runway</t>
        </is>
      </c>
      <c r="F1291" s="4" t="inlineStr">
        <is>
          <t>Burn</t>
        </is>
      </c>
      <c r="G1291" s="4" t="inlineStr">
        <is>
          <t>Expense</t>
        </is>
      </c>
      <c r="H1291" s="12" t="n">
        <v>45921</v>
      </c>
      <c r="I1291" s="13" t="n">
        <v>0.7123726851851852</v>
      </c>
      <c r="J1291" s="14" t="n">
        <v>45921.71237268519</v>
      </c>
      <c r="K1291" s="15" t="n">
        <v>164810.85</v>
      </c>
      <c r="L1291" s="4" t="inlineStr">
        <is>
          <t>INR</t>
        </is>
      </c>
      <c r="M1291" s="15" t="n">
        <v>-164810.85</v>
      </c>
      <c r="N1291" s="4" t="inlineStr">
        <is>
          <t>IOS Owner</t>
        </is>
      </c>
      <c r="O1291" s="4" t="n"/>
      <c r="P1291" s="4" t="n"/>
      <c r="Q1291" s="4" t="inlineStr">
        <is>
          <t>MAESTRO-IOS-BUSINESS-BUSINESS_RUNWAY-1290 | Burn | 164810.85</t>
        </is>
      </c>
      <c r="R1291" s="4" t="inlineStr">
        <is>
          <t>iPhone</t>
        </is>
      </c>
      <c r="S1291" s="4" t="inlineStr">
        <is>
          <t>B26</t>
        </is>
      </c>
      <c r="T1291" s="4" t="inlineStr">
        <is>
          <t>RAMP_501_1500</t>
        </is>
      </c>
      <c r="U1291" s="4" t="inlineStr">
        <is>
          <t>CREATED</t>
        </is>
      </c>
      <c r="V1291" s="4" t="inlineStr">
        <is>
          <t>idem-20260902-ios-1290</t>
        </is>
      </c>
    </row>
    <row r="1292" ht="30" customHeight="1">
      <c r="A1292" s="4" t="n">
        <v>1291</v>
      </c>
      <c r="B1292" s="4" t="inlineStr">
        <is>
          <t>MTR-IOS-1291</t>
        </is>
      </c>
      <c r="C1292" s="4" t="inlineStr">
        <is>
          <t>Personal</t>
        </is>
      </c>
      <c r="D1292" s="4" t="inlineStr">
        <is>
          <t>Personal</t>
        </is>
      </c>
      <c r="E1292" s="4" t="inlineStr">
        <is>
          <t>Lifestyle</t>
        </is>
      </c>
      <c r="F1292" s="4" t="inlineStr">
        <is>
          <t>Fitness</t>
        </is>
      </c>
      <c r="G1292" s="4" t="inlineStr">
        <is>
          <t>Expense</t>
        </is>
      </c>
      <c r="H1292" s="12" t="n">
        <v>46043</v>
      </c>
      <c r="I1292" s="13" t="n">
        <v>0.8254398148148148</v>
      </c>
      <c r="J1292" s="14" t="n">
        <v>46043.82543981481</v>
      </c>
      <c r="K1292" s="15" t="n">
        <v>11638.06</v>
      </c>
      <c r="L1292" s="4" t="inlineStr">
        <is>
          <t>INR</t>
        </is>
      </c>
      <c r="M1292" s="15" t="n">
        <v>-11638.06</v>
      </c>
      <c r="N1292" s="4" t="inlineStr">
        <is>
          <t>IOS Owner</t>
        </is>
      </c>
      <c r="O1292" s="4" t="n"/>
      <c r="P1292" s="4" t="n"/>
      <c r="Q1292" s="4" t="inlineStr">
        <is>
          <t>MAESTRO-IOS-PERSONAL-LIFESTYLE-1291 | Fitness | 11638.06</t>
        </is>
      </c>
      <c r="R1292" s="4" t="inlineStr">
        <is>
          <t>iPhone</t>
        </is>
      </c>
      <c r="S1292" s="4" t="inlineStr">
        <is>
          <t>B26</t>
        </is>
      </c>
      <c r="T1292" s="4" t="inlineStr">
        <is>
          <t>RAMP_501_1500</t>
        </is>
      </c>
      <c r="U1292" s="4" t="inlineStr">
        <is>
          <t>CREATED</t>
        </is>
      </c>
      <c r="V1292" s="4" t="inlineStr">
        <is>
          <t>idem-20260902-ios-1291</t>
        </is>
      </c>
    </row>
    <row r="1293" ht="30" customHeight="1">
      <c r="A1293" s="4" t="n">
        <v>1292</v>
      </c>
      <c r="B1293" s="4" t="inlineStr">
        <is>
          <t>MTR-IOS-1292</t>
        </is>
      </c>
      <c r="C1293" s="4" t="inlineStr">
        <is>
          <t>Group</t>
        </is>
      </c>
      <c r="D1293" s="4" t="inlineStr">
        <is>
          <t>Shared Purchase</t>
        </is>
      </c>
      <c r="E1293" s="4" t="inlineStr">
        <is>
          <t>Gift Pool</t>
        </is>
      </c>
      <c r="F1293" s="4" t="inlineStr">
        <is>
          <t>Contribution</t>
        </is>
      </c>
      <c r="G1293" s="4" t="inlineStr">
        <is>
          <t>Contribution</t>
        </is>
      </c>
      <c r="H1293" s="12" t="n">
        <v>46122</v>
      </c>
      <c r="I1293" s="13" t="n">
        <v>0.8725925925925926</v>
      </c>
      <c r="J1293" s="14" t="n">
        <v>46122.87259259259</v>
      </c>
      <c r="K1293" s="15" t="n">
        <v>13605.46</v>
      </c>
      <c r="L1293" s="4" t="inlineStr">
        <is>
          <t>INR</t>
        </is>
      </c>
      <c r="M1293" s="15" t="n">
        <v>13605.46</v>
      </c>
      <c r="N1293" s="4" t="inlineStr">
        <is>
          <t>IOS Aarav</t>
        </is>
      </c>
      <c r="O1293" s="4" t="n">
        <v>3</v>
      </c>
      <c r="P1293" s="4" t="inlineStr">
        <is>
          <t>EXACT</t>
        </is>
      </c>
      <c r="Q1293" s="4" t="inlineStr">
        <is>
          <t>MAESTRO-IOS-GROUP-GIFT_POOL-1292 | Contribution | 13605.46</t>
        </is>
      </c>
      <c r="R1293" s="4" t="inlineStr">
        <is>
          <t>iPhone</t>
        </is>
      </c>
      <c r="S1293" s="4" t="inlineStr">
        <is>
          <t>B26</t>
        </is>
      </c>
      <c r="T1293" s="4" t="inlineStr">
        <is>
          <t>RAMP_501_1500</t>
        </is>
      </c>
      <c r="U1293" s="4" t="inlineStr">
        <is>
          <t>CREATED</t>
        </is>
      </c>
      <c r="V1293" s="4" t="inlineStr">
        <is>
          <t>idem-20260902-ios-1292</t>
        </is>
      </c>
    </row>
    <row r="1294" ht="30" customHeight="1">
      <c r="A1294" s="4" t="n">
        <v>1293</v>
      </c>
      <c r="B1294" s="4" t="inlineStr">
        <is>
          <t>MTR-IOS-1293</t>
        </is>
      </c>
      <c r="C1294" s="4" t="inlineStr">
        <is>
          <t>Business</t>
        </is>
      </c>
      <c r="D1294" s="4" t="inlineStr">
        <is>
          <t>Business</t>
        </is>
      </c>
      <c r="E1294" s="4" t="inlineStr">
        <is>
          <t>Business Runway</t>
        </is>
      </c>
      <c r="F1294" s="4" t="inlineStr">
        <is>
          <t>Reserve</t>
        </is>
      </c>
      <c r="G1294" s="4" t="inlineStr">
        <is>
          <t>Transfer</t>
        </is>
      </c>
      <c r="H1294" s="12" t="n">
        <v>45922</v>
      </c>
      <c r="I1294" s="13" t="n">
        <v>0.5753935185185185</v>
      </c>
      <c r="J1294" s="14" t="n">
        <v>45922.57539351852</v>
      </c>
      <c r="K1294" s="15" t="n">
        <v>140988.07</v>
      </c>
      <c r="L1294" s="4" t="inlineStr">
        <is>
          <t>INR</t>
        </is>
      </c>
      <c r="M1294" s="15" t="n">
        <v>0</v>
      </c>
      <c r="N1294" s="4" t="inlineStr">
        <is>
          <t>IOS Owner</t>
        </is>
      </c>
      <c r="O1294" s="4" t="n"/>
      <c r="P1294" s="4" t="n"/>
      <c r="Q1294" s="4" t="inlineStr">
        <is>
          <t>MAESTRO-IOS-BUSINESS-BUSINESS_RUNWAY-1293 | Reserve | 140988.07</t>
        </is>
      </c>
      <c r="R1294" s="4" t="inlineStr">
        <is>
          <t>iPhone</t>
        </is>
      </c>
      <c r="S1294" s="4" t="inlineStr">
        <is>
          <t>B26</t>
        </is>
      </c>
      <c r="T1294" s="4" t="inlineStr">
        <is>
          <t>RAMP_501_1500</t>
        </is>
      </c>
      <c r="U1294" s="4" t="inlineStr">
        <is>
          <t>CREATED</t>
        </is>
      </c>
      <c r="V1294" s="4" t="inlineStr">
        <is>
          <t>idem-20260902-ios-1293</t>
        </is>
      </c>
    </row>
    <row r="1295" ht="30" customHeight="1">
      <c r="A1295" s="4" t="n">
        <v>1294</v>
      </c>
      <c r="B1295" s="4" t="inlineStr">
        <is>
          <t>MTR-IOS-1294</t>
        </is>
      </c>
      <c r="C1295" s="4" t="inlineStr">
        <is>
          <t>Personal</t>
        </is>
      </c>
      <c r="D1295" s="4" t="inlineStr">
        <is>
          <t>Personal</t>
        </is>
      </c>
      <c r="E1295" s="4" t="inlineStr">
        <is>
          <t>Lifestyle</t>
        </is>
      </c>
      <c r="F1295" s="4" t="inlineStr">
        <is>
          <t>Hobbies</t>
        </is>
      </c>
      <c r="G1295" s="4" t="inlineStr">
        <is>
          <t>Expense</t>
        </is>
      </c>
      <c r="H1295" s="12" t="n">
        <v>46115</v>
      </c>
      <c r="I1295" s="13" t="n">
        <v>0.2214236111111111</v>
      </c>
      <c r="J1295" s="14" t="n">
        <v>46115.22142361111</v>
      </c>
      <c r="K1295" s="15" t="n">
        <v>2376.39</v>
      </c>
      <c r="L1295" s="4" t="inlineStr">
        <is>
          <t>INR</t>
        </is>
      </c>
      <c r="M1295" s="15" t="n">
        <v>-2376.39</v>
      </c>
      <c r="N1295" s="4" t="inlineStr">
        <is>
          <t>IOS Owner</t>
        </is>
      </c>
      <c r="O1295" s="4" t="n"/>
      <c r="P1295" s="4" t="n"/>
      <c r="Q1295" s="4" t="inlineStr">
        <is>
          <t>MAESTRO-IOS-PERSONAL-LIFESTYLE-1294 | Hobbies | 2376.39</t>
        </is>
      </c>
      <c r="R1295" s="4" t="inlineStr">
        <is>
          <t>iPhone</t>
        </is>
      </c>
      <c r="S1295" s="4" t="inlineStr">
        <is>
          <t>B26</t>
        </is>
      </c>
      <c r="T1295" s="4" t="inlineStr">
        <is>
          <t>RAMP_501_1500</t>
        </is>
      </c>
      <c r="U1295" s="4" t="inlineStr">
        <is>
          <t>CREATED</t>
        </is>
      </c>
      <c r="V1295" s="4" t="inlineStr">
        <is>
          <t>idem-20260902-ios-1294</t>
        </is>
      </c>
    </row>
    <row r="1296" ht="30" customHeight="1">
      <c r="A1296" s="4" t="n">
        <v>1295</v>
      </c>
      <c r="B1296" s="4" t="inlineStr">
        <is>
          <t>MTR-IOS-1295</t>
        </is>
      </c>
      <c r="C1296" s="4" t="inlineStr">
        <is>
          <t>Group</t>
        </is>
      </c>
      <c r="D1296" s="4" t="inlineStr">
        <is>
          <t>Shared Purchase</t>
        </is>
      </c>
      <c r="E1296" s="4" t="inlineStr">
        <is>
          <t>Gift Pool</t>
        </is>
      </c>
      <c r="F1296" s="4" t="inlineStr">
        <is>
          <t>Gift Purchase</t>
        </is>
      </c>
      <c r="G1296" s="4" t="inlineStr">
        <is>
          <t>Expense</t>
        </is>
      </c>
      <c r="H1296" s="12" t="n">
        <v>46231</v>
      </c>
      <c r="I1296" s="13" t="n">
        <v>0.973587962962963</v>
      </c>
      <c r="J1296" s="14" t="n">
        <v>46231.97358796297</v>
      </c>
      <c r="K1296" s="15" t="n">
        <v>10000</v>
      </c>
      <c r="L1296" s="4" t="inlineStr">
        <is>
          <t>INR</t>
        </is>
      </c>
      <c r="M1296" s="15" t="n">
        <v>-10000</v>
      </c>
      <c r="N1296" s="4" t="inlineStr">
        <is>
          <t>IOS Meera</t>
        </is>
      </c>
      <c r="O1296" s="4" t="n">
        <v>3</v>
      </c>
      <c r="P1296" s="4" t="inlineStr">
        <is>
          <t>SHARES</t>
        </is>
      </c>
      <c r="Q1296" s="4" t="inlineStr">
        <is>
          <t>MAESTRO-IOS-GROUP-GIFT_POOL-1295 | Gift Purchase | 10000.00</t>
        </is>
      </c>
      <c r="R1296" s="4" t="inlineStr">
        <is>
          <t>iPhone</t>
        </is>
      </c>
      <c r="S1296" s="4" t="inlineStr">
        <is>
          <t>B26</t>
        </is>
      </c>
      <c r="T1296" s="4" t="inlineStr">
        <is>
          <t>RAMP_501_1500</t>
        </is>
      </c>
      <c r="U1296" s="4" t="inlineStr">
        <is>
          <t>CREATED</t>
        </is>
      </c>
      <c r="V1296" s="4" t="inlineStr">
        <is>
          <t>idem-20260902-ios-1295</t>
        </is>
      </c>
    </row>
    <row r="1297" ht="30" customHeight="1">
      <c r="A1297" s="4" t="n">
        <v>1296</v>
      </c>
      <c r="B1297" s="4" t="inlineStr">
        <is>
          <t>MTR-IOS-1296</t>
        </is>
      </c>
      <c r="C1297" s="4" t="inlineStr">
        <is>
          <t>Business</t>
        </is>
      </c>
      <c r="D1297" s="4" t="inlineStr">
        <is>
          <t>Business</t>
        </is>
      </c>
      <c r="E1297" s="4" t="inlineStr">
        <is>
          <t>Business Runway</t>
        </is>
      </c>
      <c r="F1297" s="4" t="inlineStr">
        <is>
          <t>Loan</t>
        </is>
      </c>
      <c r="G1297" s="4" t="inlineStr">
        <is>
          <t>Income</t>
        </is>
      </c>
      <c r="H1297" s="12" t="n">
        <v>46046</v>
      </c>
      <c r="I1297" s="13" t="n">
        <v>0.001689814814814815</v>
      </c>
      <c r="J1297" s="14" t="n">
        <v>46046.00168981482</v>
      </c>
      <c r="K1297" s="15" t="n">
        <v>24448.63</v>
      </c>
      <c r="L1297" s="4" t="inlineStr">
        <is>
          <t>INR</t>
        </is>
      </c>
      <c r="M1297" s="15" t="n">
        <v>24448.63</v>
      </c>
      <c r="N1297" s="4" t="inlineStr">
        <is>
          <t>IOS Owner</t>
        </is>
      </c>
      <c r="O1297" s="4" t="n"/>
      <c r="P1297" s="4" t="n"/>
      <c r="Q1297" s="4" t="inlineStr">
        <is>
          <t>MAESTRO-IOS-BUSINESS-BUSINESS_RUNWAY-1296 | Loan | 24448.63</t>
        </is>
      </c>
      <c r="R1297" s="4" t="inlineStr">
        <is>
          <t>iPhone</t>
        </is>
      </c>
      <c r="S1297" s="4" t="inlineStr">
        <is>
          <t>B26</t>
        </is>
      </c>
      <c r="T1297" s="4" t="inlineStr">
        <is>
          <t>RAMP_501_1500</t>
        </is>
      </c>
      <c r="U1297" s="4" t="inlineStr">
        <is>
          <t>CREATED</t>
        </is>
      </c>
      <c r="V1297" s="4" t="inlineStr">
        <is>
          <t>idem-20260902-ios-1296</t>
        </is>
      </c>
    </row>
    <row r="1298" ht="30" customHeight="1">
      <c r="A1298" s="4" t="n">
        <v>1297</v>
      </c>
      <c r="B1298" s="4" t="inlineStr">
        <is>
          <t>MTR-IOS-1297</t>
        </is>
      </c>
      <c r="C1298" s="4" t="inlineStr">
        <is>
          <t>Personal</t>
        </is>
      </c>
      <c r="D1298" s="4" t="inlineStr">
        <is>
          <t>Personal</t>
        </is>
      </c>
      <c r="E1298" s="4" t="inlineStr">
        <is>
          <t>Relationships</t>
        </is>
      </c>
      <c r="F1298" s="4" t="inlineStr">
        <is>
          <t>Gifts</t>
        </is>
      </c>
      <c r="G1298" s="4" t="inlineStr">
        <is>
          <t>Expense</t>
        </is>
      </c>
      <c r="H1298" s="12" t="n">
        <v>45926</v>
      </c>
      <c r="I1298" s="13" t="n">
        <v>0.5198958333333333</v>
      </c>
      <c r="J1298" s="14" t="n">
        <v>45926.51989583333</v>
      </c>
      <c r="K1298" s="15" t="n">
        <v>9586.549999999999</v>
      </c>
      <c r="L1298" s="4" t="inlineStr">
        <is>
          <t>INR</t>
        </is>
      </c>
      <c r="M1298" s="15" t="n">
        <v>-9586.549999999999</v>
      </c>
      <c r="N1298" s="4" t="inlineStr">
        <is>
          <t>IOS Owner</t>
        </is>
      </c>
      <c r="O1298" s="4" t="n"/>
      <c r="P1298" s="4" t="n"/>
      <c r="Q1298" s="4" t="inlineStr">
        <is>
          <t>MAESTRO-IOS-PERSONAL-RELATIONSHIPS-1297 | Gifts | 9586.55</t>
        </is>
      </c>
      <c r="R1298" s="4" t="inlineStr">
        <is>
          <t>iPhone</t>
        </is>
      </c>
      <c r="S1298" s="4" t="inlineStr">
        <is>
          <t>B26</t>
        </is>
      </c>
      <c r="T1298" s="4" t="inlineStr">
        <is>
          <t>RAMP_501_1500</t>
        </is>
      </c>
      <c r="U1298" s="4" t="inlineStr">
        <is>
          <t>CREATED</t>
        </is>
      </c>
      <c r="V1298" s="4" t="inlineStr">
        <is>
          <t>idem-20260902-ios-1297</t>
        </is>
      </c>
    </row>
    <row r="1299" ht="30" customHeight="1">
      <c r="A1299" s="4" t="n">
        <v>1298</v>
      </c>
      <c r="B1299" s="4" t="inlineStr">
        <is>
          <t>MTR-IOS-1298</t>
        </is>
      </c>
      <c r="C1299" s="4" t="inlineStr">
        <is>
          <t>Group</t>
        </is>
      </c>
      <c r="D1299" s="4" t="inlineStr">
        <is>
          <t>Shared Purchase</t>
        </is>
      </c>
      <c r="E1299" s="4" t="inlineStr">
        <is>
          <t>Gift Pool</t>
        </is>
      </c>
      <c r="F1299" s="4" t="inlineStr">
        <is>
          <t>Delivery</t>
        </is>
      </c>
      <c r="G1299" s="4" t="inlineStr">
        <is>
          <t>Expense</t>
        </is>
      </c>
      <c r="H1299" s="12" t="n">
        <v>45943</v>
      </c>
      <c r="I1299" s="13" t="n">
        <v>0.5476736111111111</v>
      </c>
      <c r="J1299" s="14" t="n">
        <v>45943.54767361111</v>
      </c>
      <c r="K1299" s="15" t="n">
        <v>4532.23</v>
      </c>
      <c r="L1299" s="4" t="inlineStr">
        <is>
          <t>INR</t>
        </is>
      </c>
      <c r="M1299" s="15" t="n">
        <v>-4532.23</v>
      </c>
      <c r="N1299" s="4" t="inlineStr">
        <is>
          <t>IOS Owner</t>
        </is>
      </c>
      <c r="O1299" s="4" t="n">
        <v>3</v>
      </c>
      <c r="P1299" s="4" t="inlineStr">
        <is>
          <t>EQUAL</t>
        </is>
      </c>
      <c r="Q1299" s="4" t="inlineStr">
        <is>
          <t>MAESTRO-IOS-GROUP-GIFT_POOL-1298 | Delivery | 4532.23</t>
        </is>
      </c>
      <c r="R1299" s="4" t="inlineStr">
        <is>
          <t>iPhone</t>
        </is>
      </c>
      <c r="S1299" s="4" t="inlineStr">
        <is>
          <t>B26</t>
        </is>
      </c>
      <c r="T1299" s="4" t="inlineStr">
        <is>
          <t>RAMP_501_1500</t>
        </is>
      </c>
      <c r="U1299" s="4" t="inlineStr">
        <is>
          <t>CREATED</t>
        </is>
      </c>
      <c r="V1299" s="4" t="inlineStr">
        <is>
          <t>idem-20260902-ios-1298</t>
        </is>
      </c>
    </row>
    <row r="1300" ht="30" customHeight="1">
      <c r="A1300" s="4" t="n">
        <v>1299</v>
      </c>
      <c r="B1300" s="4" t="inlineStr">
        <is>
          <t>MTR-IOS-1299</t>
        </is>
      </c>
      <c r="C1300" s="4" t="inlineStr">
        <is>
          <t>Business</t>
        </is>
      </c>
      <c r="D1300" s="4" t="inlineStr">
        <is>
          <t>Business</t>
        </is>
      </c>
      <c r="E1300" s="4" t="inlineStr">
        <is>
          <t>Business Runway</t>
        </is>
      </c>
      <c r="F1300" s="4" t="inlineStr">
        <is>
          <t>Investment</t>
        </is>
      </c>
      <c r="G1300" s="4" t="inlineStr">
        <is>
          <t>Income</t>
        </is>
      </c>
      <c r="H1300" s="12" t="n">
        <v>46121</v>
      </c>
      <c r="I1300" s="13" t="n">
        <v>0.2078587962962963</v>
      </c>
      <c r="J1300" s="14" t="n">
        <v>46121.2078587963</v>
      </c>
      <c r="K1300" s="15" t="n">
        <v>53865.33</v>
      </c>
      <c r="L1300" s="4" t="inlineStr">
        <is>
          <t>INR</t>
        </is>
      </c>
      <c r="M1300" s="15" t="n">
        <v>53865.33</v>
      </c>
      <c r="N1300" s="4" t="inlineStr">
        <is>
          <t>IOS Owner</t>
        </is>
      </c>
      <c r="O1300" s="4" t="n"/>
      <c r="P1300" s="4" t="n"/>
      <c r="Q1300" s="4" t="inlineStr">
        <is>
          <t>MAESTRO-IOS-BUSINESS-BUSINESS_RUNWAY-1299 | Investment | 53865.33</t>
        </is>
      </c>
      <c r="R1300" s="4" t="inlineStr">
        <is>
          <t>iPhone</t>
        </is>
      </c>
      <c r="S1300" s="4" t="inlineStr">
        <is>
          <t>B26</t>
        </is>
      </c>
      <c r="T1300" s="4" t="inlineStr">
        <is>
          <t>RAMP_501_1500</t>
        </is>
      </c>
      <c r="U1300" s="4" t="inlineStr">
        <is>
          <t>CREATED</t>
        </is>
      </c>
      <c r="V1300" s="4" t="inlineStr">
        <is>
          <t>idem-20260902-ios-1299</t>
        </is>
      </c>
    </row>
    <row r="1301" ht="30" customHeight="1">
      <c r="A1301" s="4" t="n">
        <v>1300</v>
      </c>
      <c r="B1301" s="4" t="inlineStr">
        <is>
          <t>MTR-IOS-1300</t>
        </is>
      </c>
      <c r="C1301" s="4" t="inlineStr">
        <is>
          <t>Personal</t>
        </is>
      </c>
      <c r="D1301" s="4" t="inlineStr">
        <is>
          <t>Personal</t>
        </is>
      </c>
      <c r="E1301" s="4" t="inlineStr">
        <is>
          <t>Relationships</t>
        </is>
      </c>
      <c r="F1301" s="4" t="inlineStr">
        <is>
          <t>Dates</t>
        </is>
      </c>
      <c r="G1301" s="4" t="inlineStr">
        <is>
          <t>Expense</t>
        </is>
      </c>
      <c r="H1301" s="12" t="n">
        <v>46135</v>
      </c>
      <c r="I1301" s="13" t="n">
        <v>0.06833333333333333</v>
      </c>
      <c r="J1301" s="14" t="n">
        <v>46135.06833333334</v>
      </c>
      <c r="K1301" s="15" t="n">
        <v>10342.35</v>
      </c>
      <c r="L1301" s="4" t="inlineStr">
        <is>
          <t>INR</t>
        </is>
      </c>
      <c r="M1301" s="15" t="n">
        <v>-10342.35</v>
      </c>
      <c r="N1301" s="4" t="inlineStr">
        <is>
          <t>IOS Owner</t>
        </is>
      </c>
      <c r="O1301" s="4" t="n"/>
      <c r="P1301" s="4" t="n"/>
      <c r="Q1301" s="4" t="inlineStr">
        <is>
          <t>MAESTRO-IOS-PERSONAL-RELATIONSHIPS-1300 | Dates | 10342.35</t>
        </is>
      </c>
      <c r="R1301" s="4" t="inlineStr">
        <is>
          <t>iPhone</t>
        </is>
      </c>
      <c r="S1301" s="4" t="inlineStr">
        <is>
          <t>B26</t>
        </is>
      </c>
      <c r="T1301" s="4" t="inlineStr">
        <is>
          <t>RAMP_501_1500</t>
        </is>
      </c>
      <c r="U1301" s="4" t="inlineStr">
        <is>
          <t>CREATED</t>
        </is>
      </c>
      <c r="V1301" s="4" t="inlineStr">
        <is>
          <t>idem-20260902-ios-1300</t>
        </is>
      </c>
    </row>
    <row r="1302" ht="30" customHeight="1">
      <c r="A1302" s="4" t="n">
        <v>1301</v>
      </c>
      <c r="B1302" s="4" t="inlineStr">
        <is>
          <t>MTR-IOS-1301</t>
        </is>
      </c>
      <c r="C1302" s="4" t="inlineStr">
        <is>
          <t>Group</t>
        </is>
      </c>
      <c r="D1302" s="4" t="inlineStr">
        <is>
          <t>Shared Purchase</t>
        </is>
      </c>
      <c r="E1302" s="4" t="inlineStr">
        <is>
          <t>Gift Pool</t>
        </is>
      </c>
      <c r="F1302" s="4" t="inlineStr">
        <is>
          <t>Other</t>
        </is>
      </c>
      <c r="G1302" s="4" t="inlineStr">
        <is>
          <t>Expense</t>
        </is>
      </c>
      <c r="H1302" s="12" t="n">
        <v>46114</v>
      </c>
      <c r="I1302" s="13" t="n">
        <v>0.4989583333333333</v>
      </c>
      <c r="J1302" s="14" t="n">
        <v>46114.49895833333</v>
      </c>
      <c r="K1302" s="15" t="n">
        <v>23599.44</v>
      </c>
      <c r="L1302" s="4" t="inlineStr">
        <is>
          <t>INR</t>
        </is>
      </c>
      <c r="M1302" s="15" t="n">
        <v>-23599.44</v>
      </c>
      <c r="N1302" s="4" t="inlineStr">
        <is>
          <t>IOS Aarav</t>
        </is>
      </c>
      <c r="O1302" s="4" t="n">
        <v>3</v>
      </c>
      <c r="P1302" s="4" t="inlineStr">
        <is>
          <t>PERCENTAGE</t>
        </is>
      </c>
      <c r="Q1302" s="4" t="inlineStr">
        <is>
          <t>MAESTRO-IOS-GROUP-GIFT_POOL-1301 | Other | 23599.44</t>
        </is>
      </c>
      <c r="R1302" s="4" t="inlineStr">
        <is>
          <t>iPhone</t>
        </is>
      </c>
      <c r="S1302" s="4" t="inlineStr">
        <is>
          <t>B27</t>
        </is>
      </c>
      <c r="T1302" s="4" t="inlineStr">
        <is>
          <t>RAMP_501_1500</t>
        </is>
      </c>
      <c r="U1302" s="4" t="inlineStr">
        <is>
          <t>CREATED</t>
        </is>
      </c>
      <c r="V1302" s="4" t="inlineStr">
        <is>
          <t>idem-20260902-ios-1301</t>
        </is>
      </c>
    </row>
    <row r="1303" ht="30" customHeight="1">
      <c r="A1303" s="4" t="n">
        <v>1302</v>
      </c>
      <c r="B1303" s="4" t="inlineStr">
        <is>
          <t>MTR-IOS-1302</t>
        </is>
      </c>
      <c r="C1303" s="4" t="inlineStr">
        <is>
          <t>Business</t>
        </is>
      </c>
      <c r="D1303" s="4" t="inlineStr">
        <is>
          <t>Business</t>
        </is>
      </c>
      <c r="E1303" s="4" t="inlineStr">
        <is>
          <t>Business Operations</t>
        </is>
      </c>
      <c r="F1303" s="4" t="inlineStr">
        <is>
          <t>Software</t>
        </is>
      </c>
      <c r="G1303" s="4" t="inlineStr">
        <is>
          <t>Expense</t>
        </is>
      </c>
      <c r="H1303" s="12" t="n">
        <v>45977</v>
      </c>
      <c r="I1303" s="13" t="n">
        <v>0.9911805555555555</v>
      </c>
      <c r="J1303" s="14" t="n">
        <v>45977.99118055555</v>
      </c>
      <c r="K1303" s="15" t="n">
        <v>150469</v>
      </c>
      <c r="L1303" s="4" t="inlineStr">
        <is>
          <t>INR</t>
        </is>
      </c>
      <c r="M1303" s="15" t="n">
        <v>-150469</v>
      </c>
      <c r="N1303" s="4" t="inlineStr">
        <is>
          <t>IOS Owner</t>
        </is>
      </c>
      <c r="O1303" s="4" t="n"/>
      <c r="P1303" s="4" t="n"/>
      <c r="Q1303" s="4" t="inlineStr">
        <is>
          <t>MAESTRO-IOS-BUSINESS-BUSINESS_OPERATIONS-1302 | Software | 150469.00</t>
        </is>
      </c>
      <c r="R1303" s="4" t="inlineStr">
        <is>
          <t>iPhone</t>
        </is>
      </c>
      <c r="S1303" s="4" t="inlineStr">
        <is>
          <t>B27</t>
        </is>
      </c>
      <c r="T1303" s="4" t="inlineStr">
        <is>
          <t>RAMP_501_1500</t>
        </is>
      </c>
      <c r="U1303" s="4" t="inlineStr">
        <is>
          <t>CREATED</t>
        </is>
      </c>
      <c r="V1303" s="4" t="inlineStr">
        <is>
          <t>idem-20260902-ios-1302</t>
        </is>
      </c>
    </row>
    <row r="1304" ht="30" customHeight="1">
      <c r="A1304" s="4" t="n">
        <v>1303</v>
      </c>
      <c r="B1304" s="4" t="inlineStr">
        <is>
          <t>MTR-IOS-1303</t>
        </is>
      </c>
      <c r="C1304" s="4" t="inlineStr">
        <is>
          <t>Personal</t>
        </is>
      </c>
      <c r="D1304" s="4" t="inlineStr">
        <is>
          <t>Personal</t>
        </is>
      </c>
      <c r="E1304" s="4" t="inlineStr">
        <is>
          <t>Relationships</t>
        </is>
      </c>
      <c r="F1304" s="4" t="inlineStr">
        <is>
          <t>Family</t>
        </is>
      </c>
      <c r="G1304" s="4" t="inlineStr">
        <is>
          <t>Expense</t>
        </is>
      </c>
      <c r="H1304" s="12" t="n">
        <v>45981</v>
      </c>
      <c r="I1304" s="13" t="n">
        <v>0.009386574074074073</v>
      </c>
      <c r="J1304" s="14" t="n">
        <v>45981.00938657407</v>
      </c>
      <c r="K1304" s="15" t="n">
        <v>16435.66</v>
      </c>
      <c r="L1304" s="4" t="inlineStr">
        <is>
          <t>INR</t>
        </is>
      </c>
      <c r="M1304" s="15" t="n">
        <v>-16435.66</v>
      </c>
      <c r="N1304" s="4" t="inlineStr">
        <is>
          <t>IOS Owner</t>
        </is>
      </c>
      <c r="O1304" s="4" t="n"/>
      <c r="P1304" s="4" t="n"/>
      <c r="Q1304" s="4" t="inlineStr">
        <is>
          <t>MAESTRO-IOS-PERSONAL-RELATIONSHIPS-1303 | Family | 16435.66</t>
        </is>
      </c>
      <c r="R1304" s="4" t="inlineStr">
        <is>
          <t>iPhone</t>
        </is>
      </c>
      <c r="S1304" s="4" t="inlineStr">
        <is>
          <t>B27</t>
        </is>
      </c>
      <c r="T1304" s="4" t="inlineStr">
        <is>
          <t>RAMP_501_1500</t>
        </is>
      </c>
      <c r="U1304" s="4" t="inlineStr">
        <is>
          <t>CREATED</t>
        </is>
      </c>
      <c r="V1304" s="4" t="inlineStr">
        <is>
          <t>idem-20260902-ios-1303</t>
        </is>
      </c>
    </row>
    <row r="1305" ht="30" customHeight="1">
      <c r="A1305" s="4" t="n">
        <v>1304</v>
      </c>
      <c r="B1305" s="4" t="inlineStr">
        <is>
          <t>MTR-IOS-1304</t>
        </is>
      </c>
      <c r="C1305" s="4" t="inlineStr">
        <is>
          <t>Group</t>
        </is>
      </c>
      <c r="D1305" s="4" t="inlineStr">
        <is>
          <t>Shared Purchase</t>
        </is>
      </c>
      <c r="E1305" s="4" t="inlineStr">
        <is>
          <t>Purchase</t>
        </is>
      </c>
      <c r="F1305" s="4" t="inlineStr">
        <is>
          <t>Item</t>
        </is>
      </c>
      <c r="G1305" s="4" t="inlineStr">
        <is>
          <t>Expense</t>
        </is>
      </c>
      <c r="H1305" s="12" t="n">
        <v>45962</v>
      </c>
      <c r="I1305" s="13" t="n">
        <v>0.1852893518518519</v>
      </c>
      <c r="J1305" s="14" t="n">
        <v>45962.18528935185</v>
      </c>
      <c r="K1305" s="15" t="n">
        <v>20879.95</v>
      </c>
      <c r="L1305" s="4" t="inlineStr">
        <is>
          <t>INR</t>
        </is>
      </c>
      <c r="M1305" s="15" t="n">
        <v>-20879.95</v>
      </c>
      <c r="N1305" s="4" t="inlineStr">
        <is>
          <t>IOS Meera</t>
        </is>
      </c>
      <c r="O1305" s="4" t="n">
        <v>3</v>
      </c>
      <c r="P1305" s="4" t="inlineStr">
        <is>
          <t>EXACT</t>
        </is>
      </c>
      <c r="Q1305" s="4" t="inlineStr">
        <is>
          <t>MAESTRO-IOS-GROUP-PURCHASE-1304 | Item | 20879.95</t>
        </is>
      </c>
      <c r="R1305" s="4" t="inlineStr">
        <is>
          <t>iPhone</t>
        </is>
      </c>
      <c r="S1305" s="4" t="inlineStr">
        <is>
          <t>B27</t>
        </is>
      </c>
      <c r="T1305" s="4" t="inlineStr">
        <is>
          <t>RAMP_501_1500</t>
        </is>
      </c>
      <c r="U1305" s="4" t="inlineStr">
        <is>
          <t>CREATED</t>
        </is>
      </c>
      <c r="V1305" s="4" t="inlineStr">
        <is>
          <t>idem-20260902-ios-1304</t>
        </is>
      </c>
    </row>
    <row r="1306" ht="30" customHeight="1">
      <c r="A1306" s="4" t="n">
        <v>1305</v>
      </c>
      <c r="B1306" s="4" t="inlineStr">
        <is>
          <t>MTR-IOS-1305</t>
        </is>
      </c>
      <c r="C1306" s="4" t="inlineStr">
        <is>
          <t>Business</t>
        </is>
      </c>
      <c r="D1306" s="4" t="inlineStr">
        <is>
          <t>Business</t>
        </is>
      </c>
      <c r="E1306" s="4" t="inlineStr">
        <is>
          <t>Business Operations</t>
        </is>
      </c>
      <c r="F1306" s="4" t="inlineStr">
        <is>
          <t>Rent</t>
        </is>
      </c>
      <c r="G1306" s="4" t="inlineStr">
        <is>
          <t>Expense</t>
        </is>
      </c>
      <c r="H1306" s="12" t="n">
        <v>46117</v>
      </c>
      <c r="I1306" s="13" t="n">
        <v>0.3167476851851852</v>
      </c>
      <c r="J1306" s="14" t="n">
        <v>46117.31674768519</v>
      </c>
      <c r="K1306" s="15" t="n">
        <v>163733.15</v>
      </c>
      <c r="L1306" s="4" t="inlineStr">
        <is>
          <t>INR</t>
        </is>
      </c>
      <c r="M1306" s="15" t="n">
        <v>-163733.15</v>
      </c>
      <c r="N1306" s="4" t="inlineStr">
        <is>
          <t>IOS Owner</t>
        </is>
      </c>
      <c r="O1306" s="4" t="n"/>
      <c r="P1306" s="4" t="n"/>
      <c r="Q1306" s="4" t="inlineStr">
        <is>
          <t>MAESTRO-IOS-BUSINESS-BUSINESS_OPERATIONS-1305 | Rent | 163733.15</t>
        </is>
      </c>
      <c r="R1306" s="4" t="inlineStr">
        <is>
          <t>iPhone</t>
        </is>
      </c>
      <c r="S1306" s="4" t="inlineStr">
        <is>
          <t>B27</t>
        </is>
      </c>
      <c r="T1306" s="4" t="inlineStr">
        <is>
          <t>RAMP_501_1500</t>
        </is>
      </c>
      <c r="U1306" s="4" t="inlineStr">
        <is>
          <t>CREATED</t>
        </is>
      </c>
      <c r="V1306" s="4" t="inlineStr">
        <is>
          <t>idem-20260902-ios-1305</t>
        </is>
      </c>
    </row>
    <row r="1307" ht="30" customHeight="1">
      <c r="A1307" s="4" t="n">
        <v>1306</v>
      </c>
      <c r="B1307" s="4" t="inlineStr">
        <is>
          <t>MTR-IOS-1306</t>
        </is>
      </c>
      <c r="C1307" s="4" t="inlineStr">
        <is>
          <t>Personal</t>
        </is>
      </c>
      <c r="D1307" s="4" t="inlineStr">
        <is>
          <t>Personal</t>
        </is>
      </c>
      <c r="E1307" s="4" t="inlineStr">
        <is>
          <t>Relationships</t>
        </is>
      </c>
      <c r="F1307" s="4" t="inlineStr">
        <is>
          <t>Friends</t>
        </is>
      </c>
      <c r="G1307" s="4" t="inlineStr">
        <is>
          <t>Expense</t>
        </is>
      </c>
      <c r="H1307" s="12" t="n">
        <v>45939</v>
      </c>
      <c r="I1307" s="13" t="n">
        <v>0.01193287037037037</v>
      </c>
      <c r="J1307" s="14" t="n">
        <v>45939.01193287037</v>
      </c>
      <c r="K1307" s="15" t="n">
        <v>412.66</v>
      </c>
      <c r="L1307" s="4" t="inlineStr">
        <is>
          <t>INR</t>
        </is>
      </c>
      <c r="M1307" s="15" t="n">
        <v>-412.66</v>
      </c>
      <c r="N1307" s="4" t="inlineStr">
        <is>
          <t>IOS Owner</t>
        </is>
      </c>
      <c r="O1307" s="4" t="n"/>
      <c r="P1307" s="4" t="n"/>
      <c r="Q1307" s="4" t="inlineStr">
        <is>
          <t>MAESTRO-IOS-PERSONAL-RELATIONSHIPS-1306 | Friends | 412.66</t>
        </is>
      </c>
      <c r="R1307" s="4" t="inlineStr">
        <is>
          <t>iPhone</t>
        </is>
      </c>
      <c r="S1307" s="4" t="inlineStr">
        <is>
          <t>B27</t>
        </is>
      </c>
      <c r="T1307" s="4" t="inlineStr">
        <is>
          <t>RAMP_501_1500</t>
        </is>
      </c>
      <c r="U1307" s="4" t="inlineStr">
        <is>
          <t>CREATED</t>
        </is>
      </c>
      <c r="V1307" s="4" t="inlineStr">
        <is>
          <t>idem-20260902-ios-1306</t>
        </is>
      </c>
    </row>
    <row r="1308" ht="30" customHeight="1">
      <c r="A1308" s="4" t="n">
        <v>1307</v>
      </c>
      <c r="B1308" s="4" t="inlineStr">
        <is>
          <t>MTR-IOS-1307</t>
        </is>
      </c>
      <c r="C1308" s="4" t="inlineStr">
        <is>
          <t>Group</t>
        </is>
      </c>
      <c r="D1308" s="4" t="inlineStr">
        <is>
          <t>Shared Purchase</t>
        </is>
      </c>
      <c r="E1308" s="4" t="inlineStr">
        <is>
          <t>Purchase</t>
        </is>
      </c>
      <c r="F1308" s="4" t="inlineStr">
        <is>
          <t>Shipping</t>
        </is>
      </c>
      <c r="G1308" s="4" t="inlineStr">
        <is>
          <t>Expense</t>
        </is>
      </c>
      <c r="H1308" s="12" t="n">
        <v>46255</v>
      </c>
      <c r="I1308" s="13" t="n">
        <v>0.3207523148148148</v>
      </c>
      <c r="J1308" s="14" t="n">
        <v>46255.32075231482</v>
      </c>
      <c r="K1308" s="15" t="n">
        <v>8425.84</v>
      </c>
      <c r="L1308" s="4" t="inlineStr">
        <is>
          <t>INR</t>
        </is>
      </c>
      <c r="M1308" s="15" t="n">
        <v>-8425.84</v>
      </c>
      <c r="N1308" s="4" t="inlineStr">
        <is>
          <t>IOS Owner</t>
        </is>
      </c>
      <c r="O1308" s="4" t="n">
        <v>3</v>
      </c>
      <c r="P1308" s="4" t="inlineStr">
        <is>
          <t>SHARES</t>
        </is>
      </c>
      <c r="Q1308" s="4" t="inlineStr">
        <is>
          <t>MAESTRO-IOS-GROUP-PURCHASE-1307 | Shipping | 8425.84</t>
        </is>
      </c>
      <c r="R1308" s="4" t="inlineStr">
        <is>
          <t>iPhone</t>
        </is>
      </c>
      <c r="S1308" s="4" t="inlineStr">
        <is>
          <t>B27</t>
        </is>
      </c>
      <c r="T1308" s="4" t="inlineStr">
        <is>
          <t>RAMP_501_1500</t>
        </is>
      </c>
      <c r="U1308" s="4" t="inlineStr">
        <is>
          <t>CREATED</t>
        </is>
      </c>
      <c r="V1308" s="4" t="inlineStr">
        <is>
          <t>idem-20260902-ios-1307</t>
        </is>
      </c>
    </row>
    <row r="1309" ht="30" customHeight="1">
      <c r="A1309" s="4" t="n">
        <v>1308</v>
      </c>
      <c r="B1309" s="4" t="inlineStr">
        <is>
          <t>MTR-IOS-1308</t>
        </is>
      </c>
      <c r="C1309" s="4" t="inlineStr">
        <is>
          <t>Business</t>
        </is>
      </c>
      <c r="D1309" s="4" t="inlineStr">
        <is>
          <t>Business</t>
        </is>
      </c>
      <c r="E1309" s="4" t="inlineStr">
        <is>
          <t>Business Operations</t>
        </is>
      </c>
      <c r="F1309" s="4" t="inlineStr">
        <is>
          <t>Marketing</t>
        </is>
      </c>
      <c r="G1309" s="4" t="inlineStr">
        <is>
          <t>Expense</t>
        </is>
      </c>
      <c r="H1309" s="12" t="n">
        <v>45984</v>
      </c>
      <c r="I1309" s="13" t="n">
        <v>0.809849537037037</v>
      </c>
      <c r="J1309" s="14" t="n">
        <v>45984.80984953704</v>
      </c>
      <c r="K1309" s="15" t="n">
        <v>144194.87</v>
      </c>
      <c r="L1309" s="4" t="inlineStr">
        <is>
          <t>INR</t>
        </is>
      </c>
      <c r="M1309" s="15" t="n">
        <v>-144194.87</v>
      </c>
      <c r="N1309" s="4" t="inlineStr">
        <is>
          <t>IOS Owner</t>
        </is>
      </c>
      <c r="O1309" s="4" t="n"/>
      <c r="P1309" s="4" t="n"/>
      <c r="Q1309" s="4" t="inlineStr">
        <is>
          <t>MAESTRO-IOS-BUSINESS-BUSINESS_OPERATIONS-1308 | Marketing | 144194.87</t>
        </is>
      </c>
      <c r="R1309" s="4" t="inlineStr">
        <is>
          <t>iPhone</t>
        </is>
      </c>
      <c r="S1309" s="4" t="inlineStr">
        <is>
          <t>B27</t>
        </is>
      </c>
      <c r="T1309" s="4" t="inlineStr">
        <is>
          <t>RAMP_501_1500</t>
        </is>
      </c>
      <c r="U1309" s="4" t="inlineStr">
        <is>
          <t>CREATED</t>
        </is>
      </c>
      <c r="V1309" s="4" t="inlineStr">
        <is>
          <t>idem-20260902-ios-1308</t>
        </is>
      </c>
    </row>
    <row r="1310" ht="30" customHeight="1">
      <c r="A1310" s="4" t="n">
        <v>1309</v>
      </c>
      <c r="B1310" s="4" t="inlineStr">
        <is>
          <t>MTR-IOS-1309</t>
        </is>
      </c>
      <c r="C1310" s="4" t="inlineStr">
        <is>
          <t>Personal</t>
        </is>
      </c>
      <c r="D1310" s="4" t="inlineStr">
        <is>
          <t>Personal</t>
        </is>
      </c>
      <c r="E1310" s="4" t="inlineStr">
        <is>
          <t>Relationships</t>
        </is>
      </c>
      <c r="F1310" s="4" t="inlineStr">
        <is>
          <t>Celebrations</t>
        </is>
      </c>
      <c r="G1310" s="4" t="inlineStr">
        <is>
          <t>Expense</t>
        </is>
      </c>
      <c r="H1310" s="12" t="n">
        <v>46048</v>
      </c>
      <c r="I1310" s="13" t="n">
        <v>0.7461689814814815</v>
      </c>
      <c r="J1310" s="14" t="n">
        <v>46048.74616898148</v>
      </c>
      <c r="K1310" s="15" t="n">
        <v>5969.97</v>
      </c>
      <c r="L1310" s="4" t="inlineStr">
        <is>
          <t>INR</t>
        </is>
      </c>
      <c r="M1310" s="15" t="n">
        <v>-5969.97</v>
      </c>
      <c r="N1310" s="4" t="inlineStr">
        <is>
          <t>IOS Owner</t>
        </is>
      </c>
      <c r="O1310" s="4" t="n"/>
      <c r="P1310" s="4" t="n"/>
      <c r="Q1310" s="4" t="inlineStr">
        <is>
          <t>MAESTRO-IOS-PERSONAL-RELATIONSHIPS-1309 | Celebrations | 5969.97</t>
        </is>
      </c>
      <c r="R1310" s="4" t="inlineStr">
        <is>
          <t>iPhone</t>
        </is>
      </c>
      <c r="S1310" s="4" t="inlineStr">
        <is>
          <t>B27</t>
        </is>
      </c>
      <c r="T1310" s="4" t="inlineStr">
        <is>
          <t>RAMP_501_1500</t>
        </is>
      </c>
      <c r="U1310" s="4" t="inlineStr">
        <is>
          <t>CREATED</t>
        </is>
      </c>
      <c r="V1310" s="4" t="inlineStr">
        <is>
          <t>idem-20260902-ios-1309</t>
        </is>
      </c>
    </row>
    <row r="1311" ht="30" customHeight="1">
      <c r="A1311" s="4" t="n">
        <v>1310</v>
      </c>
      <c r="B1311" s="4" t="inlineStr">
        <is>
          <t>MTR-IOS-1310</t>
        </is>
      </c>
      <c r="C1311" s="4" t="inlineStr">
        <is>
          <t>Group</t>
        </is>
      </c>
      <c r="D1311" s="4" t="inlineStr">
        <is>
          <t>Shared Purchase</t>
        </is>
      </c>
      <c r="E1311" s="4" t="inlineStr">
        <is>
          <t>Purchase</t>
        </is>
      </c>
      <c r="F1311" s="4" t="inlineStr">
        <is>
          <t>Tax</t>
        </is>
      </c>
      <c r="G1311" s="4" t="inlineStr">
        <is>
          <t>Expense</t>
        </is>
      </c>
      <c r="H1311" s="12" t="n">
        <v>46028</v>
      </c>
      <c r="I1311" s="13" t="n">
        <v>0.719212962962963</v>
      </c>
      <c r="J1311" s="14" t="n">
        <v>46028.71921296296</v>
      </c>
      <c r="K1311" s="15" t="n">
        <v>3151.29</v>
      </c>
      <c r="L1311" s="4" t="inlineStr">
        <is>
          <t>INR</t>
        </is>
      </c>
      <c r="M1311" s="15" t="n">
        <v>-3151.29</v>
      </c>
      <c r="N1311" s="4" t="inlineStr">
        <is>
          <t>IOS Aarav</t>
        </is>
      </c>
      <c r="O1311" s="4" t="n">
        <v>3</v>
      </c>
      <c r="P1311" s="4" t="inlineStr">
        <is>
          <t>EQUAL</t>
        </is>
      </c>
      <c r="Q1311" s="4" t="inlineStr">
        <is>
          <t>MAESTRO-IOS-GROUP-PURCHASE-1310 | Tax | 3151.29</t>
        </is>
      </c>
      <c r="R1311" s="4" t="inlineStr">
        <is>
          <t>iPhone</t>
        </is>
      </c>
      <c r="S1311" s="4" t="inlineStr">
        <is>
          <t>B27</t>
        </is>
      </c>
      <c r="T1311" s="4" t="inlineStr">
        <is>
          <t>RAMP_501_1500</t>
        </is>
      </c>
      <c r="U1311" s="4" t="inlineStr">
        <is>
          <t>CREATED</t>
        </is>
      </c>
      <c r="V1311" s="4" t="inlineStr">
        <is>
          <t>idem-20260902-ios-1310</t>
        </is>
      </c>
    </row>
    <row r="1312" ht="30" customHeight="1">
      <c r="A1312" s="4" t="n">
        <v>1311</v>
      </c>
      <c r="B1312" s="4" t="inlineStr">
        <is>
          <t>MTR-IOS-1311</t>
        </is>
      </c>
      <c r="C1312" s="4" t="inlineStr">
        <is>
          <t>Business</t>
        </is>
      </c>
      <c r="D1312" s="4" t="inlineStr">
        <is>
          <t>Business</t>
        </is>
      </c>
      <c r="E1312" s="4" t="inlineStr">
        <is>
          <t>Business Operations</t>
        </is>
      </c>
      <c r="F1312" s="4" t="inlineStr">
        <is>
          <t>Legal</t>
        </is>
      </c>
      <c r="G1312" s="4" t="inlineStr">
        <is>
          <t>Expense</t>
        </is>
      </c>
      <c r="H1312" s="12" t="n">
        <v>46266</v>
      </c>
      <c r="I1312" s="13" t="n">
        <v>0.9629861111111111</v>
      </c>
      <c r="J1312" s="14" t="n">
        <v>46266.96298611111</v>
      </c>
      <c r="K1312" s="15" t="n">
        <v>60943.37</v>
      </c>
      <c r="L1312" s="4" t="inlineStr">
        <is>
          <t>INR</t>
        </is>
      </c>
      <c r="M1312" s="15" t="n">
        <v>-60943.37</v>
      </c>
      <c r="N1312" s="4" t="inlineStr">
        <is>
          <t>IOS Owner</t>
        </is>
      </c>
      <c r="O1312" s="4" t="n"/>
      <c r="P1312" s="4" t="n"/>
      <c r="Q1312" s="4" t="inlineStr">
        <is>
          <t>MAESTRO-IOS-BUSINESS-BUSINESS_OPERATIONS-1311 | Legal | 60943.37</t>
        </is>
      </c>
      <c r="R1312" s="4" t="inlineStr">
        <is>
          <t>iPhone</t>
        </is>
      </c>
      <c r="S1312" s="4" t="inlineStr">
        <is>
          <t>B27</t>
        </is>
      </c>
      <c r="T1312" s="4" t="inlineStr">
        <is>
          <t>RAMP_501_1500</t>
        </is>
      </c>
      <c r="U1312" s="4" t="inlineStr">
        <is>
          <t>CREATED</t>
        </is>
      </c>
      <c r="V1312" s="4" t="inlineStr">
        <is>
          <t>idem-20260902-ios-1311</t>
        </is>
      </c>
    </row>
    <row r="1313" ht="30" customHeight="1">
      <c r="A1313" s="4" t="n">
        <v>1312</v>
      </c>
      <c r="B1313" s="4" t="inlineStr">
        <is>
          <t>MTR-IOS-1312</t>
        </is>
      </c>
      <c r="C1313" s="4" t="inlineStr">
        <is>
          <t>Personal</t>
        </is>
      </c>
      <c r="D1313" s="4" t="inlineStr">
        <is>
          <t>Personal</t>
        </is>
      </c>
      <c r="E1313" s="4" t="inlineStr">
        <is>
          <t>Life Operations</t>
        </is>
      </c>
      <c r="F1313" s="4" t="inlineStr">
        <is>
          <t>Groceries</t>
        </is>
      </c>
      <c r="G1313" s="4" t="inlineStr">
        <is>
          <t>Expense</t>
        </is>
      </c>
      <c r="H1313" s="12" t="n">
        <v>46153</v>
      </c>
      <c r="I1313" s="13" t="n">
        <v>0.7218518518518519</v>
      </c>
      <c r="J1313" s="14" t="n">
        <v>46153.72185185185</v>
      </c>
      <c r="K1313" s="15" t="n">
        <v>1271.08</v>
      </c>
      <c r="L1313" s="4" t="inlineStr">
        <is>
          <t>INR</t>
        </is>
      </c>
      <c r="M1313" s="15" t="n">
        <v>-1271.08</v>
      </c>
      <c r="N1313" s="4" t="inlineStr">
        <is>
          <t>IOS Owner</t>
        </is>
      </c>
      <c r="O1313" s="4" t="n"/>
      <c r="P1313" s="4" t="n"/>
      <c r="Q1313" s="4" t="inlineStr">
        <is>
          <t>MAESTRO-IOS-PERSONAL-LIFE_OPERATIONS-1312 | Groceries | 1271.08</t>
        </is>
      </c>
      <c r="R1313" s="4" t="inlineStr">
        <is>
          <t>iPhone</t>
        </is>
      </c>
      <c r="S1313" s="4" t="inlineStr">
        <is>
          <t>B27</t>
        </is>
      </c>
      <c r="T1313" s="4" t="inlineStr">
        <is>
          <t>RAMP_501_1500</t>
        </is>
      </c>
      <c r="U1313" s="4" t="inlineStr">
        <is>
          <t>CREATED</t>
        </is>
      </c>
      <c r="V1313" s="4" t="inlineStr">
        <is>
          <t>idem-20260902-ios-1312</t>
        </is>
      </c>
    </row>
    <row r="1314" ht="30" customHeight="1">
      <c r="A1314" s="4" t="n">
        <v>1313</v>
      </c>
      <c r="B1314" s="4" t="inlineStr">
        <is>
          <t>MTR-IOS-1313</t>
        </is>
      </c>
      <c r="C1314" s="4" t="inlineStr">
        <is>
          <t>Group</t>
        </is>
      </c>
      <c r="D1314" s="4" t="inlineStr">
        <is>
          <t>Shared Purchase</t>
        </is>
      </c>
      <c r="E1314" s="4" t="inlineStr">
        <is>
          <t>Purchase</t>
        </is>
      </c>
      <c r="F1314" s="4" t="inlineStr">
        <is>
          <t>Other</t>
        </is>
      </c>
      <c r="G1314" s="4" t="inlineStr">
        <is>
          <t>Expense</t>
        </is>
      </c>
      <c r="H1314" s="12" t="n">
        <v>45908</v>
      </c>
      <c r="I1314" s="13" t="n">
        <v>0.4841319444444445</v>
      </c>
      <c r="J1314" s="14" t="n">
        <v>45908.48413194445</v>
      </c>
      <c r="K1314" s="15" t="n">
        <v>14275.9</v>
      </c>
      <c r="L1314" s="4" t="inlineStr">
        <is>
          <t>INR</t>
        </is>
      </c>
      <c r="M1314" s="15" t="n">
        <v>-14275.9</v>
      </c>
      <c r="N1314" s="4" t="inlineStr">
        <is>
          <t>IOS Meera</t>
        </is>
      </c>
      <c r="O1314" s="4" t="n">
        <v>3</v>
      </c>
      <c r="P1314" s="4" t="inlineStr">
        <is>
          <t>PERCENTAGE</t>
        </is>
      </c>
      <c r="Q1314" s="4" t="inlineStr">
        <is>
          <t>MAESTRO-IOS-GROUP-PURCHASE-1313 | Other | 14275.90</t>
        </is>
      </c>
      <c r="R1314" s="4" t="inlineStr">
        <is>
          <t>iPhone</t>
        </is>
      </c>
      <c r="S1314" s="4" t="inlineStr">
        <is>
          <t>B27</t>
        </is>
      </c>
      <c r="T1314" s="4" t="inlineStr">
        <is>
          <t>RAMP_501_1500</t>
        </is>
      </c>
      <c r="U1314" s="4" t="inlineStr">
        <is>
          <t>CREATED</t>
        </is>
      </c>
      <c r="V1314" s="4" t="inlineStr">
        <is>
          <t>idem-20260902-ios-1313</t>
        </is>
      </c>
    </row>
    <row r="1315" ht="30" customHeight="1">
      <c r="A1315" s="4" t="n">
        <v>1314</v>
      </c>
      <c r="B1315" s="4" t="inlineStr">
        <is>
          <t>MTR-IOS-1314</t>
        </is>
      </c>
      <c r="C1315" s="4" t="inlineStr">
        <is>
          <t>Business</t>
        </is>
      </c>
      <c r="D1315" s="4" t="inlineStr">
        <is>
          <t>Business</t>
        </is>
      </c>
      <c r="E1315" s="4" t="inlineStr">
        <is>
          <t>Business Operations</t>
        </is>
      </c>
      <c r="F1315" s="4" t="inlineStr">
        <is>
          <t>Accounting</t>
        </is>
      </c>
      <c r="G1315" s="4" t="inlineStr">
        <is>
          <t>Expense</t>
        </is>
      </c>
      <c r="H1315" s="12" t="n">
        <v>46123</v>
      </c>
      <c r="I1315" s="13" t="n">
        <v>0.4380671296296296</v>
      </c>
      <c r="J1315" s="14" t="n">
        <v>46123.43806712963</v>
      </c>
      <c r="K1315" s="15" t="n">
        <v>32193.7</v>
      </c>
      <c r="L1315" s="4" t="inlineStr">
        <is>
          <t>INR</t>
        </is>
      </c>
      <c r="M1315" s="15" t="n">
        <v>-32193.7</v>
      </c>
      <c r="N1315" s="4" t="inlineStr">
        <is>
          <t>IOS Owner</t>
        </is>
      </c>
      <c r="O1315" s="4" t="n"/>
      <c r="P1315" s="4" t="n"/>
      <c r="Q1315" s="4" t="inlineStr">
        <is>
          <t>MAESTRO-IOS-BUSINESS-BUSINESS_OPERATIONS-1314 | Accounting | 32193.70</t>
        </is>
      </c>
      <c r="R1315" s="4" t="inlineStr">
        <is>
          <t>iPhone</t>
        </is>
      </c>
      <c r="S1315" s="4" t="inlineStr">
        <is>
          <t>B27</t>
        </is>
      </c>
      <c r="T1315" s="4" t="inlineStr">
        <is>
          <t>RAMP_501_1500</t>
        </is>
      </c>
      <c r="U1315" s="4" t="inlineStr">
        <is>
          <t>CREATED</t>
        </is>
      </c>
      <c r="V1315" s="4" t="inlineStr">
        <is>
          <t>idem-20260902-ios-1314</t>
        </is>
      </c>
    </row>
    <row r="1316" ht="30" customHeight="1">
      <c r="A1316" s="4" t="n">
        <v>1315</v>
      </c>
      <c r="B1316" s="4" t="inlineStr">
        <is>
          <t>MTR-IOS-1315</t>
        </is>
      </c>
      <c r="C1316" s="4" t="inlineStr">
        <is>
          <t>Personal</t>
        </is>
      </c>
      <c r="D1316" s="4" t="inlineStr">
        <is>
          <t>Personal</t>
        </is>
      </c>
      <c r="E1316" s="4" t="inlineStr">
        <is>
          <t>Life Operations</t>
        </is>
      </c>
      <c r="F1316" s="4" t="inlineStr">
        <is>
          <t>Rent</t>
        </is>
      </c>
      <c r="G1316" s="4" t="inlineStr">
        <is>
          <t>Expense</t>
        </is>
      </c>
      <c r="H1316" s="12" t="n">
        <v>46152</v>
      </c>
      <c r="I1316" s="13" t="n">
        <v>0.2624537037037037</v>
      </c>
      <c r="J1316" s="14" t="n">
        <v>46152.2624537037</v>
      </c>
      <c r="K1316" s="15" t="n">
        <v>12766.64</v>
      </c>
      <c r="L1316" s="4" t="inlineStr">
        <is>
          <t>INR</t>
        </is>
      </c>
      <c r="M1316" s="15" t="n">
        <v>-12766.64</v>
      </c>
      <c r="N1316" s="4" t="inlineStr">
        <is>
          <t>IOS Owner</t>
        </is>
      </c>
      <c r="O1316" s="4" t="n"/>
      <c r="P1316" s="4" t="n"/>
      <c r="Q1316" s="4" t="inlineStr">
        <is>
          <t>MAESTRO-IOS-PERSONAL-LIFE_OPERATIONS-1315 | Rent | 12766.64</t>
        </is>
      </c>
      <c r="R1316" s="4" t="inlineStr">
        <is>
          <t>iPhone</t>
        </is>
      </c>
      <c r="S1316" s="4" t="inlineStr">
        <is>
          <t>B27</t>
        </is>
      </c>
      <c r="T1316" s="4" t="inlineStr">
        <is>
          <t>RAMP_501_1500</t>
        </is>
      </c>
      <c r="U1316" s="4" t="inlineStr">
        <is>
          <t>CREATED</t>
        </is>
      </c>
      <c r="V1316" s="4" t="inlineStr">
        <is>
          <t>idem-20260902-ios-1315</t>
        </is>
      </c>
    </row>
    <row r="1317" ht="30" customHeight="1">
      <c r="A1317" s="4" t="n">
        <v>1316</v>
      </c>
      <c r="B1317" s="4" t="inlineStr">
        <is>
          <t>MTR-IOS-1316</t>
        </is>
      </c>
      <c r="C1317" s="4" t="inlineStr">
        <is>
          <t>Group</t>
        </is>
      </c>
      <c r="D1317" s="4" t="inlineStr">
        <is>
          <t>Shared Purchase</t>
        </is>
      </c>
      <c r="E1317" s="4" t="inlineStr">
        <is>
          <t>Assets</t>
        </is>
      </c>
      <c r="F1317" s="4" t="inlineStr">
        <is>
          <t>Purchase</t>
        </is>
      </c>
      <c r="G1317" s="4" t="inlineStr">
        <is>
          <t>Expense</t>
        </is>
      </c>
      <c r="H1317" s="12" t="n">
        <v>45986</v>
      </c>
      <c r="I1317" s="13" t="n">
        <v>0.693113425925926</v>
      </c>
      <c r="J1317" s="14" t="n">
        <v>45986.69311342593</v>
      </c>
      <c r="K1317" s="15" t="n">
        <v>9786.200000000001</v>
      </c>
      <c r="L1317" s="4" t="inlineStr">
        <is>
          <t>INR</t>
        </is>
      </c>
      <c r="M1317" s="15" t="n">
        <v>-9786.200000000001</v>
      </c>
      <c r="N1317" s="4" t="inlineStr">
        <is>
          <t>IOS Owner</t>
        </is>
      </c>
      <c r="O1317" s="4" t="n">
        <v>3</v>
      </c>
      <c r="P1317" s="4" t="inlineStr">
        <is>
          <t>EXACT</t>
        </is>
      </c>
      <c r="Q1317" s="4" t="inlineStr">
        <is>
          <t>MAESTRO-IOS-GROUP-ASSETS-1316 | Purchase | 9786.20</t>
        </is>
      </c>
      <c r="R1317" s="4" t="inlineStr">
        <is>
          <t>iPhone</t>
        </is>
      </c>
      <c r="S1317" s="4" t="inlineStr">
        <is>
          <t>B27</t>
        </is>
      </c>
      <c r="T1317" s="4" t="inlineStr">
        <is>
          <t>RAMP_501_1500</t>
        </is>
      </c>
      <c r="U1317" s="4" t="inlineStr">
        <is>
          <t>CREATED</t>
        </is>
      </c>
      <c r="V1317" s="4" t="inlineStr">
        <is>
          <t>idem-20260902-ios-1316</t>
        </is>
      </c>
    </row>
    <row r="1318" ht="30" customHeight="1">
      <c r="A1318" s="4" t="n">
        <v>1317</v>
      </c>
      <c r="B1318" s="4" t="inlineStr">
        <is>
          <t>MTR-IOS-1317</t>
        </is>
      </c>
      <c r="C1318" s="4" t="inlineStr">
        <is>
          <t>Business</t>
        </is>
      </c>
      <c r="D1318" s="4" t="inlineStr">
        <is>
          <t>Business</t>
        </is>
      </c>
      <c r="E1318" s="4" t="inlineStr">
        <is>
          <t>Business Operations</t>
        </is>
      </c>
      <c r="F1318" s="4" t="inlineStr">
        <is>
          <t>Equipment</t>
        </is>
      </c>
      <c r="G1318" s="4" t="inlineStr">
        <is>
          <t>Expense</t>
        </is>
      </c>
      <c r="H1318" s="12" t="n">
        <v>45986</v>
      </c>
      <c r="I1318" s="13" t="n">
        <v>0.2848148148148148</v>
      </c>
      <c r="J1318" s="14" t="n">
        <v>45986.28481481481</v>
      </c>
      <c r="K1318" s="15" t="n">
        <v>73061.16</v>
      </c>
      <c r="L1318" s="4" t="inlineStr">
        <is>
          <t>INR</t>
        </is>
      </c>
      <c r="M1318" s="15" t="n">
        <v>-73061.16</v>
      </c>
      <c r="N1318" s="4" t="inlineStr">
        <is>
          <t>IOS Owner</t>
        </is>
      </c>
      <c r="O1318" s="4" t="n"/>
      <c r="P1318" s="4" t="n"/>
      <c r="Q1318" s="4" t="inlineStr">
        <is>
          <t>MAESTRO-IOS-BUSINESS-BUSINESS_OPERATIONS-1317 | Equipment | 73061.16</t>
        </is>
      </c>
      <c r="R1318" s="4" t="inlineStr">
        <is>
          <t>iPhone</t>
        </is>
      </c>
      <c r="S1318" s="4" t="inlineStr">
        <is>
          <t>B27</t>
        </is>
      </c>
      <c r="T1318" s="4" t="inlineStr">
        <is>
          <t>RAMP_501_1500</t>
        </is>
      </c>
      <c r="U1318" s="4" t="inlineStr">
        <is>
          <t>CREATED</t>
        </is>
      </c>
      <c r="V1318" s="4" t="inlineStr">
        <is>
          <t>idem-20260902-ios-1317</t>
        </is>
      </c>
    </row>
    <row r="1319" ht="30" customHeight="1">
      <c r="A1319" s="4" t="n">
        <v>1318</v>
      </c>
      <c r="B1319" s="4" t="inlineStr">
        <is>
          <t>MTR-IOS-1318</t>
        </is>
      </c>
      <c r="C1319" s="4" t="inlineStr">
        <is>
          <t>Personal</t>
        </is>
      </c>
      <c r="D1319" s="4" t="inlineStr">
        <is>
          <t>Personal</t>
        </is>
      </c>
      <c r="E1319" s="4" t="inlineStr">
        <is>
          <t>Life Operations</t>
        </is>
      </c>
      <c r="F1319" s="4" t="inlineStr">
        <is>
          <t>Bills</t>
        </is>
      </c>
      <c r="G1319" s="4" t="inlineStr">
        <is>
          <t>Expense</t>
        </is>
      </c>
      <c r="H1319" s="12" t="n">
        <v>45959</v>
      </c>
      <c r="I1319" s="13" t="n">
        <v>0.5109837962962963</v>
      </c>
      <c r="J1319" s="14" t="n">
        <v>45959.5109837963</v>
      </c>
      <c r="K1319" s="15" t="n">
        <v>2367.76</v>
      </c>
      <c r="L1319" s="4" t="inlineStr">
        <is>
          <t>INR</t>
        </is>
      </c>
      <c r="M1319" s="15" t="n">
        <v>-2367.76</v>
      </c>
      <c r="N1319" s="4" t="inlineStr">
        <is>
          <t>IOS Owner</t>
        </is>
      </c>
      <c r="O1319" s="4" t="n"/>
      <c r="P1319" s="4" t="n"/>
      <c r="Q1319" s="4" t="inlineStr">
        <is>
          <t>MAESTRO-IOS-PERSONAL-LIFE_OPERATIONS-1318 | Bills | 2367.76</t>
        </is>
      </c>
      <c r="R1319" s="4" t="inlineStr">
        <is>
          <t>iPhone</t>
        </is>
      </c>
      <c r="S1319" s="4" t="inlineStr">
        <is>
          <t>B27</t>
        </is>
      </c>
      <c r="T1319" s="4" t="inlineStr">
        <is>
          <t>RAMP_501_1500</t>
        </is>
      </c>
      <c r="U1319" s="4" t="inlineStr">
        <is>
          <t>CREATED</t>
        </is>
      </c>
      <c r="V1319" s="4" t="inlineStr">
        <is>
          <t>idem-20260902-ios-1318</t>
        </is>
      </c>
    </row>
    <row r="1320" ht="30" customHeight="1">
      <c r="A1320" s="4" t="n">
        <v>1319</v>
      </c>
      <c r="B1320" s="4" t="inlineStr">
        <is>
          <t>MTR-IOS-1319</t>
        </is>
      </c>
      <c r="C1320" s="4" t="inlineStr">
        <is>
          <t>Group</t>
        </is>
      </c>
      <c r="D1320" s="4" t="inlineStr">
        <is>
          <t>Shared Purchase</t>
        </is>
      </c>
      <c r="E1320" s="4" t="inlineStr">
        <is>
          <t>Assets</t>
        </is>
      </c>
      <c r="F1320" s="4" t="inlineStr">
        <is>
          <t>Maintenance</t>
        </is>
      </c>
      <c r="G1320" s="4" t="inlineStr">
        <is>
          <t>Expense</t>
        </is>
      </c>
      <c r="H1320" s="12" t="n">
        <v>46258</v>
      </c>
      <c r="I1320" s="13" t="n">
        <v>0.5</v>
      </c>
      <c r="J1320" s="14" t="n">
        <v>46258.5</v>
      </c>
      <c r="K1320" s="15" t="n">
        <v>9360.780000000001</v>
      </c>
      <c r="L1320" s="4" t="inlineStr">
        <is>
          <t>INR</t>
        </is>
      </c>
      <c r="M1320" s="15" t="n">
        <v>-9360.780000000001</v>
      </c>
      <c r="N1320" s="4" t="inlineStr">
        <is>
          <t>IOS Aarav</t>
        </is>
      </c>
      <c r="O1320" s="4" t="n">
        <v>3</v>
      </c>
      <c r="P1320" s="4" t="inlineStr">
        <is>
          <t>SHARES</t>
        </is>
      </c>
      <c r="Q1320" s="4" t="inlineStr">
        <is>
          <t>MAESTRO-IOS-GROUP-ASSETS-1319 | Maintenance | 9360.78</t>
        </is>
      </c>
      <c r="R1320" s="4" t="inlineStr">
        <is>
          <t>iPhone</t>
        </is>
      </c>
      <c r="S1320" s="4" t="inlineStr">
        <is>
          <t>B27</t>
        </is>
      </c>
      <c r="T1320" s="4" t="inlineStr">
        <is>
          <t>RAMP_501_1500</t>
        </is>
      </c>
      <c r="U1320" s="4" t="inlineStr">
        <is>
          <t>CREATED</t>
        </is>
      </c>
      <c r="V1320" s="4" t="inlineStr">
        <is>
          <t>idem-20260902-ios-1319</t>
        </is>
      </c>
    </row>
    <row r="1321" ht="30" customHeight="1">
      <c r="A1321" s="4" t="n">
        <v>1320</v>
      </c>
      <c r="B1321" s="4" t="inlineStr">
        <is>
          <t>MTR-IOS-1320</t>
        </is>
      </c>
      <c r="C1321" s="4" t="inlineStr">
        <is>
          <t>Business</t>
        </is>
      </c>
      <c r="D1321" s="4" t="inlineStr">
        <is>
          <t>Business</t>
        </is>
      </c>
      <c r="E1321" s="4" t="inlineStr">
        <is>
          <t>Business Operations</t>
        </is>
      </c>
      <c r="F1321" s="4" t="inlineStr">
        <is>
          <t>Vendor</t>
        </is>
      </c>
      <c r="G1321" s="4" t="inlineStr">
        <is>
          <t>Expense</t>
        </is>
      </c>
      <c r="H1321" s="12" t="n">
        <v>46209</v>
      </c>
      <c r="I1321" s="13" t="n">
        <v>0.3519097222222222</v>
      </c>
      <c r="J1321" s="14" t="n">
        <v>46209.35190972222</v>
      </c>
      <c r="K1321" s="15" t="n">
        <v>136180.09</v>
      </c>
      <c r="L1321" s="4" t="inlineStr">
        <is>
          <t>INR</t>
        </is>
      </c>
      <c r="M1321" s="15" t="n">
        <v>-136180.09</v>
      </c>
      <c r="N1321" s="4" t="inlineStr">
        <is>
          <t>IOS Owner</t>
        </is>
      </c>
      <c r="O1321" s="4" t="n"/>
      <c r="P1321" s="4" t="n"/>
      <c r="Q1321" s="4" t="inlineStr">
        <is>
          <t>MAESTRO-IOS-BUSINESS-BUSINESS_OPERATIONS-1320 | Vendor | 136180.09</t>
        </is>
      </c>
      <c r="R1321" s="4" t="inlineStr">
        <is>
          <t>iPhone</t>
        </is>
      </c>
      <c r="S1321" s="4" t="inlineStr">
        <is>
          <t>B27</t>
        </is>
      </c>
      <c r="T1321" s="4" t="inlineStr">
        <is>
          <t>RAMP_501_1500</t>
        </is>
      </c>
      <c r="U1321" s="4" t="inlineStr">
        <is>
          <t>CREATED</t>
        </is>
      </c>
      <c r="V1321" s="4" t="inlineStr">
        <is>
          <t>idem-20260902-ios-1320</t>
        </is>
      </c>
    </row>
    <row r="1322" ht="30" customHeight="1">
      <c r="A1322" s="4" t="n">
        <v>1321</v>
      </c>
      <c r="B1322" s="4" t="inlineStr">
        <is>
          <t>MTR-IOS-1321</t>
        </is>
      </c>
      <c r="C1322" s="4" t="inlineStr">
        <is>
          <t>Personal</t>
        </is>
      </c>
      <c r="D1322" s="4" t="inlineStr">
        <is>
          <t>Personal</t>
        </is>
      </c>
      <c r="E1322" s="4" t="inlineStr">
        <is>
          <t>Life Operations</t>
        </is>
      </c>
      <c r="F1322" s="4" t="inlineStr">
        <is>
          <t>Transport</t>
        </is>
      </c>
      <c r="G1322" s="4" t="inlineStr">
        <is>
          <t>Expense</t>
        </is>
      </c>
      <c r="H1322" s="12" t="n">
        <v>46193</v>
      </c>
      <c r="I1322" s="13" t="n">
        <v>0.9071527777777778</v>
      </c>
      <c r="J1322" s="14" t="n">
        <v>46193.90715277778</v>
      </c>
      <c r="K1322" s="15" t="n">
        <v>7262.03</v>
      </c>
      <c r="L1322" s="4" t="inlineStr">
        <is>
          <t>INR</t>
        </is>
      </c>
      <c r="M1322" s="15" t="n">
        <v>-7262.03</v>
      </c>
      <c r="N1322" s="4" t="inlineStr">
        <is>
          <t>IOS Owner</t>
        </is>
      </c>
      <c r="O1322" s="4" t="n"/>
      <c r="P1322" s="4" t="n"/>
      <c r="Q1322" s="4" t="inlineStr">
        <is>
          <t>MAESTRO-IOS-PERSONAL-LIFE_OPERATIONS-1321 | Transport | 7262.03</t>
        </is>
      </c>
      <c r="R1322" s="4" t="inlineStr">
        <is>
          <t>iPhone</t>
        </is>
      </c>
      <c r="S1322" s="4" t="inlineStr">
        <is>
          <t>B27</t>
        </is>
      </c>
      <c r="T1322" s="4" t="inlineStr">
        <is>
          <t>RAMP_501_1500</t>
        </is>
      </c>
      <c r="U1322" s="4" t="inlineStr">
        <is>
          <t>CREATED</t>
        </is>
      </c>
      <c r="V1322" s="4" t="inlineStr">
        <is>
          <t>idem-20260902-ios-1321</t>
        </is>
      </c>
    </row>
    <row r="1323" ht="30" customHeight="1">
      <c r="A1323" s="4" t="n">
        <v>1322</v>
      </c>
      <c r="B1323" s="4" t="inlineStr">
        <is>
          <t>MTR-IOS-1322</t>
        </is>
      </c>
      <c r="C1323" s="4" t="inlineStr">
        <is>
          <t>Group</t>
        </is>
      </c>
      <c r="D1323" s="4" t="inlineStr">
        <is>
          <t>Shared Purchase</t>
        </is>
      </c>
      <c r="E1323" s="4" t="inlineStr">
        <is>
          <t>Assets</t>
        </is>
      </c>
      <c r="F1323" s="4" t="inlineStr">
        <is>
          <t>Repair</t>
        </is>
      </c>
      <c r="G1323" s="4" t="inlineStr">
        <is>
          <t>Expense</t>
        </is>
      </c>
      <c r="H1323" s="12" t="n">
        <v>46070</v>
      </c>
      <c r="I1323" s="13" t="n">
        <v>0.5254861111111111</v>
      </c>
      <c r="J1323" s="14" t="n">
        <v>46070.52548611111</v>
      </c>
      <c r="K1323" s="15" t="n">
        <v>20493.82</v>
      </c>
      <c r="L1323" s="4" t="inlineStr">
        <is>
          <t>INR</t>
        </is>
      </c>
      <c r="M1323" s="15" t="n">
        <v>-20493.82</v>
      </c>
      <c r="N1323" s="4" t="inlineStr">
        <is>
          <t>IOS Meera</t>
        </is>
      </c>
      <c r="O1323" s="4" t="n">
        <v>3</v>
      </c>
      <c r="P1323" s="4" t="inlineStr">
        <is>
          <t>EQUAL</t>
        </is>
      </c>
      <c r="Q1323" s="4" t="inlineStr">
        <is>
          <t>MAESTRO-IOS-GROUP-ASSETS-1322 | Repair | 20493.82</t>
        </is>
      </c>
      <c r="R1323" s="4" t="inlineStr">
        <is>
          <t>iPhone</t>
        </is>
      </c>
      <c r="S1323" s="4" t="inlineStr">
        <is>
          <t>B27</t>
        </is>
      </c>
      <c r="T1323" s="4" t="inlineStr">
        <is>
          <t>RAMP_501_1500</t>
        </is>
      </c>
      <c r="U1323" s="4" t="inlineStr">
        <is>
          <t>CREATED</t>
        </is>
      </c>
      <c r="V1323" s="4" t="inlineStr">
        <is>
          <t>idem-20260902-ios-1322</t>
        </is>
      </c>
    </row>
    <row r="1324" ht="30" customHeight="1">
      <c r="A1324" s="4" t="n">
        <v>1323</v>
      </c>
      <c r="B1324" s="4" t="inlineStr">
        <is>
          <t>MTR-IOS-1323</t>
        </is>
      </c>
      <c r="C1324" s="4" t="inlineStr">
        <is>
          <t>Business</t>
        </is>
      </c>
      <c r="D1324" s="4" t="inlineStr">
        <is>
          <t>Business</t>
        </is>
      </c>
      <c r="E1324" s="4" t="inlineStr">
        <is>
          <t>Business Operations</t>
        </is>
      </c>
      <c r="F1324" s="4" t="inlineStr">
        <is>
          <t>Tax</t>
        </is>
      </c>
      <c r="G1324" s="4" t="inlineStr">
        <is>
          <t>Expense</t>
        </is>
      </c>
      <c r="H1324" s="12" t="n">
        <v>46071</v>
      </c>
      <c r="I1324" s="13" t="n">
        <v>0.5169560185185185</v>
      </c>
      <c r="J1324" s="14" t="n">
        <v>46071.51695601852</v>
      </c>
      <c r="K1324" s="15" t="n">
        <v>74648.66</v>
      </c>
      <c r="L1324" s="4" t="inlineStr">
        <is>
          <t>INR</t>
        </is>
      </c>
      <c r="M1324" s="15" t="n">
        <v>-74648.66</v>
      </c>
      <c r="N1324" s="4" t="inlineStr">
        <is>
          <t>IOS Owner</t>
        </is>
      </c>
      <c r="O1324" s="4" t="n"/>
      <c r="P1324" s="4" t="n"/>
      <c r="Q1324" s="4" t="inlineStr">
        <is>
          <t>MAESTRO-IOS-BUSINESS-BUSINESS_OPERATIONS-1323 | Tax | 74648.66</t>
        </is>
      </c>
      <c r="R1324" s="4" t="inlineStr">
        <is>
          <t>iPhone</t>
        </is>
      </c>
      <c r="S1324" s="4" t="inlineStr">
        <is>
          <t>B27</t>
        </is>
      </c>
      <c r="T1324" s="4" t="inlineStr">
        <is>
          <t>RAMP_501_1500</t>
        </is>
      </c>
      <c r="U1324" s="4" t="inlineStr">
        <is>
          <t>CREATED</t>
        </is>
      </c>
      <c r="V1324" s="4" t="inlineStr">
        <is>
          <t>idem-20260902-ios-1323</t>
        </is>
      </c>
    </row>
    <row r="1325" ht="30" customHeight="1">
      <c r="A1325" s="4" t="n">
        <v>1324</v>
      </c>
      <c r="B1325" s="4" t="inlineStr">
        <is>
          <t>MTR-IOS-1324</t>
        </is>
      </c>
      <c r="C1325" s="4" t="inlineStr">
        <is>
          <t>Personal</t>
        </is>
      </c>
      <c r="D1325" s="4" t="inlineStr">
        <is>
          <t>Personal</t>
        </is>
      </c>
      <c r="E1325" s="4" t="inlineStr">
        <is>
          <t>Life Operations</t>
        </is>
      </c>
      <c r="F1325" s="4" t="inlineStr">
        <is>
          <t>Healthcare</t>
        </is>
      </c>
      <c r="G1325" s="4" t="inlineStr">
        <is>
          <t>Expense</t>
        </is>
      </c>
      <c r="H1325" s="12" t="n">
        <v>46185</v>
      </c>
      <c r="I1325" s="13" t="n">
        <v>0.498599537037037</v>
      </c>
      <c r="J1325" s="14" t="n">
        <v>46185.49859953704</v>
      </c>
      <c r="K1325" s="15" t="n">
        <v>6304.52</v>
      </c>
      <c r="L1325" s="4" t="inlineStr">
        <is>
          <t>INR</t>
        </is>
      </c>
      <c r="M1325" s="15" t="n">
        <v>-6304.52</v>
      </c>
      <c r="N1325" s="4" t="inlineStr">
        <is>
          <t>IOS Owner</t>
        </is>
      </c>
      <c r="O1325" s="4" t="n"/>
      <c r="P1325" s="4" t="n"/>
      <c r="Q1325" s="4" t="inlineStr">
        <is>
          <t>MAESTRO-IOS-PERSONAL-LIFE_OPERATIONS-1324 | Healthcare | 6304.52</t>
        </is>
      </c>
      <c r="R1325" s="4" t="inlineStr">
        <is>
          <t>iPhone</t>
        </is>
      </c>
      <c r="S1325" s="4" t="inlineStr">
        <is>
          <t>B27</t>
        </is>
      </c>
      <c r="T1325" s="4" t="inlineStr">
        <is>
          <t>RAMP_501_1500</t>
        </is>
      </c>
      <c r="U1325" s="4" t="inlineStr">
        <is>
          <t>CREATED</t>
        </is>
      </c>
      <c r="V1325" s="4" t="inlineStr">
        <is>
          <t>idem-20260902-ios-1324</t>
        </is>
      </c>
    </row>
    <row r="1326" ht="30" customHeight="1">
      <c r="A1326" s="4" t="n">
        <v>1325</v>
      </c>
      <c r="B1326" s="4" t="inlineStr">
        <is>
          <t>MTR-IOS-1325</t>
        </is>
      </c>
      <c r="C1326" s="4" t="inlineStr">
        <is>
          <t>Group</t>
        </is>
      </c>
      <c r="D1326" s="4" t="inlineStr">
        <is>
          <t>Shared Purchase</t>
        </is>
      </c>
      <c r="E1326" s="4" t="inlineStr">
        <is>
          <t>Assets</t>
        </is>
      </c>
      <c r="F1326" s="4" t="inlineStr">
        <is>
          <t>Insurance</t>
        </is>
      </c>
      <c r="G1326" s="4" t="inlineStr">
        <is>
          <t>Expense</t>
        </is>
      </c>
      <c r="H1326" s="12" t="n">
        <v>46086</v>
      </c>
      <c r="I1326" s="13" t="n">
        <v>0.9824768518518519</v>
      </c>
      <c r="J1326" s="14" t="n">
        <v>46086.98247685185</v>
      </c>
      <c r="K1326" s="15" t="n">
        <v>20239.06</v>
      </c>
      <c r="L1326" s="4" t="inlineStr">
        <is>
          <t>INR</t>
        </is>
      </c>
      <c r="M1326" s="15" t="n">
        <v>-20239.06</v>
      </c>
      <c r="N1326" s="4" t="inlineStr">
        <is>
          <t>IOS Owner</t>
        </is>
      </c>
      <c r="O1326" s="4" t="n">
        <v>3</v>
      </c>
      <c r="P1326" s="4" t="inlineStr">
        <is>
          <t>PERCENTAGE</t>
        </is>
      </c>
      <c r="Q1326" s="4" t="inlineStr">
        <is>
          <t>MAESTRO-IOS-GROUP-ASSETS-1325 | Insurance | 20239.06</t>
        </is>
      </c>
      <c r="R1326" s="4" t="inlineStr">
        <is>
          <t>iPhone</t>
        </is>
      </c>
      <c r="S1326" s="4" t="inlineStr">
        <is>
          <t>B27</t>
        </is>
      </c>
      <c r="T1326" s="4" t="inlineStr">
        <is>
          <t>RAMP_501_1500</t>
        </is>
      </c>
      <c r="U1326" s="4" t="inlineStr">
        <is>
          <t>CREATED</t>
        </is>
      </c>
      <c r="V1326" s="4" t="inlineStr">
        <is>
          <t>idem-20260902-ios-1325</t>
        </is>
      </c>
    </row>
    <row r="1327" ht="30" customHeight="1">
      <c r="A1327" s="4" t="n">
        <v>1326</v>
      </c>
      <c r="B1327" s="4" t="inlineStr">
        <is>
          <t>MTR-IOS-1326</t>
        </is>
      </c>
      <c r="C1327" s="4" t="inlineStr">
        <is>
          <t>Business</t>
        </is>
      </c>
      <c r="D1327" s="4" t="inlineStr">
        <is>
          <t>Business</t>
        </is>
      </c>
      <c r="E1327" s="4" t="inlineStr">
        <is>
          <t>Team Operations</t>
        </is>
      </c>
      <c r="F1327" s="4" t="inlineStr">
        <is>
          <t>Payroll</t>
        </is>
      </c>
      <c r="G1327" s="4" t="inlineStr">
        <is>
          <t>Expense</t>
        </is>
      </c>
      <c r="H1327" s="12" t="n">
        <v>45996</v>
      </c>
      <c r="I1327" s="13" t="n">
        <v>0.4396759259259259</v>
      </c>
      <c r="J1327" s="14" t="n">
        <v>45996.43967592593</v>
      </c>
      <c r="K1327" s="15" t="n">
        <v>19883.7</v>
      </c>
      <c r="L1327" s="4" t="inlineStr">
        <is>
          <t>INR</t>
        </is>
      </c>
      <c r="M1327" s="15" t="n">
        <v>-19883.7</v>
      </c>
      <c r="N1327" s="4" t="inlineStr">
        <is>
          <t>IOS Owner</t>
        </is>
      </c>
      <c r="O1327" s="4" t="n"/>
      <c r="P1327" s="4" t="n"/>
      <c r="Q1327" s="4" t="inlineStr">
        <is>
          <t>MAESTRO-IOS-BUSINESS-TEAM_OPERATIONS-1326 | Payroll | 19883.70</t>
        </is>
      </c>
      <c r="R1327" s="4" t="inlineStr">
        <is>
          <t>iPhone</t>
        </is>
      </c>
      <c r="S1327" s="4" t="inlineStr">
        <is>
          <t>B27</t>
        </is>
      </c>
      <c r="T1327" s="4" t="inlineStr">
        <is>
          <t>RAMP_501_1500</t>
        </is>
      </c>
      <c r="U1327" s="4" t="inlineStr">
        <is>
          <t>CREATED</t>
        </is>
      </c>
      <c r="V1327" s="4" t="inlineStr">
        <is>
          <t>idem-20260902-ios-1326</t>
        </is>
      </c>
    </row>
    <row r="1328" ht="30" customHeight="1">
      <c r="A1328" s="4" t="n">
        <v>1327</v>
      </c>
      <c r="B1328" s="4" t="inlineStr">
        <is>
          <t>MTR-IOS-1327</t>
        </is>
      </c>
      <c r="C1328" s="4" t="inlineStr">
        <is>
          <t>Personal</t>
        </is>
      </c>
      <c r="D1328" s="4" t="inlineStr">
        <is>
          <t>Personal</t>
        </is>
      </c>
      <c r="E1328" s="4" t="inlineStr">
        <is>
          <t>Life Operations</t>
        </is>
      </c>
      <c r="F1328" s="4" t="inlineStr">
        <is>
          <t>Subscriptions</t>
        </is>
      </c>
      <c r="G1328" s="4" t="inlineStr">
        <is>
          <t>Expense</t>
        </is>
      </c>
      <c r="H1328" s="12" t="n">
        <v>46148</v>
      </c>
      <c r="I1328" s="13" t="n">
        <v>0.8309606481481482</v>
      </c>
      <c r="J1328" s="14" t="n">
        <v>46148.83096064815</v>
      </c>
      <c r="K1328" s="15" t="n">
        <v>1512.01</v>
      </c>
      <c r="L1328" s="4" t="inlineStr">
        <is>
          <t>INR</t>
        </is>
      </c>
      <c r="M1328" s="15" t="n">
        <v>-1512.01</v>
      </c>
      <c r="N1328" s="4" t="inlineStr">
        <is>
          <t>IOS Owner</t>
        </is>
      </c>
      <c r="O1328" s="4" t="n"/>
      <c r="P1328" s="4" t="n"/>
      <c r="Q1328" s="4" t="inlineStr">
        <is>
          <t>MAESTRO-IOS-PERSONAL-LIFE_OPERATIONS-1327 | Subscriptions | 1512.01</t>
        </is>
      </c>
      <c r="R1328" s="4" t="inlineStr">
        <is>
          <t>iPhone</t>
        </is>
      </c>
      <c r="S1328" s="4" t="inlineStr">
        <is>
          <t>B27</t>
        </is>
      </c>
      <c r="T1328" s="4" t="inlineStr">
        <is>
          <t>RAMP_501_1500</t>
        </is>
      </c>
      <c r="U1328" s="4" t="inlineStr">
        <is>
          <t>CREATED</t>
        </is>
      </c>
      <c r="V1328" s="4" t="inlineStr">
        <is>
          <t>idem-20260902-ios-1327</t>
        </is>
      </c>
    </row>
    <row r="1329" ht="30" customHeight="1">
      <c r="A1329" s="4" t="n">
        <v>1328</v>
      </c>
      <c r="B1329" s="4" t="inlineStr">
        <is>
          <t>MTR-IOS-1328</t>
        </is>
      </c>
      <c r="C1329" s="4" t="inlineStr">
        <is>
          <t>Group</t>
        </is>
      </c>
      <c r="D1329" s="4" t="inlineStr">
        <is>
          <t>Shared Purchase</t>
        </is>
      </c>
      <c r="E1329" s="4" t="inlineStr">
        <is>
          <t>Assets</t>
        </is>
      </c>
      <c r="F1329" s="4" t="inlineStr">
        <is>
          <t>Other</t>
        </is>
      </c>
      <c r="G1329" s="4" t="inlineStr">
        <is>
          <t>Expense</t>
        </is>
      </c>
      <c r="H1329" s="12" t="n">
        <v>46188</v>
      </c>
      <c r="I1329" s="13" t="n">
        <v>0.6237152777777778</v>
      </c>
      <c r="J1329" s="14" t="n">
        <v>46188.62371527778</v>
      </c>
      <c r="K1329" s="15" t="n">
        <v>13327.98</v>
      </c>
      <c r="L1329" s="4" t="inlineStr">
        <is>
          <t>INR</t>
        </is>
      </c>
      <c r="M1329" s="15" t="n">
        <v>-13327.98</v>
      </c>
      <c r="N1329" s="4" t="inlineStr">
        <is>
          <t>IOS Aarav</t>
        </is>
      </c>
      <c r="O1329" s="4" t="n">
        <v>3</v>
      </c>
      <c r="P1329" s="4" t="inlineStr">
        <is>
          <t>EXACT</t>
        </is>
      </c>
      <c r="Q1329" s="4" t="inlineStr">
        <is>
          <t>MAESTRO-IOS-GROUP-ASSETS-1328 | Other | 13327.98</t>
        </is>
      </c>
      <c r="R1329" s="4" t="inlineStr">
        <is>
          <t>iPhone</t>
        </is>
      </c>
      <c r="S1329" s="4" t="inlineStr">
        <is>
          <t>B27</t>
        </is>
      </c>
      <c r="T1329" s="4" t="inlineStr">
        <is>
          <t>RAMP_501_1500</t>
        </is>
      </c>
      <c r="U1329" s="4" t="inlineStr">
        <is>
          <t>CREATED</t>
        </is>
      </c>
      <c r="V1329" s="4" t="inlineStr">
        <is>
          <t>idem-20260902-ios-1328</t>
        </is>
      </c>
    </row>
    <row r="1330" ht="30" customHeight="1">
      <c r="A1330" s="4" t="n">
        <v>1329</v>
      </c>
      <c r="B1330" s="4" t="inlineStr">
        <is>
          <t>MTR-IOS-1329</t>
        </is>
      </c>
      <c r="C1330" s="4" t="inlineStr">
        <is>
          <t>Business</t>
        </is>
      </c>
      <c r="D1330" s="4" t="inlineStr">
        <is>
          <t>Business</t>
        </is>
      </c>
      <c r="E1330" s="4" t="inlineStr">
        <is>
          <t>Team Operations</t>
        </is>
      </c>
      <c r="F1330" s="4" t="inlineStr">
        <is>
          <t>Contractor</t>
        </is>
      </c>
      <c r="G1330" s="4" t="inlineStr">
        <is>
          <t>Expense</t>
        </is>
      </c>
      <c r="H1330" s="12" t="n">
        <v>45946</v>
      </c>
      <c r="I1330" s="13" t="n">
        <v>0.6572222222222223</v>
      </c>
      <c r="J1330" s="14" t="n">
        <v>45946.65722222222</v>
      </c>
      <c r="K1330" s="15" t="n">
        <v>69898.64999999999</v>
      </c>
      <c r="L1330" s="4" t="inlineStr">
        <is>
          <t>INR</t>
        </is>
      </c>
      <c r="M1330" s="15" t="n">
        <v>-69898.64999999999</v>
      </c>
      <c r="N1330" s="4" t="inlineStr">
        <is>
          <t>IOS Owner</t>
        </is>
      </c>
      <c r="O1330" s="4" t="n"/>
      <c r="P1330" s="4" t="n"/>
      <c r="Q1330" s="4" t="inlineStr">
        <is>
          <t>MAESTRO-IOS-BUSINESS-TEAM_OPERATIONS-1329 | Contractor | 69898.65</t>
        </is>
      </c>
      <c r="R1330" s="4" t="inlineStr">
        <is>
          <t>iPhone</t>
        </is>
      </c>
      <c r="S1330" s="4" t="inlineStr">
        <is>
          <t>B27</t>
        </is>
      </c>
      <c r="T1330" s="4" t="inlineStr">
        <is>
          <t>RAMP_501_1500</t>
        </is>
      </c>
      <c r="U1330" s="4" t="inlineStr">
        <is>
          <t>CREATED</t>
        </is>
      </c>
      <c r="V1330" s="4" t="inlineStr">
        <is>
          <t>idem-20260902-ios-1329</t>
        </is>
      </c>
    </row>
    <row r="1331" ht="30" customHeight="1">
      <c r="A1331" s="4" t="n">
        <v>1330</v>
      </c>
      <c r="B1331" s="4" t="inlineStr">
        <is>
          <t>MTR-IOS-1330</t>
        </is>
      </c>
      <c r="C1331" s="4" t="inlineStr">
        <is>
          <t>Personal</t>
        </is>
      </c>
      <c r="D1331" s="4" t="inlineStr">
        <is>
          <t>Personal</t>
        </is>
      </c>
      <c r="E1331" s="4" t="inlineStr">
        <is>
          <t>Life Operations</t>
        </is>
      </c>
      <c r="F1331" s="4" t="inlineStr">
        <is>
          <t>Repairs</t>
        </is>
      </c>
      <c r="G1331" s="4" t="inlineStr">
        <is>
          <t>Expense</t>
        </is>
      </c>
      <c r="H1331" s="12" t="n">
        <v>45994</v>
      </c>
      <c r="I1331" s="13" t="n">
        <v>0.2650462962962963</v>
      </c>
      <c r="J1331" s="14" t="n">
        <v>45994.2650462963</v>
      </c>
      <c r="K1331" s="15" t="n">
        <v>1779.79</v>
      </c>
      <c r="L1331" s="4" t="inlineStr">
        <is>
          <t>INR</t>
        </is>
      </c>
      <c r="M1331" s="15" t="n">
        <v>-1779.79</v>
      </c>
      <c r="N1331" s="4" t="inlineStr">
        <is>
          <t>IOS Owner</t>
        </is>
      </c>
      <c r="O1331" s="4" t="n"/>
      <c r="P1331" s="4" t="n"/>
      <c r="Q1331" s="4" t="inlineStr">
        <is>
          <t>MAESTRO-IOS-PERSONAL-LIFE_OPERATIONS-1330 | Repairs | 1779.79</t>
        </is>
      </c>
      <c r="R1331" s="4" t="inlineStr">
        <is>
          <t>iPhone</t>
        </is>
      </c>
      <c r="S1331" s="4" t="inlineStr">
        <is>
          <t>B27</t>
        </is>
      </c>
      <c r="T1331" s="4" t="inlineStr">
        <is>
          <t>RAMP_501_1500</t>
        </is>
      </c>
      <c r="U1331" s="4" t="inlineStr">
        <is>
          <t>CREATED</t>
        </is>
      </c>
      <c r="V1331" s="4" t="inlineStr">
        <is>
          <t>idem-20260902-ios-1330</t>
        </is>
      </c>
    </row>
    <row r="1332" ht="30" customHeight="1">
      <c r="A1332" s="4" t="n">
        <v>1331</v>
      </c>
      <c r="B1332" s="4" t="inlineStr">
        <is>
          <t>MTR-IOS-1331</t>
        </is>
      </c>
      <c r="C1332" s="4" t="inlineStr">
        <is>
          <t>Group</t>
        </is>
      </c>
      <c r="D1332" s="4" t="inlineStr">
        <is>
          <t>Shared Purchase</t>
        </is>
      </c>
      <c r="E1332" s="4" t="inlineStr">
        <is>
          <t>Custom Purchase</t>
        </is>
      </c>
      <c r="F1332" s="4" t="inlineStr">
        <is>
          <t>Custom Expense</t>
        </is>
      </c>
      <c r="G1332" s="4" t="inlineStr">
        <is>
          <t>Expense</t>
        </is>
      </c>
      <c r="H1332" s="12" t="n">
        <v>45912</v>
      </c>
      <c r="I1332" s="13" t="n">
        <v>0.5833449074074074</v>
      </c>
      <c r="J1332" s="14" t="n">
        <v>45912.58334490741</v>
      </c>
      <c r="K1332" s="15" t="n">
        <v>6540.22</v>
      </c>
      <c r="L1332" s="4" t="inlineStr">
        <is>
          <t>INR</t>
        </is>
      </c>
      <c r="M1332" s="15" t="n">
        <v>-6540.22</v>
      </c>
      <c r="N1332" s="4" t="inlineStr">
        <is>
          <t>IOS Meera</t>
        </is>
      </c>
      <c r="O1332" s="4" t="n">
        <v>3</v>
      </c>
      <c r="P1332" s="4" t="inlineStr">
        <is>
          <t>SHARES</t>
        </is>
      </c>
      <c r="Q1332" s="4" t="inlineStr">
        <is>
          <t>MAESTRO-IOS-GROUP-CUSTOM_PURCHASE-1331 | Custom Expense | 6540.22</t>
        </is>
      </c>
      <c r="R1332" s="4" t="inlineStr">
        <is>
          <t>iPhone</t>
        </is>
      </c>
      <c r="S1332" s="4" t="inlineStr">
        <is>
          <t>B27</t>
        </is>
      </c>
      <c r="T1332" s="4" t="inlineStr">
        <is>
          <t>RAMP_501_1500</t>
        </is>
      </c>
      <c r="U1332" s="4" t="inlineStr">
        <is>
          <t>CREATED</t>
        </is>
      </c>
      <c r="V1332" s="4" t="inlineStr">
        <is>
          <t>idem-20260902-ios-1331</t>
        </is>
      </c>
    </row>
    <row r="1333" ht="30" customHeight="1">
      <c r="A1333" s="4" t="n">
        <v>1332</v>
      </c>
      <c r="B1333" s="4" t="inlineStr">
        <is>
          <t>MTR-IOS-1332</t>
        </is>
      </c>
      <c r="C1333" s="4" t="inlineStr">
        <is>
          <t>Business</t>
        </is>
      </c>
      <c r="D1333" s="4" t="inlineStr">
        <is>
          <t>Business</t>
        </is>
      </c>
      <c r="E1333" s="4" t="inlineStr">
        <is>
          <t>Team Operations</t>
        </is>
      </c>
      <c r="F1333" s="4" t="inlineStr">
        <is>
          <t>Hiring</t>
        </is>
      </c>
      <c r="G1333" s="4" t="inlineStr">
        <is>
          <t>Expense</t>
        </is>
      </c>
      <c r="H1333" s="12" t="n">
        <v>46094</v>
      </c>
      <c r="I1333" s="13" t="n">
        <v>0.3534375</v>
      </c>
      <c r="J1333" s="14" t="n">
        <v>46094.3534375</v>
      </c>
      <c r="K1333" s="15" t="n">
        <v>0.01</v>
      </c>
      <c r="L1333" s="4" t="inlineStr">
        <is>
          <t>INR</t>
        </is>
      </c>
      <c r="M1333" s="15" t="n">
        <v>-0.01</v>
      </c>
      <c r="N1333" s="4" t="inlineStr">
        <is>
          <t>IOS Owner</t>
        </is>
      </c>
      <c r="O1333" s="4" t="n"/>
      <c r="P1333" s="4" t="n"/>
      <c r="Q1333" s="4" t="inlineStr">
        <is>
          <t>MAESTRO-IOS-BUSINESS-TEAM_OPERATIONS-1332 | Hiring | 0.01</t>
        </is>
      </c>
      <c r="R1333" s="4" t="inlineStr">
        <is>
          <t>iPhone</t>
        </is>
      </c>
      <c r="S1333" s="4" t="inlineStr">
        <is>
          <t>B27</t>
        </is>
      </c>
      <c r="T1333" s="4" t="inlineStr">
        <is>
          <t>RAMP_501_1500</t>
        </is>
      </c>
      <c r="U1333" s="4" t="inlineStr">
        <is>
          <t>CREATED</t>
        </is>
      </c>
      <c r="V1333" s="4" t="inlineStr">
        <is>
          <t>idem-20260902-ios-1332</t>
        </is>
      </c>
    </row>
    <row r="1334" ht="30" customHeight="1">
      <c r="A1334" s="4" t="n">
        <v>1333</v>
      </c>
      <c r="B1334" s="4" t="inlineStr">
        <is>
          <t>MTR-IOS-1333</t>
        </is>
      </c>
      <c r="C1334" s="4" t="inlineStr">
        <is>
          <t>Personal</t>
        </is>
      </c>
      <c r="D1334" s="4" t="inlineStr">
        <is>
          <t>Personal</t>
        </is>
      </c>
      <c r="E1334" s="4" t="inlineStr">
        <is>
          <t>Future Building</t>
        </is>
      </c>
      <c r="F1334" s="4" t="inlineStr">
        <is>
          <t>Savings</t>
        </is>
      </c>
      <c r="G1334" s="4" t="inlineStr">
        <is>
          <t>Transfer</t>
        </is>
      </c>
      <c r="H1334" s="12" t="n">
        <v>45957</v>
      </c>
      <c r="I1334" s="13" t="n">
        <v>0.7201620370370371</v>
      </c>
      <c r="J1334" s="14" t="n">
        <v>45957.72016203704</v>
      </c>
      <c r="K1334" s="15" t="n">
        <v>961.08</v>
      </c>
      <c r="L1334" s="4" t="inlineStr">
        <is>
          <t>INR</t>
        </is>
      </c>
      <c r="M1334" s="15" t="n">
        <v>0</v>
      </c>
      <c r="N1334" s="4" t="inlineStr">
        <is>
          <t>IOS Owner</t>
        </is>
      </c>
      <c r="O1334" s="4" t="n"/>
      <c r="P1334" s="4" t="n"/>
      <c r="Q1334" s="4" t="inlineStr">
        <is>
          <t>MAESTRO-IOS-PERSONAL-FUTURE_BUILDING-1333 | Savings | 961.08</t>
        </is>
      </c>
      <c r="R1334" s="4" t="inlineStr">
        <is>
          <t>iPhone</t>
        </is>
      </c>
      <c r="S1334" s="4" t="inlineStr">
        <is>
          <t>B27</t>
        </is>
      </c>
      <c r="T1334" s="4" t="inlineStr">
        <is>
          <t>RAMP_501_1500</t>
        </is>
      </c>
      <c r="U1334" s="4" t="inlineStr">
        <is>
          <t>CREATED</t>
        </is>
      </c>
      <c r="V1334" s="4" t="inlineStr">
        <is>
          <t>idem-20260902-ios-1333</t>
        </is>
      </c>
    </row>
    <row r="1335" ht="30" customHeight="1">
      <c r="A1335" s="4" t="n">
        <v>1334</v>
      </c>
      <c r="B1335" s="4" t="inlineStr">
        <is>
          <t>MTR-IOS-1334</t>
        </is>
      </c>
      <c r="C1335" s="4" t="inlineStr">
        <is>
          <t>Group</t>
        </is>
      </c>
      <c r="D1335" s="4" t="inlineStr">
        <is>
          <t>Shared Purchase</t>
        </is>
      </c>
      <c r="E1335" s="4" t="inlineStr">
        <is>
          <t>Custom Purchase</t>
        </is>
      </c>
      <c r="F1335" s="4" t="inlineStr">
        <is>
          <t>Custom Contribution</t>
        </is>
      </c>
      <c r="G1335" s="4" t="inlineStr">
        <is>
          <t>Contribution</t>
        </is>
      </c>
      <c r="H1335" s="12" t="n">
        <v>46037</v>
      </c>
      <c r="I1335" s="13" t="n">
        <v>0.2876736111111111</v>
      </c>
      <c r="J1335" s="14" t="n">
        <v>46037.28767361111</v>
      </c>
      <c r="K1335" s="15" t="n">
        <v>26733.84</v>
      </c>
      <c r="L1335" s="4" t="inlineStr">
        <is>
          <t>INR</t>
        </is>
      </c>
      <c r="M1335" s="15" t="n">
        <v>26733.84</v>
      </c>
      <c r="N1335" s="4" t="inlineStr">
        <is>
          <t>IOS Owner</t>
        </is>
      </c>
      <c r="O1335" s="4" t="n">
        <v>3</v>
      </c>
      <c r="P1335" s="4" t="inlineStr">
        <is>
          <t>EQUAL</t>
        </is>
      </c>
      <c r="Q1335" s="4" t="inlineStr">
        <is>
          <t>MAESTRO-IOS-GROUP-CUSTOM_PURCHASE-1334 | Custom Contribution | 26733.84</t>
        </is>
      </c>
      <c r="R1335" s="4" t="inlineStr">
        <is>
          <t>iPhone</t>
        </is>
      </c>
      <c r="S1335" s="4" t="inlineStr">
        <is>
          <t>B27</t>
        </is>
      </c>
      <c r="T1335" s="4" t="inlineStr">
        <is>
          <t>RAMP_501_1500</t>
        </is>
      </c>
      <c r="U1335" s="4" t="inlineStr">
        <is>
          <t>CREATED</t>
        </is>
      </c>
      <c r="V1335" s="4" t="inlineStr">
        <is>
          <t>idem-20260902-ios-1334</t>
        </is>
      </c>
    </row>
    <row r="1336" ht="30" customHeight="1">
      <c r="A1336" s="4" t="n">
        <v>1335</v>
      </c>
      <c r="B1336" s="4" t="inlineStr">
        <is>
          <t>MTR-IOS-1335</t>
        </is>
      </c>
      <c r="C1336" s="4" t="inlineStr">
        <is>
          <t>Business</t>
        </is>
      </c>
      <c r="D1336" s="4" t="inlineStr">
        <is>
          <t>Business</t>
        </is>
      </c>
      <c r="E1336" s="4" t="inlineStr">
        <is>
          <t>Team Operations</t>
        </is>
      </c>
      <c r="F1336" s="4" t="inlineStr">
        <is>
          <t>Team Meal</t>
        </is>
      </c>
      <c r="G1336" s="4" t="inlineStr">
        <is>
          <t>Expense</t>
        </is>
      </c>
      <c r="H1336" s="12" t="n">
        <v>45907</v>
      </c>
      <c r="I1336" s="13" t="n">
        <v>0.1593055555555556</v>
      </c>
      <c r="J1336" s="14" t="n">
        <v>45907.15930555556</v>
      </c>
      <c r="K1336" s="15" t="n">
        <v>95109.10000000001</v>
      </c>
      <c r="L1336" s="4" t="inlineStr">
        <is>
          <t>INR</t>
        </is>
      </c>
      <c r="M1336" s="15" t="n">
        <v>-95109.10000000001</v>
      </c>
      <c r="N1336" s="4" t="inlineStr">
        <is>
          <t>IOS Owner</t>
        </is>
      </c>
      <c r="O1336" s="4" t="n"/>
      <c r="P1336" s="4" t="n"/>
      <c r="Q1336" s="4" t="inlineStr">
        <is>
          <t>MAESTRO-IOS-BUSINESS-TEAM_OPERATIONS-1335 | Team Meal | 95109.10</t>
        </is>
      </c>
      <c r="R1336" s="4" t="inlineStr">
        <is>
          <t>iPhone</t>
        </is>
      </c>
      <c r="S1336" s="4" t="inlineStr">
        <is>
          <t>B27</t>
        </is>
      </c>
      <c r="T1336" s="4" t="inlineStr">
        <is>
          <t>RAMP_501_1500</t>
        </is>
      </c>
      <c r="U1336" s="4" t="inlineStr">
        <is>
          <t>CREATED</t>
        </is>
      </c>
      <c r="V1336" s="4" t="inlineStr">
        <is>
          <t>idem-20260902-ios-1335</t>
        </is>
      </c>
    </row>
    <row r="1337" ht="30" customHeight="1">
      <c r="A1337" s="4" t="n">
        <v>1336</v>
      </c>
      <c r="B1337" s="4" t="inlineStr">
        <is>
          <t>MTR-IOS-1336</t>
        </is>
      </c>
      <c r="C1337" s="4" t="inlineStr">
        <is>
          <t>Personal</t>
        </is>
      </c>
      <c r="D1337" s="4" t="inlineStr">
        <is>
          <t>Personal</t>
        </is>
      </c>
      <c r="E1337" s="4" t="inlineStr">
        <is>
          <t>Future Building</t>
        </is>
      </c>
      <c r="F1337" s="4" t="inlineStr">
        <is>
          <t>Emergency Fund</t>
        </is>
      </c>
      <c r="G1337" s="4" t="inlineStr">
        <is>
          <t>Transfer</t>
        </is>
      </c>
      <c r="H1337" s="12" t="n">
        <v>46032</v>
      </c>
      <c r="I1337" s="13" t="n">
        <v>0.9317476851851851</v>
      </c>
      <c r="J1337" s="14" t="n">
        <v>46032.93174768519</v>
      </c>
      <c r="K1337" s="15" t="n">
        <v>303.75</v>
      </c>
      <c r="L1337" s="4" t="inlineStr">
        <is>
          <t>INR</t>
        </is>
      </c>
      <c r="M1337" s="15" t="n">
        <v>0</v>
      </c>
      <c r="N1337" s="4" t="inlineStr">
        <is>
          <t>IOS Owner</t>
        </is>
      </c>
      <c r="O1337" s="4" t="n"/>
      <c r="P1337" s="4" t="n"/>
      <c r="Q1337" s="4" t="inlineStr">
        <is>
          <t>MAESTRO-IOS-PERSONAL-FUTURE_BUILDING-1336 | Emergency Fund | 303.75</t>
        </is>
      </c>
      <c r="R1337" s="4" t="inlineStr">
        <is>
          <t>iPhone</t>
        </is>
      </c>
      <c r="S1337" s="4" t="inlineStr">
        <is>
          <t>B27</t>
        </is>
      </c>
      <c r="T1337" s="4" t="inlineStr">
        <is>
          <t>RAMP_501_1500</t>
        </is>
      </c>
      <c r="U1337" s="4" t="inlineStr">
        <is>
          <t>CREATED</t>
        </is>
      </c>
      <c r="V1337" s="4" t="inlineStr">
        <is>
          <t>idem-20260902-ios-1336</t>
        </is>
      </c>
    </row>
    <row r="1338" ht="30" customHeight="1">
      <c r="A1338" s="4" t="n">
        <v>1337</v>
      </c>
      <c r="B1338" s="4" t="inlineStr">
        <is>
          <t>MTR-IOS-1337</t>
        </is>
      </c>
      <c r="C1338" s="4" t="inlineStr">
        <is>
          <t>Group</t>
        </is>
      </c>
      <c r="D1338" s="4" t="inlineStr">
        <is>
          <t>Shared Living</t>
        </is>
      </c>
      <c r="E1338" s="4" t="inlineStr">
        <is>
          <t>Flatmates</t>
        </is>
      </c>
      <c r="F1338" s="4" t="inlineStr">
        <is>
          <t>Rent</t>
        </is>
      </c>
      <c r="G1338" s="4" t="inlineStr">
        <is>
          <t>Expense</t>
        </is>
      </c>
      <c r="H1338" s="12" t="n">
        <v>45955</v>
      </c>
      <c r="I1338" s="13" t="n">
        <v>0.1184722222222222</v>
      </c>
      <c r="J1338" s="14" t="n">
        <v>45955.11847222222</v>
      </c>
      <c r="K1338" s="15" t="n">
        <v>22747.82</v>
      </c>
      <c r="L1338" s="4" t="inlineStr">
        <is>
          <t>INR</t>
        </is>
      </c>
      <c r="M1338" s="15" t="n">
        <v>-22747.82</v>
      </c>
      <c r="N1338" s="4" t="inlineStr">
        <is>
          <t>IOS Aarav</t>
        </is>
      </c>
      <c r="O1338" s="4" t="n">
        <v>3</v>
      </c>
      <c r="P1338" s="4" t="inlineStr">
        <is>
          <t>PERCENTAGE</t>
        </is>
      </c>
      <c r="Q1338" s="4" t="inlineStr">
        <is>
          <t>MAESTRO-IOS-GROUP-FLATMATES-1337 | Rent | 22747.82</t>
        </is>
      </c>
      <c r="R1338" s="4" t="inlineStr">
        <is>
          <t>iPhone</t>
        </is>
      </c>
      <c r="S1338" s="4" t="inlineStr">
        <is>
          <t>B27</t>
        </is>
      </c>
      <c r="T1338" s="4" t="inlineStr">
        <is>
          <t>RAMP_501_1500</t>
        </is>
      </c>
      <c r="U1338" s="4" t="inlineStr">
        <is>
          <t>CREATED</t>
        </is>
      </c>
      <c r="V1338" s="4" t="inlineStr">
        <is>
          <t>idem-20260902-ios-1337</t>
        </is>
      </c>
    </row>
    <row r="1339" ht="30" customHeight="1">
      <c r="A1339" s="4" t="n">
        <v>1338</v>
      </c>
      <c r="B1339" s="4" t="inlineStr">
        <is>
          <t>MTR-IOS-1338</t>
        </is>
      </c>
      <c r="C1339" s="4" t="inlineStr">
        <is>
          <t>Business</t>
        </is>
      </c>
      <c r="D1339" s="4" t="inlineStr">
        <is>
          <t>Business</t>
        </is>
      </c>
      <c r="E1339" s="4" t="inlineStr">
        <is>
          <t>Team Operations</t>
        </is>
      </c>
      <c r="F1339" s="4" t="inlineStr">
        <is>
          <t>Travel</t>
        </is>
      </c>
      <c r="G1339" s="4" t="inlineStr">
        <is>
          <t>Expense</t>
        </is>
      </c>
      <c r="H1339" s="12" t="n">
        <v>46208</v>
      </c>
      <c r="I1339" s="13" t="n">
        <v>0.01248842592592593</v>
      </c>
      <c r="J1339" s="14" t="n">
        <v>46208.01248842593</v>
      </c>
      <c r="K1339" s="15" t="n">
        <v>90351.28</v>
      </c>
      <c r="L1339" s="4" t="inlineStr">
        <is>
          <t>INR</t>
        </is>
      </c>
      <c r="M1339" s="15" t="n">
        <v>-90351.28</v>
      </c>
      <c r="N1339" s="4" t="inlineStr">
        <is>
          <t>IOS Owner</t>
        </is>
      </c>
      <c r="O1339" s="4" t="n"/>
      <c r="P1339" s="4" t="n"/>
      <c r="Q1339" s="4" t="inlineStr">
        <is>
          <t>MAESTRO-IOS-BUSINESS-TEAM_OPERATIONS-1338 | Travel | 90351.28</t>
        </is>
      </c>
      <c r="R1339" s="4" t="inlineStr">
        <is>
          <t>iPhone</t>
        </is>
      </c>
      <c r="S1339" s="4" t="inlineStr">
        <is>
          <t>B27</t>
        </is>
      </c>
      <c r="T1339" s="4" t="inlineStr">
        <is>
          <t>RAMP_501_1500</t>
        </is>
      </c>
      <c r="U1339" s="4" t="inlineStr">
        <is>
          <t>CREATED</t>
        </is>
      </c>
      <c r="V1339" s="4" t="inlineStr">
        <is>
          <t>idem-20260902-ios-1338</t>
        </is>
      </c>
    </row>
    <row r="1340" ht="30" customHeight="1">
      <c r="A1340" s="4" t="n">
        <v>1339</v>
      </c>
      <c r="B1340" s="4" t="inlineStr">
        <is>
          <t>MTR-IOS-1339</t>
        </is>
      </c>
      <c r="C1340" s="4" t="inlineStr">
        <is>
          <t>Personal</t>
        </is>
      </c>
      <c r="D1340" s="4" t="inlineStr">
        <is>
          <t>Personal</t>
        </is>
      </c>
      <c r="E1340" s="4" t="inlineStr">
        <is>
          <t>Future Building</t>
        </is>
      </c>
      <c r="F1340" s="4" t="inlineStr">
        <is>
          <t>Investments</t>
        </is>
      </c>
      <c r="G1340" s="4" t="inlineStr">
        <is>
          <t>Investment</t>
        </is>
      </c>
      <c r="H1340" s="12" t="n">
        <v>45940</v>
      </c>
      <c r="I1340" s="13" t="n">
        <v>0.7384490740740741</v>
      </c>
      <c r="J1340" s="14" t="n">
        <v>45940.73844907407</v>
      </c>
      <c r="K1340" s="15" t="n">
        <v>16415.23</v>
      </c>
      <c r="L1340" s="4" t="inlineStr">
        <is>
          <t>INR</t>
        </is>
      </c>
      <c r="M1340" s="15" t="n">
        <v>0</v>
      </c>
      <c r="N1340" s="4" t="inlineStr">
        <is>
          <t>IOS Owner</t>
        </is>
      </c>
      <c r="O1340" s="4" t="n"/>
      <c r="P1340" s="4" t="n"/>
      <c r="Q1340" s="4" t="inlineStr">
        <is>
          <t>MAESTRO-IOS-PERSONAL-FUTURE_BUILDING-1339 | Investments | 16415.23</t>
        </is>
      </c>
      <c r="R1340" s="4" t="inlineStr">
        <is>
          <t>iPhone</t>
        </is>
      </c>
      <c r="S1340" s="4" t="inlineStr">
        <is>
          <t>B27</t>
        </is>
      </c>
      <c r="T1340" s="4" t="inlineStr">
        <is>
          <t>RAMP_501_1500</t>
        </is>
      </c>
      <c r="U1340" s="4" t="inlineStr">
        <is>
          <t>CREATED</t>
        </is>
      </c>
      <c r="V1340" s="4" t="inlineStr">
        <is>
          <t>idem-20260902-ios-1339</t>
        </is>
      </c>
    </row>
    <row r="1341" ht="30" customHeight="1">
      <c r="A1341" s="4" t="n">
        <v>1340</v>
      </c>
      <c r="B1341" s="4" t="inlineStr">
        <is>
          <t>MTR-IOS-1340</t>
        </is>
      </c>
      <c r="C1341" s="4" t="inlineStr">
        <is>
          <t>Group</t>
        </is>
      </c>
      <c r="D1341" s="4" t="inlineStr">
        <is>
          <t>Shared Living</t>
        </is>
      </c>
      <c r="E1341" s="4" t="inlineStr">
        <is>
          <t>Flatmates</t>
        </is>
      </c>
      <c r="F1341" s="4" t="inlineStr">
        <is>
          <t>Utilities</t>
        </is>
      </c>
      <c r="G1341" s="4" t="inlineStr">
        <is>
          <t>Expense</t>
        </is>
      </c>
      <c r="H1341" s="12" t="n">
        <v>45922</v>
      </c>
      <c r="I1341" s="13" t="n">
        <v>0.3292939814814815</v>
      </c>
      <c r="J1341" s="14" t="n">
        <v>45922.32929398148</v>
      </c>
      <c r="K1341" s="15" t="n">
        <v>9600.530000000001</v>
      </c>
      <c r="L1341" s="4" t="inlineStr">
        <is>
          <t>INR</t>
        </is>
      </c>
      <c r="M1341" s="15" t="n">
        <v>-9600.530000000001</v>
      </c>
      <c r="N1341" s="4" t="inlineStr">
        <is>
          <t>IOS Meera</t>
        </is>
      </c>
      <c r="O1341" s="4" t="n">
        <v>3</v>
      </c>
      <c r="P1341" s="4" t="inlineStr">
        <is>
          <t>EXACT</t>
        </is>
      </c>
      <c r="Q1341" s="4" t="inlineStr">
        <is>
          <t>MAESTRO-IOS-GROUP-FLATMATES-1340 | Utilities | 9600.53</t>
        </is>
      </c>
      <c r="R1341" s="4" t="inlineStr">
        <is>
          <t>iPhone</t>
        </is>
      </c>
      <c r="S1341" s="4" t="inlineStr">
        <is>
          <t>B27</t>
        </is>
      </c>
      <c r="T1341" s="4" t="inlineStr">
        <is>
          <t>RAMP_501_1500</t>
        </is>
      </c>
      <c r="U1341" s="4" t="inlineStr">
        <is>
          <t>CREATED</t>
        </is>
      </c>
      <c r="V1341" s="4" t="inlineStr">
        <is>
          <t>idem-20260902-ios-1340</t>
        </is>
      </c>
    </row>
    <row r="1342" ht="30" customHeight="1">
      <c r="A1342" s="4" t="n">
        <v>1341</v>
      </c>
      <c r="B1342" s="4" t="inlineStr">
        <is>
          <t>MTR-IOS-1341</t>
        </is>
      </c>
      <c r="C1342" s="4" t="inlineStr">
        <is>
          <t>Business</t>
        </is>
      </c>
      <c r="D1342" s="4" t="inlineStr">
        <is>
          <t>Business</t>
        </is>
      </c>
      <c r="E1342" s="4" t="inlineStr">
        <is>
          <t>Team Operations</t>
        </is>
      </c>
      <c r="F1342" s="4" t="inlineStr">
        <is>
          <t>Training</t>
        </is>
      </c>
      <c r="G1342" s="4" t="inlineStr">
        <is>
          <t>Expense</t>
        </is>
      </c>
      <c r="H1342" s="12" t="n">
        <v>46035</v>
      </c>
      <c r="I1342" s="13" t="n">
        <v>0.6306828703703704</v>
      </c>
      <c r="J1342" s="14" t="n">
        <v>46035.63068287037</v>
      </c>
      <c r="K1342" s="15" t="n">
        <v>67132.25999999999</v>
      </c>
      <c r="L1342" s="4" t="inlineStr">
        <is>
          <t>INR</t>
        </is>
      </c>
      <c r="M1342" s="15" t="n">
        <v>-67132.25999999999</v>
      </c>
      <c r="N1342" s="4" t="inlineStr">
        <is>
          <t>IOS Owner</t>
        </is>
      </c>
      <c r="O1342" s="4" t="n"/>
      <c r="P1342" s="4" t="n"/>
      <c r="Q1342" s="4" t="inlineStr">
        <is>
          <t>MAESTRO-IOS-BUSINESS-TEAM_OPERATIONS-1341 | Training | 67132.26</t>
        </is>
      </c>
      <c r="R1342" s="4" t="inlineStr">
        <is>
          <t>iPhone</t>
        </is>
      </c>
      <c r="S1342" s="4" t="inlineStr">
        <is>
          <t>B27</t>
        </is>
      </c>
      <c r="T1342" s="4" t="inlineStr">
        <is>
          <t>RAMP_501_1500</t>
        </is>
      </c>
      <c r="U1342" s="4" t="inlineStr">
        <is>
          <t>CREATED</t>
        </is>
      </c>
      <c r="V1342" s="4" t="inlineStr">
        <is>
          <t>idem-20260902-ios-1341</t>
        </is>
      </c>
    </row>
    <row r="1343" ht="30" customHeight="1">
      <c r="A1343" s="4" t="n">
        <v>1342</v>
      </c>
      <c r="B1343" s="4" t="inlineStr">
        <is>
          <t>MTR-IOS-1342</t>
        </is>
      </c>
      <c r="C1343" s="4" t="inlineStr">
        <is>
          <t>Personal</t>
        </is>
      </c>
      <c r="D1343" s="4" t="inlineStr">
        <is>
          <t>Personal</t>
        </is>
      </c>
      <c r="E1343" s="4" t="inlineStr">
        <is>
          <t>Future Building</t>
        </is>
      </c>
      <c r="F1343" s="4" t="inlineStr">
        <is>
          <t>Education</t>
        </is>
      </c>
      <c r="G1343" s="4" t="inlineStr">
        <is>
          <t>Expense</t>
        </is>
      </c>
      <c r="H1343" s="12" t="n">
        <v>46199</v>
      </c>
      <c r="I1343" s="13" t="n">
        <v>0.4228356481481482</v>
      </c>
      <c r="J1343" s="14" t="n">
        <v>46199.42283564815</v>
      </c>
      <c r="K1343" s="15" t="n">
        <v>4004.81</v>
      </c>
      <c r="L1343" s="4" t="inlineStr">
        <is>
          <t>INR</t>
        </is>
      </c>
      <c r="M1343" s="15" t="n">
        <v>-4004.81</v>
      </c>
      <c r="N1343" s="4" t="inlineStr">
        <is>
          <t>IOS Owner</t>
        </is>
      </c>
      <c r="O1343" s="4" t="n"/>
      <c r="P1343" s="4" t="n"/>
      <c r="Q1343" s="4" t="inlineStr">
        <is>
          <t>MAESTRO-IOS-PERSONAL-FUTURE_BUILDING-1342 | Education | 4004.81</t>
        </is>
      </c>
      <c r="R1343" s="4" t="inlineStr">
        <is>
          <t>iPhone</t>
        </is>
      </c>
      <c r="S1343" s="4" t="inlineStr">
        <is>
          <t>B27</t>
        </is>
      </c>
      <c r="T1343" s="4" t="inlineStr">
        <is>
          <t>RAMP_501_1500</t>
        </is>
      </c>
      <c r="U1343" s="4" t="inlineStr">
        <is>
          <t>CREATED</t>
        </is>
      </c>
      <c r="V1343" s="4" t="inlineStr">
        <is>
          <t>idem-20260902-ios-1342</t>
        </is>
      </c>
    </row>
    <row r="1344" ht="30" customHeight="1">
      <c r="A1344" s="4" t="n">
        <v>1343</v>
      </c>
      <c r="B1344" s="4" t="inlineStr">
        <is>
          <t>MTR-IOS-1343</t>
        </is>
      </c>
      <c r="C1344" s="4" t="inlineStr">
        <is>
          <t>Group</t>
        </is>
      </c>
      <c r="D1344" s="4" t="inlineStr">
        <is>
          <t>Shared Living</t>
        </is>
      </c>
      <c r="E1344" s="4" t="inlineStr">
        <is>
          <t>Flatmates</t>
        </is>
      </c>
      <c r="F1344" s="4" t="inlineStr">
        <is>
          <t>Groceries</t>
        </is>
      </c>
      <c r="G1344" s="4" t="inlineStr">
        <is>
          <t>Expense</t>
        </is>
      </c>
      <c r="H1344" s="12" t="n">
        <v>45969</v>
      </c>
      <c r="I1344" s="13" t="n">
        <v>0.3476851851851852</v>
      </c>
      <c r="J1344" s="14" t="n">
        <v>45969.34768518519</v>
      </c>
      <c r="K1344" s="15" t="n">
        <v>17672.09</v>
      </c>
      <c r="L1344" s="4" t="inlineStr">
        <is>
          <t>INR</t>
        </is>
      </c>
      <c r="M1344" s="15" t="n">
        <v>-17672.09</v>
      </c>
      <c r="N1344" s="4" t="inlineStr">
        <is>
          <t>IOS Owner</t>
        </is>
      </c>
      <c r="O1344" s="4" t="n">
        <v>3</v>
      </c>
      <c r="P1344" s="4" t="inlineStr">
        <is>
          <t>SHARES</t>
        </is>
      </c>
      <c r="Q1344" s="4" t="inlineStr">
        <is>
          <t>MAESTRO-IOS-GROUP-FLATMATES-1343 | Groceries | 17672.09</t>
        </is>
      </c>
      <c r="R1344" s="4" t="inlineStr">
        <is>
          <t>iPhone</t>
        </is>
      </c>
      <c r="S1344" s="4" t="inlineStr">
        <is>
          <t>B27</t>
        </is>
      </c>
      <c r="T1344" s="4" t="inlineStr">
        <is>
          <t>RAMP_501_1500</t>
        </is>
      </c>
      <c r="U1344" s="4" t="inlineStr">
        <is>
          <t>CREATED</t>
        </is>
      </c>
      <c r="V1344" s="4" t="inlineStr">
        <is>
          <t>idem-20260902-ios-1343</t>
        </is>
      </c>
    </row>
    <row r="1345" ht="30" customHeight="1">
      <c r="A1345" s="4" t="n">
        <v>1344</v>
      </c>
      <c r="B1345" s="4" t="inlineStr">
        <is>
          <t>MTR-IOS-1344</t>
        </is>
      </c>
      <c r="C1345" s="4" t="inlineStr">
        <is>
          <t>Business</t>
        </is>
      </c>
      <c r="D1345" s="4" t="inlineStr">
        <is>
          <t>Business</t>
        </is>
      </c>
      <c r="E1345" s="4" t="inlineStr">
        <is>
          <t>Team Operations</t>
        </is>
      </c>
      <c r="F1345" s="4" t="inlineStr">
        <is>
          <t>Tools</t>
        </is>
      </c>
      <c r="G1345" s="4" t="inlineStr">
        <is>
          <t>Expense</t>
        </is>
      </c>
      <c r="H1345" s="12" t="n">
        <v>46041</v>
      </c>
      <c r="I1345" s="13" t="n">
        <v>0.5273148148148148</v>
      </c>
      <c r="J1345" s="14" t="n">
        <v>46041.52731481481</v>
      </c>
      <c r="K1345" s="15" t="n">
        <v>35818.25</v>
      </c>
      <c r="L1345" s="4" t="inlineStr">
        <is>
          <t>INR</t>
        </is>
      </c>
      <c r="M1345" s="15" t="n">
        <v>-35818.25</v>
      </c>
      <c r="N1345" s="4" t="inlineStr">
        <is>
          <t>IOS Owner</t>
        </is>
      </c>
      <c r="O1345" s="4" t="n"/>
      <c r="P1345" s="4" t="n"/>
      <c r="Q1345" s="4" t="inlineStr">
        <is>
          <t>MAESTRO-IOS-BUSINESS-TEAM_OPERATIONS-1344 | Tools | 35818.25</t>
        </is>
      </c>
      <c r="R1345" s="4" t="inlineStr">
        <is>
          <t>iPhone</t>
        </is>
      </c>
      <c r="S1345" s="4" t="inlineStr">
        <is>
          <t>B27</t>
        </is>
      </c>
      <c r="T1345" s="4" t="inlineStr">
        <is>
          <t>RAMP_501_1500</t>
        </is>
      </c>
      <c r="U1345" s="4" t="inlineStr">
        <is>
          <t>CREATED</t>
        </is>
      </c>
      <c r="V1345" s="4" t="inlineStr">
        <is>
          <t>idem-20260902-ios-1344</t>
        </is>
      </c>
    </row>
    <row r="1346" ht="30" customHeight="1">
      <c r="A1346" s="4" t="n">
        <v>1345</v>
      </c>
      <c r="B1346" s="4" t="inlineStr">
        <is>
          <t>MTR-IOS-1345</t>
        </is>
      </c>
      <c r="C1346" s="4" t="inlineStr">
        <is>
          <t>Personal</t>
        </is>
      </c>
      <c r="D1346" s="4" t="inlineStr">
        <is>
          <t>Personal</t>
        </is>
      </c>
      <c r="E1346" s="4" t="inlineStr">
        <is>
          <t>Future Building</t>
        </is>
      </c>
      <c r="F1346" s="4" t="inlineStr">
        <is>
          <t>Goal Contribution</t>
        </is>
      </c>
      <c r="G1346" s="4" t="inlineStr">
        <is>
          <t>Transfer</t>
        </is>
      </c>
      <c r="H1346" s="12" t="n">
        <v>46210</v>
      </c>
      <c r="I1346" s="13" t="n">
        <v>0.1189467592592593</v>
      </c>
      <c r="J1346" s="14" t="n">
        <v>46210.11894675926</v>
      </c>
      <c r="K1346" s="15" t="n">
        <v>3977.12</v>
      </c>
      <c r="L1346" s="4" t="inlineStr">
        <is>
          <t>INR</t>
        </is>
      </c>
      <c r="M1346" s="15" t="n">
        <v>0</v>
      </c>
      <c r="N1346" s="4" t="inlineStr">
        <is>
          <t>IOS Owner</t>
        </is>
      </c>
      <c r="O1346" s="4" t="n"/>
      <c r="P1346" s="4" t="n"/>
      <c r="Q1346" s="4" t="inlineStr">
        <is>
          <t>MAESTRO-IOS-PERSONAL-FUTURE_BUILDING-1345 | Goal Contribution | 3977.12</t>
        </is>
      </c>
      <c r="R1346" s="4" t="inlineStr">
        <is>
          <t>iPhone</t>
        </is>
      </c>
      <c r="S1346" s="4" t="inlineStr">
        <is>
          <t>B27</t>
        </is>
      </c>
      <c r="T1346" s="4" t="inlineStr">
        <is>
          <t>RAMP_501_1500</t>
        </is>
      </c>
      <c r="U1346" s="4" t="inlineStr">
        <is>
          <t>CREATED</t>
        </is>
      </c>
      <c r="V1346" s="4" t="inlineStr">
        <is>
          <t>idem-20260902-ios-1345</t>
        </is>
      </c>
    </row>
    <row r="1347" ht="30" customHeight="1">
      <c r="A1347" s="4" t="n">
        <v>1346</v>
      </c>
      <c r="B1347" s="4" t="inlineStr">
        <is>
          <t>MTR-IOS-1346</t>
        </is>
      </c>
      <c r="C1347" s="4" t="inlineStr">
        <is>
          <t>Group</t>
        </is>
      </c>
      <c r="D1347" s="4" t="inlineStr">
        <is>
          <t>Shared Living</t>
        </is>
      </c>
      <c r="E1347" s="4" t="inlineStr">
        <is>
          <t>Flatmates</t>
        </is>
      </c>
      <c r="F1347" s="4" t="inlineStr">
        <is>
          <t>Internet</t>
        </is>
      </c>
      <c r="G1347" s="4" t="inlineStr">
        <is>
          <t>Expense</t>
        </is>
      </c>
      <c r="H1347" s="12" t="n">
        <v>45947</v>
      </c>
      <c r="I1347" s="13" t="n">
        <v>0.5773495370370371</v>
      </c>
      <c r="J1347" s="14" t="n">
        <v>45947.57734953704</v>
      </c>
      <c r="K1347" s="15" t="n">
        <v>24654.24</v>
      </c>
      <c r="L1347" s="4" t="inlineStr">
        <is>
          <t>INR</t>
        </is>
      </c>
      <c r="M1347" s="15" t="n">
        <v>-24654.24</v>
      </c>
      <c r="N1347" s="4" t="inlineStr">
        <is>
          <t>IOS Aarav</t>
        </is>
      </c>
      <c r="O1347" s="4" t="n">
        <v>3</v>
      </c>
      <c r="P1347" s="4" t="inlineStr">
        <is>
          <t>EQUAL</t>
        </is>
      </c>
      <c r="Q1347" s="4" t="inlineStr">
        <is>
          <t>MAESTRO-IOS-GROUP-FLATMATES-1346 | Internet | 24654.24</t>
        </is>
      </c>
      <c r="R1347" s="4" t="inlineStr">
        <is>
          <t>iPhone</t>
        </is>
      </c>
      <c r="S1347" s="4" t="inlineStr">
        <is>
          <t>B27</t>
        </is>
      </c>
      <c r="T1347" s="4" t="inlineStr">
        <is>
          <t>RAMP_501_1500</t>
        </is>
      </c>
      <c r="U1347" s="4" t="inlineStr">
        <is>
          <t>CREATED</t>
        </is>
      </c>
      <c r="V1347" s="4" t="inlineStr">
        <is>
          <t>idem-20260902-ios-1346</t>
        </is>
      </c>
    </row>
    <row r="1348" ht="30" customHeight="1">
      <c r="A1348" s="4" t="n">
        <v>1347</v>
      </c>
      <c r="B1348" s="4" t="inlineStr">
        <is>
          <t>MTR-IOS-1347</t>
        </is>
      </c>
      <c r="C1348" s="4" t="inlineStr">
        <is>
          <t>Business</t>
        </is>
      </c>
      <c r="D1348" s="4" t="inlineStr">
        <is>
          <t>Business</t>
        </is>
      </c>
      <c r="E1348" s="4" t="inlineStr">
        <is>
          <t>Business Runway</t>
        </is>
      </c>
      <c r="F1348" s="4" t="inlineStr">
        <is>
          <t>Funding</t>
        </is>
      </c>
      <c r="G1348" s="4" t="inlineStr">
        <is>
          <t>Income</t>
        </is>
      </c>
      <c r="H1348" s="12" t="n">
        <v>46081</v>
      </c>
      <c r="I1348" s="13" t="n">
        <v>0.9963773148148148</v>
      </c>
      <c r="J1348" s="14" t="n">
        <v>46081.99637731481</v>
      </c>
      <c r="K1348" s="15" t="n">
        <v>15204.85</v>
      </c>
      <c r="L1348" s="4" t="inlineStr">
        <is>
          <t>INR</t>
        </is>
      </c>
      <c r="M1348" s="15" t="n">
        <v>15204.85</v>
      </c>
      <c r="N1348" s="4" t="inlineStr">
        <is>
          <t>IOS Owner</t>
        </is>
      </c>
      <c r="O1348" s="4" t="n"/>
      <c r="P1348" s="4" t="n"/>
      <c r="Q1348" s="4" t="inlineStr">
        <is>
          <t>MAESTRO-IOS-BUSINESS-BUSINESS_RUNWAY-1347 | Funding | 15204.85</t>
        </is>
      </c>
      <c r="R1348" s="4" t="inlineStr">
        <is>
          <t>iPhone</t>
        </is>
      </c>
      <c r="S1348" s="4" t="inlineStr">
        <is>
          <t>B27</t>
        </is>
      </c>
      <c r="T1348" s="4" t="inlineStr">
        <is>
          <t>RAMP_501_1500</t>
        </is>
      </c>
      <c r="U1348" s="4" t="inlineStr">
        <is>
          <t>CREATED</t>
        </is>
      </c>
      <c r="V1348" s="4" t="inlineStr">
        <is>
          <t>idem-20260902-ios-1347</t>
        </is>
      </c>
    </row>
    <row r="1349" ht="30" customHeight="1">
      <c r="A1349" s="4" t="n">
        <v>1348</v>
      </c>
      <c r="B1349" s="4" t="inlineStr">
        <is>
          <t>MTR-IOS-1348</t>
        </is>
      </c>
      <c r="C1349" s="4" t="inlineStr">
        <is>
          <t>Personal</t>
        </is>
      </c>
      <c r="D1349" s="4" t="inlineStr">
        <is>
          <t>Personal</t>
        </is>
      </c>
      <c r="E1349" s="4" t="inlineStr">
        <is>
          <t>Lifestyle</t>
        </is>
      </c>
      <c r="F1349" s="4" t="inlineStr">
        <is>
          <t>Dining</t>
        </is>
      </c>
      <c r="G1349" s="4" t="inlineStr">
        <is>
          <t>Expense</t>
        </is>
      </c>
      <c r="H1349" s="12" t="n">
        <v>46203</v>
      </c>
      <c r="I1349" s="13" t="n">
        <v>0.4080324074074074</v>
      </c>
      <c r="J1349" s="14" t="n">
        <v>46203.40803240741</v>
      </c>
      <c r="K1349" s="15" t="n">
        <v>17030.74</v>
      </c>
      <c r="L1349" s="4" t="inlineStr">
        <is>
          <t>INR</t>
        </is>
      </c>
      <c r="M1349" s="15" t="n">
        <v>-17030.74</v>
      </c>
      <c r="N1349" s="4" t="inlineStr">
        <is>
          <t>IOS Owner</t>
        </is>
      </c>
      <c r="O1349" s="4" t="n"/>
      <c r="P1349" s="4" t="n"/>
      <c r="Q1349" s="4" t="inlineStr">
        <is>
          <t>MAESTRO-IOS-PERSONAL-LIFESTYLE-1348 | Dining | 17030.74</t>
        </is>
      </c>
      <c r="R1349" s="4" t="inlineStr">
        <is>
          <t>iPhone</t>
        </is>
      </c>
      <c r="S1349" s="4" t="inlineStr">
        <is>
          <t>B27</t>
        </is>
      </c>
      <c r="T1349" s="4" t="inlineStr">
        <is>
          <t>RAMP_501_1500</t>
        </is>
      </c>
      <c r="U1349" s="4" t="inlineStr">
        <is>
          <t>CREATED</t>
        </is>
      </c>
      <c r="V1349" s="4" t="inlineStr">
        <is>
          <t>idem-20260902-ios-1348</t>
        </is>
      </c>
    </row>
    <row r="1350" ht="30" customHeight="1">
      <c r="A1350" s="4" t="n">
        <v>1349</v>
      </c>
      <c r="B1350" s="4" t="inlineStr">
        <is>
          <t>MTR-IOS-1349</t>
        </is>
      </c>
      <c r="C1350" s="4" t="inlineStr">
        <is>
          <t>Group</t>
        </is>
      </c>
      <c r="D1350" s="4" t="inlineStr">
        <is>
          <t>Shared Living</t>
        </is>
      </c>
      <c r="E1350" s="4" t="inlineStr">
        <is>
          <t>Flatmates</t>
        </is>
      </c>
      <c r="F1350" s="4" t="inlineStr">
        <is>
          <t>House Supplies</t>
        </is>
      </c>
      <c r="G1350" s="4" t="inlineStr">
        <is>
          <t>Expense</t>
        </is>
      </c>
      <c r="H1350" s="12" t="n">
        <v>45925</v>
      </c>
      <c r="I1350" s="13" t="n">
        <v>0.3710648148148148</v>
      </c>
      <c r="J1350" s="14" t="n">
        <v>45925.37106481481</v>
      </c>
      <c r="K1350" s="15" t="n">
        <v>20882.51</v>
      </c>
      <c r="L1350" s="4" t="inlineStr">
        <is>
          <t>INR</t>
        </is>
      </c>
      <c r="M1350" s="15" t="n">
        <v>-20882.51</v>
      </c>
      <c r="N1350" s="4" t="inlineStr">
        <is>
          <t>IOS Meera</t>
        </is>
      </c>
      <c r="O1350" s="4" t="n">
        <v>3</v>
      </c>
      <c r="P1350" s="4" t="inlineStr">
        <is>
          <t>PERCENTAGE</t>
        </is>
      </c>
      <c r="Q1350" s="4" t="inlineStr">
        <is>
          <t>MAESTRO-IOS-GROUP-FLATMATES-1349 | House Supplies | 20882.51</t>
        </is>
      </c>
      <c r="R1350" s="4" t="inlineStr">
        <is>
          <t>iPhone</t>
        </is>
      </c>
      <c r="S1350" s="4" t="inlineStr">
        <is>
          <t>B27</t>
        </is>
      </c>
      <c r="T1350" s="4" t="inlineStr">
        <is>
          <t>RAMP_501_1500</t>
        </is>
      </c>
      <c r="U1350" s="4" t="inlineStr">
        <is>
          <t>CREATED</t>
        </is>
      </c>
      <c r="V1350" s="4" t="inlineStr">
        <is>
          <t>idem-20260902-ios-1349</t>
        </is>
      </c>
    </row>
    <row r="1351" ht="30" customHeight="1">
      <c r="A1351" s="4" t="n">
        <v>1350</v>
      </c>
      <c r="B1351" s="4" t="inlineStr">
        <is>
          <t>MTR-IOS-1350</t>
        </is>
      </c>
      <c r="C1351" s="4" t="inlineStr">
        <is>
          <t>Business</t>
        </is>
      </c>
      <c r="D1351" s="4" t="inlineStr">
        <is>
          <t>Business</t>
        </is>
      </c>
      <c r="E1351" s="4" t="inlineStr">
        <is>
          <t>Business Runway</t>
        </is>
      </c>
      <c r="F1351" s="4" t="inlineStr">
        <is>
          <t>Revenue</t>
        </is>
      </c>
      <c r="G1351" s="4" t="inlineStr">
        <is>
          <t>Income</t>
        </is>
      </c>
      <c r="H1351" s="12" t="n">
        <v>46155</v>
      </c>
      <c r="I1351" s="13" t="n">
        <v>0.7140162037037037</v>
      </c>
      <c r="J1351" s="14" t="n">
        <v>46155.7140162037</v>
      </c>
      <c r="K1351" s="15" t="n">
        <v>45211.74</v>
      </c>
      <c r="L1351" s="4" t="inlineStr">
        <is>
          <t>INR</t>
        </is>
      </c>
      <c r="M1351" s="15" t="n">
        <v>45211.74</v>
      </c>
      <c r="N1351" s="4" t="inlineStr">
        <is>
          <t>IOS Owner</t>
        </is>
      </c>
      <c r="O1351" s="4" t="n"/>
      <c r="P1351" s="4" t="n"/>
      <c r="Q1351" s="4" t="inlineStr">
        <is>
          <t>MAESTRO-IOS-BUSINESS-BUSINESS_RUNWAY-1350 | Revenue | 45211.74</t>
        </is>
      </c>
      <c r="R1351" s="4" t="inlineStr">
        <is>
          <t>iPhone</t>
        </is>
      </c>
      <c r="S1351" s="4" t="inlineStr">
        <is>
          <t>B27</t>
        </is>
      </c>
      <c r="T1351" s="4" t="inlineStr">
        <is>
          <t>RAMP_501_1500</t>
        </is>
      </c>
      <c r="U1351" s="4" t="inlineStr">
        <is>
          <t>CREATED</t>
        </is>
      </c>
      <c r="V1351" s="4" t="inlineStr">
        <is>
          <t>idem-20260902-ios-1350</t>
        </is>
      </c>
    </row>
    <row r="1352" ht="30" customHeight="1">
      <c r="A1352" s="4" t="n">
        <v>1351</v>
      </c>
      <c r="B1352" s="4" t="inlineStr">
        <is>
          <t>MTR-IOS-1351</t>
        </is>
      </c>
      <c r="C1352" s="4" t="inlineStr">
        <is>
          <t>Personal</t>
        </is>
      </c>
      <c r="D1352" s="4" t="inlineStr">
        <is>
          <t>Personal</t>
        </is>
      </c>
      <c r="E1352" s="4" t="inlineStr">
        <is>
          <t>Lifestyle</t>
        </is>
      </c>
      <c r="F1352" s="4" t="inlineStr">
        <is>
          <t>Shopping</t>
        </is>
      </c>
      <c r="G1352" s="4" t="inlineStr">
        <is>
          <t>Expense</t>
        </is>
      </c>
      <c r="H1352" s="12" t="n">
        <v>45978</v>
      </c>
      <c r="I1352" s="13" t="n">
        <v>0.7124652777777778</v>
      </c>
      <c r="J1352" s="14" t="n">
        <v>45978.71246527778</v>
      </c>
      <c r="K1352" s="15" t="n">
        <v>14807.8</v>
      </c>
      <c r="L1352" s="4" t="inlineStr">
        <is>
          <t>INR</t>
        </is>
      </c>
      <c r="M1352" s="15" t="n">
        <v>-14807.8</v>
      </c>
      <c r="N1352" s="4" t="inlineStr">
        <is>
          <t>IOS Owner</t>
        </is>
      </c>
      <c r="O1352" s="4" t="n"/>
      <c r="P1352" s="4" t="n"/>
      <c r="Q1352" s="4" t="inlineStr">
        <is>
          <t>MAESTRO-IOS-PERSONAL-LIFESTYLE-1351 | Shopping | 14807.80</t>
        </is>
      </c>
      <c r="R1352" s="4" t="inlineStr">
        <is>
          <t>iPhone</t>
        </is>
      </c>
      <c r="S1352" s="4" t="inlineStr">
        <is>
          <t>B28</t>
        </is>
      </c>
      <c r="T1352" s="4" t="inlineStr">
        <is>
          <t>RAMP_501_1500</t>
        </is>
      </c>
      <c r="U1352" s="4" t="inlineStr">
        <is>
          <t>CREATED</t>
        </is>
      </c>
      <c r="V1352" s="4" t="inlineStr">
        <is>
          <t>idem-20260902-ios-1351</t>
        </is>
      </c>
    </row>
    <row r="1353" ht="30" customHeight="1">
      <c r="A1353" s="4" t="n">
        <v>1352</v>
      </c>
      <c r="B1353" s="4" t="inlineStr">
        <is>
          <t>MTR-IOS-1352</t>
        </is>
      </c>
      <c r="C1353" s="4" t="inlineStr">
        <is>
          <t>Group</t>
        </is>
      </c>
      <c r="D1353" s="4" t="inlineStr">
        <is>
          <t>Shared Living</t>
        </is>
      </c>
      <c r="E1353" s="4" t="inlineStr">
        <is>
          <t>Flatmates</t>
        </is>
      </c>
      <c r="F1353" s="4" t="inlineStr">
        <is>
          <t>Repairs</t>
        </is>
      </c>
      <c r="G1353" s="4" t="inlineStr">
        <is>
          <t>Expense</t>
        </is>
      </c>
      <c r="H1353" s="12" t="n">
        <v>46227</v>
      </c>
      <c r="I1353" s="13" t="n">
        <v>0.1442592592592593</v>
      </c>
      <c r="J1353" s="14" t="n">
        <v>46227.14425925926</v>
      </c>
      <c r="K1353" s="15" t="n">
        <v>22704.5</v>
      </c>
      <c r="L1353" s="4" t="inlineStr">
        <is>
          <t>INR</t>
        </is>
      </c>
      <c r="M1353" s="15" t="n">
        <v>-22704.5</v>
      </c>
      <c r="N1353" s="4" t="inlineStr">
        <is>
          <t>IOS Owner</t>
        </is>
      </c>
      <c r="O1353" s="4" t="n">
        <v>3</v>
      </c>
      <c r="P1353" s="4" t="inlineStr">
        <is>
          <t>EXACT</t>
        </is>
      </c>
      <c r="Q1353" s="4" t="inlineStr">
        <is>
          <t>MAESTRO-IOS-GROUP-FLATMATES-1352 | Repairs | 22704.50</t>
        </is>
      </c>
      <c r="R1353" s="4" t="inlineStr">
        <is>
          <t>iPhone</t>
        </is>
      </c>
      <c r="S1353" s="4" t="inlineStr">
        <is>
          <t>B28</t>
        </is>
      </c>
      <c r="T1353" s="4" t="inlineStr">
        <is>
          <t>RAMP_501_1500</t>
        </is>
      </c>
      <c r="U1353" s="4" t="inlineStr">
        <is>
          <t>CREATED</t>
        </is>
      </c>
      <c r="V1353" s="4" t="inlineStr">
        <is>
          <t>idem-20260902-ios-1352</t>
        </is>
      </c>
    </row>
    <row r="1354" ht="30" customHeight="1">
      <c r="A1354" s="4" t="n">
        <v>1353</v>
      </c>
      <c r="B1354" s="4" t="inlineStr">
        <is>
          <t>MTR-IOS-1353</t>
        </is>
      </c>
      <c r="C1354" s="4" t="inlineStr">
        <is>
          <t>Business</t>
        </is>
      </c>
      <c r="D1354" s="4" t="inlineStr">
        <is>
          <t>Business</t>
        </is>
      </c>
      <c r="E1354" s="4" t="inlineStr">
        <is>
          <t>Business Runway</t>
        </is>
      </c>
      <c r="F1354" s="4" t="inlineStr">
        <is>
          <t>Burn</t>
        </is>
      </c>
      <c r="G1354" s="4" t="inlineStr">
        <is>
          <t>Expense</t>
        </is>
      </c>
      <c r="H1354" s="12" t="n">
        <v>46202</v>
      </c>
      <c r="I1354" s="13" t="n">
        <v>0.1259143518518518</v>
      </c>
      <c r="J1354" s="14" t="n">
        <v>46202.12591435185</v>
      </c>
      <c r="K1354" s="15" t="n">
        <v>137549.28</v>
      </c>
      <c r="L1354" s="4" t="inlineStr">
        <is>
          <t>INR</t>
        </is>
      </c>
      <c r="M1354" s="15" t="n">
        <v>-137549.28</v>
      </c>
      <c r="N1354" s="4" t="inlineStr">
        <is>
          <t>IOS Owner</t>
        </is>
      </c>
      <c r="O1354" s="4" t="n"/>
      <c r="P1354" s="4" t="n"/>
      <c r="Q1354" s="4" t="inlineStr">
        <is>
          <t>MAESTRO-IOS-BUSINESS-BUSINESS_RUNWAY-1353 | Burn | 137549.28</t>
        </is>
      </c>
      <c r="R1354" s="4" t="inlineStr">
        <is>
          <t>iPhone</t>
        </is>
      </c>
      <c r="S1354" s="4" t="inlineStr">
        <is>
          <t>B28</t>
        </is>
      </c>
      <c r="T1354" s="4" t="inlineStr">
        <is>
          <t>RAMP_501_1500</t>
        </is>
      </c>
      <c r="U1354" s="4" t="inlineStr">
        <is>
          <t>CREATED</t>
        </is>
      </c>
      <c r="V1354" s="4" t="inlineStr">
        <is>
          <t>idem-20260902-ios-1353</t>
        </is>
      </c>
    </row>
    <row r="1355" ht="30" customHeight="1">
      <c r="A1355" s="4" t="n">
        <v>1354</v>
      </c>
      <c r="B1355" s="4" t="inlineStr">
        <is>
          <t>MTR-IOS-1354</t>
        </is>
      </c>
      <c r="C1355" s="4" t="inlineStr">
        <is>
          <t>Personal</t>
        </is>
      </c>
      <c r="D1355" s="4" t="inlineStr">
        <is>
          <t>Personal</t>
        </is>
      </c>
      <c r="E1355" s="4" t="inlineStr">
        <is>
          <t>Lifestyle</t>
        </is>
      </c>
      <c r="F1355" s="4" t="inlineStr">
        <is>
          <t>Entertainment</t>
        </is>
      </c>
      <c r="G1355" s="4" t="inlineStr">
        <is>
          <t>Expense</t>
        </is>
      </c>
      <c r="H1355" s="12" t="n">
        <v>45918</v>
      </c>
      <c r="I1355" s="13" t="n">
        <v>0.1607407407407407</v>
      </c>
      <c r="J1355" s="14" t="n">
        <v>45918.16074074074</v>
      </c>
      <c r="K1355" s="15" t="n">
        <v>12985.02</v>
      </c>
      <c r="L1355" s="4" t="inlineStr">
        <is>
          <t>INR</t>
        </is>
      </c>
      <c r="M1355" s="15" t="n">
        <v>-12985.02</v>
      </c>
      <c r="N1355" s="4" t="inlineStr">
        <is>
          <t>IOS Owner</t>
        </is>
      </c>
      <c r="O1355" s="4" t="n"/>
      <c r="P1355" s="4" t="n"/>
      <c r="Q1355" s="4" t="inlineStr">
        <is>
          <t>MAESTRO-IOS-PERSONAL-LIFESTYLE-1354 | Entertainment | 12985.02</t>
        </is>
      </c>
      <c r="R1355" s="4" t="inlineStr">
        <is>
          <t>iPhone</t>
        </is>
      </c>
      <c r="S1355" s="4" t="inlineStr">
        <is>
          <t>B28</t>
        </is>
      </c>
      <c r="T1355" s="4" t="inlineStr">
        <is>
          <t>RAMP_501_1500</t>
        </is>
      </c>
      <c r="U1355" s="4" t="inlineStr">
        <is>
          <t>CREATED</t>
        </is>
      </c>
      <c r="V1355" s="4" t="inlineStr">
        <is>
          <t>idem-20260902-ios-1354</t>
        </is>
      </c>
    </row>
    <row r="1356" ht="30" customHeight="1">
      <c r="A1356" s="4" t="n">
        <v>1355</v>
      </c>
      <c r="B1356" s="4" t="inlineStr">
        <is>
          <t>MTR-IOS-1355</t>
        </is>
      </c>
      <c r="C1356" s="4" t="inlineStr">
        <is>
          <t>Group</t>
        </is>
      </c>
      <c r="D1356" s="4" t="inlineStr">
        <is>
          <t>Shared Living</t>
        </is>
      </c>
      <c r="E1356" s="4" t="inlineStr">
        <is>
          <t>Shared Living</t>
        </is>
      </c>
      <c r="F1356" s="4" t="inlineStr">
        <is>
          <t>Rent</t>
        </is>
      </c>
      <c r="G1356" s="4" t="inlineStr">
        <is>
          <t>Expense</t>
        </is>
      </c>
      <c r="H1356" s="12" t="n">
        <v>46089</v>
      </c>
      <c r="I1356" s="13" t="n">
        <v>0.2728240740740741</v>
      </c>
      <c r="J1356" s="14" t="n">
        <v>46089.27282407408</v>
      </c>
      <c r="K1356" s="15" t="n">
        <v>17232.77</v>
      </c>
      <c r="L1356" s="4" t="inlineStr">
        <is>
          <t>INR</t>
        </is>
      </c>
      <c r="M1356" s="15" t="n">
        <v>-17232.77</v>
      </c>
      <c r="N1356" s="4" t="inlineStr">
        <is>
          <t>IOS Aarav</t>
        </is>
      </c>
      <c r="O1356" s="4" t="n">
        <v>3</v>
      </c>
      <c r="P1356" s="4" t="inlineStr">
        <is>
          <t>SHARES</t>
        </is>
      </c>
      <c r="Q1356" s="4" t="inlineStr">
        <is>
          <t>MAESTRO-IOS-GROUP-SHARED_LIVING-1355 | Rent | 17232.77</t>
        </is>
      </c>
      <c r="R1356" s="4" t="inlineStr">
        <is>
          <t>iPhone</t>
        </is>
      </c>
      <c r="S1356" s="4" t="inlineStr">
        <is>
          <t>B28</t>
        </is>
      </c>
      <c r="T1356" s="4" t="inlineStr">
        <is>
          <t>RAMP_501_1500</t>
        </is>
      </c>
      <c r="U1356" s="4" t="inlineStr">
        <is>
          <t>CREATED</t>
        </is>
      </c>
      <c r="V1356" s="4" t="inlineStr">
        <is>
          <t>idem-20260902-ios-1355</t>
        </is>
      </c>
    </row>
    <row r="1357" ht="30" customHeight="1">
      <c r="A1357" s="4" t="n">
        <v>1356</v>
      </c>
      <c r="B1357" s="4" t="inlineStr">
        <is>
          <t>MTR-IOS-1356</t>
        </is>
      </c>
      <c r="C1357" s="4" t="inlineStr">
        <is>
          <t>Business</t>
        </is>
      </c>
      <c r="D1357" s="4" t="inlineStr">
        <is>
          <t>Business</t>
        </is>
      </c>
      <c r="E1357" s="4" t="inlineStr">
        <is>
          <t>Business Runway</t>
        </is>
      </c>
      <c r="F1357" s="4" t="inlineStr">
        <is>
          <t>Reserve</t>
        </is>
      </c>
      <c r="G1357" s="4" t="inlineStr">
        <is>
          <t>Transfer</t>
        </is>
      </c>
      <c r="H1357" s="12" t="n">
        <v>46159</v>
      </c>
      <c r="I1357" s="13" t="n">
        <v>0.9765972222222222</v>
      </c>
      <c r="J1357" s="14" t="n">
        <v>46159.97659722222</v>
      </c>
      <c r="K1357" s="15" t="n">
        <v>72955.35000000001</v>
      </c>
      <c r="L1357" s="4" t="inlineStr">
        <is>
          <t>INR</t>
        </is>
      </c>
      <c r="M1357" s="15" t="n">
        <v>0</v>
      </c>
      <c r="N1357" s="4" t="inlineStr">
        <is>
          <t>IOS Owner</t>
        </is>
      </c>
      <c r="O1357" s="4" t="n"/>
      <c r="P1357" s="4" t="n"/>
      <c r="Q1357" s="4" t="inlineStr">
        <is>
          <t>MAESTRO-IOS-BUSINESS-BUSINESS_RUNWAY-1356 | Reserve | 72955.35</t>
        </is>
      </c>
      <c r="R1357" s="4" t="inlineStr">
        <is>
          <t>iPhone</t>
        </is>
      </c>
      <c r="S1357" s="4" t="inlineStr">
        <is>
          <t>B28</t>
        </is>
      </c>
      <c r="T1357" s="4" t="inlineStr">
        <is>
          <t>RAMP_501_1500</t>
        </is>
      </c>
      <c r="U1357" s="4" t="inlineStr">
        <is>
          <t>CREATED</t>
        </is>
      </c>
      <c r="V1357" s="4" t="inlineStr">
        <is>
          <t>idem-20260902-ios-1356</t>
        </is>
      </c>
    </row>
    <row r="1358" ht="30" customHeight="1">
      <c r="A1358" s="4" t="n">
        <v>1357</v>
      </c>
      <c r="B1358" s="4" t="inlineStr">
        <is>
          <t>MTR-IOS-1357</t>
        </is>
      </c>
      <c r="C1358" s="4" t="inlineStr">
        <is>
          <t>Personal</t>
        </is>
      </c>
      <c r="D1358" s="4" t="inlineStr">
        <is>
          <t>Personal</t>
        </is>
      </c>
      <c r="E1358" s="4" t="inlineStr">
        <is>
          <t>Lifestyle</t>
        </is>
      </c>
      <c r="F1358" s="4" t="inlineStr">
        <is>
          <t>Travel</t>
        </is>
      </c>
      <c r="G1358" s="4" t="inlineStr">
        <is>
          <t>Expense</t>
        </is>
      </c>
      <c r="H1358" s="12" t="n">
        <v>46157</v>
      </c>
      <c r="I1358" s="13" t="n">
        <v>0.1026736111111111</v>
      </c>
      <c r="J1358" s="14" t="n">
        <v>46157.10267361111</v>
      </c>
      <c r="K1358" s="15" t="n">
        <v>17102.84</v>
      </c>
      <c r="L1358" s="4" t="inlineStr">
        <is>
          <t>INR</t>
        </is>
      </c>
      <c r="M1358" s="15" t="n">
        <v>-17102.84</v>
      </c>
      <c r="N1358" s="4" t="inlineStr">
        <is>
          <t>IOS Owner</t>
        </is>
      </c>
      <c r="O1358" s="4" t="n"/>
      <c r="P1358" s="4" t="n"/>
      <c r="Q1358" s="4" t="inlineStr">
        <is>
          <t>MAESTRO-IOS-PERSONAL-LIFESTYLE-1357 | Travel | 17102.84</t>
        </is>
      </c>
      <c r="R1358" s="4" t="inlineStr">
        <is>
          <t>iPhone</t>
        </is>
      </c>
      <c r="S1358" s="4" t="inlineStr">
        <is>
          <t>B28</t>
        </is>
      </c>
      <c r="T1358" s="4" t="inlineStr">
        <is>
          <t>RAMP_501_1500</t>
        </is>
      </c>
      <c r="U1358" s="4" t="inlineStr">
        <is>
          <t>CREATED</t>
        </is>
      </c>
      <c r="V1358" s="4" t="inlineStr">
        <is>
          <t>idem-20260902-ios-1357</t>
        </is>
      </c>
    </row>
    <row r="1359" ht="30" customHeight="1">
      <c r="A1359" s="4" t="n">
        <v>1358</v>
      </c>
      <c r="B1359" s="4" t="inlineStr">
        <is>
          <t>MTR-IOS-1358</t>
        </is>
      </c>
      <c r="C1359" s="4" t="inlineStr">
        <is>
          <t>Group</t>
        </is>
      </c>
      <c r="D1359" s="4" t="inlineStr">
        <is>
          <t>Shared Living</t>
        </is>
      </c>
      <c r="E1359" s="4" t="inlineStr">
        <is>
          <t>Shared Living</t>
        </is>
      </c>
      <c r="F1359" s="4" t="inlineStr">
        <is>
          <t>Utilities</t>
        </is>
      </c>
      <c r="G1359" s="4" t="inlineStr">
        <is>
          <t>Expense</t>
        </is>
      </c>
      <c r="H1359" s="12" t="n">
        <v>45950</v>
      </c>
      <c r="I1359" s="13" t="n">
        <v>0.4170138888888889</v>
      </c>
      <c r="J1359" s="14" t="n">
        <v>45950.41701388889</v>
      </c>
      <c r="K1359" s="15" t="n">
        <v>9822.549999999999</v>
      </c>
      <c r="L1359" s="4" t="inlineStr">
        <is>
          <t>INR</t>
        </is>
      </c>
      <c r="M1359" s="15" t="n">
        <v>-9822.549999999999</v>
      </c>
      <c r="N1359" s="4" t="inlineStr">
        <is>
          <t>IOS Meera</t>
        </is>
      </c>
      <c r="O1359" s="4" t="n">
        <v>3</v>
      </c>
      <c r="P1359" s="4" t="inlineStr">
        <is>
          <t>EQUAL</t>
        </is>
      </c>
      <c r="Q1359" s="4" t="inlineStr">
        <is>
          <t>MAESTRO-IOS-GROUP-SHARED_LIVING-1358 | Utilities | 9822.55</t>
        </is>
      </c>
      <c r="R1359" s="4" t="inlineStr">
        <is>
          <t>iPhone</t>
        </is>
      </c>
      <c r="S1359" s="4" t="inlineStr">
        <is>
          <t>B28</t>
        </is>
      </c>
      <c r="T1359" s="4" t="inlineStr">
        <is>
          <t>RAMP_501_1500</t>
        </is>
      </c>
      <c r="U1359" s="4" t="inlineStr">
        <is>
          <t>CREATED</t>
        </is>
      </c>
      <c r="V1359" s="4" t="inlineStr">
        <is>
          <t>idem-20260902-ios-1358</t>
        </is>
      </c>
    </row>
    <row r="1360" ht="30" customHeight="1">
      <c r="A1360" s="4" t="n">
        <v>1359</v>
      </c>
      <c r="B1360" s="4" t="inlineStr">
        <is>
          <t>MTR-IOS-1359</t>
        </is>
      </c>
      <c r="C1360" s="4" t="inlineStr">
        <is>
          <t>Business</t>
        </is>
      </c>
      <c r="D1360" s="4" t="inlineStr">
        <is>
          <t>Business</t>
        </is>
      </c>
      <c r="E1360" s="4" t="inlineStr">
        <is>
          <t>Business Runway</t>
        </is>
      </c>
      <c r="F1360" s="4" t="inlineStr">
        <is>
          <t>Loan</t>
        </is>
      </c>
      <c r="G1360" s="4" t="inlineStr">
        <is>
          <t>Income</t>
        </is>
      </c>
      <c r="H1360" s="12" t="n">
        <v>45966</v>
      </c>
      <c r="I1360" s="13" t="n">
        <v>0.03802083333333333</v>
      </c>
      <c r="J1360" s="14" t="n">
        <v>45966.03802083333</v>
      </c>
      <c r="K1360" s="15" t="n">
        <v>81790.39</v>
      </c>
      <c r="L1360" s="4" t="inlineStr">
        <is>
          <t>INR</t>
        </is>
      </c>
      <c r="M1360" s="15" t="n">
        <v>81790.39</v>
      </c>
      <c r="N1360" s="4" t="inlineStr">
        <is>
          <t>IOS Owner</t>
        </is>
      </c>
      <c r="O1360" s="4" t="n"/>
      <c r="P1360" s="4" t="n"/>
      <c r="Q1360" s="4" t="inlineStr">
        <is>
          <t>MAESTRO-IOS-BUSINESS-BUSINESS_RUNWAY-1359 | Loan | 81790.39</t>
        </is>
      </c>
      <c r="R1360" s="4" t="inlineStr">
        <is>
          <t>iPhone</t>
        </is>
      </c>
      <c r="S1360" s="4" t="inlineStr">
        <is>
          <t>B28</t>
        </is>
      </c>
      <c r="T1360" s="4" t="inlineStr">
        <is>
          <t>RAMP_501_1500</t>
        </is>
      </c>
      <c r="U1360" s="4" t="inlineStr">
        <is>
          <t>CREATED</t>
        </is>
      </c>
      <c r="V1360" s="4" t="inlineStr">
        <is>
          <t>idem-20260902-ios-1359</t>
        </is>
      </c>
    </row>
    <row r="1361" ht="30" customHeight="1">
      <c r="A1361" s="4" t="n">
        <v>1360</v>
      </c>
      <c r="B1361" s="4" t="inlineStr">
        <is>
          <t>MTR-IOS-1360</t>
        </is>
      </c>
      <c r="C1361" s="4" t="inlineStr">
        <is>
          <t>Personal</t>
        </is>
      </c>
      <c r="D1361" s="4" t="inlineStr">
        <is>
          <t>Personal</t>
        </is>
      </c>
      <c r="E1361" s="4" t="inlineStr">
        <is>
          <t>Lifestyle</t>
        </is>
      </c>
      <c r="F1361" s="4" t="inlineStr">
        <is>
          <t>Fitness</t>
        </is>
      </c>
      <c r="G1361" s="4" t="inlineStr">
        <is>
          <t>Expense</t>
        </is>
      </c>
      <c r="H1361" s="12" t="n">
        <v>46003</v>
      </c>
      <c r="I1361" s="13" t="n">
        <v>0.3589814814814815</v>
      </c>
      <c r="J1361" s="14" t="n">
        <v>46003.35898148148</v>
      </c>
      <c r="K1361" s="15" t="n">
        <v>15381.84</v>
      </c>
      <c r="L1361" s="4" t="inlineStr">
        <is>
          <t>INR</t>
        </is>
      </c>
      <c r="M1361" s="15" t="n">
        <v>-15381.84</v>
      </c>
      <c r="N1361" s="4" t="inlineStr">
        <is>
          <t>IOS Owner</t>
        </is>
      </c>
      <c r="O1361" s="4" t="n"/>
      <c r="P1361" s="4" t="n"/>
      <c r="Q1361" s="4" t="inlineStr">
        <is>
          <t>MAESTRO-IOS-PERSONAL-LIFESTYLE-1360 | Fitness | 15381.84</t>
        </is>
      </c>
      <c r="R1361" s="4" t="inlineStr">
        <is>
          <t>iPhone</t>
        </is>
      </c>
      <c r="S1361" s="4" t="inlineStr">
        <is>
          <t>B28</t>
        </is>
      </c>
      <c r="T1361" s="4" t="inlineStr">
        <is>
          <t>RAMP_501_1500</t>
        </is>
      </c>
      <c r="U1361" s="4" t="inlineStr">
        <is>
          <t>CREATED</t>
        </is>
      </c>
      <c r="V1361" s="4" t="inlineStr">
        <is>
          <t>idem-20260902-ios-1360</t>
        </is>
      </c>
    </row>
    <row r="1362" ht="30" customHeight="1">
      <c r="A1362" s="4" t="n">
        <v>1361</v>
      </c>
      <c r="B1362" s="4" t="inlineStr">
        <is>
          <t>MTR-IOS-1361</t>
        </is>
      </c>
      <c r="C1362" s="4" t="inlineStr">
        <is>
          <t>Group</t>
        </is>
      </c>
      <c r="D1362" s="4" t="inlineStr">
        <is>
          <t>Shared Living</t>
        </is>
      </c>
      <c r="E1362" s="4" t="inlineStr">
        <is>
          <t>Shared Living</t>
        </is>
      </c>
      <c r="F1362" s="4" t="inlineStr">
        <is>
          <t>Groceries</t>
        </is>
      </c>
      <c r="G1362" s="4" t="inlineStr">
        <is>
          <t>Expense</t>
        </is>
      </c>
      <c r="H1362" s="12" t="n">
        <v>46103</v>
      </c>
      <c r="I1362" s="13" t="n">
        <v>0.7266550925925926</v>
      </c>
      <c r="J1362" s="14" t="n">
        <v>46103.72665509259</v>
      </c>
      <c r="K1362" s="15" t="n">
        <v>146.12</v>
      </c>
      <c r="L1362" s="4" t="inlineStr">
        <is>
          <t>INR</t>
        </is>
      </c>
      <c r="M1362" s="15" t="n">
        <v>-146.12</v>
      </c>
      <c r="N1362" s="4" t="inlineStr">
        <is>
          <t>IOS Owner</t>
        </is>
      </c>
      <c r="O1362" s="4" t="n">
        <v>3</v>
      </c>
      <c r="P1362" s="4" t="inlineStr">
        <is>
          <t>PERCENTAGE</t>
        </is>
      </c>
      <c r="Q1362" s="4" t="inlineStr">
        <is>
          <t>MAESTRO-IOS-GROUP-SHARED_LIVING-1361 | Groceries | 146.12</t>
        </is>
      </c>
      <c r="R1362" s="4" t="inlineStr">
        <is>
          <t>iPhone</t>
        </is>
      </c>
      <c r="S1362" s="4" t="inlineStr">
        <is>
          <t>B28</t>
        </is>
      </c>
      <c r="T1362" s="4" t="inlineStr">
        <is>
          <t>RAMP_501_1500</t>
        </is>
      </c>
      <c r="U1362" s="4" t="inlineStr">
        <is>
          <t>CREATED</t>
        </is>
      </c>
      <c r="V1362" s="4" t="inlineStr">
        <is>
          <t>idem-20260902-ios-1361</t>
        </is>
      </c>
    </row>
    <row r="1363" ht="30" customHeight="1">
      <c r="A1363" s="4" t="n">
        <v>1362</v>
      </c>
      <c r="B1363" s="4" t="inlineStr">
        <is>
          <t>MTR-IOS-1362</t>
        </is>
      </c>
      <c r="C1363" s="4" t="inlineStr">
        <is>
          <t>Business</t>
        </is>
      </c>
      <c r="D1363" s="4" t="inlineStr">
        <is>
          <t>Business</t>
        </is>
      </c>
      <c r="E1363" s="4" t="inlineStr">
        <is>
          <t>Business Runway</t>
        </is>
      </c>
      <c r="F1363" s="4" t="inlineStr">
        <is>
          <t>Investment</t>
        </is>
      </c>
      <c r="G1363" s="4" t="inlineStr">
        <is>
          <t>Income</t>
        </is>
      </c>
      <c r="H1363" s="12" t="n">
        <v>46009</v>
      </c>
      <c r="I1363" s="13" t="n">
        <v>0.0224537037037037</v>
      </c>
      <c r="J1363" s="14" t="n">
        <v>46009.02245370371</v>
      </c>
      <c r="K1363" s="15" t="n">
        <v>119785.23</v>
      </c>
      <c r="L1363" s="4" t="inlineStr">
        <is>
          <t>INR</t>
        </is>
      </c>
      <c r="M1363" s="15" t="n">
        <v>119785.23</v>
      </c>
      <c r="N1363" s="4" t="inlineStr">
        <is>
          <t>IOS Owner</t>
        </is>
      </c>
      <c r="O1363" s="4" t="n"/>
      <c r="P1363" s="4" t="n"/>
      <c r="Q1363" s="4" t="inlineStr">
        <is>
          <t>MAESTRO-IOS-BUSINESS-BUSINESS_RUNWAY-1362 | Investment | 119785.23</t>
        </is>
      </c>
      <c r="R1363" s="4" t="inlineStr">
        <is>
          <t>iPhone</t>
        </is>
      </c>
      <c r="S1363" s="4" t="inlineStr">
        <is>
          <t>B28</t>
        </is>
      </c>
      <c r="T1363" s="4" t="inlineStr">
        <is>
          <t>RAMP_501_1500</t>
        </is>
      </c>
      <c r="U1363" s="4" t="inlineStr">
        <is>
          <t>CREATED</t>
        </is>
      </c>
      <c r="V1363" s="4" t="inlineStr">
        <is>
          <t>idem-20260902-ios-1362</t>
        </is>
      </c>
    </row>
    <row r="1364" ht="30" customHeight="1">
      <c r="A1364" s="4" t="n">
        <v>1363</v>
      </c>
      <c r="B1364" s="4" t="inlineStr">
        <is>
          <t>MTR-IOS-1363</t>
        </is>
      </c>
      <c r="C1364" s="4" t="inlineStr">
        <is>
          <t>Personal</t>
        </is>
      </c>
      <c r="D1364" s="4" t="inlineStr">
        <is>
          <t>Personal</t>
        </is>
      </c>
      <c r="E1364" s="4" t="inlineStr">
        <is>
          <t>Lifestyle</t>
        </is>
      </c>
      <c r="F1364" s="4" t="inlineStr">
        <is>
          <t>Hobbies</t>
        </is>
      </c>
      <c r="G1364" s="4" t="inlineStr">
        <is>
          <t>Expense</t>
        </is>
      </c>
      <c r="H1364" s="12" t="n">
        <v>46097</v>
      </c>
      <c r="I1364" s="13" t="n">
        <v>0.1598726851851852</v>
      </c>
      <c r="J1364" s="14" t="n">
        <v>46097.15987268519</v>
      </c>
      <c r="K1364" s="15" t="n">
        <v>12021.17</v>
      </c>
      <c r="L1364" s="4" t="inlineStr">
        <is>
          <t>INR</t>
        </is>
      </c>
      <c r="M1364" s="15" t="n">
        <v>-12021.17</v>
      </c>
      <c r="N1364" s="4" t="inlineStr">
        <is>
          <t>IOS Owner</t>
        </is>
      </c>
      <c r="O1364" s="4" t="n"/>
      <c r="P1364" s="4" t="n"/>
      <c r="Q1364" s="4" t="inlineStr">
        <is>
          <t>MAESTRO-IOS-PERSONAL-LIFESTYLE-1363 | Hobbies | 12021.17</t>
        </is>
      </c>
      <c r="R1364" s="4" t="inlineStr">
        <is>
          <t>iPhone</t>
        </is>
      </c>
      <c r="S1364" s="4" t="inlineStr">
        <is>
          <t>B28</t>
        </is>
      </c>
      <c r="T1364" s="4" t="inlineStr">
        <is>
          <t>RAMP_501_1500</t>
        </is>
      </c>
      <c r="U1364" s="4" t="inlineStr">
        <is>
          <t>CREATED</t>
        </is>
      </c>
      <c r="V1364" s="4" t="inlineStr">
        <is>
          <t>idem-20260902-ios-1363</t>
        </is>
      </c>
    </row>
    <row r="1365" ht="30" customHeight="1">
      <c r="A1365" s="4" t="n">
        <v>1364</v>
      </c>
      <c r="B1365" s="4" t="inlineStr">
        <is>
          <t>MTR-IOS-1364</t>
        </is>
      </c>
      <c r="C1365" s="4" t="inlineStr">
        <is>
          <t>Group</t>
        </is>
      </c>
      <c r="D1365" s="4" t="inlineStr">
        <is>
          <t>Shared Living</t>
        </is>
      </c>
      <c r="E1365" s="4" t="inlineStr">
        <is>
          <t>Shared Living</t>
        </is>
      </c>
      <c r="F1365" s="4" t="inlineStr">
        <is>
          <t>Maintenance</t>
        </is>
      </c>
      <c r="G1365" s="4" t="inlineStr">
        <is>
          <t>Expense</t>
        </is>
      </c>
      <c r="H1365" s="12" t="n">
        <v>46132</v>
      </c>
      <c r="I1365" s="13" t="n">
        <v>0.9939236111111112</v>
      </c>
      <c r="J1365" s="14" t="n">
        <v>46132.99392361111</v>
      </c>
      <c r="K1365" s="15" t="n">
        <v>23784.02</v>
      </c>
      <c r="L1365" s="4" t="inlineStr">
        <is>
          <t>INR</t>
        </is>
      </c>
      <c r="M1365" s="15" t="n">
        <v>-23784.02</v>
      </c>
      <c r="N1365" s="4" t="inlineStr">
        <is>
          <t>IOS Aarav</t>
        </is>
      </c>
      <c r="O1365" s="4" t="n">
        <v>3</v>
      </c>
      <c r="P1365" s="4" t="inlineStr">
        <is>
          <t>EXACT</t>
        </is>
      </c>
      <c r="Q1365" s="4" t="inlineStr">
        <is>
          <t>MAESTRO-IOS-GROUP-SHARED_LIVING-1364 | Maintenance | 23784.02</t>
        </is>
      </c>
      <c r="R1365" s="4" t="inlineStr">
        <is>
          <t>iPhone</t>
        </is>
      </c>
      <c r="S1365" s="4" t="inlineStr">
        <is>
          <t>B28</t>
        </is>
      </c>
      <c r="T1365" s="4" t="inlineStr">
        <is>
          <t>RAMP_501_1500</t>
        </is>
      </c>
      <c r="U1365" s="4" t="inlineStr">
        <is>
          <t>CREATED</t>
        </is>
      </c>
      <c r="V1365" s="4" t="inlineStr">
        <is>
          <t>idem-20260902-ios-1364</t>
        </is>
      </c>
    </row>
    <row r="1366" ht="30" customHeight="1">
      <c r="A1366" s="4" t="n">
        <v>1365</v>
      </c>
      <c r="B1366" s="4" t="inlineStr">
        <is>
          <t>MTR-IOS-1365</t>
        </is>
      </c>
      <c r="C1366" s="4" t="inlineStr">
        <is>
          <t>Business</t>
        </is>
      </c>
      <c r="D1366" s="4" t="inlineStr">
        <is>
          <t>Business</t>
        </is>
      </c>
      <c r="E1366" s="4" t="inlineStr">
        <is>
          <t>Business Operations</t>
        </is>
      </c>
      <c r="F1366" s="4" t="inlineStr">
        <is>
          <t>Software</t>
        </is>
      </c>
      <c r="G1366" s="4" t="inlineStr">
        <is>
          <t>Expense</t>
        </is>
      </c>
      <c r="H1366" s="12" t="n">
        <v>46135</v>
      </c>
      <c r="I1366" s="13" t="n">
        <v>0.6115856481481482</v>
      </c>
      <c r="J1366" s="14" t="n">
        <v>46135.61158564815</v>
      </c>
      <c r="K1366" s="15" t="n">
        <v>67423.48</v>
      </c>
      <c r="L1366" s="4" t="inlineStr">
        <is>
          <t>INR</t>
        </is>
      </c>
      <c r="M1366" s="15" t="n">
        <v>-67423.48</v>
      </c>
      <c r="N1366" s="4" t="inlineStr">
        <is>
          <t>IOS Owner</t>
        </is>
      </c>
      <c r="O1366" s="4" t="n"/>
      <c r="P1366" s="4" t="n"/>
      <c r="Q1366" s="4" t="inlineStr">
        <is>
          <t>MAESTRO-IOS-BUSINESS-BUSINESS_OPERATIONS-1365 | Software | 67423.48</t>
        </is>
      </c>
      <c r="R1366" s="4" t="inlineStr">
        <is>
          <t>iPhone</t>
        </is>
      </c>
      <c r="S1366" s="4" t="inlineStr">
        <is>
          <t>B28</t>
        </is>
      </c>
      <c r="T1366" s="4" t="inlineStr">
        <is>
          <t>RAMP_501_1500</t>
        </is>
      </c>
      <c r="U1366" s="4" t="inlineStr">
        <is>
          <t>CREATED</t>
        </is>
      </c>
      <c r="V1366" s="4" t="inlineStr">
        <is>
          <t>idem-20260902-ios-1365</t>
        </is>
      </c>
    </row>
    <row r="1367" ht="30" customHeight="1">
      <c r="A1367" s="4" t="n">
        <v>1366</v>
      </c>
      <c r="B1367" s="4" t="inlineStr">
        <is>
          <t>MTR-IOS-1366</t>
        </is>
      </c>
      <c r="C1367" s="4" t="inlineStr">
        <is>
          <t>Personal</t>
        </is>
      </c>
      <c r="D1367" s="4" t="inlineStr">
        <is>
          <t>Personal</t>
        </is>
      </c>
      <c r="E1367" s="4" t="inlineStr">
        <is>
          <t>Relationships</t>
        </is>
      </c>
      <c r="F1367" s="4" t="inlineStr">
        <is>
          <t>Gifts</t>
        </is>
      </c>
      <c r="G1367" s="4" t="inlineStr">
        <is>
          <t>Expense</t>
        </is>
      </c>
      <c r="H1367" s="12" t="n">
        <v>46117</v>
      </c>
      <c r="I1367" s="13" t="n">
        <v>0.6570138888888889</v>
      </c>
      <c r="J1367" s="14" t="n">
        <v>46117.65701388889</v>
      </c>
      <c r="K1367" s="15" t="n">
        <v>9123.799999999999</v>
      </c>
      <c r="L1367" s="4" t="inlineStr">
        <is>
          <t>INR</t>
        </is>
      </c>
      <c r="M1367" s="15" t="n">
        <v>-9123.799999999999</v>
      </c>
      <c r="N1367" s="4" t="inlineStr">
        <is>
          <t>IOS Owner</t>
        </is>
      </c>
      <c r="O1367" s="4" t="n"/>
      <c r="P1367" s="4" t="n"/>
      <c r="Q1367" s="4" t="inlineStr">
        <is>
          <t>MAESTRO-IOS-PERSONAL-RELATIONSHIPS-1366 | Gifts | 9123.80</t>
        </is>
      </c>
      <c r="R1367" s="4" t="inlineStr">
        <is>
          <t>iPhone</t>
        </is>
      </c>
      <c r="S1367" s="4" t="inlineStr">
        <is>
          <t>B28</t>
        </is>
      </c>
      <c r="T1367" s="4" t="inlineStr">
        <is>
          <t>RAMP_501_1500</t>
        </is>
      </c>
      <c r="U1367" s="4" t="inlineStr">
        <is>
          <t>CREATED</t>
        </is>
      </c>
      <c r="V1367" s="4" t="inlineStr">
        <is>
          <t>idem-20260902-ios-1366</t>
        </is>
      </c>
    </row>
    <row r="1368" ht="30" customHeight="1">
      <c r="A1368" s="4" t="n">
        <v>1367</v>
      </c>
      <c r="B1368" s="4" t="inlineStr">
        <is>
          <t>MTR-IOS-1367</t>
        </is>
      </c>
      <c r="C1368" s="4" t="inlineStr">
        <is>
          <t>Group</t>
        </is>
      </c>
      <c r="D1368" s="4" t="inlineStr">
        <is>
          <t>Shared Living</t>
        </is>
      </c>
      <c r="E1368" s="4" t="inlineStr">
        <is>
          <t>Shared Living</t>
        </is>
      </c>
      <c r="F1368" s="4" t="inlineStr">
        <is>
          <t>Other</t>
        </is>
      </c>
      <c r="G1368" s="4" t="inlineStr">
        <is>
          <t>Expense</t>
        </is>
      </c>
      <c r="H1368" s="12" t="n">
        <v>46186</v>
      </c>
      <c r="I1368" s="13" t="n">
        <v>0.02775462962962963</v>
      </c>
      <c r="J1368" s="14" t="n">
        <v>46186.02775462963</v>
      </c>
      <c r="K1368" s="15" t="n">
        <v>15894.32</v>
      </c>
      <c r="L1368" s="4" t="inlineStr">
        <is>
          <t>INR</t>
        </is>
      </c>
      <c r="M1368" s="15" t="n">
        <v>-15894.32</v>
      </c>
      <c r="N1368" s="4" t="inlineStr">
        <is>
          <t>IOS Meera</t>
        </is>
      </c>
      <c r="O1368" s="4" t="n">
        <v>3</v>
      </c>
      <c r="P1368" s="4" t="inlineStr">
        <is>
          <t>SHARES</t>
        </is>
      </c>
      <c r="Q1368" s="4" t="inlineStr">
        <is>
          <t>MAESTRO-IOS-GROUP-SHARED_LIVING-1367 | Other | 15894.32</t>
        </is>
      </c>
      <c r="R1368" s="4" t="inlineStr">
        <is>
          <t>iPhone</t>
        </is>
      </c>
      <c r="S1368" s="4" t="inlineStr">
        <is>
          <t>B28</t>
        </is>
      </c>
      <c r="T1368" s="4" t="inlineStr">
        <is>
          <t>RAMP_501_1500</t>
        </is>
      </c>
      <c r="U1368" s="4" t="inlineStr">
        <is>
          <t>CREATED</t>
        </is>
      </c>
      <c r="V1368" s="4" t="inlineStr">
        <is>
          <t>idem-20260902-ios-1367</t>
        </is>
      </c>
    </row>
    <row r="1369" ht="30" customHeight="1">
      <c r="A1369" s="4" t="n">
        <v>1368</v>
      </c>
      <c r="B1369" s="4" t="inlineStr">
        <is>
          <t>MTR-IOS-1368</t>
        </is>
      </c>
      <c r="C1369" s="4" t="inlineStr">
        <is>
          <t>Business</t>
        </is>
      </c>
      <c r="D1369" s="4" t="inlineStr">
        <is>
          <t>Business</t>
        </is>
      </c>
      <c r="E1369" s="4" t="inlineStr">
        <is>
          <t>Business Operations</t>
        </is>
      </c>
      <c r="F1369" s="4" t="inlineStr">
        <is>
          <t>Rent</t>
        </is>
      </c>
      <c r="G1369" s="4" t="inlineStr">
        <is>
          <t>Expense</t>
        </is>
      </c>
      <c r="H1369" s="12" t="n">
        <v>46011</v>
      </c>
      <c r="I1369" s="13" t="n">
        <v>0.6580208333333334</v>
      </c>
      <c r="J1369" s="14" t="n">
        <v>46011.65802083333</v>
      </c>
      <c r="K1369" s="15" t="n">
        <v>110859.51</v>
      </c>
      <c r="L1369" s="4" t="inlineStr">
        <is>
          <t>INR</t>
        </is>
      </c>
      <c r="M1369" s="15" t="n">
        <v>-110859.51</v>
      </c>
      <c r="N1369" s="4" t="inlineStr">
        <is>
          <t>IOS Owner</t>
        </is>
      </c>
      <c r="O1369" s="4" t="n"/>
      <c r="P1369" s="4" t="n"/>
      <c r="Q1369" s="4" t="inlineStr">
        <is>
          <t>MAESTRO-IOS-BUSINESS-BUSINESS_OPERATIONS-1368 | Rent | 110859.51</t>
        </is>
      </c>
      <c r="R1369" s="4" t="inlineStr">
        <is>
          <t>iPhone</t>
        </is>
      </c>
      <c r="S1369" s="4" t="inlineStr">
        <is>
          <t>B28</t>
        </is>
      </c>
      <c r="T1369" s="4" t="inlineStr">
        <is>
          <t>RAMP_501_1500</t>
        </is>
      </c>
      <c r="U1369" s="4" t="inlineStr">
        <is>
          <t>CREATED</t>
        </is>
      </c>
      <c r="V1369" s="4" t="inlineStr">
        <is>
          <t>idem-20260902-ios-1368</t>
        </is>
      </c>
    </row>
    <row r="1370" ht="30" customHeight="1">
      <c r="A1370" s="4" t="n">
        <v>1369</v>
      </c>
      <c r="B1370" s="4" t="inlineStr">
        <is>
          <t>MTR-IOS-1369</t>
        </is>
      </c>
      <c r="C1370" s="4" t="inlineStr">
        <is>
          <t>Personal</t>
        </is>
      </c>
      <c r="D1370" s="4" t="inlineStr">
        <is>
          <t>Personal</t>
        </is>
      </c>
      <c r="E1370" s="4" t="inlineStr">
        <is>
          <t>Relationships</t>
        </is>
      </c>
      <c r="F1370" s="4" t="inlineStr">
        <is>
          <t>Dates</t>
        </is>
      </c>
      <c r="G1370" s="4" t="inlineStr">
        <is>
          <t>Expense</t>
        </is>
      </c>
      <c r="H1370" s="12" t="n">
        <v>45932</v>
      </c>
      <c r="I1370" s="13" t="n">
        <v>0.8807870370370371</v>
      </c>
      <c r="J1370" s="14" t="n">
        <v>45932.88078703704</v>
      </c>
      <c r="K1370" s="15" t="n">
        <v>1</v>
      </c>
      <c r="L1370" s="4" t="inlineStr">
        <is>
          <t>INR</t>
        </is>
      </c>
      <c r="M1370" s="15" t="n">
        <v>-1</v>
      </c>
      <c r="N1370" s="4" t="inlineStr">
        <is>
          <t>IOS Owner</t>
        </is>
      </c>
      <c r="O1370" s="4" t="n"/>
      <c r="P1370" s="4" t="n"/>
      <c r="Q1370" s="4" t="inlineStr">
        <is>
          <t>MAESTRO-IOS-PERSONAL-RELATIONSHIPS-1369 | Dates | 1.00</t>
        </is>
      </c>
      <c r="R1370" s="4" t="inlineStr">
        <is>
          <t>iPhone</t>
        </is>
      </c>
      <c r="S1370" s="4" t="inlineStr">
        <is>
          <t>B28</t>
        </is>
      </c>
      <c r="T1370" s="4" t="inlineStr">
        <is>
          <t>RAMP_501_1500</t>
        </is>
      </c>
      <c r="U1370" s="4" t="inlineStr">
        <is>
          <t>CREATED</t>
        </is>
      </c>
      <c r="V1370" s="4" t="inlineStr">
        <is>
          <t>idem-20260902-ios-1369</t>
        </is>
      </c>
    </row>
    <row r="1371" ht="30" customHeight="1">
      <c r="A1371" s="4" t="n">
        <v>1370</v>
      </c>
      <c r="B1371" s="4" t="inlineStr">
        <is>
          <t>MTR-IOS-1370</t>
        </is>
      </c>
      <c r="C1371" s="4" t="inlineStr">
        <is>
          <t>Group</t>
        </is>
      </c>
      <c r="D1371" s="4" t="inlineStr">
        <is>
          <t>Shared Living</t>
        </is>
      </c>
      <c r="E1371" s="4" t="inlineStr">
        <is>
          <t>Family Household</t>
        </is>
      </c>
      <c r="F1371" s="4" t="inlineStr">
        <is>
          <t>Groceries</t>
        </is>
      </c>
      <c r="G1371" s="4" t="inlineStr">
        <is>
          <t>Expense</t>
        </is>
      </c>
      <c r="H1371" s="12" t="n">
        <v>45992</v>
      </c>
      <c r="I1371" s="13" t="n">
        <v>0.8164814814814815</v>
      </c>
      <c r="J1371" s="14" t="n">
        <v>45992.81648148148</v>
      </c>
      <c r="K1371" s="15" t="n">
        <v>18371.46</v>
      </c>
      <c r="L1371" s="4" t="inlineStr">
        <is>
          <t>INR</t>
        </is>
      </c>
      <c r="M1371" s="15" t="n">
        <v>-18371.46</v>
      </c>
      <c r="N1371" s="4" t="inlineStr">
        <is>
          <t>IOS Owner</t>
        </is>
      </c>
      <c r="O1371" s="4" t="n">
        <v>3</v>
      </c>
      <c r="P1371" s="4" t="inlineStr">
        <is>
          <t>EQUAL</t>
        </is>
      </c>
      <c r="Q1371" s="4" t="inlineStr">
        <is>
          <t>MAESTRO-IOS-GROUP-FAMILY_HOUSEHOLD-1370 | Groceries | 18371.46</t>
        </is>
      </c>
      <c r="R1371" s="4" t="inlineStr">
        <is>
          <t>iPhone</t>
        </is>
      </c>
      <c r="S1371" s="4" t="inlineStr">
        <is>
          <t>B28</t>
        </is>
      </c>
      <c r="T1371" s="4" t="inlineStr">
        <is>
          <t>RAMP_501_1500</t>
        </is>
      </c>
      <c r="U1371" s="4" t="inlineStr">
        <is>
          <t>CREATED</t>
        </is>
      </c>
      <c r="V1371" s="4" t="inlineStr">
        <is>
          <t>idem-20260902-ios-1370</t>
        </is>
      </c>
    </row>
    <row r="1372" ht="30" customHeight="1">
      <c r="A1372" s="4" t="n">
        <v>1371</v>
      </c>
      <c r="B1372" s="4" t="inlineStr">
        <is>
          <t>MTR-IOS-1371</t>
        </is>
      </c>
      <c r="C1372" s="4" t="inlineStr">
        <is>
          <t>Business</t>
        </is>
      </c>
      <c r="D1372" s="4" t="inlineStr">
        <is>
          <t>Business</t>
        </is>
      </c>
      <c r="E1372" s="4" t="inlineStr">
        <is>
          <t>Business Operations</t>
        </is>
      </c>
      <c r="F1372" s="4" t="inlineStr">
        <is>
          <t>Marketing</t>
        </is>
      </c>
      <c r="G1372" s="4" t="inlineStr">
        <is>
          <t>Expense</t>
        </is>
      </c>
      <c r="H1372" s="12" t="n">
        <v>45958</v>
      </c>
      <c r="I1372" s="13" t="n">
        <v>0.9108912037037037</v>
      </c>
      <c r="J1372" s="14" t="n">
        <v>45958.9108912037</v>
      </c>
      <c r="K1372" s="15" t="n">
        <v>48737.79</v>
      </c>
      <c r="L1372" s="4" t="inlineStr">
        <is>
          <t>INR</t>
        </is>
      </c>
      <c r="M1372" s="15" t="n">
        <v>-48737.79</v>
      </c>
      <c r="N1372" s="4" t="inlineStr">
        <is>
          <t>IOS Owner</t>
        </is>
      </c>
      <c r="O1372" s="4" t="n"/>
      <c r="P1372" s="4" t="n"/>
      <c r="Q1372" s="4" t="inlineStr">
        <is>
          <t>MAESTRO-IOS-BUSINESS-BUSINESS_OPERATIONS-1371 | Marketing | 48737.79</t>
        </is>
      </c>
      <c r="R1372" s="4" t="inlineStr">
        <is>
          <t>iPhone</t>
        </is>
      </c>
      <c r="S1372" s="4" t="inlineStr">
        <is>
          <t>B28</t>
        </is>
      </c>
      <c r="T1372" s="4" t="inlineStr">
        <is>
          <t>RAMP_501_1500</t>
        </is>
      </c>
      <c r="U1372" s="4" t="inlineStr">
        <is>
          <t>CREATED</t>
        </is>
      </c>
      <c r="V1372" s="4" t="inlineStr">
        <is>
          <t>idem-20260902-ios-1371</t>
        </is>
      </c>
    </row>
    <row r="1373" ht="30" customHeight="1">
      <c r="A1373" s="4" t="n">
        <v>1372</v>
      </c>
      <c r="B1373" s="4" t="inlineStr">
        <is>
          <t>MTR-IOS-1372</t>
        </is>
      </c>
      <c r="C1373" s="4" t="inlineStr">
        <is>
          <t>Personal</t>
        </is>
      </c>
      <c r="D1373" s="4" t="inlineStr">
        <is>
          <t>Personal</t>
        </is>
      </c>
      <c r="E1373" s="4" t="inlineStr">
        <is>
          <t>Relationships</t>
        </is>
      </c>
      <c r="F1373" s="4" t="inlineStr">
        <is>
          <t>Family</t>
        </is>
      </c>
      <c r="G1373" s="4" t="inlineStr">
        <is>
          <t>Expense</t>
        </is>
      </c>
      <c r="H1373" s="12" t="n">
        <v>46161</v>
      </c>
      <c r="I1373" s="13" t="n">
        <v>0.8508912037037037</v>
      </c>
      <c r="J1373" s="14" t="n">
        <v>46161.85089120371</v>
      </c>
      <c r="K1373" s="15" t="n">
        <v>12294.67</v>
      </c>
      <c r="L1373" s="4" t="inlineStr">
        <is>
          <t>INR</t>
        </is>
      </c>
      <c r="M1373" s="15" t="n">
        <v>-12294.67</v>
      </c>
      <c r="N1373" s="4" t="inlineStr">
        <is>
          <t>IOS Owner</t>
        </is>
      </c>
      <c r="O1373" s="4" t="n"/>
      <c r="P1373" s="4" t="n"/>
      <c r="Q1373" s="4" t="inlineStr">
        <is>
          <t>MAESTRO-IOS-PERSONAL-RELATIONSHIPS-1372 | Family | 12294.67</t>
        </is>
      </c>
      <c r="R1373" s="4" t="inlineStr">
        <is>
          <t>iPhone</t>
        </is>
      </c>
      <c r="S1373" s="4" t="inlineStr">
        <is>
          <t>B28</t>
        </is>
      </c>
      <c r="T1373" s="4" t="inlineStr">
        <is>
          <t>RAMP_501_1500</t>
        </is>
      </c>
      <c r="U1373" s="4" t="inlineStr">
        <is>
          <t>CREATED</t>
        </is>
      </c>
      <c r="V1373" s="4" t="inlineStr">
        <is>
          <t>idem-20260902-ios-1372</t>
        </is>
      </c>
    </row>
    <row r="1374" ht="30" customHeight="1">
      <c r="A1374" s="4" t="n">
        <v>1373</v>
      </c>
      <c r="B1374" s="4" t="inlineStr">
        <is>
          <t>MTR-IOS-1373</t>
        </is>
      </c>
      <c r="C1374" s="4" t="inlineStr">
        <is>
          <t>Group</t>
        </is>
      </c>
      <c r="D1374" s="4" t="inlineStr">
        <is>
          <t>Shared Living</t>
        </is>
      </c>
      <c r="E1374" s="4" t="inlineStr">
        <is>
          <t>Family Household</t>
        </is>
      </c>
      <c r="F1374" s="4" t="inlineStr">
        <is>
          <t>Bills</t>
        </is>
      </c>
      <c r="G1374" s="4" t="inlineStr">
        <is>
          <t>Expense</t>
        </is>
      </c>
      <c r="H1374" s="12" t="n">
        <v>46044</v>
      </c>
      <c r="I1374" s="13" t="n">
        <v>0.7157523148148148</v>
      </c>
      <c r="J1374" s="14" t="n">
        <v>46044.71575231481</v>
      </c>
      <c r="K1374" s="15" t="n">
        <v>2295.9</v>
      </c>
      <c r="L1374" s="4" t="inlineStr">
        <is>
          <t>INR</t>
        </is>
      </c>
      <c r="M1374" s="15" t="n">
        <v>-2295.9</v>
      </c>
      <c r="N1374" s="4" t="inlineStr">
        <is>
          <t>IOS Aarav</t>
        </is>
      </c>
      <c r="O1374" s="4" t="n">
        <v>3</v>
      </c>
      <c r="P1374" s="4" t="inlineStr">
        <is>
          <t>PERCENTAGE</t>
        </is>
      </c>
      <c r="Q1374" s="4" t="inlineStr">
        <is>
          <t>MAESTRO-IOS-GROUP-FAMILY_HOUSEHOLD-1373 | Bills | 2295.90</t>
        </is>
      </c>
      <c r="R1374" s="4" t="inlineStr">
        <is>
          <t>iPhone</t>
        </is>
      </c>
      <c r="S1374" s="4" t="inlineStr">
        <is>
          <t>B28</t>
        </is>
      </c>
      <c r="T1374" s="4" t="inlineStr">
        <is>
          <t>RAMP_501_1500</t>
        </is>
      </c>
      <c r="U1374" s="4" t="inlineStr">
        <is>
          <t>CREATED</t>
        </is>
      </c>
      <c r="V1374" s="4" t="inlineStr">
        <is>
          <t>idem-20260902-ios-1373</t>
        </is>
      </c>
    </row>
    <row r="1375" ht="30" customHeight="1">
      <c r="A1375" s="4" t="n">
        <v>1374</v>
      </c>
      <c r="B1375" s="4" t="inlineStr">
        <is>
          <t>MTR-IOS-1374</t>
        </is>
      </c>
      <c r="C1375" s="4" t="inlineStr">
        <is>
          <t>Business</t>
        </is>
      </c>
      <c r="D1375" s="4" t="inlineStr">
        <is>
          <t>Business</t>
        </is>
      </c>
      <c r="E1375" s="4" t="inlineStr">
        <is>
          <t>Business Operations</t>
        </is>
      </c>
      <c r="F1375" s="4" t="inlineStr">
        <is>
          <t>Legal</t>
        </is>
      </c>
      <c r="G1375" s="4" t="inlineStr">
        <is>
          <t>Expense</t>
        </is>
      </c>
      <c r="H1375" s="12" t="n">
        <v>46199</v>
      </c>
      <c r="I1375" s="13" t="n">
        <v>0.1005092592592593</v>
      </c>
      <c r="J1375" s="14" t="n">
        <v>46199.10050925926</v>
      </c>
      <c r="K1375" s="15" t="n">
        <v>72408.41</v>
      </c>
      <c r="L1375" s="4" t="inlineStr">
        <is>
          <t>INR</t>
        </is>
      </c>
      <c r="M1375" s="15" t="n">
        <v>-72408.41</v>
      </c>
      <c r="N1375" s="4" t="inlineStr">
        <is>
          <t>IOS Owner</t>
        </is>
      </c>
      <c r="O1375" s="4" t="n"/>
      <c r="P1375" s="4" t="n"/>
      <c r="Q1375" s="4" t="inlineStr">
        <is>
          <t>MAESTRO-IOS-BUSINESS-BUSINESS_OPERATIONS-1374 | Legal | 72408.41</t>
        </is>
      </c>
      <c r="R1375" s="4" t="inlineStr">
        <is>
          <t>iPhone</t>
        </is>
      </c>
      <c r="S1375" s="4" t="inlineStr">
        <is>
          <t>B28</t>
        </is>
      </c>
      <c r="T1375" s="4" t="inlineStr">
        <is>
          <t>RAMP_501_1500</t>
        </is>
      </c>
      <c r="U1375" s="4" t="inlineStr">
        <is>
          <t>CREATED</t>
        </is>
      </c>
      <c r="V1375" s="4" t="inlineStr">
        <is>
          <t>idem-20260902-ios-1374</t>
        </is>
      </c>
    </row>
    <row r="1376" ht="30" customHeight="1">
      <c r="A1376" s="4" t="n">
        <v>1375</v>
      </c>
      <c r="B1376" s="4" t="inlineStr">
        <is>
          <t>MTR-IOS-1375</t>
        </is>
      </c>
      <c r="C1376" s="4" t="inlineStr">
        <is>
          <t>Personal</t>
        </is>
      </c>
      <c r="D1376" s="4" t="inlineStr">
        <is>
          <t>Personal</t>
        </is>
      </c>
      <c r="E1376" s="4" t="inlineStr">
        <is>
          <t>Relationships</t>
        </is>
      </c>
      <c r="F1376" s="4" t="inlineStr">
        <is>
          <t>Friends</t>
        </is>
      </c>
      <c r="G1376" s="4" t="inlineStr">
        <is>
          <t>Expense</t>
        </is>
      </c>
      <c r="H1376" s="12" t="n">
        <v>46047</v>
      </c>
      <c r="I1376" s="13" t="n">
        <v>0.7702893518518519</v>
      </c>
      <c r="J1376" s="14" t="n">
        <v>46047.77028935185</v>
      </c>
      <c r="K1376" s="15" t="n">
        <v>1233.42</v>
      </c>
      <c r="L1376" s="4" t="inlineStr">
        <is>
          <t>INR</t>
        </is>
      </c>
      <c r="M1376" s="15" t="n">
        <v>-1233.42</v>
      </c>
      <c r="N1376" s="4" t="inlineStr">
        <is>
          <t>IOS Owner</t>
        </is>
      </c>
      <c r="O1376" s="4" t="n"/>
      <c r="P1376" s="4" t="n"/>
      <c r="Q1376" s="4" t="inlineStr">
        <is>
          <t>MAESTRO-IOS-PERSONAL-RELATIONSHIPS-1375 | Friends | 1233.42</t>
        </is>
      </c>
      <c r="R1376" s="4" t="inlineStr">
        <is>
          <t>iPhone</t>
        </is>
      </c>
      <c r="S1376" s="4" t="inlineStr">
        <is>
          <t>B28</t>
        </is>
      </c>
      <c r="T1376" s="4" t="inlineStr">
        <is>
          <t>RAMP_501_1500</t>
        </is>
      </c>
      <c r="U1376" s="4" t="inlineStr">
        <is>
          <t>CREATED</t>
        </is>
      </c>
      <c r="V1376" s="4" t="inlineStr">
        <is>
          <t>idem-20260902-ios-1375</t>
        </is>
      </c>
    </row>
    <row r="1377" ht="30" customHeight="1">
      <c r="A1377" s="4" t="n">
        <v>1376</v>
      </c>
      <c r="B1377" s="4" t="inlineStr">
        <is>
          <t>MTR-IOS-1376</t>
        </is>
      </c>
      <c r="C1377" s="4" t="inlineStr">
        <is>
          <t>Group</t>
        </is>
      </c>
      <c r="D1377" s="4" t="inlineStr">
        <is>
          <t>Shared Living</t>
        </is>
      </c>
      <c r="E1377" s="4" t="inlineStr">
        <is>
          <t>Family Household</t>
        </is>
      </c>
      <c r="F1377" s="4" t="inlineStr">
        <is>
          <t>School</t>
        </is>
      </c>
      <c r="G1377" s="4" t="inlineStr">
        <is>
          <t>Expense</t>
        </is>
      </c>
      <c r="H1377" s="12" t="n">
        <v>46214</v>
      </c>
      <c r="I1377" s="13" t="n">
        <v>0.7318287037037037</v>
      </c>
      <c r="J1377" s="14" t="n">
        <v>46214.73182870371</v>
      </c>
      <c r="K1377" s="15" t="n">
        <v>259.15</v>
      </c>
      <c r="L1377" s="4" t="inlineStr">
        <is>
          <t>INR</t>
        </is>
      </c>
      <c r="M1377" s="15" t="n">
        <v>-259.15</v>
      </c>
      <c r="N1377" s="4" t="inlineStr">
        <is>
          <t>IOS Meera</t>
        </is>
      </c>
      <c r="O1377" s="4" t="n">
        <v>3</v>
      </c>
      <c r="P1377" s="4" t="inlineStr">
        <is>
          <t>EXACT</t>
        </is>
      </c>
      <c r="Q1377" s="4" t="inlineStr">
        <is>
          <t>MAESTRO-IOS-GROUP-FAMILY_HOUSEHOLD-1376 | School | 259.15</t>
        </is>
      </c>
      <c r="R1377" s="4" t="inlineStr">
        <is>
          <t>iPhone</t>
        </is>
      </c>
      <c r="S1377" s="4" t="inlineStr">
        <is>
          <t>B28</t>
        </is>
      </c>
      <c r="T1377" s="4" t="inlineStr">
        <is>
          <t>RAMP_501_1500</t>
        </is>
      </c>
      <c r="U1377" s="4" t="inlineStr">
        <is>
          <t>CREATED</t>
        </is>
      </c>
      <c r="V1377" s="4" t="inlineStr">
        <is>
          <t>idem-20260902-ios-1376</t>
        </is>
      </c>
    </row>
    <row r="1378" ht="30" customHeight="1">
      <c r="A1378" s="4" t="n">
        <v>1377</v>
      </c>
      <c r="B1378" s="4" t="inlineStr">
        <is>
          <t>MTR-IOS-1377</t>
        </is>
      </c>
      <c r="C1378" s="4" t="inlineStr">
        <is>
          <t>Business</t>
        </is>
      </c>
      <c r="D1378" s="4" t="inlineStr">
        <is>
          <t>Business</t>
        </is>
      </c>
      <c r="E1378" s="4" t="inlineStr">
        <is>
          <t>Business Operations</t>
        </is>
      </c>
      <c r="F1378" s="4" t="inlineStr">
        <is>
          <t>Accounting</t>
        </is>
      </c>
      <c r="G1378" s="4" t="inlineStr">
        <is>
          <t>Expense</t>
        </is>
      </c>
      <c r="H1378" s="12" t="n">
        <v>46198</v>
      </c>
      <c r="I1378" s="13" t="n">
        <v>0.07667824074074074</v>
      </c>
      <c r="J1378" s="14" t="n">
        <v>46198.07667824074</v>
      </c>
      <c r="K1378" s="15" t="n">
        <v>42185.94</v>
      </c>
      <c r="L1378" s="4" t="inlineStr">
        <is>
          <t>INR</t>
        </is>
      </c>
      <c r="M1378" s="15" t="n">
        <v>-42185.94</v>
      </c>
      <c r="N1378" s="4" t="inlineStr">
        <is>
          <t>IOS Owner</t>
        </is>
      </c>
      <c r="O1378" s="4" t="n"/>
      <c r="P1378" s="4" t="n"/>
      <c r="Q1378" s="4" t="inlineStr">
        <is>
          <t>MAESTRO-IOS-BUSINESS-BUSINESS_OPERATIONS-1377 | Accounting | 42185.94</t>
        </is>
      </c>
      <c r="R1378" s="4" t="inlineStr">
        <is>
          <t>iPhone</t>
        </is>
      </c>
      <c r="S1378" s="4" t="inlineStr">
        <is>
          <t>B28</t>
        </is>
      </c>
      <c r="T1378" s="4" t="inlineStr">
        <is>
          <t>RAMP_501_1500</t>
        </is>
      </c>
      <c r="U1378" s="4" t="inlineStr">
        <is>
          <t>CREATED</t>
        </is>
      </c>
      <c r="V1378" s="4" t="inlineStr">
        <is>
          <t>idem-20260902-ios-1377</t>
        </is>
      </c>
    </row>
    <row r="1379" ht="30" customHeight="1">
      <c r="A1379" s="4" t="n">
        <v>1378</v>
      </c>
      <c r="B1379" s="4" t="inlineStr">
        <is>
          <t>MTR-IOS-1378</t>
        </is>
      </c>
      <c r="C1379" s="4" t="inlineStr">
        <is>
          <t>Personal</t>
        </is>
      </c>
      <c r="D1379" s="4" t="inlineStr">
        <is>
          <t>Personal</t>
        </is>
      </c>
      <c r="E1379" s="4" t="inlineStr">
        <is>
          <t>Relationships</t>
        </is>
      </c>
      <c r="F1379" s="4" t="inlineStr">
        <is>
          <t>Celebrations</t>
        </is>
      </c>
      <c r="G1379" s="4" t="inlineStr">
        <is>
          <t>Expense</t>
        </is>
      </c>
      <c r="H1379" s="12" t="n">
        <v>45916</v>
      </c>
      <c r="I1379" s="13" t="n">
        <v>0.1145023148148148</v>
      </c>
      <c r="J1379" s="14" t="n">
        <v>45916.11450231481</v>
      </c>
      <c r="K1379" s="15" t="n">
        <v>9374.290000000001</v>
      </c>
      <c r="L1379" s="4" t="inlineStr">
        <is>
          <t>INR</t>
        </is>
      </c>
      <c r="M1379" s="15" t="n">
        <v>-9374.290000000001</v>
      </c>
      <c r="N1379" s="4" t="inlineStr">
        <is>
          <t>IOS Owner</t>
        </is>
      </c>
      <c r="O1379" s="4" t="n"/>
      <c r="P1379" s="4" t="n"/>
      <c r="Q1379" s="4" t="inlineStr">
        <is>
          <t>MAESTRO-IOS-PERSONAL-RELATIONSHIPS-1378 | Celebrations | 9374.29</t>
        </is>
      </c>
      <c r="R1379" s="4" t="inlineStr">
        <is>
          <t>iPhone</t>
        </is>
      </c>
      <c r="S1379" s="4" t="inlineStr">
        <is>
          <t>B28</t>
        </is>
      </c>
      <c r="T1379" s="4" t="inlineStr">
        <is>
          <t>RAMP_501_1500</t>
        </is>
      </c>
      <c r="U1379" s="4" t="inlineStr">
        <is>
          <t>CREATED</t>
        </is>
      </c>
      <c r="V1379" s="4" t="inlineStr">
        <is>
          <t>idem-20260902-ios-1378</t>
        </is>
      </c>
    </row>
    <row r="1380" ht="30" customHeight="1">
      <c r="A1380" s="4" t="n">
        <v>1379</v>
      </c>
      <c r="B1380" s="4" t="inlineStr">
        <is>
          <t>MTR-IOS-1379</t>
        </is>
      </c>
      <c r="C1380" s="4" t="inlineStr">
        <is>
          <t>Group</t>
        </is>
      </c>
      <c r="D1380" s="4" t="inlineStr">
        <is>
          <t>Shared Living</t>
        </is>
      </c>
      <c r="E1380" s="4" t="inlineStr">
        <is>
          <t>Family Household</t>
        </is>
      </c>
      <c r="F1380" s="4" t="inlineStr">
        <is>
          <t>Healthcare</t>
        </is>
      </c>
      <c r="G1380" s="4" t="inlineStr">
        <is>
          <t>Expense</t>
        </is>
      </c>
      <c r="H1380" s="12" t="n">
        <v>45935</v>
      </c>
      <c r="I1380" s="13" t="n">
        <v>0.4288310185185185</v>
      </c>
      <c r="J1380" s="14" t="n">
        <v>45935.42883101852</v>
      </c>
      <c r="K1380" s="15" t="n">
        <v>3885.47</v>
      </c>
      <c r="L1380" s="4" t="inlineStr">
        <is>
          <t>INR</t>
        </is>
      </c>
      <c r="M1380" s="15" t="n">
        <v>-3885.47</v>
      </c>
      <c r="N1380" s="4" t="inlineStr">
        <is>
          <t>IOS Owner</t>
        </is>
      </c>
      <c r="O1380" s="4" t="n">
        <v>3</v>
      </c>
      <c r="P1380" s="4" t="inlineStr">
        <is>
          <t>SHARES</t>
        </is>
      </c>
      <c r="Q1380" s="4" t="inlineStr">
        <is>
          <t>MAESTRO-IOS-GROUP-FAMILY_HOUSEHOLD-1379 | Healthcare | 3885.47</t>
        </is>
      </c>
      <c r="R1380" s="4" t="inlineStr">
        <is>
          <t>iPhone</t>
        </is>
      </c>
      <c r="S1380" s="4" t="inlineStr">
        <is>
          <t>B28</t>
        </is>
      </c>
      <c r="T1380" s="4" t="inlineStr">
        <is>
          <t>RAMP_501_1500</t>
        </is>
      </c>
      <c r="U1380" s="4" t="inlineStr">
        <is>
          <t>CREATED</t>
        </is>
      </c>
      <c r="V1380" s="4" t="inlineStr">
        <is>
          <t>idem-20260902-ios-1379</t>
        </is>
      </c>
    </row>
    <row r="1381" ht="30" customHeight="1">
      <c r="A1381" s="4" t="n">
        <v>1380</v>
      </c>
      <c r="B1381" s="4" t="inlineStr">
        <is>
          <t>MTR-IOS-1380</t>
        </is>
      </c>
      <c r="C1381" s="4" t="inlineStr">
        <is>
          <t>Business</t>
        </is>
      </c>
      <c r="D1381" s="4" t="inlineStr">
        <is>
          <t>Business</t>
        </is>
      </c>
      <c r="E1381" s="4" t="inlineStr">
        <is>
          <t>Business Operations</t>
        </is>
      </c>
      <c r="F1381" s="4" t="inlineStr">
        <is>
          <t>Equipment</t>
        </is>
      </c>
      <c r="G1381" s="4" t="inlineStr">
        <is>
          <t>Expense</t>
        </is>
      </c>
      <c r="H1381" s="12" t="n">
        <v>46169</v>
      </c>
      <c r="I1381" s="13" t="n">
        <v>0.791238425925926</v>
      </c>
      <c r="J1381" s="14" t="n">
        <v>46169.79123842593</v>
      </c>
      <c r="K1381" s="15" t="n">
        <v>33611.22</v>
      </c>
      <c r="L1381" s="4" t="inlineStr">
        <is>
          <t>INR</t>
        </is>
      </c>
      <c r="M1381" s="15" t="n">
        <v>-33611.22</v>
      </c>
      <c r="N1381" s="4" t="inlineStr">
        <is>
          <t>IOS Owner</t>
        </is>
      </c>
      <c r="O1381" s="4" t="n"/>
      <c r="P1381" s="4" t="n"/>
      <c r="Q1381" s="4" t="inlineStr">
        <is>
          <t>MAESTRO-IOS-BUSINESS-BUSINESS_OPERATIONS-1380 | Equipment | 33611.22</t>
        </is>
      </c>
      <c r="R1381" s="4" t="inlineStr">
        <is>
          <t>iPhone</t>
        </is>
      </c>
      <c r="S1381" s="4" t="inlineStr">
        <is>
          <t>B28</t>
        </is>
      </c>
      <c r="T1381" s="4" t="inlineStr">
        <is>
          <t>RAMP_501_1500</t>
        </is>
      </c>
      <c r="U1381" s="4" t="inlineStr">
        <is>
          <t>CREATED</t>
        </is>
      </c>
      <c r="V1381" s="4" t="inlineStr">
        <is>
          <t>idem-20260902-ios-1380</t>
        </is>
      </c>
    </row>
    <row r="1382" ht="30" customHeight="1">
      <c r="A1382" s="4" t="n">
        <v>1381</v>
      </c>
      <c r="B1382" s="4" t="inlineStr">
        <is>
          <t>MTR-IOS-1381</t>
        </is>
      </c>
      <c r="C1382" s="4" t="inlineStr">
        <is>
          <t>Personal</t>
        </is>
      </c>
      <c r="D1382" s="4" t="inlineStr">
        <is>
          <t>Personal</t>
        </is>
      </c>
      <c r="E1382" s="4" t="inlineStr">
        <is>
          <t>Life Operations</t>
        </is>
      </c>
      <c r="F1382" s="4" t="inlineStr">
        <is>
          <t>Groceries</t>
        </is>
      </c>
      <c r="G1382" s="4" t="inlineStr">
        <is>
          <t>Expense</t>
        </is>
      </c>
      <c r="H1382" s="12" t="n">
        <v>45933</v>
      </c>
      <c r="I1382" s="13" t="n">
        <v>0.9226967592592593</v>
      </c>
      <c r="J1382" s="14" t="n">
        <v>45933.92269675926</v>
      </c>
      <c r="K1382" s="15" t="n">
        <v>3270.24</v>
      </c>
      <c r="L1382" s="4" t="inlineStr">
        <is>
          <t>INR</t>
        </is>
      </c>
      <c r="M1382" s="15" t="n">
        <v>-3270.24</v>
      </c>
      <c r="N1382" s="4" t="inlineStr">
        <is>
          <t>IOS Owner</t>
        </is>
      </c>
      <c r="O1382" s="4" t="n"/>
      <c r="P1382" s="4" t="n"/>
      <c r="Q1382" s="4" t="inlineStr">
        <is>
          <t>MAESTRO-IOS-PERSONAL-LIFE_OPERATIONS-1381 | Groceries | 3270.24</t>
        </is>
      </c>
      <c r="R1382" s="4" t="inlineStr">
        <is>
          <t>iPhone</t>
        </is>
      </c>
      <c r="S1382" s="4" t="inlineStr">
        <is>
          <t>B28</t>
        </is>
      </c>
      <c r="T1382" s="4" t="inlineStr">
        <is>
          <t>RAMP_501_1500</t>
        </is>
      </c>
      <c r="U1382" s="4" t="inlineStr">
        <is>
          <t>CREATED</t>
        </is>
      </c>
      <c r="V1382" s="4" t="inlineStr">
        <is>
          <t>idem-20260902-ios-1381</t>
        </is>
      </c>
    </row>
    <row r="1383" ht="30" customHeight="1">
      <c r="A1383" s="4" t="n">
        <v>1382</v>
      </c>
      <c r="B1383" s="4" t="inlineStr">
        <is>
          <t>MTR-IOS-1382</t>
        </is>
      </c>
      <c r="C1383" s="4" t="inlineStr">
        <is>
          <t>Group</t>
        </is>
      </c>
      <c r="D1383" s="4" t="inlineStr">
        <is>
          <t>Shared Living</t>
        </is>
      </c>
      <c r="E1383" s="4" t="inlineStr">
        <is>
          <t>Family Household</t>
        </is>
      </c>
      <c r="F1383" s="4" t="inlineStr">
        <is>
          <t>Home</t>
        </is>
      </c>
      <c r="G1383" s="4" t="inlineStr">
        <is>
          <t>Expense</t>
        </is>
      </c>
      <c r="H1383" s="12" t="n">
        <v>46024</v>
      </c>
      <c r="I1383" s="13" t="n">
        <v>0.6184606481481482</v>
      </c>
      <c r="J1383" s="14" t="n">
        <v>46024.61846064815</v>
      </c>
      <c r="K1383" s="15" t="n">
        <v>9385.700000000001</v>
      </c>
      <c r="L1383" s="4" t="inlineStr">
        <is>
          <t>INR</t>
        </is>
      </c>
      <c r="M1383" s="15" t="n">
        <v>-9385.700000000001</v>
      </c>
      <c r="N1383" s="4" t="inlineStr">
        <is>
          <t>IOS Aarav</t>
        </is>
      </c>
      <c r="O1383" s="4" t="n">
        <v>3</v>
      </c>
      <c r="P1383" s="4" t="inlineStr">
        <is>
          <t>EQUAL</t>
        </is>
      </c>
      <c r="Q1383" s="4" t="inlineStr">
        <is>
          <t>MAESTRO-IOS-GROUP-FAMILY_HOUSEHOLD-1382 | Home | 9385.70</t>
        </is>
      </c>
      <c r="R1383" s="4" t="inlineStr">
        <is>
          <t>iPhone</t>
        </is>
      </c>
      <c r="S1383" s="4" t="inlineStr">
        <is>
          <t>B28</t>
        </is>
      </c>
      <c r="T1383" s="4" t="inlineStr">
        <is>
          <t>RAMP_501_1500</t>
        </is>
      </c>
      <c r="U1383" s="4" t="inlineStr">
        <is>
          <t>CREATED</t>
        </is>
      </c>
      <c r="V1383" s="4" t="inlineStr">
        <is>
          <t>idem-20260902-ios-1382</t>
        </is>
      </c>
    </row>
    <row r="1384" ht="30" customHeight="1">
      <c r="A1384" s="4" t="n">
        <v>1383</v>
      </c>
      <c r="B1384" s="4" t="inlineStr">
        <is>
          <t>MTR-IOS-1383</t>
        </is>
      </c>
      <c r="C1384" s="4" t="inlineStr">
        <is>
          <t>Business</t>
        </is>
      </c>
      <c r="D1384" s="4" t="inlineStr">
        <is>
          <t>Business</t>
        </is>
      </c>
      <c r="E1384" s="4" t="inlineStr">
        <is>
          <t>Business Operations</t>
        </is>
      </c>
      <c r="F1384" s="4" t="inlineStr">
        <is>
          <t>Vendor</t>
        </is>
      </c>
      <c r="G1384" s="4" t="inlineStr">
        <is>
          <t>Expense</t>
        </is>
      </c>
      <c r="H1384" s="12" t="n">
        <v>45963</v>
      </c>
      <c r="I1384" s="13" t="n">
        <v>0.9064236111111111</v>
      </c>
      <c r="J1384" s="14" t="n">
        <v>45963.90642361111</v>
      </c>
      <c r="K1384" s="15" t="n">
        <v>38159.65</v>
      </c>
      <c r="L1384" s="4" t="inlineStr">
        <is>
          <t>INR</t>
        </is>
      </c>
      <c r="M1384" s="15" t="n">
        <v>-38159.65</v>
      </c>
      <c r="N1384" s="4" t="inlineStr">
        <is>
          <t>IOS Owner</t>
        </is>
      </c>
      <c r="O1384" s="4" t="n"/>
      <c r="P1384" s="4" t="n"/>
      <c r="Q1384" s="4" t="inlineStr">
        <is>
          <t>MAESTRO-IOS-BUSINESS-BUSINESS_OPERATIONS-1383 | Vendor | 38159.65</t>
        </is>
      </c>
      <c r="R1384" s="4" t="inlineStr">
        <is>
          <t>iPhone</t>
        </is>
      </c>
      <c r="S1384" s="4" t="inlineStr">
        <is>
          <t>B28</t>
        </is>
      </c>
      <c r="T1384" s="4" t="inlineStr">
        <is>
          <t>RAMP_501_1500</t>
        </is>
      </c>
      <c r="U1384" s="4" t="inlineStr">
        <is>
          <t>CREATED</t>
        </is>
      </c>
      <c r="V1384" s="4" t="inlineStr">
        <is>
          <t>idem-20260902-ios-1383</t>
        </is>
      </c>
    </row>
    <row r="1385" ht="30" customHeight="1">
      <c r="A1385" s="4" t="n">
        <v>1384</v>
      </c>
      <c r="B1385" s="4" t="inlineStr">
        <is>
          <t>MTR-IOS-1384</t>
        </is>
      </c>
      <c r="C1385" s="4" t="inlineStr">
        <is>
          <t>Personal</t>
        </is>
      </c>
      <c r="D1385" s="4" t="inlineStr">
        <is>
          <t>Personal</t>
        </is>
      </c>
      <c r="E1385" s="4" t="inlineStr">
        <is>
          <t>Life Operations</t>
        </is>
      </c>
      <c r="F1385" s="4" t="inlineStr">
        <is>
          <t>Rent</t>
        </is>
      </c>
      <c r="G1385" s="4" t="inlineStr">
        <is>
          <t>Expense</t>
        </is>
      </c>
      <c r="H1385" s="12" t="n">
        <v>46190</v>
      </c>
      <c r="I1385" s="13" t="n">
        <v>0.2897685185185185</v>
      </c>
      <c r="J1385" s="14" t="n">
        <v>46190.28976851852</v>
      </c>
      <c r="K1385" s="15" t="n">
        <v>6870.44</v>
      </c>
      <c r="L1385" s="4" t="inlineStr">
        <is>
          <t>INR</t>
        </is>
      </c>
      <c r="M1385" s="15" t="n">
        <v>-6870.44</v>
      </c>
      <c r="N1385" s="4" t="inlineStr">
        <is>
          <t>IOS Owner</t>
        </is>
      </c>
      <c r="O1385" s="4" t="n"/>
      <c r="P1385" s="4" t="n"/>
      <c r="Q1385" s="4" t="inlineStr">
        <is>
          <t>MAESTRO-IOS-PERSONAL-LIFE_OPERATIONS-1384 | Rent | 6870.44</t>
        </is>
      </c>
      <c r="R1385" s="4" t="inlineStr">
        <is>
          <t>iPhone</t>
        </is>
      </c>
      <c r="S1385" s="4" t="inlineStr">
        <is>
          <t>B28</t>
        </is>
      </c>
      <c r="T1385" s="4" t="inlineStr">
        <is>
          <t>RAMP_501_1500</t>
        </is>
      </c>
      <c r="U1385" s="4" t="inlineStr">
        <is>
          <t>CREATED</t>
        </is>
      </c>
      <c r="V1385" s="4" t="inlineStr">
        <is>
          <t>idem-20260902-ios-1384</t>
        </is>
      </c>
    </row>
    <row r="1386" ht="30" customHeight="1">
      <c r="A1386" s="4" t="n">
        <v>1385</v>
      </c>
      <c r="B1386" s="4" t="inlineStr">
        <is>
          <t>MTR-IOS-1385</t>
        </is>
      </c>
      <c r="C1386" s="4" t="inlineStr">
        <is>
          <t>Group</t>
        </is>
      </c>
      <c r="D1386" s="4" t="inlineStr">
        <is>
          <t>Shared Living</t>
        </is>
      </c>
      <c r="E1386" s="4" t="inlineStr">
        <is>
          <t>Family Household</t>
        </is>
      </c>
      <c r="F1386" s="4" t="inlineStr">
        <is>
          <t>Other</t>
        </is>
      </c>
      <c r="G1386" s="4" t="inlineStr">
        <is>
          <t>Expense</t>
        </is>
      </c>
      <c r="H1386" s="12" t="n">
        <v>46117</v>
      </c>
      <c r="I1386" s="13" t="n">
        <v>0.2088541666666667</v>
      </c>
      <c r="J1386" s="14" t="n">
        <v>46117.20885416667</v>
      </c>
      <c r="K1386" s="15" t="n">
        <v>23828.13</v>
      </c>
      <c r="L1386" s="4" t="inlineStr">
        <is>
          <t>INR</t>
        </is>
      </c>
      <c r="M1386" s="15" t="n">
        <v>-23828.13</v>
      </c>
      <c r="N1386" s="4" t="inlineStr">
        <is>
          <t>IOS Meera</t>
        </is>
      </c>
      <c r="O1386" s="4" t="n">
        <v>3</v>
      </c>
      <c r="P1386" s="4" t="inlineStr">
        <is>
          <t>PERCENTAGE</t>
        </is>
      </c>
      <c r="Q1386" s="4" t="inlineStr">
        <is>
          <t>MAESTRO-IOS-GROUP-FAMILY_HOUSEHOLD-1385 | Other | 23828.13</t>
        </is>
      </c>
      <c r="R1386" s="4" t="inlineStr">
        <is>
          <t>iPhone</t>
        </is>
      </c>
      <c r="S1386" s="4" t="inlineStr">
        <is>
          <t>B28</t>
        </is>
      </c>
      <c r="T1386" s="4" t="inlineStr">
        <is>
          <t>RAMP_501_1500</t>
        </is>
      </c>
      <c r="U1386" s="4" t="inlineStr">
        <is>
          <t>CREATED</t>
        </is>
      </c>
      <c r="V1386" s="4" t="inlineStr">
        <is>
          <t>idem-20260902-ios-1385</t>
        </is>
      </c>
    </row>
    <row r="1387" ht="30" customHeight="1">
      <c r="A1387" s="4" t="n">
        <v>1386</v>
      </c>
      <c r="B1387" s="4" t="inlineStr">
        <is>
          <t>MTR-IOS-1386</t>
        </is>
      </c>
      <c r="C1387" s="4" t="inlineStr">
        <is>
          <t>Business</t>
        </is>
      </c>
      <c r="D1387" s="4" t="inlineStr">
        <is>
          <t>Business</t>
        </is>
      </c>
      <c r="E1387" s="4" t="inlineStr">
        <is>
          <t>Business Operations</t>
        </is>
      </c>
      <c r="F1387" s="4" t="inlineStr">
        <is>
          <t>Tax</t>
        </is>
      </c>
      <c r="G1387" s="4" t="inlineStr">
        <is>
          <t>Expense</t>
        </is>
      </c>
      <c r="H1387" s="12" t="n">
        <v>46203</v>
      </c>
      <c r="I1387" s="13" t="n">
        <v>0.04283564814814815</v>
      </c>
      <c r="J1387" s="14" t="n">
        <v>46203.04283564815</v>
      </c>
      <c r="K1387" s="15" t="n">
        <v>231.65</v>
      </c>
      <c r="L1387" s="4" t="inlineStr">
        <is>
          <t>INR</t>
        </is>
      </c>
      <c r="M1387" s="15" t="n">
        <v>-231.65</v>
      </c>
      <c r="N1387" s="4" t="inlineStr">
        <is>
          <t>IOS Owner</t>
        </is>
      </c>
      <c r="O1387" s="4" t="n"/>
      <c r="P1387" s="4" t="n"/>
      <c r="Q1387" s="4" t="inlineStr">
        <is>
          <t>MAESTRO-IOS-BUSINESS-BUSINESS_OPERATIONS-1386 | Tax | 231.65</t>
        </is>
      </c>
      <c r="R1387" s="4" t="inlineStr">
        <is>
          <t>iPhone</t>
        </is>
      </c>
      <c r="S1387" s="4" t="inlineStr">
        <is>
          <t>B28</t>
        </is>
      </c>
      <c r="T1387" s="4" t="inlineStr">
        <is>
          <t>RAMP_501_1500</t>
        </is>
      </c>
      <c r="U1387" s="4" t="inlineStr">
        <is>
          <t>CREATED</t>
        </is>
      </c>
      <c r="V1387" s="4" t="inlineStr">
        <is>
          <t>idem-20260902-ios-1386</t>
        </is>
      </c>
    </row>
    <row r="1388" ht="30" customHeight="1">
      <c r="A1388" s="4" t="n">
        <v>1387</v>
      </c>
      <c r="B1388" s="4" t="inlineStr">
        <is>
          <t>MTR-IOS-1387</t>
        </is>
      </c>
      <c r="C1388" s="4" t="inlineStr">
        <is>
          <t>Personal</t>
        </is>
      </c>
      <c r="D1388" s="4" t="inlineStr">
        <is>
          <t>Personal</t>
        </is>
      </c>
      <c r="E1388" s="4" t="inlineStr">
        <is>
          <t>Life Operations</t>
        </is>
      </c>
      <c r="F1388" s="4" t="inlineStr">
        <is>
          <t>Bills</t>
        </is>
      </c>
      <c r="G1388" s="4" t="inlineStr">
        <is>
          <t>Expense</t>
        </is>
      </c>
      <c r="H1388" s="12" t="n">
        <v>46120</v>
      </c>
      <c r="I1388" s="13" t="n">
        <v>0.6633101851851851</v>
      </c>
      <c r="J1388" s="14" t="n">
        <v>46120.66331018518</v>
      </c>
      <c r="K1388" s="15" t="n">
        <v>8266.559999999999</v>
      </c>
      <c r="L1388" s="4" t="inlineStr">
        <is>
          <t>INR</t>
        </is>
      </c>
      <c r="M1388" s="15" t="n">
        <v>-8266.559999999999</v>
      </c>
      <c r="N1388" s="4" t="inlineStr">
        <is>
          <t>IOS Owner</t>
        </is>
      </c>
      <c r="O1388" s="4" t="n"/>
      <c r="P1388" s="4" t="n"/>
      <c r="Q1388" s="4" t="inlineStr">
        <is>
          <t>MAESTRO-IOS-PERSONAL-LIFE_OPERATIONS-1387 | Bills | 8266.56</t>
        </is>
      </c>
      <c r="R1388" s="4" t="inlineStr">
        <is>
          <t>iPhone</t>
        </is>
      </c>
      <c r="S1388" s="4" t="inlineStr">
        <is>
          <t>B28</t>
        </is>
      </c>
      <c r="T1388" s="4" t="inlineStr">
        <is>
          <t>RAMP_501_1500</t>
        </is>
      </c>
      <c r="U1388" s="4" t="inlineStr">
        <is>
          <t>CREATED</t>
        </is>
      </c>
      <c r="V1388" s="4" t="inlineStr">
        <is>
          <t>idem-20260902-ios-1387</t>
        </is>
      </c>
    </row>
    <row r="1389" ht="30" customHeight="1">
      <c r="A1389" s="4" t="n">
        <v>1388</v>
      </c>
      <c r="B1389" s="4" t="inlineStr">
        <is>
          <t>MTR-IOS-1388</t>
        </is>
      </c>
      <c r="C1389" s="4" t="inlineStr">
        <is>
          <t>Group</t>
        </is>
      </c>
      <c r="D1389" s="4" t="inlineStr">
        <is>
          <t>Shared Living</t>
        </is>
      </c>
      <c r="E1389" s="4" t="inlineStr">
        <is>
          <t>Custom Living</t>
        </is>
      </c>
      <c r="F1389" s="4" t="inlineStr">
        <is>
          <t>Custom Expense</t>
        </is>
      </c>
      <c r="G1389" s="4" t="inlineStr">
        <is>
          <t>Expense</t>
        </is>
      </c>
      <c r="H1389" s="12" t="n">
        <v>46175</v>
      </c>
      <c r="I1389" s="13" t="n">
        <v>0.9769791666666666</v>
      </c>
      <c r="J1389" s="14" t="n">
        <v>46175.97697916667</v>
      </c>
      <c r="K1389" s="15" t="n">
        <v>14767.16</v>
      </c>
      <c r="L1389" s="4" t="inlineStr">
        <is>
          <t>INR</t>
        </is>
      </c>
      <c r="M1389" s="15" t="n">
        <v>-14767.16</v>
      </c>
      <c r="N1389" s="4" t="inlineStr">
        <is>
          <t>IOS Owner</t>
        </is>
      </c>
      <c r="O1389" s="4" t="n">
        <v>3</v>
      </c>
      <c r="P1389" s="4" t="inlineStr">
        <is>
          <t>EXACT</t>
        </is>
      </c>
      <c r="Q1389" s="4" t="inlineStr">
        <is>
          <t>MAESTRO-IOS-GROUP-CUSTOM_LIVING-1388 | Custom Expense | 14767.16</t>
        </is>
      </c>
      <c r="R1389" s="4" t="inlineStr">
        <is>
          <t>iPhone</t>
        </is>
      </c>
      <c r="S1389" s="4" t="inlineStr">
        <is>
          <t>B28</t>
        </is>
      </c>
      <c r="T1389" s="4" t="inlineStr">
        <is>
          <t>RAMP_501_1500</t>
        </is>
      </c>
      <c r="U1389" s="4" t="inlineStr">
        <is>
          <t>CREATED</t>
        </is>
      </c>
      <c r="V1389" s="4" t="inlineStr">
        <is>
          <t>idem-20260902-ios-1388</t>
        </is>
      </c>
    </row>
    <row r="1390" ht="30" customHeight="1">
      <c r="A1390" s="4" t="n">
        <v>1389</v>
      </c>
      <c r="B1390" s="4" t="inlineStr">
        <is>
          <t>MTR-IOS-1389</t>
        </is>
      </c>
      <c r="C1390" s="4" t="inlineStr">
        <is>
          <t>Business</t>
        </is>
      </c>
      <c r="D1390" s="4" t="inlineStr">
        <is>
          <t>Business</t>
        </is>
      </c>
      <c r="E1390" s="4" t="inlineStr">
        <is>
          <t>Team Operations</t>
        </is>
      </c>
      <c r="F1390" s="4" t="inlineStr">
        <is>
          <t>Payroll</t>
        </is>
      </c>
      <c r="G1390" s="4" t="inlineStr">
        <is>
          <t>Expense</t>
        </is>
      </c>
      <c r="H1390" s="12" t="n">
        <v>46248</v>
      </c>
      <c r="I1390" s="13" t="n">
        <v>0.7322222222222222</v>
      </c>
      <c r="J1390" s="14" t="n">
        <v>46248.73222222222</v>
      </c>
      <c r="K1390" s="15" t="n">
        <v>155746.76</v>
      </c>
      <c r="L1390" s="4" t="inlineStr">
        <is>
          <t>INR</t>
        </is>
      </c>
      <c r="M1390" s="15" t="n">
        <v>-155746.76</v>
      </c>
      <c r="N1390" s="4" t="inlineStr">
        <is>
          <t>IOS Owner</t>
        </is>
      </c>
      <c r="O1390" s="4" t="n"/>
      <c r="P1390" s="4" t="n"/>
      <c r="Q1390" s="4" t="inlineStr">
        <is>
          <t>MAESTRO-IOS-BUSINESS-TEAM_OPERATIONS-1389 | Payroll | 155746.76</t>
        </is>
      </c>
      <c r="R1390" s="4" t="inlineStr">
        <is>
          <t>iPhone</t>
        </is>
      </c>
      <c r="S1390" s="4" t="inlineStr">
        <is>
          <t>B28</t>
        </is>
      </c>
      <c r="T1390" s="4" t="inlineStr">
        <is>
          <t>RAMP_501_1500</t>
        </is>
      </c>
      <c r="U1390" s="4" t="inlineStr">
        <is>
          <t>CREATED</t>
        </is>
      </c>
      <c r="V1390" s="4" t="inlineStr">
        <is>
          <t>idem-20260902-ios-1389</t>
        </is>
      </c>
    </row>
    <row r="1391" ht="30" customHeight="1">
      <c r="A1391" s="4" t="n">
        <v>1390</v>
      </c>
      <c r="B1391" s="4" t="inlineStr">
        <is>
          <t>MTR-IOS-1390</t>
        </is>
      </c>
      <c r="C1391" s="4" t="inlineStr">
        <is>
          <t>Personal</t>
        </is>
      </c>
      <c r="D1391" s="4" t="inlineStr">
        <is>
          <t>Personal</t>
        </is>
      </c>
      <c r="E1391" s="4" t="inlineStr">
        <is>
          <t>Life Operations</t>
        </is>
      </c>
      <c r="F1391" s="4" t="inlineStr">
        <is>
          <t>Transport</t>
        </is>
      </c>
      <c r="G1391" s="4" t="inlineStr">
        <is>
          <t>Expense</t>
        </is>
      </c>
      <c r="H1391" s="12" t="n">
        <v>46259</v>
      </c>
      <c r="I1391" s="13" t="n">
        <v>0.1888310185185185</v>
      </c>
      <c r="J1391" s="14" t="n">
        <v>46259.18883101852</v>
      </c>
      <c r="K1391" s="15" t="n">
        <v>2822.02</v>
      </c>
      <c r="L1391" s="4" t="inlineStr">
        <is>
          <t>INR</t>
        </is>
      </c>
      <c r="M1391" s="15" t="n">
        <v>-2822.02</v>
      </c>
      <c r="N1391" s="4" t="inlineStr">
        <is>
          <t>IOS Owner</t>
        </is>
      </c>
      <c r="O1391" s="4" t="n"/>
      <c r="P1391" s="4" t="n"/>
      <c r="Q1391" s="4" t="inlineStr">
        <is>
          <t>MAESTRO-IOS-PERSONAL-LIFE_OPERATIONS-1390 | Transport | 2822.02</t>
        </is>
      </c>
      <c r="R1391" s="4" t="inlineStr">
        <is>
          <t>iPhone</t>
        </is>
      </c>
      <c r="S1391" s="4" t="inlineStr">
        <is>
          <t>B28</t>
        </is>
      </c>
      <c r="T1391" s="4" t="inlineStr">
        <is>
          <t>RAMP_501_1500</t>
        </is>
      </c>
      <c r="U1391" s="4" t="inlineStr">
        <is>
          <t>CREATED</t>
        </is>
      </c>
      <c r="V1391" s="4" t="inlineStr">
        <is>
          <t>idem-20260902-ios-1390</t>
        </is>
      </c>
    </row>
    <row r="1392" ht="30" customHeight="1">
      <c r="A1392" s="4" t="n">
        <v>1391</v>
      </c>
      <c r="B1392" s="4" t="inlineStr">
        <is>
          <t>MTR-IOS-1391</t>
        </is>
      </c>
      <c r="C1392" s="4" t="inlineStr">
        <is>
          <t>Group</t>
        </is>
      </c>
      <c r="D1392" s="4" t="inlineStr">
        <is>
          <t>Shared Living</t>
        </is>
      </c>
      <c r="E1392" s="4" t="inlineStr">
        <is>
          <t>Custom Living</t>
        </is>
      </c>
      <c r="F1392" s="4" t="inlineStr">
        <is>
          <t>Custom Contribution</t>
        </is>
      </c>
      <c r="G1392" s="4" t="inlineStr">
        <is>
          <t>Contribution</t>
        </is>
      </c>
      <c r="H1392" s="12" t="n">
        <v>45933</v>
      </c>
      <c r="I1392" s="13" t="n">
        <v>0.9480092592592593</v>
      </c>
      <c r="J1392" s="14" t="n">
        <v>45933.94800925926</v>
      </c>
      <c r="K1392" s="15" t="n">
        <v>18690.48</v>
      </c>
      <c r="L1392" s="4" t="inlineStr">
        <is>
          <t>INR</t>
        </is>
      </c>
      <c r="M1392" s="15" t="n">
        <v>18690.48</v>
      </c>
      <c r="N1392" s="4" t="inlineStr">
        <is>
          <t>IOS Aarav</t>
        </is>
      </c>
      <c r="O1392" s="4" t="n">
        <v>3</v>
      </c>
      <c r="P1392" s="4" t="inlineStr">
        <is>
          <t>SHARES</t>
        </is>
      </c>
      <c r="Q1392" s="4" t="inlineStr">
        <is>
          <t>MAESTRO-IOS-GROUP-CUSTOM_LIVING-1391 | Custom Contribution | 18690.48</t>
        </is>
      </c>
      <c r="R1392" s="4" t="inlineStr">
        <is>
          <t>iPhone</t>
        </is>
      </c>
      <c r="S1392" s="4" t="inlineStr">
        <is>
          <t>B28</t>
        </is>
      </c>
      <c r="T1392" s="4" t="inlineStr">
        <is>
          <t>RAMP_501_1500</t>
        </is>
      </c>
      <c r="U1392" s="4" t="inlineStr">
        <is>
          <t>CREATED</t>
        </is>
      </c>
      <c r="V1392" s="4" t="inlineStr">
        <is>
          <t>idem-20260902-ios-1391</t>
        </is>
      </c>
    </row>
    <row r="1393" ht="30" customHeight="1">
      <c r="A1393" s="4" t="n">
        <v>1392</v>
      </c>
      <c r="B1393" s="4" t="inlineStr">
        <is>
          <t>MTR-IOS-1392</t>
        </is>
      </c>
      <c r="C1393" s="4" t="inlineStr">
        <is>
          <t>Business</t>
        </is>
      </c>
      <c r="D1393" s="4" t="inlineStr">
        <is>
          <t>Business</t>
        </is>
      </c>
      <c r="E1393" s="4" t="inlineStr">
        <is>
          <t>Team Operations</t>
        </is>
      </c>
      <c r="F1393" s="4" t="inlineStr">
        <is>
          <t>Contractor</t>
        </is>
      </c>
      <c r="G1393" s="4" t="inlineStr">
        <is>
          <t>Expense</t>
        </is>
      </c>
      <c r="H1393" s="12" t="n">
        <v>46266</v>
      </c>
      <c r="I1393" s="13" t="n">
        <v>0.9469212962962963</v>
      </c>
      <c r="J1393" s="14" t="n">
        <v>46266.94692129629</v>
      </c>
      <c r="K1393" s="15" t="n">
        <v>98063.56</v>
      </c>
      <c r="L1393" s="4" t="inlineStr">
        <is>
          <t>INR</t>
        </is>
      </c>
      <c r="M1393" s="15" t="n">
        <v>-98063.56</v>
      </c>
      <c r="N1393" s="4" t="inlineStr">
        <is>
          <t>IOS Owner</t>
        </is>
      </c>
      <c r="O1393" s="4" t="n"/>
      <c r="P1393" s="4" t="n"/>
      <c r="Q1393" s="4" t="inlineStr">
        <is>
          <t>MAESTRO-IOS-BUSINESS-TEAM_OPERATIONS-1392 | Contractor | 98063.56</t>
        </is>
      </c>
      <c r="R1393" s="4" t="inlineStr">
        <is>
          <t>iPhone</t>
        </is>
      </c>
      <c r="S1393" s="4" t="inlineStr">
        <is>
          <t>B28</t>
        </is>
      </c>
      <c r="T1393" s="4" t="inlineStr">
        <is>
          <t>RAMP_501_1500</t>
        </is>
      </c>
      <c r="U1393" s="4" t="inlineStr">
        <is>
          <t>CREATED</t>
        </is>
      </c>
      <c r="V1393" s="4" t="inlineStr">
        <is>
          <t>idem-20260902-ios-1392</t>
        </is>
      </c>
    </row>
    <row r="1394" ht="30" customHeight="1">
      <c r="A1394" s="4" t="n">
        <v>1393</v>
      </c>
      <c r="B1394" s="4" t="inlineStr">
        <is>
          <t>MTR-IOS-1393</t>
        </is>
      </c>
      <c r="C1394" s="4" t="inlineStr">
        <is>
          <t>Personal</t>
        </is>
      </c>
      <c r="D1394" s="4" t="inlineStr">
        <is>
          <t>Personal</t>
        </is>
      </c>
      <c r="E1394" s="4" t="inlineStr">
        <is>
          <t>Life Operations</t>
        </is>
      </c>
      <c r="F1394" s="4" t="inlineStr">
        <is>
          <t>Healthcare</t>
        </is>
      </c>
      <c r="G1394" s="4" t="inlineStr">
        <is>
          <t>Expense</t>
        </is>
      </c>
      <c r="H1394" s="12" t="n">
        <v>46171</v>
      </c>
      <c r="I1394" s="13" t="n">
        <v>0.7511574074074074</v>
      </c>
      <c r="J1394" s="14" t="n">
        <v>46171.75115740741</v>
      </c>
      <c r="K1394" s="15" t="n">
        <v>2133.43</v>
      </c>
      <c r="L1394" s="4" t="inlineStr">
        <is>
          <t>INR</t>
        </is>
      </c>
      <c r="M1394" s="15" t="n">
        <v>-2133.43</v>
      </c>
      <c r="N1394" s="4" t="inlineStr">
        <is>
          <t>IOS Owner</t>
        </is>
      </c>
      <c r="O1394" s="4" t="n"/>
      <c r="P1394" s="4" t="n"/>
      <c r="Q1394" s="4" t="inlineStr">
        <is>
          <t>MAESTRO-IOS-PERSONAL-LIFE_OPERATIONS-1393 | Healthcare | 2133.43</t>
        </is>
      </c>
      <c r="R1394" s="4" t="inlineStr">
        <is>
          <t>iPhone</t>
        </is>
      </c>
      <c r="S1394" s="4" t="inlineStr">
        <is>
          <t>B28</t>
        </is>
      </c>
      <c r="T1394" s="4" t="inlineStr">
        <is>
          <t>RAMP_501_1500</t>
        </is>
      </c>
      <c r="U1394" s="4" t="inlineStr">
        <is>
          <t>CREATED</t>
        </is>
      </c>
      <c r="V1394" s="4" t="inlineStr">
        <is>
          <t>idem-20260902-ios-1393</t>
        </is>
      </c>
    </row>
    <row r="1395" ht="30" customHeight="1">
      <c r="A1395" s="4" t="n">
        <v>1394</v>
      </c>
      <c r="B1395" s="4" t="inlineStr">
        <is>
          <t>MTR-IOS-1394</t>
        </is>
      </c>
      <c r="C1395" s="4" t="inlineStr">
        <is>
          <t>Group</t>
        </is>
      </c>
      <c r="D1395" s="4" t="inlineStr">
        <is>
          <t>Shared Experience</t>
        </is>
      </c>
      <c r="E1395" s="4" t="inlineStr">
        <is>
          <t>Trip</t>
        </is>
      </c>
      <c r="F1395" s="4" t="inlineStr">
        <is>
          <t>Travel</t>
        </is>
      </c>
      <c r="G1395" s="4" t="inlineStr">
        <is>
          <t>Expense</t>
        </is>
      </c>
      <c r="H1395" s="12" t="n">
        <v>46065</v>
      </c>
      <c r="I1395" s="13" t="n">
        <v>0.319837962962963</v>
      </c>
      <c r="J1395" s="14" t="n">
        <v>46065.31983796296</v>
      </c>
      <c r="K1395" s="15" t="n">
        <v>2363.29</v>
      </c>
      <c r="L1395" s="4" t="inlineStr">
        <is>
          <t>INR</t>
        </is>
      </c>
      <c r="M1395" s="15" t="n">
        <v>-2363.29</v>
      </c>
      <c r="N1395" s="4" t="inlineStr">
        <is>
          <t>IOS Meera</t>
        </is>
      </c>
      <c r="O1395" s="4" t="n">
        <v>3</v>
      </c>
      <c r="P1395" s="4" t="inlineStr">
        <is>
          <t>EQUAL</t>
        </is>
      </c>
      <c r="Q1395" s="4" t="inlineStr">
        <is>
          <t>MAESTRO-IOS-GROUP-TRIP-1394 | Travel | 2363.29</t>
        </is>
      </c>
      <c r="R1395" s="4" t="inlineStr">
        <is>
          <t>iPhone</t>
        </is>
      </c>
      <c r="S1395" s="4" t="inlineStr">
        <is>
          <t>B28</t>
        </is>
      </c>
      <c r="T1395" s="4" t="inlineStr">
        <is>
          <t>RAMP_501_1500</t>
        </is>
      </c>
      <c r="U1395" s="4" t="inlineStr">
        <is>
          <t>CREATED</t>
        </is>
      </c>
      <c r="V1395" s="4" t="inlineStr">
        <is>
          <t>idem-20260902-ios-1394</t>
        </is>
      </c>
    </row>
    <row r="1396" ht="30" customHeight="1">
      <c r="A1396" s="4" t="n">
        <v>1395</v>
      </c>
      <c r="B1396" s="4" t="inlineStr">
        <is>
          <t>MTR-IOS-1395</t>
        </is>
      </c>
      <c r="C1396" s="4" t="inlineStr">
        <is>
          <t>Business</t>
        </is>
      </c>
      <c r="D1396" s="4" t="inlineStr">
        <is>
          <t>Business</t>
        </is>
      </c>
      <c r="E1396" s="4" t="inlineStr">
        <is>
          <t>Team Operations</t>
        </is>
      </c>
      <c r="F1396" s="4" t="inlineStr">
        <is>
          <t>Hiring</t>
        </is>
      </c>
      <c r="G1396" s="4" t="inlineStr">
        <is>
          <t>Expense</t>
        </is>
      </c>
      <c r="H1396" s="12" t="n">
        <v>46174</v>
      </c>
      <c r="I1396" s="13" t="n">
        <v>0.8903240740740741</v>
      </c>
      <c r="J1396" s="14" t="n">
        <v>46174.89032407408</v>
      </c>
      <c r="K1396" s="15" t="n">
        <v>92520.42999999999</v>
      </c>
      <c r="L1396" s="4" t="inlineStr">
        <is>
          <t>INR</t>
        </is>
      </c>
      <c r="M1396" s="15" t="n">
        <v>-92520.42999999999</v>
      </c>
      <c r="N1396" s="4" t="inlineStr">
        <is>
          <t>IOS Owner</t>
        </is>
      </c>
      <c r="O1396" s="4" t="n"/>
      <c r="P1396" s="4" t="n"/>
      <c r="Q1396" s="4" t="inlineStr">
        <is>
          <t>MAESTRO-IOS-BUSINESS-TEAM_OPERATIONS-1395 | Hiring | 92520.43</t>
        </is>
      </c>
      <c r="R1396" s="4" t="inlineStr">
        <is>
          <t>iPhone</t>
        </is>
      </c>
      <c r="S1396" s="4" t="inlineStr">
        <is>
          <t>B28</t>
        </is>
      </c>
      <c r="T1396" s="4" t="inlineStr">
        <is>
          <t>RAMP_501_1500</t>
        </is>
      </c>
      <c r="U1396" s="4" t="inlineStr">
        <is>
          <t>CREATED</t>
        </is>
      </c>
      <c r="V1396" s="4" t="inlineStr">
        <is>
          <t>idem-20260902-ios-1395</t>
        </is>
      </c>
    </row>
    <row r="1397" ht="30" customHeight="1">
      <c r="A1397" s="4" t="n">
        <v>1396</v>
      </c>
      <c r="B1397" s="4" t="inlineStr">
        <is>
          <t>MTR-IOS-1396</t>
        </is>
      </c>
      <c r="C1397" s="4" t="inlineStr">
        <is>
          <t>Personal</t>
        </is>
      </c>
      <c r="D1397" s="4" t="inlineStr">
        <is>
          <t>Personal</t>
        </is>
      </c>
      <c r="E1397" s="4" t="inlineStr">
        <is>
          <t>Life Operations</t>
        </is>
      </c>
      <c r="F1397" s="4" t="inlineStr">
        <is>
          <t>Subscriptions</t>
        </is>
      </c>
      <c r="G1397" s="4" t="inlineStr">
        <is>
          <t>Expense</t>
        </is>
      </c>
      <c r="H1397" s="12" t="n">
        <v>46047</v>
      </c>
      <c r="I1397" s="13" t="n">
        <v>0.04803240740740741</v>
      </c>
      <c r="J1397" s="14" t="n">
        <v>46047.04803240741</v>
      </c>
      <c r="K1397" s="15" t="n">
        <v>11143.19</v>
      </c>
      <c r="L1397" s="4" t="inlineStr">
        <is>
          <t>INR</t>
        </is>
      </c>
      <c r="M1397" s="15" t="n">
        <v>-11143.19</v>
      </c>
      <c r="N1397" s="4" t="inlineStr">
        <is>
          <t>IOS Owner</t>
        </is>
      </c>
      <c r="O1397" s="4" t="n"/>
      <c r="P1397" s="4" t="n"/>
      <c r="Q1397" s="4" t="inlineStr">
        <is>
          <t>MAESTRO-IOS-PERSONAL-LIFE_OPERATIONS-1396 | Subscriptions | 11143.19</t>
        </is>
      </c>
      <c r="R1397" s="4" t="inlineStr">
        <is>
          <t>iPhone</t>
        </is>
      </c>
      <c r="S1397" s="4" t="inlineStr">
        <is>
          <t>B28</t>
        </is>
      </c>
      <c r="T1397" s="4" t="inlineStr">
        <is>
          <t>RAMP_501_1500</t>
        </is>
      </c>
      <c r="U1397" s="4" t="inlineStr">
        <is>
          <t>CREATED</t>
        </is>
      </c>
      <c r="V1397" s="4" t="inlineStr">
        <is>
          <t>idem-20260902-ios-1396</t>
        </is>
      </c>
    </row>
    <row r="1398" ht="30" customHeight="1">
      <c r="A1398" s="4" t="n">
        <v>1397</v>
      </c>
      <c r="B1398" s="4" t="inlineStr">
        <is>
          <t>MTR-IOS-1397</t>
        </is>
      </c>
      <c r="C1398" s="4" t="inlineStr">
        <is>
          <t>Group</t>
        </is>
      </c>
      <c r="D1398" s="4" t="inlineStr">
        <is>
          <t>Shared Experience</t>
        </is>
      </c>
      <c r="E1398" s="4" t="inlineStr">
        <is>
          <t>Trip</t>
        </is>
      </c>
      <c r="F1398" s="4" t="inlineStr">
        <is>
          <t>Stay</t>
        </is>
      </c>
      <c r="G1398" s="4" t="inlineStr">
        <is>
          <t>Expense</t>
        </is>
      </c>
      <c r="H1398" s="12" t="n">
        <v>45915</v>
      </c>
      <c r="I1398" s="13" t="n">
        <v>0.2756481481481481</v>
      </c>
      <c r="J1398" s="14" t="n">
        <v>45915.27564814815</v>
      </c>
      <c r="K1398" s="15" t="n">
        <v>10519.81</v>
      </c>
      <c r="L1398" s="4" t="inlineStr">
        <is>
          <t>INR</t>
        </is>
      </c>
      <c r="M1398" s="15" t="n">
        <v>-10519.81</v>
      </c>
      <c r="N1398" s="4" t="inlineStr">
        <is>
          <t>IOS Owner</t>
        </is>
      </c>
      <c r="O1398" s="4" t="n">
        <v>3</v>
      </c>
      <c r="P1398" s="4" t="inlineStr">
        <is>
          <t>PERCENTAGE</t>
        </is>
      </c>
      <c r="Q1398" s="4" t="inlineStr">
        <is>
          <t>MAESTRO-IOS-GROUP-TRIP-1397 | Stay | 10519.81</t>
        </is>
      </c>
      <c r="R1398" s="4" t="inlineStr">
        <is>
          <t>iPhone</t>
        </is>
      </c>
      <c r="S1398" s="4" t="inlineStr">
        <is>
          <t>B28</t>
        </is>
      </c>
      <c r="T1398" s="4" t="inlineStr">
        <is>
          <t>RAMP_501_1500</t>
        </is>
      </c>
      <c r="U1398" s="4" t="inlineStr">
        <is>
          <t>CREATED</t>
        </is>
      </c>
      <c r="V1398" s="4" t="inlineStr">
        <is>
          <t>idem-20260902-ios-1397</t>
        </is>
      </c>
    </row>
    <row r="1399" ht="30" customHeight="1">
      <c r="A1399" s="4" t="n">
        <v>1398</v>
      </c>
      <c r="B1399" s="4" t="inlineStr">
        <is>
          <t>MTR-IOS-1398</t>
        </is>
      </c>
      <c r="C1399" s="4" t="inlineStr">
        <is>
          <t>Business</t>
        </is>
      </c>
      <c r="D1399" s="4" t="inlineStr">
        <is>
          <t>Business</t>
        </is>
      </c>
      <c r="E1399" s="4" t="inlineStr">
        <is>
          <t>Team Operations</t>
        </is>
      </c>
      <c r="F1399" s="4" t="inlineStr">
        <is>
          <t>Team Meal</t>
        </is>
      </c>
      <c r="G1399" s="4" t="inlineStr">
        <is>
          <t>Expense</t>
        </is>
      </c>
      <c r="H1399" s="12" t="n">
        <v>45937</v>
      </c>
      <c r="I1399" s="13" t="n">
        <v>0.6548958333333333</v>
      </c>
      <c r="J1399" s="14" t="n">
        <v>45937.65489583334</v>
      </c>
      <c r="K1399" s="15" t="n">
        <v>124644.45</v>
      </c>
      <c r="L1399" s="4" t="inlineStr">
        <is>
          <t>INR</t>
        </is>
      </c>
      <c r="M1399" s="15" t="n">
        <v>-124644.45</v>
      </c>
      <c r="N1399" s="4" t="inlineStr">
        <is>
          <t>IOS Owner</t>
        </is>
      </c>
      <c r="O1399" s="4" t="n"/>
      <c r="P1399" s="4" t="n"/>
      <c r="Q1399" s="4" t="inlineStr">
        <is>
          <t>MAESTRO-IOS-BUSINESS-TEAM_OPERATIONS-1398 | Team Meal | 124644.45</t>
        </is>
      </c>
      <c r="R1399" s="4" t="inlineStr">
        <is>
          <t>iPhone</t>
        </is>
      </c>
      <c r="S1399" s="4" t="inlineStr">
        <is>
          <t>B28</t>
        </is>
      </c>
      <c r="T1399" s="4" t="inlineStr">
        <is>
          <t>RAMP_501_1500</t>
        </is>
      </c>
      <c r="U1399" s="4" t="inlineStr">
        <is>
          <t>CREATED</t>
        </is>
      </c>
      <c r="V1399" s="4" t="inlineStr">
        <is>
          <t>idem-20260902-ios-1398</t>
        </is>
      </c>
    </row>
    <row r="1400" ht="30" customHeight="1">
      <c r="A1400" s="4" t="n">
        <v>1399</v>
      </c>
      <c r="B1400" s="4" t="inlineStr">
        <is>
          <t>MTR-IOS-1399</t>
        </is>
      </c>
      <c r="C1400" s="4" t="inlineStr">
        <is>
          <t>Personal</t>
        </is>
      </c>
      <c r="D1400" s="4" t="inlineStr">
        <is>
          <t>Personal</t>
        </is>
      </c>
      <c r="E1400" s="4" t="inlineStr">
        <is>
          <t>Life Operations</t>
        </is>
      </c>
      <c r="F1400" s="4" t="inlineStr">
        <is>
          <t>Repairs</t>
        </is>
      </c>
      <c r="G1400" s="4" t="inlineStr">
        <is>
          <t>Expense</t>
        </is>
      </c>
      <c r="H1400" s="12" t="n">
        <v>46243</v>
      </c>
      <c r="I1400" s="13" t="n">
        <v>0.9926967592592593</v>
      </c>
      <c r="J1400" s="14" t="n">
        <v>46243.99269675926</v>
      </c>
      <c r="K1400" s="15" t="n">
        <v>15586.99</v>
      </c>
      <c r="L1400" s="4" t="inlineStr">
        <is>
          <t>INR</t>
        </is>
      </c>
      <c r="M1400" s="15" t="n">
        <v>-15586.99</v>
      </c>
      <c r="N1400" s="4" t="inlineStr">
        <is>
          <t>IOS Owner</t>
        </is>
      </c>
      <c r="O1400" s="4" t="n"/>
      <c r="P1400" s="4" t="n"/>
      <c r="Q1400" s="4" t="inlineStr">
        <is>
          <t>MAESTRO-IOS-PERSONAL-LIFE_OPERATIONS-1399 | Repairs | 15586.99</t>
        </is>
      </c>
      <c r="R1400" s="4" t="inlineStr">
        <is>
          <t>iPhone</t>
        </is>
      </c>
      <c r="S1400" s="4" t="inlineStr">
        <is>
          <t>B28</t>
        </is>
      </c>
      <c r="T1400" s="4" t="inlineStr">
        <is>
          <t>RAMP_501_1500</t>
        </is>
      </c>
      <c r="U1400" s="4" t="inlineStr">
        <is>
          <t>CREATED</t>
        </is>
      </c>
      <c r="V1400" s="4" t="inlineStr">
        <is>
          <t>idem-20260902-ios-1399</t>
        </is>
      </c>
    </row>
    <row r="1401" ht="30" customHeight="1">
      <c r="A1401" s="4" t="n">
        <v>1400</v>
      </c>
      <c r="B1401" s="4" t="inlineStr">
        <is>
          <t>MTR-IOS-1400</t>
        </is>
      </c>
      <c r="C1401" s="4" t="inlineStr">
        <is>
          <t>Group</t>
        </is>
      </c>
      <c r="D1401" s="4" t="inlineStr">
        <is>
          <t>Shared Experience</t>
        </is>
      </c>
      <c r="E1401" s="4" t="inlineStr">
        <is>
          <t>Trip</t>
        </is>
      </c>
      <c r="F1401" s="4" t="inlineStr">
        <is>
          <t>Food</t>
        </is>
      </c>
      <c r="G1401" s="4" t="inlineStr">
        <is>
          <t>Expense</t>
        </is>
      </c>
      <c r="H1401" s="12" t="n">
        <v>45925</v>
      </c>
      <c r="I1401" s="13" t="n">
        <v>0.2995833333333333</v>
      </c>
      <c r="J1401" s="14" t="n">
        <v>45925.29958333333</v>
      </c>
      <c r="K1401" s="15" t="n">
        <v>2918.05</v>
      </c>
      <c r="L1401" s="4" t="inlineStr">
        <is>
          <t>INR</t>
        </is>
      </c>
      <c r="M1401" s="15" t="n">
        <v>-2918.05</v>
      </c>
      <c r="N1401" s="4" t="inlineStr">
        <is>
          <t>IOS Aarav</t>
        </is>
      </c>
      <c r="O1401" s="4" t="n">
        <v>3</v>
      </c>
      <c r="P1401" s="4" t="inlineStr">
        <is>
          <t>EXACT</t>
        </is>
      </c>
      <c r="Q1401" s="4" t="inlineStr">
        <is>
          <t>MAESTRO-IOS-GROUP-TRIP-1400 | Food | 2918.05</t>
        </is>
      </c>
      <c r="R1401" s="4" t="inlineStr">
        <is>
          <t>iPhone</t>
        </is>
      </c>
      <c r="S1401" s="4" t="inlineStr">
        <is>
          <t>B28</t>
        </is>
      </c>
      <c r="T1401" s="4" t="inlineStr">
        <is>
          <t>RAMP_501_1500</t>
        </is>
      </c>
      <c r="U1401" s="4" t="inlineStr">
        <is>
          <t>CREATED</t>
        </is>
      </c>
      <c r="V1401" s="4" t="inlineStr">
        <is>
          <t>idem-20260902-ios-1400</t>
        </is>
      </c>
    </row>
    <row r="1402" ht="30" customHeight="1">
      <c r="A1402" s="4" t="n">
        <v>1401</v>
      </c>
      <c r="B1402" s="4" t="inlineStr">
        <is>
          <t>MTR-IOS-1401</t>
        </is>
      </c>
      <c r="C1402" s="4" t="inlineStr">
        <is>
          <t>Business</t>
        </is>
      </c>
      <c r="D1402" s="4" t="inlineStr">
        <is>
          <t>Business</t>
        </is>
      </c>
      <c r="E1402" s="4" t="inlineStr">
        <is>
          <t>Team Operations</t>
        </is>
      </c>
      <c r="F1402" s="4" t="inlineStr">
        <is>
          <t>Travel</t>
        </is>
      </c>
      <c r="G1402" s="4" t="inlineStr">
        <is>
          <t>Expense</t>
        </is>
      </c>
      <c r="H1402" s="12" t="n">
        <v>46089</v>
      </c>
      <c r="I1402" s="13" t="n">
        <v>0.06061342592592592</v>
      </c>
      <c r="J1402" s="14" t="n">
        <v>46089.06061342593</v>
      </c>
      <c r="K1402" s="15" t="n">
        <v>16106.48</v>
      </c>
      <c r="L1402" s="4" t="inlineStr">
        <is>
          <t>INR</t>
        </is>
      </c>
      <c r="M1402" s="15" t="n">
        <v>-16106.48</v>
      </c>
      <c r="N1402" s="4" t="inlineStr">
        <is>
          <t>IOS Owner</t>
        </is>
      </c>
      <c r="O1402" s="4" t="n"/>
      <c r="P1402" s="4" t="n"/>
      <c r="Q1402" s="4" t="inlineStr">
        <is>
          <t>MAESTRO-IOS-BUSINESS-TEAM_OPERATIONS-1401 | Travel | 16106.48</t>
        </is>
      </c>
      <c r="R1402" s="4" t="inlineStr">
        <is>
          <t>iPhone</t>
        </is>
      </c>
      <c r="S1402" s="4" t="inlineStr">
        <is>
          <t>B29</t>
        </is>
      </c>
      <c r="T1402" s="4" t="inlineStr">
        <is>
          <t>RAMP_501_1500</t>
        </is>
      </c>
      <c r="U1402" s="4" t="inlineStr">
        <is>
          <t>CREATED</t>
        </is>
      </c>
      <c r="V1402" s="4" t="inlineStr">
        <is>
          <t>idem-20260902-ios-1401</t>
        </is>
      </c>
    </row>
    <row r="1403" ht="30" customHeight="1">
      <c r="A1403" s="4" t="n">
        <v>1402</v>
      </c>
      <c r="B1403" s="4" t="inlineStr">
        <is>
          <t>MTR-IOS-1402</t>
        </is>
      </c>
      <c r="C1403" s="4" t="inlineStr">
        <is>
          <t>Personal</t>
        </is>
      </c>
      <c r="D1403" s="4" t="inlineStr">
        <is>
          <t>Personal</t>
        </is>
      </c>
      <c r="E1403" s="4" t="inlineStr">
        <is>
          <t>Future Building</t>
        </is>
      </c>
      <c r="F1403" s="4" t="inlineStr">
        <is>
          <t>Savings</t>
        </is>
      </c>
      <c r="G1403" s="4" t="inlineStr">
        <is>
          <t>Transfer</t>
        </is>
      </c>
      <c r="H1403" s="12" t="n">
        <v>46063</v>
      </c>
      <c r="I1403" s="13" t="n">
        <v>0.1340509259259259</v>
      </c>
      <c r="J1403" s="14" t="n">
        <v>46063.13405092592</v>
      </c>
      <c r="K1403" s="15" t="n">
        <v>7899.55</v>
      </c>
      <c r="L1403" s="4" t="inlineStr">
        <is>
          <t>INR</t>
        </is>
      </c>
      <c r="M1403" s="15" t="n">
        <v>0</v>
      </c>
      <c r="N1403" s="4" t="inlineStr">
        <is>
          <t>IOS Owner</t>
        </is>
      </c>
      <c r="O1403" s="4" t="n"/>
      <c r="P1403" s="4" t="n"/>
      <c r="Q1403" s="4" t="inlineStr">
        <is>
          <t>MAESTRO-IOS-PERSONAL-FUTURE_BUILDING-1402 | Savings | 7899.55</t>
        </is>
      </c>
      <c r="R1403" s="4" t="inlineStr">
        <is>
          <t>iPhone</t>
        </is>
      </c>
      <c r="S1403" s="4" t="inlineStr">
        <is>
          <t>B29</t>
        </is>
      </c>
      <c r="T1403" s="4" t="inlineStr">
        <is>
          <t>RAMP_501_1500</t>
        </is>
      </c>
      <c r="U1403" s="4" t="inlineStr">
        <is>
          <t>CREATED</t>
        </is>
      </c>
      <c r="V1403" s="4" t="inlineStr">
        <is>
          <t>idem-20260902-ios-1402</t>
        </is>
      </c>
    </row>
    <row r="1404" ht="30" customHeight="1">
      <c r="A1404" s="4" t="n">
        <v>1403</v>
      </c>
      <c r="B1404" s="4" t="inlineStr">
        <is>
          <t>MTR-IOS-1403</t>
        </is>
      </c>
      <c r="C1404" s="4" t="inlineStr">
        <is>
          <t>Group</t>
        </is>
      </c>
      <c r="D1404" s="4" t="inlineStr">
        <is>
          <t>Shared Experience</t>
        </is>
      </c>
      <c r="E1404" s="4" t="inlineStr">
        <is>
          <t>Trip</t>
        </is>
      </c>
      <c r="F1404" s="4" t="inlineStr">
        <is>
          <t>Local Transport</t>
        </is>
      </c>
      <c r="G1404" s="4" t="inlineStr">
        <is>
          <t>Expense</t>
        </is>
      </c>
      <c r="H1404" s="12" t="n">
        <v>46095</v>
      </c>
      <c r="I1404" s="13" t="n">
        <v>0.8033333333333333</v>
      </c>
      <c r="J1404" s="14" t="n">
        <v>46095.80333333334</v>
      </c>
      <c r="K1404" s="15" t="n">
        <v>26944.97</v>
      </c>
      <c r="L1404" s="4" t="inlineStr">
        <is>
          <t>INR</t>
        </is>
      </c>
      <c r="M1404" s="15" t="n">
        <v>-26944.97</v>
      </c>
      <c r="N1404" s="4" t="inlineStr">
        <is>
          <t>IOS Meera</t>
        </is>
      </c>
      <c r="O1404" s="4" t="n">
        <v>3</v>
      </c>
      <c r="P1404" s="4" t="inlineStr">
        <is>
          <t>SHARES</t>
        </is>
      </c>
      <c r="Q1404" s="4" t="inlineStr">
        <is>
          <t>MAESTRO-IOS-GROUP-TRIP-1403 | Local Transport | 26944.97</t>
        </is>
      </c>
      <c r="R1404" s="4" t="inlineStr">
        <is>
          <t>iPhone</t>
        </is>
      </c>
      <c r="S1404" s="4" t="inlineStr">
        <is>
          <t>B29</t>
        </is>
      </c>
      <c r="T1404" s="4" t="inlineStr">
        <is>
          <t>RAMP_501_1500</t>
        </is>
      </c>
      <c r="U1404" s="4" t="inlineStr">
        <is>
          <t>CREATED</t>
        </is>
      </c>
      <c r="V1404" s="4" t="inlineStr">
        <is>
          <t>idem-20260902-ios-1403</t>
        </is>
      </c>
    </row>
    <row r="1405" ht="30" customHeight="1">
      <c r="A1405" s="4" t="n">
        <v>1404</v>
      </c>
      <c r="B1405" s="4" t="inlineStr">
        <is>
          <t>MTR-IOS-1404</t>
        </is>
      </c>
      <c r="C1405" s="4" t="inlineStr">
        <is>
          <t>Business</t>
        </is>
      </c>
      <c r="D1405" s="4" t="inlineStr">
        <is>
          <t>Business</t>
        </is>
      </c>
      <c r="E1405" s="4" t="inlineStr">
        <is>
          <t>Team Operations</t>
        </is>
      </c>
      <c r="F1405" s="4" t="inlineStr">
        <is>
          <t>Training</t>
        </is>
      </c>
      <c r="G1405" s="4" t="inlineStr">
        <is>
          <t>Expense</t>
        </is>
      </c>
      <c r="H1405" s="12" t="n">
        <v>46037</v>
      </c>
      <c r="I1405" s="13" t="n">
        <v>0.4043171296296296</v>
      </c>
      <c r="J1405" s="14" t="n">
        <v>46037.40431712963</v>
      </c>
      <c r="K1405" s="15" t="n">
        <v>159243.98</v>
      </c>
      <c r="L1405" s="4" t="inlineStr">
        <is>
          <t>INR</t>
        </is>
      </c>
      <c r="M1405" s="15" t="n">
        <v>-159243.98</v>
      </c>
      <c r="N1405" s="4" t="inlineStr">
        <is>
          <t>IOS Owner</t>
        </is>
      </c>
      <c r="O1405" s="4" t="n"/>
      <c r="P1405" s="4" t="n"/>
      <c r="Q1405" s="4" t="inlineStr">
        <is>
          <t>MAESTRO-IOS-BUSINESS-TEAM_OPERATIONS-1404 | Training | 159243.98</t>
        </is>
      </c>
      <c r="R1405" s="4" t="inlineStr">
        <is>
          <t>iPhone</t>
        </is>
      </c>
      <c r="S1405" s="4" t="inlineStr">
        <is>
          <t>B29</t>
        </is>
      </c>
      <c r="T1405" s="4" t="inlineStr">
        <is>
          <t>RAMP_501_1500</t>
        </is>
      </c>
      <c r="U1405" s="4" t="inlineStr">
        <is>
          <t>CREATED</t>
        </is>
      </c>
      <c r="V1405" s="4" t="inlineStr">
        <is>
          <t>idem-20260902-ios-1404</t>
        </is>
      </c>
    </row>
    <row r="1406" ht="30" customHeight="1">
      <c r="A1406" s="4" t="n">
        <v>1405</v>
      </c>
      <c r="B1406" s="4" t="inlineStr">
        <is>
          <t>MTR-IOS-1405</t>
        </is>
      </c>
      <c r="C1406" s="4" t="inlineStr">
        <is>
          <t>Personal</t>
        </is>
      </c>
      <c r="D1406" s="4" t="inlineStr">
        <is>
          <t>Personal</t>
        </is>
      </c>
      <c r="E1406" s="4" t="inlineStr">
        <is>
          <t>Future Building</t>
        </is>
      </c>
      <c r="F1406" s="4" t="inlineStr">
        <is>
          <t>Emergency Fund</t>
        </is>
      </c>
      <c r="G1406" s="4" t="inlineStr">
        <is>
          <t>Transfer</t>
        </is>
      </c>
      <c r="H1406" s="12" t="n">
        <v>46019</v>
      </c>
      <c r="I1406" s="13" t="n">
        <v>0.2069212962962963</v>
      </c>
      <c r="J1406" s="14" t="n">
        <v>46019.2069212963</v>
      </c>
      <c r="K1406" s="15" t="n">
        <v>1143.51</v>
      </c>
      <c r="L1406" s="4" t="inlineStr">
        <is>
          <t>INR</t>
        </is>
      </c>
      <c r="M1406" s="15" t="n">
        <v>0</v>
      </c>
      <c r="N1406" s="4" t="inlineStr">
        <is>
          <t>IOS Owner</t>
        </is>
      </c>
      <c r="O1406" s="4" t="n"/>
      <c r="P1406" s="4" t="n"/>
      <c r="Q1406" s="4" t="inlineStr">
        <is>
          <t>MAESTRO-IOS-PERSONAL-FUTURE_BUILDING-1405 | Emergency Fund | 1143.51</t>
        </is>
      </c>
      <c r="R1406" s="4" t="inlineStr">
        <is>
          <t>iPhone</t>
        </is>
      </c>
      <c r="S1406" s="4" t="inlineStr">
        <is>
          <t>B29</t>
        </is>
      </c>
      <c r="T1406" s="4" t="inlineStr">
        <is>
          <t>RAMP_501_1500</t>
        </is>
      </c>
      <c r="U1406" s="4" t="inlineStr">
        <is>
          <t>CREATED</t>
        </is>
      </c>
      <c r="V1406" s="4" t="inlineStr">
        <is>
          <t>idem-20260902-ios-1405</t>
        </is>
      </c>
    </row>
    <row r="1407" ht="30" customHeight="1">
      <c r="A1407" s="4" t="n">
        <v>1406</v>
      </c>
      <c r="B1407" s="4" t="inlineStr">
        <is>
          <t>MTR-IOS-1406</t>
        </is>
      </c>
      <c r="C1407" s="4" t="inlineStr">
        <is>
          <t>Group</t>
        </is>
      </c>
      <c r="D1407" s="4" t="inlineStr">
        <is>
          <t>Shared Experience</t>
        </is>
      </c>
      <c r="E1407" s="4" t="inlineStr">
        <is>
          <t>Trip</t>
        </is>
      </c>
      <c r="F1407" s="4" t="inlineStr">
        <is>
          <t>Activities</t>
        </is>
      </c>
      <c r="G1407" s="4" t="inlineStr">
        <is>
          <t>Expense</t>
        </is>
      </c>
      <c r="H1407" s="12" t="n">
        <v>46112</v>
      </c>
      <c r="I1407" s="13" t="n">
        <v>0.1385763888888889</v>
      </c>
      <c r="J1407" s="14" t="n">
        <v>46112.13857638889</v>
      </c>
      <c r="K1407" s="15" t="n">
        <v>99.98999999999999</v>
      </c>
      <c r="L1407" s="4" t="inlineStr">
        <is>
          <t>INR</t>
        </is>
      </c>
      <c r="M1407" s="15" t="n">
        <v>-99.98999999999999</v>
      </c>
      <c r="N1407" s="4" t="inlineStr">
        <is>
          <t>IOS Owner</t>
        </is>
      </c>
      <c r="O1407" s="4" t="n">
        <v>3</v>
      </c>
      <c r="P1407" s="4" t="inlineStr">
        <is>
          <t>EQUAL</t>
        </is>
      </c>
      <c r="Q1407" s="4" t="inlineStr">
        <is>
          <t>MAESTRO-IOS-GROUP-TRIP-1406 | Activities | 99.99</t>
        </is>
      </c>
      <c r="R1407" s="4" t="inlineStr">
        <is>
          <t>iPhone</t>
        </is>
      </c>
      <c r="S1407" s="4" t="inlineStr">
        <is>
          <t>B29</t>
        </is>
      </c>
      <c r="T1407" s="4" t="inlineStr">
        <is>
          <t>RAMP_501_1500</t>
        </is>
      </c>
      <c r="U1407" s="4" t="inlineStr">
        <is>
          <t>CREATED</t>
        </is>
      </c>
      <c r="V1407" s="4" t="inlineStr">
        <is>
          <t>idem-20260902-ios-1406</t>
        </is>
      </c>
    </row>
    <row r="1408" ht="30" customHeight="1">
      <c r="A1408" s="4" t="n">
        <v>1407</v>
      </c>
      <c r="B1408" s="4" t="inlineStr">
        <is>
          <t>MTR-IOS-1407</t>
        </is>
      </c>
      <c r="C1408" s="4" t="inlineStr">
        <is>
          <t>Business</t>
        </is>
      </c>
      <c r="D1408" s="4" t="inlineStr">
        <is>
          <t>Business</t>
        </is>
      </c>
      <c r="E1408" s="4" t="inlineStr">
        <is>
          <t>Team Operations</t>
        </is>
      </c>
      <c r="F1408" s="4" t="inlineStr">
        <is>
          <t>Tools</t>
        </is>
      </c>
      <c r="G1408" s="4" t="inlineStr">
        <is>
          <t>Expense</t>
        </is>
      </c>
      <c r="H1408" s="12" t="n">
        <v>45971</v>
      </c>
      <c r="I1408" s="13" t="n">
        <v>0.1940509259259259</v>
      </c>
      <c r="J1408" s="14" t="n">
        <v>45971.19405092593</v>
      </c>
      <c r="K1408" s="15" t="n">
        <v>110580.42</v>
      </c>
      <c r="L1408" s="4" t="inlineStr">
        <is>
          <t>INR</t>
        </is>
      </c>
      <c r="M1408" s="15" t="n">
        <v>-110580.42</v>
      </c>
      <c r="N1408" s="4" t="inlineStr">
        <is>
          <t>IOS Owner</t>
        </is>
      </c>
      <c r="O1408" s="4" t="n"/>
      <c r="P1408" s="4" t="n"/>
      <c r="Q1408" s="4" t="inlineStr">
        <is>
          <t>MAESTRO-IOS-BUSINESS-TEAM_OPERATIONS-1407 | Tools | 110580.42</t>
        </is>
      </c>
      <c r="R1408" s="4" t="inlineStr">
        <is>
          <t>iPhone</t>
        </is>
      </c>
      <c r="S1408" s="4" t="inlineStr">
        <is>
          <t>B29</t>
        </is>
      </c>
      <c r="T1408" s="4" t="inlineStr">
        <is>
          <t>RAMP_501_1500</t>
        </is>
      </c>
      <c r="U1408" s="4" t="inlineStr">
        <is>
          <t>CREATED</t>
        </is>
      </c>
      <c r="V1408" s="4" t="inlineStr">
        <is>
          <t>idem-20260902-ios-1407</t>
        </is>
      </c>
    </row>
    <row r="1409" ht="30" customHeight="1">
      <c r="A1409" s="4" t="n">
        <v>1408</v>
      </c>
      <c r="B1409" s="4" t="inlineStr">
        <is>
          <t>MTR-IOS-1408</t>
        </is>
      </c>
      <c r="C1409" s="4" t="inlineStr">
        <is>
          <t>Personal</t>
        </is>
      </c>
      <c r="D1409" s="4" t="inlineStr">
        <is>
          <t>Personal</t>
        </is>
      </c>
      <c r="E1409" s="4" t="inlineStr">
        <is>
          <t>Future Building</t>
        </is>
      </c>
      <c r="F1409" s="4" t="inlineStr">
        <is>
          <t>Investments</t>
        </is>
      </c>
      <c r="G1409" s="4" t="inlineStr">
        <is>
          <t>Investment</t>
        </is>
      </c>
      <c r="H1409" s="12" t="n">
        <v>46259</v>
      </c>
      <c r="I1409" s="13" t="n">
        <v>0.4516666666666667</v>
      </c>
      <c r="J1409" s="14" t="n">
        <v>46259.45166666667</v>
      </c>
      <c r="K1409" s="15" t="n">
        <v>7149.22</v>
      </c>
      <c r="L1409" s="4" t="inlineStr">
        <is>
          <t>INR</t>
        </is>
      </c>
      <c r="M1409" s="15" t="n">
        <v>0</v>
      </c>
      <c r="N1409" s="4" t="inlineStr">
        <is>
          <t>IOS Owner</t>
        </is>
      </c>
      <c r="O1409" s="4" t="n"/>
      <c r="P1409" s="4" t="n"/>
      <c r="Q1409" s="4" t="inlineStr">
        <is>
          <t>MAESTRO-IOS-PERSONAL-FUTURE_BUILDING-1408 | Investments | 7149.22</t>
        </is>
      </c>
      <c r="R1409" s="4" t="inlineStr">
        <is>
          <t>iPhone</t>
        </is>
      </c>
      <c r="S1409" s="4" t="inlineStr">
        <is>
          <t>B29</t>
        </is>
      </c>
      <c r="T1409" s="4" t="inlineStr">
        <is>
          <t>RAMP_501_1500</t>
        </is>
      </c>
      <c r="U1409" s="4" t="inlineStr">
        <is>
          <t>CREATED</t>
        </is>
      </c>
      <c r="V1409" s="4" t="inlineStr">
        <is>
          <t>idem-20260902-ios-1408</t>
        </is>
      </c>
    </row>
    <row r="1410" ht="30" customHeight="1">
      <c r="A1410" s="4" t="n">
        <v>1409</v>
      </c>
      <c r="B1410" s="4" t="inlineStr">
        <is>
          <t>MTR-IOS-1409</t>
        </is>
      </c>
      <c r="C1410" s="4" t="inlineStr">
        <is>
          <t>Group</t>
        </is>
      </c>
      <c r="D1410" s="4" t="inlineStr">
        <is>
          <t>Shared Experience</t>
        </is>
      </c>
      <c r="E1410" s="4" t="inlineStr">
        <is>
          <t>Trip</t>
        </is>
      </c>
      <c r="F1410" s="4" t="inlineStr">
        <is>
          <t>Shopping</t>
        </is>
      </c>
      <c r="G1410" s="4" t="inlineStr">
        <is>
          <t>Expense</t>
        </is>
      </c>
      <c r="H1410" s="12" t="n">
        <v>45990</v>
      </c>
      <c r="I1410" s="13" t="n">
        <v>0.1456944444444444</v>
      </c>
      <c r="J1410" s="14" t="n">
        <v>45990.14569444444</v>
      </c>
      <c r="K1410" s="15" t="n">
        <v>26263.92</v>
      </c>
      <c r="L1410" s="4" t="inlineStr">
        <is>
          <t>INR</t>
        </is>
      </c>
      <c r="M1410" s="15" t="n">
        <v>-26263.92</v>
      </c>
      <c r="N1410" s="4" t="inlineStr">
        <is>
          <t>IOS Aarav</t>
        </is>
      </c>
      <c r="O1410" s="4" t="n">
        <v>3</v>
      </c>
      <c r="P1410" s="4" t="inlineStr">
        <is>
          <t>PERCENTAGE</t>
        </is>
      </c>
      <c r="Q1410" s="4" t="inlineStr">
        <is>
          <t>MAESTRO-IOS-GROUP-TRIP-1409 | Shopping | 26263.92</t>
        </is>
      </c>
      <c r="R1410" s="4" t="inlineStr">
        <is>
          <t>iPhone</t>
        </is>
      </c>
      <c r="S1410" s="4" t="inlineStr">
        <is>
          <t>B29</t>
        </is>
      </c>
      <c r="T1410" s="4" t="inlineStr">
        <is>
          <t>RAMP_501_1500</t>
        </is>
      </c>
      <c r="U1410" s="4" t="inlineStr">
        <is>
          <t>CREATED</t>
        </is>
      </c>
      <c r="V1410" s="4" t="inlineStr">
        <is>
          <t>idem-20260902-ios-1409</t>
        </is>
      </c>
    </row>
    <row r="1411" ht="30" customHeight="1">
      <c r="A1411" s="4" t="n">
        <v>1410</v>
      </c>
      <c r="B1411" s="4" t="inlineStr">
        <is>
          <t>MTR-IOS-1410</t>
        </is>
      </c>
      <c r="C1411" s="4" t="inlineStr">
        <is>
          <t>Business</t>
        </is>
      </c>
      <c r="D1411" s="4" t="inlineStr">
        <is>
          <t>Business</t>
        </is>
      </c>
      <c r="E1411" s="4" t="inlineStr">
        <is>
          <t>Business Runway</t>
        </is>
      </c>
      <c r="F1411" s="4" t="inlineStr">
        <is>
          <t>Funding</t>
        </is>
      </c>
      <c r="G1411" s="4" t="inlineStr">
        <is>
          <t>Income</t>
        </is>
      </c>
      <c r="H1411" s="12" t="n">
        <v>45969</v>
      </c>
      <c r="I1411" s="13" t="n">
        <v>0.2855787037037037</v>
      </c>
      <c r="J1411" s="14" t="n">
        <v>45969.2855787037</v>
      </c>
      <c r="K1411" s="15" t="n">
        <v>15225.9</v>
      </c>
      <c r="L1411" s="4" t="inlineStr">
        <is>
          <t>INR</t>
        </is>
      </c>
      <c r="M1411" s="15" t="n">
        <v>15225.9</v>
      </c>
      <c r="N1411" s="4" t="inlineStr">
        <is>
          <t>IOS Owner</t>
        </is>
      </c>
      <c r="O1411" s="4" t="n"/>
      <c r="P1411" s="4" t="n"/>
      <c r="Q1411" s="4" t="inlineStr">
        <is>
          <t>MAESTRO-IOS-BUSINESS-BUSINESS_RUNWAY-1410 | Funding | 15225.90</t>
        </is>
      </c>
      <c r="R1411" s="4" t="inlineStr">
        <is>
          <t>iPhone</t>
        </is>
      </c>
      <c r="S1411" s="4" t="inlineStr">
        <is>
          <t>B29</t>
        </is>
      </c>
      <c r="T1411" s="4" t="inlineStr">
        <is>
          <t>RAMP_501_1500</t>
        </is>
      </c>
      <c r="U1411" s="4" t="inlineStr">
        <is>
          <t>CREATED</t>
        </is>
      </c>
      <c r="V1411" s="4" t="inlineStr">
        <is>
          <t>idem-20260902-ios-1410</t>
        </is>
      </c>
    </row>
    <row r="1412" ht="30" customHeight="1">
      <c r="A1412" s="4" t="n">
        <v>1411</v>
      </c>
      <c r="B1412" s="4" t="inlineStr">
        <is>
          <t>MTR-IOS-1411</t>
        </is>
      </c>
      <c r="C1412" s="4" t="inlineStr">
        <is>
          <t>Personal</t>
        </is>
      </c>
      <c r="D1412" s="4" t="inlineStr">
        <is>
          <t>Personal</t>
        </is>
      </c>
      <c r="E1412" s="4" t="inlineStr">
        <is>
          <t>Future Building</t>
        </is>
      </c>
      <c r="F1412" s="4" t="inlineStr">
        <is>
          <t>Education</t>
        </is>
      </c>
      <c r="G1412" s="4" t="inlineStr">
        <is>
          <t>Expense</t>
        </is>
      </c>
      <c r="H1412" s="12" t="n">
        <v>45941</v>
      </c>
      <c r="I1412" s="13" t="n">
        <v>0.6246527777777777</v>
      </c>
      <c r="J1412" s="14" t="n">
        <v>45941.62465277778</v>
      </c>
      <c r="K1412" s="15" t="n">
        <v>11213.72</v>
      </c>
      <c r="L1412" s="4" t="inlineStr">
        <is>
          <t>INR</t>
        </is>
      </c>
      <c r="M1412" s="15" t="n">
        <v>-11213.72</v>
      </c>
      <c r="N1412" s="4" t="inlineStr">
        <is>
          <t>IOS Owner</t>
        </is>
      </c>
      <c r="O1412" s="4" t="n"/>
      <c r="P1412" s="4" t="n"/>
      <c r="Q1412" s="4" t="inlineStr">
        <is>
          <t>MAESTRO-IOS-PERSONAL-FUTURE_BUILDING-1411 | Education | 11213.72</t>
        </is>
      </c>
      <c r="R1412" s="4" t="inlineStr">
        <is>
          <t>iPhone</t>
        </is>
      </c>
      <c r="S1412" s="4" t="inlineStr">
        <is>
          <t>B29</t>
        </is>
      </c>
      <c r="T1412" s="4" t="inlineStr">
        <is>
          <t>RAMP_501_1500</t>
        </is>
      </c>
      <c r="U1412" s="4" t="inlineStr">
        <is>
          <t>CREATED</t>
        </is>
      </c>
      <c r="V1412" s="4" t="inlineStr">
        <is>
          <t>idem-20260902-ios-1411</t>
        </is>
      </c>
    </row>
    <row r="1413" ht="30" customHeight="1">
      <c r="A1413" s="4" t="n">
        <v>1412</v>
      </c>
      <c r="B1413" s="4" t="inlineStr">
        <is>
          <t>MTR-IOS-1412</t>
        </is>
      </c>
      <c r="C1413" s="4" t="inlineStr">
        <is>
          <t>Group</t>
        </is>
      </c>
      <c r="D1413" s="4" t="inlineStr">
        <is>
          <t>Shared Experience</t>
        </is>
      </c>
      <c r="E1413" s="4" t="inlineStr">
        <is>
          <t>Trip</t>
        </is>
      </c>
      <c r="F1413" s="4" t="inlineStr">
        <is>
          <t>Other</t>
        </is>
      </c>
      <c r="G1413" s="4" t="inlineStr">
        <is>
          <t>Expense</t>
        </is>
      </c>
      <c r="H1413" s="12" t="n">
        <v>45972</v>
      </c>
      <c r="I1413" s="13" t="n">
        <v>0.1813078703703704</v>
      </c>
      <c r="J1413" s="14" t="n">
        <v>45972.18130787037</v>
      </c>
      <c r="K1413" s="15" t="n">
        <v>6590.71</v>
      </c>
      <c r="L1413" s="4" t="inlineStr">
        <is>
          <t>INR</t>
        </is>
      </c>
      <c r="M1413" s="15" t="n">
        <v>-6590.71</v>
      </c>
      <c r="N1413" s="4" t="inlineStr">
        <is>
          <t>IOS Meera</t>
        </is>
      </c>
      <c r="O1413" s="4" t="n">
        <v>3</v>
      </c>
      <c r="P1413" s="4" t="inlineStr">
        <is>
          <t>EXACT</t>
        </is>
      </c>
      <c r="Q1413" s="4" t="inlineStr">
        <is>
          <t>MAESTRO-IOS-GROUP-TRIP-1412 | Other | 6590.71</t>
        </is>
      </c>
      <c r="R1413" s="4" t="inlineStr">
        <is>
          <t>iPhone</t>
        </is>
      </c>
      <c r="S1413" s="4" t="inlineStr">
        <is>
          <t>B29</t>
        </is>
      </c>
      <c r="T1413" s="4" t="inlineStr">
        <is>
          <t>RAMP_501_1500</t>
        </is>
      </c>
      <c r="U1413" s="4" t="inlineStr">
        <is>
          <t>CREATED</t>
        </is>
      </c>
      <c r="V1413" s="4" t="inlineStr">
        <is>
          <t>idem-20260902-ios-1412</t>
        </is>
      </c>
    </row>
    <row r="1414" ht="30" customHeight="1">
      <c r="A1414" s="4" t="n">
        <v>1413</v>
      </c>
      <c r="B1414" s="4" t="inlineStr">
        <is>
          <t>MTR-IOS-1413</t>
        </is>
      </c>
      <c r="C1414" s="4" t="inlineStr">
        <is>
          <t>Business</t>
        </is>
      </c>
      <c r="D1414" s="4" t="inlineStr">
        <is>
          <t>Business</t>
        </is>
      </c>
      <c r="E1414" s="4" t="inlineStr">
        <is>
          <t>Business Runway</t>
        </is>
      </c>
      <c r="F1414" s="4" t="inlineStr">
        <is>
          <t>Revenue</t>
        </is>
      </c>
      <c r="G1414" s="4" t="inlineStr">
        <is>
          <t>Income</t>
        </is>
      </c>
      <c r="H1414" s="12" t="n">
        <v>46183</v>
      </c>
      <c r="I1414" s="13" t="n">
        <v>0.3841782407407408</v>
      </c>
      <c r="J1414" s="14" t="n">
        <v>46183.38417824074</v>
      </c>
      <c r="K1414" s="15" t="n">
        <v>114074.44</v>
      </c>
      <c r="L1414" s="4" t="inlineStr">
        <is>
          <t>INR</t>
        </is>
      </c>
      <c r="M1414" s="15" t="n">
        <v>114074.44</v>
      </c>
      <c r="N1414" s="4" t="inlineStr">
        <is>
          <t>IOS Owner</t>
        </is>
      </c>
      <c r="O1414" s="4" t="n"/>
      <c r="P1414" s="4" t="n"/>
      <c r="Q1414" s="4" t="inlineStr">
        <is>
          <t>MAESTRO-IOS-BUSINESS-BUSINESS_RUNWAY-1413 | Revenue | 114074.44</t>
        </is>
      </c>
      <c r="R1414" s="4" t="inlineStr">
        <is>
          <t>iPhone</t>
        </is>
      </c>
      <c r="S1414" s="4" t="inlineStr">
        <is>
          <t>B29</t>
        </is>
      </c>
      <c r="T1414" s="4" t="inlineStr">
        <is>
          <t>RAMP_501_1500</t>
        </is>
      </c>
      <c r="U1414" s="4" t="inlineStr">
        <is>
          <t>CREATED</t>
        </is>
      </c>
      <c r="V1414" s="4" t="inlineStr">
        <is>
          <t>idem-20260902-ios-1413</t>
        </is>
      </c>
    </row>
    <row r="1415" ht="30" customHeight="1">
      <c r="A1415" s="4" t="n">
        <v>1414</v>
      </c>
      <c r="B1415" s="4" t="inlineStr">
        <is>
          <t>MTR-IOS-1414</t>
        </is>
      </c>
      <c r="C1415" s="4" t="inlineStr">
        <is>
          <t>Personal</t>
        </is>
      </c>
      <c r="D1415" s="4" t="inlineStr">
        <is>
          <t>Personal</t>
        </is>
      </c>
      <c r="E1415" s="4" t="inlineStr">
        <is>
          <t>Future Building</t>
        </is>
      </c>
      <c r="F1415" s="4" t="inlineStr">
        <is>
          <t>Goal Contribution</t>
        </is>
      </c>
      <c r="G1415" s="4" t="inlineStr">
        <is>
          <t>Transfer</t>
        </is>
      </c>
      <c r="H1415" s="12" t="n">
        <v>46254</v>
      </c>
      <c r="I1415" s="13" t="n">
        <v>0.4419328703703704</v>
      </c>
      <c r="J1415" s="14" t="n">
        <v>46254.44193287037</v>
      </c>
      <c r="K1415" s="15" t="n">
        <v>828.5599999999999</v>
      </c>
      <c r="L1415" s="4" t="inlineStr">
        <is>
          <t>INR</t>
        </is>
      </c>
      <c r="M1415" s="15" t="n">
        <v>0</v>
      </c>
      <c r="N1415" s="4" t="inlineStr">
        <is>
          <t>IOS Owner</t>
        </is>
      </c>
      <c r="O1415" s="4" t="n"/>
      <c r="P1415" s="4" t="n"/>
      <c r="Q1415" s="4" t="inlineStr">
        <is>
          <t>MAESTRO-IOS-PERSONAL-FUTURE_BUILDING-1414 | Goal Contribution | 828.56</t>
        </is>
      </c>
      <c r="R1415" s="4" t="inlineStr">
        <is>
          <t>iPhone</t>
        </is>
      </c>
      <c r="S1415" s="4" t="inlineStr">
        <is>
          <t>B29</t>
        </is>
      </c>
      <c r="T1415" s="4" t="inlineStr">
        <is>
          <t>RAMP_501_1500</t>
        </is>
      </c>
      <c r="U1415" s="4" t="inlineStr">
        <is>
          <t>CREATED</t>
        </is>
      </c>
      <c r="V1415" s="4" t="inlineStr">
        <is>
          <t>idem-20260902-ios-1414</t>
        </is>
      </c>
    </row>
    <row r="1416" ht="30" customHeight="1">
      <c r="A1416" s="4" t="n">
        <v>1415</v>
      </c>
      <c r="B1416" s="4" t="inlineStr">
        <is>
          <t>MTR-IOS-1415</t>
        </is>
      </c>
      <c r="C1416" s="4" t="inlineStr">
        <is>
          <t>Group</t>
        </is>
      </c>
      <c r="D1416" s="4" t="inlineStr">
        <is>
          <t>Shared Experience</t>
        </is>
      </c>
      <c r="E1416" s="4" t="inlineStr">
        <is>
          <t>Wedding</t>
        </is>
      </c>
      <c r="F1416" s="4" t="inlineStr">
        <is>
          <t>Venue</t>
        </is>
      </c>
      <c r="G1416" s="4" t="inlineStr">
        <is>
          <t>Expense</t>
        </is>
      </c>
      <c r="H1416" s="12" t="n">
        <v>45934</v>
      </c>
      <c r="I1416" s="13" t="n">
        <v>0.04994212962962963</v>
      </c>
      <c r="J1416" s="14" t="n">
        <v>45934.04994212963</v>
      </c>
      <c r="K1416" s="15" t="n">
        <v>10941.78</v>
      </c>
      <c r="L1416" s="4" t="inlineStr">
        <is>
          <t>INR</t>
        </is>
      </c>
      <c r="M1416" s="15" t="n">
        <v>-10941.78</v>
      </c>
      <c r="N1416" s="4" t="inlineStr">
        <is>
          <t>IOS Owner</t>
        </is>
      </c>
      <c r="O1416" s="4" t="n">
        <v>3</v>
      </c>
      <c r="P1416" s="4" t="inlineStr">
        <is>
          <t>SHARES</t>
        </is>
      </c>
      <c r="Q1416" s="4" t="inlineStr">
        <is>
          <t>MAESTRO-IOS-GROUP-WEDDING-1415 | Venue | 10941.78</t>
        </is>
      </c>
      <c r="R1416" s="4" t="inlineStr">
        <is>
          <t>iPhone</t>
        </is>
      </c>
      <c r="S1416" s="4" t="inlineStr">
        <is>
          <t>B29</t>
        </is>
      </c>
      <c r="T1416" s="4" t="inlineStr">
        <is>
          <t>RAMP_501_1500</t>
        </is>
      </c>
      <c r="U1416" s="4" t="inlineStr">
        <is>
          <t>CREATED</t>
        </is>
      </c>
      <c r="V1416" s="4" t="inlineStr">
        <is>
          <t>idem-20260902-ios-1415</t>
        </is>
      </c>
    </row>
    <row r="1417" ht="30" customHeight="1">
      <c r="A1417" s="4" t="n">
        <v>1416</v>
      </c>
      <c r="B1417" s="4" t="inlineStr">
        <is>
          <t>MTR-IOS-1416</t>
        </is>
      </c>
      <c r="C1417" s="4" t="inlineStr">
        <is>
          <t>Business</t>
        </is>
      </c>
      <c r="D1417" s="4" t="inlineStr">
        <is>
          <t>Business</t>
        </is>
      </c>
      <c r="E1417" s="4" t="inlineStr">
        <is>
          <t>Business Runway</t>
        </is>
      </c>
      <c r="F1417" s="4" t="inlineStr">
        <is>
          <t>Burn</t>
        </is>
      </c>
      <c r="G1417" s="4" t="inlineStr">
        <is>
          <t>Expense</t>
        </is>
      </c>
      <c r="H1417" s="12" t="n">
        <v>46174</v>
      </c>
      <c r="I1417" s="13" t="n">
        <v>0.7296412037037037</v>
      </c>
      <c r="J1417" s="14" t="n">
        <v>46174.7296412037</v>
      </c>
      <c r="K1417" s="15" t="n">
        <v>129181.58</v>
      </c>
      <c r="L1417" s="4" t="inlineStr">
        <is>
          <t>INR</t>
        </is>
      </c>
      <c r="M1417" s="15" t="n">
        <v>-129181.58</v>
      </c>
      <c r="N1417" s="4" t="inlineStr">
        <is>
          <t>IOS Owner</t>
        </is>
      </c>
      <c r="O1417" s="4" t="n"/>
      <c r="P1417" s="4" t="n"/>
      <c r="Q1417" s="4" t="inlineStr">
        <is>
          <t>MAESTRO-IOS-BUSINESS-BUSINESS_RUNWAY-1416 | Burn | 129181.58</t>
        </is>
      </c>
      <c r="R1417" s="4" t="inlineStr">
        <is>
          <t>iPhone</t>
        </is>
      </c>
      <c r="S1417" s="4" t="inlineStr">
        <is>
          <t>B29</t>
        </is>
      </c>
      <c r="T1417" s="4" t="inlineStr">
        <is>
          <t>RAMP_501_1500</t>
        </is>
      </c>
      <c r="U1417" s="4" t="inlineStr">
        <is>
          <t>CREATED</t>
        </is>
      </c>
      <c r="V1417" s="4" t="inlineStr">
        <is>
          <t>idem-20260902-ios-1416</t>
        </is>
      </c>
    </row>
    <row r="1418" ht="30" customHeight="1">
      <c r="A1418" s="4" t="n">
        <v>1417</v>
      </c>
      <c r="B1418" s="4" t="inlineStr">
        <is>
          <t>MTR-IOS-1417</t>
        </is>
      </c>
      <c r="C1418" s="4" t="inlineStr">
        <is>
          <t>Personal</t>
        </is>
      </c>
      <c r="D1418" s="4" t="inlineStr">
        <is>
          <t>Personal</t>
        </is>
      </c>
      <c r="E1418" s="4" t="inlineStr">
        <is>
          <t>Lifestyle</t>
        </is>
      </c>
      <c r="F1418" s="4" t="inlineStr">
        <is>
          <t>Dining</t>
        </is>
      </c>
      <c r="G1418" s="4" t="inlineStr">
        <is>
          <t>Expense</t>
        </is>
      </c>
      <c r="H1418" s="12" t="n">
        <v>46261</v>
      </c>
      <c r="I1418" s="13" t="n">
        <v>0.2655324074074074</v>
      </c>
      <c r="J1418" s="14" t="n">
        <v>46261.26553240741</v>
      </c>
      <c r="K1418" s="15" t="n">
        <v>13575.36</v>
      </c>
      <c r="L1418" s="4" t="inlineStr">
        <is>
          <t>INR</t>
        </is>
      </c>
      <c r="M1418" s="15" t="n">
        <v>-13575.36</v>
      </c>
      <c r="N1418" s="4" t="inlineStr">
        <is>
          <t>IOS Owner</t>
        </is>
      </c>
      <c r="O1418" s="4" t="n"/>
      <c r="P1418" s="4" t="n"/>
      <c r="Q1418" s="4" t="inlineStr">
        <is>
          <t>MAESTRO-IOS-PERSONAL-LIFESTYLE-1417 | Dining | 13575.36</t>
        </is>
      </c>
      <c r="R1418" s="4" t="inlineStr">
        <is>
          <t>iPhone</t>
        </is>
      </c>
      <c r="S1418" s="4" t="inlineStr">
        <is>
          <t>B29</t>
        </is>
      </c>
      <c r="T1418" s="4" t="inlineStr">
        <is>
          <t>RAMP_501_1500</t>
        </is>
      </c>
      <c r="U1418" s="4" t="inlineStr">
        <is>
          <t>CREATED</t>
        </is>
      </c>
      <c r="V1418" s="4" t="inlineStr">
        <is>
          <t>idem-20260902-ios-1417</t>
        </is>
      </c>
    </row>
    <row r="1419" ht="30" customHeight="1">
      <c r="A1419" s="4" t="n">
        <v>1418</v>
      </c>
      <c r="B1419" s="4" t="inlineStr">
        <is>
          <t>MTR-IOS-1418</t>
        </is>
      </c>
      <c r="C1419" s="4" t="inlineStr">
        <is>
          <t>Group</t>
        </is>
      </c>
      <c r="D1419" s="4" t="inlineStr">
        <is>
          <t>Shared Experience</t>
        </is>
      </c>
      <c r="E1419" s="4" t="inlineStr">
        <is>
          <t>Wedding</t>
        </is>
      </c>
      <c r="F1419" s="4" t="inlineStr">
        <is>
          <t>Catering</t>
        </is>
      </c>
      <c r="G1419" s="4" t="inlineStr">
        <is>
          <t>Expense</t>
        </is>
      </c>
      <c r="H1419" s="12" t="n">
        <v>46236</v>
      </c>
      <c r="I1419" s="13" t="n">
        <v>0.7977546296296296</v>
      </c>
      <c r="J1419" s="14" t="n">
        <v>46236.79775462963</v>
      </c>
      <c r="K1419" s="15" t="n">
        <v>20985.69</v>
      </c>
      <c r="L1419" s="4" t="inlineStr">
        <is>
          <t>INR</t>
        </is>
      </c>
      <c r="M1419" s="15" t="n">
        <v>-20985.69</v>
      </c>
      <c r="N1419" s="4" t="inlineStr">
        <is>
          <t>IOS Aarav</t>
        </is>
      </c>
      <c r="O1419" s="4" t="n">
        <v>3</v>
      </c>
      <c r="P1419" s="4" t="inlineStr">
        <is>
          <t>EQUAL</t>
        </is>
      </c>
      <c r="Q1419" s="4" t="inlineStr">
        <is>
          <t>MAESTRO-IOS-GROUP-WEDDING-1418 | Catering | 20985.69</t>
        </is>
      </c>
      <c r="R1419" s="4" t="inlineStr">
        <is>
          <t>iPhone</t>
        </is>
      </c>
      <c r="S1419" s="4" t="inlineStr">
        <is>
          <t>B29</t>
        </is>
      </c>
      <c r="T1419" s="4" t="inlineStr">
        <is>
          <t>RAMP_501_1500</t>
        </is>
      </c>
      <c r="U1419" s="4" t="inlineStr">
        <is>
          <t>CREATED</t>
        </is>
      </c>
      <c r="V1419" s="4" t="inlineStr">
        <is>
          <t>idem-20260902-ios-1418</t>
        </is>
      </c>
    </row>
    <row r="1420" ht="30" customHeight="1">
      <c r="A1420" s="4" t="n">
        <v>1419</v>
      </c>
      <c r="B1420" s="4" t="inlineStr">
        <is>
          <t>MTR-IOS-1419</t>
        </is>
      </c>
      <c r="C1420" s="4" t="inlineStr">
        <is>
          <t>Business</t>
        </is>
      </c>
      <c r="D1420" s="4" t="inlineStr">
        <is>
          <t>Business</t>
        </is>
      </c>
      <c r="E1420" s="4" t="inlineStr">
        <is>
          <t>Business Runway</t>
        </is>
      </c>
      <c r="F1420" s="4" t="inlineStr">
        <is>
          <t>Reserve</t>
        </is>
      </c>
      <c r="G1420" s="4" t="inlineStr">
        <is>
          <t>Transfer</t>
        </is>
      </c>
      <c r="H1420" s="12" t="n">
        <v>46046</v>
      </c>
      <c r="I1420" s="13" t="n">
        <v>0.9571990740740741</v>
      </c>
      <c r="J1420" s="14" t="n">
        <v>46046.95719907407</v>
      </c>
      <c r="K1420" s="15" t="n">
        <v>116249.08</v>
      </c>
      <c r="L1420" s="4" t="inlineStr">
        <is>
          <t>INR</t>
        </is>
      </c>
      <c r="M1420" s="15" t="n">
        <v>0</v>
      </c>
      <c r="N1420" s="4" t="inlineStr">
        <is>
          <t>IOS Owner</t>
        </is>
      </c>
      <c r="O1420" s="4" t="n"/>
      <c r="P1420" s="4" t="n"/>
      <c r="Q1420" s="4" t="inlineStr">
        <is>
          <t>MAESTRO-IOS-BUSINESS-BUSINESS_RUNWAY-1419 | Reserve | 116249.08</t>
        </is>
      </c>
      <c r="R1420" s="4" t="inlineStr">
        <is>
          <t>iPhone</t>
        </is>
      </c>
      <c r="S1420" s="4" t="inlineStr">
        <is>
          <t>B29</t>
        </is>
      </c>
      <c r="T1420" s="4" t="inlineStr">
        <is>
          <t>RAMP_501_1500</t>
        </is>
      </c>
      <c r="U1420" s="4" t="inlineStr">
        <is>
          <t>CREATED</t>
        </is>
      </c>
      <c r="V1420" s="4" t="inlineStr">
        <is>
          <t>idem-20260902-ios-1419</t>
        </is>
      </c>
    </row>
    <row r="1421" ht="30" customHeight="1">
      <c r="A1421" s="4" t="n">
        <v>1420</v>
      </c>
      <c r="B1421" s="4" t="inlineStr">
        <is>
          <t>MTR-IOS-1420</t>
        </is>
      </c>
      <c r="C1421" s="4" t="inlineStr">
        <is>
          <t>Personal</t>
        </is>
      </c>
      <c r="D1421" s="4" t="inlineStr">
        <is>
          <t>Personal</t>
        </is>
      </c>
      <c r="E1421" s="4" t="inlineStr">
        <is>
          <t>Lifestyle</t>
        </is>
      </c>
      <c r="F1421" s="4" t="inlineStr">
        <is>
          <t>Shopping</t>
        </is>
      </c>
      <c r="G1421" s="4" t="inlineStr">
        <is>
          <t>Expense</t>
        </is>
      </c>
      <c r="H1421" s="12" t="n">
        <v>46050</v>
      </c>
      <c r="I1421" s="13" t="n">
        <v>0.4751157407407408</v>
      </c>
      <c r="J1421" s="14" t="n">
        <v>46050.47511574074</v>
      </c>
      <c r="K1421" s="15" t="n">
        <v>17791.08</v>
      </c>
      <c r="L1421" s="4" t="inlineStr">
        <is>
          <t>INR</t>
        </is>
      </c>
      <c r="M1421" s="15" t="n">
        <v>-17791.08</v>
      </c>
      <c r="N1421" s="4" t="inlineStr">
        <is>
          <t>IOS Owner</t>
        </is>
      </c>
      <c r="O1421" s="4" t="n"/>
      <c r="P1421" s="4" t="n"/>
      <c r="Q1421" s="4" t="inlineStr">
        <is>
          <t>MAESTRO-IOS-PERSONAL-LIFESTYLE-1420 | Shopping | 17791.08</t>
        </is>
      </c>
      <c r="R1421" s="4" t="inlineStr">
        <is>
          <t>iPhone</t>
        </is>
      </c>
      <c r="S1421" s="4" t="inlineStr">
        <is>
          <t>B29</t>
        </is>
      </c>
      <c r="T1421" s="4" t="inlineStr">
        <is>
          <t>RAMP_501_1500</t>
        </is>
      </c>
      <c r="U1421" s="4" t="inlineStr">
        <is>
          <t>CREATED</t>
        </is>
      </c>
      <c r="V1421" s="4" t="inlineStr">
        <is>
          <t>idem-20260902-ios-1420</t>
        </is>
      </c>
    </row>
    <row r="1422" ht="30" customHeight="1">
      <c r="A1422" s="4" t="n">
        <v>1421</v>
      </c>
      <c r="B1422" s="4" t="inlineStr">
        <is>
          <t>MTR-IOS-1421</t>
        </is>
      </c>
      <c r="C1422" s="4" t="inlineStr">
        <is>
          <t>Group</t>
        </is>
      </c>
      <c r="D1422" s="4" t="inlineStr">
        <is>
          <t>Shared Experience</t>
        </is>
      </c>
      <c r="E1422" s="4" t="inlineStr">
        <is>
          <t>Wedding</t>
        </is>
      </c>
      <c r="F1422" s="4" t="inlineStr">
        <is>
          <t>Decor</t>
        </is>
      </c>
      <c r="G1422" s="4" t="inlineStr">
        <is>
          <t>Expense</t>
        </is>
      </c>
      <c r="H1422" s="12" t="n">
        <v>46147</v>
      </c>
      <c r="I1422" s="13" t="n">
        <v>0.2164236111111111</v>
      </c>
      <c r="J1422" s="14" t="n">
        <v>46147.21642361111</v>
      </c>
      <c r="K1422" s="15" t="n">
        <v>14140.94</v>
      </c>
      <c r="L1422" s="4" t="inlineStr">
        <is>
          <t>INR</t>
        </is>
      </c>
      <c r="M1422" s="15" t="n">
        <v>-14140.94</v>
      </c>
      <c r="N1422" s="4" t="inlineStr">
        <is>
          <t>IOS Meera</t>
        </is>
      </c>
      <c r="O1422" s="4" t="n">
        <v>3</v>
      </c>
      <c r="P1422" s="4" t="inlineStr">
        <is>
          <t>PERCENTAGE</t>
        </is>
      </c>
      <c r="Q1422" s="4" t="inlineStr">
        <is>
          <t>MAESTRO-IOS-GROUP-WEDDING-1421 | Decor | 14140.94</t>
        </is>
      </c>
      <c r="R1422" s="4" t="inlineStr">
        <is>
          <t>iPhone</t>
        </is>
      </c>
      <c r="S1422" s="4" t="inlineStr">
        <is>
          <t>B29</t>
        </is>
      </c>
      <c r="T1422" s="4" t="inlineStr">
        <is>
          <t>RAMP_501_1500</t>
        </is>
      </c>
      <c r="U1422" s="4" t="inlineStr">
        <is>
          <t>CREATED</t>
        </is>
      </c>
      <c r="V1422" s="4" t="inlineStr">
        <is>
          <t>idem-20260902-ios-1421</t>
        </is>
      </c>
    </row>
    <row r="1423" ht="30" customHeight="1">
      <c r="A1423" s="4" t="n">
        <v>1422</v>
      </c>
      <c r="B1423" s="4" t="inlineStr">
        <is>
          <t>MTR-IOS-1422</t>
        </is>
      </c>
      <c r="C1423" s="4" t="inlineStr">
        <is>
          <t>Business</t>
        </is>
      </c>
      <c r="D1423" s="4" t="inlineStr">
        <is>
          <t>Business</t>
        </is>
      </c>
      <c r="E1423" s="4" t="inlineStr">
        <is>
          <t>Business Runway</t>
        </is>
      </c>
      <c r="F1423" s="4" t="inlineStr">
        <is>
          <t>Loan</t>
        </is>
      </c>
      <c r="G1423" s="4" t="inlineStr">
        <is>
          <t>Income</t>
        </is>
      </c>
      <c r="H1423" s="12" t="n">
        <v>45907</v>
      </c>
      <c r="I1423" s="13" t="n">
        <v>0.9565277777777778</v>
      </c>
      <c r="J1423" s="14" t="n">
        <v>45907.95652777778</v>
      </c>
      <c r="K1423" s="15" t="n">
        <v>124000.2</v>
      </c>
      <c r="L1423" s="4" t="inlineStr">
        <is>
          <t>INR</t>
        </is>
      </c>
      <c r="M1423" s="15" t="n">
        <v>124000.2</v>
      </c>
      <c r="N1423" s="4" t="inlineStr">
        <is>
          <t>IOS Owner</t>
        </is>
      </c>
      <c r="O1423" s="4" t="n"/>
      <c r="P1423" s="4" t="n"/>
      <c r="Q1423" s="4" t="inlineStr">
        <is>
          <t>MAESTRO-IOS-BUSINESS-BUSINESS_RUNWAY-1422 | Loan | 124000.20</t>
        </is>
      </c>
      <c r="R1423" s="4" t="inlineStr">
        <is>
          <t>iPhone</t>
        </is>
      </c>
      <c r="S1423" s="4" t="inlineStr">
        <is>
          <t>B29</t>
        </is>
      </c>
      <c r="T1423" s="4" t="inlineStr">
        <is>
          <t>RAMP_501_1500</t>
        </is>
      </c>
      <c r="U1423" s="4" t="inlineStr">
        <is>
          <t>CREATED</t>
        </is>
      </c>
      <c r="V1423" s="4" t="inlineStr">
        <is>
          <t>idem-20260902-ios-1422</t>
        </is>
      </c>
    </row>
    <row r="1424" ht="30" customHeight="1">
      <c r="A1424" s="4" t="n">
        <v>1423</v>
      </c>
      <c r="B1424" s="4" t="inlineStr">
        <is>
          <t>MTR-IOS-1423</t>
        </is>
      </c>
      <c r="C1424" s="4" t="inlineStr">
        <is>
          <t>Personal</t>
        </is>
      </c>
      <c r="D1424" s="4" t="inlineStr">
        <is>
          <t>Personal</t>
        </is>
      </c>
      <c r="E1424" s="4" t="inlineStr">
        <is>
          <t>Lifestyle</t>
        </is>
      </c>
      <c r="F1424" s="4" t="inlineStr">
        <is>
          <t>Entertainment</t>
        </is>
      </c>
      <c r="G1424" s="4" t="inlineStr">
        <is>
          <t>Expense</t>
        </is>
      </c>
      <c r="H1424" s="12" t="n">
        <v>46175</v>
      </c>
      <c r="I1424" s="13" t="n">
        <v>0.9461805555555556</v>
      </c>
      <c r="J1424" s="14" t="n">
        <v>46175.94618055555</v>
      </c>
      <c r="K1424" s="15" t="n">
        <v>10977.22</v>
      </c>
      <c r="L1424" s="4" t="inlineStr">
        <is>
          <t>INR</t>
        </is>
      </c>
      <c r="M1424" s="15" t="n">
        <v>-10977.22</v>
      </c>
      <c r="N1424" s="4" t="inlineStr">
        <is>
          <t>IOS Owner</t>
        </is>
      </c>
      <c r="O1424" s="4" t="n"/>
      <c r="P1424" s="4" t="n"/>
      <c r="Q1424" s="4" t="inlineStr">
        <is>
          <t>MAESTRO-IOS-PERSONAL-LIFESTYLE-1423 | Entertainment | 10977.22</t>
        </is>
      </c>
      <c r="R1424" s="4" t="inlineStr">
        <is>
          <t>iPhone</t>
        </is>
      </c>
      <c r="S1424" s="4" t="inlineStr">
        <is>
          <t>B29</t>
        </is>
      </c>
      <c r="T1424" s="4" t="inlineStr">
        <is>
          <t>RAMP_501_1500</t>
        </is>
      </c>
      <c r="U1424" s="4" t="inlineStr">
        <is>
          <t>CREATED</t>
        </is>
      </c>
      <c r="V1424" s="4" t="inlineStr">
        <is>
          <t>idem-20260902-ios-1423</t>
        </is>
      </c>
    </row>
    <row r="1425" ht="30" customHeight="1">
      <c r="A1425" s="4" t="n">
        <v>1424</v>
      </c>
      <c r="B1425" s="4" t="inlineStr">
        <is>
          <t>MTR-IOS-1424</t>
        </is>
      </c>
      <c r="C1425" s="4" t="inlineStr">
        <is>
          <t>Group</t>
        </is>
      </c>
      <c r="D1425" s="4" t="inlineStr">
        <is>
          <t>Shared Experience</t>
        </is>
      </c>
      <c r="E1425" s="4" t="inlineStr">
        <is>
          <t>Wedding</t>
        </is>
      </c>
      <c r="F1425" s="4" t="inlineStr">
        <is>
          <t>Travel</t>
        </is>
      </c>
      <c r="G1425" s="4" t="inlineStr">
        <is>
          <t>Expense</t>
        </is>
      </c>
      <c r="H1425" s="12" t="n">
        <v>46065</v>
      </c>
      <c r="I1425" s="13" t="n">
        <v>0.9841550925925926</v>
      </c>
      <c r="J1425" s="14" t="n">
        <v>46065.98415509259</v>
      </c>
      <c r="K1425" s="15" t="n">
        <v>15808.58</v>
      </c>
      <c r="L1425" s="4" t="inlineStr">
        <is>
          <t>INR</t>
        </is>
      </c>
      <c r="M1425" s="15" t="n">
        <v>-15808.58</v>
      </c>
      <c r="N1425" s="4" t="inlineStr">
        <is>
          <t>IOS Owner</t>
        </is>
      </c>
      <c r="O1425" s="4" t="n">
        <v>3</v>
      </c>
      <c r="P1425" s="4" t="inlineStr">
        <is>
          <t>EXACT</t>
        </is>
      </c>
      <c r="Q1425" s="4" t="inlineStr">
        <is>
          <t>MAESTRO-IOS-GROUP-WEDDING-1424 | Travel | 15808.58</t>
        </is>
      </c>
      <c r="R1425" s="4" t="inlineStr">
        <is>
          <t>iPhone</t>
        </is>
      </c>
      <c r="S1425" s="4" t="inlineStr">
        <is>
          <t>B29</t>
        </is>
      </c>
      <c r="T1425" s="4" t="inlineStr">
        <is>
          <t>RAMP_501_1500</t>
        </is>
      </c>
      <c r="U1425" s="4" t="inlineStr">
        <is>
          <t>CREATED</t>
        </is>
      </c>
      <c r="V1425" s="4" t="inlineStr">
        <is>
          <t>idem-20260902-ios-1424</t>
        </is>
      </c>
    </row>
    <row r="1426" ht="30" customHeight="1">
      <c r="A1426" s="4" t="n">
        <v>1425</v>
      </c>
      <c r="B1426" s="4" t="inlineStr">
        <is>
          <t>MTR-IOS-1425</t>
        </is>
      </c>
      <c r="C1426" s="4" t="inlineStr">
        <is>
          <t>Business</t>
        </is>
      </c>
      <c r="D1426" s="4" t="inlineStr">
        <is>
          <t>Business</t>
        </is>
      </c>
      <c r="E1426" s="4" t="inlineStr">
        <is>
          <t>Business Runway</t>
        </is>
      </c>
      <c r="F1426" s="4" t="inlineStr">
        <is>
          <t>Investment</t>
        </is>
      </c>
      <c r="G1426" s="4" t="inlineStr">
        <is>
          <t>Income</t>
        </is>
      </c>
      <c r="H1426" s="12" t="n">
        <v>45959</v>
      </c>
      <c r="I1426" s="13" t="n">
        <v>0.932037037037037</v>
      </c>
      <c r="J1426" s="14" t="n">
        <v>45959.93203703704</v>
      </c>
      <c r="K1426" s="15" t="n">
        <v>32699.12</v>
      </c>
      <c r="L1426" s="4" t="inlineStr">
        <is>
          <t>INR</t>
        </is>
      </c>
      <c r="M1426" s="15" t="n">
        <v>32699.12</v>
      </c>
      <c r="N1426" s="4" t="inlineStr">
        <is>
          <t>IOS Owner</t>
        </is>
      </c>
      <c r="O1426" s="4" t="n"/>
      <c r="P1426" s="4" t="n"/>
      <c r="Q1426" s="4" t="inlineStr">
        <is>
          <t>MAESTRO-IOS-BUSINESS-BUSINESS_RUNWAY-1425 | Investment | 32699.12</t>
        </is>
      </c>
      <c r="R1426" s="4" t="inlineStr">
        <is>
          <t>iPhone</t>
        </is>
      </c>
      <c r="S1426" s="4" t="inlineStr">
        <is>
          <t>B29</t>
        </is>
      </c>
      <c r="T1426" s="4" t="inlineStr">
        <is>
          <t>RAMP_501_1500</t>
        </is>
      </c>
      <c r="U1426" s="4" t="inlineStr">
        <is>
          <t>CREATED</t>
        </is>
      </c>
      <c r="V1426" s="4" t="inlineStr">
        <is>
          <t>idem-20260902-ios-1425</t>
        </is>
      </c>
    </row>
    <row r="1427" ht="30" customHeight="1">
      <c r="A1427" s="4" t="n">
        <v>1426</v>
      </c>
      <c r="B1427" s="4" t="inlineStr">
        <is>
          <t>MTR-IOS-1426</t>
        </is>
      </c>
      <c r="C1427" s="4" t="inlineStr">
        <is>
          <t>Personal</t>
        </is>
      </c>
      <c r="D1427" s="4" t="inlineStr">
        <is>
          <t>Personal</t>
        </is>
      </c>
      <c r="E1427" s="4" t="inlineStr">
        <is>
          <t>Lifestyle</t>
        </is>
      </c>
      <c r="F1427" s="4" t="inlineStr">
        <is>
          <t>Travel</t>
        </is>
      </c>
      <c r="G1427" s="4" t="inlineStr">
        <is>
          <t>Expense</t>
        </is>
      </c>
      <c r="H1427" s="12" t="n">
        <v>46255</v>
      </c>
      <c r="I1427" s="13" t="n">
        <v>0.3543634259259259</v>
      </c>
      <c r="J1427" s="14" t="n">
        <v>46255.35436342593</v>
      </c>
      <c r="K1427" s="15" t="n">
        <v>14724.53</v>
      </c>
      <c r="L1427" s="4" t="inlineStr">
        <is>
          <t>INR</t>
        </is>
      </c>
      <c r="M1427" s="15" t="n">
        <v>-14724.53</v>
      </c>
      <c r="N1427" s="4" t="inlineStr">
        <is>
          <t>IOS Owner</t>
        </is>
      </c>
      <c r="O1427" s="4" t="n"/>
      <c r="P1427" s="4" t="n"/>
      <c r="Q1427" s="4" t="inlineStr">
        <is>
          <t>MAESTRO-IOS-PERSONAL-LIFESTYLE-1426 | Travel | 14724.53</t>
        </is>
      </c>
      <c r="R1427" s="4" t="inlineStr">
        <is>
          <t>iPhone</t>
        </is>
      </c>
      <c r="S1427" s="4" t="inlineStr">
        <is>
          <t>B29</t>
        </is>
      </c>
      <c r="T1427" s="4" t="inlineStr">
        <is>
          <t>RAMP_501_1500</t>
        </is>
      </c>
      <c r="U1427" s="4" t="inlineStr">
        <is>
          <t>CREATED</t>
        </is>
      </c>
      <c r="V1427" s="4" t="inlineStr">
        <is>
          <t>idem-20260902-ios-1426</t>
        </is>
      </c>
    </row>
    <row r="1428" ht="30" customHeight="1">
      <c r="A1428" s="4" t="n">
        <v>1427</v>
      </c>
      <c r="B1428" s="4" t="inlineStr">
        <is>
          <t>MTR-IOS-1427</t>
        </is>
      </c>
      <c r="C1428" s="4" t="inlineStr">
        <is>
          <t>Group</t>
        </is>
      </c>
      <c r="D1428" s="4" t="inlineStr">
        <is>
          <t>Shared Experience</t>
        </is>
      </c>
      <c r="E1428" s="4" t="inlineStr">
        <is>
          <t>Wedding</t>
        </is>
      </c>
      <c r="F1428" s="4" t="inlineStr">
        <is>
          <t>Gifts</t>
        </is>
      </c>
      <c r="G1428" s="4" t="inlineStr">
        <is>
          <t>Expense</t>
        </is>
      </c>
      <c r="H1428" s="12" t="n">
        <v>45927</v>
      </c>
      <c r="I1428" s="13" t="n">
        <v>0.07466435185185186</v>
      </c>
      <c r="J1428" s="14" t="n">
        <v>45927.07466435185</v>
      </c>
      <c r="K1428" s="15" t="n">
        <v>10018.24</v>
      </c>
      <c r="L1428" s="4" t="inlineStr">
        <is>
          <t>INR</t>
        </is>
      </c>
      <c r="M1428" s="15" t="n">
        <v>-10018.24</v>
      </c>
      <c r="N1428" s="4" t="inlineStr">
        <is>
          <t>IOS Aarav</t>
        </is>
      </c>
      <c r="O1428" s="4" t="n">
        <v>3</v>
      </c>
      <c r="P1428" s="4" t="inlineStr">
        <is>
          <t>SHARES</t>
        </is>
      </c>
      <c r="Q1428" s="4" t="inlineStr">
        <is>
          <t>MAESTRO-IOS-GROUP-WEDDING-1427 | Gifts | 10018.24</t>
        </is>
      </c>
      <c r="R1428" s="4" t="inlineStr">
        <is>
          <t>iPhone</t>
        </is>
      </c>
      <c r="S1428" s="4" t="inlineStr">
        <is>
          <t>B29</t>
        </is>
      </c>
      <c r="T1428" s="4" t="inlineStr">
        <is>
          <t>RAMP_501_1500</t>
        </is>
      </c>
      <c r="U1428" s="4" t="inlineStr">
        <is>
          <t>CREATED</t>
        </is>
      </c>
      <c r="V1428" s="4" t="inlineStr">
        <is>
          <t>idem-20260902-ios-1427</t>
        </is>
      </c>
    </row>
    <row r="1429" ht="30" customHeight="1">
      <c r="A1429" s="4" t="n">
        <v>1428</v>
      </c>
      <c r="B1429" s="4" t="inlineStr">
        <is>
          <t>MTR-IOS-1428</t>
        </is>
      </c>
      <c r="C1429" s="4" t="inlineStr">
        <is>
          <t>Business</t>
        </is>
      </c>
      <c r="D1429" s="4" t="inlineStr">
        <is>
          <t>Business</t>
        </is>
      </c>
      <c r="E1429" s="4" t="inlineStr">
        <is>
          <t>Business Operations</t>
        </is>
      </c>
      <c r="F1429" s="4" t="inlineStr">
        <is>
          <t>Software</t>
        </is>
      </c>
      <c r="G1429" s="4" t="inlineStr">
        <is>
          <t>Expense</t>
        </is>
      </c>
      <c r="H1429" s="12" t="n">
        <v>46012</v>
      </c>
      <c r="I1429" s="13" t="n">
        <v>0.7911458333333333</v>
      </c>
      <c r="J1429" s="14" t="n">
        <v>46012.79114583333</v>
      </c>
      <c r="K1429" s="15" t="n">
        <v>4618.57</v>
      </c>
      <c r="L1429" s="4" t="inlineStr">
        <is>
          <t>INR</t>
        </is>
      </c>
      <c r="M1429" s="15" t="n">
        <v>-4618.57</v>
      </c>
      <c r="N1429" s="4" t="inlineStr">
        <is>
          <t>IOS Owner</t>
        </is>
      </c>
      <c r="O1429" s="4" t="n"/>
      <c r="P1429" s="4" t="n"/>
      <c r="Q1429" s="4" t="inlineStr">
        <is>
          <t>MAESTRO-IOS-BUSINESS-BUSINESS_OPERATIONS-1428 | Software | 4618.57</t>
        </is>
      </c>
      <c r="R1429" s="4" t="inlineStr">
        <is>
          <t>iPhone</t>
        </is>
      </c>
      <c r="S1429" s="4" t="inlineStr">
        <is>
          <t>B29</t>
        </is>
      </c>
      <c r="T1429" s="4" t="inlineStr">
        <is>
          <t>RAMP_501_1500</t>
        </is>
      </c>
      <c r="U1429" s="4" t="inlineStr">
        <is>
          <t>CREATED</t>
        </is>
      </c>
      <c r="V1429" s="4" t="inlineStr">
        <is>
          <t>idem-20260902-ios-1428</t>
        </is>
      </c>
    </row>
    <row r="1430" ht="30" customHeight="1">
      <c r="A1430" s="4" t="n">
        <v>1429</v>
      </c>
      <c r="B1430" s="4" t="inlineStr">
        <is>
          <t>MTR-IOS-1429</t>
        </is>
      </c>
      <c r="C1430" s="4" t="inlineStr">
        <is>
          <t>Personal</t>
        </is>
      </c>
      <c r="D1430" s="4" t="inlineStr">
        <is>
          <t>Personal</t>
        </is>
      </c>
      <c r="E1430" s="4" t="inlineStr">
        <is>
          <t>Lifestyle</t>
        </is>
      </c>
      <c r="F1430" s="4" t="inlineStr">
        <is>
          <t>Fitness</t>
        </is>
      </c>
      <c r="G1430" s="4" t="inlineStr">
        <is>
          <t>Expense</t>
        </is>
      </c>
      <c r="H1430" s="12" t="n">
        <v>46135</v>
      </c>
      <c r="I1430" s="13" t="n">
        <v>0.1125694444444444</v>
      </c>
      <c r="J1430" s="14" t="n">
        <v>46135.11256944444</v>
      </c>
      <c r="K1430" s="15" t="n">
        <v>17718.93</v>
      </c>
      <c r="L1430" s="4" t="inlineStr">
        <is>
          <t>INR</t>
        </is>
      </c>
      <c r="M1430" s="15" t="n">
        <v>-17718.93</v>
      </c>
      <c r="N1430" s="4" t="inlineStr">
        <is>
          <t>IOS Owner</t>
        </is>
      </c>
      <c r="O1430" s="4" t="n"/>
      <c r="P1430" s="4" t="n"/>
      <c r="Q1430" s="4" t="inlineStr">
        <is>
          <t>MAESTRO-IOS-PERSONAL-LIFESTYLE-1429 | Fitness | 17718.93</t>
        </is>
      </c>
      <c r="R1430" s="4" t="inlineStr">
        <is>
          <t>iPhone</t>
        </is>
      </c>
      <c r="S1430" s="4" t="inlineStr">
        <is>
          <t>B29</t>
        </is>
      </c>
      <c r="T1430" s="4" t="inlineStr">
        <is>
          <t>RAMP_501_1500</t>
        </is>
      </c>
      <c r="U1430" s="4" t="inlineStr">
        <is>
          <t>CREATED</t>
        </is>
      </c>
      <c r="V1430" s="4" t="inlineStr">
        <is>
          <t>idem-20260902-ios-1429</t>
        </is>
      </c>
    </row>
    <row r="1431" ht="30" customHeight="1">
      <c r="A1431" s="4" t="n">
        <v>1430</v>
      </c>
      <c r="B1431" s="4" t="inlineStr">
        <is>
          <t>MTR-IOS-1430</t>
        </is>
      </c>
      <c r="C1431" s="4" t="inlineStr">
        <is>
          <t>Group</t>
        </is>
      </c>
      <c r="D1431" s="4" t="inlineStr">
        <is>
          <t>Shared Experience</t>
        </is>
      </c>
      <c r="E1431" s="4" t="inlineStr">
        <is>
          <t>Wedding</t>
        </is>
      </c>
      <c r="F1431" s="4" t="inlineStr">
        <is>
          <t>Photography</t>
        </is>
      </c>
      <c r="G1431" s="4" t="inlineStr">
        <is>
          <t>Expense</t>
        </is>
      </c>
      <c r="H1431" s="12" t="n">
        <v>46160</v>
      </c>
      <c r="I1431" s="13" t="n">
        <v>0.6635763888888889</v>
      </c>
      <c r="J1431" s="14" t="n">
        <v>46160.66357638889</v>
      </c>
      <c r="K1431" s="15" t="n">
        <v>25495.56</v>
      </c>
      <c r="L1431" s="4" t="inlineStr">
        <is>
          <t>INR</t>
        </is>
      </c>
      <c r="M1431" s="15" t="n">
        <v>-25495.56</v>
      </c>
      <c r="N1431" s="4" t="inlineStr">
        <is>
          <t>IOS Meera</t>
        </is>
      </c>
      <c r="O1431" s="4" t="n">
        <v>3</v>
      </c>
      <c r="P1431" s="4" t="inlineStr">
        <is>
          <t>EQUAL</t>
        </is>
      </c>
      <c r="Q1431" s="4" t="inlineStr">
        <is>
          <t>MAESTRO-IOS-GROUP-WEDDING-1430 | Photography | 25495.56</t>
        </is>
      </c>
      <c r="R1431" s="4" t="inlineStr">
        <is>
          <t>iPhone</t>
        </is>
      </c>
      <c r="S1431" s="4" t="inlineStr">
        <is>
          <t>B29</t>
        </is>
      </c>
      <c r="T1431" s="4" t="inlineStr">
        <is>
          <t>RAMP_501_1500</t>
        </is>
      </c>
      <c r="U1431" s="4" t="inlineStr">
        <is>
          <t>CREATED</t>
        </is>
      </c>
      <c r="V1431" s="4" t="inlineStr">
        <is>
          <t>idem-20260902-ios-1430</t>
        </is>
      </c>
    </row>
    <row r="1432" ht="30" customHeight="1">
      <c r="A1432" s="4" t="n">
        <v>1431</v>
      </c>
      <c r="B1432" s="4" t="inlineStr">
        <is>
          <t>MTR-IOS-1431</t>
        </is>
      </c>
      <c r="C1432" s="4" t="inlineStr">
        <is>
          <t>Business</t>
        </is>
      </c>
      <c r="D1432" s="4" t="inlineStr">
        <is>
          <t>Business</t>
        </is>
      </c>
      <c r="E1432" s="4" t="inlineStr">
        <is>
          <t>Business Operations</t>
        </is>
      </c>
      <c r="F1432" s="4" t="inlineStr">
        <is>
          <t>Rent</t>
        </is>
      </c>
      <c r="G1432" s="4" t="inlineStr">
        <is>
          <t>Expense</t>
        </is>
      </c>
      <c r="H1432" s="12" t="n">
        <v>46157</v>
      </c>
      <c r="I1432" s="13" t="n">
        <v>0.9421296296296297</v>
      </c>
      <c r="J1432" s="14" t="n">
        <v>46157.94212962963</v>
      </c>
      <c r="K1432" s="15" t="n">
        <v>18384.88</v>
      </c>
      <c r="L1432" s="4" t="inlineStr">
        <is>
          <t>INR</t>
        </is>
      </c>
      <c r="M1432" s="15" t="n">
        <v>-18384.88</v>
      </c>
      <c r="N1432" s="4" t="inlineStr">
        <is>
          <t>IOS Owner</t>
        </is>
      </c>
      <c r="O1432" s="4" t="n"/>
      <c r="P1432" s="4" t="n"/>
      <c r="Q1432" s="4" t="inlineStr">
        <is>
          <t>MAESTRO-IOS-BUSINESS-BUSINESS_OPERATIONS-1431 | Rent | 18384.88</t>
        </is>
      </c>
      <c r="R1432" s="4" t="inlineStr">
        <is>
          <t>iPhone</t>
        </is>
      </c>
      <c r="S1432" s="4" t="inlineStr">
        <is>
          <t>B29</t>
        </is>
      </c>
      <c r="T1432" s="4" t="inlineStr">
        <is>
          <t>RAMP_501_1500</t>
        </is>
      </c>
      <c r="U1432" s="4" t="inlineStr">
        <is>
          <t>CREATED</t>
        </is>
      </c>
      <c r="V1432" s="4" t="inlineStr">
        <is>
          <t>idem-20260902-ios-1431</t>
        </is>
      </c>
    </row>
    <row r="1433" ht="30" customHeight="1">
      <c r="A1433" s="4" t="n">
        <v>1432</v>
      </c>
      <c r="B1433" s="4" t="inlineStr">
        <is>
          <t>MTR-IOS-1432</t>
        </is>
      </c>
      <c r="C1433" s="4" t="inlineStr">
        <is>
          <t>Personal</t>
        </is>
      </c>
      <c r="D1433" s="4" t="inlineStr">
        <is>
          <t>Personal</t>
        </is>
      </c>
      <c r="E1433" s="4" t="inlineStr">
        <is>
          <t>Lifestyle</t>
        </is>
      </c>
      <c r="F1433" s="4" t="inlineStr">
        <is>
          <t>Hobbies</t>
        </is>
      </c>
      <c r="G1433" s="4" t="inlineStr">
        <is>
          <t>Expense</t>
        </is>
      </c>
      <c r="H1433" s="12" t="n">
        <v>45958</v>
      </c>
      <c r="I1433" s="13" t="n">
        <v>0.9981712962962963</v>
      </c>
      <c r="J1433" s="14" t="n">
        <v>45958.9981712963</v>
      </c>
      <c r="K1433" s="15" t="n">
        <v>9340.059999999999</v>
      </c>
      <c r="L1433" s="4" t="inlineStr">
        <is>
          <t>INR</t>
        </is>
      </c>
      <c r="M1433" s="15" t="n">
        <v>-9340.059999999999</v>
      </c>
      <c r="N1433" s="4" t="inlineStr">
        <is>
          <t>IOS Owner</t>
        </is>
      </c>
      <c r="O1433" s="4" t="n"/>
      <c r="P1433" s="4" t="n"/>
      <c r="Q1433" s="4" t="inlineStr">
        <is>
          <t>MAESTRO-IOS-PERSONAL-LIFESTYLE-1432 | Hobbies | 9340.06</t>
        </is>
      </c>
      <c r="R1433" s="4" t="inlineStr">
        <is>
          <t>iPhone</t>
        </is>
      </c>
      <c r="S1433" s="4" t="inlineStr">
        <is>
          <t>B29</t>
        </is>
      </c>
      <c r="T1433" s="4" t="inlineStr">
        <is>
          <t>RAMP_501_1500</t>
        </is>
      </c>
      <c r="U1433" s="4" t="inlineStr">
        <is>
          <t>CREATED</t>
        </is>
      </c>
      <c r="V1433" s="4" t="inlineStr">
        <is>
          <t>idem-20260902-ios-1432</t>
        </is>
      </c>
    </row>
    <row r="1434" ht="30" customHeight="1">
      <c r="A1434" s="4" t="n">
        <v>1433</v>
      </c>
      <c r="B1434" s="4" t="inlineStr">
        <is>
          <t>MTR-IOS-1433</t>
        </is>
      </c>
      <c r="C1434" s="4" t="inlineStr">
        <is>
          <t>Group</t>
        </is>
      </c>
      <c r="D1434" s="4" t="inlineStr">
        <is>
          <t>Shared Experience</t>
        </is>
      </c>
      <c r="E1434" s="4" t="inlineStr">
        <is>
          <t>Wedding</t>
        </is>
      </c>
      <c r="F1434" s="4" t="inlineStr">
        <is>
          <t>Other</t>
        </is>
      </c>
      <c r="G1434" s="4" t="inlineStr">
        <is>
          <t>Expense</t>
        </is>
      </c>
      <c r="H1434" s="12" t="n">
        <v>46135</v>
      </c>
      <c r="I1434" s="13" t="n">
        <v>0.005787037037037037</v>
      </c>
      <c r="J1434" s="14" t="n">
        <v>46135.00578703704</v>
      </c>
      <c r="K1434" s="15" t="n">
        <v>18890.95</v>
      </c>
      <c r="L1434" s="4" t="inlineStr">
        <is>
          <t>INR</t>
        </is>
      </c>
      <c r="M1434" s="15" t="n">
        <v>-18890.95</v>
      </c>
      <c r="N1434" s="4" t="inlineStr">
        <is>
          <t>IOS Owner</t>
        </is>
      </c>
      <c r="O1434" s="4" t="n">
        <v>3</v>
      </c>
      <c r="P1434" s="4" t="inlineStr">
        <is>
          <t>PERCENTAGE</t>
        </is>
      </c>
      <c r="Q1434" s="4" t="inlineStr">
        <is>
          <t>MAESTRO-IOS-GROUP-WEDDING-1433 | Other | 18890.95</t>
        </is>
      </c>
      <c r="R1434" s="4" t="inlineStr">
        <is>
          <t>iPhone</t>
        </is>
      </c>
      <c r="S1434" s="4" t="inlineStr">
        <is>
          <t>B29</t>
        </is>
      </c>
      <c r="T1434" s="4" t="inlineStr">
        <is>
          <t>RAMP_501_1500</t>
        </is>
      </c>
      <c r="U1434" s="4" t="inlineStr">
        <is>
          <t>CREATED</t>
        </is>
      </c>
      <c r="V1434" s="4" t="inlineStr">
        <is>
          <t>idem-20260902-ios-1433</t>
        </is>
      </c>
    </row>
    <row r="1435" ht="30" customHeight="1">
      <c r="A1435" s="4" t="n">
        <v>1434</v>
      </c>
      <c r="B1435" s="4" t="inlineStr">
        <is>
          <t>MTR-IOS-1434</t>
        </is>
      </c>
      <c r="C1435" s="4" t="inlineStr">
        <is>
          <t>Business</t>
        </is>
      </c>
      <c r="D1435" s="4" t="inlineStr">
        <is>
          <t>Business</t>
        </is>
      </c>
      <c r="E1435" s="4" t="inlineStr">
        <is>
          <t>Business Operations</t>
        </is>
      </c>
      <c r="F1435" s="4" t="inlineStr">
        <is>
          <t>Marketing</t>
        </is>
      </c>
      <c r="G1435" s="4" t="inlineStr">
        <is>
          <t>Expense</t>
        </is>
      </c>
      <c r="H1435" s="12" t="n">
        <v>46101</v>
      </c>
      <c r="I1435" s="13" t="n">
        <v>0.0542824074074074</v>
      </c>
      <c r="J1435" s="14" t="n">
        <v>46101.05428240741</v>
      </c>
      <c r="K1435" s="15" t="n">
        <v>124028.26</v>
      </c>
      <c r="L1435" s="4" t="inlineStr">
        <is>
          <t>INR</t>
        </is>
      </c>
      <c r="M1435" s="15" t="n">
        <v>-124028.26</v>
      </c>
      <c r="N1435" s="4" t="inlineStr">
        <is>
          <t>IOS Owner</t>
        </is>
      </c>
      <c r="O1435" s="4" t="n"/>
      <c r="P1435" s="4" t="n"/>
      <c r="Q1435" s="4" t="inlineStr">
        <is>
          <t>MAESTRO-IOS-BUSINESS-BUSINESS_OPERATIONS-1434 | Marketing | 124028.26</t>
        </is>
      </c>
      <c r="R1435" s="4" t="inlineStr">
        <is>
          <t>iPhone</t>
        </is>
      </c>
      <c r="S1435" s="4" t="inlineStr">
        <is>
          <t>B29</t>
        </is>
      </c>
      <c r="T1435" s="4" t="inlineStr">
        <is>
          <t>RAMP_501_1500</t>
        </is>
      </c>
      <c r="U1435" s="4" t="inlineStr">
        <is>
          <t>CREATED</t>
        </is>
      </c>
      <c r="V1435" s="4" t="inlineStr">
        <is>
          <t>idem-20260902-ios-1434</t>
        </is>
      </c>
    </row>
    <row r="1436" ht="30" customHeight="1">
      <c r="A1436" s="4" t="n">
        <v>1435</v>
      </c>
      <c r="B1436" s="4" t="inlineStr">
        <is>
          <t>MTR-IOS-1435</t>
        </is>
      </c>
      <c r="C1436" s="4" t="inlineStr">
        <is>
          <t>Personal</t>
        </is>
      </c>
      <c r="D1436" s="4" t="inlineStr">
        <is>
          <t>Personal</t>
        </is>
      </c>
      <c r="E1436" s="4" t="inlineStr">
        <is>
          <t>Relationships</t>
        </is>
      </c>
      <c r="F1436" s="4" t="inlineStr">
        <is>
          <t>Gifts</t>
        </is>
      </c>
      <c r="G1436" s="4" t="inlineStr">
        <is>
          <t>Expense</t>
        </is>
      </c>
      <c r="H1436" s="12" t="n">
        <v>46117</v>
      </c>
      <c r="I1436" s="13" t="n">
        <v>0.8561574074074074</v>
      </c>
      <c r="J1436" s="14" t="n">
        <v>46117.8561574074</v>
      </c>
      <c r="K1436" s="15" t="n">
        <v>8714.33</v>
      </c>
      <c r="L1436" s="4" t="inlineStr">
        <is>
          <t>INR</t>
        </is>
      </c>
      <c r="M1436" s="15" t="n">
        <v>-8714.33</v>
      </c>
      <c r="N1436" s="4" t="inlineStr">
        <is>
          <t>IOS Owner</t>
        </is>
      </c>
      <c r="O1436" s="4" t="n"/>
      <c r="P1436" s="4" t="n"/>
      <c r="Q1436" s="4" t="inlineStr">
        <is>
          <t>MAESTRO-IOS-PERSONAL-RELATIONSHIPS-1435 | Gifts | 8714.33</t>
        </is>
      </c>
      <c r="R1436" s="4" t="inlineStr">
        <is>
          <t>iPhone</t>
        </is>
      </c>
      <c r="S1436" s="4" t="inlineStr">
        <is>
          <t>B29</t>
        </is>
      </c>
      <c r="T1436" s="4" t="inlineStr">
        <is>
          <t>RAMP_501_1500</t>
        </is>
      </c>
      <c r="U1436" s="4" t="inlineStr">
        <is>
          <t>CREATED</t>
        </is>
      </c>
      <c r="V1436" s="4" t="inlineStr">
        <is>
          <t>idem-20260902-ios-1435</t>
        </is>
      </c>
    </row>
    <row r="1437" ht="30" customHeight="1">
      <c r="A1437" s="4" t="n">
        <v>1436</v>
      </c>
      <c r="B1437" s="4" t="inlineStr">
        <is>
          <t>MTR-IOS-1436</t>
        </is>
      </c>
      <c r="C1437" s="4" t="inlineStr">
        <is>
          <t>Group</t>
        </is>
      </c>
      <c r="D1437" s="4" t="inlineStr">
        <is>
          <t>Shared Experience</t>
        </is>
      </c>
      <c r="E1437" s="4" t="inlineStr">
        <is>
          <t>Office Outing</t>
        </is>
      </c>
      <c r="F1437" s="4" t="inlineStr">
        <is>
          <t>Food</t>
        </is>
      </c>
      <c r="G1437" s="4" t="inlineStr">
        <is>
          <t>Expense</t>
        </is>
      </c>
      <c r="H1437" s="12" t="n">
        <v>46027</v>
      </c>
      <c r="I1437" s="13" t="n">
        <v>0.5136689814814814</v>
      </c>
      <c r="J1437" s="14" t="n">
        <v>46027.51366898148</v>
      </c>
      <c r="K1437" s="15" t="n">
        <v>7643.85</v>
      </c>
      <c r="L1437" s="4" t="inlineStr">
        <is>
          <t>INR</t>
        </is>
      </c>
      <c r="M1437" s="15" t="n">
        <v>-7643.85</v>
      </c>
      <c r="N1437" s="4" t="inlineStr">
        <is>
          <t>IOS Aarav</t>
        </is>
      </c>
      <c r="O1437" s="4" t="n">
        <v>3</v>
      </c>
      <c r="P1437" s="4" t="inlineStr">
        <is>
          <t>EXACT</t>
        </is>
      </c>
      <c r="Q1437" s="4" t="inlineStr">
        <is>
          <t>MAESTRO-IOS-GROUP-OFFICE_OUTING-1436 | Food | 7643.85</t>
        </is>
      </c>
      <c r="R1437" s="4" t="inlineStr">
        <is>
          <t>iPhone</t>
        </is>
      </c>
      <c r="S1437" s="4" t="inlineStr">
        <is>
          <t>B29</t>
        </is>
      </c>
      <c r="T1437" s="4" t="inlineStr">
        <is>
          <t>RAMP_501_1500</t>
        </is>
      </c>
      <c r="U1437" s="4" t="inlineStr">
        <is>
          <t>CREATED</t>
        </is>
      </c>
      <c r="V1437" s="4" t="inlineStr">
        <is>
          <t>idem-20260902-ios-1436</t>
        </is>
      </c>
    </row>
    <row r="1438" ht="30" customHeight="1">
      <c r="A1438" s="4" t="n">
        <v>1437</v>
      </c>
      <c r="B1438" s="4" t="inlineStr">
        <is>
          <t>MTR-IOS-1437</t>
        </is>
      </c>
      <c r="C1438" s="4" t="inlineStr">
        <is>
          <t>Business</t>
        </is>
      </c>
      <c r="D1438" s="4" t="inlineStr">
        <is>
          <t>Business</t>
        </is>
      </c>
      <c r="E1438" s="4" t="inlineStr">
        <is>
          <t>Business Operations</t>
        </is>
      </c>
      <c r="F1438" s="4" t="inlineStr">
        <is>
          <t>Legal</t>
        </is>
      </c>
      <c r="G1438" s="4" t="inlineStr">
        <is>
          <t>Expense</t>
        </is>
      </c>
      <c r="H1438" s="12" t="n">
        <v>46051</v>
      </c>
      <c r="I1438" s="13" t="n">
        <v>0.9870949074074075</v>
      </c>
      <c r="J1438" s="14" t="n">
        <v>46051.98709490741</v>
      </c>
      <c r="K1438" s="15" t="n">
        <v>162757.05</v>
      </c>
      <c r="L1438" s="4" t="inlineStr">
        <is>
          <t>INR</t>
        </is>
      </c>
      <c r="M1438" s="15" t="n">
        <v>-162757.05</v>
      </c>
      <c r="N1438" s="4" t="inlineStr">
        <is>
          <t>IOS Owner</t>
        </is>
      </c>
      <c r="O1438" s="4" t="n"/>
      <c r="P1438" s="4" t="n"/>
      <c r="Q1438" s="4" t="inlineStr">
        <is>
          <t>MAESTRO-IOS-BUSINESS-BUSINESS_OPERATIONS-1437 | Legal | 162757.05</t>
        </is>
      </c>
      <c r="R1438" s="4" t="inlineStr">
        <is>
          <t>iPhone</t>
        </is>
      </c>
      <c r="S1438" s="4" t="inlineStr">
        <is>
          <t>B29</t>
        </is>
      </c>
      <c r="T1438" s="4" t="inlineStr">
        <is>
          <t>RAMP_501_1500</t>
        </is>
      </c>
      <c r="U1438" s="4" t="inlineStr">
        <is>
          <t>CREATED</t>
        </is>
      </c>
      <c r="V1438" s="4" t="inlineStr">
        <is>
          <t>idem-20260902-ios-1437</t>
        </is>
      </c>
    </row>
    <row r="1439" ht="30" customHeight="1">
      <c r="A1439" s="4" t="n">
        <v>1438</v>
      </c>
      <c r="B1439" s="4" t="inlineStr">
        <is>
          <t>MTR-IOS-1438</t>
        </is>
      </c>
      <c r="C1439" s="4" t="inlineStr">
        <is>
          <t>Personal</t>
        </is>
      </c>
      <c r="D1439" s="4" t="inlineStr">
        <is>
          <t>Personal</t>
        </is>
      </c>
      <c r="E1439" s="4" t="inlineStr">
        <is>
          <t>Relationships</t>
        </is>
      </c>
      <c r="F1439" s="4" t="inlineStr">
        <is>
          <t>Dates</t>
        </is>
      </c>
      <c r="G1439" s="4" t="inlineStr">
        <is>
          <t>Expense</t>
        </is>
      </c>
      <c r="H1439" s="12" t="n">
        <v>46180</v>
      </c>
      <c r="I1439" s="13" t="n">
        <v>0.7198032407407408</v>
      </c>
      <c r="J1439" s="14" t="n">
        <v>46180.71980324074</v>
      </c>
      <c r="K1439" s="15" t="n">
        <v>9072.52</v>
      </c>
      <c r="L1439" s="4" t="inlineStr">
        <is>
          <t>INR</t>
        </is>
      </c>
      <c r="M1439" s="15" t="n">
        <v>-9072.52</v>
      </c>
      <c r="N1439" s="4" t="inlineStr">
        <is>
          <t>IOS Owner</t>
        </is>
      </c>
      <c r="O1439" s="4" t="n"/>
      <c r="P1439" s="4" t="n"/>
      <c r="Q1439" s="4" t="inlineStr">
        <is>
          <t>MAESTRO-IOS-PERSONAL-RELATIONSHIPS-1438 | Dates | 9072.52</t>
        </is>
      </c>
      <c r="R1439" s="4" t="inlineStr">
        <is>
          <t>iPhone</t>
        </is>
      </c>
      <c r="S1439" s="4" t="inlineStr">
        <is>
          <t>B29</t>
        </is>
      </c>
      <c r="T1439" s="4" t="inlineStr">
        <is>
          <t>RAMP_501_1500</t>
        </is>
      </c>
      <c r="U1439" s="4" t="inlineStr">
        <is>
          <t>CREATED</t>
        </is>
      </c>
      <c r="V1439" s="4" t="inlineStr">
        <is>
          <t>idem-20260902-ios-1438</t>
        </is>
      </c>
    </row>
    <row r="1440" ht="30" customHeight="1">
      <c r="A1440" s="4" t="n">
        <v>1439</v>
      </c>
      <c r="B1440" s="4" t="inlineStr">
        <is>
          <t>MTR-IOS-1439</t>
        </is>
      </c>
      <c r="C1440" s="4" t="inlineStr">
        <is>
          <t>Group</t>
        </is>
      </c>
      <c r="D1440" s="4" t="inlineStr">
        <is>
          <t>Shared Experience</t>
        </is>
      </c>
      <c r="E1440" s="4" t="inlineStr">
        <is>
          <t>Office Outing</t>
        </is>
      </c>
      <c r="F1440" s="4" t="inlineStr">
        <is>
          <t>Travel</t>
        </is>
      </c>
      <c r="G1440" s="4" t="inlineStr">
        <is>
          <t>Expense</t>
        </is>
      </c>
      <c r="H1440" s="12" t="n">
        <v>46113</v>
      </c>
      <c r="I1440" s="13" t="n">
        <v>0.7724768518518519</v>
      </c>
      <c r="J1440" s="14" t="n">
        <v>46113.77247685185</v>
      </c>
      <c r="K1440" s="15" t="n">
        <v>21421.08</v>
      </c>
      <c r="L1440" s="4" t="inlineStr">
        <is>
          <t>INR</t>
        </is>
      </c>
      <c r="M1440" s="15" t="n">
        <v>-21421.08</v>
      </c>
      <c r="N1440" s="4" t="inlineStr">
        <is>
          <t>IOS Meera</t>
        </is>
      </c>
      <c r="O1440" s="4" t="n">
        <v>3</v>
      </c>
      <c r="P1440" s="4" t="inlineStr">
        <is>
          <t>SHARES</t>
        </is>
      </c>
      <c r="Q1440" s="4" t="inlineStr">
        <is>
          <t>MAESTRO-IOS-GROUP-OFFICE_OUTING-1439 | Travel | 21421.08</t>
        </is>
      </c>
      <c r="R1440" s="4" t="inlineStr">
        <is>
          <t>iPhone</t>
        </is>
      </c>
      <c r="S1440" s="4" t="inlineStr">
        <is>
          <t>B29</t>
        </is>
      </c>
      <c r="T1440" s="4" t="inlineStr">
        <is>
          <t>RAMP_501_1500</t>
        </is>
      </c>
      <c r="U1440" s="4" t="inlineStr">
        <is>
          <t>CREATED</t>
        </is>
      </c>
      <c r="V1440" s="4" t="inlineStr">
        <is>
          <t>idem-20260902-ios-1439</t>
        </is>
      </c>
    </row>
    <row r="1441" ht="30" customHeight="1">
      <c r="A1441" s="4" t="n">
        <v>1440</v>
      </c>
      <c r="B1441" s="4" t="inlineStr">
        <is>
          <t>MTR-IOS-1440</t>
        </is>
      </c>
      <c r="C1441" s="4" t="inlineStr">
        <is>
          <t>Business</t>
        </is>
      </c>
      <c r="D1441" s="4" t="inlineStr">
        <is>
          <t>Business</t>
        </is>
      </c>
      <c r="E1441" s="4" t="inlineStr">
        <is>
          <t>Business Operations</t>
        </is>
      </c>
      <c r="F1441" s="4" t="inlineStr">
        <is>
          <t>Accounting</t>
        </is>
      </c>
      <c r="G1441" s="4" t="inlineStr">
        <is>
          <t>Expense</t>
        </is>
      </c>
      <c r="H1441" s="12" t="n">
        <v>46026</v>
      </c>
      <c r="I1441" s="13" t="n">
        <v>0.07027777777777777</v>
      </c>
      <c r="J1441" s="14" t="n">
        <v>46026.07027777778</v>
      </c>
      <c r="K1441" s="15" t="n">
        <v>65314.67</v>
      </c>
      <c r="L1441" s="4" t="inlineStr">
        <is>
          <t>INR</t>
        </is>
      </c>
      <c r="M1441" s="15" t="n">
        <v>-65314.67</v>
      </c>
      <c r="N1441" s="4" t="inlineStr">
        <is>
          <t>IOS Owner</t>
        </is>
      </c>
      <c r="O1441" s="4" t="n"/>
      <c r="P1441" s="4" t="n"/>
      <c r="Q1441" s="4" t="inlineStr">
        <is>
          <t>MAESTRO-IOS-BUSINESS-BUSINESS_OPERATIONS-1440 | Accounting | 65314.67</t>
        </is>
      </c>
      <c r="R1441" s="4" t="inlineStr">
        <is>
          <t>iPhone</t>
        </is>
      </c>
      <c r="S1441" s="4" t="inlineStr">
        <is>
          <t>B29</t>
        </is>
      </c>
      <c r="T1441" s="4" t="inlineStr">
        <is>
          <t>RAMP_501_1500</t>
        </is>
      </c>
      <c r="U1441" s="4" t="inlineStr">
        <is>
          <t>CREATED</t>
        </is>
      </c>
      <c r="V1441" s="4" t="inlineStr">
        <is>
          <t>idem-20260902-ios-1440</t>
        </is>
      </c>
    </row>
    <row r="1442" ht="30" customHeight="1">
      <c r="A1442" s="4" t="n">
        <v>1441</v>
      </c>
      <c r="B1442" s="4" t="inlineStr">
        <is>
          <t>MTR-IOS-1441</t>
        </is>
      </c>
      <c r="C1442" s="4" t="inlineStr">
        <is>
          <t>Personal</t>
        </is>
      </c>
      <c r="D1442" s="4" t="inlineStr">
        <is>
          <t>Personal</t>
        </is>
      </c>
      <c r="E1442" s="4" t="inlineStr">
        <is>
          <t>Relationships</t>
        </is>
      </c>
      <c r="F1442" s="4" t="inlineStr">
        <is>
          <t>Family</t>
        </is>
      </c>
      <c r="G1442" s="4" t="inlineStr">
        <is>
          <t>Expense</t>
        </is>
      </c>
      <c r="H1442" s="12" t="n">
        <v>46220</v>
      </c>
      <c r="I1442" s="13" t="n">
        <v>0.795</v>
      </c>
      <c r="J1442" s="14" t="n">
        <v>46220.795</v>
      </c>
      <c r="K1442" s="15" t="n">
        <v>15096.99</v>
      </c>
      <c r="L1442" s="4" t="inlineStr">
        <is>
          <t>INR</t>
        </is>
      </c>
      <c r="M1442" s="15" t="n">
        <v>-15096.99</v>
      </c>
      <c r="N1442" s="4" t="inlineStr">
        <is>
          <t>IOS Owner</t>
        </is>
      </c>
      <c r="O1442" s="4" t="n"/>
      <c r="P1442" s="4" t="n"/>
      <c r="Q1442" s="4" t="inlineStr">
        <is>
          <t>MAESTRO-IOS-PERSONAL-RELATIONSHIPS-1441 | Family | 15096.99</t>
        </is>
      </c>
      <c r="R1442" s="4" t="inlineStr">
        <is>
          <t>iPhone</t>
        </is>
      </c>
      <c r="S1442" s="4" t="inlineStr">
        <is>
          <t>B29</t>
        </is>
      </c>
      <c r="T1442" s="4" t="inlineStr">
        <is>
          <t>RAMP_501_1500</t>
        </is>
      </c>
      <c r="U1442" s="4" t="inlineStr">
        <is>
          <t>CREATED</t>
        </is>
      </c>
      <c r="V1442" s="4" t="inlineStr">
        <is>
          <t>idem-20260902-ios-1441</t>
        </is>
      </c>
    </row>
    <row r="1443" ht="30" customHeight="1">
      <c r="A1443" s="4" t="n">
        <v>1442</v>
      </c>
      <c r="B1443" s="4" t="inlineStr">
        <is>
          <t>MTR-IOS-1442</t>
        </is>
      </c>
      <c r="C1443" s="4" t="inlineStr">
        <is>
          <t>Group</t>
        </is>
      </c>
      <c r="D1443" s="4" t="inlineStr">
        <is>
          <t>Shared Experience</t>
        </is>
      </c>
      <c r="E1443" s="4" t="inlineStr">
        <is>
          <t>Office Outing</t>
        </is>
      </c>
      <c r="F1443" s="4" t="inlineStr">
        <is>
          <t>Activities</t>
        </is>
      </c>
      <c r="G1443" s="4" t="inlineStr">
        <is>
          <t>Expense</t>
        </is>
      </c>
      <c r="H1443" s="12" t="n">
        <v>46037</v>
      </c>
      <c r="I1443" s="13" t="n">
        <v>0.6834606481481481</v>
      </c>
      <c r="J1443" s="14" t="n">
        <v>46037.68346064815</v>
      </c>
      <c r="K1443" s="15" t="n">
        <v>8052.1</v>
      </c>
      <c r="L1443" s="4" t="inlineStr">
        <is>
          <t>INR</t>
        </is>
      </c>
      <c r="M1443" s="15" t="n">
        <v>-8052.1</v>
      </c>
      <c r="N1443" s="4" t="inlineStr">
        <is>
          <t>IOS Owner</t>
        </is>
      </c>
      <c r="O1443" s="4" t="n">
        <v>3</v>
      </c>
      <c r="P1443" s="4" t="inlineStr">
        <is>
          <t>EQUAL</t>
        </is>
      </c>
      <c r="Q1443" s="4" t="inlineStr">
        <is>
          <t>MAESTRO-IOS-GROUP-OFFICE_OUTING-1442 | Activities | 8052.10</t>
        </is>
      </c>
      <c r="R1443" s="4" t="inlineStr">
        <is>
          <t>iPhone</t>
        </is>
      </c>
      <c r="S1443" s="4" t="inlineStr">
        <is>
          <t>B29</t>
        </is>
      </c>
      <c r="T1443" s="4" t="inlineStr">
        <is>
          <t>RAMP_501_1500</t>
        </is>
      </c>
      <c r="U1443" s="4" t="inlineStr">
        <is>
          <t>CREATED</t>
        </is>
      </c>
      <c r="V1443" s="4" t="inlineStr">
        <is>
          <t>idem-20260902-ios-1442</t>
        </is>
      </c>
    </row>
    <row r="1444" ht="30" customHeight="1">
      <c r="A1444" s="4" t="n">
        <v>1443</v>
      </c>
      <c r="B1444" s="4" t="inlineStr">
        <is>
          <t>MTR-IOS-1443</t>
        </is>
      </c>
      <c r="C1444" s="4" t="inlineStr">
        <is>
          <t>Business</t>
        </is>
      </c>
      <c r="D1444" s="4" t="inlineStr">
        <is>
          <t>Business</t>
        </is>
      </c>
      <c r="E1444" s="4" t="inlineStr">
        <is>
          <t>Business Operations</t>
        </is>
      </c>
      <c r="F1444" s="4" t="inlineStr">
        <is>
          <t>Equipment</t>
        </is>
      </c>
      <c r="G1444" s="4" t="inlineStr">
        <is>
          <t>Expense</t>
        </is>
      </c>
      <c r="H1444" s="12" t="n">
        <v>46000</v>
      </c>
      <c r="I1444" s="13" t="n">
        <v>0.1075347222222222</v>
      </c>
      <c r="J1444" s="14" t="n">
        <v>46000.10753472222</v>
      </c>
      <c r="K1444" s="15" t="n">
        <v>100</v>
      </c>
      <c r="L1444" s="4" t="inlineStr">
        <is>
          <t>INR</t>
        </is>
      </c>
      <c r="M1444" s="15" t="n">
        <v>-100</v>
      </c>
      <c r="N1444" s="4" t="inlineStr">
        <is>
          <t>IOS Owner</t>
        </is>
      </c>
      <c r="O1444" s="4" t="n"/>
      <c r="P1444" s="4" t="n"/>
      <c r="Q1444" s="4" t="inlineStr">
        <is>
          <t>MAESTRO-IOS-BUSINESS-BUSINESS_OPERATIONS-1443 | Equipment | 100.00</t>
        </is>
      </c>
      <c r="R1444" s="4" t="inlineStr">
        <is>
          <t>iPhone</t>
        </is>
      </c>
      <c r="S1444" s="4" t="inlineStr">
        <is>
          <t>B29</t>
        </is>
      </c>
      <c r="T1444" s="4" t="inlineStr">
        <is>
          <t>RAMP_501_1500</t>
        </is>
      </c>
      <c r="U1444" s="4" t="inlineStr">
        <is>
          <t>CREATED</t>
        </is>
      </c>
      <c r="V1444" s="4" t="inlineStr">
        <is>
          <t>idem-20260902-ios-1443</t>
        </is>
      </c>
    </row>
    <row r="1445" ht="30" customHeight="1">
      <c r="A1445" s="4" t="n">
        <v>1444</v>
      </c>
      <c r="B1445" s="4" t="inlineStr">
        <is>
          <t>MTR-IOS-1444</t>
        </is>
      </c>
      <c r="C1445" s="4" t="inlineStr">
        <is>
          <t>Personal</t>
        </is>
      </c>
      <c r="D1445" s="4" t="inlineStr">
        <is>
          <t>Personal</t>
        </is>
      </c>
      <c r="E1445" s="4" t="inlineStr">
        <is>
          <t>Relationships</t>
        </is>
      </c>
      <c r="F1445" s="4" t="inlineStr">
        <is>
          <t>Friends</t>
        </is>
      </c>
      <c r="G1445" s="4" t="inlineStr">
        <is>
          <t>Expense</t>
        </is>
      </c>
      <c r="H1445" s="12" t="n">
        <v>45907</v>
      </c>
      <c r="I1445" s="13" t="n">
        <v>0.4655208333333333</v>
      </c>
      <c r="J1445" s="14" t="n">
        <v>45907.46552083334</v>
      </c>
      <c r="K1445" s="15" t="n">
        <v>9732.67</v>
      </c>
      <c r="L1445" s="4" t="inlineStr">
        <is>
          <t>INR</t>
        </is>
      </c>
      <c r="M1445" s="15" t="n">
        <v>-9732.67</v>
      </c>
      <c r="N1445" s="4" t="inlineStr">
        <is>
          <t>IOS Owner</t>
        </is>
      </c>
      <c r="O1445" s="4" t="n"/>
      <c r="P1445" s="4" t="n"/>
      <c r="Q1445" s="4" t="inlineStr">
        <is>
          <t>MAESTRO-IOS-PERSONAL-RELATIONSHIPS-1444 | Friends | 9732.67</t>
        </is>
      </c>
      <c r="R1445" s="4" t="inlineStr">
        <is>
          <t>iPhone</t>
        </is>
      </c>
      <c r="S1445" s="4" t="inlineStr">
        <is>
          <t>B29</t>
        </is>
      </c>
      <c r="T1445" s="4" t="inlineStr">
        <is>
          <t>RAMP_501_1500</t>
        </is>
      </c>
      <c r="U1445" s="4" t="inlineStr">
        <is>
          <t>CREATED</t>
        </is>
      </c>
      <c r="V1445" s="4" t="inlineStr">
        <is>
          <t>idem-20260902-ios-1444</t>
        </is>
      </c>
    </row>
    <row r="1446" ht="30" customHeight="1">
      <c r="A1446" s="4" t="n">
        <v>1445</v>
      </c>
      <c r="B1446" s="4" t="inlineStr">
        <is>
          <t>MTR-IOS-1445</t>
        </is>
      </c>
      <c r="C1446" s="4" t="inlineStr">
        <is>
          <t>Group</t>
        </is>
      </c>
      <c r="D1446" s="4" t="inlineStr">
        <is>
          <t>Shared Experience</t>
        </is>
      </c>
      <c r="E1446" s="4" t="inlineStr">
        <is>
          <t>Office Outing</t>
        </is>
      </c>
      <c r="F1446" s="4" t="inlineStr">
        <is>
          <t>Venue</t>
        </is>
      </c>
      <c r="G1446" s="4" t="inlineStr">
        <is>
          <t>Expense</t>
        </is>
      </c>
      <c r="H1446" s="12" t="n">
        <v>46029</v>
      </c>
      <c r="I1446" s="13" t="n">
        <v>0.2588078703703704</v>
      </c>
      <c r="J1446" s="14" t="n">
        <v>46029.25880787037</v>
      </c>
      <c r="K1446" s="15" t="n">
        <v>24822.94</v>
      </c>
      <c r="L1446" s="4" t="inlineStr">
        <is>
          <t>INR</t>
        </is>
      </c>
      <c r="M1446" s="15" t="n">
        <v>-24822.94</v>
      </c>
      <c r="N1446" s="4" t="inlineStr">
        <is>
          <t>IOS Aarav</t>
        </is>
      </c>
      <c r="O1446" s="4" t="n">
        <v>3</v>
      </c>
      <c r="P1446" s="4" t="inlineStr">
        <is>
          <t>PERCENTAGE</t>
        </is>
      </c>
      <c r="Q1446" s="4" t="inlineStr">
        <is>
          <t>MAESTRO-IOS-GROUP-OFFICE_OUTING-1445 | Venue | 24822.94</t>
        </is>
      </c>
      <c r="R1446" s="4" t="inlineStr">
        <is>
          <t>iPhone</t>
        </is>
      </c>
      <c r="S1446" s="4" t="inlineStr">
        <is>
          <t>B29</t>
        </is>
      </c>
      <c r="T1446" s="4" t="inlineStr">
        <is>
          <t>RAMP_501_1500</t>
        </is>
      </c>
      <c r="U1446" s="4" t="inlineStr">
        <is>
          <t>CREATED</t>
        </is>
      </c>
      <c r="V1446" s="4" t="inlineStr">
        <is>
          <t>idem-20260902-ios-1445</t>
        </is>
      </c>
    </row>
    <row r="1447" ht="30" customHeight="1">
      <c r="A1447" s="4" t="n">
        <v>1446</v>
      </c>
      <c r="B1447" s="4" t="inlineStr">
        <is>
          <t>MTR-IOS-1446</t>
        </is>
      </c>
      <c r="C1447" s="4" t="inlineStr">
        <is>
          <t>Business</t>
        </is>
      </c>
      <c r="D1447" s="4" t="inlineStr">
        <is>
          <t>Business</t>
        </is>
      </c>
      <c r="E1447" s="4" t="inlineStr">
        <is>
          <t>Business Operations</t>
        </is>
      </c>
      <c r="F1447" s="4" t="inlineStr">
        <is>
          <t>Vendor</t>
        </is>
      </c>
      <c r="G1447" s="4" t="inlineStr">
        <is>
          <t>Expense</t>
        </is>
      </c>
      <c r="H1447" s="12" t="n">
        <v>46148</v>
      </c>
      <c r="I1447" s="13" t="n">
        <v>0.5317592592592593</v>
      </c>
      <c r="J1447" s="14" t="n">
        <v>46148.53175925926</v>
      </c>
      <c r="K1447" s="15" t="n">
        <v>72168.95</v>
      </c>
      <c r="L1447" s="4" t="inlineStr">
        <is>
          <t>INR</t>
        </is>
      </c>
      <c r="M1447" s="15" t="n">
        <v>-72168.95</v>
      </c>
      <c r="N1447" s="4" t="inlineStr">
        <is>
          <t>IOS Owner</t>
        </is>
      </c>
      <c r="O1447" s="4" t="n"/>
      <c r="P1447" s="4" t="n"/>
      <c r="Q1447" s="4" t="inlineStr">
        <is>
          <t>MAESTRO-IOS-BUSINESS-BUSINESS_OPERATIONS-1446 | Vendor | 72168.95</t>
        </is>
      </c>
      <c r="R1447" s="4" t="inlineStr">
        <is>
          <t>iPhone</t>
        </is>
      </c>
      <c r="S1447" s="4" t="inlineStr">
        <is>
          <t>B29</t>
        </is>
      </c>
      <c r="T1447" s="4" t="inlineStr">
        <is>
          <t>RAMP_501_1500</t>
        </is>
      </c>
      <c r="U1447" s="4" t="inlineStr">
        <is>
          <t>CREATED</t>
        </is>
      </c>
      <c r="V1447" s="4" t="inlineStr">
        <is>
          <t>idem-20260902-ios-1446</t>
        </is>
      </c>
    </row>
    <row r="1448" ht="30" customHeight="1">
      <c r="A1448" s="4" t="n">
        <v>1447</v>
      </c>
      <c r="B1448" s="4" t="inlineStr">
        <is>
          <t>MTR-IOS-1447</t>
        </is>
      </c>
      <c r="C1448" s="4" t="inlineStr">
        <is>
          <t>Personal</t>
        </is>
      </c>
      <c r="D1448" s="4" t="inlineStr">
        <is>
          <t>Personal</t>
        </is>
      </c>
      <c r="E1448" s="4" t="inlineStr">
        <is>
          <t>Relationships</t>
        </is>
      </c>
      <c r="F1448" s="4" t="inlineStr">
        <is>
          <t>Celebrations</t>
        </is>
      </c>
      <c r="G1448" s="4" t="inlineStr">
        <is>
          <t>Expense</t>
        </is>
      </c>
      <c r="H1448" s="12" t="n">
        <v>46081</v>
      </c>
      <c r="I1448" s="13" t="n">
        <v>0.7493981481481482</v>
      </c>
      <c r="J1448" s="14" t="n">
        <v>46081.74939814815</v>
      </c>
      <c r="K1448" s="15" t="n">
        <v>17361.36</v>
      </c>
      <c r="L1448" s="4" t="inlineStr">
        <is>
          <t>INR</t>
        </is>
      </c>
      <c r="M1448" s="15" t="n">
        <v>-17361.36</v>
      </c>
      <c r="N1448" s="4" t="inlineStr">
        <is>
          <t>IOS Owner</t>
        </is>
      </c>
      <c r="O1448" s="4" t="n"/>
      <c r="P1448" s="4" t="n"/>
      <c r="Q1448" s="4" t="inlineStr">
        <is>
          <t>MAESTRO-IOS-PERSONAL-RELATIONSHIPS-1447 | Celebrations | 17361.36</t>
        </is>
      </c>
      <c r="R1448" s="4" t="inlineStr">
        <is>
          <t>iPhone</t>
        </is>
      </c>
      <c r="S1448" s="4" t="inlineStr">
        <is>
          <t>B29</t>
        </is>
      </c>
      <c r="T1448" s="4" t="inlineStr">
        <is>
          <t>RAMP_501_1500</t>
        </is>
      </c>
      <c r="U1448" s="4" t="inlineStr">
        <is>
          <t>CREATED</t>
        </is>
      </c>
      <c r="V1448" s="4" t="inlineStr">
        <is>
          <t>idem-20260902-ios-1447</t>
        </is>
      </c>
    </row>
    <row r="1449" ht="30" customHeight="1">
      <c r="A1449" s="4" t="n">
        <v>1448</v>
      </c>
      <c r="B1449" s="4" t="inlineStr">
        <is>
          <t>MTR-IOS-1448</t>
        </is>
      </c>
      <c r="C1449" s="4" t="inlineStr">
        <is>
          <t>Group</t>
        </is>
      </c>
      <c r="D1449" s="4" t="inlineStr">
        <is>
          <t>Shared Experience</t>
        </is>
      </c>
      <c r="E1449" s="4" t="inlineStr">
        <is>
          <t>Office Outing</t>
        </is>
      </c>
      <c r="F1449" s="4" t="inlineStr">
        <is>
          <t>Other</t>
        </is>
      </c>
      <c r="G1449" s="4" t="inlineStr">
        <is>
          <t>Expense</t>
        </is>
      </c>
      <c r="H1449" s="12" t="n">
        <v>46052</v>
      </c>
      <c r="I1449" s="13" t="n">
        <v>0.1633449074074074</v>
      </c>
      <c r="J1449" s="14" t="n">
        <v>46052.16334490741</v>
      </c>
      <c r="K1449" s="15" t="n">
        <v>18142.22</v>
      </c>
      <c r="L1449" s="4" t="inlineStr">
        <is>
          <t>INR</t>
        </is>
      </c>
      <c r="M1449" s="15" t="n">
        <v>-18142.22</v>
      </c>
      <c r="N1449" s="4" t="inlineStr">
        <is>
          <t>IOS Meera</t>
        </is>
      </c>
      <c r="O1449" s="4" t="n">
        <v>3</v>
      </c>
      <c r="P1449" s="4" t="inlineStr">
        <is>
          <t>EXACT</t>
        </is>
      </c>
      <c r="Q1449" s="4" t="inlineStr">
        <is>
          <t>MAESTRO-IOS-GROUP-OFFICE_OUTING-1448 | Other | 18142.22</t>
        </is>
      </c>
      <c r="R1449" s="4" t="inlineStr">
        <is>
          <t>iPhone</t>
        </is>
      </c>
      <c r="S1449" s="4" t="inlineStr">
        <is>
          <t>B29</t>
        </is>
      </c>
      <c r="T1449" s="4" t="inlineStr">
        <is>
          <t>RAMP_501_1500</t>
        </is>
      </c>
      <c r="U1449" s="4" t="inlineStr">
        <is>
          <t>CREATED</t>
        </is>
      </c>
      <c r="V1449" s="4" t="inlineStr">
        <is>
          <t>idem-20260902-ios-1448</t>
        </is>
      </c>
    </row>
    <row r="1450" ht="30" customHeight="1">
      <c r="A1450" s="4" t="n">
        <v>1449</v>
      </c>
      <c r="B1450" s="4" t="inlineStr">
        <is>
          <t>MTR-IOS-1449</t>
        </is>
      </c>
      <c r="C1450" s="4" t="inlineStr">
        <is>
          <t>Business</t>
        </is>
      </c>
      <c r="D1450" s="4" t="inlineStr">
        <is>
          <t>Business</t>
        </is>
      </c>
      <c r="E1450" s="4" t="inlineStr">
        <is>
          <t>Business Operations</t>
        </is>
      </c>
      <c r="F1450" s="4" t="inlineStr">
        <is>
          <t>Tax</t>
        </is>
      </c>
      <c r="G1450" s="4" t="inlineStr">
        <is>
          <t>Expense</t>
        </is>
      </c>
      <c r="H1450" s="12" t="n">
        <v>45950</v>
      </c>
      <c r="I1450" s="13" t="n">
        <v>0.371087962962963</v>
      </c>
      <c r="J1450" s="14" t="n">
        <v>45950.37108796297</v>
      </c>
      <c r="K1450" s="15" t="n">
        <v>16227.92</v>
      </c>
      <c r="L1450" s="4" t="inlineStr">
        <is>
          <t>INR</t>
        </is>
      </c>
      <c r="M1450" s="15" t="n">
        <v>-16227.92</v>
      </c>
      <c r="N1450" s="4" t="inlineStr">
        <is>
          <t>IOS Owner</t>
        </is>
      </c>
      <c r="O1450" s="4" t="n"/>
      <c r="P1450" s="4" t="n"/>
      <c r="Q1450" s="4" t="inlineStr">
        <is>
          <t>MAESTRO-IOS-BUSINESS-BUSINESS_OPERATIONS-1449 | Tax | 16227.92</t>
        </is>
      </c>
      <c r="R1450" s="4" t="inlineStr">
        <is>
          <t>iPhone</t>
        </is>
      </c>
      <c r="S1450" s="4" t="inlineStr">
        <is>
          <t>B29</t>
        </is>
      </c>
      <c r="T1450" s="4" t="inlineStr">
        <is>
          <t>RAMP_501_1500</t>
        </is>
      </c>
      <c r="U1450" s="4" t="inlineStr">
        <is>
          <t>CREATED</t>
        </is>
      </c>
      <c r="V1450" s="4" t="inlineStr">
        <is>
          <t>idem-20260902-ios-1449</t>
        </is>
      </c>
    </row>
    <row r="1451" ht="30" customHeight="1">
      <c r="A1451" s="4" t="n">
        <v>1450</v>
      </c>
      <c r="B1451" s="4" t="inlineStr">
        <is>
          <t>MTR-IOS-1450</t>
        </is>
      </c>
      <c r="C1451" s="4" t="inlineStr">
        <is>
          <t>Personal</t>
        </is>
      </c>
      <c r="D1451" s="4" t="inlineStr">
        <is>
          <t>Personal</t>
        </is>
      </c>
      <c r="E1451" s="4" t="inlineStr">
        <is>
          <t>Life Operations</t>
        </is>
      </c>
      <c r="F1451" s="4" t="inlineStr">
        <is>
          <t>Groceries</t>
        </is>
      </c>
      <c r="G1451" s="4" t="inlineStr">
        <is>
          <t>Expense</t>
        </is>
      </c>
      <c r="H1451" s="12" t="n">
        <v>46172</v>
      </c>
      <c r="I1451" s="13" t="n">
        <v>0.4399189814814815</v>
      </c>
      <c r="J1451" s="14" t="n">
        <v>46172.43991898148</v>
      </c>
      <c r="K1451" s="15" t="n">
        <v>2687.86</v>
      </c>
      <c r="L1451" s="4" t="inlineStr">
        <is>
          <t>INR</t>
        </is>
      </c>
      <c r="M1451" s="15" t="n">
        <v>-2687.86</v>
      </c>
      <c r="N1451" s="4" t="inlineStr">
        <is>
          <t>IOS Owner</t>
        </is>
      </c>
      <c r="O1451" s="4" t="n"/>
      <c r="P1451" s="4" t="n"/>
      <c r="Q1451" s="4" t="inlineStr">
        <is>
          <t>MAESTRO-IOS-PERSONAL-LIFE_OPERATIONS-1450 | Groceries | 2687.86</t>
        </is>
      </c>
      <c r="R1451" s="4" t="inlineStr">
        <is>
          <t>iPhone</t>
        </is>
      </c>
      <c r="S1451" s="4" t="inlineStr">
        <is>
          <t>B29</t>
        </is>
      </c>
      <c r="T1451" s="4" t="inlineStr">
        <is>
          <t>RAMP_501_1500</t>
        </is>
      </c>
      <c r="U1451" s="4" t="inlineStr">
        <is>
          <t>CREATED</t>
        </is>
      </c>
      <c r="V1451" s="4" t="inlineStr">
        <is>
          <t>idem-20260902-ios-1450</t>
        </is>
      </c>
    </row>
    <row r="1452" ht="30" customHeight="1">
      <c r="A1452" s="4" t="n">
        <v>1451</v>
      </c>
      <c r="B1452" s="4" t="inlineStr">
        <is>
          <t>MTR-IOS-1451</t>
        </is>
      </c>
      <c r="C1452" s="4" t="inlineStr">
        <is>
          <t>Group</t>
        </is>
      </c>
      <c r="D1452" s="4" t="inlineStr">
        <is>
          <t>Shared Experience</t>
        </is>
      </c>
      <c r="E1452" s="4" t="inlineStr">
        <is>
          <t>House Party</t>
        </is>
      </c>
      <c r="F1452" s="4" t="inlineStr">
        <is>
          <t>Food</t>
        </is>
      </c>
      <c r="G1452" s="4" t="inlineStr">
        <is>
          <t>Expense</t>
        </is>
      </c>
      <c r="H1452" s="12" t="n">
        <v>46129</v>
      </c>
      <c r="I1452" s="13" t="n">
        <v>0.4372337962962963</v>
      </c>
      <c r="J1452" s="14" t="n">
        <v>46129.4372337963</v>
      </c>
      <c r="K1452" s="15" t="n">
        <v>9443.41</v>
      </c>
      <c r="L1452" s="4" t="inlineStr">
        <is>
          <t>INR</t>
        </is>
      </c>
      <c r="M1452" s="15" t="n">
        <v>-9443.41</v>
      </c>
      <c r="N1452" s="4" t="inlineStr">
        <is>
          <t>IOS Owner</t>
        </is>
      </c>
      <c r="O1452" s="4" t="n">
        <v>3</v>
      </c>
      <c r="P1452" s="4" t="inlineStr">
        <is>
          <t>SHARES</t>
        </is>
      </c>
      <c r="Q1452" s="4" t="inlineStr">
        <is>
          <t>MAESTRO-IOS-GROUP-HOUSE_PARTY-1451 | Food | 9443.41</t>
        </is>
      </c>
      <c r="R1452" s="4" t="inlineStr">
        <is>
          <t>iPhone</t>
        </is>
      </c>
      <c r="S1452" s="4" t="inlineStr">
        <is>
          <t>B30</t>
        </is>
      </c>
      <c r="T1452" s="4" t="inlineStr">
        <is>
          <t>RAMP_501_1500</t>
        </is>
      </c>
      <c r="U1452" s="4" t="inlineStr">
        <is>
          <t>CREATED</t>
        </is>
      </c>
      <c r="V1452" s="4" t="inlineStr">
        <is>
          <t>idem-20260902-ios-1451</t>
        </is>
      </c>
    </row>
    <row r="1453" ht="30" customHeight="1">
      <c r="A1453" s="4" t="n">
        <v>1452</v>
      </c>
      <c r="B1453" s="4" t="inlineStr">
        <is>
          <t>MTR-IOS-1452</t>
        </is>
      </c>
      <c r="C1453" s="4" t="inlineStr">
        <is>
          <t>Business</t>
        </is>
      </c>
      <c r="D1453" s="4" t="inlineStr">
        <is>
          <t>Business</t>
        </is>
      </c>
      <c r="E1453" s="4" t="inlineStr">
        <is>
          <t>Team Operations</t>
        </is>
      </c>
      <c r="F1453" s="4" t="inlineStr">
        <is>
          <t>Payroll</t>
        </is>
      </c>
      <c r="G1453" s="4" t="inlineStr">
        <is>
          <t>Expense</t>
        </is>
      </c>
      <c r="H1453" s="12" t="n">
        <v>46100</v>
      </c>
      <c r="I1453" s="13" t="n">
        <v>0.4766435185185185</v>
      </c>
      <c r="J1453" s="14" t="n">
        <v>46100.47664351852</v>
      </c>
      <c r="K1453" s="15" t="n">
        <v>59795.05</v>
      </c>
      <c r="L1453" s="4" t="inlineStr">
        <is>
          <t>INR</t>
        </is>
      </c>
      <c r="M1453" s="15" t="n">
        <v>-59795.05</v>
      </c>
      <c r="N1453" s="4" t="inlineStr">
        <is>
          <t>IOS Owner</t>
        </is>
      </c>
      <c r="O1453" s="4" t="n"/>
      <c r="P1453" s="4" t="n"/>
      <c r="Q1453" s="4" t="inlineStr">
        <is>
          <t>MAESTRO-IOS-BUSINESS-TEAM_OPERATIONS-1452 | Payroll | 59795.05</t>
        </is>
      </c>
      <c r="R1453" s="4" t="inlineStr">
        <is>
          <t>iPhone</t>
        </is>
      </c>
      <c r="S1453" s="4" t="inlineStr">
        <is>
          <t>B30</t>
        </is>
      </c>
      <c r="T1453" s="4" t="inlineStr">
        <is>
          <t>RAMP_501_1500</t>
        </is>
      </c>
      <c r="U1453" s="4" t="inlineStr">
        <is>
          <t>CREATED</t>
        </is>
      </c>
      <c r="V1453" s="4" t="inlineStr">
        <is>
          <t>idem-20260902-ios-1452</t>
        </is>
      </c>
    </row>
    <row r="1454" ht="30" customHeight="1">
      <c r="A1454" s="4" t="n">
        <v>1453</v>
      </c>
      <c r="B1454" s="4" t="inlineStr">
        <is>
          <t>MTR-IOS-1453</t>
        </is>
      </c>
      <c r="C1454" s="4" t="inlineStr">
        <is>
          <t>Personal</t>
        </is>
      </c>
      <c r="D1454" s="4" t="inlineStr">
        <is>
          <t>Personal</t>
        </is>
      </c>
      <c r="E1454" s="4" t="inlineStr">
        <is>
          <t>Life Operations</t>
        </is>
      </c>
      <c r="F1454" s="4" t="inlineStr">
        <is>
          <t>Rent</t>
        </is>
      </c>
      <c r="G1454" s="4" t="inlineStr">
        <is>
          <t>Expense</t>
        </is>
      </c>
      <c r="H1454" s="12" t="n">
        <v>46230</v>
      </c>
      <c r="I1454" s="13" t="n">
        <v>0.7734027777777778</v>
      </c>
      <c r="J1454" s="14" t="n">
        <v>46230.77340277778</v>
      </c>
      <c r="K1454" s="15" t="n">
        <v>15374.74</v>
      </c>
      <c r="L1454" s="4" t="inlineStr">
        <is>
          <t>INR</t>
        </is>
      </c>
      <c r="M1454" s="15" t="n">
        <v>-15374.74</v>
      </c>
      <c r="N1454" s="4" t="inlineStr">
        <is>
          <t>IOS Owner</t>
        </is>
      </c>
      <c r="O1454" s="4" t="n"/>
      <c r="P1454" s="4" t="n"/>
      <c r="Q1454" s="4" t="inlineStr">
        <is>
          <t>MAESTRO-IOS-PERSONAL-LIFE_OPERATIONS-1453 | Rent | 15374.74</t>
        </is>
      </c>
      <c r="R1454" s="4" t="inlineStr">
        <is>
          <t>iPhone</t>
        </is>
      </c>
      <c r="S1454" s="4" t="inlineStr">
        <is>
          <t>B30</t>
        </is>
      </c>
      <c r="T1454" s="4" t="inlineStr">
        <is>
          <t>RAMP_501_1500</t>
        </is>
      </c>
      <c r="U1454" s="4" t="inlineStr">
        <is>
          <t>CREATED</t>
        </is>
      </c>
      <c r="V1454" s="4" t="inlineStr">
        <is>
          <t>idem-20260902-ios-1453</t>
        </is>
      </c>
    </row>
    <row r="1455" ht="30" customHeight="1">
      <c r="A1455" s="4" t="n">
        <v>1454</v>
      </c>
      <c r="B1455" s="4" t="inlineStr">
        <is>
          <t>MTR-IOS-1454</t>
        </is>
      </c>
      <c r="C1455" s="4" t="inlineStr">
        <is>
          <t>Group</t>
        </is>
      </c>
      <c r="D1455" s="4" t="inlineStr">
        <is>
          <t>Shared Experience</t>
        </is>
      </c>
      <c r="E1455" s="4" t="inlineStr">
        <is>
          <t>House Party</t>
        </is>
      </c>
      <c r="F1455" s="4" t="inlineStr">
        <is>
          <t>Drinks</t>
        </is>
      </c>
      <c r="G1455" s="4" t="inlineStr">
        <is>
          <t>Expense</t>
        </is>
      </c>
      <c r="H1455" s="12" t="n">
        <v>45927</v>
      </c>
      <c r="I1455" s="13" t="n">
        <v>0.2969791666666667</v>
      </c>
      <c r="J1455" s="14" t="n">
        <v>45927.29697916667</v>
      </c>
      <c r="K1455" s="15" t="n">
        <v>4058.01</v>
      </c>
      <c r="L1455" s="4" t="inlineStr">
        <is>
          <t>INR</t>
        </is>
      </c>
      <c r="M1455" s="15" t="n">
        <v>-4058.01</v>
      </c>
      <c r="N1455" s="4" t="inlineStr">
        <is>
          <t>IOS Aarav</t>
        </is>
      </c>
      <c r="O1455" s="4" t="n">
        <v>3</v>
      </c>
      <c r="P1455" s="4" t="inlineStr">
        <is>
          <t>EQUAL</t>
        </is>
      </c>
      <c r="Q1455" s="4" t="inlineStr">
        <is>
          <t>MAESTRO-IOS-GROUP-HOUSE_PARTY-1454 | Drinks | 4058.01</t>
        </is>
      </c>
      <c r="R1455" s="4" t="inlineStr">
        <is>
          <t>iPhone</t>
        </is>
      </c>
      <c r="S1455" s="4" t="inlineStr">
        <is>
          <t>B30</t>
        </is>
      </c>
      <c r="T1455" s="4" t="inlineStr">
        <is>
          <t>RAMP_501_1500</t>
        </is>
      </c>
      <c r="U1455" s="4" t="inlineStr">
        <is>
          <t>CREATED</t>
        </is>
      </c>
      <c r="V1455" s="4" t="inlineStr">
        <is>
          <t>idem-20260902-ios-1454</t>
        </is>
      </c>
    </row>
    <row r="1456" ht="30" customHeight="1">
      <c r="A1456" s="4" t="n">
        <v>1455</v>
      </c>
      <c r="B1456" s="4" t="inlineStr">
        <is>
          <t>MTR-IOS-1455</t>
        </is>
      </c>
      <c r="C1456" s="4" t="inlineStr">
        <is>
          <t>Business</t>
        </is>
      </c>
      <c r="D1456" s="4" t="inlineStr">
        <is>
          <t>Business</t>
        </is>
      </c>
      <c r="E1456" s="4" t="inlineStr">
        <is>
          <t>Team Operations</t>
        </is>
      </c>
      <c r="F1456" s="4" t="inlineStr">
        <is>
          <t>Contractor</t>
        </is>
      </c>
      <c r="G1456" s="4" t="inlineStr">
        <is>
          <t>Expense</t>
        </is>
      </c>
      <c r="H1456" s="12" t="n">
        <v>46178</v>
      </c>
      <c r="I1456" s="13" t="n">
        <v>0.08263888888888889</v>
      </c>
      <c r="J1456" s="14" t="n">
        <v>46178.08263888889</v>
      </c>
      <c r="K1456" s="15" t="n">
        <v>21371.37</v>
      </c>
      <c r="L1456" s="4" t="inlineStr">
        <is>
          <t>INR</t>
        </is>
      </c>
      <c r="M1456" s="15" t="n">
        <v>-21371.37</v>
      </c>
      <c r="N1456" s="4" t="inlineStr">
        <is>
          <t>IOS Owner</t>
        </is>
      </c>
      <c r="O1456" s="4" t="n"/>
      <c r="P1456" s="4" t="n"/>
      <c r="Q1456" s="4" t="inlineStr">
        <is>
          <t>MAESTRO-IOS-BUSINESS-TEAM_OPERATIONS-1455 | Contractor | 21371.37</t>
        </is>
      </c>
      <c r="R1456" s="4" t="inlineStr">
        <is>
          <t>iPhone</t>
        </is>
      </c>
      <c r="S1456" s="4" t="inlineStr">
        <is>
          <t>B30</t>
        </is>
      </c>
      <c r="T1456" s="4" t="inlineStr">
        <is>
          <t>RAMP_501_1500</t>
        </is>
      </c>
      <c r="U1456" s="4" t="inlineStr">
        <is>
          <t>CREATED</t>
        </is>
      </c>
      <c r="V1456" s="4" t="inlineStr">
        <is>
          <t>idem-20260902-ios-1455</t>
        </is>
      </c>
    </row>
    <row r="1457" ht="30" customHeight="1">
      <c r="A1457" s="4" t="n">
        <v>1456</v>
      </c>
      <c r="B1457" s="4" t="inlineStr">
        <is>
          <t>MTR-IOS-1456</t>
        </is>
      </c>
      <c r="C1457" s="4" t="inlineStr">
        <is>
          <t>Personal</t>
        </is>
      </c>
      <c r="D1457" s="4" t="inlineStr">
        <is>
          <t>Personal</t>
        </is>
      </c>
      <c r="E1457" s="4" t="inlineStr">
        <is>
          <t>Life Operations</t>
        </is>
      </c>
      <c r="F1457" s="4" t="inlineStr">
        <is>
          <t>Bills</t>
        </is>
      </c>
      <c r="G1457" s="4" t="inlineStr">
        <is>
          <t>Expense</t>
        </is>
      </c>
      <c r="H1457" s="12" t="n">
        <v>46031</v>
      </c>
      <c r="I1457" s="13" t="n">
        <v>0.5771643518518519</v>
      </c>
      <c r="J1457" s="14" t="n">
        <v>46031.57716435185</v>
      </c>
      <c r="K1457" s="15" t="n">
        <v>12910.1</v>
      </c>
      <c r="L1457" s="4" t="inlineStr">
        <is>
          <t>INR</t>
        </is>
      </c>
      <c r="M1457" s="15" t="n">
        <v>-12910.1</v>
      </c>
      <c r="N1457" s="4" t="inlineStr">
        <is>
          <t>IOS Owner</t>
        </is>
      </c>
      <c r="O1457" s="4" t="n"/>
      <c r="P1457" s="4" t="n"/>
      <c r="Q1457" s="4" t="inlineStr">
        <is>
          <t>MAESTRO-IOS-PERSONAL-LIFE_OPERATIONS-1456 | Bills | 12910.10</t>
        </is>
      </c>
      <c r="R1457" s="4" t="inlineStr">
        <is>
          <t>iPhone</t>
        </is>
      </c>
      <c r="S1457" s="4" t="inlineStr">
        <is>
          <t>B30</t>
        </is>
      </c>
      <c r="T1457" s="4" t="inlineStr">
        <is>
          <t>RAMP_501_1500</t>
        </is>
      </c>
      <c r="U1457" s="4" t="inlineStr">
        <is>
          <t>CREATED</t>
        </is>
      </c>
      <c r="V1457" s="4" t="inlineStr">
        <is>
          <t>idem-20260902-ios-1456</t>
        </is>
      </c>
    </row>
    <row r="1458" ht="30" customHeight="1">
      <c r="A1458" s="4" t="n">
        <v>1457</v>
      </c>
      <c r="B1458" s="4" t="inlineStr">
        <is>
          <t>MTR-IOS-1457</t>
        </is>
      </c>
      <c r="C1458" s="4" t="inlineStr">
        <is>
          <t>Group</t>
        </is>
      </c>
      <c r="D1458" s="4" t="inlineStr">
        <is>
          <t>Shared Experience</t>
        </is>
      </c>
      <c r="E1458" s="4" t="inlineStr">
        <is>
          <t>House Party</t>
        </is>
      </c>
      <c r="F1458" s="4" t="inlineStr">
        <is>
          <t>Decor</t>
        </is>
      </c>
      <c r="G1458" s="4" t="inlineStr">
        <is>
          <t>Expense</t>
        </is>
      </c>
      <c r="H1458" s="12" t="n">
        <v>46063</v>
      </c>
      <c r="I1458" s="13" t="n">
        <v>0.7113310185185185</v>
      </c>
      <c r="J1458" s="14" t="n">
        <v>46063.71133101852</v>
      </c>
      <c r="K1458" s="15" t="n">
        <v>5922.86</v>
      </c>
      <c r="L1458" s="4" t="inlineStr">
        <is>
          <t>INR</t>
        </is>
      </c>
      <c r="M1458" s="15" t="n">
        <v>-5922.86</v>
      </c>
      <c r="N1458" s="4" t="inlineStr">
        <is>
          <t>IOS Meera</t>
        </is>
      </c>
      <c r="O1458" s="4" t="n">
        <v>3</v>
      </c>
      <c r="P1458" s="4" t="inlineStr">
        <is>
          <t>PERCENTAGE</t>
        </is>
      </c>
      <c r="Q1458" s="4" t="inlineStr">
        <is>
          <t>MAESTRO-IOS-GROUP-HOUSE_PARTY-1457 | Decor | 5922.86</t>
        </is>
      </c>
      <c r="R1458" s="4" t="inlineStr">
        <is>
          <t>iPhone</t>
        </is>
      </c>
      <c r="S1458" s="4" t="inlineStr">
        <is>
          <t>B30</t>
        </is>
      </c>
      <c r="T1458" s="4" t="inlineStr">
        <is>
          <t>RAMP_501_1500</t>
        </is>
      </c>
      <c r="U1458" s="4" t="inlineStr">
        <is>
          <t>CREATED</t>
        </is>
      </c>
      <c r="V1458" s="4" t="inlineStr">
        <is>
          <t>idem-20260902-ios-1457</t>
        </is>
      </c>
    </row>
    <row r="1459" ht="30" customHeight="1">
      <c r="A1459" s="4" t="n">
        <v>1458</v>
      </c>
      <c r="B1459" s="4" t="inlineStr">
        <is>
          <t>MTR-IOS-1458</t>
        </is>
      </c>
      <c r="C1459" s="4" t="inlineStr">
        <is>
          <t>Business</t>
        </is>
      </c>
      <c r="D1459" s="4" t="inlineStr">
        <is>
          <t>Business</t>
        </is>
      </c>
      <c r="E1459" s="4" t="inlineStr">
        <is>
          <t>Team Operations</t>
        </is>
      </c>
      <c r="F1459" s="4" t="inlineStr">
        <is>
          <t>Hiring</t>
        </is>
      </c>
      <c r="G1459" s="4" t="inlineStr">
        <is>
          <t>Expense</t>
        </is>
      </c>
      <c r="H1459" s="12" t="n">
        <v>45965</v>
      </c>
      <c r="I1459" s="13" t="n">
        <v>0.8558564814814815</v>
      </c>
      <c r="J1459" s="14" t="n">
        <v>45965.85585648148</v>
      </c>
      <c r="K1459" s="15" t="n">
        <v>74187.33</v>
      </c>
      <c r="L1459" s="4" t="inlineStr">
        <is>
          <t>INR</t>
        </is>
      </c>
      <c r="M1459" s="15" t="n">
        <v>-74187.33</v>
      </c>
      <c r="N1459" s="4" t="inlineStr">
        <is>
          <t>IOS Owner</t>
        </is>
      </c>
      <c r="O1459" s="4" t="n"/>
      <c r="P1459" s="4" t="n"/>
      <c r="Q1459" s="4" t="inlineStr">
        <is>
          <t>MAESTRO-IOS-BUSINESS-TEAM_OPERATIONS-1458 | Hiring | 74187.33</t>
        </is>
      </c>
      <c r="R1459" s="4" t="inlineStr">
        <is>
          <t>iPhone</t>
        </is>
      </c>
      <c r="S1459" s="4" t="inlineStr">
        <is>
          <t>B30</t>
        </is>
      </c>
      <c r="T1459" s="4" t="inlineStr">
        <is>
          <t>RAMP_501_1500</t>
        </is>
      </c>
      <c r="U1459" s="4" t="inlineStr">
        <is>
          <t>CREATED</t>
        </is>
      </c>
      <c r="V1459" s="4" t="inlineStr">
        <is>
          <t>idem-20260902-ios-1458</t>
        </is>
      </c>
    </row>
    <row r="1460" ht="30" customHeight="1">
      <c r="A1460" s="4" t="n">
        <v>1459</v>
      </c>
      <c r="B1460" s="4" t="inlineStr">
        <is>
          <t>MTR-IOS-1459</t>
        </is>
      </c>
      <c r="C1460" s="4" t="inlineStr">
        <is>
          <t>Personal</t>
        </is>
      </c>
      <c r="D1460" s="4" t="inlineStr">
        <is>
          <t>Personal</t>
        </is>
      </c>
      <c r="E1460" s="4" t="inlineStr">
        <is>
          <t>Life Operations</t>
        </is>
      </c>
      <c r="F1460" s="4" t="inlineStr">
        <is>
          <t>Transport</t>
        </is>
      </c>
      <c r="G1460" s="4" t="inlineStr">
        <is>
          <t>Expense</t>
        </is>
      </c>
      <c r="H1460" s="12" t="n">
        <v>46175</v>
      </c>
      <c r="I1460" s="13" t="n">
        <v>0.2939236111111111</v>
      </c>
      <c r="J1460" s="14" t="n">
        <v>46175.29392361111</v>
      </c>
      <c r="K1460" s="15" t="n">
        <v>13970.92</v>
      </c>
      <c r="L1460" s="4" t="inlineStr">
        <is>
          <t>INR</t>
        </is>
      </c>
      <c r="M1460" s="15" t="n">
        <v>-13970.92</v>
      </c>
      <c r="N1460" s="4" t="inlineStr">
        <is>
          <t>IOS Owner</t>
        </is>
      </c>
      <c r="O1460" s="4" t="n"/>
      <c r="P1460" s="4" t="n"/>
      <c r="Q1460" s="4" t="inlineStr">
        <is>
          <t>MAESTRO-IOS-PERSONAL-LIFE_OPERATIONS-1459 | Transport | 13970.92</t>
        </is>
      </c>
      <c r="R1460" s="4" t="inlineStr">
        <is>
          <t>iPhone</t>
        </is>
      </c>
      <c r="S1460" s="4" t="inlineStr">
        <is>
          <t>B30</t>
        </is>
      </c>
      <c r="T1460" s="4" t="inlineStr">
        <is>
          <t>RAMP_501_1500</t>
        </is>
      </c>
      <c r="U1460" s="4" t="inlineStr">
        <is>
          <t>CREATED</t>
        </is>
      </c>
      <c r="V1460" s="4" t="inlineStr">
        <is>
          <t>idem-20260902-ios-1459</t>
        </is>
      </c>
    </row>
    <row r="1461" ht="30" customHeight="1">
      <c r="A1461" s="4" t="n">
        <v>1460</v>
      </c>
      <c r="B1461" s="4" t="inlineStr">
        <is>
          <t>MTR-IOS-1460</t>
        </is>
      </c>
      <c r="C1461" s="4" t="inlineStr">
        <is>
          <t>Group</t>
        </is>
      </c>
      <c r="D1461" s="4" t="inlineStr">
        <is>
          <t>Shared Experience</t>
        </is>
      </c>
      <c r="E1461" s="4" t="inlineStr">
        <is>
          <t>House Party</t>
        </is>
      </c>
      <c r="F1461" s="4" t="inlineStr">
        <is>
          <t>Supplies</t>
        </is>
      </c>
      <c r="G1461" s="4" t="inlineStr">
        <is>
          <t>Expense</t>
        </is>
      </c>
      <c r="H1461" s="12" t="n">
        <v>45926</v>
      </c>
      <c r="I1461" s="13" t="n">
        <v>0.9375</v>
      </c>
      <c r="J1461" s="14" t="n">
        <v>45926.9375</v>
      </c>
      <c r="K1461" s="15" t="n">
        <v>10616.17</v>
      </c>
      <c r="L1461" s="4" t="inlineStr">
        <is>
          <t>INR</t>
        </is>
      </c>
      <c r="M1461" s="15" t="n">
        <v>-10616.17</v>
      </c>
      <c r="N1461" s="4" t="inlineStr">
        <is>
          <t>IOS Owner</t>
        </is>
      </c>
      <c r="O1461" s="4" t="n">
        <v>3</v>
      </c>
      <c r="P1461" s="4" t="inlineStr">
        <is>
          <t>EXACT</t>
        </is>
      </c>
      <c r="Q1461" s="4" t="inlineStr">
        <is>
          <t>MAESTRO-IOS-GROUP-HOUSE_PARTY-1460 | Supplies | 10616.17</t>
        </is>
      </c>
      <c r="R1461" s="4" t="inlineStr">
        <is>
          <t>iPhone</t>
        </is>
      </c>
      <c r="S1461" s="4" t="inlineStr">
        <is>
          <t>B30</t>
        </is>
      </c>
      <c r="T1461" s="4" t="inlineStr">
        <is>
          <t>RAMP_501_1500</t>
        </is>
      </c>
      <c r="U1461" s="4" t="inlineStr">
        <is>
          <t>CREATED</t>
        </is>
      </c>
      <c r="V1461" s="4" t="inlineStr">
        <is>
          <t>idem-20260902-ios-1460</t>
        </is>
      </c>
    </row>
    <row r="1462" ht="30" customHeight="1">
      <c r="A1462" s="4" t="n">
        <v>1461</v>
      </c>
      <c r="B1462" s="4" t="inlineStr">
        <is>
          <t>MTR-IOS-1461</t>
        </is>
      </c>
      <c r="C1462" s="4" t="inlineStr">
        <is>
          <t>Business</t>
        </is>
      </c>
      <c r="D1462" s="4" t="inlineStr">
        <is>
          <t>Business</t>
        </is>
      </c>
      <c r="E1462" s="4" t="inlineStr">
        <is>
          <t>Team Operations</t>
        </is>
      </c>
      <c r="F1462" s="4" t="inlineStr">
        <is>
          <t>Team Meal</t>
        </is>
      </c>
      <c r="G1462" s="4" t="inlineStr">
        <is>
          <t>Expense</t>
        </is>
      </c>
      <c r="H1462" s="12" t="n">
        <v>45975</v>
      </c>
      <c r="I1462" s="13" t="n">
        <v>0.2101388888888889</v>
      </c>
      <c r="J1462" s="14" t="n">
        <v>45975.21013888889</v>
      </c>
      <c r="K1462" s="15" t="n">
        <v>156671.64</v>
      </c>
      <c r="L1462" s="4" t="inlineStr">
        <is>
          <t>INR</t>
        </is>
      </c>
      <c r="M1462" s="15" t="n">
        <v>-156671.64</v>
      </c>
      <c r="N1462" s="4" t="inlineStr">
        <is>
          <t>IOS Owner</t>
        </is>
      </c>
      <c r="O1462" s="4" t="n"/>
      <c r="P1462" s="4" t="n"/>
      <c r="Q1462" s="4" t="inlineStr">
        <is>
          <t>MAESTRO-IOS-BUSINESS-TEAM_OPERATIONS-1461 | Team Meal | 156671.64</t>
        </is>
      </c>
      <c r="R1462" s="4" t="inlineStr">
        <is>
          <t>iPhone</t>
        </is>
      </c>
      <c r="S1462" s="4" t="inlineStr">
        <is>
          <t>B30</t>
        </is>
      </c>
      <c r="T1462" s="4" t="inlineStr">
        <is>
          <t>RAMP_501_1500</t>
        </is>
      </c>
      <c r="U1462" s="4" t="inlineStr">
        <is>
          <t>CREATED</t>
        </is>
      </c>
      <c r="V1462" s="4" t="inlineStr">
        <is>
          <t>idem-20260902-ios-1461</t>
        </is>
      </c>
    </row>
    <row r="1463" ht="30" customHeight="1">
      <c r="A1463" s="4" t="n">
        <v>1462</v>
      </c>
      <c r="B1463" s="4" t="inlineStr">
        <is>
          <t>MTR-IOS-1462</t>
        </is>
      </c>
      <c r="C1463" s="4" t="inlineStr">
        <is>
          <t>Personal</t>
        </is>
      </c>
      <c r="D1463" s="4" t="inlineStr">
        <is>
          <t>Personal</t>
        </is>
      </c>
      <c r="E1463" s="4" t="inlineStr">
        <is>
          <t>Life Operations</t>
        </is>
      </c>
      <c r="F1463" s="4" t="inlineStr">
        <is>
          <t>Healthcare</t>
        </is>
      </c>
      <c r="G1463" s="4" t="inlineStr">
        <is>
          <t>Expense</t>
        </is>
      </c>
      <c r="H1463" s="12" t="n">
        <v>46050</v>
      </c>
      <c r="I1463" s="13" t="n">
        <v>0.6703472222222222</v>
      </c>
      <c r="J1463" s="14" t="n">
        <v>46050.67034722222</v>
      </c>
      <c r="K1463" s="15" t="n">
        <v>8859.48</v>
      </c>
      <c r="L1463" s="4" t="inlineStr">
        <is>
          <t>INR</t>
        </is>
      </c>
      <c r="M1463" s="15" t="n">
        <v>-8859.48</v>
      </c>
      <c r="N1463" s="4" t="inlineStr">
        <is>
          <t>IOS Owner</t>
        </is>
      </c>
      <c r="O1463" s="4" t="n"/>
      <c r="P1463" s="4" t="n"/>
      <c r="Q1463" s="4" t="inlineStr">
        <is>
          <t>MAESTRO-IOS-PERSONAL-LIFE_OPERATIONS-1462 | Healthcare | 8859.48</t>
        </is>
      </c>
      <c r="R1463" s="4" t="inlineStr">
        <is>
          <t>iPhone</t>
        </is>
      </c>
      <c r="S1463" s="4" t="inlineStr">
        <is>
          <t>B30</t>
        </is>
      </c>
      <c r="T1463" s="4" t="inlineStr">
        <is>
          <t>RAMP_501_1500</t>
        </is>
      </c>
      <c r="U1463" s="4" t="inlineStr">
        <is>
          <t>CREATED</t>
        </is>
      </c>
      <c r="V1463" s="4" t="inlineStr">
        <is>
          <t>idem-20260902-ios-1462</t>
        </is>
      </c>
    </row>
    <row r="1464" ht="30" customHeight="1">
      <c r="A1464" s="4" t="n">
        <v>1463</v>
      </c>
      <c r="B1464" s="4" t="inlineStr">
        <is>
          <t>MTR-IOS-1463</t>
        </is>
      </c>
      <c r="C1464" s="4" t="inlineStr">
        <is>
          <t>Group</t>
        </is>
      </c>
      <c r="D1464" s="4" t="inlineStr">
        <is>
          <t>Shared Experience</t>
        </is>
      </c>
      <c r="E1464" s="4" t="inlineStr">
        <is>
          <t>House Party</t>
        </is>
      </c>
      <c r="F1464" s="4" t="inlineStr">
        <is>
          <t>Other</t>
        </is>
      </c>
      <c r="G1464" s="4" t="inlineStr">
        <is>
          <t>Expense</t>
        </is>
      </c>
      <c r="H1464" s="12" t="n">
        <v>45905</v>
      </c>
      <c r="I1464" s="13" t="n">
        <v>0.1003009259259259</v>
      </c>
      <c r="J1464" s="14" t="n">
        <v>45905.10030092593</v>
      </c>
      <c r="K1464" s="15" t="n">
        <v>26162.9</v>
      </c>
      <c r="L1464" s="4" t="inlineStr">
        <is>
          <t>INR</t>
        </is>
      </c>
      <c r="M1464" s="15" t="n">
        <v>-26162.9</v>
      </c>
      <c r="N1464" s="4" t="inlineStr">
        <is>
          <t>IOS Aarav</t>
        </is>
      </c>
      <c r="O1464" s="4" t="n">
        <v>3</v>
      </c>
      <c r="P1464" s="4" t="inlineStr">
        <is>
          <t>SHARES</t>
        </is>
      </c>
      <c r="Q1464" s="4" t="inlineStr">
        <is>
          <t>MAESTRO-IOS-GROUP-HOUSE_PARTY-1463 | Other | 26162.90</t>
        </is>
      </c>
      <c r="R1464" s="4" t="inlineStr">
        <is>
          <t>iPhone</t>
        </is>
      </c>
      <c r="S1464" s="4" t="inlineStr">
        <is>
          <t>B30</t>
        </is>
      </c>
      <c r="T1464" s="4" t="inlineStr">
        <is>
          <t>RAMP_501_1500</t>
        </is>
      </c>
      <c r="U1464" s="4" t="inlineStr">
        <is>
          <t>CREATED</t>
        </is>
      </c>
      <c r="V1464" s="4" t="inlineStr">
        <is>
          <t>idem-20260902-ios-1463</t>
        </is>
      </c>
    </row>
    <row r="1465" ht="30" customHeight="1">
      <c r="A1465" s="4" t="n">
        <v>1464</v>
      </c>
      <c r="B1465" s="4" t="inlineStr">
        <is>
          <t>MTR-IOS-1464</t>
        </is>
      </c>
      <c r="C1465" s="4" t="inlineStr">
        <is>
          <t>Business</t>
        </is>
      </c>
      <c r="D1465" s="4" t="inlineStr">
        <is>
          <t>Business</t>
        </is>
      </c>
      <c r="E1465" s="4" t="inlineStr">
        <is>
          <t>Team Operations</t>
        </is>
      </c>
      <c r="F1465" s="4" t="inlineStr">
        <is>
          <t>Travel</t>
        </is>
      </c>
      <c r="G1465" s="4" t="inlineStr">
        <is>
          <t>Expense</t>
        </is>
      </c>
      <c r="H1465" s="12" t="n">
        <v>46082</v>
      </c>
      <c r="I1465" s="13" t="n">
        <v>0.8718518518518519</v>
      </c>
      <c r="J1465" s="14" t="n">
        <v>46082.87185185185</v>
      </c>
      <c r="K1465" s="15" t="n">
        <v>9780.42</v>
      </c>
      <c r="L1465" s="4" t="inlineStr">
        <is>
          <t>INR</t>
        </is>
      </c>
      <c r="M1465" s="15" t="n">
        <v>-9780.42</v>
      </c>
      <c r="N1465" s="4" t="inlineStr">
        <is>
          <t>IOS Owner</t>
        </is>
      </c>
      <c r="O1465" s="4" t="n"/>
      <c r="P1465" s="4" t="n"/>
      <c r="Q1465" s="4" t="inlineStr">
        <is>
          <t>MAESTRO-IOS-BUSINESS-TEAM_OPERATIONS-1464 | Travel | 9780.42</t>
        </is>
      </c>
      <c r="R1465" s="4" t="inlineStr">
        <is>
          <t>iPhone</t>
        </is>
      </c>
      <c r="S1465" s="4" t="inlineStr">
        <is>
          <t>B30</t>
        </is>
      </c>
      <c r="T1465" s="4" t="inlineStr">
        <is>
          <t>RAMP_501_1500</t>
        </is>
      </c>
      <c r="U1465" s="4" t="inlineStr">
        <is>
          <t>CREATED</t>
        </is>
      </c>
      <c r="V1465" s="4" t="inlineStr">
        <is>
          <t>idem-20260902-ios-1464</t>
        </is>
      </c>
    </row>
    <row r="1466" ht="30" customHeight="1">
      <c r="A1466" s="4" t="n">
        <v>1465</v>
      </c>
      <c r="B1466" s="4" t="inlineStr">
        <is>
          <t>MTR-IOS-1465</t>
        </is>
      </c>
      <c r="C1466" s="4" t="inlineStr">
        <is>
          <t>Personal</t>
        </is>
      </c>
      <c r="D1466" s="4" t="inlineStr">
        <is>
          <t>Personal</t>
        </is>
      </c>
      <c r="E1466" s="4" t="inlineStr">
        <is>
          <t>Life Operations</t>
        </is>
      </c>
      <c r="F1466" s="4" t="inlineStr">
        <is>
          <t>Subscriptions</t>
        </is>
      </c>
      <c r="G1466" s="4" t="inlineStr">
        <is>
          <t>Expense</t>
        </is>
      </c>
      <c r="H1466" s="12" t="n">
        <v>46252</v>
      </c>
      <c r="I1466" s="13" t="n">
        <v>0.831400462962963</v>
      </c>
      <c r="J1466" s="14" t="n">
        <v>46252.83140046296</v>
      </c>
      <c r="K1466" s="15" t="n">
        <v>6624.83</v>
      </c>
      <c r="L1466" s="4" t="inlineStr">
        <is>
          <t>INR</t>
        </is>
      </c>
      <c r="M1466" s="15" t="n">
        <v>-6624.83</v>
      </c>
      <c r="N1466" s="4" t="inlineStr">
        <is>
          <t>IOS Owner</t>
        </is>
      </c>
      <c r="O1466" s="4" t="n"/>
      <c r="P1466" s="4" t="n"/>
      <c r="Q1466" s="4" t="inlineStr">
        <is>
          <t>MAESTRO-IOS-PERSONAL-LIFE_OPERATIONS-1465 | Subscriptions | 6624.83</t>
        </is>
      </c>
      <c r="R1466" s="4" t="inlineStr">
        <is>
          <t>iPhone</t>
        </is>
      </c>
      <c r="S1466" s="4" t="inlineStr">
        <is>
          <t>B30</t>
        </is>
      </c>
      <c r="T1466" s="4" t="inlineStr">
        <is>
          <t>RAMP_501_1500</t>
        </is>
      </c>
      <c r="U1466" s="4" t="inlineStr">
        <is>
          <t>CREATED</t>
        </is>
      </c>
      <c r="V1466" s="4" t="inlineStr">
        <is>
          <t>idem-20260902-ios-1465</t>
        </is>
      </c>
    </row>
    <row r="1467" ht="30" customHeight="1">
      <c r="A1467" s="4" t="n">
        <v>1466</v>
      </c>
      <c r="B1467" s="4" t="inlineStr">
        <is>
          <t>MTR-IOS-1466</t>
        </is>
      </c>
      <c r="C1467" s="4" t="inlineStr">
        <is>
          <t>Group</t>
        </is>
      </c>
      <c r="D1467" s="4" t="inlineStr">
        <is>
          <t>Shared Purchase</t>
        </is>
      </c>
      <c r="E1467" s="4" t="inlineStr">
        <is>
          <t>Gift Pool</t>
        </is>
      </c>
      <c r="F1467" s="4" t="inlineStr">
        <is>
          <t>Contribution</t>
        </is>
      </c>
      <c r="G1467" s="4" t="inlineStr">
        <is>
          <t>Contribution</t>
        </is>
      </c>
      <c r="H1467" s="12" t="n">
        <v>46235</v>
      </c>
      <c r="I1467" s="13" t="n">
        <v>0.9922916666666667</v>
      </c>
      <c r="J1467" s="14" t="n">
        <v>46235.99229166667</v>
      </c>
      <c r="K1467" s="15" t="n">
        <v>4976.32</v>
      </c>
      <c r="L1467" s="4" t="inlineStr">
        <is>
          <t>INR</t>
        </is>
      </c>
      <c r="M1467" s="15" t="n">
        <v>4976.32</v>
      </c>
      <c r="N1467" s="4" t="inlineStr">
        <is>
          <t>IOS Meera</t>
        </is>
      </c>
      <c r="O1467" s="4" t="n">
        <v>3</v>
      </c>
      <c r="P1467" s="4" t="inlineStr">
        <is>
          <t>EQUAL</t>
        </is>
      </c>
      <c r="Q1467" s="4" t="inlineStr">
        <is>
          <t>MAESTRO-IOS-GROUP-GIFT_POOL-1466 | Contribution | 4976.32</t>
        </is>
      </c>
      <c r="R1467" s="4" t="inlineStr">
        <is>
          <t>iPhone</t>
        </is>
      </c>
      <c r="S1467" s="4" t="inlineStr">
        <is>
          <t>B30</t>
        </is>
      </c>
      <c r="T1467" s="4" t="inlineStr">
        <is>
          <t>RAMP_501_1500</t>
        </is>
      </c>
      <c r="U1467" s="4" t="inlineStr">
        <is>
          <t>CREATED</t>
        </is>
      </c>
      <c r="V1467" s="4" t="inlineStr">
        <is>
          <t>idem-20260902-ios-1466</t>
        </is>
      </c>
    </row>
    <row r="1468" ht="30" customHeight="1">
      <c r="A1468" s="4" t="n">
        <v>1467</v>
      </c>
      <c r="B1468" s="4" t="inlineStr">
        <is>
          <t>MTR-IOS-1467</t>
        </is>
      </c>
      <c r="C1468" s="4" t="inlineStr">
        <is>
          <t>Business</t>
        </is>
      </c>
      <c r="D1468" s="4" t="inlineStr">
        <is>
          <t>Business</t>
        </is>
      </c>
      <c r="E1468" s="4" t="inlineStr">
        <is>
          <t>Team Operations</t>
        </is>
      </c>
      <c r="F1468" s="4" t="inlineStr">
        <is>
          <t>Training</t>
        </is>
      </c>
      <c r="G1468" s="4" t="inlineStr">
        <is>
          <t>Expense</t>
        </is>
      </c>
      <c r="H1468" s="12" t="n">
        <v>46079</v>
      </c>
      <c r="I1468" s="13" t="n">
        <v>0.04873842592592593</v>
      </c>
      <c r="J1468" s="14" t="n">
        <v>46079.04873842592</v>
      </c>
      <c r="K1468" s="15" t="n">
        <v>136739.69</v>
      </c>
      <c r="L1468" s="4" t="inlineStr">
        <is>
          <t>INR</t>
        </is>
      </c>
      <c r="M1468" s="15" t="n">
        <v>-136739.69</v>
      </c>
      <c r="N1468" s="4" t="inlineStr">
        <is>
          <t>IOS Owner</t>
        </is>
      </c>
      <c r="O1468" s="4" t="n"/>
      <c r="P1468" s="4" t="n"/>
      <c r="Q1468" s="4" t="inlineStr">
        <is>
          <t>MAESTRO-IOS-BUSINESS-TEAM_OPERATIONS-1467 | Training | 136739.69</t>
        </is>
      </c>
      <c r="R1468" s="4" t="inlineStr">
        <is>
          <t>iPhone</t>
        </is>
      </c>
      <c r="S1468" s="4" t="inlineStr">
        <is>
          <t>B30</t>
        </is>
      </c>
      <c r="T1468" s="4" t="inlineStr">
        <is>
          <t>RAMP_501_1500</t>
        </is>
      </c>
      <c r="U1468" s="4" t="inlineStr">
        <is>
          <t>CREATED</t>
        </is>
      </c>
      <c r="V1468" s="4" t="inlineStr">
        <is>
          <t>idem-20260902-ios-1467</t>
        </is>
      </c>
    </row>
    <row r="1469" ht="30" customHeight="1">
      <c r="A1469" s="4" t="n">
        <v>1468</v>
      </c>
      <c r="B1469" s="4" t="inlineStr">
        <is>
          <t>MTR-IOS-1468</t>
        </is>
      </c>
      <c r="C1469" s="4" t="inlineStr">
        <is>
          <t>Personal</t>
        </is>
      </c>
      <c r="D1469" s="4" t="inlineStr">
        <is>
          <t>Personal</t>
        </is>
      </c>
      <c r="E1469" s="4" t="inlineStr">
        <is>
          <t>Life Operations</t>
        </is>
      </c>
      <c r="F1469" s="4" t="inlineStr">
        <is>
          <t>Repairs</t>
        </is>
      </c>
      <c r="G1469" s="4" t="inlineStr">
        <is>
          <t>Expense</t>
        </is>
      </c>
      <c r="H1469" s="12" t="n">
        <v>46083</v>
      </c>
      <c r="I1469" s="13" t="n">
        <v>0.6348611111111111</v>
      </c>
      <c r="J1469" s="14" t="n">
        <v>46083.63486111111</v>
      </c>
      <c r="K1469" s="15" t="n">
        <v>3881.15</v>
      </c>
      <c r="L1469" s="4" t="inlineStr">
        <is>
          <t>INR</t>
        </is>
      </c>
      <c r="M1469" s="15" t="n">
        <v>-3881.15</v>
      </c>
      <c r="N1469" s="4" t="inlineStr">
        <is>
          <t>IOS Owner</t>
        </is>
      </c>
      <c r="O1469" s="4" t="n"/>
      <c r="P1469" s="4" t="n"/>
      <c r="Q1469" s="4" t="inlineStr">
        <is>
          <t>MAESTRO-IOS-PERSONAL-LIFE_OPERATIONS-1468 | Repairs | 3881.15</t>
        </is>
      </c>
      <c r="R1469" s="4" t="inlineStr">
        <is>
          <t>iPhone</t>
        </is>
      </c>
      <c r="S1469" s="4" t="inlineStr">
        <is>
          <t>B30</t>
        </is>
      </c>
      <c r="T1469" s="4" t="inlineStr">
        <is>
          <t>RAMP_501_1500</t>
        </is>
      </c>
      <c r="U1469" s="4" t="inlineStr">
        <is>
          <t>CREATED</t>
        </is>
      </c>
      <c r="V1469" s="4" t="inlineStr">
        <is>
          <t>idem-20260902-ios-1468</t>
        </is>
      </c>
    </row>
    <row r="1470" ht="30" customHeight="1">
      <c r="A1470" s="4" t="n">
        <v>1469</v>
      </c>
      <c r="B1470" s="4" t="inlineStr">
        <is>
          <t>MTR-IOS-1469</t>
        </is>
      </c>
      <c r="C1470" s="4" t="inlineStr">
        <is>
          <t>Group</t>
        </is>
      </c>
      <c r="D1470" s="4" t="inlineStr">
        <is>
          <t>Shared Purchase</t>
        </is>
      </c>
      <c r="E1470" s="4" t="inlineStr">
        <is>
          <t>Gift Pool</t>
        </is>
      </c>
      <c r="F1470" s="4" t="inlineStr">
        <is>
          <t>Gift Purchase</t>
        </is>
      </c>
      <c r="G1470" s="4" t="inlineStr">
        <is>
          <t>Expense</t>
        </is>
      </c>
      <c r="H1470" s="12" t="n">
        <v>46260</v>
      </c>
      <c r="I1470" s="13" t="n">
        <v>0.329212962962963</v>
      </c>
      <c r="J1470" s="14" t="n">
        <v>46260.32921296296</v>
      </c>
      <c r="K1470" s="15" t="n">
        <v>4001.08</v>
      </c>
      <c r="L1470" s="4" t="inlineStr">
        <is>
          <t>INR</t>
        </is>
      </c>
      <c r="M1470" s="15" t="n">
        <v>-4001.08</v>
      </c>
      <c r="N1470" s="4" t="inlineStr">
        <is>
          <t>IOS Owner</t>
        </is>
      </c>
      <c r="O1470" s="4" t="n">
        <v>3</v>
      </c>
      <c r="P1470" s="4" t="inlineStr">
        <is>
          <t>PERCENTAGE</t>
        </is>
      </c>
      <c r="Q1470" s="4" t="inlineStr">
        <is>
          <t>MAESTRO-IOS-GROUP-GIFT_POOL-1469 | Gift Purchase | 4001.08</t>
        </is>
      </c>
      <c r="R1470" s="4" t="inlineStr">
        <is>
          <t>iPhone</t>
        </is>
      </c>
      <c r="S1470" s="4" t="inlineStr">
        <is>
          <t>B30</t>
        </is>
      </c>
      <c r="T1470" s="4" t="inlineStr">
        <is>
          <t>RAMP_501_1500</t>
        </is>
      </c>
      <c r="U1470" s="4" t="inlineStr">
        <is>
          <t>CREATED</t>
        </is>
      </c>
      <c r="V1470" s="4" t="inlineStr">
        <is>
          <t>idem-20260902-ios-1469</t>
        </is>
      </c>
    </row>
    <row r="1471" ht="30" customHeight="1">
      <c r="A1471" s="4" t="n">
        <v>1470</v>
      </c>
      <c r="B1471" s="4" t="inlineStr">
        <is>
          <t>MTR-IOS-1470</t>
        </is>
      </c>
      <c r="C1471" s="4" t="inlineStr">
        <is>
          <t>Business</t>
        </is>
      </c>
      <c r="D1471" s="4" t="inlineStr">
        <is>
          <t>Business</t>
        </is>
      </c>
      <c r="E1471" s="4" t="inlineStr">
        <is>
          <t>Team Operations</t>
        </is>
      </c>
      <c r="F1471" s="4" t="inlineStr">
        <is>
          <t>Tools</t>
        </is>
      </c>
      <c r="G1471" s="4" t="inlineStr">
        <is>
          <t>Expense</t>
        </is>
      </c>
      <c r="H1471" s="12" t="n">
        <v>45946</v>
      </c>
      <c r="I1471" s="13" t="n">
        <v>0.6221064814814815</v>
      </c>
      <c r="J1471" s="14" t="n">
        <v>45946.62210648148</v>
      </c>
      <c r="K1471" s="15" t="n">
        <v>147846.92</v>
      </c>
      <c r="L1471" s="4" t="inlineStr">
        <is>
          <t>INR</t>
        </is>
      </c>
      <c r="M1471" s="15" t="n">
        <v>-147846.92</v>
      </c>
      <c r="N1471" s="4" t="inlineStr">
        <is>
          <t>IOS Owner</t>
        </is>
      </c>
      <c r="O1471" s="4" t="n"/>
      <c r="P1471" s="4" t="n"/>
      <c r="Q1471" s="4" t="inlineStr">
        <is>
          <t>MAESTRO-IOS-BUSINESS-TEAM_OPERATIONS-1470 | Tools | 147846.92</t>
        </is>
      </c>
      <c r="R1471" s="4" t="inlineStr">
        <is>
          <t>iPhone</t>
        </is>
      </c>
      <c r="S1471" s="4" t="inlineStr">
        <is>
          <t>B30</t>
        </is>
      </c>
      <c r="T1471" s="4" t="inlineStr">
        <is>
          <t>RAMP_501_1500</t>
        </is>
      </c>
      <c r="U1471" s="4" t="inlineStr">
        <is>
          <t>CREATED</t>
        </is>
      </c>
      <c r="V1471" s="4" t="inlineStr">
        <is>
          <t>idem-20260902-ios-1470</t>
        </is>
      </c>
    </row>
    <row r="1472" ht="30" customHeight="1">
      <c r="A1472" s="4" t="n">
        <v>1471</v>
      </c>
      <c r="B1472" s="4" t="inlineStr">
        <is>
          <t>MTR-IOS-1471</t>
        </is>
      </c>
      <c r="C1472" s="4" t="inlineStr">
        <is>
          <t>Personal</t>
        </is>
      </c>
      <c r="D1472" s="4" t="inlineStr">
        <is>
          <t>Personal</t>
        </is>
      </c>
      <c r="E1472" s="4" t="inlineStr">
        <is>
          <t>Future Building</t>
        </is>
      </c>
      <c r="F1472" s="4" t="inlineStr">
        <is>
          <t>Savings</t>
        </is>
      </c>
      <c r="G1472" s="4" t="inlineStr">
        <is>
          <t>Transfer</t>
        </is>
      </c>
      <c r="H1472" s="12" t="n">
        <v>46236</v>
      </c>
      <c r="I1472" s="13" t="n">
        <v>0.2183912037037037</v>
      </c>
      <c r="J1472" s="14" t="n">
        <v>46236.21839120371</v>
      </c>
      <c r="K1472" s="15" t="n">
        <v>11425.96</v>
      </c>
      <c r="L1472" s="4" t="inlineStr">
        <is>
          <t>INR</t>
        </is>
      </c>
      <c r="M1472" s="15" t="n">
        <v>0</v>
      </c>
      <c r="N1472" s="4" t="inlineStr">
        <is>
          <t>IOS Owner</t>
        </is>
      </c>
      <c r="O1472" s="4" t="n"/>
      <c r="P1472" s="4" t="n"/>
      <c r="Q1472" s="4" t="inlineStr">
        <is>
          <t>MAESTRO-IOS-PERSONAL-FUTURE_BUILDING-1471 | Savings | 11425.96</t>
        </is>
      </c>
      <c r="R1472" s="4" t="inlineStr">
        <is>
          <t>iPhone</t>
        </is>
      </c>
      <c r="S1472" s="4" t="inlineStr">
        <is>
          <t>B30</t>
        </is>
      </c>
      <c r="T1472" s="4" t="inlineStr">
        <is>
          <t>RAMP_501_1500</t>
        </is>
      </c>
      <c r="U1472" s="4" t="inlineStr">
        <is>
          <t>CREATED</t>
        </is>
      </c>
      <c r="V1472" s="4" t="inlineStr">
        <is>
          <t>idem-20260902-ios-1471</t>
        </is>
      </c>
    </row>
    <row r="1473" ht="30" customHeight="1">
      <c r="A1473" s="4" t="n">
        <v>1472</v>
      </c>
      <c r="B1473" s="4" t="inlineStr">
        <is>
          <t>MTR-IOS-1472</t>
        </is>
      </c>
      <c r="C1473" s="4" t="inlineStr">
        <is>
          <t>Group</t>
        </is>
      </c>
      <c r="D1473" s="4" t="inlineStr">
        <is>
          <t>Shared Purchase</t>
        </is>
      </c>
      <c r="E1473" s="4" t="inlineStr">
        <is>
          <t>Gift Pool</t>
        </is>
      </c>
      <c r="F1473" s="4" t="inlineStr">
        <is>
          <t>Delivery</t>
        </is>
      </c>
      <c r="G1473" s="4" t="inlineStr">
        <is>
          <t>Expense</t>
        </is>
      </c>
      <c r="H1473" s="12" t="n">
        <v>46214</v>
      </c>
      <c r="I1473" s="13" t="n">
        <v>0.5337847222222222</v>
      </c>
      <c r="J1473" s="14" t="n">
        <v>46214.53378472223</v>
      </c>
      <c r="K1473" s="15" t="n">
        <v>645.9299999999999</v>
      </c>
      <c r="L1473" s="4" t="inlineStr">
        <is>
          <t>INR</t>
        </is>
      </c>
      <c r="M1473" s="15" t="n">
        <v>-645.9299999999999</v>
      </c>
      <c r="N1473" s="4" t="inlineStr">
        <is>
          <t>IOS Aarav</t>
        </is>
      </c>
      <c r="O1473" s="4" t="n">
        <v>3</v>
      </c>
      <c r="P1473" s="4" t="inlineStr">
        <is>
          <t>EXACT</t>
        </is>
      </c>
      <c r="Q1473" s="4" t="inlineStr">
        <is>
          <t>MAESTRO-IOS-GROUP-GIFT_POOL-1472 | Delivery | 645.93</t>
        </is>
      </c>
      <c r="R1473" s="4" t="inlineStr">
        <is>
          <t>iPhone</t>
        </is>
      </c>
      <c r="S1473" s="4" t="inlineStr">
        <is>
          <t>B30</t>
        </is>
      </c>
      <c r="T1473" s="4" t="inlineStr">
        <is>
          <t>RAMP_501_1500</t>
        </is>
      </c>
      <c r="U1473" s="4" t="inlineStr">
        <is>
          <t>CREATED</t>
        </is>
      </c>
      <c r="V1473" s="4" t="inlineStr">
        <is>
          <t>idem-20260902-ios-1472</t>
        </is>
      </c>
    </row>
    <row r="1474" ht="30" customHeight="1">
      <c r="A1474" s="4" t="n">
        <v>1473</v>
      </c>
      <c r="B1474" s="4" t="inlineStr">
        <is>
          <t>MTR-IOS-1473</t>
        </is>
      </c>
      <c r="C1474" s="4" t="inlineStr">
        <is>
          <t>Business</t>
        </is>
      </c>
      <c r="D1474" s="4" t="inlineStr">
        <is>
          <t>Business</t>
        </is>
      </c>
      <c r="E1474" s="4" t="inlineStr">
        <is>
          <t>Business Runway</t>
        </is>
      </c>
      <c r="F1474" s="4" t="inlineStr">
        <is>
          <t>Funding</t>
        </is>
      </c>
      <c r="G1474" s="4" t="inlineStr">
        <is>
          <t>Income</t>
        </is>
      </c>
      <c r="H1474" s="12" t="n">
        <v>46073</v>
      </c>
      <c r="I1474" s="13" t="n">
        <v>0.004930555555555555</v>
      </c>
      <c r="J1474" s="14" t="n">
        <v>46073.00493055556</v>
      </c>
      <c r="K1474" s="15" t="n">
        <v>23885.87</v>
      </c>
      <c r="L1474" s="4" t="inlineStr">
        <is>
          <t>INR</t>
        </is>
      </c>
      <c r="M1474" s="15" t="n">
        <v>23885.87</v>
      </c>
      <c r="N1474" s="4" t="inlineStr">
        <is>
          <t>IOS Owner</t>
        </is>
      </c>
      <c r="O1474" s="4" t="n"/>
      <c r="P1474" s="4" t="n"/>
      <c r="Q1474" s="4" t="inlineStr">
        <is>
          <t>MAESTRO-IOS-BUSINESS-BUSINESS_RUNWAY-1473 | Funding | 23885.87</t>
        </is>
      </c>
      <c r="R1474" s="4" t="inlineStr">
        <is>
          <t>iPhone</t>
        </is>
      </c>
      <c r="S1474" s="4" t="inlineStr">
        <is>
          <t>B30</t>
        </is>
      </c>
      <c r="T1474" s="4" t="inlineStr">
        <is>
          <t>RAMP_501_1500</t>
        </is>
      </c>
      <c r="U1474" s="4" t="inlineStr">
        <is>
          <t>CREATED</t>
        </is>
      </c>
      <c r="V1474" s="4" t="inlineStr">
        <is>
          <t>idem-20260902-ios-1473</t>
        </is>
      </c>
    </row>
    <row r="1475" ht="30" customHeight="1">
      <c r="A1475" s="4" t="n">
        <v>1474</v>
      </c>
      <c r="B1475" s="4" t="inlineStr">
        <is>
          <t>MTR-IOS-1474</t>
        </is>
      </c>
      <c r="C1475" s="4" t="inlineStr">
        <is>
          <t>Personal</t>
        </is>
      </c>
      <c r="D1475" s="4" t="inlineStr">
        <is>
          <t>Personal</t>
        </is>
      </c>
      <c r="E1475" s="4" t="inlineStr">
        <is>
          <t>Future Building</t>
        </is>
      </c>
      <c r="F1475" s="4" t="inlineStr">
        <is>
          <t>Emergency Fund</t>
        </is>
      </c>
      <c r="G1475" s="4" t="inlineStr">
        <is>
          <t>Transfer</t>
        </is>
      </c>
      <c r="H1475" s="12" t="n">
        <v>46129</v>
      </c>
      <c r="I1475" s="13" t="n">
        <v>0.2747800925925926</v>
      </c>
      <c r="J1475" s="14" t="n">
        <v>46129.27478009259</v>
      </c>
      <c r="K1475" s="15" t="n">
        <v>2258.84</v>
      </c>
      <c r="L1475" s="4" t="inlineStr">
        <is>
          <t>INR</t>
        </is>
      </c>
      <c r="M1475" s="15" t="n">
        <v>0</v>
      </c>
      <c r="N1475" s="4" t="inlineStr">
        <is>
          <t>IOS Owner</t>
        </is>
      </c>
      <c r="O1475" s="4" t="n"/>
      <c r="P1475" s="4" t="n"/>
      <c r="Q1475" s="4" t="inlineStr">
        <is>
          <t>MAESTRO-IOS-PERSONAL-FUTURE_BUILDING-1474 | Emergency Fund | 2258.84</t>
        </is>
      </c>
      <c r="R1475" s="4" t="inlineStr">
        <is>
          <t>iPhone</t>
        </is>
      </c>
      <c r="S1475" s="4" t="inlineStr">
        <is>
          <t>B30</t>
        </is>
      </c>
      <c r="T1475" s="4" t="inlineStr">
        <is>
          <t>RAMP_501_1500</t>
        </is>
      </c>
      <c r="U1475" s="4" t="inlineStr">
        <is>
          <t>CREATED</t>
        </is>
      </c>
      <c r="V1475" s="4" t="inlineStr">
        <is>
          <t>idem-20260902-ios-1474</t>
        </is>
      </c>
    </row>
    <row r="1476" ht="30" customHeight="1">
      <c r="A1476" s="4" t="n">
        <v>1475</v>
      </c>
      <c r="B1476" s="4" t="inlineStr">
        <is>
          <t>MTR-IOS-1475</t>
        </is>
      </c>
      <c r="C1476" s="4" t="inlineStr">
        <is>
          <t>Group</t>
        </is>
      </c>
      <c r="D1476" s="4" t="inlineStr">
        <is>
          <t>Shared Purchase</t>
        </is>
      </c>
      <c r="E1476" s="4" t="inlineStr">
        <is>
          <t>Gift Pool</t>
        </is>
      </c>
      <c r="F1476" s="4" t="inlineStr">
        <is>
          <t>Other</t>
        </is>
      </c>
      <c r="G1476" s="4" t="inlineStr">
        <is>
          <t>Expense</t>
        </is>
      </c>
      <c r="H1476" s="12" t="n">
        <v>46001</v>
      </c>
      <c r="I1476" s="13" t="n">
        <v>0.7616087962962963</v>
      </c>
      <c r="J1476" s="14" t="n">
        <v>46001.7616087963</v>
      </c>
      <c r="K1476" s="15" t="n">
        <v>19065.51</v>
      </c>
      <c r="L1476" s="4" t="inlineStr">
        <is>
          <t>INR</t>
        </is>
      </c>
      <c r="M1476" s="15" t="n">
        <v>-19065.51</v>
      </c>
      <c r="N1476" s="4" t="inlineStr">
        <is>
          <t>IOS Meera</t>
        </is>
      </c>
      <c r="O1476" s="4" t="n">
        <v>3</v>
      </c>
      <c r="P1476" s="4" t="inlineStr">
        <is>
          <t>SHARES</t>
        </is>
      </c>
      <c r="Q1476" s="4" t="inlineStr">
        <is>
          <t>MAESTRO-IOS-GROUP-GIFT_POOL-1475 | Other | 19065.51</t>
        </is>
      </c>
      <c r="R1476" s="4" t="inlineStr">
        <is>
          <t>iPhone</t>
        </is>
      </c>
      <c r="S1476" s="4" t="inlineStr">
        <is>
          <t>B30</t>
        </is>
      </c>
      <c r="T1476" s="4" t="inlineStr">
        <is>
          <t>RAMP_501_1500</t>
        </is>
      </c>
      <c r="U1476" s="4" t="inlineStr">
        <is>
          <t>CREATED</t>
        </is>
      </c>
      <c r="V1476" s="4" t="inlineStr">
        <is>
          <t>idem-20260902-ios-1475</t>
        </is>
      </c>
    </row>
    <row r="1477" ht="30" customHeight="1">
      <c r="A1477" s="4" t="n">
        <v>1476</v>
      </c>
      <c r="B1477" s="4" t="inlineStr">
        <is>
          <t>MTR-IOS-1476</t>
        </is>
      </c>
      <c r="C1477" s="4" t="inlineStr">
        <is>
          <t>Business</t>
        </is>
      </c>
      <c r="D1477" s="4" t="inlineStr">
        <is>
          <t>Business</t>
        </is>
      </c>
      <c r="E1477" s="4" t="inlineStr">
        <is>
          <t>Business Runway</t>
        </is>
      </c>
      <c r="F1477" s="4" t="inlineStr">
        <is>
          <t>Revenue</t>
        </is>
      </c>
      <c r="G1477" s="4" t="inlineStr">
        <is>
          <t>Income</t>
        </is>
      </c>
      <c r="H1477" s="12" t="n">
        <v>46262</v>
      </c>
      <c r="I1477" s="13" t="n">
        <v>0.8983680555555555</v>
      </c>
      <c r="J1477" s="14" t="n">
        <v>46262.89836805555</v>
      </c>
      <c r="K1477" s="15" t="n">
        <v>29293.72</v>
      </c>
      <c r="L1477" s="4" t="inlineStr">
        <is>
          <t>INR</t>
        </is>
      </c>
      <c r="M1477" s="15" t="n">
        <v>29293.72</v>
      </c>
      <c r="N1477" s="4" t="inlineStr">
        <is>
          <t>IOS Owner</t>
        </is>
      </c>
      <c r="O1477" s="4" t="n"/>
      <c r="P1477" s="4" t="n"/>
      <c r="Q1477" s="4" t="inlineStr">
        <is>
          <t>MAESTRO-IOS-BUSINESS-BUSINESS_RUNWAY-1476 | Revenue | 29293.72</t>
        </is>
      </c>
      <c r="R1477" s="4" t="inlineStr">
        <is>
          <t>iPhone</t>
        </is>
      </c>
      <c r="S1477" s="4" t="inlineStr">
        <is>
          <t>B30</t>
        </is>
      </c>
      <c r="T1477" s="4" t="inlineStr">
        <is>
          <t>RAMP_501_1500</t>
        </is>
      </c>
      <c r="U1477" s="4" t="inlineStr">
        <is>
          <t>CREATED</t>
        </is>
      </c>
      <c r="V1477" s="4" t="inlineStr">
        <is>
          <t>idem-20260902-ios-1476</t>
        </is>
      </c>
    </row>
    <row r="1478" ht="30" customHeight="1">
      <c r="A1478" s="4" t="n">
        <v>1477</v>
      </c>
      <c r="B1478" s="4" t="inlineStr">
        <is>
          <t>MTR-IOS-1477</t>
        </is>
      </c>
      <c r="C1478" s="4" t="inlineStr">
        <is>
          <t>Personal</t>
        </is>
      </c>
      <c r="D1478" s="4" t="inlineStr">
        <is>
          <t>Personal</t>
        </is>
      </c>
      <c r="E1478" s="4" t="inlineStr">
        <is>
          <t>Future Building</t>
        </is>
      </c>
      <c r="F1478" s="4" t="inlineStr">
        <is>
          <t>Investments</t>
        </is>
      </c>
      <c r="G1478" s="4" t="inlineStr">
        <is>
          <t>Investment</t>
        </is>
      </c>
      <c r="H1478" s="12" t="n">
        <v>46103</v>
      </c>
      <c r="I1478" s="13" t="n">
        <v>0.7445601851851852</v>
      </c>
      <c r="J1478" s="14" t="n">
        <v>46103.74456018519</v>
      </c>
      <c r="K1478" s="15" t="n">
        <v>977.3099999999999</v>
      </c>
      <c r="L1478" s="4" t="inlineStr">
        <is>
          <t>INR</t>
        </is>
      </c>
      <c r="M1478" s="15" t="n">
        <v>0</v>
      </c>
      <c r="N1478" s="4" t="inlineStr">
        <is>
          <t>IOS Owner</t>
        </is>
      </c>
      <c r="O1478" s="4" t="n"/>
      <c r="P1478" s="4" t="n"/>
      <c r="Q1478" s="4" t="inlineStr">
        <is>
          <t>MAESTRO-IOS-PERSONAL-FUTURE_BUILDING-1477 | Investments | 977.31</t>
        </is>
      </c>
      <c r="R1478" s="4" t="inlineStr">
        <is>
          <t>iPhone</t>
        </is>
      </c>
      <c r="S1478" s="4" t="inlineStr">
        <is>
          <t>B30</t>
        </is>
      </c>
      <c r="T1478" s="4" t="inlineStr">
        <is>
          <t>RAMP_501_1500</t>
        </is>
      </c>
      <c r="U1478" s="4" t="inlineStr">
        <is>
          <t>CREATED</t>
        </is>
      </c>
      <c r="V1478" s="4" t="inlineStr">
        <is>
          <t>idem-20260902-ios-1477</t>
        </is>
      </c>
    </row>
    <row r="1479" ht="30" customHeight="1">
      <c r="A1479" s="4" t="n">
        <v>1478</v>
      </c>
      <c r="B1479" s="4" t="inlineStr">
        <is>
          <t>MTR-IOS-1478</t>
        </is>
      </c>
      <c r="C1479" s="4" t="inlineStr">
        <is>
          <t>Group</t>
        </is>
      </c>
      <c r="D1479" s="4" t="inlineStr">
        <is>
          <t>Shared Purchase</t>
        </is>
      </c>
      <c r="E1479" s="4" t="inlineStr">
        <is>
          <t>Purchase</t>
        </is>
      </c>
      <c r="F1479" s="4" t="inlineStr">
        <is>
          <t>Item</t>
        </is>
      </c>
      <c r="G1479" s="4" t="inlineStr">
        <is>
          <t>Expense</t>
        </is>
      </c>
      <c r="H1479" s="12" t="n">
        <v>46056</v>
      </c>
      <c r="I1479" s="13" t="n">
        <v>0.6482986111111111</v>
      </c>
      <c r="J1479" s="14" t="n">
        <v>46056.64829861111</v>
      </c>
      <c r="K1479" s="15" t="n">
        <v>16573.81</v>
      </c>
      <c r="L1479" s="4" t="inlineStr">
        <is>
          <t>INR</t>
        </is>
      </c>
      <c r="M1479" s="15" t="n">
        <v>-16573.81</v>
      </c>
      <c r="N1479" s="4" t="inlineStr">
        <is>
          <t>IOS Owner</t>
        </is>
      </c>
      <c r="O1479" s="4" t="n">
        <v>3</v>
      </c>
      <c r="P1479" s="4" t="inlineStr">
        <is>
          <t>EQUAL</t>
        </is>
      </c>
      <c r="Q1479" s="4" t="inlineStr">
        <is>
          <t>MAESTRO-IOS-GROUP-PURCHASE-1478 | Item | 16573.81</t>
        </is>
      </c>
      <c r="R1479" s="4" t="inlineStr">
        <is>
          <t>iPhone</t>
        </is>
      </c>
      <c r="S1479" s="4" t="inlineStr">
        <is>
          <t>B30</t>
        </is>
      </c>
      <c r="T1479" s="4" t="inlineStr">
        <is>
          <t>RAMP_501_1500</t>
        </is>
      </c>
      <c r="U1479" s="4" t="inlineStr">
        <is>
          <t>CREATED</t>
        </is>
      </c>
      <c r="V1479" s="4" t="inlineStr">
        <is>
          <t>idem-20260902-ios-1478</t>
        </is>
      </c>
    </row>
    <row r="1480" ht="30" customHeight="1">
      <c r="A1480" s="4" t="n">
        <v>1479</v>
      </c>
      <c r="B1480" s="4" t="inlineStr">
        <is>
          <t>MTR-IOS-1479</t>
        </is>
      </c>
      <c r="C1480" s="4" t="inlineStr">
        <is>
          <t>Business</t>
        </is>
      </c>
      <c r="D1480" s="4" t="inlineStr">
        <is>
          <t>Business</t>
        </is>
      </c>
      <c r="E1480" s="4" t="inlineStr">
        <is>
          <t>Business Runway</t>
        </is>
      </c>
      <c r="F1480" s="4" t="inlineStr">
        <is>
          <t>Burn</t>
        </is>
      </c>
      <c r="G1480" s="4" t="inlineStr">
        <is>
          <t>Expense</t>
        </is>
      </c>
      <c r="H1480" s="12" t="n">
        <v>46161</v>
      </c>
      <c r="I1480" s="13" t="n">
        <v>0.4497685185185185</v>
      </c>
      <c r="J1480" s="14" t="n">
        <v>46161.44976851852</v>
      </c>
      <c r="K1480" s="15" t="n">
        <v>97610.42</v>
      </c>
      <c r="L1480" s="4" t="inlineStr">
        <is>
          <t>INR</t>
        </is>
      </c>
      <c r="M1480" s="15" t="n">
        <v>-97610.42</v>
      </c>
      <c r="N1480" s="4" t="inlineStr">
        <is>
          <t>IOS Owner</t>
        </is>
      </c>
      <c r="O1480" s="4" t="n"/>
      <c r="P1480" s="4" t="n"/>
      <c r="Q1480" s="4" t="inlineStr">
        <is>
          <t>MAESTRO-IOS-BUSINESS-BUSINESS_RUNWAY-1479 | Burn | 97610.42</t>
        </is>
      </c>
      <c r="R1480" s="4" t="inlineStr">
        <is>
          <t>iPhone</t>
        </is>
      </c>
      <c r="S1480" s="4" t="inlineStr">
        <is>
          <t>B30</t>
        </is>
      </c>
      <c r="T1480" s="4" t="inlineStr">
        <is>
          <t>RAMP_501_1500</t>
        </is>
      </c>
      <c r="U1480" s="4" t="inlineStr">
        <is>
          <t>CREATED</t>
        </is>
      </c>
      <c r="V1480" s="4" t="inlineStr">
        <is>
          <t>idem-20260902-ios-1479</t>
        </is>
      </c>
    </row>
    <row r="1481" ht="30" customHeight="1">
      <c r="A1481" s="4" t="n">
        <v>1480</v>
      </c>
      <c r="B1481" s="4" t="inlineStr">
        <is>
          <t>MTR-IOS-1480</t>
        </is>
      </c>
      <c r="C1481" s="4" t="inlineStr">
        <is>
          <t>Personal</t>
        </is>
      </c>
      <c r="D1481" s="4" t="inlineStr">
        <is>
          <t>Personal</t>
        </is>
      </c>
      <c r="E1481" s="4" t="inlineStr">
        <is>
          <t>Future Building</t>
        </is>
      </c>
      <c r="F1481" s="4" t="inlineStr">
        <is>
          <t>Education</t>
        </is>
      </c>
      <c r="G1481" s="4" t="inlineStr">
        <is>
          <t>Expense</t>
        </is>
      </c>
      <c r="H1481" s="12" t="n">
        <v>46266</v>
      </c>
      <c r="I1481" s="13" t="n">
        <v>0.9386458333333333</v>
      </c>
      <c r="J1481" s="14" t="n">
        <v>46266.93864583333</v>
      </c>
      <c r="K1481" s="15" t="n">
        <v>999.99</v>
      </c>
      <c r="L1481" s="4" t="inlineStr">
        <is>
          <t>INR</t>
        </is>
      </c>
      <c r="M1481" s="15" t="n">
        <v>-999.99</v>
      </c>
      <c r="N1481" s="4" t="inlineStr">
        <is>
          <t>IOS Owner</t>
        </is>
      </c>
      <c r="O1481" s="4" t="n"/>
      <c r="P1481" s="4" t="n"/>
      <c r="Q1481" s="4" t="inlineStr">
        <is>
          <t>MAESTRO-IOS-PERSONAL-FUTURE_BUILDING-1480 | Education | 999.99</t>
        </is>
      </c>
      <c r="R1481" s="4" t="inlineStr">
        <is>
          <t>iPhone</t>
        </is>
      </c>
      <c r="S1481" s="4" t="inlineStr">
        <is>
          <t>B30</t>
        </is>
      </c>
      <c r="T1481" s="4" t="inlineStr">
        <is>
          <t>RAMP_501_1500</t>
        </is>
      </c>
      <c r="U1481" s="4" t="inlineStr">
        <is>
          <t>CREATED</t>
        </is>
      </c>
      <c r="V1481" s="4" t="inlineStr">
        <is>
          <t>idem-20260902-ios-1480</t>
        </is>
      </c>
    </row>
    <row r="1482" ht="30" customHeight="1">
      <c r="A1482" s="4" t="n">
        <v>1481</v>
      </c>
      <c r="B1482" s="4" t="inlineStr">
        <is>
          <t>MTR-IOS-1481</t>
        </is>
      </c>
      <c r="C1482" s="4" t="inlineStr">
        <is>
          <t>Group</t>
        </is>
      </c>
      <c r="D1482" s="4" t="inlineStr">
        <is>
          <t>Shared Purchase</t>
        </is>
      </c>
      <c r="E1482" s="4" t="inlineStr">
        <is>
          <t>Purchase</t>
        </is>
      </c>
      <c r="F1482" s="4" t="inlineStr">
        <is>
          <t>Shipping</t>
        </is>
      </c>
      <c r="G1482" s="4" t="inlineStr">
        <is>
          <t>Expense</t>
        </is>
      </c>
      <c r="H1482" s="12" t="n">
        <v>45979</v>
      </c>
      <c r="I1482" s="13" t="n">
        <v>0.2028703703703704</v>
      </c>
      <c r="J1482" s="14" t="n">
        <v>45979.20287037037</v>
      </c>
      <c r="K1482" s="15" t="n">
        <v>2492.46</v>
      </c>
      <c r="L1482" s="4" t="inlineStr">
        <is>
          <t>INR</t>
        </is>
      </c>
      <c r="M1482" s="15" t="n">
        <v>-2492.46</v>
      </c>
      <c r="N1482" s="4" t="inlineStr">
        <is>
          <t>IOS Aarav</t>
        </is>
      </c>
      <c r="O1482" s="4" t="n">
        <v>3</v>
      </c>
      <c r="P1482" s="4" t="inlineStr">
        <is>
          <t>PERCENTAGE</t>
        </is>
      </c>
      <c r="Q1482" s="4" t="inlineStr">
        <is>
          <t>MAESTRO-IOS-GROUP-PURCHASE-1481 | Shipping | 2492.46</t>
        </is>
      </c>
      <c r="R1482" s="4" t="inlineStr">
        <is>
          <t>iPhone</t>
        </is>
      </c>
      <c r="S1482" s="4" t="inlineStr">
        <is>
          <t>B30</t>
        </is>
      </c>
      <c r="T1482" s="4" t="inlineStr">
        <is>
          <t>RAMP_501_1500</t>
        </is>
      </c>
      <c r="U1482" s="4" t="inlineStr">
        <is>
          <t>CREATED</t>
        </is>
      </c>
      <c r="V1482" s="4" t="inlineStr">
        <is>
          <t>idem-20260902-ios-1481</t>
        </is>
      </c>
    </row>
    <row r="1483" ht="30" customHeight="1">
      <c r="A1483" s="4" t="n">
        <v>1482</v>
      </c>
      <c r="B1483" s="4" t="inlineStr">
        <is>
          <t>MTR-IOS-1482</t>
        </is>
      </c>
      <c r="C1483" s="4" t="inlineStr">
        <is>
          <t>Business</t>
        </is>
      </c>
      <c r="D1483" s="4" t="inlineStr">
        <is>
          <t>Business</t>
        </is>
      </c>
      <c r="E1483" s="4" t="inlineStr">
        <is>
          <t>Business Runway</t>
        </is>
      </c>
      <c r="F1483" s="4" t="inlineStr">
        <is>
          <t>Reserve</t>
        </is>
      </c>
      <c r="G1483" s="4" t="inlineStr">
        <is>
          <t>Transfer</t>
        </is>
      </c>
      <c r="H1483" s="12" t="n">
        <v>46163</v>
      </c>
      <c r="I1483" s="13" t="n">
        <v>0.7535532407407407</v>
      </c>
      <c r="J1483" s="14" t="n">
        <v>46163.75355324074</v>
      </c>
      <c r="K1483" s="15" t="n">
        <v>58190.99</v>
      </c>
      <c r="L1483" s="4" t="inlineStr">
        <is>
          <t>INR</t>
        </is>
      </c>
      <c r="M1483" s="15" t="n">
        <v>0</v>
      </c>
      <c r="N1483" s="4" t="inlineStr">
        <is>
          <t>IOS Owner</t>
        </is>
      </c>
      <c r="O1483" s="4" t="n"/>
      <c r="P1483" s="4" t="n"/>
      <c r="Q1483" s="4" t="inlineStr">
        <is>
          <t>MAESTRO-IOS-BUSINESS-BUSINESS_RUNWAY-1482 | Reserve | 58190.99</t>
        </is>
      </c>
      <c r="R1483" s="4" t="inlineStr">
        <is>
          <t>iPhone</t>
        </is>
      </c>
      <c r="S1483" s="4" t="inlineStr">
        <is>
          <t>B30</t>
        </is>
      </c>
      <c r="T1483" s="4" t="inlineStr">
        <is>
          <t>RAMP_501_1500</t>
        </is>
      </c>
      <c r="U1483" s="4" t="inlineStr">
        <is>
          <t>CREATED</t>
        </is>
      </c>
      <c r="V1483" s="4" t="inlineStr">
        <is>
          <t>idem-20260902-ios-1482</t>
        </is>
      </c>
    </row>
    <row r="1484" ht="30" customHeight="1">
      <c r="A1484" s="4" t="n">
        <v>1483</v>
      </c>
      <c r="B1484" s="4" t="inlineStr">
        <is>
          <t>MTR-IOS-1483</t>
        </is>
      </c>
      <c r="C1484" s="4" t="inlineStr">
        <is>
          <t>Personal</t>
        </is>
      </c>
      <c r="D1484" s="4" t="inlineStr">
        <is>
          <t>Personal</t>
        </is>
      </c>
      <c r="E1484" s="4" t="inlineStr">
        <is>
          <t>Future Building</t>
        </is>
      </c>
      <c r="F1484" s="4" t="inlineStr">
        <is>
          <t>Goal Contribution</t>
        </is>
      </c>
      <c r="G1484" s="4" t="inlineStr">
        <is>
          <t>Transfer</t>
        </is>
      </c>
      <c r="H1484" s="12" t="n">
        <v>46265</v>
      </c>
      <c r="I1484" s="13" t="n">
        <v>0.7766087962962963</v>
      </c>
      <c r="J1484" s="14" t="n">
        <v>46265.7766087963</v>
      </c>
      <c r="K1484" s="15" t="n">
        <v>1233.6</v>
      </c>
      <c r="L1484" s="4" t="inlineStr">
        <is>
          <t>INR</t>
        </is>
      </c>
      <c r="M1484" s="15" t="n">
        <v>0</v>
      </c>
      <c r="N1484" s="4" t="inlineStr">
        <is>
          <t>IOS Owner</t>
        </is>
      </c>
      <c r="O1484" s="4" t="n"/>
      <c r="P1484" s="4" t="n"/>
      <c r="Q1484" s="4" t="inlineStr">
        <is>
          <t>MAESTRO-IOS-PERSONAL-FUTURE_BUILDING-1483 | Goal Contribution | 1233.60</t>
        </is>
      </c>
      <c r="R1484" s="4" t="inlineStr">
        <is>
          <t>iPhone</t>
        </is>
      </c>
      <c r="S1484" s="4" t="inlineStr">
        <is>
          <t>B30</t>
        </is>
      </c>
      <c r="T1484" s="4" t="inlineStr">
        <is>
          <t>RAMP_501_1500</t>
        </is>
      </c>
      <c r="U1484" s="4" t="inlineStr">
        <is>
          <t>CREATED</t>
        </is>
      </c>
      <c r="V1484" s="4" t="inlineStr">
        <is>
          <t>idem-20260902-ios-1483</t>
        </is>
      </c>
    </row>
    <row r="1485" ht="30" customHeight="1">
      <c r="A1485" s="4" t="n">
        <v>1484</v>
      </c>
      <c r="B1485" s="4" t="inlineStr">
        <is>
          <t>MTR-IOS-1484</t>
        </is>
      </c>
      <c r="C1485" s="4" t="inlineStr">
        <is>
          <t>Group</t>
        </is>
      </c>
      <c r="D1485" s="4" t="inlineStr">
        <is>
          <t>Shared Purchase</t>
        </is>
      </c>
      <c r="E1485" s="4" t="inlineStr">
        <is>
          <t>Purchase</t>
        </is>
      </c>
      <c r="F1485" s="4" t="inlineStr">
        <is>
          <t>Tax</t>
        </is>
      </c>
      <c r="G1485" s="4" t="inlineStr">
        <is>
          <t>Expense</t>
        </is>
      </c>
      <c r="H1485" s="12" t="n">
        <v>46026</v>
      </c>
      <c r="I1485" s="13" t="n">
        <v>0.02435185185185185</v>
      </c>
      <c r="J1485" s="14" t="n">
        <v>46026.02435185185</v>
      </c>
      <c r="K1485" s="15" t="n">
        <v>21390.01</v>
      </c>
      <c r="L1485" s="4" t="inlineStr">
        <is>
          <t>INR</t>
        </is>
      </c>
      <c r="M1485" s="15" t="n">
        <v>-21390.01</v>
      </c>
      <c r="N1485" s="4" t="inlineStr">
        <is>
          <t>IOS Meera</t>
        </is>
      </c>
      <c r="O1485" s="4" t="n">
        <v>3</v>
      </c>
      <c r="P1485" s="4" t="inlineStr">
        <is>
          <t>EXACT</t>
        </is>
      </c>
      <c r="Q1485" s="4" t="inlineStr">
        <is>
          <t>MAESTRO-IOS-GROUP-PURCHASE-1484 | Tax | 21390.01</t>
        </is>
      </c>
      <c r="R1485" s="4" t="inlineStr">
        <is>
          <t>iPhone</t>
        </is>
      </c>
      <c r="S1485" s="4" t="inlineStr">
        <is>
          <t>B30</t>
        </is>
      </c>
      <c r="T1485" s="4" t="inlineStr">
        <is>
          <t>RAMP_501_1500</t>
        </is>
      </c>
      <c r="U1485" s="4" t="inlineStr">
        <is>
          <t>CREATED</t>
        </is>
      </c>
      <c r="V1485" s="4" t="inlineStr">
        <is>
          <t>idem-20260902-ios-1484</t>
        </is>
      </c>
    </row>
    <row r="1486" ht="30" customHeight="1">
      <c r="A1486" s="4" t="n">
        <v>1485</v>
      </c>
      <c r="B1486" s="4" t="inlineStr">
        <is>
          <t>MTR-IOS-1485</t>
        </is>
      </c>
      <c r="C1486" s="4" t="inlineStr">
        <is>
          <t>Business</t>
        </is>
      </c>
      <c r="D1486" s="4" t="inlineStr">
        <is>
          <t>Business</t>
        </is>
      </c>
      <c r="E1486" s="4" t="inlineStr">
        <is>
          <t>Business Runway</t>
        </is>
      </c>
      <c r="F1486" s="4" t="inlineStr">
        <is>
          <t>Loan</t>
        </is>
      </c>
      <c r="G1486" s="4" t="inlineStr">
        <is>
          <t>Income</t>
        </is>
      </c>
      <c r="H1486" s="12" t="n">
        <v>46263</v>
      </c>
      <c r="I1486" s="13" t="n">
        <v>0.07354166666666667</v>
      </c>
      <c r="J1486" s="14" t="n">
        <v>46263.07354166666</v>
      </c>
      <c r="K1486" s="15" t="n">
        <v>78392.03999999999</v>
      </c>
      <c r="L1486" s="4" t="inlineStr">
        <is>
          <t>INR</t>
        </is>
      </c>
      <c r="M1486" s="15" t="n">
        <v>78392.03999999999</v>
      </c>
      <c r="N1486" s="4" t="inlineStr">
        <is>
          <t>IOS Owner</t>
        </is>
      </c>
      <c r="O1486" s="4" t="n"/>
      <c r="P1486" s="4" t="n"/>
      <c r="Q1486" s="4" t="inlineStr">
        <is>
          <t>MAESTRO-IOS-BUSINESS-BUSINESS_RUNWAY-1485 | Loan | 78392.04</t>
        </is>
      </c>
      <c r="R1486" s="4" t="inlineStr">
        <is>
          <t>iPhone</t>
        </is>
      </c>
      <c r="S1486" s="4" t="inlineStr">
        <is>
          <t>B30</t>
        </is>
      </c>
      <c r="T1486" s="4" t="inlineStr">
        <is>
          <t>RAMP_501_1500</t>
        </is>
      </c>
      <c r="U1486" s="4" t="inlineStr">
        <is>
          <t>CREATED</t>
        </is>
      </c>
      <c r="V1486" s="4" t="inlineStr">
        <is>
          <t>idem-20260902-ios-1485</t>
        </is>
      </c>
    </row>
    <row r="1487" ht="30" customHeight="1">
      <c r="A1487" s="4" t="n">
        <v>1486</v>
      </c>
      <c r="B1487" s="4" t="inlineStr">
        <is>
          <t>MTR-IOS-1486</t>
        </is>
      </c>
      <c r="C1487" s="4" t="inlineStr">
        <is>
          <t>Personal</t>
        </is>
      </c>
      <c r="D1487" s="4" t="inlineStr">
        <is>
          <t>Personal</t>
        </is>
      </c>
      <c r="E1487" s="4" t="inlineStr">
        <is>
          <t>Lifestyle</t>
        </is>
      </c>
      <c r="F1487" s="4" t="inlineStr">
        <is>
          <t>Dining</t>
        </is>
      </c>
      <c r="G1487" s="4" t="inlineStr">
        <is>
          <t>Expense</t>
        </is>
      </c>
      <c r="H1487" s="12" t="n">
        <v>46116</v>
      </c>
      <c r="I1487" s="13" t="n">
        <v>0.7436574074074074</v>
      </c>
      <c r="J1487" s="14" t="n">
        <v>46116.74365740741</v>
      </c>
      <c r="K1487" s="15" t="n">
        <v>5720.85</v>
      </c>
      <c r="L1487" s="4" t="inlineStr">
        <is>
          <t>INR</t>
        </is>
      </c>
      <c r="M1487" s="15" t="n">
        <v>-5720.85</v>
      </c>
      <c r="N1487" s="4" t="inlineStr">
        <is>
          <t>IOS Owner</t>
        </is>
      </c>
      <c r="O1487" s="4" t="n"/>
      <c r="P1487" s="4" t="n"/>
      <c r="Q1487" s="4" t="inlineStr">
        <is>
          <t>MAESTRO-IOS-PERSONAL-LIFESTYLE-1486 | Dining | 5720.85</t>
        </is>
      </c>
      <c r="R1487" s="4" t="inlineStr">
        <is>
          <t>iPhone</t>
        </is>
      </c>
      <c r="S1487" s="4" t="inlineStr">
        <is>
          <t>B30</t>
        </is>
      </c>
      <c r="T1487" s="4" t="inlineStr">
        <is>
          <t>RAMP_501_1500</t>
        </is>
      </c>
      <c r="U1487" s="4" t="inlineStr">
        <is>
          <t>CREATED</t>
        </is>
      </c>
      <c r="V1487" s="4" t="inlineStr">
        <is>
          <t>idem-20260902-ios-1486</t>
        </is>
      </c>
    </row>
    <row r="1488" ht="30" customHeight="1">
      <c r="A1488" s="4" t="n">
        <v>1487</v>
      </c>
      <c r="B1488" s="4" t="inlineStr">
        <is>
          <t>MTR-IOS-1487</t>
        </is>
      </c>
      <c r="C1488" s="4" t="inlineStr">
        <is>
          <t>Group</t>
        </is>
      </c>
      <c r="D1488" s="4" t="inlineStr">
        <is>
          <t>Shared Purchase</t>
        </is>
      </c>
      <c r="E1488" s="4" t="inlineStr">
        <is>
          <t>Purchase</t>
        </is>
      </c>
      <c r="F1488" s="4" t="inlineStr">
        <is>
          <t>Other</t>
        </is>
      </c>
      <c r="G1488" s="4" t="inlineStr">
        <is>
          <t>Expense</t>
        </is>
      </c>
      <c r="H1488" s="12" t="n">
        <v>46125</v>
      </c>
      <c r="I1488" s="13" t="n">
        <v>0.09516203703703703</v>
      </c>
      <c r="J1488" s="14" t="n">
        <v>46125.09516203704</v>
      </c>
      <c r="K1488" s="15" t="n">
        <v>25297.25</v>
      </c>
      <c r="L1488" s="4" t="inlineStr">
        <is>
          <t>INR</t>
        </is>
      </c>
      <c r="M1488" s="15" t="n">
        <v>-25297.25</v>
      </c>
      <c r="N1488" s="4" t="inlineStr">
        <is>
          <t>IOS Owner</t>
        </is>
      </c>
      <c r="O1488" s="4" t="n">
        <v>3</v>
      </c>
      <c r="P1488" s="4" t="inlineStr">
        <is>
          <t>SHARES</t>
        </is>
      </c>
      <c r="Q1488" s="4" t="inlineStr">
        <is>
          <t>MAESTRO-IOS-GROUP-PURCHASE-1487 | Other | 25297.25</t>
        </is>
      </c>
      <c r="R1488" s="4" t="inlineStr">
        <is>
          <t>iPhone</t>
        </is>
      </c>
      <c r="S1488" s="4" t="inlineStr">
        <is>
          <t>B30</t>
        </is>
      </c>
      <c r="T1488" s="4" t="inlineStr">
        <is>
          <t>RAMP_501_1500</t>
        </is>
      </c>
      <c r="U1488" s="4" t="inlineStr">
        <is>
          <t>CREATED</t>
        </is>
      </c>
      <c r="V1488" s="4" t="inlineStr">
        <is>
          <t>idem-20260902-ios-1487</t>
        </is>
      </c>
    </row>
    <row r="1489" ht="30" customHeight="1">
      <c r="A1489" s="4" t="n">
        <v>1488</v>
      </c>
      <c r="B1489" s="4" t="inlineStr">
        <is>
          <t>MTR-IOS-1488</t>
        </is>
      </c>
      <c r="C1489" s="4" t="inlineStr">
        <is>
          <t>Business</t>
        </is>
      </c>
      <c r="D1489" s="4" t="inlineStr">
        <is>
          <t>Business</t>
        </is>
      </c>
      <c r="E1489" s="4" t="inlineStr">
        <is>
          <t>Business Runway</t>
        </is>
      </c>
      <c r="F1489" s="4" t="inlineStr">
        <is>
          <t>Investment</t>
        </is>
      </c>
      <c r="G1489" s="4" t="inlineStr">
        <is>
          <t>Income</t>
        </is>
      </c>
      <c r="H1489" s="12" t="n">
        <v>46090</v>
      </c>
      <c r="I1489" s="13" t="n">
        <v>0.8558796296296296</v>
      </c>
      <c r="J1489" s="14" t="n">
        <v>46090.85587962963</v>
      </c>
      <c r="K1489" s="15" t="n">
        <v>5719.47</v>
      </c>
      <c r="L1489" s="4" t="inlineStr">
        <is>
          <t>INR</t>
        </is>
      </c>
      <c r="M1489" s="15" t="n">
        <v>5719.47</v>
      </c>
      <c r="N1489" s="4" t="inlineStr">
        <is>
          <t>IOS Owner</t>
        </is>
      </c>
      <c r="O1489" s="4" t="n"/>
      <c r="P1489" s="4" t="n"/>
      <c r="Q1489" s="4" t="inlineStr">
        <is>
          <t>MAESTRO-IOS-BUSINESS-BUSINESS_RUNWAY-1488 | Investment | 5719.47</t>
        </is>
      </c>
      <c r="R1489" s="4" t="inlineStr">
        <is>
          <t>iPhone</t>
        </is>
      </c>
      <c r="S1489" s="4" t="inlineStr">
        <is>
          <t>B30</t>
        </is>
      </c>
      <c r="T1489" s="4" t="inlineStr">
        <is>
          <t>RAMP_501_1500</t>
        </is>
      </c>
      <c r="U1489" s="4" t="inlineStr">
        <is>
          <t>CREATED</t>
        </is>
      </c>
      <c r="V1489" s="4" t="inlineStr">
        <is>
          <t>idem-20260902-ios-1488</t>
        </is>
      </c>
    </row>
    <row r="1490" ht="30" customHeight="1">
      <c r="A1490" s="4" t="n">
        <v>1489</v>
      </c>
      <c r="B1490" s="4" t="inlineStr">
        <is>
          <t>MTR-IOS-1489</t>
        </is>
      </c>
      <c r="C1490" s="4" t="inlineStr">
        <is>
          <t>Personal</t>
        </is>
      </c>
      <c r="D1490" s="4" t="inlineStr">
        <is>
          <t>Personal</t>
        </is>
      </c>
      <c r="E1490" s="4" t="inlineStr">
        <is>
          <t>Lifestyle</t>
        </is>
      </c>
      <c r="F1490" s="4" t="inlineStr">
        <is>
          <t>Shopping</t>
        </is>
      </c>
      <c r="G1490" s="4" t="inlineStr">
        <is>
          <t>Expense</t>
        </is>
      </c>
      <c r="H1490" s="12" t="n">
        <v>46216</v>
      </c>
      <c r="I1490" s="13" t="n">
        <v>0.3400462962962963</v>
      </c>
      <c r="J1490" s="14" t="n">
        <v>46216.3400462963</v>
      </c>
      <c r="K1490" s="15" t="n">
        <v>6785.17</v>
      </c>
      <c r="L1490" s="4" t="inlineStr">
        <is>
          <t>INR</t>
        </is>
      </c>
      <c r="M1490" s="15" t="n">
        <v>-6785.17</v>
      </c>
      <c r="N1490" s="4" t="inlineStr">
        <is>
          <t>IOS Owner</t>
        </is>
      </c>
      <c r="O1490" s="4" t="n"/>
      <c r="P1490" s="4" t="n"/>
      <c r="Q1490" s="4" t="inlineStr">
        <is>
          <t>MAESTRO-IOS-PERSONAL-LIFESTYLE-1489 | Shopping | 6785.17</t>
        </is>
      </c>
      <c r="R1490" s="4" t="inlineStr">
        <is>
          <t>iPhone</t>
        </is>
      </c>
      <c r="S1490" s="4" t="inlineStr">
        <is>
          <t>B30</t>
        </is>
      </c>
      <c r="T1490" s="4" t="inlineStr">
        <is>
          <t>RAMP_501_1500</t>
        </is>
      </c>
      <c r="U1490" s="4" t="inlineStr">
        <is>
          <t>CREATED</t>
        </is>
      </c>
      <c r="V1490" s="4" t="inlineStr">
        <is>
          <t>idem-20260902-ios-1489</t>
        </is>
      </c>
    </row>
    <row r="1491" ht="30" customHeight="1">
      <c r="A1491" s="4" t="n">
        <v>1490</v>
      </c>
      <c r="B1491" s="4" t="inlineStr">
        <is>
          <t>MTR-IOS-1490</t>
        </is>
      </c>
      <c r="C1491" s="4" t="inlineStr">
        <is>
          <t>Group</t>
        </is>
      </c>
      <c r="D1491" s="4" t="inlineStr">
        <is>
          <t>Shared Purchase</t>
        </is>
      </c>
      <c r="E1491" s="4" t="inlineStr">
        <is>
          <t>Assets</t>
        </is>
      </c>
      <c r="F1491" s="4" t="inlineStr">
        <is>
          <t>Purchase</t>
        </is>
      </c>
      <c r="G1491" s="4" t="inlineStr">
        <is>
          <t>Expense</t>
        </is>
      </c>
      <c r="H1491" s="12" t="n">
        <v>46233</v>
      </c>
      <c r="I1491" s="13" t="n">
        <v>0.003877314814814815</v>
      </c>
      <c r="J1491" s="14" t="n">
        <v>46233.00387731481</v>
      </c>
      <c r="K1491" s="15" t="n">
        <v>17951.38</v>
      </c>
      <c r="L1491" s="4" t="inlineStr">
        <is>
          <t>INR</t>
        </is>
      </c>
      <c r="M1491" s="15" t="n">
        <v>-17951.38</v>
      </c>
      <c r="N1491" s="4" t="inlineStr">
        <is>
          <t>IOS Aarav</t>
        </is>
      </c>
      <c r="O1491" s="4" t="n">
        <v>3</v>
      </c>
      <c r="P1491" s="4" t="inlineStr">
        <is>
          <t>EQUAL</t>
        </is>
      </c>
      <c r="Q1491" s="4" t="inlineStr">
        <is>
          <t>MAESTRO-IOS-GROUP-ASSETS-1490 | Purchase | 17951.38</t>
        </is>
      </c>
      <c r="R1491" s="4" t="inlineStr">
        <is>
          <t>iPhone</t>
        </is>
      </c>
      <c r="S1491" s="4" t="inlineStr">
        <is>
          <t>B30</t>
        </is>
      </c>
      <c r="T1491" s="4" t="inlineStr">
        <is>
          <t>RAMP_501_1500</t>
        </is>
      </c>
      <c r="U1491" s="4" t="inlineStr">
        <is>
          <t>CREATED</t>
        </is>
      </c>
      <c r="V1491" s="4" t="inlineStr">
        <is>
          <t>idem-20260902-ios-1490</t>
        </is>
      </c>
    </row>
    <row r="1492" ht="30" customHeight="1">
      <c r="A1492" s="4" t="n">
        <v>1491</v>
      </c>
      <c r="B1492" s="4" t="inlineStr">
        <is>
          <t>MTR-IOS-1491</t>
        </is>
      </c>
      <c r="C1492" s="4" t="inlineStr">
        <is>
          <t>Business</t>
        </is>
      </c>
      <c r="D1492" s="4" t="inlineStr">
        <is>
          <t>Business</t>
        </is>
      </c>
      <c r="E1492" s="4" t="inlineStr">
        <is>
          <t>Business Operations</t>
        </is>
      </c>
      <c r="F1492" s="4" t="inlineStr">
        <is>
          <t>Software</t>
        </is>
      </c>
      <c r="G1492" s="4" t="inlineStr">
        <is>
          <t>Expense</t>
        </is>
      </c>
      <c r="H1492" s="12" t="n">
        <v>46074</v>
      </c>
      <c r="I1492" s="13" t="n">
        <v>0.7057291666666666</v>
      </c>
      <c r="J1492" s="14" t="n">
        <v>46074.70572916666</v>
      </c>
      <c r="K1492" s="15" t="n">
        <v>65620.39999999999</v>
      </c>
      <c r="L1492" s="4" t="inlineStr">
        <is>
          <t>INR</t>
        </is>
      </c>
      <c r="M1492" s="15" t="n">
        <v>-65620.39999999999</v>
      </c>
      <c r="N1492" s="4" t="inlineStr">
        <is>
          <t>IOS Owner</t>
        </is>
      </c>
      <c r="O1492" s="4" t="n"/>
      <c r="P1492" s="4" t="n"/>
      <c r="Q1492" s="4" t="inlineStr">
        <is>
          <t>MAESTRO-IOS-BUSINESS-BUSINESS_OPERATIONS-1491 | Software | 65620.40</t>
        </is>
      </c>
      <c r="R1492" s="4" t="inlineStr">
        <is>
          <t>iPhone</t>
        </is>
      </c>
      <c r="S1492" s="4" t="inlineStr">
        <is>
          <t>B30</t>
        </is>
      </c>
      <c r="T1492" s="4" t="inlineStr">
        <is>
          <t>RAMP_501_1500</t>
        </is>
      </c>
      <c r="U1492" s="4" t="inlineStr">
        <is>
          <t>CREATED</t>
        </is>
      </c>
      <c r="V1492" s="4" t="inlineStr">
        <is>
          <t>idem-20260902-ios-1491</t>
        </is>
      </c>
    </row>
    <row r="1493" ht="30" customHeight="1">
      <c r="A1493" s="4" t="n">
        <v>1492</v>
      </c>
      <c r="B1493" s="4" t="inlineStr">
        <is>
          <t>MTR-IOS-1492</t>
        </is>
      </c>
      <c r="C1493" s="4" t="inlineStr">
        <is>
          <t>Personal</t>
        </is>
      </c>
      <c r="D1493" s="4" t="inlineStr">
        <is>
          <t>Personal</t>
        </is>
      </c>
      <c r="E1493" s="4" t="inlineStr">
        <is>
          <t>Lifestyle</t>
        </is>
      </c>
      <c r="F1493" s="4" t="inlineStr">
        <is>
          <t>Entertainment</t>
        </is>
      </c>
      <c r="G1493" s="4" t="inlineStr">
        <is>
          <t>Expense</t>
        </is>
      </c>
      <c r="H1493" s="12" t="n">
        <v>46014</v>
      </c>
      <c r="I1493" s="13" t="n">
        <v>0.6138425925925926</v>
      </c>
      <c r="J1493" s="14" t="n">
        <v>46014.61384259259</v>
      </c>
      <c r="K1493" s="15" t="n">
        <v>6519.19</v>
      </c>
      <c r="L1493" s="4" t="inlineStr">
        <is>
          <t>INR</t>
        </is>
      </c>
      <c r="M1493" s="15" t="n">
        <v>-6519.19</v>
      </c>
      <c r="N1493" s="4" t="inlineStr">
        <is>
          <t>IOS Owner</t>
        </is>
      </c>
      <c r="O1493" s="4" t="n"/>
      <c r="P1493" s="4" t="n"/>
      <c r="Q1493" s="4" t="inlineStr">
        <is>
          <t>MAESTRO-IOS-PERSONAL-LIFESTYLE-1492 | Entertainment | 6519.19</t>
        </is>
      </c>
      <c r="R1493" s="4" t="inlineStr">
        <is>
          <t>iPhone</t>
        </is>
      </c>
      <c r="S1493" s="4" t="inlineStr">
        <is>
          <t>B30</t>
        </is>
      </c>
      <c r="T1493" s="4" t="inlineStr">
        <is>
          <t>RAMP_501_1500</t>
        </is>
      </c>
      <c r="U1493" s="4" t="inlineStr">
        <is>
          <t>CREATED</t>
        </is>
      </c>
      <c r="V1493" s="4" t="inlineStr">
        <is>
          <t>idem-20260902-ios-1492</t>
        </is>
      </c>
    </row>
    <row r="1494" ht="30" customHeight="1">
      <c r="A1494" s="4" t="n">
        <v>1493</v>
      </c>
      <c r="B1494" s="4" t="inlineStr">
        <is>
          <t>MTR-IOS-1493</t>
        </is>
      </c>
      <c r="C1494" s="4" t="inlineStr">
        <is>
          <t>Group</t>
        </is>
      </c>
      <c r="D1494" s="4" t="inlineStr">
        <is>
          <t>Shared Purchase</t>
        </is>
      </c>
      <c r="E1494" s="4" t="inlineStr">
        <is>
          <t>Assets</t>
        </is>
      </c>
      <c r="F1494" s="4" t="inlineStr">
        <is>
          <t>Maintenance</t>
        </is>
      </c>
      <c r="G1494" s="4" t="inlineStr">
        <is>
          <t>Expense</t>
        </is>
      </c>
      <c r="H1494" s="12" t="n">
        <v>45937</v>
      </c>
      <c r="I1494" s="13" t="n">
        <v>0.3139351851851852</v>
      </c>
      <c r="J1494" s="14" t="n">
        <v>45937.31393518519</v>
      </c>
      <c r="K1494" s="15" t="n">
        <v>19792.25</v>
      </c>
      <c r="L1494" s="4" t="inlineStr">
        <is>
          <t>INR</t>
        </is>
      </c>
      <c r="M1494" s="15" t="n">
        <v>-19792.25</v>
      </c>
      <c r="N1494" s="4" t="inlineStr">
        <is>
          <t>IOS Meera</t>
        </is>
      </c>
      <c r="O1494" s="4" t="n">
        <v>3</v>
      </c>
      <c r="P1494" s="4" t="inlineStr">
        <is>
          <t>PERCENTAGE</t>
        </is>
      </c>
      <c r="Q1494" s="4" t="inlineStr">
        <is>
          <t>MAESTRO-IOS-GROUP-ASSETS-1493 | Maintenance | 19792.25</t>
        </is>
      </c>
      <c r="R1494" s="4" t="inlineStr">
        <is>
          <t>iPhone</t>
        </is>
      </c>
      <c r="S1494" s="4" t="inlineStr">
        <is>
          <t>B30</t>
        </is>
      </c>
      <c r="T1494" s="4" t="inlineStr">
        <is>
          <t>RAMP_501_1500</t>
        </is>
      </c>
      <c r="U1494" s="4" t="inlineStr">
        <is>
          <t>CREATED</t>
        </is>
      </c>
      <c r="V1494" s="4" t="inlineStr">
        <is>
          <t>idem-20260902-ios-1493</t>
        </is>
      </c>
    </row>
    <row r="1495" ht="30" customHeight="1">
      <c r="A1495" s="4" t="n">
        <v>1494</v>
      </c>
      <c r="B1495" s="4" t="inlineStr">
        <is>
          <t>MTR-IOS-1494</t>
        </is>
      </c>
      <c r="C1495" s="4" t="inlineStr">
        <is>
          <t>Business</t>
        </is>
      </c>
      <c r="D1495" s="4" t="inlineStr">
        <is>
          <t>Business</t>
        </is>
      </c>
      <c r="E1495" s="4" t="inlineStr">
        <is>
          <t>Business Operations</t>
        </is>
      </c>
      <c r="F1495" s="4" t="inlineStr">
        <is>
          <t>Rent</t>
        </is>
      </c>
      <c r="G1495" s="4" t="inlineStr">
        <is>
          <t>Expense</t>
        </is>
      </c>
      <c r="H1495" s="12" t="n">
        <v>46058</v>
      </c>
      <c r="I1495" s="13" t="n">
        <v>0.4928703703703703</v>
      </c>
      <c r="J1495" s="14" t="n">
        <v>46058.49287037037</v>
      </c>
      <c r="K1495" s="15" t="n">
        <v>6938.93</v>
      </c>
      <c r="L1495" s="4" t="inlineStr">
        <is>
          <t>INR</t>
        </is>
      </c>
      <c r="M1495" s="15" t="n">
        <v>-6938.93</v>
      </c>
      <c r="N1495" s="4" t="inlineStr">
        <is>
          <t>IOS Owner</t>
        </is>
      </c>
      <c r="O1495" s="4" t="n"/>
      <c r="P1495" s="4" t="n"/>
      <c r="Q1495" s="4" t="inlineStr">
        <is>
          <t>MAESTRO-IOS-BUSINESS-BUSINESS_OPERATIONS-1494 | Rent | 6938.93</t>
        </is>
      </c>
      <c r="R1495" s="4" t="inlineStr">
        <is>
          <t>iPhone</t>
        </is>
      </c>
      <c r="S1495" s="4" t="inlineStr">
        <is>
          <t>B30</t>
        </is>
      </c>
      <c r="T1495" s="4" t="inlineStr">
        <is>
          <t>RAMP_501_1500</t>
        </is>
      </c>
      <c r="U1495" s="4" t="inlineStr">
        <is>
          <t>CREATED</t>
        </is>
      </c>
      <c r="V1495" s="4" t="inlineStr">
        <is>
          <t>idem-20260902-ios-1494</t>
        </is>
      </c>
    </row>
    <row r="1496" ht="30" customHeight="1">
      <c r="A1496" s="4" t="n">
        <v>1495</v>
      </c>
      <c r="B1496" s="4" t="inlineStr">
        <is>
          <t>MTR-IOS-1495</t>
        </is>
      </c>
      <c r="C1496" s="4" t="inlineStr">
        <is>
          <t>Personal</t>
        </is>
      </c>
      <c r="D1496" s="4" t="inlineStr">
        <is>
          <t>Personal</t>
        </is>
      </c>
      <c r="E1496" s="4" t="inlineStr">
        <is>
          <t>Lifestyle</t>
        </is>
      </c>
      <c r="F1496" s="4" t="inlineStr">
        <is>
          <t>Travel</t>
        </is>
      </c>
      <c r="G1496" s="4" t="inlineStr">
        <is>
          <t>Expense</t>
        </is>
      </c>
      <c r="H1496" s="12" t="n">
        <v>45950</v>
      </c>
      <c r="I1496" s="13" t="n">
        <v>0.6091550925925926</v>
      </c>
      <c r="J1496" s="14" t="n">
        <v>45950.60915509259</v>
      </c>
      <c r="K1496" s="15" t="n">
        <v>2189.79</v>
      </c>
      <c r="L1496" s="4" t="inlineStr">
        <is>
          <t>INR</t>
        </is>
      </c>
      <c r="M1496" s="15" t="n">
        <v>-2189.79</v>
      </c>
      <c r="N1496" s="4" t="inlineStr">
        <is>
          <t>IOS Owner</t>
        </is>
      </c>
      <c r="O1496" s="4" t="n"/>
      <c r="P1496" s="4" t="n"/>
      <c r="Q1496" s="4" t="inlineStr">
        <is>
          <t>MAESTRO-IOS-PERSONAL-LIFESTYLE-1495 | Travel | 2189.79</t>
        </is>
      </c>
      <c r="R1496" s="4" t="inlineStr">
        <is>
          <t>iPhone</t>
        </is>
      </c>
      <c r="S1496" s="4" t="inlineStr">
        <is>
          <t>B30</t>
        </is>
      </c>
      <c r="T1496" s="4" t="inlineStr">
        <is>
          <t>RAMP_501_1500</t>
        </is>
      </c>
      <c r="U1496" s="4" t="inlineStr">
        <is>
          <t>CREATED</t>
        </is>
      </c>
      <c r="V1496" s="4" t="inlineStr">
        <is>
          <t>idem-20260902-ios-1495</t>
        </is>
      </c>
    </row>
    <row r="1497" ht="30" customHeight="1">
      <c r="A1497" s="4" t="n">
        <v>1496</v>
      </c>
      <c r="B1497" s="4" t="inlineStr">
        <is>
          <t>MTR-IOS-1496</t>
        </is>
      </c>
      <c r="C1497" s="4" t="inlineStr">
        <is>
          <t>Group</t>
        </is>
      </c>
      <c r="D1497" s="4" t="inlineStr">
        <is>
          <t>Shared Purchase</t>
        </is>
      </c>
      <c r="E1497" s="4" t="inlineStr">
        <is>
          <t>Assets</t>
        </is>
      </c>
      <c r="F1497" s="4" t="inlineStr">
        <is>
          <t>Repair</t>
        </is>
      </c>
      <c r="G1497" s="4" t="inlineStr">
        <is>
          <t>Expense</t>
        </is>
      </c>
      <c r="H1497" s="12" t="n">
        <v>46201</v>
      </c>
      <c r="I1497" s="13" t="n">
        <v>0.1270833333333333</v>
      </c>
      <c r="J1497" s="14" t="n">
        <v>46201.12708333333</v>
      </c>
      <c r="K1497" s="15" t="n">
        <v>21322.32</v>
      </c>
      <c r="L1497" s="4" t="inlineStr">
        <is>
          <t>INR</t>
        </is>
      </c>
      <c r="M1497" s="15" t="n">
        <v>-21322.32</v>
      </c>
      <c r="N1497" s="4" t="inlineStr">
        <is>
          <t>IOS Owner</t>
        </is>
      </c>
      <c r="O1497" s="4" t="n">
        <v>3</v>
      </c>
      <c r="P1497" s="4" t="inlineStr">
        <is>
          <t>EXACT</t>
        </is>
      </c>
      <c r="Q1497" s="4" t="inlineStr">
        <is>
          <t>MAESTRO-IOS-GROUP-ASSETS-1496 | Repair | 21322.32</t>
        </is>
      </c>
      <c r="R1497" s="4" t="inlineStr">
        <is>
          <t>iPhone</t>
        </is>
      </c>
      <c r="S1497" s="4" t="inlineStr">
        <is>
          <t>B30</t>
        </is>
      </c>
      <c r="T1497" s="4" t="inlineStr">
        <is>
          <t>RAMP_501_1500</t>
        </is>
      </c>
      <c r="U1497" s="4" t="inlineStr">
        <is>
          <t>CREATED</t>
        </is>
      </c>
      <c r="V1497" s="4" t="inlineStr">
        <is>
          <t>idem-20260902-ios-1496</t>
        </is>
      </c>
    </row>
    <row r="1498" ht="30" customHeight="1">
      <c r="A1498" s="4" t="n">
        <v>1497</v>
      </c>
      <c r="B1498" s="4" t="inlineStr">
        <is>
          <t>MTR-IOS-1497</t>
        </is>
      </c>
      <c r="C1498" s="4" t="inlineStr">
        <is>
          <t>Business</t>
        </is>
      </c>
      <c r="D1498" s="4" t="inlineStr">
        <is>
          <t>Business</t>
        </is>
      </c>
      <c r="E1498" s="4" t="inlineStr">
        <is>
          <t>Business Operations</t>
        </is>
      </c>
      <c r="F1498" s="4" t="inlineStr">
        <is>
          <t>Marketing</t>
        </is>
      </c>
      <c r="G1498" s="4" t="inlineStr">
        <is>
          <t>Expense</t>
        </is>
      </c>
      <c r="H1498" s="12" t="n">
        <v>45979</v>
      </c>
      <c r="I1498" s="13" t="n">
        <v>0.3447569444444444</v>
      </c>
      <c r="J1498" s="14" t="n">
        <v>45979.34475694445</v>
      </c>
      <c r="K1498" s="15" t="n">
        <v>20627.31</v>
      </c>
      <c r="L1498" s="4" t="inlineStr">
        <is>
          <t>INR</t>
        </is>
      </c>
      <c r="M1498" s="15" t="n">
        <v>-20627.31</v>
      </c>
      <c r="N1498" s="4" t="inlineStr">
        <is>
          <t>IOS Owner</t>
        </is>
      </c>
      <c r="O1498" s="4" t="n"/>
      <c r="P1498" s="4" t="n"/>
      <c r="Q1498" s="4" t="inlineStr">
        <is>
          <t>MAESTRO-IOS-BUSINESS-BUSINESS_OPERATIONS-1497 | Marketing | 20627.31</t>
        </is>
      </c>
      <c r="R1498" s="4" t="inlineStr">
        <is>
          <t>iPhone</t>
        </is>
      </c>
      <c r="S1498" s="4" t="inlineStr">
        <is>
          <t>B30</t>
        </is>
      </c>
      <c r="T1498" s="4" t="inlineStr">
        <is>
          <t>RAMP_501_1500</t>
        </is>
      </c>
      <c r="U1498" s="4" t="inlineStr">
        <is>
          <t>CREATED</t>
        </is>
      </c>
      <c r="V1498" s="4" t="inlineStr">
        <is>
          <t>idem-20260902-ios-1497</t>
        </is>
      </c>
    </row>
    <row r="1499" ht="30" customHeight="1">
      <c r="A1499" s="4" t="n">
        <v>1498</v>
      </c>
      <c r="B1499" s="4" t="inlineStr">
        <is>
          <t>MTR-IOS-1498</t>
        </is>
      </c>
      <c r="C1499" s="4" t="inlineStr">
        <is>
          <t>Personal</t>
        </is>
      </c>
      <c r="D1499" s="4" t="inlineStr">
        <is>
          <t>Personal</t>
        </is>
      </c>
      <c r="E1499" s="4" t="inlineStr">
        <is>
          <t>Lifestyle</t>
        </is>
      </c>
      <c r="F1499" s="4" t="inlineStr">
        <is>
          <t>Fitness</t>
        </is>
      </c>
      <c r="G1499" s="4" t="inlineStr">
        <is>
          <t>Expense</t>
        </is>
      </c>
      <c r="H1499" s="12" t="n">
        <v>45927</v>
      </c>
      <c r="I1499" s="13" t="n">
        <v>0.5403240740740741</v>
      </c>
      <c r="J1499" s="14" t="n">
        <v>45927.54032407407</v>
      </c>
      <c r="K1499" s="15" t="n">
        <v>11775.66</v>
      </c>
      <c r="L1499" s="4" t="inlineStr">
        <is>
          <t>INR</t>
        </is>
      </c>
      <c r="M1499" s="15" t="n">
        <v>-11775.66</v>
      </c>
      <c r="N1499" s="4" t="inlineStr">
        <is>
          <t>IOS Owner</t>
        </is>
      </c>
      <c r="O1499" s="4" t="n"/>
      <c r="P1499" s="4" t="n"/>
      <c r="Q1499" s="4" t="inlineStr">
        <is>
          <t>MAESTRO-IOS-PERSONAL-LIFESTYLE-1498 | Fitness | 11775.66</t>
        </is>
      </c>
      <c r="R1499" s="4" t="inlineStr">
        <is>
          <t>iPhone</t>
        </is>
      </c>
      <c r="S1499" s="4" t="inlineStr">
        <is>
          <t>B30</t>
        </is>
      </c>
      <c r="T1499" s="4" t="inlineStr">
        <is>
          <t>RAMP_501_1500</t>
        </is>
      </c>
      <c r="U1499" s="4" t="inlineStr">
        <is>
          <t>CREATED</t>
        </is>
      </c>
      <c r="V1499" s="4" t="inlineStr">
        <is>
          <t>idem-20260902-ios-1498</t>
        </is>
      </c>
    </row>
    <row r="1500" ht="30" customHeight="1">
      <c r="A1500" s="4" t="n">
        <v>1499</v>
      </c>
      <c r="B1500" s="4" t="inlineStr">
        <is>
          <t>MTR-IOS-1499</t>
        </is>
      </c>
      <c r="C1500" s="4" t="inlineStr">
        <is>
          <t>Group</t>
        </is>
      </c>
      <c r="D1500" s="4" t="inlineStr">
        <is>
          <t>Shared Purchase</t>
        </is>
      </c>
      <c r="E1500" s="4" t="inlineStr">
        <is>
          <t>Assets</t>
        </is>
      </c>
      <c r="F1500" s="4" t="inlineStr">
        <is>
          <t>Insurance</t>
        </is>
      </c>
      <c r="G1500" s="4" t="inlineStr">
        <is>
          <t>Expense</t>
        </is>
      </c>
      <c r="H1500" s="12" t="n">
        <v>45939</v>
      </c>
      <c r="I1500" s="13" t="n">
        <v>0.3822106481481481</v>
      </c>
      <c r="J1500" s="14" t="n">
        <v>45939.38221064815</v>
      </c>
      <c r="K1500" s="15" t="n">
        <v>24038.77</v>
      </c>
      <c r="L1500" s="4" t="inlineStr">
        <is>
          <t>INR</t>
        </is>
      </c>
      <c r="M1500" s="15" t="n">
        <v>-24038.77</v>
      </c>
      <c r="N1500" s="4" t="inlineStr">
        <is>
          <t>IOS Aarav</t>
        </is>
      </c>
      <c r="O1500" s="4" t="n">
        <v>3</v>
      </c>
      <c r="P1500" s="4" t="inlineStr">
        <is>
          <t>SHARES</t>
        </is>
      </c>
      <c r="Q1500" s="4" t="inlineStr">
        <is>
          <t>MAESTRO-IOS-GROUP-ASSETS-1499 | Insurance | 24038.77</t>
        </is>
      </c>
      <c r="R1500" s="4" t="inlineStr">
        <is>
          <t>iPhone</t>
        </is>
      </c>
      <c r="S1500" s="4" t="inlineStr">
        <is>
          <t>B30</t>
        </is>
      </c>
      <c r="T1500" s="4" t="inlineStr">
        <is>
          <t>RAMP_501_1500</t>
        </is>
      </c>
      <c r="U1500" s="4" t="inlineStr">
        <is>
          <t>CREATED</t>
        </is>
      </c>
      <c r="V1500" s="4" t="inlineStr">
        <is>
          <t>idem-20260902-ios-1499</t>
        </is>
      </c>
    </row>
    <row r="1501" ht="30" customHeight="1">
      <c r="A1501" s="4" t="n">
        <v>1500</v>
      </c>
      <c r="B1501" s="4" t="inlineStr">
        <is>
          <t>MTR-IOS-1500</t>
        </is>
      </c>
      <c r="C1501" s="4" t="inlineStr">
        <is>
          <t>Business</t>
        </is>
      </c>
      <c r="D1501" s="4" t="inlineStr">
        <is>
          <t>Business</t>
        </is>
      </c>
      <c r="E1501" s="4" t="inlineStr">
        <is>
          <t>Business Operations</t>
        </is>
      </c>
      <c r="F1501" s="4" t="inlineStr">
        <is>
          <t>Legal</t>
        </is>
      </c>
      <c r="G1501" s="4" t="inlineStr">
        <is>
          <t>Expense</t>
        </is>
      </c>
      <c r="H1501" s="12" t="n">
        <v>46197</v>
      </c>
      <c r="I1501" s="13" t="n">
        <v>0.1673726851851852</v>
      </c>
      <c r="J1501" s="14" t="n">
        <v>46197.16737268519</v>
      </c>
      <c r="K1501" s="15" t="n">
        <v>15990.23</v>
      </c>
      <c r="L1501" s="4" t="inlineStr">
        <is>
          <t>INR</t>
        </is>
      </c>
      <c r="M1501" s="15" t="n">
        <v>-15990.23</v>
      </c>
      <c r="N1501" s="4" t="inlineStr">
        <is>
          <t>IOS Owner</t>
        </is>
      </c>
      <c r="O1501" s="4" t="n"/>
      <c r="P1501" s="4" t="n"/>
      <c r="Q1501" s="4" t="inlineStr">
        <is>
          <t>MAESTRO-IOS-BUSINESS-BUSINESS_OPERATIONS-1500 | Legal | 15990.23</t>
        </is>
      </c>
      <c r="R1501" s="4" t="inlineStr">
        <is>
          <t>iPhone</t>
        </is>
      </c>
      <c r="S1501" s="4" t="inlineStr">
        <is>
          <t>B30</t>
        </is>
      </c>
      <c r="T1501" s="4" t="inlineStr">
        <is>
          <t>RAMP_501_1500</t>
        </is>
      </c>
      <c r="U1501" s="4" t="inlineStr">
        <is>
          <t>CREATED</t>
        </is>
      </c>
      <c r="V1501" s="4" t="inlineStr">
        <is>
          <t>idem-20260902-ios-1500</t>
        </is>
      </c>
    </row>
    <row r="1502" ht="30" customHeight="1">
      <c r="A1502" s="4" t="n">
        <v>1501</v>
      </c>
      <c r="B1502" s="4" t="inlineStr">
        <is>
          <t>MTR-IOS-1501</t>
        </is>
      </c>
      <c r="C1502" s="4" t="inlineStr">
        <is>
          <t>Personal</t>
        </is>
      </c>
      <c r="D1502" s="4" t="inlineStr">
        <is>
          <t>Personal</t>
        </is>
      </c>
      <c r="E1502" s="4" t="inlineStr">
        <is>
          <t>Lifestyle</t>
        </is>
      </c>
      <c r="F1502" s="4" t="inlineStr">
        <is>
          <t>Hobbies</t>
        </is>
      </c>
      <c r="G1502" s="4" t="inlineStr">
        <is>
          <t>Expense</t>
        </is>
      </c>
      <c r="H1502" s="12" t="n">
        <v>45954</v>
      </c>
      <c r="I1502" s="13" t="n">
        <v>0.03690972222222222</v>
      </c>
      <c r="J1502" s="14" t="n">
        <v>45954.03690972222</v>
      </c>
      <c r="K1502" s="15" t="n">
        <v>15409.4</v>
      </c>
      <c r="L1502" s="4" t="inlineStr">
        <is>
          <t>INR</t>
        </is>
      </c>
      <c r="M1502" s="15" t="n">
        <v>-15409.4</v>
      </c>
      <c r="N1502" s="4" t="inlineStr">
        <is>
          <t>IOS Owner</t>
        </is>
      </c>
      <c r="O1502" s="4" t="n"/>
      <c r="P1502" s="4" t="n"/>
      <c r="Q1502" s="4" t="inlineStr">
        <is>
          <t>MAESTRO-IOS-PERSONAL-LIFESTYLE-1501 | Hobbies | 15409.40</t>
        </is>
      </c>
      <c r="R1502" s="4" t="inlineStr">
        <is>
          <t>iPhone</t>
        </is>
      </c>
      <c r="S1502" s="4" t="inlineStr">
        <is>
          <t>B31</t>
        </is>
      </c>
      <c r="T1502" s="4" t="inlineStr">
        <is>
          <t>RAMP_1501_2500</t>
        </is>
      </c>
      <c r="U1502" s="4" t="inlineStr">
        <is>
          <t>CREATED</t>
        </is>
      </c>
      <c r="V1502" s="4" t="inlineStr">
        <is>
          <t>idem-20260902-ios-1501</t>
        </is>
      </c>
    </row>
    <row r="1503" ht="30" customHeight="1">
      <c r="A1503" s="4" t="n">
        <v>1502</v>
      </c>
      <c r="B1503" s="4" t="inlineStr">
        <is>
          <t>MTR-IOS-1502</t>
        </is>
      </c>
      <c r="C1503" s="4" t="inlineStr">
        <is>
          <t>Group</t>
        </is>
      </c>
      <c r="D1503" s="4" t="inlineStr">
        <is>
          <t>Shared Purchase</t>
        </is>
      </c>
      <c r="E1503" s="4" t="inlineStr">
        <is>
          <t>Assets</t>
        </is>
      </c>
      <c r="F1503" s="4" t="inlineStr">
        <is>
          <t>Other</t>
        </is>
      </c>
      <c r="G1503" s="4" t="inlineStr">
        <is>
          <t>Expense</t>
        </is>
      </c>
      <c r="H1503" s="12" t="n">
        <v>46011</v>
      </c>
      <c r="I1503" s="13" t="n">
        <v>0.9107986111111112</v>
      </c>
      <c r="J1503" s="14" t="n">
        <v>46011.91079861111</v>
      </c>
      <c r="K1503" s="15" t="n">
        <v>15560.56</v>
      </c>
      <c r="L1503" s="4" t="inlineStr">
        <is>
          <t>INR</t>
        </is>
      </c>
      <c r="M1503" s="15" t="n">
        <v>-15560.56</v>
      </c>
      <c r="N1503" s="4" t="inlineStr">
        <is>
          <t>IOS Meera</t>
        </is>
      </c>
      <c r="O1503" s="4" t="n">
        <v>3</v>
      </c>
      <c r="P1503" s="4" t="inlineStr">
        <is>
          <t>EQUAL</t>
        </is>
      </c>
      <c r="Q1503" s="4" t="inlineStr">
        <is>
          <t>MAESTRO-IOS-GROUP-ASSETS-1502 | Other | 15560.56</t>
        </is>
      </c>
      <c r="R1503" s="4" t="inlineStr">
        <is>
          <t>iPhone</t>
        </is>
      </c>
      <c r="S1503" s="4" t="inlineStr">
        <is>
          <t>B31</t>
        </is>
      </c>
      <c r="T1503" s="4" t="inlineStr">
        <is>
          <t>RAMP_1501_2500</t>
        </is>
      </c>
      <c r="U1503" s="4" t="inlineStr">
        <is>
          <t>CREATED</t>
        </is>
      </c>
      <c r="V1503" s="4" t="inlineStr">
        <is>
          <t>idem-20260902-ios-1502</t>
        </is>
      </c>
    </row>
    <row r="1504" ht="30" customHeight="1">
      <c r="A1504" s="4" t="n">
        <v>1503</v>
      </c>
      <c r="B1504" s="4" t="inlineStr">
        <is>
          <t>MTR-IOS-1503</t>
        </is>
      </c>
      <c r="C1504" s="4" t="inlineStr">
        <is>
          <t>Business</t>
        </is>
      </c>
      <c r="D1504" s="4" t="inlineStr">
        <is>
          <t>Business</t>
        </is>
      </c>
      <c r="E1504" s="4" t="inlineStr">
        <is>
          <t>Business Operations</t>
        </is>
      </c>
      <c r="F1504" s="4" t="inlineStr">
        <is>
          <t>Accounting</t>
        </is>
      </c>
      <c r="G1504" s="4" t="inlineStr">
        <is>
          <t>Expense</t>
        </is>
      </c>
      <c r="H1504" s="12" t="n">
        <v>46244</v>
      </c>
      <c r="I1504" s="13" t="n">
        <v>0.9005208333333333</v>
      </c>
      <c r="J1504" s="14" t="n">
        <v>46244.90052083333</v>
      </c>
      <c r="K1504" s="15" t="n">
        <v>103849.04</v>
      </c>
      <c r="L1504" s="4" t="inlineStr">
        <is>
          <t>INR</t>
        </is>
      </c>
      <c r="M1504" s="15" t="n">
        <v>-103849.04</v>
      </c>
      <c r="N1504" s="4" t="inlineStr">
        <is>
          <t>IOS Owner</t>
        </is>
      </c>
      <c r="O1504" s="4" t="n"/>
      <c r="P1504" s="4" t="n"/>
      <c r="Q1504" s="4" t="inlineStr">
        <is>
          <t>MAESTRO-IOS-BUSINESS-BUSINESS_OPERATIONS-1503 | Accounting | 103849.04</t>
        </is>
      </c>
      <c r="R1504" s="4" t="inlineStr">
        <is>
          <t>iPhone</t>
        </is>
      </c>
      <c r="S1504" s="4" t="inlineStr">
        <is>
          <t>B31</t>
        </is>
      </c>
      <c r="T1504" s="4" t="inlineStr">
        <is>
          <t>RAMP_1501_2500</t>
        </is>
      </c>
      <c r="U1504" s="4" t="inlineStr">
        <is>
          <t>CREATED</t>
        </is>
      </c>
      <c r="V1504" s="4" t="inlineStr">
        <is>
          <t>idem-20260902-ios-1503</t>
        </is>
      </c>
    </row>
    <row r="1505" ht="30" customHeight="1">
      <c r="A1505" s="4" t="n">
        <v>1504</v>
      </c>
      <c r="B1505" s="4" t="inlineStr">
        <is>
          <t>MTR-IOS-1504</t>
        </is>
      </c>
      <c r="C1505" s="4" t="inlineStr">
        <is>
          <t>Personal</t>
        </is>
      </c>
      <c r="D1505" s="4" t="inlineStr">
        <is>
          <t>Personal</t>
        </is>
      </c>
      <c r="E1505" s="4" t="inlineStr">
        <is>
          <t>Relationships</t>
        </is>
      </c>
      <c r="F1505" s="4" t="inlineStr">
        <is>
          <t>Gifts</t>
        </is>
      </c>
      <c r="G1505" s="4" t="inlineStr">
        <is>
          <t>Expense</t>
        </is>
      </c>
      <c r="H1505" s="12" t="n">
        <v>45990</v>
      </c>
      <c r="I1505" s="13" t="n">
        <v>0.9260416666666667</v>
      </c>
      <c r="J1505" s="14" t="n">
        <v>45990.92604166667</v>
      </c>
      <c r="K1505" s="15" t="n">
        <v>8565.32</v>
      </c>
      <c r="L1505" s="4" t="inlineStr">
        <is>
          <t>INR</t>
        </is>
      </c>
      <c r="M1505" s="15" t="n">
        <v>-8565.32</v>
      </c>
      <c r="N1505" s="4" t="inlineStr">
        <is>
          <t>IOS Owner</t>
        </is>
      </c>
      <c r="O1505" s="4" t="n"/>
      <c r="P1505" s="4" t="n"/>
      <c r="Q1505" s="4" t="inlineStr">
        <is>
          <t>MAESTRO-IOS-PERSONAL-RELATIONSHIPS-1504 | Gifts | 8565.32</t>
        </is>
      </c>
      <c r="R1505" s="4" t="inlineStr">
        <is>
          <t>iPhone</t>
        </is>
      </c>
      <c r="S1505" s="4" t="inlineStr">
        <is>
          <t>B31</t>
        </is>
      </c>
      <c r="T1505" s="4" t="inlineStr">
        <is>
          <t>RAMP_1501_2500</t>
        </is>
      </c>
      <c r="U1505" s="4" t="inlineStr">
        <is>
          <t>CREATED</t>
        </is>
      </c>
      <c r="V1505" s="4" t="inlineStr">
        <is>
          <t>idem-20260902-ios-1504</t>
        </is>
      </c>
    </row>
    <row r="1506" ht="30" customHeight="1">
      <c r="A1506" s="4" t="n">
        <v>1505</v>
      </c>
      <c r="B1506" s="4" t="inlineStr">
        <is>
          <t>MTR-IOS-1505</t>
        </is>
      </c>
      <c r="C1506" s="4" t="inlineStr">
        <is>
          <t>Group</t>
        </is>
      </c>
      <c r="D1506" s="4" t="inlineStr">
        <is>
          <t>Shared Purchase</t>
        </is>
      </c>
      <c r="E1506" s="4" t="inlineStr">
        <is>
          <t>Custom Purchase</t>
        </is>
      </c>
      <c r="F1506" s="4" t="inlineStr">
        <is>
          <t>Custom Expense</t>
        </is>
      </c>
      <c r="G1506" s="4" t="inlineStr">
        <is>
          <t>Expense</t>
        </is>
      </c>
      <c r="H1506" s="12" t="n">
        <v>46013</v>
      </c>
      <c r="I1506" s="13" t="n">
        <v>0.5455324074074074</v>
      </c>
      <c r="J1506" s="14" t="n">
        <v>46013.54553240741</v>
      </c>
      <c r="K1506" s="15" t="n">
        <v>15447.87</v>
      </c>
      <c r="L1506" s="4" t="inlineStr">
        <is>
          <t>INR</t>
        </is>
      </c>
      <c r="M1506" s="15" t="n">
        <v>-15447.87</v>
      </c>
      <c r="N1506" s="4" t="inlineStr">
        <is>
          <t>IOS Owner</t>
        </is>
      </c>
      <c r="O1506" s="4" t="n">
        <v>3</v>
      </c>
      <c r="P1506" s="4" t="inlineStr">
        <is>
          <t>PERCENTAGE</t>
        </is>
      </c>
      <c r="Q1506" s="4" t="inlineStr">
        <is>
          <t>MAESTRO-IOS-GROUP-CUSTOM_PURCHASE-1505 | Custom Expense | 15447.87</t>
        </is>
      </c>
      <c r="R1506" s="4" t="inlineStr">
        <is>
          <t>iPhone</t>
        </is>
      </c>
      <c r="S1506" s="4" t="inlineStr">
        <is>
          <t>B31</t>
        </is>
      </c>
      <c r="T1506" s="4" t="inlineStr">
        <is>
          <t>RAMP_1501_2500</t>
        </is>
      </c>
      <c r="U1506" s="4" t="inlineStr">
        <is>
          <t>CREATED</t>
        </is>
      </c>
      <c r="V1506" s="4" t="inlineStr">
        <is>
          <t>idem-20260902-ios-1505</t>
        </is>
      </c>
    </row>
    <row r="1507" ht="30" customHeight="1">
      <c r="A1507" s="4" t="n">
        <v>1506</v>
      </c>
      <c r="B1507" s="4" t="inlineStr">
        <is>
          <t>MTR-IOS-1506</t>
        </is>
      </c>
      <c r="C1507" s="4" t="inlineStr">
        <is>
          <t>Business</t>
        </is>
      </c>
      <c r="D1507" s="4" t="inlineStr">
        <is>
          <t>Business</t>
        </is>
      </c>
      <c r="E1507" s="4" t="inlineStr">
        <is>
          <t>Business Operations</t>
        </is>
      </c>
      <c r="F1507" s="4" t="inlineStr">
        <is>
          <t>Equipment</t>
        </is>
      </c>
      <c r="G1507" s="4" t="inlineStr">
        <is>
          <t>Expense</t>
        </is>
      </c>
      <c r="H1507" s="12" t="n">
        <v>46199</v>
      </c>
      <c r="I1507" s="13" t="n">
        <v>0.6759837962962963</v>
      </c>
      <c r="J1507" s="14" t="n">
        <v>46199.6759837963</v>
      </c>
      <c r="K1507" s="15" t="n">
        <v>72607.63</v>
      </c>
      <c r="L1507" s="4" t="inlineStr">
        <is>
          <t>INR</t>
        </is>
      </c>
      <c r="M1507" s="15" t="n">
        <v>-72607.63</v>
      </c>
      <c r="N1507" s="4" t="inlineStr">
        <is>
          <t>IOS Owner</t>
        </is>
      </c>
      <c r="O1507" s="4" t="n"/>
      <c r="P1507" s="4" t="n"/>
      <c r="Q1507" s="4" t="inlineStr">
        <is>
          <t>MAESTRO-IOS-BUSINESS-BUSINESS_OPERATIONS-1506 | Equipment | 72607.63</t>
        </is>
      </c>
      <c r="R1507" s="4" t="inlineStr">
        <is>
          <t>iPhone</t>
        </is>
      </c>
      <c r="S1507" s="4" t="inlineStr">
        <is>
          <t>B31</t>
        </is>
      </c>
      <c r="T1507" s="4" t="inlineStr">
        <is>
          <t>RAMP_1501_2500</t>
        </is>
      </c>
      <c r="U1507" s="4" t="inlineStr">
        <is>
          <t>CREATED</t>
        </is>
      </c>
      <c r="V1507" s="4" t="inlineStr">
        <is>
          <t>idem-20260902-ios-1506</t>
        </is>
      </c>
    </row>
    <row r="1508" ht="30" customHeight="1">
      <c r="A1508" s="4" t="n">
        <v>1507</v>
      </c>
      <c r="B1508" s="4" t="inlineStr">
        <is>
          <t>MTR-IOS-1507</t>
        </is>
      </c>
      <c r="C1508" s="4" t="inlineStr">
        <is>
          <t>Personal</t>
        </is>
      </c>
      <c r="D1508" s="4" t="inlineStr">
        <is>
          <t>Personal</t>
        </is>
      </c>
      <c r="E1508" s="4" t="inlineStr">
        <is>
          <t>Relationships</t>
        </is>
      </c>
      <c r="F1508" s="4" t="inlineStr">
        <is>
          <t>Dates</t>
        </is>
      </c>
      <c r="G1508" s="4" t="inlineStr">
        <is>
          <t>Expense</t>
        </is>
      </c>
      <c r="H1508" s="12" t="n">
        <v>46174</v>
      </c>
      <c r="I1508" s="13" t="n">
        <v>0.9815277777777778</v>
      </c>
      <c r="J1508" s="14" t="n">
        <v>46174.98152777777</v>
      </c>
      <c r="K1508" s="15" t="n">
        <v>2610.15</v>
      </c>
      <c r="L1508" s="4" t="inlineStr">
        <is>
          <t>INR</t>
        </is>
      </c>
      <c r="M1508" s="15" t="n">
        <v>-2610.15</v>
      </c>
      <c r="N1508" s="4" t="inlineStr">
        <is>
          <t>IOS Owner</t>
        </is>
      </c>
      <c r="O1508" s="4" t="n"/>
      <c r="P1508" s="4" t="n"/>
      <c r="Q1508" s="4" t="inlineStr">
        <is>
          <t>MAESTRO-IOS-PERSONAL-RELATIONSHIPS-1507 | Dates | 2610.15</t>
        </is>
      </c>
      <c r="R1508" s="4" t="inlineStr">
        <is>
          <t>iPhone</t>
        </is>
      </c>
      <c r="S1508" s="4" t="inlineStr">
        <is>
          <t>B31</t>
        </is>
      </c>
      <c r="T1508" s="4" t="inlineStr">
        <is>
          <t>RAMP_1501_2500</t>
        </is>
      </c>
      <c r="U1508" s="4" t="inlineStr">
        <is>
          <t>CREATED</t>
        </is>
      </c>
      <c r="V1508" s="4" t="inlineStr">
        <is>
          <t>idem-20260902-ios-1507</t>
        </is>
      </c>
    </row>
    <row r="1509" ht="30" customHeight="1">
      <c r="A1509" s="4" t="n">
        <v>1508</v>
      </c>
      <c r="B1509" s="4" t="inlineStr">
        <is>
          <t>MTR-IOS-1508</t>
        </is>
      </c>
      <c r="C1509" s="4" t="inlineStr">
        <is>
          <t>Group</t>
        </is>
      </c>
      <c r="D1509" s="4" t="inlineStr">
        <is>
          <t>Shared Purchase</t>
        </is>
      </c>
      <c r="E1509" s="4" t="inlineStr">
        <is>
          <t>Custom Purchase</t>
        </is>
      </c>
      <c r="F1509" s="4" t="inlineStr">
        <is>
          <t>Custom Contribution</t>
        </is>
      </c>
      <c r="G1509" s="4" t="inlineStr">
        <is>
          <t>Contribution</t>
        </is>
      </c>
      <c r="H1509" s="12" t="n">
        <v>46155</v>
      </c>
      <c r="I1509" s="13" t="n">
        <v>0.4733564814814815</v>
      </c>
      <c r="J1509" s="14" t="n">
        <v>46155.47335648148</v>
      </c>
      <c r="K1509" s="15" t="n">
        <v>5437.85</v>
      </c>
      <c r="L1509" s="4" t="inlineStr">
        <is>
          <t>INR</t>
        </is>
      </c>
      <c r="M1509" s="15" t="n">
        <v>5437.85</v>
      </c>
      <c r="N1509" s="4" t="inlineStr">
        <is>
          <t>IOS Aarav</t>
        </is>
      </c>
      <c r="O1509" s="4" t="n">
        <v>3</v>
      </c>
      <c r="P1509" s="4" t="inlineStr">
        <is>
          <t>EXACT</t>
        </is>
      </c>
      <c r="Q1509" s="4" t="inlineStr">
        <is>
          <t>MAESTRO-IOS-GROUP-CUSTOM_PURCHASE-1508 | Custom Contribution | 5437.85</t>
        </is>
      </c>
      <c r="R1509" s="4" t="inlineStr">
        <is>
          <t>iPhone</t>
        </is>
      </c>
      <c r="S1509" s="4" t="inlineStr">
        <is>
          <t>B31</t>
        </is>
      </c>
      <c r="T1509" s="4" t="inlineStr">
        <is>
          <t>RAMP_1501_2500</t>
        </is>
      </c>
      <c r="U1509" s="4" t="inlineStr">
        <is>
          <t>CREATED</t>
        </is>
      </c>
      <c r="V1509" s="4" t="inlineStr">
        <is>
          <t>idem-20260902-ios-1508</t>
        </is>
      </c>
    </row>
    <row r="1510" ht="30" customHeight="1">
      <c r="A1510" s="4" t="n">
        <v>1509</v>
      </c>
      <c r="B1510" s="4" t="inlineStr">
        <is>
          <t>MTR-IOS-1509</t>
        </is>
      </c>
      <c r="C1510" s="4" t="inlineStr">
        <is>
          <t>Business</t>
        </is>
      </c>
      <c r="D1510" s="4" t="inlineStr">
        <is>
          <t>Business</t>
        </is>
      </c>
      <c r="E1510" s="4" t="inlineStr">
        <is>
          <t>Business Operations</t>
        </is>
      </c>
      <c r="F1510" s="4" t="inlineStr">
        <is>
          <t>Vendor</t>
        </is>
      </c>
      <c r="G1510" s="4" t="inlineStr">
        <is>
          <t>Expense</t>
        </is>
      </c>
      <c r="H1510" s="12" t="n">
        <v>46179</v>
      </c>
      <c r="I1510" s="13" t="n">
        <v>0.9589814814814814</v>
      </c>
      <c r="J1510" s="14" t="n">
        <v>46179.95898148148</v>
      </c>
      <c r="K1510" s="15" t="n">
        <v>89707.71000000001</v>
      </c>
      <c r="L1510" s="4" t="inlineStr">
        <is>
          <t>INR</t>
        </is>
      </c>
      <c r="M1510" s="15" t="n">
        <v>-89707.71000000001</v>
      </c>
      <c r="N1510" s="4" t="inlineStr">
        <is>
          <t>IOS Owner</t>
        </is>
      </c>
      <c r="O1510" s="4" t="n"/>
      <c r="P1510" s="4" t="n"/>
      <c r="Q1510" s="4" t="inlineStr">
        <is>
          <t>MAESTRO-IOS-BUSINESS-BUSINESS_OPERATIONS-1509 | Vendor | 89707.71</t>
        </is>
      </c>
      <c r="R1510" s="4" t="inlineStr">
        <is>
          <t>iPhone</t>
        </is>
      </c>
      <c r="S1510" s="4" t="inlineStr">
        <is>
          <t>B31</t>
        </is>
      </c>
      <c r="T1510" s="4" t="inlineStr">
        <is>
          <t>RAMP_1501_2500</t>
        </is>
      </c>
      <c r="U1510" s="4" t="inlineStr">
        <is>
          <t>CREATED</t>
        </is>
      </c>
      <c r="V1510" s="4" t="inlineStr">
        <is>
          <t>idem-20260902-ios-1509</t>
        </is>
      </c>
    </row>
    <row r="1511" ht="30" customHeight="1">
      <c r="A1511" s="4" t="n">
        <v>1510</v>
      </c>
      <c r="B1511" s="4" t="inlineStr">
        <is>
          <t>MTR-IOS-1510</t>
        </is>
      </c>
      <c r="C1511" s="4" t="inlineStr">
        <is>
          <t>Personal</t>
        </is>
      </c>
      <c r="D1511" s="4" t="inlineStr">
        <is>
          <t>Personal</t>
        </is>
      </c>
      <c r="E1511" s="4" t="inlineStr">
        <is>
          <t>Relationships</t>
        </is>
      </c>
      <c r="F1511" s="4" t="inlineStr">
        <is>
          <t>Family</t>
        </is>
      </c>
      <c r="G1511" s="4" t="inlineStr">
        <is>
          <t>Expense</t>
        </is>
      </c>
      <c r="H1511" s="12" t="n">
        <v>46042</v>
      </c>
      <c r="I1511" s="13" t="n">
        <v>0.9353356481481482</v>
      </c>
      <c r="J1511" s="14" t="n">
        <v>46042.93533564815</v>
      </c>
      <c r="K1511" s="15" t="n">
        <v>4638.83</v>
      </c>
      <c r="L1511" s="4" t="inlineStr">
        <is>
          <t>INR</t>
        </is>
      </c>
      <c r="M1511" s="15" t="n">
        <v>-4638.83</v>
      </c>
      <c r="N1511" s="4" t="inlineStr">
        <is>
          <t>IOS Owner</t>
        </is>
      </c>
      <c r="O1511" s="4" t="n"/>
      <c r="P1511" s="4" t="n"/>
      <c r="Q1511" s="4" t="inlineStr">
        <is>
          <t>MAESTRO-IOS-PERSONAL-RELATIONSHIPS-1510 | Family | 4638.83</t>
        </is>
      </c>
      <c r="R1511" s="4" t="inlineStr">
        <is>
          <t>iPhone</t>
        </is>
      </c>
      <c r="S1511" s="4" t="inlineStr">
        <is>
          <t>B31</t>
        </is>
      </c>
      <c r="T1511" s="4" t="inlineStr">
        <is>
          <t>RAMP_1501_2500</t>
        </is>
      </c>
      <c r="U1511" s="4" t="inlineStr">
        <is>
          <t>CREATED</t>
        </is>
      </c>
      <c r="V1511" s="4" t="inlineStr">
        <is>
          <t>idem-20260902-ios-1510</t>
        </is>
      </c>
    </row>
    <row r="1512" ht="30" customHeight="1">
      <c r="A1512" s="4" t="n">
        <v>1511</v>
      </c>
      <c r="B1512" s="4" t="inlineStr">
        <is>
          <t>MTR-IOS-1511</t>
        </is>
      </c>
      <c r="C1512" s="4" t="inlineStr">
        <is>
          <t>Group</t>
        </is>
      </c>
      <c r="D1512" s="4" t="inlineStr">
        <is>
          <t>Shared Living</t>
        </is>
      </c>
      <c r="E1512" s="4" t="inlineStr">
        <is>
          <t>Flatmates</t>
        </is>
      </c>
      <c r="F1512" s="4" t="inlineStr">
        <is>
          <t>Rent</t>
        </is>
      </c>
      <c r="G1512" s="4" t="inlineStr">
        <is>
          <t>Expense</t>
        </is>
      </c>
      <c r="H1512" s="12" t="n">
        <v>46011</v>
      </c>
      <c r="I1512" s="13" t="n">
        <v>0.8976504629629629</v>
      </c>
      <c r="J1512" s="14" t="n">
        <v>46011.89765046296</v>
      </c>
      <c r="K1512" s="15" t="n">
        <v>19289.71</v>
      </c>
      <c r="L1512" s="4" t="inlineStr">
        <is>
          <t>INR</t>
        </is>
      </c>
      <c r="M1512" s="15" t="n">
        <v>-19289.71</v>
      </c>
      <c r="N1512" s="4" t="inlineStr">
        <is>
          <t>IOS Meera</t>
        </is>
      </c>
      <c r="O1512" s="4" t="n">
        <v>3</v>
      </c>
      <c r="P1512" s="4" t="inlineStr">
        <is>
          <t>SHARES</t>
        </is>
      </c>
      <c r="Q1512" s="4" t="inlineStr">
        <is>
          <t>MAESTRO-IOS-GROUP-FLATMATES-1511 | Rent | 19289.71</t>
        </is>
      </c>
      <c r="R1512" s="4" t="inlineStr">
        <is>
          <t>iPhone</t>
        </is>
      </c>
      <c r="S1512" s="4" t="inlineStr">
        <is>
          <t>B31</t>
        </is>
      </c>
      <c r="T1512" s="4" t="inlineStr">
        <is>
          <t>RAMP_1501_2500</t>
        </is>
      </c>
      <c r="U1512" s="4" t="inlineStr">
        <is>
          <t>CREATED</t>
        </is>
      </c>
      <c r="V1512" s="4" t="inlineStr">
        <is>
          <t>idem-20260902-ios-1511</t>
        </is>
      </c>
    </row>
    <row r="1513" ht="30" customHeight="1">
      <c r="A1513" s="4" t="n">
        <v>1512</v>
      </c>
      <c r="B1513" s="4" t="inlineStr">
        <is>
          <t>MTR-IOS-1512</t>
        </is>
      </c>
      <c r="C1513" s="4" t="inlineStr">
        <is>
          <t>Business</t>
        </is>
      </c>
      <c r="D1513" s="4" t="inlineStr">
        <is>
          <t>Business</t>
        </is>
      </c>
      <c r="E1513" s="4" t="inlineStr">
        <is>
          <t>Business Operations</t>
        </is>
      </c>
      <c r="F1513" s="4" t="inlineStr">
        <is>
          <t>Tax</t>
        </is>
      </c>
      <c r="G1513" s="4" t="inlineStr">
        <is>
          <t>Expense</t>
        </is>
      </c>
      <c r="H1513" s="12" t="n">
        <v>46213</v>
      </c>
      <c r="I1513" s="13" t="n">
        <v>0.2908796296296297</v>
      </c>
      <c r="J1513" s="14" t="n">
        <v>46213.29087962963</v>
      </c>
      <c r="K1513" s="15" t="n">
        <v>120386.41</v>
      </c>
      <c r="L1513" s="4" t="inlineStr">
        <is>
          <t>INR</t>
        </is>
      </c>
      <c r="M1513" s="15" t="n">
        <v>-120386.41</v>
      </c>
      <c r="N1513" s="4" t="inlineStr">
        <is>
          <t>IOS Owner</t>
        </is>
      </c>
      <c r="O1513" s="4" t="n"/>
      <c r="P1513" s="4" t="n"/>
      <c r="Q1513" s="4" t="inlineStr">
        <is>
          <t>MAESTRO-IOS-BUSINESS-BUSINESS_OPERATIONS-1512 | Tax | 120386.41</t>
        </is>
      </c>
      <c r="R1513" s="4" t="inlineStr">
        <is>
          <t>iPhone</t>
        </is>
      </c>
      <c r="S1513" s="4" t="inlineStr">
        <is>
          <t>B31</t>
        </is>
      </c>
      <c r="T1513" s="4" t="inlineStr">
        <is>
          <t>RAMP_1501_2500</t>
        </is>
      </c>
      <c r="U1513" s="4" t="inlineStr">
        <is>
          <t>CREATED</t>
        </is>
      </c>
      <c r="V1513" s="4" t="inlineStr">
        <is>
          <t>idem-20260902-ios-1512</t>
        </is>
      </c>
    </row>
    <row r="1514" ht="30" customHeight="1">
      <c r="A1514" s="4" t="n">
        <v>1513</v>
      </c>
      <c r="B1514" s="4" t="inlineStr">
        <is>
          <t>MTR-IOS-1513</t>
        </is>
      </c>
      <c r="C1514" s="4" t="inlineStr">
        <is>
          <t>Personal</t>
        </is>
      </c>
      <c r="D1514" s="4" t="inlineStr">
        <is>
          <t>Personal</t>
        </is>
      </c>
      <c r="E1514" s="4" t="inlineStr">
        <is>
          <t>Relationships</t>
        </is>
      </c>
      <c r="F1514" s="4" t="inlineStr">
        <is>
          <t>Friends</t>
        </is>
      </c>
      <c r="G1514" s="4" t="inlineStr">
        <is>
          <t>Expense</t>
        </is>
      </c>
      <c r="H1514" s="12" t="n">
        <v>46186</v>
      </c>
      <c r="I1514" s="13" t="n">
        <v>0.4364930555555556</v>
      </c>
      <c r="J1514" s="14" t="n">
        <v>46186.43649305555</v>
      </c>
      <c r="K1514" s="15" t="n">
        <v>14538.19</v>
      </c>
      <c r="L1514" s="4" t="inlineStr">
        <is>
          <t>INR</t>
        </is>
      </c>
      <c r="M1514" s="15" t="n">
        <v>-14538.19</v>
      </c>
      <c r="N1514" s="4" t="inlineStr">
        <is>
          <t>IOS Owner</t>
        </is>
      </c>
      <c r="O1514" s="4" t="n"/>
      <c r="P1514" s="4" t="n"/>
      <c r="Q1514" s="4" t="inlineStr">
        <is>
          <t>MAESTRO-IOS-PERSONAL-RELATIONSHIPS-1513 | Friends | 14538.19</t>
        </is>
      </c>
      <c r="R1514" s="4" t="inlineStr">
        <is>
          <t>iPhone</t>
        </is>
      </c>
      <c r="S1514" s="4" t="inlineStr">
        <is>
          <t>B31</t>
        </is>
      </c>
      <c r="T1514" s="4" t="inlineStr">
        <is>
          <t>RAMP_1501_2500</t>
        </is>
      </c>
      <c r="U1514" s="4" t="inlineStr">
        <is>
          <t>CREATED</t>
        </is>
      </c>
      <c r="V1514" s="4" t="inlineStr">
        <is>
          <t>idem-20260902-ios-1513</t>
        </is>
      </c>
    </row>
    <row r="1515" ht="30" customHeight="1">
      <c r="A1515" s="4" t="n">
        <v>1514</v>
      </c>
      <c r="B1515" s="4" t="inlineStr">
        <is>
          <t>MTR-IOS-1514</t>
        </is>
      </c>
      <c r="C1515" s="4" t="inlineStr">
        <is>
          <t>Group</t>
        </is>
      </c>
      <c r="D1515" s="4" t="inlineStr">
        <is>
          <t>Shared Living</t>
        </is>
      </c>
      <c r="E1515" s="4" t="inlineStr">
        <is>
          <t>Flatmates</t>
        </is>
      </c>
      <c r="F1515" s="4" t="inlineStr">
        <is>
          <t>Utilities</t>
        </is>
      </c>
      <c r="G1515" s="4" t="inlineStr">
        <is>
          <t>Expense</t>
        </is>
      </c>
      <c r="H1515" s="12" t="n">
        <v>45949</v>
      </c>
      <c r="I1515" s="13" t="n">
        <v>0.4404861111111111</v>
      </c>
      <c r="J1515" s="14" t="n">
        <v>45949.44048611111</v>
      </c>
      <c r="K1515" s="15" t="n">
        <v>2249.01</v>
      </c>
      <c r="L1515" s="4" t="inlineStr">
        <is>
          <t>INR</t>
        </is>
      </c>
      <c r="M1515" s="15" t="n">
        <v>-2249.01</v>
      </c>
      <c r="N1515" s="4" t="inlineStr">
        <is>
          <t>IOS Owner</t>
        </is>
      </c>
      <c r="O1515" s="4" t="n">
        <v>3</v>
      </c>
      <c r="P1515" s="4" t="inlineStr">
        <is>
          <t>EQUAL</t>
        </is>
      </c>
      <c r="Q1515" s="4" t="inlineStr">
        <is>
          <t>MAESTRO-IOS-GROUP-FLATMATES-1514 | Utilities | 2249.01</t>
        </is>
      </c>
      <c r="R1515" s="4" t="inlineStr">
        <is>
          <t>iPhone</t>
        </is>
      </c>
      <c r="S1515" s="4" t="inlineStr">
        <is>
          <t>B31</t>
        </is>
      </c>
      <c r="T1515" s="4" t="inlineStr">
        <is>
          <t>RAMP_1501_2500</t>
        </is>
      </c>
      <c r="U1515" s="4" t="inlineStr">
        <is>
          <t>CREATED</t>
        </is>
      </c>
      <c r="V1515" s="4" t="inlineStr">
        <is>
          <t>idem-20260902-ios-1514</t>
        </is>
      </c>
    </row>
    <row r="1516" ht="30" customHeight="1">
      <c r="A1516" s="4" t="n">
        <v>1515</v>
      </c>
      <c r="B1516" s="4" t="inlineStr">
        <is>
          <t>MTR-IOS-1515</t>
        </is>
      </c>
      <c r="C1516" s="4" t="inlineStr">
        <is>
          <t>Business</t>
        </is>
      </c>
      <c r="D1516" s="4" t="inlineStr">
        <is>
          <t>Business</t>
        </is>
      </c>
      <c r="E1516" s="4" t="inlineStr">
        <is>
          <t>Team Operations</t>
        </is>
      </c>
      <c r="F1516" s="4" t="inlineStr">
        <is>
          <t>Payroll</t>
        </is>
      </c>
      <c r="G1516" s="4" t="inlineStr">
        <is>
          <t>Expense</t>
        </is>
      </c>
      <c r="H1516" s="12" t="n">
        <v>45940</v>
      </c>
      <c r="I1516" s="13" t="n">
        <v>0.5214236111111111</v>
      </c>
      <c r="J1516" s="14" t="n">
        <v>45940.52142361111</v>
      </c>
      <c r="K1516" s="15" t="n">
        <v>121929.55</v>
      </c>
      <c r="L1516" s="4" t="inlineStr">
        <is>
          <t>INR</t>
        </is>
      </c>
      <c r="M1516" s="15" t="n">
        <v>-121929.55</v>
      </c>
      <c r="N1516" s="4" t="inlineStr">
        <is>
          <t>IOS Owner</t>
        </is>
      </c>
      <c r="O1516" s="4" t="n"/>
      <c r="P1516" s="4" t="n"/>
      <c r="Q1516" s="4" t="inlineStr">
        <is>
          <t>MAESTRO-IOS-BUSINESS-TEAM_OPERATIONS-1515 | Payroll | 121929.55</t>
        </is>
      </c>
      <c r="R1516" s="4" t="inlineStr">
        <is>
          <t>iPhone</t>
        </is>
      </c>
      <c r="S1516" s="4" t="inlineStr">
        <is>
          <t>B31</t>
        </is>
      </c>
      <c r="T1516" s="4" t="inlineStr">
        <is>
          <t>RAMP_1501_2500</t>
        </is>
      </c>
      <c r="U1516" s="4" t="inlineStr">
        <is>
          <t>CREATED</t>
        </is>
      </c>
      <c r="V1516" s="4" t="inlineStr">
        <is>
          <t>idem-20260902-ios-1515</t>
        </is>
      </c>
    </row>
    <row r="1517" ht="30" customHeight="1">
      <c r="A1517" s="4" t="n">
        <v>1516</v>
      </c>
      <c r="B1517" s="4" t="inlineStr">
        <is>
          <t>MTR-IOS-1516</t>
        </is>
      </c>
      <c r="C1517" s="4" t="inlineStr">
        <is>
          <t>Personal</t>
        </is>
      </c>
      <c r="D1517" s="4" t="inlineStr">
        <is>
          <t>Personal</t>
        </is>
      </c>
      <c r="E1517" s="4" t="inlineStr">
        <is>
          <t>Relationships</t>
        </is>
      </c>
      <c r="F1517" s="4" t="inlineStr">
        <is>
          <t>Celebrations</t>
        </is>
      </c>
      <c r="G1517" s="4" t="inlineStr">
        <is>
          <t>Expense</t>
        </is>
      </c>
      <c r="H1517" s="12" t="n">
        <v>46048</v>
      </c>
      <c r="I1517" s="13" t="n">
        <v>0.6659143518518519</v>
      </c>
      <c r="J1517" s="14" t="n">
        <v>46048.66591435186</v>
      </c>
      <c r="K1517" s="15" t="n">
        <v>7433.79</v>
      </c>
      <c r="L1517" s="4" t="inlineStr">
        <is>
          <t>INR</t>
        </is>
      </c>
      <c r="M1517" s="15" t="n">
        <v>-7433.79</v>
      </c>
      <c r="N1517" s="4" t="inlineStr">
        <is>
          <t>IOS Owner</t>
        </is>
      </c>
      <c r="O1517" s="4" t="n"/>
      <c r="P1517" s="4" t="n"/>
      <c r="Q1517" s="4" t="inlineStr">
        <is>
          <t>MAESTRO-IOS-PERSONAL-RELATIONSHIPS-1516 | Celebrations | 7433.79</t>
        </is>
      </c>
      <c r="R1517" s="4" t="inlineStr">
        <is>
          <t>iPhone</t>
        </is>
      </c>
      <c r="S1517" s="4" t="inlineStr">
        <is>
          <t>B31</t>
        </is>
      </c>
      <c r="T1517" s="4" t="inlineStr">
        <is>
          <t>RAMP_1501_2500</t>
        </is>
      </c>
      <c r="U1517" s="4" t="inlineStr">
        <is>
          <t>CREATED</t>
        </is>
      </c>
      <c r="V1517" s="4" t="inlineStr">
        <is>
          <t>idem-20260902-ios-1516</t>
        </is>
      </c>
    </row>
    <row r="1518" ht="30" customHeight="1">
      <c r="A1518" s="4" t="n">
        <v>1517</v>
      </c>
      <c r="B1518" s="4" t="inlineStr">
        <is>
          <t>MTR-IOS-1517</t>
        </is>
      </c>
      <c r="C1518" s="4" t="inlineStr">
        <is>
          <t>Group</t>
        </is>
      </c>
      <c r="D1518" s="4" t="inlineStr">
        <is>
          <t>Shared Living</t>
        </is>
      </c>
      <c r="E1518" s="4" t="inlineStr">
        <is>
          <t>Flatmates</t>
        </is>
      </c>
      <c r="F1518" s="4" t="inlineStr">
        <is>
          <t>Groceries</t>
        </is>
      </c>
      <c r="G1518" s="4" t="inlineStr">
        <is>
          <t>Expense</t>
        </is>
      </c>
      <c r="H1518" s="12" t="n">
        <v>46161</v>
      </c>
      <c r="I1518" s="13" t="n">
        <v>0.5350231481481481</v>
      </c>
      <c r="J1518" s="14" t="n">
        <v>46161.53502314815</v>
      </c>
      <c r="K1518" s="15" t="n">
        <v>10000</v>
      </c>
      <c r="L1518" s="4" t="inlineStr">
        <is>
          <t>INR</t>
        </is>
      </c>
      <c r="M1518" s="15" t="n">
        <v>-10000</v>
      </c>
      <c r="N1518" s="4" t="inlineStr">
        <is>
          <t>IOS Aarav</t>
        </is>
      </c>
      <c r="O1518" s="4" t="n">
        <v>3</v>
      </c>
      <c r="P1518" s="4" t="inlineStr">
        <is>
          <t>PERCENTAGE</t>
        </is>
      </c>
      <c r="Q1518" s="4" t="inlineStr">
        <is>
          <t>MAESTRO-IOS-GROUP-FLATMATES-1517 | Groceries | 10000.00</t>
        </is>
      </c>
      <c r="R1518" s="4" t="inlineStr">
        <is>
          <t>iPhone</t>
        </is>
      </c>
      <c r="S1518" s="4" t="inlineStr">
        <is>
          <t>B31</t>
        </is>
      </c>
      <c r="T1518" s="4" t="inlineStr">
        <is>
          <t>RAMP_1501_2500</t>
        </is>
      </c>
      <c r="U1518" s="4" t="inlineStr">
        <is>
          <t>CREATED</t>
        </is>
      </c>
      <c r="V1518" s="4" t="inlineStr">
        <is>
          <t>idem-20260902-ios-1517</t>
        </is>
      </c>
    </row>
    <row r="1519" ht="30" customHeight="1">
      <c r="A1519" s="4" t="n">
        <v>1518</v>
      </c>
      <c r="B1519" s="4" t="inlineStr">
        <is>
          <t>MTR-IOS-1518</t>
        </is>
      </c>
      <c r="C1519" s="4" t="inlineStr">
        <is>
          <t>Business</t>
        </is>
      </c>
      <c r="D1519" s="4" t="inlineStr">
        <is>
          <t>Business</t>
        </is>
      </c>
      <c r="E1519" s="4" t="inlineStr">
        <is>
          <t>Team Operations</t>
        </is>
      </c>
      <c r="F1519" s="4" t="inlineStr">
        <is>
          <t>Contractor</t>
        </is>
      </c>
      <c r="G1519" s="4" t="inlineStr">
        <is>
          <t>Expense</t>
        </is>
      </c>
      <c r="H1519" s="12" t="n">
        <v>46236</v>
      </c>
      <c r="I1519" s="13" t="n">
        <v>0.9217708333333333</v>
      </c>
      <c r="J1519" s="14" t="n">
        <v>46236.92177083333</v>
      </c>
      <c r="K1519" s="15" t="n">
        <v>4650.54</v>
      </c>
      <c r="L1519" s="4" t="inlineStr">
        <is>
          <t>INR</t>
        </is>
      </c>
      <c r="M1519" s="15" t="n">
        <v>-4650.54</v>
      </c>
      <c r="N1519" s="4" t="inlineStr">
        <is>
          <t>IOS Owner</t>
        </is>
      </c>
      <c r="O1519" s="4" t="n"/>
      <c r="P1519" s="4" t="n"/>
      <c r="Q1519" s="4" t="inlineStr">
        <is>
          <t>MAESTRO-IOS-BUSINESS-TEAM_OPERATIONS-1518 | Contractor | 4650.54</t>
        </is>
      </c>
      <c r="R1519" s="4" t="inlineStr">
        <is>
          <t>iPhone</t>
        </is>
      </c>
      <c r="S1519" s="4" t="inlineStr">
        <is>
          <t>B31</t>
        </is>
      </c>
      <c r="T1519" s="4" t="inlineStr">
        <is>
          <t>RAMP_1501_2500</t>
        </is>
      </c>
      <c r="U1519" s="4" t="inlineStr">
        <is>
          <t>CREATED</t>
        </is>
      </c>
      <c r="V1519" s="4" t="inlineStr">
        <is>
          <t>idem-20260902-ios-1518</t>
        </is>
      </c>
    </row>
    <row r="1520" ht="30" customHeight="1">
      <c r="A1520" s="4" t="n">
        <v>1519</v>
      </c>
      <c r="B1520" s="4" t="inlineStr">
        <is>
          <t>MTR-IOS-1519</t>
        </is>
      </c>
      <c r="C1520" s="4" t="inlineStr">
        <is>
          <t>Personal</t>
        </is>
      </c>
      <c r="D1520" s="4" t="inlineStr">
        <is>
          <t>Personal</t>
        </is>
      </c>
      <c r="E1520" s="4" t="inlineStr">
        <is>
          <t>Life Operations</t>
        </is>
      </c>
      <c r="F1520" s="4" t="inlineStr">
        <is>
          <t>Groceries</t>
        </is>
      </c>
      <c r="G1520" s="4" t="inlineStr">
        <is>
          <t>Expense</t>
        </is>
      </c>
      <c r="H1520" s="12" t="n">
        <v>46016</v>
      </c>
      <c r="I1520" s="13" t="n">
        <v>0.9670949074074074</v>
      </c>
      <c r="J1520" s="14" t="n">
        <v>46016.96709490741</v>
      </c>
      <c r="K1520" s="15" t="n">
        <v>12786.74</v>
      </c>
      <c r="L1520" s="4" t="inlineStr">
        <is>
          <t>INR</t>
        </is>
      </c>
      <c r="M1520" s="15" t="n">
        <v>-12786.74</v>
      </c>
      <c r="N1520" s="4" t="inlineStr">
        <is>
          <t>IOS Owner</t>
        </is>
      </c>
      <c r="O1520" s="4" t="n"/>
      <c r="P1520" s="4" t="n"/>
      <c r="Q1520" s="4" t="inlineStr">
        <is>
          <t>MAESTRO-IOS-PERSONAL-LIFE_OPERATIONS-1519 | Groceries | 12786.74</t>
        </is>
      </c>
      <c r="R1520" s="4" t="inlineStr">
        <is>
          <t>iPhone</t>
        </is>
      </c>
      <c r="S1520" s="4" t="inlineStr">
        <is>
          <t>B31</t>
        </is>
      </c>
      <c r="T1520" s="4" t="inlineStr">
        <is>
          <t>RAMP_1501_2500</t>
        </is>
      </c>
      <c r="U1520" s="4" t="inlineStr">
        <is>
          <t>CREATED</t>
        </is>
      </c>
      <c r="V1520" s="4" t="inlineStr">
        <is>
          <t>idem-20260902-ios-1519</t>
        </is>
      </c>
    </row>
    <row r="1521" ht="30" customHeight="1">
      <c r="A1521" s="4" t="n">
        <v>1520</v>
      </c>
      <c r="B1521" s="4" t="inlineStr">
        <is>
          <t>MTR-IOS-1520</t>
        </is>
      </c>
      <c r="C1521" s="4" t="inlineStr">
        <is>
          <t>Group</t>
        </is>
      </c>
      <c r="D1521" s="4" t="inlineStr">
        <is>
          <t>Shared Living</t>
        </is>
      </c>
      <c r="E1521" s="4" t="inlineStr">
        <is>
          <t>Flatmates</t>
        </is>
      </c>
      <c r="F1521" s="4" t="inlineStr">
        <is>
          <t>Internet</t>
        </is>
      </c>
      <c r="G1521" s="4" t="inlineStr">
        <is>
          <t>Expense</t>
        </is>
      </c>
      <c r="H1521" s="12" t="n">
        <v>46020</v>
      </c>
      <c r="I1521" s="13" t="n">
        <v>0.8575578703703703</v>
      </c>
      <c r="J1521" s="14" t="n">
        <v>46020.85755787037</v>
      </c>
      <c r="K1521" s="15" t="n">
        <v>17494.83</v>
      </c>
      <c r="L1521" s="4" t="inlineStr">
        <is>
          <t>INR</t>
        </is>
      </c>
      <c r="M1521" s="15" t="n">
        <v>-17494.83</v>
      </c>
      <c r="N1521" s="4" t="inlineStr">
        <is>
          <t>IOS Meera</t>
        </is>
      </c>
      <c r="O1521" s="4" t="n">
        <v>3</v>
      </c>
      <c r="P1521" s="4" t="inlineStr">
        <is>
          <t>EXACT</t>
        </is>
      </c>
      <c r="Q1521" s="4" t="inlineStr">
        <is>
          <t>MAESTRO-IOS-GROUP-FLATMATES-1520 | Internet | 17494.83</t>
        </is>
      </c>
      <c r="R1521" s="4" t="inlineStr">
        <is>
          <t>iPhone</t>
        </is>
      </c>
      <c r="S1521" s="4" t="inlineStr">
        <is>
          <t>B31</t>
        </is>
      </c>
      <c r="T1521" s="4" t="inlineStr">
        <is>
          <t>RAMP_1501_2500</t>
        </is>
      </c>
      <c r="U1521" s="4" t="inlineStr">
        <is>
          <t>CREATED</t>
        </is>
      </c>
      <c r="V1521" s="4" t="inlineStr">
        <is>
          <t>idem-20260902-ios-1520</t>
        </is>
      </c>
    </row>
    <row r="1522" ht="30" customHeight="1">
      <c r="A1522" s="4" t="n">
        <v>1521</v>
      </c>
      <c r="B1522" s="4" t="inlineStr">
        <is>
          <t>MTR-IOS-1521</t>
        </is>
      </c>
      <c r="C1522" s="4" t="inlineStr">
        <is>
          <t>Business</t>
        </is>
      </c>
      <c r="D1522" s="4" t="inlineStr">
        <is>
          <t>Business</t>
        </is>
      </c>
      <c r="E1522" s="4" t="inlineStr">
        <is>
          <t>Team Operations</t>
        </is>
      </c>
      <c r="F1522" s="4" t="inlineStr">
        <is>
          <t>Hiring</t>
        </is>
      </c>
      <c r="G1522" s="4" t="inlineStr">
        <is>
          <t>Expense</t>
        </is>
      </c>
      <c r="H1522" s="12" t="n">
        <v>45978</v>
      </c>
      <c r="I1522" s="13" t="n">
        <v>0.7091898148148148</v>
      </c>
      <c r="J1522" s="14" t="n">
        <v>45978.70918981481</v>
      </c>
      <c r="K1522" s="15" t="n">
        <v>149665.94</v>
      </c>
      <c r="L1522" s="4" t="inlineStr">
        <is>
          <t>INR</t>
        </is>
      </c>
      <c r="M1522" s="15" t="n">
        <v>-149665.94</v>
      </c>
      <c r="N1522" s="4" t="inlineStr">
        <is>
          <t>IOS Owner</t>
        </is>
      </c>
      <c r="O1522" s="4" t="n"/>
      <c r="P1522" s="4" t="n"/>
      <c r="Q1522" s="4" t="inlineStr">
        <is>
          <t>MAESTRO-IOS-BUSINESS-TEAM_OPERATIONS-1521 | Hiring | 149665.94</t>
        </is>
      </c>
      <c r="R1522" s="4" t="inlineStr">
        <is>
          <t>iPhone</t>
        </is>
      </c>
      <c r="S1522" s="4" t="inlineStr">
        <is>
          <t>B31</t>
        </is>
      </c>
      <c r="T1522" s="4" t="inlineStr">
        <is>
          <t>RAMP_1501_2500</t>
        </is>
      </c>
      <c r="U1522" s="4" t="inlineStr">
        <is>
          <t>CREATED</t>
        </is>
      </c>
      <c r="V1522" s="4" t="inlineStr">
        <is>
          <t>idem-20260902-ios-1521</t>
        </is>
      </c>
    </row>
    <row r="1523" ht="30" customHeight="1">
      <c r="A1523" s="4" t="n">
        <v>1522</v>
      </c>
      <c r="B1523" s="4" t="inlineStr">
        <is>
          <t>MTR-IOS-1522</t>
        </is>
      </c>
      <c r="C1523" s="4" t="inlineStr">
        <is>
          <t>Personal</t>
        </is>
      </c>
      <c r="D1523" s="4" t="inlineStr">
        <is>
          <t>Personal</t>
        </is>
      </c>
      <c r="E1523" s="4" t="inlineStr">
        <is>
          <t>Life Operations</t>
        </is>
      </c>
      <c r="F1523" s="4" t="inlineStr">
        <is>
          <t>Rent</t>
        </is>
      </c>
      <c r="G1523" s="4" t="inlineStr">
        <is>
          <t>Expense</t>
        </is>
      </c>
      <c r="H1523" s="12" t="n">
        <v>46220</v>
      </c>
      <c r="I1523" s="13" t="n">
        <v>0.8134837962962963</v>
      </c>
      <c r="J1523" s="14" t="n">
        <v>46220.81348379629</v>
      </c>
      <c r="K1523" s="15" t="n">
        <v>5964.24</v>
      </c>
      <c r="L1523" s="4" t="inlineStr">
        <is>
          <t>INR</t>
        </is>
      </c>
      <c r="M1523" s="15" t="n">
        <v>-5964.24</v>
      </c>
      <c r="N1523" s="4" t="inlineStr">
        <is>
          <t>IOS Owner</t>
        </is>
      </c>
      <c r="O1523" s="4" t="n"/>
      <c r="P1523" s="4" t="n"/>
      <c r="Q1523" s="4" t="inlineStr">
        <is>
          <t>MAESTRO-IOS-PERSONAL-LIFE_OPERATIONS-1522 | Rent | 5964.24</t>
        </is>
      </c>
      <c r="R1523" s="4" t="inlineStr">
        <is>
          <t>iPhone</t>
        </is>
      </c>
      <c r="S1523" s="4" t="inlineStr">
        <is>
          <t>B31</t>
        </is>
      </c>
      <c r="T1523" s="4" t="inlineStr">
        <is>
          <t>RAMP_1501_2500</t>
        </is>
      </c>
      <c r="U1523" s="4" t="inlineStr">
        <is>
          <t>CREATED</t>
        </is>
      </c>
      <c r="V1523" s="4" t="inlineStr">
        <is>
          <t>idem-20260902-ios-1522</t>
        </is>
      </c>
    </row>
    <row r="1524" ht="30" customHeight="1">
      <c r="A1524" s="4" t="n">
        <v>1523</v>
      </c>
      <c r="B1524" s="4" t="inlineStr">
        <is>
          <t>MTR-IOS-1523</t>
        </is>
      </c>
      <c r="C1524" s="4" t="inlineStr">
        <is>
          <t>Group</t>
        </is>
      </c>
      <c r="D1524" s="4" t="inlineStr">
        <is>
          <t>Shared Living</t>
        </is>
      </c>
      <c r="E1524" s="4" t="inlineStr">
        <is>
          <t>Flatmates</t>
        </is>
      </c>
      <c r="F1524" s="4" t="inlineStr">
        <is>
          <t>House Supplies</t>
        </is>
      </c>
      <c r="G1524" s="4" t="inlineStr">
        <is>
          <t>Expense</t>
        </is>
      </c>
      <c r="H1524" s="12" t="n">
        <v>46109</v>
      </c>
      <c r="I1524" s="13" t="n">
        <v>0.4147337962962963</v>
      </c>
      <c r="J1524" s="14" t="n">
        <v>46109.41473379629</v>
      </c>
      <c r="K1524" s="15" t="n">
        <v>6263.2</v>
      </c>
      <c r="L1524" s="4" t="inlineStr">
        <is>
          <t>INR</t>
        </is>
      </c>
      <c r="M1524" s="15" t="n">
        <v>-6263.2</v>
      </c>
      <c r="N1524" s="4" t="inlineStr">
        <is>
          <t>IOS Owner</t>
        </is>
      </c>
      <c r="O1524" s="4" t="n">
        <v>3</v>
      </c>
      <c r="P1524" s="4" t="inlineStr">
        <is>
          <t>SHARES</t>
        </is>
      </c>
      <c r="Q1524" s="4" t="inlineStr">
        <is>
          <t>MAESTRO-IOS-GROUP-FLATMATES-1523 | House Supplies | 6263.20</t>
        </is>
      </c>
      <c r="R1524" s="4" t="inlineStr">
        <is>
          <t>iPhone</t>
        </is>
      </c>
      <c r="S1524" s="4" t="inlineStr">
        <is>
          <t>B31</t>
        </is>
      </c>
      <c r="T1524" s="4" t="inlineStr">
        <is>
          <t>RAMP_1501_2500</t>
        </is>
      </c>
      <c r="U1524" s="4" t="inlineStr">
        <is>
          <t>CREATED</t>
        </is>
      </c>
      <c r="V1524" s="4" t="inlineStr">
        <is>
          <t>idem-20260902-ios-1523</t>
        </is>
      </c>
    </row>
    <row r="1525" ht="30" customHeight="1">
      <c r="A1525" s="4" t="n">
        <v>1524</v>
      </c>
      <c r="B1525" s="4" t="inlineStr">
        <is>
          <t>MTR-IOS-1524</t>
        </is>
      </c>
      <c r="C1525" s="4" t="inlineStr">
        <is>
          <t>Business</t>
        </is>
      </c>
      <c r="D1525" s="4" t="inlineStr">
        <is>
          <t>Business</t>
        </is>
      </c>
      <c r="E1525" s="4" t="inlineStr">
        <is>
          <t>Team Operations</t>
        </is>
      </c>
      <c r="F1525" s="4" t="inlineStr">
        <is>
          <t>Team Meal</t>
        </is>
      </c>
      <c r="G1525" s="4" t="inlineStr">
        <is>
          <t>Expense</t>
        </is>
      </c>
      <c r="H1525" s="12" t="n">
        <v>45968</v>
      </c>
      <c r="I1525" s="13" t="n">
        <v>0.1757407407407408</v>
      </c>
      <c r="J1525" s="14" t="n">
        <v>45968.17574074074</v>
      </c>
      <c r="K1525" s="15" t="n">
        <v>99256.64</v>
      </c>
      <c r="L1525" s="4" t="inlineStr">
        <is>
          <t>INR</t>
        </is>
      </c>
      <c r="M1525" s="15" t="n">
        <v>-99256.64</v>
      </c>
      <c r="N1525" s="4" t="inlineStr">
        <is>
          <t>IOS Owner</t>
        </is>
      </c>
      <c r="O1525" s="4" t="n"/>
      <c r="P1525" s="4" t="n"/>
      <c r="Q1525" s="4" t="inlineStr">
        <is>
          <t>MAESTRO-IOS-BUSINESS-TEAM_OPERATIONS-1524 | Team Meal | 99256.64</t>
        </is>
      </c>
      <c r="R1525" s="4" t="inlineStr">
        <is>
          <t>iPhone</t>
        </is>
      </c>
      <c r="S1525" s="4" t="inlineStr">
        <is>
          <t>B31</t>
        </is>
      </c>
      <c r="T1525" s="4" t="inlineStr">
        <is>
          <t>RAMP_1501_2500</t>
        </is>
      </c>
      <c r="U1525" s="4" t="inlineStr">
        <is>
          <t>CREATED</t>
        </is>
      </c>
      <c r="V1525" s="4" t="inlineStr">
        <is>
          <t>idem-20260902-ios-1524</t>
        </is>
      </c>
    </row>
    <row r="1526" ht="30" customHeight="1">
      <c r="A1526" s="4" t="n">
        <v>1525</v>
      </c>
      <c r="B1526" s="4" t="inlineStr">
        <is>
          <t>MTR-IOS-1525</t>
        </is>
      </c>
      <c r="C1526" s="4" t="inlineStr">
        <is>
          <t>Personal</t>
        </is>
      </c>
      <c r="D1526" s="4" t="inlineStr">
        <is>
          <t>Personal</t>
        </is>
      </c>
      <c r="E1526" s="4" t="inlineStr">
        <is>
          <t>Life Operations</t>
        </is>
      </c>
      <c r="F1526" s="4" t="inlineStr">
        <is>
          <t>Bills</t>
        </is>
      </c>
      <c r="G1526" s="4" t="inlineStr">
        <is>
          <t>Expense</t>
        </is>
      </c>
      <c r="H1526" s="12" t="n">
        <v>46266</v>
      </c>
      <c r="I1526" s="13" t="n">
        <v>0.8221990740740741</v>
      </c>
      <c r="J1526" s="14" t="n">
        <v>46266.82219907407</v>
      </c>
      <c r="K1526" s="15" t="n">
        <v>7471.54</v>
      </c>
      <c r="L1526" s="4" t="inlineStr">
        <is>
          <t>INR</t>
        </is>
      </c>
      <c r="M1526" s="15" t="n">
        <v>-7471.54</v>
      </c>
      <c r="N1526" s="4" t="inlineStr">
        <is>
          <t>IOS Owner</t>
        </is>
      </c>
      <c r="O1526" s="4" t="n"/>
      <c r="P1526" s="4" t="n"/>
      <c r="Q1526" s="4" t="inlineStr">
        <is>
          <t>MAESTRO-IOS-PERSONAL-LIFE_OPERATIONS-1525 | Bills | 7471.54</t>
        </is>
      </c>
      <c r="R1526" s="4" t="inlineStr">
        <is>
          <t>iPhone</t>
        </is>
      </c>
      <c r="S1526" s="4" t="inlineStr">
        <is>
          <t>B31</t>
        </is>
      </c>
      <c r="T1526" s="4" t="inlineStr">
        <is>
          <t>RAMP_1501_2500</t>
        </is>
      </c>
      <c r="U1526" s="4" t="inlineStr">
        <is>
          <t>CREATED</t>
        </is>
      </c>
      <c r="V1526" s="4" t="inlineStr">
        <is>
          <t>idem-20260902-ios-1525</t>
        </is>
      </c>
    </row>
    <row r="1527" ht="30" customHeight="1">
      <c r="A1527" s="4" t="n">
        <v>1526</v>
      </c>
      <c r="B1527" s="4" t="inlineStr">
        <is>
          <t>MTR-IOS-1526</t>
        </is>
      </c>
      <c r="C1527" s="4" t="inlineStr">
        <is>
          <t>Group</t>
        </is>
      </c>
      <c r="D1527" s="4" t="inlineStr">
        <is>
          <t>Shared Living</t>
        </is>
      </c>
      <c r="E1527" s="4" t="inlineStr">
        <is>
          <t>Flatmates</t>
        </is>
      </c>
      <c r="F1527" s="4" t="inlineStr">
        <is>
          <t>Repairs</t>
        </is>
      </c>
      <c r="G1527" s="4" t="inlineStr">
        <is>
          <t>Expense</t>
        </is>
      </c>
      <c r="H1527" s="12" t="n">
        <v>46006</v>
      </c>
      <c r="I1527" s="13" t="n">
        <v>0.1476273148148148</v>
      </c>
      <c r="J1527" s="14" t="n">
        <v>46006.14762731481</v>
      </c>
      <c r="K1527" s="15" t="n">
        <v>5352.78</v>
      </c>
      <c r="L1527" s="4" t="inlineStr">
        <is>
          <t>INR</t>
        </is>
      </c>
      <c r="M1527" s="15" t="n">
        <v>-5352.78</v>
      </c>
      <c r="N1527" s="4" t="inlineStr">
        <is>
          <t>IOS Aarav</t>
        </is>
      </c>
      <c r="O1527" s="4" t="n">
        <v>3</v>
      </c>
      <c r="P1527" s="4" t="inlineStr">
        <is>
          <t>EQUAL</t>
        </is>
      </c>
      <c r="Q1527" s="4" t="inlineStr">
        <is>
          <t>MAESTRO-IOS-GROUP-FLATMATES-1526 | Repairs | 5352.78</t>
        </is>
      </c>
      <c r="R1527" s="4" t="inlineStr">
        <is>
          <t>iPhone</t>
        </is>
      </c>
      <c r="S1527" s="4" t="inlineStr">
        <is>
          <t>B31</t>
        </is>
      </c>
      <c r="T1527" s="4" t="inlineStr">
        <is>
          <t>RAMP_1501_2500</t>
        </is>
      </c>
      <c r="U1527" s="4" t="inlineStr">
        <is>
          <t>CREATED</t>
        </is>
      </c>
      <c r="V1527" s="4" t="inlineStr">
        <is>
          <t>idem-20260902-ios-1526</t>
        </is>
      </c>
    </row>
    <row r="1528" ht="30" customHeight="1">
      <c r="A1528" s="4" t="n">
        <v>1527</v>
      </c>
      <c r="B1528" s="4" t="inlineStr">
        <is>
          <t>MTR-IOS-1527</t>
        </is>
      </c>
      <c r="C1528" s="4" t="inlineStr">
        <is>
          <t>Business</t>
        </is>
      </c>
      <c r="D1528" s="4" t="inlineStr">
        <is>
          <t>Business</t>
        </is>
      </c>
      <c r="E1528" s="4" t="inlineStr">
        <is>
          <t>Team Operations</t>
        </is>
      </c>
      <c r="F1528" s="4" t="inlineStr">
        <is>
          <t>Travel</t>
        </is>
      </c>
      <c r="G1528" s="4" t="inlineStr">
        <is>
          <t>Expense</t>
        </is>
      </c>
      <c r="H1528" s="12" t="n">
        <v>46145</v>
      </c>
      <c r="I1528" s="13" t="n">
        <v>0.7011111111111111</v>
      </c>
      <c r="J1528" s="14" t="n">
        <v>46145.70111111111</v>
      </c>
      <c r="K1528" s="15" t="n">
        <v>71029.71000000001</v>
      </c>
      <c r="L1528" s="4" t="inlineStr">
        <is>
          <t>INR</t>
        </is>
      </c>
      <c r="M1528" s="15" t="n">
        <v>-71029.71000000001</v>
      </c>
      <c r="N1528" s="4" t="inlineStr">
        <is>
          <t>IOS Owner</t>
        </is>
      </c>
      <c r="O1528" s="4" t="n"/>
      <c r="P1528" s="4" t="n"/>
      <c r="Q1528" s="4" t="inlineStr">
        <is>
          <t>MAESTRO-IOS-BUSINESS-TEAM_OPERATIONS-1527 | Travel | 71029.71</t>
        </is>
      </c>
      <c r="R1528" s="4" t="inlineStr">
        <is>
          <t>iPhone</t>
        </is>
      </c>
      <c r="S1528" s="4" t="inlineStr">
        <is>
          <t>B31</t>
        </is>
      </c>
      <c r="T1528" s="4" t="inlineStr">
        <is>
          <t>RAMP_1501_2500</t>
        </is>
      </c>
      <c r="U1528" s="4" t="inlineStr">
        <is>
          <t>CREATED</t>
        </is>
      </c>
      <c r="V1528" s="4" t="inlineStr">
        <is>
          <t>idem-20260902-ios-1527</t>
        </is>
      </c>
    </row>
    <row r="1529" ht="30" customHeight="1">
      <c r="A1529" s="4" t="n">
        <v>1528</v>
      </c>
      <c r="B1529" s="4" t="inlineStr">
        <is>
          <t>MTR-IOS-1528</t>
        </is>
      </c>
      <c r="C1529" s="4" t="inlineStr">
        <is>
          <t>Personal</t>
        </is>
      </c>
      <c r="D1529" s="4" t="inlineStr">
        <is>
          <t>Personal</t>
        </is>
      </c>
      <c r="E1529" s="4" t="inlineStr">
        <is>
          <t>Life Operations</t>
        </is>
      </c>
      <c r="F1529" s="4" t="inlineStr">
        <is>
          <t>Transport</t>
        </is>
      </c>
      <c r="G1529" s="4" t="inlineStr">
        <is>
          <t>Expense</t>
        </is>
      </c>
      <c r="H1529" s="12" t="n">
        <v>46151</v>
      </c>
      <c r="I1529" s="13" t="n">
        <v>0.6031828703703703</v>
      </c>
      <c r="J1529" s="14" t="n">
        <v>46151.60318287037</v>
      </c>
      <c r="K1529" s="15" t="n">
        <v>2934.47</v>
      </c>
      <c r="L1529" s="4" t="inlineStr">
        <is>
          <t>INR</t>
        </is>
      </c>
      <c r="M1529" s="15" t="n">
        <v>-2934.47</v>
      </c>
      <c r="N1529" s="4" t="inlineStr">
        <is>
          <t>IOS Owner</t>
        </is>
      </c>
      <c r="O1529" s="4" t="n"/>
      <c r="P1529" s="4" t="n"/>
      <c r="Q1529" s="4" t="inlineStr">
        <is>
          <t>MAESTRO-IOS-PERSONAL-LIFE_OPERATIONS-1528 | Transport | 2934.47</t>
        </is>
      </c>
      <c r="R1529" s="4" t="inlineStr">
        <is>
          <t>iPhone</t>
        </is>
      </c>
      <c r="S1529" s="4" t="inlineStr">
        <is>
          <t>B31</t>
        </is>
      </c>
      <c r="T1529" s="4" t="inlineStr">
        <is>
          <t>RAMP_1501_2500</t>
        </is>
      </c>
      <c r="U1529" s="4" t="inlineStr">
        <is>
          <t>CREATED</t>
        </is>
      </c>
      <c r="V1529" s="4" t="inlineStr">
        <is>
          <t>idem-20260902-ios-1528</t>
        </is>
      </c>
    </row>
    <row r="1530" ht="30" customHeight="1">
      <c r="A1530" s="4" t="n">
        <v>1529</v>
      </c>
      <c r="B1530" s="4" t="inlineStr">
        <is>
          <t>MTR-IOS-1529</t>
        </is>
      </c>
      <c r="C1530" s="4" t="inlineStr">
        <is>
          <t>Group</t>
        </is>
      </c>
      <c r="D1530" s="4" t="inlineStr">
        <is>
          <t>Shared Living</t>
        </is>
      </c>
      <c r="E1530" s="4" t="inlineStr">
        <is>
          <t>Shared Living</t>
        </is>
      </c>
      <c r="F1530" s="4" t="inlineStr">
        <is>
          <t>Rent</t>
        </is>
      </c>
      <c r="G1530" s="4" t="inlineStr">
        <is>
          <t>Expense</t>
        </is>
      </c>
      <c r="H1530" s="12" t="n">
        <v>46163</v>
      </c>
      <c r="I1530" s="13" t="n">
        <v>0.604375</v>
      </c>
      <c r="J1530" s="14" t="n">
        <v>46163.604375</v>
      </c>
      <c r="K1530" s="15" t="n">
        <v>20325.13</v>
      </c>
      <c r="L1530" s="4" t="inlineStr">
        <is>
          <t>INR</t>
        </is>
      </c>
      <c r="M1530" s="15" t="n">
        <v>-20325.13</v>
      </c>
      <c r="N1530" s="4" t="inlineStr">
        <is>
          <t>IOS Meera</t>
        </is>
      </c>
      <c r="O1530" s="4" t="n">
        <v>3</v>
      </c>
      <c r="P1530" s="4" t="inlineStr">
        <is>
          <t>PERCENTAGE</t>
        </is>
      </c>
      <c r="Q1530" s="4" t="inlineStr">
        <is>
          <t>MAESTRO-IOS-GROUP-SHARED_LIVING-1529 | Rent | 20325.13</t>
        </is>
      </c>
      <c r="R1530" s="4" t="inlineStr">
        <is>
          <t>iPhone</t>
        </is>
      </c>
      <c r="S1530" s="4" t="inlineStr">
        <is>
          <t>B31</t>
        </is>
      </c>
      <c r="T1530" s="4" t="inlineStr">
        <is>
          <t>RAMP_1501_2500</t>
        </is>
      </c>
      <c r="U1530" s="4" t="inlineStr">
        <is>
          <t>CREATED</t>
        </is>
      </c>
      <c r="V1530" s="4" t="inlineStr">
        <is>
          <t>idem-20260902-ios-1529</t>
        </is>
      </c>
    </row>
    <row r="1531" ht="30" customHeight="1">
      <c r="A1531" s="4" t="n">
        <v>1530</v>
      </c>
      <c r="B1531" s="4" t="inlineStr">
        <is>
          <t>MTR-IOS-1530</t>
        </is>
      </c>
      <c r="C1531" s="4" t="inlineStr">
        <is>
          <t>Business</t>
        </is>
      </c>
      <c r="D1531" s="4" t="inlineStr">
        <is>
          <t>Business</t>
        </is>
      </c>
      <c r="E1531" s="4" t="inlineStr">
        <is>
          <t>Team Operations</t>
        </is>
      </c>
      <c r="F1531" s="4" t="inlineStr">
        <is>
          <t>Training</t>
        </is>
      </c>
      <c r="G1531" s="4" t="inlineStr">
        <is>
          <t>Expense</t>
        </is>
      </c>
      <c r="H1531" s="12" t="n">
        <v>46161</v>
      </c>
      <c r="I1531" s="13" t="n">
        <v>0.890787037037037</v>
      </c>
      <c r="J1531" s="14" t="n">
        <v>46161.89078703704</v>
      </c>
      <c r="K1531" s="15" t="n">
        <v>59647.42</v>
      </c>
      <c r="L1531" s="4" t="inlineStr">
        <is>
          <t>INR</t>
        </is>
      </c>
      <c r="M1531" s="15" t="n">
        <v>-59647.42</v>
      </c>
      <c r="N1531" s="4" t="inlineStr">
        <is>
          <t>IOS Owner</t>
        </is>
      </c>
      <c r="O1531" s="4" t="n"/>
      <c r="P1531" s="4" t="n"/>
      <c r="Q1531" s="4" t="inlineStr">
        <is>
          <t>MAESTRO-IOS-BUSINESS-TEAM_OPERATIONS-1530 | Training | 59647.42</t>
        </is>
      </c>
      <c r="R1531" s="4" t="inlineStr">
        <is>
          <t>iPhone</t>
        </is>
      </c>
      <c r="S1531" s="4" t="inlineStr">
        <is>
          <t>B31</t>
        </is>
      </c>
      <c r="T1531" s="4" t="inlineStr">
        <is>
          <t>RAMP_1501_2500</t>
        </is>
      </c>
      <c r="U1531" s="4" t="inlineStr">
        <is>
          <t>CREATED</t>
        </is>
      </c>
      <c r="V1531" s="4" t="inlineStr">
        <is>
          <t>idem-20260902-ios-1530</t>
        </is>
      </c>
    </row>
    <row r="1532" ht="30" customHeight="1">
      <c r="A1532" s="4" t="n">
        <v>1531</v>
      </c>
      <c r="B1532" s="4" t="inlineStr">
        <is>
          <t>MTR-IOS-1531</t>
        </is>
      </c>
      <c r="C1532" s="4" t="inlineStr">
        <is>
          <t>Personal</t>
        </is>
      </c>
      <c r="D1532" s="4" t="inlineStr">
        <is>
          <t>Personal</t>
        </is>
      </c>
      <c r="E1532" s="4" t="inlineStr">
        <is>
          <t>Life Operations</t>
        </is>
      </c>
      <c r="F1532" s="4" t="inlineStr">
        <is>
          <t>Healthcare</t>
        </is>
      </c>
      <c r="G1532" s="4" t="inlineStr">
        <is>
          <t>Expense</t>
        </is>
      </c>
      <c r="H1532" s="12" t="n">
        <v>45908</v>
      </c>
      <c r="I1532" s="13" t="n">
        <v>0.5497453703703704</v>
      </c>
      <c r="J1532" s="14" t="n">
        <v>45908.54974537037</v>
      </c>
      <c r="K1532" s="15" t="n">
        <v>4084.33</v>
      </c>
      <c r="L1532" s="4" t="inlineStr">
        <is>
          <t>INR</t>
        </is>
      </c>
      <c r="M1532" s="15" t="n">
        <v>-4084.33</v>
      </c>
      <c r="N1532" s="4" t="inlineStr">
        <is>
          <t>IOS Owner</t>
        </is>
      </c>
      <c r="O1532" s="4" t="n"/>
      <c r="P1532" s="4" t="n"/>
      <c r="Q1532" s="4" t="inlineStr">
        <is>
          <t>MAESTRO-IOS-PERSONAL-LIFE_OPERATIONS-1531 | Healthcare | 4084.33</t>
        </is>
      </c>
      <c r="R1532" s="4" t="inlineStr">
        <is>
          <t>iPhone</t>
        </is>
      </c>
      <c r="S1532" s="4" t="inlineStr">
        <is>
          <t>B31</t>
        </is>
      </c>
      <c r="T1532" s="4" t="inlineStr">
        <is>
          <t>RAMP_1501_2500</t>
        </is>
      </c>
      <c r="U1532" s="4" t="inlineStr">
        <is>
          <t>CREATED</t>
        </is>
      </c>
      <c r="V1532" s="4" t="inlineStr">
        <is>
          <t>idem-20260902-ios-1531</t>
        </is>
      </c>
    </row>
    <row r="1533" ht="30" customHeight="1">
      <c r="A1533" s="4" t="n">
        <v>1532</v>
      </c>
      <c r="B1533" s="4" t="inlineStr">
        <is>
          <t>MTR-IOS-1532</t>
        </is>
      </c>
      <c r="C1533" s="4" t="inlineStr">
        <is>
          <t>Group</t>
        </is>
      </c>
      <c r="D1533" s="4" t="inlineStr">
        <is>
          <t>Shared Living</t>
        </is>
      </c>
      <c r="E1533" s="4" t="inlineStr">
        <is>
          <t>Shared Living</t>
        </is>
      </c>
      <c r="F1533" s="4" t="inlineStr">
        <is>
          <t>Utilities</t>
        </is>
      </c>
      <c r="G1533" s="4" t="inlineStr">
        <is>
          <t>Expense</t>
        </is>
      </c>
      <c r="H1533" s="12" t="n">
        <v>45981</v>
      </c>
      <c r="I1533" s="13" t="n">
        <v>0.9362615740740741</v>
      </c>
      <c r="J1533" s="14" t="n">
        <v>45981.93626157408</v>
      </c>
      <c r="K1533" s="15" t="n">
        <v>26042.82</v>
      </c>
      <c r="L1533" s="4" t="inlineStr">
        <is>
          <t>INR</t>
        </is>
      </c>
      <c r="M1533" s="15" t="n">
        <v>-26042.82</v>
      </c>
      <c r="N1533" s="4" t="inlineStr">
        <is>
          <t>IOS Owner</t>
        </is>
      </c>
      <c r="O1533" s="4" t="n">
        <v>3</v>
      </c>
      <c r="P1533" s="4" t="inlineStr">
        <is>
          <t>EXACT</t>
        </is>
      </c>
      <c r="Q1533" s="4" t="inlineStr">
        <is>
          <t>MAESTRO-IOS-GROUP-SHARED_LIVING-1532 | Utilities | 26042.82</t>
        </is>
      </c>
      <c r="R1533" s="4" t="inlineStr">
        <is>
          <t>iPhone</t>
        </is>
      </c>
      <c r="S1533" s="4" t="inlineStr">
        <is>
          <t>B31</t>
        </is>
      </c>
      <c r="T1533" s="4" t="inlineStr">
        <is>
          <t>RAMP_1501_2500</t>
        </is>
      </c>
      <c r="U1533" s="4" t="inlineStr">
        <is>
          <t>CREATED</t>
        </is>
      </c>
      <c r="V1533" s="4" t="inlineStr">
        <is>
          <t>idem-20260902-ios-1532</t>
        </is>
      </c>
    </row>
    <row r="1534" ht="30" customHeight="1">
      <c r="A1534" s="4" t="n">
        <v>1533</v>
      </c>
      <c r="B1534" s="4" t="inlineStr">
        <is>
          <t>MTR-IOS-1533</t>
        </is>
      </c>
      <c r="C1534" s="4" t="inlineStr">
        <is>
          <t>Business</t>
        </is>
      </c>
      <c r="D1534" s="4" t="inlineStr">
        <is>
          <t>Business</t>
        </is>
      </c>
      <c r="E1534" s="4" t="inlineStr">
        <is>
          <t>Team Operations</t>
        </is>
      </c>
      <c r="F1534" s="4" t="inlineStr">
        <is>
          <t>Tools</t>
        </is>
      </c>
      <c r="G1534" s="4" t="inlineStr">
        <is>
          <t>Expense</t>
        </is>
      </c>
      <c r="H1534" s="12" t="n">
        <v>46208</v>
      </c>
      <c r="I1534" s="13" t="n">
        <v>0.2961111111111111</v>
      </c>
      <c r="J1534" s="14" t="n">
        <v>46208.29611111111</v>
      </c>
      <c r="K1534" s="15" t="n">
        <v>21068</v>
      </c>
      <c r="L1534" s="4" t="inlineStr">
        <is>
          <t>INR</t>
        </is>
      </c>
      <c r="M1534" s="15" t="n">
        <v>-21068</v>
      </c>
      <c r="N1534" s="4" t="inlineStr">
        <is>
          <t>IOS Owner</t>
        </is>
      </c>
      <c r="O1534" s="4" t="n"/>
      <c r="P1534" s="4" t="n"/>
      <c r="Q1534" s="4" t="inlineStr">
        <is>
          <t>MAESTRO-IOS-BUSINESS-TEAM_OPERATIONS-1533 | Tools | 21068.00</t>
        </is>
      </c>
      <c r="R1534" s="4" t="inlineStr">
        <is>
          <t>iPhone</t>
        </is>
      </c>
      <c r="S1534" s="4" t="inlineStr">
        <is>
          <t>B31</t>
        </is>
      </c>
      <c r="T1534" s="4" t="inlineStr">
        <is>
          <t>RAMP_1501_2500</t>
        </is>
      </c>
      <c r="U1534" s="4" t="inlineStr">
        <is>
          <t>CREATED</t>
        </is>
      </c>
      <c r="V1534" s="4" t="inlineStr">
        <is>
          <t>idem-20260902-ios-1533</t>
        </is>
      </c>
    </row>
    <row r="1535" ht="30" customHeight="1">
      <c r="A1535" s="4" t="n">
        <v>1534</v>
      </c>
      <c r="B1535" s="4" t="inlineStr">
        <is>
          <t>MTR-IOS-1534</t>
        </is>
      </c>
      <c r="C1535" s="4" t="inlineStr">
        <is>
          <t>Personal</t>
        </is>
      </c>
      <c r="D1535" s="4" t="inlineStr">
        <is>
          <t>Personal</t>
        </is>
      </c>
      <c r="E1535" s="4" t="inlineStr">
        <is>
          <t>Life Operations</t>
        </is>
      </c>
      <c r="F1535" s="4" t="inlineStr">
        <is>
          <t>Subscriptions</t>
        </is>
      </c>
      <c r="G1535" s="4" t="inlineStr">
        <is>
          <t>Expense</t>
        </is>
      </c>
      <c r="H1535" s="12" t="n">
        <v>46068</v>
      </c>
      <c r="I1535" s="13" t="n">
        <v>0.7474189814814814</v>
      </c>
      <c r="J1535" s="14" t="n">
        <v>46068.74741898148</v>
      </c>
      <c r="K1535" s="15" t="n">
        <v>1108.86</v>
      </c>
      <c r="L1535" s="4" t="inlineStr">
        <is>
          <t>INR</t>
        </is>
      </c>
      <c r="M1535" s="15" t="n">
        <v>-1108.86</v>
      </c>
      <c r="N1535" s="4" t="inlineStr">
        <is>
          <t>IOS Owner</t>
        </is>
      </c>
      <c r="O1535" s="4" t="n"/>
      <c r="P1535" s="4" t="n"/>
      <c r="Q1535" s="4" t="inlineStr">
        <is>
          <t>MAESTRO-IOS-PERSONAL-LIFE_OPERATIONS-1534 | Subscriptions | 1108.86</t>
        </is>
      </c>
      <c r="R1535" s="4" t="inlineStr">
        <is>
          <t>iPhone</t>
        </is>
      </c>
      <c r="S1535" s="4" t="inlineStr">
        <is>
          <t>B31</t>
        </is>
      </c>
      <c r="T1535" s="4" t="inlineStr">
        <is>
          <t>RAMP_1501_2500</t>
        </is>
      </c>
      <c r="U1535" s="4" t="inlineStr">
        <is>
          <t>CREATED</t>
        </is>
      </c>
      <c r="V1535" s="4" t="inlineStr">
        <is>
          <t>idem-20260902-ios-1534</t>
        </is>
      </c>
    </row>
    <row r="1536" ht="30" customHeight="1">
      <c r="A1536" s="4" t="n">
        <v>1535</v>
      </c>
      <c r="B1536" s="4" t="inlineStr">
        <is>
          <t>MTR-IOS-1535</t>
        </is>
      </c>
      <c r="C1536" s="4" t="inlineStr">
        <is>
          <t>Group</t>
        </is>
      </c>
      <c r="D1536" s="4" t="inlineStr">
        <is>
          <t>Shared Living</t>
        </is>
      </c>
      <c r="E1536" s="4" t="inlineStr">
        <is>
          <t>Shared Living</t>
        </is>
      </c>
      <c r="F1536" s="4" t="inlineStr">
        <is>
          <t>Groceries</t>
        </is>
      </c>
      <c r="G1536" s="4" t="inlineStr">
        <is>
          <t>Expense</t>
        </is>
      </c>
      <c r="H1536" s="12" t="n">
        <v>45998</v>
      </c>
      <c r="I1536" s="13" t="n">
        <v>0.4719097222222222</v>
      </c>
      <c r="J1536" s="14" t="n">
        <v>45998.47190972222</v>
      </c>
      <c r="K1536" s="15" t="n">
        <v>24772</v>
      </c>
      <c r="L1536" s="4" t="inlineStr">
        <is>
          <t>INR</t>
        </is>
      </c>
      <c r="M1536" s="15" t="n">
        <v>-24772</v>
      </c>
      <c r="N1536" s="4" t="inlineStr">
        <is>
          <t>IOS Aarav</t>
        </is>
      </c>
      <c r="O1536" s="4" t="n">
        <v>3</v>
      </c>
      <c r="P1536" s="4" t="inlineStr">
        <is>
          <t>SHARES</t>
        </is>
      </c>
      <c r="Q1536" s="4" t="inlineStr">
        <is>
          <t>MAESTRO-IOS-GROUP-SHARED_LIVING-1535 | Groceries | 24772.00</t>
        </is>
      </c>
      <c r="R1536" s="4" t="inlineStr">
        <is>
          <t>iPhone</t>
        </is>
      </c>
      <c r="S1536" s="4" t="inlineStr">
        <is>
          <t>B31</t>
        </is>
      </c>
      <c r="T1536" s="4" t="inlineStr">
        <is>
          <t>RAMP_1501_2500</t>
        </is>
      </c>
      <c r="U1536" s="4" t="inlineStr">
        <is>
          <t>CREATED</t>
        </is>
      </c>
      <c r="V1536" s="4" t="inlineStr">
        <is>
          <t>idem-20260902-ios-1535</t>
        </is>
      </c>
    </row>
    <row r="1537" ht="30" customHeight="1">
      <c r="A1537" s="4" t="n">
        <v>1536</v>
      </c>
      <c r="B1537" s="4" t="inlineStr">
        <is>
          <t>MTR-IOS-1536</t>
        </is>
      </c>
      <c r="C1537" s="4" t="inlineStr">
        <is>
          <t>Business</t>
        </is>
      </c>
      <c r="D1537" s="4" t="inlineStr">
        <is>
          <t>Business</t>
        </is>
      </c>
      <c r="E1537" s="4" t="inlineStr">
        <is>
          <t>Business Runway</t>
        </is>
      </c>
      <c r="F1537" s="4" t="inlineStr">
        <is>
          <t>Funding</t>
        </is>
      </c>
      <c r="G1537" s="4" t="inlineStr">
        <is>
          <t>Income</t>
        </is>
      </c>
      <c r="H1537" s="12" t="n">
        <v>46208</v>
      </c>
      <c r="I1537" s="13" t="n">
        <v>0.7633796296296296</v>
      </c>
      <c r="J1537" s="14" t="n">
        <v>46208.76337962963</v>
      </c>
      <c r="K1537" s="15" t="n">
        <v>11878.23</v>
      </c>
      <c r="L1537" s="4" t="inlineStr">
        <is>
          <t>INR</t>
        </is>
      </c>
      <c r="M1537" s="15" t="n">
        <v>11878.23</v>
      </c>
      <c r="N1537" s="4" t="inlineStr">
        <is>
          <t>IOS Owner</t>
        </is>
      </c>
      <c r="O1537" s="4" t="n"/>
      <c r="P1537" s="4" t="n"/>
      <c r="Q1537" s="4" t="inlineStr">
        <is>
          <t>MAESTRO-IOS-BUSINESS-BUSINESS_RUNWAY-1536 | Funding | 11878.23</t>
        </is>
      </c>
      <c r="R1537" s="4" t="inlineStr">
        <is>
          <t>iPhone</t>
        </is>
      </c>
      <c r="S1537" s="4" t="inlineStr">
        <is>
          <t>B31</t>
        </is>
      </c>
      <c r="T1537" s="4" t="inlineStr">
        <is>
          <t>RAMP_1501_2500</t>
        </is>
      </c>
      <c r="U1537" s="4" t="inlineStr">
        <is>
          <t>CREATED</t>
        </is>
      </c>
      <c r="V1537" s="4" t="inlineStr">
        <is>
          <t>idem-20260902-ios-1536</t>
        </is>
      </c>
    </row>
    <row r="1538" ht="30" customHeight="1">
      <c r="A1538" s="4" t="n">
        <v>1537</v>
      </c>
      <c r="B1538" s="4" t="inlineStr">
        <is>
          <t>MTR-IOS-1537</t>
        </is>
      </c>
      <c r="C1538" s="4" t="inlineStr">
        <is>
          <t>Personal</t>
        </is>
      </c>
      <c r="D1538" s="4" t="inlineStr">
        <is>
          <t>Personal</t>
        </is>
      </c>
      <c r="E1538" s="4" t="inlineStr">
        <is>
          <t>Life Operations</t>
        </is>
      </c>
      <c r="F1538" s="4" t="inlineStr">
        <is>
          <t>Repairs</t>
        </is>
      </c>
      <c r="G1538" s="4" t="inlineStr">
        <is>
          <t>Expense</t>
        </is>
      </c>
      <c r="H1538" s="12" t="n">
        <v>46130</v>
      </c>
      <c r="I1538" s="13" t="n">
        <v>0.8877314814814815</v>
      </c>
      <c r="J1538" s="14" t="n">
        <v>46130.88773148148</v>
      </c>
      <c r="K1538" s="15" t="n">
        <v>9240.18</v>
      </c>
      <c r="L1538" s="4" t="inlineStr">
        <is>
          <t>INR</t>
        </is>
      </c>
      <c r="M1538" s="15" t="n">
        <v>-9240.18</v>
      </c>
      <c r="N1538" s="4" t="inlineStr">
        <is>
          <t>IOS Owner</t>
        </is>
      </c>
      <c r="O1538" s="4" t="n"/>
      <c r="P1538" s="4" t="n"/>
      <c r="Q1538" s="4" t="inlineStr">
        <is>
          <t>MAESTRO-IOS-PERSONAL-LIFE_OPERATIONS-1537 | Repairs | 9240.18</t>
        </is>
      </c>
      <c r="R1538" s="4" t="inlineStr">
        <is>
          <t>iPhone</t>
        </is>
      </c>
      <c r="S1538" s="4" t="inlineStr">
        <is>
          <t>B31</t>
        </is>
      </c>
      <c r="T1538" s="4" t="inlineStr">
        <is>
          <t>RAMP_1501_2500</t>
        </is>
      </c>
      <c r="U1538" s="4" t="inlineStr">
        <is>
          <t>CREATED</t>
        </is>
      </c>
      <c r="V1538" s="4" t="inlineStr">
        <is>
          <t>idem-20260902-ios-1537</t>
        </is>
      </c>
    </row>
    <row r="1539" ht="30" customHeight="1">
      <c r="A1539" s="4" t="n">
        <v>1538</v>
      </c>
      <c r="B1539" s="4" t="inlineStr">
        <is>
          <t>MTR-IOS-1538</t>
        </is>
      </c>
      <c r="C1539" s="4" t="inlineStr">
        <is>
          <t>Group</t>
        </is>
      </c>
      <c r="D1539" s="4" t="inlineStr">
        <is>
          <t>Shared Living</t>
        </is>
      </c>
      <c r="E1539" s="4" t="inlineStr">
        <is>
          <t>Shared Living</t>
        </is>
      </c>
      <c r="F1539" s="4" t="inlineStr">
        <is>
          <t>Maintenance</t>
        </is>
      </c>
      <c r="G1539" s="4" t="inlineStr">
        <is>
          <t>Expense</t>
        </is>
      </c>
      <c r="H1539" s="12" t="n">
        <v>45920</v>
      </c>
      <c r="I1539" s="13" t="n">
        <v>0.6616782407407408</v>
      </c>
      <c r="J1539" s="14" t="n">
        <v>45920.66167824074</v>
      </c>
      <c r="K1539" s="15" t="n">
        <v>3058.56</v>
      </c>
      <c r="L1539" s="4" t="inlineStr">
        <is>
          <t>INR</t>
        </is>
      </c>
      <c r="M1539" s="15" t="n">
        <v>-3058.56</v>
      </c>
      <c r="N1539" s="4" t="inlineStr">
        <is>
          <t>IOS Meera</t>
        </is>
      </c>
      <c r="O1539" s="4" t="n">
        <v>3</v>
      </c>
      <c r="P1539" s="4" t="inlineStr">
        <is>
          <t>EQUAL</t>
        </is>
      </c>
      <c r="Q1539" s="4" t="inlineStr">
        <is>
          <t>MAESTRO-IOS-GROUP-SHARED_LIVING-1538 | Maintenance | 3058.56</t>
        </is>
      </c>
      <c r="R1539" s="4" t="inlineStr">
        <is>
          <t>iPhone</t>
        </is>
      </c>
      <c r="S1539" s="4" t="inlineStr">
        <is>
          <t>B31</t>
        </is>
      </c>
      <c r="T1539" s="4" t="inlineStr">
        <is>
          <t>RAMP_1501_2500</t>
        </is>
      </c>
      <c r="U1539" s="4" t="inlineStr">
        <is>
          <t>CREATED</t>
        </is>
      </c>
      <c r="V1539" s="4" t="inlineStr">
        <is>
          <t>idem-20260902-ios-1538</t>
        </is>
      </c>
    </row>
    <row r="1540" ht="30" customHeight="1">
      <c r="A1540" s="4" t="n">
        <v>1539</v>
      </c>
      <c r="B1540" s="4" t="inlineStr">
        <is>
          <t>MTR-IOS-1539</t>
        </is>
      </c>
      <c r="C1540" s="4" t="inlineStr">
        <is>
          <t>Business</t>
        </is>
      </c>
      <c r="D1540" s="4" t="inlineStr">
        <is>
          <t>Business</t>
        </is>
      </c>
      <c r="E1540" s="4" t="inlineStr">
        <is>
          <t>Business Runway</t>
        </is>
      </c>
      <c r="F1540" s="4" t="inlineStr">
        <is>
          <t>Revenue</t>
        </is>
      </c>
      <c r="G1540" s="4" t="inlineStr">
        <is>
          <t>Income</t>
        </is>
      </c>
      <c r="H1540" s="12" t="n">
        <v>46079</v>
      </c>
      <c r="I1540" s="13" t="n">
        <v>0.5592361111111112</v>
      </c>
      <c r="J1540" s="14" t="n">
        <v>46079.55923611111</v>
      </c>
      <c r="K1540" s="15" t="n">
        <v>73202.33</v>
      </c>
      <c r="L1540" s="4" t="inlineStr">
        <is>
          <t>INR</t>
        </is>
      </c>
      <c r="M1540" s="15" t="n">
        <v>73202.33</v>
      </c>
      <c r="N1540" s="4" t="inlineStr">
        <is>
          <t>IOS Owner</t>
        </is>
      </c>
      <c r="O1540" s="4" t="n"/>
      <c r="P1540" s="4" t="n"/>
      <c r="Q1540" s="4" t="inlineStr">
        <is>
          <t>MAESTRO-IOS-BUSINESS-BUSINESS_RUNWAY-1539 | Revenue | 73202.33</t>
        </is>
      </c>
      <c r="R1540" s="4" t="inlineStr">
        <is>
          <t>iPhone</t>
        </is>
      </c>
      <c r="S1540" s="4" t="inlineStr">
        <is>
          <t>B31</t>
        </is>
      </c>
      <c r="T1540" s="4" t="inlineStr">
        <is>
          <t>RAMP_1501_2500</t>
        </is>
      </c>
      <c r="U1540" s="4" t="inlineStr">
        <is>
          <t>CREATED</t>
        </is>
      </c>
      <c r="V1540" s="4" t="inlineStr">
        <is>
          <t>idem-20260902-ios-1539</t>
        </is>
      </c>
    </row>
    <row r="1541" ht="30" customHeight="1">
      <c r="A1541" s="4" t="n">
        <v>1540</v>
      </c>
      <c r="B1541" s="4" t="inlineStr">
        <is>
          <t>MTR-IOS-1540</t>
        </is>
      </c>
      <c r="C1541" s="4" t="inlineStr">
        <is>
          <t>Personal</t>
        </is>
      </c>
      <c r="D1541" s="4" t="inlineStr">
        <is>
          <t>Personal</t>
        </is>
      </c>
      <c r="E1541" s="4" t="inlineStr">
        <is>
          <t>Future Building</t>
        </is>
      </c>
      <c r="F1541" s="4" t="inlineStr">
        <is>
          <t>Savings</t>
        </is>
      </c>
      <c r="G1541" s="4" t="inlineStr">
        <is>
          <t>Transfer</t>
        </is>
      </c>
      <c r="H1541" s="12" t="n">
        <v>45993</v>
      </c>
      <c r="I1541" s="13" t="n">
        <v>0.4215625</v>
      </c>
      <c r="J1541" s="14" t="n">
        <v>45993.4215625</v>
      </c>
      <c r="K1541" s="15" t="n">
        <v>13923.64</v>
      </c>
      <c r="L1541" s="4" t="inlineStr">
        <is>
          <t>INR</t>
        </is>
      </c>
      <c r="M1541" s="15" t="n">
        <v>0</v>
      </c>
      <c r="N1541" s="4" t="inlineStr">
        <is>
          <t>IOS Owner</t>
        </is>
      </c>
      <c r="O1541" s="4" t="n"/>
      <c r="P1541" s="4" t="n"/>
      <c r="Q1541" s="4" t="inlineStr">
        <is>
          <t>MAESTRO-IOS-PERSONAL-FUTURE_BUILDING-1540 | Savings | 13923.64</t>
        </is>
      </c>
      <c r="R1541" s="4" t="inlineStr">
        <is>
          <t>iPhone</t>
        </is>
      </c>
      <c r="S1541" s="4" t="inlineStr">
        <is>
          <t>B31</t>
        </is>
      </c>
      <c r="T1541" s="4" t="inlineStr">
        <is>
          <t>RAMP_1501_2500</t>
        </is>
      </c>
      <c r="U1541" s="4" t="inlineStr">
        <is>
          <t>CREATED</t>
        </is>
      </c>
      <c r="V1541" s="4" t="inlineStr">
        <is>
          <t>idem-20260902-ios-1540</t>
        </is>
      </c>
    </row>
    <row r="1542" ht="30" customHeight="1">
      <c r="A1542" s="4" t="n">
        <v>1541</v>
      </c>
      <c r="B1542" s="4" t="inlineStr">
        <is>
          <t>MTR-IOS-1541</t>
        </is>
      </c>
      <c r="C1542" s="4" t="inlineStr">
        <is>
          <t>Group</t>
        </is>
      </c>
      <c r="D1542" s="4" t="inlineStr">
        <is>
          <t>Shared Living</t>
        </is>
      </c>
      <c r="E1542" s="4" t="inlineStr">
        <is>
          <t>Shared Living</t>
        </is>
      </c>
      <c r="F1542" s="4" t="inlineStr">
        <is>
          <t>Other</t>
        </is>
      </c>
      <c r="G1542" s="4" t="inlineStr">
        <is>
          <t>Expense</t>
        </is>
      </c>
      <c r="H1542" s="12" t="n">
        <v>46202</v>
      </c>
      <c r="I1542" s="13" t="n">
        <v>0.742824074074074</v>
      </c>
      <c r="J1542" s="14" t="n">
        <v>46202.74282407408</v>
      </c>
      <c r="K1542" s="15" t="n">
        <v>15071.81</v>
      </c>
      <c r="L1542" s="4" t="inlineStr">
        <is>
          <t>INR</t>
        </is>
      </c>
      <c r="M1542" s="15" t="n">
        <v>-15071.81</v>
      </c>
      <c r="N1542" s="4" t="inlineStr">
        <is>
          <t>IOS Owner</t>
        </is>
      </c>
      <c r="O1542" s="4" t="n">
        <v>3</v>
      </c>
      <c r="P1542" s="4" t="inlineStr">
        <is>
          <t>PERCENTAGE</t>
        </is>
      </c>
      <c r="Q1542" s="4" t="inlineStr">
        <is>
          <t>MAESTRO-IOS-GROUP-SHARED_LIVING-1541 | Other | 15071.81</t>
        </is>
      </c>
      <c r="R1542" s="4" t="inlineStr">
        <is>
          <t>iPhone</t>
        </is>
      </c>
      <c r="S1542" s="4" t="inlineStr">
        <is>
          <t>B31</t>
        </is>
      </c>
      <c r="T1542" s="4" t="inlineStr">
        <is>
          <t>RAMP_1501_2500</t>
        </is>
      </c>
      <c r="U1542" s="4" t="inlineStr">
        <is>
          <t>CREATED</t>
        </is>
      </c>
      <c r="V1542" s="4" t="inlineStr">
        <is>
          <t>idem-20260902-ios-1541</t>
        </is>
      </c>
    </row>
    <row r="1543" ht="30" customHeight="1">
      <c r="A1543" s="4" t="n">
        <v>1542</v>
      </c>
      <c r="B1543" s="4" t="inlineStr">
        <is>
          <t>MTR-IOS-1542</t>
        </is>
      </c>
      <c r="C1543" s="4" t="inlineStr">
        <is>
          <t>Business</t>
        </is>
      </c>
      <c r="D1543" s="4" t="inlineStr">
        <is>
          <t>Business</t>
        </is>
      </c>
      <c r="E1543" s="4" t="inlineStr">
        <is>
          <t>Business Runway</t>
        </is>
      </c>
      <c r="F1543" s="4" t="inlineStr">
        <is>
          <t>Burn</t>
        </is>
      </c>
      <c r="G1543" s="4" t="inlineStr">
        <is>
          <t>Expense</t>
        </is>
      </c>
      <c r="H1543" s="12" t="n">
        <v>46152</v>
      </c>
      <c r="I1543" s="13" t="n">
        <v>0.07630787037037037</v>
      </c>
      <c r="J1543" s="14" t="n">
        <v>46152.07630787037</v>
      </c>
      <c r="K1543" s="15" t="n">
        <v>105717.55</v>
      </c>
      <c r="L1543" s="4" t="inlineStr">
        <is>
          <t>INR</t>
        </is>
      </c>
      <c r="M1543" s="15" t="n">
        <v>-105717.55</v>
      </c>
      <c r="N1543" s="4" t="inlineStr">
        <is>
          <t>IOS Owner</t>
        </is>
      </c>
      <c r="O1543" s="4" t="n"/>
      <c r="P1543" s="4" t="n"/>
      <c r="Q1543" s="4" t="inlineStr">
        <is>
          <t>MAESTRO-IOS-BUSINESS-BUSINESS_RUNWAY-1542 | Burn | 105717.55</t>
        </is>
      </c>
      <c r="R1543" s="4" t="inlineStr">
        <is>
          <t>iPhone</t>
        </is>
      </c>
      <c r="S1543" s="4" t="inlineStr">
        <is>
          <t>B31</t>
        </is>
      </c>
      <c r="T1543" s="4" t="inlineStr">
        <is>
          <t>RAMP_1501_2500</t>
        </is>
      </c>
      <c r="U1543" s="4" t="inlineStr">
        <is>
          <t>CREATED</t>
        </is>
      </c>
      <c r="V1543" s="4" t="inlineStr">
        <is>
          <t>idem-20260902-ios-1542</t>
        </is>
      </c>
    </row>
    <row r="1544" ht="30" customHeight="1">
      <c r="A1544" s="4" t="n">
        <v>1543</v>
      </c>
      <c r="B1544" s="4" t="inlineStr">
        <is>
          <t>MTR-IOS-1543</t>
        </is>
      </c>
      <c r="C1544" s="4" t="inlineStr">
        <is>
          <t>Personal</t>
        </is>
      </c>
      <c r="D1544" s="4" t="inlineStr">
        <is>
          <t>Personal</t>
        </is>
      </c>
      <c r="E1544" s="4" t="inlineStr">
        <is>
          <t>Future Building</t>
        </is>
      </c>
      <c r="F1544" s="4" t="inlineStr">
        <is>
          <t>Emergency Fund</t>
        </is>
      </c>
      <c r="G1544" s="4" t="inlineStr">
        <is>
          <t>Transfer</t>
        </is>
      </c>
      <c r="H1544" s="12" t="n">
        <v>46008</v>
      </c>
      <c r="I1544" s="13" t="n">
        <v>0.5091203703703704</v>
      </c>
      <c r="J1544" s="14" t="n">
        <v>46008.50912037037</v>
      </c>
      <c r="K1544" s="15" t="n">
        <v>8057.52</v>
      </c>
      <c r="L1544" s="4" t="inlineStr">
        <is>
          <t>INR</t>
        </is>
      </c>
      <c r="M1544" s="15" t="n">
        <v>0</v>
      </c>
      <c r="N1544" s="4" t="inlineStr">
        <is>
          <t>IOS Owner</t>
        </is>
      </c>
      <c r="O1544" s="4" t="n"/>
      <c r="P1544" s="4" t="n"/>
      <c r="Q1544" s="4" t="inlineStr">
        <is>
          <t>MAESTRO-IOS-PERSONAL-FUTURE_BUILDING-1543 | Emergency Fund | 8057.52</t>
        </is>
      </c>
      <c r="R1544" s="4" t="inlineStr">
        <is>
          <t>iPhone</t>
        </is>
      </c>
      <c r="S1544" s="4" t="inlineStr">
        <is>
          <t>B31</t>
        </is>
      </c>
      <c r="T1544" s="4" t="inlineStr">
        <is>
          <t>RAMP_1501_2500</t>
        </is>
      </c>
      <c r="U1544" s="4" t="inlineStr">
        <is>
          <t>CREATED</t>
        </is>
      </c>
      <c r="V1544" s="4" t="inlineStr">
        <is>
          <t>idem-20260902-ios-1543</t>
        </is>
      </c>
    </row>
    <row r="1545" ht="30" customHeight="1">
      <c r="A1545" s="4" t="n">
        <v>1544</v>
      </c>
      <c r="B1545" s="4" t="inlineStr">
        <is>
          <t>MTR-IOS-1544</t>
        </is>
      </c>
      <c r="C1545" s="4" t="inlineStr">
        <is>
          <t>Group</t>
        </is>
      </c>
      <c r="D1545" s="4" t="inlineStr">
        <is>
          <t>Shared Living</t>
        </is>
      </c>
      <c r="E1545" s="4" t="inlineStr">
        <is>
          <t>Family Household</t>
        </is>
      </c>
      <c r="F1545" s="4" t="inlineStr">
        <is>
          <t>Groceries</t>
        </is>
      </c>
      <c r="G1545" s="4" t="inlineStr">
        <is>
          <t>Expense</t>
        </is>
      </c>
      <c r="H1545" s="12" t="n">
        <v>46226</v>
      </c>
      <c r="I1545" s="13" t="n">
        <v>0.9851736111111111</v>
      </c>
      <c r="J1545" s="14" t="n">
        <v>46226.98517361111</v>
      </c>
      <c r="K1545" s="15" t="n">
        <v>22497.21</v>
      </c>
      <c r="L1545" s="4" t="inlineStr">
        <is>
          <t>INR</t>
        </is>
      </c>
      <c r="M1545" s="15" t="n">
        <v>-22497.21</v>
      </c>
      <c r="N1545" s="4" t="inlineStr">
        <is>
          <t>IOS Aarav</t>
        </is>
      </c>
      <c r="O1545" s="4" t="n">
        <v>3</v>
      </c>
      <c r="P1545" s="4" t="inlineStr">
        <is>
          <t>EXACT</t>
        </is>
      </c>
      <c r="Q1545" s="4" t="inlineStr">
        <is>
          <t>MAESTRO-IOS-GROUP-FAMILY_HOUSEHOLD-1544 | Groceries | 22497.21</t>
        </is>
      </c>
      <c r="R1545" s="4" t="inlineStr">
        <is>
          <t>iPhone</t>
        </is>
      </c>
      <c r="S1545" s="4" t="inlineStr">
        <is>
          <t>B31</t>
        </is>
      </c>
      <c r="T1545" s="4" t="inlineStr">
        <is>
          <t>RAMP_1501_2500</t>
        </is>
      </c>
      <c r="U1545" s="4" t="inlineStr">
        <is>
          <t>CREATED</t>
        </is>
      </c>
      <c r="V1545" s="4" t="inlineStr">
        <is>
          <t>idem-20260902-ios-1544</t>
        </is>
      </c>
    </row>
    <row r="1546" ht="30" customHeight="1">
      <c r="A1546" s="4" t="n">
        <v>1545</v>
      </c>
      <c r="B1546" s="4" t="inlineStr">
        <is>
          <t>MTR-IOS-1545</t>
        </is>
      </c>
      <c r="C1546" s="4" t="inlineStr">
        <is>
          <t>Business</t>
        </is>
      </c>
      <c r="D1546" s="4" t="inlineStr">
        <is>
          <t>Business</t>
        </is>
      </c>
      <c r="E1546" s="4" t="inlineStr">
        <is>
          <t>Business Runway</t>
        </is>
      </c>
      <c r="F1546" s="4" t="inlineStr">
        <is>
          <t>Reserve</t>
        </is>
      </c>
      <c r="G1546" s="4" t="inlineStr">
        <is>
          <t>Transfer</t>
        </is>
      </c>
      <c r="H1546" s="12" t="n">
        <v>46249</v>
      </c>
      <c r="I1546" s="13" t="n">
        <v>0.3205092592592593</v>
      </c>
      <c r="J1546" s="14" t="n">
        <v>46249.32050925926</v>
      </c>
      <c r="K1546" s="15" t="n">
        <v>69342.02</v>
      </c>
      <c r="L1546" s="4" t="inlineStr">
        <is>
          <t>INR</t>
        </is>
      </c>
      <c r="M1546" s="15" t="n">
        <v>0</v>
      </c>
      <c r="N1546" s="4" t="inlineStr">
        <is>
          <t>IOS Owner</t>
        </is>
      </c>
      <c r="O1546" s="4" t="n"/>
      <c r="P1546" s="4" t="n"/>
      <c r="Q1546" s="4" t="inlineStr">
        <is>
          <t>MAESTRO-IOS-BUSINESS-BUSINESS_RUNWAY-1545 | Reserve | 69342.02</t>
        </is>
      </c>
      <c r="R1546" s="4" t="inlineStr">
        <is>
          <t>iPhone</t>
        </is>
      </c>
      <c r="S1546" s="4" t="inlineStr">
        <is>
          <t>B31</t>
        </is>
      </c>
      <c r="T1546" s="4" t="inlineStr">
        <is>
          <t>RAMP_1501_2500</t>
        </is>
      </c>
      <c r="U1546" s="4" t="inlineStr">
        <is>
          <t>CREATED</t>
        </is>
      </c>
      <c r="V1546" s="4" t="inlineStr">
        <is>
          <t>idem-20260902-ios-1545</t>
        </is>
      </c>
    </row>
    <row r="1547" ht="30" customHeight="1">
      <c r="A1547" s="4" t="n">
        <v>1546</v>
      </c>
      <c r="B1547" s="4" t="inlineStr">
        <is>
          <t>MTR-IOS-1546</t>
        </is>
      </c>
      <c r="C1547" s="4" t="inlineStr">
        <is>
          <t>Personal</t>
        </is>
      </c>
      <c r="D1547" s="4" t="inlineStr">
        <is>
          <t>Personal</t>
        </is>
      </c>
      <c r="E1547" s="4" t="inlineStr">
        <is>
          <t>Future Building</t>
        </is>
      </c>
      <c r="F1547" s="4" t="inlineStr">
        <is>
          <t>Investments</t>
        </is>
      </c>
      <c r="G1547" s="4" t="inlineStr">
        <is>
          <t>Investment</t>
        </is>
      </c>
      <c r="H1547" s="12" t="n">
        <v>46078</v>
      </c>
      <c r="I1547" s="13" t="n">
        <v>0.9714467592592593</v>
      </c>
      <c r="J1547" s="14" t="n">
        <v>46078.97144675926</v>
      </c>
      <c r="K1547" s="15" t="n">
        <v>8433.799999999999</v>
      </c>
      <c r="L1547" s="4" t="inlineStr">
        <is>
          <t>INR</t>
        </is>
      </c>
      <c r="M1547" s="15" t="n">
        <v>0</v>
      </c>
      <c r="N1547" s="4" t="inlineStr">
        <is>
          <t>IOS Owner</t>
        </is>
      </c>
      <c r="O1547" s="4" t="n"/>
      <c r="P1547" s="4" t="n"/>
      <c r="Q1547" s="4" t="inlineStr">
        <is>
          <t>MAESTRO-IOS-PERSONAL-FUTURE_BUILDING-1546 | Investments | 8433.80</t>
        </is>
      </c>
      <c r="R1547" s="4" t="inlineStr">
        <is>
          <t>iPhone</t>
        </is>
      </c>
      <c r="S1547" s="4" t="inlineStr">
        <is>
          <t>B31</t>
        </is>
      </c>
      <c r="T1547" s="4" t="inlineStr">
        <is>
          <t>RAMP_1501_2500</t>
        </is>
      </c>
      <c r="U1547" s="4" t="inlineStr">
        <is>
          <t>CREATED</t>
        </is>
      </c>
      <c r="V1547" s="4" t="inlineStr">
        <is>
          <t>idem-20260902-ios-1546</t>
        </is>
      </c>
    </row>
    <row r="1548" ht="30" customHeight="1">
      <c r="A1548" s="4" t="n">
        <v>1547</v>
      </c>
      <c r="B1548" s="4" t="inlineStr">
        <is>
          <t>MTR-IOS-1547</t>
        </is>
      </c>
      <c r="C1548" s="4" t="inlineStr">
        <is>
          <t>Group</t>
        </is>
      </c>
      <c r="D1548" s="4" t="inlineStr">
        <is>
          <t>Shared Living</t>
        </is>
      </c>
      <c r="E1548" s="4" t="inlineStr">
        <is>
          <t>Family Household</t>
        </is>
      </c>
      <c r="F1548" s="4" t="inlineStr">
        <is>
          <t>Bills</t>
        </is>
      </c>
      <c r="G1548" s="4" t="inlineStr">
        <is>
          <t>Expense</t>
        </is>
      </c>
      <c r="H1548" s="12" t="n">
        <v>45919</v>
      </c>
      <c r="I1548" s="13" t="n">
        <v>0.4246643518518519</v>
      </c>
      <c r="J1548" s="14" t="n">
        <v>45919.42466435185</v>
      </c>
      <c r="K1548" s="15" t="n">
        <v>20938.62</v>
      </c>
      <c r="L1548" s="4" t="inlineStr">
        <is>
          <t>INR</t>
        </is>
      </c>
      <c r="M1548" s="15" t="n">
        <v>-20938.62</v>
      </c>
      <c r="N1548" s="4" t="inlineStr">
        <is>
          <t>IOS Meera</t>
        </is>
      </c>
      <c r="O1548" s="4" t="n">
        <v>3</v>
      </c>
      <c r="P1548" s="4" t="inlineStr">
        <is>
          <t>SHARES</t>
        </is>
      </c>
      <c r="Q1548" s="4" t="inlineStr">
        <is>
          <t>MAESTRO-IOS-GROUP-FAMILY_HOUSEHOLD-1547 | Bills | 20938.62</t>
        </is>
      </c>
      <c r="R1548" s="4" t="inlineStr">
        <is>
          <t>iPhone</t>
        </is>
      </c>
      <c r="S1548" s="4" t="inlineStr">
        <is>
          <t>B31</t>
        </is>
      </c>
      <c r="T1548" s="4" t="inlineStr">
        <is>
          <t>RAMP_1501_2500</t>
        </is>
      </c>
      <c r="U1548" s="4" t="inlineStr">
        <is>
          <t>CREATED</t>
        </is>
      </c>
      <c r="V1548" s="4" t="inlineStr">
        <is>
          <t>idem-20260902-ios-1547</t>
        </is>
      </c>
    </row>
    <row r="1549" ht="30" customHeight="1">
      <c r="A1549" s="4" t="n">
        <v>1548</v>
      </c>
      <c r="B1549" s="4" t="inlineStr">
        <is>
          <t>MTR-IOS-1548</t>
        </is>
      </c>
      <c r="C1549" s="4" t="inlineStr">
        <is>
          <t>Business</t>
        </is>
      </c>
      <c r="D1549" s="4" t="inlineStr">
        <is>
          <t>Business</t>
        </is>
      </c>
      <c r="E1549" s="4" t="inlineStr">
        <is>
          <t>Business Runway</t>
        </is>
      </c>
      <c r="F1549" s="4" t="inlineStr">
        <is>
          <t>Loan</t>
        </is>
      </c>
      <c r="G1549" s="4" t="inlineStr">
        <is>
          <t>Income</t>
        </is>
      </c>
      <c r="H1549" s="12" t="n">
        <v>46240</v>
      </c>
      <c r="I1549" s="13" t="n">
        <v>0.1582060185185185</v>
      </c>
      <c r="J1549" s="14" t="n">
        <v>46240.15820601852</v>
      </c>
      <c r="K1549" s="15" t="n">
        <v>137688.86</v>
      </c>
      <c r="L1549" s="4" t="inlineStr">
        <is>
          <t>INR</t>
        </is>
      </c>
      <c r="M1549" s="15" t="n">
        <v>137688.86</v>
      </c>
      <c r="N1549" s="4" t="inlineStr">
        <is>
          <t>IOS Owner</t>
        </is>
      </c>
      <c r="O1549" s="4" t="n"/>
      <c r="P1549" s="4" t="n"/>
      <c r="Q1549" s="4" t="inlineStr">
        <is>
          <t>MAESTRO-IOS-BUSINESS-BUSINESS_RUNWAY-1548 | Loan | 137688.86</t>
        </is>
      </c>
      <c r="R1549" s="4" t="inlineStr">
        <is>
          <t>iPhone</t>
        </is>
      </c>
      <c r="S1549" s="4" t="inlineStr">
        <is>
          <t>B31</t>
        </is>
      </c>
      <c r="T1549" s="4" t="inlineStr">
        <is>
          <t>RAMP_1501_2500</t>
        </is>
      </c>
      <c r="U1549" s="4" t="inlineStr">
        <is>
          <t>CREATED</t>
        </is>
      </c>
      <c r="V1549" s="4" t="inlineStr">
        <is>
          <t>idem-20260902-ios-1548</t>
        </is>
      </c>
    </row>
    <row r="1550" ht="30" customHeight="1">
      <c r="A1550" s="4" t="n">
        <v>1549</v>
      </c>
      <c r="B1550" s="4" t="inlineStr">
        <is>
          <t>MTR-IOS-1549</t>
        </is>
      </c>
      <c r="C1550" s="4" t="inlineStr">
        <is>
          <t>Personal</t>
        </is>
      </c>
      <c r="D1550" s="4" t="inlineStr">
        <is>
          <t>Personal</t>
        </is>
      </c>
      <c r="E1550" s="4" t="inlineStr">
        <is>
          <t>Future Building</t>
        </is>
      </c>
      <c r="F1550" s="4" t="inlineStr">
        <is>
          <t>Education</t>
        </is>
      </c>
      <c r="G1550" s="4" t="inlineStr">
        <is>
          <t>Expense</t>
        </is>
      </c>
      <c r="H1550" s="12" t="n">
        <v>45981</v>
      </c>
      <c r="I1550" s="13" t="n">
        <v>0.272037037037037</v>
      </c>
      <c r="J1550" s="14" t="n">
        <v>45981.27203703704</v>
      </c>
      <c r="K1550" s="15" t="n">
        <v>8991.08</v>
      </c>
      <c r="L1550" s="4" t="inlineStr">
        <is>
          <t>INR</t>
        </is>
      </c>
      <c r="M1550" s="15" t="n">
        <v>-8991.08</v>
      </c>
      <c r="N1550" s="4" t="inlineStr">
        <is>
          <t>IOS Owner</t>
        </is>
      </c>
      <c r="O1550" s="4" t="n"/>
      <c r="P1550" s="4" t="n"/>
      <c r="Q1550" s="4" t="inlineStr">
        <is>
          <t>MAESTRO-IOS-PERSONAL-FUTURE_BUILDING-1549 | Education | 8991.08</t>
        </is>
      </c>
      <c r="R1550" s="4" t="inlineStr">
        <is>
          <t>iPhone</t>
        </is>
      </c>
      <c r="S1550" s="4" t="inlineStr">
        <is>
          <t>B31</t>
        </is>
      </c>
      <c r="T1550" s="4" t="inlineStr">
        <is>
          <t>RAMP_1501_2500</t>
        </is>
      </c>
      <c r="U1550" s="4" t="inlineStr">
        <is>
          <t>CREATED</t>
        </is>
      </c>
      <c r="V1550" s="4" t="inlineStr">
        <is>
          <t>idem-20260902-ios-1549</t>
        </is>
      </c>
    </row>
    <row r="1551" ht="30" customHeight="1">
      <c r="A1551" s="4" t="n">
        <v>1550</v>
      </c>
      <c r="B1551" s="4" t="inlineStr">
        <is>
          <t>MTR-IOS-1550</t>
        </is>
      </c>
      <c r="C1551" s="4" t="inlineStr">
        <is>
          <t>Group</t>
        </is>
      </c>
      <c r="D1551" s="4" t="inlineStr">
        <is>
          <t>Shared Living</t>
        </is>
      </c>
      <c r="E1551" s="4" t="inlineStr">
        <is>
          <t>Family Household</t>
        </is>
      </c>
      <c r="F1551" s="4" t="inlineStr">
        <is>
          <t>School</t>
        </is>
      </c>
      <c r="G1551" s="4" t="inlineStr">
        <is>
          <t>Expense</t>
        </is>
      </c>
      <c r="H1551" s="12" t="n">
        <v>45969</v>
      </c>
      <c r="I1551" s="13" t="n">
        <v>0.07258101851851852</v>
      </c>
      <c r="J1551" s="14" t="n">
        <v>45969.07258101852</v>
      </c>
      <c r="K1551" s="15" t="n">
        <v>22826.99</v>
      </c>
      <c r="L1551" s="4" t="inlineStr">
        <is>
          <t>INR</t>
        </is>
      </c>
      <c r="M1551" s="15" t="n">
        <v>-22826.99</v>
      </c>
      <c r="N1551" s="4" t="inlineStr">
        <is>
          <t>IOS Owner</t>
        </is>
      </c>
      <c r="O1551" s="4" t="n">
        <v>3</v>
      </c>
      <c r="P1551" s="4" t="inlineStr">
        <is>
          <t>EQUAL</t>
        </is>
      </c>
      <c r="Q1551" s="4" t="inlineStr">
        <is>
          <t>MAESTRO-IOS-GROUP-FAMILY_HOUSEHOLD-1550 | School | 22826.99</t>
        </is>
      </c>
      <c r="R1551" s="4" t="inlineStr">
        <is>
          <t>iPhone</t>
        </is>
      </c>
      <c r="S1551" s="4" t="inlineStr">
        <is>
          <t>B31</t>
        </is>
      </c>
      <c r="T1551" s="4" t="inlineStr">
        <is>
          <t>RAMP_1501_2500</t>
        </is>
      </c>
      <c r="U1551" s="4" t="inlineStr">
        <is>
          <t>CREATED</t>
        </is>
      </c>
      <c r="V1551" s="4" t="inlineStr">
        <is>
          <t>idem-20260902-ios-1550</t>
        </is>
      </c>
    </row>
    <row r="1552" ht="30" customHeight="1">
      <c r="A1552" s="4" t="n">
        <v>1551</v>
      </c>
      <c r="B1552" s="4" t="inlineStr">
        <is>
          <t>MTR-IOS-1551</t>
        </is>
      </c>
      <c r="C1552" s="4" t="inlineStr">
        <is>
          <t>Business</t>
        </is>
      </c>
      <c r="D1552" s="4" t="inlineStr">
        <is>
          <t>Business</t>
        </is>
      </c>
      <c r="E1552" s="4" t="inlineStr">
        <is>
          <t>Business Runway</t>
        </is>
      </c>
      <c r="F1552" s="4" t="inlineStr">
        <is>
          <t>Investment</t>
        </is>
      </c>
      <c r="G1552" s="4" t="inlineStr">
        <is>
          <t>Income</t>
        </is>
      </c>
      <c r="H1552" s="12" t="n">
        <v>46083</v>
      </c>
      <c r="I1552" s="13" t="n">
        <v>0.4461805555555556</v>
      </c>
      <c r="J1552" s="14" t="n">
        <v>46083.44618055555</v>
      </c>
      <c r="K1552" s="15" t="n">
        <v>88222.16</v>
      </c>
      <c r="L1552" s="4" t="inlineStr">
        <is>
          <t>INR</t>
        </is>
      </c>
      <c r="M1552" s="15" t="n">
        <v>88222.16</v>
      </c>
      <c r="N1552" s="4" t="inlineStr">
        <is>
          <t>IOS Owner</t>
        </is>
      </c>
      <c r="O1552" s="4" t="n"/>
      <c r="P1552" s="4" t="n"/>
      <c r="Q1552" s="4" t="inlineStr">
        <is>
          <t>MAESTRO-IOS-BUSINESS-BUSINESS_RUNWAY-1551 | Investment | 88222.16</t>
        </is>
      </c>
      <c r="R1552" s="4" t="inlineStr">
        <is>
          <t>iPhone</t>
        </is>
      </c>
      <c r="S1552" s="4" t="inlineStr">
        <is>
          <t>B32</t>
        </is>
      </c>
      <c r="T1552" s="4" t="inlineStr">
        <is>
          <t>RAMP_1501_2500</t>
        </is>
      </c>
      <c r="U1552" s="4" t="inlineStr">
        <is>
          <t>CREATED</t>
        </is>
      </c>
      <c r="V1552" s="4" t="inlineStr">
        <is>
          <t>idem-20260902-ios-1551</t>
        </is>
      </c>
    </row>
    <row r="1553" ht="30" customHeight="1">
      <c r="A1553" s="4" t="n">
        <v>1552</v>
      </c>
      <c r="B1553" s="4" t="inlineStr">
        <is>
          <t>MTR-IOS-1552</t>
        </is>
      </c>
      <c r="C1553" s="4" t="inlineStr">
        <is>
          <t>Personal</t>
        </is>
      </c>
      <c r="D1553" s="4" t="inlineStr">
        <is>
          <t>Personal</t>
        </is>
      </c>
      <c r="E1553" s="4" t="inlineStr">
        <is>
          <t>Future Building</t>
        </is>
      </c>
      <c r="F1553" s="4" t="inlineStr">
        <is>
          <t>Goal Contribution</t>
        </is>
      </c>
      <c r="G1553" s="4" t="inlineStr">
        <is>
          <t>Transfer</t>
        </is>
      </c>
      <c r="H1553" s="12" t="n">
        <v>46058</v>
      </c>
      <c r="I1553" s="13" t="n">
        <v>0.4164120370370371</v>
      </c>
      <c r="J1553" s="14" t="n">
        <v>46058.41641203704</v>
      </c>
      <c r="K1553" s="15" t="n">
        <v>12384.67</v>
      </c>
      <c r="L1553" s="4" t="inlineStr">
        <is>
          <t>INR</t>
        </is>
      </c>
      <c r="M1553" s="15" t="n">
        <v>0</v>
      </c>
      <c r="N1553" s="4" t="inlineStr">
        <is>
          <t>IOS Owner</t>
        </is>
      </c>
      <c r="O1553" s="4" t="n"/>
      <c r="P1553" s="4" t="n"/>
      <c r="Q1553" s="4" t="inlineStr">
        <is>
          <t>MAESTRO-IOS-PERSONAL-FUTURE_BUILDING-1552 | Goal Contribution | 12384.67</t>
        </is>
      </c>
      <c r="R1553" s="4" t="inlineStr">
        <is>
          <t>iPhone</t>
        </is>
      </c>
      <c r="S1553" s="4" t="inlineStr">
        <is>
          <t>B32</t>
        </is>
      </c>
      <c r="T1553" s="4" t="inlineStr">
        <is>
          <t>RAMP_1501_2500</t>
        </is>
      </c>
      <c r="U1553" s="4" t="inlineStr">
        <is>
          <t>CREATED</t>
        </is>
      </c>
      <c r="V1553" s="4" t="inlineStr">
        <is>
          <t>idem-20260902-ios-1552</t>
        </is>
      </c>
    </row>
    <row r="1554" ht="30" customHeight="1">
      <c r="A1554" s="4" t="n">
        <v>1553</v>
      </c>
      <c r="B1554" s="4" t="inlineStr">
        <is>
          <t>MTR-IOS-1553</t>
        </is>
      </c>
      <c r="C1554" s="4" t="inlineStr">
        <is>
          <t>Group</t>
        </is>
      </c>
      <c r="D1554" s="4" t="inlineStr">
        <is>
          <t>Shared Living</t>
        </is>
      </c>
      <c r="E1554" s="4" t="inlineStr">
        <is>
          <t>Family Household</t>
        </is>
      </c>
      <c r="F1554" s="4" t="inlineStr">
        <is>
          <t>Healthcare</t>
        </is>
      </c>
      <c r="G1554" s="4" t="inlineStr">
        <is>
          <t>Expense</t>
        </is>
      </c>
      <c r="H1554" s="12" t="n">
        <v>46116</v>
      </c>
      <c r="I1554" s="13" t="n">
        <v>0.337349537037037</v>
      </c>
      <c r="J1554" s="14" t="n">
        <v>46116.33734953704</v>
      </c>
      <c r="K1554" s="15" t="n">
        <v>16241.04</v>
      </c>
      <c r="L1554" s="4" t="inlineStr">
        <is>
          <t>INR</t>
        </is>
      </c>
      <c r="M1554" s="15" t="n">
        <v>-16241.04</v>
      </c>
      <c r="N1554" s="4" t="inlineStr">
        <is>
          <t>IOS Aarav</t>
        </is>
      </c>
      <c r="O1554" s="4" t="n">
        <v>3</v>
      </c>
      <c r="P1554" s="4" t="inlineStr">
        <is>
          <t>PERCENTAGE</t>
        </is>
      </c>
      <c r="Q1554" s="4" t="inlineStr">
        <is>
          <t>MAESTRO-IOS-GROUP-FAMILY_HOUSEHOLD-1553 | Healthcare | 16241.04</t>
        </is>
      </c>
      <c r="R1554" s="4" t="inlineStr">
        <is>
          <t>iPhone</t>
        </is>
      </c>
      <c r="S1554" s="4" t="inlineStr">
        <is>
          <t>B32</t>
        </is>
      </c>
      <c r="T1554" s="4" t="inlineStr">
        <is>
          <t>RAMP_1501_2500</t>
        </is>
      </c>
      <c r="U1554" s="4" t="inlineStr">
        <is>
          <t>CREATED</t>
        </is>
      </c>
      <c r="V1554" s="4" t="inlineStr">
        <is>
          <t>idem-20260902-ios-1553</t>
        </is>
      </c>
    </row>
    <row r="1555" ht="30" customHeight="1">
      <c r="A1555" s="4" t="n">
        <v>1554</v>
      </c>
      <c r="B1555" s="4" t="inlineStr">
        <is>
          <t>MTR-IOS-1554</t>
        </is>
      </c>
      <c r="C1555" s="4" t="inlineStr">
        <is>
          <t>Business</t>
        </is>
      </c>
      <c r="D1555" s="4" t="inlineStr">
        <is>
          <t>Business</t>
        </is>
      </c>
      <c r="E1555" s="4" t="inlineStr">
        <is>
          <t>Business Operations</t>
        </is>
      </c>
      <c r="F1555" s="4" t="inlineStr">
        <is>
          <t>Software</t>
        </is>
      </c>
      <c r="G1555" s="4" t="inlineStr">
        <is>
          <t>Expense</t>
        </is>
      </c>
      <c r="H1555" s="12" t="n">
        <v>46144</v>
      </c>
      <c r="I1555" s="13" t="n">
        <v>0.3161226851851852</v>
      </c>
      <c r="J1555" s="14" t="n">
        <v>46144.31612268519</v>
      </c>
      <c r="K1555" s="15" t="n">
        <v>0.01</v>
      </c>
      <c r="L1555" s="4" t="inlineStr">
        <is>
          <t>INR</t>
        </is>
      </c>
      <c r="M1555" s="15" t="n">
        <v>-0.01</v>
      </c>
      <c r="N1555" s="4" t="inlineStr">
        <is>
          <t>IOS Owner</t>
        </is>
      </c>
      <c r="O1555" s="4" t="n"/>
      <c r="P1555" s="4" t="n"/>
      <c r="Q1555" s="4" t="inlineStr">
        <is>
          <t>MAESTRO-IOS-BUSINESS-BUSINESS_OPERATIONS-1554 | Software | 0.01</t>
        </is>
      </c>
      <c r="R1555" s="4" t="inlineStr">
        <is>
          <t>iPhone</t>
        </is>
      </c>
      <c r="S1555" s="4" t="inlineStr">
        <is>
          <t>B32</t>
        </is>
      </c>
      <c r="T1555" s="4" t="inlineStr">
        <is>
          <t>RAMP_1501_2500</t>
        </is>
      </c>
      <c r="U1555" s="4" t="inlineStr">
        <is>
          <t>CREATED</t>
        </is>
      </c>
      <c r="V1555" s="4" t="inlineStr">
        <is>
          <t>idem-20260902-ios-1554</t>
        </is>
      </c>
    </row>
    <row r="1556" ht="30" customHeight="1">
      <c r="A1556" s="4" t="n">
        <v>1555</v>
      </c>
      <c r="B1556" s="4" t="inlineStr">
        <is>
          <t>MTR-IOS-1555</t>
        </is>
      </c>
      <c r="C1556" s="4" t="inlineStr">
        <is>
          <t>Personal</t>
        </is>
      </c>
      <c r="D1556" s="4" t="inlineStr">
        <is>
          <t>Personal</t>
        </is>
      </c>
      <c r="E1556" s="4" t="inlineStr">
        <is>
          <t>Lifestyle</t>
        </is>
      </c>
      <c r="F1556" s="4" t="inlineStr">
        <is>
          <t>Dining</t>
        </is>
      </c>
      <c r="G1556" s="4" t="inlineStr">
        <is>
          <t>Expense</t>
        </is>
      </c>
      <c r="H1556" s="12" t="n">
        <v>45999</v>
      </c>
      <c r="I1556" s="13" t="n">
        <v>0.8985879629629629</v>
      </c>
      <c r="J1556" s="14" t="n">
        <v>45999.89858796296</v>
      </c>
      <c r="K1556" s="15" t="n">
        <v>5994</v>
      </c>
      <c r="L1556" s="4" t="inlineStr">
        <is>
          <t>INR</t>
        </is>
      </c>
      <c r="M1556" s="15" t="n">
        <v>-5994</v>
      </c>
      <c r="N1556" s="4" t="inlineStr">
        <is>
          <t>IOS Owner</t>
        </is>
      </c>
      <c r="O1556" s="4" t="n"/>
      <c r="P1556" s="4" t="n"/>
      <c r="Q1556" s="4" t="inlineStr">
        <is>
          <t>MAESTRO-IOS-PERSONAL-LIFESTYLE-1555 | Dining | 5994.00</t>
        </is>
      </c>
      <c r="R1556" s="4" t="inlineStr">
        <is>
          <t>iPhone</t>
        </is>
      </c>
      <c r="S1556" s="4" t="inlineStr">
        <is>
          <t>B32</t>
        </is>
      </c>
      <c r="T1556" s="4" t="inlineStr">
        <is>
          <t>RAMP_1501_2500</t>
        </is>
      </c>
      <c r="U1556" s="4" t="inlineStr">
        <is>
          <t>CREATED</t>
        </is>
      </c>
      <c r="V1556" s="4" t="inlineStr">
        <is>
          <t>idem-20260902-ios-1555</t>
        </is>
      </c>
    </row>
    <row r="1557" ht="30" customHeight="1">
      <c r="A1557" s="4" t="n">
        <v>1556</v>
      </c>
      <c r="B1557" s="4" t="inlineStr">
        <is>
          <t>MTR-IOS-1556</t>
        </is>
      </c>
      <c r="C1557" s="4" t="inlineStr">
        <is>
          <t>Group</t>
        </is>
      </c>
      <c r="D1557" s="4" t="inlineStr">
        <is>
          <t>Shared Living</t>
        </is>
      </c>
      <c r="E1557" s="4" t="inlineStr">
        <is>
          <t>Family Household</t>
        </is>
      </c>
      <c r="F1557" s="4" t="inlineStr">
        <is>
          <t>Home</t>
        </is>
      </c>
      <c r="G1557" s="4" t="inlineStr">
        <is>
          <t>Expense</t>
        </is>
      </c>
      <c r="H1557" s="12" t="n">
        <v>46009</v>
      </c>
      <c r="I1557" s="13" t="n">
        <v>0.52125</v>
      </c>
      <c r="J1557" s="14" t="n">
        <v>46009.52125</v>
      </c>
      <c r="K1557" s="15" t="n">
        <v>18389.78</v>
      </c>
      <c r="L1557" s="4" t="inlineStr">
        <is>
          <t>INR</t>
        </is>
      </c>
      <c r="M1557" s="15" t="n">
        <v>-18389.78</v>
      </c>
      <c r="N1557" s="4" t="inlineStr">
        <is>
          <t>IOS Meera</t>
        </is>
      </c>
      <c r="O1557" s="4" t="n">
        <v>3</v>
      </c>
      <c r="P1557" s="4" t="inlineStr">
        <is>
          <t>EXACT</t>
        </is>
      </c>
      <c r="Q1557" s="4" t="inlineStr">
        <is>
          <t>MAESTRO-IOS-GROUP-FAMILY_HOUSEHOLD-1556 | Home | 18389.78</t>
        </is>
      </c>
      <c r="R1557" s="4" t="inlineStr">
        <is>
          <t>iPhone</t>
        </is>
      </c>
      <c r="S1557" s="4" t="inlineStr">
        <is>
          <t>B32</t>
        </is>
      </c>
      <c r="T1557" s="4" t="inlineStr">
        <is>
          <t>RAMP_1501_2500</t>
        </is>
      </c>
      <c r="U1557" s="4" t="inlineStr">
        <is>
          <t>CREATED</t>
        </is>
      </c>
      <c r="V1557" s="4" t="inlineStr">
        <is>
          <t>idem-20260902-ios-1556</t>
        </is>
      </c>
    </row>
    <row r="1558" ht="30" customHeight="1">
      <c r="A1558" s="4" t="n">
        <v>1557</v>
      </c>
      <c r="B1558" s="4" t="inlineStr">
        <is>
          <t>MTR-IOS-1557</t>
        </is>
      </c>
      <c r="C1558" s="4" t="inlineStr">
        <is>
          <t>Business</t>
        </is>
      </c>
      <c r="D1558" s="4" t="inlineStr">
        <is>
          <t>Business</t>
        </is>
      </c>
      <c r="E1558" s="4" t="inlineStr">
        <is>
          <t>Business Operations</t>
        </is>
      </c>
      <c r="F1558" s="4" t="inlineStr">
        <is>
          <t>Rent</t>
        </is>
      </c>
      <c r="G1558" s="4" t="inlineStr">
        <is>
          <t>Expense</t>
        </is>
      </c>
      <c r="H1558" s="12" t="n">
        <v>46081</v>
      </c>
      <c r="I1558" s="13" t="n">
        <v>0.006909722222222222</v>
      </c>
      <c r="J1558" s="14" t="n">
        <v>46081.00690972222</v>
      </c>
      <c r="K1558" s="15" t="n">
        <v>42698.04</v>
      </c>
      <c r="L1558" s="4" t="inlineStr">
        <is>
          <t>INR</t>
        </is>
      </c>
      <c r="M1558" s="15" t="n">
        <v>-42698.04</v>
      </c>
      <c r="N1558" s="4" t="inlineStr">
        <is>
          <t>IOS Owner</t>
        </is>
      </c>
      <c r="O1558" s="4" t="n"/>
      <c r="P1558" s="4" t="n"/>
      <c r="Q1558" s="4" t="inlineStr">
        <is>
          <t>MAESTRO-IOS-BUSINESS-BUSINESS_OPERATIONS-1557 | Rent | 42698.04</t>
        </is>
      </c>
      <c r="R1558" s="4" t="inlineStr">
        <is>
          <t>iPhone</t>
        </is>
      </c>
      <c r="S1558" s="4" t="inlineStr">
        <is>
          <t>B32</t>
        </is>
      </c>
      <c r="T1558" s="4" t="inlineStr">
        <is>
          <t>RAMP_1501_2500</t>
        </is>
      </c>
      <c r="U1558" s="4" t="inlineStr">
        <is>
          <t>CREATED</t>
        </is>
      </c>
      <c r="V1558" s="4" t="inlineStr">
        <is>
          <t>idem-20260902-ios-1557</t>
        </is>
      </c>
    </row>
    <row r="1559" ht="30" customHeight="1">
      <c r="A1559" s="4" t="n">
        <v>1558</v>
      </c>
      <c r="B1559" s="4" t="inlineStr">
        <is>
          <t>MTR-IOS-1558</t>
        </is>
      </c>
      <c r="C1559" s="4" t="inlineStr">
        <is>
          <t>Personal</t>
        </is>
      </c>
      <c r="D1559" s="4" t="inlineStr">
        <is>
          <t>Personal</t>
        </is>
      </c>
      <c r="E1559" s="4" t="inlineStr">
        <is>
          <t>Lifestyle</t>
        </is>
      </c>
      <c r="F1559" s="4" t="inlineStr">
        <is>
          <t>Shopping</t>
        </is>
      </c>
      <c r="G1559" s="4" t="inlineStr">
        <is>
          <t>Expense</t>
        </is>
      </c>
      <c r="H1559" s="12" t="n">
        <v>46071</v>
      </c>
      <c r="I1559" s="13" t="n">
        <v>0.5815162037037037</v>
      </c>
      <c r="J1559" s="14" t="n">
        <v>46071.5815162037</v>
      </c>
      <c r="K1559" s="15" t="n">
        <v>2114.77</v>
      </c>
      <c r="L1559" s="4" t="inlineStr">
        <is>
          <t>INR</t>
        </is>
      </c>
      <c r="M1559" s="15" t="n">
        <v>-2114.77</v>
      </c>
      <c r="N1559" s="4" t="inlineStr">
        <is>
          <t>IOS Owner</t>
        </is>
      </c>
      <c r="O1559" s="4" t="n"/>
      <c r="P1559" s="4" t="n"/>
      <c r="Q1559" s="4" t="inlineStr">
        <is>
          <t>MAESTRO-IOS-PERSONAL-LIFESTYLE-1558 | Shopping | 2114.77</t>
        </is>
      </c>
      <c r="R1559" s="4" t="inlineStr">
        <is>
          <t>iPhone</t>
        </is>
      </c>
      <c r="S1559" s="4" t="inlineStr">
        <is>
          <t>B32</t>
        </is>
      </c>
      <c r="T1559" s="4" t="inlineStr">
        <is>
          <t>RAMP_1501_2500</t>
        </is>
      </c>
      <c r="U1559" s="4" t="inlineStr">
        <is>
          <t>CREATED</t>
        </is>
      </c>
      <c r="V1559" s="4" t="inlineStr">
        <is>
          <t>idem-20260902-ios-1558</t>
        </is>
      </c>
    </row>
    <row r="1560" ht="30" customHeight="1">
      <c r="A1560" s="4" t="n">
        <v>1559</v>
      </c>
      <c r="B1560" s="4" t="inlineStr">
        <is>
          <t>MTR-IOS-1559</t>
        </is>
      </c>
      <c r="C1560" s="4" t="inlineStr">
        <is>
          <t>Group</t>
        </is>
      </c>
      <c r="D1560" s="4" t="inlineStr">
        <is>
          <t>Shared Living</t>
        </is>
      </c>
      <c r="E1560" s="4" t="inlineStr">
        <is>
          <t>Family Household</t>
        </is>
      </c>
      <c r="F1560" s="4" t="inlineStr">
        <is>
          <t>Other</t>
        </is>
      </c>
      <c r="G1560" s="4" t="inlineStr">
        <is>
          <t>Expense</t>
        </is>
      </c>
      <c r="H1560" s="12" t="n">
        <v>46112</v>
      </c>
      <c r="I1560" s="13" t="n">
        <v>0.6031481481481481</v>
      </c>
      <c r="J1560" s="14" t="n">
        <v>46112.60314814815</v>
      </c>
      <c r="K1560" s="15" t="n">
        <v>6056.48</v>
      </c>
      <c r="L1560" s="4" t="inlineStr">
        <is>
          <t>INR</t>
        </is>
      </c>
      <c r="M1560" s="15" t="n">
        <v>-6056.48</v>
      </c>
      <c r="N1560" s="4" t="inlineStr">
        <is>
          <t>IOS Owner</t>
        </is>
      </c>
      <c r="O1560" s="4" t="n">
        <v>3</v>
      </c>
      <c r="P1560" s="4" t="inlineStr">
        <is>
          <t>SHARES</t>
        </is>
      </c>
      <c r="Q1560" s="4" t="inlineStr">
        <is>
          <t>MAESTRO-IOS-GROUP-FAMILY_HOUSEHOLD-1559 | Other | 6056.48</t>
        </is>
      </c>
      <c r="R1560" s="4" t="inlineStr">
        <is>
          <t>iPhone</t>
        </is>
      </c>
      <c r="S1560" s="4" t="inlineStr">
        <is>
          <t>B32</t>
        </is>
      </c>
      <c r="T1560" s="4" t="inlineStr">
        <is>
          <t>RAMP_1501_2500</t>
        </is>
      </c>
      <c r="U1560" s="4" t="inlineStr">
        <is>
          <t>CREATED</t>
        </is>
      </c>
      <c r="V1560" s="4" t="inlineStr">
        <is>
          <t>idem-20260902-ios-1559</t>
        </is>
      </c>
    </row>
    <row r="1561" ht="30" customHeight="1">
      <c r="A1561" s="4" t="n">
        <v>1560</v>
      </c>
      <c r="B1561" s="4" t="inlineStr">
        <is>
          <t>MTR-IOS-1560</t>
        </is>
      </c>
      <c r="C1561" s="4" t="inlineStr">
        <is>
          <t>Business</t>
        </is>
      </c>
      <c r="D1561" s="4" t="inlineStr">
        <is>
          <t>Business</t>
        </is>
      </c>
      <c r="E1561" s="4" t="inlineStr">
        <is>
          <t>Business Operations</t>
        </is>
      </c>
      <c r="F1561" s="4" t="inlineStr">
        <is>
          <t>Marketing</t>
        </is>
      </c>
      <c r="G1561" s="4" t="inlineStr">
        <is>
          <t>Expense</t>
        </is>
      </c>
      <c r="H1561" s="12" t="n">
        <v>45984</v>
      </c>
      <c r="I1561" s="13" t="n">
        <v>0.428587962962963</v>
      </c>
      <c r="J1561" s="14" t="n">
        <v>45984.42858796296</v>
      </c>
      <c r="K1561" s="15" t="n">
        <v>148616.89</v>
      </c>
      <c r="L1561" s="4" t="inlineStr">
        <is>
          <t>INR</t>
        </is>
      </c>
      <c r="M1561" s="15" t="n">
        <v>-148616.89</v>
      </c>
      <c r="N1561" s="4" t="inlineStr">
        <is>
          <t>IOS Owner</t>
        </is>
      </c>
      <c r="O1561" s="4" t="n"/>
      <c r="P1561" s="4" t="n"/>
      <c r="Q1561" s="4" t="inlineStr">
        <is>
          <t>MAESTRO-IOS-BUSINESS-BUSINESS_OPERATIONS-1560 | Marketing | 148616.89</t>
        </is>
      </c>
      <c r="R1561" s="4" t="inlineStr">
        <is>
          <t>iPhone</t>
        </is>
      </c>
      <c r="S1561" s="4" t="inlineStr">
        <is>
          <t>B32</t>
        </is>
      </c>
      <c r="T1561" s="4" t="inlineStr">
        <is>
          <t>RAMP_1501_2500</t>
        </is>
      </c>
      <c r="U1561" s="4" t="inlineStr">
        <is>
          <t>CREATED</t>
        </is>
      </c>
      <c r="V1561" s="4" t="inlineStr">
        <is>
          <t>idem-20260902-ios-1560</t>
        </is>
      </c>
    </row>
    <row r="1562" ht="30" customHeight="1">
      <c r="A1562" s="4" t="n">
        <v>1561</v>
      </c>
      <c r="B1562" s="4" t="inlineStr">
        <is>
          <t>MTR-IOS-1561</t>
        </is>
      </c>
      <c r="C1562" s="4" t="inlineStr">
        <is>
          <t>Personal</t>
        </is>
      </c>
      <c r="D1562" s="4" t="inlineStr">
        <is>
          <t>Personal</t>
        </is>
      </c>
      <c r="E1562" s="4" t="inlineStr">
        <is>
          <t>Lifestyle</t>
        </is>
      </c>
      <c r="F1562" s="4" t="inlineStr">
        <is>
          <t>Entertainment</t>
        </is>
      </c>
      <c r="G1562" s="4" t="inlineStr">
        <is>
          <t>Expense</t>
        </is>
      </c>
      <c r="H1562" s="12" t="n">
        <v>45963</v>
      </c>
      <c r="I1562" s="13" t="n">
        <v>0.0004282407407407408</v>
      </c>
      <c r="J1562" s="14" t="n">
        <v>45963.00042824074</v>
      </c>
      <c r="K1562" s="15" t="n">
        <v>9304.33</v>
      </c>
      <c r="L1562" s="4" t="inlineStr">
        <is>
          <t>INR</t>
        </is>
      </c>
      <c r="M1562" s="15" t="n">
        <v>-9304.33</v>
      </c>
      <c r="N1562" s="4" t="inlineStr">
        <is>
          <t>IOS Owner</t>
        </is>
      </c>
      <c r="O1562" s="4" t="n"/>
      <c r="P1562" s="4" t="n"/>
      <c r="Q1562" s="4" t="inlineStr">
        <is>
          <t>MAESTRO-IOS-PERSONAL-LIFESTYLE-1561 | Entertainment | 9304.33</t>
        </is>
      </c>
      <c r="R1562" s="4" t="inlineStr">
        <is>
          <t>iPhone</t>
        </is>
      </c>
      <c r="S1562" s="4" t="inlineStr">
        <is>
          <t>B32</t>
        </is>
      </c>
      <c r="T1562" s="4" t="inlineStr">
        <is>
          <t>RAMP_1501_2500</t>
        </is>
      </c>
      <c r="U1562" s="4" t="inlineStr">
        <is>
          <t>CREATED</t>
        </is>
      </c>
      <c r="V1562" s="4" t="inlineStr">
        <is>
          <t>idem-20260902-ios-1561</t>
        </is>
      </c>
    </row>
    <row r="1563" ht="30" customHeight="1">
      <c r="A1563" s="4" t="n">
        <v>1562</v>
      </c>
      <c r="B1563" s="4" t="inlineStr">
        <is>
          <t>MTR-IOS-1562</t>
        </is>
      </c>
      <c r="C1563" s="4" t="inlineStr">
        <is>
          <t>Group</t>
        </is>
      </c>
      <c r="D1563" s="4" t="inlineStr">
        <is>
          <t>Shared Living</t>
        </is>
      </c>
      <c r="E1563" s="4" t="inlineStr">
        <is>
          <t>Custom Living</t>
        </is>
      </c>
      <c r="F1563" s="4" t="inlineStr">
        <is>
          <t>Custom Expense</t>
        </is>
      </c>
      <c r="G1563" s="4" t="inlineStr">
        <is>
          <t>Expense</t>
        </is>
      </c>
      <c r="H1563" s="12" t="n">
        <v>46140</v>
      </c>
      <c r="I1563" s="13" t="n">
        <v>0.7545138888888889</v>
      </c>
      <c r="J1563" s="14" t="n">
        <v>46140.75451388889</v>
      </c>
      <c r="K1563" s="15" t="n">
        <v>20938.51</v>
      </c>
      <c r="L1563" s="4" t="inlineStr">
        <is>
          <t>INR</t>
        </is>
      </c>
      <c r="M1563" s="15" t="n">
        <v>-20938.51</v>
      </c>
      <c r="N1563" s="4" t="inlineStr">
        <is>
          <t>IOS Aarav</t>
        </is>
      </c>
      <c r="O1563" s="4" t="n">
        <v>3</v>
      </c>
      <c r="P1563" s="4" t="inlineStr">
        <is>
          <t>EQUAL</t>
        </is>
      </c>
      <c r="Q1563" s="4" t="inlineStr">
        <is>
          <t>MAESTRO-IOS-GROUP-CUSTOM_LIVING-1562 | Custom Expense | 20938.51</t>
        </is>
      </c>
      <c r="R1563" s="4" t="inlineStr">
        <is>
          <t>iPhone</t>
        </is>
      </c>
      <c r="S1563" s="4" t="inlineStr">
        <is>
          <t>B32</t>
        </is>
      </c>
      <c r="T1563" s="4" t="inlineStr">
        <is>
          <t>RAMP_1501_2500</t>
        </is>
      </c>
      <c r="U1563" s="4" t="inlineStr">
        <is>
          <t>CREATED</t>
        </is>
      </c>
      <c r="V1563" s="4" t="inlineStr">
        <is>
          <t>idem-20260902-ios-1562</t>
        </is>
      </c>
    </row>
    <row r="1564" ht="30" customHeight="1">
      <c r="A1564" s="4" t="n">
        <v>1563</v>
      </c>
      <c r="B1564" s="4" t="inlineStr">
        <is>
          <t>MTR-IOS-1563</t>
        </is>
      </c>
      <c r="C1564" s="4" t="inlineStr">
        <is>
          <t>Business</t>
        </is>
      </c>
      <c r="D1564" s="4" t="inlineStr">
        <is>
          <t>Business</t>
        </is>
      </c>
      <c r="E1564" s="4" t="inlineStr">
        <is>
          <t>Business Operations</t>
        </is>
      </c>
      <c r="F1564" s="4" t="inlineStr">
        <is>
          <t>Legal</t>
        </is>
      </c>
      <c r="G1564" s="4" t="inlineStr">
        <is>
          <t>Expense</t>
        </is>
      </c>
      <c r="H1564" s="12" t="n">
        <v>46035</v>
      </c>
      <c r="I1564" s="13" t="n">
        <v>0.4868287037037037</v>
      </c>
      <c r="J1564" s="14" t="n">
        <v>46035.4868287037</v>
      </c>
      <c r="K1564" s="15" t="n">
        <v>128868.51</v>
      </c>
      <c r="L1564" s="4" t="inlineStr">
        <is>
          <t>INR</t>
        </is>
      </c>
      <c r="M1564" s="15" t="n">
        <v>-128868.51</v>
      </c>
      <c r="N1564" s="4" t="inlineStr">
        <is>
          <t>IOS Owner</t>
        </is>
      </c>
      <c r="O1564" s="4" t="n"/>
      <c r="P1564" s="4" t="n"/>
      <c r="Q1564" s="4" t="inlineStr">
        <is>
          <t>MAESTRO-IOS-BUSINESS-BUSINESS_OPERATIONS-1563 | Legal | 128868.51</t>
        </is>
      </c>
      <c r="R1564" s="4" t="inlineStr">
        <is>
          <t>iPhone</t>
        </is>
      </c>
      <c r="S1564" s="4" t="inlineStr">
        <is>
          <t>B32</t>
        </is>
      </c>
      <c r="T1564" s="4" t="inlineStr">
        <is>
          <t>RAMP_1501_2500</t>
        </is>
      </c>
      <c r="U1564" s="4" t="inlineStr">
        <is>
          <t>CREATED</t>
        </is>
      </c>
      <c r="V1564" s="4" t="inlineStr">
        <is>
          <t>idem-20260902-ios-1563</t>
        </is>
      </c>
    </row>
    <row r="1565" ht="30" customHeight="1">
      <c r="A1565" s="4" t="n">
        <v>1564</v>
      </c>
      <c r="B1565" s="4" t="inlineStr">
        <is>
          <t>MTR-IOS-1564</t>
        </is>
      </c>
      <c r="C1565" s="4" t="inlineStr">
        <is>
          <t>Personal</t>
        </is>
      </c>
      <c r="D1565" s="4" t="inlineStr">
        <is>
          <t>Personal</t>
        </is>
      </c>
      <c r="E1565" s="4" t="inlineStr">
        <is>
          <t>Lifestyle</t>
        </is>
      </c>
      <c r="F1565" s="4" t="inlineStr">
        <is>
          <t>Travel</t>
        </is>
      </c>
      <c r="G1565" s="4" t="inlineStr">
        <is>
          <t>Expense</t>
        </is>
      </c>
      <c r="H1565" s="12" t="n">
        <v>45956</v>
      </c>
      <c r="I1565" s="13" t="n">
        <v>0.4257407407407408</v>
      </c>
      <c r="J1565" s="14" t="n">
        <v>45956.42574074074</v>
      </c>
      <c r="K1565" s="15" t="n">
        <v>4489.02</v>
      </c>
      <c r="L1565" s="4" t="inlineStr">
        <is>
          <t>INR</t>
        </is>
      </c>
      <c r="M1565" s="15" t="n">
        <v>-4489.02</v>
      </c>
      <c r="N1565" s="4" t="inlineStr">
        <is>
          <t>IOS Owner</t>
        </is>
      </c>
      <c r="O1565" s="4" t="n"/>
      <c r="P1565" s="4" t="n"/>
      <c r="Q1565" s="4" t="inlineStr">
        <is>
          <t>MAESTRO-IOS-PERSONAL-LIFESTYLE-1564 | Travel | 4489.02</t>
        </is>
      </c>
      <c r="R1565" s="4" t="inlineStr">
        <is>
          <t>iPhone</t>
        </is>
      </c>
      <c r="S1565" s="4" t="inlineStr">
        <is>
          <t>B32</t>
        </is>
      </c>
      <c r="T1565" s="4" t="inlineStr">
        <is>
          <t>RAMP_1501_2500</t>
        </is>
      </c>
      <c r="U1565" s="4" t="inlineStr">
        <is>
          <t>CREATED</t>
        </is>
      </c>
      <c r="V1565" s="4" t="inlineStr">
        <is>
          <t>idem-20260902-ios-1564</t>
        </is>
      </c>
    </row>
    <row r="1566" ht="30" customHeight="1">
      <c r="A1566" s="4" t="n">
        <v>1565</v>
      </c>
      <c r="B1566" s="4" t="inlineStr">
        <is>
          <t>MTR-IOS-1565</t>
        </is>
      </c>
      <c r="C1566" s="4" t="inlineStr">
        <is>
          <t>Group</t>
        </is>
      </c>
      <c r="D1566" s="4" t="inlineStr">
        <is>
          <t>Shared Living</t>
        </is>
      </c>
      <c r="E1566" s="4" t="inlineStr">
        <is>
          <t>Custom Living</t>
        </is>
      </c>
      <c r="F1566" s="4" t="inlineStr">
        <is>
          <t>Custom Contribution</t>
        </is>
      </c>
      <c r="G1566" s="4" t="inlineStr">
        <is>
          <t>Contribution</t>
        </is>
      </c>
      <c r="H1566" s="12" t="n">
        <v>46226</v>
      </c>
      <c r="I1566" s="13" t="n">
        <v>0.7600347222222222</v>
      </c>
      <c r="J1566" s="14" t="n">
        <v>46226.76003472223</v>
      </c>
      <c r="K1566" s="15" t="n">
        <v>7023.14</v>
      </c>
      <c r="L1566" s="4" t="inlineStr">
        <is>
          <t>INR</t>
        </is>
      </c>
      <c r="M1566" s="15" t="n">
        <v>7023.14</v>
      </c>
      <c r="N1566" s="4" t="inlineStr">
        <is>
          <t>IOS Meera</t>
        </is>
      </c>
      <c r="O1566" s="4" t="n">
        <v>3</v>
      </c>
      <c r="P1566" s="4" t="inlineStr">
        <is>
          <t>PERCENTAGE</t>
        </is>
      </c>
      <c r="Q1566" s="4" t="inlineStr">
        <is>
          <t>MAESTRO-IOS-GROUP-CUSTOM_LIVING-1565 | Custom Contribution | 7023.14</t>
        </is>
      </c>
      <c r="R1566" s="4" t="inlineStr">
        <is>
          <t>iPhone</t>
        </is>
      </c>
      <c r="S1566" s="4" t="inlineStr">
        <is>
          <t>B32</t>
        </is>
      </c>
      <c r="T1566" s="4" t="inlineStr">
        <is>
          <t>RAMP_1501_2500</t>
        </is>
      </c>
      <c r="U1566" s="4" t="inlineStr">
        <is>
          <t>CREATED</t>
        </is>
      </c>
      <c r="V1566" s="4" t="inlineStr">
        <is>
          <t>idem-20260902-ios-1565</t>
        </is>
      </c>
    </row>
    <row r="1567" ht="30" customHeight="1">
      <c r="A1567" s="4" t="n">
        <v>1566</v>
      </c>
      <c r="B1567" s="4" t="inlineStr">
        <is>
          <t>MTR-IOS-1566</t>
        </is>
      </c>
      <c r="C1567" s="4" t="inlineStr">
        <is>
          <t>Business</t>
        </is>
      </c>
      <c r="D1567" s="4" t="inlineStr">
        <is>
          <t>Business</t>
        </is>
      </c>
      <c r="E1567" s="4" t="inlineStr">
        <is>
          <t>Business Operations</t>
        </is>
      </c>
      <c r="F1567" s="4" t="inlineStr">
        <is>
          <t>Accounting</t>
        </is>
      </c>
      <c r="G1567" s="4" t="inlineStr">
        <is>
          <t>Expense</t>
        </is>
      </c>
      <c r="H1567" s="12" t="n">
        <v>46266</v>
      </c>
      <c r="I1567" s="13" t="n">
        <v>0.5904050925925926</v>
      </c>
      <c r="J1567" s="14" t="n">
        <v>46266.59040509259</v>
      </c>
      <c r="K1567" s="15" t="n">
        <v>42614.2</v>
      </c>
      <c r="L1567" s="4" t="inlineStr">
        <is>
          <t>INR</t>
        </is>
      </c>
      <c r="M1567" s="15" t="n">
        <v>-42614.2</v>
      </c>
      <c r="N1567" s="4" t="inlineStr">
        <is>
          <t>IOS Owner</t>
        </is>
      </c>
      <c r="O1567" s="4" t="n"/>
      <c r="P1567" s="4" t="n"/>
      <c r="Q1567" s="4" t="inlineStr">
        <is>
          <t>MAESTRO-IOS-BUSINESS-BUSINESS_OPERATIONS-1566 | Accounting | 42614.20</t>
        </is>
      </c>
      <c r="R1567" s="4" t="inlineStr">
        <is>
          <t>iPhone</t>
        </is>
      </c>
      <c r="S1567" s="4" t="inlineStr">
        <is>
          <t>B32</t>
        </is>
      </c>
      <c r="T1567" s="4" t="inlineStr">
        <is>
          <t>RAMP_1501_2500</t>
        </is>
      </c>
      <c r="U1567" s="4" t="inlineStr">
        <is>
          <t>CREATED</t>
        </is>
      </c>
      <c r="V1567" s="4" t="inlineStr">
        <is>
          <t>idem-20260902-ios-1566</t>
        </is>
      </c>
    </row>
    <row r="1568" ht="30" customHeight="1">
      <c r="A1568" s="4" t="n">
        <v>1567</v>
      </c>
      <c r="B1568" s="4" t="inlineStr">
        <is>
          <t>MTR-IOS-1567</t>
        </is>
      </c>
      <c r="C1568" s="4" t="inlineStr">
        <is>
          <t>Personal</t>
        </is>
      </c>
      <c r="D1568" s="4" t="inlineStr">
        <is>
          <t>Personal</t>
        </is>
      </c>
      <c r="E1568" s="4" t="inlineStr">
        <is>
          <t>Lifestyle</t>
        </is>
      </c>
      <c r="F1568" s="4" t="inlineStr">
        <is>
          <t>Fitness</t>
        </is>
      </c>
      <c r="G1568" s="4" t="inlineStr">
        <is>
          <t>Expense</t>
        </is>
      </c>
      <c r="H1568" s="12" t="n">
        <v>46230</v>
      </c>
      <c r="I1568" s="13" t="n">
        <v>0.02574074074074074</v>
      </c>
      <c r="J1568" s="14" t="n">
        <v>46230.02574074074</v>
      </c>
      <c r="K1568" s="15" t="n">
        <v>1722.13</v>
      </c>
      <c r="L1568" s="4" t="inlineStr">
        <is>
          <t>INR</t>
        </is>
      </c>
      <c r="M1568" s="15" t="n">
        <v>-1722.13</v>
      </c>
      <c r="N1568" s="4" t="inlineStr">
        <is>
          <t>IOS Owner</t>
        </is>
      </c>
      <c r="O1568" s="4" t="n"/>
      <c r="P1568" s="4" t="n"/>
      <c r="Q1568" s="4" t="inlineStr">
        <is>
          <t>MAESTRO-IOS-PERSONAL-LIFESTYLE-1567 | Fitness | 1722.13</t>
        </is>
      </c>
      <c r="R1568" s="4" t="inlineStr">
        <is>
          <t>iPhone</t>
        </is>
      </c>
      <c r="S1568" s="4" t="inlineStr">
        <is>
          <t>B32</t>
        </is>
      </c>
      <c r="T1568" s="4" t="inlineStr">
        <is>
          <t>RAMP_1501_2500</t>
        </is>
      </c>
      <c r="U1568" s="4" t="inlineStr">
        <is>
          <t>CREATED</t>
        </is>
      </c>
      <c r="V1568" s="4" t="inlineStr">
        <is>
          <t>idem-20260902-ios-1567</t>
        </is>
      </c>
    </row>
    <row r="1569" ht="30" customHeight="1">
      <c r="A1569" s="4" t="n">
        <v>1568</v>
      </c>
      <c r="B1569" s="4" t="inlineStr">
        <is>
          <t>MTR-IOS-1568</t>
        </is>
      </c>
      <c r="C1569" s="4" t="inlineStr">
        <is>
          <t>Group</t>
        </is>
      </c>
      <c r="D1569" s="4" t="inlineStr">
        <is>
          <t>Shared Experience</t>
        </is>
      </c>
      <c r="E1569" s="4" t="inlineStr">
        <is>
          <t>Trip</t>
        </is>
      </c>
      <c r="F1569" s="4" t="inlineStr">
        <is>
          <t>Travel</t>
        </is>
      </c>
      <c r="G1569" s="4" t="inlineStr">
        <is>
          <t>Expense</t>
        </is>
      </c>
      <c r="H1569" s="12" t="n">
        <v>46131</v>
      </c>
      <c r="I1569" s="13" t="n">
        <v>0.7246180555555556</v>
      </c>
      <c r="J1569" s="14" t="n">
        <v>46131.72461805555</v>
      </c>
      <c r="K1569" s="15" t="n">
        <v>18855.94</v>
      </c>
      <c r="L1569" s="4" t="inlineStr">
        <is>
          <t>INR</t>
        </is>
      </c>
      <c r="M1569" s="15" t="n">
        <v>-18855.94</v>
      </c>
      <c r="N1569" s="4" t="inlineStr">
        <is>
          <t>IOS Owner</t>
        </is>
      </c>
      <c r="O1569" s="4" t="n">
        <v>3</v>
      </c>
      <c r="P1569" s="4" t="inlineStr">
        <is>
          <t>EXACT</t>
        </is>
      </c>
      <c r="Q1569" s="4" t="inlineStr">
        <is>
          <t>MAESTRO-IOS-GROUP-TRIP-1568 | Travel | 18855.94</t>
        </is>
      </c>
      <c r="R1569" s="4" t="inlineStr">
        <is>
          <t>iPhone</t>
        </is>
      </c>
      <c r="S1569" s="4" t="inlineStr">
        <is>
          <t>B32</t>
        </is>
      </c>
      <c r="T1569" s="4" t="inlineStr">
        <is>
          <t>RAMP_1501_2500</t>
        </is>
      </c>
      <c r="U1569" s="4" t="inlineStr">
        <is>
          <t>CREATED</t>
        </is>
      </c>
      <c r="V1569" s="4" t="inlineStr">
        <is>
          <t>idem-20260902-ios-1568</t>
        </is>
      </c>
    </row>
    <row r="1570" ht="30" customHeight="1">
      <c r="A1570" s="4" t="n">
        <v>1569</v>
      </c>
      <c r="B1570" s="4" t="inlineStr">
        <is>
          <t>MTR-IOS-1569</t>
        </is>
      </c>
      <c r="C1570" s="4" t="inlineStr">
        <is>
          <t>Business</t>
        </is>
      </c>
      <c r="D1570" s="4" t="inlineStr">
        <is>
          <t>Business</t>
        </is>
      </c>
      <c r="E1570" s="4" t="inlineStr">
        <is>
          <t>Business Operations</t>
        </is>
      </c>
      <c r="F1570" s="4" t="inlineStr">
        <is>
          <t>Equipment</t>
        </is>
      </c>
      <c r="G1570" s="4" t="inlineStr">
        <is>
          <t>Expense</t>
        </is>
      </c>
      <c r="H1570" s="12" t="n">
        <v>46241</v>
      </c>
      <c r="I1570" s="13" t="n">
        <v>0.6189583333333334</v>
      </c>
      <c r="J1570" s="14" t="n">
        <v>46241.61895833333</v>
      </c>
      <c r="K1570" s="15" t="n">
        <v>67356.67999999999</v>
      </c>
      <c r="L1570" s="4" t="inlineStr">
        <is>
          <t>INR</t>
        </is>
      </c>
      <c r="M1570" s="15" t="n">
        <v>-67356.67999999999</v>
      </c>
      <c r="N1570" s="4" t="inlineStr">
        <is>
          <t>IOS Owner</t>
        </is>
      </c>
      <c r="O1570" s="4" t="n"/>
      <c r="P1570" s="4" t="n"/>
      <c r="Q1570" s="4" t="inlineStr">
        <is>
          <t>MAESTRO-IOS-BUSINESS-BUSINESS_OPERATIONS-1569 | Equipment | 67356.68</t>
        </is>
      </c>
      <c r="R1570" s="4" t="inlineStr">
        <is>
          <t>iPhone</t>
        </is>
      </c>
      <c r="S1570" s="4" t="inlineStr">
        <is>
          <t>B32</t>
        </is>
      </c>
      <c r="T1570" s="4" t="inlineStr">
        <is>
          <t>RAMP_1501_2500</t>
        </is>
      </c>
      <c r="U1570" s="4" t="inlineStr">
        <is>
          <t>CREATED</t>
        </is>
      </c>
      <c r="V1570" s="4" t="inlineStr">
        <is>
          <t>idem-20260902-ios-1569</t>
        </is>
      </c>
    </row>
    <row r="1571" ht="30" customHeight="1">
      <c r="A1571" s="4" t="n">
        <v>1570</v>
      </c>
      <c r="B1571" s="4" t="inlineStr">
        <is>
          <t>MTR-IOS-1570</t>
        </is>
      </c>
      <c r="C1571" s="4" t="inlineStr">
        <is>
          <t>Personal</t>
        </is>
      </c>
      <c r="D1571" s="4" t="inlineStr">
        <is>
          <t>Personal</t>
        </is>
      </c>
      <c r="E1571" s="4" t="inlineStr">
        <is>
          <t>Lifestyle</t>
        </is>
      </c>
      <c r="F1571" s="4" t="inlineStr">
        <is>
          <t>Hobbies</t>
        </is>
      </c>
      <c r="G1571" s="4" t="inlineStr">
        <is>
          <t>Expense</t>
        </is>
      </c>
      <c r="H1571" s="12" t="n">
        <v>46246</v>
      </c>
      <c r="I1571" s="13" t="n">
        <v>0.3266550925925926</v>
      </c>
      <c r="J1571" s="14" t="n">
        <v>46246.32665509259</v>
      </c>
      <c r="K1571" s="15" t="n">
        <v>16497.25</v>
      </c>
      <c r="L1571" s="4" t="inlineStr">
        <is>
          <t>INR</t>
        </is>
      </c>
      <c r="M1571" s="15" t="n">
        <v>-16497.25</v>
      </c>
      <c r="N1571" s="4" t="inlineStr">
        <is>
          <t>IOS Owner</t>
        </is>
      </c>
      <c r="O1571" s="4" t="n"/>
      <c r="P1571" s="4" t="n"/>
      <c r="Q1571" s="4" t="inlineStr">
        <is>
          <t>MAESTRO-IOS-PERSONAL-LIFESTYLE-1570 | Hobbies | 16497.25</t>
        </is>
      </c>
      <c r="R1571" s="4" t="inlineStr">
        <is>
          <t>iPhone</t>
        </is>
      </c>
      <c r="S1571" s="4" t="inlineStr">
        <is>
          <t>B32</t>
        </is>
      </c>
      <c r="T1571" s="4" t="inlineStr">
        <is>
          <t>RAMP_1501_2500</t>
        </is>
      </c>
      <c r="U1571" s="4" t="inlineStr">
        <is>
          <t>CREATED</t>
        </is>
      </c>
      <c r="V1571" s="4" t="inlineStr">
        <is>
          <t>idem-20260902-ios-1570</t>
        </is>
      </c>
    </row>
    <row r="1572" ht="30" customHeight="1">
      <c r="A1572" s="4" t="n">
        <v>1571</v>
      </c>
      <c r="B1572" s="4" t="inlineStr">
        <is>
          <t>MTR-IOS-1571</t>
        </is>
      </c>
      <c r="C1572" s="4" t="inlineStr">
        <is>
          <t>Group</t>
        </is>
      </c>
      <c r="D1572" s="4" t="inlineStr">
        <is>
          <t>Shared Experience</t>
        </is>
      </c>
      <c r="E1572" s="4" t="inlineStr">
        <is>
          <t>Trip</t>
        </is>
      </c>
      <c r="F1572" s="4" t="inlineStr">
        <is>
          <t>Stay</t>
        </is>
      </c>
      <c r="G1572" s="4" t="inlineStr">
        <is>
          <t>Expense</t>
        </is>
      </c>
      <c r="H1572" s="12" t="n">
        <v>46220</v>
      </c>
      <c r="I1572" s="13" t="n">
        <v>0.6222337962962963</v>
      </c>
      <c r="J1572" s="14" t="n">
        <v>46220.6222337963</v>
      </c>
      <c r="K1572" s="15" t="n">
        <v>23419.17</v>
      </c>
      <c r="L1572" s="4" t="inlineStr">
        <is>
          <t>INR</t>
        </is>
      </c>
      <c r="M1572" s="15" t="n">
        <v>-23419.17</v>
      </c>
      <c r="N1572" s="4" t="inlineStr">
        <is>
          <t>IOS Aarav</t>
        </is>
      </c>
      <c r="O1572" s="4" t="n">
        <v>3</v>
      </c>
      <c r="P1572" s="4" t="inlineStr">
        <is>
          <t>SHARES</t>
        </is>
      </c>
      <c r="Q1572" s="4" t="inlineStr">
        <is>
          <t>MAESTRO-IOS-GROUP-TRIP-1571 | Stay | 23419.17</t>
        </is>
      </c>
      <c r="R1572" s="4" t="inlineStr">
        <is>
          <t>iPhone</t>
        </is>
      </c>
      <c r="S1572" s="4" t="inlineStr">
        <is>
          <t>B32</t>
        </is>
      </c>
      <c r="T1572" s="4" t="inlineStr">
        <is>
          <t>RAMP_1501_2500</t>
        </is>
      </c>
      <c r="U1572" s="4" t="inlineStr">
        <is>
          <t>CREATED</t>
        </is>
      </c>
      <c r="V1572" s="4" t="inlineStr">
        <is>
          <t>idem-20260902-ios-1571</t>
        </is>
      </c>
    </row>
    <row r="1573" ht="30" customHeight="1">
      <c r="A1573" s="4" t="n">
        <v>1572</v>
      </c>
      <c r="B1573" s="4" t="inlineStr">
        <is>
          <t>MTR-IOS-1572</t>
        </is>
      </c>
      <c r="C1573" s="4" t="inlineStr">
        <is>
          <t>Business</t>
        </is>
      </c>
      <c r="D1573" s="4" t="inlineStr">
        <is>
          <t>Business</t>
        </is>
      </c>
      <c r="E1573" s="4" t="inlineStr">
        <is>
          <t>Business Operations</t>
        </is>
      </c>
      <c r="F1573" s="4" t="inlineStr">
        <is>
          <t>Vendor</t>
        </is>
      </c>
      <c r="G1573" s="4" t="inlineStr">
        <is>
          <t>Expense</t>
        </is>
      </c>
      <c r="H1573" s="12" t="n">
        <v>46253</v>
      </c>
      <c r="I1573" s="13" t="n">
        <v>0.7676041666666666</v>
      </c>
      <c r="J1573" s="14" t="n">
        <v>46253.76760416666</v>
      </c>
      <c r="K1573" s="15" t="n">
        <v>129393.08</v>
      </c>
      <c r="L1573" s="4" t="inlineStr">
        <is>
          <t>INR</t>
        </is>
      </c>
      <c r="M1573" s="15" t="n">
        <v>-129393.08</v>
      </c>
      <c r="N1573" s="4" t="inlineStr">
        <is>
          <t>IOS Owner</t>
        </is>
      </c>
      <c r="O1573" s="4" t="n"/>
      <c r="P1573" s="4" t="n"/>
      <c r="Q1573" s="4" t="inlineStr">
        <is>
          <t>MAESTRO-IOS-BUSINESS-BUSINESS_OPERATIONS-1572 | Vendor | 129393.08</t>
        </is>
      </c>
      <c r="R1573" s="4" t="inlineStr">
        <is>
          <t>iPhone</t>
        </is>
      </c>
      <c r="S1573" s="4" t="inlineStr">
        <is>
          <t>B32</t>
        </is>
      </c>
      <c r="T1573" s="4" t="inlineStr">
        <is>
          <t>RAMP_1501_2500</t>
        </is>
      </c>
      <c r="U1573" s="4" t="inlineStr">
        <is>
          <t>CREATED</t>
        </is>
      </c>
      <c r="V1573" s="4" t="inlineStr">
        <is>
          <t>idem-20260902-ios-1572</t>
        </is>
      </c>
    </row>
    <row r="1574" ht="30" customHeight="1">
      <c r="A1574" s="4" t="n">
        <v>1573</v>
      </c>
      <c r="B1574" s="4" t="inlineStr">
        <is>
          <t>MTR-IOS-1573</t>
        </is>
      </c>
      <c r="C1574" s="4" t="inlineStr">
        <is>
          <t>Personal</t>
        </is>
      </c>
      <c r="D1574" s="4" t="inlineStr">
        <is>
          <t>Personal</t>
        </is>
      </c>
      <c r="E1574" s="4" t="inlineStr">
        <is>
          <t>Relationships</t>
        </is>
      </c>
      <c r="F1574" s="4" t="inlineStr">
        <is>
          <t>Gifts</t>
        </is>
      </c>
      <c r="G1574" s="4" t="inlineStr">
        <is>
          <t>Expense</t>
        </is>
      </c>
      <c r="H1574" s="12" t="n">
        <v>46242</v>
      </c>
      <c r="I1574" s="13" t="n">
        <v>0.5548958333333334</v>
      </c>
      <c r="J1574" s="14" t="n">
        <v>46242.55489583333</v>
      </c>
      <c r="K1574" s="15" t="n">
        <v>10386.39</v>
      </c>
      <c r="L1574" s="4" t="inlineStr">
        <is>
          <t>INR</t>
        </is>
      </c>
      <c r="M1574" s="15" t="n">
        <v>-10386.39</v>
      </c>
      <c r="N1574" s="4" t="inlineStr">
        <is>
          <t>IOS Owner</t>
        </is>
      </c>
      <c r="O1574" s="4" t="n"/>
      <c r="P1574" s="4" t="n"/>
      <c r="Q1574" s="4" t="inlineStr">
        <is>
          <t>MAESTRO-IOS-PERSONAL-RELATIONSHIPS-1573 | Gifts | 10386.39</t>
        </is>
      </c>
      <c r="R1574" s="4" t="inlineStr">
        <is>
          <t>iPhone</t>
        </is>
      </c>
      <c r="S1574" s="4" t="inlineStr">
        <is>
          <t>B32</t>
        </is>
      </c>
      <c r="T1574" s="4" t="inlineStr">
        <is>
          <t>RAMP_1501_2500</t>
        </is>
      </c>
      <c r="U1574" s="4" t="inlineStr">
        <is>
          <t>CREATED</t>
        </is>
      </c>
      <c r="V1574" s="4" t="inlineStr">
        <is>
          <t>idem-20260902-ios-1573</t>
        </is>
      </c>
    </row>
    <row r="1575" ht="30" customHeight="1">
      <c r="A1575" s="4" t="n">
        <v>1574</v>
      </c>
      <c r="B1575" s="4" t="inlineStr">
        <is>
          <t>MTR-IOS-1574</t>
        </is>
      </c>
      <c r="C1575" s="4" t="inlineStr">
        <is>
          <t>Group</t>
        </is>
      </c>
      <c r="D1575" s="4" t="inlineStr">
        <is>
          <t>Shared Experience</t>
        </is>
      </c>
      <c r="E1575" s="4" t="inlineStr">
        <is>
          <t>Trip</t>
        </is>
      </c>
      <c r="F1575" s="4" t="inlineStr">
        <is>
          <t>Food</t>
        </is>
      </c>
      <c r="G1575" s="4" t="inlineStr">
        <is>
          <t>Expense</t>
        </is>
      </c>
      <c r="H1575" s="12" t="n">
        <v>46017</v>
      </c>
      <c r="I1575" s="13" t="n">
        <v>0.6775578703703704</v>
      </c>
      <c r="J1575" s="14" t="n">
        <v>46017.67755787037</v>
      </c>
      <c r="K1575" s="15" t="n">
        <v>18379.27</v>
      </c>
      <c r="L1575" s="4" t="inlineStr">
        <is>
          <t>INR</t>
        </is>
      </c>
      <c r="M1575" s="15" t="n">
        <v>-18379.27</v>
      </c>
      <c r="N1575" s="4" t="inlineStr">
        <is>
          <t>IOS Meera</t>
        </is>
      </c>
      <c r="O1575" s="4" t="n">
        <v>3</v>
      </c>
      <c r="P1575" s="4" t="inlineStr">
        <is>
          <t>EQUAL</t>
        </is>
      </c>
      <c r="Q1575" s="4" t="inlineStr">
        <is>
          <t>MAESTRO-IOS-GROUP-TRIP-1574 | Food | 18379.27</t>
        </is>
      </c>
      <c r="R1575" s="4" t="inlineStr">
        <is>
          <t>iPhone</t>
        </is>
      </c>
      <c r="S1575" s="4" t="inlineStr">
        <is>
          <t>B32</t>
        </is>
      </c>
      <c r="T1575" s="4" t="inlineStr">
        <is>
          <t>RAMP_1501_2500</t>
        </is>
      </c>
      <c r="U1575" s="4" t="inlineStr">
        <is>
          <t>CREATED</t>
        </is>
      </c>
      <c r="V1575" s="4" t="inlineStr">
        <is>
          <t>idem-20260902-ios-1574</t>
        </is>
      </c>
    </row>
    <row r="1576" ht="30" customHeight="1">
      <c r="A1576" s="4" t="n">
        <v>1575</v>
      </c>
      <c r="B1576" s="4" t="inlineStr">
        <is>
          <t>MTR-IOS-1575</t>
        </is>
      </c>
      <c r="C1576" s="4" t="inlineStr">
        <is>
          <t>Business</t>
        </is>
      </c>
      <c r="D1576" s="4" t="inlineStr">
        <is>
          <t>Business</t>
        </is>
      </c>
      <c r="E1576" s="4" t="inlineStr">
        <is>
          <t>Business Operations</t>
        </is>
      </c>
      <c r="F1576" s="4" t="inlineStr">
        <is>
          <t>Tax</t>
        </is>
      </c>
      <c r="G1576" s="4" t="inlineStr">
        <is>
          <t>Expense</t>
        </is>
      </c>
      <c r="H1576" s="12" t="n">
        <v>45904</v>
      </c>
      <c r="I1576" s="13" t="n">
        <v>0.5612152777777778</v>
      </c>
      <c r="J1576" s="14" t="n">
        <v>45904.56121527778</v>
      </c>
      <c r="K1576" s="15" t="n">
        <v>140539.02</v>
      </c>
      <c r="L1576" s="4" t="inlineStr">
        <is>
          <t>INR</t>
        </is>
      </c>
      <c r="M1576" s="15" t="n">
        <v>-140539.02</v>
      </c>
      <c r="N1576" s="4" t="inlineStr">
        <is>
          <t>IOS Owner</t>
        </is>
      </c>
      <c r="O1576" s="4" t="n"/>
      <c r="P1576" s="4" t="n"/>
      <c r="Q1576" s="4" t="inlineStr">
        <is>
          <t>MAESTRO-IOS-BUSINESS-BUSINESS_OPERATIONS-1575 | Tax | 140539.02</t>
        </is>
      </c>
      <c r="R1576" s="4" t="inlineStr">
        <is>
          <t>iPhone</t>
        </is>
      </c>
      <c r="S1576" s="4" t="inlineStr">
        <is>
          <t>B32</t>
        </is>
      </c>
      <c r="T1576" s="4" t="inlineStr">
        <is>
          <t>RAMP_1501_2500</t>
        </is>
      </c>
      <c r="U1576" s="4" t="inlineStr">
        <is>
          <t>CREATED</t>
        </is>
      </c>
      <c r="V1576" s="4" t="inlineStr">
        <is>
          <t>idem-20260902-ios-1575</t>
        </is>
      </c>
    </row>
    <row r="1577" ht="30" customHeight="1">
      <c r="A1577" s="4" t="n">
        <v>1576</v>
      </c>
      <c r="B1577" s="4" t="inlineStr">
        <is>
          <t>MTR-IOS-1576</t>
        </is>
      </c>
      <c r="C1577" s="4" t="inlineStr">
        <is>
          <t>Personal</t>
        </is>
      </c>
      <c r="D1577" s="4" t="inlineStr">
        <is>
          <t>Personal</t>
        </is>
      </c>
      <c r="E1577" s="4" t="inlineStr">
        <is>
          <t>Relationships</t>
        </is>
      </c>
      <c r="F1577" s="4" t="inlineStr">
        <is>
          <t>Dates</t>
        </is>
      </c>
      <c r="G1577" s="4" t="inlineStr">
        <is>
          <t>Expense</t>
        </is>
      </c>
      <c r="H1577" s="12" t="n">
        <v>46047</v>
      </c>
      <c r="I1577" s="13" t="n">
        <v>0.9910185185185185</v>
      </c>
      <c r="J1577" s="14" t="n">
        <v>46047.99101851852</v>
      </c>
      <c r="K1577" s="15" t="n">
        <v>12516.37</v>
      </c>
      <c r="L1577" s="4" t="inlineStr">
        <is>
          <t>INR</t>
        </is>
      </c>
      <c r="M1577" s="15" t="n">
        <v>-12516.37</v>
      </c>
      <c r="N1577" s="4" t="inlineStr">
        <is>
          <t>IOS Owner</t>
        </is>
      </c>
      <c r="O1577" s="4" t="n"/>
      <c r="P1577" s="4" t="n"/>
      <c r="Q1577" s="4" t="inlineStr">
        <is>
          <t>MAESTRO-IOS-PERSONAL-RELATIONSHIPS-1576 | Dates | 12516.37</t>
        </is>
      </c>
      <c r="R1577" s="4" t="inlineStr">
        <is>
          <t>iPhone</t>
        </is>
      </c>
      <c r="S1577" s="4" t="inlineStr">
        <is>
          <t>B32</t>
        </is>
      </c>
      <c r="T1577" s="4" t="inlineStr">
        <is>
          <t>RAMP_1501_2500</t>
        </is>
      </c>
      <c r="U1577" s="4" t="inlineStr">
        <is>
          <t>CREATED</t>
        </is>
      </c>
      <c r="V1577" s="4" t="inlineStr">
        <is>
          <t>idem-20260902-ios-1576</t>
        </is>
      </c>
    </row>
    <row r="1578" ht="30" customHeight="1">
      <c r="A1578" s="4" t="n">
        <v>1577</v>
      </c>
      <c r="B1578" s="4" t="inlineStr">
        <is>
          <t>MTR-IOS-1577</t>
        </is>
      </c>
      <c r="C1578" s="4" t="inlineStr">
        <is>
          <t>Group</t>
        </is>
      </c>
      <c r="D1578" s="4" t="inlineStr">
        <is>
          <t>Shared Experience</t>
        </is>
      </c>
      <c r="E1578" s="4" t="inlineStr">
        <is>
          <t>Trip</t>
        </is>
      </c>
      <c r="F1578" s="4" t="inlineStr">
        <is>
          <t>Local Transport</t>
        </is>
      </c>
      <c r="G1578" s="4" t="inlineStr">
        <is>
          <t>Expense</t>
        </is>
      </c>
      <c r="H1578" s="12" t="n">
        <v>46230</v>
      </c>
      <c r="I1578" s="13" t="n">
        <v>0.7649305555555556</v>
      </c>
      <c r="J1578" s="14" t="n">
        <v>46230.76493055555</v>
      </c>
      <c r="K1578" s="15" t="n">
        <v>16331.59</v>
      </c>
      <c r="L1578" s="4" t="inlineStr">
        <is>
          <t>INR</t>
        </is>
      </c>
      <c r="M1578" s="15" t="n">
        <v>-16331.59</v>
      </c>
      <c r="N1578" s="4" t="inlineStr">
        <is>
          <t>IOS Owner</t>
        </is>
      </c>
      <c r="O1578" s="4" t="n">
        <v>3</v>
      </c>
      <c r="P1578" s="4" t="inlineStr">
        <is>
          <t>PERCENTAGE</t>
        </is>
      </c>
      <c r="Q1578" s="4" t="inlineStr">
        <is>
          <t>MAESTRO-IOS-GROUP-TRIP-1577 | Local Transport | 16331.59</t>
        </is>
      </c>
      <c r="R1578" s="4" t="inlineStr">
        <is>
          <t>iPhone</t>
        </is>
      </c>
      <c r="S1578" s="4" t="inlineStr">
        <is>
          <t>B32</t>
        </is>
      </c>
      <c r="T1578" s="4" t="inlineStr">
        <is>
          <t>RAMP_1501_2500</t>
        </is>
      </c>
      <c r="U1578" s="4" t="inlineStr">
        <is>
          <t>CREATED</t>
        </is>
      </c>
      <c r="V1578" s="4" t="inlineStr">
        <is>
          <t>idem-20260902-ios-1577</t>
        </is>
      </c>
    </row>
    <row r="1579" ht="30" customHeight="1">
      <c r="A1579" s="4" t="n">
        <v>1578</v>
      </c>
      <c r="B1579" s="4" t="inlineStr">
        <is>
          <t>MTR-IOS-1578</t>
        </is>
      </c>
      <c r="C1579" s="4" t="inlineStr">
        <is>
          <t>Business</t>
        </is>
      </c>
      <c r="D1579" s="4" t="inlineStr">
        <is>
          <t>Business</t>
        </is>
      </c>
      <c r="E1579" s="4" t="inlineStr">
        <is>
          <t>Team Operations</t>
        </is>
      </c>
      <c r="F1579" s="4" t="inlineStr">
        <is>
          <t>Payroll</t>
        </is>
      </c>
      <c r="G1579" s="4" t="inlineStr">
        <is>
          <t>Expense</t>
        </is>
      </c>
      <c r="H1579" s="12" t="n">
        <v>45934</v>
      </c>
      <c r="I1579" s="13" t="n">
        <v>0.1745486111111111</v>
      </c>
      <c r="J1579" s="14" t="n">
        <v>45934.17454861111</v>
      </c>
      <c r="K1579" s="15" t="n">
        <v>164177.45</v>
      </c>
      <c r="L1579" s="4" t="inlineStr">
        <is>
          <t>INR</t>
        </is>
      </c>
      <c r="M1579" s="15" t="n">
        <v>-164177.45</v>
      </c>
      <c r="N1579" s="4" t="inlineStr">
        <is>
          <t>IOS Owner</t>
        </is>
      </c>
      <c r="O1579" s="4" t="n"/>
      <c r="P1579" s="4" t="n"/>
      <c r="Q1579" s="4" t="inlineStr">
        <is>
          <t>MAESTRO-IOS-BUSINESS-TEAM_OPERATIONS-1578 | Payroll | 164177.45</t>
        </is>
      </c>
      <c r="R1579" s="4" t="inlineStr">
        <is>
          <t>iPhone</t>
        </is>
      </c>
      <c r="S1579" s="4" t="inlineStr">
        <is>
          <t>B32</t>
        </is>
      </c>
      <c r="T1579" s="4" t="inlineStr">
        <is>
          <t>RAMP_1501_2500</t>
        </is>
      </c>
      <c r="U1579" s="4" t="inlineStr">
        <is>
          <t>CREATED</t>
        </is>
      </c>
      <c r="V1579" s="4" t="inlineStr">
        <is>
          <t>idem-20260902-ios-1578</t>
        </is>
      </c>
    </row>
    <row r="1580" ht="30" customHeight="1">
      <c r="A1580" s="4" t="n">
        <v>1579</v>
      </c>
      <c r="B1580" s="4" t="inlineStr">
        <is>
          <t>MTR-IOS-1579</t>
        </is>
      </c>
      <c r="C1580" s="4" t="inlineStr">
        <is>
          <t>Personal</t>
        </is>
      </c>
      <c r="D1580" s="4" t="inlineStr">
        <is>
          <t>Personal</t>
        </is>
      </c>
      <c r="E1580" s="4" t="inlineStr">
        <is>
          <t>Relationships</t>
        </is>
      </c>
      <c r="F1580" s="4" t="inlineStr">
        <is>
          <t>Family</t>
        </is>
      </c>
      <c r="G1580" s="4" t="inlineStr">
        <is>
          <t>Expense</t>
        </is>
      </c>
      <c r="H1580" s="12" t="n">
        <v>46156</v>
      </c>
      <c r="I1580" s="13" t="n">
        <v>0.0255787037037037</v>
      </c>
      <c r="J1580" s="14" t="n">
        <v>46156.0255787037</v>
      </c>
      <c r="K1580" s="15" t="n">
        <v>14467.93</v>
      </c>
      <c r="L1580" s="4" t="inlineStr">
        <is>
          <t>INR</t>
        </is>
      </c>
      <c r="M1580" s="15" t="n">
        <v>-14467.93</v>
      </c>
      <c r="N1580" s="4" t="inlineStr">
        <is>
          <t>IOS Owner</t>
        </is>
      </c>
      <c r="O1580" s="4" t="n"/>
      <c r="P1580" s="4" t="n"/>
      <c r="Q1580" s="4" t="inlineStr">
        <is>
          <t>MAESTRO-IOS-PERSONAL-RELATIONSHIPS-1579 | Family | 14467.93</t>
        </is>
      </c>
      <c r="R1580" s="4" t="inlineStr">
        <is>
          <t>iPhone</t>
        </is>
      </c>
      <c r="S1580" s="4" t="inlineStr">
        <is>
          <t>B32</t>
        </is>
      </c>
      <c r="T1580" s="4" t="inlineStr">
        <is>
          <t>RAMP_1501_2500</t>
        </is>
      </c>
      <c r="U1580" s="4" t="inlineStr">
        <is>
          <t>CREATED</t>
        </is>
      </c>
      <c r="V1580" s="4" t="inlineStr">
        <is>
          <t>idem-20260902-ios-1579</t>
        </is>
      </c>
    </row>
    <row r="1581" ht="30" customHeight="1">
      <c r="A1581" s="4" t="n">
        <v>1580</v>
      </c>
      <c r="B1581" s="4" t="inlineStr">
        <is>
          <t>MTR-IOS-1580</t>
        </is>
      </c>
      <c r="C1581" s="4" t="inlineStr">
        <is>
          <t>Group</t>
        </is>
      </c>
      <c r="D1581" s="4" t="inlineStr">
        <is>
          <t>Shared Experience</t>
        </is>
      </c>
      <c r="E1581" s="4" t="inlineStr">
        <is>
          <t>Trip</t>
        </is>
      </c>
      <c r="F1581" s="4" t="inlineStr">
        <is>
          <t>Activities</t>
        </is>
      </c>
      <c r="G1581" s="4" t="inlineStr">
        <is>
          <t>Expense</t>
        </is>
      </c>
      <c r="H1581" s="12" t="n">
        <v>45920</v>
      </c>
      <c r="I1581" s="13" t="n">
        <v>0.3901041666666666</v>
      </c>
      <c r="J1581" s="14" t="n">
        <v>45920.39010416667</v>
      </c>
      <c r="K1581" s="15" t="n">
        <v>2452.23</v>
      </c>
      <c r="L1581" s="4" t="inlineStr">
        <is>
          <t>INR</t>
        </is>
      </c>
      <c r="M1581" s="15" t="n">
        <v>-2452.23</v>
      </c>
      <c r="N1581" s="4" t="inlineStr">
        <is>
          <t>IOS Aarav</t>
        </is>
      </c>
      <c r="O1581" s="4" t="n">
        <v>3</v>
      </c>
      <c r="P1581" s="4" t="inlineStr">
        <is>
          <t>EXACT</t>
        </is>
      </c>
      <c r="Q1581" s="4" t="inlineStr">
        <is>
          <t>MAESTRO-IOS-GROUP-TRIP-1580 | Activities | 2452.23</t>
        </is>
      </c>
      <c r="R1581" s="4" t="inlineStr">
        <is>
          <t>iPhone</t>
        </is>
      </c>
      <c r="S1581" s="4" t="inlineStr">
        <is>
          <t>B32</t>
        </is>
      </c>
      <c r="T1581" s="4" t="inlineStr">
        <is>
          <t>RAMP_1501_2500</t>
        </is>
      </c>
      <c r="U1581" s="4" t="inlineStr">
        <is>
          <t>CREATED</t>
        </is>
      </c>
      <c r="V1581" s="4" t="inlineStr">
        <is>
          <t>idem-20260902-ios-1580</t>
        </is>
      </c>
    </row>
    <row r="1582" ht="30" customHeight="1">
      <c r="A1582" s="4" t="n">
        <v>1581</v>
      </c>
      <c r="B1582" s="4" t="inlineStr">
        <is>
          <t>MTR-IOS-1581</t>
        </is>
      </c>
      <c r="C1582" s="4" t="inlineStr">
        <is>
          <t>Business</t>
        </is>
      </c>
      <c r="D1582" s="4" t="inlineStr">
        <is>
          <t>Business</t>
        </is>
      </c>
      <c r="E1582" s="4" t="inlineStr">
        <is>
          <t>Team Operations</t>
        </is>
      </c>
      <c r="F1582" s="4" t="inlineStr">
        <is>
          <t>Contractor</t>
        </is>
      </c>
      <c r="G1582" s="4" t="inlineStr">
        <is>
          <t>Expense</t>
        </is>
      </c>
      <c r="H1582" s="12" t="n">
        <v>46221</v>
      </c>
      <c r="I1582" s="13" t="n">
        <v>0.6527199074074074</v>
      </c>
      <c r="J1582" s="14" t="n">
        <v>46221.6527199074</v>
      </c>
      <c r="K1582" s="15" t="n">
        <v>96399.27</v>
      </c>
      <c r="L1582" s="4" t="inlineStr">
        <is>
          <t>INR</t>
        </is>
      </c>
      <c r="M1582" s="15" t="n">
        <v>-96399.27</v>
      </c>
      <c r="N1582" s="4" t="inlineStr">
        <is>
          <t>IOS Owner</t>
        </is>
      </c>
      <c r="O1582" s="4" t="n"/>
      <c r="P1582" s="4" t="n"/>
      <c r="Q1582" s="4" t="inlineStr">
        <is>
          <t>MAESTRO-IOS-BUSINESS-TEAM_OPERATIONS-1581 | Contractor | 96399.27</t>
        </is>
      </c>
      <c r="R1582" s="4" t="inlineStr">
        <is>
          <t>iPhone</t>
        </is>
      </c>
      <c r="S1582" s="4" t="inlineStr">
        <is>
          <t>B32</t>
        </is>
      </c>
      <c r="T1582" s="4" t="inlineStr">
        <is>
          <t>RAMP_1501_2500</t>
        </is>
      </c>
      <c r="U1582" s="4" t="inlineStr">
        <is>
          <t>CREATED</t>
        </is>
      </c>
      <c r="V1582" s="4" t="inlineStr">
        <is>
          <t>idem-20260902-ios-1581</t>
        </is>
      </c>
    </row>
    <row r="1583" ht="30" customHeight="1">
      <c r="A1583" s="4" t="n">
        <v>1582</v>
      </c>
      <c r="B1583" s="4" t="inlineStr">
        <is>
          <t>MTR-IOS-1582</t>
        </is>
      </c>
      <c r="C1583" s="4" t="inlineStr">
        <is>
          <t>Personal</t>
        </is>
      </c>
      <c r="D1583" s="4" t="inlineStr">
        <is>
          <t>Personal</t>
        </is>
      </c>
      <c r="E1583" s="4" t="inlineStr">
        <is>
          <t>Relationships</t>
        </is>
      </c>
      <c r="F1583" s="4" t="inlineStr">
        <is>
          <t>Friends</t>
        </is>
      </c>
      <c r="G1583" s="4" t="inlineStr">
        <is>
          <t>Expense</t>
        </is>
      </c>
      <c r="H1583" s="12" t="n">
        <v>46130</v>
      </c>
      <c r="I1583" s="13" t="n">
        <v>0.1157523148148148</v>
      </c>
      <c r="J1583" s="14" t="n">
        <v>46130.11575231481</v>
      </c>
      <c r="K1583" s="15" t="n">
        <v>2220.62</v>
      </c>
      <c r="L1583" s="4" t="inlineStr">
        <is>
          <t>INR</t>
        </is>
      </c>
      <c r="M1583" s="15" t="n">
        <v>-2220.62</v>
      </c>
      <c r="N1583" s="4" t="inlineStr">
        <is>
          <t>IOS Owner</t>
        </is>
      </c>
      <c r="O1583" s="4" t="n"/>
      <c r="P1583" s="4" t="n"/>
      <c r="Q1583" s="4" t="inlineStr">
        <is>
          <t>MAESTRO-IOS-PERSONAL-RELATIONSHIPS-1582 | Friends | 2220.62</t>
        </is>
      </c>
      <c r="R1583" s="4" t="inlineStr">
        <is>
          <t>iPhone</t>
        </is>
      </c>
      <c r="S1583" s="4" t="inlineStr">
        <is>
          <t>B32</t>
        </is>
      </c>
      <c r="T1583" s="4" t="inlineStr">
        <is>
          <t>RAMP_1501_2500</t>
        </is>
      </c>
      <c r="U1583" s="4" t="inlineStr">
        <is>
          <t>CREATED</t>
        </is>
      </c>
      <c r="V1583" s="4" t="inlineStr">
        <is>
          <t>idem-20260902-ios-1582</t>
        </is>
      </c>
    </row>
    <row r="1584" ht="30" customHeight="1">
      <c r="A1584" s="4" t="n">
        <v>1583</v>
      </c>
      <c r="B1584" s="4" t="inlineStr">
        <is>
          <t>MTR-IOS-1583</t>
        </is>
      </c>
      <c r="C1584" s="4" t="inlineStr">
        <is>
          <t>Group</t>
        </is>
      </c>
      <c r="D1584" s="4" t="inlineStr">
        <is>
          <t>Shared Experience</t>
        </is>
      </c>
      <c r="E1584" s="4" t="inlineStr">
        <is>
          <t>Trip</t>
        </is>
      </c>
      <c r="F1584" s="4" t="inlineStr">
        <is>
          <t>Shopping</t>
        </is>
      </c>
      <c r="G1584" s="4" t="inlineStr">
        <is>
          <t>Expense</t>
        </is>
      </c>
      <c r="H1584" s="12" t="n">
        <v>45993</v>
      </c>
      <c r="I1584" s="13" t="n">
        <v>0.5674652777777778</v>
      </c>
      <c r="J1584" s="14" t="n">
        <v>45993.56746527777</v>
      </c>
      <c r="K1584" s="15" t="n">
        <v>13455.56</v>
      </c>
      <c r="L1584" s="4" t="inlineStr">
        <is>
          <t>INR</t>
        </is>
      </c>
      <c r="M1584" s="15" t="n">
        <v>-13455.56</v>
      </c>
      <c r="N1584" s="4" t="inlineStr">
        <is>
          <t>IOS Meera</t>
        </is>
      </c>
      <c r="O1584" s="4" t="n">
        <v>3</v>
      </c>
      <c r="P1584" s="4" t="inlineStr">
        <is>
          <t>SHARES</t>
        </is>
      </c>
      <c r="Q1584" s="4" t="inlineStr">
        <is>
          <t>MAESTRO-IOS-GROUP-TRIP-1583 | Shopping | 13455.56</t>
        </is>
      </c>
      <c r="R1584" s="4" t="inlineStr">
        <is>
          <t>iPhone</t>
        </is>
      </c>
      <c r="S1584" s="4" t="inlineStr">
        <is>
          <t>B32</t>
        </is>
      </c>
      <c r="T1584" s="4" t="inlineStr">
        <is>
          <t>RAMP_1501_2500</t>
        </is>
      </c>
      <c r="U1584" s="4" t="inlineStr">
        <is>
          <t>CREATED</t>
        </is>
      </c>
      <c r="V1584" s="4" t="inlineStr">
        <is>
          <t>idem-20260902-ios-1583</t>
        </is>
      </c>
    </row>
    <row r="1585" ht="30" customHeight="1">
      <c r="A1585" s="4" t="n">
        <v>1584</v>
      </c>
      <c r="B1585" s="4" t="inlineStr">
        <is>
          <t>MTR-IOS-1584</t>
        </is>
      </c>
      <c r="C1585" s="4" t="inlineStr">
        <is>
          <t>Business</t>
        </is>
      </c>
      <c r="D1585" s="4" t="inlineStr">
        <is>
          <t>Business</t>
        </is>
      </c>
      <c r="E1585" s="4" t="inlineStr">
        <is>
          <t>Team Operations</t>
        </is>
      </c>
      <c r="F1585" s="4" t="inlineStr">
        <is>
          <t>Hiring</t>
        </is>
      </c>
      <c r="G1585" s="4" t="inlineStr">
        <is>
          <t>Expense</t>
        </is>
      </c>
      <c r="H1585" s="12" t="n">
        <v>46098</v>
      </c>
      <c r="I1585" s="13" t="n">
        <v>0.5571527777777778</v>
      </c>
      <c r="J1585" s="14" t="n">
        <v>46098.55715277778</v>
      </c>
      <c r="K1585" s="15" t="n">
        <v>8891.9</v>
      </c>
      <c r="L1585" s="4" t="inlineStr">
        <is>
          <t>INR</t>
        </is>
      </c>
      <c r="M1585" s="15" t="n">
        <v>-8891.9</v>
      </c>
      <c r="N1585" s="4" t="inlineStr">
        <is>
          <t>IOS Owner</t>
        </is>
      </c>
      <c r="O1585" s="4" t="n"/>
      <c r="P1585" s="4" t="n"/>
      <c r="Q1585" s="4" t="inlineStr">
        <is>
          <t>MAESTRO-IOS-BUSINESS-TEAM_OPERATIONS-1584 | Hiring | 8891.90</t>
        </is>
      </c>
      <c r="R1585" s="4" t="inlineStr">
        <is>
          <t>iPhone</t>
        </is>
      </c>
      <c r="S1585" s="4" t="inlineStr">
        <is>
          <t>B32</t>
        </is>
      </c>
      <c r="T1585" s="4" t="inlineStr">
        <is>
          <t>RAMP_1501_2500</t>
        </is>
      </c>
      <c r="U1585" s="4" t="inlineStr">
        <is>
          <t>CREATED</t>
        </is>
      </c>
      <c r="V1585" s="4" t="inlineStr">
        <is>
          <t>idem-20260902-ios-1584</t>
        </is>
      </c>
    </row>
    <row r="1586" ht="30" customHeight="1">
      <c r="A1586" s="4" t="n">
        <v>1585</v>
      </c>
      <c r="B1586" s="4" t="inlineStr">
        <is>
          <t>MTR-IOS-1585</t>
        </is>
      </c>
      <c r="C1586" s="4" t="inlineStr">
        <is>
          <t>Personal</t>
        </is>
      </c>
      <c r="D1586" s="4" t="inlineStr">
        <is>
          <t>Personal</t>
        </is>
      </c>
      <c r="E1586" s="4" t="inlineStr">
        <is>
          <t>Relationships</t>
        </is>
      </c>
      <c r="F1586" s="4" t="inlineStr">
        <is>
          <t>Celebrations</t>
        </is>
      </c>
      <c r="G1586" s="4" t="inlineStr">
        <is>
          <t>Expense</t>
        </is>
      </c>
      <c r="H1586" s="12" t="n">
        <v>45933</v>
      </c>
      <c r="I1586" s="13" t="n">
        <v>0.9744212962962963</v>
      </c>
      <c r="J1586" s="14" t="n">
        <v>45933.9744212963</v>
      </c>
      <c r="K1586" s="15" t="n">
        <v>17621.68</v>
      </c>
      <c r="L1586" s="4" t="inlineStr">
        <is>
          <t>INR</t>
        </is>
      </c>
      <c r="M1586" s="15" t="n">
        <v>-17621.68</v>
      </c>
      <c r="N1586" s="4" t="inlineStr">
        <is>
          <t>IOS Owner</t>
        </is>
      </c>
      <c r="O1586" s="4" t="n"/>
      <c r="P1586" s="4" t="n"/>
      <c r="Q1586" s="4" t="inlineStr">
        <is>
          <t>MAESTRO-IOS-PERSONAL-RELATIONSHIPS-1585 | Celebrations | 17621.68</t>
        </is>
      </c>
      <c r="R1586" s="4" t="inlineStr">
        <is>
          <t>iPhone</t>
        </is>
      </c>
      <c r="S1586" s="4" t="inlineStr">
        <is>
          <t>B32</t>
        </is>
      </c>
      <c r="T1586" s="4" t="inlineStr">
        <is>
          <t>RAMP_1501_2500</t>
        </is>
      </c>
      <c r="U1586" s="4" t="inlineStr">
        <is>
          <t>CREATED</t>
        </is>
      </c>
      <c r="V1586" s="4" t="inlineStr">
        <is>
          <t>idem-20260902-ios-1585</t>
        </is>
      </c>
    </row>
    <row r="1587" ht="30" customHeight="1">
      <c r="A1587" s="4" t="n">
        <v>1586</v>
      </c>
      <c r="B1587" s="4" t="inlineStr">
        <is>
          <t>MTR-IOS-1586</t>
        </is>
      </c>
      <c r="C1587" s="4" t="inlineStr">
        <is>
          <t>Group</t>
        </is>
      </c>
      <c r="D1587" s="4" t="inlineStr">
        <is>
          <t>Shared Experience</t>
        </is>
      </c>
      <c r="E1587" s="4" t="inlineStr">
        <is>
          <t>Trip</t>
        </is>
      </c>
      <c r="F1587" s="4" t="inlineStr">
        <is>
          <t>Other</t>
        </is>
      </c>
      <c r="G1587" s="4" t="inlineStr">
        <is>
          <t>Expense</t>
        </is>
      </c>
      <c r="H1587" s="12" t="n">
        <v>46240</v>
      </c>
      <c r="I1587" s="13" t="n">
        <v>0.9436574074074074</v>
      </c>
      <c r="J1587" s="14" t="n">
        <v>46240.94365740741</v>
      </c>
      <c r="K1587" s="15" t="n">
        <v>21798.18</v>
      </c>
      <c r="L1587" s="4" t="inlineStr">
        <is>
          <t>INR</t>
        </is>
      </c>
      <c r="M1587" s="15" t="n">
        <v>-21798.18</v>
      </c>
      <c r="N1587" s="4" t="inlineStr">
        <is>
          <t>IOS Owner</t>
        </is>
      </c>
      <c r="O1587" s="4" t="n">
        <v>3</v>
      </c>
      <c r="P1587" s="4" t="inlineStr">
        <is>
          <t>EQUAL</t>
        </is>
      </c>
      <c r="Q1587" s="4" t="inlineStr">
        <is>
          <t>MAESTRO-IOS-GROUP-TRIP-1586 | Other | 21798.18</t>
        </is>
      </c>
      <c r="R1587" s="4" t="inlineStr">
        <is>
          <t>iPhone</t>
        </is>
      </c>
      <c r="S1587" s="4" t="inlineStr">
        <is>
          <t>B32</t>
        </is>
      </c>
      <c r="T1587" s="4" t="inlineStr">
        <is>
          <t>RAMP_1501_2500</t>
        </is>
      </c>
      <c r="U1587" s="4" t="inlineStr">
        <is>
          <t>CREATED</t>
        </is>
      </c>
      <c r="V1587" s="4" t="inlineStr">
        <is>
          <t>idem-20260902-ios-1586</t>
        </is>
      </c>
    </row>
    <row r="1588" ht="30" customHeight="1">
      <c r="A1588" s="4" t="n">
        <v>1587</v>
      </c>
      <c r="B1588" s="4" t="inlineStr">
        <is>
          <t>MTR-IOS-1587</t>
        </is>
      </c>
      <c r="C1588" s="4" t="inlineStr">
        <is>
          <t>Business</t>
        </is>
      </c>
      <c r="D1588" s="4" t="inlineStr">
        <is>
          <t>Business</t>
        </is>
      </c>
      <c r="E1588" s="4" t="inlineStr">
        <is>
          <t>Team Operations</t>
        </is>
      </c>
      <c r="F1588" s="4" t="inlineStr">
        <is>
          <t>Team Meal</t>
        </is>
      </c>
      <c r="G1588" s="4" t="inlineStr">
        <is>
          <t>Expense</t>
        </is>
      </c>
      <c r="H1588" s="12" t="n">
        <v>46211</v>
      </c>
      <c r="I1588" s="13" t="n">
        <v>0.6036458333333333</v>
      </c>
      <c r="J1588" s="14" t="n">
        <v>46211.60364583333</v>
      </c>
      <c r="K1588" s="15" t="n">
        <v>78137.03999999999</v>
      </c>
      <c r="L1588" s="4" t="inlineStr">
        <is>
          <t>INR</t>
        </is>
      </c>
      <c r="M1588" s="15" t="n">
        <v>-78137.03999999999</v>
      </c>
      <c r="N1588" s="4" t="inlineStr">
        <is>
          <t>IOS Owner</t>
        </is>
      </c>
      <c r="O1588" s="4" t="n"/>
      <c r="P1588" s="4" t="n"/>
      <c r="Q1588" s="4" t="inlineStr">
        <is>
          <t>MAESTRO-IOS-BUSINESS-TEAM_OPERATIONS-1587 | Team Meal | 78137.04</t>
        </is>
      </c>
      <c r="R1588" s="4" t="inlineStr">
        <is>
          <t>iPhone</t>
        </is>
      </c>
      <c r="S1588" s="4" t="inlineStr">
        <is>
          <t>B32</t>
        </is>
      </c>
      <c r="T1588" s="4" t="inlineStr">
        <is>
          <t>RAMP_1501_2500</t>
        </is>
      </c>
      <c r="U1588" s="4" t="inlineStr">
        <is>
          <t>CREATED</t>
        </is>
      </c>
      <c r="V1588" s="4" t="inlineStr">
        <is>
          <t>idem-20260902-ios-1587</t>
        </is>
      </c>
    </row>
    <row r="1589" ht="30" customHeight="1">
      <c r="A1589" s="4" t="n">
        <v>1588</v>
      </c>
      <c r="B1589" s="4" t="inlineStr">
        <is>
          <t>MTR-IOS-1588</t>
        </is>
      </c>
      <c r="C1589" s="4" t="inlineStr">
        <is>
          <t>Personal</t>
        </is>
      </c>
      <c r="D1589" s="4" t="inlineStr">
        <is>
          <t>Personal</t>
        </is>
      </c>
      <c r="E1589" s="4" t="inlineStr">
        <is>
          <t>Life Operations</t>
        </is>
      </c>
      <c r="F1589" s="4" t="inlineStr">
        <is>
          <t>Groceries</t>
        </is>
      </c>
      <c r="G1589" s="4" t="inlineStr">
        <is>
          <t>Expense</t>
        </is>
      </c>
      <c r="H1589" s="12" t="n">
        <v>46044</v>
      </c>
      <c r="I1589" s="13" t="n">
        <v>0.0008217592592592593</v>
      </c>
      <c r="J1589" s="14" t="n">
        <v>46044.00082175926</v>
      </c>
      <c r="K1589" s="15" t="n">
        <v>1882.85</v>
      </c>
      <c r="L1589" s="4" t="inlineStr">
        <is>
          <t>INR</t>
        </is>
      </c>
      <c r="M1589" s="15" t="n">
        <v>-1882.85</v>
      </c>
      <c r="N1589" s="4" t="inlineStr">
        <is>
          <t>IOS Owner</t>
        </is>
      </c>
      <c r="O1589" s="4" t="n"/>
      <c r="P1589" s="4" t="n"/>
      <c r="Q1589" s="4" t="inlineStr">
        <is>
          <t>MAESTRO-IOS-PERSONAL-LIFE_OPERATIONS-1588 | Groceries | 1882.85</t>
        </is>
      </c>
      <c r="R1589" s="4" t="inlineStr">
        <is>
          <t>iPhone</t>
        </is>
      </c>
      <c r="S1589" s="4" t="inlineStr">
        <is>
          <t>B32</t>
        </is>
      </c>
      <c r="T1589" s="4" t="inlineStr">
        <is>
          <t>RAMP_1501_2500</t>
        </is>
      </c>
      <c r="U1589" s="4" t="inlineStr">
        <is>
          <t>CREATED</t>
        </is>
      </c>
      <c r="V1589" s="4" t="inlineStr">
        <is>
          <t>idem-20260902-ios-1588</t>
        </is>
      </c>
    </row>
    <row r="1590" ht="30" customHeight="1">
      <c r="A1590" s="4" t="n">
        <v>1589</v>
      </c>
      <c r="B1590" s="4" t="inlineStr">
        <is>
          <t>MTR-IOS-1589</t>
        </is>
      </c>
      <c r="C1590" s="4" t="inlineStr">
        <is>
          <t>Group</t>
        </is>
      </c>
      <c r="D1590" s="4" t="inlineStr">
        <is>
          <t>Shared Experience</t>
        </is>
      </c>
      <c r="E1590" s="4" t="inlineStr">
        <is>
          <t>Wedding</t>
        </is>
      </c>
      <c r="F1590" s="4" t="inlineStr">
        <is>
          <t>Venue</t>
        </is>
      </c>
      <c r="G1590" s="4" t="inlineStr">
        <is>
          <t>Expense</t>
        </is>
      </c>
      <c r="H1590" s="12" t="n">
        <v>45932</v>
      </c>
      <c r="I1590" s="13" t="n">
        <v>0.3393981481481482</v>
      </c>
      <c r="J1590" s="14" t="n">
        <v>45932.33939814815</v>
      </c>
      <c r="K1590" s="15" t="n">
        <v>4962.56</v>
      </c>
      <c r="L1590" s="4" t="inlineStr">
        <is>
          <t>INR</t>
        </is>
      </c>
      <c r="M1590" s="15" t="n">
        <v>-4962.56</v>
      </c>
      <c r="N1590" s="4" t="inlineStr">
        <is>
          <t>IOS Aarav</t>
        </is>
      </c>
      <c r="O1590" s="4" t="n">
        <v>3</v>
      </c>
      <c r="P1590" s="4" t="inlineStr">
        <is>
          <t>PERCENTAGE</t>
        </is>
      </c>
      <c r="Q1590" s="4" t="inlineStr">
        <is>
          <t>MAESTRO-IOS-GROUP-WEDDING-1589 | Venue | 4962.56</t>
        </is>
      </c>
      <c r="R1590" s="4" t="inlineStr">
        <is>
          <t>iPhone</t>
        </is>
      </c>
      <c r="S1590" s="4" t="inlineStr">
        <is>
          <t>B32</t>
        </is>
      </c>
      <c r="T1590" s="4" t="inlineStr">
        <is>
          <t>RAMP_1501_2500</t>
        </is>
      </c>
      <c r="U1590" s="4" t="inlineStr">
        <is>
          <t>CREATED</t>
        </is>
      </c>
      <c r="V1590" s="4" t="inlineStr">
        <is>
          <t>idem-20260902-ios-1589</t>
        </is>
      </c>
    </row>
    <row r="1591" ht="30" customHeight="1">
      <c r="A1591" s="4" t="n">
        <v>1590</v>
      </c>
      <c r="B1591" s="4" t="inlineStr">
        <is>
          <t>MTR-IOS-1590</t>
        </is>
      </c>
      <c r="C1591" s="4" t="inlineStr">
        <is>
          <t>Business</t>
        </is>
      </c>
      <c r="D1591" s="4" t="inlineStr">
        <is>
          <t>Business</t>
        </is>
      </c>
      <c r="E1591" s="4" t="inlineStr">
        <is>
          <t>Team Operations</t>
        </is>
      </c>
      <c r="F1591" s="4" t="inlineStr">
        <is>
          <t>Travel</t>
        </is>
      </c>
      <c r="G1591" s="4" t="inlineStr">
        <is>
          <t>Expense</t>
        </is>
      </c>
      <c r="H1591" s="12" t="n">
        <v>46055</v>
      </c>
      <c r="I1591" s="13" t="n">
        <v>0.9679861111111111</v>
      </c>
      <c r="J1591" s="14" t="n">
        <v>46055.96798611111</v>
      </c>
      <c r="K1591" s="15" t="n">
        <v>12129.73</v>
      </c>
      <c r="L1591" s="4" t="inlineStr">
        <is>
          <t>INR</t>
        </is>
      </c>
      <c r="M1591" s="15" t="n">
        <v>-12129.73</v>
      </c>
      <c r="N1591" s="4" t="inlineStr">
        <is>
          <t>IOS Owner</t>
        </is>
      </c>
      <c r="O1591" s="4" t="n"/>
      <c r="P1591" s="4" t="n"/>
      <c r="Q1591" s="4" t="inlineStr">
        <is>
          <t>MAESTRO-IOS-BUSINESS-TEAM_OPERATIONS-1590 | Travel | 12129.73</t>
        </is>
      </c>
      <c r="R1591" s="4" t="inlineStr">
        <is>
          <t>iPhone</t>
        </is>
      </c>
      <c r="S1591" s="4" t="inlineStr">
        <is>
          <t>B32</t>
        </is>
      </c>
      <c r="T1591" s="4" t="inlineStr">
        <is>
          <t>RAMP_1501_2500</t>
        </is>
      </c>
      <c r="U1591" s="4" t="inlineStr">
        <is>
          <t>CREATED</t>
        </is>
      </c>
      <c r="V1591" s="4" t="inlineStr">
        <is>
          <t>idem-20260902-ios-1590</t>
        </is>
      </c>
    </row>
    <row r="1592" ht="30" customHeight="1">
      <c r="A1592" s="4" t="n">
        <v>1591</v>
      </c>
      <c r="B1592" s="4" t="inlineStr">
        <is>
          <t>MTR-IOS-1591</t>
        </is>
      </c>
      <c r="C1592" s="4" t="inlineStr">
        <is>
          <t>Personal</t>
        </is>
      </c>
      <c r="D1592" s="4" t="inlineStr">
        <is>
          <t>Personal</t>
        </is>
      </c>
      <c r="E1592" s="4" t="inlineStr">
        <is>
          <t>Life Operations</t>
        </is>
      </c>
      <c r="F1592" s="4" t="inlineStr">
        <is>
          <t>Rent</t>
        </is>
      </c>
      <c r="G1592" s="4" t="inlineStr">
        <is>
          <t>Expense</t>
        </is>
      </c>
      <c r="H1592" s="12" t="n">
        <v>46253</v>
      </c>
      <c r="I1592" s="13" t="n">
        <v>0.8744212962962963</v>
      </c>
      <c r="J1592" s="14" t="n">
        <v>46253.8744212963</v>
      </c>
      <c r="K1592" s="15" t="n">
        <v>1</v>
      </c>
      <c r="L1592" s="4" t="inlineStr">
        <is>
          <t>INR</t>
        </is>
      </c>
      <c r="M1592" s="15" t="n">
        <v>-1</v>
      </c>
      <c r="N1592" s="4" t="inlineStr">
        <is>
          <t>IOS Owner</t>
        </is>
      </c>
      <c r="O1592" s="4" t="n"/>
      <c r="P1592" s="4" t="n"/>
      <c r="Q1592" s="4" t="inlineStr">
        <is>
          <t>MAESTRO-IOS-PERSONAL-LIFE_OPERATIONS-1591 | Rent | 1.00</t>
        </is>
      </c>
      <c r="R1592" s="4" t="inlineStr">
        <is>
          <t>iPhone</t>
        </is>
      </c>
      <c r="S1592" s="4" t="inlineStr">
        <is>
          <t>B32</t>
        </is>
      </c>
      <c r="T1592" s="4" t="inlineStr">
        <is>
          <t>RAMP_1501_2500</t>
        </is>
      </c>
      <c r="U1592" s="4" t="inlineStr">
        <is>
          <t>CREATED</t>
        </is>
      </c>
      <c r="V1592" s="4" t="inlineStr">
        <is>
          <t>idem-20260902-ios-1591</t>
        </is>
      </c>
    </row>
    <row r="1593" ht="30" customHeight="1">
      <c r="A1593" s="4" t="n">
        <v>1592</v>
      </c>
      <c r="B1593" s="4" t="inlineStr">
        <is>
          <t>MTR-IOS-1592</t>
        </is>
      </c>
      <c r="C1593" s="4" t="inlineStr">
        <is>
          <t>Group</t>
        </is>
      </c>
      <c r="D1593" s="4" t="inlineStr">
        <is>
          <t>Shared Experience</t>
        </is>
      </c>
      <c r="E1593" s="4" t="inlineStr">
        <is>
          <t>Wedding</t>
        </is>
      </c>
      <c r="F1593" s="4" t="inlineStr">
        <is>
          <t>Catering</t>
        </is>
      </c>
      <c r="G1593" s="4" t="inlineStr">
        <is>
          <t>Expense</t>
        </is>
      </c>
      <c r="H1593" s="12" t="n">
        <v>46029</v>
      </c>
      <c r="I1593" s="13" t="n">
        <v>0.9666898148148149</v>
      </c>
      <c r="J1593" s="14" t="n">
        <v>46029.96668981481</v>
      </c>
      <c r="K1593" s="15" t="n">
        <v>23185.18</v>
      </c>
      <c r="L1593" s="4" t="inlineStr">
        <is>
          <t>INR</t>
        </is>
      </c>
      <c r="M1593" s="15" t="n">
        <v>-23185.18</v>
      </c>
      <c r="N1593" s="4" t="inlineStr">
        <is>
          <t>IOS Meera</t>
        </is>
      </c>
      <c r="O1593" s="4" t="n">
        <v>3</v>
      </c>
      <c r="P1593" s="4" t="inlineStr">
        <is>
          <t>EXACT</t>
        </is>
      </c>
      <c r="Q1593" s="4" t="inlineStr">
        <is>
          <t>MAESTRO-IOS-GROUP-WEDDING-1592 | Catering | 23185.18</t>
        </is>
      </c>
      <c r="R1593" s="4" t="inlineStr">
        <is>
          <t>iPhone</t>
        </is>
      </c>
      <c r="S1593" s="4" t="inlineStr">
        <is>
          <t>B32</t>
        </is>
      </c>
      <c r="T1593" s="4" t="inlineStr">
        <is>
          <t>RAMP_1501_2500</t>
        </is>
      </c>
      <c r="U1593" s="4" t="inlineStr">
        <is>
          <t>CREATED</t>
        </is>
      </c>
      <c r="V1593" s="4" t="inlineStr">
        <is>
          <t>idem-20260902-ios-1592</t>
        </is>
      </c>
    </row>
    <row r="1594" ht="30" customHeight="1">
      <c r="A1594" s="4" t="n">
        <v>1593</v>
      </c>
      <c r="B1594" s="4" t="inlineStr">
        <is>
          <t>MTR-IOS-1593</t>
        </is>
      </c>
      <c r="C1594" s="4" t="inlineStr">
        <is>
          <t>Business</t>
        </is>
      </c>
      <c r="D1594" s="4" t="inlineStr">
        <is>
          <t>Business</t>
        </is>
      </c>
      <c r="E1594" s="4" t="inlineStr">
        <is>
          <t>Team Operations</t>
        </is>
      </c>
      <c r="F1594" s="4" t="inlineStr">
        <is>
          <t>Training</t>
        </is>
      </c>
      <c r="G1594" s="4" t="inlineStr">
        <is>
          <t>Expense</t>
        </is>
      </c>
      <c r="H1594" s="12" t="n">
        <v>46088</v>
      </c>
      <c r="I1594" s="13" t="n">
        <v>0.02582175925925926</v>
      </c>
      <c r="J1594" s="14" t="n">
        <v>46088.02582175926</v>
      </c>
      <c r="K1594" s="15" t="n">
        <v>133076.47</v>
      </c>
      <c r="L1594" s="4" t="inlineStr">
        <is>
          <t>INR</t>
        </is>
      </c>
      <c r="M1594" s="15" t="n">
        <v>-133076.47</v>
      </c>
      <c r="N1594" s="4" t="inlineStr">
        <is>
          <t>IOS Owner</t>
        </is>
      </c>
      <c r="O1594" s="4" t="n"/>
      <c r="P1594" s="4" t="n"/>
      <c r="Q1594" s="4" t="inlineStr">
        <is>
          <t>MAESTRO-IOS-BUSINESS-TEAM_OPERATIONS-1593 | Training | 133076.47</t>
        </is>
      </c>
      <c r="R1594" s="4" t="inlineStr">
        <is>
          <t>iPhone</t>
        </is>
      </c>
      <c r="S1594" s="4" t="inlineStr">
        <is>
          <t>B32</t>
        </is>
      </c>
      <c r="T1594" s="4" t="inlineStr">
        <is>
          <t>RAMP_1501_2500</t>
        </is>
      </c>
      <c r="U1594" s="4" t="inlineStr">
        <is>
          <t>CREATED</t>
        </is>
      </c>
      <c r="V1594" s="4" t="inlineStr">
        <is>
          <t>idem-20260902-ios-1593</t>
        </is>
      </c>
    </row>
    <row r="1595" ht="30" customHeight="1">
      <c r="A1595" s="4" t="n">
        <v>1594</v>
      </c>
      <c r="B1595" s="4" t="inlineStr">
        <is>
          <t>MTR-IOS-1594</t>
        </is>
      </c>
      <c r="C1595" s="4" t="inlineStr">
        <is>
          <t>Personal</t>
        </is>
      </c>
      <c r="D1595" s="4" t="inlineStr">
        <is>
          <t>Personal</t>
        </is>
      </c>
      <c r="E1595" s="4" t="inlineStr">
        <is>
          <t>Life Operations</t>
        </is>
      </c>
      <c r="F1595" s="4" t="inlineStr">
        <is>
          <t>Bills</t>
        </is>
      </c>
      <c r="G1595" s="4" t="inlineStr">
        <is>
          <t>Expense</t>
        </is>
      </c>
      <c r="H1595" s="12" t="n">
        <v>45971</v>
      </c>
      <c r="I1595" s="13" t="n">
        <v>0.3663541666666666</v>
      </c>
      <c r="J1595" s="14" t="n">
        <v>45971.36635416667</v>
      </c>
      <c r="K1595" s="15" t="n">
        <v>10936.61</v>
      </c>
      <c r="L1595" s="4" t="inlineStr">
        <is>
          <t>INR</t>
        </is>
      </c>
      <c r="M1595" s="15" t="n">
        <v>-10936.61</v>
      </c>
      <c r="N1595" s="4" t="inlineStr">
        <is>
          <t>IOS Owner</t>
        </is>
      </c>
      <c r="O1595" s="4" t="n"/>
      <c r="P1595" s="4" t="n"/>
      <c r="Q1595" s="4" t="inlineStr">
        <is>
          <t>MAESTRO-IOS-PERSONAL-LIFE_OPERATIONS-1594 | Bills | 10936.61</t>
        </is>
      </c>
      <c r="R1595" s="4" t="inlineStr">
        <is>
          <t>iPhone</t>
        </is>
      </c>
      <c r="S1595" s="4" t="inlineStr">
        <is>
          <t>B32</t>
        </is>
      </c>
      <c r="T1595" s="4" t="inlineStr">
        <is>
          <t>RAMP_1501_2500</t>
        </is>
      </c>
      <c r="U1595" s="4" t="inlineStr">
        <is>
          <t>CREATED</t>
        </is>
      </c>
      <c r="V1595" s="4" t="inlineStr">
        <is>
          <t>idem-20260902-ios-1594</t>
        </is>
      </c>
    </row>
    <row r="1596" ht="30" customHeight="1">
      <c r="A1596" s="4" t="n">
        <v>1595</v>
      </c>
      <c r="B1596" s="4" t="inlineStr">
        <is>
          <t>MTR-IOS-1595</t>
        </is>
      </c>
      <c r="C1596" s="4" t="inlineStr">
        <is>
          <t>Group</t>
        </is>
      </c>
      <c r="D1596" s="4" t="inlineStr">
        <is>
          <t>Shared Experience</t>
        </is>
      </c>
      <c r="E1596" s="4" t="inlineStr">
        <is>
          <t>Wedding</t>
        </is>
      </c>
      <c r="F1596" s="4" t="inlineStr">
        <is>
          <t>Decor</t>
        </is>
      </c>
      <c r="G1596" s="4" t="inlineStr">
        <is>
          <t>Expense</t>
        </is>
      </c>
      <c r="H1596" s="12" t="n">
        <v>46091</v>
      </c>
      <c r="I1596" s="13" t="n">
        <v>0.7341435185185186</v>
      </c>
      <c r="J1596" s="14" t="n">
        <v>46091.73414351852</v>
      </c>
      <c r="K1596" s="15" t="n">
        <v>13200.09</v>
      </c>
      <c r="L1596" s="4" t="inlineStr">
        <is>
          <t>INR</t>
        </is>
      </c>
      <c r="M1596" s="15" t="n">
        <v>-13200.09</v>
      </c>
      <c r="N1596" s="4" t="inlineStr">
        <is>
          <t>IOS Owner</t>
        </is>
      </c>
      <c r="O1596" s="4" t="n">
        <v>3</v>
      </c>
      <c r="P1596" s="4" t="inlineStr">
        <is>
          <t>SHARES</t>
        </is>
      </c>
      <c r="Q1596" s="4" t="inlineStr">
        <is>
          <t>MAESTRO-IOS-GROUP-WEDDING-1595 | Decor | 13200.09</t>
        </is>
      </c>
      <c r="R1596" s="4" t="inlineStr">
        <is>
          <t>iPhone</t>
        </is>
      </c>
      <c r="S1596" s="4" t="inlineStr">
        <is>
          <t>B32</t>
        </is>
      </c>
      <c r="T1596" s="4" t="inlineStr">
        <is>
          <t>RAMP_1501_2500</t>
        </is>
      </c>
      <c r="U1596" s="4" t="inlineStr">
        <is>
          <t>CREATED</t>
        </is>
      </c>
      <c r="V1596" s="4" t="inlineStr">
        <is>
          <t>idem-20260902-ios-1595</t>
        </is>
      </c>
    </row>
    <row r="1597" ht="30" customHeight="1">
      <c r="A1597" s="4" t="n">
        <v>1596</v>
      </c>
      <c r="B1597" s="4" t="inlineStr">
        <is>
          <t>MTR-IOS-1596</t>
        </is>
      </c>
      <c r="C1597" s="4" t="inlineStr">
        <is>
          <t>Business</t>
        </is>
      </c>
      <c r="D1597" s="4" t="inlineStr">
        <is>
          <t>Business</t>
        </is>
      </c>
      <c r="E1597" s="4" t="inlineStr">
        <is>
          <t>Team Operations</t>
        </is>
      </c>
      <c r="F1597" s="4" t="inlineStr">
        <is>
          <t>Tools</t>
        </is>
      </c>
      <c r="G1597" s="4" t="inlineStr">
        <is>
          <t>Expense</t>
        </is>
      </c>
      <c r="H1597" s="12" t="n">
        <v>46164</v>
      </c>
      <c r="I1597" s="13" t="n">
        <v>0.1767361111111111</v>
      </c>
      <c r="J1597" s="14" t="n">
        <v>46164.17673611111</v>
      </c>
      <c r="K1597" s="15" t="n">
        <v>159282.53</v>
      </c>
      <c r="L1597" s="4" t="inlineStr">
        <is>
          <t>INR</t>
        </is>
      </c>
      <c r="M1597" s="15" t="n">
        <v>-159282.53</v>
      </c>
      <c r="N1597" s="4" t="inlineStr">
        <is>
          <t>IOS Owner</t>
        </is>
      </c>
      <c r="O1597" s="4" t="n"/>
      <c r="P1597" s="4" t="n"/>
      <c r="Q1597" s="4" t="inlineStr">
        <is>
          <t>MAESTRO-IOS-BUSINESS-TEAM_OPERATIONS-1596 | Tools | 159282.53</t>
        </is>
      </c>
      <c r="R1597" s="4" t="inlineStr">
        <is>
          <t>iPhone</t>
        </is>
      </c>
      <c r="S1597" s="4" t="inlineStr">
        <is>
          <t>B32</t>
        </is>
      </c>
      <c r="T1597" s="4" t="inlineStr">
        <is>
          <t>RAMP_1501_2500</t>
        </is>
      </c>
      <c r="U1597" s="4" t="inlineStr">
        <is>
          <t>CREATED</t>
        </is>
      </c>
      <c r="V1597" s="4" t="inlineStr">
        <is>
          <t>idem-20260902-ios-1596</t>
        </is>
      </c>
    </row>
    <row r="1598" ht="30" customHeight="1">
      <c r="A1598" s="4" t="n">
        <v>1597</v>
      </c>
      <c r="B1598" s="4" t="inlineStr">
        <is>
          <t>MTR-IOS-1597</t>
        </is>
      </c>
      <c r="C1598" s="4" t="inlineStr">
        <is>
          <t>Personal</t>
        </is>
      </c>
      <c r="D1598" s="4" t="inlineStr">
        <is>
          <t>Personal</t>
        </is>
      </c>
      <c r="E1598" s="4" t="inlineStr">
        <is>
          <t>Life Operations</t>
        </is>
      </c>
      <c r="F1598" s="4" t="inlineStr">
        <is>
          <t>Transport</t>
        </is>
      </c>
      <c r="G1598" s="4" t="inlineStr">
        <is>
          <t>Expense</t>
        </is>
      </c>
      <c r="H1598" s="12" t="n">
        <v>46165</v>
      </c>
      <c r="I1598" s="13" t="n">
        <v>0.7042708333333333</v>
      </c>
      <c r="J1598" s="14" t="n">
        <v>46165.70427083333</v>
      </c>
      <c r="K1598" s="15" t="n">
        <v>4892.55</v>
      </c>
      <c r="L1598" s="4" t="inlineStr">
        <is>
          <t>INR</t>
        </is>
      </c>
      <c r="M1598" s="15" t="n">
        <v>-4892.55</v>
      </c>
      <c r="N1598" s="4" t="inlineStr">
        <is>
          <t>IOS Owner</t>
        </is>
      </c>
      <c r="O1598" s="4" t="n"/>
      <c r="P1598" s="4" t="n"/>
      <c r="Q1598" s="4" t="inlineStr">
        <is>
          <t>MAESTRO-IOS-PERSONAL-LIFE_OPERATIONS-1597 | Transport | 4892.55</t>
        </is>
      </c>
      <c r="R1598" s="4" t="inlineStr">
        <is>
          <t>iPhone</t>
        </is>
      </c>
      <c r="S1598" s="4" t="inlineStr">
        <is>
          <t>B32</t>
        </is>
      </c>
      <c r="T1598" s="4" t="inlineStr">
        <is>
          <t>RAMP_1501_2500</t>
        </is>
      </c>
      <c r="U1598" s="4" t="inlineStr">
        <is>
          <t>CREATED</t>
        </is>
      </c>
      <c r="V1598" s="4" t="inlineStr">
        <is>
          <t>idem-20260902-ios-1597</t>
        </is>
      </c>
    </row>
    <row r="1599" ht="30" customHeight="1">
      <c r="A1599" s="4" t="n">
        <v>1598</v>
      </c>
      <c r="B1599" s="4" t="inlineStr">
        <is>
          <t>MTR-IOS-1598</t>
        </is>
      </c>
      <c r="C1599" s="4" t="inlineStr">
        <is>
          <t>Group</t>
        </is>
      </c>
      <c r="D1599" s="4" t="inlineStr">
        <is>
          <t>Shared Experience</t>
        </is>
      </c>
      <c r="E1599" s="4" t="inlineStr">
        <is>
          <t>Wedding</t>
        </is>
      </c>
      <c r="F1599" s="4" t="inlineStr">
        <is>
          <t>Travel</t>
        </is>
      </c>
      <c r="G1599" s="4" t="inlineStr">
        <is>
          <t>Expense</t>
        </is>
      </c>
      <c r="H1599" s="12" t="n">
        <v>46102</v>
      </c>
      <c r="I1599" s="13" t="n">
        <v>0.4229398148148148</v>
      </c>
      <c r="J1599" s="14" t="n">
        <v>46102.42293981482</v>
      </c>
      <c r="K1599" s="15" t="n">
        <v>18487.85</v>
      </c>
      <c r="L1599" s="4" t="inlineStr">
        <is>
          <t>INR</t>
        </is>
      </c>
      <c r="M1599" s="15" t="n">
        <v>-18487.85</v>
      </c>
      <c r="N1599" s="4" t="inlineStr">
        <is>
          <t>IOS Aarav</t>
        </is>
      </c>
      <c r="O1599" s="4" t="n">
        <v>3</v>
      </c>
      <c r="P1599" s="4" t="inlineStr">
        <is>
          <t>EQUAL</t>
        </is>
      </c>
      <c r="Q1599" s="4" t="inlineStr">
        <is>
          <t>MAESTRO-IOS-GROUP-WEDDING-1598 | Travel | 18487.85</t>
        </is>
      </c>
      <c r="R1599" s="4" t="inlineStr">
        <is>
          <t>iPhone</t>
        </is>
      </c>
      <c r="S1599" s="4" t="inlineStr">
        <is>
          <t>B32</t>
        </is>
      </c>
      <c r="T1599" s="4" t="inlineStr">
        <is>
          <t>RAMP_1501_2500</t>
        </is>
      </c>
      <c r="U1599" s="4" t="inlineStr">
        <is>
          <t>CREATED</t>
        </is>
      </c>
      <c r="V1599" s="4" t="inlineStr">
        <is>
          <t>idem-20260902-ios-1598</t>
        </is>
      </c>
    </row>
    <row r="1600" ht="30" customHeight="1">
      <c r="A1600" s="4" t="n">
        <v>1599</v>
      </c>
      <c r="B1600" s="4" t="inlineStr">
        <is>
          <t>MTR-IOS-1599</t>
        </is>
      </c>
      <c r="C1600" s="4" t="inlineStr">
        <is>
          <t>Business</t>
        </is>
      </c>
      <c r="D1600" s="4" t="inlineStr">
        <is>
          <t>Business</t>
        </is>
      </c>
      <c r="E1600" s="4" t="inlineStr">
        <is>
          <t>Business Runway</t>
        </is>
      </c>
      <c r="F1600" s="4" t="inlineStr">
        <is>
          <t>Funding</t>
        </is>
      </c>
      <c r="G1600" s="4" t="inlineStr">
        <is>
          <t>Income</t>
        </is>
      </c>
      <c r="H1600" s="12" t="n">
        <v>45979</v>
      </c>
      <c r="I1600" s="13" t="n">
        <v>0.2500925925925926</v>
      </c>
      <c r="J1600" s="14" t="n">
        <v>45979.25009259259</v>
      </c>
      <c r="K1600" s="15" t="n">
        <v>127627.36</v>
      </c>
      <c r="L1600" s="4" t="inlineStr">
        <is>
          <t>INR</t>
        </is>
      </c>
      <c r="M1600" s="15" t="n">
        <v>127627.36</v>
      </c>
      <c r="N1600" s="4" t="inlineStr">
        <is>
          <t>IOS Owner</t>
        </is>
      </c>
      <c r="O1600" s="4" t="n"/>
      <c r="P1600" s="4" t="n"/>
      <c r="Q1600" s="4" t="inlineStr">
        <is>
          <t>MAESTRO-IOS-BUSINESS-BUSINESS_RUNWAY-1599 | Funding | 127627.36</t>
        </is>
      </c>
      <c r="R1600" s="4" t="inlineStr">
        <is>
          <t>iPhone</t>
        </is>
      </c>
      <c r="S1600" s="4" t="inlineStr">
        <is>
          <t>B32</t>
        </is>
      </c>
      <c r="T1600" s="4" t="inlineStr">
        <is>
          <t>RAMP_1501_2500</t>
        </is>
      </c>
      <c r="U1600" s="4" t="inlineStr">
        <is>
          <t>CREATED</t>
        </is>
      </c>
      <c r="V1600" s="4" t="inlineStr">
        <is>
          <t>idem-20260902-ios-1599</t>
        </is>
      </c>
    </row>
    <row r="1601" ht="30" customHeight="1">
      <c r="A1601" s="4" t="n">
        <v>1600</v>
      </c>
      <c r="B1601" s="4" t="inlineStr">
        <is>
          <t>MTR-IOS-1600</t>
        </is>
      </c>
      <c r="C1601" s="4" t="inlineStr">
        <is>
          <t>Personal</t>
        </is>
      </c>
      <c r="D1601" s="4" t="inlineStr">
        <is>
          <t>Personal</t>
        </is>
      </c>
      <c r="E1601" s="4" t="inlineStr">
        <is>
          <t>Life Operations</t>
        </is>
      </c>
      <c r="F1601" s="4" t="inlineStr">
        <is>
          <t>Healthcare</t>
        </is>
      </c>
      <c r="G1601" s="4" t="inlineStr">
        <is>
          <t>Expense</t>
        </is>
      </c>
      <c r="H1601" s="12" t="n">
        <v>46041</v>
      </c>
      <c r="I1601" s="13" t="n">
        <v>0.3701273148148148</v>
      </c>
      <c r="J1601" s="14" t="n">
        <v>46041.37012731482</v>
      </c>
      <c r="K1601" s="15" t="n">
        <v>5431.47</v>
      </c>
      <c r="L1601" s="4" t="inlineStr">
        <is>
          <t>INR</t>
        </is>
      </c>
      <c r="M1601" s="15" t="n">
        <v>-5431.47</v>
      </c>
      <c r="N1601" s="4" t="inlineStr">
        <is>
          <t>IOS Owner</t>
        </is>
      </c>
      <c r="O1601" s="4" t="n"/>
      <c r="P1601" s="4" t="n"/>
      <c r="Q1601" s="4" t="inlineStr">
        <is>
          <t>MAESTRO-IOS-PERSONAL-LIFE_OPERATIONS-1600 | Healthcare | 5431.47</t>
        </is>
      </c>
      <c r="R1601" s="4" t="inlineStr">
        <is>
          <t>iPhone</t>
        </is>
      </c>
      <c r="S1601" s="4" t="inlineStr">
        <is>
          <t>B32</t>
        </is>
      </c>
      <c r="T1601" s="4" t="inlineStr">
        <is>
          <t>RAMP_1501_2500</t>
        </is>
      </c>
      <c r="U1601" s="4" t="inlineStr">
        <is>
          <t>CREATED</t>
        </is>
      </c>
      <c r="V1601" s="4" t="inlineStr">
        <is>
          <t>idem-20260902-ios-1600</t>
        </is>
      </c>
    </row>
    <row r="1602" ht="30" customHeight="1">
      <c r="A1602" s="4" t="n">
        <v>1601</v>
      </c>
      <c r="B1602" s="4" t="inlineStr">
        <is>
          <t>MTR-IOS-1601</t>
        </is>
      </c>
      <c r="C1602" s="4" t="inlineStr">
        <is>
          <t>Group</t>
        </is>
      </c>
      <c r="D1602" s="4" t="inlineStr">
        <is>
          <t>Shared Experience</t>
        </is>
      </c>
      <c r="E1602" s="4" t="inlineStr">
        <is>
          <t>Wedding</t>
        </is>
      </c>
      <c r="F1602" s="4" t="inlineStr">
        <is>
          <t>Gifts</t>
        </is>
      </c>
      <c r="G1602" s="4" t="inlineStr">
        <is>
          <t>Expense</t>
        </is>
      </c>
      <c r="H1602" s="12" t="n">
        <v>46082</v>
      </c>
      <c r="I1602" s="13" t="n">
        <v>0.3539236111111111</v>
      </c>
      <c r="J1602" s="14" t="n">
        <v>46082.35392361111</v>
      </c>
      <c r="K1602" s="15" t="n">
        <v>14306.45</v>
      </c>
      <c r="L1602" s="4" t="inlineStr">
        <is>
          <t>INR</t>
        </is>
      </c>
      <c r="M1602" s="15" t="n">
        <v>-14306.45</v>
      </c>
      <c r="N1602" s="4" t="inlineStr">
        <is>
          <t>IOS Meera</t>
        </is>
      </c>
      <c r="O1602" s="4" t="n">
        <v>3</v>
      </c>
      <c r="P1602" s="4" t="inlineStr">
        <is>
          <t>PERCENTAGE</t>
        </is>
      </c>
      <c r="Q1602" s="4" t="inlineStr">
        <is>
          <t>MAESTRO-IOS-GROUP-WEDDING-1601 | Gifts | 14306.45</t>
        </is>
      </c>
      <c r="R1602" s="4" t="inlineStr">
        <is>
          <t>iPhone</t>
        </is>
      </c>
      <c r="S1602" s="4" t="inlineStr">
        <is>
          <t>B33</t>
        </is>
      </c>
      <c r="T1602" s="4" t="inlineStr">
        <is>
          <t>RAMP_1501_2500</t>
        </is>
      </c>
      <c r="U1602" s="4" t="inlineStr">
        <is>
          <t>CREATED</t>
        </is>
      </c>
      <c r="V1602" s="4" t="inlineStr">
        <is>
          <t>idem-20260902-ios-1601</t>
        </is>
      </c>
    </row>
    <row r="1603" ht="30" customHeight="1">
      <c r="A1603" s="4" t="n">
        <v>1602</v>
      </c>
      <c r="B1603" s="4" t="inlineStr">
        <is>
          <t>MTR-IOS-1602</t>
        </is>
      </c>
      <c r="C1603" s="4" t="inlineStr">
        <is>
          <t>Business</t>
        </is>
      </c>
      <c r="D1603" s="4" t="inlineStr">
        <is>
          <t>Business</t>
        </is>
      </c>
      <c r="E1603" s="4" t="inlineStr">
        <is>
          <t>Business Runway</t>
        </is>
      </c>
      <c r="F1603" s="4" t="inlineStr">
        <is>
          <t>Revenue</t>
        </is>
      </c>
      <c r="G1603" s="4" t="inlineStr">
        <is>
          <t>Income</t>
        </is>
      </c>
      <c r="H1603" s="12" t="n">
        <v>46056</v>
      </c>
      <c r="I1603" s="13" t="n">
        <v>0.2481134259259259</v>
      </c>
      <c r="J1603" s="14" t="n">
        <v>46056.24811342593</v>
      </c>
      <c r="K1603" s="15" t="n">
        <v>78033.42</v>
      </c>
      <c r="L1603" s="4" t="inlineStr">
        <is>
          <t>INR</t>
        </is>
      </c>
      <c r="M1603" s="15" t="n">
        <v>78033.42</v>
      </c>
      <c r="N1603" s="4" t="inlineStr">
        <is>
          <t>IOS Owner</t>
        </is>
      </c>
      <c r="O1603" s="4" t="n"/>
      <c r="P1603" s="4" t="n"/>
      <c r="Q1603" s="4" t="inlineStr">
        <is>
          <t>MAESTRO-IOS-BUSINESS-BUSINESS_RUNWAY-1602 | Revenue | 78033.42</t>
        </is>
      </c>
      <c r="R1603" s="4" t="inlineStr">
        <is>
          <t>iPhone</t>
        </is>
      </c>
      <c r="S1603" s="4" t="inlineStr">
        <is>
          <t>B33</t>
        </is>
      </c>
      <c r="T1603" s="4" t="inlineStr">
        <is>
          <t>RAMP_1501_2500</t>
        </is>
      </c>
      <c r="U1603" s="4" t="inlineStr">
        <is>
          <t>CREATED</t>
        </is>
      </c>
      <c r="V1603" s="4" t="inlineStr">
        <is>
          <t>idem-20260902-ios-1602</t>
        </is>
      </c>
    </row>
    <row r="1604" ht="30" customHeight="1">
      <c r="A1604" s="4" t="n">
        <v>1603</v>
      </c>
      <c r="B1604" s="4" t="inlineStr">
        <is>
          <t>MTR-IOS-1603</t>
        </is>
      </c>
      <c r="C1604" s="4" t="inlineStr">
        <is>
          <t>Personal</t>
        </is>
      </c>
      <c r="D1604" s="4" t="inlineStr">
        <is>
          <t>Personal</t>
        </is>
      </c>
      <c r="E1604" s="4" t="inlineStr">
        <is>
          <t>Life Operations</t>
        </is>
      </c>
      <c r="F1604" s="4" t="inlineStr">
        <is>
          <t>Subscriptions</t>
        </is>
      </c>
      <c r="G1604" s="4" t="inlineStr">
        <is>
          <t>Expense</t>
        </is>
      </c>
      <c r="H1604" s="12" t="n">
        <v>46168</v>
      </c>
      <c r="I1604" s="13" t="n">
        <v>0.1641782407407407</v>
      </c>
      <c r="J1604" s="14" t="n">
        <v>46168.16417824074</v>
      </c>
      <c r="K1604" s="15" t="n">
        <v>15012.81</v>
      </c>
      <c r="L1604" s="4" t="inlineStr">
        <is>
          <t>INR</t>
        </is>
      </c>
      <c r="M1604" s="15" t="n">
        <v>-15012.81</v>
      </c>
      <c r="N1604" s="4" t="inlineStr">
        <is>
          <t>IOS Owner</t>
        </is>
      </c>
      <c r="O1604" s="4" t="n"/>
      <c r="P1604" s="4" t="n"/>
      <c r="Q1604" s="4" t="inlineStr">
        <is>
          <t>MAESTRO-IOS-PERSONAL-LIFE_OPERATIONS-1603 | Subscriptions | 15012.81</t>
        </is>
      </c>
      <c r="R1604" s="4" t="inlineStr">
        <is>
          <t>iPhone</t>
        </is>
      </c>
      <c r="S1604" s="4" t="inlineStr">
        <is>
          <t>B33</t>
        </is>
      </c>
      <c r="T1604" s="4" t="inlineStr">
        <is>
          <t>RAMP_1501_2500</t>
        </is>
      </c>
      <c r="U1604" s="4" t="inlineStr">
        <is>
          <t>CREATED</t>
        </is>
      </c>
      <c r="V1604" s="4" t="inlineStr">
        <is>
          <t>idem-20260902-ios-1603</t>
        </is>
      </c>
    </row>
    <row r="1605" ht="30" customHeight="1">
      <c r="A1605" s="4" t="n">
        <v>1604</v>
      </c>
      <c r="B1605" s="4" t="inlineStr">
        <is>
          <t>MTR-IOS-1604</t>
        </is>
      </c>
      <c r="C1605" s="4" t="inlineStr">
        <is>
          <t>Group</t>
        </is>
      </c>
      <c r="D1605" s="4" t="inlineStr">
        <is>
          <t>Shared Experience</t>
        </is>
      </c>
      <c r="E1605" s="4" t="inlineStr">
        <is>
          <t>Wedding</t>
        </is>
      </c>
      <c r="F1605" s="4" t="inlineStr">
        <is>
          <t>Photography</t>
        </is>
      </c>
      <c r="G1605" s="4" t="inlineStr">
        <is>
          <t>Expense</t>
        </is>
      </c>
      <c r="H1605" s="12" t="n">
        <v>46190</v>
      </c>
      <c r="I1605" s="13" t="n">
        <v>0.7831597222222222</v>
      </c>
      <c r="J1605" s="14" t="n">
        <v>46190.78315972222</v>
      </c>
      <c r="K1605" s="15" t="n">
        <v>5433.13</v>
      </c>
      <c r="L1605" s="4" t="inlineStr">
        <is>
          <t>INR</t>
        </is>
      </c>
      <c r="M1605" s="15" t="n">
        <v>-5433.13</v>
      </c>
      <c r="N1605" s="4" t="inlineStr">
        <is>
          <t>IOS Owner</t>
        </is>
      </c>
      <c r="O1605" s="4" t="n">
        <v>3</v>
      </c>
      <c r="P1605" s="4" t="inlineStr">
        <is>
          <t>EXACT</t>
        </is>
      </c>
      <c r="Q1605" s="4" t="inlineStr">
        <is>
          <t>MAESTRO-IOS-GROUP-WEDDING-1604 | Photography | 5433.13</t>
        </is>
      </c>
      <c r="R1605" s="4" t="inlineStr">
        <is>
          <t>iPhone</t>
        </is>
      </c>
      <c r="S1605" s="4" t="inlineStr">
        <is>
          <t>B33</t>
        </is>
      </c>
      <c r="T1605" s="4" t="inlineStr">
        <is>
          <t>RAMP_1501_2500</t>
        </is>
      </c>
      <c r="U1605" s="4" t="inlineStr">
        <is>
          <t>CREATED</t>
        </is>
      </c>
      <c r="V1605" s="4" t="inlineStr">
        <is>
          <t>idem-20260902-ios-1604</t>
        </is>
      </c>
    </row>
    <row r="1606" ht="30" customHeight="1">
      <c r="A1606" s="4" t="n">
        <v>1605</v>
      </c>
      <c r="B1606" s="4" t="inlineStr">
        <is>
          <t>MTR-IOS-1605</t>
        </is>
      </c>
      <c r="C1606" s="4" t="inlineStr">
        <is>
          <t>Business</t>
        </is>
      </c>
      <c r="D1606" s="4" t="inlineStr">
        <is>
          <t>Business</t>
        </is>
      </c>
      <c r="E1606" s="4" t="inlineStr">
        <is>
          <t>Business Runway</t>
        </is>
      </c>
      <c r="F1606" s="4" t="inlineStr">
        <is>
          <t>Burn</t>
        </is>
      </c>
      <c r="G1606" s="4" t="inlineStr">
        <is>
          <t>Expense</t>
        </is>
      </c>
      <c r="H1606" s="12" t="n">
        <v>46179</v>
      </c>
      <c r="I1606" s="13" t="n">
        <v>0.3532175925925926</v>
      </c>
      <c r="J1606" s="14" t="n">
        <v>46179.35321759259</v>
      </c>
      <c r="K1606" s="15" t="n">
        <v>36009.52</v>
      </c>
      <c r="L1606" s="4" t="inlineStr">
        <is>
          <t>INR</t>
        </is>
      </c>
      <c r="M1606" s="15" t="n">
        <v>-36009.52</v>
      </c>
      <c r="N1606" s="4" t="inlineStr">
        <is>
          <t>IOS Owner</t>
        </is>
      </c>
      <c r="O1606" s="4" t="n"/>
      <c r="P1606" s="4" t="n"/>
      <c r="Q1606" s="4" t="inlineStr">
        <is>
          <t>MAESTRO-IOS-BUSINESS-BUSINESS_RUNWAY-1605 | Burn | 36009.52</t>
        </is>
      </c>
      <c r="R1606" s="4" t="inlineStr">
        <is>
          <t>iPhone</t>
        </is>
      </c>
      <c r="S1606" s="4" t="inlineStr">
        <is>
          <t>B33</t>
        </is>
      </c>
      <c r="T1606" s="4" t="inlineStr">
        <is>
          <t>RAMP_1501_2500</t>
        </is>
      </c>
      <c r="U1606" s="4" t="inlineStr">
        <is>
          <t>CREATED</t>
        </is>
      </c>
      <c r="V1606" s="4" t="inlineStr">
        <is>
          <t>idem-20260902-ios-1605</t>
        </is>
      </c>
    </row>
    <row r="1607" ht="30" customHeight="1">
      <c r="A1607" s="4" t="n">
        <v>1606</v>
      </c>
      <c r="B1607" s="4" t="inlineStr">
        <is>
          <t>MTR-IOS-1606</t>
        </is>
      </c>
      <c r="C1607" s="4" t="inlineStr">
        <is>
          <t>Personal</t>
        </is>
      </c>
      <c r="D1607" s="4" t="inlineStr">
        <is>
          <t>Personal</t>
        </is>
      </c>
      <c r="E1607" s="4" t="inlineStr">
        <is>
          <t>Life Operations</t>
        </is>
      </c>
      <c r="F1607" s="4" t="inlineStr">
        <is>
          <t>Repairs</t>
        </is>
      </c>
      <c r="G1607" s="4" t="inlineStr">
        <is>
          <t>Expense</t>
        </is>
      </c>
      <c r="H1607" s="12" t="n">
        <v>45972</v>
      </c>
      <c r="I1607" s="13" t="n">
        <v>0.3274305555555556</v>
      </c>
      <c r="J1607" s="14" t="n">
        <v>45972.32743055555</v>
      </c>
      <c r="K1607" s="15" t="n">
        <v>516.9</v>
      </c>
      <c r="L1607" s="4" t="inlineStr">
        <is>
          <t>INR</t>
        </is>
      </c>
      <c r="M1607" s="15" t="n">
        <v>-516.9</v>
      </c>
      <c r="N1607" s="4" t="inlineStr">
        <is>
          <t>IOS Owner</t>
        </is>
      </c>
      <c r="O1607" s="4" t="n"/>
      <c r="P1607" s="4" t="n"/>
      <c r="Q1607" s="4" t="inlineStr">
        <is>
          <t>MAESTRO-IOS-PERSONAL-LIFE_OPERATIONS-1606 | Repairs | 516.90</t>
        </is>
      </c>
      <c r="R1607" s="4" t="inlineStr">
        <is>
          <t>iPhone</t>
        </is>
      </c>
      <c r="S1607" s="4" t="inlineStr">
        <is>
          <t>B33</t>
        </is>
      </c>
      <c r="T1607" s="4" t="inlineStr">
        <is>
          <t>RAMP_1501_2500</t>
        </is>
      </c>
      <c r="U1607" s="4" t="inlineStr">
        <is>
          <t>CREATED</t>
        </is>
      </c>
      <c r="V1607" s="4" t="inlineStr">
        <is>
          <t>idem-20260902-ios-1606</t>
        </is>
      </c>
    </row>
    <row r="1608" ht="30" customHeight="1">
      <c r="A1608" s="4" t="n">
        <v>1607</v>
      </c>
      <c r="B1608" s="4" t="inlineStr">
        <is>
          <t>MTR-IOS-1607</t>
        </is>
      </c>
      <c r="C1608" s="4" t="inlineStr">
        <is>
          <t>Group</t>
        </is>
      </c>
      <c r="D1608" s="4" t="inlineStr">
        <is>
          <t>Shared Experience</t>
        </is>
      </c>
      <c r="E1608" s="4" t="inlineStr">
        <is>
          <t>Wedding</t>
        </is>
      </c>
      <c r="F1608" s="4" t="inlineStr">
        <is>
          <t>Other</t>
        </is>
      </c>
      <c r="G1608" s="4" t="inlineStr">
        <is>
          <t>Expense</t>
        </is>
      </c>
      <c r="H1608" s="12" t="n">
        <v>45933</v>
      </c>
      <c r="I1608" s="13" t="n">
        <v>0.467337962962963</v>
      </c>
      <c r="J1608" s="14" t="n">
        <v>45933.46733796296</v>
      </c>
      <c r="K1608" s="15" t="n">
        <v>10884.72</v>
      </c>
      <c r="L1608" s="4" t="inlineStr">
        <is>
          <t>INR</t>
        </is>
      </c>
      <c r="M1608" s="15" t="n">
        <v>-10884.72</v>
      </c>
      <c r="N1608" s="4" t="inlineStr">
        <is>
          <t>IOS Aarav</t>
        </is>
      </c>
      <c r="O1608" s="4" t="n">
        <v>3</v>
      </c>
      <c r="P1608" s="4" t="inlineStr">
        <is>
          <t>SHARES</t>
        </is>
      </c>
      <c r="Q1608" s="4" t="inlineStr">
        <is>
          <t>MAESTRO-IOS-GROUP-WEDDING-1607 | Other | 10884.72</t>
        </is>
      </c>
      <c r="R1608" s="4" t="inlineStr">
        <is>
          <t>iPhone</t>
        </is>
      </c>
      <c r="S1608" s="4" t="inlineStr">
        <is>
          <t>B33</t>
        </is>
      </c>
      <c r="T1608" s="4" t="inlineStr">
        <is>
          <t>RAMP_1501_2500</t>
        </is>
      </c>
      <c r="U1608" s="4" t="inlineStr">
        <is>
          <t>CREATED</t>
        </is>
      </c>
      <c r="V1608" s="4" t="inlineStr">
        <is>
          <t>idem-20260902-ios-1607</t>
        </is>
      </c>
    </row>
    <row r="1609" ht="30" customHeight="1">
      <c r="A1609" s="4" t="n">
        <v>1608</v>
      </c>
      <c r="B1609" s="4" t="inlineStr">
        <is>
          <t>MTR-IOS-1608</t>
        </is>
      </c>
      <c r="C1609" s="4" t="inlineStr">
        <is>
          <t>Business</t>
        </is>
      </c>
      <c r="D1609" s="4" t="inlineStr">
        <is>
          <t>Business</t>
        </is>
      </c>
      <c r="E1609" s="4" t="inlineStr">
        <is>
          <t>Business Runway</t>
        </is>
      </c>
      <c r="F1609" s="4" t="inlineStr">
        <is>
          <t>Reserve</t>
        </is>
      </c>
      <c r="G1609" s="4" t="inlineStr">
        <is>
          <t>Transfer</t>
        </is>
      </c>
      <c r="H1609" s="12" t="n">
        <v>46005</v>
      </c>
      <c r="I1609" s="13" t="n">
        <v>0.2594328703703704</v>
      </c>
      <c r="J1609" s="14" t="n">
        <v>46005.25943287037</v>
      </c>
      <c r="K1609" s="15" t="n">
        <v>116245.32</v>
      </c>
      <c r="L1609" s="4" t="inlineStr">
        <is>
          <t>INR</t>
        </is>
      </c>
      <c r="M1609" s="15" t="n">
        <v>0</v>
      </c>
      <c r="N1609" s="4" t="inlineStr">
        <is>
          <t>IOS Owner</t>
        </is>
      </c>
      <c r="O1609" s="4" t="n"/>
      <c r="P1609" s="4" t="n"/>
      <c r="Q1609" s="4" t="inlineStr">
        <is>
          <t>MAESTRO-IOS-BUSINESS-BUSINESS_RUNWAY-1608 | Reserve | 116245.32</t>
        </is>
      </c>
      <c r="R1609" s="4" t="inlineStr">
        <is>
          <t>iPhone</t>
        </is>
      </c>
      <c r="S1609" s="4" t="inlineStr">
        <is>
          <t>B33</t>
        </is>
      </c>
      <c r="T1609" s="4" t="inlineStr">
        <is>
          <t>RAMP_1501_2500</t>
        </is>
      </c>
      <c r="U1609" s="4" t="inlineStr">
        <is>
          <t>CREATED</t>
        </is>
      </c>
      <c r="V1609" s="4" t="inlineStr">
        <is>
          <t>idem-20260902-ios-1608</t>
        </is>
      </c>
    </row>
    <row r="1610" ht="30" customHeight="1">
      <c r="A1610" s="4" t="n">
        <v>1609</v>
      </c>
      <c r="B1610" s="4" t="inlineStr">
        <is>
          <t>MTR-IOS-1609</t>
        </is>
      </c>
      <c r="C1610" s="4" t="inlineStr">
        <is>
          <t>Personal</t>
        </is>
      </c>
      <c r="D1610" s="4" t="inlineStr">
        <is>
          <t>Personal</t>
        </is>
      </c>
      <c r="E1610" s="4" t="inlineStr">
        <is>
          <t>Future Building</t>
        </is>
      </c>
      <c r="F1610" s="4" t="inlineStr">
        <is>
          <t>Savings</t>
        </is>
      </c>
      <c r="G1610" s="4" t="inlineStr">
        <is>
          <t>Transfer</t>
        </is>
      </c>
      <c r="H1610" s="12" t="n">
        <v>46101</v>
      </c>
      <c r="I1610" s="13" t="n">
        <v>0.3540162037037037</v>
      </c>
      <c r="J1610" s="14" t="n">
        <v>46101.3540162037</v>
      </c>
      <c r="K1610" s="15" t="n">
        <v>16776.88</v>
      </c>
      <c r="L1610" s="4" t="inlineStr">
        <is>
          <t>INR</t>
        </is>
      </c>
      <c r="M1610" s="15" t="n">
        <v>0</v>
      </c>
      <c r="N1610" s="4" t="inlineStr">
        <is>
          <t>IOS Owner</t>
        </is>
      </c>
      <c r="O1610" s="4" t="n"/>
      <c r="P1610" s="4" t="n"/>
      <c r="Q1610" s="4" t="inlineStr">
        <is>
          <t>MAESTRO-IOS-PERSONAL-FUTURE_BUILDING-1609 | Savings | 16776.88</t>
        </is>
      </c>
      <c r="R1610" s="4" t="inlineStr">
        <is>
          <t>iPhone</t>
        </is>
      </c>
      <c r="S1610" s="4" t="inlineStr">
        <is>
          <t>B33</t>
        </is>
      </c>
      <c r="T1610" s="4" t="inlineStr">
        <is>
          <t>RAMP_1501_2500</t>
        </is>
      </c>
      <c r="U1610" s="4" t="inlineStr">
        <is>
          <t>CREATED</t>
        </is>
      </c>
      <c r="V1610" s="4" t="inlineStr">
        <is>
          <t>idem-20260902-ios-1609</t>
        </is>
      </c>
    </row>
    <row r="1611" ht="30" customHeight="1">
      <c r="A1611" s="4" t="n">
        <v>1610</v>
      </c>
      <c r="B1611" s="4" t="inlineStr">
        <is>
          <t>MTR-IOS-1610</t>
        </is>
      </c>
      <c r="C1611" s="4" t="inlineStr">
        <is>
          <t>Group</t>
        </is>
      </c>
      <c r="D1611" s="4" t="inlineStr">
        <is>
          <t>Shared Experience</t>
        </is>
      </c>
      <c r="E1611" s="4" t="inlineStr">
        <is>
          <t>Office Outing</t>
        </is>
      </c>
      <c r="F1611" s="4" t="inlineStr">
        <is>
          <t>Food</t>
        </is>
      </c>
      <c r="G1611" s="4" t="inlineStr">
        <is>
          <t>Expense</t>
        </is>
      </c>
      <c r="H1611" s="12" t="n">
        <v>45950</v>
      </c>
      <c r="I1611" s="13" t="n">
        <v>0.3642013888888889</v>
      </c>
      <c r="J1611" s="14" t="n">
        <v>45950.36420138889</v>
      </c>
      <c r="K1611" s="15" t="n">
        <v>20443.62</v>
      </c>
      <c r="L1611" s="4" t="inlineStr">
        <is>
          <t>INR</t>
        </is>
      </c>
      <c r="M1611" s="15" t="n">
        <v>-20443.62</v>
      </c>
      <c r="N1611" s="4" t="inlineStr">
        <is>
          <t>IOS Meera</t>
        </is>
      </c>
      <c r="O1611" s="4" t="n">
        <v>3</v>
      </c>
      <c r="P1611" s="4" t="inlineStr">
        <is>
          <t>EQUAL</t>
        </is>
      </c>
      <c r="Q1611" s="4" t="inlineStr">
        <is>
          <t>MAESTRO-IOS-GROUP-OFFICE_OUTING-1610 | Food | 20443.62</t>
        </is>
      </c>
      <c r="R1611" s="4" t="inlineStr">
        <is>
          <t>iPhone</t>
        </is>
      </c>
      <c r="S1611" s="4" t="inlineStr">
        <is>
          <t>B33</t>
        </is>
      </c>
      <c r="T1611" s="4" t="inlineStr">
        <is>
          <t>RAMP_1501_2500</t>
        </is>
      </c>
      <c r="U1611" s="4" t="inlineStr">
        <is>
          <t>CREATED</t>
        </is>
      </c>
      <c r="V1611" s="4" t="inlineStr">
        <is>
          <t>idem-20260902-ios-1610</t>
        </is>
      </c>
    </row>
    <row r="1612" ht="30" customHeight="1">
      <c r="A1612" s="4" t="n">
        <v>1611</v>
      </c>
      <c r="B1612" s="4" t="inlineStr">
        <is>
          <t>MTR-IOS-1611</t>
        </is>
      </c>
      <c r="C1612" s="4" t="inlineStr">
        <is>
          <t>Business</t>
        </is>
      </c>
      <c r="D1612" s="4" t="inlineStr">
        <is>
          <t>Business</t>
        </is>
      </c>
      <c r="E1612" s="4" t="inlineStr">
        <is>
          <t>Business Runway</t>
        </is>
      </c>
      <c r="F1612" s="4" t="inlineStr">
        <is>
          <t>Loan</t>
        </is>
      </c>
      <c r="G1612" s="4" t="inlineStr">
        <is>
          <t>Income</t>
        </is>
      </c>
      <c r="H1612" s="12" t="n">
        <v>46259</v>
      </c>
      <c r="I1612" s="13" t="n">
        <v>0.6579976851851852</v>
      </c>
      <c r="J1612" s="14" t="n">
        <v>46259.65799768519</v>
      </c>
      <c r="K1612" s="15" t="n">
        <v>53077.7</v>
      </c>
      <c r="L1612" s="4" t="inlineStr">
        <is>
          <t>INR</t>
        </is>
      </c>
      <c r="M1612" s="15" t="n">
        <v>53077.7</v>
      </c>
      <c r="N1612" s="4" t="inlineStr">
        <is>
          <t>IOS Owner</t>
        </is>
      </c>
      <c r="O1612" s="4" t="n"/>
      <c r="P1612" s="4" t="n"/>
      <c r="Q1612" s="4" t="inlineStr">
        <is>
          <t>MAESTRO-IOS-BUSINESS-BUSINESS_RUNWAY-1611 | Loan | 53077.70</t>
        </is>
      </c>
      <c r="R1612" s="4" t="inlineStr">
        <is>
          <t>iPhone</t>
        </is>
      </c>
      <c r="S1612" s="4" t="inlineStr">
        <is>
          <t>B33</t>
        </is>
      </c>
      <c r="T1612" s="4" t="inlineStr">
        <is>
          <t>RAMP_1501_2500</t>
        </is>
      </c>
      <c r="U1612" s="4" t="inlineStr">
        <is>
          <t>CREATED</t>
        </is>
      </c>
      <c r="V1612" s="4" t="inlineStr">
        <is>
          <t>idem-20260902-ios-1611</t>
        </is>
      </c>
    </row>
    <row r="1613" ht="30" customHeight="1">
      <c r="A1613" s="4" t="n">
        <v>1612</v>
      </c>
      <c r="B1613" s="4" t="inlineStr">
        <is>
          <t>MTR-IOS-1612</t>
        </is>
      </c>
      <c r="C1613" s="4" t="inlineStr">
        <is>
          <t>Personal</t>
        </is>
      </c>
      <c r="D1613" s="4" t="inlineStr">
        <is>
          <t>Personal</t>
        </is>
      </c>
      <c r="E1613" s="4" t="inlineStr">
        <is>
          <t>Future Building</t>
        </is>
      </c>
      <c r="F1613" s="4" t="inlineStr">
        <is>
          <t>Emergency Fund</t>
        </is>
      </c>
      <c r="G1613" s="4" t="inlineStr">
        <is>
          <t>Transfer</t>
        </is>
      </c>
      <c r="H1613" s="12" t="n">
        <v>46261</v>
      </c>
      <c r="I1613" s="13" t="n">
        <v>0.9709143518518518</v>
      </c>
      <c r="J1613" s="14" t="n">
        <v>46261.97091435185</v>
      </c>
      <c r="K1613" s="15" t="n">
        <v>11619.93</v>
      </c>
      <c r="L1613" s="4" t="inlineStr">
        <is>
          <t>INR</t>
        </is>
      </c>
      <c r="M1613" s="15" t="n">
        <v>0</v>
      </c>
      <c r="N1613" s="4" t="inlineStr">
        <is>
          <t>IOS Owner</t>
        </is>
      </c>
      <c r="O1613" s="4" t="n"/>
      <c r="P1613" s="4" t="n"/>
      <c r="Q1613" s="4" t="inlineStr">
        <is>
          <t>MAESTRO-IOS-PERSONAL-FUTURE_BUILDING-1612 | Emergency Fund | 11619.93</t>
        </is>
      </c>
      <c r="R1613" s="4" t="inlineStr">
        <is>
          <t>iPhone</t>
        </is>
      </c>
      <c r="S1613" s="4" t="inlineStr">
        <is>
          <t>B33</t>
        </is>
      </c>
      <c r="T1613" s="4" t="inlineStr">
        <is>
          <t>RAMP_1501_2500</t>
        </is>
      </c>
      <c r="U1613" s="4" t="inlineStr">
        <is>
          <t>CREATED</t>
        </is>
      </c>
      <c r="V1613" s="4" t="inlineStr">
        <is>
          <t>idem-20260902-ios-1612</t>
        </is>
      </c>
    </row>
    <row r="1614" ht="30" customHeight="1">
      <c r="A1614" s="4" t="n">
        <v>1613</v>
      </c>
      <c r="B1614" s="4" t="inlineStr">
        <is>
          <t>MTR-IOS-1613</t>
        </is>
      </c>
      <c r="C1614" s="4" t="inlineStr">
        <is>
          <t>Group</t>
        </is>
      </c>
      <c r="D1614" s="4" t="inlineStr">
        <is>
          <t>Shared Experience</t>
        </is>
      </c>
      <c r="E1614" s="4" t="inlineStr">
        <is>
          <t>Office Outing</t>
        </is>
      </c>
      <c r="F1614" s="4" t="inlineStr">
        <is>
          <t>Travel</t>
        </is>
      </c>
      <c r="G1614" s="4" t="inlineStr">
        <is>
          <t>Expense</t>
        </is>
      </c>
      <c r="H1614" s="12" t="n">
        <v>46078</v>
      </c>
      <c r="I1614" s="13" t="n">
        <v>0.9801967592592593</v>
      </c>
      <c r="J1614" s="14" t="n">
        <v>46078.98019675926</v>
      </c>
      <c r="K1614" s="15" t="n">
        <v>21464.89</v>
      </c>
      <c r="L1614" s="4" t="inlineStr">
        <is>
          <t>INR</t>
        </is>
      </c>
      <c r="M1614" s="15" t="n">
        <v>-21464.89</v>
      </c>
      <c r="N1614" s="4" t="inlineStr">
        <is>
          <t>IOS Owner</t>
        </is>
      </c>
      <c r="O1614" s="4" t="n">
        <v>3</v>
      </c>
      <c r="P1614" s="4" t="inlineStr">
        <is>
          <t>PERCENTAGE</t>
        </is>
      </c>
      <c r="Q1614" s="4" t="inlineStr">
        <is>
          <t>MAESTRO-IOS-GROUP-OFFICE_OUTING-1613 | Travel | 21464.89</t>
        </is>
      </c>
      <c r="R1614" s="4" t="inlineStr">
        <is>
          <t>iPhone</t>
        </is>
      </c>
      <c r="S1614" s="4" t="inlineStr">
        <is>
          <t>B33</t>
        </is>
      </c>
      <c r="T1614" s="4" t="inlineStr">
        <is>
          <t>RAMP_1501_2500</t>
        </is>
      </c>
      <c r="U1614" s="4" t="inlineStr">
        <is>
          <t>CREATED</t>
        </is>
      </c>
      <c r="V1614" s="4" t="inlineStr">
        <is>
          <t>idem-20260902-ios-1613</t>
        </is>
      </c>
    </row>
    <row r="1615" ht="30" customHeight="1">
      <c r="A1615" s="4" t="n">
        <v>1614</v>
      </c>
      <c r="B1615" s="4" t="inlineStr">
        <is>
          <t>MTR-IOS-1614</t>
        </is>
      </c>
      <c r="C1615" s="4" t="inlineStr">
        <is>
          <t>Business</t>
        </is>
      </c>
      <c r="D1615" s="4" t="inlineStr">
        <is>
          <t>Business</t>
        </is>
      </c>
      <c r="E1615" s="4" t="inlineStr">
        <is>
          <t>Business Runway</t>
        </is>
      </c>
      <c r="F1615" s="4" t="inlineStr">
        <is>
          <t>Investment</t>
        </is>
      </c>
      <c r="G1615" s="4" t="inlineStr">
        <is>
          <t>Income</t>
        </is>
      </c>
      <c r="H1615" s="12" t="n">
        <v>46150</v>
      </c>
      <c r="I1615" s="13" t="n">
        <v>0.3778356481481481</v>
      </c>
      <c r="J1615" s="14" t="n">
        <v>46150.37783564815</v>
      </c>
      <c r="K1615" s="15" t="n">
        <v>48719.55</v>
      </c>
      <c r="L1615" s="4" t="inlineStr">
        <is>
          <t>INR</t>
        </is>
      </c>
      <c r="M1615" s="15" t="n">
        <v>48719.55</v>
      </c>
      <c r="N1615" s="4" t="inlineStr">
        <is>
          <t>IOS Owner</t>
        </is>
      </c>
      <c r="O1615" s="4" t="n"/>
      <c r="P1615" s="4" t="n"/>
      <c r="Q1615" s="4" t="inlineStr">
        <is>
          <t>MAESTRO-IOS-BUSINESS-BUSINESS_RUNWAY-1614 | Investment | 48719.55</t>
        </is>
      </c>
      <c r="R1615" s="4" t="inlineStr">
        <is>
          <t>iPhone</t>
        </is>
      </c>
      <c r="S1615" s="4" t="inlineStr">
        <is>
          <t>B33</t>
        </is>
      </c>
      <c r="T1615" s="4" t="inlineStr">
        <is>
          <t>RAMP_1501_2500</t>
        </is>
      </c>
      <c r="U1615" s="4" t="inlineStr">
        <is>
          <t>CREATED</t>
        </is>
      </c>
      <c r="V1615" s="4" t="inlineStr">
        <is>
          <t>idem-20260902-ios-1614</t>
        </is>
      </c>
    </row>
    <row r="1616" ht="30" customHeight="1">
      <c r="A1616" s="4" t="n">
        <v>1615</v>
      </c>
      <c r="B1616" s="4" t="inlineStr">
        <is>
          <t>MTR-IOS-1615</t>
        </is>
      </c>
      <c r="C1616" s="4" t="inlineStr">
        <is>
          <t>Personal</t>
        </is>
      </c>
      <c r="D1616" s="4" t="inlineStr">
        <is>
          <t>Personal</t>
        </is>
      </c>
      <c r="E1616" s="4" t="inlineStr">
        <is>
          <t>Future Building</t>
        </is>
      </c>
      <c r="F1616" s="4" t="inlineStr">
        <is>
          <t>Investments</t>
        </is>
      </c>
      <c r="G1616" s="4" t="inlineStr">
        <is>
          <t>Investment</t>
        </is>
      </c>
      <c r="H1616" s="12" t="n">
        <v>46204</v>
      </c>
      <c r="I1616" s="13" t="n">
        <v>0.4430439814814815</v>
      </c>
      <c r="J1616" s="14" t="n">
        <v>46204.44304398148</v>
      </c>
      <c r="K1616" s="15" t="n">
        <v>966.74</v>
      </c>
      <c r="L1616" s="4" t="inlineStr">
        <is>
          <t>INR</t>
        </is>
      </c>
      <c r="M1616" s="15" t="n">
        <v>0</v>
      </c>
      <c r="N1616" s="4" t="inlineStr">
        <is>
          <t>IOS Owner</t>
        </is>
      </c>
      <c r="O1616" s="4" t="n"/>
      <c r="P1616" s="4" t="n"/>
      <c r="Q1616" s="4" t="inlineStr">
        <is>
          <t>MAESTRO-IOS-PERSONAL-FUTURE_BUILDING-1615 | Investments | 966.74</t>
        </is>
      </c>
      <c r="R1616" s="4" t="inlineStr">
        <is>
          <t>iPhone</t>
        </is>
      </c>
      <c r="S1616" s="4" t="inlineStr">
        <is>
          <t>B33</t>
        </is>
      </c>
      <c r="T1616" s="4" t="inlineStr">
        <is>
          <t>RAMP_1501_2500</t>
        </is>
      </c>
      <c r="U1616" s="4" t="inlineStr">
        <is>
          <t>CREATED</t>
        </is>
      </c>
      <c r="V1616" s="4" t="inlineStr">
        <is>
          <t>idem-20260902-ios-1615</t>
        </is>
      </c>
    </row>
    <row r="1617" ht="30" customHeight="1">
      <c r="A1617" s="4" t="n">
        <v>1616</v>
      </c>
      <c r="B1617" s="4" t="inlineStr">
        <is>
          <t>MTR-IOS-1616</t>
        </is>
      </c>
      <c r="C1617" s="4" t="inlineStr">
        <is>
          <t>Group</t>
        </is>
      </c>
      <c r="D1617" s="4" t="inlineStr">
        <is>
          <t>Shared Experience</t>
        </is>
      </c>
      <c r="E1617" s="4" t="inlineStr">
        <is>
          <t>Office Outing</t>
        </is>
      </c>
      <c r="F1617" s="4" t="inlineStr">
        <is>
          <t>Activities</t>
        </is>
      </c>
      <c r="G1617" s="4" t="inlineStr">
        <is>
          <t>Expense</t>
        </is>
      </c>
      <c r="H1617" s="12" t="n">
        <v>46083</v>
      </c>
      <c r="I1617" s="13" t="n">
        <v>0.7363657407407408</v>
      </c>
      <c r="J1617" s="14" t="n">
        <v>46083.73636574074</v>
      </c>
      <c r="K1617" s="15" t="n">
        <v>22321.64</v>
      </c>
      <c r="L1617" s="4" t="inlineStr">
        <is>
          <t>INR</t>
        </is>
      </c>
      <c r="M1617" s="15" t="n">
        <v>-22321.64</v>
      </c>
      <c r="N1617" s="4" t="inlineStr">
        <is>
          <t>IOS Aarav</t>
        </is>
      </c>
      <c r="O1617" s="4" t="n">
        <v>3</v>
      </c>
      <c r="P1617" s="4" t="inlineStr">
        <is>
          <t>EXACT</t>
        </is>
      </c>
      <c r="Q1617" s="4" t="inlineStr">
        <is>
          <t>MAESTRO-IOS-GROUP-OFFICE_OUTING-1616 | Activities | 22321.64</t>
        </is>
      </c>
      <c r="R1617" s="4" t="inlineStr">
        <is>
          <t>iPhone</t>
        </is>
      </c>
      <c r="S1617" s="4" t="inlineStr">
        <is>
          <t>B33</t>
        </is>
      </c>
      <c r="T1617" s="4" t="inlineStr">
        <is>
          <t>RAMP_1501_2500</t>
        </is>
      </c>
      <c r="U1617" s="4" t="inlineStr">
        <is>
          <t>CREATED</t>
        </is>
      </c>
      <c r="V1617" s="4" t="inlineStr">
        <is>
          <t>idem-20260902-ios-1616</t>
        </is>
      </c>
    </row>
    <row r="1618" ht="30" customHeight="1">
      <c r="A1618" s="4" t="n">
        <v>1617</v>
      </c>
      <c r="B1618" s="4" t="inlineStr">
        <is>
          <t>MTR-IOS-1617</t>
        </is>
      </c>
      <c r="C1618" s="4" t="inlineStr">
        <is>
          <t>Business</t>
        </is>
      </c>
      <c r="D1618" s="4" t="inlineStr">
        <is>
          <t>Business</t>
        </is>
      </c>
      <c r="E1618" s="4" t="inlineStr">
        <is>
          <t>Business Operations</t>
        </is>
      </c>
      <c r="F1618" s="4" t="inlineStr">
        <is>
          <t>Software</t>
        </is>
      </c>
      <c r="G1618" s="4" t="inlineStr">
        <is>
          <t>Expense</t>
        </is>
      </c>
      <c r="H1618" s="12" t="n">
        <v>46116</v>
      </c>
      <c r="I1618" s="13" t="n">
        <v>0.05108796296296296</v>
      </c>
      <c r="J1618" s="14" t="n">
        <v>46116.05108796297</v>
      </c>
      <c r="K1618" s="15" t="n">
        <v>80884.12</v>
      </c>
      <c r="L1618" s="4" t="inlineStr">
        <is>
          <t>INR</t>
        </is>
      </c>
      <c r="M1618" s="15" t="n">
        <v>-80884.12</v>
      </c>
      <c r="N1618" s="4" t="inlineStr">
        <is>
          <t>IOS Owner</t>
        </is>
      </c>
      <c r="O1618" s="4" t="n"/>
      <c r="P1618" s="4" t="n"/>
      <c r="Q1618" s="4" t="inlineStr">
        <is>
          <t>MAESTRO-IOS-BUSINESS-BUSINESS_OPERATIONS-1617 | Software | 80884.12</t>
        </is>
      </c>
      <c r="R1618" s="4" t="inlineStr">
        <is>
          <t>iPhone</t>
        </is>
      </c>
      <c r="S1618" s="4" t="inlineStr">
        <is>
          <t>B33</t>
        </is>
      </c>
      <c r="T1618" s="4" t="inlineStr">
        <is>
          <t>RAMP_1501_2500</t>
        </is>
      </c>
      <c r="U1618" s="4" t="inlineStr">
        <is>
          <t>CREATED</t>
        </is>
      </c>
      <c r="V1618" s="4" t="inlineStr">
        <is>
          <t>idem-20260902-ios-1617</t>
        </is>
      </c>
    </row>
    <row r="1619" ht="30" customHeight="1">
      <c r="A1619" s="4" t="n">
        <v>1618</v>
      </c>
      <c r="B1619" s="4" t="inlineStr">
        <is>
          <t>MTR-IOS-1618</t>
        </is>
      </c>
      <c r="C1619" s="4" t="inlineStr">
        <is>
          <t>Personal</t>
        </is>
      </c>
      <c r="D1619" s="4" t="inlineStr">
        <is>
          <t>Personal</t>
        </is>
      </c>
      <c r="E1619" s="4" t="inlineStr">
        <is>
          <t>Future Building</t>
        </is>
      </c>
      <c r="F1619" s="4" t="inlineStr">
        <is>
          <t>Education</t>
        </is>
      </c>
      <c r="G1619" s="4" t="inlineStr">
        <is>
          <t>Expense</t>
        </is>
      </c>
      <c r="H1619" s="12" t="n">
        <v>46219</v>
      </c>
      <c r="I1619" s="13" t="n">
        <v>0.3811805555555556</v>
      </c>
      <c r="J1619" s="14" t="n">
        <v>46219.38118055555</v>
      </c>
      <c r="K1619" s="15" t="n">
        <v>3583.81</v>
      </c>
      <c r="L1619" s="4" t="inlineStr">
        <is>
          <t>INR</t>
        </is>
      </c>
      <c r="M1619" s="15" t="n">
        <v>-3583.81</v>
      </c>
      <c r="N1619" s="4" t="inlineStr">
        <is>
          <t>IOS Owner</t>
        </is>
      </c>
      <c r="O1619" s="4" t="n"/>
      <c r="P1619" s="4" t="n"/>
      <c r="Q1619" s="4" t="inlineStr">
        <is>
          <t>MAESTRO-IOS-PERSONAL-FUTURE_BUILDING-1618 | Education | 3583.81</t>
        </is>
      </c>
      <c r="R1619" s="4" t="inlineStr">
        <is>
          <t>iPhone</t>
        </is>
      </c>
      <c r="S1619" s="4" t="inlineStr">
        <is>
          <t>B33</t>
        </is>
      </c>
      <c r="T1619" s="4" t="inlineStr">
        <is>
          <t>RAMP_1501_2500</t>
        </is>
      </c>
      <c r="U1619" s="4" t="inlineStr">
        <is>
          <t>CREATED</t>
        </is>
      </c>
      <c r="V1619" s="4" t="inlineStr">
        <is>
          <t>idem-20260902-ios-1618</t>
        </is>
      </c>
    </row>
    <row r="1620" ht="30" customHeight="1">
      <c r="A1620" s="4" t="n">
        <v>1619</v>
      </c>
      <c r="B1620" s="4" t="inlineStr">
        <is>
          <t>MTR-IOS-1619</t>
        </is>
      </c>
      <c r="C1620" s="4" t="inlineStr">
        <is>
          <t>Group</t>
        </is>
      </c>
      <c r="D1620" s="4" t="inlineStr">
        <is>
          <t>Shared Experience</t>
        </is>
      </c>
      <c r="E1620" s="4" t="inlineStr">
        <is>
          <t>Office Outing</t>
        </is>
      </c>
      <c r="F1620" s="4" t="inlineStr">
        <is>
          <t>Venue</t>
        </is>
      </c>
      <c r="G1620" s="4" t="inlineStr">
        <is>
          <t>Expense</t>
        </is>
      </c>
      <c r="H1620" s="12" t="n">
        <v>46009</v>
      </c>
      <c r="I1620" s="13" t="n">
        <v>0.7672222222222222</v>
      </c>
      <c r="J1620" s="14" t="n">
        <v>46009.76722222222</v>
      </c>
      <c r="K1620" s="15" t="n">
        <v>25906.16</v>
      </c>
      <c r="L1620" s="4" t="inlineStr">
        <is>
          <t>INR</t>
        </is>
      </c>
      <c r="M1620" s="15" t="n">
        <v>-25906.16</v>
      </c>
      <c r="N1620" s="4" t="inlineStr">
        <is>
          <t>IOS Meera</t>
        </is>
      </c>
      <c r="O1620" s="4" t="n">
        <v>3</v>
      </c>
      <c r="P1620" s="4" t="inlineStr">
        <is>
          <t>SHARES</t>
        </is>
      </c>
      <c r="Q1620" s="4" t="inlineStr">
        <is>
          <t>MAESTRO-IOS-GROUP-OFFICE_OUTING-1619 | Venue | 25906.16</t>
        </is>
      </c>
      <c r="R1620" s="4" t="inlineStr">
        <is>
          <t>iPhone</t>
        </is>
      </c>
      <c r="S1620" s="4" t="inlineStr">
        <is>
          <t>B33</t>
        </is>
      </c>
      <c r="T1620" s="4" t="inlineStr">
        <is>
          <t>RAMP_1501_2500</t>
        </is>
      </c>
      <c r="U1620" s="4" t="inlineStr">
        <is>
          <t>CREATED</t>
        </is>
      </c>
      <c r="V1620" s="4" t="inlineStr">
        <is>
          <t>idem-20260902-ios-1619</t>
        </is>
      </c>
    </row>
    <row r="1621" ht="30" customHeight="1">
      <c r="A1621" s="4" t="n">
        <v>1620</v>
      </c>
      <c r="B1621" s="4" t="inlineStr">
        <is>
          <t>MTR-IOS-1620</t>
        </is>
      </c>
      <c r="C1621" s="4" t="inlineStr">
        <is>
          <t>Business</t>
        </is>
      </c>
      <c r="D1621" s="4" t="inlineStr">
        <is>
          <t>Business</t>
        </is>
      </c>
      <c r="E1621" s="4" t="inlineStr">
        <is>
          <t>Business Operations</t>
        </is>
      </c>
      <c r="F1621" s="4" t="inlineStr">
        <is>
          <t>Rent</t>
        </is>
      </c>
      <c r="G1621" s="4" t="inlineStr">
        <is>
          <t>Expense</t>
        </is>
      </c>
      <c r="H1621" s="12" t="n">
        <v>46126</v>
      </c>
      <c r="I1621" s="13" t="n">
        <v>0.7429861111111111</v>
      </c>
      <c r="J1621" s="14" t="n">
        <v>46126.74298611111</v>
      </c>
      <c r="K1621" s="15" t="n">
        <v>24617.82</v>
      </c>
      <c r="L1621" s="4" t="inlineStr">
        <is>
          <t>INR</t>
        </is>
      </c>
      <c r="M1621" s="15" t="n">
        <v>-24617.82</v>
      </c>
      <c r="N1621" s="4" t="inlineStr">
        <is>
          <t>IOS Owner</t>
        </is>
      </c>
      <c r="O1621" s="4" t="n"/>
      <c r="P1621" s="4" t="n"/>
      <c r="Q1621" s="4" t="inlineStr">
        <is>
          <t>MAESTRO-IOS-BUSINESS-BUSINESS_OPERATIONS-1620 | Rent | 24617.82</t>
        </is>
      </c>
      <c r="R1621" s="4" t="inlineStr">
        <is>
          <t>iPhone</t>
        </is>
      </c>
      <c r="S1621" s="4" t="inlineStr">
        <is>
          <t>B33</t>
        </is>
      </c>
      <c r="T1621" s="4" t="inlineStr">
        <is>
          <t>RAMP_1501_2500</t>
        </is>
      </c>
      <c r="U1621" s="4" t="inlineStr">
        <is>
          <t>CREATED</t>
        </is>
      </c>
      <c r="V1621" s="4" t="inlineStr">
        <is>
          <t>idem-20260902-ios-1620</t>
        </is>
      </c>
    </row>
    <row r="1622" ht="30" customHeight="1">
      <c r="A1622" s="4" t="n">
        <v>1621</v>
      </c>
      <c r="B1622" s="4" t="inlineStr">
        <is>
          <t>MTR-IOS-1621</t>
        </is>
      </c>
      <c r="C1622" s="4" t="inlineStr">
        <is>
          <t>Personal</t>
        </is>
      </c>
      <c r="D1622" s="4" t="inlineStr">
        <is>
          <t>Personal</t>
        </is>
      </c>
      <c r="E1622" s="4" t="inlineStr">
        <is>
          <t>Future Building</t>
        </is>
      </c>
      <c r="F1622" s="4" t="inlineStr">
        <is>
          <t>Goal Contribution</t>
        </is>
      </c>
      <c r="G1622" s="4" t="inlineStr">
        <is>
          <t>Transfer</t>
        </is>
      </c>
      <c r="H1622" s="12" t="n">
        <v>45926</v>
      </c>
      <c r="I1622" s="13" t="n">
        <v>0.11875</v>
      </c>
      <c r="J1622" s="14" t="n">
        <v>45926.11875</v>
      </c>
      <c r="K1622" s="15" t="n">
        <v>8563.360000000001</v>
      </c>
      <c r="L1622" s="4" t="inlineStr">
        <is>
          <t>INR</t>
        </is>
      </c>
      <c r="M1622" s="15" t="n">
        <v>0</v>
      </c>
      <c r="N1622" s="4" t="inlineStr">
        <is>
          <t>IOS Owner</t>
        </is>
      </c>
      <c r="O1622" s="4" t="n"/>
      <c r="P1622" s="4" t="n"/>
      <c r="Q1622" s="4" t="inlineStr">
        <is>
          <t>MAESTRO-IOS-PERSONAL-FUTURE_BUILDING-1621 | Goal Contribution | 8563.36</t>
        </is>
      </c>
      <c r="R1622" s="4" t="inlineStr">
        <is>
          <t>iPhone</t>
        </is>
      </c>
      <c r="S1622" s="4" t="inlineStr">
        <is>
          <t>B33</t>
        </is>
      </c>
      <c r="T1622" s="4" t="inlineStr">
        <is>
          <t>RAMP_1501_2500</t>
        </is>
      </c>
      <c r="U1622" s="4" t="inlineStr">
        <is>
          <t>CREATED</t>
        </is>
      </c>
      <c r="V1622" s="4" t="inlineStr">
        <is>
          <t>idem-20260902-ios-1621</t>
        </is>
      </c>
    </row>
    <row r="1623" ht="30" customHeight="1">
      <c r="A1623" s="4" t="n">
        <v>1622</v>
      </c>
      <c r="B1623" s="4" t="inlineStr">
        <is>
          <t>MTR-IOS-1622</t>
        </is>
      </c>
      <c r="C1623" s="4" t="inlineStr">
        <is>
          <t>Group</t>
        </is>
      </c>
      <c r="D1623" s="4" t="inlineStr">
        <is>
          <t>Shared Experience</t>
        </is>
      </c>
      <c r="E1623" s="4" t="inlineStr">
        <is>
          <t>Office Outing</t>
        </is>
      </c>
      <c r="F1623" s="4" t="inlineStr">
        <is>
          <t>Other</t>
        </is>
      </c>
      <c r="G1623" s="4" t="inlineStr">
        <is>
          <t>Expense</t>
        </is>
      </c>
      <c r="H1623" s="12" t="n">
        <v>46218</v>
      </c>
      <c r="I1623" s="13" t="n">
        <v>0.3807638888888889</v>
      </c>
      <c r="J1623" s="14" t="n">
        <v>46218.38076388889</v>
      </c>
      <c r="K1623" s="15" t="n">
        <v>22398.34</v>
      </c>
      <c r="L1623" s="4" t="inlineStr">
        <is>
          <t>INR</t>
        </is>
      </c>
      <c r="M1623" s="15" t="n">
        <v>-22398.34</v>
      </c>
      <c r="N1623" s="4" t="inlineStr">
        <is>
          <t>IOS Owner</t>
        </is>
      </c>
      <c r="O1623" s="4" t="n">
        <v>3</v>
      </c>
      <c r="P1623" s="4" t="inlineStr">
        <is>
          <t>EQUAL</t>
        </is>
      </c>
      <c r="Q1623" s="4" t="inlineStr">
        <is>
          <t>MAESTRO-IOS-GROUP-OFFICE_OUTING-1622 | Other | 22398.34</t>
        </is>
      </c>
      <c r="R1623" s="4" t="inlineStr">
        <is>
          <t>iPhone</t>
        </is>
      </c>
      <c r="S1623" s="4" t="inlineStr">
        <is>
          <t>B33</t>
        </is>
      </c>
      <c r="T1623" s="4" t="inlineStr">
        <is>
          <t>RAMP_1501_2500</t>
        </is>
      </c>
      <c r="U1623" s="4" t="inlineStr">
        <is>
          <t>CREATED</t>
        </is>
      </c>
      <c r="V1623" s="4" t="inlineStr">
        <is>
          <t>idem-20260902-ios-1622</t>
        </is>
      </c>
    </row>
    <row r="1624" ht="30" customHeight="1">
      <c r="A1624" s="4" t="n">
        <v>1623</v>
      </c>
      <c r="B1624" s="4" t="inlineStr">
        <is>
          <t>MTR-IOS-1623</t>
        </is>
      </c>
      <c r="C1624" s="4" t="inlineStr">
        <is>
          <t>Business</t>
        </is>
      </c>
      <c r="D1624" s="4" t="inlineStr">
        <is>
          <t>Business</t>
        </is>
      </c>
      <c r="E1624" s="4" t="inlineStr">
        <is>
          <t>Business Operations</t>
        </is>
      </c>
      <c r="F1624" s="4" t="inlineStr">
        <is>
          <t>Marketing</t>
        </is>
      </c>
      <c r="G1624" s="4" t="inlineStr">
        <is>
          <t>Expense</t>
        </is>
      </c>
      <c r="H1624" s="12" t="n">
        <v>46254</v>
      </c>
      <c r="I1624" s="13" t="n">
        <v>0.3422222222222222</v>
      </c>
      <c r="J1624" s="14" t="n">
        <v>46254.34222222222</v>
      </c>
      <c r="K1624" s="15" t="n">
        <v>54497.26</v>
      </c>
      <c r="L1624" s="4" t="inlineStr">
        <is>
          <t>INR</t>
        </is>
      </c>
      <c r="M1624" s="15" t="n">
        <v>-54497.26</v>
      </c>
      <c r="N1624" s="4" t="inlineStr">
        <is>
          <t>IOS Owner</t>
        </is>
      </c>
      <c r="O1624" s="4" t="n"/>
      <c r="P1624" s="4" t="n"/>
      <c r="Q1624" s="4" t="inlineStr">
        <is>
          <t>MAESTRO-IOS-BUSINESS-BUSINESS_OPERATIONS-1623 | Marketing | 54497.26</t>
        </is>
      </c>
      <c r="R1624" s="4" t="inlineStr">
        <is>
          <t>iPhone</t>
        </is>
      </c>
      <c r="S1624" s="4" t="inlineStr">
        <is>
          <t>B33</t>
        </is>
      </c>
      <c r="T1624" s="4" t="inlineStr">
        <is>
          <t>RAMP_1501_2500</t>
        </is>
      </c>
      <c r="U1624" s="4" t="inlineStr">
        <is>
          <t>CREATED</t>
        </is>
      </c>
      <c r="V1624" s="4" t="inlineStr">
        <is>
          <t>idem-20260902-ios-1623</t>
        </is>
      </c>
    </row>
    <row r="1625" ht="30" customHeight="1">
      <c r="A1625" s="4" t="n">
        <v>1624</v>
      </c>
      <c r="B1625" s="4" t="inlineStr">
        <is>
          <t>MTR-IOS-1624</t>
        </is>
      </c>
      <c r="C1625" s="4" t="inlineStr">
        <is>
          <t>Personal</t>
        </is>
      </c>
      <c r="D1625" s="4" t="inlineStr">
        <is>
          <t>Personal</t>
        </is>
      </c>
      <c r="E1625" s="4" t="inlineStr">
        <is>
          <t>Lifestyle</t>
        </is>
      </c>
      <c r="F1625" s="4" t="inlineStr">
        <is>
          <t>Dining</t>
        </is>
      </c>
      <c r="G1625" s="4" t="inlineStr">
        <is>
          <t>Expense</t>
        </is>
      </c>
      <c r="H1625" s="12" t="n">
        <v>46018</v>
      </c>
      <c r="I1625" s="13" t="n">
        <v>0.7161458333333334</v>
      </c>
      <c r="J1625" s="14" t="n">
        <v>46018.71614583334</v>
      </c>
      <c r="K1625" s="15" t="n">
        <v>5301.06</v>
      </c>
      <c r="L1625" s="4" t="inlineStr">
        <is>
          <t>INR</t>
        </is>
      </c>
      <c r="M1625" s="15" t="n">
        <v>-5301.06</v>
      </c>
      <c r="N1625" s="4" t="inlineStr">
        <is>
          <t>IOS Owner</t>
        </is>
      </c>
      <c r="O1625" s="4" t="n"/>
      <c r="P1625" s="4" t="n"/>
      <c r="Q1625" s="4" t="inlineStr">
        <is>
          <t>MAESTRO-IOS-PERSONAL-LIFESTYLE-1624 | Dining | 5301.06</t>
        </is>
      </c>
      <c r="R1625" s="4" t="inlineStr">
        <is>
          <t>iPhone</t>
        </is>
      </c>
      <c r="S1625" s="4" t="inlineStr">
        <is>
          <t>B33</t>
        </is>
      </c>
      <c r="T1625" s="4" t="inlineStr">
        <is>
          <t>RAMP_1501_2500</t>
        </is>
      </c>
      <c r="U1625" s="4" t="inlineStr">
        <is>
          <t>CREATED</t>
        </is>
      </c>
      <c r="V1625" s="4" t="inlineStr">
        <is>
          <t>idem-20260902-ios-1624</t>
        </is>
      </c>
    </row>
    <row r="1626" ht="30" customHeight="1">
      <c r="A1626" s="4" t="n">
        <v>1625</v>
      </c>
      <c r="B1626" s="4" t="inlineStr">
        <is>
          <t>MTR-IOS-1625</t>
        </is>
      </c>
      <c r="C1626" s="4" t="inlineStr">
        <is>
          <t>Group</t>
        </is>
      </c>
      <c r="D1626" s="4" t="inlineStr">
        <is>
          <t>Shared Experience</t>
        </is>
      </c>
      <c r="E1626" s="4" t="inlineStr">
        <is>
          <t>House Party</t>
        </is>
      </c>
      <c r="F1626" s="4" t="inlineStr">
        <is>
          <t>Food</t>
        </is>
      </c>
      <c r="G1626" s="4" t="inlineStr">
        <is>
          <t>Expense</t>
        </is>
      </c>
      <c r="H1626" s="12" t="n">
        <v>46233</v>
      </c>
      <c r="I1626" s="13" t="n">
        <v>0.5964351851851852</v>
      </c>
      <c r="J1626" s="14" t="n">
        <v>46233.59643518519</v>
      </c>
      <c r="K1626" s="15" t="n">
        <v>13039.88</v>
      </c>
      <c r="L1626" s="4" t="inlineStr">
        <is>
          <t>INR</t>
        </is>
      </c>
      <c r="M1626" s="15" t="n">
        <v>-13039.88</v>
      </c>
      <c r="N1626" s="4" t="inlineStr">
        <is>
          <t>IOS Aarav</t>
        </is>
      </c>
      <c r="O1626" s="4" t="n">
        <v>3</v>
      </c>
      <c r="P1626" s="4" t="inlineStr">
        <is>
          <t>PERCENTAGE</t>
        </is>
      </c>
      <c r="Q1626" s="4" t="inlineStr">
        <is>
          <t>MAESTRO-IOS-GROUP-HOUSE_PARTY-1625 | Food | 13039.88</t>
        </is>
      </c>
      <c r="R1626" s="4" t="inlineStr">
        <is>
          <t>iPhone</t>
        </is>
      </c>
      <c r="S1626" s="4" t="inlineStr">
        <is>
          <t>B33</t>
        </is>
      </c>
      <c r="T1626" s="4" t="inlineStr">
        <is>
          <t>RAMP_1501_2500</t>
        </is>
      </c>
      <c r="U1626" s="4" t="inlineStr">
        <is>
          <t>CREATED</t>
        </is>
      </c>
      <c r="V1626" s="4" t="inlineStr">
        <is>
          <t>idem-20260902-ios-1625</t>
        </is>
      </c>
    </row>
    <row r="1627" ht="30" customHeight="1">
      <c r="A1627" s="4" t="n">
        <v>1626</v>
      </c>
      <c r="B1627" s="4" t="inlineStr">
        <is>
          <t>MTR-IOS-1626</t>
        </is>
      </c>
      <c r="C1627" s="4" t="inlineStr">
        <is>
          <t>Business</t>
        </is>
      </c>
      <c r="D1627" s="4" t="inlineStr">
        <is>
          <t>Business</t>
        </is>
      </c>
      <c r="E1627" s="4" t="inlineStr">
        <is>
          <t>Business Operations</t>
        </is>
      </c>
      <c r="F1627" s="4" t="inlineStr">
        <is>
          <t>Legal</t>
        </is>
      </c>
      <c r="G1627" s="4" t="inlineStr">
        <is>
          <t>Expense</t>
        </is>
      </c>
      <c r="H1627" s="12" t="n">
        <v>46227</v>
      </c>
      <c r="I1627" s="13" t="n">
        <v>0.8747685185185186</v>
      </c>
      <c r="J1627" s="14" t="n">
        <v>46227.87476851852</v>
      </c>
      <c r="K1627" s="15" t="n">
        <v>27390.23</v>
      </c>
      <c r="L1627" s="4" t="inlineStr">
        <is>
          <t>INR</t>
        </is>
      </c>
      <c r="M1627" s="15" t="n">
        <v>-27390.23</v>
      </c>
      <c r="N1627" s="4" t="inlineStr">
        <is>
          <t>IOS Owner</t>
        </is>
      </c>
      <c r="O1627" s="4" t="n"/>
      <c r="P1627" s="4" t="n"/>
      <c r="Q1627" s="4" t="inlineStr">
        <is>
          <t>MAESTRO-IOS-BUSINESS-BUSINESS_OPERATIONS-1626 | Legal | 27390.23</t>
        </is>
      </c>
      <c r="R1627" s="4" t="inlineStr">
        <is>
          <t>iPhone</t>
        </is>
      </c>
      <c r="S1627" s="4" t="inlineStr">
        <is>
          <t>B33</t>
        </is>
      </c>
      <c r="T1627" s="4" t="inlineStr">
        <is>
          <t>RAMP_1501_2500</t>
        </is>
      </c>
      <c r="U1627" s="4" t="inlineStr">
        <is>
          <t>CREATED</t>
        </is>
      </c>
      <c r="V1627" s="4" t="inlineStr">
        <is>
          <t>idem-20260902-ios-1626</t>
        </is>
      </c>
    </row>
    <row r="1628" ht="30" customHeight="1">
      <c r="A1628" s="4" t="n">
        <v>1627</v>
      </c>
      <c r="B1628" s="4" t="inlineStr">
        <is>
          <t>MTR-IOS-1627</t>
        </is>
      </c>
      <c r="C1628" s="4" t="inlineStr">
        <is>
          <t>Personal</t>
        </is>
      </c>
      <c r="D1628" s="4" t="inlineStr">
        <is>
          <t>Personal</t>
        </is>
      </c>
      <c r="E1628" s="4" t="inlineStr">
        <is>
          <t>Lifestyle</t>
        </is>
      </c>
      <c r="F1628" s="4" t="inlineStr">
        <is>
          <t>Shopping</t>
        </is>
      </c>
      <c r="G1628" s="4" t="inlineStr">
        <is>
          <t>Expense</t>
        </is>
      </c>
      <c r="H1628" s="12" t="n">
        <v>45971</v>
      </c>
      <c r="I1628" s="13" t="n">
        <v>0.4844907407407407</v>
      </c>
      <c r="J1628" s="14" t="n">
        <v>45971.48449074074</v>
      </c>
      <c r="K1628" s="15" t="n">
        <v>77.48</v>
      </c>
      <c r="L1628" s="4" t="inlineStr">
        <is>
          <t>INR</t>
        </is>
      </c>
      <c r="M1628" s="15" t="n">
        <v>-77.48</v>
      </c>
      <c r="N1628" s="4" t="inlineStr">
        <is>
          <t>IOS Owner</t>
        </is>
      </c>
      <c r="O1628" s="4" t="n"/>
      <c r="P1628" s="4" t="n"/>
      <c r="Q1628" s="4" t="inlineStr">
        <is>
          <t>MAESTRO-IOS-PERSONAL-LIFESTYLE-1627 | Shopping | 77.48</t>
        </is>
      </c>
      <c r="R1628" s="4" t="inlineStr">
        <is>
          <t>iPhone</t>
        </is>
      </c>
      <c r="S1628" s="4" t="inlineStr">
        <is>
          <t>B33</t>
        </is>
      </c>
      <c r="T1628" s="4" t="inlineStr">
        <is>
          <t>RAMP_1501_2500</t>
        </is>
      </c>
      <c r="U1628" s="4" t="inlineStr">
        <is>
          <t>CREATED</t>
        </is>
      </c>
      <c r="V1628" s="4" t="inlineStr">
        <is>
          <t>idem-20260902-ios-1627</t>
        </is>
      </c>
    </row>
    <row r="1629" ht="30" customHeight="1">
      <c r="A1629" s="4" t="n">
        <v>1628</v>
      </c>
      <c r="B1629" s="4" t="inlineStr">
        <is>
          <t>MTR-IOS-1628</t>
        </is>
      </c>
      <c r="C1629" s="4" t="inlineStr">
        <is>
          <t>Group</t>
        </is>
      </c>
      <c r="D1629" s="4" t="inlineStr">
        <is>
          <t>Shared Experience</t>
        </is>
      </c>
      <c r="E1629" s="4" t="inlineStr">
        <is>
          <t>House Party</t>
        </is>
      </c>
      <c r="F1629" s="4" t="inlineStr">
        <is>
          <t>Drinks</t>
        </is>
      </c>
      <c r="G1629" s="4" t="inlineStr">
        <is>
          <t>Expense</t>
        </is>
      </c>
      <c r="H1629" s="12" t="n">
        <v>46142</v>
      </c>
      <c r="I1629" s="13" t="n">
        <v>0.09570601851851852</v>
      </c>
      <c r="J1629" s="14" t="n">
        <v>46142.09570601852</v>
      </c>
      <c r="K1629" s="15" t="n">
        <v>99.98999999999999</v>
      </c>
      <c r="L1629" s="4" t="inlineStr">
        <is>
          <t>INR</t>
        </is>
      </c>
      <c r="M1629" s="15" t="n">
        <v>-99.98999999999999</v>
      </c>
      <c r="N1629" s="4" t="inlineStr">
        <is>
          <t>IOS Meera</t>
        </is>
      </c>
      <c r="O1629" s="4" t="n">
        <v>3</v>
      </c>
      <c r="P1629" s="4" t="inlineStr">
        <is>
          <t>EXACT</t>
        </is>
      </c>
      <c r="Q1629" s="4" t="inlineStr">
        <is>
          <t>MAESTRO-IOS-GROUP-HOUSE_PARTY-1628 | Drinks | 99.99</t>
        </is>
      </c>
      <c r="R1629" s="4" t="inlineStr">
        <is>
          <t>iPhone</t>
        </is>
      </c>
      <c r="S1629" s="4" t="inlineStr">
        <is>
          <t>B33</t>
        </is>
      </c>
      <c r="T1629" s="4" t="inlineStr">
        <is>
          <t>RAMP_1501_2500</t>
        </is>
      </c>
      <c r="U1629" s="4" t="inlineStr">
        <is>
          <t>CREATED</t>
        </is>
      </c>
      <c r="V1629" s="4" t="inlineStr">
        <is>
          <t>idem-20260902-ios-1628</t>
        </is>
      </c>
    </row>
    <row r="1630" ht="30" customHeight="1">
      <c r="A1630" s="4" t="n">
        <v>1629</v>
      </c>
      <c r="B1630" s="4" t="inlineStr">
        <is>
          <t>MTR-IOS-1629</t>
        </is>
      </c>
      <c r="C1630" s="4" t="inlineStr">
        <is>
          <t>Business</t>
        </is>
      </c>
      <c r="D1630" s="4" t="inlineStr">
        <is>
          <t>Business</t>
        </is>
      </c>
      <c r="E1630" s="4" t="inlineStr">
        <is>
          <t>Business Operations</t>
        </is>
      </c>
      <c r="F1630" s="4" t="inlineStr">
        <is>
          <t>Accounting</t>
        </is>
      </c>
      <c r="G1630" s="4" t="inlineStr">
        <is>
          <t>Expense</t>
        </is>
      </c>
      <c r="H1630" s="12" t="n">
        <v>45976</v>
      </c>
      <c r="I1630" s="13" t="n">
        <v>0.4212037037037037</v>
      </c>
      <c r="J1630" s="14" t="n">
        <v>45976.42120370371</v>
      </c>
      <c r="K1630" s="15" t="n">
        <v>154139.79</v>
      </c>
      <c r="L1630" s="4" t="inlineStr">
        <is>
          <t>INR</t>
        </is>
      </c>
      <c r="M1630" s="15" t="n">
        <v>-154139.79</v>
      </c>
      <c r="N1630" s="4" t="inlineStr">
        <is>
          <t>IOS Owner</t>
        </is>
      </c>
      <c r="O1630" s="4" t="n"/>
      <c r="P1630" s="4" t="n"/>
      <c r="Q1630" s="4" t="inlineStr">
        <is>
          <t>MAESTRO-IOS-BUSINESS-BUSINESS_OPERATIONS-1629 | Accounting | 154139.79</t>
        </is>
      </c>
      <c r="R1630" s="4" t="inlineStr">
        <is>
          <t>iPhone</t>
        </is>
      </c>
      <c r="S1630" s="4" t="inlineStr">
        <is>
          <t>B33</t>
        </is>
      </c>
      <c r="T1630" s="4" t="inlineStr">
        <is>
          <t>RAMP_1501_2500</t>
        </is>
      </c>
      <c r="U1630" s="4" t="inlineStr">
        <is>
          <t>CREATED</t>
        </is>
      </c>
      <c r="V1630" s="4" t="inlineStr">
        <is>
          <t>idem-20260902-ios-1629</t>
        </is>
      </c>
    </row>
    <row r="1631" ht="30" customHeight="1">
      <c r="A1631" s="4" t="n">
        <v>1630</v>
      </c>
      <c r="B1631" s="4" t="inlineStr">
        <is>
          <t>MTR-IOS-1630</t>
        </is>
      </c>
      <c r="C1631" s="4" t="inlineStr">
        <is>
          <t>Personal</t>
        </is>
      </c>
      <c r="D1631" s="4" t="inlineStr">
        <is>
          <t>Personal</t>
        </is>
      </c>
      <c r="E1631" s="4" t="inlineStr">
        <is>
          <t>Lifestyle</t>
        </is>
      </c>
      <c r="F1631" s="4" t="inlineStr">
        <is>
          <t>Entertainment</t>
        </is>
      </c>
      <c r="G1631" s="4" t="inlineStr">
        <is>
          <t>Expense</t>
        </is>
      </c>
      <c r="H1631" s="12" t="n">
        <v>46190</v>
      </c>
      <c r="I1631" s="13" t="n">
        <v>0.2074421296296296</v>
      </c>
      <c r="J1631" s="14" t="n">
        <v>46190.20744212963</v>
      </c>
      <c r="K1631" s="15" t="n">
        <v>1152.75</v>
      </c>
      <c r="L1631" s="4" t="inlineStr">
        <is>
          <t>INR</t>
        </is>
      </c>
      <c r="M1631" s="15" t="n">
        <v>-1152.75</v>
      </c>
      <c r="N1631" s="4" t="inlineStr">
        <is>
          <t>IOS Owner</t>
        </is>
      </c>
      <c r="O1631" s="4" t="n"/>
      <c r="P1631" s="4" t="n"/>
      <c r="Q1631" s="4" t="inlineStr">
        <is>
          <t>MAESTRO-IOS-PERSONAL-LIFESTYLE-1630 | Entertainment | 1152.75</t>
        </is>
      </c>
      <c r="R1631" s="4" t="inlineStr">
        <is>
          <t>iPhone</t>
        </is>
      </c>
      <c r="S1631" s="4" t="inlineStr">
        <is>
          <t>B33</t>
        </is>
      </c>
      <c r="T1631" s="4" t="inlineStr">
        <is>
          <t>RAMP_1501_2500</t>
        </is>
      </c>
      <c r="U1631" s="4" t="inlineStr">
        <is>
          <t>CREATED</t>
        </is>
      </c>
      <c r="V1631" s="4" t="inlineStr">
        <is>
          <t>idem-20260902-ios-1630</t>
        </is>
      </c>
    </row>
    <row r="1632" ht="30" customHeight="1">
      <c r="A1632" s="4" t="n">
        <v>1631</v>
      </c>
      <c r="B1632" s="4" t="inlineStr">
        <is>
          <t>MTR-IOS-1631</t>
        </is>
      </c>
      <c r="C1632" s="4" t="inlineStr">
        <is>
          <t>Group</t>
        </is>
      </c>
      <c r="D1632" s="4" t="inlineStr">
        <is>
          <t>Shared Experience</t>
        </is>
      </c>
      <c r="E1632" s="4" t="inlineStr">
        <is>
          <t>House Party</t>
        </is>
      </c>
      <c r="F1632" s="4" t="inlineStr">
        <is>
          <t>Decor</t>
        </is>
      </c>
      <c r="G1632" s="4" t="inlineStr">
        <is>
          <t>Expense</t>
        </is>
      </c>
      <c r="H1632" s="12" t="n">
        <v>46136</v>
      </c>
      <c r="I1632" s="13" t="n">
        <v>0.6159490740740741</v>
      </c>
      <c r="J1632" s="14" t="n">
        <v>46136.61594907408</v>
      </c>
      <c r="K1632" s="15" t="n">
        <v>24086.98</v>
      </c>
      <c r="L1632" s="4" t="inlineStr">
        <is>
          <t>INR</t>
        </is>
      </c>
      <c r="M1632" s="15" t="n">
        <v>-24086.98</v>
      </c>
      <c r="N1632" s="4" t="inlineStr">
        <is>
          <t>IOS Owner</t>
        </is>
      </c>
      <c r="O1632" s="4" t="n">
        <v>3</v>
      </c>
      <c r="P1632" s="4" t="inlineStr">
        <is>
          <t>SHARES</t>
        </is>
      </c>
      <c r="Q1632" s="4" t="inlineStr">
        <is>
          <t>MAESTRO-IOS-GROUP-HOUSE_PARTY-1631 | Decor | 24086.98</t>
        </is>
      </c>
      <c r="R1632" s="4" t="inlineStr">
        <is>
          <t>iPhone</t>
        </is>
      </c>
      <c r="S1632" s="4" t="inlineStr">
        <is>
          <t>B33</t>
        </is>
      </c>
      <c r="T1632" s="4" t="inlineStr">
        <is>
          <t>RAMP_1501_2500</t>
        </is>
      </c>
      <c r="U1632" s="4" t="inlineStr">
        <is>
          <t>CREATED</t>
        </is>
      </c>
      <c r="V1632" s="4" t="inlineStr">
        <is>
          <t>idem-20260902-ios-1631</t>
        </is>
      </c>
    </row>
    <row r="1633" ht="30" customHeight="1">
      <c r="A1633" s="4" t="n">
        <v>1632</v>
      </c>
      <c r="B1633" s="4" t="inlineStr">
        <is>
          <t>MTR-IOS-1632</t>
        </is>
      </c>
      <c r="C1633" s="4" t="inlineStr">
        <is>
          <t>Business</t>
        </is>
      </c>
      <c r="D1633" s="4" t="inlineStr">
        <is>
          <t>Business</t>
        </is>
      </c>
      <c r="E1633" s="4" t="inlineStr">
        <is>
          <t>Business Operations</t>
        </is>
      </c>
      <c r="F1633" s="4" t="inlineStr">
        <is>
          <t>Equipment</t>
        </is>
      </c>
      <c r="G1633" s="4" t="inlineStr">
        <is>
          <t>Expense</t>
        </is>
      </c>
      <c r="H1633" s="12" t="n">
        <v>46067</v>
      </c>
      <c r="I1633" s="13" t="n">
        <v>0.7555324074074075</v>
      </c>
      <c r="J1633" s="14" t="n">
        <v>46067.75553240741</v>
      </c>
      <c r="K1633" s="15" t="n">
        <v>12952.4</v>
      </c>
      <c r="L1633" s="4" t="inlineStr">
        <is>
          <t>INR</t>
        </is>
      </c>
      <c r="M1633" s="15" t="n">
        <v>-12952.4</v>
      </c>
      <c r="N1633" s="4" t="inlineStr">
        <is>
          <t>IOS Owner</t>
        </is>
      </c>
      <c r="O1633" s="4" t="n"/>
      <c r="P1633" s="4" t="n"/>
      <c r="Q1633" s="4" t="inlineStr">
        <is>
          <t>MAESTRO-IOS-BUSINESS-BUSINESS_OPERATIONS-1632 | Equipment | 12952.40</t>
        </is>
      </c>
      <c r="R1633" s="4" t="inlineStr">
        <is>
          <t>iPhone</t>
        </is>
      </c>
      <c r="S1633" s="4" t="inlineStr">
        <is>
          <t>B33</t>
        </is>
      </c>
      <c r="T1633" s="4" t="inlineStr">
        <is>
          <t>RAMP_1501_2500</t>
        </is>
      </c>
      <c r="U1633" s="4" t="inlineStr">
        <is>
          <t>CREATED</t>
        </is>
      </c>
      <c r="V1633" s="4" t="inlineStr">
        <is>
          <t>idem-20260902-ios-1632</t>
        </is>
      </c>
    </row>
    <row r="1634" ht="30" customHeight="1">
      <c r="A1634" s="4" t="n">
        <v>1633</v>
      </c>
      <c r="B1634" s="4" t="inlineStr">
        <is>
          <t>MTR-IOS-1633</t>
        </is>
      </c>
      <c r="C1634" s="4" t="inlineStr">
        <is>
          <t>Personal</t>
        </is>
      </c>
      <c r="D1634" s="4" t="inlineStr">
        <is>
          <t>Personal</t>
        </is>
      </c>
      <c r="E1634" s="4" t="inlineStr">
        <is>
          <t>Lifestyle</t>
        </is>
      </c>
      <c r="F1634" s="4" t="inlineStr">
        <is>
          <t>Travel</t>
        </is>
      </c>
      <c r="G1634" s="4" t="inlineStr">
        <is>
          <t>Expense</t>
        </is>
      </c>
      <c r="H1634" s="12" t="n">
        <v>45924</v>
      </c>
      <c r="I1634" s="13" t="n">
        <v>0.9243749999999999</v>
      </c>
      <c r="J1634" s="14" t="n">
        <v>45924.924375</v>
      </c>
      <c r="K1634" s="15" t="n">
        <v>15000.34</v>
      </c>
      <c r="L1634" s="4" t="inlineStr">
        <is>
          <t>INR</t>
        </is>
      </c>
      <c r="M1634" s="15" t="n">
        <v>-15000.34</v>
      </c>
      <c r="N1634" s="4" t="inlineStr">
        <is>
          <t>IOS Owner</t>
        </is>
      </c>
      <c r="O1634" s="4" t="n"/>
      <c r="P1634" s="4" t="n"/>
      <c r="Q1634" s="4" t="inlineStr">
        <is>
          <t>MAESTRO-IOS-PERSONAL-LIFESTYLE-1633 | Travel | 15000.34</t>
        </is>
      </c>
      <c r="R1634" s="4" t="inlineStr">
        <is>
          <t>iPhone</t>
        </is>
      </c>
      <c r="S1634" s="4" t="inlineStr">
        <is>
          <t>B33</t>
        </is>
      </c>
      <c r="T1634" s="4" t="inlineStr">
        <is>
          <t>RAMP_1501_2500</t>
        </is>
      </c>
      <c r="U1634" s="4" t="inlineStr">
        <is>
          <t>CREATED</t>
        </is>
      </c>
      <c r="V1634" s="4" t="inlineStr">
        <is>
          <t>idem-20260902-ios-1633</t>
        </is>
      </c>
    </row>
    <row r="1635" ht="30" customHeight="1">
      <c r="A1635" s="4" t="n">
        <v>1634</v>
      </c>
      <c r="B1635" s="4" t="inlineStr">
        <is>
          <t>MTR-IOS-1634</t>
        </is>
      </c>
      <c r="C1635" s="4" t="inlineStr">
        <is>
          <t>Group</t>
        </is>
      </c>
      <c r="D1635" s="4" t="inlineStr">
        <is>
          <t>Shared Experience</t>
        </is>
      </c>
      <c r="E1635" s="4" t="inlineStr">
        <is>
          <t>House Party</t>
        </is>
      </c>
      <c r="F1635" s="4" t="inlineStr">
        <is>
          <t>Supplies</t>
        </is>
      </c>
      <c r="G1635" s="4" t="inlineStr">
        <is>
          <t>Expense</t>
        </is>
      </c>
      <c r="H1635" s="12" t="n">
        <v>46120</v>
      </c>
      <c r="I1635" s="13" t="n">
        <v>0.2842708333333333</v>
      </c>
      <c r="J1635" s="14" t="n">
        <v>46120.28427083333</v>
      </c>
      <c r="K1635" s="15" t="n">
        <v>20791.16</v>
      </c>
      <c r="L1635" s="4" t="inlineStr">
        <is>
          <t>INR</t>
        </is>
      </c>
      <c r="M1635" s="15" t="n">
        <v>-20791.16</v>
      </c>
      <c r="N1635" s="4" t="inlineStr">
        <is>
          <t>IOS Aarav</t>
        </is>
      </c>
      <c r="O1635" s="4" t="n">
        <v>3</v>
      </c>
      <c r="P1635" s="4" t="inlineStr">
        <is>
          <t>EQUAL</t>
        </is>
      </c>
      <c r="Q1635" s="4" t="inlineStr">
        <is>
          <t>MAESTRO-IOS-GROUP-HOUSE_PARTY-1634 | Supplies | 20791.16</t>
        </is>
      </c>
      <c r="R1635" s="4" t="inlineStr">
        <is>
          <t>iPhone</t>
        </is>
      </c>
      <c r="S1635" s="4" t="inlineStr">
        <is>
          <t>B33</t>
        </is>
      </c>
      <c r="T1635" s="4" t="inlineStr">
        <is>
          <t>RAMP_1501_2500</t>
        </is>
      </c>
      <c r="U1635" s="4" t="inlineStr">
        <is>
          <t>CREATED</t>
        </is>
      </c>
      <c r="V1635" s="4" t="inlineStr">
        <is>
          <t>idem-20260902-ios-1634</t>
        </is>
      </c>
    </row>
    <row r="1636" ht="30" customHeight="1">
      <c r="A1636" s="4" t="n">
        <v>1635</v>
      </c>
      <c r="B1636" s="4" t="inlineStr">
        <is>
          <t>MTR-IOS-1635</t>
        </is>
      </c>
      <c r="C1636" s="4" t="inlineStr">
        <is>
          <t>Business</t>
        </is>
      </c>
      <c r="D1636" s="4" t="inlineStr">
        <is>
          <t>Business</t>
        </is>
      </c>
      <c r="E1636" s="4" t="inlineStr">
        <is>
          <t>Business Operations</t>
        </is>
      </c>
      <c r="F1636" s="4" t="inlineStr">
        <is>
          <t>Vendor</t>
        </is>
      </c>
      <c r="G1636" s="4" t="inlineStr">
        <is>
          <t>Expense</t>
        </is>
      </c>
      <c r="H1636" s="12" t="n">
        <v>46083</v>
      </c>
      <c r="I1636" s="13" t="n">
        <v>0.1728125</v>
      </c>
      <c r="J1636" s="14" t="n">
        <v>46083.1728125</v>
      </c>
      <c r="K1636" s="15" t="n">
        <v>41963.66</v>
      </c>
      <c r="L1636" s="4" t="inlineStr">
        <is>
          <t>INR</t>
        </is>
      </c>
      <c r="M1636" s="15" t="n">
        <v>-41963.66</v>
      </c>
      <c r="N1636" s="4" t="inlineStr">
        <is>
          <t>IOS Owner</t>
        </is>
      </c>
      <c r="O1636" s="4" t="n"/>
      <c r="P1636" s="4" t="n"/>
      <c r="Q1636" s="4" t="inlineStr">
        <is>
          <t>MAESTRO-IOS-BUSINESS-BUSINESS_OPERATIONS-1635 | Vendor | 41963.66</t>
        </is>
      </c>
      <c r="R1636" s="4" t="inlineStr">
        <is>
          <t>iPhone</t>
        </is>
      </c>
      <c r="S1636" s="4" t="inlineStr">
        <is>
          <t>B33</t>
        </is>
      </c>
      <c r="T1636" s="4" t="inlineStr">
        <is>
          <t>RAMP_1501_2500</t>
        </is>
      </c>
      <c r="U1636" s="4" t="inlineStr">
        <is>
          <t>CREATED</t>
        </is>
      </c>
      <c r="V1636" s="4" t="inlineStr">
        <is>
          <t>idem-20260902-ios-1635</t>
        </is>
      </c>
    </row>
    <row r="1637" ht="30" customHeight="1">
      <c r="A1637" s="4" t="n">
        <v>1636</v>
      </c>
      <c r="B1637" s="4" t="inlineStr">
        <is>
          <t>MTR-IOS-1636</t>
        </is>
      </c>
      <c r="C1637" s="4" t="inlineStr">
        <is>
          <t>Personal</t>
        </is>
      </c>
      <c r="D1637" s="4" t="inlineStr">
        <is>
          <t>Personal</t>
        </is>
      </c>
      <c r="E1637" s="4" t="inlineStr">
        <is>
          <t>Lifestyle</t>
        </is>
      </c>
      <c r="F1637" s="4" t="inlineStr">
        <is>
          <t>Fitness</t>
        </is>
      </c>
      <c r="G1637" s="4" t="inlineStr">
        <is>
          <t>Expense</t>
        </is>
      </c>
      <c r="H1637" s="12" t="n">
        <v>46223</v>
      </c>
      <c r="I1637" s="13" t="n">
        <v>0.6137152777777778</v>
      </c>
      <c r="J1637" s="14" t="n">
        <v>46223.61371527778</v>
      </c>
      <c r="K1637" s="15" t="n">
        <v>8171.44</v>
      </c>
      <c r="L1637" s="4" t="inlineStr">
        <is>
          <t>INR</t>
        </is>
      </c>
      <c r="M1637" s="15" t="n">
        <v>-8171.44</v>
      </c>
      <c r="N1637" s="4" t="inlineStr">
        <is>
          <t>IOS Owner</t>
        </is>
      </c>
      <c r="O1637" s="4" t="n"/>
      <c r="P1637" s="4" t="n"/>
      <c r="Q1637" s="4" t="inlineStr">
        <is>
          <t>MAESTRO-IOS-PERSONAL-LIFESTYLE-1636 | Fitness | 8171.44</t>
        </is>
      </c>
      <c r="R1637" s="4" t="inlineStr">
        <is>
          <t>iPhone</t>
        </is>
      </c>
      <c r="S1637" s="4" t="inlineStr">
        <is>
          <t>B33</t>
        </is>
      </c>
      <c r="T1637" s="4" t="inlineStr">
        <is>
          <t>RAMP_1501_2500</t>
        </is>
      </c>
      <c r="U1637" s="4" t="inlineStr">
        <is>
          <t>CREATED</t>
        </is>
      </c>
      <c r="V1637" s="4" t="inlineStr">
        <is>
          <t>idem-20260902-ios-1636</t>
        </is>
      </c>
    </row>
    <row r="1638" ht="30" customHeight="1">
      <c r="A1638" s="4" t="n">
        <v>1637</v>
      </c>
      <c r="B1638" s="4" t="inlineStr">
        <is>
          <t>MTR-IOS-1637</t>
        </is>
      </c>
      <c r="C1638" s="4" t="inlineStr">
        <is>
          <t>Group</t>
        </is>
      </c>
      <c r="D1638" s="4" t="inlineStr">
        <is>
          <t>Shared Experience</t>
        </is>
      </c>
      <c r="E1638" s="4" t="inlineStr">
        <is>
          <t>House Party</t>
        </is>
      </c>
      <c r="F1638" s="4" t="inlineStr">
        <is>
          <t>Other</t>
        </is>
      </c>
      <c r="G1638" s="4" t="inlineStr">
        <is>
          <t>Expense</t>
        </is>
      </c>
      <c r="H1638" s="12" t="n">
        <v>46072</v>
      </c>
      <c r="I1638" s="13" t="n">
        <v>0.8364236111111111</v>
      </c>
      <c r="J1638" s="14" t="n">
        <v>46072.83642361111</v>
      </c>
      <c r="K1638" s="15" t="n">
        <v>16284.05</v>
      </c>
      <c r="L1638" s="4" t="inlineStr">
        <is>
          <t>INR</t>
        </is>
      </c>
      <c r="M1638" s="15" t="n">
        <v>-16284.05</v>
      </c>
      <c r="N1638" s="4" t="inlineStr">
        <is>
          <t>IOS Meera</t>
        </is>
      </c>
      <c r="O1638" s="4" t="n">
        <v>3</v>
      </c>
      <c r="P1638" s="4" t="inlineStr">
        <is>
          <t>PERCENTAGE</t>
        </is>
      </c>
      <c r="Q1638" s="4" t="inlineStr">
        <is>
          <t>MAESTRO-IOS-GROUP-HOUSE_PARTY-1637 | Other | 16284.05</t>
        </is>
      </c>
      <c r="R1638" s="4" t="inlineStr">
        <is>
          <t>iPhone</t>
        </is>
      </c>
      <c r="S1638" s="4" t="inlineStr">
        <is>
          <t>B33</t>
        </is>
      </c>
      <c r="T1638" s="4" t="inlineStr">
        <is>
          <t>RAMP_1501_2500</t>
        </is>
      </c>
      <c r="U1638" s="4" t="inlineStr">
        <is>
          <t>CREATED</t>
        </is>
      </c>
      <c r="V1638" s="4" t="inlineStr">
        <is>
          <t>idem-20260902-ios-1637</t>
        </is>
      </c>
    </row>
    <row r="1639" ht="30" customHeight="1">
      <c r="A1639" s="4" t="n">
        <v>1638</v>
      </c>
      <c r="B1639" s="4" t="inlineStr">
        <is>
          <t>MTR-IOS-1638</t>
        </is>
      </c>
      <c r="C1639" s="4" t="inlineStr">
        <is>
          <t>Business</t>
        </is>
      </c>
      <c r="D1639" s="4" t="inlineStr">
        <is>
          <t>Business</t>
        </is>
      </c>
      <c r="E1639" s="4" t="inlineStr">
        <is>
          <t>Business Operations</t>
        </is>
      </c>
      <c r="F1639" s="4" t="inlineStr">
        <is>
          <t>Tax</t>
        </is>
      </c>
      <c r="G1639" s="4" t="inlineStr">
        <is>
          <t>Expense</t>
        </is>
      </c>
      <c r="H1639" s="12" t="n">
        <v>46020</v>
      </c>
      <c r="I1639" s="13" t="n">
        <v>0.1451851851851852</v>
      </c>
      <c r="J1639" s="14" t="n">
        <v>46020.14518518518</v>
      </c>
      <c r="K1639" s="15" t="n">
        <v>6057.04</v>
      </c>
      <c r="L1639" s="4" t="inlineStr">
        <is>
          <t>INR</t>
        </is>
      </c>
      <c r="M1639" s="15" t="n">
        <v>-6057.04</v>
      </c>
      <c r="N1639" s="4" t="inlineStr">
        <is>
          <t>IOS Owner</t>
        </is>
      </c>
      <c r="O1639" s="4" t="n"/>
      <c r="P1639" s="4" t="n"/>
      <c r="Q1639" s="4" t="inlineStr">
        <is>
          <t>MAESTRO-IOS-BUSINESS-BUSINESS_OPERATIONS-1638 | Tax | 6057.04</t>
        </is>
      </c>
      <c r="R1639" s="4" t="inlineStr">
        <is>
          <t>iPhone</t>
        </is>
      </c>
      <c r="S1639" s="4" t="inlineStr">
        <is>
          <t>B33</t>
        </is>
      </c>
      <c r="T1639" s="4" t="inlineStr">
        <is>
          <t>RAMP_1501_2500</t>
        </is>
      </c>
      <c r="U1639" s="4" t="inlineStr">
        <is>
          <t>CREATED</t>
        </is>
      </c>
      <c r="V1639" s="4" t="inlineStr">
        <is>
          <t>idem-20260902-ios-1638</t>
        </is>
      </c>
    </row>
    <row r="1640" ht="30" customHeight="1">
      <c r="A1640" s="4" t="n">
        <v>1639</v>
      </c>
      <c r="B1640" s="4" t="inlineStr">
        <is>
          <t>MTR-IOS-1639</t>
        </is>
      </c>
      <c r="C1640" s="4" t="inlineStr">
        <is>
          <t>Personal</t>
        </is>
      </c>
      <c r="D1640" s="4" t="inlineStr">
        <is>
          <t>Personal</t>
        </is>
      </c>
      <c r="E1640" s="4" t="inlineStr">
        <is>
          <t>Lifestyle</t>
        </is>
      </c>
      <c r="F1640" s="4" t="inlineStr">
        <is>
          <t>Hobbies</t>
        </is>
      </c>
      <c r="G1640" s="4" t="inlineStr">
        <is>
          <t>Expense</t>
        </is>
      </c>
      <c r="H1640" s="12" t="n">
        <v>46030</v>
      </c>
      <c r="I1640" s="13" t="n">
        <v>0.7140393518518519</v>
      </c>
      <c r="J1640" s="14" t="n">
        <v>46030.71403935185</v>
      </c>
      <c r="K1640" s="15" t="n">
        <v>5407.78</v>
      </c>
      <c r="L1640" s="4" t="inlineStr">
        <is>
          <t>INR</t>
        </is>
      </c>
      <c r="M1640" s="15" t="n">
        <v>-5407.78</v>
      </c>
      <c r="N1640" s="4" t="inlineStr">
        <is>
          <t>IOS Owner</t>
        </is>
      </c>
      <c r="O1640" s="4" t="n"/>
      <c r="P1640" s="4" t="n"/>
      <c r="Q1640" s="4" t="inlineStr">
        <is>
          <t>MAESTRO-IOS-PERSONAL-LIFESTYLE-1639 | Hobbies | 5407.78</t>
        </is>
      </c>
      <c r="R1640" s="4" t="inlineStr">
        <is>
          <t>iPhone</t>
        </is>
      </c>
      <c r="S1640" s="4" t="inlineStr">
        <is>
          <t>B33</t>
        </is>
      </c>
      <c r="T1640" s="4" t="inlineStr">
        <is>
          <t>RAMP_1501_2500</t>
        </is>
      </c>
      <c r="U1640" s="4" t="inlineStr">
        <is>
          <t>CREATED</t>
        </is>
      </c>
      <c r="V1640" s="4" t="inlineStr">
        <is>
          <t>idem-20260902-ios-1639</t>
        </is>
      </c>
    </row>
    <row r="1641" ht="30" customHeight="1">
      <c r="A1641" s="4" t="n">
        <v>1640</v>
      </c>
      <c r="B1641" s="4" t="inlineStr">
        <is>
          <t>MTR-IOS-1640</t>
        </is>
      </c>
      <c r="C1641" s="4" t="inlineStr">
        <is>
          <t>Group</t>
        </is>
      </c>
      <c r="D1641" s="4" t="inlineStr">
        <is>
          <t>Shared Purchase</t>
        </is>
      </c>
      <c r="E1641" s="4" t="inlineStr">
        <is>
          <t>Gift Pool</t>
        </is>
      </c>
      <c r="F1641" s="4" t="inlineStr">
        <is>
          <t>Contribution</t>
        </is>
      </c>
      <c r="G1641" s="4" t="inlineStr">
        <is>
          <t>Contribution</t>
        </is>
      </c>
      <c r="H1641" s="12" t="n">
        <v>45945</v>
      </c>
      <c r="I1641" s="13" t="n">
        <v>0.007349537037037037</v>
      </c>
      <c r="J1641" s="14" t="n">
        <v>45945.00734953704</v>
      </c>
      <c r="K1641" s="15" t="n">
        <v>19280.27</v>
      </c>
      <c r="L1641" s="4" t="inlineStr">
        <is>
          <t>INR</t>
        </is>
      </c>
      <c r="M1641" s="15" t="n">
        <v>19280.27</v>
      </c>
      <c r="N1641" s="4" t="inlineStr">
        <is>
          <t>IOS Owner</t>
        </is>
      </c>
      <c r="O1641" s="4" t="n">
        <v>3</v>
      </c>
      <c r="P1641" s="4" t="inlineStr">
        <is>
          <t>EXACT</t>
        </is>
      </c>
      <c r="Q1641" s="4" t="inlineStr">
        <is>
          <t>MAESTRO-IOS-GROUP-GIFT_POOL-1640 | Contribution | 19280.27</t>
        </is>
      </c>
      <c r="R1641" s="4" t="inlineStr">
        <is>
          <t>iPhone</t>
        </is>
      </c>
      <c r="S1641" s="4" t="inlineStr">
        <is>
          <t>B33</t>
        </is>
      </c>
      <c r="T1641" s="4" t="inlineStr">
        <is>
          <t>RAMP_1501_2500</t>
        </is>
      </c>
      <c r="U1641" s="4" t="inlineStr">
        <is>
          <t>CREATED</t>
        </is>
      </c>
      <c r="V1641" s="4" t="inlineStr">
        <is>
          <t>idem-20260902-ios-1640</t>
        </is>
      </c>
    </row>
    <row r="1642" ht="30" customHeight="1">
      <c r="A1642" s="4" t="n">
        <v>1641</v>
      </c>
      <c r="B1642" s="4" t="inlineStr">
        <is>
          <t>MTR-IOS-1641</t>
        </is>
      </c>
      <c r="C1642" s="4" t="inlineStr">
        <is>
          <t>Business</t>
        </is>
      </c>
      <c r="D1642" s="4" t="inlineStr">
        <is>
          <t>Business</t>
        </is>
      </c>
      <c r="E1642" s="4" t="inlineStr">
        <is>
          <t>Team Operations</t>
        </is>
      </c>
      <c r="F1642" s="4" t="inlineStr">
        <is>
          <t>Payroll</t>
        </is>
      </c>
      <c r="G1642" s="4" t="inlineStr">
        <is>
          <t>Expense</t>
        </is>
      </c>
      <c r="H1642" s="12" t="n">
        <v>46234</v>
      </c>
      <c r="I1642" s="13" t="n">
        <v>0.9888310185185185</v>
      </c>
      <c r="J1642" s="14" t="n">
        <v>46234.98883101852</v>
      </c>
      <c r="K1642" s="15" t="n">
        <v>63959.82</v>
      </c>
      <c r="L1642" s="4" t="inlineStr">
        <is>
          <t>INR</t>
        </is>
      </c>
      <c r="M1642" s="15" t="n">
        <v>-63959.82</v>
      </c>
      <c r="N1642" s="4" t="inlineStr">
        <is>
          <t>IOS Owner</t>
        </is>
      </c>
      <c r="O1642" s="4" t="n"/>
      <c r="P1642" s="4" t="n"/>
      <c r="Q1642" s="4" t="inlineStr">
        <is>
          <t>MAESTRO-IOS-BUSINESS-TEAM_OPERATIONS-1641 | Payroll | 63959.82</t>
        </is>
      </c>
      <c r="R1642" s="4" t="inlineStr">
        <is>
          <t>iPhone</t>
        </is>
      </c>
      <c r="S1642" s="4" t="inlineStr">
        <is>
          <t>B33</t>
        </is>
      </c>
      <c r="T1642" s="4" t="inlineStr">
        <is>
          <t>RAMP_1501_2500</t>
        </is>
      </c>
      <c r="U1642" s="4" t="inlineStr">
        <is>
          <t>CREATED</t>
        </is>
      </c>
      <c r="V1642" s="4" t="inlineStr">
        <is>
          <t>idem-20260902-ios-1641</t>
        </is>
      </c>
    </row>
    <row r="1643" ht="30" customHeight="1">
      <c r="A1643" s="4" t="n">
        <v>1642</v>
      </c>
      <c r="B1643" s="4" t="inlineStr">
        <is>
          <t>MTR-IOS-1642</t>
        </is>
      </c>
      <c r="C1643" s="4" t="inlineStr">
        <is>
          <t>Personal</t>
        </is>
      </c>
      <c r="D1643" s="4" t="inlineStr">
        <is>
          <t>Personal</t>
        </is>
      </c>
      <c r="E1643" s="4" t="inlineStr">
        <is>
          <t>Relationships</t>
        </is>
      </c>
      <c r="F1643" s="4" t="inlineStr">
        <is>
          <t>Gifts</t>
        </is>
      </c>
      <c r="G1643" s="4" t="inlineStr">
        <is>
          <t>Expense</t>
        </is>
      </c>
      <c r="H1643" s="12" t="n">
        <v>46117</v>
      </c>
      <c r="I1643" s="13" t="n">
        <v>0.01435185185185185</v>
      </c>
      <c r="J1643" s="14" t="n">
        <v>46117.01435185185</v>
      </c>
      <c r="K1643" s="15" t="n">
        <v>1403.62</v>
      </c>
      <c r="L1643" s="4" t="inlineStr">
        <is>
          <t>INR</t>
        </is>
      </c>
      <c r="M1643" s="15" t="n">
        <v>-1403.62</v>
      </c>
      <c r="N1643" s="4" t="inlineStr">
        <is>
          <t>IOS Owner</t>
        </is>
      </c>
      <c r="O1643" s="4" t="n"/>
      <c r="P1643" s="4" t="n"/>
      <c r="Q1643" s="4" t="inlineStr">
        <is>
          <t>MAESTRO-IOS-PERSONAL-RELATIONSHIPS-1642 | Gifts | 1403.62</t>
        </is>
      </c>
      <c r="R1643" s="4" t="inlineStr">
        <is>
          <t>iPhone</t>
        </is>
      </c>
      <c r="S1643" s="4" t="inlineStr">
        <is>
          <t>B33</t>
        </is>
      </c>
      <c r="T1643" s="4" t="inlineStr">
        <is>
          <t>RAMP_1501_2500</t>
        </is>
      </c>
      <c r="U1643" s="4" t="inlineStr">
        <is>
          <t>CREATED</t>
        </is>
      </c>
      <c r="V1643" s="4" t="inlineStr">
        <is>
          <t>idem-20260902-ios-1642</t>
        </is>
      </c>
    </row>
    <row r="1644" ht="30" customHeight="1">
      <c r="A1644" s="4" t="n">
        <v>1643</v>
      </c>
      <c r="B1644" s="4" t="inlineStr">
        <is>
          <t>MTR-IOS-1643</t>
        </is>
      </c>
      <c r="C1644" s="4" t="inlineStr">
        <is>
          <t>Group</t>
        </is>
      </c>
      <c r="D1644" s="4" t="inlineStr">
        <is>
          <t>Shared Purchase</t>
        </is>
      </c>
      <c r="E1644" s="4" t="inlineStr">
        <is>
          <t>Gift Pool</t>
        </is>
      </c>
      <c r="F1644" s="4" t="inlineStr">
        <is>
          <t>Gift Purchase</t>
        </is>
      </c>
      <c r="G1644" s="4" t="inlineStr">
        <is>
          <t>Expense</t>
        </is>
      </c>
      <c r="H1644" s="12" t="n">
        <v>46246</v>
      </c>
      <c r="I1644" s="13" t="n">
        <v>0.770613425925926</v>
      </c>
      <c r="J1644" s="14" t="n">
        <v>46246.77061342593</v>
      </c>
      <c r="K1644" s="15" t="n">
        <v>1065.63</v>
      </c>
      <c r="L1644" s="4" t="inlineStr">
        <is>
          <t>INR</t>
        </is>
      </c>
      <c r="M1644" s="15" t="n">
        <v>-1065.63</v>
      </c>
      <c r="N1644" s="4" t="inlineStr">
        <is>
          <t>IOS Aarav</t>
        </is>
      </c>
      <c r="O1644" s="4" t="n">
        <v>3</v>
      </c>
      <c r="P1644" s="4" t="inlineStr">
        <is>
          <t>SHARES</t>
        </is>
      </c>
      <c r="Q1644" s="4" t="inlineStr">
        <is>
          <t>MAESTRO-IOS-GROUP-GIFT_POOL-1643 | Gift Purchase | 1065.63</t>
        </is>
      </c>
      <c r="R1644" s="4" t="inlineStr">
        <is>
          <t>iPhone</t>
        </is>
      </c>
      <c r="S1644" s="4" t="inlineStr">
        <is>
          <t>B33</t>
        </is>
      </c>
      <c r="T1644" s="4" t="inlineStr">
        <is>
          <t>RAMP_1501_2500</t>
        </is>
      </c>
      <c r="U1644" s="4" t="inlineStr">
        <is>
          <t>CREATED</t>
        </is>
      </c>
      <c r="V1644" s="4" t="inlineStr">
        <is>
          <t>idem-20260902-ios-1643</t>
        </is>
      </c>
    </row>
    <row r="1645" ht="30" customHeight="1">
      <c r="A1645" s="4" t="n">
        <v>1644</v>
      </c>
      <c r="B1645" s="4" t="inlineStr">
        <is>
          <t>MTR-IOS-1644</t>
        </is>
      </c>
      <c r="C1645" s="4" t="inlineStr">
        <is>
          <t>Business</t>
        </is>
      </c>
      <c r="D1645" s="4" t="inlineStr">
        <is>
          <t>Business</t>
        </is>
      </c>
      <c r="E1645" s="4" t="inlineStr">
        <is>
          <t>Team Operations</t>
        </is>
      </c>
      <c r="F1645" s="4" t="inlineStr">
        <is>
          <t>Contractor</t>
        </is>
      </c>
      <c r="G1645" s="4" t="inlineStr">
        <is>
          <t>Expense</t>
        </is>
      </c>
      <c r="H1645" s="12" t="n">
        <v>46105</v>
      </c>
      <c r="I1645" s="13" t="n">
        <v>0.8353587962962963</v>
      </c>
      <c r="J1645" s="14" t="n">
        <v>46105.8353587963</v>
      </c>
      <c r="K1645" s="15" t="n">
        <v>123043.97</v>
      </c>
      <c r="L1645" s="4" t="inlineStr">
        <is>
          <t>INR</t>
        </is>
      </c>
      <c r="M1645" s="15" t="n">
        <v>-123043.97</v>
      </c>
      <c r="N1645" s="4" t="inlineStr">
        <is>
          <t>IOS Owner</t>
        </is>
      </c>
      <c r="O1645" s="4" t="n"/>
      <c r="P1645" s="4" t="n"/>
      <c r="Q1645" s="4" t="inlineStr">
        <is>
          <t>MAESTRO-IOS-BUSINESS-TEAM_OPERATIONS-1644 | Contractor | 123043.97</t>
        </is>
      </c>
      <c r="R1645" s="4" t="inlineStr">
        <is>
          <t>iPhone</t>
        </is>
      </c>
      <c r="S1645" s="4" t="inlineStr">
        <is>
          <t>B33</t>
        </is>
      </c>
      <c r="T1645" s="4" t="inlineStr">
        <is>
          <t>RAMP_1501_2500</t>
        </is>
      </c>
      <c r="U1645" s="4" t="inlineStr">
        <is>
          <t>CREATED</t>
        </is>
      </c>
      <c r="V1645" s="4" t="inlineStr">
        <is>
          <t>idem-20260902-ios-1644</t>
        </is>
      </c>
    </row>
    <row r="1646" ht="30" customHeight="1">
      <c r="A1646" s="4" t="n">
        <v>1645</v>
      </c>
      <c r="B1646" s="4" t="inlineStr">
        <is>
          <t>MTR-IOS-1645</t>
        </is>
      </c>
      <c r="C1646" s="4" t="inlineStr">
        <is>
          <t>Personal</t>
        </is>
      </c>
      <c r="D1646" s="4" t="inlineStr">
        <is>
          <t>Personal</t>
        </is>
      </c>
      <c r="E1646" s="4" t="inlineStr">
        <is>
          <t>Relationships</t>
        </is>
      </c>
      <c r="F1646" s="4" t="inlineStr">
        <is>
          <t>Dates</t>
        </is>
      </c>
      <c r="G1646" s="4" t="inlineStr">
        <is>
          <t>Expense</t>
        </is>
      </c>
      <c r="H1646" s="12" t="n">
        <v>45919</v>
      </c>
      <c r="I1646" s="13" t="n">
        <v>0.1349884259259259</v>
      </c>
      <c r="J1646" s="14" t="n">
        <v>45919.13498842593</v>
      </c>
      <c r="K1646" s="15" t="n">
        <v>16912.75</v>
      </c>
      <c r="L1646" s="4" t="inlineStr">
        <is>
          <t>INR</t>
        </is>
      </c>
      <c r="M1646" s="15" t="n">
        <v>-16912.75</v>
      </c>
      <c r="N1646" s="4" t="inlineStr">
        <is>
          <t>IOS Owner</t>
        </is>
      </c>
      <c r="O1646" s="4" t="n"/>
      <c r="P1646" s="4" t="n"/>
      <c r="Q1646" s="4" t="inlineStr">
        <is>
          <t>MAESTRO-IOS-PERSONAL-RELATIONSHIPS-1645 | Dates | 16912.75</t>
        </is>
      </c>
      <c r="R1646" s="4" t="inlineStr">
        <is>
          <t>iPhone</t>
        </is>
      </c>
      <c r="S1646" s="4" t="inlineStr">
        <is>
          <t>B33</t>
        </is>
      </c>
      <c r="T1646" s="4" t="inlineStr">
        <is>
          <t>RAMP_1501_2500</t>
        </is>
      </c>
      <c r="U1646" s="4" t="inlineStr">
        <is>
          <t>CREATED</t>
        </is>
      </c>
      <c r="V1646" s="4" t="inlineStr">
        <is>
          <t>idem-20260902-ios-1645</t>
        </is>
      </c>
    </row>
    <row r="1647" ht="30" customHeight="1">
      <c r="A1647" s="4" t="n">
        <v>1646</v>
      </c>
      <c r="B1647" s="4" t="inlineStr">
        <is>
          <t>MTR-IOS-1646</t>
        </is>
      </c>
      <c r="C1647" s="4" t="inlineStr">
        <is>
          <t>Group</t>
        </is>
      </c>
      <c r="D1647" s="4" t="inlineStr">
        <is>
          <t>Shared Purchase</t>
        </is>
      </c>
      <c r="E1647" s="4" t="inlineStr">
        <is>
          <t>Gift Pool</t>
        </is>
      </c>
      <c r="F1647" s="4" t="inlineStr">
        <is>
          <t>Delivery</t>
        </is>
      </c>
      <c r="G1647" s="4" t="inlineStr">
        <is>
          <t>Expense</t>
        </is>
      </c>
      <c r="H1647" s="12" t="n">
        <v>46030</v>
      </c>
      <c r="I1647" s="13" t="n">
        <v>0.01711805555555556</v>
      </c>
      <c r="J1647" s="14" t="n">
        <v>46030.01711805556</v>
      </c>
      <c r="K1647" s="15" t="n">
        <v>15815.5</v>
      </c>
      <c r="L1647" s="4" t="inlineStr">
        <is>
          <t>INR</t>
        </is>
      </c>
      <c r="M1647" s="15" t="n">
        <v>-15815.5</v>
      </c>
      <c r="N1647" s="4" t="inlineStr">
        <is>
          <t>IOS Meera</t>
        </is>
      </c>
      <c r="O1647" s="4" t="n">
        <v>3</v>
      </c>
      <c r="P1647" s="4" t="inlineStr">
        <is>
          <t>EQUAL</t>
        </is>
      </c>
      <c r="Q1647" s="4" t="inlineStr">
        <is>
          <t>MAESTRO-IOS-GROUP-GIFT_POOL-1646 | Delivery | 15815.50</t>
        </is>
      </c>
      <c r="R1647" s="4" t="inlineStr">
        <is>
          <t>iPhone</t>
        </is>
      </c>
      <c r="S1647" s="4" t="inlineStr">
        <is>
          <t>B33</t>
        </is>
      </c>
      <c r="T1647" s="4" t="inlineStr">
        <is>
          <t>RAMP_1501_2500</t>
        </is>
      </c>
      <c r="U1647" s="4" t="inlineStr">
        <is>
          <t>CREATED</t>
        </is>
      </c>
      <c r="V1647" s="4" t="inlineStr">
        <is>
          <t>idem-20260902-ios-1646</t>
        </is>
      </c>
    </row>
    <row r="1648" ht="30" customHeight="1">
      <c r="A1648" s="4" t="n">
        <v>1647</v>
      </c>
      <c r="B1648" s="4" t="inlineStr">
        <is>
          <t>MTR-IOS-1647</t>
        </is>
      </c>
      <c r="C1648" s="4" t="inlineStr">
        <is>
          <t>Business</t>
        </is>
      </c>
      <c r="D1648" s="4" t="inlineStr">
        <is>
          <t>Business</t>
        </is>
      </c>
      <c r="E1648" s="4" t="inlineStr">
        <is>
          <t>Team Operations</t>
        </is>
      </c>
      <c r="F1648" s="4" t="inlineStr">
        <is>
          <t>Hiring</t>
        </is>
      </c>
      <c r="G1648" s="4" t="inlineStr">
        <is>
          <t>Expense</t>
        </is>
      </c>
      <c r="H1648" s="12" t="n">
        <v>46048</v>
      </c>
      <c r="I1648" s="13" t="n">
        <v>0.3068402777777778</v>
      </c>
      <c r="J1648" s="14" t="n">
        <v>46048.30684027778</v>
      </c>
      <c r="K1648" s="15" t="n">
        <v>163110.79</v>
      </c>
      <c r="L1648" s="4" t="inlineStr">
        <is>
          <t>INR</t>
        </is>
      </c>
      <c r="M1648" s="15" t="n">
        <v>-163110.79</v>
      </c>
      <c r="N1648" s="4" t="inlineStr">
        <is>
          <t>IOS Owner</t>
        </is>
      </c>
      <c r="O1648" s="4" t="n"/>
      <c r="P1648" s="4" t="n"/>
      <c r="Q1648" s="4" t="inlineStr">
        <is>
          <t>MAESTRO-IOS-BUSINESS-TEAM_OPERATIONS-1647 | Hiring | 163110.79</t>
        </is>
      </c>
      <c r="R1648" s="4" t="inlineStr">
        <is>
          <t>iPhone</t>
        </is>
      </c>
      <c r="S1648" s="4" t="inlineStr">
        <is>
          <t>B33</t>
        </is>
      </c>
      <c r="T1648" s="4" t="inlineStr">
        <is>
          <t>RAMP_1501_2500</t>
        </is>
      </c>
      <c r="U1648" s="4" t="inlineStr">
        <is>
          <t>CREATED</t>
        </is>
      </c>
      <c r="V1648" s="4" t="inlineStr">
        <is>
          <t>idem-20260902-ios-1647</t>
        </is>
      </c>
    </row>
    <row r="1649" ht="30" customHeight="1">
      <c r="A1649" s="4" t="n">
        <v>1648</v>
      </c>
      <c r="B1649" s="4" t="inlineStr">
        <is>
          <t>MTR-IOS-1648</t>
        </is>
      </c>
      <c r="C1649" s="4" t="inlineStr">
        <is>
          <t>Personal</t>
        </is>
      </c>
      <c r="D1649" s="4" t="inlineStr">
        <is>
          <t>Personal</t>
        </is>
      </c>
      <c r="E1649" s="4" t="inlineStr">
        <is>
          <t>Relationships</t>
        </is>
      </c>
      <c r="F1649" s="4" t="inlineStr">
        <is>
          <t>Family</t>
        </is>
      </c>
      <c r="G1649" s="4" t="inlineStr">
        <is>
          <t>Expense</t>
        </is>
      </c>
      <c r="H1649" s="12" t="n">
        <v>46188</v>
      </c>
      <c r="I1649" s="13" t="n">
        <v>0.8911458333333333</v>
      </c>
      <c r="J1649" s="14" t="n">
        <v>46188.89114583333</v>
      </c>
      <c r="K1649" s="15" t="n">
        <v>10121.45</v>
      </c>
      <c r="L1649" s="4" t="inlineStr">
        <is>
          <t>INR</t>
        </is>
      </c>
      <c r="M1649" s="15" t="n">
        <v>-10121.45</v>
      </c>
      <c r="N1649" s="4" t="inlineStr">
        <is>
          <t>IOS Owner</t>
        </is>
      </c>
      <c r="O1649" s="4" t="n"/>
      <c r="P1649" s="4" t="n"/>
      <c r="Q1649" s="4" t="inlineStr">
        <is>
          <t>MAESTRO-IOS-PERSONAL-RELATIONSHIPS-1648 | Family | 10121.45</t>
        </is>
      </c>
      <c r="R1649" s="4" t="inlineStr">
        <is>
          <t>iPhone</t>
        </is>
      </c>
      <c r="S1649" s="4" t="inlineStr">
        <is>
          <t>B33</t>
        </is>
      </c>
      <c r="T1649" s="4" t="inlineStr">
        <is>
          <t>RAMP_1501_2500</t>
        </is>
      </c>
      <c r="U1649" s="4" t="inlineStr">
        <is>
          <t>CREATED</t>
        </is>
      </c>
      <c r="V1649" s="4" t="inlineStr">
        <is>
          <t>idem-20260902-ios-1648</t>
        </is>
      </c>
    </row>
    <row r="1650" ht="30" customHeight="1">
      <c r="A1650" s="4" t="n">
        <v>1649</v>
      </c>
      <c r="B1650" s="4" t="inlineStr">
        <is>
          <t>MTR-IOS-1649</t>
        </is>
      </c>
      <c r="C1650" s="4" t="inlineStr">
        <is>
          <t>Group</t>
        </is>
      </c>
      <c r="D1650" s="4" t="inlineStr">
        <is>
          <t>Shared Purchase</t>
        </is>
      </c>
      <c r="E1650" s="4" t="inlineStr">
        <is>
          <t>Gift Pool</t>
        </is>
      </c>
      <c r="F1650" s="4" t="inlineStr">
        <is>
          <t>Other</t>
        </is>
      </c>
      <c r="G1650" s="4" t="inlineStr">
        <is>
          <t>Expense</t>
        </is>
      </c>
      <c r="H1650" s="12" t="n">
        <v>46183</v>
      </c>
      <c r="I1650" s="13" t="n">
        <v>0.2438078703703704</v>
      </c>
      <c r="J1650" s="14" t="n">
        <v>46183.24380787037</v>
      </c>
      <c r="K1650" s="15" t="n">
        <v>13329.01</v>
      </c>
      <c r="L1650" s="4" t="inlineStr">
        <is>
          <t>INR</t>
        </is>
      </c>
      <c r="M1650" s="15" t="n">
        <v>-13329.01</v>
      </c>
      <c r="N1650" s="4" t="inlineStr">
        <is>
          <t>IOS Owner</t>
        </is>
      </c>
      <c r="O1650" s="4" t="n">
        <v>3</v>
      </c>
      <c r="P1650" s="4" t="inlineStr">
        <is>
          <t>PERCENTAGE</t>
        </is>
      </c>
      <c r="Q1650" s="4" t="inlineStr">
        <is>
          <t>MAESTRO-IOS-GROUP-GIFT_POOL-1649 | Other | 13329.01</t>
        </is>
      </c>
      <c r="R1650" s="4" t="inlineStr">
        <is>
          <t>iPhone</t>
        </is>
      </c>
      <c r="S1650" s="4" t="inlineStr">
        <is>
          <t>B33</t>
        </is>
      </c>
      <c r="T1650" s="4" t="inlineStr">
        <is>
          <t>RAMP_1501_2500</t>
        </is>
      </c>
      <c r="U1650" s="4" t="inlineStr">
        <is>
          <t>CREATED</t>
        </is>
      </c>
      <c r="V1650" s="4" t="inlineStr">
        <is>
          <t>idem-20260902-ios-1649</t>
        </is>
      </c>
    </row>
    <row r="1651" ht="30" customHeight="1">
      <c r="A1651" s="4" t="n">
        <v>1650</v>
      </c>
      <c r="B1651" s="4" t="inlineStr">
        <is>
          <t>MTR-IOS-1650</t>
        </is>
      </c>
      <c r="C1651" s="4" t="inlineStr">
        <is>
          <t>Business</t>
        </is>
      </c>
      <c r="D1651" s="4" t="inlineStr">
        <is>
          <t>Business</t>
        </is>
      </c>
      <c r="E1651" s="4" t="inlineStr">
        <is>
          <t>Team Operations</t>
        </is>
      </c>
      <c r="F1651" s="4" t="inlineStr">
        <is>
          <t>Team Meal</t>
        </is>
      </c>
      <c r="G1651" s="4" t="inlineStr">
        <is>
          <t>Expense</t>
        </is>
      </c>
      <c r="H1651" s="12" t="n">
        <v>46214</v>
      </c>
      <c r="I1651" s="13" t="n">
        <v>0.2078240740740741</v>
      </c>
      <c r="J1651" s="14" t="n">
        <v>46214.20782407407</v>
      </c>
      <c r="K1651" s="15" t="n">
        <v>146969.73</v>
      </c>
      <c r="L1651" s="4" t="inlineStr">
        <is>
          <t>INR</t>
        </is>
      </c>
      <c r="M1651" s="15" t="n">
        <v>-146969.73</v>
      </c>
      <c r="N1651" s="4" t="inlineStr">
        <is>
          <t>IOS Owner</t>
        </is>
      </c>
      <c r="O1651" s="4" t="n"/>
      <c r="P1651" s="4" t="n"/>
      <c r="Q1651" s="4" t="inlineStr">
        <is>
          <t>MAESTRO-IOS-BUSINESS-TEAM_OPERATIONS-1650 | Team Meal | 146969.73</t>
        </is>
      </c>
      <c r="R1651" s="4" t="inlineStr">
        <is>
          <t>iPhone</t>
        </is>
      </c>
      <c r="S1651" s="4" t="inlineStr">
        <is>
          <t>B33</t>
        </is>
      </c>
      <c r="T1651" s="4" t="inlineStr">
        <is>
          <t>RAMP_1501_2500</t>
        </is>
      </c>
      <c r="U1651" s="4" t="inlineStr">
        <is>
          <t>CREATED</t>
        </is>
      </c>
      <c r="V1651" s="4" t="inlineStr">
        <is>
          <t>idem-20260902-ios-1650</t>
        </is>
      </c>
    </row>
    <row r="1652" ht="30" customHeight="1">
      <c r="A1652" s="4" t="n">
        <v>1651</v>
      </c>
      <c r="B1652" s="4" t="inlineStr">
        <is>
          <t>MTR-IOS-1651</t>
        </is>
      </c>
      <c r="C1652" s="4" t="inlineStr">
        <is>
          <t>Personal</t>
        </is>
      </c>
      <c r="D1652" s="4" t="inlineStr">
        <is>
          <t>Personal</t>
        </is>
      </c>
      <c r="E1652" s="4" t="inlineStr">
        <is>
          <t>Relationships</t>
        </is>
      </c>
      <c r="F1652" s="4" t="inlineStr">
        <is>
          <t>Friends</t>
        </is>
      </c>
      <c r="G1652" s="4" t="inlineStr">
        <is>
          <t>Expense</t>
        </is>
      </c>
      <c r="H1652" s="12" t="n">
        <v>46060</v>
      </c>
      <c r="I1652" s="13" t="n">
        <v>0.4262384259259259</v>
      </c>
      <c r="J1652" s="14" t="n">
        <v>46060.42623842593</v>
      </c>
      <c r="K1652" s="15" t="n">
        <v>12701.95</v>
      </c>
      <c r="L1652" s="4" t="inlineStr">
        <is>
          <t>INR</t>
        </is>
      </c>
      <c r="M1652" s="15" t="n">
        <v>-12701.95</v>
      </c>
      <c r="N1652" s="4" t="inlineStr">
        <is>
          <t>IOS Owner</t>
        </is>
      </c>
      <c r="O1652" s="4" t="n"/>
      <c r="P1652" s="4" t="n"/>
      <c r="Q1652" s="4" t="inlineStr">
        <is>
          <t>MAESTRO-IOS-PERSONAL-RELATIONSHIPS-1651 | Friends | 12701.95</t>
        </is>
      </c>
      <c r="R1652" s="4" t="inlineStr">
        <is>
          <t>iPhone</t>
        </is>
      </c>
      <c r="S1652" s="4" t="inlineStr">
        <is>
          <t>B34</t>
        </is>
      </c>
      <c r="T1652" s="4" t="inlineStr">
        <is>
          <t>RAMP_1501_2500</t>
        </is>
      </c>
      <c r="U1652" s="4" t="inlineStr">
        <is>
          <t>CREATED</t>
        </is>
      </c>
      <c r="V1652" s="4" t="inlineStr">
        <is>
          <t>idem-20260902-ios-1651</t>
        </is>
      </c>
    </row>
    <row r="1653" ht="30" customHeight="1">
      <c r="A1653" s="4" t="n">
        <v>1652</v>
      </c>
      <c r="B1653" s="4" t="inlineStr">
        <is>
          <t>MTR-IOS-1652</t>
        </is>
      </c>
      <c r="C1653" s="4" t="inlineStr">
        <is>
          <t>Group</t>
        </is>
      </c>
      <c r="D1653" s="4" t="inlineStr">
        <is>
          <t>Shared Purchase</t>
        </is>
      </c>
      <c r="E1653" s="4" t="inlineStr">
        <is>
          <t>Purchase</t>
        </is>
      </c>
      <c r="F1653" s="4" t="inlineStr">
        <is>
          <t>Item</t>
        </is>
      </c>
      <c r="G1653" s="4" t="inlineStr">
        <is>
          <t>Expense</t>
        </is>
      </c>
      <c r="H1653" s="12" t="n">
        <v>46005</v>
      </c>
      <c r="I1653" s="13" t="n">
        <v>0.03395833333333333</v>
      </c>
      <c r="J1653" s="14" t="n">
        <v>46005.03395833333</v>
      </c>
      <c r="K1653" s="15" t="n">
        <v>22932.93</v>
      </c>
      <c r="L1653" s="4" t="inlineStr">
        <is>
          <t>INR</t>
        </is>
      </c>
      <c r="M1653" s="15" t="n">
        <v>-22932.93</v>
      </c>
      <c r="N1653" s="4" t="inlineStr">
        <is>
          <t>IOS Aarav</t>
        </is>
      </c>
      <c r="O1653" s="4" t="n">
        <v>3</v>
      </c>
      <c r="P1653" s="4" t="inlineStr">
        <is>
          <t>EXACT</t>
        </is>
      </c>
      <c r="Q1653" s="4" t="inlineStr">
        <is>
          <t>MAESTRO-IOS-GROUP-PURCHASE-1652 | Item | 22932.93</t>
        </is>
      </c>
      <c r="R1653" s="4" t="inlineStr">
        <is>
          <t>iPhone</t>
        </is>
      </c>
      <c r="S1653" s="4" t="inlineStr">
        <is>
          <t>B34</t>
        </is>
      </c>
      <c r="T1653" s="4" t="inlineStr">
        <is>
          <t>RAMP_1501_2500</t>
        </is>
      </c>
      <c r="U1653" s="4" t="inlineStr">
        <is>
          <t>CREATED</t>
        </is>
      </c>
      <c r="V1653" s="4" t="inlineStr">
        <is>
          <t>idem-20260902-ios-1652</t>
        </is>
      </c>
    </row>
    <row r="1654" ht="30" customHeight="1">
      <c r="A1654" s="4" t="n">
        <v>1653</v>
      </c>
      <c r="B1654" s="4" t="inlineStr">
        <is>
          <t>MTR-IOS-1653</t>
        </is>
      </c>
      <c r="C1654" s="4" t="inlineStr">
        <is>
          <t>Business</t>
        </is>
      </c>
      <c r="D1654" s="4" t="inlineStr">
        <is>
          <t>Business</t>
        </is>
      </c>
      <c r="E1654" s="4" t="inlineStr">
        <is>
          <t>Team Operations</t>
        </is>
      </c>
      <c r="F1654" s="4" t="inlineStr">
        <is>
          <t>Travel</t>
        </is>
      </c>
      <c r="G1654" s="4" t="inlineStr">
        <is>
          <t>Expense</t>
        </is>
      </c>
      <c r="H1654" s="12" t="n">
        <v>46184</v>
      </c>
      <c r="I1654" s="13" t="n">
        <v>0.6763425925925926</v>
      </c>
      <c r="J1654" s="14" t="n">
        <v>46184.67634259259</v>
      </c>
      <c r="K1654" s="15" t="n">
        <v>4994.08</v>
      </c>
      <c r="L1654" s="4" t="inlineStr">
        <is>
          <t>INR</t>
        </is>
      </c>
      <c r="M1654" s="15" t="n">
        <v>-4994.08</v>
      </c>
      <c r="N1654" s="4" t="inlineStr">
        <is>
          <t>IOS Owner</t>
        </is>
      </c>
      <c r="O1654" s="4" t="n"/>
      <c r="P1654" s="4" t="n"/>
      <c r="Q1654" s="4" t="inlineStr">
        <is>
          <t>MAESTRO-IOS-BUSINESS-TEAM_OPERATIONS-1653 | Travel | 4994.08</t>
        </is>
      </c>
      <c r="R1654" s="4" t="inlineStr">
        <is>
          <t>iPhone</t>
        </is>
      </c>
      <c r="S1654" s="4" t="inlineStr">
        <is>
          <t>B34</t>
        </is>
      </c>
      <c r="T1654" s="4" t="inlineStr">
        <is>
          <t>RAMP_1501_2500</t>
        </is>
      </c>
      <c r="U1654" s="4" t="inlineStr">
        <is>
          <t>CREATED</t>
        </is>
      </c>
      <c r="V1654" s="4" t="inlineStr">
        <is>
          <t>idem-20260902-ios-1653</t>
        </is>
      </c>
    </row>
    <row r="1655" ht="30" customHeight="1">
      <c r="A1655" s="4" t="n">
        <v>1654</v>
      </c>
      <c r="B1655" s="4" t="inlineStr">
        <is>
          <t>MTR-IOS-1654</t>
        </is>
      </c>
      <c r="C1655" s="4" t="inlineStr">
        <is>
          <t>Personal</t>
        </is>
      </c>
      <c r="D1655" s="4" t="inlineStr">
        <is>
          <t>Personal</t>
        </is>
      </c>
      <c r="E1655" s="4" t="inlineStr">
        <is>
          <t>Relationships</t>
        </is>
      </c>
      <c r="F1655" s="4" t="inlineStr">
        <is>
          <t>Celebrations</t>
        </is>
      </c>
      <c r="G1655" s="4" t="inlineStr">
        <is>
          <t>Expense</t>
        </is>
      </c>
      <c r="H1655" s="12" t="n">
        <v>46265</v>
      </c>
      <c r="I1655" s="13" t="n">
        <v>0.5067708333333333</v>
      </c>
      <c r="J1655" s="14" t="n">
        <v>46265.50677083333</v>
      </c>
      <c r="K1655" s="15" t="n">
        <v>8134.02</v>
      </c>
      <c r="L1655" s="4" t="inlineStr">
        <is>
          <t>INR</t>
        </is>
      </c>
      <c r="M1655" s="15" t="n">
        <v>-8134.02</v>
      </c>
      <c r="N1655" s="4" t="inlineStr">
        <is>
          <t>IOS Owner</t>
        </is>
      </c>
      <c r="O1655" s="4" t="n"/>
      <c r="P1655" s="4" t="n"/>
      <c r="Q1655" s="4" t="inlineStr">
        <is>
          <t>MAESTRO-IOS-PERSONAL-RELATIONSHIPS-1654 | Celebrations | 8134.02</t>
        </is>
      </c>
      <c r="R1655" s="4" t="inlineStr">
        <is>
          <t>iPhone</t>
        </is>
      </c>
      <c r="S1655" s="4" t="inlineStr">
        <is>
          <t>B34</t>
        </is>
      </c>
      <c r="T1655" s="4" t="inlineStr">
        <is>
          <t>RAMP_1501_2500</t>
        </is>
      </c>
      <c r="U1655" s="4" t="inlineStr">
        <is>
          <t>CREATED</t>
        </is>
      </c>
      <c r="V1655" s="4" t="inlineStr">
        <is>
          <t>idem-20260902-ios-1654</t>
        </is>
      </c>
    </row>
    <row r="1656" ht="30" customHeight="1">
      <c r="A1656" s="4" t="n">
        <v>1655</v>
      </c>
      <c r="B1656" s="4" t="inlineStr">
        <is>
          <t>MTR-IOS-1655</t>
        </is>
      </c>
      <c r="C1656" s="4" t="inlineStr">
        <is>
          <t>Group</t>
        </is>
      </c>
      <c r="D1656" s="4" t="inlineStr">
        <is>
          <t>Shared Purchase</t>
        </is>
      </c>
      <c r="E1656" s="4" t="inlineStr">
        <is>
          <t>Purchase</t>
        </is>
      </c>
      <c r="F1656" s="4" t="inlineStr">
        <is>
          <t>Shipping</t>
        </is>
      </c>
      <c r="G1656" s="4" t="inlineStr">
        <is>
          <t>Expense</t>
        </is>
      </c>
      <c r="H1656" s="12" t="n">
        <v>45954</v>
      </c>
      <c r="I1656" s="13" t="n">
        <v>0.1760069444444445</v>
      </c>
      <c r="J1656" s="14" t="n">
        <v>45954.17600694444</v>
      </c>
      <c r="K1656" s="15" t="n">
        <v>9343.57</v>
      </c>
      <c r="L1656" s="4" t="inlineStr">
        <is>
          <t>INR</t>
        </is>
      </c>
      <c r="M1656" s="15" t="n">
        <v>-9343.57</v>
      </c>
      <c r="N1656" s="4" t="inlineStr">
        <is>
          <t>IOS Meera</t>
        </is>
      </c>
      <c r="O1656" s="4" t="n">
        <v>3</v>
      </c>
      <c r="P1656" s="4" t="inlineStr">
        <is>
          <t>SHARES</t>
        </is>
      </c>
      <c r="Q1656" s="4" t="inlineStr">
        <is>
          <t>MAESTRO-IOS-GROUP-PURCHASE-1655 | Shipping | 9343.57</t>
        </is>
      </c>
      <c r="R1656" s="4" t="inlineStr">
        <is>
          <t>iPhone</t>
        </is>
      </c>
      <c r="S1656" s="4" t="inlineStr">
        <is>
          <t>B34</t>
        </is>
      </c>
      <c r="T1656" s="4" t="inlineStr">
        <is>
          <t>RAMP_1501_2500</t>
        </is>
      </c>
      <c r="U1656" s="4" t="inlineStr">
        <is>
          <t>CREATED</t>
        </is>
      </c>
      <c r="V1656" s="4" t="inlineStr">
        <is>
          <t>idem-20260902-ios-1655</t>
        </is>
      </c>
    </row>
    <row r="1657" ht="30" customHeight="1">
      <c r="A1657" s="4" t="n">
        <v>1656</v>
      </c>
      <c r="B1657" s="4" t="inlineStr">
        <is>
          <t>MTR-IOS-1656</t>
        </is>
      </c>
      <c r="C1657" s="4" t="inlineStr">
        <is>
          <t>Business</t>
        </is>
      </c>
      <c r="D1657" s="4" t="inlineStr">
        <is>
          <t>Business</t>
        </is>
      </c>
      <c r="E1657" s="4" t="inlineStr">
        <is>
          <t>Team Operations</t>
        </is>
      </c>
      <c r="F1657" s="4" t="inlineStr">
        <is>
          <t>Training</t>
        </is>
      </c>
      <c r="G1657" s="4" t="inlineStr">
        <is>
          <t>Expense</t>
        </is>
      </c>
      <c r="H1657" s="12" t="n">
        <v>46015</v>
      </c>
      <c r="I1657" s="13" t="n">
        <v>0.8155324074074074</v>
      </c>
      <c r="J1657" s="14" t="n">
        <v>46015.81553240741</v>
      </c>
      <c r="K1657" s="15" t="n">
        <v>63976.29</v>
      </c>
      <c r="L1657" s="4" t="inlineStr">
        <is>
          <t>INR</t>
        </is>
      </c>
      <c r="M1657" s="15" t="n">
        <v>-63976.29</v>
      </c>
      <c r="N1657" s="4" t="inlineStr">
        <is>
          <t>IOS Owner</t>
        </is>
      </c>
      <c r="O1657" s="4" t="n"/>
      <c r="P1657" s="4" t="n"/>
      <c r="Q1657" s="4" t="inlineStr">
        <is>
          <t>MAESTRO-IOS-BUSINESS-TEAM_OPERATIONS-1656 | Training | 63976.29</t>
        </is>
      </c>
      <c r="R1657" s="4" t="inlineStr">
        <is>
          <t>iPhone</t>
        </is>
      </c>
      <c r="S1657" s="4" t="inlineStr">
        <is>
          <t>B34</t>
        </is>
      </c>
      <c r="T1657" s="4" t="inlineStr">
        <is>
          <t>RAMP_1501_2500</t>
        </is>
      </c>
      <c r="U1657" s="4" t="inlineStr">
        <is>
          <t>CREATED</t>
        </is>
      </c>
      <c r="V1657" s="4" t="inlineStr">
        <is>
          <t>idem-20260902-ios-1656</t>
        </is>
      </c>
    </row>
    <row r="1658" ht="30" customHeight="1">
      <c r="A1658" s="4" t="n">
        <v>1657</v>
      </c>
      <c r="B1658" s="4" t="inlineStr">
        <is>
          <t>MTR-IOS-1657</t>
        </is>
      </c>
      <c r="C1658" s="4" t="inlineStr">
        <is>
          <t>Personal</t>
        </is>
      </c>
      <c r="D1658" s="4" t="inlineStr">
        <is>
          <t>Personal</t>
        </is>
      </c>
      <c r="E1658" s="4" t="inlineStr">
        <is>
          <t>Life Operations</t>
        </is>
      </c>
      <c r="F1658" s="4" t="inlineStr">
        <is>
          <t>Groceries</t>
        </is>
      </c>
      <c r="G1658" s="4" t="inlineStr">
        <is>
          <t>Expense</t>
        </is>
      </c>
      <c r="H1658" s="12" t="n">
        <v>46258</v>
      </c>
      <c r="I1658" s="13" t="n">
        <v>0.6599421296296296</v>
      </c>
      <c r="J1658" s="14" t="n">
        <v>46258.65994212963</v>
      </c>
      <c r="K1658" s="15" t="n">
        <v>1874.13</v>
      </c>
      <c r="L1658" s="4" t="inlineStr">
        <is>
          <t>INR</t>
        </is>
      </c>
      <c r="M1658" s="15" t="n">
        <v>-1874.13</v>
      </c>
      <c r="N1658" s="4" t="inlineStr">
        <is>
          <t>IOS Owner</t>
        </is>
      </c>
      <c r="O1658" s="4" t="n"/>
      <c r="P1658" s="4" t="n"/>
      <c r="Q1658" s="4" t="inlineStr">
        <is>
          <t>MAESTRO-IOS-PERSONAL-LIFE_OPERATIONS-1657 | Groceries | 1874.13</t>
        </is>
      </c>
      <c r="R1658" s="4" t="inlineStr">
        <is>
          <t>iPhone</t>
        </is>
      </c>
      <c r="S1658" s="4" t="inlineStr">
        <is>
          <t>B34</t>
        </is>
      </c>
      <c r="T1658" s="4" t="inlineStr">
        <is>
          <t>RAMP_1501_2500</t>
        </is>
      </c>
      <c r="U1658" s="4" t="inlineStr">
        <is>
          <t>CREATED</t>
        </is>
      </c>
      <c r="V1658" s="4" t="inlineStr">
        <is>
          <t>idem-20260902-ios-1657</t>
        </is>
      </c>
    </row>
    <row r="1659" ht="30" customHeight="1">
      <c r="A1659" s="4" t="n">
        <v>1658</v>
      </c>
      <c r="B1659" s="4" t="inlineStr">
        <is>
          <t>MTR-IOS-1658</t>
        </is>
      </c>
      <c r="C1659" s="4" t="inlineStr">
        <is>
          <t>Group</t>
        </is>
      </c>
      <c r="D1659" s="4" t="inlineStr">
        <is>
          <t>Shared Purchase</t>
        </is>
      </c>
      <c r="E1659" s="4" t="inlineStr">
        <is>
          <t>Purchase</t>
        </is>
      </c>
      <c r="F1659" s="4" t="inlineStr">
        <is>
          <t>Tax</t>
        </is>
      </c>
      <c r="G1659" s="4" t="inlineStr">
        <is>
          <t>Expense</t>
        </is>
      </c>
      <c r="H1659" s="12" t="n">
        <v>46124</v>
      </c>
      <c r="I1659" s="13" t="n">
        <v>0.2013425925925926</v>
      </c>
      <c r="J1659" s="14" t="n">
        <v>46124.20134259259</v>
      </c>
      <c r="K1659" s="15" t="n">
        <v>13900.64</v>
      </c>
      <c r="L1659" s="4" t="inlineStr">
        <is>
          <t>INR</t>
        </is>
      </c>
      <c r="M1659" s="15" t="n">
        <v>-13900.64</v>
      </c>
      <c r="N1659" s="4" t="inlineStr">
        <is>
          <t>IOS Owner</t>
        </is>
      </c>
      <c r="O1659" s="4" t="n">
        <v>3</v>
      </c>
      <c r="P1659" s="4" t="inlineStr">
        <is>
          <t>EQUAL</t>
        </is>
      </c>
      <c r="Q1659" s="4" t="inlineStr">
        <is>
          <t>MAESTRO-IOS-GROUP-PURCHASE-1658 | Tax | 13900.64</t>
        </is>
      </c>
      <c r="R1659" s="4" t="inlineStr">
        <is>
          <t>iPhone</t>
        </is>
      </c>
      <c r="S1659" s="4" t="inlineStr">
        <is>
          <t>B34</t>
        </is>
      </c>
      <c r="T1659" s="4" t="inlineStr">
        <is>
          <t>RAMP_1501_2500</t>
        </is>
      </c>
      <c r="U1659" s="4" t="inlineStr">
        <is>
          <t>CREATED</t>
        </is>
      </c>
      <c r="V1659" s="4" t="inlineStr">
        <is>
          <t>idem-20260902-ios-1658</t>
        </is>
      </c>
    </row>
    <row r="1660" ht="30" customHeight="1">
      <c r="A1660" s="4" t="n">
        <v>1659</v>
      </c>
      <c r="B1660" s="4" t="inlineStr">
        <is>
          <t>MTR-IOS-1659</t>
        </is>
      </c>
      <c r="C1660" s="4" t="inlineStr">
        <is>
          <t>Business</t>
        </is>
      </c>
      <c r="D1660" s="4" t="inlineStr">
        <is>
          <t>Business</t>
        </is>
      </c>
      <c r="E1660" s="4" t="inlineStr">
        <is>
          <t>Team Operations</t>
        </is>
      </c>
      <c r="F1660" s="4" t="inlineStr">
        <is>
          <t>Tools</t>
        </is>
      </c>
      <c r="G1660" s="4" t="inlineStr">
        <is>
          <t>Expense</t>
        </is>
      </c>
      <c r="H1660" s="12" t="n">
        <v>46182</v>
      </c>
      <c r="I1660" s="13" t="n">
        <v>0.485775462962963</v>
      </c>
      <c r="J1660" s="14" t="n">
        <v>46182.48577546296</v>
      </c>
      <c r="K1660" s="15" t="n">
        <v>44421.05</v>
      </c>
      <c r="L1660" s="4" t="inlineStr">
        <is>
          <t>INR</t>
        </is>
      </c>
      <c r="M1660" s="15" t="n">
        <v>-44421.05</v>
      </c>
      <c r="N1660" s="4" t="inlineStr">
        <is>
          <t>IOS Owner</t>
        </is>
      </c>
      <c r="O1660" s="4" t="n"/>
      <c r="P1660" s="4" t="n"/>
      <c r="Q1660" s="4" t="inlineStr">
        <is>
          <t>MAESTRO-IOS-BUSINESS-TEAM_OPERATIONS-1659 | Tools | 44421.05</t>
        </is>
      </c>
      <c r="R1660" s="4" t="inlineStr">
        <is>
          <t>iPhone</t>
        </is>
      </c>
      <c r="S1660" s="4" t="inlineStr">
        <is>
          <t>B34</t>
        </is>
      </c>
      <c r="T1660" s="4" t="inlineStr">
        <is>
          <t>RAMP_1501_2500</t>
        </is>
      </c>
      <c r="U1660" s="4" t="inlineStr">
        <is>
          <t>CREATED</t>
        </is>
      </c>
      <c r="V1660" s="4" t="inlineStr">
        <is>
          <t>idem-20260902-ios-1659</t>
        </is>
      </c>
    </row>
    <row r="1661" ht="30" customHeight="1">
      <c r="A1661" s="4" t="n">
        <v>1660</v>
      </c>
      <c r="B1661" s="4" t="inlineStr">
        <is>
          <t>MTR-IOS-1660</t>
        </is>
      </c>
      <c r="C1661" s="4" t="inlineStr">
        <is>
          <t>Personal</t>
        </is>
      </c>
      <c r="D1661" s="4" t="inlineStr">
        <is>
          <t>Personal</t>
        </is>
      </c>
      <c r="E1661" s="4" t="inlineStr">
        <is>
          <t>Life Operations</t>
        </is>
      </c>
      <c r="F1661" s="4" t="inlineStr">
        <is>
          <t>Rent</t>
        </is>
      </c>
      <c r="G1661" s="4" t="inlineStr">
        <is>
          <t>Expense</t>
        </is>
      </c>
      <c r="H1661" s="12" t="n">
        <v>46137</v>
      </c>
      <c r="I1661" s="13" t="n">
        <v>0.2129282407407407</v>
      </c>
      <c r="J1661" s="14" t="n">
        <v>46137.21292824074</v>
      </c>
      <c r="K1661" s="15" t="n">
        <v>7618.07</v>
      </c>
      <c r="L1661" s="4" t="inlineStr">
        <is>
          <t>INR</t>
        </is>
      </c>
      <c r="M1661" s="15" t="n">
        <v>-7618.07</v>
      </c>
      <c r="N1661" s="4" t="inlineStr">
        <is>
          <t>IOS Owner</t>
        </is>
      </c>
      <c r="O1661" s="4" t="n"/>
      <c r="P1661" s="4" t="n"/>
      <c r="Q1661" s="4" t="inlineStr">
        <is>
          <t>MAESTRO-IOS-PERSONAL-LIFE_OPERATIONS-1660 | Rent | 7618.07</t>
        </is>
      </c>
      <c r="R1661" s="4" t="inlineStr">
        <is>
          <t>iPhone</t>
        </is>
      </c>
      <c r="S1661" s="4" t="inlineStr">
        <is>
          <t>B34</t>
        </is>
      </c>
      <c r="T1661" s="4" t="inlineStr">
        <is>
          <t>RAMP_1501_2500</t>
        </is>
      </c>
      <c r="U1661" s="4" t="inlineStr">
        <is>
          <t>CREATED</t>
        </is>
      </c>
      <c r="V1661" s="4" t="inlineStr">
        <is>
          <t>idem-20260902-ios-1660</t>
        </is>
      </c>
    </row>
    <row r="1662" ht="30" customHeight="1">
      <c r="A1662" s="4" t="n">
        <v>1661</v>
      </c>
      <c r="B1662" s="4" t="inlineStr">
        <is>
          <t>MTR-IOS-1661</t>
        </is>
      </c>
      <c r="C1662" s="4" t="inlineStr">
        <is>
          <t>Group</t>
        </is>
      </c>
      <c r="D1662" s="4" t="inlineStr">
        <is>
          <t>Shared Purchase</t>
        </is>
      </c>
      <c r="E1662" s="4" t="inlineStr">
        <is>
          <t>Purchase</t>
        </is>
      </c>
      <c r="F1662" s="4" t="inlineStr">
        <is>
          <t>Other</t>
        </is>
      </c>
      <c r="G1662" s="4" t="inlineStr">
        <is>
          <t>Expense</t>
        </is>
      </c>
      <c r="H1662" s="12" t="n">
        <v>45965</v>
      </c>
      <c r="I1662" s="13" t="n">
        <v>0.6806018518518518</v>
      </c>
      <c r="J1662" s="14" t="n">
        <v>45965.68060185185</v>
      </c>
      <c r="K1662" s="15" t="n">
        <v>19074.07</v>
      </c>
      <c r="L1662" s="4" t="inlineStr">
        <is>
          <t>INR</t>
        </is>
      </c>
      <c r="M1662" s="15" t="n">
        <v>-19074.07</v>
      </c>
      <c r="N1662" s="4" t="inlineStr">
        <is>
          <t>IOS Aarav</t>
        </is>
      </c>
      <c r="O1662" s="4" t="n">
        <v>3</v>
      </c>
      <c r="P1662" s="4" t="inlineStr">
        <is>
          <t>PERCENTAGE</t>
        </is>
      </c>
      <c r="Q1662" s="4" t="inlineStr">
        <is>
          <t>MAESTRO-IOS-GROUP-PURCHASE-1661 | Other | 19074.07</t>
        </is>
      </c>
      <c r="R1662" s="4" t="inlineStr">
        <is>
          <t>iPhone</t>
        </is>
      </c>
      <c r="S1662" s="4" t="inlineStr">
        <is>
          <t>B34</t>
        </is>
      </c>
      <c r="T1662" s="4" t="inlineStr">
        <is>
          <t>RAMP_1501_2500</t>
        </is>
      </c>
      <c r="U1662" s="4" t="inlineStr">
        <is>
          <t>CREATED</t>
        </is>
      </c>
      <c r="V1662" s="4" t="inlineStr">
        <is>
          <t>idem-20260902-ios-1661</t>
        </is>
      </c>
    </row>
    <row r="1663" ht="30" customHeight="1">
      <c r="A1663" s="4" t="n">
        <v>1662</v>
      </c>
      <c r="B1663" s="4" t="inlineStr">
        <is>
          <t>MTR-IOS-1662</t>
        </is>
      </c>
      <c r="C1663" s="4" t="inlineStr">
        <is>
          <t>Business</t>
        </is>
      </c>
      <c r="D1663" s="4" t="inlineStr">
        <is>
          <t>Business</t>
        </is>
      </c>
      <c r="E1663" s="4" t="inlineStr">
        <is>
          <t>Business Runway</t>
        </is>
      </c>
      <c r="F1663" s="4" t="inlineStr">
        <is>
          <t>Funding</t>
        </is>
      </c>
      <c r="G1663" s="4" t="inlineStr">
        <is>
          <t>Income</t>
        </is>
      </c>
      <c r="H1663" s="12" t="n">
        <v>45962</v>
      </c>
      <c r="I1663" s="13" t="n">
        <v>0.2854976851851852</v>
      </c>
      <c r="J1663" s="14" t="n">
        <v>45962.28549768519</v>
      </c>
      <c r="K1663" s="15" t="n">
        <v>59612.03</v>
      </c>
      <c r="L1663" s="4" t="inlineStr">
        <is>
          <t>INR</t>
        </is>
      </c>
      <c r="M1663" s="15" t="n">
        <v>59612.03</v>
      </c>
      <c r="N1663" s="4" t="inlineStr">
        <is>
          <t>IOS Owner</t>
        </is>
      </c>
      <c r="O1663" s="4" t="n"/>
      <c r="P1663" s="4" t="n"/>
      <c r="Q1663" s="4" t="inlineStr">
        <is>
          <t>MAESTRO-IOS-BUSINESS-BUSINESS_RUNWAY-1662 | Funding | 59612.03</t>
        </is>
      </c>
      <c r="R1663" s="4" t="inlineStr">
        <is>
          <t>iPhone</t>
        </is>
      </c>
      <c r="S1663" s="4" t="inlineStr">
        <is>
          <t>B34</t>
        </is>
      </c>
      <c r="T1663" s="4" t="inlineStr">
        <is>
          <t>RAMP_1501_2500</t>
        </is>
      </c>
      <c r="U1663" s="4" t="inlineStr">
        <is>
          <t>CREATED</t>
        </is>
      </c>
      <c r="V1663" s="4" t="inlineStr">
        <is>
          <t>idem-20260902-ios-1662</t>
        </is>
      </c>
    </row>
    <row r="1664" ht="30" customHeight="1">
      <c r="A1664" s="4" t="n">
        <v>1663</v>
      </c>
      <c r="B1664" s="4" t="inlineStr">
        <is>
          <t>MTR-IOS-1663</t>
        </is>
      </c>
      <c r="C1664" s="4" t="inlineStr">
        <is>
          <t>Personal</t>
        </is>
      </c>
      <c r="D1664" s="4" t="inlineStr">
        <is>
          <t>Personal</t>
        </is>
      </c>
      <c r="E1664" s="4" t="inlineStr">
        <is>
          <t>Life Operations</t>
        </is>
      </c>
      <c r="F1664" s="4" t="inlineStr">
        <is>
          <t>Bills</t>
        </is>
      </c>
      <c r="G1664" s="4" t="inlineStr">
        <is>
          <t>Expense</t>
        </is>
      </c>
      <c r="H1664" s="12" t="n">
        <v>45907</v>
      </c>
      <c r="I1664" s="13" t="n">
        <v>0.6779050925925926</v>
      </c>
      <c r="J1664" s="14" t="n">
        <v>45907.67790509259</v>
      </c>
      <c r="K1664" s="15" t="n">
        <v>15414.32</v>
      </c>
      <c r="L1664" s="4" t="inlineStr">
        <is>
          <t>INR</t>
        </is>
      </c>
      <c r="M1664" s="15" t="n">
        <v>-15414.32</v>
      </c>
      <c r="N1664" s="4" t="inlineStr">
        <is>
          <t>IOS Owner</t>
        </is>
      </c>
      <c r="O1664" s="4" t="n"/>
      <c r="P1664" s="4" t="n"/>
      <c r="Q1664" s="4" t="inlineStr">
        <is>
          <t>MAESTRO-IOS-PERSONAL-LIFE_OPERATIONS-1663 | Bills | 15414.32</t>
        </is>
      </c>
      <c r="R1664" s="4" t="inlineStr">
        <is>
          <t>iPhone</t>
        </is>
      </c>
      <c r="S1664" s="4" t="inlineStr">
        <is>
          <t>B34</t>
        </is>
      </c>
      <c r="T1664" s="4" t="inlineStr">
        <is>
          <t>RAMP_1501_2500</t>
        </is>
      </c>
      <c r="U1664" s="4" t="inlineStr">
        <is>
          <t>CREATED</t>
        </is>
      </c>
      <c r="V1664" s="4" t="inlineStr">
        <is>
          <t>idem-20260902-ios-1663</t>
        </is>
      </c>
    </row>
    <row r="1665" ht="30" customHeight="1">
      <c r="A1665" s="4" t="n">
        <v>1664</v>
      </c>
      <c r="B1665" s="4" t="inlineStr">
        <is>
          <t>MTR-IOS-1664</t>
        </is>
      </c>
      <c r="C1665" s="4" t="inlineStr">
        <is>
          <t>Group</t>
        </is>
      </c>
      <c r="D1665" s="4" t="inlineStr">
        <is>
          <t>Shared Purchase</t>
        </is>
      </c>
      <c r="E1665" s="4" t="inlineStr">
        <is>
          <t>Assets</t>
        </is>
      </c>
      <c r="F1665" s="4" t="inlineStr">
        <is>
          <t>Purchase</t>
        </is>
      </c>
      <c r="G1665" s="4" t="inlineStr">
        <is>
          <t>Expense</t>
        </is>
      </c>
      <c r="H1665" s="12" t="n">
        <v>46121</v>
      </c>
      <c r="I1665" s="13" t="n">
        <v>0.7522453703703704</v>
      </c>
      <c r="J1665" s="14" t="n">
        <v>46121.75224537037</v>
      </c>
      <c r="K1665" s="15" t="n">
        <v>23010.09</v>
      </c>
      <c r="L1665" s="4" t="inlineStr">
        <is>
          <t>INR</t>
        </is>
      </c>
      <c r="M1665" s="15" t="n">
        <v>-23010.09</v>
      </c>
      <c r="N1665" s="4" t="inlineStr">
        <is>
          <t>IOS Meera</t>
        </is>
      </c>
      <c r="O1665" s="4" t="n">
        <v>3</v>
      </c>
      <c r="P1665" s="4" t="inlineStr">
        <is>
          <t>EXACT</t>
        </is>
      </c>
      <c r="Q1665" s="4" t="inlineStr">
        <is>
          <t>MAESTRO-IOS-GROUP-ASSETS-1664 | Purchase | 23010.09</t>
        </is>
      </c>
      <c r="R1665" s="4" t="inlineStr">
        <is>
          <t>iPhone</t>
        </is>
      </c>
      <c r="S1665" s="4" t="inlineStr">
        <is>
          <t>B34</t>
        </is>
      </c>
      <c r="T1665" s="4" t="inlineStr">
        <is>
          <t>RAMP_1501_2500</t>
        </is>
      </c>
      <c r="U1665" s="4" t="inlineStr">
        <is>
          <t>CREATED</t>
        </is>
      </c>
      <c r="V1665" s="4" t="inlineStr">
        <is>
          <t>idem-20260902-ios-1664</t>
        </is>
      </c>
    </row>
    <row r="1666" ht="30" customHeight="1">
      <c r="A1666" s="4" t="n">
        <v>1665</v>
      </c>
      <c r="B1666" s="4" t="inlineStr">
        <is>
          <t>MTR-IOS-1665</t>
        </is>
      </c>
      <c r="C1666" s="4" t="inlineStr">
        <is>
          <t>Business</t>
        </is>
      </c>
      <c r="D1666" s="4" t="inlineStr">
        <is>
          <t>Business</t>
        </is>
      </c>
      <c r="E1666" s="4" t="inlineStr">
        <is>
          <t>Business Runway</t>
        </is>
      </c>
      <c r="F1666" s="4" t="inlineStr">
        <is>
          <t>Revenue</t>
        </is>
      </c>
      <c r="G1666" s="4" t="inlineStr">
        <is>
          <t>Income</t>
        </is>
      </c>
      <c r="H1666" s="12" t="n">
        <v>46026</v>
      </c>
      <c r="I1666" s="13" t="n">
        <v>0.4715393518518519</v>
      </c>
      <c r="J1666" s="14" t="n">
        <v>46026.47153935185</v>
      </c>
      <c r="K1666" s="15" t="n">
        <v>100</v>
      </c>
      <c r="L1666" s="4" t="inlineStr">
        <is>
          <t>INR</t>
        </is>
      </c>
      <c r="M1666" s="15" t="n">
        <v>100</v>
      </c>
      <c r="N1666" s="4" t="inlineStr">
        <is>
          <t>IOS Owner</t>
        </is>
      </c>
      <c r="O1666" s="4" t="n"/>
      <c r="P1666" s="4" t="n"/>
      <c r="Q1666" s="4" t="inlineStr">
        <is>
          <t>MAESTRO-IOS-BUSINESS-BUSINESS_RUNWAY-1665 | Revenue | 100.00</t>
        </is>
      </c>
      <c r="R1666" s="4" t="inlineStr">
        <is>
          <t>iPhone</t>
        </is>
      </c>
      <c r="S1666" s="4" t="inlineStr">
        <is>
          <t>B34</t>
        </is>
      </c>
      <c r="T1666" s="4" t="inlineStr">
        <is>
          <t>RAMP_1501_2500</t>
        </is>
      </c>
      <c r="U1666" s="4" t="inlineStr">
        <is>
          <t>CREATED</t>
        </is>
      </c>
      <c r="V1666" s="4" t="inlineStr">
        <is>
          <t>idem-20260902-ios-1665</t>
        </is>
      </c>
    </row>
    <row r="1667" ht="30" customHeight="1">
      <c r="A1667" s="4" t="n">
        <v>1666</v>
      </c>
      <c r="B1667" s="4" t="inlineStr">
        <is>
          <t>MTR-IOS-1666</t>
        </is>
      </c>
      <c r="C1667" s="4" t="inlineStr">
        <is>
          <t>Personal</t>
        </is>
      </c>
      <c r="D1667" s="4" t="inlineStr">
        <is>
          <t>Personal</t>
        </is>
      </c>
      <c r="E1667" s="4" t="inlineStr">
        <is>
          <t>Life Operations</t>
        </is>
      </c>
      <c r="F1667" s="4" t="inlineStr">
        <is>
          <t>Transport</t>
        </is>
      </c>
      <c r="G1667" s="4" t="inlineStr">
        <is>
          <t>Expense</t>
        </is>
      </c>
      <c r="H1667" s="12" t="n">
        <v>46107</v>
      </c>
      <c r="I1667" s="13" t="n">
        <v>0.8629745370370371</v>
      </c>
      <c r="J1667" s="14" t="n">
        <v>46107.86297453703</v>
      </c>
      <c r="K1667" s="15" t="n">
        <v>12266.07</v>
      </c>
      <c r="L1667" s="4" t="inlineStr">
        <is>
          <t>INR</t>
        </is>
      </c>
      <c r="M1667" s="15" t="n">
        <v>-12266.07</v>
      </c>
      <c r="N1667" s="4" t="inlineStr">
        <is>
          <t>IOS Owner</t>
        </is>
      </c>
      <c r="O1667" s="4" t="n"/>
      <c r="P1667" s="4" t="n"/>
      <c r="Q1667" s="4" t="inlineStr">
        <is>
          <t>MAESTRO-IOS-PERSONAL-LIFE_OPERATIONS-1666 | Transport | 12266.07</t>
        </is>
      </c>
      <c r="R1667" s="4" t="inlineStr">
        <is>
          <t>iPhone</t>
        </is>
      </c>
      <c r="S1667" s="4" t="inlineStr">
        <is>
          <t>B34</t>
        </is>
      </c>
      <c r="T1667" s="4" t="inlineStr">
        <is>
          <t>RAMP_1501_2500</t>
        </is>
      </c>
      <c r="U1667" s="4" t="inlineStr">
        <is>
          <t>CREATED</t>
        </is>
      </c>
      <c r="V1667" s="4" t="inlineStr">
        <is>
          <t>idem-20260902-ios-1666</t>
        </is>
      </c>
    </row>
    <row r="1668" ht="30" customHeight="1">
      <c r="A1668" s="4" t="n">
        <v>1667</v>
      </c>
      <c r="B1668" s="4" t="inlineStr">
        <is>
          <t>MTR-IOS-1667</t>
        </is>
      </c>
      <c r="C1668" s="4" t="inlineStr">
        <is>
          <t>Group</t>
        </is>
      </c>
      <c r="D1668" s="4" t="inlineStr">
        <is>
          <t>Shared Purchase</t>
        </is>
      </c>
      <c r="E1668" s="4" t="inlineStr">
        <is>
          <t>Assets</t>
        </is>
      </c>
      <c r="F1668" s="4" t="inlineStr">
        <is>
          <t>Maintenance</t>
        </is>
      </c>
      <c r="G1668" s="4" t="inlineStr">
        <is>
          <t>Expense</t>
        </is>
      </c>
      <c r="H1668" s="12" t="n">
        <v>46007</v>
      </c>
      <c r="I1668" s="13" t="n">
        <v>0.7405555555555555</v>
      </c>
      <c r="J1668" s="14" t="n">
        <v>46007.74055555555</v>
      </c>
      <c r="K1668" s="15" t="n">
        <v>10282.26</v>
      </c>
      <c r="L1668" s="4" t="inlineStr">
        <is>
          <t>INR</t>
        </is>
      </c>
      <c r="M1668" s="15" t="n">
        <v>-10282.26</v>
      </c>
      <c r="N1668" s="4" t="inlineStr">
        <is>
          <t>IOS Owner</t>
        </is>
      </c>
      <c r="O1668" s="4" t="n">
        <v>3</v>
      </c>
      <c r="P1668" s="4" t="inlineStr">
        <is>
          <t>SHARES</t>
        </is>
      </c>
      <c r="Q1668" s="4" t="inlineStr">
        <is>
          <t>MAESTRO-IOS-GROUP-ASSETS-1667 | Maintenance | 10282.26</t>
        </is>
      </c>
      <c r="R1668" s="4" t="inlineStr">
        <is>
          <t>iPhone</t>
        </is>
      </c>
      <c r="S1668" s="4" t="inlineStr">
        <is>
          <t>B34</t>
        </is>
      </c>
      <c r="T1668" s="4" t="inlineStr">
        <is>
          <t>RAMP_1501_2500</t>
        </is>
      </c>
      <c r="U1668" s="4" t="inlineStr">
        <is>
          <t>CREATED</t>
        </is>
      </c>
      <c r="V1668" s="4" t="inlineStr">
        <is>
          <t>idem-20260902-ios-1667</t>
        </is>
      </c>
    </row>
    <row r="1669" ht="30" customHeight="1">
      <c r="A1669" s="4" t="n">
        <v>1668</v>
      </c>
      <c r="B1669" s="4" t="inlineStr">
        <is>
          <t>MTR-IOS-1668</t>
        </is>
      </c>
      <c r="C1669" s="4" t="inlineStr">
        <is>
          <t>Business</t>
        </is>
      </c>
      <c r="D1669" s="4" t="inlineStr">
        <is>
          <t>Business</t>
        </is>
      </c>
      <c r="E1669" s="4" t="inlineStr">
        <is>
          <t>Business Runway</t>
        </is>
      </c>
      <c r="F1669" s="4" t="inlineStr">
        <is>
          <t>Burn</t>
        </is>
      </c>
      <c r="G1669" s="4" t="inlineStr">
        <is>
          <t>Expense</t>
        </is>
      </c>
      <c r="H1669" s="12" t="n">
        <v>45932</v>
      </c>
      <c r="I1669" s="13" t="n">
        <v>0.4573611111111111</v>
      </c>
      <c r="J1669" s="14" t="n">
        <v>45932.45736111111</v>
      </c>
      <c r="K1669" s="15" t="n">
        <v>78874.72</v>
      </c>
      <c r="L1669" s="4" t="inlineStr">
        <is>
          <t>INR</t>
        </is>
      </c>
      <c r="M1669" s="15" t="n">
        <v>-78874.72</v>
      </c>
      <c r="N1669" s="4" t="inlineStr">
        <is>
          <t>IOS Owner</t>
        </is>
      </c>
      <c r="O1669" s="4" t="n"/>
      <c r="P1669" s="4" t="n"/>
      <c r="Q1669" s="4" t="inlineStr">
        <is>
          <t>MAESTRO-IOS-BUSINESS-BUSINESS_RUNWAY-1668 | Burn | 78874.72</t>
        </is>
      </c>
      <c r="R1669" s="4" t="inlineStr">
        <is>
          <t>iPhone</t>
        </is>
      </c>
      <c r="S1669" s="4" t="inlineStr">
        <is>
          <t>B34</t>
        </is>
      </c>
      <c r="T1669" s="4" t="inlineStr">
        <is>
          <t>RAMP_1501_2500</t>
        </is>
      </c>
      <c r="U1669" s="4" t="inlineStr">
        <is>
          <t>CREATED</t>
        </is>
      </c>
      <c r="V1669" s="4" t="inlineStr">
        <is>
          <t>idem-20260902-ios-1668</t>
        </is>
      </c>
    </row>
    <row r="1670" ht="30" customHeight="1">
      <c r="A1670" s="4" t="n">
        <v>1669</v>
      </c>
      <c r="B1670" s="4" t="inlineStr">
        <is>
          <t>MTR-IOS-1669</t>
        </is>
      </c>
      <c r="C1670" s="4" t="inlineStr">
        <is>
          <t>Personal</t>
        </is>
      </c>
      <c r="D1670" s="4" t="inlineStr">
        <is>
          <t>Personal</t>
        </is>
      </c>
      <c r="E1670" s="4" t="inlineStr">
        <is>
          <t>Life Operations</t>
        </is>
      </c>
      <c r="F1670" s="4" t="inlineStr">
        <is>
          <t>Healthcare</t>
        </is>
      </c>
      <c r="G1670" s="4" t="inlineStr">
        <is>
          <t>Expense</t>
        </is>
      </c>
      <c r="H1670" s="12" t="n">
        <v>46059</v>
      </c>
      <c r="I1670" s="13" t="n">
        <v>0.5797453703703703</v>
      </c>
      <c r="J1670" s="14" t="n">
        <v>46059.57974537037</v>
      </c>
      <c r="K1670" s="15" t="n">
        <v>1290.8</v>
      </c>
      <c r="L1670" s="4" t="inlineStr">
        <is>
          <t>INR</t>
        </is>
      </c>
      <c r="M1670" s="15" t="n">
        <v>-1290.8</v>
      </c>
      <c r="N1670" s="4" t="inlineStr">
        <is>
          <t>IOS Owner</t>
        </is>
      </c>
      <c r="O1670" s="4" t="n"/>
      <c r="P1670" s="4" t="n"/>
      <c r="Q1670" s="4" t="inlineStr">
        <is>
          <t>MAESTRO-IOS-PERSONAL-LIFE_OPERATIONS-1669 | Healthcare | 1290.80</t>
        </is>
      </c>
      <c r="R1670" s="4" t="inlineStr">
        <is>
          <t>iPhone</t>
        </is>
      </c>
      <c r="S1670" s="4" t="inlineStr">
        <is>
          <t>B34</t>
        </is>
      </c>
      <c r="T1670" s="4" t="inlineStr">
        <is>
          <t>RAMP_1501_2500</t>
        </is>
      </c>
      <c r="U1670" s="4" t="inlineStr">
        <is>
          <t>CREATED</t>
        </is>
      </c>
      <c r="V1670" s="4" t="inlineStr">
        <is>
          <t>idem-20260902-ios-1669</t>
        </is>
      </c>
    </row>
    <row r="1671" ht="30" customHeight="1">
      <c r="A1671" s="4" t="n">
        <v>1670</v>
      </c>
      <c r="B1671" s="4" t="inlineStr">
        <is>
          <t>MTR-IOS-1670</t>
        </is>
      </c>
      <c r="C1671" s="4" t="inlineStr">
        <is>
          <t>Group</t>
        </is>
      </c>
      <c r="D1671" s="4" t="inlineStr">
        <is>
          <t>Shared Purchase</t>
        </is>
      </c>
      <c r="E1671" s="4" t="inlineStr">
        <is>
          <t>Assets</t>
        </is>
      </c>
      <c r="F1671" s="4" t="inlineStr">
        <is>
          <t>Repair</t>
        </is>
      </c>
      <c r="G1671" s="4" t="inlineStr">
        <is>
          <t>Expense</t>
        </is>
      </c>
      <c r="H1671" s="12" t="n">
        <v>45946</v>
      </c>
      <c r="I1671" s="13" t="n">
        <v>0.9613773148148148</v>
      </c>
      <c r="J1671" s="14" t="n">
        <v>45946.96137731482</v>
      </c>
      <c r="K1671" s="15" t="n">
        <v>23683.88</v>
      </c>
      <c r="L1671" s="4" t="inlineStr">
        <is>
          <t>INR</t>
        </is>
      </c>
      <c r="M1671" s="15" t="n">
        <v>-23683.88</v>
      </c>
      <c r="N1671" s="4" t="inlineStr">
        <is>
          <t>IOS Aarav</t>
        </is>
      </c>
      <c r="O1671" s="4" t="n">
        <v>3</v>
      </c>
      <c r="P1671" s="4" t="inlineStr">
        <is>
          <t>EQUAL</t>
        </is>
      </c>
      <c r="Q1671" s="4" t="inlineStr">
        <is>
          <t>MAESTRO-IOS-GROUP-ASSETS-1670 | Repair | 23683.88</t>
        </is>
      </c>
      <c r="R1671" s="4" t="inlineStr">
        <is>
          <t>iPhone</t>
        </is>
      </c>
      <c r="S1671" s="4" t="inlineStr">
        <is>
          <t>B34</t>
        </is>
      </c>
      <c r="T1671" s="4" t="inlineStr">
        <is>
          <t>RAMP_1501_2500</t>
        </is>
      </c>
      <c r="U1671" s="4" t="inlineStr">
        <is>
          <t>CREATED</t>
        </is>
      </c>
      <c r="V1671" s="4" t="inlineStr">
        <is>
          <t>idem-20260902-ios-1670</t>
        </is>
      </c>
    </row>
    <row r="1672" ht="30" customHeight="1">
      <c r="A1672" s="4" t="n">
        <v>1671</v>
      </c>
      <c r="B1672" s="4" t="inlineStr">
        <is>
          <t>MTR-IOS-1671</t>
        </is>
      </c>
      <c r="C1672" s="4" t="inlineStr">
        <is>
          <t>Business</t>
        </is>
      </c>
      <c r="D1672" s="4" t="inlineStr">
        <is>
          <t>Business</t>
        </is>
      </c>
      <c r="E1672" s="4" t="inlineStr">
        <is>
          <t>Business Runway</t>
        </is>
      </c>
      <c r="F1672" s="4" t="inlineStr">
        <is>
          <t>Reserve</t>
        </is>
      </c>
      <c r="G1672" s="4" t="inlineStr">
        <is>
          <t>Transfer</t>
        </is>
      </c>
      <c r="H1672" s="12" t="n">
        <v>46264</v>
      </c>
      <c r="I1672" s="13" t="n">
        <v>0.7140393518518519</v>
      </c>
      <c r="J1672" s="14" t="n">
        <v>46264.71403935185</v>
      </c>
      <c r="K1672" s="15" t="n">
        <v>72835.28</v>
      </c>
      <c r="L1672" s="4" t="inlineStr">
        <is>
          <t>INR</t>
        </is>
      </c>
      <c r="M1672" s="15" t="n">
        <v>0</v>
      </c>
      <c r="N1672" s="4" t="inlineStr">
        <is>
          <t>IOS Owner</t>
        </is>
      </c>
      <c r="O1672" s="4" t="n"/>
      <c r="P1672" s="4" t="n"/>
      <c r="Q1672" s="4" t="inlineStr">
        <is>
          <t>MAESTRO-IOS-BUSINESS-BUSINESS_RUNWAY-1671 | Reserve | 72835.28</t>
        </is>
      </c>
      <c r="R1672" s="4" t="inlineStr">
        <is>
          <t>iPhone</t>
        </is>
      </c>
      <c r="S1672" s="4" t="inlineStr">
        <is>
          <t>B34</t>
        </is>
      </c>
      <c r="T1672" s="4" t="inlineStr">
        <is>
          <t>RAMP_1501_2500</t>
        </is>
      </c>
      <c r="U1672" s="4" t="inlineStr">
        <is>
          <t>CREATED</t>
        </is>
      </c>
      <c r="V1672" s="4" t="inlineStr">
        <is>
          <t>idem-20260902-ios-1671</t>
        </is>
      </c>
    </row>
    <row r="1673" ht="30" customHeight="1">
      <c r="A1673" s="4" t="n">
        <v>1672</v>
      </c>
      <c r="B1673" s="4" t="inlineStr">
        <is>
          <t>MTR-IOS-1672</t>
        </is>
      </c>
      <c r="C1673" s="4" t="inlineStr">
        <is>
          <t>Personal</t>
        </is>
      </c>
      <c r="D1673" s="4" t="inlineStr">
        <is>
          <t>Personal</t>
        </is>
      </c>
      <c r="E1673" s="4" t="inlineStr">
        <is>
          <t>Life Operations</t>
        </is>
      </c>
      <c r="F1673" s="4" t="inlineStr">
        <is>
          <t>Subscriptions</t>
        </is>
      </c>
      <c r="G1673" s="4" t="inlineStr">
        <is>
          <t>Expense</t>
        </is>
      </c>
      <c r="H1673" s="12" t="n">
        <v>46254</v>
      </c>
      <c r="I1673" s="13" t="n">
        <v>0.2762615740740741</v>
      </c>
      <c r="J1673" s="14" t="n">
        <v>46254.27626157407</v>
      </c>
      <c r="K1673" s="15" t="n">
        <v>6229.09</v>
      </c>
      <c r="L1673" s="4" t="inlineStr">
        <is>
          <t>INR</t>
        </is>
      </c>
      <c r="M1673" s="15" t="n">
        <v>-6229.09</v>
      </c>
      <c r="N1673" s="4" t="inlineStr">
        <is>
          <t>IOS Owner</t>
        </is>
      </c>
      <c r="O1673" s="4" t="n"/>
      <c r="P1673" s="4" t="n"/>
      <c r="Q1673" s="4" t="inlineStr">
        <is>
          <t>MAESTRO-IOS-PERSONAL-LIFE_OPERATIONS-1672 | Subscriptions | 6229.09</t>
        </is>
      </c>
      <c r="R1673" s="4" t="inlineStr">
        <is>
          <t>iPhone</t>
        </is>
      </c>
      <c r="S1673" s="4" t="inlineStr">
        <is>
          <t>B34</t>
        </is>
      </c>
      <c r="T1673" s="4" t="inlineStr">
        <is>
          <t>RAMP_1501_2500</t>
        </is>
      </c>
      <c r="U1673" s="4" t="inlineStr">
        <is>
          <t>CREATED</t>
        </is>
      </c>
      <c r="V1673" s="4" t="inlineStr">
        <is>
          <t>idem-20260902-ios-1672</t>
        </is>
      </c>
    </row>
    <row r="1674" ht="30" customHeight="1">
      <c r="A1674" s="4" t="n">
        <v>1673</v>
      </c>
      <c r="B1674" s="4" t="inlineStr">
        <is>
          <t>MTR-IOS-1673</t>
        </is>
      </c>
      <c r="C1674" s="4" t="inlineStr">
        <is>
          <t>Group</t>
        </is>
      </c>
      <c r="D1674" s="4" t="inlineStr">
        <is>
          <t>Shared Purchase</t>
        </is>
      </c>
      <c r="E1674" s="4" t="inlineStr">
        <is>
          <t>Assets</t>
        </is>
      </c>
      <c r="F1674" s="4" t="inlineStr">
        <is>
          <t>Insurance</t>
        </is>
      </c>
      <c r="G1674" s="4" t="inlineStr">
        <is>
          <t>Expense</t>
        </is>
      </c>
      <c r="H1674" s="12" t="n">
        <v>46253</v>
      </c>
      <c r="I1674" s="13" t="n">
        <v>0.5841666666666666</v>
      </c>
      <c r="J1674" s="14" t="n">
        <v>46253.58416666667</v>
      </c>
      <c r="K1674" s="15" t="n">
        <v>23777.99</v>
      </c>
      <c r="L1674" s="4" t="inlineStr">
        <is>
          <t>INR</t>
        </is>
      </c>
      <c r="M1674" s="15" t="n">
        <v>-23777.99</v>
      </c>
      <c r="N1674" s="4" t="inlineStr">
        <is>
          <t>IOS Meera</t>
        </is>
      </c>
      <c r="O1674" s="4" t="n">
        <v>3</v>
      </c>
      <c r="P1674" s="4" t="inlineStr">
        <is>
          <t>PERCENTAGE</t>
        </is>
      </c>
      <c r="Q1674" s="4" t="inlineStr">
        <is>
          <t>MAESTRO-IOS-GROUP-ASSETS-1673 | Insurance | 23777.99</t>
        </is>
      </c>
      <c r="R1674" s="4" t="inlineStr">
        <is>
          <t>iPhone</t>
        </is>
      </c>
      <c r="S1674" s="4" t="inlineStr">
        <is>
          <t>B34</t>
        </is>
      </c>
      <c r="T1674" s="4" t="inlineStr">
        <is>
          <t>RAMP_1501_2500</t>
        </is>
      </c>
      <c r="U1674" s="4" t="inlineStr">
        <is>
          <t>CREATED</t>
        </is>
      </c>
      <c r="V1674" s="4" t="inlineStr">
        <is>
          <t>idem-20260902-ios-1673</t>
        </is>
      </c>
    </row>
    <row r="1675" ht="30" customHeight="1">
      <c r="A1675" s="4" t="n">
        <v>1674</v>
      </c>
      <c r="B1675" s="4" t="inlineStr">
        <is>
          <t>MTR-IOS-1674</t>
        </is>
      </c>
      <c r="C1675" s="4" t="inlineStr">
        <is>
          <t>Business</t>
        </is>
      </c>
      <c r="D1675" s="4" t="inlineStr">
        <is>
          <t>Business</t>
        </is>
      </c>
      <c r="E1675" s="4" t="inlineStr">
        <is>
          <t>Business Runway</t>
        </is>
      </c>
      <c r="F1675" s="4" t="inlineStr">
        <is>
          <t>Loan</t>
        </is>
      </c>
      <c r="G1675" s="4" t="inlineStr">
        <is>
          <t>Income</t>
        </is>
      </c>
      <c r="H1675" s="12" t="n">
        <v>46178</v>
      </c>
      <c r="I1675" s="13" t="n">
        <v>0.5923379629629629</v>
      </c>
      <c r="J1675" s="14" t="n">
        <v>46178.59233796296</v>
      </c>
      <c r="K1675" s="15" t="n">
        <v>132841.16</v>
      </c>
      <c r="L1675" s="4" t="inlineStr">
        <is>
          <t>INR</t>
        </is>
      </c>
      <c r="M1675" s="15" t="n">
        <v>132841.16</v>
      </c>
      <c r="N1675" s="4" t="inlineStr">
        <is>
          <t>IOS Owner</t>
        </is>
      </c>
      <c r="O1675" s="4" t="n"/>
      <c r="P1675" s="4" t="n"/>
      <c r="Q1675" s="4" t="inlineStr">
        <is>
          <t>MAESTRO-IOS-BUSINESS-BUSINESS_RUNWAY-1674 | Loan | 132841.16</t>
        </is>
      </c>
      <c r="R1675" s="4" t="inlineStr">
        <is>
          <t>iPhone</t>
        </is>
      </c>
      <c r="S1675" s="4" t="inlineStr">
        <is>
          <t>B34</t>
        </is>
      </c>
      <c r="T1675" s="4" t="inlineStr">
        <is>
          <t>RAMP_1501_2500</t>
        </is>
      </c>
      <c r="U1675" s="4" t="inlineStr">
        <is>
          <t>CREATED</t>
        </is>
      </c>
      <c r="V1675" s="4" t="inlineStr">
        <is>
          <t>idem-20260902-ios-1674</t>
        </is>
      </c>
    </row>
    <row r="1676" ht="30" customHeight="1">
      <c r="A1676" s="4" t="n">
        <v>1675</v>
      </c>
      <c r="B1676" s="4" t="inlineStr">
        <is>
          <t>MTR-IOS-1675</t>
        </is>
      </c>
      <c r="C1676" s="4" t="inlineStr">
        <is>
          <t>Personal</t>
        </is>
      </c>
      <c r="D1676" s="4" t="inlineStr">
        <is>
          <t>Personal</t>
        </is>
      </c>
      <c r="E1676" s="4" t="inlineStr">
        <is>
          <t>Life Operations</t>
        </is>
      </c>
      <c r="F1676" s="4" t="inlineStr">
        <is>
          <t>Repairs</t>
        </is>
      </c>
      <c r="G1676" s="4" t="inlineStr">
        <is>
          <t>Expense</t>
        </is>
      </c>
      <c r="H1676" s="12" t="n">
        <v>46167</v>
      </c>
      <c r="I1676" s="13" t="n">
        <v>0.3320138888888889</v>
      </c>
      <c r="J1676" s="14" t="n">
        <v>46167.33201388889</v>
      </c>
      <c r="K1676" s="15" t="n">
        <v>13227.61</v>
      </c>
      <c r="L1676" s="4" t="inlineStr">
        <is>
          <t>INR</t>
        </is>
      </c>
      <c r="M1676" s="15" t="n">
        <v>-13227.61</v>
      </c>
      <c r="N1676" s="4" t="inlineStr">
        <is>
          <t>IOS Owner</t>
        </is>
      </c>
      <c r="O1676" s="4" t="n"/>
      <c r="P1676" s="4" t="n"/>
      <c r="Q1676" s="4" t="inlineStr">
        <is>
          <t>MAESTRO-IOS-PERSONAL-LIFE_OPERATIONS-1675 | Repairs | 13227.61</t>
        </is>
      </c>
      <c r="R1676" s="4" t="inlineStr">
        <is>
          <t>iPhone</t>
        </is>
      </c>
      <c r="S1676" s="4" t="inlineStr">
        <is>
          <t>B34</t>
        </is>
      </c>
      <c r="T1676" s="4" t="inlineStr">
        <is>
          <t>RAMP_1501_2500</t>
        </is>
      </c>
      <c r="U1676" s="4" t="inlineStr">
        <is>
          <t>CREATED</t>
        </is>
      </c>
      <c r="V1676" s="4" t="inlineStr">
        <is>
          <t>idem-20260902-ios-1675</t>
        </is>
      </c>
    </row>
    <row r="1677" ht="30" customHeight="1">
      <c r="A1677" s="4" t="n">
        <v>1676</v>
      </c>
      <c r="B1677" s="4" t="inlineStr">
        <is>
          <t>MTR-IOS-1676</t>
        </is>
      </c>
      <c r="C1677" s="4" t="inlineStr">
        <is>
          <t>Group</t>
        </is>
      </c>
      <c r="D1677" s="4" t="inlineStr">
        <is>
          <t>Shared Purchase</t>
        </is>
      </c>
      <c r="E1677" s="4" t="inlineStr">
        <is>
          <t>Assets</t>
        </is>
      </c>
      <c r="F1677" s="4" t="inlineStr">
        <is>
          <t>Other</t>
        </is>
      </c>
      <c r="G1677" s="4" t="inlineStr">
        <is>
          <t>Expense</t>
        </is>
      </c>
      <c r="H1677" s="12" t="n">
        <v>45977</v>
      </c>
      <c r="I1677" s="13" t="n">
        <v>0.3413194444444445</v>
      </c>
      <c r="J1677" s="14" t="n">
        <v>45977.34131944444</v>
      </c>
      <c r="K1677" s="15" t="n">
        <v>16087.03</v>
      </c>
      <c r="L1677" s="4" t="inlineStr">
        <is>
          <t>INR</t>
        </is>
      </c>
      <c r="M1677" s="15" t="n">
        <v>-16087.03</v>
      </c>
      <c r="N1677" s="4" t="inlineStr">
        <is>
          <t>IOS Owner</t>
        </is>
      </c>
      <c r="O1677" s="4" t="n">
        <v>3</v>
      </c>
      <c r="P1677" s="4" t="inlineStr">
        <is>
          <t>EXACT</t>
        </is>
      </c>
      <c r="Q1677" s="4" t="inlineStr">
        <is>
          <t>MAESTRO-IOS-GROUP-ASSETS-1676 | Other | 16087.03</t>
        </is>
      </c>
      <c r="R1677" s="4" t="inlineStr">
        <is>
          <t>iPhone</t>
        </is>
      </c>
      <c r="S1677" s="4" t="inlineStr">
        <is>
          <t>B34</t>
        </is>
      </c>
      <c r="T1677" s="4" t="inlineStr">
        <is>
          <t>RAMP_1501_2500</t>
        </is>
      </c>
      <c r="U1677" s="4" t="inlineStr">
        <is>
          <t>CREATED</t>
        </is>
      </c>
      <c r="V1677" s="4" t="inlineStr">
        <is>
          <t>idem-20260902-ios-1676</t>
        </is>
      </c>
    </row>
    <row r="1678" ht="30" customHeight="1">
      <c r="A1678" s="4" t="n">
        <v>1677</v>
      </c>
      <c r="B1678" s="4" t="inlineStr">
        <is>
          <t>MTR-IOS-1677</t>
        </is>
      </c>
      <c r="C1678" s="4" t="inlineStr">
        <is>
          <t>Business</t>
        </is>
      </c>
      <c r="D1678" s="4" t="inlineStr">
        <is>
          <t>Business</t>
        </is>
      </c>
      <c r="E1678" s="4" t="inlineStr">
        <is>
          <t>Business Runway</t>
        </is>
      </c>
      <c r="F1678" s="4" t="inlineStr">
        <is>
          <t>Investment</t>
        </is>
      </c>
      <c r="G1678" s="4" t="inlineStr">
        <is>
          <t>Income</t>
        </is>
      </c>
      <c r="H1678" s="12" t="n">
        <v>46024</v>
      </c>
      <c r="I1678" s="13" t="n">
        <v>0.1765162037037037</v>
      </c>
      <c r="J1678" s="14" t="n">
        <v>46024.1765162037</v>
      </c>
      <c r="K1678" s="15" t="n">
        <v>77295.58</v>
      </c>
      <c r="L1678" s="4" t="inlineStr">
        <is>
          <t>INR</t>
        </is>
      </c>
      <c r="M1678" s="15" t="n">
        <v>77295.58</v>
      </c>
      <c r="N1678" s="4" t="inlineStr">
        <is>
          <t>IOS Owner</t>
        </is>
      </c>
      <c r="O1678" s="4" t="n"/>
      <c r="P1678" s="4" t="n"/>
      <c r="Q1678" s="4" t="inlineStr">
        <is>
          <t>MAESTRO-IOS-BUSINESS-BUSINESS_RUNWAY-1677 | Investment | 77295.58</t>
        </is>
      </c>
      <c r="R1678" s="4" t="inlineStr">
        <is>
          <t>iPhone</t>
        </is>
      </c>
      <c r="S1678" s="4" t="inlineStr">
        <is>
          <t>B34</t>
        </is>
      </c>
      <c r="T1678" s="4" t="inlineStr">
        <is>
          <t>RAMP_1501_2500</t>
        </is>
      </c>
      <c r="U1678" s="4" t="inlineStr">
        <is>
          <t>CREATED</t>
        </is>
      </c>
      <c r="V1678" s="4" t="inlineStr">
        <is>
          <t>idem-20260902-ios-1677</t>
        </is>
      </c>
    </row>
    <row r="1679" ht="30" customHeight="1">
      <c r="A1679" s="4" t="n">
        <v>1678</v>
      </c>
      <c r="B1679" s="4" t="inlineStr">
        <is>
          <t>MTR-IOS-1678</t>
        </is>
      </c>
      <c r="C1679" s="4" t="inlineStr">
        <is>
          <t>Personal</t>
        </is>
      </c>
      <c r="D1679" s="4" t="inlineStr">
        <is>
          <t>Personal</t>
        </is>
      </c>
      <c r="E1679" s="4" t="inlineStr">
        <is>
          <t>Future Building</t>
        </is>
      </c>
      <c r="F1679" s="4" t="inlineStr">
        <is>
          <t>Savings</t>
        </is>
      </c>
      <c r="G1679" s="4" t="inlineStr">
        <is>
          <t>Transfer</t>
        </is>
      </c>
      <c r="H1679" s="12" t="n">
        <v>46158</v>
      </c>
      <c r="I1679" s="13" t="n">
        <v>0.5303009259259259</v>
      </c>
      <c r="J1679" s="14" t="n">
        <v>46158.53030092592</v>
      </c>
      <c r="K1679" s="15" t="n">
        <v>9090.559999999999</v>
      </c>
      <c r="L1679" s="4" t="inlineStr">
        <is>
          <t>INR</t>
        </is>
      </c>
      <c r="M1679" s="15" t="n">
        <v>0</v>
      </c>
      <c r="N1679" s="4" t="inlineStr">
        <is>
          <t>IOS Owner</t>
        </is>
      </c>
      <c r="O1679" s="4" t="n"/>
      <c r="P1679" s="4" t="n"/>
      <c r="Q1679" s="4" t="inlineStr">
        <is>
          <t>MAESTRO-IOS-PERSONAL-FUTURE_BUILDING-1678 | Savings | 9090.56</t>
        </is>
      </c>
      <c r="R1679" s="4" t="inlineStr">
        <is>
          <t>iPhone</t>
        </is>
      </c>
      <c r="S1679" s="4" t="inlineStr">
        <is>
          <t>B34</t>
        </is>
      </c>
      <c r="T1679" s="4" t="inlineStr">
        <is>
          <t>RAMP_1501_2500</t>
        </is>
      </c>
      <c r="U1679" s="4" t="inlineStr">
        <is>
          <t>CREATED</t>
        </is>
      </c>
      <c r="V1679" s="4" t="inlineStr">
        <is>
          <t>idem-20260902-ios-1678</t>
        </is>
      </c>
    </row>
    <row r="1680" ht="30" customHeight="1">
      <c r="A1680" s="4" t="n">
        <v>1679</v>
      </c>
      <c r="B1680" s="4" t="inlineStr">
        <is>
          <t>MTR-IOS-1679</t>
        </is>
      </c>
      <c r="C1680" s="4" t="inlineStr">
        <is>
          <t>Group</t>
        </is>
      </c>
      <c r="D1680" s="4" t="inlineStr">
        <is>
          <t>Shared Purchase</t>
        </is>
      </c>
      <c r="E1680" s="4" t="inlineStr">
        <is>
          <t>Custom Purchase</t>
        </is>
      </c>
      <c r="F1680" s="4" t="inlineStr">
        <is>
          <t>Custom Expense</t>
        </is>
      </c>
      <c r="G1680" s="4" t="inlineStr">
        <is>
          <t>Expense</t>
        </is>
      </c>
      <c r="H1680" s="12" t="n">
        <v>46122</v>
      </c>
      <c r="I1680" s="13" t="n">
        <v>0.5802314814814815</v>
      </c>
      <c r="J1680" s="14" t="n">
        <v>46122.58023148148</v>
      </c>
      <c r="K1680" s="15" t="n">
        <v>11000.8</v>
      </c>
      <c r="L1680" s="4" t="inlineStr">
        <is>
          <t>INR</t>
        </is>
      </c>
      <c r="M1680" s="15" t="n">
        <v>-11000.8</v>
      </c>
      <c r="N1680" s="4" t="inlineStr">
        <is>
          <t>IOS Aarav</t>
        </is>
      </c>
      <c r="O1680" s="4" t="n">
        <v>3</v>
      </c>
      <c r="P1680" s="4" t="inlineStr">
        <is>
          <t>SHARES</t>
        </is>
      </c>
      <c r="Q1680" s="4" t="inlineStr">
        <is>
          <t>MAESTRO-IOS-GROUP-CUSTOM_PURCHASE-1679 | Custom Expense | 11000.80</t>
        </is>
      </c>
      <c r="R1680" s="4" t="inlineStr">
        <is>
          <t>iPhone</t>
        </is>
      </c>
      <c r="S1680" s="4" t="inlineStr">
        <is>
          <t>B34</t>
        </is>
      </c>
      <c r="T1680" s="4" t="inlineStr">
        <is>
          <t>RAMP_1501_2500</t>
        </is>
      </c>
      <c r="U1680" s="4" t="inlineStr">
        <is>
          <t>CREATED</t>
        </is>
      </c>
      <c r="V1680" s="4" t="inlineStr">
        <is>
          <t>idem-20260902-ios-1679</t>
        </is>
      </c>
    </row>
    <row r="1681" ht="30" customHeight="1">
      <c r="A1681" s="4" t="n">
        <v>1680</v>
      </c>
      <c r="B1681" s="4" t="inlineStr">
        <is>
          <t>MTR-IOS-1680</t>
        </is>
      </c>
      <c r="C1681" s="4" t="inlineStr">
        <is>
          <t>Business</t>
        </is>
      </c>
      <c r="D1681" s="4" t="inlineStr">
        <is>
          <t>Business</t>
        </is>
      </c>
      <c r="E1681" s="4" t="inlineStr">
        <is>
          <t>Business Operations</t>
        </is>
      </c>
      <c r="F1681" s="4" t="inlineStr">
        <is>
          <t>Software</t>
        </is>
      </c>
      <c r="G1681" s="4" t="inlineStr">
        <is>
          <t>Expense</t>
        </is>
      </c>
      <c r="H1681" s="12" t="n">
        <v>46181</v>
      </c>
      <c r="I1681" s="13" t="n">
        <v>0.02984953703703704</v>
      </c>
      <c r="J1681" s="14" t="n">
        <v>46181.02984953704</v>
      </c>
      <c r="K1681" s="15" t="n">
        <v>161326.32</v>
      </c>
      <c r="L1681" s="4" t="inlineStr">
        <is>
          <t>INR</t>
        </is>
      </c>
      <c r="M1681" s="15" t="n">
        <v>-161326.32</v>
      </c>
      <c r="N1681" s="4" t="inlineStr">
        <is>
          <t>IOS Owner</t>
        </is>
      </c>
      <c r="O1681" s="4" t="n"/>
      <c r="P1681" s="4" t="n"/>
      <c r="Q1681" s="4" t="inlineStr">
        <is>
          <t>MAESTRO-IOS-BUSINESS-BUSINESS_OPERATIONS-1680 | Software | 161326.32</t>
        </is>
      </c>
      <c r="R1681" s="4" t="inlineStr">
        <is>
          <t>iPhone</t>
        </is>
      </c>
      <c r="S1681" s="4" t="inlineStr">
        <is>
          <t>B34</t>
        </is>
      </c>
      <c r="T1681" s="4" t="inlineStr">
        <is>
          <t>RAMP_1501_2500</t>
        </is>
      </c>
      <c r="U1681" s="4" t="inlineStr">
        <is>
          <t>CREATED</t>
        </is>
      </c>
      <c r="V1681" s="4" t="inlineStr">
        <is>
          <t>idem-20260902-ios-1680</t>
        </is>
      </c>
    </row>
    <row r="1682" ht="30" customHeight="1">
      <c r="A1682" s="4" t="n">
        <v>1681</v>
      </c>
      <c r="B1682" s="4" t="inlineStr">
        <is>
          <t>MTR-IOS-1681</t>
        </is>
      </c>
      <c r="C1682" s="4" t="inlineStr">
        <is>
          <t>Personal</t>
        </is>
      </c>
      <c r="D1682" s="4" t="inlineStr">
        <is>
          <t>Personal</t>
        </is>
      </c>
      <c r="E1682" s="4" t="inlineStr">
        <is>
          <t>Future Building</t>
        </is>
      </c>
      <c r="F1682" s="4" t="inlineStr">
        <is>
          <t>Emergency Fund</t>
        </is>
      </c>
      <c r="G1682" s="4" t="inlineStr">
        <is>
          <t>Transfer</t>
        </is>
      </c>
      <c r="H1682" s="12" t="n">
        <v>46063</v>
      </c>
      <c r="I1682" s="13" t="n">
        <v>0.035</v>
      </c>
      <c r="J1682" s="14" t="n">
        <v>46063.035</v>
      </c>
      <c r="K1682" s="15" t="n">
        <v>17809.47</v>
      </c>
      <c r="L1682" s="4" t="inlineStr">
        <is>
          <t>INR</t>
        </is>
      </c>
      <c r="M1682" s="15" t="n">
        <v>0</v>
      </c>
      <c r="N1682" s="4" t="inlineStr">
        <is>
          <t>IOS Owner</t>
        </is>
      </c>
      <c r="O1682" s="4" t="n"/>
      <c r="P1682" s="4" t="n"/>
      <c r="Q1682" s="4" t="inlineStr">
        <is>
          <t>MAESTRO-IOS-PERSONAL-FUTURE_BUILDING-1681 | Emergency Fund | 17809.47</t>
        </is>
      </c>
      <c r="R1682" s="4" t="inlineStr">
        <is>
          <t>iPhone</t>
        </is>
      </c>
      <c r="S1682" s="4" t="inlineStr">
        <is>
          <t>B34</t>
        </is>
      </c>
      <c r="T1682" s="4" t="inlineStr">
        <is>
          <t>RAMP_1501_2500</t>
        </is>
      </c>
      <c r="U1682" s="4" t="inlineStr">
        <is>
          <t>CREATED</t>
        </is>
      </c>
      <c r="V1682" s="4" t="inlineStr">
        <is>
          <t>idem-20260902-ios-1681</t>
        </is>
      </c>
    </row>
    <row r="1683" ht="30" customHeight="1">
      <c r="A1683" s="4" t="n">
        <v>1682</v>
      </c>
      <c r="B1683" s="4" t="inlineStr">
        <is>
          <t>MTR-IOS-1682</t>
        </is>
      </c>
      <c r="C1683" s="4" t="inlineStr">
        <is>
          <t>Group</t>
        </is>
      </c>
      <c r="D1683" s="4" t="inlineStr">
        <is>
          <t>Shared Purchase</t>
        </is>
      </c>
      <c r="E1683" s="4" t="inlineStr">
        <is>
          <t>Custom Purchase</t>
        </is>
      </c>
      <c r="F1683" s="4" t="inlineStr">
        <is>
          <t>Custom Contribution</t>
        </is>
      </c>
      <c r="G1683" s="4" t="inlineStr">
        <is>
          <t>Contribution</t>
        </is>
      </c>
      <c r="H1683" s="12" t="n">
        <v>46227</v>
      </c>
      <c r="I1683" s="13" t="n">
        <v>0.08782407407407407</v>
      </c>
      <c r="J1683" s="14" t="n">
        <v>46227.08782407407</v>
      </c>
      <c r="K1683" s="15" t="n">
        <v>20177.18</v>
      </c>
      <c r="L1683" s="4" t="inlineStr">
        <is>
          <t>INR</t>
        </is>
      </c>
      <c r="M1683" s="15" t="n">
        <v>20177.18</v>
      </c>
      <c r="N1683" s="4" t="inlineStr">
        <is>
          <t>IOS Meera</t>
        </is>
      </c>
      <c r="O1683" s="4" t="n">
        <v>3</v>
      </c>
      <c r="P1683" s="4" t="inlineStr">
        <is>
          <t>EQUAL</t>
        </is>
      </c>
      <c r="Q1683" s="4" t="inlineStr">
        <is>
          <t>MAESTRO-IOS-GROUP-CUSTOM_PURCHASE-1682 | Custom Contribution | 20177.18</t>
        </is>
      </c>
      <c r="R1683" s="4" t="inlineStr">
        <is>
          <t>iPhone</t>
        </is>
      </c>
      <c r="S1683" s="4" t="inlineStr">
        <is>
          <t>B34</t>
        </is>
      </c>
      <c r="T1683" s="4" t="inlineStr">
        <is>
          <t>RAMP_1501_2500</t>
        </is>
      </c>
      <c r="U1683" s="4" t="inlineStr">
        <is>
          <t>CREATED</t>
        </is>
      </c>
      <c r="V1683" s="4" t="inlineStr">
        <is>
          <t>idem-20260902-ios-1682</t>
        </is>
      </c>
    </row>
    <row r="1684" ht="30" customHeight="1">
      <c r="A1684" s="4" t="n">
        <v>1683</v>
      </c>
      <c r="B1684" s="4" t="inlineStr">
        <is>
          <t>MTR-IOS-1683</t>
        </is>
      </c>
      <c r="C1684" s="4" t="inlineStr">
        <is>
          <t>Business</t>
        </is>
      </c>
      <c r="D1684" s="4" t="inlineStr">
        <is>
          <t>Business</t>
        </is>
      </c>
      <c r="E1684" s="4" t="inlineStr">
        <is>
          <t>Business Operations</t>
        </is>
      </c>
      <c r="F1684" s="4" t="inlineStr">
        <is>
          <t>Rent</t>
        </is>
      </c>
      <c r="G1684" s="4" t="inlineStr">
        <is>
          <t>Expense</t>
        </is>
      </c>
      <c r="H1684" s="12" t="n">
        <v>46212</v>
      </c>
      <c r="I1684" s="13" t="n">
        <v>0.8998842592592593</v>
      </c>
      <c r="J1684" s="14" t="n">
        <v>46212.89988425926</v>
      </c>
      <c r="K1684" s="15" t="n">
        <v>122248.81</v>
      </c>
      <c r="L1684" s="4" t="inlineStr">
        <is>
          <t>INR</t>
        </is>
      </c>
      <c r="M1684" s="15" t="n">
        <v>-122248.81</v>
      </c>
      <c r="N1684" s="4" t="inlineStr">
        <is>
          <t>IOS Owner</t>
        </is>
      </c>
      <c r="O1684" s="4" t="n"/>
      <c r="P1684" s="4" t="n"/>
      <c r="Q1684" s="4" t="inlineStr">
        <is>
          <t>MAESTRO-IOS-BUSINESS-BUSINESS_OPERATIONS-1683 | Rent | 122248.81</t>
        </is>
      </c>
      <c r="R1684" s="4" t="inlineStr">
        <is>
          <t>iPhone</t>
        </is>
      </c>
      <c r="S1684" s="4" t="inlineStr">
        <is>
          <t>B34</t>
        </is>
      </c>
      <c r="T1684" s="4" t="inlineStr">
        <is>
          <t>RAMP_1501_2500</t>
        </is>
      </c>
      <c r="U1684" s="4" t="inlineStr">
        <is>
          <t>CREATED</t>
        </is>
      </c>
      <c r="V1684" s="4" t="inlineStr">
        <is>
          <t>idem-20260902-ios-1683</t>
        </is>
      </c>
    </row>
    <row r="1685" ht="30" customHeight="1">
      <c r="A1685" s="4" t="n">
        <v>1684</v>
      </c>
      <c r="B1685" s="4" t="inlineStr">
        <is>
          <t>MTR-IOS-1684</t>
        </is>
      </c>
      <c r="C1685" s="4" t="inlineStr">
        <is>
          <t>Personal</t>
        </is>
      </c>
      <c r="D1685" s="4" t="inlineStr">
        <is>
          <t>Personal</t>
        </is>
      </c>
      <c r="E1685" s="4" t="inlineStr">
        <is>
          <t>Future Building</t>
        </is>
      </c>
      <c r="F1685" s="4" t="inlineStr">
        <is>
          <t>Investments</t>
        </is>
      </c>
      <c r="G1685" s="4" t="inlineStr">
        <is>
          <t>Investment</t>
        </is>
      </c>
      <c r="H1685" s="12" t="n">
        <v>45906</v>
      </c>
      <c r="I1685" s="13" t="n">
        <v>0.07800925925925926</v>
      </c>
      <c r="J1685" s="14" t="n">
        <v>45906.07800925926</v>
      </c>
      <c r="K1685" s="15" t="n">
        <v>2280.7</v>
      </c>
      <c r="L1685" s="4" t="inlineStr">
        <is>
          <t>INR</t>
        </is>
      </c>
      <c r="M1685" s="15" t="n">
        <v>0</v>
      </c>
      <c r="N1685" s="4" t="inlineStr">
        <is>
          <t>IOS Owner</t>
        </is>
      </c>
      <c r="O1685" s="4" t="n"/>
      <c r="P1685" s="4" t="n"/>
      <c r="Q1685" s="4" t="inlineStr">
        <is>
          <t>MAESTRO-IOS-PERSONAL-FUTURE_BUILDING-1684 | Investments | 2280.70</t>
        </is>
      </c>
      <c r="R1685" s="4" t="inlineStr">
        <is>
          <t>iPhone</t>
        </is>
      </c>
      <c r="S1685" s="4" t="inlineStr">
        <is>
          <t>B34</t>
        </is>
      </c>
      <c r="T1685" s="4" t="inlineStr">
        <is>
          <t>RAMP_1501_2500</t>
        </is>
      </c>
      <c r="U1685" s="4" t="inlineStr">
        <is>
          <t>CREATED</t>
        </is>
      </c>
      <c r="V1685" s="4" t="inlineStr">
        <is>
          <t>idem-20260902-ios-1684</t>
        </is>
      </c>
    </row>
    <row r="1686" ht="30" customHeight="1">
      <c r="A1686" s="4" t="n">
        <v>1685</v>
      </c>
      <c r="B1686" s="4" t="inlineStr">
        <is>
          <t>MTR-IOS-1685</t>
        </is>
      </c>
      <c r="C1686" s="4" t="inlineStr">
        <is>
          <t>Group</t>
        </is>
      </c>
      <c r="D1686" s="4" t="inlineStr">
        <is>
          <t>Shared Living</t>
        </is>
      </c>
      <c r="E1686" s="4" t="inlineStr">
        <is>
          <t>Flatmates</t>
        </is>
      </c>
      <c r="F1686" s="4" t="inlineStr">
        <is>
          <t>Rent</t>
        </is>
      </c>
      <c r="G1686" s="4" t="inlineStr">
        <is>
          <t>Expense</t>
        </is>
      </c>
      <c r="H1686" s="12" t="n">
        <v>45979</v>
      </c>
      <c r="I1686" s="13" t="n">
        <v>0.6845949074074074</v>
      </c>
      <c r="J1686" s="14" t="n">
        <v>45979.6845949074</v>
      </c>
      <c r="K1686" s="15" t="n">
        <v>26914.08</v>
      </c>
      <c r="L1686" s="4" t="inlineStr">
        <is>
          <t>INR</t>
        </is>
      </c>
      <c r="M1686" s="15" t="n">
        <v>-26914.08</v>
      </c>
      <c r="N1686" s="4" t="inlineStr">
        <is>
          <t>IOS Owner</t>
        </is>
      </c>
      <c r="O1686" s="4" t="n">
        <v>3</v>
      </c>
      <c r="P1686" s="4" t="inlineStr">
        <is>
          <t>PERCENTAGE</t>
        </is>
      </c>
      <c r="Q1686" s="4" t="inlineStr">
        <is>
          <t>MAESTRO-IOS-GROUP-FLATMATES-1685 | Rent | 26914.08</t>
        </is>
      </c>
      <c r="R1686" s="4" t="inlineStr">
        <is>
          <t>iPhone</t>
        </is>
      </c>
      <c r="S1686" s="4" t="inlineStr">
        <is>
          <t>B34</t>
        </is>
      </c>
      <c r="T1686" s="4" t="inlineStr">
        <is>
          <t>RAMP_1501_2500</t>
        </is>
      </c>
      <c r="U1686" s="4" t="inlineStr">
        <is>
          <t>CREATED</t>
        </is>
      </c>
      <c r="V1686" s="4" t="inlineStr">
        <is>
          <t>idem-20260902-ios-1685</t>
        </is>
      </c>
    </row>
    <row r="1687" ht="30" customHeight="1">
      <c r="A1687" s="4" t="n">
        <v>1686</v>
      </c>
      <c r="B1687" s="4" t="inlineStr">
        <is>
          <t>MTR-IOS-1686</t>
        </is>
      </c>
      <c r="C1687" s="4" t="inlineStr">
        <is>
          <t>Business</t>
        </is>
      </c>
      <c r="D1687" s="4" t="inlineStr">
        <is>
          <t>Business</t>
        </is>
      </c>
      <c r="E1687" s="4" t="inlineStr">
        <is>
          <t>Business Operations</t>
        </is>
      </c>
      <c r="F1687" s="4" t="inlineStr">
        <is>
          <t>Marketing</t>
        </is>
      </c>
      <c r="G1687" s="4" t="inlineStr">
        <is>
          <t>Expense</t>
        </is>
      </c>
      <c r="H1687" s="12" t="n">
        <v>45923</v>
      </c>
      <c r="I1687" s="13" t="n">
        <v>0.2638425925925926</v>
      </c>
      <c r="J1687" s="14" t="n">
        <v>45923.26384259259</v>
      </c>
      <c r="K1687" s="15" t="n">
        <v>114559.95</v>
      </c>
      <c r="L1687" s="4" t="inlineStr">
        <is>
          <t>INR</t>
        </is>
      </c>
      <c r="M1687" s="15" t="n">
        <v>-114559.95</v>
      </c>
      <c r="N1687" s="4" t="inlineStr">
        <is>
          <t>IOS Owner</t>
        </is>
      </c>
      <c r="O1687" s="4" t="n"/>
      <c r="P1687" s="4" t="n"/>
      <c r="Q1687" s="4" t="inlineStr">
        <is>
          <t>MAESTRO-IOS-BUSINESS-BUSINESS_OPERATIONS-1686 | Marketing | 114559.95</t>
        </is>
      </c>
      <c r="R1687" s="4" t="inlineStr">
        <is>
          <t>iPhone</t>
        </is>
      </c>
      <c r="S1687" s="4" t="inlineStr">
        <is>
          <t>B34</t>
        </is>
      </c>
      <c r="T1687" s="4" t="inlineStr">
        <is>
          <t>RAMP_1501_2500</t>
        </is>
      </c>
      <c r="U1687" s="4" t="inlineStr">
        <is>
          <t>CREATED</t>
        </is>
      </c>
      <c r="V1687" s="4" t="inlineStr">
        <is>
          <t>idem-20260902-ios-1686</t>
        </is>
      </c>
    </row>
    <row r="1688" ht="30" customHeight="1">
      <c r="A1688" s="4" t="n">
        <v>1687</v>
      </c>
      <c r="B1688" s="4" t="inlineStr">
        <is>
          <t>MTR-IOS-1687</t>
        </is>
      </c>
      <c r="C1688" s="4" t="inlineStr">
        <is>
          <t>Personal</t>
        </is>
      </c>
      <c r="D1688" s="4" t="inlineStr">
        <is>
          <t>Personal</t>
        </is>
      </c>
      <c r="E1688" s="4" t="inlineStr">
        <is>
          <t>Future Building</t>
        </is>
      </c>
      <c r="F1688" s="4" t="inlineStr">
        <is>
          <t>Education</t>
        </is>
      </c>
      <c r="G1688" s="4" t="inlineStr">
        <is>
          <t>Expense</t>
        </is>
      </c>
      <c r="H1688" s="12" t="n">
        <v>46127</v>
      </c>
      <c r="I1688" s="13" t="n">
        <v>0.03868055555555556</v>
      </c>
      <c r="J1688" s="14" t="n">
        <v>46127.03868055555</v>
      </c>
      <c r="K1688" s="15" t="n">
        <v>17247.48</v>
      </c>
      <c r="L1688" s="4" t="inlineStr">
        <is>
          <t>INR</t>
        </is>
      </c>
      <c r="M1688" s="15" t="n">
        <v>-17247.48</v>
      </c>
      <c r="N1688" s="4" t="inlineStr">
        <is>
          <t>IOS Owner</t>
        </is>
      </c>
      <c r="O1688" s="4" t="n"/>
      <c r="P1688" s="4" t="n"/>
      <c r="Q1688" s="4" t="inlineStr">
        <is>
          <t>MAESTRO-IOS-PERSONAL-FUTURE_BUILDING-1687 | Education | 17247.48</t>
        </is>
      </c>
      <c r="R1688" s="4" t="inlineStr">
        <is>
          <t>iPhone</t>
        </is>
      </c>
      <c r="S1688" s="4" t="inlineStr">
        <is>
          <t>B34</t>
        </is>
      </c>
      <c r="T1688" s="4" t="inlineStr">
        <is>
          <t>RAMP_1501_2500</t>
        </is>
      </c>
      <c r="U1688" s="4" t="inlineStr">
        <is>
          <t>CREATED</t>
        </is>
      </c>
      <c r="V1688" s="4" t="inlineStr">
        <is>
          <t>idem-20260902-ios-1687</t>
        </is>
      </c>
    </row>
    <row r="1689" ht="30" customHeight="1">
      <c r="A1689" s="4" t="n">
        <v>1688</v>
      </c>
      <c r="B1689" s="4" t="inlineStr">
        <is>
          <t>MTR-IOS-1688</t>
        </is>
      </c>
      <c r="C1689" s="4" t="inlineStr">
        <is>
          <t>Group</t>
        </is>
      </c>
      <c r="D1689" s="4" t="inlineStr">
        <is>
          <t>Shared Living</t>
        </is>
      </c>
      <c r="E1689" s="4" t="inlineStr">
        <is>
          <t>Flatmates</t>
        </is>
      </c>
      <c r="F1689" s="4" t="inlineStr">
        <is>
          <t>Utilities</t>
        </is>
      </c>
      <c r="G1689" s="4" t="inlineStr">
        <is>
          <t>Expense</t>
        </is>
      </c>
      <c r="H1689" s="12" t="n">
        <v>45941</v>
      </c>
      <c r="I1689" s="13" t="n">
        <v>0.9538657407407407</v>
      </c>
      <c r="J1689" s="14" t="n">
        <v>45941.95386574074</v>
      </c>
      <c r="K1689" s="15" t="n">
        <v>26634.28</v>
      </c>
      <c r="L1689" s="4" t="inlineStr">
        <is>
          <t>INR</t>
        </is>
      </c>
      <c r="M1689" s="15" t="n">
        <v>-26634.28</v>
      </c>
      <c r="N1689" s="4" t="inlineStr">
        <is>
          <t>IOS Aarav</t>
        </is>
      </c>
      <c r="O1689" s="4" t="n">
        <v>3</v>
      </c>
      <c r="P1689" s="4" t="inlineStr">
        <is>
          <t>EXACT</t>
        </is>
      </c>
      <c r="Q1689" s="4" t="inlineStr">
        <is>
          <t>MAESTRO-IOS-GROUP-FLATMATES-1688 | Utilities | 26634.28</t>
        </is>
      </c>
      <c r="R1689" s="4" t="inlineStr">
        <is>
          <t>iPhone</t>
        </is>
      </c>
      <c r="S1689" s="4" t="inlineStr">
        <is>
          <t>B34</t>
        </is>
      </c>
      <c r="T1689" s="4" t="inlineStr">
        <is>
          <t>RAMP_1501_2500</t>
        </is>
      </c>
      <c r="U1689" s="4" t="inlineStr">
        <is>
          <t>CREATED</t>
        </is>
      </c>
      <c r="V1689" s="4" t="inlineStr">
        <is>
          <t>idem-20260902-ios-1688</t>
        </is>
      </c>
    </row>
    <row r="1690" ht="30" customHeight="1">
      <c r="A1690" s="4" t="n">
        <v>1689</v>
      </c>
      <c r="B1690" s="4" t="inlineStr">
        <is>
          <t>MTR-IOS-1689</t>
        </is>
      </c>
      <c r="C1690" s="4" t="inlineStr">
        <is>
          <t>Business</t>
        </is>
      </c>
      <c r="D1690" s="4" t="inlineStr">
        <is>
          <t>Business</t>
        </is>
      </c>
      <c r="E1690" s="4" t="inlineStr">
        <is>
          <t>Business Operations</t>
        </is>
      </c>
      <c r="F1690" s="4" t="inlineStr">
        <is>
          <t>Legal</t>
        </is>
      </c>
      <c r="G1690" s="4" t="inlineStr">
        <is>
          <t>Expense</t>
        </is>
      </c>
      <c r="H1690" s="12" t="n">
        <v>46105</v>
      </c>
      <c r="I1690" s="13" t="n">
        <v>0.5598032407407407</v>
      </c>
      <c r="J1690" s="14" t="n">
        <v>46105.55980324074</v>
      </c>
      <c r="K1690" s="15" t="n">
        <v>104130.94</v>
      </c>
      <c r="L1690" s="4" t="inlineStr">
        <is>
          <t>INR</t>
        </is>
      </c>
      <c r="M1690" s="15" t="n">
        <v>-104130.94</v>
      </c>
      <c r="N1690" s="4" t="inlineStr">
        <is>
          <t>IOS Owner</t>
        </is>
      </c>
      <c r="O1690" s="4" t="n"/>
      <c r="P1690" s="4" t="n"/>
      <c r="Q1690" s="4" t="inlineStr">
        <is>
          <t>MAESTRO-IOS-BUSINESS-BUSINESS_OPERATIONS-1689 | Legal | 104130.94</t>
        </is>
      </c>
      <c r="R1690" s="4" t="inlineStr">
        <is>
          <t>iPhone</t>
        </is>
      </c>
      <c r="S1690" s="4" t="inlineStr">
        <is>
          <t>B34</t>
        </is>
      </c>
      <c r="T1690" s="4" t="inlineStr">
        <is>
          <t>RAMP_1501_2500</t>
        </is>
      </c>
      <c r="U1690" s="4" t="inlineStr">
        <is>
          <t>CREATED</t>
        </is>
      </c>
      <c r="V1690" s="4" t="inlineStr">
        <is>
          <t>idem-20260902-ios-1689</t>
        </is>
      </c>
    </row>
    <row r="1691" ht="30" customHeight="1">
      <c r="A1691" s="4" t="n">
        <v>1690</v>
      </c>
      <c r="B1691" s="4" t="inlineStr">
        <is>
          <t>MTR-IOS-1690</t>
        </is>
      </c>
      <c r="C1691" s="4" t="inlineStr">
        <is>
          <t>Personal</t>
        </is>
      </c>
      <c r="D1691" s="4" t="inlineStr">
        <is>
          <t>Personal</t>
        </is>
      </c>
      <c r="E1691" s="4" t="inlineStr">
        <is>
          <t>Future Building</t>
        </is>
      </c>
      <c r="F1691" s="4" t="inlineStr">
        <is>
          <t>Goal Contribution</t>
        </is>
      </c>
      <c r="G1691" s="4" t="inlineStr">
        <is>
          <t>Transfer</t>
        </is>
      </c>
      <c r="H1691" s="12" t="n">
        <v>46211</v>
      </c>
      <c r="I1691" s="13" t="n">
        <v>0.3039930555555556</v>
      </c>
      <c r="J1691" s="14" t="n">
        <v>46211.30399305555</v>
      </c>
      <c r="K1691" s="15" t="n">
        <v>8544.629999999999</v>
      </c>
      <c r="L1691" s="4" t="inlineStr">
        <is>
          <t>INR</t>
        </is>
      </c>
      <c r="M1691" s="15" t="n">
        <v>0</v>
      </c>
      <c r="N1691" s="4" t="inlineStr">
        <is>
          <t>IOS Owner</t>
        </is>
      </c>
      <c r="O1691" s="4" t="n"/>
      <c r="P1691" s="4" t="n"/>
      <c r="Q1691" s="4" t="inlineStr">
        <is>
          <t>MAESTRO-IOS-PERSONAL-FUTURE_BUILDING-1690 | Goal Contribution | 8544.63</t>
        </is>
      </c>
      <c r="R1691" s="4" t="inlineStr">
        <is>
          <t>iPhone</t>
        </is>
      </c>
      <c r="S1691" s="4" t="inlineStr">
        <is>
          <t>B34</t>
        </is>
      </c>
      <c r="T1691" s="4" t="inlineStr">
        <is>
          <t>RAMP_1501_2500</t>
        </is>
      </c>
      <c r="U1691" s="4" t="inlineStr">
        <is>
          <t>CREATED</t>
        </is>
      </c>
      <c r="V1691" s="4" t="inlineStr">
        <is>
          <t>idem-20260902-ios-1690</t>
        </is>
      </c>
    </row>
    <row r="1692" ht="30" customHeight="1">
      <c r="A1692" s="4" t="n">
        <v>1691</v>
      </c>
      <c r="B1692" s="4" t="inlineStr">
        <is>
          <t>MTR-IOS-1691</t>
        </is>
      </c>
      <c r="C1692" s="4" t="inlineStr">
        <is>
          <t>Group</t>
        </is>
      </c>
      <c r="D1692" s="4" t="inlineStr">
        <is>
          <t>Shared Living</t>
        </is>
      </c>
      <c r="E1692" s="4" t="inlineStr">
        <is>
          <t>Flatmates</t>
        </is>
      </c>
      <c r="F1692" s="4" t="inlineStr">
        <is>
          <t>Groceries</t>
        </is>
      </c>
      <c r="G1692" s="4" t="inlineStr">
        <is>
          <t>Expense</t>
        </is>
      </c>
      <c r="H1692" s="12" t="n">
        <v>46045</v>
      </c>
      <c r="I1692" s="13" t="n">
        <v>0.3433101851851852</v>
      </c>
      <c r="J1692" s="14" t="n">
        <v>46045.34331018518</v>
      </c>
      <c r="K1692" s="15" t="n">
        <v>7867.74</v>
      </c>
      <c r="L1692" s="4" t="inlineStr">
        <is>
          <t>INR</t>
        </is>
      </c>
      <c r="M1692" s="15" t="n">
        <v>-7867.74</v>
      </c>
      <c r="N1692" s="4" t="inlineStr">
        <is>
          <t>IOS Meera</t>
        </is>
      </c>
      <c r="O1692" s="4" t="n">
        <v>3</v>
      </c>
      <c r="P1692" s="4" t="inlineStr">
        <is>
          <t>SHARES</t>
        </is>
      </c>
      <c r="Q1692" s="4" t="inlineStr">
        <is>
          <t>MAESTRO-IOS-GROUP-FLATMATES-1691 | Groceries | 7867.74</t>
        </is>
      </c>
      <c r="R1692" s="4" t="inlineStr">
        <is>
          <t>iPhone</t>
        </is>
      </c>
      <c r="S1692" s="4" t="inlineStr">
        <is>
          <t>B34</t>
        </is>
      </c>
      <c r="T1692" s="4" t="inlineStr">
        <is>
          <t>RAMP_1501_2500</t>
        </is>
      </c>
      <c r="U1692" s="4" t="inlineStr">
        <is>
          <t>CREATED</t>
        </is>
      </c>
      <c r="V1692" s="4" t="inlineStr">
        <is>
          <t>idem-20260902-ios-1691</t>
        </is>
      </c>
    </row>
    <row r="1693" ht="30" customHeight="1">
      <c r="A1693" s="4" t="n">
        <v>1692</v>
      </c>
      <c r="B1693" s="4" t="inlineStr">
        <is>
          <t>MTR-IOS-1692</t>
        </is>
      </c>
      <c r="C1693" s="4" t="inlineStr">
        <is>
          <t>Business</t>
        </is>
      </c>
      <c r="D1693" s="4" t="inlineStr">
        <is>
          <t>Business</t>
        </is>
      </c>
      <c r="E1693" s="4" t="inlineStr">
        <is>
          <t>Business Operations</t>
        </is>
      </c>
      <c r="F1693" s="4" t="inlineStr">
        <is>
          <t>Accounting</t>
        </is>
      </c>
      <c r="G1693" s="4" t="inlineStr">
        <is>
          <t>Expense</t>
        </is>
      </c>
      <c r="H1693" s="12" t="n">
        <v>46008</v>
      </c>
      <c r="I1693" s="13" t="n">
        <v>0.9455787037037037</v>
      </c>
      <c r="J1693" s="14" t="n">
        <v>46008.9455787037</v>
      </c>
      <c r="K1693" s="15" t="n">
        <v>113506.89</v>
      </c>
      <c r="L1693" s="4" t="inlineStr">
        <is>
          <t>INR</t>
        </is>
      </c>
      <c r="M1693" s="15" t="n">
        <v>-113506.89</v>
      </c>
      <c r="N1693" s="4" t="inlineStr">
        <is>
          <t>IOS Owner</t>
        </is>
      </c>
      <c r="O1693" s="4" t="n"/>
      <c r="P1693" s="4" t="n"/>
      <c r="Q1693" s="4" t="inlineStr">
        <is>
          <t>MAESTRO-IOS-BUSINESS-BUSINESS_OPERATIONS-1692 | Accounting | 113506.89</t>
        </is>
      </c>
      <c r="R1693" s="4" t="inlineStr">
        <is>
          <t>iPhone</t>
        </is>
      </c>
      <c r="S1693" s="4" t="inlineStr">
        <is>
          <t>B34</t>
        </is>
      </c>
      <c r="T1693" s="4" t="inlineStr">
        <is>
          <t>RAMP_1501_2500</t>
        </is>
      </c>
      <c r="U1693" s="4" t="inlineStr">
        <is>
          <t>CREATED</t>
        </is>
      </c>
      <c r="V1693" s="4" t="inlineStr">
        <is>
          <t>idem-20260902-ios-1692</t>
        </is>
      </c>
    </row>
    <row r="1694" ht="30" customHeight="1">
      <c r="A1694" s="4" t="n">
        <v>1693</v>
      </c>
      <c r="B1694" s="4" t="inlineStr">
        <is>
          <t>MTR-IOS-1693</t>
        </is>
      </c>
      <c r="C1694" s="4" t="inlineStr">
        <is>
          <t>Personal</t>
        </is>
      </c>
      <c r="D1694" s="4" t="inlineStr">
        <is>
          <t>Personal</t>
        </is>
      </c>
      <c r="E1694" s="4" t="inlineStr">
        <is>
          <t>Lifestyle</t>
        </is>
      </c>
      <c r="F1694" s="4" t="inlineStr">
        <is>
          <t>Dining</t>
        </is>
      </c>
      <c r="G1694" s="4" t="inlineStr">
        <is>
          <t>Expense</t>
        </is>
      </c>
      <c r="H1694" s="12" t="n">
        <v>45907</v>
      </c>
      <c r="I1694" s="13" t="n">
        <v>0.9258912037037037</v>
      </c>
      <c r="J1694" s="14" t="n">
        <v>45907.9258912037</v>
      </c>
      <c r="K1694" s="15" t="n">
        <v>15695.46</v>
      </c>
      <c r="L1694" s="4" t="inlineStr">
        <is>
          <t>INR</t>
        </is>
      </c>
      <c r="M1694" s="15" t="n">
        <v>-15695.46</v>
      </c>
      <c r="N1694" s="4" t="inlineStr">
        <is>
          <t>IOS Owner</t>
        </is>
      </c>
      <c r="O1694" s="4" t="n"/>
      <c r="P1694" s="4" t="n"/>
      <c r="Q1694" s="4" t="inlineStr">
        <is>
          <t>MAESTRO-IOS-PERSONAL-LIFESTYLE-1693 | Dining | 15695.46</t>
        </is>
      </c>
      <c r="R1694" s="4" t="inlineStr">
        <is>
          <t>iPhone</t>
        </is>
      </c>
      <c r="S1694" s="4" t="inlineStr">
        <is>
          <t>B34</t>
        </is>
      </c>
      <c r="T1694" s="4" t="inlineStr">
        <is>
          <t>RAMP_1501_2500</t>
        </is>
      </c>
      <c r="U1694" s="4" t="inlineStr">
        <is>
          <t>CREATED</t>
        </is>
      </c>
      <c r="V1694" s="4" t="inlineStr">
        <is>
          <t>idem-20260902-ios-1693</t>
        </is>
      </c>
    </row>
    <row r="1695" ht="30" customHeight="1">
      <c r="A1695" s="4" t="n">
        <v>1694</v>
      </c>
      <c r="B1695" s="4" t="inlineStr">
        <is>
          <t>MTR-IOS-1694</t>
        </is>
      </c>
      <c r="C1695" s="4" t="inlineStr">
        <is>
          <t>Group</t>
        </is>
      </c>
      <c r="D1695" s="4" t="inlineStr">
        <is>
          <t>Shared Living</t>
        </is>
      </c>
      <c r="E1695" s="4" t="inlineStr">
        <is>
          <t>Flatmates</t>
        </is>
      </c>
      <c r="F1695" s="4" t="inlineStr">
        <is>
          <t>Internet</t>
        </is>
      </c>
      <c r="G1695" s="4" t="inlineStr">
        <is>
          <t>Expense</t>
        </is>
      </c>
      <c r="H1695" s="12" t="n">
        <v>46001</v>
      </c>
      <c r="I1695" s="13" t="n">
        <v>0.3410069444444445</v>
      </c>
      <c r="J1695" s="14" t="n">
        <v>46001.34100694444</v>
      </c>
      <c r="K1695" s="15" t="n">
        <v>5200.74</v>
      </c>
      <c r="L1695" s="4" t="inlineStr">
        <is>
          <t>INR</t>
        </is>
      </c>
      <c r="M1695" s="15" t="n">
        <v>-5200.74</v>
      </c>
      <c r="N1695" s="4" t="inlineStr">
        <is>
          <t>IOS Owner</t>
        </is>
      </c>
      <c r="O1695" s="4" t="n">
        <v>3</v>
      </c>
      <c r="P1695" s="4" t="inlineStr">
        <is>
          <t>EQUAL</t>
        </is>
      </c>
      <c r="Q1695" s="4" t="inlineStr">
        <is>
          <t>MAESTRO-IOS-GROUP-FLATMATES-1694 | Internet | 5200.74</t>
        </is>
      </c>
      <c r="R1695" s="4" t="inlineStr">
        <is>
          <t>iPhone</t>
        </is>
      </c>
      <c r="S1695" s="4" t="inlineStr">
        <is>
          <t>B34</t>
        </is>
      </c>
      <c r="T1695" s="4" t="inlineStr">
        <is>
          <t>RAMP_1501_2500</t>
        </is>
      </c>
      <c r="U1695" s="4" t="inlineStr">
        <is>
          <t>CREATED</t>
        </is>
      </c>
      <c r="V1695" s="4" t="inlineStr">
        <is>
          <t>idem-20260902-ios-1694</t>
        </is>
      </c>
    </row>
    <row r="1696" ht="30" customHeight="1">
      <c r="A1696" s="4" t="n">
        <v>1695</v>
      </c>
      <c r="B1696" s="4" t="inlineStr">
        <is>
          <t>MTR-IOS-1695</t>
        </is>
      </c>
      <c r="C1696" s="4" t="inlineStr">
        <is>
          <t>Business</t>
        </is>
      </c>
      <c r="D1696" s="4" t="inlineStr">
        <is>
          <t>Business</t>
        </is>
      </c>
      <c r="E1696" s="4" t="inlineStr">
        <is>
          <t>Business Operations</t>
        </is>
      </c>
      <c r="F1696" s="4" t="inlineStr">
        <is>
          <t>Equipment</t>
        </is>
      </c>
      <c r="G1696" s="4" t="inlineStr">
        <is>
          <t>Expense</t>
        </is>
      </c>
      <c r="H1696" s="12" t="n">
        <v>45937</v>
      </c>
      <c r="I1696" s="13" t="n">
        <v>0.8145949074074074</v>
      </c>
      <c r="J1696" s="14" t="n">
        <v>45937.81459490741</v>
      </c>
      <c r="K1696" s="15" t="n">
        <v>33693.74</v>
      </c>
      <c r="L1696" s="4" t="inlineStr">
        <is>
          <t>INR</t>
        </is>
      </c>
      <c r="M1696" s="15" t="n">
        <v>-33693.74</v>
      </c>
      <c r="N1696" s="4" t="inlineStr">
        <is>
          <t>IOS Owner</t>
        </is>
      </c>
      <c r="O1696" s="4" t="n"/>
      <c r="P1696" s="4" t="n"/>
      <c r="Q1696" s="4" t="inlineStr">
        <is>
          <t>MAESTRO-IOS-BUSINESS-BUSINESS_OPERATIONS-1695 | Equipment | 33693.74</t>
        </is>
      </c>
      <c r="R1696" s="4" t="inlineStr">
        <is>
          <t>iPhone</t>
        </is>
      </c>
      <c r="S1696" s="4" t="inlineStr">
        <is>
          <t>B34</t>
        </is>
      </c>
      <c r="T1696" s="4" t="inlineStr">
        <is>
          <t>RAMP_1501_2500</t>
        </is>
      </c>
      <c r="U1696" s="4" t="inlineStr">
        <is>
          <t>CREATED</t>
        </is>
      </c>
      <c r="V1696" s="4" t="inlineStr">
        <is>
          <t>idem-20260902-ios-1695</t>
        </is>
      </c>
    </row>
    <row r="1697" ht="30" customHeight="1">
      <c r="A1697" s="4" t="n">
        <v>1696</v>
      </c>
      <c r="B1697" s="4" t="inlineStr">
        <is>
          <t>MTR-IOS-1696</t>
        </is>
      </c>
      <c r="C1697" s="4" t="inlineStr">
        <is>
          <t>Personal</t>
        </is>
      </c>
      <c r="D1697" s="4" t="inlineStr">
        <is>
          <t>Personal</t>
        </is>
      </c>
      <c r="E1697" s="4" t="inlineStr">
        <is>
          <t>Lifestyle</t>
        </is>
      </c>
      <c r="F1697" s="4" t="inlineStr">
        <is>
          <t>Shopping</t>
        </is>
      </c>
      <c r="G1697" s="4" t="inlineStr">
        <is>
          <t>Expense</t>
        </is>
      </c>
      <c r="H1697" s="12" t="n">
        <v>45981</v>
      </c>
      <c r="I1697" s="13" t="n">
        <v>0.8615856481481482</v>
      </c>
      <c r="J1697" s="14" t="n">
        <v>45981.86158564815</v>
      </c>
      <c r="K1697" s="15" t="n">
        <v>3733.24</v>
      </c>
      <c r="L1697" s="4" t="inlineStr">
        <is>
          <t>INR</t>
        </is>
      </c>
      <c r="M1697" s="15" t="n">
        <v>-3733.24</v>
      </c>
      <c r="N1697" s="4" t="inlineStr">
        <is>
          <t>IOS Owner</t>
        </is>
      </c>
      <c r="O1697" s="4" t="n"/>
      <c r="P1697" s="4" t="n"/>
      <c r="Q1697" s="4" t="inlineStr">
        <is>
          <t>MAESTRO-IOS-PERSONAL-LIFESTYLE-1696 | Shopping | 3733.24</t>
        </is>
      </c>
      <c r="R1697" s="4" t="inlineStr">
        <is>
          <t>iPhone</t>
        </is>
      </c>
      <c r="S1697" s="4" t="inlineStr">
        <is>
          <t>B34</t>
        </is>
      </c>
      <c r="T1697" s="4" t="inlineStr">
        <is>
          <t>RAMP_1501_2500</t>
        </is>
      </c>
      <c r="U1697" s="4" t="inlineStr">
        <is>
          <t>CREATED</t>
        </is>
      </c>
      <c r="V1697" s="4" t="inlineStr">
        <is>
          <t>idem-20260902-ios-1696</t>
        </is>
      </c>
    </row>
    <row r="1698" ht="30" customHeight="1">
      <c r="A1698" s="4" t="n">
        <v>1697</v>
      </c>
      <c r="B1698" s="4" t="inlineStr">
        <is>
          <t>MTR-IOS-1697</t>
        </is>
      </c>
      <c r="C1698" s="4" t="inlineStr">
        <is>
          <t>Group</t>
        </is>
      </c>
      <c r="D1698" s="4" t="inlineStr">
        <is>
          <t>Shared Living</t>
        </is>
      </c>
      <c r="E1698" s="4" t="inlineStr">
        <is>
          <t>Flatmates</t>
        </is>
      </c>
      <c r="F1698" s="4" t="inlineStr">
        <is>
          <t>House Supplies</t>
        </is>
      </c>
      <c r="G1698" s="4" t="inlineStr">
        <is>
          <t>Expense</t>
        </is>
      </c>
      <c r="H1698" s="12" t="n">
        <v>46204</v>
      </c>
      <c r="I1698" s="13" t="n">
        <v>0.6533680555555555</v>
      </c>
      <c r="J1698" s="14" t="n">
        <v>46204.65336805556</v>
      </c>
      <c r="K1698" s="15" t="n">
        <v>2269.1</v>
      </c>
      <c r="L1698" s="4" t="inlineStr">
        <is>
          <t>INR</t>
        </is>
      </c>
      <c r="M1698" s="15" t="n">
        <v>-2269.1</v>
      </c>
      <c r="N1698" s="4" t="inlineStr">
        <is>
          <t>IOS Aarav</t>
        </is>
      </c>
      <c r="O1698" s="4" t="n">
        <v>3</v>
      </c>
      <c r="P1698" s="4" t="inlineStr">
        <is>
          <t>PERCENTAGE</t>
        </is>
      </c>
      <c r="Q1698" s="4" t="inlineStr">
        <is>
          <t>MAESTRO-IOS-GROUP-FLATMATES-1697 | House Supplies | 2269.10</t>
        </is>
      </c>
      <c r="R1698" s="4" t="inlineStr">
        <is>
          <t>iPhone</t>
        </is>
      </c>
      <c r="S1698" s="4" t="inlineStr">
        <is>
          <t>B34</t>
        </is>
      </c>
      <c r="T1698" s="4" t="inlineStr">
        <is>
          <t>RAMP_1501_2500</t>
        </is>
      </c>
      <c r="U1698" s="4" t="inlineStr">
        <is>
          <t>CREATED</t>
        </is>
      </c>
      <c r="V1698" s="4" t="inlineStr">
        <is>
          <t>idem-20260902-ios-1697</t>
        </is>
      </c>
    </row>
    <row r="1699" ht="30" customHeight="1">
      <c r="A1699" s="4" t="n">
        <v>1698</v>
      </c>
      <c r="B1699" s="4" t="inlineStr">
        <is>
          <t>MTR-IOS-1698</t>
        </is>
      </c>
      <c r="C1699" s="4" t="inlineStr">
        <is>
          <t>Business</t>
        </is>
      </c>
      <c r="D1699" s="4" t="inlineStr">
        <is>
          <t>Business</t>
        </is>
      </c>
      <c r="E1699" s="4" t="inlineStr">
        <is>
          <t>Business Operations</t>
        </is>
      </c>
      <c r="F1699" s="4" t="inlineStr">
        <is>
          <t>Vendor</t>
        </is>
      </c>
      <c r="G1699" s="4" t="inlineStr">
        <is>
          <t>Expense</t>
        </is>
      </c>
      <c r="H1699" s="12" t="n">
        <v>45982</v>
      </c>
      <c r="I1699" s="13" t="n">
        <v>0.8963425925925926</v>
      </c>
      <c r="J1699" s="14" t="n">
        <v>45982.89634259259</v>
      </c>
      <c r="K1699" s="15" t="n">
        <v>149993.28</v>
      </c>
      <c r="L1699" s="4" t="inlineStr">
        <is>
          <t>INR</t>
        </is>
      </c>
      <c r="M1699" s="15" t="n">
        <v>-149993.28</v>
      </c>
      <c r="N1699" s="4" t="inlineStr">
        <is>
          <t>IOS Owner</t>
        </is>
      </c>
      <c r="O1699" s="4" t="n"/>
      <c r="P1699" s="4" t="n"/>
      <c r="Q1699" s="4" t="inlineStr">
        <is>
          <t>MAESTRO-IOS-BUSINESS-BUSINESS_OPERATIONS-1698 | Vendor | 149993.28</t>
        </is>
      </c>
      <c r="R1699" s="4" t="inlineStr">
        <is>
          <t>iPhone</t>
        </is>
      </c>
      <c r="S1699" s="4" t="inlineStr">
        <is>
          <t>B34</t>
        </is>
      </c>
      <c r="T1699" s="4" t="inlineStr">
        <is>
          <t>RAMP_1501_2500</t>
        </is>
      </c>
      <c r="U1699" s="4" t="inlineStr">
        <is>
          <t>CREATED</t>
        </is>
      </c>
      <c r="V1699" s="4" t="inlineStr">
        <is>
          <t>idem-20260902-ios-1698</t>
        </is>
      </c>
    </row>
    <row r="1700" ht="30" customHeight="1">
      <c r="A1700" s="4" t="n">
        <v>1699</v>
      </c>
      <c r="B1700" s="4" t="inlineStr">
        <is>
          <t>MTR-IOS-1699</t>
        </is>
      </c>
      <c r="C1700" s="4" t="inlineStr">
        <is>
          <t>Personal</t>
        </is>
      </c>
      <c r="D1700" s="4" t="inlineStr">
        <is>
          <t>Personal</t>
        </is>
      </c>
      <c r="E1700" s="4" t="inlineStr">
        <is>
          <t>Lifestyle</t>
        </is>
      </c>
      <c r="F1700" s="4" t="inlineStr">
        <is>
          <t>Entertainment</t>
        </is>
      </c>
      <c r="G1700" s="4" t="inlineStr">
        <is>
          <t>Expense</t>
        </is>
      </c>
      <c r="H1700" s="12" t="n">
        <v>46083</v>
      </c>
      <c r="I1700" s="13" t="n">
        <v>0.2416782407407407</v>
      </c>
      <c r="J1700" s="14" t="n">
        <v>46083.24167824074</v>
      </c>
      <c r="K1700" s="15" t="n">
        <v>4438.3</v>
      </c>
      <c r="L1700" s="4" t="inlineStr">
        <is>
          <t>INR</t>
        </is>
      </c>
      <c r="M1700" s="15" t="n">
        <v>-4438.3</v>
      </c>
      <c r="N1700" s="4" t="inlineStr">
        <is>
          <t>IOS Owner</t>
        </is>
      </c>
      <c r="O1700" s="4" t="n"/>
      <c r="P1700" s="4" t="n"/>
      <c r="Q1700" s="4" t="inlineStr">
        <is>
          <t>MAESTRO-IOS-PERSONAL-LIFESTYLE-1699 | Entertainment | 4438.30</t>
        </is>
      </c>
      <c r="R1700" s="4" t="inlineStr">
        <is>
          <t>iPhone</t>
        </is>
      </c>
      <c r="S1700" s="4" t="inlineStr">
        <is>
          <t>B34</t>
        </is>
      </c>
      <c r="T1700" s="4" t="inlineStr">
        <is>
          <t>RAMP_1501_2500</t>
        </is>
      </c>
      <c r="U1700" s="4" t="inlineStr">
        <is>
          <t>CREATED</t>
        </is>
      </c>
      <c r="V1700" s="4" t="inlineStr">
        <is>
          <t>idem-20260902-ios-1699</t>
        </is>
      </c>
    </row>
    <row r="1701" ht="30" customHeight="1">
      <c r="A1701" s="4" t="n">
        <v>1700</v>
      </c>
      <c r="B1701" s="4" t="inlineStr">
        <is>
          <t>MTR-IOS-1700</t>
        </is>
      </c>
      <c r="C1701" s="4" t="inlineStr">
        <is>
          <t>Group</t>
        </is>
      </c>
      <c r="D1701" s="4" t="inlineStr">
        <is>
          <t>Shared Living</t>
        </is>
      </c>
      <c r="E1701" s="4" t="inlineStr">
        <is>
          <t>Flatmates</t>
        </is>
      </c>
      <c r="F1701" s="4" t="inlineStr">
        <is>
          <t>Repairs</t>
        </is>
      </c>
      <c r="G1701" s="4" t="inlineStr">
        <is>
          <t>Expense</t>
        </is>
      </c>
      <c r="H1701" s="12" t="n">
        <v>46225</v>
      </c>
      <c r="I1701" s="13" t="n">
        <v>0.002615740740740741</v>
      </c>
      <c r="J1701" s="14" t="n">
        <v>46225.00261574074</v>
      </c>
      <c r="K1701" s="15" t="n">
        <v>15676.34</v>
      </c>
      <c r="L1701" s="4" t="inlineStr">
        <is>
          <t>INR</t>
        </is>
      </c>
      <c r="M1701" s="15" t="n">
        <v>-15676.34</v>
      </c>
      <c r="N1701" s="4" t="inlineStr">
        <is>
          <t>IOS Meera</t>
        </is>
      </c>
      <c r="O1701" s="4" t="n">
        <v>3</v>
      </c>
      <c r="P1701" s="4" t="inlineStr">
        <is>
          <t>EXACT</t>
        </is>
      </c>
      <c r="Q1701" s="4" t="inlineStr">
        <is>
          <t>MAESTRO-IOS-GROUP-FLATMATES-1700 | Repairs | 15676.34</t>
        </is>
      </c>
      <c r="R1701" s="4" t="inlineStr">
        <is>
          <t>iPhone</t>
        </is>
      </c>
      <c r="S1701" s="4" t="inlineStr">
        <is>
          <t>B34</t>
        </is>
      </c>
      <c r="T1701" s="4" t="inlineStr">
        <is>
          <t>RAMP_1501_2500</t>
        </is>
      </c>
      <c r="U1701" s="4" t="inlineStr">
        <is>
          <t>CREATED</t>
        </is>
      </c>
      <c r="V1701" s="4" t="inlineStr">
        <is>
          <t>idem-20260902-ios-1700</t>
        </is>
      </c>
    </row>
    <row r="1702" ht="30" customHeight="1">
      <c r="A1702" s="4" t="n">
        <v>1701</v>
      </c>
      <c r="B1702" s="4" t="inlineStr">
        <is>
          <t>MTR-IOS-1701</t>
        </is>
      </c>
      <c r="C1702" s="4" t="inlineStr">
        <is>
          <t>Business</t>
        </is>
      </c>
      <c r="D1702" s="4" t="inlineStr">
        <is>
          <t>Business</t>
        </is>
      </c>
      <c r="E1702" s="4" t="inlineStr">
        <is>
          <t>Business Operations</t>
        </is>
      </c>
      <c r="F1702" s="4" t="inlineStr">
        <is>
          <t>Tax</t>
        </is>
      </c>
      <c r="G1702" s="4" t="inlineStr">
        <is>
          <t>Expense</t>
        </is>
      </c>
      <c r="H1702" s="12" t="n">
        <v>45970</v>
      </c>
      <c r="I1702" s="13" t="n">
        <v>0.7905439814814815</v>
      </c>
      <c r="J1702" s="14" t="n">
        <v>45970.79054398148</v>
      </c>
      <c r="K1702" s="15" t="n">
        <v>58888.56</v>
      </c>
      <c r="L1702" s="4" t="inlineStr">
        <is>
          <t>INR</t>
        </is>
      </c>
      <c r="M1702" s="15" t="n">
        <v>-58888.56</v>
      </c>
      <c r="N1702" s="4" t="inlineStr">
        <is>
          <t>IOS Owner</t>
        </is>
      </c>
      <c r="O1702" s="4" t="n"/>
      <c r="P1702" s="4" t="n"/>
      <c r="Q1702" s="4" t="inlineStr">
        <is>
          <t>MAESTRO-IOS-BUSINESS-BUSINESS_OPERATIONS-1701 | Tax | 58888.56</t>
        </is>
      </c>
      <c r="R1702" s="4" t="inlineStr">
        <is>
          <t>iPhone</t>
        </is>
      </c>
      <c r="S1702" s="4" t="inlineStr">
        <is>
          <t>B35</t>
        </is>
      </c>
      <c r="T1702" s="4" t="inlineStr">
        <is>
          <t>RAMP_1501_2500</t>
        </is>
      </c>
      <c r="U1702" s="4" t="inlineStr">
        <is>
          <t>CREATED</t>
        </is>
      </c>
      <c r="V1702" s="4" t="inlineStr">
        <is>
          <t>idem-20260902-ios-1701</t>
        </is>
      </c>
    </row>
    <row r="1703" ht="30" customHeight="1">
      <c r="A1703" s="4" t="n">
        <v>1702</v>
      </c>
      <c r="B1703" s="4" t="inlineStr">
        <is>
          <t>MTR-IOS-1702</t>
        </is>
      </c>
      <c r="C1703" s="4" t="inlineStr">
        <is>
          <t>Personal</t>
        </is>
      </c>
      <c r="D1703" s="4" t="inlineStr">
        <is>
          <t>Personal</t>
        </is>
      </c>
      <c r="E1703" s="4" t="inlineStr">
        <is>
          <t>Lifestyle</t>
        </is>
      </c>
      <c r="F1703" s="4" t="inlineStr">
        <is>
          <t>Travel</t>
        </is>
      </c>
      <c r="G1703" s="4" t="inlineStr">
        <is>
          <t>Expense</t>
        </is>
      </c>
      <c r="H1703" s="12" t="n">
        <v>46218</v>
      </c>
      <c r="I1703" s="13" t="n">
        <v>0.06885416666666666</v>
      </c>
      <c r="J1703" s="14" t="n">
        <v>46218.06885416667</v>
      </c>
      <c r="K1703" s="15" t="n">
        <v>999.99</v>
      </c>
      <c r="L1703" s="4" t="inlineStr">
        <is>
          <t>INR</t>
        </is>
      </c>
      <c r="M1703" s="15" t="n">
        <v>-999.99</v>
      </c>
      <c r="N1703" s="4" t="inlineStr">
        <is>
          <t>IOS Owner</t>
        </is>
      </c>
      <c r="O1703" s="4" t="n"/>
      <c r="P1703" s="4" t="n"/>
      <c r="Q1703" s="4" t="inlineStr">
        <is>
          <t>MAESTRO-IOS-PERSONAL-LIFESTYLE-1702 | Travel | 999.99</t>
        </is>
      </c>
      <c r="R1703" s="4" t="inlineStr">
        <is>
          <t>iPhone</t>
        </is>
      </c>
      <c r="S1703" s="4" t="inlineStr">
        <is>
          <t>B35</t>
        </is>
      </c>
      <c r="T1703" s="4" t="inlineStr">
        <is>
          <t>RAMP_1501_2500</t>
        </is>
      </c>
      <c r="U1703" s="4" t="inlineStr">
        <is>
          <t>CREATED</t>
        </is>
      </c>
      <c r="V1703" s="4" t="inlineStr">
        <is>
          <t>idem-20260902-ios-1702</t>
        </is>
      </c>
    </row>
    <row r="1704" ht="30" customHeight="1">
      <c r="A1704" s="4" t="n">
        <v>1703</v>
      </c>
      <c r="B1704" s="4" t="inlineStr">
        <is>
          <t>MTR-IOS-1703</t>
        </is>
      </c>
      <c r="C1704" s="4" t="inlineStr">
        <is>
          <t>Group</t>
        </is>
      </c>
      <c r="D1704" s="4" t="inlineStr">
        <is>
          <t>Shared Living</t>
        </is>
      </c>
      <c r="E1704" s="4" t="inlineStr">
        <is>
          <t>Shared Living</t>
        </is>
      </c>
      <c r="F1704" s="4" t="inlineStr">
        <is>
          <t>Rent</t>
        </is>
      </c>
      <c r="G1704" s="4" t="inlineStr">
        <is>
          <t>Expense</t>
        </is>
      </c>
      <c r="H1704" s="12" t="n">
        <v>45920</v>
      </c>
      <c r="I1704" s="13" t="n">
        <v>0.6185648148148148</v>
      </c>
      <c r="J1704" s="14" t="n">
        <v>45920.61856481482</v>
      </c>
      <c r="K1704" s="15" t="n">
        <v>20869.27</v>
      </c>
      <c r="L1704" s="4" t="inlineStr">
        <is>
          <t>INR</t>
        </is>
      </c>
      <c r="M1704" s="15" t="n">
        <v>-20869.27</v>
      </c>
      <c r="N1704" s="4" t="inlineStr">
        <is>
          <t>IOS Owner</t>
        </is>
      </c>
      <c r="O1704" s="4" t="n">
        <v>3</v>
      </c>
      <c r="P1704" s="4" t="inlineStr">
        <is>
          <t>SHARES</t>
        </is>
      </c>
      <c r="Q1704" s="4" t="inlineStr">
        <is>
          <t>MAESTRO-IOS-GROUP-SHARED_LIVING-1703 | Rent | 20869.27</t>
        </is>
      </c>
      <c r="R1704" s="4" t="inlineStr">
        <is>
          <t>iPhone</t>
        </is>
      </c>
      <c r="S1704" s="4" t="inlineStr">
        <is>
          <t>B35</t>
        </is>
      </c>
      <c r="T1704" s="4" t="inlineStr">
        <is>
          <t>RAMP_1501_2500</t>
        </is>
      </c>
      <c r="U1704" s="4" t="inlineStr">
        <is>
          <t>CREATED</t>
        </is>
      </c>
      <c r="V1704" s="4" t="inlineStr">
        <is>
          <t>idem-20260902-ios-1703</t>
        </is>
      </c>
    </row>
    <row r="1705" ht="30" customHeight="1">
      <c r="A1705" s="4" t="n">
        <v>1704</v>
      </c>
      <c r="B1705" s="4" t="inlineStr">
        <is>
          <t>MTR-IOS-1704</t>
        </is>
      </c>
      <c r="C1705" s="4" t="inlineStr">
        <is>
          <t>Business</t>
        </is>
      </c>
      <c r="D1705" s="4" t="inlineStr">
        <is>
          <t>Business</t>
        </is>
      </c>
      <c r="E1705" s="4" t="inlineStr">
        <is>
          <t>Team Operations</t>
        </is>
      </c>
      <c r="F1705" s="4" t="inlineStr">
        <is>
          <t>Payroll</t>
        </is>
      </c>
      <c r="G1705" s="4" t="inlineStr">
        <is>
          <t>Expense</t>
        </is>
      </c>
      <c r="H1705" s="12" t="n">
        <v>45934</v>
      </c>
      <c r="I1705" s="13" t="n">
        <v>0.9510648148148149</v>
      </c>
      <c r="J1705" s="14" t="n">
        <v>45934.95106481481</v>
      </c>
      <c r="K1705" s="15" t="n">
        <v>30953.51</v>
      </c>
      <c r="L1705" s="4" t="inlineStr">
        <is>
          <t>INR</t>
        </is>
      </c>
      <c r="M1705" s="15" t="n">
        <v>-30953.51</v>
      </c>
      <c r="N1705" s="4" t="inlineStr">
        <is>
          <t>IOS Owner</t>
        </is>
      </c>
      <c r="O1705" s="4" t="n"/>
      <c r="P1705" s="4" t="n"/>
      <c r="Q1705" s="4" t="inlineStr">
        <is>
          <t>MAESTRO-IOS-BUSINESS-TEAM_OPERATIONS-1704 | Payroll | 30953.51</t>
        </is>
      </c>
      <c r="R1705" s="4" t="inlineStr">
        <is>
          <t>iPhone</t>
        </is>
      </c>
      <c r="S1705" s="4" t="inlineStr">
        <is>
          <t>B35</t>
        </is>
      </c>
      <c r="T1705" s="4" t="inlineStr">
        <is>
          <t>RAMP_1501_2500</t>
        </is>
      </c>
      <c r="U1705" s="4" t="inlineStr">
        <is>
          <t>CREATED</t>
        </is>
      </c>
      <c r="V1705" s="4" t="inlineStr">
        <is>
          <t>idem-20260902-ios-1704</t>
        </is>
      </c>
    </row>
    <row r="1706" ht="30" customHeight="1">
      <c r="A1706" s="4" t="n">
        <v>1705</v>
      </c>
      <c r="B1706" s="4" t="inlineStr">
        <is>
          <t>MTR-IOS-1705</t>
        </is>
      </c>
      <c r="C1706" s="4" t="inlineStr">
        <is>
          <t>Personal</t>
        </is>
      </c>
      <c r="D1706" s="4" t="inlineStr">
        <is>
          <t>Personal</t>
        </is>
      </c>
      <c r="E1706" s="4" t="inlineStr">
        <is>
          <t>Lifestyle</t>
        </is>
      </c>
      <c r="F1706" s="4" t="inlineStr">
        <is>
          <t>Fitness</t>
        </is>
      </c>
      <c r="G1706" s="4" t="inlineStr">
        <is>
          <t>Expense</t>
        </is>
      </c>
      <c r="H1706" s="12" t="n">
        <v>46088</v>
      </c>
      <c r="I1706" s="13" t="n">
        <v>0.3743055555555556</v>
      </c>
      <c r="J1706" s="14" t="n">
        <v>46088.37430555555</v>
      </c>
      <c r="K1706" s="15" t="n">
        <v>12563.36</v>
      </c>
      <c r="L1706" s="4" t="inlineStr">
        <is>
          <t>INR</t>
        </is>
      </c>
      <c r="M1706" s="15" t="n">
        <v>-12563.36</v>
      </c>
      <c r="N1706" s="4" t="inlineStr">
        <is>
          <t>IOS Owner</t>
        </is>
      </c>
      <c r="O1706" s="4" t="n"/>
      <c r="P1706" s="4" t="n"/>
      <c r="Q1706" s="4" t="inlineStr">
        <is>
          <t>MAESTRO-IOS-PERSONAL-LIFESTYLE-1705 | Fitness | 12563.36</t>
        </is>
      </c>
      <c r="R1706" s="4" t="inlineStr">
        <is>
          <t>iPhone</t>
        </is>
      </c>
      <c r="S1706" s="4" t="inlineStr">
        <is>
          <t>B35</t>
        </is>
      </c>
      <c r="T1706" s="4" t="inlineStr">
        <is>
          <t>RAMP_1501_2500</t>
        </is>
      </c>
      <c r="U1706" s="4" t="inlineStr">
        <is>
          <t>CREATED</t>
        </is>
      </c>
      <c r="V1706" s="4" t="inlineStr">
        <is>
          <t>idem-20260902-ios-1705</t>
        </is>
      </c>
    </row>
    <row r="1707" ht="30" customHeight="1">
      <c r="A1707" s="4" t="n">
        <v>1706</v>
      </c>
      <c r="B1707" s="4" t="inlineStr">
        <is>
          <t>MTR-IOS-1706</t>
        </is>
      </c>
      <c r="C1707" s="4" t="inlineStr">
        <is>
          <t>Group</t>
        </is>
      </c>
      <c r="D1707" s="4" t="inlineStr">
        <is>
          <t>Shared Living</t>
        </is>
      </c>
      <c r="E1707" s="4" t="inlineStr">
        <is>
          <t>Shared Living</t>
        </is>
      </c>
      <c r="F1707" s="4" t="inlineStr">
        <is>
          <t>Utilities</t>
        </is>
      </c>
      <c r="G1707" s="4" t="inlineStr">
        <is>
          <t>Expense</t>
        </is>
      </c>
      <c r="H1707" s="12" t="n">
        <v>46043</v>
      </c>
      <c r="I1707" s="13" t="n">
        <v>0.8087384259259259</v>
      </c>
      <c r="J1707" s="14" t="n">
        <v>46043.80873842593</v>
      </c>
      <c r="K1707" s="15" t="n">
        <v>25655.5</v>
      </c>
      <c r="L1707" s="4" t="inlineStr">
        <is>
          <t>INR</t>
        </is>
      </c>
      <c r="M1707" s="15" t="n">
        <v>-25655.5</v>
      </c>
      <c r="N1707" s="4" t="inlineStr">
        <is>
          <t>IOS Aarav</t>
        </is>
      </c>
      <c r="O1707" s="4" t="n">
        <v>3</v>
      </c>
      <c r="P1707" s="4" t="inlineStr">
        <is>
          <t>EQUAL</t>
        </is>
      </c>
      <c r="Q1707" s="4" t="inlineStr">
        <is>
          <t>MAESTRO-IOS-GROUP-SHARED_LIVING-1706 | Utilities | 25655.50</t>
        </is>
      </c>
      <c r="R1707" s="4" t="inlineStr">
        <is>
          <t>iPhone</t>
        </is>
      </c>
      <c r="S1707" s="4" t="inlineStr">
        <is>
          <t>B35</t>
        </is>
      </c>
      <c r="T1707" s="4" t="inlineStr">
        <is>
          <t>RAMP_1501_2500</t>
        </is>
      </c>
      <c r="U1707" s="4" t="inlineStr">
        <is>
          <t>CREATED</t>
        </is>
      </c>
      <c r="V1707" s="4" t="inlineStr">
        <is>
          <t>idem-20260902-ios-1706</t>
        </is>
      </c>
    </row>
    <row r="1708" ht="30" customHeight="1">
      <c r="A1708" s="4" t="n">
        <v>1707</v>
      </c>
      <c r="B1708" s="4" t="inlineStr">
        <is>
          <t>MTR-IOS-1707</t>
        </is>
      </c>
      <c r="C1708" s="4" t="inlineStr">
        <is>
          <t>Business</t>
        </is>
      </c>
      <c r="D1708" s="4" t="inlineStr">
        <is>
          <t>Business</t>
        </is>
      </c>
      <c r="E1708" s="4" t="inlineStr">
        <is>
          <t>Team Operations</t>
        </is>
      </c>
      <c r="F1708" s="4" t="inlineStr">
        <is>
          <t>Contractor</t>
        </is>
      </c>
      <c r="G1708" s="4" t="inlineStr">
        <is>
          <t>Expense</t>
        </is>
      </c>
      <c r="H1708" s="12" t="n">
        <v>46183</v>
      </c>
      <c r="I1708" s="13" t="n">
        <v>0.2615509259259259</v>
      </c>
      <c r="J1708" s="14" t="n">
        <v>46183.26155092593</v>
      </c>
      <c r="K1708" s="15" t="n">
        <v>145538.59</v>
      </c>
      <c r="L1708" s="4" t="inlineStr">
        <is>
          <t>INR</t>
        </is>
      </c>
      <c r="M1708" s="15" t="n">
        <v>-145538.59</v>
      </c>
      <c r="N1708" s="4" t="inlineStr">
        <is>
          <t>IOS Owner</t>
        </is>
      </c>
      <c r="O1708" s="4" t="n"/>
      <c r="P1708" s="4" t="n"/>
      <c r="Q1708" s="4" t="inlineStr">
        <is>
          <t>MAESTRO-IOS-BUSINESS-TEAM_OPERATIONS-1707 | Contractor | 145538.59</t>
        </is>
      </c>
      <c r="R1708" s="4" t="inlineStr">
        <is>
          <t>iPhone</t>
        </is>
      </c>
      <c r="S1708" s="4" t="inlineStr">
        <is>
          <t>B35</t>
        </is>
      </c>
      <c r="T1708" s="4" t="inlineStr">
        <is>
          <t>RAMP_1501_2500</t>
        </is>
      </c>
      <c r="U1708" s="4" t="inlineStr">
        <is>
          <t>CREATED</t>
        </is>
      </c>
      <c r="V1708" s="4" t="inlineStr">
        <is>
          <t>idem-20260902-ios-1707</t>
        </is>
      </c>
    </row>
    <row r="1709" ht="30" customHeight="1">
      <c r="A1709" s="4" t="n">
        <v>1708</v>
      </c>
      <c r="B1709" s="4" t="inlineStr">
        <is>
          <t>MTR-IOS-1708</t>
        </is>
      </c>
      <c r="C1709" s="4" t="inlineStr">
        <is>
          <t>Personal</t>
        </is>
      </c>
      <c r="D1709" s="4" t="inlineStr">
        <is>
          <t>Personal</t>
        </is>
      </c>
      <c r="E1709" s="4" t="inlineStr">
        <is>
          <t>Lifestyle</t>
        </is>
      </c>
      <c r="F1709" s="4" t="inlineStr">
        <is>
          <t>Hobbies</t>
        </is>
      </c>
      <c r="G1709" s="4" t="inlineStr">
        <is>
          <t>Expense</t>
        </is>
      </c>
      <c r="H1709" s="12" t="n">
        <v>46130</v>
      </c>
      <c r="I1709" s="13" t="n">
        <v>0.6945601851851851</v>
      </c>
      <c r="J1709" s="14" t="n">
        <v>46130.69456018518</v>
      </c>
      <c r="K1709" s="15" t="n">
        <v>5262.55</v>
      </c>
      <c r="L1709" s="4" t="inlineStr">
        <is>
          <t>INR</t>
        </is>
      </c>
      <c r="M1709" s="15" t="n">
        <v>-5262.55</v>
      </c>
      <c r="N1709" s="4" t="inlineStr">
        <is>
          <t>IOS Owner</t>
        </is>
      </c>
      <c r="O1709" s="4" t="n"/>
      <c r="P1709" s="4" t="n"/>
      <c r="Q1709" s="4" t="inlineStr">
        <is>
          <t>MAESTRO-IOS-PERSONAL-LIFESTYLE-1708 | Hobbies | 5262.55</t>
        </is>
      </c>
      <c r="R1709" s="4" t="inlineStr">
        <is>
          <t>iPhone</t>
        </is>
      </c>
      <c r="S1709" s="4" t="inlineStr">
        <is>
          <t>B35</t>
        </is>
      </c>
      <c r="T1709" s="4" t="inlineStr">
        <is>
          <t>RAMP_1501_2500</t>
        </is>
      </c>
      <c r="U1709" s="4" t="inlineStr">
        <is>
          <t>CREATED</t>
        </is>
      </c>
      <c r="V1709" s="4" t="inlineStr">
        <is>
          <t>idem-20260902-ios-1708</t>
        </is>
      </c>
    </row>
    <row r="1710" ht="30" customHeight="1">
      <c r="A1710" s="4" t="n">
        <v>1709</v>
      </c>
      <c r="B1710" s="4" t="inlineStr">
        <is>
          <t>MTR-IOS-1709</t>
        </is>
      </c>
      <c r="C1710" s="4" t="inlineStr">
        <is>
          <t>Group</t>
        </is>
      </c>
      <c r="D1710" s="4" t="inlineStr">
        <is>
          <t>Shared Living</t>
        </is>
      </c>
      <c r="E1710" s="4" t="inlineStr">
        <is>
          <t>Shared Living</t>
        </is>
      </c>
      <c r="F1710" s="4" t="inlineStr">
        <is>
          <t>Groceries</t>
        </is>
      </c>
      <c r="G1710" s="4" t="inlineStr">
        <is>
          <t>Expense</t>
        </is>
      </c>
      <c r="H1710" s="12" t="n">
        <v>46092</v>
      </c>
      <c r="I1710" s="13" t="n">
        <v>0.2077662037037037</v>
      </c>
      <c r="J1710" s="14" t="n">
        <v>46092.2077662037</v>
      </c>
      <c r="K1710" s="15" t="n">
        <v>18416.55</v>
      </c>
      <c r="L1710" s="4" t="inlineStr">
        <is>
          <t>INR</t>
        </is>
      </c>
      <c r="M1710" s="15" t="n">
        <v>-18416.55</v>
      </c>
      <c r="N1710" s="4" t="inlineStr">
        <is>
          <t>IOS Meera</t>
        </is>
      </c>
      <c r="O1710" s="4" t="n">
        <v>3</v>
      </c>
      <c r="P1710" s="4" t="inlineStr">
        <is>
          <t>PERCENTAGE</t>
        </is>
      </c>
      <c r="Q1710" s="4" t="inlineStr">
        <is>
          <t>MAESTRO-IOS-GROUP-SHARED_LIVING-1709 | Groceries | 18416.55</t>
        </is>
      </c>
      <c r="R1710" s="4" t="inlineStr">
        <is>
          <t>iPhone</t>
        </is>
      </c>
      <c r="S1710" s="4" t="inlineStr">
        <is>
          <t>B35</t>
        </is>
      </c>
      <c r="T1710" s="4" t="inlineStr">
        <is>
          <t>RAMP_1501_2500</t>
        </is>
      </c>
      <c r="U1710" s="4" t="inlineStr">
        <is>
          <t>CREATED</t>
        </is>
      </c>
      <c r="V1710" s="4" t="inlineStr">
        <is>
          <t>idem-20260902-ios-1709</t>
        </is>
      </c>
    </row>
    <row r="1711" ht="30" customHeight="1">
      <c r="A1711" s="4" t="n">
        <v>1710</v>
      </c>
      <c r="B1711" s="4" t="inlineStr">
        <is>
          <t>MTR-IOS-1710</t>
        </is>
      </c>
      <c r="C1711" s="4" t="inlineStr">
        <is>
          <t>Business</t>
        </is>
      </c>
      <c r="D1711" s="4" t="inlineStr">
        <is>
          <t>Business</t>
        </is>
      </c>
      <c r="E1711" s="4" t="inlineStr">
        <is>
          <t>Team Operations</t>
        </is>
      </c>
      <c r="F1711" s="4" t="inlineStr">
        <is>
          <t>Hiring</t>
        </is>
      </c>
      <c r="G1711" s="4" t="inlineStr">
        <is>
          <t>Expense</t>
        </is>
      </c>
      <c r="H1711" s="12" t="n">
        <v>46212</v>
      </c>
      <c r="I1711" s="13" t="n">
        <v>0.2015509259259259</v>
      </c>
      <c r="J1711" s="14" t="n">
        <v>46212.20155092593</v>
      </c>
      <c r="K1711" s="15" t="n">
        <v>94434.17</v>
      </c>
      <c r="L1711" s="4" t="inlineStr">
        <is>
          <t>INR</t>
        </is>
      </c>
      <c r="M1711" s="15" t="n">
        <v>-94434.17</v>
      </c>
      <c r="N1711" s="4" t="inlineStr">
        <is>
          <t>IOS Owner</t>
        </is>
      </c>
      <c r="O1711" s="4" t="n"/>
      <c r="P1711" s="4" t="n"/>
      <c r="Q1711" s="4" t="inlineStr">
        <is>
          <t>MAESTRO-IOS-BUSINESS-TEAM_OPERATIONS-1710 | Hiring | 94434.17</t>
        </is>
      </c>
      <c r="R1711" s="4" t="inlineStr">
        <is>
          <t>iPhone</t>
        </is>
      </c>
      <c r="S1711" s="4" t="inlineStr">
        <is>
          <t>B35</t>
        </is>
      </c>
      <c r="T1711" s="4" t="inlineStr">
        <is>
          <t>RAMP_1501_2500</t>
        </is>
      </c>
      <c r="U1711" s="4" t="inlineStr">
        <is>
          <t>CREATED</t>
        </is>
      </c>
      <c r="V1711" s="4" t="inlineStr">
        <is>
          <t>idem-20260902-ios-1710</t>
        </is>
      </c>
    </row>
    <row r="1712" ht="30" customHeight="1">
      <c r="A1712" s="4" t="n">
        <v>1711</v>
      </c>
      <c r="B1712" s="4" t="inlineStr">
        <is>
          <t>MTR-IOS-1711</t>
        </is>
      </c>
      <c r="C1712" s="4" t="inlineStr">
        <is>
          <t>Personal</t>
        </is>
      </c>
      <c r="D1712" s="4" t="inlineStr">
        <is>
          <t>Personal</t>
        </is>
      </c>
      <c r="E1712" s="4" t="inlineStr">
        <is>
          <t>Relationships</t>
        </is>
      </c>
      <c r="F1712" s="4" t="inlineStr">
        <is>
          <t>Gifts</t>
        </is>
      </c>
      <c r="G1712" s="4" t="inlineStr">
        <is>
          <t>Expense</t>
        </is>
      </c>
      <c r="H1712" s="12" t="n">
        <v>46238</v>
      </c>
      <c r="I1712" s="13" t="n">
        <v>0.2461111111111111</v>
      </c>
      <c r="J1712" s="14" t="n">
        <v>46238.24611111111</v>
      </c>
      <c r="K1712" s="15" t="n">
        <v>16204.75</v>
      </c>
      <c r="L1712" s="4" t="inlineStr">
        <is>
          <t>INR</t>
        </is>
      </c>
      <c r="M1712" s="15" t="n">
        <v>-16204.75</v>
      </c>
      <c r="N1712" s="4" t="inlineStr">
        <is>
          <t>IOS Owner</t>
        </is>
      </c>
      <c r="O1712" s="4" t="n"/>
      <c r="P1712" s="4" t="n"/>
      <c r="Q1712" s="4" t="inlineStr">
        <is>
          <t>MAESTRO-IOS-PERSONAL-RELATIONSHIPS-1711 | Gifts | 16204.75</t>
        </is>
      </c>
      <c r="R1712" s="4" t="inlineStr">
        <is>
          <t>iPhone</t>
        </is>
      </c>
      <c r="S1712" s="4" t="inlineStr">
        <is>
          <t>B35</t>
        </is>
      </c>
      <c r="T1712" s="4" t="inlineStr">
        <is>
          <t>RAMP_1501_2500</t>
        </is>
      </c>
      <c r="U1712" s="4" t="inlineStr">
        <is>
          <t>CREATED</t>
        </is>
      </c>
      <c r="V1712" s="4" t="inlineStr">
        <is>
          <t>idem-20260902-ios-1711</t>
        </is>
      </c>
    </row>
    <row r="1713" ht="30" customHeight="1">
      <c r="A1713" s="4" t="n">
        <v>1712</v>
      </c>
      <c r="B1713" s="4" t="inlineStr">
        <is>
          <t>MTR-IOS-1712</t>
        </is>
      </c>
      <c r="C1713" s="4" t="inlineStr">
        <is>
          <t>Group</t>
        </is>
      </c>
      <c r="D1713" s="4" t="inlineStr">
        <is>
          <t>Shared Living</t>
        </is>
      </c>
      <c r="E1713" s="4" t="inlineStr">
        <is>
          <t>Shared Living</t>
        </is>
      </c>
      <c r="F1713" s="4" t="inlineStr">
        <is>
          <t>Maintenance</t>
        </is>
      </c>
      <c r="G1713" s="4" t="inlineStr">
        <is>
          <t>Expense</t>
        </is>
      </c>
      <c r="H1713" s="12" t="n">
        <v>46214</v>
      </c>
      <c r="I1713" s="13" t="n">
        <v>0.1067939814814815</v>
      </c>
      <c r="J1713" s="14" t="n">
        <v>46214.10679398148</v>
      </c>
      <c r="K1713" s="15" t="n">
        <v>7595.74</v>
      </c>
      <c r="L1713" s="4" t="inlineStr">
        <is>
          <t>INR</t>
        </is>
      </c>
      <c r="M1713" s="15" t="n">
        <v>-7595.74</v>
      </c>
      <c r="N1713" s="4" t="inlineStr">
        <is>
          <t>IOS Owner</t>
        </is>
      </c>
      <c r="O1713" s="4" t="n">
        <v>3</v>
      </c>
      <c r="P1713" s="4" t="inlineStr">
        <is>
          <t>EXACT</t>
        </is>
      </c>
      <c r="Q1713" s="4" t="inlineStr">
        <is>
          <t>MAESTRO-IOS-GROUP-SHARED_LIVING-1712 | Maintenance | 7595.74</t>
        </is>
      </c>
      <c r="R1713" s="4" t="inlineStr">
        <is>
          <t>iPhone</t>
        </is>
      </c>
      <c r="S1713" s="4" t="inlineStr">
        <is>
          <t>B35</t>
        </is>
      </c>
      <c r="T1713" s="4" t="inlineStr">
        <is>
          <t>RAMP_1501_2500</t>
        </is>
      </c>
      <c r="U1713" s="4" t="inlineStr">
        <is>
          <t>CREATED</t>
        </is>
      </c>
      <c r="V1713" s="4" t="inlineStr">
        <is>
          <t>idem-20260902-ios-1712</t>
        </is>
      </c>
    </row>
    <row r="1714" ht="30" customHeight="1">
      <c r="A1714" s="4" t="n">
        <v>1713</v>
      </c>
      <c r="B1714" s="4" t="inlineStr">
        <is>
          <t>MTR-IOS-1713</t>
        </is>
      </c>
      <c r="C1714" s="4" t="inlineStr">
        <is>
          <t>Business</t>
        </is>
      </c>
      <c r="D1714" s="4" t="inlineStr">
        <is>
          <t>Business</t>
        </is>
      </c>
      <c r="E1714" s="4" t="inlineStr">
        <is>
          <t>Team Operations</t>
        </is>
      </c>
      <c r="F1714" s="4" t="inlineStr">
        <is>
          <t>Team Meal</t>
        </is>
      </c>
      <c r="G1714" s="4" t="inlineStr">
        <is>
          <t>Expense</t>
        </is>
      </c>
      <c r="H1714" s="12" t="n">
        <v>46094</v>
      </c>
      <c r="I1714" s="13" t="n">
        <v>0.8418865740740741</v>
      </c>
      <c r="J1714" s="14" t="n">
        <v>46094.84188657408</v>
      </c>
      <c r="K1714" s="15" t="n">
        <v>120396.8</v>
      </c>
      <c r="L1714" s="4" t="inlineStr">
        <is>
          <t>INR</t>
        </is>
      </c>
      <c r="M1714" s="15" t="n">
        <v>-120396.8</v>
      </c>
      <c r="N1714" s="4" t="inlineStr">
        <is>
          <t>IOS Owner</t>
        </is>
      </c>
      <c r="O1714" s="4" t="n"/>
      <c r="P1714" s="4" t="n"/>
      <c r="Q1714" s="4" t="inlineStr">
        <is>
          <t>MAESTRO-IOS-BUSINESS-TEAM_OPERATIONS-1713 | Team Meal | 120396.80</t>
        </is>
      </c>
      <c r="R1714" s="4" t="inlineStr">
        <is>
          <t>iPhone</t>
        </is>
      </c>
      <c r="S1714" s="4" t="inlineStr">
        <is>
          <t>B35</t>
        </is>
      </c>
      <c r="T1714" s="4" t="inlineStr">
        <is>
          <t>RAMP_1501_2500</t>
        </is>
      </c>
      <c r="U1714" s="4" t="inlineStr">
        <is>
          <t>CREATED</t>
        </is>
      </c>
      <c r="V1714" s="4" t="inlineStr">
        <is>
          <t>idem-20260902-ios-1713</t>
        </is>
      </c>
    </row>
    <row r="1715" ht="30" customHeight="1">
      <c r="A1715" s="4" t="n">
        <v>1714</v>
      </c>
      <c r="B1715" s="4" t="inlineStr">
        <is>
          <t>MTR-IOS-1714</t>
        </is>
      </c>
      <c r="C1715" s="4" t="inlineStr">
        <is>
          <t>Personal</t>
        </is>
      </c>
      <c r="D1715" s="4" t="inlineStr">
        <is>
          <t>Personal</t>
        </is>
      </c>
      <c r="E1715" s="4" t="inlineStr">
        <is>
          <t>Relationships</t>
        </is>
      </c>
      <c r="F1715" s="4" t="inlineStr">
        <is>
          <t>Dates</t>
        </is>
      </c>
      <c r="G1715" s="4" t="inlineStr">
        <is>
          <t>Expense</t>
        </is>
      </c>
      <c r="H1715" s="12" t="n">
        <v>46235</v>
      </c>
      <c r="I1715" s="13" t="n">
        <v>0.3792013888888889</v>
      </c>
      <c r="J1715" s="14" t="n">
        <v>46235.37920138889</v>
      </c>
      <c r="K1715" s="15" t="n">
        <v>6883.88</v>
      </c>
      <c r="L1715" s="4" t="inlineStr">
        <is>
          <t>INR</t>
        </is>
      </c>
      <c r="M1715" s="15" t="n">
        <v>-6883.88</v>
      </c>
      <c r="N1715" s="4" t="inlineStr">
        <is>
          <t>IOS Owner</t>
        </is>
      </c>
      <c r="O1715" s="4" t="n"/>
      <c r="P1715" s="4" t="n"/>
      <c r="Q1715" s="4" t="inlineStr">
        <is>
          <t>MAESTRO-IOS-PERSONAL-RELATIONSHIPS-1714 | Dates | 6883.88</t>
        </is>
      </c>
      <c r="R1715" s="4" t="inlineStr">
        <is>
          <t>iPhone</t>
        </is>
      </c>
      <c r="S1715" s="4" t="inlineStr">
        <is>
          <t>B35</t>
        </is>
      </c>
      <c r="T1715" s="4" t="inlineStr">
        <is>
          <t>RAMP_1501_2500</t>
        </is>
      </c>
      <c r="U1715" s="4" t="inlineStr">
        <is>
          <t>CREATED</t>
        </is>
      </c>
      <c r="V1715" s="4" t="inlineStr">
        <is>
          <t>idem-20260902-ios-1714</t>
        </is>
      </c>
    </row>
    <row r="1716" ht="30" customHeight="1">
      <c r="A1716" s="4" t="n">
        <v>1715</v>
      </c>
      <c r="B1716" s="4" t="inlineStr">
        <is>
          <t>MTR-IOS-1715</t>
        </is>
      </c>
      <c r="C1716" s="4" t="inlineStr">
        <is>
          <t>Group</t>
        </is>
      </c>
      <c r="D1716" s="4" t="inlineStr">
        <is>
          <t>Shared Living</t>
        </is>
      </c>
      <c r="E1716" s="4" t="inlineStr">
        <is>
          <t>Shared Living</t>
        </is>
      </c>
      <c r="F1716" s="4" t="inlineStr">
        <is>
          <t>Other</t>
        </is>
      </c>
      <c r="G1716" s="4" t="inlineStr">
        <is>
          <t>Expense</t>
        </is>
      </c>
      <c r="H1716" s="12" t="n">
        <v>45926</v>
      </c>
      <c r="I1716" s="13" t="n">
        <v>0.4377083333333333</v>
      </c>
      <c r="J1716" s="14" t="n">
        <v>45926.43770833333</v>
      </c>
      <c r="K1716" s="15" t="n">
        <v>25711.24</v>
      </c>
      <c r="L1716" s="4" t="inlineStr">
        <is>
          <t>INR</t>
        </is>
      </c>
      <c r="M1716" s="15" t="n">
        <v>-25711.24</v>
      </c>
      <c r="N1716" s="4" t="inlineStr">
        <is>
          <t>IOS Aarav</t>
        </is>
      </c>
      <c r="O1716" s="4" t="n">
        <v>3</v>
      </c>
      <c r="P1716" s="4" t="inlineStr">
        <is>
          <t>SHARES</t>
        </is>
      </c>
      <c r="Q1716" s="4" t="inlineStr">
        <is>
          <t>MAESTRO-IOS-GROUP-SHARED_LIVING-1715 | Other | 25711.24</t>
        </is>
      </c>
      <c r="R1716" s="4" t="inlineStr">
        <is>
          <t>iPhone</t>
        </is>
      </c>
      <c r="S1716" s="4" t="inlineStr">
        <is>
          <t>B35</t>
        </is>
      </c>
      <c r="T1716" s="4" t="inlineStr">
        <is>
          <t>RAMP_1501_2500</t>
        </is>
      </c>
      <c r="U1716" s="4" t="inlineStr">
        <is>
          <t>CREATED</t>
        </is>
      </c>
      <c r="V1716" s="4" t="inlineStr">
        <is>
          <t>idem-20260902-ios-1715</t>
        </is>
      </c>
    </row>
    <row r="1717" ht="30" customHeight="1">
      <c r="A1717" s="4" t="n">
        <v>1716</v>
      </c>
      <c r="B1717" s="4" t="inlineStr">
        <is>
          <t>MTR-IOS-1716</t>
        </is>
      </c>
      <c r="C1717" s="4" t="inlineStr">
        <is>
          <t>Business</t>
        </is>
      </c>
      <c r="D1717" s="4" t="inlineStr">
        <is>
          <t>Business</t>
        </is>
      </c>
      <c r="E1717" s="4" t="inlineStr">
        <is>
          <t>Team Operations</t>
        </is>
      </c>
      <c r="F1717" s="4" t="inlineStr">
        <is>
          <t>Travel</t>
        </is>
      </c>
      <c r="G1717" s="4" t="inlineStr">
        <is>
          <t>Expense</t>
        </is>
      </c>
      <c r="H1717" s="12" t="n">
        <v>46010</v>
      </c>
      <c r="I1717" s="13" t="n">
        <v>0.2223611111111111</v>
      </c>
      <c r="J1717" s="14" t="n">
        <v>46010.22236111111</v>
      </c>
      <c r="K1717" s="15" t="n">
        <v>108472.7</v>
      </c>
      <c r="L1717" s="4" t="inlineStr">
        <is>
          <t>INR</t>
        </is>
      </c>
      <c r="M1717" s="15" t="n">
        <v>-108472.7</v>
      </c>
      <c r="N1717" s="4" t="inlineStr">
        <is>
          <t>IOS Owner</t>
        </is>
      </c>
      <c r="O1717" s="4" t="n"/>
      <c r="P1717" s="4" t="n"/>
      <c r="Q1717" s="4" t="inlineStr">
        <is>
          <t>MAESTRO-IOS-BUSINESS-TEAM_OPERATIONS-1716 | Travel | 108472.70</t>
        </is>
      </c>
      <c r="R1717" s="4" t="inlineStr">
        <is>
          <t>iPhone</t>
        </is>
      </c>
      <c r="S1717" s="4" t="inlineStr">
        <is>
          <t>B35</t>
        </is>
      </c>
      <c r="T1717" s="4" t="inlineStr">
        <is>
          <t>RAMP_1501_2500</t>
        </is>
      </c>
      <c r="U1717" s="4" t="inlineStr">
        <is>
          <t>CREATED</t>
        </is>
      </c>
      <c r="V1717" s="4" t="inlineStr">
        <is>
          <t>idem-20260902-ios-1716</t>
        </is>
      </c>
    </row>
    <row r="1718" ht="30" customHeight="1">
      <c r="A1718" s="4" t="n">
        <v>1717</v>
      </c>
      <c r="B1718" s="4" t="inlineStr">
        <is>
          <t>MTR-IOS-1717</t>
        </is>
      </c>
      <c r="C1718" s="4" t="inlineStr">
        <is>
          <t>Personal</t>
        </is>
      </c>
      <c r="D1718" s="4" t="inlineStr">
        <is>
          <t>Personal</t>
        </is>
      </c>
      <c r="E1718" s="4" t="inlineStr">
        <is>
          <t>Relationships</t>
        </is>
      </c>
      <c r="F1718" s="4" t="inlineStr">
        <is>
          <t>Family</t>
        </is>
      </c>
      <c r="G1718" s="4" t="inlineStr">
        <is>
          <t>Expense</t>
        </is>
      </c>
      <c r="H1718" s="12" t="n">
        <v>46090</v>
      </c>
      <c r="I1718" s="13" t="n">
        <v>0.9041898148148149</v>
      </c>
      <c r="J1718" s="14" t="n">
        <v>46090.90418981481</v>
      </c>
      <c r="K1718" s="15" t="n">
        <v>9131.940000000001</v>
      </c>
      <c r="L1718" s="4" t="inlineStr">
        <is>
          <t>INR</t>
        </is>
      </c>
      <c r="M1718" s="15" t="n">
        <v>-9131.940000000001</v>
      </c>
      <c r="N1718" s="4" t="inlineStr">
        <is>
          <t>IOS Owner</t>
        </is>
      </c>
      <c r="O1718" s="4" t="n"/>
      <c r="P1718" s="4" t="n"/>
      <c r="Q1718" s="4" t="inlineStr">
        <is>
          <t>MAESTRO-IOS-PERSONAL-RELATIONSHIPS-1717 | Family | 9131.94</t>
        </is>
      </c>
      <c r="R1718" s="4" t="inlineStr">
        <is>
          <t>iPhone</t>
        </is>
      </c>
      <c r="S1718" s="4" t="inlineStr">
        <is>
          <t>B35</t>
        </is>
      </c>
      <c r="T1718" s="4" t="inlineStr">
        <is>
          <t>RAMP_1501_2500</t>
        </is>
      </c>
      <c r="U1718" s="4" t="inlineStr">
        <is>
          <t>CREATED</t>
        </is>
      </c>
      <c r="V1718" s="4" t="inlineStr">
        <is>
          <t>idem-20260902-ios-1717</t>
        </is>
      </c>
    </row>
    <row r="1719" ht="30" customHeight="1">
      <c r="A1719" s="4" t="n">
        <v>1718</v>
      </c>
      <c r="B1719" s="4" t="inlineStr">
        <is>
          <t>MTR-IOS-1718</t>
        </is>
      </c>
      <c r="C1719" s="4" t="inlineStr">
        <is>
          <t>Group</t>
        </is>
      </c>
      <c r="D1719" s="4" t="inlineStr">
        <is>
          <t>Shared Living</t>
        </is>
      </c>
      <c r="E1719" s="4" t="inlineStr">
        <is>
          <t>Family Household</t>
        </is>
      </c>
      <c r="F1719" s="4" t="inlineStr">
        <is>
          <t>Groceries</t>
        </is>
      </c>
      <c r="G1719" s="4" t="inlineStr">
        <is>
          <t>Expense</t>
        </is>
      </c>
      <c r="H1719" s="12" t="n">
        <v>46111</v>
      </c>
      <c r="I1719" s="13" t="n">
        <v>0.6341666666666667</v>
      </c>
      <c r="J1719" s="14" t="n">
        <v>46111.63416666666</v>
      </c>
      <c r="K1719" s="15" t="n">
        <v>22024.59</v>
      </c>
      <c r="L1719" s="4" t="inlineStr">
        <is>
          <t>INR</t>
        </is>
      </c>
      <c r="M1719" s="15" t="n">
        <v>-22024.59</v>
      </c>
      <c r="N1719" s="4" t="inlineStr">
        <is>
          <t>IOS Meera</t>
        </is>
      </c>
      <c r="O1719" s="4" t="n">
        <v>3</v>
      </c>
      <c r="P1719" s="4" t="inlineStr">
        <is>
          <t>EQUAL</t>
        </is>
      </c>
      <c r="Q1719" s="4" t="inlineStr">
        <is>
          <t>MAESTRO-IOS-GROUP-FAMILY_HOUSEHOLD-1718 | Groceries | 22024.59</t>
        </is>
      </c>
      <c r="R1719" s="4" t="inlineStr">
        <is>
          <t>iPhone</t>
        </is>
      </c>
      <c r="S1719" s="4" t="inlineStr">
        <is>
          <t>B35</t>
        </is>
      </c>
      <c r="T1719" s="4" t="inlineStr">
        <is>
          <t>RAMP_1501_2500</t>
        </is>
      </c>
      <c r="U1719" s="4" t="inlineStr">
        <is>
          <t>CREATED</t>
        </is>
      </c>
      <c r="V1719" s="4" t="inlineStr">
        <is>
          <t>idem-20260902-ios-1718</t>
        </is>
      </c>
    </row>
    <row r="1720" ht="30" customHeight="1">
      <c r="A1720" s="4" t="n">
        <v>1719</v>
      </c>
      <c r="B1720" s="4" t="inlineStr">
        <is>
          <t>MTR-IOS-1719</t>
        </is>
      </c>
      <c r="C1720" s="4" t="inlineStr">
        <is>
          <t>Business</t>
        </is>
      </c>
      <c r="D1720" s="4" t="inlineStr">
        <is>
          <t>Business</t>
        </is>
      </c>
      <c r="E1720" s="4" t="inlineStr">
        <is>
          <t>Team Operations</t>
        </is>
      </c>
      <c r="F1720" s="4" t="inlineStr">
        <is>
          <t>Training</t>
        </is>
      </c>
      <c r="G1720" s="4" t="inlineStr">
        <is>
          <t>Expense</t>
        </is>
      </c>
      <c r="H1720" s="12" t="n">
        <v>45931</v>
      </c>
      <c r="I1720" s="13" t="n">
        <v>0.6433333333333333</v>
      </c>
      <c r="J1720" s="14" t="n">
        <v>45931.64333333333</v>
      </c>
      <c r="K1720" s="15" t="n">
        <v>28520</v>
      </c>
      <c r="L1720" s="4" t="inlineStr">
        <is>
          <t>INR</t>
        </is>
      </c>
      <c r="M1720" s="15" t="n">
        <v>-28520</v>
      </c>
      <c r="N1720" s="4" t="inlineStr">
        <is>
          <t>IOS Owner</t>
        </is>
      </c>
      <c r="O1720" s="4" t="n"/>
      <c r="P1720" s="4" t="n"/>
      <c r="Q1720" s="4" t="inlineStr">
        <is>
          <t>MAESTRO-IOS-BUSINESS-TEAM_OPERATIONS-1719 | Training | 28520.00</t>
        </is>
      </c>
      <c r="R1720" s="4" t="inlineStr">
        <is>
          <t>iPhone</t>
        </is>
      </c>
      <c r="S1720" s="4" t="inlineStr">
        <is>
          <t>B35</t>
        </is>
      </c>
      <c r="T1720" s="4" t="inlineStr">
        <is>
          <t>RAMP_1501_2500</t>
        </is>
      </c>
      <c r="U1720" s="4" t="inlineStr">
        <is>
          <t>CREATED</t>
        </is>
      </c>
      <c r="V1720" s="4" t="inlineStr">
        <is>
          <t>idem-20260902-ios-1719</t>
        </is>
      </c>
    </row>
    <row r="1721" ht="30" customHeight="1">
      <c r="A1721" s="4" t="n">
        <v>1720</v>
      </c>
      <c r="B1721" s="4" t="inlineStr">
        <is>
          <t>MTR-IOS-1720</t>
        </is>
      </c>
      <c r="C1721" s="4" t="inlineStr">
        <is>
          <t>Personal</t>
        </is>
      </c>
      <c r="D1721" s="4" t="inlineStr">
        <is>
          <t>Personal</t>
        </is>
      </c>
      <c r="E1721" s="4" t="inlineStr">
        <is>
          <t>Relationships</t>
        </is>
      </c>
      <c r="F1721" s="4" t="inlineStr">
        <is>
          <t>Friends</t>
        </is>
      </c>
      <c r="G1721" s="4" t="inlineStr">
        <is>
          <t>Expense</t>
        </is>
      </c>
      <c r="H1721" s="12" t="n">
        <v>46194</v>
      </c>
      <c r="I1721" s="13" t="n">
        <v>0.002743055555555555</v>
      </c>
      <c r="J1721" s="14" t="n">
        <v>46194.00274305556</v>
      </c>
      <c r="K1721" s="15" t="n">
        <v>10369.47</v>
      </c>
      <c r="L1721" s="4" t="inlineStr">
        <is>
          <t>INR</t>
        </is>
      </c>
      <c r="M1721" s="15" t="n">
        <v>-10369.47</v>
      </c>
      <c r="N1721" s="4" t="inlineStr">
        <is>
          <t>IOS Owner</t>
        </is>
      </c>
      <c r="O1721" s="4" t="n"/>
      <c r="P1721" s="4" t="n"/>
      <c r="Q1721" s="4" t="inlineStr">
        <is>
          <t>MAESTRO-IOS-PERSONAL-RELATIONSHIPS-1720 | Friends | 10369.47</t>
        </is>
      </c>
      <c r="R1721" s="4" t="inlineStr">
        <is>
          <t>iPhone</t>
        </is>
      </c>
      <c r="S1721" s="4" t="inlineStr">
        <is>
          <t>B35</t>
        </is>
      </c>
      <c r="T1721" s="4" t="inlineStr">
        <is>
          <t>RAMP_1501_2500</t>
        </is>
      </c>
      <c r="U1721" s="4" t="inlineStr">
        <is>
          <t>CREATED</t>
        </is>
      </c>
      <c r="V1721" s="4" t="inlineStr">
        <is>
          <t>idem-20260902-ios-1720</t>
        </is>
      </c>
    </row>
    <row r="1722" ht="30" customHeight="1">
      <c r="A1722" s="4" t="n">
        <v>1721</v>
      </c>
      <c r="B1722" s="4" t="inlineStr">
        <is>
          <t>MTR-IOS-1721</t>
        </is>
      </c>
      <c r="C1722" s="4" t="inlineStr">
        <is>
          <t>Group</t>
        </is>
      </c>
      <c r="D1722" s="4" t="inlineStr">
        <is>
          <t>Shared Living</t>
        </is>
      </c>
      <c r="E1722" s="4" t="inlineStr">
        <is>
          <t>Family Household</t>
        </is>
      </c>
      <c r="F1722" s="4" t="inlineStr">
        <is>
          <t>Bills</t>
        </is>
      </c>
      <c r="G1722" s="4" t="inlineStr">
        <is>
          <t>Expense</t>
        </is>
      </c>
      <c r="H1722" s="12" t="n">
        <v>46195</v>
      </c>
      <c r="I1722" s="13" t="n">
        <v>0.2745717592592593</v>
      </c>
      <c r="J1722" s="14" t="n">
        <v>46195.27457175926</v>
      </c>
      <c r="K1722" s="15" t="n">
        <v>8715.26</v>
      </c>
      <c r="L1722" s="4" t="inlineStr">
        <is>
          <t>INR</t>
        </is>
      </c>
      <c r="M1722" s="15" t="n">
        <v>-8715.26</v>
      </c>
      <c r="N1722" s="4" t="inlineStr">
        <is>
          <t>IOS Owner</t>
        </is>
      </c>
      <c r="O1722" s="4" t="n">
        <v>3</v>
      </c>
      <c r="P1722" s="4" t="inlineStr">
        <is>
          <t>PERCENTAGE</t>
        </is>
      </c>
      <c r="Q1722" s="4" t="inlineStr">
        <is>
          <t>MAESTRO-IOS-GROUP-FAMILY_HOUSEHOLD-1721 | Bills | 8715.26</t>
        </is>
      </c>
      <c r="R1722" s="4" t="inlineStr">
        <is>
          <t>iPhone</t>
        </is>
      </c>
      <c r="S1722" s="4" t="inlineStr">
        <is>
          <t>B35</t>
        </is>
      </c>
      <c r="T1722" s="4" t="inlineStr">
        <is>
          <t>RAMP_1501_2500</t>
        </is>
      </c>
      <c r="U1722" s="4" t="inlineStr">
        <is>
          <t>CREATED</t>
        </is>
      </c>
      <c r="V1722" s="4" t="inlineStr">
        <is>
          <t>idem-20260902-ios-1721</t>
        </is>
      </c>
    </row>
    <row r="1723" ht="30" customHeight="1">
      <c r="A1723" s="4" t="n">
        <v>1722</v>
      </c>
      <c r="B1723" s="4" t="inlineStr">
        <is>
          <t>MTR-IOS-1722</t>
        </is>
      </c>
      <c r="C1723" s="4" t="inlineStr">
        <is>
          <t>Business</t>
        </is>
      </c>
      <c r="D1723" s="4" t="inlineStr">
        <is>
          <t>Business</t>
        </is>
      </c>
      <c r="E1723" s="4" t="inlineStr">
        <is>
          <t>Team Operations</t>
        </is>
      </c>
      <c r="F1723" s="4" t="inlineStr">
        <is>
          <t>Tools</t>
        </is>
      </c>
      <c r="G1723" s="4" t="inlineStr">
        <is>
          <t>Expense</t>
        </is>
      </c>
      <c r="H1723" s="12" t="n">
        <v>46007</v>
      </c>
      <c r="I1723" s="13" t="n">
        <v>0.3819444444444444</v>
      </c>
      <c r="J1723" s="14" t="n">
        <v>46007.38194444445</v>
      </c>
      <c r="K1723" s="15" t="n">
        <v>92705.69</v>
      </c>
      <c r="L1723" s="4" t="inlineStr">
        <is>
          <t>INR</t>
        </is>
      </c>
      <c r="M1723" s="15" t="n">
        <v>-92705.69</v>
      </c>
      <c r="N1723" s="4" t="inlineStr">
        <is>
          <t>IOS Owner</t>
        </is>
      </c>
      <c r="O1723" s="4" t="n"/>
      <c r="P1723" s="4" t="n"/>
      <c r="Q1723" s="4" t="inlineStr">
        <is>
          <t>MAESTRO-IOS-BUSINESS-TEAM_OPERATIONS-1722 | Tools | 92705.69</t>
        </is>
      </c>
      <c r="R1723" s="4" t="inlineStr">
        <is>
          <t>iPhone</t>
        </is>
      </c>
      <c r="S1723" s="4" t="inlineStr">
        <is>
          <t>B35</t>
        </is>
      </c>
      <c r="T1723" s="4" t="inlineStr">
        <is>
          <t>RAMP_1501_2500</t>
        </is>
      </c>
      <c r="U1723" s="4" t="inlineStr">
        <is>
          <t>CREATED</t>
        </is>
      </c>
      <c r="V1723" s="4" t="inlineStr">
        <is>
          <t>idem-20260902-ios-1722</t>
        </is>
      </c>
    </row>
    <row r="1724" ht="30" customHeight="1">
      <c r="A1724" s="4" t="n">
        <v>1723</v>
      </c>
      <c r="B1724" s="4" t="inlineStr">
        <is>
          <t>MTR-IOS-1723</t>
        </is>
      </c>
      <c r="C1724" s="4" t="inlineStr">
        <is>
          <t>Personal</t>
        </is>
      </c>
      <c r="D1724" s="4" t="inlineStr">
        <is>
          <t>Personal</t>
        </is>
      </c>
      <c r="E1724" s="4" t="inlineStr">
        <is>
          <t>Relationships</t>
        </is>
      </c>
      <c r="F1724" s="4" t="inlineStr">
        <is>
          <t>Celebrations</t>
        </is>
      </c>
      <c r="G1724" s="4" t="inlineStr">
        <is>
          <t>Expense</t>
        </is>
      </c>
      <c r="H1724" s="12" t="n">
        <v>46073</v>
      </c>
      <c r="I1724" s="13" t="n">
        <v>0.8702314814814814</v>
      </c>
      <c r="J1724" s="14" t="n">
        <v>46073.87023148148</v>
      </c>
      <c r="K1724" s="15" t="n">
        <v>17887.75</v>
      </c>
      <c r="L1724" s="4" t="inlineStr">
        <is>
          <t>INR</t>
        </is>
      </c>
      <c r="M1724" s="15" t="n">
        <v>-17887.75</v>
      </c>
      <c r="N1724" s="4" t="inlineStr">
        <is>
          <t>IOS Owner</t>
        </is>
      </c>
      <c r="O1724" s="4" t="n"/>
      <c r="P1724" s="4" t="n"/>
      <c r="Q1724" s="4" t="inlineStr">
        <is>
          <t>MAESTRO-IOS-PERSONAL-RELATIONSHIPS-1723 | Celebrations | 17887.75</t>
        </is>
      </c>
      <c r="R1724" s="4" t="inlineStr">
        <is>
          <t>iPhone</t>
        </is>
      </c>
      <c r="S1724" s="4" t="inlineStr">
        <is>
          <t>B35</t>
        </is>
      </c>
      <c r="T1724" s="4" t="inlineStr">
        <is>
          <t>RAMP_1501_2500</t>
        </is>
      </c>
      <c r="U1724" s="4" t="inlineStr">
        <is>
          <t>CREATED</t>
        </is>
      </c>
      <c r="V1724" s="4" t="inlineStr">
        <is>
          <t>idem-20260902-ios-1723</t>
        </is>
      </c>
    </row>
    <row r="1725" ht="30" customHeight="1">
      <c r="A1725" s="4" t="n">
        <v>1724</v>
      </c>
      <c r="B1725" s="4" t="inlineStr">
        <is>
          <t>MTR-IOS-1724</t>
        </is>
      </c>
      <c r="C1725" s="4" t="inlineStr">
        <is>
          <t>Group</t>
        </is>
      </c>
      <c r="D1725" s="4" t="inlineStr">
        <is>
          <t>Shared Living</t>
        </is>
      </c>
      <c r="E1725" s="4" t="inlineStr">
        <is>
          <t>Family Household</t>
        </is>
      </c>
      <c r="F1725" s="4" t="inlineStr">
        <is>
          <t>School</t>
        </is>
      </c>
      <c r="G1725" s="4" t="inlineStr">
        <is>
          <t>Expense</t>
        </is>
      </c>
      <c r="H1725" s="12" t="n">
        <v>46033</v>
      </c>
      <c r="I1725" s="13" t="n">
        <v>0.1081828703703704</v>
      </c>
      <c r="J1725" s="14" t="n">
        <v>46033.10818287037</v>
      </c>
      <c r="K1725" s="15" t="n">
        <v>25761.67</v>
      </c>
      <c r="L1725" s="4" t="inlineStr">
        <is>
          <t>INR</t>
        </is>
      </c>
      <c r="M1725" s="15" t="n">
        <v>-25761.67</v>
      </c>
      <c r="N1725" s="4" t="inlineStr">
        <is>
          <t>IOS Aarav</t>
        </is>
      </c>
      <c r="O1725" s="4" t="n">
        <v>3</v>
      </c>
      <c r="P1725" s="4" t="inlineStr">
        <is>
          <t>EXACT</t>
        </is>
      </c>
      <c r="Q1725" s="4" t="inlineStr">
        <is>
          <t>MAESTRO-IOS-GROUP-FAMILY_HOUSEHOLD-1724 | School | 25761.67</t>
        </is>
      </c>
      <c r="R1725" s="4" t="inlineStr">
        <is>
          <t>iPhone</t>
        </is>
      </c>
      <c r="S1725" s="4" t="inlineStr">
        <is>
          <t>B35</t>
        </is>
      </c>
      <c r="T1725" s="4" t="inlineStr">
        <is>
          <t>RAMP_1501_2500</t>
        </is>
      </c>
      <c r="U1725" s="4" t="inlineStr">
        <is>
          <t>CREATED</t>
        </is>
      </c>
      <c r="V1725" s="4" t="inlineStr">
        <is>
          <t>idem-20260902-ios-1724</t>
        </is>
      </c>
    </row>
    <row r="1726" ht="30" customHeight="1">
      <c r="A1726" s="4" t="n">
        <v>1725</v>
      </c>
      <c r="B1726" s="4" t="inlineStr">
        <is>
          <t>MTR-IOS-1725</t>
        </is>
      </c>
      <c r="C1726" s="4" t="inlineStr">
        <is>
          <t>Business</t>
        </is>
      </c>
      <c r="D1726" s="4" t="inlineStr">
        <is>
          <t>Business</t>
        </is>
      </c>
      <c r="E1726" s="4" t="inlineStr">
        <is>
          <t>Business Runway</t>
        </is>
      </c>
      <c r="F1726" s="4" t="inlineStr">
        <is>
          <t>Funding</t>
        </is>
      </c>
      <c r="G1726" s="4" t="inlineStr">
        <is>
          <t>Income</t>
        </is>
      </c>
      <c r="H1726" s="12" t="n">
        <v>46099</v>
      </c>
      <c r="I1726" s="13" t="n">
        <v>0.3931944444444445</v>
      </c>
      <c r="J1726" s="14" t="n">
        <v>46099.39319444444</v>
      </c>
      <c r="K1726" s="15" t="n">
        <v>44136.7</v>
      </c>
      <c r="L1726" s="4" t="inlineStr">
        <is>
          <t>INR</t>
        </is>
      </c>
      <c r="M1726" s="15" t="n">
        <v>44136.7</v>
      </c>
      <c r="N1726" s="4" t="inlineStr">
        <is>
          <t>IOS Owner</t>
        </is>
      </c>
      <c r="O1726" s="4" t="n"/>
      <c r="P1726" s="4" t="n"/>
      <c r="Q1726" s="4" t="inlineStr">
        <is>
          <t>MAESTRO-IOS-BUSINESS-BUSINESS_RUNWAY-1725 | Funding | 44136.70</t>
        </is>
      </c>
      <c r="R1726" s="4" t="inlineStr">
        <is>
          <t>iPhone</t>
        </is>
      </c>
      <c r="S1726" s="4" t="inlineStr">
        <is>
          <t>B35</t>
        </is>
      </c>
      <c r="T1726" s="4" t="inlineStr">
        <is>
          <t>RAMP_1501_2500</t>
        </is>
      </c>
      <c r="U1726" s="4" t="inlineStr">
        <is>
          <t>CREATED</t>
        </is>
      </c>
      <c r="V1726" s="4" t="inlineStr">
        <is>
          <t>idem-20260902-ios-1725</t>
        </is>
      </c>
    </row>
    <row r="1727" ht="30" customHeight="1">
      <c r="A1727" s="4" t="n">
        <v>1726</v>
      </c>
      <c r="B1727" s="4" t="inlineStr">
        <is>
          <t>MTR-IOS-1726</t>
        </is>
      </c>
      <c r="C1727" s="4" t="inlineStr">
        <is>
          <t>Personal</t>
        </is>
      </c>
      <c r="D1727" s="4" t="inlineStr">
        <is>
          <t>Personal</t>
        </is>
      </c>
      <c r="E1727" s="4" t="inlineStr">
        <is>
          <t>Life Operations</t>
        </is>
      </c>
      <c r="F1727" s="4" t="inlineStr">
        <is>
          <t>Groceries</t>
        </is>
      </c>
      <c r="G1727" s="4" t="inlineStr">
        <is>
          <t>Expense</t>
        </is>
      </c>
      <c r="H1727" s="12" t="n">
        <v>46258</v>
      </c>
      <c r="I1727" s="13" t="n">
        <v>0.5</v>
      </c>
      <c r="J1727" s="14" t="n">
        <v>46258.5</v>
      </c>
      <c r="K1727" s="15" t="n">
        <v>5104.32</v>
      </c>
      <c r="L1727" s="4" t="inlineStr">
        <is>
          <t>INR</t>
        </is>
      </c>
      <c r="M1727" s="15" t="n">
        <v>-5104.32</v>
      </c>
      <c r="N1727" s="4" t="inlineStr">
        <is>
          <t>IOS Owner</t>
        </is>
      </c>
      <c r="O1727" s="4" t="n"/>
      <c r="P1727" s="4" t="n"/>
      <c r="Q1727" s="4" t="inlineStr">
        <is>
          <t>MAESTRO-IOS-PERSONAL-LIFE_OPERATIONS-1726 | Groceries | 5104.32</t>
        </is>
      </c>
      <c r="R1727" s="4" t="inlineStr">
        <is>
          <t>iPhone</t>
        </is>
      </c>
      <c r="S1727" s="4" t="inlineStr">
        <is>
          <t>B35</t>
        </is>
      </c>
      <c r="T1727" s="4" t="inlineStr">
        <is>
          <t>RAMP_1501_2500</t>
        </is>
      </c>
      <c r="U1727" s="4" t="inlineStr">
        <is>
          <t>CREATED</t>
        </is>
      </c>
      <c r="V1727" s="4" t="inlineStr">
        <is>
          <t>idem-20260902-ios-1726</t>
        </is>
      </c>
    </row>
    <row r="1728" ht="30" customHeight="1">
      <c r="A1728" s="4" t="n">
        <v>1727</v>
      </c>
      <c r="B1728" s="4" t="inlineStr">
        <is>
          <t>MTR-IOS-1727</t>
        </is>
      </c>
      <c r="C1728" s="4" t="inlineStr">
        <is>
          <t>Group</t>
        </is>
      </c>
      <c r="D1728" s="4" t="inlineStr">
        <is>
          <t>Shared Living</t>
        </is>
      </c>
      <c r="E1728" s="4" t="inlineStr">
        <is>
          <t>Family Household</t>
        </is>
      </c>
      <c r="F1728" s="4" t="inlineStr">
        <is>
          <t>Healthcare</t>
        </is>
      </c>
      <c r="G1728" s="4" t="inlineStr">
        <is>
          <t>Expense</t>
        </is>
      </c>
      <c r="H1728" s="12" t="n">
        <v>46105</v>
      </c>
      <c r="I1728" s="13" t="n">
        <v>0.7367592592592592</v>
      </c>
      <c r="J1728" s="14" t="n">
        <v>46105.73675925926</v>
      </c>
      <c r="K1728" s="15" t="n">
        <v>9451</v>
      </c>
      <c r="L1728" s="4" t="inlineStr">
        <is>
          <t>INR</t>
        </is>
      </c>
      <c r="M1728" s="15" t="n">
        <v>-9451</v>
      </c>
      <c r="N1728" s="4" t="inlineStr">
        <is>
          <t>IOS Meera</t>
        </is>
      </c>
      <c r="O1728" s="4" t="n">
        <v>3</v>
      </c>
      <c r="P1728" s="4" t="inlineStr">
        <is>
          <t>SHARES</t>
        </is>
      </c>
      <c r="Q1728" s="4" t="inlineStr">
        <is>
          <t>MAESTRO-IOS-GROUP-FAMILY_HOUSEHOLD-1727 | Healthcare | 9451.00</t>
        </is>
      </c>
      <c r="R1728" s="4" t="inlineStr">
        <is>
          <t>iPhone</t>
        </is>
      </c>
      <c r="S1728" s="4" t="inlineStr">
        <is>
          <t>B35</t>
        </is>
      </c>
      <c r="T1728" s="4" t="inlineStr">
        <is>
          <t>RAMP_1501_2500</t>
        </is>
      </c>
      <c r="U1728" s="4" t="inlineStr">
        <is>
          <t>CREATED</t>
        </is>
      </c>
      <c r="V1728" s="4" t="inlineStr">
        <is>
          <t>idem-20260902-ios-1727</t>
        </is>
      </c>
    </row>
    <row r="1729" ht="30" customHeight="1">
      <c r="A1729" s="4" t="n">
        <v>1728</v>
      </c>
      <c r="B1729" s="4" t="inlineStr">
        <is>
          <t>MTR-IOS-1728</t>
        </is>
      </c>
      <c r="C1729" s="4" t="inlineStr">
        <is>
          <t>Business</t>
        </is>
      </c>
      <c r="D1729" s="4" t="inlineStr">
        <is>
          <t>Business</t>
        </is>
      </c>
      <c r="E1729" s="4" t="inlineStr">
        <is>
          <t>Business Runway</t>
        </is>
      </c>
      <c r="F1729" s="4" t="inlineStr">
        <is>
          <t>Revenue</t>
        </is>
      </c>
      <c r="G1729" s="4" t="inlineStr">
        <is>
          <t>Income</t>
        </is>
      </c>
      <c r="H1729" s="12" t="n">
        <v>45960</v>
      </c>
      <c r="I1729" s="13" t="n">
        <v>0.6890972222222222</v>
      </c>
      <c r="J1729" s="14" t="n">
        <v>45960.68909722222</v>
      </c>
      <c r="K1729" s="15" t="n">
        <v>27724.4</v>
      </c>
      <c r="L1729" s="4" t="inlineStr">
        <is>
          <t>INR</t>
        </is>
      </c>
      <c r="M1729" s="15" t="n">
        <v>27724.4</v>
      </c>
      <c r="N1729" s="4" t="inlineStr">
        <is>
          <t>IOS Owner</t>
        </is>
      </c>
      <c r="O1729" s="4" t="n"/>
      <c r="P1729" s="4" t="n"/>
      <c r="Q1729" s="4" t="inlineStr">
        <is>
          <t>MAESTRO-IOS-BUSINESS-BUSINESS_RUNWAY-1728 | Revenue | 27724.40</t>
        </is>
      </c>
      <c r="R1729" s="4" t="inlineStr">
        <is>
          <t>iPhone</t>
        </is>
      </c>
      <c r="S1729" s="4" t="inlineStr">
        <is>
          <t>B35</t>
        </is>
      </c>
      <c r="T1729" s="4" t="inlineStr">
        <is>
          <t>RAMP_1501_2500</t>
        </is>
      </c>
      <c r="U1729" s="4" t="inlineStr">
        <is>
          <t>CREATED</t>
        </is>
      </c>
      <c r="V1729" s="4" t="inlineStr">
        <is>
          <t>idem-20260902-ios-1728</t>
        </is>
      </c>
    </row>
    <row r="1730" ht="30" customHeight="1">
      <c r="A1730" s="4" t="n">
        <v>1729</v>
      </c>
      <c r="B1730" s="4" t="inlineStr">
        <is>
          <t>MTR-IOS-1729</t>
        </is>
      </c>
      <c r="C1730" s="4" t="inlineStr">
        <is>
          <t>Personal</t>
        </is>
      </c>
      <c r="D1730" s="4" t="inlineStr">
        <is>
          <t>Personal</t>
        </is>
      </c>
      <c r="E1730" s="4" t="inlineStr">
        <is>
          <t>Life Operations</t>
        </is>
      </c>
      <c r="F1730" s="4" t="inlineStr">
        <is>
          <t>Rent</t>
        </is>
      </c>
      <c r="G1730" s="4" t="inlineStr">
        <is>
          <t>Expense</t>
        </is>
      </c>
      <c r="H1730" s="12" t="n">
        <v>46205</v>
      </c>
      <c r="I1730" s="13" t="n">
        <v>0.2085069444444445</v>
      </c>
      <c r="J1730" s="14" t="n">
        <v>46205.20850694444</v>
      </c>
      <c r="K1730" s="15" t="n">
        <v>15167.47</v>
      </c>
      <c r="L1730" s="4" t="inlineStr">
        <is>
          <t>INR</t>
        </is>
      </c>
      <c r="M1730" s="15" t="n">
        <v>-15167.47</v>
      </c>
      <c r="N1730" s="4" t="inlineStr">
        <is>
          <t>IOS Owner</t>
        </is>
      </c>
      <c r="O1730" s="4" t="n"/>
      <c r="P1730" s="4" t="n"/>
      <c r="Q1730" s="4" t="inlineStr">
        <is>
          <t>MAESTRO-IOS-PERSONAL-LIFE_OPERATIONS-1729 | Rent | 15167.47</t>
        </is>
      </c>
      <c r="R1730" s="4" t="inlineStr">
        <is>
          <t>iPhone</t>
        </is>
      </c>
      <c r="S1730" s="4" t="inlineStr">
        <is>
          <t>B35</t>
        </is>
      </c>
      <c r="T1730" s="4" t="inlineStr">
        <is>
          <t>RAMP_1501_2500</t>
        </is>
      </c>
      <c r="U1730" s="4" t="inlineStr">
        <is>
          <t>CREATED</t>
        </is>
      </c>
      <c r="V1730" s="4" t="inlineStr">
        <is>
          <t>idem-20260902-ios-1729</t>
        </is>
      </c>
    </row>
    <row r="1731" ht="30" customHeight="1">
      <c r="A1731" s="4" t="n">
        <v>1730</v>
      </c>
      <c r="B1731" s="4" t="inlineStr">
        <is>
          <t>MTR-IOS-1730</t>
        </is>
      </c>
      <c r="C1731" s="4" t="inlineStr">
        <is>
          <t>Group</t>
        </is>
      </c>
      <c r="D1731" s="4" t="inlineStr">
        <is>
          <t>Shared Living</t>
        </is>
      </c>
      <c r="E1731" s="4" t="inlineStr">
        <is>
          <t>Family Household</t>
        </is>
      </c>
      <c r="F1731" s="4" t="inlineStr">
        <is>
          <t>Home</t>
        </is>
      </c>
      <c r="G1731" s="4" t="inlineStr">
        <is>
          <t>Expense</t>
        </is>
      </c>
      <c r="H1731" s="12" t="n">
        <v>46081</v>
      </c>
      <c r="I1731" s="13" t="n">
        <v>0.3774421296296296</v>
      </c>
      <c r="J1731" s="14" t="n">
        <v>46081.37744212963</v>
      </c>
      <c r="K1731" s="15" t="n">
        <v>11400.18</v>
      </c>
      <c r="L1731" s="4" t="inlineStr">
        <is>
          <t>INR</t>
        </is>
      </c>
      <c r="M1731" s="15" t="n">
        <v>-11400.18</v>
      </c>
      <c r="N1731" s="4" t="inlineStr">
        <is>
          <t>IOS Owner</t>
        </is>
      </c>
      <c r="O1731" s="4" t="n">
        <v>3</v>
      </c>
      <c r="P1731" s="4" t="inlineStr">
        <is>
          <t>EQUAL</t>
        </is>
      </c>
      <c r="Q1731" s="4" t="inlineStr">
        <is>
          <t>MAESTRO-IOS-GROUP-FAMILY_HOUSEHOLD-1730 | Home | 11400.18</t>
        </is>
      </c>
      <c r="R1731" s="4" t="inlineStr">
        <is>
          <t>iPhone</t>
        </is>
      </c>
      <c r="S1731" s="4" t="inlineStr">
        <is>
          <t>B35</t>
        </is>
      </c>
      <c r="T1731" s="4" t="inlineStr">
        <is>
          <t>RAMP_1501_2500</t>
        </is>
      </c>
      <c r="U1731" s="4" t="inlineStr">
        <is>
          <t>CREATED</t>
        </is>
      </c>
      <c r="V1731" s="4" t="inlineStr">
        <is>
          <t>idem-20260902-ios-1730</t>
        </is>
      </c>
    </row>
    <row r="1732" ht="30" customHeight="1">
      <c r="A1732" s="4" t="n">
        <v>1731</v>
      </c>
      <c r="B1732" s="4" t="inlineStr">
        <is>
          <t>MTR-IOS-1731</t>
        </is>
      </c>
      <c r="C1732" s="4" t="inlineStr">
        <is>
          <t>Business</t>
        </is>
      </c>
      <c r="D1732" s="4" t="inlineStr">
        <is>
          <t>Business</t>
        </is>
      </c>
      <c r="E1732" s="4" t="inlineStr">
        <is>
          <t>Business Runway</t>
        </is>
      </c>
      <c r="F1732" s="4" t="inlineStr">
        <is>
          <t>Burn</t>
        </is>
      </c>
      <c r="G1732" s="4" t="inlineStr">
        <is>
          <t>Expense</t>
        </is>
      </c>
      <c r="H1732" s="12" t="n">
        <v>46020</v>
      </c>
      <c r="I1732" s="13" t="n">
        <v>0.4067939814814815</v>
      </c>
      <c r="J1732" s="14" t="n">
        <v>46020.40679398148</v>
      </c>
      <c r="K1732" s="15" t="n">
        <v>14414.46</v>
      </c>
      <c r="L1732" s="4" t="inlineStr">
        <is>
          <t>INR</t>
        </is>
      </c>
      <c r="M1732" s="15" t="n">
        <v>-14414.46</v>
      </c>
      <c r="N1732" s="4" t="inlineStr">
        <is>
          <t>IOS Owner</t>
        </is>
      </c>
      <c r="O1732" s="4" t="n"/>
      <c r="P1732" s="4" t="n"/>
      <c r="Q1732" s="4" t="inlineStr">
        <is>
          <t>MAESTRO-IOS-BUSINESS-BUSINESS_RUNWAY-1731 | Burn | 14414.46</t>
        </is>
      </c>
      <c r="R1732" s="4" t="inlineStr">
        <is>
          <t>iPhone</t>
        </is>
      </c>
      <c r="S1732" s="4" t="inlineStr">
        <is>
          <t>B35</t>
        </is>
      </c>
      <c r="T1732" s="4" t="inlineStr">
        <is>
          <t>RAMP_1501_2500</t>
        </is>
      </c>
      <c r="U1732" s="4" t="inlineStr">
        <is>
          <t>CREATED</t>
        </is>
      </c>
      <c r="V1732" s="4" t="inlineStr">
        <is>
          <t>idem-20260902-ios-1731</t>
        </is>
      </c>
    </row>
    <row r="1733" ht="30" customHeight="1">
      <c r="A1733" s="4" t="n">
        <v>1732</v>
      </c>
      <c r="B1733" s="4" t="inlineStr">
        <is>
          <t>MTR-IOS-1732</t>
        </is>
      </c>
      <c r="C1733" s="4" t="inlineStr">
        <is>
          <t>Personal</t>
        </is>
      </c>
      <c r="D1733" s="4" t="inlineStr">
        <is>
          <t>Personal</t>
        </is>
      </c>
      <c r="E1733" s="4" t="inlineStr">
        <is>
          <t>Life Operations</t>
        </is>
      </c>
      <c r="F1733" s="4" t="inlineStr">
        <is>
          <t>Bills</t>
        </is>
      </c>
      <c r="G1733" s="4" t="inlineStr">
        <is>
          <t>Expense</t>
        </is>
      </c>
      <c r="H1733" s="12" t="n">
        <v>45932</v>
      </c>
      <c r="I1733" s="13" t="n">
        <v>0.7401851851851852</v>
      </c>
      <c r="J1733" s="14" t="n">
        <v>45932.74018518518</v>
      </c>
      <c r="K1733" s="15" t="n">
        <v>15575.36</v>
      </c>
      <c r="L1733" s="4" t="inlineStr">
        <is>
          <t>INR</t>
        </is>
      </c>
      <c r="M1733" s="15" t="n">
        <v>-15575.36</v>
      </c>
      <c r="N1733" s="4" t="inlineStr">
        <is>
          <t>IOS Owner</t>
        </is>
      </c>
      <c r="O1733" s="4" t="n"/>
      <c r="P1733" s="4" t="n"/>
      <c r="Q1733" s="4" t="inlineStr">
        <is>
          <t>MAESTRO-IOS-PERSONAL-LIFE_OPERATIONS-1732 | Bills | 15575.36</t>
        </is>
      </c>
      <c r="R1733" s="4" t="inlineStr">
        <is>
          <t>iPhone</t>
        </is>
      </c>
      <c r="S1733" s="4" t="inlineStr">
        <is>
          <t>B35</t>
        </is>
      </c>
      <c r="T1733" s="4" t="inlineStr">
        <is>
          <t>RAMP_1501_2500</t>
        </is>
      </c>
      <c r="U1733" s="4" t="inlineStr">
        <is>
          <t>CREATED</t>
        </is>
      </c>
      <c r="V1733" s="4" t="inlineStr">
        <is>
          <t>idem-20260902-ios-1732</t>
        </is>
      </c>
    </row>
    <row r="1734" ht="30" customHeight="1">
      <c r="A1734" s="4" t="n">
        <v>1733</v>
      </c>
      <c r="B1734" s="4" t="inlineStr">
        <is>
          <t>MTR-IOS-1733</t>
        </is>
      </c>
      <c r="C1734" s="4" t="inlineStr">
        <is>
          <t>Group</t>
        </is>
      </c>
      <c r="D1734" s="4" t="inlineStr">
        <is>
          <t>Shared Living</t>
        </is>
      </c>
      <c r="E1734" s="4" t="inlineStr">
        <is>
          <t>Family Household</t>
        </is>
      </c>
      <c r="F1734" s="4" t="inlineStr">
        <is>
          <t>Other</t>
        </is>
      </c>
      <c r="G1734" s="4" t="inlineStr">
        <is>
          <t>Expense</t>
        </is>
      </c>
      <c r="H1734" s="12" t="n">
        <v>46233</v>
      </c>
      <c r="I1734" s="13" t="n">
        <v>0.07768518518518519</v>
      </c>
      <c r="J1734" s="14" t="n">
        <v>46233.07768518518</v>
      </c>
      <c r="K1734" s="15" t="n">
        <v>8262.620000000001</v>
      </c>
      <c r="L1734" s="4" t="inlineStr">
        <is>
          <t>INR</t>
        </is>
      </c>
      <c r="M1734" s="15" t="n">
        <v>-8262.620000000001</v>
      </c>
      <c r="N1734" s="4" t="inlineStr">
        <is>
          <t>IOS Aarav</t>
        </is>
      </c>
      <c r="O1734" s="4" t="n">
        <v>3</v>
      </c>
      <c r="P1734" s="4" t="inlineStr">
        <is>
          <t>PERCENTAGE</t>
        </is>
      </c>
      <c r="Q1734" s="4" t="inlineStr">
        <is>
          <t>MAESTRO-IOS-GROUP-FAMILY_HOUSEHOLD-1733 | Other | 8262.62</t>
        </is>
      </c>
      <c r="R1734" s="4" t="inlineStr">
        <is>
          <t>iPhone</t>
        </is>
      </c>
      <c r="S1734" s="4" t="inlineStr">
        <is>
          <t>B35</t>
        </is>
      </c>
      <c r="T1734" s="4" t="inlineStr">
        <is>
          <t>RAMP_1501_2500</t>
        </is>
      </c>
      <c r="U1734" s="4" t="inlineStr">
        <is>
          <t>CREATED</t>
        </is>
      </c>
      <c r="V1734" s="4" t="inlineStr">
        <is>
          <t>idem-20260902-ios-1733</t>
        </is>
      </c>
    </row>
    <row r="1735" ht="30" customHeight="1">
      <c r="A1735" s="4" t="n">
        <v>1734</v>
      </c>
      <c r="B1735" s="4" t="inlineStr">
        <is>
          <t>MTR-IOS-1734</t>
        </is>
      </c>
      <c r="C1735" s="4" t="inlineStr">
        <is>
          <t>Business</t>
        </is>
      </c>
      <c r="D1735" s="4" t="inlineStr">
        <is>
          <t>Business</t>
        </is>
      </c>
      <c r="E1735" s="4" t="inlineStr">
        <is>
          <t>Business Runway</t>
        </is>
      </c>
      <c r="F1735" s="4" t="inlineStr">
        <is>
          <t>Reserve</t>
        </is>
      </c>
      <c r="G1735" s="4" t="inlineStr">
        <is>
          <t>Transfer</t>
        </is>
      </c>
      <c r="H1735" s="12" t="n">
        <v>46242</v>
      </c>
      <c r="I1735" s="13" t="n">
        <v>0.7245486111111111</v>
      </c>
      <c r="J1735" s="14" t="n">
        <v>46242.72454861111</v>
      </c>
      <c r="K1735" s="15" t="n">
        <v>126907.52</v>
      </c>
      <c r="L1735" s="4" t="inlineStr">
        <is>
          <t>INR</t>
        </is>
      </c>
      <c r="M1735" s="15" t="n">
        <v>0</v>
      </c>
      <c r="N1735" s="4" t="inlineStr">
        <is>
          <t>IOS Owner</t>
        </is>
      </c>
      <c r="O1735" s="4" t="n"/>
      <c r="P1735" s="4" t="n"/>
      <c r="Q1735" s="4" t="inlineStr">
        <is>
          <t>MAESTRO-IOS-BUSINESS-BUSINESS_RUNWAY-1734 | Reserve | 126907.52</t>
        </is>
      </c>
      <c r="R1735" s="4" t="inlineStr">
        <is>
          <t>iPhone</t>
        </is>
      </c>
      <c r="S1735" s="4" t="inlineStr">
        <is>
          <t>B35</t>
        </is>
      </c>
      <c r="T1735" s="4" t="inlineStr">
        <is>
          <t>RAMP_1501_2500</t>
        </is>
      </c>
      <c r="U1735" s="4" t="inlineStr">
        <is>
          <t>CREATED</t>
        </is>
      </c>
      <c r="V1735" s="4" t="inlineStr">
        <is>
          <t>idem-20260902-ios-1734</t>
        </is>
      </c>
    </row>
    <row r="1736" ht="30" customHeight="1">
      <c r="A1736" s="4" t="n">
        <v>1735</v>
      </c>
      <c r="B1736" s="4" t="inlineStr">
        <is>
          <t>MTR-IOS-1735</t>
        </is>
      </c>
      <c r="C1736" s="4" t="inlineStr">
        <is>
          <t>Personal</t>
        </is>
      </c>
      <c r="D1736" s="4" t="inlineStr">
        <is>
          <t>Personal</t>
        </is>
      </c>
      <c r="E1736" s="4" t="inlineStr">
        <is>
          <t>Life Operations</t>
        </is>
      </c>
      <c r="F1736" s="4" t="inlineStr">
        <is>
          <t>Transport</t>
        </is>
      </c>
      <c r="G1736" s="4" t="inlineStr">
        <is>
          <t>Expense</t>
        </is>
      </c>
      <c r="H1736" s="12" t="n">
        <v>46089</v>
      </c>
      <c r="I1736" s="13" t="n">
        <v>0.1720254629629629</v>
      </c>
      <c r="J1736" s="14" t="n">
        <v>46089.17202546296</v>
      </c>
      <c r="K1736" s="15" t="n">
        <v>11786.79</v>
      </c>
      <c r="L1736" s="4" t="inlineStr">
        <is>
          <t>INR</t>
        </is>
      </c>
      <c r="M1736" s="15" t="n">
        <v>-11786.79</v>
      </c>
      <c r="N1736" s="4" t="inlineStr">
        <is>
          <t>IOS Owner</t>
        </is>
      </c>
      <c r="O1736" s="4" t="n"/>
      <c r="P1736" s="4" t="n"/>
      <c r="Q1736" s="4" t="inlineStr">
        <is>
          <t>MAESTRO-IOS-PERSONAL-LIFE_OPERATIONS-1735 | Transport | 11786.79</t>
        </is>
      </c>
      <c r="R1736" s="4" t="inlineStr">
        <is>
          <t>iPhone</t>
        </is>
      </c>
      <c r="S1736" s="4" t="inlineStr">
        <is>
          <t>B35</t>
        </is>
      </c>
      <c r="T1736" s="4" t="inlineStr">
        <is>
          <t>RAMP_1501_2500</t>
        </is>
      </c>
      <c r="U1736" s="4" t="inlineStr">
        <is>
          <t>CREATED</t>
        </is>
      </c>
      <c r="V1736" s="4" t="inlineStr">
        <is>
          <t>idem-20260902-ios-1735</t>
        </is>
      </c>
    </row>
    <row r="1737" ht="30" customHeight="1">
      <c r="A1737" s="4" t="n">
        <v>1736</v>
      </c>
      <c r="B1737" s="4" t="inlineStr">
        <is>
          <t>MTR-IOS-1736</t>
        </is>
      </c>
      <c r="C1737" s="4" t="inlineStr">
        <is>
          <t>Group</t>
        </is>
      </c>
      <c r="D1737" s="4" t="inlineStr">
        <is>
          <t>Shared Living</t>
        </is>
      </c>
      <c r="E1737" s="4" t="inlineStr">
        <is>
          <t>Custom Living</t>
        </is>
      </c>
      <c r="F1737" s="4" t="inlineStr">
        <is>
          <t>Custom Expense</t>
        </is>
      </c>
      <c r="G1737" s="4" t="inlineStr">
        <is>
          <t>Expense</t>
        </is>
      </c>
      <c r="H1737" s="12" t="n">
        <v>46070</v>
      </c>
      <c r="I1737" s="13" t="n">
        <v>0.3534953703703704</v>
      </c>
      <c r="J1737" s="14" t="n">
        <v>46070.35349537037</v>
      </c>
      <c r="K1737" s="15" t="n">
        <v>4442.53</v>
      </c>
      <c r="L1737" s="4" t="inlineStr">
        <is>
          <t>INR</t>
        </is>
      </c>
      <c r="M1737" s="15" t="n">
        <v>-4442.53</v>
      </c>
      <c r="N1737" s="4" t="inlineStr">
        <is>
          <t>IOS Meera</t>
        </is>
      </c>
      <c r="O1737" s="4" t="n">
        <v>3</v>
      </c>
      <c r="P1737" s="4" t="inlineStr">
        <is>
          <t>EXACT</t>
        </is>
      </c>
      <c r="Q1737" s="4" t="inlineStr">
        <is>
          <t>MAESTRO-IOS-GROUP-CUSTOM_LIVING-1736 | Custom Expense | 4442.53</t>
        </is>
      </c>
      <c r="R1737" s="4" t="inlineStr">
        <is>
          <t>iPhone</t>
        </is>
      </c>
      <c r="S1737" s="4" t="inlineStr">
        <is>
          <t>B35</t>
        </is>
      </c>
      <c r="T1737" s="4" t="inlineStr">
        <is>
          <t>RAMP_1501_2500</t>
        </is>
      </c>
      <c r="U1737" s="4" t="inlineStr">
        <is>
          <t>CREATED</t>
        </is>
      </c>
      <c r="V1737" s="4" t="inlineStr">
        <is>
          <t>idem-20260902-ios-1736</t>
        </is>
      </c>
    </row>
    <row r="1738" ht="30" customHeight="1">
      <c r="A1738" s="4" t="n">
        <v>1737</v>
      </c>
      <c r="B1738" s="4" t="inlineStr">
        <is>
          <t>MTR-IOS-1737</t>
        </is>
      </c>
      <c r="C1738" s="4" t="inlineStr">
        <is>
          <t>Business</t>
        </is>
      </c>
      <c r="D1738" s="4" t="inlineStr">
        <is>
          <t>Business</t>
        </is>
      </c>
      <c r="E1738" s="4" t="inlineStr">
        <is>
          <t>Business Runway</t>
        </is>
      </c>
      <c r="F1738" s="4" t="inlineStr">
        <is>
          <t>Loan</t>
        </is>
      </c>
      <c r="G1738" s="4" t="inlineStr">
        <is>
          <t>Income</t>
        </is>
      </c>
      <c r="H1738" s="12" t="n">
        <v>46037</v>
      </c>
      <c r="I1738" s="13" t="n">
        <v>0.2914467592592593</v>
      </c>
      <c r="J1738" s="14" t="n">
        <v>46037.29144675926</v>
      </c>
      <c r="K1738" s="15" t="n">
        <v>109354.31</v>
      </c>
      <c r="L1738" s="4" t="inlineStr">
        <is>
          <t>INR</t>
        </is>
      </c>
      <c r="M1738" s="15" t="n">
        <v>109354.31</v>
      </c>
      <c r="N1738" s="4" t="inlineStr">
        <is>
          <t>IOS Owner</t>
        </is>
      </c>
      <c r="O1738" s="4" t="n"/>
      <c r="P1738" s="4" t="n"/>
      <c r="Q1738" s="4" t="inlineStr">
        <is>
          <t>MAESTRO-IOS-BUSINESS-BUSINESS_RUNWAY-1737 | Loan | 109354.31</t>
        </is>
      </c>
      <c r="R1738" s="4" t="inlineStr">
        <is>
          <t>iPhone</t>
        </is>
      </c>
      <c r="S1738" s="4" t="inlineStr">
        <is>
          <t>B35</t>
        </is>
      </c>
      <c r="T1738" s="4" t="inlineStr">
        <is>
          <t>RAMP_1501_2500</t>
        </is>
      </c>
      <c r="U1738" s="4" t="inlineStr">
        <is>
          <t>CREATED</t>
        </is>
      </c>
      <c r="V1738" s="4" t="inlineStr">
        <is>
          <t>idem-20260902-ios-1737</t>
        </is>
      </c>
    </row>
    <row r="1739" ht="30" customHeight="1">
      <c r="A1739" s="4" t="n">
        <v>1738</v>
      </c>
      <c r="B1739" s="4" t="inlineStr">
        <is>
          <t>MTR-IOS-1738</t>
        </is>
      </c>
      <c r="C1739" s="4" t="inlineStr">
        <is>
          <t>Personal</t>
        </is>
      </c>
      <c r="D1739" s="4" t="inlineStr">
        <is>
          <t>Personal</t>
        </is>
      </c>
      <c r="E1739" s="4" t="inlineStr">
        <is>
          <t>Life Operations</t>
        </is>
      </c>
      <c r="F1739" s="4" t="inlineStr">
        <is>
          <t>Healthcare</t>
        </is>
      </c>
      <c r="G1739" s="4" t="inlineStr">
        <is>
          <t>Expense</t>
        </is>
      </c>
      <c r="H1739" s="12" t="n">
        <v>46193</v>
      </c>
      <c r="I1739" s="13" t="n">
        <v>0.1558680555555556</v>
      </c>
      <c r="J1739" s="14" t="n">
        <v>46193.15586805555</v>
      </c>
      <c r="K1739" s="15" t="n">
        <v>1909.99</v>
      </c>
      <c r="L1739" s="4" t="inlineStr">
        <is>
          <t>INR</t>
        </is>
      </c>
      <c r="M1739" s="15" t="n">
        <v>-1909.99</v>
      </c>
      <c r="N1739" s="4" t="inlineStr">
        <is>
          <t>IOS Owner</t>
        </is>
      </c>
      <c r="O1739" s="4" t="n"/>
      <c r="P1739" s="4" t="n"/>
      <c r="Q1739" s="4" t="inlineStr">
        <is>
          <t>MAESTRO-IOS-PERSONAL-LIFE_OPERATIONS-1738 | Healthcare | 1909.99</t>
        </is>
      </c>
      <c r="R1739" s="4" t="inlineStr">
        <is>
          <t>iPhone</t>
        </is>
      </c>
      <c r="S1739" s="4" t="inlineStr">
        <is>
          <t>B35</t>
        </is>
      </c>
      <c r="T1739" s="4" t="inlineStr">
        <is>
          <t>RAMP_1501_2500</t>
        </is>
      </c>
      <c r="U1739" s="4" t="inlineStr">
        <is>
          <t>CREATED</t>
        </is>
      </c>
      <c r="V1739" s="4" t="inlineStr">
        <is>
          <t>idem-20260902-ios-1738</t>
        </is>
      </c>
    </row>
    <row r="1740" ht="30" customHeight="1">
      <c r="A1740" s="4" t="n">
        <v>1739</v>
      </c>
      <c r="B1740" s="4" t="inlineStr">
        <is>
          <t>MTR-IOS-1739</t>
        </is>
      </c>
      <c r="C1740" s="4" t="inlineStr">
        <is>
          <t>Group</t>
        </is>
      </c>
      <c r="D1740" s="4" t="inlineStr">
        <is>
          <t>Shared Living</t>
        </is>
      </c>
      <c r="E1740" s="4" t="inlineStr">
        <is>
          <t>Custom Living</t>
        </is>
      </c>
      <c r="F1740" s="4" t="inlineStr">
        <is>
          <t>Custom Contribution</t>
        </is>
      </c>
      <c r="G1740" s="4" t="inlineStr">
        <is>
          <t>Contribution</t>
        </is>
      </c>
      <c r="H1740" s="12" t="n">
        <v>46067</v>
      </c>
      <c r="I1740" s="13" t="n">
        <v>0.06185185185185185</v>
      </c>
      <c r="J1740" s="14" t="n">
        <v>46067.06185185185</v>
      </c>
      <c r="K1740" s="15" t="n">
        <v>10000</v>
      </c>
      <c r="L1740" s="4" t="inlineStr">
        <is>
          <t>INR</t>
        </is>
      </c>
      <c r="M1740" s="15" t="n">
        <v>10000</v>
      </c>
      <c r="N1740" s="4" t="inlineStr">
        <is>
          <t>IOS Owner</t>
        </is>
      </c>
      <c r="O1740" s="4" t="n">
        <v>3</v>
      </c>
      <c r="P1740" s="4" t="inlineStr">
        <is>
          <t>SHARES</t>
        </is>
      </c>
      <c r="Q1740" s="4" t="inlineStr">
        <is>
          <t>MAESTRO-IOS-GROUP-CUSTOM_LIVING-1739 | Custom Contribution | 10000.00</t>
        </is>
      </c>
      <c r="R1740" s="4" t="inlineStr">
        <is>
          <t>iPhone</t>
        </is>
      </c>
      <c r="S1740" s="4" t="inlineStr">
        <is>
          <t>B35</t>
        </is>
      </c>
      <c r="T1740" s="4" t="inlineStr">
        <is>
          <t>RAMP_1501_2500</t>
        </is>
      </c>
      <c r="U1740" s="4" t="inlineStr">
        <is>
          <t>CREATED</t>
        </is>
      </c>
      <c r="V1740" s="4" t="inlineStr">
        <is>
          <t>idem-20260902-ios-1739</t>
        </is>
      </c>
    </row>
    <row r="1741" ht="30" customHeight="1">
      <c r="A1741" s="4" t="n">
        <v>1740</v>
      </c>
      <c r="B1741" s="4" t="inlineStr">
        <is>
          <t>MTR-IOS-1740</t>
        </is>
      </c>
      <c r="C1741" s="4" t="inlineStr">
        <is>
          <t>Business</t>
        </is>
      </c>
      <c r="D1741" s="4" t="inlineStr">
        <is>
          <t>Business</t>
        </is>
      </c>
      <c r="E1741" s="4" t="inlineStr">
        <is>
          <t>Business Runway</t>
        </is>
      </c>
      <c r="F1741" s="4" t="inlineStr">
        <is>
          <t>Investment</t>
        </is>
      </c>
      <c r="G1741" s="4" t="inlineStr">
        <is>
          <t>Income</t>
        </is>
      </c>
      <c r="H1741" s="12" t="n">
        <v>46013</v>
      </c>
      <c r="I1741" s="13" t="n">
        <v>0.5366203703703704</v>
      </c>
      <c r="J1741" s="14" t="n">
        <v>46013.53662037037</v>
      </c>
      <c r="K1741" s="15" t="n">
        <v>977.03</v>
      </c>
      <c r="L1741" s="4" t="inlineStr">
        <is>
          <t>INR</t>
        </is>
      </c>
      <c r="M1741" s="15" t="n">
        <v>977.03</v>
      </c>
      <c r="N1741" s="4" t="inlineStr">
        <is>
          <t>IOS Owner</t>
        </is>
      </c>
      <c r="O1741" s="4" t="n"/>
      <c r="P1741" s="4" t="n"/>
      <c r="Q1741" s="4" t="inlineStr">
        <is>
          <t>MAESTRO-IOS-BUSINESS-BUSINESS_RUNWAY-1740 | Investment | 977.03</t>
        </is>
      </c>
      <c r="R1741" s="4" t="inlineStr">
        <is>
          <t>iPhone</t>
        </is>
      </c>
      <c r="S1741" s="4" t="inlineStr">
        <is>
          <t>B35</t>
        </is>
      </c>
      <c r="T1741" s="4" t="inlineStr">
        <is>
          <t>RAMP_1501_2500</t>
        </is>
      </c>
      <c r="U1741" s="4" t="inlineStr">
        <is>
          <t>CREATED</t>
        </is>
      </c>
      <c r="V1741" s="4" t="inlineStr">
        <is>
          <t>idem-20260902-ios-1740</t>
        </is>
      </c>
    </row>
    <row r="1742" ht="30" customHeight="1">
      <c r="A1742" s="4" t="n">
        <v>1741</v>
      </c>
      <c r="B1742" s="4" t="inlineStr">
        <is>
          <t>MTR-IOS-1741</t>
        </is>
      </c>
      <c r="C1742" s="4" t="inlineStr">
        <is>
          <t>Personal</t>
        </is>
      </c>
      <c r="D1742" s="4" t="inlineStr">
        <is>
          <t>Personal</t>
        </is>
      </c>
      <c r="E1742" s="4" t="inlineStr">
        <is>
          <t>Life Operations</t>
        </is>
      </c>
      <c r="F1742" s="4" t="inlineStr">
        <is>
          <t>Subscriptions</t>
        </is>
      </c>
      <c r="G1742" s="4" t="inlineStr">
        <is>
          <t>Expense</t>
        </is>
      </c>
      <c r="H1742" s="12" t="n">
        <v>45985</v>
      </c>
      <c r="I1742" s="13" t="n">
        <v>0.5300462962962963</v>
      </c>
      <c r="J1742" s="14" t="n">
        <v>45985.5300462963</v>
      </c>
      <c r="K1742" s="15" t="n">
        <v>5838.8</v>
      </c>
      <c r="L1742" s="4" t="inlineStr">
        <is>
          <t>INR</t>
        </is>
      </c>
      <c r="M1742" s="15" t="n">
        <v>-5838.8</v>
      </c>
      <c r="N1742" s="4" t="inlineStr">
        <is>
          <t>IOS Owner</t>
        </is>
      </c>
      <c r="O1742" s="4" t="n"/>
      <c r="P1742" s="4" t="n"/>
      <c r="Q1742" s="4" t="inlineStr">
        <is>
          <t>MAESTRO-IOS-PERSONAL-LIFE_OPERATIONS-1741 | Subscriptions | 5838.80</t>
        </is>
      </c>
      <c r="R1742" s="4" t="inlineStr">
        <is>
          <t>iPhone</t>
        </is>
      </c>
      <c r="S1742" s="4" t="inlineStr">
        <is>
          <t>B35</t>
        </is>
      </c>
      <c r="T1742" s="4" t="inlineStr">
        <is>
          <t>RAMP_1501_2500</t>
        </is>
      </c>
      <c r="U1742" s="4" t="inlineStr">
        <is>
          <t>CREATED</t>
        </is>
      </c>
      <c r="V1742" s="4" t="inlineStr">
        <is>
          <t>idem-20260902-ios-1741</t>
        </is>
      </c>
    </row>
    <row r="1743" ht="30" customHeight="1">
      <c r="A1743" s="4" t="n">
        <v>1742</v>
      </c>
      <c r="B1743" s="4" t="inlineStr">
        <is>
          <t>MTR-IOS-1742</t>
        </is>
      </c>
      <c r="C1743" s="4" t="inlineStr">
        <is>
          <t>Group</t>
        </is>
      </c>
      <c r="D1743" s="4" t="inlineStr">
        <is>
          <t>Shared Experience</t>
        </is>
      </c>
      <c r="E1743" s="4" t="inlineStr">
        <is>
          <t>Trip</t>
        </is>
      </c>
      <c r="F1743" s="4" t="inlineStr">
        <is>
          <t>Travel</t>
        </is>
      </c>
      <c r="G1743" s="4" t="inlineStr">
        <is>
          <t>Expense</t>
        </is>
      </c>
      <c r="H1743" s="12" t="n">
        <v>46142</v>
      </c>
      <c r="I1743" s="13" t="n">
        <v>0.349837962962963</v>
      </c>
      <c r="J1743" s="14" t="n">
        <v>46142.34983796296</v>
      </c>
      <c r="K1743" s="15" t="n">
        <v>17244.38</v>
      </c>
      <c r="L1743" s="4" t="inlineStr">
        <is>
          <t>INR</t>
        </is>
      </c>
      <c r="M1743" s="15" t="n">
        <v>-17244.38</v>
      </c>
      <c r="N1743" s="4" t="inlineStr">
        <is>
          <t>IOS Aarav</t>
        </is>
      </c>
      <c r="O1743" s="4" t="n">
        <v>3</v>
      </c>
      <c r="P1743" s="4" t="inlineStr">
        <is>
          <t>EQUAL</t>
        </is>
      </c>
      <c r="Q1743" s="4" t="inlineStr">
        <is>
          <t>MAESTRO-IOS-GROUP-TRIP-1742 | Travel | 17244.38</t>
        </is>
      </c>
      <c r="R1743" s="4" t="inlineStr">
        <is>
          <t>iPhone</t>
        </is>
      </c>
      <c r="S1743" s="4" t="inlineStr">
        <is>
          <t>B35</t>
        </is>
      </c>
      <c r="T1743" s="4" t="inlineStr">
        <is>
          <t>RAMP_1501_2500</t>
        </is>
      </c>
      <c r="U1743" s="4" t="inlineStr">
        <is>
          <t>CREATED</t>
        </is>
      </c>
      <c r="V1743" s="4" t="inlineStr">
        <is>
          <t>idem-20260902-ios-1742</t>
        </is>
      </c>
    </row>
    <row r="1744" ht="30" customHeight="1">
      <c r="A1744" s="4" t="n">
        <v>1743</v>
      </c>
      <c r="B1744" s="4" t="inlineStr">
        <is>
          <t>MTR-IOS-1743</t>
        </is>
      </c>
      <c r="C1744" s="4" t="inlineStr">
        <is>
          <t>Business</t>
        </is>
      </c>
      <c r="D1744" s="4" t="inlineStr">
        <is>
          <t>Business</t>
        </is>
      </c>
      <c r="E1744" s="4" t="inlineStr">
        <is>
          <t>Business Operations</t>
        </is>
      </c>
      <c r="F1744" s="4" t="inlineStr">
        <is>
          <t>Software</t>
        </is>
      </c>
      <c r="G1744" s="4" t="inlineStr">
        <is>
          <t>Expense</t>
        </is>
      </c>
      <c r="H1744" s="12" t="n">
        <v>45939</v>
      </c>
      <c r="I1744" s="13" t="n">
        <v>0.8149884259259259</v>
      </c>
      <c r="J1744" s="14" t="n">
        <v>45939.81498842593</v>
      </c>
      <c r="K1744" s="15" t="n">
        <v>159649.2</v>
      </c>
      <c r="L1744" s="4" t="inlineStr">
        <is>
          <t>INR</t>
        </is>
      </c>
      <c r="M1744" s="15" t="n">
        <v>-159649.2</v>
      </c>
      <c r="N1744" s="4" t="inlineStr">
        <is>
          <t>IOS Owner</t>
        </is>
      </c>
      <c r="O1744" s="4" t="n"/>
      <c r="P1744" s="4" t="n"/>
      <c r="Q1744" s="4" t="inlineStr">
        <is>
          <t>MAESTRO-IOS-BUSINESS-BUSINESS_OPERATIONS-1743 | Software | 159649.20</t>
        </is>
      </c>
      <c r="R1744" s="4" t="inlineStr">
        <is>
          <t>iPhone</t>
        </is>
      </c>
      <c r="S1744" s="4" t="inlineStr">
        <is>
          <t>B35</t>
        </is>
      </c>
      <c r="T1744" s="4" t="inlineStr">
        <is>
          <t>RAMP_1501_2500</t>
        </is>
      </c>
      <c r="U1744" s="4" t="inlineStr">
        <is>
          <t>CREATED</t>
        </is>
      </c>
      <c r="V1744" s="4" t="inlineStr">
        <is>
          <t>idem-20260902-ios-1743</t>
        </is>
      </c>
    </row>
    <row r="1745" ht="30" customHeight="1">
      <c r="A1745" s="4" t="n">
        <v>1744</v>
      </c>
      <c r="B1745" s="4" t="inlineStr">
        <is>
          <t>MTR-IOS-1744</t>
        </is>
      </c>
      <c r="C1745" s="4" t="inlineStr">
        <is>
          <t>Personal</t>
        </is>
      </c>
      <c r="D1745" s="4" t="inlineStr">
        <is>
          <t>Personal</t>
        </is>
      </c>
      <c r="E1745" s="4" t="inlineStr">
        <is>
          <t>Life Operations</t>
        </is>
      </c>
      <c r="F1745" s="4" t="inlineStr">
        <is>
          <t>Repairs</t>
        </is>
      </c>
      <c r="G1745" s="4" t="inlineStr">
        <is>
          <t>Expense</t>
        </is>
      </c>
      <c r="H1745" s="12" t="n">
        <v>46187</v>
      </c>
      <c r="I1745" s="13" t="n">
        <v>0.07434027777777778</v>
      </c>
      <c r="J1745" s="14" t="n">
        <v>46187.07434027778</v>
      </c>
      <c r="K1745" s="15" t="n">
        <v>9982.4</v>
      </c>
      <c r="L1745" s="4" t="inlineStr">
        <is>
          <t>INR</t>
        </is>
      </c>
      <c r="M1745" s="15" t="n">
        <v>-9982.4</v>
      </c>
      <c r="N1745" s="4" t="inlineStr">
        <is>
          <t>IOS Owner</t>
        </is>
      </c>
      <c r="O1745" s="4" t="n"/>
      <c r="P1745" s="4" t="n"/>
      <c r="Q1745" s="4" t="inlineStr">
        <is>
          <t>MAESTRO-IOS-PERSONAL-LIFE_OPERATIONS-1744 | Repairs | 9982.40</t>
        </is>
      </c>
      <c r="R1745" s="4" t="inlineStr">
        <is>
          <t>iPhone</t>
        </is>
      </c>
      <c r="S1745" s="4" t="inlineStr">
        <is>
          <t>B35</t>
        </is>
      </c>
      <c r="T1745" s="4" t="inlineStr">
        <is>
          <t>RAMP_1501_2500</t>
        </is>
      </c>
      <c r="U1745" s="4" t="inlineStr">
        <is>
          <t>CREATED</t>
        </is>
      </c>
      <c r="V1745" s="4" t="inlineStr">
        <is>
          <t>idem-20260902-ios-1744</t>
        </is>
      </c>
    </row>
    <row r="1746" ht="30" customHeight="1">
      <c r="A1746" s="4" t="n">
        <v>1745</v>
      </c>
      <c r="B1746" s="4" t="inlineStr">
        <is>
          <t>MTR-IOS-1745</t>
        </is>
      </c>
      <c r="C1746" s="4" t="inlineStr">
        <is>
          <t>Group</t>
        </is>
      </c>
      <c r="D1746" s="4" t="inlineStr">
        <is>
          <t>Shared Experience</t>
        </is>
      </c>
      <c r="E1746" s="4" t="inlineStr">
        <is>
          <t>Trip</t>
        </is>
      </c>
      <c r="F1746" s="4" t="inlineStr">
        <is>
          <t>Stay</t>
        </is>
      </c>
      <c r="G1746" s="4" t="inlineStr">
        <is>
          <t>Expense</t>
        </is>
      </c>
      <c r="H1746" s="12" t="n">
        <v>45982</v>
      </c>
      <c r="I1746" s="13" t="n">
        <v>0.5240393518518518</v>
      </c>
      <c r="J1746" s="14" t="n">
        <v>45982.52403935185</v>
      </c>
      <c r="K1746" s="15" t="n">
        <v>20716.03</v>
      </c>
      <c r="L1746" s="4" t="inlineStr">
        <is>
          <t>INR</t>
        </is>
      </c>
      <c r="M1746" s="15" t="n">
        <v>-20716.03</v>
      </c>
      <c r="N1746" s="4" t="inlineStr">
        <is>
          <t>IOS Meera</t>
        </is>
      </c>
      <c r="O1746" s="4" t="n">
        <v>3</v>
      </c>
      <c r="P1746" s="4" t="inlineStr">
        <is>
          <t>PERCENTAGE</t>
        </is>
      </c>
      <c r="Q1746" s="4" t="inlineStr">
        <is>
          <t>MAESTRO-IOS-GROUP-TRIP-1745 | Stay | 20716.03</t>
        </is>
      </c>
      <c r="R1746" s="4" t="inlineStr">
        <is>
          <t>iPhone</t>
        </is>
      </c>
      <c r="S1746" s="4" t="inlineStr">
        <is>
          <t>B35</t>
        </is>
      </c>
      <c r="T1746" s="4" t="inlineStr">
        <is>
          <t>RAMP_1501_2500</t>
        </is>
      </c>
      <c r="U1746" s="4" t="inlineStr">
        <is>
          <t>CREATED</t>
        </is>
      </c>
      <c r="V1746" s="4" t="inlineStr">
        <is>
          <t>idem-20260902-ios-1745</t>
        </is>
      </c>
    </row>
    <row r="1747" ht="30" customHeight="1">
      <c r="A1747" s="4" t="n">
        <v>1746</v>
      </c>
      <c r="B1747" s="4" t="inlineStr">
        <is>
          <t>MTR-IOS-1746</t>
        </is>
      </c>
      <c r="C1747" s="4" t="inlineStr">
        <is>
          <t>Business</t>
        </is>
      </c>
      <c r="D1747" s="4" t="inlineStr">
        <is>
          <t>Business</t>
        </is>
      </c>
      <c r="E1747" s="4" t="inlineStr">
        <is>
          <t>Business Operations</t>
        </is>
      </c>
      <c r="F1747" s="4" t="inlineStr">
        <is>
          <t>Rent</t>
        </is>
      </c>
      <c r="G1747" s="4" t="inlineStr">
        <is>
          <t>Expense</t>
        </is>
      </c>
      <c r="H1747" s="12" t="n">
        <v>46106</v>
      </c>
      <c r="I1747" s="13" t="n">
        <v>0.6781365740740741</v>
      </c>
      <c r="J1747" s="14" t="n">
        <v>46106.67813657408</v>
      </c>
      <c r="K1747" s="15" t="n">
        <v>85295.38</v>
      </c>
      <c r="L1747" s="4" t="inlineStr">
        <is>
          <t>INR</t>
        </is>
      </c>
      <c r="M1747" s="15" t="n">
        <v>-85295.38</v>
      </c>
      <c r="N1747" s="4" t="inlineStr">
        <is>
          <t>IOS Owner</t>
        </is>
      </c>
      <c r="O1747" s="4" t="n"/>
      <c r="P1747" s="4" t="n"/>
      <c r="Q1747" s="4" t="inlineStr">
        <is>
          <t>MAESTRO-IOS-BUSINESS-BUSINESS_OPERATIONS-1746 | Rent | 85295.38</t>
        </is>
      </c>
      <c r="R1747" s="4" t="inlineStr">
        <is>
          <t>iPhone</t>
        </is>
      </c>
      <c r="S1747" s="4" t="inlineStr">
        <is>
          <t>B35</t>
        </is>
      </c>
      <c r="T1747" s="4" t="inlineStr">
        <is>
          <t>RAMP_1501_2500</t>
        </is>
      </c>
      <c r="U1747" s="4" t="inlineStr">
        <is>
          <t>CREATED</t>
        </is>
      </c>
      <c r="V1747" s="4" t="inlineStr">
        <is>
          <t>idem-20260902-ios-1746</t>
        </is>
      </c>
    </row>
    <row r="1748" ht="30" customHeight="1">
      <c r="A1748" s="4" t="n">
        <v>1747</v>
      </c>
      <c r="B1748" s="4" t="inlineStr">
        <is>
          <t>MTR-IOS-1747</t>
        </is>
      </c>
      <c r="C1748" s="4" t="inlineStr">
        <is>
          <t>Personal</t>
        </is>
      </c>
      <c r="D1748" s="4" t="inlineStr">
        <is>
          <t>Personal</t>
        </is>
      </c>
      <c r="E1748" s="4" t="inlineStr">
        <is>
          <t>Future Building</t>
        </is>
      </c>
      <c r="F1748" s="4" t="inlineStr">
        <is>
          <t>Savings</t>
        </is>
      </c>
      <c r="G1748" s="4" t="inlineStr">
        <is>
          <t>Transfer</t>
        </is>
      </c>
      <c r="H1748" s="12" t="n">
        <v>46183</v>
      </c>
      <c r="I1748" s="13" t="n">
        <v>0.3756134259259259</v>
      </c>
      <c r="J1748" s="14" t="n">
        <v>46183.37561342592</v>
      </c>
      <c r="K1748" s="15" t="n">
        <v>1251.62</v>
      </c>
      <c r="L1748" s="4" t="inlineStr">
        <is>
          <t>INR</t>
        </is>
      </c>
      <c r="M1748" s="15" t="n">
        <v>0</v>
      </c>
      <c r="N1748" s="4" t="inlineStr">
        <is>
          <t>IOS Owner</t>
        </is>
      </c>
      <c r="O1748" s="4" t="n"/>
      <c r="P1748" s="4" t="n"/>
      <c r="Q1748" s="4" t="inlineStr">
        <is>
          <t>MAESTRO-IOS-PERSONAL-FUTURE_BUILDING-1747 | Savings | 1251.62</t>
        </is>
      </c>
      <c r="R1748" s="4" t="inlineStr">
        <is>
          <t>iPhone</t>
        </is>
      </c>
      <c r="S1748" s="4" t="inlineStr">
        <is>
          <t>B35</t>
        </is>
      </c>
      <c r="T1748" s="4" t="inlineStr">
        <is>
          <t>RAMP_1501_2500</t>
        </is>
      </c>
      <c r="U1748" s="4" t="inlineStr">
        <is>
          <t>CREATED</t>
        </is>
      </c>
      <c r="V1748" s="4" t="inlineStr">
        <is>
          <t>idem-20260902-ios-1747</t>
        </is>
      </c>
    </row>
    <row r="1749" ht="30" customHeight="1">
      <c r="A1749" s="4" t="n">
        <v>1748</v>
      </c>
      <c r="B1749" s="4" t="inlineStr">
        <is>
          <t>MTR-IOS-1748</t>
        </is>
      </c>
      <c r="C1749" s="4" t="inlineStr">
        <is>
          <t>Group</t>
        </is>
      </c>
      <c r="D1749" s="4" t="inlineStr">
        <is>
          <t>Shared Experience</t>
        </is>
      </c>
      <c r="E1749" s="4" t="inlineStr">
        <is>
          <t>Trip</t>
        </is>
      </c>
      <c r="F1749" s="4" t="inlineStr">
        <is>
          <t>Food</t>
        </is>
      </c>
      <c r="G1749" s="4" t="inlineStr">
        <is>
          <t>Expense</t>
        </is>
      </c>
      <c r="H1749" s="12" t="n">
        <v>46084</v>
      </c>
      <c r="I1749" s="13" t="n">
        <v>0.322025462962963</v>
      </c>
      <c r="J1749" s="14" t="n">
        <v>46084.32202546296</v>
      </c>
      <c r="K1749" s="15" t="n">
        <v>4722.27</v>
      </c>
      <c r="L1749" s="4" t="inlineStr">
        <is>
          <t>INR</t>
        </is>
      </c>
      <c r="M1749" s="15" t="n">
        <v>-4722.27</v>
      </c>
      <c r="N1749" s="4" t="inlineStr">
        <is>
          <t>IOS Owner</t>
        </is>
      </c>
      <c r="O1749" s="4" t="n">
        <v>3</v>
      </c>
      <c r="P1749" s="4" t="inlineStr">
        <is>
          <t>EXACT</t>
        </is>
      </c>
      <c r="Q1749" s="4" t="inlineStr">
        <is>
          <t>MAESTRO-IOS-GROUP-TRIP-1748 | Food | 4722.27</t>
        </is>
      </c>
      <c r="R1749" s="4" t="inlineStr">
        <is>
          <t>iPhone</t>
        </is>
      </c>
      <c r="S1749" s="4" t="inlineStr">
        <is>
          <t>B35</t>
        </is>
      </c>
      <c r="T1749" s="4" t="inlineStr">
        <is>
          <t>RAMP_1501_2500</t>
        </is>
      </c>
      <c r="U1749" s="4" t="inlineStr">
        <is>
          <t>CREATED</t>
        </is>
      </c>
      <c r="V1749" s="4" t="inlineStr">
        <is>
          <t>idem-20260902-ios-1748</t>
        </is>
      </c>
    </row>
    <row r="1750" ht="30" customHeight="1">
      <c r="A1750" s="4" t="n">
        <v>1749</v>
      </c>
      <c r="B1750" s="4" t="inlineStr">
        <is>
          <t>MTR-IOS-1749</t>
        </is>
      </c>
      <c r="C1750" s="4" t="inlineStr">
        <is>
          <t>Business</t>
        </is>
      </c>
      <c r="D1750" s="4" t="inlineStr">
        <is>
          <t>Business</t>
        </is>
      </c>
      <c r="E1750" s="4" t="inlineStr">
        <is>
          <t>Business Operations</t>
        </is>
      </c>
      <c r="F1750" s="4" t="inlineStr">
        <is>
          <t>Marketing</t>
        </is>
      </c>
      <c r="G1750" s="4" t="inlineStr">
        <is>
          <t>Expense</t>
        </is>
      </c>
      <c r="H1750" s="12" t="n">
        <v>46171</v>
      </c>
      <c r="I1750" s="13" t="n">
        <v>0.848912037037037</v>
      </c>
      <c r="J1750" s="14" t="n">
        <v>46171.84891203704</v>
      </c>
      <c r="K1750" s="15" t="n">
        <v>146892.38</v>
      </c>
      <c r="L1750" s="4" t="inlineStr">
        <is>
          <t>INR</t>
        </is>
      </c>
      <c r="M1750" s="15" t="n">
        <v>-146892.38</v>
      </c>
      <c r="N1750" s="4" t="inlineStr">
        <is>
          <t>IOS Owner</t>
        </is>
      </c>
      <c r="O1750" s="4" t="n"/>
      <c r="P1750" s="4" t="n"/>
      <c r="Q1750" s="4" t="inlineStr">
        <is>
          <t>MAESTRO-IOS-BUSINESS-BUSINESS_OPERATIONS-1749 | Marketing | 146892.38</t>
        </is>
      </c>
      <c r="R1750" s="4" t="inlineStr">
        <is>
          <t>iPhone</t>
        </is>
      </c>
      <c r="S1750" s="4" t="inlineStr">
        <is>
          <t>B35</t>
        </is>
      </c>
      <c r="T1750" s="4" t="inlineStr">
        <is>
          <t>RAMP_1501_2500</t>
        </is>
      </c>
      <c r="U1750" s="4" t="inlineStr">
        <is>
          <t>CREATED</t>
        </is>
      </c>
      <c r="V1750" s="4" t="inlineStr">
        <is>
          <t>idem-20260902-ios-1749</t>
        </is>
      </c>
    </row>
    <row r="1751" ht="30" customHeight="1">
      <c r="A1751" s="4" t="n">
        <v>1750</v>
      </c>
      <c r="B1751" s="4" t="inlineStr">
        <is>
          <t>MTR-IOS-1750</t>
        </is>
      </c>
      <c r="C1751" s="4" t="inlineStr">
        <is>
          <t>Personal</t>
        </is>
      </c>
      <c r="D1751" s="4" t="inlineStr">
        <is>
          <t>Personal</t>
        </is>
      </c>
      <c r="E1751" s="4" t="inlineStr">
        <is>
          <t>Future Building</t>
        </is>
      </c>
      <c r="F1751" s="4" t="inlineStr">
        <is>
          <t>Emergency Fund</t>
        </is>
      </c>
      <c r="G1751" s="4" t="inlineStr">
        <is>
          <t>Transfer</t>
        </is>
      </c>
      <c r="H1751" s="12" t="n">
        <v>46171</v>
      </c>
      <c r="I1751" s="13" t="n">
        <v>0.7713194444444444</v>
      </c>
      <c r="J1751" s="14" t="n">
        <v>46171.77131944444</v>
      </c>
      <c r="K1751" s="15" t="n">
        <v>1419.69</v>
      </c>
      <c r="L1751" s="4" t="inlineStr">
        <is>
          <t>INR</t>
        </is>
      </c>
      <c r="M1751" s="15" t="n">
        <v>0</v>
      </c>
      <c r="N1751" s="4" t="inlineStr">
        <is>
          <t>IOS Owner</t>
        </is>
      </c>
      <c r="O1751" s="4" t="n"/>
      <c r="P1751" s="4" t="n"/>
      <c r="Q1751" s="4" t="inlineStr">
        <is>
          <t>MAESTRO-IOS-PERSONAL-FUTURE_BUILDING-1750 | Emergency Fund | 1419.69</t>
        </is>
      </c>
      <c r="R1751" s="4" t="inlineStr">
        <is>
          <t>iPhone</t>
        </is>
      </c>
      <c r="S1751" s="4" t="inlineStr">
        <is>
          <t>B35</t>
        </is>
      </c>
      <c r="T1751" s="4" t="inlineStr">
        <is>
          <t>RAMP_1501_2500</t>
        </is>
      </c>
      <c r="U1751" s="4" t="inlineStr">
        <is>
          <t>CREATED</t>
        </is>
      </c>
      <c r="V1751" s="4" t="inlineStr">
        <is>
          <t>idem-20260902-ios-1750</t>
        </is>
      </c>
    </row>
    <row r="1752" ht="30" customHeight="1">
      <c r="A1752" s="4" t="n">
        <v>1751</v>
      </c>
      <c r="B1752" s="4" t="inlineStr">
        <is>
          <t>MTR-IOS-1751</t>
        </is>
      </c>
      <c r="C1752" s="4" t="inlineStr">
        <is>
          <t>Group</t>
        </is>
      </c>
      <c r="D1752" s="4" t="inlineStr">
        <is>
          <t>Shared Experience</t>
        </is>
      </c>
      <c r="E1752" s="4" t="inlineStr">
        <is>
          <t>Trip</t>
        </is>
      </c>
      <c r="F1752" s="4" t="inlineStr">
        <is>
          <t>Local Transport</t>
        </is>
      </c>
      <c r="G1752" s="4" t="inlineStr">
        <is>
          <t>Expense</t>
        </is>
      </c>
      <c r="H1752" s="12" t="n">
        <v>46195</v>
      </c>
      <c r="I1752" s="13" t="n">
        <v>0.0924537037037037</v>
      </c>
      <c r="J1752" s="14" t="n">
        <v>46195.09245370371</v>
      </c>
      <c r="K1752" s="15" t="n">
        <v>7360.27</v>
      </c>
      <c r="L1752" s="4" t="inlineStr">
        <is>
          <t>INR</t>
        </is>
      </c>
      <c r="M1752" s="15" t="n">
        <v>-7360.27</v>
      </c>
      <c r="N1752" s="4" t="inlineStr">
        <is>
          <t>IOS Aarav</t>
        </is>
      </c>
      <c r="O1752" s="4" t="n">
        <v>3</v>
      </c>
      <c r="P1752" s="4" t="inlineStr">
        <is>
          <t>SHARES</t>
        </is>
      </c>
      <c r="Q1752" s="4" t="inlineStr">
        <is>
          <t>MAESTRO-IOS-GROUP-TRIP-1751 | Local Transport | 7360.27</t>
        </is>
      </c>
      <c r="R1752" s="4" t="inlineStr">
        <is>
          <t>iPhone</t>
        </is>
      </c>
      <c r="S1752" s="4" t="inlineStr">
        <is>
          <t>B36</t>
        </is>
      </c>
      <c r="T1752" s="4" t="inlineStr">
        <is>
          <t>RAMP_1501_2500</t>
        </is>
      </c>
      <c r="U1752" s="4" t="inlineStr">
        <is>
          <t>CREATED</t>
        </is>
      </c>
      <c r="V1752" s="4" t="inlineStr">
        <is>
          <t>idem-20260902-ios-1751</t>
        </is>
      </c>
    </row>
    <row r="1753" ht="30" customHeight="1">
      <c r="A1753" s="4" t="n">
        <v>1752</v>
      </c>
      <c r="B1753" s="4" t="inlineStr">
        <is>
          <t>MTR-IOS-1752</t>
        </is>
      </c>
      <c r="C1753" s="4" t="inlineStr">
        <is>
          <t>Business</t>
        </is>
      </c>
      <c r="D1753" s="4" t="inlineStr">
        <is>
          <t>Business</t>
        </is>
      </c>
      <c r="E1753" s="4" t="inlineStr">
        <is>
          <t>Business Operations</t>
        </is>
      </c>
      <c r="F1753" s="4" t="inlineStr">
        <is>
          <t>Legal</t>
        </is>
      </c>
      <c r="G1753" s="4" t="inlineStr">
        <is>
          <t>Expense</t>
        </is>
      </c>
      <c r="H1753" s="12" t="n">
        <v>46071</v>
      </c>
      <c r="I1753" s="13" t="n">
        <v>0.003043981481481481</v>
      </c>
      <c r="J1753" s="14" t="n">
        <v>46071.00304398148</v>
      </c>
      <c r="K1753" s="15" t="n">
        <v>4738.9</v>
      </c>
      <c r="L1753" s="4" t="inlineStr">
        <is>
          <t>INR</t>
        </is>
      </c>
      <c r="M1753" s="15" t="n">
        <v>-4738.9</v>
      </c>
      <c r="N1753" s="4" t="inlineStr">
        <is>
          <t>IOS Owner</t>
        </is>
      </c>
      <c r="O1753" s="4" t="n"/>
      <c r="P1753" s="4" t="n"/>
      <c r="Q1753" s="4" t="inlineStr">
        <is>
          <t>MAESTRO-IOS-BUSINESS-BUSINESS_OPERATIONS-1752 | Legal | 4738.90</t>
        </is>
      </c>
      <c r="R1753" s="4" t="inlineStr">
        <is>
          <t>iPhone</t>
        </is>
      </c>
      <c r="S1753" s="4" t="inlineStr">
        <is>
          <t>B36</t>
        </is>
      </c>
      <c r="T1753" s="4" t="inlineStr">
        <is>
          <t>RAMP_1501_2500</t>
        </is>
      </c>
      <c r="U1753" s="4" t="inlineStr">
        <is>
          <t>CREATED</t>
        </is>
      </c>
      <c r="V1753" s="4" t="inlineStr">
        <is>
          <t>idem-20260902-ios-1752</t>
        </is>
      </c>
    </row>
    <row r="1754" ht="30" customHeight="1">
      <c r="A1754" s="4" t="n">
        <v>1753</v>
      </c>
      <c r="B1754" s="4" t="inlineStr">
        <is>
          <t>MTR-IOS-1753</t>
        </is>
      </c>
      <c r="C1754" s="4" t="inlineStr">
        <is>
          <t>Personal</t>
        </is>
      </c>
      <c r="D1754" s="4" t="inlineStr">
        <is>
          <t>Personal</t>
        </is>
      </c>
      <c r="E1754" s="4" t="inlineStr">
        <is>
          <t>Future Building</t>
        </is>
      </c>
      <c r="F1754" s="4" t="inlineStr">
        <is>
          <t>Investments</t>
        </is>
      </c>
      <c r="G1754" s="4" t="inlineStr">
        <is>
          <t>Investment</t>
        </is>
      </c>
      <c r="H1754" s="12" t="n">
        <v>45999</v>
      </c>
      <c r="I1754" s="13" t="n">
        <v>0.05760416666666666</v>
      </c>
      <c r="J1754" s="14" t="n">
        <v>45999.05760416666</v>
      </c>
      <c r="K1754" s="15" t="n">
        <v>9485.299999999999</v>
      </c>
      <c r="L1754" s="4" t="inlineStr">
        <is>
          <t>INR</t>
        </is>
      </c>
      <c r="M1754" s="15" t="n">
        <v>0</v>
      </c>
      <c r="N1754" s="4" t="inlineStr">
        <is>
          <t>IOS Owner</t>
        </is>
      </c>
      <c r="O1754" s="4" t="n"/>
      <c r="P1754" s="4" t="n"/>
      <c r="Q1754" s="4" t="inlineStr">
        <is>
          <t>MAESTRO-IOS-PERSONAL-FUTURE_BUILDING-1753 | Investments | 9485.30</t>
        </is>
      </c>
      <c r="R1754" s="4" t="inlineStr">
        <is>
          <t>iPhone</t>
        </is>
      </c>
      <c r="S1754" s="4" t="inlineStr">
        <is>
          <t>B36</t>
        </is>
      </c>
      <c r="T1754" s="4" t="inlineStr">
        <is>
          <t>RAMP_1501_2500</t>
        </is>
      </c>
      <c r="U1754" s="4" t="inlineStr">
        <is>
          <t>CREATED</t>
        </is>
      </c>
      <c r="V1754" s="4" t="inlineStr">
        <is>
          <t>idem-20260902-ios-1753</t>
        </is>
      </c>
    </row>
    <row r="1755" ht="30" customHeight="1">
      <c r="A1755" s="4" t="n">
        <v>1754</v>
      </c>
      <c r="B1755" s="4" t="inlineStr">
        <is>
          <t>MTR-IOS-1754</t>
        </is>
      </c>
      <c r="C1755" s="4" t="inlineStr">
        <is>
          <t>Group</t>
        </is>
      </c>
      <c r="D1755" s="4" t="inlineStr">
        <is>
          <t>Shared Experience</t>
        </is>
      </c>
      <c r="E1755" s="4" t="inlineStr">
        <is>
          <t>Trip</t>
        </is>
      </c>
      <c r="F1755" s="4" t="inlineStr">
        <is>
          <t>Activities</t>
        </is>
      </c>
      <c r="G1755" s="4" t="inlineStr">
        <is>
          <t>Expense</t>
        </is>
      </c>
      <c r="H1755" s="12" t="n">
        <v>46143</v>
      </c>
      <c r="I1755" s="13" t="n">
        <v>0.8448032407407408</v>
      </c>
      <c r="J1755" s="14" t="n">
        <v>46143.84480324074</v>
      </c>
      <c r="K1755" s="15" t="n">
        <v>11483.6</v>
      </c>
      <c r="L1755" s="4" t="inlineStr">
        <is>
          <t>INR</t>
        </is>
      </c>
      <c r="M1755" s="15" t="n">
        <v>-11483.6</v>
      </c>
      <c r="N1755" s="4" t="inlineStr">
        <is>
          <t>IOS Meera</t>
        </is>
      </c>
      <c r="O1755" s="4" t="n">
        <v>3</v>
      </c>
      <c r="P1755" s="4" t="inlineStr">
        <is>
          <t>EQUAL</t>
        </is>
      </c>
      <c r="Q1755" s="4" t="inlineStr">
        <is>
          <t>MAESTRO-IOS-GROUP-TRIP-1754 | Activities | 11483.60</t>
        </is>
      </c>
      <c r="R1755" s="4" t="inlineStr">
        <is>
          <t>iPhone</t>
        </is>
      </c>
      <c r="S1755" s="4" t="inlineStr">
        <is>
          <t>B36</t>
        </is>
      </c>
      <c r="T1755" s="4" t="inlineStr">
        <is>
          <t>RAMP_1501_2500</t>
        </is>
      </c>
      <c r="U1755" s="4" t="inlineStr">
        <is>
          <t>CREATED</t>
        </is>
      </c>
      <c r="V1755" s="4" t="inlineStr">
        <is>
          <t>idem-20260902-ios-1754</t>
        </is>
      </c>
    </row>
    <row r="1756" ht="30" customHeight="1">
      <c r="A1756" s="4" t="n">
        <v>1755</v>
      </c>
      <c r="B1756" s="4" t="inlineStr">
        <is>
          <t>MTR-IOS-1755</t>
        </is>
      </c>
      <c r="C1756" s="4" t="inlineStr">
        <is>
          <t>Business</t>
        </is>
      </c>
      <c r="D1756" s="4" t="inlineStr">
        <is>
          <t>Business</t>
        </is>
      </c>
      <c r="E1756" s="4" t="inlineStr">
        <is>
          <t>Business Operations</t>
        </is>
      </c>
      <c r="F1756" s="4" t="inlineStr">
        <is>
          <t>Accounting</t>
        </is>
      </c>
      <c r="G1756" s="4" t="inlineStr">
        <is>
          <t>Expense</t>
        </is>
      </c>
      <c r="H1756" s="12" t="n">
        <v>46029</v>
      </c>
      <c r="I1756" s="13" t="n">
        <v>0.5093518518518518</v>
      </c>
      <c r="J1756" s="14" t="n">
        <v>46029.50935185186</v>
      </c>
      <c r="K1756" s="15" t="n">
        <v>58427.92</v>
      </c>
      <c r="L1756" s="4" t="inlineStr">
        <is>
          <t>INR</t>
        </is>
      </c>
      <c r="M1756" s="15" t="n">
        <v>-58427.92</v>
      </c>
      <c r="N1756" s="4" t="inlineStr">
        <is>
          <t>IOS Owner</t>
        </is>
      </c>
      <c r="O1756" s="4" t="n"/>
      <c r="P1756" s="4" t="n"/>
      <c r="Q1756" s="4" t="inlineStr">
        <is>
          <t>MAESTRO-IOS-BUSINESS-BUSINESS_OPERATIONS-1755 | Accounting | 58427.92</t>
        </is>
      </c>
      <c r="R1756" s="4" t="inlineStr">
        <is>
          <t>iPhone</t>
        </is>
      </c>
      <c r="S1756" s="4" t="inlineStr">
        <is>
          <t>B36</t>
        </is>
      </c>
      <c r="T1756" s="4" t="inlineStr">
        <is>
          <t>RAMP_1501_2500</t>
        </is>
      </c>
      <c r="U1756" s="4" t="inlineStr">
        <is>
          <t>CREATED</t>
        </is>
      </c>
      <c r="V1756" s="4" t="inlineStr">
        <is>
          <t>idem-20260902-ios-1755</t>
        </is>
      </c>
    </row>
    <row r="1757" ht="30" customHeight="1">
      <c r="A1757" s="4" t="n">
        <v>1756</v>
      </c>
      <c r="B1757" s="4" t="inlineStr">
        <is>
          <t>MTR-IOS-1756</t>
        </is>
      </c>
      <c r="C1757" s="4" t="inlineStr">
        <is>
          <t>Personal</t>
        </is>
      </c>
      <c r="D1757" s="4" t="inlineStr">
        <is>
          <t>Personal</t>
        </is>
      </c>
      <c r="E1757" s="4" t="inlineStr">
        <is>
          <t>Future Building</t>
        </is>
      </c>
      <c r="F1757" s="4" t="inlineStr">
        <is>
          <t>Education</t>
        </is>
      </c>
      <c r="G1757" s="4" t="inlineStr">
        <is>
          <t>Expense</t>
        </is>
      </c>
      <c r="H1757" s="12" t="n">
        <v>46097</v>
      </c>
      <c r="I1757" s="13" t="n">
        <v>0.3273263888888889</v>
      </c>
      <c r="J1757" s="14" t="n">
        <v>46097.32732638889</v>
      </c>
      <c r="K1757" s="15" t="n">
        <v>13644.51</v>
      </c>
      <c r="L1757" s="4" t="inlineStr">
        <is>
          <t>INR</t>
        </is>
      </c>
      <c r="M1757" s="15" t="n">
        <v>-13644.51</v>
      </c>
      <c r="N1757" s="4" t="inlineStr">
        <is>
          <t>IOS Owner</t>
        </is>
      </c>
      <c r="O1757" s="4" t="n"/>
      <c r="P1757" s="4" t="n"/>
      <c r="Q1757" s="4" t="inlineStr">
        <is>
          <t>MAESTRO-IOS-PERSONAL-FUTURE_BUILDING-1756 | Education | 13644.51</t>
        </is>
      </c>
      <c r="R1757" s="4" t="inlineStr">
        <is>
          <t>iPhone</t>
        </is>
      </c>
      <c r="S1757" s="4" t="inlineStr">
        <is>
          <t>B36</t>
        </is>
      </c>
      <c r="T1757" s="4" t="inlineStr">
        <is>
          <t>RAMP_1501_2500</t>
        </is>
      </c>
      <c r="U1757" s="4" t="inlineStr">
        <is>
          <t>CREATED</t>
        </is>
      </c>
      <c r="V1757" s="4" t="inlineStr">
        <is>
          <t>idem-20260902-ios-1756</t>
        </is>
      </c>
    </row>
    <row r="1758" ht="30" customHeight="1">
      <c r="A1758" s="4" t="n">
        <v>1757</v>
      </c>
      <c r="B1758" s="4" t="inlineStr">
        <is>
          <t>MTR-IOS-1757</t>
        </is>
      </c>
      <c r="C1758" s="4" t="inlineStr">
        <is>
          <t>Group</t>
        </is>
      </c>
      <c r="D1758" s="4" t="inlineStr">
        <is>
          <t>Shared Experience</t>
        </is>
      </c>
      <c r="E1758" s="4" t="inlineStr">
        <is>
          <t>Trip</t>
        </is>
      </c>
      <c r="F1758" s="4" t="inlineStr">
        <is>
          <t>Shopping</t>
        </is>
      </c>
      <c r="G1758" s="4" t="inlineStr">
        <is>
          <t>Expense</t>
        </is>
      </c>
      <c r="H1758" s="12" t="n">
        <v>46250</v>
      </c>
      <c r="I1758" s="13" t="n">
        <v>0.1018171296296296</v>
      </c>
      <c r="J1758" s="14" t="n">
        <v>46250.10181712963</v>
      </c>
      <c r="K1758" s="15" t="n">
        <v>19552.66</v>
      </c>
      <c r="L1758" s="4" t="inlineStr">
        <is>
          <t>INR</t>
        </is>
      </c>
      <c r="M1758" s="15" t="n">
        <v>-19552.66</v>
      </c>
      <c r="N1758" s="4" t="inlineStr">
        <is>
          <t>IOS Owner</t>
        </is>
      </c>
      <c r="O1758" s="4" t="n">
        <v>3</v>
      </c>
      <c r="P1758" s="4" t="inlineStr">
        <is>
          <t>PERCENTAGE</t>
        </is>
      </c>
      <c r="Q1758" s="4" t="inlineStr">
        <is>
          <t>MAESTRO-IOS-GROUP-TRIP-1757 | Shopping | 19552.66</t>
        </is>
      </c>
      <c r="R1758" s="4" t="inlineStr">
        <is>
          <t>iPhone</t>
        </is>
      </c>
      <c r="S1758" s="4" t="inlineStr">
        <is>
          <t>B36</t>
        </is>
      </c>
      <c r="T1758" s="4" t="inlineStr">
        <is>
          <t>RAMP_1501_2500</t>
        </is>
      </c>
      <c r="U1758" s="4" t="inlineStr">
        <is>
          <t>CREATED</t>
        </is>
      </c>
      <c r="V1758" s="4" t="inlineStr">
        <is>
          <t>idem-20260902-ios-1757</t>
        </is>
      </c>
    </row>
    <row r="1759" ht="30" customHeight="1">
      <c r="A1759" s="4" t="n">
        <v>1758</v>
      </c>
      <c r="B1759" s="4" t="inlineStr">
        <is>
          <t>MTR-IOS-1758</t>
        </is>
      </c>
      <c r="C1759" s="4" t="inlineStr">
        <is>
          <t>Business</t>
        </is>
      </c>
      <c r="D1759" s="4" t="inlineStr">
        <is>
          <t>Business</t>
        </is>
      </c>
      <c r="E1759" s="4" t="inlineStr">
        <is>
          <t>Business Operations</t>
        </is>
      </c>
      <c r="F1759" s="4" t="inlineStr">
        <is>
          <t>Equipment</t>
        </is>
      </c>
      <c r="G1759" s="4" t="inlineStr">
        <is>
          <t>Expense</t>
        </is>
      </c>
      <c r="H1759" s="12" t="n">
        <v>46022</v>
      </c>
      <c r="I1759" s="13" t="n">
        <v>0.1565509259259259</v>
      </c>
      <c r="J1759" s="14" t="n">
        <v>46022.15655092592</v>
      </c>
      <c r="K1759" s="15" t="n">
        <v>94391.77</v>
      </c>
      <c r="L1759" s="4" t="inlineStr">
        <is>
          <t>INR</t>
        </is>
      </c>
      <c r="M1759" s="15" t="n">
        <v>-94391.77</v>
      </c>
      <c r="N1759" s="4" t="inlineStr">
        <is>
          <t>IOS Owner</t>
        </is>
      </c>
      <c r="O1759" s="4" t="n"/>
      <c r="P1759" s="4" t="n"/>
      <c r="Q1759" s="4" t="inlineStr">
        <is>
          <t>MAESTRO-IOS-BUSINESS-BUSINESS_OPERATIONS-1758 | Equipment | 94391.77</t>
        </is>
      </c>
      <c r="R1759" s="4" t="inlineStr">
        <is>
          <t>iPhone</t>
        </is>
      </c>
      <c r="S1759" s="4" t="inlineStr">
        <is>
          <t>B36</t>
        </is>
      </c>
      <c r="T1759" s="4" t="inlineStr">
        <is>
          <t>RAMP_1501_2500</t>
        </is>
      </c>
      <c r="U1759" s="4" t="inlineStr">
        <is>
          <t>CREATED</t>
        </is>
      </c>
      <c r="V1759" s="4" t="inlineStr">
        <is>
          <t>idem-20260902-ios-1758</t>
        </is>
      </c>
    </row>
    <row r="1760" ht="30" customHeight="1">
      <c r="A1760" s="4" t="n">
        <v>1759</v>
      </c>
      <c r="B1760" s="4" t="inlineStr">
        <is>
          <t>MTR-IOS-1759</t>
        </is>
      </c>
      <c r="C1760" s="4" t="inlineStr">
        <is>
          <t>Personal</t>
        </is>
      </c>
      <c r="D1760" s="4" t="inlineStr">
        <is>
          <t>Personal</t>
        </is>
      </c>
      <c r="E1760" s="4" t="inlineStr">
        <is>
          <t>Future Building</t>
        </is>
      </c>
      <c r="F1760" s="4" t="inlineStr">
        <is>
          <t>Goal Contribution</t>
        </is>
      </c>
      <c r="G1760" s="4" t="inlineStr">
        <is>
          <t>Transfer</t>
        </is>
      </c>
      <c r="H1760" s="12" t="n">
        <v>46086</v>
      </c>
      <c r="I1760" s="13" t="n">
        <v>0.7264351851851852</v>
      </c>
      <c r="J1760" s="14" t="n">
        <v>46086.72643518518</v>
      </c>
      <c r="K1760" s="15" t="n">
        <v>3241.42</v>
      </c>
      <c r="L1760" s="4" t="inlineStr">
        <is>
          <t>INR</t>
        </is>
      </c>
      <c r="M1760" s="15" t="n">
        <v>0</v>
      </c>
      <c r="N1760" s="4" t="inlineStr">
        <is>
          <t>IOS Owner</t>
        </is>
      </c>
      <c r="O1760" s="4" t="n"/>
      <c r="P1760" s="4" t="n"/>
      <c r="Q1760" s="4" t="inlineStr">
        <is>
          <t>MAESTRO-IOS-PERSONAL-FUTURE_BUILDING-1759 | Goal Contribution | 3241.42</t>
        </is>
      </c>
      <c r="R1760" s="4" t="inlineStr">
        <is>
          <t>iPhone</t>
        </is>
      </c>
      <c r="S1760" s="4" t="inlineStr">
        <is>
          <t>B36</t>
        </is>
      </c>
      <c r="T1760" s="4" t="inlineStr">
        <is>
          <t>RAMP_1501_2500</t>
        </is>
      </c>
      <c r="U1760" s="4" t="inlineStr">
        <is>
          <t>CREATED</t>
        </is>
      </c>
      <c r="V1760" s="4" t="inlineStr">
        <is>
          <t>idem-20260902-ios-1759</t>
        </is>
      </c>
    </row>
    <row r="1761" ht="30" customHeight="1">
      <c r="A1761" s="4" t="n">
        <v>1760</v>
      </c>
      <c r="B1761" s="4" t="inlineStr">
        <is>
          <t>MTR-IOS-1760</t>
        </is>
      </c>
      <c r="C1761" s="4" t="inlineStr">
        <is>
          <t>Group</t>
        </is>
      </c>
      <c r="D1761" s="4" t="inlineStr">
        <is>
          <t>Shared Experience</t>
        </is>
      </c>
      <c r="E1761" s="4" t="inlineStr">
        <is>
          <t>Trip</t>
        </is>
      </c>
      <c r="F1761" s="4" t="inlineStr">
        <is>
          <t>Other</t>
        </is>
      </c>
      <c r="G1761" s="4" t="inlineStr">
        <is>
          <t>Expense</t>
        </is>
      </c>
      <c r="H1761" s="12" t="n">
        <v>45947</v>
      </c>
      <c r="I1761" s="13" t="n">
        <v>0.5240625</v>
      </c>
      <c r="J1761" s="14" t="n">
        <v>45947.5240625</v>
      </c>
      <c r="K1761" s="15" t="n">
        <v>8535</v>
      </c>
      <c r="L1761" s="4" t="inlineStr">
        <is>
          <t>INR</t>
        </is>
      </c>
      <c r="M1761" s="15" t="n">
        <v>-8535</v>
      </c>
      <c r="N1761" s="4" t="inlineStr">
        <is>
          <t>IOS Aarav</t>
        </is>
      </c>
      <c r="O1761" s="4" t="n">
        <v>3</v>
      </c>
      <c r="P1761" s="4" t="inlineStr">
        <is>
          <t>EXACT</t>
        </is>
      </c>
      <c r="Q1761" s="4" t="inlineStr">
        <is>
          <t>MAESTRO-IOS-GROUP-TRIP-1760 | Other | 8535.00</t>
        </is>
      </c>
      <c r="R1761" s="4" t="inlineStr">
        <is>
          <t>iPhone</t>
        </is>
      </c>
      <c r="S1761" s="4" t="inlineStr">
        <is>
          <t>B36</t>
        </is>
      </c>
      <c r="T1761" s="4" t="inlineStr">
        <is>
          <t>RAMP_1501_2500</t>
        </is>
      </c>
      <c r="U1761" s="4" t="inlineStr">
        <is>
          <t>CREATED</t>
        </is>
      </c>
      <c r="V1761" s="4" t="inlineStr">
        <is>
          <t>idem-20260902-ios-1760</t>
        </is>
      </c>
    </row>
    <row r="1762" ht="30" customHeight="1">
      <c r="A1762" s="4" t="n">
        <v>1761</v>
      </c>
      <c r="B1762" s="4" t="inlineStr">
        <is>
          <t>MTR-IOS-1761</t>
        </is>
      </c>
      <c r="C1762" s="4" t="inlineStr">
        <is>
          <t>Business</t>
        </is>
      </c>
      <c r="D1762" s="4" t="inlineStr">
        <is>
          <t>Business</t>
        </is>
      </c>
      <c r="E1762" s="4" t="inlineStr">
        <is>
          <t>Business Operations</t>
        </is>
      </c>
      <c r="F1762" s="4" t="inlineStr">
        <is>
          <t>Vendor</t>
        </is>
      </c>
      <c r="G1762" s="4" t="inlineStr">
        <is>
          <t>Expense</t>
        </is>
      </c>
      <c r="H1762" s="12" t="n">
        <v>46037</v>
      </c>
      <c r="I1762" s="13" t="n">
        <v>0.7706597222222222</v>
      </c>
      <c r="J1762" s="14" t="n">
        <v>46037.77065972222</v>
      </c>
      <c r="K1762" s="15" t="n">
        <v>70613.64</v>
      </c>
      <c r="L1762" s="4" t="inlineStr">
        <is>
          <t>INR</t>
        </is>
      </c>
      <c r="M1762" s="15" t="n">
        <v>-70613.64</v>
      </c>
      <c r="N1762" s="4" t="inlineStr">
        <is>
          <t>IOS Owner</t>
        </is>
      </c>
      <c r="O1762" s="4" t="n"/>
      <c r="P1762" s="4" t="n"/>
      <c r="Q1762" s="4" t="inlineStr">
        <is>
          <t>MAESTRO-IOS-BUSINESS-BUSINESS_OPERATIONS-1761 | Vendor | 70613.64</t>
        </is>
      </c>
      <c r="R1762" s="4" t="inlineStr">
        <is>
          <t>iPhone</t>
        </is>
      </c>
      <c r="S1762" s="4" t="inlineStr">
        <is>
          <t>B36</t>
        </is>
      </c>
      <c r="T1762" s="4" t="inlineStr">
        <is>
          <t>RAMP_1501_2500</t>
        </is>
      </c>
      <c r="U1762" s="4" t="inlineStr">
        <is>
          <t>CREATED</t>
        </is>
      </c>
      <c r="V1762" s="4" t="inlineStr">
        <is>
          <t>idem-20260902-ios-1761</t>
        </is>
      </c>
    </row>
    <row r="1763" ht="30" customHeight="1">
      <c r="A1763" s="4" t="n">
        <v>1762</v>
      </c>
      <c r="B1763" s="4" t="inlineStr">
        <is>
          <t>MTR-IOS-1762</t>
        </is>
      </c>
      <c r="C1763" s="4" t="inlineStr">
        <is>
          <t>Personal</t>
        </is>
      </c>
      <c r="D1763" s="4" t="inlineStr">
        <is>
          <t>Personal</t>
        </is>
      </c>
      <c r="E1763" s="4" t="inlineStr">
        <is>
          <t>Lifestyle</t>
        </is>
      </c>
      <c r="F1763" s="4" t="inlineStr">
        <is>
          <t>Dining</t>
        </is>
      </c>
      <c r="G1763" s="4" t="inlineStr">
        <is>
          <t>Expense</t>
        </is>
      </c>
      <c r="H1763" s="12" t="n">
        <v>45912</v>
      </c>
      <c r="I1763" s="13" t="n">
        <v>0.9751388888888889</v>
      </c>
      <c r="J1763" s="14" t="n">
        <v>45912.97513888889</v>
      </c>
      <c r="K1763" s="15" t="n">
        <v>9024.879999999999</v>
      </c>
      <c r="L1763" s="4" t="inlineStr">
        <is>
          <t>INR</t>
        </is>
      </c>
      <c r="M1763" s="15" t="n">
        <v>-9024.879999999999</v>
      </c>
      <c r="N1763" s="4" t="inlineStr">
        <is>
          <t>IOS Owner</t>
        </is>
      </c>
      <c r="O1763" s="4" t="n"/>
      <c r="P1763" s="4" t="n"/>
      <c r="Q1763" s="4" t="inlineStr">
        <is>
          <t>MAESTRO-IOS-PERSONAL-LIFESTYLE-1762 | Dining | 9024.88</t>
        </is>
      </c>
      <c r="R1763" s="4" t="inlineStr">
        <is>
          <t>iPhone</t>
        </is>
      </c>
      <c r="S1763" s="4" t="inlineStr">
        <is>
          <t>B36</t>
        </is>
      </c>
      <c r="T1763" s="4" t="inlineStr">
        <is>
          <t>RAMP_1501_2500</t>
        </is>
      </c>
      <c r="U1763" s="4" t="inlineStr">
        <is>
          <t>CREATED</t>
        </is>
      </c>
      <c r="V1763" s="4" t="inlineStr">
        <is>
          <t>idem-20260902-ios-1762</t>
        </is>
      </c>
    </row>
    <row r="1764" ht="30" customHeight="1">
      <c r="A1764" s="4" t="n">
        <v>1763</v>
      </c>
      <c r="B1764" s="4" t="inlineStr">
        <is>
          <t>MTR-IOS-1763</t>
        </is>
      </c>
      <c r="C1764" s="4" t="inlineStr">
        <is>
          <t>Group</t>
        </is>
      </c>
      <c r="D1764" s="4" t="inlineStr">
        <is>
          <t>Shared Experience</t>
        </is>
      </c>
      <c r="E1764" s="4" t="inlineStr">
        <is>
          <t>Wedding</t>
        </is>
      </c>
      <c r="F1764" s="4" t="inlineStr">
        <is>
          <t>Venue</t>
        </is>
      </c>
      <c r="G1764" s="4" t="inlineStr">
        <is>
          <t>Expense</t>
        </is>
      </c>
      <c r="H1764" s="12" t="n">
        <v>46074</v>
      </c>
      <c r="I1764" s="13" t="n">
        <v>0.9254282407407407</v>
      </c>
      <c r="J1764" s="14" t="n">
        <v>46074.92542824074</v>
      </c>
      <c r="K1764" s="15" t="n">
        <v>4596.58</v>
      </c>
      <c r="L1764" s="4" t="inlineStr">
        <is>
          <t>INR</t>
        </is>
      </c>
      <c r="M1764" s="15" t="n">
        <v>-4596.58</v>
      </c>
      <c r="N1764" s="4" t="inlineStr">
        <is>
          <t>IOS Meera</t>
        </is>
      </c>
      <c r="O1764" s="4" t="n">
        <v>3</v>
      </c>
      <c r="P1764" s="4" t="inlineStr">
        <is>
          <t>SHARES</t>
        </is>
      </c>
      <c r="Q1764" s="4" t="inlineStr">
        <is>
          <t>MAESTRO-IOS-GROUP-WEDDING-1763 | Venue | 4596.58</t>
        </is>
      </c>
      <c r="R1764" s="4" t="inlineStr">
        <is>
          <t>iPhone</t>
        </is>
      </c>
      <c r="S1764" s="4" t="inlineStr">
        <is>
          <t>B36</t>
        </is>
      </c>
      <c r="T1764" s="4" t="inlineStr">
        <is>
          <t>RAMP_1501_2500</t>
        </is>
      </c>
      <c r="U1764" s="4" t="inlineStr">
        <is>
          <t>CREATED</t>
        </is>
      </c>
      <c r="V1764" s="4" t="inlineStr">
        <is>
          <t>idem-20260902-ios-1763</t>
        </is>
      </c>
    </row>
    <row r="1765" ht="30" customHeight="1">
      <c r="A1765" s="4" t="n">
        <v>1764</v>
      </c>
      <c r="B1765" s="4" t="inlineStr">
        <is>
          <t>MTR-IOS-1764</t>
        </is>
      </c>
      <c r="C1765" s="4" t="inlineStr">
        <is>
          <t>Business</t>
        </is>
      </c>
      <c r="D1765" s="4" t="inlineStr">
        <is>
          <t>Business</t>
        </is>
      </c>
      <c r="E1765" s="4" t="inlineStr">
        <is>
          <t>Business Operations</t>
        </is>
      </c>
      <c r="F1765" s="4" t="inlineStr">
        <is>
          <t>Tax</t>
        </is>
      </c>
      <c r="G1765" s="4" t="inlineStr">
        <is>
          <t>Expense</t>
        </is>
      </c>
      <c r="H1765" s="12" t="n">
        <v>46194</v>
      </c>
      <c r="I1765" s="13" t="n">
        <v>0.1068518518518519</v>
      </c>
      <c r="J1765" s="14" t="n">
        <v>46194.10685185185</v>
      </c>
      <c r="K1765" s="15" t="n">
        <v>26285.03</v>
      </c>
      <c r="L1765" s="4" t="inlineStr">
        <is>
          <t>INR</t>
        </is>
      </c>
      <c r="M1765" s="15" t="n">
        <v>-26285.03</v>
      </c>
      <c r="N1765" s="4" t="inlineStr">
        <is>
          <t>IOS Owner</t>
        </is>
      </c>
      <c r="O1765" s="4" t="n"/>
      <c r="P1765" s="4" t="n"/>
      <c r="Q1765" s="4" t="inlineStr">
        <is>
          <t>MAESTRO-IOS-BUSINESS-BUSINESS_OPERATIONS-1764 | Tax | 26285.03</t>
        </is>
      </c>
      <c r="R1765" s="4" t="inlineStr">
        <is>
          <t>iPhone</t>
        </is>
      </c>
      <c r="S1765" s="4" t="inlineStr">
        <is>
          <t>B36</t>
        </is>
      </c>
      <c r="T1765" s="4" t="inlineStr">
        <is>
          <t>RAMP_1501_2500</t>
        </is>
      </c>
      <c r="U1765" s="4" t="inlineStr">
        <is>
          <t>CREATED</t>
        </is>
      </c>
      <c r="V1765" s="4" t="inlineStr">
        <is>
          <t>idem-20260902-ios-1764</t>
        </is>
      </c>
    </row>
    <row r="1766" ht="30" customHeight="1">
      <c r="A1766" s="4" t="n">
        <v>1765</v>
      </c>
      <c r="B1766" s="4" t="inlineStr">
        <is>
          <t>MTR-IOS-1765</t>
        </is>
      </c>
      <c r="C1766" s="4" t="inlineStr">
        <is>
          <t>Personal</t>
        </is>
      </c>
      <c r="D1766" s="4" t="inlineStr">
        <is>
          <t>Personal</t>
        </is>
      </c>
      <c r="E1766" s="4" t="inlineStr">
        <is>
          <t>Lifestyle</t>
        </is>
      </c>
      <c r="F1766" s="4" t="inlineStr">
        <is>
          <t>Shopping</t>
        </is>
      </c>
      <c r="G1766" s="4" t="inlineStr">
        <is>
          <t>Expense</t>
        </is>
      </c>
      <c r="H1766" s="12" t="n">
        <v>46201</v>
      </c>
      <c r="I1766" s="13" t="n">
        <v>0.1644444444444444</v>
      </c>
      <c r="J1766" s="14" t="n">
        <v>46201.16444444445</v>
      </c>
      <c r="K1766" s="15" t="n">
        <v>675.17</v>
      </c>
      <c r="L1766" s="4" t="inlineStr">
        <is>
          <t>INR</t>
        </is>
      </c>
      <c r="M1766" s="15" t="n">
        <v>-675.17</v>
      </c>
      <c r="N1766" s="4" t="inlineStr">
        <is>
          <t>IOS Owner</t>
        </is>
      </c>
      <c r="O1766" s="4" t="n"/>
      <c r="P1766" s="4" t="n"/>
      <c r="Q1766" s="4" t="inlineStr">
        <is>
          <t>MAESTRO-IOS-PERSONAL-LIFESTYLE-1765 | Shopping | 675.17</t>
        </is>
      </c>
      <c r="R1766" s="4" t="inlineStr">
        <is>
          <t>iPhone</t>
        </is>
      </c>
      <c r="S1766" s="4" t="inlineStr">
        <is>
          <t>B36</t>
        </is>
      </c>
      <c r="T1766" s="4" t="inlineStr">
        <is>
          <t>RAMP_1501_2500</t>
        </is>
      </c>
      <c r="U1766" s="4" t="inlineStr">
        <is>
          <t>CREATED</t>
        </is>
      </c>
      <c r="V1766" s="4" t="inlineStr">
        <is>
          <t>idem-20260902-ios-1765</t>
        </is>
      </c>
    </row>
    <row r="1767" ht="30" customHeight="1">
      <c r="A1767" s="4" t="n">
        <v>1766</v>
      </c>
      <c r="B1767" s="4" t="inlineStr">
        <is>
          <t>MTR-IOS-1766</t>
        </is>
      </c>
      <c r="C1767" s="4" t="inlineStr">
        <is>
          <t>Group</t>
        </is>
      </c>
      <c r="D1767" s="4" t="inlineStr">
        <is>
          <t>Shared Experience</t>
        </is>
      </c>
      <c r="E1767" s="4" t="inlineStr">
        <is>
          <t>Wedding</t>
        </is>
      </c>
      <c r="F1767" s="4" t="inlineStr">
        <is>
          <t>Catering</t>
        </is>
      </c>
      <c r="G1767" s="4" t="inlineStr">
        <is>
          <t>Expense</t>
        </is>
      </c>
      <c r="H1767" s="12" t="n">
        <v>46082</v>
      </c>
      <c r="I1767" s="13" t="n">
        <v>0.9816666666666667</v>
      </c>
      <c r="J1767" s="14" t="n">
        <v>46082.98166666667</v>
      </c>
      <c r="K1767" s="15" t="n">
        <v>19937.51</v>
      </c>
      <c r="L1767" s="4" t="inlineStr">
        <is>
          <t>INR</t>
        </is>
      </c>
      <c r="M1767" s="15" t="n">
        <v>-19937.51</v>
      </c>
      <c r="N1767" s="4" t="inlineStr">
        <is>
          <t>IOS Owner</t>
        </is>
      </c>
      <c r="O1767" s="4" t="n">
        <v>3</v>
      </c>
      <c r="P1767" s="4" t="inlineStr">
        <is>
          <t>EQUAL</t>
        </is>
      </c>
      <c r="Q1767" s="4" t="inlineStr">
        <is>
          <t>MAESTRO-IOS-GROUP-WEDDING-1766 | Catering | 19937.51</t>
        </is>
      </c>
      <c r="R1767" s="4" t="inlineStr">
        <is>
          <t>iPhone</t>
        </is>
      </c>
      <c r="S1767" s="4" t="inlineStr">
        <is>
          <t>B36</t>
        </is>
      </c>
      <c r="T1767" s="4" t="inlineStr">
        <is>
          <t>RAMP_1501_2500</t>
        </is>
      </c>
      <c r="U1767" s="4" t="inlineStr">
        <is>
          <t>CREATED</t>
        </is>
      </c>
      <c r="V1767" s="4" t="inlineStr">
        <is>
          <t>idem-20260902-ios-1766</t>
        </is>
      </c>
    </row>
    <row r="1768" ht="30" customHeight="1">
      <c r="A1768" s="4" t="n">
        <v>1767</v>
      </c>
      <c r="B1768" s="4" t="inlineStr">
        <is>
          <t>MTR-IOS-1767</t>
        </is>
      </c>
      <c r="C1768" s="4" t="inlineStr">
        <is>
          <t>Business</t>
        </is>
      </c>
      <c r="D1768" s="4" t="inlineStr">
        <is>
          <t>Business</t>
        </is>
      </c>
      <c r="E1768" s="4" t="inlineStr">
        <is>
          <t>Team Operations</t>
        </is>
      </c>
      <c r="F1768" s="4" t="inlineStr">
        <is>
          <t>Payroll</t>
        </is>
      </c>
      <c r="G1768" s="4" t="inlineStr">
        <is>
          <t>Expense</t>
        </is>
      </c>
      <c r="H1768" s="12" t="n">
        <v>46237</v>
      </c>
      <c r="I1768" s="13" t="n">
        <v>0.1878356481481482</v>
      </c>
      <c r="J1768" s="14" t="n">
        <v>46237.18783564815</v>
      </c>
      <c r="K1768" s="15" t="n">
        <v>131129.65</v>
      </c>
      <c r="L1768" s="4" t="inlineStr">
        <is>
          <t>INR</t>
        </is>
      </c>
      <c r="M1768" s="15" t="n">
        <v>-131129.65</v>
      </c>
      <c r="N1768" s="4" t="inlineStr">
        <is>
          <t>IOS Owner</t>
        </is>
      </c>
      <c r="O1768" s="4" t="n"/>
      <c r="P1768" s="4" t="n"/>
      <c r="Q1768" s="4" t="inlineStr">
        <is>
          <t>MAESTRO-IOS-BUSINESS-TEAM_OPERATIONS-1767 | Payroll | 131129.65</t>
        </is>
      </c>
      <c r="R1768" s="4" t="inlineStr">
        <is>
          <t>iPhone</t>
        </is>
      </c>
      <c r="S1768" s="4" t="inlineStr">
        <is>
          <t>B36</t>
        </is>
      </c>
      <c r="T1768" s="4" t="inlineStr">
        <is>
          <t>RAMP_1501_2500</t>
        </is>
      </c>
      <c r="U1768" s="4" t="inlineStr">
        <is>
          <t>CREATED</t>
        </is>
      </c>
      <c r="V1768" s="4" t="inlineStr">
        <is>
          <t>idem-20260902-ios-1767</t>
        </is>
      </c>
    </row>
    <row r="1769" ht="30" customHeight="1">
      <c r="A1769" s="4" t="n">
        <v>1768</v>
      </c>
      <c r="B1769" s="4" t="inlineStr">
        <is>
          <t>MTR-IOS-1768</t>
        </is>
      </c>
      <c r="C1769" s="4" t="inlineStr">
        <is>
          <t>Personal</t>
        </is>
      </c>
      <c r="D1769" s="4" t="inlineStr">
        <is>
          <t>Personal</t>
        </is>
      </c>
      <c r="E1769" s="4" t="inlineStr">
        <is>
          <t>Lifestyle</t>
        </is>
      </c>
      <c r="F1769" s="4" t="inlineStr">
        <is>
          <t>Entertainment</t>
        </is>
      </c>
      <c r="G1769" s="4" t="inlineStr">
        <is>
          <t>Expense</t>
        </is>
      </c>
      <c r="H1769" s="12" t="n">
        <v>46265</v>
      </c>
      <c r="I1769" s="13" t="n">
        <v>0.6288310185185185</v>
      </c>
      <c r="J1769" s="14" t="n">
        <v>46265.62883101852</v>
      </c>
      <c r="K1769" s="15" t="n">
        <v>13447.2</v>
      </c>
      <c r="L1769" s="4" t="inlineStr">
        <is>
          <t>INR</t>
        </is>
      </c>
      <c r="M1769" s="15" t="n">
        <v>-13447.2</v>
      </c>
      <c r="N1769" s="4" t="inlineStr">
        <is>
          <t>IOS Owner</t>
        </is>
      </c>
      <c r="O1769" s="4" t="n"/>
      <c r="P1769" s="4" t="n"/>
      <c r="Q1769" s="4" t="inlineStr">
        <is>
          <t>MAESTRO-IOS-PERSONAL-LIFESTYLE-1768 | Entertainment | 13447.20</t>
        </is>
      </c>
      <c r="R1769" s="4" t="inlineStr">
        <is>
          <t>iPhone</t>
        </is>
      </c>
      <c r="S1769" s="4" t="inlineStr">
        <is>
          <t>B36</t>
        </is>
      </c>
      <c r="T1769" s="4" t="inlineStr">
        <is>
          <t>RAMP_1501_2500</t>
        </is>
      </c>
      <c r="U1769" s="4" t="inlineStr">
        <is>
          <t>CREATED</t>
        </is>
      </c>
      <c r="V1769" s="4" t="inlineStr">
        <is>
          <t>idem-20260902-ios-1768</t>
        </is>
      </c>
    </row>
    <row r="1770" ht="30" customHeight="1">
      <c r="A1770" s="4" t="n">
        <v>1769</v>
      </c>
      <c r="B1770" s="4" t="inlineStr">
        <is>
          <t>MTR-IOS-1769</t>
        </is>
      </c>
      <c r="C1770" s="4" t="inlineStr">
        <is>
          <t>Group</t>
        </is>
      </c>
      <c r="D1770" s="4" t="inlineStr">
        <is>
          <t>Shared Experience</t>
        </is>
      </c>
      <c r="E1770" s="4" t="inlineStr">
        <is>
          <t>Wedding</t>
        </is>
      </c>
      <c r="F1770" s="4" t="inlineStr">
        <is>
          <t>Decor</t>
        </is>
      </c>
      <c r="G1770" s="4" t="inlineStr">
        <is>
          <t>Expense</t>
        </is>
      </c>
      <c r="H1770" s="12" t="n">
        <v>46245</v>
      </c>
      <c r="I1770" s="13" t="n">
        <v>0.001574074074074074</v>
      </c>
      <c r="J1770" s="14" t="n">
        <v>46245.00157407407</v>
      </c>
      <c r="K1770" s="15" t="n">
        <v>10524.58</v>
      </c>
      <c r="L1770" s="4" t="inlineStr">
        <is>
          <t>INR</t>
        </is>
      </c>
      <c r="M1770" s="15" t="n">
        <v>-10524.58</v>
      </c>
      <c r="N1770" s="4" t="inlineStr">
        <is>
          <t>IOS Aarav</t>
        </is>
      </c>
      <c r="O1770" s="4" t="n">
        <v>3</v>
      </c>
      <c r="P1770" s="4" t="inlineStr">
        <is>
          <t>PERCENTAGE</t>
        </is>
      </c>
      <c r="Q1770" s="4" t="inlineStr">
        <is>
          <t>MAESTRO-IOS-GROUP-WEDDING-1769 | Decor | 10524.58</t>
        </is>
      </c>
      <c r="R1770" s="4" t="inlineStr">
        <is>
          <t>iPhone</t>
        </is>
      </c>
      <c r="S1770" s="4" t="inlineStr">
        <is>
          <t>B36</t>
        </is>
      </c>
      <c r="T1770" s="4" t="inlineStr">
        <is>
          <t>RAMP_1501_2500</t>
        </is>
      </c>
      <c r="U1770" s="4" t="inlineStr">
        <is>
          <t>CREATED</t>
        </is>
      </c>
      <c r="V1770" s="4" t="inlineStr">
        <is>
          <t>idem-20260902-ios-1769</t>
        </is>
      </c>
    </row>
    <row r="1771" ht="30" customHeight="1">
      <c r="A1771" s="4" t="n">
        <v>1770</v>
      </c>
      <c r="B1771" s="4" t="inlineStr">
        <is>
          <t>MTR-IOS-1770</t>
        </is>
      </c>
      <c r="C1771" s="4" t="inlineStr">
        <is>
          <t>Business</t>
        </is>
      </c>
      <c r="D1771" s="4" t="inlineStr">
        <is>
          <t>Business</t>
        </is>
      </c>
      <c r="E1771" s="4" t="inlineStr">
        <is>
          <t>Team Operations</t>
        </is>
      </c>
      <c r="F1771" s="4" t="inlineStr">
        <is>
          <t>Contractor</t>
        </is>
      </c>
      <c r="G1771" s="4" t="inlineStr">
        <is>
          <t>Expense</t>
        </is>
      </c>
      <c r="H1771" s="12" t="n">
        <v>46014</v>
      </c>
      <c r="I1771" s="13" t="n">
        <v>0.09532407407407407</v>
      </c>
      <c r="J1771" s="14" t="n">
        <v>46014.09532407407</v>
      </c>
      <c r="K1771" s="15" t="n">
        <v>110498.36</v>
      </c>
      <c r="L1771" s="4" t="inlineStr">
        <is>
          <t>INR</t>
        </is>
      </c>
      <c r="M1771" s="15" t="n">
        <v>-110498.36</v>
      </c>
      <c r="N1771" s="4" t="inlineStr">
        <is>
          <t>IOS Owner</t>
        </is>
      </c>
      <c r="O1771" s="4" t="n"/>
      <c r="P1771" s="4" t="n"/>
      <c r="Q1771" s="4" t="inlineStr">
        <is>
          <t>MAESTRO-IOS-BUSINESS-TEAM_OPERATIONS-1770 | Contractor | 110498.36</t>
        </is>
      </c>
      <c r="R1771" s="4" t="inlineStr">
        <is>
          <t>iPhone</t>
        </is>
      </c>
      <c r="S1771" s="4" t="inlineStr">
        <is>
          <t>B36</t>
        </is>
      </c>
      <c r="T1771" s="4" t="inlineStr">
        <is>
          <t>RAMP_1501_2500</t>
        </is>
      </c>
      <c r="U1771" s="4" t="inlineStr">
        <is>
          <t>CREATED</t>
        </is>
      </c>
      <c r="V1771" s="4" t="inlineStr">
        <is>
          <t>idem-20260902-ios-1770</t>
        </is>
      </c>
    </row>
    <row r="1772" ht="30" customHeight="1">
      <c r="A1772" s="4" t="n">
        <v>1771</v>
      </c>
      <c r="B1772" s="4" t="inlineStr">
        <is>
          <t>MTR-IOS-1771</t>
        </is>
      </c>
      <c r="C1772" s="4" t="inlineStr">
        <is>
          <t>Personal</t>
        </is>
      </c>
      <c r="D1772" s="4" t="inlineStr">
        <is>
          <t>Personal</t>
        </is>
      </c>
      <c r="E1772" s="4" t="inlineStr">
        <is>
          <t>Lifestyle</t>
        </is>
      </c>
      <c r="F1772" s="4" t="inlineStr">
        <is>
          <t>Travel</t>
        </is>
      </c>
      <c r="G1772" s="4" t="inlineStr">
        <is>
          <t>Expense</t>
        </is>
      </c>
      <c r="H1772" s="12" t="n">
        <v>45912</v>
      </c>
      <c r="I1772" s="13" t="n">
        <v>0.86875</v>
      </c>
      <c r="J1772" s="14" t="n">
        <v>45912.86875</v>
      </c>
      <c r="K1772" s="15" t="n">
        <v>6437.12</v>
      </c>
      <c r="L1772" s="4" t="inlineStr">
        <is>
          <t>INR</t>
        </is>
      </c>
      <c r="M1772" s="15" t="n">
        <v>-6437.12</v>
      </c>
      <c r="N1772" s="4" t="inlineStr">
        <is>
          <t>IOS Owner</t>
        </is>
      </c>
      <c r="O1772" s="4" t="n"/>
      <c r="P1772" s="4" t="n"/>
      <c r="Q1772" s="4" t="inlineStr">
        <is>
          <t>MAESTRO-IOS-PERSONAL-LIFESTYLE-1771 | Travel | 6437.12</t>
        </is>
      </c>
      <c r="R1772" s="4" t="inlineStr">
        <is>
          <t>iPhone</t>
        </is>
      </c>
      <c r="S1772" s="4" t="inlineStr">
        <is>
          <t>B36</t>
        </is>
      </c>
      <c r="T1772" s="4" t="inlineStr">
        <is>
          <t>RAMP_1501_2500</t>
        </is>
      </c>
      <c r="U1772" s="4" t="inlineStr">
        <is>
          <t>CREATED</t>
        </is>
      </c>
      <c r="V1772" s="4" t="inlineStr">
        <is>
          <t>idem-20260902-ios-1771</t>
        </is>
      </c>
    </row>
    <row r="1773" ht="30" customHeight="1">
      <c r="A1773" s="4" t="n">
        <v>1772</v>
      </c>
      <c r="B1773" s="4" t="inlineStr">
        <is>
          <t>MTR-IOS-1772</t>
        </is>
      </c>
      <c r="C1773" s="4" t="inlineStr">
        <is>
          <t>Group</t>
        </is>
      </c>
      <c r="D1773" s="4" t="inlineStr">
        <is>
          <t>Shared Experience</t>
        </is>
      </c>
      <c r="E1773" s="4" t="inlineStr">
        <is>
          <t>Wedding</t>
        </is>
      </c>
      <c r="F1773" s="4" t="inlineStr">
        <is>
          <t>Travel</t>
        </is>
      </c>
      <c r="G1773" s="4" t="inlineStr">
        <is>
          <t>Expense</t>
        </is>
      </c>
      <c r="H1773" s="12" t="n">
        <v>46041</v>
      </c>
      <c r="I1773" s="13" t="n">
        <v>0.4857523148148148</v>
      </c>
      <c r="J1773" s="14" t="n">
        <v>46041.48575231482</v>
      </c>
      <c r="K1773" s="15" t="n">
        <v>15046.99</v>
      </c>
      <c r="L1773" s="4" t="inlineStr">
        <is>
          <t>INR</t>
        </is>
      </c>
      <c r="M1773" s="15" t="n">
        <v>-15046.99</v>
      </c>
      <c r="N1773" s="4" t="inlineStr">
        <is>
          <t>IOS Meera</t>
        </is>
      </c>
      <c r="O1773" s="4" t="n">
        <v>3</v>
      </c>
      <c r="P1773" s="4" t="inlineStr">
        <is>
          <t>EXACT</t>
        </is>
      </c>
      <c r="Q1773" s="4" t="inlineStr">
        <is>
          <t>MAESTRO-IOS-GROUP-WEDDING-1772 | Travel | 15046.99</t>
        </is>
      </c>
      <c r="R1773" s="4" t="inlineStr">
        <is>
          <t>iPhone</t>
        </is>
      </c>
      <c r="S1773" s="4" t="inlineStr">
        <is>
          <t>B36</t>
        </is>
      </c>
      <c r="T1773" s="4" t="inlineStr">
        <is>
          <t>RAMP_1501_2500</t>
        </is>
      </c>
      <c r="U1773" s="4" t="inlineStr">
        <is>
          <t>CREATED</t>
        </is>
      </c>
      <c r="V1773" s="4" t="inlineStr">
        <is>
          <t>idem-20260902-ios-1772</t>
        </is>
      </c>
    </row>
    <row r="1774" ht="30" customHeight="1">
      <c r="A1774" s="4" t="n">
        <v>1773</v>
      </c>
      <c r="B1774" s="4" t="inlineStr">
        <is>
          <t>MTR-IOS-1773</t>
        </is>
      </c>
      <c r="C1774" s="4" t="inlineStr">
        <is>
          <t>Business</t>
        </is>
      </c>
      <c r="D1774" s="4" t="inlineStr">
        <is>
          <t>Business</t>
        </is>
      </c>
      <c r="E1774" s="4" t="inlineStr">
        <is>
          <t>Team Operations</t>
        </is>
      </c>
      <c r="F1774" s="4" t="inlineStr">
        <is>
          <t>Hiring</t>
        </is>
      </c>
      <c r="G1774" s="4" t="inlineStr">
        <is>
          <t>Expense</t>
        </is>
      </c>
      <c r="H1774" s="12" t="n">
        <v>46225</v>
      </c>
      <c r="I1774" s="13" t="n">
        <v>0.08173611111111111</v>
      </c>
      <c r="J1774" s="14" t="n">
        <v>46225.08173611111</v>
      </c>
      <c r="K1774" s="15" t="n">
        <v>105443.29</v>
      </c>
      <c r="L1774" s="4" t="inlineStr">
        <is>
          <t>INR</t>
        </is>
      </c>
      <c r="M1774" s="15" t="n">
        <v>-105443.29</v>
      </c>
      <c r="N1774" s="4" t="inlineStr">
        <is>
          <t>IOS Owner</t>
        </is>
      </c>
      <c r="O1774" s="4" t="n"/>
      <c r="P1774" s="4" t="n"/>
      <c r="Q1774" s="4" t="inlineStr">
        <is>
          <t>MAESTRO-IOS-BUSINESS-TEAM_OPERATIONS-1773 | Hiring | 105443.29</t>
        </is>
      </c>
      <c r="R1774" s="4" t="inlineStr">
        <is>
          <t>iPhone</t>
        </is>
      </c>
      <c r="S1774" s="4" t="inlineStr">
        <is>
          <t>B36</t>
        </is>
      </c>
      <c r="T1774" s="4" t="inlineStr">
        <is>
          <t>RAMP_1501_2500</t>
        </is>
      </c>
      <c r="U1774" s="4" t="inlineStr">
        <is>
          <t>CREATED</t>
        </is>
      </c>
      <c r="V1774" s="4" t="inlineStr">
        <is>
          <t>idem-20260902-ios-1773</t>
        </is>
      </c>
    </row>
    <row r="1775" ht="30" customHeight="1">
      <c r="A1775" s="4" t="n">
        <v>1774</v>
      </c>
      <c r="B1775" s="4" t="inlineStr">
        <is>
          <t>MTR-IOS-1774</t>
        </is>
      </c>
      <c r="C1775" s="4" t="inlineStr">
        <is>
          <t>Personal</t>
        </is>
      </c>
      <c r="D1775" s="4" t="inlineStr">
        <is>
          <t>Personal</t>
        </is>
      </c>
      <c r="E1775" s="4" t="inlineStr">
        <is>
          <t>Lifestyle</t>
        </is>
      </c>
      <c r="F1775" s="4" t="inlineStr">
        <is>
          <t>Fitness</t>
        </is>
      </c>
      <c r="G1775" s="4" t="inlineStr">
        <is>
          <t>Expense</t>
        </is>
      </c>
      <c r="H1775" s="12" t="n">
        <v>46053</v>
      </c>
      <c r="I1775" s="13" t="n">
        <v>0.8587268518518518</v>
      </c>
      <c r="J1775" s="14" t="n">
        <v>46053.85872685185</v>
      </c>
      <c r="K1775" s="15" t="n">
        <v>7975.87</v>
      </c>
      <c r="L1775" s="4" t="inlineStr">
        <is>
          <t>INR</t>
        </is>
      </c>
      <c r="M1775" s="15" t="n">
        <v>-7975.87</v>
      </c>
      <c r="N1775" s="4" t="inlineStr">
        <is>
          <t>IOS Owner</t>
        </is>
      </c>
      <c r="O1775" s="4" t="n"/>
      <c r="P1775" s="4" t="n"/>
      <c r="Q1775" s="4" t="inlineStr">
        <is>
          <t>MAESTRO-IOS-PERSONAL-LIFESTYLE-1774 | Fitness | 7975.87</t>
        </is>
      </c>
      <c r="R1775" s="4" t="inlineStr">
        <is>
          <t>iPhone</t>
        </is>
      </c>
      <c r="S1775" s="4" t="inlineStr">
        <is>
          <t>B36</t>
        </is>
      </c>
      <c r="T1775" s="4" t="inlineStr">
        <is>
          <t>RAMP_1501_2500</t>
        </is>
      </c>
      <c r="U1775" s="4" t="inlineStr">
        <is>
          <t>CREATED</t>
        </is>
      </c>
      <c r="V1775" s="4" t="inlineStr">
        <is>
          <t>idem-20260902-ios-1774</t>
        </is>
      </c>
    </row>
    <row r="1776" ht="30" customHeight="1">
      <c r="A1776" s="4" t="n">
        <v>1775</v>
      </c>
      <c r="B1776" s="4" t="inlineStr">
        <is>
          <t>MTR-IOS-1775</t>
        </is>
      </c>
      <c r="C1776" s="4" t="inlineStr">
        <is>
          <t>Group</t>
        </is>
      </c>
      <c r="D1776" s="4" t="inlineStr">
        <is>
          <t>Shared Experience</t>
        </is>
      </c>
      <c r="E1776" s="4" t="inlineStr">
        <is>
          <t>Wedding</t>
        </is>
      </c>
      <c r="F1776" s="4" t="inlineStr">
        <is>
          <t>Gifts</t>
        </is>
      </c>
      <c r="G1776" s="4" t="inlineStr">
        <is>
          <t>Expense</t>
        </is>
      </c>
      <c r="H1776" s="12" t="n">
        <v>46262</v>
      </c>
      <c r="I1776" s="13" t="n">
        <v>0.2387152777777778</v>
      </c>
      <c r="J1776" s="14" t="n">
        <v>46262.23871527778</v>
      </c>
      <c r="K1776" s="15" t="n">
        <v>10519.09</v>
      </c>
      <c r="L1776" s="4" t="inlineStr">
        <is>
          <t>INR</t>
        </is>
      </c>
      <c r="M1776" s="15" t="n">
        <v>-10519.09</v>
      </c>
      <c r="N1776" s="4" t="inlineStr">
        <is>
          <t>IOS Owner</t>
        </is>
      </c>
      <c r="O1776" s="4" t="n">
        <v>3</v>
      </c>
      <c r="P1776" s="4" t="inlineStr">
        <is>
          <t>SHARES</t>
        </is>
      </c>
      <c r="Q1776" s="4" t="inlineStr">
        <is>
          <t>MAESTRO-IOS-GROUP-WEDDING-1775 | Gifts | 10519.09</t>
        </is>
      </c>
      <c r="R1776" s="4" t="inlineStr">
        <is>
          <t>iPhone</t>
        </is>
      </c>
      <c r="S1776" s="4" t="inlineStr">
        <is>
          <t>B36</t>
        </is>
      </c>
      <c r="T1776" s="4" t="inlineStr">
        <is>
          <t>RAMP_1501_2500</t>
        </is>
      </c>
      <c r="U1776" s="4" t="inlineStr">
        <is>
          <t>CREATED</t>
        </is>
      </c>
      <c r="V1776" s="4" t="inlineStr">
        <is>
          <t>idem-20260902-ios-1775</t>
        </is>
      </c>
    </row>
    <row r="1777" ht="30" customHeight="1">
      <c r="A1777" s="4" t="n">
        <v>1776</v>
      </c>
      <c r="B1777" s="4" t="inlineStr">
        <is>
          <t>MTR-IOS-1776</t>
        </is>
      </c>
      <c r="C1777" s="4" t="inlineStr">
        <is>
          <t>Business</t>
        </is>
      </c>
      <c r="D1777" s="4" t="inlineStr">
        <is>
          <t>Business</t>
        </is>
      </c>
      <c r="E1777" s="4" t="inlineStr">
        <is>
          <t>Team Operations</t>
        </is>
      </c>
      <c r="F1777" s="4" t="inlineStr">
        <is>
          <t>Team Meal</t>
        </is>
      </c>
      <c r="G1777" s="4" t="inlineStr">
        <is>
          <t>Expense</t>
        </is>
      </c>
      <c r="H1777" s="12" t="n">
        <v>46089</v>
      </c>
      <c r="I1777" s="13" t="n">
        <v>0.6645601851851852</v>
      </c>
      <c r="J1777" s="14" t="n">
        <v>46089.66456018519</v>
      </c>
      <c r="K1777" s="15" t="n">
        <v>0.01</v>
      </c>
      <c r="L1777" s="4" t="inlineStr">
        <is>
          <t>INR</t>
        </is>
      </c>
      <c r="M1777" s="15" t="n">
        <v>-0.01</v>
      </c>
      <c r="N1777" s="4" t="inlineStr">
        <is>
          <t>IOS Owner</t>
        </is>
      </c>
      <c r="O1777" s="4" t="n"/>
      <c r="P1777" s="4" t="n"/>
      <c r="Q1777" s="4" t="inlineStr">
        <is>
          <t>MAESTRO-IOS-BUSINESS-TEAM_OPERATIONS-1776 | Team Meal | 0.01</t>
        </is>
      </c>
      <c r="R1777" s="4" t="inlineStr">
        <is>
          <t>iPhone</t>
        </is>
      </c>
      <c r="S1777" s="4" t="inlineStr">
        <is>
          <t>B36</t>
        </is>
      </c>
      <c r="T1777" s="4" t="inlineStr">
        <is>
          <t>RAMP_1501_2500</t>
        </is>
      </c>
      <c r="U1777" s="4" t="inlineStr">
        <is>
          <t>CREATED</t>
        </is>
      </c>
      <c r="V1777" s="4" t="inlineStr">
        <is>
          <t>idem-20260902-ios-1776</t>
        </is>
      </c>
    </row>
    <row r="1778" ht="30" customHeight="1">
      <c r="A1778" s="4" t="n">
        <v>1777</v>
      </c>
      <c r="B1778" s="4" t="inlineStr">
        <is>
          <t>MTR-IOS-1777</t>
        </is>
      </c>
      <c r="C1778" s="4" t="inlineStr">
        <is>
          <t>Personal</t>
        </is>
      </c>
      <c r="D1778" s="4" t="inlineStr">
        <is>
          <t>Personal</t>
        </is>
      </c>
      <c r="E1778" s="4" t="inlineStr">
        <is>
          <t>Lifestyle</t>
        </is>
      </c>
      <c r="F1778" s="4" t="inlineStr">
        <is>
          <t>Hobbies</t>
        </is>
      </c>
      <c r="G1778" s="4" t="inlineStr">
        <is>
          <t>Expense</t>
        </is>
      </c>
      <c r="H1778" s="12" t="n">
        <v>46013</v>
      </c>
      <c r="I1778" s="13" t="n">
        <v>0.4428125</v>
      </c>
      <c r="J1778" s="14" t="n">
        <v>46013.4428125</v>
      </c>
      <c r="K1778" s="15" t="n">
        <v>1555.76</v>
      </c>
      <c r="L1778" s="4" t="inlineStr">
        <is>
          <t>INR</t>
        </is>
      </c>
      <c r="M1778" s="15" t="n">
        <v>-1555.76</v>
      </c>
      <c r="N1778" s="4" t="inlineStr">
        <is>
          <t>IOS Owner</t>
        </is>
      </c>
      <c r="O1778" s="4" t="n"/>
      <c r="P1778" s="4" t="n"/>
      <c r="Q1778" s="4" t="inlineStr">
        <is>
          <t>MAESTRO-IOS-PERSONAL-LIFESTYLE-1777 | Hobbies | 1555.76</t>
        </is>
      </c>
      <c r="R1778" s="4" t="inlineStr">
        <is>
          <t>iPhone</t>
        </is>
      </c>
      <c r="S1778" s="4" t="inlineStr">
        <is>
          <t>B36</t>
        </is>
      </c>
      <c r="T1778" s="4" t="inlineStr">
        <is>
          <t>RAMP_1501_2500</t>
        </is>
      </c>
      <c r="U1778" s="4" t="inlineStr">
        <is>
          <t>CREATED</t>
        </is>
      </c>
      <c r="V1778" s="4" t="inlineStr">
        <is>
          <t>idem-20260902-ios-1777</t>
        </is>
      </c>
    </row>
    <row r="1779" ht="30" customHeight="1">
      <c r="A1779" s="4" t="n">
        <v>1778</v>
      </c>
      <c r="B1779" s="4" t="inlineStr">
        <is>
          <t>MTR-IOS-1778</t>
        </is>
      </c>
      <c r="C1779" s="4" t="inlineStr">
        <is>
          <t>Group</t>
        </is>
      </c>
      <c r="D1779" s="4" t="inlineStr">
        <is>
          <t>Shared Experience</t>
        </is>
      </c>
      <c r="E1779" s="4" t="inlineStr">
        <is>
          <t>Wedding</t>
        </is>
      </c>
      <c r="F1779" s="4" t="inlineStr">
        <is>
          <t>Photography</t>
        </is>
      </c>
      <c r="G1779" s="4" t="inlineStr">
        <is>
          <t>Expense</t>
        </is>
      </c>
      <c r="H1779" s="12" t="n">
        <v>46103</v>
      </c>
      <c r="I1779" s="13" t="n">
        <v>0.5038425925925926</v>
      </c>
      <c r="J1779" s="14" t="n">
        <v>46103.5038425926</v>
      </c>
      <c r="K1779" s="15" t="n">
        <v>6343.55</v>
      </c>
      <c r="L1779" s="4" t="inlineStr">
        <is>
          <t>INR</t>
        </is>
      </c>
      <c r="M1779" s="15" t="n">
        <v>-6343.55</v>
      </c>
      <c r="N1779" s="4" t="inlineStr">
        <is>
          <t>IOS Aarav</t>
        </is>
      </c>
      <c r="O1779" s="4" t="n">
        <v>3</v>
      </c>
      <c r="P1779" s="4" t="inlineStr">
        <is>
          <t>EQUAL</t>
        </is>
      </c>
      <c r="Q1779" s="4" t="inlineStr">
        <is>
          <t>MAESTRO-IOS-GROUP-WEDDING-1778 | Photography | 6343.55</t>
        </is>
      </c>
      <c r="R1779" s="4" t="inlineStr">
        <is>
          <t>iPhone</t>
        </is>
      </c>
      <c r="S1779" s="4" t="inlineStr">
        <is>
          <t>B36</t>
        </is>
      </c>
      <c r="T1779" s="4" t="inlineStr">
        <is>
          <t>RAMP_1501_2500</t>
        </is>
      </c>
      <c r="U1779" s="4" t="inlineStr">
        <is>
          <t>CREATED</t>
        </is>
      </c>
      <c r="V1779" s="4" t="inlineStr">
        <is>
          <t>idem-20260902-ios-1778</t>
        </is>
      </c>
    </row>
    <row r="1780" ht="30" customHeight="1">
      <c r="A1780" s="4" t="n">
        <v>1779</v>
      </c>
      <c r="B1780" s="4" t="inlineStr">
        <is>
          <t>MTR-IOS-1779</t>
        </is>
      </c>
      <c r="C1780" s="4" t="inlineStr">
        <is>
          <t>Business</t>
        </is>
      </c>
      <c r="D1780" s="4" t="inlineStr">
        <is>
          <t>Business</t>
        </is>
      </c>
      <c r="E1780" s="4" t="inlineStr">
        <is>
          <t>Team Operations</t>
        </is>
      </c>
      <c r="F1780" s="4" t="inlineStr">
        <is>
          <t>Travel</t>
        </is>
      </c>
      <c r="G1780" s="4" t="inlineStr">
        <is>
          <t>Expense</t>
        </is>
      </c>
      <c r="H1780" s="12" t="n">
        <v>46116</v>
      </c>
      <c r="I1780" s="13" t="n">
        <v>0.4851273148148148</v>
      </c>
      <c r="J1780" s="14" t="n">
        <v>46116.48512731482</v>
      </c>
      <c r="K1780" s="15" t="n">
        <v>131041.02</v>
      </c>
      <c r="L1780" s="4" t="inlineStr">
        <is>
          <t>INR</t>
        </is>
      </c>
      <c r="M1780" s="15" t="n">
        <v>-131041.02</v>
      </c>
      <c r="N1780" s="4" t="inlineStr">
        <is>
          <t>IOS Owner</t>
        </is>
      </c>
      <c r="O1780" s="4" t="n"/>
      <c r="P1780" s="4" t="n"/>
      <c r="Q1780" s="4" t="inlineStr">
        <is>
          <t>MAESTRO-IOS-BUSINESS-TEAM_OPERATIONS-1779 | Travel | 131041.02</t>
        </is>
      </c>
      <c r="R1780" s="4" t="inlineStr">
        <is>
          <t>iPhone</t>
        </is>
      </c>
      <c r="S1780" s="4" t="inlineStr">
        <is>
          <t>B36</t>
        </is>
      </c>
      <c r="T1780" s="4" t="inlineStr">
        <is>
          <t>RAMP_1501_2500</t>
        </is>
      </c>
      <c r="U1780" s="4" t="inlineStr">
        <is>
          <t>CREATED</t>
        </is>
      </c>
      <c r="V1780" s="4" t="inlineStr">
        <is>
          <t>idem-20260902-ios-1779</t>
        </is>
      </c>
    </row>
    <row r="1781" ht="30" customHeight="1">
      <c r="A1781" s="4" t="n">
        <v>1780</v>
      </c>
      <c r="B1781" s="4" t="inlineStr">
        <is>
          <t>MTR-IOS-1780</t>
        </is>
      </c>
      <c r="C1781" s="4" t="inlineStr">
        <is>
          <t>Personal</t>
        </is>
      </c>
      <c r="D1781" s="4" t="inlineStr">
        <is>
          <t>Personal</t>
        </is>
      </c>
      <c r="E1781" s="4" t="inlineStr">
        <is>
          <t>Relationships</t>
        </is>
      </c>
      <c r="F1781" s="4" t="inlineStr">
        <is>
          <t>Gifts</t>
        </is>
      </c>
      <c r="G1781" s="4" t="inlineStr">
        <is>
          <t>Expense</t>
        </is>
      </c>
      <c r="H1781" s="12" t="n">
        <v>46059</v>
      </c>
      <c r="I1781" s="13" t="n">
        <v>0.6232407407407408</v>
      </c>
      <c r="J1781" s="14" t="n">
        <v>46059.62324074074</v>
      </c>
      <c r="K1781" s="15" t="n">
        <v>5064.41</v>
      </c>
      <c r="L1781" s="4" t="inlineStr">
        <is>
          <t>INR</t>
        </is>
      </c>
      <c r="M1781" s="15" t="n">
        <v>-5064.41</v>
      </c>
      <c r="N1781" s="4" t="inlineStr">
        <is>
          <t>IOS Owner</t>
        </is>
      </c>
      <c r="O1781" s="4" t="n"/>
      <c r="P1781" s="4" t="n"/>
      <c r="Q1781" s="4" t="inlineStr">
        <is>
          <t>MAESTRO-IOS-PERSONAL-RELATIONSHIPS-1780 | Gifts | 5064.41</t>
        </is>
      </c>
      <c r="R1781" s="4" t="inlineStr">
        <is>
          <t>iPhone</t>
        </is>
      </c>
      <c r="S1781" s="4" t="inlineStr">
        <is>
          <t>B36</t>
        </is>
      </c>
      <c r="T1781" s="4" t="inlineStr">
        <is>
          <t>RAMP_1501_2500</t>
        </is>
      </c>
      <c r="U1781" s="4" t="inlineStr">
        <is>
          <t>CREATED</t>
        </is>
      </c>
      <c r="V1781" s="4" t="inlineStr">
        <is>
          <t>idem-20260902-ios-1780</t>
        </is>
      </c>
    </row>
    <row r="1782" ht="30" customHeight="1">
      <c r="A1782" s="4" t="n">
        <v>1781</v>
      </c>
      <c r="B1782" s="4" t="inlineStr">
        <is>
          <t>MTR-IOS-1781</t>
        </is>
      </c>
      <c r="C1782" s="4" t="inlineStr">
        <is>
          <t>Group</t>
        </is>
      </c>
      <c r="D1782" s="4" t="inlineStr">
        <is>
          <t>Shared Experience</t>
        </is>
      </c>
      <c r="E1782" s="4" t="inlineStr">
        <is>
          <t>Wedding</t>
        </is>
      </c>
      <c r="F1782" s="4" t="inlineStr">
        <is>
          <t>Other</t>
        </is>
      </c>
      <c r="G1782" s="4" t="inlineStr">
        <is>
          <t>Expense</t>
        </is>
      </c>
      <c r="H1782" s="12" t="n">
        <v>46173</v>
      </c>
      <c r="I1782" s="13" t="n">
        <v>0.7841087962962963</v>
      </c>
      <c r="J1782" s="14" t="n">
        <v>46173.7841087963</v>
      </c>
      <c r="K1782" s="15" t="n">
        <v>11155.48</v>
      </c>
      <c r="L1782" s="4" t="inlineStr">
        <is>
          <t>INR</t>
        </is>
      </c>
      <c r="M1782" s="15" t="n">
        <v>-11155.48</v>
      </c>
      <c r="N1782" s="4" t="inlineStr">
        <is>
          <t>IOS Meera</t>
        </is>
      </c>
      <c r="O1782" s="4" t="n">
        <v>3</v>
      </c>
      <c r="P1782" s="4" t="inlineStr">
        <is>
          <t>PERCENTAGE</t>
        </is>
      </c>
      <c r="Q1782" s="4" t="inlineStr">
        <is>
          <t>MAESTRO-IOS-GROUP-WEDDING-1781 | Other | 11155.48</t>
        </is>
      </c>
      <c r="R1782" s="4" t="inlineStr">
        <is>
          <t>iPhone</t>
        </is>
      </c>
      <c r="S1782" s="4" t="inlineStr">
        <is>
          <t>B36</t>
        </is>
      </c>
      <c r="T1782" s="4" t="inlineStr">
        <is>
          <t>RAMP_1501_2500</t>
        </is>
      </c>
      <c r="U1782" s="4" t="inlineStr">
        <is>
          <t>CREATED</t>
        </is>
      </c>
      <c r="V1782" s="4" t="inlineStr">
        <is>
          <t>idem-20260902-ios-1781</t>
        </is>
      </c>
    </row>
    <row r="1783" ht="30" customHeight="1">
      <c r="A1783" s="4" t="n">
        <v>1782</v>
      </c>
      <c r="B1783" s="4" t="inlineStr">
        <is>
          <t>MTR-IOS-1782</t>
        </is>
      </c>
      <c r="C1783" s="4" t="inlineStr">
        <is>
          <t>Business</t>
        </is>
      </c>
      <c r="D1783" s="4" t="inlineStr">
        <is>
          <t>Business</t>
        </is>
      </c>
      <c r="E1783" s="4" t="inlineStr">
        <is>
          <t>Team Operations</t>
        </is>
      </c>
      <c r="F1783" s="4" t="inlineStr">
        <is>
          <t>Training</t>
        </is>
      </c>
      <c r="G1783" s="4" t="inlineStr">
        <is>
          <t>Expense</t>
        </is>
      </c>
      <c r="H1783" s="12" t="n">
        <v>46046</v>
      </c>
      <c r="I1783" s="13" t="n">
        <v>0.8968865740740741</v>
      </c>
      <c r="J1783" s="14" t="n">
        <v>46046.89688657408</v>
      </c>
      <c r="K1783" s="15" t="n">
        <v>27890.47</v>
      </c>
      <c r="L1783" s="4" t="inlineStr">
        <is>
          <t>INR</t>
        </is>
      </c>
      <c r="M1783" s="15" t="n">
        <v>-27890.47</v>
      </c>
      <c r="N1783" s="4" t="inlineStr">
        <is>
          <t>IOS Owner</t>
        </is>
      </c>
      <c r="O1783" s="4" t="n"/>
      <c r="P1783" s="4" t="n"/>
      <c r="Q1783" s="4" t="inlineStr">
        <is>
          <t>MAESTRO-IOS-BUSINESS-TEAM_OPERATIONS-1782 | Training | 27890.47</t>
        </is>
      </c>
      <c r="R1783" s="4" t="inlineStr">
        <is>
          <t>iPhone</t>
        </is>
      </c>
      <c r="S1783" s="4" t="inlineStr">
        <is>
          <t>B36</t>
        </is>
      </c>
      <c r="T1783" s="4" t="inlineStr">
        <is>
          <t>RAMP_1501_2500</t>
        </is>
      </c>
      <c r="U1783" s="4" t="inlineStr">
        <is>
          <t>CREATED</t>
        </is>
      </c>
      <c r="V1783" s="4" t="inlineStr">
        <is>
          <t>idem-20260902-ios-1782</t>
        </is>
      </c>
    </row>
    <row r="1784" ht="30" customHeight="1">
      <c r="A1784" s="4" t="n">
        <v>1783</v>
      </c>
      <c r="B1784" s="4" t="inlineStr">
        <is>
          <t>MTR-IOS-1783</t>
        </is>
      </c>
      <c r="C1784" s="4" t="inlineStr">
        <is>
          <t>Personal</t>
        </is>
      </c>
      <c r="D1784" s="4" t="inlineStr">
        <is>
          <t>Personal</t>
        </is>
      </c>
      <c r="E1784" s="4" t="inlineStr">
        <is>
          <t>Relationships</t>
        </is>
      </c>
      <c r="F1784" s="4" t="inlineStr">
        <is>
          <t>Dates</t>
        </is>
      </c>
      <c r="G1784" s="4" t="inlineStr">
        <is>
          <t>Expense</t>
        </is>
      </c>
      <c r="H1784" s="12" t="n">
        <v>45998</v>
      </c>
      <c r="I1784" s="13" t="n">
        <v>0.1429050925925926</v>
      </c>
      <c r="J1784" s="14" t="n">
        <v>45998.14290509259</v>
      </c>
      <c r="K1784" s="15" t="n">
        <v>10932.92</v>
      </c>
      <c r="L1784" s="4" t="inlineStr">
        <is>
          <t>INR</t>
        </is>
      </c>
      <c r="M1784" s="15" t="n">
        <v>-10932.92</v>
      </c>
      <c r="N1784" s="4" t="inlineStr">
        <is>
          <t>IOS Owner</t>
        </is>
      </c>
      <c r="O1784" s="4" t="n"/>
      <c r="P1784" s="4" t="n"/>
      <c r="Q1784" s="4" t="inlineStr">
        <is>
          <t>MAESTRO-IOS-PERSONAL-RELATIONSHIPS-1783 | Dates | 10932.92</t>
        </is>
      </c>
      <c r="R1784" s="4" t="inlineStr">
        <is>
          <t>iPhone</t>
        </is>
      </c>
      <c r="S1784" s="4" t="inlineStr">
        <is>
          <t>B36</t>
        </is>
      </c>
      <c r="T1784" s="4" t="inlineStr">
        <is>
          <t>RAMP_1501_2500</t>
        </is>
      </c>
      <c r="U1784" s="4" t="inlineStr">
        <is>
          <t>CREATED</t>
        </is>
      </c>
      <c r="V1784" s="4" t="inlineStr">
        <is>
          <t>idem-20260902-ios-1783</t>
        </is>
      </c>
    </row>
    <row r="1785" ht="30" customHeight="1">
      <c r="A1785" s="4" t="n">
        <v>1784</v>
      </c>
      <c r="B1785" s="4" t="inlineStr">
        <is>
          <t>MTR-IOS-1784</t>
        </is>
      </c>
      <c r="C1785" s="4" t="inlineStr">
        <is>
          <t>Group</t>
        </is>
      </c>
      <c r="D1785" s="4" t="inlineStr">
        <is>
          <t>Shared Experience</t>
        </is>
      </c>
      <c r="E1785" s="4" t="inlineStr">
        <is>
          <t>Office Outing</t>
        </is>
      </c>
      <c r="F1785" s="4" t="inlineStr">
        <is>
          <t>Food</t>
        </is>
      </c>
      <c r="G1785" s="4" t="inlineStr">
        <is>
          <t>Expense</t>
        </is>
      </c>
      <c r="H1785" s="12" t="n">
        <v>45923</v>
      </c>
      <c r="I1785" s="13" t="n">
        <v>0.3883101851851852</v>
      </c>
      <c r="J1785" s="14" t="n">
        <v>45923.38831018518</v>
      </c>
      <c r="K1785" s="15" t="n">
        <v>4386.48</v>
      </c>
      <c r="L1785" s="4" t="inlineStr">
        <is>
          <t>INR</t>
        </is>
      </c>
      <c r="M1785" s="15" t="n">
        <v>-4386.48</v>
      </c>
      <c r="N1785" s="4" t="inlineStr">
        <is>
          <t>IOS Owner</t>
        </is>
      </c>
      <c r="O1785" s="4" t="n">
        <v>3</v>
      </c>
      <c r="P1785" s="4" t="inlineStr">
        <is>
          <t>EXACT</t>
        </is>
      </c>
      <c r="Q1785" s="4" t="inlineStr">
        <is>
          <t>MAESTRO-IOS-GROUP-OFFICE_OUTING-1784 | Food | 4386.48</t>
        </is>
      </c>
      <c r="R1785" s="4" t="inlineStr">
        <is>
          <t>iPhone</t>
        </is>
      </c>
      <c r="S1785" s="4" t="inlineStr">
        <is>
          <t>B36</t>
        </is>
      </c>
      <c r="T1785" s="4" t="inlineStr">
        <is>
          <t>RAMP_1501_2500</t>
        </is>
      </c>
      <c r="U1785" s="4" t="inlineStr">
        <is>
          <t>CREATED</t>
        </is>
      </c>
      <c r="V1785" s="4" t="inlineStr">
        <is>
          <t>idem-20260902-ios-1784</t>
        </is>
      </c>
    </row>
    <row r="1786" ht="30" customHeight="1">
      <c r="A1786" s="4" t="n">
        <v>1785</v>
      </c>
      <c r="B1786" s="4" t="inlineStr">
        <is>
          <t>MTR-IOS-1785</t>
        </is>
      </c>
      <c r="C1786" s="4" t="inlineStr">
        <is>
          <t>Business</t>
        </is>
      </c>
      <c r="D1786" s="4" t="inlineStr">
        <is>
          <t>Business</t>
        </is>
      </c>
      <c r="E1786" s="4" t="inlineStr">
        <is>
          <t>Team Operations</t>
        </is>
      </c>
      <c r="F1786" s="4" t="inlineStr">
        <is>
          <t>Tools</t>
        </is>
      </c>
      <c r="G1786" s="4" t="inlineStr">
        <is>
          <t>Expense</t>
        </is>
      </c>
      <c r="H1786" s="12" t="n">
        <v>45975</v>
      </c>
      <c r="I1786" s="13" t="n">
        <v>0.8369444444444445</v>
      </c>
      <c r="J1786" s="14" t="n">
        <v>45975.83694444445</v>
      </c>
      <c r="K1786" s="15" t="n">
        <v>22725.97</v>
      </c>
      <c r="L1786" s="4" t="inlineStr">
        <is>
          <t>INR</t>
        </is>
      </c>
      <c r="M1786" s="15" t="n">
        <v>-22725.97</v>
      </c>
      <c r="N1786" s="4" t="inlineStr">
        <is>
          <t>IOS Owner</t>
        </is>
      </c>
      <c r="O1786" s="4" t="n"/>
      <c r="P1786" s="4" t="n"/>
      <c r="Q1786" s="4" t="inlineStr">
        <is>
          <t>MAESTRO-IOS-BUSINESS-TEAM_OPERATIONS-1785 | Tools | 22725.97</t>
        </is>
      </c>
      <c r="R1786" s="4" t="inlineStr">
        <is>
          <t>iPhone</t>
        </is>
      </c>
      <c r="S1786" s="4" t="inlineStr">
        <is>
          <t>B36</t>
        </is>
      </c>
      <c r="T1786" s="4" t="inlineStr">
        <is>
          <t>RAMP_1501_2500</t>
        </is>
      </c>
      <c r="U1786" s="4" t="inlineStr">
        <is>
          <t>CREATED</t>
        </is>
      </c>
      <c r="V1786" s="4" t="inlineStr">
        <is>
          <t>idem-20260902-ios-1785</t>
        </is>
      </c>
    </row>
    <row r="1787" ht="30" customHeight="1">
      <c r="A1787" s="4" t="n">
        <v>1786</v>
      </c>
      <c r="B1787" s="4" t="inlineStr">
        <is>
          <t>MTR-IOS-1786</t>
        </is>
      </c>
      <c r="C1787" s="4" t="inlineStr">
        <is>
          <t>Personal</t>
        </is>
      </c>
      <c r="D1787" s="4" t="inlineStr">
        <is>
          <t>Personal</t>
        </is>
      </c>
      <c r="E1787" s="4" t="inlineStr">
        <is>
          <t>Relationships</t>
        </is>
      </c>
      <c r="F1787" s="4" t="inlineStr">
        <is>
          <t>Family</t>
        </is>
      </c>
      <c r="G1787" s="4" t="inlineStr">
        <is>
          <t>Expense</t>
        </is>
      </c>
      <c r="H1787" s="12" t="n">
        <v>46019</v>
      </c>
      <c r="I1787" s="13" t="n">
        <v>0.3557638888888889</v>
      </c>
      <c r="J1787" s="14" t="n">
        <v>46019.35576388889</v>
      </c>
      <c r="K1787" s="15" t="n">
        <v>15116.46</v>
      </c>
      <c r="L1787" s="4" t="inlineStr">
        <is>
          <t>INR</t>
        </is>
      </c>
      <c r="M1787" s="15" t="n">
        <v>-15116.46</v>
      </c>
      <c r="N1787" s="4" t="inlineStr">
        <is>
          <t>IOS Owner</t>
        </is>
      </c>
      <c r="O1787" s="4" t="n"/>
      <c r="P1787" s="4" t="n"/>
      <c r="Q1787" s="4" t="inlineStr">
        <is>
          <t>MAESTRO-IOS-PERSONAL-RELATIONSHIPS-1786 | Family | 15116.46</t>
        </is>
      </c>
      <c r="R1787" s="4" t="inlineStr">
        <is>
          <t>iPhone</t>
        </is>
      </c>
      <c r="S1787" s="4" t="inlineStr">
        <is>
          <t>B36</t>
        </is>
      </c>
      <c r="T1787" s="4" t="inlineStr">
        <is>
          <t>RAMP_1501_2500</t>
        </is>
      </c>
      <c r="U1787" s="4" t="inlineStr">
        <is>
          <t>CREATED</t>
        </is>
      </c>
      <c r="V1787" s="4" t="inlineStr">
        <is>
          <t>idem-20260902-ios-1786</t>
        </is>
      </c>
    </row>
    <row r="1788" ht="30" customHeight="1">
      <c r="A1788" s="4" t="n">
        <v>1787</v>
      </c>
      <c r="B1788" s="4" t="inlineStr">
        <is>
          <t>MTR-IOS-1787</t>
        </is>
      </c>
      <c r="C1788" s="4" t="inlineStr">
        <is>
          <t>Group</t>
        </is>
      </c>
      <c r="D1788" s="4" t="inlineStr">
        <is>
          <t>Shared Experience</t>
        </is>
      </c>
      <c r="E1788" s="4" t="inlineStr">
        <is>
          <t>Office Outing</t>
        </is>
      </c>
      <c r="F1788" s="4" t="inlineStr">
        <is>
          <t>Travel</t>
        </is>
      </c>
      <c r="G1788" s="4" t="inlineStr">
        <is>
          <t>Expense</t>
        </is>
      </c>
      <c r="H1788" s="12" t="n">
        <v>46205</v>
      </c>
      <c r="I1788" s="13" t="n">
        <v>0.7177199074074074</v>
      </c>
      <c r="J1788" s="14" t="n">
        <v>46205.71771990741</v>
      </c>
      <c r="K1788" s="15" t="n">
        <v>2811.16</v>
      </c>
      <c r="L1788" s="4" t="inlineStr">
        <is>
          <t>INR</t>
        </is>
      </c>
      <c r="M1788" s="15" t="n">
        <v>-2811.16</v>
      </c>
      <c r="N1788" s="4" t="inlineStr">
        <is>
          <t>IOS Aarav</t>
        </is>
      </c>
      <c r="O1788" s="4" t="n">
        <v>3</v>
      </c>
      <c r="P1788" s="4" t="inlineStr">
        <is>
          <t>SHARES</t>
        </is>
      </c>
      <c r="Q1788" s="4" t="inlineStr">
        <is>
          <t>MAESTRO-IOS-GROUP-OFFICE_OUTING-1787 | Travel | 2811.16</t>
        </is>
      </c>
      <c r="R1788" s="4" t="inlineStr">
        <is>
          <t>iPhone</t>
        </is>
      </c>
      <c r="S1788" s="4" t="inlineStr">
        <is>
          <t>B36</t>
        </is>
      </c>
      <c r="T1788" s="4" t="inlineStr">
        <is>
          <t>RAMP_1501_2500</t>
        </is>
      </c>
      <c r="U1788" s="4" t="inlineStr">
        <is>
          <t>CREATED</t>
        </is>
      </c>
      <c r="V1788" s="4" t="inlineStr">
        <is>
          <t>idem-20260902-ios-1787</t>
        </is>
      </c>
    </row>
    <row r="1789" ht="30" customHeight="1">
      <c r="A1789" s="4" t="n">
        <v>1788</v>
      </c>
      <c r="B1789" s="4" t="inlineStr">
        <is>
          <t>MTR-IOS-1788</t>
        </is>
      </c>
      <c r="C1789" s="4" t="inlineStr">
        <is>
          <t>Business</t>
        </is>
      </c>
      <c r="D1789" s="4" t="inlineStr">
        <is>
          <t>Business</t>
        </is>
      </c>
      <c r="E1789" s="4" t="inlineStr">
        <is>
          <t>Business Runway</t>
        </is>
      </c>
      <c r="F1789" s="4" t="inlineStr">
        <is>
          <t>Funding</t>
        </is>
      </c>
      <c r="G1789" s="4" t="inlineStr">
        <is>
          <t>Income</t>
        </is>
      </c>
      <c r="H1789" s="12" t="n">
        <v>46120</v>
      </c>
      <c r="I1789" s="13" t="n">
        <v>0.9643055555555555</v>
      </c>
      <c r="J1789" s="14" t="n">
        <v>46120.96430555556</v>
      </c>
      <c r="K1789" s="15" t="n">
        <v>3168.84</v>
      </c>
      <c r="L1789" s="4" t="inlineStr">
        <is>
          <t>INR</t>
        </is>
      </c>
      <c r="M1789" s="15" t="n">
        <v>3168.84</v>
      </c>
      <c r="N1789" s="4" t="inlineStr">
        <is>
          <t>IOS Owner</t>
        </is>
      </c>
      <c r="O1789" s="4" t="n"/>
      <c r="P1789" s="4" t="n"/>
      <c r="Q1789" s="4" t="inlineStr">
        <is>
          <t>MAESTRO-IOS-BUSINESS-BUSINESS_RUNWAY-1788 | Funding | 3168.84</t>
        </is>
      </c>
      <c r="R1789" s="4" t="inlineStr">
        <is>
          <t>iPhone</t>
        </is>
      </c>
      <c r="S1789" s="4" t="inlineStr">
        <is>
          <t>B36</t>
        </is>
      </c>
      <c r="T1789" s="4" t="inlineStr">
        <is>
          <t>RAMP_1501_2500</t>
        </is>
      </c>
      <c r="U1789" s="4" t="inlineStr">
        <is>
          <t>CREATED</t>
        </is>
      </c>
      <c r="V1789" s="4" t="inlineStr">
        <is>
          <t>idem-20260902-ios-1788</t>
        </is>
      </c>
    </row>
    <row r="1790" ht="30" customHeight="1">
      <c r="A1790" s="4" t="n">
        <v>1789</v>
      </c>
      <c r="B1790" s="4" t="inlineStr">
        <is>
          <t>MTR-IOS-1789</t>
        </is>
      </c>
      <c r="C1790" s="4" t="inlineStr">
        <is>
          <t>Personal</t>
        </is>
      </c>
      <c r="D1790" s="4" t="inlineStr">
        <is>
          <t>Personal</t>
        </is>
      </c>
      <c r="E1790" s="4" t="inlineStr">
        <is>
          <t>Relationships</t>
        </is>
      </c>
      <c r="F1790" s="4" t="inlineStr">
        <is>
          <t>Friends</t>
        </is>
      </c>
      <c r="G1790" s="4" t="inlineStr">
        <is>
          <t>Expense</t>
        </is>
      </c>
      <c r="H1790" s="12" t="n">
        <v>46178</v>
      </c>
      <c r="I1790" s="13" t="n">
        <v>0.590300925925926</v>
      </c>
      <c r="J1790" s="14" t="n">
        <v>46178.59030092593</v>
      </c>
      <c r="K1790" s="15" t="n">
        <v>16758.69</v>
      </c>
      <c r="L1790" s="4" t="inlineStr">
        <is>
          <t>INR</t>
        </is>
      </c>
      <c r="M1790" s="15" t="n">
        <v>-16758.69</v>
      </c>
      <c r="N1790" s="4" t="inlineStr">
        <is>
          <t>IOS Owner</t>
        </is>
      </c>
      <c r="O1790" s="4" t="n"/>
      <c r="P1790" s="4" t="n"/>
      <c r="Q1790" s="4" t="inlineStr">
        <is>
          <t>MAESTRO-IOS-PERSONAL-RELATIONSHIPS-1789 | Friends | 16758.69</t>
        </is>
      </c>
      <c r="R1790" s="4" t="inlineStr">
        <is>
          <t>iPhone</t>
        </is>
      </c>
      <c r="S1790" s="4" t="inlineStr">
        <is>
          <t>B36</t>
        </is>
      </c>
      <c r="T1790" s="4" t="inlineStr">
        <is>
          <t>RAMP_1501_2500</t>
        </is>
      </c>
      <c r="U1790" s="4" t="inlineStr">
        <is>
          <t>CREATED</t>
        </is>
      </c>
      <c r="V1790" s="4" t="inlineStr">
        <is>
          <t>idem-20260902-ios-1789</t>
        </is>
      </c>
    </row>
    <row r="1791" ht="30" customHeight="1">
      <c r="A1791" s="4" t="n">
        <v>1790</v>
      </c>
      <c r="B1791" s="4" t="inlineStr">
        <is>
          <t>MTR-IOS-1790</t>
        </is>
      </c>
      <c r="C1791" s="4" t="inlineStr">
        <is>
          <t>Group</t>
        </is>
      </c>
      <c r="D1791" s="4" t="inlineStr">
        <is>
          <t>Shared Experience</t>
        </is>
      </c>
      <c r="E1791" s="4" t="inlineStr">
        <is>
          <t>Office Outing</t>
        </is>
      </c>
      <c r="F1791" s="4" t="inlineStr">
        <is>
          <t>Activities</t>
        </is>
      </c>
      <c r="G1791" s="4" t="inlineStr">
        <is>
          <t>Expense</t>
        </is>
      </c>
      <c r="H1791" s="12" t="n">
        <v>46139</v>
      </c>
      <c r="I1791" s="13" t="n">
        <v>0.9317476851851851</v>
      </c>
      <c r="J1791" s="14" t="n">
        <v>46139.93174768519</v>
      </c>
      <c r="K1791" s="15" t="n">
        <v>9911.83</v>
      </c>
      <c r="L1791" s="4" t="inlineStr">
        <is>
          <t>INR</t>
        </is>
      </c>
      <c r="M1791" s="15" t="n">
        <v>-9911.83</v>
      </c>
      <c r="N1791" s="4" t="inlineStr">
        <is>
          <t>IOS Meera</t>
        </is>
      </c>
      <c r="O1791" s="4" t="n">
        <v>3</v>
      </c>
      <c r="P1791" s="4" t="inlineStr">
        <is>
          <t>EQUAL</t>
        </is>
      </c>
      <c r="Q1791" s="4" t="inlineStr">
        <is>
          <t>MAESTRO-IOS-GROUP-OFFICE_OUTING-1790 | Activities | 9911.83</t>
        </is>
      </c>
      <c r="R1791" s="4" t="inlineStr">
        <is>
          <t>iPhone</t>
        </is>
      </c>
      <c r="S1791" s="4" t="inlineStr">
        <is>
          <t>B36</t>
        </is>
      </c>
      <c r="T1791" s="4" t="inlineStr">
        <is>
          <t>RAMP_1501_2500</t>
        </is>
      </c>
      <c r="U1791" s="4" t="inlineStr">
        <is>
          <t>CREATED</t>
        </is>
      </c>
      <c r="V1791" s="4" t="inlineStr">
        <is>
          <t>idem-20260902-ios-1790</t>
        </is>
      </c>
    </row>
    <row r="1792" ht="30" customHeight="1">
      <c r="A1792" s="4" t="n">
        <v>1791</v>
      </c>
      <c r="B1792" s="4" t="inlineStr">
        <is>
          <t>MTR-IOS-1791</t>
        </is>
      </c>
      <c r="C1792" s="4" t="inlineStr">
        <is>
          <t>Business</t>
        </is>
      </c>
      <c r="D1792" s="4" t="inlineStr">
        <is>
          <t>Business</t>
        </is>
      </c>
      <c r="E1792" s="4" t="inlineStr">
        <is>
          <t>Business Runway</t>
        </is>
      </c>
      <c r="F1792" s="4" t="inlineStr">
        <is>
          <t>Revenue</t>
        </is>
      </c>
      <c r="G1792" s="4" t="inlineStr">
        <is>
          <t>Income</t>
        </is>
      </c>
      <c r="H1792" s="12" t="n">
        <v>45932</v>
      </c>
      <c r="I1792" s="13" t="n">
        <v>0.4331481481481482</v>
      </c>
      <c r="J1792" s="14" t="n">
        <v>45932.43314814815</v>
      </c>
      <c r="K1792" s="15" t="n">
        <v>158549.95</v>
      </c>
      <c r="L1792" s="4" t="inlineStr">
        <is>
          <t>INR</t>
        </is>
      </c>
      <c r="M1792" s="15" t="n">
        <v>158549.95</v>
      </c>
      <c r="N1792" s="4" t="inlineStr">
        <is>
          <t>IOS Owner</t>
        </is>
      </c>
      <c r="O1792" s="4" t="n"/>
      <c r="P1792" s="4" t="n"/>
      <c r="Q1792" s="4" t="inlineStr">
        <is>
          <t>MAESTRO-IOS-BUSINESS-BUSINESS_RUNWAY-1791 | Revenue | 158549.95</t>
        </is>
      </c>
      <c r="R1792" s="4" t="inlineStr">
        <is>
          <t>iPhone</t>
        </is>
      </c>
      <c r="S1792" s="4" t="inlineStr">
        <is>
          <t>B36</t>
        </is>
      </c>
      <c r="T1792" s="4" t="inlineStr">
        <is>
          <t>RAMP_1501_2500</t>
        </is>
      </c>
      <c r="U1792" s="4" t="inlineStr">
        <is>
          <t>CREATED</t>
        </is>
      </c>
      <c r="V1792" s="4" t="inlineStr">
        <is>
          <t>idem-20260902-ios-1791</t>
        </is>
      </c>
    </row>
    <row r="1793" ht="30" customHeight="1">
      <c r="A1793" s="4" t="n">
        <v>1792</v>
      </c>
      <c r="B1793" s="4" t="inlineStr">
        <is>
          <t>MTR-IOS-1792</t>
        </is>
      </c>
      <c r="C1793" s="4" t="inlineStr">
        <is>
          <t>Personal</t>
        </is>
      </c>
      <c r="D1793" s="4" t="inlineStr">
        <is>
          <t>Personal</t>
        </is>
      </c>
      <c r="E1793" s="4" t="inlineStr">
        <is>
          <t>Relationships</t>
        </is>
      </c>
      <c r="F1793" s="4" t="inlineStr">
        <is>
          <t>Celebrations</t>
        </is>
      </c>
      <c r="G1793" s="4" t="inlineStr">
        <is>
          <t>Expense</t>
        </is>
      </c>
      <c r="H1793" s="12" t="n">
        <v>46171</v>
      </c>
      <c r="I1793" s="13" t="n">
        <v>0.3063773148148148</v>
      </c>
      <c r="J1793" s="14" t="n">
        <v>46171.30637731482</v>
      </c>
      <c r="K1793" s="15" t="n">
        <v>6655.76</v>
      </c>
      <c r="L1793" s="4" t="inlineStr">
        <is>
          <t>INR</t>
        </is>
      </c>
      <c r="M1793" s="15" t="n">
        <v>-6655.76</v>
      </c>
      <c r="N1793" s="4" t="inlineStr">
        <is>
          <t>IOS Owner</t>
        </is>
      </c>
      <c r="O1793" s="4" t="n"/>
      <c r="P1793" s="4" t="n"/>
      <c r="Q1793" s="4" t="inlineStr">
        <is>
          <t>MAESTRO-IOS-PERSONAL-RELATIONSHIPS-1792 | Celebrations | 6655.76</t>
        </is>
      </c>
      <c r="R1793" s="4" t="inlineStr">
        <is>
          <t>iPhone</t>
        </is>
      </c>
      <c r="S1793" s="4" t="inlineStr">
        <is>
          <t>B36</t>
        </is>
      </c>
      <c r="T1793" s="4" t="inlineStr">
        <is>
          <t>RAMP_1501_2500</t>
        </is>
      </c>
      <c r="U1793" s="4" t="inlineStr">
        <is>
          <t>CREATED</t>
        </is>
      </c>
      <c r="V1793" s="4" t="inlineStr">
        <is>
          <t>idem-20260902-ios-1792</t>
        </is>
      </c>
    </row>
    <row r="1794" ht="30" customHeight="1">
      <c r="A1794" s="4" t="n">
        <v>1793</v>
      </c>
      <c r="B1794" s="4" t="inlineStr">
        <is>
          <t>MTR-IOS-1793</t>
        </is>
      </c>
      <c r="C1794" s="4" t="inlineStr">
        <is>
          <t>Group</t>
        </is>
      </c>
      <c r="D1794" s="4" t="inlineStr">
        <is>
          <t>Shared Experience</t>
        </is>
      </c>
      <c r="E1794" s="4" t="inlineStr">
        <is>
          <t>Office Outing</t>
        </is>
      </c>
      <c r="F1794" s="4" t="inlineStr">
        <is>
          <t>Venue</t>
        </is>
      </c>
      <c r="G1794" s="4" t="inlineStr">
        <is>
          <t>Expense</t>
        </is>
      </c>
      <c r="H1794" s="12" t="n">
        <v>46230</v>
      </c>
      <c r="I1794" s="13" t="n">
        <v>0.2968287037037037</v>
      </c>
      <c r="J1794" s="14" t="n">
        <v>46230.2968287037</v>
      </c>
      <c r="K1794" s="15" t="n">
        <v>10877.1</v>
      </c>
      <c r="L1794" s="4" t="inlineStr">
        <is>
          <t>INR</t>
        </is>
      </c>
      <c r="M1794" s="15" t="n">
        <v>-10877.1</v>
      </c>
      <c r="N1794" s="4" t="inlineStr">
        <is>
          <t>IOS Owner</t>
        </is>
      </c>
      <c r="O1794" s="4" t="n">
        <v>3</v>
      </c>
      <c r="P1794" s="4" t="inlineStr">
        <is>
          <t>PERCENTAGE</t>
        </is>
      </c>
      <c r="Q1794" s="4" t="inlineStr">
        <is>
          <t>MAESTRO-IOS-GROUP-OFFICE_OUTING-1793 | Venue | 10877.10</t>
        </is>
      </c>
      <c r="R1794" s="4" t="inlineStr">
        <is>
          <t>iPhone</t>
        </is>
      </c>
      <c r="S1794" s="4" t="inlineStr">
        <is>
          <t>B36</t>
        </is>
      </c>
      <c r="T1794" s="4" t="inlineStr">
        <is>
          <t>RAMP_1501_2500</t>
        </is>
      </c>
      <c r="U1794" s="4" t="inlineStr">
        <is>
          <t>CREATED</t>
        </is>
      </c>
      <c r="V1794" s="4" t="inlineStr">
        <is>
          <t>idem-20260902-ios-1793</t>
        </is>
      </c>
    </row>
    <row r="1795" ht="30" customHeight="1">
      <c r="A1795" s="4" t="n">
        <v>1794</v>
      </c>
      <c r="B1795" s="4" t="inlineStr">
        <is>
          <t>MTR-IOS-1794</t>
        </is>
      </c>
      <c r="C1795" s="4" t="inlineStr">
        <is>
          <t>Business</t>
        </is>
      </c>
      <c r="D1795" s="4" t="inlineStr">
        <is>
          <t>Business</t>
        </is>
      </c>
      <c r="E1795" s="4" t="inlineStr">
        <is>
          <t>Business Runway</t>
        </is>
      </c>
      <c r="F1795" s="4" t="inlineStr">
        <is>
          <t>Burn</t>
        </is>
      </c>
      <c r="G1795" s="4" t="inlineStr">
        <is>
          <t>Expense</t>
        </is>
      </c>
      <c r="H1795" s="12" t="n">
        <v>46061</v>
      </c>
      <c r="I1795" s="13" t="n">
        <v>0.9489583333333333</v>
      </c>
      <c r="J1795" s="14" t="n">
        <v>46061.94895833333</v>
      </c>
      <c r="K1795" s="15" t="n">
        <v>8929.459999999999</v>
      </c>
      <c r="L1795" s="4" t="inlineStr">
        <is>
          <t>INR</t>
        </is>
      </c>
      <c r="M1795" s="15" t="n">
        <v>-8929.459999999999</v>
      </c>
      <c r="N1795" s="4" t="inlineStr">
        <is>
          <t>IOS Owner</t>
        </is>
      </c>
      <c r="O1795" s="4" t="n"/>
      <c r="P1795" s="4" t="n"/>
      <c r="Q1795" s="4" t="inlineStr">
        <is>
          <t>MAESTRO-IOS-BUSINESS-BUSINESS_RUNWAY-1794 | Burn | 8929.46</t>
        </is>
      </c>
      <c r="R1795" s="4" t="inlineStr">
        <is>
          <t>iPhone</t>
        </is>
      </c>
      <c r="S1795" s="4" t="inlineStr">
        <is>
          <t>B36</t>
        </is>
      </c>
      <c r="T1795" s="4" t="inlineStr">
        <is>
          <t>RAMP_1501_2500</t>
        </is>
      </c>
      <c r="U1795" s="4" t="inlineStr">
        <is>
          <t>CREATED</t>
        </is>
      </c>
      <c r="V1795" s="4" t="inlineStr">
        <is>
          <t>idem-20260902-ios-1794</t>
        </is>
      </c>
    </row>
    <row r="1796" ht="30" customHeight="1">
      <c r="A1796" s="4" t="n">
        <v>1795</v>
      </c>
      <c r="B1796" s="4" t="inlineStr">
        <is>
          <t>MTR-IOS-1795</t>
        </is>
      </c>
      <c r="C1796" s="4" t="inlineStr">
        <is>
          <t>Personal</t>
        </is>
      </c>
      <c r="D1796" s="4" t="inlineStr">
        <is>
          <t>Personal</t>
        </is>
      </c>
      <c r="E1796" s="4" t="inlineStr">
        <is>
          <t>Life Operations</t>
        </is>
      </c>
      <c r="F1796" s="4" t="inlineStr">
        <is>
          <t>Groceries</t>
        </is>
      </c>
      <c r="G1796" s="4" t="inlineStr">
        <is>
          <t>Expense</t>
        </is>
      </c>
      <c r="H1796" s="12" t="n">
        <v>46069</v>
      </c>
      <c r="I1796" s="13" t="n">
        <v>0.8704976851851852</v>
      </c>
      <c r="J1796" s="14" t="n">
        <v>46069.87049768519</v>
      </c>
      <c r="K1796" s="15" t="n">
        <v>4417</v>
      </c>
      <c r="L1796" s="4" t="inlineStr">
        <is>
          <t>INR</t>
        </is>
      </c>
      <c r="M1796" s="15" t="n">
        <v>-4417</v>
      </c>
      <c r="N1796" s="4" t="inlineStr">
        <is>
          <t>IOS Owner</t>
        </is>
      </c>
      <c r="O1796" s="4" t="n"/>
      <c r="P1796" s="4" t="n"/>
      <c r="Q1796" s="4" t="inlineStr">
        <is>
          <t>MAESTRO-IOS-PERSONAL-LIFE_OPERATIONS-1795 | Groceries | 4417.00</t>
        </is>
      </c>
      <c r="R1796" s="4" t="inlineStr">
        <is>
          <t>iPhone</t>
        </is>
      </c>
      <c r="S1796" s="4" t="inlineStr">
        <is>
          <t>B36</t>
        </is>
      </c>
      <c r="T1796" s="4" t="inlineStr">
        <is>
          <t>RAMP_1501_2500</t>
        </is>
      </c>
      <c r="U1796" s="4" t="inlineStr">
        <is>
          <t>CREATED</t>
        </is>
      </c>
      <c r="V1796" s="4" t="inlineStr">
        <is>
          <t>idem-20260902-ios-1795</t>
        </is>
      </c>
    </row>
    <row r="1797" ht="30" customHeight="1">
      <c r="A1797" s="4" t="n">
        <v>1796</v>
      </c>
      <c r="B1797" s="4" t="inlineStr">
        <is>
          <t>MTR-IOS-1796</t>
        </is>
      </c>
      <c r="C1797" s="4" t="inlineStr">
        <is>
          <t>Group</t>
        </is>
      </c>
      <c r="D1797" s="4" t="inlineStr">
        <is>
          <t>Shared Experience</t>
        </is>
      </c>
      <c r="E1797" s="4" t="inlineStr">
        <is>
          <t>Office Outing</t>
        </is>
      </c>
      <c r="F1797" s="4" t="inlineStr">
        <is>
          <t>Other</t>
        </is>
      </c>
      <c r="G1797" s="4" t="inlineStr">
        <is>
          <t>Expense</t>
        </is>
      </c>
      <c r="H1797" s="12" t="n">
        <v>46087</v>
      </c>
      <c r="I1797" s="13" t="n">
        <v>0.201099537037037</v>
      </c>
      <c r="J1797" s="14" t="n">
        <v>46087.20109953704</v>
      </c>
      <c r="K1797" s="15" t="n">
        <v>5694.27</v>
      </c>
      <c r="L1797" s="4" t="inlineStr">
        <is>
          <t>INR</t>
        </is>
      </c>
      <c r="M1797" s="15" t="n">
        <v>-5694.27</v>
      </c>
      <c r="N1797" s="4" t="inlineStr">
        <is>
          <t>IOS Aarav</t>
        </is>
      </c>
      <c r="O1797" s="4" t="n">
        <v>3</v>
      </c>
      <c r="P1797" s="4" t="inlineStr">
        <is>
          <t>EXACT</t>
        </is>
      </c>
      <c r="Q1797" s="4" t="inlineStr">
        <is>
          <t>MAESTRO-IOS-GROUP-OFFICE_OUTING-1796 | Other | 5694.27</t>
        </is>
      </c>
      <c r="R1797" s="4" t="inlineStr">
        <is>
          <t>iPhone</t>
        </is>
      </c>
      <c r="S1797" s="4" t="inlineStr">
        <is>
          <t>B36</t>
        </is>
      </c>
      <c r="T1797" s="4" t="inlineStr">
        <is>
          <t>RAMP_1501_2500</t>
        </is>
      </c>
      <c r="U1797" s="4" t="inlineStr">
        <is>
          <t>CREATED</t>
        </is>
      </c>
      <c r="V1797" s="4" t="inlineStr">
        <is>
          <t>idem-20260902-ios-1796</t>
        </is>
      </c>
    </row>
    <row r="1798" ht="30" customHeight="1">
      <c r="A1798" s="4" t="n">
        <v>1797</v>
      </c>
      <c r="B1798" s="4" t="inlineStr">
        <is>
          <t>MTR-IOS-1797</t>
        </is>
      </c>
      <c r="C1798" s="4" t="inlineStr">
        <is>
          <t>Business</t>
        </is>
      </c>
      <c r="D1798" s="4" t="inlineStr">
        <is>
          <t>Business</t>
        </is>
      </c>
      <c r="E1798" s="4" t="inlineStr">
        <is>
          <t>Business Runway</t>
        </is>
      </c>
      <c r="F1798" s="4" t="inlineStr">
        <is>
          <t>Reserve</t>
        </is>
      </c>
      <c r="G1798" s="4" t="inlineStr">
        <is>
          <t>Transfer</t>
        </is>
      </c>
      <c r="H1798" s="12" t="n">
        <v>46104</v>
      </c>
      <c r="I1798" s="13" t="n">
        <v>0.07118055555555555</v>
      </c>
      <c r="J1798" s="14" t="n">
        <v>46104.07118055555</v>
      </c>
      <c r="K1798" s="15" t="n">
        <v>19020.63</v>
      </c>
      <c r="L1798" s="4" t="inlineStr">
        <is>
          <t>INR</t>
        </is>
      </c>
      <c r="M1798" s="15" t="n">
        <v>0</v>
      </c>
      <c r="N1798" s="4" t="inlineStr">
        <is>
          <t>IOS Owner</t>
        </is>
      </c>
      <c r="O1798" s="4" t="n"/>
      <c r="P1798" s="4" t="n"/>
      <c r="Q1798" s="4" t="inlineStr">
        <is>
          <t>MAESTRO-IOS-BUSINESS-BUSINESS_RUNWAY-1797 | Reserve | 19020.63</t>
        </is>
      </c>
      <c r="R1798" s="4" t="inlineStr">
        <is>
          <t>iPhone</t>
        </is>
      </c>
      <c r="S1798" s="4" t="inlineStr">
        <is>
          <t>B36</t>
        </is>
      </c>
      <c r="T1798" s="4" t="inlineStr">
        <is>
          <t>RAMP_1501_2500</t>
        </is>
      </c>
      <c r="U1798" s="4" t="inlineStr">
        <is>
          <t>CREATED</t>
        </is>
      </c>
      <c r="V1798" s="4" t="inlineStr">
        <is>
          <t>idem-20260902-ios-1797</t>
        </is>
      </c>
    </row>
    <row r="1799" ht="30" customHeight="1">
      <c r="A1799" s="4" t="n">
        <v>1798</v>
      </c>
      <c r="B1799" s="4" t="inlineStr">
        <is>
          <t>MTR-IOS-1798</t>
        </is>
      </c>
      <c r="C1799" s="4" t="inlineStr">
        <is>
          <t>Personal</t>
        </is>
      </c>
      <c r="D1799" s="4" t="inlineStr">
        <is>
          <t>Personal</t>
        </is>
      </c>
      <c r="E1799" s="4" t="inlineStr">
        <is>
          <t>Life Operations</t>
        </is>
      </c>
      <c r="F1799" s="4" t="inlineStr">
        <is>
          <t>Rent</t>
        </is>
      </c>
      <c r="G1799" s="4" t="inlineStr">
        <is>
          <t>Expense</t>
        </is>
      </c>
      <c r="H1799" s="12" t="n">
        <v>46230</v>
      </c>
      <c r="I1799" s="13" t="n">
        <v>0.1575</v>
      </c>
      <c r="J1799" s="14" t="n">
        <v>46230.1575</v>
      </c>
      <c r="K1799" s="15" t="n">
        <v>13811</v>
      </c>
      <c r="L1799" s="4" t="inlineStr">
        <is>
          <t>INR</t>
        </is>
      </c>
      <c r="M1799" s="15" t="n">
        <v>-13811</v>
      </c>
      <c r="N1799" s="4" t="inlineStr">
        <is>
          <t>IOS Owner</t>
        </is>
      </c>
      <c r="O1799" s="4" t="n"/>
      <c r="P1799" s="4" t="n"/>
      <c r="Q1799" s="4" t="inlineStr">
        <is>
          <t>MAESTRO-IOS-PERSONAL-LIFE_OPERATIONS-1798 | Rent | 13811.00</t>
        </is>
      </c>
      <c r="R1799" s="4" t="inlineStr">
        <is>
          <t>iPhone</t>
        </is>
      </c>
      <c r="S1799" s="4" t="inlineStr">
        <is>
          <t>B36</t>
        </is>
      </c>
      <c r="T1799" s="4" t="inlineStr">
        <is>
          <t>RAMP_1501_2500</t>
        </is>
      </c>
      <c r="U1799" s="4" t="inlineStr">
        <is>
          <t>CREATED</t>
        </is>
      </c>
      <c r="V1799" s="4" t="inlineStr">
        <is>
          <t>idem-20260902-ios-1798</t>
        </is>
      </c>
    </row>
    <row r="1800" ht="30" customHeight="1">
      <c r="A1800" s="4" t="n">
        <v>1799</v>
      </c>
      <c r="B1800" s="4" t="inlineStr">
        <is>
          <t>MTR-IOS-1799</t>
        </is>
      </c>
      <c r="C1800" s="4" t="inlineStr">
        <is>
          <t>Group</t>
        </is>
      </c>
      <c r="D1800" s="4" t="inlineStr">
        <is>
          <t>Shared Experience</t>
        </is>
      </c>
      <c r="E1800" s="4" t="inlineStr">
        <is>
          <t>House Party</t>
        </is>
      </c>
      <c r="F1800" s="4" t="inlineStr">
        <is>
          <t>Food</t>
        </is>
      </c>
      <c r="G1800" s="4" t="inlineStr">
        <is>
          <t>Expense</t>
        </is>
      </c>
      <c r="H1800" s="12" t="n">
        <v>45927</v>
      </c>
      <c r="I1800" s="13" t="n">
        <v>0.153275462962963</v>
      </c>
      <c r="J1800" s="14" t="n">
        <v>45927.15327546297</v>
      </c>
      <c r="K1800" s="15" t="n">
        <v>23006.26</v>
      </c>
      <c r="L1800" s="4" t="inlineStr">
        <is>
          <t>INR</t>
        </is>
      </c>
      <c r="M1800" s="15" t="n">
        <v>-23006.26</v>
      </c>
      <c r="N1800" s="4" t="inlineStr">
        <is>
          <t>IOS Meera</t>
        </is>
      </c>
      <c r="O1800" s="4" t="n">
        <v>3</v>
      </c>
      <c r="P1800" s="4" t="inlineStr">
        <is>
          <t>SHARES</t>
        </is>
      </c>
      <c r="Q1800" s="4" t="inlineStr">
        <is>
          <t>MAESTRO-IOS-GROUP-HOUSE_PARTY-1799 | Food | 23006.26</t>
        </is>
      </c>
      <c r="R1800" s="4" t="inlineStr">
        <is>
          <t>iPhone</t>
        </is>
      </c>
      <c r="S1800" s="4" t="inlineStr">
        <is>
          <t>B36</t>
        </is>
      </c>
      <c r="T1800" s="4" t="inlineStr">
        <is>
          <t>RAMP_1501_2500</t>
        </is>
      </c>
      <c r="U1800" s="4" t="inlineStr">
        <is>
          <t>CREATED</t>
        </is>
      </c>
      <c r="V1800" s="4" t="inlineStr">
        <is>
          <t>idem-20260902-ios-1799</t>
        </is>
      </c>
    </row>
    <row r="1801" ht="30" customHeight="1">
      <c r="A1801" s="4" t="n">
        <v>1800</v>
      </c>
      <c r="B1801" s="4" t="inlineStr">
        <is>
          <t>MTR-IOS-1800</t>
        </is>
      </c>
      <c r="C1801" s="4" t="inlineStr">
        <is>
          <t>Business</t>
        </is>
      </c>
      <c r="D1801" s="4" t="inlineStr">
        <is>
          <t>Business</t>
        </is>
      </c>
      <c r="E1801" s="4" t="inlineStr">
        <is>
          <t>Business Runway</t>
        </is>
      </c>
      <c r="F1801" s="4" t="inlineStr">
        <is>
          <t>Loan</t>
        </is>
      </c>
      <c r="G1801" s="4" t="inlineStr">
        <is>
          <t>Income</t>
        </is>
      </c>
      <c r="H1801" s="12" t="n">
        <v>45967</v>
      </c>
      <c r="I1801" s="13" t="n">
        <v>0.139212962962963</v>
      </c>
      <c r="J1801" s="14" t="n">
        <v>45967.13921296296</v>
      </c>
      <c r="K1801" s="15" t="n">
        <v>54695.93</v>
      </c>
      <c r="L1801" s="4" t="inlineStr">
        <is>
          <t>INR</t>
        </is>
      </c>
      <c r="M1801" s="15" t="n">
        <v>54695.93</v>
      </c>
      <c r="N1801" s="4" t="inlineStr">
        <is>
          <t>IOS Owner</t>
        </is>
      </c>
      <c r="O1801" s="4" t="n"/>
      <c r="P1801" s="4" t="n"/>
      <c r="Q1801" s="4" t="inlineStr">
        <is>
          <t>MAESTRO-IOS-BUSINESS-BUSINESS_RUNWAY-1800 | Loan | 54695.93</t>
        </is>
      </c>
      <c r="R1801" s="4" t="inlineStr">
        <is>
          <t>iPhone</t>
        </is>
      </c>
      <c r="S1801" s="4" t="inlineStr">
        <is>
          <t>B36</t>
        </is>
      </c>
      <c r="T1801" s="4" t="inlineStr">
        <is>
          <t>RAMP_1501_2500</t>
        </is>
      </c>
      <c r="U1801" s="4" t="inlineStr">
        <is>
          <t>CREATED</t>
        </is>
      </c>
      <c r="V1801" s="4" t="inlineStr">
        <is>
          <t>idem-20260902-ios-1800</t>
        </is>
      </c>
    </row>
    <row r="1802" ht="30" customHeight="1">
      <c r="A1802" s="4" t="n">
        <v>1801</v>
      </c>
      <c r="B1802" s="4" t="inlineStr">
        <is>
          <t>MTR-IOS-1801</t>
        </is>
      </c>
      <c r="C1802" s="4" t="inlineStr">
        <is>
          <t>Personal</t>
        </is>
      </c>
      <c r="D1802" s="4" t="inlineStr">
        <is>
          <t>Personal</t>
        </is>
      </c>
      <c r="E1802" s="4" t="inlineStr">
        <is>
          <t>Life Operations</t>
        </is>
      </c>
      <c r="F1802" s="4" t="inlineStr">
        <is>
          <t>Bills</t>
        </is>
      </c>
      <c r="G1802" s="4" t="inlineStr">
        <is>
          <t>Expense</t>
        </is>
      </c>
      <c r="H1802" s="12" t="n">
        <v>46136</v>
      </c>
      <c r="I1802" s="13" t="n">
        <v>0.4468981481481482</v>
      </c>
      <c r="J1802" s="14" t="n">
        <v>46136.44689814815</v>
      </c>
      <c r="K1802" s="15" t="n">
        <v>6424.63</v>
      </c>
      <c r="L1802" s="4" t="inlineStr">
        <is>
          <t>INR</t>
        </is>
      </c>
      <c r="M1802" s="15" t="n">
        <v>-6424.63</v>
      </c>
      <c r="N1802" s="4" t="inlineStr">
        <is>
          <t>IOS Owner</t>
        </is>
      </c>
      <c r="O1802" s="4" t="n"/>
      <c r="P1802" s="4" t="n"/>
      <c r="Q1802" s="4" t="inlineStr">
        <is>
          <t>MAESTRO-IOS-PERSONAL-LIFE_OPERATIONS-1801 | Bills | 6424.63</t>
        </is>
      </c>
      <c r="R1802" s="4" t="inlineStr">
        <is>
          <t>iPhone</t>
        </is>
      </c>
      <c r="S1802" s="4" t="inlineStr">
        <is>
          <t>B37</t>
        </is>
      </c>
      <c r="T1802" s="4" t="inlineStr">
        <is>
          <t>RAMP_1501_2500</t>
        </is>
      </c>
      <c r="U1802" s="4" t="inlineStr">
        <is>
          <t>CREATED</t>
        </is>
      </c>
      <c r="V1802" s="4" t="inlineStr">
        <is>
          <t>idem-20260902-ios-1801</t>
        </is>
      </c>
    </row>
    <row r="1803" ht="30" customHeight="1">
      <c r="A1803" s="4" t="n">
        <v>1802</v>
      </c>
      <c r="B1803" s="4" t="inlineStr">
        <is>
          <t>MTR-IOS-1802</t>
        </is>
      </c>
      <c r="C1803" s="4" t="inlineStr">
        <is>
          <t>Group</t>
        </is>
      </c>
      <c r="D1803" s="4" t="inlineStr">
        <is>
          <t>Shared Experience</t>
        </is>
      </c>
      <c r="E1803" s="4" t="inlineStr">
        <is>
          <t>House Party</t>
        </is>
      </c>
      <c r="F1803" s="4" t="inlineStr">
        <is>
          <t>Drinks</t>
        </is>
      </c>
      <c r="G1803" s="4" t="inlineStr">
        <is>
          <t>Expense</t>
        </is>
      </c>
      <c r="H1803" s="12" t="n">
        <v>46167</v>
      </c>
      <c r="I1803" s="13" t="n">
        <v>0.2225810185185185</v>
      </c>
      <c r="J1803" s="14" t="n">
        <v>46167.22258101852</v>
      </c>
      <c r="K1803" s="15" t="n">
        <v>18870.76</v>
      </c>
      <c r="L1803" s="4" t="inlineStr">
        <is>
          <t>INR</t>
        </is>
      </c>
      <c r="M1803" s="15" t="n">
        <v>-18870.76</v>
      </c>
      <c r="N1803" s="4" t="inlineStr">
        <is>
          <t>IOS Owner</t>
        </is>
      </c>
      <c r="O1803" s="4" t="n">
        <v>3</v>
      </c>
      <c r="P1803" s="4" t="inlineStr">
        <is>
          <t>EQUAL</t>
        </is>
      </c>
      <c r="Q1803" s="4" t="inlineStr">
        <is>
          <t>MAESTRO-IOS-GROUP-HOUSE_PARTY-1802 | Drinks | 18870.76</t>
        </is>
      </c>
      <c r="R1803" s="4" t="inlineStr">
        <is>
          <t>iPhone</t>
        </is>
      </c>
      <c r="S1803" s="4" t="inlineStr">
        <is>
          <t>B37</t>
        </is>
      </c>
      <c r="T1803" s="4" t="inlineStr">
        <is>
          <t>RAMP_1501_2500</t>
        </is>
      </c>
      <c r="U1803" s="4" t="inlineStr">
        <is>
          <t>CREATED</t>
        </is>
      </c>
      <c r="V1803" s="4" t="inlineStr">
        <is>
          <t>idem-20260902-ios-1802</t>
        </is>
      </c>
    </row>
    <row r="1804" ht="30" customHeight="1">
      <c r="A1804" s="4" t="n">
        <v>1803</v>
      </c>
      <c r="B1804" s="4" t="inlineStr">
        <is>
          <t>MTR-IOS-1803</t>
        </is>
      </c>
      <c r="C1804" s="4" t="inlineStr">
        <is>
          <t>Business</t>
        </is>
      </c>
      <c r="D1804" s="4" t="inlineStr">
        <is>
          <t>Business</t>
        </is>
      </c>
      <c r="E1804" s="4" t="inlineStr">
        <is>
          <t>Business Runway</t>
        </is>
      </c>
      <c r="F1804" s="4" t="inlineStr">
        <is>
          <t>Investment</t>
        </is>
      </c>
      <c r="G1804" s="4" t="inlineStr">
        <is>
          <t>Income</t>
        </is>
      </c>
      <c r="H1804" s="12" t="n">
        <v>46252</v>
      </c>
      <c r="I1804" s="13" t="n">
        <v>0.9116666666666666</v>
      </c>
      <c r="J1804" s="14" t="n">
        <v>46252.91166666667</v>
      </c>
      <c r="K1804" s="15" t="n">
        <v>124142.37</v>
      </c>
      <c r="L1804" s="4" t="inlineStr">
        <is>
          <t>INR</t>
        </is>
      </c>
      <c r="M1804" s="15" t="n">
        <v>124142.37</v>
      </c>
      <c r="N1804" s="4" t="inlineStr">
        <is>
          <t>IOS Owner</t>
        </is>
      </c>
      <c r="O1804" s="4" t="n"/>
      <c r="P1804" s="4" t="n"/>
      <c r="Q1804" s="4" t="inlineStr">
        <is>
          <t>MAESTRO-IOS-BUSINESS-BUSINESS_RUNWAY-1803 | Investment | 124142.37</t>
        </is>
      </c>
      <c r="R1804" s="4" t="inlineStr">
        <is>
          <t>iPhone</t>
        </is>
      </c>
      <c r="S1804" s="4" t="inlineStr">
        <is>
          <t>B37</t>
        </is>
      </c>
      <c r="T1804" s="4" t="inlineStr">
        <is>
          <t>RAMP_1501_2500</t>
        </is>
      </c>
      <c r="U1804" s="4" t="inlineStr">
        <is>
          <t>CREATED</t>
        </is>
      </c>
      <c r="V1804" s="4" t="inlineStr">
        <is>
          <t>idem-20260902-ios-1803</t>
        </is>
      </c>
    </row>
    <row r="1805" ht="30" customHeight="1">
      <c r="A1805" s="4" t="n">
        <v>1804</v>
      </c>
      <c r="B1805" s="4" t="inlineStr">
        <is>
          <t>MTR-IOS-1804</t>
        </is>
      </c>
      <c r="C1805" s="4" t="inlineStr">
        <is>
          <t>Personal</t>
        </is>
      </c>
      <c r="D1805" s="4" t="inlineStr">
        <is>
          <t>Personal</t>
        </is>
      </c>
      <c r="E1805" s="4" t="inlineStr">
        <is>
          <t>Life Operations</t>
        </is>
      </c>
      <c r="F1805" s="4" t="inlineStr">
        <is>
          <t>Transport</t>
        </is>
      </c>
      <c r="G1805" s="4" t="inlineStr">
        <is>
          <t>Expense</t>
        </is>
      </c>
      <c r="H1805" s="12" t="n">
        <v>45987</v>
      </c>
      <c r="I1805" s="13" t="n">
        <v>0.3025578703703704</v>
      </c>
      <c r="J1805" s="14" t="n">
        <v>45987.30255787037</v>
      </c>
      <c r="K1805" s="15" t="n">
        <v>12164.8</v>
      </c>
      <c r="L1805" s="4" t="inlineStr">
        <is>
          <t>INR</t>
        </is>
      </c>
      <c r="M1805" s="15" t="n">
        <v>-12164.8</v>
      </c>
      <c r="N1805" s="4" t="inlineStr">
        <is>
          <t>IOS Owner</t>
        </is>
      </c>
      <c r="O1805" s="4" t="n"/>
      <c r="P1805" s="4" t="n"/>
      <c r="Q1805" s="4" t="inlineStr">
        <is>
          <t>MAESTRO-IOS-PERSONAL-LIFE_OPERATIONS-1804 | Transport | 12164.80</t>
        </is>
      </c>
      <c r="R1805" s="4" t="inlineStr">
        <is>
          <t>iPhone</t>
        </is>
      </c>
      <c r="S1805" s="4" t="inlineStr">
        <is>
          <t>B37</t>
        </is>
      </c>
      <c r="T1805" s="4" t="inlineStr">
        <is>
          <t>RAMP_1501_2500</t>
        </is>
      </c>
      <c r="U1805" s="4" t="inlineStr">
        <is>
          <t>CREATED</t>
        </is>
      </c>
      <c r="V1805" s="4" t="inlineStr">
        <is>
          <t>idem-20260902-ios-1804</t>
        </is>
      </c>
    </row>
    <row r="1806" ht="30" customHeight="1">
      <c r="A1806" s="4" t="n">
        <v>1805</v>
      </c>
      <c r="B1806" s="4" t="inlineStr">
        <is>
          <t>MTR-IOS-1805</t>
        </is>
      </c>
      <c r="C1806" s="4" t="inlineStr">
        <is>
          <t>Group</t>
        </is>
      </c>
      <c r="D1806" s="4" t="inlineStr">
        <is>
          <t>Shared Experience</t>
        </is>
      </c>
      <c r="E1806" s="4" t="inlineStr">
        <is>
          <t>House Party</t>
        </is>
      </c>
      <c r="F1806" s="4" t="inlineStr">
        <is>
          <t>Decor</t>
        </is>
      </c>
      <c r="G1806" s="4" t="inlineStr">
        <is>
          <t>Expense</t>
        </is>
      </c>
      <c r="H1806" s="12" t="n">
        <v>46115</v>
      </c>
      <c r="I1806" s="13" t="n">
        <v>0.8249537037037037</v>
      </c>
      <c r="J1806" s="14" t="n">
        <v>46115.8249537037</v>
      </c>
      <c r="K1806" s="15" t="n">
        <v>7195.27</v>
      </c>
      <c r="L1806" s="4" t="inlineStr">
        <is>
          <t>INR</t>
        </is>
      </c>
      <c r="M1806" s="15" t="n">
        <v>-7195.27</v>
      </c>
      <c r="N1806" s="4" t="inlineStr">
        <is>
          <t>IOS Aarav</t>
        </is>
      </c>
      <c r="O1806" s="4" t="n">
        <v>3</v>
      </c>
      <c r="P1806" s="4" t="inlineStr">
        <is>
          <t>PERCENTAGE</t>
        </is>
      </c>
      <c r="Q1806" s="4" t="inlineStr">
        <is>
          <t>MAESTRO-IOS-GROUP-HOUSE_PARTY-1805 | Decor | 7195.27</t>
        </is>
      </c>
      <c r="R1806" s="4" t="inlineStr">
        <is>
          <t>iPhone</t>
        </is>
      </c>
      <c r="S1806" s="4" t="inlineStr">
        <is>
          <t>B37</t>
        </is>
      </c>
      <c r="T1806" s="4" t="inlineStr">
        <is>
          <t>RAMP_1501_2500</t>
        </is>
      </c>
      <c r="U1806" s="4" t="inlineStr">
        <is>
          <t>CREATED</t>
        </is>
      </c>
      <c r="V1806" s="4" t="inlineStr">
        <is>
          <t>idem-20260902-ios-1805</t>
        </is>
      </c>
    </row>
    <row r="1807" ht="30" customHeight="1">
      <c r="A1807" s="4" t="n">
        <v>1806</v>
      </c>
      <c r="B1807" s="4" t="inlineStr">
        <is>
          <t>MTR-IOS-1806</t>
        </is>
      </c>
      <c r="C1807" s="4" t="inlineStr">
        <is>
          <t>Business</t>
        </is>
      </c>
      <c r="D1807" s="4" t="inlineStr">
        <is>
          <t>Business</t>
        </is>
      </c>
      <c r="E1807" s="4" t="inlineStr">
        <is>
          <t>Business Operations</t>
        </is>
      </c>
      <c r="F1807" s="4" t="inlineStr">
        <is>
          <t>Software</t>
        </is>
      </c>
      <c r="G1807" s="4" t="inlineStr">
        <is>
          <t>Expense</t>
        </is>
      </c>
      <c r="H1807" s="12" t="n">
        <v>46182</v>
      </c>
      <c r="I1807" s="13" t="n">
        <v>0.05112268518518519</v>
      </c>
      <c r="J1807" s="14" t="n">
        <v>46182.05112268519</v>
      </c>
      <c r="K1807" s="15" t="n">
        <v>63298.63</v>
      </c>
      <c r="L1807" s="4" t="inlineStr">
        <is>
          <t>INR</t>
        </is>
      </c>
      <c r="M1807" s="15" t="n">
        <v>-63298.63</v>
      </c>
      <c r="N1807" s="4" t="inlineStr">
        <is>
          <t>IOS Owner</t>
        </is>
      </c>
      <c r="O1807" s="4" t="n"/>
      <c r="P1807" s="4" t="n"/>
      <c r="Q1807" s="4" t="inlineStr">
        <is>
          <t>MAESTRO-IOS-BUSINESS-BUSINESS_OPERATIONS-1806 | Software | 63298.63</t>
        </is>
      </c>
      <c r="R1807" s="4" t="inlineStr">
        <is>
          <t>iPhone</t>
        </is>
      </c>
      <c r="S1807" s="4" t="inlineStr">
        <is>
          <t>B37</t>
        </is>
      </c>
      <c r="T1807" s="4" t="inlineStr">
        <is>
          <t>RAMP_1501_2500</t>
        </is>
      </c>
      <c r="U1807" s="4" t="inlineStr">
        <is>
          <t>CREATED</t>
        </is>
      </c>
      <c r="V1807" s="4" t="inlineStr">
        <is>
          <t>idem-20260902-ios-1806</t>
        </is>
      </c>
    </row>
    <row r="1808" ht="30" customHeight="1">
      <c r="A1808" s="4" t="n">
        <v>1807</v>
      </c>
      <c r="B1808" s="4" t="inlineStr">
        <is>
          <t>MTR-IOS-1807</t>
        </is>
      </c>
      <c r="C1808" s="4" t="inlineStr">
        <is>
          <t>Personal</t>
        </is>
      </c>
      <c r="D1808" s="4" t="inlineStr">
        <is>
          <t>Personal</t>
        </is>
      </c>
      <c r="E1808" s="4" t="inlineStr">
        <is>
          <t>Life Operations</t>
        </is>
      </c>
      <c r="F1808" s="4" t="inlineStr">
        <is>
          <t>Healthcare</t>
        </is>
      </c>
      <c r="G1808" s="4" t="inlineStr">
        <is>
          <t>Expense</t>
        </is>
      </c>
      <c r="H1808" s="12" t="n">
        <v>46135</v>
      </c>
      <c r="I1808" s="13" t="n">
        <v>0.7646990740740741</v>
      </c>
      <c r="J1808" s="14" t="n">
        <v>46135.76469907408</v>
      </c>
      <c r="K1808" s="15" t="n">
        <v>5311.88</v>
      </c>
      <c r="L1808" s="4" t="inlineStr">
        <is>
          <t>INR</t>
        </is>
      </c>
      <c r="M1808" s="15" t="n">
        <v>-5311.88</v>
      </c>
      <c r="N1808" s="4" t="inlineStr">
        <is>
          <t>IOS Owner</t>
        </is>
      </c>
      <c r="O1808" s="4" t="n"/>
      <c r="P1808" s="4" t="n"/>
      <c r="Q1808" s="4" t="inlineStr">
        <is>
          <t>MAESTRO-IOS-PERSONAL-LIFE_OPERATIONS-1807 | Healthcare | 5311.88</t>
        </is>
      </c>
      <c r="R1808" s="4" t="inlineStr">
        <is>
          <t>iPhone</t>
        </is>
      </c>
      <c r="S1808" s="4" t="inlineStr">
        <is>
          <t>B37</t>
        </is>
      </c>
      <c r="T1808" s="4" t="inlineStr">
        <is>
          <t>RAMP_1501_2500</t>
        </is>
      </c>
      <c r="U1808" s="4" t="inlineStr">
        <is>
          <t>CREATED</t>
        </is>
      </c>
      <c r="V1808" s="4" t="inlineStr">
        <is>
          <t>idem-20260902-ios-1807</t>
        </is>
      </c>
    </row>
    <row r="1809" ht="30" customHeight="1">
      <c r="A1809" s="4" t="n">
        <v>1808</v>
      </c>
      <c r="B1809" s="4" t="inlineStr">
        <is>
          <t>MTR-IOS-1808</t>
        </is>
      </c>
      <c r="C1809" s="4" t="inlineStr">
        <is>
          <t>Group</t>
        </is>
      </c>
      <c r="D1809" s="4" t="inlineStr">
        <is>
          <t>Shared Experience</t>
        </is>
      </c>
      <c r="E1809" s="4" t="inlineStr">
        <is>
          <t>House Party</t>
        </is>
      </c>
      <c r="F1809" s="4" t="inlineStr">
        <is>
          <t>Supplies</t>
        </is>
      </c>
      <c r="G1809" s="4" t="inlineStr">
        <is>
          <t>Expense</t>
        </is>
      </c>
      <c r="H1809" s="12" t="n">
        <v>46078</v>
      </c>
      <c r="I1809" s="13" t="n">
        <v>0.3019675925925926</v>
      </c>
      <c r="J1809" s="14" t="n">
        <v>46078.30196759259</v>
      </c>
      <c r="K1809" s="15" t="n">
        <v>3649.58</v>
      </c>
      <c r="L1809" s="4" t="inlineStr">
        <is>
          <t>INR</t>
        </is>
      </c>
      <c r="M1809" s="15" t="n">
        <v>-3649.58</v>
      </c>
      <c r="N1809" s="4" t="inlineStr">
        <is>
          <t>IOS Meera</t>
        </is>
      </c>
      <c r="O1809" s="4" t="n">
        <v>3</v>
      </c>
      <c r="P1809" s="4" t="inlineStr">
        <is>
          <t>EXACT</t>
        </is>
      </c>
      <c r="Q1809" s="4" t="inlineStr">
        <is>
          <t>MAESTRO-IOS-GROUP-HOUSE_PARTY-1808 | Supplies | 3649.58</t>
        </is>
      </c>
      <c r="R1809" s="4" t="inlineStr">
        <is>
          <t>iPhone</t>
        </is>
      </c>
      <c r="S1809" s="4" t="inlineStr">
        <is>
          <t>B37</t>
        </is>
      </c>
      <c r="T1809" s="4" t="inlineStr">
        <is>
          <t>RAMP_1501_2500</t>
        </is>
      </c>
      <c r="U1809" s="4" t="inlineStr">
        <is>
          <t>CREATED</t>
        </is>
      </c>
      <c r="V1809" s="4" t="inlineStr">
        <is>
          <t>idem-20260902-ios-1808</t>
        </is>
      </c>
    </row>
    <row r="1810" ht="30" customHeight="1">
      <c r="A1810" s="4" t="n">
        <v>1809</v>
      </c>
      <c r="B1810" s="4" t="inlineStr">
        <is>
          <t>MTR-IOS-1809</t>
        </is>
      </c>
      <c r="C1810" s="4" t="inlineStr">
        <is>
          <t>Business</t>
        </is>
      </c>
      <c r="D1810" s="4" t="inlineStr">
        <is>
          <t>Business</t>
        </is>
      </c>
      <c r="E1810" s="4" t="inlineStr">
        <is>
          <t>Business Operations</t>
        </is>
      </c>
      <c r="F1810" s="4" t="inlineStr">
        <is>
          <t>Rent</t>
        </is>
      </c>
      <c r="G1810" s="4" t="inlineStr">
        <is>
          <t>Expense</t>
        </is>
      </c>
      <c r="H1810" s="12" t="n">
        <v>46167</v>
      </c>
      <c r="I1810" s="13" t="n">
        <v>0.404050925925926</v>
      </c>
      <c r="J1810" s="14" t="n">
        <v>46167.40405092593</v>
      </c>
      <c r="K1810" s="15" t="n">
        <v>37045.62</v>
      </c>
      <c r="L1810" s="4" t="inlineStr">
        <is>
          <t>INR</t>
        </is>
      </c>
      <c r="M1810" s="15" t="n">
        <v>-37045.62</v>
      </c>
      <c r="N1810" s="4" t="inlineStr">
        <is>
          <t>IOS Owner</t>
        </is>
      </c>
      <c r="O1810" s="4" t="n"/>
      <c r="P1810" s="4" t="n"/>
      <c r="Q1810" s="4" t="inlineStr">
        <is>
          <t>MAESTRO-IOS-BUSINESS-BUSINESS_OPERATIONS-1809 | Rent | 37045.62</t>
        </is>
      </c>
      <c r="R1810" s="4" t="inlineStr">
        <is>
          <t>iPhone</t>
        </is>
      </c>
      <c r="S1810" s="4" t="inlineStr">
        <is>
          <t>B37</t>
        </is>
      </c>
      <c r="T1810" s="4" t="inlineStr">
        <is>
          <t>RAMP_1501_2500</t>
        </is>
      </c>
      <c r="U1810" s="4" t="inlineStr">
        <is>
          <t>CREATED</t>
        </is>
      </c>
      <c r="V1810" s="4" t="inlineStr">
        <is>
          <t>idem-20260902-ios-1809</t>
        </is>
      </c>
    </row>
    <row r="1811" ht="30" customHeight="1">
      <c r="A1811" s="4" t="n">
        <v>1810</v>
      </c>
      <c r="B1811" s="4" t="inlineStr">
        <is>
          <t>MTR-IOS-1810</t>
        </is>
      </c>
      <c r="C1811" s="4" t="inlineStr">
        <is>
          <t>Personal</t>
        </is>
      </c>
      <c r="D1811" s="4" t="inlineStr">
        <is>
          <t>Personal</t>
        </is>
      </c>
      <c r="E1811" s="4" t="inlineStr">
        <is>
          <t>Life Operations</t>
        </is>
      </c>
      <c r="F1811" s="4" t="inlineStr">
        <is>
          <t>Subscriptions</t>
        </is>
      </c>
      <c r="G1811" s="4" t="inlineStr">
        <is>
          <t>Expense</t>
        </is>
      </c>
      <c r="H1811" s="12" t="n">
        <v>46129</v>
      </c>
      <c r="I1811" s="13" t="n">
        <v>0.9209375</v>
      </c>
      <c r="J1811" s="14" t="n">
        <v>46129.9209375</v>
      </c>
      <c r="K1811" s="15" t="n">
        <v>11648.87</v>
      </c>
      <c r="L1811" s="4" t="inlineStr">
        <is>
          <t>INR</t>
        </is>
      </c>
      <c r="M1811" s="15" t="n">
        <v>-11648.87</v>
      </c>
      <c r="N1811" s="4" t="inlineStr">
        <is>
          <t>IOS Owner</t>
        </is>
      </c>
      <c r="O1811" s="4" t="n"/>
      <c r="P1811" s="4" t="n"/>
      <c r="Q1811" s="4" t="inlineStr">
        <is>
          <t>MAESTRO-IOS-PERSONAL-LIFE_OPERATIONS-1810 | Subscriptions | 11648.87</t>
        </is>
      </c>
      <c r="R1811" s="4" t="inlineStr">
        <is>
          <t>iPhone</t>
        </is>
      </c>
      <c r="S1811" s="4" t="inlineStr">
        <is>
          <t>B37</t>
        </is>
      </c>
      <c r="T1811" s="4" t="inlineStr">
        <is>
          <t>RAMP_1501_2500</t>
        </is>
      </c>
      <c r="U1811" s="4" t="inlineStr">
        <is>
          <t>CREATED</t>
        </is>
      </c>
      <c r="V1811" s="4" t="inlineStr">
        <is>
          <t>idem-20260902-ios-1810</t>
        </is>
      </c>
    </row>
    <row r="1812" ht="30" customHeight="1">
      <c r="A1812" s="4" t="n">
        <v>1811</v>
      </c>
      <c r="B1812" s="4" t="inlineStr">
        <is>
          <t>MTR-IOS-1811</t>
        </is>
      </c>
      <c r="C1812" s="4" t="inlineStr">
        <is>
          <t>Group</t>
        </is>
      </c>
      <c r="D1812" s="4" t="inlineStr">
        <is>
          <t>Shared Experience</t>
        </is>
      </c>
      <c r="E1812" s="4" t="inlineStr">
        <is>
          <t>House Party</t>
        </is>
      </c>
      <c r="F1812" s="4" t="inlineStr">
        <is>
          <t>Other</t>
        </is>
      </c>
      <c r="G1812" s="4" t="inlineStr">
        <is>
          <t>Expense</t>
        </is>
      </c>
      <c r="H1812" s="12" t="n">
        <v>46150</v>
      </c>
      <c r="I1812" s="13" t="n">
        <v>0.7491898148148148</v>
      </c>
      <c r="J1812" s="14" t="n">
        <v>46150.74918981481</v>
      </c>
      <c r="K1812" s="15" t="n">
        <v>420.17</v>
      </c>
      <c r="L1812" s="4" t="inlineStr">
        <is>
          <t>INR</t>
        </is>
      </c>
      <c r="M1812" s="15" t="n">
        <v>-420.17</v>
      </c>
      <c r="N1812" s="4" t="inlineStr">
        <is>
          <t>IOS Owner</t>
        </is>
      </c>
      <c r="O1812" s="4" t="n">
        <v>3</v>
      </c>
      <c r="P1812" s="4" t="inlineStr">
        <is>
          <t>SHARES</t>
        </is>
      </c>
      <c r="Q1812" s="4" t="inlineStr">
        <is>
          <t>MAESTRO-IOS-GROUP-HOUSE_PARTY-1811 | Other | 420.17</t>
        </is>
      </c>
      <c r="R1812" s="4" t="inlineStr">
        <is>
          <t>iPhone</t>
        </is>
      </c>
      <c r="S1812" s="4" t="inlineStr">
        <is>
          <t>B37</t>
        </is>
      </c>
      <c r="T1812" s="4" t="inlineStr">
        <is>
          <t>RAMP_1501_2500</t>
        </is>
      </c>
      <c r="U1812" s="4" t="inlineStr">
        <is>
          <t>CREATED</t>
        </is>
      </c>
      <c r="V1812" s="4" t="inlineStr">
        <is>
          <t>idem-20260902-ios-1811</t>
        </is>
      </c>
    </row>
    <row r="1813" ht="30" customHeight="1">
      <c r="A1813" s="4" t="n">
        <v>1812</v>
      </c>
      <c r="B1813" s="4" t="inlineStr">
        <is>
          <t>MTR-IOS-1812</t>
        </is>
      </c>
      <c r="C1813" s="4" t="inlineStr">
        <is>
          <t>Business</t>
        </is>
      </c>
      <c r="D1813" s="4" t="inlineStr">
        <is>
          <t>Business</t>
        </is>
      </c>
      <c r="E1813" s="4" t="inlineStr">
        <is>
          <t>Business Operations</t>
        </is>
      </c>
      <c r="F1813" s="4" t="inlineStr">
        <is>
          <t>Marketing</t>
        </is>
      </c>
      <c r="G1813" s="4" t="inlineStr">
        <is>
          <t>Expense</t>
        </is>
      </c>
      <c r="H1813" s="12" t="n">
        <v>46218</v>
      </c>
      <c r="I1813" s="13" t="n">
        <v>0.2057407407407408</v>
      </c>
      <c r="J1813" s="14" t="n">
        <v>46218.20574074074</v>
      </c>
      <c r="K1813" s="15" t="n">
        <v>79302.03999999999</v>
      </c>
      <c r="L1813" s="4" t="inlineStr">
        <is>
          <t>INR</t>
        </is>
      </c>
      <c r="M1813" s="15" t="n">
        <v>-79302.03999999999</v>
      </c>
      <c r="N1813" s="4" t="inlineStr">
        <is>
          <t>IOS Owner</t>
        </is>
      </c>
      <c r="O1813" s="4" t="n"/>
      <c r="P1813" s="4" t="n"/>
      <c r="Q1813" s="4" t="inlineStr">
        <is>
          <t>MAESTRO-IOS-BUSINESS-BUSINESS_OPERATIONS-1812 | Marketing | 79302.04</t>
        </is>
      </c>
      <c r="R1813" s="4" t="inlineStr">
        <is>
          <t>iPhone</t>
        </is>
      </c>
      <c r="S1813" s="4" t="inlineStr">
        <is>
          <t>B37</t>
        </is>
      </c>
      <c r="T1813" s="4" t="inlineStr">
        <is>
          <t>RAMP_1501_2500</t>
        </is>
      </c>
      <c r="U1813" s="4" t="inlineStr">
        <is>
          <t>CREATED</t>
        </is>
      </c>
      <c r="V1813" s="4" t="inlineStr">
        <is>
          <t>idem-20260902-ios-1812</t>
        </is>
      </c>
    </row>
    <row r="1814" ht="30" customHeight="1">
      <c r="A1814" s="4" t="n">
        <v>1813</v>
      </c>
      <c r="B1814" s="4" t="inlineStr">
        <is>
          <t>MTR-IOS-1813</t>
        </is>
      </c>
      <c r="C1814" s="4" t="inlineStr">
        <is>
          <t>Personal</t>
        </is>
      </c>
      <c r="D1814" s="4" t="inlineStr">
        <is>
          <t>Personal</t>
        </is>
      </c>
      <c r="E1814" s="4" t="inlineStr">
        <is>
          <t>Life Operations</t>
        </is>
      </c>
      <c r="F1814" s="4" t="inlineStr">
        <is>
          <t>Repairs</t>
        </is>
      </c>
      <c r="G1814" s="4" t="inlineStr">
        <is>
          <t>Expense</t>
        </is>
      </c>
      <c r="H1814" s="12" t="n">
        <v>45987</v>
      </c>
      <c r="I1814" s="13" t="n">
        <v>0.9151851851851852</v>
      </c>
      <c r="J1814" s="14" t="n">
        <v>45987.91518518519</v>
      </c>
      <c r="K1814" s="15" t="n">
        <v>1</v>
      </c>
      <c r="L1814" s="4" t="inlineStr">
        <is>
          <t>INR</t>
        </is>
      </c>
      <c r="M1814" s="15" t="n">
        <v>-1</v>
      </c>
      <c r="N1814" s="4" t="inlineStr">
        <is>
          <t>IOS Owner</t>
        </is>
      </c>
      <c r="O1814" s="4" t="n"/>
      <c r="P1814" s="4" t="n"/>
      <c r="Q1814" s="4" t="inlineStr">
        <is>
          <t>MAESTRO-IOS-PERSONAL-LIFE_OPERATIONS-1813 | Repairs | 1.00</t>
        </is>
      </c>
      <c r="R1814" s="4" t="inlineStr">
        <is>
          <t>iPhone</t>
        </is>
      </c>
      <c r="S1814" s="4" t="inlineStr">
        <is>
          <t>B37</t>
        </is>
      </c>
      <c r="T1814" s="4" t="inlineStr">
        <is>
          <t>RAMP_1501_2500</t>
        </is>
      </c>
      <c r="U1814" s="4" t="inlineStr">
        <is>
          <t>CREATED</t>
        </is>
      </c>
      <c r="V1814" s="4" t="inlineStr">
        <is>
          <t>idem-20260902-ios-1813</t>
        </is>
      </c>
    </row>
    <row r="1815" ht="30" customHeight="1">
      <c r="A1815" s="4" t="n">
        <v>1814</v>
      </c>
      <c r="B1815" s="4" t="inlineStr">
        <is>
          <t>MTR-IOS-1814</t>
        </is>
      </c>
      <c r="C1815" s="4" t="inlineStr">
        <is>
          <t>Group</t>
        </is>
      </c>
      <c r="D1815" s="4" t="inlineStr">
        <is>
          <t>Shared Purchase</t>
        </is>
      </c>
      <c r="E1815" s="4" t="inlineStr">
        <is>
          <t>Gift Pool</t>
        </is>
      </c>
      <c r="F1815" s="4" t="inlineStr">
        <is>
          <t>Contribution</t>
        </is>
      </c>
      <c r="G1815" s="4" t="inlineStr">
        <is>
          <t>Contribution</t>
        </is>
      </c>
      <c r="H1815" s="12" t="n">
        <v>46151</v>
      </c>
      <c r="I1815" s="13" t="n">
        <v>0.5270138888888889</v>
      </c>
      <c r="J1815" s="14" t="n">
        <v>46151.52701388889</v>
      </c>
      <c r="K1815" s="15" t="n">
        <v>9249.780000000001</v>
      </c>
      <c r="L1815" s="4" t="inlineStr">
        <is>
          <t>INR</t>
        </is>
      </c>
      <c r="M1815" s="15" t="n">
        <v>9249.780000000001</v>
      </c>
      <c r="N1815" s="4" t="inlineStr">
        <is>
          <t>IOS Aarav</t>
        </is>
      </c>
      <c r="O1815" s="4" t="n">
        <v>3</v>
      </c>
      <c r="P1815" s="4" t="inlineStr">
        <is>
          <t>EQUAL</t>
        </is>
      </c>
      <c r="Q1815" s="4" t="inlineStr">
        <is>
          <t>MAESTRO-IOS-GROUP-GIFT_POOL-1814 | Contribution | 9249.78</t>
        </is>
      </c>
      <c r="R1815" s="4" t="inlineStr">
        <is>
          <t>iPhone</t>
        </is>
      </c>
      <c r="S1815" s="4" t="inlineStr">
        <is>
          <t>B37</t>
        </is>
      </c>
      <c r="T1815" s="4" t="inlineStr">
        <is>
          <t>RAMP_1501_2500</t>
        </is>
      </c>
      <c r="U1815" s="4" t="inlineStr">
        <is>
          <t>CREATED</t>
        </is>
      </c>
      <c r="V1815" s="4" t="inlineStr">
        <is>
          <t>idem-20260902-ios-1814</t>
        </is>
      </c>
    </row>
    <row r="1816" ht="30" customHeight="1">
      <c r="A1816" s="4" t="n">
        <v>1815</v>
      </c>
      <c r="B1816" s="4" t="inlineStr">
        <is>
          <t>MTR-IOS-1815</t>
        </is>
      </c>
      <c r="C1816" s="4" t="inlineStr">
        <is>
          <t>Business</t>
        </is>
      </c>
      <c r="D1816" s="4" t="inlineStr">
        <is>
          <t>Business</t>
        </is>
      </c>
      <c r="E1816" s="4" t="inlineStr">
        <is>
          <t>Business Operations</t>
        </is>
      </c>
      <c r="F1816" s="4" t="inlineStr">
        <is>
          <t>Legal</t>
        </is>
      </c>
      <c r="G1816" s="4" t="inlineStr">
        <is>
          <t>Expense</t>
        </is>
      </c>
      <c r="H1816" s="12" t="n">
        <v>46265</v>
      </c>
      <c r="I1816" s="13" t="n">
        <v>0.8586689814814815</v>
      </c>
      <c r="J1816" s="14" t="n">
        <v>46265.85866898148</v>
      </c>
      <c r="K1816" s="15" t="n">
        <v>112008.81</v>
      </c>
      <c r="L1816" s="4" t="inlineStr">
        <is>
          <t>INR</t>
        </is>
      </c>
      <c r="M1816" s="15" t="n">
        <v>-112008.81</v>
      </c>
      <c r="N1816" s="4" t="inlineStr">
        <is>
          <t>IOS Owner</t>
        </is>
      </c>
      <c r="O1816" s="4" t="n"/>
      <c r="P1816" s="4" t="n"/>
      <c r="Q1816" s="4" t="inlineStr">
        <is>
          <t>MAESTRO-IOS-BUSINESS-BUSINESS_OPERATIONS-1815 | Legal | 112008.81</t>
        </is>
      </c>
      <c r="R1816" s="4" t="inlineStr">
        <is>
          <t>iPhone</t>
        </is>
      </c>
      <c r="S1816" s="4" t="inlineStr">
        <is>
          <t>B37</t>
        </is>
      </c>
      <c r="T1816" s="4" t="inlineStr">
        <is>
          <t>RAMP_1501_2500</t>
        </is>
      </c>
      <c r="U1816" s="4" t="inlineStr">
        <is>
          <t>CREATED</t>
        </is>
      </c>
      <c r="V1816" s="4" t="inlineStr">
        <is>
          <t>idem-20260902-ios-1815</t>
        </is>
      </c>
    </row>
    <row r="1817" ht="30" customHeight="1">
      <c r="A1817" s="4" t="n">
        <v>1816</v>
      </c>
      <c r="B1817" s="4" t="inlineStr">
        <is>
          <t>MTR-IOS-1816</t>
        </is>
      </c>
      <c r="C1817" s="4" t="inlineStr">
        <is>
          <t>Personal</t>
        </is>
      </c>
      <c r="D1817" s="4" t="inlineStr">
        <is>
          <t>Personal</t>
        </is>
      </c>
      <c r="E1817" s="4" t="inlineStr">
        <is>
          <t>Future Building</t>
        </is>
      </c>
      <c r="F1817" s="4" t="inlineStr">
        <is>
          <t>Savings</t>
        </is>
      </c>
      <c r="G1817" s="4" t="inlineStr">
        <is>
          <t>Transfer</t>
        </is>
      </c>
      <c r="H1817" s="12" t="n">
        <v>46098</v>
      </c>
      <c r="I1817" s="13" t="n">
        <v>0.8128935185185185</v>
      </c>
      <c r="J1817" s="14" t="n">
        <v>46098.81289351852</v>
      </c>
      <c r="K1817" s="15" t="n">
        <v>13075.43</v>
      </c>
      <c r="L1817" s="4" t="inlineStr">
        <is>
          <t>INR</t>
        </is>
      </c>
      <c r="M1817" s="15" t="n">
        <v>0</v>
      </c>
      <c r="N1817" s="4" t="inlineStr">
        <is>
          <t>IOS Owner</t>
        </is>
      </c>
      <c r="O1817" s="4" t="n"/>
      <c r="P1817" s="4" t="n"/>
      <c r="Q1817" s="4" t="inlineStr">
        <is>
          <t>MAESTRO-IOS-PERSONAL-FUTURE_BUILDING-1816 | Savings | 13075.43</t>
        </is>
      </c>
      <c r="R1817" s="4" t="inlineStr">
        <is>
          <t>iPhone</t>
        </is>
      </c>
      <c r="S1817" s="4" t="inlineStr">
        <is>
          <t>B37</t>
        </is>
      </c>
      <c r="T1817" s="4" t="inlineStr">
        <is>
          <t>RAMP_1501_2500</t>
        </is>
      </c>
      <c r="U1817" s="4" t="inlineStr">
        <is>
          <t>CREATED</t>
        </is>
      </c>
      <c r="V1817" s="4" t="inlineStr">
        <is>
          <t>idem-20260902-ios-1816</t>
        </is>
      </c>
    </row>
    <row r="1818" ht="30" customHeight="1">
      <c r="A1818" s="4" t="n">
        <v>1817</v>
      </c>
      <c r="B1818" s="4" t="inlineStr">
        <is>
          <t>MTR-IOS-1817</t>
        </is>
      </c>
      <c r="C1818" s="4" t="inlineStr">
        <is>
          <t>Group</t>
        </is>
      </c>
      <c r="D1818" s="4" t="inlineStr">
        <is>
          <t>Shared Purchase</t>
        </is>
      </c>
      <c r="E1818" s="4" t="inlineStr">
        <is>
          <t>Gift Pool</t>
        </is>
      </c>
      <c r="F1818" s="4" t="inlineStr">
        <is>
          <t>Gift Purchase</t>
        </is>
      </c>
      <c r="G1818" s="4" t="inlineStr">
        <is>
          <t>Expense</t>
        </is>
      </c>
      <c r="H1818" s="12" t="n">
        <v>46166</v>
      </c>
      <c r="I1818" s="13" t="n">
        <v>0.2947569444444444</v>
      </c>
      <c r="J1818" s="14" t="n">
        <v>46166.29475694444</v>
      </c>
      <c r="K1818" s="15" t="n">
        <v>23519.39</v>
      </c>
      <c r="L1818" s="4" t="inlineStr">
        <is>
          <t>INR</t>
        </is>
      </c>
      <c r="M1818" s="15" t="n">
        <v>-23519.39</v>
      </c>
      <c r="N1818" s="4" t="inlineStr">
        <is>
          <t>IOS Meera</t>
        </is>
      </c>
      <c r="O1818" s="4" t="n">
        <v>3</v>
      </c>
      <c r="P1818" s="4" t="inlineStr">
        <is>
          <t>PERCENTAGE</t>
        </is>
      </c>
      <c r="Q1818" s="4" t="inlineStr">
        <is>
          <t>MAESTRO-IOS-GROUP-GIFT_POOL-1817 | Gift Purchase | 23519.39</t>
        </is>
      </c>
      <c r="R1818" s="4" t="inlineStr">
        <is>
          <t>iPhone</t>
        </is>
      </c>
      <c r="S1818" s="4" t="inlineStr">
        <is>
          <t>B37</t>
        </is>
      </c>
      <c r="T1818" s="4" t="inlineStr">
        <is>
          <t>RAMP_1501_2500</t>
        </is>
      </c>
      <c r="U1818" s="4" t="inlineStr">
        <is>
          <t>CREATED</t>
        </is>
      </c>
      <c r="V1818" s="4" t="inlineStr">
        <is>
          <t>idem-20260902-ios-1817</t>
        </is>
      </c>
    </row>
    <row r="1819" ht="30" customHeight="1">
      <c r="A1819" s="4" t="n">
        <v>1818</v>
      </c>
      <c r="B1819" s="4" t="inlineStr">
        <is>
          <t>MTR-IOS-1818</t>
        </is>
      </c>
      <c r="C1819" s="4" t="inlineStr">
        <is>
          <t>Business</t>
        </is>
      </c>
      <c r="D1819" s="4" t="inlineStr">
        <is>
          <t>Business</t>
        </is>
      </c>
      <c r="E1819" s="4" t="inlineStr">
        <is>
          <t>Business Operations</t>
        </is>
      </c>
      <c r="F1819" s="4" t="inlineStr">
        <is>
          <t>Accounting</t>
        </is>
      </c>
      <c r="G1819" s="4" t="inlineStr">
        <is>
          <t>Expense</t>
        </is>
      </c>
      <c r="H1819" s="12" t="n">
        <v>46090</v>
      </c>
      <c r="I1819" s="13" t="n">
        <v>0.5603472222222222</v>
      </c>
      <c r="J1819" s="14" t="n">
        <v>46090.56034722222</v>
      </c>
      <c r="K1819" s="15" t="n">
        <v>101170.32</v>
      </c>
      <c r="L1819" s="4" t="inlineStr">
        <is>
          <t>INR</t>
        </is>
      </c>
      <c r="M1819" s="15" t="n">
        <v>-101170.32</v>
      </c>
      <c r="N1819" s="4" t="inlineStr">
        <is>
          <t>IOS Owner</t>
        </is>
      </c>
      <c r="O1819" s="4" t="n"/>
      <c r="P1819" s="4" t="n"/>
      <c r="Q1819" s="4" t="inlineStr">
        <is>
          <t>MAESTRO-IOS-BUSINESS-BUSINESS_OPERATIONS-1818 | Accounting | 101170.32</t>
        </is>
      </c>
      <c r="R1819" s="4" t="inlineStr">
        <is>
          <t>iPhone</t>
        </is>
      </c>
      <c r="S1819" s="4" t="inlineStr">
        <is>
          <t>B37</t>
        </is>
      </c>
      <c r="T1819" s="4" t="inlineStr">
        <is>
          <t>RAMP_1501_2500</t>
        </is>
      </c>
      <c r="U1819" s="4" t="inlineStr">
        <is>
          <t>CREATED</t>
        </is>
      </c>
      <c r="V1819" s="4" t="inlineStr">
        <is>
          <t>idem-20260902-ios-1818</t>
        </is>
      </c>
    </row>
    <row r="1820" ht="30" customHeight="1">
      <c r="A1820" s="4" t="n">
        <v>1819</v>
      </c>
      <c r="B1820" s="4" t="inlineStr">
        <is>
          <t>MTR-IOS-1819</t>
        </is>
      </c>
      <c r="C1820" s="4" t="inlineStr">
        <is>
          <t>Personal</t>
        </is>
      </c>
      <c r="D1820" s="4" t="inlineStr">
        <is>
          <t>Personal</t>
        </is>
      </c>
      <c r="E1820" s="4" t="inlineStr">
        <is>
          <t>Future Building</t>
        </is>
      </c>
      <c r="F1820" s="4" t="inlineStr">
        <is>
          <t>Emergency Fund</t>
        </is>
      </c>
      <c r="G1820" s="4" t="inlineStr">
        <is>
          <t>Transfer</t>
        </is>
      </c>
      <c r="H1820" s="12" t="n">
        <v>45976</v>
      </c>
      <c r="I1820" s="13" t="n">
        <v>0.7972800925925926</v>
      </c>
      <c r="J1820" s="14" t="n">
        <v>45976.79728009259</v>
      </c>
      <c r="K1820" s="15" t="n">
        <v>16587.69</v>
      </c>
      <c r="L1820" s="4" t="inlineStr">
        <is>
          <t>INR</t>
        </is>
      </c>
      <c r="M1820" s="15" t="n">
        <v>0</v>
      </c>
      <c r="N1820" s="4" t="inlineStr">
        <is>
          <t>IOS Owner</t>
        </is>
      </c>
      <c r="O1820" s="4" t="n"/>
      <c r="P1820" s="4" t="n"/>
      <c r="Q1820" s="4" t="inlineStr">
        <is>
          <t>MAESTRO-IOS-PERSONAL-FUTURE_BUILDING-1819 | Emergency Fund | 16587.69</t>
        </is>
      </c>
      <c r="R1820" s="4" t="inlineStr">
        <is>
          <t>iPhone</t>
        </is>
      </c>
      <c r="S1820" s="4" t="inlineStr">
        <is>
          <t>B37</t>
        </is>
      </c>
      <c r="T1820" s="4" t="inlineStr">
        <is>
          <t>RAMP_1501_2500</t>
        </is>
      </c>
      <c r="U1820" s="4" t="inlineStr">
        <is>
          <t>CREATED</t>
        </is>
      </c>
      <c r="V1820" s="4" t="inlineStr">
        <is>
          <t>idem-20260902-ios-1819</t>
        </is>
      </c>
    </row>
    <row r="1821" ht="30" customHeight="1">
      <c r="A1821" s="4" t="n">
        <v>1820</v>
      </c>
      <c r="B1821" s="4" t="inlineStr">
        <is>
          <t>MTR-IOS-1820</t>
        </is>
      </c>
      <c r="C1821" s="4" t="inlineStr">
        <is>
          <t>Group</t>
        </is>
      </c>
      <c r="D1821" s="4" t="inlineStr">
        <is>
          <t>Shared Purchase</t>
        </is>
      </c>
      <c r="E1821" s="4" t="inlineStr">
        <is>
          <t>Gift Pool</t>
        </is>
      </c>
      <c r="F1821" s="4" t="inlineStr">
        <is>
          <t>Delivery</t>
        </is>
      </c>
      <c r="G1821" s="4" t="inlineStr">
        <is>
          <t>Expense</t>
        </is>
      </c>
      <c r="H1821" s="12" t="n">
        <v>46199</v>
      </c>
      <c r="I1821" s="13" t="n">
        <v>0.5985185185185186</v>
      </c>
      <c r="J1821" s="14" t="n">
        <v>46199.59851851852</v>
      </c>
      <c r="K1821" s="15" t="n">
        <v>23524.32</v>
      </c>
      <c r="L1821" s="4" t="inlineStr">
        <is>
          <t>INR</t>
        </is>
      </c>
      <c r="M1821" s="15" t="n">
        <v>-23524.32</v>
      </c>
      <c r="N1821" s="4" t="inlineStr">
        <is>
          <t>IOS Owner</t>
        </is>
      </c>
      <c r="O1821" s="4" t="n">
        <v>3</v>
      </c>
      <c r="P1821" s="4" t="inlineStr">
        <is>
          <t>EXACT</t>
        </is>
      </c>
      <c r="Q1821" s="4" t="inlineStr">
        <is>
          <t>MAESTRO-IOS-GROUP-GIFT_POOL-1820 | Delivery | 23524.32</t>
        </is>
      </c>
      <c r="R1821" s="4" t="inlineStr">
        <is>
          <t>iPhone</t>
        </is>
      </c>
      <c r="S1821" s="4" t="inlineStr">
        <is>
          <t>B37</t>
        </is>
      </c>
      <c r="T1821" s="4" t="inlineStr">
        <is>
          <t>RAMP_1501_2500</t>
        </is>
      </c>
      <c r="U1821" s="4" t="inlineStr">
        <is>
          <t>CREATED</t>
        </is>
      </c>
      <c r="V1821" s="4" t="inlineStr">
        <is>
          <t>idem-20260902-ios-1820</t>
        </is>
      </c>
    </row>
    <row r="1822" ht="30" customHeight="1">
      <c r="A1822" s="4" t="n">
        <v>1821</v>
      </c>
      <c r="B1822" s="4" t="inlineStr">
        <is>
          <t>MTR-IOS-1821</t>
        </is>
      </c>
      <c r="C1822" s="4" t="inlineStr">
        <is>
          <t>Business</t>
        </is>
      </c>
      <c r="D1822" s="4" t="inlineStr">
        <is>
          <t>Business</t>
        </is>
      </c>
      <c r="E1822" s="4" t="inlineStr">
        <is>
          <t>Business Operations</t>
        </is>
      </c>
      <c r="F1822" s="4" t="inlineStr">
        <is>
          <t>Equipment</t>
        </is>
      </c>
      <c r="G1822" s="4" t="inlineStr">
        <is>
          <t>Expense</t>
        </is>
      </c>
      <c r="H1822" s="12" t="n">
        <v>45914</v>
      </c>
      <c r="I1822" s="13" t="n">
        <v>0.2600694444444445</v>
      </c>
      <c r="J1822" s="14" t="n">
        <v>45914.26006944444</v>
      </c>
      <c r="K1822" s="15" t="n">
        <v>104608.34</v>
      </c>
      <c r="L1822" s="4" t="inlineStr">
        <is>
          <t>INR</t>
        </is>
      </c>
      <c r="M1822" s="15" t="n">
        <v>-104608.34</v>
      </c>
      <c r="N1822" s="4" t="inlineStr">
        <is>
          <t>IOS Owner</t>
        </is>
      </c>
      <c r="O1822" s="4" t="n"/>
      <c r="P1822" s="4" t="n"/>
      <c r="Q1822" s="4" t="inlineStr">
        <is>
          <t>MAESTRO-IOS-BUSINESS-BUSINESS_OPERATIONS-1821 | Equipment | 104608.34</t>
        </is>
      </c>
      <c r="R1822" s="4" t="inlineStr">
        <is>
          <t>iPhone</t>
        </is>
      </c>
      <c r="S1822" s="4" t="inlineStr">
        <is>
          <t>B37</t>
        </is>
      </c>
      <c r="T1822" s="4" t="inlineStr">
        <is>
          <t>RAMP_1501_2500</t>
        </is>
      </c>
      <c r="U1822" s="4" t="inlineStr">
        <is>
          <t>CREATED</t>
        </is>
      </c>
      <c r="V1822" s="4" t="inlineStr">
        <is>
          <t>idem-20260902-ios-1821</t>
        </is>
      </c>
    </row>
    <row r="1823" ht="30" customHeight="1">
      <c r="A1823" s="4" t="n">
        <v>1822</v>
      </c>
      <c r="B1823" s="4" t="inlineStr">
        <is>
          <t>MTR-IOS-1822</t>
        </is>
      </c>
      <c r="C1823" s="4" t="inlineStr">
        <is>
          <t>Personal</t>
        </is>
      </c>
      <c r="D1823" s="4" t="inlineStr">
        <is>
          <t>Personal</t>
        </is>
      </c>
      <c r="E1823" s="4" t="inlineStr">
        <is>
          <t>Future Building</t>
        </is>
      </c>
      <c r="F1823" s="4" t="inlineStr">
        <is>
          <t>Investments</t>
        </is>
      </c>
      <c r="G1823" s="4" t="inlineStr">
        <is>
          <t>Investment</t>
        </is>
      </c>
      <c r="H1823" s="12" t="n">
        <v>46122</v>
      </c>
      <c r="I1823" s="13" t="n">
        <v>0.9091782407407407</v>
      </c>
      <c r="J1823" s="14" t="n">
        <v>46122.90917824074</v>
      </c>
      <c r="K1823" s="15" t="n">
        <v>5372.99</v>
      </c>
      <c r="L1823" s="4" t="inlineStr">
        <is>
          <t>INR</t>
        </is>
      </c>
      <c r="M1823" s="15" t="n">
        <v>0</v>
      </c>
      <c r="N1823" s="4" t="inlineStr">
        <is>
          <t>IOS Owner</t>
        </is>
      </c>
      <c r="O1823" s="4" t="n"/>
      <c r="P1823" s="4" t="n"/>
      <c r="Q1823" s="4" t="inlineStr">
        <is>
          <t>MAESTRO-IOS-PERSONAL-FUTURE_BUILDING-1822 | Investments | 5372.99</t>
        </is>
      </c>
      <c r="R1823" s="4" t="inlineStr">
        <is>
          <t>iPhone</t>
        </is>
      </c>
      <c r="S1823" s="4" t="inlineStr">
        <is>
          <t>B37</t>
        </is>
      </c>
      <c r="T1823" s="4" t="inlineStr">
        <is>
          <t>RAMP_1501_2500</t>
        </is>
      </c>
      <c r="U1823" s="4" t="inlineStr">
        <is>
          <t>CREATED</t>
        </is>
      </c>
      <c r="V1823" s="4" t="inlineStr">
        <is>
          <t>idem-20260902-ios-1822</t>
        </is>
      </c>
    </row>
    <row r="1824" ht="30" customHeight="1">
      <c r="A1824" s="4" t="n">
        <v>1823</v>
      </c>
      <c r="B1824" s="4" t="inlineStr">
        <is>
          <t>MTR-IOS-1823</t>
        </is>
      </c>
      <c r="C1824" s="4" t="inlineStr">
        <is>
          <t>Group</t>
        </is>
      </c>
      <c r="D1824" s="4" t="inlineStr">
        <is>
          <t>Shared Purchase</t>
        </is>
      </c>
      <c r="E1824" s="4" t="inlineStr">
        <is>
          <t>Gift Pool</t>
        </is>
      </c>
      <c r="F1824" s="4" t="inlineStr">
        <is>
          <t>Other</t>
        </is>
      </c>
      <c r="G1824" s="4" t="inlineStr">
        <is>
          <t>Expense</t>
        </is>
      </c>
      <c r="H1824" s="12" t="n">
        <v>46095</v>
      </c>
      <c r="I1824" s="13" t="n">
        <v>0.1098611111111111</v>
      </c>
      <c r="J1824" s="14" t="n">
        <v>46095.10986111111</v>
      </c>
      <c r="K1824" s="15" t="n">
        <v>21314.4</v>
      </c>
      <c r="L1824" s="4" t="inlineStr">
        <is>
          <t>INR</t>
        </is>
      </c>
      <c r="M1824" s="15" t="n">
        <v>-21314.4</v>
      </c>
      <c r="N1824" s="4" t="inlineStr">
        <is>
          <t>IOS Aarav</t>
        </is>
      </c>
      <c r="O1824" s="4" t="n">
        <v>3</v>
      </c>
      <c r="P1824" s="4" t="inlineStr">
        <is>
          <t>SHARES</t>
        </is>
      </c>
      <c r="Q1824" s="4" t="inlineStr">
        <is>
          <t>MAESTRO-IOS-GROUP-GIFT_POOL-1823 | Other | 21314.40</t>
        </is>
      </c>
      <c r="R1824" s="4" t="inlineStr">
        <is>
          <t>iPhone</t>
        </is>
      </c>
      <c r="S1824" s="4" t="inlineStr">
        <is>
          <t>B37</t>
        </is>
      </c>
      <c r="T1824" s="4" t="inlineStr">
        <is>
          <t>RAMP_1501_2500</t>
        </is>
      </c>
      <c r="U1824" s="4" t="inlineStr">
        <is>
          <t>CREATED</t>
        </is>
      </c>
      <c r="V1824" s="4" t="inlineStr">
        <is>
          <t>idem-20260902-ios-1823</t>
        </is>
      </c>
    </row>
    <row r="1825" ht="30" customHeight="1">
      <c r="A1825" s="4" t="n">
        <v>1824</v>
      </c>
      <c r="B1825" s="4" t="inlineStr">
        <is>
          <t>MTR-IOS-1824</t>
        </is>
      </c>
      <c r="C1825" s="4" t="inlineStr">
        <is>
          <t>Business</t>
        </is>
      </c>
      <c r="D1825" s="4" t="inlineStr">
        <is>
          <t>Business</t>
        </is>
      </c>
      <c r="E1825" s="4" t="inlineStr">
        <is>
          <t>Business Operations</t>
        </is>
      </c>
      <c r="F1825" s="4" t="inlineStr">
        <is>
          <t>Vendor</t>
        </is>
      </c>
      <c r="G1825" s="4" t="inlineStr">
        <is>
          <t>Expense</t>
        </is>
      </c>
      <c r="H1825" s="12" t="n">
        <v>45971</v>
      </c>
      <c r="I1825" s="13" t="n">
        <v>0.5845023148148148</v>
      </c>
      <c r="J1825" s="14" t="n">
        <v>45971.58450231481</v>
      </c>
      <c r="K1825" s="15" t="n">
        <v>136076.15</v>
      </c>
      <c r="L1825" s="4" t="inlineStr">
        <is>
          <t>INR</t>
        </is>
      </c>
      <c r="M1825" s="15" t="n">
        <v>-136076.15</v>
      </c>
      <c r="N1825" s="4" t="inlineStr">
        <is>
          <t>IOS Owner</t>
        </is>
      </c>
      <c r="O1825" s="4" t="n"/>
      <c r="P1825" s="4" t="n"/>
      <c r="Q1825" s="4" t="inlineStr">
        <is>
          <t>MAESTRO-IOS-BUSINESS-BUSINESS_OPERATIONS-1824 | Vendor | 136076.15</t>
        </is>
      </c>
      <c r="R1825" s="4" t="inlineStr">
        <is>
          <t>iPhone</t>
        </is>
      </c>
      <c r="S1825" s="4" t="inlineStr">
        <is>
          <t>B37</t>
        </is>
      </c>
      <c r="T1825" s="4" t="inlineStr">
        <is>
          <t>RAMP_1501_2500</t>
        </is>
      </c>
      <c r="U1825" s="4" t="inlineStr">
        <is>
          <t>CREATED</t>
        </is>
      </c>
      <c r="V1825" s="4" t="inlineStr">
        <is>
          <t>idem-20260902-ios-1824</t>
        </is>
      </c>
    </row>
    <row r="1826" ht="30" customHeight="1">
      <c r="A1826" s="4" t="n">
        <v>1825</v>
      </c>
      <c r="B1826" s="4" t="inlineStr">
        <is>
          <t>MTR-IOS-1825</t>
        </is>
      </c>
      <c r="C1826" s="4" t="inlineStr">
        <is>
          <t>Personal</t>
        </is>
      </c>
      <c r="D1826" s="4" t="inlineStr">
        <is>
          <t>Personal</t>
        </is>
      </c>
      <c r="E1826" s="4" t="inlineStr">
        <is>
          <t>Future Building</t>
        </is>
      </c>
      <c r="F1826" s="4" t="inlineStr">
        <is>
          <t>Education</t>
        </is>
      </c>
      <c r="G1826" s="4" t="inlineStr">
        <is>
          <t>Expense</t>
        </is>
      </c>
      <c r="H1826" s="12" t="n">
        <v>45970</v>
      </c>
      <c r="I1826" s="13" t="n">
        <v>0.1708333333333333</v>
      </c>
      <c r="J1826" s="14" t="n">
        <v>45970.17083333333</v>
      </c>
      <c r="K1826" s="15" t="n">
        <v>8771.17</v>
      </c>
      <c r="L1826" s="4" t="inlineStr">
        <is>
          <t>INR</t>
        </is>
      </c>
      <c r="M1826" s="15" t="n">
        <v>-8771.17</v>
      </c>
      <c r="N1826" s="4" t="inlineStr">
        <is>
          <t>IOS Owner</t>
        </is>
      </c>
      <c r="O1826" s="4" t="n"/>
      <c r="P1826" s="4" t="n"/>
      <c r="Q1826" s="4" t="inlineStr">
        <is>
          <t>MAESTRO-IOS-PERSONAL-FUTURE_BUILDING-1825 | Education | 8771.17</t>
        </is>
      </c>
      <c r="R1826" s="4" t="inlineStr">
        <is>
          <t>iPhone</t>
        </is>
      </c>
      <c r="S1826" s="4" t="inlineStr">
        <is>
          <t>B37</t>
        </is>
      </c>
      <c r="T1826" s="4" t="inlineStr">
        <is>
          <t>RAMP_1501_2500</t>
        </is>
      </c>
      <c r="U1826" s="4" t="inlineStr">
        <is>
          <t>CREATED</t>
        </is>
      </c>
      <c r="V1826" s="4" t="inlineStr">
        <is>
          <t>idem-20260902-ios-1825</t>
        </is>
      </c>
    </row>
    <row r="1827" ht="30" customHeight="1">
      <c r="A1827" s="4" t="n">
        <v>1826</v>
      </c>
      <c r="B1827" s="4" t="inlineStr">
        <is>
          <t>MTR-IOS-1826</t>
        </is>
      </c>
      <c r="C1827" s="4" t="inlineStr">
        <is>
          <t>Group</t>
        </is>
      </c>
      <c r="D1827" s="4" t="inlineStr">
        <is>
          <t>Shared Purchase</t>
        </is>
      </c>
      <c r="E1827" s="4" t="inlineStr">
        <is>
          <t>Purchase</t>
        </is>
      </c>
      <c r="F1827" s="4" t="inlineStr">
        <is>
          <t>Item</t>
        </is>
      </c>
      <c r="G1827" s="4" t="inlineStr">
        <is>
          <t>Expense</t>
        </is>
      </c>
      <c r="H1827" s="12" t="n">
        <v>46149</v>
      </c>
      <c r="I1827" s="13" t="n">
        <v>0.0894675925925926</v>
      </c>
      <c r="J1827" s="14" t="n">
        <v>46149.0894675926</v>
      </c>
      <c r="K1827" s="15" t="n">
        <v>26379.77</v>
      </c>
      <c r="L1827" s="4" t="inlineStr">
        <is>
          <t>INR</t>
        </is>
      </c>
      <c r="M1827" s="15" t="n">
        <v>-26379.77</v>
      </c>
      <c r="N1827" s="4" t="inlineStr">
        <is>
          <t>IOS Meera</t>
        </is>
      </c>
      <c r="O1827" s="4" t="n">
        <v>3</v>
      </c>
      <c r="P1827" s="4" t="inlineStr">
        <is>
          <t>EQUAL</t>
        </is>
      </c>
      <c r="Q1827" s="4" t="inlineStr">
        <is>
          <t>MAESTRO-IOS-GROUP-PURCHASE-1826 | Item | 26379.77</t>
        </is>
      </c>
      <c r="R1827" s="4" t="inlineStr">
        <is>
          <t>iPhone</t>
        </is>
      </c>
      <c r="S1827" s="4" t="inlineStr">
        <is>
          <t>B37</t>
        </is>
      </c>
      <c r="T1827" s="4" t="inlineStr">
        <is>
          <t>RAMP_1501_2500</t>
        </is>
      </c>
      <c r="U1827" s="4" t="inlineStr">
        <is>
          <t>CREATED</t>
        </is>
      </c>
      <c r="V1827" s="4" t="inlineStr">
        <is>
          <t>idem-20260902-ios-1826</t>
        </is>
      </c>
    </row>
    <row r="1828" ht="30" customHeight="1">
      <c r="A1828" s="4" t="n">
        <v>1827</v>
      </c>
      <c r="B1828" s="4" t="inlineStr">
        <is>
          <t>MTR-IOS-1827</t>
        </is>
      </c>
      <c r="C1828" s="4" t="inlineStr">
        <is>
          <t>Business</t>
        </is>
      </c>
      <c r="D1828" s="4" t="inlineStr">
        <is>
          <t>Business</t>
        </is>
      </c>
      <c r="E1828" s="4" t="inlineStr">
        <is>
          <t>Business Operations</t>
        </is>
      </c>
      <c r="F1828" s="4" t="inlineStr">
        <is>
          <t>Tax</t>
        </is>
      </c>
      <c r="G1828" s="4" t="inlineStr">
        <is>
          <t>Expense</t>
        </is>
      </c>
      <c r="H1828" s="12" t="n">
        <v>46024</v>
      </c>
      <c r="I1828" s="13" t="n">
        <v>0.4036689814814815</v>
      </c>
      <c r="J1828" s="14" t="n">
        <v>46024.40366898148</v>
      </c>
      <c r="K1828" s="15" t="n">
        <v>43958.31</v>
      </c>
      <c r="L1828" s="4" t="inlineStr">
        <is>
          <t>INR</t>
        </is>
      </c>
      <c r="M1828" s="15" t="n">
        <v>-43958.31</v>
      </c>
      <c r="N1828" s="4" t="inlineStr">
        <is>
          <t>IOS Owner</t>
        </is>
      </c>
      <c r="O1828" s="4" t="n"/>
      <c r="P1828" s="4" t="n"/>
      <c r="Q1828" s="4" t="inlineStr">
        <is>
          <t>MAESTRO-IOS-BUSINESS-BUSINESS_OPERATIONS-1827 | Tax | 43958.31</t>
        </is>
      </c>
      <c r="R1828" s="4" t="inlineStr">
        <is>
          <t>iPhone</t>
        </is>
      </c>
      <c r="S1828" s="4" t="inlineStr">
        <is>
          <t>B37</t>
        </is>
      </c>
      <c r="T1828" s="4" t="inlineStr">
        <is>
          <t>RAMP_1501_2500</t>
        </is>
      </c>
      <c r="U1828" s="4" t="inlineStr">
        <is>
          <t>CREATED</t>
        </is>
      </c>
      <c r="V1828" s="4" t="inlineStr">
        <is>
          <t>idem-20260902-ios-1827</t>
        </is>
      </c>
    </row>
    <row r="1829" ht="30" customHeight="1">
      <c r="A1829" s="4" t="n">
        <v>1828</v>
      </c>
      <c r="B1829" s="4" t="inlineStr">
        <is>
          <t>MTR-IOS-1828</t>
        </is>
      </c>
      <c r="C1829" s="4" t="inlineStr">
        <is>
          <t>Personal</t>
        </is>
      </c>
      <c r="D1829" s="4" t="inlineStr">
        <is>
          <t>Personal</t>
        </is>
      </c>
      <c r="E1829" s="4" t="inlineStr">
        <is>
          <t>Future Building</t>
        </is>
      </c>
      <c r="F1829" s="4" t="inlineStr">
        <is>
          <t>Goal Contribution</t>
        </is>
      </c>
      <c r="G1829" s="4" t="inlineStr">
        <is>
          <t>Transfer</t>
        </is>
      </c>
      <c r="H1829" s="12" t="n">
        <v>46104</v>
      </c>
      <c r="I1829" s="13" t="n">
        <v>0.3920949074074074</v>
      </c>
      <c r="J1829" s="14" t="n">
        <v>46104.39209490741</v>
      </c>
      <c r="K1829" s="15" t="n">
        <v>6973.06</v>
      </c>
      <c r="L1829" s="4" t="inlineStr">
        <is>
          <t>INR</t>
        </is>
      </c>
      <c r="M1829" s="15" t="n">
        <v>0</v>
      </c>
      <c r="N1829" s="4" t="inlineStr">
        <is>
          <t>IOS Owner</t>
        </is>
      </c>
      <c r="O1829" s="4" t="n"/>
      <c r="P1829" s="4" t="n"/>
      <c r="Q1829" s="4" t="inlineStr">
        <is>
          <t>MAESTRO-IOS-PERSONAL-FUTURE_BUILDING-1828 | Goal Contribution | 6973.06</t>
        </is>
      </c>
      <c r="R1829" s="4" t="inlineStr">
        <is>
          <t>iPhone</t>
        </is>
      </c>
      <c r="S1829" s="4" t="inlineStr">
        <is>
          <t>B37</t>
        </is>
      </c>
      <c r="T1829" s="4" t="inlineStr">
        <is>
          <t>RAMP_1501_2500</t>
        </is>
      </c>
      <c r="U1829" s="4" t="inlineStr">
        <is>
          <t>CREATED</t>
        </is>
      </c>
      <c r="V1829" s="4" t="inlineStr">
        <is>
          <t>idem-20260902-ios-1828</t>
        </is>
      </c>
    </row>
    <row r="1830" ht="30" customHeight="1">
      <c r="A1830" s="4" t="n">
        <v>1829</v>
      </c>
      <c r="B1830" s="4" t="inlineStr">
        <is>
          <t>MTR-IOS-1829</t>
        </is>
      </c>
      <c r="C1830" s="4" t="inlineStr">
        <is>
          <t>Group</t>
        </is>
      </c>
      <c r="D1830" s="4" t="inlineStr">
        <is>
          <t>Shared Purchase</t>
        </is>
      </c>
      <c r="E1830" s="4" t="inlineStr">
        <is>
          <t>Purchase</t>
        </is>
      </c>
      <c r="F1830" s="4" t="inlineStr">
        <is>
          <t>Shipping</t>
        </is>
      </c>
      <c r="G1830" s="4" t="inlineStr">
        <is>
          <t>Expense</t>
        </is>
      </c>
      <c r="H1830" s="12" t="n">
        <v>46171</v>
      </c>
      <c r="I1830" s="13" t="n">
        <v>0.7053125</v>
      </c>
      <c r="J1830" s="14" t="n">
        <v>46171.7053125</v>
      </c>
      <c r="K1830" s="15" t="n">
        <v>21427.39</v>
      </c>
      <c r="L1830" s="4" t="inlineStr">
        <is>
          <t>INR</t>
        </is>
      </c>
      <c r="M1830" s="15" t="n">
        <v>-21427.39</v>
      </c>
      <c r="N1830" s="4" t="inlineStr">
        <is>
          <t>IOS Owner</t>
        </is>
      </c>
      <c r="O1830" s="4" t="n">
        <v>3</v>
      </c>
      <c r="P1830" s="4" t="inlineStr">
        <is>
          <t>PERCENTAGE</t>
        </is>
      </c>
      <c r="Q1830" s="4" t="inlineStr">
        <is>
          <t>MAESTRO-IOS-GROUP-PURCHASE-1829 | Shipping | 21427.39</t>
        </is>
      </c>
      <c r="R1830" s="4" t="inlineStr">
        <is>
          <t>iPhone</t>
        </is>
      </c>
      <c r="S1830" s="4" t="inlineStr">
        <is>
          <t>B37</t>
        </is>
      </c>
      <c r="T1830" s="4" t="inlineStr">
        <is>
          <t>RAMP_1501_2500</t>
        </is>
      </c>
      <c r="U1830" s="4" t="inlineStr">
        <is>
          <t>CREATED</t>
        </is>
      </c>
      <c r="V1830" s="4" t="inlineStr">
        <is>
          <t>idem-20260902-ios-1829</t>
        </is>
      </c>
    </row>
    <row r="1831" ht="30" customHeight="1">
      <c r="A1831" s="4" t="n">
        <v>1830</v>
      </c>
      <c r="B1831" s="4" t="inlineStr">
        <is>
          <t>MTR-IOS-1830</t>
        </is>
      </c>
      <c r="C1831" s="4" t="inlineStr">
        <is>
          <t>Business</t>
        </is>
      </c>
      <c r="D1831" s="4" t="inlineStr">
        <is>
          <t>Business</t>
        </is>
      </c>
      <c r="E1831" s="4" t="inlineStr">
        <is>
          <t>Team Operations</t>
        </is>
      </c>
      <c r="F1831" s="4" t="inlineStr">
        <is>
          <t>Payroll</t>
        </is>
      </c>
      <c r="G1831" s="4" t="inlineStr">
        <is>
          <t>Expense</t>
        </is>
      </c>
      <c r="H1831" s="12" t="n">
        <v>46081</v>
      </c>
      <c r="I1831" s="13" t="n">
        <v>0.55375</v>
      </c>
      <c r="J1831" s="14" t="n">
        <v>46081.55375</v>
      </c>
      <c r="K1831" s="15" t="n">
        <v>67869.85000000001</v>
      </c>
      <c r="L1831" s="4" t="inlineStr">
        <is>
          <t>INR</t>
        </is>
      </c>
      <c r="M1831" s="15" t="n">
        <v>-67869.85000000001</v>
      </c>
      <c r="N1831" s="4" t="inlineStr">
        <is>
          <t>IOS Owner</t>
        </is>
      </c>
      <c r="O1831" s="4" t="n"/>
      <c r="P1831" s="4" t="n"/>
      <c r="Q1831" s="4" t="inlineStr">
        <is>
          <t>MAESTRO-IOS-BUSINESS-TEAM_OPERATIONS-1830 | Payroll | 67869.85</t>
        </is>
      </c>
      <c r="R1831" s="4" t="inlineStr">
        <is>
          <t>iPhone</t>
        </is>
      </c>
      <c r="S1831" s="4" t="inlineStr">
        <is>
          <t>B37</t>
        </is>
      </c>
      <c r="T1831" s="4" t="inlineStr">
        <is>
          <t>RAMP_1501_2500</t>
        </is>
      </c>
      <c r="U1831" s="4" t="inlineStr">
        <is>
          <t>CREATED</t>
        </is>
      </c>
      <c r="V1831" s="4" t="inlineStr">
        <is>
          <t>idem-20260902-ios-1830</t>
        </is>
      </c>
    </row>
    <row r="1832" ht="30" customHeight="1">
      <c r="A1832" s="4" t="n">
        <v>1831</v>
      </c>
      <c r="B1832" s="4" t="inlineStr">
        <is>
          <t>MTR-IOS-1831</t>
        </is>
      </c>
      <c r="C1832" s="4" t="inlineStr">
        <is>
          <t>Personal</t>
        </is>
      </c>
      <c r="D1832" s="4" t="inlineStr">
        <is>
          <t>Personal</t>
        </is>
      </c>
      <c r="E1832" s="4" t="inlineStr">
        <is>
          <t>Lifestyle</t>
        </is>
      </c>
      <c r="F1832" s="4" t="inlineStr">
        <is>
          <t>Dining</t>
        </is>
      </c>
      <c r="G1832" s="4" t="inlineStr">
        <is>
          <t>Expense</t>
        </is>
      </c>
      <c r="H1832" s="12" t="n">
        <v>45953</v>
      </c>
      <c r="I1832" s="13" t="n">
        <v>0.3413541666666667</v>
      </c>
      <c r="J1832" s="14" t="n">
        <v>45953.34135416667</v>
      </c>
      <c r="K1832" s="15" t="n">
        <v>1172.47</v>
      </c>
      <c r="L1832" s="4" t="inlineStr">
        <is>
          <t>INR</t>
        </is>
      </c>
      <c r="M1832" s="15" t="n">
        <v>-1172.47</v>
      </c>
      <c r="N1832" s="4" t="inlineStr">
        <is>
          <t>IOS Owner</t>
        </is>
      </c>
      <c r="O1832" s="4" t="n"/>
      <c r="P1832" s="4" t="n"/>
      <c r="Q1832" s="4" t="inlineStr">
        <is>
          <t>MAESTRO-IOS-PERSONAL-LIFESTYLE-1831 | Dining | 1172.47</t>
        </is>
      </c>
      <c r="R1832" s="4" t="inlineStr">
        <is>
          <t>iPhone</t>
        </is>
      </c>
      <c r="S1832" s="4" t="inlineStr">
        <is>
          <t>B37</t>
        </is>
      </c>
      <c r="T1832" s="4" t="inlineStr">
        <is>
          <t>RAMP_1501_2500</t>
        </is>
      </c>
      <c r="U1832" s="4" t="inlineStr">
        <is>
          <t>CREATED</t>
        </is>
      </c>
      <c r="V1832" s="4" t="inlineStr">
        <is>
          <t>idem-20260902-ios-1831</t>
        </is>
      </c>
    </row>
    <row r="1833" ht="30" customHeight="1">
      <c r="A1833" s="4" t="n">
        <v>1832</v>
      </c>
      <c r="B1833" s="4" t="inlineStr">
        <is>
          <t>MTR-IOS-1832</t>
        </is>
      </c>
      <c r="C1833" s="4" t="inlineStr">
        <is>
          <t>Group</t>
        </is>
      </c>
      <c r="D1833" s="4" t="inlineStr">
        <is>
          <t>Shared Purchase</t>
        </is>
      </c>
      <c r="E1833" s="4" t="inlineStr">
        <is>
          <t>Purchase</t>
        </is>
      </c>
      <c r="F1833" s="4" t="inlineStr">
        <is>
          <t>Tax</t>
        </is>
      </c>
      <c r="G1833" s="4" t="inlineStr">
        <is>
          <t>Expense</t>
        </is>
      </c>
      <c r="H1833" s="12" t="n">
        <v>46005</v>
      </c>
      <c r="I1833" s="13" t="n">
        <v>0.4746643518518519</v>
      </c>
      <c r="J1833" s="14" t="n">
        <v>46005.47466435185</v>
      </c>
      <c r="K1833" s="15" t="n">
        <v>10197.64</v>
      </c>
      <c r="L1833" s="4" t="inlineStr">
        <is>
          <t>INR</t>
        </is>
      </c>
      <c r="M1833" s="15" t="n">
        <v>-10197.64</v>
      </c>
      <c r="N1833" s="4" t="inlineStr">
        <is>
          <t>IOS Aarav</t>
        </is>
      </c>
      <c r="O1833" s="4" t="n">
        <v>3</v>
      </c>
      <c r="P1833" s="4" t="inlineStr">
        <is>
          <t>EXACT</t>
        </is>
      </c>
      <c r="Q1833" s="4" t="inlineStr">
        <is>
          <t>MAESTRO-IOS-GROUP-PURCHASE-1832 | Tax | 10197.64</t>
        </is>
      </c>
      <c r="R1833" s="4" t="inlineStr">
        <is>
          <t>iPhone</t>
        </is>
      </c>
      <c r="S1833" s="4" t="inlineStr">
        <is>
          <t>B37</t>
        </is>
      </c>
      <c r="T1833" s="4" t="inlineStr">
        <is>
          <t>RAMP_1501_2500</t>
        </is>
      </c>
      <c r="U1833" s="4" t="inlineStr">
        <is>
          <t>CREATED</t>
        </is>
      </c>
      <c r="V1833" s="4" t="inlineStr">
        <is>
          <t>idem-20260902-ios-1832</t>
        </is>
      </c>
    </row>
    <row r="1834" ht="30" customHeight="1">
      <c r="A1834" s="4" t="n">
        <v>1833</v>
      </c>
      <c r="B1834" s="4" t="inlineStr">
        <is>
          <t>MTR-IOS-1833</t>
        </is>
      </c>
      <c r="C1834" s="4" t="inlineStr">
        <is>
          <t>Business</t>
        </is>
      </c>
      <c r="D1834" s="4" t="inlineStr">
        <is>
          <t>Business</t>
        </is>
      </c>
      <c r="E1834" s="4" t="inlineStr">
        <is>
          <t>Team Operations</t>
        </is>
      </c>
      <c r="F1834" s="4" t="inlineStr">
        <is>
          <t>Contractor</t>
        </is>
      </c>
      <c r="G1834" s="4" t="inlineStr">
        <is>
          <t>Expense</t>
        </is>
      </c>
      <c r="H1834" s="12" t="n">
        <v>45977</v>
      </c>
      <c r="I1834" s="13" t="n">
        <v>0.5957407407407408</v>
      </c>
      <c r="J1834" s="14" t="n">
        <v>45977.59574074074</v>
      </c>
      <c r="K1834" s="15" t="n">
        <v>4473.32</v>
      </c>
      <c r="L1834" s="4" t="inlineStr">
        <is>
          <t>INR</t>
        </is>
      </c>
      <c r="M1834" s="15" t="n">
        <v>-4473.32</v>
      </c>
      <c r="N1834" s="4" t="inlineStr">
        <is>
          <t>IOS Owner</t>
        </is>
      </c>
      <c r="O1834" s="4" t="n"/>
      <c r="P1834" s="4" t="n"/>
      <c r="Q1834" s="4" t="inlineStr">
        <is>
          <t>MAESTRO-IOS-BUSINESS-TEAM_OPERATIONS-1833 | Contractor | 4473.32</t>
        </is>
      </c>
      <c r="R1834" s="4" t="inlineStr">
        <is>
          <t>iPhone</t>
        </is>
      </c>
      <c r="S1834" s="4" t="inlineStr">
        <is>
          <t>B37</t>
        </is>
      </c>
      <c r="T1834" s="4" t="inlineStr">
        <is>
          <t>RAMP_1501_2500</t>
        </is>
      </c>
      <c r="U1834" s="4" t="inlineStr">
        <is>
          <t>CREATED</t>
        </is>
      </c>
      <c r="V1834" s="4" t="inlineStr">
        <is>
          <t>idem-20260902-ios-1833</t>
        </is>
      </c>
    </row>
    <row r="1835" ht="30" customHeight="1">
      <c r="A1835" s="4" t="n">
        <v>1834</v>
      </c>
      <c r="B1835" s="4" t="inlineStr">
        <is>
          <t>MTR-IOS-1834</t>
        </is>
      </c>
      <c r="C1835" s="4" t="inlineStr">
        <is>
          <t>Personal</t>
        </is>
      </c>
      <c r="D1835" s="4" t="inlineStr">
        <is>
          <t>Personal</t>
        </is>
      </c>
      <c r="E1835" s="4" t="inlineStr">
        <is>
          <t>Lifestyle</t>
        </is>
      </c>
      <c r="F1835" s="4" t="inlineStr">
        <is>
          <t>Shopping</t>
        </is>
      </c>
      <c r="G1835" s="4" t="inlineStr">
        <is>
          <t>Expense</t>
        </is>
      </c>
      <c r="H1835" s="12" t="n">
        <v>46022</v>
      </c>
      <c r="I1835" s="13" t="n">
        <v>0.1246759259259259</v>
      </c>
      <c r="J1835" s="14" t="n">
        <v>46022.12467592592</v>
      </c>
      <c r="K1835" s="15" t="n">
        <v>12921.43</v>
      </c>
      <c r="L1835" s="4" t="inlineStr">
        <is>
          <t>INR</t>
        </is>
      </c>
      <c r="M1835" s="15" t="n">
        <v>-12921.43</v>
      </c>
      <c r="N1835" s="4" t="inlineStr">
        <is>
          <t>IOS Owner</t>
        </is>
      </c>
      <c r="O1835" s="4" t="n"/>
      <c r="P1835" s="4" t="n"/>
      <c r="Q1835" s="4" t="inlineStr">
        <is>
          <t>MAESTRO-IOS-PERSONAL-LIFESTYLE-1834 | Shopping | 12921.43</t>
        </is>
      </c>
      <c r="R1835" s="4" t="inlineStr">
        <is>
          <t>iPhone</t>
        </is>
      </c>
      <c r="S1835" s="4" t="inlineStr">
        <is>
          <t>B37</t>
        </is>
      </c>
      <c r="T1835" s="4" t="inlineStr">
        <is>
          <t>RAMP_1501_2500</t>
        </is>
      </c>
      <c r="U1835" s="4" t="inlineStr">
        <is>
          <t>CREATED</t>
        </is>
      </c>
      <c r="V1835" s="4" t="inlineStr">
        <is>
          <t>idem-20260902-ios-1834</t>
        </is>
      </c>
    </row>
    <row r="1836" ht="30" customHeight="1">
      <c r="A1836" s="4" t="n">
        <v>1835</v>
      </c>
      <c r="B1836" s="4" t="inlineStr">
        <is>
          <t>MTR-IOS-1835</t>
        </is>
      </c>
      <c r="C1836" s="4" t="inlineStr">
        <is>
          <t>Group</t>
        </is>
      </c>
      <c r="D1836" s="4" t="inlineStr">
        <is>
          <t>Shared Purchase</t>
        </is>
      </c>
      <c r="E1836" s="4" t="inlineStr">
        <is>
          <t>Purchase</t>
        </is>
      </c>
      <c r="F1836" s="4" t="inlineStr">
        <is>
          <t>Other</t>
        </is>
      </c>
      <c r="G1836" s="4" t="inlineStr">
        <is>
          <t>Expense</t>
        </is>
      </c>
      <c r="H1836" s="12" t="n">
        <v>45960</v>
      </c>
      <c r="I1836" s="13" t="n">
        <v>0.9919791666666666</v>
      </c>
      <c r="J1836" s="14" t="n">
        <v>45960.99197916667</v>
      </c>
      <c r="K1836" s="15" t="n">
        <v>10535.16</v>
      </c>
      <c r="L1836" s="4" t="inlineStr">
        <is>
          <t>INR</t>
        </is>
      </c>
      <c r="M1836" s="15" t="n">
        <v>-10535.16</v>
      </c>
      <c r="N1836" s="4" t="inlineStr">
        <is>
          <t>IOS Meera</t>
        </is>
      </c>
      <c r="O1836" s="4" t="n">
        <v>3</v>
      </c>
      <c r="P1836" s="4" t="inlineStr">
        <is>
          <t>SHARES</t>
        </is>
      </c>
      <c r="Q1836" s="4" t="inlineStr">
        <is>
          <t>MAESTRO-IOS-GROUP-PURCHASE-1835 | Other | 10535.16</t>
        </is>
      </c>
      <c r="R1836" s="4" t="inlineStr">
        <is>
          <t>iPhone</t>
        </is>
      </c>
      <c r="S1836" s="4" t="inlineStr">
        <is>
          <t>B37</t>
        </is>
      </c>
      <c r="T1836" s="4" t="inlineStr">
        <is>
          <t>RAMP_1501_2500</t>
        </is>
      </c>
      <c r="U1836" s="4" t="inlineStr">
        <is>
          <t>CREATED</t>
        </is>
      </c>
      <c r="V1836" s="4" t="inlineStr">
        <is>
          <t>idem-20260902-ios-1835</t>
        </is>
      </c>
    </row>
    <row r="1837" ht="30" customHeight="1">
      <c r="A1837" s="4" t="n">
        <v>1836</v>
      </c>
      <c r="B1837" s="4" t="inlineStr">
        <is>
          <t>MTR-IOS-1836</t>
        </is>
      </c>
      <c r="C1837" s="4" t="inlineStr">
        <is>
          <t>Business</t>
        </is>
      </c>
      <c r="D1837" s="4" t="inlineStr">
        <is>
          <t>Business</t>
        </is>
      </c>
      <c r="E1837" s="4" t="inlineStr">
        <is>
          <t>Team Operations</t>
        </is>
      </c>
      <c r="F1837" s="4" t="inlineStr">
        <is>
          <t>Hiring</t>
        </is>
      </c>
      <c r="G1837" s="4" t="inlineStr">
        <is>
          <t>Expense</t>
        </is>
      </c>
      <c r="H1837" s="12" t="n">
        <v>46029</v>
      </c>
      <c r="I1837" s="13" t="n">
        <v>0.4675462962962963</v>
      </c>
      <c r="J1837" s="14" t="n">
        <v>46029.4675462963</v>
      </c>
      <c r="K1837" s="15" t="n">
        <v>58801.82</v>
      </c>
      <c r="L1837" s="4" t="inlineStr">
        <is>
          <t>INR</t>
        </is>
      </c>
      <c r="M1837" s="15" t="n">
        <v>-58801.82</v>
      </c>
      <c r="N1837" s="4" t="inlineStr">
        <is>
          <t>IOS Owner</t>
        </is>
      </c>
      <c r="O1837" s="4" t="n"/>
      <c r="P1837" s="4" t="n"/>
      <c r="Q1837" s="4" t="inlineStr">
        <is>
          <t>MAESTRO-IOS-BUSINESS-TEAM_OPERATIONS-1836 | Hiring | 58801.82</t>
        </is>
      </c>
      <c r="R1837" s="4" t="inlineStr">
        <is>
          <t>iPhone</t>
        </is>
      </c>
      <c r="S1837" s="4" t="inlineStr">
        <is>
          <t>B37</t>
        </is>
      </c>
      <c r="T1837" s="4" t="inlineStr">
        <is>
          <t>RAMP_1501_2500</t>
        </is>
      </c>
      <c r="U1837" s="4" t="inlineStr">
        <is>
          <t>CREATED</t>
        </is>
      </c>
      <c r="V1837" s="4" t="inlineStr">
        <is>
          <t>idem-20260902-ios-1836</t>
        </is>
      </c>
    </row>
    <row r="1838" ht="30" customHeight="1">
      <c r="A1838" s="4" t="n">
        <v>1837</v>
      </c>
      <c r="B1838" s="4" t="inlineStr">
        <is>
          <t>MTR-IOS-1837</t>
        </is>
      </c>
      <c r="C1838" s="4" t="inlineStr">
        <is>
          <t>Personal</t>
        </is>
      </c>
      <c r="D1838" s="4" t="inlineStr">
        <is>
          <t>Personal</t>
        </is>
      </c>
      <c r="E1838" s="4" t="inlineStr">
        <is>
          <t>Lifestyle</t>
        </is>
      </c>
      <c r="F1838" s="4" t="inlineStr">
        <is>
          <t>Entertainment</t>
        </is>
      </c>
      <c r="G1838" s="4" t="inlineStr">
        <is>
          <t>Expense</t>
        </is>
      </c>
      <c r="H1838" s="12" t="n">
        <v>46189</v>
      </c>
      <c r="I1838" s="13" t="n">
        <v>0.1624768518518518</v>
      </c>
      <c r="J1838" s="14" t="n">
        <v>46189.16247685185</v>
      </c>
      <c r="K1838" s="15" t="n">
        <v>15319.31</v>
      </c>
      <c r="L1838" s="4" t="inlineStr">
        <is>
          <t>INR</t>
        </is>
      </c>
      <c r="M1838" s="15" t="n">
        <v>-15319.31</v>
      </c>
      <c r="N1838" s="4" t="inlineStr">
        <is>
          <t>IOS Owner</t>
        </is>
      </c>
      <c r="O1838" s="4" t="n"/>
      <c r="P1838" s="4" t="n"/>
      <c r="Q1838" s="4" t="inlineStr">
        <is>
          <t>MAESTRO-IOS-PERSONAL-LIFESTYLE-1837 | Entertainment | 15319.31</t>
        </is>
      </c>
      <c r="R1838" s="4" t="inlineStr">
        <is>
          <t>iPhone</t>
        </is>
      </c>
      <c r="S1838" s="4" t="inlineStr">
        <is>
          <t>B37</t>
        </is>
      </c>
      <c r="T1838" s="4" t="inlineStr">
        <is>
          <t>RAMP_1501_2500</t>
        </is>
      </c>
      <c r="U1838" s="4" t="inlineStr">
        <is>
          <t>CREATED</t>
        </is>
      </c>
      <c r="V1838" s="4" t="inlineStr">
        <is>
          <t>idem-20260902-ios-1837</t>
        </is>
      </c>
    </row>
    <row r="1839" ht="30" customHeight="1">
      <c r="A1839" s="4" t="n">
        <v>1838</v>
      </c>
      <c r="B1839" s="4" t="inlineStr">
        <is>
          <t>MTR-IOS-1838</t>
        </is>
      </c>
      <c r="C1839" s="4" t="inlineStr">
        <is>
          <t>Group</t>
        </is>
      </c>
      <c r="D1839" s="4" t="inlineStr">
        <is>
          <t>Shared Purchase</t>
        </is>
      </c>
      <c r="E1839" s="4" t="inlineStr">
        <is>
          <t>Assets</t>
        </is>
      </c>
      <c r="F1839" s="4" t="inlineStr">
        <is>
          <t>Purchase</t>
        </is>
      </c>
      <c r="G1839" s="4" t="inlineStr">
        <is>
          <t>Expense</t>
        </is>
      </c>
      <c r="H1839" s="12" t="n">
        <v>45976</v>
      </c>
      <c r="I1839" s="13" t="n">
        <v>0.1666435185185185</v>
      </c>
      <c r="J1839" s="14" t="n">
        <v>45976.16664351852</v>
      </c>
      <c r="K1839" s="15" t="n">
        <v>16870.07</v>
      </c>
      <c r="L1839" s="4" t="inlineStr">
        <is>
          <t>INR</t>
        </is>
      </c>
      <c r="M1839" s="15" t="n">
        <v>-16870.07</v>
      </c>
      <c r="N1839" s="4" t="inlineStr">
        <is>
          <t>IOS Owner</t>
        </is>
      </c>
      <c r="O1839" s="4" t="n">
        <v>3</v>
      </c>
      <c r="P1839" s="4" t="inlineStr">
        <is>
          <t>EQUAL</t>
        </is>
      </c>
      <c r="Q1839" s="4" t="inlineStr">
        <is>
          <t>MAESTRO-IOS-GROUP-ASSETS-1838 | Purchase | 16870.07</t>
        </is>
      </c>
      <c r="R1839" s="4" t="inlineStr">
        <is>
          <t>iPhone</t>
        </is>
      </c>
      <c r="S1839" s="4" t="inlineStr">
        <is>
          <t>B37</t>
        </is>
      </c>
      <c r="T1839" s="4" t="inlineStr">
        <is>
          <t>RAMP_1501_2500</t>
        </is>
      </c>
      <c r="U1839" s="4" t="inlineStr">
        <is>
          <t>CREATED</t>
        </is>
      </c>
      <c r="V1839" s="4" t="inlineStr">
        <is>
          <t>idem-20260902-ios-1838</t>
        </is>
      </c>
    </row>
    <row r="1840" ht="30" customHeight="1">
      <c r="A1840" s="4" t="n">
        <v>1839</v>
      </c>
      <c r="B1840" s="4" t="inlineStr">
        <is>
          <t>MTR-IOS-1839</t>
        </is>
      </c>
      <c r="C1840" s="4" t="inlineStr">
        <is>
          <t>Business</t>
        </is>
      </c>
      <c r="D1840" s="4" t="inlineStr">
        <is>
          <t>Business</t>
        </is>
      </c>
      <c r="E1840" s="4" t="inlineStr">
        <is>
          <t>Team Operations</t>
        </is>
      </c>
      <c r="F1840" s="4" t="inlineStr">
        <is>
          <t>Team Meal</t>
        </is>
      </c>
      <c r="G1840" s="4" t="inlineStr">
        <is>
          <t>Expense</t>
        </is>
      </c>
      <c r="H1840" s="12" t="n">
        <v>46208</v>
      </c>
      <c r="I1840" s="13" t="n">
        <v>0.7548263888888889</v>
      </c>
      <c r="J1840" s="14" t="n">
        <v>46208.75482638889</v>
      </c>
      <c r="K1840" s="15" t="n">
        <v>131892.04</v>
      </c>
      <c r="L1840" s="4" t="inlineStr">
        <is>
          <t>INR</t>
        </is>
      </c>
      <c r="M1840" s="15" t="n">
        <v>-131892.04</v>
      </c>
      <c r="N1840" s="4" t="inlineStr">
        <is>
          <t>IOS Owner</t>
        </is>
      </c>
      <c r="O1840" s="4" t="n"/>
      <c r="P1840" s="4" t="n"/>
      <c r="Q1840" s="4" t="inlineStr">
        <is>
          <t>MAESTRO-IOS-BUSINESS-TEAM_OPERATIONS-1839 | Team Meal | 131892.04</t>
        </is>
      </c>
      <c r="R1840" s="4" t="inlineStr">
        <is>
          <t>iPhone</t>
        </is>
      </c>
      <c r="S1840" s="4" t="inlineStr">
        <is>
          <t>B37</t>
        </is>
      </c>
      <c r="T1840" s="4" t="inlineStr">
        <is>
          <t>RAMP_1501_2500</t>
        </is>
      </c>
      <c r="U1840" s="4" t="inlineStr">
        <is>
          <t>CREATED</t>
        </is>
      </c>
      <c r="V1840" s="4" t="inlineStr">
        <is>
          <t>idem-20260902-ios-1839</t>
        </is>
      </c>
    </row>
    <row r="1841" ht="30" customHeight="1">
      <c r="A1841" s="4" t="n">
        <v>1840</v>
      </c>
      <c r="B1841" s="4" t="inlineStr">
        <is>
          <t>MTR-IOS-1840</t>
        </is>
      </c>
      <c r="C1841" s="4" t="inlineStr">
        <is>
          <t>Personal</t>
        </is>
      </c>
      <c r="D1841" s="4" t="inlineStr">
        <is>
          <t>Personal</t>
        </is>
      </c>
      <c r="E1841" s="4" t="inlineStr">
        <is>
          <t>Lifestyle</t>
        </is>
      </c>
      <c r="F1841" s="4" t="inlineStr">
        <is>
          <t>Travel</t>
        </is>
      </c>
      <c r="G1841" s="4" t="inlineStr">
        <is>
          <t>Expense</t>
        </is>
      </c>
      <c r="H1841" s="12" t="n">
        <v>46134</v>
      </c>
      <c r="I1841" s="13" t="n">
        <v>0.9076157407407407</v>
      </c>
      <c r="J1841" s="14" t="n">
        <v>46134.90761574074</v>
      </c>
      <c r="K1841" s="15" t="n">
        <v>4807.24</v>
      </c>
      <c r="L1841" s="4" t="inlineStr">
        <is>
          <t>INR</t>
        </is>
      </c>
      <c r="M1841" s="15" t="n">
        <v>-4807.24</v>
      </c>
      <c r="N1841" s="4" t="inlineStr">
        <is>
          <t>IOS Owner</t>
        </is>
      </c>
      <c r="O1841" s="4" t="n"/>
      <c r="P1841" s="4" t="n"/>
      <c r="Q1841" s="4" t="inlineStr">
        <is>
          <t>MAESTRO-IOS-PERSONAL-LIFESTYLE-1840 | Travel | 4807.24</t>
        </is>
      </c>
      <c r="R1841" s="4" t="inlineStr">
        <is>
          <t>iPhone</t>
        </is>
      </c>
      <c r="S1841" s="4" t="inlineStr">
        <is>
          <t>B37</t>
        </is>
      </c>
      <c r="T1841" s="4" t="inlineStr">
        <is>
          <t>RAMP_1501_2500</t>
        </is>
      </c>
      <c r="U1841" s="4" t="inlineStr">
        <is>
          <t>CREATED</t>
        </is>
      </c>
      <c r="V1841" s="4" t="inlineStr">
        <is>
          <t>idem-20260902-ios-1840</t>
        </is>
      </c>
    </row>
    <row r="1842" ht="30" customHeight="1">
      <c r="A1842" s="4" t="n">
        <v>1841</v>
      </c>
      <c r="B1842" s="4" t="inlineStr">
        <is>
          <t>MTR-IOS-1841</t>
        </is>
      </c>
      <c r="C1842" s="4" t="inlineStr">
        <is>
          <t>Group</t>
        </is>
      </c>
      <c r="D1842" s="4" t="inlineStr">
        <is>
          <t>Shared Purchase</t>
        </is>
      </c>
      <c r="E1842" s="4" t="inlineStr">
        <is>
          <t>Assets</t>
        </is>
      </c>
      <c r="F1842" s="4" t="inlineStr">
        <is>
          <t>Maintenance</t>
        </is>
      </c>
      <c r="G1842" s="4" t="inlineStr">
        <is>
          <t>Expense</t>
        </is>
      </c>
      <c r="H1842" s="12" t="n">
        <v>46257</v>
      </c>
      <c r="I1842" s="13" t="n">
        <v>0.4233796296296296</v>
      </c>
      <c r="J1842" s="14" t="n">
        <v>46257.42337962963</v>
      </c>
      <c r="K1842" s="15" t="n">
        <v>23990.53</v>
      </c>
      <c r="L1842" s="4" t="inlineStr">
        <is>
          <t>INR</t>
        </is>
      </c>
      <c r="M1842" s="15" t="n">
        <v>-23990.53</v>
      </c>
      <c r="N1842" s="4" t="inlineStr">
        <is>
          <t>IOS Aarav</t>
        </is>
      </c>
      <c r="O1842" s="4" t="n">
        <v>3</v>
      </c>
      <c r="P1842" s="4" t="inlineStr">
        <is>
          <t>PERCENTAGE</t>
        </is>
      </c>
      <c r="Q1842" s="4" t="inlineStr">
        <is>
          <t>MAESTRO-IOS-GROUP-ASSETS-1841 | Maintenance | 23990.53</t>
        </is>
      </c>
      <c r="R1842" s="4" t="inlineStr">
        <is>
          <t>iPhone</t>
        </is>
      </c>
      <c r="S1842" s="4" t="inlineStr">
        <is>
          <t>B37</t>
        </is>
      </c>
      <c r="T1842" s="4" t="inlineStr">
        <is>
          <t>RAMP_1501_2500</t>
        </is>
      </c>
      <c r="U1842" s="4" t="inlineStr">
        <is>
          <t>CREATED</t>
        </is>
      </c>
      <c r="V1842" s="4" t="inlineStr">
        <is>
          <t>idem-20260902-ios-1841</t>
        </is>
      </c>
    </row>
    <row r="1843" ht="30" customHeight="1">
      <c r="A1843" s="4" t="n">
        <v>1842</v>
      </c>
      <c r="B1843" s="4" t="inlineStr">
        <is>
          <t>MTR-IOS-1842</t>
        </is>
      </c>
      <c r="C1843" s="4" t="inlineStr">
        <is>
          <t>Business</t>
        </is>
      </c>
      <c r="D1843" s="4" t="inlineStr">
        <is>
          <t>Business</t>
        </is>
      </c>
      <c r="E1843" s="4" t="inlineStr">
        <is>
          <t>Team Operations</t>
        </is>
      </c>
      <c r="F1843" s="4" t="inlineStr">
        <is>
          <t>Travel</t>
        </is>
      </c>
      <c r="G1843" s="4" t="inlineStr">
        <is>
          <t>Expense</t>
        </is>
      </c>
      <c r="H1843" s="12" t="n">
        <v>45976</v>
      </c>
      <c r="I1843" s="13" t="n">
        <v>0.9712268518518519</v>
      </c>
      <c r="J1843" s="14" t="n">
        <v>45976.97122685185</v>
      </c>
      <c r="K1843" s="15" t="n">
        <v>90692.11</v>
      </c>
      <c r="L1843" s="4" t="inlineStr">
        <is>
          <t>INR</t>
        </is>
      </c>
      <c r="M1843" s="15" t="n">
        <v>-90692.11</v>
      </c>
      <c r="N1843" s="4" t="inlineStr">
        <is>
          <t>IOS Owner</t>
        </is>
      </c>
      <c r="O1843" s="4" t="n"/>
      <c r="P1843" s="4" t="n"/>
      <c r="Q1843" s="4" t="inlineStr">
        <is>
          <t>MAESTRO-IOS-BUSINESS-TEAM_OPERATIONS-1842 | Travel | 90692.11</t>
        </is>
      </c>
      <c r="R1843" s="4" t="inlineStr">
        <is>
          <t>iPhone</t>
        </is>
      </c>
      <c r="S1843" s="4" t="inlineStr">
        <is>
          <t>B37</t>
        </is>
      </c>
      <c r="T1843" s="4" t="inlineStr">
        <is>
          <t>RAMP_1501_2500</t>
        </is>
      </c>
      <c r="U1843" s="4" t="inlineStr">
        <is>
          <t>CREATED</t>
        </is>
      </c>
      <c r="V1843" s="4" t="inlineStr">
        <is>
          <t>idem-20260902-ios-1842</t>
        </is>
      </c>
    </row>
    <row r="1844" ht="30" customHeight="1">
      <c r="A1844" s="4" t="n">
        <v>1843</v>
      </c>
      <c r="B1844" s="4" t="inlineStr">
        <is>
          <t>MTR-IOS-1843</t>
        </is>
      </c>
      <c r="C1844" s="4" t="inlineStr">
        <is>
          <t>Personal</t>
        </is>
      </c>
      <c r="D1844" s="4" t="inlineStr">
        <is>
          <t>Personal</t>
        </is>
      </c>
      <c r="E1844" s="4" t="inlineStr">
        <is>
          <t>Lifestyle</t>
        </is>
      </c>
      <c r="F1844" s="4" t="inlineStr">
        <is>
          <t>Fitness</t>
        </is>
      </c>
      <c r="G1844" s="4" t="inlineStr">
        <is>
          <t>Expense</t>
        </is>
      </c>
      <c r="H1844" s="12" t="n">
        <v>46069</v>
      </c>
      <c r="I1844" s="13" t="n">
        <v>0.9932407407407408</v>
      </c>
      <c r="J1844" s="14" t="n">
        <v>46069.99324074074</v>
      </c>
      <c r="K1844" s="15" t="n">
        <v>14082.38</v>
      </c>
      <c r="L1844" s="4" t="inlineStr">
        <is>
          <t>INR</t>
        </is>
      </c>
      <c r="M1844" s="15" t="n">
        <v>-14082.38</v>
      </c>
      <c r="N1844" s="4" t="inlineStr">
        <is>
          <t>IOS Owner</t>
        </is>
      </c>
      <c r="O1844" s="4" t="n"/>
      <c r="P1844" s="4" t="n"/>
      <c r="Q1844" s="4" t="inlineStr">
        <is>
          <t>MAESTRO-IOS-PERSONAL-LIFESTYLE-1843 | Fitness | 14082.38</t>
        </is>
      </c>
      <c r="R1844" s="4" t="inlineStr">
        <is>
          <t>iPhone</t>
        </is>
      </c>
      <c r="S1844" s="4" t="inlineStr">
        <is>
          <t>B37</t>
        </is>
      </c>
      <c r="T1844" s="4" t="inlineStr">
        <is>
          <t>RAMP_1501_2500</t>
        </is>
      </c>
      <c r="U1844" s="4" t="inlineStr">
        <is>
          <t>CREATED</t>
        </is>
      </c>
      <c r="V1844" s="4" t="inlineStr">
        <is>
          <t>idem-20260902-ios-1843</t>
        </is>
      </c>
    </row>
    <row r="1845" ht="30" customHeight="1">
      <c r="A1845" s="4" t="n">
        <v>1844</v>
      </c>
      <c r="B1845" s="4" t="inlineStr">
        <is>
          <t>MTR-IOS-1844</t>
        </is>
      </c>
      <c r="C1845" s="4" t="inlineStr">
        <is>
          <t>Group</t>
        </is>
      </c>
      <c r="D1845" s="4" t="inlineStr">
        <is>
          <t>Shared Purchase</t>
        </is>
      </c>
      <c r="E1845" s="4" t="inlineStr">
        <is>
          <t>Assets</t>
        </is>
      </c>
      <c r="F1845" s="4" t="inlineStr">
        <is>
          <t>Repair</t>
        </is>
      </c>
      <c r="G1845" s="4" t="inlineStr">
        <is>
          <t>Expense</t>
        </is>
      </c>
      <c r="H1845" s="12" t="n">
        <v>46171</v>
      </c>
      <c r="I1845" s="13" t="n">
        <v>0.5131018518518519</v>
      </c>
      <c r="J1845" s="14" t="n">
        <v>46171.51310185185</v>
      </c>
      <c r="K1845" s="15" t="n">
        <v>13600.27</v>
      </c>
      <c r="L1845" s="4" t="inlineStr">
        <is>
          <t>INR</t>
        </is>
      </c>
      <c r="M1845" s="15" t="n">
        <v>-13600.27</v>
      </c>
      <c r="N1845" s="4" t="inlineStr">
        <is>
          <t>IOS Meera</t>
        </is>
      </c>
      <c r="O1845" s="4" t="n">
        <v>3</v>
      </c>
      <c r="P1845" s="4" t="inlineStr">
        <is>
          <t>EXACT</t>
        </is>
      </c>
      <c r="Q1845" s="4" t="inlineStr">
        <is>
          <t>MAESTRO-IOS-GROUP-ASSETS-1844 | Repair | 13600.27</t>
        </is>
      </c>
      <c r="R1845" s="4" t="inlineStr">
        <is>
          <t>iPhone</t>
        </is>
      </c>
      <c r="S1845" s="4" t="inlineStr">
        <is>
          <t>B37</t>
        </is>
      </c>
      <c r="T1845" s="4" t="inlineStr">
        <is>
          <t>RAMP_1501_2500</t>
        </is>
      </c>
      <c r="U1845" s="4" t="inlineStr">
        <is>
          <t>CREATED</t>
        </is>
      </c>
      <c r="V1845" s="4" t="inlineStr">
        <is>
          <t>idem-20260902-ios-1844</t>
        </is>
      </c>
    </row>
    <row r="1846" ht="30" customHeight="1">
      <c r="A1846" s="4" t="n">
        <v>1845</v>
      </c>
      <c r="B1846" s="4" t="inlineStr">
        <is>
          <t>MTR-IOS-1845</t>
        </is>
      </c>
      <c r="C1846" s="4" t="inlineStr">
        <is>
          <t>Business</t>
        </is>
      </c>
      <c r="D1846" s="4" t="inlineStr">
        <is>
          <t>Business</t>
        </is>
      </c>
      <c r="E1846" s="4" t="inlineStr">
        <is>
          <t>Team Operations</t>
        </is>
      </c>
      <c r="F1846" s="4" t="inlineStr">
        <is>
          <t>Training</t>
        </is>
      </c>
      <c r="G1846" s="4" t="inlineStr">
        <is>
          <t>Expense</t>
        </is>
      </c>
      <c r="H1846" s="12" t="n">
        <v>46032</v>
      </c>
      <c r="I1846" s="13" t="n">
        <v>0.5011458333333333</v>
      </c>
      <c r="J1846" s="14" t="n">
        <v>46032.50114583333</v>
      </c>
      <c r="K1846" s="15" t="n">
        <v>108937.9</v>
      </c>
      <c r="L1846" s="4" t="inlineStr">
        <is>
          <t>INR</t>
        </is>
      </c>
      <c r="M1846" s="15" t="n">
        <v>-108937.9</v>
      </c>
      <c r="N1846" s="4" t="inlineStr">
        <is>
          <t>IOS Owner</t>
        </is>
      </c>
      <c r="O1846" s="4" t="n"/>
      <c r="P1846" s="4" t="n"/>
      <c r="Q1846" s="4" t="inlineStr">
        <is>
          <t>MAESTRO-IOS-BUSINESS-TEAM_OPERATIONS-1845 | Training | 108937.90</t>
        </is>
      </c>
      <c r="R1846" s="4" t="inlineStr">
        <is>
          <t>iPhone</t>
        </is>
      </c>
      <c r="S1846" s="4" t="inlineStr">
        <is>
          <t>B37</t>
        </is>
      </c>
      <c r="T1846" s="4" t="inlineStr">
        <is>
          <t>RAMP_1501_2500</t>
        </is>
      </c>
      <c r="U1846" s="4" t="inlineStr">
        <is>
          <t>CREATED</t>
        </is>
      </c>
      <c r="V1846" s="4" t="inlineStr">
        <is>
          <t>idem-20260902-ios-1845</t>
        </is>
      </c>
    </row>
    <row r="1847" ht="30" customHeight="1">
      <c r="A1847" s="4" t="n">
        <v>1846</v>
      </c>
      <c r="B1847" s="4" t="inlineStr">
        <is>
          <t>MTR-IOS-1846</t>
        </is>
      </c>
      <c r="C1847" s="4" t="inlineStr">
        <is>
          <t>Personal</t>
        </is>
      </c>
      <c r="D1847" s="4" t="inlineStr">
        <is>
          <t>Personal</t>
        </is>
      </c>
      <c r="E1847" s="4" t="inlineStr">
        <is>
          <t>Lifestyle</t>
        </is>
      </c>
      <c r="F1847" s="4" t="inlineStr">
        <is>
          <t>Hobbies</t>
        </is>
      </c>
      <c r="G1847" s="4" t="inlineStr">
        <is>
          <t>Expense</t>
        </is>
      </c>
      <c r="H1847" s="12" t="n">
        <v>46103</v>
      </c>
      <c r="I1847" s="13" t="n">
        <v>0.8463657407407408</v>
      </c>
      <c r="J1847" s="14" t="n">
        <v>46103.84636574074</v>
      </c>
      <c r="K1847" s="15" t="n">
        <v>11717.33</v>
      </c>
      <c r="L1847" s="4" t="inlineStr">
        <is>
          <t>INR</t>
        </is>
      </c>
      <c r="M1847" s="15" t="n">
        <v>-11717.33</v>
      </c>
      <c r="N1847" s="4" t="inlineStr">
        <is>
          <t>IOS Owner</t>
        </is>
      </c>
      <c r="O1847" s="4" t="n"/>
      <c r="P1847" s="4" t="n"/>
      <c r="Q1847" s="4" t="inlineStr">
        <is>
          <t>MAESTRO-IOS-PERSONAL-LIFESTYLE-1846 | Hobbies | 11717.33</t>
        </is>
      </c>
      <c r="R1847" s="4" t="inlineStr">
        <is>
          <t>iPhone</t>
        </is>
      </c>
      <c r="S1847" s="4" t="inlineStr">
        <is>
          <t>B37</t>
        </is>
      </c>
      <c r="T1847" s="4" t="inlineStr">
        <is>
          <t>RAMP_1501_2500</t>
        </is>
      </c>
      <c r="U1847" s="4" t="inlineStr">
        <is>
          <t>CREATED</t>
        </is>
      </c>
      <c r="V1847" s="4" t="inlineStr">
        <is>
          <t>idem-20260902-ios-1846</t>
        </is>
      </c>
    </row>
    <row r="1848" ht="30" customHeight="1">
      <c r="A1848" s="4" t="n">
        <v>1847</v>
      </c>
      <c r="B1848" s="4" t="inlineStr">
        <is>
          <t>MTR-IOS-1847</t>
        </is>
      </c>
      <c r="C1848" s="4" t="inlineStr">
        <is>
          <t>Group</t>
        </is>
      </c>
      <c r="D1848" s="4" t="inlineStr">
        <is>
          <t>Shared Purchase</t>
        </is>
      </c>
      <c r="E1848" s="4" t="inlineStr">
        <is>
          <t>Assets</t>
        </is>
      </c>
      <c r="F1848" s="4" t="inlineStr">
        <is>
          <t>Insurance</t>
        </is>
      </c>
      <c r="G1848" s="4" t="inlineStr">
        <is>
          <t>Expense</t>
        </is>
      </c>
      <c r="H1848" s="12" t="n">
        <v>45997</v>
      </c>
      <c r="I1848" s="13" t="n">
        <v>0.6936921296296297</v>
      </c>
      <c r="J1848" s="14" t="n">
        <v>45997.69369212963</v>
      </c>
      <c r="K1848" s="15" t="n">
        <v>7518.8</v>
      </c>
      <c r="L1848" s="4" t="inlineStr">
        <is>
          <t>INR</t>
        </is>
      </c>
      <c r="M1848" s="15" t="n">
        <v>-7518.8</v>
      </c>
      <c r="N1848" s="4" t="inlineStr">
        <is>
          <t>IOS Owner</t>
        </is>
      </c>
      <c r="O1848" s="4" t="n">
        <v>3</v>
      </c>
      <c r="P1848" s="4" t="inlineStr">
        <is>
          <t>SHARES</t>
        </is>
      </c>
      <c r="Q1848" s="4" t="inlineStr">
        <is>
          <t>MAESTRO-IOS-GROUP-ASSETS-1847 | Insurance | 7518.80</t>
        </is>
      </c>
      <c r="R1848" s="4" t="inlineStr">
        <is>
          <t>iPhone</t>
        </is>
      </c>
      <c r="S1848" s="4" t="inlineStr">
        <is>
          <t>B37</t>
        </is>
      </c>
      <c r="T1848" s="4" t="inlineStr">
        <is>
          <t>RAMP_1501_2500</t>
        </is>
      </c>
      <c r="U1848" s="4" t="inlineStr">
        <is>
          <t>CREATED</t>
        </is>
      </c>
      <c r="V1848" s="4" t="inlineStr">
        <is>
          <t>idem-20260902-ios-1847</t>
        </is>
      </c>
    </row>
    <row r="1849" ht="30" customHeight="1">
      <c r="A1849" s="4" t="n">
        <v>1848</v>
      </c>
      <c r="B1849" s="4" t="inlineStr">
        <is>
          <t>MTR-IOS-1848</t>
        </is>
      </c>
      <c r="C1849" s="4" t="inlineStr">
        <is>
          <t>Business</t>
        </is>
      </c>
      <c r="D1849" s="4" t="inlineStr">
        <is>
          <t>Business</t>
        </is>
      </c>
      <c r="E1849" s="4" t="inlineStr">
        <is>
          <t>Team Operations</t>
        </is>
      </c>
      <c r="F1849" s="4" t="inlineStr">
        <is>
          <t>Tools</t>
        </is>
      </c>
      <c r="G1849" s="4" t="inlineStr">
        <is>
          <t>Expense</t>
        </is>
      </c>
      <c r="H1849" s="12" t="n">
        <v>45955</v>
      </c>
      <c r="I1849" s="13" t="n">
        <v>0.1709027777777778</v>
      </c>
      <c r="J1849" s="14" t="n">
        <v>45955.17090277778</v>
      </c>
      <c r="K1849" s="15" t="n">
        <v>115228.39</v>
      </c>
      <c r="L1849" s="4" t="inlineStr">
        <is>
          <t>INR</t>
        </is>
      </c>
      <c r="M1849" s="15" t="n">
        <v>-115228.39</v>
      </c>
      <c r="N1849" s="4" t="inlineStr">
        <is>
          <t>IOS Owner</t>
        </is>
      </c>
      <c r="O1849" s="4" t="n"/>
      <c r="P1849" s="4" t="n"/>
      <c r="Q1849" s="4" t="inlineStr">
        <is>
          <t>MAESTRO-IOS-BUSINESS-TEAM_OPERATIONS-1848 | Tools | 115228.39</t>
        </is>
      </c>
      <c r="R1849" s="4" t="inlineStr">
        <is>
          <t>iPhone</t>
        </is>
      </c>
      <c r="S1849" s="4" t="inlineStr">
        <is>
          <t>B37</t>
        </is>
      </c>
      <c r="T1849" s="4" t="inlineStr">
        <is>
          <t>RAMP_1501_2500</t>
        </is>
      </c>
      <c r="U1849" s="4" t="inlineStr">
        <is>
          <t>CREATED</t>
        </is>
      </c>
      <c r="V1849" s="4" t="inlineStr">
        <is>
          <t>idem-20260902-ios-1848</t>
        </is>
      </c>
    </row>
    <row r="1850" ht="30" customHeight="1">
      <c r="A1850" s="4" t="n">
        <v>1849</v>
      </c>
      <c r="B1850" s="4" t="inlineStr">
        <is>
          <t>MTR-IOS-1849</t>
        </is>
      </c>
      <c r="C1850" s="4" t="inlineStr">
        <is>
          <t>Personal</t>
        </is>
      </c>
      <c r="D1850" s="4" t="inlineStr">
        <is>
          <t>Personal</t>
        </is>
      </c>
      <c r="E1850" s="4" t="inlineStr">
        <is>
          <t>Relationships</t>
        </is>
      </c>
      <c r="F1850" s="4" t="inlineStr">
        <is>
          <t>Gifts</t>
        </is>
      </c>
      <c r="G1850" s="4" t="inlineStr">
        <is>
          <t>Expense</t>
        </is>
      </c>
      <c r="H1850" s="12" t="n">
        <v>46159</v>
      </c>
      <c r="I1850" s="13" t="n">
        <v>0.0565162037037037</v>
      </c>
      <c r="J1850" s="14" t="n">
        <v>46159.0565162037</v>
      </c>
      <c r="K1850" s="15" t="n">
        <v>15008.41</v>
      </c>
      <c r="L1850" s="4" t="inlineStr">
        <is>
          <t>INR</t>
        </is>
      </c>
      <c r="M1850" s="15" t="n">
        <v>-15008.41</v>
      </c>
      <c r="N1850" s="4" t="inlineStr">
        <is>
          <t>IOS Owner</t>
        </is>
      </c>
      <c r="O1850" s="4" t="n"/>
      <c r="P1850" s="4" t="n"/>
      <c r="Q1850" s="4" t="inlineStr">
        <is>
          <t>MAESTRO-IOS-PERSONAL-RELATIONSHIPS-1849 | Gifts | 15008.41</t>
        </is>
      </c>
      <c r="R1850" s="4" t="inlineStr">
        <is>
          <t>iPhone</t>
        </is>
      </c>
      <c r="S1850" s="4" t="inlineStr">
        <is>
          <t>B37</t>
        </is>
      </c>
      <c r="T1850" s="4" t="inlineStr">
        <is>
          <t>RAMP_1501_2500</t>
        </is>
      </c>
      <c r="U1850" s="4" t="inlineStr">
        <is>
          <t>CREATED</t>
        </is>
      </c>
      <c r="V1850" s="4" t="inlineStr">
        <is>
          <t>idem-20260902-ios-1849</t>
        </is>
      </c>
    </row>
    <row r="1851" ht="30" customHeight="1">
      <c r="A1851" s="4" t="n">
        <v>1850</v>
      </c>
      <c r="B1851" s="4" t="inlineStr">
        <is>
          <t>MTR-IOS-1850</t>
        </is>
      </c>
      <c r="C1851" s="4" t="inlineStr">
        <is>
          <t>Group</t>
        </is>
      </c>
      <c r="D1851" s="4" t="inlineStr">
        <is>
          <t>Shared Purchase</t>
        </is>
      </c>
      <c r="E1851" s="4" t="inlineStr">
        <is>
          <t>Assets</t>
        </is>
      </c>
      <c r="F1851" s="4" t="inlineStr">
        <is>
          <t>Other</t>
        </is>
      </c>
      <c r="G1851" s="4" t="inlineStr">
        <is>
          <t>Expense</t>
        </is>
      </c>
      <c r="H1851" s="12" t="n">
        <v>45947</v>
      </c>
      <c r="I1851" s="13" t="n">
        <v>0.4044907407407408</v>
      </c>
      <c r="J1851" s="14" t="n">
        <v>45947.40449074074</v>
      </c>
      <c r="K1851" s="15" t="n">
        <v>99.98999999999999</v>
      </c>
      <c r="L1851" s="4" t="inlineStr">
        <is>
          <t>INR</t>
        </is>
      </c>
      <c r="M1851" s="15" t="n">
        <v>-99.98999999999999</v>
      </c>
      <c r="N1851" s="4" t="inlineStr">
        <is>
          <t>IOS Aarav</t>
        </is>
      </c>
      <c r="O1851" s="4" t="n">
        <v>3</v>
      </c>
      <c r="P1851" s="4" t="inlineStr">
        <is>
          <t>EQUAL</t>
        </is>
      </c>
      <c r="Q1851" s="4" t="inlineStr">
        <is>
          <t>MAESTRO-IOS-GROUP-ASSETS-1850 | Other | 99.99</t>
        </is>
      </c>
      <c r="R1851" s="4" t="inlineStr">
        <is>
          <t>iPhone</t>
        </is>
      </c>
      <c r="S1851" s="4" t="inlineStr">
        <is>
          <t>B37</t>
        </is>
      </c>
      <c r="T1851" s="4" t="inlineStr">
        <is>
          <t>RAMP_1501_2500</t>
        </is>
      </c>
      <c r="U1851" s="4" t="inlineStr">
        <is>
          <t>CREATED</t>
        </is>
      </c>
      <c r="V1851" s="4" t="inlineStr">
        <is>
          <t>idem-20260902-ios-1850</t>
        </is>
      </c>
    </row>
    <row r="1852" ht="30" customHeight="1">
      <c r="A1852" s="4" t="n">
        <v>1851</v>
      </c>
      <c r="B1852" s="4" t="inlineStr">
        <is>
          <t>MTR-IOS-1851</t>
        </is>
      </c>
      <c r="C1852" s="4" t="inlineStr">
        <is>
          <t>Business</t>
        </is>
      </c>
      <c r="D1852" s="4" t="inlineStr">
        <is>
          <t>Business</t>
        </is>
      </c>
      <c r="E1852" s="4" t="inlineStr">
        <is>
          <t>Business Runway</t>
        </is>
      </c>
      <c r="F1852" s="4" t="inlineStr">
        <is>
          <t>Funding</t>
        </is>
      </c>
      <c r="G1852" s="4" t="inlineStr">
        <is>
          <t>Income</t>
        </is>
      </c>
      <c r="H1852" s="12" t="n">
        <v>46043</v>
      </c>
      <c r="I1852" s="13" t="n">
        <v>0.9478587962962963</v>
      </c>
      <c r="J1852" s="14" t="n">
        <v>46043.94785879629</v>
      </c>
      <c r="K1852" s="15" t="n">
        <v>126105.03</v>
      </c>
      <c r="L1852" s="4" t="inlineStr">
        <is>
          <t>INR</t>
        </is>
      </c>
      <c r="M1852" s="15" t="n">
        <v>126105.03</v>
      </c>
      <c r="N1852" s="4" t="inlineStr">
        <is>
          <t>IOS Owner</t>
        </is>
      </c>
      <c r="O1852" s="4" t="n"/>
      <c r="P1852" s="4" t="n"/>
      <c r="Q1852" s="4" t="inlineStr">
        <is>
          <t>MAESTRO-IOS-BUSINESS-BUSINESS_RUNWAY-1851 | Funding | 126105.03</t>
        </is>
      </c>
      <c r="R1852" s="4" t="inlineStr">
        <is>
          <t>iPhone</t>
        </is>
      </c>
      <c r="S1852" s="4" t="inlineStr">
        <is>
          <t>B38</t>
        </is>
      </c>
      <c r="T1852" s="4" t="inlineStr">
        <is>
          <t>RAMP_1501_2500</t>
        </is>
      </c>
      <c r="U1852" s="4" t="inlineStr">
        <is>
          <t>CREATED</t>
        </is>
      </c>
      <c r="V1852" s="4" t="inlineStr">
        <is>
          <t>idem-20260902-ios-1851</t>
        </is>
      </c>
    </row>
    <row r="1853" ht="30" customHeight="1">
      <c r="A1853" s="4" t="n">
        <v>1852</v>
      </c>
      <c r="B1853" s="4" t="inlineStr">
        <is>
          <t>MTR-IOS-1852</t>
        </is>
      </c>
      <c r="C1853" s="4" t="inlineStr">
        <is>
          <t>Personal</t>
        </is>
      </c>
      <c r="D1853" s="4" t="inlineStr">
        <is>
          <t>Personal</t>
        </is>
      </c>
      <c r="E1853" s="4" t="inlineStr">
        <is>
          <t>Relationships</t>
        </is>
      </c>
      <c r="F1853" s="4" t="inlineStr">
        <is>
          <t>Dates</t>
        </is>
      </c>
      <c r="G1853" s="4" t="inlineStr">
        <is>
          <t>Expense</t>
        </is>
      </c>
      <c r="H1853" s="12" t="n">
        <v>46094</v>
      </c>
      <c r="I1853" s="13" t="n">
        <v>0.6033217592592592</v>
      </c>
      <c r="J1853" s="14" t="n">
        <v>46094.60332175926</v>
      </c>
      <c r="K1853" s="15" t="n">
        <v>5955.97</v>
      </c>
      <c r="L1853" s="4" t="inlineStr">
        <is>
          <t>INR</t>
        </is>
      </c>
      <c r="M1853" s="15" t="n">
        <v>-5955.97</v>
      </c>
      <c r="N1853" s="4" t="inlineStr">
        <is>
          <t>IOS Owner</t>
        </is>
      </c>
      <c r="O1853" s="4" t="n"/>
      <c r="P1853" s="4" t="n"/>
      <c r="Q1853" s="4" t="inlineStr">
        <is>
          <t>MAESTRO-IOS-PERSONAL-RELATIONSHIPS-1852 | Dates | 5955.97</t>
        </is>
      </c>
      <c r="R1853" s="4" t="inlineStr">
        <is>
          <t>iPhone</t>
        </is>
      </c>
      <c r="S1853" s="4" t="inlineStr">
        <is>
          <t>B38</t>
        </is>
      </c>
      <c r="T1853" s="4" t="inlineStr">
        <is>
          <t>RAMP_1501_2500</t>
        </is>
      </c>
      <c r="U1853" s="4" t="inlineStr">
        <is>
          <t>CREATED</t>
        </is>
      </c>
      <c r="V1853" s="4" t="inlineStr">
        <is>
          <t>idem-20260902-ios-1852</t>
        </is>
      </c>
    </row>
    <row r="1854" ht="30" customHeight="1">
      <c r="A1854" s="4" t="n">
        <v>1853</v>
      </c>
      <c r="B1854" s="4" t="inlineStr">
        <is>
          <t>MTR-IOS-1853</t>
        </is>
      </c>
      <c r="C1854" s="4" t="inlineStr">
        <is>
          <t>Group</t>
        </is>
      </c>
      <c r="D1854" s="4" t="inlineStr">
        <is>
          <t>Shared Purchase</t>
        </is>
      </c>
      <c r="E1854" s="4" t="inlineStr">
        <is>
          <t>Custom Purchase</t>
        </is>
      </c>
      <c r="F1854" s="4" t="inlineStr">
        <is>
          <t>Custom Expense</t>
        </is>
      </c>
      <c r="G1854" s="4" t="inlineStr">
        <is>
          <t>Expense</t>
        </is>
      </c>
      <c r="H1854" s="12" t="n">
        <v>45907</v>
      </c>
      <c r="I1854" s="13" t="n">
        <v>0.8741898148148148</v>
      </c>
      <c r="J1854" s="14" t="n">
        <v>45907.87418981481</v>
      </c>
      <c r="K1854" s="15" t="n">
        <v>17357.49</v>
      </c>
      <c r="L1854" s="4" t="inlineStr">
        <is>
          <t>INR</t>
        </is>
      </c>
      <c r="M1854" s="15" t="n">
        <v>-17357.49</v>
      </c>
      <c r="N1854" s="4" t="inlineStr">
        <is>
          <t>IOS Meera</t>
        </is>
      </c>
      <c r="O1854" s="4" t="n">
        <v>3</v>
      </c>
      <c r="P1854" s="4" t="inlineStr">
        <is>
          <t>PERCENTAGE</t>
        </is>
      </c>
      <c r="Q1854" s="4" t="inlineStr">
        <is>
          <t>MAESTRO-IOS-GROUP-CUSTOM_PURCHASE-1853 | Custom Expense | 17357.49</t>
        </is>
      </c>
      <c r="R1854" s="4" t="inlineStr">
        <is>
          <t>iPhone</t>
        </is>
      </c>
      <c r="S1854" s="4" t="inlineStr">
        <is>
          <t>B38</t>
        </is>
      </c>
      <c r="T1854" s="4" t="inlineStr">
        <is>
          <t>RAMP_1501_2500</t>
        </is>
      </c>
      <c r="U1854" s="4" t="inlineStr">
        <is>
          <t>CREATED</t>
        </is>
      </c>
      <c r="V1854" s="4" t="inlineStr">
        <is>
          <t>idem-20260902-ios-1853</t>
        </is>
      </c>
    </row>
    <row r="1855" ht="30" customHeight="1">
      <c r="A1855" s="4" t="n">
        <v>1854</v>
      </c>
      <c r="B1855" s="4" t="inlineStr">
        <is>
          <t>MTR-IOS-1854</t>
        </is>
      </c>
      <c r="C1855" s="4" t="inlineStr">
        <is>
          <t>Business</t>
        </is>
      </c>
      <c r="D1855" s="4" t="inlineStr">
        <is>
          <t>Business</t>
        </is>
      </c>
      <c r="E1855" s="4" t="inlineStr">
        <is>
          <t>Business Runway</t>
        </is>
      </c>
      <c r="F1855" s="4" t="inlineStr">
        <is>
          <t>Revenue</t>
        </is>
      </c>
      <c r="G1855" s="4" t="inlineStr">
        <is>
          <t>Income</t>
        </is>
      </c>
      <c r="H1855" s="12" t="n">
        <v>46103</v>
      </c>
      <c r="I1855" s="13" t="n">
        <v>0.8671296296296296</v>
      </c>
      <c r="J1855" s="14" t="n">
        <v>46103.86712962963</v>
      </c>
      <c r="K1855" s="15" t="n">
        <v>137377.81</v>
      </c>
      <c r="L1855" s="4" t="inlineStr">
        <is>
          <t>INR</t>
        </is>
      </c>
      <c r="M1855" s="15" t="n">
        <v>137377.81</v>
      </c>
      <c r="N1855" s="4" t="inlineStr">
        <is>
          <t>IOS Owner</t>
        </is>
      </c>
      <c r="O1855" s="4" t="n"/>
      <c r="P1855" s="4" t="n"/>
      <c r="Q1855" s="4" t="inlineStr">
        <is>
          <t>MAESTRO-IOS-BUSINESS-BUSINESS_RUNWAY-1854 | Revenue | 137377.81</t>
        </is>
      </c>
      <c r="R1855" s="4" t="inlineStr">
        <is>
          <t>iPhone</t>
        </is>
      </c>
      <c r="S1855" s="4" t="inlineStr">
        <is>
          <t>B38</t>
        </is>
      </c>
      <c r="T1855" s="4" t="inlineStr">
        <is>
          <t>RAMP_1501_2500</t>
        </is>
      </c>
      <c r="U1855" s="4" t="inlineStr">
        <is>
          <t>CREATED</t>
        </is>
      </c>
      <c r="V1855" s="4" t="inlineStr">
        <is>
          <t>idem-20260902-ios-1854</t>
        </is>
      </c>
    </row>
    <row r="1856" ht="30" customHeight="1">
      <c r="A1856" s="4" t="n">
        <v>1855</v>
      </c>
      <c r="B1856" s="4" t="inlineStr">
        <is>
          <t>MTR-IOS-1855</t>
        </is>
      </c>
      <c r="C1856" s="4" t="inlineStr">
        <is>
          <t>Personal</t>
        </is>
      </c>
      <c r="D1856" s="4" t="inlineStr">
        <is>
          <t>Personal</t>
        </is>
      </c>
      <c r="E1856" s="4" t="inlineStr">
        <is>
          <t>Relationships</t>
        </is>
      </c>
      <c r="F1856" s="4" t="inlineStr">
        <is>
          <t>Family</t>
        </is>
      </c>
      <c r="G1856" s="4" t="inlineStr">
        <is>
          <t>Expense</t>
        </is>
      </c>
      <c r="H1856" s="12" t="n">
        <v>46093</v>
      </c>
      <c r="I1856" s="13" t="n">
        <v>0.7609259259259259</v>
      </c>
      <c r="J1856" s="14" t="n">
        <v>46093.76092592593</v>
      </c>
      <c r="K1856" s="15" t="n">
        <v>11822.76</v>
      </c>
      <c r="L1856" s="4" t="inlineStr">
        <is>
          <t>INR</t>
        </is>
      </c>
      <c r="M1856" s="15" t="n">
        <v>-11822.76</v>
      </c>
      <c r="N1856" s="4" t="inlineStr">
        <is>
          <t>IOS Owner</t>
        </is>
      </c>
      <c r="O1856" s="4" t="n"/>
      <c r="P1856" s="4" t="n"/>
      <c r="Q1856" s="4" t="inlineStr">
        <is>
          <t>MAESTRO-IOS-PERSONAL-RELATIONSHIPS-1855 | Family | 11822.76</t>
        </is>
      </c>
      <c r="R1856" s="4" t="inlineStr">
        <is>
          <t>iPhone</t>
        </is>
      </c>
      <c r="S1856" s="4" t="inlineStr">
        <is>
          <t>B38</t>
        </is>
      </c>
      <c r="T1856" s="4" t="inlineStr">
        <is>
          <t>RAMP_1501_2500</t>
        </is>
      </c>
      <c r="U1856" s="4" t="inlineStr">
        <is>
          <t>CREATED</t>
        </is>
      </c>
      <c r="V1856" s="4" t="inlineStr">
        <is>
          <t>idem-20260902-ios-1855</t>
        </is>
      </c>
    </row>
    <row r="1857" ht="30" customHeight="1">
      <c r="A1857" s="4" t="n">
        <v>1856</v>
      </c>
      <c r="B1857" s="4" t="inlineStr">
        <is>
          <t>MTR-IOS-1856</t>
        </is>
      </c>
      <c r="C1857" s="4" t="inlineStr">
        <is>
          <t>Group</t>
        </is>
      </c>
      <c r="D1857" s="4" t="inlineStr">
        <is>
          <t>Shared Purchase</t>
        </is>
      </c>
      <c r="E1857" s="4" t="inlineStr">
        <is>
          <t>Custom Purchase</t>
        </is>
      </c>
      <c r="F1857" s="4" t="inlineStr">
        <is>
          <t>Custom Contribution</t>
        </is>
      </c>
      <c r="G1857" s="4" t="inlineStr">
        <is>
          <t>Contribution</t>
        </is>
      </c>
      <c r="H1857" s="12" t="n">
        <v>46042</v>
      </c>
      <c r="I1857" s="13" t="n">
        <v>0.0115625</v>
      </c>
      <c r="J1857" s="14" t="n">
        <v>46042.0115625</v>
      </c>
      <c r="K1857" s="15" t="n">
        <v>17258.15</v>
      </c>
      <c r="L1857" s="4" t="inlineStr">
        <is>
          <t>INR</t>
        </is>
      </c>
      <c r="M1857" s="15" t="n">
        <v>17258.15</v>
      </c>
      <c r="N1857" s="4" t="inlineStr">
        <is>
          <t>IOS Owner</t>
        </is>
      </c>
      <c r="O1857" s="4" t="n">
        <v>3</v>
      </c>
      <c r="P1857" s="4" t="inlineStr">
        <is>
          <t>EXACT</t>
        </is>
      </c>
      <c r="Q1857" s="4" t="inlineStr">
        <is>
          <t>MAESTRO-IOS-GROUP-CUSTOM_PURCHASE-1856 | Custom Contribution | 17258.15</t>
        </is>
      </c>
      <c r="R1857" s="4" t="inlineStr">
        <is>
          <t>iPhone</t>
        </is>
      </c>
      <c r="S1857" s="4" t="inlineStr">
        <is>
          <t>B38</t>
        </is>
      </c>
      <c r="T1857" s="4" t="inlineStr">
        <is>
          <t>RAMP_1501_2500</t>
        </is>
      </c>
      <c r="U1857" s="4" t="inlineStr">
        <is>
          <t>CREATED</t>
        </is>
      </c>
      <c r="V1857" s="4" t="inlineStr">
        <is>
          <t>idem-20260902-ios-1856</t>
        </is>
      </c>
    </row>
    <row r="1858" ht="30" customHeight="1">
      <c r="A1858" s="4" t="n">
        <v>1857</v>
      </c>
      <c r="B1858" s="4" t="inlineStr">
        <is>
          <t>MTR-IOS-1857</t>
        </is>
      </c>
      <c r="C1858" s="4" t="inlineStr">
        <is>
          <t>Business</t>
        </is>
      </c>
      <c r="D1858" s="4" t="inlineStr">
        <is>
          <t>Business</t>
        </is>
      </c>
      <c r="E1858" s="4" t="inlineStr">
        <is>
          <t>Business Runway</t>
        </is>
      </c>
      <c r="F1858" s="4" t="inlineStr">
        <is>
          <t>Burn</t>
        </is>
      </c>
      <c r="G1858" s="4" t="inlineStr">
        <is>
          <t>Expense</t>
        </is>
      </c>
      <c r="H1858" s="12" t="n">
        <v>46195</v>
      </c>
      <c r="I1858" s="13" t="n">
        <v>0.6466435185185185</v>
      </c>
      <c r="J1858" s="14" t="n">
        <v>46195.64664351852</v>
      </c>
      <c r="K1858" s="15" t="n">
        <v>57225.65</v>
      </c>
      <c r="L1858" s="4" t="inlineStr">
        <is>
          <t>INR</t>
        </is>
      </c>
      <c r="M1858" s="15" t="n">
        <v>-57225.65</v>
      </c>
      <c r="N1858" s="4" t="inlineStr">
        <is>
          <t>IOS Owner</t>
        </is>
      </c>
      <c r="O1858" s="4" t="n"/>
      <c r="P1858" s="4" t="n"/>
      <c r="Q1858" s="4" t="inlineStr">
        <is>
          <t>MAESTRO-IOS-BUSINESS-BUSINESS_RUNWAY-1857 | Burn | 57225.65</t>
        </is>
      </c>
      <c r="R1858" s="4" t="inlineStr">
        <is>
          <t>iPhone</t>
        </is>
      </c>
      <c r="S1858" s="4" t="inlineStr">
        <is>
          <t>B38</t>
        </is>
      </c>
      <c r="T1858" s="4" t="inlineStr">
        <is>
          <t>RAMP_1501_2500</t>
        </is>
      </c>
      <c r="U1858" s="4" t="inlineStr">
        <is>
          <t>CREATED</t>
        </is>
      </c>
      <c r="V1858" s="4" t="inlineStr">
        <is>
          <t>idem-20260902-ios-1857</t>
        </is>
      </c>
    </row>
    <row r="1859" ht="30" customHeight="1">
      <c r="A1859" s="4" t="n">
        <v>1858</v>
      </c>
      <c r="B1859" s="4" t="inlineStr">
        <is>
          <t>MTR-IOS-1858</t>
        </is>
      </c>
      <c r="C1859" s="4" t="inlineStr">
        <is>
          <t>Personal</t>
        </is>
      </c>
      <c r="D1859" s="4" t="inlineStr">
        <is>
          <t>Personal</t>
        </is>
      </c>
      <c r="E1859" s="4" t="inlineStr">
        <is>
          <t>Relationships</t>
        </is>
      </c>
      <c r="F1859" s="4" t="inlineStr">
        <is>
          <t>Friends</t>
        </is>
      </c>
      <c r="G1859" s="4" t="inlineStr">
        <is>
          <t>Expense</t>
        </is>
      </c>
      <c r="H1859" s="12" t="n">
        <v>46118</v>
      </c>
      <c r="I1859" s="13" t="n">
        <v>0.9970486111111111</v>
      </c>
      <c r="J1859" s="14" t="n">
        <v>46118.99704861111</v>
      </c>
      <c r="K1859" s="15" t="n">
        <v>1559.84</v>
      </c>
      <c r="L1859" s="4" t="inlineStr">
        <is>
          <t>INR</t>
        </is>
      </c>
      <c r="M1859" s="15" t="n">
        <v>-1559.84</v>
      </c>
      <c r="N1859" s="4" t="inlineStr">
        <is>
          <t>IOS Owner</t>
        </is>
      </c>
      <c r="O1859" s="4" t="n"/>
      <c r="P1859" s="4" t="n"/>
      <c r="Q1859" s="4" t="inlineStr">
        <is>
          <t>MAESTRO-IOS-PERSONAL-RELATIONSHIPS-1858 | Friends | 1559.84</t>
        </is>
      </c>
      <c r="R1859" s="4" t="inlineStr">
        <is>
          <t>iPhone</t>
        </is>
      </c>
      <c r="S1859" s="4" t="inlineStr">
        <is>
          <t>B38</t>
        </is>
      </c>
      <c r="T1859" s="4" t="inlineStr">
        <is>
          <t>RAMP_1501_2500</t>
        </is>
      </c>
      <c r="U1859" s="4" t="inlineStr">
        <is>
          <t>CREATED</t>
        </is>
      </c>
      <c r="V1859" s="4" t="inlineStr">
        <is>
          <t>idem-20260902-ios-1858</t>
        </is>
      </c>
    </row>
    <row r="1860" ht="30" customHeight="1">
      <c r="A1860" s="4" t="n">
        <v>1859</v>
      </c>
      <c r="B1860" s="4" t="inlineStr">
        <is>
          <t>MTR-IOS-1859</t>
        </is>
      </c>
      <c r="C1860" s="4" t="inlineStr">
        <is>
          <t>Group</t>
        </is>
      </c>
      <c r="D1860" s="4" t="inlineStr">
        <is>
          <t>Shared Living</t>
        </is>
      </c>
      <c r="E1860" s="4" t="inlineStr">
        <is>
          <t>Flatmates</t>
        </is>
      </c>
      <c r="F1860" s="4" t="inlineStr">
        <is>
          <t>Rent</t>
        </is>
      </c>
      <c r="G1860" s="4" t="inlineStr">
        <is>
          <t>Expense</t>
        </is>
      </c>
      <c r="H1860" s="12" t="n">
        <v>46055</v>
      </c>
      <c r="I1860" s="13" t="n">
        <v>0.3934837962962963</v>
      </c>
      <c r="J1860" s="14" t="n">
        <v>46055.3934837963</v>
      </c>
      <c r="K1860" s="15" t="n">
        <v>24010.1</v>
      </c>
      <c r="L1860" s="4" t="inlineStr">
        <is>
          <t>INR</t>
        </is>
      </c>
      <c r="M1860" s="15" t="n">
        <v>-24010.1</v>
      </c>
      <c r="N1860" s="4" t="inlineStr">
        <is>
          <t>IOS Aarav</t>
        </is>
      </c>
      <c r="O1860" s="4" t="n">
        <v>3</v>
      </c>
      <c r="P1860" s="4" t="inlineStr">
        <is>
          <t>SHARES</t>
        </is>
      </c>
      <c r="Q1860" s="4" t="inlineStr">
        <is>
          <t>MAESTRO-IOS-GROUP-FLATMATES-1859 | Rent | 24010.10</t>
        </is>
      </c>
      <c r="R1860" s="4" t="inlineStr">
        <is>
          <t>iPhone</t>
        </is>
      </c>
      <c r="S1860" s="4" t="inlineStr">
        <is>
          <t>B38</t>
        </is>
      </c>
      <c r="T1860" s="4" t="inlineStr">
        <is>
          <t>RAMP_1501_2500</t>
        </is>
      </c>
      <c r="U1860" s="4" t="inlineStr">
        <is>
          <t>CREATED</t>
        </is>
      </c>
      <c r="V1860" s="4" t="inlineStr">
        <is>
          <t>idem-20260902-ios-1859</t>
        </is>
      </c>
    </row>
    <row r="1861" ht="30" customHeight="1">
      <c r="A1861" s="4" t="n">
        <v>1860</v>
      </c>
      <c r="B1861" s="4" t="inlineStr">
        <is>
          <t>MTR-IOS-1860</t>
        </is>
      </c>
      <c r="C1861" s="4" t="inlineStr">
        <is>
          <t>Business</t>
        </is>
      </c>
      <c r="D1861" s="4" t="inlineStr">
        <is>
          <t>Business</t>
        </is>
      </c>
      <c r="E1861" s="4" t="inlineStr">
        <is>
          <t>Business Runway</t>
        </is>
      </c>
      <c r="F1861" s="4" t="inlineStr">
        <is>
          <t>Reserve</t>
        </is>
      </c>
      <c r="G1861" s="4" t="inlineStr">
        <is>
          <t>Transfer</t>
        </is>
      </c>
      <c r="H1861" s="12" t="n">
        <v>46253</v>
      </c>
      <c r="I1861" s="13" t="n">
        <v>0.07298611111111111</v>
      </c>
      <c r="J1861" s="14" t="n">
        <v>46253.07298611111</v>
      </c>
      <c r="K1861" s="15" t="n">
        <v>35644.28</v>
      </c>
      <c r="L1861" s="4" t="inlineStr">
        <is>
          <t>INR</t>
        </is>
      </c>
      <c r="M1861" s="15" t="n">
        <v>0</v>
      </c>
      <c r="N1861" s="4" t="inlineStr">
        <is>
          <t>IOS Owner</t>
        </is>
      </c>
      <c r="O1861" s="4" t="n"/>
      <c r="P1861" s="4" t="n"/>
      <c r="Q1861" s="4" t="inlineStr">
        <is>
          <t>MAESTRO-IOS-BUSINESS-BUSINESS_RUNWAY-1860 | Reserve | 35644.28</t>
        </is>
      </c>
      <c r="R1861" s="4" t="inlineStr">
        <is>
          <t>iPhone</t>
        </is>
      </c>
      <c r="S1861" s="4" t="inlineStr">
        <is>
          <t>B38</t>
        </is>
      </c>
      <c r="T1861" s="4" t="inlineStr">
        <is>
          <t>RAMP_1501_2500</t>
        </is>
      </c>
      <c r="U1861" s="4" t="inlineStr">
        <is>
          <t>CREATED</t>
        </is>
      </c>
      <c r="V1861" s="4" t="inlineStr">
        <is>
          <t>idem-20260902-ios-1860</t>
        </is>
      </c>
    </row>
    <row r="1862" ht="30" customHeight="1">
      <c r="A1862" s="4" t="n">
        <v>1861</v>
      </c>
      <c r="B1862" s="4" t="inlineStr">
        <is>
          <t>MTR-IOS-1861</t>
        </is>
      </c>
      <c r="C1862" s="4" t="inlineStr">
        <is>
          <t>Personal</t>
        </is>
      </c>
      <c r="D1862" s="4" t="inlineStr">
        <is>
          <t>Personal</t>
        </is>
      </c>
      <c r="E1862" s="4" t="inlineStr">
        <is>
          <t>Relationships</t>
        </is>
      </c>
      <c r="F1862" s="4" t="inlineStr">
        <is>
          <t>Celebrations</t>
        </is>
      </c>
      <c r="G1862" s="4" t="inlineStr">
        <is>
          <t>Expense</t>
        </is>
      </c>
      <c r="H1862" s="12" t="n">
        <v>46146</v>
      </c>
      <c r="I1862" s="13" t="n">
        <v>0.2038773148148148</v>
      </c>
      <c r="J1862" s="14" t="n">
        <v>46146.20387731482</v>
      </c>
      <c r="K1862" s="15" t="n">
        <v>1768.88</v>
      </c>
      <c r="L1862" s="4" t="inlineStr">
        <is>
          <t>INR</t>
        </is>
      </c>
      <c r="M1862" s="15" t="n">
        <v>-1768.88</v>
      </c>
      <c r="N1862" s="4" t="inlineStr">
        <is>
          <t>IOS Owner</t>
        </is>
      </c>
      <c r="O1862" s="4" t="n"/>
      <c r="P1862" s="4" t="n"/>
      <c r="Q1862" s="4" t="inlineStr">
        <is>
          <t>MAESTRO-IOS-PERSONAL-RELATIONSHIPS-1861 | Celebrations | 1768.88</t>
        </is>
      </c>
      <c r="R1862" s="4" t="inlineStr">
        <is>
          <t>iPhone</t>
        </is>
      </c>
      <c r="S1862" s="4" t="inlineStr">
        <is>
          <t>B38</t>
        </is>
      </c>
      <c r="T1862" s="4" t="inlineStr">
        <is>
          <t>RAMP_1501_2500</t>
        </is>
      </c>
      <c r="U1862" s="4" t="inlineStr">
        <is>
          <t>CREATED</t>
        </is>
      </c>
      <c r="V1862" s="4" t="inlineStr">
        <is>
          <t>idem-20260902-ios-1861</t>
        </is>
      </c>
    </row>
    <row r="1863" ht="30" customHeight="1">
      <c r="A1863" s="4" t="n">
        <v>1862</v>
      </c>
      <c r="B1863" s="4" t="inlineStr">
        <is>
          <t>MTR-IOS-1862</t>
        </is>
      </c>
      <c r="C1863" s="4" t="inlineStr">
        <is>
          <t>Group</t>
        </is>
      </c>
      <c r="D1863" s="4" t="inlineStr">
        <is>
          <t>Shared Living</t>
        </is>
      </c>
      <c r="E1863" s="4" t="inlineStr">
        <is>
          <t>Flatmates</t>
        </is>
      </c>
      <c r="F1863" s="4" t="inlineStr">
        <is>
          <t>Utilities</t>
        </is>
      </c>
      <c r="G1863" s="4" t="inlineStr">
        <is>
          <t>Expense</t>
        </is>
      </c>
      <c r="H1863" s="12" t="n">
        <v>46121</v>
      </c>
      <c r="I1863" s="13" t="n">
        <v>0.5748958333333334</v>
      </c>
      <c r="J1863" s="14" t="n">
        <v>46121.57489583334</v>
      </c>
      <c r="K1863" s="15" t="n">
        <v>3347.85</v>
      </c>
      <c r="L1863" s="4" t="inlineStr">
        <is>
          <t>INR</t>
        </is>
      </c>
      <c r="M1863" s="15" t="n">
        <v>-3347.85</v>
      </c>
      <c r="N1863" s="4" t="inlineStr">
        <is>
          <t>IOS Meera</t>
        </is>
      </c>
      <c r="O1863" s="4" t="n">
        <v>3</v>
      </c>
      <c r="P1863" s="4" t="inlineStr">
        <is>
          <t>EQUAL</t>
        </is>
      </c>
      <c r="Q1863" s="4" t="inlineStr">
        <is>
          <t>MAESTRO-IOS-GROUP-FLATMATES-1862 | Utilities | 3347.85</t>
        </is>
      </c>
      <c r="R1863" s="4" t="inlineStr">
        <is>
          <t>iPhone</t>
        </is>
      </c>
      <c r="S1863" s="4" t="inlineStr">
        <is>
          <t>B38</t>
        </is>
      </c>
      <c r="T1863" s="4" t="inlineStr">
        <is>
          <t>RAMP_1501_2500</t>
        </is>
      </c>
      <c r="U1863" s="4" t="inlineStr">
        <is>
          <t>CREATED</t>
        </is>
      </c>
      <c r="V1863" s="4" t="inlineStr">
        <is>
          <t>idem-20260902-ios-1862</t>
        </is>
      </c>
    </row>
    <row r="1864" ht="30" customHeight="1">
      <c r="A1864" s="4" t="n">
        <v>1863</v>
      </c>
      <c r="B1864" s="4" t="inlineStr">
        <is>
          <t>MTR-IOS-1863</t>
        </is>
      </c>
      <c r="C1864" s="4" t="inlineStr">
        <is>
          <t>Business</t>
        </is>
      </c>
      <c r="D1864" s="4" t="inlineStr">
        <is>
          <t>Business</t>
        </is>
      </c>
      <c r="E1864" s="4" t="inlineStr">
        <is>
          <t>Business Runway</t>
        </is>
      </c>
      <c r="F1864" s="4" t="inlineStr">
        <is>
          <t>Loan</t>
        </is>
      </c>
      <c r="G1864" s="4" t="inlineStr">
        <is>
          <t>Income</t>
        </is>
      </c>
      <c r="H1864" s="12" t="n">
        <v>45932</v>
      </c>
      <c r="I1864" s="13" t="n">
        <v>0.5063773148148148</v>
      </c>
      <c r="J1864" s="14" t="n">
        <v>45932.50637731481</v>
      </c>
      <c r="K1864" s="15" t="n">
        <v>123673.6</v>
      </c>
      <c r="L1864" s="4" t="inlineStr">
        <is>
          <t>INR</t>
        </is>
      </c>
      <c r="M1864" s="15" t="n">
        <v>123673.6</v>
      </c>
      <c r="N1864" s="4" t="inlineStr">
        <is>
          <t>IOS Owner</t>
        </is>
      </c>
      <c r="O1864" s="4" t="n"/>
      <c r="P1864" s="4" t="n"/>
      <c r="Q1864" s="4" t="inlineStr">
        <is>
          <t>MAESTRO-IOS-BUSINESS-BUSINESS_RUNWAY-1863 | Loan | 123673.60</t>
        </is>
      </c>
      <c r="R1864" s="4" t="inlineStr">
        <is>
          <t>iPhone</t>
        </is>
      </c>
      <c r="S1864" s="4" t="inlineStr">
        <is>
          <t>B38</t>
        </is>
      </c>
      <c r="T1864" s="4" t="inlineStr">
        <is>
          <t>RAMP_1501_2500</t>
        </is>
      </c>
      <c r="U1864" s="4" t="inlineStr">
        <is>
          <t>CREATED</t>
        </is>
      </c>
      <c r="V1864" s="4" t="inlineStr">
        <is>
          <t>idem-20260902-ios-1863</t>
        </is>
      </c>
    </row>
    <row r="1865" ht="30" customHeight="1">
      <c r="A1865" s="4" t="n">
        <v>1864</v>
      </c>
      <c r="B1865" s="4" t="inlineStr">
        <is>
          <t>MTR-IOS-1864</t>
        </is>
      </c>
      <c r="C1865" s="4" t="inlineStr">
        <is>
          <t>Personal</t>
        </is>
      </c>
      <c r="D1865" s="4" t="inlineStr">
        <is>
          <t>Personal</t>
        </is>
      </c>
      <c r="E1865" s="4" t="inlineStr">
        <is>
          <t>Life Operations</t>
        </is>
      </c>
      <c r="F1865" s="4" t="inlineStr">
        <is>
          <t>Groceries</t>
        </is>
      </c>
      <c r="G1865" s="4" t="inlineStr">
        <is>
          <t>Expense</t>
        </is>
      </c>
      <c r="H1865" s="12" t="n">
        <v>45967</v>
      </c>
      <c r="I1865" s="13" t="n">
        <v>0.7414351851851851</v>
      </c>
      <c r="J1865" s="14" t="n">
        <v>45967.74143518518</v>
      </c>
      <c r="K1865" s="15" t="n">
        <v>10905.23</v>
      </c>
      <c r="L1865" s="4" t="inlineStr">
        <is>
          <t>INR</t>
        </is>
      </c>
      <c r="M1865" s="15" t="n">
        <v>-10905.23</v>
      </c>
      <c r="N1865" s="4" t="inlineStr">
        <is>
          <t>IOS Owner</t>
        </is>
      </c>
      <c r="O1865" s="4" t="n"/>
      <c r="P1865" s="4" t="n"/>
      <c r="Q1865" s="4" t="inlineStr">
        <is>
          <t>MAESTRO-IOS-PERSONAL-LIFE_OPERATIONS-1864 | Groceries | 10905.23</t>
        </is>
      </c>
      <c r="R1865" s="4" t="inlineStr">
        <is>
          <t>iPhone</t>
        </is>
      </c>
      <c r="S1865" s="4" t="inlineStr">
        <is>
          <t>B38</t>
        </is>
      </c>
      <c r="T1865" s="4" t="inlineStr">
        <is>
          <t>RAMP_1501_2500</t>
        </is>
      </c>
      <c r="U1865" s="4" t="inlineStr">
        <is>
          <t>CREATED</t>
        </is>
      </c>
      <c r="V1865" s="4" t="inlineStr">
        <is>
          <t>idem-20260902-ios-1864</t>
        </is>
      </c>
    </row>
    <row r="1866" ht="30" customHeight="1">
      <c r="A1866" s="4" t="n">
        <v>1865</v>
      </c>
      <c r="B1866" s="4" t="inlineStr">
        <is>
          <t>MTR-IOS-1865</t>
        </is>
      </c>
      <c r="C1866" s="4" t="inlineStr">
        <is>
          <t>Group</t>
        </is>
      </c>
      <c r="D1866" s="4" t="inlineStr">
        <is>
          <t>Shared Living</t>
        </is>
      </c>
      <c r="E1866" s="4" t="inlineStr">
        <is>
          <t>Flatmates</t>
        </is>
      </c>
      <c r="F1866" s="4" t="inlineStr">
        <is>
          <t>Groceries</t>
        </is>
      </c>
      <c r="G1866" s="4" t="inlineStr">
        <is>
          <t>Expense</t>
        </is>
      </c>
      <c r="H1866" s="12" t="n">
        <v>46228</v>
      </c>
      <c r="I1866" s="13" t="n">
        <v>0.9676157407407407</v>
      </c>
      <c r="J1866" s="14" t="n">
        <v>46228.96761574074</v>
      </c>
      <c r="K1866" s="15" t="n">
        <v>20409.32</v>
      </c>
      <c r="L1866" s="4" t="inlineStr">
        <is>
          <t>INR</t>
        </is>
      </c>
      <c r="M1866" s="15" t="n">
        <v>-20409.32</v>
      </c>
      <c r="N1866" s="4" t="inlineStr">
        <is>
          <t>IOS Owner</t>
        </is>
      </c>
      <c r="O1866" s="4" t="n">
        <v>3</v>
      </c>
      <c r="P1866" s="4" t="inlineStr">
        <is>
          <t>PERCENTAGE</t>
        </is>
      </c>
      <c r="Q1866" s="4" t="inlineStr">
        <is>
          <t>MAESTRO-IOS-GROUP-FLATMATES-1865 | Groceries | 20409.32</t>
        </is>
      </c>
      <c r="R1866" s="4" t="inlineStr">
        <is>
          <t>iPhone</t>
        </is>
      </c>
      <c r="S1866" s="4" t="inlineStr">
        <is>
          <t>B38</t>
        </is>
      </c>
      <c r="T1866" s="4" t="inlineStr">
        <is>
          <t>RAMP_1501_2500</t>
        </is>
      </c>
      <c r="U1866" s="4" t="inlineStr">
        <is>
          <t>CREATED</t>
        </is>
      </c>
      <c r="V1866" s="4" t="inlineStr">
        <is>
          <t>idem-20260902-ios-1865</t>
        </is>
      </c>
    </row>
    <row r="1867" ht="30" customHeight="1">
      <c r="A1867" s="4" t="n">
        <v>1866</v>
      </c>
      <c r="B1867" s="4" t="inlineStr">
        <is>
          <t>MTR-IOS-1866</t>
        </is>
      </c>
      <c r="C1867" s="4" t="inlineStr">
        <is>
          <t>Business</t>
        </is>
      </c>
      <c r="D1867" s="4" t="inlineStr">
        <is>
          <t>Business</t>
        </is>
      </c>
      <c r="E1867" s="4" t="inlineStr">
        <is>
          <t>Business Runway</t>
        </is>
      </c>
      <c r="F1867" s="4" t="inlineStr">
        <is>
          <t>Investment</t>
        </is>
      </c>
      <c r="G1867" s="4" t="inlineStr">
        <is>
          <t>Income</t>
        </is>
      </c>
      <c r="H1867" s="12" t="n">
        <v>45947</v>
      </c>
      <c r="I1867" s="13" t="n">
        <v>0.140162037037037</v>
      </c>
      <c r="J1867" s="14" t="n">
        <v>45947.14016203704</v>
      </c>
      <c r="K1867" s="15" t="n">
        <v>156871.91</v>
      </c>
      <c r="L1867" s="4" t="inlineStr">
        <is>
          <t>INR</t>
        </is>
      </c>
      <c r="M1867" s="15" t="n">
        <v>156871.91</v>
      </c>
      <c r="N1867" s="4" t="inlineStr">
        <is>
          <t>IOS Owner</t>
        </is>
      </c>
      <c r="O1867" s="4" t="n"/>
      <c r="P1867" s="4" t="n"/>
      <c r="Q1867" s="4" t="inlineStr">
        <is>
          <t>MAESTRO-IOS-BUSINESS-BUSINESS_RUNWAY-1866 | Investment | 156871.91</t>
        </is>
      </c>
      <c r="R1867" s="4" t="inlineStr">
        <is>
          <t>iPhone</t>
        </is>
      </c>
      <c r="S1867" s="4" t="inlineStr">
        <is>
          <t>B38</t>
        </is>
      </c>
      <c r="T1867" s="4" t="inlineStr">
        <is>
          <t>RAMP_1501_2500</t>
        </is>
      </c>
      <c r="U1867" s="4" t="inlineStr">
        <is>
          <t>CREATED</t>
        </is>
      </c>
      <c r="V1867" s="4" t="inlineStr">
        <is>
          <t>idem-20260902-ios-1866</t>
        </is>
      </c>
    </row>
    <row r="1868" ht="30" customHeight="1">
      <c r="A1868" s="4" t="n">
        <v>1867</v>
      </c>
      <c r="B1868" s="4" t="inlineStr">
        <is>
          <t>MTR-IOS-1867</t>
        </is>
      </c>
      <c r="C1868" s="4" t="inlineStr">
        <is>
          <t>Personal</t>
        </is>
      </c>
      <c r="D1868" s="4" t="inlineStr">
        <is>
          <t>Personal</t>
        </is>
      </c>
      <c r="E1868" s="4" t="inlineStr">
        <is>
          <t>Life Operations</t>
        </is>
      </c>
      <c r="F1868" s="4" t="inlineStr">
        <is>
          <t>Rent</t>
        </is>
      </c>
      <c r="G1868" s="4" t="inlineStr">
        <is>
          <t>Expense</t>
        </is>
      </c>
      <c r="H1868" s="12" t="n">
        <v>45915</v>
      </c>
      <c r="I1868" s="13" t="n">
        <v>0.05809027777777778</v>
      </c>
      <c r="J1868" s="14" t="n">
        <v>45915.05809027778</v>
      </c>
      <c r="K1868" s="15" t="n">
        <v>11811.31</v>
      </c>
      <c r="L1868" s="4" t="inlineStr">
        <is>
          <t>INR</t>
        </is>
      </c>
      <c r="M1868" s="15" t="n">
        <v>-11811.31</v>
      </c>
      <c r="N1868" s="4" t="inlineStr">
        <is>
          <t>IOS Owner</t>
        </is>
      </c>
      <c r="O1868" s="4" t="n"/>
      <c r="P1868" s="4" t="n"/>
      <c r="Q1868" s="4" t="inlineStr">
        <is>
          <t>MAESTRO-IOS-PERSONAL-LIFE_OPERATIONS-1867 | Rent | 11811.31</t>
        </is>
      </c>
      <c r="R1868" s="4" t="inlineStr">
        <is>
          <t>iPhone</t>
        </is>
      </c>
      <c r="S1868" s="4" t="inlineStr">
        <is>
          <t>B38</t>
        </is>
      </c>
      <c r="T1868" s="4" t="inlineStr">
        <is>
          <t>RAMP_1501_2500</t>
        </is>
      </c>
      <c r="U1868" s="4" t="inlineStr">
        <is>
          <t>CREATED</t>
        </is>
      </c>
      <c r="V1868" s="4" t="inlineStr">
        <is>
          <t>idem-20260902-ios-1867</t>
        </is>
      </c>
    </row>
    <row r="1869" ht="30" customHeight="1">
      <c r="A1869" s="4" t="n">
        <v>1868</v>
      </c>
      <c r="B1869" s="4" t="inlineStr">
        <is>
          <t>MTR-IOS-1868</t>
        </is>
      </c>
      <c r="C1869" s="4" t="inlineStr">
        <is>
          <t>Group</t>
        </is>
      </c>
      <c r="D1869" s="4" t="inlineStr">
        <is>
          <t>Shared Living</t>
        </is>
      </c>
      <c r="E1869" s="4" t="inlineStr">
        <is>
          <t>Flatmates</t>
        </is>
      </c>
      <c r="F1869" s="4" t="inlineStr">
        <is>
          <t>Internet</t>
        </is>
      </c>
      <c r="G1869" s="4" t="inlineStr">
        <is>
          <t>Expense</t>
        </is>
      </c>
      <c r="H1869" s="12" t="n">
        <v>46141</v>
      </c>
      <c r="I1869" s="13" t="n">
        <v>0.989849537037037</v>
      </c>
      <c r="J1869" s="14" t="n">
        <v>46141.98984953704</v>
      </c>
      <c r="K1869" s="15" t="n">
        <v>18364.79</v>
      </c>
      <c r="L1869" s="4" t="inlineStr">
        <is>
          <t>INR</t>
        </is>
      </c>
      <c r="M1869" s="15" t="n">
        <v>-18364.79</v>
      </c>
      <c r="N1869" s="4" t="inlineStr">
        <is>
          <t>IOS Aarav</t>
        </is>
      </c>
      <c r="O1869" s="4" t="n">
        <v>3</v>
      </c>
      <c r="P1869" s="4" t="inlineStr">
        <is>
          <t>EXACT</t>
        </is>
      </c>
      <c r="Q1869" s="4" t="inlineStr">
        <is>
          <t>MAESTRO-IOS-GROUP-FLATMATES-1868 | Internet | 18364.79</t>
        </is>
      </c>
      <c r="R1869" s="4" t="inlineStr">
        <is>
          <t>iPhone</t>
        </is>
      </c>
      <c r="S1869" s="4" t="inlineStr">
        <is>
          <t>B38</t>
        </is>
      </c>
      <c r="T1869" s="4" t="inlineStr">
        <is>
          <t>RAMP_1501_2500</t>
        </is>
      </c>
      <c r="U1869" s="4" t="inlineStr">
        <is>
          <t>CREATED</t>
        </is>
      </c>
      <c r="V1869" s="4" t="inlineStr">
        <is>
          <t>idem-20260902-ios-1868</t>
        </is>
      </c>
    </row>
    <row r="1870" ht="30" customHeight="1">
      <c r="A1870" s="4" t="n">
        <v>1869</v>
      </c>
      <c r="B1870" s="4" t="inlineStr">
        <is>
          <t>MTR-IOS-1869</t>
        </is>
      </c>
      <c r="C1870" s="4" t="inlineStr">
        <is>
          <t>Business</t>
        </is>
      </c>
      <c r="D1870" s="4" t="inlineStr">
        <is>
          <t>Business</t>
        </is>
      </c>
      <c r="E1870" s="4" t="inlineStr">
        <is>
          <t>Business Operations</t>
        </is>
      </c>
      <c r="F1870" s="4" t="inlineStr">
        <is>
          <t>Software</t>
        </is>
      </c>
      <c r="G1870" s="4" t="inlineStr">
        <is>
          <t>Expense</t>
        </is>
      </c>
      <c r="H1870" s="12" t="n">
        <v>46265</v>
      </c>
      <c r="I1870" s="13" t="n">
        <v>0.5</v>
      </c>
      <c r="J1870" s="14" t="n">
        <v>46265.5</v>
      </c>
      <c r="K1870" s="15" t="n">
        <v>58100.14</v>
      </c>
      <c r="L1870" s="4" t="inlineStr">
        <is>
          <t>INR</t>
        </is>
      </c>
      <c r="M1870" s="15" t="n">
        <v>-58100.14</v>
      </c>
      <c r="N1870" s="4" t="inlineStr">
        <is>
          <t>IOS Owner</t>
        </is>
      </c>
      <c r="O1870" s="4" t="n"/>
      <c r="P1870" s="4" t="n"/>
      <c r="Q1870" s="4" t="inlineStr">
        <is>
          <t>MAESTRO-IOS-BUSINESS-BUSINESS_OPERATIONS-1869 | Software | 58100.14</t>
        </is>
      </c>
      <c r="R1870" s="4" t="inlineStr">
        <is>
          <t>iPhone</t>
        </is>
      </c>
      <c r="S1870" s="4" t="inlineStr">
        <is>
          <t>B38</t>
        </is>
      </c>
      <c r="T1870" s="4" t="inlineStr">
        <is>
          <t>RAMP_1501_2500</t>
        </is>
      </c>
      <c r="U1870" s="4" t="inlineStr">
        <is>
          <t>CREATED</t>
        </is>
      </c>
      <c r="V1870" s="4" t="inlineStr">
        <is>
          <t>idem-20260902-ios-1869</t>
        </is>
      </c>
    </row>
    <row r="1871" ht="30" customHeight="1">
      <c r="A1871" s="4" t="n">
        <v>1870</v>
      </c>
      <c r="B1871" s="4" t="inlineStr">
        <is>
          <t>MTR-IOS-1870</t>
        </is>
      </c>
      <c r="C1871" s="4" t="inlineStr">
        <is>
          <t>Personal</t>
        </is>
      </c>
      <c r="D1871" s="4" t="inlineStr">
        <is>
          <t>Personal</t>
        </is>
      </c>
      <c r="E1871" s="4" t="inlineStr">
        <is>
          <t>Life Operations</t>
        </is>
      </c>
      <c r="F1871" s="4" t="inlineStr">
        <is>
          <t>Bills</t>
        </is>
      </c>
      <c r="G1871" s="4" t="inlineStr">
        <is>
          <t>Expense</t>
        </is>
      </c>
      <c r="H1871" s="12" t="n">
        <v>45998</v>
      </c>
      <c r="I1871" s="13" t="n">
        <v>0.1512152777777778</v>
      </c>
      <c r="J1871" s="14" t="n">
        <v>45998.15121527778</v>
      </c>
      <c r="K1871" s="15" t="n">
        <v>7093.88</v>
      </c>
      <c r="L1871" s="4" t="inlineStr">
        <is>
          <t>INR</t>
        </is>
      </c>
      <c r="M1871" s="15" t="n">
        <v>-7093.88</v>
      </c>
      <c r="N1871" s="4" t="inlineStr">
        <is>
          <t>IOS Owner</t>
        </is>
      </c>
      <c r="O1871" s="4" t="n"/>
      <c r="P1871" s="4" t="n"/>
      <c r="Q1871" s="4" t="inlineStr">
        <is>
          <t>MAESTRO-IOS-PERSONAL-LIFE_OPERATIONS-1870 | Bills | 7093.88</t>
        </is>
      </c>
      <c r="R1871" s="4" t="inlineStr">
        <is>
          <t>iPhone</t>
        </is>
      </c>
      <c r="S1871" s="4" t="inlineStr">
        <is>
          <t>B38</t>
        </is>
      </c>
      <c r="T1871" s="4" t="inlineStr">
        <is>
          <t>RAMP_1501_2500</t>
        </is>
      </c>
      <c r="U1871" s="4" t="inlineStr">
        <is>
          <t>CREATED</t>
        </is>
      </c>
      <c r="V1871" s="4" t="inlineStr">
        <is>
          <t>idem-20260902-ios-1870</t>
        </is>
      </c>
    </row>
    <row r="1872" ht="30" customHeight="1">
      <c r="A1872" s="4" t="n">
        <v>1871</v>
      </c>
      <c r="B1872" s="4" t="inlineStr">
        <is>
          <t>MTR-IOS-1871</t>
        </is>
      </c>
      <c r="C1872" s="4" t="inlineStr">
        <is>
          <t>Group</t>
        </is>
      </c>
      <c r="D1872" s="4" t="inlineStr">
        <is>
          <t>Shared Living</t>
        </is>
      </c>
      <c r="E1872" s="4" t="inlineStr">
        <is>
          <t>Flatmates</t>
        </is>
      </c>
      <c r="F1872" s="4" t="inlineStr">
        <is>
          <t>House Supplies</t>
        </is>
      </c>
      <c r="G1872" s="4" t="inlineStr">
        <is>
          <t>Expense</t>
        </is>
      </c>
      <c r="H1872" s="12" t="n">
        <v>46136</v>
      </c>
      <c r="I1872" s="13" t="n">
        <v>0.09059027777777778</v>
      </c>
      <c r="J1872" s="14" t="n">
        <v>46136.09059027778</v>
      </c>
      <c r="K1872" s="15" t="n">
        <v>8129.2</v>
      </c>
      <c r="L1872" s="4" t="inlineStr">
        <is>
          <t>INR</t>
        </is>
      </c>
      <c r="M1872" s="15" t="n">
        <v>-8129.2</v>
      </c>
      <c r="N1872" s="4" t="inlineStr">
        <is>
          <t>IOS Meera</t>
        </is>
      </c>
      <c r="O1872" s="4" t="n">
        <v>3</v>
      </c>
      <c r="P1872" s="4" t="inlineStr">
        <is>
          <t>SHARES</t>
        </is>
      </c>
      <c r="Q1872" s="4" t="inlineStr">
        <is>
          <t>MAESTRO-IOS-GROUP-FLATMATES-1871 | House Supplies | 8129.20</t>
        </is>
      </c>
      <c r="R1872" s="4" t="inlineStr">
        <is>
          <t>iPhone</t>
        </is>
      </c>
      <c r="S1872" s="4" t="inlineStr">
        <is>
          <t>B38</t>
        </is>
      </c>
      <c r="T1872" s="4" t="inlineStr">
        <is>
          <t>RAMP_1501_2500</t>
        </is>
      </c>
      <c r="U1872" s="4" t="inlineStr">
        <is>
          <t>CREATED</t>
        </is>
      </c>
      <c r="V1872" s="4" t="inlineStr">
        <is>
          <t>idem-20260902-ios-1871</t>
        </is>
      </c>
    </row>
    <row r="1873" ht="30" customHeight="1">
      <c r="A1873" s="4" t="n">
        <v>1872</v>
      </c>
      <c r="B1873" s="4" t="inlineStr">
        <is>
          <t>MTR-IOS-1872</t>
        </is>
      </c>
      <c r="C1873" s="4" t="inlineStr">
        <is>
          <t>Business</t>
        </is>
      </c>
      <c r="D1873" s="4" t="inlineStr">
        <is>
          <t>Business</t>
        </is>
      </c>
      <c r="E1873" s="4" t="inlineStr">
        <is>
          <t>Business Operations</t>
        </is>
      </c>
      <c r="F1873" s="4" t="inlineStr">
        <is>
          <t>Rent</t>
        </is>
      </c>
      <c r="G1873" s="4" t="inlineStr">
        <is>
          <t>Expense</t>
        </is>
      </c>
      <c r="H1873" s="12" t="n">
        <v>45943</v>
      </c>
      <c r="I1873" s="13" t="n">
        <v>0.669224537037037</v>
      </c>
      <c r="J1873" s="14" t="n">
        <v>45943.66922453704</v>
      </c>
      <c r="K1873" s="15" t="n">
        <v>123641.68</v>
      </c>
      <c r="L1873" s="4" t="inlineStr">
        <is>
          <t>INR</t>
        </is>
      </c>
      <c r="M1873" s="15" t="n">
        <v>-123641.68</v>
      </c>
      <c r="N1873" s="4" t="inlineStr">
        <is>
          <t>IOS Owner</t>
        </is>
      </c>
      <c r="O1873" s="4" t="n"/>
      <c r="P1873" s="4" t="n"/>
      <c r="Q1873" s="4" t="inlineStr">
        <is>
          <t>MAESTRO-IOS-BUSINESS-BUSINESS_OPERATIONS-1872 | Rent | 123641.68</t>
        </is>
      </c>
      <c r="R1873" s="4" t="inlineStr">
        <is>
          <t>iPhone</t>
        </is>
      </c>
      <c r="S1873" s="4" t="inlineStr">
        <is>
          <t>B38</t>
        </is>
      </c>
      <c r="T1873" s="4" t="inlineStr">
        <is>
          <t>RAMP_1501_2500</t>
        </is>
      </c>
      <c r="U1873" s="4" t="inlineStr">
        <is>
          <t>CREATED</t>
        </is>
      </c>
      <c r="V1873" s="4" t="inlineStr">
        <is>
          <t>idem-20260902-ios-1872</t>
        </is>
      </c>
    </row>
    <row r="1874" ht="30" customHeight="1">
      <c r="A1874" s="4" t="n">
        <v>1873</v>
      </c>
      <c r="B1874" s="4" t="inlineStr">
        <is>
          <t>MTR-IOS-1873</t>
        </is>
      </c>
      <c r="C1874" s="4" t="inlineStr">
        <is>
          <t>Personal</t>
        </is>
      </c>
      <c r="D1874" s="4" t="inlineStr">
        <is>
          <t>Personal</t>
        </is>
      </c>
      <c r="E1874" s="4" t="inlineStr">
        <is>
          <t>Life Operations</t>
        </is>
      </c>
      <c r="F1874" s="4" t="inlineStr">
        <is>
          <t>Transport</t>
        </is>
      </c>
      <c r="G1874" s="4" t="inlineStr">
        <is>
          <t>Expense</t>
        </is>
      </c>
      <c r="H1874" s="12" t="n">
        <v>46110</v>
      </c>
      <c r="I1874" s="13" t="n">
        <v>0.7888888888888889</v>
      </c>
      <c r="J1874" s="14" t="n">
        <v>46110.78888888889</v>
      </c>
      <c r="K1874" s="15" t="n">
        <v>14776.74</v>
      </c>
      <c r="L1874" s="4" t="inlineStr">
        <is>
          <t>INR</t>
        </is>
      </c>
      <c r="M1874" s="15" t="n">
        <v>-14776.74</v>
      </c>
      <c r="N1874" s="4" t="inlineStr">
        <is>
          <t>IOS Owner</t>
        </is>
      </c>
      <c r="O1874" s="4" t="n"/>
      <c r="P1874" s="4" t="n"/>
      <c r="Q1874" s="4" t="inlineStr">
        <is>
          <t>MAESTRO-IOS-PERSONAL-LIFE_OPERATIONS-1873 | Transport | 14776.74</t>
        </is>
      </c>
      <c r="R1874" s="4" t="inlineStr">
        <is>
          <t>iPhone</t>
        </is>
      </c>
      <c r="S1874" s="4" t="inlineStr">
        <is>
          <t>B38</t>
        </is>
      </c>
      <c r="T1874" s="4" t="inlineStr">
        <is>
          <t>RAMP_1501_2500</t>
        </is>
      </c>
      <c r="U1874" s="4" t="inlineStr">
        <is>
          <t>CREATED</t>
        </is>
      </c>
      <c r="V1874" s="4" t="inlineStr">
        <is>
          <t>idem-20260902-ios-1873</t>
        </is>
      </c>
    </row>
    <row r="1875" ht="30" customHeight="1">
      <c r="A1875" s="4" t="n">
        <v>1874</v>
      </c>
      <c r="B1875" s="4" t="inlineStr">
        <is>
          <t>MTR-IOS-1874</t>
        </is>
      </c>
      <c r="C1875" s="4" t="inlineStr">
        <is>
          <t>Group</t>
        </is>
      </c>
      <c r="D1875" s="4" t="inlineStr">
        <is>
          <t>Shared Living</t>
        </is>
      </c>
      <c r="E1875" s="4" t="inlineStr">
        <is>
          <t>Flatmates</t>
        </is>
      </c>
      <c r="F1875" s="4" t="inlineStr">
        <is>
          <t>Repairs</t>
        </is>
      </c>
      <c r="G1875" s="4" t="inlineStr">
        <is>
          <t>Expense</t>
        </is>
      </c>
      <c r="H1875" s="12" t="n">
        <v>45955</v>
      </c>
      <c r="I1875" s="13" t="n">
        <v>0.02203703703703704</v>
      </c>
      <c r="J1875" s="14" t="n">
        <v>45955.02203703704</v>
      </c>
      <c r="K1875" s="15" t="n">
        <v>6879.19</v>
      </c>
      <c r="L1875" s="4" t="inlineStr">
        <is>
          <t>INR</t>
        </is>
      </c>
      <c r="M1875" s="15" t="n">
        <v>-6879.19</v>
      </c>
      <c r="N1875" s="4" t="inlineStr">
        <is>
          <t>IOS Owner</t>
        </is>
      </c>
      <c r="O1875" s="4" t="n">
        <v>3</v>
      </c>
      <c r="P1875" s="4" t="inlineStr">
        <is>
          <t>EQUAL</t>
        </is>
      </c>
      <c r="Q1875" s="4" t="inlineStr">
        <is>
          <t>MAESTRO-IOS-GROUP-FLATMATES-1874 | Repairs | 6879.19</t>
        </is>
      </c>
      <c r="R1875" s="4" t="inlineStr">
        <is>
          <t>iPhone</t>
        </is>
      </c>
      <c r="S1875" s="4" t="inlineStr">
        <is>
          <t>B38</t>
        </is>
      </c>
      <c r="T1875" s="4" t="inlineStr">
        <is>
          <t>RAMP_1501_2500</t>
        </is>
      </c>
      <c r="U1875" s="4" t="inlineStr">
        <is>
          <t>CREATED</t>
        </is>
      </c>
      <c r="V1875" s="4" t="inlineStr">
        <is>
          <t>idem-20260902-ios-1874</t>
        </is>
      </c>
    </row>
    <row r="1876" ht="30" customHeight="1">
      <c r="A1876" s="4" t="n">
        <v>1875</v>
      </c>
      <c r="B1876" s="4" t="inlineStr">
        <is>
          <t>MTR-IOS-1875</t>
        </is>
      </c>
      <c r="C1876" s="4" t="inlineStr">
        <is>
          <t>Business</t>
        </is>
      </c>
      <c r="D1876" s="4" t="inlineStr">
        <is>
          <t>Business</t>
        </is>
      </c>
      <c r="E1876" s="4" t="inlineStr">
        <is>
          <t>Business Operations</t>
        </is>
      </c>
      <c r="F1876" s="4" t="inlineStr">
        <is>
          <t>Marketing</t>
        </is>
      </c>
      <c r="G1876" s="4" t="inlineStr">
        <is>
          <t>Expense</t>
        </is>
      </c>
      <c r="H1876" s="12" t="n">
        <v>46050</v>
      </c>
      <c r="I1876" s="13" t="n">
        <v>0.1162037037037037</v>
      </c>
      <c r="J1876" s="14" t="n">
        <v>46050.11620370371</v>
      </c>
      <c r="K1876" s="15" t="n">
        <v>17620.66</v>
      </c>
      <c r="L1876" s="4" t="inlineStr">
        <is>
          <t>INR</t>
        </is>
      </c>
      <c r="M1876" s="15" t="n">
        <v>-17620.66</v>
      </c>
      <c r="N1876" s="4" t="inlineStr">
        <is>
          <t>IOS Owner</t>
        </is>
      </c>
      <c r="O1876" s="4" t="n"/>
      <c r="P1876" s="4" t="n"/>
      <c r="Q1876" s="4" t="inlineStr">
        <is>
          <t>MAESTRO-IOS-BUSINESS-BUSINESS_OPERATIONS-1875 | Marketing | 17620.66</t>
        </is>
      </c>
      <c r="R1876" s="4" t="inlineStr">
        <is>
          <t>iPhone</t>
        </is>
      </c>
      <c r="S1876" s="4" t="inlineStr">
        <is>
          <t>B38</t>
        </is>
      </c>
      <c r="T1876" s="4" t="inlineStr">
        <is>
          <t>RAMP_1501_2500</t>
        </is>
      </c>
      <c r="U1876" s="4" t="inlineStr">
        <is>
          <t>CREATED</t>
        </is>
      </c>
      <c r="V1876" s="4" t="inlineStr">
        <is>
          <t>idem-20260902-ios-1875</t>
        </is>
      </c>
    </row>
    <row r="1877" ht="30" customHeight="1">
      <c r="A1877" s="4" t="n">
        <v>1876</v>
      </c>
      <c r="B1877" s="4" t="inlineStr">
        <is>
          <t>MTR-IOS-1876</t>
        </is>
      </c>
      <c r="C1877" s="4" t="inlineStr">
        <is>
          <t>Personal</t>
        </is>
      </c>
      <c r="D1877" s="4" t="inlineStr">
        <is>
          <t>Personal</t>
        </is>
      </c>
      <c r="E1877" s="4" t="inlineStr">
        <is>
          <t>Life Operations</t>
        </is>
      </c>
      <c r="F1877" s="4" t="inlineStr">
        <is>
          <t>Healthcare</t>
        </is>
      </c>
      <c r="G1877" s="4" t="inlineStr">
        <is>
          <t>Expense</t>
        </is>
      </c>
      <c r="H1877" s="12" t="n">
        <v>46114</v>
      </c>
      <c r="I1877" s="13" t="n">
        <v>0.08649305555555556</v>
      </c>
      <c r="J1877" s="14" t="n">
        <v>46114.08649305555</v>
      </c>
      <c r="K1877" s="15" t="n">
        <v>10794.2</v>
      </c>
      <c r="L1877" s="4" t="inlineStr">
        <is>
          <t>INR</t>
        </is>
      </c>
      <c r="M1877" s="15" t="n">
        <v>-10794.2</v>
      </c>
      <c r="N1877" s="4" t="inlineStr">
        <is>
          <t>IOS Owner</t>
        </is>
      </c>
      <c r="O1877" s="4" t="n"/>
      <c r="P1877" s="4" t="n"/>
      <c r="Q1877" s="4" t="inlineStr">
        <is>
          <t>MAESTRO-IOS-PERSONAL-LIFE_OPERATIONS-1876 | Healthcare | 10794.20</t>
        </is>
      </c>
      <c r="R1877" s="4" t="inlineStr">
        <is>
          <t>iPhone</t>
        </is>
      </c>
      <c r="S1877" s="4" t="inlineStr">
        <is>
          <t>B38</t>
        </is>
      </c>
      <c r="T1877" s="4" t="inlineStr">
        <is>
          <t>RAMP_1501_2500</t>
        </is>
      </c>
      <c r="U1877" s="4" t="inlineStr">
        <is>
          <t>CREATED</t>
        </is>
      </c>
      <c r="V1877" s="4" t="inlineStr">
        <is>
          <t>idem-20260902-ios-1876</t>
        </is>
      </c>
    </row>
    <row r="1878" ht="30" customHeight="1">
      <c r="A1878" s="4" t="n">
        <v>1877</v>
      </c>
      <c r="B1878" s="4" t="inlineStr">
        <is>
          <t>MTR-IOS-1877</t>
        </is>
      </c>
      <c r="C1878" s="4" t="inlineStr">
        <is>
          <t>Group</t>
        </is>
      </c>
      <c r="D1878" s="4" t="inlineStr">
        <is>
          <t>Shared Living</t>
        </is>
      </c>
      <c r="E1878" s="4" t="inlineStr">
        <is>
          <t>Shared Living</t>
        </is>
      </c>
      <c r="F1878" s="4" t="inlineStr">
        <is>
          <t>Rent</t>
        </is>
      </c>
      <c r="G1878" s="4" t="inlineStr">
        <is>
          <t>Expense</t>
        </is>
      </c>
      <c r="H1878" s="12" t="n">
        <v>46116</v>
      </c>
      <c r="I1878" s="13" t="n">
        <v>0.8544907407407407</v>
      </c>
      <c r="J1878" s="14" t="n">
        <v>46116.85449074074</v>
      </c>
      <c r="K1878" s="15" t="n">
        <v>16621.87</v>
      </c>
      <c r="L1878" s="4" t="inlineStr">
        <is>
          <t>INR</t>
        </is>
      </c>
      <c r="M1878" s="15" t="n">
        <v>-16621.87</v>
      </c>
      <c r="N1878" s="4" t="inlineStr">
        <is>
          <t>IOS Aarav</t>
        </is>
      </c>
      <c r="O1878" s="4" t="n">
        <v>3</v>
      </c>
      <c r="P1878" s="4" t="inlineStr">
        <is>
          <t>PERCENTAGE</t>
        </is>
      </c>
      <c r="Q1878" s="4" t="inlineStr">
        <is>
          <t>MAESTRO-IOS-GROUP-SHARED_LIVING-1877 | Rent | 16621.87</t>
        </is>
      </c>
      <c r="R1878" s="4" t="inlineStr">
        <is>
          <t>iPhone</t>
        </is>
      </c>
      <c r="S1878" s="4" t="inlineStr">
        <is>
          <t>B38</t>
        </is>
      </c>
      <c r="T1878" s="4" t="inlineStr">
        <is>
          <t>RAMP_1501_2500</t>
        </is>
      </c>
      <c r="U1878" s="4" t="inlineStr">
        <is>
          <t>CREATED</t>
        </is>
      </c>
      <c r="V1878" s="4" t="inlineStr">
        <is>
          <t>idem-20260902-ios-1877</t>
        </is>
      </c>
    </row>
    <row r="1879" ht="30" customHeight="1">
      <c r="A1879" s="4" t="n">
        <v>1878</v>
      </c>
      <c r="B1879" s="4" t="inlineStr">
        <is>
          <t>MTR-IOS-1878</t>
        </is>
      </c>
      <c r="C1879" s="4" t="inlineStr">
        <is>
          <t>Business</t>
        </is>
      </c>
      <c r="D1879" s="4" t="inlineStr">
        <is>
          <t>Business</t>
        </is>
      </c>
      <c r="E1879" s="4" t="inlineStr">
        <is>
          <t>Business Operations</t>
        </is>
      </c>
      <c r="F1879" s="4" t="inlineStr">
        <is>
          <t>Legal</t>
        </is>
      </c>
      <c r="G1879" s="4" t="inlineStr">
        <is>
          <t>Expense</t>
        </is>
      </c>
      <c r="H1879" s="12" t="n">
        <v>46174</v>
      </c>
      <c r="I1879" s="13" t="n">
        <v>0.8201967592592593</v>
      </c>
      <c r="J1879" s="14" t="n">
        <v>46174.82019675926</v>
      </c>
      <c r="K1879" s="15" t="n">
        <v>87972.91</v>
      </c>
      <c r="L1879" s="4" t="inlineStr">
        <is>
          <t>INR</t>
        </is>
      </c>
      <c r="M1879" s="15" t="n">
        <v>-87972.91</v>
      </c>
      <c r="N1879" s="4" t="inlineStr">
        <is>
          <t>IOS Owner</t>
        </is>
      </c>
      <c r="O1879" s="4" t="n"/>
      <c r="P1879" s="4" t="n"/>
      <c r="Q1879" s="4" t="inlineStr">
        <is>
          <t>MAESTRO-IOS-BUSINESS-BUSINESS_OPERATIONS-1878 | Legal | 87972.91</t>
        </is>
      </c>
      <c r="R1879" s="4" t="inlineStr">
        <is>
          <t>iPhone</t>
        </is>
      </c>
      <c r="S1879" s="4" t="inlineStr">
        <is>
          <t>B38</t>
        </is>
      </c>
      <c r="T1879" s="4" t="inlineStr">
        <is>
          <t>RAMP_1501_2500</t>
        </is>
      </c>
      <c r="U1879" s="4" t="inlineStr">
        <is>
          <t>CREATED</t>
        </is>
      </c>
      <c r="V1879" s="4" t="inlineStr">
        <is>
          <t>idem-20260902-ios-1878</t>
        </is>
      </c>
    </row>
    <row r="1880" ht="30" customHeight="1">
      <c r="A1880" s="4" t="n">
        <v>1879</v>
      </c>
      <c r="B1880" s="4" t="inlineStr">
        <is>
          <t>MTR-IOS-1879</t>
        </is>
      </c>
      <c r="C1880" s="4" t="inlineStr">
        <is>
          <t>Personal</t>
        </is>
      </c>
      <c r="D1880" s="4" t="inlineStr">
        <is>
          <t>Personal</t>
        </is>
      </c>
      <c r="E1880" s="4" t="inlineStr">
        <is>
          <t>Life Operations</t>
        </is>
      </c>
      <c r="F1880" s="4" t="inlineStr">
        <is>
          <t>Subscriptions</t>
        </is>
      </c>
      <c r="G1880" s="4" t="inlineStr">
        <is>
          <t>Expense</t>
        </is>
      </c>
      <c r="H1880" s="12" t="n">
        <v>45957</v>
      </c>
      <c r="I1880" s="13" t="n">
        <v>0.1575231481481481</v>
      </c>
      <c r="J1880" s="14" t="n">
        <v>45957.15752314815</v>
      </c>
      <c r="K1880" s="15" t="n">
        <v>2799.65</v>
      </c>
      <c r="L1880" s="4" t="inlineStr">
        <is>
          <t>INR</t>
        </is>
      </c>
      <c r="M1880" s="15" t="n">
        <v>-2799.65</v>
      </c>
      <c r="N1880" s="4" t="inlineStr">
        <is>
          <t>IOS Owner</t>
        </is>
      </c>
      <c r="O1880" s="4" t="n"/>
      <c r="P1880" s="4" t="n"/>
      <c r="Q1880" s="4" t="inlineStr">
        <is>
          <t>MAESTRO-IOS-PERSONAL-LIFE_OPERATIONS-1879 | Subscriptions | 2799.65</t>
        </is>
      </c>
      <c r="R1880" s="4" t="inlineStr">
        <is>
          <t>iPhone</t>
        </is>
      </c>
      <c r="S1880" s="4" t="inlineStr">
        <is>
          <t>B38</t>
        </is>
      </c>
      <c r="T1880" s="4" t="inlineStr">
        <is>
          <t>RAMP_1501_2500</t>
        </is>
      </c>
      <c r="U1880" s="4" t="inlineStr">
        <is>
          <t>CREATED</t>
        </is>
      </c>
      <c r="V1880" s="4" t="inlineStr">
        <is>
          <t>idem-20260902-ios-1879</t>
        </is>
      </c>
    </row>
    <row r="1881" ht="30" customHeight="1">
      <c r="A1881" s="4" t="n">
        <v>1880</v>
      </c>
      <c r="B1881" s="4" t="inlineStr">
        <is>
          <t>MTR-IOS-1880</t>
        </is>
      </c>
      <c r="C1881" s="4" t="inlineStr">
        <is>
          <t>Group</t>
        </is>
      </c>
      <c r="D1881" s="4" t="inlineStr">
        <is>
          <t>Shared Living</t>
        </is>
      </c>
      <c r="E1881" s="4" t="inlineStr">
        <is>
          <t>Shared Living</t>
        </is>
      </c>
      <c r="F1881" s="4" t="inlineStr">
        <is>
          <t>Utilities</t>
        </is>
      </c>
      <c r="G1881" s="4" t="inlineStr">
        <is>
          <t>Expense</t>
        </is>
      </c>
      <c r="H1881" s="12" t="n">
        <v>46250</v>
      </c>
      <c r="I1881" s="13" t="n">
        <v>0.6076736111111111</v>
      </c>
      <c r="J1881" s="14" t="n">
        <v>46250.60767361111</v>
      </c>
      <c r="K1881" s="15" t="n">
        <v>18682.82</v>
      </c>
      <c r="L1881" s="4" t="inlineStr">
        <is>
          <t>INR</t>
        </is>
      </c>
      <c r="M1881" s="15" t="n">
        <v>-18682.82</v>
      </c>
      <c r="N1881" s="4" t="inlineStr">
        <is>
          <t>IOS Meera</t>
        </is>
      </c>
      <c r="O1881" s="4" t="n">
        <v>3</v>
      </c>
      <c r="P1881" s="4" t="inlineStr">
        <is>
          <t>EXACT</t>
        </is>
      </c>
      <c r="Q1881" s="4" t="inlineStr">
        <is>
          <t>MAESTRO-IOS-GROUP-SHARED_LIVING-1880 | Utilities | 18682.82</t>
        </is>
      </c>
      <c r="R1881" s="4" t="inlineStr">
        <is>
          <t>iPhone</t>
        </is>
      </c>
      <c r="S1881" s="4" t="inlineStr">
        <is>
          <t>B38</t>
        </is>
      </c>
      <c r="T1881" s="4" t="inlineStr">
        <is>
          <t>RAMP_1501_2500</t>
        </is>
      </c>
      <c r="U1881" s="4" t="inlineStr">
        <is>
          <t>CREATED</t>
        </is>
      </c>
      <c r="V1881" s="4" t="inlineStr">
        <is>
          <t>idem-20260902-ios-1880</t>
        </is>
      </c>
    </row>
    <row r="1882" ht="30" customHeight="1">
      <c r="A1882" s="4" t="n">
        <v>1881</v>
      </c>
      <c r="B1882" s="4" t="inlineStr">
        <is>
          <t>MTR-IOS-1881</t>
        </is>
      </c>
      <c r="C1882" s="4" t="inlineStr">
        <is>
          <t>Business</t>
        </is>
      </c>
      <c r="D1882" s="4" t="inlineStr">
        <is>
          <t>Business</t>
        </is>
      </c>
      <c r="E1882" s="4" t="inlineStr">
        <is>
          <t>Business Operations</t>
        </is>
      </c>
      <c r="F1882" s="4" t="inlineStr">
        <is>
          <t>Accounting</t>
        </is>
      </c>
      <c r="G1882" s="4" t="inlineStr">
        <is>
          <t>Expense</t>
        </is>
      </c>
      <c r="H1882" s="12" t="n">
        <v>46265</v>
      </c>
      <c r="I1882" s="13" t="n">
        <v>0.5</v>
      </c>
      <c r="J1882" s="14" t="n">
        <v>46265.5</v>
      </c>
      <c r="K1882" s="15" t="n">
        <v>98113.02</v>
      </c>
      <c r="L1882" s="4" t="inlineStr">
        <is>
          <t>INR</t>
        </is>
      </c>
      <c r="M1882" s="15" t="n">
        <v>-98113.02</v>
      </c>
      <c r="N1882" s="4" t="inlineStr">
        <is>
          <t>IOS Owner</t>
        </is>
      </c>
      <c r="O1882" s="4" t="n"/>
      <c r="P1882" s="4" t="n"/>
      <c r="Q1882" s="4" t="inlineStr">
        <is>
          <t>MAESTRO-IOS-BUSINESS-BUSINESS_OPERATIONS-1881 | Accounting | 98113.02</t>
        </is>
      </c>
      <c r="R1882" s="4" t="inlineStr">
        <is>
          <t>iPhone</t>
        </is>
      </c>
      <c r="S1882" s="4" t="inlineStr">
        <is>
          <t>B38</t>
        </is>
      </c>
      <c r="T1882" s="4" t="inlineStr">
        <is>
          <t>RAMP_1501_2500</t>
        </is>
      </c>
      <c r="U1882" s="4" t="inlineStr">
        <is>
          <t>CREATED</t>
        </is>
      </c>
      <c r="V1882" s="4" t="inlineStr">
        <is>
          <t>idem-20260902-ios-1881</t>
        </is>
      </c>
    </row>
    <row r="1883" ht="30" customHeight="1">
      <c r="A1883" s="4" t="n">
        <v>1882</v>
      </c>
      <c r="B1883" s="4" t="inlineStr">
        <is>
          <t>MTR-IOS-1882</t>
        </is>
      </c>
      <c r="C1883" s="4" t="inlineStr">
        <is>
          <t>Personal</t>
        </is>
      </c>
      <c r="D1883" s="4" t="inlineStr">
        <is>
          <t>Personal</t>
        </is>
      </c>
      <c r="E1883" s="4" t="inlineStr">
        <is>
          <t>Life Operations</t>
        </is>
      </c>
      <c r="F1883" s="4" t="inlineStr">
        <is>
          <t>Repairs</t>
        </is>
      </c>
      <c r="G1883" s="4" t="inlineStr">
        <is>
          <t>Expense</t>
        </is>
      </c>
      <c r="H1883" s="12" t="n">
        <v>46019</v>
      </c>
      <c r="I1883" s="13" t="n">
        <v>0.5060300925925926</v>
      </c>
      <c r="J1883" s="14" t="n">
        <v>46019.50603009259</v>
      </c>
      <c r="K1883" s="15" t="n">
        <v>2939.76</v>
      </c>
      <c r="L1883" s="4" t="inlineStr">
        <is>
          <t>INR</t>
        </is>
      </c>
      <c r="M1883" s="15" t="n">
        <v>-2939.76</v>
      </c>
      <c r="N1883" s="4" t="inlineStr">
        <is>
          <t>IOS Owner</t>
        </is>
      </c>
      <c r="O1883" s="4" t="n"/>
      <c r="P1883" s="4" t="n"/>
      <c r="Q1883" s="4" t="inlineStr">
        <is>
          <t>MAESTRO-IOS-PERSONAL-LIFE_OPERATIONS-1882 | Repairs | 2939.76</t>
        </is>
      </c>
      <c r="R1883" s="4" t="inlineStr">
        <is>
          <t>iPhone</t>
        </is>
      </c>
      <c r="S1883" s="4" t="inlineStr">
        <is>
          <t>B38</t>
        </is>
      </c>
      <c r="T1883" s="4" t="inlineStr">
        <is>
          <t>RAMP_1501_2500</t>
        </is>
      </c>
      <c r="U1883" s="4" t="inlineStr">
        <is>
          <t>CREATED</t>
        </is>
      </c>
      <c r="V1883" s="4" t="inlineStr">
        <is>
          <t>idem-20260902-ios-1882</t>
        </is>
      </c>
    </row>
    <row r="1884" ht="30" customHeight="1">
      <c r="A1884" s="4" t="n">
        <v>1883</v>
      </c>
      <c r="B1884" s="4" t="inlineStr">
        <is>
          <t>MTR-IOS-1883</t>
        </is>
      </c>
      <c r="C1884" s="4" t="inlineStr">
        <is>
          <t>Group</t>
        </is>
      </c>
      <c r="D1884" s="4" t="inlineStr">
        <is>
          <t>Shared Living</t>
        </is>
      </c>
      <c r="E1884" s="4" t="inlineStr">
        <is>
          <t>Shared Living</t>
        </is>
      </c>
      <c r="F1884" s="4" t="inlineStr">
        <is>
          <t>Groceries</t>
        </is>
      </c>
      <c r="G1884" s="4" t="inlineStr">
        <is>
          <t>Expense</t>
        </is>
      </c>
      <c r="H1884" s="12" t="n">
        <v>46141</v>
      </c>
      <c r="I1884" s="13" t="n">
        <v>0.3690625</v>
      </c>
      <c r="J1884" s="14" t="n">
        <v>46141.3690625</v>
      </c>
      <c r="K1884" s="15" t="n">
        <v>17075.27</v>
      </c>
      <c r="L1884" s="4" t="inlineStr">
        <is>
          <t>INR</t>
        </is>
      </c>
      <c r="M1884" s="15" t="n">
        <v>-17075.27</v>
      </c>
      <c r="N1884" s="4" t="inlineStr">
        <is>
          <t>IOS Owner</t>
        </is>
      </c>
      <c r="O1884" s="4" t="n">
        <v>3</v>
      </c>
      <c r="P1884" s="4" t="inlineStr">
        <is>
          <t>SHARES</t>
        </is>
      </c>
      <c r="Q1884" s="4" t="inlineStr">
        <is>
          <t>MAESTRO-IOS-GROUP-SHARED_LIVING-1883 | Groceries | 17075.27</t>
        </is>
      </c>
      <c r="R1884" s="4" t="inlineStr">
        <is>
          <t>iPhone</t>
        </is>
      </c>
      <c r="S1884" s="4" t="inlineStr">
        <is>
          <t>B38</t>
        </is>
      </c>
      <c r="T1884" s="4" t="inlineStr">
        <is>
          <t>RAMP_1501_2500</t>
        </is>
      </c>
      <c r="U1884" s="4" t="inlineStr">
        <is>
          <t>CREATED</t>
        </is>
      </c>
      <c r="V1884" s="4" t="inlineStr">
        <is>
          <t>idem-20260902-ios-1883</t>
        </is>
      </c>
    </row>
    <row r="1885" ht="30" customHeight="1">
      <c r="A1885" s="4" t="n">
        <v>1884</v>
      </c>
      <c r="B1885" s="4" t="inlineStr">
        <is>
          <t>MTR-IOS-1884</t>
        </is>
      </c>
      <c r="C1885" s="4" t="inlineStr">
        <is>
          <t>Business</t>
        </is>
      </c>
      <c r="D1885" s="4" t="inlineStr">
        <is>
          <t>Business</t>
        </is>
      </c>
      <c r="E1885" s="4" t="inlineStr">
        <is>
          <t>Business Operations</t>
        </is>
      </c>
      <c r="F1885" s="4" t="inlineStr">
        <is>
          <t>Equipment</t>
        </is>
      </c>
      <c r="G1885" s="4" t="inlineStr">
        <is>
          <t>Expense</t>
        </is>
      </c>
      <c r="H1885" s="12" t="n">
        <v>46041</v>
      </c>
      <c r="I1885" s="13" t="n">
        <v>0.4216898148148148</v>
      </c>
      <c r="J1885" s="14" t="n">
        <v>46041.42168981482</v>
      </c>
      <c r="K1885" s="15" t="n">
        <v>103112.11</v>
      </c>
      <c r="L1885" s="4" t="inlineStr">
        <is>
          <t>INR</t>
        </is>
      </c>
      <c r="M1885" s="15" t="n">
        <v>-103112.11</v>
      </c>
      <c r="N1885" s="4" t="inlineStr">
        <is>
          <t>IOS Owner</t>
        </is>
      </c>
      <c r="O1885" s="4" t="n"/>
      <c r="P1885" s="4" t="n"/>
      <c r="Q1885" s="4" t="inlineStr">
        <is>
          <t>MAESTRO-IOS-BUSINESS-BUSINESS_OPERATIONS-1884 | Equipment | 103112.11</t>
        </is>
      </c>
      <c r="R1885" s="4" t="inlineStr">
        <is>
          <t>iPhone</t>
        </is>
      </c>
      <c r="S1885" s="4" t="inlineStr">
        <is>
          <t>B38</t>
        </is>
      </c>
      <c r="T1885" s="4" t="inlineStr">
        <is>
          <t>RAMP_1501_2500</t>
        </is>
      </c>
      <c r="U1885" s="4" t="inlineStr">
        <is>
          <t>CREATED</t>
        </is>
      </c>
      <c r="V1885" s="4" t="inlineStr">
        <is>
          <t>idem-20260902-ios-1884</t>
        </is>
      </c>
    </row>
    <row r="1886" ht="30" customHeight="1">
      <c r="A1886" s="4" t="n">
        <v>1885</v>
      </c>
      <c r="B1886" s="4" t="inlineStr">
        <is>
          <t>MTR-IOS-1885</t>
        </is>
      </c>
      <c r="C1886" s="4" t="inlineStr">
        <is>
          <t>Personal</t>
        </is>
      </c>
      <c r="D1886" s="4" t="inlineStr">
        <is>
          <t>Personal</t>
        </is>
      </c>
      <c r="E1886" s="4" t="inlineStr">
        <is>
          <t>Future Building</t>
        </is>
      </c>
      <c r="F1886" s="4" t="inlineStr">
        <is>
          <t>Savings</t>
        </is>
      </c>
      <c r="G1886" s="4" t="inlineStr">
        <is>
          <t>Transfer</t>
        </is>
      </c>
      <c r="H1886" s="12" t="n">
        <v>45916</v>
      </c>
      <c r="I1886" s="13" t="n">
        <v>0.1689351851851852</v>
      </c>
      <c r="J1886" s="14" t="n">
        <v>45916.16893518518</v>
      </c>
      <c r="K1886" s="15" t="n">
        <v>11953.62</v>
      </c>
      <c r="L1886" s="4" t="inlineStr">
        <is>
          <t>INR</t>
        </is>
      </c>
      <c r="M1886" s="15" t="n">
        <v>0</v>
      </c>
      <c r="N1886" s="4" t="inlineStr">
        <is>
          <t>IOS Owner</t>
        </is>
      </c>
      <c r="O1886" s="4" t="n"/>
      <c r="P1886" s="4" t="n"/>
      <c r="Q1886" s="4" t="inlineStr">
        <is>
          <t>MAESTRO-IOS-PERSONAL-FUTURE_BUILDING-1885 | Savings | 11953.62</t>
        </is>
      </c>
      <c r="R1886" s="4" t="inlineStr">
        <is>
          <t>iPhone</t>
        </is>
      </c>
      <c r="S1886" s="4" t="inlineStr">
        <is>
          <t>B38</t>
        </is>
      </c>
      <c r="T1886" s="4" t="inlineStr">
        <is>
          <t>RAMP_1501_2500</t>
        </is>
      </c>
      <c r="U1886" s="4" t="inlineStr">
        <is>
          <t>CREATED</t>
        </is>
      </c>
      <c r="V1886" s="4" t="inlineStr">
        <is>
          <t>idem-20260902-ios-1885</t>
        </is>
      </c>
    </row>
    <row r="1887" ht="30" customHeight="1">
      <c r="A1887" s="4" t="n">
        <v>1886</v>
      </c>
      <c r="B1887" s="4" t="inlineStr">
        <is>
          <t>MTR-IOS-1886</t>
        </is>
      </c>
      <c r="C1887" s="4" t="inlineStr">
        <is>
          <t>Group</t>
        </is>
      </c>
      <c r="D1887" s="4" t="inlineStr">
        <is>
          <t>Shared Living</t>
        </is>
      </c>
      <c r="E1887" s="4" t="inlineStr">
        <is>
          <t>Shared Living</t>
        </is>
      </c>
      <c r="F1887" s="4" t="inlineStr">
        <is>
          <t>Maintenance</t>
        </is>
      </c>
      <c r="G1887" s="4" t="inlineStr">
        <is>
          <t>Expense</t>
        </is>
      </c>
      <c r="H1887" s="12" t="n">
        <v>46152</v>
      </c>
      <c r="I1887" s="13" t="n">
        <v>0.6420833333333333</v>
      </c>
      <c r="J1887" s="14" t="n">
        <v>46152.64208333333</v>
      </c>
      <c r="K1887" s="15" t="n">
        <v>13829.79</v>
      </c>
      <c r="L1887" s="4" t="inlineStr">
        <is>
          <t>INR</t>
        </is>
      </c>
      <c r="M1887" s="15" t="n">
        <v>-13829.79</v>
      </c>
      <c r="N1887" s="4" t="inlineStr">
        <is>
          <t>IOS Aarav</t>
        </is>
      </c>
      <c r="O1887" s="4" t="n">
        <v>3</v>
      </c>
      <c r="P1887" s="4" t="inlineStr">
        <is>
          <t>EQUAL</t>
        </is>
      </c>
      <c r="Q1887" s="4" t="inlineStr">
        <is>
          <t>MAESTRO-IOS-GROUP-SHARED_LIVING-1886 | Maintenance | 13829.79</t>
        </is>
      </c>
      <c r="R1887" s="4" t="inlineStr">
        <is>
          <t>iPhone</t>
        </is>
      </c>
      <c r="S1887" s="4" t="inlineStr">
        <is>
          <t>B38</t>
        </is>
      </c>
      <c r="T1887" s="4" t="inlineStr">
        <is>
          <t>RAMP_1501_2500</t>
        </is>
      </c>
      <c r="U1887" s="4" t="inlineStr">
        <is>
          <t>CREATED</t>
        </is>
      </c>
      <c r="V1887" s="4" t="inlineStr">
        <is>
          <t>idem-20260902-ios-1886</t>
        </is>
      </c>
    </row>
    <row r="1888" ht="30" customHeight="1">
      <c r="A1888" s="4" t="n">
        <v>1887</v>
      </c>
      <c r="B1888" s="4" t="inlineStr">
        <is>
          <t>MTR-IOS-1887</t>
        </is>
      </c>
      <c r="C1888" s="4" t="inlineStr">
        <is>
          <t>Business</t>
        </is>
      </c>
      <c r="D1888" s="4" t="inlineStr">
        <is>
          <t>Business</t>
        </is>
      </c>
      <c r="E1888" s="4" t="inlineStr">
        <is>
          <t>Business Operations</t>
        </is>
      </c>
      <c r="F1888" s="4" t="inlineStr">
        <is>
          <t>Vendor</t>
        </is>
      </c>
      <c r="G1888" s="4" t="inlineStr">
        <is>
          <t>Expense</t>
        </is>
      </c>
      <c r="H1888" s="12" t="n">
        <v>46033</v>
      </c>
      <c r="I1888" s="13" t="n">
        <v>0.4744907407407408</v>
      </c>
      <c r="J1888" s="14" t="n">
        <v>46033.47449074074</v>
      </c>
      <c r="K1888" s="15" t="n">
        <v>100</v>
      </c>
      <c r="L1888" s="4" t="inlineStr">
        <is>
          <t>INR</t>
        </is>
      </c>
      <c r="M1888" s="15" t="n">
        <v>-100</v>
      </c>
      <c r="N1888" s="4" t="inlineStr">
        <is>
          <t>IOS Owner</t>
        </is>
      </c>
      <c r="O1888" s="4" t="n"/>
      <c r="P1888" s="4" t="n"/>
      <c r="Q1888" s="4" t="inlineStr">
        <is>
          <t>MAESTRO-IOS-BUSINESS-BUSINESS_OPERATIONS-1887 | Vendor | 100.00</t>
        </is>
      </c>
      <c r="R1888" s="4" t="inlineStr">
        <is>
          <t>iPhone</t>
        </is>
      </c>
      <c r="S1888" s="4" t="inlineStr">
        <is>
          <t>B38</t>
        </is>
      </c>
      <c r="T1888" s="4" t="inlineStr">
        <is>
          <t>RAMP_1501_2500</t>
        </is>
      </c>
      <c r="U1888" s="4" t="inlineStr">
        <is>
          <t>CREATED</t>
        </is>
      </c>
      <c r="V1888" s="4" t="inlineStr">
        <is>
          <t>idem-20260902-ios-1887</t>
        </is>
      </c>
    </row>
    <row r="1889" ht="30" customHeight="1">
      <c r="A1889" s="4" t="n">
        <v>1888</v>
      </c>
      <c r="B1889" s="4" t="inlineStr">
        <is>
          <t>MTR-IOS-1888</t>
        </is>
      </c>
      <c r="C1889" s="4" t="inlineStr">
        <is>
          <t>Personal</t>
        </is>
      </c>
      <c r="D1889" s="4" t="inlineStr">
        <is>
          <t>Personal</t>
        </is>
      </c>
      <c r="E1889" s="4" t="inlineStr">
        <is>
          <t>Future Building</t>
        </is>
      </c>
      <c r="F1889" s="4" t="inlineStr">
        <is>
          <t>Emergency Fund</t>
        </is>
      </c>
      <c r="G1889" s="4" t="inlineStr">
        <is>
          <t>Transfer</t>
        </is>
      </c>
      <c r="H1889" s="12" t="n">
        <v>46120</v>
      </c>
      <c r="I1889" s="13" t="n">
        <v>0.8394097222222222</v>
      </c>
      <c r="J1889" s="14" t="n">
        <v>46120.83940972222</v>
      </c>
      <c r="K1889" s="15" t="n">
        <v>12250.05</v>
      </c>
      <c r="L1889" s="4" t="inlineStr">
        <is>
          <t>INR</t>
        </is>
      </c>
      <c r="M1889" s="15" t="n">
        <v>0</v>
      </c>
      <c r="N1889" s="4" t="inlineStr">
        <is>
          <t>IOS Owner</t>
        </is>
      </c>
      <c r="O1889" s="4" t="n"/>
      <c r="P1889" s="4" t="n"/>
      <c r="Q1889" s="4" t="inlineStr">
        <is>
          <t>MAESTRO-IOS-PERSONAL-FUTURE_BUILDING-1888 | Emergency Fund | 12250.05</t>
        </is>
      </c>
      <c r="R1889" s="4" t="inlineStr">
        <is>
          <t>iPhone</t>
        </is>
      </c>
      <c r="S1889" s="4" t="inlineStr">
        <is>
          <t>B38</t>
        </is>
      </c>
      <c r="T1889" s="4" t="inlineStr">
        <is>
          <t>RAMP_1501_2500</t>
        </is>
      </c>
      <c r="U1889" s="4" t="inlineStr">
        <is>
          <t>CREATED</t>
        </is>
      </c>
      <c r="V1889" s="4" t="inlineStr">
        <is>
          <t>idem-20260902-ios-1888</t>
        </is>
      </c>
    </row>
    <row r="1890" ht="30" customHeight="1">
      <c r="A1890" s="4" t="n">
        <v>1889</v>
      </c>
      <c r="B1890" s="4" t="inlineStr">
        <is>
          <t>MTR-IOS-1889</t>
        </is>
      </c>
      <c r="C1890" s="4" t="inlineStr">
        <is>
          <t>Group</t>
        </is>
      </c>
      <c r="D1890" s="4" t="inlineStr">
        <is>
          <t>Shared Living</t>
        </is>
      </c>
      <c r="E1890" s="4" t="inlineStr">
        <is>
          <t>Shared Living</t>
        </is>
      </c>
      <c r="F1890" s="4" t="inlineStr">
        <is>
          <t>Other</t>
        </is>
      </c>
      <c r="G1890" s="4" t="inlineStr">
        <is>
          <t>Expense</t>
        </is>
      </c>
      <c r="H1890" s="12" t="n">
        <v>46178</v>
      </c>
      <c r="I1890" s="13" t="n">
        <v>0.5717939814814815</v>
      </c>
      <c r="J1890" s="14" t="n">
        <v>46178.57179398148</v>
      </c>
      <c r="K1890" s="15" t="n">
        <v>23829.03</v>
      </c>
      <c r="L1890" s="4" t="inlineStr">
        <is>
          <t>INR</t>
        </is>
      </c>
      <c r="M1890" s="15" t="n">
        <v>-23829.03</v>
      </c>
      <c r="N1890" s="4" t="inlineStr">
        <is>
          <t>IOS Meera</t>
        </is>
      </c>
      <c r="O1890" s="4" t="n">
        <v>3</v>
      </c>
      <c r="P1890" s="4" t="inlineStr">
        <is>
          <t>PERCENTAGE</t>
        </is>
      </c>
      <c r="Q1890" s="4" t="inlineStr">
        <is>
          <t>MAESTRO-IOS-GROUP-SHARED_LIVING-1889 | Other | 23829.03</t>
        </is>
      </c>
      <c r="R1890" s="4" t="inlineStr">
        <is>
          <t>iPhone</t>
        </is>
      </c>
      <c r="S1890" s="4" t="inlineStr">
        <is>
          <t>B38</t>
        </is>
      </c>
      <c r="T1890" s="4" t="inlineStr">
        <is>
          <t>RAMP_1501_2500</t>
        </is>
      </c>
      <c r="U1890" s="4" t="inlineStr">
        <is>
          <t>CREATED</t>
        </is>
      </c>
      <c r="V1890" s="4" t="inlineStr">
        <is>
          <t>idem-20260902-ios-1889</t>
        </is>
      </c>
    </row>
    <row r="1891" ht="30" customHeight="1">
      <c r="A1891" s="4" t="n">
        <v>1890</v>
      </c>
      <c r="B1891" s="4" t="inlineStr">
        <is>
          <t>MTR-IOS-1890</t>
        </is>
      </c>
      <c r="C1891" s="4" t="inlineStr">
        <is>
          <t>Business</t>
        </is>
      </c>
      <c r="D1891" s="4" t="inlineStr">
        <is>
          <t>Business</t>
        </is>
      </c>
      <c r="E1891" s="4" t="inlineStr">
        <is>
          <t>Business Operations</t>
        </is>
      </c>
      <c r="F1891" s="4" t="inlineStr">
        <is>
          <t>Tax</t>
        </is>
      </c>
      <c r="G1891" s="4" t="inlineStr">
        <is>
          <t>Expense</t>
        </is>
      </c>
      <c r="H1891" s="12" t="n">
        <v>46128</v>
      </c>
      <c r="I1891" s="13" t="n">
        <v>0.2951851851851852</v>
      </c>
      <c r="J1891" s="14" t="n">
        <v>46128.29518518518</v>
      </c>
      <c r="K1891" s="15" t="n">
        <v>99052.56</v>
      </c>
      <c r="L1891" s="4" t="inlineStr">
        <is>
          <t>INR</t>
        </is>
      </c>
      <c r="M1891" s="15" t="n">
        <v>-99052.56</v>
      </c>
      <c r="N1891" s="4" t="inlineStr">
        <is>
          <t>IOS Owner</t>
        </is>
      </c>
      <c r="O1891" s="4" t="n"/>
      <c r="P1891" s="4" t="n"/>
      <c r="Q1891" s="4" t="inlineStr">
        <is>
          <t>MAESTRO-IOS-BUSINESS-BUSINESS_OPERATIONS-1890 | Tax | 99052.56</t>
        </is>
      </c>
      <c r="R1891" s="4" t="inlineStr">
        <is>
          <t>iPhone</t>
        </is>
      </c>
      <c r="S1891" s="4" t="inlineStr">
        <is>
          <t>B38</t>
        </is>
      </c>
      <c r="T1891" s="4" t="inlineStr">
        <is>
          <t>RAMP_1501_2500</t>
        </is>
      </c>
      <c r="U1891" s="4" t="inlineStr">
        <is>
          <t>CREATED</t>
        </is>
      </c>
      <c r="V1891" s="4" t="inlineStr">
        <is>
          <t>idem-20260902-ios-1890</t>
        </is>
      </c>
    </row>
    <row r="1892" ht="30" customHeight="1">
      <c r="A1892" s="4" t="n">
        <v>1891</v>
      </c>
      <c r="B1892" s="4" t="inlineStr">
        <is>
          <t>MTR-IOS-1891</t>
        </is>
      </c>
      <c r="C1892" s="4" t="inlineStr">
        <is>
          <t>Personal</t>
        </is>
      </c>
      <c r="D1892" s="4" t="inlineStr">
        <is>
          <t>Personal</t>
        </is>
      </c>
      <c r="E1892" s="4" t="inlineStr">
        <is>
          <t>Future Building</t>
        </is>
      </c>
      <c r="F1892" s="4" t="inlineStr">
        <is>
          <t>Investments</t>
        </is>
      </c>
      <c r="G1892" s="4" t="inlineStr">
        <is>
          <t>Investment</t>
        </is>
      </c>
      <c r="H1892" s="12" t="n">
        <v>46144</v>
      </c>
      <c r="I1892" s="13" t="n">
        <v>0.8287152777777778</v>
      </c>
      <c r="J1892" s="14" t="n">
        <v>46144.82871527778</v>
      </c>
      <c r="K1892" s="15" t="n">
        <v>7748.8</v>
      </c>
      <c r="L1892" s="4" t="inlineStr">
        <is>
          <t>INR</t>
        </is>
      </c>
      <c r="M1892" s="15" t="n">
        <v>0</v>
      </c>
      <c r="N1892" s="4" t="inlineStr">
        <is>
          <t>IOS Owner</t>
        </is>
      </c>
      <c r="O1892" s="4" t="n"/>
      <c r="P1892" s="4" t="n"/>
      <c r="Q1892" s="4" t="inlineStr">
        <is>
          <t>MAESTRO-IOS-PERSONAL-FUTURE_BUILDING-1891 | Investments | 7748.80</t>
        </is>
      </c>
      <c r="R1892" s="4" t="inlineStr">
        <is>
          <t>iPhone</t>
        </is>
      </c>
      <c r="S1892" s="4" t="inlineStr">
        <is>
          <t>B38</t>
        </is>
      </c>
      <c r="T1892" s="4" t="inlineStr">
        <is>
          <t>RAMP_1501_2500</t>
        </is>
      </c>
      <c r="U1892" s="4" t="inlineStr">
        <is>
          <t>CREATED</t>
        </is>
      </c>
      <c r="V1892" s="4" t="inlineStr">
        <is>
          <t>idem-20260902-ios-1891</t>
        </is>
      </c>
    </row>
    <row r="1893" ht="30" customHeight="1">
      <c r="A1893" s="4" t="n">
        <v>1892</v>
      </c>
      <c r="B1893" s="4" t="inlineStr">
        <is>
          <t>MTR-IOS-1892</t>
        </is>
      </c>
      <c r="C1893" s="4" t="inlineStr">
        <is>
          <t>Group</t>
        </is>
      </c>
      <c r="D1893" s="4" t="inlineStr">
        <is>
          <t>Shared Living</t>
        </is>
      </c>
      <c r="E1893" s="4" t="inlineStr">
        <is>
          <t>Family Household</t>
        </is>
      </c>
      <c r="F1893" s="4" t="inlineStr">
        <is>
          <t>Groceries</t>
        </is>
      </c>
      <c r="G1893" s="4" t="inlineStr">
        <is>
          <t>Expense</t>
        </is>
      </c>
      <c r="H1893" s="12" t="n">
        <v>46201</v>
      </c>
      <c r="I1893" s="13" t="n">
        <v>0.2918402777777778</v>
      </c>
      <c r="J1893" s="14" t="n">
        <v>46201.29184027778</v>
      </c>
      <c r="K1893" s="15" t="n">
        <v>16523.12</v>
      </c>
      <c r="L1893" s="4" t="inlineStr">
        <is>
          <t>INR</t>
        </is>
      </c>
      <c r="M1893" s="15" t="n">
        <v>-16523.12</v>
      </c>
      <c r="N1893" s="4" t="inlineStr">
        <is>
          <t>IOS Owner</t>
        </is>
      </c>
      <c r="O1893" s="4" t="n">
        <v>3</v>
      </c>
      <c r="P1893" s="4" t="inlineStr">
        <is>
          <t>EXACT</t>
        </is>
      </c>
      <c r="Q1893" s="4" t="inlineStr">
        <is>
          <t>MAESTRO-IOS-GROUP-FAMILY_HOUSEHOLD-1892 | Groceries | 16523.12</t>
        </is>
      </c>
      <c r="R1893" s="4" t="inlineStr">
        <is>
          <t>iPhone</t>
        </is>
      </c>
      <c r="S1893" s="4" t="inlineStr">
        <is>
          <t>B38</t>
        </is>
      </c>
      <c r="T1893" s="4" t="inlineStr">
        <is>
          <t>RAMP_1501_2500</t>
        </is>
      </c>
      <c r="U1893" s="4" t="inlineStr">
        <is>
          <t>CREATED</t>
        </is>
      </c>
      <c r="V1893" s="4" t="inlineStr">
        <is>
          <t>idem-20260902-ios-1892</t>
        </is>
      </c>
    </row>
    <row r="1894" ht="30" customHeight="1">
      <c r="A1894" s="4" t="n">
        <v>1893</v>
      </c>
      <c r="B1894" s="4" t="inlineStr">
        <is>
          <t>MTR-IOS-1893</t>
        </is>
      </c>
      <c r="C1894" s="4" t="inlineStr">
        <is>
          <t>Business</t>
        </is>
      </c>
      <c r="D1894" s="4" t="inlineStr">
        <is>
          <t>Business</t>
        </is>
      </c>
      <c r="E1894" s="4" t="inlineStr">
        <is>
          <t>Team Operations</t>
        </is>
      </c>
      <c r="F1894" s="4" t="inlineStr">
        <is>
          <t>Payroll</t>
        </is>
      </c>
      <c r="G1894" s="4" t="inlineStr">
        <is>
          <t>Expense</t>
        </is>
      </c>
      <c r="H1894" s="12" t="n">
        <v>46221</v>
      </c>
      <c r="I1894" s="13" t="n">
        <v>0.7702777777777777</v>
      </c>
      <c r="J1894" s="14" t="n">
        <v>46221.77027777778</v>
      </c>
      <c r="K1894" s="15" t="n">
        <v>95730.22</v>
      </c>
      <c r="L1894" s="4" t="inlineStr">
        <is>
          <t>INR</t>
        </is>
      </c>
      <c r="M1894" s="15" t="n">
        <v>-95730.22</v>
      </c>
      <c r="N1894" s="4" t="inlineStr">
        <is>
          <t>IOS Owner</t>
        </is>
      </c>
      <c r="O1894" s="4" t="n"/>
      <c r="P1894" s="4" t="n"/>
      <c r="Q1894" s="4" t="inlineStr">
        <is>
          <t>MAESTRO-IOS-BUSINESS-TEAM_OPERATIONS-1893 | Payroll | 95730.22</t>
        </is>
      </c>
      <c r="R1894" s="4" t="inlineStr">
        <is>
          <t>iPhone</t>
        </is>
      </c>
      <c r="S1894" s="4" t="inlineStr">
        <is>
          <t>B38</t>
        </is>
      </c>
      <c r="T1894" s="4" t="inlineStr">
        <is>
          <t>RAMP_1501_2500</t>
        </is>
      </c>
      <c r="U1894" s="4" t="inlineStr">
        <is>
          <t>CREATED</t>
        </is>
      </c>
      <c r="V1894" s="4" t="inlineStr">
        <is>
          <t>idem-20260902-ios-1893</t>
        </is>
      </c>
    </row>
    <row r="1895" ht="30" customHeight="1">
      <c r="A1895" s="4" t="n">
        <v>1894</v>
      </c>
      <c r="B1895" s="4" t="inlineStr">
        <is>
          <t>MTR-IOS-1894</t>
        </is>
      </c>
      <c r="C1895" s="4" t="inlineStr">
        <is>
          <t>Personal</t>
        </is>
      </c>
      <c r="D1895" s="4" t="inlineStr">
        <is>
          <t>Personal</t>
        </is>
      </c>
      <c r="E1895" s="4" t="inlineStr">
        <is>
          <t>Future Building</t>
        </is>
      </c>
      <c r="F1895" s="4" t="inlineStr">
        <is>
          <t>Education</t>
        </is>
      </c>
      <c r="G1895" s="4" t="inlineStr">
        <is>
          <t>Expense</t>
        </is>
      </c>
      <c r="H1895" s="12" t="n">
        <v>46124</v>
      </c>
      <c r="I1895" s="13" t="n">
        <v>0.8986805555555556</v>
      </c>
      <c r="J1895" s="14" t="n">
        <v>46124.89868055555</v>
      </c>
      <c r="K1895" s="15" t="n">
        <v>3582.85</v>
      </c>
      <c r="L1895" s="4" t="inlineStr">
        <is>
          <t>INR</t>
        </is>
      </c>
      <c r="M1895" s="15" t="n">
        <v>-3582.85</v>
      </c>
      <c r="N1895" s="4" t="inlineStr">
        <is>
          <t>IOS Owner</t>
        </is>
      </c>
      <c r="O1895" s="4" t="n"/>
      <c r="P1895" s="4" t="n"/>
      <c r="Q1895" s="4" t="inlineStr">
        <is>
          <t>MAESTRO-IOS-PERSONAL-FUTURE_BUILDING-1894 | Education | 3582.85</t>
        </is>
      </c>
      <c r="R1895" s="4" t="inlineStr">
        <is>
          <t>iPhone</t>
        </is>
      </c>
      <c r="S1895" s="4" t="inlineStr">
        <is>
          <t>B38</t>
        </is>
      </c>
      <c r="T1895" s="4" t="inlineStr">
        <is>
          <t>RAMP_1501_2500</t>
        </is>
      </c>
      <c r="U1895" s="4" t="inlineStr">
        <is>
          <t>CREATED</t>
        </is>
      </c>
      <c r="V1895" s="4" t="inlineStr">
        <is>
          <t>idem-20260902-ios-1894</t>
        </is>
      </c>
    </row>
    <row r="1896" ht="30" customHeight="1">
      <c r="A1896" s="4" t="n">
        <v>1895</v>
      </c>
      <c r="B1896" s="4" t="inlineStr">
        <is>
          <t>MTR-IOS-1895</t>
        </is>
      </c>
      <c r="C1896" s="4" t="inlineStr">
        <is>
          <t>Group</t>
        </is>
      </c>
      <c r="D1896" s="4" t="inlineStr">
        <is>
          <t>Shared Living</t>
        </is>
      </c>
      <c r="E1896" s="4" t="inlineStr">
        <is>
          <t>Family Household</t>
        </is>
      </c>
      <c r="F1896" s="4" t="inlineStr">
        <is>
          <t>Bills</t>
        </is>
      </c>
      <c r="G1896" s="4" t="inlineStr">
        <is>
          <t>Expense</t>
        </is>
      </c>
      <c r="H1896" s="12" t="n">
        <v>46202</v>
      </c>
      <c r="I1896" s="13" t="n">
        <v>0.3256712962962963</v>
      </c>
      <c r="J1896" s="14" t="n">
        <v>46202.3256712963</v>
      </c>
      <c r="K1896" s="15" t="n">
        <v>419.43</v>
      </c>
      <c r="L1896" s="4" t="inlineStr">
        <is>
          <t>INR</t>
        </is>
      </c>
      <c r="M1896" s="15" t="n">
        <v>-419.43</v>
      </c>
      <c r="N1896" s="4" t="inlineStr">
        <is>
          <t>IOS Aarav</t>
        </is>
      </c>
      <c r="O1896" s="4" t="n">
        <v>3</v>
      </c>
      <c r="P1896" s="4" t="inlineStr">
        <is>
          <t>SHARES</t>
        </is>
      </c>
      <c r="Q1896" s="4" t="inlineStr">
        <is>
          <t>MAESTRO-IOS-GROUP-FAMILY_HOUSEHOLD-1895 | Bills | 419.43</t>
        </is>
      </c>
      <c r="R1896" s="4" t="inlineStr">
        <is>
          <t>iPhone</t>
        </is>
      </c>
      <c r="S1896" s="4" t="inlineStr">
        <is>
          <t>B38</t>
        </is>
      </c>
      <c r="T1896" s="4" t="inlineStr">
        <is>
          <t>RAMP_1501_2500</t>
        </is>
      </c>
      <c r="U1896" s="4" t="inlineStr">
        <is>
          <t>CREATED</t>
        </is>
      </c>
      <c r="V1896" s="4" t="inlineStr">
        <is>
          <t>idem-20260902-ios-1895</t>
        </is>
      </c>
    </row>
    <row r="1897" ht="30" customHeight="1">
      <c r="A1897" s="4" t="n">
        <v>1896</v>
      </c>
      <c r="B1897" s="4" t="inlineStr">
        <is>
          <t>MTR-IOS-1896</t>
        </is>
      </c>
      <c r="C1897" s="4" t="inlineStr">
        <is>
          <t>Business</t>
        </is>
      </c>
      <c r="D1897" s="4" t="inlineStr">
        <is>
          <t>Business</t>
        </is>
      </c>
      <c r="E1897" s="4" t="inlineStr">
        <is>
          <t>Team Operations</t>
        </is>
      </c>
      <c r="F1897" s="4" t="inlineStr">
        <is>
          <t>Contractor</t>
        </is>
      </c>
      <c r="G1897" s="4" t="inlineStr">
        <is>
          <t>Expense</t>
        </is>
      </c>
      <c r="H1897" s="12" t="n">
        <v>46050</v>
      </c>
      <c r="I1897" s="13" t="n">
        <v>0.2578356481481481</v>
      </c>
      <c r="J1897" s="14" t="n">
        <v>46050.25783564815</v>
      </c>
      <c r="K1897" s="15" t="n">
        <v>58783.26</v>
      </c>
      <c r="L1897" s="4" t="inlineStr">
        <is>
          <t>INR</t>
        </is>
      </c>
      <c r="M1897" s="15" t="n">
        <v>-58783.26</v>
      </c>
      <c r="N1897" s="4" t="inlineStr">
        <is>
          <t>IOS Owner</t>
        </is>
      </c>
      <c r="O1897" s="4" t="n"/>
      <c r="P1897" s="4" t="n"/>
      <c r="Q1897" s="4" t="inlineStr">
        <is>
          <t>MAESTRO-IOS-BUSINESS-TEAM_OPERATIONS-1896 | Contractor | 58783.26</t>
        </is>
      </c>
      <c r="R1897" s="4" t="inlineStr">
        <is>
          <t>iPhone</t>
        </is>
      </c>
      <c r="S1897" s="4" t="inlineStr">
        <is>
          <t>B38</t>
        </is>
      </c>
      <c r="T1897" s="4" t="inlineStr">
        <is>
          <t>RAMP_1501_2500</t>
        </is>
      </c>
      <c r="U1897" s="4" t="inlineStr">
        <is>
          <t>CREATED</t>
        </is>
      </c>
      <c r="V1897" s="4" t="inlineStr">
        <is>
          <t>idem-20260902-ios-1896</t>
        </is>
      </c>
    </row>
    <row r="1898" ht="30" customHeight="1">
      <c r="A1898" s="4" t="n">
        <v>1897</v>
      </c>
      <c r="B1898" s="4" t="inlineStr">
        <is>
          <t>MTR-IOS-1897</t>
        </is>
      </c>
      <c r="C1898" s="4" t="inlineStr">
        <is>
          <t>Personal</t>
        </is>
      </c>
      <c r="D1898" s="4" t="inlineStr">
        <is>
          <t>Personal</t>
        </is>
      </c>
      <c r="E1898" s="4" t="inlineStr">
        <is>
          <t>Future Building</t>
        </is>
      </c>
      <c r="F1898" s="4" t="inlineStr">
        <is>
          <t>Goal Contribution</t>
        </is>
      </c>
      <c r="G1898" s="4" t="inlineStr">
        <is>
          <t>Transfer</t>
        </is>
      </c>
      <c r="H1898" s="12" t="n">
        <v>45947</v>
      </c>
      <c r="I1898" s="13" t="n">
        <v>0.2398842592592593</v>
      </c>
      <c r="J1898" s="14" t="n">
        <v>45947.23988425926</v>
      </c>
      <c r="K1898" s="15" t="n">
        <v>17381.14</v>
      </c>
      <c r="L1898" s="4" t="inlineStr">
        <is>
          <t>INR</t>
        </is>
      </c>
      <c r="M1898" s="15" t="n">
        <v>0</v>
      </c>
      <c r="N1898" s="4" t="inlineStr">
        <is>
          <t>IOS Owner</t>
        </is>
      </c>
      <c r="O1898" s="4" t="n"/>
      <c r="P1898" s="4" t="n"/>
      <c r="Q1898" s="4" t="inlineStr">
        <is>
          <t>MAESTRO-IOS-PERSONAL-FUTURE_BUILDING-1897 | Goal Contribution | 17381.14</t>
        </is>
      </c>
      <c r="R1898" s="4" t="inlineStr">
        <is>
          <t>iPhone</t>
        </is>
      </c>
      <c r="S1898" s="4" t="inlineStr">
        <is>
          <t>B38</t>
        </is>
      </c>
      <c r="T1898" s="4" t="inlineStr">
        <is>
          <t>RAMP_1501_2500</t>
        </is>
      </c>
      <c r="U1898" s="4" t="inlineStr">
        <is>
          <t>CREATED</t>
        </is>
      </c>
      <c r="V1898" s="4" t="inlineStr">
        <is>
          <t>idem-20260902-ios-1897</t>
        </is>
      </c>
    </row>
    <row r="1899" ht="30" customHeight="1">
      <c r="A1899" s="4" t="n">
        <v>1898</v>
      </c>
      <c r="B1899" s="4" t="inlineStr">
        <is>
          <t>MTR-IOS-1898</t>
        </is>
      </c>
      <c r="C1899" s="4" t="inlineStr">
        <is>
          <t>Group</t>
        </is>
      </c>
      <c r="D1899" s="4" t="inlineStr">
        <is>
          <t>Shared Living</t>
        </is>
      </c>
      <c r="E1899" s="4" t="inlineStr">
        <is>
          <t>Family Household</t>
        </is>
      </c>
      <c r="F1899" s="4" t="inlineStr">
        <is>
          <t>School</t>
        </is>
      </c>
      <c r="G1899" s="4" t="inlineStr">
        <is>
          <t>Expense</t>
        </is>
      </c>
      <c r="H1899" s="12" t="n">
        <v>46066</v>
      </c>
      <c r="I1899" s="13" t="n">
        <v>0.8052893518518518</v>
      </c>
      <c r="J1899" s="14" t="n">
        <v>46066.80528935185</v>
      </c>
      <c r="K1899" s="15" t="n">
        <v>20212.91</v>
      </c>
      <c r="L1899" s="4" t="inlineStr">
        <is>
          <t>INR</t>
        </is>
      </c>
      <c r="M1899" s="15" t="n">
        <v>-20212.91</v>
      </c>
      <c r="N1899" s="4" t="inlineStr">
        <is>
          <t>IOS Meera</t>
        </is>
      </c>
      <c r="O1899" s="4" t="n">
        <v>3</v>
      </c>
      <c r="P1899" s="4" t="inlineStr">
        <is>
          <t>EQUAL</t>
        </is>
      </c>
      <c r="Q1899" s="4" t="inlineStr">
        <is>
          <t>MAESTRO-IOS-GROUP-FAMILY_HOUSEHOLD-1898 | School | 20212.91</t>
        </is>
      </c>
      <c r="R1899" s="4" t="inlineStr">
        <is>
          <t>iPhone</t>
        </is>
      </c>
      <c r="S1899" s="4" t="inlineStr">
        <is>
          <t>B38</t>
        </is>
      </c>
      <c r="T1899" s="4" t="inlineStr">
        <is>
          <t>RAMP_1501_2500</t>
        </is>
      </c>
      <c r="U1899" s="4" t="inlineStr">
        <is>
          <t>CREATED</t>
        </is>
      </c>
      <c r="V1899" s="4" t="inlineStr">
        <is>
          <t>idem-20260902-ios-1898</t>
        </is>
      </c>
    </row>
    <row r="1900" ht="30" customHeight="1">
      <c r="A1900" s="4" t="n">
        <v>1899</v>
      </c>
      <c r="B1900" s="4" t="inlineStr">
        <is>
          <t>MTR-IOS-1899</t>
        </is>
      </c>
      <c r="C1900" s="4" t="inlineStr">
        <is>
          <t>Business</t>
        </is>
      </c>
      <c r="D1900" s="4" t="inlineStr">
        <is>
          <t>Business</t>
        </is>
      </c>
      <c r="E1900" s="4" t="inlineStr">
        <is>
          <t>Team Operations</t>
        </is>
      </c>
      <c r="F1900" s="4" t="inlineStr">
        <is>
          <t>Hiring</t>
        </is>
      </c>
      <c r="G1900" s="4" t="inlineStr">
        <is>
          <t>Expense</t>
        </is>
      </c>
      <c r="H1900" s="12" t="n">
        <v>46106</v>
      </c>
      <c r="I1900" s="13" t="n">
        <v>0.4141087962962963</v>
      </c>
      <c r="J1900" s="14" t="n">
        <v>46106.4141087963</v>
      </c>
      <c r="K1900" s="15" t="n">
        <v>104108.08</v>
      </c>
      <c r="L1900" s="4" t="inlineStr">
        <is>
          <t>INR</t>
        </is>
      </c>
      <c r="M1900" s="15" t="n">
        <v>-104108.08</v>
      </c>
      <c r="N1900" s="4" t="inlineStr">
        <is>
          <t>IOS Owner</t>
        </is>
      </c>
      <c r="O1900" s="4" t="n"/>
      <c r="P1900" s="4" t="n"/>
      <c r="Q1900" s="4" t="inlineStr">
        <is>
          <t>MAESTRO-IOS-BUSINESS-TEAM_OPERATIONS-1899 | Hiring | 104108.08</t>
        </is>
      </c>
      <c r="R1900" s="4" t="inlineStr">
        <is>
          <t>iPhone</t>
        </is>
      </c>
      <c r="S1900" s="4" t="inlineStr">
        <is>
          <t>B38</t>
        </is>
      </c>
      <c r="T1900" s="4" t="inlineStr">
        <is>
          <t>RAMP_1501_2500</t>
        </is>
      </c>
      <c r="U1900" s="4" t="inlineStr">
        <is>
          <t>CREATED</t>
        </is>
      </c>
      <c r="V1900" s="4" t="inlineStr">
        <is>
          <t>idem-20260902-ios-1899</t>
        </is>
      </c>
    </row>
    <row r="1901" ht="30" customHeight="1">
      <c r="A1901" s="4" t="n">
        <v>1900</v>
      </c>
      <c r="B1901" s="4" t="inlineStr">
        <is>
          <t>MTR-IOS-1900</t>
        </is>
      </c>
      <c r="C1901" s="4" t="inlineStr">
        <is>
          <t>Personal</t>
        </is>
      </c>
      <c r="D1901" s="4" t="inlineStr">
        <is>
          <t>Personal</t>
        </is>
      </c>
      <c r="E1901" s="4" t="inlineStr">
        <is>
          <t>Lifestyle</t>
        </is>
      </c>
      <c r="F1901" s="4" t="inlineStr">
        <is>
          <t>Dining</t>
        </is>
      </c>
      <c r="G1901" s="4" t="inlineStr">
        <is>
          <t>Expense</t>
        </is>
      </c>
      <c r="H1901" s="12" t="n">
        <v>46225</v>
      </c>
      <c r="I1901" s="13" t="n">
        <v>0.172974537037037</v>
      </c>
      <c r="J1901" s="14" t="n">
        <v>46225.17297453704</v>
      </c>
      <c r="K1901" s="15" t="n">
        <v>6944.64</v>
      </c>
      <c r="L1901" s="4" t="inlineStr">
        <is>
          <t>INR</t>
        </is>
      </c>
      <c r="M1901" s="15" t="n">
        <v>-6944.64</v>
      </c>
      <c r="N1901" s="4" t="inlineStr">
        <is>
          <t>IOS Owner</t>
        </is>
      </c>
      <c r="O1901" s="4" t="n"/>
      <c r="P1901" s="4" t="n"/>
      <c r="Q1901" s="4" t="inlineStr">
        <is>
          <t>MAESTRO-IOS-PERSONAL-LIFESTYLE-1900 | Dining | 6944.64</t>
        </is>
      </c>
      <c r="R1901" s="4" t="inlineStr">
        <is>
          <t>iPhone</t>
        </is>
      </c>
      <c r="S1901" s="4" t="inlineStr">
        <is>
          <t>B38</t>
        </is>
      </c>
      <c r="T1901" s="4" t="inlineStr">
        <is>
          <t>RAMP_1501_2500</t>
        </is>
      </c>
      <c r="U1901" s="4" t="inlineStr">
        <is>
          <t>CREATED</t>
        </is>
      </c>
      <c r="V1901" s="4" t="inlineStr">
        <is>
          <t>idem-20260902-ios-1900</t>
        </is>
      </c>
    </row>
    <row r="1902" ht="30" customHeight="1">
      <c r="A1902" s="4" t="n">
        <v>1901</v>
      </c>
      <c r="B1902" s="4" t="inlineStr">
        <is>
          <t>MTR-IOS-1901</t>
        </is>
      </c>
      <c r="C1902" s="4" t="inlineStr">
        <is>
          <t>Group</t>
        </is>
      </c>
      <c r="D1902" s="4" t="inlineStr">
        <is>
          <t>Shared Living</t>
        </is>
      </c>
      <c r="E1902" s="4" t="inlineStr">
        <is>
          <t>Family Household</t>
        </is>
      </c>
      <c r="F1902" s="4" t="inlineStr">
        <is>
          <t>Healthcare</t>
        </is>
      </c>
      <c r="G1902" s="4" t="inlineStr">
        <is>
          <t>Expense</t>
        </is>
      </c>
      <c r="H1902" s="12" t="n">
        <v>46235</v>
      </c>
      <c r="I1902" s="13" t="n">
        <v>0.4871527777777778</v>
      </c>
      <c r="J1902" s="14" t="n">
        <v>46235.48715277778</v>
      </c>
      <c r="K1902" s="15" t="n">
        <v>1085.07</v>
      </c>
      <c r="L1902" s="4" t="inlineStr">
        <is>
          <t>INR</t>
        </is>
      </c>
      <c r="M1902" s="15" t="n">
        <v>-1085.07</v>
      </c>
      <c r="N1902" s="4" t="inlineStr">
        <is>
          <t>IOS Owner</t>
        </is>
      </c>
      <c r="O1902" s="4" t="n">
        <v>3</v>
      </c>
      <c r="P1902" s="4" t="inlineStr">
        <is>
          <t>PERCENTAGE</t>
        </is>
      </c>
      <c r="Q1902" s="4" t="inlineStr">
        <is>
          <t>MAESTRO-IOS-GROUP-FAMILY_HOUSEHOLD-1901 | Healthcare | 1085.07</t>
        </is>
      </c>
      <c r="R1902" s="4" t="inlineStr">
        <is>
          <t>iPhone</t>
        </is>
      </c>
      <c r="S1902" s="4" t="inlineStr">
        <is>
          <t>B39</t>
        </is>
      </c>
      <c r="T1902" s="4" t="inlineStr">
        <is>
          <t>RAMP_1501_2500</t>
        </is>
      </c>
      <c r="U1902" s="4" t="inlineStr">
        <is>
          <t>CREATED</t>
        </is>
      </c>
      <c r="V1902" s="4" t="inlineStr">
        <is>
          <t>idem-20260902-ios-1901</t>
        </is>
      </c>
    </row>
    <row r="1903" ht="30" customHeight="1">
      <c r="A1903" s="4" t="n">
        <v>1902</v>
      </c>
      <c r="B1903" s="4" t="inlineStr">
        <is>
          <t>MTR-IOS-1902</t>
        </is>
      </c>
      <c r="C1903" s="4" t="inlineStr">
        <is>
          <t>Business</t>
        </is>
      </c>
      <c r="D1903" s="4" t="inlineStr">
        <is>
          <t>Business</t>
        </is>
      </c>
      <c r="E1903" s="4" t="inlineStr">
        <is>
          <t>Team Operations</t>
        </is>
      </c>
      <c r="F1903" s="4" t="inlineStr">
        <is>
          <t>Team Meal</t>
        </is>
      </c>
      <c r="G1903" s="4" t="inlineStr">
        <is>
          <t>Expense</t>
        </is>
      </c>
      <c r="H1903" s="12" t="n">
        <v>46088</v>
      </c>
      <c r="I1903" s="13" t="n">
        <v>0.9125925925925926</v>
      </c>
      <c r="J1903" s="14" t="n">
        <v>46088.91259259259</v>
      </c>
      <c r="K1903" s="15" t="n">
        <v>138850.47</v>
      </c>
      <c r="L1903" s="4" t="inlineStr">
        <is>
          <t>INR</t>
        </is>
      </c>
      <c r="M1903" s="15" t="n">
        <v>-138850.47</v>
      </c>
      <c r="N1903" s="4" t="inlineStr">
        <is>
          <t>IOS Owner</t>
        </is>
      </c>
      <c r="O1903" s="4" t="n"/>
      <c r="P1903" s="4" t="n"/>
      <c r="Q1903" s="4" t="inlineStr">
        <is>
          <t>MAESTRO-IOS-BUSINESS-TEAM_OPERATIONS-1902 | Team Meal | 138850.47</t>
        </is>
      </c>
      <c r="R1903" s="4" t="inlineStr">
        <is>
          <t>iPhone</t>
        </is>
      </c>
      <c r="S1903" s="4" t="inlineStr">
        <is>
          <t>B39</t>
        </is>
      </c>
      <c r="T1903" s="4" t="inlineStr">
        <is>
          <t>RAMP_1501_2500</t>
        </is>
      </c>
      <c r="U1903" s="4" t="inlineStr">
        <is>
          <t>CREATED</t>
        </is>
      </c>
      <c r="V1903" s="4" t="inlineStr">
        <is>
          <t>idem-20260902-ios-1902</t>
        </is>
      </c>
    </row>
    <row r="1904" ht="30" customHeight="1">
      <c r="A1904" s="4" t="n">
        <v>1903</v>
      </c>
      <c r="B1904" s="4" t="inlineStr">
        <is>
          <t>MTR-IOS-1903</t>
        </is>
      </c>
      <c r="C1904" s="4" t="inlineStr">
        <is>
          <t>Personal</t>
        </is>
      </c>
      <c r="D1904" s="4" t="inlineStr">
        <is>
          <t>Personal</t>
        </is>
      </c>
      <c r="E1904" s="4" t="inlineStr">
        <is>
          <t>Lifestyle</t>
        </is>
      </c>
      <c r="F1904" s="4" t="inlineStr">
        <is>
          <t>Shopping</t>
        </is>
      </c>
      <c r="G1904" s="4" t="inlineStr">
        <is>
          <t>Expense</t>
        </is>
      </c>
      <c r="H1904" s="12" t="n">
        <v>46234</v>
      </c>
      <c r="I1904" s="13" t="n">
        <v>0.6046643518518519</v>
      </c>
      <c r="J1904" s="14" t="n">
        <v>46234.60466435185</v>
      </c>
      <c r="K1904" s="15" t="n">
        <v>9122.700000000001</v>
      </c>
      <c r="L1904" s="4" t="inlineStr">
        <is>
          <t>INR</t>
        </is>
      </c>
      <c r="M1904" s="15" t="n">
        <v>-9122.700000000001</v>
      </c>
      <c r="N1904" s="4" t="inlineStr">
        <is>
          <t>IOS Owner</t>
        </is>
      </c>
      <c r="O1904" s="4" t="n"/>
      <c r="P1904" s="4" t="n"/>
      <c r="Q1904" s="4" t="inlineStr">
        <is>
          <t>MAESTRO-IOS-PERSONAL-LIFESTYLE-1903 | Shopping | 9122.70</t>
        </is>
      </c>
      <c r="R1904" s="4" t="inlineStr">
        <is>
          <t>iPhone</t>
        </is>
      </c>
      <c r="S1904" s="4" t="inlineStr">
        <is>
          <t>B39</t>
        </is>
      </c>
      <c r="T1904" s="4" t="inlineStr">
        <is>
          <t>RAMP_1501_2500</t>
        </is>
      </c>
      <c r="U1904" s="4" t="inlineStr">
        <is>
          <t>CREATED</t>
        </is>
      </c>
      <c r="V1904" s="4" t="inlineStr">
        <is>
          <t>idem-20260902-ios-1903</t>
        </is>
      </c>
    </row>
    <row r="1905" ht="30" customHeight="1">
      <c r="A1905" s="4" t="n">
        <v>1904</v>
      </c>
      <c r="B1905" s="4" t="inlineStr">
        <is>
          <t>MTR-IOS-1904</t>
        </is>
      </c>
      <c r="C1905" s="4" t="inlineStr">
        <is>
          <t>Group</t>
        </is>
      </c>
      <c r="D1905" s="4" t="inlineStr">
        <is>
          <t>Shared Living</t>
        </is>
      </c>
      <c r="E1905" s="4" t="inlineStr">
        <is>
          <t>Family Household</t>
        </is>
      </c>
      <c r="F1905" s="4" t="inlineStr">
        <is>
          <t>Home</t>
        </is>
      </c>
      <c r="G1905" s="4" t="inlineStr">
        <is>
          <t>Expense</t>
        </is>
      </c>
      <c r="H1905" s="12" t="n">
        <v>46150</v>
      </c>
      <c r="I1905" s="13" t="n">
        <v>0.4806134259259259</v>
      </c>
      <c r="J1905" s="14" t="n">
        <v>46150.48061342593</v>
      </c>
      <c r="K1905" s="15" t="n">
        <v>23586.14</v>
      </c>
      <c r="L1905" s="4" t="inlineStr">
        <is>
          <t>INR</t>
        </is>
      </c>
      <c r="M1905" s="15" t="n">
        <v>-23586.14</v>
      </c>
      <c r="N1905" s="4" t="inlineStr">
        <is>
          <t>IOS Aarav</t>
        </is>
      </c>
      <c r="O1905" s="4" t="n">
        <v>3</v>
      </c>
      <c r="P1905" s="4" t="inlineStr">
        <is>
          <t>EXACT</t>
        </is>
      </c>
      <c r="Q1905" s="4" t="inlineStr">
        <is>
          <t>MAESTRO-IOS-GROUP-FAMILY_HOUSEHOLD-1904 | Home | 23586.14</t>
        </is>
      </c>
      <c r="R1905" s="4" t="inlineStr">
        <is>
          <t>iPhone</t>
        </is>
      </c>
      <c r="S1905" s="4" t="inlineStr">
        <is>
          <t>B39</t>
        </is>
      </c>
      <c r="T1905" s="4" t="inlineStr">
        <is>
          <t>RAMP_1501_2500</t>
        </is>
      </c>
      <c r="U1905" s="4" t="inlineStr">
        <is>
          <t>CREATED</t>
        </is>
      </c>
      <c r="V1905" s="4" t="inlineStr">
        <is>
          <t>idem-20260902-ios-1904</t>
        </is>
      </c>
    </row>
    <row r="1906" ht="30" customHeight="1">
      <c r="A1906" s="4" t="n">
        <v>1905</v>
      </c>
      <c r="B1906" s="4" t="inlineStr">
        <is>
          <t>MTR-IOS-1905</t>
        </is>
      </c>
      <c r="C1906" s="4" t="inlineStr">
        <is>
          <t>Business</t>
        </is>
      </c>
      <c r="D1906" s="4" t="inlineStr">
        <is>
          <t>Business</t>
        </is>
      </c>
      <c r="E1906" s="4" t="inlineStr">
        <is>
          <t>Team Operations</t>
        </is>
      </c>
      <c r="F1906" s="4" t="inlineStr">
        <is>
          <t>Travel</t>
        </is>
      </c>
      <c r="G1906" s="4" t="inlineStr">
        <is>
          <t>Expense</t>
        </is>
      </c>
      <c r="H1906" s="12" t="n">
        <v>46039</v>
      </c>
      <c r="I1906" s="13" t="n">
        <v>0.242974537037037</v>
      </c>
      <c r="J1906" s="14" t="n">
        <v>46039.24297453704</v>
      </c>
      <c r="K1906" s="15" t="n">
        <v>179.29</v>
      </c>
      <c r="L1906" s="4" t="inlineStr">
        <is>
          <t>INR</t>
        </is>
      </c>
      <c r="M1906" s="15" t="n">
        <v>-179.29</v>
      </c>
      <c r="N1906" s="4" t="inlineStr">
        <is>
          <t>IOS Owner</t>
        </is>
      </c>
      <c r="O1906" s="4" t="n"/>
      <c r="P1906" s="4" t="n"/>
      <c r="Q1906" s="4" t="inlineStr">
        <is>
          <t>MAESTRO-IOS-BUSINESS-TEAM_OPERATIONS-1905 | Travel | 179.29</t>
        </is>
      </c>
      <c r="R1906" s="4" t="inlineStr">
        <is>
          <t>iPhone</t>
        </is>
      </c>
      <c r="S1906" s="4" t="inlineStr">
        <is>
          <t>B39</t>
        </is>
      </c>
      <c r="T1906" s="4" t="inlineStr">
        <is>
          <t>RAMP_1501_2500</t>
        </is>
      </c>
      <c r="U1906" s="4" t="inlineStr">
        <is>
          <t>CREATED</t>
        </is>
      </c>
      <c r="V1906" s="4" t="inlineStr">
        <is>
          <t>idem-20260902-ios-1905</t>
        </is>
      </c>
    </row>
    <row r="1907" ht="30" customHeight="1">
      <c r="A1907" s="4" t="n">
        <v>1906</v>
      </c>
      <c r="B1907" s="4" t="inlineStr">
        <is>
          <t>MTR-IOS-1906</t>
        </is>
      </c>
      <c r="C1907" s="4" t="inlineStr">
        <is>
          <t>Personal</t>
        </is>
      </c>
      <c r="D1907" s="4" t="inlineStr">
        <is>
          <t>Personal</t>
        </is>
      </c>
      <c r="E1907" s="4" t="inlineStr">
        <is>
          <t>Lifestyle</t>
        </is>
      </c>
      <c r="F1907" s="4" t="inlineStr">
        <is>
          <t>Entertainment</t>
        </is>
      </c>
      <c r="G1907" s="4" t="inlineStr">
        <is>
          <t>Expense</t>
        </is>
      </c>
      <c r="H1907" s="12" t="n">
        <v>46068</v>
      </c>
      <c r="I1907" s="13" t="n">
        <v>0.5652893518518518</v>
      </c>
      <c r="J1907" s="14" t="n">
        <v>46068.56528935185</v>
      </c>
      <c r="K1907" s="15" t="n">
        <v>1509.76</v>
      </c>
      <c r="L1907" s="4" t="inlineStr">
        <is>
          <t>INR</t>
        </is>
      </c>
      <c r="M1907" s="15" t="n">
        <v>-1509.76</v>
      </c>
      <c r="N1907" s="4" t="inlineStr">
        <is>
          <t>IOS Owner</t>
        </is>
      </c>
      <c r="O1907" s="4" t="n"/>
      <c r="P1907" s="4" t="n"/>
      <c r="Q1907" s="4" t="inlineStr">
        <is>
          <t>MAESTRO-IOS-PERSONAL-LIFESTYLE-1906 | Entertainment | 1509.76</t>
        </is>
      </c>
      <c r="R1907" s="4" t="inlineStr">
        <is>
          <t>iPhone</t>
        </is>
      </c>
      <c r="S1907" s="4" t="inlineStr">
        <is>
          <t>B39</t>
        </is>
      </c>
      <c r="T1907" s="4" t="inlineStr">
        <is>
          <t>RAMP_1501_2500</t>
        </is>
      </c>
      <c r="U1907" s="4" t="inlineStr">
        <is>
          <t>CREATED</t>
        </is>
      </c>
      <c r="V1907" s="4" t="inlineStr">
        <is>
          <t>idem-20260902-ios-1906</t>
        </is>
      </c>
    </row>
    <row r="1908" ht="30" customHeight="1">
      <c r="A1908" s="4" t="n">
        <v>1907</v>
      </c>
      <c r="B1908" s="4" t="inlineStr">
        <is>
          <t>MTR-IOS-1907</t>
        </is>
      </c>
      <c r="C1908" s="4" t="inlineStr">
        <is>
          <t>Group</t>
        </is>
      </c>
      <c r="D1908" s="4" t="inlineStr">
        <is>
          <t>Shared Living</t>
        </is>
      </c>
      <c r="E1908" s="4" t="inlineStr">
        <is>
          <t>Family Household</t>
        </is>
      </c>
      <c r="F1908" s="4" t="inlineStr">
        <is>
          <t>Other</t>
        </is>
      </c>
      <c r="G1908" s="4" t="inlineStr">
        <is>
          <t>Expense</t>
        </is>
      </c>
      <c r="H1908" s="12" t="n">
        <v>46064</v>
      </c>
      <c r="I1908" s="13" t="n">
        <v>0.1501967592592593</v>
      </c>
      <c r="J1908" s="14" t="n">
        <v>46064.15019675926</v>
      </c>
      <c r="K1908" s="15" t="n">
        <v>7215.22</v>
      </c>
      <c r="L1908" s="4" t="inlineStr">
        <is>
          <t>INR</t>
        </is>
      </c>
      <c r="M1908" s="15" t="n">
        <v>-7215.22</v>
      </c>
      <c r="N1908" s="4" t="inlineStr">
        <is>
          <t>IOS Meera</t>
        </is>
      </c>
      <c r="O1908" s="4" t="n">
        <v>3</v>
      </c>
      <c r="P1908" s="4" t="inlineStr">
        <is>
          <t>SHARES</t>
        </is>
      </c>
      <c r="Q1908" s="4" t="inlineStr">
        <is>
          <t>MAESTRO-IOS-GROUP-FAMILY_HOUSEHOLD-1907 | Other | 7215.22</t>
        </is>
      </c>
      <c r="R1908" s="4" t="inlineStr">
        <is>
          <t>iPhone</t>
        </is>
      </c>
      <c r="S1908" s="4" t="inlineStr">
        <is>
          <t>B39</t>
        </is>
      </c>
      <c r="T1908" s="4" t="inlineStr">
        <is>
          <t>RAMP_1501_2500</t>
        </is>
      </c>
      <c r="U1908" s="4" t="inlineStr">
        <is>
          <t>CREATED</t>
        </is>
      </c>
      <c r="V1908" s="4" t="inlineStr">
        <is>
          <t>idem-20260902-ios-1907</t>
        </is>
      </c>
    </row>
    <row r="1909" ht="30" customHeight="1">
      <c r="A1909" s="4" t="n">
        <v>1908</v>
      </c>
      <c r="B1909" s="4" t="inlineStr">
        <is>
          <t>MTR-IOS-1908</t>
        </is>
      </c>
      <c r="C1909" s="4" t="inlineStr">
        <is>
          <t>Business</t>
        </is>
      </c>
      <c r="D1909" s="4" t="inlineStr">
        <is>
          <t>Business</t>
        </is>
      </c>
      <c r="E1909" s="4" t="inlineStr">
        <is>
          <t>Team Operations</t>
        </is>
      </c>
      <c r="F1909" s="4" t="inlineStr">
        <is>
          <t>Training</t>
        </is>
      </c>
      <c r="G1909" s="4" t="inlineStr">
        <is>
          <t>Expense</t>
        </is>
      </c>
      <c r="H1909" s="12" t="n">
        <v>46253</v>
      </c>
      <c r="I1909" s="13" t="n">
        <v>0.7467013888888889</v>
      </c>
      <c r="J1909" s="14" t="n">
        <v>46253.74670138889</v>
      </c>
      <c r="K1909" s="15" t="n">
        <v>54809.42</v>
      </c>
      <c r="L1909" s="4" t="inlineStr">
        <is>
          <t>INR</t>
        </is>
      </c>
      <c r="M1909" s="15" t="n">
        <v>-54809.42</v>
      </c>
      <c r="N1909" s="4" t="inlineStr">
        <is>
          <t>IOS Owner</t>
        </is>
      </c>
      <c r="O1909" s="4" t="n"/>
      <c r="P1909" s="4" t="n"/>
      <c r="Q1909" s="4" t="inlineStr">
        <is>
          <t>MAESTRO-IOS-BUSINESS-TEAM_OPERATIONS-1908 | Training | 54809.42</t>
        </is>
      </c>
      <c r="R1909" s="4" t="inlineStr">
        <is>
          <t>iPhone</t>
        </is>
      </c>
      <c r="S1909" s="4" t="inlineStr">
        <is>
          <t>B39</t>
        </is>
      </c>
      <c r="T1909" s="4" t="inlineStr">
        <is>
          <t>RAMP_1501_2500</t>
        </is>
      </c>
      <c r="U1909" s="4" t="inlineStr">
        <is>
          <t>CREATED</t>
        </is>
      </c>
      <c r="V1909" s="4" t="inlineStr">
        <is>
          <t>idem-20260902-ios-1908</t>
        </is>
      </c>
    </row>
    <row r="1910" ht="30" customHeight="1">
      <c r="A1910" s="4" t="n">
        <v>1909</v>
      </c>
      <c r="B1910" s="4" t="inlineStr">
        <is>
          <t>MTR-IOS-1909</t>
        </is>
      </c>
      <c r="C1910" s="4" t="inlineStr">
        <is>
          <t>Personal</t>
        </is>
      </c>
      <c r="D1910" s="4" t="inlineStr">
        <is>
          <t>Personal</t>
        </is>
      </c>
      <c r="E1910" s="4" t="inlineStr">
        <is>
          <t>Lifestyle</t>
        </is>
      </c>
      <c r="F1910" s="4" t="inlineStr">
        <is>
          <t>Travel</t>
        </is>
      </c>
      <c r="G1910" s="4" t="inlineStr">
        <is>
          <t>Expense</t>
        </is>
      </c>
      <c r="H1910" s="12" t="n">
        <v>45976</v>
      </c>
      <c r="I1910" s="13" t="n">
        <v>0.2447106481481481</v>
      </c>
      <c r="J1910" s="14" t="n">
        <v>45976.24471064815</v>
      </c>
      <c r="K1910" s="15" t="n">
        <v>6430.31</v>
      </c>
      <c r="L1910" s="4" t="inlineStr">
        <is>
          <t>INR</t>
        </is>
      </c>
      <c r="M1910" s="15" t="n">
        <v>-6430.31</v>
      </c>
      <c r="N1910" s="4" t="inlineStr">
        <is>
          <t>IOS Owner</t>
        </is>
      </c>
      <c r="O1910" s="4" t="n"/>
      <c r="P1910" s="4" t="n"/>
      <c r="Q1910" s="4" t="inlineStr">
        <is>
          <t>MAESTRO-IOS-PERSONAL-LIFESTYLE-1909 | Travel | 6430.31</t>
        </is>
      </c>
      <c r="R1910" s="4" t="inlineStr">
        <is>
          <t>iPhone</t>
        </is>
      </c>
      <c r="S1910" s="4" t="inlineStr">
        <is>
          <t>B39</t>
        </is>
      </c>
      <c r="T1910" s="4" t="inlineStr">
        <is>
          <t>RAMP_1501_2500</t>
        </is>
      </c>
      <c r="U1910" s="4" t="inlineStr">
        <is>
          <t>CREATED</t>
        </is>
      </c>
      <c r="V1910" s="4" t="inlineStr">
        <is>
          <t>idem-20260902-ios-1909</t>
        </is>
      </c>
    </row>
    <row r="1911" ht="30" customHeight="1">
      <c r="A1911" s="4" t="n">
        <v>1910</v>
      </c>
      <c r="B1911" s="4" t="inlineStr">
        <is>
          <t>MTR-IOS-1910</t>
        </is>
      </c>
      <c r="C1911" s="4" t="inlineStr">
        <is>
          <t>Group</t>
        </is>
      </c>
      <c r="D1911" s="4" t="inlineStr">
        <is>
          <t>Shared Living</t>
        </is>
      </c>
      <c r="E1911" s="4" t="inlineStr">
        <is>
          <t>Custom Living</t>
        </is>
      </c>
      <c r="F1911" s="4" t="inlineStr">
        <is>
          <t>Custom Expense</t>
        </is>
      </c>
      <c r="G1911" s="4" t="inlineStr">
        <is>
          <t>Expense</t>
        </is>
      </c>
      <c r="H1911" s="12" t="n">
        <v>46185</v>
      </c>
      <c r="I1911" s="13" t="n">
        <v>0.2486805555555555</v>
      </c>
      <c r="J1911" s="14" t="n">
        <v>46185.24868055555</v>
      </c>
      <c r="K1911" s="15" t="n">
        <v>3571.88</v>
      </c>
      <c r="L1911" s="4" t="inlineStr">
        <is>
          <t>INR</t>
        </is>
      </c>
      <c r="M1911" s="15" t="n">
        <v>-3571.88</v>
      </c>
      <c r="N1911" s="4" t="inlineStr">
        <is>
          <t>IOS Owner</t>
        </is>
      </c>
      <c r="O1911" s="4" t="n">
        <v>3</v>
      </c>
      <c r="P1911" s="4" t="inlineStr">
        <is>
          <t>EQUAL</t>
        </is>
      </c>
      <c r="Q1911" s="4" t="inlineStr">
        <is>
          <t>MAESTRO-IOS-GROUP-CUSTOM_LIVING-1910 | Custom Expense | 3571.88</t>
        </is>
      </c>
      <c r="R1911" s="4" t="inlineStr">
        <is>
          <t>iPhone</t>
        </is>
      </c>
      <c r="S1911" s="4" t="inlineStr">
        <is>
          <t>B39</t>
        </is>
      </c>
      <c r="T1911" s="4" t="inlineStr">
        <is>
          <t>RAMP_1501_2500</t>
        </is>
      </c>
      <c r="U1911" s="4" t="inlineStr">
        <is>
          <t>CREATED</t>
        </is>
      </c>
      <c r="V1911" s="4" t="inlineStr">
        <is>
          <t>idem-20260902-ios-1910</t>
        </is>
      </c>
    </row>
    <row r="1912" ht="30" customHeight="1">
      <c r="A1912" s="4" t="n">
        <v>1911</v>
      </c>
      <c r="B1912" s="4" t="inlineStr">
        <is>
          <t>MTR-IOS-1911</t>
        </is>
      </c>
      <c r="C1912" s="4" t="inlineStr">
        <is>
          <t>Business</t>
        </is>
      </c>
      <c r="D1912" s="4" t="inlineStr">
        <is>
          <t>Business</t>
        </is>
      </c>
      <c r="E1912" s="4" t="inlineStr">
        <is>
          <t>Team Operations</t>
        </is>
      </c>
      <c r="F1912" s="4" t="inlineStr">
        <is>
          <t>Tools</t>
        </is>
      </c>
      <c r="G1912" s="4" t="inlineStr">
        <is>
          <t>Expense</t>
        </is>
      </c>
      <c r="H1912" s="12" t="n">
        <v>46021</v>
      </c>
      <c r="I1912" s="13" t="n">
        <v>0.8731481481481481</v>
      </c>
      <c r="J1912" s="14" t="n">
        <v>46021.87314814814</v>
      </c>
      <c r="K1912" s="15" t="n">
        <v>15895.28</v>
      </c>
      <c r="L1912" s="4" t="inlineStr">
        <is>
          <t>INR</t>
        </is>
      </c>
      <c r="M1912" s="15" t="n">
        <v>-15895.28</v>
      </c>
      <c r="N1912" s="4" t="inlineStr">
        <is>
          <t>IOS Owner</t>
        </is>
      </c>
      <c r="O1912" s="4" t="n"/>
      <c r="P1912" s="4" t="n"/>
      <c r="Q1912" s="4" t="inlineStr">
        <is>
          <t>MAESTRO-IOS-BUSINESS-TEAM_OPERATIONS-1911 | Tools | 15895.28</t>
        </is>
      </c>
      <c r="R1912" s="4" t="inlineStr">
        <is>
          <t>iPhone</t>
        </is>
      </c>
      <c r="S1912" s="4" t="inlineStr">
        <is>
          <t>B39</t>
        </is>
      </c>
      <c r="T1912" s="4" t="inlineStr">
        <is>
          <t>RAMP_1501_2500</t>
        </is>
      </c>
      <c r="U1912" s="4" t="inlineStr">
        <is>
          <t>CREATED</t>
        </is>
      </c>
      <c r="V1912" s="4" t="inlineStr">
        <is>
          <t>idem-20260902-ios-1911</t>
        </is>
      </c>
    </row>
    <row r="1913" ht="30" customHeight="1">
      <c r="A1913" s="4" t="n">
        <v>1912</v>
      </c>
      <c r="B1913" s="4" t="inlineStr">
        <is>
          <t>MTR-IOS-1912</t>
        </is>
      </c>
      <c r="C1913" s="4" t="inlineStr">
        <is>
          <t>Personal</t>
        </is>
      </c>
      <c r="D1913" s="4" t="inlineStr">
        <is>
          <t>Personal</t>
        </is>
      </c>
      <c r="E1913" s="4" t="inlineStr">
        <is>
          <t>Lifestyle</t>
        </is>
      </c>
      <c r="F1913" s="4" t="inlineStr">
        <is>
          <t>Fitness</t>
        </is>
      </c>
      <c r="G1913" s="4" t="inlineStr">
        <is>
          <t>Expense</t>
        </is>
      </c>
      <c r="H1913" s="12" t="n">
        <v>46047</v>
      </c>
      <c r="I1913" s="13" t="n">
        <v>0.4357638888888889</v>
      </c>
      <c r="J1913" s="14" t="n">
        <v>46047.43576388889</v>
      </c>
      <c r="K1913" s="15" t="n">
        <v>121.26</v>
      </c>
      <c r="L1913" s="4" t="inlineStr">
        <is>
          <t>INR</t>
        </is>
      </c>
      <c r="M1913" s="15" t="n">
        <v>-121.26</v>
      </c>
      <c r="N1913" s="4" t="inlineStr">
        <is>
          <t>IOS Owner</t>
        </is>
      </c>
      <c r="O1913" s="4" t="n"/>
      <c r="P1913" s="4" t="n"/>
      <c r="Q1913" s="4" t="inlineStr">
        <is>
          <t>MAESTRO-IOS-PERSONAL-LIFESTYLE-1912 | Fitness | 121.26</t>
        </is>
      </c>
      <c r="R1913" s="4" t="inlineStr">
        <is>
          <t>iPhone</t>
        </is>
      </c>
      <c r="S1913" s="4" t="inlineStr">
        <is>
          <t>B39</t>
        </is>
      </c>
      <c r="T1913" s="4" t="inlineStr">
        <is>
          <t>RAMP_1501_2500</t>
        </is>
      </c>
      <c r="U1913" s="4" t="inlineStr">
        <is>
          <t>CREATED</t>
        </is>
      </c>
      <c r="V1913" s="4" t="inlineStr">
        <is>
          <t>idem-20260902-ios-1912</t>
        </is>
      </c>
    </row>
    <row r="1914" ht="30" customHeight="1">
      <c r="A1914" s="4" t="n">
        <v>1913</v>
      </c>
      <c r="B1914" s="4" t="inlineStr">
        <is>
          <t>MTR-IOS-1913</t>
        </is>
      </c>
      <c r="C1914" s="4" t="inlineStr">
        <is>
          <t>Group</t>
        </is>
      </c>
      <c r="D1914" s="4" t="inlineStr">
        <is>
          <t>Shared Living</t>
        </is>
      </c>
      <c r="E1914" s="4" t="inlineStr">
        <is>
          <t>Custom Living</t>
        </is>
      </c>
      <c r="F1914" s="4" t="inlineStr">
        <is>
          <t>Custom Contribution</t>
        </is>
      </c>
      <c r="G1914" s="4" t="inlineStr">
        <is>
          <t>Contribution</t>
        </is>
      </c>
      <c r="H1914" s="12" t="n">
        <v>46021</v>
      </c>
      <c r="I1914" s="13" t="n">
        <v>0.2632638888888889</v>
      </c>
      <c r="J1914" s="14" t="n">
        <v>46021.26326388889</v>
      </c>
      <c r="K1914" s="15" t="n">
        <v>19224.8</v>
      </c>
      <c r="L1914" s="4" t="inlineStr">
        <is>
          <t>INR</t>
        </is>
      </c>
      <c r="M1914" s="15" t="n">
        <v>19224.8</v>
      </c>
      <c r="N1914" s="4" t="inlineStr">
        <is>
          <t>IOS Aarav</t>
        </is>
      </c>
      <c r="O1914" s="4" t="n">
        <v>3</v>
      </c>
      <c r="P1914" s="4" t="inlineStr">
        <is>
          <t>PERCENTAGE</t>
        </is>
      </c>
      <c r="Q1914" s="4" t="inlineStr">
        <is>
          <t>MAESTRO-IOS-GROUP-CUSTOM_LIVING-1913 | Custom Contribution | 19224.80</t>
        </is>
      </c>
      <c r="R1914" s="4" t="inlineStr">
        <is>
          <t>iPhone</t>
        </is>
      </c>
      <c r="S1914" s="4" t="inlineStr">
        <is>
          <t>B39</t>
        </is>
      </c>
      <c r="T1914" s="4" t="inlineStr">
        <is>
          <t>RAMP_1501_2500</t>
        </is>
      </c>
      <c r="U1914" s="4" t="inlineStr">
        <is>
          <t>CREATED</t>
        </is>
      </c>
      <c r="V1914" s="4" t="inlineStr">
        <is>
          <t>idem-20260902-ios-1913</t>
        </is>
      </c>
    </row>
    <row r="1915" ht="30" customHeight="1">
      <c r="A1915" s="4" t="n">
        <v>1914</v>
      </c>
      <c r="B1915" s="4" t="inlineStr">
        <is>
          <t>MTR-IOS-1914</t>
        </is>
      </c>
      <c r="C1915" s="4" t="inlineStr">
        <is>
          <t>Business</t>
        </is>
      </c>
      <c r="D1915" s="4" t="inlineStr">
        <is>
          <t>Business</t>
        </is>
      </c>
      <c r="E1915" s="4" t="inlineStr">
        <is>
          <t>Business Runway</t>
        </is>
      </c>
      <c r="F1915" s="4" t="inlineStr">
        <is>
          <t>Funding</t>
        </is>
      </c>
      <c r="G1915" s="4" t="inlineStr">
        <is>
          <t>Income</t>
        </is>
      </c>
      <c r="H1915" s="12" t="n">
        <v>46003</v>
      </c>
      <c r="I1915" s="13" t="n">
        <v>0.9345138888888889</v>
      </c>
      <c r="J1915" s="14" t="n">
        <v>46003.93451388889</v>
      </c>
      <c r="K1915" s="15" t="n">
        <v>84268.11</v>
      </c>
      <c r="L1915" s="4" t="inlineStr">
        <is>
          <t>INR</t>
        </is>
      </c>
      <c r="M1915" s="15" t="n">
        <v>84268.11</v>
      </c>
      <c r="N1915" s="4" t="inlineStr">
        <is>
          <t>IOS Owner</t>
        </is>
      </c>
      <c r="O1915" s="4" t="n"/>
      <c r="P1915" s="4" t="n"/>
      <c r="Q1915" s="4" t="inlineStr">
        <is>
          <t>MAESTRO-IOS-BUSINESS-BUSINESS_RUNWAY-1914 | Funding | 84268.11</t>
        </is>
      </c>
      <c r="R1915" s="4" t="inlineStr">
        <is>
          <t>iPhone</t>
        </is>
      </c>
      <c r="S1915" s="4" t="inlineStr">
        <is>
          <t>B39</t>
        </is>
      </c>
      <c r="T1915" s="4" t="inlineStr">
        <is>
          <t>RAMP_1501_2500</t>
        </is>
      </c>
      <c r="U1915" s="4" t="inlineStr">
        <is>
          <t>CREATED</t>
        </is>
      </c>
      <c r="V1915" s="4" t="inlineStr">
        <is>
          <t>idem-20260902-ios-1914</t>
        </is>
      </c>
    </row>
    <row r="1916" ht="30" customHeight="1">
      <c r="A1916" s="4" t="n">
        <v>1915</v>
      </c>
      <c r="B1916" s="4" t="inlineStr">
        <is>
          <t>MTR-IOS-1915</t>
        </is>
      </c>
      <c r="C1916" s="4" t="inlineStr">
        <is>
          <t>Personal</t>
        </is>
      </c>
      <c r="D1916" s="4" t="inlineStr">
        <is>
          <t>Personal</t>
        </is>
      </c>
      <c r="E1916" s="4" t="inlineStr">
        <is>
          <t>Lifestyle</t>
        </is>
      </c>
      <c r="F1916" s="4" t="inlineStr">
        <is>
          <t>Hobbies</t>
        </is>
      </c>
      <c r="G1916" s="4" t="inlineStr">
        <is>
          <t>Expense</t>
        </is>
      </c>
      <c r="H1916" s="12" t="n">
        <v>45928</v>
      </c>
      <c r="I1916" s="13" t="n">
        <v>0.5434143518518518</v>
      </c>
      <c r="J1916" s="14" t="n">
        <v>45928.54341435185</v>
      </c>
      <c r="K1916" s="15" t="n">
        <v>10705.2</v>
      </c>
      <c r="L1916" s="4" t="inlineStr">
        <is>
          <t>INR</t>
        </is>
      </c>
      <c r="M1916" s="15" t="n">
        <v>-10705.2</v>
      </c>
      <c r="N1916" s="4" t="inlineStr">
        <is>
          <t>IOS Owner</t>
        </is>
      </c>
      <c r="O1916" s="4" t="n"/>
      <c r="P1916" s="4" t="n"/>
      <c r="Q1916" s="4" t="inlineStr">
        <is>
          <t>MAESTRO-IOS-PERSONAL-LIFESTYLE-1915 | Hobbies | 10705.20</t>
        </is>
      </c>
      <c r="R1916" s="4" t="inlineStr">
        <is>
          <t>iPhone</t>
        </is>
      </c>
      <c r="S1916" s="4" t="inlineStr">
        <is>
          <t>B39</t>
        </is>
      </c>
      <c r="T1916" s="4" t="inlineStr">
        <is>
          <t>RAMP_1501_2500</t>
        </is>
      </c>
      <c r="U1916" s="4" t="inlineStr">
        <is>
          <t>CREATED</t>
        </is>
      </c>
      <c r="V1916" s="4" t="inlineStr">
        <is>
          <t>idem-20260902-ios-1915</t>
        </is>
      </c>
    </row>
    <row r="1917" ht="30" customHeight="1">
      <c r="A1917" s="4" t="n">
        <v>1916</v>
      </c>
      <c r="B1917" s="4" t="inlineStr">
        <is>
          <t>MTR-IOS-1916</t>
        </is>
      </c>
      <c r="C1917" s="4" t="inlineStr">
        <is>
          <t>Group</t>
        </is>
      </c>
      <c r="D1917" s="4" t="inlineStr">
        <is>
          <t>Shared Experience</t>
        </is>
      </c>
      <c r="E1917" s="4" t="inlineStr">
        <is>
          <t>Trip</t>
        </is>
      </c>
      <c r="F1917" s="4" t="inlineStr">
        <is>
          <t>Travel</t>
        </is>
      </c>
      <c r="G1917" s="4" t="inlineStr">
        <is>
          <t>Expense</t>
        </is>
      </c>
      <c r="H1917" s="12" t="n">
        <v>46023</v>
      </c>
      <c r="I1917" s="13" t="n">
        <v>0.1452083333333333</v>
      </c>
      <c r="J1917" s="14" t="n">
        <v>46023.14520833334</v>
      </c>
      <c r="K1917" s="15" t="n">
        <v>12105.77</v>
      </c>
      <c r="L1917" s="4" t="inlineStr">
        <is>
          <t>INR</t>
        </is>
      </c>
      <c r="M1917" s="15" t="n">
        <v>-12105.77</v>
      </c>
      <c r="N1917" s="4" t="inlineStr">
        <is>
          <t>IOS Meera</t>
        </is>
      </c>
      <c r="O1917" s="4" t="n">
        <v>3</v>
      </c>
      <c r="P1917" s="4" t="inlineStr">
        <is>
          <t>EXACT</t>
        </is>
      </c>
      <c r="Q1917" s="4" t="inlineStr">
        <is>
          <t>MAESTRO-IOS-GROUP-TRIP-1916 | Travel | 12105.77</t>
        </is>
      </c>
      <c r="R1917" s="4" t="inlineStr">
        <is>
          <t>iPhone</t>
        </is>
      </c>
      <c r="S1917" s="4" t="inlineStr">
        <is>
          <t>B39</t>
        </is>
      </c>
      <c r="T1917" s="4" t="inlineStr">
        <is>
          <t>RAMP_1501_2500</t>
        </is>
      </c>
      <c r="U1917" s="4" t="inlineStr">
        <is>
          <t>CREATED</t>
        </is>
      </c>
      <c r="V1917" s="4" t="inlineStr">
        <is>
          <t>idem-20260902-ios-1916</t>
        </is>
      </c>
    </row>
    <row r="1918" ht="30" customHeight="1">
      <c r="A1918" s="4" t="n">
        <v>1917</v>
      </c>
      <c r="B1918" s="4" t="inlineStr">
        <is>
          <t>MTR-IOS-1917</t>
        </is>
      </c>
      <c r="C1918" s="4" t="inlineStr">
        <is>
          <t>Business</t>
        </is>
      </c>
      <c r="D1918" s="4" t="inlineStr">
        <is>
          <t>Business</t>
        </is>
      </c>
      <c r="E1918" s="4" t="inlineStr">
        <is>
          <t>Business Runway</t>
        </is>
      </c>
      <c r="F1918" s="4" t="inlineStr">
        <is>
          <t>Revenue</t>
        </is>
      </c>
      <c r="G1918" s="4" t="inlineStr">
        <is>
          <t>Income</t>
        </is>
      </c>
      <c r="H1918" s="12" t="n">
        <v>46133</v>
      </c>
      <c r="I1918" s="13" t="n">
        <v>0.2361458333333333</v>
      </c>
      <c r="J1918" s="14" t="n">
        <v>46133.23614583333</v>
      </c>
      <c r="K1918" s="15" t="n">
        <v>133608.73</v>
      </c>
      <c r="L1918" s="4" t="inlineStr">
        <is>
          <t>INR</t>
        </is>
      </c>
      <c r="M1918" s="15" t="n">
        <v>133608.73</v>
      </c>
      <c r="N1918" s="4" t="inlineStr">
        <is>
          <t>IOS Owner</t>
        </is>
      </c>
      <c r="O1918" s="4" t="n"/>
      <c r="P1918" s="4" t="n"/>
      <c r="Q1918" s="4" t="inlineStr">
        <is>
          <t>MAESTRO-IOS-BUSINESS-BUSINESS_RUNWAY-1917 | Revenue | 133608.73</t>
        </is>
      </c>
      <c r="R1918" s="4" t="inlineStr">
        <is>
          <t>iPhone</t>
        </is>
      </c>
      <c r="S1918" s="4" t="inlineStr">
        <is>
          <t>B39</t>
        </is>
      </c>
      <c r="T1918" s="4" t="inlineStr">
        <is>
          <t>RAMP_1501_2500</t>
        </is>
      </c>
      <c r="U1918" s="4" t="inlineStr">
        <is>
          <t>CREATED</t>
        </is>
      </c>
      <c r="V1918" s="4" t="inlineStr">
        <is>
          <t>idem-20260902-ios-1917</t>
        </is>
      </c>
    </row>
    <row r="1919" ht="30" customHeight="1">
      <c r="A1919" s="4" t="n">
        <v>1918</v>
      </c>
      <c r="B1919" s="4" t="inlineStr">
        <is>
          <t>MTR-IOS-1918</t>
        </is>
      </c>
      <c r="C1919" s="4" t="inlineStr">
        <is>
          <t>Personal</t>
        </is>
      </c>
      <c r="D1919" s="4" t="inlineStr">
        <is>
          <t>Personal</t>
        </is>
      </c>
      <c r="E1919" s="4" t="inlineStr">
        <is>
          <t>Relationships</t>
        </is>
      </c>
      <c r="F1919" s="4" t="inlineStr">
        <is>
          <t>Gifts</t>
        </is>
      </c>
      <c r="G1919" s="4" t="inlineStr">
        <is>
          <t>Expense</t>
        </is>
      </c>
      <c r="H1919" s="12" t="n">
        <v>46143</v>
      </c>
      <c r="I1919" s="13" t="n">
        <v>0.2744097222222222</v>
      </c>
      <c r="J1919" s="14" t="n">
        <v>46143.27440972222</v>
      </c>
      <c r="K1919" s="15" t="n">
        <v>9794.559999999999</v>
      </c>
      <c r="L1919" s="4" t="inlineStr">
        <is>
          <t>INR</t>
        </is>
      </c>
      <c r="M1919" s="15" t="n">
        <v>-9794.559999999999</v>
      </c>
      <c r="N1919" s="4" t="inlineStr">
        <is>
          <t>IOS Owner</t>
        </is>
      </c>
      <c r="O1919" s="4" t="n"/>
      <c r="P1919" s="4" t="n"/>
      <c r="Q1919" s="4" t="inlineStr">
        <is>
          <t>MAESTRO-IOS-PERSONAL-RELATIONSHIPS-1918 | Gifts | 9794.56</t>
        </is>
      </c>
      <c r="R1919" s="4" t="inlineStr">
        <is>
          <t>iPhone</t>
        </is>
      </c>
      <c r="S1919" s="4" t="inlineStr">
        <is>
          <t>B39</t>
        </is>
      </c>
      <c r="T1919" s="4" t="inlineStr">
        <is>
          <t>RAMP_1501_2500</t>
        </is>
      </c>
      <c r="U1919" s="4" t="inlineStr">
        <is>
          <t>CREATED</t>
        </is>
      </c>
      <c r="V1919" s="4" t="inlineStr">
        <is>
          <t>idem-20260902-ios-1918</t>
        </is>
      </c>
    </row>
    <row r="1920" ht="30" customHeight="1">
      <c r="A1920" s="4" t="n">
        <v>1919</v>
      </c>
      <c r="B1920" s="4" t="inlineStr">
        <is>
          <t>MTR-IOS-1919</t>
        </is>
      </c>
      <c r="C1920" s="4" t="inlineStr">
        <is>
          <t>Group</t>
        </is>
      </c>
      <c r="D1920" s="4" t="inlineStr">
        <is>
          <t>Shared Experience</t>
        </is>
      </c>
      <c r="E1920" s="4" t="inlineStr">
        <is>
          <t>Trip</t>
        </is>
      </c>
      <c r="F1920" s="4" t="inlineStr">
        <is>
          <t>Stay</t>
        </is>
      </c>
      <c r="G1920" s="4" t="inlineStr">
        <is>
          <t>Expense</t>
        </is>
      </c>
      <c r="H1920" s="12" t="n">
        <v>46153</v>
      </c>
      <c r="I1920" s="13" t="n">
        <v>0.1224652777777778</v>
      </c>
      <c r="J1920" s="14" t="n">
        <v>46153.12246527777</v>
      </c>
      <c r="K1920" s="15" t="n">
        <v>17476.5</v>
      </c>
      <c r="L1920" s="4" t="inlineStr">
        <is>
          <t>INR</t>
        </is>
      </c>
      <c r="M1920" s="15" t="n">
        <v>-17476.5</v>
      </c>
      <c r="N1920" s="4" t="inlineStr">
        <is>
          <t>IOS Owner</t>
        </is>
      </c>
      <c r="O1920" s="4" t="n">
        <v>3</v>
      </c>
      <c r="P1920" s="4" t="inlineStr">
        <is>
          <t>SHARES</t>
        </is>
      </c>
      <c r="Q1920" s="4" t="inlineStr">
        <is>
          <t>MAESTRO-IOS-GROUP-TRIP-1919 | Stay | 17476.50</t>
        </is>
      </c>
      <c r="R1920" s="4" t="inlineStr">
        <is>
          <t>iPhone</t>
        </is>
      </c>
      <c r="S1920" s="4" t="inlineStr">
        <is>
          <t>B39</t>
        </is>
      </c>
      <c r="T1920" s="4" t="inlineStr">
        <is>
          <t>RAMP_1501_2500</t>
        </is>
      </c>
      <c r="U1920" s="4" t="inlineStr">
        <is>
          <t>CREATED</t>
        </is>
      </c>
      <c r="V1920" s="4" t="inlineStr">
        <is>
          <t>idem-20260902-ios-1919</t>
        </is>
      </c>
    </row>
    <row r="1921" ht="30" customHeight="1">
      <c r="A1921" s="4" t="n">
        <v>1920</v>
      </c>
      <c r="B1921" s="4" t="inlineStr">
        <is>
          <t>MTR-IOS-1920</t>
        </is>
      </c>
      <c r="C1921" s="4" t="inlineStr">
        <is>
          <t>Business</t>
        </is>
      </c>
      <c r="D1921" s="4" t="inlineStr">
        <is>
          <t>Business</t>
        </is>
      </c>
      <c r="E1921" s="4" t="inlineStr">
        <is>
          <t>Business Runway</t>
        </is>
      </c>
      <c r="F1921" s="4" t="inlineStr">
        <is>
          <t>Burn</t>
        </is>
      </c>
      <c r="G1921" s="4" t="inlineStr">
        <is>
          <t>Expense</t>
        </is>
      </c>
      <c r="H1921" s="12" t="n">
        <v>46139</v>
      </c>
      <c r="I1921" s="13" t="n">
        <v>0.06612268518518519</v>
      </c>
      <c r="J1921" s="14" t="n">
        <v>46139.06612268519</v>
      </c>
      <c r="K1921" s="15" t="n">
        <v>71900.56</v>
      </c>
      <c r="L1921" s="4" t="inlineStr">
        <is>
          <t>INR</t>
        </is>
      </c>
      <c r="M1921" s="15" t="n">
        <v>-71900.56</v>
      </c>
      <c r="N1921" s="4" t="inlineStr">
        <is>
          <t>IOS Owner</t>
        </is>
      </c>
      <c r="O1921" s="4" t="n"/>
      <c r="P1921" s="4" t="n"/>
      <c r="Q1921" s="4" t="inlineStr">
        <is>
          <t>MAESTRO-IOS-BUSINESS-BUSINESS_RUNWAY-1920 | Burn | 71900.56</t>
        </is>
      </c>
      <c r="R1921" s="4" t="inlineStr">
        <is>
          <t>iPhone</t>
        </is>
      </c>
      <c r="S1921" s="4" t="inlineStr">
        <is>
          <t>B39</t>
        </is>
      </c>
      <c r="T1921" s="4" t="inlineStr">
        <is>
          <t>RAMP_1501_2500</t>
        </is>
      </c>
      <c r="U1921" s="4" t="inlineStr">
        <is>
          <t>CREATED</t>
        </is>
      </c>
      <c r="V1921" s="4" t="inlineStr">
        <is>
          <t>idem-20260902-ios-1920</t>
        </is>
      </c>
    </row>
    <row r="1922" ht="30" customHeight="1">
      <c r="A1922" s="4" t="n">
        <v>1921</v>
      </c>
      <c r="B1922" s="4" t="inlineStr">
        <is>
          <t>MTR-IOS-1921</t>
        </is>
      </c>
      <c r="C1922" s="4" t="inlineStr">
        <is>
          <t>Personal</t>
        </is>
      </c>
      <c r="D1922" s="4" t="inlineStr">
        <is>
          <t>Personal</t>
        </is>
      </c>
      <c r="E1922" s="4" t="inlineStr">
        <is>
          <t>Relationships</t>
        </is>
      </c>
      <c r="F1922" s="4" t="inlineStr">
        <is>
          <t>Dates</t>
        </is>
      </c>
      <c r="G1922" s="4" t="inlineStr">
        <is>
          <t>Expense</t>
        </is>
      </c>
      <c r="H1922" s="12" t="n">
        <v>46013</v>
      </c>
      <c r="I1922" s="13" t="n">
        <v>0.02584490740740741</v>
      </c>
      <c r="J1922" s="14" t="n">
        <v>46013.02584490741</v>
      </c>
      <c r="K1922" s="15" t="n">
        <v>8605.549999999999</v>
      </c>
      <c r="L1922" s="4" t="inlineStr">
        <is>
          <t>INR</t>
        </is>
      </c>
      <c r="M1922" s="15" t="n">
        <v>-8605.549999999999</v>
      </c>
      <c r="N1922" s="4" t="inlineStr">
        <is>
          <t>IOS Owner</t>
        </is>
      </c>
      <c r="O1922" s="4" t="n"/>
      <c r="P1922" s="4" t="n"/>
      <c r="Q1922" s="4" t="inlineStr">
        <is>
          <t>MAESTRO-IOS-PERSONAL-RELATIONSHIPS-1921 | Dates | 8605.55</t>
        </is>
      </c>
      <c r="R1922" s="4" t="inlineStr">
        <is>
          <t>iPhone</t>
        </is>
      </c>
      <c r="S1922" s="4" t="inlineStr">
        <is>
          <t>B39</t>
        </is>
      </c>
      <c r="T1922" s="4" t="inlineStr">
        <is>
          <t>RAMP_1501_2500</t>
        </is>
      </c>
      <c r="U1922" s="4" t="inlineStr">
        <is>
          <t>CREATED</t>
        </is>
      </c>
      <c r="V1922" s="4" t="inlineStr">
        <is>
          <t>idem-20260902-ios-1921</t>
        </is>
      </c>
    </row>
    <row r="1923" ht="30" customHeight="1">
      <c r="A1923" s="4" t="n">
        <v>1922</v>
      </c>
      <c r="B1923" s="4" t="inlineStr">
        <is>
          <t>MTR-IOS-1922</t>
        </is>
      </c>
      <c r="C1923" s="4" t="inlineStr">
        <is>
          <t>Group</t>
        </is>
      </c>
      <c r="D1923" s="4" t="inlineStr">
        <is>
          <t>Shared Experience</t>
        </is>
      </c>
      <c r="E1923" s="4" t="inlineStr">
        <is>
          <t>Trip</t>
        </is>
      </c>
      <c r="F1923" s="4" t="inlineStr">
        <is>
          <t>Food</t>
        </is>
      </c>
      <c r="G1923" s="4" t="inlineStr">
        <is>
          <t>Expense</t>
        </is>
      </c>
      <c r="H1923" s="12" t="n">
        <v>46223</v>
      </c>
      <c r="I1923" s="13" t="n">
        <v>0.8051736111111111</v>
      </c>
      <c r="J1923" s="14" t="n">
        <v>46223.80517361111</v>
      </c>
      <c r="K1923" s="15" t="n">
        <v>17854.37</v>
      </c>
      <c r="L1923" s="4" t="inlineStr">
        <is>
          <t>INR</t>
        </is>
      </c>
      <c r="M1923" s="15" t="n">
        <v>-17854.37</v>
      </c>
      <c r="N1923" s="4" t="inlineStr">
        <is>
          <t>IOS Aarav</t>
        </is>
      </c>
      <c r="O1923" s="4" t="n">
        <v>3</v>
      </c>
      <c r="P1923" s="4" t="inlineStr">
        <is>
          <t>EQUAL</t>
        </is>
      </c>
      <c r="Q1923" s="4" t="inlineStr">
        <is>
          <t>MAESTRO-IOS-GROUP-TRIP-1922 | Food | 17854.37</t>
        </is>
      </c>
      <c r="R1923" s="4" t="inlineStr">
        <is>
          <t>iPhone</t>
        </is>
      </c>
      <c r="S1923" s="4" t="inlineStr">
        <is>
          <t>B39</t>
        </is>
      </c>
      <c r="T1923" s="4" t="inlineStr">
        <is>
          <t>RAMP_1501_2500</t>
        </is>
      </c>
      <c r="U1923" s="4" t="inlineStr">
        <is>
          <t>CREATED</t>
        </is>
      </c>
      <c r="V1923" s="4" t="inlineStr">
        <is>
          <t>idem-20260902-ios-1922</t>
        </is>
      </c>
    </row>
    <row r="1924" ht="30" customHeight="1">
      <c r="A1924" s="4" t="n">
        <v>1923</v>
      </c>
      <c r="B1924" s="4" t="inlineStr">
        <is>
          <t>MTR-IOS-1923</t>
        </is>
      </c>
      <c r="C1924" s="4" t="inlineStr">
        <is>
          <t>Business</t>
        </is>
      </c>
      <c r="D1924" s="4" t="inlineStr">
        <is>
          <t>Business</t>
        </is>
      </c>
      <c r="E1924" s="4" t="inlineStr">
        <is>
          <t>Business Runway</t>
        </is>
      </c>
      <c r="F1924" s="4" t="inlineStr">
        <is>
          <t>Reserve</t>
        </is>
      </c>
      <c r="G1924" s="4" t="inlineStr">
        <is>
          <t>Transfer</t>
        </is>
      </c>
      <c r="H1924" s="12" t="n">
        <v>45969</v>
      </c>
      <c r="I1924" s="13" t="n">
        <v>0.7607175925925926</v>
      </c>
      <c r="J1924" s="14" t="n">
        <v>45969.7607175926</v>
      </c>
      <c r="K1924" s="15" t="n">
        <v>97510.53999999999</v>
      </c>
      <c r="L1924" s="4" t="inlineStr">
        <is>
          <t>INR</t>
        </is>
      </c>
      <c r="M1924" s="15" t="n">
        <v>0</v>
      </c>
      <c r="N1924" s="4" t="inlineStr">
        <is>
          <t>IOS Owner</t>
        </is>
      </c>
      <c r="O1924" s="4" t="n"/>
      <c r="P1924" s="4" t="n"/>
      <c r="Q1924" s="4" t="inlineStr">
        <is>
          <t>MAESTRO-IOS-BUSINESS-BUSINESS_RUNWAY-1923 | Reserve | 97510.54</t>
        </is>
      </c>
      <c r="R1924" s="4" t="inlineStr">
        <is>
          <t>iPhone</t>
        </is>
      </c>
      <c r="S1924" s="4" t="inlineStr">
        <is>
          <t>B39</t>
        </is>
      </c>
      <c r="T1924" s="4" t="inlineStr">
        <is>
          <t>RAMP_1501_2500</t>
        </is>
      </c>
      <c r="U1924" s="4" t="inlineStr">
        <is>
          <t>CREATED</t>
        </is>
      </c>
      <c r="V1924" s="4" t="inlineStr">
        <is>
          <t>idem-20260902-ios-1923</t>
        </is>
      </c>
    </row>
    <row r="1925" ht="30" customHeight="1">
      <c r="A1925" s="4" t="n">
        <v>1924</v>
      </c>
      <c r="B1925" s="4" t="inlineStr">
        <is>
          <t>MTR-IOS-1924</t>
        </is>
      </c>
      <c r="C1925" s="4" t="inlineStr">
        <is>
          <t>Personal</t>
        </is>
      </c>
      <c r="D1925" s="4" t="inlineStr">
        <is>
          <t>Personal</t>
        </is>
      </c>
      <c r="E1925" s="4" t="inlineStr">
        <is>
          <t>Relationships</t>
        </is>
      </c>
      <c r="F1925" s="4" t="inlineStr">
        <is>
          <t>Family</t>
        </is>
      </c>
      <c r="G1925" s="4" t="inlineStr">
        <is>
          <t>Expense</t>
        </is>
      </c>
      <c r="H1925" s="12" t="n">
        <v>46234</v>
      </c>
      <c r="I1925" s="13" t="n">
        <v>0.3136458333333333</v>
      </c>
      <c r="J1925" s="14" t="n">
        <v>46234.31364583333</v>
      </c>
      <c r="K1925" s="15" t="n">
        <v>999.99</v>
      </c>
      <c r="L1925" s="4" t="inlineStr">
        <is>
          <t>INR</t>
        </is>
      </c>
      <c r="M1925" s="15" t="n">
        <v>-999.99</v>
      </c>
      <c r="N1925" s="4" t="inlineStr">
        <is>
          <t>IOS Owner</t>
        </is>
      </c>
      <c r="O1925" s="4" t="n"/>
      <c r="P1925" s="4" t="n"/>
      <c r="Q1925" s="4" t="inlineStr">
        <is>
          <t>MAESTRO-IOS-PERSONAL-RELATIONSHIPS-1924 | Family | 999.99</t>
        </is>
      </c>
      <c r="R1925" s="4" t="inlineStr">
        <is>
          <t>iPhone</t>
        </is>
      </c>
      <c r="S1925" s="4" t="inlineStr">
        <is>
          <t>B39</t>
        </is>
      </c>
      <c r="T1925" s="4" t="inlineStr">
        <is>
          <t>RAMP_1501_2500</t>
        </is>
      </c>
      <c r="U1925" s="4" t="inlineStr">
        <is>
          <t>CREATED</t>
        </is>
      </c>
      <c r="V1925" s="4" t="inlineStr">
        <is>
          <t>idem-20260902-ios-1924</t>
        </is>
      </c>
    </row>
    <row r="1926" ht="30" customHeight="1">
      <c r="A1926" s="4" t="n">
        <v>1925</v>
      </c>
      <c r="B1926" s="4" t="inlineStr">
        <is>
          <t>MTR-IOS-1925</t>
        </is>
      </c>
      <c r="C1926" s="4" t="inlineStr">
        <is>
          <t>Group</t>
        </is>
      </c>
      <c r="D1926" s="4" t="inlineStr">
        <is>
          <t>Shared Experience</t>
        </is>
      </c>
      <c r="E1926" s="4" t="inlineStr">
        <is>
          <t>Trip</t>
        </is>
      </c>
      <c r="F1926" s="4" t="inlineStr">
        <is>
          <t>Local Transport</t>
        </is>
      </c>
      <c r="G1926" s="4" t="inlineStr">
        <is>
          <t>Expense</t>
        </is>
      </c>
      <c r="H1926" s="12" t="n">
        <v>46261</v>
      </c>
      <c r="I1926" s="13" t="n">
        <v>0.8631712962962963</v>
      </c>
      <c r="J1926" s="14" t="n">
        <v>46261.8631712963</v>
      </c>
      <c r="K1926" s="15" t="n">
        <v>12090.89</v>
      </c>
      <c r="L1926" s="4" t="inlineStr">
        <is>
          <t>INR</t>
        </is>
      </c>
      <c r="M1926" s="15" t="n">
        <v>-12090.89</v>
      </c>
      <c r="N1926" s="4" t="inlineStr">
        <is>
          <t>IOS Meera</t>
        </is>
      </c>
      <c r="O1926" s="4" t="n">
        <v>3</v>
      </c>
      <c r="P1926" s="4" t="inlineStr">
        <is>
          <t>PERCENTAGE</t>
        </is>
      </c>
      <c r="Q1926" s="4" t="inlineStr">
        <is>
          <t>MAESTRO-IOS-GROUP-TRIP-1925 | Local Transport | 12090.89</t>
        </is>
      </c>
      <c r="R1926" s="4" t="inlineStr">
        <is>
          <t>iPhone</t>
        </is>
      </c>
      <c r="S1926" s="4" t="inlineStr">
        <is>
          <t>B39</t>
        </is>
      </c>
      <c r="T1926" s="4" t="inlineStr">
        <is>
          <t>RAMP_1501_2500</t>
        </is>
      </c>
      <c r="U1926" s="4" t="inlineStr">
        <is>
          <t>CREATED</t>
        </is>
      </c>
      <c r="V1926" s="4" t="inlineStr">
        <is>
          <t>idem-20260902-ios-1925</t>
        </is>
      </c>
    </row>
    <row r="1927" ht="30" customHeight="1">
      <c r="A1927" s="4" t="n">
        <v>1926</v>
      </c>
      <c r="B1927" s="4" t="inlineStr">
        <is>
          <t>MTR-IOS-1926</t>
        </is>
      </c>
      <c r="C1927" s="4" t="inlineStr">
        <is>
          <t>Business</t>
        </is>
      </c>
      <c r="D1927" s="4" t="inlineStr">
        <is>
          <t>Business</t>
        </is>
      </c>
      <c r="E1927" s="4" t="inlineStr">
        <is>
          <t>Business Runway</t>
        </is>
      </c>
      <c r="F1927" s="4" t="inlineStr">
        <is>
          <t>Loan</t>
        </is>
      </c>
      <c r="G1927" s="4" t="inlineStr">
        <is>
          <t>Income</t>
        </is>
      </c>
      <c r="H1927" s="12" t="n">
        <v>46048</v>
      </c>
      <c r="I1927" s="13" t="n">
        <v>0.4915046296296297</v>
      </c>
      <c r="J1927" s="14" t="n">
        <v>46048.49150462963</v>
      </c>
      <c r="K1927" s="15" t="n">
        <v>124951.66</v>
      </c>
      <c r="L1927" s="4" t="inlineStr">
        <is>
          <t>INR</t>
        </is>
      </c>
      <c r="M1927" s="15" t="n">
        <v>124951.66</v>
      </c>
      <c r="N1927" s="4" t="inlineStr">
        <is>
          <t>IOS Owner</t>
        </is>
      </c>
      <c r="O1927" s="4" t="n"/>
      <c r="P1927" s="4" t="n"/>
      <c r="Q1927" s="4" t="inlineStr">
        <is>
          <t>MAESTRO-IOS-BUSINESS-BUSINESS_RUNWAY-1926 | Loan | 124951.66</t>
        </is>
      </c>
      <c r="R1927" s="4" t="inlineStr">
        <is>
          <t>iPhone</t>
        </is>
      </c>
      <c r="S1927" s="4" t="inlineStr">
        <is>
          <t>B39</t>
        </is>
      </c>
      <c r="T1927" s="4" t="inlineStr">
        <is>
          <t>RAMP_1501_2500</t>
        </is>
      </c>
      <c r="U1927" s="4" t="inlineStr">
        <is>
          <t>CREATED</t>
        </is>
      </c>
      <c r="V1927" s="4" t="inlineStr">
        <is>
          <t>idem-20260902-ios-1926</t>
        </is>
      </c>
    </row>
    <row r="1928" ht="30" customHeight="1">
      <c r="A1928" s="4" t="n">
        <v>1927</v>
      </c>
      <c r="B1928" s="4" t="inlineStr">
        <is>
          <t>MTR-IOS-1927</t>
        </is>
      </c>
      <c r="C1928" s="4" t="inlineStr">
        <is>
          <t>Personal</t>
        </is>
      </c>
      <c r="D1928" s="4" t="inlineStr">
        <is>
          <t>Personal</t>
        </is>
      </c>
      <c r="E1928" s="4" t="inlineStr">
        <is>
          <t>Relationships</t>
        </is>
      </c>
      <c r="F1928" s="4" t="inlineStr">
        <is>
          <t>Friends</t>
        </is>
      </c>
      <c r="G1928" s="4" t="inlineStr">
        <is>
          <t>Expense</t>
        </is>
      </c>
      <c r="H1928" s="12" t="n">
        <v>46127</v>
      </c>
      <c r="I1928" s="13" t="n">
        <v>0.6608912037037037</v>
      </c>
      <c r="J1928" s="14" t="n">
        <v>46127.6608912037</v>
      </c>
      <c r="K1928" s="15" t="n">
        <v>1643.81</v>
      </c>
      <c r="L1928" s="4" t="inlineStr">
        <is>
          <t>INR</t>
        </is>
      </c>
      <c r="M1928" s="15" t="n">
        <v>-1643.81</v>
      </c>
      <c r="N1928" s="4" t="inlineStr">
        <is>
          <t>IOS Owner</t>
        </is>
      </c>
      <c r="O1928" s="4" t="n"/>
      <c r="P1928" s="4" t="n"/>
      <c r="Q1928" s="4" t="inlineStr">
        <is>
          <t>MAESTRO-IOS-PERSONAL-RELATIONSHIPS-1927 | Friends | 1643.81</t>
        </is>
      </c>
      <c r="R1928" s="4" t="inlineStr">
        <is>
          <t>iPhone</t>
        </is>
      </c>
      <c r="S1928" s="4" t="inlineStr">
        <is>
          <t>B39</t>
        </is>
      </c>
      <c r="T1928" s="4" t="inlineStr">
        <is>
          <t>RAMP_1501_2500</t>
        </is>
      </c>
      <c r="U1928" s="4" t="inlineStr">
        <is>
          <t>CREATED</t>
        </is>
      </c>
      <c r="V1928" s="4" t="inlineStr">
        <is>
          <t>idem-20260902-ios-1927</t>
        </is>
      </c>
    </row>
    <row r="1929" ht="30" customHeight="1">
      <c r="A1929" s="4" t="n">
        <v>1928</v>
      </c>
      <c r="B1929" s="4" t="inlineStr">
        <is>
          <t>MTR-IOS-1928</t>
        </is>
      </c>
      <c r="C1929" s="4" t="inlineStr">
        <is>
          <t>Group</t>
        </is>
      </c>
      <c r="D1929" s="4" t="inlineStr">
        <is>
          <t>Shared Experience</t>
        </is>
      </c>
      <c r="E1929" s="4" t="inlineStr">
        <is>
          <t>Trip</t>
        </is>
      </c>
      <c r="F1929" s="4" t="inlineStr">
        <is>
          <t>Activities</t>
        </is>
      </c>
      <c r="G1929" s="4" t="inlineStr">
        <is>
          <t>Expense</t>
        </is>
      </c>
      <c r="H1929" s="12" t="n">
        <v>46042</v>
      </c>
      <c r="I1929" s="13" t="n">
        <v>0.9819560185185185</v>
      </c>
      <c r="J1929" s="14" t="n">
        <v>46042.98195601852</v>
      </c>
      <c r="K1929" s="15" t="n">
        <v>134.18</v>
      </c>
      <c r="L1929" s="4" t="inlineStr">
        <is>
          <t>INR</t>
        </is>
      </c>
      <c r="M1929" s="15" t="n">
        <v>-134.18</v>
      </c>
      <c r="N1929" s="4" t="inlineStr">
        <is>
          <t>IOS Owner</t>
        </is>
      </c>
      <c r="O1929" s="4" t="n">
        <v>3</v>
      </c>
      <c r="P1929" s="4" t="inlineStr">
        <is>
          <t>EXACT</t>
        </is>
      </c>
      <c r="Q1929" s="4" t="inlineStr">
        <is>
          <t>MAESTRO-IOS-GROUP-TRIP-1928 | Activities | 134.18</t>
        </is>
      </c>
      <c r="R1929" s="4" t="inlineStr">
        <is>
          <t>iPhone</t>
        </is>
      </c>
      <c r="S1929" s="4" t="inlineStr">
        <is>
          <t>B39</t>
        </is>
      </c>
      <c r="T1929" s="4" t="inlineStr">
        <is>
          <t>RAMP_1501_2500</t>
        </is>
      </c>
      <c r="U1929" s="4" t="inlineStr">
        <is>
          <t>CREATED</t>
        </is>
      </c>
      <c r="V1929" s="4" t="inlineStr">
        <is>
          <t>idem-20260902-ios-1928</t>
        </is>
      </c>
    </row>
    <row r="1930" ht="30" customHeight="1">
      <c r="A1930" s="4" t="n">
        <v>1929</v>
      </c>
      <c r="B1930" s="4" t="inlineStr">
        <is>
          <t>MTR-IOS-1929</t>
        </is>
      </c>
      <c r="C1930" s="4" t="inlineStr">
        <is>
          <t>Business</t>
        </is>
      </c>
      <c r="D1930" s="4" t="inlineStr">
        <is>
          <t>Business</t>
        </is>
      </c>
      <c r="E1930" s="4" t="inlineStr">
        <is>
          <t>Business Runway</t>
        </is>
      </c>
      <c r="F1930" s="4" t="inlineStr">
        <is>
          <t>Investment</t>
        </is>
      </c>
      <c r="G1930" s="4" t="inlineStr">
        <is>
          <t>Income</t>
        </is>
      </c>
      <c r="H1930" s="12" t="n">
        <v>46179</v>
      </c>
      <c r="I1930" s="13" t="n">
        <v>0.335625</v>
      </c>
      <c r="J1930" s="14" t="n">
        <v>46179.335625</v>
      </c>
      <c r="K1930" s="15" t="n">
        <v>125674.54</v>
      </c>
      <c r="L1930" s="4" t="inlineStr">
        <is>
          <t>INR</t>
        </is>
      </c>
      <c r="M1930" s="15" t="n">
        <v>125674.54</v>
      </c>
      <c r="N1930" s="4" t="inlineStr">
        <is>
          <t>IOS Owner</t>
        </is>
      </c>
      <c r="O1930" s="4" t="n"/>
      <c r="P1930" s="4" t="n"/>
      <c r="Q1930" s="4" t="inlineStr">
        <is>
          <t>MAESTRO-IOS-BUSINESS-BUSINESS_RUNWAY-1929 | Investment | 125674.54</t>
        </is>
      </c>
      <c r="R1930" s="4" t="inlineStr">
        <is>
          <t>iPhone</t>
        </is>
      </c>
      <c r="S1930" s="4" t="inlineStr">
        <is>
          <t>B39</t>
        </is>
      </c>
      <c r="T1930" s="4" t="inlineStr">
        <is>
          <t>RAMP_1501_2500</t>
        </is>
      </c>
      <c r="U1930" s="4" t="inlineStr">
        <is>
          <t>CREATED</t>
        </is>
      </c>
      <c r="V1930" s="4" t="inlineStr">
        <is>
          <t>idem-20260902-ios-1929</t>
        </is>
      </c>
    </row>
    <row r="1931" ht="30" customHeight="1">
      <c r="A1931" s="4" t="n">
        <v>1930</v>
      </c>
      <c r="B1931" s="4" t="inlineStr">
        <is>
          <t>MTR-IOS-1930</t>
        </is>
      </c>
      <c r="C1931" s="4" t="inlineStr">
        <is>
          <t>Personal</t>
        </is>
      </c>
      <c r="D1931" s="4" t="inlineStr">
        <is>
          <t>Personal</t>
        </is>
      </c>
      <c r="E1931" s="4" t="inlineStr">
        <is>
          <t>Relationships</t>
        </is>
      </c>
      <c r="F1931" s="4" t="inlineStr">
        <is>
          <t>Celebrations</t>
        </is>
      </c>
      <c r="G1931" s="4" t="inlineStr">
        <is>
          <t>Expense</t>
        </is>
      </c>
      <c r="H1931" s="12" t="n">
        <v>45954</v>
      </c>
      <c r="I1931" s="13" t="n">
        <v>0.5755555555555556</v>
      </c>
      <c r="J1931" s="14" t="n">
        <v>45954.57555555556</v>
      </c>
      <c r="K1931" s="15" t="n">
        <v>10020.81</v>
      </c>
      <c r="L1931" s="4" t="inlineStr">
        <is>
          <t>INR</t>
        </is>
      </c>
      <c r="M1931" s="15" t="n">
        <v>-10020.81</v>
      </c>
      <c r="N1931" s="4" t="inlineStr">
        <is>
          <t>IOS Owner</t>
        </is>
      </c>
      <c r="O1931" s="4" t="n"/>
      <c r="P1931" s="4" t="n"/>
      <c r="Q1931" s="4" t="inlineStr">
        <is>
          <t>MAESTRO-IOS-PERSONAL-RELATIONSHIPS-1930 | Celebrations | 10020.81</t>
        </is>
      </c>
      <c r="R1931" s="4" t="inlineStr">
        <is>
          <t>iPhone</t>
        </is>
      </c>
      <c r="S1931" s="4" t="inlineStr">
        <is>
          <t>B39</t>
        </is>
      </c>
      <c r="T1931" s="4" t="inlineStr">
        <is>
          <t>RAMP_1501_2500</t>
        </is>
      </c>
      <c r="U1931" s="4" t="inlineStr">
        <is>
          <t>CREATED</t>
        </is>
      </c>
      <c r="V1931" s="4" t="inlineStr">
        <is>
          <t>idem-20260902-ios-1930</t>
        </is>
      </c>
    </row>
    <row r="1932" ht="30" customHeight="1">
      <c r="A1932" s="4" t="n">
        <v>1931</v>
      </c>
      <c r="B1932" s="4" t="inlineStr">
        <is>
          <t>MTR-IOS-1931</t>
        </is>
      </c>
      <c r="C1932" s="4" t="inlineStr">
        <is>
          <t>Group</t>
        </is>
      </c>
      <c r="D1932" s="4" t="inlineStr">
        <is>
          <t>Shared Experience</t>
        </is>
      </c>
      <c r="E1932" s="4" t="inlineStr">
        <is>
          <t>Trip</t>
        </is>
      </c>
      <c r="F1932" s="4" t="inlineStr">
        <is>
          <t>Shopping</t>
        </is>
      </c>
      <c r="G1932" s="4" t="inlineStr">
        <is>
          <t>Expense</t>
        </is>
      </c>
      <c r="H1932" s="12" t="n">
        <v>46265</v>
      </c>
      <c r="I1932" s="13" t="n">
        <v>0.705949074074074</v>
      </c>
      <c r="J1932" s="14" t="n">
        <v>46265.70594907407</v>
      </c>
      <c r="K1932" s="15" t="n">
        <v>4955.56</v>
      </c>
      <c r="L1932" s="4" t="inlineStr">
        <is>
          <t>INR</t>
        </is>
      </c>
      <c r="M1932" s="15" t="n">
        <v>-4955.56</v>
      </c>
      <c r="N1932" s="4" t="inlineStr">
        <is>
          <t>IOS Aarav</t>
        </is>
      </c>
      <c r="O1932" s="4" t="n">
        <v>3</v>
      </c>
      <c r="P1932" s="4" t="inlineStr">
        <is>
          <t>SHARES</t>
        </is>
      </c>
      <c r="Q1932" s="4" t="inlineStr">
        <is>
          <t>MAESTRO-IOS-GROUP-TRIP-1931 | Shopping | 4955.56</t>
        </is>
      </c>
      <c r="R1932" s="4" t="inlineStr">
        <is>
          <t>iPhone</t>
        </is>
      </c>
      <c r="S1932" s="4" t="inlineStr">
        <is>
          <t>B39</t>
        </is>
      </c>
      <c r="T1932" s="4" t="inlineStr">
        <is>
          <t>RAMP_1501_2500</t>
        </is>
      </c>
      <c r="U1932" s="4" t="inlineStr">
        <is>
          <t>CREATED</t>
        </is>
      </c>
      <c r="V1932" s="4" t="inlineStr">
        <is>
          <t>idem-20260902-ios-1931</t>
        </is>
      </c>
    </row>
    <row r="1933" ht="30" customHeight="1">
      <c r="A1933" s="4" t="n">
        <v>1932</v>
      </c>
      <c r="B1933" s="4" t="inlineStr">
        <is>
          <t>MTR-IOS-1932</t>
        </is>
      </c>
      <c r="C1933" s="4" t="inlineStr">
        <is>
          <t>Business</t>
        </is>
      </c>
      <c r="D1933" s="4" t="inlineStr">
        <is>
          <t>Business</t>
        </is>
      </c>
      <c r="E1933" s="4" t="inlineStr">
        <is>
          <t>Business Operations</t>
        </is>
      </c>
      <c r="F1933" s="4" t="inlineStr">
        <is>
          <t>Software</t>
        </is>
      </c>
      <c r="G1933" s="4" t="inlineStr">
        <is>
          <t>Expense</t>
        </is>
      </c>
      <c r="H1933" s="12" t="n">
        <v>46015</v>
      </c>
      <c r="I1933" s="13" t="n">
        <v>0.8622337962962963</v>
      </c>
      <c r="J1933" s="14" t="n">
        <v>46015.8622337963</v>
      </c>
      <c r="K1933" s="15" t="n">
        <v>99678.42</v>
      </c>
      <c r="L1933" s="4" t="inlineStr">
        <is>
          <t>INR</t>
        </is>
      </c>
      <c r="M1933" s="15" t="n">
        <v>-99678.42</v>
      </c>
      <c r="N1933" s="4" t="inlineStr">
        <is>
          <t>IOS Owner</t>
        </is>
      </c>
      <c r="O1933" s="4" t="n"/>
      <c r="P1933" s="4" t="n"/>
      <c r="Q1933" s="4" t="inlineStr">
        <is>
          <t>MAESTRO-IOS-BUSINESS-BUSINESS_OPERATIONS-1932 | Software | 99678.42</t>
        </is>
      </c>
      <c r="R1933" s="4" t="inlineStr">
        <is>
          <t>iPhone</t>
        </is>
      </c>
      <c r="S1933" s="4" t="inlineStr">
        <is>
          <t>B39</t>
        </is>
      </c>
      <c r="T1933" s="4" t="inlineStr">
        <is>
          <t>RAMP_1501_2500</t>
        </is>
      </c>
      <c r="U1933" s="4" t="inlineStr">
        <is>
          <t>CREATED</t>
        </is>
      </c>
      <c r="V1933" s="4" t="inlineStr">
        <is>
          <t>idem-20260902-ios-1932</t>
        </is>
      </c>
    </row>
    <row r="1934" ht="30" customHeight="1">
      <c r="A1934" s="4" t="n">
        <v>1933</v>
      </c>
      <c r="B1934" s="4" t="inlineStr">
        <is>
          <t>MTR-IOS-1933</t>
        </is>
      </c>
      <c r="C1934" s="4" t="inlineStr">
        <is>
          <t>Personal</t>
        </is>
      </c>
      <c r="D1934" s="4" t="inlineStr">
        <is>
          <t>Personal</t>
        </is>
      </c>
      <c r="E1934" s="4" t="inlineStr">
        <is>
          <t>Life Operations</t>
        </is>
      </c>
      <c r="F1934" s="4" t="inlineStr">
        <is>
          <t>Groceries</t>
        </is>
      </c>
      <c r="G1934" s="4" t="inlineStr">
        <is>
          <t>Expense</t>
        </is>
      </c>
      <c r="H1934" s="12" t="n">
        <v>46021</v>
      </c>
      <c r="I1934" s="13" t="n">
        <v>0.8450462962962964</v>
      </c>
      <c r="J1934" s="14" t="n">
        <v>46021.84504629629</v>
      </c>
      <c r="K1934" s="15" t="n">
        <v>17690.08</v>
      </c>
      <c r="L1934" s="4" t="inlineStr">
        <is>
          <t>INR</t>
        </is>
      </c>
      <c r="M1934" s="15" t="n">
        <v>-17690.08</v>
      </c>
      <c r="N1934" s="4" t="inlineStr">
        <is>
          <t>IOS Owner</t>
        </is>
      </c>
      <c r="O1934" s="4" t="n"/>
      <c r="P1934" s="4" t="n"/>
      <c r="Q1934" s="4" t="inlineStr">
        <is>
          <t>MAESTRO-IOS-PERSONAL-LIFE_OPERATIONS-1933 | Groceries | 17690.08</t>
        </is>
      </c>
      <c r="R1934" s="4" t="inlineStr">
        <is>
          <t>iPhone</t>
        </is>
      </c>
      <c r="S1934" s="4" t="inlineStr">
        <is>
          <t>B39</t>
        </is>
      </c>
      <c r="T1934" s="4" t="inlineStr">
        <is>
          <t>RAMP_1501_2500</t>
        </is>
      </c>
      <c r="U1934" s="4" t="inlineStr">
        <is>
          <t>CREATED</t>
        </is>
      </c>
      <c r="V1934" s="4" t="inlineStr">
        <is>
          <t>idem-20260902-ios-1933</t>
        </is>
      </c>
    </row>
    <row r="1935" ht="30" customHeight="1">
      <c r="A1935" s="4" t="n">
        <v>1934</v>
      </c>
      <c r="B1935" s="4" t="inlineStr">
        <is>
          <t>MTR-IOS-1934</t>
        </is>
      </c>
      <c r="C1935" s="4" t="inlineStr">
        <is>
          <t>Group</t>
        </is>
      </c>
      <c r="D1935" s="4" t="inlineStr">
        <is>
          <t>Shared Experience</t>
        </is>
      </c>
      <c r="E1935" s="4" t="inlineStr">
        <is>
          <t>Trip</t>
        </is>
      </c>
      <c r="F1935" s="4" t="inlineStr">
        <is>
          <t>Other</t>
        </is>
      </c>
      <c r="G1935" s="4" t="inlineStr">
        <is>
          <t>Expense</t>
        </is>
      </c>
      <c r="H1935" s="12" t="n">
        <v>46044</v>
      </c>
      <c r="I1935" s="13" t="n">
        <v>0.3043171296296296</v>
      </c>
      <c r="J1935" s="14" t="n">
        <v>46044.30431712963</v>
      </c>
      <c r="K1935" s="15" t="n">
        <v>14568.73</v>
      </c>
      <c r="L1935" s="4" t="inlineStr">
        <is>
          <t>INR</t>
        </is>
      </c>
      <c r="M1935" s="15" t="n">
        <v>-14568.73</v>
      </c>
      <c r="N1935" s="4" t="inlineStr">
        <is>
          <t>IOS Meera</t>
        </is>
      </c>
      <c r="O1935" s="4" t="n">
        <v>3</v>
      </c>
      <c r="P1935" s="4" t="inlineStr">
        <is>
          <t>EQUAL</t>
        </is>
      </c>
      <c r="Q1935" s="4" t="inlineStr">
        <is>
          <t>MAESTRO-IOS-GROUP-TRIP-1934 | Other | 14568.73</t>
        </is>
      </c>
      <c r="R1935" s="4" t="inlineStr">
        <is>
          <t>iPhone</t>
        </is>
      </c>
      <c r="S1935" s="4" t="inlineStr">
        <is>
          <t>B39</t>
        </is>
      </c>
      <c r="T1935" s="4" t="inlineStr">
        <is>
          <t>RAMP_1501_2500</t>
        </is>
      </c>
      <c r="U1935" s="4" t="inlineStr">
        <is>
          <t>CREATED</t>
        </is>
      </c>
      <c r="V1935" s="4" t="inlineStr">
        <is>
          <t>idem-20260902-ios-1934</t>
        </is>
      </c>
    </row>
    <row r="1936" ht="30" customHeight="1">
      <c r="A1936" s="4" t="n">
        <v>1935</v>
      </c>
      <c r="B1936" s="4" t="inlineStr">
        <is>
          <t>MTR-IOS-1935</t>
        </is>
      </c>
      <c r="C1936" s="4" t="inlineStr">
        <is>
          <t>Business</t>
        </is>
      </c>
      <c r="D1936" s="4" t="inlineStr">
        <is>
          <t>Business</t>
        </is>
      </c>
      <c r="E1936" s="4" t="inlineStr">
        <is>
          <t>Business Operations</t>
        </is>
      </c>
      <c r="F1936" s="4" t="inlineStr">
        <is>
          <t>Rent</t>
        </is>
      </c>
      <c r="G1936" s="4" t="inlineStr">
        <is>
          <t>Expense</t>
        </is>
      </c>
      <c r="H1936" s="12" t="n">
        <v>46071</v>
      </c>
      <c r="I1936" s="13" t="n">
        <v>0.9132638888888889</v>
      </c>
      <c r="J1936" s="14" t="n">
        <v>46071.91326388889</v>
      </c>
      <c r="K1936" s="15" t="n">
        <v>59347.05</v>
      </c>
      <c r="L1936" s="4" t="inlineStr">
        <is>
          <t>INR</t>
        </is>
      </c>
      <c r="M1936" s="15" t="n">
        <v>-59347.05</v>
      </c>
      <c r="N1936" s="4" t="inlineStr">
        <is>
          <t>IOS Owner</t>
        </is>
      </c>
      <c r="O1936" s="4" t="n"/>
      <c r="P1936" s="4" t="n"/>
      <c r="Q1936" s="4" t="inlineStr">
        <is>
          <t>MAESTRO-IOS-BUSINESS-BUSINESS_OPERATIONS-1935 | Rent | 59347.05</t>
        </is>
      </c>
      <c r="R1936" s="4" t="inlineStr">
        <is>
          <t>iPhone</t>
        </is>
      </c>
      <c r="S1936" s="4" t="inlineStr">
        <is>
          <t>B39</t>
        </is>
      </c>
      <c r="T1936" s="4" t="inlineStr">
        <is>
          <t>RAMP_1501_2500</t>
        </is>
      </c>
      <c r="U1936" s="4" t="inlineStr">
        <is>
          <t>CREATED</t>
        </is>
      </c>
      <c r="V1936" s="4" t="inlineStr">
        <is>
          <t>idem-20260902-ios-1935</t>
        </is>
      </c>
    </row>
    <row r="1937" ht="30" customHeight="1">
      <c r="A1937" s="4" t="n">
        <v>1936</v>
      </c>
      <c r="B1937" s="4" t="inlineStr">
        <is>
          <t>MTR-IOS-1936</t>
        </is>
      </c>
      <c r="C1937" s="4" t="inlineStr">
        <is>
          <t>Personal</t>
        </is>
      </c>
      <c r="D1937" s="4" t="inlineStr">
        <is>
          <t>Personal</t>
        </is>
      </c>
      <c r="E1937" s="4" t="inlineStr">
        <is>
          <t>Life Operations</t>
        </is>
      </c>
      <c r="F1937" s="4" t="inlineStr">
        <is>
          <t>Rent</t>
        </is>
      </c>
      <c r="G1937" s="4" t="inlineStr">
        <is>
          <t>Expense</t>
        </is>
      </c>
      <c r="H1937" s="12" t="n">
        <v>46076</v>
      </c>
      <c r="I1937" s="13" t="n">
        <v>0.8994097222222223</v>
      </c>
      <c r="J1937" s="14" t="n">
        <v>46076.89940972222</v>
      </c>
      <c r="K1937" s="15" t="n">
        <v>3186.31</v>
      </c>
      <c r="L1937" s="4" t="inlineStr">
        <is>
          <t>INR</t>
        </is>
      </c>
      <c r="M1937" s="15" t="n">
        <v>-3186.31</v>
      </c>
      <c r="N1937" s="4" t="inlineStr">
        <is>
          <t>IOS Owner</t>
        </is>
      </c>
      <c r="O1937" s="4" t="n"/>
      <c r="P1937" s="4" t="n"/>
      <c r="Q1937" s="4" t="inlineStr">
        <is>
          <t>MAESTRO-IOS-PERSONAL-LIFE_OPERATIONS-1936 | Rent | 3186.31</t>
        </is>
      </c>
      <c r="R1937" s="4" t="inlineStr">
        <is>
          <t>iPhone</t>
        </is>
      </c>
      <c r="S1937" s="4" t="inlineStr">
        <is>
          <t>B39</t>
        </is>
      </c>
      <c r="T1937" s="4" t="inlineStr">
        <is>
          <t>RAMP_1501_2500</t>
        </is>
      </c>
      <c r="U1937" s="4" t="inlineStr">
        <is>
          <t>CREATED</t>
        </is>
      </c>
      <c r="V1937" s="4" t="inlineStr">
        <is>
          <t>idem-20260902-ios-1936</t>
        </is>
      </c>
    </row>
    <row r="1938" ht="30" customHeight="1">
      <c r="A1938" s="4" t="n">
        <v>1937</v>
      </c>
      <c r="B1938" s="4" t="inlineStr">
        <is>
          <t>MTR-IOS-1937</t>
        </is>
      </c>
      <c r="C1938" s="4" t="inlineStr">
        <is>
          <t>Group</t>
        </is>
      </c>
      <c r="D1938" s="4" t="inlineStr">
        <is>
          <t>Shared Experience</t>
        </is>
      </c>
      <c r="E1938" s="4" t="inlineStr">
        <is>
          <t>Wedding</t>
        </is>
      </c>
      <c r="F1938" s="4" t="inlineStr">
        <is>
          <t>Venue</t>
        </is>
      </c>
      <c r="G1938" s="4" t="inlineStr">
        <is>
          <t>Expense</t>
        </is>
      </c>
      <c r="H1938" s="12" t="n">
        <v>45931</v>
      </c>
      <c r="I1938" s="13" t="n">
        <v>0.8625462962962963</v>
      </c>
      <c r="J1938" s="14" t="n">
        <v>45931.8625462963</v>
      </c>
      <c r="K1938" s="15" t="n">
        <v>15466.79</v>
      </c>
      <c r="L1938" s="4" t="inlineStr">
        <is>
          <t>INR</t>
        </is>
      </c>
      <c r="M1938" s="15" t="n">
        <v>-15466.79</v>
      </c>
      <c r="N1938" s="4" t="inlineStr">
        <is>
          <t>IOS Owner</t>
        </is>
      </c>
      <c r="O1938" s="4" t="n">
        <v>3</v>
      </c>
      <c r="P1938" s="4" t="inlineStr">
        <is>
          <t>PERCENTAGE</t>
        </is>
      </c>
      <c r="Q1938" s="4" t="inlineStr">
        <is>
          <t>MAESTRO-IOS-GROUP-WEDDING-1937 | Venue | 15466.79</t>
        </is>
      </c>
      <c r="R1938" s="4" t="inlineStr">
        <is>
          <t>iPhone</t>
        </is>
      </c>
      <c r="S1938" s="4" t="inlineStr">
        <is>
          <t>B39</t>
        </is>
      </c>
      <c r="T1938" s="4" t="inlineStr">
        <is>
          <t>RAMP_1501_2500</t>
        </is>
      </c>
      <c r="U1938" s="4" t="inlineStr">
        <is>
          <t>CREATED</t>
        </is>
      </c>
      <c r="V1938" s="4" t="inlineStr">
        <is>
          <t>idem-20260902-ios-1937</t>
        </is>
      </c>
    </row>
    <row r="1939" ht="30" customHeight="1">
      <c r="A1939" s="4" t="n">
        <v>1938</v>
      </c>
      <c r="B1939" s="4" t="inlineStr">
        <is>
          <t>MTR-IOS-1938</t>
        </is>
      </c>
      <c r="C1939" s="4" t="inlineStr">
        <is>
          <t>Business</t>
        </is>
      </c>
      <c r="D1939" s="4" t="inlineStr">
        <is>
          <t>Business</t>
        </is>
      </c>
      <c r="E1939" s="4" t="inlineStr">
        <is>
          <t>Business Operations</t>
        </is>
      </c>
      <c r="F1939" s="4" t="inlineStr">
        <is>
          <t>Marketing</t>
        </is>
      </c>
      <c r="G1939" s="4" t="inlineStr">
        <is>
          <t>Expense</t>
        </is>
      </c>
      <c r="H1939" s="12" t="n">
        <v>45940</v>
      </c>
      <c r="I1939" s="13" t="n">
        <v>0.6811805555555556</v>
      </c>
      <c r="J1939" s="14" t="n">
        <v>45940.68118055556</v>
      </c>
      <c r="K1939" s="15" t="n">
        <v>63069.44</v>
      </c>
      <c r="L1939" s="4" t="inlineStr">
        <is>
          <t>INR</t>
        </is>
      </c>
      <c r="M1939" s="15" t="n">
        <v>-63069.44</v>
      </c>
      <c r="N1939" s="4" t="inlineStr">
        <is>
          <t>IOS Owner</t>
        </is>
      </c>
      <c r="O1939" s="4" t="n"/>
      <c r="P1939" s="4" t="n"/>
      <c r="Q1939" s="4" t="inlineStr">
        <is>
          <t>MAESTRO-IOS-BUSINESS-BUSINESS_OPERATIONS-1938 | Marketing | 63069.44</t>
        </is>
      </c>
      <c r="R1939" s="4" t="inlineStr">
        <is>
          <t>iPhone</t>
        </is>
      </c>
      <c r="S1939" s="4" t="inlineStr">
        <is>
          <t>B39</t>
        </is>
      </c>
      <c r="T1939" s="4" t="inlineStr">
        <is>
          <t>RAMP_1501_2500</t>
        </is>
      </c>
      <c r="U1939" s="4" t="inlineStr">
        <is>
          <t>CREATED</t>
        </is>
      </c>
      <c r="V1939" s="4" t="inlineStr">
        <is>
          <t>idem-20260902-ios-1938</t>
        </is>
      </c>
    </row>
    <row r="1940" ht="30" customHeight="1">
      <c r="A1940" s="4" t="n">
        <v>1939</v>
      </c>
      <c r="B1940" s="4" t="inlineStr">
        <is>
          <t>MTR-IOS-1939</t>
        </is>
      </c>
      <c r="C1940" s="4" t="inlineStr">
        <is>
          <t>Personal</t>
        </is>
      </c>
      <c r="D1940" s="4" t="inlineStr">
        <is>
          <t>Personal</t>
        </is>
      </c>
      <c r="E1940" s="4" t="inlineStr">
        <is>
          <t>Life Operations</t>
        </is>
      </c>
      <c r="F1940" s="4" t="inlineStr">
        <is>
          <t>Bills</t>
        </is>
      </c>
      <c r="G1940" s="4" t="inlineStr">
        <is>
          <t>Expense</t>
        </is>
      </c>
      <c r="H1940" s="12" t="n">
        <v>46040</v>
      </c>
      <c r="I1940" s="13" t="n">
        <v>0.7796412037037037</v>
      </c>
      <c r="J1940" s="14" t="n">
        <v>46040.77964120371</v>
      </c>
      <c r="K1940" s="15" t="n">
        <v>63.17</v>
      </c>
      <c r="L1940" s="4" t="inlineStr">
        <is>
          <t>INR</t>
        </is>
      </c>
      <c r="M1940" s="15" t="n">
        <v>-63.17</v>
      </c>
      <c r="N1940" s="4" t="inlineStr">
        <is>
          <t>IOS Owner</t>
        </is>
      </c>
      <c r="O1940" s="4" t="n"/>
      <c r="P1940" s="4" t="n"/>
      <c r="Q1940" s="4" t="inlineStr">
        <is>
          <t>MAESTRO-IOS-PERSONAL-LIFE_OPERATIONS-1939 | Bills | 63.17</t>
        </is>
      </c>
      <c r="R1940" s="4" t="inlineStr">
        <is>
          <t>iPhone</t>
        </is>
      </c>
      <c r="S1940" s="4" t="inlineStr">
        <is>
          <t>B39</t>
        </is>
      </c>
      <c r="T1940" s="4" t="inlineStr">
        <is>
          <t>RAMP_1501_2500</t>
        </is>
      </c>
      <c r="U1940" s="4" t="inlineStr">
        <is>
          <t>CREATED</t>
        </is>
      </c>
      <c r="V1940" s="4" t="inlineStr">
        <is>
          <t>idem-20260902-ios-1939</t>
        </is>
      </c>
    </row>
    <row r="1941" ht="30" customHeight="1">
      <c r="A1941" s="4" t="n">
        <v>1940</v>
      </c>
      <c r="B1941" s="4" t="inlineStr">
        <is>
          <t>MTR-IOS-1940</t>
        </is>
      </c>
      <c r="C1941" s="4" t="inlineStr">
        <is>
          <t>Group</t>
        </is>
      </c>
      <c r="D1941" s="4" t="inlineStr">
        <is>
          <t>Shared Experience</t>
        </is>
      </c>
      <c r="E1941" s="4" t="inlineStr">
        <is>
          <t>Wedding</t>
        </is>
      </c>
      <c r="F1941" s="4" t="inlineStr">
        <is>
          <t>Catering</t>
        </is>
      </c>
      <c r="G1941" s="4" t="inlineStr">
        <is>
          <t>Expense</t>
        </is>
      </c>
      <c r="H1941" s="12" t="n">
        <v>45960</v>
      </c>
      <c r="I1941" s="13" t="n">
        <v>0.4990856481481482</v>
      </c>
      <c r="J1941" s="14" t="n">
        <v>45960.49908564815</v>
      </c>
      <c r="K1941" s="15" t="n">
        <v>7289.73</v>
      </c>
      <c r="L1941" s="4" t="inlineStr">
        <is>
          <t>INR</t>
        </is>
      </c>
      <c r="M1941" s="15" t="n">
        <v>-7289.73</v>
      </c>
      <c r="N1941" s="4" t="inlineStr">
        <is>
          <t>IOS Aarav</t>
        </is>
      </c>
      <c r="O1941" s="4" t="n">
        <v>3</v>
      </c>
      <c r="P1941" s="4" t="inlineStr">
        <is>
          <t>EXACT</t>
        </is>
      </c>
      <c r="Q1941" s="4" t="inlineStr">
        <is>
          <t>MAESTRO-IOS-GROUP-WEDDING-1940 | Catering | 7289.73</t>
        </is>
      </c>
      <c r="R1941" s="4" t="inlineStr">
        <is>
          <t>iPhone</t>
        </is>
      </c>
      <c r="S1941" s="4" t="inlineStr">
        <is>
          <t>B39</t>
        </is>
      </c>
      <c r="T1941" s="4" t="inlineStr">
        <is>
          <t>RAMP_1501_2500</t>
        </is>
      </c>
      <c r="U1941" s="4" t="inlineStr">
        <is>
          <t>CREATED</t>
        </is>
      </c>
      <c r="V1941" s="4" t="inlineStr">
        <is>
          <t>idem-20260902-ios-1940</t>
        </is>
      </c>
    </row>
    <row r="1942" ht="30" customHeight="1">
      <c r="A1942" s="4" t="n">
        <v>1941</v>
      </c>
      <c r="B1942" s="4" t="inlineStr">
        <is>
          <t>MTR-IOS-1941</t>
        </is>
      </c>
      <c r="C1942" s="4" t="inlineStr">
        <is>
          <t>Business</t>
        </is>
      </c>
      <c r="D1942" s="4" t="inlineStr">
        <is>
          <t>Business</t>
        </is>
      </c>
      <c r="E1942" s="4" t="inlineStr">
        <is>
          <t>Business Operations</t>
        </is>
      </c>
      <c r="F1942" s="4" t="inlineStr">
        <is>
          <t>Legal</t>
        </is>
      </c>
      <c r="G1942" s="4" t="inlineStr">
        <is>
          <t>Expense</t>
        </is>
      </c>
      <c r="H1942" s="12" t="n">
        <v>46163</v>
      </c>
      <c r="I1942" s="13" t="n">
        <v>0.4481597222222222</v>
      </c>
      <c r="J1942" s="14" t="n">
        <v>46163.44815972223</v>
      </c>
      <c r="K1942" s="15" t="n">
        <v>44794.63</v>
      </c>
      <c r="L1942" s="4" t="inlineStr">
        <is>
          <t>INR</t>
        </is>
      </c>
      <c r="M1942" s="15" t="n">
        <v>-44794.63</v>
      </c>
      <c r="N1942" s="4" t="inlineStr">
        <is>
          <t>IOS Owner</t>
        </is>
      </c>
      <c r="O1942" s="4" t="n"/>
      <c r="P1942" s="4" t="n"/>
      <c r="Q1942" s="4" t="inlineStr">
        <is>
          <t>MAESTRO-IOS-BUSINESS-BUSINESS_OPERATIONS-1941 | Legal | 44794.63</t>
        </is>
      </c>
      <c r="R1942" s="4" t="inlineStr">
        <is>
          <t>iPhone</t>
        </is>
      </c>
      <c r="S1942" s="4" t="inlineStr">
        <is>
          <t>B39</t>
        </is>
      </c>
      <c r="T1942" s="4" t="inlineStr">
        <is>
          <t>RAMP_1501_2500</t>
        </is>
      </c>
      <c r="U1942" s="4" t="inlineStr">
        <is>
          <t>CREATED</t>
        </is>
      </c>
      <c r="V1942" s="4" t="inlineStr">
        <is>
          <t>idem-20260902-ios-1941</t>
        </is>
      </c>
    </row>
    <row r="1943" ht="30" customHeight="1">
      <c r="A1943" s="4" t="n">
        <v>1942</v>
      </c>
      <c r="B1943" s="4" t="inlineStr">
        <is>
          <t>MTR-IOS-1942</t>
        </is>
      </c>
      <c r="C1943" s="4" t="inlineStr">
        <is>
          <t>Personal</t>
        </is>
      </c>
      <c r="D1943" s="4" t="inlineStr">
        <is>
          <t>Personal</t>
        </is>
      </c>
      <c r="E1943" s="4" t="inlineStr">
        <is>
          <t>Life Operations</t>
        </is>
      </c>
      <c r="F1943" s="4" t="inlineStr">
        <is>
          <t>Transport</t>
        </is>
      </c>
      <c r="G1943" s="4" t="inlineStr">
        <is>
          <t>Expense</t>
        </is>
      </c>
      <c r="H1943" s="12" t="n">
        <v>46088</v>
      </c>
      <c r="I1943" s="13" t="n">
        <v>0.2078009259259259</v>
      </c>
      <c r="J1943" s="14" t="n">
        <v>46088.20780092593</v>
      </c>
      <c r="K1943" s="15" t="n">
        <v>9340.969999999999</v>
      </c>
      <c r="L1943" s="4" t="inlineStr">
        <is>
          <t>INR</t>
        </is>
      </c>
      <c r="M1943" s="15" t="n">
        <v>-9340.969999999999</v>
      </c>
      <c r="N1943" s="4" t="inlineStr">
        <is>
          <t>IOS Owner</t>
        </is>
      </c>
      <c r="O1943" s="4" t="n"/>
      <c r="P1943" s="4" t="n"/>
      <c r="Q1943" s="4" t="inlineStr">
        <is>
          <t>MAESTRO-IOS-PERSONAL-LIFE_OPERATIONS-1942 | Transport | 9340.97</t>
        </is>
      </c>
      <c r="R1943" s="4" t="inlineStr">
        <is>
          <t>iPhone</t>
        </is>
      </c>
      <c r="S1943" s="4" t="inlineStr">
        <is>
          <t>B39</t>
        </is>
      </c>
      <c r="T1943" s="4" t="inlineStr">
        <is>
          <t>RAMP_1501_2500</t>
        </is>
      </c>
      <c r="U1943" s="4" t="inlineStr">
        <is>
          <t>CREATED</t>
        </is>
      </c>
      <c r="V1943" s="4" t="inlineStr">
        <is>
          <t>idem-20260902-ios-1942</t>
        </is>
      </c>
    </row>
    <row r="1944" ht="30" customHeight="1">
      <c r="A1944" s="4" t="n">
        <v>1943</v>
      </c>
      <c r="B1944" s="4" t="inlineStr">
        <is>
          <t>MTR-IOS-1943</t>
        </is>
      </c>
      <c r="C1944" s="4" t="inlineStr">
        <is>
          <t>Group</t>
        </is>
      </c>
      <c r="D1944" s="4" t="inlineStr">
        <is>
          <t>Shared Experience</t>
        </is>
      </c>
      <c r="E1944" s="4" t="inlineStr">
        <is>
          <t>Wedding</t>
        </is>
      </c>
      <c r="F1944" s="4" t="inlineStr">
        <is>
          <t>Decor</t>
        </is>
      </c>
      <c r="G1944" s="4" t="inlineStr">
        <is>
          <t>Expense</t>
        </is>
      </c>
      <c r="H1944" s="12" t="n">
        <v>46047</v>
      </c>
      <c r="I1944" s="13" t="n">
        <v>0.4020023148148148</v>
      </c>
      <c r="J1944" s="14" t="n">
        <v>46047.40200231481</v>
      </c>
      <c r="K1944" s="15" t="n">
        <v>23573.33</v>
      </c>
      <c r="L1944" s="4" t="inlineStr">
        <is>
          <t>INR</t>
        </is>
      </c>
      <c r="M1944" s="15" t="n">
        <v>-23573.33</v>
      </c>
      <c r="N1944" s="4" t="inlineStr">
        <is>
          <t>IOS Meera</t>
        </is>
      </c>
      <c r="O1944" s="4" t="n">
        <v>3</v>
      </c>
      <c r="P1944" s="4" t="inlineStr">
        <is>
          <t>SHARES</t>
        </is>
      </c>
      <c r="Q1944" s="4" t="inlineStr">
        <is>
          <t>MAESTRO-IOS-GROUP-WEDDING-1943 | Decor | 23573.33</t>
        </is>
      </c>
      <c r="R1944" s="4" t="inlineStr">
        <is>
          <t>iPhone</t>
        </is>
      </c>
      <c r="S1944" s="4" t="inlineStr">
        <is>
          <t>B39</t>
        </is>
      </c>
      <c r="T1944" s="4" t="inlineStr">
        <is>
          <t>RAMP_1501_2500</t>
        </is>
      </c>
      <c r="U1944" s="4" t="inlineStr">
        <is>
          <t>CREATED</t>
        </is>
      </c>
      <c r="V1944" s="4" t="inlineStr">
        <is>
          <t>idem-20260902-ios-1943</t>
        </is>
      </c>
    </row>
    <row r="1945" ht="30" customHeight="1">
      <c r="A1945" s="4" t="n">
        <v>1944</v>
      </c>
      <c r="B1945" s="4" t="inlineStr">
        <is>
          <t>MTR-IOS-1944</t>
        </is>
      </c>
      <c r="C1945" s="4" t="inlineStr">
        <is>
          <t>Business</t>
        </is>
      </c>
      <c r="D1945" s="4" t="inlineStr">
        <is>
          <t>Business</t>
        </is>
      </c>
      <c r="E1945" s="4" t="inlineStr">
        <is>
          <t>Business Operations</t>
        </is>
      </c>
      <c r="F1945" s="4" t="inlineStr">
        <is>
          <t>Accounting</t>
        </is>
      </c>
      <c r="G1945" s="4" t="inlineStr">
        <is>
          <t>Expense</t>
        </is>
      </c>
      <c r="H1945" s="12" t="n">
        <v>46203</v>
      </c>
      <c r="I1945" s="13" t="n">
        <v>0.3755787037037037</v>
      </c>
      <c r="J1945" s="14" t="n">
        <v>46203.3755787037</v>
      </c>
      <c r="K1945" s="15" t="n">
        <v>48663.15</v>
      </c>
      <c r="L1945" s="4" t="inlineStr">
        <is>
          <t>INR</t>
        </is>
      </c>
      <c r="M1945" s="15" t="n">
        <v>-48663.15</v>
      </c>
      <c r="N1945" s="4" t="inlineStr">
        <is>
          <t>IOS Owner</t>
        </is>
      </c>
      <c r="O1945" s="4" t="n"/>
      <c r="P1945" s="4" t="n"/>
      <c r="Q1945" s="4" t="inlineStr">
        <is>
          <t>MAESTRO-IOS-BUSINESS-BUSINESS_OPERATIONS-1944 | Accounting | 48663.15</t>
        </is>
      </c>
      <c r="R1945" s="4" t="inlineStr">
        <is>
          <t>iPhone</t>
        </is>
      </c>
      <c r="S1945" s="4" t="inlineStr">
        <is>
          <t>B39</t>
        </is>
      </c>
      <c r="T1945" s="4" t="inlineStr">
        <is>
          <t>RAMP_1501_2500</t>
        </is>
      </c>
      <c r="U1945" s="4" t="inlineStr">
        <is>
          <t>CREATED</t>
        </is>
      </c>
      <c r="V1945" s="4" t="inlineStr">
        <is>
          <t>idem-20260902-ios-1944</t>
        </is>
      </c>
    </row>
    <row r="1946" ht="30" customHeight="1">
      <c r="A1946" s="4" t="n">
        <v>1945</v>
      </c>
      <c r="B1946" s="4" t="inlineStr">
        <is>
          <t>MTR-IOS-1945</t>
        </is>
      </c>
      <c r="C1946" s="4" t="inlineStr">
        <is>
          <t>Personal</t>
        </is>
      </c>
      <c r="D1946" s="4" t="inlineStr">
        <is>
          <t>Personal</t>
        </is>
      </c>
      <c r="E1946" s="4" t="inlineStr">
        <is>
          <t>Life Operations</t>
        </is>
      </c>
      <c r="F1946" s="4" t="inlineStr">
        <is>
          <t>Healthcare</t>
        </is>
      </c>
      <c r="G1946" s="4" t="inlineStr">
        <is>
          <t>Expense</t>
        </is>
      </c>
      <c r="H1946" s="12" t="n">
        <v>46243</v>
      </c>
      <c r="I1946" s="13" t="n">
        <v>0.8577083333333333</v>
      </c>
      <c r="J1946" s="14" t="n">
        <v>46243.85770833334</v>
      </c>
      <c r="K1946" s="15" t="n">
        <v>13307.27</v>
      </c>
      <c r="L1946" s="4" t="inlineStr">
        <is>
          <t>INR</t>
        </is>
      </c>
      <c r="M1946" s="15" t="n">
        <v>-13307.27</v>
      </c>
      <c r="N1946" s="4" t="inlineStr">
        <is>
          <t>IOS Owner</t>
        </is>
      </c>
      <c r="O1946" s="4" t="n"/>
      <c r="P1946" s="4" t="n"/>
      <c r="Q1946" s="4" t="inlineStr">
        <is>
          <t>MAESTRO-IOS-PERSONAL-LIFE_OPERATIONS-1945 | Healthcare | 13307.27</t>
        </is>
      </c>
      <c r="R1946" s="4" t="inlineStr">
        <is>
          <t>iPhone</t>
        </is>
      </c>
      <c r="S1946" s="4" t="inlineStr">
        <is>
          <t>B39</t>
        </is>
      </c>
      <c r="T1946" s="4" t="inlineStr">
        <is>
          <t>RAMP_1501_2500</t>
        </is>
      </c>
      <c r="U1946" s="4" t="inlineStr">
        <is>
          <t>CREATED</t>
        </is>
      </c>
      <c r="V1946" s="4" t="inlineStr">
        <is>
          <t>idem-20260902-ios-1945</t>
        </is>
      </c>
    </row>
    <row r="1947" ht="30" customHeight="1">
      <c r="A1947" s="4" t="n">
        <v>1946</v>
      </c>
      <c r="B1947" s="4" t="inlineStr">
        <is>
          <t>MTR-IOS-1946</t>
        </is>
      </c>
      <c r="C1947" s="4" t="inlineStr">
        <is>
          <t>Group</t>
        </is>
      </c>
      <c r="D1947" s="4" t="inlineStr">
        <is>
          <t>Shared Experience</t>
        </is>
      </c>
      <c r="E1947" s="4" t="inlineStr">
        <is>
          <t>Wedding</t>
        </is>
      </c>
      <c r="F1947" s="4" t="inlineStr">
        <is>
          <t>Travel</t>
        </is>
      </c>
      <c r="G1947" s="4" t="inlineStr">
        <is>
          <t>Expense</t>
        </is>
      </c>
      <c r="H1947" s="12" t="n">
        <v>46078</v>
      </c>
      <c r="I1947" s="13" t="n">
        <v>0.03611111111111111</v>
      </c>
      <c r="J1947" s="14" t="n">
        <v>46078.03611111111</v>
      </c>
      <c r="K1947" s="15" t="n">
        <v>23061.14</v>
      </c>
      <c r="L1947" s="4" t="inlineStr">
        <is>
          <t>INR</t>
        </is>
      </c>
      <c r="M1947" s="15" t="n">
        <v>-23061.14</v>
      </c>
      <c r="N1947" s="4" t="inlineStr">
        <is>
          <t>IOS Owner</t>
        </is>
      </c>
      <c r="O1947" s="4" t="n">
        <v>3</v>
      </c>
      <c r="P1947" s="4" t="inlineStr">
        <is>
          <t>EQUAL</t>
        </is>
      </c>
      <c r="Q1947" s="4" t="inlineStr">
        <is>
          <t>MAESTRO-IOS-GROUP-WEDDING-1946 | Travel | 23061.14</t>
        </is>
      </c>
      <c r="R1947" s="4" t="inlineStr">
        <is>
          <t>iPhone</t>
        </is>
      </c>
      <c r="S1947" s="4" t="inlineStr">
        <is>
          <t>B39</t>
        </is>
      </c>
      <c r="T1947" s="4" t="inlineStr">
        <is>
          <t>RAMP_1501_2500</t>
        </is>
      </c>
      <c r="U1947" s="4" t="inlineStr">
        <is>
          <t>CREATED</t>
        </is>
      </c>
      <c r="V1947" s="4" t="inlineStr">
        <is>
          <t>idem-20260902-ios-1946</t>
        </is>
      </c>
    </row>
    <row r="1948" ht="30" customHeight="1">
      <c r="A1948" s="4" t="n">
        <v>1947</v>
      </c>
      <c r="B1948" s="4" t="inlineStr">
        <is>
          <t>MTR-IOS-1947</t>
        </is>
      </c>
      <c r="C1948" s="4" t="inlineStr">
        <is>
          <t>Business</t>
        </is>
      </c>
      <c r="D1948" s="4" t="inlineStr">
        <is>
          <t>Business</t>
        </is>
      </c>
      <c r="E1948" s="4" t="inlineStr">
        <is>
          <t>Business Operations</t>
        </is>
      </c>
      <c r="F1948" s="4" t="inlineStr">
        <is>
          <t>Equipment</t>
        </is>
      </c>
      <c r="G1948" s="4" t="inlineStr">
        <is>
          <t>Expense</t>
        </is>
      </c>
      <c r="H1948" s="12" t="n">
        <v>45958</v>
      </c>
      <c r="I1948" s="13" t="n">
        <v>0.5798958333333334</v>
      </c>
      <c r="J1948" s="14" t="n">
        <v>45958.57989583333</v>
      </c>
      <c r="K1948" s="15" t="n">
        <v>65172.45</v>
      </c>
      <c r="L1948" s="4" t="inlineStr">
        <is>
          <t>INR</t>
        </is>
      </c>
      <c r="M1948" s="15" t="n">
        <v>-65172.45</v>
      </c>
      <c r="N1948" s="4" t="inlineStr">
        <is>
          <t>IOS Owner</t>
        </is>
      </c>
      <c r="O1948" s="4" t="n"/>
      <c r="P1948" s="4" t="n"/>
      <c r="Q1948" s="4" t="inlineStr">
        <is>
          <t>MAESTRO-IOS-BUSINESS-BUSINESS_OPERATIONS-1947 | Equipment | 65172.45</t>
        </is>
      </c>
      <c r="R1948" s="4" t="inlineStr">
        <is>
          <t>iPhone</t>
        </is>
      </c>
      <c r="S1948" s="4" t="inlineStr">
        <is>
          <t>B39</t>
        </is>
      </c>
      <c r="T1948" s="4" t="inlineStr">
        <is>
          <t>RAMP_1501_2500</t>
        </is>
      </c>
      <c r="U1948" s="4" t="inlineStr">
        <is>
          <t>CREATED</t>
        </is>
      </c>
      <c r="V1948" s="4" t="inlineStr">
        <is>
          <t>idem-20260902-ios-1947</t>
        </is>
      </c>
    </row>
    <row r="1949" ht="30" customHeight="1">
      <c r="A1949" s="4" t="n">
        <v>1948</v>
      </c>
      <c r="B1949" s="4" t="inlineStr">
        <is>
          <t>MTR-IOS-1948</t>
        </is>
      </c>
      <c r="C1949" s="4" t="inlineStr">
        <is>
          <t>Personal</t>
        </is>
      </c>
      <c r="D1949" s="4" t="inlineStr">
        <is>
          <t>Personal</t>
        </is>
      </c>
      <c r="E1949" s="4" t="inlineStr">
        <is>
          <t>Life Operations</t>
        </is>
      </c>
      <c r="F1949" s="4" t="inlineStr">
        <is>
          <t>Subscriptions</t>
        </is>
      </c>
      <c r="G1949" s="4" t="inlineStr">
        <is>
          <t>Expense</t>
        </is>
      </c>
      <c r="H1949" s="12" t="n">
        <v>46071</v>
      </c>
      <c r="I1949" s="13" t="n">
        <v>0.6553819444444444</v>
      </c>
      <c r="J1949" s="14" t="n">
        <v>46071.65538194445</v>
      </c>
      <c r="K1949" s="15" t="n">
        <v>17485.45</v>
      </c>
      <c r="L1949" s="4" t="inlineStr">
        <is>
          <t>INR</t>
        </is>
      </c>
      <c r="M1949" s="15" t="n">
        <v>-17485.45</v>
      </c>
      <c r="N1949" s="4" t="inlineStr">
        <is>
          <t>IOS Owner</t>
        </is>
      </c>
      <c r="O1949" s="4" t="n"/>
      <c r="P1949" s="4" t="n"/>
      <c r="Q1949" s="4" t="inlineStr">
        <is>
          <t>MAESTRO-IOS-PERSONAL-LIFE_OPERATIONS-1948 | Subscriptions | 17485.45</t>
        </is>
      </c>
      <c r="R1949" s="4" t="inlineStr">
        <is>
          <t>iPhone</t>
        </is>
      </c>
      <c r="S1949" s="4" t="inlineStr">
        <is>
          <t>B39</t>
        </is>
      </c>
      <c r="T1949" s="4" t="inlineStr">
        <is>
          <t>RAMP_1501_2500</t>
        </is>
      </c>
      <c r="U1949" s="4" t="inlineStr">
        <is>
          <t>CREATED</t>
        </is>
      </c>
      <c r="V1949" s="4" t="inlineStr">
        <is>
          <t>idem-20260902-ios-1948</t>
        </is>
      </c>
    </row>
    <row r="1950" ht="30" customHeight="1">
      <c r="A1950" s="4" t="n">
        <v>1949</v>
      </c>
      <c r="B1950" s="4" t="inlineStr">
        <is>
          <t>MTR-IOS-1949</t>
        </is>
      </c>
      <c r="C1950" s="4" t="inlineStr">
        <is>
          <t>Group</t>
        </is>
      </c>
      <c r="D1950" s="4" t="inlineStr">
        <is>
          <t>Shared Experience</t>
        </is>
      </c>
      <c r="E1950" s="4" t="inlineStr">
        <is>
          <t>Wedding</t>
        </is>
      </c>
      <c r="F1950" s="4" t="inlineStr">
        <is>
          <t>Gifts</t>
        </is>
      </c>
      <c r="G1950" s="4" t="inlineStr">
        <is>
          <t>Expense</t>
        </is>
      </c>
      <c r="H1950" s="12" t="n">
        <v>46245</v>
      </c>
      <c r="I1950" s="13" t="n">
        <v>0.3939004629629629</v>
      </c>
      <c r="J1950" s="14" t="n">
        <v>46245.39390046296</v>
      </c>
      <c r="K1950" s="15" t="n">
        <v>14232.56</v>
      </c>
      <c r="L1950" s="4" t="inlineStr">
        <is>
          <t>INR</t>
        </is>
      </c>
      <c r="M1950" s="15" t="n">
        <v>-14232.56</v>
      </c>
      <c r="N1950" s="4" t="inlineStr">
        <is>
          <t>IOS Aarav</t>
        </is>
      </c>
      <c r="O1950" s="4" t="n">
        <v>3</v>
      </c>
      <c r="P1950" s="4" t="inlineStr">
        <is>
          <t>PERCENTAGE</t>
        </is>
      </c>
      <c r="Q1950" s="4" t="inlineStr">
        <is>
          <t>MAESTRO-IOS-GROUP-WEDDING-1949 | Gifts | 14232.56</t>
        </is>
      </c>
      <c r="R1950" s="4" t="inlineStr">
        <is>
          <t>iPhone</t>
        </is>
      </c>
      <c r="S1950" s="4" t="inlineStr">
        <is>
          <t>B39</t>
        </is>
      </c>
      <c r="T1950" s="4" t="inlineStr">
        <is>
          <t>RAMP_1501_2500</t>
        </is>
      </c>
      <c r="U1950" s="4" t="inlineStr">
        <is>
          <t>CREATED</t>
        </is>
      </c>
      <c r="V1950" s="4" t="inlineStr">
        <is>
          <t>idem-20260902-ios-1949</t>
        </is>
      </c>
    </row>
    <row r="1951" ht="30" customHeight="1">
      <c r="A1951" s="4" t="n">
        <v>1950</v>
      </c>
      <c r="B1951" s="4" t="inlineStr">
        <is>
          <t>MTR-IOS-1950</t>
        </is>
      </c>
      <c r="C1951" s="4" t="inlineStr">
        <is>
          <t>Business</t>
        </is>
      </c>
      <c r="D1951" s="4" t="inlineStr">
        <is>
          <t>Business</t>
        </is>
      </c>
      <c r="E1951" s="4" t="inlineStr">
        <is>
          <t>Business Operations</t>
        </is>
      </c>
      <c r="F1951" s="4" t="inlineStr">
        <is>
          <t>Vendor</t>
        </is>
      </c>
      <c r="G1951" s="4" t="inlineStr">
        <is>
          <t>Expense</t>
        </is>
      </c>
      <c r="H1951" s="12" t="n">
        <v>46172</v>
      </c>
      <c r="I1951" s="13" t="n">
        <v>0.3715972222222222</v>
      </c>
      <c r="J1951" s="14" t="n">
        <v>46172.37159722222</v>
      </c>
      <c r="K1951" s="15" t="n">
        <v>80041.08</v>
      </c>
      <c r="L1951" s="4" t="inlineStr">
        <is>
          <t>INR</t>
        </is>
      </c>
      <c r="M1951" s="15" t="n">
        <v>-80041.08</v>
      </c>
      <c r="N1951" s="4" t="inlineStr">
        <is>
          <t>IOS Owner</t>
        </is>
      </c>
      <c r="O1951" s="4" t="n"/>
      <c r="P1951" s="4" t="n"/>
      <c r="Q1951" s="4" t="inlineStr">
        <is>
          <t>MAESTRO-IOS-BUSINESS-BUSINESS_OPERATIONS-1950 | Vendor | 80041.08</t>
        </is>
      </c>
      <c r="R1951" s="4" t="inlineStr">
        <is>
          <t>iPhone</t>
        </is>
      </c>
      <c r="S1951" s="4" t="inlineStr">
        <is>
          <t>B39</t>
        </is>
      </c>
      <c r="T1951" s="4" t="inlineStr">
        <is>
          <t>RAMP_1501_2500</t>
        </is>
      </c>
      <c r="U1951" s="4" t="inlineStr">
        <is>
          <t>CREATED</t>
        </is>
      </c>
      <c r="V1951" s="4" t="inlineStr">
        <is>
          <t>idem-20260902-ios-1950</t>
        </is>
      </c>
    </row>
    <row r="1952" ht="30" customHeight="1">
      <c r="A1952" s="4" t="n">
        <v>1951</v>
      </c>
      <c r="B1952" s="4" t="inlineStr">
        <is>
          <t>MTR-IOS-1951</t>
        </is>
      </c>
      <c r="C1952" s="4" t="inlineStr">
        <is>
          <t>Personal</t>
        </is>
      </c>
      <c r="D1952" s="4" t="inlineStr">
        <is>
          <t>Personal</t>
        </is>
      </c>
      <c r="E1952" s="4" t="inlineStr">
        <is>
          <t>Life Operations</t>
        </is>
      </c>
      <c r="F1952" s="4" t="inlineStr">
        <is>
          <t>Repairs</t>
        </is>
      </c>
      <c r="G1952" s="4" t="inlineStr">
        <is>
          <t>Expense</t>
        </is>
      </c>
      <c r="H1952" s="12" t="n">
        <v>45907</v>
      </c>
      <c r="I1952" s="13" t="n">
        <v>0.3286342592592593</v>
      </c>
      <c r="J1952" s="14" t="n">
        <v>45907.32863425926</v>
      </c>
      <c r="K1952" s="15" t="n">
        <v>9064.17</v>
      </c>
      <c r="L1952" s="4" t="inlineStr">
        <is>
          <t>INR</t>
        </is>
      </c>
      <c r="M1952" s="15" t="n">
        <v>-9064.17</v>
      </c>
      <c r="N1952" s="4" t="inlineStr">
        <is>
          <t>IOS Owner</t>
        </is>
      </c>
      <c r="O1952" s="4" t="n"/>
      <c r="P1952" s="4" t="n"/>
      <c r="Q1952" s="4" t="inlineStr">
        <is>
          <t>MAESTRO-IOS-PERSONAL-LIFE_OPERATIONS-1951 | Repairs | 9064.17</t>
        </is>
      </c>
      <c r="R1952" s="4" t="inlineStr">
        <is>
          <t>iPhone</t>
        </is>
      </c>
      <c r="S1952" s="4" t="inlineStr">
        <is>
          <t>B40</t>
        </is>
      </c>
      <c r="T1952" s="4" t="inlineStr">
        <is>
          <t>RAMP_1501_2500</t>
        </is>
      </c>
      <c r="U1952" s="4" t="inlineStr">
        <is>
          <t>CREATED</t>
        </is>
      </c>
      <c r="V1952" s="4" t="inlineStr">
        <is>
          <t>idem-20260902-ios-1951</t>
        </is>
      </c>
    </row>
    <row r="1953" ht="30" customHeight="1">
      <c r="A1953" s="4" t="n">
        <v>1952</v>
      </c>
      <c r="B1953" s="4" t="inlineStr">
        <is>
          <t>MTR-IOS-1952</t>
        </is>
      </c>
      <c r="C1953" s="4" t="inlineStr">
        <is>
          <t>Group</t>
        </is>
      </c>
      <c r="D1953" s="4" t="inlineStr">
        <is>
          <t>Shared Experience</t>
        </is>
      </c>
      <c r="E1953" s="4" t="inlineStr">
        <is>
          <t>Wedding</t>
        </is>
      </c>
      <c r="F1953" s="4" t="inlineStr">
        <is>
          <t>Photography</t>
        </is>
      </c>
      <c r="G1953" s="4" t="inlineStr">
        <is>
          <t>Expense</t>
        </is>
      </c>
      <c r="H1953" s="12" t="n">
        <v>45925</v>
      </c>
      <c r="I1953" s="13" t="n">
        <v>0.386724537037037</v>
      </c>
      <c r="J1953" s="14" t="n">
        <v>45925.38672453703</v>
      </c>
      <c r="K1953" s="15" t="n">
        <v>19091.41</v>
      </c>
      <c r="L1953" s="4" t="inlineStr">
        <is>
          <t>INR</t>
        </is>
      </c>
      <c r="M1953" s="15" t="n">
        <v>-19091.41</v>
      </c>
      <c r="N1953" s="4" t="inlineStr">
        <is>
          <t>IOS Meera</t>
        </is>
      </c>
      <c r="O1953" s="4" t="n">
        <v>3</v>
      </c>
      <c r="P1953" s="4" t="inlineStr">
        <is>
          <t>EXACT</t>
        </is>
      </c>
      <c r="Q1953" s="4" t="inlineStr">
        <is>
          <t>MAESTRO-IOS-GROUP-WEDDING-1952 | Photography | 19091.41</t>
        </is>
      </c>
      <c r="R1953" s="4" t="inlineStr">
        <is>
          <t>iPhone</t>
        </is>
      </c>
      <c r="S1953" s="4" t="inlineStr">
        <is>
          <t>B40</t>
        </is>
      </c>
      <c r="T1953" s="4" t="inlineStr">
        <is>
          <t>RAMP_1501_2500</t>
        </is>
      </c>
      <c r="U1953" s="4" t="inlineStr">
        <is>
          <t>CREATED</t>
        </is>
      </c>
      <c r="V1953" s="4" t="inlineStr">
        <is>
          <t>idem-20260902-ios-1952</t>
        </is>
      </c>
    </row>
    <row r="1954" ht="30" customHeight="1">
      <c r="A1954" s="4" t="n">
        <v>1953</v>
      </c>
      <c r="B1954" s="4" t="inlineStr">
        <is>
          <t>MTR-IOS-1953</t>
        </is>
      </c>
      <c r="C1954" s="4" t="inlineStr">
        <is>
          <t>Business</t>
        </is>
      </c>
      <c r="D1954" s="4" t="inlineStr">
        <is>
          <t>Business</t>
        </is>
      </c>
      <c r="E1954" s="4" t="inlineStr">
        <is>
          <t>Business Operations</t>
        </is>
      </c>
      <c r="F1954" s="4" t="inlineStr">
        <is>
          <t>Tax</t>
        </is>
      </c>
      <c r="G1954" s="4" t="inlineStr">
        <is>
          <t>Expense</t>
        </is>
      </c>
      <c r="H1954" s="12" t="n">
        <v>45930</v>
      </c>
      <c r="I1954" s="13" t="n">
        <v>0.3256018518518519</v>
      </c>
      <c r="J1954" s="14" t="n">
        <v>45930.32560185185</v>
      </c>
      <c r="K1954" s="15" t="n">
        <v>45944.91</v>
      </c>
      <c r="L1954" s="4" t="inlineStr">
        <is>
          <t>INR</t>
        </is>
      </c>
      <c r="M1954" s="15" t="n">
        <v>-45944.91</v>
      </c>
      <c r="N1954" s="4" t="inlineStr">
        <is>
          <t>IOS Owner</t>
        </is>
      </c>
      <c r="O1954" s="4" t="n"/>
      <c r="P1954" s="4" t="n"/>
      <c r="Q1954" s="4" t="inlineStr">
        <is>
          <t>MAESTRO-IOS-BUSINESS-BUSINESS_OPERATIONS-1953 | Tax | 45944.91</t>
        </is>
      </c>
      <c r="R1954" s="4" t="inlineStr">
        <is>
          <t>iPhone</t>
        </is>
      </c>
      <c r="S1954" s="4" t="inlineStr">
        <is>
          <t>B40</t>
        </is>
      </c>
      <c r="T1954" s="4" t="inlineStr">
        <is>
          <t>RAMP_1501_2500</t>
        </is>
      </c>
      <c r="U1954" s="4" t="inlineStr">
        <is>
          <t>CREATED</t>
        </is>
      </c>
      <c r="V1954" s="4" t="inlineStr">
        <is>
          <t>idem-20260902-ios-1953</t>
        </is>
      </c>
    </row>
    <row r="1955" ht="30" customHeight="1">
      <c r="A1955" s="4" t="n">
        <v>1954</v>
      </c>
      <c r="B1955" s="4" t="inlineStr">
        <is>
          <t>MTR-IOS-1954</t>
        </is>
      </c>
      <c r="C1955" s="4" t="inlineStr">
        <is>
          <t>Personal</t>
        </is>
      </c>
      <c r="D1955" s="4" t="inlineStr">
        <is>
          <t>Personal</t>
        </is>
      </c>
      <c r="E1955" s="4" t="inlineStr">
        <is>
          <t>Future Building</t>
        </is>
      </c>
      <c r="F1955" s="4" t="inlineStr">
        <is>
          <t>Savings</t>
        </is>
      </c>
      <c r="G1955" s="4" t="inlineStr">
        <is>
          <t>Transfer</t>
        </is>
      </c>
      <c r="H1955" s="12" t="n">
        <v>46162</v>
      </c>
      <c r="I1955" s="13" t="n">
        <v>0.9922337962962963</v>
      </c>
      <c r="J1955" s="14" t="n">
        <v>46162.9922337963</v>
      </c>
      <c r="K1955" s="15" t="n">
        <v>9455.219999999999</v>
      </c>
      <c r="L1955" s="4" t="inlineStr">
        <is>
          <t>INR</t>
        </is>
      </c>
      <c r="M1955" s="15" t="n">
        <v>0</v>
      </c>
      <c r="N1955" s="4" t="inlineStr">
        <is>
          <t>IOS Owner</t>
        </is>
      </c>
      <c r="O1955" s="4" t="n"/>
      <c r="P1955" s="4" t="n"/>
      <c r="Q1955" s="4" t="inlineStr">
        <is>
          <t>MAESTRO-IOS-PERSONAL-FUTURE_BUILDING-1954 | Savings | 9455.22</t>
        </is>
      </c>
      <c r="R1955" s="4" t="inlineStr">
        <is>
          <t>iPhone</t>
        </is>
      </c>
      <c r="S1955" s="4" t="inlineStr">
        <is>
          <t>B40</t>
        </is>
      </c>
      <c r="T1955" s="4" t="inlineStr">
        <is>
          <t>RAMP_1501_2500</t>
        </is>
      </c>
      <c r="U1955" s="4" t="inlineStr">
        <is>
          <t>CREATED</t>
        </is>
      </c>
      <c r="V1955" s="4" t="inlineStr">
        <is>
          <t>idem-20260902-ios-1954</t>
        </is>
      </c>
    </row>
    <row r="1956" ht="30" customHeight="1">
      <c r="A1956" s="4" t="n">
        <v>1955</v>
      </c>
      <c r="B1956" s="4" t="inlineStr">
        <is>
          <t>MTR-IOS-1955</t>
        </is>
      </c>
      <c r="C1956" s="4" t="inlineStr">
        <is>
          <t>Group</t>
        </is>
      </c>
      <c r="D1956" s="4" t="inlineStr">
        <is>
          <t>Shared Experience</t>
        </is>
      </c>
      <c r="E1956" s="4" t="inlineStr">
        <is>
          <t>Wedding</t>
        </is>
      </c>
      <c r="F1956" s="4" t="inlineStr">
        <is>
          <t>Other</t>
        </is>
      </c>
      <c r="G1956" s="4" t="inlineStr">
        <is>
          <t>Expense</t>
        </is>
      </c>
      <c r="H1956" s="12" t="n">
        <v>46075</v>
      </c>
      <c r="I1956" s="13" t="n">
        <v>0.9800347222222222</v>
      </c>
      <c r="J1956" s="14" t="n">
        <v>46075.98003472222</v>
      </c>
      <c r="K1956" s="15" t="n">
        <v>16099.75</v>
      </c>
      <c r="L1956" s="4" t="inlineStr">
        <is>
          <t>INR</t>
        </is>
      </c>
      <c r="M1956" s="15" t="n">
        <v>-16099.75</v>
      </c>
      <c r="N1956" s="4" t="inlineStr">
        <is>
          <t>IOS Owner</t>
        </is>
      </c>
      <c r="O1956" s="4" t="n">
        <v>3</v>
      </c>
      <c r="P1956" s="4" t="inlineStr">
        <is>
          <t>SHARES</t>
        </is>
      </c>
      <c r="Q1956" s="4" t="inlineStr">
        <is>
          <t>MAESTRO-IOS-GROUP-WEDDING-1955 | Other | 16099.75</t>
        </is>
      </c>
      <c r="R1956" s="4" t="inlineStr">
        <is>
          <t>iPhone</t>
        </is>
      </c>
      <c r="S1956" s="4" t="inlineStr">
        <is>
          <t>B40</t>
        </is>
      </c>
      <c r="T1956" s="4" t="inlineStr">
        <is>
          <t>RAMP_1501_2500</t>
        </is>
      </c>
      <c r="U1956" s="4" t="inlineStr">
        <is>
          <t>CREATED</t>
        </is>
      </c>
      <c r="V1956" s="4" t="inlineStr">
        <is>
          <t>idem-20260902-ios-1955</t>
        </is>
      </c>
    </row>
    <row r="1957" ht="30" customHeight="1">
      <c r="A1957" s="4" t="n">
        <v>1956</v>
      </c>
      <c r="B1957" s="4" t="inlineStr">
        <is>
          <t>MTR-IOS-1956</t>
        </is>
      </c>
      <c r="C1957" s="4" t="inlineStr">
        <is>
          <t>Business</t>
        </is>
      </c>
      <c r="D1957" s="4" t="inlineStr">
        <is>
          <t>Business</t>
        </is>
      </c>
      <c r="E1957" s="4" t="inlineStr">
        <is>
          <t>Team Operations</t>
        </is>
      </c>
      <c r="F1957" s="4" t="inlineStr">
        <is>
          <t>Payroll</t>
        </is>
      </c>
      <c r="G1957" s="4" t="inlineStr">
        <is>
          <t>Expense</t>
        </is>
      </c>
      <c r="H1957" s="12" t="n">
        <v>45964</v>
      </c>
      <c r="I1957" s="13" t="n">
        <v>0.5473726851851852</v>
      </c>
      <c r="J1957" s="14" t="n">
        <v>45964.54737268519</v>
      </c>
      <c r="K1957" s="15" t="n">
        <v>162988.18</v>
      </c>
      <c r="L1957" s="4" t="inlineStr">
        <is>
          <t>INR</t>
        </is>
      </c>
      <c r="M1957" s="15" t="n">
        <v>-162988.18</v>
      </c>
      <c r="N1957" s="4" t="inlineStr">
        <is>
          <t>IOS Owner</t>
        </is>
      </c>
      <c r="O1957" s="4" t="n"/>
      <c r="P1957" s="4" t="n"/>
      <c r="Q1957" s="4" t="inlineStr">
        <is>
          <t>MAESTRO-IOS-BUSINESS-TEAM_OPERATIONS-1956 | Payroll | 162988.18</t>
        </is>
      </c>
      <c r="R1957" s="4" t="inlineStr">
        <is>
          <t>iPhone</t>
        </is>
      </c>
      <c r="S1957" s="4" t="inlineStr">
        <is>
          <t>B40</t>
        </is>
      </c>
      <c r="T1957" s="4" t="inlineStr">
        <is>
          <t>RAMP_1501_2500</t>
        </is>
      </c>
      <c r="U1957" s="4" t="inlineStr">
        <is>
          <t>CREATED</t>
        </is>
      </c>
      <c r="V1957" s="4" t="inlineStr">
        <is>
          <t>idem-20260902-ios-1956</t>
        </is>
      </c>
    </row>
    <row r="1958" ht="30" customHeight="1">
      <c r="A1958" s="4" t="n">
        <v>1957</v>
      </c>
      <c r="B1958" s="4" t="inlineStr">
        <is>
          <t>MTR-IOS-1957</t>
        </is>
      </c>
      <c r="C1958" s="4" t="inlineStr">
        <is>
          <t>Personal</t>
        </is>
      </c>
      <c r="D1958" s="4" t="inlineStr">
        <is>
          <t>Personal</t>
        </is>
      </c>
      <c r="E1958" s="4" t="inlineStr">
        <is>
          <t>Future Building</t>
        </is>
      </c>
      <c r="F1958" s="4" t="inlineStr">
        <is>
          <t>Emergency Fund</t>
        </is>
      </c>
      <c r="G1958" s="4" t="inlineStr">
        <is>
          <t>Transfer</t>
        </is>
      </c>
      <c r="H1958" s="12" t="n">
        <v>46054</v>
      </c>
      <c r="I1958" s="13" t="n">
        <v>0.1393055555555555</v>
      </c>
      <c r="J1958" s="14" t="n">
        <v>46054.13930555555</v>
      </c>
      <c r="K1958" s="15" t="n">
        <v>13469.09</v>
      </c>
      <c r="L1958" s="4" t="inlineStr">
        <is>
          <t>INR</t>
        </is>
      </c>
      <c r="M1958" s="15" t="n">
        <v>0</v>
      </c>
      <c r="N1958" s="4" t="inlineStr">
        <is>
          <t>IOS Owner</t>
        </is>
      </c>
      <c r="O1958" s="4" t="n"/>
      <c r="P1958" s="4" t="n"/>
      <c r="Q1958" s="4" t="inlineStr">
        <is>
          <t>MAESTRO-IOS-PERSONAL-FUTURE_BUILDING-1957 | Emergency Fund | 13469.09</t>
        </is>
      </c>
      <c r="R1958" s="4" t="inlineStr">
        <is>
          <t>iPhone</t>
        </is>
      </c>
      <c r="S1958" s="4" t="inlineStr">
        <is>
          <t>B40</t>
        </is>
      </c>
      <c r="T1958" s="4" t="inlineStr">
        <is>
          <t>RAMP_1501_2500</t>
        </is>
      </c>
      <c r="U1958" s="4" t="inlineStr">
        <is>
          <t>CREATED</t>
        </is>
      </c>
      <c r="V1958" s="4" t="inlineStr">
        <is>
          <t>idem-20260902-ios-1957</t>
        </is>
      </c>
    </row>
    <row r="1959" ht="30" customHeight="1">
      <c r="A1959" s="4" t="n">
        <v>1958</v>
      </c>
      <c r="B1959" s="4" t="inlineStr">
        <is>
          <t>MTR-IOS-1958</t>
        </is>
      </c>
      <c r="C1959" s="4" t="inlineStr">
        <is>
          <t>Group</t>
        </is>
      </c>
      <c r="D1959" s="4" t="inlineStr">
        <is>
          <t>Shared Experience</t>
        </is>
      </c>
      <c r="E1959" s="4" t="inlineStr">
        <is>
          <t>Office Outing</t>
        </is>
      </c>
      <c r="F1959" s="4" t="inlineStr">
        <is>
          <t>Food</t>
        </is>
      </c>
      <c r="G1959" s="4" t="inlineStr">
        <is>
          <t>Expense</t>
        </is>
      </c>
      <c r="H1959" s="12" t="n">
        <v>46008</v>
      </c>
      <c r="I1959" s="13" t="n">
        <v>0.6011342592592592</v>
      </c>
      <c r="J1959" s="14" t="n">
        <v>46008.60113425926</v>
      </c>
      <c r="K1959" s="15" t="n">
        <v>1584.34</v>
      </c>
      <c r="L1959" s="4" t="inlineStr">
        <is>
          <t>INR</t>
        </is>
      </c>
      <c r="M1959" s="15" t="n">
        <v>-1584.34</v>
      </c>
      <c r="N1959" s="4" t="inlineStr">
        <is>
          <t>IOS Aarav</t>
        </is>
      </c>
      <c r="O1959" s="4" t="n">
        <v>3</v>
      </c>
      <c r="P1959" s="4" t="inlineStr">
        <is>
          <t>EQUAL</t>
        </is>
      </c>
      <c r="Q1959" s="4" t="inlineStr">
        <is>
          <t>MAESTRO-IOS-GROUP-OFFICE_OUTING-1958 | Food | 1584.34</t>
        </is>
      </c>
      <c r="R1959" s="4" t="inlineStr">
        <is>
          <t>iPhone</t>
        </is>
      </c>
      <c r="S1959" s="4" t="inlineStr">
        <is>
          <t>B40</t>
        </is>
      </c>
      <c r="T1959" s="4" t="inlineStr">
        <is>
          <t>RAMP_1501_2500</t>
        </is>
      </c>
      <c r="U1959" s="4" t="inlineStr">
        <is>
          <t>CREATED</t>
        </is>
      </c>
      <c r="V1959" s="4" t="inlineStr">
        <is>
          <t>idem-20260902-ios-1958</t>
        </is>
      </c>
    </row>
    <row r="1960" ht="30" customHeight="1">
      <c r="A1960" s="4" t="n">
        <v>1959</v>
      </c>
      <c r="B1960" s="4" t="inlineStr">
        <is>
          <t>MTR-IOS-1959</t>
        </is>
      </c>
      <c r="C1960" s="4" t="inlineStr">
        <is>
          <t>Business</t>
        </is>
      </c>
      <c r="D1960" s="4" t="inlineStr">
        <is>
          <t>Business</t>
        </is>
      </c>
      <c r="E1960" s="4" t="inlineStr">
        <is>
          <t>Team Operations</t>
        </is>
      </c>
      <c r="F1960" s="4" t="inlineStr">
        <is>
          <t>Contractor</t>
        </is>
      </c>
      <c r="G1960" s="4" t="inlineStr">
        <is>
          <t>Expense</t>
        </is>
      </c>
      <c r="H1960" s="12" t="n">
        <v>45942</v>
      </c>
      <c r="I1960" s="13" t="n">
        <v>0.5007638888888889</v>
      </c>
      <c r="J1960" s="14" t="n">
        <v>45942.50076388889</v>
      </c>
      <c r="K1960" s="15" t="n">
        <v>35343.96</v>
      </c>
      <c r="L1960" s="4" t="inlineStr">
        <is>
          <t>INR</t>
        </is>
      </c>
      <c r="M1960" s="15" t="n">
        <v>-35343.96</v>
      </c>
      <c r="N1960" s="4" t="inlineStr">
        <is>
          <t>IOS Owner</t>
        </is>
      </c>
      <c r="O1960" s="4" t="n"/>
      <c r="P1960" s="4" t="n"/>
      <c r="Q1960" s="4" t="inlineStr">
        <is>
          <t>MAESTRO-IOS-BUSINESS-TEAM_OPERATIONS-1959 | Contractor | 35343.96</t>
        </is>
      </c>
      <c r="R1960" s="4" t="inlineStr">
        <is>
          <t>iPhone</t>
        </is>
      </c>
      <c r="S1960" s="4" t="inlineStr">
        <is>
          <t>B40</t>
        </is>
      </c>
      <c r="T1960" s="4" t="inlineStr">
        <is>
          <t>RAMP_1501_2500</t>
        </is>
      </c>
      <c r="U1960" s="4" t="inlineStr">
        <is>
          <t>CREATED</t>
        </is>
      </c>
      <c r="V1960" s="4" t="inlineStr">
        <is>
          <t>idem-20260902-ios-1959</t>
        </is>
      </c>
    </row>
    <row r="1961" ht="30" customHeight="1">
      <c r="A1961" s="4" t="n">
        <v>1960</v>
      </c>
      <c r="B1961" s="4" t="inlineStr">
        <is>
          <t>MTR-IOS-1960</t>
        </is>
      </c>
      <c r="C1961" s="4" t="inlineStr">
        <is>
          <t>Personal</t>
        </is>
      </c>
      <c r="D1961" s="4" t="inlineStr">
        <is>
          <t>Personal</t>
        </is>
      </c>
      <c r="E1961" s="4" t="inlineStr">
        <is>
          <t>Future Building</t>
        </is>
      </c>
      <c r="F1961" s="4" t="inlineStr">
        <is>
          <t>Investments</t>
        </is>
      </c>
      <c r="G1961" s="4" t="inlineStr">
        <is>
          <t>Investment</t>
        </is>
      </c>
      <c r="H1961" s="12" t="n">
        <v>46235</v>
      </c>
      <c r="I1961" s="13" t="n">
        <v>0.8066203703703704</v>
      </c>
      <c r="J1961" s="14" t="n">
        <v>46235.80662037037</v>
      </c>
      <c r="K1961" s="15" t="n">
        <v>15892.32</v>
      </c>
      <c r="L1961" s="4" t="inlineStr">
        <is>
          <t>INR</t>
        </is>
      </c>
      <c r="M1961" s="15" t="n">
        <v>0</v>
      </c>
      <c r="N1961" s="4" t="inlineStr">
        <is>
          <t>IOS Owner</t>
        </is>
      </c>
      <c r="O1961" s="4" t="n"/>
      <c r="P1961" s="4" t="n"/>
      <c r="Q1961" s="4" t="inlineStr">
        <is>
          <t>MAESTRO-IOS-PERSONAL-FUTURE_BUILDING-1960 | Investments | 15892.32</t>
        </is>
      </c>
      <c r="R1961" s="4" t="inlineStr">
        <is>
          <t>iPhone</t>
        </is>
      </c>
      <c r="S1961" s="4" t="inlineStr">
        <is>
          <t>B40</t>
        </is>
      </c>
      <c r="T1961" s="4" t="inlineStr">
        <is>
          <t>RAMP_1501_2500</t>
        </is>
      </c>
      <c r="U1961" s="4" t="inlineStr">
        <is>
          <t>CREATED</t>
        </is>
      </c>
      <c r="V1961" s="4" t="inlineStr">
        <is>
          <t>idem-20260902-ios-1960</t>
        </is>
      </c>
    </row>
    <row r="1962" ht="30" customHeight="1">
      <c r="A1962" s="4" t="n">
        <v>1961</v>
      </c>
      <c r="B1962" s="4" t="inlineStr">
        <is>
          <t>MTR-IOS-1961</t>
        </is>
      </c>
      <c r="C1962" s="4" t="inlineStr">
        <is>
          <t>Group</t>
        </is>
      </c>
      <c r="D1962" s="4" t="inlineStr">
        <is>
          <t>Shared Experience</t>
        </is>
      </c>
      <c r="E1962" s="4" t="inlineStr">
        <is>
          <t>Office Outing</t>
        </is>
      </c>
      <c r="F1962" s="4" t="inlineStr">
        <is>
          <t>Travel</t>
        </is>
      </c>
      <c r="G1962" s="4" t="inlineStr">
        <is>
          <t>Expense</t>
        </is>
      </c>
      <c r="H1962" s="12" t="n">
        <v>45930</v>
      </c>
      <c r="I1962" s="13" t="n">
        <v>0.6146180555555556</v>
      </c>
      <c r="J1962" s="14" t="n">
        <v>45930.61461805556</v>
      </c>
      <c r="K1962" s="15" t="n">
        <v>10000</v>
      </c>
      <c r="L1962" s="4" t="inlineStr">
        <is>
          <t>INR</t>
        </is>
      </c>
      <c r="M1962" s="15" t="n">
        <v>-10000</v>
      </c>
      <c r="N1962" s="4" t="inlineStr">
        <is>
          <t>IOS Meera</t>
        </is>
      </c>
      <c r="O1962" s="4" t="n">
        <v>3</v>
      </c>
      <c r="P1962" s="4" t="inlineStr">
        <is>
          <t>PERCENTAGE</t>
        </is>
      </c>
      <c r="Q1962" s="4" t="inlineStr">
        <is>
          <t>MAESTRO-IOS-GROUP-OFFICE_OUTING-1961 | Travel | 10000.00</t>
        </is>
      </c>
      <c r="R1962" s="4" t="inlineStr">
        <is>
          <t>iPhone</t>
        </is>
      </c>
      <c r="S1962" s="4" t="inlineStr">
        <is>
          <t>B40</t>
        </is>
      </c>
      <c r="T1962" s="4" t="inlineStr">
        <is>
          <t>RAMP_1501_2500</t>
        </is>
      </c>
      <c r="U1962" s="4" t="inlineStr">
        <is>
          <t>CREATED</t>
        </is>
      </c>
      <c r="V1962" s="4" t="inlineStr">
        <is>
          <t>idem-20260902-ios-1961</t>
        </is>
      </c>
    </row>
    <row r="1963" ht="30" customHeight="1">
      <c r="A1963" s="4" t="n">
        <v>1962</v>
      </c>
      <c r="B1963" s="4" t="inlineStr">
        <is>
          <t>MTR-IOS-1962</t>
        </is>
      </c>
      <c r="C1963" s="4" t="inlineStr">
        <is>
          <t>Business</t>
        </is>
      </c>
      <c r="D1963" s="4" t="inlineStr">
        <is>
          <t>Business</t>
        </is>
      </c>
      <c r="E1963" s="4" t="inlineStr">
        <is>
          <t>Team Operations</t>
        </is>
      </c>
      <c r="F1963" s="4" t="inlineStr">
        <is>
          <t>Hiring</t>
        </is>
      </c>
      <c r="G1963" s="4" t="inlineStr">
        <is>
          <t>Expense</t>
        </is>
      </c>
      <c r="H1963" s="12" t="n">
        <v>46220</v>
      </c>
      <c r="I1963" s="13" t="n">
        <v>0.4300462962962963</v>
      </c>
      <c r="J1963" s="14" t="n">
        <v>46220.43004629629</v>
      </c>
      <c r="K1963" s="15" t="n">
        <v>157591.45</v>
      </c>
      <c r="L1963" s="4" t="inlineStr">
        <is>
          <t>INR</t>
        </is>
      </c>
      <c r="M1963" s="15" t="n">
        <v>-157591.45</v>
      </c>
      <c r="N1963" s="4" t="inlineStr">
        <is>
          <t>IOS Owner</t>
        </is>
      </c>
      <c r="O1963" s="4" t="n"/>
      <c r="P1963" s="4" t="n"/>
      <c r="Q1963" s="4" t="inlineStr">
        <is>
          <t>MAESTRO-IOS-BUSINESS-TEAM_OPERATIONS-1962 | Hiring | 157591.45</t>
        </is>
      </c>
      <c r="R1963" s="4" t="inlineStr">
        <is>
          <t>iPhone</t>
        </is>
      </c>
      <c r="S1963" s="4" t="inlineStr">
        <is>
          <t>B40</t>
        </is>
      </c>
      <c r="T1963" s="4" t="inlineStr">
        <is>
          <t>RAMP_1501_2500</t>
        </is>
      </c>
      <c r="U1963" s="4" t="inlineStr">
        <is>
          <t>CREATED</t>
        </is>
      </c>
      <c r="V1963" s="4" t="inlineStr">
        <is>
          <t>idem-20260902-ios-1962</t>
        </is>
      </c>
    </row>
    <row r="1964" ht="30" customHeight="1">
      <c r="A1964" s="4" t="n">
        <v>1963</v>
      </c>
      <c r="B1964" s="4" t="inlineStr">
        <is>
          <t>MTR-IOS-1963</t>
        </is>
      </c>
      <c r="C1964" s="4" t="inlineStr">
        <is>
          <t>Personal</t>
        </is>
      </c>
      <c r="D1964" s="4" t="inlineStr">
        <is>
          <t>Personal</t>
        </is>
      </c>
      <c r="E1964" s="4" t="inlineStr">
        <is>
          <t>Future Building</t>
        </is>
      </c>
      <c r="F1964" s="4" t="inlineStr">
        <is>
          <t>Education</t>
        </is>
      </c>
      <c r="G1964" s="4" t="inlineStr">
        <is>
          <t>Expense</t>
        </is>
      </c>
      <c r="H1964" s="12" t="n">
        <v>46048</v>
      </c>
      <c r="I1964" s="13" t="n">
        <v>0.777337962962963</v>
      </c>
      <c r="J1964" s="14" t="n">
        <v>46048.77733796297</v>
      </c>
      <c r="K1964" s="15" t="n">
        <v>4273.13</v>
      </c>
      <c r="L1964" s="4" t="inlineStr">
        <is>
          <t>INR</t>
        </is>
      </c>
      <c r="M1964" s="15" t="n">
        <v>-4273.13</v>
      </c>
      <c r="N1964" s="4" t="inlineStr">
        <is>
          <t>IOS Owner</t>
        </is>
      </c>
      <c r="O1964" s="4" t="n"/>
      <c r="P1964" s="4" t="n"/>
      <c r="Q1964" s="4" t="inlineStr">
        <is>
          <t>MAESTRO-IOS-PERSONAL-FUTURE_BUILDING-1963 | Education | 4273.13</t>
        </is>
      </c>
      <c r="R1964" s="4" t="inlineStr">
        <is>
          <t>iPhone</t>
        </is>
      </c>
      <c r="S1964" s="4" t="inlineStr">
        <is>
          <t>B40</t>
        </is>
      </c>
      <c r="T1964" s="4" t="inlineStr">
        <is>
          <t>RAMP_1501_2500</t>
        </is>
      </c>
      <c r="U1964" s="4" t="inlineStr">
        <is>
          <t>CREATED</t>
        </is>
      </c>
      <c r="V1964" s="4" t="inlineStr">
        <is>
          <t>idem-20260902-ios-1963</t>
        </is>
      </c>
    </row>
    <row r="1965" ht="30" customHeight="1">
      <c r="A1965" s="4" t="n">
        <v>1964</v>
      </c>
      <c r="B1965" s="4" t="inlineStr">
        <is>
          <t>MTR-IOS-1964</t>
        </is>
      </c>
      <c r="C1965" s="4" t="inlineStr">
        <is>
          <t>Group</t>
        </is>
      </c>
      <c r="D1965" s="4" t="inlineStr">
        <is>
          <t>Shared Experience</t>
        </is>
      </c>
      <c r="E1965" s="4" t="inlineStr">
        <is>
          <t>Office Outing</t>
        </is>
      </c>
      <c r="F1965" s="4" t="inlineStr">
        <is>
          <t>Activities</t>
        </is>
      </c>
      <c r="G1965" s="4" t="inlineStr">
        <is>
          <t>Expense</t>
        </is>
      </c>
      <c r="H1965" s="12" t="n">
        <v>46032</v>
      </c>
      <c r="I1965" s="13" t="n">
        <v>0.2590277777777778</v>
      </c>
      <c r="J1965" s="14" t="n">
        <v>46032.25902777778</v>
      </c>
      <c r="K1965" s="15" t="n">
        <v>2010.14</v>
      </c>
      <c r="L1965" s="4" t="inlineStr">
        <is>
          <t>INR</t>
        </is>
      </c>
      <c r="M1965" s="15" t="n">
        <v>-2010.14</v>
      </c>
      <c r="N1965" s="4" t="inlineStr">
        <is>
          <t>IOS Owner</t>
        </is>
      </c>
      <c r="O1965" s="4" t="n">
        <v>3</v>
      </c>
      <c r="P1965" s="4" t="inlineStr">
        <is>
          <t>EXACT</t>
        </is>
      </c>
      <c r="Q1965" s="4" t="inlineStr">
        <is>
          <t>MAESTRO-IOS-GROUP-OFFICE_OUTING-1964 | Activities | 2010.14</t>
        </is>
      </c>
      <c r="R1965" s="4" t="inlineStr">
        <is>
          <t>iPhone</t>
        </is>
      </c>
      <c r="S1965" s="4" t="inlineStr">
        <is>
          <t>B40</t>
        </is>
      </c>
      <c r="T1965" s="4" t="inlineStr">
        <is>
          <t>RAMP_1501_2500</t>
        </is>
      </c>
      <c r="U1965" s="4" t="inlineStr">
        <is>
          <t>CREATED</t>
        </is>
      </c>
      <c r="V1965" s="4" t="inlineStr">
        <is>
          <t>idem-20260902-ios-1964</t>
        </is>
      </c>
    </row>
    <row r="1966" ht="30" customHeight="1">
      <c r="A1966" s="4" t="n">
        <v>1965</v>
      </c>
      <c r="B1966" s="4" t="inlineStr">
        <is>
          <t>MTR-IOS-1965</t>
        </is>
      </c>
      <c r="C1966" s="4" t="inlineStr">
        <is>
          <t>Business</t>
        </is>
      </c>
      <c r="D1966" s="4" t="inlineStr">
        <is>
          <t>Business</t>
        </is>
      </c>
      <c r="E1966" s="4" t="inlineStr">
        <is>
          <t>Team Operations</t>
        </is>
      </c>
      <c r="F1966" s="4" t="inlineStr">
        <is>
          <t>Team Meal</t>
        </is>
      </c>
      <c r="G1966" s="4" t="inlineStr">
        <is>
          <t>Expense</t>
        </is>
      </c>
      <c r="H1966" s="12" t="n">
        <v>46088</v>
      </c>
      <c r="I1966" s="13" t="n">
        <v>0.6020717592592593</v>
      </c>
      <c r="J1966" s="14" t="n">
        <v>46088.60207175926</v>
      </c>
      <c r="K1966" s="15" t="n">
        <v>145434.25</v>
      </c>
      <c r="L1966" s="4" t="inlineStr">
        <is>
          <t>INR</t>
        </is>
      </c>
      <c r="M1966" s="15" t="n">
        <v>-145434.25</v>
      </c>
      <c r="N1966" s="4" t="inlineStr">
        <is>
          <t>IOS Owner</t>
        </is>
      </c>
      <c r="O1966" s="4" t="n"/>
      <c r="P1966" s="4" t="n"/>
      <c r="Q1966" s="4" t="inlineStr">
        <is>
          <t>MAESTRO-IOS-BUSINESS-TEAM_OPERATIONS-1965 | Team Meal | 145434.25</t>
        </is>
      </c>
      <c r="R1966" s="4" t="inlineStr">
        <is>
          <t>iPhone</t>
        </is>
      </c>
      <c r="S1966" s="4" t="inlineStr">
        <is>
          <t>B40</t>
        </is>
      </c>
      <c r="T1966" s="4" t="inlineStr">
        <is>
          <t>RAMP_1501_2500</t>
        </is>
      </c>
      <c r="U1966" s="4" t="inlineStr">
        <is>
          <t>CREATED</t>
        </is>
      </c>
      <c r="V1966" s="4" t="inlineStr">
        <is>
          <t>idem-20260902-ios-1965</t>
        </is>
      </c>
    </row>
    <row r="1967" ht="30" customHeight="1">
      <c r="A1967" s="4" t="n">
        <v>1966</v>
      </c>
      <c r="B1967" s="4" t="inlineStr">
        <is>
          <t>MTR-IOS-1966</t>
        </is>
      </c>
      <c r="C1967" s="4" t="inlineStr">
        <is>
          <t>Personal</t>
        </is>
      </c>
      <c r="D1967" s="4" t="inlineStr">
        <is>
          <t>Personal</t>
        </is>
      </c>
      <c r="E1967" s="4" t="inlineStr">
        <is>
          <t>Future Building</t>
        </is>
      </c>
      <c r="F1967" s="4" t="inlineStr">
        <is>
          <t>Goal Contribution</t>
        </is>
      </c>
      <c r="G1967" s="4" t="inlineStr">
        <is>
          <t>Transfer</t>
        </is>
      </c>
      <c r="H1967" s="12" t="n">
        <v>45913</v>
      </c>
      <c r="I1967" s="13" t="n">
        <v>0.5735532407407408</v>
      </c>
      <c r="J1967" s="14" t="n">
        <v>45913.57355324074</v>
      </c>
      <c r="K1967" s="15" t="n">
        <v>2105.03</v>
      </c>
      <c r="L1967" s="4" t="inlineStr">
        <is>
          <t>INR</t>
        </is>
      </c>
      <c r="M1967" s="15" t="n">
        <v>0</v>
      </c>
      <c r="N1967" s="4" t="inlineStr">
        <is>
          <t>IOS Owner</t>
        </is>
      </c>
      <c r="O1967" s="4" t="n"/>
      <c r="P1967" s="4" t="n"/>
      <c r="Q1967" s="4" t="inlineStr">
        <is>
          <t>MAESTRO-IOS-PERSONAL-FUTURE_BUILDING-1966 | Goal Contribution | 2105.03</t>
        </is>
      </c>
      <c r="R1967" s="4" t="inlineStr">
        <is>
          <t>iPhone</t>
        </is>
      </c>
      <c r="S1967" s="4" t="inlineStr">
        <is>
          <t>B40</t>
        </is>
      </c>
      <c r="T1967" s="4" t="inlineStr">
        <is>
          <t>RAMP_1501_2500</t>
        </is>
      </c>
      <c r="U1967" s="4" t="inlineStr">
        <is>
          <t>CREATED</t>
        </is>
      </c>
      <c r="V1967" s="4" t="inlineStr">
        <is>
          <t>idem-20260902-ios-1966</t>
        </is>
      </c>
    </row>
    <row r="1968" ht="30" customHeight="1">
      <c r="A1968" s="4" t="n">
        <v>1967</v>
      </c>
      <c r="B1968" s="4" t="inlineStr">
        <is>
          <t>MTR-IOS-1967</t>
        </is>
      </c>
      <c r="C1968" s="4" t="inlineStr">
        <is>
          <t>Group</t>
        </is>
      </c>
      <c r="D1968" s="4" t="inlineStr">
        <is>
          <t>Shared Experience</t>
        </is>
      </c>
      <c r="E1968" s="4" t="inlineStr">
        <is>
          <t>Office Outing</t>
        </is>
      </c>
      <c r="F1968" s="4" t="inlineStr">
        <is>
          <t>Venue</t>
        </is>
      </c>
      <c r="G1968" s="4" t="inlineStr">
        <is>
          <t>Expense</t>
        </is>
      </c>
      <c r="H1968" s="12" t="n">
        <v>46038</v>
      </c>
      <c r="I1968" s="13" t="n">
        <v>0.3321180555555556</v>
      </c>
      <c r="J1968" s="14" t="n">
        <v>46038.33211805556</v>
      </c>
      <c r="K1968" s="15" t="n">
        <v>20560.07</v>
      </c>
      <c r="L1968" s="4" t="inlineStr">
        <is>
          <t>INR</t>
        </is>
      </c>
      <c r="M1968" s="15" t="n">
        <v>-20560.07</v>
      </c>
      <c r="N1968" s="4" t="inlineStr">
        <is>
          <t>IOS Aarav</t>
        </is>
      </c>
      <c r="O1968" s="4" t="n">
        <v>3</v>
      </c>
      <c r="P1968" s="4" t="inlineStr">
        <is>
          <t>SHARES</t>
        </is>
      </c>
      <c r="Q1968" s="4" t="inlineStr">
        <is>
          <t>MAESTRO-IOS-GROUP-OFFICE_OUTING-1967 | Venue | 20560.07</t>
        </is>
      </c>
      <c r="R1968" s="4" t="inlineStr">
        <is>
          <t>iPhone</t>
        </is>
      </c>
      <c r="S1968" s="4" t="inlineStr">
        <is>
          <t>B40</t>
        </is>
      </c>
      <c r="T1968" s="4" t="inlineStr">
        <is>
          <t>RAMP_1501_2500</t>
        </is>
      </c>
      <c r="U1968" s="4" t="inlineStr">
        <is>
          <t>CREATED</t>
        </is>
      </c>
      <c r="V1968" s="4" t="inlineStr">
        <is>
          <t>idem-20260902-ios-1967</t>
        </is>
      </c>
    </row>
    <row r="1969" ht="30" customHeight="1">
      <c r="A1969" s="4" t="n">
        <v>1968</v>
      </c>
      <c r="B1969" s="4" t="inlineStr">
        <is>
          <t>MTR-IOS-1968</t>
        </is>
      </c>
      <c r="C1969" s="4" t="inlineStr">
        <is>
          <t>Business</t>
        </is>
      </c>
      <c r="D1969" s="4" t="inlineStr">
        <is>
          <t>Business</t>
        </is>
      </c>
      <c r="E1969" s="4" t="inlineStr">
        <is>
          <t>Team Operations</t>
        </is>
      </c>
      <c r="F1969" s="4" t="inlineStr">
        <is>
          <t>Travel</t>
        </is>
      </c>
      <c r="G1969" s="4" t="inlineStr">
        <is>
          <t>Expense</t>
        </is>
      </c>
      <c r="H1969" s="12" t="n">
        <v>46211</v>
      </c>
      <c r="I1969" s="13" t="n">
        <v>0.005416666666666667</v>
      </c>
      <c r="J1969" s="14" t="n">
        <v>46211.00541666667</v>
      </c>
      <c r="K1969" s="15" t="n">
        <v>111045.26</v>
      </c>
      <c r="L1969" s="4" t="inlineStr">
        <is>
          <t>INR</t>
        </is>
      </c>
      <c r="M1969" s="15" t="n">
        <v>-111045.26</v>
      </c>
      <c r="N1969" s="4" t="inlineStr">
        <is>
          <t>IOS Owner</t>
        </is>
      </c>
      <c r="O1969" s="4" t="n"/>
      <c r="P1969" s="4" t="n"/>
      <c r="Q1969" s="4" t="inlineStr">
        <is>
          <t>MAESTRO-IOS-BUSINESS-TEAM_OPERATIONS-1968 | Travel | 111045.26</t>
        </is>
      </c>
      <c r="R1969" s="4" t="inlineStr">
        <is>
          <t>iPhone</t>
        </is>
      </c>
      <c r="S1969" s="4" t="inlineStr">
        <is>
          <t>B40</t>
        </is>
      </c>
      <c r="T1969" s="4" t="inlineStr">
        <is>
          <t>RAMP_1501_2500</t>
        </is>
      </c>
      <c r="U1969" s="4" t="inlineStr">
        <is>
          <t>CREATED</t>
        </is>
      </c>
      <c r="V1969" s="4" t="inlineStr">
        <is>
          <t>idem-20260902-ios-1968</t>
        </is>
      </c>
    </row>
    <row r="1970" ht="30" customHeight="1">
      <c r="A1970" s="4" t="n">
        <v>1969</v>
      </c>
      <c r="B1970" s="4" t="inlineStr">
        <is>
          <t>MTR-IOS-1969</t>
        </is>
      </c>
      <c r="C1970" s="4" t="inlineStr">
        <is>
          <t>Personal</t>
        </is>
      </c>
      <c r="D1970" s="4" t="inlineStr">
        <is>
          <t>Personal</t>
        </is>
      </c>
      <c r="E1970" s="4" t="inlineStr">
        <is>
          <t>Lifestyle</t>
        </is>
      </c>
      <c r="F1970" s="4" t="inlineStr">
        <is>
          <t>Dining</t>
        </is>
      </c>
      <c r="G1970" s="4" t="inlineStr">
        <is>
          <t>Expense</t>
        </is>
      </c>
      <c r="H1970" s="12" t="n">
        <v>46032</v>
      </c>
      <c r="I1970" s="13" t="n">
        <v>0.5057523148148149</v>
      </c>
      <c r="J1970" s="14" t="n">
        <v>46032.50575231481</v>
      </c>
      <c r="K1970" s="15" t="n">
        <v>1109.15</v>
      </c>
      <c r="L1970" s="4" t="inlineStr">
        <is>
          <t>INR</t>
        </is>
      </c>
      <c r="M1970" s="15" t="n">
        <v>-1109.15</v>
      </c>
      <c r="N1970" s="4" t="inlineStr">
        <is>
          <t>IOS Owner</t>
        </is>
      </c>
      <c r="O1970" s="4" t="n"/>
      <c r="P1970" s="4" t="n"/>
      <c r="Q1970" s="4" t="inlineStr">
        <is>
          <t>MAESTRO-IOS-PERSONAL-LIFESTYLE-1969 | Dining | 1109.15</t>
        </is>
      </c>
      <c r="R1970" s="4" t="inlineStr">
        <is>
          <t>iPhone</t>
        </is>
      </c>
      <c r="S1970" s="4" t="inlineStr">
        <is>
          <t>B40</t>
        </is>
      </c>
      <c r="T1970" s="4" t="inlineStr">
        <is>
          <t>RAMP_1501_2500</t>
        </is>
      </c>
      <c r="U1970" s="4" t="inlineStr">
        <is>
          <t>CREATED</t>
        </is>
      </c>
      <c r="V1970" s="4" t="inlineStr">
        <is>
          <t>idem-20260902-ios-1969</t>
        </is>
      </c>
    </row>
    <row r="1971" ht="30" customHeight="1">
      <c r="A1971" s="4" t="n">
        <v>1970</v>
      </c>
      <c r="B1971" s="4" t="inlineStr">
        <is>
          <t>MTR-IOS-1970</t>
        </is>
      </c>
      <c r="C1971" s="4" t="inlineStr">
        <is>
          <t>Group</t>
        </is>
      </c>
      <c r="D1971" s="4" t="inlineStr">
        <is>
          <t>Shared Experience</t>
        </is>
      </c>
      <c r="E1971" s="4" t="inlineStr">
        <is>
          <t>Office Outing</t>
        </is>
      </c>
      <c r="F1971" s="4" t="inlineStr">
        <is>
          <t>Other</t>
        </is>
      </c>
      <c r="G1971" s="4" t="inlineStr">
        <is>
          <t>Expense</t>
        </is>
      </c>
      <c r="H1971" s="12" t="n">
        <v>46032</v>
      </c>
      <c r="I1971" s="13" t="n">
        <v>0.9066782407407408</v>
      </c>
      <c r="J1971" s="14" t="n">
        <v>46032.90667824074</v>
      </c>
      <c r="K1971" s="15" t="n">
        <v>22772.83</v>
      </c>
      <c r="L1971" s="4" t="inlineStr">
        <is>
          <t>INR</t>
        </is>
      </c>
      <c r="M1971" s="15" t="n">
        <v>-22772.83</v>
      </c>
      <c r="N1971" s="4" t="inlineStr">
        <is>
          <t>IOS Meera</t>
        </is>
      </c>
      <c r="O1971" s="4" t="n">
        <v>3</v>
      </c>
      <c r="P1971" s="4" t="inlineStr">
        <is>
          <t>EQUAL</t>
        </is>
      </c>
      <c r="Q1971" s="4" t="inlineStr">
        <is>
          <t>MAESTRO-IOS-GROUP-OFFICE_OUTING-1970 | Other | 22772.83</t>
        </is>
      </c>
      <c r="R1971" s="4" t="inlineStr">
        <is>
          <t>iPhone</t>
        </is>
      </c>
      <c r="S1971" s="4" t="inlineStr">
        <is>
          <t>B40</t>
        </is>
      </c>
      <c r="T1971" s="4" t="inlineStr">
        <is>
          <t>RAMP_1501_2500</t>
        </is>
      </c>
      <c r="U1971" s="4" t="inlineStr">
        <is>
          <t>CREATED</t>
        </is>
      </c>
      <c r="V1971" s="4" t="inlineStr">
        <is>
          <t>idem-20260902-ios-1970</t>
        </is>
      </c>
    </row>
    <row r="1972" ht="30" customHeight="1">
      <c r="A1972" s="4" t="n">
        <v>1971</v>
      </c>
      <c r="B1972" s="4" t="inlineStr">
        <is>
          <t>MTR-IOS-1971</t>
        </is>
      </c>
      <c r="C1972" s="4" t="inlineStr">
        <is>
          <t>Business</t>
        </is>
      </c>
      <c r="D1972" s="4" t="inlineStr">
        <is>
          <t>Business</t>
        </is>
      </c>
      <c r="E1972" s="4" t="inlineStr">
        <is>
          <t>Team Operations</t>
        </is>
      </c>
      <c r="F1972" s="4" t="inlineStr">
        <is>
          <t>Training</t>
        </is>
      </c>
      <c r="G1972" s="4" t="inlineStr">
        <is>
          <t>Expense</t>
        </is>
      </c>
      <c r="H1972" s="12" t="n">
        <v>46152</v>
      </c>
      <c r="I1972" s="13" t="n">
        <v>0.8440277777777778</v>
      </c>
      <c r="J1972" s="14" t="n">
        <v>46152.84402777778</v>
      </c>
      <c r="K1972" s="15" t="n">
        <v>42176.94</v>
      </c>
      <c r="L1972" s="4" t="inlineStr">
        <is>
          <t>INR</t>
        </is>
      </c>
      <c r="M1972" s="15" t="n">
        <v>-42176.94</v>
      </c>
      <c r="N1972" s="4" t="inlineStr">
        <is>
          <t>IOS Owner</t>
        </is>
      </c>
      <c r="O1972" s="4" t="n"/>
      <c r="P1972" s="4" t="n"/>
      <c r="Q1972" s="4" t="inlineStr">
        <is>
          <t>MAESTRO-IOS-BUSINESS-TEAM_OPERATIONS-1971 | Training | 42176.94</t>
        </is>
      </c>
      <c r="R1972" s="4" t="inlineStr">
        <is>
          <t>iPhone</t>
        </is>
      </c>
      <c r="S1972" s="4" t="inlineStr">
        <is>
          <t>B40</t>
        </is>
      </c>
      <c r="T1972" s="4" t="inlineStr">
        <is>
          <t>RAMP_1501_2500</t>
        </is>
      </c>
      <c r="U1972" s="4" t="inlineStr">
        <is>
          <t>CREATED</t>
        </is>
      </c>
      <c r="V1972" s="4" t="inlineStr">
        <is>
          <t>idem-20260902-ios-1971</t>
        </is>
      </c>
    </row>
    <row r="1973" ht="30" customHeight="1">
      <c r="A1973" s="4" t="n">
        <v>1972</v>
      </c>
      <c r="B1973" s="4" t="inlineStr">
        <is>
          <t>MTR-IOS-1972</t>
        </is>
      </c>
      <c r="C1973" s="4" t="inlineStr">
        <is>
          <t>Personal</t>
        </is>
      </c>
      <c r="D1973" s="4" t="inlineStr">
        <is>
          <t>Personal</t>
        </is>
      </c>
      <c r="E1973" s="4" t="inlineStr">
        <is>
          <t>Lifestyle</t>
        </is>
      </c>
      <c r="F1973" s="4" t="inlineStr">
        <is>
          <t>Shopping</t>
        </is>
      </c>
      <c r="G1973" s="4" t="inlineStr">
        <is>
          <t>Expense</t>
        </is>
      </c>
      <c r="H1973" s="12" t="n">
        <v>46226</v>
      </c>
      <c r="I1973" s="13" t="n">
        <v>0.7008680555555555</v>
      </c>
      <c r="J1973" s="14" t="n">
        <v>46226.70086805556</v>
      </c>
      <c r="K1973" s="15" t="n">
        <v>3384.39</v>
      </c>
      <c r="L1973" s="4" t="inlineStr">
        <is>
          <t>INR</t>
        </is>
      </c>
      <c r="M1973" s="15" t="n">
        <v>-3384.39</v>
      </c>
      <c r="N1973" s="4" t="inlineStr">
        <is>
          <t>IOS Owner</t>
        </is>
      </c>
      <c r="O1973" s="4" t="n"/>
      <c r="P1973" s="4" t="n"/>
      <c r="Q1973" s="4" t="inlineStr">
        <is>
          <t>MAESTRO-IOS-PERSONAL-LIFESTYLE-1972 | Shopping | 3384.39</t>
        </is>
      </c>
      <c r="R1973" s="4" t="inlineStr">
        <is>
          <t>iPhone</t>
        </is>
      </c>
      <c r="S1973" s="4" t="inlineStr">
        <is>
          <t>B40</t>
        </is>
      </c>
      <c r="T1973" s="4" t="inlineStr">
        <is>
          <t>RAMP_1501_2500</t>
        </is>
      </c>
      <c r="U1973" s="4" t="inlineStr">
        <is>
          <t>CREATED</t>
        </is>
      </c>
      <c r="V1973" s="4" t="inlineStr">
        <is>
          <t>idem-20260902-ios-1972</t>
        </is>
      </c>
    </row>
    <row r="1974" ht="30" customHeight="1">
      <c r="A1974" s="4" t="n">
        <v>1973</v>
      </c>
      <c r="B1974" s="4" t="inlineStr">
        <is>
          <t>MTR-IOS-1973</t>
        </is>
      </c>
      <c r="C1974" s="4" t="inlineStr">
        <is>
          <t>Group</t>
        </is>
      </c>
      <c r="D1974" s="4" t="inlineStr">
        <is>
          <t>Shared Experience</t>
        </is>
      </c>
      <c r="E1974" s="4" t="inlineStr">
        <is>
          <t>House Party</t>
        </is>
      </c>
      <c r="F1974" s="4" t="inlineStr">
        <is>
          <t>Food</t>
        </is>
      </c>
      <c r="G1974" s="4" t="inlineStr">
        <is>
          <t>Expense</t>
        </is>
      </c>
      <c r="H1974" s="12" t="n">
        <v>46198</v>
      </c>
      <c r="I1974" s="13" t="n">
        <v>0.4921180555555555</v>
      </c>
      <c r="J1974" s="14" t="n">
        <v>46198.49211805555</v>
      </c>
      <c r="K1974" s="15" t="n">
        <v>22397.76</v>
      </c>
      <c r="L1974" s="4" t="inlineStr">
        <is>
          <t>INR</t>
        </is>
      </c>
      <c r="M1974" s="15" t="n">
        <v>-22397.76</v>
      </c>
      <c r="N1974" s="4" t="inlineStr">
        <is>
          <t>IOS Owner</t>
        </is>
      </c>
      <c r="O1974" s="4" t="n">
        <v>3</v>
      </c>
      <c r="P1974" s="4" t="inlineStr">
        <is>
          <t>PERCENTAGE</t>
        </is>
      </c>
      <c r="Q1974" s="4" t="inlineStr">
        <is>
          <t>MAESTRO-IOS-GROUP-HOUSE_PARTY-1973 | Food | 22397.76</t>
        </is>
      </c>
      <c r="R1974" s="4" t="inlineStr">
        <is>
          <t>iPhone</t>
        </is>
      </c>
      <c r="S1974" s="4" t="inlineStr">
        <is>
          <t>B40</t>
        </is>
      </c>
      <c r="T1974" s="4" t="inlineStr">
        <is>
          <t>RAMP_1501_2500</t>
        </is>
      </c>
      <c r="U1974" s="4" t="inlineStr">
        <is>
          <t>CREATED</t>
        </is>
      </c>
      <c r="V1974" s="4" t="inlineStr">
        <is>
          <t>idem-20260902-ios-1973</t>
        </is>
      </c>
    </row>
    <row r="1975" ht="30" customHeight="1">
      <c r="A1975" s="4" t="n">
        <v>1974</v>
      </c>
      <c r="B1975" s="4" t="inlineStr">
        <is>
          <t>MTR-IOS-1974</t>
        </is>
      </c>
      <c r="C1975" s="4" t="inlineStr">
        <is>
          <t>Business</t>
        </is>
      </c>
      <c r="D1975" s="4" t="inlineStr">
        <is>
          <t>Business</t>
        </is>
      </c>
      <c r="E1975" s="4" t="inlineStr">
        <is>
          <t>Team Operations</t>
        </is>
      </c>
      <c r="F1975" s="4" t="inlineStr">
        <is>
          <t>Tools</t>
        </is>
      </c>
      <c r="G1975" s="4" t="inlineStr">
        <is>
          <t>Expense</t>
        </is>
      </c>
      <c r="H1975" s="12" t="n">
        <v>46234</v>
      </c>
      <c r="I1975" s="13" t="n">
        <v>0.9226736111111111</v>
      </c>
      <c r="J1975" s="14" t="n">
        <v>46234.92267361111</v>
      </c>
      <c r="K1975" s="15" t="n">
        <v>97330.38</v>
      </c>
      <c r="L1975" s="4" t="inlineStr">
        <is>
          <t>INR</t>
        </is>
      </c>
      <c r="M1975" s="15" t="n">
        <v>-97330.38</v>
      </c>
      <c r="N1975" s="4" t="inlineStr">
        <is>
          <t>IOS Owner</t>
        </is>
      </c>
      <c r="O1975" s="4" t="n"/>
      <c r="P1975" s="4" t="n"/>
      <c r="Q1975" s="4" t="inlineStr">
        <is>
          <t>MAESTRO-IOS-BUSINESS-TEAM_OPERATIONS-1974 | Tools | 97330.38</t>
        </is>
      </c>
      <c r="R1975" s="4" t="inlineStr">
        <is>
          <t>iPhone</t>
        </is>
      </c>
      <c r="S1975" s="4" t="inlineStr">
        <is>
          <t>B40</t>
        </is>
      </c>
      <c r="T1975" s="4" t="inlineStr">
        <is>
          <t>RAMP_1501_2500</t>
        </is>
      </c>
      <c r="U1975" s="4" t="inlineStr">
        <is>
          <t>CREATED</t>
        </is>
      </c>
      <c r="V1975" s="4" t="inlineStr">
        <is>
          <t>idem-20260902-ios-1974</t>
        </is>
      </c>
    </row>
    <row r="1976" ht="30" customHeight="1">
      <c r="A1976" s="4" t="n">
        <v>1975</v>
      </c>
      <c r="B1976" s="4" t="inlineStr">
        <is>
          <t>MTR-IOS-1975</t>
        </is>
      </c>
      <c r="C1976" s="4" t="inlineStr">
        <is>
          <t>Personal</t>
        </is>
      </c>
      <c r="D1976" s="4" t="inlineStr">
        <is>
          <t>Personal</t>
        </is>
      </c>
      <c r="E1976" s="4" t="inlineStr">
        <is>
          <t>Lifestyle</t>
        </is>
      </c>
      <c r="F1976" s="4" t="inlineStr">
        <is>
          <t>Entertainment</t>
        </is>
      </c>
      <c r="G1976" s="4" t="inlineStr">
        <is>
          <t>Expense</t>
        </is>
      </c>
      <c r="H1976" s="12" t="n">
        <v>46049</v>
      </c>
      <c r="I1976" s="13" t="n">
        <v>0.09010416666666667</v>
      </c>
      <c r="J1976" s="14" t="n">
        <v>46049.09010416667</v>
      </c>
      <c r="K1976" s="15" t="n">
        <v>6783.49</v>
      </c>
      <c r="L1976" s="4" t="inlineStr">
        <is>
          <t>INR</t>
        </is>
      </c>
      <c r="M1976" s="15" t="n">
        <v>-6783.49</v>
      </c>
      <c r="N1976" s="4" t="inlineStr">
        <is>
          <t>IOS Owner</t>
        </is>
      </c>
      <c r="O1976" s="4" t="n"/>
      <c r="P1976" s="4" t="n"/>
      <c r="Q1976" s="4" t="inlineStr">
        <is>
          <t>MAESTRO-IOS-PERSONAL-LIFESTYLE-1975 | Entertainment | 6783.49</t>
        </is>
      </c>
      <c r="R1976" s="4" t="inlineStr">
        <is>
          <t>iPhone</t>
        </is>
      </c>
      <c r="S1976" s="4" t="inlineStr">
        <is>
          <t>B40</t>
        </is>
      </c>
      <c r="T1976" s="4" t="inlineStr">
        <is>
          <t>RAMP_1501_2500</t>
        </is>
      </c>
      <c r="U1976" s="4" t="inlineStr">
        <is>
          <t>CREATED</t>
        </is>
      </c>
      <c r="V1976" s="4" t="inlineStr">
        <is>
          <t>idem-20260902-ios-1975</t>
        </is>
      </c>
    </row>
    <row r="1977" ht="30" customHeight="1">
      <c r="A1977" s="4" t="n">
        <v>1976</v>
      </c>
      <c r="B1977" s="4" t="inlineStr">
        <is>
          <t>MTR-IOS-1976</t>
        </is>
      </c>
      <c r="C1977" s="4" t="inlineStr">
        <is>
          <t>Group</t>
        </is>
      </c>
      <c r="D1977" s="4" t="inlineStr">
        <is>
          <t>Shared Experience</t>
        </is>
      </c>
      <c r="E1977" s="4" t="inlineStr">
        <is>
          <t>House Party</t>
        </is>
      </c>
      <c r="F1977" s="4" t="inlineStr">
        <is>
          <t>Drinks</t>
        </is>
      </c>
      <c r="G1977" s="4" t="inlineStr">
        <is>
          <t>Expense</t>
        </is>
      </c>
      <c r="H1977" s="12" t="n">
        <v>46111</v>
      </c>
      <c r="I1977" s="13" t="n">
        <v>0.3554166666666667</v>
      </c>
      <c r="J1977" s="14" t="n">
        <v>46111.35541666667</v>
      </c>
      <c r="K1977" s="15" t="n">
        <v>17358.45</v>
      </c>
      <c r="L1977" s="4" t="inlineStr">
        <is>
          <t>INR</t>
        </is>
      </c>
      <c r="M1977" s="15" t="n">
        <v>-17358.45</v>
      </c>
      <c r="N1977" s="4" t="inlineStr">
        <is>
          <t>IOS Aarav</t>
        </is>
      </c>
      <c r="O1977" s="4" t="n">
        <v>3</v>
      </c>
      <c r="P1977" s="4" t="inlineStr">
        <is>
          <t>EXACT</t>
        </is>
      </c>
      <c r="Q1977" s="4" t="inlineStr">
        <is>
          <t>MAESTRO-IOS-GROUP-HOUSE_PARTY-1976 | Drinks | 17358.45</t>
        </is>
      </c>
      <c r="R1977" s="4" t="inlineStr">
        <is>
          <t>iPhone</t>
        </is>
      </c>
      <c r="S1977" s="4" t="inlineStr">
        <is>
          <t>B40</t>
        </is>
      </c>
      <c r="T1977" s="4" t="inlineStr">
        <is>
          <t>RAMP_1501_2500</t>
        </is>
      </c>
      <c r="U1977" s="4" t="inlineStr">
        <is>
          <t>CREATED</t>
        </is>
      </c>
      <c r="V1977" s="4" t="inlineStr">
        <is>
          <t>idem-20260902-ios-1976</t>
        </is>
      </c>
    </row>
    <row r="1978" ht="30" customHeight="1">
      <c r="A1978" s="4" t="n">
        <v>1977</v>
      </c>
      <c r="B1978" s="4" t="inlineStr">
        <is>
          <t>MTR-IOS-1977</t>
        </is>
      </c>
      <c r="C1978" s="4" t="inlineStr">
        <is>
          <t>Business</t>
        </is>
      </c>
      <c r="D1978" s="4" t="inlineStr">
        <is>
          <t>Business</t>
        </is>
      </c>
      <c r="E1978" s="4" t="inlineStr">
        <is>
          <t>Business Runway</t>
        </is>
      </c>
      <c r="F1978" s="4" t="inlineStr">
        <is>
          <t>Funding</t>
        </is>
      </c>
      <c r="G1978" s="4" t="inlineStr">
        <is>
          <t>Income</t>
        </is>
      </c>
      <c r="H1978" s="12" t="n">
        <v>46015</v>
      </c>
      <c r="I1978" s="13" t="n">
        <v>0.7475000000000001</v>
      </c>
      <c r="J1978" s="14" t="n">
        <v>46015.7475</v>
      </c>
      <c r="K1978" s="15" t="n">
        <v>108479.49</v>
      </c>
      <c r="L1978" s="4" t="inlineStr">
        <is>
          <t>INR</t>
        </is>
      </c>
      <c r="M1978" s="15" t="n">
        <v>108479.49</v>
      </c>
      <c r="N1978" s="4" t="inlineStr">
        <is>
          <t>IOS Owner</t>
        </is>
      </c>
      <c r="O1978" s="4" t="n"/>
      <c r="P1978" s="4" t="n"/>
      <c r="Q1978" s="4" t="inlineStr">
        <is>
          <t>MAESTRO-IOS-BUSINESS-BUSINESS_RUNWAY-1977 | Funding | 108479.49</t>
        </is>
      </c>
      <c r="R1978" s="4" t="inlineStr">
        <is>
          <t>iPhone</t>
        </is>
      </c>
      <c r="S1978" s="4" t="inlineStr">
        <is>
          <t>B40</t>
        </is>
      </c>
      <c r="T1978" s="4" t="inlineStr">
        <is>
          <t>RAMP_1501_2500</t>
        </is>
      </c>
      <c r="U1978" s="4" t="inlineStr">
        <is>
          <t>CREATED</t>
        </is>
      </c>
      <c r="V1978" s="4" t="inlineStr">
        <is>
          <t>idem-20260902-ios-1977</t>
        </is>
      </c>
    </row>
    <row r="1979" ht="30" customHeight="1">
      <c r="A1979" s="4" t="n">
        <v>1978</v>
      </c>
      <c r="B1979" s="4" t="inlineStr">
        <is>
          <t>MTR-IOS-1978</t>
        </is>
      </c>
      <c r="C1979" s="4" t="inlineStr">
        <is>
          <t>Personal</t>
        </is>
      </c>
      <c r="D1979" s="4" t="inlineStr">
        <is>
          <t>Personal</t>
        </is>
      </c>
      <c r="E1979" s="4" t="inlineStr">
        <is>
          <t>Lifestyle</t>
        </is>
      </c>
      <c r="F1979" s="4" t="inlineStr">
        <is>
          <t>Travel</t>
        </is>
      </c>
      <c r="G1979" s="4" t="inlineStr">
        <is>
          <t>Expense</t>
        </is>
      </c>
      <c r="H1979" s="12" t="n">
        <v>45923</v>
      </c>
      <c r="I1979" s="13" t="n">
        <v>0.141412037037037</v>
      </c>
      <c r="J1979" s="14" t="n">
        <v>45923.14141203704</v>
      </c>
      <c r="K1979" s="15" t="n">
        <v>7291.3</v>
      </c>
      <c r="L1979" s="4" t="inlineStr">
        <is>
          <t>INR</t>
        </is>
      </c>
      <c r="M1979" s="15" t="n">
        <v>-7291.3</v>
      </c>
      <c r="N1979" s="4" t="inlineStr">
        <is>
          <t>IOS Owner</t>
        </is>
      </c>
      <c r="O1979" s="4" t="n"/>
      <c r="P1979" s="4" t="n"/>
      <c r="Q1979" s="4" t="inlineStr">
        <is>
          <t>MAESTRO-IOS-PERSONAL-LIFESTYLE-1978 | Travel | 7291.30</t>
        </is>
      </c>
      <c r="R1979" s="4" t="inlineStr">
        <is>
          <t>iPhone</t>
        </is>
      </c>
      <c r="S1979" s="4" t="inlineStr">
        <is>
          <t>B40</t>
        </is>
      </c>
      <c r="T1979" s="4" t="inlineStr">
        <is>
          <t>RAMP_1501_2500</t>
        </is>
      </c>
      <c r="U1979" s="4" t="inlineStr">
        <is>
          <t>CREATED</t>
        </is>
      </c>
      <c r="V1979" s="4" t="inlineStr">
        <is>
          <t>idem-20260902-ios-1978</t>
        </is>
      </c>
    </row>
    <row r="1980" ht="30" customHeight="1">
      <c r="A1980" s="4" t="n">
        <v>1979</v>
      </c>
      <c r="B1980" s="4" t="inlineStr">
        <is>
          <t>MTR-IOS-1979</t>
        </is>
      </c>
      <c r="C1980" s="4" t="inlineStr">
        <is>
          <t>Group</t>
        </is>
      </c>
      <c r="D1980" s="4" t="inlineStr">
        <is>
          <t>Shared Experience</t>
        </is>
      </c>
      <c r="E1980" s="4" t="inlineStr">
        <is>
          <t>House Party</t>
        </is>
      </c>
      <c r="F1980" s="4" t="inlineStr">
        <is>
          <t>Decor</t>
        </is>
      </c>
      <c r="G1980" s="4" t="inlineStr">
        <is>
          <t>Expense</t>
        </is>
      </c>
      <c r="H1980" s="12" t="n">
        <v>45965</v>
      </c>
      <c r="I1980" s="13" t="n">
        <v>0.05826388888888889</v>
      </c>
      <c r="J1980" s="14" t="n">
        <v>45965.05826388889</v>
      </c>
      <c r="K1980" s="15" t="n">
        <v>2166.09</v>
      </c>
      <c r="L1980" s="4" t="inlineStr">
        <is>
          <t>INR</t>
        </is>
      </c>
      <c r="M1980" s="15" t="n">
        <v>-2166.09</v>
      </c>
      <c r="N1980" s="4" t="inlineStr">
        <is>
          <t>IOS Meera</t>
        </is>
      </c>
      <c r="O1980" s="4" t="n">
        <v>3</v>
      </c>
      <c r="P1980" s="4" t="inlineStr">
        <is>
          <t>SHARES</t>
        </is>
      </c>
      <c r="Q1980" s="4" t="inlineStr">
        <is>
          <t>MAESTRO-IOS-GROUP-HOUSE_PARTY-1979 | Decor | 2166.09</t>
        </is>
      </c>
      <c r="R1980" s="4" t="inlineStr">
        <is>
          <t>iPhone</t>
        </is>
      </c>
      <c r="S1980" s="4" t="inlineStr">
        <is>
          <t>B40</t>
        </is>
      </c>
      <c r="T1980" s="4" t="inlineStr">
        <is>
          <t>RAMP_1501_2500</t>
        </is>
      </c>
      <c r="U1980" s="4" t="inlineStr">
        <is>
          <t>CREATED</t>
        </is>
      </c>
      <c r="V1980" s="4" t="inlineStr">
        <is>
          <t>idem-20260902-ios-1979</t>
        </is>
      </c>
    </row>
    <row r="1981" ht="30" customHeight="1">
      <c r="A1981" s="4" t="n">
        <v>1980</v>
      </c>
      <c r="B1981" s="4" t="inlineStr">
        <is>
          <t>MTR-IOS-1980</t>
        </is>
      </c>
      <c r="C1981" s="4" t="inlineStr">
        <is>
          <t>Business</t>
        </is>
      </c>
      <c r="D1981" s="4" t="inlineStr">
        <is>
          <t>Business</t>
        </is>
      </c>
      <c r="E1981" s="4" t="inlineStr">
        <is>
          <t>Business Runway</t>
        </is>
      </c>
      <c r="F1981" s="4" t="inlineStr">
        <is>
          <t>Revenue</t>
        </is>
      </c>
      <c r="G1981" s="4" t="inlineStr">
        <is>
          <t>Income</t>
        </is>
      </c>
      <c r="H1981" s="12" t="n">
        <v>45963</v>
      </c>
      <c r="I1981" s="13" t="n">
        <v>0.4317592592592592</v>
      </c>
      <c r="J1981" s="14" t="n">
        <v>45963.43175925926</v>
      </c>
      <c r="K1981" s="15" t="n">
        <v>16876.08</v>
      </c>
      <c r="L1981" s="4" t="inlineStr">
        <is>
          <t>INR</t>
        </is>
      </c>
      <c r="M1981" s="15" t="n">
        <v>16876.08</v>
      </c>
      <c r="N1981" s="4" t="inlineStr">
        <is>
          <t>IOS Owner</t>
        </is>
      </c>
      <c r="O1981" s="4" t="n"/>
      <c r="P1981" s="4" t="n"/>
      <c r="Q1981" s="4" t="inlineStr">
        <is>
          <t>MAESTRO-IOS-BUSINESS-BUSINESS_RUNWAY-1980 | Revenue | 16876.08</t>
        </is>
      </c>
      <c r="R1981" s="4" t="inlineStr">
        <is>
          <t>iPhone</t>
        </is>
      </c>
      <c r="S1981" s="4" t="inlineStr">
        <is>
          <t>B40</t>
        </is>
      </c>
      <c r="T1981" s="4" t="inlineStr">
        <is>
          <t>RAMP_1501_2500</t>
        </is>
      </c>
      <c r="U1981" s="4" t="inlineStr">
        <is>
          <t>CREATED</t>
        </is>
      </c>
      <c r="V1981" s="4" t="inlineStr">
        <is>
          <t>idem-20260902-ios-1980</t>
        </is>
      </c>
    </row>
    <row r="1982" ht="30" customHeight="1">
      <c r="A1982" s="4" t="n">
        <v>1981</v>
      </c>
      <c r="B1982" s="4" t="inlineStr">
        <is>
          <t>MTR-IOS-1981</t>
        </is>
      </c>
      <c r="C1982" s="4" t="inlineStr">
        <is>
          <t>Personal</t>
        </is>
      </c>
      <c r="D1982" s="4" t="inlineStr">
        <is>
          <t>Personal</t>
        </is>
      </c>
      <c r="E1982" s="4" t="inlineStr">
        <is>
          <t>Lifestyle</t>
        </is>
      </c>
      <c r="F1982" s="4" t="inlineStr">
        <is>
          <t>Fitness</t>
        </is>
      </c>
      <c r="G1982" s="4" t="inlineStr">
        <is>
          <t>Expense</t>
        </is>
      </c>
      <c r="H1982" s="12" t="n">
        <v>46153</v>
      </c>
      <c r="I1982" s="13" t="n">
        <v>0.7806712962962963</v>
      </c>
      <c r="J1982" s="14" t="n">
        <v>46153.7806712963</v>
      </c>
      <c r="K1982" s="15" t="n">
        <v>5358.92</v>
      </c>
      <c r="L1982" s="4" t="inlineStr">
        <is>
          <t>INR</t>
        </is>
      </c>
      <c r="M1982" s="15" t="n">
        <v>-5358.92</v>
      </c>
      <c r="N1982" s="4" t="inlineStr">
        <is>
          <t>IOS Owner</t>
        </is>
      </c>
      <c r="O1982" s="4" t="n"/>
      <c r="P1982" s="4" t="n"/>
      <c r="Q1982" s="4" t="inlineStr">
        <is>
          <t>MAESTRO-IOS-PERSONAL-LIFESTYLE-1981 | Fitness | 5358.92</t>
        </is>
      </c>
      <c r="R1982" s="4" t="inlineStr">
        <is>
          <t>iPhone</t>
        </is>
      </c>
      <c r="S1982" s="4" t="inlineStr">
        <is>
          <t>B40</t>
        </is>
      </c>
      <c r="T1982" s="4" t="inlineStr">
        <is>
          <t>RAMP_1501_2500</t>
        </is>
      </c>
      <c r="U1982" s="4" t="inlineStr">
        <is>
          <t>CREATED</t>
        </is>
      </c>
      <c r="V1982" s="4" t="inlineStr">
        <is>
          <t>idem-20260902-ios-1981</t>
        </is>
      </c>
    </row>
    <row r="1983" ht="30" customHeight="1">
      <c r="A1983" s="4" t="n">
        <v>1982</v>
      </c>
      <c r="B1983" s="4" t="inlineStr">
        <is>
          <t>MTR-IOS-1982</t>
        </is>
      </c>
      <c r="C1983" s="4" t="inlineStr">
        <is>
          <t>Group</t>
        </is>
      </c>
      <c r="D1983" s="4" t="inlineStr">
        <is>
          <t>Shared Experience</t>
        </is>
      </c>
      <c r="E1983" s="4" t="inlineStr">
        <is>
          <t>House Party</t>
        </is>
      </c>
      <c r="F1983" s="4" t="inlineStr">
        <is>
          <t>Supplies</t>
        </is>
      </c>
      <c r="G1983" s="4" t="inlineStr">
        <is>
          <t>Expense</t>
        </is>
      </c>
      <c r="H1983" s="12" t="n">
        <v>46146</v>
      </c>
      <c r="I1983" s="13" t="n">
        <v>0.7740972222222222</v>
      </c>
      <c r="J1983" s="14" t="n">
        <v>46146.77409722222</v>
      </c>
      <c r="K1983" s="15" t="n">
        <v>19418.6</v>
      </c>
      <c r="L1983" s="4" t="inlineStr">
        <is>
          <t>INR</t>
        </is>
      </c>
      <c r="M1983" s="15" t="n">
        <v>-19418.6</v>
      </c>
      <c r="N1983" s="4" t="inlineStr">
        <is>
          <t>IOS Owner</t>
        </is>
      </c>
      <c r="O1983" s="4" t="n">
        <v>3</v>
      </c>
      <c r="P1983" s="4" t="inlineStr">
        <is>
          <t>EQUAL</t>
        </is>
      </c>
      <c r="Q1983" s="4" t="inlineStr">
        <is>
          <t>MAESTRO-IOS-GROUP-HOUSE_PARTY-1982 | Supplies | 19418.60</t>
        </is>
      </c>
      <c r="R1983" s="4" t="inlineStr">
        <is>
          <t>iPhone</t>
        </is>
      </c>
      <c r="S1983" s="4" t="inlineStr">
        <is>
          <t>B40</t>
        </is>
      </c>
      <c r="T1983" s="4" t="inlineStr">
        <is>
          <t>RAMP_1501_2500</t>
        </is>
      </c>
      <c r="U1983" s="4" t="inlineStr">
        <is>
          <t>CREATED</t>
        </is>
      </c>
      <c r="V1983" s="4" t="inlineStr">
        <is>
          <t>idem-20260902-ios-1982</t>
        </is>
      </c>
    </row>
    <row r="1984" ht="30" customHeight="1">
      <c r="A1984" s="4" t="n">
        <v>1983</v>
      </c>
      <c r="B1984" s="4" t="inlineStr">
        <is>
          <t>MTR-IOS-1983</t>
        </is>
      </c>
      <c r="C1984" s="4" t="inlineStr">
        <is>
          <t>Business</t>
        </is>
      </c>
      <c r="D1984" s="4" t="inlineStr">
        <is>
          <t>Business</t>
        </is>
      </c>
      <c r="E1984" s="4" t="inlineStr">
        <is>
          <t>Business Runway</t>
        </is>
      </c>
      <c r="F1984" s="4" t="inlineStr">
        <is>
          <t>Burn</t>
        </is>
      </c>
      <c r="G1984" s="4" t="inlineStr">
        <is>
          <t>Expense</t>
        </is>
      </c>
      <c r="H1984" s="12" t="n">
        <v>46048</v>
      </c>
      <c r="I1984" s="13" t="n">
        <v>0.4586805555555555</v>
      </c>
      <c r="J1984" s="14" t="n">
        <v>46048.45868055556</v>
      </c>
      <c r="K1984" s="15" t="n">
        <v>141174.78</v>
      </c>
      <c r="L1984" s="4" t="inlineStr">
        <is>
          <t>INR</t>
        </is>
      </c>
      <c r="M1984" s="15" t="n">
        <v>-141174.78</v>
      </c>
      <c r="N1984" s="4" t="inlineStr">
        <is>
          <t>IOS Owner</t>
        </is>
      </c>
      <c r="O1984" s="4" t="n"/>
      <c r="P1984" s="4" t="n"/>
      <c r="Q1984" s="4" t="inlineStr">
        <is>
          <t>MAESTRO-IOS-BUSINESS-BUSINESS_RUNWAY-1983 | Burn | 141174.78</t>
        </is>
      </c>
      <c r="R1984" s="4" t="inlineStr">
        <is>
          <t>iPhone</t>
        </is>
      </c>
      <c r="S1984" s="4" t="inlineStr">
        <is>
          <t>B40</t>
        </is>
      </c>
      <c r="T1984" s="4" t="inlineStr">
        <is>
          <t>RAMP_1501_2500</t>
        </is>
      </c>
      <c r="U1984" s="4" t="inlineStr">
        <is>
          <t>CREATED</t>
        </is>
      </c>
      <c r="V1984" s="4" t="inlineStr">
        <is>
          <t>idem-20260902-ios-1983</t>
        </is>
      </c>
    </row>
    <row r="1985" ht="30" customHeight="1">
      <c r="A1985" s="4" t="n">
        <v>1984</v>
      </c>
      <c r="B1985" s="4" t="inlineStr">
        <is>
          <t>MTR-IOS-1984</t>
        </is>
      </c>
      <c r="C1985" s="4" t="inlineStr">
        <is>
          <t>Personal</t>
        </is>
      </c>
      <c r="D1985" s="4" t="inlineStr">
        <is>
          <t>Personal</t>
        </is>
      </c>
      <c r="E1985" s="4" t="inlineStr">
        <is>
          <t>Lifestyle</t>
        </is>
      </c>
      <c r="F1985" s="4" t="inlineStr">
        <is>
          <t>Hobbies</t>
        </is>
      </c>
      <c r="G1985" s="4" t="inlineStr">
        <is>
          <t>Expense</t>
        </is>
      </c>
      <c r="H1985" s="12" t="n">
        <v>45907</v>
      </c>
      <c r="I1985" s="13" t="n">
        <v>0.6094560185185185</v>
      </c>
      <c r="J1985" s="14" t="n">
        <v>45907.60945601852</v>
      </c>
      <c r="K1985" s="15" t="n">
        <v>1073.57</v>
      </c>
      <c r="L1985" s="4" t="inlineStr">
        <is>
          <t>INR</t>
        </is>
      </c>
      <c r="M1985" s="15" t="n">
        <v>-1073.57</v>
      </c>
      <c r="N1985" s="4" t="inlineStr">
        <is>
          <t>IOS Owner</t>
        </is>
      </c>
      <c r="O1985" s="4" t="n"/>
      <c r="P1985" s="4" t="n"/>
      <c r="Q1985" s="4" t="inlineStr">
        <is>
          <t>MAESTRO-IOS-PERSONAL-LIFESTYLE-1984 | Hobbies | 1073.57</t>
        </is>
      </c>
      <c r="R1985" s="4" t="inlineStr">
        <is>
          <t>iPhone</t>
        </is>
      </c>
      <c r="S1985" s="4" t="inlineStr">
        <is>
          <t>B40</t>
        </is>
      </c>
      <c r="T1985" s="4" t="inlineStr">
        <is>
          <t>RAMP_1501_2500</t>
        </is>
      </c>
      <c r="U1985" s="4" t="inlineStr">
        <is>
          <t>CREATED</t>
        </is>
      </c>
      <c r="V1985" s="4" t="inlineStr">
        <is>
          <t>idem-20260902-ios-1984</t>
        </is>
      </c>
    </row>
    <row r="1986" ht="30" customHeight="1">
      <c r="A1986" s="4" t="n">
        <v>1985</v>
      </c>
      <c r="B1986" s="4" t="inlineStr">
        <is>
          <t>MTR-IOS-1985</t>
        </is>
      </c>
      <c r="C1986" s="4" t="inlineStr">
        <is>
          <t>Group</t>
        </is>
      </c>
      <c r="D1986" s="4" t="inlineStr">
        <is>
          <t>Shared Experience</t>
        </is>
      </c>
      <c r="E1986" s="4" t="inlineStr">
        <is>
          <t>House Party</t>
        </is>
      </c>
      <c r="F1986" s="4" t="inlineStr">
        <is>
          <t>Other</t>
        </is>
      </c>
      <c r="G1986" s="4" t="inlineStr">
        <is>
          <t>Expense</t>
        </is>
      </c>
      <c r="H1986" s="12" t="n">
        <v>46064</v>
      </c>
      <c r="I1986" s="13" t="n">
        <v>0.008969907407407407</v>
      </c>
      <c r="J1986" s="14" t="n">
        <v>46064.00896990741</v>
      </c>
      <c r="K1986" s="15" t="n">
        <v>7312.48</v>
      </c>
      <c r="L1986" s="4" t="inlineStr">
        <is>
          <t>INR</t>
        </is>
      </c>
      <c r="M1986" s="15" t="n">
        <v>-7312.48</v>
      </c>
      <c r="N1986" s="4" t="inlineStr">
        <is>
          <t>IOS Aarav</t>
        </is>
      </c>
      <c r="O1986" s="4" t="n">
        <v>3</v>
      </c>
      <c r="P1986" s="4" t="inlineStr">
        <is>
          <t>PERCENTAGE</t>
        </is>
      </c>
      <c r="Q1986" s="4" t="inlineStr">
        <is>
          <t>MAESTRO-IOS-GROUP-HOUSE_PARTY-1985 | Other | 7312.48</t>
        </is>
      </c>
      <c r="R1986" s="4" t="inlineStr">
        <is>
          <t>iPhone</t>
        </is>
      </c>
      <c r="S1986" s="4" t="inlineStr">
        <is>
          <t>B40</t>
        </is>
      </c>
      <c r="T1986" s="4" t="inlineStr">
        <is>
          <t>RAMP_1501_2500</t>
        </is>
      </c>
      <c r="U1986" s="4" t="inlineStr">
        <is>
          <t>CREATED</t>
        </is>
      </c>
      <c r="V1986" s="4" t="inlineStr">
        <is>
          <t>idem-20260902-ios-1985</t>
        </is>
      </c>
    </row>
    <row r="1987" ht="30" customHeight="1">
      <c r="A1987" s="4" t="n">
        <v>1986</v>
      </c>
      <c r="B1987" s="4" t="inlineStr">
        <is>
          <t>MTR-IOS-1986</t>
        </is>
      </c>
      <c r="C1987" s="4" t="inlineStr">
        <is>
          <t>Business</t>
        </is>
      </c>
      <c r="D1987" s="4" t="inlineStr">
        <is>
          <t>Business</t>
        </is>
      </c>
      <c r="E1987" s="4" t="inlineStr">
        <is>
          <t>Business Runway</t>
        </is>
      </c>
      <c r="F1987" s="4" t="inlineStr">
        <is>
          <t>Reserve</t>
        </is>
      </c>
      <c r="G1987" s="4" t="inlineStr">
        <is>
          <t>Transfer</t>
        </is>
      </c>
      <c r="H1987" s="12" t="n">
        <v>45980</v>
      </c>
      <c r="I1987" s="13" t="n">
        <v>0.7166087962962963</v>
      </c>
      <c r="J1987" s="14" t="n">
        <v>45980.7166087963</v>
      </c>
      <c r="K1987" s="15" t="n">
        <v>127965.49</v>
      </c>
      <c r="L1987" s="4" t="inlineStr">
        <is>
          <t>INR</t>
        </is>
      </c>
      <c r="M1987" s="15" t="n">
        <v>0</v>
      </c>
      <c r="N1987" s="4" t="inlineStr">
        <is>
          <t>IOS Owner</t>
        </is>
      </c>
      <c r="O1987" s="4" t="n"/>
      <c r="P1987" s="4" t="n"/>
      <c r="Q1987" s="4" t="inlineStr">
        <is>
          <t>MAESTRO-IOS-BUSINESS-BUSINESS_RUNWAY-1986 | Reserve | 127965.49</t>
        </is>
      </c>
      <c r="R1987" s="4" t="inlineStr">
        <is>
          <t>iPhone</t>
        </is>
      </c>
      <c r="S1987" s="4" t="inlineStr">
        <is>
          <t>B40</t>
        </is>
      </c>
      <c r="T1987" s="4" t="inlineStr">
        <is>
          <t>RAMP_1501_2500</t>
        </is>
      </c>
      <c r="U1987" s="4" t="inlineStr">
        <is>
          <t>CREATED</t>
        </is>
      </c>
      <c r="V1987" s="4" t="inlineStr">
        <is>
          <t>idem-20260902-ios-1986</t>
        </is>
      </c>
    </row>
    <row r="1988" ht="30" customHeight="1">
      <c r="A1988" s="4" t="n">
        <v>1987</v>
      </c>
      <c r="B1988" s="4" t="inlineStr">
        <is>
          <t>MTR-IOS-1987</t>
        </is>
      </c>
      <c r="C1988" s="4" t="inlineStr">
        <is>
          <t>Personal</t>
        </is>
      </c>
      <c r="D1988" s="4" t="inlineStr">
        <is>
          <t>Personal</t>
        </is>
      </c>
      <c r="E1988" s="4" t="inlineStr">
        <is>
          <t>Relationships</t>
        </is>
      </c>
      <c r="F1988" s="4" t="inlineStr">
        <is>
          <t>Gifts</t>
        </is>
      </c>
      <c r="G1988" s="4" t="inlineStr">
        <is>
          <t>Expense</t>
        </is>
      </c>
      <c r="H1988" s="12" t="n">
        <v>46200</v>
      </c>
      <c r="I1988" s="13" t="n">
        <v>0.1722453703703704</v>
      </c>
      <c r="J1988" s="14" t="n">
        <v>46200.17224537037</v>
      </c>
      <c r="K1988" s="15" t="n">
        <v>15590.09</v>
      </c>
      <c r="L1988" s="4" t="inlineStr">
        <is>
          <t>INR</t>
        </is>
      </c>
      <c r="M1988" s="15" t="n">
        <v>-15590.09</v>
      </c>
      <c r="N1988" s="4" t="inlineStr">
        <is>
          <t>IOS Owner</t>
        </is>
      </c>
      <c r="O1988" s="4" t="n"/>
      <c r="P1988" s="4" t="n"/>
      <c r="Q1988" s="4" t="inlineStr">
        <is>
          <t>MAESTRO-IOS-PERSONAL-RELATIONSHIPS-1987 | Gifts | 15590.09</t>
        </is>
      </c>
      <c r="R1988" s="4" t="inlineStr">
        <is>
          <t>iPhone</t>
        </is>
      </c>
      <c r="S1988" s="4" t="inlineStr">
        <is>
          <t>B40</t>
        </is>
      </c>
      <c r="T1988" s="4" t="inlineStr">
        <is>
          <t>RAMP_1501_2500</t>
        </is>
      </c>
      <c r="U1988" s="4" t="inlineStr">
        <is>
          <t>CREATED</t>
        </is>
      </c>
      <c r="V1988" s="4" t="inlineStr">
        <is>
          <t>idem-20260902-ios-1987</t>
        </is>
      </c>
    </row>
    <row r="1989" ht="30" customHeight="1">
      <c r="A1989" s="4" t="n">
        <v>1988</v>
      </c>
      <c r="B1989" s="4" t="inlineStr">
        <is>
          <t>MTR-IOS-1988</t>
        </is>
      </c>
      <c r="C1989" s="4" t="inlineStr">
        <is>
          <t>Group</t>
        </is>
      </c>
      <c r="D1989" s="4" t="inlineStr">
        <is>
          <t>Shared Purchase</t>
        </is>
      </c>
      <c r="E1989" s="4" t="inlineStr">
        <is>
          <t>Gift Pool</t>
        </is>
      </c>
      <c r="F1989" s="4" t="inlineStr">
        <is>
          <t>Contribution</t>
        </is>
      </c>
      <c r="G1989" s="4" t="inlineStr">
        <is>
          <t>Contribution</t>
        </is>
      </c>
      <c r="H1989" s="12" t="n">
        <v>46063</v>
      </c>
      <c r="I1989" s="13" t="n">
        <v>0.07118055555555555</v>
      </c>
      <c r="J1989" s="14" t="n">
        <v>46063.07118055555</v>
      </c>
      <c r="K1989" s="15" t="n">
        <v>7370.46</v>
      </c>
      <c r="L1989" s="4" t="inlineStr">
        <is>
          <t>INR</t>
        </is>
      </c>
      <c r="M1989" s="15" t="n">
        <v>7370.46</v>
      </c>
      <c r="N1989" s="4" t="inlineStr">
        <is>
          <t>IOS Meera</t>
        </is>
      </c>
      <c r="O1989" s="4" t="n">
        <v>3</v>
      </c>
      <c r="P1989" s="4" t="inlineStr">
        <is>
          <t>EXACT</t>
        </is>
      </c>
      <c r="Q1989" s="4" t="inlineStr">
        <is>
          <t>MAESTRO-IOS-GROUP-GIFT_POOL-1988 | Contribution | 7370.46</t>
        </is>
      </c>
      <c r="R1989" s="4" t="inlineStr">
        <is>
          <t>iPhone</t>
        </is>
      </c>
      <c r="S1989" s="4" t="inlineStr">
        <is>
          <t>B40</t>
        </is>
      </c>
      <c r="T1989" s="4" t="inlineStr">
        <is>
          <t>RAMP_1501_2500</t>
        </is>
      </c>
      <c r="U1989" s="4" t="inlineStr">
        <is>
          <t>CREATED</t>
        </is>
      </c>
      <c r="V1989" s="4" t="inlineStr">
        <is>
          <t>idem-20260902-ios-1988</t>
        </is>
      </c>
    </row>
    <row r="1990" ht="30" customHeight="1">
      <c r="A1990" s="4" t="n">
        <v>1989</v>
      </c>
      <c r="B1990" s="4" t="inlineStr">
        <is>
          <t>MTR-IOS-1989</t>
        </is>
      </c>
      <c r="C1990" s="4" t="inlineStr">
        <is>
          <t>Business</t>
        </is>
      </c>
      <c r="D1990" s="4" t="inlineStr">
        <is>
          <t>Business</t>
        </is>
      </c>
      <c r="E1990" s="4" t="inlineStr">
        <is>
          <t>Business Runway</t>
        </is>
      </c>
      <c r="F1990" s="4" t="inlineStr">
        <is>
          <t>Loan</t>
        </is>
      </c>
      <c r="G1990" s="4" t="inlineStr">
        <is>
          <t>Income</t>
        </is>
      </c>
      <c r="H1990" s="12" t="n">
        <v>46064</v>
      </c>
      <c r="I1990" s="13" t="n">
        <v>0.4324537037037037</v>
      </c>
      <c r="J1990" s="14" t="n">
        <v>46064.4324537037</v>
      </c>
      <c r="K1990" s="15" t="n">
        <v>34299.67</v>
      </c>
      <c r="L1990" s="4" t="inlineStr">
        <is>
          <t>INR</t>
        </is>
      </c>
      <c r="M1990" s="15" t="n">
        <v>34299.67</v>
      </c>
      <c r="N1990" s="4" t="inlineStr">
        <is>
          <t>IOS Owner</t>
        </is>
      </c>
      <c r="O1990" s="4" t="n"/>
      <c r="P1990" s="4" t="n"/>
      <c r="Q1990" s="4" t="inlineStr">
        <is>
          <t>MAESTRO-IOS-BUSINESS-BUSINESS_RUNWAY-1989 | Loan | 34299.67</t>
        </is>
      </c>
      <c r="R1990" s="4" t="inlineStr">
        <is>
          <t>iPhone</t>
        </is>
      </c>
      <c r="S1990" s="4" t="inlineStr">
        <is>
          <t>B40</t>
        </is>
      </c>
      <c r="T1990" s="4" t="inlineStr">
        <is>
          <t>RAMP_1501_2500</t>
        </is>
      </c>
      <c r="U1990" s="4" t="inlineStr">
        <is>
          <t>CREATED</t>
        </is>
      </c>
      <c r="V1990" s="4" t="inlineStr">
        <is>
          <t>idem-20260902-ios-1989</t>
        </is>
      </c>
    </row>
    <row r="1991" ht="30" customHeight="1">
      <c r="A1991" s="4" t="n">
        <v>1990</v>
      </c>
      <c r="B1991" s="4" t="inlineStr">
        <is>
          <t>MTR-IOS-1990</t>
        </is>
      </c>
      <c r="C1991" s="4" t="inlineStr">
        <is>
          <t>Personal</t>
        </is>
      </c>
      <c r="D1991" s="4" t="inlineStr">
        <is>
          <t>Personal</t>
        </is>
      </c>
      <c r="E1991" s="4" t="inlineStr">
        <is>
          <t>Relationships</t>
        </is>
      </c>
      <c r="F1991" s="4" t="inlineStr">
        <is>
          <t>Dates</t>
        </is>
      </c>
      <c r="G1991" s="4" t="inlineStr">
        <is>
          <t>Expense</t>
        </is>
      </c>
      <c r="H1991" s="12" t="n">
        <v>46254</v>
      </c>
      <c r="I1991" s="13" t="n">
        <v>0.8910648148148148</v>
      </c>
      <c r="J1991" s="14" t="n">
        <v>46254.89106481482</v>
      </c>
      <c r="K1991" s="15" t="n">
        <v>1581.2</v>
      </c>
      <c r="L1991" s="4" t="inlineStr">
        <is>
          <t>INR</t>
        </is>
      </c>
      <c r="M1991" s="15" t="n">
        <v>-1581.2</v>
      </c>
      <c r="N1991" s="4" t="inlineStr">
        <is>
          <t>IOS Owner</t>
        </is>
      </c>
      <c r="O1991" s="4" t="n"/>
      <c r="P1991" s="4" t="n"/>
      <c r="Q1991" s="4" t="inlineStr">
        <is>
          <t>MAESTRO-IOS-PERSONAL-RELATIONSHIPS-1990 | Dates | 1581.20</t>
        </is>
      </c>
      <c r="R1991" s="4" t="inlineStr">
        <is>
          <t>iPhone</t>
        </is>
      </c>
      <c r="S1991" s="4" t="inlineStr">
        <is>
          <t>B40</t>
        </is>
      </c>
      <c r="T1991" s="4" t="inlineStr">
        <is>
          <t>RAMP_1501_2500</t>
        </is>
      </c>
      <c r="U1991" s="4" t="inlineStr">
        <is>
          <t>CREATED</t>
        </is>
      </c>
      <c r="V1991" s="4" t="inlineStr">
        <is>
          <t>idem-20260902-ios-1990</t>
        </is>
      </c>
    </row>
    <row r="1992" ht="30" customHeight="1">
      <c r="A1992" s="4" t="n">
        <v>1991</v>
      </c>
      <c r="B1992" s="4" t="inlineStr">
        <is>
          <t>MTR-IOS-1991</t>
        </is>
      </c>
      <c r="C1992" s="4" t="inlineStr">
        <is>
          <t>Group</t>
        </is>
      </c>
      <c r="D1992" s="4" t="inlineStr">
        <is>
          <t>Shared Purchase</t>
        </is>
      </c>
      <c r="E1992" s="4" t="inlineStr">
        <is>
          <t>Gift Pool</t>
        </is>
      </c>
      <c r="F1992" s="4" t="inlineStr">
        <is>
          <t>Gift Purchase</t>
        </is>
      </c>
      <c r="G1992" s="4" t="inlineStr">
        <is>
          <t>Expense</t>
        </is>
      </c>
      <c r="H1992" s="12" t="n">
        <v>46072</v>
      </c>
      <c r="I1992" s="13" t="n">
        <v>0.4743981481481481</v>
      </c>
      <c r="J1992" s="14" t="n">
        <v>46072.47439814815</v>
      </c>
      <c r="K1992" s="15" t="n">
        <v>14124.49</v>
      </c>
      <c r="L1992" s="4" t="inlineStr">
        <is>
          <t>INR</t>
        </is>
      </c>
      <c r="M1992" s="15" t="n">
        <v>-14124.49</v>
      </c>
      <c r="N1992" s="4" t="inlineStr">
        <is>
          <t>IOS Owner</t>
        </is>
      </c>
      <c r="O1992" s="4" t="n">
        <v>3</v>
      </c>
      <c r="P1992" s="4" t="inlineStr">
        <is>
          <t>SHARES</t>
        </is>
      </c>
      <c r="Q1992" s="4" t="inlineStr">
        <is>
          <t>MAESTRO-IOS-GROUP-GIFT_POOL-1991 | Gift Purchase | 14124.49</t>
        </is>
      </c>
      <c r="R1992" s="4" t="inlineStr">
        <is>
          <t>iPhone</t>
        </is>
      </c>
      <c r="S1992" s="4" t="inlineStr">
        <is>
          <t>B40</t>
        </is>
      </c>
      <c r="T1992" s="4" t="inlineStr">
        <is>
          <t>RAMP_1501_2500</t>
        </is>
      </c>
      <c r="U1992" s="4" t="inlineStr">
        <is>
          <t>CREATED</t>
        </is>
      </c>
      <c r="V1992" s="4" t="inlineStr">
        <is>
          <t>idem-20260902-ios-1991</t>
        </is>
      </c>
    </row>
    <row r="1993" ht="30" customHeight="1">
      <c r="A1993" s="4" t="n">
        <v>1992</v>
      </c>
      <c r="B1993" s="4" t="inlineStr">
        <is>
          <t>MTR-IOS-1992</t>
        </is>
      </c>
      <c r="C1993" s="4" t="inlineStr">
        <is>
          <t>Business</t>
        </is>
      </c>
      <c r="D1993" s="4" t="inlineStr">
        <is>
          <t>Business</t>
        </is>
      </c>
      <c r="E1993" s="4" t="inlineStr">
        <is>
          <t>Business Runway</t>
        </is>
      </c>
      <c r="F1993" s="4" t="inlineStr">
        <is>
          <t>Investment</t>
        </is>
      </c>
      <c r="G1993" s="4" t="inlineStr">
        <is>
          <t>Income</t>
        </is>
      </c>
      <c r="H1993" s="12" t="n">
        <v>45905</v>
      </c>
      <c r="I1993" s="13" t="n">
        <v>0.8576273148148148</v>
      </c>
      <c r="J1993" s="14" t="n">
        <v>45905.85762731481</v>
      </c>
      <c r="K1993" s="15" t="n">
        <v>13843.11</v>
      </c>
      <c r="L1993" s="4" t="inlineStr">
        <is>
          <t>INR</t>
        </is>
      </c>
      <c r="M1993" s="15" t="n">
        <v>13843.11</v>
      </c>
      <c r="N1993" s="4" t="inlineStr">
        <is>
          <t>IOS Owner</t>
        </is>
      </c>
      <c r="O1993" s="4" t="n"/>
      <c r="P1993" s="4" t="n"/>
      <c r="Q1993" s="4" t="inlineStr">
        <is>
          <t>MAESTRO-IOS-BUSINESS-BUSINESS_RUNWAY-1992 | Investment | 13843.11</t>
        </is>
      </c>
      <c r="R1993" s="4" t="inlineStr">
        <is>
          <t>iPhone</t>
        </is>
      </c>
      <c r="S1993" s="4" t="inlineStr">
        <is>
          <t>B40</t>
        </is>
      </c>
      <c r="T1993" s="4" t="inlineStr">
        <is>
          <t>RAMP_1501_2500</t>
        </is>
      </c>
      <c r="U1993" s="4" t="inlineStr">
        <is>
          <t>CREATED</t>
        </is>
      </c>
      <c r="V1993" s="4" t="inlineStr">
        <is>
          <t>idem-20260902-ios-1992</t>
        </is>
      </c>
    </row>
    <row r="1994" ht="30" customHeight="1">
      <c r="A1994" s="4" t="n">
        <v>1993</v>
      </c>
      <c r="B1994" s="4" t="inlineStr">
        <is>
          <t>MTR-IOS-1993</t>
        </is>
      </c>
      <c r="C1994" s="4" t="inlineStr">
        <is>
          <t>Personal</t>
        </is>
      </c>
      <c r="D1994" s="4" t="inlineStr">
        <is>
          <t>Personal</t>
        </is>
      </c>
      <c r="E1994" s="4" t="inlineStr">
        <is>
          <t>Relationships</t>
        </is>
      </c>
      <c r="F1994" s="4" t="inlineStr">
        <is>
          <t>Family</t>
        </is>
      </c>
      <c r="G1994" s="4" t="inlineStr">
        <is>
          <t>Expense</t>
        </is>
      </c>
      <c r="H1994" s="12" t="n">
        <v>45934</v>
      </c>
      <c r="I1994" s="13" t="n">
        <v>0.7565972222222223</v>
      </c>
      <c r="J1994" s="14" t="n">
        <v>45934.75659722222</v>
      </c>
      <c r="K1994" s="15" t="n">
        <v>6721.12</v>
      </c>
      <c r="L1994" s="4" t="inlineStr">
        <is>
          <t>INR</t>
        </is>
      </c>
      <c r="M1994" s="15" t="n">
        <v>-6721.12</v>
      </c>
      <c r="N1994" s="4" t="inlineStr">
        <is>
          <t>IOS Owner</t>
        </is>
      </c>
      <c r="O1994" s="4" t="n"/>
      <c r="P1994" s="4" t="n"/>
      <c r="Q1994" s="4" t="inlineStr">
        <is>
          <t>MAESTRO-IOS-PERSONAL-RELATIONSHIPS-1993 | Family | 6721.12</t>
        </is>
      </c>
      <c r="R1994" s="4" t="inlineStr">
        <is>
          <t>iPhone</t>
        </is>
      </c>
      <c r="S1994" s="4" t="inlineStr">
        <is>
          <t>B40</t>
        </is>
      </c>
      <c r="T1994" s="4" t="inlineStr">
        <is>
          <t>RAMP_1501_2500</t>
        </is>
      </c>
      <c r="U1994" s="4" t="inlineStr">
        <is>
          <t>CREATED</t>
        </is>
      </c>
      <c r="V1994" s="4" t="inlineStr">
        <is>
          <t>idem-20260902-ios-1993</t>
        </is>
      </c>
    </row>
    <row r="1995" ht="30" customHeight="1">
      <c r="A1995" s="4" t="n">
        <v>1994</v>
      </c>
      <c r="B1995" s="4" t="inlineStr">
        <is>
          <t>MTR-IOS-1994</t>
        </is>
      </c>
      <c r="C1995" s="4" t="inlineStr">
        <is>
          <t>Group</t>
        </is>
      </c>
      <c r="D1995" s="4" t="inlineStr">
        <is>
          <t>Shared Purchase</t>
        </is>
      </c>
      <c r="E1995" s="4" t="inlineStr">
        <is>
          <t>Gift Pool</t>
        </is>
      </c>
      <c r="F1995" s="4" t="inlineStr">
        <is>
          <t>Delivery</t>
        </is>
      </c>
      <c r="G1995" s="4" t="inlineStr">
        <is>
          <t>Expense</t>
        </is>
      </c>
      <c r="H1995" s="12" t="n">
        <v>45942</v>
      </c>
      <c r="I1995" s="13" t="n">
        <v>0.9254629629629629</v>
      </c>
      <c r="J1995" s="14" t="n">
        <v>45942.92546296296</v>
      </c>
      <c r="K1995" s="15" t="n">
        <v>2661.52</v>
      </c>
      <c r="L1995" s="4" t="inlineStr">
        <is>
          <t>INR</t>
        </is>
      </c>
      <c r="M1995" s="15" t="n">
        <v>-2661.52</v>
      </c>
      <c r="N1995" s="4" t="inlineStr">
        <is>
          <t>IOS Aarav</t>
        </is>
      </c>
      <c r="O1995" s="4" t="n">
        <v>3</v>
      </c>
      <c r="P1995" s="4" t="inlineStr">
        <is>
          <t>EQUAL</t>
        </is>
      </c>
      <c r="Q1995" s="4" t="inlineStr">
        <is>
          <t>MAESTRO-IOS-GROUP-GIFT_POOL-1994 | Delivery | 2661.52</t>
        </is>
      </c>
      <c r="R1995" s="4" t="inlineStr">
        <is>
          <t>iPhone</t>
        </is>
      </c>
      <c r="S1995" s="4" t="inlineStr">
        <is>
          <t>B40</t>
        </is>
      </c>
      <c r="T1995" s="4" t="inlineStr">
        <is>
          <t>RAMP_1501_2500</t>
        </is>
      </c>
      <c r="U1995" s="4" t="inlineStr">
        <is>
          <t>CREATED</t>
        </is>
      </c>
      <c r="V1995" s="4" t="inlineStr">
        <is>
          <t>idem-20260902-ios-1994</t>
        </is>
      </c>
    </row>
    <row r="1996" ht="30" customHeight="1">
      <c r="A1996" s="4" t="n">
        <v>1995</v>
      </c>
      <c r="B1996" s="4" t="inlineStr">
        <is>
          <t>MTR-IOS-1995</t>
        </is>
      </c>
      <c r="C1996" s="4" t="inlineStr">
        <is>
          <t>Business</t>
        </is>
      </c>
      <c r="D1996" s="4" t="inlineStr">
        <is>
          <t>Business</t>
        </is>
      </c>
      <c r="E1996" s="4" t="inlineStr">
        <is>
          <t>Business Operations</t>
        </is>
      </c>
      <c r="F1996" s="4" t="inlineStr">
        <is>
          <t>Software</t>
        </is>
      </c>
      <c r="G1996" s="4" t="inlineStr">
        <is>
          <t>Expense</t>
        </is>
      </c>
      <c r="H1996" s="12" t="n">
        <v>46244</v>
      </c>
      <c r="I1996" s="13" t="n">
        <v>0.2466319444444444</v>
      </c>
      <c r="J1996" s="14" t="n">
        <v>46244.24663194444</v>
      </c>
      <c r="K1996" s="15" t="n">
        <v>21888.4</v>
      </c>
      <c r="L1996" s="4" t="inlineStr">
        <is>
          <t>INR</t>
        </is>
      </c>
      <c r="M1996" s="15" t="n">
        <v>-21888.4</v>
      </c>
      <c r="N1996" s="4" t="inlineStr">
        <is>
          <t>IOS Owner</t>
        </is>
      </c>
      <c r="O1996" s="4" t="n"/>
      <c r="P1996" s="4" t="n"/>
      <c r="Q1996" s="4" t="inlineStr">
        <is>
          <t>MAESTRO-IOS-BUSINESS-BUSINESS_OPERATIONS-1995 | Software | 21888.40</t>
        </is>
      </c>
      <c r="R1996" s="4" t="inlineStr">
        <is>
          <t>iPhone</t>
        </is>
      </c>
      <c r="S1996" s="4" t="inlineStr">
        <is>
          <t>B40</t>
        </is>
      </c>
      <c r="T1996" s="4" t="inlineStr">
        <is>
          <t>RAMP_1501_2500</t>
        </is>
      </c>
      <c r="U1996" s="4" t="inlineStr">
        <is>
          <t>CREATED</t>
        </is>
      </c>
      <c r="V1996" s="4" t="inlineStr">
        <is>
          <t>idem-20260902-ios-1995</t>
        </is>
      </c>
    </row>
    <row r="1997" ht="30" customHeight="1">
      <c r="A1997" s="4" t="n">
        <v>1996</v>
      </c>
      <c r="B1997" s="4" t="inlineStr">
        <is>
          <t>MTR-IOS-1996</t>
        </is>
      </c>
      <c r="C1997" s="4" t="inlineStr">
        <is>
          <t>Personal</t>
        </is>
      </c>
      <c r="D1997" s="4" t="inlineStr">
        <is>
          <t>Personal</t>
        </is>
      </c>
      <c r="E1997" s="4" t="inlineStr">
        <is>
          <t>Relationships</t>
        </is>
      </c>
      <c r="F1997" s="4" t="inlineStr">
        <is>
          <t>Friends</t>
        </is>
      </c>
      <c r="G1997" s="4" t="inlineStr">
        <is>
          <t>Expense</t>
        </is>
      </c>
      <c r="H1997" s="12" t="n">
        <v>46156</v>
      </c>
      <c r="I1997" s="13" t="n">
        <v>0.4491087962962963</v>
      </c>
      <c r="J1997" s="14" t="n">
        <v>46156.4491087963</v>
      </c>
      <c r="K1997" s="15" t="n">
        <v>13567.46</v>
      </c>
      <c r="L1997" s="4" t="inlineStr">
        <is>
          <t>INR</t>
        </is>
      </c>
      <c r="M1997" s="15" t="n">
        <v>-13567.46</v>
      </c>
      <c r="N1997" s="4" t="inlineStr">
        <is>
          <t>IOS Owner</t>
        </is>
      </c>
      <c r="O1997" s="4" t="n"/>
      <c r="P1997" s="4" t="n"/>
      <c r="Q1997" s="4" t="inlineStr">
        <is>
          <t>MAESTRO-IOS-PERSONAL-RELATIONSHIPS-1996 | Friends | 13567.46</t>
        </is>
      </c>
      <c r="R1997" s="4" t="inlineStr">
        <is>
          <t>iPhone</t>
        </is>
      </c>
      <c r="S1997" s="4" t="inlineStr">
        <is>
          <t>B40</t>
        </is>
      </c>
      <c r="T1997" s="4" t="inlineStr">
        <is>
          <t>RAMP_1501_2500</t>
        </is>
      </c>
      <c r="U1997" s="4" t="inlineStr">
        <is>
          <t>CREATED</t>
        </is>
      </c>
      <c r="V1997" s="4" t="inlineStr">
        <is>
          <t>idem-20260902-ios-1996</t>
        </is>
      </c>
    </row>
    <row r="1998" ht="30" customHeight="1">
      <c r="A1998" s="4" t="n">
        <v>1997</v>
      </c>
      <c r="B1998" s="4" t="inlineStr">
        <is>
          <t>MTR-IOS-1997</t>
        </is>
      </c>
      <c r="C1998" s="4" t="inlineStr">
        <is>
          <t>Group</t>
        </is>
      </c>
      <c r="D1998" s="4" t="inlineStr">
        <is>
          <t>Shared Purchase</t>
        </is>
      </c>
      <c r="E1998" s="4" t="inlineStr">
        <is>
          <t>Gift Pool</t>
        </is>
      </c>
      <c r="F1998" s="4" t="inlineStr">
        <is>
          <t>Other</t>
        </is>
      </c>
      <c r="G1998" s="4" t="inlineStr">
        <is>
          <t>Expense</t>
        </is>
      </c>
      <c r="H1998" s="12" t="n">
        <v>46157</v>
      </c>
      <c r="I1998" s="13" t="n">
        <v>0.512962962962963</v>
      </c>
      <c r="J1998" s="14" t="n">
        <v>46157.51296296297</v>
      </c>
      <c r="K1998" s="15" t="n">
        <v>2593.25</v>
      </c>
      <c r="L1998" s="4" t="inlineStr">
        <is>
          <t>INR</t>
        </is>
      </c>
      <c r="M1998" s="15" t="n">
        <v>-2593.25</v>
      </c>
      <c r="N1998" s="4" t="inlineStr">
        <is>
          <t>IOS Meera</t>
        </is>
      </c>
      <c r="O1998" s="4" t="n">
        <v>3</v>
      </c>
      <c r="P1998" s="4" t="inlineStr">
        <is>
          <t>PERCENTAGE</t>
        </is>
      </c>
      <c r="Q1998" s="4" t="inlineStr">
        <is>
          <t>MAESTRO-IOS-GROUP-GIFT_POOL-1997 | Other | 2593.25</t>
        </is>
      </c>
      <c r="R1998" s="4" t="inlineStr">
        <is>
          <t>iPhone</t>
        </is>
      </c>
      <c r="S1998" s="4" t="inlineStr">
        <is>
          <t>B40</t>
        </is>
      </c>
      <c r="T1998" s="4" t="inlineStr">
        <is>
          <t>RAMP_1501_2500</t>
        </is>
      </c>
      <c r="U1998" s="4" t="inlineStr">
        <is>
          <t>CREATED</t>
        </is>
      </c>
      <c r="V1998" s="4" t="inlineStr">
        <is>
          <t>idem-20260902-ios-1997</t>
        </is>
      </c>
    </row>
    <row r="1999" ht="30" customHeight="1">
      <c r="A1999" s="4" t="n">
        <v>1998</v>
      </c>
      <c r="B1999" s="4" t="inlineStr">
        <is>
          <t>MTR-IOS-1998</t>
        </is>
      </c>
      <c r="C1999" s="4" t="inlineStr">
        <is>
          <t>Business</t>
        </is>
      </c>
      <c r="D1999" s="4" t="inlineStr">
        <is>
          <t>Business</t>
        </is>
      </c>
      <c r="E1999" s="4" t="inlineStr">
        <is>
          <t>Business Operations</t>
        </is>
      </c>
      <c r="F1999" s="4" t="inlineStr">
        <is>
          <t>Rent</t>
        </is>
      </c>
      <c r="G1999" s="4" t="inlineStr">
        <is>
          <t>Expense</t>
        </is>
      </c>
      <c r="H1999" s="12" t="n">
        <v>46090</v>
      </c>
      <c r="I1999" s="13" t="n">
        <v>0.1752199074074074</v>
      </c>
      <c r="J1999" s="14" t="n">
        <v>46090.17521990741</v>
      </c>
      <c r="K1999" s="15" t="n">
        <v>0.01</v>
      </c>
      <c r="L1999" s="4" t="inlineStr">
        <is>
          <t>INR</t>
        </is>
      </c>
      <c r="M1999" s="15" t="n">
        <v>-0.01</v>
      </c>
      <c r="N1999" s="4" t="inlineStr">
        <is>
          <t>IOS Owner</t>
        </is>
      </c>
      <c r="O1999" s="4" t="n"/>
      <c r="P1999" s="4" t="n"/>
      <c r="Q1999" s="4" t="inlineStr">
        <is>
          <t>MAESTRO-IOS-BUSINESS-BUSINESS_OPERATIONS-1998 | Rent | 0.01</t>
        </is>
      </c>
      <c r="R1999" s="4" t="inlineStr">
        <is>
          <t>iPhone</t>
        </is>
      </c>
      <c r="S1999" s="4" t="inlineStr">
        <is>
          <t>B40</t>
        </is>
      </c>
      <c r="T1999" s="4" t="inlineStr">
        <is>
          <t>RAMP_1501_2500</t>
        </is>
      </c>
      <c r="U1999" s="4" t="inlineStr">
        <is>
          <t>CREATED</t>
        </is>
      </c>
      <c r="V1999" s="4" t="inlineStr">
        <is>
          <t>idem-20260902-ios-1998</t>
        </is>
      </c>
    </row>
    <row r="2000" ht="30" customHeight="1">
      <c r="A2000" s="4" t="n">
        <v>1999</v>
      </c>
      <c r="B2000" s="4" t="inlineStr">
        <is>
          <t>MTR-IOS-1999</t>
        </is>
      </c>
      <c r="C2000" s="4" t="inlineStr">
        <is>
          <t>Personal</t>
        </is>
      </c>
      <c r="D2000" s="4" t="inlineStr">
        <is>
          <t>Personal</t>
        </is>
      </c>
      <c r="E2000" s="4" t="inlineStr">
        <is>
          <t>Relationships</t>
        </is>
      </c>
      <c r="F2000" s="4" t="inlineStr">
        <is>
          <t>Celebrations</t>
        </is>
      </c>
      <c r="G2000" s="4" t="inlineStr">
        <is>
          <t>Expense</t>
        </is>
      </c>
      <c r="H2000" s="12" t="n">
        <v>46066</v>
      </c>
      <c r="I2000" s="13" t="n">
        <v>0.7887152777777777</v>
      </c>
      <c r="J2000" s="14" t="n">
        <v>46066.78871527778</v>
      </c>
      <c r="K2000" s="15" t="n">
        <v>16370.65</v>
      </c>
      <c r="L2000" s="4" t="inlineStr">
        <is>
          <t>INR</t>
        </is>
      </c>
      <c r="M2000" s="15" t="n">
        <v>-16370.65</v>
      </c>
      <c r="N2000" s="4" t="inlineStr">
        <is>
          <t>IOS Owner</t>
        </is>
      </c>
      <c r="O2000" s="4" t="n"/>
      <c r="P2000" s="4" t="n"/>
      <c r="Q2000" s="4" t="inlineStr">
        <is>
          <t>MAESTRO-IOS-PERSONAL-RELATIONSHIPS-1999 | Celebrations | 16370.65</t>
        </is>
      </c>
      <c r="R2000" s="4" t="inlineStr">
        <is>
          <t>iPhone</t>
        </is>
      </c>
      <c r="S2000" s="4" t="inlineStr">
        <is>
          <t>B40</t>
        </is>
      </c>
      <c r="T2000" s="4" t="inlineStr">
        <is>
          <t>RAMP_1501_2500</t>
        </is>
      </c>
      <c r="U2000" s="4" t="inlineStr">
        <is>
          <t>CREATED</t>
        </is>
      </c>
      <c r="V2000" s="4" t="inlineStr">
        <is>
          <t>idem-20260902-ios-1999</t>
        </is>
      </c>
    </row>
    <row r="2001" ht="30" customHeight="1">
      <c r="A2001" s="4" t="n">
        <v>2000</v>
      </c>
      <c r="B2001" s="4" t="inlineStr">
        <is>
          <t>MTR-IOS-2000</t>
        </is>
      </c>
      <c r="C2001" s="4" t="inlineStr">
        <is>
          <t>Group</t>
        </is>
      </c>
      <c r="D2001" s="4" t="inlineStr">
        <is>
          <t>Shared Purchase</t>
        </is>
      </c>
      <c r="E2001" s="4" t="inlineStr">
        <is>
          <t>Purchase</t>
        </is>
      </c>
      <c r="F2001" s="4" t="inlineStr">
        <is>
          <t>Item</t>
        </is>
      </c>
      <c r="G2001" s="4" t="inlineStr">
        <is>
          <t>Expense</t>
        </is>
      </c>
      <c r="H2001" s="12" t="n">
        <v>46204</v>
      </c>
      <c r="I2001" s="13" t="n">
        <v>0.3102893518518519</v>
      </c>
      <c r="J2001" s="14" t="n">
        <v>46204.31028935185</v>
      </c>
      <c r="K2001" s="15" t="n">
        <v>13877.26</v>
      </c>
      <c r="L2001" s="4" t="inlineStr">
        <is>
          <t>INR</t>
        </is>
      </c>
      <c r="M2001" s="15" t="n">
        <v>-13877.26</v>
      </c>
      <c r="N2001" s="4" t="inlineStr">
        <is>
          <t>IOS Owner</t>
        </is>
      </c>
      <c r="O2001" s="4" t="n">
        <v>3</v>
      </c>
      <c r="P2001" s="4" t="inlineStr">
        <is>
          <t>EXACT</t>
        </is>
      </c>
      <c r="Q2001" s="4" t="inlineStr">
        <is>
          <t>MAESTRO-IOS-GROUP-PURCHASE-2000 | Item | 13877.26</t>
        </is>
      </c>
      <c r="R2001" s="4" t="inlineStr">
        <is>
          <t>iPhone</t>
        </is>
      </c>
      <c r="S2001" s="4" t="inlineStr">
        <is>
          <t>B40</t>
        </is>
      </c>
      <c r="T2001" s="4" t="inlineStr">
        <is>
          <t>RAMP_1501_2500</t>
        </is>
      </c>
      <c r="U2001" s="4" t="inlineStr">
        <is>
          <t>CREATED</t>
        </is>
      </c>
      <c r="V2001" s="4" t="inlineStr">
        <is>
          <t>idem-20260902-ios-2000</t>
        </is>
      </c>
    </row>
    <row r="2002" ht="30" customHeight="1">
      <c r="A2002" s="4" t="n">
        <v>2001</v>
      </c>
      <c r="B2002" s="4" t="inlineStr">
        <is>
          <t>MTR-IOS-2001</t>
        </is>
      </c>
      <c r="C2002" s="4" t="inlineStr">
        <is>
          <t>Business</t>
        </is>
      </c>
      <c r="D2002" s="4" t="inlineStr">
        <is>
          <t>Business</t>
        </is>
      </c>
      <c r="E2002" s="4" t="inlineStr">
        <is>
          <t>Business Operations</t>
        </is>
      </c>
      <c r="F2002" s="4" t="inlineStr">
        <is>
          <t>Marketing</t>
        </is>
      </c>
      <c r="G2002" s="4" t="inlineStr">
        <is>
          <t>Expense</t>
        </is>
      </c>
      <c r="H2002" s="12" t="n">
        <v>46132</v>
      </c>
      <c r="I2002" s="13" t="n">
        <v>0.05626157407407407</v>
      </c>
      <c r="J2002" s="14" t="n">
        <v>46132.05626157407</v>
      </c>
      <c r="K2002" s="15" t="n">
        <v>82549.89</v>
      </c>
      <c r="L2002" s="4" t="inlineStr">
        <is>
          <t>INR</t>
        </is>
      </c>
      <c r="M2002" s="15" t="n">
        <v>-82549.89</v>
      </c>
      <c r="N2002" s="4" t="inlineStr">
        <is>
          <t>IOS Owner</t>
        </is>
      </c>
      <c r="O2002" s="4" t="n"/>
      <c r="P2002" s="4" t="n"/>
      <c r="Q2002" s="4" t="inlineStr">
        <is>
          <t>MAESTRO-IOS-BUSINESS-BUSINESS_OPERATIONS-2001 | Marketing | 82549.89</t>
        </is>
      </c>
      <c r="R2002" s="4" t="inlineStr">
        <is>
          <t>iPhone</t>
        </is>
      </c>
      <c r="S2002" s="4" t="inlineStr">
        <is>
          <t>B41</t>
        </is>
      </c>
      <c r="T2002" s="4" t="inlineStr">
        <is>
          <t>RAMP_1501_2500</t>
        </is>
      </c>
      <c r="U2002" s="4" t="inlineStr">
        <is>
          <t>CREATED</t>
        </is>
      </c>
      <c r="V2002" s="4" t="inlineStr">
        <is>
          <t>idem-20260902-ios-2001</t>
        </is>
      </c>
    </row>
    <row r="2003" ht="30" customHeight="1">
      <c r="A2003" s="4" t="n">
        <v>2002</v>
      </c>
      <c r="B2003" s="4" t="inlineStr">
        <is>
          <t>MTR-IOS-2002</t>
        </is>
      </c>
      <c r="C2003" s="4" t="inlineStr">
        <is>
          <t>Personal</t>
        </is>
      </c>
      <c r="D2003" s="4" t="inlineStr">
        <is>
          <t>Personal</t>
        </is>
      </c>
      <c r="E2003" s="4" t="inlineStr">
        <is>
          <t>Life Operations</t>
        </is>
      </c>
      <c r="F2003" s="4" t="inlineStr">
        <is>
          <t>Groceries</t>
        </is>
      </c>
      <c r="G2003" s="4" t="inlineStr">
        <is>
          <t>Expense</t>
        </is>
      </c>
      <c r="H2003" s="12" t="n">
        <v>45908</v>
      </c>
      <c r="I2003" s="13" t="n">
        <v>0.3884722222222222</v>
      </c>
      <c r="J2003" s="14" t="n">
        <v>45908.38847222222</v>
      </c>
      <c r="K2003" s="15" t="n">
        <v>10248.31</v>
      </c>
      <c r="L2003" s="4" t="inlineStr">
        <is>
          <t>INR</t>
        </is>
      </c>
      <c r="M2003" s="15" t="n">
        <v>-10248.31</v>
      </c>
      <c r="N2003" s="4" t="inlineStr">
        <is>
          <t>IOS Owner</t>
        </is>
      </c>
      <c r="O2003" s="4" t="n"/>
      <c r="P2003" s="4" t="n"/>
      <c r="Q2003" s="4" t="inlineStr">
        <is>
          <t>MAESTRO-IOS-PERSONAL-LIFE_OPERATIONS-2002 | Groceries | 10248.31</t>
        </is>
      </c>
      <c r="R2003" s="4" t="inlineStr">
        <is>
          <t>iPhone</t>
        </is>
      </c>
      <c r="S2003" s="4" t="inlineStr">
        <is>
          <t>B41</t>
        </is>
      </c>
      <c r="T2003" s="4" t="inlineStr">
        <is>
          <t>RAMP_1501_2500</t>
        </is>
      </c>
      <c r="U2003" s="4" t="inlineStr">
        <is>
          <t>CREATED</t>
        </is>
      </c>
      <c r="V2003" s="4" t="inlineStr">
        <is>
          <t>idem-20260902-ios-2002</t>
        </is>
      </c>
    </row>
    <row r="2004" ht="30" customHeight="1">
      <c r="A2004" s="4" t="n">
        <v>2003</v>
      </c>
      <c r="B2004" s="4" t="inlineStr">
        <is>
          <t>MTR-IOS-2003</t>
        </is>
      </c>
      <c r="C2004" s="4" t="inlineStr">
        <is>
          <t>Group</t>
        </is>
      </c>
      <c r="D2004" s="4" t="inlineStr">
        <is>
          <t>Shared Purchase</t>
        </is>
      </c>
      <c r="E2004" s="4" t="inlineStr">
        <is>
          <t>Purchase</t>
        </is>
      </c>
      <c r="F2004" s="4" t="inlineStr">
        <is>
          <t>Shipping</t>
        </is>
      </c>
      <c r="G2004" s="4" t="inlineStr">
        <is>
          <t>Expense</t>
        </is>
      </c>
      <c r="H2004" s="12" t="n">
        <v>45941</v>
      </c>
      <c r="I2004" s="13" t="n">
        <v>0.7304050925925926</v>
      </c>
      <c r="J2004" s="14" t="n">
        <v>45941.7304050926</v>
      </c>
      <c r="K2004" s="15" t="n">
        <v>3630.76</v>
      </c>
      <c r="L2004" s="4" t="inlineStr">
        <is>
          <t>INR</t>
        </is>
      </c>
      <c r="M2004" s="15" t="n">
        <v>-3630.76</v>
      </c>
      <c r="N2004" s="4" t="inlineStr">
        <is>
          <t>IOS Aarav</t>
        </is>
      </c>
      <c r="O2004" s="4" t="n">
        <v>3</v>
      </c>
      <c r="P2004" s="4" t="inlineStr">
        <is>
          <t>SHARES</t>
        </is>
      </c>
      <c r="Q2004" s="4" t="inlineStr">
        <is>
          <t>MAESTRO-IOS-GROUP-PURCHASE-2003 | Shipping | 3630.76</t>
        </is>
      </c>
      <c r="R2004" s="4" t="inlineStr">
        <is>
          <t>iPhone</t>
        </is>
      </c>
      <c r="S2004" s="4" t="inlineStr">
        <is>
          <t>B41</t>
        </is>
      </c>
      <c r="T2004" s="4" t="inlineStr">
        <is>
          <t>RAMP_1501_2500</t>
        </is>
      </c>
      <c r="U2004" s="4" t="inlineStr">
        <is>
          <t>CREATED</t>
        </is>
      </c>
      <c r="V2004" s="4" t="inlineStr">
        <is>
          <t>idem-20260902-ios-2003</t>
        </is>
      </c>
    </row>
    <row r="2005" ht="30" customHeight="1">
      <c r="A2005" s="4" t="n">
        <v>2004</v>
      </c>
      <c r="B2005" s="4" t="inlineStr">
        <is>
          <t>MTR-IOS-2004</t>
        </is>
      </c>
      <c r="C2005" s="4" t="inlineStr">
        <is>
          <t>Business</t>
        </is>
      </c>
      <c r="D2005" s="4" t="inlineStr">
        <is>
          <t>Business</t>
        </is>
      </c>
      <c r="E2005" s="4" t="inlineStr">
        <is>
          <t>Business Operations</t>
        </is>
      </c>
      <c r="F2005" s="4" t="inlineStr">
        <is>
          <t>Legal</t>
        </is>
      </c>
      <c r="G2005" s="4" t="inlineStr">
        <is>
          <t>Expense</t>
        </is>
      </c>
      <c r="H2005" s="12" t="n">
        <v>46099</v>
      </c>
      <c r="I2005" s="13" t="n">
        <v>0.7615277777777778</v>
      </c>
      <c r="J2005" s="14" t="n">
        <v>46099.76152777778</v>
      </c>
      <c r="K2005" s="15" t="n">
        <v>159051.18</v>
      </c>
      <c r="L2005" s="4" t="inlineStr">
        <is>
          <t>INR</t>
        </is>
      </c>
      <c r="M2005" s="15" t="n">
        <v>-159051.18</v>
      </c>
      <c r="N2005" s="4" t="inlineStr">
        <is>
          <t>IOS Owner</t>
        </is>
      </c>
      <c r="O2005" s="4" t="n"/>
      <c r="P2005" s="4" t="n"/>
      <c r="Q2005" s="4" t="inlineStr">
        <is>
          <t>MAESTRO-IOS-BUSINESS-BUSINESS_OPERATIONS-2004 | Legal | 159051.18</t>
        </is>
      </c>
      <c r="R2005" s="4" t="inlineStr">
        <is>
          <t>iPhone</t>
        </is>
      </c>
      <c r="S2005" s="4" t="inlineStr">
        <is>
          <t>B41</t>
        </is>
      </c>
      <c r="T2005" s="4" t="inlineStr">
        <is>
          <t>RAMP_1501_2500</t>
        </is>
      </c>
      <c r="U2005" s="4" t="inlineStr">
        <is>
          <t>CREATED</t>
        </is>
      </c>
      <c r="V2005" s="4" t="inlineStr">
        <is>
          <t>idem-20260902-ios-2004</t>
        </is>
      </c>
    </row>
    <row r="2006" ht="30" customHeight="1">
      <c r="A2006" s="4" t="n">
        <v>2005</v>
      </c>
      <c r="B2006" s="4" t="inlineStr">
        <is>
          <t>MTR-IOS-2005</t>
        </is>
      </c>
      <c r="C2006" s="4" t="inlineStr">
        <is>
          <t>Personal</t>
        </is>
      </c>
      <c r="D2006" s="4" t="inlineStr">
        <is>
          <t>Personal</t>
        </is>
      </c>
      <c r="E2006" s="4" t="inlineStr">
        <is>
          <t>Life Operations</t>
        </is>
      </c>
      <c r="F2006" s="4" t="inlineStr">
        <is>
          <t>Rent</t>
        </is>
      </c>
      <c r="G2006" s="4" t="inlineStr">
        <is>
          <t>Expense</t>
        </is>
      </c>
      <c r="H2006" s="12" t="n">
        <v>46087</v>
      </c>
      <c r="I2006" s="13" t="n">
        <v>0.7226388888888889</v>
      </c>
      <c r="J2006" s="14" t="n">
        <v>46087.72263888889</v>
      </c>
      <c r="K2006" s="15" t="n">
        <v>10230.21</v>
      </c>
      <c r="L2006" s="4" t="inlineStr">
        <is>
          <t>INR</t>
        </is>
      </c>
      <c r="M2006" s="15" t="n">
        <v>-10230.21</v>
      </c>
      <c r="N2006" s="4" t="inlineStr">
        <is>
          <t>IOS Owner</t>
        </is>
      </c>
      <c r="O2006" s="4" t="n"/>
      <c r="P2006" s="4" t="n"/>
      <c r="Q2006" s="4" t="inlineStr">
        <is>
          <t>MAESTRO-IOS-PERSONAL-LIFE_OPERATIONS-2005 | Rent | 10230.21</t>
        </is>
      </c>
      <c r="R2006" s="4" t="inlineStr">
        <is>
          <t>iPhone</t>
        </is>
      </c>
      <c r="S2006" s="4" t="inlineStr">
        <is>
          <t>B41</t>
        </is>
      </c>
      <c r="T2006" s="4" t="inlineStr">
        <is>
          <t>RAMP_1501_2500</t>
        </is>
      </c>
      <c r="U2006" s="4" t="inlineStr">
        <is>
          <t>CREATED</t>
        </is>
      </c>
      <c r="V2006" s="4" t="inlineStr">
        <is>
          <t>idem-20260902-ios-2005</t>
        </is>
      </c>
    </row>
    <row r="2007" ht="30" customHeight="1">
      <c r="A2007" s="4" t="n">
        <v>2006</v>
      </c>
      <c r="B2007" s="4" t="inlineStr">
        <is>
          <t>MTR-IOS-2006</t>
        </is>
      </c>
      <c r="C2007" s="4" t="inlineStr">
        <is>
          <t>Group</t>
        </is>
      </c>
      <c r="D2007" s="4" t="inlineStr">
        <is>
          <t>Shared Purchase</t>
        </is>
      </c>
      <c r="E2007" s="4" t="inlineStr">
        <is>
          <t>Purchase</t>
        </is>
      </c>
      <c r="F2007" s="4" t="inlineStr">
        <is>
          <t>Tax</t>
        </is>
      </c>
      <c r="G2007" s="4" t="inlineStr">
        <is>
          <t>Expense</t>
        </is>
      </c>
      <c r="H2007" s="12" t="n">
        <v>45973</v>
      </c>
      <c r="I2007" s="13" t="n">
        <v>0.09145833333333334</v>
      </c>
      <c r="J2007" s="14" t="n">
        <v>45973.09145833334</v>
      </c>
      <c r="K2007" s="15" t="n">
        <v>25822.45</v>
      </c>
      <c r="L2007" s="4" t="inlineStr">
        <is>
          <t>INR</t>
        </is>
      </c>
      <c r="M2007" s="15" t="n">
        <v>-25822.45</v>
      </c>
      <c r="N2007" s="4" t="inlineStr">
        <is>
          <t>IOS Meera</t>
        </is>
      </c>
      <c r="O2007" s="4" t="n">
        <v>3</v>
      </c>
      <c r="P2007" s="4" t="inlineStr">
        <is>
          <t>EQUAL</t>
        </is>
      </c>
      <c r="Q2007" s="4" t="inlineStr">
        <is>
          <t>MAESTRO-IOS-GROUP-PURCHASE-2006 | Tax | 25822.45</t>
        </is>
      </c>
      <c r="R2007" s="4" t="inlineStr">
        <is>
          <t>iPhone</t>
        </is>
      </c>
      <c r="S2007" s="4" t="inlineStr">
        <is>
          <t>B41</t>
        </is>
      </c>
      <c r="T2007" s="4" t="inlineStr">
        <is>
          <t>RAMP_1501_2500</t>
        </is>
      </c>
      <c r="U2007" s="4" t="inlineStr">
        <is>
          <t>CREATED</t>
        </is>
      </c>
      <c r="V2007" s="4" t="inlineStr">
        <is>
          <t>idem-20260902-ios-2006</t>
        </is>
      </c>
    </row>
    <row r="2008" ht="30" customHeight="1">
      <c r="A2008" s="4" t="n">
        <v>2007</v>
      </c>
      <c r="B2008" s="4" t="inlineStr">
        <is>
          <t>MTR-IOS-2007</t>
        </is>
      </c>
      <c r="C2008" s="4" t="inlineStr">
        <is>
          <t>Business</t>
        </is>
      </c>
      <c r="D2008" s="4" t="inlineStr">
        <is>
          <t>Business</t>
        </is>
      </c>
      <c r="E2008" s="4" t="inlineStr">
        <is>
          <t>Business Operations</t>
        </is>
      </c>
      <c r="F2008" s="4" t="inlineStr">
        <is>
          <t>Accounting</t>
        </is>
      </c>
      <c r="G2008" s="4" t="inlineStr">
        <is>
          <t>Expense</t>
        </is>
      </c>
      <c r="H2008" s="12" t="n">
        <v>46025</v>
      </c>
      <c r="I2008" s="13" t="n">
        <v>0.8429398148148148</v>
      </c>
      <c r="J2008" s="14" t="n">
        <v>46025.84293981481</v>
      </c>
      <c r="K2008" s="15" t="n">
        <v>97574</v>
      </c>
      <c r="L2008" s="4" t="inlineStr">
        <is>
          <t>INR</t>
        </is>
      </c>
      <c r="M2008" s="15" t="n">
        <v>-97574</v>
      </c>
      <c r="N2008" s="4" t="inlineStr">
        <is>
          <t>IOS Owner</t>
        </is>
      </c>
      <c r="O2008" s="4" t="n"/>
      <c r="P2008" s="4" t="n"/>
      <c r="Q2008" s="4" t="inlineStr">
        <is>
          <t>MAESTRO-IOS-BUSINESS-BUSINESS_OPERATIONS-2007 | Accounting | 97574.00</t>
        </is>
      </c>
      <c r="R2008" s="4" t="inlineStr">
        <is>
          <t>iPhone</t>
        </is>
      </c>
      <c r="S2008" s="4" t="inlineStr">
        <is>
          <t>B41</t>
        </is>
      </c>
      <c r="T2008" s="4" t="inlineStr">
        <is>
          <t>RAMP_1501_2500</t>
        </is>
      </c>
      <c r="U2008" s="4" t="inlineStr">
        <is>
          <t>CREATED</t>
        </is>
      </c>
      <c r="V2008" s="4" t="inlineStr">
        <is>
          <t>idem-20260902-ios-2007</t>
        </is>
      </c>
    </row>
    <row r="2009" ht="30" customHeight="1">
      <c r="A2009" s="4" t="n">
        <v>2008</v>
      </c>
      <c r="B2009" s="4" t="inlineStr">
        <is>
          <t>MTR-IOS-2008</t>
        </is>
      </c>
      <c r="C2009" s="4" t="inlineStr">
        <is>
          <t>Personal</t>
        </is>
      </c>
      <c r="D2009" s="4" t="inlineStr">
        <is>
          <t>Personal</t>
        </is>
      </c>
      <c r="E2009" s="4" t="inlineStr">
        <is>
          <t>Life Operations</t>
        </is>
      </c>
      <c r="F2009" s="4" t="inlineStr">
        <is>
          <t>Bills</t>
        </is>
      </c>
      <c r="G2009" s="4" t="inlineStr">
        <is>
          <t>Expense</t>
        </is>
      </c>
      <c r="H2009" s="12" t="n">
        <v>46173</v>
      </c>
      <c r="I2009" s="13" t="n">
        <v>0.7305324074074074</v>
      </c>
      <c r="J2009" s="14" t="n">
        <v>46173.7305324074</v>
      </c>
      <c r="K2009" s="15" t="n">
        <v>11909.45</v>
      </c>
      <c r="L2009" s="4" t="inlineStr">
        <is>
          <t>INR</t>
        </is>
      </c>
      <c r="M2009" s="15" t="n">
        <v>-11909.45</v>
      </c>
      <c r="N2009" s="4" t="inlineStr">
        <is>
          <t>IOS Owner</t>
        </is>
      </c>
      <c r="O2009" s="4" t="n"/>
      <c r="P2009" s="4" t="n"/>
      <c r="Q2009" s="4" t="inlineStr">
        <is>
          <t>MAESTRO-IOS-PERSONAL-LIFE_OPERATIONS-2008 | Bills | 11909.45</t>
        </is>
      </c>
      <c r="R2009" s="4" t="inlineStr">
        <is>
          <t>iPhone</t>
        </is>
      </c>
      <c r="S2009" s="4" t="inlineStr">
        <is>
          <t>B41</t>
        </is>
      </c>
      <c r="T2009" s="4" t="inlineStr">
        <is>
          <t>RAMP_1501_2500</t>
        </is>
      </c>
      <c r="U2009" s="4" t="inlineStr">
        <is>
          <t>CREATED</t>
        </is>
      </c>
      <c r="V2009" s="4" t="inlineStr">
        <is>
          <t>idem-20260902-ios-2008</t>
        </is>
      </c>
    </row>
    <row r="2010" ht="30" customHeight="1">
      <c r="A2010" s="4" t="n">
        <v>2009</v>
      </c>
      <c r="B2010" s="4" t="inlineStr">
        <is>
          <t>MTR-IOS-2009</t>
        </is>
      </c>
      <c r="C2010" s="4" t="inlineStr">
        <is>
          <t>Group</t>
        </is>
      </c>
      <c r="D2010" s="4" t="inlineStr">
        <is>
          <t>Shared Purchase</t>
        </is>
      </c>
      <c r="E2010" s="4" t="inlineStr">
        <is>
          <t>Purchase</t>
        </is>
      </c>
      <c r="F2010" s="4" t="inlineStr">
        <is>
          <t>Other</t>
        </is>
      </c>
      <c r="G2010" s="4" t="inlineStr">
        <is>
          <t>Expense</t>
        </is>
      </c>
      <c r="H2010" s="12" t="n">
        <v>46022</v>
      </c>
      <c r="I2010" s="13" t="n">
        <v>0.5881712962962963</v>
      </c>
      <c r="J2010" s="14" t="n">
        <v>46022.58817129629</v>
      </c>
      <c r="K2010" s="15" t="n">
        <v>6808.39</v>
      </c>
      <c r="L2010" s="4" t="inlineStr">
        <is>
          <t>INR</t>
        </is>
      </c>
      <c r="M2010" s="15" t="n">
        <v>-6808.39</v>
      </c>
      <c r="N2010" s="4" t="inlineStr">
        <is>
          <t>IOS Owner</t>
        </is>
      </c>
      <c r="O2010" s="4" t="n">
        <v>3</v>
      </c>
      <c r="P2010" s="4" t="inlineStr">
        <is>
          <t>PERCENTAGE</t>
        </is>
      </c>
      <c r="Q2010" s="4" t="inlineStr">
        <is>
          <t>MAESTRO-IOS-GROUP-PURCHASE-2009 | Other | 6808.39</t>
        </is>
      </c>
      <c r="R2010" s="4" t="inlineStr">
        <is>
          <t>iPhone</t>
        </is>
      </c>
      <c r="S2010" s="4" t="inlineStr">
        <is>
          <t>B41</t>
        </is>
      </c>
      <c r="T2010" s="4" t="inlineStr">
        <is>
          <t>RAMP_1501_2500</t>
        </is>
      </c>
      <c r="U2010" s="4" t="inlineStr">
        <is>
          <t>CREATED</t>
        </is>
      </c>
      <c r="V2010" s="4" t="inlineStr">
        <is>
          <t>idem-20260902-ios-2009</t>
        </is>
      </c>
    </row>
    <row r="2011" ht="30" customHeight="1">
      <c r="A2011" s="4" t="n">
        <v>2010</v>
      </c>
      <c r="B2011" s="4" t="inlineStr">
        <is>
          <t>MTR-IOS-2010</t>
        </is>
      </c>
      <c r="C2011" s="4" t="inlineStr">
        <is>
          <t>Business</t>
        </is>
      </c>
      <c r="D2011" s="4" t="inlineStr">
        <is>
          <t>Business</t>
        </is>
      </c>
      <c r="E2011" s="4" t="inlineStr">
        <is>
          <t>Business Operations</t>
        </is>
      </c>
      <c r="F2011" s="4" t="inlineStr">
        <is>
          <t>Equipment</t>
        </is>
      </c>
      <c r="G2011" s="4" t="inlineStr">
        <is>
          <t>Expense</t>
        </is>
      </c>
      <c r="H2011" s="12" t="n">
        <v>45989</v>
      </c>
      <c r="I2011" s="13" t="n">
        <v>0.7886689814814815</v>
      </c>
      <c r="J2011" s="14" t="n">
        <v>45989.78866898148</v>
      </c>
      <c r="K2011" s="15" t="n">
        <v>75114.25</v>
      </c>
      <c r="L2011" s="4" t="inlineStr">
        <is>
          <t>INR</t>
        </is>
      </c>
      <c r="M2011" s="15" t="n">
        <v>-75114.25</v>
      </c>
      <c r="N2011" s="4" t="inlineStr">
        <is>
          <t>IOS Owner</t>
        </is>
      </c>
      <c r="O2011" s="4" t="n"/>
      <c r="P2011" s="4" t="n"/>
      <c r="Q2011" s="4" t="inlineStr">
        <is>
          <t>MAESTRO-IOS-BUSINESS-BUSINESS_OPERATIONS-2010 | Equipment | 75114.25</t>
        </is>
      </c>
      <c r="R2011" s="4" t="inlineStr">
        <is>
          <t>iPhone</t>
        </is>
      </c>
      <c r="S2011" s="4" t="inlineStr">
        <is>
          <t>B41</t>
        </is>
      </c>
      <c r="T2011" s="4" t="inlineStr">
        <is>
          <t>RAMP_1501_2500</t>
        </is>
      </c>
      <c r="U2011" s="4" t="inlineStr">
        <is>
          <t>CREATED</t>
        </is>
      </c>
      <c r="V2011" s="4" t="inlineStr">
        <is>
          <t>idem-20260902-ios-2010</t>
        </is>
      </c>
    </row>
    <row r="2012" ht="30" customHeight="1">
      <c r="A2012" s="4" t="n">
        <v>2011</v>
      </c>
      <c r="B2012" s="4" t="inlineStr">
        <is>
          <t>MTR-IOS-2011</t>
        </is>
      </c>
      <c r="C2012" s="4" t="inlineStr">
        <is>
          <t>Personal</t>
        </is>
      </c>
      <c r="D2012" s="4" t="inlineStr">
        <is>
          <t>Personal</t>
        </is>
      </c>
      <c r="E2012" s="4" t="inlineStr">
        <is>
          <t>Life Operations</t>
        </is>
      </c>
      <c r="F2012" s="4" t="inlineStr">
        <is>
          <t>Transport</t>
        </is>
      </c>
      <c r="G2012" s="4" t="inlineStr">
        <is>
          <t>Expense</t>
        </is>
      </c>
      <c r="H2012" s="12" t="n">
        <v>45956</v>
      </c>
      <c r="I2012" s="13" t="n">
        <v>0.2501041666666667</v>
      </c>
      <c r="J2012" s="14" t="n">
        <v>45956.25010416667</v>
      </c>
      <c r="K2012" s="15" t="n">
        <v>2583.07</v>
      </c>
      <c r="L2012" s="4" t="inlineStr">
        <is>
          <t>INR</t>
        </is>
      </c>
      <c r="M2012" s="15" t="n">
        <v>-2583.07</v>
      </c>
      <c r="N2012" s="4" t="inlineStr">
        <is>
          <t>IOS Owner</t>
        </is>
      </c>
      <c r="O2012" s="4" t="n"/>
      <c r="P2012" s="4" t="n"/>
      <c r="Q2012" s="4" t="inlineStr">
        <is>
          <t>MAESTRO-IOS-PERSONAL-LIFE_OPERATIONS-2011 | Transport | 2583.07</t>
        </is>
      </c>
      <c r="R2012" s="4" t="inlineStr">
        <is>
          <t>iPhone</t>
        </is>
      </c>
      <c r="S2012" s="4" t="inlineStr">
        <is>
          <t>B41</t>
        </is>
      </c>
      <c r="T2012" s="4" t="inlineStr">
        <is>
          <t>RAMP_1501_2500</t>
        </is>
      </c>
      <c r="U2012" s="4" t="inlineStr">
        <is>
          <t>CREATED</t>
        </is>
      </c>
      <c r="V2012" s="4" t="inlineStr">
        <is>
          <t>idem-20260902-ios-2011</t>
        </is>
      </c>
    </row>
    <row r="2013" ht="30" customHeight="1">
      <c r="A2013" s="4" t="n">
        <v>2012</v>
      </c>
      <c r="B2013" s="4" t="inlineStr">
        <is>
          <t>MTR-IOS-2012</t>
        </is>
      </c>
      <c r="C2013" s="4" t="inlineStr">
        <is>
          <t>Group</t>
        </is>
      </c>
      <c r="D2013" s="4" t="inlineStr">
        <is>
          <t>Shared Purchase</t>
        </is>
      </c>
      <c r="E2013" s="4" t="inlineStr">
        <is>
          <t>Assets</t>
        </is>
      </c>
      <c r="F2013" s="4" t="inlineStr">
        <is>
          <t>Purchase</t>
        </is>
      </c>
      <c r="G2013" s="4" t="inlineStr">
        <is>
          <t>Expense</t>
        </is>
      </c>
      <c r="H2013" s="12" t="n">
        <v>46228</v>
      </c>
      <c r="I2013" s="13" t="n">
        <v>0.7725810185185186</v>
      </c>
      <c r="J2013" s="14" t="n">
        <v>46228.77258101852</v>
      </c>
      <c r="K2013" s="15" t="n">
        <v>17303.32</v>
      </c>
      <c r="L2013" s="4" t="inlineStr">
        <is>
          <t>INR</t>
        </is>
      </c>
      <c r="M2013" s="15" t="n">
        <v>-17303.32</v>
      </c>
      <c r="N2013" s="4" t="inlineStr">
        <is>
          <t>IOS Aarav</t>
        </is>
      </c>
      <c r="O2013" s="4" t="n">
        <v>3</v>
      </c>
      <c r="P2013" s="4" t="inlineStr">
        <is>
          <t>EXACT</t>
        </is>
      </c>
      <c r="Q2013" s="4" t="inlineStr">
        <is>
          <t>MAESTRO-IOS-GROUP-ASSETS-2012 | Purchase | 17303.32</t>
        </is>
      </c>
      <c r="R2013" s="4" t="inlineStr">
        <is>
          <t>iPhone</t>
        </is>
      </c>
      <c r="S2013" s="4" t="inlineStr">
        <is>
          <t>B41</t>
        </is>
      </c>
      <c r="T2013" s="4" t="inlineStr">
        <is>
          <t>RAMP_1501_2500</t>
        </is>
      </c>
      <c r="U2013" s="4" t="inlineStr">
        <is>
          <t>CREATED</t>
        </is>
      </c>
      <c r="V2013" s="4" t="inlineStr">
        <is>
          <t>idem-20260902-ios-2012</t>
        </is>
      </c>
    </row>
    <row r="2014" ht="30" customHeight="1">
      <c r="A2014" s="4" t="n">
        <v>2013</v>
      </c>
      <c r="B2014" s="4" t="inlineStr">
        <is>
          <t>MTR-IOS-2013</t>
        </is>
      </c>
      <c r="C2014" s="4" t="inlineStr">
        <is>
          <t>Business</t>
        </is>
      </c>
      <c r="D2014" s="4" t="inlineStr">
        <is>
          <t>Business</t>
        </is>
      </c>
      <c r="E2014" s="4" t="inlineStr">
        <is>
          <t>Business Operations</t>
        </is>
      </c>
      <c r="F2014" s="4" t="inlineStr">
        <is>
          <t>Vendor</t>
        </is>
      </c>
      <c r="G2014" s="4" t="inlineStr">
        <is>
          <t>Expense</t>
        </is>
      </c>
      <c r="H2014" s="12" t="n">
        <v>46011</v>
      </c>
      <c r="I2014" s="13" t="n">
        <v>0.6904050925925926</v>
      </c>
      <c r="J2014" s="14" t="n">
        <v>46011.6904050926</v>
      </c>
      <c r="K2014" s="15" t="n">
        <v>108420.55</v>
      </c>
      <c r="L2014" s="4" t="inlineStr">
        <is>
          <t>INR</t>
        </is>
      </c>
      <c r="M2014" s="15" t="n">
        <v>-108420.55</v>
      </c>
      <c r="N2014" s="4" t="inlineStr">
        <is>
          <t>IOS Owner</t>
        </is>
      </c>
      <c r="O2014" s="4" t="n"/>
      <c r="P2014" s="4" t="n"/>
      <c r="Q2014" s="4" t="inlineStr">
        <is>
          <t>MAESTRO-IOS-BUSINESS-BUSINESS_OPERATIONS-2013 | Vendor | 108420.55</t>
        </is>
      </c>
      <c r="R2014" s="4" t="inlineStr">
        <is>
          <t>iPhone</t>
        </is>
      </c>
      <c r="S2014" s="4" t="inlineStr">
        <is>
          <t>B41</t>
        </is>
      </c>
      <c r="T2014" s="4" t="inlineStr">
        <is>
          <t>RAMP_1501_2500</t>
        </is>
      </c>
      <c r="U2014" s="4" t="inlineStr">
        <is>
          <t>CREATED</t>
        </is>
      </c>
      <c r="V2014" s="4" t="inlineStr">
        <is>
          <t>idem-20260902-ios-2013</t>
        </is>
      </c>
    </row>
    <row r="2015" ht="30" customHeight="1">
      <c r="A2015" s="4" t="n">
        <v>2014</v>
      </c>
      <c r="B2015" s="4" t="inlineStr">
        <is>
          <t>MTR-IOS-2014</t>
        </is>
      </c>
      <c r="C2015" s="4" t="inlineStr">
        <is>
          <t>Personal</t>
        </is>
      </c>
      <c r="D2015" s="4" t="inlineStr">
        <is>
          <t>Personal</t>
        </is>
      </c>
      <c r="E2015" s="4" t="inlineStr">
        <is>
          <t>Life Operations</t>
        </is>
      </c>
      <c r="F2015" s="4" t="inlineStr">
        <is>
          <t>Healthcare</t>
        </is>
      </c>
      <c r="G2015" s="4" t="inlineStr">
        <is>
          <t>Expense</t>
        </is>
      </c>
      <c r="H2015" s="12" t="n">
        <v>46069</v>
      </c>
      <c r="I2015" s="13" t="n">
        <v>0.2695486111111111</v>
      </c>
      <c r="J2015" s="14" t="n">
        <v>46069.26954861111</v>
      </c>
      <c r="K2015" s="15" t="n">
        <v>5356.91</v>
      </c>
      <c r="L2015" s="4" t="inlineStr">
        <is>
          <t>INR</t>
        </is>
      </c>
      <c r="M2015" s="15" t="n">
        <v>-5356.91</v>
      </c>
      <c r="N2015" s="4" t="inlineStr">
        <is>
          <t>IOS Owner</t>
        </is>
      </c>
      <c r="O2015" s="4" t="n"/>
      <c r="P2015" s="4" t="n"/>
      <c r="Q2015" s="4" t="inlineStr">
        <is>
          <t>MAESTRO-IOS-PERSONAL-LIFE_OPERATIONS-2014 | Healthcare | 5356.91</t>
        </is>
      </c>
      <c r="R2015" s="4" t="inlineStr">
        <is>
          <t>iPhone</t>
        </is>
      </c>
      <c r="S2015" s="4" t="inlineStr">
        <is>
          <t>B41</t>
        </is>
      </c>
      <c r="T2015" s="4" t="inlineStr">
        <is>
          <t>RAMP_1501_2500</t>
        </is>
      </c>
      <c r="U2015" s="4" t="inlineStr">
        <is>
          <t>CREATED</t>
        </is>
      </c>
      <c r="V2015" s="4" t="inlineStr">
        <is>
          <t>idem-20260902-ios-2014</t>
        </is>
      </c>
    </row>
    <row r="2016" ht="30" customHeight="1">
      <c r="A2016" s="4" t="n">
        <v>2015</v>
      </c>
      <c r="B2016" s="4" t="inlineStr">
        <is>
          <t>MTR-IOS-2015</t>
        </is>
      </c>
      <c r="C2016" s="4" t="inlineStr">
        <is>
          <t>Group</t>
        </is>
      </c>
      <c r="D2016" s="4" t="inlineStr">
        <is>
          <t>Shared Purchase</t>
        </is>
      </c>
      <c r="E2016" s="4" t="inlineStr">
        <is>
          <t>Assets</t>
        </is>
      </c>
      <c r="F2016" s="4" t="inlineStr">
        <is>
          <t>Maintenance</t>
        </is>
      </c>
      <c r="G2016" s="4" t="inlineStr">
        <is>
          <t>Expense</t>
        </is>
      </c>
      <c r="H2016" s="12" t="n">
        <v>46205</v>
      </c>
      <c r="I2016" s="13" t="n">
        <v>0.3892361111111111</v>
      </c>
      <c r="J2016" s="14" t="n">
        <v>46205.38923611111</v>
      </c>
      <c r="K2016" s="15" t="n">
        <v>6977.59</v>
      </c>
      <c r="L2016" s="4" t="inlineStr">
        <is>
          <t>INR</t>
        </is>
      </c>
      <c r="M2016" s="15" t="n">
        <v>-6977.59</v>
      </c>
      <c r="N2016" s="4" t="inlineStr">
        <is>
          <t>IOS Meera</t>
        </is>
      </c>
      <c r="O2016" s="4" t="n">
        <v>3</v>
      </c>
      <c r="P2016" s="4" t="inlineStr">
        <is>
          <t>SHARES</t>
        </is>
      </c>
      <c r="Q2016" s="4" t="inlineStr">
        <is>
          <t>MAESTRO-IOS-GROUP-ASSETS-2015 | Maintenance | 6977.59</t>
        </is>
      </c>
      <c r="R2016" s="4" t="inlineStr">
        <is>
          <t>iPhone</t>
        </is>
      </c>
      <c r="S2016" s="4" t="inlineStr">
        <is>
          <t>B41</t>
        </is>
      </c>
      <c r="T2016" s="4" t="inlineStr">
        <is>
          <t>RAMP_1501_2500</t>
        </is>
      </c>
      <c r="U2016" s="4" t="inlineStr">
        <is>
          <t>CREATED</t>
        </is>
      </c>
      <c r="V2016" s="4" t="inlineStr">
        <is>
          <t>idem-20260902-ios-2015</t>
        </is>
      </c>
    </row>
    <row r="2017" ht="30" customHeight="1">
      <c r="A2017" s="4" t="n">
        <v>2016</v>
      </c>
      <c r="B2017" s="4" t="inlineStr">
        <is>
          <t>MTR-IOS-2016</t>
        </is>
      </c>
      <c r="C2017" s="4" t="inlineStr">
        <is>
          <t>Business</t>
        </is>
      </c>
      <c r="D2017" s="4" t="inlineStr">
        <is>
          <t>Business</t>
        </is>
      </c>
      <c r="E2017" s="4" t="inlineStr">
        <is>
          <t>Business Operations</t>
        </is>
      </c>
      <c r="F2017" s="4" t="inlineStr">
        <is>
          <t>Tax</t>
        </is>
      </c>
      <c r="G2017" s="4" t="inlineStr">
        <is>
          <t>Expense</t>
        </is>
      </c>
      <c r="H2017" s="12" t="n">
        <v>46209</v>
      </c>
      <c r="I2017" s="13" t="n">
        <v>0.4078009259259259</v>
      </c>
      <c r="J2017" s="14" t="n">
        <v>46209.40780092592</v>
      </c>
      <c r="K2017" s="15" t="n">
        <v>158672.25</v>
      </c>
      <c r="L2017" s="4" t="inlineStr">
        <is>
          <t>INR</t>
        </is>
      </c>
      <c r="M2017" s="15" t="n">
        <v>-158672.25</v>
      </c>
      <c r="N2017" s="4" t="inlineStr">
        <is>
          <t>IOS Owner</t>
        </is>
      </c>
      <c r="O2017" s="4" t="n"/>
      <c r="P2017" s="4" t="n"/>
      <c r="Q2017" s="4" t="inlineStr">
        <is>
          <t>MAESTRO-IOS-BUSINESS-BUSINESS_OPERATIONS-2016 | Tax | 158672.25</t>
        </is>
      </c>
      <c r="R2017" s="4" t="inlineStr">
        <is>
          <t>iPhone</t>
        </is>
      </c>
      <c r="S2017" s="4" t="inlineStr">
        <is>
          <t>B41</t>
        </is>
      </c>
      <c r="T2017" s="4" t="inlineStr">
        <is>
          <t>RAMP_1501_2500</t>
        </is>
      </c>
      <c r="U2017" s="4" t="inlineStr">
        <is>
          <t>CREATED</t>
        </is>
      </c>
      <c r="V2017" s="4" t="inlineStr">
        <is>
          <t>idem-20260902-ios-2016</t>
        </is>
      </c>
    </row>
    <row r="2018" ht="30" customHeight="1">
      <c r="A2018" s="4" t="n">
        <v>2017</v>
      </c>
      <c r="B2018" s="4" t="inlineStr">
        <is>
          <t>MTR-IOS-2017</t>
        </is>
      </c>
      <c r="C2018" s="4" t="inlineStr">
        <is>
          <t>Personal</t>
        </is>
      </c>
      <c r="D2018" s="4" t="inlineStr">
        <is>
          <t>Personal</t>
        </is>
      </c>
      <c r="E2018" s="4" t="inlineStr">
        <is>
          <t>Life Operations</t>
        </is>
      </c>
      <c r="F2018" s="4" t="inlineStr">
        <is>
          <t>Subscriptions</t>
        </is>
      </c>
      <c r="G2018" s="4" t="inlineStr">
        <is>
          <t>Expense</t>
        </is>
      </c>
      <c r="H2018" s="12" t="n">
        <v>45928</v>
      </c>
      <c r="I2018" s="13" t="n">
        <v>0.2023148148148148</v>
      </c>
      <c r="J2018" s="14" t="n">
        <v>45928.20231481481</v>
      </c>
      <c r="K2018" s="15" t="n">
        <v>13575.45</v>
      </c>
      <c r="L2018" s="4" t="inlineStr">
        <is>
          <t>INR</t>
        </is>
      </c>
      <c r="M2018" s="15" t="n">
        <v>-13575.45</v>
      </c>
      <c r="N2018" s="4" t="inlineStr">
        <is>
          <t>IOS Owner</t>
        </is>
      </c>
      <c r="O2018" s="4" t="n"/>
      <c r="P2018" s="4" t="n"/>
      <c r="Q2018" s="4" t="inlineStr">
        <is>
          <t>MAESTRO-IOS-PERSONAL-LIFE_OPERATIONS-2017 | Subscriptions | 13575.45</t>
        </is>
      </c>
      <c r="R2018" s="4" t="inlineStr">
        <is>
          <t>iPhone</t>
        </is>
      </c>
      <c r="S2018" s="4" t="inlineStr">
        <is>
          <t>B41</t>
        </is>
      </c>
      <c r="T2018" s="4" t="inlineStr">
        <is>
          <t>RAMP_1501_2500</t>
        </is>
      </c>
      <c r="U2018" s="4" t="inlineStr">
        <is>
          <t>CREATED</t>
        </is>
      </c>
      <c r="V2018" s="4" t="inlineStr">
        <is>
          <t>idem-20260902-ios-2017</t>
        </is>
      </c>
    </row>
    <row r="2019" ht="30" customHeight="1">
      <c r="A2019" s="4" t="n">
        <v>2018</v>
      </c>
      <c r="B2019" s="4" t="inlineStr">
        <is>
          <t>MTR-IOS-2018</t>
        </is>
      </c>
      <c r="C2019" s="4" t="inlineStr">
        <is>
          <t>Group</t>
        </is>
      </c>
      <c r="D2019" s="4" t="inlineStr">
        <is>
          <t>Shared Purchase</t>
        </is>
      </c>
      <c r="E2019" s="4" t="inlineStr">
        <is>
          <t>Assets</t>
        </is>
      </c>
      <c r="F2019" s="4" t="inlineStr">
        <is>
          <t>Repair</t>
        </is>
      </c>
      <c r="G2019" s="4" t="inlineStr">
        <is>
          <t>Expense</t>
        </is>
      </c>
      <c r="H2019" s="12" t="n">
        <v>46234</v>
      </c>
      <c r="I2019" s="13" t="n">
        <v>0.6670023148148149</v>
      </c>
      <c r="J2019" s="14" t="n">
        <v>46234.66700231482</v>
      </c>
      <c r="K2019" s="15" t="n">
        <v>15893.49</v>
      </c>
      <c r="L2019" s="4" t="inlineStr">
        <is>
          <t>INR</t>
        </is>
      </c>
      <c r="M2019" s="15" t="n">
        <v>-15893.49</v>
      </c>
      <c r="N2019" s="4" t="inlineStr">
        <is>
          <t>IOS Owner</t>
        </is>
      </c>
      <c r="O2019" s="4" t="n">
        <v>3</v>
      </c>
      <c r="P2019" s="4" t="inlineStr">
        <is>
          <t>EQUAL</t>
        </is>
      </c>
      <c r="Q2019" s="4" t="inlineStr">
        <is>
          <t>MAESTRO-IOS-GROUP-ASSETS-2018 | Repair | 15893.49</t>
        </is>
      </c>
      <c r="R2019" s="4" t="inlineStr">
        <is>
          <t>iPhone</t>
        </is>
      </c>
      <c r="S2019" s="4" t="inlineStr">
        <is>
          <t>B41</t>
        </is>
      </c>
      <c r="T2019" s="4" t="inlineStr">
        <is>
          <t>RAMP_1501_2500</t>
        </is>
      </c>
      <c r="U2019" s="4" t="inlineStr">
        <is>
          <t>CREATED</t>
        </is>
      </c>
      <c r="V2019" s="4" t="inlineStr">
        <is>
          <t>idem-20260902-ios-2018</t>
        </is>
      </c>
    </row>
    <row r="2020" ht="30" customHeight="1">
      <c r="A2020" s="4" t="n">
        <v>2019</v>
      </c>
      <c r="B2020" s="4" t="inlineStr">
        <is>
          <t>MTR-IOS-2019</t>
        </is>
      </c>
      <c r="C2020" s="4" t="inlineStr">
        <is>
          <t>Business</t>
        </is>
      </c>
      <c r="D2020" s="4" t="inlineStr">
        <is>
          <t>Business</t>
        </is>
      </c>
      <c r="E2020" s="4" t="inlineStr">
        <is>
          <t>Team Operations</t>
        </is>
      </c>
      <c r="F2020" s="4" t="inlineStr">
        <is>
          <t>Payroll</t>
        </is>
      </c>
      <c r="G2020" s="4" t="inlineStr">
        <is>
          <t>Expense</t>
        </is>
      </c>
      <c r="H2020" s="12" t="n">
        <v>46074</v>
      </c>
      <c r="I2020" s="13" t="n">
        <v>0.5900925925925926</v>
      </c>
      <c r="J2020" s="14" t="n">
        <v>46074.5900925926</v>
      </c>
      <c r="K2020" s="15" t="n">
        <v>78626.94</v>
      </c>
      <c r="L2020" s="4" t="inlineStr">
        <is>
          <t>INR</t>
        </is>
      </c>
      <c r="M2020" s="15" t="n">
        <v>-78626.94</v>
      </c>
      <c r="N2020" s="4" t="inlineStr">
        <is>
          <t>IOS Owner</t>
        </is>
      </c>
      <c r="O2020" s="4" t="n"/>
      <c r="P2020" s="4" t="n"/>
      <c r="Q2020" s="4" t="inlineStr">
        <is>
          <t>MAESTRO-IOS-BUSINESS-TEAM_OPERATIONS-2019 | Payroll | 78626.94</t>
        </is>
      </c>
      <c r="R2020" s="4" t="inlineStr">
        <is>
          <t>iPhone</t>
        </is>
      </c>
      <c r="S2020" s="4" t="inlineStr">
        <is>
          <t>B41</t>
        </is>
      </c>
      <c r="T2020" s="4" t="inlineStr">
        <is>
          <t>RAMP_1501_2500</t>
        </is>
      </c>
      <c r="U2020" s="4" t="inlineStr">
        <is>
          <t>CREATED</t>
        </is>
      </c>
      <c r="V2020" s="4" t="inlineStr">
        <is>
          <t>idem-20260902-ios-2019</t>
        </is>
      </c>
    </row>
    <row r="2021" ht="30" customHeight="1">
      <c r="A2021" s="4" t="n">
        <v>2020</v>
      </c>
      <c r="B2021" s="4" t="inlineStr">
        <is>
          <t>MTR-IOS-2020</t>
        </is>
      </c>
      <c r="C2021" s="4" t="inlineStr">
        <is>
          <t>Personal</t>
        </is>
      </c>
      <c r="D2021" s="4" t="inlineStr">
        <is>
          <t>Personal</t>
        </is>
      </c>
      <c r="E2021" s="4" t="inlineStr">
        <is>
          <t>Life Operations</t>
        </is>
      </c>
      <c r="F2021" s="4" t="inlineStr">
        <is>
          <t>Repairs</t>
        </is>
      </c>
      <c r="G2021" s="4" t="inlineStr">
        <is>
          <t>Expense</t>
        </is>
      </c>
      <c r="H2021" s="12" t="n">
        <v>46165</v>
      </c>
      <c r="I2021" s="13" t="n">
        <v>0.4637731481481481</v>
      </c>
      <c r="J2021" s="14" t="n">
        <v>46165.46377314815</v>
      </c>
      <c r="K2021" s="15" t="n">
        <v>17065.18</v>
      </c>
      <c r="L2021" s="4" t="inlineStr">
        <is>
          <t>INR</t>
        </is>
      </c>
      <c r="M2021" s="15" t="n">
        <v>-17065.18</v>
      </c>
      <c r="N2021" s="4" t="inlineStr">
        <is>
          <t>IOS Owner</t>
        </is>
      </c>
      <c r="O2021" s="4" t="n"/>
      <c r="P2021" s="4" t="n"/>
      <c r="Q2021" s="4" t="inlineStr">
        <is>
          <t>MAESTRO-IOS-PERSONAL-LIFE_OPERATIONS-2020 | Repairs | 17065.18</t>
        </is>
      </c>
      <c r="R2021" s="4" t="inlineStr">
        <is>
          <t>iPhone</t>
        </is>
      </c>
      <c r="S2021" s="4" t="inlineStr">
        <is>
          <t>B41</t>
        </is>
      </c>
      <c r="T2021" s="4" t="inlineStr">
        <is>
          <t>RAMP_1501_2500</t>
        </is>
      </c>
      <c r="U2021" s="4" t="inlineStr">
        <is>
          <t>CREATED</t>
        </is>
      </c>
      <c r="V2021" s="4" t="inlineStr">
        <is>
          <t>idem-20260902-ios-2020</t>
        </is>
      </c>
    </row>
    <row r="2022" ht="30" customHeight="1">
      <c r="A2022" s="4" t="n">
        <v>2021</v>
      </c>
      <c r="B2022" s="4" t="inlineStr">
        <is>
          <t>MTR-IOS-2021</t>
        </is>
      </c>
      <c r="C2022" s="4" t="inlineStr">
        <is>
          <t>Group</t>
        </is>
      </c>
      <c r="D2022" s="4" t="inlineStr">
        <is>
          <t>Shared Purchase</t>
        </is>
      </c>
      <c r="E2022" s="4" t="inlineStr">
        <is>
          <t>Assets</t>
        </is>
      </c>
      <c r="F2022" s="4" t="inlineStr">
        <is>
          <t>Insurance</t>
        </is>
      </c>
      <c r="G2022" s="4" t="inlineStr">
        <is>
          <t>Expense</t>
        </is>
      </c>
      <c r="H2022" s="12" t="n">
        <v>46104</v>
      </c>
      <c r="I2022" s="13" t="n">
        <v>0.06822916666666666</v>
      </c>
      <c r="J2022" s="14" t="n">
        <v>46104.06822916667</v>
      </c>
      <c r="K2022" s="15" t="n">
        <v>9436.26</v>
      </c>
      <c r="L2022" s="4" t="inlineStr">
        <is>
          <t>INR</t>
        </is>
      </c>
      <c r="M2022" s="15" t="n">
        <v>-9436.26</v>
      </c>
      <c r="N2022" s="4" t="inlineStr">
        <is>
          <t>IOS Aarav</t>
        </is>
      </c>
      <c r="O2022" s="4" t="n">
        <v>3</v>
      </c>
      <c r="P2022" s="4" t="inlineStr">
        <is>
          <t>PERCENTAGE</t>
        </is>
      </c>
      <c r="Q2022" s="4" t="inlineStr">
        <is>
          <t>MAESTRO-IOS-GROUP-ASSETS-2021 | Insurance | 9436.26</t>
        </is>
      </c>
      <c r="R2022" s="4" t="inlineStr">
        <is>
          <t>iPhone</t>
        </is>
      </c>
      <c r="S2022" s="4" t="inlineStr">
        <is>
          <t>B41</t>
        </is>
      </c>
      <c r="T2022" s="4" t="inlineStr">
        <is>
          <t>RAMP_1501_2500</t>
        </is>
      </c>
      <c r="U2022" s="4" t="inlineStr">
        <is>
          <t>CREATED</t>
        </is>
      </c>
      <c r="V2022" s="4" t="inlineStr">
        <is>
          <t>idem-20260902-ios-2021</t>
        </is>
      </c>
    </row>
    <row r="2023" ht="30" customHeight="1">
      <c r="A2023" s="4" t="n">
        <v>2022</v>
      </c>
      <c r="B2023" s="4" t="inlineStr">
        <is>
          <t>MTR-IOS-2022</t>
        </is>
      </c>
      <c r="C2023" s="4" t="inlineStr">
        <is>
          <t>Business</t>
        </is>
      </c>
      <c r="D2023" s="4" t="inlineStr">
        <is>
          <t>Business</t>
        </is>
      </c>
      <c r="E2023" s="4" t="inlineStr">
        <is>
          <t>Team Operations</t>
        </is>
      </c>
      <c r="F2023" s="4" t="inlineStr">
        <is>
          <t>Contractor</t>
        </is>
      </c>
      <c r="G2023" s="4" t="inlineStr">
        <is>
          <t>Expense</t>
        </is>
      </c>
      <c r="H2023" s="12" t="n">
        <v>46007</v>
      </c>
      <c r="I2023" s="13" t="n">
        <v>0.7832870370370371</v>
      </c>
      <c r="J2023" s="14" t="n">
        <v>46007.78328703704</v>
      </c>
      <c r="K2023" s="15" t="n">
        <v>64510.32</v>
      </c>
      <c r="L2023" s="4" t="inlineStr">
        <is>
          <t>INR</t>
        </is>
      </c>
      <c r="M2023" s="15" t="n">
        <v>-64510.32</v>
      </c>
      <c r="N2023" s="4" t="inlineStr">
        <is>
          <t>IOS Owner</t>
        </is>
      </c>
      <c r="O2023" s="4" t="n"/>
      <c r="P2023" s="4" t="n"/>
      <c r="Q2023" s="4" t="inlineStr">
        <is>
          <t>MAESTRO-IOS-BUSINESS-TEAM_OPERATIONS-2022 | Contractor | 64510.32</t>
        </is>
      </c>
      <c r="R2023" s="4" t="inlineStr">
        <is>
          <t>iPhone</t>
        </is>
      </c>
      <c r="S2023" s="4" t="inlineStr">
        <is>
          <t>B41</t>
        </is>
      </c>
      <c r="T2023" s="4" t="inlineStr">
        <is>
          <t>RAMP_1501_2500</t>
        </is>
      </c>
      <c r="U2023" s="4" t="inlineStr">
        <is>
          <t>CREATED</t>
        </is>
      </c>
      <c r="V2023" s="4" t="inlineStr">
        <is>
          <t>idem-20260902-ios-2022</t>
        </is>
      </c>
    </row>
    <row r="2024" ht="30" customHeight="1">
      <c r="A2024" s="4" t="n">
        <v>2023</v>
      </c>
      <c r="B2024" s="4" t="inlineStr">
        <is>
          <t>MTR-IOS-2023</t>
        </is>
      </c>
      <c r="C2024" s="4" t="inlineStr">
        <is>
          <t>Personal</t>
        </is>
      </c>
      <c r="D2024" s="4" t="inlineStr">
        <is>
          <t>Personal</t>
        </is>
      </c>
      <c r="E2024" s="4" t="inlineStr">
        <is>
          <t>Future Building</t>
        </is>
      </c>
      <c r="F2024" s="4" t="inlineStr">
        <is>
          <t>Savings</t>
        </is>
      </c>
      <c r="G2024" s="4" t="inlineStr">
        <is>
          <t>Transfer</t>
        </is>
      </c>
      <c r="H2024" s="12" t="n">
        <v>46069</v>
      </c>
      <c r="I2024" s="13" t="n">
        <v>0.6390625</v>
      </c>
      <c r="J2024" s="14" t="n">
        <v>46069.6390625</v>
      </c>
      <c r="K2024" s="15" t="n">
        <v>3826.05</v>
      </c>
      <c r="L2024" s="4" t="inlineStr">
        <is>
          <t>INR</t>
        </is>
      </c>
      <c r="M2024" s="15" t="n">
        <v>0</v>
      </c>
      <c r="N2024" s="4" t="inlineStr">
        <is>
          <t>IOS Owner</t>
        </is>
      </c>
      <c r="O2024" s="4" t="n"/>
      <c r="P2024" s="4" t="n"/>
      <c r="Q2024" s="4" t="inlineStr">
        <is>
          <t>MAESTRO-IOS-PERSONAL-FUTURE_BUILDING-2023 | Savings | 3826.05</t>
        </is>
      </c>
      <c r="R2024" s="4" t="inlineStr">
        <is>
          <t>iPhone</t>
        </is>
      </c>
      <c r="S2024" s="4" t="inlineStr">
        <is>
          <t>B41</t>
        </is>
      </c>
      <c r="T2024" s="4" t="inlineStr">
        <is>
          <t>RAMP_1501_2500</t>
        </is>
      </c>
      <c r="U2024" s="4" t="inlineStr">
        <is>
          <t>CREATED</t>
        </is>
      </c>
      <c r="V2024" s="4" t="inlineStr">
        <is>
          <t>idem-20260902-ios-2023</t>
        </is>
      </c>
    </row>
    <row r="2025" ht="30" customHeight="1">
      <c r="A2025" s="4" t="n">
        <v>2024</v>
      </c>
      <c r="B2025" s="4" t="inlineStr">
        <is>
          <t>MTR-IOS-2024</t>
        </is>
      </c>
      <c r="C2025" s="4" t="inlineStr">
        <is>
          <t>Group</t>
        </is>
      </c>
      <c r="D2025" s="4" t="inlineStr">
        <is>
          <t>Shared Purchase</t>
        </is>
      </c>
      <c r="E2025" s="4" t="inlineStr">
        <is>
          <t>Assets</t>
        </is>
      </c>
      <c r="F2025" s="4" t="inlineStr">
        <is>
          <t>Other</t>
        </is>
      </c>
      <c r="G2025" s="4" t="inlineStr">
        <is>
          <t>Expense</t>
        </is>
      </c>
      <c r="H2025" s="12" t="n">
        <v>46074</v>
      </c>
      <c r="I2025" s="13" t="n">
        <v>0.5437847222222222</v>
      </c>
      <c r="J2025" s="14" t="n">
        <v>46074.54378472222</v>
      </c>
      <c r="K2025" s="15" t="n">
        <v>11990.41</v>
      </c>
      <c r="L2025" s="4" t="inlineStr">
        <is>
          <t>INR</t>
        </is>
      </c>
      <c r="M2025" s="15" t="n">
        <v>-11990.41</v>
      </c>
      <c r="N2025" s="4" t="inlineStr">
        <is>
          <t>IOS Meera</t>
        </is>
      </c>
      <c r="O2025" s="4" t="n">
        <v>3</v>
      </c>
      <c r="P2025" s="4" t="inlineStr">
        <is>
          <t>EXACT</t>
        </is>
      </c>
      <c r="Q2025" s="4" t="inlineStr">
        <is>
          <t>MAESTRO-IOS-GROUP-ASSETS-2024 | Other | 11990.41</t>
        </is>
      </c>
      <c r="R2025" s="4" t="inlineStr">
        <is>
          <t>iPhone</t>
        </is>
      </c>
      <c r="S2025" s="4" t="inlineStr">
        <is>
          <t>B41</t>
        </is>
      </c>
      <c r="T2025" s="4" t="inlineStr">
        <is>
          <t>RAMP_1501_2500</t>
        </is>
      </c>
      <c r="U2025" s="4" t="inlineStr">
        <is>
          <t>CREATED</t>
        </is>
      </c>
      <c r="V2025" s="4" t="inlineStr">
        <is>
          <t>idem-20260902-ios-2024</t>
        </is>
      </c>
    </row>
    <row r="2026" ht="30" customHeight="1">
      <c r="A2026" s="4" t="n">
        <v>2025</v>
      </c>
      <c r="B2026" s="4" t="inlineStr">
        <is>
          <t>MTR-IOS-2025</t>
        </is>
      </c>
      <c r="C2026" s="4" t="inlineStr">
        <is>
          <t>Business</t>
        </is>
      </c>
      <c r="D2026" s="4" t="inlineStr">
        <is>
          <t>Business</t>
        </is>
      </c>
      <c r="E2026" s="4" t="inlineStr">
        <is>
          <t>Team Operations</t>
        </is>
      </c>
      <c r="F2026" s="4" t="inlineStr">
        <is>
          <t>Hiring</t>
        </is>
      </c>
      <c r="G2026" s="4" t="inlineStr">
        <is>
          <t>Expense</t>
        </is>
      </c>
      <c r="H2026" s="12" t="n">
        <v>46144</v>
      </c>
      <c r="I2026" s="13" t="n">
        <v>0.8487268518518518</v>
      </c>
      <c r="J2026" s="14" t="n">
        <v>46144.84872685185</v>
      </c>
      <c r="K2026" s="15" t="n">
        <v>122136.85</v>
      </c>
      <c r="L2026" s="4" t="inlineStr">
        <is>
          <t>INR</t>
        </is>
      </c>
      <c r="M2026" s="15" t="n">
        <v>-122136.85</v>
      </c>
      <c r="N2026" s="4" t="inlineStr">
        <is>
          <t>IOS Owner</t>
        </is>
      </c>
      <c r="O2026" s="4" t="n"/>
      <c r="P2026" s="4" t="n"/>
      <c r="Q2026" s="4" t="inlineStr">
        <is>
          <t>MAESTRO-IOS-BUSINESS-TEAM_OPERATIONS-2025 | Hiring | 122136.85</t>
        </is>
      </c>
      <c r="R2026" s="4" t="inlineStr">
        <is>
          <t>iPhone</t>
        </is>
      </c>
      <c r="S2026" s="4" t="inlineStr">
        <is>
          <t>B41</t>
        </is>
      </c>
      <c r="T2026" s="4" t="inlineStr">
        <is>
          <t>RAMP_1501_2500</t>
        </is>
      </c>
      <c r="U2026" s="4" t="inlineStr">
        <is>
          <t>CREATED</t>
        </is>
      </c>
      <c r="V2026" s="4" t="inlineStr">
        <is>
          <t>idem-20260902-ios-2025</t>
        </is>
      </c>
    </row>
    <row r="2027" ht="30" customHeight="1">
      <c r="A2027" s="4" t="n">
        <v>2026</v>
      </c>
      <c r="B2027" s="4" t="inlineStr">
        <is>
          <t>MTR-IOS-2026</t>
        </is>
      </c>
      <c r="C2027" s="4" t="inlineStr">
        <is>
          <t>Personal</t>
        </is>
      </c>
      <c r="D2027" s="4" t="inlineStr">
        <is>
          <t>Personal</t>
        </is>
      </c>
      <c r="E2027" s="4" t="inlineStr">
        <is>
          <t>Future Building</t>
        </is>
      </c>
      <c r="F2027" s="4" t="inlineStr">
        <is>
          <t>Emergency Fund</t>
        </is>
      </c>
      <c r="G2027" s="4" t="inlineStr">
        <is>
          <t>Transfer</t>
        </is>
      </c>
      <c r="H2027" s="12" t="n">
        <v>46143</v>
      </c>
      <c r="I2027" s="13" t="n">
        <v>0.5350694444444445</v>
      </c>
      <c r="J2027" s="14" t="n">
        <v>46143.53506944444</v>
      </c>
      <c r="K2027" s="15" t="n">
        <v>5262.56</v>
      </c>
      <c r="L2027" s="4" t="inlineStr">
        <is>
          <t>INR</t>
        </is>
      </c>
      <c r="M2027" s="15" t="n">
        <v>0</v>
      </c>
      <c r="N2027" s="4" t="inlineStr">
        <is>
          <t>IOS Owner</t>
        </is>
      </c>
      <c r="O2027" s="4" t="n"/>
      <c r="P2027" s="4" t="n"/>
      <c r="Q2027" s="4" t="inlineStr">
        <is>
          <t>MAESTRO-IOS-PERSONAL-FUTURE_BUILDING-2026 | Emergency Fund | 5262.56</t>
        </is>
      </c>
      <c r="R2027" s="4" t="inlineStr">
        <is>
          <t>iPhone</t>
        </is>
      </c>
      <c r="S2027" s="4" t="inlineStr">
        <is>
          <t>B41</t>
        </is>
      </c>
      <c r="T2027" s="4" t="inlineStr">
        <is>
          <t>RAMP_1501_2500</t>
        </is>
      </c>
      <c r="U2027" s="4" t="inlineStr">
        <is>
          <t>CREATED</t>
        </is>
      </c>
      <c r="V2027" s="4" t="inlineStr">
        <is>
          <t>idem-20260902-ios-2026</t>
        </is>
      </c>
    </row>
    <row r="2028" ht="30" customHeight="1">
      <c r="A2028" s="4" t="n">
        <v>2027</v>
      </c>
      <c r="B2028" s="4" t="inlineStr">
        <is>
          <t>MTR-IOS-2027</t>
        </is>
      </c>
      <c r="C2028" s="4" t="inlineStr">
        <is>
          <t>Group</t>
        </is>
      </c>
      <c r="D2028" s="4" t="inlineStr">
        <is>
          <t>Shared Purchase</t>
        </is>
      </c>
      <c r="E2028" s="4" t="inlineStr">
        <is>
          <t>Custom Purchase</t>
        </is>
      </c>
      <c r="F2028" s="4" t="inlineStr">
        <is>
          <t>Custom Expense</t>
        </is>
      </c>
      <c r="G2028" s="4" t="inlineStr">
        <is>
          <t>Expense</t>
        </is>
      </c>
      <c r="H2028" s="12" t="n">
        <v>45926</v>
      </c>
      <c r="I2028" s="13" t="n">
        <v>0.09515046296296296</v>
      </c>
      <c r="J2028" s="14" t="n">
        <v>45926.09515046296</v>
      </c>
      <c r="K2028" s="15" t="n">
        <v>7059.72</v>
      </c>
      <c r="L2028" s="4" t="inlineStr">
        <is>
          <t>INR</t>
        </is>
      </c>
      <c r="M2028" s="15" t="n">
        <v>-7059.72</v>
      </c>
      <c r="N2028" s="4" t="inlineStr">
        <is>
          <t>IOS Owner</t>
        </is>
      </c>
      <c r="O2028" s="4" t="n">
        <v>3</v>
      </c>
      <c r="P2028" s="4" t="inlineStr">
        <is>
          <t>SHARES</t>
        </is>
      </c>
      <c r="Q2028" s="4" t="inlineStr">
        <is>
          <t>MAESTRO-IOS-GROUP-CUSTOM_PURCHASE-2027 | Custom Expense | 7059.72</t>
        </is>
      </c>
      <c r="R2028" s="4" t="inlineStr">
        <is>
          <t>iPhone</t>
        </is>
      </c>
      <c r="S2028" s="4" t="inlineStr">
        <is>
          <t>B41</t>
        </is>
      </c>
      <c r="T2028" s="4" t="inlineStr">
        <is>
          <t>RAMP_1501_2500</t>
        </is>
      </c>
      <c r="U2028" s="4" t="inlineStr">
        <is>
          <t>CREATED</t>
        </is>
      </c>
      <c r="V2028" s="4" t="inlineStr">
        <is>
          <t>idem-20260902-ios-2027</t>
        </is>
      </c>
    </row>
    <row r="2029" ht="30" customHeight="1">
      <c r="A2029" s="4" t="n">
        <v>2028</v>
      </c>
      <c r="B2029" s="4" t="inlineStr">
        <is>
          <t>MTR-IOS-2028</t>
        </is>
      </c>
      <c r="C2029" s="4" t="inlineStr">
        <is>
          <t>Business</t>
        </is>
      </c>
      <c r="D2029" s="4" t="inlineStr">
        <is>
          <t>Business</t>
        </is>
      </c>
      <c r="E2029" s="4" t="inlineStr">
        <is>
          <t>Team Operations</t>
        </is>
      </c>
      <c r="F2029" s="4" t="inlineStr">
        <is>
          <t>Team Meal</t>
        </is>
      </c>
      <c r="G2029" s="4" t="inlineStr">
        <is>
          <t>Expense</t>
        </is>
      </c>
      <c r="H2029" s="12" t="n">
        <v>45945</v>
      </c>
      <c r="I2029" s="13" t="n">
        <v>0.4209837962962963</v>
      </c>
      <c r="J2029" s="14" t="n">
        <v>45945.4209837963</v>
      </c>
      <c r="K2029" s="15" t="n">
        <v>113639.95</v>
      </c>
      <c r="L2029" s="4" t="inlineStr">
        <is>
          <t>INR</t>
        </is>
      </c>
      <c r="M2029" s="15" t="n">
        <v>-113639.95</v>
      </c>
      <c r="N2029" s="4" t="inlineStr">
        <is>
          <t>IOS Owner</t>
        </is>
      </c>
      <c r="O2029" s="4" t="n"/>
      <c r="P2029" s="4" t="n"/>
      <c r="Q2029" s="4" t="inlineStr">
        <is>
          <t>MAESTRO-IOS-BUSINESS-TEAM_OPERATIONS-2028 | Team Meal | 113639.95</t>
        </is>
      </c>
      <c r="R2029" s="4" t="inlineStr">
        <is>
          <t>iPhone</t>
        </is>
      </c>
      <c r="S2029" s="4" t="inlineStr">
        <is>
          <t>B41</t>
        </is>
      </c>
      <c r="T2029" s="4" t="inlineStr">
        <is>
          <t>RAMP_1501_2500</t>
        </is>
      </c>
      <c r="U2029" s="4" t="inlineStr">
        <is>
          <t>CREATED</t>
        </is>
      </c>
      <c r="V2029" s="4" t="inlineStr">
        <is>
          <t>idem-20260902-ios-2028</t>
        </is>
      </c>
    </row>
    <row r="2030" ht="30" customHeight="1">
      <c r="A2030" s="4" t="n">
        <v>2029</v>
      </c>
      <c r="B2030" s="4" t="inlineStr">
        <is>
          <t>MTR-IOS-2029</t>
        </is>
      </c>
      <c r="C2030" s="4" t="inlineStr">
        <is>
          <t>Personal</t>
        </is>
      </c>
      <c r="D2030" s="4" t="inlineStr">
        <is>
          <t>Personal</t>
        </is>
      </c>
      <c r="E2030" s="4" t="inlineStr">
        <is>
          <t>Future Building</t>
        </is>
      </c>
      <c r="F2030" s="4" t="inlineStr">
        <is>
          <t>Investments</t>
        </is>
      </c>
      <c r="G2030" s="4" t="inlineStr">
        <is>
          <t>Investment</t>
        </is>
      </c>
      <c r="H2030" s="12" t="n">
        <v>46070</v>
      </c>
      <c r="I2030" s="13" t="n">
        <v>0.6603703703703704</v>
      </c>
      <c r="J2030" s="14" t="n">
        <v>46070.66037037037</v>
      </c>
      <c r="K2030" s="15" t="n">
        <v>16698.55</v>
      </c>
      <c r="L2030" s="4" t="inlineStr">
        <is>
          <t>INR</t>
        </is>
      </c>
      <c r="M2030" s="15" t="n">
        <v>0</v>
      </c>
      <c r="N2030" s="4" t="inlineStr">
        <is>
          <t>IOS Owner</t>
        </is>
      </c>
      <c r="O2030" s="4" t="n"/>
      <c r="P2030" s="4" t="n"/>
      <c r="Q2030" s="4" t="inlineStr">
        <is>
          <t>MAESTRO-IOS-PERSONAL-FUTURE_BUILDING-2029 | Investments | 16698.55</t>
        </is>
      </c>
      <c r="R2030" s="4" t="inlineStr">
        <is>
          <t>iPhone</t>
        </is>
      </c>
      <c r="S2030" s="4" t="inlineStr">
        <is>
          <t>B41</t>
        </is>
      </c>
      <c r="T2030" s="4" t="inlineStr">
        <is>
          <t>RAMP_1501_2500</t>
        </is>
      </c>
      <c r="U2030" s="4" t="inlineStr">
        <is>
          <t>CREATED</t>
        </is>
      </c>
      <c r="V2030" s="4" t="inlineStr">
        <is>
          <t>idem-20260902-ios-2029</t>
        </is>
      </c>
    </row>
    <row r="2031" ht="30" customHeight="1">
      <c r="A2031" s="4" t="n">
        <v>2030</v>
      </c>
      <c r="B2031" s="4" t="inlineStr">
        <is>
          <t>MTR-IOS-2030</t>
        </is>
      </c>
      <c r="C2031" s="4" t="inlineStr">
        <is>
          <t>Group</t>
        </is>
      </c>
      <c r="D2031" s="4" t="inlineStr">
        <is>
          <t>Shared Purchase</t>
        </is>
      </c>
      <c r="E2031" s="4" t="inlineStr">
        <is>
          <t>Custom Purchase</t>
        </is>
      </c>
      <c r="F2031" s="4" t="inlineStr">
        <is>
          <t>Custom Contribution</t>
        </is>
      </c>
      <c r="G2031" s="4" t="inlineStr">
        <is>
          <t>Contribution</t>
        </is>
      </c>
      <c r="H2031" s="12" t="n">
        <v>45993</v>
      </c>
      <c r="I2031" s="13" t="n">
        <v>0.6849189814814814</v>
      </c>
      <c r="J2031" s="14" t="n">
        <v>45993.68491898148</v>
      </c>
      <c r="K2031" s="15" t="n">
        <v>3539.58</v>
      </c>
      <c r="L2031" s="4" t="inlineStr">
        <is>
          <t>INR</t>
        </is>
      </c>
      <c r="M2031" s="15" t="n">
        <v>3539.58</v>
      </c>
      <c r="N2031" s="4" t="inlineStr">
        <is>
          <t>IOS Aarav</t>
        </is>
      </c>
      <c r="O2031" s="4" t="n">
        <v>3</v>
      </c>
      <c r="P2031" s="4" t="inlineStr">
        <is>
          <t>EQUAL</t>
        </is>
      </c>
      <c r="Q2031" s="4" t="inlineStr">
        <is>
          <t>MAESTRO-IOS-GROUP-CUSTOM_PURCHASE-2030 | Custom Contribution | 3539.58</t>
        </is>
      </c>
      <c r="R2031" s="4" t="inlineStr">
        <is>
          <t>iPhone</t>
        </is>
      </c>
      <c r="S2031" s="4" t="inlineStr">
        <is>
          <t>B41</t>
        </is>
      </c>
      <c r="T2031" s="4" t="inlineStr">
        <is>
          <t>RAMP_1501_2500</t>
        </is>
      </c>
      <c r="U2031" s="4" t="inlineStr">
        <is>
          <t>CREATED</t>
        </is>
      </c>
      <c r="V2031" s="4" t="inlineStr">
        <is>
          <t>idem-20260902-ios-2030</t>
        </is>
      </c>
    </row>
    <row r="2032" ht="30" customHeight="1">
      <c r="A2032" s="4" t="n">
        <v>2031</v>
      </c>
      <c r="B2032" s="4" t="inlineStr">
        <is>
          <t>MTR-IOS-2031</t>
        </is>
      </c>
      <c r="C2032" s="4" t="inlineStr">
        <is>
          <t>Business</t>
        </is>
      </c>
      <c r="D2032" s="4" t="inlineStr">
        <is>
          <t>Business</t>
        </is>
      </c>
      <c r="E2032" s="4" t="inlineStr">
        <is>
          <t>Team Operations</t>
        </is>
      </c>
      <c r="F2032" s="4" t="inlineStr">
        <is>
          <t>Travel</t>
        </is>
      </c>
      <c r="G2032" s="4" t="inlineStr">
        <is>
          <t>Expense</t>
        </is>
      </c>
      <c r="H2032" s="12" t="n">
        <v>45972</v>
      </c>
      <c r="I2032" s="13" t="n">
        <v>0.7508564814814814</v>
      </c>
      <c r="J2032" s="14" t="n">
        <v>45972.75085648148</v>
      </c>
      <c r="K2032" s="15" t="n">
        <v>48089.9</v>
      </c>
      <c r="L2032" s="4" t="inlineStr">
        <is>
          <t>INR</t>
        </is>
      </c>
      <c r="M2032" s="15" t="n">
        <v>-48089.9</v>
      </c>
      <c r="N2032" s="4" t="inlineStr">
        <is>
          <t>IOS Owner</t>
        </is>
      </c>
      <c r="O2032" s="4" t="n"/>
      <c r="P2032" s="4" t="n"/>
      <c r="Q2032" s="4" t="inlineStr">
        <is>
          <t>MAESTRO-IOS-BUSINESS-TEAM_OPERATIONS-2031 | Travel | 48089.90</t>
        </is>
      </c>
      <c r="R2032" s="4" t="inlineStr">
        <is>
          <t>iPhone</t>
        </is>
      </c>
      <c r="S2032" s="4" t="inlineStr">
        <is>
          <t>B41</t>
        </is>
      </c>
      <c r="T2032" s="4" t="inlineStr">
        <is>
          <t>RAMP_1501_2500</t>
        </is>
      </c>
      <c r="U2032" s="4" t="inlineStr">
        <is>
          <t>CREATED</t>
        </is>
      </c>
      <c r="V2032" s="4" t="inlineStr">
        <is>
          <t>idem-20260902-ios-2031</t>
        </is>
      </c>
    </row>
    <row r="2033" ht="30" customHeight="1">
      <c r="A2033" s="4" t="n">
        <v>2032</v>
      </c>
      <c r="B2033" s="4" t="inlineStr">
        <is>
          <t>MTR-IOS-2032</t>
        </is>
      </c>
      <c r="C2033" s="4" t="inlineStr">
        <is>
          <t>Personal</t>
        </is>
      </c>
      <c r="D2033" s="4" t="inlineStr">
        <is>
          <t>Personal</t>
        </is>
      </c>
      <c r="E2033" s="4" t="inlineStr">
        <is>
          <t>Future Building</t>
        </is>
      </c>
      <c r="F2033" s="4" t="inlineStr">
        <is>
          <t>Education</t>
        </is>
      </c>
      <c r="G2033" s="4" t="inlineStr">
        <is>
          <t>Expense</t>
        </is>
      </c>
      <c r="H2033" s="12" t="n">
        <v>46245</v>
      </c>
      <c r="I2033" s="13" t="n">
        <v>0.08028935185185185</v>
      </c>
      <c r="J2033" s="14" t="n">
        <v>46245.08028935185</v>
      </c>
      <c r="K2033" s="15" t="n">
        <v>1190.91</v>
      </c>
      <c r="L2033" s="4" t="inlineStr">
        <is>
          <t>INR</t>
        </is>
      </c>
      <c r="M2033" s="15" t="n">
        <v>-1190.91</v>
      </c>
      <c r="N2033" s="4" t="inlineStr">
        <is>
          <t>IOS Owner</t>
        </is>
      </c>
      <c r="O2033" s="4" t="n"/>
      <c r="P2033" s="4" t="n"/>
      <c r="Q2033" s="4" t="inlineStr">
        <is>
          <t>MAESTRO-IOS-PERSONAL-FUTURE_BUILDING-2032 | Education | 1190.91</t>
        </is>
      </c>
      <c r="R2033" s="4" t="inlineStr">
        <is>
          <t>iPhone</t>
        </is>
      </c>
      <c r="S2033" s="4" t="inlineStr">
        <is>
          <t>B41</t>
        </is>
      </c>
      <c r="T2033" s="4" t="inlineStr">
        <is>
          <t>RAMP_1501_2500</t>
        </is>
      </c>
      <c r="U2033" s="4" t="inlineStr">
        <is>
          <t>CREATED</t>
        </is>
      </c>
      <c r="V2033" s="4" t="inlineStr">
        <is>
          <t>idem-20260902-ios-2032</t>
        </is>
      </c>
    </row>
    <row r="2034" ht="30" customHeight="1">
      <c r="A2034" s="4" t="n">
        <v>2033</v>
      </c>
      <c r="B2034" s="4" t="inlineStr">
        <is>
          <t>MTR-IOS-2033</t>
        </is>
      </c>
      <c r="C2034" s="4" t="inlineStr">
        <is>
          <t>Group</t>
        </is>
      </c>
      <c r="D2034" s="4" t="inlineStr">
        <is>
          <t>Shared Living</t>
        </is>
      </c>
      <c r="E2034" s="4" t="inlineStr">
        <is>
          <t>Flatmates</t>
        </is>
      </c>
      <c r="F2034" s="4" t="inlineStr">
        <is>
          <t>Rent</t>
        </is>
      </c>
      <c r="G2034" s="4" t="inlineStr">
        <is>
          <t>Expense</t>
        </is>
      </c>
      <c r="H2034" s="12" t="n">
        <v>46229</v>
      </c>
      <c r="I2034" s="13" t="n">
        <v>0.8473032407407407</v>
      </c>
      <c r="J2034" s="14" t="n">
        <v>46229.84730324074</v>
      </c>
      <c r="K2034" s="15" t="n">
        <v>26087.13</v>
      </c>
      <c r="L2034" s="4" t="inlineStr">
        <is>
          <t>INR</t>
        </is>
      </c>
      <c r="M2034" s="15" t="n">
        <v>-26087.13</v>
      </c>
      <c r="N2034" s="4" t="inlineStr">
        <is>
          <t>IOS Meera</t>
        </is>
      </c>
      <c r="O2034" s="4" t="n">
        <v>3</v>
      </c>
      <c r="P2034" s="4" t="inlineStr">
        <is>
          <t>PERCENTAGE</t>
        </is>
      </c>
      <c r="Q2034" s="4" t="inlineStr">
        <is>
          <t>MAESTRO-IOS-GROUP-FLATMATES-2033 | Rent | 26087.13</t>
        </is>
      </c>
      <c r="R2034" s="4" t="inlineStr">
        <is>
          <t>iPhone</t>
        </is>
      </c>
      <c r="S2034" s="4" t="inlineStr">
        <is>
          <t>B41</t>
        </is>
      </c>
      <c r="T2034" s="4" t="inlineStr">
        <is>
          <t>RAMP_1501_2500</t>
        </is>
      </c>
      <c r="U2034" s="4" t="inlineStr">
        <is>
          <t>CREATED</t>
        </is>
      </c>
      <c r="V2034" s="4" t="inlineStr">
        <is>
          <t>idem-20260902-ios-2033</t>
        </is>
      </c>
    </row>
    <row r="2035" ht="30" customHeight="1">
      <c r="A2035" s="4" t="n">
        <v>2034</v>
      </c>
      <c r="B2035" s="4" t="inlineStr">
        <is>
          <t>MTR-IOS-2034</t>
        </is>
      </c>
      <c r="C2035" s="4" t="inlineStr">
        <is>
          <t>Business</t>
        </is>
      </c>
      <c r="D2035" s="4" t="inlineStr">
        <is>
          <t>Business</t>
        </is>
      </c>
      <c r="E2035" s="4" t="inlineStr">
        <is>
          <t>Team Operations</t>
        </is>
      </c>
      <c r="F2035" s="4" t="inlineStr">
        <is>
          <t>Training</t>
        </is>
      </c>
      <c r="G2035" s="4" t="inlineStr">
        <is>
          <t>Expense</t>
        </is>
      </c>
      <c r="H2035" s="12" t="n">
        <v>45947</v>
      </c>
      <c r="I2035" s="13" t="n">
        <v>0.9505208333333334</v>
      </c>
      <c r="J2035" s="14" t="n">
        <v>45947.95052083334</v>
      </c>
      <c r="K2035" s="15" t="n">
        <v>154639.01</v>
      </c>
      <c r="L2035" s="4" t="inlineStr">
        <is>
          <t>INR</t>
        </is>
      </c>
      <c r="M2035" s="15" t="n">
        <v>-154639.01</v>
      </c>
      <c r="N2035" s="4" t="inlineStr">
        <is>
          <t>IOS Owner</t>
        </is>
      </c>
      <c r="O2035" s="4" t="n"/>
      <c r="P2035" s="4" t="n"/>
      <c r="Q2035" s="4" t="inlineStr">
        <is>
          <t>MAESTRO-IOS-BUSINESS-TEAM_OPERATIONS-2034 | Training | 154639.01</t>
        </is>
      </c>
      <c r="R2035" s="4" t="inlineStr">
        <is>
          <t>iPhone</t>
        </is>
      </c>
      <c r="S2035" s="4" t="inlineStr">
        <is>
          <t>B41</t>
        </is>
      </c>
      <c r="T2035" s="4" t="inlineStr">
        <is>
          <t>RAMP_1501_2500</t>
        </is>
      </c>
      <c r="U2035" s="4" t="inlineStr">
        <is>
          <t>CREATED</t>
        </is>
      </c>
      <c r="V2035" s="4" t="inlineStr">
        <is>
          <t>idem-20260902-ios-2034</t>
        </is>
      </c>
    </row>
    <row r="2036" ht="30" customHeight="1">
      <c r="A2036" s="4" t="n">
        <v>2035</v>
      </c>
      <c r="B2036" s="4" t="inlineStr">
        <is>
          <t>MTR-IOS-2035</t>
        </is>
      </c>
      <c r="C2036" s="4" t="inlineStr">
        <is>
          <t>Personal</t>
        </is>
      </c>
      <c r="D2036" s="4" t="inlineStr">
        <is>
          <t>Personal</t>
        </is>
      </c>
      <c r="E2036" s="4" t="inlineStr">
        <is>
          <t>Future Building</t>
        </is>
      </c>
      <c r="F2036" s="4" t="inlineStr">
        <is>
          <t>Goal Contribution</t>
        </is>
      </c>
      <c r="G2036" s="4" t="inlineStr">
        <is>
          <t>Transfer</t>
        </is>
      </c>
      <c r="H2036" s="12" t="n">
        <v>46165</v>
      </c>
      <c r="I2036" s="13" t="n">
        <v>0.8829976851851852</v>
      </c>
      <c r="J2036" s="14" t="n">
        <v>46165.88299768518</v>
      </c>
      <c r="K2036" s="15" t="n">
        <v>1</v>
      </c>
      <c r="L2036" s="4" t="inlineStr">
        <is>
          <t>INR</t>
        </is>
      </c>
      <c r="M2036" s="15" t="n">
        <v>0</v>
      </c>
      <c r="N2036" s="4" t="inlineStr">
        <is>
          <t>IOS Owner</t>
        </is>
      </c>
      <c r="O2036" s="4" t="n"/>
      <c r="P2036" s="4" t="n"/>
      <c r="Q2036" s="4" t="inlineStr">
        <is>
          <t>MAESTRO-IOS-PERSONAL-FUTURE_BUILDING-2035 | Goal Contribution | 1.00</t>
        </is>
      </c>
      <c r="R2036" s="4" t="inlineStr">
        <is>
          <t>iPhone</t>
        </is>
      </c>
      <c r="S2036" s="4" t="inlineStr">
        <is>
          <t>B41</t>
        </is>
      </c>
      <c r="T2036" s="4" t="inlineStr">
        <is>
          <t>RAMP_1501_2500</t>
        </is>
      </c>
      <c r="U2036" s="4" t="inlineStr">
        <is>
          <t>CREATED</t>
        </is>
      </c>
      <c r="V2036" s="4" t="inlineStr">
        <is>
          <t>idem-20260902-ios-2035</t>
        </is>
      </c>
    </row>
    <row r="2037" ht="30" customHeight="1">
      <c r="A2037" s="4" t="n">
        <v>2036</v>
      </c>
      <c r="B2037" s="4" t="inlineStr">
        <is>
          <t>MTR-IOS-2036</t>
        </is>
      </c>
      <c r="C2037" s="4" t="inlineStr">
        <is>
          <t>Group</t>
        </is>
      </c>
      <c r="D2037" s="4" t="inlineStr">
        <is>
          <t>Shared Living</t>
        </is>
      </c>
      <c r="E2037" s="4" t="inlineStr">
        <is>
          <t>Flatmates</t>
        </is>
      </c>
      <c r="F2037" s="4" t="inlineStr">
        <is>
          <t>Utilities</t>
        </is>
      </c>
      <c r="G2037" s="4" t="inlineStr">
        <is>
          <t>Expense</t>
        </is>
      </c>
      <c r="H2037" s="12" t="n">
        <v>45952</v>
      </c>
      <c r="I2037" s="13" t="n">
        <v>0.3322337962962963</v>
      </c>
      <c r="J2037" s="14" t="n">
        <v>45952.3322337963</v>
      </c>
      <c r="K2037" s="15" t="n">
        <v>13101.08</v>
      </c>
      <c r="L2037" s="4" t="inlineStr">
        <is>
          <t>INR</t>
        </is>
      </c>
      <c r="M2037" s="15" t="n">
        <v>-13101.08</v>
      </c>
      <c r="N2037" s="4" t="inlineStr">
        <is>
          <t>IOS Owner</t>
        </is>
      </c>
      <c r="O2037" s="4" t="n">
        <v>3</v>
      </c>
      <c r="P2037" s="4" t="inlineStr">
        <is>
          <t>EXACT</t>
        </is>
      </c>
      <c r="Q2037" s="4" t="inlineStr">
        <is>
          <t>MAESTRO-IOS-GROUP-FLATMATES-2036 | Utilities | 13101.08</t>
        </is>
      </c>
      <c r="R2037" s="4" t="inlineStr">
        <is>
          <t>iPhone</t>
        </is>
      </c>
      <c r="S2037" s="4" t="inlineStr">
        <is>
          <t>B41</t>
        </is>
      </c>
      <c r="T2037" s="4" t="inlineStr">
        <is>
          <t>RAMP_1501_2500</t>
        </is>
      </c>
      <c r="U2037" s="4" t="inlineStr">
        <is>
          <t>CREATED</t>
        </is>
      </c>
      <c r="V2037" s="4" t="inlineStr">
        <is>
          <t>idem-20260902-ios-2036</t>
        </is>
      </c>
    </row>
    <row r="2038" ht="30" customHeight="1">
      <c r="A2038" s="4" t="n">
        <v>2037</v>
      </c>
      <c r="B2038" s="4" t="inlineStr">
        <is>
          <t>MTR-IOS-2037</t>
        </is>
      </c>
      <c r="C2038" s="4" t="inlineStr">
        <is>
          <t>Business</t>
        </is>
      </c>
      <c r="D2038" s="4" t="inlineStr">
        <is>
          <t>Business</t>
        </is>
      </c>
      <c r="E2038" s="4" t="inlineStr">
        <is>
          <t>Team Operations</t>
        </is>
      </c>
      <c r="F2038" s="4" t="inlineStr">
        <is>
          <t>Tools</t>
        </is>
      </c>
      <c r="G2038" s="4" t="inlineStr">
        <is>
          <t>Expense</t>
        </is>
      </c>
      <c r="H2038" s="12" t="n">
        <v>45944</v>
      </c>
      <c r="I2038" s="13" t="n">
        <v>0.1468981481481481</v>
      </c>
      <c r="J2038" s="14" t="n">
        <v>45944.14689814814</v>
      </c>
      <c r="K2038" s="15" t="n">
        <v>97857.96000000001</v>
      </c>
      <c r="L2038" s="4" t="inlineStr">
        <is>
          <t>INR</t>
        </is>
      </c>
      <c r="M2038" s="15" t="n">
        <v>-97857.96000000001</v>
      </c>
      <c r="N2038" s="4" t="inlineStr">
        <is>
          <t>IOS Owner</t>
        </is>
      </c>
      <c r="O2038" s="4" t="n"/>
      <c r="P2038" s="4" t="n"/>
      <c r="Q2038" s="4" t="inlineStr">
        <is>
          <t>MAESTRO-IOS-BUSINESS-TEAM_OPERATIONS-2037 | Tools | 97857.96</t>
        </is>
      </c>
      <c r="R2038" s="4" t="inlineStr">
        <is>
          <t>iPhone</t>
        </is>
      </c>
      <c r="S2038" s="4" t="inlineStr">
        <is>
          <t>B41</t>
        </is>
      </c>
      <c r="T2038" s="4" t="inlineStr">
        <is>
          <t>RAMP_1501_2500</t>
        </is>
      </c>
      <c r="U2038" s="4" t="inlineStr">
        <is>
          <t>CREATED</t>
        </is>
      </c>
      <c r="V2038" s="4" t="inlineStr">
        <is>
          <t>idem-20260902-ios-2037</t>
        </is>
      </c>
    </row>
    <row r="2039" ht="30" customHeight="1">
      <c r="A2039" s="4" t="n">
        <v>2038</v>
      </c>
      <c r="B2039" s="4" t="inlineStr">
        <is>
          <t>MTR-IOS-2038</t>
        </is>
      </c>
      <c r="C2039" s="4" t="inlineStr">
        <is>
          <t>Personal</t>
        </is>
      </c>
      <c r="D2039" s="4" t="inlineStr">
        <is>
          <t>Personal</t>
        </is>
      </c>
      <c r="E2039" s="4" t="inlineStr">
        <is>
          <t>Lifestyle</t>
        </is>
      </c>
      <c r="F2039" s="4" t="inlineStr">
        <is>
          <t>Dining</t>
        </is>
      </c>
      <c r="G2039" s="4" t="inlineStr">
        <is>
          <t>Expense</t>
        </is>
      </c>
      <c r="H2039" s="12" t="n">
        <v>46046</v>
      </c>
      <c r="I2039" s="13" t="n">
        <v>0.7111111111111111</v>
      </c>
      <c r="J2039" s="14" t="n">
        <v>46046.71111111111</v>
      </c>
      <c r="K2039" s="15" t="n">
        <v>16837.01</v>
      </c>
      <c r="L2039" s="4" t="inlineStr">
        <is>
          <t>INR</t>
        </is>
      </c>
      <c r="M2039" s="15" t="n">
        <v>-16837.01</v>
      </c>
      <c r="N2039" s="4" t="inlineStr">
        <is>
          <t>IOS Owner</t>
        </is>
      </c>
      <c r="O2039" s="4" t="n"/>
      <c r="P2039" s="4" t="n"/>
      <c r="Q2039" s="4" t="inlineStr">
        <is>
          <t>MAESTRO-IOS-PERSONAL-LIFESTYLE-2038 | Dining | 16837.01</t>
        </is>
      </c>
      <c r="R2039" s="4" t="inlineStr">
        <is>
          <t>iPhone</t>
        </is>
      </c>
      <c r="S2039" s="4" t="inlineStr">
        <is>
          <t>B41</t>
        </is>
      </c>
      <c r="T2039" s="4" t="inlineStr">
        <is>
          <t>RAMP_1501_2500</t>
        </is>
      </c>
      <c r="U2039" s="4" t="inlineStr">
        <is>
          <t>CREATED</t>
        </is>
      </c>
      <c r="V2039" s="4" t="inlineStr">
        <is>
          <t>idem-20260902-ios-2038</t>
        </is>
      </c>
    </row>
    <row r="2040" ht="30" customHeight="1">
      <c r="A2040" s="4" t="n">
        <v>2039</v>
      </c>
      <c r="B2040" s="4" t="inlineStr">
        <is>
          <t>MTR-IOS-2039</t>
        </is>
      </c>
      <c r="C2040" s="4" t="inlineStr">
        <is>
          <t>Group</t>
        </is>
      </c>
      <c r="D2040" s="4" t="inlineStr">
        <is>
          <t>Shared Living</t>
        </is>
      </c>
      <c r="E2040" s="4" t="inlineStr">
        <is>
          <t>Flatmates</t>
        </is>
      </c>
      <c r="F2040" s="4" t="inlineStr">
        <is>
          <t>Groceries</t>
        </is>
      </c>
      <c r="G2040" s="4" t="inlineStr">
        <is>
          <t>Expense</t>
        </is>
      </c>
      <c r="H2040" s="12" t="n">
        <v>46237</v>
      </c>
      <c r="I2040" s="13" t="n">
        <v>0.9762615740740741</v>
      </c>
      <c r="J2040" s="14" t="n">
        <v>46237.97626157408</v>
      </c>
      <c r="K2040" s="15" t="n">
        <v>15190.44</v>
      </c>
      <c r="L2040" s="4" t="inlineStr">
        <is>
          <t>INR</t>
        </is>
      </c>
      <c r="M2040" s="15" t="n">
        <v>-15190.44</v>
      </c>
      <c r="N2040" s="4" t="inlineStr">
        <is>
          <t>IOS Aarav</t>
        </is>
      </c>
      <c r="O2040" s="4" t="n">
        <v>3</v>
      </c>
      <c r="P2040" s="4" t="inlineStr">
        <is>
          <t>SHARES</t>
        </is>
      </c>
      <c r="Q2040" s="4" t="inlineStr">
        <is>
          <t>MAESTRO-IOS-GROUP-FLATMATES-2039 | Groceries | 15190.44</t>
        </is>
      </c>
      <c r="R2040" s="4" t="inlineStr">
        <is>
          <t>iPhone</t>
        </is>
      </c>
      <c r="S2040" s="4" t="inlineStr">
        <is>
          <t>B41</t>
        </is>
      </c>
      <c r="T2040" s="4" t="inlineStr">
        <is>
          <t>RAMP_1501_2500</t>
        </is>
      </c>
      <c r="U2040" s="4" t="inlineStr">
        <is>
          <t>CREATED</t>
        </is>
      </c>
      <c r="V2040" s="4" t="inlineStr">
        <is>
          <t>idem-20260902-ios-2039</t>
        </is>
      </c>
    </row>
    <row r="2041" ht="30" customHeight="1">
      <c r="A2041" s="4" t="n">
        <v>2040</v>
      </c>
      <c r="B2041" s="4" t="inlineStr">
        <is>
          <t>MTR-IOS-2040</t>
        </is>
      </c>
      <c r="C2041" s="4" t="inlineStr">
        <is>
          <t>Business</t>
        </is>
      </c>
      <c r="D2041" s="4" t="inlineStr">
        <is>
          <t>Business</t>
        </is>
      </c>
      <c r="E2041" s="4" t="inlineStr">
        <is>
          <t>Business Runway</t>
        </is>
      </c>
      <c r="F2041" s="4" t="inlineStr">
        <is>
          <t>Funding</t>
        </is>
      </c>
      <c r="G2041" s="4" t="inlineStr">
        <is>
          <t>Income</t>
        </is>
      </c>
      <c r="H2041" s="12" t="n">
        <v>46129</v>
      </c>
      <c r="I2041" s="13" t="n">
        <v>0.2476388888888889</v>
      </c>
      <c r="J2041" s="14" t="n">
        <v>46129.24763888889</v>
      </c>
      <c r="K2041" s="15" t="n">
        <v>129883.31</v>
      </c>
      <c r="L2041" s="4" t="inlineStr">
        <is>
          <t>INR</t>
        </is>
      </c>
      <c r="M2041" s="15" t="n">
        <v>129883.31</v>
      </c>
      <c r="N2041" s="4" t="inlineStr">
        <is>
          <t>IOS Owner</t>
        </is>
      </c>
      <c r="O2041" s="4" t="n"/>
      <c r="P2041" s="4" t="n"/>
      <c r="Q2041" s="4" t="inlineStr">
        <is>
          <t>MAESTRO-IOS-BUSINESS-BUSINESS_RUNWAY-2040 | Funding | 129883.31</t>
        </is>
      </c>
      <c r="R2041" s="4" t="inlineStr">
        <is>
          <t>iPhone</t>
        </is>
      </c>
      <c r="S2041" s="4" t="inlineStr">
        <is>
          <t>B41</t>
        </is>
      </c>
      <c r="T2041" s="4" t="inlineStr">
        <is>
          <t>RAMP_1501_2500</t>
        </is>
      </c>
      <c r="U2041" s="4" t="inlineStr">
        <is>
          <t>CREATED</t>
        </is>
      </c>
      <c r="V2041" s="4" t="inlineStr">
        <is>
          <t>idem-20260902-ios-2040</t>
        </is>
      </c>
    </row>
    <row r="2042" ht="30" customHeight="1">
      <c r="A2042" s="4" t="n">
        <v>2041</v>
      </c>
      <c r="B2042" s="4" t="inlineStr">
        <is>
          <t>MTR-IOS-2041</t>
        </is>
      </c>
      <c r="C2042" s="4" t="inlineStr">
        <is>
          <t>Personal</t>
        </is>
      </c>
      <c r="D2042" s="4" t="inlineStr">
        <is>
          <t>Personal</t>
        </is>
      </c>
      <c r="E2042" s="4" t="inlineStr">
        <is>
          <t>Lifestyle</t>
        </is>
      </c>
      <c r="F2042" s="4" t="inlineStr">
        <is>
          <t>Shopping</t>
        </is>
      </c>
      <c r="G2042" s="4" t="inlineStr">
        <is>
          <t>Expense</t>
        </is>
      </c>
      <c r="H2042" s="12" t="n">
        <v>46056</v>
      </c>
      <c r="I2042" s="13" t="n">
        <v>0.2383333333333333</v>
      </c>
      <c r="J2042" s="14" t="n">
        <v>46056.23833333333</v>
      </c>
      <c r="K2042" s="15" t="n">
        <v>17885.78</v>
      </c>
      <c r="L2042" s="4" t="inlineStr">
        <is>
          <t>INR</t>
        </is>
      </c>
      <c r="M2042" s="15" t="n">
        <v>-17885.78</v>
      </c>
      <c r="N2042" s="4" t="inlineStr">
        <is>
          <t>IOS Owner</t>
        </is>
      </c>
      <c r="O2042" s="4" t="n"/>
      <c r="P2042" s="4" t="n"/>
      <c r="Q2042" s="4" t="inlineStr">
        <is>
          <t>MAESTRO-IOS-PERSONAL-LIFESTYLE-2041 | Shopping | 17885.78</t>
        </is>
      </c>
      <c r="R2042" s="4" t="inlineStr">
        <is>
          <t>iPhone</t>
        </is>
      </c>
      <c r="S2042" s="4" t="inlineStr">
        <is>
          <t>B41</t>
        </is>
      </c>
      <c r="T2042" s="4" t="inlineStr">
        <is>
          <t>RAMP_1501_2500</t>
        </is>
      </c>
      <c r="U2042" s="4" t="inlineStr">
        <is>
          <t>CREATED</t>
        </is>
      </c>
      <c r="V2042" s="4" t="inlineStr">
        <is>
          <t>idem-20260902-ios-2041</t>
        </is>
      </c>
    </row>
    <row r="2043" ht="30" customHeight="1">
      <c r="A2043" s="4" t="n">
        <v>2042</v>
      </c>
      <c r="B2043" s="4" t="inlineStr">
        <is>
          <t>MTR-IOS-2042</t>
        </is>
      </c>
      <c r="C2043" s="4" t="inlineStr">
        <is>
          <t>Group</t>
        </is>
      </c>
      <c r="D2043" s="4" t="inlineStr">
        <is>
          <t>Shared Living</t>
        </is>
      </c>
      <c r="E2043" s="4" t="inlineStr">
        <is>
          <t>Flatmates</t>
        </is>
      </c>
      <c r="F2043" s="4" t="inlineStr">
        <is>
          <t>Internet</t>
        </is>
      </c>
      <c r="G2043" s="4" t="inlineStr">
        <is>
          <t>Expense</t>
        </is>
      </c>
      <c r="H2043" s="12" t="n">
        <v>46102</v>
      </c>
      <c r="I2043" s="13" t="n">
        <v>0.9702083333333333</v>
      </c>
      <c r="J2043" s="14" t="n">
        <v>46102.97020833333</v>
      </c>
      <c r="K2043" s="15" t="n">
        <v>3852.12</v>
      </c>
      <c r="L2043" s="4" t="inlineStr">
        <is>
          <t>INR</t>
        </is>
      </c>
      <c r="M2043" s="15" t="n">
        <v>-3852.12</v>
      </c>
      <c r="N2043" s="4" t="inlineStr">
        <is>
          <t>IOS Meera</t>
        </is>
      </c>
      <c r="O2043" s="4" t="n">
        <v>3</v>
      </c>
      <c r="P2043" s="4" t="inlineStr">
        <is>
          <t>EQUAL</t>
        </is>
      </c>
      <c r="Q2043" s="4" t="inlineStr">
        <is>
          <t>MAESTRO-IOS-GROUP-FLATMATES-2042 | Internet | 3852.12</t>
        </is>
      </c>
      <c r="R2043" s="4" t="inlineStr">
        <is>
          <t>iPhone</t>
        </is>
      </c>
      <c r="S2043" s="4" t="inlineStr">
        <is>
          <t>B41</t>
        </is>
      </c>
      <c r="T2043" s="4" t="inlineStr">
        <is>
          <t>RAMP_1501_2500</t>
        </is>
      </c>
      <c r="U2043" s="4" t="inlineStr">
        <is>
          <t>CREATED</t>
        </is>
      </c>
      <c r="V2043" s="4" t="inlineStr">
        <is>
          <t>idem-20260902-ios-2042</t>
        </is>
      </c>
    </row>
    <row r="2044" ht="30" customHeight="1">
      <c r="A2044" s="4" t="n">
        <v>2043</v>
      </c>
      <c r="B2044" s="4" t="inlineStr">
        <is>
          <t>MTR-IOS-2043</t>
        </is>
      </c>
      <c r="C2044" s="4" t="inlineStr">
        <is>
          <t>Business</t>
        </is>
      </c>
      <c r="D2044" s="4" t="inlineStr">
        <is>
          <t>Business</t>
        </is>
      </c>
      <c r="E2044" s="4" t="inlineStr">
        <is>
          <t>Business Runway</t>
        </is>
      </c>
      <c r="F2044" s="4" t="inlineStr">
        <is>
          <t>Revenue</t>
        </is>
      </c>
      <c r="G2044" s="4" t="inlineStr">
        <is>
          <t>Income</t>
        </is>
      </c>
      <c r="H2044" s="12" t="n">
        <v>46109</v>
      </c>
      <c r="I2044" s="13" t="n">
        <v>0.08716435185185185</v>
      </c>
      <c r="J2044" s="14" t="n">
        <v>46109.08716435185</v>
      </c>
      <c r="K2044" s="15" t="n">
        <v>20109.13</v>
      </c>
      <c r="L2044" s="4" t="inlineStr">
        <is>
          <t>INR</t>
        </is>
      </c>
      <c r="M2044" s="15" t="n">
        <v>20109.13</v>
      </c>
      <c r="N2044" s="4" t="inlineStr">
        <is>
          <t>IOS Owner</t>
        </is>
      </c>
      <c r="O2044" s="4" t="n"/>
      <c r="P2044" s="4" t="n"/>
      <c r="Q2044" s="4" t="inlineStr">
        <is>
          <t>MAESTRO-IOS-BUSINESS-BUSINESS_RUNWAY-2043 | Revenue | 20109.13</t>
        </is>
      </c>
      <c r="R2044" s="4" t="inlineStr">
        <is>
          <t>iPhone</t>
        </is>
      </c>
      <c r="S2044" s="4" t="inlineStr">
        <is>
          <t>B41</t>
        </is>
      </c>
      <c r="T2044" s="4" t="inlineStr">
        <is>
          <t>RAMP_1501_2500</t>
        </is>
      </c>
      <c r="U2044" s="4" t="inlineStr">
        <is>
          <t>CREATED</t>
        </is>
      </c>
      <c r="V2044" s="4" t="inlineStr">
        <is>
          <t>idem-20260902-ios-2043</t>
        </is>
      </c>
    </row>
    <row r="2045" ht="30" customHeight="1">
      <c r="A2045" s="4" t="n">
        <v>2044</v>
      </c>
      <c r="B2045" s="4" t="inlineStr">
        <is>
          <t>MTR-IOS-2044</t>
        </is>
      </c>
      <c r="C2045" s="4" t="inlineStr">
        <is>
          <t>Personal</t>
        </is>
      </c>
      <c r="D2045" s="4" t="inlineStr">
        <is>
          <t>Personal</t>
        </is>
      </c>
      <c r="E2045" s="4" t="inlineStr">
        <is>
          <t>Lifestyle</t>
        </is>
      </c>
      <c r="F2045" s="4" t="inlineStr">
        <is>
          <t>Entertainment</t>
        </is>
      </c>
      <c r="G2045" s="4" t="inlineStr">
        <is>
          <t>Expense</t>
        </is>
      </c>
      <c r="H2045" s="12" t="n">
        <v>45956</v>
      </c>
      <c r="I2045" s="13" t="n">
        <v>0.781724537037037</v>
      </c>
      <c r="J2045" s="14" t="n">
        <v>45956.78172453704</v>
      </c>
      <c r="K2045" s="15" t="n">
        <v>4455.15</v>
      </c>
      <c r="L2045" s="4" t="inlineStr">
        <is>
          <t>INR</t>
        </is>
      </c>
      <c r="M2045" s="15" t="n">
        <v>-4455.15</v>
      </c>
      <c r="N2045" s="4" t="inlineStr">
        <is>
          <t>IOS Owner</t>
        </is>
      </c>
      <c r="O2045" s="4" t="n"/>
      <c r="P2045" s="4" t="n"/>
      <c r="Q2045" s="4" t="inlineStr">
        <is>
          <t>MAESTRO-IOS-PERSONAL-LIFESTYLE-2044 | Entertainment | 4455.15</t>
        </is>
      </c>
      <c r="R2045" s="4" t="inlineStr">
        <is>
          <t>iPhone</t>
        </is>
      </c>
      <c r="S2045" s="4" t="inlineStr">
        <is>
          <t>B41</t>
        </is>
      </c>
      <c r="T2045" s="4" t="inlineStr">
        <is>
          <t>RAMP_1501_2500</t>
        </is>
      </c>
      <c r="U2045" s="4" t="inlineStr">
        <is>
          <t>CREATED</t>
        </is>
      </c>
      <c r="V2045" s="4" t="inlineStr">
        <is>
          <t>idem-20260902-ios-2044</t>
        </is>
      </c>
    </row>
    <row r="2046" ht="30" customHeight="1">
      <c r="A2046" s="4" t="n">
        <v>2045</v>
      </c>
      <c r="B2046" s="4" t="inlineStr">
        <is>
          <t>MTR-IOS-2045</t>
        </is>
      </c>
      <c r="C2046" s="4" t="inlineStr">
        <is>
          <t>Group</t>
        </is>
      </c>
      <c r="D2046" s="4" t="inlineStr">
        <is>
          <t>Shared Living</t>
        </is>
      </c>
      <c r="E2046" s="4" t="inlineStr">
        <is>
          <t>Flatmates</t>
        </is>
      </c>
      <c r="F2046" s="4" t="inlineStr">
        <is>
          <t>House Supplies</t>
        </is>
      </c>
      <c r="G2046" s="4" t="inlineStr">
        <is>
          <t>Expense</t>
        </is>
      </c>
      <c r="H2046" s="12" t="n">
        <v>46167</v>
      </c>
      <c r="I2046" s="13" t="n">
        <v>0.5873495370370371</v>
      </c>
      <c r="J2046" s="14" t="n">
        <v>46167.58734953704</v>
      </c>
      <c r="K2046" s="15" t="n">
        <v>10528.44</v>
      </c>
      <c r="L2046" s="4" t="inlineStr">
        <is>
          <t>INR</t>
        </is>
      </c>
      <c r="M2046" s="15" t="n">
        <v>-10528.44</v>
      </c>
      <c r="N2046" s="4" t="inlineStr">
        <is>
          <t>IOS Owner</t>
        </is>
      </c>
      <c r="O2046" s="4" t="n">
        <v>3</v>
      </c>
      <c r="P2046" s="4" t="inlineStr">
        <is>
          <t>PERCENTAGE</t>
        </is>
      </c>
      <c r="Q2046" s="4" t="inlineStr">
        <is>
          <t>MAESTRO-IOS-GROUP-FLATMATES-2045 | House Supplies | 10528.44</t>
        </is>
      </c>
      <c r="R2046" s="4" t="inlineStr">
        <is>
          <t>iPhone</t>
        </is>
      </c>
      <c r="S2046" s="4" t="inlineStr">
        <is>
          <t>B41</t>
        </is>
      </c>
      <c r="T2046" s="4" t="inlineStr">
        <is>
          <t>RAMP_1501_2500</t>
        </is>
      </c>
      <c r="U2046" s="4" t="inlineStr">
        <is>
          <t>CREATED</t>
        </is>
      </c>
      <c r="V2046" s="4" t="inlineStr">
        <is>
          <t>idem-20260902-ios-2045</t>
        </is>
      </c>
    </row>
    <row r="2047" ht="30" customHeight="1">
      <c r="A2047" s="4" t="n">
        <v>2046</v>
      </c>
      <c r="B2047" s="4" t="inlineStr">
        <is>
          <t>MTR-IOS-2046</t>
        </is>
      </c>
      <c r="C2047" s="4" t="inlineStr">
        <is>
          <t>Business</t>
        </is>
      </c>
      <c r="D2047" s="4" t="inlineStr">
        <is>
          <t>Business</t>
        </is>
      </c>
      <c r="E2047" s="4" t="inlineStr">
        <is>
          <t>Business Runway</t>
        </is>
      </c>
      <c r="F2047" s="4" t="inlineStr">
        <is>
          <t>Burn</t>
        </is>
      </c>
      <c r="G2047" s="4" t="inlineStr">
        <is>
          <t>Expense</t>
        </is>
      </c>
      <c r="H2047" s="12" t="n">
        <v>46176</v>
      </c>
      <c r="I2047" s="13" t="n">
        <v>0.544074074074074</v>
      </c>
      <c r="J2047" s="14" t="n">
        <v>46176.54407407407</v>
      </c>
      <c r="K2047" s="15" t="n">
        <v>99642.47</v>
      </c>
      <c r="L2047" s="4" t="inlineStr">
        <is>
          <t>INR</t>
        </is>
      </c>
      <c r="M2047" s="15" t="n">
        <v>-99642.47</v>
      </c>
      <c r="N2047" s="4" t="inlineStr">
        <is>
          <t>IOS Owner</t>
        </is>
      </c>
      <c r="O2047" s="4" t="n"/>
      <c r="P2047" s="4" t="n"/>
      <c r="Q2047" s="4" t="inlineStr">
        <is>
          <t>MAESTRO-IOS-BUSINESS-BUSINESS_RUNWAY-2046 | Burn | 99642.47</t>
        </is>
      </c>
      <c r="R2047" s="4" t="inlineStr">
        <is>
          <t>iPhone</t>
        </is>
      </c>
      <c r="S2047" s="4" t="inlineStr">
        <is>
          <t>B41</t>
        </is>
      </c>
      <c r="T2047" s="4" t="inlineStr">
        <is>
          <t>RAMP_1501_2500</t>
        </is>
      </c>
      <c r="U2047" s="4" t="inlineStr">
        <is>
          <t>CREATED</t>
        </is>
      </c>
      <c r="V2047" s="4" t="inlineStr">
        <is>
          <t>idem-20260902-ios-2046</t>
        </is>
      </c>
    </row>
    <row r="2048" ht="30" customHeight="1">
      <c r="A2048" s="4" t="n">
        <v>2047</v>
      </c>
      <c r="B2048" s="4" t="inlineStr">
        <is>
          <t>MTR-IOS-2047</t>
        </is>
      </c>
      <c r="C2048" s="4" t="inlineStr">
        <is>
          <t>Personal</t>
        </is>
      </c>
      <c r="D2048" s="4" t="inlineStr">
        <is>
          <t>Personal</t>
        </is>
      </c>
      <c r="E2048" s="4" t="inlineStr">
        <is>
          <t>Lifestyle</t>
        </is>
      </c>
      <c r="F2048" s="4" t="inlineStr">
        <is>
          <t>Travel</t>
        </is>
      </c>
      <c r="G2048" s="4" t="inlineStr">
        <is>
          <t>Expense</t>
        </is>
      </c>
      <c r="H2048" s="12" t="n">
        <v>46000</v>
      </c>
      <c r="I2048" s="13" t="n">
        <v>0.7193981481481482</v>
      </c>
      <c r="J2048" s="14" t="n">
        <v>46000.71939814815</v>
      </c>
      <c r="K2048" s="15" t="n">
        <v>6718.46</v>
      </c>
      <c r="L2048" s="4" t="inlineStr">
        <is>
          <t>INR</t>
        </is>
      </c>
      <c r="M2048" s="15" t="n">
        <v>-6718.46</v>
      </c>
      <c r="N2048" s="4" t="inlineStr">
        <is>
          <t>IOS Owner</t>
        </is>
      </c>
      <c r="O2048" s="4" t="n"/>
      <c r="P2048" s="4" t="n"/>
      <c r="Q2048" s="4" t="inlineStr">
        <is>
          <t>MAESTRO-IOS-PERSONAL-LIFESTYLE-2047 | Travel | 6718.46</t>
        </is>
      </c>
      <c r="R2048" s="4" t="inlineStr">
        <is>
          <t>iPhone</t>
        </is>
      </c>
      <c r="S2048" s="4" t="inlineStr">
        <is>
          <t>B41</t>
        </is>
      </c>
      <c r="T2048" s="4" t="inlineStr">
        <is>
          <t>RAMP_1501_2500</t>
        </is>
      </c>
      <c r="U2048" s="4" t="inlineStr">
        <is>
          <t>CREATED</t>
        </is>
      </c>
      <c r="V2048" s="4" t="inlineStr">
        <is>
          <t>idem-20260902-ios-2047</t>
        </is>
      </c>
    </row>
    <row r="2049" ht="30" customHeight="1">
      <c r="A2049" s="4" t="n">
        <v>2048</v>
      </c>
      <c r="B2049" s="4" t="inlineStr">
        <is>
          <t>MTR-IOS-2048</t>
        </is>
      </c>
      <c r="C2049" s="4" t="inlineStr">
        <is>
          <t>Group</t>
        </is>
      </c>
      <c r="D2049" s="4" t="inlineStr">
        <is>
          <t>Shared Living</t>
        </is>
      </c>
      <c r="E2049" s="4" t="inlineStr">
        <is>
          <t>Flatmates</t>
        </is>
      </c>
      <c r="F2049" s="4" t="inlineStr">
        <is>
          <t>Repairs</t>
        </is>
      </c>
      <c r="G2049" s="4" t="inlineStr">
        <is>
          <t>Expense</t>
        </is>
      </c>
      <c r="H2049" s="12" t="n">
        <v>46103</v>
      </c>
      <c r="I2049" s="13" t="n">
        <v>0.3177662037037037</v>
      </c>
      <c r="J2049" s="14" t="n">
        <v>46103.31776620371</v>
      </c>
      <c r="K2049" s="15" t="n">
        <v>13600.28</v>
      </c>
      <c r="L2049" s="4" t="inlineStr">
        <is>
          <t>INR</t>
        </is>
      </c>
      <c r="M2049" s="15" t="n">
        <v>-13600.28</v>
      </c>
      <c r="N2049" s="4" t="inlineStr">
        <is>
          <t>IOS Aarav</t>
        </is>
      </c>
      <c r="O2049" s="4" t="n">
        <v>3</v>
      </c>
      <c r="P2049" s="4" t="inlineStr">
        <is>
          <t>EXACT</t>
        </is>
      </c>
      <c r="Q2049" s="4" t="inlineStr">
        <is>
          <t>MAESTRO-IOS-GROUP-FLATMATES-2048 | Repairs | 13600.28</t>
        </is>
      </c>
      <c r="R2049" s="4" t="inlineStr">
        <is>
          <t>iPhone</t>
        </is>
      </c>
      <c r="S2049" s="4" t="inlineStr">
        <is>
          <t>B41</t>
        </is>
      </c>
      <c r="T2049" s="4" t="inlineStr">
        <is>
          <t>RAMP_1501_2500</t>
        </is>
      </c>
      <c r="U2049" s="4" t="inlineStr">
        <is>
          <t>CREATED</t>
        </is>
      </c>
      <c r="V2049" s="4" t="inlineStr">
        <is>
          <t>idem-20260902-ios-2048</t>
        </is>
      </c>
    </row>
    <row r="2050" ht="30" customHeight="1">
      <c r="A2050" s="4" t="n">
        <v>2049</v>
      </c>
      <c r="B2050" s="4" t="inlineStr">
        <is>
          <t>MTR-IOS-2049</t>
        </is>
      </c>
      <c r="C2050" s="4" t="inlineStr">
        <is>
          <t>Business</t>
        </is>
      </c>
      <c r="D2050" s="4" t="inlineStr">
        <is>
          <t>Business</t>
        </is>
      </c>
      <c r="E2050" s="4" t="inlineStr">
        <is>
          <t>Business Runway</t>
        </is>
      </c>
      <c r="F2050" s="4" t="inlineStr">
        <is>
          <t>Reserve</t>
        </is>
      </c>
      <c r="G2050" s="4" t="inlineStr">
        <is>
          <t>Transfer</t>
        </is>
      </c>
      <c r="H2050" s="12" t="n">
        <v>46062</v>
      </c>
      <c r="I2050" s="13" t="n">
        <v>0.4650578703703704</v>
      </c>
      <c r="J2050" s="14" t="n">
        <v>46062.46505787037</v>
      </c>
      <c r="K2050" s="15" t="n">
        <v>63234.84</v>
      </c>
      <c r="L2050" s="4" t="inlineStr">
        <is>
          <t>INR</t>
        </is>
      </c>
      <c r="M2050" s="15" t="n">
        <v>0</v>
      </c>
      <c r="N2050" s="4" t="inlineStr">
        <is>
          <t>IOS Owner</t>
        </is>
      </c>
      <c r="O2050" s="4" t="n"/>
      <c r="P2050" s="4" t="n"/>
      <c r="Q2050" s="4" t="inlineStr">
        <is>
          <t>MAESTRO-IOS-BUSINESS-BUSINESS_RUNWAY-2049 | Reserve | 63234.84</t>
        </is>
      </c>
      <c r="R2050" s="4" t="inlineStr">
        <is>
          <t>iPhone</t>
        </is>
      </c>
      <c r="S2050" s="4" t="inlineStr">
        <is>
          <t>B41</t>
        </is>
      </c>
      <c r="T2050" s="4" t="inlineStr">
        <is>
          <t>RAMP_1501_2500</t>
        </is>
      </c>
      <c r="U2050" s="4" t="inlineStr">
        <is>
          <t>CREATED</t>
        </is>
      </c>
      <c r="V2050" s="4" t="inlineStr">
        <is>
          <t>idem-20260902-ios-2049</t>
        </is>
      </c>
    </row>
    <row r="2051" ht="30" customHeight="1">
      <c r="A2051" s="4" t="n">
        <v>2050</v>
      </c>
      <c r="B2051" s="4" t="inlineStr">
        <is>
          <t>MTR-IOS-2050</t>
        </is>
      </c>
      <c r="C2051" s="4" t="inlineStr">
        <is>
          <t>Personal</t>
        </is>
      </c>
      <c r="D2051" s="4" t="inlineStr">
        <is>
          <t>Personal</t>
        </is>
      </c>
      <c r="E2051" s="4" t="inlineStr">
        <is>
          <t>Lifestyle</t>
        </is>
      </c>
      <c r="F2051" s="4" t="inlineStr">
        <is>
          <t>Fitness</t>
        </is>
      </c>
      <c r="G2051" s="4" t="inlineStr">
        <is>
          <t>Expense</t>
        </is>
      </c>
      <c r="H2051" s="12" t="n">
        <v>45992</v>
      </c>
      <c r="I2051" s="13" t="n">
        <v>0.06108796296296296</v>
      </c>
      <c r="J2051" s="14" t="n">
        <v>45992.06108796296</v>
      </c>
      <c r="K2051" s="15" t="n">
        <v>6282.36</v>
      </c>
      <c r="L2051" s="4" t="inlineStr">
        <is>
          <t>INR</t>
        </is>
      </c>
      <c r="M2051" s="15" t="n">
        <v>-6282.36</v>
      </c>
      <c r="N2051" s="4" t="inlineStr">
        <is>
          <t>IOS Owner</t>
        </is>
      </c>
      <c r="O2051" s="4" t="n"/>
      <c r="P2051" s="4" t="n"/>
      <c r="Q2051" s="4" t="inlineStr">
        <is>
          <t>MAESTRO-IOS-PERSONAL-LIFESTYLE-2050 | Fitness | 6282.36</t>
        </is>
      </c>
      <c r="R2051" s="4" t="inlineStr">
        <is>
          <t>iPhone</t>
        </is>
      </c>
      <c r="S2051" s="4" t="inlineStr">
        <is>
          <t>B41</t>
        </is>
      </c>
      <c r="T2051" s="4" t="inlineStr">
        <is>
          <t>RAMP_1501_2500</t>
        </is>
      </c>
      <c r="U2051" s="4" t="inlineStr">
        <is>
          <t>CREATED</t>
        </is>
      </c>
      <c r="V2051" s="4" t="inlineStr">
        <is>
          <t>idem-20260902-ios-2050</t>
        </is>
      </c>
    </row>
    <row r="2052" ht="30" customHeight="1">
      <c r="A2052" s="4" t="n">
        <v>2051</v>
      </c>
      <c r="B2052" s="4" t="inlineStr">
        <is>
          <t>MTR-IOS-2051</t>
        </is>
      </c>
      <c r="C2052" s="4" t="inlineStr">
        <is>
          <t>Group</t>
        </is>
      </c>
      <c r="D2052" s="4" t="inlineStr">
        <is>
          <t>Shared Living</t>
        </is>
      </c>
      <c r="E2052" s="4" t="inlineStr">
        <is>
          <t>Shared Living</t>
        </is>
      </c>
      <c r="F2052" s="4" t="inlineStr">
        <is>
          <t>Rent</t>
        </is>
      </c>
      <c r="G2052" s="4" t="inlineStr">
        <is>
          <t>Expense</t>
        </is>
      </c>
      <c r="H2052" s="12" t="n">
        <v>46267</v>
      </c>
      <c r="I2052" s="13" t="n">
        <v>0.9586805555555555</v>
      </c>
      <c r="J2052" s="14" t="n">
        <v>46267.95868055556</v>
      </c>
      <c r="K2052" s="15" t="n">
        <v>22772.43</v>
      </c>
      <c r="L2052" s="4" t="inlineStr">
        <is>
          <t>INR</t>
        </is>
      </c>
      <c r="M2052" s="15" t="n">
        <v>-22772.43</v>
      </c>
      <c r="N2052" s="4" t="inlineStr">
        <is>
          <t>IOS Meera</t>
        </is>
      </c>
      <c r="O2052" s="4" t="n">
        <v>3</v>
      </c>
      <c r="P2052" s="4" t="inlineStr">
        <is>
          <t>SHARES</t>
        </is>
      </c>
      <c r="Q2052" s="4" t="inlineStr">
        <is>
          <t>MAESTRO-IOS-GROUP-SHARED_LIVING-2051 | Rent | 22772.43</t>
        </is>
      </c>
      <c r="R2052" s="4" t="inlineStr">
        <is>
          <t>iPhone</t>
        </is>
      </c>
      <c r="S2052" s="4" t="inlineStr">
        <is>
          <t>B42</t>
        </is>
      </c>
      <c r="T2052" s="4" t="inlineStr">
        <is>
          <t>RAMP_1501_2500</t>
        </is>
      </c>
      <c r="U2052" s="4" t="inlineStr">
        <is>
          <t>CREATED</t>
        </is>
      </c>
      <c r="V2052" s="4" t="inlineStr">
        <is>
          <t>idem-20260902-ios-2051</t>
        </is>
      </c>
    </row>
    <row r="2053" ht="30" customHeight="1">
      <c r="A2053" s="4" t="n">
        <v>2052</v>
      </c>
      <c r="B2053" s="4" t="inlineStr">
        <is>
          <t>MTR-IOS-2052</t>
        </is>
      </c>
      <c r="C2053" s="4" t="inlineStr">
        <is>
          <t>Business</t>
        </is>
      </c>
      <c r="D2053" s="4" t="inlineStr">
        <is>
          <t>Business</t>
        </is>
      </c>
      <c r="E2053" s="4" t="inlineStr">
        <is>
          <t>Business Runway</t>
        </is>
      </c>
      <c r="F2053" s="4" t="inlineStr">
        <is>
          <t>Loan</t>
        </is>
      </c>
      <c r="G2053" s="4" t="inlineStr">
        <is>
          <t>Income</t>
        </is>
      </c>
      <c r="H2053" s="12" t="n">
        <v>45964</v>
      </c>
      <c r="I2053" s="13" t="n">
        <v>0.8567824074074074</v>
      </c>
      <c r="J2053" s="14" t="n">
        <v>45964.85678240741</v>
      </c>
      <c r="K2053" s="15" t="n">
        <v>67434.67999999999</v>
      </c>
      <c r="L2053" s="4" t="inlineStr">
        <is>
          <t>INR</t>
        </is>
      </c>
      <c r="M2053" s="15" t="n">
        <v>67434.67999999999</v>
      </c>
      <c r="N2053" s="4" t="inlineStr">
        <is>
          <t>IOS Owner</t>
        </is>
      </c>
      <c r="O2053" s="4" t="n"/>
      <c r="P2053" s="4" t="n"/>
      <c r="Q2053" s="4" t="inlineStr">
        <is>
          <t>MAESTRO-IOS-BUSINESS-BUSINESS_RUNWAY-2052 | Loan | 67434.68</t>
        </is>
      </c>
      <c r="R2053" s="4" t="inlineStr">
        <is>
          <t>iPhone</t>
        </is>
      </c>
      <c r="S2053" s="4" t="inlineStr">
        <is>
          <t>B42</t>
        </is>
      </c>
      <c r="T2053" s="4" t="inlineStr">
        <is>
          <t>RAMP_1501_2500</t>
        </is>
      </c>
      <c r="U2053" s="4" t="inlineStr">
        <is>
          <t>CREATED</t>
        </is>
      </c>
      <c r="V2053" s="4" t="inlineStr">
        <is>
          <t>idem-20260902-ios-2052</t>
        </is>
      </c>
    </row>
    <row r="2054" ht="30" customHeight="1">
      <c r="A2054" s="4" t="n">
        <v>2053</v>
      </c>
      <c r="B2054" s="4" t="inlineStr">
        <is>
          <t>MTR-IOS-2053</t>
        </is>
      </c>
      <c r="C2054" s="4" t="inlineStr">
        <is>
          <t>Personal</t>
        </is>
      </c>
      <c r="D2054" s="4" t="inlineStr">
        <is>
          <t>Personal</t>
        </is>
      </c>
      <c r="E2054" s="4" t="inlineStr">
        <is>
          <t>Lifestyle</t>
        </is>
      </c>
      <c r="F2054" s="4" t="inlineStr">
        <is>
          <t>Hobbies</t>
        </is>
      </c>
      <c r="G2054" s="4" t="inlineStr">
        <is>
          <t>Expense</t>
        </is>
      </c>
      <c r="H2054" s="12" t="n">
        <v>46129</v>
      </c>
      <c r="I2054" s="13" t="n">
        <v>0.3567013888888889</v>
      </c>
      <c r="J2054" s="14" t="n">
        <v>46129.35670138889</v>
      </c>
      <c r="K2054" s="15" t="n">
        <v>8404.440000000001</v>
      </c>
      <c r="L2054" s="4" t="inlineStr">
        <is>
          <t>INR</t>
        </is>
      </c>
      <c r="M2054" s="15" t="n">
        <v>-8404.440000000001</v>
      </c>
      <c r="N2054" s="4" t="inlineStr">
        <is>
          <t>IOS Owner</t>
        </is>
      </c>
      <c r="O2054" s="4" t="n"/>
      <c r="P2054" s="4" t="n"/>
      <c r="Q2054" s="4" t="inlineStr">
        <is>
          <t>MAESTRO-IOS-PERSONAL-LIFESTYLE-2053 | Hobbies | 8404.44</t>
        </is>
      </c>
      <c r="R2054" s="4" t="inlineStr">
        <is>
          <t>iPhone</t>
        </is>
      </c>
      <c r="S2054" s="4" t="inlineStr">
        <is>
          <t>B42</t>
        </is>
      </c>
      <c r="T2054" s="4" t="inlineStr">
        <is>
          <t>RAMP_1501_2500</t>
        </is>
      </c>
      <c r="U2054" s="4" t="inlineStr">
        <is>
          <t>CREATED</t>
        </is>
      </c>
      <c r="V2054" s="4" t="inlineStr">
        <is>
          <t>idem-20260902-ios-2053</t>
        </is>
      </c>
    </row>
    <row r="2055" ht="30" customHeight="1">
      <c r="A2055" s="4" t="n">
        <v>2054</v>
      </c>
      <c r="B2055" s="4" t="inlineStr">
        <is>
          <t>MTR-IOS-2054</t>
        </is>
      </c>
      <c r="C2055" s="4" t="inlineStr">
        <is>
          <t>Group</t>
        </is>
      </c>
      <c r="D2055" s="4" t="inlineStr">
        <is>
          <t>Shared Living</t>
        </is>
      </c>
      <c r="E2055" s="4" t="inlineStr">
        <is>
          <t>Shared Living</t>
        </is>
      </c>
      <c r="F2055" s="4" t="inlineStr">
        <is>
          <t>Utilities</t>
        </is>
      </c>
      <c r="G2055" s="4" t="inlineStr">
        <is>
          <t>Expense</t>
        </is>
      </c>
      <c r="H2055" s="12" t="n">
        <v>46151</v>
      </c>
      <c r="I2055" s="13" t="n">
        <v>0.4767592592592593</v>
      </c>
      <c r="J2055" s="14" t="n">
        <v>46151.47675925926</v>
      </c>
      <c r="K2055" s="15" t="n">
        <v>6095.17</v>
      </c>
      <c r="L2055" s="4" t="inlineStr">
        <is>
          <t>INR</t>
        </is>
      </c>
      <c r="M2055" s="15" t="n">
        <v>-6095.17</v>
      </c>
      <c r="N2055" s="4" t="inlineStr">
        <is>
          <t>IOS Owner</t>
        </is>
      </c>
      <c r="O2055" s="4" t="n">
        <v>3</v>
      </c>
      <c r="P2055" s="4" t="inlineStr">
        <is>
          <t>EQUAL</t>
        </is>
      </c>
      <c r="Q2055" s="4" t="inlineStr">
        <is>
          <t>MAESTRO-IOS-GROUP-SHARED_LIVING-2054 | Utilities | 6095.17</t>
        </is>
      </c>
      <c r="R2055" s="4" t="inlineStr">
        <is>
          <t>iPhone</t>
        </is>
      </c>
      <c r="S2055" s="4" t="inlineStr">
        <is>
          <t>B42</t>
        </is>
      </c>
      <c r="T2055" s="4" t="inlineStr">
        <is>
          <t>RAMP_1501_2500</t>
        </is>
      </c>
      <c r="U2055" s="4" t="inlineStr">
        <is>
          <t>CREATED</t>
        </is>
      </c>
      <c r="V2055" s="4" t="inlineStr">
        <is>
          <t>idem-20260902-ios-2054</t>
        </is>
      </c>
    </row>
    <row r="2056" ht="30" customHeight="1">
      <c r="A2056" s="4" t="n">
        <v>2055</v>
      </c>
      <c r="B2056" s="4" t="inlineStr">
        <is>
          <t>MTR-IOS-2055</t>
        </is>
      </c>
      <c r="C2056" s="4" t="inlineStr">
        <is>
          <t>Business</t>
        </is>
      </c>
      <c r="D2056" s="4" t="inlineStr">
        <is>
          <t>Business</t>
        </is>
      </c>
      <c r="E2056" s="4" t="inlineStr">
        <is>
          <t>Business Runway</t>
        </is>
      </c>
      <c r="F2056" s="4" t="inlineStr">
        <is>
          <t>Investment</t>
        </is>
      </c>
      <c r="G2056" s="4" t="inlineStr">
        <is>
          <t>Income</t>
        </is>
      </c>
      <c r="H2056" s="12" t="n">
        <v>46090</v>
      </c>
      <c r="I2056" s="13" t="n">
        <v>0.3560648148148148</v>
      </c>
      <c r="J2056" s="14" t="n">
        <v>46090.35606481481</v>
      </c>
      <c r="K2056" s="15" t="n">
        <v>10087.13</v>
      </c>
      <c r="L2056" s="4" t="inlineStr">
        <is>
          <t>INR</t>
        </is>
      </c>
      <c r="M2056" s="15" t="n">
        <v>10087.13</v>
      </c>
      <c r="N2056" s="4" t="inlineStr">
        <is>
          <t>IOS Owner</t>
        </is>
      </c>
      <c r="O2056" s="4" t="n"/>
      <c r="P2056" s="4" t="n"/>
      <c r="Q2056" s="4" t="inlineStr">
        <is>
          <t>MAESTRO-IOS-BUSINESS-BUSINESS_RUNWAY-2055 | Investment | 10087.13</t>
        </is>
      </c>
      <c r="R2056" s="4" t="inlineStr">
        <is>
          <t>iPhone</t>
        </is>
      </c>
      <c r="S2056" s="4" t="inlineStr">
        <is>
          <t>B42</t>
        </is>
      </c>
      <c r="T2056" s="4" t="inlineStr">
        <is>
          <t>RAMP_1501_2500</t>
        </is>
      </c>
      <c r="U2056" s="4" t="inlineStr">
        <is>
          <t>CREATED</t>
        </is>
      </c>
      <c r="V2056" s="4" t="inlineStr">
        <is>
          <t>idem-20260902-ios-2055</t>
        </is>
      </c>
    </row>
    <row r="2057" ht="30" customHeight="1">
      <c r="A2057" s="4" t="n">
        <v>2056</v>
      </c>
      <c r="B2057" s="4" t="inlineStr">
        <is>
          <t>MTR-IOS-2056</t>
        </is>
      </c>
      <c r="C2057" s="4" t="inlineStr">
        <is>
          <t>Personal</t>
        </is>
      </c>
      <c r="D2057" s="4" t="inlineStr">
        <is>
          <t>Personal</t>
        </is>
      </c>
      <c r="E2057" s="4" t="inlineStr">
        <is>
          <t>Relationships</t>
        </is>
      </c>
      <c r="F2057" s="4" t="inlineStr">
        <is>
          <t>Gifts</t>
        </is>
      </c>
      <c r="G2057" s="4" t="inlineStr">
        <is>
          <t>Expense</t>
        </is>
      </c>
      <c r="H2057" s="12" t="n">
        <v>46093</v>
      </c>
      <c r="I2057" s="13" t="n">
        <v>0.3935300925925926</v>
      </c>
      <c r="J2057" s="14" t="n">
        <v>46093.3935300926</v>
      </c>
      <c r="K2057" s="15" t="n">
        <v>5377.68</v>
      </c>
      <c r="L2057" s="4" t="inlineStr">
        <is>
          <t>INR</t>
        </is>
      </c>
      <c r="M2057" s="15" t="n">
        <v>-5377.68</v>
      </c>
      <c r="N2057" s="4" t="inlineStr">
        <is>
          <t>IOS Owner</t>
        </is>
      </c>
      <c r="O2057" s="4" t="n"/>
      <c r="P2057" s="4" t="n"/>
      <c r="Q2057" s="4" t="inlineStr">
        <is>
          <t>MAESTRO-IOS-PERSONAL-RELATIONSHIPS-2056 | Gifts | 5377.68</t>
        </is>
      </c>
      <c r="R2057" s="4" t="inlineStr">
        <is>
          <t>iPhone</t>
        </is>
      </c>
      <c r="S2057" s="4" t="inlineStr">
        <is>
          <t>B42</t>
        </is>
      </c>
      <c r="T2057" s="4" t="inlineStr">
        <is>
          <t>RAMP_1501_2500</t>
        </is>
      </c>
      <c r="U2057" s="4" t="inlineStr">
        <is>
          <t>CREATED</t>
        </is>
      </c>
      <c r="V2057" s="4" t="inlineStr">
        <is>
          <t>idem-20260902-ios-2056</t>
        </is>
      </c>
    </row>
    <row r="2058" ht="30" customHeight="1">
      <c r="A2058" s="4" t="n">
        <v>2057</v>
      </c>
      <c r="B2058" s="4" t="inlineStr">
        <is>
          <t>MTR-IOS-2057</t>
        </is>
      </c>
      <c r="C2058" s="4" t="inlineStr">
        <is>
          <t>Group</t>
        </is>
      </c>
      <c r="D2058" s="4" t="inlineStr">
        <is>
          <t>Shared Living</t>
        </is>
      </c>
      <c r="E2058" s="4" t="inlineStr">
        <is>
          <t>Shared Living</t>
        </is>
      </c>
      <c r="F2058" s="4" t="inlineStr">
        <is>
          <t>Groceries</t>
        </is>
      </c>
      <c r="G2058" s="4" t="inlineStr">
        <is>
          <t>Expense</t>
        </is>
      </c>
      <c r="H2058" s="12" t="n">
        <v>46212</v>
      </c>
      <c r="I2058" s="13" t="n">
        <v>0.7499074074074074</v>
      </c>
      <c r="J2058" s="14" t="n">
        <v>46212.74990740741</v>
      </c>
      <c r="K2058" s="15" t="n">
        <v>3275.88</v>
      </c>
      <c r="L2058" s="4" t="inlineStr">
        <is>
          <t>INR</t>
        </is>
      </c>
      <c r="M2058" s="15" t="n">
        <v>-3275.88</v>
      </c>
      <c r="N2058" s="4" t="inlineStr">
        <is>
          <t>IOS Aarav</t>
        </is>
      </c>
      <c r="O2058" s="4" t="n">
        <v>3</v>
      </c>
      <c r="P2058" s="4" t="inlineStr">
        <is>
          <t>PERCENTAGE</t>
        </is>
      </c>
      <c r="Q2058" s="4" t="inlineStr">
        <is>
          <t>MAESTRO-IOS-GROUP-SHARED_LIVING-2057 | Groceries | 3275.88</t>
        </is>
      </c>
      <c r="R2058" s="4" t="inlineStr">
        <is>
          <t>iPhone</t>
        </is>
      </c>
      <c r="S2058" s="4" t="inlineStr">
        <is>
          <t>B42</t>
        </is>
      </c>
      <c r="T2058" s="4" t="inlineStr">
        <is>
          <t>RAMP_1501_2500</t>
        </is>
      </c>
      <c r="U2058" s="4" t="inlineStr">
        <is>
          <t>CREATED</t>
        </is>
      </c>
      <c r="V2058" s="4" t="inlineStr">
        <is>
          <t>idem-20260902-ios-2057</t>
        </is>
      </c>
    </row>
    <row r="2059" ht="30" customHeight="1">
      <c r="A2059" s="4" t="n">
        <v>2058</v>
      </c>
      <c r="B2059" s="4" t="inlineStr">
        <is>
          <t>MTR-IOS-2058</t>
        </is>
      </c>
      <c r="C2059" s="4" t="inlineStr">
        <is>
          <t>Business</t>
        </is>
      </c>
      <c r="D2059" s="4" t="inlineStr">
        <is>
          <t>Business</t>
        </is>
      </c>
      <c r="E2059" s="4" t="inlineStr">
        <is>
          <t>Business Operations</t>
        </is>
      </c>
      <c r="F2059" s="4" t="inlineStr">
        <is>
          <t>Software</t>
        </is>
      </c>
      <c r="G2059" s="4" t="inlineStr">
        <is>
          <t>Expense</t>
        </is>
      </c>
      <c r="H2059" s="12" t="n">
        <v>46153</v>
      </c>
      <c r="I2059" s="13" t="n">
        <v>0.3203356481481481</v>
      </c>
      <c r="J2059" s="14" t="n">
        <v>46153.32033564815</v>
      </c>
      <c r="K2059" s="15" t="n">
        <v>125390.43</v>
      </c>
      <c r="L2059" s="4" t="inlineStr">
        <is>
          <t>INR</t>
        </is>
      </c>
      <c r="M2059" s="15" t="n">
        <v>-125390.43</v>
      </c>
      <c r="N2059" s="4" t="inlineStr">
        <is>
          <t>IOS Owner</t>
        </is>
      </c>
      <c r="O2059" s="4" t="n"/>
      <c r="P2059" s="4" t="n"/>
      <c r="Q2059" s="4" t="inlineStr">
        <is>
          <t>MAESTRO-IOS-BUSINESS-BUSINESS_OPERATIONS-2058 | Software | 125390.43</t>
        </is>
      </c>
      <c r="R2059" s="4" t="inlineStr">
        <is>
          <t>iPhone</t>
        </is>
      </c>
      <c r="S2059" s="4" t="inlineStr">
        <is>
          <t>B42</t>
        </is>
      </c>
      <c r="T2059" s="4" t="inlineStr">
        <is>
          <t>RAMP_1501_2500</t>
        </is>
      </c>
      <c r="U2059" s="4" t="inlineStr">
        <is>
          <t>CREATED</t>
        </is>
      </c>
      <c r="V2059" s="4" t="inlineStr">
        <is>
          <t>idem-20260902-ios-2058</t>
        </is>
      </c>
    </row>
    <row r="2060" ht="30" customHeight="1">
      <c r="A2060" s="4" t="n">
        <v>2059</v>
      </c>
      <c r="B2060" s="4" t="inlineStr">
        <is>
          <t>MTR-IOS-2059</t>
        </is>
      </c>
      <c r="C2060" s="4" t="inlineStr">
        <is>
          <t>Personal</t>
        </is>
      </c>
      <c r="D2060" s="4" t="inlineStr">
        <is>
          <t>Personal</t>
        </is>
      </c>
      <c r="E2060" s="4" t="inlineStr">
        <is>
          <t>Relationships</t>
        </is>
      </c>
      <c r="F2060" s="4" t="inlineStr">
        <is>
          <t>Dates</t>
        </is>
      </c>
      <c r="G2060" s="4" t="inlineStr">
        <is>
          <t>Expense</t>
        </is>
      </c>
      <c r="H2060" s="12" t="n">
        <v>45986</v>
      </c>
      <c r="I2060" s="13" t="n">
        <v>0.1261689814814815</v>
      </c>
      <c r="J2060" s="14" t="n">
        <v>45986.12616898148</v>
      </c>
      <c r="K2060" s="15" t="n">
        <v>14930.6</v>
      </c>
      <c r="L2060" s="4" t="inlineStr">
        <is>
          <t>INR</t>
        </is>
      </c>
      <c r="M2060" s="15" t="n">
        <v>-14930.6</v>
      </c>
      <c r="N2060" s="4" t="inlineStr">
        <is>
          <t>IOS Owner</t>
        </is>
      </c>
      <c r="O2060" s="4" t="n"/>
      <c r="P2060" s="4" t="n"/>
      <c r="Q2060" s="4" t="inlineStr">
        <is>
          <t>MAESTRO-IOS-PERSONAL-RELATIONSHIPS-2059 | Dates | 14930.60</t>
        </is>
      </c>
      <c r="R2060" s="4" t="inlineStr">
        <is>
          <t>iPhone</t>
        </is>
      </c>
      <c r="S2060" s="4" t="inlineStr">
        <is>
          <t>B42</t>
        </is>
      </c>
      <c r="T2060" s="4" t="inlineStr">
        <is>
          <t>RAMP_1501_2500</t>
        </is>
      </c>
      <c r="U2060" s="4" t="inlineStr">
        <is>
          <t>CREATED</t>
        </is>
      </c>
      <c r="V2060" s="4" t="inlineStr">
        <is>
          <t>idem-20260902-ios-2059</t>
        </is>
      </c>
    </row>
    <row r="2061" ht="30" customHeight="1">
      <c r="A2061" s="4" t="n">
        <v>2060</v>
      </c>
      <c r="B2061" s="4" t="inlineStr">
        <is>
          <t>MTR-IOS-2060</t>
        </is>
      </c>
      <c r="C2061" s="4" t="inlineStr">
        <is>
          <t>Group</t>
        </is>
      </c>
      <c r="D2061" s="4" t="inlineStr">
        <is>
          <t>Shared Living</t>
        </is>
      </c>
      <c r="E2061" s="4" t="inlineStr">
        <is>
          <t>Shared Living</t>
        </is>
      </c>
      <c r="F2061" s="4" t="inlineStr">
        <is>
          <t>Maintenance</t>
        </is>
      </c>
      <c r="G2061" s="4" t="inlineStr">
        <is>
          <t>Expense</t>
        </is>
      </c>
      <c r="H2061" s="12" t="n">
        <v>46059</v>
      </c>
      <c r="I2061" s="13" t="n">
        <v>0.682037037037037</v>
      </c>
      <c r="J2061" s="14" t="n">
        <v>46059.68203703704</v>
      </c>
      <c r="K2061" s="15" t="n">
        <v>2637.65</v>
      </c>
      <c r="L2061" s="4" t="inlineStr">
        <is>
          <t>INR</t>
        </is>
      </c>
      <c r="M2061" s="15" t="n">
        <v>-2637.65</v>
      </c>
      <c r="N2061" s="4" t="inlineStr">
        <is>
          <t>IOS Meera</t>
        </is>
      </c>
      <c r="O2061" s="4" t="n">
        <v>3</v>
      </c>
      <c r="P2061" s="4" t="inlineStr">
        <is>
          <t>EXACT</t>
        </is>
      </c>
      <c r="Q2061" s="4" t="inlineStr">
        <is>
          <t>MAESTRO-IOS-GROUP-SHARED_LIVING-2060 | Maintenance | 2637.65</t>
        </is>
      </c>
      <c r="R2061" s="4" t="inlineStr">
        <is>
          <t>iPhone</t>
        </is>
      </c>
      <c r="S2061" s="4" t="inlineStr">
        <is>
          <t>B42</t>
        </is>
      </c>
      <c r="T2061" s="4" t="inlineStr">
        <is>
          <t>RAMP_1501_2500</t>
        </is>
      </c>
      <c r="U2061" s="4" t="inlineStr">
        <is>
          <t>CREATED</t>
        </is>
      </c>
      <c r="V2061" s="4" t="inlineStr">
        <is>
          <t>idem-20260902-ios-2060</t>
        </is>
      </c>
    </row>
    <row r="2062" ht="30" customHeight="1">
      <c r="A2062" s="4" t="n">
        <v>2061</v>
      </c>
      <c r="B2062" s="4" t="inlineStr">
        <is>
          <t>MTR-IOS-2061</t>
        </is>
      </c>
      <c r="C2062" s="4" t="inlineStr">
        <is>
          <t>Business</t>
        </is>
      </c>
      <c r="D2062" s="4" t="inlineStr">
        <is>
          <t>Business</t>
        </is>
      </c>
      <c r="E2062" s="4" t="inlineStr">
        <is>
          <t>Business Operations</t>
        </is>
      </c>
      <c r="F2062" s="4" t="inlineStr">
        <is>
          <t>Rent</t>
        </is>
      </c>
      <c r="G2062" s="4" t="inlineStr">
        <is>
          <t>Expense</t>
        </is>
      </c>
      <c r="H2062" s="12" t="n">
        <v>46015</v>
      </c>
      <c r="I2062" s="13" t="n">
        <v>0.4749189814814815</v>
      </c>
      <c r="J2062" s="14" t="n">
        <v>46015.47491898148</v>
      </c>
      <c r="K2062" s="15" t="n">
        <v>111844.67</v>
      </c>
      <c r="L2062" s="4" t="inlineStr">
        <is>
          <t>INR</t>
        </is>
      </c>
      <c r="M2062" s="15" t="n">
        <v>-111844.67</v>
      </c>
      <c r="N2062" s="4" t="inlineStr">
        <is>
          <t>IOS Owner</t>
        </is>
      </c>
      <c r="O2062" s="4" t="n"/>
      <c r="P2062" s="4" t="n"/>
      <c r="Q2062" s="4" t="inlineStr">
        <is>
          <t>MAESTRO-IOS-BUSINESS-BUSINESS_OPERATIONS-2061 | Rent | 111844.67</t>
        </is>
      </c>
      <c r="R2062" s="4" t="inlineStr">
        <is>
          <t>iPhone</t>
        </is>
      </c>
      <c r="S2062" s="4" t="inlineStr">
        <is>
          <t>B42</t>
        </is>
      </c>
      <c r="T2062" s="4" t="inlineStr">
        <is>
          <t>RAMP_1501_2500</t>
        </is>
      </c>
      <c r="U2062" s="4" t="inlineStr">
        <is>
          <t>CREATED</t>
        </is>
      </c>
      <c r="V2062" s="4" t="inlineStr">
        <is>
          <t>idem-20260902-ios-2061</t>
        </is>
      </c>
    </row>
    <row r="2063" ht="30" customHeight="1">
      <c r="A2063" s="4" t="n">
        <v>2062</v>
      </c>
      <c r="B2063" s="4" t="inlineStr">
        <is>
          <t>MTR-IOS-2062</t>
        </is>
      </c>
      <c r="C2063" s="4" t="inlineStr">
        <is>
          <t>Personal</t>
        </is>
      </c>
      <c r="D2063" s="4" t="inlineStr">
        <is>
          <t>Personal</t>
        </is>
      </c>
      <c r="E2063" s="4" t="inlineStr">
        <is>
          <t>Relationships</t>
        </is>
      </c>
      <c r="F2063" s="4" t="inlineStr">
        <is>
          <t>Family</t>
        </is>
      </c>
      <c r="G2063" s="4" t="inlineStr">
        <is>
          <t>Expense</t>
        </is>
      </c>
      <c r="H2063" s="12" t="n">
        <v>46015</v>
      </c>
      <c r="I2063" s="13" t="n">
        <v>0.1116203703703704</v>
      </c>
      <c r="J2063" s="14" t="n">
        <v>46015.11162037037</v>
      </c>
      <c r="K2063" s="15" t="n">
        <v>2318.76</v>
      </c>
      <c r="L2063" s="4" t="inlineStr">
        <is>
          <t>INR</t>
        </is>
      </c>
      <c r="M2063" s="15" t="n">
        <v>-2318.76</v>
      </c>
      <c r="N2063" s="4" t="inlineStr">
        <is>
          <t>IOS Owner</t>
        </is>
      </c>
      <c r="O2063" s="4" t="n"/>
      <c r="P2063" s="4" t="n"/>
      <c r="Q2063" s="4" t="inlineStr">
        <is>
          <t>MAESTRO-IOS-PERSONAL-RELATIONSHIPS-2062 | Family | 2318.76</t>
        </is>
      </c>
      <c r="R2063" s="4" t="inlineStr">
        <is>
          <t>iPhone</t>
        </is>
      </c>
      <c r="S2063" s="4" t="inlineStr">
        <is>
          <t>B42</t>
        </is>
      </c>
      <c r="T2063" s="4" t="inlineStr">
        <is>
          <t>RAMP_1501_2500</t>
        </is>
      </c>
      <c r="U2063" s="4" t="inlineStr">
        <is>
          <t>CREATED</t>
        </is>
      </c>
      <c r="V2063" s="4" t="inlineStr">
        <is>
          <t>idem-20260902-ios-2062</t>
        </is>
      </c>
    </row>
    <row r="2064" ht="30" customHeight="1">
      <c r="A2064" s="4" t="n">
        <v>2063</v>
      </c>
      <c r="B2064" s="4" t="inlineStr">
        <is>
          <t>MTR-IOS-2063</t>
        </is>
      </c>
      <c r="C2064" s="4" t="inlineStr">
        <is>
          <t>Group</t>
        </is>
      </c>
      <c r="D2064" s="4" t="inlineStr">
        <is>
          <t>Shared Living</t>
        </is>
      </c>
      <c r="E2064" s="4" t="inlineStr">
        <is>
          <t>Shared Living</t>
        </is>
      </c>
      <c r="F2064" s="4" t="inlineStr">
        <is>
          <t>Other</t>
        </is>
      </c>
      <c r="G2064" s="4" t="inlineStr">
        <is>
          <t>Expense</t>
        </is>
      </c>
      <c r="H2064" s="12" t="n">
        <v>45938</v>
      </c>
      <c r="I2064" s="13" t="n">
        <v>0.2233217592592593</v>
      </c>
      <c r="J2064" s="14" t="n">
        <v>45938.22332175926</v>
      </c>
      <c r="K2064" s="15" t="n">
        <v>4785.65</v>
      </c>
      <c r="L2064" s="4" t="inlineStr">
        <is>
          <t>INR</t>
        </is>
      </c>
      <c r="M2064" s="15" t="n">
        <v>-4785.65</v>
      </c>
      <c r="N2064" s="4" t="inlineStr">
        <is>
          <t>IOS Owner</t>
        </is>
      </c>
      <c r="O2064" s="4" t="n">
        <v>3</v>
      </c>
      <c r="P2064" s="4" t="inlineStr">
        <is>
          <t>SHARES</t>
        </is>
      </c>
      <c r="Q2064" s="4" t="inlineStr">
        <is>
          <t>MAESTRO-IOS-GROUP-SHARED_LIVING-2063 | Other | 4785.65</t>
        </is>
      </c>
      <c r="R2064" s="4" t="inlineStr">
        <is>
          <t>iPhone</t>
        </is>
      </c>
      <c r="S2064" s="4" t="inlineStr">
        <is>
          <t>B42</t>
        </is>
      </c>
      <c r="T2064" s="4" t="inlineStr">
        <is>
          <t>RAMP_1501_2500</t>
        </is>
      </c>
      <c r="U2064" s="4" t="inlineStr">
        <is>
          <t>CREATED</t>
        </is>
      </c>
      <c r="V2064" s="4" t="inlineStr">
        <is>
          <t>idem-20260902-ios-2063</t>
        </is>
      </c>
    </row>
    <row r="2065" ht="30" customHeight="1">
      <c r="A2065" s="4" t="n">
        <v>2064</v>
      </c>
      <c r="B2065" s="4" t="inlineStr">
        <is>
          <t>MTR-IOS-2064</t>
        </is>
      </c>
      <c r="C2065" s="4" t="inlineStr">
        <is>
          <t>Business</t>
        </is>
      </c>
      <c r="D2065" s="4" t="inlineStr">
        <is>
          <t>Business</t>
        </is>
      </c>
      <c r="E2065" s="4" t="inlineStr">
        <is>
          <t>Business Operations</t>
        </is>
      </c>
      <c r="F2065" s="4" t="inlineStr">
        <is>
          <t>Marketing</t>
        </is>
      </c>
      <c r="G2065" s="4" t="inlineStr">
        <is>
          <t>Expense</t>
        </is>
      </c>
      <c r="H2065" s="12" t="n">
        <v>45972</v>
      </c>
      <c r="I2065" s="13" t="n">
        <v>0.7651736111111112</v>
      </c>
      <c r="J2065" s="14" t="n">
        <v>45972.76517361111</v>
      </c>
      <c r="K2065" s="15" t="n">
        <v>148929.98</v>
      </c>
      <c r="L2065" s="4" t="inlineStr">
        <is>
          <t>INR</t>
        </is>
      </c>
      <c r="M2065" s="15" t="n">
        <v>-148929.98</v>
      </c>
      <c r="N2065" s="4" t="inlineStr">
        <is>
          <t>IOS Owner</t>
        </is>
      </c>
      <c r="O2065" s="4" t="n"/>
      <c r="P2065" s="4" t="n"/>
      <c r="Q2065" s="4" t="inlineStr">
        <is>
          <t>MAESTRO-IOS-BUSINESS-BUSINESS_OPERATIONS-2064 | Marketing | 148929.98</t>
        </is>
      </c>
      <c r="R2065" s="4" t="inlineStr">
        <is>
          <t>iPhone</t>
        </is>
      </c>
      <c r="S2065" s="4" t="inlineStr">
        <is>
          <t>B42</t>
        </is>
      </c>
      <c r="T2065" s="4" t="inlineStr">
        <is>
          <t>RAMP_1501_2500</t>
        </is>
      </c>
      <c r="U2065" s="4" t="inlineStr">
        <is>
          <t>CREATED</t>
        </is>
      </c>
      <c r="V2065" s="4" t="inlineStr">
        <is>
          <t>idem-20260902-ios-2064</t>
        </is>
      </c>
    </row>
    <row r="2066" ht="30" customHeight="1">
      <c r="A2066" s="4" t="n">
        <v>2065</v>
      </c>
      <c r="B2066" s="4" t="inlineStr">
        <is>
          <t>MTR-IOS-2065</t>
        </is>
      </c>
      <c r="C2066" s="4" t="inlineStr">
        <is>
          <t>Personal</t>
        </is>
      </c>
      <c r="D2066" s="4" t="inlineStr">
        <is>
          <t>Personal</t>
        </is>
      </c>
      <c r="E2066" s="4" t="inlineStr">
        <is>
          <t>Relationships</t>
        </is>
      </c>
      <c r="F2066" s="4" t="inlineStr">
        <is>
          <t>Friends</t>
        </is>
      </c>
      <c r="G2066" s="4" t="inlineStr">
        <is>
          <t>Expense</t>
        </is>
      </c>
      <c r="H2066" s="12" t="n">
        <v>46152</v>
      </c>
      <c r="I2066" s="13" t="n">
        <v>0.1766087962962963</v>
      </c>
      <c r="J2066" s="14" t="n">
        <v>46152.1766087963</v>
      </c>
      <c r="K2066" s="15" t="n">
        <v>4272.48</v>
      </c>
      <c r="L2066" s="4" t="inlineStr">
        <is>
          <t>INR</t>
        </is>
      </c>
      <c r="M2066" s="15" t="n">
        <v>-4272.48</v>
      </c>
      <c r="N2066" s="4" t="inlineStr">
        <is>
          <t>IOS Owner</t>
        </is>
      </c>
      <c r="O2066" s="4" t="n"/>
      <c r="P2066" s="4" t="n"/>
      <c r="Q2066" s="4" t="inlineStr">
        <is>
          <t>MAESTRO-IOS-PERSONAL-RELATIONSHIPS-2065 | Friends | 4272.48</t>
        </is>
      </c>
      <c r="R2066" s="4" t="inlineStr">
        <is>
          <t>iPhone</t>
        </is>
      </c>
      <c r="S2066" s="4" t="inlineStr">
        <is>
          <t>B42</t>
        </is>
      </c>
      <c r="T2066" s="4" t="inlineStr">
        <is>
          <t>RAMP_1501_2500</t>
        </is>
      </c>
      <c r="U2066" s="4" t="inlineStr">
        <is>
          <t>CREATED</t>
        </is>
      </c>
      <c r="V2066" s="4" t="inlineStr">
        <is>
          <t>idem-20260902-ios-2065</t>
        </is>
      </c>
    </row>
    <row r="2067" ht="30" customHeight="1">
      <c r="A2067" s="4" t="n">
        <v>2066</v>
      </c>
      <c r="B2067" s="4" t="inlineStr">
        <is>
          <t>MTR-IOS-2066</t>
        </is>
      </c>
      <c r="C2067" s="4" t="inlineStr">
        <is>
          <t>Group</t>
        </is>
      </c>
      <c r="D2067" s="4" t="inlineStr">
        <is>
          <t>Shared Living</t>
        </is>
      </c>
      <c r="E2067" s="4" t="inlineStr">
        <is>
          <t>Family Household</t>
        </is>
      </c>
      <c r="F2067" s="4" t="inlineStr">
        <is>
          <t>Groceries</t>
        </is>
      </c>
      <c r="G2067" s="4" t="inlineStr">
        <is>
          <t>Expense</t>
        </is>
      </c>
      <c r="H2067" s="12" t="n">
        <v>46200</v>
      </c>
      <c r="I2067" s="13" t="n">
        <v>0.4631944444444445</v>
      </c>
      <c r="J2067" s="14" t="n">
        <v>46200.46319444444</v>
      </c>
      <c r="K2067" s="15" t="n">
        <v>14357.86</v>
      </c>
      <c r="L2067" s="4" t="inlineStr">
        <is>
          <t>INR</t>
        </is>
      </c>
      <c r="M2067" s="15" t="n">
        <v>-14357.86</v>
      </c>
      <c r="N2067" s="4" t="inlineStr">
        <is>
          <t>IOS Aarav</t>
        </is>
      </c>
      <c r="O2067" s="4" t="n">
        <v>3</v>
      </c>
      <c r="P2067" s="4" t="inlineStr">
        <is>
          <t>EQUAL</t>
        </is>
      </c>
      <c r="Q2067" s="4" t="inlineStr">
        <is>
          <t>MAESTRO-IOS-GROUP-FAMILY_HOUSEHOLD-2066 | Groceries | 14357.86</t>
        </is>
      </c>
      <c r="R2067" s="4" t="inlineStr">
        <is>
          <t>iPhone</t>
        </is>
      </c>
      <c r="S2067" s="4" t="inlineStr">
        <is>
          <t>B42</t>
        </is>
      </c>
      <c r="T2067" s="4" t="inlineStr">
        <is>
          <t>RAMP_1501_2500</t>
        </is>
      </c>
      <c r="U2067" s="4" t="inlineStr">
        <is>
          <t>CREATED</t>
        </is>
      </c>
      <c r="V2067" s="4" t="inlineStr">
        <is>
          <t>idem-20260902-ios-2066</t>
        </is>
      </c>
    </row>
    <row r="2068" ht="30" customHeight="1">
      <c r="A2068" s="4" t="n">
        <v>2067</v>
      </c>
      <c r="B2068" s="4" t="inlineStr">
        <is>
          <t>MTR-IOS-2067</t>
        </is>
      </c>
      <c r="C2068" s="4" t="inlineStr">
        <is>
          <t>Business</t>
        </is>
      </c>
      <c r="D2068" s="4" t="inlineStr">
        <is>
          <t>Business</t>
        </is>
      </c>
      <c r="E2068" s="4" t="inlineStr">
        <is>
          <t>Business Operations</t>
        </is>
      </c>
      <c r="F2068" s="4" t="inlineStr">
        <is>
          <t>Legal</t>
        </is>
      </c>
      <c r="G2068" s="4" t="inlineStr">
        <is>
          <t>Expense</t>
        </is>
      </c>
      <c r="H2068" s="12" t="n">
        <v>46010</v>
      </c>
      <c r="I2068" s="13" t="n">
        <v>0.5917939814814814</v>
      </c>
      <c r="J2068" s="14" t="n">
        <v>46010.59179398148</v>
      </c>
      <c r="K2068" s="15" t="n">
        <v>116968.65</v>
      </c>
      <c r="L2068" s="4" t="inlineStr">
        <is>
          <t>INR</t>
        </is>
      </c>
      <c r="M2068" s="15" t="n">
        <v>-116968.65</v>
      </c>
      <c r="N2068" s="4" t="inlineStr">
        <is>
          <t>IOS Owner</t>
        </is>
      </c>
      <c r="O2068" s="4" t="n"/>
      <c r="P2068" s="4" t="n"/>
      <c r="Q2068" s="4" t="inlineStr">
        <is>
          <t>MAESTRO-IOS-BUSINESS-BUSINESS_OPERATIONS-2067 | Legal | 116968.65</t>
        </is>
      </c>
      <c r="R2068" s="4" t="inlineStr">
        <is>
          <t>iPhone</t>
        </is>
      </c>
      <c r="S2068" s="4" t="inlineStr">
        <is>
          <t>B42</t>
        </is>
      </c>
      <c r="T2068" s="4" t="inlineStr">
        <is>
          <t>RAMP_1501_2500</t>
        </is>
      </c>
      <c r="U2068" s="4" t="inlineStr">
        <is>
          <t>CREATED</t>
        </is>
      </c>
      <c r="V2068" s="4" t="inlineStr">
        <is>
          <t>idem-20260902-ios-2067</t>
        </is>
      </c>
    </row>
    <row r="2069" ht="30" customHeight="1">
      <c r="A2069" s="4" t="n">
        <v>2068</v>
      </c>
      <c r="B2069" s="4" t="inlineStr">
        <is>
          <t>MTR-IOS-2068</t>
        </is>
      </c>
      <c r="C2069" s="4" t="inlineStr">
        <is>
          <t>Personal</t>
        </is>
      </c>
      <c r="D2069" s="4" t="inlineStr">
        <is>
          <t>Personal</t>
        </is>
      </c>
      <c r="E2069" s="4" t="inlineStr">
        <is>
          <t>Relationships</t>
        </is>
      </c>
      <c r="F2069" s="4" t="inlineStr">
        <is>
          <t>Celebrations</t>
        </is>
      </c>
      <c r="G2069" s="4" t="inlineStr">
        <is>
          <t>Expense</t>
        </is>
      </c>
      <c r="H2069" s="12" t="n">
        <v>46156</v>
      </c>
      <c r="I2069" s="13" t="n">
        <v>0.5071527777777778</v>
      </c>
      <c r="J2069" s="14" t="n">
        <v>46156.50715277778</v>
      </c>
      <c r="K2069" s="15" t="n">
        <v>15998.96</v>
      </c>
      <c r="L2069" s="4" t="inlineStr">
        <is>
          <t>INR</t>
        </is>
      </c>
      <c r="M2069" s="15" t="n">
        <v>-15998.96</v>
      </c>
      <c r="N2069" s="4" t="inlineStr">
        <is>
          <t>IOS Owner</t>
        </is>
      </c>
      <c r="O2069" s="4" t="n"/>
      <c r="P2069" s="4" t="n"/>
      <c r="Q2069" s="4" t="inlineStr">
        <is>
          <t>MAESTRO-IOS-PERSONAL-RELATIONSHIPS-2068 | Celebrations | 15998.96</t>
        </is>
      </c>
      <c r="R2069" s="4" t="inlineStr">
        <is>
          <t>iPhone</t>
        </is>
      </c>
      <c r="S2069" s="4" t="inlineStr">
        <is>
          <t>B42</t>
        </is>
      </c>
      <c r="T2069" s="4" t="inlineStr">
        <is>
          <t>RAMP_1501_2500</t>
        </is>
      </c>
      <c r="U2069" s="4" t="inlineStr">
        <is>
          <t>CREATED</t>
        </is>
      </c>
      <c r="V2069" s="4" t="inlineStr">
        <is>
          <t>idem-20260902-ios-2068</t>
        </is>
      </c>
    </row>
    <row r="2070" ht="30" customHeight="1">
      <c r="A2070" s="4" t="n">
        <v>2069</v>
      </c>
      <c r="B2070" s="4" t="inlineStr">
        <is>
          <t>MTR-IOS-2069</t>
        </is>
      </c>
      <c r="C2070" s="4" t="inlineStr">
        <is>
          <t>Group</t>
        </is>
      </c>
      <c r="D2070" s="4" t="inlineStr">
        <is>
          <t>Shared Living</t>
        </is>
      </c>
      <c r="E2070" s="4" t="inlineStr">
        <is>
          <t>Family Household</t>
        </is>
      </c>
      <c r="F2070" s="4" t="inlineStr">
        <is>
          <t>Bills</t>
        </is>
      </c>
      <c r="G2070" s="4" t="inlineStr">
        <is>
          <t>Expense</t>
        </is>
      </c>
      <c r="H2070" s="12" t="n">
        <v>46068</v>
      </c>
      <c r="I2070" s="13" t="n">
        <v>0.2872800925925926</v>
      </c>
      <c r="J2070" s="14" t="n">
        <v>46068.28728009259</v>
      </c>
      <c r="K2070" s="15" t="n">
        <v>9001.91</v>
      </c>
      <c r="L2070" s="4" t="inlineStr">
        <is>
          <t>INR</t>
        </is>
      </c>
      <c r="M2070" s="15" t="n">
        <v>-9001.91</v>
      </c>
      <c r="N2070" s="4" t="inlineStr">
        <is>
          <t>IOS Meera</t>
        </is>
      </c>
      <c r="O2070" s="4" t="n">
        <v>3</v>
      </c>
      <c r="P2070" s="4" t="inlineStr">
        <is>
          <t>PERCENTAGE</t>
        </is>
      </c>
      <c r="Q2070" s="4" t="inlineStr">
        <is>
          <t>MAESTRO-IOS-GROUP-FAMILY_HOUSEHOLD-2069 | Bills | 9001.91</t>
        </is>
      </c>
      <c r="R2070" s="4" t="inlineStr">
        <is>
          <t>iPhone</t>
        </is>
      </c>
      <c r="S2070" s="4" t="inlineStr">
        <is>
          <t>B42</t>
        </is>
      </c>
      <c r="T2070" s="4" t="inlineStr">
        <is>
          <t>RAMP_1501_2500</t>
        </is>
      </c>
      <c r="U2070" s="4" t="inlineStr">
        <is>
          <t>CREATED</t>
        </is>
      </c>
      <c r="V2070" s="4" t="inlineStr">
        <is>
          <t>idem-20260902-ios-2069</t>
        </is>
      </c>
    </row>
    <row r="2071" ht="30" customHeight="1">
      <c r="A2071" s="4" t="n">
        <v>2070</v>
      </c>
      <c r="B2071" s="4" t="inlineStr">
        <is>
          <t>MTR-IOS-2070</t>
        </is>
      </c>
      <c r="C2071" s="4" t="inlineStr">
        <is>
          <t>Business</t>
        </is>
      </c>
      <c r="D2071" s="4" t="inlineStr">
        <is>
          <t>Business</t>
        </is>
      </c>
      <c r="E2071" s="4" t="inlineStr">
        <is>
          <t>Business Operations</t>
        </is>
      </c>
      <c r="F2071" s="4" t="inlineStr">
        <is>
          <t>Accounting</t>
        </is>
      </c>
      <c r="G2071" s="4" t="inlineStr">
        <is>
          <t>Expense</t>
        </is>
      </c>
      <c r="H2071" s="12" t="n">
        <v>45931</v>
      </c>
      <c r="I2071" s="13" t="n">
        <v>0.5751157407407408</v>
      </c>
      <c r="J2071" s="14" t="n">
        <v>45931.57511574074</v>
      </c>
      <c r="K2071" s="15" t="n">
        <v>91510.35000000001</v>
      </c>
      <c r="L2071" s="4" t="inlineStr">
        <is>
          <t>INR</t>
        </is>
      </c>
      <c r="M2071" s="15" t="n">
        <v>-91510.35000000001</v>
      </c>
      <c r="N2071" s="4" t="inlineStr">
        <is>
          <t>IOS Owner</t>
        </is>
      </c>
      <c r="O2071" s="4" t="n"/>
      <c r="P2071" s="4" t="n"/>
      <c r="Q2071" s="4" t="inlineStr">
        <is>
          <t>MAESTRO-IOS-BUSINESS-BUSINESS_OPERATIONS-2070 | Accounting | 91510.35</t>
        </is>
      </c>
      <c r="R2071" s="4" t="inlineStr">
        <is>
          <t>iPhone</t>
        </is>
      </c>
      <c r="S2071" s="4" t="inlineStr">
        <is>
          <t>B42</t>
        </is>
      </c>
      <c r="T2071" s="4" t="inlineStr">
        <is>
          <t>RAMP_1501_2500</t>
        </is>
      </c>
      <c r="U2071" s="4" t="inlineStr">
        <is>
          <t>CREATED</t>
        </is>
      </c>
      <c r="V2071" s="4" t="inlineStr">
        <is>
          <t>idem-20260902-ios-2070</t>
        </is>
      </c>
    </row>
    <row r="2072" ht="30" customHeight="1">
      <c r="A2072" s="4" t="n">
        <v>2071</v>
      </c>
      <c r="B2072" s="4" t="inlineStr">
        <is>
          <t>MTR-IOS-2071</t>
        </is>
      </c>
      <c r="C2072" s="4" t="inlineStr">
        <is>
          <t>Personal</t>
        </is>
      </c>
      <c r="D2072" s="4" t="inlineStr">
        <is>
          <t>Personal</t>
        </is>
      </c>
      <c r="E2072" s="4" t="inlineStr">
        <is>
          <t>Life Operations</t>
        </is>
      </c>
      <c r="F2072" s="4" t="inlineStr">
        <is>
          <t>Groceries</t>
        </is>
      </c>
      <c r="G2072" s="4" t="inlineStr">
        <is>
          <t>Expense</t>
        </is>
      </c>
      <c r="H2072" s="12" t="n">
        <v>46216</v>
      </c>
      <c r="I2072" s="13" t="n">
        <v>0.5662847222222223</v>
      </c>
      <c r="J2072" s="14" t="n">
        <v>46216.56628472222</v>
      </c>
      <c r="K2072" s="15" t="n">
        <v>3437.87</v>
      </c>
      <c r="L2072" s="4" t="inlineStr">
        <is>
          <t>INR</t>
        </is>
      </c>
      <c r="M2072" s="15" t="n">
        <v>-3437.87</v>
      </c>
      <c r="N2072" s="4" t="inlineStr">
        <is>
          <t>IOS Owner</t>
        </is>
      </c>
      <c r="O2072" s="4" t="n"/>
      <c r="P2072" s="4" t="n"/>
      <c r="Q2072" s="4" t="inlineStr">
        <is>
          <t>MAESTRO-IOS-PERSONAL-LIFE_OPERATIONS-2071 | Groceries | 3437.87</t>
        </is>
      </c>
      <c r="R2072" s="4" t="inlineStr">
        <is>
          <t>iPhone</t>
        </is>
      </c>
      <c r="S2072" s="4" t="inlineStr">
        <is>
          <t>B42</t>
        </is>
      </c>
      <c r="T2072" s="4" t="inlineStr">
        <is>
          <t>RAMP_1501_2500</t>
        </is>
      </c>
      <c r="U2072" s="4" t="inlineStr">
        <is>
          <t>CREATED</t>
        </is>
      </c>
      <c r="V2072" s="4" t="inlineStr">
        <is>
          <t>idem-20260902-ios-2071</t>
        </is>
      </c>
    </row>
    <row r="2073" ht="30" customHeight="1">
      <c r="A2073" s="4" t="n">
        <v>2072</v>
      </c>
      <c r="B2073" s="4" t="inlineStr">
        <is>
          <t>MTR-IOS-2072</t>
        </is>
      </c>
      <c r="C2073" s="4" t="inlineStr">
        <is>
          <t>Group</t>
        </is>
      </c>
      <c r="D2073" s="4" t="inlineStr">
        <is>
          <t>Shared Living</t>
        </is>
      </c>
      <c r="E2073" s="4" t="inlineStr">
        <is>
          <t>Family Household</t>
        </is>
      </c>
      <c r="F2073" s="4" t="inlineStr">
        <is>
          <t>School</t>
        </is>
      </c>
      <c r="G2073" s="4" t="inlineStr">
        <is>
          <t>Expense</t>
        </is>
      </c>
      <c r="H2073" s="12" t="n">
        <v>46089</v>
      </c>
      <c r="I2073" s="13" t="n">
        <v>0.5572337962962963</v>
      </c>
      <c r="J2073" s="14" t="n">
        <v>46089.55723379629</v>
      </c>
      <c r="K2073" s="15" t="n">
        <v>99.98999999999999</v>
      </c>
      <c r="L2073" s="4" t="inlineStr">
        <is>
          <t>INR</t>
        </is>
      </c>
      <c r="M2073" s="15" t="n">
        <v>-99.98999999999999</v>
      </c>
      <c r="N2073" s="4" t="inlineStr">
        <is>
          <t>IOS Owner</t>
        </is>
      </c>
      <c r="O2073" s="4" t="n">
        <v>3</v>
      </c>
      <c r="P2073" s="4" t="inlineStr">
        <is>
          <t>EXACT</t>
        </is>
      </c>
      <c r="Q2073" s="4" t="inlineStr">
        <is>
          <t>MAESTRO-IOS-GROUP-FAMILY_HOUSEHOLD-2072 | School | 99.99</t>
        </is>
      </c>
      <c r="R2073" s="4" t="inlineStr">
        <is>
          <t>iPhone</t>
        </is>
      </c>
      <c r="S2073" s="4" t="inlineStr">
        <is>
          <t>B42</t>
        </is>
      </c>
      <c r="T2073" s="4" t="inlineStr">
        <is>
          <t>RAMP_1501_2500</t>
        </is>
      </c>
      <c r="U2073" s="4" t="inlineStr">
        <is>
          <t>CREATED</t>
        </is>
      </c>
      <c r="V2073" s="4" t="inlineStr">
        <is>
          <t>idem-20260902-ios-2072</t>
        </is>
      </c>
    </row>
    <row r="2074" ht="30" customHeight="1">
      <c r="A2074" s="4" t="n">
        <v>2073</v>
      </c>
      <c r="B2074" s="4" t="inlineStr">
        <is>
          <t>MTR-IOS-2073</t>
        </is>
      </c>
      <c r="C2074" s="4" t="inlineStr">
        <is>
          <t>Business</t>
        </is>
      </c>
      <c r="D2074" s="4" t="inlineStr">
        <is>
          <t>Business</t>
        </is>
      </c>
      <c r="E2074" s="4" t="inlineStr">
        <is>
          <t>Business Operations</t>
        </is>
      </c>
      <c r="F2074" s="4" t="inlineStr">
        <is>
          <t>Equipment</t>
        </is>
      </c>
      <c r="G2074" s="4" t="inlineStr">
        <is>
          <t>Expense</t>
        </is>
      </c>
      <c r="H2074" s="12" t="n">
        <v>45907</v>
      </c>
      <c r="I2074" s="13" t="n">
        <v>0.1588310185185185</v>
      </c>
      <c r="J2074" s="14" t="n">
        <v>45907.15883101852</v>
      </c>
      <c r="K2074" s="15" t="n">
        <v>97818.91</v>
      </c>
      <c r="L2074" s="4" t="inlineStr">
        <is>
          <t>INR</t>
        </is>
      </c>
      <c r="M2074" s="15" t="n">
        <v>-97818.91</v>
      </c>
      <c r="N2074" s="4" t="inlineStr">
        <is>
          <t>IOS Owner</t>
        </is>
      </c>
      <c r="O2074" s="4" t="n"/>
      <c r="P2074" s="4" t="n"/>
      <c r="Q2074" s="4" t="inlineStr">
        <is>
          <t>MAESTRO-IOS-BUSINESS-BUSINESS_OPERATIONS-2073 | Equipment | 97818.91</t>
        </is>
      </c>
      <c r="R2074" s="4" t="inlineStr">
        <is>
          <t>iPhone</t>
        </is>
      </c>
      <c r="S2074" s="4" t="inlineStr">
        <is>
          <t>B42</t>
        </is>
      </c>
      <c r="T2074" s="4" t="inlineStr">
        <is>
          <t>RAMP_1501_2500</t>
        </is>
      </c>
      <c r="U2074" s="4" t="inlineStr">
        <is>
          <t>CREATED</t>
        </is>
      </c>
      <c r="V2074" s="4" t="inlineStr">
        <is>
          <t>idem-20260902-ios-2073</t>
        </is>
      </c>
    </row>
    <row r="2075" ht="30" customHeight="1">
      <c r="A2075" s="4" t="n">
        <v>2074</v>
      </c>
      <c r="B2075" s="4" t="inlineStr">
        <is>
          <t>MTR-IOS-2074</t>
        </is>
      </c>
      <c r="C2075" s="4" t="inlineStr">
        <is>
          <t>Personal</t>
        </is>
      </c>
      <c r="D2075" s="4" t="inlineStr">
        <is>
          <t>Personal</t>
        </is>
      </c>
      <c r="E2075" s="4" t="inlineStr">
        <is>
          <t>Life Operations</t>
        </is>
      </c>
      <c r="F2075" s="4" t="inlineStr">
        <is>
          <t>Rent</t>
        </is>
      </c>
      <c r="G2075" s="4" t="inlineStr">
        <is>
          <t>Expense</t>
        </is>
      </c>
      <c r="H2075" s="12" t="n">
        <v>46125</v>
      </c>
      <c r="I2075" s="13" t="n">
        <v>0.5065740740740741</v>
      </c>
      <c r="J2075" s="14" t="n">
        <v>46125.50657407408</v>
      </c>
      <c r="K2075" s="15" t="n">
        <v>11014.61</v>
      </c>
      <c r="L2075" s="4" t="inlineStr">
        <is>
          <t>INR</t>
        </is>
      </c>
      <c r="M2075" s="15" t="n">
        <v>-11014.61</v>
      </c>
      <c r="N2075" s="4" t="inlineStr">
        <is>
          <t>IOS Owner</t>
        </is>
      </c>
      <c r="O2075" s="4" t="n"/>
      <c r="P2075" s="4" t="n"/>
      <c r="Q2075" s="4" t="inlineStr">
        <is>
          <t>MAESTRO-IOS-PERSONAL-LIFE_OPERATIONS-2074 | Rent | 11014.61</t>
        </is>
      </c>
      <c r="R2075" s="4" t="inlineStr">
        <is>
          <t>iPhone</t>
        </is>
      </c>
      <c r="S2075" s="4" t="inlineStr">
        <is>
          <t>B42</t>
        </is>
      </c>
      <c r="T2075" s="4" t="inlineStr">
        <is>
          <t>RAMP_1501_2500</t>
        </is>
      </c>
      <c r="U2075" s="4" t="inlineStr">
        <is>
          <t>CREATED</t>
        </is>
      </c>
      <c r="V2075" s="4" t="inlineStr">
        <is>
          <t>idem-20260902-ios-2074</t>
        </is>
      </c>
    </row>
    <row r="2076" ht="30" customHeight="1">
      <c r="A2076" s="4" t="n">
        <v>2075</v>
      </c>
      <c r="B2076" s="4" t="inlineStr">
        <is>
          <t>MTR-IOS-2075</t>
        </is>
      </c>
      <c r="C2076" s="4" t="inlineStr">
        <is>
          <t>Group</t>
        </is>
      </c>
      <c r="D2076" s="4" t="inlineStr">
        <is>
          <t>Shared Living</t>
        </is>
      </c>
      <c r="E2076" s="4" t="inlineStr">
        <is>
          <t>Family Household</t>
        </is>
      </c>
      <c r="F2076" s="4" t="inlineStr">
        <is>
          <t>Healthcare</t>
        </is>
      </c>
      <c r="G2076" s="4" t="inlineStr">
        <is>
          <t>Expense</t>
        </is>
      </c>
      <c r="H2076" s="12" t="n">
        <v>45945</v>
      </c>
      <c r="I2076" s="13" t="n">
        <v>0.7886574074074074</v>
      </c>
      <c r="J2076" s="14" t="n">
        <v>45945.78865740741</v>
      </c>
      <c r="K2076" s="15" t="n">
        <v>8018.12</v>
      </c>
      <c r="L2076" s="4" t="inlineStr">
        <is>
          <t>INR</t>
        </is>
      </c>
      <c r="M2076" s="15" t="n">
        <v>-8018.12</v>
      </c>
      <c r="N2076" s="4" t="inlineStr">
        <is>
          <t>IOS Aarav</t>
        </is>
      </c>
      <c r="O2076" s="4" t="n">
        <v>3</v>
      </c>
      <c r="P2076" s="4" t="inlineStr">
        <is>
          <t>SHARES</t>
        </is>
      </c>
      <c r="Q2076" s="4" t="inlineStr">
        <is>
          <t>MAESTRO-IOS-GROUP-FAMILY_HOUSEHOLD-2075 | Healthcare | 8018.12</t>
        </is>
      </c>
      <c r="R2076" s="4" t="inlineStr">
        <is>
          <t>iPhone</t>
        </is>
      </c>
      <c r="S2076" s="4" t="inlineStr">
        <is>
          <t>B42</t>
        </is>
      </c>
      <c r="T2076" s="4" t="inlineStr">
        <is>
          <t>RAMP_1501_2500</t>
        </is>
      </c>
      <c r="U2076" s="4" t="inlineStr">
        <is>
          <t>CREATED</t>
        </is>
      </c>
      <c r="V2076" s="4" t="inlineStr">
        <is>
          <t>idem-20260902-ios-2075</t>
        </is>
      </c>
    </row>
    <row r="2077" ht="30" customHeight="1">
      <c r="A2077" s="4" t="n">
        <v>2076</v>
      </c>
      <c r="B2077" s="4" t="inlineStr">
        <is>
          <t>MTR-IOS-2076</t>
        </is>
      </c>
      <c r="C2077" s="4" t="inlineStr">
        <is>
          <t>Business</t>
        </is>
      </c>
      <c r="D2077" s="4" t="inlineStr">
        <is>
          <t>Business</t>
        </is>
      </c>
      <c r="E2077" s="4" t="inlineStr">
        <is>
          <t>Business Operations</t>
        </is>
      </c>
      <c r="F2077" s="4" t="inlineStr">
        <is>
          <t>Vendor</t>
        </is>
      </c>
      <c r="G2077" s="4" t="inlineStr">
        <is>
          <t>Expense</t>
        </is>
      </c>
      <c r="H2077" s="12" t="n">
        <v>46030</v>
      </c>
      <c r="I2077" s="13" t="n">
        <v>0.2532175925925926</v>
      </c>
      <c r="J2077" s="14" t="n">
        <v>46030.2532175926</v>
      </c>
      <c r="K2077" s="15" t="n">
        <v>6344.71</v>
      </c>
      <c r="L2077" s="4" t="inlineStr">
        <is>
          <t>INR</t>
        </is>
      </c>
      <c r="M2077" s="15" t="n">
        <v>-6344.71</v>
      </c>
      <c r="N2077" s="4" t="inlineStr">
        <is>
          <t>IOS Owner</t>
        </is>
      </c>
      <c r="O2077" s="4" t="n"/>
      <c r="P2077" s="4" t="n"/>
      <c r="Q2077" s="4" t="inlineStr">
        <is>
          <t>MAESTRO-IOS-BUSINESS-BUSINESS_OPERATIONS-2076 | Vendor | 6344.71</t>
        </is>
      </c>
      <c r="R2077" s="4" t="inlineStr">
        <is>
          <t>iPhone</t>
        </is>
      </c>
      <c r="S2077" s="4" t="inlineStr">
        <is>
          <t>B42</t>
        </is>
      </c>
      <c r="T2077" s="4" t="inlineStr">
        <is>
          <t>RAMP_1501_2500</t>
        </is>
      </c>
      <c r="U2077" s="4" t="inlineStr">
        <is>
          <t>CREATED</t>
        </is>
      </c>
      <c r="V2077" s="4" t="inlineStr">
        <is>
          <t>idem-20260902-ios-2076</t>
        </is>
      </c>
    </row>
    <row r="2078" ht="30" customHeight="1">
      <c r="A2078" s="4" t="n">
        <v>2077</v>
      </c>
      <c r="B2078" s="4" t="inlineStr">
        <is>
          <t>MTR-IOS-2077</t>
        </is>
      </c>
      <c r="C2078" s="4" t="inlineStr">
        <is>
          <t>Personal</t>
        </is>
      </c>
      <c r="D2078" s="4" t="inlineStr">
        <is>
          <t>Personal</t>
        </is>
      </c>
      <c r="E2078" s="4" t="inlineStr">
        <is>
          <t>Life Operations</t>
        </is>
      </c>
      <c r="F2078" s="4" t="inlineStr">
        <is>
          <t>Bills</t>
        </is>
      </c>
      <c r="G2078" s="4" t="inlineStr">
        <is>
          <t>Expense</t>
        </is>
      </c>
      <c r="H2078" s="12" t="n">
        <v>46071</v>
      </c>
      <c r="I2078" s="13" t="n">
        <v>0.8721527777777778</v>
      </c>
      <c r="J2078" s="14" t="n">
        <v>46071.87215277777</v>
      </c>
      <c r="K2078" s="15" t="n">
        <v>8012.98</v>
      </c>
      <c r="L2078" s="4" t="inlineStr">
        <is>
          <t>INR</t>
        </is>
      </c>
      <c r="M2078" s="15" t="n">
        <v>-8012.98</v>
      </c>
      <c r="N2078" s="4" t="inlineStr">
        <is>
          <t>IOS Owner</t>
        </is>
      </c>
      <c r="O2078" s="4" t="n"/>
      <c r="P2078" s="4" t="n"/>
      <c r="Q2078" s="4" t="inlineStr">
        <is>
          <t>MAESTRO-IOS-PERSONAL-LIFE_OPERATIONS-2077 | Bills | 8012.98</t>
        </is>
      </c>
      <c r="R2078" s="4" t="inlineStr">
        <is>
          <t>iPhone</t>
        </is>
      </c>
      <c r="S2078" s="4" t="inlineStr">
        <is>
          <t>B42</t>
        </is>
      </c>
      <c r="T2078" s="4" t="inlineStr">
        <is>
          <t>RAMP_1501_2500</t>
        </is>
      </c>
      <c r="U2078" s="4" t="inlineStr">
        <is>
          <t>CREATED</t>
        </is>
      </c>
      <c r="V2078" s="4" t="inlineStr">
        <is>
          <t>idem-20260902-ios-2077</t>
        </is>
      </c>
    </row>
    <row r="2079" ht="30" customHeight="1">
      <c r="A2079" s="4" t="n">
        <v>2078</v>
      </c>
      <c r="B2079" s="4" t="inlineStr">
        <is>
          <t>MTR-IOS-2078</t>
        </is>
      </c>
      <c r="C2079" s="4" t="inlineStr">
        <is>
          <t>Group</t>
        </is>
      </c>
      <c r="D2079" s="4" t="inlineStr">
        <is>
          <t>Shared Living</t>
        </is>
      </c>
      <c r="E2079" s="4" t="inlineStr">
        <is>
          <t>Family Household</t>
        </is>
      </c>
      <c r="F2079" s="4" t="inlineStr">
        <is>
          <t>Home</t>
        </is>
      </c>
      <c r="G2079" s="4" t="inlineStr">
        <is>
          <t>Expense</t>
        </is>
      </c>
      <c r="H2079" s="12" t="n">
        <v>45961</v>
      </c>
      <c r="I2079" s="13" t="n">
        <v>0.3169675925925926</v>
      </c>
      <c r="J2079" s="14" t="n">
        <v>45961.31696759259</v>
      </c>
      <c r="K2079" s="15" t="n">
        <v>20003.98</v>
      </c>
      <c r="L2079" s="4" t="inlineStr">
        <is>
          <t>INR</t>
        </is>
      </c>
      <c r="M2079" s="15" t="n">
        <v>-20003.98</v>
      </c>
      <c r="N2079" s="4" t="inlineStr">
        <is>
          <t>IOS Meera</t>
        </is>
      </c>
      <c r="O2079" s="4" t="n">
        <v>3</v>
      </c>
      <c r="P2079" s="4" t="inlineStr">
        <is>
          <t>EQUAL</t>
        </is>
      </c>
      <c r="Q2079" s="4" t="inlineStr">
        <is>
          <t>MAESTRO-IOS-GROUP-FAMILY_HOUSEHOLD-2078 | Home | 20003.98</t>
        </is>
      </c>
      <c r="R2079" s="4" t="inlineStr">
        <is>
          <t>iPhone</t>
        </is>
      </c>
      <c r="S2079" s="4" t="inlineStr">
        <is>
          <t>B42</t>
        </is>
      </c>
      <c r="T2079" s="4" t="inlineStr">
        <is>
          <t>RAMP_1501_2500</t>
        </is>
      </c>
      <c r="U2079" s="4" t="inlineStr">
        <is>
          <t>CREATED</t>
        </is>
      </c>
      <c r="V2079" s="4" t="inlineStr">
        <is>
          <t>idem-20260902-ios-2078</t>
        </is>
      </c>
    </row>
    <row r="2080" ht="30" customHeight="1">
      <c r="A2080" s="4" t="n">
        <v>2079</v>
      </c>
      <c r="B2080" s="4" t="inlineStr">
        <is>
          <t>MTR-IOS-2079</t>
        </is>
      </c>
      <c r="C2080" s="4" t="inlineStr">
        <is>
          <t>Business</t>
        </is>
      </c>
      <c r="D2080" s="4" t="inlineStr">
        <is>
          <t>Business</t>
        </is>
      </c>
      <c r="E2080" s="4" t="inlineStr">
        <is>
          <t>Business Operations</t>
        </is>
      </c>
      <c r="F2080" s="4" t="inlineStr">
        <is>
          <t>Tax</t>
        </is>
      </c>
      <c r="G2080" s="4" t="inlineStr">
        <is>
          <t>Expense</t>
        </is>
      </c>
      <c r="H2080" s="12" t="n">
        <v>46232</v>
      </c>
      <c r="I2080" s="13" t="n">
        <v>0.7347800925925926</v>
      </c>
      <c r="J2080" s="14" t="n">
        <v>46232.73478009259</v>
      </c>
      <c r="K2080" s="15" t="n">
        <v>136554.52</v>
      </c>
      <c r="L2080" s="4" t="inlineStr">
        <is>
          <t>INR</t>
        </is>
      </c>
      <c r="M2080" s="15" t="n">
        <v>-136554.52</v>
      </c>
      <c r="N2080" s="4" t="inlineStr">
        <is>
          <t>IOS Owner</t>
        </is>
      </c>
      <c r="O2080" s="4" t="n"/>
      <c r="P2080" s="4" t="n"/>
      <c r="Q2080" s="4" t="inlineStr">
        <is>
          <t>MAESTRO-IOS-BUSINESS-BUSINESS_OPERATIONS-2079 | Tax | 136554.52</t>
        </is>
      </c>
      <c r="R2080" s="4" t="inlineStr">
        <is>
          <t>iPhone</t>
        </is>
      </c>
      <c r="S2080" s="4" t="inlineStr">
        <is>
          <t>B42</t>
        </is>
      </c>
      <c r="T2080" s="4" t="inlineStr">
        <is>
          <t>RAMP_1501_2500</t>
        </is>
      </c>
      <c r="U2080" s="4" t="inlineStr">
        <is>
          <t>CREATED</t>
        </is>
      </c>
      <c r="V2080" s="4" t="inlineStr">
        <is>
          <t>idem-20260902-ios-2079</t>
        </is>
      </c>
    </row>
    <row r="2081" ht="30" customHeight="1">
      <c r="A2081" s="4" t="n">
        <v>2080</v>
      </c>
      <c r="B2081" s="4" t="inlineStr">
        <is>
          <t>MTR-IOS-2080</t>
        </is>
      </c>
      <c r="C2081" s="4" t="inlineStr">
        <is>
          <t>Personal</t>
        </is>
      </c>
      <c r="D2081" s="4" t="inlineStr">
        <is>
          <t>Personal</t>
        </is>
      </c>
      <c r="E2081" s="4" t="inlineStr">
        <is>
          <t>Life Operations</t>
        </is>
      </c>
      <c r="F2081" s="4" t="inlineStr">
        <is>
          <t>Transport</t>
        </is>
      </c>
      <c r="G2081" s="4" t="inlineStr">
        <is>
          <t>Expense</t>
        </is>
      </c>
      <c r="H2081" s="12" t="n">
        <v>46037</v>
      </c>
      <c r="I2081" s="13" t="n">
        <v>0.3722685185185185</v>
      </c>
      <c r="J2081" s="14" t="n">
        <v>46037.37226851852</v>
      </c>
      <c r="K2081" s="15" t="n">
        <v>11147.79</v>
      </c>
      <c r="L2081" s="4" t="inlineStr">
        <is>
          <t>INR</t>
        </is>
      </c>
      <c r="M2081" s="15" t="n">
        <v>-11147.79</v>
      </c>
      <c r="N2081" s="4" t="inlineStr">
        <is>
          <t>IOS Owner</t>
        </is>
      </c>
      <c r="O2081" s="4" t="n"/>
      <c r="P2081" s="4" t="n"/>
      <c r="Q2081" s="4" t="inlineStr">
        <is>
          <t>MAESTRO-IOS-PERSONAL-LIFE_OPERATIONS-2080 | Transport | 11147.79</t>
        </is>
      </c>
      <c r="R2081" s="4" t="inlineStr">
        <is>
          <t>iPhone</t>
        </is>
      </c>
      <c r="S2081" s="4" t="inlineStr">
        <is>
          <t>B42</t>
        </is>
      </c>
      <c r="T2081" s="4" t="inlineStr">
        <is>
          <t>RAMP_1501_2500</t>
        </is>
      </c>
      <c r="U2081" s="4" t="inlineStr">
        <is>
          <t>CREATED</t>
        </is>
      </c>
      <c r="V2081" s="4" t="inlineStr">
        <is>
          <t>idem-20260902-ios-2080</t>
        </is>
      </c>
    </row>
    <row r="2082" ht="30" customHeight="1">
      <c r="A2082" s="4" t="n">
        <v>2081</v>
      </c>
      <c r="B2082" s="4" t="inlineStr">
        <is>
          <t>MTR-IOS-2081</t>
        </is>
      </c>
      <c r="C2082" s="4" t="inlineStr">
        <is>
          <t>Group</t>
        </is>
      </c>
      <c r="D2082" s="4" t="inlineStr">
        <is>
          <t>Shared Living</t>
        </is>
      </c>
      <c r="E2082" s="4" t="inlineStr">
        <is>
          <t>Family Household</t>
        </is>
      </c>
      <c r="F2082" s="4" t="inlineStr">
        <is>
          <t>Other</t>
        </is>
      </c>
      <c r="G2082" s="4" t="inlineStr">
        <is>
          <t>Expense</t>
        </is>
      </c>
      <c r="H2082" s="12" t="n">
        <v>45906</v>
      </c>
      <c r="I2082" s="13" t="n">
        <v>0.01775462962962963</v>
      </c>
      <c r="J2082" s="14" t="n">
        <v>45906.01775462963</v>
      </c>
      <c r="K2082" s="15" t="n">
        <v>26923.31</v>
      </c>
      <c r="L2082" s="4" t="inlineStr">
        <is>
          <t>INR</t>
        </is>
      </c>
      <c r="M2082" s="15" t="n">
        <v>-26923.31</v>
      </c>
      <c r="N2082" s="4" t="inlineStr">
        <is>
          <t>IOS Owner</t>
        </is>
      </c>
      <c r="O2082" s="4" t="n">
        <v>3</v>
      </c>
      <c r="P2082" s="4" t="inlineStr">
        <is>
          <t>PERCENTAGE</t>
        </is>
      </c>
      <c r="Q2082" s="4" t="inlineStr">
        <is>
          <t>MAESTRO-IOS-GROUP-FAMILY_HOUSEHOLD-2081 | Other | 26923.31</t>
        </is>
      </c>
      <c r="R2082" s="4" t="inlineStr">
        <is>
          <t>iPhone</t>
        </is>
      </c>
      <c r="S2082" s="4" t="inlineStr">
        <is>
          <t>B42</t>
        </is>
      </c>
      <c r="T2082" s="4" t="inlineStr">
        <is>
          <t>RAMP_1501_2500</t>
        </is>
      </c>
      <c r="U2082" s="4" t="inlineStr">
        <is>
          <t>CREATED</t>
        </is>
      </c>
      <c r="V2082" s="4" t="inlineStr">
        <is>
          <t>idem-20260902-ios-2081</t>
        </is>
      </c>
    </row>
    <row r="2083" ht="30" customHeight="1">
      <c r="A2083" s="4" t="n">
        <v>2082</v>
      </c>
      <c r="B2083" s="4" t="inlineStr">
        <is>
          <t>MTR-IOS-2082</t>
        </is>
      </c>
      <c r="C2083" s="4" t="inlineStr">
        <is>
          <t>Business</t>
        </is>
      </c>
      <c r="D2083" s="4" t="inlineStr">
        <is>
          <t>Business</t>
        </is>
      </c>
      <c r="E2083" s="4" t="inlineStr">
        <is>
          <t>Team Operations</t>
        </is>
      </c>
      <c r="F2083" s="4" t="inlineStr">
        <is>
          <t>Payroll</t>
        </is>
      </c>
      <c r="G2083" s="4" t="inlineStr">
        <is>
          <t>Expense</t>
        </is>
      </c>
      <c r="H2083" s="12" t="n">
        <v>46235</v>
      </c>
      <c r="I2083" s="13" t="n">
        <v>0.8763657407407407</v>
      </c>
      <c r="J2083" s="14" t="n">
        <v>46235.87636574074</v>
      </c>
      <c r="K2083" s="15" t="n">
        <v>26568.21</v>
      </c>
      <c r="L2083" s="4" t="inlineStr">
        <is>
          <t>INR</t>
        </is>
      </c>
      <c r="M2083" s="15" t="n">
        <v>-26568.21</v>
      </c>
      <c r="N2083" s="4" t="inlineStr">
        <is>
          <t>IOS Owner</t>
        </is>
      </c>
      <c r="O2083" s="4" t="n"/>
      <c r="P2083" s="4" t="n"/>
      <c r="Q2083" s="4" t="inlineStr">
        <is>
          <t>MAESTRO-IOS-BUSINESS-TEAM_OPERATIONS-2082 | Payroll | 26568.21</t>
        </is>
      </c>
      <c r="R2083" s="4" t="inlineStr">
        <is>
          <t>iPhone</t>
        </is>
      </c>
      <c r="S2083" s="4" t="inlineStr">
        <is>
          <t>B42</t>
        </is>
      </c>
      <c r="T2083" s="4" t="inlineStr">
        <is>
          <t>RAMP_1501_2500</t>
        </is>
      </c>
      <c r="U2083" s="4" t="inlineStr">
        <is>
          <t>CREATED</t>
        </is>
      </c>
      <c r="V2083" s="4" t="inlineStr">
        <is>
          <t>idem-20260902-ios-2082</t>
        </is>
      </c>
    </row>
    <row r="2084" ht="30" customHeight="1">
      <c r="A2084" s="4" t="n">
        <v>2083</v>
      </c>
      <c r="B2084" s="4" t="inlineStr">
        <is>
          <t>MTR-IOS-2083</t>
        </is>
      </c>
      <c r="C2084" s="4" t="inlineStr">
        <is>
          <t>Personal</t>
        </is>
      </c>
      <c r="D2084" s="4" t="inlineStr">
        <is>
          <t>Personal</t>
        </is>
      </c>
      <c r="E2084" s="4" t="inlineStr">
        <is>
          <t>Life Operations</t>
        </is>
      </c>
      <c r="F2084" s="4" t="inlineStr">
        <is>
          <t>Healthcare</t>
        </is>
      </c>
      <c r="G2084" s="4" t="inlineStr">
        <is>
          <t>Expense</t>
        </is>
      </c>
      <c r="H2084" s="12" t="n">
        <v>46254</v>
      </c>
      <c r="I2084" s="13" t="n">
        <v>0.4544444444444444</v>
      </c>
      <c r="J2084" s="14" t="n">
        <v>46254.45444444445</v>
      </c>
      <c r="K2084" s="15" t="n">
        <v>3704.93</v>
      </c>
      <c r="L2084" s="4" t="inlineStr">
        <is>
          <t>INR</t>
        </is>
      </c>
      <c r="M2084" s="15" t="n">
        <v>-3704.93</v>
      </c>
      <c r="N2084" s="4" t="inlineStr">
        <is>
          <t>IOS Owner</t>
        </is>
      </c>
      <c r="O2084" s="4" t="n"/>
      <c r="P2084" s="4" t="n"/>
      <c r="Q2084" s="4" t="inlineStr">
        <is>
          <t>MAESTRO-IOS-PERSONAL-LIFE_OPERATIONS-2083 | Healthcare | 3704.93</t>
        </is>
      </c>
      <c r="R2084" s="4" t="inlineStr">
        <is>
          <t>iPhone</t>
        </is>
      </c>
      <c r="S2084" s="4" t="inlineStr">
        <is>
          <t>B42</t>
        </is>
      </c>
      <c r="T2084" s="4" t="inlineStr">
        <is>
          <t>RAMP_1501_2500</t>
        </is>
      </c>
      <c r="U2084" s="4" t="inlineStr">
        <is>
          <t>CREATED</t>
        </is>
      </c>
      <c r="V2084" s="4" t="inlineStr">
        <is>
          <t>idem-20260902-ios-2083</t>
        </is>
      </c>
    </row>
    <row r="2085" ht="30" customHeight="1">
      <c r="A2085" s="4" t="n">
        <v>2084</v>
      </c>
      <c r="B2085" s="4" t="inlineStr">
        <is>
          <t>MTR-IOS-2084</t>
        </is>
      </c>
      <c r="C2085" s="4" t="inlineStr">
        <is>
          <t>Group</t>
        </is>
      </c>
      <c r="D2085" s="4" t="inlineStr">
        <is>
          <t>Shared Living</t>
        </is>
      </c>
      <c r="E2085" s="4" t="inlineStr">
        <is>
          <t>Custom Living</t>
        </is>
      </c>
      <c r="F2085" s="4" t="inlineStr">
        <is>
          <t>Custom Expense</t>
        </is>
      </c>
      <c r="G2085" s="4" t="inlineStr">
        <is>
          <t>Expense</t>
        </is>
      </c>
      <c r="H2085" s="12" t="n">
        <v>46094</v>
      </c>
      <c r="I2085" s="13" t="n">
        <v>0.1182175925925926</v>
      </c>
      <c r="J2085" s="14" t="n">
        <v>46094.11821759259</v>
      </c>
      <c r="K2085" s="15" t="n">
        <v>24096.38</v>
      </c>
      <c r="L2085" s="4" t="inlineStr">
        <is>
          <t>INR</t>
        </is>
      </c>
      <c r="M2085" s="15" t="n">
        <v>-24096.38</v>
      </c>
      <c r="N2085" s="4" t="inlineStr">
        <is>
          <t>IOS Aarav</t>
        </is>
      </c>
      <c r="O2085" s="4" t="n">
        <v>3</v>
      </c>
      <c r="P2085" s="4" t="inlineStr">
        <is>
          <t>EXACT</t>
        </is>
      </c>
      <c r="Q2085" s="4" t="inlineStr">
        <is>
          <t>MAESTRO-IOS-GROUP-CUSTOM_LIVING-2084 | Custom Expense | 24096.38</t>
        </is>
      </c>
      <c r="R2085" s="4" t="inlineStr">
        <is>
          <t>iPhone</t>
        </is>
      </c>
      <c r="S2085" s="4" t="inlineStr">
        <is>
          <t>B42</t>
        </is>
      </c>
      <c r="T2085" s="4" t="inlineStr">
        <is>
          <t>RAMP_1501_2500</t>
        </is>
      </c>
      <c r="U2085" s="4" t="inlineStr">
        <is>
          <t>CREATED</t>
        </is>
      </c>
      <c r="V2085" s="4" t="inlineStr">
        <is>
          <t>idem-20260902-ios-2084</t>
        </is>
      </c>
    </row>
    <row r="2086" ht="30" customHeight="1">
      <c r="A2086" s="4" t="n">
        <v>2085</v>
      </c>
      <c r="B2086" s="4" t="inlineStr">
        <is>
          <t>MTR-IOS-2085</t>
        </is>
      </c>
      <c r="C2086" s="4" t="inlineStr">
        <is>
          <t>Business</t>
        </is>
      </c>
      <c r="D2086" s="4" t="inlineStr">
        <is>
          <t>Business</t>
        </is>
      </c>
      <c r="E2086" s="4" t="inlineStr">
        <is>
          <t>Team Operations</t>
        </is>
      </c>
      <c r="F2086" s="4" t="inlineStr">
        <is>
          <t>Contractor</t>
        </is>
      </c>
      <c r="G2086" s="4" t="inlineStr">
        <is>
          <t>Expense</t>
        </is>
      </c>
      <c r="H2086" s="12" t="n">
        <v>46256</v>
      </c>
      <c r="I2086" s="13" t="n">
        <v>0.7662037037037037</v>
      </c>
      <c r="J2086" s="14" t="n">
        <v>46256.7662037037</v>
      </c>
      <c r="K2086" s="15" t="n">
        <v>70819.52</v>
      </c>
      <c r="L2086" s="4" t="inlineStr">
        <is>
          <t>INR</t>
        </is>
      </c>
      <c r="M2086" s="15" t="n">
        <v>-70819.52</v>
      </c>
      <c r="N2086" s="4" t="inlineStr">
        <is>
          <t>IOS Owner</t>
        </is>
      </c>
      <c r="O2086" s="4" t="n"/>
      <c r="P2086" s="4" t="n"/>
      <c r="Q2086" s="4" t="inlineStr">
        <is>
          <t>MAESTRO-IOS-BUSINESS-TEAM_OPERATIONS-2085 | Contractor | 70819.52</t>
        </is>
      </c>
      <c r="R2086" s="4" t="inlineStr">
        <is>
          <t>iPhone</t>
        </is>
      </c>
      <c r="S2086" s="4" t="inlineStr">
        <is>
          <t>B42</t>
        </is>
      </c>
      <c r="T2086" s="4" t="inlineStr">
        <is>
          <t>RAMP_1501_2500</t>
        </is>
      </c>
      <c r="U2086" s="4" t="inlineStr">
        <is>
          <t>CREATED</t>
        </is>
      </c>
      <c r="V2086" s="4" t="inlineStr">
        <is>
          <t>idem-20260902-ios-2085</t>
        </is>
      </c>
    </row>
    <row r="2087" ht="30" customHeight="1">
      <c r="A2087" s="4" t="n">
        <v>2086</v>
      </c>
      <c r="B2087" s="4" t="inlineStr">
        <is>
          <t>MTR-IOS-2086</t>
        </is>
      </c>
      <c r="C2087" s="4" t="inlineStr">
        <is>
          <t>Personal</t>
        </is>
      </c>
      <c r="D2087" s="4" t="inlineStr">
        <is>
          <t>Personal</t>
        </is>
      </c>
      <c r="E2087" s="4" t="inlineStr">
        <is>
          <t>Life Operations</t>
        </is>
      </c>
      <c r="F2087" s="4" t="inlineStr">
        <is>
          <t>Subscriptions</t>
        </is>
      </c>
      <c r="G2087" s="4" t="inlineStr">
        <is>
          <t>Expense</t>
        </is>
      </c>
      <c r="H2087" s="12" t="n">
        <v>46194</v>
      </c>
      <c r="I2087" s="13" t="n">
        <v>0.7177777777777777</v>
      </c>
      <c r="J2087" s="14" t="n">
        <v>46194.71777777778</v>
      </c>
      <c r="K2087" s="15" t="n">
        <v>15148.36</v>
      </c>
      <c r="L2087" s="4" t="inlineStr">
        <is>
          <t>INR</t>
        </is>
      </c>
      <c r="M2087" s="15" t="n">
        <v>-15148.36</v>
      </c>
      <c r="N2087" s="4" t="inlineStr">
        <is>
          <t>IOS Owner</t>
        </is>
      </c>
      <c r="O2087" s="4" t="n"/>
      <c r="P2087" s="4" t="n"/>
      <c r="Q2087" s="4" t="inlineStr">
        <is>
          <t>MAESTRO-IOS-PERSONAL-LIFE_OPERATIONS-2086 | Subscriptions | 15148.36</t>
        </is>
      </c>
      <c r="R2087" s="4" t="inlineStr">
        <is>
          <t>iPhone</t>
        </is>
      </c>
      <c r="S2087" s="4" t="inlineStr">
        <is>
          <t>B42</t>
        </is>
      </c>
      <c r="T2087" s="4" t="inlineStr">
        <is>
          <t>RAMP_1501_2500</t>
        </is>
      </c>
      <c r="U2087" s="4" t="inlineStr">
        <is>
          <t>CREATED</t>
        </is>
      </c>
      <c r="V2087" s="4" t="inlineStr">
        <is>
          <t>idem-20260902-ios-2086</t>
        </is>
      </c>
    </row>
    <row r="2088" ht="30" customHeight="1">
      <c r="A2088" s="4" t="n">
        <v>2087</v>
      </c>
      <c r="B2088" s="4" t="inlineStr">
        <is>
          <t>MTR-IOS-2087</t>
        </is>
      </c>
      <c r="C2088" s="4" t="inlineStr">
        <is>
          <t>Group</t>
        </is>
      </c>
      <c r="D2088" s="4" t="inlineStr">
        <is>
          <t>Shared Living</t>
        </is>
      </c>
      <c r="E2088" s="4" t="inlineStr">
        <is>
          <t>Custom Living</t>
        </is>
      </c>
      <c r="F2088" s="4" t="inlineStr">
        <is>
          <t>Custom Contribution</t>
        </is>
      </c>
      <c r="G2088" s="4" t="inlineStr">
        <is>
          <t>Contribution</t>
        </is>
      </c>
      <c r="H2088" s="12" t="n">
        <v>46093</v>
      </c>
      <c r="I2088" s="13" t="n">
        <v>0.005219907407407407</v>
      </c>
      <c r="J2088" s="14" t="n">
        <v>46093.00521990741</v>
      </c>
      <c r="K2088" s="15" t="n">
        <v>17377.04</v>
      </c>
      <c r="L2088" s="4" t="inlineStr">
        <is>
          <t>INR</t>
        </is>
      </c>
      <c r="M2088" s="15" t="n">
        <v>17377.04</v>
      </c>
      <c r="N2088" s="4" t="inlineStr">
        <is>
          <t>IOS Meera</t>
        </is>
      </c>
      <c r="O2088" s="4" t="n">
        <v>3</v>
      </c>
      <c r="P2088" s="4" t="inlineStr">
        <is>
          <t>SHARES</t>
        </is>
      </c>
      <c r="Q2088" s="4" t="inlineStr">
        <is>
          <t>MAESTRO-IOS-GROUP-CUSTOM_LIVING-2087 | Custom Contribution | 17377.04</t>
        </is>
      </c>
      <c r="R2088" s="4" t="inlineStr">
        <is>
          <t>iPhone</t>
        </is>
      </c>
      <c r="S2088" s="4" t="inlineStr">
        <is>
          <t>B42</t>
        </is>
      </c>
      <c r="T2088" s="4" t="inlineStr">
        <is>
          <t>RAMP_1501_2500</t>
        </is>
      </c>
      <c r="U2088" s="4" t="inlineStr">
        <is>
          <t>CREATED</t>
        </is>
      </c>
      <c r="V2088" s="4" t="inlineStr">
        <is>
          <t>idem-20260902-ios-2087</t>
        </is>
      </c>
    </row>
    <row r="2089" ht="30" customHeight="1">
      <c r="A2089" s="4" t="n">
        <v>2088</v>
      </c>
      <c r="B2089" s="4" t="inlineStr">
        <is>
          <t>MTR-IOS-2088</t>
        </is>
      </c>
      <c r="C2089" s="4" t="inlineStr">
        <is>
          <t>Business</t>
        </is>
      </c>
      <c r="D2089" s="4" t="inlineStr">
        <is>
          <t>Business</t>
        </is>
      </c>
      <c r="E2089" s="4" t="inlineStr">
        <is>
          <t>Team Operations</t>
        </is>
      </c>
      <c r="F2089" s="4" t="inlineStr">
        <is>
          <t>Hiring</t>
        </is>
      </c>
      <c r="G2089" s="4" t="inlineStr">
        <is>
          <t>Expense</t>
        </is>
      </c>
      <c r="H2089" s="12" t="n">
        <v>46197</v>
      </c>
      <c r="I2089" s="13" t="n">
        <v>0.3874884259259259</v>
      </c>
      <c r="J2089" s="14" t="n">
        <v>46197.38748842593</v>
      </c>
      <c r="K2089" s="15" t="n">
        <v>144135.97</v>
      </c>
      <c r="L2089" s="4" t="inlineStr">
        <is>
          <t>INR</t>
        </is>
      </c>
      <c r="M2089" s="15" t="n">
        <v>-144135.97</v>
      </c>
      <c r="N2089" s="4" t="inlineStr">
        <is>
          <t>IOS Owner</t>
        </is>
      </c>
      <c r="O2089" s="4" t="n"/>
      <c r="P2089" s="4" t="n"/>
      <c r="Q2089" s="4" t="inlineStr">
        <is>
          <t>MAESTRO-IOS-BUSINESS-TEAM_OPERATIONS-2088 | Hiring | 144135.97</t>
        </is>
      </c>
      <c r="R2089" s="4" t="inlineStr">
        <is>
          <t>iPhone</t>
        </is>
      </c>
      <c r="S2089" s="4" t="inlineStr">
        <is>
          <t>B42</t>
        </is>
      </c>
      <c r="T2089" s="4" t="inlineStr">
        <is>
          <t>RAMP_1501_2500</t>
        </is>
      </c>
      <c r="U2089" s="4" t="inlineStr">
        <is>
          <t>CREATED</t>
        </is>
      </c>
      <c r="V2089" s="4" t="inlineStr">
        <is>
          <t>idem-20260902-ios-2088</t>
        </is>
      </c>
    </row>
    <row r="2090" ht="30" customHeight="1">
      <c r="A2090" s="4" t="n">
        <v>2089</v>
      </c>
      <c r="B2090" s="4" t="inlineStr">
        <is>
          <t>MTR-IOS-2089</t>
        </is>
      </c>
      <c r="C2090" s="4" t="inlineStr">
        <is>
          <t>Personal</t>
        </is>
      </c>
      <c r="D2090" s="4" t="inlineStr">
        <is>
          <t>Personal</t>
        </is>
      </c>
      <c r="E2090" s="4" t="inlineStr">
        <is>
          <t>Life Operations</t>
        </is>
      </c>
      <c r="F2090" s="4" t="inlineStr">
        <is>
          <t>Repairs</t>
        </is>
      </c>
      <c r="G2090" s="4" t="inlineStr">
        <is>
          <t>Expense</t>
        </is>
      </c>
      <c r="H2090" s="12" t="n">
        <v>46049</v>
      </c>
      <c r="I2090" s="13" t="n">
        <v>0.7162268518518519</v>
      </c>
      <c r="J2090" s="14" t="n">
        <v>46049.71622685185</v>
      </c>
      <c r="K2090" s="15" t="n">
        <v>15632.72</v>
      </c>
      <c r="L2090" s="4" t="inlineStr">
        <is>
          <t>INR</t>
        </is>
      </c>
      <c r="M2090" s="15" t="n">
        <v>-15632.72</v>
      </c>
      <c r="N2090" s="4" t="inlineStr">
        <is>
          <t>IOS Owner</t>
        </is>
      </c>
      <c r="O2090" s="4" t="n"/>
      <c r="P2090" s="4" t="n"/>
      <c r="Q2090" s="4" t="inlineStr">
        <is>
          <t>MAESTRO-IOS-PERSONAL-LIFE_OPERATIONS-2089 | Repairs | 15632.72</t>
        </is>
      </c>
      <c r="R2090" s="4" t="inlineStr">
        <is>
          <t>iPhone</t>
        </is>
      </c>
      <c r="S2090" s="4" t="inlineStr">
        <is>
          <t>B42</t>
        </is>
      </c>
      <c r="T2090" s="4" t="inlineStr">
        <is>
          <t>RAMP_1501_2500</t>
        </is>
      </c>
      <c r="U2090" s="4" t="inlineStr">
        <is>
          <t>CREATED</t>
        </is>
      </c>
      <c r="V2090" s="4" t="inlineStr">
        <is>
          <t>idem-20260902-ios-2089</t>
        </is>
      </c>
    </row>
    <row r="2091" ht="30" customHeight="1">
      <c r="A2091" s="4" t="n">
        <v>2090</v>
      </c>
      <c r="B2091" s="4" t="inlineStr">
        <is>
          <t>MTR-IOS-2090</t>
        </is>
      </c>
      <c r="C2091" s="4" t="inlineStr">
        <is>
          <t>Group</t>
        </is>
      </c>
      <c r="D2091" s="4" t="inlineStr">
        <is>
          <t>Shared Experience</t>
        </is>
      </c>
      <c r="E2091" s="4" t="inlineStr">
        <is>
          <t>Trip</t>
        </is>
      </c>
      <c r="F2091" s="4" t="inlineStr">
        <is>
          <t>Travel</t>
        </is>
      </c>
      <c r="G2091" s="4" t="inlineStr">
        <is>
          <t>Expense</t>
        </is>
      </c>
      <c r="H2091" s="12" t="n">
        <v>46245</v>
      </c>
      <c r="I2091" s="13" t="n">
        <v>0.6342824074074074</v>
      </c>
      <c r="J2091" s="14" t="n">
        <v>46245.63428240741</v>
      </c>
      <c r="K2091" s="15" t="n">
        <v>1603.17</v>
      </c>
      <c r="L2091" s="4" t="inlineStr">
        <is>
          <t>INR</t>
        </is>
      </c>
      <c r="M2091" s="15" t="n">
        <v>-1603.17</v>
      </c>
      <c r="N2091" s="4" t="inlineStr">
        <is>
          <t>IOS Owner</t>
        </is>
      </c>
      <c r="O2091" s="4" t="n">
        <v>3</v>
      </c>
      <c r="P2091" s="4" t="inlineStr">
        <is>
          <t>EQUAL</t>
        </is>
      </c>
      <c r="Q2091" s="4" t="inlineStr">
        <is>
          <t>MAESTRO-IOS-GROUP-TRIP-2090 | Travel | 1603.17</t>
        </is>
      </c>
      <c r="R2091" s="4" t="inlineStr">
        <is>
          <t>iPhone</t>
        </is>
      </c>
      <c r="S2091" s="4" t="inlineStr">
        <is>
          <t>B42</t>
        </is>
      </c>
      <c r="T2091" s="4" t="inlineStr">
        <is>
          <t>RAMP_1501_2500</t>
        </is>
      </c>
      <c r="U2091" s="4" t="inlineStr">
        <is>
          <t>CREATED</t>
        </is>
      </c>
      <c r="V2091" s="4" t="inlineStr">
        <is>
          <t>idem-20260902-ios-2090</t>
        </is>
      </c>
    </row>
    <row r="2092" ht="30" customHeight="1">
      <c r="A2092" s="4" t="n">
        <v>2091</v>
      </c>
      <c r="B2092" s="4" t="inlineStr">
        <is>
          <t>MTR-IOS-2091</t>
        </is>
      </c>
      <c r="C2092" s="4" t="inlineStr">
        <is>
          <t>Business</t>
        </is>
      </c>
      <c r="D2092" s="4" t="inlineStr">
        <is>
          <t>Business</t>
        </is>
      </c>
      <c r="E2092" s="4" t="inlineStr">
        <is>
          <t>Team Operations</t>
        </is>
      </c>
      <c r="F2092" s="4" t="inlineStr">
        <is>
          <t>Team Meal</t>
        </is>
      </c>
      <c r="G2092" s="4" t="inlineStr">
        <is>
          <t>Expense</t>
        </is>
      </c>
      <c r="H2092" s="12" t="n">
        <v>46210</v>
      </c>
      <c r="I2092" s="13" t="n">
        <v>0.8035648148148148</v>
      </c>
      <c r="J2092" s="14" t="n">
        <v>46210.80356481481</v>
      </c>
      <c r="K2092" s="15" t="n">
        <v>104735.79</v>
      </c>
      <c r="L2092" s="4" t="inlineStr">
        <is>
          <t>INR</t>
        </is>
      </c>
      <c r="M2092" s="15" t="n">
        <v>-104735.79</v>
      </c>
      <c r="N2092" s="4" t="inlineStr">
        <is>
          <t>IOS Owner</t>
        </is>
      </c>
      <c r="O2092" s="4" t="n"/>
      <c r="P2092" s="4" t="n"/>
      <c r="Q2092" s="4" t="inlineStr">
        <is>
          <t>MAESTRO-IOS-BUSINESS-TEAM_OPERATIONS-2091 | Team Meal | 104735.79</t>
        </is>
      </c>
      <c r="R2092" s="4" t="inlineStr">
        <is>
          <t>iPhone</t>
        </is>
      </c>
      <c r="S2092" s="4" t="inlineStr">
        <is>
          <t>B42</t>
        </is>
      </c>
      <c r="T2092" s="4" t="inlineStr">
        <is>
          <t>RAMP_1501_2500</t>
        </is>
      </c>
      <c r="U2092" s="4" t="inlineStr">
        <is>
          <t>CREATED</t>
        </is>
      </c>
      <c r="V2092" s="4" t="inlineStr">
        <is>
          <t>idem-20260902-ios-2091</t>
        </is>
      </c>
    </row>
    <row r="2093" ht="30" customHeight="1">
      <c r="A2093" s="4" t="n">
        <v>2092</v>
      </c>
      <c r="B2093" s="4" t="inlineStr">
        <is>
          <t>MTR-IOS-2092</t>
        </is>
      </c>
      <c r="C2093" s="4" t="inlineStr">
        <is>
          <t>Personal</t>
        </is>
      </c>
      <c r="D2093" s="4" t="inlineStr">
        <is>
          <t>Personal</t>
        </is>
      </c>
      <c r="E2093" s="4" t="inlineStr">
        <is>
          <t>Future Building</t>
        </is>
      </c>
      <c r="F2093" s="4" t="inlineStr">
        <is>
          <t>Savings</t>
        </is>
      </c>
      <c r="G2093" s="4" t="inlineStr">
        <is>
          <t>Transfer</t>
        </is>
      </c>
      <c r="H2093" s="12" t="n">
        <v>45969</v>
      </c>
      <c r="I2093" s="13" t="n">
        <v>0.001087962962962963</v>
      </c>
      <c r="J2093" s="14" t="n">
        <v>45969.00108796296</v>
      </c>
      <c r="K2093" s="15" t="n">
        <v>12401.37</v>
      </c>
      <c r="L2093" s="4" t="inlineStr">
        <is>
          <t>INR</t>
        </is>
      </c>
      <c r="M2093" s="15" t="n">
        <v>0</v>
      </c>
      <c r="N2093" s="4" t="inlineStr">
        <is>
          <t>IOS Owner</t>
        </is>
      </c>
      <c r="O2093" s="4" t="n"/>
      <c r="P2093" s="4" t="n"/>
      <c r="Q2093" s="4" t="inlineStr">
        <is>
          <t>MAESTRO-IOS-PERSONAL-FUTURE_BUILDING-2092 | Savings | 12401.37</t>
        </is>
      </c>
      <c r="R2093" s="4" t="inlineStr">
        <is>
          <t>iPhone</t>
        </is>
      </c>
      <c r="S2093" s="4" t="inlineStr">
        <is>
          <t>B42</t>
        </is>
      </c>
      <c r="T2093" s="4" t="inlineStr">
        <is>
          <t>RAMP_1501_2500</t>
        </is>
      </c>
      <c r="U2093" s="4" t="inlineStr">
        <is>
          <t>CREATED</t>
        </is>
      </c>
      <c r="V2093" s="4" t="inlineStr">
        <is>
          <t>idem-20260902-ios-2092</t>
        </is>
      </c>
    </row>
    <row r="2094" ht="30" customHeight="1">
      <c r="A2094" s="4" t="n">
        <v>2093</v>
      </c>
      <c r="B2094" s="4" t="inlineStr">
        <is>
          <t>MTR-IOS-2093</t>
        </is>
      </c>
      <c r="C2094" s="4" t="inlineStr">
        <is>
          <t>Group</t>
        </is>
      </c>
      <c r="D2094" s="4" t="inlineStr">
        <is>
          <t>Shared Experience</t>
        </is>
      </c>
      <c r="E2094" s="4" t="inlineStr">
        <is>
          <t>Trip</t>
        </is>
      </c>
      <c r="F2094" s="4" t="inlineStr">
        <is>
          <t>Stay</t>
        </is>
      </c>
      <c r="G2094" s="4" t="inlineStr">
        <is>
          <t>Expense</t>
        </is>
      </c>
      <c r="H2094" s="12" t="n">
        <v>46186</v>
      </c>
      <c r="I2094" s="13" t="n">
        <v>0.8806944444444444</v>
      </c>
      <c r="J2094" s="14" t="n">
        <v>46186.88069444444</v>
      </c>
      <c r="K2094" s="15" t="n">
        <v>21487.89</v>
      </c>
      <c r="L2094" s="4" t="inlineStr">
        <is>
          <t>INR</t>
        </is>
      </c>
      <c r="M2094" s="15" t="n">
        <v>-21487.89</v>
      </c>
      <c r="N2094" s="4" t="inlineStr">
        <is>
          <t>IOS Aarav</t>
        </is>
      </c>
      <c r="O2094" s="4" t="n">
        <v>3</v>
      </c>
      <c r="P2094" s="4" t="inlineStr">
        <is>
          <t>PERCENTAGE</t>
        </is>
      </c>
      <c r="Q2094" s="4" t="inlineStr">
        <is>
          <t>MAESTRO-IOS-GROUP-TRIP-2093 | Stay | 21487.89</t>
        </is>
      </c>
      <c r="R2094" s="4" t="inlineStr">
        <is>
          <t>iPhone</t>
        </is>
      </c>
      <c r="S2094" s="4" t="inlineStr">
        <is>
          <t>B42</t>
        </is>
      </c>
      <c r="T2094" s="4" t="inlineStr">
        <is>
          <t>RAMP_1501_2500</t>
        </is>
      </c>
      <c r="U2094" s="4" t="inlineStr">
        <is>
          <t>CREATED</t>
        </is>
      </c>
      <c r="V2094" s="4" t="inlineStr">
        <is>
          <t>idem-20260902-ios-2093</t>
        </is>
      </c>
    </row>
    <row r="2095" ht="30" customHeight="1">
      <c r="A2095" s="4" t="n">
        <v>2094</v>
      </c>
      <c r="B2095" s="4" t="inlineStr">
        <is>
          <t>MTR-IOS-2094</t>
        </is>
      </c>
      <c r="C2095" s="4" t="inlineStr">
        <is>
          <t>Business</t>
        </is>
      </c>
      <c r="D2095" s="4" t="inlineStr">
        <is>
          <t>Business</t>
        </is>
      </c>
      <c r="E2095" s="4" t="inlineStr">
        <is>
          <t>Team Operations</t>
        </is>
      </c>
      <c r="F2095" s="4" t="inlineStr">
        <is>
          <t>Travel</t>
        </is>
      </c>
      <c r="G2095" s="4" t="inlineStr">
        <is>
          <t>Expense</t>
        </is>
      </c>
      <c r="H2095" s="12" t="n">
        <v>46239</v>
      </c>
      <c r="I2095" s="13" t="n">
        <v>0.3784490740740741</v>
      </c>
      <c r="J2095" s="14" t="n">
        <v>46239.37844907407</v>
      </c>
      <c r="K2095" s="15" t="n">
        <v>21909.21</v>
      </c>
      <c r="L2095" s="4" t="inlineStr">
        <is>
          <t>INR</t>
        </is>
      </c>
      <c r="M2095" s="15" t="n">
        <v>-21909.21</v>
      </c>
      <c r="N2095" s="4" t="inlineStr">
        <is>
          <t>IOS Owner</t>
        </is>
      </c>
      <c r="O2095" s="4" t="n"/>
      <c r="P2095" s="4" t="n"/>
      <c r="Q2095" s="4" t="inlineStr">
        <is>
          <t>MAESTRO-IOS-BUSINESS-TEAM_OPERATIONS-2094 | Travel | 21909.21</t>
        </is>
      </c>
      <c r="R2095" s="4" t="inlineStr">
        <is>
          <t>iPhone</t>
        </is>
      </c>
      <c r="S2095" s="4" t="inlineStr">
        <is>
          <t>B42</t>
        </is>
      </c>
      <c r="T2095" s="4" t="inlineStr">
        <is>
          <t>RAMP_1501_2500</t>
        </is>
      </c>
      <c r="U2095" s="4" t="inlineStr">
        <is>
          <t>CREATED</t>
        </is>
      </c>
      <c r="V2095" s="4" t="inlineStr">
        <is>
          <t>idem-20260902-ios-2094</t>
        </is>
      </c>
    </row>
    <row r="2096" ht="30" customHeight="1">
      <c r="A2096" s="4" t="n">
        <v>2095</v>
      </c>
      <c r="B2096" s="4" t="inlineStr">
        <is>
          <t>MTR-IOS-2095</t>
        </is>
      </c>
      <c r="C2096" s="4" t="inlineStr">
        <is>
          <t>Personal</t>
        </is>
      </c>
      <c r="D2096" s="4" t="inlineStr">
        <is>
          <t>Personal</t>
        </is>
      </c>
      <c r="E2096" s="4" t="inlineStr">
        <is>
          <t>Future Building</t>
        </is>
      </c>
      <c r="F2096" s="4" t="inlineStr">
        <is>
          <t>Emergency Fund</t>
        </is>
      </c>
      <c r="G2096" s="4" t="inlineStr">
        <is>
          <t>Transfer</t>
        </is>
      </c>
      <c r="H2096" s="12" t="n">
        <v>45944</v>
      </c>
      <c r="I2096" s="13" t="n">
        <v>0.6294097222222222</v>
      </c>
      <c r="J2096" s="14" t="n">
        <v>45944.62940972222</v>
      </c>
      <c r="K2096" s="15" t="n">
        <v>7313.96</v>
      </c>
      <c r="L2096" s="4" t="inlineStr">
        <is>
          <t>INR</t>
        </is>
      </c>
      <c r="M2096" s="15" t="n">
        <v>0</v>
      </c>
      <c r="N2096" s="4" t="inlineStr">
        <is>
          <t>IOS Owner</t>
        </is>
      </c>
      <c r="O2096" s="4" t="n"/>
      <c r="P2096" s="4" t="n"/>
      <c r="Q2096" s="4" t="inlineStr">
        <is>
          <t>MAESTRO-IOS-PERSONAL-FUTURE_BUILDING-2095 | Emergency Fund | 7313.96</t>
        </is>
      </c>
      <c r="R2096" s="4" t="inlineStr">
        <is>
          <t>iPhone</t>
        </is>
      </c>
      <c r="S2096" s="4" t="inlineStr">
        <is>
          <t>B42</t>
        </is>
      </c>
      <c r="T2096" s="4" t="inlineStr">
        <is>
          <t>RAMP_1501_2500</t>
        </is>
      </c>
      <c r="U2096" s="4" t="inlineStr">
        <is>
          <t>CREATED</t>
        </is>
      </c>
      <c r="V2096" s="4" t="inlineStr">
        <is>
          <t>idem-20260902-ios-2095</t>
        </is>
      </c>
    </row>
    <row r="2097" ht="30" customHeight="1">
      <c r="A2097" s="4" t="n">
        <v>2096</v>
      </c>
      <c r="B2097" s="4" t="inlineStr">
        <is>
          <t>MTR-IOS-2096</t>
        </is>
      </c>
      <c r="C2097" s="4" t="inlineStr">
        <is>
          <t>Group</t>
        </is>
      </c>
      <c r="D2097" s="4" t="inlineStr">
        <is>
          <t>Shared Experience</t>
        </is>
      </c>
      <c r="E2097" s="4" t="inlineStr">
        <is>
          <t>Trip</t>
        </is>
      </c>
      <c r="F2097" s="4" t="inlineStr">
        <is>
          <t>Food</t>
        </is>
      </c>
      <c r="G2097" s="4" t="inlineStr">
        <is>
          <t>Expense</t>
        </is>
      </c>
      <c r="H2097" s="12" t="n">
        <v>46095</v>
      </c>
      <c r="I2097" s="13" t="n">
        <v>0.01458333333333333</v>
      </c>
      <c r="J2097" s="14" t="n">
        <v>46095.01458333333</v>
      </c>
      <c r="K2097" s="15" t="n">
        <v>12135.63</v>
      </c>
      <c r="L2097" s="4" t="inlineStr">
        <is>
          <t>INR</t>
        </is>
      </c>
      <c r="M2097" s="15" t="n">
        <v>-12135.63</v>
      </c>
      <c r="N2097" s="4" t="inlineStr">
        <is>
          <t>IOS Meera</t>
        </is>
      </c>
      <c r="O2097" s="4" t="n">
        <v>3</v>
      </c>
      <c r="P2097" s="4" t="inlineStr">
        <is>
          <t>EXACT</t>
        </is>
      </c>
      <c r="Q2097" s="4" t="inlineStr">
        <is>
          <t>MAESTRO-IOS-GROUP-TRIP-2096 | Food | 12135.63</t>
        </is>
      </c>
      <c r="R2097" s="4" t="inlineStr">
        <is>
          <t>iPhone</t>
        </is>
      </c>
      <c r="S2097" s="4" t="inlineStr">
        <is>
          <t>B42</t>
        </is>
      </c>
      <c r="T2097" s="4" t="inlineStr">
        <is>
          <t>RAMP_1501_2500</t>
        </is>
      </c>
      <c r="U2097" s="4" t="inlineStr">
        <is>
          <t>CREATED</t>
        </is>
      </c>
      <c r="V2097" s="4" t="inlineStr">
        <is>
          <t>idem-20260902-ios-2096</t>
        </is>
      </c>
    </row>
    <row r="2098" ht="30" customHeight="1">
      <c r="A2098" s="4" t="n">
        <v>2097</v>
      </c>
      <c r="B2098" s="4" t="inlineStr">
        <is>
          <t>MTR-IOS-2097</t>
        </is>
      </c>
      <c r="C2098" s="4" t="inlineStr">
        <is>
          <t>Business</t>
        </is>
      </c>
      <c r="D2098" s="4" t="inlineStr">
        <is>
          <t>Business</t>
        </is>
      </c>
      <c r="E2098" s="4" t="inlineStr">
        <is>
          <t>Team Operations</t>
        </is>
      </c>
      <c r="F2098" s="4" t="inlineStr">
        <is>
          <t>Training</t>
        </is>
      </c>
      <c r="G2098" s="4" t="inlineStr">
        <is>
          <t>Expense</t>
        </is>
      </c>
      <c r="H2098" s="12" t="n">
        <v>46096</v>
      </c>
      <c r="I2098" s="13" t="n">
        <v>0.5315972222222223</v>
      </c>
      <c r="J2098" s="14" t="n">
        <v>46096.53159722222</v>
      </c>
      <c r="K2098" s="15" t="n">
        <v>116380.42</v>
      </c>
      <c r="L2098" s="4" t="inlineStr">
        <is>
          <t>INR</t>
        </is>
      </c>
      <c r="M2098" s="15" t="n">
        <v>-116380.42</v>
      </c>
      <c r="N2098" s="4" t="inlineStr">
        <is>
          <t>IOS Owner</t>
        </is>
      </c>
      <c r="O2098" s="4" t="n"/>
      <c r="P2098" s="4" t="n"/>
      <c r="Q2098" s="4" t="inlineStr">
        <is>
          <t>MAESTRO-IOS-BUSINESS-TEAM_OPERATIONS-2097 | Training | 116380.42</t>
        </is>
      </c>
      <c r="R2098" s="4" t="inlineStr">
        <is>
          <t>iPhone</t>
        </is>
      </c>
      <c r="S2098" s="4" t="inlineStr">
        <is>
          <t>B42</t>
        </is>
      </c>
      <c r="T2098" s="4" t="inlineStr">
        <is>
          <t>RAMP_1501_2500</t>
        </is>
      </c>
      <c r="U2098" s="4" t="inlineStr">
        <is>
          <t>CREATED</t>
        </is>
      </c>
      <c r="V2098" s="4" t="inlineStr">
        <is>
          <t>idem-20260902-ios-2097</t>
        </is>
      </c>
    </row>
    <row r="2099" ht="30" customHeight="1">
      <c r="A2099" s="4" t="n">
        <v>2098</v>
      </c>
      <c r="B2099" s="4" t="inlineStr">
        <is>
          <t>MTR-IOS-2098</t>
        </is>
      </c>
      <c r="C2099" s="4" t="inlineStr">
        <is>
          <t>Personal</t>
        </is>
      </c>
      <c r="D2099" s="4" t="inlineStr">
        <is>
          <t>Personal</t>
        </is>
      </c>
      <c r="E2099" s="4" t="inlineStr">
        <is>
          <t>Future Building</t>
        </is>
      </c>
      <c r="F2099" s="4" t="inlineStr">
        <is>
          <t>Investments</t>
        </is>
      </c>
      <c r="G2099" s="4" t="inlineStr">
        <is>
          <t>Investment</t>
        </is>
      </c>
      <c r="H2099" s="12" t="n">
        <v>46016</v>
      </c>
      <c r="I2099" s="13" t="n">
        <v>0.7630555555555556</v>
      </c>
      <c r="J2099" s="14" t="n">
        <v>46016.76305555556</v>
      </c>
      <c r="K2099" s="15" t="n">
        <v>16546.46</v>
      </c>
      <c r="L2099" s="4" t="inlineStr">
        <is>
          <t>INR</t>
        </is>
      </c>
      <c r="M2099" s="15" t="n">
        <v>0</v>
      </c>
      <c r="N2099" s="4" t="inlineStr">
        <is>
          <t>IOS Owner</t>
        </is>
      </c>
      <c r="O2099" s="4" t="n"/>
      <c r="P2099" s="4" t="n"/>
      <c r="Q2099" s="4" t="inlineStr">
        <is>
          <t>MAESTRO-IOS-PERSONAL-FUTURE_BUILDING-2098 | Investments | 16546.46</t>
        </is>
      </c>
      <c r="R2099" s="4" t="inlineStr">
        <is>
          <t>iPhone</t>
        </is>
      </c>
      <c r="S2099" s="4" t="inlineStr">
        <is>
          <t>B42</t>
        </is>
      </c>
      <c r="T2099" s="4" t="inlineStr">
        <is>
          <t>RAMP_1501_2500</t>
        </is>
      </c>
      <c r="U2099" s="4" t="inlineStr">
        <is>
          <t>CREATED</t>
        </is>
      </c>
      <c r="V2099" s="4" t="inlineStr">
        <is>
          <t>idem-20260902-ios-2098</t>
        </is>
      </c>
    </row>
    <row r="2100" ht="30" customHeight="1">
      <c r="A2100" s="4" t="n">
        <v>2099</v>
      </c>
      <c r="B2100" s="4" t="inlineStr">
        <is>
          <t>MTR-IOS-2099</t>
        </is>
      </c>
      <c r="C2100" s="4" t="inlineStr">
        <is>
          <t>Group</t>
        </is>
      </c>
      <c r="D2100" s="4" t="inlineStr">
        <is>
          <t>Shared Experience</t>
        </is>
      </c>
      <c r="E2100" s="4" t="inlineStr">
        <is>
          <t>Trip</t>
        </is>
      </c>
      <c r="F2100" s="4" t="inlineStr">
        <is>
          <t>Local Transport</t>
        </is>
      </c>
      <c r="G2100" s="4" t="inlineStr">
        <is>
          <t>Expense</t>
        </is>
      </c>
      <c r="H2100" s="12" t="n">
        <v>45985</v>
      </c>
      <c r="I2100" s="13" t="n">
        <v>0.700787037037037</v>
      </c>
      <c r="J2100" s="14" t="n">
        <v>45985.70078703704</v>
      </c>
      <c r="K2100" s="15" t="n">
        <v>14596.29</v>
      </c>
      <c r="L2100" s="4" t="inlineStr">
        <is>
          <t>INR</t>
        </is>
      </c>
      <c r="M2100" s="15" t="n">
        <v>-14596.29</v>
      </c>
      <c r="N2100" s="4" t="inlineStr">
        <is>
          <t>IOS Owner</t>
        </is>
      </c>
      <c r="O2100" s="4" t="n">
        <v>3</v>
      </c>
      <c r="P2100" s="4" t="inlineStr">
        <is>
          <t>SHARES</t>
        </is>
      </c>
      <c r="Q2100" s="4" t="inlineStr">
        <is>
          <t>MAESTRO-IOS-GROUP-TRIP-2099 | Local Transport | 14596.29</t>
        </is>
      </c>
      <c r="R2100" s="4" t="inlineStr">
        <is>
          <t>iPhone</t>
        </is>
      </c>
      <c r="S2100" s="4" t="inlineStr">
        <is>
          <t>B42</t>
        </is>
      </c>
      <c r="T2100" s="4" t="inlineStr">
        <is>
          <t>RAMP_1501_2500</t>
        </is>
      </c>
      <c r="U2100" s="4" t="inlineStr">
        <is>
          <t>CREATED</t>
        </is>
      </c>
      <c r="V2100" s="4" t="inlineStr">
        <is>
          <t>idem-20260902-ios-2099</t>
        </is>
      </c>
    </row>
    <row r="2101" ht="30" customHeight="1">
      <c r="A2101" s="4" t="n">
        <v>2100</v>
      </c>
      <c r="B2101" s="4" t="inlineStr">
        <is>
          <t>MTR-IOS-2100</t>
        </is>
      </c>
      <c r="C2101" s="4" t="inlineStr">
        <is>
          <t>Business</t>
        </is>
      </c>
      <c r="D2101" s="4" t="inlineStr">
        <is>
          <t>Business</t>
        </is>
      </c>
      <c r="E2101" s="4" t="inlineStr">
        <is>
          <t>Team Operations</t>
        </is>
      </c>
      <c r="F2101" s="4" t="inlineStr">
        <is>
          <t>Tools</t>
        </is>
      </c>
      <c r="G2101" s="4" t="inlineStr">
        <is>
          <t>Expense</t>
        </is>
      </c>
      <c r="H2101" s="12" t="n">
        <v>45997</v>
      </c>
      <c r="I2101" s="13" t="n">
        <v>0.9307060185185185</v>
      </c>
      <c r="J2101" s="14" t="n">
        <v>45997.93070601852</v>
      </c>
      <c r="K2101" s="15" t="n">
        <v>71192.45</v>
      </c>
      <c r="L2101" s="4" t="inlineStr">
        <is>
          <t>INR</t>
        </is>
      </c>
      <c r="M2101" s="15" t="n">
        <v>-71192.45</v>
      </c>
      <c r="N2101" s="4" t="inlineStr">
        <is>
          <t>IOS Owner</t>
        </is>
      </c>
      <c r="O2101" s="4" t="n"/>
      <c r="P2101" s="4" t="n"/>
      <c r="Q2101" s="4" t="inlineStr">
        <is>
          <t>MAESTRO-IOS-BUSINESS-TEAM_OPERATIONS-2100 | Tools | 71192.45</t>
        </is>
      </c>
      <c r="R2101" s="4" t="inlineStr">
        <is>
          <t>iPhone</t>
        </is>
      </c>
      <c r="S2101" s="4" t="inlineStr">
        <is>
          <t>B42</t>
        </is>
      </c>
      <c r="T2101" s="4" t="inlineStr">
        <is>
          <t>RAMP_1501_2500</t>
        </is>
      </c>
      <c r="U2101" s="4" t="inlineStr">
        <is>
          <t>CREATED</t>
        </is>
      </c>
      <c r="V2101" s="4" t="inlineStr">
        <is>
          <t>idem-20260902-ios-2100</t>
        </is>
      </c>
    </row>
    <row r="2102" ht="30" customHeight="1">
      <c r="A2102" s="4" t="n">
        <v>2101</v>
      </c>
      <c r="B2102" s="4" t="inlineStr">
        <is>
          <t>MTR-IOS-2101</t>
        </is>
      </c>
      <c r="C2102" s="4" t="inlineStr">
        <is>
          <t>Personal</t>
        </is>
      </c>
      <c r="D2102" s="4" t="inlineStr">
        <is>
          <t>Personal</t>
        </is>
      </c>
      <c r="E2102" s="4" t="inlineStr">
        <is>
          <t>Future Building</t>
        </is>
      </c>
      <c r="F2102" s="4" t="inlineStr">
        <is>
          <t>Education</t>
        </is>
      </c>
      <c r="G2102" s="4" t="inlineStr">
        <is>
          <t>Expense</t>
        </is>
      </c>
      <c r="H2102" s="12" t="n">
        <v>46115</v>
      </c>
      <c r="I2102" s="13" t="n">
        <v>0.4984722222222222</v>
      </c>
      <c r="J2102" s="14" t="n">
        <v>46115.49847222222</v>
      </c>
      <c r="K2102" s="15" t="n">
        <v>8293.99</v>
      </c>
      <c r="L2102" s="4" t="inlineStr">
        <is>
          <t>INR</t>
        </is>
      </c>
      <c r="M2102" s="15" t="n">
        <v>-8293.99</v>
      </c>
      <c r="N2102" s="4" t="inlineStr">
        <is>
          <t>IOS Owner</t>
        </is>
      </c>
      <c r="O2102" s="4" t="n"/>
      <c r="P2102" s="4" t="n"/>
      <c r="Q2102" s="4" t="inlineStr">
        <is>
          <t>MAESTRO-IOS-PERSONAL-FUTURE_BUILDING-2101 | Education | 8293.99</t>
        </is>
      </c>
      <c r="R2102" s="4" t="inlineStr">
        <is>
          <t>iPhone</t>
        </is>
      </c>
      <c r="S2102" s="4" t="inlineStr">
        <is>
          <t>B43</t>
        </is>
      </c>
      <c r="T2102" s="4" t="inlineStr">
        <is>
          <t>RAMP_1501_2500</t>
        </is>
      </c>
      <c r="U2102" s="4" t="inlineStr">
        <is>
          <t>CREATED</t>
        </is>
      </c>
      <c r="V2102" s="4" t="inlineStr">
        <is>
          <t>idem-20260902-ios-2101</t>
        </is>
      </c>
    </row>
    <row r="2103" ht="30" customHeight="1">
      <c r="A2103" s="4" t="n">
        <v>2102</v>
      </c>
      <c r="B2103" s="4" t="inlineStr">
        <is>
          <t>MTR-IOS-2102</t>
        </is>
      </c>
      <c r="C2103" s="4" t="inlineStr">
        <is>
          <t>Group</t>
        </is>
      </c>
      <c r="D2103" s="4" t="inlineStr">
        <is>
          <t>Shared Experience</t>
        </is>
      </c>
      <c r="E2103" s="4" t="inlineStr">
        <is>
          <t>Trip</t>
        </is>
      </c>
      <c r="F2103" s="4" t="inlineStr">
        <is>
          <t>Activities</t>
        </is>
      </c>
      <c r="G2103" s="4" t="inlineStr">
        <is>
          <t>Expense</t>
        </is>
      </c>
      <c r="H2103" s="12" t="n">
        <v>46226</v>
      </c>
      <c r="I2103" s="13" t="n">
        <v>0.1654976851851852</v>
      </c>
      <c r="J2103" s="14" t="n">
        <v>46226.16549768519</v>
      </c>
      <c r="K2103" s="15" t="n">
        <v>1910.22</v>
      </c>
      <c r="L2103" s="4" t="inlineStr">
        <is>
          <t>INR</t>
        </is>
      </c>
      <c r="M2103" s="15" t="n">
        <v>-1910.22</v>
      </c>
      <c r="N2103" s="4" t="inlineStr">
        <is>
          <t>IOS Aarav</t>
        </is>
      </c>
      <c r="O2103" s="4" t="n">
        <v>3</v>
      </c>
      <c r="P2103" s="4" t="inlineStr">
        <is>
          <t>EQUAL</t>
        </is>
      </c>
      <c r="Q2103" s="4" t="inlineStr">
        <is>
          <t>MAESTRO-IOS-GROUP-TRIP-2102 | Activities | 1910.22</t>
        </is>
      </c>
      <c r="R2103" s="4" t="inlineStr">
        <is>
          <t>iPhone</t>
        </is>
      </c>
      <c r="S2103" s="4" t="inlineStr">
        <is>
          <t>B43</t>
        </is>
      </c>
      <c r="T2103" s="4" t="inlineStr">
        <is>
          <t>RAMP_1501_2500</t>
        </is>
      </c>
      <c r="U2103" s="4" t="inlineStr">
        <is>
          <t>CREATED</t>
        </is>
      </c>
      <c r="V2103" s="4" t="inlineStr">
        <is>
          <t>idem-20260902-ios-2102</t>
        </is>
      </c>
    </row>
    <row r="2104" ht="30" customHeight="1">
      <c r="A2104" s="4" t="n">
        <v>2103</v>
      </c>
      <c r="B2104" s="4" t="inlineStr">
        <is>
          <t>MTR-IOS-2103</t>
        </is>
      </c>
      <c r="C2104" s="4" t="inlineStr">
        <is>
          <t>Business</t>
        </is>
      </c>
      <c r="D2104" s="4" t="inlineStr">
        <is>
          <t>Business</t>
        </is>
      </c>
      <c r="E2104" s="4" t="inlineStr">
        <is>
          <t>Business Runway</t>
        </is>
      </c>
      <c r="F2104" s="4" t="inlineStr">
        <is>
          <t>Funding</t>
        </is>
      </c>
      <c r="G2104" s="4" t="inlineStr">
        <is>
          <t>Income</t>
        </is>
      </c>
      <c r="H2104" s="12" t="n">
        <v>46041</v>
      </c>
      <c r="I2104" s="13" t="n">
        <v>0.2860648148148148</v>
      </c>
      <c r="J2104" s="14" t="n">
        <v>46041.28606481481</v>
      </c>
      <c r="K2104" s="15" t="n">
        <v>159526.1</v>
      </c>
      <c r="L2104" s="4" t="inlineStr">
        <is>
          <t>INR</t>
        </is>
      </c>
      <c r="M2104" s="15" t="n">
        <v>159526.1</v>
      </c>
      <c r="N2104" s="4" t="inlineStr">
        <is>
          <t>IOS Owner</t>
        </is>
      </c>
      <c r="O2104" s="4" t="n"/>
      <c r="P2104" s="4" t="n"/>
      <c r="Q2104" s="4" t="inlineStr">
        <is>
          <t>MAESTRO-IOS-BUSINESS-BUSINESS_RUNWAY-2103 | Funding | 159526.10</t>
        </is>
      </c>
      <c r="R2104" s="4" t="inlineStr">
        <is>
          <t>iPhone</t>
        </is>
      </c>
      <c r="S2104" s="4" t="inlineStr">
        <is>
          <t>B43</t>
        </is>
      </c>
      <c r="T2104" s="4" t="inlineStr">
        <is>
          <t>RAMP_1501_2500</t>
        </is>
      </c>
      <c r="U2104" s="4" t="inlineStr">
        <is>
          <t>CREATED</t>
        </is>
      </c>
      <c r="V2104" s="4" t="inlineStr">
        <is>
          <t>idem-20260902-ios-2103</t>
        </is>
      </c>
    </row>
    <row r="2105" ht="30" customHeight="1">
      <c r="A2105" s="4" t="n">
        <v>2104</v>
      </c>
      <c r="B2105" s="4" t="inlineStr">
        <is>
          <t>MTR-IOS-2104</t>
        </is>
      </c>
      <c r="C2105" s="4" t="inlineStr">
        <is>
          <t>Personal</t>
        </is>
      </c>
      <c r="D2105" s="4" t="inlineStr">
        <is>
          <t>Personal</t>
        </is>
      </c>
      <c r="E2105" s="4" t="inlineStr">
        <is>
          <t>Future Building</t>
        </is>
      </c>
      <c r="F2105" s="4" t="inlineStr">
        <is>
          <t>Goal Contribution</t>
        </is>
      </c>
      <c r="G2105" s="4" t="inlineStr">
        <is>
          <t>Transfer</t>
        </is>
      </c>
      <c r="H2105" s="12" t="n">
        <v>46127</v>
      </c>
      <c r="I2105" s="13" t="n">
        <v>0.02939814814814815</v>
      </c>
      <c r="J2105" s="14" t="n">
        <v>46127.02939814814</v>
      </c>
      <c r="K2105" s="15" t="n">
        <v>2804.31</v>
      </c>
      <c r="L2105" s="4" t="inlineStr">
        <is>
          <t>INR</t>
        </is>
      </c>
      <c r="M2105" s="15" t="n">
        <v>0</v>
      </c>
      <c r="N2105" s="4" t="inlineStr">
        <is>
          <t>IOS Owner</t>
        </is>
      </c>
      <c r="O2105" s="4" t="n"/>
      <c r="P2105" s="4" t="n"/>
      <c r="Q2105" s="4" t="inlineStr">
        <is>
          <t>MAESTRO-IOS-PERSONAL-FUTURE_BUILDING-2104 | Goal Contribution | 2804.31</t>
        </is>
      </c>
      <c r="R2105" s="4" t="inlineStr">
        <is>
          <t>iPhone</t>
        </is>
      </c>
      <c r="S2105" s="4" t="inlineStr">
        <is>
          <t>B43</t>
        </is>
      </c>
      <c r="T2105" s="4" t="inlineStr">
        <is>
          <t>RAMP_1501_2500</t>
        </is>
      </c>
      <c r="U2105" s="4" t="inlineStr">
        <is>
          <t>CREATED</t>
        </is>
      </c>
      <c r="V2105" s="4" t="inlineStr">
        <is>
          <t>idem-20260902-ios-2104</t>
        </is>
      </c>
    </row>
    <row r="2106" ht="30" customHeight="1">
      <c r="A2106" s="4" t="n">
        <v>2105</v>
      </c>
      <c r="B2106" s="4" t="inlineStr">
        <is>
          <t>MTR-IOS-2105</t>
        </is>
      </c>
      <c r="C2106" s="4" t="inlineStr">
        <is>
          <t>Group</t>
        </is>
      </c>
      <c r="D2106" s="4" t="inlineStr">
        <is>
          <t>Shared Experience</t>
        </is>
      </c>
      <c r="E2106" s="4" t="inlineStr">
        <is>
          <t>Trip</t>
        </is>
      </c>
      <c r="F2106" s="4" t="inlineStr">
        <is>
          <t>Shopping</t>
        </is>
      </c>
      <c r="G2106" s="4" t="inlineStr">
        <is>
          <t>Expense</t>
        </is>
      </c>
      <c r="H2106" s="12" t="n">
        <v>45995</v>
      </c>
      <c r="I2106" s="13" t="n">
        <v>0.9681828703703703</v>
      </c>
      <c r="J2106" s="14" t="n">
        <v>45995.96818287037</v>
      </c>
      <c r="K2106" s="15" t="n">
        <v>21959.21</v>
      </c>
      <c r="L2106" s="4" t="inlineStr">
        <is>
          <t>INR</t>
        </is>
      </c>
      <c r="M2106" s="15" t="n">
        <v>-21959.21</v>
      </c>
      <c r="N2106" s="4" t="inlineStr">
        <is>
          <t>IOS Meera</t>
        </is>
      </c>
      <c r="O2106" s="4" t="n">
        <v>3</v>
      </c>
      <c r="P2106" s="4" t="inlineStr">
        <is>
          <t>PERCENTAGE</t>
        </is>
      </c>
      <c r="Q2106" s="4" t="inlineStr">
        <is>
          <t>MAESTRO-IOS-GROUP-TRIP-2105 | Shopping | 21959.21</t>
        </is>
      </c>
      <c r="R2106" s="4" t="inlineStr">
        <is>
          <t>iPhone</t>
        </is>
      </c>
      <c r="S2106" s="4" t="inlineStr">
        <is>
          <t>B43</t>
        </is>
      </c>
      <c r="T2106" s="4" t="inlineStr">
        <is>
          <t>RAMP_1501_2500</t>
        </is>
      </c>
      <c r="U2106" s="4" t="inlineStr">
        <is>
          <t>CREATED</t>
        </is>
      </c>
      <c r="V2106" s="4" t="inlineStr">
        <is>
          <t>idem-20260902-ios-2105</t>
        </is>
      </c>
    </row>
    <row r="2107" ht="30" customHeight="1">
      <c r="A2107" s="4" t="n">
        <v>2106</v>
      </c>
      <c r="B2107" s="4" t="inlineStr">
        <is>
          <t>MTR-IOS-2106</t>
        </is>
      </c>
      <c r="C2107" s="4" t="inlineStr">
        <is>
          <t>Business</t>
        </is>
      </c>
      <c r="D2107" s="4" t="inlineStr">
        <is>
          <t>Business</t>
        </is>
      </c>
      <c r="E2107" s="4" t="inlineStr">
        <is>
          <t>Business Runway</t>
        </is>
      </c>
      <c r="F2107" s="4" t="inlineStr">
        <is>
          <t>Revenue</t>
        </is>
      </c>
      <c r="G2107" s="4" t="inlineStr">
        <is>
          <t>Income</t>
        </is>
      </c>
      <c r="H2107" s="12" t="n">
        <v>46135</v>
      </c>
      <c r="I2107" s="13" t="n">
        <v>0.8155555555555556</v>
      </c>
      <c r="J2107" s="14" t="n">
        <v>46135.81555555556</v>
      </c>
      <c r="K2107" s="15" t="n">
        <v>65800.32000000001</v>
      </c>
      <c r="L2107" s="4" t="inlineStr">
        <is>
          <t>INR</t>
        </is>
      </c>
      <c r="M2107" s="15" t="n">
        <v>65800.32000000001</v>
      </c>
      <c r="N2107" s="4" t="inlineStr">
        <is>
          <t>IOS Owner</t>
        </is>
      </c>
      <c r="O2107" s="4" t="n"/>
      <c r="P2107" s="4" t="n"/>
      <c r="Q2107" s="4" t="inlineStr">
        <is>
          <t>MAESTRO-IOS-BUSINESS-BUSINESS_RUNWAY-2106 | Revenue | 65800.32</t>
        </is>
      </c>
      <c r="R2107" s="4" t="inlineStr">
        <is>
          <t>iPhone</t>
        </is>
      </c>
      <c r="S2107" s="4" t="inlineStr">
        <is>
          <t>B43</t>
        </is>
      </c>
      <c r="T2107" s="4" t="inlineStr">
        <is>
          <t>RAMP_1501_2500</t>
        </is>
      </c>
      <c r="U2107" s="4" t="inlineStr">
        <is>
          <t>CREATED</t>
        </is>
      </c>
      <c r="V2107" s="4" t="inlineStr">
        <is>
          <t>idem-20260902-ios-2106</t>
        </is>
      </c>
    </row>
    <row r="2108" ht="30" customHeight="1">
      <c r="A2108" s="4" t="n">
        <v>2107</v>
      </c>
      <c r="B2108" s="4" t="inlineStr">
        <is>
          <t>MTR-IOS-2107</t>
        </is>
      </c>
      <c r="C2108" s="4" t="inlineStr">
        <is>
          <t>Personal</t>
        </is>
      </c>
      <c r="D2108" s="4" t="inlineStr">
        <is>
          <t>Personal</t>
        </is>
      </c>
      <c r="E2108" s="4" t="inlineStr">
        <is>
          <t>Lifestyle</t>
        </is>
      </c>
      <c r="F2108" s="4" t="inlineStr">
        <is>
          <t>Dining</t>
        </is>
      </c>
      <c r="G2108" s="4" t="inlineStr">
        <is>
          <t>Expense</t>
        </is>
      </c>
      <c r="H2108" s="12" t="n">
        <v>46063</v>
      </c>
      <c r="I2108" s="13" t="n">
        <v>0.1732638888888889</v>
      </c>
      <c r="J2108" s="14" t="n">
        <v>46063.17326388889</v>
      </c>
      <c r="K2108" s="15" t="n">
        <v>2682.38</v>
      </c>
      <c r="L2108" s="4" t="inlineStr">
        <is>
          <t>INR</t>
        </is>
      </c>
      <c r="M2108" s="15" t="n">
        <v>-2682.38</v>
      </c>
      <c r="N2108" s="4" t="inlineStr">
        <is>
          <t>IOS Owner</t>
        </is>
      </c>
      <c r="O2108" s="4" t="n"/>
      <c r="P2108" s="4" t="n"/>
      <c r="Q2108" s="4" t="inlineStr">
        <is>
          <t>MAESTRO-IOS-PERSONAL-LIFESTYLE-2107 | Dining | 2682.38</t>
        </is>
      </c>
      <c r="R2108" s="4" t="inlineStr">
        <is>
          <t>iPhone</t>
        </is>
      </c>
      <c r="S2108" s="4" t="inlineStr">
        <is>
          <t>B43</t>
        </is>
      </c>
      <c r="T2108" s="4" t="inlineStr">
        <is>
          <t>RAMP_1501_2500</t>
        </is>
      </c>
      <c r="U2108" s="4" t="inlineStr">
        <is>
          <t>CREATED</t>
        </is>
      </c>
      <c r="V2108" s="4" t="inlineStr">
        <is>
          <t>idem-20260902-ios-2107</t>
        </is>
      </c>
    </row>
    <row r="2109" ht="30" customHeight="1">
      <c r="A2109" s="4" t="n">
        <v>2108</v>
      </c>
      <c r="B2109" s="4" t="inlineStr">
        <is>
          <t>MTR-IOS-2108</t>
        </is>
      </c>
      <c r="C2109" s="4" t="inlineStr">
        <is>
          <t>Group</t>
        </is>
      </c>
      <c r="D2109" s="4" t="inlineStr">
        <is>
          <t>Shared Experience</t>
        </is>
      </c>
      <c r="E2109" s="4" t="inlineStr">
        <is>
          <t>Trip</t>
        </is>
      </c>
      <c r="F2109" s="4" t="inlineStr">
        <is>
          <t>Other</t>
        </is>
      </c>
      <c r="G2109" s="4" t="inlineStr">
        <is>
          <t>Expense</t>
        </is>
      </c>
      <c r="H2109" s="12" t="n">
        <v>46158</v>
      </c>
      <c r="I2109" s="13" t="n">
        <v>0.6570138888888889</v>
      </c>
      <c r="J2109" s="14" t="n">
        <v>46158.65701388889</v>
      </c>
      <c r="K2109" s="15" t="n">
        <v>26398.3</v>
      </c>
      <c r="L2109" s="4" t="inlineStr">
        <is>
          <t>INR</t>
        </is>
      </c>
      <c r="M2109" s="15" t="n">
        <v>-26398.3</v>
      </c>
      <c r="N2109" s="4" t="inlineStr">
        <is>
          <t>IOS Owner</t>
        </is>
      </c>
      <c r="O2109" s="4" t="n">
        <v>3</v>
      </c>
      <c r="P2109" s="4" t="inlineStr">
        <is>
          <t>EXACT</t>
        </is>
      </c>
      <c r="Q2109" s="4" t="inlineStr">
        <is>
          <t>MAESTRO-IOS-GROUP-TRIP-2108 | Other | 26398.30</t>
        </is>
      </c>
      <c r="R2109" s="4" t="inlineStr">
        <is>
          <t>iPhone</t>
        </is>
      </c>
      <c r="S2109" s="4" t="inlineStr">
        <is>
          <t>B43</t>
        </is>
      </c>
      <c r="T2109" s="4" t="inlineStr">
        <is>
          <t>RAMP_1501_2500</t>
        </is>
      </c>
      <c r="U2109" s="4" t="inlineStr">
        <is>
          <t>CREATED</t>
        </is>
      </c>
      <c r="V2109" s="4" t="inlineStr">
        <is>
          <t>idem-20260902-ios-2108</t>
        </is>
      </c>
    </row>
    <row r="2110" ht="30" customHeight="1">
      <c r="A2110" s="4" t="n">
        <v>2109</v>
      </c>
      <c r="B2110" s="4" t="inlineStr">
        <is>
          <t>MTR-IOS-2109</t>
        </is>
      </c>
      <c r="C2110" s="4" t="inlineStr">
        <is>
          <t>Business</t>
        </is>
      </c>
      <c r="D2110" s="4" t="inlineStr">
        <is>
          <t>Business</t>
        </is>
      </c>
      <c r="E2110" s="4" t="inlineStr">
        <is>
          <t>Business Runway</t>
        </is>
      </c>
      <c r="F2110" s="4" t="inlineStr">
        <is>
          <t>Burn</t>
        </is>
      </c>
      <c r="G2110" s="4" t="inlineStr">
        <is>
          <t>Expense</t>
        </is>
      </c>
      <c r="H2110" s="12" t="n">
        <v>45923</v>
      </c>
      <c r="I2110" s="13" t="n">
        <v>0.206875</v>
      </c>
      <c r="J2110" s="14" t="n">
        <v>45923.206875</v>
      </c>
      <c r="K2110" s="15" t="n">
        <v>100</v>
      </c>
      <c r="L2110" s="4" t="inlineStr">
        <is>
          <t>INR</t>
        </is>
      </c>
      <c r="M2110" s="15" t="n">
        <v>-100</v>
      </c>
      <c r="N2110" s="4" t="inlineStr">
        <is>
          <t>IOS Owner</t>
        </is>
      </c>
      <c r="O2110" s="4" t="n"/>
      <c r="P2110" s="4" t="n"/>
      <c r="Q2110" s="4" t="inlineStr">
        <is>
          <t>MAESTRO-IOS-BUSINESS-BUSINESS_RUNWAY-2109 | Burn | 100.00</t>
        </is>
      </c>
      <c r="R2110" s="4" t="inlineStr">
        <is>
          <t>iPhone</t>
        </is>
      </c>
      <c r="S2110" s="4" t="inlineStr">
        <is>
          <t>B43</t>
        </is>
      </c>
      <c r="T2110" s="4" t="inlineStr">
        <is>
          <t>RAMP_1501_2500</t>
        </is>
      </c>
      <c r="U2110" s="4" t="inlineStr">
        <is>
          <t>CREATED</t>
        </is>
      </c>
      <c r="V2110" s="4" t="inlineStr">
        <is>
          <t>idem-20260902-ios-2109</t>
        </is>
      </c>
    </row>
    <row r="2111" ht="30" customHeight="1">
      <c r="A2111" s="4" t="n">
        <v>2110</v>
      </c>
      <c r="B2111" s="4" t="inlineStr">
        <is>
          <t>MTR-IOS-2110</t>
        </is>
      </c>
      <c r="C2111" s="4" t="inlineStr">
        <is>
          <t>Personal</t>
        </is>
      </c>
      <c r="D2111" s="4" t="inlineStr">
        <is>
          <t>Personal</t>
        </is>
      </c>
      <c r="E2111" s="4" t="inlineStr">
        <is>
          <t>Lifestyle</t>
        </is>
      </c>
      <c r="F2111" s="4" t="inlineStr">
        <is>
          <t>Shopping</t>
        </is>
      </c>
      <c r="G2111" s="4" t="inlineStr">
        <is>
          <t>Expense</t>
        </is>
      </c>
      <c r="H2111" s="12" t="n">
        <v>46150</v>
      </c>
      <c r="I2111" s="13" t="n">
        <v>0.9804861111111111</v>
      </c>
      <c r="J2111" s="14" t="n">
        <v>46150.98048611111</v>
      </c>
      <c r="K2111" s="15" t="n">
        <v>12818.62</v>
      </c>
      <c r="L2111" s="4" t="inlineStr">
        <is>
          <t>INR</t>
        </is>
      </c>
      <c r="M2111" s="15" t="n">
        <v>-12818.62</v>
      </c>
      <c r="N2111" s="4" t="inlineStr">
        <is>
          <t>IOS Owner</t>
        </is>
      </c>
      <c r="O2111" s="4" t="n"/>
      <c r="P2111" s="4" t="n"/>
      <c r="Q2111" s="4" t="inlineStr">
        <is>
          <t>MAESTRO-IOS-PERSONAL-LIFESTYLE-2110 | Shopping | 12818.62</t>
        </is>
      </c>
      <c r="R2111" s="4" t="inlineStr">
        <is>
          <t>iPhone</t>
        </is>
      </c>
      <c r="S2111" s="4" t="inlineStr">
        <is>
          <t>B43</t>
        </is>
      </c>
      <c r="T2111" s="4" t="inlineStr">
        <is>
          <t>RAMP_1501_2500</t>
        </is>
      </c>
      <c r="U2111" s="4" t="inlineStr">
        <is>
          <t>CREATED</t>
        </is>
      </c>
      <c r="V2111" s="4" t="inlineStr">
        <is>
          <t>idem-20260902-ios-2110</t>
        </is>
      </c>
    </row>
    <row r="2112" ht="30" customHeight="1">
      <c r="A2112" s="4" t="n">
        <v>2111</v>
      </c>
      <c r="B2112" s="4" t="inlineStr">
        <is>
          <t>MTR-IOS-2111</t>
        </is>
      </c>
      <c r="C2112" s="4" t="inlineStr">
        <is>
          <t>Group</t>
        </is>
      </c>
      <c r="D2112" s="4" t="inlineStr">
        <is>
          <t>Shared Experience</t>
        </is>
      </c>
      <c r="E2112" s="4" t="inlineStr">
        <is>
          <t>Wedding</t>
        </is>
      </c>
      <c r="F2112" s="4" t="inlineStr">
        <is>
          <t>Venue</t>
        </is>
      </c>
      <c r="G2112" s="4" t="inlineStr">
        <is>
          <t>Expense</t>
        </is>
      </c>
      <c r="H2112" s="12" t="n">
        <v>46035</v>
      </c>
      <c r="I2112" s="13" t="n">
        <v>0.7393171296296296</v>
      </c>
      <c r="J2112" s="14" t="n">
        <v>46035.73931712963</v>
      </c>
      <c r="K2112" s="15" t="n">
        <v>1224.33</v>
      </c>
      <c r="L2112" s="4" t="inlineStr">
        <is>
          <t>INR</t>
        </is>
      </c>
      <c r="M2112" s="15" t="n">
        <v>-1224.33</v>
      </c>
      <c r="N2112" s="4" t="inlineStr">
        <is>
          <t>IOS Aarav</t>
        </is>
      </c>
      <c r="O2112" s="4" t="n">
        <v>3</v>
      </c>
      <c r="P2112" s="4" t="inlineStr">
        <is>
          <t>SHARES</t>
        </is>
      </c>
      <c r="Q2112" s="4" t="inlineStr">
        <is>
          <t>MAESTRO-IOS-GROUP-WEDDING-2111 | Venue | 1224.33</t>
        </is>
      </c>
      <c r="R2112" s="4" t="inlineStr">
        <is>
          <t>iPhone</t>
        </is>
      </c>
      <c r="S2112" s="4" t="inlineStr">
        <is>
          <t>B43</t>
        </is>
      </c>
      <c r="T2112" s="4" t="inlineStr">
        <is>
          <t>RAMP_1501_2500</t>
        </is>
      </c>
      <c r="U2112" s="4" t="inlineStr">
        <is>
          <t>CREATED</t>
        </is>
      </c>
      <c r="V2112" s="4" t="inlineStr">
        <is>
          <t>idem-20260902-ios-2111</t>
        </is>
      </c>
    </row>
    <row r="2113" ht="30" customHeight="1">
      <c r="A2113" s="4" t="n">
        <v>2112</v>
      </c>
      <c r="B2113" s="4" t="inlineStr">
        <is>
          <t>MTR-IOS-2112</t>
        </is>
      </c>
      <c r="C2113" s="4" t="inlineStr">
        <is>
          <t>Business</t>
        </is>
      </c>
      <c r="D2113" s="4" t="inlineStr">
        <is>
          <t>Business</t>
        </is>
      </c>
      <c r="E2113" s="4" t="inlineStr">
        <is>
          <t>Business Runway</t>
        </is>
      </c>
      <c r="F2113" s="4" t="inlineStr">
        <is>
          <t>Reserve</t>
        </is>
      </c>
      <c r="G2113" s="4" t="inlineStr">
        <is>
          <t>Transfer</t>
        </is>
      </c>
      <c r="H2113" s="12" t="n">
        <v>46026</v>
      </c>
      <c r="I2113" s="13" t="n">
        <v>0.8880555555555556</v>
      </c>
      <c r="J2113" s="14" t="n">
        <v>46026.88805555556</v>
      </c>
      <c r="K2113" s="15" t="n">
        <v>159185.45</v>
      </c>
      <c r="L2113" s="4" t="inlineStr">
        <is>
          <t>INR</t>
        </is>
      </c>
      <c r="M2113" s="15" t="n">
        <v>0</v>
      </c>
      <c r="N2113" s="4" t="inlineStr">
        <is>
          <t>IOS Owner</t>
        </is>
      </c>
      <c r="O2113" s="4" t="n"/>
      <c r="P2113" s="4" t="n"/>
      <c r="Q2113" s="4" t="inlineStr">
        <is>
          <t>MAESTRO-IOS-BUSINESS-BUSINESS_RUNWAY-2112 | Reserve | 159185.45</t>
        </is>
      </c>
      <c r="R2113" s="4" t="inlineStr">
        <is>
          <t>iPhone</t>
        </is>
      </c>
      <c r="S2113" s="4" t="inlineStr">
        <is>
          <t>B43</t>
        </is>
      </c>
      <c r="T2113" s="4" t="inlineStr">
        <is>
          <t>RAMP_1501_2500</t>
        </is>
      </c>
      <c r="U2113" s="4" t="inlineStr">
        <is>
          <t>CREATED</t>
        </is>
      </c>
      <c r="V2113" s="4" t="inlineStr">
        <is>
          <t>idem-20260902-ios-2112</t>
        </is>
      </c>
    </row>
    <row r="2114" ht="30" customHeight="1">
      <c r="A2114" s="4" t="n">
        <v>2113</v>
      </c>
      <c r="B2114" s="4" t="inlineStr">
        <is>
          <t>MTR-IOS-2113</t>
        </is>
      </c>
      <c r="C2114" s="4" t="inlineStr">
        <is>
          <t>Personal</t>
        </is>
      </c>
      <c r="D2114" s="4" t="inlineStr">
        <is>
          <t>Personal</t>
        </is>
      </c>
      <c r="E2114" s="4" t="inlineStr">
        <is>
          <t>Lifestyle</t>
        </is>
      </c>
      <c r="F2114" s="4" t="inlineStr">
        <is>
          <t>Entertainment</t>
        </is>
      </c>
      <c r="G2114" s="4" t="inlineStr">
        <is>
          <t>Expense</t>
        </is>
      </c>
      <c r="H2114" s="12" t="n">
        <v>46132</v>
      </c>
      <c r="I2114" s="13" t="n">
        <v>0.8585995370370371</v>
      </c>
      <c r="J2114" s="14" t="n">
        <v>46132.85859953704</v>
      </c>
      <c r="K2114" s="15" t="n">
        <v>7782.39</v>
      </c>
      <c r="L2114" s="4" t="inlineStr">
        <is>
          <t>INR</t>
        </is>
      </c>
      <c r="M2114" s="15" t="n">
        <v>-7782.39</v>
      </c>
      <c r="N2114" s="4" t="inlineStr">
        <is>
          <t>IOS Owner</t>
        </is>
      </c>
      <c r="O2114" s="4" t="n"/>
      <c r="P2114" s="4" t="n"/>
      <c r="Q2114" s="4" t="inlineStr">
        <is>
          <t>MAESTRO-IOS-PERSONAL-LIFESTYLE-2113 | Entertainment | 7782.39</t>
        </is>
      </c>
      <c r="R2114" s="4" t="inlineStr">
        <is>
          <t>iPhone</t>
        </is>
      </c>
      <c r="S2114" s="4" t="inlineStr">
        <is>
          <t>B43</t>
        </is>
      </c>
      <c r="T2114" s="4" t="inlineStr">
        <is>
          <t>RAMP_1501_2500</t>
        </is>
      </c>
      <c r="U2114" s="4" t="inlineStr">
        <is>
          <t>CREATED</t>
        </is>
      </c>
      <c r="V2114" s="4" t="inlineStr">
        <is>
          <t>idem-20260902-ios-2113</t>
        </is>
      </c>
    </row>
    <row r="2115" ht="30" customHeight="1">
      <c r="A2115" s="4" t="n">
        <v>2114</v>
      </c>
      <c r="B2115" s="4" t="inlineStr">
        <is>
          <t>MTR-IOS-2114</t>
        </is>
      </c>
      <c r="C2115" s="4" t="inlineStr">
        <is>
          <t>Group</t>
        </is>
      </c>
      <c r="D2115" s="4" t="inlineStr">
        <is>
          <t>Shared Experience</t>
        </is>
      </c>
      <c r="E2115" s="4" t="inlineStr">
        <is>
          <t>Wedding</t>
        </is>
      </c>
      <c r="F2115" s="4" t="inlineStr">
        <is>
          <t>Catering</t>
        </is>
      </c>
      <c r="G2115" s="4" t="inlineStr">
        <is>
          <t>Expense</t>
        </is>
      </c>
      <c r="H2115" s="12" t="n">
        <v>45942</v>
      </c>
      <c r="I2115" s="13" t="n">
        <v>0.2420023148148148</v>
      </c>
      <c r="J2115" s="14" t="n">
        <v>45942.24200231482</v>
      </c>
      <c r="K2115" s="15" t="n">
        <v>15961.44</v>
      </c>
      <c r="L2115" s="4" t="inlineStr">
        <is>
          <t>INR</t>
        </is>
      </c>
      <c r="M2115" s="15" t="n">
        <v>-15961.44</v>
      </c>
      <c r="N2115" s="4" t="inlineStr">
        <is>
          <t>IOS Meera</t>
        </is>
      </c>
      <c r="O2115" s="4" t="n">
        <v>3</v>
      </c>
      <c r="P2115" s="4" t="inlineStr">
        <is>
          <t>EQUAL</t>
        </is>
      </c>
      <c r="Q2115" s="4" t="inlineStr">
        <is>
          <t>MAESTRO-IOS-GROUP-WEDDING-2114 | Catering | 15961.44</t>
        </is>
      </c>
      <c r="R2115" s="4" t="inlineStr">
        <is>
          <t>iPhone</t>
        </is>
      </c>
      <c r="S2115" s="4" t="inlineStr">
        <is>
          <t>B43</t>
        </is>
      </c>
      <c r="T2115" s="4" t="inlineStr">
        <is>
          <t>RAMP_1501_2500</t>
        </is>
      </c>
      <c r="U2115" s="4" t="inlineStr">
        <is>
          <t>CREATED</t>
        </is>
      </c>
      <c r="V2115" s="4" t="inlineStr">
        <is>
          <t>idem-20260902-ios-2114</t>
        </is>
      </c>
    </row>
    <row r="2116" ht="30" customHeight="1">
      <c r="A2116" s="4" t="n">
        <v>2115</v>
      </c>
      <c r="B2116" s="4" t="inlineStr">
        <is>
          <t>MTR-IOS-2115</t>
        </is>
      </c>
      <c r="C2116" s="4" t="inlineStr">
        <is>
          <t>Business</t>
        </is>
      </c>
      <c r="D2116" s="4" t="inlineStr">
        <is>
          <t>Business</t>
        </is>
      </c>
      <c r="E2116" s="4" t="inlineStr">
        <is>
          <t>Business Runway</t>
        </is>
      </c>
      <c r="F2116" s="4" t="inlineStr">
        <is>
          <t>Loan</t>
        </is>
      </c>
      <c r="G2116" s="4" t="inlineStr">
        <is>
          <t>Income</t>
        </is>
      </c>
      <c r="H2116" s="12" t="n">
        <v>45961</v>
      </c>
      <c r="I2116" s="13" t="n">
        <v>0.330625</v>
      </c>
      <c r="J2116" s="14" t="n">
        <v>45961.330625</v>
      </c>
      <c r="K2116" s="15" t="n">
        <v>120319.85</v>
      </c>
      <c r="L2116" s="4" t="inlineStr">
        <is>
          <t>INR</t>
        </is>
      </c>
      <c r="M2116" s="15" t="n">
        <v>120319.85</v>
      </c>
      <c r="N2116" s="4" t="inlineStr">
        <is>
          <t>IOS Owner</t>
        </is>
      </c>
      <c r="O2116" s="4" t="n"/>
      <c r="P2116" s="4" t="n"/>
      <c r="Q2116" s="4" t="inlineStr">
        <is>
          <t>MAESTRO-IOS-BUSINESS-BUSINESS_RUNWAY-2115 | Loan | 120319.85</t>
        </is>
      </c>
      <c r="R2116" s="4" t="inlineStr">
        <is>
          <t>iPhone</t>
        </is>
      </c>
      <c r="S2116" s="4" t="inlineStr">
        <is>
          <t>B43</t>
        </is>
      </c>
      <c r="T2116" s="4" t="inlineStr">
        <is>
          <t>RAMP_1501_2500</t>
        </is>
      </c>
      <c r="U2116" s="4" t="inlineStr">
        <is>
          <t>CREATED</t>
        </is>
      </c>
      <c r="V2116" s="4" t="inlineStr">
        <is>
          <t>idem-20260902-ios-2115</t>
        </is>
      </c>
    </row>
    <row r="2117" ht="30" customHeight="1">
      <c r="A2117" s="4" t="n">
        <v>2116</v>
      </c>
      <c r="B2117" s="4" t="inlineStr">
        <is>
          <t>MTR-IOS-2116</t>
        </is>
      </c>
      <c r="C2117" s="4" t="inlineStr">
        <is>
          <t>Personal</t>
        </is>
      </c>
      <c r="D2117" s="4" t="inlineStr">
        <is>
          <t>Personal</t>
        </is>
      </c>
      <c r="E2117" s="4" t="inlineStr">
        <is>
          <t>Lifestyle</t>
        </is>
      </c>
      <c r="F2117" s="4" t="inlineStr">
        <is>
          <t>Travel</t>
        </is>
      </c>
      <c r="G2117" s="4" t="inlineStr">
        <is>
          <t>Expense</t>
        </is>
      </c>
      <c r="H2117" s="12" t="n">
        <v>46206</v>
      </c>
      <c r="I2117" s="13" t="n">
        <v>0.7577083333333333</v>
      </c>
      <c r="J2117" s="14" t="n">
        <v>46206.75770833333</v>
      </c>
      <c r="K2117" s="15" t="n">
        <v>5693.97</v>
      </c>
      <c r="L2117" s="4" t="inlineStr">
        <is>
          <t>INR</t>
        </is>
      </c>
      <c r="M2117" s="15" t="n">
        <v>-5693.97</v>
      </c>
      <c r="N2117" s="4" t="inlineStr">
        <is>
          <t>IOS Owner</t>
        </is>
      </c>
      <c r="O2117" s="4" t="n"/>
      <c r="P2117" s="4" t="n"/>
      <c r="Q2117" s="4" t="inlineStr">
        <is>
          <t>MAESTRO-IOS-PERSONAL-LIFESTYLE-2116 | Travel | 5693.97</t>
        </is>
      </c>
      <c r="R2117" s="4" t="inlineStr">
        <is>
          <t>iPhone</t>
        </is>
      </c>
      <c r="S2117" s="4" t="inlineStr">
        <is>
          <t>B43</t>
        </is>
      </c>
      <c r="T2117" s="4" t="inlineStr">
        <is>
          <t>RAMP_1501_2500</t>
        </is>
      </c>
      <c r="U2117" s="4" t="inlineStr">
        <is>
          <t>CREATED</t>
        </is>
      </c>
      <c r="V2117" s="4" t="inlineStr">
        <is>
          <t>idem-20260902-ios-2116</t>
        </is>
      </c>
    </row>
    <row r="2118" ht="30" customHeight="1">
      <c r="A2118" s="4" t="n">
        <v>2117</v>
      </c>
      <c r="B2118" s="4" t="inlineStr">
        <is>
          <t>MTR-IOS-2117</t>
        </is>
      </c>
      <c r="C2118" s="4" t="inlineStr">
        <is>
          <t>Group</t>
        </is>
      </c>
      <c r="D2118" s="4" t="inlineStr">
        <is>
          <t>Shared Experience</t>
        </is>
      </c>
      <c r="E2118" s="4" t="inlineStr">
        <is>
          <t>Wedding</t>
        </is>
      </c>
      <c r="F2118" s="4" t="inlineStr">
        <is>
          <t>Decor</t>
        </is>
      </c>
      <c r="G2118" s="4" t="inlineStr">
        <is>
          <t>Expense</t>
        </is>
      </c>
      <c r="H2118" s="12" t="n">
        <v>45980</v>
      </c>
      <c r="I2118" s="13" t="n">
        <v>0.1025925925925926</v>
      </c>
      <c r="J2118" s="14" t="n">
        <v>45980.10259259259</v>
      </c>
      <c r="K2118" s="15" t="n">
        <v>17636.07</v>
      </c>
      <c r="L2118" s="4" t="inlineStr">
        <is>
          <t>INR</t>
        </is>
      </c>
      <c r="M2118" s="15" t="n">
        <v>-17636.07</v>
      </c>
      <c r="N2118" s="4" t="inlineStr">
        <is>
          <t>IOS Owner</t>
        </is>
      </c>
      <c r="O2118" s="4" t="n">
        <v>3</v>
      </c>
      <c r="P2118" s="4" t="inlineStr">
        <is>
          <t>PERCENTAGE</t>
        </is>
      </c>
      <c r="Q2118" s="4" t="inlineStr">
        <is>
          <t>MAESTRO-IOS-GROUP-WEDDING-2117 | Decor | 17636.07</t>
        </is>
      </c>
      <c r="R2118" s="4" t="inlineStr">
        <is>
          <t>iPhone</t>
        </is>
      </c>
      <c r="S2118" s="4" t="inlineStr">
        <is>
          <t>B43</t>
        </is>
      </c>
      <c r="T2118" s="4" t="inlineStr">
        <is>
          <t>RAMP_1501_2500</t>
        </is>
      </c>
      <c r="U2118" s="4" t="inlineStr">
        <is>
          <t>CREATED</t>
        </is>
      </c>
      <c r="V2118" s="4" t="inlineStr">
        <is>
          <t>idem-20260902-ios-2117</t>
        </is>
      </c>
    </row>
    <row r="2119" ht="30" customHeight="1">
      <c r="A2119" s="4" t="n">
        <v>2118</v>
      </c>
      <c r="B2119" s="4" t="inlineStr">
        <is>
          <t>MTR-IOS-2118</t>
        </is>
      </c>
      <c r="C2119" s="4" t="inlineStr">
        <is>
          <t>Business</t>
        </is>
      </c>
      <c r="D2119" s="4" t="inlineStr">
        <is>
          <t>Business</t>
        </is>
      </c>
      <c r="E2119" s="4" t="inlineStr">
        <is>
          <t>Business Runway</t>
        </is>
      </c>
      <c r="F2119" s="4" t="inlineStr">
        <is>
          <t>Investment</t>
        </is>
      </c>
      <c r="G2119" s="4" t="inlineStr">
        <is>
          <t>Income</t>
        </is>
      </c>
      <c r="H2119" s="12" t="n">
        <v>46022</v>
      </c>
      <c r="I2119" s="13" t="n">
        <v>0.7331828703703703</v>
      </c>
      <c r="J2119" s="14" t="n">
        <v>46022.73318287037</v>
      </c>
      <c r="K2119" s="15" t="n">
        <v>19609.27</v>
      </c>
      <c r="L2119" s="4" t="inlineStr">
        <is>
          <t>INR</t>
        </is>
      </c>
      <c r="M2119" s="15" t="n">
        <v>19609.27</v>
      </c>
      <c r="N2119" s="4" t="inlineStr">
        <is>
          <t>IOS Owner</t>
        </is>
      </c>
      <c r="O2119" s="4" t="n"/>
      <c r="P2119" s="4" t="n"/>
      <c r="Q2119" s="4" t="inlineStr">
        <is>
          <t>MAESTRO-IOS-BUSINESS-BUSINESS_RUNWAY-2118 | Investment | 19609.27</t>
        </is>
      </c>
      <c r="R2119" s="4" t="inlineStr">
        <is>
          <t>iPhone</t>
        </is>
      </c>
      <c r="S2119" s="4" t="inlineStr">
        <is>
          <t>B43</t>
        </is>
      </c>
      <c r="T2119" s="4" t="inlineStr">
        <is>
          <t>RAMP_1501_2500</t>
        </is>
      </c>
      <c r="U2119" s="4" t="inlineStr">
        <is>
          <t>CREATED</t>
        </is>
      </c>
      <c r="V2119" s="4" t="inlineStr">
        <is>
          <t>idem-20260902-ios-2118</t>
        </is>
      </c>
    </row>
    <row r="2120" ht="30" customHeight="1">
      <c r="A2120" s="4" t="n">
        <v>2119</v>
      </c>
      <c r="B2120" s="4" t="inlineStr">
        <is>
          <t>MTR-IOS-2119</t>
        </is>
      </c>
      <c r="C2120" s="4" t="inlineStr">
        <is>
          <t>Personal</t>
        </is>
      </c>
      <c r="D2120" s="4" t="inlineStr">
        <is>
          <t>Personal</t>
        </is>
      </c>
      <c r="E2120" s="4" t="inlineStr">
        <is>
          <t>Lifestyle</t>
        </is>
      </c>
      <c r="F2120" s="4" t="inlineStr">
        <is>
          <t>Fitness</t>
        </is>
      </c>
      <c r="G2120" s="4" t="inlineStr">
        <is>
          <t>Expense</t>
        </is>
      </c>
      <c r="H2120" s="12" t="n">
        <v>45972</v>
      </c>
      <c r="I2120" s="13" t="n">
        <v>0.7830787037037037</v>
      </c>
      <c r="J2120" s="14" t="n">
        <v>45972.7830787037</v>
      </c>
      <c r="K2120" s="15" t="n">
        <v>1185.76</v>
      </c>
      <c r="L2120" s="4" t="inlineStr">
        <is>
          <t>INR</t>
        </is>
      </c>
      <c r="M2120" s="15" t="n">
        <v>-1185.76</v>
      </c>
      <c r="N2120" s="4" t="inlineStr">
        <is>
          <t>IOS Owner</t>
        </is>
      </c>
      <c r="O2120" s="4" t="n"/>
      <c r="P2120" s="4" t="n"/>
      <c r="Q2120" s="4" t="inlineStr">
        <is>
          <t>MAESTRO-IOS-PERSONAL-LIFESTYLE-2119 | Fitness | 1185.76</t>
        </is>
      </c>
      <c r="R2120" s="4" t="inlineStr">
        <is>
          <t>iPhone</t>
        </is>
      </c>
      <c r="S2120" s="4" t="inlineStr">
        <is>
          <t>B43</t>
        </is>
      </c>
      <c r="T2120" s="4" t="inlineStr">
        <is>
          <t>RAMP_1501_2500</t>
        </is>
      </c>
      <c r="U2120" s="4" t="inlineStr">
        <is>
          <t>CREATED</t>
        </is>
      </c>
      <c r="V2120" s="4" t="inlineStr">
        <is>
          <t>idem-20260902-ios-2119</t>
        </is>
      </c>
    </row>
    <row r="2121" ht="30" customHeight="1">
      <c r="A2121" s="4" t="n">
        <v>2120</v>
      </c>
      <c r="B2121" s="4" t="inlineStr">
        <is>
          <t>MTR-IOS-2120</t>
        </is>
      </c>
      <c r="C2121" s="4" t="inlineStr">
        <is>
          <t>Group</t>
        </is>
      </c>
      <c r="D2121" s="4" t="inlineStr">
        <is>
          <t>Shared Experience</t>
        </is>
      </c>
      <c r="E2121" s="4" t="inlineStr">
        <is>
          <t>Wedding</t>
        </is>
      </c>
      <c r="F2121" s="4" t="inlineStr">
        <is>
          <t>Travel</t>
        </is>
      </c>
      <c r="G2121" s="4" t="inlineStr">
        <is>
          <t>Expense</t>
        </is>
      </c>
      <c r="H2121" s="12" t="n">
        <v>46093</v>
      </c>
      <c r="I2121" s="13" t="n">
        <v>0.9073958333333333</v>
      </c>
      <c r="J2121" s="14" t="n">
        <v>46093.90739583333</v>
      </c>
      <c r="K2121" s="15" t="n">
        <v>19747.52</v>
      </c>
      <c r="L2121" s="4" t="inlineStr">
        <is>
          <t>INR</t>
        </is>
      </c>
      <c r="M2121" s="15" t="n">
        <v>-19747.52</v>
      </c>
      <c r="N2121" s="4" t="inlineStr">
        <is>
          <t>IOS Aarav</t>
        </is>
      </c>
      <c r="O2121" s="4" t="n">
        <v>3</v>
      </c>
      <c r="P2121" s="4" t="inlineStr">
        <is>
          <t>EXACT</t>
        </is>
      </c>
      <c r="Q2121" s="4" t="inlineStr">
        <is>
          <t>MAESTRO-IOS-GROUP-WEDDING-2120 | Travel | 19747.52</t>
        </is>
      </c>
      <c r="R2121" s="4" t="inlineStr">
        <is>
          <t>iPhone</t>
        </is>
      </c>
      <c r="S2121" s="4" t="inlineStr">
        <is>
          <t>B43</t>
        </is>
      </c>
      <c r="T2121" s="4" t="inlineStr">
        <is>
          <t>RAMP_1501_2500</t>
        </is>
      </c>
      <c r="U2121" s="4" t="inlineStr">
        <is>
          <t>CREATED</t>
        </is>
      </c>
      <c r="V2121" s="4" t="inlineStr">
        <is>
          <t>idem-20260902-ios-2120</t>
        </is>
      </c>
    </row>
    <row r="2122" ht="30" customHeight="1">
      <c r="A2122" s="4" t="n">
        <v>2121</v>
      </c>
      <c r="B2122" s="4" t="inlineStr">
        <is>
          <t>MTR-IOS-2121</t>
        </is>
      </c>
      <c r="C2122" s="4" t="inlineStr">
        <is>
          <t>Business</t>
        </is>
      </c>
      <c r="D2122" s="4" t="inlineStr">
        <is>
          <t>Business</t>
        </is>
      </c>
      <c r="E2122" s="4" t="inlineStr">
        <is>
          <t>Business Operations</t>
        </is>
      </c>
      <c r="F2122" s="4" t="inlineStr">
        <is>
          <t>Software</t>
        </is>
      </c>
      <c r="G2122" s="4" t="inlineStr">
        <is>
          <t>Expense</t>
        </is>
      </c>
      <c r="H2122" s="12" t="n">
        <v>46230</v>
      </c>
      <c r="I2122" s="13" t="n">
        <v>0.9103472222222222</v>
      </c>
      <c r="J2122" s="14" t="n">
        <v>46230.91034722222</v>
      </c>
      <c r="K2122" s="15" t="n">
        <v>105455.84</v>
      </c>
      <c r="L2122" s="4" t="inlineStr">
        <is>
          <t>INR</t>
        </is>
      </c>
      <c r="M2122" s="15" t="n">
        <v>-105455.84</v>
      </c>
      <c r="N2122" s="4" t="inlineStr">
        <is>
          <t>IOS Owner</t>
        </is>
      </c>
      <c r="O2122" s="4" t="n"/>
      <c r="P2122" s="4" t="n"/>
      <c r="Q2122" s="4" t="inlineStr">
        <is>
          <t>MAESTRO-IOS-BUSINESS-BUSINESS_OPERATIONS-2121 | Software | 105455.84</t>
        </is>
      </c>
      <c r="R2122" s="4" t="inlineStr">
        <is>
          <t>iPhone</t>
        </is>
      </c>
      <c r="S2122" s="4" t="inlineStr">
        <is>
          <t>B43</t>
        </is>
      </c>
      <c r="T2122" s="4" t="inlineStr">
        <is>
          <t>RAMP_1501_2500</t>
        </is>
      </c>
      <c r="U2122" s="4" t="inlineStr">
        <is>
          <t>CREATED</t>
        </is>
      </c>
      <c r="V2122" s="4" t="inlineStr">
        <is>
          <t>idem-20260902-ios-2121</t>
        </is>
      </c>
    </row>
    <row r="2123" ht="30" customHeight="1">
      <c r="A2123" s="4" t="n">
        <v>2122</v>
      </c>
      <c r="B2123" s="4" t="inlineStr">
        <is>
          <t>MTR-IOS-2122</t>
        </is>
      </c>
      <c r="C2123" s="4" t="inlineStr">
        <is>
          <t>Personal</t>
        </is>
      </c>
      <c r="D2123" s="4" t="inlineStr">
        <is>
          <t>Personal</t>
        </is>
      </c>
      <c r="E2123" s="4" t="inlineStr">
        <is>
          <t>Lifestyle</t>
        </is>
      </c>
      <c r="F2123" s="4" t="inlineStr">
        <is>
          <t>Hobbies</t>
        </is>
      </c>
      <c r="G2123" s="4" t="inlineStr">
        <is>
          <t>Expense</t>
        </is>
      </c>
      <c r="H2123" s="12" t="n">
        <v>46079</v>
      </c>
      <c r="I2123" s="13" t="n">
        <v>0.9367824074074074</v>
      </c>
      <c r="J2123" s="14" t="n">
        <v>46079.93678240741</v>
      </c>
      <c r="K2123" s="15" t="n">
        <v>14854.08</v>
      </c>
      <c r="L2123" s="4" t="inlineStr">
        <is>
          <t>INR</t>
        </is>
      </c>
      <c r="M2123" s="15" t="n">
        <v>-14854.08</v>
      </c>
      <c r="N2123" s="4" t="inlineStr">
        <is>
          <t>IOS Owner</t>
        </is>
      </c>
      <c r="O2123" s="4" t="n"/>
      <c r="P2123" s="4" t="n"/>
      <c r="Q2123" s="4" t="inlineStr">
        <is>
          <t>MAESTRO-IOS-PERSONAL-LIFESTYLE-2122 | Hobbies | 14854.08</t>
        </is>
      </c>
      <c r="R2123" s="4" t="inlineStr">
        <is>
          <t>iPhone</t>
        </is>
      </c>
      <c r="S2123" s="4" t="inlineStr">
        <is>
          <t>B43</t>
        </is>
      </c>
      <c r="T2123" s="4" t="inlineStr">
        <is>
          <t>RAMP_1501_2500</t>
        </is>
      </c>
      <c r="U2123" s="4" t="inlineStr">
        <is>
          <t>CREATED</t>
        </is>
      </c>
      <c r="V2123" s="4" t="inlineStr">
        <is>
          <t>idem-20260902-ios-2122</t>
        </is>
      </c>
    </row>
    <row r="2124" ht="30" customHeight="1">
      <c r="A2124" s="4" t="n">
        <v>2123</v>
      </c>
      <c r="B2124" s="4" t="inlineStr">
        <is>
          <t>MTR-IOS-2123</t>
        </is>
      </c>
      <c r="C2124" s="4" t="inlineStr">
        <is>
          <t>Group</t>
        </is>
      </c>
      <c r="D2124" s="4" t="inlineStr">
        <is>
          <t>Shared Experience</t>
        </is>
      </c>
      <c r="E2124" s="4" t="inlineStr">
        <is>
          <t>Wedding</t>
        </is>
      </c>
      <c r="F2124" s="4" t="inlineStr">
        <is>
          <t>Gifts</t>
        </is>
      </c>
      <c r="G2124" s="4" t="inlineStr">
        <is>
          <t>Expense</t>
        </is>
      </c>
      <c r="H2124" s="12" t="n">
        <v>45970</v>
      </c>
      <c r="I2124" s="13" t="n">
        <v>0.2606365740740741</v>
      </c>
      <c r="J2124" s="14" t="n">
        <v>45970.26063657407</v>
      </c>
      <c r="K2124" s="15" t="n">
        <v>26318.36</v>
      </c>
      <c r="L2124" s="4" t="inlineStr">
        <is>
          <t>INR</t>
        </is>
      </c>
      <c r="M2124" s="15" t="n">
        <v>-26318.36</v>
      </c>
      <c r="N2124" s="4" t="inlineStr">
        <is>
          <t>IOS Meera</t>
        </is>
      </c>
      <c r="O2124" s="4" t="n">
        <v>3</v>
      </c>
      <c r="P2124" s="4" t="inlineStr">
        <is>
          <t>SHARES</t>
        </is>
      </c>
      <c r="Q2124" s="4" t="inlineStr">
        <is>
          <t>MAESTRO-IOS-GROUP-WEDDING-2123 | Gifts | 26318.36</t>
        </is>
      </c>
      <c r="R2124" s="4" t="inlineStr">
        <is>
          <t>iPhone</t>
        </is>
      </c>
      <c r="S2124" s="4" t="inlineStr">
        <is>
          <t>B43</t>
        </is>
      </c>
      <c r="T2124" s="4" t="inlineStr">
        <is>
          <t>RAMP_1501_2500</t>
        </is>
      </c>
      <c r="U2124" s="4" t="inlineStr">
        <is>
          <t>CREATED</t>
        </is>
      </c>
      <c r="V2124" s="4" t="inlineStr">
        <is>
          <t>idem-20260902-ios-2123</t>
        </is>
      </c>
    </row>
    <row r="2125" ht="30" customHeight="1">
      <c r="A2125" s="4" t="n">
        <v>2124</v>
      </c>
      <c r="B2125" s="4" t="inlineStr">
        <is>
          <t>MTR-IOS-2124</t>
        </is>
      </c>
      <c r="C2125" s="4" t="inlineStr">
        <is>
          <t>Business</t>
        </is>
      </c>
      <c r="D2125" s="4" t="inlineStr">
        <is>
          <t>Business</t>
        </is>
      </c>
      <c r="E2125" s="4" t="inlineStr">
        <is>
          <t>Business Operations</t>
        </is>
      </c>
      <c r="F2125" s="4" t="inlineStr">
        <is>
          <t>Rent</t>
        </is>
      </c>
      <c r="G2125" s="4" t="inlineStr">
        <is>
          <t>Expense</t>
        </is>
      </c>
      <c r="H2125" s="12" t="n">
        <v>46200</v>
      </c>
      <c r="I2125" s="13" t="n">
        <v>0.06196759259259259</v>
      </c>
      <c r="J2125" s="14" t="n">
        <v>46200.06196759259</v>
      </c>
      <c r="K2125" s="15" t="n">
        <v>5352.17</v>
      </c>
      <c r="L2125" s="4" t="inlineStr">
        <is>
          <t>INR</t>
        </is>
      </c>
      <c r="M2125" s="15" t="n">
        <v>-5352.17</v>
      </c>
      <c r="N2125" s="4" t="inlineStr">
        <is>
          <t>IOS Owner</t>
        </is>
      </c>
      <c r="O2125" s="4" t="n"/>
      <c r="P2125" s="4" t="n"/>
      <c r="Q2125" s="4" t="inlineStr">
        <is>
          <t>MAESTRO-IOS-BUSINESS-BUSINESS_OPERATIONS-2124 | Rent | 5352.17</t>
        </is>
      </c>
      <c r="R2125" s="4" t="inlineStr">
        <is>
          <t>iPhone</t>
        </is>
      </c>
      <c r="S2125" s="4" t="inlineStr">
        <is>
          <t>B43</t>
        </is>
      </c>
      <c r="T2125" s="4" t="inlineStr">
        <is>
          <t>RAMP_1501_2500</t>
        </is>
      </c>
      <c r="U2125" s="4" t="inlineStr">
        <is>
          <t>CREATED</t>
        </is>
      </c>
      <c r="V2125" s="4" t="inlineStr">
        <is>
          <t>idem-20260902-ios-2124</t>
        </is>
      </c>
    </row>
    <row r="2126" ht="30" customHeight="1">
      <c r="A2126" s="4" t="n">
        <v>2125</v>
      </c>
      <c r="B2126" s="4" t="inlineStr">
        <is>
          <t>MTR-IOS-2125</t>
        </is>
      </c>
      <c r="C2126" s="4" t="inlineStr">
        <is>
          <t>Personal</t>
        </is>
      </c>
      <c r="D2126" s="4" t="inlineStr">
        <is>
          <t>Personal</t>
        </is>
      </c>
      <c r="E2126" s="4" t="inlineStr">
        <is>
          <t>Relationships</t>
        </is>
      </c>
      <c r="F2126" s="4" t="inlineStr">
        <is>
          <t>Gifts</t>
        </is>
      </c>
      <c r="G2126" s="4" t="inlineStr">
        <is>
          <t>Expense</t>
        </is>
      </c>
      <c r="H2126" s="12" t="n">
        <v>45983</v>
      </c>
      <c r="I2126" s="13" t="n">
        <v>0.4556134259259259</v>
      </c>
      <c r="J2126" s="14" t="n">
        <v>45983.45561342593</v>
      </c>
      <c r="K2126" s="15" t="n">
        <v>13997.04</v>
      </c>
      <c r="L2126" s="4" t="inlineStr">
        <is>
          <t>INR</t>
        </is>
      </c>
      <c r="M2126" s="15" t="n">
        <v>-13997.04</v>
      </c>
      <c r="N2126" s="4" t="inlineStr">
        <is>
          <t>IOS Owner</t>
        </is>
      </c>
      <c r="O2126" s="4" t="n"/>
      <c r="P2126" s="4" t="n"/>
      <c r="Q2126" s="4" t="inlineStr">
        <is>
          <t>MAESTRO-IOS-PERSONAL-RELATIONSHIPS-2125 | Gifts | 13997.04</t>
        </is>
      </c>
      <c r="R2126" s="4" t="inlineStr">
        <is>
          <t>iPhone</t>
        </is>
      </c>
      <c r="S2126" s="4" t="inlineStr">
        <is>
          <t>B43</t>
        </is>
      </c>
      <c r="T2126" s="4" t="inlineStr">
        <is>
          <t>RAMP_1501_2500</t>
        </is>
      </c>
      <c r="U2126" s="4" t="inlineStr">
        <is>
          <t>CREATED</t>
        </is>
      </c>
      <c r="V2126" s="4" t="inlineStr">
        <is>
          <t>idem-20260902-ios-2125</t>
        </is>
      </c>
    </row>
    <row r="2127" ht="30" customHeight="1">
      <c r="A2127" s="4" t="n">
        <v>2126</v>
      </c>
      <c r="B2127" s="4" t="inlineStr">
        <is>
          <t>MTR-IOS-2126</t>
        </is>
      </c>
      <c r="C2127" s="4" t="inlineStr">
        <is>
          <t>Group</t>
        </is>
      </c>
      <c r="D2127" s="4" t="inlineStr">
        <is>
          <t>Shared Experience</t>
        </is>
      </c>
      <c r="E2127" s="4" t="inlineStr">
        <is>
          <t>Wedding</t>
        </is>
      </c>
      <c r="F2127" s="4" t="inlineStr">
        <is>
          <t>Photography</t>
        </is>
      </c>
      <c r="G2127" s="4" t="inlineStr">
        <is>
          <t>Expense</t>
        </is>
      </c>
      <c r="H2127" s="12" t="n">
        <v>46243</v>
      </c>
      <c r="I2127" s="13" t="n">
        <v>0.4132175925925926</v>
      </c>
      <c r="J2127" s="14" t="n">
        <v>46243.41321759259</v>
      </c>
      <c r="K2127" s="15" t="n">
        <v>16683.61</v>
      </c>
      <c r="L2127" s="4" t="inlineStr">
        <is>
          <t>INR</t>
        </is>
      </c>
      <c r="M2127" s="15" t="n">
        <v>-16683.61</v>
      </c>
      <c r="N2127" s="4" t="inlineStr">
        <is>
          <t>IOS Owner</t>
        </is>
      </c>
      <c r="O2127" s="4" t="n">
        <v>3</v>
      </c>
      <c r="P2127" s="4" t="inlineStr">
        <is>
          <t>EQUAL</t>
        </is>
      </c>
      <c r="Q2127" s="4" t="inlineStr">
        <is>
          <t>MAESTRO-IOS-GROUP-WEDDING-2126 | Photography | 16683.61</t>
        </is>
      </c>
      <c r="R2127" s="4" t="inlineStr">
        <is>
          <t>iPhone</t>
        </is>
      </c>
      <c r="S2127" s="4" t="inlineStr">
        <is>
          <t>B43</t>
        </is>
      </c>
      <c r="T2127" s="4" t="inlineStr">
        <is>
          <t>RAMP_1501_2500</t>
        </is>
      </c>
      <c r="U2127" s="4" t="inlineStr">
        <is>
          <t>CREATED</t>
        </is>
      </c>
      <c r="V2127" s="4" t="inlineStr">
        <is>
          <t>idem-20260902-ios-2126</t>
        </is>
      </c>
    </row>
    <row r="2128" ht="30" customHeight="1">
      <c r="A2128" s="4" t="n">
        <v>2127</v>
      </c>
      <c r="B2128" s="4" t="inlineStr">
        <is>
          <t>MTR-IOS-2127</t>
        </is>
      </c>
      <c r="C2128" s="4" t="inlineStr">
        <is>
          <t>Business</t>
        </is>
      </c>
      <c r="D2128" s="4" t="inlineStr">
        <is>
          <t>Business</t>
        </is>
      </c>
      <c r="E2128" s="4" t="inlineStr">
        <is>
          <t>Business Operations</t>
        </is>
      </c>
      <c r="F2128" s="4" t="inlineStr">
        <is>
          <t>Marketing</t>
        </is>
      </c>
      <c r="G2128" s="4" t="inlineStr">
        <is>
          <t>Expense</t>
        </is>
      </c>
      <c r="H2128" s="12" t="n">
        <v>45934</v>
      </c>
      <c r="I2128" s="13" t="n">
        <v>0.9673611111111111</v>
      </c>
      <c r="J2128" s="14" t="n">
        <v>45934.96736111111</v>
      </c>
      <c r="K2128" s="15" t="n">
        <v>135544.78</v>
      </c>
      <c r="L2128" s="4" t="inlineStr">
        <is>
          <t>INR</t>
        </is>
      </c>
      <c r="M2128" s="15" t="n">
        <v>-135544.78</v>
      </c>
      <c r="N2128" s="4" t="inlineStr">
        <is>
          <t>IOS Owner</t>
        </is>
      </c>
      <c r="O2128" s="4" t="n"/>
      <c r="P2128" s="4" t="n"/>
      <c r="Q2128" s="4" t="inlineStr">
        <is>
          <t>MAESTRO-IOS-BUSINESS-BUSINESS_OPERATIONS-2127 | Marketing | 135544.78</t>
        </is>
      </c>
      <c r="R2128" s="4" t="inlineStr">
        <is>
          <t>iPhone</t>
        </is>
      </c>
      <c r="S2128" s="4" t="inlineStr">
        <is>
          <t>B43</t>
        </is>
      </c>
      <c r="T2128" s="4" t="inlineStr">
        <is>
          <t>RAMP_1501_2500</t>
        </is>
      </c>
      <c r="U2128" s="4" t="inlineStr">
        <is>
          <t>CREATED</t>
        </is>
      </c>
      <c r="V2128" s="4" t="inlineStr">
        <is>
          <t>idem-20260902-ios-2127</t>
        </is>
      </c>
    </row>
    <row r="2129" ht="30" customHeight="1">
      <c r="A2129" s="4" t="n">
        <v>2128</v>
      </c>
      <c r="B2129" s="4" t="inlineStr">
        <is>
          <t>MTR-IOS-2128</t>
        </is>
      </c>
      <c r="C2129" s="4" t="inlineStr">
        <is>
          <t>Personal</t>
        </is>
      </c>
      <c r="D2129" s="4" t="inlineStr">
        <is>
          <t>Personal</t>
        </is>
      </c>
      <c r="E2129" s="4" t="inlineStr">
        <is>
          <t>Relationships</t>
        </is>
      </c>
      <c r="F2129" s="4" t="inlineStr">
        <is>
          <t>Dates</t>
        </is>
      </c>
      <c r="G2129" s="4" t="inlineStr">
        <is>
          <t>Expense</t>
        </is>
      </c>
      <c r="H2129" s="12" t="n">
        <v>46064</v>
      </c>
      <c r="I2129" s="13" t="n">
        <v>0.3180324074074074</v>
      </c>
      <c r="J2129" s="14" t="n">
        <v>46064.31803240741</v>
      </c>
      <c r="K2129" s="15" t="n">
        <v>2053.87</v>
      </c>
      <c r="L2129" s="4" t="inlineStr">
        <is>
          <t>INR</t>
        </is>
      </c>
      <c r="M2129" s="15" t="n">
        <v>-2053.87</v>
      </c>
      <c r="N2129" s="4" t="inlineStr">
        <is>
          <t>IOS Owner</t>
        </is>
      </c>
      <c r="O2129" s="4" t="n"/>
      <c r="P2129" s="4" t="n"/>
      <c r="Q2129" s="4" t="inlineStr">
        <is>
          <t>MAESTRO-IOS-PERSONAL-RELATIONSHIPS-2128 | Dates | 2053.87</t>
        </is>
      </c>
      <c r="R2129" s="4" t="inlineStr">
        <is>
          <t>iPhone</t>
        </is>
      </c>
      <c r="S2129" s="4" t="inlineStr">
        <is>
          <t>B43</t>
        </is>
      </c>
      <c r="T2129" s="4" t="inlineStr">
        <is>
          <t>RAMP_1501_2500</t>
        </is>
      </c>
      <c r="U2129" s="4" t="inlineStr">
        <is>
          <t>CREATED</t>
        </is>
      </c>
      <c r="V2129" s="4" t="inlineStr">
        <is>
          <t>idem-20260902-ios-2128</t>
        </is>
      </c>
    </row>
    <row r="2130" ht="30" customHeight="1">
      <c r="A2130" s="4" t="n">
        <v>2129</v>
      </c>
      <c r="B2130" s="4" t="inlineStr">
        <is>
          <t>MTR-IOS-2129</t>
        </is>
      </c>
      <c r="C2130" s="4" t="inlineStr">
        <is>
          <t>Group</t>
        </is>
      </c>
      <c r="D2130" s="4" t="inlineStr">
        <is>
          <t>Shared Experience</t>
        </is>
      </c>
      <c r="E2130" s="4" t="inlineStr">
        <is>
          <t>Wedding</t>
        </is>
      </c>
      <c r="F2130" s="4" t="inlineStr">
        <is>
          <t>Other</t>
        </is>
      </c>
      <c r="G2130" s="4" t="inlineStr">
        <is>
          <t>Expense</t>
        </is>
      </c>
      <c r="H2130" s="12" t="n">
        <v>46013</v>
      </c>
      <c r="I2130" s="13" t="n">
        <v>0.7444675925925925</v>
      </c>
      <c r="J2130" s="14" t="n">
        <v>46013.74446759259</v>
      </c>
      <c r="K2130" s="15" t="n">
        <v>18120.07</v>
      </c>
      <c r="L2130" s="4" t="inlineStr">
        <is>
          <t>INR</t>
        </is>
      </c>
      <c r="M2130" s="15" t="n">
        <v>-18120.07</v>
      </c>
      <c r="N2130" s="4" t="inlineStr">
        <is>
          <t>IOS Aarav</t>
        </is>
      </c>
      <c r="O2130" s="4" t="n">
        <v>3</v>
      </c>
      <c r="P2130" s="4" t="inlineStr">
        <is>
          <t>PERCENTAGE</t>
        </is>
      </c>
      <c r="Q2130" s="4" t="inlineStr">
        <is>
          <t>MAESTRO-IOS-GROUP-WEDDING-2129 | Other | 18120.07</t>
        </is>
      </c>
      <c r="R2130" s="4" t="inlineStr">
        <is>
          <t>iPhone</t>
        </is>
      </c>
      <c r="S2130" s="4" t="inlineStr">
        <is>
          <t>B43</t>
        </is>
      </c>
      <c r="T2130" s="4" t="inlineStr">
        <is>
          <t>RAMP_1501_2500</t>
        </is>
      </c>
      <c r="U2130" s="4" t="inlineStr">
        <is>
          <t>CREATED</t>
        </is>
      </c>
      <c r="V2130" s="4" t="inlineStr">
        <is>
          <t>idem-20260902-ios-2129</t>
        </is>
      </c>
    </row>
    <row r="2131" ht="30" customHeight="1">
      <c r="A2131" s="4" t="n">
        <v>2130</v>
      </c>
      <c r="B2131" s="4" t="inlineStr">
        <is>
          <t>MTR-IOS-2130</t>
        </is>
      </c>
      <c r="C2131" s="4" t="inlineStr">
        <is>
          <t>Business</t>
        </is>
      </c>
      <c r="D2131" s="4" t="inlineStr">
        <is>
          <t>Business</t>
        </is>
      </c>
      <c r="E2131" s="4" t="inlineStr">
        <is>
          <t>Business Operations</t>
        </is>
      </c>
      <c r="F2131" s="4" t="inlineStr">
        <is>
          <t>Legal</t>
        </is>
      </c>
      <c r="G2131" s="4" t="inlineStr">
        <is>
          <t>Expense</t>
        </is>
      </c>
      <c r="H2131" s="12" t="n">
        <v>45917</v>
      </c>
      <c r="I2131" s="13" t="n">
        <v>0.8445370370370371</v>
      </c>
      <c r="J2131" s="14" t="n">
        <v>45917.84453703704</v>
      </c>
      <c r="K2131" s="15" t="n">
        <v>32666.37</v>
      </c>
      <c r="L2131" s="4" t="inlineStr">
        <is>
          <t>INR</t>
        </is>
      </c>
      <c r="M2131" s="15" t="n">
        <v>-32666.37</v>
      </c>
      <c r="N2131" s="4" t="inlineStr">
        <is>
          <t>IOS Owner</t>
        </is>
      </c>
      <c r="O2131" s="4" t="n"/>
      <c r="P2131" s="4" t="n"/>
      <c r="Q2131" s="4" t="inlineStr">
        <is>
          <t>MAESTRO-IOS-BUSINESS-BUSINESS_OPERATIONS-2130 | Legal | 32666.37</t>
        </is>
      </c>
      <c r="R2131" s="4" t="inlineStr">
        <is>
          <t>iPhone</t>
        </is>
      </c>
      <c r="S2131" s="4" t="inlineStr">
        <is>
          <t>B43</t>
        </is>
      </c>
      <c r="T2131" s="4" t="inlineStr">
        <is>
          <t>RAMP_1501_2500</t>
        </is>
      </c>
      <c r="U2131" s="4" t="inlineStr">
        <is>
          <t>CREATED</t>
        </is>
      </c>
      <c r="V2131" s="4" t="inlineStr">
        <is>
          <t>idem-20260902-ios-2130</t>
        </is>
      </c>
    </row>
    <row r="2132" ht="30" customHeight="1">
      <c r="A2132" s="4" t="n">
        <v>2131</v>
      </c>
      <c r="B2132" s="4" t="inlineStr">
        <is>
          <t>MTR-IOS-2131</t>
        </is>
      </c>
      <c r="C2132" s="4" t="inlineStr">
        <is>
          <t>Personal</t>
        </is>
      </c>
      <c r="D2132" s="4" t="inlineStr">
        <is>
          <t>Personal</t>
        </is>
      </c>
      <c r="E2132" s="4" t="inlineStr">
        <is>
          <t>Relationships</t>
        </is>
      </c>
      <c r="F2132" s="4" t="inlineStr">
        <is>
          <t>Family</t>
        </is>
      </c>
      <c r="G2132" s="4" t="inlineStr">
        <is>
          <t>Expense</t>
        </is>
      </c>
      <c r="H2132" s="12" t="n">
        <v>46205</v>
      </c>
      <c r="I2132" s="13" t="n">
        <v>0.4012152777777778</v>
      </c>
      <c r="J2132" s="14" t="n">
        <v>46205.40121527778</v>
      </c>
      <c r="K2132" s="15" t="n">
        <v>12761.83</v>
      </c>
      <c r="L2132" s="4" t="inlineStr">
        <is>
          <t>INR</t>
        </is>
      </c>
      <c r="M2132" s="15" t="n">
        <v>-12761.83</v>
      </c>
      <c r="N2132" s="4" t="inlineStr">
        <is>
          <t>IOS Owner</t>
        </is>
      </c>
      <c r="O2132" s="4" t="n"/>
      <c r="P2132" s="4" t="n"/>
      <c r="Q2132" s="4" t="inlineStr">
        <is>
          <t>MAESTRO-IOS-PERSONAL-RELATIONSHIPS-2131 | Family | 12761.83</t>
        </is>
      </c>
      <c r="R2132" s="4" t="inlineStr">
        <is>
          <t>iPhone</t>
        </is>
      </c>
      <c r="S2132" s="4" t="inlineStr">
        <is>
          <t>B43</t>
        </is>
      </c>
      <c r="T2132" s="4" t="inlineStr">
        <is>
          <t>RAMP_1501_2500</t>
        </is>
      </c>
      <c r="U2132" s="4" t="inlineStr">
        <is>
          <t>CREATED</t>
        </is>
      </c>
      <c r="V2132" s="4" t="inlineStr">
        <is>
          <t>idem-20260902-ios-2131</t>
        </is>
      </c>
    </row>
    <row r="2133" ht="30" customHeight="1">
      <c r="A2133" s="4" t="n">
        <v>2132</v>
      </c>
      <c r="B2133" s="4" t="inlineStr">
        <is>
          <t>MTR-IOS-2132</t>
        </is>
      </c>
      <c r="C2133" s="4" t="inlineStr">
        <is>
          <t>Group</t>
        </is>
      </c>
      <c r="D2133" s="4" t="inlineStr">
        <is>
          <t>Shared Experience</t>
        </is>
      </c>
      <c r="E2133" s="4" t="inlineStr">
        <is>
          <t>Office Outing</t>
        </is>
      </c>
      <c r="F2133" s="4" t="inlineStr">
        <is>
          <t>Food</t>
        </is>
      </c>
      <c r="G2133" s="4" t="inlineStr">
        <is>
          <t>Expense</t>
        </is>
      </c>
      <c r="H2133" s="12" t="n">
        <v>46025</v>
      </c>
      <c r="I2133" s="13" t="n">
        <v>0.9594212962962962</v>
      </c>
      <c r="J2133" s="14" t="n">
        <v>46025.9594212963</v>
      </c>
      <c r="K2133" s="15" t="n">
        <v>22241.8</v>
      </c>
      <c r="L2133" s="4" t="inlineStr">
        <is>
          <t>INR</t>
        </is>
      </c>
      <c r="M2133" s="15" t="n">
        <v>-22241.8</v>
      </c>
      <c r="N2133" s="4" t="inlineStr">
        <is>
          <t>IOS Meera</t>
        </is>
      </c>
      <c r="O2133" s="4" t="n">
        <v>3</v>
      </c>
      <c r="P2133" s="4" t="inlineStr">
        <is>
          <t>EXACT</t>
        </is>
      </c>
      <c r="Q2133" s="4" t="inlineStr">
        <is>
          <t>MAESTRO-IOS-GROUP-OFFICE_OUTING-2132 | Food | 22241.80</t>
        </is>
      </c>
      <c r="R2133" s="4" t="inlineStr">
        <is>
          <t>iPhone</t>
        </is>
      </c>
      <c r="S2133" s="4" t="inlineStr">
        <is>
          <t>B43</t>
        </is>
      </c>
      <c r="T2133" s="4" t="inlineStr">
        <is>
          <t>RAMP_1501_2500</t>
        </is>
      </c>
      <c r="U2133" s="4" t="inlineStr">
        <is>
          <t>CREATED</t>
        </is>
      </c>
      <c r="V2133" s="4" t="inlineStr">
        <is>
          <t>idem-20260902-ios-2132</t>
        </is>
      </c>
    </row>
    <row r="2134" ht="30" customHeight="1">
      <c r="A2134" s="4" t="n">
        <v>2133</v>
      </c>
      <c r="B2134" s="4" t="inlineStr">
        <is>
          <t>MTR-IOS-2133</t>
        </is>
      </c>
      <c r="C2134" s="4" t="inlineStr">
        <is>
          <t>Business</t>
        </is>
      </c>
      <c r="D2134" s="4" t="inlineStr">
        <is>
          <t>Business</t>
        </is>
      </c>
      <c r="E2134" s="4" t="inlineStr">
        <is>
          <t>Business Operations</t>
        </is>
      </c>
      <c r="F2134" s="4" t="inlineStr">
        <is>
          <t>Accounting</t>
        </is>
      </c>
      <c r="G2134" s="4" t="inlineStr">
        <is>
          <t>Expense</t>
        </is>
      </c>
      <c r="H2134" s="12" t="n">
        <v>46064</v>
      </c>
      <c r="I2134" s="13" t="n">
        <v>0.5119560185185185</v>
      </c>
      <c r="J2134" s="14" t="n">
        <v>46064.51195601852</v>
      </c>
      <c r="K2134" s="15" t="n">
        <v>75542.42999999999</v>
      </c>
      <c r="L2134" s="4" t="inlineStr">
        <is>
          <t>INR</t>
        </is>
      </c>
      <c r="M2134" s="15" t="n">
        <v>-75542.42999999999</v>
      </c>
      <c r="N2134" s="4" t="inlineStr">
        <is>
          <t>IOS Owner</t>
        </is>
      </c>
      <c r="O2134" s="4" t="n"/>
      <c r="P2134" s="4" t="n"/>
      <c r="Q2134" s="4" t="inlineStr">
        <is>
          <t>MAESTRO-IOS-BUSINESS-BUSINESS_OPERATIONS-2133 | Accounting | 75542.43</t>
        </is>
      </c>
      <c r="R2134" s="4" t="inlineStr">
        <is>
          <t>iPhone</t>
        </is>
      </c>
      <c r="S2134" s="4" t="inlineStr">
        <is>
          <t>B43</t>
        </is>
      </c>
      <c r="T2134" s="4" t="inlineStr">
        <is>
          <t>RAMP_1501_2500</t>
        </is>
      </c>
      <c r="U2134" s="4" t="inlineStr">
        <is>
          <t>CREATED</t>
        </is>
      </c>
      <c r="V2134" s="4" t="inlineStr">
        <is>
          <t>idem-20260902-ios-2133</t>
        </is>
      </c>
    </row>
    <row r="2135" ht="30" customHeight="1">
      <c r="A2135" s="4" t="n">
        <v>2134</v>
      </c>
      <c r="B2135" s="4" t="inlineStr">
        <is>
          <t>MTR-IOS-2134</t>
        </is>
      </c>
      <c r="C2135" s="4" t="inlineStr">
        <is>
          <t>Personal</t>
        </is>
      </c>
      <c r="D2135" s="4" t="inlineStr">
        <is>
          <t>Personal</t>
        </is>
      </c>
      <c r="E2135" s="4" t="inlineStr">
        <is>
          <t>Relationships</t>
        </is>
      </c>
      <c r="F2135" s="4" t="inlineStr">
        <is>
          <t>Friends</t>
        </is>
      </c>
      <c r="G2135" s="4" t="inlineStr">
        <is>
          <t>Expense</t>
        </is>
      </c>
      <c r="H2135" s="12" t="n">
        <v>46090</v>
      </c>
      <c r="I2135" s="13" t="n">
        <v>0.914224537037037</v>
      </c>
      <c r="J2135" s="14" t="n">
        <v>46090.91422453704</v>
      </c>
      <c r="K2135" s="15" t="n">
        <v>7296.44</v>
      </c>
      <c r="L2135" s="4" t="inlineStr">
        <is>
          <t>INR</t>
        </is>
      </c>
      <c r="M2135" s="15" t="n">
        <v>-7296.44</v>
      </c>
      <c r="N2135" s="4" t="inlineStr">
        <is>
          <t>IOS Owner</t>
        </is>
      </c>
      <c r="O2135" s="4" t="n"/>
      <c r="P2135" s="4" t="n"/>
      <c r="Q2135" s="4" t="inlineStr">
        <is>
          <t>MAESTRO-IOS-PERSONAL-RELATIONSHIPS-2134 | Friends | 7296.44</t>
        </is>
      </c>
      <c r="R2135" s="4" t="inlineStr">
        <is>
          <t>iPhone</t>
        </is>
      </c>
      <c r="S2135" s="4" t="inlineStr">
        <is>
          <t>B43</t>
        </is>
      </c>
      <c r="T2135" s="4" t="inlineStr">
        <is>
          <t>RAMP_1501_2500</t>
        </is>
      </c>
      <c r="U2135" s="4" t="inlineStr">
        <is>
          <t>CREATED</t>
        </is>
      </c>
      <c r="V2135" s="4" t="inlineStr">
        <is>
          <t>idem-20260902-ios-2134</t>
        </is>
      </c>
    </row>
    <row r="2136" ht="30" customHeight="1">
      <c r="A2136" s="4" t="n">
        <v>2135</v>
      </c>
      <c r="B2136" s="4" t="inlineStr">
        <is>
          <t>MTR-IOS-2135</t>
        </is>
      </c>
      <c r="C2136" s="4" t="inlineStr">
        <is>
          <t>Group</t>
        </is>
      </c>
      <c r="D2136" s="4" t="inlineStr">
        <is>
          <t>Shared Experience</t>
        </is>
      </c>
      <c r="E2136" s="4" t="inlineStr">
        <is>
          <t>Office Outing</t>
        </is>
      </c>
      <c r="F2136" s="4" t="inlineStr">
        <is>
          <t>Travel</t>
        </is>
      </c>
      <c r="G2136" s="4" t="inlineStr">
        <is>
          <t>Expense</t>
        </is>
      </c>
      <c r="H2136" s="12" t="n">
        <v>45955</v>
      </c>
      <c r="I2136" s="13" t="n">
        <v>0.8728819444444444</v>
      </c>
      <c r="J2136" s="14" t="n">
        <v>45955.87288194444</v>
      </c>
      <c r="K2136" s="15" t="n">
        <v>6944.63</v>
      </c>
      <c r="L2136" s="4" t="inlineStr">
        <is>
          <t>INR</t>
        </is>
      </c>
      <c r="M2136" s="15" t="n">
        <v>-6944.63</v>
      </c>
      <c r="N2136" s="4" t="inlineStr">
        <is>
          <t>IOS Owner</t>
        </is>
      </c>
      <c r="O2136" s="4" t="n">
        <v>3</v>
      </c>
      <c r="P2136" s="4" t="inlineStr">
        <is>
          <t>SHARES</t>
        </is>
      </c>
      <c r="Q2136" s="4" t="inlineStr">
        <is>
          <t>MAESTRO-IOS-GROUP-OFFICE_OUTING-2135 | Travel | 6944.63</t>
        </is>
      </c>
      <c r="R2136" s="4" t="inlineStr">
        <is>
          <t>iPhone</t>
        </is>
      </c>
      <c r="S2136" s="4" t="inlineStr">
        <is>
          <t>B43</t>
        </is>
      </c>
      <c r="T2136" s="4" t="inlineStr">
        <is>
          <t>RAMP_1501_2500</t>
        </is>
      </c>
      <c r="U2136" s="4" t="inlineStr">
        <is>
          <t>CREATED</t>
        </is>
      </c>
      <c r="V2136" s="4" t="inlineStr">
        <is>
          <t>idem-20260902-ios-2135</t>
        </is>
      </c>
    </row>
    <row r="2137" ht="30" customHeight="1">
      <c r="A2137" s="4" t="n">
        <v>2136</v>
      </c>
      <c r="B2137" s="4" t="inlineStr">
        <is>
          <t>MTR-IOS-2136</t>
        </is>
      </c>
      <c r="C2137" s="4" t="inlineStr">
        <is>
          <t>Business</t>
        </is>
      </c>
      <c r="D2137" s="4" t="inlineStr">
        <is>
          <t>Business</t>
        </is>
      </c>
      <c r="E2137" s="4" t="inlineStr">
        <is>
          <t>Business Operations</t>
        </is>
      </c>
      <c r="F2137" s="4" t="inlineStr">
        <is>
          <t>Equipment</t>
        </is>
      </c>
      <c r="G2137" s="4" t="inlineStr">
        <is>
          <t>Expense</t>
        </is>
      </c>
      <c r="H2137" s="12" t="n">
        <v>45978</v>
      </c>
      <c r="I2137" s="13" t="n">
        <v>0.8795601851851852</v>
      </c>
      <c r="J2137" s="14" t="n">
        <v>45978.87956018518</v>
      </c>
      <c r="K2137" s="15" t="n">
        <v>49899.43</v>
      </c>
      <c r="L2137" s="4" t="inlineStr">
        <is>
          <t>INR</t>
        </is>
      </c>
      <c r="M2137" s="15" t="n">
        <v>-49899.43</v>
      </c>
      <c r="N2137" s="4" t="inlineStr">
        <is>
          <t>IOS Owner</t>
        </is>
      </c>
      <c r="O2137" s="4" t="n"/>
      <c r="P2137" s="4" t="n"/>
      <c r="Q2137" s="4" t="inlineStr">
        <is>
          <t>MAESTRO-IOS-BUSINESS-BUSINESS_OPERATIONS-2136 | Equipment | 49899.43</t>
        </is>
      </c>
      <c r="R2137" s="4" t="inlineStr">
        <is>
          <t>iPhone</t>
        </is>
      </c>
      <c r="S2137" s="4" t="inlineStr">
        <is>
          <t>B43</t>
        </is>
      </c>
      <c r="T2137" s="4" t="inlineStr">
        <is>
          <t>RAMP_1501_2500</t>
        </is>
      </c>
      <c r="U2137" s="4" t="inlineStr">
        <is>
          <t>CREATED</t>
        </is>
      </c>
      <c r="V2137" s="4" t="inlineStr">
        <is>
          <t>idem-20260902-ios-2136</t>
        </is>
      </c>
    </row>
    <row r="2138" ht="30" customHeight="1">
      <c r="A2138" s="4" t="n">
        <v>2137</v>
      </c>
      <c r="B2138" s="4" t="inlineStr">
        <is>
          <t>MTR-IOS-2137</t>
        </is>
      </c>
      <c r="C2138" s="4" t="inlineStr">
        <is>
          <t>Personal</t>
        </is>
      </c>
      <c r="D2138" s="4" t="inlineStr">
        <is>
          <t>Personal</t>
        </is>
      </c>
      <c r="E2138" s="4" t="inlineStr">
        <is>
          <t>Relationships</t>
        </is>
      </c>
      <c r="F2138" s="4" t="inlineStr">
        <is>
          <t>Celebrations</t>
        </is>
      </c>
      <c r="G2138" s="4" t="inlineStr">
        <is>
          <t>Expense</t>
        </is>
      </c>
      <c r="H2138" s="12" t="n">
        <v>46048</v>
      </c>
      <c r="I2138" s="13" t="n">
        <v>0.1878125</v>
      </c>
      <c r="J2138" s="14" t="n">
        <v>46048.1878125</v>
      </c>
      <c r="K2138" s="15" t="n">
        <v>10381.01</v>
      </c>
      <c r="L2138" s="4" t="inlineStr">
        <is>
          <t>INR</t>
        </is>
      </c>
      <c r="M2138" s="15" t="n">
        <v>-10381.01</v>
      </c>
      <c r="N2138" s="4" t="inlineStr">
        <is>
          <t>IOS Owner</t>
        </is>
      </c>
      <c r="O2138" s="4" t="n"/>
      <c r="P2138" s="4" t="n"/>
      <c r="Q2138" s="4" t="inlineStr">
        <is>
          <t>MAESTRO-IOS-PERSONAL-RELATIONSHIPS-2137 | Celebrations | 10381.01</t>
        </is>
      </c>
      <c r="R2138" s="4" t="inlineStr">
        <is>
          <t>iPhone</t>
        </is>
      </c>
      <c r="S2138" s="4" t="inlineStr">
        <is>
          <t>B43</t>
        </is>
      </c>
      <c r="T2138" s="4" t="inlineStr">
        <is>
          <t>RAMP_1501_2500</t>
        </is>
      </c>
      <c r="U2138" s="4" t="inlineStr">
        <is>
          <t>CREATED</t>
        </is>
      </c>
      <c r="V2138" s="4" t="inlineStr">
        <is>
          <t>idem-20260902-ios-2137</t>
        </is>
      </c>
    </row>
    <row r="2139" ht="30" customHeight="1">
      <c r="A2139" s="4" t="n">
        <v>2138</v>
      </c>
      <c r="B2139" s="4" t="inlineStr">
        <is>
          <t>MTR-IOS-2138</t>
        </is>
      </c>
      <c r="C2139" s="4" t="inlineStr">
        <is>
          <t>Group</t>
        </is>
      </c>
      <c r="D2139" s="4" t="inlineStr">
        <is>
          <t>Shared Experience</t>
        </is>
      </c>
      <c r="E2139" s="4" t="inlineStr">
        <is>
          <t>Office Outing</t>
        </is>
      </c>
      <c r="F2139" s="4" t="inlineStr">
        <is>
          <t>Activities</t>
        </is>
      </c>
      <c r="G2139" s="4" t="inlineStr">
        <is>
          <t>Expense</t>
        </is>
      </c>
      <c r="H2139" s="12" t="n">
        <v>46055</v>
      </c>
      <c r="I2139" s="13" t="n">
        <v>0.8704282407407408</v>
      </c>
      <c r="J2139" s="14" t="n">
        <v>46055.87042824074</v>
      </c>
      <c r="K2139" s="15" t="n">
        <v>19403.76</v>
      </c>
      <c r="L2139" s="4" t="inlineStr">
        <is>
          <t>INR</t>
        </is>
      </c>
      <c r="M2139" s="15" t="n">
        <v>-19403.76</v>
      </c>
      <c r="N2139" s="4" t="inlineStr">
        <is>
          <t>IOS Aarav</t>
        </is>
      </c>
      <c r="O2139" s="4" t="n">
        <v>3</v>
      </c>
      <c r="P2139" s="4" t="inlineStr">
        <is>
          <t>EQUAL</t>
        </is>
      </c>
      <c r="Q2139" s="4" t="inlineStr">
        <is>
          <t>MAESTRO-IOS-GROUP-OFFICE_OUTING-2138 | Activities | 19403.76</t>
        </is>
      </c>
      <c r="R2139" s="4" t="inlineStr">
        <is>
          <t>iPhone</t>
        </is>
      </c>
      <c r="S2139" s="4" t="inlineStr">
        <is>
          <t>B43</t>
        </is>
      </c>
      <c r="T2139" s="4" t="inlineStr">
        <is>
          <t>RAMP_1501_2500</t>
        </is>
      </c>
      <c r="U2139" s="4" t="inlineStr">
        <is>
          <t>CREATED</t>
        </is>
      </c>
      <c r="V2139" s="4" t="inlineStr">
        <is>
          <t>idem-20260902-ios-2138</t>
        </is>
      </c>
    </row>
    <row r="2140" ht="30" customHeight="1">
      <c r="A2140" s="4" t="n">
        <v>2139</v>
      </c>
      <c r="B2140" s="4" t="inlineStr">
        <is>
          <t>MTR-IOS-2139</t>
        </is>
      </c>
      <c r="C2140" s="4" t="inlineStr">
        <is>
          <t>Business</t>
        </is>
      </c>
      <c r="D2140" s="4" t="inlineStr">
        <is>
          <t>Business</t>
        </is>
      </c>
      <c r="E2140" s="4" t="inlineStr">
        <is>
          <t>Business Operations</t>
        </is>
      </c>
      <c r="F2140" s="4" t="inlineStr">
        <is>
          <t>Vendor</t>
        </is>
      </c>
      <c r="G2140" s="4" t="inlineStr">
        <is>
          <t>Expense</t>
        </is>
      </c>
      <c r="H2140" s="12" t="n">
        <v>45987</v>
      </c>
      <c r="I2140" s="13" t="n">
        <v>0.4899074074074074</v>
      </c>
      <c r="J2140" s="14" t="n">
        <v>45987.48990740741</v>
      </c>
      <c r="K2140" s="15" t="n">
        <v>119941.7</v>
      </c>
      <c r="L2140" s="4" t="inlineStr">
        <is>
          <t>INR</t>
        </is>
      </c>
      <c r="M2140" s="15" t="n">
        <v>-119941.7</v>
      </c>
      <c r="N2140" s="4" t="inlineStr">
        <is>
          <t>IOS Owner</t>
        </is>
      </c>
      <c r="O2140" s="4" t="n"/>
      <c r="P2140" s="4" t="n"/>
      <c r="Q2140" s="4" t="inlineStr">
        <is>
          <t>MAESTRO-IOS-BUSINESS-BUSINESS_OPERATIONS-2139 | Vendor | 119941.70</t>
        </is>
      </c>
      <c r="R2140" s="4" t="inlineStr">
        <is>
          <t>iPhone</t>
        </is>
      </c>
      <c r="S2140" s="4" t="inlineStr">
        <is>
          <t>B43</t>
        </is>
      </c>
      <c r="T2140" s="4" t="inlineStr">
        <is>
          <t>RAMP_1501_2500</t>
        </is>
      </c>
      <c r="U2140" s="4" t="inlineStr">
        <is>
          <t>CREATED</t>
        </is>
      </c>
      <c r="V2140" s="4" t="inlineStr">
        <is>
          <t>idem-20260902-ios-2139</t>
        </is>
      </c>
    </row>
    <row r="2141" ht="30" customHeight="1">
      <c r="A2141" s="4" t="n">
        <v>2140</v>
      </c>
      <c r="B2141" s="4" t="inlineStr">
        <is>
          <t>MTR-IOS-2140</t>
        </is>
      </c>
      <c r="C2141" s="4" t="inlineStr">
        <is>
          <t>Personal</t>
        </is>
      </c>
      <c r="D2141" s="4" t="inlineStr">
        <is>
          <t>Personal</t>
        </is>
      </c>
      <c r="E2141" s="4" t="inlineStr">
        <is>
          <t>Life Operations</t>
        </is>
      </c>
      <c r="F2141" s="4" t="inlineStr">
        <is>
          <t>Groceries</t>
        </is>
      </c>
      <c r="G2141" s="4" t="inlineStr">
        <is>
          <t>Expense</t>
        </is>
      </c>
      <c r="H2141" s="12" t="n">
        <v>46139</v>
      </c>
      <c r="I2141" s="13" t="n">
        <v>0.5259490740740741</v>
      </c>
      <c r="J2141" s="14" t="n">
        <v>46139.52594907407</v>
      </c>
      <c r="K2141" s="15" t="n">
        <v>17031.73</v>
      </c>
      <c r="L2141" s="4" t="inlineStr">
        <is>
          <t>INR</t>
        </is>
      </c>
      <c r="M2141" s="15" t="n">
        <v>-17031.73</v>
      </c>
      <c r="N2141" s="4" t="inlineStr">
        <is>
          <t>IOS Owner</t>
        </is>
      </c>
      <c r="O2141" s="4" t="n"/>
      <c r="P2141" s="4" t="n"/>
      <c r="Q2141" s="4" t="inlineStr">
        <is>
          <t>MAESTRO-IOS-PERSONAL-LIFE_OPERATIONS-2140 | Groceries | 17031.73</t>
        </is>
      </c>
      <c r="R2141" s="4" t="inlineStr">
        <is>
          <t>iPhone</t>
        </is>
      </c>
      <c r="S2141" s="4" t="inlineStr">
        <is>
          <t>B43</t>
        </is>
      </c>
      <c r="T2141" s="4" t="inlineStr">
        <is>
          <t>RAMP_1501_2500</t>
        </is>
      </c>
      <c r="U2141" s="4" t="inlineStr">
        <is>
          <t>CREATED</t>
        </is>
      </c>
      <c r="V2141" s="4" t="inlineStr">
        <is>
          <t>idem-20260902-ios-2140</t>
        </is>
      </c>
    </row>
    <row r="2142" ht="30" customHeight="1">
      <c r="A2142" s="4" t="n">
        <v>2141</v>
      </c>
      <c r="B2142" s="4" t="inlineStr">
        <is>
          <t>MTR-IOS-2141</t>
        </is>
      </c>
      <c r="C2142" s="4" t="inlineStr">
        <is>
          <t>Group</t>
        </is>
      </c>
      <c r="D2142" s="4" t="inlineStr">
        <is>
          <t>Shared Experience</t>
        </is>
      </c>
      <c r="E2142" s="4" t="inlineStr">
        <is>
          <t>Office Outing</t>
        </is>
      </c>
      <c r="F2142" s="4" t="inlineStr">
        <is>
          <t>Venue</t>
        </is>
      </c>
      <c r="G2142" s="4" t="inlineStr">
        <is>
          <t>Expense</t>
        </is>
      </c>
      <c r="H2142" s="12" t="n">
        <v>45979</v>
      </c>
      <c r="I2142" s="13" t="n">
        <v>0.7779513888888889</v>
      </c>
      <c r="J2142" s="14" t="n">
        <v>45979.77795138889</v>
      </c>
      <c r="K2142" s="15" t="n">
        <v>26098.37</v>
      </c>
      <c r="L2142" s="4" t="inlineStr">
        <is>
          <t>INR</t>
        </is>
      </c>
      <c r="M2142" s="15" t="n">
        <v>-26098.37</v>
      </c>
      <c r="N2142" s="4" t="inlineStr">
        <is>
          <t>IOS Meera</t>
        </is>
      </c>
      <c r="O2142" s="4" t="n">
        <v>3</v>
      </c>
      <c r="P2142" s="4" t="inlineStr">
        <is>
          <t>PERCENTAGE</t>
        </is>
      </c>
      <c r="Q2142" s="4" t="inlineStr">
        <is>
          <t>MAESTRO-IOS-GROUP-OFFICE_OUTING-2141 | Venue | 26098.37</t>
        </is>
      </c>
      <c r="R2142" s="4" t="inlineStr">
        <is>
          <t>iPhone</t>
        </is>
      </c>
      <c r="S2142" s="4" t="inlineStr">
        <is>
          <t>B43</t>
        </is>
      </c>
      <c r="T2142" s="4" t="inlineStr">
        <is>
          <t>RAMP_1501_2500</t>
        </is>
      </c>
      <c r="U2142" s="4" t="inlineStr">
        <is>
          <t>CREATED</t>
        </is>
      </c>
      <c r="V2142" s="4" t="inlineStr">
        <is>
          <t>idem-20260902-ios-2141</t>
        </is>
      </c>
    </row>
    <row r="2143" ht="30" customHeight="1">
      <c r="A2143" s="4" t="n">
        <v>2142</v>
      </c>
      <c r="B2143" s="4" t="inlineStr">
        <is>
          <t>MTR-IOS-2142</t>
        </is>
      </c>
      <c r="C2143" s="4" t="inlineStr">
        <is>
          <t>Business</t>
        </is>
      </c>
      <c r="D2143" s="4" t="inlineStr">
        <is>
          <t>Business</t>
        </is>
      </c>
      <c r="E2143" s="4" t="inlineStr">
        <is>
          <t>Business Operations</t>
        </is>
      </c>
      <c r="F2143" s="4" t="inlineStr">
        <is>
          <t>Tax</t>
        </is>
      </c>
      <c r="G2143" s="4" t="inlineStr">
        <is>
          <t>Expense</t>
        </is>
      </c>
      <c r="H2143" s="12" t="n">
        <v>45931</v>
      </c>
      <c r="I2143" s="13" t="n">
        <v>0.7091319444444445</v>
      </c>
      <c r="J2143" s="14" t="n">
        <v>45931.70913194444</v>
      </c>
      <c r="K2143" s="15" t="n">
        <v>3322.75</v>
      </c>
      <c r="L2143" s="4" t="inlineStr">
        <is>
          <t>INR</t>
        </is>
      </c>
      <c r="M2143" s="15" t="n">
        <v>-3322.75</v>
      </c>
      <c r="N2143" s="4" t="inlineStr">
        <is>
          <t>IOS Owner</t>
        </is>
      </c>
      <c r="O2143" s="4" t="n"/>
      <c r="P2143" s="4" t="n"/>
      <c r="Q2143" s="4" t="inlineStr">
        <is>
          <t>MAESTRO-IOS-BUSINESS-BUSINESS_OPERATIONS-2142 | Tax | 3322.75</t>
        </is>
      </c>
      <c r="R2143" s="4" t="inlineStr">
        <is>
          <t>iPhone</t>
        </is>
      </c>
      <c r="S2143" s="4" t="inlineStr">
        <is>
          <t>B43</t>
        </is>
      </c>
      <c r="T2143" s="4" t="inlineStr">
        <is>
          <t>RAMP_1501_2500</t>
        </is>
      </c>
      <c r="U2143" s="4" t="inlineStr">
        <is>
          <t>CREATED</t>
        </is>
      </c>
      <c r="V2143" s="4" t="inlineStr">
        <is>
          <t>idem-20260902-ios-2142</t>
        </is>
      </c>
    </row>
    <row r="2144" ht="30" customHeight="1">
      <c r="A2144" s="4" t="n">
        <v>2143</v>
      </c>
      <c r="B2144" s="4" t="inlineStr">
        <is>
          <t>MTR-IOS-2143</t>
        </is>
      </c>
      <c r="C2144" s="4" t="inlineStr">
        <is>
          <t>Personal</t>
        </is>
      </c>
      <c r="D2144" s="4" t="inlineStr">
        <is>
          <t>Personal</t>
        </is>
      </c>
      <c r="E2144" s="4" t="inlineStr">
        <is>
          <t>Life Operations</t>
        </is>
      </c>
      <c r="F2144" s="4" t="inlineStr">
        <is>
          <t>Rent</t>
        </is>
      </c>
      <c r="G2144" s="4" t="inlineStr">
        <is>
          <t>Expense</t>
        </is>
      </c>
      <c r="H2144" s="12" t="n">
        <v>45956</v>
      </c>
      <c r="I2144" s="13" t="n">
        <v>0.7273379629629629</v>
      </c>
      <c r="J2144" s="14" t="n">
        <v>45956.72733796296</v>
      </c>
      <c r="K2144" s="15" t="n">
        <v>12916.42</v>
      </c>
      <c r="L2144" s="4" t="inlineStr">
        <is>
          <t>INR</t>
        </is>
      </c>
      <c r="M2144" s="15" t="n">
        <v>-12916.42</v>
      </c>
      <c r="N2144" s="4" t="inlineStr">
        <is>
          <t>IOS Owner</t>
        </is>
      </c>
      <c r="O2144" s="4" t="n"/>
      <c r="P2144" s="4" t="n"/>
      <c r="Q2144" s="4" t="inlineStr">
        <is>
          <t>MAESTRO-IOS-PERSONAL-LIFE_OPERATIONS-2143 | Rent | 12916.42</t>
        </is>
      </c>
      <c r="R2144" s="4" t="inlineStr">
        <is>
          <t>iPhone</t>
        </is>
      </c>
      <c r="S2144" s="4" t="inlineStr">
        <is>
          <t>B43</t>
        </is>
      </c>
      <c r="T2144" s="4" t="inlineStr">
        <is>
          <t>RAMP_1501_2500</t>
        </is>
      </c>
      <c r="U2144" s="4" t="inlineStr">
        <is>
          <t>CREATED</t>
        </is>
      </c>
      <c r="V2144" s="4" t="inlineStr">
        <is>
          <t>idem-20260902-ios-2143</t>
        </is>
      </c>
    </row>
    <row r="2145" ht="30" customHeight="1">
      <c r="A2145" s="4" t="n">
        <v>2144</v>
      </c>
      <c r="B2145" s="4" t="inlineStr">
        <is>
          <t>MTR-IOS-2144</t>
        </is>
      </c>
      <c r="C2145" s="4" t="inlineStr">
        <is>
          <t>Group</t>
        </is>
      </c>
      <c r="D2145" s="4" t="inlineStr">
        <is>
          <t>Shared Experience</t>
        </is>
      </c>
      <c r="E2145" s="4" t="inlineStr">
        <is>
          <t>Office Outing</t>
        </is>
      </c>
      <c r="F2145" s="4" t="inlineStr">
        <is>
          <t>Other</t>
        </is>
      </c>
      <c r="G2145" s="4" t="inlineStr">
        <is>
          <t>Expense</t>
        </is>
      </c>
      <c r="H2145" s="12" t="n">
        <v>45968</v>
      </c>
      <c r="I2145" s="13" t="n">
        <v>0.02288194444444444</v>
      </c>
      <c r="J2145" s="14" t="n">
        <v>45968.02288194445</v>
      </c>
      <c r="K2145" s="15" t="n">
        <v>10807.79</v>
      </c>
      <c r="L2145" s="4" t="inlineStr">
        <is>
          <t>INR</t>
        </is>
      </c>
      <c r="M2145" s="15" t="n">
        <v>-10807.79</v>
      </c>
      <c r="N2145" s="4" t="inlineStr">
        <is>
          <t>IOS Owner</t>
        </is>
      </c>
      <c r="O2145" s="4" t="n">
        <v>3</v>
      </c>
      <c r="P2145" s="4" t="inlineStr">
        <is>
          <t>EXACT</t>
        </is>
      </c>
      <c r="Q2145" s="4" t="inlineStr">
        <is>
          <t>MAESTRO-IOS-GROUP-OFFICE_OUTING-2144 | Other | 10807.79</t>
        </is>
      </c>
      <c r="R2145" s="4" t="inlineStr">
        <is>
          <t>iPhone</t>
        </is>
      </c>
      <c r="S2145" s="4" t="inlineStr">
        <is>
          <t>B43</t>
        </is>
      </c>
      <c r="T2145" s="4" t="inlineStr">
        <is>
          <t>RAMP_1501_2500</t>
        </is>
      </c>
      <c r="U2145" s="4" t="inlineStr">
        <is>
          <t>CREATED</t>
        </is>
      </c>
      <c r="V2145" s="4" t="inlineStr">
        <is>
          <t>idem-20260902-ios-2144</t>
        </is>
      </c>
    </row>
    <row r="2146" ht="30" customHeight="1">
      <c r="A2146" s="4" t="n">
        <v>2145</v>
      </c>
      <c r="B2146" s="4" t="inlineStr">
        <is>
          <t>MTR-IOS-2145</t>
        </is>
      </c>
      <c r="C2146" s="4" t="inlineStr">
        <is>
          <t>Business</t>
        </is>
      </c>
      <c r="D2146" s="4" t="inlineStr">
        <is>
          <t>Business</t>
        </is>
      </c>
      <c r="E2146" s="4" t="inlineStr">
        <is>
          <t>Team Operations</t>
        </is>
      </c>
      <c r="F2146" s="4" t="inlineStr">
        <is>
          <t>Payroll</t>
        </is>
      </c>
      <c r="G2146" s="4" t="inlineStr">
        <is>
          <t>Expense</t>
        </is>
      </c>
      <c r="H2146" s="12" t="n">
        <v>45953</v>
      </c>
      <c r="I2146" s="13" t="n">
        <v>0.9238888888888889</v>
      </c>
      <c r="J2146" s="14" t="n">
        <v>45953.92388888889</v>
      </c>
      <c r="K2146" s="15" t="n">
        <v>20508.51</v>
      </c>
      <c r="L2146" s="4" t="inlineStr">
        <is>
          <t>INR</t>
        </is>
      </c>
      <c r="M2146" s="15" t="n">
        <v>-20508.51</v>
      </c>
      <c r="N2146" s="4" t="inlineStr">
        <is>
          <t>IOS Owner</t>
        </is>
      </c>
      <c r="O2146" s="4" t="n"/>
      <c r="P2146" s="4" t="n"/>
      <c r="Q2146" s="4" t="inlineStr">
        <is>
          <t>MAESTRO-IOS-BUSINESS-TEAM_OPERATIONS-2145 | Payroll | 20508.51</t>
        </is>
      </c>
      <c r="R2146" s="4" t="inlineStr">
        <is>
          <t>iPhone</t>
        </is>
      </c>
      <c r="S2146" s="4" t="inlineStr">
        <is>
          <t>B43</t>
        </is>
      </c>
      <c r="T2146" s="4" t="inlineStr">
        <is>
          <t>RAMP_1501_2500</t>
        </is>
      </c>
      <c r="U2146" s="4" t="inlineStr">
        <is>
          <t>CREATED</t>
        </is>
      </c>
      <c r="V2146" s="4" t="inlineStr">
        <is>
          <t>idem-20260902-ios-2145</t>
        </is>
      </c>
    </row>
    <row r="2147" ht="30" customHeight="1">
      <c r="A2147" s="4" t="n">
        <v>2146</v>
      </c>
      <c r="B2147" s="4" t="inlineStr">
        <is>
          <t>MTR-IOS-2146</t>
        </is>
      </c>
      <c r="C2147" s="4" t="inlineStr">
        <is>
          <t>Personal</t>
        </is>
      </c>
      <c r="D2147" s="4" t="inlineStr">
        <is>
          <t>Personal</t>
        </is>
      </c>
      <c r="E2147" s="4" t="inlineStr">
        <is>
          <t>Life Operations</t>
        </is>
      </c>
      <c r="F2147" s="4" t="inlineStr">
        <is>
          <t>Bills</t>
        </is>
      </c>
      <c r="G2147" s="4" t="inlineStr">
        <is>
          <t>Expense</t>
        </is>
      </c>
      <c r="H2147" s="12" t="n">
        <v>45934</v>
      </c>
      <c r="I2147" s="13" t="n">
        <v>0.4275810185185185</v>
      </c>
      <c r="J2147" s="14" t="n">
        <v>45934.42758101852</v>
      </c>
      <c r="K2147" s="15" t="n">
        <v>999.99</v>
      </c>
      <c r="L2147" s="4" t="inlineStr">
        <is>
          <t>INR</t>
        </is>
      </c>
      <c r="M2147" s="15" t="n">
        <v>-999.99</v>
      </c>
      <c r="N2147" s="4" t="inlineStr">
        <is>
          <t>IOS Owner</t>
        </is>
      </c>
      <c r="O2147" s="4" t="n"/>
      <c r="P2147" s="4" t="n"/>
      <c r="Q2147" s="4" t="inlineStr">
        <is>
          <t>MAESTRO-IOS-PERSONAL-LIFE_OPERATIONS-2146 | Bills | 999.99</t>
        </is>
      </c>
      <c r="R2147" s="4" t="inlineStr">
        <is>
          <t>iPhone</t>
        </is>
      </c>
      <c r="S2147" s="4" t="inlineStr">
        <is>
          <t>B43</t>
        </is>
      </c>
      <c r="T2147" s="4" t="inlineStr">
        <is>
          <t>RAMP_1501_2500</t>
        </is>
      </c>
      <c r="U2147" s="4" t="inlineStr">
        <is>
          <t>CREATED</t>
        </is>
      </c>
      <c r="V2147" s="4" t="inlineStr">
        <is>
          <t>idem-20260902-ios-2146</t>
        </is>
      </c>
    </row>
    <row r="2148" ht="30" customHeight="1">
      <c r="A2148" s="4" t="n">
        <v>2147</v>
      </c>
      <c r="B2148" s="4" t="inlineStr">
        <is>
          <t>MTR-IOS-2147</t>
        </is>
      </c>
      <c r="C2148" s="4" t="inlineStr">
        <is>
          <t>Group</t>
        </is>
      </c>
      <c r="D2148" s="4" t="inlineStr">
        <is>
          <t>Shared Experience</t>
        </is>
      </c>
      <c r="E2148" s="4" t="inlineStr">
        <is>
          <t>House Party</t>
        </is>
      </c>
      <c r="F2148" s="4" t="inlineStr">
        <is>
          <t>Food</t>
        </is>
      </c>
      <c r="G2148" s="4" t="inlineStr">
        <is>
          <t>Expense</t>
        </is>
      </c>
      <c r="H2148" s="12" t="n">
        <v>45923</v>
      </c>
      <c r="I2148" s="13" t="n">
        <v>0.4840625</v>
      </c>
      <c r="J2148" s="14" t="n">
        <v>45923.4840625</v>
      </c>
      <c r="K2148" s="15" t="n">
        <v>22590.27</v>
      </c>
      <c r="L2148" s="4" t="inlineStr">
        <is>
          <t>INR</t>
        </is>
      </c>
      <c r="M2148" s="15" t="n">
        <v>-22590.27</v>
      </c>
      <c r="N2148" s="4" t="inlineStr">
        <is>
          <t>IOS Aarav</t>
        </is>
      </c>
      <c r="O2148" s="4" t="n">
        <v>3</v>
      </c>
      <c r="P2148" s="4" t="inlineStr">
        <is>
          <t>SHARES</t>
        </is>
      </c>
      <c r="Q2148" s="4" t="inlineStr">
        <is>
          <t>MAESTRO-IOS-GROUP-HOUSE_PARTY-2147 | Food | 22590.27</t>
        </is>
      </c>
      <c r="R2148" s="4" t="inlineStr">
        <is>
          <t>iPhone</t>
        </is>
      </c>
      <c r="S2148" s="4" t="inlineStr">
        <is>
          <t>B43</t>
        </is>
      </c>
      <c r="T2148" s="4" t="inlineStr">
        <is>
          <t>RAMP_1501_2500</t>
        </is>
      </c>
      <c r="U2148" s="4" t="inlineStr">
        <is>
          <t>CREATED</t>
        </is>
      </c>
      <c r="V2148" s="4" t="inlineStr">
        <is>
          <t>idem-20260902-ios-2147</t>
        </is>
      </c>
    </row>
    <row r="2149" ht="30" customHeight="1">
      <c r="A2149" s="4" t="n">
        <v>2148</v>
      </c>
      <c r="B2149" s="4" t="inlineStr">
        <is>
          <t>MTR-IOS-2148</t>
        </is>
      </c>
      <c r="C2149" s="4" t="inlineStr">
        <is>
          <t>Business</t>
        </is>
      </c>
      <c r="D2149" s="4" t="inlineStr">
        <is>
          <t>Business</t>
        </is>
      </c>
      <c r="E2149" s="4" t="inlineStr">
        <is>
          <t>Team Operations</t>
        </is>
      </c>
      <c r="F2149" s="4" t="inlineStr">
        <is>
          <t>Contractor</t>
        </is>
      </c>
      <c r="G2149" s="4" t="inlineStr">
        <is>
          <t>Expense</t>
        </is>
      </c>
      <c r="H2149" s="12" t="n">
        <v>46206</v>
      </c>
      <c r="I2149" s="13" t="n">
        <v>0.9070833333333334</v>
      </c>
      <c r="J2149" s="14" t="n">
        <v>46206.90708333333</v>
      </c>
      <c r="K2149" s="15" t="n">
        <v>80583.91</v>
      </c>
      <c r="L2149" s="4" t="inlineStr">
        <is>
          <t>INR</t>
        </is>
      </c>
      <c r="M2149" s="15" t="n">
        <v>-80583.91</v>
      </c>
      <c r="N2149" s="4" t="inlineStr">
        <is>
          <t>IOS Owner</t>
        </is>
      </c>
      <c r="O2149" s="4" t="n"/>
      <c r="P2149" s="4" t="n"/>
      <c r="Q2149" s="4" t="inlineStr">
        <is>
          <t>MAESTRO-IOS-BUSINESS-TEAM_OPERATIONS-2148 | Contractor | 80583.91</t>
        </is>
      </c>
      <c r="R2149" s="4" t="inlineStr">
        <is>
          <t>iPhone</t>
        </is>
      </c>
      <c r="S2149" s="4" t="inlineStr">
        <is>
          <t>B43</t>
        </is>
      </c>
      <c r="T2149" s="4" t="inlineStr">
        <is>
          <t>RAMP_1501_2500</t>
        </is>
      </c>
      <c r="U2149" s="4" t="inlineStr">
        <is>
          <t>CREATED</t>
        </is>
      </c>
      <c r="V2149" s="4" t="inlineStr">
        <is>
          <t>idem-20260902-ios-2148</t>
        </is>
      </c>
    </row>
    <row r="2150" ht="30" customHeight="1">
      <c r="A2150" s="4" t="n">
        <v>2149</v>
      </c>
      <c r="B2150" s="4" t="inlineStr">
        <is>
          <t>MTR-IOS-2149</t>
        </is>
      </c>
      <c r="C2150" s="4" t="inlineStr">
        <is>
          <t>Personal</t>
        </is>
      </c>
      <c r="D2150" s="4" t="inlineStr">
        <is>
          <t>Personal</t>
        </is>
      </c>
      <c r="E2150" s="4" t="inlineStr">
        <is>
          <t>Life Operations</t>
        </is>
      </c>
      <c r="F2150" s="4" t="inlineStr">
        <is>
          <t>Transport</t>
        </is>
      </c>
      <c r="G2150" s="4" t="inlineStr">
        <is>
          <t>Expense</t>
        </is>
      </c>
      <c r="H2150" s="12" t="n">
        <v>46171</v>
      </c>
      <c r="I2150" s="13" t="n">
        <v>0.8272685185185186</v>
      </c>
      <c r="J2150" s="14" t="n">
        <v>46171.82726851852</v>
      </c>
      <c r="K2150" s="15" t="n">
        <v>9243.41</v>
      </c>
      <c r="L2150" s="4" t="inlineStr">
        <is>
          <t>INR</t>
        </is>
      </c>
      <c r="M2150" s="15" t="n">
        <v>-9243.41</v>
      </c>
      <c r="N2150" s="4" t="inlineStr">
        <is>
          <t>IOS Owner</t>
        </is>
      </c>
      <c r="O2150" s="4" t="n"/>
      <c r="P2150" s="4" t="n"/>
      <c r="Q2150" s="4" t="inlineStr">
        <is>
          <t>MAESTRO-IOS-PERSONAL-LIFE_OPERATIONS-2149 | Transport | 9243.41</t>
        </is>
      </c>
      <c r="R2150" s="4" t="inlineStr">
        <is>
          <t>iPhone</t>
        </is>
      </c>
      <c r="S2150" s="4" t="inlineStr">
        <is>
          <t>B43</t>
        </is>
      </c>
      <c r="T2150" s="4" t="inlineStr">
        <is>
          <t>RAMP_1501_2500</t>
        </is>
      </c>
      <c r="U2150" s="4" t="inlineStr">
        <is>
          <t>CREATED</t>
        </is>
      </c>
      <c r="V2150" s="4" t="inlineStr">
        <is>
          <t>idem-20260902-ios-2149</t>
        </is>
      </c>
    </row>
    <row r="2151" ht="30" customHeight="1">
      <c r="A2151" s="4" t="n">
        <v>2150</v>
      </c>
      <c r="B2151" s="4" t="inlineStr">
        <is>
          <t>MTR-IOS-2150</t>
        </is>
      </c>
      <c r="C2151" s="4" t="inlineStr">
        <is>
          <t>Group</t>
        </is>
      </c>
      <c r="D2151" s="4" t="inlineStr">
        <is>
          <t>Shared Experience</t>
        </is>
      </c>
      <c r="E2151" s="4" t="inlineStr">
        <is>
          <t>House Party</t>
        </is>
      </c>
      <c r="F2151" s="4" t="inlineStr">
        <is>
          <t>Drinks</t>
        </is>
      </c>
      <c r="G2151" s="4" t="inlineStr">
        <is>
          <t>Expense</t>
        </is>
      </c>
      <c r="H2151" s="12" t="n">
        <v>46188</v>
      </c>
      <c r="I2151" s="13" t="n">
        <v>0.7288310185185185</v>
      </c>
      <c r="J2151" s="14" t="n">
        <v>46188.72883101852</v>
      </c>
      <c r="K2151" s="15" t="n">
        <v>18589.34</v>
      </c>
      <c r="L2151" s="4" t="inlineStr">
        <is>
          <t>INR</t>
        </is>
      </c>
      <c r="M2151" s="15" t="n">
        <v>-18589.34</v>
      </c>
      <c r="N2151" s="4" t="inlineStr">
        <is>
          <t>IOS Meera</t>
        </is>
      </c>
      <c r="O2151" s="4" t="n">
        <v>3</v>
      </c>
      <c r="P2151" s="4" t="inlineStr">
        <is>
          <t>EQUAL</t>
        </is>
      </c>
      <c r="Q2151" s="4" t="inlineStr">
        <is>
          <t>MAESTRO-IOS-GROUP-HOUSE_PARTY-2150 | Drinks | 18589.34</t>
        </is>
      </c>
      <c r="R2151" s="4" t="inlineStr">
        <is>
          <t>iPhone</t>
        </is>
      </c>
      <c r="S2151" s="4" t="inlineStr">
        <is>
          <t>B43</t>
        </is>
      </c>
      <c r="T2151" s="4" t="inlineStr">
        <is>
          <t>RAMP_1501_2500</t>
        </is>
      </c>
      <c r="U2151" s="4" t="inlineStr">
        <is>
          <t>CREATED</t>
        </is>
      </c>
      <c r="V2151" s="4" t="inlineStr">
        <is>
          <t>idem-20260902-ios-2150</t>
        </is>
      </c>
    </row>
    <row r="2152" ht="30" customHeight="1">
      <c r="A2152" s="4" t="n">
        <v>2151</v>
      </c>
      <c r="B2152" s="4" t="inlineStr">
        <is>
          <t>MTR-IOS-2151</t>
        </is>
      </c>
      <c r="C2152" s="4" t="inlineStr">
        <is>
          <t>Business</t>
        </is>
      </c>
      <c r="D2152" s="4" t="inlineStr">
        <is>
          <t>Business</t>
        </is>
      </c>
      <c r="E2152" s="4" t="inlineStr">
        <is>
          <t>Team Operations</t>
        </is>
      </c>
      <c r="F2152" s="4" t="inlineStr">
        <is>
          <t>Hiring</t>
        </is>
      </c>
      <c r="G2152" s="4" t="inlineStr">
        <is>
          <t>Expense</t>
        </is>
      </c>
      <c r="H2152" s="12" t="n">
        <v>46097</v>
      </c>
      <c r="I2152" s="13" t="n">
        <v>0.7523148148148148</v>
      </c>
      <c r="J2152" s="14" t="n">
        <v>46097.75231481482</v>
      </c>
      <c r="K2152" s="15" t="n">
        <v>104384.2</v>
      </c>
      <c r="L2152" s="4" t="inlineStr">
        <is>
          <t>INR</t>
        </is>
      </c>
      <c r="M2152" s="15" t="n">
        <v>-104384.2</v>
      </c>
      <c r="N2152" s="4" t="inlineStr">
        <is>
          <t>IOS Owner</t>
        </is>
      </c>
      <c r="O2152" s="4" t="n"/>
      <c r="P2152" s="4" t="n"/>
      <c r="Q2152" s="4" t="inlineStr">
        <is>
          <t>MAESTRO-IOS-BUSINESS-TEAM_OPERATIONS-2151 | Hiring | 104384.20</t>
        </is>
      </c>
      <c r="R2152" s="4" t="inlineStr">
        <is>
          <t>iPhone</t>
        </is>
      </c>
      <c r="S2152" s="4" t="inlineStr">
        <is>
          <t>B44</t>
        </is>
      </c>
      <c r="T2152" s="4" t="inlineStr">
        <is>
          <t>RAMP_1501_2500</t>
        </is>
      </c>
      <c r="U2152" s="4" t="inlineStr">
        <is>
          <t>CREATED</t>
        </is>
      </c>
      <c r="V2152" s="4" t="inlineStr">
        <is>
          <t>idem-20260902-ios-2151</t>
        </is>
      </c>
    </row>
    <row r="2153" ht="30" customHeight="1">
      <c r="A2153" s="4" t="n">
        <v>2152</v>
      </c>
      <c r="B2153" s="4" t="inlineStr">
        <is>
          <t>MTR-IOS-2152</t>
        </is>
      </c>
      <c r="C2153" s="4" t="inlineStr">
        <is>
          <t>Personal</t>
        </is>
      </c>
      <c r="D2153" s="4" t="inlineStr">
        <is>
          <t>Personal</t>
        </is>
      </c>
      <c r="E2153" s="4" t="inlineStr">
        <is>
          <t>Life Operations</t>
        </is>
      </c>
      <c r="F2153" s="4" t="inlineStr">
        <is>
          <t>Healthcare</t>
        </is>
      </c>
      <c r="G2153" s="4" t="inlineStr">
        <is>
          <t>Expense</t>
        </is>
      </c>
      <c r="H2153" s="12" t="n">
        <v>46053</v>
      </c>
      <c r="I2153" s="13" t="n">
        <v>0.8659837962962963</v>
      </c>
      <c r="J2153" s="14" t="n">
        <v>46053.8659837963</v>
      </c>
      <c r="K2153" s="15" t="n">
        <v>9096.219999999999</v>
      </c>
      <c r="L2153" s="4" t="inlineStr">
        <is>
          <t>INR</t>
        </is>
      </c>
      <c r="M2153" s="15" t="n">
        <v>-9096.219999999999</v>
      </c>
      <c r="N2153" s="4" t="inlineStr">
        <is>
          <t>IOS Owner</t>
        </is>
      </c>
      <c r="O2153" s="4" t="n"/>
      <c r="P2153" s="4" t="n"/>
      <c r="Q2153" s="4" t="inlineStr">
        <is>
          <t>MAESTRO-IOS-PERSONAL-LIFE_OPERATIONS-2152 | Healthcare | 9096.22</t>
        </is>
      </c>
      <c r="R2153" s="4" t="inlineStr">
        <is>
          <t>iPhone</t>
        </is>
      </c>
      <c r="S2153" s="4" t="inlineStr">
        <is>
          <t>B44</t>
        </is>
      </c>
      <c r="T2153" s="4" t="inlineStr">
        <is>
          <t>RAMP_1501_2500</t>
        </is>
      </c>
      <c r="U2153" s="4" t="inlineStr">
        <is>
          <t>CREATED</t>
        </is>
      </c>
      <c r="V2153" s="4" t="inlineStr">
        <is>
          <t>idem-20260902-ios-2152</t>
        </is>
      </c>
    </row>
    <row r="2154" ht="30" customHeight="1">
      <c r="A2154" s="4" t="n">
        <v>2153</v>
      </c>
      <c r="B2154" s="4" t="inlineStr">
        <is>
          <t>MTR-IOS-2153</t>
        </is>
      </c>
      <c r="C2154" s="4" t="inlineStr">
        <is>
          <t>Group</t>
        </is>
      </c>
      <c r="D2154" s="4" t="inlineStr">
        <is>
          <t>Shared Experience</t>
        </is>
      </c>
      <c r="E2154" s="4" t="inlineStr">
        <is>
          <t>House Party</t>
        </is>
      </c>
      <c r="F2154" s="4" t="inlineStr">
        <is>
          <t>Decor</t>
        </is>
      </c>
      <c r="G2154" s="4" t="inlineStr">
        <is>
          <t>Expense</t>
        </is>
      </c>
      <c r="H2154" s="12" t="n">
        <v>45916</v>
      </c>
      <c r="I2154" s="13" t="n">
        <v>0.4024421296296296</v>
      </c>
      <c r="J2154" s="14" t="n">
        <v>45916.40244212963</v>
      </c>
      <c r="K2154" s="15" t="n">
        <v>7566.29</v>
      </c>
      <c r="L2154" s="4" t="inlineStr">
        <is>
          <t>INR</t>
        </is>
      </c>
      <c r="M2154" s="15" t="n">
        <v>-7566.29</v>
      </c>
      <c r="N2154" s="4" t="inlineStr">
        <is>
          <t>IOS Owner</t>
        </is>
      </c>
      <c r="O2154" s="4" t="n">
        <v>3</v>
      </c>
      <c r="P2154" s="4" t="inlineStr">
        <is>
          <t>PERCENTAGE</t>
        </is>
      </c>
      <c r="Q2154" s="4" t="inlineStr">
        <is>
          <t>MAESTRO-IOS-GROUP-HOUSE_PARTY-2153 | Decor | 7566.29</t>
        </is>
      </c>
      <c r="R2154" s="4" t="inlineStr">
        <is>
          <t>iPhone</t>
        </is>
      </c>
      <c r="S2154" s="4" t="inlineStr">
        <is>
          <t>B44</t>
        </is>
      </c>
      <c r="T2154" s="4" t="inlineStr">
        <is>
          <t>RAMP_1501_2500</t>
        </is>
      </c>
      <c r="U2154" s="4" t="inlineStr">
        <is>
          <t>CREATED</t>
        </is>
      </c>
      <c r="V2154" s="4" t="inlineStr">
        <is>
          <t>idem-20260902-ios-2153</t>
        </is>
      </c>
    </row>
    <row r="2155" ht="30" customHeight="1">
      <c r="A2155" s="4" t="n">
        <v>2154</v>
      </c>
      <c r="B2155" s="4" t="inlineStr">
        <is>
          <t>MTR-IOS-2154</t>
        </is>
      </c>
      <c r="C2155" s="4" t="inlineStr">
        <is>
          <t>Business</t>
        </is>
      </c>
      <c r="D2155" s="4" t="inlineStr">
        <is>
          <t>Business</t>
        </is>
      </c>
      <c r="E2155" s="4" t="inlineStr">
        <is>
          <t>Team Operations</t>
        </is>
      </c>
      <c r="F2155" s="4" t="inlineStr">
        <is>
          <t>Team Meal</t>
        </is>
      </c>
      <c r="G2155" s="4" t="inlineStr">
        <is>
          <t>Expense</t>
        </is>
      </c>
      <c r="H2155" s="12" t="n">
        <v>46217</v>
      </c>
      <c r="I2155" s="13" t="n">
        <v>0.723125</v>
      </c>
      <c r="J2155" s="14" t="n">
        <v>46217.723125</v>
      </c>
      <c r="K2155" s="15" t="n">
        <v>86876.3</v>
      </c>
      <c r="L2155" s="4" t="inlineStr">
        <is>
          <t>INR</t>
        </is>
      </c>
      <c r="M2155" s="15" t="n">
        <v>-86876.3</v>
      </c>
      <c r="N2155" s="4" t="inlineStr">
        <is>
          <t>IOS Owner</t>
        </is>
      </c>
      <c r="O2155" s="4" t="n"/>
      <c r="P2155" s="4" t="n"/>
      <c r="Q2155" s="4" t="inlineStr">
        <is>
          <t>MAESTRO-IOS-BUSINESS-TEAM_OPERATIONS-2154 | Team Meal | 86876.30</t>
        </is>
      </c>
      <c r="R2155" s="4" t="inlineStr">
        <is>
          <t>iPhone</t>
        </is>
      </c>
      <c r="S2155" s="4" t="inlineStr">
        <is>
          <t>B44</t>
        </is>
      </c>
      <c r="T2155" s="4" t="inlineStr">
        <is>
          <t>RAMP_1501_2500</t>
        </is>
      </c>
      <c r="U2155" s="4" t="inlineStr">
        <is>
          <t>CREATED</t>
        </is>
      </c>
      <c r="V2155" s="4" t="inlineStr">
        <is>
          <t>idem-20260902-ios-2154</t>
        </is>
      </c>
    </row>
    <row r="2156" ht="30" customHeight="1">
      <c r="A2156" s="4" t="n">
        <v>2155</v>
      </c>
      <c r="B2156" s="4" t="inlineStr">
        <is>
          <t>MTR-IOS-2155</t>
        </is>
      </c>
      <c r="C2156" s="4" t="inlineStr">
        <is>
          <t>Personal</t>
        </is>
      </c>
      <c r="D2156" s="4" t="inlineStr">
        <is>
          <t>Personal</t>
        </is>
      </c>
      <c r="E2156" s="4" t="inlineStr">
        <is>
          <t>Life Operations</t>
        </is>
      </c>
      <c r="F2156" s="4" t="inlineStr">
        <is>
          <t>Subscriptions</t>
        </is>
      </c>
      <c r="G2156" s="4" t="inlineStr">
        <is>
          <t>Expense</t>
        </is>
      </c>
      <c r="H2156" s="12" t="n">
        <v>46259</v>
      </c>
      <c r="I2156" s="13" t="n">
        <v>0.5</v>
      </c>
      <c r="J2156" s="14" t="n">
        <v>46259.5</v>
      </c>
      <c r="K2156" s="15" t="n">
        <v>11242.2</v>
      </c>
      <c r="L2156" s="4" t="inlineStr">
        <is>
          <t>INR</t>
        </is>
      </c>
      <c r="M2156" s="15" t="n">
        <v>-11242.2</v>
      </c>
      <c r="N2156" s="4" t="inlineStr">
        <is>
          <t>IOS Owner</t>
        </is>
      </c>
      <c r="O2156" s="4" t="n"/>
      <c r="P2156" s="4" t="n"/>
      <c r="Q2156" s="4" t="inlineStr">
        <is>
          <t>MAESTRO-IOS-PERSONAL-LIFE_OPERATIONS-2155 | Subscriptions | 11242.20</t>
        </is>
      </c>
      <c r="R2156" s="4" t="inlineStr">
        <is>
          <t>iPhone</t>
        </is>
      </c>
      <c r="S2156" s="4" t="inlineStr">
        <is>
          <t>B44</t>
        </is>
      </c>
      <c r="T2156" s="4" t="inlineStr">
        <is>
          <t>RAMP_1501_2500</t>
        </is>
      </c>
      <c r="U2156" s="4" t="inlineStr">
        <is>
          <t>CREATED</t>
        </is>
      </c>
      <c r="V2156" s="4" t="inlineStr">
        <is>
          <t>idem-20260902-ios-2155</t>
        </is>
      </c>
    </row>
    <row r="2157" ht="30" customHeight="1">
      <c r="A2157" s="4" t="n">
        <v>2156</v>
      </c>
      <c r="B2157" s="4" t="inlineStr">
        <is>
          <t>MTR-IOS-2156</t>
        </is>
      </c>
      <c r="C2157" s="4" t="inlineStr">
        <is>
          <t>Group</t>
        </is>
      </c>
      <c r="D2157" s="4" t="inlineStr">
        <is>
          <t>Shared Experience</t>
        </is>
      </c>
      <c r="E2157" s="4" t="inlineStr">
        <is>
          <t>House Party</t>
        </is>
      </c>
      <c r="F2157" s="4" t="inlineStr">
        <is>
          <t>Supplies</t>
        </is>
      </c>
      <c r="G2157" s="4" t="inlineStr">
        <is>
          <t>Expense</t>
        </is>
      </c>
      <c r="H2157" s="12" t="n">
        <v>46195</v>
      </c>
      <c r="I2157" s="13" t="n">
        <v>0.8265740740740741</v>
      </c>
      <c r="J2157" s="14" t="n">
        <v>46195.82657407408</v>
      </c>
      <c r="K2157" s="15" t="n">
        <v>20343.15</v>
      </c>
      <c r="L2157" s="4" t="inlineStr">
        <is>
          <t>INR</t>
        </is>
      </c>
      <c r="M2157" s="15" t="n">
        <v>-20343.15</v>
      </c>
      <c r="N2157" s="4" t="inlineStr">
        <is>
          <t>IOS Aarav</t>
        </is>
      </c>
      <c r="O2157" s="4" t="n">
        <v>3</v>
      </c>
      <c r="P2157" s="4" t="inlineStr">
        <is>
          <t>EXACT</t>
        </is>
      </c>
      <c r="Q2157" s="4" t="inlineStr">
        <is>
          <t>MAESTRO-IOS-GROUP-HOUSE_PARTY-2156 | Supplies | 20343.15</t>
        </is>
      </c>
      <c r="R2157" s="4" t="inlineStr">
        <is>
          <t>iPhone</t>
        </is>
      </c>
      <c r="S2157" s="4" t="inlineStr">
        <is>
          <t>B44</t>
        </is>
      </c>
      <c r="T2157" s="4" t="inlineStr">
        <is>
          <t>RAMP_1501_2500</t>
        </is>
      </c>
      <c r="U2157" s="4" t="inlineStr">
        <is>
          <t>CREATED</t>
        </is>
      </c>
      <c r="V2157" s="4" t="inlineStr">
        <is>
          <t>idem-20260902-ios-2156</t>
        </is>
      </c>
    </row>
    <row r="2158" ht="30" customHeight="1">
      <c r="A2158" s="4" t="n">
        <v>2157</v>
      </c>
      <c r="B2158" s="4" t="inlineStr">
        <is>
          <t>MTR-IOS-2157</t>
        </is>
      </c>
      <c r="C2158" s="4" t="inlineStr">
        <is>
          <t>Business</t>
        </is>
      </c>
      <c r="D2158" s="4" t="inlineStr">
        <is>
          <t>Business</t>
        </is>
      </c>
      <c r="E2158" s="4" t="inlineStr">
        <is>
          <t>Team Operations</t>
        </is>
      </c>
      <c r="F2158" s="4" t="inlineStr">
        <is>
          <t>Travel</t>
        </is>
      </c>
      <c r="G2158" s="4" t="inlineStr">
        <is>
          <t>Expense</t>
        </is>
      </c>
      <c r="H2158" s="12" t="n">
        <v>46236</v>
      </c>
      <c r="I2158" s="13" t="n">
        <v>0.3045949074074074</v>
      </c>
      <c r="J2158" s="14" t="n">
        <v>46236.30459490741</v>
      </c>
      <c r="K2158" s="15" t="n">
        <v>28058.99</v>
      </c>
      <c r="L2158" s="4" t="inlineStr">
        <is>
          <t>INR</t>
        </is>
      </c>
      <c r="M2158" s="15" t="n">
        <v>-28058.99</v>
      </c>
      <c r="N2158" s="4" t="inlineStr">
        <is>
          <t>IOS Owner</t>
        </is>
      </c>
      <c r="O2158" s="4" t="n"/>
      <c r="P2158" s="4" t="n"/>
      <c r="Q2158" s="4" t="inlineStr">
        <is>
          <t>MAESTRO-IOS-BUSINESS-TEAM_OPERATIONS-2157 | Travel | 28058.99</t>
        </is>
      </c>
      <c r="R2158" s="4" t="inlineStr">
        <is>
          <t>iPhone</t>
        </is>
      </c>
      <c r="S2158" s="4" t="inlineStr">
        <is>
          <t>B44</t>
        </is>
      </c>
      <c r="T2158" s="4" t="inlineStr">
        <is>
          <t>RAMP_1501_2500</t>
        </is>
      </c>
      <c r="U2158" s="4" t="inlineStr">
        <is>
          <t>CREATED</t>
        </is>
      </c>
      <c r="V2158" s="4" t="inlineStr">
        <is>
          <t>idem-20260902-ios-2157</t>
        </is>
      </c>
    </row>
    <row r="2159" ht="30" customHeight="1">
      <c r="A2159" s="4" t="n">
        <v>2158</v>
      </c>
      <c r="B2159" s="4" t="inlineStr">
        <is>
          <t>MTR-IOS-2158</t>
        </is>
      </c>
      <c r="C2159" s="4" t="inlineStr">
        <is>
          <t>Personal</t>
        </is>
      </c>
      <c r="D2159" s="4" t="inlineStr">
        <is>
          <t>Personal</t>
        </is>
      </c>
      <c r="E2159" s="4" t="inlineStr">
        <is>
          <t>Life Operations</t>
        </is>
      </c>
      <c r="F2159" s="4" t="inlineStr">
        <is>
          <t>Repairs</t>
        </is>
      </c>
      <c r="G2159" s="4" t="inlineStr">
        <is>
          <t>Expense</t>
        </is>
      </c>
      <c r="H2159" s="12" t="n">
        <v>45967</v>
      </c>
      <c r="I2159" s="13" t="n">
        <v>0.6506944444444445</v>
      </c>
      <c r="J2159" s="14" t="n">
        <v>45967.65069444444</v>
      </c>
      <c r="K2159" s="15" t="n">
        <v>8276.610000000001</v>
      </c>
      <c r="L2159" s="4" t="inlineStr">
        <is>
          <t>INR</t>
        </is>
      </c>
      <c r="M2159" s="15" t="n">
        <v>-8276.610000000001</v>
      </c>
      <c r="N2159" s="4" t="inlineStr">
        <is>
          <t>IOS Owner</t>
        </is>
      </c>
      <c r="O2159" s="4" t="n"/>
      <c r="P2159" s="4" t="n"/>
      <c r="Q2159" s="4" t="inlineStr">
        <is>
          <t>MAESTRO-IOS-PERSONAL-LIFE_OPERATIONS-2158 | Repairs | 8276.61</t>
        </is>
      </c>
      <c r="R2159" s="4" t="inlineStr">
        <is>
          <t>iPhone</t>
        </is>
      </c>
      <c r="S2159" s="4" t="inlineStr">
        <is>
          <t>B44</t>
        </is>
      </c>
      <c r="T2159" s="4" t="inlineStr">
        <is>
          <t>RAMP_1501_2500</t>
        </is>
      </c>
      <c r="U2159" s="4" t="inlineStr">
        <is>
          <t>CREATED</t>
        </is>
      </c>
      <c r="V2159" s="4" t="inlineStr">
        <is>
          <t>idem-20260902-ios-2158</t>
        </is>
      </c>
    </row>
    <row r="2160" ht="30" customHeight="1">
      <c r="A2160" s="4" t="n">
        <v>2159</v>
      </c>
      <c r="B2160" s="4" t="inlineStr">
        <is>
          <t>MTR-IOS-2159</t>
        </is>
      </c>
      <c r="C2160" s="4" t="inlineStr">
        <is>
          <t>Group</t>
        </is>
      </c>
      <c r="D2160" s="4" t="inlineStr">
        <is>
          <t>Shared Experience</t>
        </is>
      </c>
      <c r="E2160" s="4" t="inlineStr">
        <is>
          <t>House Party</t>
        </is>
      </c>
      <c r="F2160" s="4" t="inlineStr">
        <is>
          <t>Other</t>
        </is>
      </c>
      <c r="G2160" s="4" t="inlineStr">
        <is>
          <t>Expense</t>
        </is>
      </c>
      <c r="H2160" s="12" t="n">
        <v>46068</v>
      </c>
      <c r="I2160" s="13" t="n">
        <v>0.8775462962962963</v>
      </c>
      <c r="J2160" s="14" t="n">
        <v>46068.87754629629</v>
      </c>
      <c r="K2160" s="15" t="n">
        <v>19743.71</v>
      </c>
      <c r="L2160" s="4" t="inlineStr">
        <is>
          <t>INR</t>
        </is>
      </c>
      <c r="M2160" s="15" t="n">
        <v>-19743.71</v>
      </c>
      <c r="N2160" s="4" t="inlineStr">
        <is>
          <t>IOS Meera</t>
        </is>
      </c>
      <c r="O2160" s="4" t="n">
        <v>3</v>
      </c>
      <c r="P2160" s="4" t="inlineStr">
        <is>
          <t>SHARES</t>
        </is>
      </c>
      <c r="Q2160" s="4" t="inlineStr">
        <is>
          <t>MAESTRO-IOS-GROUP-HOUSE_PARTY-2159 | Other | 19743.71</t>
        </is>
      </c>
      <c r="R2160" s="4" t="inlineStr">
        <is>
          <t>iPhone</t>
        </is>
      </c>
      <c r="S2160" s="4" t="inlineStr">
        <is>
          <t>B44</t>
        </is>
      </c>
      <c r="T2160" s="4" t="inlineStr">
        <is>
          <t>RAMP_1501_2500</t>
        </is>
      </c>
      <c r="U2160" s="4" t="inlineStr">
        <is>
          <t>CREATED</t>
        </is>
      </c>
      <c r="V2160" s="4" t="inlineStr">
        <is>
          <t>idem-20260902-ios-2159</t>
        </is>
      </c>
    </row>
    <row r="2161" ht="30" customHeight="1">
      <c r="A2161" s="4" t="n">
        <v>2160</v>
      </c>
      <c r="B2161" s="4" t="inlineStr">
        <is>
          <t>MTR-IOS-2160</t>
        </is>
      </c>
      <c r="C2161" s="4" t="inlineStr">
        <is>
          <t>Business</t>
        </is>
      </c>
      <c r="D2161" s="4" t="inlineStr">
        <is>
          <t>Business</t>
        </is>
      </c>
      <c r="E2161" s="4" t="inlineStr">
        <is>
          <t>Team Operations</t>
        </is>
      </c>
      <c r="F2161" s="4" t="inlineStr">
        <is>
          <t>Training</t>
        </is>
      </c>
      <c r="G2161" s="4" t="inlineStr">
        <is>
          <t>Expense</t>
        </is>
      </c>
      <c r="H2161" s="12" t="n">
        <v>46048</v>
      </c>
      <c r="I2161" s="13" t="n">
        <v>0.7657754629629629</v>
      </c>
      <c r="J2161" s="14" t="n">
        <v>46048.76577546296</v>
      </c>
      <c r="K2161" s="15" t="n">
        <v>54179.91</v>
      </c>
      <c r="L2161" s="4" t="inlineStr">
        <is>
          <t>INR</t>
        </is>
      </c>
      <c r="M2161" s="15" t="n">
        <v>-54179.91</v>
      </c>
      <c r="N2161" s="4" t="inlineStr">
        <is>
          <t>IOS Owner</t>
        </is>
      </c>
      <c r="O2161" s="4" t="n"/>
      <c r="P2161" s="4" t="n"/>
      <c r="Q2161" s="4" t="inlineStr">
        <is>
          <t>MAESTRO-IOS-BUSINESS-TEAM_OPERATIONS-2160 | Training | 54179.91</t>
        </is>
      </c>
      <c r="R2161" s="4" t="inlineStr">
        <is>
          <t>iPhone</t>
        </is>
      </c>
      <c r="S2161" s="4" t="inlineStr">
        <is>
          <t>B44</t>
        </is>
      </c>
      <c r="T2161" s="4" t="inlineStr">
        <is>
          <t>RAMP_1501_2500</t>
        </is>
      </c>
      <c r="U2161" s="4" t="inlineStr">
        <is>
          <t>CREATED</t>
        </is>
      </c>
      <c r="V2161" s="4" t="inlineStr">
        <is>
          <t>idem-20260902-ios-2160</t>
        </is>
      </c>
    </row>
    <row r="2162" ht="30" customHeight="1">
      <c r="A2162" s="4" t="n">
        <v>2161</v>
      </c>
      <c r="B2162" s="4" t="inlineStr">
        <is>
          <t>MTR-IOS-2161</t>
        </is>
      </c>
      <c r="C2162" s="4" t="inlineStr">
        <is>
          <t>Personal</t>
        </is>
      </c>
      <c r="D2162" s="4" t="inlineStr">
        <is>
          <t>Personal</t>
        </is>
      </c>
      <c r="E2162" s="4" t="inlineStr">
        <is>
          <t>Future Building</t>
        </is>
      </c>
      <c r="F2162" s="4" t="inlineStr">
        <is>
          <t>Savings</t>
        </is>
      </c>
      <c r="G2162" s="4" t="inlineStr">
        <is>
          <t>Transfer</t>
        </is>
      </c>
      <c r="H2162" s="12" t="n">
        <v>46059</v>
      </c>
      <c r="I2162" s="13" t="n">
        <v>0.570324074074074</v>
      </c>
      <c r="J2162" s="14" t="n">
        <v>46059.57032407408</v>
      </c>
      <c r="K2162" s="15" t="n">
        <v>16782.96</v>
      </c>
      <c r="L2162" s="4" t="inlineStr">
        <is>
          <t>INR</t>
        </is>
      </c>
      <c r="M2162" s="15" t="n">
        <v>0</v>
      </c>
      <c r="N2162" s="4" t="inlineStr">
        <is>
          <t>IOS Owner</t>
        </is>
      </c>
      <c r="O2162" s="4" t="n"/>
      <c r="P2162" s="4" t="n"/>
      <c r="Q2162" s="4" t="inlineStr">
        <is>
          <t>MAESTRO-IOS-PERSONAL-FUTURE_BUILDING-2161 | Savings | 16782.96</t>
        </is>
      </c>
      <c r="R2162" s="4" t="inlineStr">
        <is>
          <t>iPhone</t>
        </is>
      </c>
      <c r="S2162" s="4" t="inlineStr">
        <is>
          <t>B44</t>
        </is>
      </c>
      <c r="T2162" s="4" t="inlineStr">
        <is>
          <t>RAMP_1501_2500</t>
        </is>
      </c>
      <c r="U2162" s="4" t="inlineStr">
        <is>
          <t>CREATED</t>
        </is>
      </c>
      <c r="V2162" s="4" t="inlineStr">
        <is>
          <t>idem-20260902-ios-2161</t>
        </is>
      </c>
    </row>
    <row r="2163" ht="30" customHeight="1">
      <c r="A2163" s="4" t="n">
        <v>2162</v>
      </c>
      <c r="B2163" s="4" t="inlineStr">
        <is>
          <t>MTR-IOS-2162</t>
        </is>
      </c>
      <c r="C2163" s="4" t="inlineStr">
        <is>
          <t>Group</t>
        </is>
      </c>
      <c r="D2163" s="4" t="inlineStr">
        <is>
          <t>Shared Purchase</t>
        </is>
      </c>
      <c r="E2163" s="4" t="inlineStr">
        <is>
          <t>Gift Pool</t>
        </is>
      </c>
      <c r="F2163" s="4" t="inlineStr">
        <is>
          <t>Contribution</t>
        </is>
      </c>
      <c r="G2163" s="4" t="inlineStr">
        <is>
          <t>Contribution</t>
        </is>
      </c>
      <c r="H2163" s="12" t="n">
        <v>46043</v>
      </c>
      <c r="I2163" s="13" t="n">
        <v>0.5814930555555555</v>
      </c>
      <c r="J2163" s="14" t="n">
        <v>46043.58149305556</v>
      </c>
      <c r="K2163" s="15" t="n">
        <v>25631.33</v>
      </c>
      <c r="L2163" s="4" t="inlineStr">
        <is>
          <t>INR</t>
        </is>
      </c>
      <c r="M2163" s="15" t="n">
        <v>25631.33</v>
      </c>
      <c r="N2163" s="4" t="inlineStr">
        <is>
          <t>IOS Owner</t>
        </is>
      </c>
      <c r="O2163" s="4" t="n">
        <v>3</v>
      </c>
      <c r="P2163" s="4" t="inlineStr">
        <is>
          <t>EQUAL</t>
        </is>
      </c>
      <c r="Q2163" s="4" t="inlineStr">
        <is>
          <t>MAESTRO-IOS-GROUP-GIFT_POOL-2162 | Contribution | 25631.33</t>
        </is>
      </c>
      <c r="R2163" s="4" t="inlineStr">
        <is>
          <t>iPhone</t>
        </is>
      </c>
      <c r="S2163" s="4" t="inlineStr">
        <is>
          <t>B44</t>
        </is>
      </c>
      <c r="T2163" s="4" t="inlineStr">
        <is>
          <t>RAMP_1501_2500</t>
        </is>
      </c>
      <c r="U2163" s="4" t="inlineStr">
        <is>
          <t>CREATED</t>
        </is>
      </c>
      <c r="V2163" s="4" t="inlineStr">
        <is>
          <t>idem-20260902-ios-2162</t>
        </is>
      </c>
    </row>
    <row r="2164" ht="30" customHeight="1">
      <c r="A2164" s="4" t="n">
        <v>2163</v>
      </c>
      <c r="B2164" s="4" t="inlineStr">
        <is>
          <t>MTR-IOS-2163</t>
        </is>
      </c>
      <c r="C2164" s="4" t="inlineStr">
        <is>
          <t>Business</t>
        </is>
      </c>
      <c r="D2164" s="4" t="inlineStr">
        <is>
          <t>Business</t>
        </is>
      </c>
      <c r="E2164" s="4" t="inlineStr">
        <is>
          <t>Team Operations</t>
        </is>
      </c>
      <c r="F2164" s="4" t="inlineStr">
        <is>
          <t>Tools</t>
        </is>
      </c>
      <c r="G2164" s="4" t="inlineStr">
        <is>
          <t>Expense</t>
        </is>
      </c>
      <c r="H2164" s="12" t="n">
        <v>46178</v>
      </c>
      <c r="I2164" s="13" t="n">
        <v>0.5898958333333333</v>
      </c>
      <c r="J2164" s="14" t="n">
        <v>46178.58989583333</v>
      </c>
      <c r="K2164" s="15" t="n">
        <v>1634.89</v>
      </c>
      <c r="L2164" s="4" t="inlineStr">
        <is>
          <t>INR</t>
        </is>
      </c>
      <c r="M2164" s="15" t="n">
        <v>-1634.89</v>
      </c>
      <c r="N2164" s="4" t="inlineStr">
        <is>
          <t>IOS Owner</t>
        </is>
      </c>
      <c r="O2164" s="4" t="n"/>
      <c r="P2164" s="4" t="n"/>
      <c r="Q2164" s="4" t="inlineStr">
        <is>
          <t>MAESTRO-IOS-BUSINESS-TEAM_OPERATIONS-2163 | Tools | 1634.89</t>
        </is>
      </c>
      <c r="R2164" s="4" t="inlineStr">
        <is>
          <t>iPhone</t>
        </is>
      </c>
      <c r="S2164" s="4" t="inlineStr">
        <is>
          <t>B44</t>
        </is>
      </c>
      <c r="T2164" s="4" t="inlineStr">
        <is>
          <t>RAMP_1501_2500</t>
        </is>
      </c>
      <c r="U2164" s="4" t="inlineStr">
        <is>
          <t>CREATED</t>
        </is>
      </c>
      <c r="V2164" s="4" t="inlineStr">
        <is>
          <t>idem-20260902-ios-2163</t>
        </is>
      </c>
    </row>
    <row r="2165" ht="30" customHeight="1">
      <c r="A2165" s="4" t="n">
        <v>2164</v>
      </c>
      <c r="B2165" s="4" t="inlineStr">
        <is>
          <t>MTR-IOS-2164</t>
        </is>
      </c>
      <c r="C2165" s="4" t="inlineStr">
        <is>
          <t>Personal</t>
        </is>
      </c>
      <c r="D2165" s="4" t="inlineStr">
        <is>
          <t>Personal</t>
        </is>
      </c>
      <c r="E2165" s="4" t="inlineStr">
        <is>
          <t>Future Building</t>
        </is>
      </c>
      <c r="F2165" s="4" t="inlineStr">
        <is>
          <t>Emergency Fund</t>
        </is>
      </c>
      <c r="G2165" s="4" t="inlineStr">
        <is>
          <t>Transfer</t>
        </is>
      </c>
      <c r="H2165" s="12" t="n">
        <v>46242</v>
      </c>
      <c r="I2165" s="13" t="n">
        <v>0.6792939814814815</v>
      </c>
      <c r="J2165" s="14" t="n">
        <v>46242.67929398148</v>
      </c>
      <c r="K2165" s="15" t="n">
        <v>2769.68</v>
      </c>
      <c r="L2165" s="4" t="inlineStr">
        <is>
          <t>INR</t>
        </is>
      </c>
      <c r="M2165" s="15" t="n">
        <v>0</v>
      </c>
      <c r="N2165" s="4" t="inlineStr">
        <is>
          <t>IOS Owner</t>
        </is>
      </c>
      <c r="O2165" s="4" t="n"/>
      <c r="P2165" s="4" t="n"/>
      <c r="Q2165" s="4" t="inlineStr">
        <is>
          <t>MAESTRO-IOS-PERSONAL-FUTURE_BUILDING-2164 | Emergency Fund | 2769.68</t>
        </is>
      </c>
      <c r="R2165" s="4" t="inlineStr">
        <is>
          <t>iPhone</t>
        </is>
      </c>
      <c r="S2165" s="4" t="inlineStr">
        <is>
          <t>B44</t>
        </is>
      </c>
      <c r="T2165" s="4" t="inlineStr">
        <is>
          <t>RAMP_1501_2500</t>
        </is>
      </c>
      <c r="U2165" s="4" t="inlineStr">
        <is>
          <t>CREATED</t>
        </is>
      </c>
      <c r="V2165" s="4" t="inlineStr">
        <is>
          <t>idem-20260902-ios-2164</t>
        </is>
      </c>
    </row>
    <row r="2166" ht="30" customHeight="1">
      <c r="A2166" s="4" t="n">
        <v>2165</v>
      </c>
      <c r="B2166" s="4" t="inlineStr">
        <is>
          <t>MTR-IOS-2165</t>
        </is>
      </c>
      <c r="C2166" s="4" t="inlineStr">
        <is>
          <t>Group</t>
        </is>
      </c>
      <c r="D2166" s="4" t="inlineStr">
        <is>
          <t>Shared Purchase</t>
        </is>
      </c>
      <c r="E2166" s="4" t="inlineStr">
        <is>
          <t>Gift Pool</t>
        </is>
      </c>
      <c r="F2166" s="4" t="inlineStr">
        <is>
          <t>Gift Purchase</t>
        </is>
      </c>
      <c r="G2166" s="4" t="inlineStr">
        <is>
          <t>Expense</t>
        </is>
      </c>
      <c r="H2166" s="12" t="n">
        <v>46079</v>
      </c>
      <c r="I2166" s="13" t="n">
        <v>0.2371643518518519</v>
      </c>
      <c r="J2166" s="14" t="n">
        <v>46079.23716435185</v>
      </c>
      <c r="K2166" s="15" t="n">
        <v>4654.46</v>
      </c>
      <c r="L2166" s="4" t="inlineStr">
        <is>
          <t>INR</t>
        </is>
      </c>
      <c r="M2166" s="15" t="n">
        <v>-4654.46</v>
      </c>
      <c r="N2166" s="4" t="inlineStr">
        <is>
          <t>IOS Aarav</t>
        </is>
      </c>
      <c r="O2166" s="4" t="n">
        <v>3</v>
      </c>
      <c r="P2166" s="4" t="inlineStr">
        <is>
          <t>PERCENTAGE</t>
        </is>
      </c>
      <c r="Q2166" s="4" t="inlineStr">
        <is>
          <t>MAESTRO-IOS-GROUP-GIFT_POOL-2165 | Gift Purchase | 4654.46</t>
        </is>
      </c>
      <c r="R2166" s="4" t="inlineStr">
        <is>
          <t>iPhone</t>
        </is>
      </c>
      <c r="S2166" s="4" t="inlineStr">
        <is>
          <t>B44</t>
        </is>
      </c>
      <c r="T2166" s="4" t="inlineStr">
        <is>
          <t>RAMP_1501_2500</t>
        </is>
      </c>
      <c r="U2166" s="4" t="inlineStr">
        <is>
          <t>CREATED</t>
        </is>
      </c>
      <c r="V2166" s="4" t="inlineStr">
        <is>
          <t>idem-20260902-ios-2165</t>
        </is>
      </c>
    </row>
    <row r="2167" ht="30" customHeight="1">
      <c r="A2167" s="4" t="n">
        <v>2166</v>
      </c>
      <c r="B2167" s="4" t="inlineStr">
        <is>
          <t>MTR-IOS-2166</t>
        </is>
      </c>
      <c r="C2167" s="4" t="inlineStr">
        <is>
          <t>Business</t>
        </is>
      </c>
      <c r="D2167" s="4" t="inlineStr">
        <is>
          <t>Business</t>
        </is>
      </c>
      <c r="E2167" s="4" t="inlineStr">
        <is>
          <t>Business Runway</t>
        </is>
      </c>
      <c r="F2167" s="4" t="inlineStr">
        <is>
          <t>Funding</t>
        </is>
      </c>
      <c r="G2167" s="4" t="inlineStr">
        <is>
          <t>Income</t>
        </is>
      </c>
      <c r="H2167" s="12" t="n">
        <v>46218</v>
      </c>
      <c r="I2167" s="13" t="n">
        <v>0.7220023148148148</v>
      </c>
      <c r="J2167" s="14" t="n">
        <v>46218.72200231482</v>
      </c>
      <c r="K2167" s="15" t="n">
        <v>116069.88</v>
      </c>
      <c r="L2167" s="4" t="inlineStr">
        <is>
          <t>INR</t>
        </is>
      </c>
      <c r="M2167" s="15" t="n">
        <v>116069.88</v>
      </c>
      <c r="N2167" s="4" t="inlineStr">
        <is>
          <t>IOS Owner</t>
        </is>
      </c>
      <c r="O2167" s="4" t="n"/>
      <c r="P2167" s="4" t="n"/>
      <c r="Q2167" s="4" t="inlineStr">
        <is>
          <t>MAESTRO-IOS-BUSINESS-BUSINESS_RUNWAY-2166 | Funding | 116069.88</t>
        </is>
      </c>
      <c r="R2167" s="4" t="inlineStr">
        <is>
          <t>iPhone</t>
        </is>
      </c>
      <c r="S2167" s="4" t="inlineStr">
        <is>
          <t>B44</t>
        </is>
      </c>
      <c r="T2167" s="4" t="inlineStr">
        <is>
          <t>RAMP_1501_2500</t>
        </is>
      </c>
      <c r="U2167" s="4" t="inlineStr">
        <is>
          <t>CREATED</t>
        </is>
      </c>
      <c r="V2167" s="4" t="inlineStr">
        <is>
          <t>idem-20260902-ios-2166</t>
        </is>
      </c>
    </row>
    <row r="2168" ht="30" customHeight="1">
      <c r="A2168" s="4" t="n">
        <v>2167</v>
      </c>
      <c r="B2168" s="4" t="inlineStr">
        <is>
          <t>MTR-IOS-2167</t>
        </is>
      </c>
      <c r="C2168" s="4" t="inlineStr">
        <is>
          <t>Personal</t>
        </is>
      </c>
      <c r="D2168" s="4" t="inlineStr">
        <is>
          <t>Personal</t>
        </is>
      </c>
      <c r="E2168" s="4" t="inlineStr">
        <is>
          <t>Future Building</t>
        </is>
      </c>
      <c r="F2168" s="4" t="inlineStr">
        <is>
          <t>Investments</t>
        </is>
      </c>
      <c r="G2168" s="4" t="inlineStr">
        <is>
          <t>Investment</t>
        </is>
      </c>
      <c r="H2168" s="12" t="n">
        <v>46015</v>
      </c>
      <c r="I2168" s="13" t="n">
        <v>0.2341550925925926</v>
      </c>
      <c r="J2168" s="14" t="n">
        <v>46015.23415509259</v>
      </c>
      <c r="K2168" s="15" t="n">
        <v>13940.6</v>
      </c>
      <c r="L2168" s="4" t="inlineStr">
        <is>
          <t>INR</t>
        </is>
      </c>
      <c r="M2168" s="15" t="n">
        <v>0</v>
      </c>
      <c r="N2168" s="4" t="inlineStr">
        <is>
          <t>IOS Owner</t>
        </is>
      </c>
      <c r="O2168" s="4" t="n"/>
      <c r="P2168" s="4" t="n"/>
      <c r="Q2168" s="4" t="inlineStr">
        <is>
          <t>MAESTRO-IOS-PERSONAL-FUTURE_BUILDING-2167 | Investments | 13940.60</t>
        </is>
      </c>
      <c r="R2168" s="4" t="inlineStr">
        <is>
          <t>iPhone</t>
        </is>
      </c>
      <c r="S2168" s="4" t="inlineStr">
        <is>
          <t>B44</t>
        </is>
      </c>
      <c r="T2168" s="4" t="inlineStr">
        <is>
          <t>RAMP_1501_2500</t>
        </is>
      </c>
      <c r="U2168" s="4" t="inlineStr">
        <is>
          <t>CREATED</t>
        </is>
      </c>
      <c r="V2168" s="4" t="inlineStr">
        <is>
          <t>idem-20260902-ios-2167</t>
        </is>
      </c>
    </row>
    <row r="2169" ht="30" customHeight="1">
      <c r="A2169" s="4" t="n">
        <v>2168</v>
      </c>
      <c r="B2169" s="4" t="inlineStr">
        <is>
          <t>MTR-IOS-2168</t>
        </is>
      </c>
      <c r="C2169" s="4" t="inlineStr">
        <is>
          <t>Group</t>
        </is>
      </c>
      <c r="D2169" s="4" t="inlineStr">
        <is>
          <t>Shared Purchase</t>
        </is>
      </c>
      <c r="E2169" s="4" t="inlineStr">
        <is>
          <t>Gift Pool</t>
        </is>
      </c>
      <c r="F2169" s="4" t="inlineStr">
        <is>
          <t>Delivery</t>
        </is>
      </c>
      <c r="G2169" s="4" t="inlineStr">
        <is>
          <t>Expense</t>
        </is>
      </c>
      <c r="H2169" s="12" t="n">
        <v>46013</v>
      </c>
      <c r="I2169" s="13" t="n">
        <v>0.4073263888888889</v>
      </c>
      <c r="J2169" s="14" t="n">
        <v>46013.40732638889</v>
      </c>
      <c r="K2169" s="15" t="n">
        <v>105.78</v>
      </c>
      <c r="L2169" s="4" t="inlineStr">
        <is>
          <t>INR</t>
        </is>
      </c>
      <c r="M2169" s="15" t="n">
        <v>-105.78</v>
      </c>
      <c r="N2169" s="4" t="inlineStr">
        <is>
          <t>IOS Meera</t>
        </is>
      </c>
      <c r="O2169" s="4" t="n">
        <v>3</v>
      </c>
      <c r="P2169" s="4" t="inlineStr">
        <is>
          <t>EXACT</t>
        </is>
      </c>
      <c r="Q2169" s="4" t="inlineStr">
        <is>
          <t>MAESTRO-IOS-GROUP-GIFT_POOL-2168 | Delivery | 105.78</t>
        </is>
      </c>
      <c r="R2169" s="4" t="inlineStr">
        <is>
          <t>iPhone</t>
        </is>
      </c>
      <c r="S2169" s="4" t="inlineStr">
        <is>
          <t>B44</t>
        </is>
      </c>
      <c r="T2169" s="4" t="inlineStr">
        <is>
          <t>RAMP_1501_2500</t>
        </is>
      </c>
      <c r="U2169" s="4" t="inlineStr">
        <is>
          <t>CREATED</t>
        </is>
      </c>
      <c r="V2169" s="4" t="inlineStr">
        <is>
          <t>idem-20260902-ios-2168</t>
        </is>
      </c>
    </row>
    <row r="2170" ht="30" customHeight="1">
      <c r="A2170" s="4" t="n">
        <v>2169</v>
      </c>
      <c r="B2170" s="4" t="inlineStr">
        <is>
          <t>MTR-IOS-2169</t>
        </is>
      </c>
      <c r="C2170" s="4" t="inlineStr">
        <is>
          <t>Business</t>
        </is>
      </c>
      <c r="D2170" s="4" t="inlineStr">
        <is>
          <t>Business</t>
        </is>
      </c>
      <c r="E2170" s="4" t="inlineStr">
        <is>
          <t>Business Runway</t>
        </is>
      </c>
      <c r="F2170" s="4" t="inlineStr">
        <is>
          <t>Revenue</t>
        </is>
      </c>
      <c r="G2170" s="4" t="inlineStr">
        <is>
          <t>Income</t>
        </is>
      </c>
      <c r="H2170" s="12" t="n">
        <v>45935</v>
      </c>
      <c r="I2170" s="13" t="n">
        <v>0.5483796296296296</v>
      </c>
      <c r="J2170" s="14" t="n">
        <v>45935.54837962963</v>
      </c>
      <c r="K2170" s="15" t="n">
        <v>110769.03</v>
      </c>
      <c r="L2170" s="4" t="inlineStr">
        <is>
          <t>INR</t>
        </is>
      </c>
      <c r="M2170" s="15" t="n">
        <v>110769.03</v>
      </c>
      <c r="N2170" s="4" t="inlineStr">
        <is>
          <t>IOS Owner</t>
        </is>
      </c>
      <c r="O2170" s="4" t="n"/>
      <c r="P2170" s="4" t="n"/>
      <c r="Q2170" s="4" t="inlineStr">
        <is>
          <t>MAESTRO-IOS-BUSINESS-BUSINESS_RUNWAY-2169 | Revenue | 110769.03</t>
        </is>
      </c>
      <c r="R2170" s="4" t="inlineStr">
        <is>
          <t>iPhone</t>
        </is>
      </c>
      <c r="S2170" s="4" t="inlineStr">
        <is>
          <t>B44</t>
        </is>
      </c>
      <c r="T2170" s="4" t="inlineStr">
        <is>
          <t>RAMP_1501_2500</t>
        </is>
      </c>
      <c r="U2170" s="4" t="inlineStr">
        <is>
          <t>CREATED</t>
        </is>
      </c>
      <c r="V2170" s="4" t="inlineStr">
        <is>
          <t>idem-20260902-ios-2169</t>
        </is>
      </c>
    </row>
    <row r="2171" ht="30" customHeight="1">
      <c r="A2171" s="4" t="n">
        <v>2170</v>
      </c>
      <c r="B2171" s="4" t="inlineStr">
        <is>
          <t>MTR-IOS-2170</t>
        </is>
      </c>
      <c r="C2171" s="4" t="inlineStr">
        <is>
          <t>Personal</t>
        </is>
      </c>
      <c r="D2171" s="4" t="inlineStr">
        <is>
          <t>Personal</t>
        </is>
      </c>
      <c r="E2171" s="4" t="inlineStr">
        <is>
          <t>Future Building</t>
        </is>
      </c>
      <c r="F2171" s="4" t="inlineStr">
        <is>
          <t>Education</t>
        </is>
      </c>
      <c r="G2171" s="4" t="inlineStr">
        <is>
          <t>Expense</t>
        </is>
      </c>
      <c r="H2171" s="12" t="n">
        <v>46233</v>
      </c>
      <c r="I2171" s="13" t="n">
        <v>0.3855439814814815</v>
      </c>
      <c r="J2171" s="14" t="n">
        <v>46233.38554398148</v>
      </c>
      <c r="K2171" s="15" t="n">
        <v>14678.39</v>
      </c>
      <c r="L2171" s="4" t="inlineStr">
        <is>
          <t>INR</t>
        </is>
      </c>
      <c r="M2171" s="15" t="n">
        <v>-14678.39</v>
      </c>
      <c r="N2171" s="4" t="inlineStr">
        <is>
          <t>IOS Owner</t>
        </is>
      </c>
      <c r="O2171" s="4" t="n"/>
      <c r="P2171" s="4" t="n"/>
      <c r="Q2171" s="4" t="inlineStr">
        <is>
          <t>MAESTRO-IOS-PERSONAL-FUTURE_BUILDING-2170 | Education | 14678.39</t>
        </is>
      </c>
      <c r="R2171" s="4" t="inlineStr">
        <is>
          <t>iPhone</t>
        </is>
      </c>
      <c r="S2171" s="4" t="inlineStr">
        <is>
          <t>B44</t>
        </is>
      </c>
      <c r="T2171" s="4" t="inlineStr">
        <is>
          <t>RAMP_1501_2500</t>
        </is>
      </c>
      <c r="U2171" s="4" t="inlineStr">
        <is>
          <t>CREATED</t>
        </is>
      </c>
      <c r="V2171" s="4" t="inlineStr">
        <is>
          <t>idem-20260902-ios-2170</t>
        </is>
      </c>
    </row>
    <row r="2172" ht="30" customHeight="1">
      <c r="A2172" s="4" t="n">
        <v>2171</v>
      </c>
      <c r="B2172" s="4" t="inlineStr">
        <is>
          <t>MTR-IOS-2171</t>
        </is>
      </c>
      <c r="C2172" s="4" t="inlineStr">
        <is>
          <t>Group</t>
        </is>
      </c>
      <c r="D2172" s="4" t="inlineStr">
        <is>
          <t>Shared Purchase</t>
        </is>
      </c>
      <c r="E2172" s="4" t="inlineStr">
        <is>
          <t>Gift Pool</t>
        </is>
      </c>
      <c r="F2172" s="4" t="inlineStr">
        <is>
          <t>Other</t>
        </is>
      </c>
      <c r="G2172" s="4" t="inlineStr">
        <is>
          <t>Expense</t>
        </is>
      </c>
      <c r="H2172" s="12" t="n">
        <v>46122</v>
      </c>
      <c r="I2172" s="13" t="n">
        <v>0.7234027777777777</v>
      </c>
      <c r="J2172" s="14" t="n">
        <v>46122.72340277778</v>
      </c>
      <c r="K2172" s="15" t="n">
        <v>23623.64</v>
      </c>
      <c r="L2172" s="4" t="inlineStr">
        <is>
          <t>INR</t>
        </is>
      </c>
      <c r="M2172" s="15" t="n">
        <v>-23623.64</v>
      </c>
      <c r="N2172" s="4" t="inlineStr">
        <is>
          <t>IOS Owner</t>
        </is>
      </c>
      <c r="O2172" s="4" t="n">
        <v>3</v>
      </c>
      <c r="P2172" s="4" t="inlineStr">
        <is>
          <t>SHARES</t>
        </is>
      </c>
      <c r="Q2172" s="4" t="inlineStr">
        <is>
          <t>MAESTRO-IOS-GROUP-GIFT_POOL-2171 | Other | 23623.64</t>
        </is>
      </c>
      <c r="R2172" s="4" t="inlineStr">
        <is>
          <t>iPhone</t>
        </is>
      </c>
      <c r="S2172" s="4" t="inlineStr">
        <is>
          <t>B44</t>
        </is>
      </c>
      <c r="T2172" s="4" t="inlineStr">
        <is>
          <t>RAMP_1501_2500</t>
        </is>
      </c>
      <c r="U2172" s="4" t="inlineStr">
        <is>
          <t>CREATED</t>
        </is>
      </c>
      <c r="V2172" s="4" t="inlineStr">
        <is>
          <t>idem-20260902-ios-2171</t>
        </is>
      </c>
    </row>
    <row r="2173" ht="30" customHeight="1">
      <c r="A2173" s="4" t="n">
        <v>2172</v>
      </c>
      <c r="B2173" s="4" t="inlineStr">
        <is>
          <t>MTR-IOS-2172</t>
        </is>
      </c>
      <c r="C2173" s="4" t="inlineStr">
        <is>
          <t>Business</t>
        </is>
      </c>
      <c r="D2173" s="4" t="inlineStr">
        <is>
          <t>Business</t>
        </is>
      </c>
      <c r="E2173" s="4" t="inlineStr">
        <is>
          <t>Business Runway</t>
        </is>
      </c>
      <c r="F2173" s="4" t="inlineStr">
        <is>
          <t>Burn</t>
        </is>
      </c>
      <c r="G2173" s="4" t="inlineStr">
        <is>
          <t>Expense</t>
        </is>
      </c>
      <c r="H2173" s="12" t="n">
        <v>45986</v>
      </c>
      <c r="I2173" s="13" t="n">
        <v>0.4687037037037037</v>
      </c>
      <c r="J2173" s="14" t="n">
        <v>45986.4687037037</v>
      </c>
      <c r="K2173" s="15" t="n">
        <v>151438.81</v>
      </c>
      <c r="L2173" s="4" t="inlineStr">
        <is>
          <t>INR</t>
        </is>
      </c>
      <c r="M2173" s="15" t="n">
        <v>-151438.81</v>
      </c>
      <c r="N2173" s="4" t="inlineStr">
        <is>
          <t>IOS Owner</t>
        </is>
      </c>
      <c r="O2173" s="4" t="n"/>
      <c r="P2173" s="4" t="n"/>
      <c r="Q2173" s="4" t="inlineStr">
        <is>
          <t>MAESTRO-IOS-BUSINESS-BUSINESS_RUNWAY-2172 | Burn | 151438.81</t>
        </is>
      </c>
      <c r="R2173" s="4" t="inlineStr">
        <is>
          <t>iPhone</t>
        </is>
      </c>
      <c r="S2173" s="4" t="inlineStr">
        <is>
          <t>B44</t>
        </is>
      </c>
      <c r="T2173" s="4" t="inlineStr">
        <is>
          <t>RAMP_1501_2500</t>
        </is>
      </c>
      <c r="U2173" s="4" t="inlineStr">
        <is>
          <t>CREATED</t>
        </is>
      </c>
      <c r="V2173" s="4" t="inlineStr">
        <is>
          <t>idem-20260902-ios-2172</t>
        </is>
      </c>
    </row>
    <row r="2174" ht="30" customHeight="1">
      <c r="A2174" s="4" t="n">
        <v>2173</v>
      </c>
      <c r="B2174" s="4" t="inlineStr">
        <is>
          <t>MTR-IOS-2173</t>
        </is>
      </c>
      <c r="C2174" s="4" t="inlineStr">
        <is>
          <t>Personal</t>
        </is>
      </c>
      <c r="D2174" s="4" t="inlineStr">
        <is>
          <t>Personal</t>
        </is>
      </c>
      <c r="E2174" s="4" t="inlineStr">
        <is>
          <t>Future Building</t>
        </is>
      </c>
      <c r="F2174" s="4" t="inlineStr">
        <is>
          <t>Goal Contribution</t>
        </is>
      </c>
      <c r="G2174" s="4" t="inlineStr">
        <is>
          <t>Transfer</t>
        </is>
      </c>
      <c r="H2174" s="12" t="n">
        <v>46119</v>
      </c>
      <c r="I2174" s="13" t="n">
        <v>0.7989236111111111</v>
      </c>
      <c r="J2174" s="14" t="n">
        <v>46119.79892361111</v>
      </c>
      <c r="K2174" s="15" t="n">
        <v>9999.66</v>
      </c>
      <c r="L2174" s="4" t="inlineStr">
        <is>
          <t>INR</t>
        </is>
      </c>
      <c r="M2174" s="15" t="n">
        <v>0</v>
      </c>
      <c r="N2174" s="4" t="inlineStr">
        <is>
          <t>IOS Owner</t>
        </is>
      </c>
      <c r="O2174" s="4" t="n"/>
      <c r="P2174" s="4" t="n"/>
      <c r="Q2174" s="4" t="inlineStr">
        <is>
          <t>MAESTRO-IOS-PERSONAL-FUTURE_BUILDING-2173 | Goal Contribution | 9999.66</t>
        </is>
      </c>
      <c r="R2174" s="4" t="inlineStr">
        <is>
          <t>iPhone</t>
        </is>
      </c>
      <c r="S2174" s="4" t="inlineStr">
        <is>
          <t>B44</t>
        </is>
      </c>
      <c r="T2174" s="4" t="inlineStr">
        <is>
          <t>RAMP_1501_2500</t>
        </is>
      </c>
      <c r="U2174" s="4" t="inlineStr">
        <is>
          <t>CREATED</t>
        </is>
      </c>
      <c r="V2174" s="4" t="inlineStr">
        <is>
          <t>idem-20260902-ios-2173</t>
        </is>
      </c>
    </row>
    <row r="2175" ht="30" customHeight="1">
      <c r="A2175" s="4" t="n">
        <v>2174</v>
      </c>
      <c r="B2175" s="4" t="inlineStr">
        <is>
          <t>MTR-IOS-2174</t>
        </is>
      </c>
      <c r="C2175" s="4" t="inlineStr">
        <is>
          <t>Group</t>
        </is>
      </c>
      <c r="D2175" s="4" t="inlineStr">
        <is>
          <t>Shared Purchase</t>
        </is>
      </c>
      <c r="E2175" s="4" t="inlineStr">
        <is>
          <t>Purchase</t>
        </is>
      </c>
      <c r="F2175" s="4" t="inlineStr">
        <is>
          <t>Item</t>
        </is>
      </c>
      <c r="G2175" s="4" t="inlineStr">
        <is>
          <t>Expense</t>
        </is>
      </c>
      <c r="H2175" s="12" t="n">
        <v>46125</v>
      </c>
      <c r="I2175" s="13" t="n">
        <v>0.02219907407407407</v>
      </c>
      <c r="J2175" s="14" t="n">
        <v>46125.02219907408</v>
      </c>
      <c r="K2175" s="15" t="n">
        <v>18906.99</v>
      </c>
      <c r="L2175" s="4" t="inlineStr">
        <is>
          <t>INR</t>
        </is>
      </c>
      <c r="M2175" s="15" t="n">
        <v>-18906.99</v>
      </c>
      <c r="N2175" s="4" t="inlineStr">
        <is>
          <t>IOS Aarav</t>
        </is>
      </c>
      <c r="O2175" s="4" t="n">
        <v>3</v>
      </c>
      <c r="P2175" s="4" t="inlineStr">
        <is>
          <t>EQUAL</t>
        </is>
      </c>
      <c r="Q2175" s="4" t="inlineStr">
        <is>
          <t>MAESTRO-IOS-GROUP-PURCHASE-2174 | Item | 18906.99</t>
        </is>
      </c>
      <c r="R2175" s="4" t="inlineStr">
        <is>
          <t>iPhone</t>
        </is>
      </c>
      <c r="S2175" s="4" t="inlineStr">
        <is>
          <t>B44</t>
        </is>
      </c>
      <c r="T2175" s="4" t="inlineStr">
        <is>
          <t>RAMP_1501_2500</t>
        </is>
      </c>
      <c r="U2175" s="4" t="inlineStr">
        <is>
          <t>CREATED</t>
        </is>
      </c>
      <c r="V2175" s="4" t="inlineStr">
        <is>
          <t>idem-20260902-ios-2174</t>
        </is>
      </c>
    </row>
    <row r="2176" ht="30" customHeight="1">
      <c r="A2176" s="4" t="n">
        <v>2175</v>
      </c>
      <c r="B2176" s="4" t="inlineStr">
        <is>
          <t>MTR-IOS-2175</t>
        </is>
      </c>
      <c r="C2176" s="4" t="inlineStr">
        <is>
          <t>Business</t>
        </is>
      </c>
      <c r="D2176" s="4" t="inlineStr">
        <is>
          <t>Business</t>
        </is>
      </c>
      <c r="E2176" s="4" t="inlineStr">
        <is>
          <t>Business Runway</t>
        </is>
      </c>
      <c r="F2176" s="4" t="inlineStr">
        <is>
          <t>Reserve</t>
        </is>
      </c>
      <c r="G2176" s="4" t="inlineStr">
        <is>
          <t>Transfer</t>
        </is>
      </c>
      <c r="H2176" s="12" t="n">
        <v>46234</v>
      </c>
      <c r="I2176" s="13" t="n">
        <v>0.9030208333333334</v>
      </c>
      <c r="J2176" s="14" t="n">
        <v>46234.90302083334</v>
      </c>
      <c r="K2176" s="15" t="n">
        <v>22340.97</v>
      </c>
      <c r="L2176" s="4" t="inlineStr">
        <is>
          <t>INR</t>
        </is>
      </c>
      <c r="M2176" s="15" t="n">
        <v>0</v>
      </c>
      <c r="N2176" s="4" t="inlineStr">
        <is>
          <t>IOS Owner</t>
        </is>
      </c>
      <c r="O2176" s="4" t="n"/>
      <c r="P2176" s="4" t="n"/>
      <c r="Q2176" s="4" t="inlineStr">
        <is>
          <t>MAESTRO-IOS-BUSINESS-BUSINESS_RUNWAY-2175 | Reserve | 22340.97</t>
        </is>
      </c>
      <c r="R2176" s="4" t="inlineStr">
        <is>
          <t>iPhone</t>
        </is>
      </c>
      <c r="S2176" s="4" t="inlineStr">
        <is>
          <t>B44</t>
        </is>
      </c>
      <c r="T2176" s="4" t="inlineStr">
        <is>
          <t>RAMP_1501_2500</t>
        </is>
      </c>
      <c r="U2176" s="4" t="inlineStr">
        <is>
          <t>CREATED</t>
        </is>
      </c>
      <c r="V2176" s="4" t="inlineStr">
        <is>
          <t>idem-20260902-ios-2175</t>
        </is>
      </c>
    </row>
    <row r="2177" ht="30" customHeight="1">
      <c r="A2177" s="4" t="n">
        <v>2176</v>
      </c>
      <c r="B2177" s="4" t="inlineStr">
        <is>
          <t>MTR-IOS-2176</t>
        </is>
      </c>
      <c r="C2177" s="4" t="inlineStr">
        <is>
          <t>Personal</t>
        </is>
      </c>
      <c r="D2177" s="4" t="inlineStr">
        <is>
          <t>Personal</t>
        </is>
      </c>
      <c r="E2177" s="4" t="inlineStr">
        <is>
          <t>Lifestyle</t>
        </is>
      </c>
      <c r="F2177" s="4" t="inlineStr">
        <is>
          <t>Dining</t>
        </is>
      </c>
      <c r="G2177" s="4" t="inlineStr">
        <is>
          <t>Expense</t>
        </is>
      </c>
      <c r="H2177" s="12" t="n">
        <v>46051</v>
      </c>
      <c r="I2177" s="13" t="n">
        <v>0.7216435185185185</v>
      </c>
      <c r="J2177" s="14" t="n">
        <v>46051.72164351852</v>
      </c>
      <c r="K2177" s="15" t="n">
        <v>1966.24</v>
      </c>
      <c r="L2177" s="4" t="inlineStr">
        <is>
          <t>INR</t>
        </is>
      </c>
      <c r="M2177" s="15" t="n">
        <v>-1966.24</v>
      </c>
      <c r="N2177" s="4" t="inlineStr">
        <is>
          <t>IOS Owner</t>
        </is>
      </c>
      <c r="O2177" s="4" t="n"/>
      <c r="P2177" s="4" t="n"/>
      <c r="Q2177" s="4" t="inlineStr">
        <is>
          <t>MAESTRO-IOS-PERSONAL-LIFESTYLE-2176 | Dining | 1966.24</t>
        </is>
      </c>
      <c r="R2177" s="4" t="inlineStr">
        <is>
          <t>iPhone</t>
        </is>
      </c>
      <c r="S2177" s="4" t="inlineStr">
        <is>
          <t>B44</t>
        </is>
      </c>
      <c r="T2177" s="4" t="inlineStr">
        <is>
          <t>RAMP_1501_2500</t>
        </is>
      </c>
      <c r="U2177" s="4" t="inlineStr">
        <is>
          <t>CREATED</t>
        </is>
      </c>
      <c r="V2177" s="4" t="inlineStr">
        <is>
          <t>idem-20260902-ios-2176</t>
        </is>
      </c>
    </row>
    <row r="2178" ht="30" customHeight="1">
      <c r="A2178" s="4" t="n">
        <v>2177</v>
      </c>
      <c r="B2178" s="4" t="inlineStr">
        <is>
          <t>MTR-IOS-2177</t>
        </is>
      </c>
      <c r="C2178" s="4" t="inlineStr">
        <is>
          <t>Group</t>
        </is>
      </c>
      <c r="D2178" s="4" t="inlineStr">
        <is>
          <t>Shared Purchase</t>
        </is>
      </c>
      <c r="E2178" s="4" t="inlineStr">
        <is>
          <t>Purchase</t>
        </is>
      </c>
      <c r="F2178" s="4" t="inlineStr">
        <is>
          <t>Shipping</t>
        </is>
      </c>
      <c r="G2178" s="4" t="inlineStr">
        <is>
          <t>Expense</t>
        </is>
      </c>
      <c r="H2178" s="12" t="n">
        <v>46234</v>
      </c>
      <c r="I2178" s="13" t="n">
        <v>0.5781481481481482</v>
      </c>
      <c r="J2178" s="14" t="n">
        <v>46234.57814814815</v>
      </c>
      <c r="K2178" s="15" t="n">
        <v>6741.32</v>
      </c>
      <c r="L2178" s="4" t="inlineStr">
        <is>
          <t>INR</t>
        </is>
      </c>
      <c r="M2178" s="15" t="n">
        <v>-6741.32</v>
      </c>
      <c r="N2178" s="4" t="inlineStr">
        <is>
          <t>IOS Meera</t>
        </is>
      </c>
      <c r="O2178" s="4" t="n">
        <v>3</v>
      </c>
      <c r="P2178" s="4" t="inlineStr">
        <is>
          <t>PERCENTAGE</t>
        </is>
      </c>
      <c r="Q2178" s="4" t="inlineStr">
        <is>
          <t>MAESTRO-IOS-GROUP-PURCHASE-2177 | Shipping | 6741.32</t>
        </is>
      </c>
      <c r="R2178" s="4" t="inlineStr">
        <is>
          <t>iPhone</t>
        </is>
      </c>
      <c r="S2178" s="4" t="inlineStr">
        <is>
          <t>B44</t>
        </is>
      </c>
      <c r="T2178" s="4" t="inlineStr">
        <is>
          <t>RAMP_1501_2500</t>
        </is>
      </c>
      <c r="U2178" s="4" t="inlineStr">
        <is>
          <t>CREATED</t>
        </is>
      </c>
      <c r="V2178" s="4" t="inlineStr">
        <is>
          <t>idem-20260902-ios-2177</t>
        </is>
      </c>
    </row>
    <row r="2179" ht="30" customHeight="1">
      <c r="A2179" s="4" t="n">
        <v>2178</v>
      </c>
      <c r="B2179" s="4" t="inlineStr">
        <is>
          <t>MTR-IOS-2178</t>
        </is>
      </c>
      <c r="C2179" s="4" t="inlineStr">
        <is>
          <t>Business</t>
        </is>
      </c>
      <c r="D2179" s="4" t="inlineStr">
        <is>
          <t>Business</t>
        </is>
      </c>
      <c r="E2179" s="4" t="inlineStr">
        <is>
          <t>Business Runway</t>
        </is>
      </c>
      <c r="F2179" s="4" t="inlineStr">
        <is>
          <t>Loan</t>
        </is>
      </c>
      <c r="G2179" s="4" t="inlineStr">
        <is>
          <t>Income</t>
        </is>
      </c>
      <c r="H2179" s="12" t="n">
        <v>46127</v>
      </c>
      <c r="I2179" s="13" t="n">
        <v>0.6168287037037037</v>
      </c>
      <c r="J2179" s="14" t="n">
        <v>46127.61682870371</v>
      </c>
      <c r="K2179" s="15" t="n">
        <v>150103.67</v>
      </c>
      <c r="L2179" s="4" t="inlineStr">
        <is>
          <t>INR</t>
        </is>
      </c>
      <c r="M2179" s="15" t="n">
        <v>150103.67</v>
      </c>
      <c r="N2179" s="4" t="inlineStr">
        <is>
          <t>IOS Owner</t>
        </is>
      </c>
      <c r="O2179" s="4" t="n"/>
      <c r="P2179" s="4" t="n"/>
      <c r="Q2179" s="4" t="inlineStr">
        <is>
          <t>MAESTRO-IOS-BUSINESS-BUSINESS_RUNWAY-2178 | Loan | 150103.67</t>
        </is>
      </c>
      <c r="R2179" s="4" t="inlineStr">
        <is>
          <t>iPhone</t>
        </is>
      </c>
      <c r="S2179" s="4" t="inlineStr">
        <is>
          <t>B44</t>
        </is>
      </c>
      <c r="T2179" s="4" t="inlineStr">
        <is>
          <t>RAMP_1501_2500</t>
        </is>
      </c>
      <c r="U2179" s="4" t="inlineStr">
        <is>
          <t>CREATED</t>
        </is>
      </c>
      <c r="V2179" s="4" t="inlineStr">
        <is>
          <t>idem-20260902-ios-2178</t>
        </is>
      </c>
    </row>
    <row r="2180" ht="30" customHeight="1">
      <c r="A2180" s="4" t="n">
        <v>2179</v>
      </c>
      <c r="B2180" s="4" t="inlineStr">
        <is>
          <t>MTR-IOS-2179</t>
        </is>
      </c>
      <c r="C2180" s="4" t="inlineStr">
        <is>
          <t>Personal</t>
        </is>
      </c>
      <c r="D2180" s="4" t="inlineStr">
        <is>
          <t>Personal</t>
        </is>
      </c>
      <c r="E2180" s="4" t="inlineStr">
        <is>
          <t>Lifestyle</t>
        </is>
      </c>
      <c r="F2180" s="4" t="inlineStr">
        <is>
          <t>Shopping</t>
        </is>
      </c>
      <c r="G2180" s="4" t="inlineStr">
        <is>
          <t>Expense</t>
        </is>
      </c>
      <c r="H2180" s="12" t="n">
        <v>46156</v>
      </c>
      <c r="I2180" s="13" t="n">
        <v>0.8361111111111111</v>
      </c>
      <c r="J2180" s="14" t="n">
        <v>46156.83611111111</v>
      </c>
      <c r="K2180" s="15" t="n">
        <v>7783.19</v>
      </c>
      <c r="L2180" s="4" t="inlineStr">
        <is>
          <t>INR</t>
        </is>
      </c>
      <c r="M2180" s="15" t="n">
        <v>-7783.19</v>
      </c>
      <c r="N2180" s="4" t="inlineStr">
        <is>
          <t>IOS Owner</t>
        </is>
      </c>
      <c r="O2180" s="4" t="n"/>
      <c r="P2180" s="4" t="n"/>
      <c r="Q2180" s="4" t="inlineStr">
        <is>
          <t>MAESTRO-IOS-PERSONAL-LIFESTYLE-2179 | Shopping | 7783.19</t>
        </is>
      </c>
      <c r="R2180" s="4" t="inlineStr">
        <is>
          <t>iPhone</t>
        </is>
      </c>
      <c r="S2180" s="4" t="inlineStr">
        <is>
          <t>B44</t>
        </is>
      </c>
      <c r="T2180" s="4" t="inlineStr">
        <is>
          <t>RAMP_1501_2500</t>
        </is>
      </c>
      <c r="U2180" s="4" t="inlineStr">
        <is>
          <t>CREATED</t>
        </is>
      </c>
      <c r="V2180" s="4" t="inlineStr">
        <is>
          <t>idem-20260902-ios-2179</t>
        </is>
      </c>
    </row>
    <row r="2181" ht="30" customHeight="1">
      <c r="A2181" s="4" t="n">
        <v>2180</v>
      </c>
      <c r="B2181" s="4" t="inlineStr">
        <is>
          <t>MTR-IOS-2180</t>
        </is>
      </c>
      <c r="C2181" s="4" t="inlineStr">
        <is>
          <t>Group</t>
        </is>
      </c>
      <c r="D2181" s="4" t="inlineStr">
        <is>
          <t>Shared Purchase</t>
        </is>
      </c>
      <c r="E2181" s="4" t="inlineStr">
        <is>
          <t>Purchase</t>
        </is>
      </c>
      <c r="F2181" s="4" t="inlineStr">
        <is>
          <t>Tax</t>
        </is>
      </c>
      <c r="G2181" s="4" t="inlineStr">
        <is>
          <t>Expense</t>
        </is>
      </c>
      <c r="H2181" s="12" t="n">
        <v>46197</v>
      </c>
      <c r="I2181" s="13" t="n">
        <v>0.1680671296296296</v>
      </c>
      <c r="J2181" s="14" t="n">
        <v>46197.16806712963</v>
      </c>
      <c r="K2181" s="15" t="n">
        <v>752.41</v>
      </c>
      <c r="L2181" s="4" t="inlineStr">
        <is>
          <t>INR</t>
        </is>
      </c>
      <c r="M2181" s="15" t="n">
        <v>-752.41</v>
      </c>
      <c r="N2181" s="4" t="inlineStr">
        <is>
          <t>IOS Owner</t>
        </is>
      </c>
      <c r="O2181" s="4" t="n">
        <v>3</v>
      </c>
      <c r="P2181" s="4" t="inlineStr">
        <is>
          <t>EXACT</t>
        </is>
      </c>
      <c r="Q2181" s="4" t="inlineStr">
        <is>
          <t>MAESTRO-IOS-GROUP-PURCHASE-2180 | Tax | 752.41</t>
        </is>
      </c>
      <c r="R2181" s="4" t="inlineStr">
        <is>
          <t>iPhone</t>
        </is>
      </c>
      <c r="S2181" s="4" t="inlineStr">
        <is>
          <t>B44</t>
        </is>
      </c>
      <c r="T2181" s="4" t="inlineStr">
        <is>
          <t>RAMP_1501_2500</t>
        </is>
      </c>
      <c r="U2181" s="4" t="inlineStr">
        <is>
          <t>CREATED</t>
        </is>
      </c>
      <c r="V2181" s="4" t="inlineStr">
        <is>
          <t>idem-20260902-ios-2180</t>
        </is>
      </c>
    </row>
    <row r="2182" ht="30" customHeight="1">
      <c r="A2182" s="4" t="n">
        <v>2181</v>
      </c>
      <c r="B2182" s="4" t="inlineStr">
        <is>
          <t>MTR-IOS-2181</t>
        </is>
      </c>
      <c r="C2182" s="4" t="inlineStr">
        <is>
          <t>Business</t>
        </is>
      </c>
      <c r="D2182" s="4" t="inlineStr">
        <is>
          <t>Business</t>
        </is>
      </c>
      <c r="E2182" s="4" t="inlineStr">
        <is>
          <t>Business Runway</t>
        </is>
      </c>
      <c r="F2182" s="4" t="inlineStr">
        <is>
          <t>Investment</t>
        </is>
      </c>
      <c r="G2182" s="4" t="inlineStr">
        <is>
          <t>Income</t>
        </is>
      </c>
      <c r="H2182" s="12" t="n">
        <v>46062</v>
      </c>
      <c r="I2182" s="13" t="n">
        <v>0.1755092592592593</v>
      </c>
      <c r="J2182" s="14" t="n">
        <v>46062.17550925926</v>
      </c>
      <c r="K2182" s="15" t="n">
        <v>107259.27</v>
      </c>
      <c r="L2182" s="4" t="inlineStr">
        <is>
          <t>INR</t>
        </is>
      </c>
      <c r="M2182" s="15" t="n">
        <v>107259.27</v>
      </c>
      <c r="N2182" s="4" t="inlineStr">
        <is>
          <t>IOS Owner</t>
        </is>
      </c>
      <c r="O2182" s="4" t="n"/>
      <c r="P2182" s="4" t="n"/>
      <c r="Q2182" s="4" t="inlineStr">
        <is>
          <t>MAESTRO-IOS-BUSINESS-BUSINESS_RUNWAY-2181 | Investment | 107259.27</t>
        </is>
      </c>
      <c r="R2182" s="4" t="inlineStr">
        <is>
          <t>iPhone</t>
        </is>
      </c>
      <c r="S2182" s="4" t="inlineStr">
        <is>
          <t>B44</t>
        </is>
      </c>
      <c r="T2182" s="4" t="inlineStr">
        <is>
          <t>RAMP_1501_2500</t>
        </is>
      </c>
      <c r="U2182" s="4" t="inlineStr">
        <is>
          <t>CREATED</t>
        </is>
      </c>
      <c r="V2182" s="4" t="inlineStr">
        <is>
          <t>idem-20260902-ios-2181</t>
        </is>
      </c>
    </row>
    <row r="2183" ht="30" customHeight="1">
      <c r="A2183" s="4" t="n">
        <v>2182</v>
      </c>
      <c r="B2183" s="4" t="inlineStr">
        <is>
          <t>MTR-IOS-2182</t>
        </is>
      </c>
      <c r="C2183" s="4" t="inlineStr">
        <is>
          <t>Personal</t>
        </is>
      </c>
      <c r="D2183" s="4" t="inlineStr">
        <is>
          <t>Personal</t>
        </is>
      </c>
      <c r="E2183" s="4" t="inlineStr">
        <is>
          <t>Lifestyle</t>
        </is>
      </c>
      <c r="F2183" s="4" t="inlineStr">
        <is>
          <t>Entertainment</t>
        </is>
      </c>
      <c r="G2183" s="4" t="inlineStr">
        <is>
          <t>Expense</t>
        </is>
      </c>
      <c r="H2183" s="12" t="n">
        <v>46238</v>
      </c>
      <c r="I2183" s="13" t="n">
        <v>0.2121990740740741</v>
      </c>
      <c r="J2183" s="14" t="n">
        <v>46238.21219907407</v>
      </c>
      <c r="K2183" s="15" t="n">
        <v>1224.29</v>
      </c>
      <c r="L2183" s="4" t="inlineStr">
        <is>
          <t>INR</t>
        </is>
      </c>
      <c r="M2183" s="15" t="n">
        <v>-1224.29</v>
      </c>
      <c r="N2183" s="4" t="inlineStr">
        <is>
          <t>IOS Owner</t>
        </is>
      </c>
      <c r="O2183" s="4" t="n"/>
      <c r="P2183" s="4" t="n"/>
      <c r="Q2183" s="4" t="inlineStr">
        <is>
          <t>MAESTRO-IOS-PERSONAL-LIFESTYLE-2182 | Entertainment | 1224.29</t>
        </is>
      </c>
      <c r="R2183" s="4" t="inlineStr">
        <is>
          <t>iPhone</t>
        </is>
      </c>
      <c r="S2183" s="4" t="inlineStr">
        <is>
          <t>B44</t>
        </is>
      </c>
      <c r="T2183" s="4" t="inlineStr">
        <is>
          <t>RAMP_1501_2500</t>
        </is>
      </c>
      <c r="U2183" s="4" t="inlineStr">
        <is>
          <t>CREATED</t>
        </is>
      </c>
      <c r="V2183" s="4" t="inlineStr">
        <is>
          <t>idem-20260902-ios-2182</t>
        </is>
      </c>
    </row>
    <row r="2184" ht="30" customHeight="1">
      <c r="A2184" s="4" t="n">
        <v>2183</v>
      </c>
      <c r="B2184" s="4" t="inlineStr">
        <is>
          <t>MTR-IOS-2183</t>
        </is>
      </c>
      <c r="C2184" s="4" t="inlineStr">
        <is>
          <t>Group</t>
        </is>
      </c>
      <c r="D2184" s="4" t="inlineStr">
        <is>
          <t>Shared Purchase</t>
        </is>
      </c>
      <c r="E2184" s="4" t="inlineStr">
        <is>
          <t>Purchase</t>
        </is>
      </c>
      <c r="F2184" s="4" t="inlineStr">
        <is>
          <t>Other</t>
        </is>
      </c>
      <c r="G2184" s="4" t="inlineStr">
        <is>
          <t>Expense</t>
        </is>
      </c>
      <c r="H2184" s="12" t="n">
        <v>46180</v>
      </c>
      <c r="I2184" s="13" t="n">
        <v>0.7258564814814815</v>
      </c>
      <c r="J2184" s="14" t="n">
        <v>46180.72585648148</v>
      </c>
      <c r="K2184" s="15" t="n">
        <v>10000</v>
      </c>
      <c r="L2184" s="4" t="inlineStr">
        <is>
          <t>INR</t>
        </is>
      </c>
      <c r="M2184" s="15" t="n">
        <v>-10000</v>
      </c>
      <c r="N2184" s="4" t="inlineStr">
        <is>
          <t>IOS Aarav</t>
        </is>
      </c>
      <c r="O2184" s="4" t="n">
        <v>3</v>
      </c>
      <c r="P2184" s="4" t="inlineStr">
        <is>
          <t>SHARES</t>
        </is>
      </c>
      <c r="Q2184" s="4" t="inlineStr">
        <is>
          <t>MAESTRO-IOS-GROUP-PURCHASE-2183 | Other | 10000.00</t>
        </is>
      </c>
      <c r="R2184" s="4" t="inlineStr">
        <is>
          <t>iPhone</t>
        </is>
      </c>
      <c r="S2184" s="4" t="inlineStr">
        <is>
          <t>B44</t>
        </is>
      </c>
      <c r="T2184" s="4" t="inlineStr">
        <is>
          <t>RAMP_1501_2500</t>
        </is>
      </c>
      <c r="U2184" s="4" t="inlineStr">
        <is>
          <t>CREATED</t>
        </is>
      </c>
      <c r="V2184" s="4" t="inlineStr">
        <is>
          <t>idem-20260902-ios-2183</t>
        </is>
      </c>
    </row>
    <row r="2185" ht="30" customHeight="1">
      <c r="A2185" s="4" t="n">
        <v>2184</v>
      </c>
      <c r="B2185" s="4" t="inlineStr">
        <is>
          <t>MTR-IOS-2184</t>
        </is>
      </c>
      <c r="C2185" s="4" t="inlineStr">
        <is>
          <t>Business</t>
        </is>
      </c>
      <c r="D2185" s="4" t="inlineStr">
        <is>
          <t>Business</t>
        </is>
      </c>
      <c r="E2185" s="4" t="inlineStr">
        <is>
          <t>Business Operations</t>
        </is>
      </c>
      <c r="F2185" s="4" t="inlineStr">
        <is>
          <t>Software</t>
        </is>
      </c>
      <c r="G2185" s="4" t="inlineStr">
        <is>
          <t>Expense</t>
        </is>
      </c>
      <c r="H2185" s="12" t="n">
        <v>45935</v>
      </c>
      <c r="I2185" s="13" t="n">
        <v>0.01460648148148148</v>
      </c>
      <c r="J2185" s="14" t="n">
        <v>45935.01460648148</v>
      </c>
      <c r="K2185" s="15" t="n">
        <v>75603.46000000001</v>
      </c>
      <c r="L2185" s="4" t="inlineStr">
        <is>
          <t>INR</t>
        </is>
      </c>
      <c r="M2185" s="15" t="n">
        <v>-75603.46000000001</v>
      </c>
      <c r="N2185" s="4" t="inlineStr">
        <is>
          <t>IOS Owner</t>
        </is>
      </c>
      <c r="O2185" s="4" t="n"/>
      <c r="P2185" s="4" t="n"/>
      <c r="Q2185" s="4" t="inlineStr">
        <is>
          <t>MAESTRO-IOS-BUSINESS-BUSINESS_OPERATIONS-2184 | Software | 75603.46</t>
        </is>
      </c>
      <c r="R2185" s="4" t="inlineStr">
        <is>
          <t>iPhone</t>
        </is>
      </c>
      <c r="S2185" s="4" t="inlineStr">
        <is>
          <t>B44</t>
        </is>
      </c>
      <c r="T2185" s="4" t="inlineStr">
        <is>
          <t>RAMP_1501_2500</t>
        </is>
      </c>
      <c r="U2185" s="4" t="inlineStr">
        <is>
          <t>CREATED</t>
        </is>
      </c>
      <c r="V2185" s="4" t="inlineStr">
        <is>
          <t>idem-20260902-ios-2184</t>
        </is>
      </c>
    </row>
    <row r="2186" ht="30" customHeight="1">
      <c r="A2186" s="4" t="n">
        <v>2185</v>
      </c>
      <c r="B2186" s="4" t="inlineStr">
        <is>
          <t>MTR-IOS-2185</t>
        </is>
      </c>
      <c r="C2186" s="4" t="inlineStr">
        <is>
          <t>Personal</t>
        </is>
      </c>
      <c r="D2186" s="4" t="inlineStr">
        <is>
          <t>Personal</t>
        </is>
      </c>
      <c r="E2186" s="4" t="inlineStr">
        <is>
          <t>Lifestyle</t>
        </is>
      </c>
      <c r="F2186" s="4" t="inlineStr">
        <is>
          <t>Travel</t>
        </is>
      </c>
      <c r="G2186" s="4" t="inlineStr">
        <is>
          <t>Expense</t>
        </is>
      </c>
      <c r="H2186" s="12" t="n">
        <v>46172</v>
      </c>
      <c r="I2186" s="13" t="n">
        <v>0.514537037037037</v>
      </c>
      <c r="J2186" s="14" t="n">
        <v>46172.51453703704</v>
      </c>
      <c r="K2186" s="15" t="n">
        <v>10194.35</v>
      </c>
      <c r="L2186" s="4" t="inlineStr">
        <is>
          <t>INR</t>
        </is>
      </c>
      <c r="M2186" s="15" t="n">
        <v>-10194.35</v>
      </c>
      <c r="N2186" s="4" t="inlineStr">
        <is>
          <t>IOS Owner</t>
        </is>
      </c>
      <c r="O2186" s="4" t="n"/>
      <c r="P2186" s="4" t="n"/>
      <c r="Q2186" s="4" t="inlineStr">
        <is>
          <t>MAESTRO-IOS-PERSONAL-LIFESTYLE-2185 | Travel | 10194.35</t>
        </is>
      </c>
      <c r="R2186" s="4" t="inlineStr">
        <is>
          <t>iPhone</t>
        </is>
      </c>
      <c r="S2186" s="4" t="inlineStr">
        <is>
          <t>B44</t>
        </is>
      </c>
      <c r="T2186" s="4" t="inlineStr">
        <is>
          <t>RAMP_1501_2500</t>
        </is>
      </c>
      <c r="U2186" s="4" t="inlineStr">
        <is>
          <t>CREATED</t>
        </is>
      </c>
      <c r="V2186" s="4" t="inlineStr">
        <is>
          <t>idem-20260902-ios-2185</t>
        </is>
      </c>
    </row>
    <row r="2187" ht="30" customHeight="1">
      <c r="A2187" s="4" t="n">
        <v>2186</v>
      </c>
      <c r="B2187" s="4" t="inlineStr">
        <is>
          <t>MTR-IOS-2186</t>
        </is>
      </c>
      <c r="C2187" s="4" t="inlineStr">
        <is>
          <t>Group</t>
        </is>
      </c>
      <c r="D2187" s="4" t="inlineStr">
        <is>
          <t>Shared Purchase</t>
        </is>
      </c>
      <c r="E2187" s="4" t="inlineStr">
        <is>
          <t>Assets</t>
        </is>
      </c>
      <c r="F2187" s="4" t="inlineStr">
        <is>
          <t>Purchase</t>
        </is>
      </c>
      <c r="G2187" s="4" t="inlineStr">
        <is>
          <t>Expense</t>
        </is>
      </c>
      <c r="H2187" s="12" t="n">
        <v>45941</v>
      </c>
      <c r="I2187" s="13" t="n">
        <v>0.7492939814814815</v>
      </c>
      <c r="J2187" s="14" t="n">
        <v>45941.74929398148</v>
      </c>
      <c r="K2187" s="15" t="n">
        <v>131.1</v>
      </c>
      <c r="L2187" s="4" t="inlineStr">
        <is>
          <t>INR</t>
        </is>
      </c>
      <c r="M2187" s="15" t="n">
        <v>-131.1</v>
      </c>
      <c r="N2187" s="4" t="inlineStr">
        <is>
          <t>IOS Meera</t>
        </is>
      </c>
      <c r="O2187" s="4" t="n">
        <v>3</v>
      </c>
      <c r="P2187" s="4" t="inlineStr">
        <is>
          <t>EQUAL</t>
        </is>
      </c>
      <c r="Q2187" s="4" t="inlineStr">
        <is>
          <t>MAESTRO-IOS-GROUP-ASSETS-2186 | Purchase | 131.10</t>
        </is>
      </c>
      <c r="R2187" s="4" t="inlineStr">
        <is>
          <t>iPhone</t>
        </is>
      </c>
      <c r="S2187" s="4" t="inlineStr">
        <is>
          <t>B44</t>
        </is>
      </c>
      <c r="T2187" s="4" t="inlineStr">
        <is>
          <t>RAMP_1501_2500</t>
        </is>
      </c>
      <c r="U2187" s="4" t="inlineStr">
        <is>
          <t>CREATED</t>
        </is>
      </c>
      <c r="V2187" s="4" t="inlineStr">
        <is>
          <t>idem-20260902-ios-2186</t>
        </is>
      </c>
    </row>
    <row r="2188" ht="30" customHeight="1">
      <c r="A2188" s="4" t="n">
        <v>2187</v>
      </c>
      <c r="B2188" s="4" t="inlineStr">
        <is>
          <t>MTR-IOS-2187</t>
        </is>
      </c>
      <c r="C2188" s="4" t="inlineStr">
        <is>
          <t>Business</t>
        </is>
      </c>
      <c r="D2188" s="4" t="inlineStr">
        <is>
          <t>Business</t>
        </is>
      </c>
      <c r="E2188" s="4" t="inlineStr">
        <is>
          <t>Business Operations</t>
        </is>
      </c>
      <c r="F2188" s="4" t="inlineStr">
        <is>
          <t>Rent</t>
        </is>
      </c>
      <c r="G2188" s="4" t="inlineStr">
        <is>
          <t>Expense</t>
        </is>
      </c>
      <c r="H2188" s="12" t="n">
        <v>46189</v>
      </c>
      <c r="I2188" s="13" t="n">
        <v>0.2769560185185185</v>
      </c>
      <c r="J2188" s="14" t="n">
        <v>46189.27695601852</v>
      </c>
      <c r="K2188" s="15" t="n">
        <v>162912.76</v>
      </c>
      <c r="L2188" s="4" t="inlineStr">
        <is>
          <t>INR</t>
        </is>
      </c>
      <c r="M2188" s="15" t="n">
        <v>-162912.76</v>
      </c>
      <c r="N2188" s="4" t="inlineStr">
        <is>
          <t>IOS Owner</t>
        </is>
      </c>
      <c r="O2188" s="4" t="n"/>
      <c r="P2188" s="4" t="n"/>
      <c r="Q2188" s="4" t="inlineStr">
        <is>
          <t>MAESTRO-IOS-BUSINESS-BUSINESS_OPERATIONS-2187 | Rent | 162912.76</t>
        </is>
      </c>
      <c r="R2188" s="4" t="inlineStr">
        <is>
          <t>iPhone</t>
        </is>
      </c>
      <c r="S2188" s="4" t="inlineStr">
        <is>
          <t>B44</t>
        </is>
      </c>
      <c r="T2188" s="4" t="inlineStr">
        <is>
          <t>RAMP_1501_2500</t>
        </is>
      </c>
      <c r="U2188" s="4" t="inlineStr">
        <is>
          <t>CREATED</t>
        </is>
      </c>
      <c r="V2188" s="4" t="inlineStr">
        <is>
          <t>idem-20260902-ios-2187</t>
        </is>
      </c>
    </row>
    <row r="2189" ht="30" customHeight="1">
      <c r="A2189" s="4" t="n">
        <v>2188</v>
      </c>
      <c r="B2189" s="4" t="inlineStr">
        <is>
          <t>MTR-IOS-2188</t>
        </is>
      </c>
      <c r="C2189" s="4" t="inlineStr">
        <is>
          <t>Personal</t>
        </is>
      </c>
      <c r="D2189" s="4" t="inlineStr">
        <is>
          <t>Personal</t>
        </is>
      </c>
      <c r="E2189" s="4" t="inlineStr">
        <is>
          <t>Lifestyle</t>
        </is>
      </c>
      <c r="F2189" s="4" t="inlineStr">
        <is>
          <t>Fitness</t>
        </is>
      </c>
      <c r="G2189" s="4" t="inlineStr">
        <is>
          <t>Expense</t>
        </is>
      </c>
      <c r="H2189" s="12" t="n">
        <v>46077</v>
      </c>
      <c r="I2189" s="13" t="n">
        <v>0.321724537037037</v>
      </c>
      <c r="J2189" s="14" t="n">
        <v>46077.32172453704</v>
      </c>
      <c r="K2189" s="15" t="n">
        <v>17544.23</v>
      </c>
      <c r="L2189" s="4" t="inlineStr">
        <is>
          <t>INR</t>
        </is>
      </c>
      <c r="M2189" s="15" t="n">
        <v>-17544.23</v>
      </c>
      <c r="N2189" s="4" t="inlineStr">
        <is>
          <t>IOS Owner</t>
        </is>
      </c>
      <c r="O2189" s="4" t="n"/>
      <c r="P2189" s="4" t="n"/>
      <c r="Q2189" s="4" t="inlineStr">
        <is>
          <t>MAESTRO-IOS-PERSONAL-LIFESTYLE-2188 | Fitness | 17544.23</t>
        </is>
      </c>
      <c r="R2189" s="4" t="inlineStr">
        <is>
          <t>iPhone</t>
        </is>
      </c>
      <c r="S2189" s="4" t="inlineStr">
        <is>
          <t>B44</t>
        </is>
      </c>
      <c r="T2189" s="4" t="inlineStr">
        <is>
          <t>RAMP_1501_2500</t>
        </is>
      </c>
      <c r="U2189" s="4" t="inlineStr">
        <is>
          <t>CREATED</t>
        </is>
      </c>
      <c r="V2189" s="4" t="inlineStr">
        <is>
          <t>idem-20260902-ios-2188</t>
        </is>
      </c>
    </row>
    <row r="2190" ht="30" customHeight="1">
      <c r="A2190" s="4" t="n">
        <v>2189</v>
      </c>
      <c r="B2190" s="4" t="inlineStr">
        <is>
          <t>MTR-IOS-2189</t>
        </is>
      </c>
      <c r="C2190" s="4" t="inlineStr">
        <is>
          <t>Group</t>
        </is>
      </c>
      <c r="D2190" s="4" t="inlineStr">
        <is>
          <t>Shared Purchase</t>
        </is>
      </c>
      <c r="E2190" s="4" t="inlineStr">
        <is>
          <t>Assets</t>
        </is>
      </c>
      <c r="F2190" s="4" t="inlineStr">
        <is>
          <t>Maintenance</t>
        </is>
      </c>
      <c r="G2190" s="4" t="inlineStr">
        <is>
          <t>Expense</t>
        </is>
      </c>
      <c r="H2190" s="12" t="n">
        <v>46198</v>
      </c>
      <c r="I2190" s="13" t="n">
        <v>0.9979282407407407</v>
      </c>
      <c r="J2190" s="14" t="n">
        <v>46198.99792824074</v>
      </c>
      <c r="K2190" s="15" t="n">
        <v>14475.33</v>
      </c>
      <c r="L2190" s="4" t="inlineStr">
        <is>
          <t>INR</t>
        </is>
      </c>
      <c r="M2190" s="15" t="n">
        <v>-14475.33</v>
      </c>
      <c r="N2190" s="4" t="inlineStr">
        <is>
          <t>IOS Owner</t>
        </is>
      </c>
      <c r="O2190" s="4" t="n">
        <v>3</v>
      </c>
      <c r="P2190" s="4" t="inlineStr">
        <is>
          <t>PERCENTAGE</t>
        </is>
      </c>
      <c r="Q2190" s="4" t="inlineStr">
        <is>
          <t>MAESTRO-IOS-GROUP-ASSETS-2189 | Maintenance | 14475.33</t>
        </is>
      </c>
      <c r="R2190" s="4" t="inlineStr">
        <is>
          <t>iPhone</t>
        </is>
      </c>
      <c r="S2190" s="4" t="inlineStr">
        <is>
          <t>B44</t>
        </is>
      </c>
      <c r="T2190" s="4" t="inlineStr">
        <is>
          <t>RAMP_1501_2500</t>
        </is>
      </c>
      <c r="U2190" s="4" t="inlineStr">
        <is>
          <t>CREATED</t>
        </is>
      </c>
      <c r="V2190" s="4" t="inlineStr">
        <is>
          <t>idem-20260902-ios-2189</t>
        </is>
      </c>
    </row>
    <row r="2191" ht="30" customHeight="1">
      <c r="A2191" s="4" t="n">
        <v>2190</v>
      </c>
      <c r="B2191" s="4" t="inlineStr">
        <is>
          <t>MTR-IOS-2190</t>
        </is>
      </c>
      <c r="C2191" s="4" t="inlineStr">
        <is>
          <t>Business</t>
        </is>
      </c>
      <c r="D2191" s="4" t="inlineStr">
        <is>
          <t>Business</t>
        </is>
      </c>
      <c r="E2191" s="4" t="inlineStr">
        <is>
          <t>Business Operations</t>
        </is>
      </c>
      <c r="F2191" s="4" t="inlineStr">
        <is>
          <t>Marketing</t>
        </is>
      </c>
      <c r="G2191" s="4" t="inlineStr">
        <is>
          <t>Expense</t>
        </is>
      </c>
      <c r="H2191" s="12" t="n">
        <v>46002</v>
      </c>
      <c r="I2191" s="13" t="n">
        <v>0.6775694444444444</v>
      </c>
      <c r="J2191" s="14" t="n">
        <v>46002.67756944444</v>
      </c>
      <c r="K2191" s="15" t="n">
        <v>124607.32</v>
      </c>
      <c r="L2191" s="4" t="inlineStr">
        <is>
          <t>INR</t>
        </is>
      </c>
      <c r="M2191" s="15" t="n">
        <v>-124607.32</v>
      </c>
      <c r="N2191" s="4" t="inlineStr">
        <is>
          <t>IOS Owner</t>
        </is>
      </c>
      <c r="O2191" s="4" t="n"/>
      <c r="P2191" s="4" t="n"/>
      <c r="Q2191" s="4" t="inlineStr">
        <is>
          <t>MAESTRO-IOS-BUSINESS-BUSINESS_OPERATIONS-2190 | Marketing | 124607.32</t>
        </is>
      </c>
      <c r="R2191" s="4" t="inlineStr">
        <is>
          <t>iPhone</t>
        </is>
      </c>
      <c r="S2191" s="4" t="inlineStr">
        <is>
          <t>B44</t>
        </is>
      </c>
      <c r="T2191" s="4" t="inlineStr">
        <is>
          <t>RAMP_1501_2500</t>
        </is>
      </c>
      <c r="U2191" s="4" t="inlineStr">
        <is>
          <t>CREATED</t>
        </is>
      </c>
      <c r="V2191" s="4" t="inlineStr">
        <is>
          <t>idem-20260902-ios-2190</t>
        </is>
      </c>
    </row>
    <row r="2192" ht="30" customHeight="1">
      <c r="A2192" s="4" t="n">
        <v>2191</v>
      </c>
      <c r="B2192" s="4" t="inlineStr">
        <is>
          <t>MTR-IOS-2191</t>
        </is>
      </c>
      <c r="C2192" s="4" t="inlineStr">
        <is>
          <t>Personal</t>
        </is>
      </c>
      <c r="D2192" s="4" t="inlineStr">
        <is>
          <t>Personal</t>
        </is>
      </c>
      <c r="E2192" s="4" t="inlineStr">
        <is>
          <t>Lifestyle</t>
        </is>
      </c>
      <c r="F2192" s="4" t="inlineStr">
        <is>
          <t>Hobbies</t>
        </is>
      </c>
      <c r="G2192" s="4" t="inlineStr">
        <is>
          <t>Expense</t>
        </is>
      </c>
      <c r="H2192" s="12" t="n">
        <v>45927</v>
      </c>
      <c r="I2192" s="13" t="n">
        <v>0.8898032407407407</v>
      </c>
      <c r="J2192" s="14" t="n">
        <v>45927.88980324074</v>
      </c>
      <c r="K2192" s="15" t="n">
        <v>3924.69</v>
      </c>
      <c r="L2192" s="4" t="inlineStr">
        <is>
          <t>INR</t>
        </is>
      </c>
      <c r="M2192" s="15" t="n">
        <v>-3924.69</v>
      </c>
      <c r="N2192" s="4" t="inlineStr">
        <is>
          <t>IOS Owner</t>
        </is>
      </c>
      <c r="O2192" s="4" t="n"/>
      <c r="P2192" s="4" t="n"/>
      <c r="Q2192" s="4" t="inlineStr">
        <is>
          <t>MAESTRO-IOS-PERSONAL-LIFESTYLE-2191 | Hobbies | 3924.69</t>
        </is>
      </c>
      <c r="R2192" s="4" t="inlineStr">
        <is>
          <t>iPhone</t>
        </is>
      </c>
      <c r="S2192" s="4" t="inlineStr">
        <is>
          <t>B44</t>
        </is>
      </c>
      <c r="T2192" s="4" t="inlineStr">
        <is>
          <t>RAMP_1501_2500</t>
        </is>
      </c>
      <c r="U2192" s="4" t="inlineStr">
        <is>
          <t>CREATED</t>
        </is>
      </c>
      <c r="V2192" s="4" t="inlineStr">
        <is>
          <t>idem-20260902-ios-2191</t>
        </is>
      </c>
    </row>
    <row r="2193" ht="30" customHeight="1">
      <c r="A2193" s="4" t="n">
        <v>2192</v>
      </c>
      <c r="B2193" s="4" t="inlineStr">
        <is>
          <t>MTR-IOS-2192</t>
        </is>
      </c>
      <c r="C2193" s="4" t="inlineStr">
        <is>
          <t>Group</t>
        </is>
      </c>
      <c r="D2193" s="4" t="inlineStr">
        <is>
          <t>Shared Purchase</t>
        </is>
      </c>
      <c r="E2193" s="4" t="inlineStr">
        <is>
          <t>Assets</t>
        </is>
      </c>
      <c r="F2193" s="4" t="inlineStr">
        <is>
          <t>Repair</t>
        </is>
      </c>
      <c r="G2193" s="4" t="inlineStr">
        <is>
          <t>Expense</t>
        </is>
      </c>
      <c r="H2193" s="12" t="n">
        <v>46023</v>
      </c>
      <c r="I2193" s="13" t="n">
        <v>0.4818402777777778</v>
      </c>
      <c r="J2193" s="14" t="n">
        <v>46023.48184027777</v>
      </c>
      <c r="K2193" s="15" t="n">
        <v>1534.34</v>
      </c>
      <c r="L2193" s="4" t="inlineStr">
        <is>
          <t>INR</t>
        </is>
      </c>
      <c r="M2193" s="15" t="n">
        <v>-1534.34</v>
      </c>
      <c r="N2193" s="4" t="inlineStr">
        <is>
          <t>IOS Aarav</t>
        </is>
      </c>
      <c r="O2193" s="4" t="n">
        <v>3</v>
      </c>
      <c r="P2193" s="4" t="inlineStr">
        <is>
          <t>EXACT</t>
        </is>
      </c>
      <c r="Q2193" s="4" t="inlineStr">
        <is>
          <t>MAESTRO-IOS-GROUP-ASSETS-2192 | Repair | 1534.34</t>
        </is>
      </c>
      <c r="R2193" s="4" t="inlineStr">
        <is>
          <t>iPhone</t>
        </is>
      </c>
      <c r="S2193" s="4" t="inlineStr">
        <is>
          <t>B44</t>
        </is>
      </c>
      <c r="T2193" s="4" t="inlineStr">
        <is>
          <t>RAMP_1501_2500</t>
        </is>
      </c>
      <c r="U2193" s="4" t="inlineStr">
        <is>
          <t>CREATED</t>
        </is>
      </c>
      <c r="V2193" s="4" t="inlineStr">
        <is>
          <t>idem-20260902-ios-2192</t>
        </is>
      </c>
    </row>
    <row r="2194" ht="30" customHeight="1">
      <c r="A2194" s="4" t="n">
        <v>2193</v>
      </c>
      <c r="B2194" s="4" t="inlineStr">
        <is>
          <t>MTR-IOS-2193</t>
        </is>
      </c>
      <c r="C2194" s="4" t="inlineStr">
        <is>
          <t>Business</t>
        </is>
      </c>
      <c r="D2194" s="4" t="inlineStr">
        <is>
          <t>Business</t>
        </is>
      </c>
      <c r="E2194" s="4" t="inlineStr">
        <is>
          <t>Business Operations</t>
        </is>
      </c>
      <c r="F2194" s="4" t="inlineStr">
        <is>
          <t>Legal</t>
        </is>
      </c>
      <c r="G2194" s="4" t="inlineStr">
        <is>
          <t>Expense</t>
        </is>
      </c>
      <c r="H2194" s="12" t="n">
        <v>45986</v>
      </c>
      <c r="I2194" s="13" t="n">
        <v>0.8976504629629629</v>
      </c>
      <c r="J2194" s="14" t="n">
        <v>45986.89765046296</v>
      </c>
      <c r="K2194" s="15" t="n">
        <v>30646.29</v>
      </c>
      <c r="L2194" s="4" t="inlineStr">
        <is>
          <t>INR</t>
        </is>
      </c>
      <c r="M2194" s="15" t="n">
        <v>-30646.29</v>
      </c>
      <c r="N2194" s="4" t="inlineStr">
        <is>
          <t>IOS Owner</t>
        </is>
      </c>
      <c r="O2194" s="4" t="n"/>
      <c r="P2194" s="4" t="n"/>
      <c r="Q2194" s="4" t="inlineStr">
        <is>
          <t>MAESTRO-IOS-BUSINESS-BUSINESS_OPERATIONS-2193 | Legal | 30646.29</t>
        </is>
      </c>
      <c r="R2194" s="4" t="inlineStr">
        <is>
          <t>iPhone</t>
        </is>
      </c>
      <c r="S2194" s="4" t="inlineStr">
        <is>
          <t>B44</t>
        </is>
      </c>
      <c r="T2194" s="4" t="inlineStr">
        <is>
          <t>RAMP_1501_2500</t>
        </is>
      </c>
      <c r="U2194" s="4" t="inlineStr">
        <is>
          <t>CREATED</t>
        </is>
      </c>
      <c r="V2194" s="4" t="inlineStr">
        <is>
          <t>idem-20260902-ios-2193</t>
        </is>
      </c>
    </row>
    <row r="2195" ht="30" customHeight="1">
      <c r="A2195" s="4" t="n">
        <v>2194</v>
      </c>
      <c r="B2195" s="4" t="inlineStr">
        <is>
          <t>MTR-IOS-2194</t>
        </is>
      </c>
      <c r="C2195" s="4" t="inlineStr">
        <is>
          <t>Personal</t>
        </is>
      </c>
      <c r="D2195" s="4" t="inlineStr">
        <is>
          <t>Personal</t>
        </is>
      </c>
      <c r="E2195" s="4" t="inlineStr">
        <is>
          <t>Relationships</t>
        </is>
      </c>
      <c r="F2195" s="4" t="inlineStr">
        <is>
          <t>Gifts</t>
        </is>
      </c>
      <c r="G2195" s="4" t="inlineStr">
        <is>
          <t>Expense</t>
        </is>
      </c>
      <c r="H2195" s="12" t="n">
        <v>46193</v>
      </c>
      <c r="I2195" s="13" t="n">
        <v>0.8599305555555555</v>
      </c>
      <c r="J2195" s="14" t="n">
        <v>46193.85993055555</v>
      </c>
      <c r="K2195" s="15" t="n">
        <v>11851.23</v>
      </c>
      <c r="L2195" s="4" t="inlineStr">
        <is>
          <t>INR</t>
        </is>
      </c>
      <c r="M2195" s="15" t="n">
        <v>-11851.23</v>
      </c>
      <c r="N2195" s="4" t="inlineStr">
        <is>
          <t>IOS Owner</t>
        </is>
      </c>
      <c r="O2195" s="4" t="n"/>
      <c r="P2195" s="4" t="n"/>
      <c r="Q2195" s="4" t="inlineStr">
        <is>
          <t>MAESTRO-IOS-PERSONAL-RELATIONSHIPS-2194 | Gifts | 11851.23</t>
        </is>
      </c>
      <c r="R2195" s="4" t="inlineStr">
        <is>
          <t>iPhone</t>
        </is>
      </c>
      <c r="S2195" s="4" t="inlineStr">
        <is>
          <t>B44</t>
        </is>
      </c>
      <c r="T2195" s="4" t="inlineStr">
        <is>
          <t>RAMP_1501_2500</t>
        </is>
      </c>
      <c r="U2195" s="4" t="inlineStr">
        <is>
          <t>CREATED</t>
        </is>
      </c>
      <c r="V2195" s="4" t="inlineStr">
        <is>
          <t>idem-20260902-ios-2194</t>
        </is>
      </c>
    </row>
    <row r="2196" ht="30" customHeight="1">
      <c r="A2196" s="4" t="n">
        <v>2195</v>
      </c>
      <c r="B2196" s="4" t="inlineStr">
        <is>
          <t>MTR-IOS-2195</t>
        </is>
      </c>
      <c r="C2196" s="4" t="inlineStr">
        <is>
          <t>Group</t>
        </is>
      </c>
      <c r="D2196" s="4" t="inlineStr">
        <is>
          <t>Shared Purchase</t>
        </is>
      </c>
      <c r="E2196" s="4" t="inlineStr">
        <is>
          <t>Assets</t>
        </is>
      </c>
      <c r="F2196" s="4" t="inlineStr">
        <is>
          <t>Insurance</t>
        </is>
      </c>
      <c r="G2196" s="4" t="inlineStr">
        <is>
          <t>Expense</t>
        </is>
      </c>
      <c r="H2196" s="12" t="n">
        <v>46245</v>
      </c>
      <c r="I2196" s="13" t="n">
        <v>0.6367476851851852</v>
      </c>
      <c r="J2196" s="14" t="n">
        <v>46245.63674768519</v>
      </c>
      <c r="K2196" s="15" t="n">
        <v>8104.27</v>
      </c>
      <c r="L2196" s="4" t="inlineStr">
        <is>
          <t>INR</t>
        </is>
      </c>
      <c r="M2196" s="15" t="n">
        <v>-8104.27</v>
      </c>
      <c r="N2196" s="4" t="inlineStr">
        <is>
          <t>IOS Meera</t>
        </is>
      </c>
      <c r="O2196" s="4" t="n">
        <v>3</v>
      </c>
      <c r="P2196" s="4" t="inlineStr">
        <is>
          <t>SHARES</t>
        </is>
      </c>
      <c r="Q2196" s="4" t="inlineStr">
        <is>
          <t>MAESTRO-IOS-GROUP-ASSETS-2195 | Insurance | 8104.27</t>
        </is>
      </c>
      <c r="R2196" s="4" t="inlineStr">
        <is>
          <t>iPhone</t>
        </is>
      </c>
      <c r="S2196" s="4" t="inlineStr">
        <is>
          <t>B44</t>
        </is>
      </c>
      <c r="T2196" s="4" t="inlineStr">
        <is>
          <t>RAMP_1501_2500</t>
        </is>
      </c>
      <c r="U2196" s="4" t="inlineStr">
        <is>
          <t>CREATED</t>
        </is>
      </c>
      <c r="V2196" s="4" t="inlineStr">
        <is>
          <t>idem-20260902-ios-2195</t>
        </is>
      </c>
    </row>
    <row r="2197" ht="30" customHeight="1">
      <c r="A2197" s="4" t="n">
        <v>2196</v>
      </c>
      <c r="B2197" s="4" t="inlineStr">
        <is>
          <t>MTR-IOS-2196</t>
        </is>
      </c>
      <c r="C2197" s="4" t="inlineStr">
        <is>
          <t>Business</t>
        </is>
      </c>
      <c r="D2197" s="4" t="inlineStr">
        <is>
          <t>Business</t>
        </is>
      </c>
      <c r="E2197" s="4" t="inlineStr">
        <is>
          <t>Business Operations</t>
        </is>
      </c>
      <c r="F2197" s="4" t="inlineStr">
        <is>
          <t>Accounting</t>
        </is>
      </c>
      <c r="G2197" s="4" t="inlineStr">
        <is>
          <t>Expense</t>
        </is>
      </c>
      <c r="H2197" s="12" t="n">
        <v>46257</v>
      </c>
      <c r="I2197" s="13" t="n">
        <v>0.2444907407407407</v>
      </c>
      <c r="J2197" s="14" t="n">
        <v>46257.24449074074</v>
      </c>
      <c r="K2197" s="15" t="n">
        <v>12804.86</v>
      </c>
      <c r="L2197" s="4" t="inlineStr">
        <is>
          <t>INR</t>
        </is>
      </c>
      <c r="M2197" s="15" t="n">
        <v>-12804.86</v>
      </c>
      <c r="N2197" s="4" t="inlineStr">
        <is>
          <t>IOS Owner</t>
        </is>
      </c>
      <c r="O2197" s="4" t="n"/>
      <c r="P2197" s="4" t="n"/>
      <c r="Q2197" s="4" t="inlineStr">
        <is>
          <t>MAESTRO-IOS-BUSINESS-BUSINESS_OPERATIONS-2196 | Accounting | 12804.86</t>
        </is>
      </c>
      <c r="R2197" s="4" t="inlineStr">
        <is>
          <t>iPhone</t>
        </is>
      </c>
      <c r="S2197" s="4" t="inlineStr">
        <is>
          <t>B44</t>
        </is>
      </c>
      <c r="T2197" s="4" t="inlineStr">
        <is>
          <t>RAMP_1501_2500</t>
        </is>
      </c>
      <c r="U2197" s="4" t="inlineStr">
        <is>
          <t>CREATED</t>
        </is>
      </c>
      <c r="V2197" s="4" t="inlineStr">
        <is>
          <t>idem-20260902-ios-2196</t>
        </is>
      </c>
    </row>
    <row r="2198" ht="30" customHeight="1">
      <c r="A2198" s="4" t="n">
        <v>2197</v>
      </c>
      <c r="B2198" s="4" t="inlineStr">
        <is>
          <t>MTR-IOS-2197</t>
        </is>
      </c>
      <c r="C2198" s="4" t="inlineStr">
        <is>
          <t>Personal</t>
        </is>
      </c>
      <c r="D2198" s="4" t="inlineStr">
        <is>
          <t>Personal</t>
        </is>
      </c>
      <c r="E2198" s="4" t="inlineStr">
        <is>
          <t>Relationships</t>
        </is>
      </c>
      <c r="F2198" s="4" t="inlineStr">
        <is>
          <t>Dates</t>
        </is>
      </c>
      <c r="G2198" s="4" t="inlineStr">
        <is>
          <t>Expense</t>
        </is>
      </c>
      <c r="H2198" s="12" t="n">
        <v>46192</v>
      </c>
      <c r="I2198" s="13" t="n">
        <v>0.5917013888888889</v>
      </c>
      <c r="J2198" s="14" t="n">
        <v>46192.59170138889</v>
      </c>
      <c r="K2198" s="15" t="n">
        <v>2855.95</v>
      </c>
      <c r="L2198" s="4" t="inlineStr">
        <is>
          <t>INR</t>
        </is>
      </c>
      <c r="M2198" s="15" t="n">
        <v>-2855.95</v>
      </c>
      <c r="N2198" s="4" t="inlineStr">
        <is>
          <t>IOS Owner</t>
        </is>
      </c>
      <c r="O2198" s="4" t="n"/>
      <c r="P2198" s="4" t="n"/>
      <c r="Q2198" s="4" t="inlineStr">
        <is>
          <t>MAESTRO-IOS-PERSONAL-RELATIONSHIPS-2197 | Dates | 2855.95</t>
        </is>
      </c>
      <c r="R2198" s="4" t="inlineStr">
        <is>
          <t>iPhone</t>
        </is>
      </c>
      <c r="S2198" s="4" t="inlineStr">
        <is>
          <t>B44</t>
        </is>
      </c>
      <c r="T2198" s="4" t="inlineStr">
        <is>
          <t>RAMP_1501_2500</t>
        </is>
      </c>
      <c r="U2198" s="4" t="inlineStr">
        <is>
          <t>CREATED</t>
        </is>
      </c>
      <c r="V2198" s="4" t="inlineStr">
        <is>
          <t>idem-20260902-ios-2197</t>
        </is>
      </c>
    </row>
    <row r="2199" ht="30" customHeight="1">
      <c r="A2199" s="4" t="n">
        <v>2198</v>
      </c>
      <c r="B2199" s="4" t="inlineStr">
        <is>
          <t>MTR-IOS-2198</t>
        </is>
      </c>
      <c r="C2199" s="4" t="inlineStr">
        <is>
          <t>Group</t>
        </is>
      </c>
      <c r="D2199" s="4" t="inlineStr">
        <is>
          <t>Shared Purchase</t>
        </is>
      </c>
      <c r="E2199" s="4" t="inlineStr">
        <is>
          <t>Assets</t>
        </is>
      </c>
      <c r="F2199" s="4" t="inlineStr">
        <is>
          <t>Other</t>
        </is>
      </c>
      <c r="G2199" s="4" t="inlineStr">
        <is>
          <t>Expense</t>
        </is>
      </c>
      <c r="H2199" s="12" t="n">
        <v>46086</v>
      </c>
      <c r="I2199" s="13" t="n">
        <v>0.9353356481481482</v>
      </c>
      <c r="J2199" s="14" t="n">
        <v>46086.93533564815</v>
      </c>
      <c r="K2199" s="15" t="n">
        <v>5267.78</v>
      </c>
      <c r="L2199" s="4" t="inlineStr">
        <is>
          <t>INR</t>
        </is>
      </c>
      <c r="M2199" s="15" t="n">
        <v>-5267.78</v>
      </c>
      <c r="N2199" s="4" t="inlineStr">
        <is>
          <t>IOS Owner</t>
        </is>
      </c>
      <c r="O2199" s="4" t="n">
        <v>3</v>
      </c>
      <c r="P2199" s="4" t="inlineStr">
        <is>
          <t>EQUAL</t>
        </is>
      </c>
      <c r="Q2199" s="4" t="inlineStr">
        <is>
          <t>MAESTRO-IOS-GROUP-ASSETS-2198 | Other | 5267.78</t>
        </is>
      </c>
      <c r="R2199" s="4" t="inlineStr">
        <is>
          <t>iPhone</t>
        </is>
      </c>
      <c r="S2199" s="4" t="inlineStr">
        <is>
          <t>B44</t>
        </is>
      </c>
      <c r="T2199" s="4" t="inlineStr">
        <is>
          <t>RAMP_1501_2500</t>
        </is>
      </c>
      <c r="U2199" s="4" t="inlineStr">
        <is>
          <t>CREATED</t>
        </is>
      </c>
      <c r="V2199" s="4" t="inlineStr">
        <is>
          <t>idem-20260902-ios-2198</t>
        </is>
      </c>
    </row>
    <row r="2200" ht="30" customHeight="1">
      <c r="A2200" s="4" t="n">
        <v>2199</v>
      </c>
      <c r="B2200" s="4" t="inlineStr">
        <is>
          <t>MTR-IOS-2199</t>
        </is>
      </c>
      <c r="C2200" s="4" t="inlineStr">
        <is>
          <t>Business</t>
        </is>
      </c>
      <c r="D2200" s="4" t="inlineStr">
        <is>
          <t>Business</t>
        </is>
      </c>
      <c r="E2200" s="4" t="inlineStr">
        <is>
          <t>Business Operations</t>
        </is>
      </c>
      <c r="F2200" s="4" t="inlineStr">
        <is>
          <t>Equipment</t>
        </is>
      </c>
      <c r="G2200" s="4" t="inlineStr">
        <is>
          <t>Expense</t>
        </is>
      </c>
      <c r="H2200" s="12" t="n">
        <v>46258</v>
      </c>
      <c r="I2200" s="13" t="n">
        <v>0.2251388888888889</v>
      </c>
      <c r="J2200" s="14" t="n">
        <v>46258.22513888889</v>
      </c>
      <c r="K2200" s="15" t="n">
        <v>41207.12</v>
      </c>
      <c r="L2200" s="4" t="inlineStr">
        <is>
          <t>INR</t>
        </is>
      </c>
      <c r="M2200" s="15" t="n">
        <v>-41207.12</v>
      </c>
      <c r="N2200" s="4" t="inlineStr">
        <is>
          <t>IOS Owner</t>
        </is>
      </c>
      <c r="O2200" s="4" t="n"/>
      <c r="P2200" s="4" t="n"/>
      <c r="Q2200" s="4" t="inlineStr">
        <is>
          <t>MAESTRO-IOS-BUSINESS-BUSINESS_OPERATIONS-2199 | Equipment | 41207.12</t>
        </is>
      </c>
      <c r="R2200" s="4" t="inlineStr">
        <is>
          <t>iPhone</t>
        </is>
      </c>
      <c r="S2200" s="4" t="inlineStr">
        <is>
          <t>B44</t>
        </is>
      </c>
      <c r="T2200" s="4" t="inlineStr">
        <is>
          <t>RAMP_1501_2500</t>
        </is>
      </c>
      <c r="U2200" s="4" t="inlineStr">
        <is>
          <t>CREATED</t>
        </is>
      </c>
      <c r="V2200" s="4" t="inlineStr">
        <is>
          <t>idem-20260902-ios-2199</t>
        </is>
      </c>
    </row>
    <row r="2201" ht="30" customHeight="1">
      <c r="A2201" s="4" t="n">
        <v>2200</v>
      </c>
      <c r="B2201" s="4" t="inlineStr">
        <is>
          <t>MTR-IOS-2200</t>
        </is>
      </c>
      <c r="C2201" s="4" t="inlineStr">
        <is>
          <t>Personal</t>
        </is>
      </c>
      <c r="D2201" s="4" t="inlineStr">
        <is>
          <t>Personal</t>
        </is>
      </c>
      <c r="E2201" s="4" t="inlineStr">
        <is>
          <t>Relationships</t>
        </is>
      </c>
      <c r="F2201" s="4" t="inlineStr">
        <is>
          <t>Family</t>
        </is>
      </c>
      <c r="G2201" s="4" t="inlineStr">
        <is>
          <t>Expense</t>
        </is>
      </c>
      <c r="H2201" s="12" t="n">
        <v>46253</v>
      </c>
      <c r="I2201" s="13" t="n">
        <v>0.9147106481481482</v>
      </c>
      <c r="J2201" s="14" t="n">
        <v>46253.91471064815</v>
      </c>
      <c r="K2201" s="15" t="n">
        <v>17690.02</v>
      </c>
      <c r="L2201" s="4" t="inlineStr">
        <is>
          <t>INR</t>
        </is>
      </c>
      <c r="M2201" s="15" t="n">
        <v>-17690.02</v>
      </c>
      <c r="N2201" s="4" t="inlineStr">
        <is>
          <t>IOS Owner</t>
        </is>
      </c>
      <c r="O2201" s="4" t="n"/>
      <c r="P2201" s="4" t="n"/>
      <c r="Q2201" s="4" t="inlineStr">
        <is>
          <t>MAESTRO-IOS-PERSONAL-RELATIONSHIPS-2200 | Family | 17690.02</t>
        </is>
      </c>
      <c r="R2201" s="4" t="inlineStr">
        <is>
          <t>iPhone</t>
        </is>
      </c>
      <c r="S2201" s="4" t="inlineStr">
        <is>
          <t>B44</t>
        </is>
      </c>
      <c r="T2201" s="4" t="inlineStr">
        <is>
          <t>RAMP_1501_2500</t>
        </is>
      </c>
      <c r="U2201" s="4" t="inlineStr">
        <is>
          <t>CREATED</t>
        </is>
      </c>
      <c r="V2201" s="4" t="inlineStr">
        <is>
          <t>idem-20260902-ios-2200</t>
        </is>
      </c>
    </row>
    <row r="2202" ht="30" customHeight="1">
      <c r="A2202" s="4" t="n">
        <v>2201</v>
      </c>
      <c r="B2202" s="4" t="inlineStr">
        <is>
          <t>MTR-IOS-2201</t>
        </is>
      </c>
      <c r="C2202" s="4" t="inlineStr">
        <is>
          <t>Group</t>
        </is>
      </c>
      <c r="D2202" s="4" t="inlineStr">
        <is>
          <t>Shared Purchase</t>
        </is>
      </c>
      <c r="E2202" s="4" t="inlineStr">
        <is>
          <t>Custom Purchase</t>
        </is>
      </c>
      <c r="F2202" s="4" t="inlineStr">
        <is>
          <t>Custom Expense</t>
        </is>
      </c>
      <c r="G2202" s="4" t="inlineStr">
        <is>
          <t>Expense</t>
        </is>
      </c>
      <c r="H2202" s="12" t="n">
        <v>45951</v>
      </c>
      <c r="I2202" s="13" t="n">
        <v>0.1420601851851852</v>
      </c>
      <c r="J2202" s="14" t="n">
        <v>45951.14206018519</v>
      </c>
      <c r="K2202" s="15" t="n">
        <v>13524.05</v>
      </c>
      <c r="L2202" s="4" t="inlineStr">
        <is>
          <t>INR</t>
        </is>
      </c>
      <c r="M2202" s="15" t="n">
        <v>-13524.05</v>
      </c>
      <c r="N2202" s="4" t="inlineStr">
        <is>
          <t>IOS Aarav</t>
        </is>
      </c>
      <c r="O2202" s="4" t="n">
        <v>3</v>
      </c>
      <c r="P2202" s="4" t="inlineStr">
        <is>
          <t>PERCENTAGE</t>
        </is>
      </c>
      <c r="Q2202" s="4" t="inlineStr">
        <is>
          <t>MAESTRO-IOS-GROUP-CUSTOM_PURCHASE-2201 | Custom Expense | 13524.05</t>
        </is>
      </c>
      <c r="R2202" s="4" t="inlineStr">
        <is>
          <t>iPhone</t>
        </is>
      </c>
      <c r="S2202" s="4" t="inlineStr">
        <is>
          <t>B45</t>
        </is>
      </c>
      <c r="T2202" s="4" t="inlineStr">
        <is>
          <t>RAMP_1501_2500</t>
        </is>
      </c>
      <c r="U2202" s="4" t="inlineStr">
        <is>
          <t>CREATED</t>
        </is>
      </c>
      <c r="V2202" s="4" t="inlineStr">
        <is>
          <t>idem-20260902-ios-2201</t>
        </is>
      </c>
    </row>
    <row r="2203" ht="30" customHeight="1">
      <c r="A2203" s="4" t="n">
        <v>2202</v>
      </c>
      <c r="B2203" s="4" t="inlineStr">
        <is>
          <t>MTR-IOS-2202</t>
        </is>
      </c>
      <c r="C2203" s="4" t="inlineStr">
        <is>
          <t>Business</t>
        </is>
      </c>
      <c r="D2203" s="4" t="inlineStr">
        <is>
          <t>Business</t>
        </is>
      </c>
      <c r="E2203" s="4" t="inlineStr">
        <is>
          <t>Business Operations</t>
        </is>
      </c>
      <c r="F2203" s="4" t="inlineStr">
        <is>
          <t>Vendor</t>
        </is>
      </c>
      <c r="G2203" s="4" t="inlineStr">
        <is>
          <t>Expense</t>
        </is>
      </c>
      <c r="H2203" s="12" t="n">
        <v>45973</v>
      </c>
      <c r="I2203" s="13" t="n">
        <v>0.5002314814814814</v>
      </c>
      <c r="J2203" s="14" t="n">
        <v>45973.50023148148</v>
      </c>
      <c r="K2203" s="15" t="n">
        <v>146739.45</v>
      </c>
      <c r="L2203" s="4" t="inlineStr">
        <is>
          <t>INR</t>
        </is>
      </c>
      <c r="M2203" s="15" t="n">
        <v>-146739.45</v>
      </c>
      <c r="N2203" s="4" t="inlineStr">
        <is>
          <t>IOS Owner</t>
        </is>
      </c>
      <c r="O2203" s="4" t="n"/>
      <c r="P2203" s="4" t="n"/>
      <c r="Q2203" s="4" t="inlineStr">
        <is>
          <t>MAESTRO-IOS-BUSINESS-BUSINESS_OPERATIONS-2202 | Vendor | 146739.45</t>
        </is>
      </c>
      <c r="R2203" s="4" t="inlineStr">
        <is>
          <t>iPhone</t>
        </is>
      </c>
      <c r="S2203" s="4" t="inlineStr">
        <is>
          <t>B45</t>
        </is>
      </c>
      <c r="T2203" s="4" t="inlineStr">
        <is>
          <t>RAMP_1501_2500</t>
        </is>
      </c>
      <c r="U2203" s="4" t="inlineStr">
        <is>
          <t>CREATED</t>
        </is>
      </c>
      <c r="V2203" s="4" t="inlineStr">
        <is>
          <t>idem-20260902-ios-2202</t>
        </is>
      </c>
    </row>
    <row r="2204" ht="30" customHeight="1">
      <c r="A2204" s="4" t="n">
        <v>2203</v>
      </c>
      <c r="B2204" s="4" t="inlineStr">
        <is>
          <t>MTR-IOS-2203</t>
        </is>
      </c>
      <c r="C2204" s="4" t="inlineStr">
        <is>
          <t>Personal</t>
        </is>
      </c>
      <c r="D2204" s="4" t="inlineStr">
        <is>
          <t>Personal</t>
        </is>
      </c>
      <c r="E2204" s="4" t="inlineStr">
        <is>
          <t>Relationships</t>
        </is>
      </c>
      <c r="F2204" s="4" t="inlineStr">
        <is>
          <t>Friends</t>
        </is>
      </c>
      <c r="G2204" s="4" t="inlineStr">
        <is>
          <t>Expense</t>
        </is>
      </c>
      <c r="H2204" s="12" t="n">
        <v>45961</v>
      </c>
      <c r="I2204" s="13" t="n">
        <v>0.110474537037037</v>
      </c>
      <c r="J2204" s="14" t="n">
        <v>45961.11047453704</v>
      </c>
      <c r="K2204" s="15" t="n">
        <v>2115.4</v>
      </c>
      <c r="L2204" s="4" t="inlineStr">
        <is>
          <t>INR</t>
        </is>
      </c>
      <c r="M2204" s="15" t="n">
        <v>-2115.4</v>
      </c>
      <c r="N2204" s="4" t="inlineStr">
        <is>
          <t>IOS Owner</t>
        </is>
      </c>
      <c r="O2204" s="4" t="n"/>
      <c r="P2204" s="4" t="n"/>
      <c r="Q2204" s="4" t="inlineStr">
        <is>
          <t>MAESTRO-IOS-PERSONAL-RELATIONSHIPS-2203 | Friends | 2115.40</t>
        </is>
      </c>
      <c r="R2204" s="4" t="inlineStr">
        <is>
          <t>iPhone</t>
        </is>
      </c>
      <c r="S2204" s="4" t="inlineStr">
        <is>
          <t>B45</t>
        </is>
      </c>
      <c r="T2204" s="4" t="inlineStr">
        <is>
          <t>RAMP_1501_2500</t>
        </is>
      </c>
      <c r="U2204" s="4" t="inlineStr">
        <is>
          <t>CREATED</t>
        </is>
      </c>
      <c r="V2204" s="4" t="inlineStr">
        <is>
          <t>idem-20260902-ios-2203</t>
        </is>
      </c>
    </row>
    <row r="2205" ht="30" customHeight="1">
      <c r="A2205" s="4" t="n">
        <v>2204</v>
      </c>
      <c r="B2205" s="4" t="inlineStr">
        <is>
          <t>MTR-IOS-2204</t>
        </is>
      </c>
      <c r="C2205" s="4" t="inlineStr">
        <is>
          <t>Group</t>
        </is>
      </c>
      <c r="D2205" s="4" t="inlineStr">
        <is>
          <t>Shared Purchase</t>
        </is>
      </c>
      <c r="E2205" s="4" t="inlineStr">
        <is>
          <t>Custom Purchase</t>
        </is>
      </c>
      <c r="F2205" s="4" t="inlineStr">
        <is>
          <t>Custom Contribution</t>
        </is>
      </c>
      <c r="G2205" s="4" t="inlineStr">
        <is>
          <t>Contribution</t>
        </is>
      </c>
      <c r="H2205" s="12" t="n">
        <v>46156</v>
      </c>
      <c r="I2205" s="13" t="n">
        <v>0.04033564814814815</v>
      </c>
      <c r="J2205" s="14" t="n">
        <v>46156.04033564815</v>
      </c>
      <c r="K2205" s="15" t="n">
        <v>14680.63</v>
      </c>
      <c r="L2205" s="4" t="inlineStr">
        <is>
          <t>INR</t>
        </is>
      </c>
      <c r="M2205" s="15" t="n">
        <v>14680.63</v>
      </c>
      <c r="N2205" s="4" t="inlineStr">
        <is>
          <t>IOS Meera</t>
        </is>
      </c>
      <c r="O2205" s="4" t="n">
        <v>3</v>
      </c>
      <c r="P2205" s="4" t="inlineStr">
        <is>
          <t>EXACT</t>
        </is>
      </c>
      <c r="Q2205" s="4" t="inlineStr">
        <is>
          <t>MAESTRO-IOS-GROUP-CUSTOM_PURCHASE-2204 | Custom Contribution | 14680.63</t>
        </is>
      </c>
      <c r="R2205" s="4" t="inlineStr">
        <is>
          <t>iPhone</t>
        </is>
      </c>
      <c r="S2205" s="4" t="inlineStr">
        <is>
          <t>B45</t>
        </is>
      </c>
      <c r="T2205" s="4" t="inlineStr">
        <is>
          <t>RAMP_1501_2500</t>
        </is>
      </c>
      <c r="U2205" s="4" t="inlineStr">
        <is>
          <t>CREATED</t>
        </is>
      </c>
      <c r="V2205" s="4" t="inlineStr">
        <is>
          <t>idem-20260902-ios-2204</t>
        </is>
      </c>
    </row>
    <row r="2206" ht="30" customHeight="1">
      <c r="A2206" s="4" t="n">
        <v>2205</v>
      </c>
      <c r="B2206" s="4" t="inlineStr">
        <is>
          <t>MTR-IOS-2205</t>
        </is>
      </c>
      <c r="C2206" s="4" t="inlineStr">
        <is>
          <t>Business</t>
        </is>
      </c>
      <c r="D2206" s="4" t="inlineStr">
        <is>
          <t>Business</t>
        </is>
      </c>
      <c r="E2206" s="4" t="inlineStr">
        <is>
          <t>Business Operations</t>
        </is>
      </c>
      <c r="F2206" s="4" t="inlineStr">
        <is>
          <t>Tax</t>
        </is>
      </c>
      <c r="G2206" s="4" t="inlineStr">
        <is>
          <t>Expense</t>
        </is>
      </c>
      <c r="H2206" s="12" t="n">
        <v>46115</v>
      </c>
      <c r="I2206" s="13" t="n">
        <v>0.8217708333333333</v>
      </c>
      <c r="J2206" s="14" t="n">
        <v>46115.82177083333</v>
      </c>
      <c r="K2206" s="15" t="n">
        <v>101164.73</v>
      </c>
      <c r="L2206" s="4" t="inlineStr">
        <is>
          <t>INR</t>
        </is>
      </c>
      <c r="M2206" s="15" t="n">
        <v>-101164.73</v>
      </c>
      <c r="N2206" s="4" t="inlineStr">
        <is>
          <t>IOS Owner</t>
        </is>
      </c>
      <c r="O2206" s="4" t="n"/>
      <c r="P2206" s="4" t="n"/>
      <c r="Q2206" s="4" t="inlineStr">
        <is>
          <t>MAESTRO-IOS-BUSINESS-BUSINESS_OPERATIONS-2205 | Tax | 101164.73</t>
        </is>
      </c>
      <c r="R2206" s="4" t="inlineStr">
        <is>
          <t>iPhone</t>
        </is>
      </c>
      <c r="S2206" s="4" t="inlineStr">
        <is>
          <t>B45</t>
        </is>
      </c>
      <c r="T2206" s="4" t="inlineStr">
        <is>
          <t>RAMP_1501_2500</t>
        </is>
      </c>
      <c r="U2206" s="4" t="inlineStr">
        <is>
          <t>CREATED</t>
        </is>
      </c>
      <c r="V2206" s="4" t="inlineStr">
        <is>
          <t>idem-20260902-ios-2205</t>
        </is>
      </c>
    </row>
    <row r="2207" ht="30" customHeight="1">
      <c r="A2207" s="4" t="n">
        <v>2206</v>
      </c>
      <c r="B2207" s="4" t="inlineStr">
        <is>
          <t>MTR-IOS-2206</t>
        </is>
      </c>
      <c r="C2207" s="4" t="inlineStr">
        <is>
          <t>Personal</t>
        </is>
      </c>
      <c r="D2207" s="4" t="inlineStr">
        <is>
          <t>Personal</t>
        </is>
      </c>
      <c r="E2207" s="4" t="inlineStr">
        <is>
          <t>Relationships</t>
        </is>
      </c>
      <c r="F2207" s="4" t="inlineStr">
        <is>
          <t>Celebrations</t>
        </is>
      </c>
      <c r="G2207" s="4" t="inlineStr">
        <is>
          <t>Expense</t>
        </is>
      </c>
      <c r="H2207" s="12" t="n">
        <v>46006</v>
      </c>
      <c r="I2207" s="13" t="n">
        <v>0.2242592592592593</v>
      </c>
      <c r="J2207" s="14" t="n">
        <v>46006.22425925926</v>
      </c>
      <c r="K2207" s="15" t="n">
        <v>13338.49</v>
      </c>
      <c r="L2207" s="4" t="inlineStr">
        <is>
          <t>INR</t>
        </is>
      </c>
      <c r="M2207" s="15" t="n">
        <v>-13338.49</v>
      </c>
      <c r="N2207" s="4" t="inlineStr">
        <is>
          <t>IOS Owner</t>
        </is>
      </c>
      <c r="O2207" s="4" t="n"/>
      <c r="P2207" s="4" t="n"/>
      <c r="Q2207" s="4" t="inlineStr">
        <is>
          <t>MAESTRO-IOS-PERSONAL-RELATIONSHIPS-2206 | Celebrations | 13338.49</t>
        </is>
      </c>
      <c r="R2207" s="4" t="inlineStr">
        <is>
          <t>iPhone</t>
        </is>
      </c>
      <c r="S2207" s="4" t="inlineStr">
        <is>
          <t>B45</t>
        </is>
      </c>
      <c r="T2207" s="4" t="inlineStr">
        <is>
          <t>RAMP_1501_2500</t>
        </is>
      </c>
      <c r="U2207" s="4" t="inlineStr">
        <is>
          <t>CREATED</t>
        </is>
      </c>
      <c r="V2207" s="4" t="inlineStr">
        <is>
          <t>idem-20260902-ios-2206</t>
        </is>
      </c>
    </row>
    <row r="2208" ht="30" customHeight="1">
      <c r="A2208" s="4" t="n">
        <v>2207</v>
      </c>
      <c r="B2208" s="4" t="inlineStr">
        <is>
          <t>MTR-IOS-2207</t>
        </is>
      </c>
      <c r="C2208" s="4" t="inlineStr">
        <is>
          <t>Group</t>
        </is>
      </c>
      <c r="D2208" s="4" t="inlineStr">
        <is>
          <t>Shared Living</t>
        </is>
      </c>
      <c r="E2208" s="4" t="inlineStr">
        <is>
          <t>Flatmates</t>
        </is>
      </c>
      <c r="F2208" s="4" t="inlineStr">
        <is>
          <t>Rent</t>
        </is>
      </c>
      <c r="G2208" s="4" t="inlineStr">
        <is>
          <t>Expense</t>
        </is>
      </c>
      <c r="H2208" s="12" t="n">
        <v>46251</v>
      </c>
      <c r="I2208" s="13" t="n">
        <v>0.549699074074074</v>
      </c>
      <c r="J2208" s="14" t="n">
        <v>46251.54969907407</v>
      </c>
      <c r="K2208" s="15" t="n">
        <v>2006.72</v>
      </c>
      <c r="L2208" s="4" t="inlineStr">
        <is>
          <t>INR</t>
        </is>
      </c>
      <c r="M2208" s="15" t="n">
        <v>-2006.72</v>
      </c>
      <c r="N2208" s="4" t="inlineStr">
        <is>
          <t>IOS Owner</t>
        </is>
      </c>
      <c r="O2208" s="4" t="n">
        <v>3</v>
      </c>
      <c r="P2208" s="4" t="inlineStr">
        <is>
          <t>SHARES</t>
        </is>
      </c>
      <c r="Q2208" s="4" t="inlineStr">
        <is>
          <t>MAESTRO-IOS-GROUP-FLATMATES-2207 | Rent | 2006.72</t>
        </is>
      </c>
      <c r="R2208" s="4" t="inlineStr">
        <is>
          <t>iPhone</t>
        </is>
      </c>
      <c r="S2208" s="4" t="inlineStr">
        <is>
          <t>B45</t>
        </is>
      </c>
      <c r="T2208" s="4" t="inlineStr">
        <is>
          <t>RAMP_1501_2500</t>
        </is>
      </c>
      <c r="U2208" s="4" t="inlineStr">
        <is>
          <t>CREATED</t>
        </is>
      </c>
      <c r="V2208" s="4" t="inlineStr">
        <is>
          <t>idem-20260902-ios-2207</t>
        </is>
      </c>
    </row>
    <row r="2209" ht="30" customHeight="1">
      <c r="A2209" s="4" t="n">
        <v>2208</v>
      </c>
      <c r="B2209" s="4" t="inlineStr">
        <is>
          <t>MTR-IOS-2208</t>
        </is>
      </c>
      <c r="C2209" s="4" t="inlineStr">
        <is>
          <t>Business</t>
        </is>
      </c>
      <c r="D2209" s="4" t="inlineStr">
        <is>
          <t>Business</t>
        </is>
      </c>
      <c r="E2209" s="4" t="inlineStr">
        <is>
          <t>Team Operations</t>
        </is>
      </c>
      <c r="F2209" s="4" t="inlineStr">
        <is>
          <t>Payroll</t>
        </is>
      </c>
      <c r="G2209" s="4" t="inlineStr">
        <is>
          <t>Expense</t>
        </is>
      </c>
      <c r="H2209" s="12" t="n">
        <v>46022</v>
      </c>
      <c r="I2209" s="13" t="n">
        <v>0.3725462962962963</v>
      </c>
      <c r="J2209" s="14" t="n">
        <v>46022.3725462963</v>
      </c>
      <c r="K2209" s="15" t="n">
        <v>17252.62</v>
      </c>
      <c r="L2209" s="4" t="inlineStr">
        <is>
          <t>INR</t>
        </is>
      </c>
      <c r="M2209" s="15" t="n">
        <v>-17252.62</v>
      </c>
      <c r="N2209" s="4" t="inlineStr">
        <is>
          <t>IOS Owner</t>
        </is>
      </c>
      <c r="O2209" s="4" t="n"/>
      <c r="P2209" s="4" t="n"/>
      <c r="Q2209" s="4" t="inlineStr">
        <is>
          <t>MAESTRO-IOS-BUSINESS-TEAM_OPERATIONS-2208 | Payroll | 17252.62</t>
        </is>
      </c>
      <c r="R2209" s="4" t="inlineStr">
        <is>
          <t>iPhone</t>
        </is>
      </c>
      <c r="S2209" s="4" t="inlineStr">
        <is>
          <t>B45</t>
        </is>
      </c>
      <c r="T2209" s="4" t="inlineStr">
        <is>
          <t>RAMP_1501_2500</t>
        </is>
      </c>
      <c r="U2209" s="4" t="inlineStr">
        <is>
          <t>CREATED</t>
        </is>
      </c>
      <c r="V2209" s="4" t="inlineStr">
        <is>
          <t>idem-20260902-ios-2208</t>
        </is>
      </c>
    </row>
    <row r="2210" ht="30" customHeight="1">
      <c r="A2210" s="4" t="n">
        <v>2209</v>
      </c>
      <c r="B2210" s="4" t="inlineStr">
        <is>
          <t>MTR-IOS-2209</t>
        </is>
      </c>
      <c r="C2210" s="4" t="inlineStr">
        <is>
          <t>Personal</t>
        </is>
      </c>
      <c r="D2210" s="4" t="inlineStr">
        <is>
          <t>Personal</t>
        </is>
      </c>
      <c r="E2210" s="4" t="inlineStr">
        <is>
          <t>Life Operations</t>
        </is>
      </c>
      <c r="F2210" s="4" t="inlineStr">
        <is>
          <t>Groceries</t>
        </is>
      </c>
      <c r="G2210" s="4" t="inlineStr">
        <is>
          <t>Expense</t>
        </is>
      </c>
      <c r="H2210" s="12" t="n">
        <v>46193</v>
      </c>
      <c r="I2210" s="13" t="n">
        <v>0.09621527777777777</v>
      </c>
      <c r="J2210" s="14" t="n">
        <v>46193.09621527778</v>
      </c>
      <c r="K2210" s="15" t="n">
        <v>1522.89</v>
      </c>
      <c r="L2210" s="4" t="inlineStr">
        <is>
          <t>INR</t>
        </is>
      </c>
      <c r="M2210" s="15" t="n">
        <v>-1522.89</v>
      </c>
      <c r="N2210" s="4" t="inlineStr">
        <is>
          <t>IOS Owner</t>
        </is>
      </c>
      <c r="O2210" s="4" t="n"/>
      <c r="P2210" s="4" t="n"/>
      <c r="Q2210" s="4" t="inlineStr">
        <is>
          <t>MAESTRO-IOS-PERSONAL-LIFE_OPERATIONS-2209 | Groceries | 1522.89</t>
        </is>
      </c>
      <c r="R2210" s="4" t="inlineStr">
        <is>
          <t>iPhone</t>
        </is>
      </c>
      <c r="S2210" s="4" t="inlineStr">
        <is>
          <t>B45</t>
        </is>
      </c>
      <c r="T2210" s="4" t="inlineStr">
        <is>
          <t>RAMP_1501_2500</t>
        </is>
      </c>
      <c r="U2210" s="4" t="inlineStr">
        <is>
          <t>CREATED</t>
        </is>
      </c>
      <c r="V2210" s="4" t="inlineStr">
        <is>
          <t>idem-20260902-ios-2209</t>
        </is>
      </c>
    </row>
    <row r="2211" ht="30" customHeight="1">
      <c r="A2211" s="4" t="n">
        <v>2210</v>
      </c>
      <c r="B2211" s="4" t="inlineStr">
        <is>
          <t>MTR-IOS-2210</t>
        </is>
      </c>
      <c r="C2211" s="4" t="inlineStr">
        <is>
          <t>Group</t>
        </is>
      </c>
      <c r="D2211" s="4" t="inlineStr">
        <is>
          <t>Shared Living</t>
        </is>
      </c>
      <c r="E2211" s="4" t="inlineStr">
        <is>
          <t>Flatmates</t>
        </is>
      </c>
      <c r="F2211" s="4" t="inlineStr">
        <is>
          <t>Utilities</t>
        </is>
      </c>
      <c r="G2211" s="4" t="inlineStr">
        <is>
          <t>Expense</t>
        </is>
      </c>
      <c r="H2211" s="12" t="n">
        <v>46036</v>
      </c>
      <c r="I2211" s="13" t="n">
        <v>0.955775462962963</v>
      </c>
      <c r="J2211" s="14" t="n">
        <v>46036.95577546296</v>
      </c>
      <c r="K2211" s="15" t="n">
        <v>11321.78</v>
      </c>
      <c r="L2211" s="4" t="inlineStr">
        <is>
          <t>INR</t>
        </is>
      </c>
      <c r="M2211" s="15" t="n">
        <v>-11321.78</v>
      </c>
      <c r="N2211" s="4" t="inlineStr">
        <is>
          <t>IOS Aarav</t>
        </is>
      </c>
      <c r="O2211" s="4" t="n">
        <v>3</v>
      </c>
      <c r="P2211" s="4" t="inlineStr">
        <is>
          <t>EQUAL</t>
        </is>
      </c>
      <c r="Q2211" s="4" t="inlineStr">
        <is>
          <t>MAESTRO-IOS-GROUP-FLATMATES-2210 | Utilities | 11321.78</t>
        </is>
      </c>
      <c r="R2211" s="4" t="inlineStr">
        <is>
          <t>iPhone</t>
        </is>
      </c>
      <c r="S2211" s="4" t="inlineStr">
        <is>
          <t>B45</t>
        </is>
      </c>
      <c r="T2211" s="4" t="inlineStr">
        <is>
          <t>RAMP_1501_2500</t>
        </is>
      </c>
      <c r="U2211" s="4" t="inlineStr">
        <is>
          <t>CREATED</t>
        </is>
      </c>
      <c r="V2211" s="4" t="inlineStr">
        <is>
          <t>idem-20260902-ios-2210</t>
        </is>
      </c>
    </row>
    <row r="2212" ht="30" customHeight="1">
      <c r="A2212" s="4" t="n">
        <v>2211</v>
      </c>
      <c r="B2212" s="4" t="inlineStr">
        <is>
          <t>MTR-IOS-2211</t>
        </is>
      </c>
      <c r="C2212" s="4" t="inlineStr">
        <is>
          <t>Business</t>
        </is>
      </c>
      <c r="D2212" s="4" t="inlineStr">
        <is>
          <t>Business</t>
        </is>
      </c>
      <c r="E2212" s="4" t="inlineStr">
        <is>
          <t>Team Operations</t>
        </is>
      </c>
      <c r="F2212" s="4" t="inlineStr">
        <is>
          <t>Contractor</t>
        </is>
      </c>
      <c r="G2212" s="4" t="inlineStr">
        <is>
          <t>Expense</t>
        </is>
      </c>
      <c r="H2212" s="12" t="n">
        <v>46035</v>
      </c>
      <c r="I2212" s="13" t="n">
        <v>0.2395949074074074</v>
      </c>
      <c r="J2212" s="14" t="n">
        <v>46035.23959490741</v>
      </c>
      <c r="K2212" s="15" t="n">
        <v>66634.08</v>
      </c>
      <c r="L2212" s="4" t="inlineStr">
        <is>
          <t>INR</t>
        </is>
      </c>
      <c r="M2212" s="15" t="n">
        <v>-66634.08</v>
      </c>
      <c r="N2212" s="4" t="inlineStr">
        <is>
          <t>IOS Owner</t>
        </is>
      </c>
      <c r="O2212" s="4" t="n"/>
      <c r="P2212" s="4" t="n"/>
      <c r="Q2212" s="4" t="inlineStr">
        <is>
          <t>MAESTRO-IOS-BUSINESS-TEAM_OPERATIONS-2211 | Contractor | 66634.08</t>
        </is>
      </c>
      <c r="R2212" s="4" t="inlineStr">
        <is>
          <t>iPhone</t>
        </is>
      </c>
      <c r="S2212" s="4" t="inlineStr">
        <is>
          <t>B45</t>
        </is>
      </c>
      <c r="T2212" s="4" t="inlineStr">
        <is>
          <t>RAMP_1501_2500</t>
        </is>
      </c>
      <c r="U2212" s="4" t="inlineStr">
        <is>
          <t>CREATED</t>
        </is>
      </c>
      <c r="V2212" s="4" t="inlineStr">
        <is>
          <t>idem-20260902-ios-2211</t>
        </is>
      </c>
    </row>
    <row r="2213" ht="30" customHeight="1">
      <c r="A2213" s="4" t="n">
        <v>2212</v>
      </c>
      <c r="B2213" s="4" t="inlineStr">
        <is>
          <t>MTR-IOS-2212</t>
        </is>
      </c>
      <c r="C2213" s="4" t="inlineStr">
        <is>
          <t>Personal</t>
        </is>
      </c>
      <c r="D2213" s="4" t="inlineStr">
        <is>
          <t>Personal</t>
        </is>
      </c>
      <c r="E2213" s="4" t="inlineStr">
        <is>
          <t>Life Operations</t>
        </is>
      </c>
      <c r="F2213" s="4" t="inlineStr">
        <is>
          <t>Rent</t>
        </is>
      </c>
      <c r="G2213" s="4" t="inlineStr">
        <is>
          <t>Expense</t>
        </is>
      </c>
      <c r="H2213" s="12" t="n">
        <v>46038</v>
      </c>
      <c r="I2213" s="13" t="n">
        <v>0.115787037037037</v>
      </c>
      <c r="J2213" s="14" t="n">
        <v>46038.11578703704</v>
      </c>
      <c r="K2213" s="15" t="n">
        <v>961.64</v>
      </c>
      <c r="L2213" s="4" t="inlineStr">
        <is>
          <t>INR</t>
        </is>
      </c>
      <c r="M2213" s="15" t="n">
        <v>-961.64</v>
      </c>
      <c r="N2213" s="4" t="inlineStr">
        <is>
          <t>IOS Owner</t>
        </is>
      </c>
      <c r="O2213" s="4" t="n"/>
      <c r="P2213" s="4" t="n"/>
      <c r="Q2213" s="4" t="inlineStr">
        <is>
          <t>MAESTRO-IOS-PERSONAL-LIFE_OPERATIONS-2212 | Rent | 961.64</t>
        </is>
      </c>
      <c r="R2213" s="4" t="inlineStr">
        <is>
          <t>iPhone</t>
        </is>
      </c>
      <c r="S2213" s="4" t="inlineStr">
        <is>
          <t>B45</t>
        </is>
      </c>
      <c r="T2213" s="4" t="inlineStr">
        <is>
          <t>RAMP_1501_2500</t>
        </is>
      </c>
      <c r="U2213" s="4" t="inlineStr">
        <is>
          <t>CREATED</t>
        </is>
      </c>
      <c r="V2213" s="4" t="inlineStr">
        <is>
          <t>idem-20260902-ios-2212</t>
        </is>
      </c>
    </row>
    <row r="2214" ht="30" customHeight="1">
      <c r="A2214" s="4" t="n">
        <v>2213</v>
      </c>
      <c r="B2214" s="4" t="inlineStr">
        <is>
          <t>MTR-IOS-2213</t>
        </is>
      </c>
      <c r="C2214" s="4" t="inlineStr">
        <is>
          <t>Group</t>
        </is>
      </c>
      <c r="D2214" s="4" t="inlineStr">
        <is>
          <t>Shared Living</t>
        </is>
      </c>
      <c r="E2214" s="4" t="inlineStr">
        <is>
          <t>Flatmates</t>
        </is>
      </c>
      <c r="F2214" s="4" t="inlineStr">
        <is>
          <t>Groceries</t>
        </is>
      </c>
      <c r="G2214" s="4" t="inlineStr">
        <is>
          <t>Expense</t>
        </is>
      </c>
      <c r="H2214" s="12" t="n">
        <v>45959</v>
      </c>
      <c r="I2214" s="13" t="n">
        <v>0.6863773148148148</v>
      </c>
      <c r="J2214" s="14" t="n">
        <v>45959.68637731481</v>
      </c>
      <c r="K2214" s="15" t="n">
        <v>12617.19</v>
      </c>
      <c r="L2214" s="4" t="inlineStr">
        <is>
          <t>INR</t>
        </is>
      </c>
      <c r="M2214" s="15" t="n">
        <v>-12617.19</v>
      </c>
      <c r="N2214" s="4" t="inlineStr">
        <is>
          <t>IOS Meera</t>
        </is>
      </c>
      <c r="O2214" s="4" t="n">
        <v>3</v>
      </c>
      <c r="P2214" s="4" t="inlineStr">
        <is>
          <t>PERCENTAGE</t>
        </is>
      </c>
      <c r="Q2214" s="4" t="inlineStr">
        <is>
          <t>MAESTRO-IOS-GROUP-FLATMATES-2213 | Groceries | 12617.19</t>
        </is>
      </c>
      <c r="R2214" s="4" t="inlineStr">
        <is>
          <t>iPhone</t>
        </is>
      </c>
      <c r="S2214" s="4" t="inlineStr">
        <is>
          <t>B45</t>
        </is>
      </c>
      <c r="T2214" s="4" t="inlineStr">
        <is>
          <t>RAMP_1501_2500</t>
        </is>
      </c>
      <c r="U2214" s="4" t="inlineStr">
        <is>
          <t>CREATED</t>
        </is>
      </c>
      <c r="V2214" s="4" t="inlineStr">
        <is>
          <t>idem-20260902-ios-2213</t>
        </is>
      </c>
    </row>
    <row r="2215" ht="30" customHeight="1">
      <c r="A2215" s="4" t="n">
        <v>2214</v>
      </c>
      <c r="B2215" s="4" t="inlineStr">
        <is>
          <t>MTR-IOS-2214</t>
        </is>
      </c>
      <c r="C2215" s="4" t="inlineStr">
        <is>
          <t>Business</t>
        </is>
      </c>
      <c r="D2215" s="4" t="inlineStr">
        <is>
          <t>Business</t>
        </is>
      </c>
      <c r="E2215" s="4" t="inlineStr">
        <is>
          <t>Team Operations</t>
        </is>
      </c>
      <c r="F2215" s="4" t="inlineStr">
        <is>
          <t>Hiring</t>
        </is>
      </c>
      <c r="G2215" s="4" t="inlineStr">
        <is>
          <t>Expense</t>
        </is>
      </c>
      <c r="H2215" s="12" t="n">
        <v>46087</v>
      </c>
      <c r="I2215" s="13" t="n">
        <v>0.2299652777777778</v>
      </c>
      <c r="J2215" s="14" t="n">
        <v>46087.22996527778</v>
      </c>
      <c r="K2215" s="15" t="n">
        <v>88649.42999999999</v>
      </c>
      <c r="L2215" s="4" t="inlineStr">
        <is>
          <t>INR</t>
        </is>
      </c>
      <c r="M2215" s="15" t="n">
        <v>-88649.42999999999</v>
      </c>
      <c r="N2215" s="4" t="inlineStr">
        <is>
          <t>IOS Owner</t>
        </is>
      </c>
      <c r="O2215" s="4" t="n"/>
      <c r="P2215" s="4" t="n"/>
      <c r="Q2215" s="4" t="inlineStr">
        <is>
          <t>MAESTRO-IOS-BUSINESS-TEAM_OPERATIONS-2214 | Hiring | 88649.43</t>
        </is>
      </c>
      <c r="R2215" s="4" t="inlineStr">
        <is>
          <t>iPhone</t>
        </is>
      </c>
      <c r="S2215" s="4" t="inlineStr">
        <is>
          <t>B45</t>
        </is>
      </c>
      <c r="T2215" s="4" t="inlineStr">
        <is>
          <t>RAMP_1501_2500</t>
        </is>
      </c>
      <c r="U2215" s="4" t="inlineStr">
        <is>
          <t>CREATED</t>
        </is>
      </c>
      <c r="V2215" s="4" t="inlineStr">
        <is>
          <t>idem-20260902-ios-2214</t>
        </is>
      </c>
    </row>
    <row r="2216" ht="30" customHeight="1">
      <c r="A2216" s="4" t="n">
        <v>2215</v>
      </c>
      <c r="B2216" s="4" t="inlineStr">
        <is>
          <t>MTR-IOS-2215</t>
        </is>
      </c>
      <c r="C2216" s="4" t="inlineStr">
        <is>
          <t>Personal</t>
        </is>
      </c>
      <c r="D2216" s="4" t="inlineStr">
        <is>
          <t>Personal</t>
        </is>
      </c>
      <c r="E2216" s="4" t="inlineStr">
        <is>
          <t>Life Operations</t>
        </is>
      </c>
      <c r="F2216" s="4" t="inlineStr">
        <is>
          <t>Bills</t>
        </is>
      </c>
      <c r="G2216" s="4" t="inlineStr">
        <is>
          <t>Expense</t>
        </is>
      </c>
      <c r="H2216" s="12" t="n">
        <v>46204</v>
      </c>
      <c r="I2216" s="13" t="n">
        <v>0.03358796296296297</v>
      </c>
      <c r="J2216" s="14" t="n">
        <v>46204.03358796296</v>
      </c>
      <c r="K2216" s="15" t="n">
        <v>9995.92</v>
      </c>
      <c r="L2216" s="4" t="inlineStr">
        <is>
          <t>INR</t>
        </is>
      </c>
      <c r="M2216" s="15" t="n">
        <v>-9995.92</v>
      </c>
      <c r="N2216" s="4" t="inlineStr">
        <is>
          <t>IOS Owner</t>
        </is>
      </c>
      <c r="O2216" s="4" t="n"/>
      <c r="P2216" s="4" t="n"/>
      <c r="Q2216" s="4" t="inlineStr">
        <is>
          <t>MAESTRO-IOS-PERSONAL-LIFE_OPERATIONS-2215 | Bills | 9995.92</t>
        </is>
      </c>
      <c r="R2216" s="4" t="inlineStr">
        <is>
          <t>iPhone</t>
        </is>
      </c>
      <c r="S2216" s="4" t="inlineStr">
        <is>
          <t>B45</t>
        </is>
      </c>
      <c r="T2216" s="4" t="inlineStr">
        <is>
          <t>RAMP_1501_2500</t>
        </is>
      </c>
      <c r="U2216" s="4" t="inlineStr">
        <is>
          <t>CREATED</t>
        </is>
      </c>
      <c r="V2216" s="4" t="inlineStr">
        <is>
          <t>idem-20260902-ios-2215</t>
        </is>
      </c>
    </row>
    <row r="2217" ht="30" customHeight="1">
      <c r="A2217" s="4" t="n">
        <v>2216</v>
      </c>
      <c r="B2217" s="4" t="inlineStr">
        <is>
          <t>MTR-IOS-2216</t>
        </is>
      </c>
      <c r="C2217" s="4" t="inlineStr">
        <is>
          <t>Group</t>
        </is>
      </c>
      <c r="D2217" s="4" t="inlineStr">
        <is>
          <t>Shared Living</t>
        </is>
      </c>
      <c r="E2217" s="4" t="inlineStr">
        <is>
          <t>Flatmates</t>
        </is>
      </c>
      <c r="F2217" s="4" t="inlineStr">
        <is>
          <t>Internet</t>
        </is>
      </c>
      <c r="G2217" s="4" t="inlineStr">
        <is>
          <t>Expense</t>
        </is>
      </c>
      <c r="H2217" s="12" t="n">
        <v>46242</v>
      </c>
      <c r="I2217" s="13" t="n">
        <v>0.6328356481481482</v>
      </c>
      <c r="J2217" s="14" t="n">
        <v>46242.63283564815</v>
      </c>
      <c r="K2217" s="15" t="n">
        <v>16842.15</v>
      </c>
      <c r="L2217" s="4" t="inlineStr">
        <is>
          <t>INR</t>
        </is>
      </c>
      <c r="M2217" s="15" t="n">
        <v>-16842.15</v>
      </c>
      <c r="N2217" s="4" t="inlineStr">
        <is>
          <t>IOS Owner</t>
        </is>
      </c>
      <c r="O2217" s="4" t="n">
        <v>3</v>
      </c>
      <c r="P2217" s="4" t="inlineStr">
        <is>
          <t>EXACT</t>
        </is>
      </c>
      <c r="Q2217" s="4" t="inlineStr">
        <is>
          <t>MAESTRO-IOS-GROUP-FLATMATES-2216 | Internet | 16842.15</t>
        </is>
      </c>
      <c r="R2217" s="4" t="inlineStr">
        <is>
          <t>iPhone</t>
        </is>
      </c>
      <c r="S2217" s="4" t="inlineStr">
        <is>
          <t>B45</t>
        </is>
      </c>
      <c r="T2217" s="4" t="inlineStr">
        <is>
          <t>RAMP_1501_2500</t>
        </is>
      </c>
      <c r="U2217" s="4" t="inlineStr">
        <is>
          <t>CREATED</t>
        </is>
      </c>
      <c r="V2217" s="4" t="inlineStr">
        <is>
          <t>idem-20260902-ios-2216</t>
        </is>
      </c>
    </row>
    <row r="2218" ht="30" customHeight="1">
      <c r="A2218" s="4" t="n">
        <v>2217</v>
      </c>
      <c r="B2218" s="4" t="inlineStr">
        <is>
          <t>MTR-IOS-2217</t>
        </is>
      </c>
      <c r="C2218" s="4" t="inlineStr">
        <is>
          <t>Business</t>
        </is>
      </c>
      <c r="D2218" s="4" t="inlineStr">
        <is>
          <t>Business</t>
        </is>
      </c>
      <c r="E2218" s="4" t="inlineStr">
        <is>
          <t>Team Operations</t>
        </is>
      </c>
      <c r="F2218" s="4" t="inlineStr">
        <is>
          <t>Team Meal</t>
        </is>
      </c>
      <c r="G2218" s="4" t="inlineStr">
        <is>
          <t>Expense</t>
        </is>
      </c>
      <c r="H2218" s="12" t="n">
        <v>45986</v>
      </c>
      <c r="I2218" s="13" t="n">
        <v>0.4239930555555556</v>
      </c>
      <c r="J2218" s="14" t="n">
        <v>45986.42399305556</v>
      </c>
      <c r="K2218" s="15" t="n">
        <v>83721.10000000001</v>
      </c>
      <c r="L2218" s="4" t="inlineStr">
        <is>
          <t>INR</t>
        </is>
      </c>
      <c r="M2218" s="15" t="n">
        <v>-83721.10000000001</v>
      </c>
      <c r="N2218" s="4" t="inlineStr">
        <is>
          <t>IOS Owner</t>
        </is>
      </c>
      <c r="O2218" s="4" t="n"/>
      <c r="P2218" s="4" t="n"/>
      <c r="Q2218" s="4" t="inlineStr">
        <is>
          <t>MAESTRO-IOS-BUSINESS-TEAM_OPERATIONS-2217 | Team Meal | 83721.10</t>
        </is>
      </c>
      <c r="R2218" s="4" t="inlineStr">
        <is>
          <t>iPhone</t>
        </is>
      </c>
      <c r="S2218" s="4" t="inlineStr">
        <is>
          <t>B45</t>
        </is>
      </c>
      <c r="T2218" s="4" t="inlineStr">
        <is>
          <t>RAMP_1501_2500</t>
        </is>
      </c>
      <c r="U2218" s="4" t="inlineStr">
        <is>
          <t>CREATED</t>
        </is>
      </c>
      <c r="V2218" s="4" t="inlineStr">
        <is>
          <t>idem-20260902-ios-2217</t>
        </is>
      </c>
    </row>
    <row r="2219" ht="30" customHeight="1">
      <c r="A2219" s="4" t="n">
        <v>2218</v>
      </c>
      <c r="B2219" s="4" t="inlineStr">
        <is>
          <t>MTR-IOS-2218</t>
        </is>
      </c>
      <c r="C2219" s="4" t="inlineStr">
        <is>
          <t>Personal</t>
        </is>
      </c>
      <c r="D2219" s="4" t="inlineStr">
        <is>
          <t>Personal</t>
        </is>
      </c>
      <c r="E2219" s="4" t="inlineStr">
        <is>
          <t>Life Operations</t>
        </is>
      </c>
      <c r="F2219" s="4" t="inlineStr">
        <is>
          <t>Transport</t>
        </is>
      </c>
      <c r="G2219" s="4" t="inlineStr">
        <is>
          <t>Expense</t>
        </is>
      </c>
      <c r="H2219" s="12" t="n">
        <v>45950</v>
      </c>
      <c r="I2219" s="13" t="n">
        <v>0.5234722222222222</v>
      </c>
      <c r="J2219" s="14" t="n">
        <v>45950.52347222222</v>
      </c>
      <c r="K2219" s="15" t="n">
        <v>12857.55</v>
      </c>
      <c r="L2219" s="4" t="inlineStr">
        <is>
          <t>INR</t>
        </is>
      </c>
      <c r="M2219" s="15" t="n">
        <v>-12857.55</v>
      </c>
      <c r="N2219" s="4" t="inlineStr">
        <is>
          <t>IOS Owner</t>
        </is>
      </c>
      <c r="O2219" s="4" t="n"/>
      <c r="P2219" s="4" t="n"/>
      <c r="Q2219" s="4" t="inlineStr">
        <is>
          <t>MAESTRO-IOS-PERSONAL-LIFE_OPERATIONS-2218 | Transport | 12857.55</t>
        </is>
      </c>
      <c r="R2219" s="4" t="inlineStr">
        <is>
          <t>iPhone</t>
        </is>
      </c>
      <c r="S2219" s="4" t="inlineStr">
        <is>
          <t>B45</t>
        </is>
      </c>
      <c r="T2219" s="4" t="inlineStr">
        <is>
          <t>RAMP_1501_2500</t>
        </is>
      </c>
      <c r="U2219" s="4" t="inlineStr">
        <is>
          <t>CREATED</t>
        </is>
      </c>
      <c r="V2219" s="4" t="inlineStr">
        <is>
          <t>idem-20260902-ios-2218</t>
        </is>
      </c>
    </row>
    <row r="2220" ht="30" customHeight="1">
      <c r="A2220" s="4" t="n">
        <v>2219</v>
      </c>
      <c r="B2220" s="4" t="inlineStr">
        <is>
          <t>MTR-IOS-2219</t>
        </is>
      </c>
      <c r="C2220" s="4" t="inlineStr">
        <is>
          <t>Group</t>
        </is>
      </c>
      <c r="D2220" s="4" t="inlineStr">
        <is>
          <t>Shared Living</t>
        </is>
      </c>
      <c r="E2220" s="4" t="inlineStr">
        <is>
          <t>Flatmates</t>
        </is>
      </c>
      <c r="F2220" s="4" t="inlineStr">
        <is>
          <t>House Supplies</t>
        </is>
      </c>
      <c r="G2220" s="4" t="inlineStr">
        <is>
          <t>Expense</t>
        </is>
      </c>
      <c r="H2220" s="12" t="n">
        <v>46215</v>
      </c>
      <c r="I2220" s="13" t="n">
        <v>0.7529861111111111</v>
      </c>
      <c r="J2220" s="14" t="n">
        <v>46215.75298611111</v>
      </c>
      <c r="K2220" s="15" t="n">
        <v>17165.12</v>
      </c>
      <c r="L2220" s="4" t="inlineStr">
        <is>
          <t>INR</t>
        </is>
      </c>
      <c r="M2220" s="15" t="n">
        <v>-17165.12</v>
      </c>
      <c r="N2220" s="4" t="inlineStr">
        <is>
          <t>IOS Aarav</t>
        </is>
      </c>
      <c r="O2220" s="4" t="n">
        <v>3</v>
      </c>
      <c r="P2220" s="4" t="inlineStr">
        <is>
          <t>SHARES</t>
        </is>
      </c>
      <c r="Q2220" s="4" t="inlineStr">
        <is>
          <t>MAESTRO-IOS-GROUP-FLATMATES-2219 | House Supplies | 17165.12</t>
        </is>
      </c>
      <c r="R2220" s="4" t="inlineStr">
        <is>
          <t>iPhone</t>
        </is>
      </c>
      <c r="S2220" s="4" t="inlineStr">
        <is>
          <t>B45</t>
        </is>
      </c>
      <c r="T2220" s="4" t="inlineStr">
        <is>
          <t>RAMP_1501_2500</t>
        </is>
      </c>
      <c r="U2220" s="4" t="inlineStr">
        <is>
          <t>CREATED</t>
        </is>
      </c>
      <c r="V2220" s="4" t="inlineStr">
        <is>
          <t>idem-20260902-ios-2219</t>
        </is>
      </c>
    </row>
    <row r="2221" ht="30" customHeight="1">
      <c r="A2221" s="4" t="n">
        <v>2220</v>
      </c>
      <c r="B2221" s="4" t="inlineStr">
        <is>
          <t>MTR-IOS-2220</t>
        </is>
      </c>
      <c r="C2221" s="4" t="inlineStr">
        <is>
          <t>Business</t>
        </is>
      </c>
      <c r="D2221" s="4" t="inlineStr">
        <is>
          <t>Business</t>
        </is>
      </c>
      <c r="E2221" s="4" t="inlineStr">
        <is>
          <t>Team Operations</t>
        </is>
      </c>
      <c r="F2221" s="4" t="inlineStr">
        <is>
          <t>Travel</t>
        </is>
      </c>
      <c r="G2221" s="4" t="inlineStr">
        <is>
          <t>Expense</t>
        </is>
      </c>
      <c r="H2221" s="12" t="n">
        <v>46139</v>
      </c>
      <c r="I2221" s="13" t="n">
        <v>0.2601620370370371</v>
      </c>
      <c r="J2221" s="14" t="n">
        <v>46139.26016203704</v>
      </c>
      <c r="K2221" s="15" t="n">
        <v>0.01</v>
      </c>
      <c r="L2221" s="4" t="inlineStr">
        <is>
          <t>INR</t>
        </is>
      </c>
      <c r="M2221" s="15" t="n">
        <v>-0.01</v>
      </c>
      <c r="N2221" s="4" t="inlineStr">
        <is>
          <t>IOS Owner</t>
        </is>
      </c>
      <c r="O2221" s="4" t="n"/>
      <c r="P2221" s="4" t="n"/>
      <c r="Q2221" s="4" t="inlineStr">
        <is>
          <t>MAESTRO-IOS-BUSINESS-TEAM_OPERATIONS-2220 | Travel | 0.01</t>
        </is>
      </c>
      <c r="R2221" s="4" t="inlineStr">
        <is>
          <t>iPhone</t>
        </is>
      </c>
      <c r="S2221" s="4" t="inlineStr">
        <is>
          <t>B45</t>
        </is>
      </c>
      <c r="T2221" s="4" t="inlineStr">
        <is>
          <t>RAMP_1501_2500</t>
        </is>
      </c>
      <c r="U2221" s="4" t="inlineStr">
        <is>
          <t>CREATED</t>
        </is>
      </c>
      <c r="V2221" s="4" t="inlineStr">
        <is>
          <t>idem-20260902-ios-2220</t>
        </is>
      </c>
    </row>
    <row r="2222" ht="30" customHeight="1">
      <c r="A2222" s="4" t="n">
        <v>2221</v>
      </c>
      <c r="B2222" s="4" t="inlineStr">
        <is>
          <t>MTR-IOS-2221</t>
        </is>
      </c>
      <c r="C2222" s="4" t="inlineStr">
        <is>
          <t>Personal</t>
        </is>
      </c>
      <c r="D2222" s="4" t="inlineStr">
        <is>
          <t>Personal</t>
        </is>
      </c>
      <c r="E2222" s="4" t="inlineStr">
        <is>
          <t>Life Operations</t>
        </is>
      </c>
      <c r="F2222" s="4" t="inlineStr">
        <is>
          <t>Healthcare</t>
        </is>
      </c>
      <c r="G2222" s="4" t="inlineStr">
        <is>
          <t>Expense</t>
        </is>
      </c>
      <c r="H2222" s="12" t="n">
        <v>46152</v>
      </c>
      <c r="I2222" s="13" t="n">
        <v>0.6320949074074074</v>
      </c>
      <c r="J2222" s="14" t="n">
        <v>46152.63209490741</v>
      </c>
      <c r="K2222" s="15" t="n">
        <v>1445.85</v>
      </c>
      <c r="L2222" s="4" t="inlineStr">
        <is>
          <t>INR</t>
        </is>
      </c>
      <c r="M2222" s="15" t="n">
        <v>-1445.85</v>
      </c>
      <c r="N2222" s="4" t="inlineStr">
        <is>
          <t>IOS Owner</t>
        </is>
      </c>
      <c r="O2222" s="4" t="n"/>
      <c r="P2222" s="4" t="n"/>
      <c r="Q2222" s="4" t="inlineStr">
        <is>
          <t>MAESTRO-IOS-PERSONAL-LIFE_OPERATIONS-2221 | Healthcare | 1445.85</t>
        </is>
      </c>
      <c r="R2222" s="4" t="inlineStr">
        <is>
          <t>iPhone</t>
        </is>
      </c>
      <c r="S2222" s="4" t="inlineStr">
        <is>
          <t>B45</t>
        </is>
      </c>
      <c r="T2222" s="4" t="inlineStr">
        <is>
          <t>RAMP_1501_2500</t>
        </is>
      </c>
      <c r="U2222" s="4" t="inlineStr">
        <is>
          <t>CREATED</t>
        </is>
      </c>
      <c r="V2222" s="4" t="inlineStr">
        <is>
          <t>idem-20260902-ios-2221</t>
        </is>
      </c>
    </row>
    <row r="2223" ht="30" customHeight="1">
      <c r="A2223" s="4" t="n">
        <v>2222</v>
      </c>
      <c r="B2223" s="4" t="inlineStr">
        <is>
          <t>MTR-IOS-2222</t>
        </is>
      </c>
      <c r="C2223" s="4" t="inlineStr">
        <is>
          <t>Group</t>
        </is>
      </c>
      <c r="D2223" s="4" t="inlineStr">
        <is>
          <t>Shared Living</t>
        </is>
      </c>
      <c r="E2223" s="4" t="inlineStr">
        <is>
          <t>Flatmates</t>
        </is>
      </c>
      <c r="F2223" s="4" t="inlineStr">
        <is>
          <t>Repairs</t>
        </is>
      </c>
      <c r="G2223" s="4" t="inlineStr">
        <is>
          <t>Expense</t>
        </is>
      </c>
      <c r="H2223" s="12" t="n">
        <v>46032</v>
      </c>
      <c r="I2223" s="13" t="n">
        <v>0.007199074074074074</v>
      </c>
      <c r="J2223" s="14" t="n">
        <v>46032.00719907408</v>
      </c>
      <c r="K2223" s="15" t="n">
        <v>26562.4</v>
      </c>
      <c r="L2223" s="4" t="inlineStr">
        <is>
          <t>INR</t>
        </is>
      </c>
      <c r="M2223" s="15" t="n">
        <v>-26562.4</v>
      </c>
      <c r="N2223" s="4" t="inlineStr">
        <is>
          <t>IOS Meera</t>
        </is>
      </c>
      <c r="O2223" s="4" t="n">
        <v>3</v>
      </c>
      <c r="P2223" s="4" t="inlineStr">
        <is>
          <t>EQUAL</t>
        </is>
      </c>
      <c r="Q2223" s="4" t="inlineStr">
        <is>
          <t>MAESTRO-IOS-GROUP-FLATMATES-2222 | Repairs | 26562.40</t>
        </is>
      </c>
      <c r="R2223" s="4" t="inlineStr">
        <is>
          <t>iPhone</t>
        </is>
      </c>
      <c r="S2223" s="4" t="inlineStr">
        <is>
          <t>B45</t>
        </is>
      </c>
      <c r="T2223" s="4" t="inlineStr">
        <is>
          <t>RAMP_1501_2500</t>
        </is>
      </c>
      <c r="U2223" s="4" t="inlineStr">
        <is>
          <t>CREATED</t>
        </is>
      </c>
      <c r="V2223" s="4" t="inlineStr">
        <is>
          <t>idem-20260902-ios-2222</t>
        </is>
      </c>
    </row>
    <row r="2224" ht="30" customHeight="1">
      <c r="A2224" s="4" t="n">
        <v>2223</v>
      </c>
      <c r="B2224" s="4" t="inlineStr">
        <is>
          <t>MTR-IOS-2223</t>
        </is>
      </c>
      <c r="C2224" s="4" t="inlineStr">
        <is>
          <t>Business</t>
        </is>
      </c>
      <c r="D2224" s="4" t="inlineStr">
        <is>
          <t>Business</t>
        </is>
      </c>
      <c r="E2224" s="4" t="inlineStr">
        <is>
          <t>Team Operations</t>
        </is>
      </c>
      <c r="F2224" s="4" t="inlineStr">
        <is>
          <t>Training</t>
        </is>
      </c>
      <c r="G2224" s="4" t="inlineStr">
        <is>
          <t>Expense</t>
        </is>
      </c>
      <c r="H2224" s="12" t="n">
        <v>46199</v>
      </c>
      <c r="I2224" s="13" t="n">
        <v>0.8412268518518519</v>
      </c>
      <c r="J2224" s="14" t="n">
        <v>46199.84122685185</v>
      </c>
      <c r="K2224" s="15" t="n">
        <v>32334.84</v>
      </c>
      <c r="L2224" s="4" t="inlineStr">
        <is>
          <t>INR</t>
        </is>
      </c>
      <c r="M2224" s="15" t="n">
        <v>-32334.84</v>
      </c>
      <c r="N2224" s="4" t="inlineStr">
        <is>
          <t>IOS Owner</t>
        </is>
      </c>
      <c r="O2224" s="4" t="n"/>
      <c r="P2224" s="4" t="n"/>
      <c r="Q2224" s="4" t="inlineStr">
        <is>
          <t>MAESTRO-IOS-BUSINESS-TEAM_OPERATIONS-2223 | Training | 32334.84</t>
        </is>
      </c>
      <c r="R2224" s="4" t="inlineStr">
        <is>
          <t>iPhone</t>
        </is>
      </c>
      <c r="S2224" s="4" t="inlineStr">
        <is>
          <t>B45</t>
        </is>
      </c>
      <c r="T2224" s="4" t="inlineStr">
        <is>
          <t>RAMP_1501_2500</t>
        </is>
      </c>
      <c r="U2224" s="4" t="inlineStr">
        <is>
          <t>CREATED</t>
        </is>
      </c>
      <c r="V2224" s="4" t="inlineStr">
        <is>
          <t>idem-20260902-ios-2223</t>
        </is>
      </c>
    </row>
    <row r="2225" ht="30" customHeight="1">
      <c r="A2225" s="4" t="n">
        <v>2224</v>
      </c>
      <c r="B2225" s="4" t="inlineStr">
        <is>
          <t>MTR-IOS-2224</t>
        </is>
      </c>
      <c r="C2225" s="4" t="inlineStr">
        <is>
          <t>Personal</t>
        </is>
      </c>
      <c r="D2225" s="4" t="inlineStr">
        <is>
          <t>Personal</t>
        </is>
      </c>
      <c r="E2225" s="4" t="inlineStr">
        <is>
          <t>Life Operations</t>
        </is>
      </c>
      <c r="F2225" s="4" t="inlineStr">
        <is>
          <t>Subscriptions</t>
        </is>
      </c>
      <c r="G2225" s="4" t="inlineStr">
        <is>
          <t>Expense</t>
        </is>
      </c>
      <c r="H2225" s="12" t="n">
        <v>45949</v>
      </c>
      <c r="I2225" s="13" t="n">
        <v>0.03936342592592593</v>
      </c>
      <c r="J2225" s="14" t="n">
        <v>45949.03936342592</v>
      </c>
      <c r="K2225" s="15" t="n">
        <v>401.63</v>
      </c>
      <c r="L2225" s="4" t="inlineStr">
        <is>
          <t>INR</t>
        </is>
      </c>
      <c r="M2225" s="15" t="n">
        <v>-401.63</v>
      </c>
      <c r="N2225" s="4" t="inlineStr">
        <is>
          <t>IOS Owner</t>
        </is>
      </c>
      <c r="O2225" s="4" t="n"/>
      <c r="P2225" s="4" t="n"/>
      <c r="Q2225" s="4" t="inlineStr">
        <is>
          <t>MAESTRO-IOS-PERSONAL-LIFE_OPERATIONS-2224 | Subscriptions | 401.63</t>
        </is>
      </c>
      <c r="R2225" s="4" t="inlineStr">
        <is>
          <t>iPhone</t>
        </is>
      </c>
      <c r="S2225" s="4" t="inlineStr">
        <is>
          <t>B45</t>
        </is>
      </c>
      <c r="T2225" s="4" t="inlineStr">
        <is>
          <t>RAMP_1501_2500</t>
        </is>
      </c>
      <c r="U2225" s="4" t="inlineStr">
        <is>
          <t>CREATED</t>
        </is>
      </c>
      <c r="V2225" s="4" t="inlineStr">
        <is>
          <t>idem-20260902-ios-2224</t>
        </is>
      </c>
    </row>
    <row r="2226" ht="30" customHeight="1">
      <c r="A2226" s="4" t="n">
        <v>2225</v>
      </c>
      <c r="B2226" s="4" t="inlineStr">
        <is>
          <t>MTR-IOS-2225</t>
        </is>
      </c>
      <c r="C2226" s="4" t="inlineStr">
        <is>
          <t>Group</t>
        </is>
      </c>
      <c r="D2226" s="4" t="inlineStr">
        <is>
          <t>Shared Living</t>
        </is>
      </c>
      <c r="E2226" s="4" t="inlineStr">
        <is>
          <t>Shared Living</t>
        </is>
      </c>
      <c r="F2226" s="4" t="inlineStr">
        <is>
          <t>Rent</t>
        </is>
      </c>
      <c r="G2226" s="4" t="inlineStr">
        <is>
          <t>Expense</t>
        </is>
      </c>
      <c r="H2226" s="12" t="n">
        <v>46069</v>
      </c>
      <c r="I2226" s="13" t="n">
        <v>0.219537037037037</v>
      </c>
      <c r="J2226" s="14" t="n">
        <v>46069.21953703704</v>
      </c>
      <c r="K2226" s="15" t="n">
        <v>3681.9</v>
      </c>
      <c r="L2226" s="4" t="inlineStr">
        <is>
          <t>INR</t>
        </is>
      </c>
      <c r="M2226" s="15" t="n">
        <v>-3681.9</v>
      </c>
      <c r="N2226" s="4" t="inlineStr">
        <is>
          <t>IOS Owner</t>
        </is>
      </c>
      <c r="O2226" s="4" t="n">
        <v>3</v>
      </c>
      <c r="P2226" s="4" t="inlineStr">
        <is>
          <t>PERCENTAGE</t>
        </is>
      </c>
      <c r="Q2226" s="4" t="inlineStr">
        <is>
          <t>MAESTRO-IOS-GROUP-SHARED_LIVING-2225 | Rent | 3681.90</t>
        </is>
      </c>
      <c r="R2226" s="4" t="inlineStr">
        <is>
          <t>iPhone</t>
        </is>
      </c>
      <c r="S2226" s="4" t="inlineStr">
        <is>
          <t>B45</t>
        </is>
      </c>
      <c r="T2226" s="4" t="inlineStr">
        <is>
          <t>RAMP_1501_2500</t>
        </is>
      </c>
      <c r="U2226" s="4" t="inlineStr">
        <is>
          <t>CREATED</t>
        </is>
      </c>
      <c r="V2226" s="4" t="inlineStr">
        <is>
          <t>idem-20260902-ios-2225</t>
        </is>
      </c>
    </row>
    <row r="2227" ht="30" customHeight="1">
      <c r="A2227" s="4" t="n">
        <v>2226</v>
      </c>
      <c r="B2227" s="4" t="inlineStr">
        <is>
          <t>MTR-IOS-2226</t>
        </is>
      </c>
      <c r="C2227" s="4" t="inlineStr">
        <is>
          <t>Business</t>
        </is>
      </c>
      <c r="D2227" s="4" t="inlineStr">
        <is>
          <t>Business</t>
        </is>
      </c>
      <c r="E2227" s="4" t="inlineStr">
        <is>
          <t>Team Operations</t>
        </is>
      </c>
      <c r="F2227" s="4" t="inlineStr">
        <is>
          <t>Tools</t>
        </is>
      </c>
      <c r="G2227" s="4" t="inlineStr">
        <is>
          <t>Expense</t>
        </is>
      </c>
      <c r="H2227" s="12" t="n">
        <v>46252</v>
      </c>
      <c r="I2227" s="13" t="n">
        <v>0.5074884259259259</v>
      </c>
      <c r="J2227" s="14" t="n">
        <v>46252.50748842592</v>
      </c>
      <c r="K2227" s="15" t="n">
        <v>28067.5</v>
      </c>
      <c r="L2227" s="4" t="inlineStr">
        <is>
          <t>INR</t>
        </is>
      </c>
      <c r="M2227" s="15" t="n">
        <v>-28067.5</v>
      </c>
      <c r="N2227" s="4" t="inlineStr">
        <is>
          <t>IOS Owner</t>
        </is>
      </c>
      <c r="O2227" s="4" t="n"/>
      <c r="P2227" s="4" t="n"/>
      <c r="Q2227" s="4" t="inlineStr">
        <is>
          <t>MAESTRO-IOS-BUSINESS-TEAM_OPERATIONS-2226 | Tools | 28067.50</t>
        </is>
      </c>
      <c r="R2227" s="4" t="inlineStr">
        <is>
          <t>iPhone</t>
        </is>
      </c>
      <c r="S2227" s="4" t="inlineStr">
        <is>
          <t>B45</t>
        </is>
      </c>
      <c r="T2227" s="4" t="inlineStr">
        <is>
          <t>RAMP_1501_2500</t>
        </is>
      </c>
      <c r="U2227" s="4" t="inlineStr">
        <is>
          <t>CREATED</t>
        </is>
      </c>
      <c r="V2227" s="4" t="inlineStr">
        <is>
          <t>idem-20260902-ios-2226</t>
        </is>
      </c>
    </row>
    <row r="2228" ht="30" customHeight="1">
      <c r="A2228" s="4" t="n">
        <v>2227</v>
      </c>
      <c r="B2228" s="4" t="inlineStr">
        <is>
          <t>MTR-IOS-2227</t>
        </is>
      </c>
      <c r="C2228" s="4" t="inlineStr">
        <is>
          <t>Personal</t>
        </is>
      </c>
      <c r="D2228" s="4" t="inlineStr">
        <is>
          <t>Personal</t>
        </is>
      </c>
      <c r="E2228" s="4" t="inlineStr">
        <is>
          <t>Life Operations</t>
        </is>
      </c>
      <c r="F2228" s="4" t="inlineStr">
        <is>
          <t>Repairs</t>
        </is>
      </c>
      <c r="G2228" s="4" t="inlineStr">
        <is>
          <t>Expense</t>
        </is>
      </c>
      <c r="H2228" s="12" t="n">
        <v>46068</v>
      </c>
      <c r="I2228" s="13" t="n">
        <v>0.2378935185185185</v>
      </c>
      <c r="J2228" s="14" t="n">
        <v>46068.23789351852</v>
      </c>
      <c r="K2228" s="15" t="n">
        <v>11908.28</v>
      </c>
      <c r="L2228" s="4" t="inlineStr">
        <is>
          <t>INR</t>
        </is>
      </c>
      <c r="M2228" s="15" t="n">
        <v>-11908.28</v>
      </c>
      <c r="N2228" s="4" t="inlineStr">
        <is>
          <t>IOS Owner</t>
        </is>
      </c>
      <c r="O2228" s="4" t="n"/>
      <c r="P2228" s="4" t="n"/>
      <c r="Q2228" s="4" t="inlineStr">
        <is>
          <t>MAESTRO-IOS-PERSONAL-LIFE_OPERATIONS-2227 | Repairs | 11908.28</t>
        </is>
      </c>
      <c r="R2228" s="4" t="inlineStr">
        <is>
          <t>iPhone</t>
        </is>
      </c>
      <c r="S2228" s="4" t="inlineStr">
        <is>
          <t>B45</t>
        </is>
      </c>
      <c r="T2228" s="4" t="inlineStr">
        <is>
          <t>RAMP_1501_2500</t>
        </is>
      </c>
      <c r="U2228" s="4" t="inlineStr">
        <is>
          <t>CREATED</t>
        </is>
      </c>
      <c r="V2228" s="4" t="inlineStr">
        <is>
          <t>idem-20260902-ios-2227</t>
        </is>
      </c>
    </row>
    <row r="2229" ht="30" customHeight="1">
      <c r="A2229" s="4" t="n">
        <v>2228</v>
      </c>
      <c r="B2229" s="4" t="inlineStr">
        <is>
          <t>MTR-IOS-2228</t>
        </is>
      </c>
      <c r="C2229" s="4" t="inlineStr">
        <is>
          <t>Group</t>
        </is>
      </c>
      <c r="D2229" s="4" t="inlineStr">
        <is>
          <t>Shared Living</t>
        </is>
      </c>
      <c r="E2229" s="4" t="inlineStr">
        <is>
          <t>Shared Living</t>
        </is>
      </c>
      <c r="F2229" s="4" t="inlineStr">
        <is>
          <t>Utilities</t>
        </is>
      </c>
      <c r="G2229" s="4" t="inlineStr">
        <is>
          <t>Expense</t>
        </is>
      </c>
      <c r="H2229" s="12" t="n">
        <v>46260</v>
      </c>
      <c r="I2229" s="13" t="n">
        <v>0.1156134259259259</v>
      </c>
      <c r="J2229" s="14" t="n">
        <v>46260.11561342593</v>
      </c>
      <c r="K2229" s="15" t="n">
        <v>11317.84</v>
      </c>
      <c r="L2229" s="4" t="inlineStr">
        <is>
          <t>INR</t>
        </is>
      </c>
      <c r="M2229" s="15" t="n">
        <v>-11317.84</v>
      </c>
      <c r="N2229" s="4" t="inlineStr">
        <is>
          <t>IOS Aarav</t>
        </is>
      </c>
      <c r="O2229" s="4" t="n">
        <v>3</v>
      </c>
      <c r="P2229" s="4" t="inlineStr">
        <is>
          <t>EXACT</t>
        </is>
      </c>
      <c r="Q2229" s="4" t="inlineStr">
        <is>
          <t>MAESTRO-IOS-GROUP-SHARED_LIVING-2228 | Utilities | 11317.84</t>
        </is>
      </c>
      <c r="R2229" s="4" t="inlineStr">
        <is>
          <t>iPhone</t>
        </is>
      </c>
      <c r="S2229" s="4" t="inlineStr">
        <is>
          <t>B45</t>
        </is>
      </c>
      <c r="T2229" s="4" t="inlineStr">
        <is>
          <t>RAMP_1501_2500</t>
        </is>
      </c>
      <c r="U2229" s="4" t="inlineStr">
        <is>
          <t>CREATED</t>
        </is>
      </c>
      <c r="V2229" s="4" t="inlineStr">
        <is>
          <t>idem-20260902-ios-2228</t>
        </is>
      </c>
    </row>
    <row r="2230" ht="30" customHeight="1">
      <c r="A2230" s="4" t="n">
        <v>2229</v>
      </c>
      <c r="B2230" s="4" t="inlineStr">
        <is>
          <t>MTR-IOS-2229</t>
        </is>
      </c>
      <c r="C2230" s="4" t="inlineStr">
        <is>
          <t>Business</t>
        </is>
      </c>
      <c r="D2230" s="4" t="inlineStr">
        <is>
          <t>Business</t>
        </is>
      </c>
      <c r="E2230" s="4" t="inlineStr">
        <is>
          <t>Business Runway</t>
        </is>
      </c>
      <c r="F2230" s="4" t="inlineStr">
        <is>
          <t>Funding</t>
        </is>
      </c>
      <c r="G2230" s="4" t="inlineStr">
        <is>
          <t>Income</t>
        </is>
      </c>
      <c r="H2230" s="12" t="n">
        <v>46016</v>
      </c>
      <c r="I2230" s="13" t="n">
        <v>0.6583912037037037</v>
      </c>
      <c r="J2230" s="14" t="n">
        <v>46016.6583912037</v>
      </c>
      <c r="K2230" s="15" t="n">
        <v>9514.690000000001</v>
      </c>
      <c r="L2230" s="4" t="inlineStr">
        <is>
          <t>INR</t>
        </is>
      </c>
      <c r="M2230" s="15" t="n">
        <v>9514.690000000001</v>
      </c>
      <c r="N2230" s="4" t="inlineStr">
        <is>
          <t>IOS Owner</t>
        </is>
      </c>
      <c r="O2230" s="4" t="n"/>
      <c r="P2230" s="4" t="n"/>
      <c r="Q2230" s="4" t="inlineStr">
        <is>
          <t>MAESTRO-IOS-BUSINESS-BUSINESS_RUNWAY-2229 | Funding | 9514.69</t>
        </is>
      </c>
      <c r="R2230" s="4" t="inlineStr">
        <is>
          <t>iPhone</t>
        </is>
      </c>
      <c r="S2230" s="4" t="inlineStr">
        <is>
          <t>B45</t>
        </is>
      </c>
      <c r="T2230" s="4" t="inlineStr">
        <is>
          <t>RAMP_1501_2500</t>
        </is>
      </c>
      <c r="U2230" s="4" t="inlineStr">
        <is>
          <t>CREATED</t>
        </is>
      </c>
      <c r="V2230" s="4" t="inlineStr">
        <is>
          <t>idem-20260902-ios-2229</t>
        </is>
      </c>
    </row>
    <row r="2231" ht="30" customHeight="1">
      <c r="A2231" s="4" t="n">
        <v>2230</v>
      </c>
      <c r="B2231" s="4" t="inlineStr">
        <is>
          <t>MTR-IOS-2230</t>
        </is>
      </c>
      <c r="C2231" s="4" t="inlineStr">
        <is>
          <t>Personal</t>
        </is>
      </c>
      <c r="D2231" s="4" t="inlineStr">
        <is>
          <t>Personal</t>
        </is>
      </c>
      <c r="E2231" s="4" t="inlineStr">
        <is>
          <t>Future Building</t>
        </is>
      </c>
      <c r="F2231" s="4" t="inlineStr">
        <is>
          <t>Savings</t>
        </is>
      </c>
      <c r="G2231" s="4" t="inlineStr">
        <is>
          <t>Transfer</t>
        </is>
      </c>
      <c r="H2231" s="12" t="n">
        <v>46217</v>
      </c>
      <c r="I2231" s="13" t="n">
        <v>0.6252777777777778</v>
      </c>
      <c r="J2231" s="14" t="n">
        <v>46217.62527777778</v>
      </c>
      <c r="K2231" s="15" t="n">
        <v>7802.75</v>
      </c>
      <c r="L2231" s="4" t="inlineStr">
        <is>
          <t>INR</t>
        </is>
      </c>
      <c r="M2231" s="15" t="n">
        <v>0</v>
      </c>
      <c r="N2231" s="4" t="inlineStr">
        <is>
          <t>IOS Owner</t>
        </is>
      </c>
      <c r="O2231" s="4" t="n"/>
      <c r="P2231" s="4" t="n"/>
      <c r="Q2231" s="4" t="inlineStr">
        <is>
          <t>MAESTRO-IOS-PERSONAL-FUTURE_BUILDING-2230 | Savings | 7802.75</t>
        </is>
      </c>
      <c r="R2231" s="4" t="inlineStr">
        <is>
          <t>iPhone</t>
        </is>
      </c>
      <c r="S2231" s="4" t="inlineStr">
        <is>
          <t>B45</t>
        </is>
      </c>
      <c r="T2231" s="4" t="inlineStr">
        <is>
          <t>RAMP_1501_2500</t>
        </is>
      </c>
      <c r="U2231" s="4" t="inlineStr">
        <is>
          <t>CREATED</t>
        </is>
      </c>
      <c r="V2231" s="4" t="inlineStr">
        <is>
          <t>idem-20260902-ios-2230</t>
        </is>
      </c>
    </row>
    <row r="2232" ht="30" customHeight="1">
      <c r="A2232" s="4" t="n">
        <v>2231</v>
      </c>
      <c r="B2232" s="4" t="inlineStr">
        <is>
          <t>MTR-IOS-2231</t>
        </is>
      </c>
      <c r="C2232" s="4" t="inlineStr">
        <is>
          <t>Group</t>
        </is>
      </c>
      <c r="D2232" s="4" t="inlineStr">
        <is>
          <t>Shared Living</t>
        </is>
      </c>
      <c r="E2232" s="4" t="inlineStr">
        <is>
          <t>Shared Living</t>
        </is>
      </c>
      <c r="F2232" s="4" t="inlineStr">
        <is>
          <t>Groceries</t>
        </is>
      </c>
      <c r="G2232" s="4" t="inlineStr">
        <is>
          <t>Expense</t>
        </is>
      </c>
      <c r="H2232" s="12" t="n">
        <v>46258</v>
      </c>
      <c r="I2232" s="13" t="n">
        <v>0.3889583333333334</v>
      </c>
      <c r="J2232" s="14" t="n">
        <v>46258.38895833334</v>
      </c>
      <c r="K2232" s="15" t="n">
        <v>23481.83</v>
      </c>
      <c r="L2232" s="4" t="inlineStr">
        <is>
          <t>INR</t>
        </is>
      </c>
      <c r="M2232" s="15" t="n">
        <v>-23481.83</v>
      </c>
      <c r="N2232" s="4" t="inlineStr">
        <is>
          <t>IOS Meera</t>
        </is>
      </c>
      <c r="O2232" s="4" t="n">
        <v>3</v>
      </c>
      <c r="P2232" s="4" t="inlineStr">
        <is>
          <t>SHARES</t>
        </is>
      </c>
      <c r="Q2232" s="4" t="inlineStr">
        <is>
          <t>MAESTRO-IOS-GROUP-SHARED_LIVING-2231 | Groceries | 23481.83</t>
        </is>
      </c>
      <c r="R2232" s="4" t="inlineStr">
        <is>
          <t>iPhone</t>
        </is>
      </c>
      <c r="S2232" s="4" t="inlineStr">
        <is>
          <t>B45</t>
        </is>
      </c>
      <c r="T2232" s="4" t="inlineStr">
        <is>
          <t>RAMP_1501_2500</t>
        </is>
      </c>
      <c r="U2232" s="4" t="inlineStr">
        <is>
          <t>CREATED</t>
        </is>
      </c>
      <c r="V2232" s="4" t="inlineStr">
        <is>
          <t>idem-20260902-ios-2231</t>
        </is>
      </c>
    </row>
    <row r="2233" ht="30" customHeight="1">
      <c r="A2233" s="4" t="n">
        <v>2232</v>
      </c>
      <c r="B2233" s="4" t="inlineStr">
        <is>
          <t>MTR-IOS-2232</t>
        </is>
      </c>
      <c r="C2233" s="4" t="inlineStr">
        <is>
          <t>Business</t>
        </is>
      </c>
      <c r="D2233" s="4" t="inlineStr">
        <is>
          <t>Business</t>
        </is>
      </c>
      <c r="E2233" s="4" t="inlineStr">
        <is>
          <t>Business Runway</t>
        </is>
      </c>
      <c r="F2233" s="4" t="inlineStr">
        <is>
          <t>Revenue</t>
        </is>
      </c>
      <c r="G2233" s="4" t="inlineStr">
        <is>
          <t>Income</t>
        </is>
      </c>
      <c r="H2233" s="12" t="n">
        <v>45973</v>
      </c>
      <c r="I2233" s="13" t="n">
        <v>0.4414814814814815</v>
      </c>
      <c r="J2233" s="14" t="n">
        <v>45973.44148148148</v>
      </c>
      <c r="K2233" s="15" t="n">
        <v>140507.19</v>
      </c>
      <c r="L2233" s="4" t="inlineStr">
        <is>
          <t>INR</t>
        </is>
      </c>
      <c r="M2233" s="15" t="n">
        <v>140507.19</v>
      </c>
      <c r="N2233" s="4" t="inlineStr">
        <is>
          <t>IOS Owner</t>
        </is>
      </c>
      <c r="O2233" s="4" t="n"/>
      <c r="P2233" s="4" t="n"/>
      <c r="Q2233" s="4" t="inlineStr">
        <is>
          <t>MAESTRO-IOS-BUSINESS-BUSINESS_RUNWAY-2232 | Revenue | 140507.19</t>
        </is>
      </c>
      <c r="R2233" s="4" t="inlineStr">
        <is>
          <t>iPhone</t>
        </is>
      </c>
      <c r="S2233" s="4" t="inlineStr">
        <is>
          <t>B45</t>
        </is>
      </c>
      <c r="T2233" s="4" t="inlineStr">
        <is>
          <t>RAMP_1501_2500</t>
        </is>
      </c>
      <c r="U2233" s="4" t="inlineStr">
        <is>
          <t>CREATED</t>
        </is>
      </c>
      <c r="V2233" s="4" t="inlineStr">
        <is>
          <t>idem-20260902-ios-2232</t>
        </is>
      </c>
    </row>
    <row r="2234" ht="30" customHeight="1">
      <c r="A2234" s="4" t="n">
        <v>2233</v>
      </c>
      <c r="B2234" s="4" t="inlineStr">
        <is>
          <t>MTR-IOS-2233</t>
        </is>
      </c>
      <c r="C2234" s="4" t="inlineStr">
        <is>
          <t>Personal</t>
        </is>
      </c>
      <c r="D2234" s="4" t="inlineStr">
        <is>
          <t>Personal</t>
        </is>
      </c>
      <c r="E2234" s="4" t="inlineStr">
        <is>
          <t>Future Building</t>
        </is>
      </c>
      <c r="F2234" s="4" t="inlineStr">
        <is>
          <t>Emergency Fund</t>
        </is>
      </c>
      <c r="G2234" s="4" t="inlineStr">
        <is>
          <t>Transfer</t>
        </is>
      </c>
      <c r="H2234" s="12" t="n">
        <v>46193</v>
      </c>
      <c r="I2234" s="13" t="n">
        <v>0.7336226851851851</v>
      </c>
      <c r="J2234" s="14" t="n">
        <v>46193.73362268518</v>
      </c>
      <c r="K2234" s="15" t="n">
        <v>13263.86</v>
      </c>
      <c r="L2234" s="4" t="inlineStr">
        <is>
          <t>INR</t>
        </is>
      </c>
      <c r="M2234" s="15" t="n">
        <v>0</v>
      </c>
      <c r="N2234" s="4" t="inlineStr">
        <is>
          <t>IOS Owner</t>
        </is>
      </c>
      <c r="O2234" s="4" t="n"/>
      <c r="P2234" s="4" t="n"/>
      <c r="Q2234" s="4" t="inlineStr">
        <is>
          <t>MAESTRO-IOS-PERSONAL-FUTURE_BUILDING-2233 | Emergency Fund | 13263.86</t>
        </is>
      </c>
      <c r="R2234" s="4" t="inlineStr">
        <is>
          <t>iPhone</t>
        </is>
      </c>
      <c r="S2234" s="4" t="inlineStr">
        <is>
          <t>B45</t>
        </is>
      </c>
      <c r="T2234" s="4" t="inlineStr">
        <is>
          <t>RAMP_1501_2500</t>
        </is>
      </c>
      <c r="U2234" s="4" t="inlineStr">
        <is>
          <t>CREATED</t>
        </is>
      </c>
      <c r="V2234" s="4" t="inlineStr">
        <is>
          <t>idem-20260902-ios-2233</t>
        </is>
      </c>
    </row>
    <row r="2235" ht="30" customHeight="1">
      <c r="A2235" s="4" t="n">
        <v>2234</v>
      </c>
      <c r="B2235" s="4" t="inlineStr">
        <is>
          <t>MTR-IOS-2234</t>
        </is>
      </c>
      <c r="C2235" s="4" t="inlineStr">
        <is>
          <t>Group</t>
        </is>
      </c>
      <c r="D2235" s="4" t="inlineStr">
        <is>
          <t>Shared Living</t>
        </is>
      </c>
      <c r="E2235" s="4" t="inlineStr">
        <is>
          <t>Shared Living</t>
        </is>
      </c>
      <c r="F2235" s="4" t="inlineStr">
        <is>
          <t>Maintenance</t>
        </is>
      </c>
      <c r="G2235" s="4" t="inlineStr">
        <is>
          <t>Expense</t>
        </is>
      </c>
      <c r="H2235" s="12" t="n">
        <v>45951</v>
      </c>
      <c r="I2235" s="13" t="n">
        <v>0.7290162037037037</v>
      </c>
      <c r="J2235" s="14" t="n">
        <v>45951.7290162037</v>
      </c>
      <c r="K2235" s="15" t="n">
        <v>13047.37</v>
      </c>
      <c r="L2235" s="4" t="inlineStr">
        <is>
          <t>INR</t>
        </is>
      </c>
      <c r="M2235" s="15" t="n">
        <v>-13047.37</v>
      </c>
      <c r="N2235" s="4" t="inlineStr">
        <is>
          <t>IOS Owner</t>
        </is>
      </c>
      <c r="O2235" s="4" t="n">
        <v>3</v>
      </c>
      <c r="P2235" s="4" t="inlineStr">
        <is>
          <t>EQUAL</t>
        </is>
      </c>
      <c r="Q2235" s="4" t="inlineStr">
        <is>
          <t>MAESTRO-IOS-GROUP-SHARED_LIVING-2234 | Maintenance | 13047.37</t>
        </is>
      </c>
      <c r="R2235" s="4" t="inlineStr">
        <is>
          <t>iPhone</t>
        </is>
      </c>
      <c r="S2235" s="4" t="inlineStr">
        <is>
          <t>B45</t>
        </is>
      </c>
      <c r="T2235" s="4" t="inlineStr">
        <is>
          <t>RAMP_1501_2500</t>
        </is>
      </c>
      <c r="U2235" s="4" t="inlineStr">
        <is>
          <t>CREATED</t>
        </is>
      </c>
      <c r="V2235" s="4" t="inlineStr">
        <is>
          <t>idem-20260902-ios-2234</t>
        </is>
      </c>
    </row>
    <row r="2236" ht="30" customHeight="1">
      <c r="A2236" s="4" t="n">
        <v>2235</v>
      </c>
      <c r="B2236" s="4" t="inlineStr">
        <is>
          <t>MTR-IOS-2235</t>
        </is>
      </c>
      <c r="C2236" s="4" t="inlineStr">
        <is>
          <t>Business</t>
        </is>
      </c>
      <c r="D2236" s="4" t="inlineStr">
        <is>
          <t>Business</t>
        </is>
      </c>
      <c r="E2236" s="4" t="inlineStr">
        <is>
          <t>Business Runway</t>
        </is>
      </c>
      <c r="F2236" s="4" t="inlineStr">
        <is>
          <t>Burn</t>
        </is>
      </c>
      <c r="G2236" s="4" t="inlineStr">
        <is>
          <t>Expense</t>
        </is>
      </c>
      <c r="H2236" s="12" t="n">
        <v>45992</v>
      </c>
      <c r="I2236" s="13" t="n">
        <v>0.4207986111111111</v>
      </c>
      <c r="J2236" s="14" t="n">
        <v>45992.42079861111</v>
      </c>
      <c r="K2236" s="15" t="n">
        <v>95080.82000000001</v>
      </c>
      <c r="L2236" s="4" t="inlineStr">
        <is>
          <t>INR</t>
        </is>
      </c>
      <c r="M2236" s="15" t="n">
        <v>-95080.82000000001</v>
      </c>
      <c r="N2236" s="4" t="inlineStr">
        <is>
          <t>IOS Owner</t>
        </is>
      </c>
      <c r="O2236" s="4" t="n"/>
      <c r="P2236" s="4" t="n"/>
      <c r="Q2236" s="4" t="inlineStr">
        <is>
          <t>MAESTRO-IOS-BUSINESS-BUSINESS_RUNWAY-2235 | Burn | 95080.82</t>
        </is>
      </c>
      <c r="R2236" s="4" t="inlineStr">
        <is>
          <t>iPhone</t>
        </is>
      </c>
      <c r="S2236" s="4" t="inlineStr">
        <is>
          <t>B45</t>
        </is>
      </c>
      <c r="T2236" s="4" t="inlineStr">
        <is>
          <t>RAMP_1501_2500</t>
        </is>
      </c>
      <c r="U2236" s="4" t="inlineStr">
        <is>
          <t>CREATED</t>
        </is>
      </c>
      <c r="V2236" s="4" t="inlineStr">
        <is>
          <t>idem-20260902-ios-2235</t>
        </is>
      </c>
    </row>
    <row r="2237" ht="30" customHeight="1">
      <c r="A2237" s="4" t="n">
        <v>2236</v>
      </c>
      <c r="B2237" s="4" t="inlineStr">
        <is>
          <t>MTR-IOS-2236</t>
        </is>
      </c>
      <c r="C2237" s="4" t="inlineStr">
        <is>
          <t>Personal</t>
        </is>
      </c>
      <c r="D2237" s="4" t="inlineStr">
        <is>
          <t>Personal</t>
        </is>
      </c>
      <c r="E2237" s="4" t="inlineStr">
        <is>
          <t>Future Building</t>
        </is>
      </c>
      <c r="F2237" s="4" t="inlineStr">
        <is>
          <t>Investments</t>
        </is>
      </c>
      <c r="G2237" s="4" t="inlineStr">
        <is>
          <t>Investment</t>
        </is>
      </c>
      <c r="H2237" s="12" t="n">
        <v>46043</v>
      </c>
      <c r="I2237" s="13" t="n">
        <v>0.5950231481481482</v>
      </c>
      <c r="J2237" s="14" t="n">
        <v>46043.59502314815</v>
      </c>
      <c r="K2237" s="15" t="n">
        <v>4608.13</v>
      </c>
      <c r="L2237" s="4" t="inlineStr">
        <is>
          <t>INR</t>
        </is>
      </c>
      <c r="M2237" s="15" t="n">
        <v>0</v>
      </c>
      <c r="N2237" s="4" t="inlineStr">
        <is>
          <t>IOS Owner</t>
        </is>
      </c>
      <c r="O2237" s="4" t="n"/>
      <c r="P2237" s="4" t="n"/>
      <c r="Q2237" s="4" t="inlineStr">
        <is>
          <t>MAESTRO-IOS-PERSONAL-FUTURE_BUILDING-2236 | Investments | 4608.13</t>
        </is>
      </c>
      <c r="R2237" s="4" t="inlineStr">
        <is>
          <t>iPhone</t>
        </is>
      </c>
      <c r="S2237" s="4" t="inlineStr">
        <is>
          <t>B45</t>
        </is>
      </c>
      <c r="T2237" s="4" t="inlineStr">
        <is>
          <t>RAMP_1501_2500</t>
        </is>
      </c>
      <c r="U2237" s="4" t="inlineStr">
        <is>
          <t>CREATED</t>
        </is>
      </c>
      <c r="V2237" s="4" t="inlineStr">
        <is>
          <t>idem-20260902-ios-2236</t>
        </is>
      </c>
    </row>
    <row r="2238" ht="30" customHeight="1">
      <c r="A2238" s="4" t="n">
        <v>2237</v>
      </c>
      <c r="B2238" s="4" t="inlineStr">
        <is>
          <t>MTR-IOS-2237</t>
        </is>
      </c>
      <c r="C2238" s="4" t="inlineStr">
        <is>
          <t>Group</t>
        </is>
      </c>
      <c r="D2238" s="4" t="inlineStr">
        <is>
          <t>Shared Living</t>
        </is>
      </c>
      <c r="E2238" s="4" t="inlineStr">
        <is>
          <t>Shared Living</t>
        </is>
      </c>
      <c r="F2238" s="4" t="inlineStr">
        <is>
          <t>Other</t>
        </is>
      </c>
      <c r="G2238" s="4" t="inlineStr">
        <is>
          <t>Expense</t>
        </is>
      </c>
      <c r="H2238" s="12" t="n">
        <v>46034</v>
      </c>
      <c r="I2238" s="13" t="n">
        <v>0.01603009259259259</v>
      </c>
      <c r="J2238" s="14" t="n">
        <v>46034.01603009259</v>
      </c>
      <c r="K2238" s="15" t="n">
        <v>4595.79</v>
      </c>
      <c r="L2238" s="4" t="inlineStr">
        <is>
          <t>INR</t>
        </is>
      </c>
      <c r="M2238" s="15" t="n">
        <v>-4595.79</v>
      </c>
      <c r="N2238" s="4" t="inlineStr">
        <is>
          <t>IOS Aarav</t>
        </is>
      </c>
      <c r="O2238" s="4" t="n">
        <v>3</v>
      </c>
      <c r="P2238" s="4" t="inlineStr">
        <is>
          <t>PERCENTAGE</t>
        </is>
      </c>
      <c r="Q2238" s="4" t="inlineStr">
        <is>
          <t>MAESTRO-IOS-GROUP-SHARED_LIVING-2237 | Other | 4595.79</t>
        </is>
      </c>
      <c r="R2238" s="4" t="inlineStr">
        <is>
          <t>iPhone</t>
        </is>
      </c>
      <c r="S2238" s="4" t="inlineStr">
        <is>
          <t>B45</t>
        </is>
      </c>
      <c r="T2238" s="4" t="inlineStr">
        <is>
          <t>RAMP_1501_2500</t>
        </is>
      </c>
      <c r="U2238" s="4" t="inlineStr">
        <is>
          <t>CREATED</t>
        </is>
      </c>
      <c r="V2238" s="4" t="inlineStr">
        <is>
          <t>idem-20260902-ios-2237</t>
        </is>
      </c>
    </row>
    <row r="2239" ht="30" customHeight="1">
      <c r="A2239" s="4" t="n">
        <v>2238</v>
      </c>
      <c r="B2239" s="4" t="inlineStr">
        <is>
          <t>MTR-IOS-2238</t>
        </is>
      </c>
      <c r="C2239" s="4" t="inlineStr">
        <is>
          <t>Business</t>
        </is>
      </c>
      <c r="D2239" s="4" t="inlineStr">
        <is>
          <t>Business</t>
        </is>
      </c>
      <c r="E2239" s="4" t="inlineStr">
        <is>
          <t>Business Runway</t>
        </is>
      </c>
      <c r="F2239" s="4" t="inlineStr">
        <is>
          <t>Reserve</t>
        </is>
      </c>
      <c r="G2239" s="4" t="inlineStr">
        <is>
          <t>Transfer</t>
        </is>
      </c>
      <c r="H2239" s="12" t="n">
        <v>46072</v>
      </c>
      <c r="I2239" s="13" t="n">
        <v>0.2188078703703704</v>
      </c>
      <c r="J2239" s="14" t="n">
        <v>46072.21880787037</v>
      </c>
      <c r="K2239" s="15" t="n">
        <v>133964.31</v>
      </c>
      <c r="L2239" s="4" t="inlineStr">
        <is>
          <t>INR</t>
        </is>
      </c>
      <c r="M2239" s="15" t="n">
        <v>0</v>
      </c>
      <c r="N2239" s="4" t="inlineStr">
        <is>
          <t>IOS Owner</t>
        </is>
      </c>
      <c r="O2239" s="4" t="n"/>
      <c r="P2239" s="4" t="n"/>
      <c r="Q2239" s="4" t="inlineStr">
        <is>
          <t>MAESTRO-IOS-BUSINESS-BUSINESS_RUNWAY-2238 | Reserve | 133964.31</t>
        </is>
      </c>
      <c r="R2239" s="4" t="inlineStr">
        <is>
          <t>iPhone</t>
        </is>
      </c>
      <c r="S2239" s="4" t="inlineStr">
        <is>
          <t>B45</t>
        </is>
      </c>
      <c r="T2239" s="4" t="inlineStr">
        <is>
          <t>RAMP_1501_2500</t>
        </is>
      </c>
      <c r="U2239" s="4" t="inlineStr">
        <is>
          <t>CREATED</t>
        </is>
      </c>
      <c r="V2239" s="4" t="inlineStr">
        <is>
          <t>idem-20260902-ios-2238</t>
        </is>
      </c>
    </row>
    <row r="2240" ht="30" customHeight="1">
      <c r="A2240" s="4" t="n">
        <v>2239</v>
      </c>
      <c r="B2240" s="4" t="inlineStr">
        <is>
          <t>MTR-IOS-2239</t>
        </is>
      </c>
      <c r="C2240" s="4" t="inlineStr">
        <is>
          <t>Personal</t>
        </is>
      </c>
      <c r="D2240" s="4" t="inlineStr">
        <is>
          <t>Personal</t>
        </is>
      </c>
      <c r="E2240" s="4" t="inlineStr">
        <is>
          <t>Future Building</t>
        </is>
      </c>
      <c r="F2240" s="4" t="inlineStr">
        <is>
          <t>Education</t>
        </is>
      </c>
      <c r="G2240" s="4" t="inlineStr">
        <is>
          <t>Expense</t>
        </is>
      </c>
      <c r="H2240" s="12" t="n">
        <v>46209</v>
      </c>
      <c r="I2240" s="13" t="n">
        <v>0.2564467592592592</v>
      </c>
      <c r="J2240" s="14" t="n">
        <v>46209.25644675926</v>
      </c>
      <c r="K2240" s="15" t="n">
        <v>8011.42</v>
      </c>
      <c r="L2240" s="4" t="inlineStr">
        <is>
          <t>INR</t>
        </is>
      </c>
      <c r="M2240" s="15" t="n">
        <v>-8011.42</v>
      </c>
      <c r="N2240" s="4" t="inlineStr">
        <is>
          <t>IOS Owner</t>
        </is>
      </c>
      <c r="O2240" s="4" t="n"/>
      <c r="P2240" s="4" t="n"/>
      <c r="Q2240" s="4" t="inlineStr">
        <is>
          <t>MAESTRO-IOS-PERSONAL-FUTURE_BUILDING-2239 | Education | 8011.42</t>
        </is>
      </c>
      <c r="R2240" s="4" t="inlineStr">
        <is>
          <t>iPhone</t>
        </is>
      </c>
      <c r="S2240" s="4" t="inlineStr">
        <is>
          <t>B45</t>
        </is>
      </c>
      <c r="T2240" s="4" t="inlineStr">
        <is>
          <t>RAMP_1501_2500</t>
        </is>
      </c>
      <c r="U2240" s="4" t="inlineStr">
        <is>
          <t>CREATED</t>
        </is>
      </c>
      <c r="V2240" s="4" t="inlineStr">
        <is>
          <t>idem-20260902-ios-2239</t>
        </is>
      </c>
    </row>
    <row r="2241" ht="30" customHeight="1">
      <c r="A2241" s="4" t="n">
        <v>2240</v>
      </c>
      <c r="B2241" s="4" t="inlineStr">
        <is>
          <t>MTR-IOS-2240</t>
        </is>
      </c>
      <c r="C2241" s="4" t="inlineStr">
        <is>
          <t>Group</t>
        </is>
      </c>
      <c r="D2241" s="4" t="inlineStr">
        <is>
          <t>Shared Living</t>
        </is>
      </c>
      <c r="E2241" s="4" t="inlineStr">
        <is>
          <t>Family Household</t>
        </is>
      </c>
      <c r="F2241" s="4" t="inlineStr">
        <is>
          <t>Groceries</t>
        </is>
      </c>
      <c r="G2241" s="4" t="inlineStr">
        <is>
          <t>Expense</t>
        </is>
      </c>
      <c r="H2241" s="12" t="n">
        <v>46054</v>
      </c>
      <c r="I2241" s="13" t="n">
        <v>0.5860069444444445</v>
      </c>
      <c r="J2241" s="14" t="n">
        <v>46054.58600694445</v>
      </c>
      <c r="K2241" s="15" t="n">
        <v>7488.69</v>
      </c>
      <c r="L2241" s="4" t="inlineStr">
        <is>
          <t>INR</t>
        </is>
      </c>
      <c r="M2241" s="15" t="n">
        <v>-7488.69</v>
      </c>
      <c r="N2241" s="4" t="inlineStr">
        <is>
          <t>IOS Meera</t>
        </is>
      </c>
      <c r="O2241" s="4" t="n">
        <v>3</v>
      </c>
      <c r="P2241" s="4" t="inlineStr">
        <is>
          <t>EXACT</t>
        </is>
      </c>
      <c r="Q2241" s="4" t="inlineStr">
        <is>
          <t>MAESTRO-IOS-GROUP-FAMILY_HOUSEHOLD-2240 | Groceries | 7488.69</t>
        </is>
      </c>
      <c r="R2241" s="4" t="inlineStr">
        <is>
          <t>iPhone</t>
        </is>
      </c>
      <c r="S2241" s="4" t="inlineStr">
        <is>
          <t>B45</t>
        </is>
      </c>
      <c r="T2241" s="4" t="inlineStr">
        <is>
          <t>RAMP_1501_2500</t>
        </is>
      </c>
      <c r="U2241" s="4" t="inlineStr">
        <is>
          <t>CREATED</t>
        </is>
      </c>
      <c r="V2241" s="4" t="inlineStr">
        <is>
          <t>idem-20260902-ios-2240</t>
        </is>
      </c>
    </row>
    <row r="2242" ht="30" customHeight="1">
      <c r="A2242" s="4" t="n">
        <v>2241</v>
      </c>
      <c r="B2242" s="4" t="inlineStr">
        <is>
          <t>MTR-IOS-2241</t>
        </is>
      </c>
      <c r="C2242" s="4" t="inlineStr">
        <is>
          <t>Business</t>
        </is>
      </c>
      <c r="D2242" s="4" t="inlineStr">
        <is>
          <t>Business</t>
        </is>
      </c>
      <c r="E2242" s="4" t="inlineStr">
        <is>
          <t>Business Runway</t>
        </is>
      </c>
      <c r="F2242" s="4" t="inlineStr">
        <is>
          <t>Loan</t>
        </is>
      </c>
      <c r="G2242" s="4" t="inlineStr">
        <is>
          <t>Income</t>
        </is>
      </c>
      <c r="H2242" s="12" t="n">
        <v>46120</v>
      </c>
      <c r="I2242" s="13" t="n">
        <v>0.9420486111111112</v>
      </c>
      <c r="J2242" s="14" t="n">
        <v>46120.94204861111</v>
      </c>
      <c r="K2242" s="15" t="n">
        <v>15940.14</v>
      </c>
      <c r="L2242" s="4" t="inlineStr">
        <is>
          <t>INR</t>
        </is>
      </c>
      <c r="M2242" s="15" t="n">
        <v>15940.14</v>
      </c>
      <c r="N2242" s="4" t="inlineStr">
        <is>
          <t>IOS Owner</t>
        </is>
      </c>
      <c r="O2242" s="4" t="n"/>
      <c r="P2242" s="4" t="n"/>
      <c r="Q2242" s="4" t="inlineStr">
        <is>
          <t>MAESTRO-IOS-BUSINESS-BUSINESS_RUNWAY-2241 | Loan | 15940.14</t>
        </is>
      </c>
      <c r="R2242" s="4" t="inlineStr">
        <is>
          <t>iPhone</t>
        </is>
      </c>
      <c r="S2242" s="4" t="inlineStr">
        <is>
          <t>B45</t>
        </is>
      </c>
      <c r="T2242" s="4" t="inlineStr">
        <is>
          <t>RAMP_1501_2500</t>
        </is>
      </c>
      <c r="U2242" s="4" t="inlineStr">
        <is>
          <t>CREATED</t>
        </is>
      </c>
      <c r="V2242" s="4" t="inlineStr">
        <is>
          <t>idem-20260902-ios-2241</t>
        </is>
      </c>
    </row>
    <row r="2243" ht="30" customHeight="1">
      <c r="A2243" s="4" t="n">
        <v>2242</v>
      </c>
      <c r="B2243" s="4" t="inlineStr">
        <is>
          <t>MTR-IOS-2242</t>
        </is>
      </c>
      <c r="C2243" s="4" t="inlineStr">
        <is>
          <t>Personal</t>
        </is>
      </c>
      <c r="D2243" s="4" t="inlineStr">
        <is>
          <t>Personal</t>
        </is>
      </c>
      <c r="E2243" s="4" t="inlineStr">
        <is>
          <t>Future Building</t>
        </is>
      </c>
      <c r="F2243" s="4" t="inlineStr">
        <is>
          <t>Goal Contribution</t>
        </is>
      </c>
      <c r="G2243" s="4" t="inlineStr">
        <is>
          <t>Transfer</t>
        </is>
      </c>
      <c r="H2243" s="12" t="n">
        <v>46209</v>
      </c>
      <c r="I2243" s="13" t="n">
        <v>0.2685300925925926</v>
      </c>
      <c r="J2243" s="14" t="n">
        <v>46209.2685300926</v>
      </c>
      <c r="K2243" s="15" t="n">
        <v>5114.03</v>
      </c>
      <c r="L2243" s="4" t="inlineStr">
        <is>
          <t>INR</t>
        </is>
      </c>
      <c r="M2243" s="15" t="n">
        <v>0</v>
      </c>
      <c r="N2243" s="4" t="inlineStr">
        <is>
          <t>IOS Owner</t>
        </is>
      </c>
      <c r="O2243" s="4" t="n"/>
      <c r="P2243" s="4" t="n"/>
      <c r="Q2243" s="4" t="inlineStr">
        <is>
          <t>MAESTRO-IOS-PERSONAL-FUTURE_BUILDING-2242 | Goal Contribution | 5114.03</t>
        </is>
      </c>
      <c r="R2243" s="4" t="inlineStr">
        <is>
          <t>iPhone</t>
        </is>
      </c>
      <c r="S2243" s="4" t="inlineStr">
        <is>
          <t>B45</t>
        </is>
      </c>
      <c r="T2243" s="4" t="inlineStr">
        <is>
          <t>RAMP_1501_2500</t>
        </is>
      </c>
      <c r="U2243" s="4" t="inlineStr">
        <is>
          <t>CREATED</t>
        </is>
      </c>
      <c r="V2243" s="4" t="inlineStr">
        <is>
          <t>idem-20260902-ios-2242</t>
        </is>
      </c>
    </row>
    <row r="2244" ht="30" customHeight="1">
      <c r="A2244" s="4" t="n">
        <v>2243</v>
      </c>
      <c r="B2244" s="4" t="inlineStr">
        <is>
          <t>MTR-IOS-2243</t>
        </is>
      </c>
      <c r="C2244" s="4" t="inlineStr">
        <is>
          <t>Group</t>
        </is>
      </c>
      <c r="D2244" s="4" t="inlineStr">
        <is>
          <t>Shared Living</t>
        </is>
      </c>
      <c r="E2244" s="4" t="inlineStr">
        <is>
          <t>Family Household</t>
        </is>
      </c>
      <c r="F2244" s="4" t="inlineStr">
        <is>
          <t>Bills</t>
        </is>
      </c>
      <c r="G2244" s="4" t="inlineStr">
        <is>
          <t>Expense</t>
        </is>
      </c>
      <c r="H2244" s="12" t="n">
        <v>45952</v>
      </c>
      <c r="I2244" s="13" t="n">
        <v>0.8859722222222223</v>
      </c>
      <c r="J2244" s="14" t="n">
        <v>45952.88597222222</v>
      </c>
      <c r="K2244" s="15" t="n">
        <v>3102.36</v>
      </c>
      <c r="L2244" s="4" t="inlineStr">
        <is>
          <t>INR</t>
        </is>
      </c>
      <c r="M2244" s="15" t="n">
        <v>-3102.36</v>
      </c>
      <c r="N2244" s="4" t="inlineStr">
        <is>
          <t>IOS Owner</t>
        </is>
      </c>
      <c r="O2244" s="4" t="n">
        <v>3</v>
      </c>
      <c r="P2244" s="4" t="inlineStr">
        <is>
          <t>SHARES</t>
        </is>
      </c>
      <c r="Q2244" s="4" t="inlineStr">
        <is>
          <t>MAESTRO-IOS-GROUP-FAMILY_HOUSEHOLD-2243 | Bills | 3102.36</t>
        </is>
      </c>
      <c r="R2244" s="4" t="inlineStr">
        <is>
          <t>iPhone</t>
        </is>
      </c>
      <c r="S2244" s="4" t="inlineStr">
        <is>
          <t>B45</t>
        </is>
      </c>
      <c r="T2244" s="4" t="inlineStr">
        <is>
          <t>RAMP_1501_2500</t>
        </is>
      </c>
      <c r="U2244" s="4" t="inlineStr">
        <is>
          <t>CREATED</t>
        </is>
      </c>
      <c r="V2244" s="4" t="inlineStr">
        <is>
          <t>idem-20260902-ios-2243</t>
        </is>
      </c>
    </row>
    <row r="2245" ht="30" customHeight="1">
      <c r="A2245" s="4" t="n">
        <v>2244</v>
      </c>
      <c r="B2245" s="4" t="inlineStr">
        <is>
          <t>MTR-IOS-2244</t>
        </is>
      </c>
      <c r="C2245" s="4" t="inlineStr">
        <is>
          <t>Business</t>
        </is>
      </c>
      <c r="D2245" s="4" t="inlineStr">
        <is>
          <t>Business</t>
        </is>
      </c>
      <c r="E2245" s="4" t="inlineStr">
        <is>
          <t>Business Runway</t>
        </is>
      </c>
      <c r="F2245" s="4" t="inlineStr">
        <is>
          <t>Investment</t>
        </is>
      </c>
      <c r="G2245" s="4" t="inlineStr">
        <is>
          <t>Income</t>
        </is>
      </c>
      <c r="H2245" s="12" t="n">
        <v>46090</v>
      </c>
      <c r="I2245" s="13" t="n">
        <v>0.9782523148148148</v>
      </c>
      <c r="J2245" s="14" t="n">
        <v>46090.97825231482</v>
      </c>
      <c r="K2245" s="15" t="n">
        <v>95176.75999999999</v>
      </c>
      <c r="L2245" s="4" t="inlineStr">
        <is>
          <t>INR</t>
        </is>
      </c>
      <c r="M2245" s="15" t="n">
        <v>95176.75999999999</v>
      </c>
      <c r="N2245" s="4" t="inlineStr">
        <is>
          <t>IOS Owner</t>
        </is>
      </c>
      <c r="O2245" s="4" t="n"/>
      <c r="P2245" s="4" t="n"/>
      <c r="Q2245" s="4" t="inlineStr">
        <is>
          <t>MAESTRO-IOS-BUSINESS-BUSINESS_RUNWAY-2244 | Investment | 95176.76</t>
        </is>
      </c>
      <c r="R2245" s="4" t="inlineStr">
        <is>
          <t>iPhone</t>
        </is>
      </c>
      <c r="S2245" s="4" t="inlineStr">
        <is>
          <t>B45</t>
        </is>
      </c>
      <c r="T2245" s="4" t="inlineStr">
        <is>
          <t>RAMP_1501_2500</t>
        </is>
      </c>
      <c r="U2245" s="4" t="inlineStr">
        <is>
          <t>CREATED</t>
        </is>
      </c>
      <c r="V2245" s="4" t="inlineStr">
        <is>
          <t>idem-20260902-ios-2244</t>
        </is>
      </c>
    </row>
    <row r="2246" ht="30" customHeight="1">
      <c r="A2246" s="4" t="n">
        <v>2245</v>
      </c>
      <c r="B2246" s="4" t="inlineStr">
        <is>
          <t>MTR-IOS-2245</t>
        </is>
      </c>
      <c r="C2246" s="4" t="inlineStr">
        <is>
          <t>Personal</t>
        </is>
      </c>
      <c r="D2246" s="4" t="inlineStr">
        <is>
          <t>Personal</t>
        </is>
      </c>
      <c r="E2246" s="4" t="inlineStr">
        <is>
          <t>Lifestyle</t>
        </is>
      </c>
      <c r="F2246" s="4" t="inlineStr">
        <is>
          <t>Dining</t>
        </is>
      </c>
      <c r="G2246" s="4" t="inlineStr">
        <is>
          <t>Expense</t>
        </is>
      </c>
      <c r="H2246" s="12" t="n">
        <v>46089</v>
      </c>
      <c r="I2246" s="13" t="n">
        <v>0.5683912037037037</v>
      </c>
      <c r="J2246" s="14" t="n">
        <v>46089.56839120371</v>
      </c>
      <c r="K2246" s="15" t="n">
        <v>12617.84</v>
      </c>
      <c r="L2246" s="4" t="inlineStr">
        <is>
          <t>INR</t>
        </is>
      </c>
      <c r="M2246" s="15" t="n">
        <v>-12617.84</v>
      </c>
      <c r="N2246" s="4" t="inlineStr">
        <is>
          <t>IOS Owner</t>
        </is>
      </c>
      <c r="O2246" s="4" t="n"/>
      <c r="P2246" s="4" t="n"/>
      <c r="Q2246" s="4" t="inlineStr">
        <is>
          <t>MAESTRO-IOS-PERSONAL-LIFESTYLE-2245 | Dining | 12617.84</t>
        </is>
      </c>
      <c r="R2246" s="4" t="inlineStr">
        <is>
          <t>iPhone</t>
        </is>
      </c>
      <c r="S2246" s="4" t="inlineStr">
        <is>
          <t>B45</t>
        </is>
      </c>
      <c r="T2246" s="4" t="inlineStr">
        <is>
          <t>RAMP_1501_2500</t>
        </is>
      </c>
      <c r="U2246" s="4" t="inlineStr">
        <is>
          <t>CREATED</t>
        </is>
      </c>
      <c r="V2246" s="4" t="inlineStr">
        <is>
          <t>idem-20260902-ios-2245</t>
        </is>
      </c>
    </row>
    <row r="2247" ht="30" customHeight="1">
      <c r="A2247" s="4" t="n">
        <v>2246</v>
      </c>
      <c r="B2247" s="4" t="inlineStr">
        <is>
          <t>MTR-IOS-2246</t>
        </is>
      </c>
      <c r="C2247" s="4" t="inlineStr">
        <is>
          <t>Group</t>
        </is>
      </c>
      <c r="D2247" s="4" t="inlineStr">
        <is>
          <t>Shared Living</t>
        </is>
      </c>
      <c r="E2247" s="4" t="inlineStr">
        <is>
          <t>Family Household</t>
        </is>
      </c>
      <c r="F2247" s="4" t="inlineStr">
        <is>
          <t>School</t>
        </is>
      </c>
      <c r="G2247" s="4" t="inlineStr">
        <is>
          <t>Expense</t>
        </is>
      </c>
      <c r="H2247" s="12" t="n">
        <v>46015</v>
      </c>
      <c r="I2247" s="13" t="n">
        <v>0.5699652777777777</v>
      </c>
      <c r="J2247" s="14" t="n">
        <v>46015.56996527778</v>
      </c>
      <c r="K2247" s="15" t="n">
        <v>8504.809999999999</v>
      </c>
      <c r="L2247" s="4" t="inlineStr">
        <is>
          <t>INR</t>
        </is>
      </c>
      <c r="M2247" s="15" t="n">
        <v>-8504.809999999999</v>
      </c>
      <c r="N2247" s="4" t="inlineStr">
        <is>
          <t>IOS Aarav</t>
        </is>
      </c>
      <c r="O2247" s="4" t="n">
        <v>3</v>
      </c>
      <c r="P2247" s="4" t="inlineStr">
        <is>
          <t>EQUAL</t>
        </is>
      </c>
      <c r="Q2247" s="4" t="inlineStr">
        <is>
          <t>MAESTRO-IOS-GROUP-FAMILY_HOUSEHOLD-2246 | School | 8504.81</t>
        </is>
      </c>
      <c r="R2247" s="4" t="inlineStr">
        <is>
          <t>iPhone</t>
        </is>
      </c>
      <c r="S2247" s="4" t="inlineStr">
        <is>
          <t>B45</t>
        </is>
      </c>
      <c r="T2247" s="4" t="inlineStr">
        <is>
          <t>RAMP_1501_2500</t>
        </is>
      </c>
      <c r="U2247" s="4" t="inlineStr">
        <is>
          <t>CREATED</t>
        </is>
      </c>
      <c r="V2247" s="4" t="inlineStr">
        <is>
          <t>idem-20260902-ios-2246</t>
        </is>
      </c>
    </row>
    <row r="2248" ht="30" customHeight="1">
      <c r="A2248" s="4" t="n">
        <v>2247</v>
      </c>
      <c r="B2248" s="4" t="inlineStr">
        <is>
          <t>MTR-IOS-2247</t>
        </is>
      </c>
      <c r="C2248" s="4" t="inlineStr">
        <is>
          <t>Business</t>
        </is>
      </c>
      <c r="D2248" s="4" t="inlineStr">
        <is>
          <t>Business</t>
        </is>
      </c>
      <c r="E2248" s="4" t="inlineStr">
        <is>
          <t>Business Operations</t>
        </is>
      </c>
      <c r="F2248" s="4" t="inlineStr">
        <is>
          <t>Software</t>
        </is>
      </c>
      <c r="G2248" s="4" t="inlineStr">
        <is>
          <t>Expense</t>
        </is>
      </c>
      <c r="H2248" s="12" t="n">
        <v>45959</v>
      </c>
      <c r="I2248" s="13" t="n">
        <v>0.9989236111111112</v>
      </c>
      <c r="J2248" s="14" t="n">
        <v>45959.99892361111</v>
      </c>
      <c r="K2248" s="15" t="n">
        <v>74652.16</v>
      </c>
      <c r="L2248" s="4" t="inlineStr">
        <is>
          <t>INR</t>
        </is>
      </c>
      <c r="M2248" s="15" t="n">
        <v>-74652.16</v>
      </c>
      <c r="N2248" s="4" t="inlineStr">
        <is>
          <t>IOS Owner</t>
        </is>
      </c>
      <c r="O2248" s="4" t="n"/>
      <c r="P2248" s="4" t="n"/>
      <c r="Q2248" s="4" t="inlineStr">
        <is>
          <t>MAESTRO-IOS-BUSINESS-BUSINESS_OPERATIONS-2247 | Software | 74652.16</t>
        </is>
      </c>
      <c r="R2248" s="4" t="inlineStr">
        <is>
          <t>iPhone</t>
        </is>
      </c>
      <c r="S2248" s="4" t="inlineStr">
        <is>
          <t>B45</t>
        </is>
      </c>
      <c r="T2248" s="4" t="inlineStr">
        <is>
          <t>RAMP_1501_2500</t>
        </is>
      </c>
      <c r="U2248" s="4" t="inlineStr">
        <is>
          <t>CREATED</t>
        </is>
      </c>
      <c r="V2248" s="4" t="inlineStr">
        <is>
          <t>idem-20260902-ios-2247</t>
        </is>
      </c>
    </row>
    <row r="2249" ht="30" customHeight="1">
      <c r="A2249" s="4" t="n">
        <v>2248</v>
      </c>
      <c r="B2249" s="4" t="inlineStr">
        <is>
          <t>MTR-IOS-2248</t>
        </is>
      </c>
      <c r="C2249" s="4" t="inlineStr">
        <is>
          <t>Personal</t>
        </is>
      </c>
      <c r="D2249" s="4" t="inlineStr">
        <is>
          <t>Personal</t>
        </is>
      </c>
      <c r="E2249" s="4" t="inlineStr">
        <is>
          <t>Lifestyle</t>
        </is>
      </c>
      <c r="F2249" s="4" t="inlineStr">
        <is>
          <t>Shopping</t>
        </is>
      </c>
      <c r="G2249" s="4" t="inlineStr">
        <is>
          <t>Expense</t>
        </is>
      </c>
      <c r="H2249" s="12" t="n">
        <v>46078</v>
      </c>
      <c r="I2249" s="13" t="n">
        <v>0.3799421296296296</v>
      </c>
      <c r="J2249" s="14" t="n">
        <v>46078.37994212963</v>
      </c>
      <c r="K2249" s="15" t="n">
        <v>9933.049999999999</v>
      </c>
      <c r="L2249" s="4" t="inlineStr">
        <is>
          <t>INR</t>
        </is>
      </c>
      <c r="M2249" s="15" t="n">
        <v>-9933.049999999999</v>
      </c>
      <c r="N2249" s="4" t="inlineStr">
        <is>
          <t>IOS Owner</t>
        </is>
      </c>
      <c r="O2249" s="4" t="n"/>
      <c r="P2249" s="4" t="n"/>
      <c r="Q2249" s="4" t="inlineStr">
        <is>
          <t>MAESTRO-IOS-PERSONAL-LIFESTYLE-2248 | Shopping | 9933.05</t>
        </is>
      </c>
      <c r="R2249" s="4" t="inlineStr">
        <is>
          <t>iPhone</t>
        </is>
      </c>
      <c r="S2249" s="4" t="inlineStr">
        <is>
          <t>B45</t>
        </is>
      </c>
      <c r="T2249" s="4" t="inlineStr">
        <is>
          <t>RAMP_1501_2500</t>
        </is>
      </c>
      <c r="U2249" s="4" t="inlineStr">
        <is>
          <t>CREATED</t>
        </is>
      </c>
      <c r="V2249" s="4" t="inlineStr">
        <is>
          <t>idem-20260902-ios-2248</t>
        </is>
      </c>
    </row>
    <row r="2250" ht="30" customHeight="1">
      <c r="A2250" s="4" t="n">
        <v>2249</v>
      </c>
      <c r="B2250" s="4" t="inlineStr">
        <is>
          <t>MTR-IOS-2249</t>
        </is>
      </c>
      <c r="C2250" s="4" t="inlineStr">
        <is>
          <t>Group</t>
        </is>
      </c>
      <c r="D2250" s="4" t="inlineStr">
        <is>
          <t>Shared Living</t>
        </is>
      </c>
      <c r="E2250" s="4" t="inlineStr">
        <is>
          <t>Family Household</t>
        </is>
      </c>
      <c r="F2250" s="4" t="inlineStr">
        <is>
          <t>Healthcare</t>
        </is>
      </c>
      <c r="G2250" s="4" t="inlineStr">
        <is>
          <t>Expense</t>
        </is>
      </c>
      <c r="H2250" s="12" t="n">
        <v>46012</v>
      </c>
      <c r="I2250" s="13" t="n">
        <v>0.5211574074074075</v>
      </c>
      <c r="J2250" s="14" t="n">
        <v>46012.52115740741</v>
      </c>
      <c r="K2250" s="15" t="n">
        <v>19298.82</v>
      </c>
      <c r="L2250" s="4" t="inlineStr">
        <is>
          <t>INR</t>
        </is>
      </c>
      <c r="M2250" s="15" t="n">
        <v>-19298.82</v>
      </c>
      <c r="N2250" s="4" t="inlineStr">
        <is>
          <t>IOS Meera</t>
        </is>
      </c>
      <c r="O2250" s="4" t="n">
        <v>3</v>
      </c>
      <c r="P2250" s="4" t="inlineStr">
        <is>
          <t>PERCENTAGE</t>
        </is>
      </c>
      <c r="Q2250" s="4" t="inlineStr">
        <is>
          <t>MAESTRO-IOS-GROUP-FAMILY_HOUSEHOLD-2249 | Healthcare | 19298.82</t>
        </is>
      </c>
      <c r="R2250" s="4" t="inlineStr">
        <is>
          <t>iPhone</t>
        </is>
      </c>
      <c r="S2250" s="4" t="inlineStr">
        <is>
          <t>B45</t>
        </is>
      </c>
      <c r="T2250" s="4" t="inlineStr">
        <is>
          <t>RAMP_1501_2500</t>
        </is>
      </c>
      <c r="U2250" s="4" t="inlineStr">
        <is>
          <t>CREATED</t>
        </is>
      </c>
      <c r="V2250" s="4" t="inlineStr">
        <is>
          <t>idem-20260902-ios-2249</t>
        </is>
      </c>
    </row>
    <row r="2251" ht="30" customHeight="1">
      <c r="A2251" s="4" t="n">
        <v>2250</v>
      </c>
      <c r="B2251" s="4" t="inlineStr">
        <is>
          <t>MTR-IOS-2250</t>
        </is>
      </c>
      <c r="C2251" s="4" t="inlineStr">
        <is>
          <t>Business</t>
        </is>
      </c>
      <c r="D2251" s="4" t="inlineStr">
        <is>
          <t>Business</t>
        </is>
      </c>
      <c r="E2251" s="4" t="inlineStr">
        <is>
          <t>Business Operations</t>
        </is>
      </c>
      <c r="F2251" s="4" t="inlineStr">
        <is>
          <t>Rent</t>
        </is>
      </c>
      <c r="G2251" s="4" t="inlineStr">
        <is>
          <t>Expense</t>
        </is>
      </c>
      <c r="H2251" s="12" t="n">
        <v>45988</v>
      </c>
      <c r="I2251" s="13" t="n">
        <v>0.05885416666666667</v>
      </c>
      <c r="J2251" s="14" t="n">
        <v>45988.05885416667</v>
      </c>
      <c r="K2251" s="15" t="n">
        <v>116554.17</v>
      </c>
      <c r="L2251" s="4" t="inlineStr">
        <is>
          <t>INR</t>
        </is>
      </c>
      <c r="M2251" s="15" t="n">
        <v>-116554.17</v>
      </c>
      <c r="N2251" s="4" t="inlineStr">
        <is>
          <t>IOS Owner</t>
        </is>
      </c>
      <c r="O2251" s="4" t="n"/>
      <c r="P2251" s="4" t="n"/>
      <c r="Q2251" s="4" t="inlineStr">
        <is>
          <t>MAESTRO-IOS-BUSINESS-BUSINESS_OPERATIONS-2250 | Rent | 116554.17</t>
        </is>
      </c>
      <c r="R2251" s="4" t="inlineStr">
        <is>
          <t>iPhone</t>
        </is>
      </c>
      <c r="S2251" s="4" t="inlineStr">
        <is>
          <t>B45</t>
        </is>
      </c>
      <c r="T2251" s="4" t="inlineStr">
        <is>
          <t>RAMP_1501_2500</t>
        </is>
      </c>
      <c r="U2251" s="4" t="inlineStr">
        <is>
          <t>CREATED</t>
        </is>
      </c>
      <c r="V2251" s="4" t="inlineStr">
        <is>
          <t>idem-20260902-ios-2250</t>
        </is>
      </c>
    </row>
    <row r="2252" ht="30" customHeight="1">
      <c r="A2252" s="4" t="n">
        <v>2251</v>
      </c>
      <c r="B2252" s="4" t="inlineStr">
        <is>
          <t>MTR-IOS-2251</t>
        </is>
      </c>
      <c r="C2252" s="4" t="inlineStr">
        <is>
          <t>Personal</t>
        </is>
      </c>
      <c r="D2252" s="4" t="inlineStr">
        <is>
          <t>Personal</t>
        </is>
      </c>
      <c r="E2252" s="4" t="inlineStr">
        <is>
          <t>Lifestyle</t>
        </is>
      </c>
      <c r="F2252" s="4" t="inlineStr">
        <is>
          <t>Entertainment</t>
        </is>
      </c>
      <c r="G2252" s="4" t="inlineStr">
        <is>
          <t>Expense</t>
        </is>
      </c>
      <c r="H2252" s="12" t="n">
        <v>45955</v>
      </c>
      <c r="I2252" s="13" t="n">
        <v>0.3925694444444445</v>
      </c>
      <c r="J2252" s="14" t="n">
        <v>45955.39256944445</v>
      </c>
      <c r="K2252" s="15" t="n">
        <v>14313.17</v>
      </c>
      <c r="L2252" s="4" t="inlineStr">
        <is>
          <t>INR</t>
        </is>
      </c>
      <c r="M2252" s="15" t="n">
        <v>-14313.17</v>
      </c>
      <c r="N2252" s="4" t="inlineStr">
        <is>
          <t>IOS Owner</t>
        </is>
      </c>
      <c r="O2252" s="4" t="n"/>
      <c r="P2252" s="4" t="n"/>
      <c r="Q2252" s="4" t="inlineStr">
        <is>
          <t>MAESTRO-IOS-PERSONAL-LIFESTYLE-2251 | Entertainment | 14313.17</t>
        </is>
      </c>
      <c r="R2252" s="4" t="inlineStr">
        <is>
          <t>iPhone</t>
        </is>
      </c>
      <c r="S2252" s="4" t="inlineStr">
        <is>
          <t>B46</t>
        </is>
      </c>
      <c r="T2252" s="4" t="inlineStr">
        <is>
          <t>RAMP_1501_2500</t>
        </is>
      </c>
      <c r="U2252" s="4" t="inlineStr">
        <is>
          <t>CREATED</t>
        </is>
      </c>
      <c r="V2252" s="4" t="inlineStr">
        <is>
          <t>idem-20260902-ios-2251</t>
        </is>
      </c>
    </row>
    <row r="2253" ht="30" customHeight="1">
      <c r="A2253" s="4" t="n">
        <v>2252</v>
      </c>
      <c r="B2253" s="4" t="inlineStr">
        <is>
          <t>MTR-IOS-2252</t>
        </is>
      </c>
      <c r="C2253" s="4" t="inlineStr">
        <is>
          <t>Group</t>
        </is>
      </c>
      <c r="D2253" s="4" t="inlineStr">
        <is>
          <t>Shared Living</t>
        </is>
      </c>
      <c r="E2253" s="4" t="inlineStr">
        <is>
          <t>Family Household</t>
        </is>
      </c>
      <c r="F2253" s="4" t="inlineStr">
        <is>
          <t>Home</t>
        </is>
      </c>
      <c r="G2253" s="4" t="inlineStr">
        <is>
          <t>Expense</t>
        </is>
      </c>
      <c r="H2253" s="12" t="n">
        <v>46005</v>
      </c>
      <c r="I2253" s="13" t="n">
        <v>0.1227314814814815</v>
      </c>
      <c r="J2253" s="14" t="n">
        <v>46005.12273148148</v>
      </c>
      <c r="K2253" s="15" t="n">
        <v>15415.05</v>
      </c>
      <c r="L2253" s="4" t="inlineStr">
        <is>
          <t>INR</t>
        </is>
      </c>
      <c r="M2253" s="15" t="n">
        <v>-15415.05</v>
      </c>
      <c r="N2253" s="4" t="inlineStr">
        <is>
          <t>IOS Owner</t>
        </is>
      </c>
      <c r="O2253" s="4" t="n">
        <v>3</v>
      </c>
      <c r="P2253" s="4" t="inlineStr">
        <is>
          <t>EXACT</t>
        </is>
      </c>
      <c r="Q2253" s="4" t="inlineStr">
        <is>
          <t>MAESTRO-IOS-GROUP-FAMILY_HOUSEHOLD-2252 | Home | 15415.05</t>
        </is>
      </c>
      <c r="R2253" s="4" t="inlineStr">
        <is>
          <t>iPhone</t>
        </is>
      </c>
      <c r="S2253" s="4" t="inlineStr">
        <is>
          <t>B46</t>
        </is>
      </c>
      <c r="T2253" s="4" t="inlineStr">
        <is>
          <t>RAMP_1501_2500</t>
        </is>
      </c>
      <c r="U2253" s="4" t="inlineStr">
        <is>
          <t>CREATED</t>
        </is>
      </c>
      <c r="V2253" s="4" t="inlineStr">
        <is>
          <t>idem-20260902-ios-2252</t>
        </is>
      </c>
    </row>
    <row r="2254" ht="30" customHeight="1">
      <c r="A2254" s="4" t="n">
        <v>2253</v>
      </c>
      <c r="B2254" s="4" t="inlineStr">
        <is>
          <t>MTR-IOS-2253</t>
        </is>
      </c>
      <c r="C2254" s="4" t="inlineStr">
        <is>
          <t>Business</t>
        </is>
      </c>
      <c r="D2254" s="4" t="inlineStr">
        <is>
          <t>Business</t>
        </is>
      </c>
      <c r="E2254" s="4" t="inlineStr">
        <is>
          <t>Business Operations</t>
        </is>
      </c>
      <c r="F2254" s="4" t="inlineStr">
        <is>
          <t>Marketing</t>
        </is>
      </c>
      <c r="G2254" s="4" t="inlineStr">
        <is>
          <t>Expense</t>
        </is>
      </c>
      <c r="H2254" s="12" t="n">
        <v>46066</v>
      </c>
      <c r="I2254" s="13" t="n">
        <v>0.511087962962963</v>
      </c>
      <c r="J2254" s="14" t="n">
        <v>46066.51108796296</v>
      </c>
      <c r="K2254" s="15" t="n">
        <v>83300.41</v>
      </c>
      <c r="L2254" s="4" t="inlineStr">
        <is>
          <t>INR</t>
        </is>
      </c>
      <c r="M2254" s="15" t="n">
        <v>-83300.41</v>
      </c>
      <c r="N2254" s="4" t="inlineStr">
        <is>
          <t>IOS Owner</t>
        </is>
      </c>
      <c r="O2254" s="4" t="n"/>
      <c r="P2254" s="4" t="n"/>
      <c r="Q2254" s="4" t="inlineStr">
        <is>
          <t>MAESTRO-IOS-BUSINESS-BUSINESS_OPERATIONS-2253 | Marketing | 83300.41</t>
        </is>
      </c>
      <c r="R2254" s="4" t="inlineStr">
        <is>
          <t>iPhone</t>
        </is>
      </c>
      <c r="S2254" s="4" t="inlineStr">
        <is>
          <t>B46</t>
        </is>
      </c>
      <c r="T2254" s="4" t="inlineStr">
        <is>
          <t>RAMP_1501_2500</t>
        </is>
      </c>
      <c r="U2254" s="4" t="inlineStr">
        <is>
          <t>CREATED</t>
        </is>
      </c>
      <c r="V2254" s="4" t="inlineStr">
        <is>
          <t>idem-20260902-ios-2253</t>
        </is>
      </c>
    </row>
    <row r="2255" ht="30" customHeight="1">
      <c r="A2255" s="4" t="n">
        <v>2254</v>
      </c>
      <c r="B2255" s="4" t="inlineStr">
        <is>
          <t>MTR-IOS-2254</t>
        </is>
      </c>
      <c r="C2255" s="4" t="inlineStr">
        <is>
          <t>Personal</t>
        </is>
      </c>
      <c r="D2255" s="4" t="inlineStr">
        <is>
          <t>Personal</t>
        </is>
      </c>
      <c r="E2255" s="4" t="inlineStr">
        <is>
          <t>Lifestyle</t>
        </is>
      </c>
      <c r="F2255" s="4" t="inlineStr">
        <is>
          <t>Travel</t>
        </is>
      </c>
      <c r="G2255" s="4" t="inlineStr">
        <is>
          <t>Expense</t>
        </is>
      </c>
      <c r="H2255" s="12" t="n">
        <v>46183</v>
      </c>
      <c r="I2255" s="13" t="n">
        <v>0.6412152777777778</v>
      </c>
      <c r="J2255" s="14" t="n">
        <v>46183.64121527778</v>
      </c>
      <c r="K2255" s="15" t="n">
        <v>4603.25</v>
      </c>
      <c r="L2255" s="4" t="inlineStr">
        <is>
          <t>INR</t>
        </is>
      </c>
      <c r="M2255" s="15" t="n">
        <v>-4603.25</v>
      </c>
      <c r="N2255" s="4" t="inlineStr">
        <is>
          <t>IOS Owner</t>
        </is>
      </c>
      <c r="O2255" s="4" t="n"/>
      <c r="P2255" s="4" t="n"/>
      <c r="Q2255" s="4" t="inlineStr">
        <is>
          <t>MAESTRO-IOS-PERSONAL-LIFESTYLE-2254 | Travel | 4603.25</t>
        </is>
      </c>
      <c r="R2255" s="4" t="inlineStr">
        <is>
          <t>iPhone</t>
        </is>
      </c>
      <c r="S2255" s="4" t="inlineStr">
        <is>
          <t>B46</t>
        </is>
      </c>
      <c r="T2255" s="4" t="inlineStr">
        <is>
          <t>RAMP_1501_2500</t>
        </is>
      </c>
      <c r="U2255" s="4" t="inlineStr">
        <is>
          <t>CREATED</t>
        </is>
      </c>
      <c r="V2255" s="4" t="inlineStr">
        <is>
          <t>idem-20260902-ios-2254</t>
        </is>
      </c>
    </row>
    <row r="2256" ht="30" customHeight="1">
      <c r="A2256" s="4" t="n">
        <v>2255</v>
      </c>
      <c r="B2256" s="4" t="inlineStr">
        <is>
          <t>MTR-IOS-2255</t>
        </is>
      </c>
      <c r="C2256" s="4" t="inlineStr">
        <is>
          <t>Group</t>
        </is>
      </c>
      <c r="D2256" s="4" t="inlineStr">
        <is>
          <t>Shared Living</t>
        </is>
      </c>
      <c r="E2256" s="4" t="inlineStr">
        <is>
          <t>Family Household</t>
        </is>
      </c>
      <c r="F2256" s="4" t="inlineStr">
        <is>
          <t>Other</t>
        </is>
      </c>
      <c r="G2256" s="4" t="inlineStr">
        <is>
          <t>Expense</t>
        </is>
      </c>
      <c r="H2256" s="12" t="n">
        <v>46245</v>
      </c>
      <c r="I2256" s="13" t="n">
        <v>0.878275462962963</v>
      </c>
      <c r="J2256" s="14" t="n">
        <v>46245.87827546296</v>
      </c>
      <c r="K2256" s="15" t="n">
        <v>165.75</v>
      </c>
      <c r="L2256" s="4" t="inlineStr">
        <is>
          <t>INR</t>
        </is>
      </c>
      <c r="M2256" s="15" t="n">
        <v>-165.75</v>
      </c>
      <c r="N2256" s="4" t="inlineStr">
        <is>
          <t>IOS Aarav</t>
        </is>
      </c>
      <c r="O2256" s="4" t="n">
        <v>3</v>
      </c>
      <c r="P2256" s="4" t="inlineStr">
        <is>
          <t>SHARES</t>
        </is>
      </c>
      <c r="Q2256" s="4" t="inlineStr">
        <is>
          <t>MAESTRO-IOS-GROUP-FAMILY_HOUSEHOLD-2255 | Other | 165.75</t>
        </is>
      </c>
      <c r="R2256" s="4" t="inlineStr">
        <is>
          <t>iPhone</t>
        </is>
      </c>
      <c r="S2256" s="4" t="inlineStr">
        <is>
          <t>B46</t>
        </is>
      </c>
      <c r="T2256" s="4" t="inlineStr">
        <is>
          <t>RAMP_1501_2500</t>
        </is>
      </c>
      <c r="U2256" s="4" t="inlineStr">
        <is>
          <t>CREATED</t>
        </is>
      </c>
      <c r="V2256" s="4" t="inlineStr">
        <is>
          <t>idem-20260902-ios-2255</t>
        </is>
      </c>
    </row>
    <row r="2257" ht="30" customHeight="1">
      <c r="A2257" s="4" t="n">
        <v>2256</v>
      </c>
      <c r="B2257" s="4" t="inlineStr">
        <is>
          <t>MTR-IOS-2256</t>
        </is>
      </c>
      <c r="C2257" s="4" t="inlineStr">
        <is>
          <t>Business</t>
        </is>
      </c>
      <c r="D2257" s="4" t="inlineStr">
        <is>
          <t>Business</t>
        </is>
      </c>
      <c r="E2257" s="4" t="inlineStr">
        <is>
          <t>Business Operations</t>
        </is>
      </c>
      <c r="F2257" s="4" t="inlineStr">
        <is>
          <t>Legal</t>
        </is>
      </c>
      <c r="G2257" s="4" t="inlineStr">
        <is>
          <t>Expense</t>
        </is>
      </c>
      <c r="H2257" s="12" t="n">
        <v>46243</v>
      </c>
      <c r="I2257" s="13" t="n">
        <v>0.3171527777777778</v>
      </c>
      <c r="J2257" s="14" t="n">
        <v>46243.31715277778</v>
      </c>
      <c r="K2257" s="15" t="n">
        <v>17493.4</v>
      </c>
      <c r="L2257" s="4" t="inlineStr">
        <is>
          <t>INR</t>
        </is>
      </c>
      <c r="M2257" s="15" t="n">
        <v>-17493.4</v>
      </c>
      <c r="N2257" s="4" t="inlineStr">
        <is>
          <t>IOS Owner</t>
        </is>
      </c>
      <c r="O2257" s="4" t="n"/>
      <c r="P2257" s="4" t="n"/>
      <c r="Q2257" s="4" t="inlineStr">
        <is>
          <t>MAESTRO-IOS-BUSINESS-BUSINESS_OPERATIONS-2256 | Legal | 17493.40</t>
        </is>
      </c>
      <c r="R2257" s="4" t="inlineStr">
        <is>
          <t>iPhone</t>
        </is>
      </c>
      <c r="S2257" s="4" t="inlineStr">
        <is>
          <t>B46</t>
        </is>
      </c>
      <c r="T2257" s="4" t="inlineStr">
        <is>
          <t>RAMP_1501_2500</t>
        </is>
      </c>
      <c r="U2257" s="4" t="inlineStr">
        <is>
          <t>CREATED</t>
        </is>
      </c>
      <c r="V2257" s="4" t="inlineStr">
        <is>
          <t>idem-20260902-ios-2256</t>
        </is>
      </c>
    </row>
    <row r="2258" ht="30" customHeight="1">
      <c r="A2258" s="4" t="n">
        <v>2257</v>
      </c>
      <c r="B2258" s="4" t="inlineStr">
        <is>
          <t>MTR-IOS-2257</t>
        </is>
      </c>
      <c r="C2258" s="4" t="inlineStr">
        <is>
          <t>Personal</t>
        </is>
      </c>
      <c r="D2258" s="4" t="inlineStr">
        <is>
          <t>Personal</t>
        </is>
      </c>
      <c r="E2258" s="4" t="inlineStr">
        <is>
          <t>Lifestyle</t>
        </is>
      </c>
      <c r="F2258" s="4" t="inlineStr">
        <is>
          <t>Fitness</t>
        </is>
      </c>
      <c r="G2258" s="4" t="inlineStr">
        <is>
          <t>Expense</t>
        </is>
      </c>
      <c r="H2258" s="12" t="n">
        <v>45978</v>
      </c>
      <c r="I2258" s="13" t="n">
        <v>0.2577546296296296</v>
      </c>
      <c r="J2258" s="14" t="n">
        <v>45978.25775462963</v>
      </c>
      <c r="K2258" s="15" t="n">
        <v>1</v>
      </c>
      <c r="L2258" s="4" t="inlineStr">
        <is>
          <t>INR</t>
        </is>
      </c>
      <c r="M2258" s="15" t="n">
        <v>-1</v>
      </c>
      <c r="N2258" s="4" t="inlineStr">
        <is>
          <t>IOS Owner</t>
        </is>
      </c>
      <c r="O2258" s="4" t="n"/>
      <c r="P2258" s="4" t="n"/>
      <c r="Q2258" s="4" t="inlineStr">
        <is>
          <t>MAESTRO-IOS-PERSONAL-LIFESTYLE-2257 | Fitness | 1.00</t>
        </is>
      </c>
      <c r="R2258" s="4" t="inlineStr">
        <is>
          <t>iPhone</t>
        </is>
      </c>
      <c r="S2258" s="4" t="inlineStr">
        <is>
          <t>B46</t>
        </is>
      </c>
      <c r="T2258" s="4" t="inlineStr">
        <is>
          <t>RAMP_1501_2500</t>
        </is>
      </c>
      <c r="U2258" s="4" t="inlineStr">
        <is>
          <t>CREATED</t>
        </is>
      </c>
      <c r="V2258" s="4" t="inlineStr">
        <is>
          <t>idem-20260902-ios-2257</t>
        </is>
      </c>
    </row>
    <row r="2259" ht="30" customHeight="1">
      <c r="A2259" s="4" t="n">
        <v>2258</v>
      </c>
      <c r="B2259" s="4" t="inlineStr">
        <is>
          <t>MTR-IOS-2258</t>
        </is>
      </c>
      <c r="C2259" s="4" t="inlineStr">
        <is>
          <t>Group</t>
        </is>
      </c>
      <c r="D2259" s="4" t="inlineStr">
        <is>
          <t>Shared Living</t>
        </is>
      </c>
      <c r="E2259" s="4" t="inlineStr">
        <is>
          <t>Custom Living</t>
        </is>
      </c>
      <c r="F2259" s="4" t="inlineStr">
        <is>
          <t>Custom Expense</t>
        </is>
      </c>
      <c r="G2259" s="4" t="inlineStr">
        <is>
          <t>Expense</t>
        </is>
      </c>
      <c r="H2259" s="12" t="n">
        <v>46111</v>
      </c>
      <c r="I2259" s="13" t="n">
        <v>0.3642476851851852</v>
      </c>
      <c r="J2259" s="14" t="n">
        <v>46111.36424768518</v>
      </c>
      <c r="K2259" s="15" t="n">
        <v>9365.959999999999</v>
      </c>
      <c r="L2259" s="4" t="inlineStr">
        <is>
          <t>INR</t>
        </is>
      </c>
      <c r="M2259" s="15" t="n">
        <v>-9365.959999999999</v>
      </c>
      <c r="N2259" s="4" t="inlineStr">
        <is>
          <t>IOS Meera</t>
        </is>
      </c>
      <c r="O2259" s="4" t="n">
        <v>3</v>
      </c>
      <c r="P2259" s="4" t="inlineStr">
        <is>
          <t>EQUAL</t>
        </is>
      </c>
      <c r="Q2259" s="4" t="inlineStr">
        <is>
          <t>MAESTRO-IOS-GROUP-CUSTOM_LIVING-2258 | Custom Expense | 9365.96</t>
        </is>
      </c>
      <c r="R2259" s="4" t="inlineStr">
        <is>
          <t>iPhone</t>
        </is>
      </c>
      <c r="S2259" s="4" t="inlineStr">
        <is>
          <t>B46</t>
        </is>
      </c>
      <c r="T2259" s="4" t="inlineStr">
        <is>
          <t>RAMP_1501_2500</t>
        </is>
      </c>
      <c r="U2259" s="4" t="inlineStr">
        <is>
          <t>CREATED</t>
        </is>
      </c>
      <c r="V2259" s="4" t="inlineStr">
        <is>
          <t>idem-20260902-ios-2258</t>
        </is>
      </c>
    </row>
    <row r="2260" ht="30" customHeight="1">
      <c r="A2260" s="4" t="n">
        <v>2259</v>
      </c>
      <c r="B2260" s="4" t="inlineStr">
        <is>
          <t>MTR-IOS-2259</t>
        </is>
      </c>
      <c r="C2260" s="4" t="inlineStr">
        <is>
          <t>Business</t>
        </is>
      </c>
      <c r="D2260" s="4" t="inlineStr">
        <is>
          <t>Business</t>
        </is>
      </c>
      <c r="E2260" s="4" t="inlineStr">
        <is>
          <t>Business Operations</t>
        </is>
      </c>
      <c r="F2260" s="4" t="inlineStr">
        <is>
          <t>Accounting</t>
        </is>
      </c>
      <c r="G2260" s="4" t="inlineStr">
        <is>
          <t>Expense</t>
        </is>
      </c>
      <c r="H2260" s="12" t="n">
        <v>46052</v>
      </c>
      <c r="I2260" s="13" t="n">
        <v>0.6972106481481481</v>
      </c>
      <c r="J2260" s="14" t="n">
        <v>46052.69721064815</v>
      </c>
      <c r="K2260" s="15" t="n">
        <v>150609.21</v>
      </c>
      <c r="L2260" s="4" t="inlineStr">
        <is>
          <t>INR</t>
        </is>
      </c>
      <c r="M2260" s="15" t="n">
        <v>-150609.21</v>
      </c>
      <c r="N2260" s="4" t="inlineStr">
        <is>
          <t>IOS Owner</t>
        </is>
      </c>
      <c r="O2260" s="4" t="n"/>
      <c r="P2260" s="4" t="n"/>
      <c r="Q2260" s="4" t="inlineStr">
        <is>
          <t>MAESTRO-IOS-BUSINESS-BUSINESS_OPERATIONS-2259 | Accounting | 150609.21</t>
        </is>
      </c>
      <c r="R2260" s="4" t="inlineStr">
        <is>
          <t>iPhone</t>
        </is>
      </c>
      <c r="S2260" s="4" t="inlineStr">
        <is>
          <t>B46</t>
        </is>
      </c>
      <c r="T2260" s="4" t="inlineStr">
        <is>
          <t>RAMP_1501_2500</t>
        </is>
      </c>
      <c r="U2260" s="4" t="inlineStr">
        <is>
          <t>CREATED</t>
        </is>
      </c>
      <c r="V2260" s="4" t="inlineStr">
        <is>
          <t>idem-20260902-ios-2259</t>
        </is>
      </c>
    </row>
    <row r="2261" ht="30" customHeight="1">
      <c r="A2261" s="4" t="n">
        <v>2260</v>
      </c>
      <c r="B2261" s="4" t="inlineStr">
        <is>
          <t>MTR-IOS-2260</t>
        </is>
      </c>
      <c r="C2261" s="4" t="inlineStr">
        <is>
          <t>Personal</t>
        </is>
      </c>
      <c r="D2261" s="4" t="inlineStr">
        <is>
          <t>Personal</t>
        </is>
      </c>
      <c r="E2261" s="4" t="inlineStr">
        <is>
          <t>Lifestyle</t>
        </is>
      </c>
      <c r="F2261" s="4" t="inlineStr">
        <is>
          <t>Hobbies</t>
        </is>
      </c>
      <c r="G2261" s="4" t="inlineStr">
        <is>
          <t>Expense</t>
        </is>
      </c>
      <c r="H2261" s="12" t="n">
        <v>46102</v>
      </c>
      <c r="I2261" s="13" t="n">
        <v>0.1572569444444444</v>
      </c>
      <c r="J2261" s="14" t="n">
        <v>46102.15725694445</v>
      </c>
      <c r="K2261" s="15" t="n">
        <v>6738.61</v>
      </c>
      <c r="L2261" s="4" t="inlineStr">
        <is>
          <t>INR</t>
        </is>
      </c>
      <c r="M2261" s="15" t="n">
        <v>-6738.61</v>
      </c>
      <c r="N2261" s="4" t="inlineStr">
        <is>
          <t>IOS Owner</t>
        </is>
      </c>
      <c r="O2261" s="4" t="n"/>
      <c r="P2261" s="4" t="n"/>
      <c r="Q2261" s="4" t="inlineStr">
        <is>
          <t>MAESTRO-IOS-PERSONAL-LIFESTYLE-2260 | Hobbies | 6738.61</t>
        </is>
      </c>
      <c r="R2261" s="4" t="inlineStr">
        <is>
          <t>iPhone</t>
        </is>
      </c>
      <c r="S2261" s="4" t="inlineStr">
        <is>
          <t>B46</t>
        </is>
      </c>
      <c r="T2261" s="4" t="inlineStr">
        <is>
          <t>RAMP_1501_2500</t>
        </is>
      </c>
      <c r="U2261" s="4" t="inlineStr">
        <is>
          <t>CREATED</t>
        </is>
      </c>
      <c r="V2261" s="4" t="inlineStr">
        <is>
          <t>idem-20260902-ios-2260</t>
        </is>
      </c>
    </row>
    <row r="2262" ht="30" customHeight="1">
      <c r="A2262" s="4" t="n">
        <v>2261</v>
      </c>
      <c r="B2262" s="4" t="inlineStr">
        <is>
          <t>MTR-IOS-2261</t>
        </is>
      </c>
      <c r="C2262" s="4" t="inlineStr">
        <is>
          <t>Group</t>
        </is>
      </c>
      <c r="D2262" s="4" t="inlineStr">
        <is>
          <t>Shared Living</t>
        </is>
      </c>
      <c r="E2262" s="4" t="inlineStr">
        <is>
          <t>Custom Living</t>
        </is>
      </c>
      <c r="F2262" s="4" t="inlineStr">
        <is>
          <t>Custom Contribution</t>
        </is>
      </c>
      <c r="G2262" s="4" t="inlineStr">
        <is>
          <t>Contribution</t>
        </is>
      </c>
      <c r="H2262" s="12" t="n">
        <v>46184</v>
      </c>
      <c r="I2262" s="13" t="n">
        <v>0.110775462962963</v>
      </c>
      <c r="J2262" s="14" t="n">
        <v>46184.11077546296</v>
      </c>
      <c r="K2262" s="15" t="n">
        <v>25411.55</v>
      </c>
      <c r="L2262" s="4" t="inlineStr">
        <is>
          <t>INR</t>
        </is>
      </c>
      <c r="M2262" s="15" t="n">
        <v>25411.55</v>
      </c>
      <c r="N2262" s="4" t="inlineStr">
        <is>
          <t>IOS Owner</t>
        </is>
      </c>
      <c r="O2262" s="4" t="n">
        <v>3</v>
      </c>
      <c r="P2262" s="4" t="inlineStr">
        <is>
          <t>PERCENTAGE</t>
        </is>
      </c>
      <c r="Q2262" s="4" t="inlineStr">
        <is>
          <t>MAESTRO-IOS-GROUP-CUSTOM_LIVING-2261 | Custom Contribution | 25411.55</t>
        </is>
      </c>
      <c r="R2262" s="4" t="inlineStr">
        <is>
          <t>iPhone</t>
        </is>
      </c>
      <c r="S2262" s="4" t="inlineStr">
        <is>
          <t>B46</t>
        </is>
      </c>
      <c r="T2262" s="4" t="inlineStr">
        <is>
          <t>RAMP_1501_2500</t>
        </is>
      </c>
      <c r="U2262" s="4" t="inlineStr">
        <is>
          <t>CREATED</t>
        </is>
      </c>
      <c r="V2262" s="4" t="inlineStr">
        <is>
          <t>idem-20260902-ios-2261</t>
        </is>
      </c>
    </row>
    <row r="2263" ht="30" customHeight="1">
      <c r="A2263" s="4" t="n">
        <v>2262</v>
      </c>
      <c r="B2263" s="4" t="inlineStr">
        <is>
          <t>MTR-IOS-2262</t>
        </is>
      </c>
      <c r="C2263" s="4" t="inlineStr">
        <is>
          <t>Business</t>
        </is>
      </c>
      <c r="D2263" s="4" t="inlineStr">
        <is>
          <t>Business</t>
        </is>
      </c>
      <c r="E2263" s="4" t="inlineStr">
        <is>
          <t>Business Operations</t>
        </is>
      </c>
      <c r="F2263" s="4" t="inlineStr">
        <is>
          <t>Equipment</t>
        </is>
      </c>
      <c r="G2263" s="4" t="inlineStr">
        <is>
          <t>Expense</t>
        </is>
      </c>
      <c r="H2263" s="12" t="n">
        <v>46178</v>
      </c>
      <c r="I2263" s="13" t="n">
        <v>0.1452893518518519</v>
      </c>
      <c r="J2263" s="14" t="n">
        <v>46178.14528935185</v>
      </c>
      <c r="K2263" s="15" t="n">
        <v>76339.95</v>
      </c>
      <c r="L2263" s="4" t="inlineStr">
        <is>
          <t>INR</t>
        </is>
      </c>
      <c r="M2263" s="15" t="n">
        <v>-76339.95</v>
      </c>
      <c r="N2263" s="4" t="inlineStr">
        <is>
          <t>IOS Owner</t>
        </is>
      </c>
      <c r="O2263" s="4" t="n"/>
      <c r="P2263" s="4" t="n"/>
      <c r="Q2263" s="4" t="inlineStr">
        <is>
          <t>MAESTRO-IOS-BUSINESS-BUSINESS_OPERATIONS-2262 | Equipment | 76339.95</t>
        </is>
      </c>
      <c r="R2263" s="4" t="inlineStr">
        <is>
          <t>iPhone</t>
        </is>
      </c>
      <c r="S2263" s="4" t="inlineStr">
        <is>
          <t>B46</t>
        </is>
      </c>
      <c r="T2263" s="4" t="inlineStr">
        <is>
          <t>RAMP_1501_2500</t>
        </is>
      </c>
      <c r="U2263" s="4" t="inlineStr">
        <is>
          <t>CREATED</t>
        </is>
      </c>
      <c r="V2263" s="4" t="inlineStr">
        <is>
          <t>idem-20260902-ios-2262</t>
        </is>
      </c>
    </row>
    <row r="2264" ht="30" customHeight="1">
      <c r="A2264" s="4" t="n">
        <v>2263</v>
      </c>
      <c r="B2264" s="4" t="inlineStr">
        <is>
          <t>MTR-IOS-2263</t>
        </is>
      </c>
      <c r="C2264" s="4" t="inlineStr">
        <is>
          <t>Personal</t>
        </is>
      </c>
      <c r="D2264" s="4" t="inlineStr">
        <is>
          <t>Personal</t>
        </is>
      </c>
      <c r="E2264" s="4" t="inlineStr">
        <is>
          <t>Relationships</t>
        </is>
      </c>
      <c r="F2264" s="4" t="inlineStr">
        <is>
          <t>Gifts</t>
        </is>
      </c>
      <c r="G2264" s="4" t="inlineStr">
        <is>
          <t>Expense</t>
        </is>
      </c>
      <c r="H2264" s="12" t="n">
        <v>46189</v>
      </c>
      <c r="I2264" s="13" t="n">
        <v>0.606550925925926</v>
      </c>
      <c r="J2264" s="14" t="n">
        <v>46189.60655092593</v>
      </c>
      <c r="K2264" s="15" t="n">
        <v>13272.14</v>
      </c>
      <c r="L2264" s="4" t="inlineStr">
        <is>
          <t>INR</t>
        </is>
      </c>
      <c r="M2264" s="15" t="n">
        <v>-13272.14</v>
      </c>
      <c r="N2264" s="4" t="inlineStr">
        <is>
          <t>IOS Owner</t>
        </is>
      </c>
      <c r="O2264" s="4" t="n"/>
      <c r="P2264" s="4" t="n"/>
      <c r="Q2264" s="4" t="inlineStr">
        <is>
          <t>MAESTRO-IOS-PERSONAL-RELATIONSHIPS-2263 | Gifts | 13272.14</t>
        </is>
      </c>
      <c r="R2264" s="4" t="inlineStr">
        <is>
          <t>iPhone</t>
        </is>
      </c>
      <c r="S2264" s="4" t="inlineStr">
        <is>
          <t>B46</t>
        </is>
      </c>
      <c r="T2264" s="4" t="inlineStr">
        <is>
          <t>RAMP_1501_2500</t>
        </is>
      </c>
      <c r="U2264" s="4" t="inlineStr">
        <is>
          <t>CREATED</t>
        </is>
      </c>
      <c r="V2264" s="4" t="inlineStr">
        <is>
          <t>idem-20260902-ios-2263</t>
        </is>
      </c>
    </row>
    <row r="2265" ht="30" customHeight="1">
      <c r="A2265" s="4" t="n">
        <v>2264</v>
      </c>
      <c r="B2265" s="4" t="inlineStr">
        <is>
          <t>MTR-IOS-2264</t>
        </is>
      </c>
      <c r="C2265" s="4" t="inlineStr">
        <is>
          <t>Group</t>
        </is>
      </c>
      <c r="D2265" s="4" t="inlineStr">
        <is>
          <t>Shared Experience</t>
        </is>
      </c>
      <c r="E2265" s="4" t="inlineStr">
        <is>
          <t>Trip</t>
        </is>
      </c>
      <c r="F2265" s="4" t="inlineStr">
        <is>
          <t>Travel</t>
        </is>
      </c>
      <c r="G2265" s="4" t="inlineStr">
        <is>
          <t>Expense</t>
        </is>
      </c>
      <c r="H2265" s="12" t="n">
        <v>45959</v>
      </c>
      <c r="I2265" s="13" t="n">
        <v>0.926863425925926</v>
      </c>
      <c r="J2265" s="14" t="n">
        <v>45959.92686342593</v>
      </c>
      <c r="K2265" s="15" t="n">
        <v>18844.24</v>
      </c>
      <c r="L2265" s="4" t="inlineStr">
        <is>
          <t>INR</t>
        </is>
      </c>
      <c r="M2265" s="15" t="n">
        <v>-18844.24</v>
      </c>
      <c r="N2265" s="4" t="inlineStr">
        <is>
          <t>IOS Aarav</t>
        </is>
      </c>
      <c r="O2265" s="4" t="n">
        <v>3</v>
      </c>
      <c r="P2265" s="4" t="inlineStr">
        <is>
          <t>EXACT</t>
        </is>
      </c>
      <c r="Q2265" s="4" t="inlineStr">
        <is>
          <t>MAESTRO-IOS-GROUP-TRIP-2264 | Travel | 18844.24</t>
        </is>
      </c>
      <c r="R2265" s="4" t="inlineStr">
        <is>
          <t>iPhone</t>
        </is>
      </c>
      <c r="S2265" s="4" t="inlineStr">
        <is>
          <t>B46</t>
        </is>
      </c>
      <c r="T2265" s="4" t="inlineStr">
        <is>
          <t>RAMP_1501_2500</t>
        </is>
      </c>
      <c r="U2265" s="4" t="inlineStr">
        <is>
          <t>CREATED</t>
        </is>
      </c>
      <c r="V2265" s="4" t="inlineStr">
        <is>
          <t>idem-20260902-ios-2264</t>
        </is>
      </c>
    </row>
    <row r="2266" ht="30" customHeight="1">
      <c r="A2266" s="4" t="n">
        <v>2265</v>
      </c>
      <c r="B2266" s="4" t="inlineStr">
        <is>
          <t>MTR-IOS-2265</t>
        </is>
      </c>
      <c r="C2266" s="4" t="inlineStr">
        <is>
          <t>Business</t>
        </is>
      </c>
      <c r="D2266" s="4" t="inlineStr">
        <is>
          <t>Business</t>
        </is>
      </c>
      <c r="E2266" s="4" t="inlineStr">
        <is>
          <t>Business Operations</t>
        </is>
      </c>
      <c r="F2266" s="4" t="inlineStr">
        <is>
          <t>Vendor</t>
        </is>
      </c>
      <c r="G2266" s="4" t="inlineStr">
        <is>
          <t>Expense</t>
        </is>
      </c>
      <c r="H2266" s="12" t="n">
        <v>46058</v>
      </c>
      <c r="I2266" s="13" t="n">
        <v>0.08857638888888889</v>
      </c>
      <c r="J2266" s="14" t="n">
        <v>46058.08857638889</v>
      </c>
      <c r="K2266" s="15" t="n">
        <v>146466.46</v>
      </c>
      <c r="L2266" s="4" t="inlineStr">
        <is>
          <t>INR</t>
        </is>
      </c>
      <c r="M2266" s="15" t="n">
        <v>-146466.46</v>
      </c>
      <c r="N2266" s="4" t="inlineStr">
        <is>
          <t>IOS Owner</t>
        </is>
      </c>
      <c r="O2266" s="4" t="n"/>
      <c r="P2266" s="4" t="n"/>
      <c r="Q2266" s="4" t="inlineStr">
        <is>
          <t>MAESTRO-IOS-BUSINESS-BUSINESS_OPERATIONS-2265 | Vendor | 146466.46</t>
        </is>
      </c>
      <c r="R2266" s="4" t="inlineStr">
        <is>
          <t>iPhone</t>
        </is>
      </c>
      <c r="S2266" s="4" t="inlineStr">
        <is>
          <t>B46</t>
        </is>
      </c>
      <c r="T2266" s="4" t="inlineStr">
        <is>
          <t>RAMP_1501_2500</t>
        </is>
      </c>
      <c r="U2266" s="4" t="inlineStr">
        <is>
          <t>CREATED</t>
        </is>
      </c>
      <c r="V2266" s="4" t="inlineStr">
        <is>
          <t>idem-20260902-ios-2265</t>
        </is>
      </c>
    </row>
    <row r="2267" ht="30" customHeight="1">
      <c r="A2267" s="4" t="n">
        <v>2266</v>
      </c>
      <c r="B2267" s="4" t="inlineStr">
        <is>
          <t>MTR-IOS-2266</t>
        </is>
      </c>
      <c r="C2267" s="4" t="inlineStr">
        <is>
          <t>Personal</t>
        </is>
      </c>
      <c r="D2267" s="4" t="inlineStr">
        <is>
          <t>Personal</t>
        </is>
      </c>
      <c r="E2267" s="4" t="inlineStr">
        <is>
          <t>Relationships</t>
        </is>
      </c>
      <c r="F2267" s="4" t="inlineStr">
        <is>
          <t>Dates</t>
        </is>
      </c>
      <c r="G2267" s="4" t="inlineStr">
        <is>
          <t>Expense</t>
        </is>
      </c>
      <c r="H2267" s="12" t="n">
        <v>46054</v>
      </c>
      <c r="I2267" s="13" t="n">
        <v>0.8024189814814815</v>
      </c>
      <c r="J2267" s="14" t="n">
        <v>46054.80241898148</v>
      </c>
      <c r="K2267" s="15" t="n">
        <v>9774.129999999999</v>
      </c>
      <c r="L2267" s="4" t="inlineStr">
        <is>
          <t>INR</t>
        </is>
      </c>
      <c r="M2267" s="15" t="n">
        <v>-9774.129999999999</v>
      </c>
      <c r="N2267" s="4" t="inlineStr">
        <is>
          <t>IOS Owner</t>
        </is>
      </c>
      <c r="O2267" s="4" t="n"/>
      <c r="P2267" s="4" t="n"/>
      <c r="Q2267" s="4" t="inlineStr">
        <is>
          <t>MAESTRO-IOS-PERSONAL-RELATIONSHIPS-2266 | Dates | 9774.13</t>
        </is>
      </c>
      <c r="R2267" s="4" t="inlineStr">
        <is>
          <t>iPhone</t>
        </is>
      </c>
      <c r="S2267" s="4" t="inlineStr">
        <is>
          <t>B46</t>
        </is>
      </c>
      <c r="T2267" s="4" t="inlineStr">
        <is>
          <t>RAMP_1501_2500</t>
        </is>
      </c>
      <c r="U2267" s="4" t="inlineStr">
        <is>
          <t>CREATED</t>
        </is>
      </c>
      <c r="V2267" s="4" t="inlineStr">
        <is>
          <t>idem-20260902-ios-2266</t>
        </is>
      </c>
    </row>
    <row r="2268" ht="30" customHeight="1">
      <c r="A2268" s="4" t="n">
        <v>2267</v>
      </c>
      <c r="B2268" s="4" t="inlineStr">
        <is>
          <t>MTR-IOS-2267</t>
        </is>
      </c>
      <c r="C2268" s="4" t="inlineStr">
        <is>
          <t>Group</t>
        </is>
      </c>
      <c r="D2268" s="4" t="inlineStr">
        <is>
          <t>Shared Experience</t>
        </is>
      </c>
      <c r="E2268" s="4" t="inlineStr">
        <is>
          <t>Trip</t>
        </is>
      </c>
      <c r="F2268" s="4" t="inlineStr">
        <is>
          <t>Stay</t>
        </is>
      </c>
      <c r="G2268" s="4" t="inlineStr">
        <is>
          <t>Expense</t>
        </is>
      </c>
      <c r="H2268" s="12" t="n">
        <v>46185</v>
      </c>
      <c r="I2268" s="13" t="n">
        <v>0.4540162037037037</v>
      </c>
      <c r="J2268" s="14" t="n">
        <v>46185.4540162037</v>
      </c>
      <c r="K2268" s="15" t="n">
        <v>11087.51</v>
      </c>
      <c r="L2268" s="4" t="inlineStr">
        <is>
          <t>INR</t>
        </is>
      </c>
      <c r="M2268" s="15" t="n">
        <v>-11087.51</v>
      </c>
      <c r="N2268" s="4" t="inlineStr">
        <is>
          <t>IOS Meera</t>
        </is>
      </c>
      <c r="O2268" s="4" t="n">
        <v>3</v>
      </c>
      <c r="P2268" s="4" t="inlineStr">
        <is>
          <t>SHARES</t>
        </is>
      </c>
      <c r="Q2268" s="4" t="inlineStr">
        <is>
          <t>MAESTRO-IOS-GROUP-TRIP-2267 | Stay | 11087.51</t>
        </is>
      </c>
      <c r="R2268" s="4" t="inlineStr">
        <is>
          <t>iPhone</t>
        </is>
      </c>
      <c r="S2268" s="4" t="inlineStr">
        <is>
          <t>B46</t>
        </is>
      </c>
      <c r="T2268" s="4" t="inlineStr">
        <is>
          <t>RAMP_1501_2500</t>
        </is>
      </c>
      <c r="U2268" s="4" t="inlineStr">
        <is>
          <t>CREATED</t>
        </is>
      </c>
      <c r="V2268" s="4" t="inlineStr">
        <is>
          <t>idem-20260902-ios-2267</t>
        </is>
      </c>
    </row>
    <row r="2269" ht="30" customHeight="1">
      <c r="A2269" s="4" t="n">
        <v>2268</v>
      </c>
      <c r="B2269" s="4" t="inlineStr">
        <is>
          <t>MTR-IOS-2268</t>
        </is>
      </c>
      <c r="C2269" s="4" t="inlineStr">
        <is>
          <t>Business</t>
        </is>
      </c>
      <c r="D2269" s="4" t="inlineStr">
        <is>
          <t>Business</t>
        </is>
      </c>
      <c r="E2269" s="4" t="inlineStr">
        <is>
          <t>Business Operations</t>
        </is>
      </c>
      <c r="F2269" s="4" t="inlineStr">
        <is>
          <t>Tax</t>
        </is>
      </c>
      <c r="G2269" s="4" t="inlineStr">
        <is>
          <t>Expense</t>
        </is>
      </c>
      <c r="H2269" s="12" t="n">
        <v>46135</v>
      </c>
      <c r="I2269" s="13" t="n">
        <v>0.1743287037037037</v>
      </c>
      <c r="J2269" s="14" t="n">
        <v>46135.1743287037</v>
      </c>
      <c r="K2269" s="15" t="n">
        <v>134614.07</v>
      </c>
      <c r="L2269" s="4" t="inlineStr">
        <is>
          <t>INR</t>
        </is>
      </c>
      <c r="M2269" s="15" t="n">
        <v>-134614.07</v>
      </c>
      <c r="N2269" s="4" t="inlineStr">
        <is>
          <t>IOS Owner</t>
        </is>
      </c>
      <c r="O2269" s="4" t="n"/>
      <c r="P2269" s="4" t="n"/>
      <c r="Q2269" s="4" t="inlineStr">
        <is>
          <t>MAESTRO-IOS-BUSINESS-BUSINESS_OPERATIONS-2268 | Tax | 134614.07</t>
        </is>
      </c>
      <c r="R2269" s="4" t="inlineStr">
        <is>
          <t>iPhone</t>
        </is>
      </c>
      <c r="S2269" s="4" t="inlineStr">
        <is>
          <t>B46</t>
        </is>
      </c>
      <c r="T2269" s="4" t="inlineStr">
        <is>
          <t>RAMP_1501_2500</t>
        </is>
      </c>
      <c r="U2269" s="4" t="inlineStr">
        <is>
          <t>CREATED</t>
        </is>
      </c>
      <c r="V2269" s="4" t="inlineStr">
        <is>
          <t>idem-20260902-ios-2268</t>
        </is>
      </c>
    </row>
    <row r="2270" ht="30" customHeight="1">
      <c r="A2270" s="4" t="n">
        <v>2269</v>
      </c>
      <c r="B2270" s="4" t="inlineStr">
        <is>
          <t>MTR-IOS-2269</t>
        </is>
      </c>
      <c r="C2270" s="4" t="inlineStr">
        <is>
          <t>Personal</t>
        </is>
      </c>
      <c r="D2270" s="4" t="inlineStr">
        <is>
          <t>Personal</t>
        </is>
      </c>
      <c r="E2270" s="4" t="inlineStr">
        <is>
          <t>Relationships</t>
        </is>
      </c>
      <c r="F2270" s="4" t="inlineStr">
        <is>
          <t>Family</t>
        </is>
      </c>
      <c r="G2270" s="4" t="inlineStr">
        <is>
          <t>Expense</t>
        </is>
      </c>
      <c r="H2270" s="12" t="n">
        <v>46031</v>
      </c>
      <c r="I2270" s="13" t="n">
        <v>0.1643865740740741</v>
      </c>
      <c r="J2270" s="14" t="n">
        <v>46031.16438657408</v>
      </c>
      <c r="K2270" s="15" t="n">
        <v>8137.49</v>
      </c>
      <c r="L2270" s="4" t="inlineStr">
        <is>
          <t>INR</t>
        </is>
      </c>
      <c r="M2270" s="15" t="n">
        <v>-8137.49</v>
      </c>
      <c r="N2270" s="4" t="inlineStr">
        <is>
          <t>IOS Owner</t>
        </is>
      </c>
      <c r="O2270" s="4" t="n"/>
      <c r="P2270" s="4" t="n"/>
      <c r="Q2270" s="4" t="inlineStr">
        <is>
          <t>MAESTRO-IOS-PERSONAL-RELATIONSHIPS-2269 | Family | 8137.49</t>
        </is>
      </c>
      <c r="R2270" s="4" t="inlineStr">
        <is>
          <t>iPhone</t>
        </is>
      </c>
      <c r="S2270" s="4" t="inlineStr">
        <is>
          <t>B46</t>
        </is>
      </c>
      <c r="T2270" s="4" t="inlineStr">
        <is>
          <t>RAMP_1501_2500</t>
        </is>
      </c>
      <c r="U2270" s="4" t="inlineStr">
        <is>
          <t>CREATED</t>
        </is>
      </c>
      <c r="V2270" s="4" t="inlineStr">
        <is>
          <t>idem-20260902-ios-2269</t>
        </is>
      </c>
    </row>
    <row r="2271" ht="30" customHeight="1">
      <c r="A2271" s="4" t="n">
        <v>2270</v>
      </c>
      <c r="B2271" s="4" t="inlineStr">
        <is>
          <t>MTR-IOS-2270</t>
        </is>
      </c>
      <c r="C2271" s="4" t="inlineStr">
        <is>
          <t>Group</t>
        </is>
      </c>
      <c r="D2271" s="4" t="inlineStr">
        <is>
          <t>Shared Experience</t>
        </is>
      </c>
      <c r="E2271" s="4" t="inlineStr">
        <is>
          <t>Trip</t>
        </is>
      </c>
      <c r="F2271" s="4" t="inlineStr">
        <is>
          <t>Food</t>
        </is>
      </c>
      <c r="G2271" s="4" t="inlineStr">
        <is>
          <t>Expense</t>
        </is>
      </c>
      <c r="H2271" s="12" t="n">
        <v>45941</v>
      </c>
      <c r="I2271" s="13" t="n">
        <v>0.608912037037037</v>
      </c>
      <c r="J2271" s="14" t="n">
        <v>45941.60891203704</v>
      </c>
      <c r="K2271" s="15" t="n">
        <v>2382.8</v>
      </c>
      <c r="L2271" s="4" t="inlineStr">
        <is>
          <t>INR</t>
        </is>
      </c>
      <c r="M2271" s="15" t="n">
        <v>-2382.8</v>
      </c>
      <c r="N2271" s="4" t="inlineStr">
        <is>
          <t>IOS Owner</t>
        </is>
      </c>
      <c r="O2271" s="4" t="n">
        <v>3</v>
      </c>
      <c r="P2271" s="4" t="inlineStr">
        <is>
          <t>EQUAL</t>
        </is>
      </c>
      <c r="Q2271" s="4" t="inlineStr">
        <is>
          <t>MAESTRO-IOS-GROUP-TRIP-2270 | Food | 2382.80</t>
        </is>
      </c>
      <c r="R2271" s="4" t="inlineStr">
        <is>
          <t>iPhone</t>
        </is>
      </c>
      <c r="S2271" s="4" t="inlineStr">
        <is>
          <t>B46</t>
        </is>
      </c>
      <c r="T2271" s="4" t="inlineStr">
        <is>
          <t>RAMP_1501_2500</t>
        </is>
      </c>
      <c r="U2271" s="4" t="inlineStr">
        <is>
          <t>CREATED</t>
        </is>
      </c>
      <c r="V2271" s="4" t="inlineStr">
        <is>
          <t>idem-20260902-ios-2270</t>
        </is>
      </c>
    </row>
    <row r="2272" ht="30" customHeight="1">
      <c r="A2272" s="4" t="n">
        <v>2271</v>
      </c>
      <c r="B2272" s="4" t="inlineStr">
        <is>
          <t>MTR-IOS-2271</t>
        </is>
      </c>
      <c r="C2272" s="4" t="inlineStr">
        <is>
          <t>Business</t>
        </is>
      </c>
      <c r="D2272" s="4" t="inlineStr">
        <is>
          <t>Business</t>
        </is>
      </c>
      <c r="E2272" s="4" t="inlineStr">
        <is>
          <t>Team Operations</t>
        </is>
      </c>
      <c r="F2272" s="4" t="inlineStr">
        <is>
          <t>Payroll</t>
        </is>
      </c>
      <c r="G2272" s="4" t="inlineStr">
        <is>
          <t>Expense</t>
        </is>
      </c>
      <c r="H2272" s="12" t="n">
        <v>45927</v>
      </c>
      <c r="I2272" s="13" t="n">
        <v>0.4341550925925926</v>
      </c>
      <c r="J2272" s="14" t="n">
        <v>45927.43415509259</v>
      </c>
      <c r="K2272" s="15" t="n">
        <v>79500.53</v>
      </c>
      <c r="L2272" s="4" t="inlineStr">
        <is>
          <t>INR</t>
        </is>
      </c>
      <c r="M2272" s="15" t="n">
        <v>-79500.53</v>
      </c>
      <c r="N2272" s="4" t="inlineStr">
        <is>
          <t>IOS Owner</t>
        </is>
      </c>
      <c r="O2272" s="4" t="n"/>
      <c r="P2272" s="4" t="n"/>
      <c r="Q2272" s="4" t="inlineStr">
        <is>
          <t>MAESTRO-IOS-BUSINESS-TEAM_OPERATIONS-2271 | Payroll | 79500.53</t>
        </is>
      </c>
      <c r="R2272" s="4" t="inlineStr">
        <is>
          <t>iPhone</t>
        </is>
      </c>
      <c r="S2272" s="4" t="inlineStr">
        <is>
          <t>B46</t>
        </is>
      </c>
      <c r="T2272" s="4" t="inlineStr">
        <is>
          <t>RAMP_1501_2500</t>
        </is>
      </c>
      <c r="U2272" s="4" t="inlineStr">
        <is>
          <t>CREATED</t>
        </is>
      </c>
      <c r="V2272" s="4" t="inlineStr">
        <is>
          <t>idem-20260902-ios-2271</t>
        </is>
      </c>
    </row>
    <row r="2273" ht="30" customHeight="1">
      <c r="A2273" s="4" t="n">
        <v>2272</v>
      </c>
      <c r="B2273" s="4" t="inlineStr">
        <is>
          <t>MTR-IOS-2272</t>
        </is>
      </c>
      <c r="C2273" s="4" t="inlineStr">
        <is>
          <t>Personal</t>
        </is>
      </c>
      <c r="D2273" s="4" t="inlineStr">
        <is>
          <t>Personal</t>
        </is>
      </c>
      <c r="E2273" s="4" t="inlineStr">
        <is>
          <t>Relationships</t>
        </is>
      </c>
      <c r="F2273" s="4" t="inlineStr">
        <is>
          <t>Friends</t>
        </is>
      </c>
      <c r="G2273" s="4" t="inlineStr">
        <is>
          <t>Expense</t>
        </is>
      </c>
      <c r="H2273" s="12" t="n">
        <v>45912</v>
      </c>
      <c r="I2273" s="13" t="n">
        <v>0.4397916666666667</v>
      </c>
      <c r="J2273" s="14" t="n">
        <v>45912.43979166666</v>
      </c>
      <c r="K2273" s="15" t="n">
        <v>326.24</v>
      </c>
      <c r="L2273" s="4" t="inlineStr">
        <is>
          <t>INR</t>
        </is>
      </c>
      <c r="M2273" s="15" t="n">
        <v>-326.24</v>
      </c>
      <c r="N2273" s="4" t="inlineStr">
        <is>
          <t>IOS Owner</t>
        </is>
      </c>
      <c r="O2273" s="4" t="n"/>
      <c r="P2273" s="4" t="n"/>
      <c r="Q2273" s="4" t="inlineStr">
        <is>
          <t>MAESTRO-IOS-PERSONAL-RELATIONSHIPS-2272 | Friends | 326.24</t>
        </is>
      </c>
      <c r="R2273" s="4" t="inlineStr">
        <is>
          <t>iPhone</t>
        </is>
      </c>
      <c r="S2273" s="4" t="inlineStr">
        <is>
          <t>B46</t>
        </is>
      </c>
      <c r="T2273" s="4" t="inlineStr">
        <is>
          <t>RAMP_1501_2500</t>
        </is>
      </c>
      <c r="U2273" s="4" t="inlineStr">
        <is>
          <t>CREATED</t>
        </is>
      </c>
      <c r="V2273" s="4" t="inlineStr">
        <is>
          <t>idem-20260902-ios-2272</t>
        </is>
      </c>
    </row>
    <row r="2274" ht="30" customHeight="1">
      <c r="A2274" s="4" t="n">
        <v>2273</v>
      </c>
      <c r="B2274" s="4" t="inlineStr">
        <is>
          <t>MTR-IOS-2273</t>
        </is>
      </c>
      <c r="C2274" s="4" t="inlineStr">
        <is>
          <t>Group</t>
        </is>
      </c>
      <c r="D2274" s="4" t="inlineStr">
        <is>
          <t>Shared Experience</t>
        </is>
      </c>
      <c r="E2274" s="4" t="inlineStr">
        <is>
          <t>Trip</t>
        </is>
      </c>
      <c r="F2274" s="4" t="inlineStr">
        <is>
          <t>Local Transport</t>
        </is>
      </c>
      <c r="G2274" s="4" t="inlineStr">
        <is>
          <t>Expense</t>
        </is>
      </c>
      <c r="H2274" s="12" t="n">
        <v>46207</v>
      </c>
      <c r="I2274" s="13" t="n">
        <v>0.997824074074074</v>
      </c>
      <c r="J2274" s="14" t="n">
        <v>46207.99782407407</v>
      </c>
      <c r="K2274" s="15" t="n">
        <v>16838.33</v>
      </c>
      <c r="L2274" s="4" t="inlineStr">
        <is>
          <t>INR</t>
        </is>
      </c>
      <c r="M2274" s="15" t="n">
        <v>-16838.33</v>
      </c>
      <c r="N2274" s="4" t="inlineStr">
        <is>
          <t>IOS Aarav</t>
        </is>
      </c>
      <c r="O2274" s="4" t="n">
        <v>3</v>
      </c>
      <c r="P2274" s="4" t="inlineStr">
        <is>
          <t>PERCENTAGE</t>
        </is>
      </c>
      <c r="Q2274" s="4" t="inlineStr">
        <is>
          <t>MAESTRO-IOS-GROUP-TRIP-2273 | Local Transport | 16838.33</t>
        </is>
      </c>
      <c r="R2274" s="4" t="inlineStr">
        <is>
          <t>iPhone</t>
        </is>
      </c>
      <c r="S2274" s="4" t="inlineStr">
        <is>
          <t>B46</t>
        </is>
      </c>
      <c r="T2274" s="4" t="inlineStr">
        <is>
          <t>RAMP_1501_2500</t>
        </is>
      </c>
      <c r="U2274" s="4" t="inlineStr">
        <is>
          <t>CREATED</t>
        </is>
      </c>
      <c r="V2274" s="4" t="inlineStr">
        <is>
          <t>idem-20260902-ios-2273</t>
        </is>
      </c>
    </row>
    <row r="2275" ht="30" customHeight="1">
      <c r="A2275" s="4" t="n">
        <v>2274</v>
      </c>
      <c r="B2275" s="4" t="inlineStr">
        <is>
          <t>MTR-IOS-2274</t>
        </is>
      </c>
      <c r="C2275" s="4" t="inlineStr">
        <is>
          <t>Business</t>
        </is>
      </c>
      <c r="D2275" s="4" t="inlineStr">
        <is>
          <t>Business</t>
        </is>
      </c>
      <c r="E2275" s="4" t="inlineStr">
        <is>
          <t>Team Operations</t>
        </is>
      </c>
      <c r="F2275" s="4" t="inlineStr">
        <is>
          <t>Contractor</t>
        </is>
      </c>
      <c r="G2275" s="4" t="inlineStr">
        <is>
          <t>Expense</t>
        </is>
      </c>
      <c r="H2275" s="12" t="n">
        <v>46214</v>
      </c>
      <c r="I2275" s="13" t="n">
        <v>0.7305324074074074</v>
      </c>
      <c r="J2275" s="14" t="n">
        <v>46214.7305324074</v>
      </c>
      <c r="K2275" s="15" t="n">
        <v>81006.49000000001</v>
      </c>
      <c r="L2275" s="4" t="inlineStr">
        <is>
          <t>INR</t>
        </is>
      </c>
      <c r="M2275" s="15" t="n">
        <v>-81006.49000000001</v>
      </c>
      <c r="N2275" s="4" t="inlineStr">
        <is>
          <t>IOS Owner</t>
        </is>
      </c>
      <c r="O2275" s="4" t="n"/>
      <c r="P2275" s="4" t="n"/>
      <c r="Q2275" s="4" t="inlineStr">
        <is>
          <t>MAESTRO-IOS-BUSINESS-TEAM_OPERATIONS-2274 | Contractor | 81006.49</t>
        </is>
      </c>
      <c r="R2275" s="4" t="inlineStr">
        <is>
          <t>iPhone</t>
        </is>
      </c>
      <c r="S2275" s="4" t="inlineStr">
        <is>
          <t>B46</t>
        </is>
      </c>
      <c r="T2275" s="4" t="inlineStr">
        <is>
          <t>RAMP_1501_2500</t>
        </is>
      </c>
      <c r="U2275" s="4" t="inlineStr">
        <is>
          <t>CREATED</t>
        </is>
      </c>
      <c r="V2275" s="4" t="inlineStr">
        <is>
          <t>idem-20260902-ios-2274</t>
        </is>
      </c>
    </row>
    <row r="2276" ht="30" customHeight="1">
      <c r="A2276" s="4" t="n">
        <v>2275</v>
      </c>
      <c r="B2276" s="4" t="inlineStr">
        <is>
          <t>MTR-IOS-2275</t>
        </is>
      </c>
      <c r="C2276" s="4" t="inlineStr">
        <is>
          <t>Personal</t>
        </is>
      </c>
      <c r="D2276" s="4" t="inlineStr">
        <is>
          <t>Personal</t>
        </is>
      </c>
      <c r="E2276" s="4" t="inlineStr">
        <is>
          <t>Relationships</t>
        </is>
      </c>
      <c r="F2276" s="4" t="inlineStr">
        <is>
          <t>Celebrations</t>
        </is>
      </c>
      <c r="G2276" s="4" t="inlineStr">
        <is>
          <t>Expense</t>
        </is>
      </c>
      <c r="H2276" s="12" t="n">
        <v>46204</v>
      </c>
      <c r="I2276" s="13" t="n">
        <v>0.4343055555555556</v>
      </c>
      <c r="J2276" s="14" t="n">
        <v>46204.43430555556</v>
      </c>
      <c r="K2276" s="15" t="n">
        <v>15694.02</v>
      </c>
      <c r="L2276" s="4" t="inlineStr">
        <is>
          <t>INR</t>
        </is>
      </c>
      <c r="M2276" s="15" t="n">
        <v>-15694.02</v>
      </c>
      <c r="N2276" s="4" t="inlineStr">
        <is>
          <t>IOS Owner</t>
        </is>
      </c>
      <c r="O2276" s="4" t="n"/>
      <c r="P2276" s="4" t="n"/>
      <c r="Q2276" s="4" t="inlineStr">
        <is>
          <t>MAESTRO-IOS-PERSONAL-RELATIONSHIPS-2275 | Celebrations | 15694.02</t>
        </is>
      </c>
      <c r="R2276" s="4" t="inlineStr">
        <is>
          <t>iPhone</t>
        </is>
      </c>
      <c r="S2276" s="4" t="inlineStr">
        <is>
          <t>B46</t>
        </is>
      </c>
      <c r="T2276" s="4" t="inlineStr">
        <is>
          <t>RAMP_1501_2500</t>
        </is>
      </c>
      <c r="U2276" s="4" t="inlineStr">
        <is>
          <t>CREATED</t>
        </is>
      </c>
      <c r="V2276" s="4" t="inlineStr">
        <is>
          <t>idem-20260902-ios-2275</t>
        </is>
      </c>
    </row>
    <row r="2277" ht="30" customHeight="1">
      <c r="A2277" s="4" t="n">
        <v>2276</v>
      </c>
      <c r="B2277" s="4" t="inlineStr">
        <is>
          <t>MTR-IOS-2276</t>
        </is>
      </c>
      <c r="C2277" s="4" t="inlineStr">
        <is>
          <t>Group</t>
        </is>
      </c>
      <c r="D2277" s="4" t="inlineStr">
        <is>
          <t>Shared Experience</t>
        </is>
      </c>
      <c r="E2277" s="4" t="inlineStr">
        <is>
          <t>Trip</t>
        </is>
      </c>
      <c r="F2277" s="4" t="inlineStr">
        <is>
          <t>Activities</t>
        </is>
      </c>
      <c r="G2277" s="4" t="inlineStr">
        <is>
          <t>Expense</t>
        </is>
      </c>
      <c r="H2277" s="12" t="n">
        <v>45971</v>
      </c>
      <c r="I2277" s="13" t="n">
        <v>0.01831018518518519</v>
      </c>
      <c r="J2277" s="14" t="n">
        <v>45971.01831018519</v>
      </c>
      <c r="K2277" s="15" t="n">
        <v>3431.53</v>
      </c>
      <c r="L2277" s="4" t="inlineStr">
        <is>
          <t>INR</t>
        </is>
      </c>
      <c r="M2277" s="15" t="n">
        <v>-3431.53</v>
      </c>
      <c r="N2277" s="4" t="inlineStr">
        <is>
          <t>IOS Meera</t>
        </is>
      </c>
      <c r="O2277" s="4" t="n">
        <v>3</v>
      </c>
      <c r="P2277" s="4" t="inlineStr">
        <is>
          <t>EXACT</t>
        </is>
      </c>
      <c r="Q2277" s="4" t="inlineStr">
        <is>
          <t>MAESTRO-IOS-GROUP-TRIP-2276 | Activities | 3431.53</t>
        </is>
      </c>
      <c r="R2277" s="4" t="inlineStr">
        <is>
          <t>iPhone</t>
        </is>
      </c>
      <c r="S2277" s="4" t="inlineStr">
        <is>
          <t>B46</t>
        </is>
      </c>
      <c r="T2277" s="4" t="inlineStr">
        <is>
          <t>RAMP_1501_2500</t>
        </is>
      </c>
      <c r="U2277" s="4" t="inlineStr">
        <is>
          <t>CREATED</t>
        </is>
      </c>
      <c r="V2277" s="4" t="inlineStr">
        <is>
          <t>idem-20260902-ios-2276</t>
        </is>
      </c>
    </row>
    <row r="2278" ht="30" customHeight="1">
      <c r="A2278" s="4" t="n">
        <v>2277</v>
      </c>
      <c r="B2278" s="4" t="inlineStr">
        <is>
          <t>MTR-IOS-2277</t>
        </is>
      </c>
      <c r="C2278" s="4" t="inlineStr">
        <is>
          <t>Business</t>
        </is>
      </c>
      <c r="D2278" s="4" t="inlineStr">
        <is>
          <t>Business</t>
        </is>
      </c>
      <c r="E2278" s="4" t="inlineStr">
        <is>
          <t>Team Operations</t>
        </is>
      </c>
      <c r="F2278" s="4" t="inlineStr">
        <is>
          <t>Hiring</t>
        </is>
      </c>
      <c r="G2278" s="4" t="inlineStr">
        <is>
          <t>Expense</t>
        </is>
      </c>
      <c r="H2278" s="12" t="n">
        <v>46035</v>
      </c>
      <c r="I2278" s="13" t="n">
        <v>0.6224421296296296</v>
      </c>
      <c r="J2278" s="14" t="n">
        <v>46035.62244212963</v>
      </c>
      <c r="K2278" s="15" t="n">
        <v>76109.25</v>
      </c>
      <c r="L2278" s="4" t="inlineStr">
        <is>
          <t>INR</t>
        </is>
      </c>
      <c r="M2278" s="15" t="n">
        <v>-76109.25</v>
      </c>
      <c r="N2278" s="4" t="inlineStr">
        <is>
          <t>IOS Owner</t>
        </is>
      </c>
      <c r="O2278" s="4" t="n"/>
      <c r="P2278" s="4" t="n"/>
      <c r="Q2278" s="4" t="inlineStr">
        <is>
          <t>MAESTRO-IOS-BUSINESS-TEAM_OPERATIONS-2277 | Hiring | 76109.25</t>
        </is>
      </c>
      <c r="R2278" s="4" t="inlineStr">
        <is>
          <t>iPhone</t>
        </is>
      </c>
      <c r="S2278" s="4" t="inlineStr">
        <is>
          <t>B46</t>
        </is>
      </c>
      <c r="T2278" s="4" t="inlineStr">
        <is>
          <t>RAMP_1501_2500</t>
        </is>
      </c>
      <c r="U2278" s="4" t="inlineStr">
        <is>
          <t>CREATED</t>
        </is>
      </c>
      <c r="V2278" s="4" t="inlineStr">
        <is>
          <t>idem-20260902-ios-2277</t>
        </is>
      </c>
    </row>
    <row r="2279" ht="30" customHeight="1">
      <c r="A2279" s="4" t="n">
        <v>2278</v>
      </c>
      <c r="B2279" s="4" t="inlineStr">
        <is>
          <t>MTR-IOS-2278</t>
        </is>
      </c>
      <c r="C2279" s="4" t="inlineStr">
        <is>
          <t>Personal</t>
        </is>
      </c>
      <c r="D2279" s="4" t="inlineStr">
        <is>
          <t>Personal</t>
        </is>
      </c>
      <c r="E2279" s="4" t="inlineStr">
        <is>
          <t>Life Operations</t>
        </is>
      </c>
      <c r="F2279" s="4" t="inlineStr">
        <is>
          <t>Groceries</t>
        </is>
      </c>
      <c r="G2279" s="4" t="inlineStr">
        <is>
          <t>Expense</t>
        </is>
      </c>
      <c r="H2279" s="12" t="n">
        <v>46013</v>
      </c>
      <c r="I2279" s="13" t="n">
        <v>0.9812268518518519</v>
      </c>
      <c r="J2279" s="14" t="n">
        <v>46013.98122685185</v>
      </c>
      <c r="K2279" s="15" t="n">
        <v>12276.3</v>
      </c>
      <c r="L2279" s="4" t="inlineStr">
        <is>
          <t>INR</t>
        </is>
      </c>
      <c r="M2279" s="15" t="n">
        <v>-12276.3</v>
      </c>
      <c r="N2279" s="4" t="inlineStr">
        <is>
          <t>IOS Owner</t>
        </is>
      </c>
      <c r="O2279" s="4" t="n"/>
      <c r="P2279" s="4" t="n"/>
      <c r="Q2279" s="4" t="inlineStr">
        <is>
          <t>MAESTRO-IOS-PERSONAL-LIFE_OPERATIONS-2278 | Groceries | 12276.30</t>
        </is>
      </c>
      <c r="R2279" s="4" t="inlineStr">
        <is>
          <t>iPhone</t>
        </is>
      </c>
      <c r="S2279" s="4" t="inlineStr">
        <is>
          <t>B46</t>
        </is>
      </c>
      <c r="T2279" s="4" t="inlineStr">
        <is>
          <t>RAMP_1501_2500</t>
        </is>
      </c>
      <c r="U2279" s="4" t="inlineStr">
        <is>
          <t>CREATED</t>
        </is>
      </c>
      <c r="V2279" s="4" t="inlineStr">
        <is>
          <t>idem-20260902-ios-2278</t>
        </is>
      </c>
    </row>
    <row r="2280" ht="30" customHeight="1">
      <c r="A2280" s="4" t="n">
        <v>2279</v>
      </c>
      <c r="B2280" s="4" t="inlineStr">
        <is>
          <t>MTR-IOS-2279</t>
        </is>
      </c>
      <c r="C2280" s="4" t="inlineStr">
        <is>
          <t>Group</t>
        </is>
      </c>
      <c r="D2280" s="4" t="inlineStr">
        <is>
          <t>Shared Experience</t>
        </is>
      </c>
      <c r="E2280" s="4" t="inlineStr">
        <is>
          <t>Trip</t>
        </is>
      </c>
      <c r="F2280" s="4" t="inlineStr">
        <is>
          <t>Shopping</t>
        </is>
      </c>
      <c r="G2280" s="4" t="inlineStr">
        <is>
          <t>Expense</t>
        </is>
      </c>
      <c r="H2280" s="12" t="n">
        <v>46100</v>
      </c>
      <c r="I2280" s="13" t="n">
        <v>0.3650578703703704</v>
      </c>
      <c r="J2280" s="14" t="n">
        <v>46100.36505787037</v>
      </c>
      <c r="K2280" s="15" t="n">
        <v>21926.81</v>
      </c>
      <c r="L2280" s="4" t="inlineStr">
        <is>
          <t>INR</t>
        </is>
      </c>
      <c r="M2280" s="15" t="n">
        <v>-21926.81</v>
      </c>
      <c r="N2280" s="4" t="inlineStr">
        <is>
          <t>IOS Owner</t>
        </is>
      </c>
      <c r="O2280" s="4" t="n">
        <v>3</v>
      </c>
      <c r="P2280" s="4" t="inlineStr">
        <is>
          <t>SHARES</t>
        </is>
      </c>
      <c r="Q2280" s="4" t="inlineStr">
        <is>
          <t>MAESTRO-IOS-GROUP-TRIP-2279 | Shopping | 21926.81</t>
        </is>
      </c>
      <c r="R2280" s="4" t="inlineStr">
        <is>
          <t>iPhone</t>
        </is>
      </c>
      <c r="S2280" s="4" t="inlineStr">
        <is>
          <t>B46</t>
        </is>
      </c>
      <c r="T2280" s="4" t="inlineStr">
        <is>
          <t>RAMP_1501_2500</t>
        </is>
      </c>
      <c r="U2280" s="4" t="inlineStr">
        <is>
          <t>CREATED</t>
        </is>
      </c>
      <c r="V2280" s="4" t="inlineStr">
        <is>
          <t>idem-20260902-ios-2279</t>
        </is>
      </c>
    </row>
    <row r="2281" ht="30" customHeight="1">
      <c r="A2281" s="4" t="n">
        <v>2280</v>
      </c>
      <c r="B2281" s="4" t="inlineStr">
        <is>
          <t>MTR-IOS-2280</t>
        </is>
      </c>
      <c r="C2281" s="4" t="inlineStr">
        <is>
          <t>Business</t>
        </is>
      </c>
      <c r="D2281" s="4" t="inlineStr">
        <is>
          <t>Business</t>
        </is>
      </c>
      <c r="E2281" s="4" t="inlineStr">
        <is>
          <t>Team Operations</t>
        </is>
      </c>
      <c r="F2281" s="4" t="inlineStr">
        <is>
          <t>Team Meal</t>
        </is>
      </c>
      <c r="G2281" s="4" t="inlineStr">
        <is>
          <t>Expense</t>
        </is>
      </c>
      <c r="H2281" s="12" t="n">
        <v>46024</v>
      </c>
      <c r="I2281" s="13" t="n">
        <v>0.02769675925925926</v>
      </c>
      <c r="J2281" s="14" t="n">
        <v>46024.02769675926</v>
      </c>
      <c r="K2281" s="15" t="n">
        <v>157058.35</v>
      </c>
      <c r="L2281" s="4" t="inlineStr">
        <is>
          <t>INR</t>
        </is>
      </c>
      <c r="M2281" s="15" t="n">
        <v>-157058.35</v>
      </c>
      <c r="N2281" s="4" t="inlineStr">
        <is>
          <t>IOS Owner</t>
        </is>
      </c>
      <c r="O2281" s="4" t="n"/>
      <c r="P2281" s="4" t="n"/>
      <c r="Q2281" s="4" t="inlineStr">
        <is>
          <t>MAESTRO-IOS-BUSINESS-TEAM_OPERATIONS-2280 | Team Meal | 157058.35</t>
        </is>
      </c>
      <c r="R2281" s="4" t="inlineStr">
        <is>
          <t>iPhone</t>
        </is>
      </c>
      <c r="S2281" s="4" t="inlineStr">
        <is>
          <t>B46</t>
        </is>
      </c>
      <c r="T2281" s="4" t="inlineStr">
        <is>
          <t>RAMP_1501_2500</t>
        </is>
      </c>
      <c r="U2281" s="4" t="inlineStr">
        <is>
          <t>CREATED</t>
        </is>
      </c>
      <c r="V2281" s="4" t="inlineStr">
        <is>
          <t>idem-20260902-ios-2280</t>
        </is>
      </c>
    </row>
    <row r="2282" ht="30" customHeight="1">
      <c r="A2282" s="4" t="n">
        <v>2281</v>
      </c>
      <c r="B2282" s="4" t="inlineStr">
        <is>
          <t>MTR-IOS-2281</t>
        </is>
      </c>
      <c r="C2282" s="4" t="inlineStr">
        <is>
          <t>Personal</t>
        </is>
      </c>
      <c r="D2282" s="4" t="inlineStr">
        <is>
          <t>Personal</t>
        </is>
      </c>
      <c r="E2282" s="4" t="inlineStr">
        <is>
          <t>Life Operations</t>
        </is>
      </c>
      <c r="F2282" s="4" t="inlineStr">
        <is>
          <t>Rent</t>
        </is>
      </c>
      <c r="G2282" s="4" t="inlineStr">
        <is>
          <t>Expense</t>
        </is>
      </c>
      <c r="H2282" s="12" t="n">
        <v>45970</v>
      </c>
      <c r="I2282" s="13" t="n">
        <v>0.141087962962963</v>
      </c>
      <c r="J2282" s="14" t="n">
        <v>45970.14108796296</v>
      </c>
      <c r="K2282" s="15" t="n">
        <v>1567.8</v>
      </c>
      <c r="L2282" s="4" t="inlineStr">
        <is>
          <t>INR</t>
        </is>
      </c>
      <c r="M2282" s="15" t="n">
        <v>-1567.8</v>
      </c>
      <c r="N2282" s="4" t="inlineStr">
        <is>
          <t>IOS Owner</t>
        </is>
      </c>
      <c r="O2282" s="4" t="n"/>
      <c r="P2282" s="4" t="n"/>
      <c r="Q2282" s="4" t="inlineStr">
        <is>
          <t>MAESTRO-IOS-PERSONAL-LIFE_OPERATIONS-2281 | Rent | 1567.80</t>
        </is>
      </c>
      <c r="R2282" s="4" t="inlineStr">
        <is>
          <t>iPhone</t>
        </is>
      </c>
      <c r="S2282" s="4" t="inlineStr">
        <is>
          <t>B46</t>
        </is>
      </c>
      <c r="T2282" s="4" t="inlineStr">
        <is>
          <t>RAMP_1501_2500</t>
        </is>
      </c>
      <c r="U2282" s="4" t="inlineStr">
        <is>
          <t>CREATED</t>
        </is>
      </c>
      <c r="V2282" s="4" t="inlineStr">
        <is>
          <t>idem-20260902-ios-2281</t>
        </is>
      </c>
    </row>
    <row r="2283" ht="30" customHeight="1">
      <c r="A2283" s="4" t="n">
        <v>2282</v>
      </c>
      <c r="B2283" s="4" t="inlineStr">
        <is>
          <t>MTR-IOS-2282</t>
        </is>
      </c>
      <c r="C2283" s="4" t="inlineStr">
        <is>
          <t>Group</t>
        </is>
      </c>
      <c r="D2283" s="4" t="inlineStr">
        <is>
          <t>Shared Experience</t>
        </is>
      </c>
      <c r="E2283" s="4" t="inlineStr">
        <is>
          <t>Trip</t>
        </is>
      </c>
      <c r="F2283" s="4" t="inlineStr">
        <is>
          <t>Other</t>
        </is>
      </c>
      <c r="G2283" s="4" t="inlineStr">
        <is>
          <t>Expense</t>
        </is>
      </c>
      <c r="H2283" s="12" t="n">
        <v>45950</v>
      </c>
      <c r="I2283" s="13" t="n">
        <v>0.8099884259259259</v>
      </c>
      <c r="J2283" s="14" t="n">
        <v>45950.80998842593</v>
      </c>
      <c r="K2283" s="15" t="n">
        <v>8508.129999999999</v>
      </c>
      <c r="L2283" s="4" t="inlineStr">
        <is>
          <t>INR</t>
        </is>
      </c>
      <c r="M2283" s="15" t="n">
        <v>-8508.129999999999</v>
      </c>
      <c r="N2283" s="4" t="inlineStr">
        <is>
          <t>IOS Aarav</t>
        </is>
      </c>
      <c r="O2283" s="4" t="n">
        <v>3</v>
      </c>
      <c r="P2283" s="4" t="inlineStr">
        <is>
          <t>EQUAL</t>
        </is>
      </c>
      <c r="Q2283" s="4" t="inlineStr">
        <is>
          <t>MAESTRO-IOS-GROUP-TRIP-2282 | Other | 8508.13</t>
        </is>
      </c>
      <c r="R2283" s="4" t="inlineStr">
        <is>
          <t>iPhone</t>
        </is>
      </c>
      <c r="S2283" s="4" t="inlineStr">
        <is>
          <t>B46</t>
        </is>
      </c>
      <c r="T2283" s="4" t="inlineStr">
        <is>
          <t>RAMP_1501_2500</t>
        </is>
      </c>
      <c r="U2283" s="4" t="inlineStr">
        <is>
          <t>CREATED</t>
        </is>
      </c>
      <c r="V2283" s="4" t="inlineStr">
        <is>
          <t>idem-20260902-ios-2282</t>
        </is>
      </c>
    </row>
    <row r="2284" ht="30" customHeight="1">
      <c r="A2284" s="4" t="n">
        <v>2283</v>
      </c>
      <c r="B2284" s="4" t="inlineStr">
        <is>
          <t>MTR-IOS-2283</t>
        </is>
      </c>
      <c r="C2284" s="4" t="inlineStr">
        <is>
          <t>Business</t>
        </is>
      </c>
      <c r="D2284" s="4" t="inlineStr">
        <is>
          <t>Business</t>
        </is>
      </c>
      <c r="E2284" s="4" t="inlineStr">
        <is>
          <t>Team Operations</t>
        </is>
      </c>
      <c r="F2284" s="4" t="inlineStr">
        <is>
          <t>Travel</t>
        </is>
      </c>
      <c r="G2284" s="4" t="inlineStr">
        <is>
          <t>Expense</t>
        </is>
      </c>
      <c r="H2284" s="12" t="n">
        <v>46011</v>
      </c>
      <c r="I2284" s="13" t="n">
        <v>0.3046759259259259</v>
      </c>
      <c r="J2284" s="14" t="n">
        <v>46011.30467592592</v>
      </c>
      <c r="K2284" s="15" t="n">
        <v>35372.21</v>
      </c>
      <c r="L2284" s="4" t="inlineStr">
        <is>
          <t>INR</t>
        </is>
      </c>
      <c r="M2284" s="15" t="n">
        <v>-35372.21</v>
      </c>
      <c r="N2284" s="4" t="inlineStr">
        <is>
          <t>IOS Owner</t>
        </is>
      </c>
      <c r="O2284" s="4" t="n"/>
      <c r="P2284" s="4" t="n"/>
      <c r="Q2284" s="4" t="inlineStr">
        <is>
          <t>MAESTRO-IOS-BUSINESS-TEAM_OPERATIONS-2283 | Travel | 35372.21</t>
        </is>
      </c>
      <c r="R2284" s="4" t="inlineStr">
        <is>
          <t>iPhone</t>
        </is>
      </c>
      <c r="S2284" s="4" t="inlineStr">
        <is>
          <t>B46</t>
        </is>
      </c>
      <c r="T2284" s="4" t="inlineStr">
        <is>
          <t>RAMP_1501_2500</t>
        </is>
      </c>
      <c r="U2284" s="4" t="inlineStr">
        <is>
          <t>CREATED</t>
        </is>
      </c>
      <c r="V2284" s="4" t="inlineStr">
        <is>
          <t>idem-20260902-ios-2283</t>
        </is>
      </c>
    </row>
    <row r="2285" ht="30" customHeight="1">
      <c r="A2285" s="4" t="n">
        <v>2284</v>
      </c>
      <c r="B2285" s="4" t="inlineStr">
        <is>
          <t>MTR-IOS-2284</t>
        </is>
      </c>
      <c r="C2285" s="4" t="inlineStr">
        <is>
          <t>Personal</t>
        </is>
      </c>
      <c r="D2285" s="4" t="inlineStr">
        <is>
          <t>Personal</t>
        </is>
      </c>
      <c r="E2285" s="4" t="inlineStr">
        <is>
          <t>Life Operations</t>
        </is>
      </c>
      <c r="F2285" s="4" t="inlineStr">
        <is>
          <t>Bills</t>
        </is>
      </c>
      <c r="G2285" s="4" t="inlineStr">
        <is>
          <t>Expense</t>
        </is>
      </c>
      <c r="H2285" s="12" t="n">
        <v>45988</v>
      </c>
      <c r="I2285" s="13" t="n">
        <v>0.9750347222222222</v>
      </c>
      <c r="J2285" s="14" t="n">
        <v>45988.97503472222</v>
      </c>
      <c r="K2285" s="15" t="n">
        <v>15211.33</v>
      </c>
      <c r="L2285" s="4" t="inlineStr">
        <is>
          <t>INR</t>
        </is>
      </c>
      <c r="M2285" s="15" t="n">
        <v>-15211.33</v>
      </c>
      <c r="N2285" s="4" t="inlineStr">
        <is>
          <t>IOS Owner</t>
        </is>
      </c>
      <c r="O2285" s="4" t="n"/>
      <c r="P2285" s="4" t="n"/>
      <c r="Q2285" s="4" t="inlineStr">
        <is>
          <t>MAESTRO-IOS-PERSONAL-LIFE_OPERATIONS-2284 | Bills | 15211.33</t>
        </is>
      </c>
      <c r="R2285" s="4" t="inlineStr">
        <is>
          <t>iPhone</t>
        </is>
      </c>
      <c r="S2285" s="4" t="inlineStr">
        <is>
          <t>B46</t>
        </is>
      </c>
      <c r="T2285" s="4" t="inlineStr">
        <is>
          <t>RAMP_1501_2500</t>
        </is>
      </c>
      <c r="U2285" s="4" t="inlineStr">
        <is>
          <t>CREATED</t>
        </is>
      </c>
      <c r="V2285" s="4" t="inlineStr">
        <is>
          <t>idem-20260902-ios-2284</t>
        </is>
      </c>
    </row>
    <row r="2286" ht="30" customHeight="1">
      <c r="A2286" s="4" t="n">
        <v>2285</v>
      </c>
      <c r="B2286" s="4" t="inlineStr">
        <is>
          <t>MTR-IOS-2285</t>
        </is>
      </c>
      <c r="C2286" s="4" t="inlineStr">
        <is>
          <t>Group</t>
        </is>
      </c>
      <c r="D2286" s="4" t="inlineStr">
        <is>
          <t>Shared Experience</t>
        </is>
      </c>
      <c r="E2286" s="4" t="inlineStr">
        <is>
          <t>Wedding</t>
        </is>
      </c>
      <c r="F2286" s="4" t="inlineStr">
        <is>
          <t>Venue</t>
        </is>
      </c>
      <c r="G2286" s="4" t="inlineStr">
        <is>
          <t>Expense</t>
        </is>
      </c>
      <c r="H2286" s="12" t="n">
        <v>46011</v>
      </c>
      <c r="I2286" s="13" t="n">
        <v>0.9129050925925926</v>
      </c>
      <c r="J2286" s="14" t="n">
        <v>46011.91290509259</v>
      </c>
      <c r="K2286" s="15" t="n">
        <v>18685.87</v>
      </c>
      <c r="L2286" s="4" t="inlineStr">
        <is>
          <t>INR</t>
        </is>
      </c>
      <c r="M2286" s="15" t="n">
        <v>-18685.87</v>
      </c>
      <c r="N2286" s="4" t="inlineStr">
        <is>
          <t>IOS Meera</t>
        </is>
      </c>
      <c r="O2286" s="4" t="n">
        <v>3</v>
      </c>
      <c r="P2286" s="4" t="inlineStr">
        <is>
          <t>PERCENTAGE</t>
        </is>
      </c>
      <c r="Q2286" s="4" t="inlineStr">
        <is>
          <t>MAESTRO-IOS-GROUP-WEDDING-2285 | Venue | 18685.87</t>
        </is>
      </c>
      <c r="R2286" s="4" t="inlineStr">
        <is>
          <t>iPhone</t>
        </is>
      </c>
      <c r="S2286" s="4" t="inlineStr">
        <is>
          <t>B46</t>
        </is>
      </c>
      <c r="T2286" s="4" t="inlineStr">
        <is>
          <t>RAMP_1501_2500</t>
        </is>
      </c>
      <c r="U2286" s="4" t="inlineStr">
        <is>
          <t>CREATED</t>
        </is>
      </c>
      <c r="V2286" s="4" t="inlineStr">
        <is>
          <t>idem-20260902-ios-2285</t>
        </is>
      </c>
    </row>
    <row r="2287" ht="30" customHeight="1">
      <c r="A2287" s="4" t="n">
        <v>2286</v>
      </c>
      <c r="B2287" s="4" t="inlineStr">
        <is>
          <t>MTR-IOS-2286</t>
        </is>
      </c>
      <c r="C2287" s="4" t="inlineStr">
        <is>
          <t>Business</t>
        </is>
      </c>
      <c r="D2287" s="4" t="inlineStr">
        <is>
          <t>Business</t>
        </is>
      </c>
      <c r="E2287" s="4" t="inlineStr">
        <is>
          <t>Team Operations</t>
        </is>
      </c>
      <c r="F2287" s="4" t="inlineStr">
        <is>
          <t>Training</t>
        </is>
      </c>
      <c r="G2287" s="4" t="inlineStr">
        <is>
          <t>Expense</t>
        </is>
      </c>
      <c r="H2287" s="12" t="n">
        <v>46095</v>
      </c>
      <c r="I2287" s="13" t="n">
        <v>0.8762152777777777</v>
      </c>
      <c r="J2287" s="14" t="n">
        <v>46095.87621527778</v>
      </c>
      <c r="K2287" s="15" t="n">
        <v>74139.59</v>
      </c>
      <c r="L2287" s="4" t="inlineStr">
        <is>
          <t>INR</t>
        </is>
      </c>
      <c r="M2287" s="15" t="n">
        <v>-74139.59</v>
      </c>
      <c r="N2287" s="4" t="inlineStr">
        <is>
          <t>IOS Owner</t>
        </is>
      </c>
      <c r="O2287" s="4" t="n"/>
      <c r="P2287" s="4" t="n"/>
      <c r="Q2287" s="4" t="inlineStr">
        <is>
          <t>MAESTRO-IOS-BUSINESS-TEAM_OPERATIONS-2286 | Training | 74139.59</t>
        </is>
      </c>
      <c r="R2287" s="4" t="inlineStr">
        <is>
          <t>iPhone</t>
        </is>
      </c>
      <c r="S2287" s="4" t="inlineStr">
        <is>
          <t>B46</t>
        </is>
      </c>
      <c r="T2287" s="4" t="inlineStr">
        <is>
          <t>RAMP_1501_2500</t>
        </is>
      </c>
      <c r="U2287" s="4" t="inlineStr">
        <is>
          <t>CREATED</t>
        </is>
      </c>
      <c r="V2287" s="4" t="inlineStr">
        <is>
          <t>idem-20260902-ios-2286</t>
        </is>
      </c>
    </row>
    <row r="2288" ht="30" customHeight="1">
      <c r="A2288" s="4" t="n">
        <v>2287</v>
      </c>
      <c r="B2288" s="4" t="inlineStr">
        <is>
          <t>MTR-IOS-2287</t>
        </is>
      </c>
      <c r="C2288" s="4" t="inlineStr">
        <is>
          <t>Personal</t>
        </is>
      </c>
      <c r="D2288" s="4" t="inlineStr">
        <is>
          <t>Personal</t>
        </is>
      </c>
      <c r="E2288" s="4" t="inlineStr">
        <is>
          <t>Life Operations</t>
        </is>
      </c>
      <c r="F2288" s="4" t="inlineStr">
        <is>
          <t>Transport</t>
        </is>
      </c>
      <c r="G2288" s="4" t="inlineStr">
        <is>
          <t>Expense</t>
        </is>
      </c>
      <c r="H2288" s="12" t="n">
        <v>45905</v>
      </c>
      <c r="I2288" s="13" t="n">
        <v>0.3996643518518518</v>
      </c>
      <c r="J2288" s="14" t="n">
        <v>45905.39966435185</v>
      </c>
      <c r="K2288" s="15" t="n">
        <v>3153.07</v>
      </c>
      <c r="L2288" s="4" t="inlineStr">
        <is>
          <t>INR</t>
        </is>
      </c>
      <c r="M2288" s="15" t="n">
        <v>-3153.07</v>
      </c>
      <c r="N2288" s="4" t="inlineStr">
        <is>
          <t>IOS Owner</t>
        </is>
      </c>
      <c r="O2288" s="4" t="n"/>
      <c r="P2288" s="4" t="n"/>
      <c r="Q2288" s="4" t="inlineStr">
        <is>
          <t>MAESTRO-IOS-PERSONAL-LIFE_OPERATIONS-2287 | Transport | 3153.07</t>
        </is>
      </c>
      <c r="R2288" s="4" t="inlineStr">
        <is>
          <t>iPhone</t>
        </is>
      </c>
      <c r="S2288" s="4" t="inlineStr">
        <is>
          <t>B46</t>
        </is>
      </c>
      <c r="T2288" s="4" t="inlineStr">
        <is>
          <t>RAMP_1501_2500</t>
        </is>
      </c>
      <c r="U2288" s="4" t="inlineStr">
        <is>
          <t>CREATED</t>
        </is>
      </c>
      <c r="V2288" s="4" t="inlineStr">
        <is>
          <t>idem-20260902-ios-2287</t>
        </is>
      </c>
    </row>
    <row r="2289" ht="30" customHeight="1">
      <c r="A2289" s="4" t="n">
        <v>2288</v>
      </c>
      <c r="B2289" s="4" t="inlineStr">
        <is>
          <t>MTR-IOS-2288</t>
        </is>
      </c>
      <c r="C2289" s="4" t="inlineStr">
        <is>
          <t>Group</t>
        </is>
      </c>
      <c r="D2289" s="4" t="inlineStr">
        <is>
          <t>Shared Experience</t>
        </is>
      </c>
      <c r="E2289" s="4" t="inlineStr">
        <is>
          <t>Wedding</t>
        </is>
      </c>
      <c r="F2289" s="4" t="inlineStr">
        <is>
          <t>Catering</t>
        </is>
      </c>
      <c r="G2289" s="4" t="inlineStr">
        <is>
          <t>Expense</t>
        </is>
      </c>
      <c r="H2289" s="12" t="n">
        <v>46257</v>
      </c>
      <c r="I2289" s="13" t="n">
        <v>0.163599537037037</v>
      </c>
      <c r="J2289" s="14" t="n">
        <v>46257.16359953704</v>
      </c>
      <c r="K2289" s="15" t="n">
        <v>5001.39</v>
      </c>
      <c r="L2289" s="4" t="inlineStr">
        <is>
          <t>INR</t>
        </is>
      </c>
      <c r="M2289" s="15" t="n">
        <v>-5001.39</v>
      </c>
      <c r="N2289" s="4" t="inlineStr">
        <is>
          <t>IOS Owner</t>
        </is>
      </c>
      <c r="O2289" s="4" t="n">
        <v>3</v>
      </c>
      <c r="P2289" s="4" t="inlineStr">
        <is>
          <t>EXACT</t>
        </is>
      </c>
      <c r="Q2289" s="4" t="inlineStr">
        <is>
          <t>MAESTRO-IOS-GROUP-WEDDING-2288 | Catering | 5001.39</t>
        </is>
      </c>
      <c r="R2289" s="4" t="inlineStr">
        <is>
          <t>iPhone</t>
        </is>
      </c>
      <c r="S2289" s="4" t="inlineStr">
        <is>
          <t>B46</t>
        </is>
      </c>
      <c r="T2289" s="4" t="inlineStr">
        <is>
          <t>RAMP_1501_2500</t>
        </is>
      </c>
      <c r="U2289" s="4" t="inlineStr">
        <is>
          <t>CREATED</t>
        </is>
      </c>
      <c r="V2289" s="4" t="inlineStr">
        <is>
          <t>idem-20260902-ios-2288</t>
        </is>
      </c>
    </row>
    <row r="2290" ht="30" customHeight="1">
      <c r="A2290" s="4" t="n">
        <v>2289</v>
      </c>
      <c r="B2290" s="4" t="inlineStr">
        <is>
          <t>MTR-IOS-2289</t>
        </is>
      </c>
      <c r="C2290" s="4" t="inlineStr">
        <is>
          <t>Business</t>
        </is>
      </c>
      <c r="D2290" s="4" t="inlineStr">
        <is>
          <t>Business</t>
        </is>
      </c>
      <c r="E2290" s="4" t="inlineStr">
        <is>
          <t>Team Operations</t>
        </is>
      </c>
      <c r="F2290" s="4" t="inlineStr">
        <is>
          <t>Tools</t>
        </is>
      </c>
      <c r="G2290" s="4" t="inlineStr">
        <is>
          <t>Expense</t>
        </is>
      </c>
      <c r="H2290" s="12" t="n">
        <v>46027</v>
      </c>
      <c r="I2290" s="13" t="n">
        <v>0.9879745370370371</v>
      </c>
      <c r="J2290" s="14" t="n">
        <v>46027.98797453703</v>
      </c>
      <c r="K2290" s="15" t="n">
        <v>104778.14</v>
      </c>
      <c r="L2290" s="4" t="inlineStr">
        <is>
          <t>INR</t>
        </is>
      </c>
      <c r="M2290" s="15" t="n">
        <v>-104778.14</v>
      </c>
      <c r="N2290" s="4" t="inlineStr">
        <is>
          <t>IOS Owner</t>
        </is>
      </c>
      <c r="O2290" s="4" t="n"/>
      <c r="P2290" s="4" t="n"/>
      <c r="Q2290" s="4" t="inlineStr">
        <is>
          <t>MAESTRO-IOS-BUSINESS-TEAM_OPERATIONS-2289 | Tools | 104778.14</t>
        </is>
      </c>
      <c r="R2290" s="4" t="inlineStr">
        <is>
          <t>iPhone</t>
        </is>
      </c>
      <c r="S2290" s="4" t="inlineStr">
        <is>
          <t>B46</t>
        </is>
      </c>
      <c r="T2290" s="4" t="inlineStr">
        <is>
          <t>RAMP_1501_2500</t>
        </is>
      </c>
      <c r="U2290" s="4" t="inlineStr">
        <is>
          <t>CREATED</t>
        </is>
      </c>
      <c r="V2290" s="4" t="inlineStr">
        <is>
          <t>idem-20260902-ios-2289</t>
        </is>
      </c>
    </row>
    <row r="2291" ht="30" customHeight="1">
      <c r="A2291" s="4" t="n">
        <v>2290</v>
      </c>
      <c r="B2291" s="4" t="inlineStr">
        <is>
          <t>MTR-IOS-2290</t>
        </is>
      </c>
      <c r="C2291" s="4" t="inlineStr">
        <is>
          <t>Personal</t>
        </is>
      </c>
      <c r="D2291" s="4" t="inlineStr">
        <is>
          <t>Personal</t>
        </is>
      </c>
      <c r="E2291" s="4" t="inlineStr">
        <is>
          <t>Life Operations</t>
        </is>
      </c>
      <c r="F2291" s="4" t="inlineStr">
        <is>
          <t>Healthcare</t>
        </is>
      </c>
      <c r="G2291" s="4" t="inlineStr">
        <is>
          <t>Expense</t>
        </is>
      </c>
      <c r="H2291" s="12" t="n">
        <v>45937</v>
      </c>
      <c r="I2291" s="13" t="n">
        <v>0.859386574074074</v>
      </c>
      <c r="J2291" s="14" t="n">
        <v>45937.85938657408</v>
      </c>
      <c r="K2291" s="15" t="n">
        <v>16978.81</v>
      </c>
      <c r="L2291" s="4" t="inlineStr">
        <is>
          <t>INR</t>
        </is>
      </c>
      <c r="M2291" s="15" t="n">
        <v>-16978.81</v>
      </c>
      <c r="N2291" s="4" t="inlineStr">
        <is>
          <t>IOS Owner</t>
        </is>
      </c>
      <c r="O2291" s="4" t="n"/>
      <c r="P2291" s="4" t="n"/>
      <c r="Q2291" s="4" t="inlineStr">
        <is>
          <t>MAESTRO-IOS-PERSONAL-LIFE_OPERATIONS-2290 | Healthcare | 16978.81</t>
        </is>
      </c>
      <c r="R2291" s="4" t="inlineStr">
        <is>
          <t>iPhone</t>
        </is>
      </c>
      <c r="S2291" s="4" t="inlineStr">
        <is>
          <t>B46</t>
        </is>
      </c>
      <c r="T2291" s="4" t="inlineStr">
        <is>
          <t>RAMP_1501_2500</t>
        </is>
      </c>
      <c r="U2291" s="4" t="inlineStr">
        <is>
          <t>CREATED</t>
        </is>
      </c>
      <c r="V2291" s="4" t="inlineStr">
        <is>
          <t>idem-20260902-ios-2290</t>
        </is>
      </c>
    </row>
    <row r="2292" ht="30" customHeight="1">
      <c r="A2292" s="4" t="n">
        <v>2291</v>
      </c>
      <c r="B2292" s="4" t="inlineStr">
        <is>
          <t>MTR-IOS-2291</t>
        </is>
      </c>
      <c r="C2292" s="4" t="inlineStr">
        <is>
          <t>Group</t>
        </is>
      </c>
      <c r="D2292" s="4" t="inlineStr">
        <is>
          <t>Shared Experience</t>
        </is>
      </c>
      <c r="E2292" s="4" t="inlineStr">
        <is>
          <t>Wedding</t>
        </is>
      </c>
      <c r="F2292" s="4" t="inlineStr">
        <is>
          <t>Decor</t>
        </is>
      </c>
      <c r="G2292" s="4" t="inlineStr">
        <is>
          <t>Expense</t>
        </is>
      </c>
      <c r="H2292" s="12" t="n">
        <v>46036</v>
      </c>
      <c r="I2292" s="13" t="n">
        <v>0.2596759259259259</v>
      </c>
      <c r="J2292" s="14" t="n">
        <v>46036.25967592592</v>
      </c>
      <c r="K2292" s="15" t="n">
        <v>15997.71</v>
      </c>
      <c r="L2292" s="4" t="inlineStr">
        <is>
          <t>INR</t>
        </is>
      </c>
      <c r="M2292" s="15" t="n">
        <v>-15997.71</v>
      </c>
      <c r="N2292" s="4" t="inlineStr">
        <is>
          <t>IOS Aarav</t>
        </is>
      </c>
      <c r="O2292" s="4" t="n">
        <v>3</v>
      </c>
      <c r="P2292" s="4" t="inlineStr">
        <is>
          <t>SHARES</t>
        </is>
      </c>
      <c r="Q2292" s="4" t="inlineStr">
        <is>
          <t>MAESTRO-IOS-GROUP-WEDDING-2291 | Decor | 15997.71</t>
        </is>
      </c>
      <c r="R2292" s="4" t="inlineStr">
        <is>
          <t>iPhone</t>
        </is>
      </c>
      <c r="S2292" s="4" t="inlineStr">
        <is>
          <t>B46</t>
        </is>
      </c>
      <c r="T2292" s="4" t="inlineStr">
        <is>
          <t>RAMP_1501_2500</t>
        </is>
      </c>
      <c r="U2292" s="4" t="inlineStr">
        <is>
          <t>CREATED</t>
        </is>
      </c>
      <c r="V2292" s="4" t="inlineStr">
        <is>
          <t>idem-20260902-ios-2291</t>
        </is>
      </c>
    </row>
    <row r="2293" ht="30" customHeight="1">
      <c r="A2293" s="4" t="n">
        <v>2292</v>
      </c>
      <c r="B2293" s="4" t="inlineStr">
        <is>
          <t>MTR-IOS-2292</t>
        </is>
      </c>
      <c r="C2293" s="4" t="inlineStr">
        <is>
          <t>Business</t>
        </is>
      </c>
      <c r="D2293" s="4" t="inlineStr">
        <is>
          <t>Business</t>
        </is>
      </c>
      <c r="E2293" s="4" t="inlineStr">
        <is>
          <t>Business Runway</t>
        </is>
      </c>
      <c r="F2293" s="4" t="inlineStr">
        <is>
          <t>Funding</t>
        </is>
      </c>
      <c r="G2293" s="4" t="inlineStr">
        <is>
          <t>Income</t>
        </is>
      </c>
      <c r="H2293" s="12" t="n">
        <v>46089</v>
      </c>
      <c r="I2293" s="13" t="n">
        <v>0.3521875</v>
      </c>
      <c r="J2293" s="14" t="n">
        <v>46089.3521875</v>
      </c>
      <c r="K2293" s="15" t="n">
        <v>54441.19</v>
      </c>
      <c r="L2293" s="4" t="inlineStr">
        <is>
          <t>INR</t>
        </is>
      </c>
      <c r="M2293" s="15" t="n">
        <v>54441.19</v>
      </c>
      <c r="N2293" s="4" t="inlineStr">
        <is>
          <t>IOS Owner</t>
        </is>
      </c>
      <c r="O2293" s="4" t="n"/>
      <c r="P2293" s="4" t="n"/>
      <c r="Q2293" s="4" t="inlineStr">
        <is>
          <t>MAESTRO-IOS-BUSINESS-BUSINESS_RUNWAY-2292 | Funding | 54441.19</t>
        </is>
      </c>
      <c r="R2293" s="4" t="inlineStr">
        <is>
          <t>iPhone</t>
        </is>
      </c>
      <c r="S2293" s="4" t="inlineStr">
        <is>
          <t>B46</t>
        </is>
      </c>
      <c r="T2293" s="4" t="inlineStr">
        <is>
          <t>RAMP_1501_2500</t>
        </is>
      </c>
      <c r="U2293" s="4" t="inlineStr">
        <is>
          <t>CREATED</t>
        </is>
      </c>
      <c r="V2293" s="4" t="inlineStr">
        <is>
          <t>idem-20260902-ios-2292</t>
        </is>
      </c>
    </row>
    <row r="2294" ht="30" customHeight="1">
      <c r="A2294" s="4" t="n">
        <v>2293</v>
      </c>
      <c r="B2294" s="4" t="inlineStr">
        <is>
          <t>MTR-IOS-2293</t>
        </is>
      </c>
      <c r="C2294" s="4" t="inlineStr">
        <is>
          <t>Personal</t>
        </is>
      </c>
      <c r="D2294" s="4" t="inlineStr">
        <is>
          <t>Personal</t>
        </is>
      </c>
      <c r="E2294" s="4" t="inlineStr">
        <is>
          <t>Life Operations</t>
        </is>
      </c>
      <c r="F2294" s="4" t="inlineStr">
        <is>
          <t>Subscriptions</t>
        </is>
      </c>
      <c r="G2294" s="4" t="inlineStr">
        <is>
          <t>Expense</t>
        </is>
      </c>
      <c r="H2294" s="12" t="n">
        <v>46006</v>
      </c>
      <c r="I2294" s="13" t="n">
        <v>0.9899189814814815</v>
      </c>
      <c r="J2294" s="14" t="n">
        <v>46006.98991898148</v>
      </c>
      <c r="K2294" s="15" t="n">
        <v>15804.4</v>
      </c>
      <c r="L2294" s="4" t="inlineStr">
        <is>
          <t>INR</t>
        </is>
      </c>
      <c r="M2294" s="15" t="n">
        <v>-15804.4</v>
      </c>
      <c r="N2294" s="4" t="inlineStr">
        <is>
          <t>IOS Owner</t>
        </is>
      </c>
      <c r="O2294" s="4" t="n"/>
      <c r="P2294" s="4" t="n"/>
      <c r="Q2294" s="4" t="inlineStr">
        <is>
          <t>MAESTRO-IOS-PERSONAL-LIFE_OPERATIONS-2293 | Subscriptions | 15804.40</t>
        </is>
      </c>
      <c r="R2294" s="4" t="inlineStr">
        <is>
          <t>iPhone</t>
        </is>
      </c>
      <c r="S2294" s="4" t="inlineStr">
        <is>
          <t>B46</t>
        </is>
      </c>
      <c r="T2294" s="4" t="inlineStr">
        <is>
          <t>RAMP_1501_2500</t>
        </is>
      </c>
      <c r="U2294" s="4" t="inlineStr">
        <is>
          <t>CREATED</t>
        </is>
      </c>
      <c r="V2294" s="4" t="inlineStr">
        <is>
          <t>idem-20260902-ios-2293</t>
        </is>
      </c>
    </row>
    <row r="2295" ht="30" customHeight="1">
      <c r="A2295" s="4" t="n">
        <v>2294</v>
      </c>
      <c r="B2295" s="4" t="inlineStr">
        <is>
          <t>MTR-IOS-2294</t>
        </is>
      </c>
      <c r="C2295" s="4" t="inlineStr">
        <is>
          <t>Group</t>
        </is>
      </c>
      <c r="D2295" s="4" t="inlineStr">
        <is>
          <t>Shared Experience</t>
        </is>
      </c>
      <c r="E2295" s="4" t="inlineStr">
        <is>
          <t>Wedding</t>
        </is>
      </c>
      <c r="F2295" s="4" t="inlineStr">
        <is>
          <t>Travel</t>
        </is>
      </c>
      <c r="G2295" s="4" t="inlineStr">
        <is>
          <t>Expense</t>
        </is>
      </c>
      <c r="H2295" s="12" t="n">
        <v>46129</v>
      </c>
      <c r="I2295" s="13" t="n">
        <v>0.08805555555555555</v>
      </c>
      <c r="J2295" s="14" t="n">
        <v>46129.08805555556</v>
      </c>
      <c r="K2295" s="15" t="n">
        <v>99.98999999999999</v>
      </c>
      <c r="L2295" s="4" t="inlineStr">
        <is>
          <t>INR</t>
        </is>
      </c>
      <c r="M2295" s="15" t="n">
        <v>-99.98999999999999</v>
      </c>
      <c r="N2295" s="4" t="inlineStr">
        <is>
          <t>IOS Meera</t>
        </is>
      </c>
      <c r="O2295" s="4" t="n">
        <v>3</v>
      </c>
      <c r="P2295" s="4" t="inlineStr">
        <is>
          <t>EQUAL</t>
        </is>
      </c>
      <c r="Q2295" s="4" t="inlineStr">
        <is>
          <t>MAESTRO-IOS-GROUP-WEDDING-2294 | Travel | 99.99</t>
        </is>
      </c>
      <c r="R2295" s="4" t="inlineStr">
        <is>
          <t>iPhone</t>
        </is>
      </c>
      <c r="S2295" s="4" t="inlineStr">
        <is>
          <t>B46</t>
        </is>
      </c>
      <c r="T2295" s="4" t="inlineStr">
        <is>
          <t>RAMP_1501_2500</t>
        </is>
      </c>
      <c r="U2295" s="4" t="inlineStr">
        <is>
          <t>CREATED</t>
        </is>
      </c>
      <c r="V2295" s="4" t="inlineStr">
        <is>
          <t>idem-20260902-ios-2294</t>
        </is>
      </c>
    </row>
    <row r="2296" ht="30" customHeight="1">
      <c r="A2296" s="4" t="n">
        <v>2295</v>
      </c>
      <c r="B2296" s="4" t="inlineStr">
        <is>
          <t>MTR-IOS-2295</t>
        </is>
      </c>
      <c r="C2296" s="4" t="inlineStr">
        <is>
          <t>Business</t>
        </is>
      </c>
      <c r="D2296" s="4" t="inlineStr">
        <is>
          <t>Business</t>
        </is>
      </c>
      <c r="E2296" s="4" t="inlineStr">
        <is>
          <t>Business Runway</t>
        </is>
      </c>
      <c r="F2296" s="4" t="inlineStr">
        <is>
          <t>Revenue</t>
        </is>
      </c>
      <c r="G2296" s="4" t="inlineStr">
        <is>
          <t>Income</t>
        </is>
      </c>
      <c r="H2296" s="12" t="n">
        <v>46186</v>
      </c>
      <c r="I2296" s="13" t="n">
        <v>0.3822337962962963</v>
      </c>
      <c r="J2296" s="14" t="n">
        <v>46186.3822337963</v>
      </c>
      <c r="K2296" s="15" t="n">
        <v>48911.79</v>
      </c>
      <c r="L2296" s="4" t="inlineStr">
        <is>
          <t>INR</t>
        </is>
      </c>
      <c r="M2296" s="15" t="n">
        <v>48911.79</v>
      </c>
      <c r="N2296" s="4" t="inlineStr">
        <is>
          <t>IOS Owner</t>
        </is>
      </c>
      <c r="O2296" s="4" t="n"/>
      <c r="P2296" s="4" t="n"/>
      <c r="Q2296" s="4" t="inlineStr">
        <is>
          <t>MAESTRO-IOS-BUSINESS-BUSINESS_RUNWAY-2295 | Revenue | 48911.79</t>
        </is>
      </c>
      <c r="R2296" s="4" t="inlineStr">
        <is>
          <t>iPhone</t>
        </is>
      </c>
      <c r="S2296" s="4" t="inlineStr">
        <is>
          <t>B46</t>
        </is>
      </c>
      <c r="T2296" s="4" t="inlineStr">
        <is>
          <t>RAMP_1501_2500</t>
        </is>
      </c>
      <c r="U2296" s="4" t="inlineStr">
        <is>
          <t>CREATED</t>
        </is>
      </c>
      <c r="V2296" s="4" t="inlineStr">
        <is>
          <t>idem-20260902-ios-2295</t>
        </is>
      </c>
    </row>
    <row r="2297" ht="30" customHeight="1">
      <c r="A2297" s="4" t="n">
        <v>2296</v>
      </c>
      <c r="B2297" s="4" t="inlineStr">
        <is>
          <t>MTR-IOS-2296</t>
        </is>
      </c>
      <c r="C2297" s="4" t="inlineStr">
        <is>
          <t>Personal</t>
        </is>
      </c>
      <c r="D2297" s="4" t="inlineStr">
        <is>
          <t>Personal</t>
        </is>
      </c>
      <c r="E2297" s="4" t="inlineStr">
        <is>
          <t>Life Operations</t>
        </is>
      </c>
      <c r="F2297" s="4" t="inlineStr">
        <is>
          <t>Repairs</t>
        </is>
      </c>
      <c r="G2297" s="4" t="inlineStr">
        <is>
          <t>Expense</t>
        </is>
      </c>
      <c r="H2297" s="12" t="n">
        <v>46120</v>
      </c>
      <c r="I2297" s="13" t="n">
        <v>0.2887847222222222</v>
      </c>
      <c r="J2297" s="14" t="n">
        <v>46120.28878472222</v>
      </c>
      <c r="K2297" s="15" t="n">
        <v>7132.01</v>
      </c>
      <c r="L2297" s="4" t="inlineStr">
        <is>
          <t>INR</t>
        </is>
      </c>
      <c r="M2297" s="15" t="n">
        <v>-7132.01</v>
      </c>
      <c r="N2297" s="4" t="inlineStr">
        <is>
          <t>IOS Owner</t>
        </is>
      </c>
      <c r="O2297" s="4" t="n"/>
      <c r="P2297" s="4" t="n"/>
      <c r="Q2297" s="4" t="inlineStr">
        <is>
          <t>MAESTRO-IOS-PERSONAL-LIFE_OPERATIONS-2296 | Repairs | 7132.01</t>
        </is>
      </c>
      <c r="R2297" s="4" t="inlineStr">
        <is>
          <t>iPhone</t>
        </is>
      </c>
      <c r="S2297" s="4" t="inlineStr">
        <is>
          <t>B46</t>
        </is>
      </c>
      <c r="T2297" s="4" t="inlineStr">
        <is>
          <t>RAMP_1501_2500</t>
        </is>
      </c>
      <c r="U2297" s="4" t="inlineStr">
        <is>
          <t>CREATED</t>
        </is>
      </c>
      <c r="V2297" s="4" t="inlineStr">
        <is>
          <t>idem-20260902-ios-2296</t>
        </is>
      </c>
    </row>
    <row r="2298" ht="30" customHeight="1">
      <c r="A2298" s="4" t="n">
        <v>2297</v>
      </c>
      <c r="B2298" s="4" t="inlineStr">
        <is>
          <t>MTR-IOS-2297</t>
        </is>
      </c>
      <c r="C2298" s="4" t="inlineStr">
        <is>
          <t>Group</t>
        </is>
      </c>
      <c r="D2298" s="4" t="inlineStr">
        <is>
          <t>Shared Experience</t>
        </is>
      </c>
      <c r="E2298" s="4" t="inlineStr">
        <is>
          <t>Wedding</t>
        </is>
      </c>
      <c r="F2298" s="4" t="inlineStr">
        <is>
          <t>Gifts</t>
        </is>
      </c>
      <c r="G2298" s="4" t="inlineStr">
        <is>
          <t>Expense</t>
        </is>
      </c>
      <c r="H2298" s="12" t="n">
        <v>46128</v>
      </c>
      <c r="I2298" s="13" t="n">
        <v>0.8252199074074074</v>
      </c>
      <c r="J2298" s="14" t="n">
        <v>46128.8252199074</v>
      </c>
      <c r="K2298" s="15" t="n">
        <v>3299.52</v>
      </c>
      <c r="L2298" s="4" t="inlineStr">
        <is>
          <t>INR</t>
        </is>
      </c>
      <c r="M2298" s="15" t="n">
        <v>-3299.52</v>
      </c>
      <c r="N2298" s="4" t="inlineStr">
        <is>
          <t>IOS Owner</t>
        </is>
      </c>
      <c r="O2298" s="4" t="n">
        <v>3</v>
      </c>
      <c r="P2298" s="4" t="inlineStr">
        <is>
          <t>PERCENTAGE</t>
        </is>
      </c>
      <c r="Q2298" s="4" t="inlineStr">
        <is>
          <t>MAESTRO-IOS-GROUP-WEDDING-2297 | Gifts | 3299.52</t>
        </is>
      </c>
      <c r="R2298" s="4" t="inlineStr">
        <is>
          <t>iPhone</t>
        </is>
      </c>
      <c r="S2298" s="4" t="inlineStr">
        <is>
          <t>B46</t>
        </is>
      </c>
      <c r="T2298" s="4" t="inlineStr">
        <is>
          <t>RAMP_1501_2500</t>
        </is>
      </c>
      <c r="U2298" s="4" t="inlineStr">
        <is>
          <t>CREATED</t>
        </is>
      </c>
      <c r="V2298" s="4" t="inlineStr">
        <is>
          <t>idem-20260902-ios-2297</t>
        </is>
      </c>
    </row>
    <row r="2299" ht="30" customHeight="1">
      <c r="A2299" s="4" t="n">
        <v>2298</v>
      </c>
      <c r="B2299" s="4" t="inlineStr">
        <is>
          <t>MTR-IOS-2298</t>
        </is>
      </c>
      <c r="C2299" s="4" t="inlineStr">
        <is>
          <t>Business</t>
        </is>
      </c>
      <c r="D2299" s="4" t="inlineStr">
        <is>
          <t>Business</t>
        </is>
      </c>
      <c r="E2299" s="4" t="inlineStr">
        <is>
          <t>Business Runway</t>
        </is>
      </c>
      <c r="F2299" s="4" t="inlineStr">
        <is>
          <t>Burn</t>
        </is>
      </c>
      <c r="G2299" s="4" t="inlineStr">
        <is>
          <t>Expense</t>
        </is>
      </c>
      <c r="H2299" s="12" t="n">
        <v>46218</v>
      </c>
      <c r="I2299" s="13" t="n">
        <v>0.3664351851851852</v>
      </c>
      <c r="J2299" s="14" t="n">
        <v>46218.36643518518</v>
      </c>
      <c r="K2299" s="15" t="n">
        <v>126030.13</v>
      </c>
      <c r="L2299" s="4" t="inlineStr">
        <is>
          <t>INR</t>
        </is>
      </c>
      <c r="M2299" s="15" t="n">
        <v>-126030.13</v>
      </c>
      <c r="N2299" s="4" t="inlineStr">
        <is>
          <t>IOS Owner</t>
        </is>
      </c>
      <c r="O2299" s="4" t="n"/>
      <c r="P2299" s="4" t="n"/>
      <c r="Q2299" s="4" t="inlineStr">
        <is>
          <t>MAESTRO-IOS-BUSINESS-BUSINESS_RUNWAY-2298 | Burn | 126030.13</t>
        </is>
      </c>
      <c r="R2299" s="4" t="inlineStr">
        <is>
          <t>iPhone</t>
        </is>
      </c>
      <c r="S2299" s="4" t="inlineStr">
        <is>
          <t>B46</t>
        </is>
      </c>
      <c r="T2299" s="4" t="inlineStr">
        <is>
          <t>RAMP_1501_2500</t>
        </is>
      </c>
      <c r="U2299" s="4" t="inlineStr">
        <is>
          <t>CREATED</t>
        </is>
      </c>
      <c r="V2299" s="4" t="inlineStr">
        <is>
          <t>idem-20260902-ios-2298</t>
        </is>
      </c>
    </row>
    <row r="2300" ht="30" customHeight="1">
      <c r="A2300" s="4" t="n">
        <v>2299</v>
      </c>
      <c r="B2300" s="4" t="inlineStr">
        <is>
          <t>MTR-IOS-2299</t>
        </is>
      </c>
      <c r="C2300" s="4" t="inlineStr">
        <is>
          <t>Personal</t>
        </is>
      </c>
      <c r="D2300" s="4" t="inlineStr">
        <is>
          <t>Personal</t>
        </is>
      </c>
      <c r="E2300" s="4" t="inlineStr">
        <is>
          <t>Future Building</t>
        </is>
      </c>
      <c r="F2300" s="4" t="inlineStr">
        <is>
          <t>Savings</t>
        </is>
      </c>
      <c r="G2300" s="4" t="inlineStr">
        <is>
          <t>Transfer</t>
        </is>
      </c>
      <c r="H2300" s="12" t="n">
        <v>46103</v>
      </c>
      <c r="I2300" s="13" t="n">
        <v>0.3593402777777778</v>
      </c>
      <c r="J2300" s="14" t="n">
        <v>46103.35934027778</v>
      </c>
      <c r="K2300" s="15" t="n">
        <v>8548.25</v>
      </c>
      <c r="L2300" s="4" t="inlineStr">
        <is>
          <t>INR</t>
        </is>
      </c>
      <c r="M2300" s="15" t="n">
        <v>0</v>
      </c>
      <c r="N2300" s="4" t="inlineStr">
        <is>
          <t>IOS Owner</t>
        </is>
      </c>
      <c r="O2300" s="4" t="n"/>
      <c r="P2300" s="4" t="n"/>
      <c r="Q2300" s="4" t="inlineStr">
        <is>
          <t>MAESTRO-IOS-PERSONAL-FUTURE_BUILDING-2299 | Savings | 8548.25</t>
        </is>
      </c>
      <c r="R2300" s="4" t="inlineStr">
        <is>
          <t>iPhone</t>
        </is>
      </c>
      <c r="S2300" s="4" t="inlineStr">
        <is>
          <t>B46</t>
        </is>
      </c>
      <c r="T2300" s="4" t="inlineStr">
        <is>
          <t>RAMP_1501_2500</t>
        </is>
      </c>
      <c r="U2300" s="4" t="inlineStr">
        <is>
          <t>CREATED</t>
        </is>
      </c>
      <c r="V2300" s="4" t="inlineStr">
        <is>
          <t>idem-20260902-ios-2299</t>
        </is>
      </c>
    </row>
    <row r="2301" ht="30" customHeight="1">
      <c r="A2301" s="4" t="n">
        <v>2300</v>
      </c>
      <c r="B2301" s="4" t="inlineStr">
        <is>
          <t>MTR-IOS-2300</t>
        </is>
      </c>
      <c r="C2301" s="4" t="inlineStr">
        <is>
          <t>Group</t>
        </is>
      </c>
      <c r="D2301" s="4" t="inlineStr">
        <is>
          <t>Shared Experience</t>
        </is>
      </c>
      <c r="E2301" s="4" t="inlineStr">
        <is>
          <t>Wedding</t>
        </is>
      </c>
      <c r="F2301" s="4" t="inlineStr">
        <is>
          <t>Photography</t>
        </is>
      </c>
      <c r="G2301" s="4" t="inlineStr">
        <is>
          <t>Expense</t>
        </is>
      </c>
      <c r="H2301" s="12" t="n">
        <v>46047</v>
      </c>
      <c r="I2301" s="13" t="n">
        <v>0.08078703703703703</v>
      </c>
      <c r="J2301" s="14" t="n">
        <v>46047.08078703703</v>
      </c>
      <c r="K2301" s="15" t="n">
        <v>7418.78</v>
      </c>
      <c r="L2301" s="4" t="inlineStr">
        <is>
          <t>INR</t>
        </is>
      </c>
      <c r="M2301" s="15" t="n">
        <v>-7418.78</v>
      </c>
      <c r="N2301" s="4" t="inlineStr">
        <is>
          <t>IOS Aarav</t>
        </is>
      </c>
      <c r="O2301" s="4" t="n">
        <v>3</v>
      </c>
      <c r="P2301" s="4" t="inlineStr">
        <is>
          <t>EXACT</t>
        </is>
      </c>
      <c r="Q2301" s="4" t="inlineStr">
        <is>
          <t>MAESTRO-IOS-GROUP-WEDDING-2300 | Photography | 7418.78</t>
        </is>
      </c>
      <c r="R2301" s="4" t="inlineStr">
        <is>
          <t>iPhone</t>
        </is>
      </c>
      <c r="S2301" s="4" t="inlineStr">
        <is>
          <t>B46</t>
        </is>
      </c>
      <c r="T2301" s="4" t="inlineStr">
        <is>
          <t>RAMP_1501_2500</t>
        </is>
      </c>
      <c r="U2301" s="4" t="inlineStr">
        <is>
          <t>CREATED</t>
        </is>
      </c>
      <c r="V2301" s="4" t="inlineStr">
        <is>
          <t>idem-20260902-ios-2300</t>
        </is>
      </c>
    </row>
    <row r="2302" ht="30" customHeight="1">
      <c r="A2302" s="4" t="n">
        <v>2301</v>
      </c>
      <c r="B2302" s="4" t="inlineStr">
        <is>
          <t>MTR-IOS-2301</t>
        </is>
      </c>
      <c r="C2302" s="4" t="inlineStr">
        <is>
          <t>Business</t>
        </is>
      </c>
      <c r="D2302" s="4" t="inlineStr">
        <is>
          <t>Business</t>
        </is>
      </c>
      <c r="E2302" s="4" t="inlineStr">
        <is>
          <t>Business Runway</t>
        </is>
      </c>
      <c r="F2302" s="4" t="inlineStr">
        <is>
          <t>Reserve</t>
        </is>
      </c>
      <c r="G2302" s="4" t="inlineStr">
        <is>
          <t>Transfer</t>
        </is>
      </c>
      <c r="H2302" s="12" t="n">
        <v>46229</v>
      </c>
      <c r="I2302" s="13" t="n">
        <v>0.3515277777777778</v>
      </c>
      <c r="J2302" s="14" t="n">
        <v>46229.35152777778</v>
      </c>
      <c r="K2302" s="15" t="n">
        <v>8518.959999999999</v>
      </c>
      <c r="L2302" s="4" t="inlineStr">
        <is>
          <t>INR</t>
        </is>
      </c>
      <c r="M2302" s="15" t="n">
        <v>0</v>
      </c>
      <c r="N2302" s="4" t="inlineStr">
        <is>
          <t>IOS Owner</t>
        </is>
      </c>
      <c r="O2302" s="4" t="n"/>
      <c r="P2302" s="4" t="n"/>
      <c r="Q2302" s="4" t="inlineStr">
        <is>
          <t>MAESTRO-IOS-BUSINESS-BUSINESS_RUNWAY-2301 | Reserve | 8518.96</t>
        </is>
      </c>
      <c r="R2302" s="4" t="inlineStr">
        <is>
          <t>iPhone</t>
        </is>
      </c>
      <c r="S2302" s="4" t="inlineStr">
        <is>
          <t>B47</t>
        </is>
      </c>
      <c r="T2302" s="4" t="inlineStr">
        <is>
          <t>RAMP_1501_2500</t>
        </is>
      </c>
      <c r="U2302" s="4" t="inlineStr">
        <is>
          <t>CREATED</t>
        </is>
      </c>
      <c r="V2302" s="4" t="inlineStr">
        <is>
          <t>idem-20260902-ios-2301</t>
        </is>
      </c>
    </row>
    <row r="2303" ht="30" customHeight="1">
      <c r="A2303" s="4" t="n">
        <v>2302</v>
      </c>
      <c r="B2303" s="4" t="inlineStr">
        <is>
          <t>MTR-IOS-2302</t>
        </is>
      </c>
      <c r="C2303" s="4" t="inlineStr">
        <is>
          <t>Personal</t>
        </is>
      </c>
      <c r="D2303" s="4" t="inlineStr">
        <is>
          <t>Personal</t>
        </is>
      </c>
      <c r="E2303" s="4" t="inlineStr">
        <is>
          <t>Future Building</t>
        </is>
      </c>
      <c r="F2303" s="4" t="inlineStr">
        <is>
          <t>Emergency Fund</t>
        </is>
      </c>
      <c r="G2303" s="4" t="inlineStr">
        <is>
          <t>Transfer</t>
        </is>
      </c>
      <c r="H2303" s="12" t="n">
        <v>45916</v>
      </c>
      <c r="I2303" s="13" t="n">
        <v>0.6995949074074074</v>
      </c>
      <c r="J2303" s="14" t="n">
        <v>45916.6995949074</v>
      </c>
      <c r="K2303" s="15" t="n">
        <v>6236.69</v>
      </c>
      <c r="L2303" s="4" t="inlineStr">
        <is>
          <t>INR</t>
        </is>
      </c>
      <c r="M2303" s="15" t="n">
        <v>0</v>
      </c>
      <c r="N2303" s="4" t="inlineStr">
        <is>
          <t>IOS Owner</t>
        </is>
      </c>
      <c r="O2303" s="4" t="n"/>
      <c r="P2303" s="4" t="n"/>
      <c r="Q2303" s="4" t="inlineStr">
        <is>
          <t>MAESTRO-IOS-PERSONAL-FUTURE_BUILDING-2302 | Emergency Fund | 6236.69</t>
        </is>
      </c>
      <c r="R2303" s="4" t="inlineStr">
        <is>
          <t>iPhone</t>
        </is>
      </c>
      <c r="S2303" s="4" t="inlineStr">
        <is>
          <t>B47</t>
        </is>
      </c>
      <c r="T2303" s="4" t="inlineStr">
        <is>
          <t>RAMP_1501_2500</t>
        </is>
      </c>
      <c r="U2303" s="4" t="inlineStr">
        <is>
          <t>CREATED</t>
        </is>
      </c>
      <c r="V2303" s="4" t="inlineStr">
        <is>
          <t>idem-20260902-ios-2302</t>
        </is>
      </c>
    </row>
    <row r="2304" ht="30" customHeight="1">
      <c r="A2304" s="4" t="n">
        <v>2303</v>
      </c>
      <c r="B2304" s="4" t="inlineStr">
        <is>
          <t>MTR-IOS-2303</t>
        </is>
      </c>
      <c r="C2304" s="4" t="inlineStr">
        <is>
          <t>Group</t>
        </is>
      </c>
      <c r="D2304" s="4" t="inlineStr">
        <is>
          <t>Shared Experience</t>
        </is>
      </c>
      <c r="E2304" s="4" t="inlineStr">
        <is>
          <t>Wedding</t>
        </is>
      </c>
      <c r="F2304" s="4" t="inlineStr">
        <is>
          <t>Other</t>
        </is>
      </c>
      <c r="G2304" s="4" t="inlineStr">
        <is>
          <t>Expense</t>
        </is>
      </c>
      <c r="H2304" s="12" t="n">
        <v>46258</v>
      </c>
      <c r="I2304" s="13" t="n">
        <v>0.02413194444444445</v>
      </c>
      <c r="J2304" s="14" t="n">
        <v>46258.02413194445</v>
      </c>
      <c r="K2304" s="15" t="n">
        <v>18867.85</v>
      </c>
      <c r="L2304" s="4" t="inlineStr">
        <is>
          <t>INR</t>
        </is>
      </c>
      <c r="M2304" s="15" t="n">
        <v>-18867.85</v>
      </c>
      <c r="N2304" s="4" t="inlineStr">
        <is>
          <t>IOS Meera</t>
        </is>
      </c>
      <c r="O2304" s="4" t="n">
        <v>3</v>
      </c>
      <c r="P2304" s="4" t="inlineStr">
        <is>
          <t>SHARES</t>
        </is>
      </c>
      <c r="Q2304" s="4" t="inlineStr">
        <is>
          <t>MAESTRO-IOS-GROUP-WEDDING-2303 | Other | 18867.85</t>
        </is>
      </c>
      <c r="R2304" s="4" t="inlineStr">
        <is>
          <t>iPhone</t>
        </is>
      </c>
      <c r="S2304" s="4" t="inlineStr">
        <is>
          <t>B47</t>
        </is>
      </c>
      <c r="T2304" s="4" t="inlineStr">
        <is>
          <t>RAMP_1501_2500</t>
        </is>
      </c>
      <c r="U2304" s="4" t="inlineStr">
        <is>
          <t>CREATED</t>
        </is>
      </c>
      <c r="V2304" s="4" t="inlineStr">
        <is>
          <t>idem-20260902-ios-2303</t>
        </is>
      </c>
    </row>
    <row r="2305" ht="30" customHeight="1">
      <c r="A2305" s="4" t="n">
        <v>2304</v>
      </c>
      <c r="B2305" s="4" t="inlineStr">
        <is>
          <t>MTR-IOS-2304</t>
        </is>
      </c>
      <c r="C2305" s="4" t="inlineStr">
        <is>
          <t>Business</t>
        </is>
      </c>
      <c r="D2305" s="4" t="inlineStr">
        <is>
          <t>Business</t>
        </is>
      </c>
      <c r="E2305" s="4" t="inlineStr">
        <is>
          <t>Business Runway</t>
        </is>
      </c>
      <c r="F2305" s="4" t="inlineStr">
        <is>
          <t>Loan</t>
        </is>
      </c>
      <c r="G2305" s="4" t="inlineStr">
        <is>
          <t>Income</t>
        </is>
      </c>
      <c r="H2305" s="12" t="n">
        <v>46182</v>
      </c>
      <c r="I2305" s="13" t="n">
        <v>0.6109027777777778</v>
      </c>
      <c r="J2305" s="14" t="n">
        <v>46182.61090277778</v>
      </c>
      <c r="K2305" s="15" t="n">
        <v>96945.56</v>
      </c>
      <c r="L2305" s="4" t="inlineStr">
        <is>
          <t>INR</t>
        </is>
      </c>
      <c r="M2305" s="15" t="n">
        <v>96945.56</v>
      </c>
      <c r="N2305" s="4" t="inlineStr">
        <is>
          <t>IOS Owner</t>
        </is>
      </c>
      <c r="O2305" s="4" t="n"/>
      <c r="P2305" s="4" t="n"/>
      <c r="Q2305" s="4" t="inlineStr">
        <is>
          <t>MAESTRO-IOS-BUSINESS-BUSINESS_RUNWAY-2304 | Loan | 96945.56</t>
        </is>
      </c>
      <c r="R2305" s="4" t="inlineStr">
        <is>
          <t>iPhone</t>
        </is>
      </c>
      <c r="S2305" s="4" t="inlineStr">
        <is>
          <t>B47</t>
        </is>
      </c>
      <c r="T2305" s="4" t="inlineStr">
        <is>
          <t>RAMP_1501_2500</t>
        </is>
      </c>
      <c r="U2305" s="4" t="inlineStr">
        <is>
          <t>CREATED</t>
        </is>
      </c>
      <c r="V2305" s="4" t="inlineStr">
        <is>
          <t>idem-20260902-ios-2304</t>
        </is>
      </c>
    </row>
    <row r="2306" ht="30" customHeight="1">
      <c r="A2306" s="4" t="n">
        <v>2305</v>
      </c>
      <c r="B2306" s="4" t="inlineStr">
        <is>
          <t>MTR-IOS-2305</t>
        </is>
      </c>
      <c r="C2306" s="4" t="inlineStr">
        <is>
          <t>Personal</t>
        </is>
      </c>
      <c r="D2306" s="4" t="inlineStr">
        <is>
          <t>Personal</t>
        </is>
      </c>
      <c r="E2306" s="4" t="inlineStr">
        <is>
          <t>Future Building</t>
        </is>
      </c>
      <c r="F2306" s="4" t="inlineStr">
        <is>
          <t>Investments</t>
        </is>
      </c>
      <c r="G2306" s="4" t="inlineStr">
        <is>
          <t>Investment</t>
        </is>
      </c>
      <c r="H2306" s="12" t="n">
        <v>46177</v>
      </c>
      <c r="I2306" s="13" t="n">
        <v>0.04584490740740741</v>
      </c>
      <c r="J2306" s="14" t="n">
        <v>46177.04584490741</v>
      </c>
      <c r="K2306" s="15" t="n">
        <v>8356.02</v>
      </c>
      <c r="L2306" s="4" t="inlineStr">
        <is>
          <t>INR</t>
        </is>
      </c>
      <c r="M2306" s="15" t="n">
        <v>0</v>
      </c>
      <c r="N2306" s="4" t="inlineStr">
        <is>
          <t>IOS Owner</t>
        </is>
      </c>
      <c r="O2306" s="4" t="n"/>
      <c r="P2306" s="4" t="n"/>
      <c r="Q2306" s="4" t="inlineStr">
        <is>
          <t>MAESTRO-IOS-PERSONAL-FUTURE_BUILDING-2305 | Investments | 8356.02</t>
        </is>
      </c>
      <c r="R2306" s="4" t="inlineStr">
        <is>
          <t>iPhone</t>
        </is>
      </c>
      <c r="S2306" s="4" t="inlineStr">
        <is>
          <t>B47</t>
        </is>
      </c>
      <c r="T2306" s="4" t="inlineStr">
        <is>
          <t>RAMP_1501_2500</t>
        </is>
      </c>
      <c r="U2306" s="4" t="inlineStr">
        <is>
          <t>CREATED</t>
        </is>
      </c>
      <c r="V2306" s="4" t="inlineStr">
        <is>
          <t>idem-20260902-ios-2305</t>
        </is>
      </c>
    </row>
    <row r="2307" ht="30" customHeight="1">
      <c r="A2307" s="4" t="n">
        <v>2306</v>
      </c>
      <c r="B2307" s="4" t="inlineStr">
        <is>
          <t>MTR-IOS-2306</t>
        </is>
      </c>
      <c r="C2307" s="4" t="inlineStr">
        <is>
          <t>Group</t>
        </is>
      </c>
      <c r="D2307" s="4" t="inlineStr">
        <is>
          <t>Shared Experience</t>
        </is>
      </c>
      <c r="E2307" s="4" t="inlineStr">
        <is>
          <t>Office Outing</t>
        </is>
      </c>
      <c r="F2307" s="4" t="inlineStr">
        <is>
          <t>Food</t>
        </is>
      </c>
      <c r="G2307" s="4" t="inlineStr">
        <is>
          <t>Expense</t>
        </is>
      </c>
      <c r="H2307" s="12" t="n">
        <v>46081</v>
      </c>
      <c r="I2307" s="13" t="n">
        <v>0.4293287037037037</v>
      </c>
      <c r="J2307" s="14" t="n">
        <v>46081.42932870371</v>
      </c>
      <c r="K2307" s="15" t="n">
        <v>4565.88</v>
      </c>
      <c r="L2307" s="4" t="inlineStr">
        <is>
          <t>INR</t>
        </is>
      </c>
      <c r="M2307" s="15" t="n">
        <v>-4565.88</v>
      </c>
      <c r="N2307" s="4" t="inlineStr">
        <is>
          <t>IOS Owner</t>
        </is>
      </c>
      <c r="O2307" s="4" t="n">
        <v>3</v>
      </c>
      <c r="P2307" s="4" t="inlineStr">
        <is>
          <t>EQUAL</t>
        </is>
      </c>
      <c r="Q2307" s="4" t="inlineStr">
        <is>
          <t>MAESTRO-IOS-GROUP-OFFICE_OUTING-2306 | Food | 4565.88</t>
        </is>
      </c>
      <c r="R2307" s="4" t="inlineStr">
        <is>
          <t>iPhone</t>
        </is>
      </c>
      <c r="S2307" s="4" t="inlineStr">
        <is>
          <t>B47</t>
        </is>
      </c>
      <c r="T2307" s="4" t="inlineStr">
        <is>
          <t>RAMP_1501_2500</t>
        </is>
      </c>
      <c r="U2307" s="4" t="inlineStr">
        <is>
          <t>CREATED</t>
        </is>
      </c>
      <c r="V2307" s="4" t="inlineStr">
        <is>
          <t>idem-20260902-ios-2306</t>
        </is>
      </c>
    </row>
    <row r="2308" ht="30" customHeight="1">
      <c r="A2308" s="4" t="n">
        <v>2307</v>
      </c>
      <c r="B2308" s="4" t="inlineStr">
        <is>
          <t>MTR-IOS-2307</t>
        </is>
      </c>
      <c r="C2308" s="4" t="inlineStr">
        <is>
          <t>Business</t>
        </is>
      </c>
      <c r="D2308" s="4" t="inlineStr">
        <is>
          <t>Business</t>
        </is>
      </c>
      <c r="E2308" s="4" t="inlineStr">
        <is>
          <t>Business Runway</t>
        </is>
      </c>
      <c r="F2308" s="4" t="inlineStr">
        <is>
          <t>Investment</t>
        </is>
      </c>
      <c r="G2308" s="4" t="inlineStr">
        <is>
          <t>Income</t>
        </is>
      </c>
      <c r="H2308" s="12" t="n">
        <v>45925</v>
      </c>
      <c r="I2308" s="13" t="n">
        <v>0.9961689814814815</v>
      </c>
      <c r="J2308" s="14" t="n">
        <v>45925.99616898148</v>
      </c>
      <c r="K2308" s="15" t="n">
        <v>103053.74</v>
      </c>
      <c r="L2308" s="4" t="inlineStr">
        <is>
          <t>INR</t>
        </is>
      </c>
      <c r="M2308" s="15" t="n">
        <v>103053.74</v>
      </c>
      <c r="N2308" s="4" t="inlineStr">
        <is>
          <t>IOS Owner</t>
        </is>
      </c>
      <c r="O2308" s="4" t="n"/>
      <c r="P2308" s="4" t="n"/>
      <c r="Q2308" s="4" t="inlineStr">
        <is>
          <t>MAESTRO-IOS-BUSINESS-BUSINESS_RUNWAY-2307 | Investment | 103053.74</t>
        </is>
      </c>
      <c r="R2308" s="4" t="inlineStr">
        <is>
          <t>iPhone</t>
        </is>
      </c>
      <c r="S2308" s="4" t="inlineStr">
        <is>
          <t>B47</t>
        </is>
      </c>
      <c r="T2308" s="4" t="inlineStr">
        <is>
          <t>RAMP_1501_2500</t>
        </is>
      </c>
      <c r="U2308" s="4" t="inlineStr">
        <is>
          <t>CREATED</t>
        </is>
      </c>
      <c r="V2308" s="4" t="inlineStr">
        <is>
          <t>idem-20260902-ios-2307</t>
        </is>
      </c>
    </row>
    <row r="2309" ht="30" customHeight="1">
      <c r="A2309" s="4" t="n">
        <v>2308</v>
      </c>
      <c r="B2309" s="4" t="inlineStr">
        <is>
          <t>MTR-IOS-2308</t>
        </is>
      </c>
      <c r="C2309" s="4" t="inlineStr">
        <is>
          <t>Personal</t>
        </is>
      </c>
      <c r="D2309" s="4" t="inlineStr">
        <is>
          <t>Personal</t>
        </is>
      </c>
      <c r="E2309" s="4" t="inlineStr">
        <is>
          <t>Future Building</t>
        </is>
      </c>
      <c r="F2309" s="4" t="inlineStr">
        <is>
          <t>Education</t>
        </is>
      </c>
      <c r="G2309" s="4" t="inlineStr">
        <is>
          <t>Expense</t>
        </is>
      </c>
      <c r="H2309" s="12" t="n">
        <v>45933</v>
      </c>
      <c r="I2309" s="13" t="n">
        <v>0.9871296296296296</v>
      </c>
      <c r="J2309" s="14" t="n">
        <v>45933.98712962963</v>
      </c>
      <c r="K2309" s="15" t="n">
        <v>10579.89</v>
      </c>
      <c r="L2309" s="4" t="inlineStr">
        <is>
          <t>INR</t>
        </is>
      </c>
      <c r="M2309" s="15" t="n">
        <v>-10579.89</v>
      </c>
      <c r="N2309" s="4" t="inlineStr">
        <is>
          <t>IOS Owner</t>
        </is>
      </c>
      <c r="O2309" s="4" t="n"/>
      <c r="P2309" s="4" t="n"/>
      <c r="Q2309" s="4" t="inlineStr">
        <is>
          <t>MAESTRO-IOS-PERSONAL-FUTURE_BUILDING-2308 | Education | 10579.89</t>
        </is>
      </c>
      <c r="R2309" s="4" t="inlineStr">
        <is>
          <t>iPhone</t>
        </is>
      </c>
      <c r="S2309" s="4" t="inlineStr">
        <is>
          <t>B47</t>
        </is>
      </c>
      <c r="T2309" s="4" t="inlineStr">
        <is>
          <t>RAMP_1501_2500</t>
        </is>
      </c>
      <c r="U2309" s="4" t="inlineStr">
        <is>
          <t>CREATED</t>
        </is>
      </c>
      <c r="V2309" s="4" t="inlineStr">
        <is>
          <t>idem-20260902-ios-2308</t>
        </is>
      </c>
    </row>
    <row r="2310" ht="30" customHeight="1">
      <c r="A2310" s="4" t="n">
        <v>2309</v>
      </c>
      <c r="B2310" s="4" t="inlineStr">
        <is>
          <t>MTR-IOS-2309</t>
        </is>
      </c>
      <c r="C2310" s="4" t="inlineStr">
        <is>
          <t>Group</t>
        </is>
      </c>
      <c r="D2310" s="4" t="inlineStr">
        <is>
          <t>Shared Experience</t>
        </is>
      </c>
      <c r="E2310" s="4" t="inlineStr">
        <is>
          <t>Office Outing</t>
        </is>
      </c>
      <c r="F2310" s="4" t="inlineStr">
        <is>
          <t>Travel</t>
        </is>
      </c>
      <c r="G2310" s="4" t="inlineStr">
        <is>
          <t>Expense</t>
        </is>
      </c>
      <c r="H2310" s="12" t="n">
        <v>45932</v>
      </c>
      <c r="I2310" s="13" t="n">
        <v>0.3422337962962963</v>
      </c>
      <c r="J2310" s="14" t="n">
        <v>45932.3422337963</v>
      </c>
      <c r="K2310" s="15" t="n">
        <v>20349.3</v>
      </c>
      <c r="L2310" s="4" t="inlineStr">
        <is>
          <t>INR</t>
        </is>
      </c>
      <c r="M2310" s="15" t="n">
        <v>-20349.3</v>
      </c>
      <c r="N2310" s="4" t="inlineStr">
        <is>
          <t>IOS Aarav</t>
        </is>
      </c>
      <c r="O2310" s="4" t="n">
        <v>3</v>
      </c>
      <c r="P2310" s="4" t="inlineStr">
        <is>
          <t>PERCENTAGE</t>
        </is>
      </c>
      <c r="Q2310" s="4" t="inlineStr">
        <is>
          <t>MAESTRO-IOS-GROUP-OFFICE_OUTING-2309 | Travel | 20349.30</t>
        </is>
      </c>
      <c r="R2310" s="4" t="inlineStr">
        <is>
          <t>iPhone</t>
        </is>
      </c>
      <c r="S2310" s="4" t="inlineStr">
        <is>
          <t>B47</t>
        </is>
      </c>
      <c r="T2310" s="4" t="inlineStr">
        <is>
          <t>RAMP_1501_2500</t>
        </is>
      </c>
      <c r="U2310" s="4" t="inlineStr">
        <is>
          <t>CREATED</t>
        </is>
      </c>
      <c r="V2310" s="4" t="inlineStr">
        <is>
          <t>idem-20260902-ios-2309</t>
        </is>
      </c>
    </row>
    <row r="2311" ht="30" customHeight="1">
      <c r="A2311" s="4" t="n">
        <v>2310</v>
      </c>
      <c r="B2311" s="4" t="inlineStr">
        <is>
          <t>MTR-IOS-2310</t>
        </is>
      </c>
      <c r="C2311" s="4" t="inlineStr">
        <is>
          <t>Business</t>
        </is>
      </c>
      <c r="D2311" s="4" t="inlineStr">
        <is>
          <t>Business</t>
        </is>
      </c>
      <c r="E2311" s="4" t="inlineStr">
        <is>
          <t>Business Operations</t>
        </is>
      </c>
      <c r="F2311" s="4" t="inlineStr">
        <is>
          <t>Software</t>
        </is>
      </c>
      <c r="G2311" s="4" t="inlineStr">
        <is>
          <t>Expense</t>
        </is>
      </c>
      <c r="H2311" s="12" t="n">
        <v>46150</v>
      </c>
      <c r="I2311" s="13" t="n">
        <v>0.8147916666666667</v>
      </c>
      <c r="J2311" s="14" t="n">
        <v>46150.81479166666</v>
      </c>
      <c r="K2311" s="15" t="n">
        <v>47147.58</v>
      </c>
      <c r="L2311" s="4" t="inlineStr">
        <is>
          <t>INR</t>
        </is>
      </c>
      <c r="M2311" s="15" t="n">
        <v>-47147.58</v>
      </c>
      <c r="N2311" s="4" t="inlineStr">
        <is>
          <t>IOS Owner</t>
        </is>
      </c>
      <c r="O2311" s="4" t="n"/>
      <c r="P2311" s="4" t="n"/>
      <c r="Q2311" s="4" t="inlineStr">
        <is>
          <t>MAESTRO-IOS-BUSINESS-BUSINESS_OPERATIONS-2310 | Software | 47147.58</t>
        </is>
      </c>
      <c r="R2311" s="4" t="inlineStr">
        <is>
          <t>iPhone</t>
        </is>
      </c>
      <c r="S2311" s="4" t="inlineStr">
        <is>
          <t>B47</t>
        </is>
      </c>
      <c r="T2311" s="4" t="inlineStr">
        <is>
          <t>RAMP_1501_2500</t>
        </is>
      </c>
      <c r="U2311" s="4" t="inlineStr">
        <is>
          <t>CREATED</t>
        </is>
      </c>
      <c r="V2311" s="4" t="inlineStr">
        <is>
          <t>idem-20260902-ios-2310</t>
        </is>
      </c>
    </row>
    <row r="2312" ht="30" customHeight="1">
      <c r="A2312" s="4" t="n">
        <v>2311</v>
      </c>
      <c r="B2312" s="4" t="inlineStr">
        <is>
          <t>MTR-IOS-2311</t>
        </is>
      </c>
      <c r="C2312" s="4" t="inlineStr">
        <is>
          <t>Personal</t>
        </is>
      </c>
      <c r="D2312" s="4" t="inlineStr">
        <is>
          <t>Personal</t>
        </is>
      </c>
      <c r="E2312" s="4" t="inlineStr">
        <is>
          <t>Future Building</t>
        </is>
      </c>
      <c r="F2312" s="4" t="inlineStr">
        <is>
          <t>Goal Contribution</t>
        </is>
      </c>
      <c r="G2312" s="4" t="inlineStr">
        <is>
          <t>Transfer</t>
        </is>
      </c>
      <c r="H2312" s="12" t="n">
        <v>46173</v>
      </c>
      <c r="I2312" s="13" t="n">
        <v>0.8495833333333334</v>
      </c>
      <c r="J2312" s="14" t="n">
        <v>46173.84958333334</v>
      </c>
      <c r="K2312" s="15" t="n">
        <v>13640.21</v>
      </c>
      <c r="L2312" s="4" t="inlineStr">
        <is>
          <t>INR</t>
        </is>
      </c>
      <c r="M2312" s="15" t="n">
        <v>0</v>
      </c>
      <c r="N2312" s="4" t="inlineStr">
        <is>
          <t>IOS Owner</t>
        </is>
      </c>
      <c r="O2312" s="4" t="n"/>
      <c r="P2312" s="4" t="n"/>
      <c r="Q2312" s="4" t="inlineStr">
        <is>
          <t>MAESTRO-IOS-PERSONAL-FUTURE_BUILDING-2311 | Goal Contribution | 13640.21</t>
        </is>
      </c>
      <c r="R2312" s="4" t="inlineStr">
        <is>
          <t>iPhone</t>
        </is>
      </c>
      <c r="S2312" s="4" t="inlineStr">
        <is>
          <t>B47</t>
        </is>
      </c>
      <c r="T2312" s="4" t="inlineStr">
        <is>
          <t>RAMP_1501_2500</t>
        </is>
      </c>
      <c r="U2312" s="4" t="inlineStr">
        <is>
          <t>CREATED</t>
        </is>
      </c>
      <c r="V2312" s="4" t="inlineStr">
        <is>
          <t>idem-20260902-ios-2311</t>
        </is>
      </c>
    </row>
    <row r="2313" ht="30" customHeight="1">
      <c r="A2313" s="4" t="n">
        <v>2312</v>
      </c>
      <c r="B2313" s="4" t="inlineStr">
        <is>
          <t>MTR-IOS-2312</t>
        </is>
      </c>
      <c r="C2313" s="4" t="inlineStr">
        <is>
          <t>Group</t>
        </is>
      </c>
      <c r="D2313" s="4" t="inlineStr">
        <is>
          <t>Shared Experience</t>
        </is>
      </c>
      <c r="E2313" s="4" t="inlineStr">
        <is>
          <t>Office Outing</t>
        </is>
      </c>
      <c r="F2313" s="4" t="inlineStr">
        <is>
          <t>Activities</t>
        </is>
      </c>
      <c r="G2313" s="4" t="inlineStr">
        <is>
          <t>Expense</t>
        </is>
      </c>
      <c r="H2313" s="12" t="n">
        <v>45929</v>
      </c>
      <c r="I2313" s="13" t="n">
        <v>0.3216898148148148</v>
      </c>
      <c r="J2313" s="14" t="n">
        <v>45929.32168981482</v>
      </c>
      <c r="K2313" s="15" t="n">
        <v>5045.1</v>
      </c>
      <c r="L2313" s="4" t="inlineStr">
        <is>
          <t>INR</t>
        </is>
      </c>
      <c r="M2313" s="15" t="n">
        <v>-5045.1</v>
      </c>
      <c r="N2313" s="4" t="inlineStr">
        <is>
          <t>IOS Meera</t>
        </is>
      </c>
      <c r="O2313" s="4" t="n">
        <v>3</v>
      </c>
      <c r="P2313" s="4" t="inlineStr">
        <is>
          <t>EXACT</t>
        </is>
      </c>
      <c r="Q2313" s="4" t="inlineStr">
        <is>
          <t>MAESTRO-IOS-GROUP-OFFICE_OUTING-2312 | Activities | 5045.10</t>
        </is>
      </c>
      <c r="R2313" s="4" t="inlineStr">
        <is>
          <t>iPhone</t>
        </is>
      </c>
      <c r="S2313" s="4" t="inlineStr">
        <is>
          <t>B47</t>
        </is>
      </c>
      <c r="T2313" s="4" t="inlineStr">
        <is>
          <t>RAMP_1501_2500</t>
        </is>
      </c>
      <c r="U2313" s="4" t="inlineStr">
        <is>
          <t>CREATED</t>
        </is>
      </c>
      <c r="V2313" s="4" t="inlineStr">
        <is>
          <t>idem-20260902-ios-2312</t>
        </is>
      </c>
    </row>
    <row r="2314" ht="30" customHeight="1">
      <c r="A2314" s="4" t="n">
        <v>2313</v>
      </c>
      <c r="B2314" s="4" t="inlineStr">
        <is>
          <t>MTR-IOS-2313</t>
        </is>
      </c>
      <c r="C2314" s="4" t="inlineStr">
        <is>
          <t>Business</t>
        </is>
      </c>
      <c r="D2314" s="4" t="inlineStr">
        <is>
          <t>Business</t>
        </is>
      </c>
      <c r="E2314" s="4" t="inlineStr">
        <is>
          <t>Business Operations</t>
        </is>
      </c>
      <c r="F2314" s="4" t="inlineStr">
        <is>
          <t>Rent</t>
        </is>
      </c>
      <c r="G2314" s="4" t="inlineStr">
        <is>
          <t>Expense</t>
        </is>
      </c>
      <c r="H2314" s="12" t="n">
        <v>46074</v>
      </c>
      <c r="I2314" s="13" t="n">
        <v>0.1411111111111111</v>
      </c>
      <c r="J2314" s="14" t="n">
        <v>46074.14111111111</v>
      </c>
      <c r="K2314" s="15" t="n">
        <v>17054.78</v>
      </c>
      <c r="L2314" s="4" t="inlineStr">
        <is>
          <t>INR</t>
        </is>
      </c>
      <c r="M2314" s="15" t="n">
        <v>-17054.78</v>
      </c>
      <c r="N2314" s="4" t="inlineStr">
        <is>
          <t>IOS Owner</t>
        </is>
      </c>
      <c r="O2314" s="4" t="n"/>
      <c r="P2314" s="4" t="n"/>
      <c r="Q2314" s="4" t="inlineStr">
        <is>
          <t>MAESTRO-IOS-BUSINESS-BUSINESS_OPERATIONS-2313 | Rent | 17054.78</t>
        </is>
      </c>
      <c r="R2314" s="4" t="inlineStr">
        <is>
          <t>iPhone</t>
        </is>
      </c>
      <c r="S2314" s="4" t="inlineStr">
        <is>
          <t>B47</t>
        </is>
      </c>
      <c r="T2314" s="4" t="inlineStr">
        <is>
          <t>RAMP_1501_2500</t>
        </is>
      </c>
      <c r="U2314" s="4" t="inlineStr">
        <is>
          <t>CREATED</t>
        </is>
      </c>
      <c r="V2314" s="4" t="inlineStr">
        <is>
          <t>idem-20260902-ios-2313</t>
        </is>
      </c>
    </row>
    <row r="2315" ht="30" customHeight="1">
      <c r="A2315" s="4" t="n">
        <v>2314</v>
      </c>
      <c r="B2315" s="4" t="inlineStr">
        <is>
          <t>MTR-IOS-2314</t>
        </is>
      </c>
      <c r="C2315" s="4" t="inlineStr">
        <is>
          <t>Personal</t>
        </is>
      </c>
      <c r="D2315" s="4" t="inlineStr">
        <is>
          <t>Personal</t>
        </is>
      </c>
      <c r="E2315" s="4" t="inlineStr">
        <is>
          <t>Lifestyle</t>
        </is>
      </c>
      <c r="F2315" s="4" t="inlineStr">
        <is>
          <t>Dining</t>
        </is>
      </c>
      <c r="G2315" s="4" t="inlineStr">
        <is>
          <t>Expense</t>
        </is>
      </c>
      <c r="H2315" s="12" t="n">
        <v>45932</v>
      </c>
      <c r="I2315" s="13" t="n">
        <v>0.8836226851851852</v>
      </c>
      <c r="J2315" s="14" t="n">
        <v>45932.88362268519</v>
      </c>
      <c r="K2315" s="15" t="n">
        <v>3692.45</v>
      </c>
      <c r="L2315" s="4" t="inlineStr">
        <is>
          <t>INR</t>
        </is>
      </c>
      <c r="M2315" s="15" t="n">
        <v>-3692.45</v>
      </c>
      <c r="N2315" s="4" t="inlineStr">
        <is>
          <t>IOS Owner</t>
        </is>
      </c>
      <c r="O2315" s="4" t="n"/>
      <c r="P2315" s="4" t="n"/>
      <c r="Q2315" s="4" t="inlineStr">
        <is>
          <t>MAESTRO-IOS-PERSONAL-LIFESTYLE-2314 | Dining | 3692.45</t>
        </is>
      </c>
      <c r="R2315" s="4" t="inlineStr">
        <is>
          <t>iPhone</t>
        </is>
      </c>
      <c r="S2315" s="4" t="inlineStr">
        <is>
          <t>B47</t>
        </is>
      </c>
      <c r="T2315" s="4" t="inlineStr">
        <is>
          <t>RAMP_1501_2500</t>
        </is>
      </c>
      <c r="U2315" s="4" t="inlineStr">
        <is>
          <t>CREATED</t>
        </is>
      </c>
      <c r="V2315" s="4" t="inlineStr">
        <is>
          <t>idem-20260902-ios-2314</t>
        </is>
      </c>
    </row>
    <row r="2316" ht="30" customHeight="1">
      <c r="A2316" s="4" t="n">
        <v>2315</v>
      </c>
      <c r="B2316" s="4" t="inlineStr">
        <is>
          <t>MTR-IOS-2315</t>
        </is>
      </c>
      <c r="C2316" s="4" t="inlineStr">
        <is>
          <t>Group</t>
        </is>
      </c>
      <c r="D2316" s="4" t="inlineStr">
        <is>
          <t>Shared Experience</t>
        </is>
      </c>
      <c r="E2316" s="4" t="inlineStr">
        <is>
          <t>Office Outing</t>
        </is>
      </c>
      <c r="F2316" s="4" t="inlineStr">
        <is>
          <t>Venue</t>
        </is>
      </c>
      <c r="G2316" s="4" t="inlineStr">
        <is>
          <t>Expense</t>
        </is>
      </c>
      <c r="H2316" s="12" t="n">
        <v>46197</v>
      </c>
      <c r="I2316" s="13" t="n">
        <v>0.9838657407407407</v>
      </c>
      <c r="J2316" s="14" t="n">
        <v>46197.98386574074</v>
      </c>
      <c r="K2316" s="15" t="n">
        <v>19692.96</v>
      </c>
      <c r="L2316" s="4" t="inlineStr">
        <is>
          <t>INR</t>
        </is>
      </c>
      <c r="M2316" s="15" t="n">
        <v>-19692.96</v>
      </c>
      <c r="N2316" s="4" t="inlineStr">
        <is>
          <t>IOS Owner</t>
        </is>
      </c>
      <c r="O2316" s="4" t="n">
        <v>3</v>
      </c>
      <c r="P2316" s="4" t="inlineStr">
        <is>
          <t>SHARES</t>
        </is>
      </c>
      <c r="Q2316" s="4" t="inlineStr">
        <is>
          <t>MAESTRO-IOS-GROUP-OFFICE_OUTING-2315 | Venue | 19692.96</t>
        </is>
      </c>
      <c r="R2316" s="4" t="inlineStr">
        <is>
          <t>iPhone</t>
        </is>
      </c>
      <c r="S2316" s="4" t="inlineStr">
        <is>
          <t>B47</t>
        </is>
      </c>
      <c r="T2316" s="4" t="inlineStr">
        <is>
          <t>RAMP_1501_2500</t>
        </is>
      </c>
      <c r="U2316" s="4" t="inlineStr">
        <is>
          <t>CREATED</t>
        </is>
      </c>
      <c r="V2316" s="4" t="inlineStr">
        <is>
          <t>idem-20260902-ios-2315</t>
        </is>
      </c>
    </row>
    <row r="2317" ht="30" customHeight="1">
      <c r="A2317" s="4" t="n">
        <v>2316</v>
      </c>
      <c r="B2317" s="4" t="inlineStr">
        <is>
          <t>MTR-IOS-2316</t>
        </is>
      </c>
      <c r="C2317" s="4" t="inlineStr">
        <is>
          <t>Business</t>
        </is>
      </c>
      <c r="D2317" s="4" t="inlineStr">
        <is>
          <t>Business</t>
        </is>
      </c>
      <c r="E2317" s="4" t="inlineStr">
        <is>
          <t>Business Operations</t>
        </is>
      </c>
      <c r="F2317" s="4" t="inlineStr">
        <is>
          <t>Marketing</t>
        </is>
      </c>
      <c r="G2317" s="4" t="inlineStr">
        <is>
          <t>Expense</t>
        </is>
      </c>
      <c r="H2317" s="12" t="n">
        <v>45919</v>
      </c>
      <c r="I2317" s="13" t="n">
        <v>0.2126273148148148</v>
      </c>
      <c r="J2317" s="14" t="n">
        <v>45919.21262731482</v>
      </c>
      <c r="K2317" s="15" t="n">
        <v>96105.75999999999</v>
      </c>
      <c r="L2317" s="4" t="inlineStr">
        <is>
          <t>INR</t>
        </is>
      </c>
      <c r="M2317" s="15" t="n">
        <v>-96105.75999999999</v>
      </c>
      <c r="N2317" s="4" t="inlineStr">
        <is>
          <t>IOS Owner</t>
        </is>
      </c>
      <c r="O2317" s="4" t="n"/>
      <c r="P2317" s="4" t="n"/>
      <c r="Q2317" s="4" t="inlineStr">
        <is>
          <t>MAESTRO-IOS-BUSINESS-BUSINESS_OPERATIONS-2316 | Marketing | 96105.76</t>
        </is>
      </c>
      <c r="R2317" s="4" t="inlineStr">
        <is>
          <t>iPhone</t>
        </is>
      </c>
      <c r="S2317" s="4" t="inlineStr">
        <is>
          <t>B47</t>
        </is>
      </c>
      <c r="T2317" s="4" t="inlineStr">
        <is>
          <t>RAMP_1501_2500</t>
        </is>
      </c>
      <c r="U2317" s="4" t="inlineStr">
        <is>
          <t>CREATED</t>
        </is>
      </c>
      <c r="V2317" s="4" t="inlineStr">
        <is>
          <t>idem-20260902-ios-2316</t>
        </is>
      </c>
    </row>
    <row r="2318" ht="30" customHeight="1">
      <c r="A2318" s="4" t="n">
        <v>2317</v>
      </c>
      <c r="B2318" s="4" t="inlineStr">
        <is>
          <t>MTR-IOS-2317</t>
        </is>
      </c>
      <c r="C2318" s="4" t="inlineStr">
        <is>
          <t>Personal</t>
        </is>
      </c>
      <c r="D2318" s="4" t="inlineStr">
        <is>
          <t>Personal</t>
        </is>
      </c>
      <c r="E2318" s="4" t="inlineStr">
        <is>
          <t>Lifestyle</t>
        </is>
      </c>
      <c r="F2318" s="4" t="inlineStr">
        <is>
          <t>Shopping</t>
        </is>
      </c>
      <c r="G2318" s="4" t="inlineStr">
        <is>
          <t>Expense</t>
        </is>
      </c>
      <c r="H2318" s="12" t="n">
        <v>46029</v>
      </c>
      <c r="I2318" s="13" t="n">
        <v>0.4313425925925926</v>
      </c>
      <c r="J2318" s="14" t="n">
        <v>46029.43134259259</v>
      </c>
      <c r="K2318" s="15" t="n">
        <v>6357.6</v>
      </c>
      <c r="L2318" s="4" t="inlineStr">
        <is>
          <t>INR</t>
        </is>
      </c>
      <c r="M2318" s="15" t="n">
        <v>-6357.6</v>
      </c>
      <c r="N2318" s="4" t="inlineStr">
        <is>
          <t>IOS Owner</t>
        </is>
      </c>
      <c r="O2318" s="4" t="n"/>
      <c r="P2318" s="4" t="n"/>
      <c r="Q2318" s="4" t="inlineStr">
        <is>
          <t>MAESTRO-IOS-PERSONAL-LIFESTYLE-2317 | Shopping | 6357.60</t>
        </is>
      </c>
      <c r="R2318" s="4" t="inlineStr">
        <is>
          <t>iPhone</t>
        </is>
      </c>
      <c r="S2318" s="4" t="inlineStr">
        <is>
          <t>B47</t>
        </is>
      </c>
      <c r="T2318" s="4" t="inlineStr">
        <is>
          <t>RAMP_1501_2500</t>
        </is>
      </c>
      <c r="U2318" s="4" t="inlineStr">
        <is>
          <t>CREATED</t>
        </is>
      </c>
      <c r="V2318" s="4" t="inlineStr">
        <is>
          <t>idem-20260902-ios-2317</t>
        </is>
      </c>
    </row>
    <row r="2319" ht="30" customHeight="1">
      <c r="A2319" s="4" t="n">
        <v>2318</v>
      </c>
      <c r="B2319" s="4" t="inlineStr">
        <is>
          <t>MTR-IOS-2318</t>
        </is>
      </c>
      <c r="C2319" s="4" t="inlineStr">
        <is>
          <t>Group</t>
        </is>
      </c>
      <c r="D2319" s="4" t="inlineStr">
        <is>
          <t>Shared Experience</t>
        </is>
      </c>
      <c r="E2319" s="4" t="inlineStr">
        <is>
          <t>Office Outing</t>
        </is>
      </c>
      <c r="F2319" s="4" t="inlineStr">
        <is>
          <t>Other</t>
        </is>
      </c>
      <c r="G2319" s="4" t="inlineStr">
        <is>
          <t>Expense</t>
        </is>
      </c>
      <c r="H2319" s="12" t="n">
        <v>45943</v>
      </c>
      <c r="I2319" s="13" t="n">
        <v>0.4776851851851852</v>
      </c>
      <c r="J2319" s="14" t="n">
        <v>45943.47768518519</v>
      </c>
      <c r="K2319" s="15" t="n">
        <v>25271.2</v>
      </c>
      <c r="L2319" s="4" t="inlineStr">
        <is>
          <t>INR</t>
        </is>
      </c>
      <c r="M2319" s="15" t="n">
        <v>-25271.2</v>
      </c>
      <c r="N2319" s="4" t="inlineStr">
        <is>
          <t>IOS Aarav</t>
        </is>
      </c>
      <c r="O2319" s="4" t="n">
        <v>3</v>
      </c>
      <c r="P2319" s="4" t="inlineStr">
        <is>
          <t>EQUAL</t>
        </is>
      </c>
      <c r="Q2319" s="4" t="inlineStr">
        <is>
          <t>MAESTRO-IOS-GROUP-OFFICE_OUTING-2318 | Other | 25271.20</t>
        </is>
      </c>
      <c r="R2319" s="4" t="inlineStr">
        <is>
          <t>iPhone</t>
        </is>
      </c>
      <c r="S2319" s="4" t="inlineStr">
        <is>
          <t>B47</t>
        </is>
      </c>
      <c r="T2319" s="4" t="inlineStr">
        <is>
          <t>RAMP_1501_2500</t>
        </is>
      </c>
      <c r="U2319" s="4" t="inlineStr">
        <is>
          <t>CREATED</t>
        </is>
      </c>
      <c r="V2319" s="4" t="inlineStr">
        <is>
          <t>idem-20260902-ios-2318</t>
        </is>
      </c>
    </row>
    <row r="2320" ht="30" customHeight="1">
      <c r="A2320" s="4" t="n">
        <v>2319</v>
      </c>
      <c r="B2320" s="4" t="inlineStr">
        <is>
          <t>MTR-IOS-2319</t>
        </is>
      </c>
      <c r="C2320" s="4" t="inlineStr">
        <is>
          <t>Business</t>
        </is>
      </c>
      <c r="D2320" s="4" t="inlineStr">
        <is>
          <t>Business</t>
        </is>
      </c>
      <c r="E2320" s="4" t="inlineStr">
        <is>
          <t>Business Operations</t>
        </is>
      </c>
      <c r="F2320" s="4" t="inlineStr">
        <is>
          <t>Legal</t>
        </is>
      </c>
      <c r="G2320" s="4" t="inlineStr">
        <is>
          <t>Expense</t>
        </is>
      </c>
      <c r="H2320" s="12" t="n">
        <v>45957</v>
      </c>
      <c r="I2320" s="13" t="n">
        <v>0.5623726851851852</v>
      </c>
      <c r="J2320" s="14" t="n">
        <v>45957.56237268518</v>
      </c>
      <c r="K2320" s="15" t="n">
        <v>94849.99000000001</v>
      </c>
      <c r="L2320" s="4" t="inlineStr">
        <is>
          <t>INR</t>
        </is>
      </c>
      <c r="M2320" s="15" t="n">
        <v>-94849.99000000001</v>
      </c>
      <c r="N2320" s="4" t="inlineStr">
        <is>
          <t>IOS Owner</t>
        </is>
      </c>
      <c r="O2320" s="4" t="n"/>
      <c r="P2320" s="4" t="n"/>
      <c r="Q2320" s="4" t="inlineStr">
        <is>
          <t>MAESTRO-IOS-BUSINESS-BUSINESS_OPERATIONS-2319 | Legal | 94849.99</t>
        </is>
      </c>
      <c r="R2320" s="4" t="inlineStr">
        <is>
          <t>iPhone</t>
        </is>
      </c>
      <c r="S2320" s="4" t="inlineStr">
        <is>
          <t>B47</t>
        </is>
      </c>
      <c r="T2320" s="4" t="inlineStr">
        <is>
          <t>RAMP_1501_2500</t>
        </is>
      </c>
      <c r="U2320" s="4" t="inlineStr">
        <is>
          <t>CREATED</t>
        </is>
      </c>
      <c r="V2320" s="4" t="inlineStr">
        <is>
          <t>idem-20260902-ios-2319</t>
        </is>
      </c>
    </row>
    <row r="2321" ht="30" customHeight="1">
      <c r="A2321" s="4" t="n">
        <v>2320</v>
      </c>
      <c r="B2321" s="4" t="inlineStr">
        <is>
          <t>MTR-IOS-2320</t>
        </is>
      </c>
      <c r="C2321" s="4" t="inlineStr">
        <is>
          <t>Personal</t>
        </is>
      </c>
      <c r="D2321" s="4" t="inlineStr">
        <is>
          <t>Personal</t>
        </is>
      </c>
      <c r="E2321" s="4" t="inlineStr">
        <is>
          <t>Lifestyle</t>
        </is>
      </c>
      <c r="F2321" s="4" t="inlineStr">
        <is>
          <t>Entertainment</t>
        </is>
      </c>
      <c r="G2321" s="4" t="inlineStr">
        <is>
          <t>Expense</t>
        </is>
      </c>
      <c r="H2321" s="12" t="n">
        <v>46075</v>
      </c>
      <c r="I2321" s="13" t="n">
        <v>0.7268287037037037</v>
      </c>
      <c r="J2321" s="14" t="n">
        <v>46075.7268287037</v>
      </c>
      <c r="K2321" s="15" t="n">
        <v>16350.89</v>
      </c>
      <c r="L2321" s="4" t="inlineStr">
        <is>
          <t>INR</t>
        </is>
      </c>
      <c r="M2321" s="15" t="n">
        <v>-16350.89</v>
      </c>
      <c r="N2321" s="4" t="inlineStr">
        <is>
          <t>IOS Owner</t>
        </is>
      </c>
      <c r="O2321" s="4" t="n"/>
      <c r="P2321" s="4" t="n"/>
      <c r="Q2321" s="4" t="inlineStr">
        <is>
          <t>MAESTRO-IOS-PERSONAL-LIFESTYLE-2320 | Entertainment | 16350.89</t>
        </is>
      </c>
      <c r="R2321" s="4" t="inlineStr">
        <is>
          <t>iPhone</t>
        </is>
      </c>
      <c r="S2321" s="4" t="inlineStr">
        <is>
          <t>B47</t>
        </is>
      </c>
      <c r="T2321" s="4" t="inlineStr">
        <is>
          <t>RAMP_1501_2500</t>
        </is>
      </c>
      <c r="U2321" s="4" t="inlineStr">
        <is>
          <t>CREATED</t>
        </is>
      </c>
      <c r="V2321" s="4" t="inlineStr">
        <is>
          <t>idem-20260902-ios-2320</t>
        </is>
      </c>
    </row>
    <row r="2322" ht="30" customHeight="1">
      <c r="A2322" s="4" t="n">
        <v>2321</v>
      </c>
      <c r="B2322" s="4" t="inlineStr">
        <is>
          <t>MTR-IOS-2321</t>
        </is>
      </c>
      <c r="C2322" s="4" t="inlineStr">
        <is>
          <t>Group</t>
        </is>
      </c>
      <c r="D2322" s="4" t="inlineStr">
        <is>
          <t>Shared Experience</t>
        </is>
      </c>
      <c r="E2322" s="4" t="inlineStr">
        <is>
          <t>House Party</t>
        </is>
      </c>
      <c r="F2322" s="4" t="inlineStr">
        <is>
          <t>Food</t>
        </is>
      </c>
      <c r="G2322" s="4" t="inlineStr">
        <is>
          <t>Expense</t>
        </is>
      </c>
      <c r="H2322" s="12" t="n">
        <v>46251</v>
      </c>
      <c r="I2322" s="13" t="n">
        <v>0.5</v>
      </c>
      <c r="J2322" s="14" t="n">
        <v>46251.5</v>
      </c>
      <c r="K2322" s="15" t="n">
        <v>19306.27</v>
      </c>
      <c r="L2322" s="4" t="inlineStr">
        <is>
          <t>INR</t>
        </is>
      </c>
      <c r="M2322" s="15" t="n">
        <v>-19306.27</v>
      </c>
      <c r="N2322" s="4" t="inlineStr">
        <is>
          <t>IOS Meera</t>
        </is>
      </c>
      <c r="O2322" s="4" t="n">
        <v>3</v>
      </c>
      <c r="P2322" s="4" t="inlineStr">
        <is>
          <t>PERCENTAGE</t>
        </is>
      </c>
      <c r="Q2322" s="4" t="inlineStr">
        <is>
          <t>MAESTRO-IOS-GROUP-HOUSE_PARTY-2321 | Food | 19306.27</t>
        </is>
      </c>
      <c r="R2322" s="4" t="inlineStr">
        <is>
          <t>iPhone</t>
        </is>
      </c>
      <c r="S2322" s="4" t="inlineStr">
        <is>
          <t>B47</t>
        </is>
      </c>
      <c r="T2322" s="4" t="inlineStr">
        <is>
          <t>RAMP_1501_2500</t>
        </is>
      </c>
      <c r="U2322" s="4" t="inlineStr">
        <is>
          <t>CREATED</t>
        </is>
      </c>
      <c r="V2322" s="4" t="inlineStr">
        <is>
          <t>idem-20260902-ios-2321</t>
        </is>
      </c>
    </row>
    <row r="2323" ht="30" customHeight="1">
      <c r="A2323" s="4" t="n">
        <v>2322</v>
      </c>
      <c r="B2323" s="4" t="inlineStr">
        <is>
          <t>MTR-IOS-2322</t>
        </is>
      </c>
      <c r="C2323" s="4" t="inlineStr">
        <is>
          <t>Business</t>
        </is>
      </c>
      <c r="D2323" s="4" t="inlineStr">
        <is>
          <t>Business</t>
        </is>
      </c>
      <c r="E2323" s="4" t="inlineStr">
        <is>
          <t>Business Operations</t>
        </is>
      </c>
      <c r="F2323" s="4" t="inlineStr">
        <is>
          <t>Accounting</t>
        </is>
      </c>
      <c r="G2323" s="4" t="inlineStr">
        <is>
          <t>Expense</t>
        </is>
      </c>
      <c r="H2323" s="12" t="n">
        <v>46048</v>
      </c>
      <c r="I2323" s="13" t="n">
        <v>0.9344907407407408</v>
      </c>
      <c r="J2323" s="14" t="n">
        <v>46048.93449074074</v>
      </c>
      <c r="K2323" s="15" t="n">
        <v>118544.79</v>
      </c>
      <c r="L2323" s="4" t="inlineStr">
        <is>
          <t>INR</t>
        </is>
      </c>
      <c r="M2323" s="15" t="n">
        <v>-118544.79</v>
      </c>
      <c r="N2323" s="4" t="inlineStr">
        <is>
          <t>IOS Owner</t>
        </is>
      </c>
      <c r="O2323" s="4" t="n"/>
      <c r="P2323" s="4" t="n"/>
      <c r="Q2323" s="4" t="inlineStr">
        <is>
          <t>MAESTRO-IOS-BUSINESS-BUSINESS_OPERATIONS-2322 | Accounting | 118544.79</t>
        </is>
      </c>
      <c r="R2323" s="4" t="inlineStr">
        <is>
          <t>iPhone</t>
        </is>
      </c>
      <c r="S2323" s="4" t="inlineStr">
        <is>
          <t>B47</t>
        </is>
      </c>
      <c r="T2323" s="4" t="inlineStr">
        <is>
          <t>RAMP_1501_2500</t>
        </is>
      </c>
      <c r="U2323" s="4" t="inlineStr">
        <is>
          <t>CREATED</t>
        </is>
      </c>
      <c r="V2323" s="4" t="inlineStr">
        <is>
          <t>idem-20260902-ios-2322</t>
        </is>
      </c>
    </row>
    <row r="2324" ht="30" customHeight="1">
      <c r="A2324" s="4" t="n">
        <v>2323</v>
      </c>
      <c r="B2324" s="4" t="inlineStr">
        <is>
          <t>MTR-IOS-2323</t>
        </is>
      </c>
      <c r="C2324" s="4" t="inlineStr">
        <is>
          <t>Personal</t>
        </is>
      </c>
      <c r="D2324" s="4" t="inlineStr">
        <is>
          <t>Personal</t>
        </is>
      </c>
      <c r="E2324" s="4" t="inlineStr">
        <is>
          <t>Lifestyle</t>
        </is>
      </c>
      <c r="F2324" s="4" t="inlineStr">
        <is>
          <t>Travel</t>
        </is>
      </c>
      <c r="G2324" s="4" t="inlineStr">
        <is>
          <t>Expense</t>
        </is>
      </c>
      <c r="H2324" s="12" t="n">
        <v>46188</v>
      </c>
      <c r="I2324" s="13" t="n">
        <v>0.08819444444444445</v>
      </c>
      <c r="J2324" s="14" t="n">
        <v>46188.08819444444</v>
      </c>
      <c r="K2324" s="15" t="n">
        <v>4528.37</v>
      </c>
      <c r="L2324" s="4" t="inlineStr">
        <is>
          <t>INR</t>
        </is>
      </c>
      <c r="M2324" s="15" t="n">
        <v>-4528.37</v>
      </c>
      <c r="N2324" s="4" t="inlineStr">
        <is>
          <t>IOS Owner</t>
        </is>
      </c>
      <c r="O2324" s="4" t="n"/>
      <c r="P2324" s="4" t="n"/>
      <c r="Q2324" s="4" t="inlineStr">
        <is>
          <t>MAESTRO-IOS-PERSONAL-LIFESTYLE-2323 | Travel | 4528.37</t>
        </is>
      </c>
      <c r="R2324" s="4" t="inlineStr">
        <is>
          <t>iPhone</t>
        </is>
      </c>
      <c r="S2324" s="4" t="inlineStr">
        <is>
          <t>B47</t>
        </is>
      </c>
      <c r="T2324" s="4" t="inlineStr">
        <is>
          <t>RAMP_1501_2500</t>
        </is>
      </c>
      <c r="U2324" s="4" t="inlineStr">
        <is>
          <t>CREATED</t>
        </is>
      </c>
      <c r="V2324" s="4" t="inlineStr">
        <is>
          <t>idem-20260902-ios-2323</t>
        </is>
      </c>
    </row>
    <row r="2325" ht="30" customHeight="1">
      <c r="A2325" s="4" t="n">
        <v>2324</v>
      </c>
      <c r="B2325" s="4" t="inlineStr">
        <is>
          <t>MTR-IOS-2324</t>
        </is>
      </c>
      <c r="C2325" s="4" t="inlineStr">
        <is>
          <t>Group</t>
        </is>
      </c>
      <c r="D2325" s="4" t="inlineStr">
        <is>
          <t>Shared Experience</t>
        </is>
      </c>
      <c r="E2325" s="4" t="inlineStr">
        <is>
          <t>House Party</t>
        </is>
      </c>
      <c r="F2325" s="4" t="inlineStr">
        <is>
          <t>Drinks</t>
        </is>
      </c>
      <c r="G2325" s="4" t="inlineStr">
        <is>
          <t>Expense</t>
        </is>
      </c>
      <c r="H2325" s="12" t="n">
        <v>45927</v>
      </c>
      <c r="I2325" s="13" t="n">
        <v>0.8037615740740741</v>
      </c>
      <c r="J2325" s="14" t="n">
        <v>45927.80376157408</v>
      </c>
      <c r="K2325" s="15" t="n">
        <v>4362.77</v>
      </c>
      <c r="L2325" s="4" t="inlineStr">
        <is>
          <t>INR</t>
        </is>
      </c>
      <c r="M2325" s="15" t="n">
        <v>-4362.77</v>
      </c>
      <c r="N2325" s="4" t="inlineStr">
        <is>
          <t>IOS Owner</t>
        </is>
      </c>
      <c r="O2325" s="4" t="n">
        <v>3</v>
      </c>
      <c r="P2325" s="4" t="inlineStr">
        <is>
          <t>EXACT</t>
        </is>
      </c>
      <c r="Q2325" s="4" t="inlineStr">
        <is>
          <t>MAESTRO-IOS-GROUP-HOUSE_PARTY-2324 | Drinks | 4362.77</t>
        </is>
      </c>
      <c r="R2325" s="4" t="inlineStr">
        <is>
          <t>iPhone</t>
        </is>
      </c>
      <c r="S2325" s="4" t="inlineStr">
        <is>
          <t>B47</t>
        </is>
      </c>
      <c r="T2325" s="4" t="inlineStr">
        <is>
          <t>RAMP_1501_2500</t>
        </is>
      </c>
      <c r="U2325" s="4" t="inlineStr">
        <is>
          <t>CREATED</t>
        </is>
      </c>
      <c r="V2325" s="4" t="inlineStr">
        <is>
          <t>idem-20260902-ios-2324</t>
        </is>
      </c>
    </row>
    <row r="2326" ht="30" customHeight="1">
      <c r="A2326" s="4" t="n">
        <v>2325</v>
      </c>
      <c r="B2326" s="4" t="inlineStr">
        <is>
          <t>MTR-IOS-2325</t>
        </is>
      </c>
      <c r="C2326" s="4" t="inlineStr">
        <is>
          <t>Business</t>
        </is>
      </c>
      <c r="D2326" s="4" t="inlineStr">
        <is>
          <t>Business</t>
        </is>
      </c>
      <c r="E2326" s="4" t="inlineStr">
        <is>
          <t>Business Operations</t>
        </is>
      </c>
      <c r="F2326" s="4" t="inlineStr">
        <is>
          <t>Equipment</t>
        </is>
      </c>
      <c r="G2326" s="4" t="inlineStr">
        <is>
          <t>Expense</t>
        </is>
      </c>
      <c r="H2326" s="12" t="n">
        <v>46127</v>
      </c>
      <c r="I2326" s="13" t="n">
        <v>0.9875</v>
      </c>
      <c r="J2326" s="14" t="n">
        <v>46127.9875</v>
      </c>
      <c r="K2326" s="15" t="n">
        <v>36667.33</v>
      </c>
      <c r="L2326" s="4" t="inlineStr">
        <is>
          <t>INR</t>
        </is>
      </c>
      <c r="M2326" s="15" t="n">
        <v>-36667.33</v>
      </c>
      <c r="N2326" s="4" t="inlineStr">
        <is>
          <t>IOS Owner</t>
        </is>
      </c>
      <c r="O2326" s="4" t="n"/>
      <c r="P2326" s="4" t="n"/>
      <c r="Q2326" s="4" t="inlineStr">
        <is>
          <t>MAESTRO-IOS-BUSINESS-BUSINESS_OPERATIONS-2325 | Equipment | 36667.33</t>
        </is>
      </c>
      <c r="R2326" s="4" t="inlineStr">
        <is>
          <t>iPhone</t>
        </is>
      </c>
      <c r="S2326" s="4" t="inlineStr">
        <is>
          <t>B47</t>
        </is>
      </c>
      <c r="T2326" s="4" t="inlineStr">
        <is>
          <t>RAMP_1501_2500</t>
        </is>
      </c>
      <c r="U2326" s="4" t="inlineStr">
        <is>
          <t>CREATED</t>
        </is>
      </c>
      <c r="V2326" s="4" t="inlineStr">
        <is>
          <t>idem-20260902-ios-2325</t>
        </is>
      </c>
    </row>
    <row r="2327" ht="30" customHeight="1">
      <c r="A2327" s="4" t="n">
        <v>2326</v>
      </c>
      <c r="B2327" s="4" t="inlineStr">
        <is>
          <t>MTR-IOS-2326</t>
        </is>
      </c>
      <c r="C2327" s="4" t="inlineStr">
        <is>
          <t>Personal</t>
        </is>
      </c>
      <c r="D2327" s="4" t="inlineStr">
        <is>
          <t>Personal</t>
        </is>
      </c>
      <c r="E2327" s="4" t="inlineStr">
        <is>
          <t>Lifestyle</t>
        </is>
      </c>
      <c r="F2327" s="4" t="inlineStr">
        <is>
          <t>Fitness</t>
        </is>
      </c>
      <c r="G2327" s="4" t="inlineStr">
        <is>
          <t>Expense</t>
        </is>
      </c>
      <c r="H2327" s="12" t="n">
        <v>46088</v>
      </c>
      <c r="I2327" s="13" t="n">
        <v>0.5565509259259259</v>
      </c>
      <c r="J2327" s="14" t="n">
        <v>46088.55655092592</v>
      </c>
      <c r="K2327" s="15" t="n">
        <v>3963.87</v>
      </c>
      <c r="L2327" s="4" t="inlineStr">
        <is>
          <t>INR</t>
        </is>
      </c>
      <c r="M2327" s="15" t="n">
        <v>-3963.87</v>
      </c>
      <c r="N2327" s="4" t="inlineStr">
        <is>
          <t>IOS Owner</t>
        </is>
      </c>
      <c r="O2327" s="4" t="n"/>
      <c r="P2327" s="4" t="n"/>
      <c r="Q2327" s="4" t="inlineStr">
        <is>
          <t>MAESTRO-IOS-PERSONAL-LIFESTYLE-2326 | Fitness | 3963.87</t>
        </is>
      </c>
      <c r="R2327" s="4" t="inlineStr">
        <is>
          <t>iPhone</t>
        </is>
      </c>
      <c r="S2327" s="4" t="inlineStr">
        <is>
          <t>B47</t>
        </is>
      </c>
      <c r="T2327" s="4" t="inlineStr">
        <is>
          <t>RAMP_1501_2500</t>
        </is>
      </c>
      <c r="U2327" s="4" t="inlineStr">
        <is>
          <t>CREATED</t>
        </is>
      </c>
      <c r="V2327" s="4" t="inlineStr">
        <is>
          <t>idem-20260902-ios-2326</t>
        </is>
      </c>
    </row>
    <row r="2328" ht="30" customHeight="1">
      <c r="A2328" s="4" t="n">
        <v>2327</v>
      </c>
      <c r="B2328" s="4" t="inlineStr">
        <is>
          <t>MTR-IOS-2327</t>
        </is>
      </c>
      <c r="C2328" s="4" t="inlineStr">
        <is>
          <t>Group</t>
        </is>
      </c>
      <c r="D2328" s="4" t="inlineStr">
        <is>
          <t>Shared Experience</t>
        </is>
      </c>
      <c r="E2328" s="4" t="inlineStr">
        <is>
          <t>House Party</t>
        </is>
      </c>
      <c r="F2328" s="4" t="inlineStr">
        <is>
          <t>Decor</t>
        </is>
      </c>
      <c r="G2328" s="4" t="inlineStr">
        <is>
          <t>Expense</t>
        </is>
      </c>
      <c r="H2328" s="12" t="n">
        <v>46158</v>
      </c>
      <c r="I2328" s="13" t="n">
        <v>0.3465625</v>
      </c>
      <c r="J2328" s="14" t="n">
        <v>46158.3465625</v>
      </c>
      <c r="K2328" s="15" t="n">
        <v>17125.64</v>
      </c>
      <c r="L2328" s="4" t="inlineStr">
        <is>
          <t>INR</t>
        </is>
      </c>
      <c r="M2328" s="15" t="n">
        <v>-17125.64</v>
      </c>
      <c r="N2328" s="4" t="inlineStr">
        <is>
          <t>IOS Aarav</t>
        </is>
      </c>
      <c r="O2328" s="4" t="n">
        <v>3</v>
      </c>
      <c r="P2328" s="4" t="inlineStr">
        <is>
          <t>SHARES</t>
        </is>
      </c>
      <c r="Q2328" s="4" t="inlineStr">
        <is>
          <t>MAESTRO-IOS-GROUP-HOUSE_PARTY-2327 | Decor | 17125.64</t>
        </is>
      </c>
      <c r="R2328" s="4" t="inlineStr">
        <is>
          <t>iPhone</t>
        </is>
      </c>
      <c r="S2328" s="4" t="inlineStr">
        <is>
          <t>B47</t>
        </is>
      </c>
      <c r="T2328" s="4" t="inlineStr">
        <is>
          <t>RAMP_1501_2500</t>
        </is>
      </c>
      <c r="U2328" s="4" t="inlineStr">
        <is>
          <t>CREATED</t>
        </is>
      </c>
      <c r="V2328" s="4" t="inlineStr">
        <is>
          <t>idem-20260902-ios-2327</t>
        </is>
      </c>
    </row>
    <row r="2329" ht="30" customHeight="1">
      <c r="A2329" s="4" t="n">
        <v>2328</v>
      </c>
      <c r="B2329" s="4" t="inlineStr">
        <is>
          <t>MTR-IOS-2328</t>
        </is>
      </c>
      <c r="C2329" s="4" t="inlineStr">
        <is>
          <t>Business</t>
        </is>
      </c>
      <c r="D2329" s="4" t="inlineStr">
        <is>
          <t>Business</t>
        </is>
      </c>
      <c r="E2329" s="4" t="inlineStr">
        <is>
          <t>Business Operations</t>
        </is>
      </c>
      <c r="F2329" s="4" t="inlineStr">
        <is>
          <t>Vendor</t>
        </is>
      </c>
      <c r="G2329" s="4" t="inlineStr">
        <is>
          <t>Expense</t>
        </is>
      </c>
      <c r="H2329" s="12" t="n">
        <v>45984</v>
      </c>
      <c r="I2329" s="13" t="n">
        <v>0.09431712962962963</v>
      </c>
      <c r="J2329" s="14" t="n">
        <v>45984.09431712963</v>
      </c>
      <c r="K2329" s="15" t="n">
        <v>144709.36</v>
      </c>
      <c r="L2329" s="4" t="inlineStr">
        <is>
          <t>INR</t>
        </is>
      </c>
      <c r="M2329" s="15" t="n">
        <v>-144709.36</v>
      </c>
      <c r="N2329" s="4" t="inlineStr">
        <is>
          <t>IOS Owner</t>
        </is>
      </c>
      <c r="O2329" s="4" t="n"/>
      <c r="P2329" s="4" t="n"/>
      <c r="Q2329" s="4" t="inlineStr">
        <is>
          <t>MAESTRO-IOS-BUSINESS-BUSINESS_OPERATIONS-2328 | Vendor | 144709.36</t>
        </is>
      </c>
      <c r="R2329" s="4" t="inlineStr">
        <is>
          <t>iPhone</t>
        </is>
      </c>
      <c r="S2329" s="4" t="inlineStr">
        <is>
          <t>B47</t>
        </is>
      </c>
      <c r="T2329" s="4" t="inlineStr">
        <is>
          <t>RAMP_1501_2500</t>
        </is>
      </c>
      <c r="U2329" s="4" t="inlineStr">
        <is>
          <t>CREATED</t>
        </is>
      </c>
      <c r="V2329" s="4" t="inlineStr">
        <is>
          <t>idem-20260902-ios-2328</t>
        </is>
      </c>
    </row>
    <row r="2330" ht="30" customHeight="1">
      <c r="A2330" s="4" t="n">
        <v>2329</v>
      </c>
      <c r="B2330" s="4" t="inlineStr">
        <is>
          <t>MTR-IOS-2329</t>
        </is>
      </c>
      <c r="C2330" s="4" t="inlineStr">
        <is>
          <t>Personal</t>
        </is>
      </c>
      <c r="D2330" s="4" t="inlineStr">
        <is>
          <t>Personal</t>
        </is>
      </c>
      <c r="E2330" s="4" t="inlineStr">
        <is>
          <t>Lifestyle</t>
        </is>
      </c>
      <c r="F2330" s="4" t="inlineStr">
        <is>
          <t>Hobbies</t>
        </is>
      </c>
      <c r="G2330" s="4" t="inlineStr">
        <is>
          <t>Expense</t>
        </is>
      </c>
      <c r="H2330" s="12" t="n">
        <v>45963</v>
      </c>
      <c r="I2330" s="13" t="n">
        <v>0.8926157407407408</v>
      </c>
      <c r="J2330" s="14" t="n">
        <v>45963.89261574074</v>
      </c>
      <c r="K2330" s="15" t="n">
        <v>8675.83</v>
      </c>
      <c r="L2330" s="4" t="inlineStr">
        <is>
          <t>INR</t>
        </is>
      </c>
      <c r="M2330" s="15" t="n">
        <v>-8675.83</v>
      </c>
      <c r="N2330" s="4" t="inlineStr">
        <is>
          <t>IOS Owner</t>
        </is>
      </c>
      <c r="O2330" s="4" t="n"/>
      <c r="P2330" s="4" t="n"/>
      <c r="Q2330" s="4" t="inlineStr">
        <is>
          <t>MAESTRO-IOS-PERSONAL-LIFESTYLE-2329 | Hobbies | 8675.83</t>
        </is>
      </c>
      <c r="R2330" s="4" t="inlineStr">
        <is>
          <t>iPhone</t>
        </is>
      </c>
      <c r="S2330" s="4" t="inlineStr">
        <is>
          <t>B47</t>
        </is>
      </c>
      <c r="T2330" s="4" t="inlineStr">
        <is>
          <t>RAMP_1501_2500</t>
        </is>
      </c>
      <c r="U2330" s="4" t="inlineStr">
        <is>
          <t>CREATED</t>
        </is>
      </c>
      <c r="V2330" s="4" t="inlineStr">
        <is>
          <t>idem-20260902-ios-2329</t>
        </is>
      </c>
    </row>
    <row r="2331" ht="30" customHeight="1">
      <c r="A2331" s="4" t="n">
        <v>2330</v>
      </c>
      <c r="B2331" s="4" t="inlineStr">
        <is>
          <t>MTR-IOS-2330</t>
        </is>
      </c>
      <c r="C2331" s="4" t="inlineStr">
        <is>
          <t>Group</t>
        </is>
      </c>
      <c r="D2331" s="4" t="inlineStr">
        <is>
          <t>Shared Experience</t>
        </is>
      </c>
      <c r="E2331" s="4" t="inlineStr">
        <is>
          <t>House Party</t>
        </is>
      </c>
      <c r="F2331" s="4" t="inlineStr">
        <is>
          <t>Supplies</t>
        </is>
      </c>
      <c r="G2331" s="4" t="inlineStr">
        <is>
          <t>Expense</t>
        </is>
      </c>
      <c r="H2331" s="12" t="n">
        <v>46059</v>
      </c>
      <c r="I2331" s="13" t="n">
        <v>0.8705324074074074</v>
      </c>
      <c r="J2331" s="14" t="n">
        <v>46059.87053240741</v>
      </c>
      <c r="K2331" s="15" t="n">
        <v>5561.21</v>
      </c>
      <c r="L2331" s="4" t="inlineStr">
        <is>
          <t>INR</t>
        </is>
      </c>
      <c r="M2331" s="15" t="n">
        <v>-5561.21</v>
      </c>
      <c r="N2331" s="4" t="inlineStr">
        <is>
          <t>IOS Meera</t>
        </is>
      </c>
      <c r="O2331" s="4" t="n">
        <v>3</v>
      </c>
      <c r="P2331" s="4" t="inlineStr">
        <is>
          <t>EQUAL</t>
        </is>
      </c>
      <c r="Q2331" s="4" t="inlineStr">
        <is>
          <t>MAESTRO-IOS-GROUP-HOUSE_PARTY-2330 | Supplies | 5561.21</t>
        </is>
      </c>
      <c r="R2331" s="4" t="inlineStr">
        <is>
          <t>iPhone</t>
        </is>
      </c>
      <c r="S2331" s="4" t="inlineStr">
        <is>
          <t>B47</t>
        </is>
      </c>
      <c r="T2331" s="4" t="inlineStr">
        <is>
          <t>RAMP_1501_2500</t>
        </is>
      </c>
      <c r="U2331" s="4" t="inlineStr">
        <is>
          <t>CREATED</t>
        </is>
      </c>
      <c r="V2331" s="4" t="inlineStr">
        <is>
          <t>idem-20260902-ios-2330</t>
        </is>
      </c>
    </row>
    <row r="2332" ht="30" customHeight="1">
      <c r="A2332" s="4" t="n">
        <v>2331</v>
      </c>
      <c r="B2332" s="4" t="inlineStr">
        <is>
          <t>MTR-IOS-2331</t>
        </is>
      </c>
      <c r="C2332" s="4" t="inlineStr">
        <is>
          <t>Business</t>
        </is>
      </c>
      <c r="D2332" s="4" t="inlineStr">
        <is>
          <t>Business</t>
        </is>
      </c>
      <c r="E2332" s="4" t="inlineStr">
        <is>
          <t>Business Operations</t>
        </is>
      </c>
      <c r="F2332" s="4" t="inlineStr">
        <is>
          <t>Tax</t>
        </is>
      </c>
      <c r="G2332" s="4" t="inlineStr">
        <is>
          <t>Expense</t>
        </is>
      </c>
      <c r="H2332" s="12" t="n">
        <v>46215</v>
      </c>
      <c r="I2332" s="13" t="n">
        <v>0.3980092592592593</v>
      </c>
      <c r="J2332" s="14" t="n">
        <v>46215.39800925926</v>
      </c>
      <c r="K2332" s="15" t="n">
        <v>100</v>
      </c>
      <c r="L2332" s="4" t="inlineStr">
        <is>
          <t>INR</t>
        </is>
      </c>
      <c r="M2332" s="15" t="n">
        <v>-100</v>
      </c>
      <c r="N2332" s="4" t="inlineStr">
        <is>
          <t>IOS Owner</t>
        </is>
      </c>
      <c r="O2332" s="4" t="n"/>
      <c r="P2332" s="4" t="n"/>
      <c r="Q2332" s="4" t="inlineStr">
        <is>
          <t>MAESTRO-IOS-BUSINESS-BUSINESS_OPERATIONS-2331 | Tax | 100.00</t>
        </is>
      </c>
      <c r="R2332" s="4" t="inlineStr">
        <is>
          <t>iPhone</t>
        </is>
      </c>
      <c r="S2332" s="4" t="inlineStr">
        <is>
          <t>B47</t>
        </is>
      </c>
      <c r="T2332" s="4" t="inlineStr">
        <is>
          <t>RAMP_1501_2500</t>
        </is>
      </c>
      <c r="U2332" s="4" t="inlineStr">
        <is>
          <t>CREATED</t>
        </is>
      </c>
      <c r="V2332" s="4" t="inlineStr">
        <is>
          <t>idem-20260902-ios-2331</t>
        </is>
      </c>
    </row>
    <row r="2333" ht="30" customHeight="1">
      <c r="A2333" s="4" t="n">
        <v>2332</v>
      </c>
      <c r="B2333" s="4" t="inlineStr">
        <is>
          <t>MTR-IOS-2332</t>
        </is>
      </c>
      <c r="C2333" s="4" t="inlineStr">
        <is>
          <t>Personal</t>
        </is>
      </c>
      <c r="D2333" s="4" t="inlineStr">
        <is>
          <t>Personal</t>
        </is>
      </c>
      <c r="E2333" s="4" t="inlineStr">
        <is>
          <t>Relationships</t>
        </is>
      </c>
      <c r="F2333" s="4" t="inlineStr">
        <is>
          <t>Gifts</t>
        </is>
      </c>
      <c r="G2333" s="4" t="inlineStr">
        <is>
          <t>Expense</t>
        </is>
      </c>
      <c r="H2333" s="12" t="n">
        <v>45944</v>
      </c>
      <c r="I2333" s="13" t="n">
        <v>0.4442361111111111</v>
      </c>
      <c r="J2333" s="14" t="n">
        <v>45944.44423611111</v>
      </c>
      <c r="K2333" s="15" t="n">
        <v>14324.68</v>
      </c>
      <c r="L2333" s="4" t="inlineStr">
        <is>
          <t>INR</t>
        </is>
      </c>
      <c r="M2333" s="15" t="n">
        <v>-14324.68</v>
      </c>
      <c r="N2333" s="4" t="inlineStr">
        <is>
          <t>IOS Owner</t>
        </is>
      </c>
      <c r="O2333" s="4" t="n"/>
      <c r="P2333" s="4" t="n"/>
      <c r="Q2333" s="4" t="inlineStr">
        <is>
          <t>MAESTRO-IOS-PERSONAL-RELATIONSHIPS-2332 | Gifts | 14324.68</t>
        </is>
      </c>
      <c r="R2333" s="4" t="inlineStr">
        <is>
          <t>iPhone</t>
        </is>
      </c>
      <c r="S2333" s="4" t="inlineStr">
        <is>
          <t>B47</t>
        </is>
      </c>
      <c r="T2333" s="4" t="inlineStr">
        <is>
          <t>RAMP_1501_2500</t>
        </is>
      </c>
      <c r="U2333" s="4" t="inlineStr">
        <is>
          <t>CREATED</t>
        </is>
      </c>
      <c r="V2333" s="4" t="inlineStr">
        <is>
          <t>idem-20260902-ios-2332</t>
        </is>
      </c>
    </row>
    <row r="2334" ht="30" customHeight="1">
      <c r="A2334" s="4" t="n">
        <v>2333</v>
      </c>
      <c r="B2334" s="4" t="inlineStr">
        <is>
          <t>MTR-IOS-2333</t>
        </is>
      </c>
      <c r="C2334" s="4" t="inlineStr">
        <is>
          <t>Group</t>
        </is>
      </c>
      <c r="D2334" s="4" t="inlineStr">
        <is>
          <t>Shared Experience</t>
        </is>
      </c>
      <c r="E2334" s="4" t="inlineStr">
        <is>
          <t>House Party</t>
        </is>
      </c>
      <c r="F2334" s="4" t="inlineStr">
        <is>
          <t>Other</t>
        </is>
      </c>
      <c r="G2334" s="4" t="inlineStr">
        <is>
          <t>Expense</t>
        </is>
      </c>
      <c r="H2334" s="12" t="n">
        <v>46177</v>
      </c>
      <c r="I2334" s="13" t="n">
        <v>0.6708449074074074</v>
      </c>
      <c r="J2334" s="14" t="n">
        <v>46177.67084490741</v>
      </c>
      <c r="K2334" s="15" t="n">
        <v>11258.53</v>
      </c>
      <c r="L2334" s="4" t="inlineStr">
        <is>
          <t>INR</t>
        </is>
      </c>
      <c r="M2334" s="15" t="n">
        <v>-11258.53</v>
      </c>
      <c r="N2334" s="4" t="inlineStr">
        <is>
          <t>IOS Owner</t>
        </is>
      </c>
      <c r="O2334" s="4" t="n">
        <v>3</v>
      </c>
      <c r="P2334" s="4" t="inlineStr">
        <is>
          <t>PERCENTAGE</t>
        </is>
      </c>
      <c r="Q2334" s="4" t="inlineStr">
        <is>
          <t>MAESTRO-IOS-GROUP-HOUSE_PARTY-2333 | Other | 11258.53</t>
        </is>
      </c>
      <c r="R2334" s="4" t="inlineStr">
        <is>
          <t>iPhone</t>
        </is>
      </c>
      <c r="S2334" s="4" t="inlineStr">
        <is>
          <t>B47</t>
        </is>
      </c>
      <c r="T2334" s="4" t="inlineStr">
        <is>
          <t>RAMP_1501_2500</t>
        </is>
      </c>
      <c r="U2334" s="4" t="inlineStr">
        <is>
          <t>CREATED</t>
        </is>
      </c>
      <c r="V2334" s="4" t="inlineStr">
        <is>
          <t>idem-20260902-ios-2333</t>
        </is>
      </c>
    </row>
    <row r="2335" ht="30" customHeight="1">
      <c r="A2335" s="4" t="n">
        <v>2334</v>
      </c>
      <c r="B2335" s="4" t="inlineStr">
        <is>
          <t>MTR-IOS-2334</t>
        </is>
      </c>
      <c r="C2335" s="4" t="inlineStr">
        <is>
          <t>Business</t>
        </is>
      </c>
      <c r="D2335" s="4" t="inlineStr">
        <is>
          <t>Business</t>
        </is>
      </c>
      <c r="E2335" s="4" t="inlineStr">
        <is>
          <t>Team Operations</t>
        </is>
      </c>
      <c r="F2335" s="4" t="inlineStr">
        <is>
          <t>Payroll</t>
        </is>
      </c>
      <c r="G2335" s="4" t="inlineStr">
        <is>
          <t>Expense</t>
        </is>
      </c>
      <c r="H2335" s="12" t="n">
        <v>46120</v>
      </c>
      <c r="I2335" s="13" t="n">
        <v>0.6864351851851852</v>
      </c>
      <c r="J2335" s="14" t="n">
        <v>46120.68643518518</v>
      </c>
      <c r="K2335" s="15" t="n">
        <v>128895.18</v>
      </c>
      <c r="L2335" s="4" t="inlineStr">
        <is>
          <t>INR</t>
        </is>
      </c>
      <c r="M2335" s="15" t="n">
        <v>-128895.18</v>
      </c>
      <c r="N2335" s="4" t="inlineStr">
        <is>
          <t>IOS Owner</t>
        </is>
      </c>
      <c r="O2335" s="4" t="n"/>
      <c r="P2335" s="4" t="n"/>
      <c r="Q2335" s="4" t="inlineStr">
        <is>
          <t>MAESTRO-IOS-BUSINESS-TEAM_OPERATIONS-2334 | Payroll | 128895.18</t>
        </is>
      </c>
      <c r="R2335" s="4" t="inlineStr">
        <is>
          <t>iPhone</t>
        </is>
      </c>
      <c r="S2335" s="4" t="inlineStr">
        <is>
          <t>B47</t>
        </is>
      </c>
      <c r="T2335" s="4" t="inlineStr">
        <is>
          <t>RAMP_1501_2500</t>
        </is>
      </c>
      <c r="U2335" s="4" t="inlineStr">
        <is>
          <t>CREATED</t>
        </is>
      </c>
      <c r="V2335" s="4" t="inlineStr">
        <is>
          <t>idem-20260902-ios-2334</t>
        </is>
      </c>
    </row>
    <row r="2336" ht="30" customHeight="1">
      <c r="A2336" s="4" t="n">
        <v>2335</v>
      </c>
      <c r="B2336" s="4" t="inlineStr">
        <is>
          <t>MTR-IOS-2335</t>
        </is>
      </c>
      <c r="C2336" s="4" t="inlineStr">
        <is>
          <t>Personal</t>
        </is>
      </c>
      <c r="D2336" s="4" t="inlineStr">
        <is>
          <t>Personal</t>
        </is>
      </c>
      <c r="E2336" s="4" t="inlineStr">
        <is>
          <t>Relationships</t>
        </is>
      </c>
      <c r="F2336" s="4" t="inlineStr">
        <is>
          <t>Dates</t>
        </is>
      </c>
      <c r="G2336" s="4" t="inlineStr">
        <is>
          <t>Expense</t>
        </is>
      </c>
      <c r="H2336" s="12" t="n">
        <v>45918</v>
      </c>
      <c r="I2336" s="13" t="n">
        <v>0.6417939814814815</v>
      </c>
      <c r="J2336" s="14" t="n">
        <v>45918.64179398148</v>
      </c>
      <c r="K2336" s="15" t="n">
        <v>15335.41</v>
      </c>
      <c r="L2336" s="4" t="inlineStr">
        <is>
          <t>INR</t>
        </is>
      </c>
      <c r="M2336" s="15" t="n">
        <v>-15335.41</v>
      </c>
      <c r="N2336" s="4" t="inlineStr">
        <is>
          <t>IOS Owner</t>
        </is>
      </c>
      <c r="O2336" s="4" t="n"/>
      <c r="P2336" s="4" t="n"/>
      <c r="Q2336" s="4" t="inlineStr">
        <is>
          <t>MAESTRO-IOS-PERSONAL-RELATIONSHIPS-2335 | Dates | 15335.41</t>
        </is>
      </c>
      <c r="R2336" s="4" t="inlineStr">
        <is>
          <t>iPhone</t>
        </is>
      </c>
      <c r="S2336" s="4" t="inlineStr">
        <is>
          <t>B47</t>
        </is>
      </c>
      <c r="T2336" s="4" t="inlineStr">
        <is>
          <t>RAMP_1501_2500</t>
        </is>
      </c>
      <c r="U2336" s="4" t="inlineStr">
        <is>
          <t>CREATED</t>
        </is>
      </c>
      <c r="V2336" s="4" t="inlineStr">
        <is>
          <t>idem-20260902-ios-2335</t>
        </is>
      </c>
    </row>
    <row r="2337" ht="30" customHeight="1">
      <c r="A2337" s="4" t="n">
        <v>2336</v>
      </c>
      <c r="B2337" s="4" t="inlineStr">
        <is>
          <t>MTR-IOS-2336</t>
        </is>
      </c>
      <c r="C2337" s="4" t="inlineStr">
        <is>
          <t>Group</t>
        </is>
      </c>
      <c r="D2337" s="4" t="inlineStr">
        <is>
          <t>Shared Purchase</t>
        </is>
      </c>
      <c r="E2337" s="4" t="inlineStr">
        <is>
          <t>Gift Pool</t>
        </is>
      </c>
      <c r="F2337" s="4" t="inlineStr">
        <is>
          <t>Contribution</t>
        </is>
      </c>
      <c r="G2337" s="4" t="inlineStr">
        <is>
          <t>Contribution</t>
        </is>
      </c>
      <c r="H2337" s="12" t="n">
        <v>46223</v>
      </c>
      <c r="I2337" s="13" t="n">
        <v>0.4267013888888889</v>
      </c>
      <c r="J2337" s="14" t="n">
        <v>46223.42670138889</v>
      </c>
      <c r="K2337" s="15" t="n">
        <v>707.63</v>
      </c>
      <c r="L2337" s="4" t="inlineStr">
        <is>
          <t>INR</t>
        </is>
      </c>
      <c r="M2337" s="15" t="n">
        <v>707.63</v>
      </c>
      <c r="N2337" s="4" t="inlineStr">
        <is>
          <t>IOS Aarav</t>
        </is>
      </c>
      <c r="O2337" s="4" t="n">
        <v>3</v>
      </c>
      <c r="P2337" s="4" t="inlineStr">
        <is>
          <t>EXACT</t>
        </is>
      </c>
      <c r="Q2337" s="4" t="inlineStr">
        <is>
          <t>MAESTRO-IOS-GROUP-GIFT_POOL-2336 | Contribution | 707.63</t>
        </is>
      </c>
      <c r="R2337" s="4" t="inlineStr">
        <is>
          <t>iPhone</t>
        </is>
      </c>
      <c r="S2337" s="4" t="inlineStr">
        <is>
          <t>B47</t>
        </is>
      </c>
      <c r="T2337" s="4" t="inlineStr">
        <is>
          <t>RAMP_1501_2500</t>
        </is>
      </c>
      <c r="U2337" s="4" t="inlineStr">
        <is>
          <t>CREATED</t>
        </is>
      </c>
      <c r="V2337" s="4" t="inlineStr">
        <is>
          <t>idem-20260902-ios-2336</t>
        </is>
      </c>
    </row>
    <row r="2338" ht="30" customHeight="1">
      <c r="A2338" s="4" t="n">
        <v>2337</v>
      </c>
      <c r="B2338" s="4" t="inlineStr">
        <is>
          <t>MTR-IOS-2337</t>
        </is>
      </c>
      <c r="C2338" s="4" t="inlineStr">
        <is>
          <t>Business</t>
        </is>
      </c>
      <c r="D2338" s="4" t="inlineStr">
        <is>
          <t>Business</t>
        </is>
      </c>
      <c r="E2338" s="4" t="inlineStr">
        <is>
          <t>Team Operations</t>
        </is>
      </c>
      <c r="F2338" s="4" t="inlineStr">
        <is>
          <t>Contractor</t>
        </is>
      </c>
      <c r="G2338" s="4" t="inlineStr">
        <is>
          <t>Expense</t>
        </is>
      </c>
      <c r="H2338" s="12" t="n">
        <v>46126</v>
      </c>
      <c r="I2338" s="13" t="n">
        <v>0.318113425925926</v>
      </c>
      <c r="J2338" s="14" t="n">
        <v>46126.31811342593</v>
      </c>
      <c r="K2338" s="15" t="n">
        <v>71410.88</v>
      </c>
      <c r="L2338" s="4" t="inlineStr">
        <is>
          <t>INR</t>
        </is>
      </c>
      <c r="M2338" s="15" t="n">
        <v>-71410.88</v>
      </c>
      <c r="N2338" s="4" t="inlineStr">
        <is>
          <t>IOS Owner</t>
        </is>
      </c>
      <c r="O2338" s="4" t="n"/>
      <c r="P2338" s="4" t="n"/>
      <c r="Q2338" s="4" t="inlineStr">
        <is>
          <t>MAESTRO-IOS-BUSINESS-TEAM_OPERATIONS-2337 | Contractor | 71410.88</t>
        </is>
      </c>
      <c r="R2338" s="4" t="inlineStr">
        <is>
          <t>iPhone</t>
        </is>
      </c>
      <c r="S2338" s="4" t="inlineStr">
        <is>
          <t>B47</t>
        </is>
      </c>
      <c r="T2338" s="4" t="inlineStr">
        <is>
          <t>RAMP_1501_2500</t>
        </is>
      </c>
      <c r="U2338" s="4" t="inlineStr">
        <is>
          <t>CREATED</t>
        </is>
      </c>
      <c r="V2338" s="4" t="inlineStr">
        <is>
          <t>idem-20260902-ios-2337</t>
        </is>
      </c>
    </row>
    <row r="2339" ht="30" customHeight="1">
      <c r="A2339" s="4" t="n">
        <v>2338</v>
      </c>
      <c r="B2339" s="4" t="inlineStr">
        <is>
          <t>MTR-IOS-2338</t>
        </is>
      </c>
      <c r="C2339" s="4" t="inlineStr">
        <is>
          <t>Personal</t>
        </is>
      </c>
      <c r="D2339" s="4" t="inlineStr">
        <is>
          <t>Personal</t>
        </is>
      </c>
      <c r="E2339" s="4" t="inlineStr">
        <is>
          <t>Relationships</t>
        </is>
      </c>
      <c r="F2339" s="4" t="inlineStr">
        <is>
          <t>Family</t>
        </is>
      </c>
      <c r="G2339" s="4" t="inlineStr">
        <is>
          <t>Expense</t>
        </is>
      </c>
      <c r="H2339" s="12" t="n">
        <v>46132</v>
      </c>
      <c r="I2339" s="13" t="n">
        <v>0.06732638888888889</v>
      </c>
      <c r="J2339" s="14" t="n">
        <v>46132.06732638889</v>
      </c>
      <c r="K2339" s="15" t="n">
        <v>12438.29</v>
      </c>
      <c r="L2339" s="4" t="inlineStr">
        <is>
          <t>INR</t>
        </is>
      </c>
      <c r="M2339" s="15" t="n">
        <v>-12438.29</v>
      </c>
      <c r="N2339" s="4" t="inlineStr">
        <is>
          <t>IOS Owner</t>
        </is>
      </c>
      <c r="O2339" s="4" t="n"/>
      <c r="P2339" s="4" t="n"/>
      <c r="Q2339" s="4" t="inlineStr">
        <is>
          <t>MAESTRO-IOS-PERSONAL-RELATIONSHIPS-2338 | Family | 12438.29</t>
        </is>
      </c>
      <c r="R2339" s="4" t="inlineStr">
        <is>
          <t>iPhone</t>
        </is>
      </c>
      <c r="S2339" s="4" t="inlineStr">
        <is>
          <t>B47</t>
        </is>
      </c>
      <c r="T2339" s="4" t="inlineStr">
        <is>
          <t>RAMP_1501_2500</t>
        </is>
      </c>
      <c r="U2339" s="4" t="inlineStr">
        <is>
          <t>CREATED</t>
        </is>
      </c>
      <c r="V2339" s="4" t="inlineStr">
        <is>
          <t>idem-20260902-ios-2338</t>
        </is>
      </c>
    </row>
    <row r="2340" ht="30" customHeight="1">
      <c r="A2340" s="4" t="n">
        <v>2339</v>
      </c>
      <c r="B2340" s="4" t="inlineStr">
        <is>
          <t>MTR-IOS-2339</t>
        </is>
      </c>
      <c r="C2340" s="4" t="inlineStr">
        <is>
          <t>Group</t>
        </is>
      </c>
      <c r="D2340" s="4" t="inlineStr">
        <is>
          <t>Shared Purchase</t>
        </is>
      </c>
      <c r="E2340" s="4" t="inlineStr">
        <is>
          <t>Gift Pool</t>
        </is>
      </c>
      <c r="F2340" s="4" t="inlineStr">
        <is>
          <t>Gift Purchase</t>
        </is>
      </c>
      <c r="G2340" s="4" t="inlineStr">
        <is>
          <t>Expense</t>
        </is>
      </c>
      <c r="H2340" s="12" t="n">
        <v>46117</v>
      </c>
      <c r="I2340" s="13" t="n">
        <v>0.178900462962963</v>
      </c>
      <c r="J2340" s="14" t="n">
        <v>46117.17890046296</v>
      </c>
      <c r="K2340" s="15" t="n">
        <v>8689.379999999999</v>
      </c>
      <c r="L2340" s="4" t="inlineStr">
        <is>
          <t>INR</t>
        </is>
      </c>
      <c r="M2340" s="15" t="n">
        <v>-8689.379999999999</v>
      </c>
      <c r="N2340" s="4" t="inlineStr">
        <is>
          <t>IOS Meera</t>
        </is>
      </c>
      <c r="O2340" s="4" t="n">
        <v>3</v>
      </c>
      <c r="P2340" s="4" t="inlineStr">
        <is>
          <t>SHARES</t>
        </is>
      </c>
      <c r="Q2340" s="4" t="inlineStr">
        <is>
          <t>MAESTRO-IOS-GROUP-GIFT_POOL-2339 | Gift Purchase | 8689.38</t>
        </is>
      </c>
      <c r="R2340" s="4" t="inlineStr">
        <is>
          <t>iPhone</t>
        </is>
      </c>
      <c r="S2340" s="4" t="inlineStr">
        <is>
          <t>B47</t>
        </is>
      </c>
      <c r="T2340" s="4" t="inlineStr">
        <is>
          <t>RAMP_1501_2500</t>
        </is>
      </c>
      <c r="U2340" s="4" t="inlineStr">
        <is>
          <t>CREATED</t>
        </is>
      </c>
      <c r="V2340" s="4" t="inlineStr">
        <is>
          <t>idem-20260902-ios-2339</t>
        </is>
      </c>
    </row>
    <row r="2341" ht="30" customHeight="1">
      <c r="A2341" s="4" t="n">
        <v>2340</v>
      </c>
      <c r="B2341" s="4" t="inlineStr">
        <is>
          <t>MTR-IOS-2340</t>
        </is>
      </c>
      <c r="C2341" s="4" t="inlineStr">
        <is>
          <t>Business</t>
        </is>
      </c>
      <c r="D2341" s="4" t="inlineStr">
        <is>
          <t>Business</t>
        </is>
      </c>
      <c r="E2341" s="4" t="inlineStr">
        <is>
          <t>Team Operations</t>
        </is>
      </c>
      <c r="F2341" s="4" t="inlineStr">
        <is>
          <t>Hiring</t>
        </is>
      </c>
      <c r="G2341" s="4" t="inlineStr">
        <is>
          <t>Expense</t>
        </is>
      </c>
      <c r="H2341" s="12" t="n">
        <v>45966</v>
      </c>
      <c r="I2341" s="13" t="n">
        <v>0.1465509259259259</v>
      </c>
      <c r="J2341" s="14" t="n">
        <v>45966.14655092593</v>
      </c>
      <c r="K2341" s="15" t="n">
        <v>138304.71</v>
      </c>
      <c r="L2341" s="4" t="inlineStr">
        <is>
          <t>INR</t>
        </is>
      </c>
      <c r="M2341" s="15" t="n">
        <v>-138304.71</v>
      </c>
      <c r="N2341" s="4" t="inlineStr">
        <is>
          <t>IOS Owner</t>
        </is>
      </c>
      <c r="O2341" s="4" t="n"/>
      <c r="P2341" s="4" t="n"/>
      <c r="Q2341" s="4" t="inlineStr">
        <is>
          <t>MAESTRO-IOS-BUSINESS-TEAM_OPERATIONS-2340 | Hiring | 138304.71</t>
        </is>
      </c>
      <c r="R2341" s="4" t="inlineStr">
        <is>
          <t>iPhone</t>
        </is>
      </c>
      <c r="S2341" s="4" t="inlineStr">
        <is>
          <t>B47</t>
        </is>
      </c>
      <c r="T2341" s="4" t="inlineStr">
        <is>
          <t>RAMP_1501_2500</t>
        </is>
      </c>
      <c r="U2341" s="4" t="inlineStr">
        <is>
          <t>CREATED</t>
        </is>
      </c>
      <c r="V2341" s="4" t="inlineStr">
        <is>
          <t>idem-20260902-ios-2340</t>
        </is>
      </c>
    </row>
    <row r="2342" ht="30" customHeight="1">
      <c r="A2342" s="4" t="n">
        <v>2341</v>
      </c>
      <c r="B2342" s="4" t="inlineStr">
        <is>
          <t>MTR-IOS-2341</t>
        </is>
      </c>
      <c r="C2342" s="4" t="inlineStr">
        <is>
          <t>Personal</t>
        </is>
      </c>
      <c r="D2342" s="4" t="inlineStr">
        <is>
          <t>Personal</t>
        </is>
      </c>
      <c r="E2342" s="4" t="inlineStr">
        <is>
          <t>Relationships</t>
        </is>
      </c>
      <c r="F2342" s="4" t="inlineStr">
        <is>
          <t>Friends</t>
        </is>
      </c>
      <c r="G2342" s="4" t="inlineStr">
        <is>
          <t>Expense</t>
        </is>
      </c>
      <c r="H2342" s="12" t="n">
        <v>46054</v>
      </c>
      <c r="I2342" s="13" t="n">
        <v>0.05310185185185185</v>
      </c>
      <c r="J2342" s="14" t="n">
        <v>46054.05310185185</v>
      </c>
      <c r="K2342" s="15" t="n">
        <v>9423.33</v>
      </c>
      <c r="L2342" s="4" t="inlineStr">
        <is>
          <t>INR</t>
        </is>
      </c>
      <c r="M2342" s="15" t="n">
        <v>-9423.33</v>
      </c>
      <c r="N2342" s="4" t="inlineStr">
        <is>
          <t>IOS Owner</t>
        </is>
      </c>
      <c r="O2342" s="4" t="n"/>
      <c r="P2342" s="4" t="n"/>
      <c r="Q2342" s="4" t="inlineStr">
        <is>
          <t>MAESTRO-IOS-PERSONAL-RELATIONSHIPS-2341 | Friends | 9423.33</t>
        </is>
      </c>
      <c r="R2342" s="4" t="inlineStr">
        <is>
          <t>iPhone</t>
        </is>
      </c>
      <c r="S2342" s="4" t="inlineStr">
        <is>
          <t>B47</t>
        </is>
      </c>
      <c r="T2342" s="4" t="inlineStr">
        <is>
          <t>RAMP_1501_2500</t>
        </is>
      </c>
      <c r="U2342" s="4" t="inlineStr">
        <is>
          <t>CREATED</t>
        </is>
      </c>
      <c r="V2342" s="4" t="inlineStr">
        <is>
          <t>idem-20260902-ios-2341</t>
        </is>
      </c>
    </row>
    <row r="2343" ht="30" customHeight="1">
      <c r="A2343" s="4" t="n">
        <v>2342</v>
      </c>
      <c r="B2343" s="4" t="inlineStr">
        <is>
          <t>MTR-IOS-2342</t>
        </is>
      </c>
      <c r="C2343" s="4" t="inlineStr">
        <is>
          <t>Group</t>
        </is>
      </c>
      <c r="D2343" s="4" t="inlineStr">
        <is>
          <t>Shared Purchase</t>
        </is>
      </c>
      <c r="E2343" s="4" t="inlineStr">
        <is>
          <t>Gift Pool</t>
        </is>
      </c>
      <c r="F2343" s="4" t="inlineStr">
        <is>
          <t>Delivery</t>
        </is>
      </c>
      <c r="G2343" s="4" t="inlineStr">
        <is>
          <t>Expense</t>
        </is>
      </c>
      <c r="H2343" s="12" t="n">
        <v>45981</v>
      </c>
      <c r="I2343" s="13" t="n">
        <v>0.6324537037037037</v>
      </c>
      <c r="J2343" s="14" t="n">
        <v>45981.63245370371</v>
      </c>
      <c r="K2343" s="15" t="n">
        <v>15191.17</v>
      </c>
      <c r="L2343" s="4" t="inlineStr">
        <is>
          <t>INR</t>
        </is>
      </c>
      <c r="M2343" s="15" t="n">
        <v>-15191.17</v>
      </c>
      <c r="N2343" s="4" t="inlineStr">
        <is>
          <t>IOS Owner</t>
        </is>
      </c>
      <c r="O2343" s="4" t="n">
        <v>3</v>
      </c>
      <c r="P2343" s="4" t="inlineStr">
        <is>
          <t>EQUAL</t>
        </is>
      </c>
      <c r="Q2343" s="4" t="inlineStr">
        <is>
          <t>MAESTRO-IOS-GROUP-GIFT_POOL-2342 | Delivery | 15191.17</t>
        </is>
      </c>
      <c r="R2343" s="4" t="inlineStr">
        <is>
          <t>iPhone</t>
        </is>
      </c>
      <c r="S2343" s="4" t="inlineStr">
        <is>
          <t>B47</t>
        </is>
      </c>
      <c r="T2343" s="4" t="inlineStr">
        <is>
          <t>RAMP_1501_2500</t>
        </is>
      </c>
      <c r="U2343" s="4" t="inlineStr">
        <is>
          <t>CREATED</t>
        </is>
      </c>
      <c r="V2343" s="4" t="inlineStr">
        <is>
          <t>idem-20260902-ios-2342</t>
        </is>
      </c>
    </row>
    <row r="2344" ht="30" customHeight="1">
      <c r="A2344" s="4" t="n">
        <v>2343</v>
      </c>
      <c r="B2344" s="4" t="inlineStr">
        <is>
          <t>MTR-IOS-2343</t>
        </is>
      </c>
      <c r="C2344" s="4" t="inlineStr">
        <is>
          <t>Business</t>
        </is>
      </c>
      <c r="D2344" s="4" t="inlineStr">
        <is>
          <t>Business</t>
        </is>
      </c>
      <c r="E2344" s="4" t="inlineStr">
        <is>
          <t>Team Operations</t>
        </is>
      </c>
      <c r="F2344" s="4" t="inlineStr">
        <is>
          <t>Team Meal</t>
        </is>
      </c>
      <c r="G2344" s="4" t="inlineStr">
        <is>
          <t>Expense</t>
        </is>
      </c>
      <c r="H2344" s="12" t="n">
        <v>45938</v>
      </c>
      <c r="I2344" s="13" t="n">
        <v>0.9834375</v>
      </c>
      <c r="J2344" s="14" t="n">
        <v>45938.9834375</v>
      </c>
      <c r="K2344" s="15" t="n">
        <v>86208.21000000001</v>
      </c>
      <c r="L2344" s="4" t="inlineStr">
        <is>
          <t>INR</t>
        </is>
      </c>
      <c r="M2344" s="15" t="n">
        <v>-86208.21000000001</v>
      </c>
      <c r="N2344" s="4" t="inlineStr">
        <is>
          <t>IOS Owner</t>
        </is>
      </c>
      <c r="O2344" s="4" t="n"/>
      <c r="P2344" s="4" t="n"/>
      <c r="Q2344" s="4" t="inlineStr">
        <is>
          <t>MAESTRO-IOS-BUSINESS-TEAM_OPERATIONS-2343 | Team Meal | 86208.21</t>
        </is>
      </c>
      <c r="R2344" s="4" t="inlineStr">
        <is>
          <t>iPhone</t>
        </is>
      </c>
      <c r="S2344" s="4" t="inlineStr">
        <is>
          <t>B47</t>
        </is>
      </c>
      <c r="T2344" s="4" t="inlineStr">
        <is>
          <t>RAMP_1501_2500</t>
        </is>
      </c>
      <c r="U2344" s="4" t="inlineStr">
        <is>
          <t>CREATED</t>
        </is>
      </c>
      <c r="V2344" s="4" t="inlineStr">
        <is>
          <t>idem-20260902-ios-2343</t>
        </is>
      </c>
    </row>
    <row r="2345" ht="30" customHeight="1">
      <c r="A2345" s="4" t="n">
        <v>2344</v>
      </c>
      <c r="B2345" s="4" t="inlineStr">
        <is>
          <t>MTR-IOS-2344</t>
        </is>
      </c>
      <c r="C2345" s="4" t="inlineStr">
        <is>
          <t>Personal</t>
        </is>
      </c>
      <c r="D2345" s="4" t="inlineStr">
        <is>
          <t>Personal</t>
        </is>
      </c>
      <c r="E2345" s="4" t="inlineStr">
        <is>
          <t>Relationships</t>
        </is>
      </c>
      <c r="F2345" s="4" t="inlineStr">
        <is>
          <t>Celebrations</t>
        </is>
      </c>
      <c r="G2345" s="4" t="inlineStr">
        <is>
          <t>Expense</t>
        </is>
      </c>
      <c r="H2345" s="12" t="n">
        <v>46093</v>
      </c>
      <c r="I2345" s="13" t="n">
        <v>0.6387962962962963</v>
      </c>
      <c r="J2345" s="14" t="n">
        <v>46093.6387962963</v>
      </c>
      <c r="K2345" s="15" t="n">
        <v>10746.74</v>
      </c>
      <c r="L2345" s="4" t="inlineStr">
        <is>
          <t>INR</t>
        </is>
      </c>
      <c r="M2345" s="15" t="n">
        <v>-10746.74</v>
      </c>
      <c r="N2345" s="4" t="inlineStr">
        <is>
          <t>IOS Owner</t>
        </is>
      </c>
      <c r="O2345" s="4" t="n"/>
      <c r="P2345" s="4" t="n"/>
      <c r="Q2345" s="4" t="inlineStr">
        <is>
          <t>MAESTRO-IOS-PERSONAL-RELATIONSHIPS-2344 | Celebrations | 10746.74</t>
        </is>
      </c>
      <c r="R2345" s="4" t="inlineStr">
        <is>
          <t>iPhone</t>
        </is>
      </c>
      <c r="S2345" s="4" t="inlineStr">
        <is>
          <t>B47</t>
        </is>
      </c>
      <c r="T2345" s="4" t="inlineStr">
        <is>
          <t>RAMP_1501_2500</t>
        </is>
      </c>
      <c r="U2345" s="4" t="inlineStr">
        <is>
          <t>CREATED</t>
        </is>
      </c>
      <c r="V2345" s="4" t="inlineStr">
        <is>
          <t>idem-20260902-ios-2344</t>
        </is>
      </c>
    </row>
    <row r="2346" ht="30" customHeight="1">
      <c r="A2346" s="4" t="n">
        <v>2345</v>
      </c>
      <c r="B2346" s="4" t="inlineStr">
        <is>
          <t>MTR-IOS-2345</t>
        </is>
      </c>
      <c r="C2346" s="4" t="inlineStr">
        <is>
          <t>Group</t>
        </is>
      </c>
      <c r="D2346" s="4" t="inlineStr">
        <is>
          <t>Shared Purchase</t>
        </is>
      </c>
      <c r="E2346" s="4" t="inlineStr">
        <is>
          <t>Gift Pool</t>
        </is>
      </c>
      <c r="F2346" s="4" t="inlineStr">
        <is>
          <t>Other</t>
        </is>
      </c>
      <c r="G2346" s="4" t="inlineStr">
        <is>
          <t>Expense</t>
        </is>
      </c>
      <c r="H2346" s="12" t="n">
        <v>46209</v>
      </c>
      <c r="I2346" s="13" t="n">
        <v>0.5406828703703703</v>
      </c>
      <c r="J2346" s="14" t="n">
        <v>46209.54068287037</v>
      </c>
      <c r="K2346" s="15" t="n">
        <v>19043.09</v>
      </c>
      <c r="L2346" s="4" t="inlineStr">
        <is>
          <t>INR</t>
        </is>
      </c>
      <c r="M2346" s="15" t="n">
        <v>-19043.09</v>
      </c>
      <c r="N2346" s="4" t="inlineStr">
        <is>
          <t>IOS Aarav</t>
        </is>
      </c>
      <c r="O2346" s="4" t="n">
        <v>3</v>
      </c>
      <c r="P2346" s="4" t="inlineStr">
        <is>
          <t>PERCENTAGE</t>
        </is>
      </c>
      <c r="Q2346" s="4" t="inlineStr">
        <is>
          <t>MAESTRO-IOS-GROUP-GIFT_POOL-2345 | Other | 19043.09</t>
        </is>
      </c>
      <c r="R2346" s="4" t="inlineStr">
        <is>
          <t>iPhone</t>
        </is>
      </c>
      <c r="S2346" s="4" t="inlineStr">
        <is>
          <t>B47</t>
        </is>
      </c>
      <c r="T2346" s="4" t="inlineStr">
        <is>
          <t>RAMP_1501_2500</t>
        </is>
      </c>
      <c r="U2346" s="4" t="inlineStr">
        <is>
          <t>CREATED</t>
        </is>
      </c>
      <c r="V2346" s="4" t="inlineStr">
        <is>
          <t>idem-20260902-ios-2345</t>
        </is>
      </c>
    </row>
    <row r="2347" ht="30" customHeight="1">
      <c r="A2347" s="4" t="n">
        <v>2346</v>
      </c>
      <c r="B2347" s="4" t="inlineStr">
        <is>
          <t>MTR-IOS-2346</t>
        </is>
      </c>
      <c r="C2347" s="4" t="inlineStr">
        <is>
          <t>Business</t>
        </is>
      </c>
      <c r="D2347" s="4" t="inlineStr">
        <is>
          <t>Business</t>
        </is>
      </c>
      <c r="E2347" s="4" t="inlineStr">
        <is>
          <t>Team Operations</t>
        </is>
      </c>
      <c r="F2347" s="4" t="inlineStr">
        <is>
          <t>Travel</t>
        </is>
      </c>
      <c r="G2347" s="4" t="inlineStr">
        <is>
          <t>Expense</t>
        </is>
      </c>
      <c r="H2347" s="12" t="n">
        <v>46217</v>
      </c>
      <c r="I2347" s="13" t="n">
        <v>0.4624537037037037</v>
      </c>
      <c r="J2347" s="14" t="n">
        <v>46217.4624537037</v>
      </c>
      <c r="K2347" s="15" t="n">
        <v>47001.31</v>
      </c>
      <c r="L2347" s="4" t="inlineStr">
        <is>
          <t>INR</t>
        </is>
      </c>
      <c r="M2347" s="15" t="n">
        <v>-47001.31</v>
      </c>
      <c r="N2347" s="4" t="inlineStr">
        <is>
          <t>IOS Owner</t>
        </is>
      </c>
      <c r="O2347" s="4" t="n"/>
      <c r="P2347" s="4" t="n"/>
      <c r="Q2347" s="4" t="inlineStr">
        <is>
          <t>MAESTRO-IOS-BUSINESS-TEAM_OPERATIONS-2346 | Travel | 47001.31</t>
        </is>
      </c>
      <c r="R2347" s="4" t="inlineStr">
        <is>
          <t>iPhone</t>
        </is>
      </c>
      <c r="S2347" s="4" t="inlineStr">
        <is>
          <t>B47</t>
        </is>
      </c>
      <c r="T2347" s="4" t="inlineStr">
        <is>
          <t>RAMP_1501_2500</t>
        </is>
      </c>
      <c r="U2347" s="4" t="inlineStr">
        <is>
          <t>CREATED</t>
        </is>
      </c>
      <c r="V2347" s="4" t="inlineStr">
        <is>
          <t>idem-20260902-ios-2346</t>
        </is>
      </c>
    </row>
    <row r="2348" ht="30" customHeight="1">
      <c r="A2348" s="4" t="n">
        <v>2347</v>
      </c>
      <c r="B2348" s="4" t="inlineStr">
        <is>
          <t>MTR-IOS-2347</t>
        </is>
      </c>
      <c r="C2348" s="4" t="inlineStr">
        <is>
          <t>Personal</t>
        </is>
      </c>
      <c r="D2348" s="4" t="inlineStr">
        <is>
          <t>Personal</t>
        </is>
      </c>
      <c r="E2348" s="4" t="inlineStr">
        <is>
          <t>Life Operations</t>
        </is>
      </c>
      <c r="F2348" s="4" t="inlineStr">
        <is>
          <t>Groceries</t>
        </is>
      </c>
      <c r="G2348" s="4" t="inlineStr">
        <is>
          <t>Expense</t>
        </is>
      </c>
      <c r="H2348" s="12" t="n">
        <v>46070</v>
      </c>
      <c r="I2348" s="13" t="n">
        <v>0.4014814814814815</v>
      </c>
      <c r="J2348" s="14" t="n">
        <v>46070.40148148148</v>
      </c>
      <c r="K2348" s="15" t="n">
        <v>3051.35</v>
      </c>
      <c r="L2348" s="4" t="inlineStr">
        <is>
          <t>INR</t>
        </is>
      </c>
      <c r="M2348" s="15" t="n">
        <v>-3051.35</v>
      </c>
      <c r="N2348" s="4" t="inlineStr">
        <is>
          <t>IOS Owner</t>
        </is>
      </c>
      <c r="O2348" s="4" t="n"/>
      <c r="P2348" s="4" t="n"/>
      <c r="Q2348" s="4" t="inlineStr">
        <is>
          <t>MAESTRO-IOS-PERSONAL-LIFE_OPERATIONS-2347 | Groceries | 3051.35</t>
        </is>
      </c>
      <c r="R2348" s="4" t="inlineStr">
        <is>
          <t>iPhone</t>
        </is>
      </c>
      <c r="S2348" s="4" t="inlineStr">
        <is>
          <t>B47</t>
        </is>
      </c>
      <c r="T2348" s="4" t="inlineStr">
        <is>
          <t>RAMP_1501_2500</t>
        </is>
      </c>
      <c r="U2348" s="4" t="inlineStr">
        <is>
          <t>CREATED</t>
        </is>
      </c>
      <c r="V2348" s="4" t="inlineStr">
        <is>
          <t>idem-20260902-ios-2347</t>
        </is>
      </c>
    </row>
    <row r="2349" ht="30" customHeight="1">
      <c r="A2349" s="4" t="n">
        <v>2348</v>
      </c>
      <c r="B2349" s="4" t="inlineStr">
        <is>
          <t>MTR-IOS-2348</t>
        </is>
      </c>
      <c r="C2349" s="4" t="inlineStr">
        <is>
          <t>Group</t>
        </is>
      </c>
      <c r="D2349" s="4" t="inlineStr">
        <is>
          <t>Shared Purchase</t>
        </is>
      </c>
      <c r="E2349" s="4" t="inlineStr">
        <is>
          <t>Purchase</t>
        </is>
      </c>
      <c r="F2349" s="4" t="inlineStr">
        <is>
          <t>Item</t>
        </is>
      </c>
      <c r="G2349" s="4" t="inlineStr">
        <is>
          <t>Expense</t>
        </is>
      </c>
      <c r="H2349" s="12" t="n">
        <v>46052</v>
      </c>
      <c r="I2349" s="13" t="n">
        <v>0.3585995370370371</v>
      </c>
      <c r="J2349" s="14" t="n">
        <v>46052.35859953704</v>
      </c>
      <c r="K2349" s="15" t="n">
        <v>23300.71</v>
      </c>
      <c r="L2349" s="4" t="inlineStr">
        <is>
          <t>INR</t>
        </is>
      </c>
      <c r="M2349" s="15" t="n">
        <v>-23300.71</v>
      </c>
      <c r="N2349" s="4" t="inlineStr">
        <is>
          <t>IOS Meera</t>
        </is>
      </c>
      <c r="O2349" s="4" t="n">
        <v>3</v>
      </c>
      <c r="P2349" s="4" t="inlineStr">
        <is>
          <t>EXACT</t>
        </is>
      </c>
      <c r="Q2349" s="4" t="inlineStr">
        <is>
          <t>MAESTRO-IOS-GROUP-PURCHASE-2348 | Item | 23300.71</t>
        </is>
      </c>
      <c r="R2349" s="4" t="inlineStr">
        <is>
          <t>iPhone</t>
        </is>
      </c>
      <c r="S2349" s="4" t="inlineStr">
        <is>
          <t>B47</t>
        </is>
      </c>
      <c r="T2349" s="4" t="inlineStr">
        <is>
          <t>RAMP_1501_2500</t>
        </is>
      </c>
      <c r="U2349" s="4" t="inlineStr">
        <is>
          <t>CREATED</t>
        </is>
      </c>
      <c r="V2349" s="4" t="inlineStr">
        <is>
          <t>idem-20260902-ios-2348</t>
        </is>
      </c>
    </row>
    <row r="2350" ht="30" customHeight="1">
      <c r="A2350" s="4" t="n">
        <v>2349</v>
      </c>
      <c r="B2350" s="4" t="inlineStr">
        <is>
          <t>MTR-IOS-2349</t>
        </is>
      </c>
      <c r="C2350" s="4" t="inlineStr">
        <is>
          <t>Business</t>
        </is>
      </c>
      <c r="D2350" s="4" t="inlineStr">
        <is>
          <t>Business</t>
        </is>
      </c>
      <c r="E2350" s="4" t="inlineStr">
        <is>
          <t>Team Operations</t>
        </is>
      </c>
      <c r="F2350" s="4" t="inlineStr">
        <is>
          <t>Training</t>
        </is>
      </c>
      <c r="G2350" s="4" t="inlineStr">
        <is>
          <t>Expense</t>
        </is>
      </c>
      <c r="H2350" s="12" t="n">
        <v>46091</v>
      </c>
      <c r="I2350" s="13" t="n">
        <v>0.1939467592592592</v>
      </c>
      <c r="J2350" s="14" t="n">
        <v>46091.19394675926</v>
      </c>
      <c r="K2350" s="15" t="n">
        <v>32923.65</v>
      </c>
      <c r="L2350" s="4" t="inlineStr">
        <is>
          <t>INR</t>
        </is>
      </c>
      <c r="M2350" s="15" t="n">
        <v>-32923.65</v>
      </c>
      <c r="N2350" s="4" t="inlineStr">
        <is>
          <t>IOS Owner</t>
        </is>
      </c>
      <c r="O2350" s="4" t="n"/>
      <c r="P2350" s="4" t="n"/>
      <c r="Q2350" s="4" t="inlineStr">
        <is>
          <t>MAESTRO-IOS-BUSINESS-TEAM_OPERATIONS-2349 | Training | 32923.65</t>
        </is>
      </c>
      <c r="R2350" s="4" t="inlineStr">
        <is>
          <t>iPhone</t>
        </is>
      </c>
      <c r="S2350" s="4" t="inlineStr">
        <is>
          <t>B47</t>
        </is>
      </c>
      <c r="T2350" s="4" t="inlineStr">
        <is>
          <t>RAMP_1501_2500</t>
        </is>
      </c>
      <c r="U2350" s="4" t="inlineStr">
        <is>
          <t>CREATED</t>
        </is>
      </c>
      <c r="V2350" s="4" t="inlineStr">
        <is>
          <t>idem-20260902-ios-2349</t>
        </is>
      </c>
    </row>
    <row r="2351" ht="30" customHeight="1">
      <c r="A2351" s="4" t="n">
        <v>2350</v>
      </c>
      <c r="B2351" s="4" t="inlineStr">
        <is>
          <t>MTR-IOS-2350</t>
        </is>
      </c>
      <c r="C2351" s="4" t="inlineStr">
        <is>
          <t>Personal</t>
        </is>
      </c>
      <c r="D2351" s="4" t="inlineStr">
        <is>
          <t>Personal</t>
        </is>
      </c>
      <c r="E2351" s="4" t="inlineStr">
        <is>
          <t>Life Operations</t>
        </is>
      </c>
      <c r="F2351" s="4" t="inlineStr">
        <is>
          <t>Rent</t>
        </is>
      </c>
      <c r="G2351" s="4" t="inlineStr">
        <is>
          <t>Expense</t>
        </is>
      </c>
      <c r="H2351" s="12" t="n">
        <v>46098</v>
      </c>
      <c r="I2351" s="13" t="n">
        <v>0.9540277777777778</v>
      </c>
      <c r="J2351" s="14" t="n">
        <v>46098.95402777778</v>
      </c>
      <c r="K2351" s="15" t="n">
        <v>14541.08</v>
      </c>
      <c r="L2351" s="4" t="inlineStr">
        <is>
          <t>INR</t>
        </is>
      </c>
      <c r="M2351" s="15" t="n">
        <v>-14541.08</v>
      </c>
      <c r="N2351" s="4" t="inlineStr">
        <is>
          <t>IOS Owner</t>
        </is>
      </c>
      <c r="O2351" s="4" t="n"/>
      <c r="P2351" s="4" t="n"/>
      <c r="Q2351" s="4" t="inlineStr">
        <is>
          <t>MAESTRO-IOS-PERSONAL-LIFE_OPERATIONS-2350 | Rent | 14541.08</t>
        </is>
      </c>
      <c r="R2351" s="4" t="inlineStr">
        <is>
          <t>iPhone</t>
        </is>
      </c>
      <c r="S2351" s="4" t="inlineStr">
        <is>
          <t>B47</t>
        </is>
      </c>
      <c r="T2351" s="4" t="inlineStr">
        <is>
          <t>RAMP_1501_2500</t>
        </is>
      </c>
      <c r="U2351" s="4" t="inlineStr">
        <is>
          <t>CREATED</t>
        </is>
      </c>
      <c r="V2351" s="4" t="inlineStr">
        <is>
          <t>idem-20260902-ios-2350</t>
        </is>
      </c>
    </row>
    <row r="2352" ht="30" customHeight="1">
      <c r="A2352" s="4" t="n">
        <v>2351</v>
      </c>
      <c r="B2352" s="4" t="inlineStr">
        <is>
          <t>MTR-IOS-2351</t>
        </is>
      </c>
      <c r="C2352" s="4" t="inlineStr">
        <is>
          <t>Group</t>
        </is>
      </c>
      <c r="D2352" s="4" t="inlineStr">
        <is>
          <t>Shared Purchase</t>
        </is>
      </c>
      <c r="E2352" s="4" t="inlineStr">
        <is>
          <t>Purchase</t>
        </is>
      </c>
      <c r="F2352" s="4" t="inlineStr">
        <is>
          <t>Shipping</t>
        </is>
      </c>
      <c r="G2352" s="4" t="inlineStr">
        <is>
          <t>Expense</t>
        </is>
      </c>
      <c r="H2352" s="12" t="n">
        <v>46063</v>
      </c>
      <c r="I2352" s="13" t="n">
        <v>0.2457291666666667</v>
      </c>
      <c r="J2352" s="14" t="n">
        <v>46063.24572916667</v>
      </c>
      <c r="K2352" s="15" t="n">
        <v>14874.32</v>
      </c>
      <c r="L2352" s="4" t="inlineStr">
        <is>
          <t>INR</t>
        </is>
      </c>
      <c r="M2352" s="15" t="n">
        <v>-14874.32</v>
      </c>
      <c r="N2352" s="4" t="inlineStr">
        <is>
          <t>IOS Owner</t>
        </is>
      </c>
      <c r="O2352" s="4" t="n">
        <v>3</v>
      </c>
      <c r="P2352" s="4" t="inlineStr">
        <is>
          <t>SHARES</t>
        </is>
      </c>
      <c r="Q2352" s="4" t="inlineStr">
        <is>
          <t>MAESTRO-IOS-GROUP-PURCHASE-2351 | Shipping | 14874.32</t>
        </is>
      </c>
      <c r="R2352" s="4" t="inlineStr">
        <is>
          <t>iPhone</t>
        </is>
      </c>
      <c r="S2352" s="4" t="inlineStr">
        <is>
          <t>B48</t>
        </is>
      </c>
      <c r="T2352" s="4" t="inlineStr">
        <is>
          <t>RAMP_1501_2500</t>
        </is>
      </c>
      <c r="U2352" s="4" t="inlineStr">
        <is>
          <t>CREATED</t>
        </is>
      </c>
      <c r="V2352" s="4" t="inlineStr">
        <is>
          <t>idem-20260902-ios-2351</t>
        </is>
      </c>
    </row>
    <row r="2353" ht="30" customHeight="1">
      <c r="A2353" s="4" t="n">
        <v>2352</v>
      </c>
      <c r="B2353" s="4" t="inlineStr">
        <is>
          <t>MTR-IOS-2352</t>
        </is>
      </c>
      <c r="C2353" s="4" t="inlineStr">
        <is>
          <t>Business</t>
        </is>
      </c>
      <c r="D2353" s="4" t="inlineStr">
        <is>
          <t>Business</t>
        </is>
      </c>
      <c r="E2353" s="4" t="inlineStr">
        <is>
          <t>Team Operations</t>
        </is>
      </c>
      <c r="F2353" s="4" t="inlineStr">
        <is>
          <t>Tools</t>
        </is>
      </c>
      <c r="G2353" s="4" t="inlineStr">
        <is>
          <t>Expense</t>
        </is>
      </c>
      <c r="H2353" s="12" t="n">
        <v>45945</v>
      </c>
      <c r="I2353" s="13" t="n">
        <v>0.7188773148148148</v>
      </c>
      <c r="J2353" s="14" t="n">
        <v>45945.71887731482</v>
      </c>
      <c r="K2353" s="15" t="n">
        <v>14392.28</v>
      </c>
      <c r="L2353" s="4" t="inlineStr">
        <is>
          <t>INR</t>
        </is>
      </c>
      <c r="M2353" s="15" t="n">
        <v>-14392.28</v>
      </c>
      <c r="N2353" s="4" t="inlineStr">
        <is>
          <t>IOS Owner</t>
        </is>
      </c>
      <c r="O2353" s="4" t="n"/>
      <c r="P2353" s="4" t="n"/>
      <c r="Q2353" s="4" t="inlineStr">
        <is>
          <t>MAESTRO-IOS-BUSINESS-TEAM_OPERATIONS-2352 | Tools | 14392.28</t>
        </is>
      </c>
      <c r="R2353" s="4" t="inlineStr">
        <is>
          <t>iPhone</t>
        </is>
      </c>
      <c r="S2353" s="4" t="inlineStr">
        <is>
          <t>B48</t>
        </is>
      </c>
      <c r="T2353" s="4" t="inlineStr">
        <is>
          <t>RAMP_1501_2500</t>
        </is>
      </c>
      <c r="U2353" s="4" t="inlineStr">
        <is>
          <t>CREATED</t>
        </is>
      </c>
      <c r="V2353" s="4" t="inlineStr">
        <is>
          <t>idem-20260902-ios-2352</t>
        </is>
      </c>
    </row>
    <row r="2354" ht="30" customHeight="1">
      <c r="A2354" s="4" t="n">
        <v>2353</v>
      </c>
      <c r="B2354" s="4" t="inlineStr">
        <is>
          <t>MTR-IOS-2353</t>
        </is>
      </c>
      <c r="C2354" s="4" t="inlineStr">
        <is>
          <t>Personal</t>
        </is>
      </c>
      <c r="D2354" s="4" t="inlineStr">
        <is>
          <t>Personal</t>
        </is>
      </c>
      <c r="E2354" s="4" t="inlineStr">
        <is>
          <t>Life Operations</t>
        </is>
      </c>
      <c r="F2354" s="4" t="inlineStr">
        <is>
          <t>Bills</t>
        </is>
      </c>
      <c r="G2354" s="4" t="inlineStr">
        <is>
          <t>Expense</t>
        </is>
      </c>
      <c r="H2354" s="12" t="n">
        <v>46195</v>
      </c>
      <c r="I2354" s="13" t="n">
        <v>0.3244328703703704</v>
      </c>
      <c r="J2354" s="14" t="n">
        <v>46195.32443287037</v>
      </c>
      <c r="K2354" s="15" t="n">
        <v>7699.75</v>
      </c>
      <c r="L2354" s="4" t="inlineStr">
        <is>
          <t>INR</t>
        </is>
      </c>
      <c r="M2354" s="15" t="n">
        <v>-7699.75</v>
      </c>
      <c r="N2354" s="4" t="inlineStr">
        <is>
          <t>IOS Owner</t>
        </is>
      </c>
      <c r="O2354" s="4" t="n"/>
      <c r="P2354" s="4" t="n"/>
      <c r="Q2354" s="4" t="inlineStr">
        <is>
          <t>MAESTRO-IOS-PERSONAL-LIFE_OPERATIONS-2353 | Bills | 7699.75</t>
        </is>
      </c>
      <c r="R2354" s="4" t="inlineStr">
        <is>
          <t>iPhone</t>
        </is>
      </c>
      <c r="S2354" s="4" t="inlineStr">
        <is>
          <t>B48</t>
        </is>
      </c>
      <c r="T2354" s="4" t="inlineStr">
        <is>
          <t>RAMP_1501_2500</t>
        </is>
      </c>
      <c r="U2354" s="4" t="inlineStr">
        <is>
          <t>CREATED</t>
        </is>
      </c>
      <c r="V2354" s="4" t="inlineStr">
        <is>
          <t>idem-20260902-ios-2353</t>
        </is>
      </c>
    </row>
    <row r="2355" ht="30" customHeight="1">
      <c r="A2355" s="4" t="n">
        <v>2354</v>
      </c>
      <c r="B2355" s="4" t="inlineStr">
        <is>
          <t>MTR-IOS-2354</t>
        </is>
      </c>
      <c r="C2355" s="4" t="inlineStr">
        <is>
          <t>Group</t>
        </is>
      </c>
      <c r="D2355" s="4" t="inlineStr">
        <is>
          <t>Shared Purchase</t>
        </is>
      </c>
      <c r="E2355" s="4" t="inlineStr">
        <is>
          <t>Purchase</t>
        </is>
      </c>
      <c r="F2355" s="4" t="inlineStr">
        <is>
          <t>Tax</t>
        </is>
      </c>
      <c r="G2355" s="4" t="inlineStr">
        <is>
          <t>Expense</t>
        </is>
      </c>
      <c r="H2355" s="12" t="n">
        <v>46192</v>
      </c>
      <c r="I2355" s="13" t="n">
        <v>0.7227893518518519</v>
      </c>
      <c r="J2355" s="14" t="n">
        <v>46192.72278935185</v>
      </c>
      <c r="K2355" s="15" t="n">
        <v>11000.97</v>
      </c>
      <c r="L2355" s="4" t="inlineStr">
        <is>
          <t>INR</t>
        </is>
      </c>
      <c r="M2355" s="15" t="n">
        <v>-11000.97</v>
      </c>
      <c r="N2355" s="4" t="inlineStr">
        <is>
          <t>IOS Aarav</t>
        </is>
      </c>
      <c r="O2355" s="4" t="n">
        <v>3</v>
      </c>
      <c r="P2355" s="4" t="inlineStr">
        <is>
          <t>EQUAL</t>
        </is>
      </c>
      <c r="Q2355" s="4" t="inlineStr">
        <is>
          <t>MAESTRO-IOS-GROUP-PURCHASE-2354 | Tax | 11000.97</t>
        </is>
      </c>
      <c r="R2355" s="4" t="inlineStr">
        <is>
          <t>iPhone</t>
        </is>
      </c>
      <c r="S2355" s="4" t="inlineStr">
        <is>
          <t>B48</t>
        </is>
      </c>
      <c r="T2355" s="4" t="inlineStr">
        <is>
          <t>RAMP_1501_2500</t>
        </is>
      </c>
      <c r="U2355" s="4" t="inlineStr">
        <is>
          <t>CREATED</t>
        </is>
      </c>
      <c r="V2355" s="4" t="inlineStr">
        <is>
          <t>idem-20260902-ios-2354</t>
        </is>
      </c>
    </row>
    <row r="2356" ht="30" customHeight="1">
      <c r="A2356" s="4" t="n">
        <v>2355</v>
      </c>
      <c r="B2356" s="4" t="inlineStr">
        <is>
          <t>MTR-IOS-2355</t>
        </is>
      </c>
      <c r="C2356" s="4" t="inlineStr">
        <is>
          <t>Business</t>
        </is>
      </c>
      <c r="D2356" s="4" t="inlineStr">
        <is>
          <t>Business</t>
        </is>
      </c>
      <c r="E2356" s="4" t="inlineStr">
        <is>
          <t>Business Runway</t>
        </is>
      </c>
      <c r="F2356" s="4" t="inlineStr">
        <is>
          <t>Funding</t>
        </is>
      </c>
      <c r="G2356" s="4" t="inlineStr">
        <is>
          <t>Income</t>
        </is>
      </c>
      <c r="H2356" s="12" t="n">
        <v>46220</v>
      </c>
      <c r="I2356" s="13" t="n">
        <v>0.9648148148148148</v>
      </c>
      <c r="J2356" s="14" t="n">
        <v>46220.96481481481</v>
      </c>
      <c r="K2356" s="15" t="n">
        <v>95798.09</v>
      </c>
      <c r="L2356" s="4" t="inlineStr">
        <is>
          <t>INR</t>
        </is>
      </c>
      <c r="M2356" s="15" t="n">
        <v>95798.09</v>
      </c>
      <c r="N2356" s="4" t="inlineStr">
        <is>
          <t>IOS Owner</t>
        </is>
      </c>
      <c r="O2356" s="4" t="n"/>
      <c r="P2356" s="4" t="n"/>
      <c r="Q2356" s="4" t="inlineStr">
        <is>
          <t>MAESTRO-IOS-BUSINESS-BUSINESS_RUNWAY-2355 | Funding | 95798.09</t>
        </is>
      </c>
      <c r="R2356" s="4" t="inlineStr">
        <is>
          <t>iPhone</t>
        </is>
      </c>
      <c r="S2356" s="4" t="inlineStr">
        <is>
          <t>B48</t>
        </is>
      </c>
      <c r="T2356" s="4" t="inlineStr">
        <is>
          <t>RAMP_1501_2500</t>
        </is>
      </c>
      <c r="U2356" s="4" t="inlineStr">
        <is>
          <t>CREATED</t>
        </is>
      </c>
      <c r="V2356" s="4" t="inlineStr">
        <is>
          <t>idem-20260902-ios-2355</t>
        </is>
      </c>
    </row>
    <row r="2357" ht="30" customHeight="1">
      <c r="A2357" s="4" t="n">
        <v>2356</v>
      </c>
      <c r="B2357" s="4" t="inlineStr">
        <is>
          <t>MTR-IOS-2356</t>
        </is>
      </c>
      <c r="C2357" s="4" t="inlineStr">
        <is>
          <t>Personal</t>
        </is>
      </c>
      <c r="D2357" s="4" t="inlineStr">
        <is>
          <t>Personal</t>
        </is>
      </c>
      <c r="E2357" s="4" t="inlineStr">
        <is>
          <t>Life Operations</t>
        </is>
      </c>
      <c r="F2357" s="4" t="inlineStr">
        <is>
          <t>Transport</t>
        </is>
      </c>
      <c r="G2357" s="4" t="inlineStr">
        <is>
          <t>Expense</t>
        </is>
      </c>
      <c r="H2357" s="12" t="n">
        <v>46135</v>
      </c>
      <c r="I2357" s="13" t="n">
        <v>0.1270833333333333</v>
      </c>
      <c r="J2357" s="14" t="n">
        <v>46135.12708333333</v>
      </c>
      <c r="K2357" s="15" t="n">
        <v>12469.92</v>
      </c>
      <c r="L2357" s="4" t="inlineStr">
        <is>
          <t>INR</t>
        </is>
      </c>
      <c r="M2357" s="15" t="n">
        <v>-12469.92</v>
      </c>
      <c r="N2357" s="4" t="inlineStr">
        <is>
          <t>IOS Owner</t>
        </is>
      </c>
      <c r="O2357" s="4" t="n"/>
      <c r="P2357" s="4" t="n"/>
      <c r="Q2357" s="4" t="inlineStr">
        <is>
          <t>MAESTRO-IOS-PERSONAL-LIFE_OPERATIONS-2356 | Transport | 12469.92</t>
        </is>
      </c>
      <c r="R2357" s="4" t="inlineStr">
        <is>
          <t>iPhone</t>
        </is>
      </c>
      <c r="S2357" s="4" t="inlineStr">
        <is>
          <t>B48</t>
        </is>
      </c>
      <c r="T2357" s="4" t="inlineStr">
        <is>
          <t>RAMP_1501_2500</t>
        </is>
      </c>
      <c r="U2357" s="4" t="inlineStr">
        <is>
          <t>CREATED</t>
        </is>
      </c>
      <c r="V2357" s="4" t="inlineStr">
        <is>
          <t>idem-20260902-ios-2356</t>
        </is>
      </c>
    </row>
    <row r="2358" ht="30" customHeight="1">
      <c r="A2358" s="4" t="n">
        <v>2357</v>
      </c>
      <c r="B2358" s="4" t="inlineStr">
        <is>
          <t>MTR-IOS-2357</t>
        </is>
      </c>
      <c r="C2358" s="4" t="inlineStr">
        <is>
          <t>Group</t>
        </is>
      </c>
      <c r="D2358" s="4" t="inlineStr">
        <is>
          <t>Shared Purchase</t>
        </is>
      </c>
      <c r="E2358" s="4" t="inlineStr">
        <is>
          <t>Purchase</t>
        </is>
      </c>
      <c r="F2358" s="4" t="inlineStr">
        <is>
          <t>Other</t>
        </is>
      </c>
      <c r="G2358" s="4" t="inlineStr">
        <is>
          <t>Expense</t>
        </is>
      </c>
      <c r="H2358" s="12" t="n">
        <v>46147</v>
      </c>
      <c r="I2358" s="13" t="n">
        <v>0.517337962962963</v>
      </c>
      <c r="J2358" s="14" t="n">
        <v>46147.51733796296</v>
      </c>
      <c r="K2358" s="15" t="n">
        <v>19162.42</v>
      </c>
      <c r="L2358" s="4" t="inlineStr">
        <is>
          <t>INR</t>
        </is>
      </c>
      <c r="M2358" s="15" t="n">
        <v>-19162.42</v>
      </c>
      <c r="N2358" s="4" t="inlineStr">
        <is>
          <t>IOS Meera</t>
        </is>
      </c>
      <c r="O2358" s="4" t="n">
        <v>3</v>
      </c>
      <c r="P2358" s="4" t="inlineStr">
        <is>
          <t>PERCENTAGE</t>
        </is>
      </c>
      <c r="Q2358" s="4" t="inlineStr">
        <is>
          <t>MAESTRO-IOS-GROUP-PURCHASE-2357 | Other | 19162.42</t>
        </is>
      </c>
      <c r="R2358" s="4" t="inlineStr">
        <is>
          <t>iPhone</t>
        </is>
      </c>
      <c r="S2358" s="4" t="inlineStr">
        <is>
          <t>B48</t>
        </is>
      </c>
      <c r="T2358" s="4" t="inlineStr">
        <is>
          <t>RAMP_1501_2500</t>
        </is>
      </c>
      <c r="U2358" s="4" t="inlineStr">
        <is>
          <t>CREATED</t>
        </is>
      </c>
      <c r="V2358" s="4" t="inlineStr">
        <is>
          <t>idem-20260902-ios-2357</t>
        </is>
      </c>
    </row>
    <row r="2359" ht="30" customHeight="1">
      <c r="A2359" s="4" t="n">
        <v>2358</v>
      </c>
      <c r="B2359" s="4" t="inlineStr">
        <is>
          <t>MTR-IOS-2358</t>
        </is>
      </c>
      <c r="C2359" s="4" t="inlineStr">
        <is>
          <t>Business</t>
        </is>
      </c>
      <c r="D2359" s="4" t="inlineStr">
        <is>
          <t>Business</t>
        </is>
      </c>
      <c r="E2359" s="4" t="inlineStr">
        <is>
          <t>Business Runway</t>
        </is>
      </c>
      <c r="F2359" s="4" t="inlineStr">
        <is>
          <t>Revenue</t>
        </is>
      </c>
      <c r="G2359" s="4" t="inlineStr">
        <is>
          <t>Income</t>
        </is>
      </c>
      <c r="H2359" s="12" t="n">
        <v>46164</v>
      </c>
      <c r="I2359" s="13" t="n">
        <v>0.2964699074074074</v>
      </c>
      <c r="J2359" s="14" t="n">
        <v>46164.29646990741</v>
      </c>
      <c r="K2359" s="15" t="n">
        <v>149176.04</v>
      </c>
      <c r="L2359" s="4" t="inlineStr">
        <is>
          <t>INR</t>
        </is>
      </c>
      <c r="M2359" s="15" t="n">
        <v>149176.04</v>
      </c>
      <c r="N2359" s="4" t="inlineStr">
        <is>
          <t>IOS Owner</t>
        </is>
      </c>
      <c r="O2359" s="4" t="n"/>
      <c r="P2359" s="4" t="n"/>
      <c r="Q2359" s="4" t="inlineStr">
        <is>
          <t>MAESTRO-IOS-BUSINESS-BUSINESS_RUNWAY-2358 | Revenue | 149176.04</t>
        </is>
      </c>
      <c r="R2359" s="4" t="inlineStr">
        <is>
          <t>iPhone</t>
        </is>
      </c>
      <c r="S2359" s="4" t="inlineStr">
        <is>
          <t>B48</t>
        </is>
      </c>
      <c r="T2359" s="4" t="inlineStr">
        <is>
          <t>RAMP_1501_2500</t>
        </is>
      </c>
      <c r="U2359" s="4" t="inlineStr">
        <is>
          <t>CREATED</t>
        </is>
      </c>
      <c r="V2359" s="4" t="inlineStr">
        <is>
          <t>idem-20260902-ios-2358</t>
        </is>
      </c>
    </row>
    <row r="2360" ht="30" customHeight="1">
      <c r="A2360" s="4" t="n">
        <v>2359</v>
      </c>
      <c r="B2360" s="4" t="inlineStr">
        <is>
          <t>MTR-IOS-2359</t>
        </is>
      </c>
      <c r="C2360" s="4" t="inlineStr">
        <is>
          <t>Personal</t>
        </is>
      </c>
      <c r="D2360" s="4" t="inlineStr">
        <is>
          <t>Personal</t>
        </is>
      </c>
      <c r="E2360" s="4" t="inlineStr">
        <is>
          <t>Life Operations</t>
        </is>
      </c>
      <c r="F2360" s="4" t="inlineStr">
        <is>
          <t>Healthcare</t>
        </is>
      </c>
      <c r="G2360" s="4" t="inlineStr">
        <is>
          <t>Expense</t>
        </is>
      </c>
      <c r="H2360" s="12" t="n">
        <v>46242</v>
      </c>
      <c r="I2360" s="13" t="n">
        <v>0.3218634259259259</v>
      </c>
      <c r="J2360" s="14" t="n">
        <v>46242.32186342592</v>
      </c>
      <c r="K2360" s="15" t="n">
        <v>1414.41</v>
      </c>
      <c r="L2360" s="4" t="inlineStr">
        <is>
          <t>INR</t>
        </is>
      </c>
      <c r="M2360" s="15" t="n">
        <v>-1414.41</v>
      </c>
      <c r="N2360" s="4" t="inlineStr">
        <is>
          <t>IOS Owner</t>
        </is>
      </c>
      <c r="O2360" s="4" t="n"/>
      <c r="P2360" s="4" t="n"/>
      <c r="Q2360" s="4" t="inlineStr">
        <is>
          <t>MAESTRO-IOS-PERSONAL-LIFE_OPERATIONS-2359 | Healthcare | 1414.41</t>
        </is>
      </c>
      <c r="R2360" s="4" t="inlineStr">
        <is>
          <t>iPhone</t>
        </is>
      </c>
      <c r="S2360" s="4" t="inlineStr">
        <is>
          <t>B48</t>
        </is>
      </c>
      <c r="T2360" s="4" t="inlineStr">
        <is>
          <t>RAMP_1501_2500</t>
        </is>
      </c>
      <c r="U2360" s="4" t="inlineStr">
        <is>
          <t>CREATED</t>
        </is>
      </c>
      <c r="V2360" s="4" t="inlineStr">
        <is>
          <t>idem-20260902-ios-2359</t>
        </is>
      </c>
    </row>
    <row r="2361" ht="30" customHeight="1">
      <c r="A2361" s="4" t="n">
        <v>2360</v>
      </c>
      <c r="B2361" s="4" t="inlineStr">
        <is>
          <t>MTR-IOS-2360</t>
        </is>
      </c>
      <c r="C2361" s="4" t="inlineStr">
        <is>
          <t>Group</t>
        </is>
      </c>
      <c r="D2361" s="4" t="inlineStr">
        <is>
          <t>Shared Purchase</t>
        </is>
      </c>
      <c r="E2361" s="4" t="inlineStr">
        <is>
          <t>Assets</t>
        </is>
      </c>
      <c r="F2361" s="4" t="inlineStr">
        <is>
          <t>Purchase</t>
        </is>
      </c>
      <c r="G2361" s="4" t="inlineStr">
        <is>
          <t>Expense</t>
        </is>
      </c>
      <c r="H2361" s="12" t="n">
        <v>46002</v>
      </c>
      <c r="I2361" s="13" t="n">
        <v>0.1055208333333333</v>
      </c>
      <c r="J2361" s="14" t="n">
        <v>46002.10552083333</v>
      </c>
      <c r="K2361" s="15" t="n">
        <v>4143.44</v>
      </c>
      <c r="L2361" s="4" t="inlineStr">
        <is>
          <t>INR</t>
        </is>
      </c>
      <c r="M2361" s="15" t="n">
        <v>-4143.44</v>
      </c>
      <c r="N2361" s="4" t="inlineStr">
        <is>
          <t>IOS Owner</t>
        </is>
      </c>
      <c r="O2361" s="4" t="n">
        <v>3</v>
      </c>
      <c r="P2361" s="4" t="inlineStr">
        <is>
          <t>EXACT</t>
        </is>
      </c>
      <c r="Q2361" s="4" t="inlineStr">
        <is>
          <t>MAESTRO-IOS-GROUP-ASSETS-2360 | Purchase | 4143.44</t>
        </is>
      </c>
      <c r="R2361" s="4" t="inlineStr">
        <is>
          <t>iPhone</t>
        </is>
      </c>
      <c r="S2361" s="4" t="inlineStr">
        <is>
          <t>B48</t>
        </is>
      </c>
      <c r="T2361" s="4" t="inlineStr">
        <is>
          <t>RAMP_1501_2500</t>
        </is>
      </c>
      <c r="U2361" s="4" t="inlineStr">
        <is>
          <t>CREATED</t>
        </is>
      </c>
      <c r="V2361" s="4" t="inlineStr">
        <is>
          <t>idem-20260902-ios-2360</t>
        </is>
      </c>
    </row>
    <row r="2362" ht="30" customHeight="1">
      <c r="A2362" s="4" t="n">
        <v>2361</v>
      </c>
      <c r="B2362" s="4" t="inlineStr">
        <is>
          <t>MTR-IOS-2361</t>
        </is>
      </c>
      <c r="C2362" s="4" t="inlineStr">
        <is>
          <t>Business</t>
        </is>
      </c>
      <c r="D2362" s="4" t="inlineStr">
        <is>
          <t>Business</t>
        </is>
      </c>
      <c r="E2362" s="4" t="inlineStr">
        <is>
          <t>Business Runway</t>
        </is>
      </c>
      <c r="F2362" s="4" t="inlineStr">
        <is>
          <t>Burn</t>
        </is>
      </c>
      <c r="G2362" s="4" t="inlineStr">
        <is>
          <t>Expense</t>
        </is>
      </c>
      <c r="H2362" s="12" t="n">
        <v>46202</v>
      </c>
      <c r="I2362" s="13" t="n">
        <v>0.8117592592592593</v>
      </c>
      <c r="J2362" s="14" t="n">
        <v>46202.81175925926</v>
      </c>
      <c r="K2362" s="15" t="n">
        <v>81492</v>
      </c>
      <c r="L2362" s="4" t="inlineStr">
        <is>
          <t>INR</t>
        </is>
      </c>
      <c r="M2362" s="15" t="n">
        <v>-81492</v>
      </c>
      <c r="N2362" s="4" t="inlineStr">
        <is>
          <t>IOS Owner</t>
        </is>
      </c>
      <c r="O2362" s="4" t="n"/>
      <c r="P2362" s="4" t="n"/>
      <c r="Q2362" s="4" t="inlineStr">
        <is>
          <t>MAESTRO-IOS-BUSINESS-BUSINESS_RUNWAY-2361 | Burn | 81492.00</t>
        </is>
      </c>
      <c r="R2362" s="4" t="inlineStr">
        <is>
          <t>iPhone</t>
        </is>
      </c>
      <c r="S2362" s="4" t="inlineStr">
        <is>
          <t>B48</t>
        </is>
      </c>
      <c r="T2362" s="4" t="inlineStr">
        <is>
          <t>RAMP_1501_2500</t>
        </is>
      </c>
      <c r="U2362" s="4" t="inlineStr">
        <is>
          <t>CREATED</t>
        </is>
      </c>
      <c r="V2362" s="4" t="inlineStr">
        <is>
          <t>idem-20260902-ios-2361</t>
        </is>
      </c>
    </row>
    <row r="2363" ht="30" customHeight="1">
      <c r="A2363" s="4" t="n">
        <v>2362</v>
      </c>
      <c r="B2363" s="4" t="inlineStr">
        <is>
          <t>MTR-IOS-2362</t>
        </is>
      </c>
      <c r="C2363" s="4" t="inlineStr">
        <is>
          <t>Personal</t>
        </is>
      </c>
      <c r="D2363" s="4" t="inlineStr">
        <is>
          <t>Personal</t>
        </is>
      </c>
      <c r="E2363" s="4" t="inlineStr">
        <is>
          <t>Life Operations</t>
        </is>
      </c>
      <c r="F2363" s="4" t="inlineStr">
        <is>
          <t>Subscriptions</t>
        </is>
      </c>
      <c r="G2363" s="4" t="inlineStr">
        <is>
          <t>Expense</t>
        </is>
      </c>
      <c r="H2363" s="12" t="n">
        <v>46130</v>
      </c>
      <c r="I2363" s="13" t="n">
        <v>0.7751736111111112</v>
      </c>
      <c r="J2363" s="14" t="n">
        <v>46130.77517361111</v>
      </c>
      <c r="K2363" s="15" t="n">
        <v>5911.01</v>
      </c>
      <c r="L2363" s="4" t="inlineStr">
        <is>
          <t>INR</t>
        </is>
      </c>
      <c r="M2363" s="15" t="n">
        <v>-5911.01</v>
      </c>
      <c r="N2363" s="4" t="inlineStr">
        <is>
          <t>IOS Owner</t>
        </is>
      </c>
      <c r="O2363" s="4" t="n"/>
      <c r="P2363" s="4" t="n"/>
      <c r="Q2363" s="4" t="inlineStr">
        <is>
          <t>MAESTRO-IOS-PERSONAL-LIFE_OPERATIONS-2362 | Subscriptions | 5911.01</t>
        </is>
      </c>
      <c r="R2363" s="4" t="inlineStr">
        <is>
          <t>iPhone</t>
        </is>
      </c>
      <c r="S2363" s="4" t="inlineStr">
        <is>
          <t>B48</t>
        </is>
      </c>
      <c r="T2363" s="4" t="inlineStr">
        <is>
          <t>RAMP_1501_2500</t>
        </is>
      </c>
      <c r="U2363" s="4" t="inlineStr">
        <is>
          <t>CREATED</t>
        </is>
      </c>
      <c r="V2363" s="4" t="inlineStr">
        <is>
          <t>idem-20260902-ios-2362</t>
        </is>
      </c>
    </row>
    <row r="2364" ht="30" customHeight="1">
      <c r="A2364" s="4" t="n">
        <v>2363</v>
      </c>
      <c r="B2364" s="4" t="inlineStr">
        <is>
          <t>MTR-IOS-2363</t>
        </is>
      </c>
      <c r="C2364" s="4" t="inlineStr">
        <is>
          <t>Group</t>
        </is>
      </c>
      <c r="D2364" s="4" t="inlineStr">
        <is>
          <t>Shared Purchase</t>
        </is>
      </c>
      <c r="E2364" s="4" t="inlineStr">
        <is>
          <t>Assets</t>
        </is>
      </c>
      <c r="F2364" s="4" t="inlineStr">
        <is>
          <t>Maintenance</t>
        </is>
      </c>
      <c r="G2364" s="4" t="inlineStr">
        <is>
          <t>Expense</t>
        </is>
      </c>
      <c r="H2364" s="12" t="n">
        <v>46168</v>
      </c>
      <c r="I2364" s="13" t="n">
        <v>0.2094791666666667</v>
      </c>
      <c r="J2364" s="14" t="n">
        <v>46168.20947916667</v>
      </c>
      <c r="K2364" s="15" t="n">
        <v>17822.86</v>
      </c>
      <c r="L2364" s="4" t="inlineStr">
        <is>
          <t>INR</t>
        </is>
      </c>
      <c r="M2364" s="15" t="n">
        <v>-17822.86</v>
      </c>
      <c r="N2364" s="4" t="inlineStr">
        <is>
          <t>IOS Aarav</t>
        </is>
      </c>
      <c r="O2364" s="4" t="n">
        <v>3</v>
      </c>
      <c r="P2364" s="4" t="inlineStr">
        <is>
          <t>SHARES</t>
        </is>
      </c>
      <c r="Q2364" s="4" t="inlineStr">
        <is>
          <t>MAESTRO-IOS-GROUP-ASSETS-2363 | Maintenance | 17822.86</t>
        </is>
      </c>
      <c r="R2364" s="4" t="inlineStr">
        <is>
          <t>iPhone</t>
        </is>
      </c>
      <c r="S2364" s="4" t="inlineStr">
        <is>
          <t>B48</t>
        </is>
      </c>
      <c r="T2364" s="4" t="inlineStr">
        <is>
          <t>RAMP_1501_2500</t>
        </is>
      </c>
      <c r="U2364" s="4" t="inlineStr">
        <is>
          <t>CREATED</t>
        </is>
      </c>
      <c r="V2364" s="4" t="inlineStr">
        <is>
          <t>idem-20260902-ios-2363</t>
        </is>
      </c>
    </row>
    <row r="2365" ht="30" customHeight="1">
      <c r="A2365" s="4" t="n">
        <v>2364</v>
      </c>
      <c r="B2365" s="4" t="inlineStr">
        <is>
          <t>MTR-IOS-2364</t>
        </is>
      </c>
      <c r="C2365" s="4" t="inlineStr">
        <is>
          <t>Business</t>
        </is>
      </c>
      <c r="D2365" s="4" t="inlineStr">
        <is>
          <t>Business</t>
        </is>
      </c>
      <c r="E2365" s="4" t="inlineStr">
        <is>
          <t>Business Runway</t>
        </is>
      </c>
      <c r="F2365" s="4" t="inlineStr">
        <is>
          <t>Reserve</t>
        </is>
      </c>
      <c r="G2365" s="4" t="inlineStr">
        <is>
          <t>Transfer</t>
        </is>
      </c>
      <c r="H2365" s="12" t="n">
        <v>45987</v>
      </c>
      <c r="I2365" s="13" t="n">
        <v>0.1062037037037037</v>
      </c>
      <c r="J2365" s="14" t="n">
        <v>45987.1062037037</v>
      </c>
      <c r="K2365" s="15" t="n">
        <v>121993.59</v>
      </c>
      <c r="L2365" s="4" t="inlineStr">
        <is>
          <t>INR</t>
        </is>
      </c>
      <c r="M2365" s="15" t="n">
        <v>0</v>
      </c>
      <c r="N2365" s="4" t="inlineStr">
        <is>
          <t>IOS Owner</t>
        </is>
      </c>
      <c r="O2365" s="4" t="n"/>
      <c r="P2365" s="4" t="n"/>
      <c r="Q2365" s="4" t="inlineStr">
        <is>
          <t>MAESTRO-IOS-BUSINESS-BUSINESS_RUNWAY-2364 | Reserve | 121993.59</t>
        </is>
      </c>
      <c r="R2365" s="4" t="inlineStr">
        <is>
          <t>iPhone</t>
        </is>
      </c>
      <c r="S2365" s="4" t="inlineStr">
        <is>
          <t>B48</t>
        </is>
      </c>
      <c r="T2365" s="4" t="inlineStr">
        <is>
          <t>RAMP_1501_2500</t>
        </is>
      </c>
      <c r="U2365" s="4" t="inlineStr">
        <is>
          <t>CREATED</t>
        </is>
      </c>
      <c r="V2365" s="4" t="inlineStr">
        <is>
          <t>idem-20260902-ios-2364</t>
        </is>
      </c>
    </row>
    <row r="2366" ht="30" customHeight="1">
      <c r="A2366" s="4" t="n">
        <v>2365</v>
      </c>
      <c r="B2366" s="4" t="inlineStr">
        <is>
          <t>MTR-IOS-2365</t>
        </is>
      </c>
      <c r="C2366" s="4" t="inlineStr">
        <is>
          <t>Personal</t>
        </is>
      </c>
      <c r="D2366" s="4" t="inlineStr">
        <is>
          <t>Personal</t>
        </is>
      </c>
      <c r="E2366" s="4" t="inlineStr">
        <is>
          <t>Life Operations</t>
        </is>
      </c>
      <c r="F2366" s="4" t="inlineStr">
        <is>
          <t>Repairs</t>
        </is>
      </c>
      <c r="G2366" s="4" t="inlineStr">
        <is>
          <t>Expense</t>
        </is>
      </c>
      <c r="H2366" s="12" t="n">
        <v>46005</v>
      </c>
      <c r="I2366" s="13" t="n">
        <v>0.7257060185185186</v>
      </c>
      <c r="J2366" s="14" t="n">
        <v>46005.72570601852</v>
      </c>
      <c r="K2366" s="15" t="n">
        <v>2034.75</v>
      </c>
      <c r="L2366" s="4" t="inlineStr">
        <is>
          <t>INR</t>
        </is>
      </c>
      <c r="M2366" s="15" t="n">
        <v>-2034.75</v>
      </c>
      <c r="N2366" s="4" t="inlineStr">
        <is>
          <t>IOS Owner</t>
        </is>
      </c>
      <c r="O2366" s="4" t="n"/>
      <c r="P2366" s="4" t="n"/>
      <c r="Q2366" s="4" t="inlineStr">
        <is>
          <t>MAESTRO-IOS-PERSONAL-LIFE_OPERATIONS-2365 | Repairs | 2034.75</t>
        </is>
      </c>
      <c r="R2366" s="4" t="inlineStr">
        <is>
          <t>iPhone</t>
        </is>
      </c>
      <c r="S2366" s="4" t="inlineStr">
        <is>
          <t>B48</t>
        </is>
      </c>
      <c r="T2366" s="4" t="inlineStr">
        <is>
          <t>RAMP_1501_2500</t>
        </is>
      </c>
      <c r="U2366" s="4" t="inlineStr">
        <is>
          <t>CREATED</t>
        </is>
      </c>
      <c r="V2366" s="4" t="inlineStr">
        <is>
          <t>idem-20260902-ios-2365</t>
        </is>
      </c>
    </row>
    <row r="2367" ht="30" customHeight="1">
      <c r="A2367" s="4" t="n">
        <v>2366</v>
      </c>
      <c r="B2367" s="4" t="inlineStr">
        <is>
          <t>MTR-IOS-2366</t>
        </is>
      </c>
      <c r="C2367" s="4" t="inlineStr">
        <is>
          <t>Group</t>
        </is>
      </c>
      <c r="D2367" s="4" t="inlineStr">
        <is>
          <t>Shared Purchase</t>
        </is>
      </c>
      <c r="E2367" s="4" t="inlineStr">
        <is>
          <t>Assets</t>
        </is>
      </c>
      <c r="F2367" s="4" t="inlineStr">
        <is>
          <t>Repair</t>
        </is>
      </c>
      <c r="G2367" s="4" t="inlineStr">
        <is>
          <t>Expense</t>
        </is>
      </c>
      <c r="H2367" s="12" t="n">
        <v>45940</v>
      </c>
      <c r="I2367" s="13" t="n">
        <v>0.3741550925925926</v>
      </c>
      <c r="J2367" s="14" t="n">
        <v>45940.37415509259</v>
      </c>
      <c r="K2367" s="15" t="n">
        <v>4148.82</v>
      </c>
      <c r="L2367" s="4" t="inlineStr">
        <is>
          <t>INR</t>
        </is>
      </c>
      <c r="M2367" s="15" t="n">
        <v>-4148.82</v>
      </c>
      <c r="N2367" s="4" t="inlineStr">
        <is>
          <t>IOS Meera</t>
        </is>
      </c>
      <c r="O2367" s="4" t="n">
        <v>3</v>
      </c>
      <c r="P2367" s="4" t="inlineStr">
        <is>
          <t>EQUAL</t>
        </is>
      </c>
      <c r="Q2367" s="4" t="inlineStr">
        <is>
          <t>MAESTRO-IOS-GROUP-ASSETS-2366 | Repair | 4148.82</t>
        </is>
      </c>
      <c r="R2367" s="4" t="inlineStr">
        <is>
          <t>iPhone</t>
        </is>
      </c>
      <c r="S2367" s="4" t="inlineStr">
        <is>
          <t>B48</t>
        </is>
      </c>
      <c r="T2367" s="4" t="inlineStr">
        <is>
          <t>RAMP_1501_2500</t>
        </is>
      </c>
      <c r="U2367" s="4" t="inlineStr">
        <is>
          <t>CREATED</t>
        </is>
      </c>
      <c r="V2367" s="4" t="inlineStr">
        <is>
          <t>idem-20260902-ios-2366</t>
        </is>
      </c>
    </row>
    <row r="2368" ht="30" customHeight="1">
      <c r="A2368" s="4" t="n">
        <v>2367</v>
      </c>
      <c r="B2368" s="4" t="inlineStr">
        <is>
          <t>MTR-IOS-2367</t>
        </is>
      </c>
      <c r="C2368" s="4" t="inlineStr">
        <is>
          <t>Business</t>
        </is>
      </c>
      <c r="D2368" s="4" t="inlineStr">
        <is>
          <t>Business</t>
        </is>
      </c>
      <c r="E2368" s="4" t="inlineStr">
        <is>
          <t>Business Runway</t>
        </is>
      </c>
      <c r="F2368" s="4" t="inlineStr">
        <is>
          <t>Loan</t>
        </is>
      </c>
      <c r="G2368" s="4" t="inlineStr">
        <is>
          <t>Income</t>
        </is>
      </c>
      <c r="H2368" s="12" t="n">
        <v>46004</v>
      </c>
      <c r="I2368" s="13" t="n">
        <v>0.7119328703703703</v>
      </c>
      <c r="J2368" s="14" t="n">
        <v>46004.71193287037</v>
      </c>
      <c r="K2368" s="15" t="n">
        <v>53652.16</v>
      </c>
      <c r="L2368" s="4" t="inlineStr">
        <is>
          <t>INR</t>
        </is>
      </c>
      <c r="M2368" s="15" t="n">
        <v>53652.16</v>
      </c>
      <c r="N2368" s="4" t="inlineStr">
        <is>
          <t>IOS Owner</t>
        </is>
      </c>
      <c r="O2368" s="4" t="n"/>
      <c r="P2368" s="4" t="n"/>
      <c r="Q2368" s="4" t="inlineStr">
        <is>
          <t>MAESTRO-IOS-BUSINESS-BUSINESS_RUNWAY-2367 | Loan | 53652.16</t>
        </is>
      </c>
      <c r="R2368" s="4" t="inlineStr">
        <is>
          <t>iPhone</t>
        </is>
      </c>
      <c r="S2368" s="4" t="inlineStr">
        <is>
          <t>B48</t>
        </is>
      </c>
      <c r="T2368" s="4" t="inlineStr">
        <is>
          <t>RAMP_1501_2500</t>
        </is>
      </c>
      <c r="U2368" s="4" t="inlineStr">
        <is>
          <t>CREATED</t>
        </is>
      </c>
      <c r="V2368" s="4" t="inlineStr">
        <is>
          <t>idem-20260902-ios-2367</t>
        </is>
      </c>
    </row>
    <row r="2369" ht="30" customHeight="1">
      <c r="A2369" s="4" t="n">
        <v>2368</v>
      </c>
      <c r="B2369" s="4" t="inlineStr">
        <is>
          <t>MTR-IOS-2368</t>
        </is>
      </c>
      <c r="C2369" s="4" t="inlineStr">
        <is>
          <t>Personal</t>
        </is>
      </c>
      <c r="D2369" s="4" t="inlineStr">
        <is>
          <t>Personal</t>
        </is>
      </c>
      <c r="E2369" s="4" t="inlineStr">
        <is>
          <t>Future Building</t>
        </is>
      </c>
      <c r="F2369" s="4" t="inlineStr">
        <is>
          <t>Savings</t>
        </is>
      </c>
      <c r="G2369" s="4" t="inlineStr">
        <is>
          <t>Transfer</t>
        </is>
      </c>
      <c r="H2369" s="12" t="n">
        <v>46168</v>
      </c>
      <c r="I2369" s="13" t="n">
        <v>0.9330439814814815</v>
      </c>
      <c r="J2369" s="14" t="n">
        <v>46168.93304398148</v>
      </c>
      <c r="K2369" s="15" t="n">
        <v>999.99</v>
      </c>
      <c r="L2369" s="4" t="inlineStr">
        <is>
          <t>INR</t>
        </is>
      </c>
      <c r="M2369" s="15" t="n">
        <v>0</v>
      </c>
      <c r="N2369" s="4" t="inlineStr">
        <is>
          <t>IOS Owner</t>
        </is>
      </c>
      <c r="O2369" s="4" t="n"/>
      <c r="P2369" s="4" t="n"/>
      <c r="Q2369" s="4" t="inlineStr">
        <is>
          <t>MAESTRO-IOS-PERSONAL-FUTURE_BUILDING-2368 | Savings | 999.99</t>
        </is>
      </c>
      <c r="R2369" s="4" t="inlineStr">
        <is>
          <t>iPhone</t>
        </is>
      </c>
      <c r="S2369" s="4" t="inlineStr">
        <is>
          <t>B48</t>
        </is>
      </c>
      <c r="T2369" s="4" t="inlineStr">
        <is>
          <t>RAMP_1501_2500</t>
        </is>
      </c>
      <c r="U2369" s="4" t="inlineStr">
        <is>
          <t>CREATED</t>
        </is>
      </c>
      <c r="V2369" s="4" t="inlineStr">
        <is>
          <t>idem-20260902-ios-2368</t>
        </is>
      </c>
    </row>
    <row r="2370" ht="30" customHeight="1">
      <c r="A2370" s="4" t="n">
        <v>2369</v>
      </c>
      <c r="B2370" s="4" t="inlineStr">
        <is>
          <t>MTR-IOS-2369</t>
        </is>
      </c>
      <c r="C2370" s="4" t="inlineStr">
        <is>
          <t>Group</t>
        </is>
      </c>
      <c r="D2370" s="4" t="inlineStr">
        <is>
          <t>Shared Purchase</t>
        </is>
      </c>
      <c r="E2370" s="4" t="inlineStr">
        <is>
          <t>Assets</t>
        </is>
      </c>
      <c r="F2370" s="4" t="inlineStr">
        <is>
          <t>Insurance</t>
        </is>
      </c>
      <c r="G2370" s="4" t="inlineStr">
        <is>
          <t>Expense</t>
        </is>
      </c>
      <c r="H2370" s="12" t="n">
        <v>46023</v>
      </c>
      <c r="I2370" s="13" t="n">
        <v>0.5783217592592592</v>
      </c>
      <c r="J2370" s="14" t="n">
        <v>46023.57832175926</v>
      </c>
      <c r="K2370" s="15" t="n">
        <v>24466.51</v>
      </c>
      <c r="L2370" s="4" t="inlineStr">
        <is>
          <t>INR</t>
        </is>
      </c>
      <c r="M2370" s="15" t="n">
        <v>-24466.51</v>
      </c>
      <c r="N2370" s="4" t="inlineStr">
        <is>
          <t>IOS Owner</t>
        </is>
      </c>
      <c r="O2370" s="4" t="n">
        <v>3</v>
      </c>
      <c r="P2370" s="4" t="inlineStr">
        <is>
          <t>PERCENTAGE</t>
        </is>
      </c>
      <c r="Q2370" s="4" t="inlineStr">
        <is>
          <t>MAESTRO-IOS-GROUP-ASSETS-2369 | Insurance | 24466.51</t>
        </is>
      </c>
      <c r="R2370" s="4" t="inlineStr">
        <is>
          <t>iPhone</t>
        </is>
      </c>
      <c r="S2370" s="4" t="inlineStr">
        <is>
          <t>B48</t>
        </is>
      </c>
      <c r="T2370" s="4" t="inlineStr">
        <is>
          <t>RAMP_1501_2500</t>
        </is>
      </c>
      <c r="U2370" s="4" t="inlineStr">
        <is>
          <t>CREATED</t>
        </is>
      </c>
      <c r="V2370" s="4" t="inlineStr">
        <is>
          <t>idem-20260902-ios-2369</t>
        </is>
      </c>
    </row>
    <row r="2371" ht="30" customHeight="1">
      <c r="A2371" s="4" t="n">
        <v>2370</v>
      </c>
      <c r="B2371" s="4" t="inlineStr">
        <is>
          <t>MTR-IOS-2370</t>
        </is>
      </c>
      <c r="C2371" s="4" t="inlineStr">
        <is>
          <t>Business</t>
        </is>
      </c>
      <c r="D2371" s="4" t="inlineStr">
        <is>
          <t>Business</t>
        </is>
      </c>
      <c r="E2371" s="4" t="inlineStr">
        <is>
          <t>Business Runway</t>
        </is>
      </c>
      <c r="F2371" s="4" t="inlineStr">
        <is>
          <t>Investment</t>
        </is>
      </c>
      <c r="G2371" s="4" t="inlineStr">
        <is>
          <t>Income</t>
        </is>
      </c>
      <c r="H2371" s="12" t="n">
        <v>45995</v>
      </c>
      <c r="I2371" s="13" t="n">
        <v>0.8361921296296296</v>
      </c>
      <c r="J2371" s="14" t="n">
        <v>45995.83619212963</v>
      </c>
      <c r="K2371" s="15" t="n">
        <v>127249.32</v>
      </c>
      <c r="L2371" s="4" t="inlineStr">
        <is>
          <t>INR</t>
        </is>
      </c>
      <c r="M2371" s="15" t="n">
        <v>127249.32</v>
      </c>
      <c r="N2371" s="4" t="inlineStr">
        <is>
          <t>IOS Owner</t>
        </is>
      </c>
      <c r="O2371" s="4" t="n"/>
      <c r="P2371" s="4" t="n"/>
      <c r="Q2371" s="4" t="inlineStr">
        <is>
          <t>MAESTRO-IOS-BUSINESS-BUSINESS_RUNWAY-2370 | Investment | 127249.32</t>
        </is>
      </c>
      <c r="R2371" s="4" t="inlineStr">
        <is>
          <t>iPhone</t>
        </is>
      </c>
      <c r="S2371" s="4" t="inlineStr">
        <is>
          <t>B48</t>
        </is>
      </c>
      <c r="T2371" s="4" t="inlineStr">
        <is>
          <t>RAMP_1501_2500</t>
        </is>
      </c>
      <c r="U2371" s="4" t="inlineStr">
        <is>
          <t>CREATED</t>
        </is>
      </c>
      <c r="V2371" s="4" t="inlineStr">
        <is>
          <t>idem-20260902-ios-2370</t>
        </is>
      </c>
    </row>
    <row r="2372" ht="30" customHeight="1">
      <c r="A2372" s="4" t="n">
        <v>2371</v>
      </c>
      <c r="B2372" s="4" t="inlineStr">
        <is>
          <t>MTR-IOS-2371</t>
        </is>
      </c>
      <c r="C2372" s="4" t="inlineStr">
        <is>
          <t>Personal</t>
        </is>
      </c>
      <c r="D2372" s="4" t="inlineStr">
        <is>
          <t>Personal</t>
        </is>
      </c>
      <c r="E2372" s="4" t="inlineStr">
        <is>
          <t>Future Building</t>
        </is>
      </c>
      <c r="F2372" s="4" t="inlineStr">
        <is>
          <t>Emergency Fund</t>
        </is>
      </c>
      <c r="G2372" s="4" t="inlineStr">
        <is>
          <t>Transfer</t>
        </is>
      </c>
      <c r="H2372" s="12" t="n">
        <v>46081</v>
      </c>
      <c r="I2372" s="13" t="n">
        <v>0.8003703703703704</v>
      </c>
      <c r="J2372" s="14" t="n">
        <v>46081.80037037037</v>
      </c>
      <c r="K2372" s="15" t="n">
        <v>2101.49</v>
      </c>
      <c r="L2372" s="4" t="inlineStr">
        <is>
          <t>INR</t>
        </is>
      </c>
      <c r="M2372" s="15" t="n">
        <v>0</v>
      </c>
      <c r="N2372" s="4" t="inlineStr">
        <is>
          <t>IOS Owner</t>
        </is>
      </c>
      <c r="O2372" s="4" t="n"/>
      <c r="P2372" s="4" t="n"/>
      <c r="Q2372" s="4" t="inlineStr">
        <is>
          <t>MAESTRO-IOS-PERSONAL-FUTURE_BUILDING-2371 | Emergency Fund | 2101.49</t>
        </is>
      </c>
      <c r="R2372" s="4" t="inlineStr">
        <is>
          <t>iPhone</t>
        </is>
      </c>
      <c r="S2372" s="4" t="inlineStr">
        <is>
          <t>B48</t>
        </is>
      </c>
      <c r="T2372" s="4" t="inlineStr">
        <is>
          <t>RAMP_1501_2500</t>
        </is>
      </c>
      <c r="U2372" s="4" t="inlineStr">
        <is>
          <t>CREATED</t>
        </is>
      </c>
      <c r="V2372" s="4" t="inlineStr">
        <is>
          <t>idem-20260902-ios-2371</t>
        </is>
      </c>
    </row>
    <row r="2373" ht="30" customHeight="1">
      <c r="A2373" s="4" t="n">
        <v>2372</v>
      </c>
      <c r="B2373" s="4" t="inlineStr">
        <is>
          <t>MTR-IOS-2372</t>
        </is>
      </c>
      <c r="C2373" s="4" t="inlineStr">
        <is>
          <t>Group</t>
        </is>
      </c>
      <c r="D2373" s="4" t="inlineStr">
        <is>
          <t>Shared Purchase</t>
        </is>
      </c>
      <c r="E2373" s="4" t="inlineStr">
        <is>
          <t>Assets</t>
        </is>
      </c>
      <c r="F2373" s="4" t="inlineStr">
        <is>
          <t>Other</t>
        </is>
      </c>
      <c r="G2373" s="4" t="inlineStr">
        <is>
          <t>Expense</t>
        </is>
      </c>
      <c r="H2373" s="12" t="n">
        <v>45956</v>
      </c>
      <c r="I2373" s="13" t="n">
        <v>0.0171875</v>
      </c>
      <c r="J2373" s="14" t="n">
        <v>45956.0171875</v>
      </c>
      <c r="K2373" s="15" t="n">
        <v>1124.2</v>
      </c>
      <c r="L2373" s="4" t="inlineStr">
        <is>
          <t>INR</t>
        </is>
      </c>
      <c r="M2373" s="15" t="n">
        <v>-1124.2</v>
      </c>
      <c r="N2373" s="4" t="inlineStr">
        <is>
          <t>IOS Aarav</t>
        </is>
      </c>
      <c r="O2373" s="4" t="n">
        <v>3</v>
      </c>
      <c r="P2373" s="4" t="inlineStr">
        <is>
          <t>EXACT</t>
        </is>
      </c>
      <c r="Q2373" s="4" t="inlineStr">
        <is>
          <t>MAESTRO-IOS-GROUP-ASSETS-2372 | Other | 1124.20</t>
        </is>
      </c>
      <c r="R2373" s="4" t="inlineStr">
        <is>
          <t>iPhone</t>
        </is>
      </c>
      <c r="S2373" s="4" t="inlineStr">
        <is>
          <t>B48</t>
        </is>
      </c>
      <c r="T2373" s="4" t="inlineStr">
        <is>
          <t>RAMP_1501_2500</t>
        </is>
      </c>
      <c r="U2373" s="4" t="inlineStr">
        <is>
          <t>CREATED</t>
        </is>
      </c>
      <c r="V2373" s="4" t="inlineStr">
        <is>
          <t>idem-20260902-ios-2372</t>
        </is>
      </c>
    </row>
    <row r="2374" ht="30" customHeight="1">
      <c r="A2374" s="4" t="n">
        <v>2373</v>
      </c>
      <c r="B2374" s="4" t="inlineStr">
        <is>
          <t>MTR-IOS-2373</t>
        </is>
      </c>
      <c r="C2374" s="4" t="inlineStr">
        <is>
          <t>Business</t>
        </is>
      </c>
      <c r="D2374" s="4" t="inlineStr">
        <is>
          <t>Business</t>
        </is>
      </c>
      <c r="E2374" s="4" t="inlineStr">
        <is>
          <t>Business Operations</t>
        </is>
      </c>
      <c r="F2374" s="4" t="inlineStr">
        <is>
          <t>Software</t>
        </is>
      </c>
      <c r="G2374" s="4" t="inlineStr">
        <is>
          <t>Expense</t>
        </is>
      </c>
      <c r="H2374" s="12" t="n">
        <v>45943</v>
      </c>
      <c r="I2374" s="13" t="n">
        <v>0.03744212962962963</v>
      </c>
      <c r="J2374" s="14" t="n">
        <v>45943.03744212963</v>
      </c>
      <c r="K2374" s="15" t="n">
        <v>88275.10000000001</v>
      </c>
      <c r="L2374" s="4" t="inlineStr">
        <is>
          <t>INR</t>
        </is>
      </c>
      <c r="M2374" s="15" t="n">
        <v>-88275.10000000001</v>
      </c>
      <c r="N2374" s="4" t="inlineStr">
        <is>
          <t>IOS Owner</t>
        </is>
      </c>
      <c r="O2374" s="4" t="n"/>
      <c r="P2374" s="4" t="n"/>
      <c r="Q2374" s="4" t="inlineStr">
        <is>
          <t>MAESTRO-IOS-BUSINESS-BUSINESS_OPERATIONS-2373 | Software | 88275.10</t>
        </is>
      </c>
      <c r="R2374" s="4" t="inlineStr">
        <is>
          <t>iPhone</t>
        </is>
      </c>
      <c r="S2374" s="4" t="inlineStr">
        <is>
          <t>B48</t>
        </is>
      </c>
      <c r="T2374" s="4" t="inlineStr">
        <is>
          <t>RAMP_1501_2500</t>
        </is>
      </c>
      <c r="U2374" s="4" t="inlineStr">
        <is>
          <t>CREATED</t>
        </is>
      </c>
      <c r="V2374" s="4" t="inlineStr">
        <is>
          <t>idem-20260902-ios-2373</t>
        </is>
      </c>
    </row>
    <row r="2375" ht="30" customHeight="1">
      <c r="A2375" s="4" t="n">
        <v>2374</v>
      </c>
      <c r="B2375" s="4" t="inlineStr">
        <is>
          <t>MTR-IOS-2374</t>
        </is>
      </c>
      <c r="C2375" s="4" t="inlineStr">
        <is>
          <t>Personal</t>
        </is>
      </c>
      <c r="D2375" s="4" t="inlineStr">
        <is>
          <t>Personal</t>
        </is>
      </c>
      <c r="E2375" s="4" t="inlineStr">
        <is>
          <t>Future Building</t>
        </is>
      </c>
      <c r="F2375" s="4" t="inlineStr">
        <is>
          <t>Investments</t>
        </is>
      </c>
      <c r="G2375" s="4" t="inlineStr">
        <is>
          <t>Investment</t>
        </is>
      </c>
      <c r="H2375" s="12" t="n">
        <v>45963</v>
      </c>
      <c r="I2375" s="13" t="n">
        <v>0.816400462962963</v>
      </c>
      <c r="J2375" s="14" t="n">
        <v>45963.81640046297</v>
      </c>
      <c r="K2375" s="15" t="n">
        <v>1728.97</v>
      </c>
      <c r="L2375" s="4" t="inlineStr">
        <is>
          <t>INR</t>
        </is>
      </c>
      <c r="M2375" s="15" t="n">
        <v>0</v>
      </c>
      <c r="N2375" s="4" t="inlineStr">
        <is>
          <t>IOS Owner</t>
        </is>
      </c>
      <c r="O2375" s="4" t="n"/>
      <c r="P2375" s="4" t="n"/>
      <c r="Q2375" s="4" t="inlineStr">
        <is>
          <t>MAESTRO-IOS-PERSONAL-FUTURE_BUILDING-2374 | Investments | 1728.97</t>
        </is>
      </c>
      <c r="R2375" s="4" t="inlineStr">
        <is>
          <t>iPhone</t>
        </is>
      </c>
      <c r="S2375" s="4" t="inlineStr">
        <is>
          <t>B48</t>
        </is>
      </c>
      <c r="T2375" s="4" t="inlineStr">
        <is>
          <t>RAMP_1501_2500</t>
        </is>
      </c>
      <c r="U2375" s="4" t="inlineStr">
        <is>
          <t>CREATED</t>
        </is>
      </c>
      <c r="V2375" s="4" t="inlineStr">
        <is>
          <t>idem-20260902-ios-2374</t>
        </is>
      </c>
    </row>
    <row r="2376" ht="30" customHeight="1">
      <c r="A2376" s="4" t="n">
        <v>2375</v>
      </c>
      <c r="B2376" s="4" t="inlineStr">
        <is>
          <t>MTR-IOS-2375</t>
        </is>
      </c>
      <c r="C2376" s="4" t="inlineStr">
        <is>
          <t>Group</t>
        </is>
      </c>
      <c r="D2376" s="4" t="inlineStr">
        <is>
          <t>Shared Purchase</t>
        </is>
      </c>
      <c r="E2376" s="4" t="inlineStr">
        <is>
          <t>Custom Purchase</t>
        </is>
      </c>
      <c r="F2376" s="4" t="inlineStr">
        <is>
          <t>Custom Expense</t>
        </is>
      </c>
      <c r="G2376" s="4" t="inlineStr">
        <is>
          <t>Expense</t>
        </is>
      </c>
      <c r="H2376" s="12" t="n">
        <v>45937</v>
      </c>
      <c r="I2376" s="13" t="n">
        <v>0.3100231481481481</v>
      </c>
      <c r="J2376" s="14" t="n">
        <v>45937.31002314815</v>
      </c>
      <c r="K2376" s="15" t="n">
        <v>25300.84</v>
      </c>
      <c r="L2376" s="4" t="inlineStr">
        <is>
          <t>INR</t>
        </is>
      </c>
      <c r="M2376" s="15" t="n">
        <v>-25300.84</v>
      </c>
      <c r="N2376" s="4" t="inlineStr">
        <is>
          <t>IOS Meera</t>
        </is>
      </c>
      <c r="O2376" s="4" t="n">
        <v>3</v>
      </c>
      <c r="P2376" s="4" t="inlineStr">
        <is>
          <t>SHARES</t>
        </is>
      </c>
      <c r="Q2376" s="4" t="inlineStr">
        <is>
          <t>MAESTRO-IOS-GROUP-CUSTOM_PURCHASE-2375 | Custom Expense | 25300.84</t>
        </is>
      </c>
      <c r="R2376" s="4" t="inlineStr">
        <is>
          <t>iPhone</t>
        </is>
      </c>
      <c r="S2376" s="4" t="inlineStr">
        <is>
          <t>B48</t>
        </is>
      </c>
      <c r="T2376" s="4" t="inlineStr">
        <is>
          <t>RAMP_1501_2500</t>
        </is>
      </c>
      <c r="U2376" s="4" t="inlineStr">
        <is>
          <t>CREATED</t>
        </is>
      </c>
      <c r="V2376" s="4" t="inlineStr">
        <is>
          <t>idem-20260902-ios-2375</t>
        </is>
      </c>
    </row>
    <row r="2377" ht="30" customHeight="1">
      <c r="A2377" s="4" t="n">
        <v>2376</v>
      </c>
      <c r="B2377" s="4" t="inlineStr">
        <is>
          <t>MTR-IOS-2376</t>
        </is>
      </c>
      <c r="C2377" s="4" t="inlineStr">
        <is>
          <t>Business</t>
        </is>
      </c>
      <c r="D2377" s="4" t="inlineStr">
        <is>
          <t>Business</t>
        </is>
      </c>
      <c r="E2377" s="4" t="inlineStr">
        <is>
          <t>Business Operations</t>
        </is>
      </c>
      <c r="F2377" s="4" t="inlineStr">
        <is>
          <t>Rent</t>
        </is>
      </c>
      <c r="G2377" s="4" t="inlineStr">
        <is>
          <t>Expense</t>
        </is>
      </c>
      <c r="H2377" s="12" t="n">
        <v>46034</v>
      </c>
      <c r="I2377" s="13" t="n">
        <v>0.9007175925925925</v>
      </c>
      <c r="J2377" s="14" t="n">
        <v>46034.90071759259</v>
      </c>
      <c r="K2377" s="15" t="n">
        <v>152543.17</v>
      </c>
      <c r="L2377" s="4" t="inlineStr">
        <is>
          <t>INR</t>
        </is>
      </c>
      <c r="M2377" s="15" t="n">
        <v>-152543.17</v>
      </c>
      <c r="N2377" s="4" t="inlineStr">
        <is>
          <t>IOS Owner</t>
        </is>
      </c>
      <c r="O2377" s="4" t="n"/>
      <c r="P2377" s="4" t="n"/>
      <c r="Q2377" s="4" t="inlineStr">
        <is>
          <t>MAESTRO-IOS-BUSINESS-BUSINESS_OPERATIONS-2376 | Rent | 152543.17</t>
        </is>
      </c>
      <c r="R2377" s="4" t="inlineStr">
        <is>
          <t>iPhone</t>
        </is>
      </c>
      <c r="S2377" s="4" t="inlineStr">
        <is>
          <t>B48</t>
        </is>
      </c>
      <c r="T2377" s="4" t="inlineStr">
        <is>
          <t>RAMP_1501_2500</t>
        </is>
      </c>
      <c r="U2377" s="4" t="inlineStr">
        <is>
          <t>CREATED</t>
        </is>
      </c>
      <c r="V2377" s="4" t="inlineStr">
        <is>
          <t>idem-20260902-ios-2376</t>
        </is>
      </c>
    </row>
    <row r="2378" ht="30" customHeight="1">
      <c r="A2378" s="4" t="n">
        <v>2377</v>
      </c>
      <c r="B2378" s="4" t="inlineStr">
        <is>
          <t>MTR-IOS-2377</t>
        </is>
      </c>
      <c r="C2378" s="4" t="inlineStr">
        <is>
          <t>Personal</t>
        </is>
      </c>
      <c r="D2378" s="4" t="inlineStr">
        <is>
          <t>Personal</t>
        </is>
      </c>
      <c r="E2378" s="4" t="inlineStr">
        <is>
          <t>Future Building</t>
        </is>
      </c>
      <c r="F2378" s="4" t="inlineStr">
        <is>
          <t>Education</t>
        </is>
      </c>
      <c r="G2378" s="4" t="inlineStr">
        <is>
          <t>Expense</t>
        </is>
      </c>
      <c r="H2378" s="12" t="n">
        <v>46040</v>
      </c>
      <c r="I2378" s="13" t="n">
        <v>0.5314236111111111</v>
      </c>
      <c r="J2378" s="14" t="n">
        <v>46040.53142361111</v>
      </c>
      <c r="K2378" s="15" t="n">
        <v>2295.78</v>
      </c>
      <c r="L2378" s="4" t="inlineStr">
        <is>
          <t>INR</t>
        </is>
      </c>
      <c r="M2378" s="15" t="n">
        <v>-2295.78</v>
      </c>
      <c r="N2378" s="4" t="inlineStr">
        <is>
          <t>IOS Owner</t>
        </is>
      </c>
      <c r="O2378" s="4" t="n"/>
      <c r="P2378" s="4" t="n"/>
      <c r="Q2378" s="4" t="inlineStr">
        <is>
          <t>MAESTRO-IOS-PERSONAL-FUTURE_BUILDING-2377 | Education | 2295.78</t>
        </is>
      </c>
      <c r="R2378" s="4" t="inlineStr">
        <is>
          <t>iPhone</t>
        </is>
      </c>
      <c r="S2378" s="4" t="inlineStr">
        <is>
          <t>B48</t>
        </is>
      </c>
      <c r="T2378" s="4" t="inlineStr">
        <is>
          <t>RAMP_1501_2500</t>
        </is>
      </c>
      <c r="U2378" s="4" t="inlineStr">
        <is>
          <t>CREATED</t>
        </is>
      </c>
      <c r="V2378" s="4" t="inlineStr">
        <is>
          <t>idem-20260902-ios-2377</t>
        </is>
      </c>
    </row>
    <row r="2379" ht="30" customHeight="1">
      <c r="A2379" s="4" t="n">
        <v>2378</v>
      </c>
      <c r="B2379" s="4" t="inlineStr">
        <is>
          <t>MTR-IOS-2378</t>
        </is>
      </c>
      <c r="C2379" s="4" t="inlineStr">
        <is>
          <t>Group</t>
        </is>
      </c>
      <c r="D2379" s="4" t="inlineStr">
        <is>
          <t>Shared Purchase</t>
        </is>
      </c>
      <c r="E2379" s="4" t="inlineStr">
        <is>
          <t>Custom Purchase</t>
        </is>
      </c>
      <c r="F2379" s="4" t="inlineStr">
        <is>
          <t>Custom Contribution</t>
        </is>
      </c>
      <c r="G2379" s="4" t="inlineStr">
        <is>
          <t>Contribution</t>
        </is>
      </c>
      <c r="H2379" s="12" t="n">
        <v>46165</v>
      </c>
      <c r="I2379" s="13" t="n">
        <v>0.5778703703703704</v>
      </c>
      <c r="J2379" s="14" t="n">
        <v>46165.57787037037</v>
      </c>
      <c r="K2379" s="15" t="n">
        <v>12420.63</v>
      </c>
      <c r="L2379" s="4" t="inlineStr">
        <is>
          <t>INR</t>
        </is>
      </c>
      <c r="M2379" s="15" t="n">
        <v>12420.63</v>
      </c>
      <c r="N2379" s="4" t="inlineStr">
        <is>
          <t>IOS Owner</t>
        </is>
      </c>
      <c r="O2379" s="4" t="n">
        <v>3</v>
      </c>
      <c r="P2379" s="4" t="inlineStr">
        <is>
          <t>EQUAL</t>
        </is>
      </c>
      <c r="Q2379" s="4" t="inlineStr">
        <is>
          <t>MAESTRO-IOS-GROUP-CUSTOM_PURCHASE-2378 | Custom Contribution | 12420.63</t>
        </is>
      </c>
      <c r="R2379" s="4" t="inlineStr">
        <is>
          <t>iPhone</t>
        </is>
      </c>
      <c r="S2379" s="4" t="inlineStr">
        <is>
          <t>B48</t>
        </is>
      </c>
      <c r="T2379" s="4" t="inlineStr">
        <is>
          <t>RAMP_1501_2500</t>
        </is>
      </c>
      <c r="U2379" s="4" t="inlineStr">
        <is>
          <t>CREATED</t>
        </is>
      </c>
      <c r="V2379" s="4" t="inlineStr">
        <is>
          <t>idem-20260902-ios-2378</t>
        </is>
      </c>
    </row>
    <row r="2380" ht="30" customHeight="1">
      <c r="A2380" s="4" t="n">
        <v>2379</v>
      </c>
      <c r="B2380" s="4" t="inlineStr">
        <is>
          <t>MTR-IOS-2379</t>
        </is>
      </c>
      <c r="C2380" s="4" t="inlineStr">
        <is>
          <t>Business</t>
        </is>
      </c>
      <c r="D2380" s="4" t="inlineStr">
        <is>
          <t>Business</t>
        </is>
      </c>
      <c r="E2380" s="4" t="inlineStr">
        <is>
          <t>Business Operations</t>
        </is>
      </c>
      <c r="F2380" s="4" t="inlineStr">
        <is>
          <t>Marketing</t>
        </is>
      </c>
      <c r="G2380" s="4" t="inlineStr">
        <is>
          <t>Expense</t>
        </is>
      </c>
      <c r="H2380" s="12" t="n">
        <v>46227</v>
      </c>
      <c r="I2380" s="13" t="n">
        <v>0.7139583333333334</v>
      </c>
      <c r="J2380" s="14" t="n">
        <v>46227.71395833333</v>
      </c>
      <c r="K2380" s="15" t="n">
        <v>36636.36</v>
      </c>
      <c r="L2380" s="4" t="inlineStr">
        <is>
          <t>INR</t>
        </is>
      </c>
      <c r="M2380" s="15" t="n">
        <v>-36636.36</v>
      </c>
      <c r="N2380" s="4" t="inlineStr">
        <is>
          <t>IOS Owner</t>
        </is>
      </c>
      <c r="O2380" s="4" t="n"/>
      <c r="P2380" s="4" t="n"/>
      <c r="Q2380" s="4" t="inlineStr">
        <is>
          <t>MAESTRO-IOS-BUSINESS-BUSINESS_OPERATIONS-2379 | Marketing | 36636.36</t>
        </is>
      </c>
      <c r="R2380" s="4" t="inlineStr">
        <is>
          <t>iPhone</t>
        </is>
      </c>
      <c r="S2380" s="4" t="inlineStr">
        <is>
          <t>B48</t>
        </is>
      </c>
      <c r="T2380" s="4" t="inlineStr">
        <is>
          <t>RAMP_1501_2500</t>
        </is>
      </c>
      <c r="U2380" s="4" t="inlineStr">
        <is>
          <t>CREATED</t>
        </is>
      </c>
      <c r="V2380" s="4" t="inlineStr">
        <is>
          <t>idem-20260902-ios-2379</t>
        </is>
      </c>
    </row>
    <row r="2381" ht="30" customHeight="1">
      <c r="A2381" s="4" t="n">
        <v>2380</v>
      </c>
      <c r="B2381" s="4" t="inlineStr">
        <is>
          <t>MTR-IOS-2380</t>
        </is>
      </c>
      <c r="C2381" s="4" t="inlineStr">
        <is>
          <t>Personal</t>
        </is>
      </c>
      <c r="D2381" s="4" t="inlineStr">
        <is>
          <t>Personal</t>
        </is>
      </c>
      <c r="E2381" s="4" t="inlineStr">
        <is>
          <t>Future Building</t>
        </is>
      </c>
      <c r="F2381" s="4" t="inlineStr">
        <is>
          <t>Goal Contribution</t>
        </is>
      </c>
      <c r="G2381" s="4" t="inlineStr">
        <is>
          <t>Transfer</t>
        </is>
      </c>
      <c r="H2381" s="12" t="n">
        <v>45984</v>
      </c>
      <c r="I2381" s="13" t="n">
        <v>0.7920023148148149</v>
      </c>
      <c r="J2381" s="14" t="n">
        <v>45984.79200231482</v>
      </c>
      <c r="K2381" s="15" t="n">
        <v>12341.27</v>
      </c>
      <c r="L2381" s="4" t="inlineStr">
        <is>
          <t>INR</t>
        </is>
      </c>
      <c r="M2381" s="15" t="n">
        <v>0</v>
      </c>
      <c r="N2381" s="4" t="inlineStr">
        <is>
          <t>IOS Owner</t>
        </is>
      </c>
      <c r="O2381" s="4" t="n"/>
      <c r="P2381" s="4" t="n"/>
      <c r="Q2381" s="4" t="inlineStr">
        <is>
          <t>MAESTRO-IOS-PERSONAL-FUTURE_BUILDING-2380 | Goal Contribution | 12341.27</t>
        </is>
      </c>
      <c r="R2381" s="4" t="inlineStr">
        <is>
          <t>iPhone</t>
        </is>
      </c>
      <c r="S2381" s="4" t="inlineStr">
        <is>
          <t>B48</t>
        </is>
      </c>
      <c r="T2381" s="4" t="inlineStr">
        <is>
          <t>RAMP_1501_2500</t>
        </is>
      </c>
      <c r="U2381" s="4" t="inlineStr">
        <is>
          <t>CREATED</t>
        </is>
      </c>
      <c r="V2381" s="4" t="inlineStr">
        <is>
          <t>idem-20260902-ios-2380</t>
        </is>
      </c>
    </row>
    <row r="2382" ht="30" customHeight="1">
      <c r="A2382" s="4" t="n">
        <v>2381</v>
      </c>
      <c r="B2382" s="4" t="inlineStr">
        <is>
          <t>MTR-IOS-2381</t>
        </is>
      </c>
      <c r="C2382" s="4" t="inlineStr">
        <is>
          <t>Group</t>
        </is>
      </c>
      <c r="D2382" s="4" t="inlineStr">
        <is>
          <t>Shared Living</t>
        </is>
      </c>
      <c r="E2382" s="4" t="inlineStr">
        <is>
          <t>Flatmates</t>
        </is>
      </c>
      <c r="F2382" s="4" t="inlineStr">
        <is>
          <t>Rent</t>
        </is>
      </c>
      <c r="G2382" s="4" t="inlineStr">
        <is>
          <t>Expense</t>
        </is>
      </c>
      <c r="H2382" s="12" t="n">
        <v>46161</v>
      </c>
      <c r="I2382" s="13" t="n">
        <v>0.05650462962962963</v>
      </c>
      <c r="J2382" s="14" t="n">
        <v>46161.05650462963</v>
      </c>
      <c r="K2382" s="15" t="n">
        <v>20036.52</v>
      </c>
      <c r="L2382" s="4" t="inlineStr">
        <is>
          <t>INR</t>
        </is>
      </c>
      <c r="M2382" s="15" t="n">
        <v>-20036.52</v>
      </c>
      <c r="N2382" s="4" t="inlineStr">
        <is>
          <t>IOS Aarav</t>
        </is>
      </c>
      <c r="O2382" s="4" t="n">
        <v>3</v>
      </c>
      <c r="P2382" s="4" t="inlineStr">
        <is>
          <t>PERCENTAGE</t>
        </is>
      </c>
      <c r="Q2382" s="4" t="inlineStr">
        <is>
          <t>MAESTRO-IOS-GROUP-FLATMATES-2381 | Rent | 20036.52</t>
        </is>
      </c>
      <c r="R2382" s="4" t="inlineStr">
        <is>
          <t>iPhone</t>
        </is>
      </c>
      <c r="S2382" s="4" t="inlineStr">
        <is>
          <t>B48</t>
        </is>
      </c>
      <c r="T2382" s="4" t="inlineStr">
        <is>
          <t>RAMP_1501_2500</t>
        </is>
      </c>
      <c r="U2382" s="4" t="inlineStr">
        <is>
          <t>CREATED</t>
        </is>
      </c>
      <c r="V2382" s="4" t="inlineStr">
        <is>
          <t>idem-20260902-ios-2381</t>
        </is>
      </c>
    </row>
    <row r="2383" ht="30" customHeight="1">
      <c r="A2383" s="4" t="n">
        <v>2382</v>
      </c>
      <c r="B2383" s="4" t="inlineStr">
        <is>
          <t>MTR-IOS-2382</t>
        </is>
      </c>
      <c r="C2383" s="4" t="inlineStr">
        <is>
          <t>Business</t>
        </is>
      </c>
      <c r="D2383" s="4" t="inlineStr">
        <is>
          <t>Business</t>
        </is>
      </c>
      <c r="E2383" s="4" t="inlineStr">
        <is>
          <t>Business Operations</t>
        </is>
      </c>
      <c r="F2383" s="4" t="inlineStr">
        <is>
          <t>Legal</t>
        </is>
      </c>
      <c r="G2383" s="4" t="inlineStr">
        <is>
          <t>Expense</t>
        </is>
      </c>
      <c r="H2383" s="12" t="n">
        <v>45914</v>
      </c>
      <c r="I2383" s="13" t="n">
        <v>0.3409259259259259</v>
      </c>
      <c r="J2383" s="14" t="n">
        <v>45914.34092592593</v>
      </c>
      <c r="K2383" s="15" t="n">
        <v>19935</v>
      </c>
      <c r="L2383" s="4" t="inlineStr">
        <is>
          <t>INR</t>
        </is>
      </c>
      <c r="M2383" s="15" t="n">
        <v>-19935</v>
      </c>
      <c r="N2383" s="4" t="inlineStr">
        <is>
          <t>IOS Owner</t>
        </is>
      </c>
      <c r="O2383" s="4" t="n"/>
      <c r="P2383" s="4" t="n"/>
      <c r="Q2383" s="4" t="inlineStr">
        <is>
          <t>MAESTRO-IOS-BUSINESS-BUSINESS_OPERATIONS-2382 | Legal | 19935.00</t>
        </is>
      </c>
      <c r="R2383" s="4" t="inlineStr">
        <is>
          <t>iPhone</t>
        </is>
      </c>
      <c r="S2383" s="4" t="inlineStr">
        <is>
          <t>B48</t>
        </is>
      </c>
      <c r="T2383" s="4" t="inlineStr">
        <is>
          <t>RAMP_1501_2500</t>
        </is>
      </c>
      <c r="U2383" s="4" t="inlineStr">
        <is>
          <t>CREATED</t>
        </is>
      </c>
      <c r="V2383" s="4" t="inlineStr">
        <is>
          <t>idem-20260902-ios-2382</t>
        </is>
      </c>
    </row>
    <row r="2384" ht="30" customHeight="1">
      <c r="A2384" s="4" t="n">
        <v>2383</v>
      </c>
      <c r="B2384" s="4" t="inlineStr">
        <is>
          <t>MTR-IOS-2383</t>
        </is>
      </c>
      <c r="C2384" s="4" t="inlineStr">
        <is>
          <t>Personal</t>
        </is>
      </c>
      <c r="D2384" s="4" t="inlineStr">
        <is>
          <t>Personal</t>
        </is>
      </c>
      <c r="E2384" s="4" t="inlineStr">
        <is>
          <t>Lifestyle</t>
        </is>
      </c>
      <c r="F2384" s="4" t="inlineStr">
        <is>
          <t>Dining</t>
        </is>
      </c>
      <c r="G2384" s="4" t="inlineStr">
        <is>
          <t>Expense</t>
        </is>
      </c>
      <c r="H2384" s="12" t="n">
        <v>46078</v>
      </c>
      <c r="I2384" s="13" t="n">
        <v>0.5669444444444445</v>
      </c>
      <c r="J2384" s="14" t="n">
        <v>46078.56694444444</v>
      </c>
      <c r="K2384" s="15" t="n">
        <v>12215.51</v>
      </c>
      <c r="L2384" s="4" t="inlineStr">
        <is>
          <t>INR</t>
        </is>
      </c>
      <c r="M2384" s="15" t="n">
        <v>-12215.51</v>
      </c>
      <c r="N2384" s="4" t="inlineStr">
        <is>
          <t>IOS Owner</t>
        </is>
      </c>
      <c r="O2384" s="4" t="n"/>
      <c r="P2384" s="4" t="n"/>
      <c r="Q2384" s="4" t="inlineStr">
        <is>
          <t>MAESTRO-IOS-PERSONAL-LIFESTYLE-2383 | Dining | 12215.51</t>
        </is>
      </c>
      <c r="R2384" s="4" t="inlineStr">
        <is>
          <t>iPhone</t>
        </is>
      </c>
      <c r="S2384" s="4" t="inlineStr">
        <is>
          <t>B48</t>
        </is>
      </c>
      <c r="T2384" s="4" t="inlineStr">
        <is>
          <t>RAMP_1501_2500</t>
        </is>
      </c>
      <c r="U2384" s="4" t="inlineStr">
        <is>
          <t>CREATED</t>
        </is>
      </c>
      <c r="V2384" s="4" t="inlineStr">
        <is>
          <t>idem-20260902-ios-2383</t>
        </is>
      </c>
    </row>
    <row r="2385" ht="30" customHeight="1">
      <c r="A2385" s="4" t="n">
        <v>2384</v>
      </c>
      <c r="B2385" s="4" t="inlineStr">
        <is>
          <t>MTR-IOS-2384</t>
        </is>
      </c>
      <c r="C2385" s="4" t="inlineStr">
        <is>
          <t>Group</t>
        </is>
      </c>
      <c r="D2385" s="4" t="inlineStr">
        <is>
          <t>Shared Living</t>
        </is>
      </c>
      <c r="E2385" s="4" t="inlineStr">
        <is>
          <t>Flatmates</t>
        </is>
      </c>
      <c r="F2385" s="4" t="inlineStr">
        <is>
          <t>Utilities</t>
        </is>
      </c>
      <c r="G2385" s="4" t="inlineStr">
        <is>
          <t>Expense</t>
        </is>
      </c>
      <c r="H2385" s="12" t="n">
        <v>46080</v>
      </c>
      <c r="I2385" s="13" t="n">
        <v>0.8602662037037037</v>
      </c>
      <c r="J2385" s="14" t="n">
        <v>46080.8602662037</v>
      </c>
      <c r="K2385" s="15" t="n">
        <v>15938.4</v>
      </c>
      <c r="L2385" s="4" t="inlineStr">
        <is>
          <t>INR</t>
        </is>
      </c>
      <c r="M2385" s="15" t="n">
        <v>-15938.4</v>
      </c>
      <c r="N2385" s="4" t="inlineStr">
        <is>
          <t>IOS Meera</t>
        </is>
      </c>
      <c r="O2385" s="4" t="n">
        <v>3</v>
      </c>
      <c r="P2385" s="4" t="inlineStr">
        <is>
          <t>EXACT</t>
        </is>
      </c>
      <c r="Q2385" s="4" t="inlineStr">
        <is>
          <t>MAESTRO-IOS-GROUP-FLATMATES-2384 | Utilities | 15938.40</t>
        </is>
      </c>
      <c r="R2385" s="4" t="inlineStr">
        <is>
          <t>iPhone</t>
        </is>
      </c>
      <c r="S2385" s="4" t="inlineStr">
        <is>
          <t>B48</t>
        </is>
      </c>
      <c r="T2385" s="4" t="inlineStr">
        <is>
          <t>RAMP_1501_2500</t>
        </is>
      </c>
      <c r="U2385" s="4" t="inlineStr">
        <is>
          <t>CREATED</t>
        </is>
      </c>
      <c r="V2385" s="4" t="inlineStr">
        <is>
          <t>idem-20260902-ios-2384</t>
        </is>
      </c>
    </row>
    <row r="2386" ht="30" customHeight="1">
      <c r="A2386" s="4" t="n">
        <v>2385</v>
      </c>
      <c r="B2386" s="4" t="inlineStr">
        <is>
          <t>MTR-IOS-2385</t>
        </is>
      </c>
      <c r="C2386" s="4" t="inlineStr">
        <is>
          <t>Business</t>
        </is>
      </c>
      <c r="D2386" s="4" t="inlineStr">
        <is>
          <t>Business</t>
        </is>
      </c>
      <c r="E2386" s="4" t="inlineStr">
        <is>
          <t>Business Operations</t>
        </is>
      </c>
      <c r="F2386" s="4" t="inlineStr">
        <is>
          <t>Accounting</t>
        </is>
      </c>
      <c r="G2386" s="4" t="inlineStr">
        <is>
          <t>Expense</t>
        </is>
      </c>
      <c r="H2386" s="12" t="n">
        <v>46223</v>
      </c>
      <c r="I2386" s="13" t="n">
        <v>0.2578819444444445</v>
      </c>
      <c r="J2386" s="14" t="n">
        <v>46223.25788194445</v>
      </c>
      <c r="K2386" s="15" t="n">
        <v>43182.93</v>
      </c>
      <c r="L2386" s="4" t="inlineStr">
        <is>
          <t>INR</t>
        </is>
      </c>
      <c r="M2386" s="15" t="n">
        <v>-43182.93</v>
      </c>
      <c r="N2386" s="4" t="inlineStr">
        <is>
          <t>IOS Owner</t>
        </is>
      </c>
      <c r="O2386" s="4" t="n"/>
      <c r="P2386" s="4" t="n"/>
      <c r="Q2386" s="4" t="inlineStr">
        <is>
          <t>MAESTRO-IOS-BUSINESS-BUSINESS_OPERATIONS-2385 | Accounting | 43182.93</t>
        </is>
      </c>
      <c r="R2386" s="4" t="inlineStr">
        <is>
          <t>iPhone</t>
        </is>
      </c>
      <c r="S2386" s="4" t="inlineStr">
        <is>
          <t>B48</t>
        </is>
      </c>
      <c r="T2386" s="4" t="inlineStr">
        <is>
          <t>RAMP_1501_2500</t>
        </is>
      </c>
      <c r="U2386" s="4" t="inlineStr">
        <is>
          <t>CREATED</t>
        </is>
      </c>
      <c r="V2386" s="4" t="inlineStr">
        <is>
          <t>idem-20260902-ios-2385</t>
        </is>
      </c>
    </row>
    <row r="2387" ht="30" customHeight="1">
      <c r="A2387" s="4" t="n">
        <v>2386</v>
      </c>
      <c r="B2387" s="4" t="inlineStr">
        <is>
          <t>MTR-IOS-2386</t>
        </is>
      </c>
      <c r="C2387" s="4" t="inlineStr">
        <is>
          <t>Personal</t>
        </is>
      </c>
      <c r="D2387" s="4" t="inlineStr">
        <is>
          <t>Personal</t>
        </is>
      </c>
      <c r="E2387" s="4" t="inlineStr">
        <is>
          <t>Lifestyle</t>
        </is>
      </c>
      <c r="F2387" s="4" t="inlineStr">
        <is>
          <t>Shopping</t>
        </is>
      </c>
      <c r="G2387" s="4" t="inlineStr">
        <is>
          <t>Expense</t>
        </is>
      </c>
      <c r="H2387" s="12" t="n">
        <v>46243</v>
      </c>
      <c r="I2387" s="13" t="n">
        <v>0.7601851851851852</v>
      </c>
      <c r="J2387" s="14" t="n">
        <v>46243.76018518519</v>
      </c>
      <c r="K2387" s="15" t="n">
        <v>8200.32</v>
      </c>
      <c r="L2387" s="4" t="inlineStr">
        <is>
          <t>INR</t>
        </is>
      </c>
      <c r="M2387" s="15" t="n">
        <v>-8200.32</v>
      </c>
      <c r="N2387" s="4" t="inlineStr">
        <is>
          <t>IOS Owner</t>
        </is>
      </c>
      <c r="O2387" s="4" t="n"/>
      <c r="P2387" s="4" t="n"/>
      <c r="Q2387" s="4" t="inlineStr">
        <is>
          <t>MAESTRO-IOS-PERSONAL-LIFESTYLE-2386 | Shopping | 8200.32</t>
        </is>
      </c>
      <c r="R2387" s="4" t="inlineStr">
        <is>
          <t>iPhone</t>
        </is>
      </c>
      <c r="S2387" s="4" t="inlineStr">
        <is>
          <t>B48</t>
        </is>
      </c>
      <c r="T2387" s="4" t="inlineStr">
        <is>
          <t>RAMP_1501_2500</t>
        </is>
      </c>
      <c r="U2387" s="4" t="inlineStr">
        <is>
          <t>CREATED</t>
        </is>
      </c>
      <c r="V2387" s="4" t="inlineStr">
        <is>
          <t>idem-20260902-ios-2386</t>
        </is>
      </c>
    </row>
    <row r="2388" ht="30" customHeight="1">
      <c r="A2388" s="4" t="n">
        <v>2387</v>
      </c>
      <c r="B2388" s="4" t="inlineStr">
        <is>
          <t>MTR-IOS-2387</t>
        </is>
      </c>
      <c r="C2388" s="4" t="inlineStr">
        <is>
          <t>Group</t>
        </is>
      </c>
      <c r="D2388" s="4" t="inlineStr">
        <is>
          <t>Shared Living</t>
        </is>
      </c>
      <c r="E2388" s="4" t="inlineStr">
        <is>
          <t>Flatmates</t>
        </is>
      </c>
      <c r="F2388" s="4" t="inlineStr">
        <is>
          <t>Groceries</t>
        </is>
      </c>
      <c r="G2388" s="4" t="inlineStr">
        <is>
          <t>Expense</t>
        </is>
      </c>
      <c r="H2388" s="12" t="n">
        <v>46174</v>
      </c>
      <c r="I2388" s="13" t="n">
        <v>0.6434143518518518</v>
      </c>
      <c r="J2388" s="14" t="n">
        <v>46174.64341435185</v>
      </c>
      <c r="K2388" s="15" t="n">
        <v>2008.72</v>
      </c>
      <c r="L2388" s="4" t="inlineStr">
        <is>
          <t>INR</t>
        </is>
      </c>
      <c r="M2388" s="15" t="n">
        <v>-2008.72</v>
      </c>
      <c r="N2388" s="4" t="inlineStr">
        <is>
          <t>IOS Owner</t>
        </is>
      </c>
      <c r="O2388" s="4" t="n">
        <v>3</v>
      </c>
      <c r="P2388" s="4" t="inlineStr">
        <is>
          <t>SHARES</t>
        </is>
      </c>
      <c r="Q2388" s="4" t="inlineStr">
        <is>
          <t>MAESTRO-IOS-GROUP-FLATMATES-2387 | Groceries | 2008.72</t>
        </is>
      </c>
      <c r="R2388" s="4" t="inlineStr">
        <is>
          <t>iPhone</t>
        </is>
      </c>
      <c r="S2388" s="4" t="inlineStr">
        <is>
          <t>B48</t>
        </is>
      </c>
      <c r="T2388" s="4" t="inlineStr">
        <is>
          <t>RAMP_1501_2500</t>
        </is>
      </c>
      <c r="U2388" s="4" t="inlineStr">
        <is>
          <t>CREATED</t>
        </is>
      </c>
      <c r="V2388" s="4" t="inlineStr">
        <is>
          <t>idem-20260902-ios-2387</t>
        </is>
      </c>
    </row>
    <row r="2389" ht="30" customHeight="1">
      <c r="A2389" s="4" t="n">
        <v>2388</v>
      </c>
      <c r="B2389" s="4" t="inlineStr">
        <is>
          <t>MTR-IOS-2388</t>
        </is>
      </c>
      <c r="C2389" s="4" t="inlineStr">
        <is>
          <t>Business</t>
        </is>
      </c>
      <c r="D2389" s="4" t="inlineStr">
        <is>
          <t>Business</t>
        </is>
      </c>
      <c r="E2389" s="4" t="inlineStr">
        <is>
          <t>Business Operations</t>
        </is>
      </c>
      <c r="F2389" s="4" t="inlineStr">
        <is>
          <t>Equipment</t>
        </is>
      </c>
      <c r="G2389" s="4" t="inlineStr">
        <is>
          <t>Expense</t>
        </is>
      </c>
      <c r="H2389" s="12" t="n">
        <v>46259</v>
      </c>
      <c r="I2389" s="13" t="n">
        <v>0.9022106481481481</v>
      </c>
      <c r="J2389" s="14" t="n">
        <v>46259.90221064815</v>
      </c>
      <c r="K2389" s="15" t="n">
        <v>21161.32</v>
      </c>
      <c r="L2389" s="4" t="inlineStr">
        <is>
          <t>INR</t>
        </is>
      </c>
      <c r="M2389" s="15" t="n">
        <v>-21161.32</v>
      </c>
      <c r="N2389" s="4" t="inlineStr">
        <is>
          <t>IOS Owner</t>
        </is>
      </c>
      <c r="O2389" s="4" t="n"/>
      <c r="P2389" s="4" t="n"/>
      <c r="Q2389" s="4" t="inlineStr">
        <is>
          <t>MAESTRO-IOS-BUSINESS-BUSINESS_OPERATIONS-2388 | Equipment | 21161.32</t>
        </is>
      </c>
      <c r="R2389" s="4" t="inlineStr">
        <is>
          <t>iPhone</t>
        </is>
      </c>
      <c r="S2389" s="4" t="inlineStr">
        <is>
          <t>B48</t>
        </is>
      </c>
      <c r="T2389" s="4" t="inlineStr">
        <is>
          <t>RAMP_1501_2500</t>
        </is>
      </c>
      <c r="U2389" s="4" t="inlineStr">
        <is>
          <t>CREATED</t>
        </is>
      </c>
      <c r="V2389" s="4" t="inlineStr">
        <is>
          <t>idem-20260902-ios-2388</t>
        </is>
      </c>
    </row>
    <row r="2390" ht="30" customHeight="1">
      <c r="A2390" s="4" t="n">
        <v>2389</v>
      </c>
      <c r="B2390" s="4" t="inlineStr">
        <is>
          <t>MTR-IOS-2389</t>
        </is>
      </c>
      <c r="C2390" s="4" t="inlineStr">
        <is>
          <t>Personal</t>
        </is>
      </c>
      <c r="D2390" s="4" t="inlineStr">
        <is>
          <t>Personal</t>
        </is>
      </c>
      <c r="E2390" s="4" t="inlineStr">
        <is>
          <t>Lifestyle</t>
        </is>
      </c>
      <c r="F2390" s="4" t="inlineStr">
        <is>
          <t>Entertainment</t>
        </is>
      </c>
      <c r="G2390" s="4" t="inlineStr">
        <is>
          <t>Expense</t>
        </is>
      </c>
      <c r="H2390" s="12" t="n">
        <v>46032</v>
      </c>
      <c r="I2390" s="13" t="n">
        <v>0.1397916666666667</v>
      </c>
      <c r="J2390" s="14" t="n">
        <v>46032.13979166667</v>
      </c>
      <c r="K2390" s="15" t="n">
        <v>6598.03</v>
      </c>
      <c r="L2390" s="4" t="inlineStr">
        <is>
          <t>INR</t>
        </is>
      </c>
      <c r="M2390" s="15" t="n">
        <v>-6598.03</v>
      </c>
      <c r="N2390" s="4" t="inlineStr">
        <is>
          <t>IOS Owner</t>
        </is>
      </c>
      <c r="O2390" s="4" t="n"/>
      <c r="P2390" s="4" t="n"/>
      <c r="Q2390" s="4" t="inlineStr">
        <is>
          <t>MAESTRO-IOS-PERSONAL-LIFESTYLE-2389 | Entertainment | 6598.03</t>
        </is>
      </c>
      <c r="R2390" s="4" t="inlineStr">
        <is>
          <t>iPhone</t>
        </is>
      </c>
      <c r="S2390" s="4" t="inlineStr">
        <is>
          <t>B48</t>
        </is>
      </c>
      <c r="T2390" s="4" t="inlineStr">
        <is>
          <t>RAMP_1501_2500</t>
        </is>
      </c>
      <c r="U2390" s="4" t="inlineStr">
        <is>
          <t>CREATED</t>
        </is>
      </c>
      <c r="V2390" s="4" t="inlineStr">
        <is>
          <t>idem-20260902-ios-2389</t>
        </is>
      </c>
    </row>
    <row r="2391" ht="30" customHeight="1">
      <c r="A2391" s="4" t="n">
        <v>2390</v>
      </c>
      <c r="B2391" s="4" t="inlineStr">
        <is>
          <t>MTR-IOS-2390</t>
        </is>
      </c>
      <c r="C2391" s="4" t="inlineStr">
        <is>
          <t>Group</t>
        </is>
      </c>
      <c r="D2391" s="4" t="inlineStr">
        <is>
          <t>Shared Living</t>
        </is>
      </c>
      <c r="E2391" s="4" t="inlineStr">
        <is>
          <t>Flatmates</t>
        </is>
      </c>
      <c r="F2391" s="4" t="inlineStr">
        <is>
          <t>Internet</t>
        </is>
      </c>
      <c r="G2391" s="4" t="inlineStr">
        <is>
          <t>Expense</t>
        </is>
      </c>
      <c r="H2391" s="12" t="n">
        <v>46220</v>
      </c>
      <c r="I2391" s="13" t="n">
        <v>0.6183101851851852</v>
      </c>
      <c r="J2391" s="14" t="n">
        <v>46220.61831018519</v>
      </c>
      <c r="K2391" s="15" t="n">
        <v>16759.59</v>
      </c>
      <c r="L2391" s="4" t="inlineStr">
        <is>
          <t>INR</t>
        </is>
      </c>
      <c r="M2391" s="15" t="n">
        <v>-16759.59</v>
      </c>
      <c r="N2391" s="4" t="inlineStr">
        <is>
          <t>IOS Aarav</t>
        </is>
      </c>
      <c r="O2391" s="4" t="n">
        <v>3</v>
      </c>
      <c r="P2391" s="4" t="inlineStr">
        <is>
          <t>EQUAL</t>
        </is>
      </c>
      <c r="Q2391" s="4" t="inlineStr">
        <is>
          <t>MAESTRO-IOS-GROUP-FLATMATES-2390 | Internet | 16759.59</t>
        </is>
      </c>
      <c r="R2391" s="4" t="inlineStr">
        <is>
          <t>iPhone</t>
        </is>
      </c>
      <c r="S2391" s="4" t="inlineStr">
        <is>
          <t>B48</t>
        </is>
      </c>
      <c r="T2391" s="4" t="inlineStr">
        <is>
          <t>RAMP_1501_2500</t>
        </is>
      </c>
      <c r="U2391" s="4" t="inlineStr">
        <is>
          <t>CREATED</t>
        </is>
      </c>
      <c r="V2391" s="4" t="inlineStr">
        <is>
          <t>idem-20260902-ios-2390</t>
        </is>
      </c>
    </row>
    <row r="2392" ht="30" customHeight="1">
      <c r="A2392" s="4" t="n">
        <v>2391</v>
      </c>
      <c r="B2392" s="4" t="inlineStr">
        <is>
          <t>MTR-IOS-2391</t>
        </is>
      </c>
      <c r="C2392" s="4" t="inlineStr">
        <is>
          <t>Business</t>
        </is>
      </c>
      <c r="D2392" s="4" t="inlineStr">
        <is>
          <t>Business</t>
        </is>
      </c>
      <c r="E2392" s="4" t="inlineStr">
        <is>
          <t>Business Operations</t>
        </is>
      </c>
      <c r="F2392" s="4" t="inlineStr">
        <is>
          <t>Vendor</t>
        </is>
      </c>
      <c r="G2392" s="4" t="inlineStr">
        <is>
          <t>Expense</t>
        </is>
      </c>
      <c r="H2392" s="12" t="n">
        <v>45963</v>
      </c>
      <c r="I2392" s="13" t="n">
        <v>0.04204861111111111</v>
      </c>
      <c r="J2392" s="14" t="n">
        <v>45963.04204861111</v>
      </c>
      <c r="K2392" s="15" t="n">
        <v>114241.94</v>
      </c>
      <c r="L2392" s="4" t="inlineStr">
        <is>
          <t>INR</t>
        </is>
      </c>
      <c r="M2392" s="15" t="n">
        <v>-114241.94</v>
      </c>
      <c r="N2392" s="4" t="inlineStr">
        <is>
          <t>IOS Owner</t>
        </is>
      </c>
      <c r="O2392" s="4" t="n"/>
      <c r="P2392" s="4" t="n"/>
      <c r="Q2392" s="4" t="inlineStr">
        <is>
          <t>MAESTRO-IOS-BUSINESS-BUSINESS_OPERATIONS-2391 | Vendor | 114241.94</t>
        </is>
      </c>
      <c r="R2392" s="4" t="inlineStr">
        <is>
          <t>iPhone</t>
        </is>
      </c>
      <c r="S2392" s="4" t="inlineStr">
        <is>
          <t>B48</t>
        </is>
      </c>
      <c r="T2392" s="4" t="inlineStr">
        <is>
          <t>RAMP_1501_2500</t>
        </is>
      </c>
      <c r="U2392" s="4" t="inlineStr">
        <is>
          <t>CREATED</t>
        </is>
      </c>
      <c r="V2392" s="4" t="inlineStr">
        <is>
          <t>idem-20260902-ios-2391</t>
        </is>
      </c>
    </row>
    <row r="2393" ht="30" customHeight="1">
      <c r="A2393" s="4" t="n">
        <v>2392</v>
      </c>
      <c r="B2393" s="4" t="inlineStr">
        <is>
          <t>MTR-IOS-2392</t>
        </is>
      </c>
      <c r="C2393" s="4" t="inlineStr">
        <is>
          <t>Personal</t>
        </is>
      </c>
      <c r="D2393" s="4" t="inlineStr">
        <is>
          <t>Personal</t>
        </is>
      </c>
      <c r="E2393" s="4" t="inlineStr">
        <is>
          <t>Lifestyle</t>
        </is>
      </c>
      <c r="F2393" s="4" t="inlineStr">
        <is>
          <t>Travel</t>
        </is>
      </c>
      <c r="G2393" s="4" t="inlineStr">
        <is>
          <t>Expense</t>
        </is>
      </c>
      <c r="H2393" s="12" t="n">
        <v>46205</v>
      </c>
      <c r="I2393" s="13" t="n">
        <v>0.3307175925925926</v>
      </c>
      <c r="J2393" s="14" t="n">
        <v>46205.33071759259</v>
      </c>
      <c r="K2393" s="15" t="n">
        <v>1321.84</v>
      </c>
      <c r="L2393" s="4" t="inlineStr">
        <is>
          <t>INR</t>
        </is>
      </c>
      <c r="M2393" s="15" t="n">
        <v>-1321.84</v>
      </c>
      <c r="N2393" s="4" t="inlineStr">
        <is>
          <t>IOS Owner</t>
        </is>
      </c>
      <c r="O2393" s="4" t="n"/>
      <c r="P2393" s="4" t="n"/>
      <c r="Q2393" s="4" t="inlineStr">
        <is>
          <t>MAESTRO-IOS-PERSONAL-LIFESTYLE-2392 | Travel | 1321.84</t>
        </is>
      </c>
      <c r="R2393" s="4" t="inlineStr">
        <is>
          <t>iPhone</t>
        </is>
      </c>
      <c r="S2393" s="4" t="inlineStr">
        <is>
          <t>B48</t>
        </is>
      </c>
      <c r="T2393" s="4" t="inlineStr">
        <is>
          <t>RAMP_1501_2500</t>
        </is>
      </c>
      <c r="U2393" s="4" t="inlineStr">
        <is>
          <t>CREATED</t>
        </is>
      </c>
      <c r="V2393" s="4" t="inlineStr">
        <is>
          <t>idem-20260902-ios-2392</t>
        </is>
      </c>
    </row>
    <row r="2394" ht="30" customHeight="1">
      <c r="A2394" s="4" t="n">
        <v>2393</v>
      </c>
      <c r="B2394" s="4" t="inlineStr">
        <is>
          <t>MTR-IOS-2393</t>
        </is>
      </c>
      <c r="C2394" s="4" t="inlineStr">
        <is>
          <t>Group</t>
        </is>
      </c>
      <c r="D2394" s="4" t="inlineStr">
        <is>
          <t>Shared Living</t>
        </is>
      </c>
      <c r="E2394" s="4" t="inlineStr">
        <is>
          <t>Flatmates</t>
        </is>
      </c>
      <c r="F2394" s="4" t="inlineStr">
        <is>
          <t>House Supplies</t>
        </is>
      </c>
      <c r="G2394" s="4" t="inlineStr">
        <is>
          <t>Expense</t>
        </is>
      </c>
      <c r="H2394" s="12" t="n">
        <v>46139</v>
      </c>
      <c r="I2394" s="13" t="n">
        <v>0.5341203703703704</v>
      </c>
      <c r="J2394" s="14" t="n">
        <v>46139.53412037037</v>
      </c>
      <c r="K2394" s="15" t="n">
        <v>12895.83</v>
      </c>
      <c r="L2394" s="4" t="inlineStr">
        <is>
          <t>INR</t>
        </is>
      </c>
      <c r="M2394" s="15" t="n">
        <v>-12895.83</v>
      </c>
      <c r="N2394" s="4" t="inlineStr">
        <is>
          <t>IOS Meera</t>
        </is>
      </c>
      <c r="O2394" s="4" t="n">
        <v>3</v>
      </c>
      <c r="P2394" s="4" t="inlineStr">
        <is>
          <t>PERCENTAGE</t>
        </is>
      </c>
      <c r="Q2394" s="4" t="inlineStr">
        <is>
          <t>MAESTRO-IOS-GROUP-FLATMATES-2393 | House Supplies | 12895.83</t>
        </is>
      </c>
      <c r="R2394" s="4" t="inlineStr">
        <is>
          <t>iPhone</t>
        </is>
      </c>
      <c r="S2394" s="4" t="inlineStr">
        <is>
          <t>B48</t>
        </is>
      </c>
      <c r="T2394" s="4" t="inlineStr">
        <is>
          <t>RAMP_1501_2500</t>
        </is>
      </c>
      <c r="U2394" s="4" t="inlineStr">
        <is>
          <t>CREATED</t>
        </is>
      </c>
      <c r="V2394" s="4" t="inlineStr">
        <is>
          <t>idem-20260902-ios-2393</t>
        </is>
      </c>
    </row>
    <row r="2395" ht="30" customHeight="1">
      <c r="A2395" s="4" t="n">
        <v>2394</v>
      </c>
      <c r="B2395" s="4" t="inlineStr">
        <is>
          <t>MTR-IOS-2394</t>
        </is>
      </c>
      <c r="C2395" s="4" t="inlineStr">
        <is>
          <t>Business</t>
        </is>
      </c>
      <c r="D2395" s="4" t="inlineStr">
        <is>
          <t>Business</t>
        </is>
      </c>
      <c r="E2395" s="4" t="inlineStr">
        <is>
          <t>Business Operations</t>
        </is>
      </c>
      <c r="F2395" s="4" t="inlineStr">
        <is>
          <t>Tax</t>
        </is>
      </c>
      <c r="G2395" s="4" t="inlineStr">
        <is>
          <t>Expense</t>
        </is>
      </c>
      <c r="H2395" s="12" t="n">
        <v>46045</v>
      </c>
      <c r="I2395" s="13" t="n">
        <v>0.8139467592592593</v>
      </c>
      <c r="J2395" s="14" t="n">
        <v>46045.81394675926</v>
      </c>
      <c r="K2395" s="15" t="n">
        <v>28320.65</v>
      </c>
      <c r="L2395" s="4" t="inlineStr">
        <is>
          <t>INR</t>
        </is>
      </c>
      <c r="M2395" s="15" t="n">
        <v>-28320.65</v>
      </c>
      <c r="N2395" s="4" t="inlineStr">
        <is>
          <t>IOS Owner</t>
        </is>
      </c>
      <c r="O2395" s="4" t="n"/>
      <c r="P2395" s="4" t="n"/>
      <c r="Q2395" s="4" t="inlineStr">
        <is>
          <t>MAESTRO-IOS-BUSINESS-BUSINESS_OPERATIONS-2394 | Tax | 28320.65</t>
        </is>
      </c>
      <c r="R2395" s="4" t="inlineStr">
        <is>
          <t>iPhone</t>
        </is>
      </c>
      <c r="S2395" s="4" t="inlineStr">
        <is>
          <t>B48</t>
        </is>
      </c>
      <c r="T2395" s="4" t="inlineStr">
        <is>
          <t>RAMP_1501_2500</t>
        </is>
      </c>
      <c r="U2395" s="4" t="inlineStr">
        <is>
          <t>CREATED</t>
        </is>
      </c>
      <c r="V2395" s="4" t="inlineStr">
        <is>
          <t>idem-20260902-ios-2394</t>
        </is>
      </c>
    </row>
    <row r="2396" ht="30" customHeight="1">
      <c r="A2396" s="4" t="n">
        <v>2395</v>
      </c>
      <c r="B2396" s="4" t="inlineStr">
        <is>
          <t>MTR-IOS-2395</t>
        </is>
      </c>
      <c r="C2396" s="4" t="inlineStr">
        <is>
          <t>Personal</t>
        </is>
      </c>
      <c r="D2396" s="4" t="inlineStr">
        <is>
          <t>Personal</t>
        </is>
      </c>
      <c r="E2396" s="4" t="inlineStr">
        <is>
          <t>Lifestyle</t>
        </is>
      </c>
      <c r="F2396" s="4" t="inlineStr">
        <is>
          <t>Fitness</t>
        </is>
      </c>
      <c r="G2396" s="4" t="inlineStr">
        <is>
          <t>Expense</t>
        </is>
      </c>
      <c r="H2396" s="12" t="n">
        <v>46134</v>
      </c>
      <c r="I2396" s="13" t="n">
        <v>0.142025462962963</v>
      </c>
      <c r="J2396" s="14" t="n">
        <v>46134.14202546296</v>
      </c>
      <c r="K2396" s="15" t="n">
        <v>17766.14</v>
      </c>
      <c r="L2396" s="4" t="inlineStr">
        <is>
          <t>INR</t>
        </is>
      </c>
      <c r="M2396" s="15" t="n">
        <v>-17766.14</v>
      </c>
      <c r="N2396" s="4" t="inlineStr">
        <is>
          <t>IOS Owner</t>
        </is>
      </c>
      <c r="O2396" s="4" t="n"/>
      <c r="P2396" s="4" t="n"/>
      <c r="Q2396" s="4" t="inlineStr">
        <is>
          <t>MAESTRO-IOS-PERSONAL-LIFESTYLE-2395 | Fitness | 17766.14</t>
        </is>
      </c>
      <c r="R2396" s="4" t="inlineStr">
        <is>
          <t>iPhone</t>
        </is>
      </c>
      <c r="S2396" s="4" t="inlineStr">
        <is>
          <t>B48</t>
        </is>
      </c>
      <c r="T2396" s="4" t="inlineStr">
        <is>
          <t>RAMP_1501_2500</t>
        </is>
      </c>
      <c r="U2396" s="4" t="inlineStr">
        <is>
          <t>CREATED</t>
        </is>
      </c>
      <c r="V2396" s="4" t="inlineStr">
        <is>
          <t>idem-20260902-ios-2395</t>
        </is>
      </c>
    </row>
    <row r="2397" ht="30" customHeight="1">
      <c r="A2397" s="4" t="n">
        <v>2396</v>
      </c>
      <c r="B2397" s="4" t="inlineStr">
        <is>
          <t>MTR-IOS-2396</t>
        </is>
      </c>
      <c r="C2397" s="4" t="inlineStr">
        <is>
          <t>Group</t>
        </is>
      </c>
      <c r="D2397" s="4" t="inlineStr">
        <is>
          <t>Shared Living</t>
        </is>
      </c>
      <c r="E2397" s="4" t="inlineStr">
        <is>
          <t>Flatmates</t>
        </is>
      </c>
      <c r="F2397" s="4" t="inlineStr">
        <is>
          <t>Repairs</t>
        </is>
      </c>
      <c r="G2397" s="4" t="inlineStr">
        <is>
          <t>Expense</t>
        </is>
      </c>
      <c r="H2397" s="12" t="n">
        <v>46146</v>
      </c>
      <c r="I2397" s="13" t="n">
        <v>0.9633796296296296</v>
      </c>
      <c r="J2397" s="14" t="n">
        <v>46146.96337962963</v>
      </c>
      <c r="K2397" s="15" t="n">
        <v>16594.55</v>
      </c>
      <c r="L2397" s="4" t="inlineStr">
        <is>
          <t>INR</t>
        </is>
      </c>
      <c r="M2397" s="15" t="n">
        <v>-16594.55</v>
      </c>
      <c r="N2397" s="4" t="inlineStr">
        <is>
          <t>IOS Owner</t>
        </is>
      </c>
      <c r="O2397" s="4" t="n">
        <v>3</v>
      </c>
      <c r="P2397" s="4" t="inlineStr">
        <is>
          <t>EXACT</t>
        </is>
      </c>
      <c r="Q2397" s="4" t="inlineStr">
        <is>
          <t>MAESTRO-IOS-GROUP-FLATMATES-2396 | Repairs | 16594.55</t>
        </is>
      </c>
      <c r="R2397" s="4" t="inlineStr">
        <is>
          <t>iPhone</t>
        </is>
      </c>
      <c r="S2397" s="4" t="inlineStr">
        <is>
          <t>B48</t>
        </is>
      </c>
      <c r="T2397" s="4" t="inlineStr">
        <is>
          <t>RAMP_1501_2500</t>
        </is>
      </c>
      <c r="U2397" s="4" t="inlineStr">
        <is>
          <t>CREATED</t>
        </is>
      </c>
      <c r="V2397" s="4" t="inlineStr">
        <is>
          <t>idem-20260902-ios-2396</t>
        </is>
      </c>
    </row>
    <row r="2398" ht="30" customHeight="1">
      <c r="A2398" s="4" t="n">
        <v>2397</v>
      </c>
      <c r="B2398" s="4" t="inlineStr">
        <is>
          <t>MTR-IOS-2397</t>
        </is>
      </c>
      <c r="C2398" s="4" t="inlineStr">
        <is>
          <t>Business</t>
        </is>
      </c>
      <c r="D2398" s="4" t="inlineStr">
        <is>
          <t>Business</t>
        </is>
      </c>
      <c r="E2398" s="4" t="inlineStr">
        <is>
          <t>Team Operations</t>
        </is>
      </c>
      <c r="F2398" s="4" t="inlineStr">
        <is>
          <t>Payroll</t>
        </is>
      </c>
      <c r="G2398" s="4" t="inlineStr">
        <is>
          <t>Expense</t>
        </is>
      </c>
      <c r="H2398" s="12" t="n">
        <v>46170</v>
      </c>
      <c r="I2398" s="13" t="n">
        <v>0.74375</v>
      </c>
      <c r="J2398" s="14" t="n">
        <v>46170.74375</v>
      </c>
      <c r="K2398" s="15" t="n">
        <v>90138.21000000001</v>
      </c>
      <c r="L2398" s="4" t="inlineStr">
        <is>
          <t>INR</t>
        </is>
      </c>
      <c r="M2398" s="15" t="n">
        <v>-90138.21000000001</v>
      </c>
      <c r="N2398" s="4" t="inlineStr">
        <is>
          <t>IOS Owner</t>
        </is>
      </c>
      <c r="O2398" s="4" t="n"/>
      <c r="P2398" s="4" t="n"/>
      <c r="Q2398" s="4" t="inlineStr">
        <is>
          <t>MAESTRO-IOS-BUSINESS-TEAM_OPERATIONS-2397 | Payroll | 90138.21</t>
        </is>
      </c>
      <c r="R2398" s="4" t="inlineStr">
        <is>
          <t>iPhone</t>
        </is>
      </c>
      <c r="S2398" s="4" t="inlineStr">
        <is>
          <t>B48</t>
        </is>
      </c>
      <c r="T2398" s="4" t="inlineStr">
        <is>
          <t>RAMP_1501_2500</t>
        </is>
      </c>
      <c r="U2398" s="4" t="inlineStr">
        <is>
          <t>CREATED</t>
        </is>
      </c>
      <c r="V2398" s="4" t="inlineStr">
        <is>
          <t>idem-20260902-ios-2397</t>
        </is>
      </c>
    </row>
    <row r="2399" ht="30" customHeight="1">
      <c r="A2399" s="4" t="n">
        <v>2398</v>
      </c>
      <c r="B2399" s="4" t="inlineStr">
        <is>
          <t>MTR-IOS-2398</t>
        </is>
      </c>
      <c r="C2399" s="4" t="inlineStr">
        <is>
          <t>Personal</t>
        </is>
      </c>
      <c r="D2399" s="4" t="inlineStr">
        <is>
          <t>Personal</t>
        </is>
      </c>
      <c r="E2399" s="4" t="inlineStr">
        <is>
          <t>Lifestyle</t>
        </is>
      </c>
      <c r="F2399" s="4" t="inlineStr">
        <is>
          <t>Hobbies</t>
        </is>
      </c>
      <c r="G2399" s="4" t="inlineStr">
        <is>
          <t>Expense</t>
        </is>
      </c>
      <c r="H2399" s="12" t="n">
        <v>46003</v>
      </c>
      <c r="I2399" s="13" t="n">
        <v>0.1161574074074074</v>
      </c>
      <c r="J2399" s="14" t="n">
        <v>46003.11615740741</v>
      </c>
      <c r="K2399" s="15" t="n">
        <v>14267.63</v>
      </c>
      <c r="L2399" s="4" t="inlineStr">
        <is>
          <t>INR</t>
        </is>
      </c>
      <c r="M2399" s="15" t="n">
        <v>-14267.63</v>
      </c>
      <c r="N2399" s="4" t="inlineStr">
        <is>
          <t>IOS Owner</t>
        </is>
      </c>
      <c r="O2399" s="4" t="n"/>
      <c r="P2399" s="4" t="n"/>
      <c r="Q2399" s="4" t="inlineStr">
        <is>
          <t>MAESTRO-IOS-PERSONAL-LIFESTYLE-2398 | Hobbies | 14267.63</t>
        </is>
      </c>
      <c r="R2399" s="4" t="inlineStr">
        <is>
          <t>iPhone</t>
        </is>
      </c>
      <c r="S2399" s="4" t="inlineStr">
        <is>
          <t>B48</t>
        </is>
      </c>
      <c r="T2399" s="4" t="inlineStr">
        <is>
          <t>RAMP_1501_2500</t>
        </is>
      </c>
      <c r="U2399" s="4" t="inlineStr">
        <is>
          <t>CREATED</t>
        </is>
      </c>
      <c r="V2399" s="4" t="inlineStr">
        <is>
          <t>idem-20260902-ios-2398</t>
        </is>
      </c>
    </row>
    <row r="2400" ht="30" customHeight="1">
      <c r="A2400" s="4" t="n">
        <v>2399</v>
      </c>
      <c r="B2400" s="4" t="inlineStr">
        <is>
          <t>MTR-IOS-2399</t>
        </is>
      </c>
      <c r="C2400" s="4" t="inlineStr">
        <is>
          <t>Group</t>
        </is>
      </c>
      <c r="D2400" s="4" t="inlineStr">
        <is>
          <t>Shared Living</t>
        </is>
      </c>
      <c r="E2400" s="4" t="inlineStr">
        <is>
          <t>Shared Living</t>
        </is>
      </c>
      <c r="F2400" s="4" t="inlineStr">
        <is>
          <t>Rent</t>
        </is>
      </c>
      <c r="G2400" s="4" t="inlineStr">
        <is>
          <t>Expense</t>
        </is>
      </c>
      <c r="H2400" s="12" t="n">
        <v>46210</v>
      </c>
      <c r="I2400" s="13" t="n">
        <v>0.4219791666666667</v>
      </c>
      <c r="J2400" s="14" t="n">
        <v>46210.42197916667</v>
      </c>
      <c r="K2400" s="15" t="n">
        <v>3109.56</v>
      </c>
      <c r="L2400" s="4" t="inlineStr">
        <is>
          <t>INR</t>
        </is>
      </c>
      <c r="M2400" s="15" t="n">
        <v>-3109.56</v>
      </c>
      <c r="N2400" s="4" t="inlineStr">
        <is>
          <t>IOS Aarav</t>
        </is>
      </c>
      <c r="O2400" s="4" t="n">
        <v>3</v>
      </c>
      <c r="P2400" s="4" t="inlineStr">
        <is>
          <t>SHARES</t>
        </is>
      </c>
      <c r="Q2400" s="4" t="inlineStr">
        <is>
          <t>MAESTRO-IOS-GROUP-SHARED_LIVING-2399 | Rent | 3109.56</t>
        </is>
      </c>
      <c r="R2400" s="4" t="inlineStr">
        <is>
          <t>iPhone</t>
        </is>
      </c>
      <c r="S2400" s="4" t="inlineStr">
        <is>
          <t>B48</t>
        </is>
      </c>
      <c r="T2400" s="4" t="inlineStr">
        <is>
          <t>RAMP_1501_2500</t>
        </is>
      </c>
      <c r="U2400" s="4" t="inlineStr">
        <is>
          <t>CREATED</t>
        </is>
      </c>
      <c r="V2400" s="4" t="inlineStr">
        <is>
          <t>idem-20260902-ios-2399</t>
        </is>
      </c>
    </row>
    <row r="2401" ht="30" customHeight="1">
      <c r="A2401" s="4" t="n">
        <v>2400</v>
      </c>
      <c r="B2401" s="4" t="inlineStr">
        <is>
          <t>MTR-IOS-2400</t>
        </is>
      </c>
      <c r="C2401" s="4" t="inlineStr">
        <is>
          <t>Business</t>
        </is>
      </c>
      <c r="D2401" s="4" t="inlineStr">
        <is>
          <t>Business</t>
        </is>
      </c>
      <c r="E2401" s="4" t="inlineStr">
        <is>
          <t>Team Operations</t>
        </is>
      </c>
      <c r="F2401" s="4" t="inlineStr">
        <is>
          <t>Contractor</t>
        </is>
      </c>
      <c r="G2401" s="4" t="inlineStr">
        <is>
          <t>Expense</t>
        </is>
      </c>
      <c r="H2401" s="12" t="n">
        <v>46138</v>
      </c>
      <c r="I2401" s="13" t="n">
        <v>0.3781828703703703</v>
      </c>
      <c r="J2401" s="14" t="n">
        <v>46138.37818287037</v>
      </c>
      <c r="K2401" s="15" t="n">
        <v>4217.98</v>
      </c>
      <c r="L2401" s="4" t="inlineStr">
        <is>
          <t>INR</t>
        </is>
      </c>
      <c r="M2401" s="15" t="n">
        <v>-4217.98</v>
      </c>
      <c r="N2401" s="4" t="inlineStr">
        <is>
          <t>IOS Owner</t>
        </is>
      </c>
      <c r="O2401" s="4" t="n"/>
      <c r="P2401" s="4" t="n"/>
      <c r="Q2401" s="4" t="inlineStr">
        <is>
          <t>MAESTRO-IOS-BUSINESS-TEAM_OPERATIONS-2400 | Contractor | 4217.98</t>
        </is>
      </c>
      <c r="R2401" s="4" t="inlineStr">
        <is>
          <t>iPhone</t>
        </is>
      </c>
      <c r="S2401" s="4" t="inlineStr">
        <is>
          <t>B48</t>
        </is>
      </c>
      <c r="T2401" s="4" t="inlineStr">
        <is>
          <t>RAMP_1501_2500</t>
        </is>
      </c>
      <c r="U2401" s="4" t="inlineStr">
        <is>
          <t>CREATED</t>
        </is>
      </c>
      <c r="V2401" s="4" t="inlineStr">
        <is>
          <t>idem-20260902-ios-2400</t>
        </is>
      </c>
    </row>
    <row r="2402" ht="30" customHeight="1">
      <c r="A2402" s="4" t="n">
        <v>2401</v>
      </c>
      <c r="B2402" s="4" t="inlineStr">
        <is>
          <t>MTR-IOS-2401</t>
        </is>
      </c>
      <c r="C2402" s="4" t="inlineStr">
        <is>
          <t>Personal</t>
        </is>
      </c>
      <c r="D2402" s="4" t="inlineStr">
        <is>
          <t>Personal</t>
        </is>
      </c>
      <c r="E2402" s="4" t="inlineStr">
        <is>
          <t>Relationships</t>
        </is>
      </c>
      <c r="F2402" s="4" t="inlineStr">
        <is>
          <t>Gifts</t>
        </is>
      </c>
      <c r="G2402" s="4" t="inlineStr">
        <is>
          <t>Expense</t>
        </is>
      </c>
      <c r="H2402" s="12" t="n">
        <v>46144</v>
      </c>
      <c r="I2402" s="13" t="n">
        <v>0.8223263888888889</v>
      </c>
      <c r="J2402" s="14" t="n">
        <v>46144.82232638889</v>
      </c>
      <c r="K2402" s="15" t="n">
        <v>1886.87</v>
      </c>
      <c r="L2402" s="4" t="inlineStr">
        <is>
          <t>INR</t>
        </is>
      </c>
      <c r="M2402" s="15" t="n">
        <v>-1886.87</v>
      </c>
      <c r="N2402" s="4" t="inlineStr">
        <is>
          <t>IOS Owner</t>
        </is>
      </c>
      <c r="O2402" s="4" t="n"/>
      <c r="P2402" s="4" t="n"/>
      <c r="Q2402" s="4" t="inlineStr">
        <is>
          <t>MAESTRO-IOS-PERSONAL-RELATIONSHIPS-2401 | Gifts | 1886.87</t>
        </is>
      </c>
      <c r="R2402" s="4" t="inlineStr">
        <is>
          <t>iPhone</t>
        </is>
      </c>
      <c r="S2402" s="4" t="inlineStr">
        <is>
          <t>B49</t>
        </is>
      </c>
      <c r="T2402" s="4" t="inlineStr">
        <is>
          <t>RAMP_1501_2500</t>
        </is>
      </c>
      <c r="U2402" s="4" t="inlineStr">
        <is>
          <t>CREATED</t>
        </is>
      </c>
      <c r="V2402" s="4" t="inlineStr">
        <is>
          <t>idem-20260902-ios-2401</t>
        </is>
      </c>
    </row>
    <row r="2403" ht="30" customHeight="1">
      <c r="A2403" s="4" t="n">
        <v>2402</v>
      </c>
      <c r="B2403" s="4" t="inlineStr">
        <is>
          <t>MTR-IOS-2402</t>
        </is>
      </c>
      <c r="C2403" s="4" t="inlineStr">
        <is>
          <t>Group</t>
        </is>
      </c>
      <c r="D2403" s="4" t="inlineStr">
        <is>
          <t>Shared Living</t>
        </is>
      </c>
      <c r="E2403" s="4" t="inlineStr">
        <is>
          <t>Shared Living</t>
        </is>
      </c>
      <c r="F2403" s="4" t="inlineStr">
        <is>
          <t>Utilities</t>
        </is>
      </c>
      <c r="G2403" s="4" t="inlineStr">
        <is>
          <t>Expense</t>
        </is>
      </c>
      <c r="H2403" s="12" t="n">
        <v>46065</v>
      </c>
      <c r="I2403" s="13" t="n">
        <v>0.663125</v>
      </c>
      <c r="J2403" s="14" t="n">
        <v>46065.663125</v>
      </c>
      <c r="K2403" s="15" t="n">
        <v>5529.66</v>
      </c>
      <c r="L2403" s="4" t="inlineStr">
        <is>
          <t>INR</t>
        </is>
      </c>
      <c r="M2403" s="15" t="n">
        <v>-5529.66</v>
      </c>
      <c r="N2403" s="4" t="inlineStr">
        <is>
          <t>IOS Meera</t>
        </is>
      </c>
      <c r="O2403" s="4" t="n">
        <v>3</v>
      </c>
      <c r="P2403" s="4" t="inlineStr">
        <is>
          <t>EQUAL</t>
        </is>
      </c>
      <c r="Q2403" s="4" t="inlineStr">
        <is>
          <t>MAESTRO-IOS-GROUP-SHARED_LIVING-2402 | Utilities | 5529.66</t>
        </is>
      </c>
      <c r="R2403" s="4" t="inlineStr">
        <is>
          <t>iPhone</t>
        </is>
      </c>
      <c r="S2403" s="4" t="inlineStr">
        <is>
          <t>B49</t>
        </is>
      </c>
      <c r="T2403" s="4" t="inlineStr">
        <is>
          <t>RAMP_1501_2500</t>
        </is>
      </c>
      <c r="U2403" s="4" t="inlineStr">
        <is>
          <t>CREATED</t>
        </is>
      </c>
      <c r="V2403" s="4" t="inlineStr">
        <is>
          <t>idem-20260902-ios-2402</t>
        </is>
      </c>
    </row>
    <row r="2404" ht="30" customHeight="1">
      <c r="A2404" s="4" t="n">
        <v>2403</v>
      </c>
      <c r="B2404" s="4" t="inlineStr">
        <is>
          <t>MTR-IOS-2403</t>
        </is>
      </c>
      <c r="C2404" s="4" t="inlineStr">
        <is>
          <t>Business</t>
        </is>
      </c>
      <c r="D2404" s="4" t="inlineStr">
        <is>
          <t>Business</t>
        </is>
      </c>
      <c r="E2404" s="4" t="inlineStr">
        <is>
          <t>Team Operations</t>
        </is>
      </c>
      <c r="F2404" s="4" t="inlineStr">
        <is>
          <t>Hiring</t>
        </is>
      </c>
      <c r="G2404" s="4" t="inlineStr">
        <is>
          <t>Expense</t>
        </is>
      </c>
      <c r="H2404" s="12" t="n">
        <v>46154</v>
      </c>
      <c r="I2404" s="13" t="n">
        <v>0.3591203703703704</v>
      </c>
      <c r="J2404" s="14" t="n">
        <v>46154.35912037037</v>
      </c>
      <c r="K2404" s="15" t="n">
        <v>119294.9</v>
      </c>
      <c r="L2404" s="4" t="inlineStr">
        <is>
          <t>INR</t>
        </is>
      </c>
      <c r="M2404" s="15" t="n">
        <v>-119294.9</v>
      </c>
      <c r="N2404" s="4" t="inlineStr">
        <is>
          <t>IOS Owner</t>
        </is>
      </c>
      <c r="O2404" s="4" t="n"/>
      <c r="P2404" s="4" t="n"/>
      <c r="Q2404" s="4" t="inlineStr">
        <is>
          <t>MAESTRO-IOS-BUSINESS-TEAM_OPERATIONS-2403 | Hiring | 119294.90</t>
        </is>
      </c>
      <c r="R2404" s="4" t="inlineStr">
        <is>
          <t>iPhone</t>
        </is>
      </c>
      <c r="S2404" s="4" t="inlineStr">
        <is>
          <t>B49</t>
        </is>
      </c>
      <c r="T2404" s="4" t="inlineStr">
        <is>
          <t>RAMP_1501_2500</t>
        </is>
      </c>
      <c r="U2404" s="4" t="inlineStr">
        <is>
          <t>CREATED</t>
        </is>
      </c>
      <c r="V2404" s="4" t="inlineStr">
        <is>
          <t>idem-20260902-ios-2403</t>
        </is>
      </c>
    </row>
    <row r="2405" ht="30" customHeight="1">
      <c r="A2405" s="4" t="n">
        <v>2404</v>
      </c>
      <c r="B2405" s="4" t="inlineStr">
        <is>
          <t>MTR-IOS-2404</t>
        </is>
      </c>
      <c r="C2405" s="4" t="inlineStr">
        <is>
          <t>Personal</t>
        </is>
      </c>
      <c r="D2405" s="4" t="inlineStr">
        <is>
          <t>Personal</t>
        </is>
      </c>
      <c r="E2405" s="4" t="inlineStr">
        <is>
          <t>Relationships</t>
        </is>
      </c>
      <c r="F2405" s="4" t="inlineStr">
        <is>
          <t>Dates</t>
        </is>
      </c>
      <c r="G2405" s="4" t="inlineStr">
        <is>
          <t>Expense</t>
        </is>
      </c>
      <c r="H2405" s="12" t="n">
        <v>46214</v>
      </c>
      <c r="I2405" s="13" t="n">
        <v>0.655150462962963</v>
      </c>
      <c r="J2405" s="14" t="n">
        <v>46214.65515046296</v>
      </c>
      <c r="K2405" s="15" t="n">
        <v>9797.860000000001</v>
      </c>
      <c r="L2405" s="4" t="inlineStr">
        <is>
          <t>INR</t>
        </is>
      </c>
      <c r="M2405" s="15" t="n">
        <v>-9797.860000000001</v>
      </c>
      <c r="N2405" s="4" t="inlineStr">
        <is>
          <t>IOS Owner</t>
        </is>
      </c>
      <c r="O2405" s="4" t="n"/>
      <c r="P2405" s="4" t="n"/>
      <c r="Q2405" s="4" t="inlineStr">
        <is>
          <t>MAESTRO-IOS-PERSONAL-RELATIONSHIPS-2404 | Dates | 9797.86</t>
        </is>
      </c>
      <c r="R2405" s="4" t="inlineStr">
        <is>
          <t>iPhone</t>
        </is>
      </c>
      <c r="S2405" s="4" t="inlineStr">
        <is>
          <t>B49</t>
        </is>
      </c>
      <c r="T2405" s="4" t="inlineStr">
        <is>
          <t>RAMP_1501_2500</t>
        </is>
      </c>
      <c r="U2405" s="4" t="inlineStr">
        <is>
          <t>CREATED</t>
        </is>
      </c>
      <c r="V2405" s="4" t="inlineStr">
        <is>
          <t>idem-20260902-ios-2404</t>
        </is>
      </c>
    </row>
    <row r="2406" ht="30" customHeight="1">
      <c r="A2406" s="4" t="n">
        <v>2405</v>
      </c>
      <c r="B2406" s="4" t="inlineStr">
        <is>
          <t>MTR-IOS-2405</t>
        </is>
      </c>
      <c r="C2406" s="4" t="inlineStr">
        <is>
          <t>Group</t>
        </is>
      </c>
      <c r="D2406" s="4" t="inlineStr">
        <is>
          <t>Shared Living</t>
        </is>
      </c>
      <c r="E2406" s="4" t="inlineStr">
        <is>
          <t>Shared Living</t>
        </is>
      </c>
      <c r="F2406" s="4" t="inlineStr">
        <is>
          <t>Groceries</t>
        </is>
      </c>
      <c r="G2406" s="4" t="inlineStr">
        <is>
          <t>Expense</t>
        </is>
      </c>
      <c r="H2406" s="12" t="n">
        <v>45978</v>
      </c>
      <c r="I2406" s="13" t="n">
        <v>0.6634375</v>
      </c>
      <c r="J2406" s="14" t="n">
        <v>45978.6634375</v>
      </c>
      <c r="K2406" s="15" t="n">
        <v>10000</v>
      </c>
      <c r="L2406" s="4" t="inlineStr">
        <is>
          <t>INR</t>
        </is>
      </c>
      <c r="M2406" s="15" t="n">
        <v>-10000</v>
      </c>
      <c r="N2406" s="4" t="inlineStr">
        <is>
          <t>IOS Owner</t>
        </is>
      </c>
      <c r="O2406" s="4" t="n">
        <v>3</v>
      </c>
      <c r="P2406" s="4" t="inlineStr">
        <is>
          <t>PERCENTAGE</t>
        </is>
      </c>
      <c r="Q2406" s="4" t="inlineStr">
        <is>
          <t>MAESTRO-IOS-GROUP-SHARED_LIVING-2405 | Groceries | 10000.00</t>
        </is>
      </c>
      <c r="R2406" s="4" t="inlineStr">
        <is>
          <t>iPhone</t>
        </is>
      </c>
      <c r="S2406" s="4" t="inlineStr">
        <is>
          <t>B49</t>
        </is>
      </c>
      <c r="T2406" s="4" t="inlineStr">
        <is>
          <t>RAMP_1501_2500</t>
        </is>
      </c>
      <c r="U2406" s="4" t="inlineStr">
        <is>
          <t>CREATED</t>
        </is>
      </c>
      <c r="V2406" s="4" t="inlineStr">
        <is>
          <t>idem-20260902-ios-2405</t>
        </is>
      </c>
    </row>
    <row r="2407" ht="30" customHeight="1">
      <c r="A2407" s="4" t="n">
        <v>2406</v>
      </c>
      <c r="B2407" s="4" t="inlineStr">
        <is>
          <t>MTR-IOS-2406</t>
        </is>
      </c>
      <c r="C2407" s="4" t="inlineStr">
        <is>
          <t>Business</t>
        </is>
      </c>
      <c r="D2407" s="4" t="inlineStr">
        <is>
          <t>Business</t>
        </is>
      </c>
      <c r="E2407" s="4" t="inlineStr">
        <is>
          <t>Team Operations</t>
        </is>
      </c>
      <c r="F2407" s="4" t="inlineStr">
        <is>
          <t>Team Meal</t>
        </is>
      </c>
      <c r="G2407" s="4" t="inlineStr">
        <is>
          <t>Expense</t>
        </is>
      </c>
      <c r="H2407" s="12" t="n">
        <v>45936</v>
      </c>
      <c r="I2407" s="13" t="n">
        <v>0.9818518518518519</v>
      </c>
      <c r="J2407" s="14" t="n">
        <v>45936.98185185185</v>
      </c>
      <c r="K2407" s="15" t="n">
        <v>90999.2</v>
      </c>
      <c r="L2407" s="4" t="inlineStr">
        <is>
          <t>INR</t>
        </is>
      </c>
      <c r="M2407" s="15" t="n">
        <v>-90999.2</v>
      </c>
      <c r="N2407" s="4" t="inlineStr">
        <is>
          <t>IOS Owner</t>
        </is>
      </c>
      <c r="O2407" s="4" t="n"/>
      <c r="P2407" s="4" t="n"/>
      <c r="Q2407" s="4" t="inlineStr">
        <is>
          <t>MAESTRO-IOS-BUSINESS-TEAM_OPERATIONS-2406 | Team Meal | 90999.20</t>
        </is>
      </c>
      <c r="R2407" s="4" t="inlineStr">
        <is>
          <t>iPhone</t>
        </is>
      </c>
      <c r="S2407" s="4" t="inlineStr">
        <is>
          <t>B49</t>
        </is>
      </c>
      <c r="T2407" s="4" t="inlineStr">
        <is>
          <t>RAMP_1501_2500</t>
        </is>
      </c>
      <c r="U2407" s="4" t="inlineStr">
        <is>
          <t>CREATED</t>
        </is>
      </c>
      <c r="V2407" s="4" t="inlineStr">
        <is>
          <t>idem-20260902-ios-2406</t>
        </is>
      </c>
    </row>
    <row r="2408" ht="30" customHeight="1">
      <c r="A2408" s="4" t="n">
        <v>2407</v>
      </c>
      <c r="B2408" s="4" t="inlineStr">
        <is>
          <t>MTR-IOS-2407</t>
        </is>
      </c>
      <c r="C2408" s="4" t="inlineStr">
        <is>
          <t>Personal</t>
        </is>
      </c>
      <c r="D2408" s="4" t="inlineStr">
        <is>
          <t>Personal</t>
        </is>
      </c>
      <c r="E2408" s="4" t="inlineStr">
        <is>
          <t>Relationships</t>
        </is>
      </c>
      <c r="F2408" s="4" t="inlineStr">
        <is>
          <t>Family</t>
        </is>
      </c>
      <c r="G2408" s="4" t="inlineStr">
        <is>
          <t>Expense</t>
        </is>
      </c>
      <c r="H2408" s="12" t="n">
        <v>46246</v>
      </c>
      <c r="I2408" s="13" t="n">
        <v>0.7641319444444444</v>
      </c>
      <c r="J2408" s="14" t="n">
        <v>46246.76413194444</v>
      </c>
      <c r="K2408" s="15" t="n">
        <v>3205.19</v>
      </c>
      <c r="L2408" s="4" t="inlineStr">
        <is>
          <t>INR</t>
        </is>
      </c>
      <c r="M2408" s="15" t="n">
        <v>-3205.19</v>
      </c>
      <c r="N2408" s="4" t="inlineStr">
        <is>
          <t>IOS Owner</t>
        </is>
      </c>
      <c r="O2408" s="4" t="n"/>
      <c r="P2408" s="4" t="n"/>
      <c r="Q2408" s="4" t="inlineStr">
        <is>
          <t>MAESTRO-IOS-PERSONAL-RELATIONSHIPS-2407 | Family | 3205.19</t>
        </is>
      </c>
      <c r="R2408" s="4" t="inlineStr">
        <is>
          <t>iPhone</t>
        </is>
      </c>
      <c r="S2408" s="4" t="inlineStr">
        <is>
          <t>B49</t>
        </is>
      </c>
      <c r="T2408" s="4" t="inlineStr">
        <is>
          <t>RAMP_1501_2500</t>
        </is>
      </c>
      <c r="U2408" s="4" t="inlineStr">
        <is>
          <t>CREATED</t>
        </is>
      </c>
      <c r="V2408" s="4" t="inlineStr">
        <is>
          <t>idem-20260902-ios-2407</t>
        </is>
      </c>
    </row>
    <row r="2409" ht="30" customHeight="1">
      <c r="A2409" s="4" t="n">
        <v>2408</v>
      </c>
      <c r="B2409" s="4" t="inlineStr">
        <is>
          <t>MTR-IOS-2408</t>
        </is>
      </c>
      <c r="C2409" s="4" t="inlineStr">
        <is>
          <t>Group</t>
        </is>
      </c>
      <c r="D2409" s="4" t="inlineStr">
        <is>
          <t>Shared Living</t>
        </is>
      </c>
      <c r="E2409" s="4" t="inlineStr">
        <is>
          <t>Shared Living</t>
        </is>
      </c>
      <c r="F2409" s="4" t="inlineStr">
        <is>
          <t>Maintenance</t>
        </is>
      </c>
      <c r="G2409" s="4" t="inlineStr">
        <is>
          <t>Expense</t>
        </is>
      </c>
      <c r="H2409" s="12" t="n">
        <v>46061</v>
      </c>
      <c r="I2409" s="13" t="n">
        <v>0.6935416666666666</v>
      </c>
      <c r="J2409" s="14" t="n">
        <v>46061.69354166667</v>
      </c>
      <c r="K2409" s="15" t="n">
        <v>2793.37</v>
      </c>
      <c r="L2409" s="4" t="inlineStr">
        <is>
          <t>INR</t>
        </is>
      </c>
      <c r="M2409" s="15" t="n">
        <v>-2793.37</v>
      </c>
      <c r="N2409" s="4" t="inlineStr">
        <is>
          <t>IOS Aarav</t>
        </is>
      </c>
      <c r="O2409" s="4" t="n">
        <v>3</v>
      </c>
      <c r="P2409" s="4" t="inlineStr">
        <is>
          <t>EXACT</t>
        </is>
      </c>
      <c r="Q2409" s="4" t="inlineStr">
        <is>
          <t>MAESTRO-IOS-GROUP-SHARED_LIVING-2408 | Maintenance | 2793.37</t>
        </is>
      </c>
      <c r="R2409" s="4" t="inlineStr">
        <is>
          <t>iPhone</t>
        </is>
      </c>
      <c r="S2409" s="4" t="inlineStr">
        <is>
          <t>B49</t>
        </is>
      </c>
      <c r="T2409" s="4" t="inlineStr">
        <is>
          <t>RAMP_1501_2500</t>
        </is>
      </c>
      <c r="U2409" s="4" t="inlineStr">
        <is>
          <t>CREATED</t>
        </is>
      </c>
      <c r="V2409" s="4" t="inlineStr">
        <is>
          <t>idem-20260902-ios-2408</t>
        </is>
      </c>
    </row>
    <row r="2410" ht="30" customHeight="1">
      <c r="A2410" s="4" t="n">
        <v>2409</v>
      </c>
      <c r="B2410" s="4" t="inlineStr">
        <is>
          <t>MTR-IOS-2409</t>
        </is>
      </c>
      <c r="C2410" s="4" t="inlineStr">
        <is>
          <t>Business</t>
        </is>
      </c>
      <c r="D2410" s="4" t="inlineStr">
        <is>
          <t>Business</t>
        </is>
      </c>
      <c r="E2410" s="4" t="inlineStr">
        <is>
          <t>Team Operations</t>
        </is>
      </c>
      <c r="F2410" s="4" t="inlineStr">
        <is>
          <t>Travel</t>
        </is>
      </c>
      <c r="G2410" s="4" t="inlineStr">
        <is>
          <t>Expense</t>
        </is>
      </c>
      <c r="H2410" s="12" t="n">
        <v>46114</v>
      </c>
      <c r="I2410" s="13" t="n">
        <v>0.3241666666666667</v>
      </c>
      <c r="J2410" s="14" t="n">
        <v>46114.32416666667</v>
      </c>
      <c r="K2410" s="15" t="n">
        <v>98926.82000000001</v>
      </c>
      <c r="L2410" s="4" t="inlineStr">
        <is>
          <t>INR</t>
        </is>
      </c>
      <c r="M2410" s="15" t="n">
        <v>-98926.82000000001</v>
      </c>
      <c r="N2410" s="4" t="inlineStr">
        <is>
          <t>IOS Owner</t>
        </is>
      </c>
      <c r="O2410" s="4" t="n"/>
      <c r="P2410" s="4" t="n"/>
      <c r="Q2410" s="4" t="inlineStr">
        <is>
          <t>MAESTRO-IOS-BUSINESS-TEAM_OPERATIONS-2409 | Travel | 98926.82</t>
        </is>
      </c>
      <c r="R2410" s="4" t="inlineStr">
        <is>
          <t>iPhone</t>
        </is>
      </c>
      <c r="S2410" s="4" t="inlineStr">
        <is>
          <t>B49</t>
        </is>
      </c>
      <c r="T2410" s="4" t="inlineStr">
        <is>
          <t>RAMP_1501_2500</t>
        </is>
      </c>
      <c r="U2410" s="4" t="inlineStr">
        <is>
          <t>CREATED</t>
        </is>
      </c>
      <c r="V2410" s="4" t="inlineStr">
        <is>
          <t>idem-20260902-ios-2409</t>
        </is>
      </c>
    </row>
    <row r="2411" ht="30" customHeight="1">
      <c r="A2411" s="4" t="n">
        <v>2410</v>
      </c>
      <c r="B2411" s="4" t="inlineStr">
        <is>
          <t>MTR-IOS-2410</t>
        </is>
      </c>
      <c r="C2411" s="4" t="inlineStr">
        <is>
          <t>Personal</t>
        </is>
      </c>
      <c r="D2411" s="4" t="inlineStr">
        <is>
          <t>Personal</t>
        </is>
      </c>
      <c r="E2411" s="4" t="inlineStr">
        <is>
          <t>Relationships</t>
        </is>
      </c>
      <c r="F2411" s="4" t="inlineStr">
        <is>
          <t>Friends</t>
        </is>
      </c>
      <c r="G2411" s="4" t="inlineStr">
        <is>
          <t>Expense</t>
        </is>
      </c>
      <c r="H2411" s="12" t="n">
        <v>46163</v>
      </c>
      <c r="I2411" s="13" t="n">
        <v>0.3065972222222222</v>
      </c>
      <c r="J2411" s="14" t="n">
        <v>46163.30659722222</v>
      </c>
      <c r="K2411" s="15" t="n">
        <v>8482.25</v>
      </c>
      <c r="L2411" s="4" t="inlineStr">
        <is>
          <t>INR</t>
        </is>
      </c>
      <c r="M2411" s="15" t="n">
        <v>-8482.25</v>
      </c>
      <c r="N2411" s="4" t="inlineStr">
        <is>
          <t>IOS Owner</t>
        </is>
      </c>
      <c r="O2411" s="4" t="n"/>
      <c r="P2411" s="4" t="n"/>
      <c r="Q2411" s="4" t="inlineStr">
        <is>
          <t>MAESTRO-IOS-PERSONAL-RELATIONSHIPS-2410 | Friends | 8482.25</t>
        </is>
      </c>
      <c r="R2411" s="4" t="inlineStr">
        <is>
          <t>iPhone</t>
        </is>
      </c>
      <c r="S2411" s="4" t="inlineStr">
        <is>
          <t>B49</t>
        </is>
      </c>
      <c r="T2411" s="4" t="inlineStr">
        <is>
          <t>RAMP_1501_2500</t>
        </is>
      </c>
      <c r="U2411" s="4" t="inlineStr">
        <is>
          <t>CREATED</t>
        </is>
      </c>
      <c r="V2411" s="4" t="inlineStr">
        <is>
          <t>idem-20260902-ios-2410</t>
        </is>
      </c>
    </row>
    <row r="2412" ht="30" customHeight="1">
      <c r="A2412" s="4" t="n">
        <v>2411</v>
      </c>
      <c r="B2412" s="4" t="inlineStr">
        <is>
          <t>MTR-IOS-2411</t>
        </is>
      </c>
      <c r="C2412" s="4" t="inlineStr">
        <is>
          <t>Group</t>
        </is>
      </c>
      <c r="D2412" s="4" t="inlineStr">
        <is>
          <t>Shared Living</t>
        </is>
      </c>
      <c r="E2412" s="4" t="inlineStr">
        <is>
          <t>Shared Living</t>
        </is>
      </c>
      <c r="F2412" s="4" t="inlineStr">
        <is>
          <t>Other</t>
        </is>
      </c>
      <c r="G2412" s="4" t="inlineStr">
        <is>
          <t>Expense</t>
        </is>
      </c>
      <c r="H2412" s="12" t="n">
        <v>46255</v>
      </c>
      <c r="I2412" s="13" t="n">
        <v>0.1923726851851852</v>
      </c>
      <c r="J2412" s="14" t="n">
        <v>46255.19237268518</v>
      </c>
      <c r="K2412" s="15" t="n">
        <v>1748.08</v>
      </c>
      <c r="L2412" s="4" t="inlineStr">
        <is>
          <t>INR</t>
        </is>
      </c>
      <c r="M2412" s="15" t="n">
        <v>-1748.08</v>
      </c>
      <c r="N2412" s="4" t="inlineStr">
        <is>
          <t>IOS Meera</t>
        </is>
      </c>
      <c r="O2412" s="4" t="n">
        <v>3</v>
      </c>
      <c r="P2412" s="4" t="inlineStr">
        <is>
          <t>SHARES</t>
        </is>
      </c>
      <c r="Q2412" s="4" t="inlineStr">
        <is>
          <t>MAESTRO-IOS-GROUP-SHARED_LIVING-2411 | Other | 1748.08</t>
        </is>
      </c>
      <c r="R2412" s="4" t="inlineStr">
        <is>
          <t>iPhone</t>
        </is>
      </c>
      <c r="S2412" s="4" t="inlineStr">
        <is>
          <t>B49</t>
        </is>
      </c>
      <c r="T2412" s="4" t="inlineStr">
        <is>
          <t>RAMP_1501_2500</t>
        </is>
      </c>
      <c r="U2412" s="4" t="inlineStr">
        <is>
          <t>CREATED</t>
        </is>
      </c>
      <c r="V2412" s="4" t="inlineStr">
        <is>
          <t>idem-20260902-ios-2411</t>
        </is>
      </c>
    </row>
    <row r="2413" ht="30" customHeight="1">
      <c r="A2413" s="4" t="n">
        <v>2412</v>
      </c>
      <c r="B2413" s="4" t="inlineStr">
        <is>
          <t>MTR-IOS-2412</t>
        </is>
      </c>
      <c r="C2413" s="4" t="inlineStr">
        <is>
          <t>Business</t>
        </is>
      </c>
      <c r="D2413" s="4" t="inlineStr">
        <is>
          <t>Business</t>
        </is>
      </c>
      <c r="E2413" s="4" t="inlineStr">
        <is>
          <t>Team Operations</t>
        </is>
      </c>
      <c r="F2413" s="4" t="inlineStr">
        <is>
          <t>Training</t>
        </is>
      </c>
      <c r="G2413" s="4" t="inlineStr">
        <is>
          <t>Expense</t>
        </is>
      </c>
      <c r="H2413" s="12" t="n">
        <v>46181</v>
      </c>
      <c r="I2413" s="13" t="n">
        <v>0.6536111111111111</v>
      </c>
      <c r="J2413" s="14" t="n">
        <v>46181.65361111111</v>
      </c>
      <c r="K2413" s="15" t="n">
        <v>150923.04</v>
      </c>
      <c r="L2413" s="4" t="inlineStr">
        <is>
          <t>INR</t>
        </is>
      </c>
      <c r="M2413" s="15" t="n">
        <v>-150923.04</v>
      </c>
      <c r="N2413" s="4" t="inlineStr">
        <is>
          <t>IOS Owner</t>
        </is>
      </c>
      <c r="O2413" s="4" t="n"/>
      <c r="P2413" s="4" t="n"/>
      <c r="Q2413" s="4" t="inlineStr">
        <is>
          <t>MAESTRO-IOS-BUSINESS-TEAM_OPERATIONS-2412 | Training | 150923.04</t>
        </is>
      </c>
      <c r="R2413" s="4" t="inlineStr">
        <is>
          <t>iPhone</t>
        </is>
      </c>
      <c r="S2413" s="4" t="inlineStr">
        <is>
          <t>B49</t>
        </is>
      </c>
      <c r="T2413" s="4" t="inlineStr">
        <is>
          <t>RAMP_1501_2500</t>
        </is>
      </c>
      <c r="U2413" s="4" t="inlineStr">
        <is>
          <t>CREATED</t>
        </is>
      </c>
      <c r="V2413" s="4" t="inlineStr">
        <is>
          <t>idem-20260902-ios-2412</t>
        </is>
      </c>
    </row>
    <row r="2414" ht="30" customHeight="1">
      <c r="A2414" s="4" t="n">
        <v>2413</v>
      </c>
      <c r="B2414" s="4" t="inlineStr">
        <is>
          <t>MTR-IOS-2413</t>
        </is>
      </c>
      <c r="C2414" s="4" t="inlineStr">
        <is>
          <t>Personal</t>
        </is>
      </c>
      <c r="D2414" s="4" t="inlineStr">
        <is>
          <t>Personal</t>
        </is>
      </c>
      <c r="E2414" s="4" t="inlineStr">
        <is>
          <t>Relationships</t>
        </is>
      </c>
      <c r="F2414" s="4" t="inlineStr">
        <is>
          <t>Celebrations</t>
        </is>
      </c>
      <c r="G2414" s="4" t="inlineStr">
        <is>
          <t>Expense</t>
        </is>
      </c>
      <c r="H2414" s="12" t="n">
        <v>45936</v>
      </c>
      <c r="I2414" s="13" t="n">
        <v>0.6855208333333334</v>
      </c>
      <c r="J2414" s="14" t="n">
        <v>45936.68552083334</v>
      </c>
      <c r="K2414" s="15" t="n">
        <v>7062.33</v>
      </c>
      <c r="L2414" s="4" t="inlineStr">
        <is>
          <t>INR</t>
        </is>
      </c>
      <c r="M2414" s="15" t="n">
        <v>-7062.33</v>
      </c>
      <c r="N2414" s="4" t="inlineStr">
        <is>
          <t>IOS Owner</t>
        </is>
      </c>
      <c r="O2414" s="4" t="n"/>
      <c r="P2414" s="4" t="n"/>
      <c r="Q2414" s="4" t="inlineStr">
        <is>
          <t>MAESTRO-IOS-PERSONAL-RELATIONSHIPS-2413 | Celebrations | 7062.33</t>
        </is>
      </c>
      <c r="R2414" s="4" t="inlineStr">
        <is>
          <t>iPhone</t>
        </is>
      </c>
      <c r="S2414" s="4" t="inlineStr">
        <is>
          <t>B49</t>
        </is>
      </c>
      <c r="T2414" s="4" t="inlineStr">
        <is>
          <t>RAMP_1501_2500</t>
        </is>
      </c>
      <c r="U2414" s="4" t="inlineStr">
        <is>
          <t>CREATED</t>
        </is>
      </c>
      <c r="V2414" s="4" t="inlineStr">
        <is>
          <t>idem-20260902-ios-2413</t>
        </is>
      </c>
    </row>
    <row r="2415" ht="30" customHeight="1">
      <c r="A2415" s="4" t="n">
        <v>2414</v>
      </c>
      <c r="B2415" s="4" t="inlineStr">
        <is>
          <t>MTR-IOS-2414</t>
        </is>
      </c>
      <c r="C2415" s="4" t="inlineStr">
        <is>
          <t>Group</t>
        </is>
      </c>
      <c r="D2415" s="4" t="inlineStr">
        <is>
          <t>Shared Living</t>
        </is>
      </c>
      <c r="E2415" s="4" t="inlineStr">
        <is>
          <t>Family Household</t>
        </is>
      </c>
      <c r="F2415" s="4" t="inlineStr">
        <is>
          <t>Groceries</t>
        </is>
      </c>
      <c r="G2415" s="4" t="inlineStr">
        <is>
          <t>Expense</t>
        </is>
      </c>
      <c r="H2415" s="12" t="n">
        <v>46082</v>
      </c>
      <c r="I2415" s="13" t="n">
        <v>0.126875</v>
      </c>
      <c r="J2415" s="14" t="n">
        <v>46082.126875</v>
      </c>
      <c r="K2415" s="15" t="n">
        <v>23010.5</v>
      </c>
      <c r="L2415" s="4" t="inlineStr">
        <is>
          <t>INR</t>
        </is>
      </c>
      <c r="M2415" s="15" t="n">
        <v>-23010.5</v>
      </c>
      <c r="N2415" s="4" t="inlineStr">
        <is>
          <t>IOS Owner</t>
        </is>
      </c>
      <c r="O2415" s="4" t="n">
        <v>3</v>
      </c>
      <c r="P2415" s="4" t="inlineStr">
        <is>
          <t>EQUAL</t>
        </is>
      </c>
      <c r="Q2415" s="4" t="inlineStr">
        <is>
          <t>MAESTRO-IOS-GROUP-FAMILY_HOUSEHOLD-2414 | Groceries | 23010.50</t>
        </is>
      </c>
      <c r="R2415" s="4" t="inlineStr">
        <is>
          <t>iPhone</t>
        </is>
      </c>
      <c r="S2415" s="4" t="inlineStr">
        <is>
          <t>B49</t>
        </is>
      </c>
      <c r="T2415" s="4" t="inlineStr">
        <is>
          <t>RAMP_1501_2500</t>
        </is>
      </c>
      <c r="U2415" s="4" t="inlineStr">
        <is>
          <t>CREATED</t>
        </is>
      </c>
      <c r="V2415" s="4" t="inlineStr">
        <is>
          <t>idem-20260902-ios-2414</t>
        </is>
      </c>
    </row>
    <row r="2416" ht="30" customHeight="1">
      <c r="A2416" s="4" t="n">
        <v>2415</v>
      </c>
      <c r="B2416" s="4" t="inlineStr">
        <is>
          <t>MTR-IOS-2415</t>
        </is>
      </c>
      <c r="C2416" s="4" t="inlineStr">
        <is>
          <t>Business</t>
        </is>
      </c>
      <c r="D2416" s="4" t="inlineStr">
        <is>
          <t>Business</t>
        </is>
      </c>
      <c r="E2416" s="4" t="inlineStr">
        <is>
          <t>Team Operations</t>
        </is>
      </c>
      <c r="F2416" s="4" t="inlineStr">
        <is>
          <t>Tools</t>
        </is>
      </c>
      <c r="G2416" s="4" t="inlineStr">
        <is>
          <t>Expense</t>
        </is>
      </c>
      <c r="H2416" s="12" t="n">
        <v>46071</v>
      </c>
      <c r="I2416" s="13" t="n">
        <v>0.8393634259259259</v>
      </c>
      <c r="J2416" s="14" t="n">
        <v>46071.83936342593</v>
      </c>
      <c r="K2416" s="15" t="n">
        <v>6647.96</v>
      </c>
      <c r="L2416" s="4" t="inlineStr">
        <is>
          <t>INR</t>
        </is>
      </c>
      <c r="M2416" s="15" t="n">
        <v>-6647.96</v>
      </c>
      <c r="N2416" s="4" t="inlineStr">
        <is>
          <t>IOS Owner</t>
        </is>
      </c>
      <c r="O2416" s="4" t="n"/>
      <c r="P2416" s="4" t="n"/>
      <c r="Q2416" s="4" t="inlineStr">
        <is>
          <t>MAESTRO-IOS-BUSINESS-TEAM_OPERATIONS-2415 | Tools | 6647.96</t>
        </is>
      </c>
      <c r="R2416" s="4" t="inlineStr">
        <is>
          <t>iPhone</t>
        </is>
      </c>
      <c r="S2416" s="4" t="inlineStr">
        <is>
          <t>B49</t>
        </is>
      </c>
      <c r="T2416" s="4" t="inlineStr">
        <is>
          <t>RAMP_1501_2500</t>
        </is>
      </c>
      <c r="U2416" s="4" t="inlineStr">
        <is>
          <t>CREATED</t>
        </is>
      </c>
      <c r="V2416" s="4" t="inlineStr">
        <is>
          <t>idem-20260902-ios-2415</t>
        </is>
      </c>
    </row>
    <row r="2417" ht="30" customHeight="1">
      <c r="A2417" s="4" t="n">
        <v>2416</v>
      </c>
      <c r="B2417" s="4" t="inlineStr">
        <is>
          <t>MTR-IOS-2416</t>
        </is>
      </c>
      <c r="C2417" s="4" t="inlineStr">
        <is>
          <t>Personal</t>
        </is>
      </c>
      <c r="D2417" s="4" t="inlineStr">
        <is>
          <t>Personal</t>
        </is>
      </c>
      <c r="E2417" s="4" t="inlineStr">
        <is>
          <t>Life Operations</t>
        </is>
      </c>
      <c r="F2417" s="4" t="inlineStr">
        <is>
          <t>Groceries</t>
        </is>
      </c>
      <c r="G2417" s="4" t="inlineStr">
        <is>
          <t>Expense</t>
        </is>
      </c>
      <c r="H2417" s="12" t="n">
        <v>46007</v>
      </c>
      <c r="I2417" s="13" t="n">
        <v>0.3156365740740741</v>
      </c>
      <c r="J2417" s="14" t="n">
        <v>46007.31563657407</v>
      </c>
      <c r="K2417" s="15" t="n">
        <v>342.65</v>
      </c>
      <c r="L2417" s="4" t="inlineStr">
        <is>
          <t>INR</t>
        </is>
      </c>
      <c r="M2417" s="15" t="n">
        <v>-342.65</v>
      </c>
      <c r="N2417" s="4" t="inlineStr">
        <is>
          <t>IOS Owner</t>
        </is>
      </c>
      <c r="O2417" s="4" t="n"/>
      <c r="P2417" s="4" t="n"/>
      <c r="Q2417" s="4" t="inlineStr">
        <is>
          <t>MAESTRO-IOS-PERSONAL-LIFE_OPERATIONS-2416 | Groceries | 342.65</t>
        </is>
      </c>
      <c r="R2417" s="4" t="inlineStr">
        <is>
          <t>iPhone</t>
        </is>
      </c>
      <c r="S2417" s="4" t="inlineStr">
        <is>
          <t>B49</t>
        </is>
      </c>
      <c r="T2417" s="4" t="inlineStr">
        <is>
          <t>RAMP_1501_2500</t>
        </is>
      </c>
      <c r="U2417" s="4" t="inlineStr">
        <is>
          <t>CREATED</t>
        </is>
      </c>
      <c r="V2417" s="4" t="inlineStr">
        <is>
          <t>idem-20260902-ios-2416</t>
        </is>
      </c>
    </row>
    <row r="2418" ht="30" customHeight="1">
      <c r="A2418" s="4" t="n">
        <v>2417</v>
      </c>
      <c r="B2418" s="4" t="inlineStr">
        <is>
          <t>MTR-IOS-2417</t>
        </is>
      </c>
      <c r="C2418" s="4" t="inlineStr">
        <is>
          <t>Group</t>
        </is>
      </c>
      <c r="D2418" s="4" t="inlineStr">
        <is>
          <t>Shared Living</t>
        </is>
      </c>
      <c r="E2418" s="4" t="inlineStr">
        <is>
          <t>Family Household</t>
        </is>
      </c>
      <c r="F2418" s="4" t="inlineStr">
        <is>
          <t>Bills</t>
        </is>
      </c>
      <c r="G2418" s="4" t="inlineStr">
        <is>
          <t>Expense</t>
        </is>
      </c>
      <c r="H2418" s="12" t="n">
        <v>46161</v>
      </c>
      <c r="I2418" s="13" t="n">
        <v>0.6891435185185185</v>
      </c>
      <c r="J2418" s="14" t="n">
        <v>46161.68914351852</v>
      </c>
      <c r="K2418" s="15" t="n">
        <v>10572.75</v>
      </c>
      <c r="L2418" s="4" t="inlineStr">
        <is>
          <t>INR</t>
        </is>
      </c>
      <c r="M2418" s="15" t="n">
        <v>-10572.75</v>
      </c>
      <c r="N2418" s="4" t="inlineStr">
        <is>
          <t>IOS Aarav</t>
        </is>
      </c>
      <c r="O2418" s="4" t="n">
        <v>3</v>
      </c>
      <c r="P2418" s="4" t="inlineStr">
        <is>
          <t>PERCENTAGE</t>
        </is>
      </c>
      <c r="Q2418" s="4" t="inlineStr">
        <is>
          <t>MAESTRO-IOS-GROUP-FAMILY_HOUSEHOLD-2417 | Bills | 10572.75</t>
        </is>
      </c>
      <c r="R2418" s="4" t="inlineStr">
        <is>
          <t>iPhone</t>
        </is>
      </c>
      <c r="S2418" s="4" t="inlineStr">
        <is>
          <t>B49</t>
        </is>
      </c>
      <c r="T2418" s="4" t="inlineStr">
        <is>
          <t>RAMP_1501_2500</t>
        </is>
      </c>
      <c r="U2418" s="4" t="inlineStr">
        <is>
          <t>CREATED</t>
        </is>
      </c>
      <c r="V2418" s="4" t="inlineStr">
        <is>
          <t>idem-20260902-ios-2417</t>
        </is>
      </c>
    </row>
    <row r="2419" ht="30" customHeight="1">
      <c r="A2419" s="4" t="n">
        <v>2418</v>
      </c>
      <c r="B2419" s="4" t="inlineStr">
        <is>
          <t>MTR-IOS-2418</t>
        </is>
      </c>
      <c r="C2419" s="4" t="inlineStr">
        <is>
          <t>Business</t>
        </is>
      </c>
      <c r="D2419" s="4" t="inlineStr">
        <is>
          <t>Business</t>
        </is>
      </c>
      <c r="E2419" s="4" t="inlineStr">
        <is>
          <t>Business Runway</t>
        </is>
      </c>
      <c r="F2419" s="4" t="inlineStr">
        <is>
          <t>Funding</t>
        </is>
      </c>
      <c r="G2419" s="4" t="inlineStr">
        <is>
          <t>Income</t>
        </is>
      </c>
      <c r="H2419" s="12" t="n">
        <v>46049</v>
      </c>
      <c r="I2419" s="13" t="n">
        <v>0.2759375</v>
      </c>
      <c r="J2419" s="14" t="n">
        <v>46049.2759375</v>
      </c>
      <c r="K2419" s="15" t="n">
        <v>57911.5</v>
      </c>
      <c r="L2419" s="4" t="inlineStr">
        <is>
          <t>INR</t>
        </is>
      </c>
      <c r="M2419" s="15" t="n">
        <v>57911.5</v>
      </c>
      <c r="N2419" s="4" t="inlineStr">
        <is>
          <t>IOS Owner</t>
        </is>
      </c>
      <c r="O2419" s="4" t="n"/>
      <c r="P2419" s="4" t="n"/>
      <c r="Q2419" s="4" t="inlineStr">
        <is>
          <t>MAESTRO-IOS-BUSINESS-BUSINESS_RUNWAY-2418 | Funding | 57911.50</t>
        </is>
      </c>
      <c r="R2419" s="4" t="inlineStr">
        <is>
          <t>iPhone</t>
        </is>
      </c>
      <c r="S2419" s="4" t="inlineStr">
        <is>
          <t>B49</t>
        </is>
      </c>
      <c r="T2419" s="4" t="inlineStr">
        <is>
          <t>RAMP_1501_2500</t>
        </is>
      </c>
      <c r="U2419" s="4" t="inlineStr">
        <is>
          <t>CREATED</t>
        </is>
      </c>
      <c r="V2419" s="4" t="inlineStr">
        <is>
          <t>idem-20260902-ios-2418</t>
        </is>
      </c>
    </row>
    <row r="2420" ht="30" customHeight="1">
      <c r="A2420" s="4" t="n">
        <v>2419</v>
      </c>
      <c r="B2420" s="4" t="inlineStr">
        <is>
          <t>MTR-IOS-2419</t>
        </is>
      </c>
      <c r="C2420" s="4" t="inlineStr">
        <is>
          <t>Personal</t>
        </is>
      </c>
      <c r="D2420" s="4" t="inlineStr">
        <is>
          <t>Personal</t>
        </is>
      </c>
      <c r="E2420" s="4" t="inlineStr">
        <is>
          <t>Life Operations</t>
        </is>
      </c>
      <c r="F2420" s="4" t="inlineStr">
        <is>
          <t>Rent</t>
        </is>
      </c>
      <c r="G2420" s="4" t="inlineStr">
        <is>
          <t>Expense</t>
        </is>
      </c>
      <c r="H2420" s="12" t="n">
        <v>46003</v>
      </c>
      <c r="I2420" s="13" t="n">
        <v>0.9171527777777778</v>
      </c>
      <c r="J2420" s="14" t="n">
        <v>46003.91715277778</v>
      </c>
      <c r="K2420" s="15" t="n">
        <v>2405.3</v>
      </c>
      <c r="L2420" s="4" t="inlineStr">
        <is>
          <t>INR</t>
        </is>
      </c>
      <c r="M2420" s="15" t="n">
        <v>-2405.3</v>
      </c>
      <c r="N2420" s="4" t="inlineStr">
        <is>
          <t>IOS Owner</t>
        </is>
      </c>
      <c r="O2420" s="4" t="n"/>
      <c r="P2420" s="4" t="n"/>
      <c r="Q2420" s="4" t="inlineStr">
        <is>
          <t>MAESTRO-IOS-PERSONAL-LIFE_OPERATIONS-2419 | Rent | 2405.30</t>
        </is>
      </c>
      <c r="R2420" s="4" t="inlineStr">
        <is>
          <t>iPhone</t>
        </is>
      </c>
      <c r="S2420" s="4" t="inlineStr">
        <is>
          <t>B49</t>
        </is>
      </c>
      <c r="T2420" s="4" t="inlineStr">
        <is>
          <t>RAMP_1501_2500</t>
        </is>
      </c>
      <c r="U2420" s="4" t="inlineStr">
        <is>
          <t>CREATED</t>
        </is>
      </c>
      <c r="V2420" s="4" t="inlineStr">
        <is>
          <t>idem-20260902-ios-2419</t>
        </is>
      </c>
    </row>
    <row r="2421" ht="30" customHeight="1">
      <c r="A2421" s="4" t="n">
        <v>2420</v>
      </c>
      <c r="B2421" s="4" t="inlineStr">
        <is>
          <t>MTR-IOS-2420</t>
        </is>
      </c>
      <c r="C2421" s="4" t="inlineStr">
        <is>
          <t>Group</t>
        </is>
      </c>
      <c r="D2421" s="4" t="inlineStr">
        <is>
          <t>Shared Living</t>
        </is>
      </c>
      <c r="E2421" s="4" t="inlineStr">
        <is>
          <t>Family Household</t>
        </is>
      </c>
      <c r="F2421" s="4" t="inlineStr">
        <is>
          <t>School</t>
        </is>
      </c>
      <c r="G2421" s="4" t="inlineStr">
        <is>
          <t>Expense</t>
        </is>
      </c>
      <c r="H2421" s="12" t="n">
        <v>45965</v>
      </c>
      <c r="I2421" s="13" t="n">
        <v>0.4769675925925926</v>
      </c>
      <c r="J2421" s="14" t="n">
        <v>45965.47696759259</v>
      </c>
      <c r="K2421" s="15" t="n">
        <v>5171.84</v>
      </c>
      <c r="L2421" s="4" t="inlineStr">
        <is>
          <t>INR</t>
        </is>
      </c>
      <c r="M2421" s="15" t="n">
        <v>-5171.84</v>
      </c>
      <c r="N2421" s="4" t="inlineStr">
        <is>
          <t>IOS Meera</t>
        </is>
      </c>
      <c r="O2421" s="4" t="n">
        <v>3</v>
      </c>
      <c r="P2421" s="4" t="inlineStr">
        <is>
          <t>EXACT</t>
        </is>
      </c>
      <c r="Q2421" s="4" t="inlineStr">
        <is>
          <t>MAESTRO-IOS-GROUP-FAMILY_HOUSEHOLD-2420 | School | 5171.84</t>
        </is>
      </c>
      <c r="R2421" s="4" t="inlineStr">
        <is>
          <t>iPhone</t>
        </is>
      </c>
      <c r="S2421" s="4" t="inlineStr">
        <is>
          <t>B49</t>
        </is>
      </c>
      <c r="T2421" s="4" t="inlineStr">
        <is>
          <t>RAMP_1501_2500</t>
        </is>
      </c>
      <c r="U2421" s="4" t="inlineStr">
        <is>
          <t>CREATED</t>
        </is>
      </c>
      <c r="V2421" s="4" t="inlineStr">
        <is>
          <t>idem-20260902-ios-2420</t>
        </is>
      </c>
    </row>
    <row r="2422" ht="30" customHeight="1">
      <c r="A2422" s="4" t="n">
        <v>2421</v>
      </c>
      <c r="B2422" s="4" t="inlineStr">
        <is>
          <t>MTR-IOS-2421</t>
        </is>
      </c>
      <c r="C2422" s="4" t="inlineStr">
        <is>
          <t>Business</t>
        </is>
      </c>
      <c r="D2422" s="4" t="inlineStr">
        <is>
          <t>Business</t>
        </is>
      </c>
      <c r="E2422" s="4" t="inlineStr">
        <is>
          <t>Business Runway</t>
        </is>
      </c>
      <c r="F2422" s="4" t="inlineStr">
        <is>
          <t>Revenue</t>
        </is>
      </c>
      <c r="G2422" s="4" t="inlineStr">
        <is>
          <t>Income</t>
        </is>
      </c>
      <c r="H2422" s="12" t="n">
        <v>45987</v>
      </c>
      <c r="I2422" s="13" t="n">
        <v>0.9295717592592593</v>
      </c>
      <c r="J2422" s="14" t="n">
        <v>45987.92957175926</v>
      </c>
      <c r="K2422" s="15" t="n">
        <v>6253.77</v>
      </c>
      <c r="L2422" s="4" t="inlineStr">
        <is>
          <t>INR</t>
        </is>
      </c>
      <c r="M2422" s="15" t="n">
        <v>6253.77</v>
      </c>
      <c r="N2422" s="4" t="inlineStr">
        <is>
          <t>IOS Owner</t>
        </is>
      </c>
      <c r="O2422" s="4" t="n"/>
      <c r="P2422" s="4" t="n"/>
      <c r="Q2422" s="4" t="inlineStr">
        <is>
          <t>MAESTRO-IOS-BUSINESS-BUSINESS_RUNWAY-2421 | Revenue | 6253.77</t>
        </is>
      </c>
      <c r="R2422" s="4" t="inlineStr">
        <is>
          <t>iPhone</t>
        </is>
      </c>
      <c r="S2422" s="4" t="inlineStr">
        <is>
          <t>B49</t>
        </is>
      </c>
      <c r="T2422" s="4" t="inlineStr">
        <is>
          <t>RAMP_1501_2500</t>
        </is>
      </c>
      <c r="U2422" s="4" t="inlineStr">
        <is>
          <t>CREATED</t>
        </is>
      </c>
      <c r="V2422" s="4" t="inlineStr">
        <is>
          <t>idem-20260902-ios-2421</t>
        </is>
      </c>
    </row>
    <row r="2423" ht="30" customHeight="1">
      <c r="A2423" s="4" t="n">
        <v>2422</v>
      </c>
      <c r="B2423" s="4" t="inlineStr">
        <is>
          <t>MTR-IOS-2422</t>
        </is>
      </c>
      <c r="C2423" s="4" t="inlineStr">
        <is>
          <t>Personal</t>
        </is>
      </c>
      <c r="D2423" s="4" t="inlineStr">
        <is>
          <t>Personal</t>
        </is>
      </c>
      <c r="E2423" s="4" t="inlineStr">
        <is>
          <t>Life Operations</t>
        </is>
      </c>
      <c r="F2423" s="4" t="inlineStr">
        <is>
          <t>Bills</t>
        </is>
      </c>
      <c r="G2423" s="4" t="inlineStr">
        <is>
          <t>Expense</t>
        </is>
      </c>
      <c r="H2423" s="12" t="n">
        <v>46158</v>
      </c>
      <c r="I2423" s="13" t="n">
        <v>0.9115625000000001</v>
      </c>
      <c r="J2423" s="14" t="n">
        <v>46158.9115625</v>
      </c>
      <c r="K2423" s="15" t="n">
        <v>1599.43</v>
      </c>
      <c r="L2423" s="4" t="inlineStr">
        <is>
          <t>INR</t>
        </is>
      </c>
      <c r="M2423" s="15" t="n">
        <v>-1599.43</v>
      </c>
      <c r="N2423" s="4" t="inlineStr">
        <is>
          <t>IOS Owner</t>
        </is>
      </c>
      <c r="O2423" s="4" t="n"/>
      <c r="P2423" s="4" t="n"/>
      <c r="Q2423" s="4" t="inlineStr">
        <is>
          <t>MAESTRO-IOS-PERSONAL-LIFE_OPERATIONS-2422 | Bills | 1599.43</t>
        </is>
      </c>
      <c r="R2423" s="4" t="inlineStr">
        <is>
          <t>iPhone</t>
        </is>
      </c>
      <c r="S2423" s="4" t="inlineStr">
        <is>
          <t>B49</t>
        </is>
      </c>
      <c r="T2423" s="4" t="inlineStr">
        <is>
          <t>RAMP_1501_2500</t>
        </is>
      </c>
      <c r="U2423" s="4" t="inlineStr">
        <is>
          <t>CREATED</t>
        </is>
      </c>
      <c r="V2423" s="4" t="inlineStr">
        <is>
          <t>idem-20260902-ios-2422</t>
        </is>
      </c>
    </row>
    <row r="2424" ht="30" customHeight="1">
      <c r="A2424" s="4" t="n">
        <v>2423</v>
      </c>
      <c r="B2424" s="4" t="inlineStr">
        <is>
          <t>MTR-IOS-2423</t>
        </is>
      </c>
      <c r="C2424" s="4" t="inlineStr">
        <is>
          <t>Group</t>
        </is>
      </c>
      <c r="D2424" s="4" t="inlineStr">
        <is>
          <t>Shared Living</t>
        </is>
      </c>
      <c r="E2424" s="4" t="inlineStr">
        <is>
          <t>Family Household</t>
        </is>
      </c>
      <c r="F2424" s="4" t="inlineStr">
        <is>
          <t>Healthcare</t>
        </is>
      </c>
      <c r="G2424" s="4" t="inlineStr">
        <is>
          <t>Expense</t>
        </is>
      </c>
      <c r="H2424" s="12" t="n">
        <v>46001</v>
      </c>
      <c r="I2424" s="13" t="n">
        <v>0.9907754629629629</v>
      </c>
      <c r="J2424" s="14" t="n">
        <v>46001.99077546296</v>
      </c>
      <c r="K2424" s="15" t="n">
        <v>3973.85</v>
      </c>
      <c r="L2424" s="4" t="inlineStr">
        <is>
          <t>INR</t>
        </is>
      </c>
      <c r="M2424" s="15" t="n">
        <v>-3973.85</v>
      </c>
      <c r="N2424" s="4" t="inlineStr">
        <is>
          <t>IOS Owner</t>
        </is>
      </c>
      <c r="O2424" s="4" t="n">
        <v>3</v>
      </c>
      <c r="P2424" s="4" t="inlineStr">
        <is>
          <t>SHARES</t>
        </is>
      </c>
      <c r="Q2424" s="4" t="inlineStr">
        <is>
          <t>MAESTRO-IOS-GROUP-FAMILY_HOUSEHOLD-2423 | Healthcare | 3973.85</t>
        </is>
      </c>
      <c r="R2424" s="4" t="inlineStr">
        <is>
          <t>iPhone</t>
        </is>
      </c>
      <c r="S2424" s="4" t="inlineStr">
        <is>
          <t>B49</t>
        </is>
      </c>
      <c r="T2424" s="4" t="inlineStr">
        <is>
          <t>RAMP_1501_2500</t>
        </is>
      </c>
      <c r="U2424" s="4" t="inlineStr">
        <is>
          <t>CREATED</t>
        </is>
      </c>
      <c r="V2424" s="4" t="inlineStr">
        <is>
          <t>idem-20260902-ios-2423</t>
        </is>
      </c>
    </row>
    <row r="2425" ht="30" customHeight="1">
      <c r="A2425" s="4" t="n">
        <v>2424</v>
      </c>
      <c r="B2425" s="4" t="inlineStr">
        <is>
          <t>MTR-IOS-2424</t>
        </is>
      </c>
      <c r="C2425" s="4" t="inlineStr">
        <is>
          <t>Business</t>
        </is>
      </c>
      <c r="D2425" s="4" t="inlineStr">
        <is>
          <t>Business</t>
        </is>
      </c>
      <c r="E2425" s="4" t="inlineStr">
        <is>
          <t>Business Runway</t>
        </is>
      </c>
      <c r="F2425" s="4" t="inlineStr">
        <is>
          <t>Burn</t>
        </is>
      </c>
      <c r="G2425" s="4" t="inlineStr">
        <is>
          <t>Expense</t>
        </is>
      </c>
      <c r="H2425" s="12" t="n">
        <v>46106</v>
      </c>
      <c r="I2425" s="13" t="n">
        <v>0.428275462962963</v>
      </c>
      <c r="J2425" s="14" t="n">
        <v>46106.42827546296</v>
      </c>
      <c r="K2425" s="15" t="n">
        <v>91203.62</v>
      </c>
      <c r="L2425" s="4" t="inlineStr">
        <is>
          <t>INR</t>
        </is>
      </c>
      <c r="M2425" s="15" t="n">
        <v>-91203.62</v>
      </c>
      <c r="N2425" s="4" t="inlineStr">
        <is>
          <t>IOS Owner</t>
        </is>
      </c>
      <c r="O2425" s="4" t="n"/>
      <c r="P2425" s="4" t="n"/>
      <c r="Q2425" s="4" t="inlineStr">
        <is>
          <t>MAESTRO-IOS-BUSINESS-BUSINESS_RUNWAY-2424 | Burn | 91203.62</t>
        </is>
      </c>
      <c r="R2425" s="4" t="inlineStr">
        <is>
          <t>iPhone</t>
        </is>
      </c>
      <c r="S2425" s="4" t="inlineStr">
        <is>
          <t>B49</t>
        </is>
      </c>
      <c r="T2425" s="4" t="inlineStr">
        <is>
          <t>RAMP_1501_2500</t>
        </is>
      </c>
      <c r="U2425" s="4" t="inlineStr">
        <is>
          <t>CREATED</t>
        </is>
      </c>
      <c r="V2425" s="4" t="inlineStr">
        <is>
          <t>idem-20260902-ios-2424</t>
        </is>
      </c>
    </row>
    <row r="2426" ht="30" customHeight="1">
      <c r="A2426" s="4" t="n">
        <v>2425</v>
      </c>
      <c r="B2426" s="4" t="inlineStr">
        <is>
          <t>MTR-IOS-2425</t>
        </is>
      </c>
      <c r="C2426" s="4" t="inlineStr">
        <is>
          <t>Personal</t>
        </is>
      </c>
      <c r="D2426" s="4" t="inlineStr">
        <is>
          <t>Personal</t>
        </is>
      </c>
      <c r="E2426" s="4" t="inlineStr">
        <is>
          <t>Life Operations</t>
        </is>
      </c>
      <c r="F2426" s="4" t="inlineStr">
        <is>
          <t>Transport</t>
        </is>
      </c>
      <c r="G2426" s="4" t="inlineStr">
        <is>
          <t>Expense</t>
        </is>
      </c>
      <c r="H2426" s="12" t="n">
        <v>46263</v>
      </c>
      <c r="I2426" s="13" t="n">
        <v>0.9199652777777778</v>
      </c>
      <c r="J2426" s="14" t="n">
        <v>46263.91996527778</v>
      </c>
      <c r="K2426" s="15" t="n">
        <v>1718.17</v>
      </c>
      <c r="L2426" s="4" t="inlineStr">
        <is>
          <t>INR</t>
        </is>
      </c>
      <c r="M2426" s="15" t="n">
        <v>-1718.17</v>
      </c>
      <c r="N2426" s="4" t="inlineStr">
        <is>
          <t>IOS Owner</t>
        </is>
      </c>
      <c r="O2426" s="4" t="n"/>
      <c r="P2426" s="4" t="n"/>
      <c r="Q2426" s="4" t="inlineStr">
        <is>
          <t>MAESTRO-IOS-PERSONAL-LIFE_OPERATIONS-2425 | Transport | 1718.17</t>
        </is>
      </c>
      <c r="R2426" s="4" t="inlineStr">
        <is>
          <t>iPhone</t>
        </is>
      </c>
      <c r="S2426" s="4" t="inlineStr">
        <is>
          <t>B49</t>
        </is>
      </c>
      <c r="T2426" s="4" t="inlineStr">
        <is>
          <t>RAMP_1501_2500</t>
        </is>
      </c>
      <c r="U2426" s="4" t="inlineStr">
        <is>
          <t>CREATED</t>
        </is>
      </c>
      <c r="V2426" s="4" t="inlineStr">
        <is>
          <t>idem-20260902-ios-2425</t>
        </is>
      </c>
    </row>
    <row r="2427" ht="30" customHeight="1">
      <c r="A2427" s="4" t="n">
        <v>2426</v>
      </c>
      <c r="B2427" s="4" t="inlineStr">
        <is>
          <t>MTR-IOS-2426</t>
        </is>
      </c>
      <c r="C2427" s="4" t="inlineStr">
        <is>
          <t>Group</t>
        </is>
      </c>
      <c r="D2427" s="4" t="inlineStr">
        <is>
          <t>Shared Living</t>
        </is>
      </c>
      <c r="E2427" s="4" t="inlineStr">
        <is>
          <t>Family Household</t>
        </is>
      </c>
      <c r="F2427" s="4" t="inlineStr">
        <is>
          <t>Home</t>
        </is>
      </c>
      <c r="G2427" s="4" t="inlineStr">
        <is>
          <t>Expense</t>
        </is>
      </c>
      <c r="H2427" s="12" t="n">
        <v>46057</v>
      </c>
      <c r="I2427" s="13" t="n">
        <v>0.07136574074074074</v>
      </c>
      <c r="J2427" s="14" t="n">
        <v>46057.07136574074</v>
      </c>
      <c r="K2427" s="15" t="n">
        <v>7330.18</v>
      </c>
      <c r="L2427" s="4" t="inlineStr">
        <is>
          <t>INR</t>
        </is>
      </c>
      <c r="M2427" s="15" t="n">
        <v>-7330.18</v>
      </c>
      <c r="N2427" s="4" t="inlineStr">
        <is>
          <t>IOS Aarav</t>
        </is>
      </c>
      <c r="O2427" s="4" t="n">
        <v>3</v>
      </c>
      <c r="P2427" s="4" t="inlineStr">
        <is>
          <t>EQUAL</t>
        </is>
      </c>
      <c r="Q2427" s="4" t="inlineStr">
        <is>
          <t>MAESTRO-IOS-GROUP-FAMILY_HOUSEHOLD-2426 | Home | 7330.18</t>
        </is>
      </c>
      <c r="R2427" s="4" t="inlineStr">
        <is>
          <t>iPhone</t>
        </is>
      </c>
      <c r="S2427" s="4" t="inlineStr">
        <is>
          <t>B49</t>
        </is>
      </c>
      <c r="T2427" s="4" t="inlineStr">
        <is>
          <t>RAMP_1501_2500</t>
        </is>
      </c>
      <c r="U2427" s="4" t="inlineStr">
        <is>
          <t>CREATED</t>
        </is>
      </c>
      <c r="V2427" s="4" t="inlineStr">
        <is>
          <t>idem-20260902-ios-2426</t>
        </is>
      </c>
    </row>
    <row r="2428" ht="30" customHeight="1">
      <c r="A2428" s="4" t="n">
        <v>2427</v>
      </c>
      <c r="B2428" s="4" t="inlineStr">
        <is>
          <t>MTR-IOS-2427</t>
        </is>
      </c>
      <c r="C2428" s="4" t="inlineStr">
        <is>
          <t>Business</t>
        </is>
      </c>
      <c r="D2428" s="4" t="inlineStr">
        <is>
          <t>Business</t>
        </is>
      </c>
      <c r="E2428" s="4" t="inlineStr">
        <is>
          <t>Business Runway</t>
        </is>
      </c>
      <c r="F2428" s="4" t="inlineStr">
        <is>
          <t>Reserve</t>
        </is>
      </c>
      <c r="G2428" s="4" t="inlineStr">
        <is>
          <t>Transfer</t>
        </is>
      </c>
      <c r="H2428" s="12" t="n">
        <v>46178</v>
      </c>
      <c r="I2428" s="13" t="n">
        <v>0.6008796296296296</v>
      </c>
      <c r="J2428" s="14" t="n">
        <v>46178.60087962963</v>
      </c>
      <c r="K2428" s="15" t="n">
        <v>41690.07</v>
      </c>
      <c r="L2428" s="4" t="inlineStr">
        <is>
          <t>INR</t>
        </is>
      </c>
      <c r="M2428" s="15" t="n">
        <v>0</v>
      </c>
      <c r="N2428" s="4" t="inlineStr">
        <is>
          <t>IOS Owner</t>
        </is>
      </c>
      <c r="O2428" s="4" t="n"/>
      <c r="P2428" s="4" t="n"/>
      <c r="Q2428" s="4" t="inlineStr">
        <is>
          <t>MAESTRO-IOS-BUSINESS-BUSINESS_RUNWAY-2427 | Reserve | 41690.07</t>
        </is>
      </c>
      <c r="R2428" s="4" t="inlineStr">
        <is>
          <t>iPhone</t>
        </is>
      </c>
      <c r="S2428" s="4" t="inlineStr">
        <is>
          <t>B49</t>
        </is>
      </c>
      <c r="T2428" s="4" t="inlineStr">
        <is>
          <t>RAMP_1501_2500</t>
        </is>
      </c>
      <c r="U2428" s="4" t="inlineStr">
        <is>
          <t>CREATED</t>
        </is>
      </c>
      <c r="V2428" s="4" t="inlineStr">
        <is>
          <t>idem-20260902-ios-2427</t>
        </is>
      </c>
    </row>
    <row r="2429" ht="30" customHeight="1">
      <c r="A2429" s="4" t="n">
        <v>2428</v>
      </c>
      <c r="B2429" s="4" t="inlineStr">
        <is>
          <t>MTR-IOS-2428</t>
        </is>
      </c>
      <c r="C2429" s="4" t="inlineStr">
        <is>
          <t>Personal</t>
        </is>
      </c>
      <c r="D2429" s="4" t="inlineStr">
        <is>
          <t>Personal</t>
        </is>
      </c>
      <c r="E2429" s="4" t="inlineStr">
        <is>
          <t>Life Operations</t>
        </is>
      </c>
      <c r="F2429" s="4" t="inlineStr">
        <is>
          <t>Healthcare</t>
        </is>
      </c>
      <c r="G2429" s="4" t="inlineStr">
        <is>
          <t>Expense</t>
        </is>
      </c>
      <c r="H2429" s="12" t="n">
        <v>46068</v>
      </c>
      <c r="I2429" s="13" t="n">
        <v>0.9849768518518518</v>
      </c>
      <c r="J2429" s="14" t="n">
        <v>46068.98497685185</v>
      </c>
      <c r="K2429" s="15" t="n">
        <v>6677.92</v>
      </c>
      <c r="L2429" s="4" t="inlineStr">
        <is>
          <t>INR</t>
        </is>
      </c>
      <c r="M2429" s="15" t="n">
        <v>-6677.92</v>
      </c>
      <c r="N2429" s="4" t="inlineStr">
        <is>
          <t>IOS Owner</t>
        </is>
      </c>
      <c r="O2429" s="4" t="n"/>
      <c r="P2429" s="4" t="n"/>
      <c r="Q2429" s="4" t="inlineStr">
        <is>
          <t>MAESTRO-IOS-PERSONAL-LIFE_OPERATIONS-2428 | Healthcare | 6677.92</t>
        </is>
      </c>
      <c r="R2429" s="4" t="inlineStr">
        <is>
          <t>iPhone</t>
        </is>
      </c>
      <c r="S2429" s="4" t="inlineStr">
        <is>
          <t>B49</t>
        </is>
      </c>
      <c r="T2429" s="4" t="inlineStr">
        <is>
          <t>RAMP_1501_2500</t>
        </is>
      </c>
      <c r="U2429" s="4" t="inlineStr">
        <is>
          <t>CREATED</t>
        </is>
      </c>
      <c r="V2429" s="4" t="inlineStr">
        <is>
          <t>idem-20260902-ios-2428</t>
        </is>
      </c>
    </row>
    <row r="2430" ht="30" customHeight="1">
      <c r="A2430" s="4" t="n">
        <v>2429</v>
      </c>
      <c r="B2430" s="4" t="inlineStr">
        <is>
          <t>MTR-IOS-2429</t>
        </is>
      </c>
      <c r="C2430" s="4" t="inlineStr">
        <is>
          <t>Group</t>
        </is>
      </c>
      <c r="D2430" s="4" t="inlineStr">
        <is>
          <t>Shared Living</t>
        </is>
      </c>
      <c r="E2430" s="4" t="inlineStr">
        <is>
          <t>Family Household</t>
        </is>
      </c>
      <c r="F2430" s="4" t="inlineStr">
        <is>
          <t>Other</t>
        </is>
      </c>
      <c r="G2430" s="4" t="inlineStr">
        <is>
          <t>Expense</t>
        </is>
      </c>
      <c r="H2430" s="12" t="n">
        <v>45938</v>
      </c>
      <c r="I2430" s="13" t="n">
        <v>0.9836458333333333</v>
      </c>
      <c r="J2430" s="14" t="n">
        <v>45938.98364583333</v>
      </c>
      <c r="K2430" s="15" t="n">
        <v>15773.91</v>
      </c>
      <c r="L2430" s="4" t="inlineStr">
        <is>
          <t>INR</t>
        </is>
      </c>
      <c r="M2430" s="15" t="n">
        <v>-15773.91</v>
      </c>
      <c r="N2430" s="4" t="inlineStr">
        <is>
          <t>IOS Meera</t>
        </is>
      </c>
      <c r="O2430" s="4" t="n">
        <v>3</v>
      </c>
      <c r="P2430" s="4" t="inlineStr">
        <is>
          <t>PERCENTAGE</t>
        </is>
      </c>
      <c r="Q2430" s="4" t="inlineStr">
        <is>
          <t>MAESTRO-IOS-GROUP-FAMILY_HOUSEHOLD-2429 | Other | 15773.91</t>
        </is>
      </c>
      <c r="R2430" s="4" t="inlineStr">
        <is>
          <t>iPhone</t>
        </is>
      </c>
      <c r="S2430" s="4" t="inlineStr">
        <is>
          <t>B49</t>
        </is>
      </c>
      <c r="T2430" s="4" t="inlineStr">
        <is>
          <t>RAMP_1501_2500</t>
        </is>
      </c>
      <c r="U2430" s="4" t="inlineStr">
        <is>
          <t>CREATED</t>
        </is>
      </c>
      <c r="V2430" s="4" t="inlineStr">
        <is>
          <t>idem-20260902-ios-2429</t>
        </is>
      </c>
    </row>
    <row r="2431" ht="30" customHeight="1">
      <c r="A2431" s="4" t="n">
        <v>2430</v>
      </c>
      <c r="B2431" s="4" t="inlineStr">
        <is>
          <t>MTR-IOS-2430</t>
        </is>
      </c>
      <c r="C2431" s="4" t="inlineStr">
        <is>
          <t>Business</t>
        </is>
      </c>
      <c r="D2431" s="4" t="inlineStr">
        <is>
          <t>Business</t>
        </is>
      </c>
      <c r="E2431" s="4" t="inlineStr">
        <is>
          <t>Business Runway</t>
        </is>
      </c>
      <c r="F2431" s="4" t="inlineStr">
        <is>
          <t>Loan</t>
        </is>
      </c>
      <c r="G2431" s="4" t="inlineStr">
        <is>
          <t>Income</t>
        </is>
      </c>
      <c r="H2431" s="12" t="n">
        <v>46237</v>
      </c>
      <c r="I2431" s="13" t="n">
        <v>0.0659375</v>
      </c>
      <c r="J2431" s="14" t="n">
        <v>46237.0659375</v>
      </c>
      <c r="K2431" s="15" t="n">
        <v>75858.37</v>
      </c>
      <c r="L2431" s="4" t="inlineStr">
        <is>
          <t>INR</t>
        </is>
      </c>
      <c r="M2431" s="15" t="n">
        <v>75858.37</v>
      </c>
      <c r="N2431" s="4" t="inlineStr">
        <is>
          <t>IOS Owner</t>
        </is>
      </c>
      <c r="O2431" s="4" t="n"/>
      <c r="P2431" s="4" t="n"/>
      <c r="Q2431" s="4" t="inlineStr">
        <is>
          <t>MAESTRO-IOS-BUSINESS-BUSINESS_RUNWAY-2430 | Loan | 75858.37</t>
        </is>
      </c>
      <c r="R2431" s="4" t="inlineStr">
        <is>
          <t>iPhone</t>
        </is>
      </c>
      <c r="S2431" s="4" t="inlineStr">
        <is>
          <t>B49</t>
        </is>
      </c>
      <c r="T2431" s="4" t="inlineStr">
        <is>
          <t>RAMP_1501_2500</t>
        </is>
      </c>
      <c r="U2431" s="4" t="inlineStr">
        <is>
          <t>CREATED</t>
        </is>
      </c>
      <c r="V2431" s="4" t="inlineStr">
        <is>
          <t>idem-20260902-ios-2430</t>
        </is>
      </c>
    </row>
    <row r="2432" ht="30" customHeight="1">
      <c r="A2432" s="4" t="n">
        <v>2431</v>
      </c>
      <c r="B2432" s="4" t="inlineStr">
        <is>
          <t>MTR-IOS-2431</t>
        </is>
      </c>
      <c r="C2432" s="4" t="inlineStr">
        <is>
          <t>Personal</t>
        </is>
      </c>
      <c r="D2432" s="4" t="inlineStr">
        <is>
          <t>Personal</t>
        </is>
      </c>
      <c r="E2432" s="4" t="inlineStr">
        <is>
          <t>Life Operations</t>
        </is>
      </c>
      <c r="F2432" s="4" t="inlineStr">
        <is>
          <t>Subscriptions</t>
        </is>
      </c>
      <c r="G2432" s="4" t="inlineStr">
        <is>
          <t>Expense</t>
        </is>
      </c>
      <c r="H2432" s="12" t="n">
        <v>45921</v>
      </c>
      <c r="I2432" s="13" t="n">
        <v>0.6762615740740741</v>
      </c>
      <c r="J2432" s="14" t="n">
        <v>45921.67626157407</v>
      </c>
      <c r="K2432" s="15" t="n">
        <v>4646.11</v>
      </c>
      <c r="L2432" s="4" t="inlineStr">
        <is>
          <t>INR</t>
        </is>
      </c>
      <c r="M2432" s="15" t="n">
        <v>-4646.11</v>
      </c>
      <c r="N2432" s="4" t="inlineStr">
        <is>
          <t>IOS Owner</t>
        </is>
      </c>
      <c r="O2432" s="4" t="n"/>
      <c r="P2432" s="4" t="n"/>
      <c r="Q2432" s="4" t="inlineStr">
        <is>
          <t>MAESTRO-IOS-PERSONAL-LIFE_OPERATIONS-2431 | Subscriptions | 4646.11</t>
        </is>
      </c>
      <c r="R2432" s="4" t="inlineStr">
        <is>
          <t>iPhone</t>
        </is>
      </c>
      <c r="S2432" s="4" t="inlineStr">
        <is>
          <t>B49</t>
        </is>
      </c>
      <c r="T2432" s="4" t="inlineStr">
        <is>
          <t>RAMP_1501_2500</t>
        </is>
      </c>
      <c r="U2432" s="4" t="inlineStr">
        <is>
          <t>CREATED</t>
        </is>
      </c>
      <c r="V2432" s="4" t="inlineStr">
        <is>
          <t>idem-20260902-ios-2431</t>
        </is>
      </c>
    </row>
    <row r="2433" ht="30" customHeight="1">
      <c r="A2433" s="4" t="n">
        <v>2432</v>
      </c>
      <c r="B2433" s="4" t="inlineStr">
        <is>
          <t>MTR-IOS-2432</t>
        </is>
      </c>
      <c r="C2433" s="4" t="inlineStr">
        <is>
          <t>Group</t>
        </is>
      </c>
      <c r="D2433" s="4" t="inlineStr">
        <is>
          <t>Shared Living</t>
        </is>
      </c>
      <c r="E2433" s="4" t="inlineStr">
        <is>
          <t>Custom Living</t>
        </is>
      </c>
      <c r="F2433" s="4" t="inlineStr">
        <is>
          <t>Custom Expense</t>
        </is>
      </c>
      <c r="G2433" s="4" t="inlineStr">
        <is>
          <t>Expense</t>
        </is>
      </c>
      <c r="H2433" s="12" t="n">
        <v>45997</v>
      </c>
      <c r="I2433" s="13" t="n">
        <v>0.3438194444444445</v>
      </c>
      <c r="J2433" s="14" t="n">
        <v>45997.34381944445</v>
      </c>
      <c r="K2433" s="15" t="n">
        <v>20364.28</v>
      </c>
      <c r="L2433" s="4" t="inlineStr">
        <is>
          <t>INR</t>
        </is>
      </c>
      <c r="M2433" s="15" t="n">
        <v>-20364.28</v>
      </c>
      <c r="N2433" s="4" t="inlineStr">
        <is>
          <t>IOS Owner</t>
        </is>
      </c>
      <c r="O2433" s="4" t="n">
        <v>3</v>
      </c>
      <c r="P2433" s="4" t="inlineStr">
        <is>
          <t>EXACT</t>
        </is>
      </c>
      <c r="Q2433" s="4" t="inlineStr">
        <is>
          <t>MAESTRO-IOS-GROUP-CUSTOM_LIVING-2432 | Custom Expense | 20364.28</t>
        </is>
      </c>
      <c r="R2433" s="4" t="inlineStr">
        <is>
          <t>iPhone</t>
        </is>
      </c>
      <c r="S2433" s="4" t="inlineStr">
        <is>
          <t>B49</t>
        </is>
      </c>
      <c r="T2433" s="4" t="inlineStr">
        <is>
          <t>RAMP_1501_2500</t>
        </is>
      </c>
      <c r="U2433" s="4" t="inlineStr">
        <is>
          <t>CREATED</t>
        </is>
      </c>
      <c r="V2433" s="4" t="inlineStr">
        <is>
          <t>idem-20260902-ios-2432</t>
        </is>
      </c>
    </row>
    <row r="2434" ht="30" customHeight="1">
      <c r="A2434" s="4" t="n">
        <v>2433</v>
      </c>
      <c r="B2434" s="4" t="inlineStr">
        <is>
          <t>MTR-IOS-2433</t>
        </is>
      </c>
      <c r="C2434" s="4" t="inlineStr">
        <is>
          <t>Business</t>
        </is>
      </c>
      <c r="D2434" s="4" t="inlineStr">
        <is>
          <t>Business</t>
        </is>
      </c>
      <c r="E2434" s="4" t="inlineStr">
        <is>
          <t>Business Runway</t>
        </is>
      </c>
      <c r="F2434" s="4" t="inlineStr">
        <is>
          <t>Investment</t>
        </is>
      </c>
      <c r="G2434" s="4" t="inlineStr">
        <is>
          <t>Income</t>
        </is>
      </c>
      <c r="H2434" s="12" t="n">
        <v>46047</v>
      </c>
      <c r="I2434" s="13" t="n">
        <v>0.6500462962962963</v>
      </c>
      <c r="J2434" s="14" t="n">
        <v>46047.65004629629</v>
      </c>
      <c r="K2434" s="15" t="n">
        <v>155008.49</v>
      </c>
      <c r="L2434" s="4" t="inlineStr">
        <is>
          <t>INR</t>
        </is>
      </c>
      <c r="M2434" s="15" t="n">
        <v>155008.49</v>
      </c>
      <c r="N2434" s="4" t="inlineStr">
        <is>
          <t>IOS Owner</t>
        </is>
      </c>
      <c r="O2434" s="4" t="n"/>
      <c r="P2434" s="4" t="n"/>
      <c r="Q2434" s="4" t="inlineStr">
        <is>
          <t>MAESTRO-IOS-BUSINESS-BUSINESS_RUNWAY-2433 | Investment | 155008.49</t>
        </is>
      </c>
      <c r="R2434" s="4" t="inlineStr">
        <is>
          <t>iPhone</t>
        </is>
      </c>
      <c r="S2434" s="4" t="inlineStr">
        <is>
          <t>B49</t>
        </is>
      </c>
      <c r="T2434" s="4" t="inlineStr">
        <is>
          <t>RAMP_1501_2500</t>
        </is>
      </c>
      <c r="U2434" s="4" t="inlineStr">
        <is>
          <t>CREATED</t>
        </is>
      </c>
      <c r="V2434" s="4" t="inlineStr">
        <is>
          <t>idem-20260902-ios-2433</t>
        </is>
      </c>
    </row>
    <row r="2435" ht="30" customHeight="1">
      <c r="A2435" s="4" t="n">
        <v>2434</v>
      </c>
      <c r="B2435" s="4" t="inlineStr">
        <is>
          <t>MTR-IOS-2434</t>
        </is>
      </c>
      <c r="C2435" s="4" t="inlineStr">
        <is>
          <t>Personal</t>
        </is>
      </c>
      <c r="D2435" s="4" t="inlineStr">
        <is>
          <t>Personal</t>
        </is>
      </c>
      <c r="E2435" s="4" t="inlineStr">
        <is>
          <t>Life Operations</t>
        </is>
      </c>
      <c r="F2435" s="4" t="inlineStr">
        <is>
          <t>Repairs</t>
        </is>
      </c>
      <c r="G2435" s="4" t="inlineStr">
        <is>
          <t>Expense</t>
        </is>
      </c>
      <c r="H2435" s="12" t="n">
        <v>46155</v>
      </c>
      <c r="I2435" s="13" t="n">
        <v>0.7482523148148148</v>
      </c>
      <c r="J2435" s="14" t="n">
        <v>46155.74825231481</v>
      </c>
      <c r="K2435" s="15" t="n">
        <v>17773.67</v>
      </c>
      <c r="L2435" s="4" t="inlineStr">
        <is>
          <t>INR</t>
        </is>
      </c>
      <c r="M2435" s="15" t="n">
        <v>-17773.67</v>
      </c>
      <c r="N2435" s="4" t="inlineStr">
        <is>
          <t>IOS Owner</t>
        </is>
      </c>
      <c r="O2435" s="4" t="n"/>
      <c r="P2435" s="4" t="n"/>
      <c r="Q2435" s="4" t="inlineStr">
        <is>
          <t>MAESTRO-IOS-PERSONAL-LIFE_OPERATIONS-2434 | Repairs | 17773.67</t>
        </is>
      </c>
      <c r="R2435" s="4" t="inlineStr">
        <is>
          <t>iPhone</t>
        </is>
      </c>
      <c r="S2435" s="4" t="inlineStr">
        <is>
          <t>B49</t>
        </is>
      </c>
      <c r="T2435" s="4" t="inlineStr">
        <is>
          <t>RAMP_1501_2500</t>
        </is>
      </c>
      <c r="U2435" s="4" t="inlineStr">
        <is>
          <t>CREATED</t>
        </is>
      </c>
      <c r="V2435" s="4" t="inlineStr">
        <is>
          <t>idem-20260902-ios-2434</t>
        </is>
      </c>
    </row>
    <row r="2436" ht="30" customHeight="1">
      <c r="A2436" s="4" t="n">
        <v>2435</v>
      </c>
      <c r="B2436" s="4" t="inlineStr">
        <is>
          <t>MTR-IOS-2435</t>
        </is>
      </c>
      <c r="C2436" s="4" t="inlineStr">
        <is>
          <t>Group</t>
        </is>
      </c>
      <c r="D2436" s="4" t="inlineStr">
        <is>
          <t>Shared Living</t>
        </is>
      </c>
      <c r="E2436" s="4" t="inlineStr">
        <is>
          <t>Custom Living</t>
        </is>
      </c>
      <c r="F2436" s="4" t="inlineStr">
        <is>
          <t>Custom Contribution</t>
        </is>
      </c>
      <c r="G2436" s="4" t="inlineStr">
        <is>
          <t>Contribution</t>
        </is>
      </c>
      <c r="H2436" s="12" t="n">
        <v>45946</v>
      </c>
      <c r="I2436" s="13" t="n">
        <v>0.9325925925925926</v>
      </c>
      <c r="J2436" s="14" t="n">
        <v>45946.9325925926</v>
      </c>
      <c r="K2436" s="15" t="n">
        <v>11284.48</v>
      </c>
      <c r="L2436" s="4" t="inlineStr">
        <is>
          <t>INR</t>
        </is>
      </c>
      <c r="M2436" s="15" t="n">
        <v>11284.48</v>
      </c>
      <c r="N2436" s="4" t="inlineStr">
        <is>
          <t>IOS Aarav</t>
        </is>
      </c>
      <c r="O2436" s="4" t="n">
        <v>3</v>
      </c>
      <c r="P2436" s="4" t="inlineStr">
        <is>
          <t>SHARES</t>
        </is>
      </c>
      <c r="Q2436" s="4" t="inlineStr">
        <is>
          <t>MAESTRO-IOS-GROUP-CUSTOM_LIVING-2435 | Custom Contribution | 11284.48</t>
        </is>
      </c>
      <c r="R2436" s="4" t="inlineStr">
        <is>
          <t>iPhone</t>
        </is>
      </c>
      <c r="S2436" s="4" t="inlineStr">
        <is>
          <t>B49</t>
        </is>
      </c>
      <c r="T2436" s="4" t="inlineStr">
        <is>
          <t>RAMP_1501_2500</t>
        </is>
      </c>
      <c r="U2436" s="4" t="inlineStr">
        <is>
          <t>CREATED</t>
        </is>
      </c>
      <c r="V2436" s="4" t="inlineStr">
        <is>
          <t>idem-20260902-ios-2435</t>
        </is>
      </c>
    </row>
    <row r="2437" ht="30" customHeight="1">
      <c r="A2437" s="4" t="n">
        <v>2436</v>
      </c>
      <c r="B2437" s="4" t="inlineStr">
        <is>
          <t>MTR-IOS-2436</t>
        </is>
      </c>
      <c r="C2437" s="4" t="inlineStr">
        <is>
          <t>Business</t>
        </is>
      </c>
      <c r="D2437" s="4" t="inlineStr">
        <is>
          <t>Business</t>
        </is>
      </c>
      <c r="E2437" s="4" t="inlineStr">
        <is>
          <t>Business Operations</t>
        </is>
      </c>
      <c r="F2437" s="4" t="inlineStr">
        <is>
          <t>Software</t>
        </is>
      </c>
      <c r="G2437" s="4" t="inlineStr">
        <is>
          <t>Expense</t>
        </is>
      </c>
      <c r="H2437" s="12" t="n">
        <v>45947</v>
      </c>
      <c r="I2437" s="13" t="n">
        <v>0.5022222222222222</v>
      </c>
      <c r="J2437" s="14" t="n">
        <v>45947.50222222223</v>
      </c>
      <c r="K2437" s="15" t="n">
        <v>93335.86</v>
      </c>
      <c r="L2437" s="4" t="inlineStr">
        <is>
          <t>INR</t>
        </is>
      </c>
      <c r="M2437" s="15" t="n">
        <v>-93335.86</v>
      </c>
      <c r="N2437" s="4" t="inlineStr">
        <is>
          <t>IOS Owner</t>
        </is>
      </c>
      <c r="O2437" s="4" t="n"/>
      <c r="P2437" s="4" t="n"/>
      <c r="Q2437" s="4" t="inlineStr">
        <is>
          <t>MAESTRO-IOS-BUSINESS-BUSINESS_OPERATIONS-2436 | Software | 93335.86</t>
        </is>
      </c>
      <c r="R2437" s="4" t="inlineStr">
        <is>
          <t>iPhone</t>
        </is>
      </c>
      <c r="S2437" s="4" t="inlineStr">
        <is>
          <t>B49</t>
        </is>
      </c>
      <c r="T2437" s="4" t="inlineStr">
        <is>
          <t>RAMP_1501_2500</t>
        </is>
      </c>
      <c r="U2437" s="4" t="inlineStr">
        <is>
          <t>CREATED</t>
        </is>
      </c>
      <c r="V2437" s="4" t="inlineStr">
        <is>
          <t>idem-20260902-ios-2436</t>
        </is>
      </c>
    </row>
    <row r="2438" ht="30" customHeight="1">
      <c r="A2438" s="4" t="n">
        <v>2437</v>
      </c>
      <c r="B2438" s="4" t="inlineStr">
        <is>
          <t>MTR-IOS-2437</t>
        </is>
      </c>
      <c r="C2438" s="4" t="inlineStr">
        <is>
          <t>Personal</t>
        </is>
      </c>
      <c r="D2438" s="4" t="inlineStr">
        <is>
          <t>Personal</t>
        </is>
      </c>
      <c r="E2438" s="4" t="inlineStr">
        <is>
          <t>Future Building</t>
        </is>
      </c>
      <c r="F2438" s="4" t="inlineStr">
        <is>
          <t>Savings</t>
        </is>
      </c>
      <c r="G2438" s="4" t="inlineStr">
        <is>
          <t>Transfer</t>
        </is>
      </c>
      <c r="H2438" s="12" t="n">
        <v>46221</v>
      </c>
      <c r="I2438" s="13" t="n">
        <v>0.8355092592592592</v>
      </c>
      <c r="J2438" s="14" t="n">
        <v>46221.83550925926</v>
      </c>
      <c r="K2438" s="15" t="n">
        <v>8405.049999999999</v>
      </c>
      <c r="L2438" s="4" t="inlineStr">
        <is>
          <t>INR</t>
        </is>
      </c>
      <c r="M2438" s="15" t="n">
        <v>0</v>
      </c>
      <c r="N2438" s="4" t="inlineStr">
        <is>
          <t>IOS Owner</t>
        </is>
      </c>
      <c r="O2438" s="4" t="n"/>
      <c r="P2438" s="4" t="n"/>
      <c r="Q2438" s="4" t="inlineStr">
        <is>
          <t>MAESTRO-IOS-PERSONAL-FUTURE_BUILDING-2437 | Savings | 8405.05</t>
        </is>
      </c>
      <c r="R2438" s="4" t="inlineStr">
        <is>
          <t>iPhone</t>
        </is>
      </c>
      <c r="S2438" s="4" t="inlineStr">
        <is>
          <t>B49</t>
        </is>
      </c>
      <c r="T2438" s="4" t="inlineStr">
        <is>
          <t>RAMP_1501_2500</t>
        </is>
      </c>
      <c r="U2438" s="4" t="inlineStr">
        <is>
          <t>CREATED</t>
        </is>
      </c>
      <c r="V2438" s="4" t="inlineStr">
        <is>
          <t>idem-20260902-ios-2437</t>
        </is>
      </c>
    </row>
    <row r="2439" ht="30" customHeight="1">
      <c r="A2439" s="4" t="n">
        <v>2438</v>
      </c>
      <c r="B2439" s="4" t="inlineStr">
        <is>
          <t>MTR-IOS-2438</t>
        </is>
      </c>
      <c r="C2439" s="4" t="inlineStr">
        <is>
          <t>Group</t>
        </is>
      </c>
      <c r="D2439" s="4" t="inlineStr">
        <is>
          <t>Shared Experience</t>
        </is>
      </c>
      <c r="E2439" s="4" t="inlineStr">
        <is>
          <t>Trip</t>
        </is>
      </c>
      <c r="F2439" s="4" t="inlineStr">
        <is>
          <t>Travel</t>
        </is>
      </c>
      <c r="G2439" s="4" t="inlineStr">
        <is>
          <t>Expense</t>
        </is>
      </c>
      <c r="H2439" s="12" t="n">
        <v>46200</v>
      </c>
      <c r="I2439" s="13" t="n">
        <v>0.1166666666666667</v>
      </c>
      <c r="J2439" s="14" t="n">
        <v>46200.11666666667</v>
      </c>
      <c r="K2439" s="15" t="n">
        <v>629.24</v>
      </c>
      <c r="L2439" s="4" t="inlineStr">
        <is>
          <t>INR</t>
        </is>
      </c>
      <c r="M2439" s="15" t="n">
        <v>-629.24</v>
      </c>
      <c r="N2439" s="4" t="inlineStr">
        <is>
          <t>IOS Meera</t>
        </is>
      </c>
      <c r="O2439" s="4" t="n">
        <v>3</v>
      </c>
      <c r="P2439" s="4" t="inlineStr">
        <is>
          <t>EQUAL</t>
        </is>
      </c>
      <c r="Q2439" s="4" t="inlineStr">
        <is>
          <t>MAESTRO-IOS-GROUP-TRIP-2438 | Travel | 629.24</t>
        </is>
      </c>
      <c r="R2439" s="4" t="inlineStr">
        <is>
          <t>iPhone</t>
        </is>
      </c>
      <c r="S2439" s="4" t="inlineStr">
        <is>
          <t>B49</t>
        </is>
      </c>
      <c r="T2439" s="4" t="inlineStr">
        <is>
          <t>RAMP_1501_2500</t>
        </is>
      </c>
      <c r="U2439" s="4" t="inlineStr">
        <is>
          <t>CREATED</t>
        </is>
      </c>
      <c r="V2439" s="4" t="inlineStr">
        <is>
          <t>idem-20260902-ios-2438</t>
        </is>
      </c>
    </row>
    <row r="2440" ht="30" customHeight="1">
      <c r="A2440" s="4" t="n">
        <v>2439</v>
      </c>
      <c r="B2440" s="4" t="inlineStr">
        <is>
          <t>MTR-IOS-2439</t>
        </is>
      </c>
      <c r="C2440" s="4" t="inlineStr">
        <is>
          <t>Business</t>
        </is>
      </c>
      <c r="D2440" s="4" t="inlineStr">
        <is>
          <t>Business</t>
        </is>
      </c>
      <c r="E2440" s="4" t="inlineStr">
        <is>
          <t>Business Operations</t>
        </is>
      </c>
      <c r="F2440" s="4" t="inlineStr">
        <is>
          <t>Rent</t>
        </is>
      </c>
      <c r="G2440" s="4" t="inlineStr">
        <is>
          <t>Expense</t>
        </is>
      </c>
      <c r="H2440" s="12" t="n">
        <v>46216</v>
      </c>
      <c r="I2440" s="13" t="n">
        <v>0.1938194444444444</v>
      </c>
      <c r="J2440" s="14" t="n">
        <v>46216.19381944444</v>
      </c>
      <c r="K2440" s="15" t="n">
        <v>54521.87</v>
      </c>
      <c r="L2440" s="4" t="inlineStr">
        <is>
          <t>INR</t>
        </is>
      </c>
      <c r="M2440" s="15" t="n">
        <v>-54521.87</v>
      </c>
      <c r="N2440" s="4" t="inlineStr">
        <is>
          <t>IOS Owner</t>
        </is>
      </c>
      <c r="O2440" s="4" t="n"/>
      <c r="P2440" s="4" t="n"/>
      <c r="Q2440" s="4" t="inlineStr">
        <is>
          <t>MAESTRO-IOS-BUSINESS-BUSINESS_OPERATIONS-2439 | Rent | 54521.87</t>
        </is>
      </c>
      <c r="R2440" s="4" t="inlineStr">
        <is>
          <t>iPhone</t>
        </is>
      </c>
      <c r="S2440" s="4" t="inlineStr">
        <is>
          <t>B49</t>
        </is>
      </c>
      <c r="T2440" s="4" t="inlineStr">
        <is>
          <t>RAMP_1501_2500</t>
        </is>
      </c>
      <c r="U2440" s="4" t="inlineStr">
        <is>
          <t>CREATED</t>
        </is>
      </c>
      <c r="V2440" s="4" t="inlineStr">
        <is>
          <t>idem-20260902-ios-2439</t>
        </is>
      </c>
    </row>
    <row r="2441" ht="30" customHeight="1">
      <c r="A2441" s="4" t="n">
        <v>2440</v>
      </c>
      <c r="B2441" s="4" t="inlineStr">
        <is>
          <t>MTR-IOS-2440</t>
        </is>
      </c>
      <c r="C2441" s="4" t="inlineStr">
        <is>
          <t>Personal</t>
        </is>
      </c>
      <c r="D2441" s="4" t="inlineStr">
        <is>
          <t>Personal</t>
        </is>
      </c>
      <c r="E2441" s="4" t="inlineStr">
        <is>
          <t>Future Building</t>
        </is>
      </c>
      <c r="F2441" s="4" t="inlineStr">
        <is>
          <t>Emergency Fund</t>
        </is>
      </c>
      <c r="G2441" s="4" t="inlineStr">
        <is>
          <t>Transfer</t>
        </is>
      </c>
      <c r="H2441" s="12" t="n">
        <v>46040</v>
      </c>
      <c r="I2441" s="13" t="n">
        <v>0.2227083333333333</v>
      </c>
      <c r="J2441" s="14" t="n">
        <v>46040.22270833333</v>
      </c>
      <c r="K2441" s="15" t="n">
        <v>7119.2</v>
      </c>
      <c r="L2441" s="4" t="inlineStr">
        <is>
          <t>INR</t>
        </is>
      </c>
      <c r="M2441" s="15" t="n">
        <v>0</v>
      </c>
      <c r="N2441" s="4" t="inlineStr">
        <is>
          <t>IOS Owner</t>
        </is>
      </c>
      <c r="O2441" s="4" t="n"/>
      <c r="P2441" s="4" t="n"/>
      <c r="Q2441" s="4" t="inlineStr">
        <is>
          <t>MAESTRO-IOS-PERSONAL-FUTURE_BUILDING-2440 | Emergency Fund | 7119.20</t>
        </is>
      </c>
      <c r="R2441" s="4" t="inlineStr">
        <is>
          <t>iPhone</t>
        </is>
      </c>
      <c r="S2441" s="4" t="inlineStr">
        <is>
          <t>B49</t>
        </is>
      </c>
      <c r="T2441" s="4" t="inlineStr">
        <is>
          <t>RAMP_1501_2500</t>
        </is>
      </c>
      <c r="U2441" s="4" t="inlineStr">
        <is>
          <t>CREATED</t>
        </is>
      </c>
      <c r="V2441" s="4" t="inlineStr">
        <is>
          <t>idem-20260902-ios-2440</t>
        </is>
      </c>
    </row>
    <row r="2442" ht="30" customHeight="1">
      <c r="A2442" s="4" t="n">
        <v>2441</v>
      </c>
      <c r="B2442" s="4" t="inlineStr">
        <is>
          <t>MTR-IOS-2441</t>
        </is>
      </c>
      <c r="C2442" s="4" t="inlineStr">
        <is>
          <t>Group</t>
        </is>
      </c>
      <c r="D2442" s="4" t="inlineStr">
        <is>
          <t>Shared Experience</t>
        </is>
      </c>
      <c r="E2442" s="4" t="inlineStr">
        <is>
          <t>Trip</t>
        </is>
      </c>
      <c r="F2442" s="4" t="inlineStr">
        <is>
          <t>Stay</t>
        </is>
      </c>
      <c r="G2442" s="4" t="inlineStr">
        <is>
          <t>Expense</t>
        </is>
      </c>
      <c r="H2442" s="12" t="n">
        <v>46056</v>
      </c>
      <c r="I2442" s="13" t="n">
        <v>0.05006944444444444</v>
      </c>
      <c r="J2442" s="14" t="n">
        <v>46056.05006944444</v>
      </c>
      <c r="K2442" s="15" t="n">
        <v>23783.79</v>
      </c>
      <c r="L2442" s="4" t="inlineStr">
        <is>
          <t>INR</t>
        </is>
      </c>
      <c r="M2442" s="15" t="n">
        <v>-23783.79</v>
      </c>
      <c r="N2442" s="4" t="inlineStr">
        <is>
          <t>IOS Owner</t>
        </is>
      </c>
      <c r="O2442" s="4" t="n">
        <v>3</v>
      </c>
      <c r="P2442" s="4" t="inlineStr">
        <is>
          <t>PERCENTAGE</t>
        </is>
      </c>
      <c r="Q2442" s="4" t="inlineStr">
        <is>
          <t>MAESTRO-IOS-GROUP-TRIP-2441 | Stay | 23783.79</t>
        </is>
      </c>
      <c r="R2442" s="4" t="inlineStr">
        <is>
          <t>iPhone</t>
        </is>
      </c>
      <c r="S2442" s="4" t="inlineStr">
        <is>
          <t>B49</t>
        </is>
      </c>
      <c r="T2442" s="4" t="inlineStr">
        <is>
          <t>RAMP_1501_2500</t>
        </is>
      </c>
      <c r="U2442" s="4" t="inlineStr">
        <is>
          <t>CREATED</t>
        </is>
      </c>
      <c r="V2442" s="4" t="inlineStr">
        <is>
          <t>idem-20260902-ios-2441</t>
        </is>
      </c>
    </row>
    <row r="2443" ht="30" customHeight="1">
      <c r="A2443" s="4" t="n">
        <v>2442</v>
      </c>
      <c r="B2443" s="4" t="inlineStr">
        <is>
          <t>MTR-IOS-2442</t>
        </is>
      </c>
      <c r="C2443" s="4" t="inlineStr">
        <is>
          <t>Business</t>
        </is>
      </c>
      <c r="D2443" s="4" t="inlineStr">
        <is>
          <t>Business</t>
        </is>
      </c>
      <c r="E2443" s="4" t="inlineStr">
        <is>
          <t>Business Operations</t>
        </is>
      </c>
      <c r="F2443" s="4" t="inlineStr">
        <is>
          <t>Marketing</t>
        </is>
      </c>
      <c r="G2443" s="4" t="inlineStr">
        <is>
          <t>Expense</t>
        </is>
      </c>
      <c r="H2443" s="12" t="n">
        <v>45918</v>
      </c>
      <c r="I2443" s="13" t="n">
        <v>0.006354166666666667</v>
      </c>
      <c r="J2443" s="14" t="n">
        <v>45918.00635416667</v>
      </c>
      <c r="K2443" s="15" t="n">
        <v>0.01</v>
      </c>
      <c r="L2443" s="4" t="inlineStr">
        <is>
          <t>INR</t>
        </is>
      </c>
      <c r="M2443" s="15" t="n">
        <v>-0.01</v>
      </c>
      <c r="N2443" s="4" t="inlineStr">
        <is>
          <t>IOS Owner</t>
        </is>
      </c>
      <c r="O2443" s="4" t="n"/>
      <c r="P2443" s="4" t="n"/>
      <c r="Q2443" s="4" t="inlineStr">
        <is>
          <t>MAESTRO-IOS-BUSINESS-BUSINESS_OPERATIONS-2442 | Marketing | 0.01</t>
        </is>
      </c>
      <c r="R2443" s="4" t="inlineStr">
        <is>
          <t>iPhone</t>
        </is>
      </c>
      <c r="S2443" s="4" t="inlineStr">
        <is>
          <t>B49</t>
        </is>
      </c>
      <c r="T2443" s="4" t="inlineStr">
        <is>
          <t>RAMP_1501_2500</t>
        </is>
      </c>
      <c r="U2443" s="4" t="inlineStr">
        <is>
          <t>CREATED</t>
        </is>
      </c>
      <c r="V2443" s="4" t="inlineStr">
        <is>
          <t>idem-20260902-ios-2442</t>
        </is>
      </c>
    </row>
    <row r="2444" ht="30" customHeight="1">
      <c r="A2444" s="4" t="n">
        <v>2443</v>
      </c>
      <c r="B2444" s="4" t="inlineStr">
        <is>
          <t>MTR-IOS-2443</t>
        </is>
      </c>
      <c r="C2444" s="4" t="inlineStr">
        <is>
          <t>Personal</t>
        </is>
      </c>
      <c r="D2444" s="4" t="inlineStr">
        <is>
          <t>Personal</t>
        </is>
      </c>
      <c r="E2444" s="4" t="inlineStr">
        <is>
          <t>Future Building</t>
        </is>
      </c>
      <c r="F2444" s="4" t="inlineStr">
        <is>
          <t>Investments</t>
        </is>
      </c>
      <c r="G2444" s="4" t="inlineStr">
        <is>
          <t>Investment</t>
        </is>
      </c>
      <c r="H2444" s="12" t="n">
        <v>46018</v>
      </c>
      <c r="I2444" s="13" t="n">
        <v>0.395</v>
      </c>
      <c r="J2444" s="14" t="n">
        <v>46018.395</v>
      </c>
      <c r="K2444" s="15" t="n">
        <v>11417.57</v>
      </c>
      <c r="L2444" s="4" t="inlineStr">
        <is>
          <t>INR</t>
        </is>
      </c>
      <c r="M2444" s="15" t="n">
        <v>0</v>
      </c>
      <c r="N2444" s="4" t="inlineStr">
        <is>
          <t>IOS Owner</t>
        </is>
      </c>
      <c r="O2444" s="4" t="n"/>
      <c r="P2444" s="4" t="n"/>
      <c r="Q2444" s="4" t="inlineStr">
        <is>
          <t>MAESTRO-IOS-PERSONAL-FUTURE_BUILDING-2443 | Investments | 11417.57</t>
        </is>
      </c>
      <c r="R2444" s="4" t="inlineStr">
        <is>
          <t>iPhone</t>
        </is>
      </c>
      <c r="S2444" s="4" t="inlineStr">
        <is>
          <t>B49</t>
        </is>
      </c>
      <c r="T2444" s="4" t="inlineStr">
        <is>
          <t>RAMP_1501_2500</t>
        </is>
      </c>
      <c r="U2444" s="4" t="inlineStr">
        <is>
          <t>CREATED</t>
        </is>
      </c>
      <c r="V2444" s="4" t="inlineStr">
        <is>
          <t>idem-20260902-ios-2443</t>
        </is>
      </c>
    </row>
    <row r="2445" ht="30" customHeight="1">
      <c r="A2445" s="4" t="n">
        <v>2444</v>
      </c>
      <c r="B2445" s="4" t="inlineStr">
        <is>
          <t>MTR-IOS-2444</t>
        </is>
      </c>
      <c r="C2445" s="4" t="inlineStr">
        <is>
          <t>Group</t>
        </is>
      </c>
      <c r="D2445" s="4" t="inlineStr">
        <is>
          <t>Shared Experience</t>
        </is>
      </c>
      <c r="E2445" s="4" t="inlineStr">
        <is>
          <t>Trip</t>
        </is>
      </c>
      <c r="F2445" s="4" t="inlineStr">
        <is>
          <t>Food</t>
        </is>
      </c>
      <c r="G2445" s="4" t="inlineStr">
        <is>
          <t>Expense</t>
        </is>
      </c>
      <c r="H2445" s="12" t="n">
        <v>46138</v>
      </c>
      <c r="I2445" s="13" t="n">
        <v>0.1287731481481481</v>
      </c>
      <c r="J2445" s="14" t="n">
        <v>46138.12877314815</v>
      </c>
      <c r="K2445" s="15" t="n">
        <v>8786.5</v>
      </c>
      <c r="L2445" s="4" t="inlineStr">
        <is>
          <t>INR</t>
        </is>
      </c>
      <c r="M2445" s="15" t="n">
        <v>-8786.5</v>
      </c>
      <c r="N2445" s="4" t="inlineStr">
        <is>
          <t>IOS Aarav</t>
        </is>
      </c>
      <c r="O2445" s="4" t="n">
        <v>3</v>
      </c>
      <c r="P2445" s="4" t="inlineStr">
        <is>
          <t>EXACT</t>
        </is>
      </c>
      <c r="Q2445" s="4" t="inlineStr">
        <is>
          <t>MAESTRO-IOS-GROUP-TRIP-2444 | Food | 8786.50</t>
        </is>
      </c>
      <c r="R2445" s="4" t="inlineStr">
        <is>
          <t>iPhone</t>
        </is>
      </c>
      <c r="S2445" s="4" t="inlineStr">
        <is>
          <t>B49</t>
        </is>
      </c>
      <c r="T2445" s="4" t="inlineStr">
        <is>
          <t>RAMP_1501_2500</t>
        </is>
      </c>
      <c r="U2445" s="4" t="inlineStr">
        <is>
          <t>CREATED</t>
        </is>
      </c>
      <c r="V2445" s="4" t="inlineStr">
        <is>
          <t>idem-20260902-ios-2444</t>
        </is>
      </c>
    </row>
    <row r="2446" ht="30" customHeight="1">
      <c r="A2446" s="4" t="n">
        <v>2445</v>
      </c>
      <c r="B2446" s="4" t="inlineStr">
        <is>
          <t>MTR-IOS-2445</t>
        </is>
      </c>
      <c r="C2446" s="4" t="inlineStr">
        <is>
          <t>Business</t>
        </is>
      </c>
      <c r="D2446" s="4" t="inlineStr">
        <is>
          <t>Business</t>
        </is>
      </c>
      <c r="E2446" s="4" t="inlineStr">
        <is>
          <t>Business Operations</t>
        </is>
      </c>
      <c r="F2446" s="4" t="inlineStr">
        <is>
          <t>Legal</t>
        </is>
      </c>
      <c r="G2446" s="4" t="inlineStr">
        <is>
          <t>Expense</t>
        </is>
      </c>
      <c r="H2446" s="12" t="n">
        <v>46244</v>
      </c>
      <c r="I2446" s="13" t="n">
        <v>0.6373611111111112</v>
      </c>
      <c r="J2446" s="14" t="n">
        <v>46244.63736111111</v>
      </c>
      <c r="K2446" s="15" t="n">
        <v>20782.05</v>
      </c>
      <c r="L2446" s="4" t="inlineStr">
        <is>
          <t>INR</t>
        </is>
      </c>
      <c r="M2446" s="15" t="n">
        <v>-20782.05</v>
      </c>
      <c r="N2446" s="4" t="inlineStr">
        <is>
          <t>IOS Owner</t>
        </is>
      </c>
      <c r="O2446" s="4" t="n"/>
      <c r="P2446" s="4" t="n"/>
      <c r="Q2446" s="4" t="inlineStr">
        <is>
          <t>MAESTRO-IOS-BUSINESS-BUSINESS_OPERATIONS-2445 | Legal | 20782.05</t>
        </is>
      </c>
      <c r="R2446" s="4" t="inlineStr">
        <is>
          <t>iPhone</t>
        </is>
      </c>
      <c r="S2446" s="4" t="inlineStr">
        <is>
          <t>B49</t>
        </is>
      </c>
      <c r="T2446" s="4" t="inlineStr">
        <is>
          <t>RAMP_1501_2500</t>
        </is>
      </c>
      <c r="U2446" s="4" t="inlineStr">
        <is>
          <t>CREATED</t>
        </is>
      </c>
      <c r="V2446" s="4" t="inlineStr">
        <is>
          <t>idem-20260902-ios-2445</t>
        </is>
      </c>
    </row>
    <row r="2447" ht="30" customHeight="1">
      <c r="A2447" s="4" t="n">
        <v>2446</v>
      </c>
      <c r="B2447" s="4" t="inlineStr">
        <is>
          <t>MTR-IOS-2446</t>
        </is>
      </c>
      <c r="C2447" s="4" t="inlineStr">
        <is>
          <t>Personal</t>
        </is>
      </c>
      <c r="D2447" s="4" t="inlineStr">
        <is>
          <t>Personal</t>
        </is>
      </c>
      <c r="E2447" s="4" t="inlineStr">
        <is>
          <t>Future Building</t>
        </is>
      </c>
      <c r="F2447" s="4" t="inlineStr">
        <is>
          <t>Education</t>
        </is>
      </c>
      <c r="G2447" s="4" t="inlineStr">
        <is>
          <t>Expense</t>
        </is>
      </c>
      <c r="H2447" s="12" t="n">
        <v>45910</v>
      </c>
      <c r="I2447" s="13" t="n">
        <v>0.2137962962962963</v>
      </c>
      <c r="J2447" s="14" t="n">
        <v>45910.2137962963</v>
      </c>
      <c r="K2447" s="15" t="n">
        <v>14236.54</v>
      </c>
      <c r="L2447" s="4" t="inlineStr">
        <is>
          <t>INR</t>
        </is>
      </c>
      <c r="M2447" s="15" t="n">
        <v>-14236.54</v>
      </c>
      <c r="N2447" s="4" t="inlineStr">
        <is>
          <t>IOS Owner</t>
        </is>
      </c>
      <c r="O2447" s="4" t="n"/>
      <c r="P2447" s="4" t="n"/>
      <c r="Q2447" s="4" t="inlineStr">
        <is>
          <t>MAESTRO-IOS-PERSONAL-FUTURE_BUILDING-2446 | Education | 14236.54</t>
        </is>
      </c>
      <c r="R2447" s="4" t="inlineStr">
        <is>
          <t>iPhone</t>
        </is>
      </c>
      <c r="S2447" s="4" t="inlineStr">
        <is>
          <t>B49</t>
        </is>
      </c>
      <c r="T2447" s="4" t="inlineStr">
        <is>
          <t>RAMP_1501_2500</t>
        </is>
      </c>
      <c r="U2447" s="4" t="inlineStr">
        <is>
          <t>CREATED</t>
        </is>
      </c>
      <c r="V2447" s="4" t="inlineStr">
        <is>
          <t>idem-20260902-ios-2446</t>
        </is>
      </c>
    </row>
    <row r="2448" ht="30" customHeight="1">
      <c r="A2448" s="4" t="n">
        <v>2447</v>
      </c>
      <c r="B2448" s="4" t="inlineStr">
        <is>
          <t>MTR-IOS-2447</t>
        </is>
      </c>
      <c r="C2448" s="4" t="inlineStr">
        <is>
          <t>Group</t>
        </is>
      </c>
      <c r="D2448" s="4" t="inlineStr">
        <is>
          <t>Shared Experience</t>
        </is>
      </c>
      <c r="E2448" s="4" t="inlineStr">
        <is>
          <t>Trip</t>
        </is>
      </c>
      <c r="F2448" s="4" t="inlineStr">
        <is>
          <t>Local Transport</t>
        </is>
      </c>
      <c r="G2448" s="4" t="inlineStr">
        <is>
          <t>Expense</t>
        </is>
      </c>
      <c r="H2448" s="12" t="n">
        <v>46013</v>
      </c>
      <c r="I2448" s="13" t="n">
        <v>0.9095601851851852</v>
      </c>
      <c r="J2448" s="14" t="n">
        <v>46013.90956018519</v>
      </c>
      <c r="K2448" s="15" t="n">
        <v>26683.39</v>
      </c>
      <c r="L2448" s="4" t="inlineStr">
        <is>
          <t>INR</t>
        </is>
      </c>
      <c r="M2448" s="15" t="n">
        <v>-26683.39</v>
      </c>
      <c r="N2448" s="4" t="inlineStr">
        <is>
          <t>IOS Meera</t>
        </is>
      </c>
      <c r="O2448" s="4" t="n">
        <v>3</v>
      </c>
      <c r="P2448" s="4" t="inlineStr">
        <is>
          <t>SHARES</t>
        </is>
      </c>
      <c r="Q2448" s="4" t="inlineStr">
        <is>
          <t>MAESTRO-IOS-GROUP-TRIP-2447 | Local Transport | 26683.39</t>
        </is>
      </c>
      <c r="R2448" s="4" t="inlineStr">
        <is>
          <t>iPhone</t>
        </is>
      </c>
      <c r="S2448" s="4" t="inlineStr">
        <is>
          <t>B49</t>
        </is>
      </c>
      <c r="T2448" s="4" t="inlineStr">
        <is>
          <t>RAMP_1501_2500</t>
        </is>
      </c>
      <c r="U2448" s="4" t="inlineStr">
        <is>
          <t>CREATED</t>
        </is>
      </c>
      <c r="V2448" s="4" t="inlineStr">
        <is>
          <t>idem-20260902-ios-2447</t>
        </is>
      </c>
    </row>
    <row r="2449" ht="30" customHeight="1">
      <c r="A2449" s="4" t="n">
        <v>2448</v>
      </c>
      <c r="B2449" s="4" t="inlineStr">
        <is>
          <t>MTR-IOS-2448</t>
        </is>
      </c>
      <c r="C2449" s="4" t="inlineStr">
        <is>
          <t>Business</t>
        </is>
      </c>
      <c r="D2449" s="4" t="inlineStr">
        <is>
          <t>Business</t>
        </is>
      </c>
      <c r="E2449" s="4" t="inlineStr">
        <is>
          <t>Business Operations</t>
        </is>
      </c>
      <c r="F2449" s="4" t="inlineStr">
        <is>
          <t>Accounting</t>
        </is>
      </c>
      <c r="G2449" s="4" t="inlineStr">
        <is>
          <t>Expense</t>
        </is>
      </c>
      <c r="H2449" s="12" t="n">
        <v>46017</v>
      </c>
      <c r="I2449" s="13" t="n">
        <v>0.2788888888888889</v>
      </c>
      <c r="J2449" s="14" t="n">
        <v>46017.27888888889</v>
      </c>
      <c r="K2449" s="15" t="n">
        <v>150647.88</v>
      </c>
      <c r="L2449" s="4" t="inlineStr">
        <is>
          <t>INR</t>
        </is>
      </c>
      <c r="M2449" s="15" t="n">
        <v>-150647.88</v>
      </c>
      <c r="N2449" s="4" t="inlineStr">
        <is>
          <t>IOS Owner</t>
        </is>
      </c>
      <c r="O2449" s="4" t="n"/>
      <c r="P2449" s="4" t="n"/>
      <c r="Q2449" s="4" t="inlineStr">
        <is>
          <t>MAESTRO-IOS-BUSINESS-BUSINESS_OPERATIONS-2448 | Accounting | 150647.88</t>
        </is>
      </c>
      <c r="R2449" s="4" t="inlineStr">
        <is>
          <t>iPhone</t>
        </is>
      </c>
      <c r="S2449" s="4" t="inlineStr">
        <is>
          <t>B49</t>
        </is>
      </c>
      <c r="T2449" s="4" t="inlineStr">
        <is>
          <t>RAMP_1501_2500</t>
        </is>
      </c>
      <c r="U2449" s="4" t="inlineStr">
        <is>
          <t>CREATED</t>
        </is>
      </c>
      <c r="V2449" s="4" t="inlineStr">
        <is>
          <t>idem-20260902-ios-2448</t>
        </is>
      </c>
    </row>
    <row r="2450" ht="30" customHeight="1">
      <c r="A2450" s="4" t="n">
        <v>2449</v>
      </c>
      <c r="B2450" s="4" t="inlineStr">
        <is>
          <t>MTR-IOS-2449</t>
        </is>
      </c>
      <c r="C2450" s="4" t="inlineStr">
        <is>
          <t>Personal</t>
        </is>
      </c>
      <c r="D2450" s="4" t="inlineStr">
        <is>
          <t>Personal</t>
        </is>
      </c>
      <c r="E2450" s="4" t="inlineStr">
        <is>
          <t>Future Building</t>
        </is>
      </c>
      <c r="F2450" s="4" t="inlineStr">
        <is>
          <t>Goal Contribution</t>
        </is>
      </c>
      <c r="G2450" s="4" t="inlineStr">
        <is>
          <t>Transfer</t>
        </is>
      </c>
      <c r="H2450" s="12" t="n">
        <v>46155</v>
      </c>
      <c r="I2450" s="13" t="n">
        <v>0.2640509259259259</v>
      </c>
      <c r="J2450" s="14" t="n">
        <v>46155.26405092593</v>
      </c>
      <c r="K2450" s="15" t="n">
        <v>14292.85</v>
      </c>
      <c r="L2450" s="4" t="inlineStr">
        <is>
          <t>INR</t>
        </is>
      </c>
      <c r="M2450" s="15" t="n">
        <v>0</v>
      </c>
      <c r="N2450" s="4" t="inlineStr">
        <is>
          <t>IOS Owner</t>
        </is>
      </c>
      <c r="O2450" s="4" t="n"/>
      <c r="P2450" s="4" t="n"/>
      <c r="Q2450" s="4" t="inlineStr">
        <is>
          <t>MAESTRO-IOS-PERSONAL-FUTURE_BUILDING-2449 | Goal Contribution | 14292.85</t>
        </is>
      </c>
      <c r="R2450" s="4" t="inlineStr">
        <is>
          <t>iPhone</t>
        </is>
      </c>
      <c r="S2450" s="4" t="inlineStr">
        <is>
          <t>B49</t>
        </is>
      </c>
      <c r="T2450" s="4" t="inlineStr">
        <is>
          <t>RAMP_1501_2500</t>
        </is>
      </c>
      <c r="U2450" s="4" t="inlineStr">
        <is>
          <t>CREATED</t>
        </is>
      </c>
      <c r="V2450" s="4" t="inlineStr">
        <is>
          <t>idem-20260902-ios-2449</t>
        </is>
      </c>
    </row>
    <row r="2451" ht="30" customHeight="1">
      <c r="A2451" s="4" t="n">
        <v>2450</v>
      </c>
      <c r="B2451" s="4" t="inlineStr">
        <is>
          <t>MTR-IOS-2450</t>
        </is>
      </c>
      <c r="C2451" s="4" t="inlineStr">
        <is>
          <t>Group</t>
        </is>
      </c>
      <c r="D2451" s="4" t="inlineStr">
        <is>
          <t>Shared Experience</t>
        </is>
      </c>
      <c r="E2451" s="4" t="inlineStr">
        <is>
          <t>Trip</t>
        </is>
      </c>
      <c r="F2451" s="4" t="inlineStr">
        <is>
          <t>Activities</t>
        </is>
      </c>
      <c r="G2451" s="4" t="inlineStr">
        <is>
          <t>Expense</t>
        </is>
      </c>
      <c r="H2451" s="12" t="n">
        <v>45958</v>
      </c>
      <c r="I2451" s="13" t="n">
        <v>0.3361805555555555</v>
      </c>
      <c r="J2451" s="14" t="n">
        <v>45958.33618055555</v>
      </c>
      <c r="K2451" s="15" t="n">
        <v>26235.92</v>
      </c>
      <c r="L2451" s="4" t="inlineStr">
        <is>
          <t>INR</t>
        </is>
      </c>
      <c r="M2451" s="15" t="n">
        <v>-26235.92</v>
      </c>
      <c r="N2451" s="4" t="inlineStr">
        <is>
          <t>IOS Owner</t>
        </is>
      </c>
      <c r="O2451" s="4" t="n">
        <v>3</v>
      </c>
      <c r="P2451" s="4" t="inlineStr">
        <is>
          <t>EQUAL</t>
        </is>
      </c>
      <c r="Q2451" s="4" t="inlineStr">
        <is>
          <t>MAESTRO-IOS-GROUP-TRIP-2450 | Activities | 26235.92</t>
        </is>
      </c>
      <c r="R2451" s="4" t="inlineStr">
        <is>
          <t>iPhone</t>
        </is>
      </c>
      <c r="S2451" s="4" t="inlineStr">
        <is>
          <t>B49</t>
        </is>
      </c>
      <c r="T2451" s="4" t="inlineStr">
        <is>
          <t>RAMP_1501_2500</t>
        </is>
      </c>
      <c r="U2451" s="4" t="inlineStr">
        <is>
          <t>CREATED</t>
        </is>
      </c>
      <c r="V2451" s="4" t="inlineStr">
        <is>
          <t>idem-20260902-ios-2450</t>
        </is>
      </c>
    </row>
    <row r="2452" ht="30" customHeight="1">
      <c r="A2452" s="4" t="n">
        <v>2451</v>
      </c>
      <c r="B2452" s="4" t="inlineStr">
        <is>
          <t>MTR-IOS-2451</t>
        </is>
      </c>
      <c r="C2452" s="4" t="inlineStr">
        <is>
          <t>Business</t>
        </is>
      </c>
      <c r="D2452" s="4" t="inlineStr">
        <is>
          <t>Business</t>
        </is>
      </c>
      <c r="E2452" s="4" t="inlineStr">
        <is>
          <t>Business Operations</t>
        </is>
      </c>
      <c r="F2452" s="4" t="inlineStr">
        <is>
          <t>Equipment</t>
        </is>
      </c>
      <c r="G2452" s="4" t="inlineStr">
        <is>
          <t>Expense</t>
        </is>
      </c>
      <c r="H2452" s="12" t="n">
        <v>45936</v>
      </c>
      <c r="I2452" s="13" t="n">
        <v>0.8227314814814815</v>
      </c>
      <c r="J2452" s="14" t="n">
        <v>45936.82273148148</v>
      </c>
      <c r="K2452" s="15" t="n">
        <v>13674.09</v>
      </c>
      <c r="L2452" s="4" t="inlineStr">
        <is>
          <t>INR</t>
        </is>
      </c>
      <c r="M2452" s="15" t="n">
        <v>-13674.09</v>
      </c>
      <c r="N2452" s="4" t="inlineStr">
        <is>
          <t>IOS Owner</t>
        </is>
      </c>
      <c r="O2452" s="4" t="n"/>
      <c r="P2452" s="4" t="n"/>
      <c r="Q2452" s="4" t="inlineStr">
        <is>
          <t>MAESTRO-IOS-BUSINESS-BUSINESS_OPERATIONS-2451 | Equipment | 13674.09</t>
        </is>
      </c>
      <c r="R2452" s="4" t="inlineStr">
        <is>
          <t>iPhone</t>
        </is>
      </c>
      <c r="S2452" s="4" t="inlineStr">
        <is>
          <t>B50</t>
        </is>
      </c>
      <c r="T2452" s="4" t="inlineStr">
        <is>
          <t>RAMP_1501_2500</t>
        </is>
      </c>
      <c r="U2452" s="4" t="inlineStr">
        <is>
          <t>CREATED</t>
        </is>
      </c>
      <c r="V2452" s="4" t="inlineStr">
        <is>
          <t>idem-20260902-ios-2451</t>
        </is>
      </c>
    </row>
    <row r="2453" ht="30" customHeight="1">
      <c r="A2453" s="4" t="n">
        <v>2452</v>
      </c>
      <c r="B2453" s="4" t="inlineStr">
        <is>
          <t>MTR-IOS-2452</t>
        </is>
      </c>
      <c r="C2453" s="4" t="inlineStr">
        <is>
          <t>Personal</t>
        </is>
      </c>
      <c r="D2453" s="4" t="inlineStr">
        <is>
          <t>Personal</t>
        </is>
      </c>
      <c r="E2453" s="4" t="inlineStr">
        <is>
          <t>Lifestyle</t>
        </is>
      </c>
      <c r="F2453" s="4" t="inlineStr">
        <is>
          <t>Dining</t>
        </is>
      </c>
      <c r="G2453" s="4" t="inlineStr">
        <is>
          <t>Expense</t>
        </is>
      </c>
      <c r="H2453" s="12" t="n">
        <v>45939</v>
      </c>
      <c r="I2453" s="13" t="n">
        <v>0.9846180555555556</v>
      </c>
      <c r="J2453" s="14" t="n">
        <v>45939.98461805555</v>
      </c>
      <c r="K2453" s="15" t="n">
        <v>15734.18</v>
      </c>
      <c r="L2453" s="4" t="inlineStr">
        <is>
          <t>INR</t>
        </is>
      </c>
      <c r="M2453" s="15" t="n">
        <v>-15734.18</v>
      </c>
      <c r="N2453" s="4" t="inlineStr">
        <is>
          <t>IOS Owner</t>
        </is>
      </c>
      <c r="O2453" s="4" t="n"/>
      <c r="P2453" s="4" t="n"/>
      <c r="Q2453" s="4" t="inlineStr">
        <is>
          <t>MAESTRO-IOS-PERSONAL-LIFESTYLE-2452 | Dining | 15734.18</t>
        </is>
      </c>
      <c r="R2453" s="4" t="inlineStr">
        <is>
          <t>iPhone</t>
        </is>
      </c>
      <c r="S2453" s="4" t="inlineStr">
        <is>
          <t>B50</t>
        </is>
      </c>
      <c r="T2453" s="4" t="inlineStr">
        <is>
          <t>RAMP_1501_2500</t>
        </is>
      </c>
      <c r="U2453" s="4" t="inlineStr">
        <is>
          <t>CREATED</t>
        </is>
      </c>
      <c r="V2453" s="4" t="inlineStr">
        <is>
          <t>idem-20260902-ios-2452</t>
        </is>
      </c>
    </row>
    <row r="2454" ht="30" customHeight="1">
      <c r="A2454" s="4" t="n">
        <v>2453</v>
      </c>
      <c r="B2454" s="4" t="inlineStr">
        <is>
          <t>MTR-IOS-2453</t>
        </is>
      </c>
      <c r="C2454" s="4" t="inlineStr">
        <is>
          <t>Group</t>
        </is>
      </c>
      <c r="D2454" s="4" t="inlineStr">
        <is>
          <t>Shared Experience</t>
        </is>
      </c>
      <c r="E2454" s="4" t="inlineStr">
        <is>
          <t>Trip</t>
        </is>
      </c>
      <c r="F2454" s="4" t="inlineStr">
        <is>
          <t>Shopping</t>
        </is>
      </c>
      <c r="G2454" s="4" t="inlineStr">
        <is>
          <t>Expense</t>
        </is>
      </c>
      <c r="H2454" s="12" t="n">
        <v>45998</v>
      </c>
      <c r="I2454" s="13" t="n">
        <v>0.4940972222222222</v>
      </c>
      <c r="J2454" s="14" t="n">
        <v>45998.49409722222</v>
      </c>
      <c r="K2454" s="15" t="n">
        <v>23656.02</v>
      </c>
      <c r="L2454" s="4" t="inlineStr">
        <is>
          <t>INR</t>
        </is>
      </c>
      <c r="M2454" s="15" t="n">
        <v>-23656.02</v>
      </c>
      <c r="N2454" s="4" t="inlineStr">
        <is>
          <t>IOS Aarav</t>
        </is>
      </c>
      <c r="O2454" s="4" t="n">
        <v>3</v>
      </c>
      <c r="P2454" s="4" t="inlineStr">
        <is>
          <t>PERCENTAGE</t>
        </is>
      </c>
      <c r="Q2454" s="4" t="inlineStr">
        <is>
          <t>MAESTRO-IOS-GROUP-TRIP-2453 | Shopping | 23656.02</t>
        </is>
      </c>
      <c r="R2454" s="4" t="inlineStr">
        <is>
          <t>iPhone</t>
        </is>
      </c>
      <c r="S2454" s="4" t="inlineStr">
        <is>
          <t>B50</t>
        </is>
      </c>
      <c r="T2454" s="4" t="inlineStr">
        <is>
          <t>RAMP_1501_2500</t>
        </is>
      </c>
      <c r="U2454" s="4" t="inlineStr">
        <is>
          <t>CREATED</t>
        </is>
      </c>
      <c r="V2454" s="4" t="inlineStr">
        <is>
          <t>idem-20260902-ios-2453</t>
        </is>
      </c>
    </row>
    <row r="2455" ht="30" customHeight="1">
      <c r="A2455" s="4" t="n">
        <v>2454</v>
      </c>
      <c r="B2455" s="4" t="inlineStr">
        <is>
          <t>MTR-IOS-2454</t>
        </is>
      </c>
      <c r="C2455" s="4" t="inlineStr">
        <is>
          <t>Business</t>
        </is>
      </c>
      <c r="D2455" s="4" t="inlineStr">
        <is>
          <t>Business</t>
        </is>
      </c>
      <c r="E2455" s="4" t="inlineStr">
        <is>
          <t>Business Operations</t>
        </is>
      </c>
      <c r="F2455" s="4" t="inlineStr">
        <is>
          <t>Vendor</t>
        </is>
      </c>
      <c r="G2455" s="4" t="inlineStr">
        <is>
          <t>Expense</t>
        </is>
      </c>
      <c r="H2455" s="12" t="n">
        <v>46138</v>
      </c>
      <c r="I2455" s="13" t="n">
        <v>0.4590277777777778</v>
      </c>
      <c r="J2455" s="14" t="n">
        <v>46138.45902777778</v>
      </c>
      <c r="K2455" s="15" t="n">
        <v>54114.42</v>
      </c>
      <c r="L2455" s="4" t="inlineStr">
        <is>
          <t>INR</t>
        </is>
      </c>
      <c r="M2455" s="15" t="n">
        <v>-54114.42</v>
      </c>
      <c r="N2455" s="4" t="inlineStr">
        <is>
          <t>IOS Owner</t>
        </is>
      </c>
      <c r="O2455" s="4" t="n"/>
      <c r="P2455" s="4" t="n"/>
      <c r="Q2455" s="4" t="inlineStr">
        <is>
          <t>MAESTRO-IOS-BUSINESS-BUSINESS_OPERATIONS-2454 | Vendor | 54114.42</t>
        </is>
      </c>
      <c r="R2455" s="4" t="inlineStr">
        <is>
          <t>iPhone</t>
        </is>
      </c>
      <c r="S2455" s="4" t="inlineStr">
        <is>
          <t>B50</t>
        </is>
      </c>
      <c r="T2455" s="4" t="inlineStr">
        <is>
          <t>RAMP_1501_2500</t>
        </is>
      </c>
      <c r="U2455" s="4" t="inlineStr">
        <is>
          <t>CREATED</t>
        </is>
      </c>
      <c r="V2455" s="4" t="inlineStr">
        <is>
          <t>idem-20260902-ios-2454</t>
        </is>
      </c>
    </row>
    <row r="2456" ht="30" customHeight="1">
      <c r="A2456" s="4" t="n">
        <v>2455</v>
      </c>
      <c r="B2456" s="4" t="inlineStr">
        <is>
          <t>MTR-IOS-2455</t>
        </is>
      </c>
      <c r="C2456" s="4" t="inlineStr">
        <is>
          <t>Personal</t>
        </is>
      </c>
      <c r="D2456" s="4" t="inlineStr">
        <is>
          <t>Personal</t>
        </is>
      </c>
      <c r="E2456" s="4" t="inlineStr">
        <is>
          <t>Lifestyle</t>
        </is>
      </c>
      <c r="F2456" s="4" t="inlineStr">
        <is>
          <t>Shopping</t>
        </is>
      </c>
      <c r="G2456" s="4" t="inlineStr">
        <is>
          <t>Expense</t>
        </is>
      </c>
      <c r="H2456" s="12" t="n">
        <v>46150</v>
      </c>
      <c r="I2456" s="13" t="n">
        <v>0.280775462962963</v>
      </c>
      <c r="J2456" s="14" t="n">
        <v>46150.28077546296</v>
      </c>
      <c r="K2456" s="15" t="n">
        <v>14060.97</v>
      </c>
      <c r="L2456" s="4" t="inlineStr">
        <is>
          <t>INR</t>
        </is>
      </c>
      <c r="M2456" s="15" t="n">
        <v>-14060.97</v>
      </c>
      <c r="N2456" s="4" t="inlineStr">
        <is>
          <t>IOS Owner</t>
        </is>
      </c>
      <c r="O2456" s="4" t="n"/>
      <c r="P2456" s="4" t="n"/>
      <c r="Q2456" s="4" t="inlineStr">
        <is>
          <t>MAESTRO-IOS-PERSONAL-LIFESTYLE-2455 | Shopping | 14060.97</t>
        </is>
      </c>
      <c r="R2456" s="4" t="inlineStr">
        <is>
          <t>iPhone</t>
        </is>
      </c>
      <c r="S2456" s="4" t="inlineStr">
        <is>
          <t>B50</t>
        </is>
      </c>
      <c r="T2456" s="4" t="inlineStr">
        <is>
          <t>RAMP_1501_2500</t>
        </is>
      </c>
      <c r="U2456" s="4" t="inlineStr">
        <is>
          <t>CREATED</t>
        </is>
      </c>
      <c r="V2456" s="4" t="inlineStr">
        <is>
          <t>idem-20260902-ios-2455</t>
        </is>
      </c>
    </row>
    <row r="2457" ht="30" customHeight="1">
      <c r="A2457" s="4" t="n">
        <v>2456</v>
      </c>
      <c r="B2457" s="4" t="inlineStr">
        <is>
          <t>MTR-IOS-2456</t>
        </is>
      </c>
      <c r="C2457" s="4" t="inlineStr">
        <is>
          <t>Group</t>
        </is>
      </c>
      <c r="D2457" s="4" t="inlineStr">
        <is>
          <t>Shared Experience</t>
        </is>
      </c>
      <c r="E2457" s="4" t="inlineStr">
        <is>
          <t>Trip</t>
        </is>
      </c>
      <c r="F2457" s="4" t="inlineStr">
        <is>
          <t>Other</t>
        </is>
      </c>
      <c r="G2457" s="4" t="inlineStr">
        <is>
          <t>Expense</t>
        </is>
      </c>
      <c r="H2457" s="12" t="n">
        <v>46201</v>
      </c>
      <c r="I2457" s="13" t="n">
        <v>0.3227430555555555</v>
      </c>
      <c r="J2457" s="14" t="n">
        <v>46201.32274305556</v>
      </c>
      <c r="K2457" s="15" t="n">
        <v>14915.78</v>
      </c>
      <c r="L2457" s="4" t="inlineStr">
        <is>
          <t>INR</t>
        </is>
      </c>
      <c r="M2457" s="15" t="n">
        <v>-14915.78</v>
      </c>
      <c r="N2457" s="4" t="inlineStr">
        <is>
          <t>IOS Meera</t>
        </is>
      </c>
      <c r="O2457" s="4" t="n">
        <v>3</v>
      </c>
      <c r="P2457" s="4" t="inlineStr">
        <is>
          <t>EXACT</t>
        </is>
      </c>
      <c r="Q2457" s="4" t="inlineStr">
        <is>
          <t>MAESTRO-IOS-GROUP-TRIP-2456 | Other | 14915.78</t>
        </is>
      </c>
      <c r="R2457" s="4" t="inlineStr">
        <is>
          <t>iPhone</t>
        </is>
      </c>
      <c r="S2457" s="4" t="inlineStr">
        <is>
          <t>B50</t>
        </is>
      </c>
      <c r="T2457" s="4" t="inlineStr">
        <is>
          <t>RAMP_1501_2500</t>
        </is>
      </c>
      <c r="U2457" s="4" t="inlineStr">
        <is>
          <t>CREATED</t>
        </is>
      </c>
      <c r="V2457" s="4" t="inlineStr">
        <is>
          <t>idem-20260902-ios-2456</t>
        </is>
      </c>
    </row>
    <row r="2458" ht="30" customHeight="1">
      <c r="A2458" s="4" t="n">
        <v>2457</v>
      </c>
      <c r="B2458" s="4" t="inlineStr">
        <is>
          <t>MTR-IOS-2457</t>
        </is>
      </c>
      <c r="C2458" s="4" t="inlineStr">
        <is>
          <t>Business</t>
        </is>
      </c>
      <c r="D2458" s="4" t="inlineStr">
        <is>
          <t>Business</t>
        </is>
      </c>
      <c r="E2458" s="4" t="inlineStr">
        <is>
          <t>Business Operations</t>
        </is>
      </c>
      <c r="F2458" s="4" t="inlineStr">
        <is>
          <t>Tax</t>
        </is>
      </c>
      <c r="G2458" s="4" t="inlineStr">
        <is>
          <t>Expense</t>
        </is>
      </c>
      <c r="H2458" s="12" t="n">
        <v>45977</v>
      </c>
      <c r="I2458" s="13" t="n">
        <v>0.7505902777777778</v>
      </c>
      <c r="J2458" s="14" t="n">
        <v>45977.75059027778</v>
      </c>
      <c r="K2458" s="15" t="n">
        <v>55770.06</v>
      </c>
      <c r="L2458" s="4" t="inlineStr">
        <is>
          <t>INR</t>
        </is>
      </c>
      <c r="M2458" s="15" t="n">
        <v>-55770.06</v>
      </c>
      <c r="N2458" s="4" t="inlineStr">
        <is>
          <t>IOS Owner</t>
        </is>
      </c>
      <c r="O2458" s="4" t="n"/>
      <c r="P2458" s="4" t="n"/>
      <c r="Q2458" s="4" t="inlineStr">
        <is>
          <t>MAESTRO-IOS-BUSINESS-BUSINESS_OPERATIONS-2457 | Tax | 55770.06</t>
        </is>
      </c>
      <c r="R2458" s="4" t="inlineStr">
        <is>
          <t>iPhone</t>
        </is>
      </c>
      <c r="S2458" s="4" t="inlineStr">
        <is>
          <t>B50</t>
        </is>
      </c>
      <c r="T2458" s="4" t="inlineStr">
        <is>
          <t>RAMP_1501_2500</t>
        </is>
      </c>
      <c r="U2458" s="4" t="inlineStr">
        <is>
          <t>CREATED</t>
        </is>
      </c>
      <c r="V2458" s="4" t="inlineStr">
        <is>
          <t>idem-20260902-ios-2457</t>
        </is>
      </c>
    </row>
    <row r="2459" ht="30" customHeight="1">
      <c r="A2459" s="4" t="n">
        <v>2458</v>
      </c>
      <c r="B2459" s="4" t="inlineStr">
        <is>
          <t>MTR-IOS-2458</t>
        </is>
      </c>
      <c r="C2459" s="4" t="inlineStr">
        <is>
          <t>Personal</t>
        </is>
      </c>
      <c r="D2459" s="4" t="inlineStr">
        <is>
          <t>Personal</t>
        </is>
      </c>
      <c r="E2459" s="4" t="inlineStr">
        <is>
          <t>Lifestyle</t>
        </is>
      </c>
      <c r="F2459" s="4" t="inlineStr">
        <is>
          <t>Entertainment</t>
        </is>
      </c>
      <c r="G2459" s="4" t="inlineStr">
        <is>
          <t>Expense</t>
        </is>
      </c>
      <c r="H2459" s="12" t="n">
        <v>46250</v>
      </c>
      <c r="I2459" s="13" t="n">
        <v>0.07158564814814815</v>
      </c>
      <c r="J2459" s="14" t="n">
        <v>46250.07158564815</v>
      </c>
      <c r="K2459" s="15" t="n">
        <v>10298.59</v>
      </c>
      <c r="L2459" s="4" t="inlineStr">
        <is>
          <t>INR</t>
        </is>
      </c>
      <c r="M2459" s="15" t="n">
        <v>-10298.59</v>
      </c>
      <c r="N2459" s="4" t="inlineStr">
        <is>
          <t>IOS Owner</t>
        </is>
      </c>
      <c r="O2459" s="4" t="n"/>
      <c r="P2459" s="4" t="n"/>
      <c r="Q2459" s="4" t="inlineStr">
        <is>
          <t>MAESTRO-IOS-PERSONAL-LIFESTYLE-2458 | Entertainment | 10298.59</t>
        </is>
      </c>
      <c r="R2459" s="4" t="inlineStr">
        <is>
          <t>iPhone</t>
        </is>
      </c>
      <c r="S2459" s="4" t="inlineStr">
        <is>
          <t>B50</t>
        </is>
      </c>
      <c r="T2459" s="4" t="inlineStr">
        <is>
          <t>RAMP_1501_2500</t>
        </is>
      </c>
      <c r="U2459" s="4" t="inlineStr">
        <is>
          <t>CREATED</t>
        </is>
      </c>
      <c r="V2459" s="4" t="inlineStr">
        <is>
          <t>idem-20260902-ios-2458</t>
        </is>
      </c>
    </row>
    <row r="2460" ht="30" customHeight="1">
      <c r="A2460" s="4" t="n">
        <v>2459</v>
      </c>
      <c r="B2460" s="4" t="inlineStr">
        <is>
          <t>MTR-IOS-2459</t>
        </is>
      </c>
      <c r="C2460" s="4" t="inlineStr">
        <is>
          <t>Group</t>
        </is>
      </c>
      <c r="D2460" s="4" t="inlineStr">
        <is>
          <t>Shared Experience</t>
        </is>
      </c>
      <c r="E2460" s="4" t="inlineStr">
        <is>
          <t>Wedding</t>
        </is>
      </c>
      <c r="F2460" s="4" t="inlineStr">
        <is>
          <t>Venue</t>
        </is>
      </c>
      <c r="G2460" s="4" t="inlineStr">
        <is>
          <t>Expense</t>
        </is>
      </c>
      <c r="H2460" s="12" t="n">
        <v>46095</v>
      </c>
      <c r="I2460" s="13" t="n">
        <v>0.9412384259259259</v>
      </c>
      <c r="J2460" s="14" t="n">
        <v>46095.94123842593</v>
      </c>
      <c r="K2460" s="15" t="n">
        <v>11649.9</v>
      </c>
      <c r="L2460" s="4" t="inlineStr">
        <is>
          <t>INR</t>
        </is>
      </c>
      <c r="M2460" s="15" t="n">
        <v>-11649.9</v>
      </c>
      <c r="N2460" s="4" t="inlineStr">
        <is>
          <t>IOS Owner</t>
        </is>
      </c>
      <c r="O2460" s="4" t="n">
        <v>3</v>
      </c>
      <c r="P2460" s="4" t="inlineStr">
        <is>
          <t>SHARES</t>
        </is>
      </c>
      <c r="Q2460" s="4" t="inlineStr">
        <is>
          <t>MAESTRO-IOS-GROUP-WEDDING-2459 | Venue | 11649.90</t>
        </is>
      </c>
      <c r="R2460" s="4" t="inlineStr">
        <is>
          <t>iPhone</t>
        </is>
      </c>
      <c r="S2460" s="4" t="inlineStr">
        <is>
          <t>B50</t>
        </is>
      </c>
      <c r="T2460" s="4" t="inlineStr">
        <is>
          <t>RAMP_1501_2500</t>
        </is>
      </c>
      <c r="U2460" s="4" t="inlineStr">
        <is>
          <t>CREATED</t>
        </is>
      </c>
      <c r="V2460" s="4" t="inlineStr">
        <is>
          <t>idem-20260902-ios-2459</t>
        </is>
      </c>
    </row>
    <row r="2461" ht="30" customHeight="1">
      <c r="A2461" s="4" t="n">
        <v>2460</v>
      </c>
      <c r="B2461" s="4" t="inlineStr">
        <is>
          <t>MTR-IOS-2460</t>
        </is>
      </c>
      <c r="C2461" s="4" t="inlineStr">
        <is>
          <t>Business</t>
        </is>
      </c>
      <c r="D2461" s="4" t="inlineStr">
        <is>
          <t>Business</t>
        </is>
      </c>
      <c r="E2461" s="4" t="inlineStr">
        <is>
          <t>Team Operations</t>
        </is>
      </c>
      <c r="F2461" s="4" t="inlineStr">
        <is>
          <t>Payroll</t>
        </is>
      </c>
      <c r="G2461" s="4" t="inlineStr">
        <is>
          <t>Expense</t>
        </is>
      </c>
      <c r="H2461" s="12" t="n">
        <v>46072</v>
      </c>
      <c r="I2461" s="13" t="n">
        <v>0.632175925925926</v>
      </c>
      <c r="J2461" s="14" t="n">
        <v>46072.63217592592</v>
      </c>
      <c r="K2461" s="15" t="n">
        <v>88726.57000000001</v>
      </c>
      <c r="L2461" s="4" t="inlineStr">
        <is>
          <t>INR</t>
        </is>
      </c>
      <c r="M2461" s="15" t="n">
        <v>-88726.57000000001</v>
      </c>
      <c r="N2461" s="4" t="inlineStr">
        <is>
          <t>IOS Owner</t>
        </is>
      </c>
      <c r="O2461" s="4" t="n"/>
      <c r="P2461" s="4" t="n"/>
      <c r="Q2461" s="4" t="inlineStr">
        <is>
          <t>MAESTRO-IOS-BUSINESS-TEAM_OPERATIONS-2460 | Payroll | 88726.57</t>
        </is>
      </c>
      <c r="R2461" s="4" t="inlineStr">
        <is>
          <t>iPhone</t>
        </is>
      </c>
      <c r="S2461" s="4" t="inlineStr">
        <is>
          <t>B50</t>
        </is>
      </c>
      <c r="T2461" s="4" t="inlineStr">
        <is>
          <t>RAMP_1501_2500</t>
        </is>
      </c>
      <c r="U2461" s="4" t="inlineStr">
        <is>
          <t>CREATED</t>
        </is>
      </c>
      <c r="V2461" s="4" t="inlineStr">
        <is>
          <t>idem-20260902-ios-2460</t>
        </is>
      </c>
    </row>
    <row r="2462" ht="30" customHeight="1">
      <c r="A2462" s="4" t="n">
        <v>2461</v>
      </c>
      <c r="B2462" s="4" t="inlineStr">
        <is>
          <t>MTR-IOS-2461</t>
        </is>
      </c>
      <c r="C2462" s="4" t="inlineStr">
        <is>
          <t>Personal</t>
        </is>
      </c>
      <c r="D2462" s="4" t="inlineStr">
        <is>
          <t>Personal</t>
        </is>
      </c>
      <c r="E2462" s="4" t="inlineStr">
        <is>
          <t>Lifestyle</t>
        </is>
      </c>
      <c r="F2462" s="4" t="inlineStr">
        <is>
          <t>Travel</t>
        </is>
      </c>
      <c r="G2462" s="4" t="inlineStr">
        <is>
          <t>Expense</t>
        </is>
      </c>
      <c r="H2462" s="12" t="n">
        <v>46101</v>
      </c>
      <c r="I2462" s="13" t="n">
        <v>0.05458333333333333</v>
      </c>
      <c r="J2462" s="14" t="n">
        <v>46101.05458333333</v>
      </c>
      <c r="K2462" s="15" t="n">
        <v>16810.72</v>
      </c>
      <c r="L2462" s="4" t="inlineStr">
        <is>
          <t>INR</t>
        </is>
      </c>
      <c r="M2462" s="15" t="n">
        <v>-16810.72</v>
      </c>
      <c r="N2462" s="4" t="inlineStr">
        <is>
          <t>IOS Owner</t>
        </is>
      </c>
      <c r="O2462" s="4" t="n"/>
      <c r="P2462" s="4" t="n"/>
      <c r="Q2462" s="4" t="inlineStr">
        <is>
          <t>MAESTRO-IOS-PERSONAL-LIFESTYLE-2461 | Travel | 16810.72</t>
        </is>
      </c>
      <c r="R2462" s="4" t="inlineStr">
        <is>
          <t>iPhone</t>
        </is>
      </c>
      <c r="S2462" s="4" t="inlineStr">
        <is>
          <t>B50</t>
        </is>
      </c>
      <c r="T2462" s="4" t="inlineStr">
        <is>
          <t>RAMP_1501_2500</t>
        </is>
      </c>
      <c r="U2462" s="4" t="inlineStr">
        <is>
          <t>CREATED</t>
        </is>
      </c>
      <c r="V2462" s="4" t="inlineStr">
        <is>
          <t>idem-20260902-ios-2461</t>
        </is>
      </c>
    </row>
    <row r="2463" ht="30" customHeight="1">
      <c r="A2463" s="4" t="n">
        <v>2462</v>
      </c>
      <c r="B2463" s="4" t="inlineStr">
        <is>
          <t>MTR-IOS-2462</t>
        </is>
      </c>
      <c r="C2463" s="4" t="inlineStr">
        <is>
          <t>Group</t>
        </is>
      </c>
      <c r="D2463" s="4" t="inlineStr">
        <is>
          <t>Shared Experience</t>
        </is>
      </c>
      <c r="E2463" s="4" t="inlineStr">
        <is>
          <t>Wedding</t>
        </is>
      </c>
      <c r="F2463" s="4" t="inlineStr">
        <is>
          <t>Catering</t>
        </is>
      </c>
      <c r="G2463" s="4" t="inlineStr">
        <is>
          <t>Expense</t>
        </is>
      </c>
      <c r="H2463" s="12" t="n">
        <v>46083</v>
      </c>
      <c r="I2463" s="13" t="n">
        <v>0.0484837962962963</v>
      </c>
      <c r="J2463" s="14" t="n">
        <v>46083.04848379629</v>
      </c>
      <c r="K2463" s="15" t="n">
        <v>23670.62</v>
      </c>
      <c r="L2463" s="4" t="inlineStr">
        <is>
          <t>INR</t>
        </is>
      </c>
      <c r="M2463" s="15" t="n">
        <v>-23670.62</v>
      </c>
      <c r="N2463" s="4" t="inlineStr">
        <is>
          <t>IOS Aarav</t>
        </is>
      </c>
      <c r="O2463" s="4" t="n">
        <v>3</v>
      </c>
      <c r="P2463" s="4" t="inlineStr">
        <is>
          <t>EQUAL</t>
        </is>
      </c>
      <c r="Q2463" s="4" t="inlineStr">
        <is>
          <t>MAESTRO-IOS-GROUP-WEDDING-2462 | Catering | 23670.62</t>
        </is>
      </c>
      <c r="R2463" s="4" t="inlineStr">
        <is>
          <t>iPhone</t>
        </is>
      </c>
      <c r="S2463" s="4" t="inlineStr">
        <is>
          <t>B50</t>
        </is>
      </c>
      <c r="T2463" s="4" t="inlineStr">
        <is>
          <t>RAMP_1501_2500</t>
        </is>
      </c>
      <c r="U2463" s="4" t="inlineStr">
        <is>
          <t>CREATED</t>
        </is>
      </c>
      <c r="V2463" s="4" t="inlineStr">
        <is>
          <t>idem-20260902-ios-2462</t>
        </is>
      </c>
    </row>
    <row r="2464" ht="30" customHeight="1">
      <c r="A2464" s="4" t="n">
        <v>2463</v>
      </c>
      <c r="B2464" s="4" t="inlineStr">
        <is>
          <t>MTR-IOS-2463</t>
        </is>
      </c>
      <c r="C2464" s="4" t="inlineStr">
        <is>
          <t>Business</t>
        </is>
      </c>
      <c r="D2464" s="4" t="inlineStr">
        <is>
          <t>Business</t>
        </is>
      </c>
      <c r="E2464" s="4" t="inlineStr">
        <is>
          <t>Team Operations</t>
        </is>
      </c>
      <c r="F2464" s="4" t="inlineStr">
        <is>
          <t>Contractor</t>
        </is>
      </c>
      <c r="G2464" s="4" t="inlineStr">
        <is>
          <t>Expense</t>
        </is>
      </c>
      <c r="H2464" s="12" t="n">
        <v>46076</v>
      </c>
      <c r="I2464" s="13" t="n">
        <v>0.4441435185185185</v>
      </c>
      <c r="J2464" s="14" t="n">
        <v>46076.44414351852</v>
      </c>
      <c r="K2464" s="15" t="n">
        <v>44949.52</v>
      </c>
      <c r="L2464" s="4" t="inlineStr">
        <is>
          <t>INR</t>
        </is>
      </c>
      <c r="M2464" s="15" t="n">
        <v>-44949.52</v>
      </c>
      <c r="N2464" s="4" t="inlineStr">
        <is>
          <t>IOS Owner</t>
        </is>
      </c>
      <c r="O2464" s="4" t="n"/>
      <c r="P2464" s="4" t="n"/>
      <c r="Q2464" s="4" t="inlineStr">
        <is>
          <t>MAESTRO-IOS-BUSINESS-TEAM_OPERATIONS-2463 | Contractor | 44949.52</t>
        </is>
      </c>
      <c r="R2464" s="4" t="inlineStr">
        <is>
          <t>iPhone</t>
        </is>
      </c>
      <c r="S2464" s="4" t="inlineStr">
        <is>
          <t>B50</t>
        </is>
      </c>
      <c r="T2464" s="4" t="inlineStr">
        <is>
          <t>RAMP_1501_2500</t>
        </is>
      </c>
      <c r="U2464" s="4" t="inlineStr">
        <is>
          <t>CREATED</t>
        </is>
      </c>
      <c r="V2464" s="4" t="inlineStr">
        <is>
          <t>idem-20260902-ios-2463</t>
        </is>
      </c>
    </row>
    <row r="2465" ht="30" customHeight="1">
      <c r="A2465" s="4" t="n">
        <v>2464</v>
      </c>
      <c r="B2465" s="4" t="inlineStr">
        <is>
          <t>MTR-IOS-2464</t>
        </is>
      </c>
      <c r="C2465" s="4" t="inlineStr">
        <is>
          <t>Personal</t>
        </is>
      </c>
      <c r="D2465" s="4" t="inlineStr">
        <is>
          <t>Personal</t>
        </is>
      </c>
      <c r="E2465" s="4" t="inlineStr">
        <is>
          <t>Lifestyle</t>
        </is>
      </c>
      <c r="F2465" s="4" t="inlineStr">
        <is>
          <t>Fitness</t>
        </is>
      </c>
      <c r="G2465" s="4" t="inlineStr">
        <is>
          <t>Expense</t>
        </is>
      </c>
      <c r="H2465" s="12" t="n">
        <v>46149</v>
      </c>
      <c r="I2465" s="13" t="n">
        <v>0.03695601851851852</v>
      </c>
      <c r="J2465" s="14" t="n">
        <v>46149.03695601852</v>
      </c>
      <c r="K2465" s="15" t="n">
        <v>13302.54</v>
      </c>
      <c r="L2465" s="4" t="inlineStr">
        <is>
          <t>INR</t>
        </is>
      </c>
      <c r="M2465" s="15" t="n">
        <v>-13302.54</v>
      </c>
      <c r="N2465" s="4" t="inlineStr">
        <is>
          <t>IOS Owner</t>
        </is>
      </c>
      <c r="O2465" s="4" t="n"/>
      <c r="P2465" s="4" t="n"/>
      <c r="Q2465" s="4" t="inlineStr">
        <is>
          <t>MAESTRO-IOS-PERSONAL-LIFESTYLE-2464 | Fitness | 13302.54</t>
        </is>
      </c>
      <c r="R2465" s="4" t="inlineStr">
        <is>
          <t>iPhone</t>
        </is>
      </c>
      <c r="S2465" s="4" t="inlineStr">
        <is>
          <t>B50</t>
        </is>
      </c>
      <c r="T2465" s="4" t="inlineStr">
        <is>
          <t>RAMP_1501_2500</t>
        </is>
      </c>
      <c r="U2465" s="4" t="inlineStr">
        <is>
          <t>CREATED</t>
        </is>
      </c>
      <c r="V2465" s="4" t="inlineStr">
        <is>
          <t>idem-20260902-ios-2464</t>
        </is>
      </c>
    </row>
    <row r="2466" ht="30" customHeight="1">
      <c r="A2466" s="4" t="n">
        <v>2465</v>
      </c>
      <c r="B2466" s="4" t="inlineStr">
        <is>
          <t>MTR-IOS-2465</t>
        </is>
      </c>
      <c r="C2466" s="4" t="inlineStr">
        <is>
          <t>Group</t>
        </is>
      </c>
      <c r="D2466" s="4" t="inlineStr">
        <is>
          <t>Shared Experience</t>
        </is>
      </c>
      <c r="E2466" s="4" t="inlineStr">
        <is>
          <t>Wedding</t>
        </is>
      </c>
      <c r="F2466" s="4" t="inlineStr">
        <is>
          <t>Decor</t>
        </is>
      </c>
      <c r="G2466" s="4" t="inlineStr">
        <is>
          <t>Expense</t>
        </is>
      </c>
      <c r="H2466" s="12" t="n">
        <v>45963</v>
      </c>
      <c r="I2466" s="13" t="n">
        <v>0.4062962962962963</v>
      </c>
      <c r="J2466" s="14" t="n">
        <v>45963.4062962963</v>
      </c>
      <c r="K2466" s="15" t="n">
        <v>959.6900000000001</v>
      </c>
      <c r="L2466" s="4" t="inlineStr">
        <is>
          <t>INR</t>
        </is>
      </c>
      <c r="M2466" s="15" t="n">
        <v>-959.6900000000001</v>
      </c>
      <c r="N2466" s="4" t="inlineStr">
        <is>
          <t>IOS Meera</t>
        </is>
      </c>
      <c r="O2466" s="4" t="n">
        <v>3</v>
      </c>
      <c r="P2466" s="4" t="inlineStr">
        <is>
          <t>PERCENTAGE</t>
        </is>
      </c>
      <c r="Q2466" s="4" t="inlineStr">
        <is>
          <t>MAESTRO-IOS-GROUP-WEDDING-2465 | Decor | 959.69</t>
        </is>
      </c>
      <c r="R2466" s="4" t="inlineStr">
        <is>
          <t>iPhone</t>
        </is>
      </c>
      <c r="S2466" s="4" t="inlineStr">
        <is>
          <t>B50</t>
        </is>
      </c>
      <c r="T2466" s="4" t="inlineStr">
        <is>
          <t>RAMP_1501_2500</t>
        </is>
      </c>
      <c r="U2466" s="4" t="inlineStr">
        <is>
          <t>CREATED</t>
        </is>
      </c>
      <c r="V2466" s="4" t="inlineStr">
        <is>
          <t>idem-20260902-ios-2465</t>
        </is>
      </c>
    </row>
    <row r="2467" ht="30" customHeight="1">
      <c r="A2467" s="4" t="n">
        <v>2466</v>
      </c>
      <c r="B2467" s="4" t="inlineStr">
        <is>
          <t>MTR-IOS-2466</t>
        </is>
      </c>
      <c r="C2467" s="4" t="inlineStr">
        <is>
          <t>Business</t>
        </is>
      </c>
      <c r="D2467" s="4" t="inlineStr">
        <is>
          <t>Business</t>
        </is>
      </c>
      <c r="E2467" s="4" t="inlineStr">
        <is>
          <t>Team Operations</t>
        </is>
      </c>
      <c r="F2467" s="4" t="inlineStr">
        <is>
          <t>Hiring</t>
        </is>
      </c>
      <c r="G2467" s="4" t="inlineStr">
        <is>
          <t>Expense</t>
        </is>
      </c>
      <c r="H2467" s="12" t="n">
        <v>46248</v>
      </c>
      <c r="I2467" s="13" t="n">
        <v>0.5079629629629629</v>
      </c>
      <c r="J2467" s="14" t="n">
        <v>46248.50796296296</v>
      </c>
      <c r="K2467" s="15" t="n">
        <v>86784.22</v>
      </c>
      <c r="L2467" s="4" t="inlineStr">
        <is>
          <t>INR</t>
        </is>
      </c>
      <c r="M2467" s="15" t="n">
        <v>-86784.22</v>
      </c>
      <c r="N2467" s="4" t="inlineStr">
        <is>
          <t>IOS Owner</t>
        </is>
      </c>
      <c r="O2467" s="4" t="n"/>
      <c r="P2467" s="4" t="n"/>
      <c r="Q2467" s="4" t="inlineStr">
        <is>
          <t>MAESTRO-IOS-BUSINESS-TEAM_OPERATIONS-2466 | Hiring | 86784.22</t>
        </is>
      </c>
      <c r="R2467" s="4" t="inlineStr">
        <is>
          <t>iPhone</t>
        </is>
      </c>
      <c r="S2467" s="4" t="inlineStr">
        <is>
          <t>B50</t>
        </is>
      </c>
      <c r="T2467" s="4" t="inlineStr">
        <is>
          <t>RAMP_1501_2500</t>
        </is>
      </c>
      <c r="U2467" s="4" t="inlineStr">
        <is>
          <t>CREATED</t>
        </is>
      </c>
      <c r="V2467" s="4" t="inlineStr">
        <is>
          <t>idem-20260902-ios-2466</t>
        </is>
      </c>
    </row>
    <row r="2468" ht="30" customHeight="1">
      <c r="A2468" s="4" t="n">
        <v>2467</v>
      </c>
      <c r="B2468" s="4" t="inlineStr">
        <is>
          <t>MTR-IOS-2467</t>
        </is>
      </c>
      <c r="C2468" s="4" t="inlineStr">
        <is>
          <t>Personal</t>
        </is>
      </c>
      <c r="D2468" s="4" t="inlineStr">
        <is>
          <t>Personal</t>
        </is>
      </c>
      <c r="E2468" s="4" t="inlineStr">
        <is>
          <t>Lifestyle</t>
        </is>
      </c>
      <c r="F2468" s="4" t="inlineStr">
        <is>
          <t>Hobbies</t>
        </is>
      </c>
      <c r="G2468" s="4" t="inlineStr">
        <is>
          <t>Expense</t>
        </is>
      </c>
      <c r="H2468" s="12" t="n">
        <v>46208</v>
      </c>
      <c r="I2468" s="13" t="n">
        <v>0.5873379629629629</v>
      </c>
      <c r="J2468" s="14" t="n">
        <v>46208.58733796296</v>
      </c>
      <c r="K2468" s="15" t="n">
        <v>3212.44</v>
      </c>
      <c r="L2468" s="4" t="inlineStr">
        <is>
          <t>INR</t>
        </is>
      </c>
      <c r="M2468" s="15" t="n">
        <v>-3212.44</v>
      </c>
      <c r="N2468" s="4" t="inlineStr">
        <is>
          <t>IOS Owner</t>
        </is>
      </c>
      <c r="O2468" s="4" t="n"/>
      <c r="P2468" s="4" t="n"/>
      <c r="Q2468" s="4" t="inlineStr">
        <is>
          <t>MAESTRO-IOS-PERSONAL-LIFESTYLE-2467 | Hobbies | 3212.44</t>
        </is>
      </c>
      <c r="R2468" s="4" t="inlineStr">
        <is>
          <t>iPhone</t>
        </is>
      </c>
      <c r="S2468" s="4" t="inlineStr">
        <is>
          <t>B50</t>
        </is>
      </c>
      <c r="T2468" s="4" t="inlineStr">
        <is>
          <t>RAMP_1501_2500</t>
        </is>
      </c>
      <c r="U2468" s="4" t="inlineStr">
        <is>
          <t>CREATED</t>
        </is>
      </c>
      <c r="V2468" s="4" t="inlineStr">
        <is>
          <t>idem-20260902-ios-2467</t>
        </is>
      </c>
    </row>
    <row r="2469" ht="30" customHeight="1">
      <c r="A2469" s="4" t="n">
        <v>2468</v>
      </c>
      <c r="B2469" s="4" t="inlineStr">
        <is>
          <t>MTR-IOS-2468</t>
        </is>
      </c>
      <c r="C2469" s="4" t="inlineStr">
        <is>
          <t>Group</t>
        </is>
      </c>
      <c r="D2469" s="4" t="inlineStr">
        <is>
          <t>Shared Experience</t>
        </is>
      </c>
      <c r="E2469" s="4" t="inlineStr">
        <is>
          <t>Wedding</t>
        </is>
      </c>
      <c r="F2469" s="4" t="inlineStr">
        <is>
          <t>Travel</t>
        </is>
      </c>
      <c r="G2469" s="4" t="inlineStr">
        <is>
          <t>Expense</t>
        </is>
      </c>
      <c r="H2469" s="12" t="n">
        <v>45960</v>
      </c>
      <c r="I2469" s="13" t="n">
        <v>0.784525462962963</v>
      </c>
      <c r="J2469" s="14" t="n">
        <v>45960.78452546296</v>
      </c>
      <c r="K2469" s="15" t="n">
        <v>19887.6</v>
      </c>
      <c r="L2469" s="4" t="inlineStr">
        <is>
          <t>INR</t>
        </is>
      </c>
      <c r="M2469" s="15" t="n">
        <v>-19887.6</v>
      </c>
      <c r="N2469" s="4" t="inlineStr">
        <is>
          <t>IOS Owner</t>
        </is>
      </c>
      <c r="O2469" s="4" t="n">
        <v>3</v>
      </c>
      <c r="P2469" s="4" t="inlineStr">
        <is>
          <t>EXACT</t>
        </is>
      </c>
      <c r="Q2469" s="4" t="inlineStr">
        <is>
          <t>MAESTRO-IOS-GROUP-WEDDING-2468 | Travel | 19887.60</t>
        </is>
      </c>
      <c r="R2469" s="4" t="inlineStr">
        <is>
          <t>iPhone</t>
        </is>
      </c>
      <c r="S2469" s="4" t="inlineStr">
        <is>
          <t>B50</t>
        </is>
      </c>
      <c r="T2469" s="4" t="inlineStr">
        <is>
          <t>RAMP_1501_2500</t>
        </is>
      </c>
      <c r="U2469" s="4" t="inlineStr">
        <is>
          <t>CREATED</t>
        </is>
      </c>
      <c r="V2469" s="4" t="inlineStr">
        <is>
          <t>idem-20260902-ios-2468</t>
        </is>
      </c>
    </row>
    <row r="2470" ht="30" customHeight="1">
      <c r="A2470" s="4" t="n">
        <v>2469</v>
      </c>
      <c r="B2470" s="4" t="inlineStr">
        <is>
          <t>MTR-IOS-2469</t>
        </is>
      </c>
      <c r="C2470" s="4" t="inlineStr">
        <is>
          <t>Business</t>
        </is>
      </c>
      <c r="D2470" s="4" t="inlineStr">
        <is>
          <t>Business</t>
        </is>
      </c>
      <c r="E2470" s="4" t="inlineStr">
        <is>
          <t>Team Operations</t>
        </is>
      </c>
      <c r="F2470" s="4" t="inlineStr">
        <is>
          <t>Team Meal</t>
        </is>
      </c>
      <c r="G2470" s="4" t="inlineStr">
        <is>
          <t>Expense</t>
        </is>
      </c>
      <c r="H2470" s="12" t="n">
        <v>46015</v>
      </c>
      <c r="I2470" s="13" t="n">
        <v>0.6826157407407407</v>
      </c>
      <c r="J2470" s="14" t="n">
        <v>46015.68261574074</v>
      </c>
      <c r="K2470" s="15" t="n">
        <v>76770.17</v>
      </c>
      <c r="L2470" s="4" t="inlineStr">
        <is>
          <t>INR</t>
        </is>
      </c>
      <c r="M2470" s="15" t="n">
        <v>-76770.17</v>
      </c>
      <c r="N2470" s="4" t="inlineStr">
        <is>
          <t>IOS Owner</t>
        </is>
      </c>
      <c r="O2470" s="4" t="n"/>
      <c r="P2470" s="4" t="n"/>
      <c r="Q2470" s="4" t="inlineStr">
        <is>
          <t>MAESTRO-IOS-BUSINESS-TEAM_OPERATIONS-2469 | Team Meal | 76770.17</t>
        </is>
      </c>
      <c r="R2470" s="4" t="inlineStr">
        <is>
          <t>iPhone</t>
        </is>
      </c>
      <c r="S2470" s="4" t="inlineStr">
        <is>
          <t>B50</t>
        </is>
      </c>
      <c r="T2470" s="4" t="inlineStr">
        <is>
          <t>RAMP_1501_2500</t>
        </is>
      </c>
      <c r="U2470" s="4" t="inlineStr">
        <is>
          <t>CREATED</t>
        </is>
      </c>
      <c r="V2470" s="4" t="inlineStr">
        <is>
          <t>idem-20260902-ios-2469</t>
        </is>
      </c>
    </row>
    <row r="2471" ht="30" customHeight="1">
      <c r="A2471" s="4" t="n">
        <v>2470</v>
      </c>
      <c r="B2471" s="4" t="inlineStr">
        <is>
          <t>MTR-IOS-2470</t>
        </is>
      </c>
      <c r="C2471" s="4" t="inlineStr">
        <is>
          <t>Personal</t>
        </is>
      </c>
      <c r="D2471" s="4" t="inlineStr">
        <is>
          <t>Personal</t>
        </is>
      </c>
      <c r="E2471" s="4" t="inlineStr">
        <is>
          <t>Relationships</t>
        </is>
      </c>
      <c r="F2471" s="4" t="inlineStr">
        <is>
          <t>Gifts</t>
        </is>
      </c>
      <c r="G2471" s="4" t="inlineStr">
        <is>
          <t>Expense</t>
        </is>
      </c>
      <c r="H2471" s="12" t="n">
        <v>45977</v>
      </c>
      <c r="I2471" s="13" t="n">
        <v>0.8836111111111111</v>
      </c>
      <c r="J2471" s="14" t="n">
        <v>45977.88361111111</v>
      </c>
      <c r="K2471" s="15" t="n">
        <v>12076.9</v>
      </c>
      <c r="L2471" s="4" t="inlineStr">
        <is>
          <t>INR</t>
        </is>
      </c>
      <c r="M2471" s="15" t="n">
        <v>-12076.9</v>
      </c>
      <c r="N2471" s="4" t="inlineStr">
        <is>
          <t>IOS Owner</t>
        </is>
      </c>
      <c r="O2471" s="4" t="n"/>
      <c r="P2471" s="4" t="n"/>
      <c r="Q2471" s="4" t="inlineStr">
        <is>
          <t>MAESTRO-IOS-PERSONAL-RELATIONSHIPS-2470 | Gifts | 12076.90</t>
        </is>
      </c>
      <c r="R2471" s="4" t="inlineStr">
        <is>
          <t>iPhone</t>
        </is>
      </c>
      <c r="S2471" s="4" t="inlineStr">
        <is>
          <t>B50</t>
        </is>
      </c>
      <c r="T2471" s="4" t="inlineStr">
        <is>
          <t>RAMP_1501_2500</t>
        </is>
      </c>
      <c r="U2471" s="4" t="inlineStr">
        <is>
          <t>CREATED</t>
        </is>
      </c>
      <c r="V2471" s="4" t="inlineStr">
        <is>
          <t>idem-20260902-ios-2470</t>
        </is>
      </c>
    </row>
    <row r="2472" ht="30" customHeight="1">
      <c r="A2472" s="4" t="n">
        <v>2471</v>
      </c>
      <c r="B2472" s="4" t="inlineStr">
        <is>
          <t>MTR-IOS-2471</t>
        </is>
      </c>
      <c r="C2472" s="4" t="inlineStr">
        <is>
          <t>Group</t>
        </is>
      </c>
      <c r="D2472" s="4" t="inlineStr">
        <is>
          <t>Shared Experience</t>
        </is>
      </c>
      <c r="E2472" s="4" t="inlineStr">
        <is>
          <t>Wedding</t>
        </is>
      </c>
      <c r="F2472" s="4" t="inlineStr">
        <is>
          <t>Gifts</t>
        </is>
      </c>
      <c r="G2472" s="4" t="inlineStr">
        <is>
          <t>Expense</t>
        </is>
      </c>
      <c r="H2472" s="12" t="n">
        <v>46047</v>
      </c>
      <c r="I2472" s="13" t="n">
        <v>0.03121527777777778</v>
      </c>
      <c r="J2472" s="14" t="n">
        <v>46047.03121527778</v>
      </c>
      <c r="K2472" s="15" t="n">
        <v>17859.72</v>
      </c>
      <c r="L2472" s="4" t="inlineStr">
        <is>
          <t>INR</t>
        </is>
      </c>
      <c r="M2472" s="15" t="n">
        <v>-17859.72</v>
      </c>
      <c r="N2472" s="4" t="inlineStr">
        <is>
          <t>IOS Aarav</t>
        </is>
      </c>
      <c r="O2472" s="4" t="n">
        <v>3</v>
      </c>
      <c r="P2472" s="4" t="inlineStr">
        <is>
          <t>SHARES</t>
        </is>
      </c>
      <c r="Q2472" s="4" t="inlineStr">
        <is>
          <t>MAESTRO-IOS-GROUP-WEDDING-2471 | Gifts | 17859.72</t>
        </is>
      </c>
      <c r="R2472" s="4" t="inlineStr">
        <is>
          <t>iPhone</t>
        </is>
      </c>
      <c r="S2472" s="4" t="inlineStr">
        <is>
          <t>B50</t>
        </is>
      </c>
      <c r="T2472" s="4" t="inlineStr">
        <is>
          <t>RAMP_1501_2500</t>
        </is>
      </c>
      <c r="U2472" s="4" t="inlineStr">
        <is>
          <t>CREATED</t>
        </is>
      </c>
      <c r="V2472" s="4" t="inlineStr">
        <is>
          <t>idem-20260902-ios-2471</t>
        </is>
      </c>
    </row>
    <row r="2473" ht="30" customHeight="1">
      <c r="A2473" s="4" t="n">
        <v>2472</v>
      </c>
      <c r="B2473" s="4" t="inlineStr">
        <is>
          <t>MTR-IOS-2472</t>
        </is>
      </c>
      <c r="C2473" s="4" t="inlineStr">
        <is>
          <t>Business</t>
        </is>
      </c>
      <c r="D2473" s="4" t="inlineStr">
        <is>
          <t>Business</t>
        </is>
      </c>
      <c r="E2473" s="4" t="inlineStr">
        <is>
          <t>Team Operations</t>
        </is>
      </c>
      <c r="F2473" s="4" t="inlineStr">
        <is>
          <t>Travel</t>
        </is>
      </c>
      <c r="G2473" s="4" t="inlineStr">
        <is>
          <t>Expense</t>
        </is>
      </c>
      <c r="H2473" s="12" t="n">
        <v>46184</v>
      </c>
      <c r="I2473" s="13" t="n">
        <v>0.6791782407407407</v>
      </c>
      <c r="J2473" s="14" t="n">
        <v>46184.67917824074</v>
      </c>
      <c r="K2473" s="15" t="n">
        <v>49439.08</v>
      </c>
      <c r="L2473" s="4" t="inlineStr">
        <is>
          <t>INR</t>
        </is>
      </c>
      <c r="M2473" s="15" t="n">
        <v>-49439.08</v>
      </c>
      <c r="N2473" s="4" t="inlineStr">
        <is>
          <t>IOS Owner</t>
        </is>
      </c>
      <c r="O2473" s="4" t="n"/>
      <c r="P2473" s="4" t="n"/>
      <c r="Q2473" s="4" t="inlineStr">
        <is>
          <t>MAESTRO-IOS-BUSINESS-TEAM_OPERATIONS-2472 | Travel | 49439.08</t>
        </is>
      </c>
      <c r="R2473" s="4" t="inlineStr">
        <is>
          <t>iPhone</t>
        </is>
      </c>
      <c r="S2473" s="4" t="inlineStr">
        <is>
          <t>B50</t>
        </is>
      </c>
      <c r="T2473" s="4" t="inlineStr">
        <is>
          <t>RAMP_1501_2500</t>
        </is>
      </c>
      <c r="U2473" s="4" t="inlineStr">
        <is>
          <t>CREATED</t>
        </is>
      </c>
      <c r="V2473" s="4" t="inlineStr">
        <is>
          <t>idem-20260902-ios-2472</t>
        </is>
      </c>
    </row>
    <row r="2474" ht="30" customHeight="1">
      <c r="A2474" s="4" t="n">
        <v>2473</v>
      </c>
      <c r="B2474" s="4" t="inlineStr">
        <is>
          <t>MTR-IOS-2473</t>
        </is>
      </c>
      <c r="C2474" s="4" t="inlineStr">
        <is>
          <t>Personal</t>
        </is>
      </c>
      <c r="D2474" s="4" t="inlineStr">
        <is>
          <t>Personal</t>
        </is>
      </c>
      <c r="E2474" s="4" t="inlineStr">
        <is>
          <t>Relationships</t>
        </is>
      </c>
      <c r="F2474" s="4" t="inlineStr">
        <is>
          <t>Dates</t>
        </is>
      </c>
      <c r="G2474" s="4" t="inlineStr">
        <is>
          <t>Expense</t>
        </is>
      </c>
      <c r="H2474" s="12" t="n">
        <v>46092</v>
      </c>
      <c r="I2474" s="13" t="n">
        <v>0.633912037037037</v>
      </c>
      <c r="J2474" s="14" t="n">
        <v>46092.63391203704</v>
      </c>
      <c r="K2474" s="15" t="n">
        <v>13058.68</v>
      </c>
      <c r="L2474" s="4" t="inlineStr">
        <is>
          <t>INR</t>
        </is>
      </c>
      <c r="M2474" s="15" t="n">
        <v>-13058.68</v>
      </c>
      <c r="N2474" s="4" t="inlineStr">
        <is>
          <t>IOS Owner</t>
        </is>
      </c>
      <c r="O2474" s="4" t="n"/>
      <c r="P2474" s="4" t="n"/>
      <c r="Q2474" s="4" t="inlineStr">
        <is>
          <t>MAESTRO-IOS-PERSONAL-RELATIONSHIPS-2473 | Dates | 13058.68</t>
        </is>
      </c>
      <c r="R2474" s="4" t="inlineStr">
        <is>
          <t>iPhone</t>
        </is>
      </c>
      <c r="S2474" s="4" t="inlineStr">
        <is>
          <t>B50</t>
        </is>
      </c>
      <c r="T2474" s="4" t="inlineStr">
        <is>
          <t>RAMP_1501_2500</t>
        </is>
      </c>
      <c r="U2474" s="4" t="inlineStr">
        <is>
          <t>CREATED</t>
        </is>
      </c>
      <c r="V2474" s="4" t="inlineStr">
        <is>
          <t>idem-20260902-ios-2473</t>
        </is>
      </c>
    </row>
    <row r="2475" ht="30" customHeight="1">
      <c r="A2475" s="4" t="n">
        <v>2474</v>
      </c>
      <c r="B2475" s="4" t="inlineStr">
        <is>
          <t>MTR-IOS-2474</t>
        </is>
      </c>
      <c r="C2475" s="4" t="inlineStr">
        <is>
          <t>Group</t>
        </is>
      </c>
      <c r="D2475" s="4" t="inlineStr">
        <is>
          <t>Shared Experience</t>
        </is>
      </c>
      <c r="E2475" s="4" t="inlineStr">
        <is>
          <t>Wedding</t>
        </is>
      </c>
      <c r="F2475" s="4" t="inlineStr">
        <is>
          <t>Photography</t>
        </is>
      </c>
      <c r="G2475" s="4" t="inlineStr">
        <is>
          <t>Expense</t>
        </is>
      </c>
      <c r="H2475" s="12" t="n">
        <v>46105</v>
      </c>
      <c r="I2475" s="13" t="n">
        <v>0.001041666666666667</v>
      </c>
      <c r="J2475" s="14" t="n">
        <v>46105.00104166667</v>
      </c>
      <c r="K2475" s="15" t="n">
        <v>5752.63</v>
      </c>
      <c r="L2475" s="4" t="inlineStr">
        <is>
          <t>INR</t>
        </is>
      </c>
      <c r="M2475" s="15" t="n">
        <v>-5752.63</v>
      </c>
      <c r="N2475" s="4" t="inlineStr">
        <is>
          <t>IOS Meera</t>
        </is>
      </c>
      <c r="O2475" s="4" t="n">
        <v>3</v>
      </c>
      <c r="P2475" s="4" t="inlineStr">
        <is>
          <t>EQUAL</t>
        </is>
      </c>
      <c r="Q2475" s="4" t="inlineStr">
        <is>
          <t>MAESTRO-IOS-GROUP-WEDDING-2474 | Photography | 5752.63</t>
        </is>
      </c>
      <c r="R2475" s="4" t="inlineStr">
        <is>
          <t>iPhone</t>
        </is>
      </c>
      <c r="S2475" s="4" t="inlineStr">
        <is>
          <t>B50</t>
        </is>
      </c>
      <c r="T2475" s="4" t="inlineStr">
        <is>
          <t>RAMP_1501_2500</t>
        </is>
      </c>
      <c r="U2475" s="4" t="inlineStr">
        <is>
          <t>CREATED</t>
        </is>
      </c>
      <c r="V2475" s="4" t="inlineStr">
        <is>
          <t>idem-20260902-ios-2474</t>
        </is>
      </c>
    </row>
    <row r="2476" ht="30" customHeight="1">
      <c r="A2476" s="4" t="n">
        <v>2475</v>
      </c>
      <c r="B2476" s="4" t="inlineStr">
        <is>
          <t>MTR-IOS-2475</t>
        </is>
      </c>
      <c r="C2476" s="4" t="inlineStr">
        <is>
          <t>Business</t>
        </is>
      </c>
      <c r="D2476" s="4" t="inlineStr">
        <is>
          <t>Business</t>
        </is>
      </c>
      <c r="E2476" s="4" t="inlineStr">
        <is>
          <t>Team Operations</t>
        </is>
      </c>
      <c r="F2476" s="4" t="inlineStr">
        <is>
          <t>Training</t>
        </is>
      </c>
      <c r="G2476" s="4" t="inlineStr">
        <is>
          <t>Expense</t>
        </is>
      </c>
      <c r="H2476" s="12" t="n">
        <v>46028</v>
      </c>
      <c r="I2476" s="13" t="n">
        <v>0.4555787037037037</v>
      </c>
      <c r="J2476" s="14" t="n">
        <v>46028.4555787037</v>
      </c>
      <c r="K2476" s="15" t="n">
        <v>127653.14</v>
      </c>
      <c r="L2476" s="4" t="inlineStr">
        <is>
          <t>INR</t>
        </is>
      </c>
      <c r="M2476" s="15" t="n">
        <v>-127653.14</v>
      </c>
      <c r="N2476" s="4" t="inlineStr">
        <is>
          <t>IOS Owner</t>
        </is>
      </c>
      <c r="O2476" s="4" t="n"/>
      <c r="P2476" s="4" t="n"/>
      <c r="Q2476" s="4" t="inlineStr">
        <is>
          <t>MAESTRO-IOS-BUSINESS-TEAM_OPERATIONS-2475 | Training | 127653.14</t>
        </is>
      </c>
      <c r="R2476" s="4" t="inlineStr">
        <is>
          <t>iPhone</t>
        </is>
      </c>
      <c r="S2476" s="4" t="inlineStr">
        <is>
          <t>B50</t>
        </is>
      </c>
      <c r="T2476" s="4" t="inlineStr">
        <is>
          <t>RAMP_1501_2500</t>
        </is>
      </c>
      <c r="U2476" s="4" t="inlineStr">
        <is>
          <t>CREATED</t>
        </is>
      </c>
      <c r="V2476" s="4" t="inlineStr">
        <is>
          <t>idem-20260902-ios-2475</t>
        </is>
      </c>
    </row>
    <row r="2477" ht="30" customHeight="1">
      <c r="A2477" s="4" t="n">
        <v>2476</v>
      </c>
      <c r="B2477" s="4" t="inlineStr">
        <is>
          <t>MTR-IOS-2476</t>
        </is>
      </c>
      <c r="C2477" s="4" t="inlineStr">
        <is>
          <t>Personal</t>
        </is>
      </c>
      <c r="D2477" s="4" t="inlineStr">
        <is>
          <t>Personal</t>
        </is>
      </c>
      <c r="E2477" s="4" t="inlineStr">
        <is>
          <t>Relationships</t>
        </is>
      </c>
      <c r="F2477" s="4" t="inlineStr">
        <is>
          <t>Family</t>
        </is>
      </c>
      <c r="G2477" s="4" t="inlineStr">
        <is>
          <t>Expense</t>
        </is>
      </c>
      <c r="H2477" s="12" t="n">
        <v>46131</v>
      </c>
      <c r="I2477" s="13" t="n">
        <v>0.6483449074074074</v>
      </c>
      <c r="J2477" s="14" t="n">
        <v>46131.64834490741</v>
      </c>
      <c r="K2477" s="15" t="n">
        <v>4867.09</v>
      </c>
      <c r="L2477" s="4" t="inlineStr">
        <is>
          <t>INR</t>
        </is>
      </c>
      <c r="M2477" s="15" t="n">
        <v>-4867.09</v>
      </c>
      <c r="N2477" s="4" t="inlineStr">
        <is>
          <t>IOS Owner</t>
        </is>
      </c>
      <c r="O2477" s="4" t="n"/>
      <c r="P2477" s="4" t="n"/>
      <c r="Q2477" s="4" t="inlineStr">
        <is>
          <t>MAESTRO-IOS-PERSONAL-RELATIONSHIPS-2476 | Family | 4867.09</t>
        </is>
      </c>
      <c r="R2477" s="4" t="inlineStr">
        <is>
          <t>iPhone</t>
        </is>
      </c>
      <c r="S2477" s="4" t="inlineStr">
        <is>
          <t>B50</t>
        </is>
      </c>
      <c r="T2477" s="4" t="inlineStr">
        <is>
          <t>RAMP_1501_2500</t>
        </is>
      </c>
      <c r="U2477" s="4" t="inlineStr">
        <is>
          <t>CREATED</t>
        </is>
      </c>
      <c r="V2477" s="4" t="inlineStr">
        <is>
          <t>idem-20260902-ios-2476</t>
        </is>
      </c>
    </row>
    <row r="2478" ht="30" customHeight="1">
      <c r="A2478" s="4" t="n">
        <v>2477</v>
      </c>
      <c r="B2478" s="4" t="inlineStr">
        <is>
          <t>MTR-IOS-2477</t>
        </is>
      </c>
      <c r="C2478" s="4" t="inlineStr">
        <is>
          <t>Group</t>
        </is>
      </c>
      <c r="D2478" s="4" t="inlineStr">
        <is>
          <t>Shared Experience</t>
        </is>
      </c>
      <c r="E2478" s="4" t="inlineStr">
        <is>
          <t>Wedding</t>
        </is>
      </c>
      <c r="F2478" s="4" t="inlineStr">
        <is>
          <t>Other</t>
        </is>
      </c>
      <c r="G2478" s="4" t="inlineStr">
        <is>
          <t>Expense</t>
        </is>
      </c>
      <c r="H2478" s="12" t="n">
        <v>46171</v>
      </c>
      <c r="I2478" s="13" t="n">
        <v>0.9246643518518518</v>
      </c>
      <c r="J2478" s="14" t="n">
        <v>46171.92466435185</v>
      </c>
      <c r="K2478" s="15" t="n">
        <v>654.03</v>
      </c>
      <c r="L2478" s="4" t="inlineStr">
        <is>
          <t>INR</t>
        </is>
      </c>
      <c r="M2478" s="15" t="n">
        <v>-654.03</v>
      </c>
      <c r="N2478" s="4" t="inlineStr">
        <is>
          <t>IOS Owner</t>
        </is>
      </c>
      <c r="O2478" s="4" t="n">
        <v>3</v>
      </c>
      <c r="P2478" s="4" t="inlineStr">
        <is>
          <t>PERCENTAGE</t>
        </is>
      </c>
      <c r="Q2478" s="4" t="inlineStr">
        <is>
          <t>MAESTRO-IOS-GROUP-WEDDING-2477 | Other | 654.03</t>
        </is>
      </c>
      <c r="R2478" s="4" t="inlineStr">
        <is>
          <t>iPhone</t>
        </is>
      </c>
      <c r="S2478" s="4" t="inlineStr">
        <is>
          <t>B50</t>
        </is>
      </c>
      <c r="T2478" s="4" t="inlineStr">
        <is>
          <t>RAMP_1501_2500</t>
        </is>
      </c>
      <c r="U2478" s="4" t="inlineStr">
        <is>
          <t>CREATED</t>
        </is>
      </c>
      <c r="V2478" s="4" t="inlineStr">
        <is>
          <t>idem-20260902-ios-2477</t>
        </is>
      </c>
    </row>
    <row r="2479" ht="30" customHeight="1">
      <c r="A2479" s="4" t="n">
        <v>2478</v>
      </c>
      <c r="B2479" s="4" t="inlineStr">
        <is>
          <t>MTR-IOS-2478</t>
        </is>
      </c>
      <c r="C2479" s="4" t="inlineStr">
        <is>
          <t>Business</t>
        </is>
      </c>
      <c r="D2479" s="4" t="inlineStr">
        <is>
          <t>Business</t>
        </is>
      </c>
      <c r="E2479" s="4" t="inlineStr">
        <is>
          <t>Team Operations</t>
        </is>
      </c>
      <c r="F2479" s="4" t="inlineStr">
        <is>
          <t>Tools</t>
        </is>
      </c>
      <c r="G2479" s="4" t="inlineStr">
        <is>
          <t>Expense</t>
        </is>
      </c>
      <c r="H2479" s="12" t="n">
        <v>45916</v>
      </c>
      <c r="I2479" s="13" t="n">
        <v>0.5241319444444444</v>
      </c>
      <c r="J2479" s="14" t="n">
        <v>45916.52413194445</v>
      </c>
      <c r="K2479" s="15" t="n">
        <v>91407.25999999999</v>
      </c>
      <c r="L2479" s="4" t="inlineStr">
        <is>
          <t>INR</t>
        </is>
      </c>
      <c r="M2479" s="15" t="n">
        <v>-91407.25999999999</v>
      </c>
      <c r="N2479" s="4" t="inlineStr">
        <is>
          <t>IOS Owner</t>
        </is>
      </c>
      <c r="O2479" s="4" t="n"/>
      <c r="P2479" s="4" t="n"/>
      <c r="Q2479" s="4" t="inlineStr">
        <is>
          <t>MAESTRO-IOS-BUSINESS-TEAM_OPERATIONS-2478 | Tools | 91407.26</t>
        </is>
      </c>
      <c r="R2479" s="4" t="inlineStr">
        <is>
          <t>iPhone</t>
        </is>
      </c>
      <c r="S2479" s="4" t="inlineStr">
        <is>
          <t>B50</t>
        </is>
      </c>
      <c r="T2479" s="4" t="inlineStr">
        <is>
          <t>RAMP_1501_2500</t>
        </is>
      </c>
      <c r="U2479" s="4" t="inlineStr">
        <is>
          <t>CREATED</t>
        </is>
      </c>
      <c r="V2479" s="4" t="inlineStr">
        <is>
          <t>idem-20260902-ios-2478</t>
        </is>
      </c>
    </row>
    <row r="2480" ht="30" customHeight="1">
      <c r="A2480" s="4" t="n">
        <v>2479</v>
      </c>
      <c r="B2480" s="4" t="inlineStr">
        <is>
          <t>MTR-IOS-2479</t>
        </is>
      </c>
      <c r="C2480" s="4" t="inlineStr">
        <is>
          <t>Personal</t>
        </is>
      </c>
      <c r="D2480" s="4" t="inlineStr">
        <is>
          <t>Personal</t>
        </is>
      </c>
      <c r="E2480" s="4" t="inlineStr">
        <is>
          <t>Relationships</t>
        </is>
      </c>
      <c r="F2480" s="4" t="inlineStr">
        <is>
          <t>Friends</t>
        </is>
      </c>
      <c r="G2480" s="4" t="inlineStr">
        <is>
          <t>Expense</t>
        </is>
      </c>
      <c r="H2480" s="12" t="n">
        <v>46097</v>
      </c>
      <c r="I2480" s="13" t="n">
        <v>0.2824652777777778</v>
      </c>
      <c r="J2480" s="14" t="n">
        <v>46097.28246527778</v>
      </c>
      <c r="K2480" s="15" t="n">
        <v>1</v>
      </c>
      <c r="L2480" s="4" t="inlineStr">
        <is>
          <t>INR</t>
        </is>
      </c>
      <c r="M2480" s="15" t="n">
        <v>-1</v>
      </c>
      <c r="N2480" s="4" t="inlineStr">
        <is>
          <t>IOS Owner</t>
        </is>
      </c>
      <c r="O2480" s="4" t="n"/>
      <c r="P2480" s="4" t="n"/>
      <c r="Q2480" s="4" t="inlineStr">
        <is>
          <t>MAESTRO-IOS-PERSONAL-RELATIONSHIPS-2479 | Friends | 1.00</t>
        </is>
      </c>
      <c r="R2480" s="4" t="inlineStr">
        <is>
          <t>iPhone</t>
        </is>
      </c>
      <c r="S2480" s="4" t="inlineStr">
        <is>
          <t>B50</t>
        </is>
      </c>
      <c r="T2480" s="4" t="inlineStr">
        <is>
          <t>RAMP_1501_2500</t>
        </is>
      </c>
      <c r="U2480" s="4" t="inlineStr">
        <is>
          <t>CREATED</t>
        </is>
      </c>
      <c r="V2480" s="4" t="inlineStr">
        <is>
          <t>idem-20260902-ios-2479</t>
        </is>
      </c>
    </row>
    <row r="2481" ht="30" customHeight="1">
      <c r="A2481" s="4" t="n">
        <v>2480</v>
      </c>
      <c r="B2481" s="4" t="inlineStr">
        <is>
          <t>MTR-IOS-2480</t>
        </is>
      </c>
      <c r="C2481" s="4" t="inlineStr">
        <is>
          <t>Group</t>
        </is>
      </c>
      <c r="D2481" s="4" t="inlineStr">
        <is>
          <t>Shared Experience</t>
        </is>
      </c>
      <c r="E2481" s="4" t="inlineStr">
        <is>
          <t>Office Outing</t>
        </is>
      </c>
      <c r="F2481" s="4" t="inlineStr">
        <is>
          <t>Food</t>
        </is>
      </c>
      <c r="G2481" s="4" t="inlineStr">
        <is>
          <t>Expense</t>
        </is>
      </c>
      <c r="H2481" s="12" t="n">
        <v>46145</v>
      </c>
      <c r="I2481" s="13" t="n">
        <v>0.6865277777777777</v>
      </c>
      <c r="J2481" s="14" t="n">
        <v>46145.68652777778</v>
      </c>
      <c r="K2481" s="15" t="n">
        <v>20006.86</v>
      </c>
      <c r="L2481" s="4" t="inlineStr">
        <is>
          <t>INR</t>
        </is>
      </c>
      <c r="M2481" s="15" t="n">
        <v>-20006.86</v>
      </c>
      <c r="N2481" s="4" t="inlineStr">
        <is>
          <t>IOS Aarav</t>
        </is>
      </c>
      <c r="O2481" s="4" t="n">
        <v>3</v>
      </c>
      <c r="P2481" s="4" t="inlineStr">
        <is>
          <t>EXACT</t>
        </is>
      </c>
      <c r="Q2481" s="4" t="inlineStr">
        <is>
          <t>MAESTRO-IOS-GROUP-OFFICE_OUTING-2480 | Food | 20006.86</t>
        </is>
      </c>
      <c r="R2481" s="4" t="inlineStr">
        <is>
          <t>iPhone</t>
        </is>
      </c>
      <c r="S2481" s="4" t="inlineStr">
        <is>
          <t>B50</t>
        </is>
      </c>
      <c r="T2481" s="4" t="inlineStr">
        <is>
          <t>RAMP_1501_2500</t>
        </is>
      </c>
      <c r="U2481" s="4" t="inlineStr">
        <is>
          <t>CREATED</t>
        </is>
      </c>
      <c r="V2481" s="4" t="inlineStr">
        <is>
          <t>idem-20260902-ios-2480</t>
        </is>
      </c>
    </row>
    <row r="2482" ht="30" customHeight="1">
      <c r="A2482" s="4" t="n">
        <v>2481</v>
      </c>
      <c r="B2482" s="4" t="inlineStr">
        <is>
          <t>MTR-IOS-2481</t>
        </is>
      </c>
      <c r="C2482" s="4" t="inlineStr">
        <is>
          <t>Business</t>
        </is>
      </c>
      <c r="D2482" s="4" t="inlineStr">
        <is>
          <t>Business</t>
        </is>
      </c>
      <c r="E2482" s="4" t="inlineStr">
        <is>
          <t>Business Runway</t>
        </is>
      </c>
      <c r="F2482" s="4" t="inlineStr">
        <is>
          <t>Funding</t>
        </is>
      </c>
      <c r="G2482" s="4" t="inlineStr">
        <is>
          <t>Income</t>
        </is>
      </c>
      <c r="H2482" s="12" t="n">
        <v>46079</v>
      </c>
      <c r="I2482" s="13" t="n">
        <v>0.3008333333333333</v>
      </c>
      <c r="J2482" s="14" t="n">
        <v>46079.30083333333</v>
      </c>
      <c r="K2482" s="15" t="n">
        <v>33787.9</v>
      </c>
      <c r="L2482" s="4" t="inlineStr">
        <is>
          <t>INR</t>
        </is>
      </c>
      <c r="M2482" s="15" t="n">
        <v>33787.9</v>
      </c>
      <c r="N2482" s="4" t="inlineStr">
        <is>
          <t>IOS Owner</t>
        </is>
      </c>
      <c r="O2482" s="4" t="n"/>
      <c r="P2482" s="4" t="n"/>
      <c r="Q2482" s="4" t="inlineStr">
        <is>
          <t>MAESTRO-IOS-BUSINESS-BUSINESS_RUNWAY-2481 | Funding | 33787.90</t>
        </is>
      </c>
      <c r="R2482" s="4" t="inlineStr">
        <is>
          <t>iPhone</t>
        </is>
      </c>
      <c r="S2482" s="4" t="inlineStr">
        <is>
          <t>B50</t>
        </is>
      </c>
      <c r="T2482" s="4" t="inlineStr">
        <is>
          <t>RAMP_1501_2500</t>
        </is>
      </c>
      <c r="U2482" s="4" t="inlineStr">
        <is>
          <t>CREATED</t>
        </is>
      </c>
      <c r="V2482" s="4" t="inlineStr">
        <is>
          <t>idem-20260902-ios-2481</t>
        </is>
      </c>
    </row>
    <row r="2483" ht="30" customHeight="1">
      <c r="A2483" s="4" t="n">
        <v>2482</v>
      </c>
      <c r="B2483" s="4" t="inlineStr">
        <is>
          <t>MTR-IOS-2482</t>
        </is>
      </c>
      <c r="C2483" s="4" t="inlineStr">
        <is>
          <t>Personal</t>
        </is>
      </c>
      <c r="D2483" s="4" t="inlineStr">
        <is>
          <t>Personal</t>
        </is>
      </c>
      <c r="E2483" s="4" t="inlineStr">
        <is>
          <t>Relationships</t>
        </is>
      </c>
      <c r="F2483" s="4" t="inlineStr">
        <is>
          <t>Celebrations</t>
        </is>
      </c>
      <c r="G2483" s="4" t="inlineStr">
        <is>
          <t>Expense</t>
        </is>
      </c>
      <c r="H2483" s="12" t="n">
        <v>46216</v>
      </c>
      <c r="I2483" s="13" t="n">
        <v>0.1961342592592593</v>
      </c>
      <c r="J2483" s="14" t="n">
        <v>46216.19613425926</v>
      </c>
      <c r="K2483" s="15" t="n">
        <v>3413.39</v>
      </c>
      <c r="L2483" s="4" t="inlineStr">
        <is>
          <t>INR</t>
        </is>
      </c>
      <c r="M2483" s="15" t="n">
        <v>-3413.39</v>
      </c>
      <c r="N2483" s="4" t="inlineStr">
        <is>
          <t>IOS Owner</t>
        </is>
      </c>
      <c r="O2483" s="4" t="n"/>
      <c r="P2483" s="4" t="n"/>
      <c r="Q2483" s="4" t="inlineStr">
        <is>
          <t>MAESTRO-IOS-PERSONAL-RELATIONSHIPS-2482 | Celebrations | 3413.39</t>
        </is>
      </c>
      <c r="R2483" s="4" t="inlineStr">
        <is>
          <t>iPhone</t>
        </is>
      </c>
      <c r="S2483" s="4" t="inlineStr">
        <is>
          <t>B50</t>
        </is>
      </c>
      <c r="T2483" s="4" t="inlineStr">
        <is>
          <t>RAMP_1501_2500</t>
        </is>
      </c>
      <c r="U2483" s="4" t="inlineStr">
        <is>
          <t>CREATED</t>
        </is>
      </c>
      <c r="V2483" s="4" t="inlineStr">
        <is>
          <t>idem-20260902-ios-2482</t>
        </is>
      </c>
    </row>
    <row r="2484" ht="30" customHeight="1">
      <c r="A2484" s="4" t="n">
        <v>2483</v>
      </c>
      <c r="B2484" s="4" t="inlineStr">
        <is>
          <t>MTR-IOS-2483</t>
        </is>
      </c>
      <c r="C2484" s="4" t="inlineStr">
        <is>
          <t>Group</t>
        </is>
      </c>
      <c r="D2484" s="4" t="inlineStr">
        <is>
          <t>Shared Experience</t>
        </is>
      </c>
      <c r="E2484" s="4" t="inlineStr">
        <is>
          <t>Office Outing</t>
        </is>
      </c>
      <c r="F2484" s="4" t="inlineStr">
        <is>
          <t>Travel</t>
        </is>
      </c>
      <c r="G2484" s="4" t="inlineStr">
        <is>
          <t>Expense</t>
        </is>
      </c>
      <c r="H2484" s="12" t="n">
        <v>46174</v>
      </c>
      <c r="I2484" s="13" t="n">
        <v>0.2330902777777778</v>
      </c>
      <c r="J2484" s="14" t="n">
        <v>46174.23309027778</v>
      </c>
      <c r="K2484" s="15" t="n">
        <v>26648.08</v>
      </c>
      <c r="L2484" s="4" t="inlineStr">
        <is>
          <t>INR</t>
        </is>
      </c>
      <c r="M2484" s="15" t="n">
        <v>-26648.08</v>
      </c>
      <c r="N2484" s="4" t="inlineStr">
        <is>
          <t>IOS Meera</t>
        </is>
      </c>
      <c r="O2484" s="4" t="n">
        <v>3</v>
      </c>
      <c r="P2484" s="4" t="inlineStr">
        <is>
          <t>SHARES</t>
        </is>
      </c>
      <c r="Q2484" s="4" t="inlineStr">
        <is>
          <t>MAESTRO-IOS-GROUP-OFFICE_OUTING-2483 | Travel | 26648.08</t>
        </is>
      </c>
      <c r="R2484" s="4" t="inlineStr">
        <is>
          <t>iPhone</t>
        </is>
      </c>
      <c r="S2484" s="4" t="inlineStr">
        <is>
          <t>B50</t>
        </is>
      </c>
      <c r="T2484" s="4" t="inlineStr">
        <is>
          <t>RAMP_1501_2500</t>
        </is>
      </c>
      <c r="U2484" s="4" t="inlineStr">
        <is>
          <t>CREATED</t>
        </is>
      </c>
      <c r="V2484" s="4" t="inlineStr">
        <is>
          <t>idem-20260902-ios-2483</t>
        </is>
      </c>
    </row>
    <row r="2485" ht="30" customHeight="1">
      <c r="A2485" s="4" t="n">
        <v>2484</v>
      </c>
      <c r="B2485" s="4" t="inlineStr">
        <is>
          <t>MTR-IOS-2484</t>
        </is>
      </c>
      <c r="C2485" s="4" t="inlineStr">
        <is>
          <t>Business</t>
        </is>
      </c>
      <c r="D2485" s="4" t="inlineStr">
        <is>
          <t>Business</t>
        </is>
      </c>
      <c r="E2485" s="4" t="inlineStr">
        <is>
          <t>Business Runway</t>
        </is>
      </c>
      <c r="F2485" s="4" t="inlineStr">
        <is>
          <t>Revenue</t>
        </is>
      </c>
      <c r="G2485" s="4" t="inlineStr">
        <is>
          <t>Income</t>
        </is>
      </c>
      <c r="H2485" s="12" t="n">
        <v>46168</v>
      </c>
      <c r="I2485" s="13" t="n">
        <v>0.1599074074074074</v>
      </c>
      <c r="J2485" s="14" t="n">
        <v>46168.1599074074</v>
      </c>
      <c r="K2485" s="15" t="n">
        <v>105984.88</v>
      </c>
      <c r="L2485" s="4" t="inlineStr">
        <is>
          <t>INR</t>
        </is>
      </c>
      <c r="M2485" s="15" t="n">
        <v>105984.88</v>
      </c>
      <c r="N2485" s="4" t="inlineStr">
        <is>
          <t>IOS Owner</t>
        </is>
      </c>
      <c r="O2485" s="4" t="n"/>
      <c r="P2485" s="4" t="n"/>
      <c r="Q2485" s="4" t="inlineStr">
        <is>
          <t>MAESTRO-IOS-BUSINESS-BUSINESS_RUNWAY-2484 | Revenue | 105984.88</t>
        </is>
      </c>
      <c r="R2485" s="4" t="inlineStr">
        <is>
          <t>iPhone</t>
        </is>
      </c>
      <c r="S2485" s="4" t="inlineStr">
        <is>
          <t>B50</t>
        </is>
      </c>
      <c r="T2485" s="4" t="inlineStr">
        <is>
          <t>RAMP_1501_2500</t>
        </is>
      </c>
      <c r="U2485" s="4" t="inlineStr">
        <is>
          <t>CREATED</t>
        </is>
      </c>
      <c r="V2485" s="4" t="inlineStr">
        <is>
          <t>idem-20260902-ios-2484</t>
        </is>
      </c>
    </row>
    <row r="2486" ht="30" customHeight="1">
      <c r="A2486" s="4" t="n">
        <v>2485</v>
      </c>
      <c r="B2486" s="4" t="inlineStr">
        <is>
          <t>MTR-IOS-2485</t>
        </is>
      </c>
      <c r="C2486" s="4" t="inlineStr">
        <is>
          <t>Personal</t>
        </is>
      </c>
      <c r="D2486" s="4" t="inlineStr">
        <is>
          <t>Personal</t>
        </is>
      </c>
      <c r="E2486" s="4" t="inlineStr">
        <is>
          <t>Life Operations</t>
        </is>
      </c>
      <c r="F2486" s="4" t="inlineStr">
        <is>
          <t>Groceries</t>
        </is>
      </c>
      <c r="G2486" s="4" t="inlineStr">
        <is>
          <t>Expense</t>
        </is>
      </c>
      <c r="H2486" s="12" t="n">
        <v>46244</v>
      </c>
      <c r="I2486" s="13" t="n">
        <v>0.4313541666666666</v>
      </c>
      <c r="J2486" s="14" t="n">
        <v>46244.43135416666</v>
      </c>
      <c r="K2486" s="15" t="n">
        <v>6330.15</v>
      </c>
      <c r="L2486" s="4" t="inlineStr">
        <is>
          <t>INR</t>
        </is>
      </c>
      <c r="M2486" s="15" t="n">
        <v>-6330.15</v>
      </c>
      <c r="N2486" s="4" t="inlineStr">
        <is>
          <t>IOS Owner</t>
        </is>
      </c>
      <c r="O2486" s="4" t="n"/>
      <c r="P2486" s="4" t="n"/>
      <c r="Q2486" s="4" t="inlineStr">
        <is>
          <t>MAESTRO-IOS-PERSONAL-LIFE_OPERATIONS-2485 | Groceries | 6330.15</t>
        </is>
      </c>
      <c r="R2486" s="4" t="inlineStr">
        <is>
          <t>iPhone</t>
        </is>
      </c>
      <c r="S2486" s="4" t="inlineStr">
        <is>
          <t>B50</t>
        </is>
      </c>
      <c r="T2486" s="4" t="inlineStr">
        <is>
          <t>RAMP_1501_2500</t>
        </is>
      </c>
      <c r="U2486" s="4" t="inlineStr">
        <is>
          <t>CREATED</t>
        </is>
      </c>
      <c r="V2486" s="4" t="inlineStr">
        <is>
          <t>idem-20260902-ios-2485</t>
        </is>
      </c>
    </row>
    <row r="2487" ht="30" customHeight="1">
      <c r="A2487" s="4" t="n">
        <v>2486</v>
      </c>
      <c r="B2487" s="4" t="inlineStr">
        <is>
          <t>MTR-IOS-2486</t>
        </is>
      </c>
      <c r="C2487" s="4" t="inlineStr">
        <is>
          <t>Group</t>
        </is>
      </c>
      <c r="D2487" s="4" t="inlineStr">
        <is>
          <t>Shared Experience</t>
        </is>
      </c>
      <c r="E2487" s="4" t="inlineStr">
        <is>
          <t>Office Outing</t>
        </is>
      </c>
      <c r="F2487" s="4" t="inlineStr">
        <is>
          <t>Activities</t>
        </is>
      </c>
      <c r="G2487" s="4" t="inlineStr">
        <is>
          <t>Expense</t>
        </is>
      </c>
      <c r="H2487" s="12" t="n">
        <v>45907</v>
      </c>
      <c r="I2487" s="13" t="n">
        <v>0.09635416666666667</v>
      </c>
      <c r="J2487" s="14" t="n">
        <v>45907.09635416666</v>
      </c>
      <c r="K2487" s="15" t="n">
        <v>362.11</v>
      </c>
      <c r="L2487" s="4" t="inlineStr">
        <is>
          <t>INR</t>
        </is>
      </c>
      <c r="M2487" s="15" t="n">
        <v>-362.11</v>
      </c>
      <c r="N2487" s="4" t="inlineStr">
        <is>
          <t>IOS Owner</t>
        </is>
      </c>
      <c r="O2487" s="4" t="n">
        <v>3</v>
      </c>
      <c r="P2487" s="4" t="inlineStr">
        <is>
          <t>EQUAL</t>
        </is>
      </c>
      <c r="Q2487" s="4" t="inlineStr">
        <is>
          <t>MAESTRO-IOS-GROUP-OFFICE_OUTING-2486 | Activities | 362.11</t>
        </is>
      </c>
      <c r="R2487" s="4" t="inlineStr">
        <is>
          <t>iPhone</t>
        </is>
      </c>
      <c r="S2487" s="4" t="inlineStr">
        <is>
          <t>B50</t>
        </is>
      </c>
      <c r="T2487" s="4" t="inlineStr">
        <is>
          <t>RAMP_1501_2500</t>
        </is>
      </c>
      <c r="U2487" s="4" t="inlineStr">
        <is>
          <t>CREATED</t>
        </is>
      </c>
      <c r="V2487" s="4" t="inlineStr">
        <is>
          <t>idem-20260902-ios-2486</t>
        </is>
      </c>
    </row>
    <row r="2488" ht="30" customHeight="1">
      <c r="A2488" s="4" t="n">
        <v>2487</v>
      </c>
      <c r="B2488" s="4" t="inlineStr">
        <is>
          <t>MTR-IOS-2487</t>
        </is>
      </c>
      <c r="C2488" s="4" t="inlineStr">
        <is>
          <t>Business</t>
        </is>
      </c>
      <c r="D2488" s="4" t="inlineStr">
        <is>
          <t>Business</t>
        </is>
      </c>
      <c r="E2488" s="4" t="inlineStr">
        <is>
          <t>Business Runway</t>
        </is>
      </c>
      <c r="F2488" s="4" t="inlineStr">
        <is>
          <t>Burn</t>
        </is>
      </c>
      <c r="G2488" s="4" t="inlineStr">
        <is>
          <t>Expense</t>
        </is>
      </c>
      <c r="H2488" s="12" t="n">
        <v>46000</v>
      </c>
      <c r="I2488" s="13" t="n">
        <v>0.5061921296296297</v>
      </c>
      <c r="J2488" s="14" t="n">
        <v>46000.50619212963</v>
      </c>
      <c r="K2488" s="15" t="n">
        <v>90636.59</v>
      </c>
      <c r="L2488" s="4" t="inlineStr">
        <is>
          <t>INR</t>
        </is>
      </c>
      <c r="M2488" s="15" t="n">
        <v>-90636.59</v>
      </c>
      <c r="N2488" s="4" t="inlineStr">
        <is>
          <t>IOS Owner</t>
        </is>
      </c>
      <c r="O2488" s="4" t="n"/>
      <c r="P2488" s="4" t="n"/>
      <c r="Q2488" s="4" t="inlineStr">
        <is>
          <t>MAESTRO-IOS-BUSINESS-BUSINESS_RUNWAY-2487 | Burn | 90636.59</t>
        </is>
      </c>
      <c r="R2488" s="4" t="inlineStr">
        <is>
          <t>iPhone</t>
        </is>
      </c>
      <c r="S2488" s="4" t="inlineStr">
        <is>
          <t>B50</t>
        </is>
      </c>
      <c r="T2488" s="4" t="inlineStr">
        <is>
          <t>RAMP_1501_2500</t>
        </is>
      </c>
      <c r="U2488" s="4" t="inlineStr">
        <is>
          <t>CREATED</t>
        </is>
      </c>
      <c r="V2488" s="4" t="inlineStr">
        <is>
          <t>idem-20260902-ios-2487</t>
        </is>
      </c>
    </row>
    <row r="2489" ht="30" customHeight="1">
      <c r="A2489" s="4" t="n">
        <v>2488</v>
      </c>
      <c r="B2489" s="4" t="inlineStr">
        <is>
          <t>MTR-IOS-2488</t>
        </is>
      </c>
      <c r="C2489" s="4" t="inlineStr">
        <is>
          <t>Personal</t>
        </is>
      </c>
      <c r="D2489" s="4" t="inlineStr">
        <is>
          <t>Personal</t>
        </is>
      </c>
      <c r="E2489" s="4" t="inlineStr">
        <is>
          <t>Life Operations</t>
        </is>
      </c>
      <c r="F2489" s="4" t="inlineStr">
        <is>
          <t>Rent</t>
        </is>
      </c>
      <c r="G2489" s="4" t="inlineStr">
        <is>
          <t>Expense</t>
        </is>
      </c>
      <c r="H2489" s="12" t="n">
        <v>45945</v>
      </c>
      <c r="I2489" s="13" t="n">
        <v>0.9159606481481481</v>
      </c>
      <c r="J2489" s="14" t="n">
        <v>45945.91596064815</v>
      </c>
      <c r="K2489" s="15" t="n">
        <v>16343.17</v>
      </c>
      <c r="L2489" s="4" t="inlineStr">
        <is>
          <t>INR</t>
        </is>
      </c>
      <c r="M2489" s="15" t="n">
        <v>-16343.17</v>
      </c>
      <c r="N2489" s="4" t="inlineStr">
        <is>
          <t>IOS Owner</t>
        </is>
      </c>
      <c r="O2489" s="4" t="n"/>
      <c r="P2489" s="4" t="n"/>
      <c r="Q2489" s="4" t="inlineStr">
        <is>
          <t>MAESTRO-IOS-PERSONAL-LIFE_OPERATIONS-2488 | Rent | 16343.17</t>
        </is>
      </c>
      <c r="R2489" s="4" t="inlineStr">
        <is>
          <t>iPhone</t>
        </is>
      </c>
      <c r="S2489" s="4" t="inlineStr">
        <is>
          <t>B50</t>
        </is>
      </c>
      <c r="T2489" s="4" t="inlineStr">
        <is>
          <t>RAMP_1501_2500</t>
        </is>
      </c>
      <c r="U2489" s="4" t="inlineStr">
        <is>
          <t>CREATED</t>
        </is>
      </c>
      <c r="V2489" s="4" t="inlineStr">
        <is>
          <t>idem-20260902-ios-2488</t>
        </is>
      </c>
    </row>
    <row r="2490" ht="30" customHeight="1">
      <c r="A2490" s="4" t="n">
        <v>2489</v>
      </c>
      <c r="B2490" s="4" t="inlineStr">
        <is>
          <t>MTR-IOS-2489</t>
        </is>
      </c>
      <c r="C2490" s="4" t="inlineStr">
        <is>
          <t>Group</t>
        </is>
      </c>
      <c r="D2490" s="4" t="inlineStr">
        <is>
          <t>Shared Experience</t>
        </is>
      </c>
      <c r="E2490" s="4" t="inlineStr">
        <is>
          <t>Office Outing</t>
        </is>
      </c>
      <c r="F2490" s="4" t="inlineStr">
        <is>
          <t>Venue</t>
        </is>
      </c>
      <c r="G2490" s="4" t="inlineStr">
        <is>
          <t>Expense</t>
        </is>
      </c>
      <c r="H2490" s="12" t="n">
        <v>46121</v>
      </c>
      <c r="I2490" s="13" t="n">
        <v>0.006689814814814815</v>
      </c>
      <c r="J2490" s="14" t="n">
        <v>46121.00668981481</v>
      </c>
      <c r="K2490" s="15" t="n">
        <v>13150.44</v>
      </c>
      <c r="L2490" s="4" t="inlineStr">
        <is>
          <t>INR</t>
        </is>
      </c>
      <c r="M2490" s="15" t="n">
        <v>-13150.44</v>
      </c>
      <c r="N2490" s="4" t="inlineStr">
        <is>
          <t>IOS Aarav</t>
        </is>
      </c>
      <c r="O2490" s="4" t="n">
        <v>3</v>
      </c>
      <c r="P2490" s="4" t="inlineStr">
        <is>
          <t>PERCENTAGE</t>
        </is>
      </c>
      <c r="Q2490" s="4" t="inlineStr">
        <is>
          <t>MAESTRO-IOS-GROUP-OFFICE_OUTING-2489 | Venue | 13150.44</t>
        </is>
      </c>
      <c r="R2490" s="4" t="inlineStr">
        <is>
          <t>iPhone</t>
        </is>
      </c>
      <c r="S2490" s="4" t="inlineStr">
        <is>
          <t>B50</t>
        </is>
      </c>
      <c r="T2490" s="4" t="inlineStr">
        <is>
          <t>RAMP_1501_2500</t>
        </is>
      </c>
      <c r="U2490" s="4" t="inlineStr">
        <is>
          <t>CREATED</t>
        </is>
      </c>
      <c r="V2490" s="4" t="inlineStr">
        <is>
          <t>idem-20260902-ios-2489</t>
        </is>
      </c>
    </row>
    <row r="2491" ht="30" customHeight="1">
      <c r="A2491" s="4" t="n">
        <v>2490</v>
      </c>
      <c r="B2491" s="4" t="inlineStr">
        <is>
          <t>MTR-IOS-2490</t>
        </is>
      </c>
      <c r="C2491" s="4" t="inlineStr">
        <is>
          <t>Business</t>
        </is>
      </c>
      <c r="D2491" s="4" t="inlineStr">
        <is>
          <t>Business</t>
        </is>
      </c>
      <c r="E2491" s="4" t="inlineStr">
        <is>
          <t>Business Runway</t>
        </is>
      </c>
      <c r="F2491" s="4" t="inlineStr">
        <is>
          <t>Reserve</t>
        </is>
      </c>
      <c r="G2491" s="4" t="inlineStr">
        <is>
          <t>Transfer</t>
        </is>
      </c>
      <c r="H2491" s="12" t="n">
        <v>46244</v>
      </c>
      <c r="I2491" s="13" t="n">
        <v>0.2572222222222222</v>
      </c>
      <c r="J2491" s="14" t="n">
        <v>46244.25722222222</v>
      </c>
      <c r="K2491" s="15" t="n">
        <v>70667.56</v>
      </c>
      <c r="L2491" s="4" t="inlineStr">
        <is>
          <t>INR</t>
        </is>
      </c>
      <c r="M2491" s="15" t="n">
        <v>0</v>
      </c>
      <c r="N2491" s="4" t="inlineStr">
        <is>
          <t>IOS Owner</t>
        </is>
      </c>
      <c r="O2491" s="4" t="n"/>
      <c r="P2491" s="4" t="n"/>
      <c r="Q2491" s="4" t="inlineStr">
        <is>
          <t>MAESTRO-IOS-BUSINESS-BUSINESS_RUNWAY-2490 | Reserve | 70667.56</t>
        </is>
      </c>
      <c r="R2491" s="4" t="inlineStr">
        <is>
          <t>iPhone</t>
        </is>
      </c>
      <c r="S2491" s="4" t="inlineStr">
        <is>
          <t>B50</t>
        </is>
      </c>
      <c r="T2491" s="4" t="inlineStr">
        <is>
          <t>RAMP_1501_2500</t>
        </is>
      </c>
      <c r="U2491" s="4" t="inlineStr">
        <is>
          <t>CREATED</t>
        </is>
      </c>
      <c r="V2491" s="4" t="inlineStr">
        <is>
          <t>idem-20260902-ios-2490</t>
        </is>
      </c>
    </row>
    <row r="2492" ht="30" customHeight="1">
      <c r="A2492" s="4" t="n">
        <v>2491</v>
      </c>
      <c r="B2492" s="4" t="inlineStr">
        <is>
          <t>MTR-IOS-2491</t>
        </is>
      </c>
      <c r="C2492" s="4" t="inlineStr">
        <is>
          <t>Personal</t>
        </is>
      </c>
      <c r="D2492" s="4" t="inlineStr">
        <is>
          <t>Personal</t>
        </is>
      </c>
      <c r="E2492" s="4" t="inlineStr">
        <is>
          <t>Life Operations</t>
        </is>
      </c>
      <c r="F2492" s="4" t="inlineStr">
        <is>
          <t>Bills</t>
        </is>
      </c>
      <c r="G2492" s="4" t="inlineStr">
        <is>
          <t>Expense</t>
        </is>
      </c>
      <c r="H2492" s="12" t="n">
        <v>46002</v>
      </c>
      <c r="I2492" s="13" t="n">
        <v>0.6241319444444444</v>
      </c>
      <c r="J2492" s="14" t="n">
        <v>46002.62413194445</v>
      </c>
      <c r="K2492" s="15" t="n">
        <v>10734.18</v>
      </c>
      <c r="L2492" s="4" t="inlineStr">
        <is>
          <t>INR</t>
        </is>
      </c>
      <c r="M2492" s="15" t="n">
        <v>-10734.18</v>
      </c>
      <c r="N2492" s="4" t="inlineStr">
        <is>
          <t>IOS Owner</t>
        </is>
      </c>
      <c r="O2492" s="4" t="n"/>
      <c r="P2492" s="4" t="n"/>
      <c r="Q2492" s="4" t="inlineStr">
        <is>
          <t>MAESTRO-IOS-PERSONAL-LIFE_OPERATIONS-2491 | Bills | 10734.18</t>
        </is>
      </c>
      <c r="R2492" s="4" t="inlineStr">
        <is>
          <t>iPhone</t>
        </is>
      </c>
      <c r="S2492" s="4" t="inlineStr">
        <is>
          <t>B50</t>
        </is>
      </c>
      <c r="T2492" s="4" t="inlineStr">
        <is>
          <t>RAMP_1501_2500</t>
        </is>
      </c>
      <c r="U2492" s="4" t="inlineStr">
        <is>
          <t>CREATED</t>
        </is>
      </c>
      <c r="V2492" s="4" t="inlineStr">
        <is>
          <t>idem-20260902-ios-2491</t>
        </is>
      </c>
    </row>
    <row r="2493" ht="30" customHeight="1">
      <c r="A2493" s="4" t="n">
        <v>2492</v>
      </c>
      <c r="B2493" s="4" t="inlineStr">
        <is>
          <t>MTR-IOS-2492</t>
        </is>
      </c>
      <c r="C2493" s="4" t="inlineStr">
        <is>
          <t>Group</t>
        </is>
      </c>
      <c r="D2493" s="4" t="inlineStr">
        <is>
          <t>Shared Experience</t>
        </is>
      </c>
      <c r="E2493" s="4" t="inlineStr">
        <is>
          <t>Office Outing</t>
        </is>
      </c>
      <c r="F2493" s="4" t="inlineStr">
        <is>
          <t>Other</t>
        </is>
      </c>
      <c r="G2493" s="4" t="inlineStr">
        <is>
          <t>Expense</t>
        </is>
      </c>
      <c r="H2493" s="12" t="n">
        <v>45958</v>
      </c>
      <c r="I2493" s="13" t="n">
        <v>0.6048148148148148</v>
      </c>
      <c r="J2493" s="14" t="n">
        <v>45958.60481481482</v>
      </c>
      <c r="K2493" s="15" t="n">
        <v>9648.879999999999</v>
      </c>
      <c r="L2493" s="4" t="inlineStr">
        <is>
          <t>INR</t>
        </is>
      </c>
      <c r="M2493" s="15" t="n">
        <v>-9648.879999999999</v>
      </c>
      <c r="N2493" s="4" t="inlineStr">
        <is>
          <t>IOS Meera</t>
        </is>
      </c>
      <c r="O2493" s="4" t="n">
        <v>3</v>
      </c>
      <c r="P2493" s="4" t="inlineStr">
        <is>
          <t>EXACT</t>
        </is>
      </c>
      <c r="Q2493" s="4" t="inlineStr">
        <is>
          <t>MAESTRO-IOS-GROUP-OFFICE_OUTING-2492 | Other | 9648.88</t>
        </is>
      </c>
      <c r="R2493" s="4" t="inlineStr">
        <is>
          <t>iPhone</t>
        </is>
      </c>
      <c r="S2493" s="4" t="inlineStr">
        <is>
          <t>B50</t>
        </is>
      </c>
      <c r="T2493" s="4" t="inlineStr">
        <is>
          <t>RAMP_1501_2500</t>
        </is>
      </c>
      <c r="U2493" s="4" t="inlineStr">
        <is>
          <t>CREATED</t>
        </is>
      </c>
      <c r="V2493" s="4" t="inlineStr">
        <is>
          <t>idem-20260902-ios-2492</t>
        </is>
      </c>
    </row>
    <row r="2494" ht="30" customHeight="1">
      <c r="A2494" s="4" t="n">
        <v>2493</v>
      </c>
      <c r="B2494" s="4" t="inlineStr">
        <is>
          <t>MTR-IOS-2493</t>
        </is>
      </c>
      <c r="C2494" s="4" t="inlineStr">
        <is>
          <t>Business</t>
        </is>
      </c>
      <c r="D2494" s="4" t="inlineStr">
        <is>
          <t>Business</t>
        </is>
      </c>
      <c r="E2494" s="4" t="inlineStr">
        <is>
          <t>Business Runway</t>
        </is>
      </c>
      <c r="F2494" s="4" t="inlineStr">
        <is>
          <t>Loan</t>
        </is>
      </c>
      <c r="G2494" s="4" t="inlineStr">
        <is>
          <t>Income</t>
        </is>
      </c>
      <c r="H2494" s="12" t="n">
        <v>45960</v>
      </c>
      <c r="I2494" s="13" t="n">
        <v>0.5387615740740741</v>
      </c>
      <c r="J2494" s="14" t="n">
        <v>45960.53876157408</v>
      </c>
      <c r="K2494" s="15" t="n">
        <v>124367.14</v>
      </c>
      <c r="L2494" s="4" t="inlineStr">
        <is>
          <t>INR</t>
        </is>
      </c>
      <c r="M2494" s="15" t="n">
        <v>124367.14</v>
      </c>
      <c r="N2494" s="4" t="inlineStr">
        <is>
          <t>IOS Owner</t>
        </is>
      </c>
      <c r="O2494" s="4" t="n"/>
      <c r="P2494" s="4" t="n"/>
      <c r="Q2494" s="4" t="inlineStr">
        <is>
          <t>MAESTRO-IOS-BUSINESS-BUSINESS_RUNWAY-2493 | Loan | 124367.14</t>
        </is>
      </c>
      <c r="R2494" s="4" t="inlineStr">
        <is>
          <t>iPhone</t>
        </is>
      </c>
      <c r="S2494" s="4" t="inlineStr">
        <is>
          <t>B50</t>
        </is>
      </c>
      <c r="T2494" s="4" t="inlineStr">
        <is>
          <t>RAMP_1501_2500</t>
        </is>
      </c>
      <c r="U2494" s="4" t="inlineStr">
        <is>
          <t>CREATED</t>
        </is>
      </c>
      <c r="V2494" s="4" t="inlineStr">
        <is>
          <t>idem-20260902-ios-2493</t>
        </is>
      </c>
    </row>
    <row r="2495" ht="30" customHeight="1">
      <c r="A2495" s="4" t="n">
        <v>2494</v>
      </c>
      <c r="B2495" s="4" t="inlineStr">
        <is>
          <t>MTR-IOS-2494</t>
        </is>
      </c>
      <c r="C2495" s="4" t="inlineStr">
        <is>
          <t>Personal</t>
        </is>
      </c>
      <c r="D2495" s="4" t="inlineStr">
        <is>
          <t>Personal</t>
        </is>
      </c>
      <c r="E2495" s="4" t="inlineStr">
        <is>
          <t>Life Operations</t>
        </is>
      </c>
      <c r="F2495" s="4" t="inlineStr">
        <is>
          <t>Transport</t>
        </is>
      </c>
      <c r="G2495" s="4" t="inlineStr">
        <is>
          <t>Expense</t>
        </is>
      </c>
      <c r="H2495" s="12" t="n">
        <v>46084</v>
      </c>
      <c r="I2495" s="13" t="n">
        <v>0.3478125</v>
      </c>
      <c r="J2495" s="14" t="n">
        <v>46084.3478125</v>
      </c>
      <c r="K2495" s="15" t="n">
        <v>12073.94</v>
      </c>
      <c r="L2495" s="4" t="inlineStr">
        <is>
          <t>INR</t>
        </is>
      </c>
      <c r="M2495" s="15" t="n">
        <v>-12073.94</v>
      </c>
      <c r="N2495" s="4" t="inlineStr">
        <is>
          <t>IOS Owner</t>
        </is>
      </c>
      <c r="O2495" s="4" t="n"/>
      <c r="P2495" s="4" t="n"/>
      <c r="Q2495" s="4" t="inlineStr">
        <is>
          <t>MAESTRO-IOS-PERSONAL-LIFE_OPERATIONS-2494 | Transport | 12073.94</t>
        </is>
      </c>
      <c r="R2495" s="4" t="inlineStr">
        <is>
          <t>iPhone</t>
        </is>
      </c>
      <c r="S2495" s="4" t="inlineStr">
        <is>
          <t>B50</t>
        </is>
      </c>
      <c r="T2495" s="4" t="inlineStr">
        <is>
          <t>RAMP_1501_2500</t>
        </is>
      </c>
      <c r="U2495" s="4" t="inlineStr">
        <is>
          <t>CREATED</t>
        </is>
      </c>
      <c r="V2495" s="4" t="inlineStr">
        <is>
          <t>idem-20260902-ios-2494</t>
        </is>
      </c>
    </row>
    <row r="2496" ht="30" customHeight="1">
      <c r="A2496" s="4" t="n">
        <v>2495</v>
      </c>
      <c r="B2496" s="4" t="inlineStr">
        <is>
          <t>MTR-IOS-2495</t>
        </is>
      </c>
      <c r="C2496" s="4" t="inlineStr">
        <is>
          <t>Group</t>
        </is>
      </c>
      <c r="D2496" s="4" t="inlineStr">
        <is>
          <t>Shared Experience</t>
        </is>
      </c>
      <c r="E2496" s="4" t="inlineStr">
        <is>
          <t>House Party</t>
        </is>
      </c>
      <c r="F2496" s="4" t="inlineStr">
        <is>
          <t>Food</t>
        </is>
      </c>
      <c r="G2496" s="4" t="inlineStr">
        <is>
          <t>Expense</t>
        </is>
      </c>
      <c r="H2496" s="12" t="n">
        <v>46203</v>
      </c>
      <c r="I2496" s="13" t="n">
        <v>0.6291087962962963</v>
      </c>
      <c r="J2496" s="14" t="n">
        <v>46203.6291087963</v>
      </c>
      <c r="K2496" s="15" t="n">
        <v>1090.82</v>
      </c>
      <c r="L2496" s="4" t="inlineStr">
        <is>
          <t>INR</t>
        </is>
      </c>
      <c r="M2496" s="15" t="n">
        <v>-1090.82</v>
      </c>
      <c r="N2496" s="4" t="inlineStr">
        <is>
          <t>IOS Owner</t>
        </is>
      </c>
      <c r="O2496" s="4" t="n">
        <v>3</v>
      </c>
      <c r="P2496" s="4" t="inlineStr">
        <is>
          <t>SHARES</t>
        </is>
      </c>
      <c r="Q2496" s="4" t="inlineStr">
        <is>
          <t>MAESTRO-IOS-GROUP-HOUSE_PARTY-2495 | Food | 1090.82</t>
        </is>
      </c>
      <c r="R2496" s="4" t="inlineStr">
        <is>
          <t>iPhone</t>
        </is>
      </c>
      <c r="S2496" s="4" t="inlineStr">
        <is>
          <t>B50</t>
        </is>
      </c>
      <c r="T2496" s="4" t="inlineStr">
        <is>
          <t>RAMP_1501_2500</t>
        </is>
      </c>
      <c r="U2496" s="4" t="inlineStr">
        <is>
          <t>CREATED</t>
        </is>
      </c>
      <c r="V2496" s="4" t="inlineStr">
        <is>
          <t>idem-20260902-ios-2495</t>
        </is>
      </c>
    </row>
    <row r="2497" ht="30" customHeight="1">
      <c r="A2497" s="4" t="n">
        <v>2496</v>
      </c>
      <c r="B2497" s="4" t="inlineStr">
        <is>
          <t>MTR-IOS-2496</t>
        </is>
      </c>
      <c r="C2497" s="4" t="inlineStr">
        <is>
          <t>Business</t>
        </is>
      </c>
      <c r="D2497" s="4" t="inlineStr">
        <is>
          <t>Business</t>
        </is>
      </c>
      <c r="E2497" s="4" t="inlineStr">
        <is>
          <t>Business Runway</t>
        </is>
      </c>
      <c r="F2497" s="4" t="inlineStr">
        <is>
          <t>Investment</t>
        </is>
      </c>
      <c r="G2497" s="4" t="inlineStr">
        <is>
          <t>Income</t>
        </is>
      </c>
      <c r="H2497" s="12" t="n">
        <v>45950</v>
      </c>
      <c r="I2497" s="13" t="n">
        <v>0.7753009259259259</v>
      </c>
      <c r="J2497" s="14" t="n">
        <v>45950.77530092592</v>
      </c>
      <c r="K2497" s="15" t="n">
        <v>162873</v>
      </c>
      <c r="L2497" s="4" t="inlineStr">
        <is>
          <t>INR</t>
        </is>
      </c>
      <c r="M2497" s="15" t="n">
        <v>162873</v>
      </c>
      <c r="N2497" s="4" t="inlineStr">
        <is>
          <t>IOS Owner</t>
        </is>
      </c>
      <c r="O2497" s="4" t="n"/>
      <c r="P2497" s="4" t="n"/>
      <c r="Q2497" s="4" t="inlineStr">
        <is>
          <t>MAESTRO-IOS-BUSINESS-BUSINESS_RUNWAY-2496 | Investment | 162873.00</t>
        </is>
      </c>
      <c r="R2497" s="4" t="inlineStr">
        <is>
          <t>iPhone</t>
        </is>
      </c>
      <c r="S2497" s="4" t="inlineStr">
        <is>
          <t>B50</t>
        </is>
      </c>
      <c r="T2497" s="4" t="inlineStr">
        <is>
          <t>RAMP_1501_2500</t>
        </is>
      </c>
      <c r="U2497" s="4" t="inlineStr">
        <is>
          <t>CREATED</t>
        </is>
      </c>
      <c r="V2497" s="4" t="inlineStr">
        <is>
          <t>idem-20260902-ios-2496</t>
        </is>
      </c>
    </row>
    <row r="2498" ht="30" customHeight="1">
      <c r="A2498" s="4" t="n">
        <v>2497</v>
      </c>
      <c r="B2498" s="4" t="inlineStr">
        <is>
          <t>MTR-IOS-2497</t>
        </is>
      </c>
      <c r="C2498" s="4" t="inlineStr">
        <is>
          <t>Personal</t>
        </is>
      </c>
      <c r="D2498" s="4" t="inlineStr">
        <is>
          <t>Personal</t>
        </is>
      </c>
      <c r="E2498" s="4" t="inlineStr">
        <is>
          <t>Life Operations</t>
        </is>
      </c>
      <c r="F2498" s="4" t="inlineStr">
        <is>
          <t>Healthcare</t>
        </is>
      </c>
      <c r="G2498" s="4" t="inlineStr">
        <is>
          <t>Expense</t>
        </is>
      </c>
      <c r="H2498" s="12" t="n">
        <v>46042</v>
      </c>
      <c r="I2498" s="13" t="n">
        <v>0.0108912037037037</v>
      </c>
      <c r="J2498" s="14" t="n">
        <v>46042.0108912037</v>
      </c>
      <c r="K2498" s="15" t="n">
        <v>11708.29</v>
      </c>
      <c r="L2498" s="4" t="inlineStr">
        <is>
          <t>INR</t>
        </is>
      </c>
      <c r="M2498" s="15" t="n">
        <v>-11708.29</v>
      </c>
      <c r="N2498" s="4" t="inlineStr">
        <is>
          <t>IOS Owner</t>
        </is>
      </c>
      <c r="O2498" s="4" t="n"/>
      <c r="P2498" s="4" t="n"/>
      <c r="Q2498" s="4" t="inlineStr">
        <is>
          <t>MAESTRO-IOS-PERSONAL-LIFE_OPERATIONS-2497 | Healthcare | 11708.29</t>
        </is>
      </c>
      <c r="R2498" s="4" t="inlineStr">
        <is>
          <t>iPhone</t>
        </is>
      </c>
      <c r="S2498" s="4" t="inlineStr">
        <is>
          <t>B50</t>
        </is>
      </c>
      <c r="T2498" s="4" t="inlineStr">
        <is>
          <t>RAMP_1501_2500</t>
        </is>
      </c>
      <c r="U2498" s="4" t="inlineStr">
        <is>
          <t>CREATED</t>
        </is>
      </c>
      <c r="V2498" s="4" t="inlineStr">
        <is>
          <t>idem-20260902-ios-2497</t>
        </is>
      </c>
    </row>
    <row r="2499" ht="30" customHeight="1">
      <c r="A2499" s="4" t="n">
        <v>2498</v>
      </c>
      <c r="B2499" s="4" t="inlineStr">
        <is>
          <t>MTR-IOS-2498</t>
        </is>
      </c>
      <c r="C2499" s="4" t="inlineStr">
        <is>
          <t>Group</t>
        </is>
      </c>
      <c r="D2499" s="4" t="inlineStr">
        <is>
          <t>Shared Experience</t>
        </is>
      </c>
      <c r="E2499" s="4" t="inlineStr">
        <is>
          <t>House Party</t>
        </is>
      </c>
      <c r="F2499" s="4" t="inlineStr">
        <is>
          <t>Drinks</t>
        </is>
      </c>
      <c r="G2499" s="4" t="inlineStr">
        <is>
          <t>Expense</t>
        </is>
      </c>
      <c r="H2499" s="12" t="n">
        <v>46111</v>
      </c>
      <c r="I2499" s="13" t="n">
        <v>0.1849768518518519</v>
      </c>
      <c r="J2499" s="14" t="n">
        <v>46111.18497685185</v>
      </c>
      <c r="K2499" s="15" t="n">
        <v>7214.48</v>
      </c>
      <c r="L2499" s="4" t="inlineStr">
        <is>
          <t>INR</t>
        </is>
      </c>
      <c r="M2499" s="15" t="n">
        <v>-7214.48</v>
      </c>
      <c r="N2499" s="4" t="inlineStr">
        <is>
          <t>IOS Aarav</t>
        </is>
      </c>
      <c r="O2499" s="4" t="n">
        <v>3</v>
      </c>
      <c r="P2499" s="4" t="inlineStr">
        <is>
          <t>EQUAL</t>
        </is>
      </c>
      <c r="Q2499" s="4" t="inlineStr">
        <is>
          <t>MAESTRO-IOS-GROUP-HOUSE_PARTY-2498 | Drinks | 7214.48</t>
        </is>
      </c>
      <c r="R2499" s="4" t="inlineStr">
        <is>
          <t>iPhone</t>
        </is>
      </c>
      <c r="S2499" s="4" t="inlineStr">
        <is>
          <t>B50</t>
        </is>
      </c>
      <c r="T2499" s="4" t="inlineStr">
        <is>
          <t>RAMP_1501_2500</t>
        </is>
      </c>
      <c r="U2499" s="4" t="inlineStr">
        <is>
          <t>CREATED</t>
        </is>
      </c>
      <c r="V2499" s="4" t="inlineStr">
        <is>
          <t>idem-20260902-ios-2498</t>
        </is>
      </c>
    </row>
    <row r="2500" ht="30" customHeight="1">
      <c r="A2500" s="4" t="n">
        <v>2499</v>
      </c>
      <c r="B2500" s="4" t="inlineStr">
        <is>
          <t>MTR-IOS-2499</t>
        </is>
      </c>
      <c r="C2500" s="4" t="inlineStr">
        <is>
          <t>Business</t>
        </is>
      </c>
      <c r="D2500" s="4" t="inlineStr">
        <is>
          <t>Business</t>
        </is>
      </c>
      <c r="E2500" s="4" t="inlineStr">
        <is>
          <t>Business Operations</t>
        </is>
      </c>
      <c r="F2500" s="4" t="inlineStr">
        <is>
          <t>Software</t>
        </is>
      </c>
      <c r="G2500" s="4" t="inlineStr">
        <is>
          <t>Expense</t>
        </is>
      </c>
      <c r="H2500" s="12" t="n">
        <v>46060</v>
      </c>
      <c r="I2500" s="13" t="n">
        <v>0.4276157407407408</v>
      </c>
      <c r="J2500" s="14" t="n">
        <v>46060.42761574074</v>
      </c>
      <c r="K2500" s="15" t="n">
        <v>16797.59</v>
      </c>
      <c r="L2500" s="4" t="inlineStr">
        <is>
          <t>INR</t>
        </is>
      </c>
      <c r="M2500" s="15" t="n">
        <v>-16797.59</v>
      </c>
      <c r="N2500" s="4" t="inlineStr">
        <is>
          <t>IOS Owner</t>
        </is>
      </c>
      <c r="O2500" s="4" t="n"/>
      <c r="P2500" s="4" t="n"/>
      <c r="Q2500" s="4" t="inlineStr">
        <is>
          <t>MAESTRO-IOS-BUSINESS-BUSINESS_OPERATIONS-2499 | Software | 16797.59</t>
        </is>
      </c>
      <c r="R2500" s="4" t="inlineStr">
        <is>
          <t>iPhone</t>
        </is>
      </c>
      <c r="S2500" s="4" t="inlineStr">
        <is>
          <t>B50</t>
        </is>
      </c>
      <c r="T2500" s="4" t="inlineStr">
        <is>
          <t>RAMP_1501_2500</t>
        </is>
      </c>
      <c r="U2500" s="4" t="inlineStr">
        <is>
          <t>CREATED</t>
        </is>
      </c>
      <c r="V2500" s="4" t="inlineStr">
        <is>
          <t>idem-20260902-ios-2499</t>
        </is>
      </c>
    </row>
    <row r="2501" ht="30" customHeight="1">
      <c r="A2501" s="4" t="n">
        <v>2500</v>
      </c>
      <c r="B2501" s="4" t="inlineStr">
        <is>
          <t>MTR-IOS-2500</t>
        </is>
      </c>
      <c r="C2501" s="4" t="inlineStr">
        <is>
          <t>Personal</t>
        </is>
      </c>
      <c r="D2501" s="4" t="inlineStr">
        <is>
          <t>Personal</t>
        </is>
      </c>
      <c r="E2501" s="4" t="inlineStr">
        <is>
          <t>Life Operations</t>
        </is>
      </c>
      <c r="F2501" s="4" t="inlineStr">
        <is>
          <t>Subscriptions</t>
        </is>
      </c>
      <c r="G2501" s="4" t="inlineStr">
        <is>
          <t>Expense</t>
        </is>
      </c>
      <c r="H2501" s="12" t="n">
        <v>46166</v>
      </c>
      <c r="I2501" s="13" t="n">
        <v>0.8824074074074074</v>
      </c>
      <c r="J2501" s="14" t="n">
        <v>46166.88240740741</v>
      </c>
      <c r="K2501" s="15" t="n">
        <v>12009.56</v>
      </c>
      <c r="L2501" s="4" t="inlineStr">
        <is>
          <t>INR</t>
        </is>
      </c>
      <c r="M2501" s="15" t="n">
        <v>-12009.56</v>
      </c>
      <c r="N2501" s="4" t="inlineStr">
        <is>
          <t>IOS Owner</t>
        </is>
      </c>
      <c r="O2501" s="4" t="n"/>
      <c r="P2501" s="4" t="n"/>
      <c r="Q2501" s="4" t="inlineStr">
        <is>
          <t>MAESTRO-IOS-PERSONAL-LIFE_OPERATIONS-2500 | Subscriptions | 12009.56</t>
        </is>
      </c>
      <c r="R2501" s="4" t="inlineStr">
        <is>
          <t>iPhone</t>
        </is>
      </c>
      <c r="S2501" s="4" t="inlineStr">
        <is>
          <t>B50</t>
        </is>
      </c>
      <c r="T2501" s="4" t="inlineStr">
        <is>
          <t>RAMP_1501_2500</t>
        </is>
      </c>
      <c r="U2501" s="4" t="inlineStr">
        <is>
          <t>CREATED</t>
        </is>
      </c>
      <c r="V2501" s="4" t="inlineStr">
        <is>
          <t>idem-20260902-ios-2500</t>
        </is>
      </c>
    </row>
    <row r="2502" ht="30" customHeight="1">
      <c r="A2502" s="4" t="n">
        <v>2501</v>
      </c>
      <c r="B2502" s="4" t="inlineStr">
        <is>
          <t>MTR-IOS-2501</t>
        </is>
      </c>
      <c r="C2502" s="4" t="inlineStr">
        <is>
          <t>Group</t>
        </is>
      </c>
      <c r="D2502" s="4" t="inlineStr">
        <is>
          <t>Shared Experience</t>
        </is>
      </c>
      <c r="E2502" s="4" t="inlineStr">
        <is>
          <t>House Party</t>
        </is>
      </c>
      <c r="F2502" s="4" t="inlineStr">
        <is>
          <t>Decor</t>
        </is>
      </c>
      <c r="G2502" s="4" t="inlineStr">
        <is>
          <t>Expense</t>
        </is>
      </c>
      <c r="H2502" s="12" t="n">
        <v>45975</v>
      </c>
      <c r="I2502" s="13" t="n">
        <v>0.1147916666666667</v>
      </c>
      <c r="J2502" s="14" t="n">
        <v>45975.11479166667</v>
      </c>
      <c r="K2502" s="15" t="n">
        <v>807.61</v>
      </c>
      <c r="L2502" s="4" t="inlineStr">
        <is>
          <t>INR</t>
        </is>
      </c>
      <c r="M2502" s="15" t="n">
        <v>-807.61</v>
      </c>
      <c r="N2502" s="4" t="inlineStr">
        <is>
          <t>IOS Meera</t>
        </is>
      </c>
      <c r="O2502" s="4" t="n">
        <v>3</v>
      </c>
      <c r="P2502" s="4" t="inlineStr">
        <is>
          <t>PERCENTAGE</t>
        </is>
      </c>
      <c r="Q2502" s="4" t="inlineStr">
        <is>
          <t>MAESTRO-IOS-GROUP-HOUSE_PARTY-2501 | Decor | 807.61</t>
        </is>
      </c>
      <c r="R2502" s="4" t="inlineStr">
        <is>
          <t>iPhone</t>
        </is>
      </c>
      <c r="S2502" s="4" t="inlineStr">
        <is>
          <t>B51</t>
        </is>
      </c>
      <c r="T2502" s="4" t="inlineStr">
        <is>
          <t>HIGH_2501_3000</t>
        </is>
      </c>
      <c r="U2502" s="4" t="inlineStr">
        <is>
          <t>CREATED</t>
        </is>
      </c>
      <c r="V2502" s="4" t="inlineStr">
        <is>
          <t>idem-20260902-ios-2501</t>
        </is>
      </c>
    </row>
    <row r="2503" ht="30" customHeight="1">
      <c r="A2503" s="4" t="n">
        <v>2502</v>
      </c>
      <c r="B2503" s="4" t="inlineStr">
        <is>
          <t>MTR-IOS-2502</t>
        </is>
      </c>
      <c r="C2503" s="4" t="inlineStr">
        <is>
          <t>Business</t>
        </is>
      </c>
      <c r="D2503" s="4" t="inlineStr">
        <is>
          <t>Business</t>
        </is>
      </c>
      <c r="E2503" s="4" t="inlineStr">
        <is>
          <t>Business Operations</t>
        </is>
      </c>
      <c r="F2503" s="4" t="inlineStr">
        <is>
          <t>Rent</t>
        </is>
      </c>
      <c r="G2503" s="4" t="inlineStr">
        <is>
          <t>Expense</t>
        </is>
      </c>
      <c r="H2503" s="12" t="n">
        <v>46125</v>
      </c>
      <c r="I2503" s="13" t="n">
        <v>0.5994097222222222</v>
      </c>
      <c r="J2503" s="14" t="n">
        <v>46125.59940972222</v>
      </c>
      <c r="K2503" s="15" t="n">
        <v>96426.98</v>
      </c>
      <c r="L2503" s="4" t="inlineStr">
        <is>
          <t>INR</t>
        </is>
      </c>
      <c r="M2503" s="15" t="n">
        <v>-96426.98</v>
      </c>
      <c r="N2503" s="4" t="inlineStr">
        <is>
          <t>IOS Owner</t>
        </is>
      </c>
      <c r="O2503" s="4" t="n"/>
      <c r="P2503" s="4" t="n"/>
      <c r="Q2503" s="4" t="inlineStr">
        <is>
          <t>MAESTRO-IOS-BUSINESS-BUSINESS_OPERATIONS-2502 | Rent | 96426.98</t>
        </is>
      </c>
      <c r="R2503" s="4" t="inlineStr">
        <is>
          <t>iPhone</t>
        </is>
      </c>
      <c r="S2503" s="4" t="inlineStr">
        <is>
          <t>B51</t>
        </is>
      </c>
      <c r="T2503" s="4" t="inlineStr">
        <is>
          <t>HIGH_2501_3000</t>
        </is>
      </c>
      <c r="U2503" s="4" t="inlineStr">
        <is>
          <t>CREATED</t>
        </is>
      </c>
      <c r="V2503" s="4" t="inlineStr">
        <is>
          <t>idem-20260902-ios-2502</t>
        </is>
      </c>
    </row>
    <row r="2504" ht="30" customHeight="1">
      <c r="A2504" s="4" t="n">
        <v>2503</v>
      </c>
      <c r="B2504" s="4" t="inlineStr">
        <is>
          <t>MTR-IOS-2503</t>
        </is>
      </c>
      <c r="C2504" s="4" t="inlineStr">
        <is>
          <t>Personal</t>
        </is>
      </c>
      <c r="D2504" s="4" t="inlineStr">
        <is>
          <t>Personal</t>
        </is>
      </c>
      <c r="E2504" s="4" t="inlineStr">
        <is>
          <t>Life Operations</t>
        </is>
      </c>
      <c r="F2504" s="4" t="inlineStr">
        <is>
          <t>Repairs</t>
        </is>
      </c>
      <c r="G2504" s="4" t="inlineStr">
        <is>
          <t>Expense</t>
        </is>
      </c>
      <c r="H2504" s="12" t="n">
        <v>46135</v>
      </c>
      <c r="I2504" s="13" t="n">
        <v>0.2025925925925926</v>
      </c>
      <c r="J2504" s="14" t="n">
        <v>46135.20259259259</v>
      </c>
      <c r="K2504" s="15" t="n">
        <v>12454.82</v>
      </c>
      <c r="L2504" s="4" t="inlineStr">
        <is>
          <t>INR</t>
        </is>
      </c>
      <c r="M2504" s="15" t="n">
        <v>-12454.82</v>
      </c>
      <c r="N2504" s="4" t="inlineStr">
        <is>
          <t>IOS Owner</t>
        </is>
      </c>
      <c r="O2504" s="4" t="n"/>
      <c r="P2504" s="4" t="n"/>
      <c r="Q2504" s="4" t="inlineStr">
        <is>
          <t>MAESTRO-IOS-PERSONAL-LIFE_OPERATIONS-2503 | Repairs | 12454.82</t>
        </is>
      </c>
      <c r="R2504" s="4" t="inlineStr">
        <is>
          <t>iPhone</t>
        </is>
      </c>
      <c r="S2504" s="4" t="inlineStr">
        <is>
          <t>B51</t>
        </is>
      </c>
      <c r="T2504" s="4" t="inlineStr">
        <is>
          <t>HIGH_2501_3000</t>
        </is>
      </c>
      <c r="U2504" s="4" t="inlineStr">
        <is>
          <t>CREATED</t>
        </is>
      </c>
      <c r="V2504" s="4" t="inlineStr">
        <is>
          <t>idem-20260902-ios-2503</t>
        </is>
      </c>
    </row>
    <row r="2505" ht="30" customHeight="1">
      <c r="A2505" s="4" t="n">
        <v>2504</v>
      </c>
      <c r="B2505" s="4" t="inlineStr">
        <is>
          <t>MTR-IOS-2504</t>
        </is>
      </c>
      <c r="C2505" s="4" t="inlineStr">
        <is>
          <t>Group</t>
        </is>
      </c>
      <c r="D2505" s="4" t="inlineStr">
        <is>
          <t>Shared Experience</t>
        </is>
      </c>
      <c r="E2505" s="4" t="inlineStr">
        <is>
          <t>House Party</t>
        </is>
      </c>
      <c r="F2505" s="4" t="inlineStr">
        <is>
          <t>Supplies</t>
        </is>
      </c>
      <c r="G2505" s="4" t="inlineStr">
        <is>
          <t>Expense</t>
        </is>
      </c>
      <c r="H2505" s="12" t="n">
        <v>46263</v>
      </c>
      <c r="I2505" s="13" t="n">
        <v>0.9452199074074074</v>
      </c>
      <c r="J2505" s="14" t="n">
        <v>46263.94521990741</v>
      </c>
      <c r="K2505" s="15" t="n">
        <v>22687.27</v>
      </c>
      <c r="L2505" s="4" t="inlineStr">
        <is>
          <t>INR</t>
        </is>
      </c>
      <c r="M2505" s="15" t="n">
        <v>-22687.27</v>
      </c>
      <c r="N2505" s="4" t="inlineStr">
        <is>
          <t>IOS Owner</t>
        </is>
      </c>
      <c r="O2505" s="4" t="n">
        <v>3</v>
      </c>
      <c r="P2505" s="4" t="inlineStr">
        <is>
          <t>EXACT</t>
        </is>
      </c>
      <c r="Q2505" s="4" t="inlineStr">
        <is>
          <t>MAESTRO-IOS-GROUP-HOUSE_PARTY-2504 | Supplies | 22687.27</t>
        </is>
      </c>
      <c r="R2505" s="4" t="inlineStr">
        <is>
          <t>iPhone</t>
        </is>
      </c>
      <c r="S2505" s="4" t="inlineStr">
        <is>
          <t>B51</t>
        </is>
      </c>
      <c r="T2505" s="4" t="inlineStr">
        <is>
          <t>HIGH_2501_3000</t>
        </is>
      </c>
      <c r="U2505" s="4" t="inlineStr">
        <is>
          <t>CREATED</t>
        </is>
      </c>
      <c r="V2505" s="4" t="inlineStr">
        <is>
          <t>idem-20260902-ios-2504</t>
        </is>
      </c>
    </row>
    <row r="2506" ht="30" customHeight="1">
      <c r="A2506" s="4" t="n">
        <v>2505</v>
      </c>
      <c r="B2506" s="4" t="inlineStr">
        <is>
          <t>MTR-IOS-2505</t>
        </is>
      </c>
      <c r="C2506" s="4" t="inlineStr">
        <is>
          <t>Business</t>
        </is>
      </c>
      <c r="D2506" s="4" t="inlineStr">
        <is>
          <t>Business</t>
        </is>
      </c>
      <c r="E2506" s="4" t="inlineStr">
        <is>
          <t>Business Operations</t>
        </is>
      </c>
      <c r="F2506" s="4" t="inlineStr">
        <is>
          <t>Marketing</t>
        </is>
      </c>
      <c r="G2506" s="4" t="inlineStr">
        <is>
          <t>Expense</t>
        </is>
      </c>
      <c r="H2506" s="12" t="n">
        <v>46008</v>
      </c>
      <c r="I2506" s="13" t="n">
        <v>0.2184375</v>
      </c>
      <c r="J2506" s="14" t="n">
        <v>46008.2184375</v>
      </c>
      <c r="K2506" s="15" t="n">
        <v>136057.63</v>
      </c>
      <c r="L2506" s="4" t="inlineStr">
        <is>
          <t>INR</t>
        </is>
      </c>
      <c r="M2506" s="15" t="n">
        <v>-136057.63</v>
      </c>
      <c r="N2506" s="4" t="inlineStr">
        <is>
          <t>IOS Owner</t>
        </is>
      </c>
      <c r="O2506" s="4" t="n"/>
      <c r="P2506" s="4" t="n"/>
      <c r="Q2506" s="4" t="inlineStr">
        <is>
          <t>MAESTRO-IOS-BUSINESS-BUSINESS_OPERATIONS-2505 | Marketing | 136057.63</t>
        </is>
      </c>
      <c r="R2506" s="4" t="inlineStr">
        <is>
          <t>iPhone</t>
        </is>
      </c>
      <c r="S2506" s="4" t="inlineStr">
        <is>
          <t>B51</t>
        </is>
      </c>
      <c r="T2506" s="4" t="inlineStr">
        <is>
          <t>HIGH_2501_3000</t>
        </is>
      </c>
      <c r="U2506" s="4" t="inlineStr">
        <is>
          <t>CREATED</t>
        </is>
      </c>
      <c r="V2506" s="4" t="inlineStr">
        <is>
          <t>idem-20260902-ios-2505</t>
        </is>
      </c>
    </row>
    <row r="2507" ht="30" customHeight="1">
      <c r="A2507" s="4" t="n">
        <v>2506</v>
      </c>
      <c r="B2507" s="4" t="inlineStr">
        <is>
          <t>MTR-IOS-2506</t>
        </is>
      </c>
      <c r="C2507" s="4" t="inlineStr">
        <is>
          <t>Personal</t>
        </is>
      </c>
      <c r="D2507" s="4" t="inlineStr">
        <is>
          <t>Personal</t>
        </is>
      </c>
      <c r="E2507" s="4" t="inlineStr">
        <is>
          <t>Future Building</t>
        </is>
      </c>
      <c r="F2507" s="4" t="inlineStr">
        <is>
          <t>Savings</t>
        </is>
      </c>
      <c r="G2507" s="4" t="inlineStr">
        <is>
          <t>Transfer</t>
        </is>
      </c>
      <c r="H2507" s="12" t="n">
        <v>46115</v>
      </c>
      <c r="I2507" s="13" t="n">
        <v>0.5431712962962963</v>
      </c>
      <c r="J2507" s="14" t="n">
        <v>46115.5431712963</v>
      </c>
      <c r="K2507" s="15" t="n">
        <v>9019.610000000001</v>
      </c>
      <c r="L2507" s="4" t="inlineStr">
        <is>
          <t>INR</t>
        </is>
      </c>
      <c r="M2507" s="15" t="n">
        <v>0</v>
      </c>
      <c r="N2507" s="4" t="inlineStr">
        <is>
          <t>IOS Owner</t>
        </is>
      </c>
      <c r="O2507" s="4" t="n"/>
      <c r="P2507" s="4" t="n"/>
      <c r="Q2507" s="4" t="inlineStr">
        <is>
          <t>MAESTRO-IOS-PERSONAL-FUTURE_BUILDING-2506 | Savings | 9019.61</t>
        </is>
      </c>
      <c r="R2507" s="4" t="inlineStr">
        <is>
          <t>iPhone</t>
        </is>
      </c>
      <c r="S2507" s="4" t="inlineStr">
        <is>
          <t>B51</t>
        </is>
      </c>
      <c r="T2507" s="4" t="inlineStr">
        <is>
          <t>HIGH_2501_3000</t>
        </is>
      </c>
      <c r="U2507" s="4" t="inlineStr">
        <is>
          <t>CREATED</t>
        </is>
      </c>
      <c r="V2507" s="4" t="inlineStr">
        <is>
          <t>idem-20260902-ios-2506</t>
        </is>
      </c>
    </row>
    <row r="2508" ht="30" customHeight="1">
      <c r="A2508" s="4" t="n">
        <v>2507</v>
      </c>
      <c r="B2508" s="4" t="inlineStr">
        <is>
          <t>MTR-IOS-2507</t>
        </is>
      </c>
      <c r="C2508" s="4" t="inlineStr">
        <is>
          <t>Group</t>
        </is>
      </c>
      <c r="D2508" s="4" t="inlineStr">
        <is>
          <t>Shared Experience</t>
        </is>
      </c>
      <c r="E2508" s="4" t="inlineStr">
        <is>
          <t>House Party</t>
        </is>
      </c>
      <c r="F2508" s="4" t="inlineStr">
        <is>
          <t>Other</t>
        </is>
      </c>
      <c r="G2508" s="4" t="inlineStr">
        <is>
          <t>Expense</t>
        </is>
      </c>
      <c r="H2508" s="12" t="n">
        <v>46233</v>
      </c>
      <c r="I2508" s="13" t="n">
        <v>0.2987037037037037</v>
      </c>
      <c r="J2508" s="14" t="n">
        <v>46233.2987037037</v>
      </c>
      <c r="K2508" s="15" t="n">
        <v>26250.48</v>
      </c>
      <c r="L2508" s="4" t="inlineStr">
        <is>
          <t>INR</t>
        </is>
      </c>
      <c r="M2508" s="15" t="n">
        <v>-26250.48</v>
      </c>
      <c r="N2508" s="4" t="inlineStr">
        <is>
          <t>IOS Aarav</t>
        </is>
      </c>
      <c r="O2508" s="4" t="n">
        <v>3</v>
      </c>
      <c r="P2508" s="4" t="inlineStr">
        <is>
          <t>SHARES</t>
        </is>
      </c>
      <c r="Q2508" s="4" t="inlineStr">
        <is>
          <t>MAESTRO-IOS-GROUP-HOUSE_PARTY-2507 | Other | 26250.48</t>
        </is>
      </c>
      <c r="R2508" s="4" t="inlineStr">
        <is>
          <t>iPhone</t>
        </is>
      </c>
      <c r="S2508" s="4" t="inlineStr">
        <is>
          <t>B51</t>
        </is>
      </c>
      <c r="T2508" s="4" t="inlineStr">
        <is>
          <t>HIGH_2501_3000</t>
        </is>
      </c>
      <c r="U2508" s="4" t="inlineStr">
        <is>
          <t>CREATED</t>
        </is>
      </c>
      <c r="V2508" s="4" t="inlineStr">
        <is>
          <t>idem-20260902-ios-2507</t>
        </is>
      </c>
    </row>
    <row r="2509" ht="30" customHeight="1">
      <c r="A2509" s="4" t="n">
        <v>2508</v>
      </c>
      <c r="B2509" s="4" t="inlineStr">
        <is>
          <t>MTR-IOS-2508</t>
        </is>
      </c>
      <c r="C2509" s="4" t="inlineStr">
        <is>
          <t>Business</t>
        </is>
      </c>
      <c r="D2509" s="4" t="inlineStr">
        <is>
          <t>Business</t>
        </is>
      </c>
      <c r="E2509" s="4" t="inlineStr">
        <is>
          <t>Business Operations</t>
        </is>
      </c>
      <c r="F2509" s="4" t="inlineStr">
        <is>
          <t>Legal</t>
        </is>
      </c>
      <c r="G2509" s="4" t="inlineStr">
        <is>
          <t>Expense</t>
        </is>
      </c>
      <c r="H2509" s="12" t="n">
        <v>46244</v>
      </c>
      <c r="I2509" s="13" t="n">
        <v>0.7009953703703704</v>
      </c>
      <c r="J2509" s="14" t="n">
        <v>46244.70099537037</v>
      </c>
      <c r="K2509" s="15" t="n">
        <v>91362.97</v>
      </c>
      <c r="L2509" s="4" t="inlineStr">
        <is>
          <t>INR</t>
        </is>
      </c>
      <c r="M2509" s="15" t="n">
        <v>-91362.97</v>
      </c>
      <c r="N2509" s="4" t="inlineStr">
        <is>
          <t>IOS Owner</t>
        </is>
      </c>
      <c r="O2509" s="4" t="n"/>
      <c r="P2509" s="4" t="n"/>
      <c r="Q2509" s="4" t="inlineStr">
        <is>
          <t>MAESTRO-IOS-BUSINESS-BUSINESS_OPERATIONS-2508 | Legal | 91362.97</t>
        </is>
      </c>
      <c r="R2509" s="4" t="inlineStr">
        <is>
          <t>iPhone</t>
        </is>
      </c>
      <c r="S2509" s="4" t="inlineStr">
        <is>
          <t>B51</t>
        </is>
      </c>
      <c r="T2509" s="4" t="inlineStr">
        <is>
          <t>HIGH_2501_3000</t>
        </is>
      </c>
      <c r="U2509" s="4" t="inlineStr">
        <is>
          <t>CREATED</t>
        </is>
      </c>
      <c r="V2509" s="4" t="inlineStr">
        <is>
          <t>idem-20260902-ios-2508</t>
        </is>
      </c>
    </row>
    <row r="2510" ht="30" customHeight="1">
      <c r="A2510" s="4" t="n">
        <v>2509</v>
      </c>
      <c r="B2510" s="4" t="inlineStr">
        <is>
          <t>MTR-IOS-2509</t>
        </is>
      </c>
      <c r="C2510" s="4" t="inlineStr">
        <is>
          <t>Personal</t>
        </is>
      </c>
      <c r="D2510" s="4" t="inlineStr">
        <is>
          <t>Personal</t>
        </is>
      </c>
      <c r="E2510" s="4" t="inlineStr">
        <is>
          <t>Future Building</t>
        </is>
      </c>
      <c r="F2510" s="4" t="inlineStr">
        <is>
          <t>Emergency Fund</t>
        </is>
      </c>
      <c r="G2510" s="4" t="inlineStr">
        <is>
          <t>Transfer</t>
        </is>
      </c>
      <c r="H2510" s="12" t="n">
        <v>45982</v>
      </c>
      <c r="I2510" s="13" t="n">
        <v>0.2787962962962963</v>
      </c>
      <c r="J2510" s="14" t="n">
        <v>45982.2787962963</v>
      </c>
      <c r="K2510" s="15" t="n">
        <v>1325.92</v>
      </c>
      <c r="L2510" s="4" t="inlineStr">
        <is>
          <t>INR</t>
        </is>
      </c>
      <c r="M2510" s="15" t="n">
        <v>0</v>
      </c>
      <c r="N2510" s="4" t="inlineStr">
        <is>
          <t>IOS Owner</t>
        </is>
      </c>
      <c r="O2510" s="4" t="n"/>
      <c r="P2510" s="4" t="n"/>
      <c r="Q2510" s="4" t="inlineStr">
        <is>
          <t>MAESTRO-IOS-PERSONAL-FUTURE_BUILDING-2509 | Emergency Fund | 1325.92</t>
        </is>
      </c>
      <c r="R2510" s="4" t="inlineStr">
        <is>
          <t>iPhone</t>
        </is>
      </c>
      <c r="S2510" s="4" t="inlineStr">
        <is>
          <t>B51</t>
        </is>
      </c>
      <c r="T2510" s="4" t="inlineStr">
        <is>
          <t>HIGH_2501_3000</t>
        </is>
      </c>
      <c r="U2510" s="4" t="inlineStr">
        <is>
          <t>CREATED</t>
        </is>
      </c>
      <c r="V2510" s="4" t="inlineStr">
        <is>
          <t>idem-20260902-ios-2509</t>
        </is>
      </c>
    </row>
    <row r="2511" ht="30" customHeight="1">
      <c r="A2511" s="4" t="n">
        <v>2510</v>
      </c>
      <c r="B2511" s="4" t="inlineStr">
        <is>
          <t>MTR-IOS-2510</t>
        </is>
      </c>
      <c r="C2511" s="4" t="inlineStr">
        <is>
          <t>Group</t>
        </is>
      </c>
      <c r="D2511" s="4" t="inlineStr">
        <is>
          <t>Shared Purchase</t>
        </is>
      </c>
      <c r="E2511" s="4" t="inlineStr">
        <is>
          <t>Gift Pool</t>
        </is>
      </c>
      <c r="F2511" s="4" t="inlineStr">
        <is>
          <t>Contribution</t>
        </is>
      </c>
      <c r="G2511" s="4" t="inlineStr">
        <is>
          <t>Contribution</t>
        </is>
      </c>
      <c r="H2511" s="12" t="n">
        <v>46036</v>
      </c>
      <c r="I2511" s="13" t="n">
        <v>0.1812152777777778</v>
      </c>
      <c r="J2511" s="14" t="n">
        <v>46036.18121527778</v>
      </c>
      <c r="K2511" s="15" t="n">
        <v>25977.37</v>
      </c>
      <c r="L2511" s="4" t="inlineStr">
        <is>
          <t>INR</t>
        </is>
      </c>
      <c r="M2511" s="15" t="n">
        <v>25977.37</v>
      </c>
      <c r="N2511" s="4" t="inlineStr">
        <is>
          <t>IOS Meera</t>
        </is>
      </c>
      <c r="O2511" s="4" t="n">
        <v>3</v>
      </c>
      <c r="P2511" s="4" t="inlineStr">
        <is>
          <t>EQUAL</t>
        </is>
      </c>
      <c r="Q2511" s="4" t="inlineStr">
        <is>
          <t>MAESTRO-IOS-GROUP-GIFT_POOL-2510 | Contribution | 25977.37</t>
        </is>
      </c>
      <c r="R2511" s="4" t="inlineStr">
        <is>
          <t>iPhone</t>
        </is>
      </c>
      <c r="S2511" s="4" t="inlineStr">
        <is>
          <t>B51</t>
        </is>
      </c>
      <c r="T2511" s="4" t="inlineStr">
        <is>
          <t>HIGH_2501_3000</t>
        </is>
      </c>
      <c r="U2511" s="4" t="inlineStr">
        <is>
          <t>CREATED</t>
        </is>
      </c>
      <c r="V2511" s="4" t="inlineStr">
        <is>
          <t>idem-20260902-ios-2510</t>
        </is>
      </c>
    </row>
    <row r="2512" ht="30" customHeight="1">
      <c r="A2512" s="4" t="n">
        <v>2511</v>
      </c>
      <c r="B2512" s="4" t="inlineStr">
        <is>
          <t>MTR-IOS-2511</t>
        </is>
      </c>
      <c r="C2512" s="4" t="inlineStr">
        <is>
          <t>Business</t>
        </is>
      </c>
      <c r="D2512" s="4" t="inlineStr">
        <is>
          <t>Business</t>
        </is>
      </c>
      <c r="E2512" s="4" t="inlineStr">
        <is>
          <t>Business Operations</t>
        </is>
      </c>
      <c r="F2512" s="4" t="inlineStr">
        <is>
          <t>Accounting</t>
        </is>
      </c>
      <c r="G2512" s="4" t="inlineStr">
        <is>
          <t>Expense</t>
        </is>
      </c>
      <c r="H2512" s="12" t="n">
        <v>46059</v>
      </c>
      <c r="I2512" s="13" t="n">
        <v>0.7929398148148148</v>
      </c>
      <c r="J2512" s="14" t="n">
        <v>46059.79293981481</v>
      </c>
      <c r="K2512" s="15" t="n">
        <v>46902.77</v>
      </c>
      <c r="L2512" s="4" t="inlineStr">
        <is>
          <t>INR</t>
        </is>
      </c>
      <c r="M2512" s="15" t="n">
        <v>-46902.77</v>
      </c>
      <c r="N2512" s="4" t="inlineStr">
        <is>
          <t>IOS Owner</t>
        </is>
      </c>
      <c r="O2512" s="4" t="n"/>
      <c r="P2512" s="4" t="n"/>
      <c r="Q2512" s="4" t="inlineStr">
        <is>
          <t>MAESTRO-IOS-BUSINESS-BUSINESS_OPERATIONS-2511 | Accounting | 46902.77</t>
        </is>
      </c>
      <c r="R2512" s="4" t="inlineStr">
        <is>
          <t>iPhone</t>
        </is>
      </c>
      <c r="S2512" s="4" t="inlineStr">
        <is>
          <t>B51</t>
        </is>
      </c>
      <c r="T2512" s="4" t="inlineStr">
        <is>
          <t>HIGH_2501_3000</t>
        </is>
      </c>
      <c r="U2512" s="4" t="inlineStr">
        <is>
          <t>CREATED</t>
        </is>
      </c>
      <c r="V2512" s="4" t="inlineStr">
        <is>
          <t>idem-20260902-ios-2511</t>
        </is>
      </c>
    </row>
    <row r="2513" ht="30" customHeight="1">
      <c r="A2513" s="4" t="n">
        <v>2512</v>
      </c>
      <c r="B2513" s="4" t="inlineStr">
        <is>
          <t>MTR-IOS-2512</t>
        </is>
      </c>
      <c r="C2513" s="4" t="inlineStr">
        <is>
          <t>Personal</t>
        </is>
      </c>
      <c r="D2513" s="4" t="inlineStr">
        <is>
          <t>Personal</t>
        </is>
      </c>
      <c r="E2513" s="4" t="inlineStr">
        <is>
          <t>Future Building</t>
        </is>
      </c>
      <c r="F2513" s="4" t="inlineStr">
        <is>
          <t>Investments</t>
        </is>
      </c>
      <c r="G2513" s="4" t="inlineStr">
        <is>
          <t>Investment</t>
        </is>
      </c>
      <c r="H2513" s="12" t="n">
        <v>45975</v>
      </c>
      <c r="I2513" s="13" t="n">
        <v>0.6023148148148149</v>
      </c>
      <c r="J2513" s="14" t="n">
        <v>45975.60231481482</v>
      </c>
      <c r="K2513" s="15" t="n">
        <v>1748.92</v>
      </c>
      <c r="L2513" s="4" t="inlineStr">
        <is>
          <t>INR</t>
        </is>
      </c>
      <c r="M2513" s="15" t="n">
        <v>0</v>
      </c>
      <c r="N2513" s="4" t="inlineStr">
        <is>
          <t>IOS Owner</t>
        </is>
      </c>
      <c r="O2513" s="4" t="n"/>
      <c r="P2513" s="4" t="n"/>
      <c r="Q2513" s="4" t="inlineStr">
        <is>
          <t>MAESTRO-IOS-PERSONAL-FUTURE_BUILDING-2512 | Investments | 1748.92</t>
        </is>
      </c>
      <c r="R2513" s="4" t="inlineStr">
        <is>
          <t>iPhone</t>
        </is>
      </c>
      <c r="S2513" s="4" t="inlineStr">
        <is>
          <t>B51</t>
        </is>
      </c>
      <c r="T2513" s="4" t="inlineStr">
        <is>
          <t>HIGH_2501_3000</t>
        </is>
      </c>
      <c r="U2513" s="4" t="inlineStr">
        <is>
          <t>CREATED</t>
        </is>
      </c>
      <c r="V2513" s="4" t="inlineStr">
        <is>
          <t>idem-20260902-ios-2512</t>
        </is>
      </c>
    </row>
    <row r="2514" ht="30" customHeight="1">
      <c r="A2514" s="4" t="n">
        <v>2513</v>
      </c>
      <c r="B2514" s="4" t="inlineStr">
        <is>
          <t>MTR-IOS-2513</t>
        </is>
      </c>
      <c r="C2514" s="4" t="inlineStr">
        <is>
          <t>Group</t>
        </is>
      </c>
      <c r="D2514" s="4" t="inlineStr">
        <is>
          <t>Shared Purchase</t>
        </is>
      </c>
      <c r="E2514" s="4" t="inlineStr">
        <is>
          <t>Gift Pool</t>
        </is>
      </c>
      <c r="F2514" s="4" t="inlineStr">
        <is>
          <t>Gift Purchase</t>
        </is>
      </c>
      <c r="G2514" s="4" t="inlineStr">
        <is>
          <t>Expense</t>
        </is>
      </c>
      <c r="H2514" s="12" t="n">
        <v>46234</v>
      </c>
      <c r="I2514" s="13" t="n">
        <v>0.1007291666666667</v>
      </c>
      <c r="J2514" s="14" t="n">
        <v>46234.10072916667</v>
      </c>
      <c r="K2514" s="15" t="n">
        <v>13659.13</v>
      </c>
      <c r="L2514" s="4" t="inlineStr">
        <is>
          <t>INR</t>
        </is>
      </c>
      <c r="M2514" s="15" t="n">
        <v>-13659.13</v>
      </c>
      <c r="N2514" s="4" t="inlineStr">
        <is>
          <t>IOS Owner</t>
        </is>
      </c>
      <c r="O2514" s="4" t="n">
        <v>3</v>
      </c>
      <c r="P2514" s="4" t="inlineStr">
        <is>
          <t>PERCENTAGE</t>
        </is>
      </c>
      <c r="Q2514" s="4" t="inlineStr">
        <is>
          <t>MAESTRO-IOS-GROUP-GIFT_POOL-2513 | Gift Purchase | 13659.13</t>
        </is>
      </c>
      <c r="R2514" s="4" t="inlineStr">
        <is>
          <t>iPhone</t>
        </is>
      </c>
      <c r="S2514" s="4" t="inlineStr">
        <is>
          <t>B51</t>
        </is>
      </c>
      <c r="T2514" s="4" t="inlineStr">
        <is>
          <t>HIGH_2501_3000</t>
        </is>
      </c>
      <c r="U2514" s="4" t="inlineStr">
        <is>
          <t>CREATED</t>
        </is>
      </c>
      <c r="V2514" s="4" t="inlineStr">
        <is>
          <t>idem-20260902-ios-2513</t>
        </is>
      </c>
    </row>
    <row r="2515" ht="30" customHeight="1">
      <c r="A2515" s="4" t="n">
        <v>2514</v>
      </c>
      <c r="B2515" s="4" t="inlineStr">
        <is>
          <t>MTR-IOS-2514</t>
        </is>
      </c>
      <c r="C2515" s="4" t="inlineStr">
        <is>
          <t>Business</t>
        </is>
      </c>
      <c r="D2515" s="4" t="inlineStr">
        <is>
          <t>Business</t>
        </is>
      </c>
      <c r="E2515" s="4" t="inlineStr">
        <is>
          <t>Business Operations</t>
        </is>
      </c>
      <c r="F2515" s="4" t="inlineStr">
        <is>
          <t>Equipment</t>
        </is>
      </c>
      <c r="G2515" s="4" t="inlineStr">
        <is>
          <t>Expense</t>
        </is>
      </c>
      <c r="H2515" s="12" t="n">
        <v>46201</v>
      </c>
      <c r="I2515" s="13" t="n">
        <v>0.1434722222222222</v>
      </c>
      <c r="J2515" s="14" t="n">
        <v>46201.14347222223</v>
      </c>
      <c r="K2515" s="15" t="n">
        <v>36866.44</v>
      </c>
      <c r="L2515" s="4" t="inlineStr">
        <is>
          <t>INR</t>
        </is>
      </c>
      <c r="M2515" s="15" t="n">
        <v>-36866.44</v>
      </c>
      <c r="N2515" s="4" t="inlineStr">
        <is>
          <t>IOS Owner</t>
        </is>
      </c>
      <c r="O2515" s="4" t="n"/>
      <c r="P2515" s="4" t="n"/>
      <c r="Q2515" s="4" t="inlineStr">
        <is>
          <t>MAESTRO-IOS-BUSINESS-BUSINESS_OPERATIONS-2514 | Equipment | 36866.44</t>
        </is>
      </c>
      <c r="R2515" s="4" t="inlineStr">
        <is>
          <t>iPhone</t>
        </is>
      </c>
      <c r="S2515" s="4" t="inlineStr">
        <is>
          <t>B51</t>
        </is>
      </c>
      <c r="T2515" s="4" t="inlineStr">
        <is>
          <t>HIGH_2501_3000</t>
        </is>
      </c>
      <c r="U2515" s="4" t="inlineStr">
        <is>
          <t>CREATED</t>
        </is>
      </c>
      <c r="V2515" s="4" t="inlineStr">
        <is>
          <t>idem-20260902-ios-2514</t>
        </is>
      </c>
    </row>
    <row r="2516" ht="30" customHeight="1">
      <c r="A2516" s="4" t="n">
        <v>2515</v>
      </c>
      <c r="B2516" s="4" t="inlineStr">
        <is>
          <t>MTR-IOS-2515</t>
        </is>
      </c>
      <c r="C2516" s="4" t="inlineStr">
        <is>
          <t>Personal</t>
        </is>
      </c>
      <c r="D2516" s="4" t="inlineStr">
        <is>
          <t>Personal</t>
        </is>
      </c>
      <c r="E2516" s="4" t="inlineStr">
        <is>
          <t>Future Building</t>
        </is>
      </c>
      <c r="F2516" s="4" t="inlineStr">
        <is>
          <t>Education</t>
        </is>
      </c>
      <c r="G2516" s="4" t="inlineStr">
        <is>
          <t>Expense</t>
        </is>
      </c>
      <c r="H2516" s="12" t="n">
        <v>45954</v>
      </c>
      <c r="I2516" s="13" t="n">
        <v>0.5312731481481482</v>
      </c>
      <c r="J2516" s="14" t="n">
        <v>45954.53127314815</v>
      </c>
      <c r="K2516" s="15" t="n">
        <v>4849.46</v>
      </c>
      <c r="L2516" s="4" t="inlineStr">
        <is>
          <t>INR</t>
        </is>
      </c>
      <c r="M2516" s="15" t="n">
        <v>-4849.46</v>
      </c>
      <c r="N2516" s="4" t="inlineStr">
        <is>
          <t>IOS Owner</t>
        </is>
      </c>
      <c r="O2516" s="4" t="n"/>
      <c r="P2516" s="4" t="n"/>
      <c r="Q2516" s="4" t="inlineStr">
        <is>
          <t>MAESTRO-IOS-PERSONAL-FUTURE_BUILDING-2515 | Education | 4849.46</t>
        </is>
      </c>
      <c r="R2516" s="4" t="inlineStr">
        <is>
          <t>iPhone</t>
        </is>
      </c>
      <c r="S2516" s="4" t="inlineStr">
        <is>
          <t>B51</t>
        </is>
      </c>
      <c r="T2516" s="4" t="inlineStr">
        <is>
          <t>HIGH_2501_3000</t>
        </is>
      </c>
      <c r="U2516" s="4" t="inlineStr">
        <is>
          <t>CREATED</t>
        </is>
      </c>
      <c r="V2516" s="4" t="inlineStr">
        <is>
          <t>idem-20260902-ios-2515</t>
        </is>
      </c>
    </row>
    <row r="2517" ht="30" customHeight="1">
      <c r="A2517" s="4" t="n">
        <v>2516</v>
      </c>
      <c r="B2517" s="4" t="inlineStr">
        <is>
          <t>MTR-IOS-2516</t>
        </is>
      </c>
      <c r="C2517" s="4" t="inlineStr">
        <is>
          <t>Group</t>
        </is>
      </c>
      <c r="D2517" s="4" t="inlineStr">
        <is>
          <t>Shared Purchase</t>
        </is>
      </c>
      <c r="E2517" s="4" t="inlineStr">
        <is>
          <t>Gift Pool</t>
        </is>
      </c>
      <c r="F2517" s="4" t="inlineStr">
        <is>
          <t>Delivery</t>
        </is>
      </c>
      <c r="G2517" s="4" t="inlineStr">
        <is>
          <t>Expense</t>
        </is>
      </c>
      <c r="H2517" s="12" t="n">
        <v>46059</v>
      </c>
      <c r="I2517" s="13" t="n">
        <v>0.09241898148148148</v>
      </c>
      <c r="J2517" s="14" t="n">
        <v>46059.09241898148</v>
      </c>
      <c r="K2517" s="15" t="n">
        <v>99.98999999999999</v>
      </c>
      <c r="L2517" s="4" t="inlineStr">
        <is>
          <t>INR</t>
        </is>
      </c>
      <c r="M2517" s="15" t="n">
        <v>-99.98999999999999</v>
      </c>
      <c r="N2517" s="4" t="inlineStr">
        <is>
          <t>IOS Aarav</t>
        </is>
      </c>
      <c r="O2517" s="4" t="n">
        <v>3</v>
      </c>
      <c r="P2517" s="4" t="inlineStr">
        <is>
          <t>EXACT</t>
        </is>
      </c>
      <c r="Q2517" s="4" t="inlineStr">
        <is>
          <t>MAESTRO-IOS-GROUP-GIFT_POOL-2516 | Delivery | 99.99</t>
        </is>
      </c>
      <c r="R2517" s="4" t="inlineStr">
        <is>
          <t>iPhone</t>
        </is>
      </c>
      <c r="S2517" s="4" t="inlineStr">
        <is>
          <t>B51</t>
        </is>
      </c>
      <c r="T2517" s="4" t="inlineStr">
        <is>
          <t>HIGH_2501_3000</t>
        </is>
      </c>
      <c r="U2517" s="4" t="inlineStr">
        <is>
          <t>CREATED</t>
        </is>
      </c>
      <c r="V2517" s="4" t="inlineStr">
        <is>
          <t>idem-20260902-ios-2516</t>
        </is>
      </c>
    </row>
    <row r="2518" ht="30" customHeight="1">
      <c r="A2518" s="4" t="n">
        <v>2517</v>
      </c>
      <c r="B2518" s="4" t="inlineStr">
        <is>
          <t>MTR-IOS-2517</t>
        </is>
      </c>
      <c r="C2518" s="4" t="inlineStr">
        <is>
          <t>Business</t>
        </is>
      </c>
      <c r="D2518" s="4" t="inlineStr">
        <is>
          <t>Business</t>
        </is>
      </c>
      <c r="E2518" s="4" t="inlineStr">
        <is>
          <t>Business Operations</t>
        </is>
      </c>
      <c r="F2518" s="4" t="inlineStr">
        <is>
          <t>Vendor</t>
        </is>
      </c>
      <c r="G2518" s="4" t="inlineStr">
        <is>
          <t>Expense</t>
        </is>
      </c>
      <c r="H2518" s="12" t="n">
        <v>45966</v>
      </c>
      <c r="I2518" s="13" t="n">
        <v>0.1835532407407408</v>
      </c>
      <c r="J2518" s="14" t="n">
        <v>45966.18355324074</v>
      </c>
      <c r="K2518" s="15" t="n">
        <v>43121.78</v>
      </c>
      <c r="L2518" s="4" t="inlineStr">
        <is>
          <t>INR</t>
        </is>
      </c>
      <c r="M2518" s="15" t="n">
        <v>-43121.78</v>
      </c>
      <c r="N2518" s="4" t="inlineStr">
        <is>
          <t>IOS Owner</t>
        </is>
      </c>
      <c r="O2518" s="4" t="n"/>
      <c r="P2518" s="4" t="n"/>
      <c r="Q2518" s="4" t="inlineStr">
        <is>
          <t>MAESTRO-IOS-BUSINESS-BUSINESS_OPERATIONS-2517 | Vendor | 43121.78</t>
        </is>
      </c>
      <c r="R2518" s="4" t="inlineStr">
        <is>
          <t>iPhone</t>
        </is>
      </c>
      <c r="S2518" s="4" t="inlineStr">
        <is>
          <t>B51</t>
        </is>
      </c>
      <c r="T2518" s="4" t="inlineStr">
        <is>
          <t>HIGH_2501_3000</t>
        </is>
      </c>
      <c r="U2518" s="4" t="inlineStr">
        <is>
          <t>CREATED</t>
        </is>
      </c>
      <c r="V2518" s="4" t="inlineStr">
        <is>
          <t>idem-20260902-ios-2517</t>
        </is>
      </c>
    </row>
    <row r="2519" ht="30" customHeight="1">
      <c r="A2519" s="4" t="n">
        <v>2518</v>
      </c>
      <c r="B2519" s="4" t="inlineStr">
        <is>
          <t>MTR-IOS-2518</t>
        </is>
      </c>
      <c r="C2519" s="4" t="inlineStr">
        <is>
          <t>Personal</t>
        </is>
      </c>
      <c r="D2519" s="4" t="inlineStr">
        <is>
          <t>Personal</t>
        </is>
      </c>
      <c r="E2519" s="4" t="inlineStr">
        <is>
          <t>Future Building</t>
        </is>
      </c>
      <c r="F2519" s="4" t="inlineStr">
        <is>
          <t>Goal Contribution</t>
        </is>
      </c>
      <c r="G2519" s="4" t="inlineStr">
        <is>
          <t>Transfer</t>
        </is>
      </c>
      <c r="H2519" s="12" t="n">
        <v>46061</v>
      </c>
      <c r="I2519" s="13" t="n">
        <v>0.1842824074074074</v>
      </c>
      <c r="J2519" s="14" t="n">
        <v>46061.1842824074</v>
      </c>
      <c r="K2519" s="15" t="n">
        <v>13505.4</v>
      </c>
      <c r="L2519" s="4" t="inlineStr">
        <is>
          <t>INR</t>
        </is>
      </c>
      <c r="M2519" s="15" t="n">
        <v>0</v>
      </c>
      <c r="N2519" s="4" t="inlineStr">
        <is>
          <t>IOS Owner</t>
        </is>
      </c>
      <c r="O2519" s="4" t="n"/>
      <c r="P2519" s="4" t="n"/>
      <c r="Q2519" s="4" t="inlineStr">
        <is>
          <t>MAESTRO-IOS-PERSONAL-FUTURE_BUILDING-2518 | Goal Contribution | 13505.40</t>
        </is>
      </c>
      <c r="R2519" s="4" t="inlineStr">
        <is>
          <t>iPhone</t>
        </is>
      </c>
      <c r="S2519" s="4" t="inlineStr">
        <is>
          <t>B51</t>
        </is>
      </c>
      <c r="T2519" s="4" t="inlineStr">
        <is>
          <t>HIGH_2501_3000</t>
        </is>
      </c>
      <c r="U2519" s="4" t="inlineStr">
        <is>
          <t>CREATED</t>
        </is>
      </c>
      <c r="V2519" s="4" t="inlineStr">
        <is>
          <t>idem-20260902-ios-2518</t>
        </is>
      </c>
    </row>
    <row r="2520" ht="30" customHeight="1">
      <c r="A2520" s="4" t="n">
        <v>2519</v>
      </c>
      <c r="B2520" s="4" t="inlineStr">
        <is>
          <t>MTR-IOS-2519</t>
        </is>
      </c>
      <c r="C2520" s="4" t="inlineStr">
        <is>
          <t>Group</t>
        </is>
      </c>
      <c r="D2520" s="4" t="inlineStr">
        <is>
          <t>Shared Purchase</t>
        </is>
      </c>
      <c r="E2520" s="4" t="inlineStr">
        <is>
          <t>Gift Pool</t>
        </is>
      </c>
      <c r="F2520" s="4" t="inlineStr">
        <is>
          <t>Other</t>
        </is>
      </c>
      <c r="G2520" s="4" t="inlineStr">
        <is>
          <t>Expense</t>
        </is>
      </c>
      <c r="H2520" s="12" t="n">
        <v>46218</v>
      </c>
      <c r="I2520" s="13" t="n">
        <v>0.2610069444444444</v>
      </c>
      <c r="J2520" s="14" t="n">
        <v>46218.26100694444</v>
      </c>
      <c r="K2520" s="15" t="n">
        <v>24074.48</v>
      </c>
      <c r="L2520" s="4" t="inlineStr">
        <is>
          <t>INR</t>
        </is>
      </c>
      <c r="M2520" s="15" t="n">
        <v>-24074.48</v>
      </c>
      <c r="N2520" s="4" t="inlineStr">
        <is>
          <t>IOS Meera</t>
        </is>
      </c>
      <c r="O2520" s="4" t="n">
        <v>3</v>
      </c>
      <c r="P2520" s="4" t="inlineStr">
        <is>
          <t>SHARES</t>
        </is>
      </c>
      <c r="Q2520" s="4" t="inlineStr">
        <is>
          <t>MAESTRO-IOS-GROUP-GIFT_POOL-2519 | Other | 24074.48</t>
        </is>
      </c>
      <c r="R2520" s="4" t="inlineStr">
        <is>
          <t>iPhone</t>
        </is>
      </c>
      <c r="S2520" s="4" t="inlineStr">
        <is>
          <t>B51</t>
        </is>
      </c>
      <c r="T2520" s="4" t="inlineStr">
        <is>
          <t>HIGH_2501_3000</t>
        </is>
      </c>
      <c r="U2520" s="4" t="inlineStr">
        <is>
          <t>CREATED</t>
        </is>
      </c>
      <c r="V2520" s="4" t="inlineStr">
        <is>
          <t>idem-20260902-ios-2519</t>
        </is>
      </c>
    </row>
    <row r="2521" ht="30" customHeight="1">
      <c r="A2521" s="4" t="n">
        <v>2520</v>
      </c>
      <c r="B2521" s="4" t="inlineStr">
        <is>
          <t>MTR-IOS-2520</t>
        </is>
      </c>
      <c r="C2521" s="4" t="inlineStr">
        <is>
          <t>Business</t>
        </is>
      </c>
      <c r="D2521" s="4" t="inlineStr">
        <is>
          <t>Business</t>
        </is>
      </c>
      <c r="E2521" s="4" t="inlineStr">
        <is>
          <t>Business Operations</t>
        </is>
      </c>
      <c r="F2521" s="4" t="inlineStr">
        <is>
          <t>Tax</t>
        </is>
      </c>
      <c r="G2521" s="4" t="inlineStr">
        <is>
          <t>Expense</t>
        </is>
      </c>
      <c r="H2521" s="12" t="n">
        <v>46151</v>
      </c>
      <c r="I2521" s="13" t="n">
        <v>0.9582407407407407</v>
      </c>
      <c r="J2521" s="14" t="n">
        <v>46151.95824074074</v>
      </c>
      <c r="K2521" s="15" t="n">
        <v>88252.07000000001</v>
      </c>
      <c r="L2521" s="4" t="inlineStr">
        <is>
          <t>INR</t>
        </is>
      </c>
      <c r="M2521" s="15" t="n">
        <v>-88252.07000000001</v>
      </c>
      <c r="N2521" s="4" t="inlineStr">
        <is>
          <t>IOS Owner</t>
        </is>
      </c>
      <c r="O2521" s="4" t="n"/>
      <c r="P2521" s="4" t="n"/>
      <c r="Q2521" s="4" t="inlineStr">
        <is>
          <t>MAESTRO-IOS-BUSINESS-BUSINESS_OPERATIONS-2520 | Tax | 88252.07</t>
        </is>
      </c>
      <c r="R2521" s="4" t="inlineStr">
        <is>
          <t>iPhone</t>
        </is>
      </c>
      <c r="S2521" s="4" t="inlineStr">
        <is>
          <t>B51</t>
        </is>
      </c>
      <c r="T2521" s="4" t="inlineStr">
        <is>
          <t>HIGH_2501_3000</t>
        </is>
      </c>
      <c r="U2521" s="4" t="inlineStr">
        <is>
          <t>CREATED</t>
        </is>
      </c>
      <c r="V2521" s="4" t="inlineStr">
        <is>
          <t>idem-20260902-ios-2520</t>
        </is>
      </c>
    </row>
    <row r="2522" ht="30" customHeight="1">
      <c r="A2522" s="4" t="n">
        <v>2521</v>
      </c>
      <c r="B2522" s="4" t="inlineStr">
        <is>
          <t>MTR-IOS-2521</t>
        </is>
      </c>
      <c r="C2522" s="4" t="inlineStr">
        <is>
          <t>Personal</t>
        </is>
      </c>
      <c r="D2522" s="4" t="inlineStr">
        <is>
          <t>Personal</t>
        </is>
      </c>
      <c r="E2522" s="4" t="inlineStr">
        <is>
          <t>Lifestyle</t>
        </is>
      </c>
      <c r="F2522" s="4" t="inlineStr">
        <is>
          <t>Dining</t>
        </is>
      </c>
      <c r="G2522" s="4" t="inlineStr">
        <is>
          <t>Expense</t>
        </is>
      </c>
      <c r="H2522" s="12" t="n">
        <v>46063</v>
      </c>
      <c r="I2522" s="13" t="n">
        <v>0.3604282407407408</v>
      </c>
      <c r="J2522" s="14" t="n">
        <v>46063.36042824074</v>
      </c>
      <c r="K2522" s="15" t="n">
        <v>4076.7</v>
      </c>
      <c r="L2522" s="4" t="inlineStr">
        <is>
          <t>INR</t>
        </is>
      </c>
      <c r="M2522" s="15" t="n">
        <v>-4076.7</v>
      </c>
      <c r="N2522" s="4" t="inlineStr">
        <is>
          <t>IOS Owner</t>
        </is>
      </c>
      <c r="O2522" s="4" t="n"/>
      <c r="P2522" s="4" t="n"/>
      <c r="Q2522" s="4" t="inlineStr">
        <is>
          <t>MAESTRO-IOS-PERSONAL-LIFESTYLE-2521 | Dining | 4076.70</t>
        </is>
      </c>
      <c r="R2522" s="4" t="inlineStr">
        <is>
          <t>iPhone</t>
        </is>
      </c>
      <c r="S2522" s="4" t="inlineStr">
        <is>
          <t>B51</t>
        </is>
      </c>
      <c r="T2522" s="4" t="inlineStr">
        <is>
          <t>HIGH_2501_3000</t>
        </is>
      </c>
      <c r="U2522" s="4" t="inlineStr">
        <is>
          <t>CREATED</t>
        </is>
      </c>
      <c r="V2522" s="4" t="inlineStr">
        <is>
          <t>idem-20260902-ios-2521</t>
        </is>
      </c>
    </row>
    <row r="2523" ht="30" customHeight="1">
      <c r="A2523" s="4" t="n">
        <v>2522</v>
      </c>
      <c r="B2523" s="4" t="inlineStr">
        <is>
          <t>MTR-IOS-2522</t>
        </is>
      </c>
      <c r="C2523" s="4" t="inlineStr">
        <is>
          <t>Group</t>
        </is>
      </c>
      <c r="D2523" s="4" t="inlineStr">
        <is>
          <t>Shared Purchase</t>
        </is>
      </c>
      <c r="E2523" s="4" t="inlineStr">
        <is>
          <t>Purchase</t>
        </is>
      </c>
      <c r="F2523" s="4" t="inlineStr">
        <is>
          <t>Item</t>
        </is>
      </c>
      <c r="G2523" s="4" t="inlineStr">
        <is>
          <t>Expense</t>
        </is>
      </c>
      <c r="H2523" s="12" t="n">
        <v>46256</v>
      </c>
      <c r="I2523" s="13" t="n">
        <v>0.0654050925925926</v>
      </c>
      <c r="J2523" s="14" t="n">
        <v>46256.0654050926</v>
      </c>
      <c r="K2523" s="15" t="n">
        <v>14184.94</v>
      </c>
      <c r="L2523" s="4" t="inlineStr">
        <is>
          <t>INR</t>
        </is>
      </c>
      <c r="M2523" s="15" t="n">
        <v>-14184.94</v>
      </c>
      <c r="N2523" s="4" t="inlineStr">
        <is>
          <t>IOS Owner</t>
        </is>
      </c>
      <c r="O2523" s="4" t="n">
        <v>3</v>
      </c>
      <c r="P2523" s="4" t="inlineStr">
        <is>
          <t>EQUAL</t>
        </is>
      </c>
      <c r="Q2523" s="4" t="inlineStr">
        <is>
          <t>MAESTRO-IOS-GROUP-PURCHASE-2522 | Item | 14184.94</t>
        </is>
      </c>
      <c r="R2523" s="4" t="inlineStr">
        <is>
          <t>iPhone</t>
        </is>
      </c>
      <c r="S2523" s="4" t="inlineStr">
        <is>
          <t>B51</t>
        </is>
      </c>
      <c r="T2523" s="4" t="inlineStr">
        <is>
          <t>HIGH_2501_3000</t>
        </is>
      </c>
      <c r="U2523" s="4" t="inlineStr">
        <is>
          <t>CREATED</t>
        </is>
      </c>
      <c r="V2523" s="4" t="inlineStr">
        <is>
          <t>idem-20260902-ios-2522</t>
        </is>
      </c>
    </row>
    <row r="2524" ht="30" customHeight="1">
      <c r="A2524" s="4" t="n">
        <v>2523</v>
      </c>
      <c r="B2524" s="4" t="inlineStr">
        <is>
          <t>MTR-IOS-2523</t>
        </is>
      </c>
      <c r="C2524" s="4" t="inlineStr">
        <is>
          <t>Business</t>
        </is>
      </c>
      <c r="D2524" s="4" t="inlineStr">
        <is>
          <t>Business</t>
        </is>
      </c>
      <c r="E2524" s="4" t="inlineStr">
        <is>
          <t>Team Operations</t>
        </is>
      </c>
      <c r="F2524" s="4" t="inlineStr">
        <is>
          <t>Payroll</t>
        </is>
      </c>
      <c r="G2524" s="4" t="inlineStr">
        <is>
          <t>Expense</t>
        </is>
      </c>
      <c r="H2524" s="12" t="n">
        <v>46164</v>
      </c>
      <c r="I2524" s="13" t="n">
        <v>0.9031134259259259</v>
      </c>
      <c r="J2524" s="14" t="n">
        <v>46164.90311342593</v>
      </c>
      <c r="K2524" s="15" t="n">
        <v>14295.08</v>
      </c>
      <c r="L2524" s="4" t="inlineStr">
        <is>
          <t>INR</t>
        </is>
      </c>
      <c r="M2524" s="15" t="n">
        <v>-14295.08</v>
      </c>
      <c r="N2524" s="4" t="inlineStr">
        <is>
          <t>IOS Owner</t>
        </is>
      </c>
      <c r="O2524" s="4" t="n"/>
      <c r="P2524" s="4" t="n"/>
      <c r="Q2524" s="4" t="inlineStr">
        <is>
          <t>MAESTRO-IOS-BUSINESS-TEAM_OPERATIONS-2523 | Payroll | 14295.08</t>
        </is>
      </c>
      <c r="R2524" s="4" t="inlineStr">
        <is>
          <t>iPhone</t>
        </is>
      </c>
      <c r="S2524" s="4" t="inlineStr">
        <is>
          <t>B51</t>
        </is>
      </c>
      <c r="T2524" s="4" t="inlineStr">
        <is>
          <t>HIGH_2501_3000</t>
        </is>
      </c>
      <c r="U2524" s="4" t="inlineStr">
        <is>
          <t>CREATED</t>
        </is>
      </c>
      <c r="V2524" s="4" t="inlineStr">
        <is>
          <t>idem-20260902-ios-2523</t>
        </is>
      </c>
    </row>
    <row r="2525" ht="30" customHeight="1">
      <c r="A2525" s="4" t="n">
        <v>2524</v>
      </c>
      <c r="B2525" s="4" t="inlineStr">
        <is>
          <t>MTR-IOS-2524</t>
        </is>
      </c>
      <c r="C2525" s="4" t="inlineStr">
        <is>
          <t>Personal</t>
        </is>
      </c>
      <c r="D2525" s="4" t="inlineStr">
        <is>
          <t>Personal</t>
        </is>
      </c>
      <c r="E2525" s="4" t="inlineStr">
        <is>
          <t>Lifestyle</t>
        </is>
      </c>
      <c r="F2525" s="4" t="inlineStr">
        <is>
          <t>Shopping</t>
        </is>
      </c>
      <c r="G2525" s="4" t="inlineStr">
        <is>
          <t>Expense</t>
        </is>
      </c>
      <c r="H2525" s="12" t="n">
        <v>46055</v>
      </c>
      <c r="I2525" s="13" t="n">
        <v>0.6100694444444444</v>
      </c>
      <c r="J2525" s="14" t="n">
        <v>46055.61006944445</v>
      </c>
      <c r="K2525" s="15" t="n">
        <v>7719.63</v>
      </c>
      <c r="L2525" s="4" t="inlineStr">
        <is>
          <t>INR</t>
        </is>
      </c>
      <c r="M2525" s="15" t="n">
        <v>-7719.63</v>
      </c>
      <c r="N2525" s="4" t="inlineStr">
        <is>
          <t>IOS Owner</t>
        </is>
      </c>
      <c r="O2525" s="4" t="n"/>
      <c r="P2525" s="4" t="n"/>
      <c r="Q2525" s="4" t="inlineStr">
        <is>
          <t>MAESTRO-IOS-PERSONAL-LIFESTYLE-2524 | Shopping | 7719.63</t>
        </is>
      </c>
      <c r="R2525" s="4" t="inlineStr">
        <is>
          <t>iPhone</t>
        </is>
      </c>
      <c r="S2525" s="4" t="inlineStr">
        <is>
          <t>B51</t>
        </is>
      </c>
      <c r="T2525" s="4" t="inlineStr">
        <is>
          <t>HIGH_2501_3000</t>
        </is>
      </c>
      <c r="U2525" s="4" t="inlineStr">
        <is>
          <t>CREATED</t>
        </is>
      </c>
      <c r="V2525" s="4" t="inlineStr">
        <is>
          <t>idem-20260902-ios-2524</t>
        </is>
      </c>
    </row>
    <row r="2526" ht="30" customHeight="1">
      <c r="A2526" s="4" t="n">
        <v>2525</v>
      </c>
      <c r="B2526" s="4" t="inlineStr">
        <is>
          <t>MTR-IOS-2525</t>
        </is>
      </c>
      <c r="C2526" s="4" t="inlineStr">
        <is>
          <t>Group</t>
        </is>
      </c>
      <c r="D2526" s="4" t="inlineStr">
        <is>
          <t>Shared Purchase</t>
        </is>
      </c>
      <c r="E2526" s="4" t="inlineStr">
        <is>
          <t>Purchase</t>
        </is>
      </c>
      <c r="F2526" s="4" t="inlineStr">
        <is>
          <t>Shipping</t>
        </is>
      </c>
      <c r="G2526" s="4" t="inlineStr">
        <is>
          <t>Expense</t>
        </is>
      </c>
      <c r="H2526" s="12" t="n">
        <v>46096</v>
      </c>
      <c r="I2526" s="13" t="n">
        <v>0.9400462962962963</v>
      </c>
      <c r="J2526" s="14" t="n">
        <v>46096.94004629629</v>
      </c>
      <c r="K2526" s="15" t="n">
        <v>22134.68</v>
      </c>
      <c r="L2526" s="4" t="inlineStr">
        <is>
          <t>INR</t>
        </is>
      </c>
      <c r="M2526" s="15" t="n">
        <v>-22134.68</v>
      </c>
      <c r="N2526" s="4" t="inlineStr">
        <is>
          <t>IOS Aarav</t>
        </is>
      </c>
      <c r="O2526" s="4" t="n">
        <v>3</v>
      </c>
      <c r="P2526" s="4" t="inlineStr">
        <is>
          <t>PERCENTAGE</t>
        </is>
      </c>
      <c r="Q2526" s="4" t="inlineStr">
        <is>
          <t>MAESTRO-IOS-GROUP-PURCHASE-2525 | Shipping | 22134.68</t>
        </is>
      </c>
      <c r="R2526" s="4" t="inlineStr">
        <is>
          <t>iPhone</t>
        </is>
      </c>
      <c r="S2526" s="4" t="inlineStr">
        <is>
          <t>B51</t>
        </is>
      </c>
      <c r="T2526" s="4" t="inlineStr">
        <is>
          <t>HIGH_2501_3000</t>
        </is>
      </c>
      <c r="U2526" s="4" t="inlineStr">
        <is>
          <t>CREATED</t>
        </is>
      </c>
      <c r="V2526" s="4" t="inlineStr">
        <is>
          <t>idem-20260902-ios-2525</t>
        </is>
      </c>
    </row>
    <row r="2527" ht="30" customHeight="1">
      <c r="A2527" s="4" t="n">
        <v>2526</v>
      </c>
      <c r="B2527" s="4" t="inlineStr">
        <is>
          <t>MTR-IOS-2526</t>
        </is>
      </c>
      <c r="C2527" s="4" t="inlineStr">
        <is>
          <t>Business</t>
        </is>
      </c>
      <c r="D2527" s="4" t="inlineStr">
        <is>
          <t>Business</t>
        </is>
      </c>
      <c r="E2527" s="4" t="inlineStr">
        <is>
          <t>Team Operations</t>
        </is>
      </c>
      <c r="F2527" s="4" t="inlineStr">
        <is>
          <t>Contractor</t>
        </is>
      </c>
      <c r="G2527" s="4" t="inlineStr">
        <is>
          <t>Expense</t>
        </is>
      </c>
      <c r="H2527" s="12" t="n">
        <v>46211</v>
      </c>
      <c r="I2527" s="13" t="n">
        <v>0.4590046296296296</v>
      </c>
      <c r="J2527" s="14" t="n">
        <v>46211.45900462963</v>
      </c>
      <c r="K2527" s="15" t="n">
        <v>132426.96</v>
      </c>
      <c r="L2527" s="4" t="inlineStr">
        <is>
          <t>INR</t>
        </is>
      </c>
      <c r="M2527" s="15" t="n">
        <v>-132426.96</v>
      </c>
      <c r="N2527" s="4" t="inlineStr">
        <is>
          <t>IOS Owner</t>
        </is>
      </c>
      <c r="O2527" s="4" t="n"/>
      <c r="P2527" s="4" t="n"/>
      <c r="Q2527" s="4" t="inlineStr">
        <is>
          <t>MAESTRO-IOS-BUSINESS-TEAM_OPERATIONS-2526 | Contractor | 132426.96</t>
        </is>
      </c>
      <c r="R2527" s="4" t="inlineStr">
        <is>
          <t>iPhone</t>
        </is>
      </c>
      <c r="S2527" s="4" t="inlineStr">
        <is>
          <t>B51</t>
        </is>
      </c>
      <c r="T2527" s="4" t="inlineStr">
        <is>
          <t>HIGH_2501_3000</t>
        </is>
      </c>
      <c r="U2527" s="4" t="inlineStr">
        <is>
          <t>CREATED</t>
        </is>
      </c>
      <c r="V2527" s="4" t="inlineStr">
        <is>
          <t>idem-20260902-ios-2526</t>
        </is>
      </c>
    </row>
    <row r="2528" ht="30" customHeight="1">
      <c r="A2528" s="4" t="n">
        <v>2527</v>
      </c>
      <c r="B2528" s="4" t="inlineStr">
        <is>
          <t>MTR-IOS-2527</t>
        </is>
      </c>
      <c r="C2528" s="4" t="inlineStr">
        <is>
          <t>Personal</t>
        </is>
      </c>
      <c r="D2528" s="4" t="inlineStr">
        <is>
          <t>Personal</t>
        </is>
      </c>
      <c r="E2528" s="4" t="inlineStr">
        <is>
          <t>Lifestyle</t>
        </is>
      </c>
      <c r="F2528" s="4" t="inlineStr">
        <is>
          <t>Entertainment</t>
        </is>
      </c>
      <c r="G2528" s="4" t="inlineStr">
        <is>
          <t>Expense</t>
        </is>
      </c>
      <c r="H2528" s="12" t="n">
        <v>46114</v>
      </c>
      <c r="I2528" s="13" t="n">
        <v>0.6384143518518518</v>
      </c>
      <c r="J2528" s="14" t="n">
        <v>46114.63841435185</v>
      </c>
      <c r="K2528" s="15" t="n">
        <v>13013.99</v>
      </c>
      <c r="L2528" s="4" t="inlineStr">
        <is>
          <t>INR</t>
        </is>
      </c>
      <c r="M2528" s="15" t="n">
        <v>-13013.99</v>
      </c>
      <c r="N2528" s="4" t="inlineStr">
        <is>
          <t>IOS Owner</t>
        </is>
      </c>
      <c r="O2528" s="4" t="n"/>
      <c r="P2528" s="4" t="n"/>
      <c r="Q2528" s="4" t="inlineStr">
        <is>
          <t>MAESTRO-IOS-PERSONAL-LIFESTYLE-2527 | Entertainment | 13013.99</t>
        </is>
      </c>
      <c r="R2528" s="4" t="inlineStr">
        <is>
          <t>iPhone</t>
        </is>
      </c>
      <c r="S2528" s="4" t="inlineStr">
        <is>
          <t>B51</t>
        </is>
      </c>
      <c r="T2528" s="4" t="inlineStr">
        <is>
          <t>HIGH_2501_3000</t>
        </is>
      </c>
      <c r="U2528" s="4" t="inlineStr">
        <is>
          <t>CREATED</t>
        </is>
      </c>
      <c r="V2528" s="4" t="inlineStr">
        <is>
          <t>idem-20260902-ios-2527</t>
        </is>
      </c>
    </row>
    <row r="2529" ht="30" customHeight="1">
      <c r="A2529" s="4" t="n">
        <v>2528</v>
      </c>
      <c r="B2529" s="4" t="inlineStr">
        <is>
          <t>MTR-IOS-2528</t>
        </is>
      </c>
      <c r="C2529" s="4" t="inlineStr">
        <is>
          <t>Group</t>
        </is>
      </c>
      <c r="D2529" s="4" t="inlineStr">
        <is>
          <t>Shared Purchase</t>
        </is>
      </c>
      <c r="E2529" s="4" t="inlineStr">
        <is>
          <t>Purchase</t>
        </is>
      </c>
      <c r="F2529" s="4" t="inlineStr">
        <is>
          <t>Tax</t>
        </is>
      </c>
      <c r="G2529" s="4" t="inlineStr">
        <is>
          <t>Expense</t>
        </is>
      </c>
      <c r="H2529" s="12" t="n">
        <v>46206</v>
      </c>
      <c r="I2529" s="13" t="n">
        <v>0.644988425925926</v>
      </c>
      <c r="J2529" s="14" t="n">
        <v>46206.64498842593</v>
      </c>
      <c r="K2529" s="15" t="n">
        <v>789.65</v>
      </c>
      <c r="L2529" s="4" t="inlineStr">
        <is>
          <t>INR</t>
        </is>
      </c>
      <c r="M2529" s="15" t="n">
        <v>-789.65</v>
      </c>
      <c r="N2529" s="4" t="inlineStr">
        <is>
          <t>IOS Meera</t>
        </is>
      </c>
      <c r="O2529" s="4" t="n">
        <v>3</v>
      </c>
      <c r="P2529" s="4" t="inlineStr">
        <is>
          <t>EXACT</t>
        </is>
      </c>
      <c r="Q2529" s="4" t="inlineStr">
        <is>
          <t>MAESTRO-IOS-GROUP-PURCHASE-2528 | Tax | 789.65</t>
        </is>
      </c>
      <c r="R2529" s="4" t="inlineStr">
        <is>
          <t>iPhone</t>
        </is>
      </c>
      <c r="S2529" s="4" t="inlineStr">
        <is>
          <t>B51</t>
        </is>
      </c>
      <c r="T2529" s="4" t="inlineStr">
        <is>
          <t>HIGH_2501_3000</t>
        </is>
      </c>
      <c r="U2529" s="4" t="inlineStr">
        <is>
          <t>CREATED</t>
        </is>
      </c>
      <c r="V2529" s="4" t="inlineStr">
        <is>
          <t>idem-20260902-ios-2528</t>
        </is>
      </c>
    </row>
    <row r="2530" ht="30" customHeight="1">
      <c r="A2530" s="4" t="n">
        <v>2529</v>
      </c>
      <c r="B2530" s="4" t="inlineStr">
        <is>
          <t>MTR-IOS-2529</t>
        </is>
      </c>
      <c r="C2530" s="4" t="inlineStr">
        <is>
          <t>Business</t>
        </is>
      </c>
      <c r="D2530" s="4" t="inlineStr">
        <is>
          <t>Business</t>
        </is>
      </c>
      <c r="E2530" s="4" t="inlineStr">
        <is>
          <t>Team Operations</t>
        </is>
      </c>
      <c r="F2530" s="4" t="inlineStr">
        <is>
          <t>Hiring</t>
        </is>
      </c>
      <c r="G2530" s="4" t="inlineStr">
        <is>
          <t>Expense</t>
        </is>
      </c>
      <c r="H2530" s="12" t="n">
        <v>46201</v>
      </c>
      <c r="I2530" s="13" t="n">
        <v>0.9578472222222222</v>
      </c>
      <c r="J2530" s="14" t="n">
        <v>46201.95784722222</v>
      </c>
      <c r="K2530" s="15" t="n">
        <v>75952.88</v>
      </c>
      <c r="L2530" s="4" t="inlineStr">
        <is>
          <t>INR</t>
        </is>
      </c>
      <c r="M2530" s="15" t="n">
        <v>-75952.88</v>
      </c>
      <c r="N2530" s="4" t="inlineStr">
        <is>
          <t>IOS Owner</t>
        </is>
      </c>
      <c r="O2530" s="4" t="n"/>
      <c r="P2530" s="4" t="n"/>
      <c r="Q2530" s="4" t="inlineStr">
        <is>
          <t>MAESTRO-IOS-BUSINESS-TEAM_OPERATIONS-2529 | Hiring | 75952.88</t>
        </is>
      </c>
      <c r="R2530" s="4" t="inlineStr">
        <is>
          <t>iPhone</t>
        </is>
      </c>
      <c r="S2530" s="4" t="inlineStr">
        <is>
          <t>B51</t>
        </is>
      </c>
      <c r="T2530" s="4" t="inlineStr">
        <is>
          <t>HIGH_2501_3000</t>
        </is>
      </c>
      <c r="U2530" s="4" t="inlineStr">
        <is>
          <t>CREATED</t>
        </is>
      </c>
      <c r="V2530" s="4" t="inlineStr">
        <is>
          <t>idem-20260902-ios-2529</t>
        </is>
      </c>
    </row>
    <row r="2531" ht="30" customHeight="1">
      <c r="A2531" s="4" t="n">
        <v>2530</v>
      </c>
      <c r="B2531" s="4" t="inlineStr">
        <is>
          <t>MTR-IOS-2530</t>
        </is>
      </c>
      <c r="C2531" s="4" t="inlineStr">
        <is>
          <t>Personal</t>
        </is>
      </c>
      <c r="D2531" s="4" t="inlineStr">
        <is>
          <t>Personal</t>
        </is>
      </c>
      <c r="E2531" s="4" t="inlineStr">
        <is>
          <t>Lifestyle</t>
        </is>
      </c>
      <c r="F2531" s="4" t="inlineStr">
        <is>
          <t>Travel</t>
        </is>
      </c>
      <c r="G2531" s="4" t="inlineStr">
        <is>
          <t>Expense</t>
        </is>
      </c>
      <c r="H2531" s="12" t="n">
        <v>46071</v>
      </c>
      <c r="I2531" s="13" t="n">
        <v>0.874537037037037</v>
      </c>
      <c r="J2531" s="14" t="n">
        <v>46071.87453703704</v>
      </c>
      <c r="K2531" s="15" t="n">
        <v>258.24</v>
      </c>
      <c r="L2531" s="4" t="inlineStr">
        <is>
          <t>INR</t>
        </is>
      </c>
      <c r="M2531" s="15" t="n">
        <v>-258.24</v>
      </c>
      <c r="N2531" s="4" t="inlineStr">
        <is>
          <t>IOS Owner</t>
        </is>
      </c>
      <c r="O2531" s="4" t="n"/>
      <c r="P2531" s="4" t="n"/>
      <c r="Q2531" s="4" t="inlineStr">
        <is>
          <t>MAESTRO-IOS-PERSONAL-LIFESTYLE-2530 | Travel | 258.24</t>
        </is>
      </c>
      <c r="R2531" s="4" t="inlineStr">
        <is>
          <t>iPhone</t>
        </is>
      </c>
      <c r="S2531" s="4" t="inlineStr">
        <is>
          <t>B51</t>
        </is>
      </c>
      <c r="T2531" s="4" t="inlineStr">
        <is>
          <t>HIGH_2501_3000</t>
        </is>
      </c>
      <c r="U2531" s="4" t="inlineStr">
        <is>
          <t>CREATED</t>
        </is>
      </c>
      <c r="V2531" s="4" t="inlineStr">
        <is>
          <t>idem-20260902-ios-2530</t>
        </is>
      </c>
    </row>
    <row r="2532" ht="30" customHeight="1">
      <c r="A2532" s="4" t="n">
        <v>2531</v>
      </c>
      <c r="B2532" s="4" t="inlineStr">
        <is>
          <t>MTR-IOS-2531</t>
        </is>
      </c>
      <c r="C2532" s="4" t="inlineStr">
        <is>
          <t>Group</t>
        </is>
      </c>
      <c r="D2532" s="4" t="inlineStr">
        <is>
          <t>Shared Purchase</t>
        </is>
      </c>
      <c r="E2532" s="4" t="inlineStr">
        <is>
          <t>Purchase</t>
        </is>
      </c>
      <c r="F2532" s="4" t="inlineStr">
        <is>
          <t>Other</t>
        </is>
      </c>
      <c r="G2532" s="4" t="inlineStr">
        <is>
          <t>Expense</t>
        </is>
      </c>
      <c r="H2532" s="12" t="n">
        <v>45997</v>
      </c>
      <c r="I2532" s="13" t="n">
        <v>0.99625</v>
      </c>
      <c r="J2532" s="14" t="n">
        <v>45997.99625</v>
      </c>
      <c r="K2532" s="15" t="n">
        <v>10636.98</v>
      </c>
      <c r="L2532" s="4" t="inlineStr">
        <is>
          <t>INR</t>
        </is>
      </c>
      <c r="M2532" s="15" t="n">
        <v>-10636.98</v>
      </c>
      <c r="N2532" s="4" t="inlineStr">
        <is>
          <t>IOS Owner</t>
        </is>
      </c>
      <c r="O2532" s="4" t="n">
        <v>3</v>
      </c>
      <c r="P2532" s="4" t="inlineStr">
        <is>
          <t>SHARES</t>
        </is>
      </c>
      <c r="Q2532" s="4" t="inlineStr">
        <is>
          <t>MAESTRO-IOS-GROUP-PURCHASE-2531 | Other | 10636.98</t>
        </is>
      </c>
      <c r="R2532" s="4" t="inlineStr">
        <is>
          <t>iPhone</t>
        </is>
      </c>
      <c r="S2532" s="4" t="inlineStr">
        <is>
          <t>B51</t>
        </is>
      </c>
      <c r="T2532" s="4" t="inlineStr">
        <is>
          <t>HIGH_2501_3000</t>
        </is>
      </c>
      <c r="U2532" s="4" t="inlineStr">
        <is>
          <t>CREATED</t>
        </is>
      </c>
      <c r="V2532" s="4" t="inlineStr">
        <is>
          <t>idem-20260902-ios-2531</t>
        </is>
      </c>
    </row>
    <row r="2533" ht="30" customHeight="1">
      <c r="A2533" s="4" t="n">
        <v>2532</v>
      </c>
      <c r="B2533" s="4" t="inlineStr">
        <is>
          <t>MTR-IOS-2532</t>
        </is>
      </c>
      <c r="C2533" s="4" t="inlineStr">
        <is>
          <t>Business</t>
        </is>
      </c>
      <c r="D2533" s="4" t="inlineStr">
        <is>
          <t>Business</t>
        </is>
      </c>
      <c r="E2533" s="4" t="inlineStr">
        <is>
          <t>Team Operations</t>
        </is>
      </c>
      <c r="F2533" s="4" t="inlineStr">
        <is>
          <t>Team Meal</t>
        </is>
      </c>
      <c r="G2533" s="4" t="inlineStr">
        <is>
          <t>Expense</t>
        </is>
      </c>
      <c r="H2533" s="12" t="n">
        <v>46099</v>
      </c>
      <c r="I2533" s="13" t="n">
        <v>0.8297569444444445</v>
      </c>
      <c r="J2533" s="14" t="n">
        <v>46099.82975694445</v>
      </c>
      <c r="K2533" s="15" t="n">
        <v>103020.32</v>
      </c>
      <c r="L2533" s="4" t="inlineStr">
        <is>
          <t>INR</t>
        </is>
      </c>
      <c r="M2533" s="15" t="n">
        <v>-103020.32</v>
      </c>
      <c r="N2533" s="4" t="inlineStr">
        <is>
          <t>IOS Owner</t>
        </is>
      </c>
      <c r="O2533" s="4" t="n"/>
      <c r="P2533" s="4" t="n"/>
      <c r="Q2533" s="4" t="inlineStr">
        <is>
          <t>MAESTRO-IOS-BUSINESS-TEAM_OPERATIONS-2532 | Team Meal | 103020.32</t>
        </is>
      </c>
      <c r="R2533" s="4" t="inlineStr">
        <is>
          <t>iPhone</t>
        </is>
      </c>
      <c r="S2533" s="4" t="inlineStr">
        <is>
          <t>B51</t>
        </is>
      </c>
      <c r="T2533" s="4" t="inlineStr">
        <is>
          <t>HIGH_2501_3000</t>
        </is>
      </c>
      <c r="U2533" s="4" t="inlineStr">
        <is>
          <t>CREATED</t>
        </is>
      </c>
      <c r="V2533" s="4" t="inlineStr">
        <is>
          <t>idem-20260902-ios-2532</t>
        </is>
      </c>
    </row>
    <row r="2534" ht="30" customHeight="1">
      <c r="A2534" s="4" t="n">
        <v>2533</v>
      </c>
      <c r="B2534" s="4" t="inlineStr">
        <is>
          <t>MTR-IOS-2533</t>
        </is>
      </c>
      <c r="C2534" s="4" t="inlineStr">
        <is>
          <t>Personal</t>
        </is>
      </c>
      <c r="D2534" s="4" t="inlineStr">
        <is>
          <t>Personal</t>
        </is>
      </c>
      <c r="E2534" s="4" t="inlineStr">
        <is>
          <t>Lifestyle</t>
        </is>
      </c>
      <c r="F2534" s="4" t="inlineStr">
        <is>
          <t>Fitness</t>
        </is>
      </c>
      <c r="G2534" s="4" t="inlineStr">
        <is>
          <t>Expense</t>
        </is>
      </c>
      <c r="H2534" s="12" t="n">
        <v>46016</v>
      </c>
      <c r="I2534" s="13" t="n">
        <v>0.4946759259259259</v>
      </c>
      <c r="J2534" s="14" t="n">
        <v>46016.49467592593</v>
      </c>
      <c r="K2534" s="15" t="n">
        <v>11553.76</v>
      </c>
      <c r="L2534" s="4" t="inlineStr">
        <is>
          <t>INR</t>
        </is>
      </c>
      <c r="M2534" s="15" t="n">
        <v>-11553.76</v>
      </c>
      <c r="N2534" s="4" t="inlineStr">
        <is>
          <t>IOS Owner</t>
        </is>
      </c>
      <c r="O2534" s="4" t="n"/>
      <c r="P2534" s="4" t="n"/>
      <c r="Q2534" s="4" t="inlineStr">
        <is>
          <t>MAESTRO-IOS-PERSONAL-LIFESTYLE-2533 | Fitness | 11553.76</t>
        </is>
      </c>
      <c r="R2534" s="4" t="inlineStr">
        <is>
          <t>iPhone</t>
        </is>
      </c>
      <c r="S2534" s="4" t="inlineStr">
        <is>
          <t>B51</t>
        </is>
      </c>
      <c r="T2534" s="4" t="inlineStr">
        <is>
          <t>HIGH_2501_3000</t>
        </is>
      </c>
      <c r="U2534" s="4" t="inlineStr">
        <is>
          <t>CREATED</t>
        </is>
      </c>
      <c r="V2534" s="4" t="inlineStr">
        <is>
          <t>idem-20260902-ios-2533</t>
        </is>
      </c>
    </row>
    <row r="2535" ht="30" customHeight="1">
      <c r="A2535" s="4" t="n">
        <v>2534</v>
      </c>
      <c r="B2535" s="4" t="inlineStr">
        <is>
          <t>MTR-IOS-2534</t>
        </is>
      </c>
      <c r="C2535" s="4" t="inlineStr">
        <is>
          <t>Group</t>
        </is>
      </c>
      <c r="D2535" s="4" t="inlineStr">
        <is>
          <t>Shared Purchase</t>
        </is>
      </c>
      <c r="E2535" s="4" t="inlineStr">
        <is>
          <t>Assets</t>
        </is>
      </c>
      <c r="F2535" s="4" t="inlineStr">
        <is>
          <t>Purchase</t>
        </is>
      </c>
      <c r="G2535" s="4" t="inlineStr">
        <is>
          <t>Expense</t>
        </is>
      </c>
      <c r="H2535" s="12" t="n">
        <v>46049</v>
      </c>
      <c r="I2535" s="13" t="n">
        <v>0.967025462962963</v>
      </c>
      <c r="J2535" s="14" t="n">
        <v>46049.96702546296</v>
      </c>
      <c r="K2535" s="15" t="n">
        <v>24199.2</v>
      </c>
      <c r="L2535" s="4" t="inlineStr">
        <is>
          <t>INR</t>
        </is>
      </c>
      <c r="M2535" s="15" t="n">
        <v>-24199.2</v>
      </c>
      <c r="N2535" s="4" t="inlineStr">
        <is>
          <t>IOS Aarav</t>
        </is>
      </c>
      <c r="O2535" s="4" t="n">
        <v>3</v>
      </c>
      <c r="P2535" s="4" t="inlineStr">
        <is>
          <t>EQUAL</t>
        </is>
      </c>
      <c r="Q2535" s="4" t="inlineStr">
        <is>
          <t>MAESTRO-IOS-GROUP-ASSETS-2534 | Purchase | 24199.20</t>
        </is>
      </c>
      <c r="R2535" s="4" t="inlineStr">
        <is>
          <t>iPhone</t>
        </is>
      </c>
      <c r="S2535" s="4" t="inlineStr">
        <is>
          <t>B51</t>
        </is>
      </c>
      <c r="T2535" s="4" t="inlineStr">
        <is>
          <t>HIGH_2501_3000</t>
        </is>
      </c>
      <c r="U2535" s="4" t="inlineStr">
        <is>
          <t>CREATED</t>
        </is>
      </c>
      <c r="V2535" s="4" t="inlineStr">
        <is>
          <t>idem-20260902-ios-2534</t>
        </is>
      </c>
    </row>
    <row r="2536" ht="30" customHeight="1">
      <c r="A2536" s="4" t="n">
        <v>2535</v>
      </c>
      <c r="B2536" s="4" t="inlineStr">
        <is>
          <t>MTR-IOS-2535</t>
        </is>
      </c>
      <c r="C2536" s="4" t="inlineStr">
        <is>
          <t>Business</t>
        </is>
      </c>
      <c r="D2536" s="4" t="inlineStr">
        <is>
          <t>Business</t>
        </is>
      </c>
      <c r="E2536" s="4" t="inlineStr">
        <is>
          <t>Team Operations</t>
        </is>
      </c>
      <c r="F2536" s="4" t="inlineStr">
        <is>
          <t>Travel</t>
        </is>
      </c>
      <c r="G2536" s="4" t="inlineStr">
        <is>
          <t>Expense</t>
        </is>
      </c>
      <c r="H2536" s="12" t="n">
        <v>45923</v>
      </c>
      <c r="I2536" s="13" t="n">
        <v>0.001863425925925926</v>
      </c>
      <c r="J2536" s="14" t="n">
        <v>45923.00186342592</v>
      </c>
      <c r="K2536" s="15" t="n">
        <v>32294.09</v>
      </c>
      <c r="L2536" s="4" t="inlineStr">
        <is>
          <t>INR</t>
        </is>
      </c>
      <c r="M2536" s="15" t="n">
        <v>-32294.09</v>
      </c>
      <c r="N2536" s="4" t="inlineStr">
        <is>
          <t>IOS Owner</t>
        </is>
      </c>
      <c r="O2536" s="4" t="n"/>
      <c r="P2536" s="4" t="n"/>
      <c r="Q2536" s="4" t="inlineStr">
        <is>
          <t>MAESTRO-IOS-BUSINESS-TEAM_OPERATIONS-2535 | Travel | 32294.09</t>
        </is>
      </c>
      <c r="R2536" s="4" t="inlineStr">
        <is>
          <t>iPhone</t>
        </is>
      </c>
      <c r="S2536" s="4" t="inlineStr">
        <is>
          <t>B51</t>
        </is>
      </c>
      <c r="T2536" s="4" t="inlineStr">
        <is>
          <t>HIGH_2501_3000</t>
        </is>
      </c>
      <c r="U2536" s="4" t="inlineStr">
        <is>
          <t>CREATED</t>
        </is>
      </c>
      <c r="V2536" s="4" t="inlineStr">
        <is>
          <t>idem-20260902-ios-2535</t>
        </is>
      </c>
    </row>
    <row r="2537" ht="30" customHeight="1">
      <c r="A2537" s="4" t="n">
        <v>2536</v>
      </c>
      <c r="B2537" s="4" t="inlineStr">
        <is>
          <t>MTR-IOS-2536</t>
        </is>
      </c>
      <c r="C2537" s="4" t="inlineStr">
        <is>
          <t>Personal</t>
        </is>
      </c>
      <c r="D2537" s="4" t="inlineStr">
        <is>
          <t>Personal</t>
        </is>
      </c>
      <c r="E2537" s="4" t="inlineStr">
        <is>
          <t>Lifestyle</t>
        </is>
      </c>
      <c r="F2537" s="4" t="inlineStr">
        <is>
          <t>Hobbies</t>
        </is>
      </c>
      <c r="G2537" s="4" t="inlineStr">
        <is>
          <t>Expense</t>
        </is>
      </c>
      <c r="H2537" s="12" t="n">
        <v>45975</v>
      </c>
      <c r="I2537" s="13" t="n">
        <v>0.5956018518518519</v>
      </c>
      <c r="J2537" s="14" t="n">
        <v>45975.59560185186</v>
      </c>
      <c r="K2537" s="15" t="n">
        <v>6643.04</v>
      </c>
      <c r="L2537" s="4" t="inlineStr">
        <is>
          <t>INR</t>
        </is>
      </c>
      <c r="M2537" s="15" t="n">
        <v>-6643.04</v>
      </c>
      <c r="N2537" s="4" t="inlineStr">
        <is>
          <t>IOS Owner</t>
        </is>
      </c>
      <c r="O2537" s="4" t="n"/>
      <c r="P2537" s="4" t="n"/>
      <c r="Q2537" s="4" t="inlineStr">
        <is>
          <t>MAESTRO-IOS-PERSONAL-LIFESTYLE-2536 | Hobbies | 6643.04</t>
        </is>
      </c>
      <c r="R2537" s="4" t="inlineStr">
        <is>
          <t>iPhone</t>
        </is>
      </c>
      <c r="S2537" s="4" t="inlineStr">
        <is>
          <t>B51</t>
        </is>
      </c>
      <c r="T2537" s="4" t="inlineStr">
        <is>
          <t>HIGH_2501_3000</t>
        </is>
      </c>
      <c r="U2537" s="4" t="inlineStr">
        <is>
          <t>CREATED</t>
        </is>
      </c>
      <c r="V2537" s="4" t="inlineStr">
        <is>
          <t>idem-20260902-ios-2536</t>
        </is>
      </c>
    </row>
    <row r="2538" ht="30" customHeight="1">
      <c r="A2538" s="4" t="n">
        <v>2537</v>
      </c>
      <c r="B2538" s="4" t="inlineStr">
        <is>
          <t>MTR-IOS-2537</t>
        </is>
      </c>
      <c r="C2538" s="4" t="inlineStr">
        <is>
          <t>Group</t>
        </is>
      </c>
      <c r="D2538" s="4" t="inlineStr">
        <is>
          <t>Shared Purchase</t>
        </is>
      </c>
      <c r="E2538" s="4" t="inlineStr">
        <is>
          <t>Assets</t>
        </is>
      </c>
      <c r="F2538" s="4" t="inlineStr">
        <is>
          <t>Maintenance</t>
        </is>
      </c>
      <c r="G2538" s="4" t="inlineStr">
        <is>
          <t>Expense</t>
        </is>
      </c>
      <c r="H2538" s="12" t="n">
        <v>46059</v>
      </c>
      <c r="I2538" s="13" t="n">
        <v>0.4614467592592593</v>
      </c>
      <c r="J2538" s="14" t="n">
        <v>46059.46144675926</v>
      </c>
      <c r="K2538" s="15" t="n">
        <v>15226.97</v>
      </c>
      <c r="L2538" s="4" t="inlineStr">
        <is>
          <t>INR</t>
        </is>
      </c>
      <c r="M2538" s="15" t="n">
        <v>-15226.97</v>
      </c>
      <c r="N2538" s="4" t="inlineStr">
        <is>
          <t>IOS Meera</t>
        </is>
      </c>
      <c r="O2538" s="4" t="n">
        <v>3</v>
      </c>
      <c r="P2538" s="4" t="inlineStr">
        <is>
          <t>PERCENTAGE</t>
        </is>
      </c>
      <c r="Q2538" s="4" t="inlineStr">
        <is>
          <t>MAESTRO-IOS-GROUP-ASSETS-2537 | Maintenance | 15226.97</t>
        </is>
      </c>
      <c r="R2538" s="4" t="inlineStr">
        <is>
          <t>iPhone</t>
        </is>
      </c>
      <c r="S2538" s="4" t="inlineStr">
        <is>
          <t>B51</t>
        </is>
      </c>
      <c r="T2538" s="4" t="inlineStr">
        <is>
          <t>HIGH_2501_3000</t>
        </is>
      </c>
      <c r="U2538" s="4" t="inlineStr">
        <is>
          <t>CREATED</t>
        </is>
      </c>
      <c r="V2538" s="4" t="inlineStr">
        <is>
          <t>idem-20260902-ios-2537</t>
        </is>
      </c>
    </row>
    <row r="2539" ht="30" customHeight="1">
      <c r="A2539" s="4" t="n">
        <v>2538</v>
      </c>
      <c r="B2539" s="4" t="inlineStr">
        <is>
          <t>MTR-IOS-2538</t>
        </is>
      </c>
      <c r="C2539" s="4" t="inlineStr">
        <is>
          <t>Business</t>
        </is>
      </c>
      <c r="D2539" s="4" t="inlineStr">
        <is>
          <t>Business</t>
        </is>
      </c>
      <c r="E2539" s="4" t="inlineStr">
        <is>
          <t>Team Operations</t>
        </is>
      </c>
      <c r="F2539" s="4" t="inlineStr">
        <is>
          <t>Training</t>
        </is>
      </c>
      <c r="G2539" s="4" t="inlineStr">
        <is>
          <t>Expense</t>
        </is>
      </c>
      <c r="H2539" s="12" t="n">
        <v>46040</v>
      </c>
      <c r="I2539" s="13" t="n">
        <v>0.5559837962962964</v>
      </c>
      <c r="J2539" s="14" t="n">
        <v>46040.55598379629</v>
      </c>
      <c r="K2539" s="15" t="n">
        <v>153354.98</v>
      </c>
      <c r="L2539" s="4" t="inlineStr">
        <is>
          <t>INR</t>
        </is>
      </c>
      <c r="M2539" s="15" t="n">
        <v>-153354.98</v>
      </c>
      <c r="N2539" s="4" t="inlineStr">
        <is>
          <t>IOS Owner</t>
        </is>
      </c>
      <c r="O2539" s="4" t="n"/>
      <c r="P2539" s="4" t="n"/>
      <c r="Q2539" s="4" t="inlineStr">
        <is>
          <t>MAESTRO-IOS-BUSINESS-TEAM_OPERATIONS-2538 | Training | 153354.98</t>
        </is>
      </c>
      <c r="R2539" s="4" t="inlineStr">
        <is>
          <t>iPhone</t>
        </is>
      </c>
      <c r="S2539" s="4" t="inlineStr">
        <is>
          <t>B51</t>
        </is>
      </c>
      <c r="T2539" s="4" t="inlineStr">
        <is>
          <t>HIGH_2501_3000</t>
        </is>
      </c>
      <c r="U2539" s="4" t="inlineStr">
        <is>
          <t>CREATED</t>
        </is>
      </c>
      <c r="V2539" s="4" t="inlineStr">
        <is>
          <t>idem-20260902-ios-2538</t>
        </is>
      </c>
    </row>
    <row r="2540" ht="30" customHeight="1">
      <c r="A2540" s="4" t="n">
        <v>2539</v>
      </c>
      <c r="B2540" s="4" t="inlineStr">
        <is>
          <t>MTR-IOS-2539</t>
        </is>
      </c>
      <c r="C2540" s="4" t="inlineStr">
        <is>
          <t>Personal</t>
        </is>
      </c>
      <c r="D2540" s="4" t="inlineStr">
        <is>
          <t>Personal</t>
        </is>
      </c>
      <c r="E2540" s="4" t="inlineStr">
        <is>
          <t>Relationships</t>
        </is>
      </c>
      <c r="F2540" s="4" t="inlineStr">
        <is>
          <t>Gifts</t>
        </is>
      </c>
      <c r="G2540" s="4" t="inlineStr">
        <is>
          <t>Expense</t>
        </is>
      </c>
      <c r="H2540" s="12" t="n">
        <v>46092</v>
      </c>
      <c r="I2540" s="13" t="n">
        <v>0.9477199074074074</v>
      </c>
      <c r="J2540" s="14" t="n">
        <v>46092.94771990741</v>
      </c>
      <c r="K2540" s="15" t="n">
        <v>5020.71</v>
      </c>
      <c r="L2540" s="4" t="inlineStr">
        <is>
          <t>INR</t>
        </is>
      </c>
      <c r="M2540" s="15" t="n">
        <v>-5020.71</v>
      </c>
      <c r="N2540" s="4" t="inlineStr">
        <is>
          <t>IOS Owner</t>
        </is>
      </c>
      <c r="O2540" s="4" t="n"/>
      <c r="P2540" s="4" t="n"/>
      <c r="Q2540" s="4" t="inlineStr">
        <is>
          <t>MAESTRO-IOS-PERSONAL-RELATIONSHIPS-2539 | Gifts | 5020.71</t>
        </is>
      </c>
      <c r="R2540" s="4" t="inlineStr">
        <is>
          <t>iPhone</t>
        </is>
      </c>
      <c r="S2540" s="4" t="inlineStr">
        <is>
          <t>B51</t>
        </is>
      </c>
      <c r="T2540" s="4" t="inlineStr">
        <is>
          <t>HIGH_2501_3000</t>
        </is>
      </c>
      <c r="U2540" s="4" t="inlineStr">
        <is>
          <t>CREATED</t>
        </is>
      </c>
      <c r="V2540" s="4" t="inlineStr">
        <is>
          <t>idem-20260902-ios-2539</t>
        </is>
      </c>
    </row>
    <row r="2541" ht="30" customHeight="1">
      <c r="A2541" s="4" t="n">
        <v>2540</v>
      </c>
      <c r="B2541" s="4" t="inlineStr">
        <is>
          <t>MTR-IOS-2540</t>
        </is>
      </c>
      <c r="C2541" s="4" t="inlineStr">
        <is>
          <t>Group</t>
        </is>
      </c>
      <c r="D2541" s="4" t="inlineStr">
        <is>
          <t>Shared Purchase</t>
        </is>
      </c>
      <c r="E2541" s="4" t="inlineStr">
        <is>
          <t>Assets</t>
        </is>
      </c>
      <c r="F2541" s="4" t="inlineStr">
        <is>
          <t>Repair</t>
        </is>
      </c>
      <c r="G2541" s="4" t="inlineStr">
        <is>
          <t>Expense</t>
        </is>
      </c>
      <c r="H2541" s="12" t="n">
        <v>46246</v>
      </c>
      <c r="I2541" s="13" t="n">
        <v>0.05944444444444445</v>
      </c>
      <c r="J2541" s="14" t="n">
        <v>46246.05944444444</v>
      </c>
      <c r="K2541" s="15" t="n">
        <v>695.47</v>
      </c>
      <c r="L2541" s="4" t="inlineStr">
        <is>
          <t>INR</t>
        </is>
      </c>
      <c r="M2541" s="15" t="n">
        <v>-695.47</v>
      </c>
      <c r="N2541" s="4" t="inlineStr">
        <is>
          <t>IOS Owner</t>
        </is>
      </c>
      <c r="O2541" s="4" t="n">
        <v>3</v>
      </c>
      <c r="P2541" s="4" t="inlineStr">
        <is>
          <t>EXACT</t>
        </is>
      </c>
      <c r="Q2541" s="4" t="inlineStr">
        <is>
          <t>MAESTRO-IOS-GROUP-ASSETS-2540 | Repair | 695.47</t>
        </is>
      </c>
      <c r="R2541" s="4" t="inlineStr">
        <is>
          <t>iPhone</t>
        </is>
      </c>
      <c r="S2541" s="4" t="inlineStr">
        <is>
          <t>B51</t>
        </is>
      </c>
      <c r="T2541" s="4" t="inlineStr">
        <is>
          <t>HIGH_2501_3000</t>
        </is>
      </c>
      <c r="U2541" s="4" t="inlineStr">
        <is>
          <t>CREATED</t>
        </is>
      </c>
      <c r="V2541" s="4" t="inlineStr">
        <is>
          <t>idem-20260902-ios-2540</t>
        </is>
      </c>
    </row>
    <row r="2542" ht="30" customHeight="1">
      <c r="A2542" s="4" t="n">
        <v>2541</v>
      </c>
      <c r="B2542" s="4" t="inlineStr">
        <is>
          <t>MTR-IOS-2541</t>
        </is>
      </c>
      <c r="C2542" s="4" t="inlineStr">
        <is>
          <t>Business</t>
        </is>
      </c>
      <c r="D2542" s="4" t="inlineStr">
        <is>
          <t>Business</t>
        </is>
      </c>
      <c r="E2542" s="4" t="inlineStr">
        <is>
          <t>Team Operations</t>
        </is>
      </c>
      <c r="F2542" s="4" t="inlineStr">
        <is>
          <t>Tools</t>
        </is>
      </c>
      <c r="G2542" s="4" t="inlineStr">
        <is>
          <t>Expense</t>
        </is>
      </c>
      <c r="H2542" s="12" t="n">
        <v>45936</v>
      </c>
      <c r="I2542" s="13" t="n">
        <v>0.8495833333333334</v>
      </c>
      <c r="J2542" s="14" t="n">
        <v>45936.84958333334</v>
      </c>
      <c r="K2542" s="15" t="n">
        <v>136503.06</v>
      </c>
      <c r="L2542" s="4" t="inlineStr">
        <is>
          <t>INR</t>
        </is>
      </c>
      <c r="M2542" s="15" t="n">
        <v>-136503.06</v>
      </c>
      <c r="N2542" s="4" t="inlineStr">
        <is>
          <t>IOS Owner</t>
        </is>
      </c>
      <c r="O2542" s="4" t="n"/>
      <c r="P2542" s="4" t="n"/>
      <c r="Q2542" s="4" t="inlineStr">
        <is>
          <t>MAESTRO-IOS-BUSINESS-TEAM_OPERATIONS-2541 | Tools | 136503.06</t>
        </is>
      </c>
      <c r="R2542" s="4" t="inlineStr">
        <is>
          <t>iPhone</t>
        </is>
      </c>
      <c r="S2542" s="4" t="inlineStr">
        <is>
          <t>B51</t>
        </is>
      </c>
      <c r="T2542" s="4" t="inlineStr">
        <is>
          <t>HIGH_2501_3000</t>
        </is>
      </c>
      <c r="U2542" s="4" t="inlineStr">
        <is>
          <t>CREATED</t>
        </is>
      </c>
      <c r="V2542" s="4" t="inlineStr">
        <is>
          <t>idem-20260902-ios-2541</t>
        </is>
      </c>
    </row>
    <row r="2543" ht="30" customHeight="1">
      <c r="A2543" s="4" t="n">
        <v>2542</v>
      </c>
      <c r="B2543" s="4" t="inlineStr">
        <is>
          <t>MTR-IOS-2542</t>
        </is>
      </c>
      <c r="C2543" s="4" t="inlineStr">
        <is>
          <t>Personal</t>
        </is>
      </c>
      <c r="D2543" s="4" t="inlineStr">
        <is>
          <t>Personal</t>
        </is>
      </c>
      <c r="E2543" s="4" t="inlineStr">
        <is>
          <t>Relationships</t>
        </is>
      </c>
      <c r="F2543" s="4" t="inlineStr">
        <is>
          <t>Dates</t>
        </is>
      </c>
      <c r="G2543" s="4" t="inlineStr">
        <is>
          <t>Expense</t>
        </is>
      </c>
      <c r="H2543" s="12" t="n">
        <v>46094</v>
      </c>
      <c r="I2543" s="13" t="n">
        <v>0.9950694444444445</v>
      </c>
      <c r="J2543" s="14" t="n">
        <v>46094.99506944444</v>
      </c>
      <c r="K2543" s="15" t="n">
        <v>12765.5</v>
      </c>
      <c r="L2543" s="4" t="inlineStr">
        <is>
          <t>INR</t>
        </is>
      </c>
      <c r="M2543" s="15" t="n">
        <v>-12765.5</v>
      </c>
      <c r="N2543" s="4" t="inlineStr">
        <is>
          <t>IOS Owner</t>
        </is>
      </c>
      <c r="O2543" s="4" t="n"/>
      <c r="P2543" s="4" t="n"/>
      <c r="Q2543" s="4" t="inlineStr">
        <is>
          <t>MAESTRO-IOS-PERSONAL-RELATIONSHIPS-2542 | Dates | 12765.50</t>
        </is>
      </c>
      <c r="R2543" s="4" t="inlineStr">
        <is>
          <t>iPhone</t>
        </is>
      </c>
      <c r="S2543" s="4" t="inlineStr">
        <is>
          <t>B51</t>
        </is>
      </c>
      <c r="T2543" s="4" t="inlineStr">
        <is>
          <t>HIGH_2501_3000</t>
        </is>
      </c>
      <c r="U2543" s="4" t="inlineStr">
        <is>
          <t>CREATED</t>
        </is>
      </c>
      <c r="V2543" s="4" t="inlineStr">
        <is>
          <t>idem-20260902-ios-2542</t>
        </is>
      </c>
    </row>
    <row r="2544" ht="30" customHeight="1">
      <c r="A2544" s="4" t="n">
        <v>2543</v>
      </c>
      <c r="B2544" s="4" t="inlineStr">
        <is>
          <t>MTR-IOS-2543</t>
        </is>
      </c>
      <c r="C2544" s="4" t="inlineStr">
        <is>
          <t>Group</t>
        </is>
      </c>
      <c r="D2544" s="4" t="inlineStr">
        <is>
          <t>Shared Purchase</t>
        </is>
      </c>
      <c r="E2544" s="4" t="inlineStr">
        <is>
          <t>Assets</t>
        </is>
      </c>
      <c r="F2544" s="4" t="inlineStr">
        <is>
          <t>Insurance</t>
        </is>
      </c>
      <c r="G2544" s="4" t="inlineStr">
        <is>
          <t>Expense</t>
        </is>
      </c>
      <c r="H2544" s="12" t="n">
        <v>46198</v>
      </c>
      <c r="I2544" s="13" t="n">
        <v>0.153900462962963</v>
      </c>
      <c r="J2544" s="14" t="n">
        <v>46198.15390046296</v>
      </c>
      <c r="K2544" s="15" t="n">
        <v>20736.95</v>
      </c>
      <c r="L2544" s="4" t="inlineStr">
        <is>
          <t>INR</t>
        </is>
      </c>
      <c r="M2544" s="15" t="n">
        <v>-20736.95</v>
      </c>
      <c r="N2544" s="4" t="inlineStr">
        <is>
          <t>IOS Aarav</t>
        </is>
      </c>
      <c r="O2544" s="4" t="n">
        <v>3</v>
      </c>
      <c r="P2544" s="4" t="inlineStr">
        <is>
          <t>SHARES</t>
        </is>
      </c>
      <c r="Q2544" s="4" t="inlineStr">
        <is>
          <t>MAESTRO-IOS-GROUP-ASSETS-2543 | Insurance | 20736.95</t>
        </is>
      </c>
      <c r="R2544" s="4" t="inlineStr">
        <is>
          <t>iPhone</t>
        </is>
      </c>
      <c r="S2544" s="4" t="inlineStr">
        <is>
          <t>B51</t>
        </is>
      </c>
      <c r="T2544" s="4" t="inlineStr">
        <is>
          <t>HIGH_2501_3000</t>
        </is>
      </c>
      <c r="U2544" s="4" t="inlineStr">
        <is>
          <t>CREATED</t>
        </is>
      </c>
      <c r="V2544" s="4" t="inlineStr">
        <is>
          <t>idem-20260902-ios-2543</t>
        </is>
      </c>
    </row>
    <row r="2545" ht="30" customHeight="1">
      <c r="A2545" s="4" t="n">
        <v>2544</v>
      </c>
      <c r="B2545" s="4" t="inlineStr">
        <is>
          <t>MTR-IOS-2544</t>
        </is>
      </c>
      <c r="C2545" s="4" t="inlineStr">
        <is>
          <t>Business</t>
        </is>
      </c>
      <c r="D2545" s="4" t="inlineStr">
        <is>
          <t>Business</t>
        </is>
      </c>
      <c r="E2545" s="4" t="inlineStr">
        <is>
          <t>Business Runway</t>
        </is>
      </c>
      <c r="F2545" s="4" t="inlineStr">
        <is>
          <t>Funding</t>
        </is>
      </c>
      <c r="G2545" s="4" t="inlineStr">
        <is>
          <t>Income</t>
        </is>
      </c>
      <c r="H2545" s="12" t="n">
        <v>46141</v>
      </c>
      <c r="I2545" s="13" t="n">
        <v>0.3028935185185185</v>
      </c>
      <c r="J2545" s="14" t="n">
        <v>46141.30289351852</v>
      </c>
      <c r="K2545" s="15" t="n">
        <v>45270.05</v>
      </c>
      <c r="L2545" s="4" t="inlineStr">
        <is>
          <t>INR</t>
        </is>
      </c>
      <c r="M2545" s="15" t="n">
        <v>45270.05</v>
      </c>
      <c r="N2545" s="4" t="inlineStr">
        <is>
          <t>IOS Owner</t>
        </is>
      </c>
      <c r="O2545" s="4" t="n"/>
      <c r="P2545" s="4" t="n"/>
      <c r="Q2545" s="4" t="inlineStr">
        <is>
          <t>MAESTRO-IOS-BUSINESS-BUSINESS_RUNWAY-2544 | Funding | 45270.05</t>
        </is>
      </c>
      <c r="R2545" s="4" t="inlineStr">
        <is>
          <t>iPhone</t>
        </is>
      </c>
      <c r="S2545" s="4" t="inlineStr">
        <is>
          <t>B51</t>
        </is>
      </c>
      <c r="T2545" s="4" t="inlineStr">
        <is>
          <t>HIGH_2501_3000</t>
        </is>
      </c>
      <c r="U2545" s="4" t="inlineStr">
        <is>
          <t>CREATED</t>
        </is>
      </c>
      <c r="V2545" s="4" t="inlineStr">
        <is>
          <t>idem-20260902-ios-2544</t>
        </is>
      </c>
    </row>
    <row r="2546" ht="30" customHeight="1">
      <c r="A2546" s="4" t="n">
        <v>2545</v>
      </c>
      <c r="B2546" s="4" t="inlineStr">
        <is>
          <t>MTR-IOS-2545</t>
        </is>
      </c>
      <c r="C2546" s="4" t="inlineStr">
        <is>
          <t>Personal</t>
        </is>
      </c>
      <c r="D2546" s="4" t="inlineStr">
        <is>
          <t>Personal</t>
        </is>
      </c>
      <c r="E2546" s="4" t="inlineStr">
        <is>
          <t>Relationships</t>
        </is>
      </c>
      <c r="F2546" s="4" t="inlineStr">
        <is>
          <t>Family</t>
        </is>
      </c>
      <c r="G2546" s="4" t="inlineStr">
        <is>
          <t>Expense</t>
        </is>
      </c>
      <c r="H2546" s="12" t="n">
        <v>46134</v>
      </c>
      <c r="I2546" s="13" t="n">
        <v>0.6402314814814815</v>
      </c>
      <c r="J2546" s="14" t="n">
        <v>46134.64023148148</v>
      </c>
      <c r="K2546" s="15" t="n">
        <v>326.22</v>
      </c>
      <c r="L2546" s="4" t="inlineStr">
        <is>
          <t>INR</t>
        </is>
      </c>
      <c r="M2546" s="15" t="n">
        <v>-326.22</v>
      </c>
      <c r="N2546" s="4" t="inlineStr">
        <is>
          <t>IOS Owner</t>
        </is>
      </c>
      <c r="O2546" s="4" t="n"/>
      <c r="P2546" s="4" t="n"/>
      <c r="Q2546" s="4" t="inlineStr">
        <is>
          <t>MAESTRO-IOS-PERSONAL-RELATIONSHIPS-2545 | Family | 326.22</t>
        </is>
      </c>
      <c r="R2546" s="4" t="inlineStr">
        <is>
          <t>iPhone</t>
        </is>
      </c>
      <c r="S2546" s="4" t="inlineStr">
        <is>
          <t>B51</t>
        </is>
      </c>
      <c r="T2546" s="4" t="inlineStr">
        <is>
          <t>HIGH_2501_3000</t>
        </is>
      </c>
      <c r="U2546" s="4" t="inlineStr">
        <is>
          <t>CREATED</t>
        </is>
      </c>
      <c r="V2546" s="4" t="inlineStr">
        <is>
          <t>idem-20260902-ios-2545</t>
        </is>
      </c>
    </row>
    <row r="2547" ht="30" customHeight="1">
      <c r="A2547" s="4" t="n">
        <v>2546</v>
      </c>
      <c r="B2547" s="4" t="inlineStr">
        <is>
          <t>MTR-IOS-2546</t>
        </is>
      </c>
      <c r="C2547" s="4" t="inlineStr">
        <is>
          <t>Group</t>
        </is>
      </c>
      <c r="D2547" s="4" t="inlineStr">
        <is>
          <t>Shared Purchase</t>
        </is>
      </c>
      <c r="E2547" s="4" t="inlineStr">
        <is>
          <t>Assets</t>
        </is>
      </c>
      <c r="F2547" s="4" t="inlineStr">
        <is>
          <t>Other</t>
        </is>
      </c>
      <c r="G2547" s="4" t="inlineStr">
        <is>
          <t>Expense</t>
        </is>
      </c>
      <c r="H2547" s="12" t="n">
        <v>45920</v>
      </c>
      <c r="I2547" s="13" t="n">
        <v>0.7088425925925926</v>
      </c>
      <c r="J2547" s="14" t="n">
        <v>45920.70884259259</v>
      </c>
      <c r="K2547" s="15" t="n">
        <v>19154.54</v>
      </c>
      <c r="L2547" s="4" t="inlineStr">
        <is>
          <t>INR</t>
        </is>
      </c>
      <c r="M2547" s="15" t="n">
        <v>-19154.54</v>
      </c>
      <c r="N2547" s="4" t="inlineStr">
        <is>
          <t>IOS Meera</t>
        </is>
      </c>
      <c r="O2547" s="4" t="n">
        <v>3</v>
      </c>
      <c r="P2547" s="4" t="inlineStr">
        <is>
          <t>EQUAL</t>
        </is>
      </c>
      <c r="Q2547" s="4" t="inlineStr">
        <is>
          <t>MAESTRO-IOS-GROUP-ASSETS-2546 | Other | 19154.54</t>
        </is>
      </c>
      <c r="R2547" s="4" t="inlineStr">
        <is>
          <t>iPhone</t>
        </is>
      </c>
      <c r="S2547" s="4" t="inlineStr">
        <is>
          <t>B51</t>
        </is>
      </c>
      <c r="T2547" s="4" t="inlineStr">
        <is>
          <t>HIGH_2501_3000</t>
        </is>
      </c>
      <c r="U2547" s="4" t="inlineStr">
        <is>
          <t>CREATED</t>
        </is>
      </c>
      <c r="V2547" s="4" t="inlineStr">
        <is>
          <t>idem-20260902-ios-2546</t>
        </is>
      </c>
    </row>
    <row r="2548" ht="30" customHeight="1">
      <c r="A2548" s="4" t="n">
        <v>2547</v>
      </c>
      <c r="B2548" s="4" t="inlineStr">
        <is>
          <t>MTR-IOS-2547</t>
        </is>
      </c>
      <c r="C2548" s="4" t="inlineStr">
        <is>
          <t>Business</t>
        </is>
      </c>
      <c r="D2548" s="4" t="inlineStr">
        <is>
          <t>Business</t>
        </is>
      </c>
      <c r="E2548" s="4" t="inlineStr">
        <is>
          <t>Business Runway</t>
        </is>
      </c>
      <c r="F2548" s="4" t="inlineStr">
        <is>
          <t>Revenue</t>
        </is>
      </c>
      <c r="G2548" s="4" t="inlineStr">
        <is>
          <t>Income</t>
        </is>
      </c>
      <c r="H2548" s="12" t="n">
        <v>45910</v>
      </c>
      <c r="I2548" s="13" t="n">
        <v>0.3923958333333333</v>
      </c>
      <c r="J2548" s="14" t="n">
        <v>45910.39239583333</v>
      </c>
      <c r="K2548" s="15" t="n">
        <v>29997.61</v>
      </c>
      <c r="L2548" s="4" t="inlineStr">
        <is>
          <t>INR</t>
        </is>
      </c>
      <c r="M2548" s="15" t="n">
        <v>29997.61</v>
      </c>
      <c r="N2548" s="4" t="inlineStr">
        <is>
          <t>IOS Owner</t>
        </is>
      </c>
      <c r="O2548" s="4" t="n"/>
      <c r="P2548" s="4" t="n"/>
      <c r="Q2548" s="4" t="inlineStr">
        <is>
          <t>MAESTRO-IOS-BUSINESS-BUSINESS_RUNWAY-2547 | Revenue | 29997.61</t>
        </is>
      </c>
      <c r="R2548" s="4" t="inlineStr">
        <is>
          <t>iPhone</t>
        </is>
      </c>
      <c r="S2548" s="4" t="inlineStr">
        <is>
          <t>B51</t>
        </is>
      </c>
      <c r="T2548" s="4" t="inlineStr">
        <is>
          <t>HIGH_2501_3000</t>
        </is>
      </c>
      <c r="U2548" s="4" t="inlineStr">
        <is>
          <t>CREATED</t>
        </is>
      </c>
      <c r="V2548" s="4" t="inlineStr">
        <is>
          <t>idem-20260902-ios-2547</t>
        </is>
      </c>
    </row>
    <row r="2549" ht="30" customHeight="1">
      <c r="A2549" s="4" t="n">
        <v>2548</v>
      </c>
      <c r="B2549" s="4" t="inlineStr">
        <is>
          <t>MTR-IOS-2548</t>
        </is>
      </c>
      <c r="C2549" s="4" t="inlineStr">
        <is>
          <t>Personal</t>
        </is>
      </c>
      <c r="D2549" s="4" t="inlineStr">
        <is>
          <t>Personal</t>
        </is>
      </c>
      <c r="E2549" s="4" t="inlineStr">
        <is>
          <t>Relationships</t>
        </is>
      </c>
      <c r="F2549" s="4" t="inlineStr">
        <is>
          <t>Friends</t>
        </is>
      </c>
      <c r="G2549" s="4" t="inlineStr">
        <is>
          <t>Expense</t>
        </is>
      </c>
      <c r="H2549" s="12" t="n">
        <v>46259</v>
      </c>
      <c r="I2549" s="13" t="n">
        <v>0.445787037037037</v>
      </c>
      <c r="J2549" s="14" t="n">
        <v>46259.44578703704</v>
      </c>
      <c r="K2549" s="15" t="n">
        <v>13439.18</v>
      </c>
      <c r="L2549" s="4" t="inlineStr">
        <is>
          <t>INR</t>
        </is>
      </c>
      <c r="M2549" s="15" t="n">
        <v>-13439.18</v>
      </c>
      <c r="N2549" s="4" t="inlineStr">
        <is>
          <t>IOS Owner</t>
        </is>
      </c>
      <c r="O2549" s="4" t="n"/>
      <c r="P2549" s="4" t="n"/>
      <c r="Q2549" s="4" t="inlineStr">
        <is>
          <t>MAESTRO-IOS-PERSONAL-RELATIONSHIPS-2548 | Friends | 13439.18</t>
        </is>
      </c>
      <c r="R2549" s="4" t="inlineStr">
        <is>
          <t>iPhone</t>
        </is>
      </c>
      <c r="S2549" s="4" t="inlineStr">
        <is>
          <t>B51</t>
        </is>
      </c>
      <c r="T2549" s="4" t="inlineStr">
        <is>
          <t>HIGH_2501_3000</t>
        </is>
      </c>
      <c r="U2549" s="4" t="inlineStr">
        <is>
          <t>CREATED</t>
        </is>
      </c>
      <c r="V2549" s="4" t="inlineStr">
        <is>
          <t>idem-20260902-ios-2548</t>
        </is>
      </c>
    </row>
    <row r="2550" ht="30" customHeight="1">
      <c r="A2550" s="4" t="n">
        <v>2549</v>
      </c>
      <c r="B2550" s="4" t="inlineStr">
        <is>
          <t>MTR-IOS-2549</t>
        </is>
      </c>
      <c r="C2550" s="4" t="inlineStr">
        <is>
          <t>Group</t>
        </is>
      </c>
      <c r="D2550" s="4" t="inlineStr">
        <is>
          <t>Shared Purchase</t>
        </is>
      </c>
      <c r="E2550" s="4" t="inlineStr">
        <is>
          <t>Custom Purchase</t>
        </is>
      </c>
      <c r="F2550" s="4" t="inlineStr">
        <is>
          <t>Custom Expense</t>
        </is>
      </c>
      <c r="G2550" s="4" t="inlineStr">
        <is>
          <t>Expense</t>
        </is>
      </c>
      <c r="H2550" s="12" t="n">
        <v>46104</v>
      </c>
      <c r="I2550" s="13" t="n">
        <v>0.8069212962962963</v>
      </c>
      <c r="J2550" s="14" t="n">
        <v>46104.80692129629</v>
      </c>
      <c r="K2550" s="15" t="n">
        <v>21739.38</v>
      </c>
      <c r="L2550" s="4" t="inlineStr">
        <is>
          <t>INR</t>
        </is>
      </c>
      <c r="M2550" s="15" t="n">
        <v>-21739.38</v>
      </c>
      <c r="N2550" s="4" t="inlineStr">
        <is>
          <t>IOS Owner</t>
        </is>
      </c>
      <c r="O2550" s="4" t="n">
        <v>3</v>
      </c>
      <c r="P2550" s="4" t="inlineStr">
        <is>
          <t>PERCENTAGE</t>
        </is>
      </c>
      <c r="Q2550" s="4" t="inlineStr">
        <is>
          <t>MAESTRO-IOS-GROUP-CUSTOM_PURCHASE-2549 | Custom Expense | 21739.38</t>
        </is>
      </c>
      <c r="R2550" s="4" t="inlineStr">
        <is>
          <t>iPhone</t>
        </is>
      </c>
      <c r="S2550" s="4" t="inlineStr">
        <is>
          <t>B51</t>
        </is>
      </c>
      <c r="T2550" s="4" t="inlineStr">
        <is>
          <t>HIGH_2501_3000</t>
        </is>
      </c>
      <c r="U2550" s="4" t="inlineStr">
        <is>
          <t>CREATED</t>
        </is>
      </c>
      <c r="V2550" s="4" t="inlineStr">
        <is>
          <t>idem-20260902-ios-2549</t>
        </is>
      </c>
    </row>
    <row r="2551" ht="30" customHeight="1">
      <c r="A2551" s="4" t="n">
        <v>2550</v>
      </c>
      <c r="B2551" s="4" t="inlineStr">
        <is>
          <t>MTR-IOS-2550</t>
        </is>
      </c>
      <c r="C2551" s="4" t="inlineStr">
        <is>
          <t>Business</t>
        </is>
      </c>
      <c r="D2551" s="4" t="inlineStr">
        <is>
          <t>Business</t>
        </is>
      </c>
      <c r="E2551" s="4" t="inlineStr">
        <is>
          <t>Business Runway</t>
        </is>
      </c>
      <c r="F2551" s="4" t="inlineStr">
        <is>
          <t>Burn</t>
        </is>
      </c>
      <c r="G2551" s="4" t="inlineStr">
        <is>
          <t>Expense</t>
        </is>
      </c>
      <c r="H2551" s="12" t="n">
        <v>46209</v>
      </c>
      <c r="I2551" s="13" t="n">
        <v>0.467662037037037</v>
      </c>
      <c r="J2551" s="14" t="n">
        <v>46209.46766203704</v>
      </c>
      <c r="K2551" s="15" t="n">
        <v>60201.27</v>
      </c>
      <c r="L2551" s="4" t="inlineStr">
        <is>
          <t>INR</t>
        </is>
      </c>
      <c r="M2551" s="15" t="n">
        <v>-60201.27</v>
      </c>
      <c r="N2551" s="4" t="inlineStr">
        <is>
          <t>IOS Owner</t>
        </is>
      </c>
      <c r="O2551" s="4" t="n"/>
      <c r="P2551" s="4" t="n"/>
      <c r="Q2551" s="4" t="inlineStr">
        <is>
          <t>MAESTRO-IOS-BUSINESS-BUSINESS_RUNWAY-2550 | Burn | 60201.27</t>
        </is>
      </c>
      <c r="R2551" s="4" t="inlineStr">
        <is>
          <t>iPhone</t>
        </is>
      </c>
      <c r="S2551" s="4" t="inlineStr">
        <is>
          <t>B51</t>
        </is>
      </c>
      <c r="T2551" s="4" t="inlineStr">
        <is>
          <t>HIGH_2501_3000</t>
        </is>
      </c>
      <c r="U2551" s="4" t="inlineStr">
        <is>
          <t>CREATED</t>
        </is>
      </c>
      <c r="V2551" s="4" t="inlineStr">
        <is>
          <t>idem-20260902-ios-2550</t>
        </is>
      </c>
    </row>
    <row r="2552" ht="30" customHeight="1">
      <c r="A2552" s="4" t="n">
        <v>2551</v>
      </c>
      <c r="B2552" s="4" t="inlineStr">
        <is>
          <t>MTR-IOS-2551</t>
        </is>
      </c>
      <c r="C2552" s="4" t="inlineStr">
        <is>
          <t>Personal</t>
        </is>
      </c>
      <c r="D2552" s="4" t="inlineStr">
        <is>
          <t>Personal</t>
        </is>
      </c>
      <c r="E2552" s="4" t="inlineStr">
        <is>
          <t>Relationships</t>
        </is>
      </c>
      <c r="F2552" s="4" t="inlineStr">
        <is>
          <t>Celebrations</t>
        </is>
      </c>
      <c r="G2552" s="4" t="inlineStr">
        <is>
          <t>Expense</t>
        </is>
      </c>
      <c r="H2552" s="12" t="n">
        <v>46226</v>
      </c>
      <c r="I2552" s="13" t="n">
        <v>0.3423726851851852</v>
      </c>
      <c r="J2552" s="14" t="n">
        <v>46226.34237268518</v>
      </c>
      <c r="K2552" s="15" t="n">
        <v>11182.97</v>
      </c>
      <c r="L2552" s="4" t="inlineStr">
        <is>
          <t>INR</t>
        </is>
      </c>
      <c r="M2552" s="15" t="n">
        <v>-11182.97</v>
      </c>
      <c r="N2552" s="4" t="inlineStr">
        <is>
          <t>IOS Owner</t>
        </is>
      </c>
      <c r="O2552" s="4" t="n"/>
      <c r="P2552" s="4" t="n"/>
      <c r="Q2552" s="4" t="inlineStr">
        <is>
          <t>MAESTRO-IOS-PERSONAL-RELATIONSHIPS-2551 | Celebrations | 11182.97</t>
        </is>
      </c>
      <c r="R2552" s="4" t="inlineStr">
        <is>
          <t>iPhone</t>
        </is>
      </c>
      <c r="S2552" s="4" t="inlineStr">
        <is>
          <t>B52</t>
        </is>
      </c>
      <c r="T2552" s="4" t="inlineStr">
        <is>
          <t>HIGH_2501_3000</t>
        </is>
      </c>
      <c r="U2552" s="4" t="inlineStr">
        <is>
          <t>CREATED</t>
        </is>
      </c>
      <c r="V2552" s="4" t="inlineStr">
        <is>
          <t>idem-20260902-ios-2551</t>
        </is>
      </c>
    </row>
    <row r="2553" ht="30" customHeight="1">
      <c r="A2553" s="4" t="n">
        <v>2552</v>
      </c>
      <c r="B2553" s="4" t="inlineStr">
        <is>
          <t>MTR-IOS-2552</t>
        </is>
      </c>
      <c r="C2553" s="4" t="inlineStr">
        <is>
          <t>Group</t>
        </is>
      </c>
      <c r="D2553" s="4" t="inlineStr">
        <is>
          <t>Shared Purchase</t>
        </is>
      </c>
      <c r="E2553" s="4" t="inlineStr">
        <is>
          <t>Custom Purchase</t>
        </is>
      </c>
      <c r="F2553" s="4" t="inlineStr">
        <is>
          <t>Custom Contribution</t>
        </is>
      </c>
      <c r="G2553" s="4" t="inlineStr">
        <is>
          <t>Contribution</t>
        </is>
      </c>
      <c r="H2553" s="12" t="n">
        <v>46080</v>
      </c>
      <c r="I2553" s="13" t="n">
        <v>0.9337037037037037</v>
      </c>
      <c r="J2553" s="14" t="n">
        <v>46080.9337037037</v>
      </c>
      <c r="K2553" s="15" t="n">
        <v>17484.85</v>
      </c>
      <c r="L2553" s="4" t="inlineStr">
        <is>
          <t>INR</t>
        </is>
      </c>
      <c r="M2553" s="15" t="n">
        <v>17484.85</v>
      </c>
      <c r="N2553" s="4" t="inlineStr">
        <is>
          <t>IOS Aarav</t>
        </is>
      </c>
      <c r="O2553" s="4" t="n">
        <v>3</v>
      </c>
      <c r="P2553" s="4" t="inlineStr">
        <is>
          <t>EXACT</t>
        </is>
      </c>
      <c r="Q2553" s="4" t="inlineStr">
        <is>
          <t>MAESTRO-IOS-GROUP-CUSTOM_PURCHASE-2552 | Custom Contribution | 17484.85</t>
        </is>
      </c>
      <c r="R2553" s="4" t="inlineStr">
        <is>
          <t>iPhone</t>
        </is>
      </c>
      <c r="S2553" s="4" t="inlineStr">
        <is>
          <t>B52</t>
        </is>
      </c>
      <c r="T2553" s="4" t="inlineStr">
        <is>
          <t>HIGH_2501_3000</t>
        </is>
      </c>
      <c r="U2553" s="4" t="inlineStr">
        <is>
          <t>CREATED</t>
        </is>
      </c>
      <c r="V2553" s="4" t="inlineStr">
        <is>
          <t>idem-20260902-ios-2552</t>
        </is>
      </c>
    </row>
    <row r="2554" ht="30" customHeight="1">
      <c r="A2554" s="4" t="n">
        <v>2553</v>
      </c>
      <c r="B2554" s="4" t="inlineStr">
        <is>
          <t>MTR-IOS-2553</t>
        </is>
      </c>
      <c r="C2554" s="4" t="inlineStr">
        <is>
          <t>Business</t>
        </is>
      </c>
      <c r="D2554" s="4" t="inlineStr">
        <is>
          <t>Business</t>
        </is>
      </c>
      <c r="E2554" s="4" t="inlineStr">
        <is>
          <t>Business Runway</t>
        </is>
      </c>
      <c r="F2554" s="4" t="inlineStr">
        <is>
          <t>Reserve</t>
        </is>
      </c>
      <c r="G2554" s="4" t="inlineStr">
        <is>
          <t>Transfer</t>
        </is>
      </c>
      <c r="H2554" s="12" t="n">
        <v>46120</v>
      </c>
      <c r="I2554" s="13" t="n">
        <v>0.7984375</v>
      </c>
      <c r="J2554" s="14" t="n">
        <v>46120.7984375</v>
      </c>
      <c r="K2554" s="15" t="n">
        <v>100</v>
      </c>
      <c r="L2554" s="4" t="inlineStr">
        <is>
          <t>INR</t>
        </is>
      </c>
      <c r="M2554" s="15" t="n">
        <v>0</v>
      </c>
      <c r="N2554" s="4" t="inlineStr">
        <is>
          <t>IOS Owner</t>
        </is>
      </c>
      <c r="O2554" s="4" t="n"/>
      <c r="P2554" s="4" t="n"/>
      <c r="Q2554" s="4" t="inlineStr">
        <is>
          <t>MAESTRO-IOS-BUSINESS-BUSINESS_RUNWAY-2553 | Reserve | 100.00</t>
        </is>
      </c>
      <c r="R2554" s="4" t="inlineStr">
        <is>
          <t>iPhone</t>
        </is>
      </c>
      <c r="S2554" s="4" t="inlineStr">
        <is>
          <t>B52</t>
        </is>
      </c>
      <c r="T2554" s="4" t="inlineStr">
        <is>
          <t>HIGH_2501_3000</t>
        </is>
      </c>
      <c r="U2554" s="4" t="inlineStr">
        <is>
          <t>CREATED</t>
        </is>
      </c>
      <c r="V2554" s="4" t="inlineStr">
        <is>
          <t>idem-20260902-ios-2553</t>
        </is>
      </c>
    </row>
    <row r="2555" ht="30" customHeight="1">
      <c r="A2555" s="4" t="n">
        <v>2554</v>
      </c>
      <c r="B2555" s="4" t="inlineStr">
        <is>
          <t>MTR-IOS-2554</t>
        </is>
      </c>
      <c r="C2555" s="4" t="inlineStr">
        <is>
          <t>Personal</t>
        </is>
      </c>
      <c r="D2555" s="4" t="inlineStr">
        <is>
          <t>Personal</t>
        </is>
      </c>
      <c r="E2555" s="4" t="inlineStr">
        <is>
          <t>Life Operations</t>
        </is>
      </c>
      <c r="F2555" s="4" t="inlineStr">
        <is>
          <t>Groceries</t>
        </is>
      </c>
      <c r="G2555" s="4" t="inlineStr">
        <is>
          <t>Expense</t>
        </is>
      </c>
      <c r="H2555" s="12" t="n">
        <v>46235</v>
      </c>
      <c r="I2555" s="13" t="n">
        <v>0.1238541666666667</v>
      </c>
      <c r="J2555" s="14" t="n">
        <v>46235.12385416667</v>
      </c>
      <c r="K2555" s="15" t="n">
        <v>2127.85</v>
      </c>
      <c r="L2555" s="4" t="inlineStr">
        <is>
          <t>INR</t>
        </is>
      </c>
      <c r="M2555" s="15" t="n">
        <v>-2127.85</v>
      </c>
      <c r="N2555" s="4" t="inlineStr">
        <is>
          <t>IOS Owner</t>
        </is>
      </c>
      <c r="O2555" s="4" t="n"/>
      <c r="P2555" s="4" t="n"/>
      <c r="Q2555" s="4" t="inlineStr">
        <is>
          <t>MAESTRO-IOS-PERSONAL-LIFE_OPERATIONS-2554 | Groceries | 2127.85</t>
        </is>
      </c>
      <c r="R2555" s="4" t="inlineStr">
        <is>
          <t>iPhone</t>
        </is>
      </c>
      <c r="S2555" s="4" t="inlineStr">
        <is>
          <t>B52</t>
        </is>
      </c>
      <c r="T2555" s="4" t="inlineStr">
        <is>
          <t>HIGH_2501_3000</t>
        </is>
      </c>
      <c r="U2555" s="4" t="inlineStr">
        <is>
          <t>CREATED</t>
        </is>
      </c>
      <c r="V2555" s="4" t="inlineStr">
        <is>
          <t>idem-20260902-ios-2554</t>
        </is>
      </c>
    </row>
    <row r="2556" ht="30" customHeight="1">
      <c r="A2556" s="4" t="n">
        <v>2555</v>
      </c>
      <c r="B2556" s="4" t="inlineStr">
        <is>
          <t>MTR-IOS-2555</t>
        </is>
      </c>
      <c r="C2556" s="4" t="inlineStr">
        <is>
          <t>Group</t>
        </is>
      </c>
      <c r="D2556" s="4" t="inlineStr">
        <is>
          <t>Shared Living</t>
        </is>
      </c>
      <c r="E2556" s="4" t="inlineStr">
        <is>
          <t>Flatmates</t>
        </is>
      </c>
      <c r="F2556" s="4" t="inlineStr">
        <is>
          <t>Rent</t>
        </is>
      </c>
      <c r="G2556" s="4" t="inlineStr">
        <is>
          <t>Expense</t>
        </is>
      </c>
      <c r="H2556" s="12" t="n">
        <v>45934</v>
      </c>
      <c r="I2556" s="13" t="n">
        <v>0.04898148148148148</v>
      </c>
      <c r="J2556" s="14" t="n">
        <v>45934.04898148148</v>
      </c>
      <c r="K2556" s="15" t="n">
        <v>19697.66</v>
      </c>
      <c r="L2556" s="4" t="inlineStr">
        <is>
          <t>INR</t>
        </is>
      </c>
      <c r="M2556" s="15" t="n">
        <v>-19697.66</v>
      </c>
      <c r="N2556" s="4" t="inlineStr">
        <is>
          <t>IOS Meera</t>
        </is>
      </c>
      <c r="O2556" s="4" t="n">
        <v>3</v>
      </c>
      <c r="P2556" s="4" t="inlineStr">
        <is>
          <t>SHARES</t>
        </is>
      </c>
      <c r="Q2556" s="4" t="inlineStr">
        <is>
          <t>MAESTRO-IOS-GROUP-FLATMATES-2555 | Rent | 19697.66</t>
        </is>
      </c>
      <c r="R2556" s="4" t="inlineStr">
        <is>
          <t>iPhone</t>
        </is>
      </c>
      <c r="S2556" s="4" t="inlineStr">
        <is>
          <t>B52</t>
        </is>
      </c>
      <c r="T2556" s="4" t="inlineStr">
        <is>
          <t>HIGH_2501_3000</t>
        </is>
      </c>
      <c r="U2556" s="4" t="inlineStr">
        <is>
          <t>CREATED</t>
        </is>
      </c>
      <c r="V2556" s="4" t="inlineStr">
        <is>
          <t>idem-20260902-ios-2555</t>
        </is>
      </c>
    </row>
    <row r="2557" ht="30" customHeight="1">
      <c r="A2557" s="4" t="n">
        <v>2556</v>
      </c>
      <c r="B2557" s="4" t="inlineStr">
        <is>
          <t>MTR-IOS-2556</t>
        </is>
      </c>
      <c r="C2557" s="4" t="inlineStr">
        <is>
          <t>Business</t>
        </is>
      </c>
      <c r="D2557" s="4" t="inlineStr">
        <is>
          <t>Business</t>
        </is>
      </c>
      <c r="E2557" s="4" t="inlineStr">
        <is>
          <t>Business Runway</t>
        </is>
      </c>
      <c r="F2557" s="4" t="inlineStr">
        <is>
          <t>Loan</t>
        </is>
      </c>
      <c r="G2557" s="4" t="inlineStr">
        <is>
          <t>Income</t>
        </is>
      </c>
      <c r="H2557" s="12" t="n">
        <v>46090</v>
      </c>
      <c r="I2557" s="13" t="n">
        <v>0.3482523148148148</v>
      </c>
      <c r="J2557" s="14" t="n">
        <v>46090.34825231481</v>
      </c>
      <c r="K2557" s="15" t="n">
        <v>149737.37</v>
      </c>
      <c r="L2557" s="4" t="inlineStr">
        <is>
          <t>INR</t>
        </is>
      </c>
      <c r="M2557" s="15" t="n">
        <v>149737.37</v>
      </c>
      <c r="N2557" s="4" t="inlineStr">
        <is>
          <t>IOS Owner</t>
        </is>
      </c>
      <c r="O2557" s="4" t="n"/>
      <c r="P2557" s="4" t="n"/>
      <c r="Q2557" s="4" t="inlineStr">
        <is>
          <t>MAESTRO-IOS-BUSINESS-BUSINESS_RUNWAY-2556 | Loan | 149737.37</t>
        </is>
      </c>
      <c r="R2557" s="4" t="inlineStr">
        <is>
          <t>iPhone</t>
        </is>
      </c>
      <c r="S2557" s="4" t="inlineStr">
        <is>
          <t>B52</t>
        </is>
      </c>
      <c r="T2557" s="4" t="inlineStr">
        <is>
          <t>HIGH_2501_3000</t>
        </is>
      </c>
      <c r="U2557" s="4" t="inlineStr">
        <is>
          <t>CREATED</t>
        </is>
      </c>
      <c r="V2557" s="4" t="inlineStr">
        <is>
          <t>idem-20260902-ios-2556</t>
        </is>
      </c>
    </row>
    <row r="2558" ht="30" customHeight="1">
      <c r="A2558" s="4" t="n">
        <v>2557</v>
      </c>
      <c r="B2558" s="4" t="inlineStr">
        <is>
          <t>MTR-IOS-2557</t>
        </is>
      </c>
      <c r="C2558" s="4" t="inlineStr">
        <is>
          <t>Personal</t>
        </is>
      </c>
      <c r="D2558" s="4" t="inlineStr">
        <is>
          <t>Personal</t>
        </is>
      </c>
      <c r="E2558" s="4" t="inlineStr">
        <is>
          <t>Life Operations</t>
        </is>
      </c>
      <c r="F2558" s="4" t="inlineStr">
        <is>
          <t>Rent</t>
        </is>
      </c>
      <c r="G2558" s="4" t="inlineStr">
        <is>
          <t>Expense</t>
        </is>
      </c>
      <c r="H2558" s="12" t="n">
        <v>45958</v>
      </c>
      <c r="I2558" s="13" t="n">
        <v>0.5262962962962963</v>
      </c>
      <c r="J2558" s="14" t="n">
        <v>45958.5262962963</v>
      </c>
      <c r="K2558" s="15" t="n">
        <v>16020.14</v>
      </c>
      <c r="L2558" s="4" t="inlineStr">
        <is>
          <t>INR</t>
        </is>
      </c>
      <c r="M2558" s="15" t="n">
        <v>-16020.14</v>
      </c>
      <c r="N2558" s="4" t="inlineStr">
        <is>
          <t>IOS Owner</t>
        </is>
      </c>
      <c r="O2558" s="4" t="n"/>
      <c r="P2558" s="4" t="n"/>
      <c r="Q2558" s="4" t="inlineStr">
        <is>
          <t>MAESTRO-IOS-PERSONAL-LIFE_OPERATIONS-2557 | Rent | 16020.14</t>
        </is>
      </c>
      <c r="R2558" s="4" t="inlineStr">
        <is>
          <t>iPhone</t>
        </is>
      </c>
      <c r="S2558" s="4" t="inlineStr">
        <is>
          <t>B52</t>
        </is>
      </c>
      <c r="T2558" s="4" t="inlineStr">
        <is>
          <t>HIGH_2501_3000</t>
        </is>
      </c>
      <c r="U2558" s="4" t="inlineStr">
        <is>
          <t>CREATED</t>
        </is>
      </c>
      <c r="V2558" s="4" t="inlineStr">
        <is>
          <t>idem-20260902-ios-2557</t>
        </is>
      </c>
    </row>
    <row r="2559" ht="30" customHeight="1">
      <c r="A2559" s="4" t="n">
        <v>2558</v>
      </c>
      <c r="B2559" s="4" t="inlineStr">
        <is>
          <t>MTR-IOS-2558</t>
        </is>
      </c>
      <c r="C2559" s="4" t="inlineStr">
        <is>
          <t>Group</t>
        </is>
      </c>
      <c r="D2559" s="4" t="inlineStr">
        <is>
          <t>Shared Living</t>
        </is>
      </c>
      <c r="E2559" s="4" t="inlineStr">
        <is>
          <t>Flatmates</t>
        </is>
      </c>
      <c r="F2559" s="4" t="inlineStr">
        <is>
          <t>Utilities</t>
        </is>
      </c>
      <c r="G2559" s="4" t="inlineStr">
        <is>
          <t>Expense</t>
        </is>
      </c>
      <c r="H2559" s="12" t="n">
        <v>46118</v>
      </c>
      <c r="I2559" s="13" t="n">
        <v>0.6335995370370371</v>
      </c>
      <c r="J2559" s="14" t="n">
        <v>46118.63359953704</v>
      </c>
      <c r="K2559" s="15" t="n">
        <v>3806.71</v>
      </c>
      <c r="L2559" s="4" t="inlineStr">
        <is>
          <t>INR</t>
        </is>
      </c>
      <c r="M2559" s="15" t="n">
        <v>-3806.71</v>
      </c>
      <c r="N2559" s="4" t="inlineStr">
        <is>
          <t>IOS Owner</t>
        </is>
      </c>
      <c r="O2559" s="4" t="n">
        <v>3</v>
      </c>
      <c r="P2559" s="4" t="inlineStr">
        <is>
          <t>EQUAL</t>
        </is>
      </c>
      <c r="Q2559" s="4" t="inlineStr">
        <is>
          <t>MAESTRO-IOS-GROUP-FLATMATES-2558 | Utilities | 3806.71</t>
        </is>
      </c>
      <c r="R2559" s="4" t="inlineStr">
        <is>
          <t>iPhone</t>
        </is>
      </c>
      <c r="S2559" s="4" t="inlineStr">
        <is>
          <t>B52</t>
        </is>
      </c>
      <c r="T2559" s="4" t="inlineStr">
        <is>
          <t>HIGH_2501_3000</t>
        </is>
      </c>
      <c r="U2559" s="4" t="inlineStr">
        <is>
          <t>CREATED</t>
        </is>
      </c>
      <c r="V2559" s="4" t="inlineStr">
        <is>
          <t>idem-20260902-ios-2558</t>
        </is>
      </c>
    </row>
    <row r="2560" ht="30" customHeight="1">
      <c r="A2560" s="4" t="n">
        <v>2559</v>
      </c>
      <c r="B2560" s="4" t="inlineStr">
        <is>
          <t>MTR-IOS-2559</t>
        </is>
      </c>
      <c r="C2560" s="4" t="inlineStr">
        <is>
          <t>Business</t>
        </is>
      </c>
      <c r="D2560" s="4" t="inlineStr">
        <is>
          <t>Business</t>
        </is>
      </c>
      <c r="E2560" s="4" t="inlineStr">
        <is>
          <t>Business Runway</t>
        </is>
      </c>
      <c r="F2560" s="4" t="inlineStr">
        <is>
          <t>Investment</t>
        </is>
      </c>
      <c r="G2560" s="4" t="inlineStr">
        <is>
          <t>Income</t>
        </is>
      </c>
      <c r="H2560" s="12" t="n">
        <v>45915</v>
      </c>
      <c r="I2560" s="13" t="n">
        <v>0.5835185185185185</v>
      </c>
      <c r="J2560" s="14" t="n">
        <v>45915.58351851852</v>
      </c>
      <c r="K2560" s="15" t="n">
        <v>68481.49000000001</v>
      </c>
      <c r="L2560" s="4" t="inlineStr">
        <is>
          <t>INR</t>
        </is>
      </c>
      <c r="M2560" s="15" t="n">
        <v>68481.49000000001</v>
      </c>
      <c r="N2560" s="4" t="inlineStr">
        <is>
          <t>IOS Owner</t>
        </is>
      </c>
      <c r="O2560" s="4" t="n"/>
      <c r="P2560" s="4" t="n"/>
      <c r="Q2560" s="4" t="inlineStr">
        <is>
          <t>MAESTRO-IOS-BUSINESS-BUSINESS_RUNWAY-2559 | Investment | 68481.49</t>
        </is>
      </c>
      <c r="R2560" s="4" t="inlineStr">
        <is>
          <t>iPhone</t>
        </is>
      </c>
      <c r="S2560" s="4" t="inlineStr">
        <is>
          <t>B52</t>
        </is>
      </c>
      <c r="T2560" s="4" t="inlineStr">
        <is>
          <t>HIGH_2501_3000</t>
        </is>
      </c>
      <c r="U2560" s="4" t="inlineStr">
        <is>
          <t>CREATED</t>
        </is>
      </c>
      <c r="V2560" s="4" t="inlineStr">
        <is>
          <t>idem-20260902-ios-2559</t>
        </is>
      </c>
    </row>
    <row r="2561" ht="30" customHeight="1">
      <c r="A2561" s="4" t="n">
        <v>2560</v>
      </c>
      <c r="B2561" s="4" t="inlineStr">
        <is>
          <t>MTR-IOS-2560</t>
        </is>
      </c>
      <c r="C2561" s="4" t="inlineStr">
        <is>
          <t>Personal</t>
        </is>
      </c>
      <c r="D2561" s="4" t="inlineStr">
        <is>
          <t>Personal</t>
        </is>
      </c>
      <c r="E2561" s="4" t="inlineStr">
        <is>
          <t>Life Operations</t>
        </is>
      </c>
      <c r="F2561" s="4" t="inlineStr">
        <is>
          <t>Bills</t>
        </is>
      </c>
      <c r="G2561" s="4" t="inlineStr">
        <is>
          <t>Expense</t>
        </is>
      </c>
      <c r="H2561" s="12" t="n">
        <v>46249</v>
      </c>
      <c r="I2561" s="13" t="n">
        <v>0.9683564814814815</v>
      </c>
      <c r="J2561" s="14" t="n">
        <v>46249.96835648148</v>
      </c>
      <c r="K2561" s="15" t="n">
        <v>11775.7</v>
      </c>
      <c r="L2561" s="4" t="inlineStr">
        <is>
          <t>INR</t>
        </is>
      </c>
      <c r="M2561" s="15" t="n">
        <v>-11775.7</v>
      </c>
      <c r="N2561" s="4" t="inlineStr">
        <is>
          <t>IOS Owner</t>
        </is>
      </c>
      <c r="O2561" s="4" t="n"/>
      <c r="P2561" s="4" t="n"/>
      <c r="Q2561" s="4" t="inlineStr">
        <is>
          <t>MAESTRO-IOS-PERSONAL-LIFE_OPERATIONS-2560 | Bills | 11775.70</t>
        </is>
      </c>
      <c r="R2561" s="4" t="inlineStr">
        <is>
          <t>iPhone</t>
        </is>
      </c>
      <c r="S2561" s="4" t="inlineStr">
        <is>
          <t>B52</t>
        </is>
      </c>
      <c r="T2561" s="4" t="inlineStr">
        <is>
          <t>HIGH_2501_3000</t>
        </is>
      </c>
      <c r="U2561" s="4" t="inlineStr">
        <is>
          <t>CREATED</t>
        </is>
      </c>
      <c r="V2561" s="4" t="inlineStr">
        <is>
          <t>idem-20260902-ios-2560</t>
        </is>
      </c>
    </row>
    <row r="2562" ht="30" customHeight="1">
      <c r="A2562" s="4" t="n">
        <v>2561</v>
      </c>
      <c r="B2562" s="4" t="inlineStr">
        <is>
          <t>MTR-IOS-2561</t>
        </is>
      </c>
      <c r="C2562" s="4" t="inlineStr">
        <is>
          <t>Group</t>
        </is>
      </c>
      <c r="D2562" s="4" t="inlineStr">
        <is>
          <t>Shared Living</t>
        </is>
      </c>
      <c r="E2562" s="4" t="inlineStr">
        <is>
          <t>Flatmates</t>
        </is>
      </c>
      <c r="F2562" s="4" t="inlineStr">
        <is>
          <t>Groceries</t>
        </is>
      </c>
      <c r="G2562" s="4" t="inlineStr">
        <is>
          <t>Expense</t>
        </is>
      </c>
      <c r="H2562" s="12" t="n">
        <v>45915</v>
      </c>
      <c r="I2562" s="13" t="n">
        <v>0.7347222222222223</v>
      </c>
      <c r="J2562" s="14" t="n">
        <v>45915.73472222222</v>
      </c>
      <c r="K2562" s="15" t="n">
        <v>22006.07</v>
      </c>
      <c r="L2562" s="4" t="inlineStr">
        <is>
          <t>INR</t>
        </is>
      </c>
      <c r="M2562" s="15" t="n">
        <v>-22006.07</v>
      </c>
      <c r="N2562" s="4" t="inlineStr">
        <is>
          <t>IOS Aarav</t>
        </is>
      </c>
      <c r="O2562" s="4" t="n">
        <v>3</v>
      </c>
      <c r="P2562" s="4" t="inlineStr">
        <is>
          <t>PERCENTAGE</t>
        </is>
      </c>
      <c r="Q2562" s="4" t="inlineStr">
        <is>
          <t>MAESTRO-IOS-GROUP-FLATMATES-2561 | Groceries | 22006.07</t>
        </is>
      </c>
      <c r="R2562" s="4" t="inlineStr">
        <is>
          <t>iPhone</t>
        </is>
      </c>
      <c r="S2562" s="4" t="inlineStr">
        <is>
          <t>B52</t>
        </is>
      </c>
      <c r="T2562" s="4" t="inlineStr">
        <is>
          <t>HIGH_2501_3000</t>
        </is>
      </c>
      <c r="U2562" s="4" t="inlineStr">
        <is>
          <t>CREATED</t>
        </is>
      </c>
      <c r="V2562" s="4" t="inlineStr">
        <is>
          <t>idem-20260902-ios-2561</t>
        </is>
      </c>
    </row>
    <row r="2563" ht="30" customHeight="1">
      <c r="A2563" s="4" t="n">
        <v>2562</v>
      </c>
      <c r="B2563" s="4" t="inlineStr">
        <is>
          <t>MTR-IOS-2562</t>
        </is>
      </c>
      <c r="C2563" s="4" t="inlineStr">
        <is>
          <t>Business</t>
        </is>
      </c>
      <c r="D2563" s="4" t="inlineStr">
        <is>
          <t>Business</t>
        </is>
      </c>
      <c r="E2563" s="4" t="inlineStr">
        <is>
          <t>Business Operations</t>
        </is>
      </c>
      <c r="F2563" s="4" t="inlineStr">
        <is>
          <t>Software</t>
        </is>
      </c>
      <c r="G2563" s="4" t="inlineStr">
        <is>
          <t>Expense</t>
        </is>
      </c>
      <c r="H2563" s="12" t="n">
        <v>45920</v>
      </c>
      <c r="I2563" s="13" t="n">
        <v>0.3036342592592592</v>
      </c>
      <c r="J2563" s="14" t="n">
        <v>45920.30363425926</v>
      </c>
      <c r="K2563" s="15" t="n">
        <v>105169.96</v>
      </c>
      <c r="L2563" s="4" t="inlineStr">
        <is>
          <t>INR</t>
        </is>
      </c>
      <c r="M2563" s="15" t="n">
        <v>-105169.96</v>
      </c>
      <c r="N2563" s="4" t="inlineStr">
        <is>
          <t>IOS Owner</t>
        </is>
      </c>
      <c r="O2563" s="4" t="n"/>
      <c r="P2563" s="4" t="n"/>
      <c r="Q2563" s="4" t="inlineStr">
        <is>
          <t>MAESTRO-IOS-BUSINESS-BUSINESS_OPERATIONS-2562 | Software | 105169.96</t>
        </is>
      </c>
      <c r="R2563" s="4" t="inlineStr">
        <is>
          <t>iPhone</t>
        </is>
      </c>
      <c r="S2563" s="4" t="inlineStr">
        <is>
          <t>B52</t>
        </is>
      </c>
      <c r="T2563" s="4" t="inlineStr">
        <is>
          <t>HIGH_2501_3000</t>
        </is>
      </c>
      <c r="U2563" s="4" t="inlineStr">
        <is>
          <t>CREATED</t>
        </is>
      </c>
      <c r="V2563" s="4" t="inlineStr">
        <is>
          <t>idem-20260902-ios-2562</t>
        </is>
      </c>
    </row>
    <row r="2564" ht="30" customHeight="1">
      <c r="A2564" s="4" t="n">
        <v>2563</v>
      </c>
      <c r="B2564" s="4" t="inlineStr">
        <is>
          <t>MTR-IOS-2563</t>
        </is>
      </c>
      <c r="C2564" s="4" t="inlineStr">
        <is>
          <t>Personal</t>
        </is>
      </c>
      <c r="D2564" s="4" t="inlineStr">
        <is>
          <t>Personal</t>
        </is>
      </c>
      <c r="E2564" s="4" t="inlineStr">
        <is>
          <t>Life Operations</t>
        </is>
      </c>
      <c r="F2564" s="4" t="inlineStr">
        <is>
          <t>Transport</t>
        </is>
      </c>
      <c r="G2564" s="4" t="inlineStr">
        <is>
          <t>Expense</t>
        </is>
      </c>
      <c r="H2564" s="12" t="n">
        <v>46167</v>
      </c>
      <c r="I2564" s="13" t="n">
        <v>0.7446064814814815</v>
      </c>
      <c r="J2564" s="14" t="n">
        <v>46167.74460648148</v>
      </c>
      <c r="K2564" s="15" t="n">
        <v>374.52</v>
      </c>
      <c r="L2564" s="4" t="inlineStr">
        <is>
          <t>INR</t>
        </is>
      </c>
      <c r="M2564" s="15" t="n">
        <v>-374.52</v>
      </c>
      <c r="N2564" s="4" t="inlineStr">
        <is>
          <t>IOS Owner</t>
        </is>
      </c>
      <c r="O2564" s="4" t="n"/>
      <c r="P2564" s="4" t="n"/>
      <c r="Q2564" s="4" t="inlineStr">
        <is>
          <t>MAESTRO-IOS-PERSONAL-LIFE_OPERATIONS-2563 | Transport | 374.52</t>
        </is>
      </c>
      <c r="R2564" s="4" t="inlineStr">
        <is>
          <t>iPhone</t>
        </is>
      </c>
      <c r="S2564" s="4" t="inlineStr">
        <is>
          <t>B52</t>
        </is>
      </c>
      <c r="T2564" s="4" t="inlineStr">
        <is>
          <t>HIGH_2501_3000</t>
        </is>
      </c>
      <c r="U2564" s="4" t="inlineStr">
        <is>
          <t>CREATED</t>
        </is>
      </c>
      <c r="V2564" s="4" t="inlineStr">
        <is>
          <t>idem-20260902-ios-2563</t>
        </is>
      </c>
    </row>
    <row r="2565" ht="30" customHeight="1">
      <c r="A2565" s="4" t="n">
        <v>2564</v>
      </c>
      <c r="B2565" s="4" t="inlineStr">
        <is>
          <t>MTR-IOS-2564</t>
        </is>
      </c>
      <c r="C2565" s="4" t="inlineStr">
        <is>
          <t>Group</t>
        </is>
      </c>
      <c r="D2565" s="4" t="inlineStr">
        <is>
          <t>Shared Living</t>
        </is>
      </c>
      <c r="E2565" s="4" t="inlineStr">
        <is>
          <t>Flatmates</t>
        </is>
      </c>
      <c r="F2565" s="4" t="inlineStr">
        <is>
          <t>Internet</t>
        </is>
      </c>
      <c r="G2565" s="4" t="inlineStr">
        <is>
          <t>Expense</t>
        </is>
      </c>
      <c r="H2565" s="12" t="n">
        <v>46044</v>
      </c>
      <c r="I2565" s="13" t="n">
        <v>0.7638425925925926</v>
      </c>
      <c r="J2565" s="14" t="n">
        <v>46044.76384259259</v>
      </c>
      <c r="K2565" s="15" t="n">
        <v>15713.27</v>
      </c>
      <c r="L2565" s="4" t="inlineStr">
        <is>
          <t>INR</t>
        </is>
      </c>
      <c r="M2565" s="15" t="n">
        <v>-15713.27</v>
      </c>
      <c r="N2565" s="4" t="inlineStr">
        <is>
          <t>IOS Meera</t>
        </is>
      </c>
      <c r="O2565" s="4" t="n">
        <v>3</v>
      </c>
      <c r="P2565" s="4" t="inlineStr">
        <is>
          <t>EXACT</t>
        </is>
      </c>
      <c r="Q2565" s="4" t="inlineStr">
        <is>
          <t>MAESTRO-IOS-GROUP-FLATMATES-2564 | Internet | 15713.27</t>
        </is>
      </c>
      <c r="R2565" s="4" t="inlineStr">
        <is>
          <t>iPhone</t>
        </is>
      </c>
      <c r="S2565" s="4" t="inlineStr">
        <is>
          <t>B52</t>
        </is>
      </c>
      <c r="T2565" s="4" t="inlineStr">
        <is>
          <t>HIGH_2501_3000</t>
        </is>
      </c>
      <c r="U2565" s="4" t="inlineStr">
        <is>
          <t>CREATED</t>
        </is>
      </c>
      <c r="V2565" s="4" t="inlineStr">
        <is>
          <t>idem-20260902-ios-2564</t>
        </is>
      </c>
    </row>
    <row r="2566" ht="30" customHeight="1">
      <c r="A2566" s="4" t="n">
        <v>2565</v>
      </c>
      <c r="B2566" s="4" t="inlineStr">
        <is>
          <t>MTR-IOS-2565</t>
        </is>
      </c>
      <c r="C2566" s="4" t="inlineStr">
        <is>
          <t>Business</t>
        </is>
      </c>
      <c r="D2566" s="4" t="inlineStr">
        <is>
          <t>Business</t>
        </is>
      </c>
      <c r="E2566" s="4" t="inlineStr">
        <is>
          <t>Business Operations</t>
        </is>
      </c>
      <c r="F2566" s="4" t="inlineStr">
        <is>
          <t>Rent</t>
        </is>
      </c>
      <c r="G2566" s="4" t="inlineStr">
        <is>
          <t>Expense</t>
        </is>
      </c>
      <c r="H2566" s="12" t="n">
        <v>46141</v>
      </c>
      <c r="I2566" s="13" t="n">
        <v>0.4066319444444444</v>
      </c>
      <c r="J2566" s="14" t="n">
        <v>46141.40663194445</v>
      </c>
      <c r="K2566" s="15" t="n">
        <v>115150.86</v>
      </c>
      <c r="L2566" s="4" t="inlineStr">
        <is>
          <t>INR</t>
        </is>
      </c>
      <c r="M2566" s="15" t="n">
        <v>-115150.86</v>
      </c>
      <c r="N2566" s="4" t="inlineStr">
        <is>
          <t>IOS Owner</t>
        </is>
      </c>
      <c r="O2566" s="4" t="n"/>
      <c r="P2566" s="4" t="n"/>
      <c r="Q2566" s="4" t="inlineStr">
        <is>
          <t>MAESTRO-IOS-BUSINESS-BUSINESS_OPERATIONS-2565 | Rent | 115150.86</t>
        </is>
      </c>
      <c r="R2566" s="4" t="inlineStr">
        <is>
          <t>iPhone</t>
        </is>
      </c>
      <c r="S2566" s="4" t="inlineStr">
        <is>
          <t>B52</t>
        </is>
      </c>
      <c r="T2566" s="4" t="inlineStr">
        <is>
          <t>HIGH_2501_3000</t>
        </is>
      </c>
      <c r="U2566" s="4" t="inlineStr">
        <is>
          <t>CREATED</t>
        </is>
      </c>
      <c r="V2566" s="4" t="inlineStr">
        <is>
          <t>idem-20260902-ios-2565</t>
        </is>
      </c>
    </row>
    <row r="2567" ht="30" customHeight="1">
      <c r="A2567" s="4" t="n">
        <v>2566</v>
      </c>
      <c r="B2567" s="4" t="inlineStr">
        <is>
          <t>MTR-IOS-2566</t>
        </is>
      </c>
      <c r="C2567" s="4" t="inlineStr">
        <is>
          <t>Personal</t>
        </is>
      </c>
      <c r="D2567" s="4" t="inlineStr">
        <is>
          <t>Personal</t>
        </is>
      </c>
      <c r="E2567" s="4" t="inlineStr">
        <is>
          <t>Life Operations</t>
        </is>
      </c>
      <c r="F2567" s="4" t="inlineStr">
        <is>
          <t>Healthcare</t>
        </is>
      </c>
      <c r="G2567" s="4" t="inlineStr">
        <is>
          <t>Expense</t>
        </is>
      </c>
      <c r="H2567" s="12" t="n">
        <v>46063</v>
      </c>
      <c r="I2567" s="13" t="n">
        <v>0.9810648148148148</v>
      </c>
      <c r="J2567" s="14" t="n">
        <v>46063.98106481481</v>
      </c>
      <c r="K2567" s="15" t="n">
        <v>2480.86</v>
      </c>
      <c r="L2567" s="4" t="inlineStr">
        <is>
          <t>INR</t>
        </is>
      </c>
      <c r="M2567" s="15" t="n">
        <v>-2480.86</v>
      </c>
      <c r="N2567" s="4" t="inlineStr">
        <is>
          <t>IOS Owner</t>
        </is>
      </c>
      <c r="O2567" s="4" t="n"/>
      <c r="P2567" s="4" t="n"/>
      <c r="Q2567" s="4" t="inlineStr">
        <is>
          <t>MAESTRO-IOS-PERSONAL-LIFE_OPERATIONS-2566 | Healthcare | 2480.86</t>
        </is>
      </c>
      <c r="R2567" s="4" t="inlineStr">
        <is>
          <t>iPhone</t>
        </is>
      </c>
      <c r="S2567" s="4" t="inlineStr">
        <is>
          <t>B52</t>
        </is>
      </c>
      <c r="T2567" s="4" t="inlineStr">
        <is>
          <t>HIGH_2501_3000</t>
        </is>
      </c>
      <c r="U2567" s="4" t="inlineStr">
        <is>
          <t>CREATED</t>
        </is>
      </c>
      <c r="V2567" s="4" t="inlineStr">
        <is>
          <t>idem-20260902-ios-2566</t>
        </is>
      </c>
    </row>
    <row r="2568" ht="30" customHeight="1">
      <c r="A2568" s="4" t="n">
        <v>2567</v>
      </c>
      <c r="B2568" s="4" t="inlineStr">
        <is>
          <t>MTR-IOS-2567</t>
        </is>
      </c>
      <c r="C2568" s="4" t="inlineStr">
        <is>
          <t>Group</t>
        </is>
      </c>
      <c r="D2568" s="4" t="inlineStr">
        <is>
          <t>Shared Living</t>
        </is>
      </c>
      <c r="E2568" s="4" t="inlineStr">
        <is>
          <t>Flatmates</t>
        </is>
      </c>
      <c r="F2568" s="4" t="inlineStr">
        <is>
          <t>House Supplies</t>
        </is>
      </c>
      <c r="G2568" s="4" t="inlineStr">
        <is>
          <t>Expense</t>
        </is>
      </c>
      <c r="H2568" s="12" t="n">
        <v>46263</v>
      </c>
      <c r="I2568" s="13" t="n">
        <v>0.02682870370370371</v>
      </c>
      <c r="J2568" s="14" t="n">
        <v>46263.0268287037</v>
      </c>
      <c r="K2568" s="15" t="n">
        <v>24829.37</v>
      </c>
      <c r="L2568" s="4" t="inlineStr">
        <is>
          <t>INR</t>
        </is>
      </c>
      <c r="M2568" s="15" t="n">
        <v>-24829.37</v>
      </c>
      <c r="N2568" s="4" t="inlineStr">
        <is>
          <t>IOS Owner</t>
        </is>
      </c>
      <c r="O2568" s="4" t="n">
        <v>3</v>
      </c>
      <c r="P2568" s="4" t="inlineStr">
        <is>
          <t>SHARES</t>
        </is>
      </c>
      <c r="Q2568" s="4" t="inlineStr">
        <is>
          <t>MAESTRO-IOS-GROUP-FLATMATES-2567 | House Supplies | 24829.37</t>
        </is>
      </c>
      <c r="R2568" s="4" t="inlineStr">
        <is>
          <t>iPhone</t>
        </is>
      </c>
      <c r="S2568" s="4" t="inlineStr">
        <is>
          <t>B52</t>
        </is>
      </c>
      <c r="T2568" s="4" t="inlineStr">
        <is>
          <t>HIGH_2501_3000</t>
        </is>
      </c>
      <c r="U2568" s="4" t="inlineStr">
        <is>
          <t>CREATED</t>
        </is>
      </c>
      <c r="V2568" s="4" t="inlineStr">
        <is>
          <t>idem-20260902-ios-2567</t>
        </is>
      </c>
    </row>
    <row r="2569" ht="30" customHeight="1">
      <c r="A2569" s="4" t="n">
        <v>2568</v>
      </c>
      <c r="B2569" s="4" t="inlineStr">
        <is>
          <t>MTR-IOS-2568</t>
        </is>
      </c>
      <c r="C2569" s="4" t="inlineStr">
        <is>
          <t>Business</t>
        </is>
      </c>
      <c r="D2569" s="4" t="inlineStr">
        <is>
          <t>Business</t>
        </is>
      </c>
      <c r="E2569" s="4" t="inlineStr">
        <is>
          <t>Business Operations</t>
        </is>
      </c>
      <c r="F2569" s="4" t="inlineStr">
        <is>
          <t>Marketing</t>
        </is>
      </c>
      <c r="G2569" s="4" t="inlineStr">
        <is>
          <t>Expense</t>
        </is>
      </c>
      <c r="H2569" s="12" t="n">
        <v>46074</v>
      </c>
      <c r="I2569" s="13" t="n">
        <v>0.3767013888888889</v>
      </c>
      <c r="J2569" s="14" t="n">
        <v>46074.37670138889</v>
      </c>
      <c r="K2569" s="15" t="n">
        <v>116091.1</v>
      </c>
      <c r="L2569" s="4" t="inlineStr">
        <is>
          <t>INR</t>
        </is>
      </c>
      <c r="M2569" s="15" t="n">
        <v>-116091.1</v>
      </c>
      <c r="N2569" s="4" t="inlineStr">
        <is>
          <t>IOS Owner</t>
        </is>
      </c>
      <c r="O2569" s="4" t="n"/>
      <c r="P2569" s="4" t="n"/>
      <c r="Q2569" s="4" t="inlineStr">
        <is>
          <t>MAESTRO-IOS-BUSINESS-BUSINESS_OPERATIONS-2568 | Marketing | 116091.10</t>
        </is>
      </c>
      <c r="R2569" s="4" t="inlineStr">
        <is>
          <t>iPhone</t>
        </is>
      </c>
      <c r="S2569" s="4" t="inlineStr">
        <is>
          <t>B52</t>
        </is>
      </c>
      <c r="T2569" s="4" t="inlineStr">
        <is>
          <t>HIGH_2501_3000</t>
        </is>
      </c>
      <c r="U2569" s="4" t="inlineStr">
        <is>
          <t>CREATED</t>
        </is>
      </c>
      <c r="V2569" s="4" t="inlineStr">
        <is>
          <t>idem-20260902-ios-2568</t>
        </is>
      </c>
    </row>
    <row r="2570" ht="30" customHeight="1">
      <c r="A2570" s="4" t="n">
        <v>2569</v>
      </c>
      <c r="B2570" s="4" t="inlineStr">
        <is>
          <t>MTR-IOS-2569</t>
        </is>
      </c>
      <c r="C2570" s="4" t="inlineStr">
        <is>
          <t>Personal</t>
        </is>
      </c>
      <c r="D2570" s="4" t="inlineStr">
        <is>
          <t>Personal</t>
        </is>
      </c>
      <c r="E2570" s="4" t="inlineStr">
        <is>
          <t>Life Operations</t>
        </is>
      </c>
      <c r="F2570" s="4" t="inlineStr">
        <is>
          <t>Subscriptions</t>
        </is>
      </c>
      <c r="G2570" s="4" t="inlineStr">
        <is>
          <t>Expense</t>
        </is>
      </c>
      <c r="H2570" s="12" t="n">
        <v>46022</v>
      </c>
      <c r="I2570" s="13" t="n">
        <v>0.8613194444444444</v>
      </c>
      <c r="J2570" s="14" t="n">
        <v>46022.86131944445</v>
      </c>
      <c r="K2570" s="15" t="n">
        <v>10537.5</v>
      </c>
      <c r="L2570" s="4" t="inlineStr">
        <is>
          <t>INR</t>
        </is>
      </c>
      <c r="M2570" s="15" t="n">
        <v>-10537.5</v>
      </c>
      <c r="N2570" s="4" t="inlineStr">
        <is>
          <t>IOS Owner</t>
        </is>
      </c>
      <c r="O2570" s="4" t="n"/>
      <c r="P2570" s="4" t="n"/>
      <c r="Q2570" s="4" t="inlineStr">
        <is>
          <t>MAESTRO-IOS-PERSONAL-LIFE_OPERATIONS-2569 | Subscriptions | 10537.50</t>
        </is>
      </c>
      <c r="R2570" s="4" t="inlineStr">
        <is>
          <t>iPhone</t>
        </is>
      </c>
      <c r="S2570" s="4" t="inlineStr">
        <is>
          <t>B52</t>
        </is>
      </c>
      <c r="T2570" s="4" t="inlineStr">
        <is>
          <t>HIGH_2501_3000</t>
        </is>
      </c>
      <c r="U2570" s="4" t="inlineStr">
        <is>
          <t>CREATED</t>
        </is>
      </c>
      <c r="V2570" s="4" t="inlineStr">
        <is>
          <t>idem-20260902-ios-2569</t>
        </is>
      </c>
    </row>
    <row r="2571" ht="30" customHeight="1">
      <c r="A2571" s="4" t="n">
        <v>2570</v>
      </c>
      <c r="B2571" s="4" t="inlineStr">
        <is>
          <t>MTR-IOS-2570</t>
        </is>
      </c>
      <c r="C2571" s="4" t="inlineStr">
        <is>
          <t>Group</t>
        </is>
      </c>
      <c r="D2571" s="4" t="inlineStr">
        <is>
          <t>Shared Living</t>
        </is>
      </c>
      <c r="E2571" s="4" t="inlineStr">
        <is>
          <t>Flatmates</t>
        </is>
      </c>
      <c r="F2571" s="4" t="inlineStr">
        <is>
          <t>Repairs</t>
        </is>
      </c>
      <c r="G2571" s="4" t="inlineStr">
        <is>
          <t>Expense</t>
        </is>
      </c>
      <c r="H2571" s="12" t="n">
        <v>46025</v>
      </c>
      <c r="I2571" s="13" t="n">
        <v>0.8591666666666666</v>
      </c>
      <c r="J2571" s="14" t="n">
        <v>46025.85916666667</v>
      </c>
      <c r="K2571" s="15" t="n">
        <v>21512.65</v>
      </c>
      <c r="L2571" s="4" t="inlineStr">
        <is>
          <t>INR</t>
        </is>
      </c>
      <c r="M2571" s="15" t="n">
        <v>-21512.65</v>
      </c>
      <c r="N2571" s="4" t="inlineStr">
        <is>
          <t>IOS Aarav</t>
        </is>
      </c>
      <c r="O2571" s="4" t="n">
        <v>3</v>
      </c>
      <c r="P2571" s="4" t="inlineStr">
        <is>
          <t>EQUAL</t>
        </is>
      </c>
      <c r="Q2571" s="4" t="inlineStr">
        <is>
          <t>MAESTRO-IOS-GROUP-FLATMATES-2570 | Repairs | 21512.65</t>
        </is>
      </c>
      <c r="R2571" s="4" t="inlineStr">
        <is>
          <t>iPhone</t>
        </is>
      </c>
      <c r="S2571" s="4" t="inlineStr">
        <is>
          <t>B52</t>
        </is>
      </c>
      <c r="T2571" s="4" t="inlineStr">
        <is>
          <t>HIGH_2501_3000</t>
        </is>
      </c>
      <c r="U2571" s="4" t="inlineStr">
        <is>
          <t>CREATED</t>
        </is>
      </c>
      <c r="V2571" s="4" t="inlineStr">
        <is>
          <t>idem-20260902-ios-2570</t>
        </is>
      </c>
    </row>
    <row r="2572" ht="30" customHeight="1">
      <c r="A2572" s="4" t="n">
        <v>2571</v>
      </c>
      <c r="B2572" s="4" t="inlineStr">
        <is>
          <t>MTR-IOS-2571</t>
        </is>
      </c>
      <c r="C2572" s="4" t="inlineStr">
        <is>
          <t>Business</t>
        </is>
      </c>
      <c r="D2572" s="4" t="inlineStr">
        <is>
          <t>Business</t>
        </is>
      </c>
      <c r="E2572" s="4" t="inlineStr">
        <is>
          <t>Business Operations</t>
        </is>
      </c>
      <c r="F2572" s="4" t="inlineStr">
        <is>
          <t>Legal</t>
        </is>
      </c>
      <c r="G2572" s="4" t="inlineStr">
        <is>
          <t>Expense</t>
        </is>
      </c>
      <c r="H2572" s="12" t="n">
        <v>46187</v>
      </c>
      <c r="I2572" s="13" t="n">
        <v>0.02158564814814815</v>
      </c>
      <c r="J2572" s="14" t="n">
        <v>46187.02158564814</v>
      </c>
      <c r="K2572" s="15" t="n">
        <v>65339.59</v>
      </c>
      <c r="L2572" s="4" t="inlineStr">
        <is>
          <t>INR</t>
        </is>
      </c>
      <c r="M2572" s="15" t="n">
        <v>-65339.59</v>
      </c>
      <c r="N2572" s="4" t="inlineStr">
        <is>
          <t>IOS Owner</t>
        </is>
      </c>
      <c r="O2572" s="4" t="n"/>
      <c r="P2572" s="4" t="n"/>
      <c r="Q2572" s="4" t="inlineStr">
        <is>
          <t>MAESTRO-IOS-BUSINESS-BUSINESS_OPERATIONS-2571 | Legal | 65339.59</t>
        </is>
      </c>
      <c r="R2572" s="4" t="inlineStr">
        <is>
          <t>iPhone</t>
        </is>
      </c>
      <c r="S2572" s="4" t="inlineStr">
        <is>
          <t>B52</t>
        </is>
      </c>
      <c r="T2572" s="4" t="inlineStr">
        <is>
          <t>HIGH_2501_3000</t>
        </is>
      </c>
      <c r="U2572" s="4" t="inlineStr">
        <is>
          <t>CREATED</t>
        </is>
      </c>
      <c r="V2572" s="4" t="inlineStr">
        <is>
          <t>idem-20260902-ios-2571</t>
        </is>
      </c>
    </row>
    <row r="2573" ht="30" customHeight="1">
      <c r="A2573" s="4" t="n">
        <v>2572</v>
      </c>
      <c r="B2573" s="4" t="inlineStr">
        <is>
          <t>MTR-IOS-2572</t>
        </is>
      </c>
      <c r="C2573" s="4" t="inlineStr">
        <is>
          <t>Personal</t>
        </is>
      </c>
      <c r="D2573" s="4" t="inlineStr">
        <is>
          <t>Personal</t>
        </is>
      </c>
      <c r="E2573" s="4" t="inlineStr">
        <is>
          <t>Life Operations</t>
        </is>
      </c>
      <c r="F2573" s="4" t="inlineStr">
        <is>
          <t>Repairs</t>
        </is>
      </c>
      <c r="G2573" s="4" t="inlineStr">
        <is>
          <t>Expense</t>
        </is>
      </c>
      <c r="H2573" s="12" t="n">
        <v>46014</v>
      </c>
      <c r="I2573" s="13" t="n">
        <v>0.1039467592592593</v>
      </c>
      <c r="J2573" s="14" t="n">
        <v>46014.10394675926</v>
      </c>
      <c r="K2573" s="15" t="n">
        <v>4163.24</v>
      </c>
      <c r="L2573" s="4" t="inlineStr">
        <is>
          <t>INR</t>
        </is>
      </c>
      <c r="M2573" s="15" t="n">
        <v>-4163.24</v>
      </c>
      <c r="N2573" s="4" t="inlineStr">
        <is>
          <t>IOS Owner</t>
        </is>
      </c>
      <c r="O2573" s="4" t="n"/>
      <c r="P2573" s="4" t="n"/>
      <c r="Q2573" s="4" t="inlineStr">
        <is>
          <t>MAESTRO-IOS-PERSONAL-LIFE_OPERATIONS-2572 | Repairs | 4163.24</t>
        </is>
      </c>
      <c r="R2573" s="4" t="inlineStr">
        <is>
          <t>iPhone</t>
        </is>
      </c>
      <c r="S2573" s="4" t="inlineStr">
        <is>
          <t>B52</t>
        </is>
      </c>
      <c r="T2573" s="4" t="inlineStr">
        <is>
          <t>HIGH_2501_3000</t>
        </is>
      </c>
      <c r="U2573" s="4" t="inlineStr">
        <is>
          <t>CREATED</t>
        </is>
      </c>
      <c r="V2573" s="4" t="inlineStr">
        <is>
          <t>idem-20260902-ios-2572</t>
        </is>
      </c>
    </row>
    <row r="2574" ht="30" customHeight="1">
      <c r="A2574" s="4" t="n">
        <v>2573</v>
      </c>
      <c r="B2574" s="4" t="inlineStr">
        <is>
          <t>MTR-IOS-2573</t>
        </is>
      </c>
      <c r="C2574" s="4" t="inlineStr">
        <is>
          <t>Group</t>
        </is>
      </c>
      <c r="D2574" s="4" t="inlineStr">
        <is>
          <t>Shared Living</t>
        </is>
      </c>
      <c r="E2574" s="4" t="inlineStr">
        <is>
          <t>Shared Living</t>
        </is>
      </c>
      <c r="F2574" s="4" t="inlineStr">
        <is>
          <t>Rent</t>
        </is>
      </c>
      <c r="G2574" s="4" t="inlineStr">
        <is>
          <t>Expense</t>
        </is>
      </c>
      <c r="H2574" s="12" t="n">
        <v>45947</v>
      </c>
      <c r="I2574" s="13" t="n">
        <v>0.1498726851851852</v>
      </c>
      <c r="J2574" s="14" t="n">
        <v>45947.14987268519</v>
      </c>
      <c r="K2574" s="15" t="n">
        <v>4262.82</v>
      </c>
      <c r="L2574" s="4" t="inlineStr">
        <is>
          <t>INR</t>
        </is>
      </c>
      <c r="M2574" s="15" t="n">
        <v>-4262.82</v>
      </c>
      <c r="N2574" s="4" t="inlineStr">
        <is>
          <t>IOS Meera</t>
        </is>
      </c>
      <c r="O2574" s="4" t="n">
        <v>3</v>
      </c>
      <c r="P2574" s="4" t="inlineStr">
        <is>
          <t>PERCENTAGE</t>
        </is>
      </c>
      <c r="Q2574" s="4" t="inlineStr">
        <is>
          <t>MAESTRO-IOS-GROUP-SHARED_LIVING-2573 | Rent | 4262.82</t>
        </is>
      </c>
      <c r="R2574" s="4" t="inlineStr">
        <is>
          <t>iPhone</t>
        </is>
      </c>
      <c r="S2574" s="4" t="inlineStr">
        <is>
          <t>B52</t>
        </is>
      </c>
      <c r="T2574" s="4" t="inlineStr">
        <is>
          <t>HIGH_2501_3000</t>
        </is>
      </c>
      <c r="U2574" s="4" t="inlineStr">
        <is>
          <t>CREATED</t>
        </is>
      </c>
      <c r="V2574" s="4" t="inlineStr">
        <is>
          <t>idem-20260902-ios-2573</t>
        </is>
      </c>
    </row>
    <row r="2575" ht="30" customHeight="1">
      <c r="A2575" s="4" t="n">
        <v>2574</v>
      </c>
      <c r="B2575" s="4" t="inlineStr">
        <is>
          <t>MTR-IOS-2574</t>
        </is>
      </c>
      <c r="C2575" s="4" t="inlineStr">
        <is>
          <t>Business</t>
        </is>
      </c>
      <c r="D2575" s="4" t="inlineStr">
        <is>
          <t>Business</t>
        </is>
      </c>
      <c r="E2575" s="4" t="inlineStr">
        <is>
          <t>Business Operations</t>
        </is>
      </c>
      <c r="F2575" s="4" t="inlineStr">
        <is>
          <t>Accounting</t>
        </is>
      </c>
      <c r="G2575" s="4" t="inlineStr">
        <is>
          <t>Expense</t>
        </is>
      </c>
      <c r="H2575" s="12" t="n">
        <v>46037</v>
      </c>
      <c r="I2575" s="13" t="n">
        <v>0.3871412037037037</v>
      </c>
      <c r="J2575" s="14" t="n">
        <v>46037.3871412037</v>
      </c>
      <c r="K2575" s="15" t="n">
        <v>43857.68</v>
      </c>
      <c r="L2575" s="4" t="inlineStr">
        <is>
          <t>INR</t>
        </is>
      </c>
      <c r="M2575" s="15" t="n">
        <v>-43857.68</v>
      </c>
      <c r="N2575" s="4" t="inlineStr">
        <is>
          <t>IOS Owner</t>
        </is>
      </c>
      <c r="O2575" s="4" t="n"/>
      <c r="P2575" s="4" t="n"/>
      <c r="Q2575" s="4" t="inlineStr">
        <is>
          <t>MAESTRO-IOS-BUSINESS-BUSINESS_OPERATIONS-2574 | Accounting | 43857.68</t>
        </is>
      </c>
      <c r="R2575" s="4" t="inlineStr">
        <is>
          <t>iPhone</t>
        </is>
      </c>
      <c r="S2575" s="4" t="inlineStr">
        <is>
          <t>B52</t>
        </is>
      </c>
      <c r="T2575" s="4" t="inlineStr">
        <is>
          <t>HIGH_2501_3000</t>
        </is>
      </c>
      <c r="U2575" s="4" t="inlineStr">
        <is>
          <t>CREATED</t>
        </is>
      </c>
      <c r="V2575" s="4" t="inlineStr">
        <is>
          <t>idem-20260902-ios-2574</t>
        </is>
      </c>
    </row>
    <row r="2576" ht="30" customHeight="1">
      <c r="A2576" s="4" t="n">
        <v>2575</v>
      </c>
      <c r="B2576" s="4" t="inlineStr">
        <is>
          <t>MTR-IOS-2575</t>
        </is>
      </c>
      <c r="C2576" s="4" t="inlineStr">
        <is>
          <t>Personal</t>
        </is>
      </c>
      <c r="D2576" s="4" t="inlineStr">
        <is>
          <t>Personal</t>
        </is>
      </c>
      <c r="E2576" s="4" t="inlineStr">
        <is>
          <t>Future Building</t>
        </is>
      </c>
      <c r="F2576" s="4" t="inlineStr">
        <is>
          <t>Savings</t>
        </is>
      </c>
      <c r="G2576" s="4" t="inlineStr">
        <is>
          <t>Transfer</t>
        </is>
      </c>
      <c r="H2576" s="12" t="n">
        <v>46140</v>
      </c>
      <c r="I2576" s="13" t="n">
        <v>0.9123842592592593</v>
      </c>
      <c r="J2576" s="14" t="n">
        <v>46140.91238425926</v>
      </c>
      <c r="K2576" s="15" t="n">
        <v>360.75</v>
      </c>
      <c r="L2576" s="4" t="inlineStr">
        <is>
          <t>INR</t>
        </is>
      </c>
      <c r="M2576" s="15" t="n">
        <v>0</v>
      </c>
      <c r="N2576" s="4" t="inlineStr">
        <is>
          <t>IOS Owner</t>
        </is>
      </c>
      <c r="O2576" s="4" t="n"/>
      <c r="P2576" s="4" t="n"/>
      <c r="Q2576" s="4" t="inlineStr">
        <is>
          <t>MAESTRO-IOS-PERSONAL-FUTURE_BUILDING-2575 | Savings | 360.75</t>
        </is>
      </c>
      <c r="R2576" s="4" t="inlineStr">
        <is>
          <t>iPhone</t>
        </is>
      </c>
      <c r="S2576" s="4" t="inlineStr">
        <is>
          <t>B52</t>
        </is>
      </c>
      <c r="T2576" s="4" t="inlineStr">
        <is>
          <t>HIGH_2501_3000</t>
        </is>
      </c>
      <c r="U2576" s="4" t="inlineStr">
        <is>
          <t>CREATED</t>
        </is>
      </c>
      <c r="V2576" s="4" t="inlineStr">
        <is>
          <t>idem-20260902-ios-2575</t>
        </is>
      </c>
    </row>
    <row r="2577" ht="30" customHeight="1">
      <c r="A2577" s="4" t="n">
        <v>2576</v>
      </c>
      <c r="B2577" s="4" t="inlineStr">
        <is>
          <t>MTR-IOS-2576</t>
        </is>
      </c>
      <c r="C2577" s="4" t="inlineStr">
        <is>
          <t>Group</t>
        </is>
      </c>
      <c r="D2577" s="4" t="inlineStr">
        <is>
          <t>Shared Living</t>
        </is>
      </c>
      <c r="E2577" s="4" t="inlineStr">
        <is>
          <t>Shared Living</t>
        </is>
      </c>
      <c r="F2577" s="4" t="inlineStr">
        <is>
          <t>Utilities</t>
        </is>
      </c>
      <c r="G2577" s="4" t="inlineStr">
        <is>
          <t>Expense</t>
        </is>
      </c>
      <c r="H2577" s="12" t="n">
        <v>46243</v>
      </c>
      <c r="I2577" s="13" t="n">
        <v>0.1588541666666667</v>
      </c>
      <c r="J2577" s="14" t="n">
        <v>46243.15885416666</v>
      </c>
      <c r="K2577" s="15" t="n">
        <v>12296.71</v>
      </c>
      <c r="L2577" s="4" t="inlineStr">
        <is>
          <t>INR</t>
        </is>
      </c>
      <c r="M2577" s="15" t="n">
        <v>-12296.71</v>
      </c>
      <c r="N2577" s="4" t="inlineStr">
        <is>
          <t>IOS Owner</t>
        </is>
      </c>
      <c r="O2577" s="4" t="n">
        <v>3</v>
      </c>
      <c r="P2577" s="4" t="inlineStr">
        <is>
          <t>EXACT</t>
        </is>
      </c>
      <c r="Q2577" s="4" t="inlineStr">
        <is>
          <t>MAESTRO-IOS-GROUP-SHARED_LIVING-2576 | Utilities | 12296.71</t>
        </is>
      </c>
      <c r="R2577" s="4" t="inlineStr">
        <is>
          <t>iPhone</t>
        </is>
      </c>
      <c r="S2577" s="4" t="inlineStr">
        <is>
          <t>B52</t>
        </is>
      </c>
      <c r="T2577" s="4" t="inlineStr">
        <is>
          <t>HIGH_2501_3000</t>
        </is>
      </c>
      <c r="U2577" s="4" t="inlineStr">
        <is>
          <t>CREATED</t>
        </is>
      </c>
      <c r="V2577" s="4" t="inlineStr">
        <is>
          <t>idem-20260902-ios-2576</t>
        </is>
      </c>
    </row>
    <row r="2578" ht="30" customHeight="1">
      <c r="A2578" s="4" t="n">
        <v>2577</v>
      </c>
      <c r="B2578" s="4" t="inlineStr">
        <is>
          <t>MTR-IOS-2577</t>
        </is>
      </c>
      <c r="C2578" s="4" t="inlineStr">
        <is>
          <t>Business</t>
        </is>
      </c>
      <c r="D2578" s="4" t="inlineStr">
        <is>
          <t>Business</t>
        </is>
      </c>
      <c r="E2578" s="4" t="inlineStr">
        <is>
          <t>Business Operations</t>
        </is>
      </c>
      <c r="F2578" s="4" t="inlineStr">
        <is>
          <t>Equipment</t>
        </is>
      </c>
      <c r="G2578" s="4" t="inlineStr">
        <is>
          <t>Expense</t>
        </is>
      </c>
      <c r="H2578" s="12" t="n">
        <v>45948</v>
      </c>
      <c r="I2578" s="13" t="n">
        <v>0.3401967592592592</v>
      </c>
      <c r="J2578" s="14" t="n">
        <v>45948.34019675926</v>
      </c>
      <c r="K2578" s="15" t="n">
        <v>59560.26</v>
      </c>
      <c r="L2578" s="4" t="inlineStr">
        <is>
          <t>INR</t>
        </is>
      </c>
      <c r="M2578" s="15" t="n">
        <v>-59560.26</v>
      </c>
      <c r="N2578" s="4" t="inlineStr">
        <is>
          <t>IOS Owner</t>
        </is>
      </c>
      <c r="O2578" s="4" t="n"/>
      <c r="P2578" s="4" t="n"/>
      <c r="Q2578" s="4" t="inlineStr">
        <is>
          <t>MAESTRO-IOS-BUSINESS-BUSINESS_OPERATIONS-2577 | Equipment | 59560.26</t>
        </is>
      </c>
      <c r="R2578" s="4" t="inlineStr">
        <is>
          <t>iPhone</t>
        </is>
      </c>
      <c r="S2578" s="4" t="inlineStr">
        <is>
          <t>B52</t>
        </is>
      </c>
      <c r="T2578" s="4" t="inlineStr">
        <is>
          <t>HIGH_2501_3000</t>
        </is>
      </c>
      <c r="U2578" s="4" t="inlineStr">
        <is>
          <t>CREATED</t>
        </is>
      </c>
      <c r="V2578" s="4" t="inlineStr">
        <is>
          <t>idem-20260902-ios-2577</t>
        </is>
      </c>
    </row>
    <row r="2579" ht="30" customHeight="1">
      <c r="A2579" s="4" t="n">
        <v>2578</v>
      </c>
      <c r="B2579" s="4" t="inlineStr">
        <is>
          <t>MTR-IOS-2578</t>
        </is>
      </c>
      <c r="C2579" s="4" t="inlineStr">
        <is>
          <t>Personal</t>
        </is>
      </c>
      <c r="D2579" s="4" t="inlineStr">
        <is>
          <t>Personal</t>
        </is>
      </c>
      <c r="E2579" s="4" t="inlineStr">
        <is>
          <t>Future Building</t>
        </is>
      </c>
      <c r="F2579" s="4" t="inlineStr">
        <is>
          <t>Emergency Fund</t>
        </is>
      </c>
      <c r="G2579" s="4" t="inlineStr">
        <is>
          <t>Transfer</t>
        </is>
      </c>
      <c r="H2579" s="12" t="n">
        <v>46064</v>
      </c>
      <c r="I2579" s="13" t="n">
        <v>0.9463657407407408</v>
      </c>
      <c r="J2579" s="14" t="n">
        <v>46064.94636574074</v>
      </c>
      <c r="K2579" s="15" t="n">
        <v>11345.28</v>
      </c>
      <c r="L2579" s="4" t="inlineStr">
        <is>
          <t>INR</t>
        </is>
      </c>
      <c r="M2579" s="15" t="n">
        <v>0</v>
      </c>
      <c r="N2579" s="4" t="inlineStr">
        <is>
          <t>IOS Owner</t>
        </is>
      </c>
      <c r="O2579" s="4" t="n"/>
      <c r="P2579" s="4" t="n"/>
      <c r="Q2579" s="4" t="inlineStr">
        <is>
          <t>MAESTRO-IOS-PERSONAL-FUTURE_BUILDING-2578 | Emergency Fund | 11345.28</t>
        </is>
      </c>
      <c r="R2579" s="4" t="inlineStr">
        <is>
          <t>iPhone</t>
        </is>
      </c>
      <c r="S2579" s="4" t="inlineStr">
        <is>
          <t>B52</t>
        </is>
      </c>
      <c r="T2579" s="4" t="inlineStr">
        <is>
          <t>HIGH_2501_3000</t>
        </is>
      </c>
      <c r="U2579" s="4" t="inlineStr">
        <is>
          <t>CREATED</t>
        </is>
      </c>
      <c r="V2579" s="4" t="inlineStr">
        <is>
          <t>idem-20260902-ios-2578</t>
        </is>
      </c>
    </row>
    <row r="2580" ht="30" customHeight="1">
      <c r="A2580" s="4" t="n">
        <v>2579</v>
      </c>
      <c r="B2580" s="4" t="inlineStr">
        <is>
          <t>MTR-IOS-2579</t>
        </is>
      </c>
      <c r="C2580" s="4" t="inlineStr">
        <is>
          <t>Group</t>
        </is>
      </c>
      <c r="D2580" s="4" t="inlineStr">
        <is>
          <t>Shared Living</t>
        </is>
      </c>
      <c r="E2580" s="4" t="inlineStr">
        <is>
          <t>Shared Living</t>
        </is>
      </c>
      <c r="F2580" s="4" t="inlineStr">
        <is>
          <t>Groceries</t>
        </is>
      </c>
      <c r="G2580" s="4" t="inlineStr">
        <is>
          <t>Expense</t>
        </is>
      </c>
      <c r="H2580" s="12" t="n">
        <v>46072</v>
      </c>
      <c r="I2580" s="13" t="n">
        <v>0.496412037037037</v>
      </c>
      <c r="J2580" s="14" t="n">
        <v>46072.49641203704</v>
      </c>
      <c r="K2580" s="15" t="n">
        <v>8518.299999999999</v>
      </c>
      <c r="L2580" s="4" t="inlineStr">
        <is>
          <t>INR</t>
        </is>
      </c>
      <c r="M2580" s="15" t="n">
        <v>-8518.299999999999</v>
      </c>
      <c r="N2580" s="4" t="inlineStr">
        <is>
          <t>IOS Aarav</t>
        </is>
      </c>
      <c r="O2580" s="4" t="n">
        <v>3</v>
      </c>
      <c r="P2580" s="4" t="inlineStr">
        <is>
          <t>SHARES</t>
        </is>
      </c>
      <c r="Q2580" s="4" t="inlineStr">
        <is>
          <t>MAESTRO-IOS-GROUP-SHARED_LIVING-2579 | Groceries | 8518.30</t>
        </is>
      </c>
      <c r="R2580" s="4" t="inlineStr">
        <is>
          <t>iPhone</t>
        </is>
      </c>
      <c r="S2580" s="4" t="inlineStr">
        <is>
          <t>B52</t>
        </is>
      </c>
      <c r="T2580" s="4" t="inlineStr">
        <is>
          <t>HIGH_2501_3000</t>
        </is>
      </c>
      <c r="U2580" s="4" t="inlineStr">
        <is>
          <t>CREATED</t>
        </is>
      </c>
      <c r="V2580" s="4" t="inlineStr">
        <is>
          <t>idem-20260902-ios-2579</t>
        </is>
      </c>
    </row>
    <row r="2581" ht="30" customHeight="1">
      <c r="A2581" s="4" t="n">
        <v>2580</v>
      </c>
      <c r="B2581" s="4" t="inlineStr">
        <is>
          <t>MTR-IOS-2580</t>
        </is>
      </c>
      <c r="C2581" s="4" t="inlineStr">
        <is>
          <t>Business</t>
        </is>
      </c>
      <c r="D2581" s="4" t="inlineStr">
        <is>
          <t>Business</t>
        </is>
      </c>
      <c r="E2581" s="4" t="inlineStr">
        <is>
          <t>Business Operations</t>
        </is>
      </c>
      <c r="F2581" s="4" t="inlineStr">
        <is>
          <t>Vendor</t>
        </is>
      </c>
      <c r="G2581" s="4" t="inlineStr">
        <is>
          <t>Expense</t>
        </is>
      </c>
      <c r="H2581" s="12" t="n">
        <v>46088</v>
      </c>
      <c r="I2581" s="13" t="n">
        <v>0.02962962962962963</v>
      </c>
      <c r="J2581" s="14" t="n">
        <v>46088.02962962963</v>
      </c>
      <c r="K2581" s="15" t="n">
        <v>19972.33</v>
      </c>
      <c r="L2581" s="4" t="inlineStr">
        <is>
          <t>INR</t>
        </is>
      </c>
      <c r="M2581" s="15" t="n">
        <v>-19972.33</v>
      </c>
      <c r="N2581" s="4" t="inlineStr">
        <is>
          <t>IOS Owner</t>
        </is>
      </c>
      <c r="O2581" s="4" t="n"/>
      <c r="P2581" s="4" t="n"/>
      <c r="Q2581" s="4" t="inlineStr">
        <is>
          <t>MAESTRO-IOS-BUSINESS-BUSINESS_OPERATIONS-2580 | Vendor | 19972.33</t>
        </is>
      </c>
      <c r="R2581" s="4" t="inlineStr">
        <is>
          <t>iPhone</t>
        </is>
      </c>
      <c r="S2581" s="4" t="inlineStr">
        <is>
          <t>B52</t>
        </is>
      </c>
      <c r="T2581" s="4" t="inlineStr">
        <is>
          <t>HIGH_2501_3000</t>
        </is>
      </c>
      <c r="U2581" s="4" t="inlineStr">
        <is>
          <t>CREATED</t>
        </is>
      </c>
      <c r="V2581" s="4" t="inlineStr">
        <is>
          <t>idem-20260902-ios-2580</t>
        </is>
      </c>
    </row>
    <row r="2582" ht="30" customHeight="1">
      <c r="A2582" s="4" t="n">
        <v>2581</v>
      </c>
      <c r="B2582" s="4" t="inlineStr">
        <is>
          <t>MTR-IOS-2581</t>
        </is>
      </c>
      <c r="C2582" s="4" t="inlineStr">
        <is>
          <t>Personal</t>
        </is>
      </c>
      <c r="D2582" s="4" t="inlineStr">
        <is>
          <t>Personal</t>
        </is>
      </c>
      <c r="E2582" s="4" t="inlineStr">
        <is>
          <t>Future Building</t>
        </is>
      </c>
      <c r="F2582" s="4" t="inlineStr">
        <is>
          <t>Investments</t>
        </is>
      </c>
      <c r="G2582" s="4" t="inlineStr">
        <is>
          <t>Investment</t>
        </is>
      </c>
      <c r="H2582" s="12" t="n">
        <v>46080</v>
      </c>
      <c r="I2582" s="13" t="n">
        <v>0.648599537037037</v>
      </c>
      <c r="J2582" s="14" t="n">
        <v>46080.64859953704</v>
      </c>
      <c r="K2582" s="15" t="n">
        <v>14914.33</v>
      </c>
      <c r="L2582" s="4" t="inlineStr">
        <is>
          <t>INR</t>
        </is>
      </c>
      <c r="M2582" s="15" t="n">
        <v>0</v>
      </c>
      <c r="N2582" s="4" t="inlineStr">
        <is>
          <t>IOS Owner</t>
        </is>
      </c>
      <c r="O2582" s="4" t="n"/>
      <c r="P2582" s="4" t="n"/>
      <c r="Q2582" s="4" t="inlineStr">
        <is>
          <t>MAESTRO-IOS-PERSONAL-FUTURE_BUILDING-2581 | Investments | 14914.33</t>
        </is>
      </c>
      <c r="R2582" s="4" t="inlineStr">
        <is>
          <t>iPhone</t>
        </is>
      </c>
      <c r="S2582" s="4" t="inlineStr">
        <is>
          <t>B52</t>
        </is>
      </c>
      <c r="T2582" s="4" t="inlineStr">
        <is>
          <t>HIGH_2501_3000</t>
        </is>
      </c>
      <c r="U2582" s="4" t="inlineStr">
        <is>
          <t>CREATED</t>
        </is>
      </c>
      <c r="V2582" s="4" t="inlineStr">
        <is>
          <t>idem-20260902-ios-2581</t>
        </is>
      </c>
    </row>
    <row r="2583" ht="30" customHeight="1">
      <c r="A2583" s="4" t="n">
        <v>2582</v>
      </c>
      <c r="B2583" s="4" t="inlineStr">
        <is>
          <t>MTR-IOS-2582</t>
        </is>
      </c>
      <c r="C2583" s="4" t="inlineStr">
        <is>
          <t>Group</t>
        </is>
      </c>
      <c r="D2583" s="4" t="inlineStr">
        <is>
          <t>Shared Living</t>
        </is>
      </c>
      <c r="E2583" s="4" t="inlineStr">
        <is>
          <t>Shared Living</t>
        </is>
      </c>
      <c r="F2583" s="4" t="inlineStr">
        <is>
          <t>Maintenance</t>
        </is>
      </c>
      <c r="G2583" s="4" t="inlineStr">
        <is>
          <t>Expense</t>
        </is>
      </c>
      <c r="H2583" s="12" t="n">
        <v>46051</v>
      </c>
      <c r="I2583" s="13" t="n">
        <v>0.2612615740740741</v>
      </c>
      <c r="J2583" s="14" t="n">
        <v>46051.26126157407</v>
      </c>
      <c r="K2583" s="15" t="n">
        <v>2596.18</v>
      </c>
      <c r="L2583" s="4" t="inlineStr">
        <is>
          <t>INR</t>
        </is>
      </c>
      <c r="M2583" s="15" t="n">
        <v>-2596.18</v>
      </c>
      <c r="N2583" s="4" t="inlineStr">
        <is>
          <t>IOS Meera</t>
        </is>
      </c>
      <c r="O2583" s="4" t="n">
        <v>3</v>
      </c>
      <c r="P2583" s="4" t="inlineStr">
        <is>
          <t>EQUAL</t>
        </is>
      </c>
      <c r="Q2583" s="4" t="inlineStr">
        <is>
          <t>MAESTRO-IOS-GROUP-SHARED_LIVING-2582 | Maintenance | 2596.18</t>
        </is>
      </c>
      <c r="R2583" s="4" t="inlineStr">
        <is>
          <t>iPhone</t>
        </is>
      </c>
      <c r="S2583" s="4" t="inlineStr">
        <is>
          <t>B52</t>
        </is>
      </c>
      <c r="T2583" s="4" t="inlineStr">
        <is>
          <t>HIGH_2501_3000</t>
        </is>
      </c>
      <c r="U2583" s="4" t="inlineStr">
        <is>
          <t>CREATED</t>
        </is>
      </c>
      <c r="V2583" s="4" t="inlineStr">
        <is>
          <t>idem-20260902-ios-2582</t>
        </is>
      </c>
    </row>
    <row r="2584" ht="30" customHeight="1">
      <c r="A2584" s="4" t="n">
        <v>2583</v>
      </c>
      <c r="B2584" s="4" t="inlineStr">
        <is>
          <t>MTR-IOS-2583</t>
        </is>
      </c>
      <c r="C2584" s="4" t="inlineStr">
        <is>
          <t>Business</t>
        </is>
      </c>
      <c r="D2584" s="4" t="inlineStr">
        <is>
          <t>Business</t>
        </is>
      </c>
      <c r="E2584" s="4" t="inlineStr">
        <is>
          <t>Business Operations</t>
        </is>
      </c>
      <c r="F2584" s="4" t="inlineStr">
        <is>
          <t>Tax</t>
        </is>
      </c>
      <c r="G2584" s="4" t="inlineStr">
        <is>
          <t>Expense</t>
        </is>
      </c>
      <c r="H2584" s="12" t="n">
        <v>46076</v>
      </c>
      <c r="I2584" s="13" t="n">
        <v>0.6762268518518518</v>
      </c>
      <c r="J2584" s="14" t="n">
        <v>46076.67622685185</v>
      </c>
      <c r="K2584" s="15" t="n">
        <v>136352.42</v>
      </c>
      <c r="L2584" s="4" t="inlineStr">
        <is>
          <t>INR</t>
        </is>
      </c>
      <c r="M2584" s="15" t="n">
        <v>-136352.42</v>
      </c>
      <c r="N2584" s="4" t="inlineStr">
        <is>
          <t>IOS Owner</t>
        </is>
      </c>
      <c r="O2584" s="4" t="n"/>
      <c r="P2584" s="4" t="n"/>
      <c r="Q2584" s="4" t="inlineStr">
        <is>
          <t>MAESTRO-IOS-BUSINESS-BUSINESS_OPERATIONS-2583 | Tax | 136352.42</t>
        </is>
      </c>
      <c r="R2584" s="4" t="inlineStr">
        <is>
          <t>iPhone</t>
        </is>
      </c>
      <c r="S2584" s="4" t="inlineStr">
        <is>
          <t>B52</t>
        </is>
      </c>
      <c r="T2584" s="4" t="inlineStr">
        <is>
          <t>HIGH_2501_3000</t>
        </is>
      </c>
      <c r="U2584" s="4" t="inlineStr">
        <is>
          <t>CREATED</t>
        </is>
      </c>
      <c r="V2584" s="4" t="inlineStr">
        <is>
          <t>idem-20260902-ios-2583</t>
        </is>
      </c>
    </row>
    <row r="2585" ht="30" customHeight="1">
      <c r="A2585" s="4" t="n">
        <v>2584</v>
      </c>
      <c r="B2585" s="4" t="inlineStr">
        <is>
          <t>MTR-IOS-2584</t>
        </is>
      </c>
      <c r="C2585" s="4" t="inlineStr">
        <is>
          <t>Personal</t>
        </is>
      </c>
      <c r="D2585" s="4" t="inlineStr">
        <is>
          <t>Personal</t>
        </is>
      </c>
      <c r="E2585" s="4" t="inlineStr">
        <is>
          <t>Future Building</t>
        </is>
      </c>
      <c r="F2585" s="4" t="inlineStr">
        <is>
          <t>Education</t>
        </is>
      </c>
      <c r="G2585" s="4" t="inlineStr">
        <is>
          <t>Expense</t>
        </is>
      </c>
      <c r="H2585" s="12" t="n">
        <v>46156</v>
      </c>
      <c r="I2585" s="13" t="n">
        <v>0.9457638888888888</v>
      </c>
      <c r="J2585" s="14" t="n">
        <v>46156.94576388889</v>
      </c>
      <c r="K2585" s="15" t="n">
        <v>11867.59</v>
      </c>
      <c r="L2585" s="4" t="inlineStr">
        <is>
          <t>INR</t>
        </is>
      </c>
      <c r="M2585" s="15" t="n">
        <v>-11867.59</v>
      </c>
      <c r="N2585" s="4" t="inlineStr">
        <is>
          <t>IOS Owner</t>
        </is>
      </c>
      <c r="O2585" s="4" t="n"/>
      <c r="P2585" s="4" t="n"/>
      <c r="Q2585" s="4" t="inlineStr">
        <is>
          <t>MAESTRO-IOS-PERSONAL-FUTURE_BUILDING-2584 | Education | 11867.59</t>
        </is>
      </c>
      <c r="R2585" s="4" t="inlineStr">
        <is>
          <t>iPhone</t>
        </is>
      </c>
      <c r="S2585" s="4" t="inlineStr">
        <is>
          <t>B52</t>
        </is>
      </c>
      <c r="T2585" s="4" t="inlineStr">
        <is>
          <t>HIGH_2501_3000</t>
        </is>
      </c>
      <c r="U2585" s="4" t="inlineStr">
        <is>
          <t>CREATED</t>
        </is>
      </c>
      <c r="V2585" s="4" t="inlineStr">
        <is>
          <t>idem-20260902-ios-2584</t>
        </is>
      </c>
    </row>
    <row r="2586" ht="30" customHeight="1">
      <c r="A2586" s="4" t="n">
        <v>2585</v>
      </c>
      <c r="B2586" s="4" t="inlineStr">
        <is>
          <t>MTR-IOS-2585</t>
        </is>
      </c>
      <c r="C2586" s="4" t="inlineStr">
        <is>
          <t>Group</t>
        </is>
      </c>
      <c r="D2586" s="4" t="inlineStr">
        <is>
          <t>Shared Living</t>
        </is>
      </c>
      <c r="E2586" s="4" t="inlineStr">
        <is>
          <t>Shared Living</t>
        </is>
      </c>
      <c r="F2586" s="4" t="inlineStr">
        <is>
          <t>Other</t>
        </is>
      </c>
      <c r="G2586" s="4" t="inlineStr">
        <is>
          <t>Expense</t>
        </is>
      </c>
      <c r="H2586" s="12" t="n">
        <v>46156</v>
      </c>
      <c r="I2586" s="13" t="n">
        <v>0.8726967592592593</v>
      </c>
      <c r="J2586" s="14" t="n">
        <v>46156.87269675926</v>
      </c>
      <c r="K2586" s="15" t="n">
        <v>20821.38</v>
      </c>
      <c r="L2586" s="4" t="inlineStr">
        <is>
          <t>INR</t>
        </is>
      </c>
      <c r="M2586" s="15" t="n">
        <v>-20821.38</v>
      </c>
      <c r="N2586" s="4" t="inlineStr">
        <is>
          <t>IOS Owner</t>
        </is>
      </c>
      <c r="O2586" s="4" t="n">
        <v>3</v>
      </c>
      <c r="P2586" s="4" t="inlineStr">
        <is>
          <t>PERCENTAGE</t>
        </is>
      </c>
      <c r="Q2586" s="4" t="inlineStr">
        <is>
          <t>MAESTRO-IOS-GROUP-SHARED_LIVING-2585 | Other | 20821.38</t>
        </is>
      </c>
      <c r="R2586" s="4" t="inlineStr">
        <is>
          <t>iPhone</t>
        </is>
      </c>
      <c r="S2586" s="4" t="inlineStr">
        <is>
          <t>B52</t>
        </is>
      </c>
      <c r="T2586" s="4" t="inlineStr">
        <is>
          <t>HIGH_2501_3000</t>
        </is>
      </c>
      <c r="U2586" s="4" t="inlineStr">
        <is>
          <t>CREATED</t>
        </is>
      </c>
      <c r="V2586" s="4" t="inlineStr">
        <is>
          <t>idem-20260902-ios-2585</t>
        </is>
      </c>
    </row>
    <row r="2587" ht="30" customHeight="1">
      <c r="A2587" s="4" t="n">
        <v>2586</v>
      </c>
      <c r="B2587" s="4" t="inlineStr">
        <is>
          <t>MTR-IOS-2586</t>
        </is>
      </c>
      <c r="C2587" s="4" t="inlineStr">
        <is>
          <t>Business</t>
        </is>
      </c>
      <c r="D2587" s="4" t="inlineStr">
        <is>
          <t>Business</t>
        </is>
      </c>
      <c r="E2587" s="4" t="inlineStr">
        <is>
          <t>Team Operations</t>
        </is>
      </c>
      <c r="F2587" s="4" t="inlineStr">
        <is>
          <t>Payroll</t>
        </is>
      </c>
      <c r="G2587" s="4" t="inlineStr">
        <is>
          <t>Expense</t>
        </is>
      </c>
      <c r="H2587" s="12" t="n">
        <v>46133</v>
      </c>
      <c r="I2587" s="13" t="n">
        <v>0.7270833333333333</v>
      </c>
      <c r="J2587" s="14" t="n">
        <v>46133.72708333333</v>
      </c>
      <c r="K2587" s="15" t="n">
        <v>127445.51</v>
      </c>
      <c r="L2587" s="4" t="inlineStr">
        <is>
          <t>INR</t>
        </is>
      </c>
      <c r="M2587" s="15" t="n">
        <v>-127445.51</v>
      </c>
      <c r="N2587" s="4" t="inlineStr">
        <is>
          <t>IOS Owner</t>
        </is>
      </c>
      <c r="O2587" s="4" t="n"/>
      <c r="P2587" s="4" t="n"/>
      <c r="Q2587" s="4" t="inlineStr">
        <is>
          <t>MAESTRO-IOS-BUSINESS-TEAM_OPERATIONS-2586 | Payroll | 127445.51</t>
        </is>
      </c>
      <c r="R2587" s="4" t="inlineStr">
        <is>
          <t>iPhone</t>
        </is>
      </c>
      <c r="S2587" s="4" t="inlineStr">
        <is>
          <t>B52</t>
        </is>
      </c>
      <c r="T2587" s="4" t="inlineStr">
        <is>
          <t>HIGH_2501_3000</t>
        </is>
      </c>
      <c r="U2587" s="4" t="inlineStr">
        <is>
          <t>CREATED</t>
        </is>
      </c>
      <c r="V2587" s="4" t="inlineStr">
        <is>
          <t>idem-20260902-ios-2586</t>
        </is>
      </c>
    </row>
    <row r="2588" ht="30" customHeight="1">
      <c r="A2588" s="4" t="n">
        <v>2587</v>
      </c>
      <c r="B2588" s="4" t="inlineStr">
        <is>
          <t>MTR-IOS-2587</t>
        </is>
      </c>
      <c r="C2588" s="4" t="inlineStr">
        <is>
          <t>Personal</t>
        </is>
      </c>
      <c r="D2588" s="4" t="inlineStr">
        <is>
          <t>Personal</t>
        </is>
      </c>
      <c r="E2588" s="4" t="inlineStr">
        <is>
          <t>Future Building</t>
        </is>
      </c>
      <c r="F2588" s="4" t="inlineStr">
        <is>
          <t>Goal Contribution</t>
        </is>
      </c>
      <c r="G2588" s="4" t="inlineStr">
        <is>
          <t>Transfer</t>
        </is>
      </c>
      <c r="H2588" s="12" t="n">
        <v>46046</v>
      </c>
      <c r="I2588" s="13" t="n">
        <v>0.4767824074074074</v>
      </c>
      <c r="J2588" s="14" t="n">
        <v>46046.47678240741</v>
      </c>
      <c r="K2588" s="15" t="n">
        <v>13685.89</v>
      </c>
      <c r="L2588" s="4" t="inlineStr">
        <is>
          <t>INR</t>
        </is>
      </c>
      <c r="M2588" s="15" t="n">
        <v>0</v>
      </c>
      <c r="N2588" s="4" t="inlineStr">
        <is>
          <t>IOS Owner</t>
        </is>
      </c>
      <c r="O2588" s="4" t="n"/>
      <c r="P2588" s="4" t="n"/>
      <c r="Q2588" s="4" t="inlineStr">
        <is>
          <t>MAESTRO-IOS-PERSONAL-FUTURE_BUILDING-2587 | Goal Contribution | 13685.89</t>
        </is>
      </c>
      <c r="R2588" s="4" t="inlineStr">
        <is>
          <t>iPhone</t>
        </is>
      </c>
      <c r="S2588" s="4" t="inlineStr">
        <is>
          <t>B52</t>
        </is>
      </c>
      <c r="T2588" s="4" t="inlineStr">
        <is>
          <t>HIGH_2501_3000</t>
        </is>
      </c>
      <c r="U2588" s="4" t="inlineStr">
        <is>
          <t>CREATED</t>
        </is>
      </c>
      <c r="V2588" s="4" t="inlineStr">
        <is>
          <t>idem-20260902-ios-2587</t>
        </is>
      </c>
    </row>
    <row r="2589" ht="30" customHeight="1">
      <c r="A2589" s="4" t="n">
        <v>2588</v>
      </c>
      <c r="B2589" s="4" t="inlineStr">
        <is>
          <t>MTR-IOS-2588</t>
        </is>
      </c>
      <c r="C2589" s="4" t="inlineStr">
        <is>
          <t>Group</t>
        </is>
      </c>
      <c r="D2589" s="4" t="inlineStr">
        <is>
          <t>Shared Living</t>
        </is>
      </c>
      <c r="E2589" s="4" t="inlineStr">
        <is>
          <t>Family Household</t>
        </is>
      </c>
      <c r="F2589" s="4" t="inlineStr">
        <is>
          <t>Groceries</t>
        </is>
      </c>
      <c r="G2589" s="4" t="inlineStr">
        <is>
          <t>Expense</t>
        </is>
      </c>
      <c r="H2589" s="12" t="n">
        <v>45986</v>
      </c>
      <c r="I2589" s="13" t="n">
        <v>0.07318287037037037</v>
      </c>
      <c r="J2589" s="14" t="n">
        <v>45986.07318287037</v>
      </c>
      <c r="K2589" s="15" t="n">
        <v>17536.55</v>
      </c>
      <c r="L2589" s="4" t="inlineStr">
        <is>
          <t>INR</t>
        </is>
      </c>
      <c r="M2589" s="15" t="n">
        <v>-17536.55</v>
      </c>
      <c r="N2589" s="4" t="inlineStr">
        <is>
          <t>IOS Aarav</t>
        </is>
      </c>
      <c r="O2589" s="4" t="n">
        <v>3</v>
      </c>
      <c r="P2589" s="4" t="inlineStr">
        <is>
          <t>EXACT</t>
        </is>
      </c>
      <c r="Q2589" s="4" t="inlineStr">
        <is>
          <t>MAESTRO-IOS-GROUP-FAMILY_HOUSEHOLD-2588 | Groceries | 17536.55</t>
        </is>
      </c>
      <c r="R2589" s="4" t="inlineStr">
        <is>
          <t>iPhone</t>
        </is>
      </c>
      <c r="S2589" s="4" t="inlineStr">
        <is>
          <t>B52</t>
        </is>
      </c>
      <c r="T2589" s="4" t="inlineStr">
        <is>
          <t>HIGH_2501_3000</t>
        </is>
      </c>
      <c r="U2589" s="4" t="inlineStr">
        <is>
          <t>CREATED</t>
        </is>
      </c>
      <c r="V2589" s="4" t="inlineStr">
        <is>
          <t>idem-20260902-ios-2588</t>
        </is>
      </c>
    </row>
    <row r="2590" ht="30" customHeight="1">
      <c r="A2590" s="4" t="n">
        <v>2589</v>
      </c>
      <c r="B2590" s="4" t="inlineStr">
        <is>
          <t>MTR-IOS-2589</t>
        </is>
      </c>
      <c r="C2590" s="4" t="inlineStr">
        <is>
          <t>Business</t>
        </is>
      </c>
      <c r="D2590" s="4" t="inlineStr">
        <is>
          <t>Business</t>
        </is>
      </c>
      <c r="E2590" s="4" t="inlineStr">
        <is>
          <t>Team Operations</t>
        </is>
      </c>
      <c r="F2590" s="4" t="inlineStr">
        <is>
          <t>Contractor</t>
        </is>
      </c>
      <c r="G2590" s="4" t="inlineStr">
        <is>
          <t>Expense</t>
        </is>
      </c>
      <c r="H2590" s="12" t="n">
        <v>46011</v>
      </c>
      <c r="I2590" s="13" t="n">
        <v>0.5961342592592592</v>
      </c>
      <c r="J2590" s="14" t="n">
        <v>46011.59613425926</v>
      </c>
      <c r="K2590" s="15" t="n">
        <v>93585.92999999999</v>
      </c>
      <c r="L2590" s="4" t="inlineStr">
        <is>
          <t>INR</t>
        </is>
      </c>
      <c r="M2590" s="15" t="n">
        <v>-93585.92999999999</v>
      </c>
      <c r="N2590" s="4" t="inlineStr">
        <is>
          <t>IOS Owner</t>
        </is>
      </c>
      <c r="O2590" s="4" t="n"/>
      <c r="P2590" s="4" t="n"/>
      <c r="Q2590" s="4" t="inlineStr">
        <is>
          <t>MAESTRO-IOS-BUSINESS-TEAM_OPERATIONS-2589 | Contractor | 93585.93</t>
        </is>
      </c>
      <c r="R2590" s="4" t="inlineStr">
        <is>
          <t>iPhone</t>
        </is>
      </c>
      <c r="S2590" s="4" t="inlineStr">
        <is>
          <t>B52</t>
        </is>
      </c>
      <c r="T2590" s="4" t="inlineStr">
        <is>
          <t>HIGH_2501_3000</t>
        </is>
      </c>
      <c r="U2590" s="4" t="inlineStr">
        <is>
          <t>CREATED</t>
        </is>
      </c>
      <c r="V2590" s="4" t="inlineStr">
        <is>
          <t>idem-20260902-ios-2589</t>
        </is>
      </c>
    </row>
    <row r="2591" ht="30" customHeight="1">
      <c r="A2591" s="4" t="n">
        <v>2590</v>
      </c>
      <c r="B2591" s="4" t="inlineStr">
        <is>
          <t>MTR-IOS-2590</t>
        </is>
      </c>
      <c r="C2591" s="4" t="inlineStr">
        <is>
          <t>Personal</t>
        </is>
      </c>
      <c r="D2591" s="4" t="inlineStr">
        <is>
          <t>Personal</t>
        </is>
      </c>
      <c r="E2591" s="4" t="inlineStr">
        <is>
          <t>Lifestyle</t>
        </is>
      </c>
      <c r="F2591" s="4" t="inlineStr">
        <is>
          <t>Dining</t>
        </is>
      </c>
      <c r="G2591" s="4" t="inlineStr">
        <is>
          <t>Expense</t>
        </is>
      </c>
      <c r="H2591" s="12" t="n">
        <v>46200</v>
      </c>
      <c r="I2591" s="13" t="n">
        <v>0.9450578703703704</v>
      </c>
      <c r="J2591" s="14" t="n">
        <v>46200.94505787037</v>
      </c>
      <c r="K2591" s="15" t="n">
        <v>999.99</v>
      </c>
      <c r="L2591" s="4" t="inlineStr">
        <is>
          <t>INR</t>
        </is>
      </c>
      <c r="M2591" s="15" t="n">
        <v>-999.99</v>
      </c>
      <c r="N2591" s="4" t="inlineStr">
        <is>
          <t>IOS Owner</t>
        </is>
      </c>
      <c r="O2591" s="4" t="n"/>
      <c r="P2591" s="4" t="n"/>
      <c r="Q2591" s="4" t="inlineStr">
        <is>
          <t>MAESTRO-IOS-PERSONAL-LIFESTYLE-2590 | Dining | 999.99</t>
        </is>
      </c>
      <c r="R2591" s="4" t="inlineStr">
        <is>
          <t>iPhone</t>
        </is>
      </c>
      <c r="S2591" s="4" t="inlineStr">
        <is>
          <t>B52</t>
        </is>
      </c>
      <c r="T2591" s="4" t="inlineStr">
        <is>
          <t>HIGH_2501_3000</t>
        </is>
      </c>
      <c r="U2591" s="4" t="inlineStr">
        <is>
          <t>CREATED</t>
        </is>
      </c>
      <c r="V2591" s="4" t="inlineStr">
        <is>
          <t>idem-20260902-ios-2590</t>
        </is>
      </c>
    </row>
    <row r="2592" ht="30" customHeight="1">
      <c r="A2592" s="4" t="n">
        <v>2591</v>
      </c>
      <c r="B2592" s="4" t="inlineStr">
        <is>
          <t>MTR-IOS-2591</t>
        </is>
      </c>
      <c r="C2592" s="4" t="inlineStr">
        <is>
          <t>Group</t>
        </is>
      </c>
      <c r="D2592" s="4" t="inlineStr">
        <is>
          <t>Shared Living</t>
        </is>
      </c>
      <c r="E2592" s="4" t="inlineStr">
        <is>
          <t>Family Household</t>
        </is>
      </c>
      <c r="F2592" s="4" t="inlineStr">
        <is>
          <t>Bills</t>
        </is>
      </c>
      <c r="G2592" s="4" t="inlineStr">
        <is>
          <t>Expense</t>
        </is>
      </c>
      <c r="H2592" s="12" t="n">
        <v>45999</v>
      </c>
      <c r="I2592" s="13" t="n">
        <v>0.7212268518518519</v>
      </c>
      <c r="J2592" s="14" t="n">
        <v>45999.72122685185</v>
      </c>
      <c r="K2592" s="15" t="n">
        <v>11053.35</v>
      </c>
      <c r="L2592" s="4" t="inlineStr">
        <is>
          <t>INR</t>
        </is>
      </c>
      <c r="M2592" s="15" t="n">
        <v>-11053.35</v>
      </c>
      <c r="N2592" s="4" t="inlineStr">
        <is>
          <t>IOS Meera</t>
        </is>
      </c>
      <c r="O2592" s="4" t="n">
        <v>3</v>
      </c>
      <c r="P2592" s="4" t="inlineStr">
        <is>
          <t>SHARES</t>
        </is>
      </c>
      <c r="Q2592" s="4" t="inlineStr">
        <is>
          <t>MAESTRO-IOS-GROUP-FAMILY_HOUSEHOLD-2591 | Bills | 11053.35</t>
        </is>
      </c>
      <c r="R2592" s="4" t="inlineStr">
        <is>
          <t>iPhone</t>
        </is>
      </c>
      <c r="S2592" s="4" t="inlineStr">
        <is>
          <t>B52</t>
        </is>
      </c>
      <c r="T2592" s="4" t="inlineStr">
        <is>
          <t>HIGH_2501_3000</t>
        </is>
      </c>
      <c r="U2592" s="4" t="inlineStr">
        <is>
          <t>CREATED</t>
        </is>
      </c>
      <c r="V2592" s="4" t="inlineStr">
        <is>
          <t>idem-20260902-ios-2591</t>
        </is>
      </c>
    </row>
    <row r="2593" ht="30" customHeight="1">
      <c r="A2593" s="4" t="n">
        <v>2592</v>
      </c>
      <c r="B2593" s="4" t="inlineStr">
        <is>
          <t>MTR-IOS-2592</t>
        </is>
      </c>
      <c r="C2593" s="4" t="inlineStr">
        <is>
          <t>Business</t>
        </is>
      </c>
      <c r="D2593" s="4" t="inlineStr">
        <is>
          <t>Business</t>
        </is>
      </c>
      <c r="E2593" s="4" t="inlineStr">
        <is>
          <t>Team Operations</t>
        </is>
      </c>
      <c r="F2593" s="4" t="inlineStr">
        <is>
          <t>Hiring</t>
        </is>
      </c>
      <c r="G2593" s="4" t="inlineStr">
        <is>
          <t>Expense</t>
        </is>
      </c>
      <c r="H2593" s="12" t="n">
        <v>45971</v>
      </c>
      <c r="I2593" s="13" t="n">
        <v>0.4504282407407407</v>
      </c>
      <c r="J2593" s="14" t="n">
        <v>45971.45042824074</v>
      </c>
      <c r="K2593" s="15" t="n">
        <v>149098.68</v>
      </c>
      <c r="L2593" s="4" t="inlineStr">
        <is>
          <t>INR</t>
        </is>
      </c>
      <c r="M2593" s="15" t="n">
        <v>-149098.68</v>
      </c>
      <c r="N2593" s="4" t="inlineStr">
        <is>
          <t>IOS Owner</t>
        </is>
      </c>
      <c r="O2593" s="4" t="n"/>
      <c r="P2593" s="4" t="n"/>
      <c r="Q2593" s="4" t="inlineStr">
        <is>
          <t>MAESTRO-IOS-BUSINESS-TEAM_OPERATIONS-2592 | Hiring | 149098.68</t>
        </is>
      </c>
      <c r="R2593" s="4" t="inlineStr">
        <is>
          <t>iPhone</t>
        </is>
      </c>
      <c r="S2593" s="4" t="inlineStr">
        <is>
          <t>B52</t>
        </is>
      </c>
      <c r="T2593" s="4" t="inlineStr">
        <is>
          <t>HIGH_2501_3000</t>
        </is>
      </c>
      <c r="U2593" s="4" t="inlineStr">
        <is>
          <t>CREATED</t>
        </is>
      </c>
      <c r="V2593" s="4" t="inlineStr">
        <is>
          <t>idem-20260902-ios-2592</t>
        </is>
      </c>
    </row>
    <row r="2594" ht="30" customHeight="1">
      <c r="A2594" s="4" t="n">
        <v>2593</v>
      </c>
      <c r="B2594" s="4" t="inlineStr">
        <is>
          <t>MTR-IOS-2593</t>
        </is>
      </c>
      <c r="C2594" s="4" t="inlineStr">
        <is>
          <t>Personal</t>
        </is>
      </c>
      <c r="D2594" s="4" t="inlineStr">
        <is>
          <t>Personal</t>
        </is>
      </c>
      <c r="E2594" s="4" t="inlineStr">
        <is>
          <t>Lifestyle</t>
        </is>
      </c>
      <c r="F2594" s="4" t="inlineStr">
        <is>
          <t>Shopping</t>
        </is>
      </c>
      <c r="G2594" s="4" t="inlineStr">
        <is>
          <t>Expense</t>
        </is>
      </c>
      <c r="H2594" s="12" t="n">
        <v>45934</v>
      </c>
      <c r="I2594" s="13" t="n">
        <v>0.6366666666666667</v>
      </c>
      <c r="J2594" s="14" t="n">
        <v>45934.63666666667</v>
      </c>
      <c r="K2594" s="15" t="n">
        <v>12218.26</v>
      </c>
      <c r="L2594" s="4" t="inlineStr">
        <is>
          <t>INR</t>
        </is>
      </c>
      <c r="M2594" s="15" t="n">
        <v>-12218.26</v>
      </c>
      <c r="N2594" s="4" t="inlineStr">
        <is>
          <t>IOS Owner</t>
        </is>
      </c>
      <c r="O2594" s="4" t="n"/>
      <c r="P2594" s="4" t="n"/>
      <c r="Q2594" s="4" t="inlineStr">
        <is>
          <t>MAESTRO-IOS-PERSONAL-LIFESTYLE-2593 | Shopping | 12218.26</t>
        </is>
      </c>
      <c r="R2594" s="4" t="inlineStr">
        <is>
          <t>iPhone</t>
        </is>
      </c>
      <c r="S2594" s="4" t="inlineStr">
        <is>
          <t>B52</t>
        </is>
      </c>
      <c r="T2594" s="4" t="inlineStr">
        <is>
          <t>HIGH_2501_3000</t>
        </is>
      </c>
      <c r="U2594" s="4" t="inlineStr">
        <is>
          <t>CREATED</t>
        </is>
      </c>
      <c r="V2594" s="4" t="inlineStr">
        <is>
          <t>idem-20260902-ios-2593</t>
        </is>
      </c>
    </row>
    <row r="2595" ht="30" customHeight="1">
      <c r="A2595" s="4" t="n">
        <v>2594</v>
      </c>
      <c r="B2595" s="4" t="inlineStr">
        <is>
          <t>MTR-IOS-2594</t>
        </is>
      </c>
      <c r="C2595" s="4" t="inlineStr">
        <is>
          <t>Group</t>
        </is>
      </c>
      <c r="D2595" s="4" t="inlineStr">
        <is>
          <t>Shared Living</t>
        </is>
      </c>
      <c r="E2595" s="4" t="inlineStr">
        <is>
          <t>Family Household</t>
        </is>
      </c>
      <c r="F2595" s="4" t="inlineStr">
        <is>
          <t>School</t>
        </is>
      </c>
      <c r="G2595" s="4" t="inlineStr">
        <is>
          <t>Expense</t>
        </is>
      </c>
      <c r="H2595" s="12" t="n">
        <v>45927</v>
      </c>
      <c r="I2595" s="13" t="n">
        <v>0.002754629629629629</v>
      </c>
      <c r="J2595" s="14" t="n">
        <v>45927.00275462963</v>
      </c>
      <c r="K2595" s="15" t="n">
        <v>25469.31</v>
      </c>
      <c r="L2595" s="4" t="inlineStr">
        <is>
          <t>INR</t>
        </is>
      </c>
      <c r="M2595" s="15" t="n">
        <v>-25469.31</v>
      </c>
      <c r="N2595" s="4" t="inlineStr">
        <is>
          <t>IOS Owner</t>
        </is>
      </c>
      <c r="O2595" s="4" t="n">
        <v>3</v>
      </c>
      <c r="P2595" s="4" t="inlineStr">
        <is>
          <t>EQUAL</t>
        </is>
      </c>
      <c r="Q2595" s="4" t="inlineStr">
        <is>
          <t>MAESTRO-IOS-GROUP-FAMILY_HOUSEHOLD-2594 | School | 25469.31</t>
        </is>
      </c>
      <c r="R2595" s="4" t="inlineStr">
        <is>
          <t>iPhone</t>
        </is>
      </c>
      <c r="S2595" s="4" t="inlineStr">
        <is>
          <t>B52</t>
        </is>
      </c>
      <c r="T2595" s="4" t="inlineStr">
        <is>
          <t>HIGH_2501_3000</t>
        </is>
      </c>
      <c r="U2595" s="4" t="inlineStr">
        <is>
          <t>CREATED</t>
        </is>
      </c>
      <c r="V2595" s="4" t="inlineStr">
        <is>
          <t>idem-20260902-ios-2594</t>
        </is>
      </c>
    </row>
    <row r="2596" ht="30" customHeight="1">
      <c r="A2596" s="4" t="n">
        <v>2595</v>
      </c>
      <c r="B2596" s="4" t="inlineStr">
        <is>
          <t>MTR-IOS-2595</t>
        </is>
      </c>
      <c r="C2596" s="4" t="inlineStr">
        <is>
          <t>Business</t>
        </is>
      </c>
      <c r="D2596" s="4" t="inlineStr">
        <is>
          <t>Business</t>
        </is>
      </c>
      <c r="E2596" s="4" t="inlineStr">
        <is>
          <t>Team Operations</t>
        </is>
      </c>
      <c r="F2596" s="4" t="inlineStr">
        <is>
          <t>Team Meal</t>
        </is>
      </c>
      <c r="G2596" s="4" t="inlineStr">
        <is>
          <t>Expense</t>
        </is>
      </c>
      <c r="H2596" s="12" t="n">
        <v>46048</v>
      </c>
      <c r="I2596" s="13" t="n">
        <v>0.2500578703703704</v>
      </c>
      <c r="J2596" s="14" t="n">
        <v>46048.25005787037</v>
      </c>
      <c r="K2596" s="15" t="n">
        <v>108976.48</v>
      </c>
      <c r="L2596" s="4" t="inlineStr">
        <is>
          <t>INR</t>
        </is>
      </c>
      <c r="M2596" s="15" t="n">
        <v>-108976.48</v>
      </c>
      <c r="N2596" s="4" t="inlineStr">
        <is>
          <t>IOS Owner</t>
        </is>
      </c>
      <c r="O2596" s="4" t="n"/>
      <c r="P2596" s="4" t="n"/>
      <c r="Q2596" s="4" t="inlineStr">
        <is>
          <t>MAESTRO-IOS-BUSINESS-TEAM_OPERATIONS-2595 | Team Meal | 108976.48</t>
        </is>
      </c>
      <c r="R2596" s="4" t="inlineStr">
        <is>
          <t>iPhone</t>
        </is>
      </c>
      <c r="S2596" s="4" t="inlineStr">
        <is>
          <t>B52</t>
        </is>
      </c>
      <c r="T2596" s="4" t="inlineStr">
        <is>
          <t>HIGH_2501_3000</t>
        </is>
      </c>
      <c r="U2596" s="4" t="inlineStr">
        <is>
          <t>CREATED</t>
        </is>
      </c>
      <c r="V2596" s="4" t="inlineStr">
        <is>
          <t>idem-20260902-ios-2595</t>
        </is>
      </c>
    </row>
    <row r="2597" ht="30" customHeight="1">
      <c r="A2597" s="4" t="n">
        <v>2596</v>
      </c>
      <c r="B2597" s="4" t="inlineStr">
        <is>
          <t>MTR-IOS-2596</t>
        </is>
      </c>
      <c r="C2597" s="4" t="inlineStr">
        <is>
          <t>Personal</t>
        </is>
      </c>
      <c r="D2597" s="4" t="inlineStr">
        <is>
          <t>Personal</t>
        </is>
      </c>
      <c r="E2597" s="4" t="inlineStr">
        <is>
          <t>Lifestyle</t>
        </is>
      </c>
      <c r="F2597" s="4" t="inlineStr">
        <is>
          <t>Entertainment</t>
        </is>
      </c>
      <c r="G2597" s="4" t="inlineStr">
        <is>
          <t>Expense</t>
        </is>
      </c>
      <c r="H2597" s="12" t="n">
        <v>46032</v>
      </c>
      <c r="I2597" s="13" t="n">
        <v>0.6608449074074074</v>
      </c>
      <c r="J2597" s="14" t="n">
        <v>46032.6608449074</v>
      </c>
      <c r="K2597" s="15" t="n">
        <v>17439.15</v>
      </c>
      <c r="L2597" s="4" t="inlineStr">
        <is>
          <t>INR</t>
        </is>
      </c>
      <c r="M2597" s="15" t="n">
        <v>-17439.15</v>
      </c>
      <c r="N2597" s="4" t="inlineStr">
        <is>
          <t>IOS Owner</t>
        </is>
      </c>
      <c r="O2597" s="4" t="n"/>
      <c r="P2597" s="4" t="n"/>
      <c r="Q2597" s="4" t="inlineStr">
        <is>
          <t>MAESTRO-IOS-PERSONAL-LIFESTYLE-2596 | Entertainment | 17439.15</t>
        </is>
      </c>
      <c r="R2597" s="4" t="inlineStr">
        <is>
          <t>iPhone</t>
        </is>
      </c>
      <c r="S2597" s="4" t="inlineStr">
        <is>
          <t>B52</t>
        </is>
      </c>
      <c r="T2597" s="4" t="inlineStr">
        <is>
          <t>HIGH_2501_3000</t>
        </is>
      </c>
      <c r="U2597" s="4" t="inlineStr">
        <is>
          <t>CREATED</t>
        </is>
      </c>
      <c r="V2597" s="4" t="inlineStr">
        <is>
          <t>idem-20260902-ios-2596</t>
        </is>
      </c>
    </row>
    <row r="2598" ht="30" customHeight="1">
      <c r="A2598" s="4" t="n">
        <v>2597</v>
      </c>
      <c r="B2598" s="4" t="inlineStr">
        <is>
          <t>MTR-IOS-2597</t>
        </is>
      </c>
      <c r="C2598" s="4" t="inlineStr">
        <is>
          <t>Group</t>
        </is>
      </c>
      <c r="D2598" s="4" t="inlineStr">
        <is>
          <t>Shared Living</t>
        </is>
      </c>
      <c r="E2598" s="4" t="inlineStr">
        <is>
          <t>Family Household</t>
        </is>
      </c>
      <c r="F2598" s="4" t="inlineStr">
        <is>
          <t>Healthcare</t>
        </is>
      </c>
      <c r="G2598" s="4" t="inlineStr">
        <is>
          <t>Expense</t>
        </is>
      </c>
      <c r="H2598" s="12" t="n">
        <v>46139</v>
      </c>
      <c r="I2598" s="13" t="n">
        <v>0.2098842592592593</v>
      </c>
      <c r="J2598" s="14" t="n">
        <v>46139.20988425926</v>
      </c>
      <c r="K2598" s="15" t="n">
        <v>18455.93</v>
      </c>
      <c r="L2598" s="4" t="inlineStr">
        <is>
          <t>INR</t>
        </is>
      </c>
      <c r="M2598" s="15" t="n">
        <v>-18455.93</v>
      </c>
      <c r="N2598" s="4" t="inlineStr">
        <is>
          <t>IOS Aarav</t>
        </is>
      </c>
      <c r="O2598" s="4" t="n">
        <v>3</v>
      </c>
      <c r="P2598" s="4" t="inlineStr">
        <is>
          <t>PERCENTAGE</t>
        </is>
      </c>
      <c r="Q2598" s="4" t="inlineStr">
        <is>
          <t>MAESTRO-IOS-GROUP-FAMILY_HOUSEHOLD-2597 | Healthcare | 18455.93</t>
        </is>
      </c>
      <c r="R2598" s="4" t="inlineStr">
        <is>
          <t>iPhone</t>
        </is>
      </c>
      <c r="S2598" s="4" t="inlineStr">
        <is>
          <t>B52</t>
        </is>
      </c>
      <c r="T2598" s="4" t="inlineStr">
        <is>
          <t>HIGH_2501_3000</t>
        </is>
      </c>
      <c r="U2598" s="4" t="inlineStr">
        <is>
          <t>CREATED</t>
        </is>
      </c>
      <c r="V2598" s="4" t="inlineStr">
        <is>
          <t>idem-20260902-ios-2597</t>
        </is>
      </c>
    </row>
    <row r="2599" ht="30" customHeight="1">
      <c r="A2599" s="4" t="n">
        <v>2598</v>
      </c>
      <c r="B2599" s="4" t="inlineStr">
        <is>
          <t>MTR-IOS-2598</t>
        </is>
      </c>
      <c r="C2599" s="4" t="inlineStr">
        <is>
          <t>Business</t>
        </is>
      </c>
      <c r="D2599" s="4" t="inlineStr">
        <is>
          <t>Business</t>
        </is>
      </c>
      <c r="E2599" s="4" t="inlineStr">
        <is>
          <t>Team Operations</t>
        </is>
      </c>
      <c r="F2599" s="4" t="inlineStr">
        <is>
          <t>Travel</t>
        </is>
      </c>
      <c r="G2599" s="4" t="inlineStr">
        <is>
          <t>Expense</t>
        </is>
      </c>
      <c r="H2599" s="12" t="n">
        <v>46089</v>
      </c>
      <c r="I2599" s="13" t="n">
        <v>0.1178125</v>
      </c>
      <c r="J2599" s="14" t="n">
        <v>46089.1178125</v>
      </c>
      <c r="K2599" s="15" t="n">
        <v>22931.56</v>
      </c>
      <c r="L2599" s="4" t="inlineStr">
        <is>
          <t>INR</t>
        </is>
      </c>
      <c r="M2599" s="15" t="n">
        <v>-22931.56</v>
      </c>
      <c r="N2599" s="4" t="inlineStr">
        <is>
          <t>IOS Owner</t>
        </is>
      </c>
      <c r="O2599" s="4" t="n"/>
      <c r="P2599" s="4" t="n"/>
      <c r="Q2599" s="4" t="inlineStr">
        <is>
          <t>MAESTRO-IOS-BUSINESS-TEAM_OPERATIONS-2598 | Travel | 22931.56</t>
        </is>
      </c>
      <c r="R2599" s="4" t="inlineStr">
        <is>
          <t>iPhone</t>
        </is>
      </c>
      <c r="S2599" s="4" t="inlineStr">
        <is>
          <t>B52</t>
        </is>
      </c>
      <c r="T2599" s="4" t="inlineStr">
        <is>
          <t>HIGH_2501_3000</t>
        </is>
      </c>
      <c r="U2599" s="4" t="inlineStr">
        <is>
          <t>CREATED</t>
        </is>
      </c>
      <c r="V2599" s="4" t="inlineStr">
        <is>
          <t>idem-20260902-ios-2598</t>
        </is>
      </c>
    </row>
    <row r="2600" ht="30" customHeight="1">
      <c r="A2600" s="4" t="n">
        <v>2599</v>
      </c>
      <c r="B2600" s="4" t="inlineStr">
        <is>
          <t>MTR-IOS-2599</t>
        </is>
      </c>
      <c r="C2600" s="4" t="inlineStr">
        <is>
          <t>Personal</t>
        </is>
      </c>
      <c r="D2600" s="4" t="inlineStr">
        <is>
          <t>Personal</t>
        </is>
      </c>
      <c r="E2600" s="4" t="inlineStr">
        <is>
          <t>Lifestyle</t>
        </is>
      </c>
      <c r="F2600" s="4" t="inlineStr">
        <is>
          <t>Travel</t>
        </is>
      </c>
      <c r="G2600" s="4" t="inlineStr">
        <is>
          <t>Expense</t>
        </is>
      </c>
      <c r="H2600" s="12" t="n">
        <v>46094</v>
      </c>
      <c r="I2600" s="13" t="n">
        <v>0.4633680555555555</v>
      </c>
      <c r="J2600" s="14" t="n">
        <v>46094.46336805556</v>
      </c>
      <c r="K2600" s="15" t="n">
        <v>332.69</v>
      </c>
      <c r="L2600" s="4" t="inlineStr">
        <is>
          <t>INR</t>
        </is>
      </c>
      <c r="M2600" s="15" t="n">
        <v>-332.69</v>
      </c>
      <c r="N2600" s="4" t="inlineStr">
        <is>
          <t>IOS Owner</t>
        </is>
      </c>
      <c r="O2600" s="4" t="n"/>
      <c r="P2600" s="4" t="n"/>
      <c r="Q2600" s="4" t="inlineStr">
        <is>
          <t>MAESTRO-IOS-PERSONAL-LIFESTYLE-2599 | Travel | 332.69</t>
        </is>
      </c>
      <c r="R2600" s="4" t="inlineStr">
        <is>
          <t>iPhone</t>
        </is>
      </c>
      <c r="S2600" s="4" t="inlineStr">
        <is>
          <t>B52</t>
        </is>
      </c>
      <c r="T2600" s="4" t="inlineStr">
        <is>
          <t>HIGH_2501_3000</t>
        </is>
      </c>
      <c r="U2600" s="4" t="inlineStr">
        <is>
          <t>CREATED</t>
        </is>
      </c>
      <c r="V2600" s="4" t="inlineStr">
        <is>
          <t>idem-20260902-ios-2599</t>
        </is>
      </c>
    </row>
    <row r="2601" ht="30" customHeight="1">
      <c r="A2601" s="4" t="n">
        <v>2600</v>
      </c>
      <c r="B2601" s="4" t="inlineStr">
        <is>
          <t>MTR-IOS-2600</t>
        </is>
      </c>
      <c r="C2601" s="4" t="inlineStr">
        <is>
          <t>Group</t>
        </is>
      </c>
      <c r="D2601" s="4" t="inlineStr">
        <is>
          <t>Shared Living</t>
        </is>
      </c>
      <c r="E2601" s="4" t="inlineStr">
        <is>
          <t>Family Household</t>
        </is>
      </c>
      <c r="F2601" s="4" t="inlineStr">
        <is>
          <t>Home</t>
        </is>
      </c>
      <c r="G2601" s="4" t="inlineStr">
        <is>
          <t>Expense</t>
        </is>
      </c>
      <c r="H2601" s="12" t="n">
        <v>46187</v>
      </c>
      <c r="I2601" s="13" t="n">
        <v>0.3864583333333333</v>
      </c>
      <c r="J2601" s="14" t="n">
        <v>46187.38645833333</v>
      </c>
      <c r="K2601" s="15" t="n">
        <v>6947.85</v>
      </c>
      <c r="L2601" s="4" t="inlineStr">
        <is>
          <t>INR</t>
        </is>
      </c>
      <c r="M2601" s="15" t="n">
        <v>-6947.85</v>
      </c>
      <c r="N2601" s="4" t="inlineStr">
        <is>
          <t>IOS Meera</t>
        </is>
      </c>
      <c r="O2601" s="4" t="n">
        <v>3</v>
      </c>
      <c r="P2601" s="4" t="inlineStr">
        <is>
          <t>EXACT</t>
        </is>
      </c>
      <c r="Q2601" s="4" t="inlineStr">
        <is>
          <t>MAESTRO-IOS-GROUP-FAMILY_HOUSEHOLD-2600 | Home | 6947.85</t>
        </is>
      </c>
      <c r="R2601" s="4" t="inlineStr">
        <is>
          <t>iPhone</t>
        </is>
      </c>
      <c r="S2601" s="4" t="inlineStr">
        <is>
          <t>B52</t>
        </is>
      </c>
      <c r="T2601" s="4" t="inlineStr">
        <is>
          <t>HIGH_2501_3000</t>
        </is>
      </c>
      <c r="U2601" s="4" t="inlineStr">
        <is>
          <t>CREATED</t>
        </is>
      </c>
      <c r="V2601" s="4" t="inlineStr">
        <is>
          <t>idem-20260902-ios-2600</t>
        </is>
      </c>
    </row>
    <row r="2602" ht="30" customHeight="1">
      <c r="A2602" s="4" t="n">
        <v>2601</v>
      </c>
      <c r="B2602" s="4" t="inlineStr">
        <is>
          <t>MTR-IOS-2601</t>
        </is>
      </c>
      <c r="C2602" s="4" t="inlineStr">
        <is>
          <t>Business</t>
        </is>
      </c>
      <c r="D2602" s="4" t="inlineStr">
        <is>
          <t>Business</t>
        </is>
      </c>
      <c r="E2602" s="4" t="inlineStr">
        <is>
          <t>Team Operations</t>
        </is>
      </c>
      <c r="F2602" s="4" t="inlineStr">
        <is>
          <t>Training</t>
        </is>
      </c>
      <c r="G2602" s="4" t="inlineStr">
        <is>
          <t>Expense</t>
        </is>
      </c>
      <c r="H2602" s="12" t="n">
        <v>46242</v>
      </c>
      <c r="I2602" s="13" t="n">
        <v>0.4437037037037037</v>
      </c>
      <c r="J2602" s="14" t="n">
        <v>46242.44370370371</v>
      </c>
      <c r="K2602" s="15" t="n">
        <v>119824.15</v>
      </c>
      <c r="L2602" s="4" t="inlineStr">
        <is>
          <t>INR</t>
        </is>
      </c>
      <c r="M2602" s="15" t="n">
        <v>-119824.15</v>
      </c>
      <c r="N2602" s="4" t="inlineStr">
        <is>
          <t>IOS Owner</t>
        </is>
      </c>
      <c r="O2602" s="4" t="n"/>
      <c r="P2602" s="4" t="n"/>
      <c r="Q2602" s="4" t="inlineStr">
        <is>
          <t>MAESTRO-IOS-BUSINESS-TEAM_OPERATIONS-2601 | Training | 119824.15</t>
        </is>
      </c>
      <c r="R2602" s="4" t="inlineStr">
        <is>
          <t>iPhone</t>
        </is>
      </c>
      <c r="S2602" s="4" t="inlineStr">
        <is>
          <t>B53</t>
        </is>
      </c>
      <c r="T2602" s="4" t="inlineStr">
        <is>
          <t>HIGH_2501_3000</t>
        </is>
      </c>
      <c r="U2602" s="4" t="inlineStr">
        <is>
          <t>CREATED</t>
        </is>
      </c>
      <c r="V2602" s="4" t="inlineStr">
        <is>
          <t>idem-20260902-ios-2601</t>
        </is>
      </c>
    </row>
    <row r="2603" ht="30" customHeight="1">
      <c r="A2603" s="4" t="n">
        <v>2602</v>
      </c>
      <c r="B2603" s="4" t="inlineStr">
        <is>
          <t>MTR-IOS-2602</t>
        </is>
      </c>
      <c r="C2603" s="4" t="inlineStr">
        <is>
          <t>Personal</t>
        </is>
      </c>
      <c r="D2603" s="4" t="inlineStr">
        <is>
          <t>Personal</t>
        </is>
      </c>
      <c r="E2603" s="4" t="inlineStr">
        <is>
          <t>Lifestyle</t>
        </is>
      </c>
      <c r="F2603" s="4" t="inlineStr">
        <is>
          <t>Fitness</t>
        </is>
      </c>
      <c r="G2603" s="4" t="inlineStr">
        <is>
          <t>Expense</t>
        </is>
      </c>
      <c r="H2603" s="12" t="n">
        <v>46262</v>
      </c>
      <c r="I2603" s="13" t="n">
        <v>0.9438425925925926</v>
      </c>
      <c r="J2603" s="14" t="n">
        <v>46262.94384259259</v>
      </c>
      <c r="K2603" s="15" t="n">
        <v>2925.53</v>
      </c>
      <c r="L2603" s="4" t="inlineStr">
        <is>
          <t>INR</t>
        </is>
      </c>
      <c r="M2603" s="15" t="n">
        <v>-2925.53</v>
      </c>
      <c r="N2603" s="4" t="inlineStr">
        <is>
          <t>IOS Owner</t>
        </is>
      </c>
      <c r="O2603" s="4" t="n"/>
      <c r="P2603" s="4" t="n"/>
      <c r="Q2603" s="4" t="inlineStr">
        <is>
          <t>MAESTRO-IOS-PERSONAL-LIFESTYLE-2602 | Fitness | 2925.53</t>
        </is>
      </c>
      <c r="R2603" s="4" t="inlineStr">
        <is>
          <t>iPhone</t>
        </is>
      </c>
      <c r="S2603" s="4" t="inlineStr">
        <is>
          <t>B53</t>
        </is>
      </c>
      <c r="T2603" s="4" t="inlineStr">
        <is>
          <t>HIGH_2501_3000</t>
        </is>
      </c>
      <c r="U2603" s="4" t="inlineStr">
        <is>
          <t>CREATED</t>
        </is>
      </c>
      <c r="V2603" s="4" t="inlineStr">
        <is>
          <t>idem-20260902-ios-2602</t>
        </is>
      </c>
    </row>
    <row r="2604" ht="30" customHeight="1">
      <c r="A2604" s="4" t="n">
        <v>2603</v>
      </c>
      <c r="B2604" s="4" t="inlineStr">
        <is>
          <t>MTR-IOS-2603</t>
        </is>
      </c>
      <c r="C2604" s="4" t="inlineStr">
        <is>
          <t>Group</t>
        </is>
      </c>
      <c r="D2604" s="4" t="inlineStr">
        <is>
          <t>Shared Living</t>
        </is>
      </c>
      <c r="E2604" s="4" t="inlineStr">
        <is>
          <t>Family Household</t>
        </is>
      </c>
      <c r="F2604" s="4" t="inlineStr">
        <is>
          <t>Other</t>
        </is>
      </c>
      <c r="G2604" s="4" t="inlineStr">
        <is>
          <t>Expense</t>
        </is>
      </c>
      <c r="H2604" s="12" t="n">
        <v>45989</v>
      </c>
      <c r="I2604" s="13" t="n">
        <v>0.9108333333333334</v>
      </c>
      <c r="J2604" s="14" t="n">
        <v>45989.91083333334</v>
      </c>
      <c r="K2604" s="15" t="n">
        <v>11586.76</v>
      </c>
      <c r="L2604" s="4" t="inlineStr">
        <is>
          <t>INR</t>
        </is>
      </c>
      <c r="M2604" s="15" t="n">
        <v>-11586.76</v>
      </c>
      <c r="N2604" s="4" t="inlineStr">
        <is>
          <t>IOS Owner</t>
        </is>
      </c>
      <c r="O2604" s="4" t="n">
        <v>3</v>
      </c>
      <c r="P2604" s="4" t="inlineStr">
        <is>
          <t>SHARES</t>
        </is>
      </c>
      <c r="Q2604" s="4" t="inlineStr">
        <is>
          <t>MAESTRO-IOS-GROUP-FAMILY_HOUSEHOLD-2603 | Other | 11586.76</t>
        </is>
      </c>
      <c r="R2604" s="4" t="inlineStr">
        <is>
          <t>iPhone</t>
        </is>
      </c>
      <c r="S2604" s="4" t="inlineStr">
        <is>
          <t>B53</t>
        </is>
      </c>
      <c r="T2604" s="4" t="inlineStr">
        <is>
          <t>HIGH_2501_3000</t>
        </is>
      </c>
      <c r="U2604" s="4" t="inlineStr">
        <is>
          <t>CREATED</t>
        </is>
      </c>
      <c r="V2604" s="4" t="inlineStr">
        <is>
          <t>idem-20260902-ios-2603</t>
        </is>
      </c>
    </row>
    <row r="2605" ht="30" customHeight="1">
      <c r="A2605" s="4" t="n">
        <v>2604</v>
      </c>
      <c r="B2605" s="4" t="inlineStr">
        <is>
          <t>MTR-IOS-2604</t>
        </is>
      </c>
      <c r="C2605" s="4" t="inlineStr">
        <is>
          <t>Business</t>
        </is>
      </c>
      <c r="D2605" s="4" t="inlineStr">
        <is>
          <t>Business</t>
        </is>
      </c>
      <c r="E2605" s="4" t="inlineStr">
        <is>
          <t>Team Operations</t>
        </is>
      </c>
      <c r="F2605" s="4" t="inlineStr">
        <is>
          <t>Tools</t>
        </is>
      </c>
      <c r="G2605" s="4" t="inlineStr">
        <is>
          <t>Expense</t>
        </is>
      </c>
      <c r="H2605" s="12" t="n">
        <v>46164</v>
      </c>
      <c r="I2605" s="13" t="n">
        <v>0.5919328703703703</v>
      </c>
      <c r="J2605" s="14" t="n">
        <v>46164.59193287037</v>
      </c>
      <c r="K2605" s="15" t="n">
        <v>24418.15</v>
      </c>
      <c r="L2605" s="4" t="inlineStr">
        <is>
          <t>INR</t>
        </is>
      </c>
      <c r="M2605" s="15" t="n">
        <v>-24418.15</v>
      </c>
      <c r="N2605" s="4" t="inlineStr">
        <is>
          <t>IOS Owner</t>
        </is>
      </c>
      <c r="O2605" s="4" t="n"/>
      <c r="P2605" s="4" t="n"/>
      <c r="Q2605" s="4" t="inlineStr">
        <is>
          <t>MAESTRO-IOS-BUSINESS-TEAM_OPERATIONS-2604 | Tools | 24418.15</t>
        </is>
      </c>
      <c r="R2605" s="4" t="inlineStr">
        <is>
          <t>iPhone</t>
        </is>
      </c>
      <c r="S2605" s="4" t="inlineStr">
        <is>
          <t>B53</t>
        </is>
      </c>
      <c r="T2605" s="4" t="inlineStr">
        <is>
          <t>HIGH_2501_3000</t>
        </is>
      </c>
      <c r="U2605" s="4" t="inlineStr">
        <is>
          <t>CREATED</t>
        </is>
      </c>
      <c r="V2605" s="4" t="inlineStr">
        <is>
          <t>idem-20260902-ios-2604</t>
        </is>
      </c>
    </row>
    <row r="2606" ht="30" customHeight="1">
      <c r="A2606" s="4" t="n">
        <v>2605</v>
      </c>
      <c r="B2606" s="4" t="inlineStr">
        <is>
          <t>MTR-IOS-2605</t>
        </is>
      </c>
      <c r="C2606" s="4" t="inlineStr">
        <is>
          <t>Personal</t>
        </is>
      </c>
      <c r="D2606" s="4" t="inlineStr">
        <is>
          <t>Personal</t>
        </is>
      </c>
      <c r="E2606" s="4" t="inlineStr">
        <is>
          <t>Lifestyle</t>
        </is>
      </c>
      <c r="F2606" s="4" t="inlineStr">
        <is>
          <t>Hobbies</t>
        </is>
      </c>
      <c r="G2606" s="4" t="inlineStr">
        <is>
          <t>Expense</t>
        </is>
      </c>
      <c r="H2606" s="12" t="n">
        <v>45935</v>
      </c>
      <c r="I2606" s="13" t="n">
        <v>0.838125</v>
      </c>
      <c r="J2606" s="14" t="n">
        <v>45935.838125</v>
      </c>
      <c r="K2606" s="15" t="n">
        <v>16896.19</v>
      </c>
      <c r="L2606" s="4" t="inlineStr">
        <is>
          <t>INR</t>
        </is>
      </c>
      <c r="M2606" s="15" t="n">
        <v>-16896.19</v>
      </c>
      <c r="N2606" s="4" t="inlineStr">
        <is>
          <t>IOS Owner</t>
        </is>
      </c>
      <c r="O2606" s="4" t="n"/>
      <c r="P2606" s="4" t="n"/>
      <c r="Q2606" s="4" t="inlineStr">
        <is>
          <t>MAESTRO-IOS-PERSONAL-LIFESTYLE-2605 | Hobbies | 16896.19</t>
        </is>
      </c>
      <c r="R2606" s="4" t="inlineStr">
        <is>
          <t>iPhone</t>
        </is>
      </c>
      <c r="S2606" s="4" t="inlineStr">
        <is>
          <t>B53</t>
        </is>
      </c>
      <c r="T2606" s="4" t="inlineStr">
        <is>
          <t>HIGH_2501_3000</t>
        </is>
      </c>
      <c r="U2606" s="4" t="inlineStr">
        <is>
          <t>CREATED</t>
        </is>
      </c>
      <c r="V2606" s="4" t="inlineStr">
        <is>
          <t>idem-20260902-ios-2605</t>
        </is>
      </c>
    </row>
    <row r="2607" ht="30" customHeight="1">
      <c r="A2607" s="4" t="n">
        <v>2606</v>
      </c>
      <c r="B2607" s="4" t="inlineStr">
        <is>
          <t>MTR-IOS-2606</t>
        </is>
      </c>
      <c r="C2607" s="4" t="inlineStr">
        <is>
          <t>Group</t>
        </is>
      </c>
      <c r="D2607" s="4" t="inlineStr">
        <is>
          <t>Shared Living</t>
        </is>
      </c>
      <c r="E2607" s="4" t="inlineStr">
        <is>
          <t>Custom Living</t>
        </is>
      </c>
      <c r="F2607" s="4" t="inlineStr">
        <is>
          <t>Custom Expense</t>
        </is>
      </c>
      <c r="G2607" s="4" t="inlineStr">
        <is>
          <t>Expense</t>
        </is>
      </c>
      <c r="H2607" s="12" t="n">
        <v>46075</v>
      </c>
      <c r="I2607" s="13" t="n">
        <v>0.2199652777777778</v>
      </c>
      <c r="J2607" s="14" t="n">
        <v>46075.21996527778</v>
      </c>
      <c r="K2607" s="15" t="n">
        <v>13223.93</v>
      </c>
      <c r="L2607" s="4" t="inlineStr">
        <is>
          <t>INR</t>
        </is>
      </c>
      <c r="M2607" s="15" t="n">
        <v>-13223.93</v>
      </c>
      <c r="N2607" s="4" t="inlineStr">
        <is>
          <t>IOS Aarav</t>
        </is>
      </c>
      <c r="O2607" s="4" t="n">
        <v>3</v>
      </c>
      <c r="P2607" s="4" t="inlineStr">
        <is>
          <t>EQUAL</t>
        </is>
      </c>
      <c r="Q2607" s="4" t="inlineStr">
        <is>
          <t>MAESTRO-IOS-GROUP-CUSTOM_LIVING-2606 | Custom Expense | 13223.93</t>
        </is>
      </c>
      <c r="R2607" s="4" t="inlineStr">
        <is>
          <t>iPhone</t>
        </is>
      </c>
      <c r="S2607" s="4" t="inlineStr">
        <is>
          <t>B53</t>
        </is>
      </c>
      <c r="T2607" s="4" t="inlineStr">
        <is>
          <t>HIGH_2501_3000</t>
        </is>
      </c>
      <c r="U2607" s="4" t="inlineStr">
        <is>
          <t>CREATED</t>
        </is>
      </c>
      <c r="V2607" s="4" t="inlineStr">
        <is>
          <t>idem-20260902-ios-2606</t>
        </is>
      </c>
    </row>
    <row r="2608" ht="30" customHeight="1">
      <c r="A2608" s="4" t="n">
        <v>2607</v>
      </c>
      <c r="B2608" s="4" t="inlineStr">
        <is>
          <t>MTR-IOS-2607</t>
        </is>
      </c>
      <c r="C2608" s="4" t="inlineStr">
        <is>
          <t>Business</t>
        </is>
      </c>
      <c r="D2608" s="4" t="inlineStr">
        <is>
          <t>Business</t>
        </is>
      </c>
      <c r="E2608" s="4" t="inlineStr">
        <is>
          <t>Business Runway</t>
        </is>
      </c>
      <c r="F2608" s="4" t="inlineStr">
        <is>
          <t>Funding</t>
        </is>
      </c>
      <c r="G2608" s="4" t="inlineStr">
        <is>
          <t>Income</t>
        </is>
      </c>
      <c r="H2608" s="12" t="n">
        <v>46116</v>
      </c>
      <c r="I2608" s="13" t="n">
        <v>0.5600694444444444</v>
      </c>
      <c r="J2608" s="14" t="n">
        <v>46116.56006944444</v>
      </c>
      <c r="K2608" s="15" t="n">
        <v>126554.69</v>
      </c>
      <c r="L2608" s="4" t="inlineStr">
        <is>
          <t>INR</t>
        </is>
      </c>
      <c r="M2608" s="15" t="n">
        <v>126554.69</v>
      </c>
      <c r="N2608" s="4" t="inlineStr">
        <is>
          <t>IOS Owner</t>
        </is>
      </c>
      <c r="O2608" s="4" t="n"/>
      <c r="P2608" s="4" t="n"/>
      <c r="Q2608" s="4" t="inlineStr">
        <is>
          <t>MAESTRO-IOS-BUSINESS-BUSINESS_RUNWAY-2607 | Funding | 126554.69</t>
        </is>
      </c>
      <c r="R2608" s="4" t="inlineStr">
        <is>
          <t>iPhone</t>
        </is>
      </c>
      <c r="S2608" s="4" t="inlineStr">
        <is>
          <t>B53</t>
        </is>
      </c>
      <c r="T2608" s="4" t="inlineStr">
        <is>
          <t>HIGH_2501_3000</t>
        </is>
      </c>
      <c r="U2608" s="4" t="inlineStr">
        <is>
          <t>CREATED</t>
        </is>
      </c>
      <c r="V2608" s="4" t="inlineStr">
        <is>
          <t>idem-20260902-ios-2607</t>
        </is>
      </c>
    </row>
    <row r="2609" ht="30" customHeight="1">
      <c r="A2609" s="4" t="n">
        <v>2608</v>
      </c>
      <c r="B2609" s="4" t="inlineStr">
        <is>
          <t>MTR-IOS-2608</t>
        </is>
      </c>
      <c r="C2609" s="4" t="inlineStr">
        <is>
          <t>Personal</t>
        </is>
      </c>
      <c r="D2609" s="4" t="inlineStr">
        <is>
          <t>Personal</t>
        </is>
      </c>
      <c r="E2609" s="4" t="inlineStr">
        <is>
          <t>Relationships</t>
        </is>
      </c>
      <c r="F2609" s="4" t="inlineStr">
        <is>
          <t>Gifts</t>
        </is>
      </c>
      <c r="G2609" s="4" t="inlineStr">
        <is>
          <t>Expense</t>
        </is>
      </c>
      <c r="H2609" s="12" t="n">
        <v>46156</v>
      </c>
      <c r="I2609" s="13" t="n">
        <v>0.9717013888888889</v>
      </c>
      <c r="J2609" s="14" t="n">
        <v>46156.97170138889</v>
      </c>
      <c r="K2609" s="15" t="n">
        <v>3799.47</v>
      </c>
      <c r="L2609" s="4" t="inlineStr">
        <is>
          <t>INR</t>
        </is>
      </c>
      <c r="M2609" s="15" t="n">
        <v>-3799.47</v>
      </c>
      <c r="N2609" s="4" t="inlineStr">
        <is>
          <t>IOS Owner</t>
        </is>
      </c>
      <c r="O2609" s="4" t="n"/>
      <c r="P2609" s="4" t="n"/>
      <c r="Q2609" s="4" t="inlineStr">
        <is>
          <t>MAESTRO-IOS-PERSONAL-RELATIONSHIPS-2608 | Gifts | 3799.47</t>
        </is>
      </c>
      <c r="R2609" s="4" t="inlineStr">
        <is>
          <t>iPhone</t>
        </is>
      </c>
      <c r="S2609" s="4" t="inlineStr">
        <is>
          <t>B53</t>
        </is>
      </c>
      <c r="T2609" s="4" t="inlineStr">
        <is>
          <t>HIGH_2501_3000</t>
        </is>
      </c>
      <c r="U2609" s="4" t="inlineStr">
        <is>
          <t>CREATED</t>
        </is>
      </c>
      <c r="V2609" s="4" t="inlineStr">
        <is>
          <t>idem-20260902-ios-2608</t>
        </is>
      </c>
    </row>
    <row r="2610" ht="30" customHeight="1">
      <c r="A2610" s="4" t="n">
        <v>2609</v>
      </c>
      <c r="B2610" s="4" t="inlineStr">
        <is>
          <t>MTR-IOS-2609</t>
        </is>
      </c>
      <c r="C2610" s="4" t="inlineStr">
        <is>
          <t>Group</t>
        </is>
      </c>
      <c r="D2610" s="4" t="inlineStr">
        <is>
          <t>Shared Living</t>
        </is>
      </c>
      <c r="E2610" s="4" t="inlineStr">
        <is>
          <t>Custom Living</t>
        </is>
      </c>
      <c r="F2610" s="4" t="inlineStr">
        <is>
          <t>Custom Contribution</t>
        </is>
      </c>
      <c r="G2610" s="4" t="inlineStr">
        <is>
          <t>Contribution</t>
        </is>
      </c>
      <c r="H2610" s="12" t="n">
        <v>46111</v>
      </c>
      <c r="I2610" s="13" t="n">
        <v>0.6918171296296296</v>
      </c>
      <c r="J2610" s="14" t="n">
        <v>46111.69181712963</v>
      </c>
      <c r="K2610" s="15" t="n">
        <v>4718.58</v>
      </c>
      <c r="L2610" s="4" t="inlineStr">
        <is>
          <t>INR</t>
        </is>
      </c>
      <c r="M2610" s="15" t="n">
        <v>4718.58</v>
      </c>
      <c r="N2610" s="4" t="inlineStr">
        <is>
          <t>IOS Meera</t>
        </is>
      </c>
      <c r="O2610" s="4" t="n">
        <v>3</v>
      </c>
      <c r="P2610" s="4" t="inlineStr">
        <is>
          <t>PERCENTAGE</t>
        </is>
      </c>
      <c r="Q2610" s="4" t="inlineStr">
        <is>
          <t>MAESTRO-IOS-GROUP-CUSTOM_LIVING-2609 | Custom Contribution | 4718.58</t>
        </is>
      </c>
      <c r="R2610" s="4" t="inlineStr">
        <is>
          <t>iPhone</t>
        </is>
      </c>
      <c r="S2610" s="4" t="inlineStr">
        <is>
          <t>B53</t>
        </is>
      </c>
      <c r="T2610" s="4" t="inlineStr">
        <is>
          <t>HIGH_2501_3000</t>
        </is>
      </c>
      <c r="U2610" s="4" t="inlineStr">
        <is>
          <t>CREATED</t>
        </is>
      </c>
      <c r="V2610" s="4" t="inlineStr">
        <is>
          <t>idem-20260902-ios-2609</t>
        </is>
      </c>
    </row>
    <row r="2611" ht="30" customHeight="1">
      <c r="A2611" s="4" t="n">
        <v>2610</v>
      </c>
      <c r="B2611" s="4" t="inlineStr">
        <is>
          <t>MTR-IOS-2610</t>
        </is>
      </c>
      <c r="C2611" s="4" t="inlineStr">
        <is>
          <t>Business</t>
        </is>
      </c>
      <c r="D2611" s="4" t="inlineStr">
        <is>
          <t>Business</t>
        </is>
      </c>
      <c r="E2611" s="4" t="inlineStr">
        <is>
          <t>Business Runway</t>
        </is>
      </c>
      <c r="F2611" s="4" t="inlineStr">
        <is>
          <t>Revenue</t>
        </is>
      </c>
      <c r="G2611" s="4" t="inlineStr">
        <is>
          <t>Income</t>
        </is>
      </c>
      <c r="H2611" s="12" t="n">
        <v>46185</v>
      </c>
      <c r="I2611" s="13" t="n">
        <v>0.763449074074074</v>
      </c>
      <c r="J2611" s="14" t="n">
        <v>46185.76344907407</v>
      </c>
      <c r="K2611" s="15" t="n">
        <v>11474.63</v>
      </c>
      <c r="L2611" s="4" t="inlineStr">
        <is>
          <t>INR</t>
        </is>
      </c>
      <c r="M2611" s="15" t="n">
        <v>11474.63</v>
      </c>
      <c r="N2611" s="4" t="inlineStr">
        <is>
          <t>IOS Owner</t>
        </is>
      </c>
      <c r="O2611" s="4" t="n"/>
      <c r="P2611" s="4" t="n"/>
      <c r="Q2611" s="4" t="inlineStr">
        <is>
          <t>MAESTRO-IOS-BUSINESS-BUSINESS_RUNWAY-2610 | Revenue | 11474.63</t>
        </is>
      </c>
      <c r="R2611" s="4" t="inlineStr">
        <is>
          <t>iPhone</t>
        </is>
      </c>
      <c r="S2611" s="4" t="inlineStr">
        <is>
          <t>B53</t>
        </is>
      </c>
      <c r="T2611" s="4" t="inlineStr">
        <is>
          <t>HIGH_2501_3000</t>
        </is>
      </c>
      <c r="U2611" s="4" t="inlineStr">
        <is>
          <t>CREATED</t>
        </is>
      </c>
      <c r="V2611" s="4" t="inlineStr">
        <is>
          <t>idem-20260902-ios-2610</t>
        </is>
      </c>
    </row>
    <row r="2612" ht="30" customHeight="1">
      <c r="A2612" s="4" t="n">
        <v>2611</v>
      </c>
      <c r="B2612" s="4" t="inlineStr">
        <is>
          <t>MTR-IOS-2611</t>
        </is>
      </c>
      <c r="C2612" s="4" t="inlineStr">
        <is>
          <t>Personal</t>
        </is>
      </c>
      <c r="D2612" s="4" t="inlineStr">
        <is>
          <t>Personal</t>
        </is>
      </c>
      <c r="E2612" s="4" t="inlineStr">
        <is>
          <t>Relationships</t>
        </is>
      </c>
      <c r="F2612" s="4" t="inlineStr">
        <is>
          <t>Dates</t>
        </is>
      </c>
      <c r="G2612" s="4" t="inlineStr">
        <is>
          <t>Expense</t>
        </is>
      </c>
      <c r="H2612" s="12" t="n">
        <v>46192</v>
      </c>
      <c r="I2612" s="13" t="n">
        <v>0.4253703703703703</v>
      </c>
      <c r="J2612" s="14" t="n">
        <v>46192.42537037037</v>
      </c>
      <c r="K2612" s="15" t="n">
        <v>896.1799999999999</v>
      </c>
      <c r="L2612" s="4" t="inlineStr">
        <is>
          <t>INR</t>
        </is>
      </c>
      <c r="M2612" s="15" t="n">
        <v>-896.1799999999999</v>
      </c>
      <c r="N2612" s="4" t="inlineStr">
        <is>
          <t>IOS Owner</t>
        </is>
      </c>
      <c r="O2612" s="4" t="n"/>
      <c r="P2612" s="4" t="n"/>
      <c r="Q2612" s="4" t="inlineStr">
        <is>
          <t>MAESTRO-IOS-PERSONAL-RELATIONSHIPS-2611 | Dates | 896.18</t>
        </is>
      </c>
      <c r="R2612" s="4" t="inlineStr">
        <is>
          <t>iPhone</t>
        </is>
      </c>
      <c r="S2612" s="4" t="inlineStr">
        <is>
          <t>B53</t>
        </is>
      </c>
      <c r="T2612" s="4" t="inlineStr">
        <is>
          <t>HIGH_2501_3000</t>
        </is>
      </c>
      <c r="U2612" s="4" t="inlineStr">
        <is>
          <t>CREATED</t>
        </is>
      </c>
      <c r="V2612" s="4" t="inlineStr">
        <is>
          <t>idem-20260902-ios-2611</t>
        </is>
      </c>
    </row>
    <row r="2613" ht="30" customHeight="1">
      <c r="A2613" s="4" t="n">
        <v>2612</v>
      </c>
      <c r="B2613" s="4" t="inlineStr">
        <is>
          <t>MTR-IOS-2612</t>
        </is>
      </c>
      <c r="C2613" s="4" t="inlineStr">
        <is>
          <t>Group</t>
        </is>
      </c>
      <c r="D2613" s="4" t="inlineStr">
        <is>
          <t>Shared Experience</t>
        </is>
      </c>
      <c r="E2613" s="4" t="inlineStr">
        <is>
          <t>Trip</t>
        </is>
      </c>
      <c r="F2613" s="4" t="inlineStr">
        <is>
          <t>Travel</t>
        </is>
      </c>
      <c r="G2613" s="4" t="inlineStr">
        <is>
          <t>Expense</t>
        </is>
      </c>
      <c r="H2613" s="12" t="n">
        <v>45948</v>
      </c>
      <c r="I2613" s="13" t="n">
        <v>0.2633912037037037</v>
      </c>
      <c r="J2613" s="14" t="n">
        <v>45948.26339120371</v>
      </c>
      <c r="K2613" s="15" t="n">
        <v>15724.66</v>
      </c>
      <c r="L2613" s="4" t="inlineStr">
        <is>
          <t>INR</t>
        </is>
      </c>
      <c r="M2613" s="15" t="n">
        <v>-15724.66</v>
      </c>
      <c r="N2613" s="4" t="inlineStr">
        <is>
          <t>IOS Owner</t>
        </is>
      </c>
      <c r="O2613" s="4" t="n">
        <v>3</v>
      </c>
      <c r="P2613" s="4" t="inlineStr">
        <is>
          <t>EXACT</t>
        </is>
      </c>
      <c r="Q2613" s="4" t="inlineStr">
        <is>
          <t>MAESTRO-IOS-GROUP-TRIP-2612 | Travel | 15724.66</t>
        </is>
      </c>
      <c r="R2613" s="4" t="inlineStr">
        <is>
          <t>iPhone</t>
        </is>
      </c>
      <c r="S2613" s="4" t="inlineStr">
        <is>
          <t>B53</t>
        </is>
      </c>
      <c r="T2613" s="4" t="inlineStr">
        <is>
          <t>HIGH_2501_3000</t>
        </is>
      </c>
      <c r="U2613" s="4" t="inlineStr">
        <is>
          <t>CREATED</t>
        </is>
      </c>
      <c r="V2613" s="4" t="inlineStr">
        <is>
          <t>idem-20260902-ios-2612</t>
        </is>
      </c>
    </row>
    <row r="2614" ht="30" customHeight="1">
      <c r="A2614" s="4" t="n">
        <v>2613</v>
      </c>
      <c r="B2614" s="4" t="inlineStr">
        <is>
          <t>MTR-IOS-2613</t>
        </is>
      </c>
      <c r="C2614" s="4" t="inlineStr">
        <is>
          <t>Business</t>
        </is>
      </c>
      <c r="D2614" s="4" t="inlineStr">
        <is>
          <t>Business</t>
        </is>
      </c>
      <c r="E2614" s="4" t="inlineStr">
        <is>
          <t>Business Runway</t>
        </is>
      </c>
      <c r="F2614" s="4" t="inlineStr">
        <is>
          <t>Burn</t>
        </is>
      </c>
      <c r="G2614" s="4" t="inlineStr">
        <is>
          <t>Expense</t>
        </is>
      </c>
      <c r="H2614" s="12" t="n">
        <v>46049</v>
      </c>
      <c r="I2614" s="13" t="n">
        <v>0.8486226851851851</v>
      </c>
      <c r="J2614" s="14" t="n">
        <v>46049.84862268518</v>
      </c>
      <c r="K2614" s="15" t="n">
        <v>78319.10000000001</v>
      </c>
      <c r="L2614" s="4" t="inlineStr">
        <is>
          <t>INR</t>
        </is>
      </c>
      <c r="M2614" s="15" t="n">
        <v>-78319.10000000001</v>
      </c>
      <c r="N2614" s="4" t="inlineStr">
        <is>
          <t>IOS Owner</t>
        </is>
      </c>
      <c r="O2614" s="4" t="n"/>
      <c r="P2614" s="4" t="n"/>
      <c r="Q2614" s="4" t="inlineStr">
        <is>
          <t>MAESTRO-IOS-BUSINESS-BUSINESS_RUNWAY-2613 | Burn | 78319.10</t>
        </is>
      </c>
      <c r="R2614" s="4" t="inlineStr">
        <is>
          <t>iPhone</t>
        </is>
      </c>
      <c r="S2614" s="4" t="inlineStr">
        <is>
          <t>B53</t>
        </is>
      </c>
      <c r="T2614" s="4" t="inlineStr">
        <is>
          <t>HIGH_2501_3000</t>
        </is>
      </c>
      <c r="U2614" s="4" t="inlineStr">
        <is>
          <t>CREATED</t>
        </is>
      </c>
      <c r="V2614" s="4" t="inlineStr">
        <is>
          <t>idem-20260902-ios-2613</t>
        </is>
      </c>
    </row>
    <row r="2615" ht="30" customHeight="1">
      <c r="A2615" s="4" t="n">
        <v>2614</v>
      </c>
      <c r="B2615" s="4" t="inlineStr">
        <is>
          <t>MTR-IOS-2614</t>
        </is>
      </c>
      <c r="C2615" s="4" t="inlineStr">
        <is>
          <t>Personal</t>
        </is>
      </c>
      <c r="D2615" s="4" t="inlineStr">
        <is>
          <t>Personal</t>
        </is>
      </c>
      <c r="E2615" s="4" t="inlineStr">
        <is>
          <t>Relationships</t>
        </is>
      </c>
      <c r="F2615" s="4" t="inlineStr">
        <is>
          <t>Family</t>
        </is>
      </c>
      <c r="G2615" s="4" t="inlineStr">
        <is>
          <t>Expense</t>
        </is>
      </c>
      <c r="H2615" s="12" t="n">
        <v>46232</v>
      </c>
      <c r="I2615" s="13" t="n">
        <v>0.5122453703703703</v>
      </c>
      <c r="J2615" s="14" t="n">
        <v>46232.51224537037</v>
      </c>
      <c r="K2615" s="15" t="n">
        <v>3090.07</v>
      </c>
      <c r="L2615" s="4" t="inlineStr">
        <is>
          <t>INR</t>
        </is>
      </c>
      <c r="M2615" s="15" t="n">
        <v>-3090.07</v>
      </c>
      <c r="N2615" s="4" t="inlineStr">
        <is>
          <t>IOS Owner</t>
        </is>
      </c>
      <c r="O2615" s="4" t="n"/>
      <c r="P2615" s="4" t="n"/>
      <c r="Q2615" s="4" t="inlineStr">
        <is>
          <t>MAESTRO-IOS-PERSONAL-RELATIONSHIPS-2614 | Family | 3090.07</t>
        </is>
      </c>
      <c r="R2615" s="4" t="inlineStr">
        <is>
          <t>iPhone</t>
        </is>
      </c>
      <c r="S2615" s="4" t="inlineStr">
        <is>
          <t>B53</t>
        </is>
      </c>
      <c r="T2615" s="4" t="inlineStr">
        <is>
          <t>HIGH_2501_3000</t>
        </is>
      </c>
      <c r="U2615" s="4" t="inlineStr">
        <is>
          <t>CREATED</t>
        </is>
      </c>
      <c r="V2615" s="4" t="inlineStr">
        <is>
          <t>idem-20260902-ios-2614</t>
        </is>
      </c>
    </row>
    <row r="2616" ht="30" customHeight="1">
      <c r="A2616" s="4" t="n">
        <v>2615</v>
      </c>
      <c r="B2616" s="4" t="inlineStr">
        <is>
          <t>MTR-IOS-2615</t>
        </is>
      </c>
      <c r="C2616" s="4" t="inlineStr">
        <is>
          <t>Group</t>
        </is>
      </c>
      <c r="D2616" s="4" t="inlineStr">
        <is>
          <t>Shared Experience</t>
        </is>
      </c>
      <c r="E2616" s="4" t="inlineStr">
        <is>
          <t>Trip</t>
        </is>
      </c>
      <c r="F2616" s="4" t="inlineStr">
        <is>
          <t>Stay</t>
        </is>
      </c>
      <c r="G2616" s="4" t="inlineStr">
        <is>
          <t>Expense</t>
        </is>
      </c>
      <c r="H2616" s="12" t="n">
        <v>45996</v>
      </c>
      <c r="I2616" s="13" t="n">
        <v>0.2287847222222222</v>
      </c>
      <c r="J2616" s="14" t="n">
        <v>45996.22878472223</v>
      </c>
      <c r="K2616" s="15" t="n">
        <v>5423.7</v>
      </c>
      <c r="L2616" s="4" t="inlineStr">
        <is>
          <t>INR</t>
        </is>
      </c>
      <c r="M2616" s="15" t="n">
        <v>-5423.7</v>
      </c>
      <c r="N2616" s="4" t="inlineStr">
        <is>
          <t>IOS Aarav</t>
        </is>
      </c>
      <c r="O2616" s="4" t="n">
        <v>3</v>
      </c>
      <c r="P2616" s="4" t="inlineStr">
        <is>
          <t>SHARES</t>
        </is>
      </c>
      <c r="Q2616" s="4" t="inlineStr">
        <is>
          <t>MAESTRO-IOS-GROUP-TRIP-2615 | Stay | 5423.70</t>
        </is>
      </c>
      <c r="R2616" s="4" t="inlineStr">
        <is>
          <t>iPhone</t>
        </is>
      </c>
      <c r="S2616" s="4" t="inlineStr">
        <is>
          <t>B53</t>
        </is>
      </c>
      <c r="T2616" s="4" t="inlineStr">
        <is>
          <t>HIGH_2501_3000</t>
        </is>
      </c>
      <c r="U2616" s="4" t="inlineStr">
        <is>
          <t>CREATED</t>
        </is>
      </c>
      <c r="V2616" s="4" t="inlineStr">
        <is>
          <t>idem-20260902-ios-2615</t>
        </is>
      </c>
    </row>
    <row r="2617" ht="30" customHeight="1">
      <c r="A2617" s="4" t="n">
        <v>2616</v>
      </c>
      <c r="B2617" s="4" t="inlineStr">
        <is>
          <t>MTR-IOS-2616</t>
        </is>
      </c>
      <c r="C2617" s="4" t="inlineStr">
        <is>
          <t>Business</t>
        </is>
      </c>
      <c r="D2617" s="4" t="inlineStr">
        <is>
          <t>Business</t>
        </is>
      </c>
      <c r="E2617" s="4" t="inlineStr">
        <is>
          <t>Business Runway</t>
        </is>
      </c>
      <c r="F2617" s="4" t="inlineStr">
        <is>
          <t>Reserve</t>
        </is>
      </c>
      <c r="G2617" s="4" t="inlineStr">
        <is>
          <t>Transfer</t>
        </is>
      </c>
      <c r="H2617" s="12" t="n">
        <v>46183</v>
      </c>
      <c r="I2617" s="13" t="n">
        <v>0.6637037037037037</v>
      </c>
      <c r="J2617" s="14" t="n">
        <v>46183.66370370371</v>
      </c>
      <c r="K2617" s="15" t="n">
        <v>563.86</v>
      </c>
      <c r="L2617" s="4" t="inlineStr">
        <is>
          <t>INR</t>
        </is>
      </c>
      <c r="M2617" s="15" t="n">
        <v>0</v>
      </c>
      <c r="N2617" s="4" t="inlineStr">
        <is>
          <t>IOS Owner</t>
        </is>
      </c>
      <c r="O2617" s="4" t="n"/>
      <c r="P2617" s="4" t="n"/>
      <c r="Q2617" s="4" t="inlineStr">
        <is>
          <t>MAESTRO-IOS-BUSINESS-BUSINESS_RUNWAY-2616 | Reserve | 563.86</t>
        </is>
      </c>
      <c r="R2617" s="4" t="inlineStr">
        <is>
          <t>iPhone</t>
        </is>
      </c>
      <c r="S2617" s="4" t="inlineStr">
        <is>
          <t>B53</t>
        </is>
      </c>
      <c r="T2617" s="4" t="inlineStr">
        <is>
          <t>HIGH_2501_3000</t>
        </is>
      </c>
      <c r="U2617" s="4" t="inlineStr">
        <is>
          <t>CREATED</t>
        </is>
      </c>
      <c r="V2617" s="4" t="inlineStr">
        <is>
          <t>idem-20260902-ios-2616</t>
        </is>
      </c>
    </row>
    <row r="2618" ht="30" customHeight="1">
      <c r="A2618" s="4" t="n">
        <v>2617</v>
      </c>
      <c r="B2618" s="4" t="inlineStr">
        <is>
          <t>MTR-IOS-2617</t>
        </is>
      </c>
      <c r="C2618" s="4" t="inlineStr">
        <is>
          <t>Personal</t>
        </is>
      </c>
      <c r="D2618" s="4" t="inlineStr">
        <is>
          <t>Personal</t>
        </is>
      </c>
      <c r="E2618" s="4" t="inlineStr">
        <is>
          <t>Relationships</t>
        </is>
      </c>
      <c r="F2618" s="4" t="inlineStr">
        <is>
          <t>Friends</t>
        </is>
      </c>
      <c r="G2618" s="4" t="inlineStr">
        <is>
          <t>Expense</t>
        </is>
      </c>
      <c r="H2618" s="12" t="n">
        <v>46104</v>
      </c>
      <c r="I2618" s="13" t="n">
        <v>0.1131018518518519</v>
      </c>
      <c r="J2618" s="14" t="n">
        <v>46104.11310185185</v>
      </c>
      <c r="K2618" s="15" t="n">
        <v>11073.18</v>
      </c>
      <c r="L2618" s="4" t="inlineStr">
        <is>
          <t>INR</t>
        </is>
      </c>
      <c r="M2618" s="15" t="n">
        <v>-11073.18</v>
      </c>
      <c r="N2618" s="4" t="inlineStr">
        <is>
          <t>IOS Owner</t>
        </is>
      </c>
      <c r="O2618" s="4" t="n"/>
      <c r="P2618" s="4" t="n"/>
      <c r="Q2618" s="4" t="inlineStr">
        <is>
          <t>MAESTRO-IOS-PERSONAL-RELATIONSHIPS-2617 | Friends | 11073.18</t>
        </is>
      </c>
      <c r="R2618" s="4" t="inlineStr">
        <is>
          <t>iPhone</t>
        </is>
      </c>
      <c r="S2618" s="4" t="inlineStr">
        <is>
          <t>B53</t>
        </is>
      </c>
      <c r="T2618" s="4" t="inlineStr">
        <is>
          <t>HIGH_2501_3000</t>
        </is>
      </c>
      <c r="U2618" s="4" t="inlineStr">
        <is>
          <t>CREATED</t>
        </is>
      </c>
      <c r="V2618" s="4" t="inlineStr">
        <is>
          <t>idem-20260902-ios-2617</t>
        </is>
      </c>
    </row>
    <row r="2619" ht="30" customHeight="1">
      <c r="A2619" s="4" t="n">
        <v>2618</v>
      </c>
      <c r="B2619" s="4" t="inlineStr">
        <is>
          <t>MTR-IOS-2618</t>
        </is>
      </c>
      <c r="C2619" s="4" t="inlineStr">
        <is>
          <t>Group</t>
        </is>
      </c>
      <c r="D2619" s="4" t="inlineStr">
        <is>
          <t>Shared Experience</t>
        </is>
      </c>
      <c r="E2619" s="4" t="inlineStr">
        <is>
          <t>Trip</t>
        </is>
      </c>
      <c r="F2619" s="4" t="inlineStr">
        <is>
          <t>Food</t>
        </is>
      </c>
      <c r="G2619" s="4" t="inlineStr">
        <is>
          <t>Expense</t>
        </is>
      </c>
      <c r="H2619" s="12" t="n">
        <v>45972</v>
      </c>
      <c r="I2619" s="13" t="n">
        <v>0.7607523148148149</v>
      </c>
      <c r="J2619" s="14" t="n">
        <v>45972.76075231482</v>
      </c>
      <c r="K2619" s="15" t="n">
        <v>8221.030000000001</v>
      </c>
      <c r="L2619" s="4" t="inlineStr">
        <is>
          <t>INR</t>
        </is>
      </c>
      <c r="M2619" s="15" t="n">
        <v>-8221.030000000001</v>
      </c>
      <c r="N2619" s="4" t="inlineStr">
        <is>
          <t>IOS Meera</t>
        </is>
      </c>
      <c r="O2619" s="4" t="n">
        <v>3</v>
      </c>
      <c r="P2619" s="4" t="inlineStr">
        <is>
          <t>EQUAL</t>
        </is>
      </c>
      <c r="Q2619" s="4" t="inlineStr">
        <is>
          <t>MAESTRO-IOS-GROUP-TRIP-2618 | Food | 8221.03</t>
        </is>
      </c>
      <c r="R2619" s="4" t="inlineStr">
        <is>
          <t>iPhone</t>
        </is>
      </c>
      <c r="S2619" s="4" t="inlineStr">
        <is>
          <t>B53</t>
        </is>
      </c>
      <c r="T2619" s="4" t="inlineStr">
        <is>
          <t>HIGH_2501_3000</t>
        </is>
      </c>
      <c r="U2619" s="4" t="inlineStr">
        <is>
          <t>CREATED</t>
        </is>
      </c>
      <c r="V2619" s="4" t="inlineStr">
        <is>
          <t>idem-20260902-ios-2618</t>
        </is>
      </c>
    </row>
    <row r="2620" ht="30" customHeight="1">
      <c r="A2620" s="4" t="n">
        <v>2619</v>
      </c>
      <c r="B2620" s="4" t="inlineStr">
        <is>
          <t>MTR-IOS-2619</t>
        </is>
      </c>
      <c r="C2620" s="4" t="inlineStr">
        <is>
          <t>Business</t>
        </is>
      </c>
      <c r="D2620" s="4" t="inlineStr">
        <is>
          <t>Business</t>
        </is>
      </c>
      <c r="E2620" s="4" t="inlineStr">
        <is>
          <t>Business Runway</t>
        </is>
      </c>
      <c r="F2620" s="4" t="inlineStr">
        <is>
          <t>Loan</t>
        </is>
      </c>
      <c r="G2620" s="4" t="inlineStr">
        <is>
          <t>Income</t>
        </is>
      </c>
      <c r="H2620" s="12" t="n">
        <v>45955</v>
      </c>
      <c r="I2620" s="13" t="n">
        <v>0.5695717592592593</v>
      </c>
      <c r="J2620" s="14" t="n">
        <v>45955.56957175926</v>
      </c>
      <c r="K2620" s="15" t="n">
        <v>120015.85</v>
      </c>
      <c r="L2620" s="4" t="inlineStr">
        <is>
          <t>INR</t>
        </is>
      </c>
      <c r="M2620" s="15" t="n">
        <v>120015.85</v>
      </c>
      <c r="N2620" s="4" t="inlineStr">
        <is>
          <t>IOS Owner</t>
        </is>
      </c>
      <c r="O2620" s="4" t="n"/>
      <c r="P2620" s="4" t="n"/>
      <c r="Q2620" s="4" t="inlineStr">
        <is>
          <t>MAESTRO-IOS-BUSINESS-BUSINESS_RUNWAY-2619 | Loan | 120015.85</t>
        </is>
      </c>
      <c r="R2620" s="4" t="inlineStr">
        <is>
          <t>iPhone</t>
        </is>
      </c>
      <c r="S2620" s="4" t="inlineStr">
        <is>
          <t>B53</t>
        </is>
      </c>
      <c r="T2620" s="4" t="inlineStr">
        <is>
          <t>HIGH_2501_3000</t>
        </is>
      </c>
      <c r="U2620" s="4" t="inlineStr">
        <is>
          <t>CREATED</t>
        </is>
      </c>
      <c r="V2620" s="4" t="inlineStr">
        <is>
          <t>idem-20260902-ios-2619</t>
        </is>
      </c>
    </row>
    <row r="2621" ht="30" customHeight="1">
      <c r="A2621" s="4" t="n">
        <v>2620</v>
      </c>
      <c r="B2621" s="4" t="inlineStr">
        <is>
          <t>MTR-IOS-2620</t>
        </is>
      </c>
      <c r="C2621" s="4" t="inlineStr">
        <is>
          <t>Personal</t>
        </is>
      </c>
      <c r="D2621" s="4" t="inlineStr">
        <is>
          <t>Personal</t>
        </is>
      </c>
      <c r="E2621" s="4" t="inlineStr">
        <is>
          <t>Relationships</t>
        </is>
      </c>
      <c r="F2621" s="4" t="inlineStr">
        <is>
          <t>Celebrations</t>
        </is>
      </c>
      <c r="G2621" s="4" t="inlineStr">
        <is>
          <t>Expense</t>
        </is>
      </c>
      <c r="H2621" s="12" t="n">
        <v>46168</v>
      </c>
      <c r="I2621" s="13" t="n">
        <v>0.05273148148148148</v>
      </c>
      <c r="J2621" s="14" t="n">
        <v>46168.05273148148</v>
      </c>
      <c r="K2621" s="15" t="n">
        <v>14553.89</v>
      </c>
      <c r="L2621" s="4" t="inlineStr">
        <is>
          <t>INR</t>
        </is>
      </c>
      <c r="M2621" s="15" t="n">
        <v>-14553.89</v>
      </c>
      <c r="N2621" s="4" t="inlineStr">
        <is>
          <t>IOS Owner</t>
        </is>
      </c>
      <c r="O2621" s="4" t="n"/>
      <c r="P2621" s="4" t="n"/>
      <c r="Q2621" s="4" t="inlineStr">
        <is>
          <t>MAESTRO-IOS-PERSONAL-RELATIONSHIPS-2620 | Celebrations | 14553.89</t>
        </is>
      </c>
      <c r="R2621" s="4" t="inlineStr">
        <is>
          <t>iPhone</t>
        </is>
      </c>
      <c r="S2621" s="4" t="inlineStr">
        <is>
          <t>B53</t>
        </is>
      </c>
      <c r="T2621" s="4" t="inlineStr">
        <is>
          <t>HIGH_2501_3000</t>
        </is>
      </c>
      <c r="U2621" s="4" t="inlineStr">
        <is>
          <t>CREATED</t>
        </is>
      </c>
      <c r="V2621" s="4" t="inlineStr">
        <is>
          <t>idem-20260902-ios-2620</t>
        </is>
      </c>
    </row>
    <row r="2622" ht="30" customHeight="1">
      <c r="A2622" s="4" t="n">
        <v>2621</v>
      </c>
      <c r="B2622" s="4" t="inlineStr">
        <is>
          <t>MTR-IOS-2621</t>
        </is>
      </c>
      <c r="C2622" s="4" t="inlineStr">
        <is>
          <t>Group</t>
        </is>
      </c>
      <c r="D2622" s="4" t="inlineStr">
        <is>
          <t>Shared Experience</t>
        </is>
      </c>
      <c r="E2622" s="4" t="inlineStr">
        <is>
          <t>Trip</t>
        </is>
      </c>
      <c r="F2622" s="4" t="inlineStr">
        <is>
          <t>Local Transport</t>
        </is>
      </c>
      <c r="G2622" s="4" t="inlineStr">
        <is>
          <t>Expense</t>
        </is>
      </c>
      <c r="H2622" s="12" t="n">
        <v>46252</v>
      </c>
      <c r="I2622" s="13" t="n">
        <v>0.9144791666666666</v>
      </c>
      <c r="J2622" s="14" t="n">
        <v>46252.91447916667</v>
      </c>
      <c r="K2622" s="15" t="n">
        <v>25279.74</v>
      </c>
      <c r="L2622" s="4" t="inlineStr">
        <is>
          <t>INR</t>
        </is>
      </c>
      <c r="M2622" s="15" t="n">
        <v>-25279.74</v>
      </c>
      <c r="N2622" s="4" t="inlineStr">
        <is>
          <t>IOS Owner</t>
        </is>
      </c>
      <c r="O2622" s="4" t="n">
        <v>3</v>
      </c>
      <c r="P2622" s="4" t="inlineStr">
        <is>
          <t>PERCENTAGE</t>
        </is>
      </c>
      <c r="Q2622" s="4" t="inlineStr">
        <is>
          <t>MAESTRO-IOS-GROUP-TRIP-2621 | Local Transport | 25279.74</t>
        </is>
      </c>
      <c r="R2622" s="4" t="inlineStr">
        <is>
          <t>iPhone</t>
        </is>
      </c>
      <c r="S2622" s="4" t="inlineStr">
        <is>
          <t>B53</t>
        </is>
      </c>
      <c r="T2622" s="4" t="inlineStr">
        <is>
          <t>HIGH_2501_3000</t>
        </is>
      </c>
      <c r="U2622" s="4" t="inlineStr">
        <is>
          <t>CREATED</t>
        </is>
      </c>
      <c r="V2622" s="4" t="inlineStr">
        <is>
          <t>idem-20260902-ios-2621</t>
        </is>
      </c>
    </row>
    <row r="2623" ht="30" customHeight="1">
      <c r="A2623" s="4" t="n">
        <v>2622</v>
      </c>
      <c r="B2623" s="4" t="inlineStr">
        <is>
          <t>MTR-IOS-2622</t>
        </is>
      </c>
      <c r="C2623" s="4" t="inlineStr">
        <is>
          <t>Business</t>
        </is>
      </c>
      <c r="D2623" s="4" t="inlineStr">
        <is>
          <t>Business</t>
        </is>
      </c>
      <c r="E2623" s="4" t="inlineStr">
        <is>
          <t>Business Runway</t>
        </is>
      </c>
      <c r="F2623" s="4" t="inlineStr">
        <is>
          <t>Investment</t>
        </is>
      </c>
      <c r="G2623" s="4" t="inlineStr">
        <is>
          <t>Income</t>
        </is>
      </c>
      <c r="H2623" s="12" t="n">
        <v>46211</v>
      </c>
      <c r="I2623" s="13" t="n">
        <v>0.6133333333333333</v>
      </c>
      <c r="J2623" s="14" t="n">
        <v>46211.61333333333</v>
      </c>
      <c r="K2623" s="15" t="n">
        <v>47086.45</v>
      </c>
      <c r="L2623" s="4" t="inlineStr">
        <is>
          <t>INR</t>
        </is>
      </c>
      <c r="M2623" s="15" t="n">
        <v>47086.45</v>
      </c>
      <c r="N2623" s="4" t="inlineStr">
        <is>
          <t>IOS Owner</t>
        </is>
      </c>
      <c r="O2623" s="4" t="n"/>
      <c r="P2623" s="4" t="n"/>
      <c r="Q2623" s="4" t="inlineStr">
        <is>
          <t>MAESTRO-IOS-BUSINESS-BUSINESS_RUNWAY-2622 | Investment | 47086.45</t>
        </is>
      </c>
      <c r="R2623" s="4" t="inlineStr">
        <is>
          <t>iPhone</t>
        </is>
      </c>
      <c r="S2623" s="4" t="inlineStr">
        <is>
          <t>B53</t>
        </is>
      </c>
      <c r="T2623" s="4" t="inlineStr">
        <is>
          <t>HIGH_2501_3000</t>
        </is>
      </c>
      <c r="U2623" s="4" t="inlineStr">
        <is>
          <t>CREATED</t>
        </is>
      </c>
      <c r="V2623" s="4" t="inlineStr">
        <is>
          <t>idem-20260902-ios-2622</t>
        </is>
      </c>
    </row>
    <row r="2624" ht="30" customHeight="1">
      <c r="A2624" s="4" t="n">
        <v>2623</v>
      </c>
      <c r="B2624" s="4" t="inlineStr">
        <is>
          <t>MTR-IOS-2623</t>
        </is>
      </c>
      <c r="C2624" s="4" t="inlineStr">
        <is>
          <t>Personal</t>
        </is>
      </c>
      <c r="D2624" s="4" t="inlineStr">
        <is>
          <t>Personal</t>
        </is>
      </c>
      <c r="E2624" s="4" t="inlineStr">
        <is>
          <t>Life Operations</t>
        </is>
      </c>
      <c r="F2624" s="4" t="inlineStr">
        <is>
          <t>Groceries</t>
        </is>
      </c>
      <c r="G2624" s="4" t="inlineStr">
        <is>
          <t>Expense</t>
        </is>
      </c>
      <c r="H2624" s="12" t="n">
        <v>46144</v>
      </c>
      <c r="I2624" s="13" t="n">
        <v>0.060625</v>
      </c>
      <c r="J2624" s="14" t="n">
        <v>46144.060625</v>
      </c>
      <c r="K2624" s="15" t="n">
        <v>6855.58</v>
      </c>
      <c r="L2624" s="4" t="inlineStr">
        <is>
          <t>INR</t>
        </is>
      </c>
      <c r="M2624" s="15" t="n">
        <v>-6855.58</v>
      </c>
      <c r="N2624" s="4" t="inlineStr">
        <is>
          <t>IOS Owner</t>
        </is>
      </c>
      <c r="O2624" s="4" t="n"/>
      <c r="P2624" s="4" t="n"/>
      <c r="Q2624" s="4" t="inlineStr">
        <is>
          <t>MAESTRO-IOS-PERSONAL-LIFE_OPERATIONS-2623 | Groceries | 6855.58</t>
        </is>
      </c>
      <c r="R2624" s="4" t="inlineStr">
        <is>
          <t>iPhone</t>
        </is>
      </c>
      <c r="S2624" s="4" t="inlineStr">
        <is>
          <t>B53</t>
        </is>
      </c>
      <c r="T2624" s="4" t="inlineStr">
        <is>
          <t>HIGH_2501_3000</t>
        </is>
      </c>
      <c r="U2624" s="4" t="inlineStr">
        <is>
          <t>CREATED</t>
        </is>
      </c>
      <c r="V2624" s="4" t="inlineStr">
        <is>
          <t>idem-20260902-ios-2623</t>
        </is>
      </c>
    </row>
    <row r="2625" ht="30" customHeight="1">
      <c r="A2625" s="4" t="n">
        <v>2624</v>
      </c>
      <c r="B2625" s="4" t="inlineStr">
        <is>
          <t>MTR-IOS-2624</t>
        </is>
      </c>
      <c r="C2625" s="4" t="inlineStr">
        <is>
          <t>Group</t>
        </is>
      </c>
      <c r="D2625" s="4" t="inlineStr">
        <is>
          <t>Shared Experience</t>
        </is>
      </c>
      <c r="E2625" s="4" t="inlineStr">
        <is>
          <t>Trip</t>
        </is>
      </c>
      <c r="F2625" s="4" t="inlineStr">
        <is>
          <t>Activities</t>
        </is>
      </c>
      <c r="G2625" s="4" t="inlineStr">
        <is>
          <t>Expense</t>
        </is>
      </c>
      <c r="H2625" s="12" t="n">
        <v>46068</v>
      </c>
      <c r="I2625" s="13" t="n">
        <v>0.6838541666666667</v>
      </c>
      <c r="J2625" s="14" t="n">
        <v>46068.68385416667</v>
      </c>
      <c r="K2625" s="15" t="n">
        <v>11599.16</v>
      </c>
      <c r="L2625" s="4" t="inlineStr">
        <is>
          <t>INR</t>
        </is>
      </c>
      <c r="M2625" s="15" t="n">
        <v>-11599.16</v>
      </c>
      <c r="N2625" s="4" t="inlineStr">
        <is>
          <t>IOS Aarav</t>
        </is>
      </c>
      <c r="O2625" s="4" t="n">
        <v>3</v>
      </c>
      <c r="P2625" s="4" t="inlineStr">
        <is>
          <t>EXACT</t>
        </is>
      </c>
      <c r="Q2625" s="4" t="inlineStr">
        <is>
          <t>MAESTRO-IOS-GROUP-TRIP-2624 | Activities | 11599.16</t>
        </is>
      </c>
      <c r="R2625" s="4" t="inlineStr">
        <is>
          <t>iPhone</t>
        </is>
      </c>
      <c r="S2625" s="4" t="inlineStr">
        <is>
          <t>B53</t>
        </is>
      </c>
      <c r="T2625" s="4" t="inlineStr">
        <is>
          <t>HIGH_2501_3000</t>
        </is>
      </c>
      <c r="U2625" s="4" t="inlineStr">
        <is>
          <t>CREATED</t>
        </is>
      </c>
      <c r="V2625" s="4" t="inlineStr">
        <is>
          <t>idem-20260902-ios-2624</t>
        </is>
      </c>
    </row>
    <row r="2626" ht="30" customHeight="1">
      <c r="A2626" s="4" t="n">
        <v>2625</v>
      </c>
      <c r="B2626" s="4" t="inlineStr">
        <is>
          <t>MTR-IOS-2625</t>
        </is>
      </c>
      <c r="C2626" s="4" t="inlineStr">
        <is>
          <t>Business</t>
        </is>
      </c>
      <c r="D2626" s="4" t="inlineStr">
        <is>
          <t>Business</t>
        </is>
      </c>
      <c r="E2626" s="4" t="inlineStr">
        <is>
          <t>Business Operations</t>
        </is>
      </c>
      <c r="F2626" s="4" t="inlineStr">
        <is>
          <t>Software</t>
        </is>
      </c>
      <c r="G2626" s="4" t="inlineStr">
        <is>
          <t>Expense</t>
        </is>
      </c>
      <c r="H2626" s="12" t="n">
        <v>46120</v>
      </c>
      <c r="I2626" s="13" t="n">
        <v>0.3183796296296296</v>
      </c>
      <c r="J2626" s="14" t="n">
        <v>46120.31837962963</v>
      </c>
      <c r="K2626" s="15" t="n">
        <v>162860.58</v>
      </c>
      <c r="L2626" s="4" t="inlineStr">
        <is>
          <t>INR</t>
        </is>
      </c>
      <c r="M2626" s="15" t="n">
        <v>-162860.58</v>
      </c>
      <c r="N2626" s="4" t="inlineStr">
        <is>
          <t>IOS Owner</t>
        </is>
      </c>
      <c r="O2626" s="4" t="n"/>
      <c r="P2626" s="4" t="n"/>
      <c r="Q2626" s="4" t="inlineStr">
        <is>
          <t>MAESTRO-IOS-BUSINESS-BUSINESS_OPERATIONS-2625 | Software | 162860.58</t>
        </is>
      </c>
      <c r="R2626" s="4" t="inlineStr">
        <is>
          <t>iPhone</t>
        </is>
      </c>
      <c r="S2626" s="4" t="inlineStr">
        <is>
          <t>B53</t>
        </is>
      </c>
      <c r="T2626" s="4" t="inlineStr">
        <is>
          <t>HIGH_2501_3000</t>
        </is>
      </c>
      <c r="U2626" s="4" t="inlineStr">
        <is>
          <t>CREATED</t>
        </is>
      </c>
      <c r="V2626" s="4" t="inlineStr">
        <is>
          <t>idem-20260902-ios-2625</t>
        </is>
      </c>
    </row>
    <row r="2627" ht="30" customHeight="1">
      <c r="A2627" s="4" t="n">
        <v>2626</v>
      </c>
      <c r="B2627" s="4" t="inlineStr">
        <is>
          <t>MTR-IOS-2626</t>
        </is>
      </c>
      <c r="C2627" s="4" t="inlineStr">
        <is>
          <t>Personal</t>
        </is>
      </c>
      <c r="D2627" s="4" t="inlineStr">
        <is>
          <t>Personal</t>
        </is>
      </c>
      <c r="E2627" s="4" t="inlineStr">
        <is>
          <t>Life Operations</t>
        </is>
      </c>
      <c r="F2627" s="4" t="inlineStr">
        <is>
          <t>Rent</t>
        </is>
      </c>
      <c r="G2627" s="4" t="inlineStr">
        <is>
          <t>Expense</t>
        </is>
      </c>
      <c r="H2627" s="12" t="n">
        <v>45918</v>
      </c>
      <c r="I2627" s="13" t="n">
        <v>0.9438425925925926</v>
      </c>
      <c r="J2627" s="14" t="n">
        <v>45918.94384259259</v>
      </c>
      <c r="K2627" s="15" t="n">
        <v>17839.22</v>
      </c>
      <c r="L2627" s="4" t="inlineStr">
        <is>
          <t>INR</t>
        </is>
      </c>
      <c r="M2627" s="15" t="n">
        <v>-17839.22</v>
      </c>
      <c r="N2627" s="4" t="inlineStr">
        <is>
          <t>IOS Owner</t>
        </is>
      </c>
      <c r="O2627" s="4" t="n"/>
      <c r="P2627" s="4" t="n"/>
      <c r="Q2627" s="4" t="inlineStr">
        <is>
          <t>MAESTRO-IOS-PERSONAL-LIFE_OPERATIONS-2626 | Rent | 17839.22</t>
        </is>
      </c>
      <c r="R2627" s="4" t="inlineStr">
        <is>
          <t>iPhone</t>
        </is>
      </c>
      <c r="S2627" s="4" t="inlineStr">
        <is>
          <t>B53</t>
        </is>
      </c>
      <c r="T2627" s="4" t="inlineStr">
        <is>
          <t>HIGH_2501_3000</t>
        </is>
      </c>
      <c r="U2627" s="4" t="inlineStr">
        <is>
          <t>CREATED</t>
        </is>
      </c>
      <c r="V2627" s="4" t="inlineStr">
        <is>
          <t>idem-20260902-ios-2626</t>
        </is>
      </c>
    </row>
    <row r="2628" ht="30" customHeight="1">
      <c r="A2628" s="4" t="n">
        <v>2627</v>
      </c>
      <c r="B2628" s="4" t="inlineStr">
        <is>
          <t>MTR-IOS-2627</t>
        </is>
      </c>
      <c r="C2628" s="4" t="inlineStr">
        <is>
          <t>Group</t>
        </is>
      </c>
      <c r="D2628" s="4" t="inlineStr">
        <is>
          <t>Shared Experience</t>
        </is>
      </c>
      <c r="E2628" s="4" t="inlineStr">
        <is>
          <t>Trip</t>
        </is>
      </c>
      <c r="F2628" s="4" t="inlineStr">
        <is>
          <t>Shopping</t>
        </is>
      </c>
      <c r="G2628" s="4" t="inlineStr">
        <is>
          <t>Expense</t>
        </is>
      </c>
      <c r="H2628" s="12" t="n">
        <v>45998</v>
      </c>
      <c r="I2628" s="13" t="n">
        <v>0.9165393518518519</v>
      </c>
      <c r="J2628" s="14" t="n">
        <v>45998.91653935185</v>
      </c>
      <c r="K2628" s="15" t="n">
        <v>10000</v>
      </c>
      <c r="L2628" s="4" t="inlineStr">
        <is>
          <t>INR</t>
        </is>
      </c>
      <c r="M2628" s="15" t="n">
        <v>-10000</v>
      </c>
      <c r="N2628" s="4" t="inlineStr">
        <is>
          <t>IOS Meera</t>
        </is>
      </c>
      <c r="O2628" s="4" t="n">
        <v>3</v>
      </c>
      <c r="P2628" s="4" t="inlineStr">
        <is>
          <t>SHARES</t>
        </is>
      </c>
      <c r="Q2628" s="4" t="inlineStr">
        <is>
          <t>MAESTRO-IOS-GROUP-TRIP-2627 | Shopping | 10000.00</t>
        </is>
      </c>
      <c r="R2628" s="4" t="inlineStr">
        <is>
          <t>iPhone</t>
        </is>
      </c>
      <c r="S2628" s="4" t="inlineStr">
        <is>
          <t>B53</t>
        </is>
      </c>
      <c r="T2628" s="4" t="inlineStr">
        <is>
          <t>HIGH_2501_3000</t>
        </is>
      </c>
      <c r="U2628" s="4" t="inlineStr">
        <is>
          <t>CREATED</t>
        </is>
      </c>
      <c r="V2628" s="4" t="inlineStr">
        <is>
          <t>idem-20260902-ios-2627</t>
        </is>
      </c>
    </row>
    <row r="2629" ht="30" customHeight="1">
      <c r="A2629" s="4" t="n">
        <v>2628</v>
      </c>
      <c r="B2629" s="4" t="inlineStr">
        <is>
          <t>MTR-IOS-2628</t>
        </is>
      </c>
      <c r="C2629" s="4" t="inlineStr">
        <is>
          <t>Business</t>
        </is>
      </c>
      <c r="D2629" s="4" t="inlineStr">
        <is>
          <t>Business</t>
        </is>
      </c>
      <c r="E2629" s="4" t="inlineStr">
        <is>
          <t>Business Operations</t>
        </is>
      </c>
      <c r="F2629" s="4" t="inlineStr">
        <is>
          <t>Rent</t>
        </is>
      </c>
      <c r="G2629" s="4" t="inlineStr">
        <is>
          <t>Expense</t>
        </is>
      </c>
      <c r="H2629" s="12" t="n">
        <v>46075</v>
      </c>
      <c r="I2629" s="13" t="n">
        <v>0.5027546296296296</v>
      </c>
      <c r="J2629" s="14" t="n">
        <v>46075.50275462963</v>
      </c>
      <c r="K2629" s="15" t="n">
        <v>1451.79</v>
      </c>
      <c r="L2629" s="4" t="inlineStr">
        <is>
          <t>INR</t>
        </is>
      </c>
      <c r="M2629" s="15" t="n">
        <v>-1451.79</v>
      </c>
      <c r="N2629" s="4" t="inlineStr">
        <is>
          <t>IOS Owner</t>
        </is>
      </c>
      <c r="O2629" s="4" t="n"/>
      <c r="P2629" s="4" t="n"/>
      <c r="Q2629" s="4" t="inlineStr">
        <is>
          <t>MAESTRO-IOS-BUSINESS-BUSINESS_OPERATIONS-2628 | Rent | 1451.79</t>
        </is>
      </c>
      <c r="R2629" s="4" t="inlineStr">
        <is>
          <t>iPhone</t>
        </is>
      </c>
      <c r="S2629" s="4" t="inlineStr">
        <is>
          <t>B53</t>
        </is>
      </c>
      <c r="T2629" s="4" t="inlineStr">
        <is>
          <t>HIGH_2501_3000</t>
        </is>
      </c>
      <c r="U2629" s="4" t="inlineStr">
        <is>
          <t>CREATED</t>
        </is>
      </c>
      <c r="V2629" s="4" t="inlineStr">
        <is>
          <t>idem-20260902-ios-2628</t>
        </is>
      </c>
    </row>
    <row r="2630" ht="30" customHeight="1">
      <c r="A2630" s="4" t="n">
        <v>2629</v>
      </c>
      <c r="B2630" s="4" t="inlineStr">
        <is>
          <t>MTR-IOS-2629</t>
        </is>
      </c>
      <c r="C2630" s="4" t="inlineStr">
        <is>
          <t>Personal</t>
        </is>
      </c>
      <c r="D2630" s="4" t="inlineStr">
        <is>
          <t>Personal</t>
        </is>
      </c>
      <c r="E2630" s="4" t="inlineStr">
        <is>
          <t>Life Operations</t>
        </is>
      </c>
      <c r="F2630" s="4" t="inlineStr">
        <is>
          <t>Bills</t>
        </is>
      </c>
      <c r="G2630" s="4" t="inlineStr">
        <is>
          <t>Expense</t>
        </is>
      </c>
      <c r="H2630" s="12" t="n">
        <v>46185</v>
      </c>
      <c r="I2630" s="13" t="n">
        <v>0.07555555555555556</v>
      </c>
      <c r="J2630" s="14" t="n">
        <v>46185.07555555556</v>
      </c>
      <c r="K2630" s="15" t="n">
        <v>14269.43</v>
      </c>
      <c r="L2630" s="4" t="inlineStr">
        <is>
          <t>INR</t>
        </is>
      </c>
      <c r="M2630" s="15" t="n">
        <v>-14269.43</v>
      </c>
      <c r="N2630" s="4" t="inlineStr">
        <is>
          <t>IOS Owner</t>
        </is>
      </c>
      <c r="O2630" s="4" t="n"/>
      <c r="P2630" s="4" t="n"/>
      <c r="Q2630" s="4" t="inlineStr">
        <is>
          <t>MAESTRO-IOS-PERSONAL-LIFE_OPERATIONS-2629 | Bills | 14269.43</t>
        </is>
      </c>
      <c r="R2630" s="4" t="inlineStr">
        <is>
          <t>iPhone</t>
        </is>
      </c>
      <c r="S2630" s="4" t="inlineStr">
        <is>
          <t>B53</t>
        </is>
      </c>
      <c r="T2630" s="4" t="inlineStr">
        <is>
          <t>HIGH_2501_3000</t>
        </is>
      </c>
      <c r="U2630" s="4" t="inlineStr">
        <is>
          <t>CREATED</t>
        </is>
      </c>
      <c r="V2630" s="4" t="inlineStr">
        <is>
          <t>idem-20260902-ios-2629</t>
        </is>
      </c>
    </row>
    <row r="2631" ht="30" customHeight="1">
      <c r="A2631" s="4" t="n">
        <v>2630</v>
      </c>
      <c r="B2631" s="4" t="inlineStr">
        <is>
          <t>MTR-IOS-2630</t>
        </is>
      </c>
      <c r="C2631" s="4" t="inlineStr">
        <is>
          <t>Group</t>
        </is>
      </c>
      <c r="D2631" s="4" t="inlineStr">
        <is>
          <t>Shared Experience</t>
        </is>
      </c>
      <c r="E2631" s="4" t="inlineStr">
        <is>
          <t>Trip</t>
        </is>
      </c>
      <c r="F2631" s="4" t="inlineStr">
        <is>
          <t>Other</t>
        </is>
      </c>
      <c r="G2631" s="4" t="inlineStr">
        <is>
          <t>Expense</t>
        </is>
      </c>
      <c r="H2631" s="12" t="n">
        <v>46176</v>
      </c>
      <c r="I2631" s="13" t="n">
        <v>0.2709722222222222</v>
      </c>
      <c r="J2631" s="14" t="n">
        <v>46176.27097222222</v>
      </c>
      <c r="K2631" s="15" t="n">
        <v>18372.68</v>
      </c>
      <c r="L2631" s="4" t="inlineStr">
        <is>
          <t>INR</t>
        </is>
      </c>
      <c r="M2631" s="15" t="n">
        <v>-18372.68</v>
      </c>
      <c r="N2631" s="4" t="inlineStr">
        <is>
          <t>IOS Owner</t>
        </is>
      </c>
      <c r="O2631" s="4" t="n">
        <v>3</v>
      </c>
      <c r="P2631" s="4" t="inlineStr">
        <is>
          <t>EQUAL</t>
        </is>
      </c>
      <c r="Q2631" s="4" t="inlineStr">
        <is>
          <t>MAESTRO-IOS-GROUP-TRIP-2630 | Other | 18372.68</t>
        </is>
      </c>
      <c r="R2631" s="4" t="inlineStr">
        <is>
          <t>iPhone</t>
        </is>
      </c>
      <c r="S2631" s="4" t="inlineStr">
        <is>
          <t>B53</t>
        </is>
      </c>
      <c r="T2631" s="4" t="inlineStr">
        <is>
          <t>HIGH_2501_3000</t>
        </is>
      </c>
      <c r="U2631" s="4" t="inlineStr">
        <is>
          <t>CREATED</t>
        </is>
      </c>
      <c r="V2631" s="4" t="inlineStr">
        <is>
          <t>idem-20260902-ios-2630</t>
        </is>
      </c>
    </row>
    <row r="2632" ht="30" customHeight="1">
      <c r="A2632" s="4" t="n">
        <v>2631</v>
      </c>
      <c r="B2632" s="4" t="inlineStr">
        <is>
          <t>MTR-IOS-2631</t>
        </is>
      </c>
      <c r="C2632" s="4" t="inlineStr">
        <is>
          <t>Business</t>
        </is>
      </c>
      <c r="D2632" s="4" t="inlineStr">
        <is>
          <t>Business</t>
        </is>
      </c>
      <c r="E2632" s="4" t="inlineStr">
        <is>
          <t>Business Operations</t>
        </is>
      </c>
      <c r="F2632" s="4" t="inlineStr">
        <is>
          <t>Marketing</t>
        </is>
      </c>
      <c r="G2632" s="4" t="inlineStr">
        <is>
          <t>Expense</t>
        </is>
      </c>
      <c r="H2632" s="12" t="n">
        <v>46169</v>
      </c>
      <c r="I2632" s="13" t="n">
        <v>0.03956018518518518</v>
      </c>
      <c r="J2632" s="14" t="n">
        <v>46169.03956018519</v>
      </c>
      <c r="K2632" s="15" t="n">
        <v>137367.14</v>
      </c>
      <c r="L2632" s="4" t="inlineStr">
        <is>
          <t>INR</t>
        </is>
      </c>
      <c r="M2632" s="15" t="n">
        <v>-137367.14</v>
      </c>
      <c r="N2632" s="4" t="inlineStr">
        <is>
          <t>IOS Owner</t>
        </is>
      </c>
      <c r="O2632" s="4" t="n"/>
      <c r="P2632" s="4" t="n"/>
      <c r="Q2632" s="4" t="inlineStr">
        <is>
          <t>MAESTRO-IOS-BUSINESS-BUSINESS_OPERATIONS-2631 | Marketing | 137367.14</t>
        </is>
      </c>
      <c r="R2632" s="4" t="inlineStr">
        <is>
          <t>iPhone</t>
        </is>
      </c>
      <c r="S2632" s="4" t="inlineStr">
        <is>
          <t>B53</t>
        </is>
      </c>
      <c r="T2632" s="4" t="inlineStr">
        <is>
          <t>HIGH_2501_3000</t>
        </is>
      </c>
      <c r="U2632" s="4" t="inlineStr">
        <is>
          <t>CREATED</t>
        </is>
      </c>
      <c r="V2632" s="4" t="inlineStr">
        <is>
          <t>idem-20260902-ios-2631</t>
        </is>
      </c>
    </row>
    <row r="2633" ht="30" customHeight="1">
      <c r="A2633" s="4" t="n">
        <v>2632</v>
      </c>
      <c r="B2633" s="4" t="inlineStr">
        <is>
          <t>MTR-IOS-2632</t>
        </is>
      </c>
      <c r="C2633" s="4" t="inlineStr">
        <is>
          <t>Personal</t>
        </is>
      </c>
      <c r="D2633" s="4" t="inlineStr">
        <is>
          <t>Personal</t>
        </is>
      </c>
      <c r="E2633" s="4" t="inlineStr">
        <is>
          <t>Life Operations</t>
        </is>
      </c>
      <c r="F2633" s="4" t="inlineStr">
        <is>
          <t>Transport</t>
        </is>
      </c>
      <c r="G2633" s="4" t="inlineStr">
        <is>
          <t>Expense</t>
        </is>
      </c>
      <c r="H2633" s="12" t="n">
        <v>46104</v>
      </c>
      <c r="I2633" s="13" t="n">
        <v>0.09924768518518519</v>
      </c>
      <c r="J2633" s="14" t="n">
        <v>46104.09924768518</v>
      </c>
      <c r="K2633" s="15" t="n">
        <v>10319.83</v>
      </c>
      <c r="L2633" s="4" t="inlineStr">
        <is>
          <t>INR</t>
        </is>
      </c>
      <c r="M2633" s="15" t="n">
        <v>-10319.83</v>
      </c>
      <c r="N2633" s="4" t="inlineStr">
        <is>
          <t>IOS Owner</t>
        </is>
      </c>
      <c r="O2633" s="4" t="n"/>
      <c r="P2633" s="4" t="n"/>
      <c r="Q2633" s="4" t="inlineStr">
        <is>
          <t>MAESTRO-IOS-PERSONAL-LIFE_OPERATIONS-2632 | Transport | 10319.83</t>
        </is>
      </c>
      <c r="R2633" s="4" t="inlineStr">
        <is>
          <t>iPhone</t>
        </is>
      </c>
      <c r="S2633" s="4" t="inlineStr">
        <is>
          <t>B53</t>
        </is>
      </c>
      <c r="T2633" s="4" t="inlineStr">
        <is>
          <t>HIGH_2501_3000</t>
        </is>
      </c>
      <c r="U2633" s="4" t="inlineStr">
        <is>
          <t>CREATED</t>
        </is>
      </c>
      <c r="V2633" s="4" t="inlineStr">
        <is>
          <t>idem-20260902-ios-2632</t>
        </is>
      </c>
    </row>
    <row r="2634" ht="30" customHeight="1">
      <c r="A2634" s="4" t="n">
        <v>2633</v>
      </c>
      <c r="B2634" s="4" t="inlineStr">
        <is>
          <t>MTR-IOS-2633</t>
        </is>
      </c>
      <c r="C2634" s="4" t="inlineStr">
        <is>
          <t>Group</t>
        </is>
      </c>
      <c r="D2634" s="4" t="inlineStr">
        <is>
          <t>Shared Experience</t>
        </is>
      </c>
      <c r="E2634" s="4" t="inlineStr">
        <is>
          <t>Wedding</t>
        </is>
      </c>
      <c r="F2634" s="4" t="inlineStr">
        <is>
          <t>Venue</t>
        </is>
      </c>
      <c r="G2634" s="4" t="inlineStr">
        <is>
          <t>Expense</t>
        </is>
      </c>
      <c r="H2634" s="12" t="n">
        <v>45915</v>
      </c>
      <c r="I2634" s="13" t="n">
        <v>0.9517361111111111</v>
      </c>
      <c r="J2634" s="14" t="n">
        <v>45915.95173611111</v>
      </c>
      <c r="K2634" s="15" t="n">
        <v>23541.18</v>
      </c>
      <c r="L2634" s="4" t="inlineStr">
        <is>
          <t>INR</t>
        </is>
      </c>
      <c r="M2634" s="15" t="n">
        <v>-23541.18</v>
      </c>
      <c r="N2634" s="4" t="inlineStr">
        <is>
          <t>IOS Aarav</t>
        </is>
      </c>
      <c r="O2634" s="4" t="n">
        <v>3</v>
      </c>
      <c r="P2634" s="4" t="inlineStr">
        <is>
          <t>PERCENTAGE</t>
        </is>
      </c>
      <c r="Q2634" s="4" t="inlineStr">
        <is>
          <t>MAESTRO-IOS-GROUP-WEDDING-2633 | Venue | 23541.18</t>
        </is>
      </c>
      <c r="R2634" s="4" t="inlineStr">
        <is>
          <t>iPhone</t>
        </is>
      </c>
      <c r="S2634" s="4" t="inlineStr">
        <is>
          <t>B53</t>
        </is>
      </c>
      <c r="T2634" s="4" t="inlineStr">
        <is>
          <t>HIGH_2501_3000</t>
        </is>
      </c>
      <c r="U2634" s="4" t="inlineStr">
        <is>
          <t>CREATED</t>
        </is>
      </c>
      <c r="V2634" s="4" t="inlineStr">
        <is>
          <t>idem-20260902-ios-2633</t>
        </is>
      </c>
    </row>
    <row r="2635" ht="30" customHeight="1">
      <c r="A2635" s="4" t="n">
        <v>2634</v>
      </c>
      <c r="B2635" s="4" t="inlineStr">
        <is>
          <t>MTR-IOS-2634</t>
        </is>
      </c>
      <c r="C2635" s="4" t="inlineStr">
        <is>
          <t>Business</t>
        </is>
      </c>
      <c r="D2635" s="4" t="inlineStr">
        <is>
          <t>Business</t>
        </is>
      </c>
      <c r="E2635" s="4" t="inlineStr">
        <is>
          <t>Business Operations</t>
        </is>
      </c>
      <c r="F2635" s="4" t="inlineStr">
        <is>
          <t>Legal</t>
        </is>
      </c>
      <c r="G2635" s="4" t="inlineStr">
        <is>
          <t>Expense</t>
        </is>
      </c>
      <c r="H2635" s="12" t="n">
        <v>46087</v>
      </c>
      <c r="I2635" s="13" t="n">
        <v>0.06824074074074074</v>
      </c>
      <c r="J2635" s="14" t="n">
        <v>46087.06824074074</v>
      </c>
      <c r="K2635" s="15" t="n">
        <v>109920.76</v>
      </c>
      <c r="L2635" s="4" t="inlineStr">
        <is>
          <t>INR</t>
        </is>
      </c>
      <c r="M2635" s="15" t="n">
        <v>-109920.76</v>
      </c>
      <c r="N2635" s="4" t="inlineStr">
        <is>
          <t>IOS Owner</t>
        </is>
      </c>
      <c r="O2635" s="4" t="n"/>
      <c r="P2635" s="4" t="n"/>
      <c r="Q2635" s="4" t="inlineStr">
        <is>
          <t>MAESTRO-IOS-BUSINESS-BUSINESS_OPERATIONS-2634 | Legal | 109920.76</t>
        </is>
      </c>
      <c r="R2635" s="4" t="inlineStr">
        <is>
          <t>iPhone</t>
        </is>
      </c>
      <c r="S2635" s="4" t="inlineStr">
        <is>
          <t>B53</t>
        </is>
      </c>
      <c r="T2635" s="4" t="inlineStr">
        <is>
          <t>HIGH_2501_3000</t>
        </is>
      </c>
      <c r="U2635" s="4" t="inlineStr">
        <is>
          <t>CREATED</t>
        </is>
      </c>
      <c r="V2635" s="4" t="inlineStr">
        <is>
          <t>idem-20260902-ios-2634</t>
        </is>
      </c>
    </row>
    <row r="2636" ht="30" customHeight="1">
      <c r="A2636" s="4" t="n">
        <v>2635</v>
      </c>
      <c r="B2636" s="4" t="inlineStr">
        <is>
          <t>MTR-IOS-2635</t>
        </is>
      </c>
      <c r="C2636" s="4" t="inlineStr">
        <is>
          <t>Personal</t>
        </is>
      </c>
      <c r="D2636" s="4" t="inlineStr">
        <is>
          <t>Personal</t>
        </is>
      </c>
      <c r="E2636" s="4" t="inlineStr">
        <is>
          <t>Life Operations</t>
        </is>
      </c>
      <c r="F2636" s="4" t="inlineStr">
        <is>
          <t>Healthcare</t>
        </is>
      </c>
      <c r="G2636" s="4" t="inlineStr">
        <is>
          <t>Expense</t>
        </is>
      </c>
      <c r="H2636" s="12" t="n">
        <v>46231</v>
      </c>
      <c r="I2636" s="13" t="n">
        <v>0.1496990740740741</v>
      </c>
      <c r="J2636" s="14" t="n">
        <v>46231.14969907407</v>
      </c>
      <c r="K2636" s="15" t="n">
        <v>8212.23</v>
      </c>
      <c r="L2636" s="4" t="inlineStr">
        <is>
          <t>INR</t>
        </is>
      </c>
      <c r="M2636" s="15" t="n">
        <v>-8212.23</v>
      </c>
      <c r="N2636" s="4" t="inlineStr">
        <is>
          <t>IOS Owner</t>
        </is>
      </c>
      <c r="O2636" s="4" t="n"/>
      <c r="P2636" s="4" t="n"/>
      <c r="Q2636" s="4" t="inlineStr">
        <is>
          <t>MAESTRO-IOS-PERSONAL-LIFE_OPERATIONS-2635 | Healthcare | 8212.23</t>
        </is>
      </c>
      <c r="R2636" s="4" t="inlineStr">
        <is>
          <t>iPhone</t>
        </is>
      </c>
      <c r="S2636" s="4" t="inlineStr">
        <is>
          <t>B53</t>
        </is>
      </c>
      <c r="T2636" s="4" t="inlineStr">
        <is>
          <t>HIGH_2501_3000</t>
        </is>
      </c>
      <c r="U2636" s="4" t="inlineStr">
        <is>
          <t>CREATED</t>
        </is>
      </c>
      <c r="V2636" s="4" t="inlineStr">
        <is>
          <t>idem-20260902-ios-2635</t>
        </is>
      </c>
    </row>
    <row r="2637" ht="30" customHeight="1">
      <c r="A2637" s="4" t="n">
        <v>2636</v>
      </c>
      <c r="B2637" s="4" t="inlineStr">
        <is>
          <t>MTR-IOS-2636</t>
        </is>
      </c>
      <c r="C2637" s="4" t="inlineStr">
        <is>
          <t>Group</t>
        </is>
      </c>
      <c r="D2637" s="4" t="inlineStr">
        <is>
          <t>Shared Experience</t>
        </is>
      </c>
      <c r="E2637" s="4" t="inlineStr">
        <is>
          <t>Wedding</t>
        </is>
      </c>
      <c r="F2637" s="4" t="inlineStr">
        <is>
          <t>Catering</t>
        </is>
      </c>
      <c r="G2637" s="4" t="inlineStr">
        <is>
          <t>Expense</t>
        </is>
      </c>
      <c r="H2637" s="12" t="n">
        <v>46239</v>
      </c>
      <c r="I2637" s="13" t="n">
        <v>0.6789236111111111</v>
      </c>
      <c r="J2637" s="14" t="n">
        <v>46239.67892361111</v>
      </c>
      <c r="K2637" s="15" t="n">
        <v>5471.42</v>
      </c>
      <c r="L2637" s="4" t="inlineStr">
        <is>
          <t>INR</t>
        </is>
      </c>
      <c r="M2637" s="15" t="n">
        <v>-5471.42</v>
      </c>
      <c r="N2637" s="4" t="inlineStr">
        <is>
          <t>IOS Meera</t>
        </is>
      </c>
      <c r="O2637" s="4" t="n">
        <v>3</v>
      </c>
      <c r="P2637" s="4" t="inlineStr">
        <is>
          <t>EXACT</t>
        </is>
      </c>
      <c r="Q2637" s="4" t="inlineStr">
        <is>
          <t>MAESTRO-IOS-GROUP-WEDDING-2636 | Catering | 5471.42</t>
        </is>
      </c>
      <c r="R2637" s="4" t="inlineStr">
        <is>
          <t>iPhone</t>
        </is>
      </c>
      <c r="S2637" s="4" t="inlineStr">
        <is>
          <t>B53</t>
        </is>
      </c>
      <c r="T2637" s="4" t="inlineStr">
        <is>
          <t>HIGH_2501_3000</t>
        </is>
      </c>
      <c r="U2637" s="4" t="inlineStr">
        <is>
          <t>CREATED</t>
        </is>
      </c>
      <c r="V2637" s="4" t="inlineStr">
        <is>
          <t>idem-20260902-ios-2636</t>
        </is>
      </c>
    </row>
    <row r="2638" ht="30" customHeight="1">
      <c r="A2638" s="4" t="n">
        <v>2637</v>
      </c>
      <c r="B2638" s="4" t="inlineStr">
        <is>
          <t>MTR-IOS-2637</t>
        </is>
      </c>
      <c r="C2638" s="4" t="inlineStr">
        <is>
          <t>Business</t>
        </is>
      </c>
      <c r="D2638" s="4" t="inlineStr">
        <is>
          <t>Business</t>
        </is>
      </c>
      <c r="E2638" s="4" t="inlineStr">
        <is>
          <t>Business Operations</t>
        </is>
      </c>
      <c r="F2638" s="4" t="inlineStr">
        <is>
          <t>Accounting</t>
        </is>
      </c>
      <c r="G2638" s="4" t="inlineStr">
        <is>
          <t>Expense</t>
        </is>
      </c>
      <c r="H2638" s="12" t="n">
        <v>45942</v>
      </c>
      <c r="I2638" s="13" t="n">
        <v>0.1237962962962963</v>
      </c>
      <c r="J2638" s="14" t="n">
        <v>45942.1237962963</v>
      </c>
      <c r="K2638" s="15" t="n">
        <v>146499.46</v>
      </c>
      <c r="L2638" s="4" t="inlineStr">
        <is>
          <t>INR</t>
        </is>
      </c>
      <c r="M2638" s="15" t="n">
        <v>-146499.46</v>
      </c>
      <c r="N2638" s="4" t="inlineStr">
        <is>
          <t>IOS Owner</t>
        </is>
      </c>
      <c r="O2638" s="4" t="n"/>
      <c r="P2638" s="4" t="n"/>
      <c r="Q2638" s="4" t="inlineStr">
        <is>
          <t>MAESTRO-IOS-BUSINESS-BUSINESS_OPERATIONS-2637 | Accounting | 146499.46</t>
        </is>
      </c>
      <c r="R2638" s="4" t="inlineStr">
        <is>
          <t>iPhone</t>
        </is>
      </c>
      <c r="S2638" s="4" t="inlineStr">
        <is>
          <t>B53</t>
        </is>
      </c>
      <c r="T2638" s="4" t="inlineStr">
        <is>
          <t>HIGH_2501_3000</t>
        </is>
      </c>
      <c r="U2638" s="4" t="inlineStr">
        <is>
          <t>CREATED</t>
        </is>
      </c>
      <c r="V2638" s="4" t="inlineStr">
        <is>
          <t>idem-20260902-ios-2637</t>
        </is>
      </c>
    </row>
    <row r="2639" ht="30" customHeight="1">
      <c r="A2639" s="4" t="n">
        <v>2638</v>
      </c>
      <c r="B2639" s="4" t="inlineStr">
        <is>
          <t>MTR-IOS-2638</t>
        </is>
      </c>
      <c r="C2639" s="4" t="inlineStr">
        <is>
          <t>Personal</t>
        </is>
      </c>
      <c r="D2639" s="4" t="inlineStr">
        <is>
          <t>Personal</t>
        </is>
      </c>
      <c r="E2639" s="4" t="inlineStr">
        <is>
          <t>Life Operations</t>
        </is>
      </c>
      <c r="F2639" s="4" t="inlineStr">
        <is>
          <t>Subscriptions</t>
        </is>
      </c>
      <c r="G2639" s="4" t="inlineStr">
        <is>
          <t>Expense</t>
        </is>
      </c>
      <c r="H2639" s="12" t="n">
        <v>46026</v>
      </c>
      <c r="I2639" s="13" t="n">
        <v>0.9528009259259259</v>
      </c>
      <c r="J2639" s="14" t="n">
        <v>46026.95280092592</v>
      </c>
      <c r="K2639" s="15" t="n">
        <v>16137.55</v>
      </c>
      <c r="L2639" s="4" t="inlineStr">
        <is>
          <t>INR</t>
        </is>
      </c>
      <c r="M2639" s="15" t="n">
        <v>-16137.55</v>
      </c>
      <c r="N2639" s="4" t="inlineStr">
        <is>
          <t>IOS Owner</t>
        </is>
      </c>
      <c r="O2639" s="4" t="n"/>
      <c r="P2639" s="4" t="n"/>
      <c r="Q2639" s="4" t="inlineStr">
        <is>
          <t>MAESTRO-IOS-PERSONAL-LIFE_OPERATIONS-2638 | Subscriptions | 16137.55</t>
        </is>
      </c>
      <c r="R2639" s="4" t="inlineStr">
        <is>
          <t>iPhone</t>
        </is>
      </c>
      <c r="S2639" s="4" t="inlineStr">
        <is>
          <t>B53</t>
        </is>
      </c>
      <c r="T2639" s="4" t="inlineStr">
        <is>
          <t>HIGH_2501_3000</t>
        </is>
      </c>
      <c r="U2639" s="4" t="inlineStr">
        <is>
          <t>CREATED</t>
        </is>
      </c>
      <c r="V2639" s="4" t="inlineStr">
        <is>
          <t>idem-20260902-ios-2638</t>
        </is>
      </c>
    </row>
    <row r="2640" ht="30" customHeight="1">
      <c r="A2640" s="4" t="n">
        <v>2639</v>
      </c>
      <c r="B2640" s="4" t="inlineStr">
        <is>
          <t>MTR-IOS-2639</t>
        </is>
      </c>
      <c r="C2640" s="4" t="inlineStr">
        <is>
          <t>Group</t>
        </is>
      </c>
      <c r="D2640" s="4" t="inlineStr">
        <is>
          <t>Shared Experience</t>
        </is>
      </c>
      <c r="E2640" s="4" t="inlineStr">
        <is>
          <t>Wedding</t>
        </is>
      </c>
      <c r="F2640" s="4" t="inlineStr">
        <is>
          <t>Decor</t>
        </is>
      </c>
      <c r="G2640" s="4" t="inlineStr">
        <is>
          <t>Expense</t>
        </is>
      </c>
      <c r="H2640" s="12" t="n">
        <v>46051</v>
      </c>
      <c r="I2640" s="13" t="n">
        <v>0.5478356481481481</v>
      </c>
      <c r="J2640" s="14" t="n">
        <v>46051.54783564815</v>
      </c>
      <c r="K2640" s="15" t="n">
        <v>20803.67</v>
      </c>
      <c r="L2640" s="4" t="inlineStr">
        <is>
          <t>INR</t>
        </is>
      </c>
      <c r="M2640" s="15" t="n">
        <v>-20803.67</v>
      </c>
      <c r="N2640" s="4" t="inlineStr">
        <is>
          <t>IOS Owner</t>
        </is>
      </c>
      <c r="O2640" s="4" t="n">
        <v>3</v>
      </c>
      <c r="P2640" s="4" t="inlineStr">
        <is>
          <t>SHARES</t>
        </is>
      </c>
      <c r="Q2640" s="4" t="inlineStr">
        <is>
          <t>MAESTRO-IOS-GROUP-WEDDING-2639 | Decor | 20803.67</t>
        </is>
      </c>
      <c r="R2640" s="4" t="inlineStr">
        <is>
          <t>iPhone</t>
        </is>
      </c>
      <c r="S2640" s="4" t="inlineStr">
        <is>
          <t>B53</t>
        </is>
      </c>
      <c r="T2640" s="4" t="inlineStr">
        <is>
          <t>HIGH_2501_3000</t>
        </is>
      </c>
      <c r="U2640" s="4" t="inlineStr">
        <is>
          <t>CREATED</t>
        </is>
      </c>
      <c r="V2640" s="4" t="inlineStr">
        <is>
          <t>idem-20260902-ios-2639</t>
        </is>
      </c>
    </row>
    <row r="2641" ht="30" customHeight="1">
      <c r="A2641" s="4" t="n">
        <v>2640</v>
      </c>
      <c r="B2641" s="4" t="inlineStr">
        <is>
          <t>MTR-IOS-2640</t>
        </is>
      </c>
      <c r="C2641" s="4" t="inlineStr">
        <is>
          <t>Business</t>
        </is>
      </c>
      <c r="D2641" s="4" t="inlineStr">
        <is>
          <t>Business</t>
        </is>
      </c>
      <c r="E2641" s="4" t="inlineStr">
        <is>
          <t>Business Operations</t>
        </is>
      </c>
      <c r="F2641" s="4" t="inlineStr">
        <is>
          <t>Equipment</t>
        </is>
      </c>
      <c r="G2641" s="4" t="inlineStr">
        <is>
          <t>Expense</t>
        </is>
      </c>
      <c r="H2641" s="12" t="n">
        <v>46194</v>
      </c>
      <c r="I2641" s="13" t="n">
        <v>0.09733796296296296</v>
      </c>
      <c r="J2641" s="14" t="n">
        <v>46194.09733796296</v>
      </c>
      <c r="K2641" s="15" t="n">
        <v>89728.62</v>
      </c>
      <c r="L2641" s="4" t="inlineStr">
        <is>
          <t>INR</t>
        </is>
      </c>
      <c r="M2641" s="15" t="n">
        <v>-89728.62</v>
      </c>
      <c r="N2641" s="4" t="inlineStr">
        <is>
          <t>IOS Owner</t>
        </is>
      </c>
      <c r="O2641" s="4" t="n"/>
      <c r="P2641" s="4" t="n"/>
      <c r="Q2641" s="4" t="inlineStr">
        <is>
          <t>MAESTRO-IOS-BUSINESS-BUSINESS_OPERATIONS-2640 | Equipment | 89728.62</t>
        </is>
      </c>
      <c r="R2641" s="4" t="inlineStr">
        <is>
          <t>iPhone</t>
        </is>
      </c>
      <c r="S2641" s="4" t="inlineStr">
        <is>
          <t>B53</t>
        </is>
      </c>
      <c r="T2641" s="4" t="inlineStr">
        <is>
          <t>HIGH_2501_3000</t>
        </is>
      </c>
      <c r="U2641" s="4" t="inlineStr">
        <is>
          <t>CREATED</t>
        </is>
      </c>
      <c r="V2641" s="4" t="inlineStr">
        <is>
          <t>idem-20260902-ios-2640</t>
        </is>
      </c>
    </row>
    <row r="2642" ht="30" customHeight="1">
      <c r="A2642" s="4" t="n">
        <v>2641</v>
      </c>
      <c r="B2642" s="4" t="inlineStr">
        <is>
          <t>MTR-IOS-2641</t>
        </is>
      </c>
      <c r="C2642" s="4" t="inlineStr">
        <is>
          <t>Personal</t>
        </is>
      </c>
      <c r="D2642" s="4" t="inlineStr">
        <is>
          <t>Personal</t>
        </is>
      </c>
      <c r="E2642" s="4" t="inlineStr">
        <is>
          <t>Life Operations</t>
        </is>
      </c>
      <c r="F2642" s="4" t="inlineStr">
        <is>
          <t>Repairs</t>
        </is>
      </c>
      <c r="G2642" s="4" t="inlineStr">
        <is>
          <t>Expense</t>
        </is>
      </c>
      <c r="H2642" s="12" t="n">
        <v>46117</v>
      </c>
      <c r="I2642" s="13" t="n">
        <v>0.7174074074074074</v>
      </c>
      <c r="J2642" s="14" t="n">
        <v>46117.71740740741</v>
      </c>
      <c r="K2642" s="15" t="n">
        <v>16582.16</v>
      </c>
      <c r="L2642" s="4" t="inlineStr">
        <is>
          <t>INR</t>
        </is>
      </c>
      <c r="M2642" s="15" t="n">
        <v>-16582.16</v>
      </c>
      <c r="N2642" s="4" t="inlineStr">
        <is>
          <t>IOS Owner</t>
        </is>
      </c>
      <c r="O2642" s="4" t="n"/>
      <c r="P2642" s="4" t="n"/>
      <c r="Q2642" s="4" t="inlineStr">
        <is>
          <t>MAESTRO-IOS-PERSONAL-LIFE_OPERATIONS-2641 | Repairs | 16582.16</t>
        </is>
      </c>
      <c r="R2642" s="4" t="inlineStr">
        <is>
          <t>iPhone</t>
        </is>
      </c>
      <c r="S2642" s="4" t="inlineStr">
        <is>
          <t>B53</t>
        </is>
      </c>
      <c r="T2642" s="4" t="inlineStr">
        <is>
          <t>HIGH_2501_3000</t>
        </is>
      </c>
      <c r="U2642" s="4" t="inlineStr">
        <is>
          <t>CREATED</t>
        </is>
      </c>
      <c r="V2642" s="4" t="inlineStr">
        <is>
          <t>idem-20260902-ios-2641</t>
        </is>
      </c>
    </row>
    <row r="2643" ht="30" customHeight="1">
      <c r="A2643" s="4" t="n">
        <v>2642</v>
      </c>
      <c r="B2643" s="4" t="inlineStr">
        <is>
          <t>MTR-IOS-2642</t>
        </is>
      </c>
      <c r="C2643" s="4" t="inlineStr">
        <is>
          <t>Group</t>
        </is>
      </c>
      <c r="D2643" s="4" t="inlineStr">
        <is>
          <t>Shared Experience</t>
        </is>
      </c>
      <c r="E2643" s="4" t="inlineStr">
        <is>
          <t>Wedding</t>
        </is>
      </c>
      <c r="F2643" s="4" t="inlineStr">
        <is>
          <t>Travel</t>
        </is>
      </c>
      <c r="G2643" s="4" t="inlineStr">
        <is>
          <t>Expense</t>
        </is>
      </c>
      <c r="H2643" s="12" t="n">
        <v>45948</v>
      </c>
      <c r="I2643" s="13" t="n">
        <v>0.9362615740740741</v>
      </c>
      <c r="J2643" s="14" t="n">
        <v>45948.93626157408</v>
      </c>
      <c r="K2643" s="15" t="n">
        <v>13443.76</v>
      </c>
      <c r="L2643" s="4" t="inlineStr">
        <is>
          <t>INR</t>
        </is>
      </c>
      <c r="M2643" s="15" t="n">
        <v>-13443.76</v>
      </c>
      <c r="N2643" s="4" t="inlineStr">
        <is>
          <t>IOS Aarav</t>
        </is>
      </c>
      <c r="O2643" s="4" t="n">
        <v>3</v>
      </c>
      <c r="P2643" s="4" t="inlineStr">
        <is>
          <t>EQUAL</t>
        </is>
      </c>
      <c r="Q2643" s="4" t="inlineStr">
        <is>
          <t>MAESTRO-IOS-GROUP-WEDDING-2642 | Travel | 13443.76</t>
        </is>
      </c>
      <c r="R2643" s="4" t="inlineStr">
        <is>
          <t>iPhone</t>
        </is>
      </c>
      <c r="S2643" s="4" t="inlineStr">
        <is>
          <t>B53</t>
        </is>
      </c>
      <c r="T2643" s="4" t="inlineStr">
        <is>
          <t>HIGH_2501_3000</t>
        </is>
      </c>
      <c r="U2643" s="4" t="inlineStr">
        <is>
          <t>CREATED</t>
        </is>
      </c>
      <c r="V2643" s="4" t="inlineStr">
        <is>
          <t>idem-20260902-ios-2642</t>
        </is>
      </c>
    </row>
    <row r="2644" ht="30" customHeight="1">
      <c r="A2644" s="4" t="n">
        <v>2643</v>
      </c>
      <c r="B2644" s="4" t="inlineStr">
        <is>
          <t>MTR-IOS-2643</t>
        </is>
      </c>
      <c r="C2644" s="4" t="inlineStr">
        <is>
          <t>Business</t>
        </is>
      </c>
      <c r="D2644" s="4" t="inlineStr">
        <is>
          <t>Business</t>
        </is>
      </c>
      <c r="E2644" s="4" t="inlineStr">
        <is>
          <t>Business Operations</t>
        </is>
      </c>
      <c r="F2644" s="4" t="inlineStr">
        <is>
          <t>Vendor</t>
        </is>
      </c>
      <c r="G2644" s="4" t="inlineStr">
        <is>
          <t>Expense</t>
        </is>
      </c>
      <c r="H2644" s="12" t="n">
        <v>46034</v>
      </c>
      <c r="I2644" s="13" t="n">
        <v>0.008425925925925925</v>
      </c>
      <c r="J2644" s="14" t="n">
        <v>46034.00842592592</v>
      </c>
      <c r="K2644" s="15" t="n">
        <v>99712.11</v>
      </c>
      <c r="L2644" s="4" t="inlineStr">
        <is>
          <t>INR</t>
        </is>
      </c>
      <c r="M2644" s="15" t="n">
        <v>-99712.11</v>
      </c>
      <c r="N2644" s="4" t="inlineStr">
        <is>
          <t>IOS Owner</t>
        </is>
      </c>
      <c r="O2644" s="4" t="n"/>
      <c r="P2644" s="4" t="n"/>
      <c r="Q2644" s="4" t="inlineStr">
        <is>
          <t>MAESTRO-IOS-BUSINESS-BUSINESS_OPERATIONS-2643 | Vendor | 99712.11</t>
        </is>
      </c>
      <c r="R2644" s="4" t="inlineStr">
        <is>
          <t>iPhone</t>
        </is>
      </c>
      <c r="S2644" s="4" t="inlineStr">
        <is>
          <t>B53</t>
        </is>
      </c>
      <c r="T2644" s="4" t="inlineStr">
        <is>
          <t>HIGH_2501_3000</t>
        </is>
      </c>
      <c r="U2644" s="4" t="inlineStr">
        <is>
          <t>CREATED</t>
        </is>
      </c>
      <c r="V2644" s="4" t="inlineStr">
        <is>
          <t>idem-20260902-ios-2643</t>
        </is>
      </c>
    </row>
    <row r="2645" ht="30" customHeight="1">
      <c r="A2645" s="4" t="n">
        <v>2644</v>
      </c>
      <c r="B2645" s="4" t="inlineStr">
        <is>
          <t>MTR-IOS-2644</t>
        </is>
      </c>
      <c r="C2645" s="4" t="inlineStr">
        <is>
          <t>Personal</t>
        </is>
      </c>
      <c r="D2645" s="4" t="inlineStr">
        <is>
          <t>Personal</t>
        </is>
      </c>
      <c r="E2645" s="4" t="inlineStr">
        <is>
          <t>Future Building</t>
        </is>
      </c>
      <c r="F2645" s="4" t="inlineStr">
        <is>
          <t>Savings</t>
        </is>
      </c>
      <c r="G2645" s="4" t="inlineStr">
        <is>
          <t>Transfer</t>
        </is>
      </c>
      <c r="H2645" s="12" t="n">
        <v>46219</v>
      </c>
      <c r="I2645" s="13" t="n">
        <v>0.3218402777777778</v>
      </c>
      <c r="J2645" s="14" t="n">
        <v>46219.32184027778</v>
      </c>
      <c r="K2645" s="15" t="n">
        <v>11504.33</v>
      </c>
      <c r="L2645" s="4" t="inlineStr">
        <is>
          <t>INR</t>
        </is>
      </c>
      <c r="M2645" s="15" t="n">
        <v>0</v>
      </c>
      <c r="N2645" s="4" t="inlineStr">
        <is>
          <t>IOS Owner</t>
        </is>
      </c>
      <c r="O2645" s="4" t="n"/>
      <c r="P2645" s="4" t="n"/>
      <c r="Q2645" s="4" t="inlineStr">
        <is>
          <t>MAESTRO-IOS-PERSONAL-FUTURE_BUILDING-2644 | Savings | 11504.33</t>
        </is>
      </c>
      <c r="R2645" s="4" t="inlineStr">
        <is>
          <t>iPhone</t>
        </is>
      </c>
      <c r="S2645" s="4" t="inlineStr">
        <is>
          <t>B53</t>
        </is>
      </c>
      <c r="T2645" s="4" t="inlineStr">
        <is>
          <t>HIGH_2501_3000</t>
        </is>
      </c>
      <c r="U2645" s="4" t="inlineStr">
        <is>
          <t>CREATED</t>
        </is>
      </c>
      <c r="V2645" s="4" t="inlineStr">
        <is>
          <t>idem-20260902-ios-2644</t>
        </is>
      </c>
    </row>
    <row r="2646" ht="30" customHeight="1">
      <c r="A2646" s="4" t="n">
        <v>2645</v>
      </c>
      <c r="B2646" s="4" t="inlineStr">
        <is>
          <t>MTR-IOS-2645</t>
        </is>
      </c>
      <c r="C2646" s="4" t="inlineStr">
        <is>
          <t>Group</t>
        </is>
      </c>
      <c r="D2646" s="4" t="inlineStr">
        <is>
          <t>Shared Experience</t>
        </is>
      </c>
      <c r="E2646" s="4" t="inlineStr">
        <is>
          <t>Wedding</t>
        </is>
      </c>
      <c r="F2646" s="4" t="inlineStr">
        <is>
          <t>Gifts</t>
        </is>
      </c>
      <c r="G2646" s="4" t="inlineStr">
        <is>
          <t>Expense</t>
        </is>
      </c>
      <c r="H2646" s="12" t="n">
        <v>46123</v>
      </c>
      <c r="I2646" s="13" t="n">
        <v>0.04114583333333333</v>
      </c>
      <c r="J2646" s="14" t="n">
        <v>46123.04114583333</v>
      </c>
      <c r="K2646" s="15" t="n">
        <v>18123.29</v>
      </c>
      <c r="L2646" s="4" t="inlineStr">
        <is>
          <t>INR</t>
        </is>
      </c>
      <c r="M2646" s="15" t="n">
        <v>-18123.29</v>
      </c>
      <c r="N2646" s="4" t="inlineStr">
        <is>
          <t>IOS Meera</t>
        </is>
      </c>
      <c r="O2646" s="4" t="n">
        <v>3</v>
      </c>
      <c r="P2646" s="4" t="inlineStr">
        <is>
          <t>PERCENTAGE</t>
        </is>
      </c>
      <c r="Q2646" s="4" t="inlineStr">
        <is>
          <t>MAESTRO-IOS-GROUP-WEDDING-2645 | Gifts | 18123.29</t>
        </is>
      </c>
      <c r="R2646" s="4" t="inlineStr">
        <is>
          <t>iPhone</t>
        </is>
      </c>
      <c r="S2646" s="4" t="inlineStr">
        <is>
          <t>B53</t>
        </is>
      </c>
      <c r="T2646" s="4" t="inlineStr">
        <is>
          <t>HIGH_2501_3000</t>
        </is>
      </c>
      <c r="U2646" s="4" t="inlineStr">
        <is>
          <t>CREATED</t>
        </is>
      </c>
      <c r="V2646" s="4" t="inlineStr">
        <is>
          <t>idem-20260902-ios-2645</t>
        </is>
      </c>
    </row>
    <row r="2647" ht="30" customHeight="1">
      <c r="A2647" s="4" t="n">
        <v>2646</v>
      </c>
      <c r="B2647" s="4" t="inlineStr">
        <is>
          <t>MTR-IOS-2646</t>
        </is>
      </c>
      <c r="C2647" s="4" t="inlineStr">
        <is>
          <t>Business</t>
        </is>
      </c>
      <c r="D2647" s="4" t="inlineStr">
        <is>
          <t>Business</t>
        </is>
      </c>
      <c r="E2647" s="4" t="inlineStr">
        <is>
          <t>Business Operations</t>
        </is>
      </c>
      <c r="F2647" s="4" t="inlineStr">
        <is>
          <t>Tax</t>
        </is>
      </c>
      <c r="G2647" s="4" t="inlineStr">
        <is>
          <t>Expense</t>
        </is>
      </c>
      <c r="H2647" s="12" t="n">
        <v>46177</v>
      </c>
      <c r="I2647" s="13" t="n">
        <v>0.01181712962962963</v>
      </c>
      <c r="J2647" s="14" t="n">
        <v>46177.01181712963</v>
      </c>
      <c r="K2647" s="15" t="n">
        <v>150103.78</v>
      </c>
      <c r="L2647" s="4" t="inlineStr">
        <is>
          <t>INR</t>
        </is>
      </c>
      <c r="M2647" s="15" t="n">
        <v>-150103.78</v>
      </c>
      <c r="N2647" s="4" t="inlineStr">
        <is>
          <t>IOS Owner</t>
        </is>
      </c>
      <c r="O2647" s="4" t="n"/>
      <c r="P2647" s="4" t="n"/>
      <c r="Q2647" s="4" t="inlineStr">
        <is>
          <t>MAESTRO-IOS-BUSINESS-BUSINESS_OPERATIONS-2646 | Tax | 150103.78</t>
        </is>
      </c>
      <c r="R2647" s="4" t="inlineStr">
        <is>
          <t>iPhone</t>
        </is>
      </c>
      <c r="S2647" s="4" t="inlineStr">
        <is>
          <t>B53</t>
        </is>
      </c>
      <c r="T2647" s="4" t="inlineStr">
        <is>
          <t>HIGH_2501_3000</t>
        </is>
      </c>
      <c r="U2647" s="4" t="inlineStr">
        <is>
          <t>CREATED</t>
        </is>
      </c>
      <c r="V2647" s="4" t="inlineStr">
        <is>
          <t>idem-20260902-ios-2646</t>
        </is>
      </c>
    </row>
    <row r="2648" ht="30" customHeight="1">
      <c r="A2648" s="4" t="n">
        <v>2647</v>
      </c>
      <c r="B2648" s="4" t="inlineStr">
        <is>
          <t>MTR-IOS-2647</t>
        </is>
      </c>
      <c r="C2648" s="4" t="inlineStr">
        <is>
          <t>Personal</t>
        </is>
      </c>
      <c r="D2648" s="4" t="inlineStr">
        <is>
          <t>Personal</t>
        </is>
      </c>
      <c r="E2648" s="4" t="inlineStr">
        <is>
          <t>Future Building</t>
        </is>
      </c>
      <c r="F2648" s="4" t="inlineStr">
        <is>
          <t>Emergency Fund</t>
        </is>
      </c>
      <c r="G2648" s="4" t="inlineStr">
        <is>
          <t>Transfer</t>
        </is>
      </c>
      <c r="H2648" s="12" t="n">
        <v>46049</v>
      </c>
      <c r="I2648" s="13" t="n">
        <v>0.5737152777777778</v>
      </c>
      <c r="J2648" s="14" t="n">
        <v>46049.57371527778</v>
      </c>
      <c r="K2648" s="15" t="n">
        <v>908.63</v>
      </c>
      <c r="L2648" s="4" t="inlineStr">
        <is>
          <t>INR</t>
        </is>
      </c>
      <c r="M2648" s="15" t="n">
        <v>0</v>
      </c>
      <c r="N2648" s="4" t="inlineStr">
        <is>
          <t>IOS Owner</t>
        </is>
      </c>
      <c r="O2648" s="4" t="n"/>
      <c r="P2648" s="4" t="n"/>
      <c r="Q2648" s="4" t="inlineStr">
        <is>
          <t>MAESTRO-IOS-PERSONAL-FUTURE_BUILDING-2647 | Emergency Fund | 908.63</t>
        </is>
      </c>
      <c r="R2648" s="4" t="inlineStr">
        <is>
          <t>iPhone</t>
        </is>
      </c>
      <c r="S2648" s="4" t="inlineStr">
        <is>
          <t>B53</t>
        </is>
      </c>
      <c r="T2648" s="4" t="inlineStr">
        <is>
          <t>HIGH_2501_3000</t>
        </is>
      </c>
      <c r="U2648" s="4" t="inlineStr">
        <is>
          <t>CREATED</t>
        </is>
      </c>
      <c r="V2648" s="4" t="inlineStr">
        <is>
          <t>idem-20260902-ios-2647</t>
        </is>
      </c>
    </row>
    <row r="2649" ht="30" customHeight="1">
      <c r="A2649" s="4" t="n">
        <v>2648</v>
      </c>
      <c r="B2649" s="4" t="inlineStr">
        <is>
          <t>MTR-IOS-2648</t>
        </is>
      </c>
      <c r="C2649" s="4" t="inlineStr">
        <is>
          <t>Group</t>
        </is>
      </c>
      <c r="D2649" s="4" t="inlineStr">
        <is>
          <t>Shared Experience</t>
        </is>
      </c>
      <c r="E2649" s="4" t="inlineStr">
        <is>
          <t>Wedding</t>
        </is>
      </c>
      <c r="F2649" s="4" t="inlineStr">
        <is>
          <t>Photography</t>
        </is>
      </c>
      <c r="G2649" s="4" t="inlineStr">
        <is>
          <t>Expense</t>
        </is>
      </c>
      <c r="H2649" s="12" t="n">
        <v>46191</v>
      </c>
      <c r="I2649" s="13" t="n">
        <v>0.4442824074074074</v>
      </c>
      <c r="J2649" s="14" t="n">
        <v>46191.44428240741</v>
      </c>
      <c r="K2649" s="15" t="n">
        <v>14925.25</v>
      </c>
      <c r="L2649" s="4" t="inlineStr">
        <is>
          <t>INR</t>
        </is>
      </c>
      <c r="M2649" s="15" t="n">
        <v>-14925.25</v>
      </c>
      <c r="N2649" s="4" t="inlineStr">
        <is>
          <t>IOS Owner</t>
        </is>
      </c>
      <c r="O2649" s="4" t="n">
        <v>3</v>
      </c>
      <c r="P2649" s="4" t="inlineStr">
        <is>
          <t>EXACT</t>
        </is>
      </c>
      <c r="Q2649" s="4" t="inlineStr">
        <is>
          <t>MAESTRO-IOS-GROUP-WEDDING-2648 | Photography | 14925.25</t>
        </is>
      </c>
      <c r="R2649" s="4" t="inlineStr">
        <is>
          <t>iPhone</t>
        </is>
      </c>
      <c r="S2649" s="4" t="inlineStr">
        <is>
          <t>B53</t>
        </is>
      </c>
      <c r="T2649" s="4" t="inlineStr">
        <is>
          <t>HIGH_2501_3000</t>
        </is>
      </c>
      <c r="U2649" s="4" t="inlineStr">
        <is>
          <t>CREATED</t>
        </is>
      </c>
      <c r="V2649" s="4" t="inlineStr">
        <is>
          <t>idem-20260902-ios-2648</t>
        </is>
      </c>
    </row>
    <row r="2650" ht="30" customHeight="1">
      <c r="A2650" s="4" t="n">
        <v>2649</v>
      </c>
      <c r="B2650" s="4" t="inlineStr">
        <is>
          <t>MTR-IOS-2649</t>
        </is>
      </c>
      <c r="C2650" s="4" t="inlineStr">
        <is>
          <t>Business</t>
        </is>
      </c>
      <c r="D2650" s="4" t="inlineStr">
        <is>
          <t>Business</t>
        </is>
      </c>
      <c r="E2650" s="4" t="inlineStr">
        <is>
          <t>Team Operations</t>
        </is>
      </c>
      <c r="F2650" s="4" t="inlineStr">
        <is>
          <t>Payroll</t>
        </is>
      </c>
      <c r="G2650" s="4" t="inlineStr">
        <is>
          <t>Expense</t>
        </is>
      </c>
      <c r="H2650" s="12" t="n">
        <v>46207</v>
      </c>
      <c r="I2650" s="13" t="n">
        <v>0.4717013888888889</v>
      </c>
      <c r="J2650" s="14" t="n">
        <v>46207.47170138889</v>
      </c>
      <c r="K2650" s="15" t="n">
        <v>81963.00999999999</v>
      </c>
      <c r="L2650" s="4" t="inlineStr">
        <is>
          <t>INR</t>
        </is>
      </c>
      <c r="M2650" s="15" t="n">
        <v>-81963.00999999999</v>
      </c>
      <c r="N2650" s="4" t="inlineStr">
        <is>
          <t>IOS Owner</t>
        </is>
      </c>
      <c r="O2650" s="4" t="n"/>
      <c r="P2650" s="4" t="n"/>
      <c r="Q2650" s="4" t="inlineStr">
        <is>
          <t>MAESTRO-IOS-BUSINESS-TEAM_OPERATIONS-2649 | Payroll | 81963.01</t>
        </is>
      </c>
      <c r="R2650" s="4" t="inlineStr">
        <is>
          <t>iPhone</t>
        </is>
      </c>
      <c r="S2650" s="4" t="inlineStr">
        <is>
          <t>B53</t>
        </is>
      </c>
      <c r="T2650" s="4" t="inlineStr">
        <is>
          <t>HIGH_2501_3000</t>
        </is>
      </c>
      <c r="U2650" s="4" t="inlineStr">
        <is>
          <t>CREATED</t>
        </is>
      </c>
      <c r="V2650" s="4" t="inlineStr">
        <is>
          <t>idem-20260902-ios-2649</t>
        </is>
      </c>
    </row>
    <row r="2651" ht="30" customHeight="1">
      <c r="A2651" s="4" t="n">
        <v>2650</v>
      </c>
      <c r="B2651" s="4" t="inlineStr">
        <is>
          <t>MTR-IOS-2650</t>
        </is>
      </c>
      <c r="C2651" s="4" t="inlineStr">
        <is>
          <t>Personal</t>
        </is>
      </c>
      <c r="D2651" s="4" t="inlineStr">
        <is>
          <t>Personal</t>
        </is>
      </c>
      <c r="E2651" s="4" t="inlineStr">
        <is>
          <t>Future Building</t>
        </is>
      </c>
      <c r="F2651" s="4" t="inlineStr">
        <is>
          <t>Investments</t>
        </is>
      </c>
      <c r="G2651" s="4" t="inlineStr">
        <is>
          <t>Investment</t>
        </is>
      </c>
      <c r="H2651" s="12" t="n">
        <v>46087</v>
      </c>
      <c r="I2651" s="13" t="n">
        <v>0.8680324074074074</v>
      </c>
      <c r="J2651" s="14" t="n">
        <v>46087.86803240741</v>
      </c>
      <c r="K2651" s="15" t="n">
        <v>14199.12</v>
      </c>
      <c r="L2651" s="4" t="inlineStr">
        <is>
          <t>INR</t>
        </is>
      </c>
      <c r="M2651" s="15" t="n">
        <v>0</v>
      </c>
      <c r="N2651" s="4" t="inlineStr">
        <is>
          <t>IOS Owner</t>
        </is>
      </c>
      <c r="O2651" s="4" t="n"/>
      <c r="P2651" s="4" t="n"/>
      <c r="Q2651" s="4" t="inlineStr">
        <is>
          <t>MAESTRO-IOS-PERSONAL-FUTURE_BUILDING-2650 | Investments | 14199.12</t>
        </is>
      </c>
      <c r="R2651" s="4" t="inlineStr">
        <is>
          <t>iPhone</t>
        </is>
      </c>
      <c r="S2651" s="4" t="inlineStr">
        <is>
          <t>B53</t>
        </is>
      </c>
      <c r="T2651" s="4" t="inlineStr">
        <is>
          <t>HIGH_2501_3000</t>
        </is>
      </c>
      <c r="U2651" s="4" t="inlineStr">
        <is>
          <t>CREATED</t>
        </is>
      </c>
      <c r="V2651" s="4" t="inlineStr">
        <is>
          <t>idem-20260902-ios-2650</t>
        </is>
      </c>
    </row>
    <row r="2652" ht="30" customHeight="1">
      <c r="A2652" s="4" t="n">
        <v>2651</v>
      </c>
      <c r="B2652" s="4" t="inlineStr">
        <is>
          <t>MTR-IOS-2651</t>
        </is>
      </c>
      <c r="C2652" s="4" t="inlineStr">
        <is>
          <t>Group</t>
        </is>
      </c>
      <c r="D2652" s="4" t="inlineStr">
        <is>
          <t>Shared Experience</t>
        </is>
      </c>
      <c r="E2652" s="4" t="inlineStr">
        <is>
          <t>Wedding</t>
        </is>
      </c>
      <c r="F2652" s="4" t="inlineStr">
        <is>
          <t>Other</t>
        </is>
      </c>
      <c r="G2652" s="4" t="inlineStr">
        <is>
          <t>Expense</t>
        </is>
      </c>
      <c r="H2652" s="12" t="n">
        <v>46116</v>
      </c>
      <c r="I2652" s="13" t="n">
        <v>0.1957060185185185</v>
      </c>
      <c r="J2652" s="14" t="n">
        <v>46116.19570601852</v>
      </c>
      <c r="K2652" s="15" t="n">
        <v>9935.690000000001</v>
      </c>
      <c r="L2652" s="4" t="inlineStr">
        <is>
          <t>INR</t>
        </is>
      </c>
      <c r="M2652" s="15" t="n">
        <v>-9935.690000000001</v>
      </c>
      <c r="N2652" s="4" t="inlineStr">
        <is>
          <t>IOS Aarav</t>
        </is>
      </c>
      <c r="O2652" s="4" t="n">
        <v>3</v>
      </c>
      <c r="P2652" s="4" t="inlineStr">
        <is>
          <t>SHARES</t>
        </is>
      </c>
      <c r="Q2652" s="4" t="inlineStr">
        <is>
          <t>MAESTRO-IOS-GROUP-WEDDING-2651 | Other | 9935.69</t>
        </is>
      </c>
      <c r="R2652" s="4" t="inlineStr">
        <is>
          <t>iPhone</t>
        </is>
      </c>
      <c r="S2652" s="4" t="inlineStr">
        <is>
          <t>B54</t>
        </is>
      </c>
      <c r="T2652" s="4" t="inlineStr">
        <is>
          <t>HIGH_2501_3000</t>
        </is>
      </c>
      <c r="U2652" s="4" t="inlineStr">
        <is>
          <t>CREATED</t>
        </is>
      </c>
      <c r="V2652" s="4" t="inlineStr">
        <is>
          <t>idem-20260902-ios-2651</t>
        </is>
      </c>
    </row>
    <row r="2653" ht="30" customHeight="1">
      <c r="A2653" s="4" t="n">
        <v>2652</v>
      </c>
      <c r="B2653" s="4" t="inlineStr">
        <is>
          <t>MTR-IOS-2652</t>
        </is>
      </c>
      <c r="C2653" s="4" t="inlineStr">
        <is>
          <t>Business</t>
        </is>
      </c>
      <c r="D2653" s="4" t="inlineStr">
        <is>
          <t>Business</t>
        </is>
      </c>
      <c r="E2653" s="4" t="inlineStr">
        <is>
          <t>Team Operations</t>
        </is>
      </c>
      <c r="F2653" s="4" t="inlineStr">
        <is>
          <t>Contractor</t>
        </is>
      </c>
      <c r="G2653" s="4" t="inlineStr">
        <is>
          <t>Expense</t>
        </is>
      </c>
      <c r="H2653" s="12" t="n">
        <v>46159</v>
      </c>
      <c r="I2653" s="13" t="n">
        <v>0.8080324074074074</v>
      </c>
      <c r="J2653" s="14" t="n">
        <v>46159.80803240741</v>
      </c>
      <c r="K2653" s="15" t="n">
        <v>46383.8</v>
      </c>
      <c r="L2653" s="4" t="inlineStr">
        <is>
          <t>INR</t>
        </is>
      </c>
      <c r="M2653" s="15" t="n">
        <v>-46383.8</v>
      </c>
      <c r="N2653" s="4" t="inlineStr">
        <is>
          <t>IOS Owner</t>
        </is>
      </c>
      <c r="O2653" s="4" t="n"/>
      <c r="P2653" s="4" t="n"/>
      <c r="Q2653" s="4" t="inlineStr">
        <is>
          <t>MAESTRO-IOS-BUSINESS-TEAM_OPERATIONS-2652 | Contractor | 46383.80</t>
        </is>
      </c>
      <c r="R2653" s="4" t="inlineStr">
        <is>
          <t>iPhone</t>
        </is>
      </c>
      <c r="S2653" s="4" t="inlineStr">
        <is>
          <t>B54</t>
        </is>
      </c>
      <c r="T2653" s="4" t="inlineStr">
        <is>
          <t>HIGH_2501_3000</t>
        </is>
      </c>
      <c r="U2653" s="4" t="inlineStr">
        <is>
          <t>CREATED</t>
        </is>
      </c>
      <c r="V2653" s="4" t="inlineStr">
        <is>
          <t>idem-20260902-ios-2652</t>
        </is>
      </c>
    </row>
    <row r="2654" ht="30" customHeight="1">
      <c r="A2654" s="4" t="n">
        <v>2653</v>
      </c>
      <c r="B2654" s="4" t="inlineStr">
        <is>
          <t>MTR-IOS-2653</t>
        </is>
      </c>
      <c r="C2654" s="4" t="inlineStr">
        <is>
          <t>Personal</t>
        </is>
      </c>
      <c r="D2654" s="4" t="inlineStr">
        <is>
          <t>Personal</t>
        </is>
      </c>
      <c r="E2654" s="4" t="inlineStr">
        <is>
          <t>Future Building</t>
        </is>
      </c>
      <c r="F2654" s="4" t="inlineStr">
        <is>
          <t>Education</t>
        </is>
      </c>
      <c r="G2654" s="4" t="inlineStr">
        <is>
          <t>Expense</t>
        </is>
      </c>
      <c r="H2654" s="12" t="n">
        <v>46094</v>
      </c>
      <c r="I2654" s="13" t="n">
        <v>0.7422106481481482</v>
      </c>
      <c r="J2654" s="14" t="n">
        <v>46094.74221064815</v>
      </c>
      <c r="K2654" s="15" t="n">
        <v>15627</v>
      </c>
      <c r="L2654" s="4" t="inlineStr">
        <is>
          <t>INR</t>
        </is>
      </c>
      <c r="M2654" s="15" t="n">
        <v>-15627</v>
      </c>
      <c r="N2654" s="4" t="inlineStr">
        <is>
          <t>IOS Owner</t>
        </is>
      </c>
      <c r="O2654" s="4" t="n"/>
      <c r="P2654" s="4" t="n"/>
      <c r="Q2654" s="4" t="inlineStr">
        <is>
          <t>MAESTRO-IOS-PERSONAL-FUTURE_BUILDING-2653 | Education | 15627.00</t>
        </is>
      </c>
      <c r="R2654" s="4" t="inlineStr">
        <is>
          <t>iPhone</t>
        </is>
      </c>
      <c r="S2654" s="4" t="inlineStr">
        <is>
          <t>B54</t>
        </is>
      </c>
      <c r="T2654" s="4" t="inlineStr">
        <is>
          <t>HIGH_2501_3000</t>
        </is>
      </c>
      <c r="U2654" s="4" t="inlineStr">
        <is>
          <t>CREATED</t>
        </is>
      </c>
      <c r="V2654" s="4" t="inlineStr">
        <is>
          <t>idem-20260902-ios-2653</t>
        </is>
      </c>
    </row>
    <row r="2655" ht="30" customHeight="1">
      <c r="A2655" s="4" t="n">
        <v>2654</v>
      </c>
      <c r="B2655" s="4" t="inlineStr">
        <is>
          <t>MTR-IOS-2654</t>
        </is>
      </c>
      <c r="C2655" s="4" t="inlineStr">
        <is>
          <t>Group</t>
        </is>
      </c>
      <c r="D2655" s="4" t="inlineStr">
        <is>
          <t>Shared Experience</t>
        </is>
      </c>
      <c r="E2655" s="4" t="inlineStr">
        <is>
          <t>Office Outing</t>
        </is>
      </c>
      <c r="F2655" s="4" t="inlineStr">
        <is>
          <t>Food</t>
        </is>
      </c>
      <c r="G2655" s="4" t="inlineStr">
        <is>
          <t>Expense</t>
        </is>
      </c>
      <c r="H2655" s="12" t="n">
        <v>46223</v>
      </c>
      <c r="I2655" s="13" t="n">
        <v>0.1421180555555556</v>
      </c>
      <c r="J2655" s="14" t="n">
        <v>46223.14211805556</v>
      </c>
      <c r="K2655" s="15" t="n">
        <v>26556.17</v>
      </c>
      <c r="L2655" s="4" t="inlineStr">
        <is>
          <t>INR</t>
        </is>
      </c>
      <c r="M2655" s="15" t="n">
        <v>-26556.17</v>
      </c>
      <c r="N2655" s="4" t="inlineStr">
        <is>
          <t>IOS Meera</t>
        </is>
      </c>
      <c r="O2655" s="4" t="n">
        <v>3</v>
      </c>
      <c r="P2655" s="4" t="inlineStr">
        <is>
          <t>EQUAL</t>
        </is>
      </c>
      <c r="Q2655" s="4" t="inlineStr">
        <is>
          <t>MAESTRO-IOS-GROUP-OFFICE_OUTING-2654 | Food | 26556.17</t>
        </is>
      </c>
      <c r="R2655" s="4" t="inlineStr">
        <is>
          <t>iPhone</t>
        </is>
      </c>
      <c r="S2655" s="4" t="inlineStr">
        <is>
          <t>B54</t>
        </is>
      </c>
      <c r="T2655" s="4" t="inlineStr">
        <is>
          <t>HIGH_2501_3000</t>
        </is>
      </c>
      <c r="U2655" s="4" t="inlineStr">
        <is>
          <t>CREATED</t>
        </is>
      </c>
      <c r="V2655" s="4" t="inlineStr">
        <is>
          <t>idem-20260902-ios-2654</t>
        </is>
      </c>
    </row>
    <row r="2656" ht="30" customHeight="1">
      <c r="A2656" s="4" t="n">
        <v>2655</v>
      </c>
      <c r="B2656" s="4" t="inlineStr">
        <is>
          <t>MTR-IOS-2655</t>
        </is>
      </c>
      <c r="C2656" s="4" t="inlineStr">
        <is>
          <t>Business</t>
        </is>
      </c>
      <c r="D2656" s="4" t="inlineStr">
        <is>
          <t>Business</t>
        </is>
      </c>
      <c r="E2656" s="4" t="inlineStr">
        <is>
          <t>Team Operations</t>
        </is>
      </c>
      <c r="F2656" s="4" t="inlineStr">
        <is>
          <t>Hiring</t>
        </is>
      </c>
      <c r="G2656" s="4" t="inlineStr">
        <is>
          <t>Expense</t>
        </is>
      </c>
      <c r="H2656" s="12" t="n">
        <v>45931</v>
      </c>
      <c r="I2656" s="13" t="n">
        <v>0.5764467592592593</v>
      </c>
      <c r="J2656" s="14" t="n">
        <v>45931.57644675926</v>
      </c>
      <c r="K2656" s="15" t="n">
        <v>74478.62</v>
      </c>
      <c r="L2656" s="4" t="inlineStr">
        <is>
          <t>INR</t>
        </is>
      </c>
      <c r="M2656" s="15" t="n">
        <v>-74478.62</v>
      </c>
      <c r="N2656" s="4" t="inlineStr">
        <is>
          <t>IOS Owner</t>
        </is>
      </c>
      <c r="O2656" s="4" t="n"/>
      <c r="P2656" s="4" t="n"/>
      <c r="Q2656" s="4" t="inlineStr">
        <is>
          <t>MAESTRO-IOS-BUSINESS-TEAM_OPERATIONS-2655 | Hiring | 74478.62</t>
        </is>
      </c>
      <c r="R2656" s="4" t="inlineStr">
        <is>
          <t>iPhone</t>
        </is>
      </c>
      <c r="S2656" s="4" t="inlineStr">
        <is>
          <t>B54</t>
        </is>
      </c>
      <c r="T2656" s="4" t="inlineStr">
        <is>
          <t>HIGH_2501_3000</t>
        </is>
      </c>
      <c r="U2656" s="4" t="inlineStr">
        <is>
          <t>CREATED</t>
        </is>
      </c>
      <c r="V2656" s="4" t="inlineStr">
        <is>
          <t>idem-20260902-ios-2655</t>
        </is>
      </c>
    </row>
    <row r="2657" ht="30" customHeight="1">
      <c r="A2657" s="4" t="n">
        <v>2656</v>
      </c>
      <c r="B2657" s="4" t="inlineStr">
        <is>
          <t>MTR-IOS-2656</t>
        </is>
      </c>
      <c r="C2657" s="4" t="inlineStr">
        <is>
          <t>Personal</t>
        </is>
      </c>
      <c r="D2657" s="4" t="inlineStr">
        <is>
          <t>Personal</t>
        </is>
      </c>
      <c r="E2657" s="4" t="inlineStr">
        <is>
          <t>Future Building</t>
        </is>
      </c>
      <c r="F2657" s="4" t="inlineStr">
        <is>
          <t>Goal Contribution</t>
        </is>
      </c>
      <c r="G2657" s="4" t="inlineStr">
        <is>
          <t>Transfer</t>
        </is>
      </c>
      <c r="H2657" s="12" t="n">
        <v>45982</v>
      </c>
      <c r="I2657" s="13" t="n">
        <v>0.9624768518518518</v>
      </c>
      <c r="J2657" s="14" t="n">
        <v>45982.96247685186</v>
      </c>
      <c r="K2657" s="15" t="n">
        <v>11487.42</v>
      </c>
      <c r="L2657" s="4" t="inlineStr">
        <is>
          <t>INR</t>
        </is>
      </c>
      <c r="M2657" s="15" t="n">
        <v>0</v>
      </c>
      <c r="N2657" s="4" t="inlineStr">
        <is>
          <t>IOS Owner</t>
        </is>
      </c>
      <c r="O2657" s="4" t="n"/>
      <c r="P2657" s="4" t="n"/>
      <c r="Q2657" s="4" t="inlineStr">
        <is>
          <t>MAESTRO-IOS-PERSONAL-FUTURE_BUILDING-2656 | Goal Contribution | 11487.42</t>
        </is>
      </c>
      <c r="R2657" s="4" t="inlineStr">
        <is>
          <t>iPhone</t>
        </is>
      </c>
      <c r="S2657" s="4" t="inlineStr">
        <is>
          <t>B54</t>
        </is>
      </c>
      <c r="T2657" s="4" t="inlineStr">
        <is>
          <t>HIGH_2501_3000</t>
        </is>
      </c>
      <c r="U2657" s="4" t="inlineStr">
        <is>
          <t>CREATED</t>
        </is>
      </c>
      <c r="V2657" s="4" t="inlineStr">
        <is>
          <t>idem-20260902-ios-2656</t>
        </is>
      </c>
    </row>
    <row r="2658" ht="30" customHeight="1">
      <c r="A2658" s="4" t="n">
        <v>2657</v>
      </c>
      <c r="B2658" s="4" t="inlineStr">
        <is>
          <t>MTR-IOS-2657</t>
        </is>
      </c>
      <c r="C2658" s="4" t="inlineStr">
        <is>
          <t>Group</t>
        </is>
      </c>
      <c r="D2658" s="4" t="inlineStr">
        <is>
          <t>Shared Experience</t>
        </is>
      </c>
      <c r="E2658" s="4" t="inlineStr">
        <is>
          <t>Office Outing</t>
        </is>
      </c>
      <c r="F2658" s="4" t="inlineStr">
        <is>
          <t>Travel</t>
        </is>
      </c>
      <c r="G2658" s="4" t="inlineStr">
        <is>
          <t>Expense</t>
        </is>
      </c>
      <c r="H2658" s="12" t="n">
        <v>46099</v>
      </c>
      <c r="I2658" s="13" t="n">
        <v>0.6180324074074074</v>
      </c>
      <c r="J2658" s="14" t="n">
        <v>46099.61803240741</v>
      </c>
      <c r="K2658" s="15" t="n">
        <v>623.61</v>
      </c>
      <c r="L2658" s="4" t="inlineStr">
        <is>
          <t>INR</t>
        </is>
      </c>
      <c r="M2658" s="15" t="n">
        <v>-623.61</v>
      </c>
      <c r="N2658" s="4" t="inlineStr">
        <is>
          <t>IOS Owner</t>
        </is>
      </c>
      <c r="O2658" s="4" t="n">
        <v>3</v>
      </c>
      <c r="P2658" s="4" t="inlineStr">
        <is>
          <t>PERCENTAGE</t>
        </is>
      </c>
      <c r="Q2658" s="4" t="inlineStr">
        <is>
          <t>MAESTRO-IOS-GROUP-OFFICE_OUTING-2657 | Travel | 623.61</t>
        </is>
      </c>
      <c r="R2658" s="4" t="inlineStr">
        <is>
          <t>iPhone</t>
        </is>
      </c>
      <c r="S2658" s="4" t="inlineStr">
        <is>
          <t>B54</t>
        </is>
      </c>
      <c r="T2658" s="4" t="inlineStr">
        <is>
          <t>HIGH_2501_3000</t>
        </is>
      </c>
      <c r="U2658" s="4" t="inlineStr">
        <is>
          <t>CREATED</t>
        </is>
      </c>
      <c r="V2658" s="4" t="inlineStr">
        <is>
          <t>idem-20260902-ios-2657</t>
        </is>
      </c>
    </row>
    <row r="2659" ht="30" customHeight="1">
      <c r="A2659" s="4" t="n">
        <v>2658</v>
      </c>
      <c r="B2659" s="4" t="inlineStr">
        <is>
          <t>MTR-IOS-2658</t>
        </is>
      </c>
      <c r="C2659" s="4" t="inlineStr">
        <is>
          <t>Business</t>
        </is>
      </c>
      <c r="D2659" s="4" t="inlineStr">
        <is>
          <t>Business</t>
        </is>
      </c>
      <c r="E2659" s="4" t="inlineStr">
        <is>
          <t>Team Operations</t>
        </is>
      </c>
      <c r="F2659" s="4" t="inlineStr">
        <is>
          <t>Team Meal</t>
        </is>
      </c>
      <c r="G2659" s="4" t="inlineStr">
        <is>
          <t>Expense</t>
        </is>
      </c>
      <c r="H2659" s="12" t="n">
        <v>46249</v>
      </c>
      <c r="I2659" s="13" t="n">
        <v>0.3266898148148148</v>
      </c>
      <c r="J2659" s="14" t="n">
        <v>46249.32668981481</v>
      </c>
      <c r="K2659" s="15" t="n">
        <v>61590.76</v>
      </c>
      <c r="L2659" s="4" t="inlineStr">
        <is>
          <t>INR</t>
        </is>
      </c>
      <c r="M2659" s="15" t="n">
        <v>-61590.76</v>
      </c>
      <c r="N2659" s="4" t="inlineStr">
        <is>
          <t>IOS Owner</t>
        </is>
      </c>
      <c r="O2659" s="4" t="n"/>
      <c r="P2659" s="4" t="n"/>
      <c r="Q2659" s="4" t="inlineStr">
        <is>
          <t>MAESTRO-IOS-BUSINESS-TEAM_OPERATIONS-2658 | Team Meal | 61590.76</t>
        </is>
      </c>
      <c r="R2659" s="4" t="inlineStr">
        <is>
          <t>iPhone</t>
        </is>
      </c>
      <c r="S2659" s="4" t="inlineStr">
        <is>
          <t>B54</t>
        </is>
      </c>
      <c r="T2659" s="4" t="inlineStr">
        <is>
          <t>HIGH_2501_3000</t>
        </is>
      </c>
      <c r="U2659" s="4" t="inlineStr">
        <is>
          <t>CREATED</t>
        </is>
      </c>
      <c r="V2659" s="4" t="inlineStr">
        <is>
          <t>idem-20260902-ios-2658</t>
        </is>
      </c>
    </row>
    <row r="2660" ht="30" customHeight="1">
      <c r="A2660" s="4" t="n">
        <v>2659</v>
      </c>
      <c r="B2660" s="4" t="inlineStr">
        <is>
          <t>MTR-IOS-2659</t>
        </is>
      </c>
      <c r="C2660" s="4" t="inlineStr">
        <is>
          <t>Personal</t>
        </is>
      </c>
      <c r="D2660" s="4" t="inlineStr">
        <is>
          <t>Personal</t>
        </is>
      </c>
      <c r="E2660" s="4" t="inlineStr">
        <is>
          <t>Lifestyle</t>
        </is>
      </c>
      <c r="F2660" s="4" t="inlineStr">
        <is>
          <t>Dining</t>
        </is>
      </c>
      <c r="G2660" s="4" t="inlineStr">
        <is>
          <t>Expense</t>
        </is>
      </c>
      <c r="H2660" s="12" t="n">
        <v>46228</v>
      </c>
      <c r="I2660" s="13" t="n">
        <v>0.8145370370370371</v>
      </c>
      <c r="J2660" s="14" t="n">
        <v>46228.81453703704</v>
      </c>
      <c r="K2660" s="15" t="n">
        <v>4375.59</v>
      </c>
      <c r="L2660" s="4" t="inlineStr">
        <is>
          <t>INR</t>
        </is>
      </c>
      <c r="M2660" s="15" t="n">
        <v>-4375.59</v>
      </c>
      <c r="N2660" s="4" t="inlineStr">
        <is>
          <t>IOS Owner</t>
        </is>
      </c>
      <c r="O2660" s="4" t="n"/>
      <c r="P2660" s="4" t="n"/>
      <c r="Q2660" s="4" t="inlineStr">
        <is>
          <t>MAESTRO-IOS-PERSONAL-LIFESTYLE-2659 | Dining | 4375.59</t>
        </is>
      </c>
      <c r="R2660" s="4" t="inlineStr">
        <is>
          <t>iPhone</t>
        </is>
      </c>
      <c r="S2660" s="4" t="inlineStr">
        <is>
          <t>B54</t>
        </is>
      </c>
      <c r="T2660" s="4" t="inlineStr">
        <is>
          <t>HIGH_2501_3000</t>
        </is>
      </c>
      <c r="U2660" s="4" t="inlineStr">
        <is>
          <t>CREATED</t>
        </is>
      </c>
      <c r="V2660" s="4" t="inlineStr">
        <is>
          <t>idem-20260902-ios-2659</t>
        </is>
      </c>
    </row>
    <row r="2661" ht="30" customHeight="1">
      <c r="A2661" s="4" t="n">
        <v>2660</v>
      </c>
      <c r="B2661" s="4" t="inlineStr">
        <is>
          <t>MTR-IOS-2660</t>
        </is>
      </c>
      <c r="C2661" s="4" t="inlineStr">
        <is>
          <t>Group</t>
        </is>
      </c>
      <c r="D2661" s="4" t="inlineStr">
        <is>
          <t>Shared Experience</t>
        </is>
      </c>
      <c r="E2661" s="4" t="inlineStr">
        <is>
          <t>Office Outing</t>
        </is>
      </c>
      <c r="F2661" s="4" t="inlineStr">
        <is>
          <t>Activities</t>
        </is>
      </c>
      <c r="G2661" s="4" t="inlineStr">
        <is>
          <t>Expense</t>
        </is>
      </c>
      <c r="H2661" s="12" t="n">
        <v>45948</v>
      </c>
      <c r="I2661" s="13" t="n">
        <v>0.612199074074074</v>
      </c>
      <c r="J2661" s="14" t="n">
        <v>45948.61219907407</v>
      </c>
      <c r="K2661" s="15" t="n">
        <v>13564.32</v>
      </c>
      <c r="L2661" s="4" t="inlineStr">
        <is>
          <t>INR</t>
        </is>
      </c>
      <c r="M2661" s="15" t="n">
        <v>-13564.32</v>
      </c>
      <c r="N2661" s="4" t="inlineStr">
        <is>
          <t>IOS Aarav</t>
        </is>
      </c>
      <c r="O2661" s="4" t="n">
        <v>3</v>
      </c>
      <c r="P2661" s="4" t="inlineStr">
        <is>
          <t>EXACT</t>
        </is>
      </c>
      <c r="Q2661" s="4" t="inlineStr">
        <is>
          <t>MAESTRO-IOS-GROUP-OFFICE_OUTING-2660 | Activities | 13564.32</t>
        </is>
      </c>
      <c r="R2661" s="4" t="inlineStr">
        <is>
          <t>iPhone</t>
        </is>
      </c>
      <c r="S2661" s="4" t="inlineStr">
        <is>
          <t>B54</t>
        </is>
      </c>
      <c r="T2661" s="4" t="inlineStr">
        <is>
          <t>HIGH_2501_3000</t>
        </is>
      </c>
      <c r="U2661" s="4" t="inlineStr">
        <is>
          <t>CREATED</t>
        </is>
      </c>
      <c r="V2661" s="4" t="inlineStr">
        <is>
          <t>idem-20260902-ios-2660</t>
        </is>
      </c>
    </row>
    <row r="2662" ht="30" customHeight="1">
      <c r="A2662" s="4" t="n">
        <v>2661</v>
      </c>
      <c r="B2662" s="4" t="inlineStr">
        <is>
          <t>MTR-IOS-2661</t>
        </is>
      </c>
      <c r="C2662" s="4" t="inlineStr">
        <is>
          <t>Business</t>
        </is>
      </c>
      <c r="D2662" s="4" t="inlineStr">
        <is>
          <t>Business</t>
        </is>
      </c>
      <c r="E2662" s="4" t="inlineStr">
        <is>
          <t>Team Operations</t>
        </is>
      </c>
      <c r="F2662" s="4" t="inlineStr">
        <is>
          <t>Travel</t>
        </is>
      </c>
      <c r="G2662" s="4" t="inlineStr">
        <is>
          <t>Expense</t>
        </is>
      </c>
      <c r="H2662" s="12" t="n">
        <v>46175</v>
      </c>
      <c r="I2662" s="13" t="n">
        <v>0.189837962962963</v>
      </c>
      <c r="J2662" s="14" t="n">
        <v>46175.18983796296</v>
      </c>
      <c r="K2662" s="15" t="n">
        <v>39357.11</v>
      </c>
      <c r="L2662" s="4" t="inlineStr">
        <is>
          <t>INR</t>
        </is>
      </c>
      <c r="M2662" s="15" t="n">
        <v>-39357.11</v>
      </c>
      <c r="N2662" s="4" t="inlineStr">
        <is>
          <t>IOS Owner</t>
        </is>
      </c>
      <c r="O2662" s="4" t="n"/>
      <c r="P2662" s="4" t="n"/>
      <c r="Q2662" s="4" t="inlineStr">
        <is>
          <t>MAESTRO-IOS-BUSINESS-TEAM_OPERATIONS-2661 | Travel | 39357.11</t>
        </is>
      </c>
      <c r="R2662" s="4" t="inlineStr">
        <is>
          <t>iPhone</t>
        </is>
      </c>
      <c r="S2662" s="4" t="inlineStr">
        <is>
          <t>B54</t>
        </is>
      </c>
      <c r="T2662" s="4" t="inlineStr">
        <is>
          <t>HIGH_2501_3000</t>
        </is>
      </c>
      <c r="U2662" s="4" t="inlineStr">
        <is>
          <t>CREATED</t>
        </is>
      </c>
      <c r="V2662" s="4" t="inlineStr">
        <is>
          <t>idem-20260902-ios-2661</t>
        </is>
      </c>
    </row>
    <row r="2663" ht="30" customHeight="1">
      <c r="A2663" s="4" t="n">
        <v>2662</v>
      </c>
      <c r="B2663" s="4" t="inlineStr">
        <is>
          <t>MTR-IOS-2662</t>
        </is>
      </c>
      <c r="C2663" s="4" t="inlineStr">
        <is>
          <t>Personal</t>
        </is>
      </c>
      <c r="D2663" s="4" t="inlineStr">
        <is>
          <t>Personal</t>
        </is>
      </c>
      <c r="E2663" s="4" t="inlineStr">
        <is>
          <t>Lifestyle</t>
        </is>
      </c>
      <c r="F2663" s="4" t="inlineStr">
        <is>
          <t>Shopping</t>
        </is>
      </c>
      <c r="G2663" s="4" t="inlineStr">
        <is>
          <t>Expense</t>
        </is>
      </c>
      <c r="H2663" s="12" t="n">
        <v>46015</v>
      </c>
      <c r="I2663" s="13" t="n">
        <v>0.8208796296296297</v>
      </c>
      <c r="J2663" s="14" t="n">
        <v>46015.82087962963</v>
      </c>
      <c r="K2663" s="15" t="n">
        <v>5977.82</v>
      </c>
      <c r="L2663" s="4" t="inlineStr">
        <is>
          <t>INR</t>
        </is>
      </c>
      <c r="M2663" s="15" t="n">
        <v>-5977.82</v>
      </c>
      <c r="N2663" s="4" t="inlineStr">
        <is>
          <t>IOS Owner</t>
        </is>
      </c>
      <c r="O2663" s="4" t="n"/>
      <c r="P2663" s="4" t="n"/>
      <c r="Q2663" s="4" t="inlineStr">
        <is>
          <t>MAESTRO-IOS-PERSONAL-LIFESTYLE-2662 | Shopping | 5977.82</t>
        </is>
      </c>
      <c r="R2663" s="4" t="inlineStr">
        <is>
          <t>iPhone</t>
        </is>
      </c>
      <c r="S2663" s="4" t="inlineStr">
        <is>
          <t>B54</t>
        </is>
      </c>
      <c r="T2663" s="4" t="inlineStr">
        <is>
          <t>HIGH_2501_3000</t>
        </is>
      </c>
      <c r="U2663" s="4" t="inlineStr">
        <is>
          <t>CREATED</t>
        </is>
      </c>
      <c r="V2663" s="4" t="inlineStr">
        <is>
          <t>idem-20260902-ios-2662</t>
        </is>
      </c>
    </row>
    <row r="2664" ht="30" customHeight="1">
      <c r="A2664" s="4" t="n">
        <v>2663</v>
      </c>
      <c r="B2664" s="4" t="inlineStr">
        <is>
          <t>MTR-IOS-2663</t>
        </is>
      </c>
      <c r="C2664" s="4" t="inlineStr">
        <is>
          <t>Group</t>
        </is>
      </c>
      <c r="D2664" s="4" t="inlineStr">
        <is>
          <t>Shared Experience</t>
        </is>
      </c>
      <c r="E2664" s="4" t="inlineStr">
        <is>
          <t>Office Outing</t>
        </is>
      </c>
      <c r="F2664" s="4" t="inlineStr">
        <is>
          <t>Venue</t>
        </is>
      </c>
      <c r="G2664" s="4" t="inlineStr">
        <is>
          <t>Expense</t>
        </is>
      </c>
      <c r="H2664" s="12" t="n">
        <v>45945</v>
      </c>
      <c r="I2664" s="13" t="n">
        <v>0.2108912037037037</v>
      </c>
      <c r="J2664" s="14" t="n">
        <v>45945.2108912037</v>
      </c>
      <c r="K2664" s="15" t="n">
        <v>9758.76</v>
      </c>
      <c r="L2664" s="4" t="inlineStr">
        <is>
          <t>INR</t>
        </is>
      </c>
      <c r="M2664" s="15" t="n">
        <v>-9758.76</v>
      </c>
      <c r="N2664" s="4" t="inlineStr">
        <is>
          <t>IOS Meera</t>
        </is>
      </c>
      <c r="O2664" s="4" t="n">
        <v>3</v>
      </c>
      <c r="P2664" s="4" t="inlineStr">
        <is>
          <t>SHARES</t>
        </is>
      </c>
      <c r="Q2664" s="4" t="inlineStr">
        <is>
          <t>MAESTRO-IOS-GROUP-OFFICE_OUTING-2663 | Venue | 9758.76</t>
        </is>
      </c>
      <c r="R2664" s="4" t="inlineStr">
        <is>
          <t>iPhone</t>
        </is>
      </c>
      <c r="S2664" s="4" t="inlineStr">
        <is>
          <t>B54</t>
        </is>
      </c>
      <c r="T2664" s="4" t="inlineStr">
        <is>
          <t>HIGH_2501_3000</t>
        </is>
      </c>
      <c r="U2664" s="4" t="inlineStr">
        <is>
          <t>CREATED</t>
        </is>
      </c>
      <c r="V2664" s="4" t="inlineStr">
        <is>
          <t>idem-20260902-ios-2663</t>
        </is>
      </c>
    </row>
    <row r="2665" ht="30" customHeight="1">
      <c r="A2665" s="4" t="n">
        <v>2664</v>
      </c>
      <c r="B2665" s="4" t="inlineStr">
        <is>
          <t>MTR-IOS-2664</t>
        </is>
      </c>
      <c r="C2665" s="4" t="inlineStr">
        <is>
          <t>Business</t>
        </is>
      </c>
      <c r="D2665" s="4" t="inlineStr">
        <is>
          <t>Business</t>
        </is>
      </c>
      <c r="E2665" s="4" t="inlineStr">
        <is>
          <t>Team Operations</t>
        </is>
      </c>
      <c r="F2665" s="4" t="inlineStr">
        <is>
          <t>Training</t>
        </is>
      </c>
      <c r="G2665" s="4" t="inlineStr">
        <is>
          <t>Expense</t>
        </is>
      </c>
      <c r="H2665" s="12" t="n">
        <v>46152</v>
      </c>
      <c r="I2665" s="13" t="n">
        <v>0.2712847222222222</v>
      </c>
      <c r="J2665" s="14" t="n">
        <v>46152.27128472222</v>
      </c>
      <c r="K2665" s="15" t="n">
        <v>0.01</v>
      </c>
      <c r="L2665" s="4" t="inlineStr">
        <is>
          <t>INR</t>
        </is>
      </c>
      <c r="M2665" s="15" t="n">
        <v>-0.01</v>
      </c>
      <c r="N2665" s="4" t="inlineStr">
        <is>
          <t>IOS Owner</t>
        </is>
      </c>
      <c r="O2665" s="4" t="n"/>
      <c r="P2665" s="4" t="n"/>
      <c r="Q2665" s="4" t="inlineStr">
        <is>
          <t>MAESTRO-IOS-BUSINESS-TEAM_OPERATIONS-2664 | Training | 0.01</t>
        </is>
      </c>
      <c r="R2665" s="4" t="inlineStr">
        <is>
          <t>iPhone</t>
        </is>
      </c>
      <c r="S2665" s="4" t="inlineStr">
        <is>
          <t>B54</t>
        </is>
      </c>
      <c r="T2665" s="4" t="inlineStr">
        <is>
          <t>HIGH_2501_3000</t>
        </is>
      </c>
      <c r="U2665" s="4" t="inlineStr">
        <is>
          <t>CREATED</t>
        </is>
      </c>
      <c r="V2665" s="4" t="inlineStr">
        <is>
          <t>idem-20260902-ios-2664</t>
        </is>
      </c>
    </row>
    <row r="2666" ht="30" customHeight="1">
      <c r="A2666" s="4" t="n">
        <v>2665</v>
      </c>
      <c r="B2666" s="4" t="inlineStr">
        <is>
          <t>MTR-IOS-2665</t>
        </is>
      </c>
      <c r="C2666" s="4" t="inlineStr">
        <is>
          <t>Personal</t>
        </is>
      </c>
      <c r="D2666" s="4" t="inlineStr">
        <is>
          <t>Personal</t>
        </is>
      </c>
      <c r="E2666" s="4" t="inlineStr">
        <is>
          <t>Lifestyle</t>
        </is>
      </c>
      <c r="F2666" s="4" t="inlineStr">
        <is>
          <t>Entertainment</t>
        </is>
      </c>
      <c r="G2666" s="4" t="inlineStr">
        <is>
          <t>Expense</t>
        </is>
      </c>
      <c r="H2666" s="12" t="n">
        <v>46013</v>
      </c>
      <c r="I2666" s="13" t="n">
        <v>0.3211226851851852</v>
      </c>
      <c r="J2666" s="14" t="n">
        <v>46013.32112268519</v>
      </c>
      <c r="K2666" s="15" t="n">
        <v>6376.48</v>
      </c>
      <c r="L2666" s="4" t="inlineStr">
        <is>
          <t>INR</t>
        </is>
      </c>
      <c r="M2666" s="15" t="n">
        <v>-6376.48</v>
      </c>
      <c r="N2666" s="4" t="inlineStr">
        <is>
          <t>IOS Owner</t>
        </is>
      </c>
      <c r="O2666" s="4" t="n"/>
      <c r="P2666" s="4" t="n"/>
      <c r="Q2666" s="4" t="inlineStr">
        <is>
          <t>MAESTRO-IOS-PERSONAL-LIFESTYLE-2665 | Entertainment | 6376.48</t>
        </is>
      </c>
      <c r="R2666" s="4" t="inlineStr">
        <is>
          <t>iPhone</t>
        </is>
      </c>
      <c r="S2666" s="4" t="inlineStr">
        <is>
          <t>B54</t>
        </is>
      </c>
      <c r="T2666" s="4" t="inlineStr">
        <is>
          <t>HIGH_2501_3000</t>
        </is>
      </c>
      <c r="U2666" s="4" t="inlineStr">
        <is>
          <t>CREATED</t>
        </is>
      </c>
      <c r="V2666" s="4" t="inlineStr">
        <is>
          <t>idem-20260902-ios-2665</t>
        </is>
      </c>
    </row>
    <row r="2667" ht="30" customHeight="1">
      <c r="A2667" s="4" t="n">
        <v>2666</v>
      </c>
      <c r="B2667" s="4" t="inlineStr">
        <is>
          <t>MTR-IOS-2666</t>
        </is>
      </c>
      <c r="C2667" s="4" t="inlineStr">
        <is>
          <t>Group</t>
        </is>
      </c>
      <c r="D2667" s="4" t="inlineStr">
        <is>
          <t>Shared Experience</t>
        </is>
      </c>
      <c r="E2667" s="4" t="inlineStr">
        <is>
          <t>Office Outing</t>
        </is>
      </c>
      <c r="F2667" s="4" t="inlineStr">
        <is>
          <t>Other</t>
        </is>
      </c>
      <c r="G2667" s="4" t="inlineStr">
        <is>
          <t>Expense</t>
        </is>
      </c>
      <c r="H2667" s="12" t="n">
        <v>46152</v>
      </c>
      <c r="I2667" s="13" t="n">
        <v>0.7650115740740741</v>
      </c>
      <c r="J2667" s="14" t="n">
        <v>46152.76501157408</v>
      </c>
      <c r="K2667" s="15" t="n">
        <v>25894.31</v>
      </c>
      <c r="L2667" s="4" t="inlineStr">
        <is>
          <t>INR</t>
        </is>
      </c>
      <c r="M2667" s="15" t="n">
        <v>-25894.31</v>
      </c>
      <c r="N2667" s="4" t="inlineStr">
        <is>
          <t>IOS Owner</t>
        </is>
      </c>
      <c r="O2667" s="4" t="n">
        <v>3</v>
      </c>
      <c r="P2667" s="4" t="inlineStr">
        <is>
          <t>EQUAL</t>
        </is>
      </c>
      <c r="Q2667" s="4" t="inlineStr">
        <is>
          <t>MAESTRO-IOS-GROUP-OFFICE_OUTING-2666 | Other | 25894.31</t>
        </is>
      </c>
      <c r="R2667" s="4" t="inlineStr">
        <is>
          <t>iPhone</t>
        </is>
      </c>
      <c r="S2667" s="4" t="inlineStr">
        <is>
          <t>B54</t>
        </is>
      </c>
      <c r="T2667" s="4" t="inlineStr">
        <is>
          <t>HIGH_2501_3000</t>
        </is>
      </c>
      <c r="U2667" s="4" t="inlineStr">
        <is>
          <t>CREATED</t>
        </is>
      </c>
      <c r="V2667" s="4" t="inlineStr">
        <is>
          <t>idem-20260902-ios-2666</t>
        </is>
      </c>
    </row>
    <row r="2668" ht="30" customHeight="1">
      <c r="A2668" s="4" t="n">
        <v>2667</v>
      </c>
      <c r="B2668" s="4" t="inlineStr">
        <is>
          <t>MTR-IOS-2667</t>
        </is>
      </c>
      <c r="C2668" s="4" t="inlineStr">
        <is>
          <t>Business</t>
        </is>
      </c>
      <c r="D2668" s="4" t="inlineStr">
        <is>
          <t>Business</t>
        </is>
      </c>
      <c r="E2668" s="4" t="inlineStr">
        <is>
          <t>Team Operations</t>
        </is>
      </c>
      <c r="F2668" s="4" t="inlineStr">
        <is>
          <t>Tools</t>
        </is>
      </c>
      <c r="G2668" s="4" t="inlineStr">
        <is>
          <t>Expense</t>
        </is>
      </c>
      <c r="H2668" s="12" t="n">
        <v>45942</v>
      </c>
      <c r="I2668" s="13" t="n">
        <v>0.5733449074074074</v>
      </c>
      <c r="J2668" s="14" t="n">
        <v>45942.57334490741</v>
      </c>
      <c r="K2668" s="15" t="n">
        <v>26711.59</v>
      </c>
      <c r="L2668" s="4" t="inlineStr">
        <is>
          <t>INR</t>
        </is>
      </c>
      <c r="M2668" s="15" t="n">
        <v>-26711.59</v>
      </c>
      <c r="N2668" s="4" t="inlineStr">
        <is>
          <t>IOS Owner</t>
        </is>
      </c>
      <c r="O2668" s="4" t="n"/>
      <c r="P2668" s="4" t="n"/>
      <c r="Q2668" s="4" t="inlineStr">
        <is>
          <t>MAESTRO-IOS-BUSINESS-TEAM_OPERATIONS-2667 | Tools | 26711.59</t>
        </is>
      </c>
      <c r="R2668" s="4" t="inlineStr">
        <is>
          <t>iPhone</t>
        </is>
      </c>
      <c r="S2668" s="4" t="inlineStr">
        <is>
          <t>B54</t>
        </is>
      </c>
      <c r="T2668" s="4" t="inlineStr">
        <is>
          <t>HIGH_2501_3000</t>
        </is>
      </c>
      <c r="U2668" s="4" t="inlineStr">
        <is>
          <t>CREATED</t>
        </is>
      </c>
      <c r="V2668" s="4" t="inlineStr">
        <is>
          <t>idem-20260902-ios-2667</t>
        </is>
      </c>
    </row>
    <row r="2669" ht="30" customHeight="1">
      <c r="A2669" s="4" t="n">
        <v>2668</v>
      </c>
      <c r="B2669" s="4" t="inlineStr">
        <is>
          <t>MTR-IOS-2668</t>
        </is>
      </c>
      <c r="C2669" s="4" t="inlineStr">
        <is>
          <t>Personal</t>
        </is>
      </c>
      <c r="D2669" s="4" t="inlineStr">
        <is>
          <t>Personal</t>
        </is>
      </c>
      <c r="E2669" s="4" t="inlineStr">
        <is>
          <t>Lifestyle</t>
        </is>
      </c>
      <c r="F2669" s="4" t="inlineStr">
        <is>
          <t>Travel</t>
        </is>
      </c>
      <c r="G2669" s="4" t="inlineStr">
        <is>
          <t>Expense</t>
        </is>
      </c>
      <c r="H2669" s="12" t="n">
        <v>45986</v>
      </c>
      <c r="I2669" s="13" t="n">
        <v>0.4061458333333333</v>
      </c>
      <c r="J2669" s="14" t="n">
        <v>45986.40614583333</v>
      </c>
      <c r="K2669" s="15" t="n">
        <v>10689.36</v>
      </c>
      <c r="L2669" s="4" t="inlineStr">
        <is>
          <t>INR</t>
        </is>
      </c>
      <c r="M2669" s="15" t="n">
        <v>-10689.36</v>
      </c>
      <c r="N2669" s="4" t="inlineStr">
        <is>
          <t>IOS Owner</t>
        </is>
      </c>
      <c r="O2669" s="4" t="n"/>
      <c r="P2669" s="4" t="n"/>
      <c r="Q2669" s="4" t="inlineStr">
        <is>
          <t>MAESTRO-IOS-PERSONAL-LIFESTYLE-2668 | Travel | 10689.36</t>
        </is>
      </c>
      <c r="R2669" s="4" t="inlineStr">
        <is>
          <t>iPhone</t>
        </is>
      </c>
      <c r="S2669" s="4" t="inlineStr">
        <is>
          <t>B54</t>
        </is>
      </c>
      <c r="T2669" s="4" t="inlineStr">
        <is>
          <t>HIGH_2501_3000</t>
        </is>
      </c>
      <c r="U2669" s="4" t="inlineStr">
        <is>
          <t>CREATED</t>
        </is>
      </c>
      <c r="V2669" s="4" t="inlineStr">
        <is>
          <t>idem-20260902-ios-2668</t>
        </is>
      </c>
    </row>
    <row r="2670" ht="30" customHeight="1">
      <c r="A2670" s="4" t="n">
        <v>2669</v>
      </c>
      <c r="B2670" s="4" t="inlineStr">
        <is>
          <t>MTR-IOS-2669</t>
        </is>
      </c>
      <c r="C2670" s="4" t="inlineStr">
        <is>
          <t>Group</t>
        </is>
      </c>
      <c r="D2670" s="4" t="inlineStr">
        <is>
          <t>Shared Experience</t>
        </is>
      </c>
      <c r="E2670" s="4" t="inlineStr">
        <is>
          <t>House Party</t>
        </is>
      </c>
      <c r="F2670" s="4" t="inlineStr">
        <is>
          <t>Food</t>
        </is>
      </c>
      <c r="G2670" s="4" t="inlineStr">
        <is>
          <t>Expense</t>
        </is>
      </c>
      <c r="H2670" s="12" t="n">
        <v>45905</v>
      </c>
      <c r="I2670" s="13" t="n">
        <v>0.8844444444444445</v>
      </c>
      <c r="J2670" s="14" t="n">
        <v>45905.88444444445</v>
      </c>
      <c r="K2670" s="15" t="n">
        <v>1801.33</v>
      </c>
      <c r="L2670" s="4" t="inlineStr">
        <is>
          <t>INR</t>
        </is>
      </c>
      <c r="M2670" s="15" t="n">
        <v>-1801.33</v>
      </c>
      <c r="N2670" s="4" t="inlineStr">
        <is>
          <t>IOS Aarav</t>
        </is>
      </c>
      <c r="O2670" s="4" t="n">
        <v>3</v>
      </c>
      <c r="P2670" s="4" t="inlineStr">
        <is>
          <t>PERCENTAGE</t>
        </is>
      </c>
      <c r="Q2670" s="4" t="inlineStr">
        <is>
          <t>MAESTRO-IOS-GROUP-HOUSE_PARTY-2669 | Food | 1801.33</t>
        </is>
      </c>
      <c r="R2670" s="4" t="inlineStr">
        <is>
          <t>iPhone</t>
        </is>
      </c>
      <c r="S2670" s="4" t="inlineStr">
        <is>
          <t>B54</t>
        </is>
      </c>
      <c r="T2670" s="4" t="inlineStr">
        <is>
          <t>HIGH_2501_3000</t>
        </is>
      </c>
      <c r="U2670" s="4" t="inlineStr">
        <is>
          <t>CREATED</t>
        </is>
      </c>
      <c r="V2670" s="4" t="inlineStr">
        <is>
          <t>idem-20260902-ios-2669</t>
        </is>
      </c>
    </row>
    <row r="2671" ht="30" customHeight="1">
      <c r="A2671" s="4" t="n">
        <v>2670</v>
      </c>
      <c r="B2671" s="4" t="inlineStr">
        <is>
          <t>MTR-IOS-2670</t>
        </is>
      </c>
      <c r="C2671" s="4" t="inlineStr">
        <is>
          <t>Business</t>
        </is>
      </c>
      <c r="D2671" s="4" t="inlineStr">
        <is>
          <t>Business</t>
        </is>
      </c>
      <c r="E2671" s="4" t="inlineStr">
        <is>
          <t>Business Runway</t>
        </is>
      </c>
      <c r="F2671" s="4" t="inlineStr">
        <is>
          <t>Funding</t>
        </is>
      </c>
      <c r="G2671" s="4" t="inlineStr">
        <is>
          <t>Income</t>
        </is>
      </c>
      <c r="H2671" s="12" t="n">
        <v>45974</v>
      </c>
      <c r="I2671" s="13" t="n">
        <v>0.6923958333333333</v>
      </c>
      <c r="J2671" s="14" t="n">
        <v>45974.69239583334</v>
      </c>
      <c r="K2671" s="15" t="n">
        <v>153305.56</v>
      </c>
      <c r="L2671" s="4" t="inlineStr">
        <is>
          <t>INR</t>
        </is>
      </c>
      <c r="M2671" s="15" t="n">
        <v>153305.56</v>
      </c>
      <c r="N2671" s="4" t="inlineStr">
        <is>
          <t>IOS Owner</t>
        </is>
      </c>
      <c r="O2671" s="4" t="n"/>
      <c r="P2671" s="4" t="n"/>
      <c r="Q2671" s="4" t="inlineStr">
        <is>
          <t>MAESTRO-IOS-BUSINESS-BUSINESS_RUNWAY-2670 | Funding | 153305.56</t>
        </is>
      </c>
      <c r="R2671" s="4" t="inlineStr">
        <is>
          <t>iPhone</t>
        </is>
      </c>
      <c r="S2671" s="4" t="inlineStr">
        <is>
          <t>B54</t>
        </is>
      </c>
      <c r="T2671" s="4" t="inlineStr">
        <is>
          <t>HIGH_2501_3000</t>
        </is>
      </c>
      <c r="U2671" s="4" t="inlineStr">
        <is>
          <t>CREATED</t>
        </is>
      </c>
      <c r="V2671" s="4" t="inlineStr">
        <is>
          <t>idem-20260902-ios-2670</t>
        </is>
      </c>
    </row>
    <row r="2672" ht="30" customHeight="1">
      <c r="A2672" s="4" t="n">
        <v>2671</v>
      </c>
      <c r="B2672" s="4" t="inlineStr">
        <is>
          <t>MTR-IOS-2671</t>
        </is>
      </c>
      <c r="C2672" s="4" t="inlineStr">
        <is>
          <t>Personal</t>
        </is>
      </c>
      <c r="D2672" s="4" t="inlineStr">
        <is>
          <t>Personal</t>
        </is>
      </c>
      <c r="E2672" s="4" t="inlineStr">
        <is>
          <t>Lifestyle</t>
        </is>
      </c>
      <c r="F2672" s="4" t="inlineStr">
        <is>
          <t>Fitness</t>
        </is>
      </c>
      <c r="G2672" s="4" t="inlineStr">
        <is>
          <t>Expense</t>
        </is>
      </c>
      <c r="H2672" s="12" t="n">
        <v>46062</v>
      </c>
      <c r="I2672" s="13" t="n">
        <v>0.5072800925925925</v>
      </c>
      <c r="J2672" s="14" t="n">
        <v>46062.50728009259</v>
      </c>
      <c r="K2672" s="15" t="n">
        <v>12227.08</v>
      </c>
      <c r="L2672" s="4" t="inlineStr">
        <is>
          <t>INR</t>
        </is>
      </c>
      <c r="M2672" s="15" t="n">
        <v>-12227.08</v>
      </c>
      <c r="N2672" s="4" t="inlineStr">
        <is>
          <t>IOS Owner</t>
        </is>
      </c>
      <c r="O2672" s="4" t="n"/>
      <c r="P2672" s="4" t="n"/>
      <c r="Q2672" s="4" t="inlineStr">
        <is>
          <t>MAESTRO-IOS-PERSONAL-LIFESTYLE-2671 | Fitness | 12227.08</t>
        </is>
      </c>
      <c r="R2672" s="4" t="inlineStr">
        <is>
          <t>iPhone</t>
        </is>
      </c>
      <c r="S2672" s="4" t="inlineStr">
        <is>
          <t>B54</t>
        </is>
      </c>
      <c r="T2672" s="4" t="inlineStr">
        <is>
          <t>HIGH_2501_3000</t>
        </is>
      </c>
      <c r="U2672" s="4" t="inlineStr">
        <is>
          <t>CREATED</t>
        </is>
      </c>
      <c r="V2672" s="4" t="inlineStr">
        <is>
          <t>idem-20260902-ios-2671</t>
        </is>
      </c>
    </row>
    <row r="2673" ht="30" customHeight="1">
      <c r="A2673" s="4" t="n">
        <v>2672</v>
      </c>
      <c r="B2673" s="4" t="inlineStr">
        <is>
          <t>MTR-IOS-2672</t>
        </is>
      </c>
      <c r="C2673" s="4" t="inlineStr">
        <is>
          <t>Group</t>
        </is>
      </c>
      <c r="D2673" s="4" t="inlineStr">
        <is>
          <t>Shared Experience</t>
        </is>
      </c>
      <c r="E2673" s="4" t="inlineStr">
        <is>
          <t>House Party</t>
        </is>
      </c>
      <c r="F2673" s="4" t="inlineStr">
        <is>
          <t>Drinks</t>
        </is>
      </c>
      <c r="G2673" s="4" t="inlineStr">
        <is>
          <t>Expense</t>
        </is>
      </c>
      <c r="H2673" s="12" t="n">
        <v>46224</v>
      </c>
      <c r="I2673" s="13" t="n">
        <v>0.9880787037037037</v>
      </c>
      <c r="J2673" s="14" t="n">
        <v>46224.9880787037</v>
      </c>
      <c r="K2673" s="15" t="n">
        <v>17183.14</v>
      </c>
      <c r="L2673" s="4" t="inlineStr">
        <is>
          <t>INR</t>
        </is>
      </c>
      <c r="M2673" s="15" t="n">
        <v>-17183.14</v>
      </c>
      <c r="N2673" s="4" t="inlineStr">
        <is>
          <t>IOS Meera</t>
        </is>
      </c>
      <c r="O2673" s="4" t="n">
        <v>3</v>
      </c>
      <c r="P2673" s="4" t="inlineStr">
        <is>
          <t>EXACT</t>
        </is>
      </c>
      <c r="Q2673" s="4" t="inlineStr">
        <is>
          <t>MAESTRO-IOS-GROUP-HOUSE_PARTY-2672 | Drinks | 17183.14</t>
        </is>
      </c>
      <c r="R2673" s="4" t="inlineStr">
        <is>
          <t>iPhone</t>
        </is>
      </c>
      <c r="S2673" s="4" t="inlineStr">
        <is>
          <t>B54</t>
        </is>
      </c>
      <c r="T2673" s="4" t="inlineStr">
        <is>
          <t>HIGH_2501_3000</t>
        </is>
      </c>
      <c r="U2673" s="4" t="inlineStr">
        <is>
          <t>CREATED</t>
        </is>
      </c>
      <c r="V2673" s="4" t="inlineStr">
        <is>
          <t>idem-20260902-ios-2672</t>
        </is>
      </c>
    </row>
    <row r="2674" ht="30" customHeight="1">
      <c r="A2674" s="4" t="n">
        <v>2673</v>
      </c>
      <c r="B2674" s="4" t="inlineStr">
        <is>
          <t>MTR-IOS-2673</t>
        </is>
      </c>
      <c r="C2674" s="4" t="inlineStr">
        <is>
          <t>Business</t>
        </is>
      </c>
      <c r="D2674" s="4" t="inlineStr">
        <is>
          <t>Business</t>
        </is>
      </c>
      <c r="E2674" s="4" t="inlineStr">
        <is>
          <t>Business Runway</t>
        </is>
      </c>
      <c r="F2674" s="4" t="inlineStr">
        <is>
          <t>Revenue</t>
        </is>
      </c>
      <c r="G2674" s="4" t="inlineStr">
        <is>
          <t>Income</t>
        </is>
      </c>
      <c r="H2674" s="12" t="n">
        <v>45916</v>
      </c>
      <c r="I2674" s="13" t="n">
        <v>0.2090046296296296</v>
      </c>
      <c r="J2674" s="14" t="n">
        <v>45916.20900462963</v>
      </c>
      <c r="K2674" s="15" t="n">
        <v>145312.71</v>
      </c>
      <c r="L2674" s="4" t="inlineStr">
        <is>
          <t>INR</t>
        </is>
      </c>
      <c r="M2674" s="15" t="n">
        <v>145312.71</v>
      </c>
      <c r="N2674" s="4" t="inlineStr">
        <is>
          <t>IOS Owner</t>
        </is>
      </c>
      <c r="O2674" s="4" t="n"/>
      <c r="P2674" s="4" t="n"/>
      <c r="Q2674" s="4" t="inlineStr">
        <is>
          <t>MAESTRO-IOS-BUSINESS-BUSINESS_RUNWAY-2673 | Revenue | 145312.71</t>
        </is>
      </c>
      <c r="R2674" s="4" t="inlineStr">
        <is>
          <t>iPhone</t>
        </is>
      </c>
      <c r="S2674" s="4" t="inlineStr">
        <is>
          <t>B54</t>
        </is>
      </c>
      <c r="T2674" s="4" t="inlineStr">
        <is>
          <t>HIGH_2501_3000</t>
        </is>
      </c>
      <c r="U2674" s="4" t="inlineStr">
        <is>
          <t>CREATED</t>
        </is>
      </c>
      <c r="V2674" s="4" t="inlineStr">
        <is>
          <t>idem-20260902-ios-2673</t>
        </is>
      </c>
    </row>
    <row r="2675" ht="30" customHeight="1">
      <c r="A2675" s="4" t="n">
        <v>2674</v>
      </c>
      <c r="B2675" s="4" t="inlineStr">
        <is>
          <t>MTR-IOS-2674</t>
        </is>
      </c>
      <c r="C2675" s="4" t="inlineStr">
        <is>
          <t>Personal</t>
        </is>
      </c>
      <c r="D2675" s="4" t="inlineStr">
        <is>
          <t>Personal</t>
        </is>
      </c>
      <c r="E2675" s="4" t="inlineStr">
        <is>
          <t>Lifestyle</t>
        </is>
      </c>
      <c r="F2675" s="4" t="inlineStr">
        <is>
          <t>Hobbies</t>
        </is>
      </c>
      <c r="G2675" s="4" t="inlineStr">
        <is>
          <t>Expense</t>
        </is>
      </c>
      <c r="H2675" s="12" t="n">
        <v>45961</v>
      </c>
      <c r="I2675" s="13" t="n">
        <v>0.3751967592592593</v>
      </c>
      <c r="J2675" s="14" t="n">
        <v>45961.37519675926</v>
      </c>
      <c r="K2675" s="15" t="n">
        <v>10108.81</v>
      </c>
      <c r="L2675" s="4" t="inlineStr">
        <is>
          <t>INR</t>
        </is>
      </c>
      <c r="M2675" s="15" t="n">
        <v>-10108.81</v>
      </c>
      <c r="N2675" s="4" t="inlineStr">
        <is>
          <t>IOS Owner</t>
        </is>
      </c>
      <c r="O2675" s="4" t="n"/>
      <c r="P2675" s="4" t="n"/>
      <c r="Q2675" s="4" t="inlineStr">
        <is>
          <t>MAESTRO-IOS-PERSONAL-LIFESTYLE-2674 | Hobbies | 10108.81</t>
        </is>
      </c>
      <c r="R2675" s="4" t="inlineStr">
        <is>
          <t>iPhone</t>
        </is>
      </c>
      <c r="S2675" s="4" t="inlineStr">
        <is>
          <t>B54</t>
        </is>
      </c>
      <c r="T2675" s="4" t="inlineStr">
        <is>
          <t>HIGH_2501_3000</t>
        </is>
      </c>
      <c r="U2675" s="4" t="inlineStr">
        <is>
          <t>CREATED</t>
        </is>
      </c>
      <c r="V2675" s="4" t="inlineStr">
        <is>
          <t>idem-20260902-ios-2674</t>
        </is>
      </c>
    </row>
    <row r="2676" ht="30" customHeight="1">
      <c r="A2676" s="4" t="n">
        <v>2675</v>
      </c>
      <c r="B2676" s="4" t="inlineStr">
        <is>
          <t>MTR-IOS-2675</t>
        </is>
      </c>
      <c r="C2676" s="4" t="inlineStr">
        <is>
          <t>Group</t>
        </is>
      </c>
      <c r="D2676" s="4" t="inlineStr">
        <is>
          <t>Shared Experience</t>
        </is>
      </c>
      <c r="E2676" s="4" t="inlineStr">
        <is>
          <t>House Party</t>
        </is>
      </c>
      <c r="F2676" s="4" t="inlineStr">
        <is>
          <t>Decor</t>
        </is>
      </c>
      <c r="G2676" s="4" t="inlineStr">
        <is>
          <t>Expense</t>
        </is>
      </c>
      <c r="H2676" s="12" t="n">
        <v>46256</v>
      </c>
      <c r="I2676" s="13" t="n">
        <v>0.7469097222222222</v>
      </c>
      <c r="J2676" s="14" t="n">
        <v>46256.74690972222</v>
      </c>
      <c r="K2676" s="15" t="n">
        <v>5355.77</v>
      </c>
      <c r="L2676" s="4" t="inlineStr">
        <is>
          <t>INR</t>
        </is>
      </c>
      <c r="M2676" s="15" t="n">
        <v>-5355.77</v>
      </c>
      <c r="N2676" s="4" t="inlineStr">
        <is>
          <t>IOS Owner</t>
        </is>
      </c>
      <c r="O2676" s="4" t="n">
        <v>3</v>
      </c>
      <c r="P2676" s="4" t="inlineStr">
        <is>
          <t>SHARES</t>
        </is>
      </c>
      <c r="Q2676" s="4" t="inlineStr">
        <is>
          <t>MAESTRO-IOS-GROUP-HOUSE_PARTY-2675 | Decor | 5355.77</t>
        </is>
      </c>
      <c r="R2676" s="4" t="inlineStr">
        <is>
          <t>iPhone</t>
        </is>
      </c>
      <c r="S2676" s="4" t="inlineStr">
        <is>
          <t>B54</t>
        </is>
      </c>
      <c r="T2676" s="4" t="inlineStr">
        <is>
          <t>HIGH_2501_3000</t>
        </is>
      </c>
      <c r="U2676" s="4" t="inlineStr">
        <is>
          <t>CREATED</t>
        </is>
      </c>
      <c r="V2676" s="4" t="inlineStr">
        <is>
          <t>idem-20260902-ios-2675</t>
        </is>
      </c>
    </row>
    <row r="2677" ht="30" customHeight="1">
      <c r="A2677" s="4" t="n">
        <v>2676</v>
      </c>
      <c r="B2677" s="4" t="inlineStr">
        <is>
          <t>MTR-IOS-2676</t>
        </is>
      </c>
      <c r="C2677" s="4" t="inlineStr">
        <is>
          <t>Business</t>
        </is>
      </c>
      <c r="D2677" s="4" t="inlineStr">
        <is>
          <t>Business</t>
        </is>
      </c>
      <c r="E2677" s="4" t="inlineStr">
        <is>
          <t>Business Runway</t>
        </is>
      </c>
      <c r="F2677" s="4" t="inlineStr">
        <is>
          <t>Burn</t>
        </is>
      </c>
      <c r="G2677" s="4" t="inlineStr">
        <is>
          <t>Expense</t>
        </is>
      </c>
      <c r="H2677" s="12" t="n">
        <v>45915</v>
      </c>
      <c r="I2677" s="13" t="n">
        <v>0.6750115740740741</v>
      </c>
      <c r="J2677" s="14" t="n">
        <v>45915.67501157407</v>
      </c>
      <c r="K2677" s="15" t="n">
        <v>153603.37</v>
      </c>
      <c r="L2677" s="4" t="inlineStr">
        <is>
          <t>INR</t>
        </is>
      </c>
      <c r="M2677" s="15" t="n">
        <v>-153603.37</v>
      </c>
      <c r="N2677" s="4" t="inlineStr">
        <is>
          <t>IOS Owner</t>
        </is>
      </c>
      <c r="O2677" s="4" t="n"/>
      <c r="P2677" s="4" t="n"/>
      <c r="Q2677" s="4" t="inlineStr">
        <is>
          <t>MAESTRO-IOS-BUSINESS-BUSINESS_RUNWAY-2676 | Burn | 153603.37</t>
        </is>
      </c>
      <c r="R2677" s="4" t="inlineStr">
        <is>
          <t>iPhone</t>
        </is>
      </c>
      <c r="S2677" s="4" t="inlineStr">
        <is>
          <t>B54</t>
        </is>
      </c>
      <c r="T2677" s="4" t="inlineStr">
        <is>
          <t>HIGH_2501_3000</t>
        </is>
      </c>
      <c r="U2677" s="4" t="inlineStr">
        <is>
          <t>CREATED</t>
        </is>
      </c>
      <c r="V2677" s="4" t="inlineStr">
        <is>
          <t>idem-20260902-ios-2676</t>
        </is>
      </c>
    </row>
    <row r="2678" ht="30" customHeight="1">
      <c r="A2678" s="4" t="n">
        <v>2677</v>
      </c>
      <c r="B2678" s="4" t="inlineStr">
        <is>
          <t>MTR-IOS-2677</t>
        </is>
      </c>
      <c r="C2678" s="4" t="inlineStr">
        <is>
          <t>Personal</t>
        </is>
      </c>
      <c r="D2678" s="4" t="inlineStr">
        <is>
          <t>Personal</t>
        </is>
      </c>
      <c r="E2678" s="4" t="inlineStr">
        <is>
          <t>Relationships</t>
        </is>
      </c>
      <c r="F2678" s="4" t="inlineStr">
        <is>
          <t>Gifts</t>
        </is>
      </c>
      <c r="G2678" s="4" t="inlineStr">
        <is>
          <t>Expense</t>
        </is>
      </c>
      <c r="H2678" s="12" t="n">
        <v>46192</v>
      </c>
      <c r="I2678" s="13" t="n">
        <v>0.8571527777777778</v>
      </c>
      <c r="J2678" s="14" t="n">
        <v>46192.85715277777</v>
      </c>
      <c r="K2678" s="15" t="n">
        <v>6615.95</v>
      </c>
      <c r="L2678" s="4" t="inlineStr">
        <is>
          <t>INR</t>
        </is>
      </c>
      <c r="M2678" s="15" t="n">
        <v>-6615.95</v>
      </c>
      <c r="N2678" s="4" t="inlineStr">
        <is>
          <t>IOS Owner</t>
        </is>
      </c>
      <c r="O2678" s="4" t="n"/>
      <c r="P2678" s="4" t="n"/>
      <c r="Q2678" s="4" t="inlineStr">
        <is>
          <t>MAESTRO-IOS-PERSONAL-RELATIONSHIPS-2677 | Gifts | 6615.95</t>
        </is>
      </c>
      <c r="R2678" s="4" t="inlineStr">
        <is>
          <t>iPhone</t>
        </is>
      </c>
      <c r="S2678" s="4" t="inlineStr">
        <is>
          <t>B54</t>
        </is>
      </c>
      <c r="T2678" s="4" t="inlineStr">
        <is>
          <t>HIGH_2501_3000</t>
        </is>
      </c>
      <c r="U2678" s="4" t="inlineStr">
        <is>
          <t>CREATED</t>
        </is>
      </c>
      <c r="V2678" s="4" t="inlineStr">
        <is>
          <t>idem-20260902-ios-2677</t>
        </is>
      </c>
    </row>
    <row r="2679" ht="30" customHeight="1">
      <c r="A2679" s="4" t="n">
        <v>2678</v>
      </c>
      <c r="B2679" s="4" t="inlineStr">
        <is>
          <t>MTR-IOS-2678</t>
        </is>
      </c>
      <c r="C2679" s="4" t="inlineStr">
        <is>
          <t>Group</t>
        </is>
      </c>
      <c r="D2679" s="4" t="inlineStr">
        <is>
          <t>Shared Experience</t>
        </is>
      </c>
      <c r="E2679" s="4" t="inlineStr">
        <is>
          <t>House Party</t>
        </is>
      </c>
      <c r="F2679" s="4" t="inlineStr">
        <is>
          <t>Supplies</t>
        </is>
      </c>
      <c r="G2679" s="4" t="inlineStr">
        <is>
          <t>Expense</t>
        </is>
      </c>
      <c r="H2679" s="12" t="n">
        <v>46106</v>
      </c>
      <c r="I2679" s="13" t="n">
        <v>0.2471527777777778</v>
      </c>
      <c r="J2679" s="14" t="n">
        <v>46106.24715277777</v>
      </c>
      <c r="K2679" s="15" t="n">
        <v>1652.37</v>
      </c>
      <c r="L2679" s="4" t="inlineStr">
        <is>
          <t>INR</t>
        </is>
      </c>
      <c r="M2679" s="15" t="n">
        <v>-1652.37</v>
      </c>
      <c r="N2679" s="4" t="inlineStr">
        <is>
          <t>IOS Aarav</t>
        </is>
      </c>
      <c r="O2679" s="4" t="n">
        <v>3</v>
      </c>
      <c r="P2679" s="4" t="inlineStr">
        <is>
          <t>EQUAL</t>
        </is>
      </c>
      <c r="Q2679" s="4" t="inlineStr">
        <is>
          <t>MAESTRO-IOS-GROUP-HOUSE_PARTY-2678 | Supplies | 1652.37</t>
        </is>
      </c>
      <c r="R2679" s="4" t="inlineStr">
        <is>
          <t>iPhone</t>
        </is>
      </c>
      <c r="S2679" s="4" t="inlineStr">
        <is>
          <t>B54</t>
        </is>
      </c>
      <c r="T2679" s="4" t="inlineStr">
        <is>
          <t>HIGH_2501_3000</t>
        </is>
      </c>
      <c r="U2679" s="4" t="inlineStr">
        <is>
          <t>CREATED</t>
        </is>
      </c>
      <c r="V2679" s="4" t="inlineStr">
        <is>
          <t>idem-20260902-ios-2678</t>
        </is>
      </c>
    </row>
    <row r="2680" ht="30" customHeight="1">
      <c r="A2680" s="4" t="n">
        <v>2679</v>
      </c>
      <c r="B2680" s="4" t="inlineStr">
        <is>
          <t>MTR-IOS-2679</t>
        </is>
      </c>
      <c r="C2680" s="4" t="inlineStr">
        <is>
          <t>Business</t>
        </is>
      </c>
      <c r="D2680" s="4" t="inlineStr">
        <is>
          <t>Business</t>
        </is>
      </c>
      <c r="E2680" s="4" t="inlineStr">
        <is>
          <t>Business Runway</t>
        </is>
      </c>
      <c r="F2680" s="4" t="inlineStr">
        <is>
          <t>Reserve</t>
        </is>
      </c>
      <c r="G2680" s="4" t="inlineStr">
        <is>
          <t>Transfer</t>
        </is>
      </c>
      <c r="H2680" s="12" t="n">
        <v>46232</v>
      </c>
      <c r="I2680" s="13" t="n">
        <v>0.1201273148148148</v>
      </c>
      <c r="J2680" s="14" t="n">
        <v>46232.12012731482</v>
      </c>
      <c r="K2680" s="15" t="n">
        <v>58575.32</v>
      </c>
      <c r="L2680" s="4" t="inlineStr">
        <is>
          <t>INR</t>
        </is>
      </c>
      <c r="M2680" s="15" t="n">
        <v>0</v>
      </c>
      <c r="N2680" s="4" t="inlineStr">
        <is>
          <t>IOS Owner</t>
        </is>
      </c>
      <c r="O2680" s="4" t="n"/>
      <c r="P2680" s="4" t="n"/>
      <c r="Q2680" s="4" t="inlineStr">
        <is>
          <t>MAESTRO-IOS-BUSINESS-BUSINESS_RUNWAY-2679 | Reserve | 58575.32</t>
        </is>
      </c>
      <c r="R2680" s="4" t="inlineStr">
        <is>
          <t>iPhone</t>
        </is>
      </c>
      <c r="S2680" s="4" t="inlineStr">
        <is>
          <t>B54</t>
        </is>
      </c>
      <c r="T2680" s="4" t="inlineStr">
        <is>
          <t>HIGH_2501_3000</t>
        </is>
      </c>
      <c r="U2680" s="4" t="inlineStr">
        <is>
          <t>CREATED</t>
        </is>
      </c>
      <c r="V2680" s="4" t="inlineStr">
        <is>
          <t>idem-20260902-ios-2679</t>
        </is>
      </c>
    </row>
    <row r="2681" ht="30" customHeight="1">
      <c r="A2681" s="4" t="n">
        <v>2680</v>
      </c>
      <c r="B2681" s="4" t="inlineStr">
        <is>
          <t>MTR-IOS-2680</t>
        </is>
      </c>
      <c r="C2681" s="4" t="inlineStr">
        <is>
          <t>Personal</t>
        </is>
      </c>
      <c r="D2681" s="4" t="inlineStr">
        <is>
          <t>Personal</t>
        </is>
      </c>
      <c r="E2681" s="4" t="inlineStr">
        <is>
          <t>Relationships</t>
        </is>
      </c>
      <c r="F2681" s="4" t="inlineStr">
        <is>
          <t>Dates</t>
        </is>
      </c>
      <c r="G2681" s="4" t="inlineStr">
        <is>
          <t>Expense</t>
        </is>
      </c>
      <c r="H2681" s="12" t="n">
        <v>45911</v>
      </c>
      <c r="I2681" s="13" t="n">
        <v>0.1762731481481482</v>
      </c>
      <c r="J2681" s="14" t="n">
        <v>45911.17627314815</v>
      </c>
      <c r="K2681" s="15" t="n">
        <v>1072.63</v>
      </c>
      <c r="L2681" s="4" t="inlineStr">
        <is>
          <t>INR</t>
        </is>
      </c>
      <c r="M2681" s="15" t="n">
        <v>-1072.63</v>
      </c>
      <c r="N2681" s="4" t="inlineStr">
        <is>
          <t>IOS Owner</t>
        </is>
      </c>
      <c r="O2681" s="4" t="n"/>
      <c r="P2681" s="4" t="n"/>
      <c r="Q2681" s="4" t="inlineStr">
        <is>
          <t>MAESTRO-IOS-PERSONAL-RELATIONSHIPS-2680 | Dates | 1072.63</t>
        </is>
      </c>
      <c r="R2681" s="4" t="inlineStr">
        <is>
          <t>iPhone</t>
        </is>
      </c>
      <c r="S2681" s="4" t="inlineStr">
        <is>
          <t>B54</t>
        </is>
      </c>
      <c r="T2681" s="4" t="inlineStr">
        <is>
          <t>HIGH_2501_3000</t>
        </is>
      </c>
      <c r="U2681" s="4" t="inlineStr">
        <is>
          <t>CREATED</t>
        </is>
      </c>
      <c r="V2681" s="4" t="inlineStr">
        <is>
          <t>idem-20260902-ios-2680</t>
        </is>
      </c>
    </row>
    <row r="2682" ht="30" customHeight="1">
      <c r="A2682" s="4" t="n">
        <v>2681</v>
      </c>
      <c r="B2682" s="4" t="inlineStr">
        <is>
          <t>MTR-IOS-2681</t>
        </is>
      </c>
      <c r="C2682" s="4" t="inlineStr">
        <is>
          <t>Group</t>
        </is>
      </c>
      <c r="D2682" s="4" t="inlineStr">
        <is>
          <t>Shared Experience</t>
        </is>
      </c>
      <c r="E2682" s="4" t="inlineStr">
        <is>
          <t>House Party</t>
        </is>
      </c>
      <c r="F2682" s="4" t="inlineStr">
        <is>
          <t>Other</t>
        </is>
      </c>
      <c r="G2682" s="4" t="inlineStr">
        <is>
          <t>Expense</t>
        </is>
      </c>
      <c r="H2682" s="12" t="n">
        <v>46220</v>
      </c>
      <c r="I2682" s="13" t="n">
        <v>0.4670949074074074</v>
      </c>
      <c r="J2682" s="14" t="n">
        <v>46220.46709490741</v>
      </c>
      <c r="K2682" s="15" t="n">
        <v>26743</v>
      </c>
      <c r="L2682" s="4" t="inlineStr">
        <is>
          <t>INR</t>
        </is>
      </c>
      <c r="M2682" s="15" t="n">
        <v>-26743</v>
      </c>
      <c r="N2682" s="4" t="inlineStr">
        <is>
          <t>IOS Meera</t>
        </is>
      </c>
      <c r="O2682" s="4" t="n">
        <v>3</v>
      </c>
      <c r="P2682" s="4" t="inlineStr">
        <is>
          <t>PERCENTAGE</t>
        </is>
      </c>
      <c r="Q2682" s="4" t="inlineStr">
        <is>
          <t>MAESTRO-IOS-GROUP-HOUSE_PARTY-2681 | Other | 26743.00</t>
        </is>
      </c>
      <c r="R2682" s="4" t="inlineStr">
        <is>
          <t>iPhone</t>
        </is>
      </c>
      <c r="S2682" s="4" t="inlineStr">
        <is>
          <t>B54</t>
        </is>
      </c>
      <c r="T2682" s="4" t="inlineStr">
        <is>
          <t>HIGH_2501_3000</t>
        </is>
      </c>
      <c r="U2682" s="4" t="inlineStr">
        <is>
          <t>CREATED</t>
        </is>
      </c>
      <c r="V2682" s="4" t="inlineStr">
        <is>
          <t>idem-20260902-ios-2681</t>
        </is>
      </c>
    </row>
    <row r="2683" ht="30" customHeight="1">
      <c r="A2683" s="4" t="n">
        <v>2682</v>
      </c>
      <c r="B2683" s="4" t="inlineStr">
        <is>
          <t>MTR-IOS-2682</t>
        </is>
      </c>
      <c r="C2683" s="4" t="inlineStr">
        <is>
          <t>Business</t>
        </is>
      </c>
      <c r="D2683" s="4" t="inlineStr">
        <is>
          <t>Business</t>
        </is>
      </c>
      <c r="E2683" s="4" t="inlineStr">
        <is>
          <t>Business Runway</t>
        </is>
      </c>
      <c r="F2683" s="4" t="inlineStr">
        <is>
          <t>Loan</t>
        </is>
      </c>
      <c r="G2683" s="4" t="inlineStr">
        <is>
          <t>Income</t>
        </is>
      </c>
      <c r="H2683" s="12" t="n">
        <v>46102</v>
      </c>
      <c r="I2683" s="13" t="n">
        <v>0.7134259259259259</v>
      </c>
      <c r="J2683" s="14" t="n">
        <v>46102.71342592593</v>
      </c>
      <c r="K2683" s="15" t="n">
        <v>128576.72</v>
      </c>
      <c r="L2683" s="4" t="inlineStr">
        <is>
          <t>INR</t>
        </is>
      </c>
      <c r="M2683" s="15" t="n">
        <v>128576.72</v>
      </c>
      <c r="N2683" s="4" t="inlineStr">
        <is>
          <t>IOS Owner</t>
        </is>
      </c>
      <c r="O2683" s="4" t="n"/>
      <c r="P2683" s="4" t="n"/>
      <c r="Q2683" s="4" t="inlineStr">
        <is>
          <t>MAESTRO-IOS-BUSINESS-BUSINESS_RUNWAY-2682 | Loan | 128576.72</t>
        </is>
      </c>
      <c r="R2683" s="4" t="inlineStr">
        <is>
          <t>iPhone</t>
        </is>
      </c>
      <c r="S2683" s="4" t="inlineStr">
        <is>
          <t>B54</t>
        </is>
      </c>
      <c r="T2683" s="4" t="inlineStr">
        <is>
          <t>HIGH_2501_3000</t>
        </is>
      </c>
      <c r="U2683" s="4" t="inlineStr">
        <is>
          <t>CREATED</t>
        </is>
      </c>
      <c r="V2683" s="4" t="inlineStr">
        <is>
          <t>idem-20260902-ios-2682</t>
        </is>
      </c>
    </row>
    <row r="2684" ht="30" customHeight="1">
      <c r="A2684" s="4" t="n">
        <v>2683</v>
      </c>
      <c r="B2684" s="4" t="inlineStr">
        <is>
          <t>MTR-IOS-2683</t>
        </is>
      </c>
      <c r="C2684" s="4" t="inlineStr">
        <is>
          <t>Personal</t>
        </is>
      </c>
      <c r="D2684" s="4" t="inlineStr">
        <is>
          <t>Personal</t>
        </is>
      </c>
      <c r="E2684" s="4" t="inlineStr">
        <is>
          <t>Relationships</t>
        </is>
      </c>
      <c r="F2684" s="4" t="inlineStr">
        <is>
          <t>Family</t>
        </is>
      </c>
      <c r="G2684" s="4" t="inlineStr">
        <is>
          <t>Expense</t>
        </is>
      </c>
      <c r="H2684" s="12" t="n">
        <v>46093</v>
      </c>
      <c r="I2684" s="13" t="n">
        <v>0.7677083333333333</v>
      </c>
      <c r="J2684" s="14" t="n">
        <v>46093.76770833333</v>
      </c>
      <c r="K2684" s="15" t="n">
        <v>8344.440000000001</v>
      </c>
      <c r="L2684" s="4" t="inlineStr">
        <is>
          <t>INR</t>
        </is>
      </c>
      <c r="M2684" s="15" t="n">
        <v>-8344.440000000001</v>
      </c>
      <c r="N2684" s="4" t="inlineStr">
        <is>
          <t>IOS Owner</t>
        </is>
      </c>
      <c r="O2684" s="4" t="n"/>
      <c r="P2684" s="4" t="n"/>
      <c r="Q2684" s="4" t="inlineStr">
        <is>
          <t>MAESTRO-IOS-PERSONAL-RELATIONSHIPS-2683 | Family | 8344.44</t>
        </is>
      </c>
      <c r="R2684" s="4" t="inlineStr">
        <is>
          <t>iPhone</t>
        </is>
      </c>
      <c r="S2684" s="4" t="inlineStr">
        <is>
          <t>B54</t>
        </is>
      </c>
      <c r="T2684" s="4" t="inlineStr">
        <is>
          <t>HIGH_2501_3000</t>
        </is>
      </c>
      <c r="U2684" s="4" t="inlineStr">
        <is>
          <t>CREATED</t>
        </is>
      </c>
      <c r="V2684" s="4" t="inlineStr">
        <is>
          <t>idem-20260902-ios-2683</t>
        </is>
      </c>
    </row>
    <row r="2685" ht="30" customHeight="1">
      <c r="A2685" s="4" t="n">
        <v>2684</v>
      </c>
      <c r="B2685" s="4" t="inlineStr">
        <is>
          <t>MTR-IOS-2684</t>
        </is>
      </c>
      <c r="C2685" s="4" t="inlineStr">
        <is>
          <t>Group</t>
        </is>
      </c>
      <c r="D2685" s="4" t="inlineStr">
        <is>
          <t>Shared Purchase</t>
        </is>
      </c>
      <c r="E2685" s="4" t="inlineStr">
        <is>
          <t>Gift Pool</t>
        </is>
      </c>
      <c r="F2685" s="4" t="inlineStr">
        <is>
          <t>Contribution</t>
        </is>
      </c>
      <c r="G2685" s="4" t="inlineStr">
        <is>
          <t>Contribution</t>
        </is>
      </c>
      <c r="H2685" s="12" t="n">
        <v>46217</v>
      </c>
      <c r="I2685" s="13" t="n">
        <v>0.4501967592592593</v>
      </c>
      <c r="J2685" s="14" t="n">
        <v>46217.45019675926</v>
      </c>
      <c r="K2685" s="15" t="n">
        <v>8610.059999999999</v>
      </c>
      <c r="L2685" s="4" t="inlineStr">
        <is>
          <t>INR</t>
        </is>
      </c>
      <c r="M2685" s="15" t="n">
        <v>8610.059999999999</v>
      </c>
      <c r="N2685" s="4" t="inlineStr">
        <is>
          <t>IOS Owner</t>
        </is>
      </c>
      <c r="O2685" s="4" t="n">
        <v>3</v>
      </c>
      <c r="P2685" s="4" t="inlineStr">
        <is>
          <t>EXACT</t>
        </is>
      </c>
      <c r="Q2685" s="4" t="inlineStr">
        <is>
          <t>MAESTRO-IOS-GROUP-GIFT_POOL-2684 | Contribution | 8610.06</t>
        </is>
      </c>
      <c r="R2685" s="4" t="inlineStr">
        <is>
          <t>iPhone</t>
        </is>
      </c>
      <c r="S2685" s="4" t="inlineStr">
        <is>
          <t>B54</t>
        </is>
      </c>
      <c r="T2685" s="4" t="inlineStr">
        <is>
          <t>HIGH_2501_3000</t>
        </is>
      </c>
      <c r="U2685" s="4" t="inlineStr">
        <is>
          <t>CREATED</t>
        </is>
      </c>
      <c r="V2685" s="4" t="inlineStr">
        <is>
          <t>idem-20260902-ios-2684</t>
        </is>
      </c>
    </row>
    <row r="2686" ht="30" customHeight="1">
      <c r="A2686" s="4" t="n">
        <v>2685</v>
      </c>
      <c r="B2686" s="4" t="inlineStr">
        <is>
          <t>MTR-IOS-2685</t>
        </is>
      </c>
      <c r="C2686" s="4" t="inlineStr">
        <is>
          <t>Business</t>
        </is>
      </c>
      <c r="D2686" s="4" t="inlineStr">
        <is>
          <t>Business</t>
        </is>
      </c>
      <c r="E2686" s="4" t="inlineStr">
        <is>
          <t>Business Runway</t>
        </is>
      </c>
      <c r="F2686" s="4" t="inlineStr">
        <is>
          <t>Investment</t>
        </is>
      </c>
      <c r="G2686" s="4" t="inlineStr">
        <is>
          <t>Income</t>
        </is>
      </c>
      <c r="H2686" s="12" t="n">
        <v>46179</v>
      </c>
      <c r="I2686" s="13" t="n">
        <v>0.07607638888888889</v>
      </c>
      <c r="J2686" s="14" t="n">
        <v>46179.07607638889</v>
      </c>
      <c r="K2686" s="15" t="n">
        <v>147344.83</v>
      </c>
      <c r="L2686" s="4" t="inlineStr">
        <is>
          <t>INR</t>
        </is>
      </c>
      <c r="M2686" s="15" t="n">
        <v>147344.83</v>
      </c>
      <c r="N2686" s="4" t="inlineStr">
        <is>
          <t>IOS Owner</t>
        </is>
      </c>
      <c r="O2686" s="4" t="n"/>
      <c r="P2686" s="4" t="n"/>
      <c r="Q2686" s="4" t="inlineStr">
        <is>
          <t>MAESTRO-IOS-BUSINESS-BUSINESS_RUNWAY-2685 | Investment | 147344.83</t>
        </is>
      </c>
      <c r="R2686" s="4" t="inlineStr">
        <is>
          <t>iPhone</t>
        </is>
      </c>
      <c r="S2686" s="4" t="inlineStr">
        <is>
          <t>B54</t>
        </is>
      </c>
      <c r="T2686" s="4" t="inlineStr">
        <is>
          <t>HIGH_2501_3000</t>
        </is>
      </c>
      <c r="U2686" s="4" t="inlineStr">
        <is>
          <t>CREATED</t>
        </is>
      </c>
      <c r="V2686" s="4" t="inlineStr">
        <is>
          <t>idem-20260902-ios-2685</t>
        </is>
      </c>
    </row>
    <row r="2687" ht="30" customHeight="1">
      <c r="A2687" s="4" t="n">
        <v>2686</v>
      </c>
      <c r="B2687" s="4" t="inlineStr">
        <is>
          <t>MTR-IOS-2686</t>
        </is>
      </c>
      <c r="C2687" s="4" t="inlineStr">
        <is>
          <t>Personal</t>
        </is>
      </c>
      <c r="D2687" s="4" t="inlineStr">
        <is>
          <t>Personal</t>
        </is>
      </c>
      <c r="E2687" s="4" t="inlineStr">
        <is>
          <t>Relationships</t>
        </is>
      </c>
      <c r="F2687" s="4" t="inlineStr">
        <is>
          <t>Friends</t>
        </is>
      </c>
      <c r="G2687" s="4" t="inlineStr">
        <is>
          <t>Expense</t>
        </is>
      </c>
      <c r="H2687" s="12" t="n">
        <v>45934</v>
      </c>
      <c r="I2687" s="13" t="n">
        <v>0.008530092592592593</v>
      </c>
      <c r="J2687" s="14" t="n">
        <v>45934.00853009259</v>
      </c>
      <c r="K2687" s="15" t="n">
        <v>1852.75</v>
      </c>
      <c r="L2687" s="4" t="inlineStr">
        <is>
          <t>INR</t>
        </is>
      </c>
      <c r="M2687" s="15" t="n">
        <v>-1852.75</v>
      </c>
      <c r="N2687" s="4" t="inlineStr">
        <is>
          <t>IOS Owner</t>
        </is>
      </c>
      <c r="O2687" s="4" t="n"/>
      <c r="P2687" s="4" t="n"/>
      <c r="Q2687" s="4" t="inlineStr">
        <is>
          <t>MAESTRO-IOS-PERSONAL-RELATIONSHIPS-2686 | Friends | 1852.75</t>
        </is>
      </c>
      <c r="R2687" s="4" t="inlineStr">
        <is>
          <t>iPhone</t>
        </is>
      </c>
      <c r="S2687" s="4" t="inlineStr">
        <is>
          <t>B54</t>
        </is>
      </c>
      <c r="T2687" s="4" t="inlineStr">
        <is>
          <t>HIGH_2501_3000</t>
        </is>
      </c>
      <c r="U2687" s="4" t="inlineStr">
        <is>
          <t>CREATED</t>
        </is>
      </c>
      <c r="V2687" s="4" t="inlineStr">
        <is>
          <t>idem-20260902-ios-2686</t>
        </is>
      </c>
    </row>
    <row r="2688" ht="30" customHeight="1">
      <c r="A2688" s="4" t="n">
        <v>2687</v>
      </c>
      <c r="B2688" s="4" t="inlineStr">
        <is>
          <t>MTR-IOS-2687</t>
        </is>
      </c>
      <c r="C2688" s="4" t="inlineStr">
        <is>
          <t>Group</t>
        </is>
      </c>
      <c r="D2688" s="4" t="inlineStr">
        <is>
          <t>Shared Purchase</t>
        </is>
      </c>
      <c r="E2688" s="4" t="inlineStr">
        <is>
          <t>Gift Pool</t>
        </is>
      </c>
      <c r="F2688" s="4" t="inlineStr">
        <is>
          <t>Gift Purchase</t>
        </is>
      </c>
      <c r="G2688" s="4" t="inlineStr">
        <is>
          <t>Expense</t>
        </is>
      </c>
      <c r="H2688" s="12" t="n">
        <v>46217</v>
      </c>
      <c r="I2688" s="13" t="n">
        <v>0.6393981481481481</v>
      </c>
      <c r="J2688" s="14" t="n">
        <v>46217.63939814815</v>
      </c>
      <c r="K2688" s="15" t="n">
        <v>1870.25</v>
      </c>
      <c r="L2688" s="4" t="inlineStr">
        <is>
          <t>INR</t>
        </is>
      </c>
      <c r="M2688" s="15" t="n">
        <v>-1870.25</v>
      </c>
      <c r="N2688" s="4" t="inlineStr">
        <is>
          <t>IOS Aarav</t>
        </is>
      </c>
      <c r="O2688" s="4" t="n">
        <v>3</v>
      </c>
      <c r="P2688" s="4" t="inlineStr">
        <is>
          <t>SHARES</t>
        </is>
      </c>
      <c r="Q2688" s="4" t="inlineStr">
        <is>
          <t>MAESTRO-IOS-GROUP-GIFT_POOL-2687 | Gift Purchase | 1870.25</t>
        </is>
      </c>
      <c r="R2688" s="4" t="inlineStr">
        <is>
          <t>iPhone</t>
        </is>
      </c>
      <c r="S2688" s="4" t="inlineStr">
        <is>
          <t>B54</t>
        </is>
      </c>
      <c r="T2688" s="4" t="inlineStr">
        <is>
          <t>HIGH_2501_3000</t>
        </is>
      </c>
      <c r="U2688" s="4" t="inlineStr">
        <is>
          <t>CREATED</t>
        </is>
      </c>
      <c r="V2688" s="4" t="inlineStr">
        <is>
          <t>idem-20260902-ios-2687</t>
        </is>
      </c>
    </row>
    <row r="2689" ht="30" customHeight="1">
      <c r="A2689" s="4" t="n">
        <v>2688</v>
      </c>
      <c r="B2689" s="4" t="inlineStr">
        <is>
          <t>MTR-IOS-2688</t>
        </is>
      </c>
      <c r="C2689" s="4" t="inlineStr">
        <is>
          <t>Business</t>
        </is>
      </c>
      <c r="D2689" s="4" t="inlineStr">
        <is>
          <t>Business</t>
        </is>
      </c>
      <c r="E2689" s="4" t="inlineStr">
        <is>
          <t>Business Operations</t>
        </is>
      </c>
      <c r="F2689" s="4" t="inlineStr">
        <is>
          <t>Software</t>
        </is>
      </c>
      <c r="G2689" s="4" t="inlineStr">
        <is>
          <t>Expense</t>
        </is>
      </c>
      <c r="H2689" s="12" t="n">
        <v>46015</v>
      </c>
      <c r="I2689" s="13" t="n">
        <v>0.2209837962962963</v>
      </c>
      <c r="J2689" s="14" t="n">
        <v>46015.22098379629</v>
      </c>
      <c r="K2689" s="15" t="n">
        <v>89119.28</v>
      </c>
      <c r="L2689" s="4" t="inlineStr">
        <is>
          <t>INR</t>
        </is>
      </c>
      <c r="M2689" s="15" t="n">
        <v>-89119.28</v>
      </c>
      <c r="N2689" s="4" t="inlineStr">
        <is>
          <t>IOS Owner</t>
        </is>
      </c>
      <c r="O2689" s="4" t="n"/>
      <c r="P2689" s="4" t="n"/>
      <c r="Q2689" s="4" t="inlineStr">
        <is>
          <t>MAESTRO-IOS-BUSINESS-BUSINESS_OPERATIONS-2688 | Software | 89119.28</t>
        </is>
      </c>
      <c r="R2689" s="4" t="inlineStr">
        <is>
          <t>iPhone</t>
        </is>
      </c>
      <c r="S2689" s="4" t="inlineStr">
        <is>
          <t>B54</t>
        </is>
      </c>
      <c r="T2689" s="4" t="inlineStr">
        <is>
          <t>HIGH_2501_3000</t>
        </is>
      </c>
      <c r="U2689" s="4" t="inlineStr">
        <is>
          <t>CREATED</t>
        </is>
      </c>
      <c r="V2689" s="4" t="inlineStr">
        <is>
          <t>idem-20260902-ios-2688</t>
        </is>
      </c>
    </row>
    <row r="2690" ht="30" customHeight="1">
      <c r="A2690" s="4" t="n">
        <v>2689</v>
      </c>
      <c r="B2690" s="4" t="inlineStr">
        <is>
          <t>MTR-IOS-2689</t>
        </is>
      </c>
      <c r="C2690" s="4" t="inlineStr">
        <is>
          <t>Personal</t>
        </is>
      </c>
      <c r="D2690" s="4" t="inlineStr">
        <is>
          <t>Personal</t>
        </is>
      </c>
      <c r="E2690" s="4" t="inlineStr">
        <is>
          <t>Relationships</t>
        </is>
      </c>
      <c r="F2690" s="4" t="inlineStr">
        <is>
          <t>Celebrations</t>
        </is>
      </c>
      <c r="G2690" s="4" t="inlineStr">
        <is>
          <t>Expense</t>
        </is>
      </c>
      <c r="H2690" s="12" t="n">
        <v>46178</v>
      </c>
      <c r="I2690" s="13" t="n">
        <v>0.7912847222222222</v>
      </c>
      <c r="J2690" s="14" t="n">
        <v>46178.79128472223</v>
      </c>
      <c r="K2690" s="15" t="n">
        <v>15881.65</v>
      </c>
      <c r="L2690" s="4" t="inlineStr">
        <is>
          <t>INR</t>
        </is>
      </c>
      <c r="M2690" s="15" t="n">
        <v>-15881.65</v>
      </c>
      <c r="N2690" s="4" t="inlineStr">
        <is>
          <t>IOS Owner</t>
        </is>
      </c>
      <c r="O2690" s="4" t="n"/>
      <c r="P2690" s="4" t="n"/>
      <c r="Q2690" s="4" t="inlineStr">
        <is>
          <t>MAESTRO-IOS-PERSONAL-RELATIONSHIPS-2689 | Celebrations | 15881.65</t>
        </is>
      </c>
      <c r="R2690" s="4" t="inlineStr">
        <is>
          <t>iPhone</t>
        </is>
      </c>
      <c r="S2690" s="4" t="inlineStr">
        <is>
          <t>B54</t>
        </is>
      </c>
      <c r="T2690" s="4" t="inlineStr">
        <is>
          <t>HIGH_2501_3000</t>
        </is>
      </c>
      <c r="U2690" s="4" t="inlineStr">
        <is>
          <t>CREATED</t>
        </is>
      </c>
      <c r="V2690" s="4" t="inlineStr">
        <is>
          <t>idem-20260902-ios-2689</t>
        </is>
      </c>
    </row>
    <row r="2691" ht="30" customHeight="1">
      <c r="A2691" s="4" t="n">
        <v>2690</v>
      </c>
      <c r="B2691" s="4" t="inlineStr">
        <is>
          <t>MTR-IOS-2690</t>
        </is>
      </c>
      <c r="C2691" s="4" t="inlineStr">
        <is>
          <t>Group</t>
        </is>
      </c>
      <c r="D2691" s="4" t="inlineStr">
        <is>
          <t>Shared Purchase</t>
        </is>
      </c>
      <c r="E2691" s="4" t="inlineStr">
        <is>
          <t>Gift Pool</t>
        </is>
      </c>
      <c r="F2691" s="4" t="inlineStr">
        <is>
          <t>Delivery</t>
        </is>
      </c>
      <c r="G2691" s="4" t="inlineStr">
        <is>
          <t>Expense</t>
        </is>
      </c>
      <c r="H2691" s="12" t="n">
        <v>46078</v>
      </c>
      <c r="I2691" s="13" t="n">
        <v>0.1676041666666667</v>
      </c>
      <c r="J2691" s="14" t="n">
        <v>46078.16760416667</v>
      </c>
      <c r="K2691" s="15" t="n">
        <v>12958.68</v>
      </c>
      <c r="L2691" s="4" t="inlineStr">
        <is>
          <t>INR</t>
        </is>
      </c>
      <c r="M2691" s="15" t="n">
        <v>-12958.68</v>
      </c>
      <c r="N2691" s="4" t="inlineStr">
        <is>
          <t>IOS Meera</t>
        </is>
      </c>
      <c r="O2691" s="4" t="n">
        <v>3</v>
      </c>
      <c r="P2691" s="4" t="inlineStr">
        <is>
          <t>EQUAL</t>
        </is>
      </c>
      <c r="Q2691" s="4" t="inlineStr">
        <is>
          <t>MAESTRO-IOS-GROUP-GIFT_POOL-2690 | Delivery | 12958.68</t>
        </is>
      </c>
      <c r="R2691" s="4" t="inlineStr">
        <is>
          <t>iPhone</t>
        </is>
      </c>
      <c r="S2691" s="4" t="inlineStr">
        <is>
          <t>B54</t>
        </is>
      </c>
      <c r="T2691" s="4" t="inlineStr">
        <is>
          <t>HIGH_2501_3000</t>
        </is>
      </c>
      <c r="U2691" s="4" t="inlineStr">
        <is>
          <t>CREATED</t>
        </is>
      </c>
      <c r="V2691" s="4" t="inlineStr">
        <is>
          <t>idem-20260902-ios-2690</t>
        </is>
      </c>
    </row>
    <row r="2692" ht="30" customHeight="1">
      <c r="A2692" s="4" t="n">
        <v>2691</v>
      </c>
      <c r="B2692" s="4" t="inlineStr">
        <is>
          <t>MTR-IOS-2691</t>
        </is>
      </c>
      <c r="C2692" s="4" t="inlineStr">
        <is>
          <t>Business</t>
        </is>
      </c>
      <c r="D2692" s="4" t="inlineStr">
        <is>
          <t>Business</t>
        </is>
      </c>
      <c r="E2692" s="4" t="inlineStr">
        <is>
          <t>Business Operations</t>
        </is>
      </c>
      <c r="F2692" s="4" t="inlineStr">
        <is>
          <t>Rent</t>
        </is>
      </c>
      <c r="G2692" s="4" t="inlineStr">
        <is>
          <t>Expense</t>
        </is>
      </c>
      <c r="H2692" s="12" t="n">
        <v>46020</v>
      </c>
      <c r="I2692" s="13" t="n">
        <v>0.6609490740740741</v>
      </c>
      <c r="J2692" s="14" t="n">
        <v>46020.66094907407</v>
      </c>
      <c r="K2692" s="15" t="n">
        <v>10425.93</v>
      </c>
      <c r="L2692" s="4" t="inlineStr">
        <is>
          <t>INR</t>
        </is>
      </c>
      <c r="M2692" s="15" t="n">
        <v>-10425.93</v>
      </c>
      <c r="N2692" s="4" t="inlineStr">
        <is>
          <t>IOS Owner</t>
        </is>
      </c>
      <c r="O2692" s="4" t="n"/>
      <c r="P2692" s="4" t="n"/>
      <c r="Q2692" s="4" t="inlineStr">
        <is>
          <t>MAESTRO-IOS-BUSINESS-BUSINESS_OPERATIONS-2691 | Rent | 10425.93</t>
        </is>
      </c>
      <c r="R2692" s="4" t="inlineStr">
        <is>
          <t>iPhone</t>
        </is>
      </c>
      <c r="S2692" s="4" t="inlineStr">
        <is>
          <t>B54</t>
        </is>
      </c>
      <c r="T2692" s="4" t="inlineStr">
        <is>
          <t>HIGH_2501_3000</t>
        </is>
      </c>
      <c r="U2692" s="4" t="inlineStr">
        <is>
          <t>CREATED</t>
        </is>
      </c>
      <c r="V2692" s="4" t="inlineStr">
        <is>
          <t>idem-20260902-ios-2691</t>
        </is>
      </c>
    </row>
    <row r="2693" ht="30" customHeight="1">
      <c r="A2693" s="4" t="n">
        <v>2692</v>
      </c>
      <c r="B2693" s="4" t="inlineStr">
        <is>
          <t>MTR-IOS-2692</t>
        </is>
      </c>
      <c r="C2693" s="4" t="inlineStr">
        <is>
          <t>Personal</t>
        </is>
      </c>
      <c r="D2693" s="4" t="inlineStr">
        <is>
          <t>Personal</t>
        </is>
      </c>
      <c r="E2693" s="4" t="inlineStr">
        <is>
          <t>Life Operations</t>
        </is>
      </c>
      <c r="F2693" s="4" t="inlineStr">
        <is>
          <t>Groceries</t>
        </is>
      </c>
      <c r="G2693" s="4" t="inlineStr">
        <is>
          <t>Expense</t>
        </is>
      </c>
      <c r="H2693" s="12" t="n">
        <v>45930</v>
      </c>
      <c r="I2693" s="13" t="n">
        <v>0.400462962962963</v>
      </c>
      <c r="J2693" s="14" t="n">
        <v>45930.40046296296</v>
      </c>
      <c r="K2693" s="15" t="n">
        <v>13826.87</v>
      </c>
      <c r="L2693" s="4" t="inlineStr">
        <is>
          <t>INR</t>
        </is>
      </c>
      <c r="M2693" s="15" t="n">
        <v>-13826.87</v>
      </c>
      <c r="N2693" s="4" t="inlineStr">
        <is>
          <t>IOS Owner</t>
        </is>
      </c>
      <c r="O2693" s="4" t="n"/>
      <c r="P2693" s="4" t="n"/>
      <c r="Q2693" s="4" t="inlineStr">
        <is>
          <t>MAESTRO-IOS-PERSONAL-LIFE_OPERATIONS-2692 | Groceries | 13826.87</t>
        </is>
      </c>
      <c r="R2693" s="4" t="inlineStr">
        <is>
          <t>iPhone</t>
        </is>
      </c>
      <c r="S2693" s="4" t="inlineStr">
        <is>
          <t>B54</t>
        </is>
      </c>
      <c r="T2693" s="4" t="inlineStr">
        <is>
          <t>HIGH_2501_3000</t>
        </is>
      </c>
      <c r="U2693" s="4" t="inlineStr">
        <is>
          <t>CREATED</t>
        </is>
      </c>
      <c r="V2693" s="4" t="inlineStr">
        <is>
          <t>idem-20260902-ios-2692</t>
        </is>
      </c>
    </row>
    <row r="2694" ht="30" customHeight="1">
      <c r="A2694" s="4" t="n">
        <v>2693</v>
      </c>
      <c r="B2694" s="4" t="inlineStr">
        <is>
          <t>MTR-IOS-2693</t>
        </is>
      </c>
      <c r="C2694" s="4" t="inlineStr">
        <is>
          <t>Group</t>
        </is>
      </c>
      <c r="D2694" s="4" t="inlineStr">
        <is>
          <t>Shared Purchase</t>
        </is>
      </c>
      <c r="E2694" s="4" t="inlineStr">
        <is>
          <t>Gift Pool</t>
        </is>
      </c>
      <c r="F2694" s="4" t="inlineStr">
        <is>
          <t>Other</t>
        </is>
      </c>
      <c r="G2694" s="4" t="inlineStr">
        <is>
          <t>Expense</t>
        </is>
      </c>
      <c r="H2694" s="12" t="n">
        <v>46077</v>
      </c>
      <c r="I2694" s="13" t="n">
        <v>0.4575115740740741</v>
      </c>
      <c r="J2694" s="14" t="n">
        <v>46077.45751157407</v>
      </c>
      <c r="K2694" s="15" t="n">
        <v>12568.28</v>
      </c>
      <c r="L2694" s="4" t="inlineStr">
        <is>
          <t>INR</t>
        </is>
      </c>
      <c r="M2694" s="15" t="n">
        <v>-12568.28</v>
      </c>
      <c r="N2694" s="4" t="inlineStr">
        <is>
          <t>IOS Owner</t>
        </is>
      </c>
      <c r="O2694" s="4" t="n">
        <v>3</v>
      </c>
      <c r="P2694" s="4" t="inlineStr">
        <is>
          <t>PERCENTAGE</t>
        </is>
      </c>
      <c r="Q2694" s="4" t="inlineStr">
        <is>
          <t>MAESTRO-IOS-GROUP-GIFT_POOL-2693 | Other | 12568.28</t>
        </is>
      </c>
      <c r="R2694" s="4" t="inlineStr">
        <is>
          <t>iPhone</t>
        </is>
      </c>
      <c r="S2694" s="4" t="inlineStr">
        <is>
          <t>B54</t>
        </is>
      </c>
      <c r="T2694" s="4" t="inlineStr">
        <is>
          <t>HIGH_2501_3000</t>
        </is>
      </c>
      <c r="U2694" s="4" t="inlineStr">
        <is>
          <t>CREATED</t>
        </is>
      </c>
      <c r="V2694" s="4" t="inlineStr">
        <is>
          <t>idem-20260902-ios-2693</t>
        </is>
      </c>
    </row>
    <row r="2695" ht="30" customHeight="1">
      <c r="A2695" s="4" t="n">
        <v>2694</v>
      </c>
      <c r="B2695" s="4" t="inlineStr">
        <is>
          <t>MTR-IOS-2694</t>
        </is>
      </c>
      <c r="C2695" s="4" t="inlineStr">
        <is>
          <t>Business</t>
        </is>
      </c>
      <c r="D2695" s="4" t="inlineStr">
        <is>
          <t>Business</t>
        </is>
      </c>
      <c r="E2695" s="4" t="inlineStr">
        <is>
          <t>Business Operations</t>
        </is>
      </c>
      <c r="F2695" s="4" t="inlineStr">
        <is>
          <t>Marketing</t>
        </is>
      </c>
      <c r="G2695" s="4" t="inlineStr">
        <is>
          <t>Expense</t>
        </is>
      </c>
      <c r="H2695" s="12" t="n">
        <v>45961</v>
      </c>
      <c r="I2695" s="13" t="n">
        <v>0.6459027777777778</v>
      </c>
      <c r="J2695" s="14" t="n">
        <v>45961.64590277777</v>
      </c>
      <c r="K2695" s="15" t="n">
        <v>57041.72</v>
      </c>
      <c r="L2695" s="4" t="inlineStr">
        <is>
          <t>INR</t>
        </is>
      </c>
      <c r="M2695" s="15" t="n">
        <v>-57041.72</v>
      </c>
      <c r="N2695" s="4" t="inlineStr">
        <is>
          <t>IOS Owner</t>
        </is>
      </c>
      <c r="O2695" s="4" t="n"/>
      <c r="P2695" s="4" t="n"/>
      <c r="Q2695" s="4" t="inlineStr">
        <is>
          <t>MAESTRO-IOS-BUSINESS-BUSINESS_OPERATIONS-2694 | Marketing | 57041.72</t>
        </is>
      </c>
      <c r="R2695" s="4" t="inlineStr">
        <is>
          <t>iPhone</t>
        </is>
      </c>
      <c r="S2695" s="4" t="inlineStr">
        <is>
          <t>B54</t>
        </is>
      </c>
      <c r="T2695" s="4" t="inlineStr">
        <is>
          <t>HIGH_2501_3000</t>
        </is>
      </c>
      <c r="U2695" s="4" t="inlineStr">
        <is>
          <t>CREATED</t>
        </is>
      </c>
      <c r="V2695" s="4" t="inlineStr">
        <is>
          <t>idem-20260902-ios-2694</t>
        </is>
      </c>
    </row>
    <row r="2696" ht="30" customHeight="1">
      <c r="A2696" s="4" t="n">
        <v>2695</v>
      </c>
      <c r="B2696" s="4" t="inlineStr">
        <is>
          <t>MTR-IOS-2695</t>
        </is>
      </c>
      <c r="C2696" s="4" t="inlineStr">
        <is>
          <t>Personal</t>
        </is>
      </c>
      <c r="D2696" s="4" t="inlineStr">
        <is>
          <t>Personal</t>
        </is>
      </c>
      <c r="E2696" s="4" t="inlineStr">
        <is>
          <t>Life Operations</t>
        </is>
      </c>
      <c r="F2696" s="4" t="inlineStr">
        <is>
          <t>Rent</t>
        </is>
      </c>
      <c r="G2696" s="4" t="inlineStr">
        <is>
          <t>Expense</t>
        </is>
      </c>
      <c r="H2696" s="12" t="n">
        <v>46199</v>
      </c>
      <c r="I2696" s="13" t="n">
        <v>0.02280092592592593</v>
      </c>
      <c r="J2696" s="14" t="n">
        <v>46199.02280092592</v>
      </c>
      <c r="K2696" s="15" t="n">
        <v>4386.84</v>
      </c>
      <c r="L2696" s="4" t="inlineStr">
        <is>
          <t>INR</t>
        </is>
      </c>
      <c r="M2696" s="15" t="n">
        <v>-4386.84</v>
      </c>
      <c r="N2696" s="4" t="inlineStr">
        <is>
          <t>IOS Owner</t>
        </is>
      </c>
      <c r="O2696" s="4" t="n"/>
      <c r="P2696" s="4" t="n"/>
      <c r="Q2696" s="4" t="inlineStr">
        <is>
          <t>MAESTRO-IOS-PERSONAL-LIFE_OPERATIONS-2695 | Rent | 4386.84</t>
        </is>
      </c>
      <c r="R2696" s="4" t="inlineStr">
        <is>
          <t>iPhone</t>
        </is>
      </c>
      <c r="S2696" s="4" t="inlineStr">
        <is>
          <t>B54</t>
        </is>
      </c>
      <c r="T2696" s="4" t="inlineStr">
        <is>
          <t>HIGH_2501_3000</t>
        </is>
      </c>
      <c r="U2696" s="4" t="inlineStr">
        <is>
          <t>CREATED</t>
        </is>
      </c>
      <c r="V2696" s="4" t="inlineStr">
        <is>
          <t>idem-20260902-ios-2695</t>
        </is>
      </c>
    </row>
    <row r="2697" ht="30" customHeight="1">
      <c r="A2697" s="4" t="n">
        <v>2696</v>
      </c>
      <c r="B2697" s="4" t="inlineStr">
        <is>
          <t>MTR-IOS-2696</t>
        </is>
      </c>
      <c r="C2697" s="4" t="inlineStr">
        <is>
          <t>Group</t>
        </is>
      </c>
      <c r="D2697" s="4" t="inlineStr">
        <is>
          <t>Shared Purchase</t>
        </is>
      </c>
      <c r="E2697" s="4" t="inlineStr">
        <is>
          <t>Purchase</t>
        </is>
      </c>
      <c r="F2697" s="4" t="inlineStr">
        <is>
          <t>Item</t>
        </is>
      </c>
      <c r="G2697" s="4" t="inlineStr">
        <is>
          <t>Expense</t>
        </is>
      </c>
      <c r="H2697" s="12" t="n">
        <v>46158</v>
      </c>
      <c r="I2697" s="13" t="n">
        <v>0.2610069444444444</v>
      </c>
      <c r="J2697" s="14" t="n">
        <v>46158.26100694444</v>
      </c>
      <c r="K2697" s="15" t="n">
        <v>1197.57</v>
      </c>
      <c r="L2697" s="4" t="inlineStr">
        <is>
          <t>INR</t>
        </is>
      </c>
      <c r="M2697" s="15" t="n">
        <v>-1197.57</v>
      </c>
      <c r="N2697" s="4" t="inlineStr">
        <is>
          <t>IOS Aarav</t>
        </is>
      </c>
      <c r="O2697" s="4" t="n">
        <v>3</v>
      </c>
      <c r="P2697" s="4" t="inlineStr">
        <is>
          <t>EXACT</t>
        </is>
      </c>
      <c r="Q2697" s="4" t="inlineStr">
        <is>
          <t>MAESTRO-IOS-GROUP-PURCHASE-2696 | Item | 1197.57</t>
        </is>
      </c>
      <c r="R2697" s="4" t="inlineStr">
        <is>
          <t>iPhone</t>
        </is>
      </c>
      <c r="S2697" s="4" t="inlineStr">
        <is>
          <t>B54</t>
        </is>
      </c>
      <c r="T2697" s="4" t="inlineStr">
        <is>
          <t>HIGH_2501_3000</t>
        </is>
      </c>
      <c r="U2697" s="4" t="inlineStr">
        <is>
          <t>CREATED</t>
        </is>
      </c>
      <c r="V2697" s="4" t="inlineStr">
        <is>
          <t>idem-20260902-ios-2696</t>
        </is>
      </c>
    </row>
    <row r="2698" ht="30" customHeight="1">
      <c r="A2698" s="4" t="n">
        <v>2697</v>
      </c>
      <c r="B2698" s="4" t="inlineStr">
        <is>
          <t>MTR-IOS-2697</t>
        </is>
      </c>
      <c r="C2698" s="4" t="inlineStr">
        <is>
          <t>Business</t>
        </is>
      </c>
      <c r="D2698" s="4" t="inlineStr">
        <is>
          <t>Business</t>
        </is>
      </c>
      <c r="E2698" s="4" t="inlineStr">
        <is>
          <t>Business Operations</t>
        </is>
      </c>
      <c r="F2698" s="4" t="inlineStr">
        <is>
          <t>Legal</t>
        </is>
      </c>
      <c r="G2698" s="4" t="inlineStr">
        <is>
          <t>Expense</t>
        </is>
      </c>
      <c r="H2698" s="12" t="n">
        <v>46071</v>
      </c>
      <c r="I2698" s="13" t="n">
        <v>0.3586226851851852</v>
      </c>
      <c r="J2698" s="14" t="n">
        <v>46071.35862268518</v>
      </c>
      <c r="K2698" s="15" t="n">
        <v>7397.77</v>
      </c>
      <c r="L2698" s="4" t="inlineStr">
        <is>
          <t>INR</t>
        </is>
      </c>
      <c r="M2698" s="15" t="n">
        <v>-7397.77</v>
      </c>
      <c r="N2698" s="4" t="inlineStr">
        <is>
          <t>IOS Owner</t>
        </is>
      </c>
      <c r="O2698" s="4" t="n"/>
      <c r="P2698" s="4" t="n"/>
      <c r="Q2698" s="4" t="inlineStr">
        <is>
          <t>MAESTRO-IOS-BUSINESS-BUSINESS_OPERATIONS-2697 | Legal | 7397.77</t>
        </is>
      </c>
      <c r="R2698" s="4" t="inlineStr">
        <is>
          <t>iPhone</t>
        </is>
      </c>
      <c r="S2698" s="4" t="inlineStr">
        <is>
          <t>B54</t>
        </is>
      </c>
      <c r="T2698" s="4" t="inlineStr">
        <is>
          <t>HIGH_2501_3000</t>
        </is>
      </c>
      <c r="U2698" s="4" t="inlineStr">
        <is>
          <t>CREATED</t>
        </is>
      </c>
      <c r="V2698" s="4" t="inlineStr">
        <is>
          <t>idem-20260902-ios-2697</t>
        </is>
      </c>
    </row>
    <row r="2699" ht="30" customHeight="1">
      <c r="A2699" s="4" t="n">
        <v>2698</v>
      </c>
      <c r="B2699" s="4" t="inlineStr">
        <is>
          <t>MTR-IOS-2698</t>
        </is>
      </c>
      <c r="C2699" s="4" t="inlineStr">
        <is>
          <t>Personal</t>
        </is>
      </c>
      <c r="D2699" s="4" t="inlineStr">
        <is>
          <t>Personal</t>
        </is>
      </c>
      <c r="E2699" s="4" t="inlineStr">
        <is>
          <t>Life Operations</t>
        </is>
      </c>
      <c r="F2699" s="4" t="inlineStr">
        <is>
          <t>Bills</t>
        </is>
      </c>
      <c r="G2699" s="4" t="inlineStr">
        <is>
          <t>Expense</t>
        </is>
      </c>
      <c r="H2699" s="12" t="n">
        <v>46092</v>
      </c>
      <c r="I2699" s="13" t="n">
        <v>0.372025462962963</v>
      </c>
      <c r="J2699" s="14" t="n">
        <v>46092.37202546297</v>
      </c>
      <c r="K2699" s="15" t="n">
        <v>7431.42</v>
      </c>
      <c r="L2699" s="4" t="inlineStr">
        <is>
          <t>INR</t>
        </is>
      </c>
      <c r="M2699" s="15" t="n">
        <v>-7431.42</v>
      </c>
      <c r="N2699" s="4" t="inlineStr">
        <is>
          <t>IOS Owner</t>
        </is>
      </c>
      <c r="O2699" s="4" t="n"/>
      <c r="P2699" s="4" t="n"/>
      <c r="Q2699" s="4" t="inlineStr">
        <is>
          <t>MAESTRO-IOS-PERSONAL-LIFE_OPERATIONS-2698 | Bills | 7431.42</t>
        </is>
      </c>
      <c r="R2699" s="4" t="inlineStr">
        <is>
          <t>iPhone</t>
        </is>
      </c>
      <c r="S2699" s="4" t="inlineStr">
        <is>
          <t>B54</t>
        </is>
      </c>
      <c r="T2699" s="4" t="inlineStr">
        <is>
          <t>HIGH_2501_3000</t>
        </is>
      </c>
      <c r="U2699" s="4" t="inlineStr">
        <is>
          <t>CREATED</t>
        </is>
      </c>
      <c r="V2699" s="4" t="inlineStr">
        <is>
          <t>idem-20260902-ios-2698</t>
        </is>
      </c>
    </row>
    <row r="2700" ht="30" customHeight="1">
      <c r="A2700" s="4" t="n">
        <v>2699</v>
      </c>
      <c r="B2700" s="4" t="inlineStr">
        <is>
          <t>MTR-IOS-2699</t>
        </is>
      </c>
      <c r="C2700" s="4" t="inlineStr">
        <is>
          <t>Group</t>
        </is>
      </c>
      <c r="D2700" s="4" t="inlineStr">
        <is>
          <t>Shared Purchase</t>
        </is>
      </c>
      <c r="E2700" s="4" t="inlineStr">
        <is>
          <t>Purchase</t>
        </is>
      </c>
      <c r="F2700" s="4" t="inlineStr">
        <is>
          <t>Shipping</t>
        </is>
      </c>
      <c r="G2700" s="4" t="inlineStr">
        <is>
          <t>Expense</t>
        </is>
      </c>
      <c r="H2700" s="12" t="n">
        <v>46150</v>
      </c>
      <c r="I2700" s="13" t="n">
        <v>0.5983333333333334</v>
      </c>
      <c r="J2700" s="14" t="n">
        <v>46150.59833333334</v>
      </c>
      <c r="K2700" s="15" t="n">
        <v>21905.58</v>
      </c>
      <c r="L2700" s="4" t="inlineStr">
        <is>
          <t>INR</t>
        </is>
      </c>
      <c r="M2700" s="15" t="n">
        <v>-21905.58</v>
      </c>
      <c r="N2700" s="4" t="inlineStr">
        <is>
          <t>IOS Meera</t>
        </is>
      </c>
      <c r="O2700" s="4" t="n">
        <v>3</v>
      </c>
      <c r="P2700" s="4" t="inlineStr">
        <is>
          <t>SHARES</t>
        </is>
      </c>
      <c r="Q2700" s="4" t="inlineStr">
        <is>
          <t>MAESTRO-IOS-GROUP-PURCHASE-2699 | Shipping | 21905.58</t>
        </is>
      </c>
      <c r="R2700" s="4" t="inlineStr">
        <is>
          <t>iPhone</t>
        </is>
      </c>
      <c r="S2700" s="4" t="inlineStr">
        <is>
          <t>B54</t>
        </is>
      </c>
      <c r="T2700" s="4" t="inlineStr">
        <is>
          <t>HIGH_2501_3000</t>
        </is>
      </c>
      <c r="U2700" s="4" t="inlineStr">
        <is>
          <t>CREATED</t>
        </is>
      </c>
      <c r="V2700" s="4" t="inlineStr">
        <is>
          <t>idem-20260902-ios-2699</t>
        </is>
      </c>
    </row>
    <row r="2701" ht="30" customHeight="1">
      <c r="A2701" s="4" t="n">
        <v>2700</v>
      </c>
      <c r="B2701" s="4" t="inlineStr">
        <is>
          <t>MTR-IOS-2700</t>
        </is>
      </c>
      <c r="C2701" s="4" t="inlineStr">
        <is>
          <t>Business</t>
        </is>
      </c>
      <c r="D2701" s="4" t="inlineStr">
        <is>
          <t>Business</t>
        </is>
      </c>
      <c r="E2701" s="4" t="inlineStr">
        <is>
          <t>Business Operations</t>
        </is>
      </c>
      <c r="F2701" s="4" t="inlineStr">
        <is>
          <t>Accounting</t>
        </is>
      </c>
      <c r="G2701" s="4" t="inlineStr">
        <is>
          <t>Expense</t>
        </is>
      </c>
      <c r="H2701" s="12" t="n">
        <v>46059</v>
      </c>
      <c r="I2701" s="13" t="n">
        <v>0.4474768518518519</v>
      </c>
      <c r="J2701" s="14" t="n">
        <v>46059.44747685185</v>
      </c>
      <c r="K2701" s="15" t="n">
        <v>34900.26</v>
      </c>
      <c r="L2701" s="4" t="inlineStr">
        <is>
          <t>INR</t>
        </is>
      </c>
      <c r="M2701" s="15" t="n">
        <v>-34900.26</v>
      </c>
      <c r="N2701" s="4" t="inlineStr">
        <is>
          <t>IOS Owner</t>
        </is>
      </c>
      <c r="O2701" s="4" t="n"/>
      <c r="P2701" s="4" t="n"/>
      <c r="Q2701" s="4" t="inlineStr">
        <is>
          <t>MAESTRO-IOS-BUSINESS-BUSINESS_OPERATIONS-2700 | Accounting | 34900.26</t>
        </is>
      </c>
      <c r="R2701" s="4" t="inlineStr">
        <is>
          <t>iPhone</t>
        </is>
      </c>
      <c r="S2701" s="4" t="inlineStr">
        <is>
          <t>B54</t>
        </is>
      </c>
      <c r="T2701" s="4" t="inlineStr">
        <is>
          <t>HIGH_2501_3000</t>
        </is>
      </c>
      <c r="U2701" s="4" t="inlineStr">
        <is>
          <t>CREATED</t>
        </is>
      </c>
      <c r="V2701" s="4" t="inlineStr">
        <is>
          <t>idem-20260902-ios-2700</t>
        </is>
      </c>
    </row>
    <row r="2702" ht="30" customHeight="1">
      <c r="A2702" s="4" t="n">
        <v>2701</v>
      </c>
      <c r="B2702" s="4" t="inlineStr">
        <is>
          <t>MTR-IOS-2701</t>
        </is>
      </c>
      <c r="C2702" s="4" t="inlineStr">
        <is>
          <t>Personal</t>
        </is>
      </c>
      <c r="D2702" s="4" t="inlineStr">
        <is>
          <t>Personal</t>
        </is>
      </c>
      <c r="E2702" s="4" t="inlineStr">
        <is>
          <t>Life Operations</t>
        </is>
      </c>
      <c r="F2702" s="4" t="inlineStr">
        <is>
          <t>Transport</t>
        </is>
      </c>
      <c r="G2702" s="4" t="inlineStr">
        <is>
          <t>Expense</t>
        </is>
      </c>
      <c r="H2702" s="12" t="n">
        <v>46051</v>
      </c>
      <c r="I2702" s="13" t="n">
        <v>0.7844097222222223</v>
      </c>
      <c r="J2702" s="14" t="n">
        <v>46051.78440972222</v>
      </c>
      <c r="K2702" s="15" t="n">
        <v>1</v>
      </c>
      <c r="L2702" s="4" t="inlineStr">
        <is>
          <t>INR</t>
        </is>
      </c>
      <c r="M2702" s="15" t="n">
        <v>-1</v>
      </c>
      <c r="N2702" s="4" t="inlineStr">
        <is>
          <t>IOS Owner</t>
        </is>
      </c>
      <c r="O2702" s="4" t="n"/>
      <c r="P2702" s="4" t="n"/>
      <c r="Q2702" s="4" t="inlineStr">
        <is>
          <t>MAESTRO-IOS-PERSONAL-LIFE_OPERATIONS-2701 | Transport | 1.00</t>
        </is>
      </c>
      <c r="R2702" s="4" t="inlineStr">
        <is>
          <t>iPhone</t>
        </is>
      </c>
      <c r="S2702" s="4" t="inlineStr">
        <is>
          <t>B55</t>
        </is>
      </c>
      <c r="T2702" s="4" t="inlineStr">
        <is>
          <t>HIGH_2501_3000</t>
        </is>
      </c>
      <c r="U2702" s="4" t="inlineStr">
        <is>
          <t>CREATED</t>
        </is>
      </c>
      <c r="V2702" s="4" t="inlineStr">
        <is>
          <t>idem-20260902-ios-2701</t>
        </is>
      </c>
    </row>
    <row r="2703" ht="30" customHeight="1">
      <c r="A2703" s="4" t="n">
        <v>2702</v>
      </c>
      <c r="B2703" s="4" t="inlineStr">
        <is>
          <t>MTR-IOS-2702</t>
        </is>
      </c>
      <c r="C2703" s="4" t="inlineStr">
        <is>
          <t>Group</t>
        </is>
      </c>
      <c r="D2703" s="4" t="inlineStr">
        <is>
          <t>Shared Purchase</t>
        </is>
      </c>
      <c r="E2703" s="4" t="inlineStr">
        <is>
          <t>Purchase</t>
        </is>
      </c>
      <c r="F2703" s="4" t="inlineStr">
        <is>
          <t>Tax</t>
        </is>
      </c>
      <c r="G2703" s="4" t="inlineStr">
        <is>
          <t>Expense</t>
        </is>
      </c>
      <c r="H2703" s="12" t="n">
        <v>46047</v>
      </c>
      <c r="I2703" s="13" t="n">
        <v>0.06925925925925926</v>
      </c>
      <c r="J2703" s="14" t="n">
        <v>46047.06925925926</v>
      </c>
      <c r="K2703" s="15" t="n">
        <v>23431.49</v>
      </c>
      <c r="L2703" s="4" t="inlineStr">
        <is>
          <t>INR</t>
        </is>
      </c>
      <c r="M2703" s="15" t="n">
        <v>-23431.49</v>
      </c>
      <c r="N2703" s="4" t="inlineStr">
        <is>
          <t>IOS Owner</t>
        </is>
      </c>
      <c r="O2703" s="4" t="n">
        <v>3</v>
      </c>
      <c r="P2703" s="4" t="inlineStr">
        <is>
          <t>EQUAL</t>
        </is>
      </c>
      <c r="Q2703" s="4" t="inlineStr">
        <is>
          <t>MAESTRO-IOS-GROUP-PURCHASE-2702 | Tax | 23431.49</t>
        </is>
      </c>
      <c r="R2703" s="4" t="inlineStr">
        <is>
          <t>iPhone</t>
        </is>
      </c>
      <c r="S2703" s="4" t="inlineStr">
        <is>
          <t>B55</t>
        </is>
      </c>
      <c r="T2703" s="4" t="inlineStr">
        <is>
          <t>HIGH_2501_3000</t>
        </is>
      </c>
      <c r="U2703" s="4" t="inlineStr">
        <is>
          <t>CREATED</t>
        </is>
      </c>
      <c r="V2703" s="4" t="inlineStr">
        <is>
          <t>idem-20260902-ios-2702</t>
        </is>
      </c>
    </row>
    <row r="2704" ht="30" customHeight="1">
      <c r="A2704" s="4" t="n">
        <v>2703</v>
      </c>
      <c r="B2704" s="4" t="inlineStr">
        <is>
          <t>MTR-IOS-2703</t>
        </is>
      </c>
      <c r="C2704" s="4" t="inlineStr">
        <is>
          <t>Business</t>
        </is>
      </c>
      <c r="D2704" s="4" t="inlineStr">
        <is>
          <t>Business</t>
        </is>
      </c>
      <c r="E2704" s="4" t="inlineStr">
        <is>
          <t>Business Operations</t>
        </is>
      </c>
      <c r="F2704" s="4" t="inlineStr">
        <is>
          <t>Equipment</t>
        </is>
      </c>
      <c r="G2704" s="4" t="inlineStr">
        <is>
          <t>Expense</t>
        </is>
      </c>
      <c r="H2704" s="12" t="n">
        <v>46239</v>
      </c>
      <c r="I2704" s="13" t="n">
        <v>0.4904976851851852</v>
      </c>
      <c r="J2704" s="14" t="n">
        <v>46239.49049768518</v>
      </c>
      <c r="K2704" s="15" t="n">
        <v>66170.33</v>
      </c>
      <c r="L2704" s="4" t="inlineStr">
        <is>
          <t>INR</t>
        </is>
      </c>
      <c r="M2704" s="15" t="n">
        <v>-66170.33</v>
      </c>
      <c r="N2704" s="4" t="inlineStr">
        <is>
          <t>IOS Owner</t>
        </is>
      </c>
      <c r="O2704" s="4" t="n"/>
      <c r="P2704" s="4" t="n"/>
      <c r="Q2704" s="4" t="inlineStr">
        <is>
          <t>MAESTRO-IOS-BUSINESS-BUSINESS_OPERATIONS-2703 | Equipment | 66170.33</t>
        </is>
      </c>
      <c r="R2704" s="4" t="inlineStr">
        <is>
          <t>iPhone</t>
        </is>
      </c>
      <c r="S2704" s="4" t="inlineStr">
        <is>
          <t>B55</t>
        </is>
      </c>
      <c r="T2704" s="4" t="inlineStr">
        <is>
          <t>HIGH_2501_3000</t>
        </is>
      </c>
      <c r="U2704" s="4" t="inlineStr">
        <is>
          <t>CREATED</t>
        </is>
      </c>
      <c r="V2704" s="4" t="inlineStr">
        <is>
          <t>idem-20260902-ios-2703</t>
        </is>
      </c>
    </row>
    <row r="2705" ht="30" customHeight="1">
      <c r="A2705" s="4" t="n">
        <v>2704</v>
      </c>
      <c r="B2705" s="4" t="inlineStr">
        <is>
          <t>MTR-IOS-2704</t>
        </is>
      </c>
      <c r="C2705" s="4" t="inlineStr">
        <is>
          <t>Personal</t>
        </is>
      </c>
      <c r="D2705" s="4" t="inlineStr">
        <is>
          <t>Personal</t>
        </is>
      </c>
      <c r="E2705" s="4" t="inlineStr">
        <is>
          <t>Life Operations</t>
        </is>
      </c>
      <c r="F2705" s="4" t="inlineStr">
        <is>
          <t>Healthcare</t>
        </is>
      </c>
      <c r="G2705" s="4" t="inlineStr">
        <is>
          <t>Expense</t>
        </is>
      </c>
      <c r="H2705" s="12" t="n">
        <v>46120</v>
      </c>
      <c r="I2705" s="13" t="n">
        <v>0.2886111111111111</v>
      </c>
      <c r="J2705" s="14" t="n">
        <v>46120.28861111111</v>
      </c>
      <c r="K2705" s="15" t="n">
        <v>8784.02</v>
      </c>
      <c r="L2705" s="4" t="inlineStr">
        <is>
          <t>INR</t>
        </is>
      </c>
      <c r="M2705" s="15" t="n">
        <v>-8784.02</v>
      </c>
      <c r="N2705" s="4" t="inlineStr">
        <is>
          <t>IOS Owner</t>
        </is>
      </c>
      <c r="O2705" s="4" t="n"/>
      <c r="P2705" s="4" t="n"/>
      <c r="Q2705" s="4" t="inlineStr">
        <is>
          <t>MAESTRO-IOS-PERSONAL-LIFE_OPERATIONS-2704 | Healthcare | 8784.02</t>
        </is>
      </c>
      <c r="R2705" s="4" t="inlineStr">
        <is>
          <t>iPhone</t>
        </is>
      </c>
      <c r="S2705" s="4" t="inlineStr">
        <is>
          <t>B55</t>
        </is>
      </c>
      <c r="T2705" s="4" t="inlineStr">
        <is>
          <t>HIGH_2501_3000</t>
        </is>
      </c>
      <c r="U2705" s="4" t="inlineStr">
        <is>
          <t>CREATED</t>
        </is>
      </c>
      <c r="V2705" s="4" t="inlineStr">
        <is>
          <t>idem-20260902-ios-2704</t>
        </is>
      </c>
    </row>
    <row r="2706" ht="30" customHeight="1">
      <c r="A2706" s="4" t="n">
        <v>2705</v>
      </c>
      <c r="B2706" s="4" t="inlineStr">
        <is>
          <t>MTR-IOS-2705</t>
        </is>
      </c>
      <c r="C2706" s="4" t="inlineStr">
        <is>
          <t>Group</t>
        </is>
      </c>
      <c r="D2706" s="4" t="inlineStr">
        <is>
          <t>Shared Purchase</t>
        </is>
      </c>
      <c r="E2706" s="4" t="inlineStr">
        <is>
          <t>Purchase</t>
        </is>
      </c>
      <c r="F2706" s="4" t="inlineStr">
        <is>
          <t>Other</t>
        </is>
      </c>
      <c r="G2706" s="4" t="inlineStr">
        <is>
          <t>Expense</t>
        </is>
      </c>
      <c r="H2706" s="12" t="n">
        <v>46233</v>
      </c>
      <c r="I2706" s="13" t="n">
        <v>0.3758333333333334</v>
      </c>
      <c r="J2706" s="14" t="n">
        <v>46233.37583333333</v>
      </c>
      <c r="K2706" s="15" t="n">
        <v>23253.88</v>
      </c>
      <c r="L2706" s="4" t="inlineStr">
        <is>
          <t>INR</t>
        </is>
      </c>
      <c r="M2706" s="15" t="n">
        <v>-23253.88</v>
      </c>
      <c r="N2706" s="4" t="inlineStr">
        <is>
          <t>IOS Aarav</t>
        </is>
      </c>
      <c r="O2706" s="4" t="n">
        <v>3</v>
      </c>
      <c r="P2706" s="4" t="inlineStr">
        <is>
          <t>PERCENTAGE</t>
        </is>
      </c>
      <c r="Q2706" s="4" t="inlineStr">
        <is>
          <t>MAESTRO-IOS-GROUP-PURCHASE-2705 | Other | 23253.88</t>
        </is>
      </c>
      <c r="R2706" s="4" t="inlineStr">
        <is>
          <t>iPhone</t>
        </is>
      </c>
      <c r="S2706" s="4" t="inlineStr">
        <is>
          <t>B55</t>
        </is>
      </c>
      <c r="T2706" s="4" t="inlineStr">
        <is>
          <t>HIGH_2501_3000</t>
        </is>
      </c>
      <c r="U2706" s="4" t="inlineStr">
        <is>
          <t>CREATED</t>
        </is>
      </c>
      <c r="V2706" s="4" t="inlineStr">
        <is>
          <t>idem-20260902-ios-2705</t>
        </is>
      </c>
    </row>
    <row r="2707" ht="30" customHeight="1">
      <c r="A2707" s="4" t="n">
        <v>2706</v>
      </c>
      <c r="B2707" s="4" t="inlineStr">
        <is>
          <t>MTR-IOS-2706</t>
        </is>
      </c>
      <c r="C2707" s="4" t="inlineStr">
        <is>
          <t>Business</t>
        </is>
      </c>
      <c r="D2707" s="4" t="inlineStr">
        <is>
          <t>Business</t>
        </is>
      </c>
      <c r="E2707" s="4" t="inlineStr">
        <is>
          <t>Business Operations</t>
        </is>
      </c>
      <c r="F2707" s="4" t="inlineStr">
        <is>
          <t>Vendor</t>
        </is>
      </c>
      <c r="G2707" s="4" t="inlineStr">
        <is>
          <t>Expense</t>
        </is>
      </c>
      <c r="H2707" s="12" t="n">
        <v>45989</v>
      </c>
      <c r="I2707" s="13" t="n">
        <v>0.3274652777777778</v>
      </c>
      <c r="J2707" s="14" t="n">
        <v>45989.32746527778</v>
      </c>
      <c r="K2707" s="15" t="n">
        <v>28014.84</v>
      </c>
      <c r="L2707" s="4" t="inlineStr">
        <is>
          <t>INR</t>
        </is>
      </c>
      <c r="M2707" s="15" t="n">
        <v>-28014.84</v>
      </c>
      <c r="N2707" s="4" t="inlineStr">
        <is>
          <t>IOS Owner</t>
        </is>
      </c>
      <c r="O2707" s="4" t="n"/>
      <c r="P2707" s="4" t="n"/>
      <c r="Q2707" s="4" t="inlineStr">
        <is>
          <t>MAESTRO-IOS-BUSINESS-BUSINESS_OPERATIONS-2706 | Vendor | 28014.84</t>
        </is>
      </c>
      <c r="R2707" s="4" t="inlineStr">
        <is>
          <t>iPhone</t>
        </is>
      </c>
      <c r="S2707" s="4" t="inlineStr">
        <is>
          <t>B55</t>
        </is>
      </c>
      <c r="T2707" s="4" t="inlineStr">
        <is>
          <t>HIGH_2501_3000</t>
        </is>
      </c>
      <c r="U2707" s="4" t="inlineStr">
        <is>
          <t>CREATED</t>
        </is>
      </c>
      <c r="V2707" s="4" t="inlineStr">
        <is>
          <t>idem-20260902-ios-2706</t>
        </is>
      </c>
    </row>
    <row r="2708" ht="30" customHeight="1">
      <c r="A2708" s="4" t="n">
        <v>2707</v>
      </c>
      <c r="B2708" s="4" t="inlineStr">
        <is>
          <t>MTR-IOS-2707</t>
        </is>
      </c>
      <c r="C2708" s="4" t="inlineStr">
        <is>
          <t>Personal</t>
        </is>
      </c>
      <c r="D2708" s="4" t="inlineStr">
        <is>
          <t>Personal</t>
        </is>
      </c>
      <c r="E2708" s="4" t="inlineStr">
        <is>
          <t>Life Operations</t>
        </is>
      </c>
      <c r="F2708" s="4" t="inlineStr">
        <is>
          <t>Subscriptions</t>
        </is>
      </c>
      <c r="G2708" s="4" t="inlineStr">
        <is>
          <t>Expense</t>
        </is>
      </c>
      <c r="H2708" s="12" t="n">
        <v>46024</v>
      </c>
      <c r="I2708" s="13" t="n">
        <v>0.139375</v>
      </c>
      <c r="J2708" s="14" t="n">
        <v>46024.139375</v>
      </c>
      <c r="K2708" s="15" t="n">
        <v>5189.3</v>
      </c>
      <c r="L2708" s="4" t="inlineStr">
        <is>
          <t>INR</t>
        </is>
      </c>
      <c r="M2708" s="15" t="n">
        <v>-5189.3</v>
      </c>
      <c r="N2708" s="4" t="inlineStr">
        <is>
          <t>IOS Owner</t>
        </is>
      </c>
      <c r="O2708" s="4" t="n"/>
      <c r="P2708" s="4" t="n"/>
      <c r="Q2708" s="4" t="inlineStr">
        <is>
          <t>MAESTRO-IOS-PERSONAL-LIFE_OPERATIONS-2707 | Subscriptions | 5189.30</t>
        </is>
      </c>
      <c r="R2708" s="4" t="inlineStr">
        <is>
          <t>iPhone</t>
        </is>
      </c>
      <c r="S2708" s="4" t="inlineStr">
        <is>
          <t>B55</t>
        </is>
      </c>
      <c r="T2708" s="4" t="inlineStr">
        <is>
          <t>HIGH_2501_3000</t>
        </is>
      </c>
      <c r="U2708" s="4" t="inlineStr">
        <is>
          <t>CREATED</t>
        </is>
      </c>
      <c r="V2708" s="4" t="inlineStr">
        <is>
          <t>idem-20260902-ios-2707</t>
        </is>
      </c>
    </row>
    <row r="2709" ht="30" customHeight="1">
      <c r="A2709" s="4" t="n">
        <v>2708</v>
      </c>
      <c r="B2709" s="4" t="inlineStr">
        <is>
          <t>MTR-IOS-2708</t>
        </is>
      </c>
      <c r="C2709" s="4" t="inlineStr">
        <is>
          <t>Group</t>
        </is>
      </c>
      <c r="D2709" s="4" t="inlineStr">
        <is>
          <t>Shared Purchase</t>
        </is>
      </c>
      <c r="E2709" s="4" t="inlineStr">
        <is>
          <t>Assets</t>
        </is>
      </c>
      <c r="F2709" s="4" t="inlineStr">
        <is>
          <t>Purchase</t>
        </is>
      </c>
      <c r="G2709" s="4" t="inlineStr">
        <is>
          <t>Expense</t>
        </is>
      </c>
      <c r="H2709" s="12" t="n">
        <v>46070</v>
      </c>
      <c r="I2709" s="13" t="n">
        <v>0.09513888888888888</v>
      </c>
      <c r="J2709" s="14" t="n">
        <v>46070.09513888889</v>
      </c>
      <c r="K2709" s="15" t="n">
        <v>3576.41</v>
      </c>
      <c r="L2709" s="4" t="inlineStr">
        <is>
          <t>INR</t>
        </is>
      </c>
      <c r="M2709" s="15" t="n">
        <v>-3576.41</v>
      </c>
      <c r="N2709" s="4" t="inlineStr">
        <is>
          <t>IOS Meera</t>
        </is>
      </c>
      <c r="O2709" s="4" t="n">
        <v>3</v>
      </c>
      <c r="P2709" s="4" t="inlineStr">
        <is>
          <t>EXACT</t>
        </is>
      </c>
      <c r="Q2709" s="4" t="inlineStr">
        <is>
          <t>MAESTRO-IOS-GROUP-ASSETS-2708 | Purchase | 3576.41</t>
        </is>
      </c>
      <c r="R2709" s="4" t="inlineStr">
        <is>
          <t>iPhone</t>
        </is>
      </c>
      <c r="S2709" s="4" t="inlineStr">
        <is>
          <t>B55</t>
        </is>
      </c>
      <c r="T2709" s="4" t="inlineStr">
        <is>
          <t>HIGH_2501_3000</t>
        </is>
      </c>
      <c r="U2709" s="4" t="inlineStr">
        <is>
          <t>CREATED</t>
        </is>
      </c>
      <c r="V2709" s="4" t="inlineStr">
        <is>
          <t>idem-20260902-ios-2708</t>
        </is>
      </c>
    </row>
    <row r="2710" ht="30" customHeight="1">
      <c r="A2710" s="4" t="n">
        <v>2709</v>
      </c>
      <c r="B2710" s="4" t="inlineStr">
        <is>
          <t>MTR-IOS-2709</t>
        </is>
      </c>
      <c r="C2710" s="4" t="inlineStr">
        <is>
          <t>Business</t>
        </is>
      </c>
      <c r="D2710" s="4" t="inlineStr">
        <is>
          <t>Business</t>
        </is>
      </c>
      <c r="E2710" s="4" t="inlineStr">
        <is>
          <t>Business Operations</t>
        </is>
      </c>
      <c r="F2710" s="4" t="inlineStr">
        <is>
          <t>Tax</t>
        </is>
      </c>
      <c r="G2710" s="4" t="inlineStr">
        <is>
          <t>Expense</t>
        </is>
      </c>
      <c r="H2710" s="12" t="n">
        <v>46260</v>
      </c>
      <c r="I2710" s="13" t="n">
        <v>0.9548726851851852</v>
      </c>
      <c r="J2710" s="14" t="n">
        <v>46260.95487268519</v>
      </c>
      <c r="K2710" s="15" t="n">
        <v>145933.59</v>
      </c>
      <c r="L2710" s="4" t="inlineStr">
        <is>
          <t>INR</t>
        </is>
      </c>
      <c r="M2710" s="15" t="n">
        <v>-145933.59</v>
      </c>
      <c r="N2710" s="4" t="inlineStr">
        <is>
          <t>IOS Owner</t>
        </is>
      </c>
      <c r="O2710" s="4" t="n"/>
      <c r="P2710" s="4" t="n"/>
      <c r="Q2710" s="4" t="inlineStr">
        <is>
          <t>MAESTRO-IOS-BUSINESS-BUSINESS_OPERATIONS-2709 | Tax | 145933.59</t>
        </is>
      </c>
      <c r="R2710" s="4" t="inlineStr">
        <is>
          <t>iPhone</t>
        </is>
      </c>
      <c r="S2710" s="4" t="inlineStr">
        <is>
          <t>B55</t>
        </is>
      </c>
      <c r="T2710" s="4" t="inlineStr">
        <is>
          <t>HIGH_2501_3000</t>
        </is>
      </c>
      <c r="U2710" s="4" t="inlineStr">
        <is>
          <t>CREATED</t>
        </is>
      </c>
      <c r="V2710" s="4" t="inlineStr">
        <is>
          <t>idem-20260902-ios-2709</t>
        </is>
      </c>
    </row>
    <row r="2711" ht="30" customHeight="1">
      <c r="A2711" s="4" t="n">
        <v>2710</v>
      </c>
      <c r="B2711" s="4" t="inlineStr">
        <is>
          <t>MTR-IOS-2710</t>
        </is>
      </c>
      <c r="C2711" s="4" t="inlineStr">
        <is>
          <t>Personal</t>
        </is>
      </c>
      <c r="D2711" s="4" t="inlineStr">
        <is>
          <t>Personal</t>
        </is>
      </c>
      <c r="E2711" s="4" t="inlineStr">
        <is>
          <t>Life Operations</t>
        </is>
      </c>
      <c r="F2711" s="4" t="inlineStr">
        <is>
          <t>Repairs</t>
        </is>
      </c>
      <c r="G2711" s="4" t="inlineStr">
        <is>
          <t>Expense</t>
        </is>
      </c>
      <c r="H2711" s="12" t="n">
        <v>46251</v>
      </c>
      <c r="I2711" s="13" t="n">
        <v>0.05704861111111111</v>
      </c>
      <c r="J2711" s="14" t="n">
        <v>46251.05704861111</v>
      </c>
      <c r="K2711" s="15" t="n">
        <v>11396.48</v>
      </c>
      <c r="L2711" s="4" t="inlineStr">
        <is>
          <t>INR</t>
        </is>
      </c>
      <c r="M2711" s="15" t="n">
        <v>-11396.48</v>
      </c>
      <c r="N2711" s="4" t="inlineStr">
        <is>
          <t>IOS Owner</t>
        </is>
      </c>
      <c r="O2711" s="4" t="n"/>
      <c r="P2711" s="4" t="n"/>
      <c r="Q2711" s="4" t="inlineStr">
        <is>
          <t>MAESTRO-IOS-PERSONAL-LIFE_OPERATIONS-2710 | Repairs | 11396.48</t>
        </is>
      </c>
      <c r="R2711" s="4" t="inlineStr">
        <is>
          <t>iPhone</t>
        </is>
      </c>
      <c r="S2711" s="4" t="inlineStr">
        <is>
          <t>B55</t>
        </is>
      </c>
      <c r="T2711" s="4" t="inlineStr">
        <is>
          <t>HIGH_2501_3000</t>
        </is>
      </c>
      <c r="U2711" s="4" t="inlineStr">
        <is>
          <t>CREATED</t>
        </is>
      </c>
      <c r="V2711" s="4" t="inlineStr">
        <is>
          <t>idem-20260902-ios-2710</t>
        </is>
      </c>
    </row>
    <row r="2712" ht="30" customHeight="1">
      <c r="A2712" s="4" t="n">
        <v>2711</v>
      </c>
      <c r="B2712" s="4" t="inlineStr">
        <is>
          <t>MTR-IOS-2711</t>
        </is>
      </c>
      <c r="C2712" s="4" t="inlineStr">
        <is>
          <t>Group</t>
        </is>
      </c>
      <c r="D2712" s="4" t="inlineStr">
        <is>
          <t>Shared Purchase</t>
        </is>
      </c>
      <c r="E2712" s="4" t="inlineStr">
        <is>
          <t>Assets</t>
        </is>
      </c>
      <c r="F2712" s="4" t="inlineStr">
        <is>
          <t>Maintenance</t>
        </is>
      </c>
      <c r="G2712" s="4" t="inlineStr">
        <is>
          <t>Expense</t>
        </is>
      </c>
      <c r="H2712" s="12" t="n">
        <v>46109</v>
      </c>
      <c r="I2712" s="13" t="n">
        <v>0.9514236111111111</v>
      </c>
      <c r="J2712" s="14" t="n">
        <v>46109.95142361111</v>
      </c>
      <c r="K2712" s="15" t="n">
        <v>23726.31</v>
      </c>
      <c r="L2712" s="4" t="inlineStr">
        <is>
          <t>INR</t>
        </is>
      </c>
      <c r="M2712" s="15" t="n">
        <v>-23726.31</v>
      </c>
      <c r="N2712" s="4" t="inlineStr">
        <is>
          <t>IOS Owner</t>
        </is>
      </c>
      <c r="O2712" s="4" t="n">
        <v>3</v>
      </c>
      <c r="P2712" s="4" t="inlineStr">
        <is>
          <t>SHARES</t>
        </is>
      </c>
      <c r="Q2712" s="4" t="inlineStr">
        <is>
          <t>MAESTRO-IOS-GROUP-ASSETS-2711 | Maintenance | 23726.31</t>
        </is>
      </c>
      <c r="R2712" s="4" t="inlineStr">
        <is>
          <t>iPhone</t>
        </is>
      </c>
      <c r="S2712" s="4" t="inlineStr">
        <is>
          <t>B55</t>
        </is>
      </c>
      <c r="T2712" s="4" t="inlineStr">
        <is>
          <t>HIGH_2501_3000</t>
        </is>
      </c>
      <c r="U2712" s="4" t="inlineStr">
        <is>
          <t>CREATED</t>
        </is>
      </c>
      <c r="V2712" s="4" t="inlineStr">
        <is>
          <t>idem-20260902-ios-2711</t>
        </is>
      </c>
    </row>
    <row r="2713" ht="30" customHeight="1">
      <c r="A2713" s="4" t="n">
        <v>2712</v>
      </c>
      <c r="B2713" s="4" t="inlineStr">
        <is>
          <t>MTR-IOS-2712</t>
        </is>
      </c>
      <c r="C2713" s="4" t="inlineStr">
        <is>
          <t>Business</t>
        </is>
      </c>
      <c r="D2713" s="4" t="inlineStr">
        <is>
          <t>Business</t>
        </is>
      </c>
      <c r="E2713" s="4" t="inlineStr">
        <is>
          <t>Team Operations</t>
        </is>
      </c>
      <c r="F2713" s="4" t="inlineStr">
        <is>
          <t>Payroll</t>
        </is>
      </c>
      <c r="G2713" s="4" t="inlineStr">
        <is>
          <t>Expense</t>
        </is>
      </c>
      <c r="H2713" s="12" t="n">
        <v>46121</v>
      </c>
      <c r="I2713" s="13" t="n">
        <v>0.4188425925925926</v>
      </c>
      <c r="J2713" s="14" t="n">
        <v>46121.41884259259</v>
      </c>
      <c r="K2713" s="15" t="n">
        <v>119379.68</v>
      </c>
      <c r="L2713" s="4" t="inlineStr">
        <is>
          <t>INR</t>
        </is>
      </c>
      <c r="M2713" s="15" t="n">
        <v>-119379.68</v>
      </c>
      <c r="N2713" s="4" t="inlineStr">
        <is>
          <t>IOS Owner</t>
        </is>
      </c>
      <c r="O2713" s="4" t="n"/>
      <c r="P2713" s="4" t="n"/>
      <c r="Q2713" s="4" t="inlineStr">
        <is>
          <t>MAESTRO-IOS-BUSINESS-TEAM_OPERATIONS-2712 | Payroll | 119379.68</t>
        </is>
      </c>
      <c r="R2713" s="4" t="inlineStr">
        <is>
          <t>iPhone</t>
        </is>
      </c>
      <c r="S2713" s="4" t="inlineStr">
        <is>
          <t>B55</t>
        </is>
      </c>
      <c r="T2713" s="4" t="inlineStr">
        <is>
          <t>HIGH_2501_3000</t>
        </is>
      </c>
      <c r="U2713" s="4" t="inlineStr">
        <is>
          <t>CREATED</t>
        </is>
      </c>
      <c r="V2713" s="4" t="inlineStr">
        <is>
          <t>idem-20260902-ios-2712</t>
        </is>
      </c>
    </row>
    <row r="2714" ht="30" customHeight="1">
      <c r="A2714" s="4" t="n">
        <v>2713</v>
      </c>
      <c r="B2714" s="4" t="inlineStr">
        <is>
          <t>MTR-IOS-2713</t>
        </is>
      </c>
      <c r="C2714" s="4" t="inlineStr">
        <is>
          <t>Personal</t>
        </is>
      </c>
      <c r="D2714" s="4" t="inlineStr">
        <is>
          <t>Personal</t>
        </is>
      </c>
      <c r="E2714" s="4" t="inlineStr">
        <is>
          <t>Future Building</t>
        </is>
      </c>
      <c r="F2714" s="4" t="inlineStr">
        <is>
          <t>Savings</t>
        </is>
      </c>
      <c r="G2714" s="4" t="inlineStr">
        <is>
          <t>Transfer</t>
        </is>
      </c>
      <c r="H2714" s="12" t="n">
        <v>46237</v>
      </c>
      <c r="I2714" s="13" t="n">
        <v>0.8831828703703704</v>
      </c>
      <c r="J2714" s="14" t="n">
        <v>46237.88318287037</v>
      </c>
      <c r="K2714" s="15" t="n">
        <v>15681.21</v>
      </c>
      <c r="L2714" s="4" t="inlineStr">
        <is>
          <t>INR</t>
        </is>
      </c>
      <c r="M2714" s="15" t="n">
        <v>0</v>
      </c>
      <c r="N2714" s="4" t="inlineStr">
        <is>
          <t>IOS Owner</t>
        </is>
      </c>
      <c r="O2714" s="4" t="n"/>
      <c r="P2714" s="4" t="n"/>
      <c r="Q2714" s="4" t="inlineStr">
        <is>
          <t>MAESTRO-IOS-PERSONAL-FUTURE_BUILDING-2713 | Savings | 15681.21</t>
        </is>
      </c>
      <c r="R2714" s="4" t="inlineStr">
        <is>
          <t>iPhone</t>
        </is>
      </c>
      <c r="S2714" s="4" t="inlineStr">
        <is>
          <t>B55</t>
        </is>
      </c>
      <c r="T2714" s="4" t="inlineStr">
        <is>
          <t>HIGH_2501_3000</t>
        </is>
      </c>
      <c r="U2714" s="4" t="inlineStr">
        <is>
          <t>CREATED</t>
        </is>
      </c>
      <c r="V2714" s="4" t="inlineStr">
        <is>
          <t>idem-20260902-ios-2713</t>
        </is>
      </c>
    </row>
    <row r="2715" ht="30" customHeight="1">
      <c r="A2715" s="4" t="n">
        <v>2714</v>
      </c>
      <c r="B2715" s="4" t="inlineStr">
        <is>
          <t>MTR-IOS-2714</t>
        </is>
      </c>
      <c r="C2715" s="4" t="inlineStr">
        <is>
          <t>Group</t>
        </is>
      </c>
      <c r="D2715" s="4" t="inlineStr">
        <is>
          <t>Shared Purchase</t>
        </is>
      </c>
      <c r="E2715" s="4" t="inlineStr">
        <is>
          <t>Assets</t>
        </is>
      </c>
      <c r="F2715" s="4" t="inlineStr">
        <is>
          <t>Repair</t>
        </is>
      </c>
      <c r="G2715" s="4" t="inlineStr">
        <is>
          <t>Expense</t>
        </is>
      </c>
      <c r="H2715" s="12" t="n">
        <v>46183</v>
      </c>
      <c r="I2715" s="13" t="n">
        <v>0.230474537037037</v>
      </c>
      <c r="J2715" s="14" t="n">
        <v>46183.23047453703</v>
      </c>
      <c r="K2715" s="15" t="n">
        <v>4367.84</v>
      </c>
      <c r="L2715" s="4" t="inlineStr">
        <is>
          <t>INR</t>
        </is>
      </c>
      <c r="M2715" s="15" t="n">
        <v>-4367.84</v>
      </c>
      <c r="N2715" s="4" t="inlineStr">
        <is>
          <t>IOS Aarav</t>
        </is>
      </c>
      <c r="O2715" s="4" t="n">
        <v>3</v>
      </c>
      <c r="P2715" s="4" t="inlineStr">
        <is>
          <t>EQUAL</t>
        </is>
      </c>
      <c r="Q2715" s="4" t="inlineStr">
        <is>
          <t>MAESTRO-IOS-GROUP-ASSETS-2714 | Repair | 4367.84</t>
        </is>
      </c>
      <c r="R2715" s="4" t="inlineStr">
        <is>
          <t>iPhone</t>
        </is>
      </c>
      <c r="S2715" s="4" t="inlineStr">
        <is>
          <t>B55</t>
        </is>
      </c>
      <c r="T2715" s="4" t="inlineStr">
        <is>
          <t>HIGH_2501_3000</t>
        </is>
      </c>
      <c r="U2715" s="4" t="inlineStr">
        <is>
          <t>CREATED</t>
        </is>
      </c>
      <c r="V2715" s="4" t="inlineStr">
        <is>
          <t>idem-20260902-ios-2714</t>
        </is>
      </c>
    </row>
    <row r="2716" ht="30" customHeight="1">
      <c r="A2716" s="4" t="n">
        <v>2715</v>
      </c>
      <c r="B2716" s="4" t="inlineStr">
        <is>
          <t>MTR-IOS-2715</t>
        </is>
      </c>
      <c r="C2716" s="4" t="inlineStr">
        <is>
          <t>Business</t>
        </is>
      </c>
      <c r="D2716" s="4" t="inlineStr">
        <is>
          <t>Business</t>
        </is>
      </c>
      <c r="E2716" s="4" t="inlineStr">
        <is>
          <t>Team Operations</t>
        </is>
      </c>
      <c r="F2716" s="4" t="inlineStr">
        <is>
          <t>Contractor</t>
        </is>
      </c>
      <c r="G2716" s="4" t="inlineStr">
        <is>
          <t>Expense</t>
        </is>
      </c>
      <c r="H2716" s="12" t="n">
        <v>46145</v>
      </c>
      <c r="I2716" s="13" t="n">
        <v>0.5309143518518519</v>
      </c>
      <c r="J2716" s="14" t="n">
        <v>46145.53091435185</v>
      </c>
      <c r="K2716" s="15" t="n">
        <v>31566.61</v>
      </c>
      <c r="L2716" s="4" t="inlineStr">
        <is>
          <t>INR</t>
        </is>
      </c>
      <c r="M2716" s="15" t="n">
        <v>-31566.61</v>
      </c>
      <c r="N2716" s="4" t="inlineStr">
        <is>
          <t>IOS Owner</t>
        </is>
      </c>
      <c r="O2716" s="4" t="n"/>
      <c r="P2716" s="4" t="n"/>
      <c r="Q2716" s="4" t="inlineStr">
        <is>
          <t>MAESTRO-IOS-BUSINESS-TEAM_OPERATIONS-2715 | Contractor | 31566.61</t>
        </is>
      </c>
      <c r="R2716" s="4" t="inlineStr">
        <is>
          <t>iPhone</t>
        </is>
      </c>
      <c r="S2716" s="4" t="inlineStr">
        <is>
          <t>B55</t>
        </is>
      </c>
      <c r="T2716" s="4" t="inlineStr">
        <is>
          <t>HIGH_2501_3000</t>
        </is>
      </c>
      <c r="U2716" s="4" t="inlineStr">
        <is>
          <t>CREATED</t>
        </is>
      </c>
      <c r="V2716" s="4" t="inlineStr">
        <is>
          <t>idem-20260902-ios-2715</t>
        </is>
      </c>
    </row>
    <row r="2717" ht="30" customHeight="1">
      <c r="A2717" s="4" t="n">
        <v>2716</v>
      </c>
      <c r="B2717" s="4" t="inlineStr">
        <is>
          <t>MTR-IOS-2716</t>
        </is>
      </c>
      <c r="C2717" s="4" t="inlineStr">
        <is>
          <t>Personal</t>
        </is>
      </c>
      <c r="D2717" s="4" t="inlineStr">
        <is>
          <t>Personal</t>
        </is>
      </c>
      <c r="E2717" s="4" t="inlineStr">
        <is>
          <t>Future Building</t>
        </is>
      </c>
      <c r="F2717" s="4" t="inlineStr">
        <is>
          <t>Emergency Fund</t>
        </is>
      </c>
      <c r="G2717" s="4" t="inlineStr">
        <is>
          <t>Transfer</t>
        </is>
      </c>
      <c r="H2717" s="12" t="n">
        <v>46052</v>
      </c>
      <c r="I2717" s="13" t="n">
        <v>0.5427546296296296</v>
      </c>
      <c r="J2717" s="14" t="n">
        <v>46052.54275462963</v>
      </c>
      <c r="K2717" s="15" t="n">
        <v>6176.3</v>
      </c>
      <c r="L2717" s="4" t="inlineStr">
        <is>
          <t>INR</t>
        </is>
      </c>
      <c r="M2717" s="15" t="n">
        <v>0</v>
      </c>
      <c r="N2717" s="4" t="inlineStr">
        <is>
          <t>IOS Owner</t>
        </is>
      </c>
      <c r="O2717" s="4" t="n"/>
      <c r="P2717" s="4" t="n"/>
      <c r="Q2717" s="4" t="inlineStr">
        <is>
          <t>MAESTRO-IOS-PERSONAL-FUTURE_BUILDING-2716 | Emergency Fund | 6176.30</t>
        </is>
      </c>
      <c r="R2717" s="4" t="inlineStr">
        <is>
          <t>iPhone</t>
        </is>
      </c>
      <c r="S2717" s="4" t="inlineStr">
        <is>
          <t>B55</t>
        </is>
      </c>
      <c r="T2717" s="4" t="inlineStr">
        <is>
          <t>HIGH_2501_3000</t>
        </is>
      </c>
      <c r="U2717" s="4" t="inlineStr">
        <is>
          <t>CREATED</t>
        </is>
      </c>
      <c r="V2717" s="4" t="inlineStr">
        <is>
          <t>idem-20260902-ios-2716</t>
        </is>
      </c>
    </row>
    <row r="2718" ht="30" customHeight="1">
      <c r="A2718" s="4" t="n">
        <v>2717</v>
      </c>
      <c r="B2718" s="4" t="inlineStr">
        <is>
          <t>MTR-IOS-2717</t>
        </is>
      </c>
      <c r="C2718" s="4" t="inlineStr">
        <is>
          <t>Group</t>
        </is>
      </c>
      <c r="D2718" s="4" t="inlineStr">
        <is>
          <t>Shared Purchase</t>
        </is>
      </c>
      <c r="E2718" s="4" t="inlineStr">
        <is>
          <t>Assets</t>
        </is>
      </c>
      <c r="F2718" s="4" t="inlineStr">
        <is>
          <t>Insurance</t>
        </is>
      </c>
      <c r="G2718" s="4" t="inlineStr">
        <is>
          <t>Expense</t>
        </is>
      </c>
      <c r="H2718" s="12" t="n">
        <v>46012</v>
      </c>
      <c r="I2718" s="13" t="n">
        <v>0.8394907407407407</v>
      </c>
      <c r="J2718" s="14" t="n">
        <v>46012.83949074074</v>
      </c>
      <c r="K2718" s="15" t="n">
        <v>20976.55</v>
      </c>
      <c r="L2718" s="4" t="inlineStr">
        <is>
          <t>INR</t>
        </is>
      </c>
      <c r="M2718" s="15" t="n">
        <v>-20976.55</v>
      </c>
      <c r="N2718" s="4" t="inlineStr">
        <is>
          <t>IOS Meera</t>
        </is>
      </c>
      <c r="O2718" s="4" t="n">
        <v>3</v>
      </c>
      <c r="P2718" s="4" t="inlineStr">
        <is>
          <t>PERCENTAGE</t>
        </is>
      </c>
      <c r="Q2718" s="4" t="inlineStr">
        <is>
          <t>MAESTRO-IOS-GROUP-ASSETS-2717 | Insurance | 20976.55</t>
        </is>
      </c>
      <c r="R2718" s="4" t="inlineStr">
        <is>
          <t>iPhone</t>
        </is>
      </c>
      <c r="S2718" s="4" t="inlineStr">
        <is>
          <t>B55</t>
        </is>
      </c>
      <c r="T2718" s="4" t="inlineStr">
        <is>
          <t>HIGH_2501_3000</t>
        </is>
      </c>
      <c r="U2718" s="4" t="inlineStr">
        <is>
          <t>CREATED</t>
        </is>
      </c>
      <c r="V2718" s="4" t="inlineStr">
        <is>
          <t>idem-20260902-ios-2717</t>
        </is>
      </c>
    </row>
    <row r="2719" ht="30" customHeight="1">
      <c r="A2719" s="4" t="n">
        <v>2718</v>
      </c>
      <c r="B2719" s="4" t="inlineStr">
        <is>
          <t>MTR-IOS-2718</t>
        </is>
      </c>
      <c r="C2719" s="4" t="inlineStr">
        <is>
          <t>Business</t>
        </is>
      </c>
      <c r="D2719" s="4" t="inlineStr">
        <is>
          <t>Business</t>
        </is>
      </c>
      <c r="E2719" s="4" t="inlineStr">
        <is>
          <t>Team Operations</t>
        </is>
      </c>
      <c r="F2719" s="4" t="inlineStr">
        <is>
          <t>Hiring</t>
        </is>
      </c>
      <c r="G2719" s="4" t="inlineStr">
        <is>
          <t>Expense</t>
        </is>
      </c>
      <c r="H2719" s="12" t="n">
        <v>46107</v>
      </c>
      <c r="I2719" s="13" t="n">
        <v>0.07434027777777778</v>
      </c>
      <c r="J2719" s="14" t="n">
        <v>46107.07434027778</v>
      </c>
      <c r="K2719" s="15" t="n">
        <v>86082.63</v>
      </c>
      <c r="L2719" s="4" t="inlineStr">
        <is>
          <t>INR</t>
        </is>
      </c>
      <c r="M2719" s="15" t="n">
        <v>-86082.63</v>
      </c>
      <c r="N2719" s="4" t="inlineStr">
        <is>
          <t>IOS Owner</t>
        </is>
      </c>
      <c r="O2719" s="4" t="n"/>
      <c r="P2719" s="4" t="n"/>
      <c r="Q2719" s="4" t="inlineStr">
        <is>
          <t>MAESTRO-IOS-BUSINESS-TEAM_OPERATIONS-2718 | Hiring | 86082.63</t>
        </is>
      </c>
      <c r="R2719" s="4" t="inlineStr">
        <is>
          <t>iPhone</t>
        </is>
      </c>
      <c r="S2719" s="4" t="inlineStr">
        <is>
          <t>B55</t>
        </is>
      </c>
      <c r="T2719" s="4" t="inlineStr">
        <is>
          <t>HIGH_2501_3000</t>
        </is>
      </c>
      <c r="U2719" s="4" t="inlineStr">
        <is>
          <t>CREATED</t>
        </is>
      </c>
      <c r="V2719" s="4" t="inlineStr">
        <is>
          <t>idem-20260902-ios-2718</t>
        </is>
      </c>
    </row>
    <row r="2720" ht="30" customHeight="1">
      <c r="A2720" s="4" t="n">
        <v>2719</v>
      </c>
      <c r="B2720" s="4" t="inlineStr">
        <is>
          <t>MTR-IOS-2719</t>
        </is>
      </c>
      <c r="C2720" s="4" t="inlineStr">
        <is>
          <t>Personal</t>
        </is>
      </c>
      <c r="D2720" s="4" t="inlineStr">
        <is>
          <t>Personal</t>
        </is>
      </c>
      <c r="E2720" s="4" t="inlineStr">
        <is>
          <t>Future Building</t>
        </is>
      </c>
      <c r="F2720" s="4" t="inlineStr">
        <is>
          <t>Investments</t>
        </is>
      </c>
      <c r="G2720" s="4" t="inlineStr">
        <is>
          <t>Investment</t>
        </is>
      </c>
      <c r="H2720" s="12" t="n">
        <v>46057</v>
      </c>
      <c r="I2720" s="13" t="n">
        <v>0.2322569444444444</v>
      </c>
      <c r="J2720" s="14" t="n">
        <v>46057.23225694444</v>
      </c>
      <c r="K2720" s="15" t="n">
        <v>3837.51</v>
      </c>
      <c r="L2720" s="4" t="inlineStr">
        <is>
          <t>INR</t>
        </is>
      </c>
      <c r="M2720" s="15" t="n">
        <v>0</v>
      </c>
      <c r="N2720" s="4" t="inlineStr">
        <is>
          <t>IOS Owner</t>
        </is>
      </c>
      <c r="O2720" s="4" t="n"/>
      <c r="P2720" s="4" t="n"/>
      <c r="Q2720" s="4" t="inlineStr">
        <is>
          <t>MAESTRO-IOS-PERSONAL-FUTURE_BUILDING-2719 | Investments | 3837.51</t>
        </is>
      </c>
      <c r="R2720" s="4" t="inlineStr">
        <is>
          <t>iPhone</t>
        </is>
      </c>
      <c r="S2720" s="4" t="inlineStr">
        <is>
          <t>B55</t>
        </is>
      </c>
      <c r="T2720" s="4" t="inlineStr">
        <is>
          <t>HIGH_2501_3000</t>
        </is>
      </c>
      <c r="U2720" s="4" t="inlineStr">
        <is>
          <t>CREATED</t>
        </is>
      </c>
      <c r="V2720" s="4" t="inlineStr">
        <is>
          <t>idem-20260902-ios-2719</t>
        </is>
      </c>
    </row>
    <row r="2721" ht="30" customHeight="1">
      <c r="A2721" s="4" t="n">
        <v>2720</v>
      </c>
      <c r="B2721" s="4" t="inlineStr">
        <is>
          <t>MTR-IOS-2720</t>
        </is>
      </c>
      <c r="C2721" s="4" t="inlineStr">
        <is>
          <t>Group</t>
        </is>
      </c>
      <c r="D2721" s="4" t="inlineStr">
        <is>
          <t>Shared Purchase</t>
        </is>
      </c>
      <c r="E2721" s="4" t="inlineStr">
        <is>
          <t>Assets</t>
        </is>
      </c>
      <c r="F2721" s="4" t="inlineStr">
        <is>
          <t>Other</t>
        </is>
      </c>
      <c r="G2721" s="4" t="inlineStr">
        <is>
          <t>Expense</t>
        </is>
      </c>
      <c r="H2721" s="12" t="n">
        <v>45991</v>
      </c>
      <c r="I2721" s="13" t="n">
        <v>0.9431712962962963</v>
      </c>
      <c r="J2721" s="14" t="n">
        <v>45991.9431712963</v>
      </c>
      <c r="K2721" s="15" t="n">
        <v>16264.76</v>
      </c>
      <c r="L2721" s="4" t="inlineStr">
        <is>
          <t>INR</t>
        </is>
      </c>
      <c r="M2721" s="15" t="n">
        <v>-16264.76</v>
      </c>
      <c r="N2721" s="4" t="inlineStr">
        <is>
          <t>IOS Owner</t>
        </is>
      </c>
      <c r="O2721" s="4" t="n">
        <v>3</v>
      </c>
      <c r="P2721" s="4" t="inlineStr">
        <is>
          <t>EXACT</t>
        </is>
      </c>
      <c r="Q2721" s="4" t="inlineStr">
        <is>
          <t>MAESTRO-IOS-GROUP-ASSETS-2720 | Other | 16264.76</t>
        </is>
      </c>
      <c r="R2721" s="4" t="inlineStr">
        <is>
          <t>iPhone</t>
        </is>
      </c>
      <c r="S2721" s="4" t="inlineStr">
        <is>
          <t>B55</t>
        </is>
      </c>
      <c r="T2721" s="4" t="inlineStr">
        <is>
          <t>HIGH_2501_3000</t>
        </is>
      </c>
      <c r="U2721" s="4" t="inlineStr">
        <is>
          <t>CREATED</t>
        </is>
      </c>
      <c r="V2721" s="4" t="inlineStr">
        <is>
          <t>idem-20260902-ios-2720</t>
        </is>
      </c>
    </row>
    <row r="2722" ht="30" customHeight="1">
      <c r="A2722" s="4" t="n">
        <v>2721</v>
      </c>
      <c r="B2722" s="4" t="inlineStr">
        <is>
          <t>MTR-IOS-2721</t>
        </is>
      </c>
      <c r="C2722" s="4" t="inlineStr">
        <is>
          <t>Business</t>
        </is>
      </c>
      <c r="D2722" s="4" t="inlineStr">
        <is>
          <t>Business</t>
        </is>
      </c>
      <c r="E2722" s="4" t="inlineStr">
        <is>
          <t>Team Operations</t>
        </is>
      </c>
      <c r="F2722" s="4" t="inlineStr">
        <is>
          <t>Team Meal</t>
        </is>
      </c>
      <c r="G2722" s="4" t="inlineStr">
        <is>
          <t>Expense</t>
        </is>
      </c>
      <c r="H2722" s="12" t="n">
        <v>45915</v>
      </c>
      <c r="I2722" s="13" t="n">
        <v>0.9256481481481481</v>
      </c>
      <c r="J2722" s="14" t="n">
        <v>45915.92564814815</v>
      </c>
      <c r="K2722" s="15" t="n">
        <v>106016.66</v>
      </c>
      <c r="L2722" s="4" t="inlineStr">
        <is>
          <t>INR</t>
        </is>
      </c>
      <c r="M2722" s="15" t="n">
        <v>-106016.66</v>
      </c>
      <c r="N2722" s="4" t="inlineStr">
        <is>
          <t>IOS Owner</t>
        </is>
      </c>
      <c r="O2722" s="4" t="n"/>
      <c r="P2722" s="4" t="n"/>
      <c r="Q2722" s="4" t="inlineStr">
        <is>
          <t>MAESTRO-IOS-BUSINESS-TEAM_OPERATIONS-2721 | Team Meal | 106016.66</t>
        </is>
      </c>
      <c r="R2722" s="4" t="inlineStr">
        <is>
          <t>iPhone</t>
        </is>
      </c>
      <c r="S2722" s="4" t="inlineStr">
        <is>
          <t>B55</t>
        </is>
      </c>
      <c r="T2722" s="4" t="inlineStr">
        <is>
          <t>HIGH_2501_3000</t>
        </is>
      </c>
      <c r="U2722" s="4" t="inlineStr">
        <is>
          <t>CREATED</t>
        </is>
      </c>
      <c r="V2722" s="4" t="inlineStr">
        <is>
          <t>idem-20260902-ios-2721</t>
        </is>
      </c>
    </row>
    <row r="2723" ht="30" customHeight="1">
      <c r="A2723" s="4" t="n">
        <v>2722</v>
      </c>
      <c r="B2723" s="4" t="inlineStr">
        <is>
          <t>MTR-IOS-2722</t>
        </is>
      </c>
      <c r="C2723" s="4" t="inlineStr">
        <is>
          <t>Personal</t>
        </is>
      </c>
      <c r="D2723" s="4" t="inlineStr">
        <is>
          <t>Personal</t>
        </is>
      </c>
      <c r="E2723" s="4" t="inlineStr">
        <is>
          <t>Future Building</t>
        </is>
      </c>
      <c r="F2723" s="4" t="inlineStr">
        <is>
          <t>Education</t>
        </is>
      </c>
      <c r="G2723" s="4" t="inlineStr">
        <is>
          <t>Expense</t>
        </is>
      </c>
      <c r="H2723" s="12" t="n">
        <v>46015</v>
      </c>
      <c r="I2723" s="13" t="n">
        <v>0.0202662037037037</v>
      </c>
      <c r="J2723" s="14" t="n">
        <v>46015.0202662037</v>
      </c>
      <c r="K2723" s="15" t="n">
        <v>9621.18</v>
      </c>
      <c r="L2723" s="4" t="inlineStr">
        <is>
          <t>INR</t>
        </is>
      </c>
      <c r="M2723" s="15" t="n">
        <v>-9621.18</v>
      </c>
      <c r="N2723" s="4" t="inlineStr">
        <is>
          <t>IOS Owner</t>
        </is>
      </c>
      <c r="O2723" s="4" t="n"/>
      <c r="P2723" s="4" t="n"/>
      <c r="Q2723" s="4" t="inlineStr">
        <is>
          <t>MAESTRO-IOS-PERSONAL-FUTURE_BUILDING-2722 | Education | 9621.18</t>
        </is>
      </c>
      <c r="R2723" s="4" t="inlineStr">
        <is>
          <t>iPhone</t>
        </is>
      </c>
      <c r="S2723" s="4" t="inlineStr">
        <is>
          <t>B55</t>
        </is>
      </c>
      <c r="T2723" s="4" t="inlineStr">
        <is>
          <t>HIGH_2501_3000</t>
        </is>
      </c>
      <c r="U2723" s="4" t="inlineStr">
        <is>
          <t>CREATED</t>
        </is>
      </c>
      <c r="V2723" s="4" t="inlineStr">
        <is>
          <t>idem-20260902-ios-2722</t>
        </is>
      </c>
    </row>
    <row r="2724" ht="30" customHeight="1">
      <c r="A2724" s="4" t="n">
        <v>2723</v>
      </c>
      <c r="B2724" s="4" t="inlineStr">
        <is>
          <t>MTR-IOS-2723</t>
        </is>
      </c>
      <c r="C2724" s="4" t="inlineStr">
        <is>
          <t>Group</t>
        </is>
      </c>
      <c r="D2724" s="4" t="inlineStr">
        <is>
          <t>Shared Purchase</t>
        </is>
      </c>
      <c r="E2724" s="4" t="inlineStr">
        <is>
          <t>Custom Purchase</t>
        </is>
      </c>
      <c r="F2724" s="4" t="inlineStr">
        <is>
          <t>Custom Expense</t>
        </is>
      </c>
      <c r="G2724" s="4" t="inlineStr">
        <is>
          <t>Expense</t>
        </is>
      </c>
      <c r="H2724" s="12" t="n">
        <v>46242</v>
      </c>
      <c r="I2724" s="13" t="n">
        <v>0.3698611111111111</v>
      </c>
      <c r="J2724" s="14" t="n">
        <v>46242.36986111111</v>
      </c>
      <c r="K2724" s="15" t="n">
        <v>7163.52</v>
      </c>
      <c r="L2724" s="4" t="inlineStr">
        <is>
          <t>INR</t>
        </is>
      </c>
      <c r="M2724" s="15" t="n">
        <v>-7163.52</v>
      </c>
      <c r="N2724" s="4" t="inlineStr">
        <is>
          <t>IOS Aarav</t>
        </is>
      </c>
      <c r="O2724" s="4" t="n">
        <v>3</v>
      </c>
      <c r="P2724" s="4" t="inlineStr">
        <is>
          <t>SHARES</t>
        </is>
      </c>
      <c r="Q2724" s="4" t="inlineStr">
        <is>
          <t>MAESTRO-IOS-GROUP-CUSTOM_PURCHASE-2723 | Custom Expense | 7163.52</t>
        </is>
      </c>
      <c r="R2724" s="4" t="inlineStr">
        <is>
          <t>iPhone</t>
        </is>
      </c>
      <c r="S2724" s="4" t="inlineStr">
        <is>
          <t>B55</t>
        </is>
      </c>
      <c r="T2724" s="4" t="inlineStr">
        <is>
          <t>HIGH_2501_3000</t>
        </is>
      </c>
      <c r="U2724" s="4" t="inlineStr">
        <is>
          <t>CREATED</t>
        </is>
      </c>
      <c r="V2724" s="4" t="inlineStr">
        <is>
          <t>idem-20260902-ios-2723</t>
        </is>
      </c>
    </row>
    <row r="2725" ht="30" customHeight="1">
      <c r="A2725" s="4" t="n">
        <v>2724</v>
      </c>
      <c r="B2725" s="4" t="inlineStr">
        <is>
          <t>MTR-IOS-2724</t>
        </is>
      </c>
      <c r="C2725" s="4" t="inlineStr">
        <is>
          <t>Business</t>
        </is>
      </c>
      <c r="D2725" s="4" t="inlineStr">
        <is>
          <t>Business</t>
        </is>
      </c>
      <c r="E2725" s="4" t="inlineStr">
        <is>
          <t>Team Operations</t>
        </is>
      </c>
      <c r="F2725" s="4" t="inlineStr">
        <is>
          <t>Travel</t>
        </is>
      </c>
      <c r="G2725" s="4" t="inlineStr">
        <is>
          <t>Expense</t>
        </is>
      </c>
      <c r="H2725" s="12" t="n">
        <v>46080</v>
      </c>
      <c r="I2725" s="13" t="n">
        <v>0.01320601851851852</v>
      </c>
      <c r="J2725" s="14" t="n">
        <v>46080.01320601852</v>
      </c>
      <c r="K2725" s="15" t="n">
        <v>145436.2</v>
      </c>
      <c r="L2725" s="4" t="inlineStr">
        <is>
          <t>INR</t>
        </is>
      </c>
      <c r="M2725" s="15" t="n">
        <v>-145436.2</v>
      </c>
      <c r="N2725" s="4" t="inlineStr">
        <is>
          <t>IOS Owner</t>
        </is>
      </c>
      <c r="O2725" s="4" t="n"/>
      <c r="P2725" s="4" t="n"/>
      <c r="Q2725" s="4" t="inlineStr">
        <is>
          <t>MAESTRO-IOS-BUSINESS-TEAM_OPERATIONS-2724 | Travel | 145436.20</t>
        </is>
      </c>
      <c r="R2725" s="4" t="inlineStr">
        <is>
          <t>iPhone</t>
        </is>
      </c>
      <c r="S2725" s="4" t="inlineStr">
        <is>
          <t>B55</t>
        </is>
      </c>
      <c r="T2725" s="4" t="inlineStr">
        <is>
          <t>HIGH_2501_3000</t>
        </is>
      </c>
      <c r="U2725" s="4" t="inlineStr">
        <is>
          <t>CREATED</t>
        </is>
      </c>
      <c r="V2725" s="4" t="inlineStr">
        <is>
          <t>idem-20260902-ios-2724</t>
        </is>
      </c>
    </row>
    <row r="2726" ht="30" customHeight="1">
      <c r="A2726" s="4" t="n">
        <v>2725</v>
      </c>
      <c r="B2726" s="4" t="inlineStr">
        <is>
          <t>MTR-IOS-2725</t>
        </is>
      </c>
      <c r="C2726" s="4" t="inlineStr">
        <is>
          <t>Personal</t>
        </is>
      </c>
      <c r="D2726" s="4" t="inlineStr">
        <is>
          <t>Personal</t>
        </is>
      </c>
      <c r="E2726" s="4" t="inlineStr">
        <is>
          <t>Future Building</t>
        </is>
      </c>
      <c r="F2726" s="4" t="inlineStr">
        <is>
          <t>Goal Contribution</t>
        </is>
      </c>
      <c r="G2726" s="4" t="inlineStr">
        <is>
          <t>Transfer</t>
        </is>
      </c>
      <c r="H2726" s="12" t="n">
        <v>46140</v>
      </c>
      <c r="I2726" s="13" t="n">
        <v>0.3842476851851852</v>
      </c>
      <c r="J2726" s="14" t="n">
        <v>46140.38424768519</v>
      </c>
      <c r="K2726" s="15" t="n">
        <v>11401.75</v>
      </c>
      <c r="L2726" s="4" t="inlineStr">
        <is>
          <t>INR</t>
        </is>
      </c>
      <c r="M2726" s="15" t="n">
        <v>0</v>
      </c>
      <c r="N2726" s="4" t="inlineStr">
        <is>
          <t>IOS Owner</t>
        </is>
      </c>
      <c r="O2726" s="4" t="n"/>
      <c r="P2726" s="4" t="n"/>
      <c r="Q2726" s="4" t="inlineStr">
        <is>
          <t>MAESTRO-IOS-PERSONAL-FUTURE_BUILDING-2725 | Goal Contribution | 11401.75</t>
        </is>
      </c>
      <c r="R2726" s="4" t="inlineStr">
        <is>
          <t>iPhone</t>
        </is>
      </c>
      <c r="S2726" s="4" t="inlineStr">
        <is>
          <t>B55</t>
        </is>
      </c>
      <c r="T2726" s="4" t="inlineStr">
        <is>
          <t>HIGH_2501_3000</t>
        </is>
      </c>
      <c r="U2726" s="4" t="inlineStr">
        <is>
          <t>CREATED</t>
        </is>
      </c>
      <c r="V2726" s="4" t="inlineStr">
        <is>
          <t>idem-20260902-ios-2725</t>
        </is>
      </c>
    </row>
    <row r="2727" ht="30" customHeight="1">
      <c r="A2727" s="4" t="n">
        <v>2726</v>
      </c>
      <c r="B2727" s="4" t="inlineStr">
        <is>
          <t>MTR-IOS-2726</t>
        </is>
      </c>
      <c r="C2727" s="4" t="inlineStr">
        <is>
          <t>Group</t>
        </is>
      </c>
      <c r="D2727" s="4" t="inlineStr">
        <is>
          <t>Shared Purchase</t>
        </is>
      </c>
      <c r="E2727" s="4" t="inlineStr">
        <is>
          <t>Custom Purchase</t>
        </is>
      </c>
      <c r="F2727" s="4" t="inlineStr">
        <is>
          <t>Custom Contribution</t>
        </is>
      </c>
      <c r="G2727" s="4" t="inlineStr">
        <is>
          <t>Contribution</t>
        </is>
      </c>
      <c r="H2727" s="12" t="n">
        <v>46009</v>
      </c>
      <c r="I2727" s="13" t="n">
        <v>0.3103240740740741</v>
      </c>
      <c r="J2727" s="14" t="n">
        <v>46009.31032407407</v>
      </c>
      <c r="K2727" s="15" t="n">
        <v>16976.24</v>
      </c>
      <c r="L2727" s="4" t="inlineStr">
        <is>
          <t>INR</t>
        </is>
      </c>
      <c r="M2727" s="15" t="n">
        <v>16976.24</v>
      </c>
      <c r="N2727" s="4" t="inlineStr">
        <is>
          <t>IOS Meera</t>
        </is>
      </c>
      <c r="O2727" s="4" t="n">
        <v>3</v>
      </c>
      <c r="P2727" s="4" t="inlineStr">
        <is>
          <t>EQUAL</t>
        </is>
      </c>
      <c r="Q2727" s="4" t="inlineStr">
        <is>
          <t>MAESTRO-IOS-GROUP-CUSTOM_PURCHASE-2726 | Custom Contribution | 16976.24</t>
        </is>
      </c>
      <c r="R2727" s="4" t="inlineStr">
        <is>
          <t>iPhone</t>
        </is>
      </c>
      <c r="S2727" s="4" t="inlineStr">
        <is>
          <t>B55</t>
        </is>
      </c>
      <c r="T2727" s="4" t="inlineStr">
        <is>
          <t>HIGH_2501_3000</t>
        </is>
      </c>
      <c r="U2727" s="4" t="inlineStr">
        <is>
          <t>CREATED</t>
        </is>
      </c>
      <c r="V2727" s="4" t="inlineStr">
        <is>
          <t>idem-20260902-ios-2726</t>
        </is>
      </c>
    </row>
    <row r="2728" ht="30" customHeight="1">
      <c r="A2728" s="4" t="n">
        <v>2727</v>
      </c>
      <c r="B2728" s="4" t="inlineStr">
        <is>
          <t>MTR-IOS-2727</t>
        </is>
      </c>
      <c r="C2728" s="4" t="inlineStr">
        <is>
          <t>Business</t>
        </is>
      </c>
      <c r="D2728" s="4" t="inlineStr">
        <is>
          <t>Business</t>
        </is>
      </c>
      <c r="E2728" s="4" t="inlineStr">
        <is>
          <t>Team Operations</t>
        </is>
      </c>
      <c r="F2728" s="4" t="inlineStr">
        <is>
          <t>Training</t>
        </is>
      </c>
      <c r="G2728" s="4" t="inlineStr">
        <is>
          <t>Expense</t>
        </is>
      </c>
      <c r="H2728" s="12" t="n">
        <v>46189</v>
      </c>
      <c r="I2728" s="13" t="n">
        <v>0.09320601851851852</v>
      </c>
      <c r="J2728" s="14" t="n">
        <v>46189.09320601852</v>
      </c>
      <c r="K2728" s="15" t="n">
        <v>74317.12</v>
      </c>
      <c r="L2728" s="4" t="inlineStr">
        <is>
          <t>INR</t>
        </is>
      </c>
      <c r="M2728" s="15" t="n">
        <v>-74317.12</v>
      </c>
      <c r="N2728" s="4" t="inlineStr">
        <is>
          <t>IOS Owner</t>
        </is>
      </c>
      <c r="O2728" s="4" t="n"/>
      <c r="P2728" s="4" t="n"/>
      <c r="Q2728" s="4" t="inlineStr">
        <is>
          <t>MAESTRO-IOS-BUSINESS-TEAM_OPERATIONS-2727 | Training | 74317.12</t>
        </is>
      </c>
      <c r="R2728" s="4" t="inlineStr">
        <is>
          <t>iPhone</t>
        </is>
      </c>
      <c r="S2728" s="4" t="inlineStr">
        <is>
          <t>B55</t>
        </is>
      </c>
      <c r="T2728" s="4" t="inlineStr">
        <is>
          <t>HIGH_2501_3000</t>
        </is>
      </c>
      <c r="U2728" s="4" t="inlineStr">
        <is>
          <t>CREATED</t>
        </is>
      </c>
      <c r="V2728" s="4" t="inlineStr">
        <is>
          <t>idem-20260902-ios-2727</t>
        </is>
      </c>
    </row>
    <row r="2729" ht="30" customHeight="1">
      <c r="A2729" s="4" t="n">
        <v>2728</v>
      </c>
      <c r="B2729" s="4" t="inlineStr">
        <is>
          <t>MTR-IOS-2728</t>
        </is>
      </c>
      <c r="C2729" s="4" t="inlineStr">
        <is>
          <t>Personal</t>
        </is>
      </c>
      <c r="D2729" s="4" t="inlineStr">
        <is>
          <t>Personal</t>
        </is>
      </c>
      <c r="E2729" s="4" t="inlineStr">
        <is>
          <t>Lifestyle</t>
        </is>
      </c>
      <c r="F2729" s="4" t="inlineStr">
        <is>
          <t>Dining</t>
        </is>
      </c>
      <c r="G2729" s="4" t="inlineStr">
        <is>
          <t>Expense</t>
        </is>
      </c>
      <c r="H2729" s="12" t="n">
        <v>45988</v>
      </c>
      <c r="I2729" s="13" t="n">
        <v>0.1524537037037037</v>
      </c>
      <c r="J2729" s="14" t="n">
        <v>45988.1524537037</v>
      </c>
      <c r="K2729" s="15" t="n">
        <v>6054.94</v>
      </c>
      <c r="L2729" s="4" t="inlineStr">
        <is>
          <t>INR</t>
        </is>
      </c>
      <c r="M2729" s="15" t="n">
        <v>-6054.94</v>
      </c>
      <c r="N2729" s="4" t="inlineStr">
        <is>
          <t>IOS Owner</t>
        </is>
      </c>
      <c r="O2729" s="4" t="n"/>
      <c r="P2729" s="4" t="n"/>
      <c r="Q2729" s="4" t="inlineStr">
        <is>
          <t>MAESTRO-IOS-PERSONAL-LIFESTYLE-2728 | Dining | 6054.94</t>
        </is>
      </c>
      <c r="R2729" s="4" t="inlineStr">
        <is>
          <t>iPhone</t>
        </is>
      </c>
      <c r="S2729" s="4" t="inlineStr">
        <is>
          <t>B55</t>
        </is>
      </c>
      <c r="T2729" s="4" t="inlineStr">
        <is>
          <t>HIGH_2501_3000</t>
        </is>
      </c>
      <c r="U2729" s="4" t="inlineStr">
        <is>
          <t>CREATED</t>
        </is>
      </c>
      <c r="V2729" s="4" t="inlineStr">
        <is>
          <t>idem-20260902-ios-2728</t>
        </is>
      </c>
    </row>
    <row r="2730" ht="30" customHeight="1">
      <c r="A2730" s="4" t="n">
        <v>2729</v>
      </c>
      <c r="B2730" s="4" t="inlineStr">
        <is>
          <t>MTR-IOS-2729</t>
        </is>
      </c>
      <c r="C2730" s="4" t="inlineStr">
        <is>
          <t>Group</t>
        </is>
      </c>
      <c r="D2730" s="4" t="inlineStr">
        <is>
          <t>Shared Living</t>
        </is>
      </c>
      <c r="E2730" s="4" t="inlineStr">
        <is>
          <t>Flatmates</t>
        </is>
      </c>
      <c r="F2730" s="4" t="inlineStr">
        <is>
          <t>Rent</t>
        </is>
      </c>
      <c r="G2730" s="4" t="inlineStr">
        <is>
          <t>Expense</t>
        </is>
      </c>
      <c r="H2730" s="12" t="n">
        <v>46069</v>
      </c>
      <c r="I2730" s="13" t="n">
        <v>0.5152546296296296</v>
      </c>
      <c r="J2730" s="14" t="n">
        <v>46069.51525462963</v>
      </c>
      <c r="K2730" s="15" t="n">
        <v>24181.51</v>
      </c>
      <c r="L2730" s="4" t="inlineStr">
        <is>
          <t>INR</t>
        </is>
      </c>
      <c r="M2730" s="15" t="n">
        <v>-24181.51</v>
      </c>
      <c r="N2730" s="4" t="inlineStr">
        <is>
          <t>IOS Owner</t>
        </is>
      </c>
      <c r="O2730" s="4" t="n">
        <v>3</v>
      </c>
      <c r="P2730" s="4" t="inlineStr">
        <is>
          <t>PERCENTAGE</t>
        </is>
      </c>
      <c r="Q2730" s="4" t="inlineStr">
        <is>
          <t>MAESTRO-IOS-GROUP-FLATMATES-2729 | Rent | 24181.51</t>
        </is>
      </c>
      <c r="R2730" s="4" t="inlineStr">
        <is>
          <t>iPhone</t>
        </is>
      </c>
      <c r="S2730" s="4" t="inlineStr">
        <is>
          <t>B55</t>
        </is>
      </c>
      <c r="T2730" s="4" t="inlineStr">
        <is>
          <t>HIGH_2501_3000</t>
        </is>
      </c>
      <c r="U2730" s="4" t="inlineStr">
        <is>
          <t>CREATED</t>
        </is>
      </c>
      <c r="V2730" s="4" t="inlineStr">
        <is>
          <t>idem-20260902-ios-2729</t>
        </is>
      </c>
    </row>
    <row r="2731" ht="30" customHeight="1">
      <c r="A2731" s="4" t="n">
        <v>2730</v>
      </c>
      <c r="B2731" s="4" t="inlineStr">
        <is>
          <t>MTR-IOS-2730</t>
        </is>
      </c>
      <c r="C2731" s="4" t="inlineStr">
        <is>
          <t>Business</t>
        </is>
      </c>
      <c r="D2731" s="4" t="inlineStr">
        <is>
          <t>Business</t>
        </is>
      </c>
      <c r="E2731" s="4" t="inlineStr">
        <is>
          <t>Team Operations</t>
        </is>
      </c>
      <c r="F2731" s="4" t="inlineStr">
        <is>
          <t>Tools</t>
        </is>
      </c>
      <c r="G2731" s="4" t="inlineStr">
        <is>
          <t>Expense</t>
        </is>
      </c>
      <c r="H2731" s="12" t="n">
        <v>46113</v>
      </c>
      <c r="I2731" s="13" t="n">
        <v>0.8420138888888888</v>
      </c>
      <c r="J2731" s="14" t="n">
        <v>46113.84201388889</v>
      </c>
      <c r="K2731" s="15" t="n">
        <v>117280.61</v>
      </c>
      <c r="L2731" s="4" t="inlineStr">
        <is>
          <t>INR</t>
        </is>
      </c>
      <c r="M2731" s="15" t="n">
        <v>-117280.61</v>
      </c>
      <c r="N2731" s="4" t="inlineStr">
        <is>
          <t>IOS Owner</t>
        </is>
      </c>
      <c r="O2731" s="4" t="n"/>
      <c r="P2731" s="4" t="n"/>
      <c r="Q2731" s="4" t="inlineStr">
        <is>
          <t>MAESTRO-IOS-BUSINESS-TEAM_OPERATIONS-2730 | Tools | 117280.61</t>
        </is>
      </c>
      <c r="R2731" s="4" t="inlineStr">
        <is>
          <t>iPhone</t>
        </is>
      </c>
      <c r="S2731" s="4" t="inlineStr">
        <is>
          <t>B55</t>
        </is>
      </c>
      <c r="T2731" s="4" t="inlineStr">
        <is>
          <t>HIGH_2501_3000</t>
        </is>
      </c>
      <c r="U2731" s="4" t="inlineStr">
        <is>
          <t>CREATED</t>
        </is>
      </c>
      <c r="V2731" s="4" t="inlineStr">
        <is>
          <t>idem-20260902-ios-2730</t>
        </is>
      </c>
    </row>
    <row r="2732" ht="30" customHeight="1">
      <c r="A2732" s="4" t="n">
        <v>2731</v>
      </c>
      <c r="B2732" s="4" t="inlineStr">
        <is>
          <t>MTR-IOS-2731</t>
        </is>
      </c>
      <c r="C2732" s="4" t="inlineStr">
        <is>
          <t>Personal</t>
        </is>
      </c>
      <c r="D2732" s="4" t="inlineStr">
        <is>
          <t>Personal</t>
        </is>
      </c>
      <c r="E2732" s="4" t="inlineStr">
        <is>
          <t>Lifestyle</t>
        </is>
      </c>
      <c r="F2732" s="4" t="inlineStr">
        <is>
          <t>Shopping</t>
        </is>
      </c>
      <c r="G2732" s="4" t="inlineStr">
        <is>
          <t>Expense</t>
        </is>
      </c>
      <c r="H2732" s="12" t="n">
        <v>45927</v>
      </c>
      <c r="I2732" s="13" t="n">
        <v>0.7468634259259259</v>
      </c>
      <c r="J2732" s="14" t="n">
        <v>45927.74686342593</v>
      </c>
      <c r="K2732" s="15" t="n">
        <v>7567.01</v>
      </c>
      <c r="L2732" s="4" t="inlineStr">
        <is>
          <t>INR</t>
        </is>
      </c>
      <c r="M2732" s="15" t="n">
        <v>-7567.01</v>
      </c>
      <c r="N2732" s="4" t="inlineStr">
        <is>
          <t>IOS Owner</t>
        </is>
      </c>
      <c r="O2732" s="4" t="n"/>
      <c r="P2732" s="4" t="n"/>
      <c r="Q2732" s="4" t="inlineStr">
        <is>
          <t>MAESTRO-IOS-PERSONAL-LIFESTYLE-2731 | Shopping | 7567.01</t>
        </is>
      </c>
      <c r="R2732" s="4" t="inlineStr">
        <is>
          <t>iPhone</t>
        </is>
      </c>
      <c r="S2732" s="4" t="inlineStr">
        <is>
          <t>B55</t>
        </is>
      </c>
      <c r="T2732" s="4" t="inlineStr">
        <is>
          <t>HIGH_2501_3000</t>
        </is>
      </c>
      <c r="U2732" s="4" t="inlineStr">
        <is>
          <t>CREATED</t>
        </is>
      </c>
      <c r="V2732" s="4" t="inlineStr">
        <is>
          <t>idem-20260902-ios-2731</t>
        </is>
      </c>
    </row>
    <row r="2733" ht="30" customHeight="1">
      <c r="A2733" s="4" t="n">
        <v>2732</v>
      </c>
      <c r="B2733" s="4" t="inlineStr">
        <is>
          <t>MTR-IOS-2732</t>
        </is>
      </c>
      <c r="C2733" s="4" t="inlineStr">
        <is>
          <t>Group</t>
        </is>
      </c>
      <c r="D2733" s="4" t="inlineStr">
        <is>
          <t>Shared Living</t>
        </is>
      </c>
      <c r="E2733" s="4" t="inlineStr">
        <is>
          <t>Flatmates</t>
        </is>
      </c>
      <c r="F2733" s="4" t="inlineStr">
        <is>
          <t>Utilities</t>
        </is>
      </c>
      <c r="G2733" s="4" t="inlineStr">
        <is>
          <t>Expense</t>
        </is>
      </c>
      <c r="H2733" s="12" t="n">
        <v>46153</v>
      </c>
      <c r="I2733" s="13" t="n">
        <v>0.9679398148148148</v>
      </c>
      <c r="J2733" s="14" t="n">
        <v>46153.96793981481</v>
      </c>
      <c r="K2733" s="15" t="n">
        <v>762.25</v>
      </c>
      <c r="L2733" s="4" t="inlineStr">
        <is>
          <t>INR</t>
        </is>
      </c>
      <c r="M2733" s="15" t="n">
        <v>-762.25</v>
      </c>
      <c r="N2733" s="4" t="inlineStr">
        <is>
          <t>IOS Aarav</t>
        </is>
      </c>
      <c r="O2733" s="4" t="n">
        <v>3</v>
      </c>
      <c r="P2733" s="4" t="inlineStr">
        <is>
          <t>EXACT</t>
        </is>
      </c>
      <c r="Q2733" s="4" t="inlineStr">
        <is>
          <t>MAESTRO-IOS-GROUP-FLATMATES-2732 | Utilities | 762.25</t>
        </is>
      </c>
      <c r="R2733" s="4" t="inlineStr">
        <is>
          <t>iPhone</t>
        </is>
      </c>
      <c r="S2733" s="4" t="inlineStr">
        <is>
          <t>B55</t>
        </is>
      </c>
      <c r="T2733" s="4" t="inlineStr">
        <is>
          <t>HIGH_2501_3000</t>
        </is>
      </c>
      <c r="U2733" s="4" t="inlineStr">
        <is>
          <t>CREATED</t>
        </is>
      </c>
      <c r="V2733" s="4" t="inlineStr">
        <is>
          <t>idem-20260902-ios-2732</t>
        </is>
      </c>
    </row>
    <row r="2734" ht="30" customHeight="1">
      <c r="A2734" s="4" t="n">
        <v>2733</v>
      </c>
      <c r="B2734" s="4" t="inlineStr">
        <is>
          <t>MTR-IOS-2733</t>
        </is>
      </c>
      <c r="C2734" s="4" t="inlineStr">
        <is>
          <t>Business</t>
        </is>
      </c>
      <c r="D2734" s="4" t="inlineStr">
        <is>
          <t>Business</t>
        </is>
      </c>
      <c r="E2734" s="4" t="inlineStr">
        <is>
          <t>Business Runway</t>
        </is>
      </c>
      <c r="F2734" s="4" t="inlineStr">
        <is>
          <t>Funding</t>
        </is>
      </c>
      <c r="G2734" s="4" t="inlineStr">
        <is>
          <t>Income</t>
        </is>
      </c>
      <c r="H2734" s="12" t="n">
        <v>46197</v>
      </c>
      <c r="I2734" s="13" t="n">
        <v>0.8379745370370371</v>
      </c>
      <c r="J2734" s="14" t="n">
        <v>46197.83797453704</v>
      </c>
      <c r="K2734" s="15" t="n">
        <v>46823.24</v>
      </c>
      <c r="L2734" s="4" t="inlineStr">
        <is>
          <t>INR</t>
        </is>
      </c>
      <c r="M2734" s="15" t="n">
        <v>46823.24</v>
      </c>
      <c r="N2734" s="4" t="inlineStr">
        <is>
          <t>IOS Owner</t>
        </is>
      </c>
      <c r="O2734" s="4" t="n"/>
      <c r="P2734" s="4" t="n"/>
      <c r="Q2734" s="4" t="inlineStr">
        <is>
          <t>MAESTRO-IOS-BUSINESS-BUSINESS_RUNWAY-2733 | Funding | 46823.24</t>
        </is>
      </c>
      <c r="R2734" s="4" t="inlineStr">
        <is>
          <t>iPhone</t>
        </is>
      </c>
      <c r="S2734" s="4" t="inlineStr">
        <is>
          <t>B55</t>
        </is>
      </c>
      <c r="T2734" s="4" t="inlineStr">
        <is>
          <t>HIGH_2501_3000</t>
        </is>
      </c>
      <c r="U2734" s="4" t="inlineStr">
        <is>
          <t>CREATED</t>
        </is>
      </c>
      <c r="V2734" s="4" t="inlineStr">
        <is>
          <t>idem-20260902-ios-2733</t>
        </is>
      </c>
    </row>
    <row r="2735" ht="30" customHeight="1">
      <c r="A2735" s="4" t="n">
        <v>2734</v>
      </c>
      <c r="B2735" s="4" t="inlineStr">
        <is>
          <t>MTR-IOS-2734</t>
        </is>
      </c>
      <c r="C2735" s="4" t="inlineStr">
        <is>
          <t>Personal</t>
        </is>
      </c>
      <c r="D2735" s="4" t="inlineStr">
        <is>
          <t>Personal</t>
        </is>
      </c>
      <c r="E2735" s="4" t="inlineStr">
        <is>
          <t>Lifestyle</t>
        </is>
      </c>
      <c r="F2735" s="4" t="inlineStr">
        <is>
          <t>Entertainment</t>
        </is>
      </c>
      <c r="G2735" s="4" t="inlineStr">
        <is>
          <t>Expense</t>
        </is>
      </c>
      <c r="H2735" s="12" t="n">
        <v>46111</v>
      </c>
      <c r="I2735" s="13" t="n">
        <v>0.006979166666666667</v>
      </c>
      <c r="J2735" s="14" t="n">
        <v>46111.00697916667</v>
      </c>
      <c r="K2735" s="15" t="n">
        <v>6359.98</v>
      </c>
      <c r="L2735" s="4" t="inlineStr">
        <is>
          <t>INR</t>
        </is>
      </c>
      <c r="M2735" s="15" t="n">
        <v>-6359.98</v>
      </c>
      <c r="N2735" s="4" t="inlineStr">
        <is>
          <t>IOS Owner</t>
        </is>
      </c>
      <c r="O2735" s="4" t="n"/>
      <c r="P2735" s="4" t="n"/>
      <c r="Q2735" s="4" t="inlineStr">
        <is>
          <t>MAESTRO-IOS-PERSONAL-LIFESTYLE-2734 | Entertainment | 6359.98</t>
        </is>
      </c>
      <c r="R2735" s="4" t="inlineStr">
        <is>
          <t>iPhone</t>
        </is>
      </c>
      <c r="S2735" s="4" t="inlineStr">
        <is>
          <t>B55</t>
        </is>
      </c>
      <c r="T2735" s="4" t="inlineStr">
        <is>
          <t>HIGH_2501_3000</t>
        </is>
      </c>
      <c r="U2735" s="4" t="inlineStr">
        <is>
          <t>CREATED</t>
        </is>
      </c>
      <c r="V2735" s="4" t="inlineStr">
        <is>
          <t>idem-20260902-ios-2734</t>
        </is>
      </c>
    </row>
    <row r="2736" ht="30" customHeight="1">
      <c r="A2736" s="4" t="n">
        <v>2735</v>
      </c>
      <c r="B2736" s="4" t="inlineStr">
        <is>
          <t>MTR-IOS-2735</t>
        </is>
      </c>
      <c r="C2736" s="4" t="inlineStr">
        <is>
          <t>Group</t>
        </is>
      </c>
      <c r="D2736" s="4" t="inlineStr">
        <is>
          <t>Shared Living</t>
        </is>
      </c>
      <c r="E2736" s="4" t="inlineStr">
        <is>
          <t>Flatmates</t>
        </is>
      </c>
      <c r="F2736" s="4" t="inlineStr">
        <is>
          <t>Groceries</t>
        </is>
      </c>
      <c r="G2736" s="4" t="inlineStr">
        <is>
          <t>Expense</t>
        </is>
      </c>
      <c r="H2736" s="12" t="n">
        <v>46129</v>
      </c>
      <c r="I2736" s="13" t="n">
        <v>0.6169675925925926</v>
      </c>
      <c r="J2736" s="14" t="n">
        <v>46129.61696759259</v>
      </c>
      <c r="K2736" s="15" t="n">
        <v>8205.040000000001</v>
      </c>
      <c r="L2736" s="4" t="inlineStr">
        <is>
          <t>INR</t>
        </is>
      </c>
      <c r="M2736" s="15" t="n">
        <v>-8205.040000000001</v>
      </c>
      <c r="N2736" s="4" t="inlineStr">
        <is>
          <t>IOS Meera</t>
        </is>
      </c>
      <c r="O2736" s="4" t="n">
        <v>3</v>
      </c>
      <c r="P2736" s="4" t="inlineStr">
        <is>
          <t>SHARES</t>
        </is>
      </c>
      <c r="Q2736" s="4" t="inlineStr">
        <is>
          <t>MAESTRO-IOS-GROUP-FLATMATES-2735 | Groceries | 8205.04</t>
        </is>
      </c>
      <c r="R2736" s="4" t="inlineStr">
        <is>
          <t>iPhone</t>
        </is>
      </c>
      <c r="S2736" s="4" t="inlineStr">
        <is>
          <t>B55</t>
        </is>
      </c>
      <c r="T2736" s="4" t="inlineStr">
        <is>
          <t>HIGH_2501_3000</t>
        </is>
      </c>
      <c r="U2736" s="4" t="inlineStr">
        <is>
          <t>CREATED</t>
        </is>
      </c>
      <c r="V2736" s="4" t="inlineStr">
        <is>
          <t>idem-20260902-ios-2735</t>
        </is>
      </c>
    </row>
    <row r="2737" ht="30" customHeight="1">
      <c r="A2737" s="4" t="n">
        <v>2736</v>
      </c>
      <c r="B2737" s="4" t="inlineStr">
        <is>
          <t>MTR-IOS-2736</t>
        </is>
      </c>
      <c r="C2737" s="4" t="inlineStr">
        <is>
          <t>Business</t>
        </is>
      </c>
      <c r="D2737" s="4" t="inlineStr">
        <is>
          <t>Business</t>
        </is>
      </c>
      <c r="E2737" s="4" t="inlineStr">
        <is>
          <t>Business Runway</t>
        </is>
      </c>
      <c r="F2737" s="4" t="inlineStr">
        <is>
          <t>Revenue</t>
        </is>
      </c>
      <c r="G2737" s="4" t="inlineStr">
        <is>
          <t>Income</t>
        </is>
      </c>
      <c r="H2737" s="12" t="n">
        <v>45949</v>
      </c>
      <c r="I2737" s="13" t="n">
        <v>0.6663078703703704</v>
      </c>
      <c r="J2737" s="14" t="n">
        <v>45949.66630787037</v>
      </c>
      <c r="K2737" s="15" t="n">
        <v>48652.75</v>
      </c>
      <c r="L2737" s="4" t="inlineStr">
        <is>
          <t>INR</t>
        </is>
      </c>
      <c r="M2737" s="15" t="n">
        <v>48652.75</v>
      </c>
      <c r="N2737" s="4" t="inlineStr">
        <is>
          <t>IOS Owner</t>
        </is>
      </c>
      <c r="O2737" s="4" t="n"/>
      <c r="P2737" s="4" t="n"/>
      <c r="Q2737" s="4" t="inlineStr">
        <is>
          <t>MAESTRO-IOS-BUSINESS-BUSINESS_RUNWAY-2736 | Revenue | 48652.75</t>
        </is>
      </c>
      <c r="R2737" s="4" t="inlineStr">
        <is>
          <t>iPhone</t>
        </is>
      </c>
      <c r="S2737" s="4" t="inlineStr">
        <is>
          <t>B55</t>
        </is>
      </c>
      <c r="T2737" s="4" t="inlineStr">
        <is>
          <t>HIGH_2501_3000</t>
        </is>
      </c>
      <c r="U2737" s="4" t="inlineStr">
        <is>
          <t>CREATED</t>
        </is>
      </c>
      <c r="V2737" s="4" t="inlineStr">
        <is>
          <t>idem-20260902-ios-2736</t>
        </is>
      </c>
    </row>
    <row r="2738" ht="30" customHeight="1">
      <c r="A2738" s="4" t="n">
        <v>2737</v>
      </c>
      <c r="B2738" s="4" t="inlineStr">
        <is>
          <t>MTR-IOS-2737</t>
        </is>
      </c>
      <c r="C2738" s="4" t="inlineStr">
        <is>
          <t>Personal</t>
        </is>
      </c>
      <c r="D2738" s="4" t="inlineStr">
        <is>
          <t>Personal</t>
        </is>
      </c>
      <c r="E2738" s="4" t="inlineStr">
        <is>
          <t>Lifestyle</t>
        </is>
      </c>
      <c r="F2738" s="4" t="inlineStr">
        <is>
          <t>Travel</t>
        </is>
      </c>
      <c r="G2738" s="4" t="inlineStr">
        <is>
          <t>Expense</t>
        </is>
      </c>
      <c r="H2738" s="12" t="n">
        <v>46176</v>
      </c>
      <c r="I2738" s="13" t="n">
        <v>0.5750810185185186</v>
      </c>
      <c r="J2738" s="14" t="n">
        <v>46176.57508101852</v>
      </c>
      <c r="K2738" s="15" t="n">
        <v>1477.7</v>
      </c>
      <c r="L2738" s="4" t="inlineStr">
        <is>
          <t>INR</t>
        </is>
      </c>
      <c r="M2738" s="15" t="n">
        <v>-1477.7</v>
      </c>
      <c r="N2738" s="4" t="inlineStr">
        <is>
          <t>IOS Owner</t>
        </is>
      </c>
      <c r="O2738" s="4" t="n"/>
      <c r="P2738" s="4" t="n"/>
      <c r="Q2738" s="4" t="inlineStr">
        <is>
          <t>MAESTRO-IOS-PERSONAL-LIFESTYLE-2737 | Travel | 1477.70</t>
        </is>
      </c>
      <c r="R2738" s="4" t="inlineStr">
        <is>
          <t>iPhone</t>
        </is>
      </c>
      <c r="S2738" s="4" t="inlineStr">
        <is>
          <t>B55</t>
        </is>
      </c>
      <c r="T2738" s="4" t="inlineStr">
        <is>
          <t>HIGH_2501_3000</t>
        </is>
      </c>
      <c r="U2738" s="4" t="inlineStr">
        <is>
          <t>CREATED</t>
        </is>
      </c>
      <c r="V2738" s="4" t="inlineStr">
        <is>
          <t>idem-20260902-ios-2737</t>
        </is>
      </c>
    </row>
    <row r="2739" ht="30" customHeight="1">
      <c r="A2739" s="4" t="n">
        <v>2738</v>
      </c>
      <c r="B2739" s="4" t="inlineStr">
        <is>
          <t>MTR-IOS-2738</t>
        </is>
      </c>
      <c r="C2739" s="4" t="inlineStr">
        <is>
          <t>Group</t>
        </is>
      </c>
      <c r="D2739" s="4" t="inlineStr">
        <is>
          <t>Shared Living</t>
        </is>
      </c>
      <c r="E2739" s="4" t="inlineStr">
        <is>
          <t>Flatmates</t>
        </is>
      </c>
      <c r="F2739" s="4" t="inlineStr">
        <is>
          <t>Internet</t>
        </is>
      </c>
      <c r="G2739" s="4" t="inlineStr">
        <is>
          <t>Expense</t>
        </is>
      </c>
      <c r="H2739" s="12" t="n">
        <v>45970</v>
      </c>
      <c r="I2739" s="13" t="n">
        <v>0.9783333333333334</v>
      </c>
      <c r="J2739" s="14" t="n">
        <v>45970.97833333333</v>
      </c>
      <c r="K2739" s="15" t="n">
        <v>99.98999999999999</v>
      </c>
      <c r="L2739" s="4" t="inlineStr">
        <is>
          <t>INR</t>
        </is>
      </c>
      <c r="M2739" s="15" t="n">
        <v>-99.98999999999999</v>
      </c>
      <c r="N2739" s="4" t="inlineStr">
        <is>
          <t>IOS Owner</t>
        </is>
      </c>
      <c r="O2739" s="4" t="n">
        <v>3</v>
      </c>
      <c r="P2739" s="4" t="inlineStr">
        <is>
          <t>EQUAL</t>
        </is>
      </c>
      <c r="Q2739" s="4" t="inlineStr">
        <is>
          <t>MAESTRO-IOS-GROUP-FLATMATES-2738 | Internet | 99.99</t>
        </is>
      </c>
      <c r="R2739" s="4" t="inlineStr">
        <is>
          <t>iPhone</t>
        </is>
      </c>
      <c r="S2739" s="4" t="inlineStr">
        <is>
          <t>B55</t>
        </is>
      </c>
      <c r="T2739" s="4" t="inlineStr">
        <is>
          <t>HIGH_2501_3000</t>
        </is>
      </c>
      <c r="U2739" s="4" t="inlineStr">
        <is>
          <t>CREATED</t>
        </is>
      </c>
      <c r="V2739" s="4" t="inlineStr">
        <is>
          <t>idem-20260902-ios-2738</t>
        </is>
      </c>
    </row>
    <row r="2740" ht="30" customHeight="1">
      <c r="A2740" s="4" t="n">
        <v>2739</v>
      </c>
      <c r="B2740" s="4" t="inlineStr">
        <is>
          <t>MTR-IOS-2739</t>
        </is>
      </c>
      <c r="C2740" s="4" t="inlineStr">
        <is>
          <t>Business</t>
        </is>
      </c>
      <c r="D2740" s="4" t="inlineStr">
        <is>
          <t>Business</t>
        </is>
      </c>
      <c r="E2740" s="4" t="inlineStr">
        <is>
          <t>Business Runway</t>
        </is>
      </c>
      <c r="F2740" s="4" t="inlineStr">
        <is>
          <t>Burn</t>
        </is>
      </c>
      <c r="G2740" s="4" t="inlineStr">
        <is>
          <t>Expense</t>
        </is>
      </c>
      <c r="H2740" s="12" t="n">
        <v>46258</v>
      </c>
      <c r="I2740" s="13" t="n">
        <v>0.2719675925925926</v>
      </c>
      <c r="J2740" s="14" t="n">
        <v>46258.27196759259</v>
      </c>
      <c r="K2740" s="15" t="n">
        <v>31067.88</v>
      </c>
      <c r="L2740" s="4" t="inlineStr">
        <is>
          <t>INR</t>
        </is>
      </c>
      <c r="M2740" s="15" t="n">
        <v>-31067.88</v>
      </c>
      <c r="N2740" s="4" t="inlineStr">
        <is>
          <t>IOS Owner</t>
        </is>
      </c>
      <c r="O2740" s="4" t="n"/>
      <c r="P2740" s="4" t="n"/>
      <c r="Q2740" s="4" t="inlineStr">
        <is>
          <t>MAESTRO-IOS-BUSINESS-BUSINESS_RUNWAY-2739 | Burn | 31067.88</t>
        </is>
      </c>
      <c r="R2740" s="4" t="inlineStr">
        <is>
          <t>iPhone</t>
        </is>
      </c>
      <c r="S2740" s="4" t="inlineStr">
        <is>
          <t>B55</t>
        </is>
      </c>
      <c r="T2740" s="4" t="inlineStr">
        <is>
          <t>HIGH_2501_3000</t>
        </is>
      </c>
      <c r="U2740" s="4" t="inlineStr">
        <is>
          <t>CREATED</t>
        </is>
      </c>
      <c r="V2740" s="4" t="inlineStr">
        <is>
          <t>idem-20260902-ios-2739</t>
        </is>
      </c>
    </row>
    <row r="2741" ht="30" customHeight="1">
      <c r="A2741" s="4" t="n">
        <v>2740</v>
      </c>
      <c r="B2741" s="4" t="inlineStr">
        <is>
          <t>MTR-IOS-2740</t>
        </is>
      </c>
      <c r="C2741" s="4" t="inlineStr">
        <is>
          <t>Personal</t>
        </is>
      </c>
      <c r="D2741" s="4" t="inlineStr">
        <is>
          <t>Personal</t>
        </is>
      </c>
      <c r="E2741" s="4" t="inlineStr">
        <is>
          <t>Lifestyle</t>
        </is>
      </c>
      <c r="F2741" s="4" t="inlineStr">
        <is>
          <t>Fitness</t>
        </is>
      </c>
      <c r="G2741" s="4" t="inlineStr">
        <is>
          <t>Expense</t>
        </is>
      </c>
      <c r="H2741" s="12" t="n">
        <v>45972</v>
      </c>
      <c r="I2741" s="13" t="n">
        <v>0.1798726851851852</v>
      </c>
      <c r="J2741" s="14" t="n">
        <v>45972.17987268518</v>
      </c>
      <c r="K2741" s="15" t="n">
        <v>7578.3</v>
      </c>
      <c r="L2741" s="4" t="inlineStr">
        <is>
          <t>INR</t>
        </is>
      </c>
      <c r="M2741" s="15" t="n">
        <v>-7578.3</v>
      </c>
      <c r="N2741" s="4" t="inlineStr">
        <is>
          <t>IOS Owner</t>
        </is>
      </c>
      <c r="O2741" s="4" t="n"/>
      <c r="P2741" s="4" t="n"/>
      <c r="Q2741" s="4" t="inlineStr">
        <is>
          <t>MAESTRO-IOS-PERSONAL-LIFESTYLE-2740 | Fitness | 7578.30</t>
        </is>
      </c>
      <c r="R2741" s="4" t="inlineStr">
        <is>
          <t>iPhone</t>
        </is>
      </c>
      <c r="S2741" s="4" t="inlineStr">
        <is>
          <t>B55</t>
        </is>
      </c>
      <c r="T2741" s="4" t="inlineStr">
        <is>
          <t>HIGH_2501_3000</t>
        </is>
      </c>
      <c r="U2741" s="4" t="inlineStr">
        <is>
          <t>CREATED</t>
        </is>
      </c>
      <c r="V2741" s="4" t="inlineStr">
        <is>
          <t>idem-20260902-ios-2740</t>
        </is>
      </c>
    </row>
    <row r="2742" ht="30" customHeight="1">
      <c r="A2742" s="4" t="n">
        <v>2741</v>
      </c>
      <c r="B2742" s="4" t="inlineStr">
        <is>
          <t>MTR-IOS-2741</t>
        </is>
      </c>
      <c r="C2742" s="4" t="inlineStr">
        <is>
          <t>Group</t>
        </is>
      </c>
      <c r="D2742" s="4" t="inlineStr">
        <is>
          <t>Shared Living</t>
        </is>
      </c>
      <c r="E2742" s="4" t="inlineStr">
        <is>
          <t>Flatmates</t>
        </is>
      </c>
      <c r="F2742" s="4" t="inlineStr">
        <is>
          <t>House Supplies</t>
        </is>
      </c>
      <c r="G2742" s="4" t="inlineStr">
        <is>
          <t>Expense</t>
        </is>
      </c>
      <c r="H2742" s="12" t="n">
        <v>46006</v>
      </c>
      <c r="I2742" s="13" t="n">
        <v>0.7952662037037037</v>
      </c>
      <c r="J2742" s="14" t="n">
        <v>46006.79526620371</v>
      </c>
      <c r="K2742" s="15" t="n">
        <v>7849.35</v>
      </c>
      <c r="L2742" s="4" t="inlineStr">
        <is>
          <t>INR</t>
        </is>
      </c>
      <c r="M2742" s="15" t="n">
        <v>-7849.35</v>
      </c>
      <c r="N2742" s="4" t="inlineStr">
        <is>
          <t>IOS Aarav</t>
        </is>
      </c>
      <c r="O2742" s="4" t="n">
        <v>3</v>
      </c>
      <c r="P2742" s="4" t="inlineStr">
        <is>
          <t>PERCENTAGE</t>
        </is>
      </c>
      <c r="Q2742" s="4" t="inlineStr">
        <is>
          <t>MAESTRO-IOS-GROUP-FLATMATES-2741 | House Supplies | 7849.35</t>
        </is>
      </c>
      <c r="R2742" s="4" t="inlineStr">
        <is>
          <t>iPhone</t>
        </is>
      </c>
      <c r="S2742" s="4" t="inlineStr">
        <is>
          <t>B55</t>
        </is>
      </c>
      <c r="T2742" s="4" t="inlineStr">
        <is>
          <t>HIGH_2501_3000</t>
        </is>
      </c>
      <c r="U2742" s="4" t="inlineStr">
        <is>
          <t>CREATED</t>
        </is>
      </c>
      <c r="V2742" s="4" t="inlineStr">
        <is>
          <t>idem-20260902-ios-2741</t>
        </is>
      </c>
    </row>
    <row r="2743" ht="30" customHeight="1">
      <c r="A2743" s="4" t="n">
        <v>2742</v>
      </c>
      <c r="B2743" s="4" t="inlineStr">
        <is>
          <t>MTR-IOS-2742</t>
        </is>
      </c>
      <c r="C2743" s="4" t="inlineStr">
        <is>
          <t>Business</t>
        </is>
      </c>
      <c r="D2743" s="4" t="inlineStr">
        <is>
          <t>Business</t>
        </is>
      </c>
      <c r="E2743" s="4" t="inlineStr">
        <is>
          <t>Business Runway</t>
        </is>
      </c>
      <c r="F2743" s="4" t="inlineStr">
        <is>
          <t>Reserve</t>
        </is>
      </c>
      <c r="G2743" s="4" t="inlineStr">
        <is>
          <t>Transfer</t>
        </is>
      </c>
      <c r="H2743" s="12" t="n">
        <v>45941</v>
      </c>
      <c r="I2743" s="13" t="n">
        <v>0.5102199074074074</v>
      </c>
      <c r="J2743" s="14" t="n">
        <v>45941.51021990741</v>
      </c>
      <c r="K2743" s="15" t="n">
        <v>53563.82</v>
      </c>
      <c r="L2743" s="4" t="inlineStr">
        <is>
          <t>INR</t>
        </is>
      </c>
      <c r="M2743" s="15" t="n">
        <v>0</v>
      </c>
      <c r="N2743" s="4" t="inlineStr">
        <is>
          <t>IOS Owner</t>
        </is>
      </c>
      <c r="O2743" s="4" t="n"/>
      <c r="P2743" s="4" t="n"/>
      <c r="Q2743" s="4" t="inlineStr">
        <is>
          <t>MAESTRO-IOS-BUSINESS-BUSINESS_RUNWAY-2742 | Reserve | 53563.82</t>
        </is>
      </c>
      <c r="R2743" s="4" t="inlineStr">
        <is>
          <t>iPhone</t>
        </is>
      </c>
      <c r="S2743" s="4" t="inlineStr">
        <is>
          <t>B55</t>
        </is>
      </c>
      <c r="T2743" s="4" t="inlineStr">
        <is>
          <t>HIGH_2501_3000</t>
        </is>
      </c>
      <c r="U2743" s="4" t="inlineStr">
        <is>
          <t>CREATED</t>
        </is>
      </c>
      <c r="V2743" s="4" t="inlineStr">
        <is>
          <t>idem-20260902-ios-2742</t>
        </is>
      </c>
    </row>
    <row r="2744" ht="30" customHeight="1">
      <c r="A2744" s="4" t="n">
        <v>2743</v>
      </c>
      <c r="B2744" s="4" t="inlineStr">
        <is>
          <t>MTR-IOS-2743</t>
        </is>
      </c>
      <c r="C2744" s="4" t="inlineStr">
        <is>
          <t>Personal</t>
        </is>
      </c>
      <c r="D2744" s="4" t="inlineStr">
        <is>
          <t>Personal</t>
        </is>
      </c>
      <c r="E2744" s="4" t="inlineStr">
        <is>
          <t>Lifestyle</t>
        </is>
      </c>
      <c r="F2744" s="4" t="inlineStr">
        <is>
          <t>Hobbies</t>
        </is>
      </c>
      <c r="G2744" s="4" t="inlineStr">
        <is>
          <t>Expense</t>
        </is>
      </c>
      <c r="H2744" s="12" t="n">
        <v>46237</v>
      </c>
      <c r="I2744" s="13" t="n">
        <v>0.7891898148148148</v>
      </c>
      <c r="J2744" s="14" t="n">
        <v>46237.78918981482</v>
      </c>
      <c r="K2744" s="15" t="n">
        <v>7200.07</v>
      </c>
      <c r="L2744" s="4" t="inlineStr">
        <is>
          <t>INR</t>
        </is>
      </c>
      <c r="M2744" s="15" t="n">
        <v>-7200.07</v>
      </c>
      <c r="N2744" s="4" t="inlineStr">
        <is>
          <t>IOS Owner</t>
        </is>
      </c>
      <c r="O2744" s="4" t="n"/>
      <c r="P2744" s="4" t="n"/>
      <c r="Q2744" s="4" t="inlineStr">
        <is>
          <t>MAESTRO-IOS-PERSONAL-LIFESTYLE-2743 | Hobbies | 7200.07</t>
        </is>
      </c>
      <c r="R2744" s="4" t="inlineStr">
        <is>
          <t>iPhone</t>
        </is>
      </c>
      <c r="S2744" s="4" t="inlineStr">
        <is>
          <t>B55</t>
        </is>
      </c>
      <c r="T2744" s="4" t="inlineStr">
        <is>
          <t>HIGH_2501_3000</t>
        </is>
      </c>
      <c r="U2744" s="4" t="inlineStr">
        <is>
          <t>CREATED</t>
        </is>
      </c>
      <c r="V2744" s="4" t="inlineStr">
        <is>
          <t>idem-20260902-ios-2743</t>
        </is>
      </c>
    </row>
    <row r="2745" ht="30" customHeight="1">
      <c r="A2745" s="4" t="n">
        <v>2744</v>
      </c>
      <c r="B2745" s="4" t="inlineStr">
        <is>
          <t>MTR-IOS-2744</t>
        </is>
      </c>
      <c r="C2745" s="4" t="inlineStr">
        <is>
          <t>Group</t>
        </is>
      </c>
      <c r="D2745" s="4" t="inlineStr">
        <is>
          <t>Shared Living</t>
        </is>
      </c>
      <c r="E2745" s="4" t="inlineStr">
        <is>
          <t>Flatmates</t>
        </is>
      </c>
      <c r="F2745" s="4" t="inlineStr">
        <is>
          <t>Repairs</t>
        </is>
      </c>
      <c r="G2745" s="4" t="inlineStr">
        <is>
          <t>Expense</t>
        </is>
      </c>
      <c r="H2745" s="12" t="n">
        <v>46114</v>
      </c>
      <c r="I2745" s="13" t="n">
        <v>0.984386574074074</v>
      </c>
      <c r="J2745" s="14" t="n">
        <v>46114.98438657408</v>
      </c>
      <c r="K2745" s="15" t="n">
        <v>3479.7</v>
      </c>
      <c r="L2745" s="4" t="inlineStr">
        <is>
          <t>INR</t>
        </is>
      </c>
      <c r="M2745" s="15" t="n">
        <v>-3479.7</v>
      </c>
      <c r="N2745" s="4" t="inlineStr">
        <is>
          <t>IOS Meera</t>
        </is>
      </c>
      <c r="O2745" s="4" t="n">
        <v>3</v>
      </c>
      <c r="P2745" s="4" t="inlineStr">
        <is>
          <t>EXACT</t>
        </is>
      </c>
      <c r="Q2745" s="4" t="inlineStr">
        <is>
          <t>MAESTRO-IOS-GROUP-FLATMATES-2744 | Repairs | 3479.70</t>
        </is>
      </c>
      <c r="R2745" s="4" t="inlineStr">
        <is>
          <t>iPhone</t>
        </is>
      </c>
      <c r="S2745" s="4" t="inlineStr">
        <is>
          <t>B55</t>
        </is>
      </c>
      <c r="T2745" s="4" t="inlineStr">
        <is>
          <t>HIGH_2501_3000</t>
        </is>
      </c>
      <c r="U2745" s="4" t="inlineStr">
        <is>
          <t>CREATED</t>
        </is>
      </c>
      <c r="V2745" s="4" t="inlineStr">
        <is>
          <t>idem-20260902-ios-2744</t>
        </is>
      </c>
    </row>
    <row r="2746" ht="30" customHeight="1">
      <c r="A2746" s="4" t="n">
        <v>2745</v>
      </c>
      <c r="B2746" s="4" t="inlineStr">
        <is>
          <t>MTR-IOS-2745</t>
        </is>
      </c>
      <c r="C2746" s="4" t="inlineStr">
        <is>
          <t>Business</t>
        </is>
      </c>
      <c r="D2746" s="4" t="inlineStr">
        <is>
          <t>Business</t>
        </is>
      </c>
      <c r="E2746" s="4" t="inlineStr">
        <is>
          <t>Business Runway</t>
        </is>
      </c>
      <c r="F2746" s="4" t="inlineStr">
        <is>
          <t>Loan</t>
        </is>
      </c>
      <c r="G2746" s="4" t="inlineStr">
        <is>
          <t>Income</t>
        </is>
      </c>
      <c r="H2746" s="12" t="n">
        <v>46118</v>
      </c>
      <c r="I2746" s="13" t="n">
        <v>0.8058217592592593</v>
      </c>
      <c r="J2746" s="14" t="n">
        <v>46118.80582175926</v>
      </c>
      <c r="K2746" s="15" t="n">
        <v>53629.72</v>
      </c>
      <c r="L2746" s="4" t="inlineStr">
        <is>
          <t>INR</t>
        </is>
      </c>
      <c r="M2746" s="15" t="n">
        <v>53629.72</v>
      </c>
      <c r="N2746" s="4" t="inlineStr">
        <is>
          <t>IOS Owner</t>
        </is>
      </c>
      <c r="O2746" s="4" t="n"/>
      <c r="P2746" s="4" t="n"/>
      <c r="Q2746" s="4" t="inlineStr">
        <is>
          <t>MAESTRO-IOS-BUSINESS-BUSINESS_RUNWAY-2745 | Loan | 53629.72</t>
        </is>
      </c>
      <c r="R2746" s="4" t="inlineStr">
        <is>
          <t>iPhone</t>
        </is>
      </c>
      <c r="S2746" s="4" t="inlineStr">
        <is>
          <t>B55</t>
        </is>
      </c>
      <c r="T2746" s="4" t="inlineStr">
        <is>
          <t>HIGH_2501_3000</t>
        </is>
      </c>
      <c r="U2746" s="4" t="inlineStr">
        <is>
          <t>CREATED</t>
        </is>
      </c>
      <c r="V2746" s="4" t="inlineStr">
        <is>
          <t>idem-20260902-ios-2745</t>
        </is>
      </c>
    </row>
    <row r="2747" ht="30" customHeight="1">
      <c r="A2747" s="4" t="n">
        <v>2746</v>
      </c>
      <c r="B2747" s="4" t="inlineStr">
        <is>
          <t>MTR-IOS-2746</t>
        </is>
      </c>
      <c r="C2747" s="4" t="inlineStr">
        <is>
          <t>Personal</t>
        </is>
      </c>
      <c r="D2747" s="4" t="inlineStr">
        <is>
          <t>Personal</t>
        </is>
      </c>
      <c r="E2747" s="4" t="inlineStr">
        <is>
          <t>Relationships</t>
        </is>
      </c>
      <c r="F2747" s="4" t="inlineStr">
        <is>
          <t>Gifts</t>
        </is>
      </c>
      <c r="G2747" s="4" t="inlineStr">
        <is>
          <t>Expense</t>
        </is>
      </c>
      <c r="H2747" s="12" t="n">
        <v>46006</v>
      </c>
      <c r="I2747" s="13" t="n">
        <v>0.5359027777777777</v>
      </c>
      <c r="J2747" s="14" t="n">
        <v>46006.53590277778</v>
      </c>
      <c r="K2747" s="15" t="n">
        <v>9410.469999999999</v>
      </c>
      <c r="L2747" s="4" t="inlineStr">
        <is>
          <t>INR</t>
        </is>
      </c>
      <c r="M2747" s="15" t="n">
        <v>-9410.469999999999</v>
      </c>
      <c r="N2747" s="4" t="inlineStr">
        <is>
          <t>IOS Owner</t>
        </is>
      </c>
      <c r="O2747" s="4" t="n"/>
      <c r="P2747" s="4" t="n"/>
      <c r="Q2747" s="4" t="inlineStr">
        <is>
          <t>MAESTRO-IOS-PERSONAL-RELATIONSHIPS-2746 | Gifts | 9410.47</t>
        </is>
      </c>
      <c r="R2747" s="4" t="inlineStr">
        <is>
          <t>iPhone</t>
        </is>
      </c>
      <c r="S2747" s="4" t="inlineStr">
        <is>
          <t>B55</t>
        </is>
      </c>
      <c r="T2747" s="4" t="inlineStr">
        <is>
          <t>HIGH_2501_3000</t>
        </is>
      </c>
      <c r="U2747" s="4" t="inlineStr">
        <is>
          <t>CREATED</t>
        </is>
      </c>
      <c r="V2747" s="4" t="inlineStr">
        <is>
          <t>idem-20260902-ios-2746</t>
        </is>
      </c>
    </row>
    <row r="2748" ht="30" customHeight="1">
      <c r="A2748" s="4" t="n">
        <v>2747</v>
      </c>
      <c r="B2748" s="4" t="inlineStr">
        <is>
          <t>MTR-IOS-2747</t>
        </is>
      </c>
      <c r="C2748" s="4" t="inlineStr">
        <is>
          <t>Group</t>
        </is>
      </c>
      <c r="D2748" s="4" t="inlineStr">
        <is>
          <t>Shared Living</t>
        </is>
      </c>
      <c r="E2748" s="4" t="inlineStr">
        <is>
          <t>Shared Living</t>
        </is>
      </c>
      <c r="F2748" s="4" t="inlineStr">
        <is>
          <t>Rent</t>
        </is>
      </c>
      <c r="G2748" s="4" t="inlineStr">
        <is>
          <t>Expense</t>
        </is>
      </c>
      <c r="H2748" s="12" t="n">
        <v>46254</v>
      </c>
      <c r="I2748" s="13" t="n">
        <v>0.62</v>
      </c>
      <c r="J2748" s="14" t="n">
        <v>46254.62</v>
      </c>
      <c r="K2748" s="15" t="n">
        <v>26313.06</v>
      </c>
      <c r="L2748" s="4" t="inlineStr">
        <is>
          <t>INR</t>
        </is>
      </c>
      <c r="M2748" s="15" t="n">
        <v>-26313.06</v>
      </c>
      <c r="N2748" s="4" t="inlineStr">
        <is>
          <t>IOS Owner</t>
        </is>
      </c>
      <c r="O2748" s="4" t="n">
        <v>3</v>
      </c>
      <c r="P2748" s="4" t="inlineStr">
        <is>
          <t>SHARES</t>
        </is>
      </c>
      <c r="Q2748" s="4" t="inlineStr">
        <is>
          <t>MAESTRO-IOS-GROUP-SHARED_LIVING-2747 | Rent | 26313.06</t>
        </is>
      </c>
      <c r="R2748" s="4" t="inlineStr">
        <is>
          <t>iPhone</t>
        </is>
      </c>
      <c r="S2748" s="4" t="inlineStr">
        <is>
          <t>B55</t>
        </is>
      </c>
      <c r="T2748" s="4" t="inlineStr">
        <is>
          <t>HIGH_2501_3000</t>
        </is>
      </c>
      <c r="U2748" s="4" t="inlineStr">
        <is>
          <t>CREATED</t>
        </is>
      </c>
      <c r="V2748" s="4" t="inlineStr">
        <is>
          <t>idem-20260902-ios-2747</t>
        </is>
      </c>
    </row>
    <row r="2749" ht="30" customHeight="1">
      <c r="A2749" s="4" t="n">
        <v>2748</v>
      </c>
      <c r="B2749" s="4" t="inlineStr">
        <is>
          <t>MTR-IOS-2748</t>
        </is>
      </c>
      <c r="C2749" s="4" t="inlineStr">
        <is>
          <t>Business</t>
        </is>
      </c>
      <c r="D2749" s="4" t="inlineStr">
        <is>
          <t>Business</t>
        </is>
      </c>
      <c r="E2749" s="4" t="inlineStr">
        <is>
          <t>Business Runway</t>
        </is>
      </c>
      <c r="F2749" s="4" t="inlineStr">
        <is>
          <t>Investment</t>
        </is>
      </c>
      <c r="G2749" s="4" t="inlineStr">
        <is>
          <t>Income</t>
        </is>
      </c>
      <c r="H2749" s="12" t="n">
        <v>45988</v>
      </c>
      <c r="I2749" s="13" t="n">
        <v>0.7522453703703704</v>
      </c>
      <c r="J2749" s="14" t="n">
        <v>45988.75224537037</v>
      </c>
      <c r="K2749" s="15" t="n">
        <v>125131.73</v>
      </c>
      <c r="L2749" s="4" t="inlineStr">
        <is>
          <t>INR</t>
        </is>
      </c>
      <c r="M2749" s="15" t="n">
        <v>125131.73</v>
      </c>
      <c r="N2749" s="4" t="inlineStr">
        <is>
          <t>IOS Owner</t>
        </is>
      </c>
      <c r="O2749" s="4" t="n"/>
      <c r="P2749" s="4" t="n"/>
      <c r="Q2749" s="4" t="inlineStr">
        <is>
          <t>MAESTRO-IOS-BUSINESS-BUSINESS_RUNWAY-2748 | Investment | 125131.73</t>
        </is>
      </c>
      <c r="R2749" s="4" t="inlineStr">
        <is>
          <t>iPhone</t>
        </is>
      </c>
      <c r="S2749" s="4" t="inlineStr">
        <is>
          <t>B55</t>
        </is>
      </c>
      <c r="T2749" s="4" t="inlineStr">
        <is>
          <t>HIGH_2501_3000</t>
        </is>
      </c>
      <c r="U2749" s="4" t="inlineStr">
        <is>
          <t>CREATED</t>
        </is>
      </c>
      <c r="V2749" s="4" t="inlineStr">
        <is>
          <t>idem-20260902-ios-2748</t>
        </is>
      </c>
    </row>
    <row r="2750" ht="30" customHeight="1">
      <c r="A2750" s="4" t="n">
        <v>2749</v>
      </c>
      <c r="B2750" s="4" t="inlineStr">
        <is>
          <t>MTR-IOS-2749</t>
        </is>
      </c>
      <c r="C2750" s="4" t="inlineStr">
        <is>
          <t>Personal</t>
        </is>
      </c>
      <c r="D2750" s="4" t="inlineStr">
        <is>
          <t>Personal</t>
        </is>
      </c>
      <c r="E2750" s="4" t="inlineStr">
        <is>
          <t>Relationships</t>
        </is>
      </c>
      <c r="F2750" s="4" t="inlineStr">
        <is>
          <t>Dates</t>
        </is>
      </c>
      <c r="G2750" s="4" t="inlineStr">
        <is>
          <t>Expense</t>
        </is>
      </c>
      <c r="H2750" s="12" t="n">
        <v>46113</v>
      </c>
      <c r="I2750" s="13" t="n">
        <v>0.3121180555555556</v>
      </c>
      <c r="J2750" s="14" t="n">
        <v>46113.31211805555</v>
      </c>
      <c r="K2750" s="15" t="n">
        <v>12064.78</v>
      </c>
      <c r="L2750" s="4" t="inlineStr">
        <is>
          <t>INR</t>
        </is>
      </c>
      <c r="M2750" s="15" t="n">
        <v>-12064.78</v>
      </c>
      <c r="N2750" s="4" t="inlineStr">
        <is>
          <t>IOS Owner</t>
        </is>
      </c>
      <c r="O2750" s="4" t="n"/>
      <c r="P2750" s="4" t="n"/>
      <c r="Q2750" s="4" t="inlineStr">
        <is>
          <t>MAESTRO-IOS-PERSONAL-RELATIONSHIPS-2749 | Dates | 12064.78</t>
        </is>
      </c>
      <c r="R2750" s="4" t="inlineStr">
        <is>
          <t>iPhone</t>
        </is>
      </c>
      <c r="S2750" s="4" t="inlineStr">
        <is>
          <t>B55</t>
        </is>
      </c>
      <c r="T2750" s="4" t="inlineStr">
        <is>
          <t>HIGH_2501_3000</t>
        </is>
      </c>
      <c r="U2750" s="4" t="inlineStr">
        <is>
          <t>CREATED</t>
        </is>
      </c>
      <c r="V2750" s="4" t="inlineStr">
        <is>
          <t>idem-20260902-ios-2749</t>
        </is>
      </c>
    </row>
    <row r="2751" ht="30" customHeight="1">
      <c r="A2751" s="4" t="n">
        <v>2750</v>
      </c>
      <c r="B2751" s="4" t="inlineStr">
        <is>
          <t>MTR-IOS-2750</t>
        </is>
      </c>
      <c r="C2751" s="4" t="inlineStr">
        <is>
          <t>Group</t>
        </is>
      </c>
      <c r="D2751" s="4" t="inlineStr">
        <is>
          <t>Shared Living</t>
        </is>
      </c>
      <c r="E2751" s="4" t="inlineStr">
        <is>
          <t>Shared Living</t>
        </is>
      </c>
      <c r="F2751" s="4" t="inlineStr">
        <is>
          <t>Utilities</t>
        </is>
      </c>
      <c r="G2751" s="4" t="inlineStr">
        <is>
          <t>Expense</t>
        </is>
      </c>
      <c r="H2751" s="12" t="n">
        <v>46142</v>
      </c>
      <c r="I2751" s="13" t="n">
        <v>0.1260532407407407</v>
      </c>
      <c r="J2751" s="14" t="n">
        <v>46142.12605324074</v>
      </c>
      <c r="K2751" s="15" t="n">
        <v>20035.65</v>
      </c>
      <c r="L2751" s="4" t="inlineStr">
        <is>
          <t>INR</t>
        </is>
      </c>
      <c r="M2751" s="15" t="n">
        <v>-20035.65</v>
      </c>
      <c r="N2751" s="4" t="inlineStr">
        <is>
          <t>IOS Aarav</t>
        </is>
      </c>
      <c r="O2751" s="4" t="n">
        <v>3</v>
      </c>
      <c r="P2751" s="4" t="inlineStr">
        <is>
          <t>EQUAL</t>
        </is>
      </c>
      <c r="Q2751" s="4" t="inlineStr">
        <is>
          <t>MAESTRO-IOS-GROUP-SHARED_LIVING-2750 | Utilities | 20035.65</t>
        </is>
      </c>
      <c r="R2751" s="4" t="inlineStr">
        <is>
          <t>iPhone</t>
        </is>
      </c>
      <c r="S2751" s="4" t="inlineStr">
        <is>
          <t>B55</t>
        </is>
      </c>
      <c r="T2751" s="4" t="inlineStr">
        <is>
          <t>HIGH_2501_3000</t>
        </is>
      </c>
      <c r="U2751" s="4" t="inlineStr">
        <is>
          <t>CREATED</t>
        </is>
      </c>
      <c r="V2751" s="4" t="inlineStr">
        <is>
          <t>idem-20260902-ios-2750</t>
        </is>
      </c>
    </row>
    <row r="2752" ht="30" customHeight="1">
      <c r="A2752" s="4" t="n">
        <v>2751</v>
      </c>
      <c r="B2752" s="4" t="inlineStr">
        <is>
          <t>MTR-IOS-2751</t>
        </is>
      </c>
      <c r="C2752" s="4" t="inlineStr">
        <is>
          <t>Business</t>
        </is>
      </c>
      <c r="D2752" s="4" t="inlineStr">
        <is>
          <t>Business</t>
        </is>
      </c>
      <c r="E2752" s="4" t="inlineStr">
        <is>
          <t>Business Operations</t>
        </is>
      </c>
      <c r="F2752" s="4" t="inlineStr">
        <is>
          <t>Software</t>
        </is>
      </c>
      <c r="G2752" s="4" t="inlineStr">
        <is>
          <t>Expense</t>
        </is>
      </c>
      <c r="H2752" s="12" t="n">
        <v>46218</v>
      </c>
      <c r="I2752" s="13" t="n">
        <v>0.2613773148148148</v>
      </c>
      <c r="J2752" s="14" t="n">
        <v>46218.26137731481</v>
      </c>
      <c r="K2752" s="15" t="n">
        <v>148082.6</v>
      </c>
      <c r="L2752" s="4" t="inlineStr">
        <is>
          <t>INR</t>
        </is>
      </c>
      <c r="M2752" s="15" t="n">
        <v>-148082.6</v>
      </c>
      <c r="N2752" s="4" t="inlineStr">
        <is>
          <t>IOS Owner</t>
        </is>
      </c>
      <c r="O2752" s="4" t="n"/>
      <c r="P2752" s="4" t="n"/>
      <c r="Q2752" s="4" t="inlineStr">
        <is>
          <t>MAESTRO-IOS-BUSINESS-BUSINESS_OPERATIONS-2751 | Software | 148082.60</t>
        </is>
      </c>
      <c r="R2752" s="4" t="inlineStr">
        <is>
          <t>iPhone</t>
        </is>
      </c>
      <c r="S2752" s="4" t="inlineStr">
        <is>
          <t>B56</t>
        </is>
      </c>
      <c r="T2752" s="4" t="inlineStr">
        <is>
          <t>HIGH_2501_3000</t>
        </is>
      </c>
      <c r="U2752" s="4" t="inlineStr">
        <is>
          <t>CREATED</t>
        </is>
      </c>
      <c r="V2752" s="4" t="inlineStr">
        <is>
          <t>idem-20260902-ios-2751</t>
        </is>
      </c>
    </row>
    <row r="2753" ht="30" customHeight="1">
      <c r="A2753" s="4" t="n">
        <v>2752</v>
      </c>
      <c r="B2753" s="4" t="inlineStr">
        <is>
          <t>MTR-IOS-2752</t>
        </is>
      </c>
      <c r="C2753" s="4" t="inlineStr">
        <is>
          <t>Personal</t>
        </is>
      </c>
      <c r="D2753" s="4" t="inlineStr">
        <is>
          <t>Personal</t>
        </is>
      </c>
      <c r="E2753" s="4" t="inlineStr">
        <is>
          <t>Relationships</t>
        </is>
      </c>
      <c r="F2753" s="4" t="inlineStr">
        <is>
          <t>Family</t>
        </is>
      </c>
      <c r="G2753" s="4" t="inlineStr">
        <is>
          <t>Expense</t>
        </is>
      </c>
      <c r="H2753" s="12" t="n">
        <v>45904</v>
      </c>
      <c r="I2753" s="13" t="n">
        <v>0.7915624999999999</v>
      </c>
      <c r="J2753" s="14" t="n">
        <v>45904.7915625</v>
      </c>
      <c r="K2753" s="15" t="n">
        <v>7496.82</v>
      </c>
      <c r="L2753" s="4" t="inlineStr">
        <is>
          <t>INR</t>
        </is>
      </c>
      <c r="M2753" s="15" t="n">
        <v>-7496.82</v>
      </c>
      <c r="N2753" s="4" t="inlineStr">
        <is>
          <t>IOS Owner</t>
        </is>
      </c>
      <c r="O2753" s="4" t="n"/>
      <c r="P2753" s="4" t="n"/>
      <c r="Q2753" s="4" t="inlineStr">
        <is>
          <t>MAESTRO-IOS-PERSONAL-RELATIONSHIPS-2752 | Family | 7496.82</t>
        </is>
      </c>
      <c r="R2753" s="4" t="inlineStr">
        <is>
          <t>iPhone</t>
        </is>
      </c>
      <c r="S2753" s="4" t="inlineStr">
        <is>
          <t>B56</t>
        </is>
      </c>
      <c r="T2753" s="4" t="inlineStr">
        <is>
          <t>HIGH_2501_3000</t>
        </is>
      </c>
      <c r="U2753" s="4" t="inlineStr">
        <is>
          <t>CREATED</t>
        </is>
      </c>
      <c r="V2753" s="4" t="inlineStr">
        <is>
          <t>idem-20260902-ios-2752</t>
        </is>
      </c>
    </row>
    <row r="2754" ht="30" customHeight="1">
      <c r="A2754" s="4" t="n">
        <v>2753</v>
      </c>
      <c r="B2754" s="4" t="inlineStr">
        <is>
          <t>MTR-IOS-2753</t>
        </is>
      </c>
      <c r="C2754" s="4" t="inlineStr">
        <is>
          <t>Group</t>
        </is>
      </c>
      <c r="D2754" s="4" t="inlineStr">
        <is>
          <t>Shared Living</t>
        </is>
      </c>
      <c r="E2754" s="4" t="inlineStr">
        <is>
          <t>Shared Living</t>
        </is>
      </c>
      <c r="F2754" s="4" t="inlineStr">
        <is>
          <t>Groceries</t>
        </is>
      </c>
      <c r="G2754" s="4" t="inlineStr">
        <is>
          <t>Expense</t>
        </is>
      </c>
      <c r="H2754" s="12" t="n">
        <v>45941</v>
      </c>
      <c r="I2754" s="13" t="n">
        <v>0.60625</v>
      </c>
      <c r="J2754" s="14" t="n">
        <v>45941.60625</v>
      </c>
      <c r="K2754" s="15" t="n">
        <v>3769.1</v>
      </c>
      <c r="L2754" s="4" t="inlineStr">
        <is>
          <t>INR</t>
        </is>
      </c>
      <c r="M2754" s="15" t="n">
        <v>-3769.1</v>
      </c>
      <c r="N2754" s="4" t="inlineStr">
        <is>
          <t>IOS Meera</t>
        </is>
      </c>
      <c r="O2754" s="4" t="n">
        <v>3</v>
      </c>
      <c r="P2754" s="4" t="inlineStr">
        <is>
          <t>PERCENTAGE</t>
        </is>
      </c>
      <c r="Q2754" s="4" t="inlineStr">
        <is>
          <t>MAESTRO-IOS-GROUP-SHARED_LIVING-2753 | Groceries | 3769.10</t>
        </is>
      </c>
      <c r="R2754" s="4" t="inlineStr">
        <is>
          <t>iPhone</t>
        </is>
      </c>
      <c r="S2754" s="4" t="inlineStr">
        <is>
          <t>B56</t>
        </is>
      </c>
      <c r="T2754" s="4" t="inlineStr">
        <is>
          <t>HIGH_2501_3000</t>
        </is>
      </c>
      <c r="U2754" s="4" t="inlineStr">
        <is>
          <t>CREATED</t>
        </is>
      </c>
      <c r="V2754" s="4" t="inlineStr">
        <is>
          <t>idem-20260902-ios-2753</t>
        </is>
      </c>
    </row>
    <row r="2755" ht="30" customHeight="1">
      <c r="A2755" s="4" t="n">
        <v>2754</v>
      </c>
      <c r="B2755" s="4" t="inlineStr">
        <is>
          <t>MTR-IOS-2754</t>
        </is>
      </c>
      <c r="C2755" s="4" t="inlineStr">
        <is>
          <t>Business</t>
        </is>
      </c>
      <c r="D2755" s="4" t="inlineStr">
        <is>
          <t>Business</t>
        </is>
      </c>
      <c r="E2755" s="4" t="inlineStr">
        <is>
          <t>Business Operations</t>
        </is>
      </c>
      <c r="F2755" s="4" t="inlineStr">
        <is>
          <t>Rent</t>
        </is>
      </c>
      <c r="G2755" s="4" t="inlineStr">
        <is>
          <t>Expense</t>
        </is>
      </c>
      <c r="H2755" s="12" t="n">
        <v>46005</v>
      </c>
      <c r="I2755" s="13" t="n">
        <v>0.2762847222222222</v>
      </c>
      <c r="J2755" s="14" t="n">
        <v>46005.27628472223</v>
      </c>
      <c r="K2755" s="15" t="n">
        <v>141074.86</v>
      </c>
      <c r="L2755" s="4" t="inlineStr">
        <is>
          <t>INR</t>
        </is>
      </c>
      <c r="M2755" s="15" t="n">
        <v>-141074.86</v>
      </c>
      <c r="N2755" s="4" t="inlineStr">
        <is>
          <t>IOS Owner</t>
        </is>
      </c>
      <c r="O2755" s="4" t="n"/>
      <c r="P2755" s="4" t="n"/>
      <c r="Q2755" s="4" t="inlineStr">
        <is>
          <t>MAESTRO-IOS-BUSINESS-BUSINESS_OPERATIONS-2754 | Rent | 141074.86</t>
        </is>
      </c>
      <c r="R2755" s="4" t="inlineStr">
        <is>
          <t>iPhone</t>
        </is>
      </c>
      <c r="S2755" s="4" t="inlineStr">
        <is>
          <t>B56</t>
        </is>
      </c>
      <c r="T2755" s="4" t="inlineStr">
        <is>
          <t>HIGH_2501_3000</t>
        </is>
      </c>
      <c r="U2755" s="4" t="inlineStr">
        <is>
          <t>CREATED</t>
        </is>
      </c>
      <c r="V2755" s="4" t="inlineStr">
        <is>
          <t>idem-20260902-ios-2754</t>
        </is>
      </c>
    </row>
    <row r="2756" ht="30" customHeight="1">
      <c r="A2756" s="4" t="n">
        <v>2755</v>
      </c>
      <c r="B2756" s="4" t="inlineStr">
        <is>
          <t>MTR-IOS-2755</t>
        </is>
      </c>
      <c r="C2756" s="4" t="inlineStr">
        <is>
          <t>Personal</t>
        </is>
      </c>
      <c r="D2756" s="4" t="inlineStr">
        <is>
          <t>Personal</t>
        </is>
      </c>
      <c r="E2756" s="4" t="inlineStr">
        <is>
          <t>Relationships</t>
        </is>
      </c>
      <c r="F2756" s="4" t="inlineStr">
        <is>
          <t>Friends</t>
        </is>
      </c>
      <c r="G2756" s="4" t="inlineStr">
        <is>
          <t>Expense</t>
        </is>
      </c>
      <c r="H2756" s="12" t="n">
        <v>45964</v>
      </c>
      <c r="I2756" s="13" t="n">
        <v>0.2856365740740741</v>
      </c>
      <c r="J2756" s="14" t="n">
        <v>45964.28563657407</v>
      </c>
      <c r="K2756" s="15" t="n">
        <v>13667.77</v>
      </c>
      <c r="L2756" s="4" t="inlineStr">
        <is>
          <t>INR</t>
        </is>
      </c>
      <c r="M2756" s="15" t="n">
        <v>-13667.77</v>
      </c>
      <c r="N2756" s="4" t="inlineStr">
        <is>
          <t>IOS Owner</t>
        </is>
      </c>
      <c r="O2756" s="4" t="n"/>
      <c r="P2756" s="4" t="n"/>
      <c r="Q2756" s="4" t="inlineStr">
        <is>
          <t>MAESTRO-IOS-PERSONAL-RELATIONSHIPS-2755 | Friends | 13667.77</t>
        </is>
      </c>
      <c r="R2756" s="4" t="inlineStr">
        <is>
          <t>iPhone</t>
        </is>
      </c>
      <c r="S2756" s="4" t="inlineStr">
        <is>
          <t>B56</t>
        </is>
      </c>
      <c r="T2756" s="4" t="inlineStr">
        <is>
          <t>HIGH_2501_3000</t>
        </is>
      </c>
      <c r="U2756" s="4" t="inlineStr">
        <is>
          <t>CREATED</t>
        </is>
      </c>
      <c r="V2756" s="4" t="inlineStr">
        <is>
          <t>idem-20260902-ios-2755</t>
        </is>
      </c>
    </row>
    <row r="2757" ht="30" customHeight="1">
      <c r="A2757" s="4" t="n">
        <v>2756</v>
      </c>
      <c r="B2757" s="4" t="inlineStr">
        <is>
          <t>MTR-IOS-2756</t>
        </is>
      </c>
      <c r="C2757" s="4" t="inlineStr">
        <is>
          <t>Group</t>
        </is>
      </c>
      <c r="D2757" s="4" t="inlineStr">
        <is>
          <t>Shared Living</t>
        </is>
      </c>
      <c r="E2757" s="4" t="inlineStr">
        <is>
          <t>Shared Living</t>
        </is>
      </c>
      <c r="F2757" s="4" t="inlineStr">
        <is>
          <t>Maintenance</t>
        </is>
      </c>
      <c r="G2757" s="4" t="inlineStr">
        <is>
          <t>Expense</t>
        </is>
      </c>
      <c r="H2757" s="12" t="n">
        <v>45988</v>
      </c>
      <c r="I2757" s="13" t="n">
        <v>0.3350694444444444</v>
      </c>
      <c r="J2757" s="14" t="n">
        <v>45988.33506944445</v>
      </c>
      <c r="K2757" s="15" t="n">
        <v>7137.5</v>
      </c>
      <c r="L2757" s="4" t="inlineStr">
        <is>
          <t>INR</t>
        </is>
      </c>
      <c r="M2757" s="15" t="n">
        <v>-7137.5</v>
      </c>
      <c r="N2757" s="4" t="inlineStr">
        <is>
          <t>IOS Owner</t>
        </is>
      </c>
      <c r="O2757" s="4" t="n">
        <v>3</v>
      </c>
      <c r="P2757" s="4" t="inlineStr">
        <is>
          <t>EXACT</t>
        </is>
      </c>
      <c r="Q2757" s="4" t="inlineStr">
        <is>
          <t>MAESTRO-IOS-GROUP-SHARED_LIVING-2756 | Maintenance | 7137.50</t>
        </is>
      </c>
      <c r="R2757" s="4" t="inlineStr">
        <is>
          <t>iPhone</t>
        </is>
      </c>
      <c r="S2757" s="4" t="inlineStr">
        <is>
          <t>B56</t>
        </is>
      </c>
      <c r="T2757" s="4" t="inlineStr">
        <is>
          <t>HIGH_2501_3000</t>
        </is>
      </c>
      <c r="U2757" s="4" t="inlineStr">
        <is>
          <t>CREATED</t>
        </is>
      </c>
      <c r="V2757" s="4" t="inlineStr">
        <is>
          <t>idem-20260902-ios-2756</t>
        </is>
      </c>
    </row>
    <row r="2758" ht="30" customHeight="1">
      <c r="A2758" s="4" t="n">
        <v>2757</v>
      </c>
      <c r="B2758" s="4" t="inlineStr">
        <is>
          <t>MTR-IOS-2757</t>
        </is>
      </c>
      <c r="C2758" s="4" t="inlineStr">
        <is>
          <t>Business</t>
        </is>
      </c>
      <c r="D2758" s="4" t="inlineStr">
        <is>
          <t>Business</t>
        </is>
      </c>
      <c r="E2758" s="4" t="inlineStr">
        <is>
          <t>Business Operations</t>
        </is>
      </c>
      <c r="F2758" s="4" t="inlineStr">
        <is>
          <t>Marketing</t>
        </is>
      </c>
      <c r="G2758" s="4" t="inlineStr">
        <is>
          <t>Expense</t>
        </is>
      </c>
      <c r="H2758" s="12" t="n">
        <v>46204</v>
      </c>
      <c r="I2758" s="13" t="n">
        <v>0.8323842592592593</v>
      </c>
      <c r="J2758" s="14" t="n">
        <v>46204.83238425926</v>
      </c>
      <c r="K2758" s="15" t="n">
        <v>145515.27</v>
      </c>
      <c r="L2758" s="4" t="inlineStr">
        <is>
          <t>INR</t>
        </is>
      </c>
      <c r="M2758" s="15" t="n">
        <v>-145515.27</v>
      </c>
      <c r="N2758" s="4" t="inlineStr">
        <is>
          <t>IOS Owner</t>
        </is>
      </c>
      <c r="O2758" s="4" t="n"/>
      <c r="P2758" s="4" t="n"/>
      <c r="Q2758" s="4" t="inlineStr">
        <is>
          <t>MAESTRO-IOS-BUSINESS-BUSINESS_OPERATIONS-2757 | Marketing | 145515.27</t>
        </is>
      </c>
      <c r="R2758" s="4" t="inlineStr">
        <is>
          <t>iPhone</t>
        </is>
      </c>
      <c r="S2758" s="4" t="inlineStr">
        <is>
          <t>B56</t>
        </is>
      </c>
      <c r="T2758" s="4" t="inlineStr">
        <is>
          <t>HIGH_2501_3000</t>
        </is>
      </c>
      <c r="U2758" s="4" t="inlineStr">
        <is>
          <t>CREATED</t>
        </is>
      </c>
      <c r="V2758" s="4" t="inlineStr">
        <is>
          <t>idem-20260902-ios-2757</t>
        </is>
      </c>
    </row>
    <row r="2759" ht="30" customHeight="1">
      <c r="A2759" s="4" t="n">
        <v>2758</v>
      </c>
      <c r="B2759" s="4" t="inlineStr">
        <is>
          <t>MTR-IOS-2758</t>
        </is>
      </c>
      <c r="C2759" s="4" t="inlineStr">
        <is>
          <t>Personal</t>
        </is>
      </c>
      <c r="D2759" s="4" t="inlineStr">
        <is>
          <t>Personal</t>
        </is>
      </c>
      <c r="E2759" s="4" t="inlineStr">
        <is>
          <t>Relationships</t>
        </is>
      </c>
      <c r="F2759" s="4" t="inlineStr">
        <is>
          <t>Celebrations</t>
        </is>
      </c>
      <c r="G2759" s="4" t="inlineStr">
        <is>
          <t>Expense</t>
        </is>
      </c>
      <c r="H2759" s="12" t="n">
        <v>46039</v>
      </c>
      <c r="I2759" s="13" t="n">
        <v>0.3697685185185185</v>
      </c>
      <c r="J2759" s="14" t="n">
        <v>46039.36976851852</v>
      </c>
      <c r="K2759" s="15" t="n">
        <v>3872.85</v>
      </c>
      <c r="L2759" s="4" t="inlineStr">
        <is>
          <t>INR</t>
        </is>
      </c>
      <c r="M2759" s="15" t="n">
        <v>-3872.85</v>
      </c>
      <c r="N2759" s="4" t="inlineStr">
        <is>
          <t>IOS Owner</t>
        </is>
      </c>
      <c r="O2759" s="4" t="n"/>
      <c r="P2759" s="4" t="n"/>
      <c r="Q2759" s="4" t="inlineStr">
        <is>
          <t>MAESTRO-IOS-PERSONAL-RELATIONSHIPS-2758 | Celebrations | 3872.85</t>
        </is>
      </c>
      <c r="R2759" s="4" t="inlineStr">
        <is>
          <t>iPhone</t>
        </is>
      </c>
      <c r="S2759" s="4" t="inlineStr">
        <is>
          <t>B56</t>
        </is>
      </c>
      <c r="T2759" s="4" t="inlineStr">
        <is>
          <t>HIGH_2501_3000</t>
        </is>
      </c>
      <c r="U2759" s="4" t="inlineStr">
        <is>
          <t>CREATED</t>
        </is>
      </c>
      <c r="V2759" s="4" t="inlineStr">
        <is>
          <t>idem-20260902-ios-2758</t>
        </is>
      </c>
    </row>
    <row r="2760" ht="30" customHeight="1">
      <c r="A2760" s="4" t="n">
        <v>2759</v>
      </c>
      <c r="B2760" s="4" t="inlineStr">
        <is>
          <t>MTR-IOS-2759</t>
        </is>
      </c>
      <c r="C2760" s="4" t="inlineStr">
        <is>
          <t>Group</t>
        </is>
      </c>
      <c r="D2760" s="4" t="inlineStr">
        <is>
          <t>Shared Living</t>
        </is>
      </c>
      <c r="E2760" s="4" t="inlineStr">
        <is>
          <t>Shared Living</t>
        </is>
      </c>
      <c r="F2760" s="4" t="inlineStr">
        <is>
          <t>Other</t>
        </is>
      </c>
      <c r="G2760" s="4" t="inlineStr">
        <is>
          <t>Expense</t>
        </is>
      </c>
      <c r="H2760" s="12" t="n">
        <v>46193</v>
      </c>
      <c r="I2760" s="13" t="n">
        <v>0.5841782407407408</v>
      </c>
      <c r="J2760" s="14" t="n">
        <v>46193.58417824074</v>
      </c>
      <c r="K2760" s="15" t="n">
        <v>21814.23</v>
      </c>
      <c r="L2760" s="4" t="inlineStr">
        <is>
          <t>INR</t>
        </is>
      </c>
      <c r="M2760" s="15" t="n">
        <v>-21814.23</v>
      </c>
      <c r="N2760" s="4" t="inlineStr">
        <is>
          <t>IOS Aarav</t>
        </is>
      </c>
      <c r="O2760" s="4" t="n">
        <v>3</v>
      </c>
      <c r="P2760" s="4" t="inlineStr">
        <is>
          <t>SHARES</t>
        </is>
      </c>
      <c r="Q2760" s="4" t="inlineStr">
        <is>
          <t>MAESTRO-IOS-GROUP-SHARED_LIVING-2759 | Other | 21814.23</t>
        </is>
      </c>
      <c r="R2760" s="4" t="inlineStr">
        <is>
          <t>iPhone</t>
        </is>
      </c>
      <c r="S2760" s="4" t="inlineStr">
        <is>
          <t>B56</t>
        </is>
      </c>
      <c r="T2760" s="4" t="inlineStr">
        <is>
          <t>HIGH_2501_3000</t>
        </is>
      </c>
      <c r="U2760" s="4" t="inlineStr">
        <is>
          <t>CREATED</t>
        </is>
      </c>
      <c r="V2760" s="4" t="inlineStr">
        <is>
          <t>idem-20260902-ios-2759</t>
        </is>
      </c>
    </row>
    <row r="2761" ht="30" customHeight="1">
      <c r="A2761" s="4" t="n">
        <v>2760</v>
      </c>
      <c r="B2761" s="4" t="inlineStr">
        <is>
          <t>MTR-IOS-2760</t>
        </is>
      </c>
      <c r="C2761" s="4" t="inlineStr">
        <is>
          <t>Business</t>
        </is>
      </c>
      <c r="D2761" s="4" t="inlineStr">
        <is>
          <t>Business</t>
        </is>
      </c>
      <c r="E2761" s="4" t="inlineStr">
        <is>
          <t>Business Operations</t>
        </is>
      </c>
      <c r="F2761" s="4" t="inlineStr">
        <is>
          <t>Legal</t>
        </is>
      </c>
      <c r="G2761" s="4" t="inlineStr">
        <is>
          <t>Expense</t>
        </is>
      </c>
      <c r="H2761" s="12" t="n">
        <v>45942</v>
      </c>
      <c r="I2761" s="13" t="n">
        <v>0.303287037037037</v>
      </c>
      <c r="J2761" s="14" t="n">
        <v>45942.30328703704</v>
      </c>
      <c r="K2761" s="15" t="n">
        <v>66625.52</v>
      </c>
      <c r="L2761" s="4" t="inlineStr">
        <is>
          <t>INR</t>
        </is>
      </c>
      <c r="M2761" s="15" t="n">
        <v>-66625.52</v>
      </c>
      <c r="N2761" s="4" t="inlineStr">
        <is>
          <t>IOS Owner</t>
        </is>
      </c>
      <c r="O2761" s="4" t="n"/>
      <c r="P2761" s="4" t="n"/>
      <c r="Q2761" s="4" t="inlineStr">
        <is>
          <t>MAESTRO-IOS-BUSINESS-BUSINESS_OPERATIONS-2760 | Legal | 66625.52</t>
        </is>
      </c>
      <c r="R2761" s="4" t="inlineStr">
        <is>
          <t>iPhone</t>
        </is>
      </c>
      <c r="S2761" s="4" t="inlineStr">
        <is>
          <t>B56</t>
        </is>
      </c>
      <c r="T2761" s="4" t="inlineStr">
        <is>
          <t>HIGH_2501_3000</t>
        </is>
      </c>
      <c r="U2761" s="4" t="inlineStr">
        <is>
          <t>CREATED</t>
        </is>
      </c>
      <c r="V2761" s="4" t="inlineStr">
        <is>
          <t>idem-20260902-ios-2760</t>
        </is>
      </c>
    </row>
    <row r="2762" ht="30" customHeight="1">
      <c r="A2762" s="4" t="n">
        <v>2761</v>
      </c>
      <c r="B2762" s="4" t="inlineStr">
        <is>
          <t>MTR-IOS-2761</t>
        </is>
      </c>
      <c r="C2762" s="4" t="inlineStr">
        <is>
          <t>Personal</t>
        </is>
      </c>
      <c r="D2762" s="4" t="inlineStr">
        <is>
          <t>Personal</t>
        </is>
      </c>
      <c r="E2762" s="4" t="inlineStr">
        <is>
          <t>Life Operations</t>
        </is>
      </c>
      <c r="F2762" s="4" t="inlineStr">
        <is>
          <t>Groceries</t>
        </is>
      </c>
      <c r="G2762" s="4" t="inlineStr">
        <is>
          <t>Expense</t>
        </is>
      </c>
      <c r="H2762" s="12" t="n">
        <v>46206</v>
      </c>
      <c r="I2762" s="13" t="n">
        <v>0.3742824074074074</v>
      </c>
      <c r="J2762" s="14" t="n">
        <v>46206.37428240741</v>
      </c>
      <c r="K2762" s="15" t="n">
        <v>16650.13</v>
      </c>
      <c r="L2762" s="4" t="inlineStr">
        <is>
          <t>INR</t>
        </is>
      </c>
      <c r="M2762" s="15" t="n">
        <v>-16650.13</v>
      </c>
      <c r="N2762" s="4" t="inlineStr">
        <is>
          <t>IOS Owner</t>
        </is>
      </c>
      <c r="O2762" s="4" t="n"/>
      <c r="P2762" s="4" t="n"/>
      <c r="Q2762" s="4" t="inlineStr">
        <is>
          <t>MAESTRO-IOS-PERSONAL-LIFE_OPERATIONS-2761 | Groceries | 16650.13</t>
        </is>
      </c>
      <c r="R2762" s="4" t="inlineStr">
        <is>
          <t>iPhone</t>
        </is>
      </c>
      <c r="S2762" s="4" t="inlineStr">
        <is>
          <t>B56</t>
        </is>
      </c>
      <c r="T2762" s="4" t="inlineStr">
        <is>
          <t>HIGH_2501_3000</t>
        </is>
      </c>
      <c r="U2762" s="4" t="inlineStr">
        <is>
          <t>CREATED</t>
        </is>
      </c>
      <c r="V2762" s="4" t="inlineStr">
        <is>
          <t>idem-20260902-ios-2761</t>
        </is>
      </c>
    </row>
    <row r="2763" ht="30" customHeight="1">
      <c r="A2763" s="4" t="n">
        <v>2762</v>
      </c>
      <c r="B2763" s="4" t="inlineStr">
        <is>
          <t>MTR-IOS-2762</t>
        </is>
      </c>
      <c r="C2763" s="4" t="inlineStr">
        <is>
          <t>Group</t>
        </is>
      </c>
      <c r="D2763" s="4" t="inlineStr">
        <is>
          <t>Shared Living</t>
        </is>
      </c>
      <c r="E2763" s="4" t="inlineStr">
        <is>
          <t>Family Household</t>
        </is>
      </c>
      <c r="F2763" s="4" t="inlineStr">
        <is>
          <t>Groceries</t>
        </is>
      </c>
      <c r="G2763" s="4" t="inlineStr">
        <is>
          <t>Expense</t>
        </is>
      </c>
      <c r="H2763" s="12" t="n">
        <v>46000</v>
      </c>
      <c r="I2763" s="13" t="n">
        <v>0.3145023148148148</v>
      </c>
      <c r="J2763" s="14" t="n">
        <v>46000.31450231482</v>
      </c>
      <c r="K2763" s="15" t="n">
        <v>6107.85</v>
      </c>
      <c r="L2763" s="4" t="inlineStr">
        <is>
          <t>INR</t>
        </is>
      </c>
      <c r="M2763" s="15" t="n">
        <v>-6107.85</v>
      </c>
      <c r="N2763" s="4" t="inlineStr">
        <is>
          <t>IOS Meera</t>
        </is>
      </c>
      <c r="O2763" s="4" t="n">
        <v>3</v>
      </c>
      <c r="P2763" s="4" t="inlineStr">
        <is>
          <t>EQUAL</t>
        </is>
      </c>
      <c r="Q2763" s="4" t="inlineStr">
        <is>
          <t>MAESTRO-IOS-GROUP-FAMILY_HOUSEHOLD-2762 | Groceries | 6107.85</t>
        </is>
      </c>
      <c r="R2763" s="4" t="inlineStr">
        <is>
          <t>iPhone</t>
        </is>
      </c>
      <c r="S2763" s="4" t="inlineStr">
        <is>
          <t>B56</t>
        </is>
      </c>
      <c r="T2763" s="4" t="inlineStr">
        <is>
          <t>HIGH_2501_3000</t>
        </is>
      </c>
      <c r="U2763" s="4" t="inlineStr">
        <is>
          <t>CREATED</t>
        </is>
      </c>
      <c r="V2763" s="4" t="inlineStr">
        <is>
          <t>idem-20260902-ios-2762</t>
        </is>
      </c>
    </row>
    <row r="2764" ht="30" customHeight="1">
      <c r="A2764" s="4" t="n">
        <v>2763</v>
      </c>
      <c r="B2764" s="4" t="inlineStr">
        <is>
          <t>MTR-IOS-2763</t>
        </is>
      </c>
      <c r="C2764" s="4" t="inlineStr">
        <is>
          <t>Business</t>
        </is>
      </c>
      <c r="D2764" s="4" t="inlineStr">
        <is>
          <t>Business</t>
        </is>
      </c>
      <c r="E2764" s="4" t="inlineStr">
        <is>
          <t>Business Operations</t>
        </is>
      </c>
      <c r="F2764" s="4" t="inlineStr">
        <is>
          <t>Accounting</t>
        </is>
      </c>
      <c r="G2764" s="4" t="inlineStr">
        <is>
          <t>Expense</t>
        </is>
      </c>
      <c r="H2764" s="12" t="n">
        <v>45917</v>
      </c>
      <c r="I2764" s="13" t="n">
        <v>0.5930671296296296</v>
      </c>
      <c r="J2764" s="14" t="n">
        <v>45917.59306712963</v>
      </c>
      <c r="K2764" s="15" t="n">
        <v>18750.04</v>
      </c>
      <c r="L2764" s="4" t="inlineStr">
        <is>
          <t>INR</t>
        </is>
      </c>
      <c r="M2764" s="15" t="n">
        <v>-18750.04</v>
      </c>
      <c r="N2764" s="4" t="inlineStr">
        <is>
          <t>IOS Owner</t>
        </is>
      </c>
      <c r="O2764" s="4" t="n"/>
      <c r="P2764" s="4" t="n"/>
      <c r="Q2764" s="4" t="inlineStr">
        <is>
          <t>MAESTRO-IOS-BUSINESS-BUSINESS_OPERATIONS-2763 | Accounting | 18750.04</t>
        </is>
      </c>
      <c r="R2764" s="4" t="inlineStr">
        <is>
          <t>iPhone</t>
        </is>
      </c>
      <c r="S2764" s="4" t="inlineStr">
        <is>
          <t>B56</t>
        </is>
      </c>
      <c r="T2764" s="4" t="inlineStr">
        <is>
          <t>HIGH_2501_3000</t>
        </is>
      </c>
      <c r="U2764" s="4" t="inlineStr">
        <is>
          <t>CREATED</t>
        </is>
      </c>
      <c r="V2764" s="4" t="inlineStr">
        <is>
          <t>idem-20260902-ios-2763</t>
        </is>
      </c>
    </row>
    <row r="2765" ht="30" customHeight="1">
      <c r="A2765" s="4" t="n">
        <v>2764</v>
      </c>
      <c r="B2765" s="4" t="inlineStr">
        <is>
          <t>MTR-IOS-2764</t>
        </is>
      </c>
      <c r="C2765" s="4" t="inlineStr">
        <is>
          <t>Personal</t>
        </is>
      </c>
      <c r="D2765" s="4" t="inlineStr">
        <is>
          <t>Personal</t>
        </is>
      </c>
      <c r="E2765" s="4" t="inlineStr">
        <is>
          <t>Life Operations</t>
        </is>
      </c>
      <c r="F2765" s="4" t="inlineStr">
        <is>
          <t>Rent</t>
        </is>
      </c>
      <c r="G2765" s="4" t="inlineStr">
        <is>
          <t>Expense</t>
        </is>
      </c>
      <c r="H2765" s="12" t="n">
        <v>46119</v>
      </c>
      <c r="I2765" s="13" t="n">
        <v>0.9122569444444445</v>
      </c>
      <c r="J2765" s="14" t="n">
        <v>46119.91225694444</v>
      </c>
      <c r="K2765" s="15" t="n">
        <v>13123.41</v>
      </c>
      <c r="L2765" s="4" t="inlineStr">
        <is>
          <t>INR</t>
        </is>
      </c>
      <c r="M2765" s="15" t="n">
        <v>-13123.41</v>
      </c>
      <c r="N2765" s="4" t="inlineStr">
        <is>
          <t>IOS Owner</t>
        </is>
      </c>
      <c r="O2765" s="4" t="n"/>
      <c r="P2765" s="4" t="n"/>
      <c r="Q2765" s="4" t="inlineStr">
        <is>
          <t>MAESTRO-IOS-PERSONAL-LIFE_OPERATIONS-2764 | Rent | 13123.41</t>
        </is>
      </c>
      <c r="R2765" s="4" t="inlineStr">
        <is>
          <t>iPhone</t>
        </is>
      </c>
      <c r="S2765" s="4" t="inlineStr">
        <is>
          <t>B56</t>
        </is>
      </c>
      <c r="T2765" s="4" t="inlineStr">
        <is>
          <t>HIGH_2501_3000</t>
        </is>
      </c>
      <c r="U2765" s="4" t="inlineStr">
        <is>
          <t>CREATED</t>
        </is>
      </c>
      <c r="V2765" s="4" t="inlineStr">
        <is>
          <t>idem-20260902-ios-2764</t>
        </is>
      </c>
    </row>
    <row r="2766" ht="30" customHeight="1">
      <c r="A2766" s="4" t="n">
        <v>2765</v>
      </c>
      <c r="B2766" s="4" t="inlineStr">
        <is>
          <t>MTR-IOS-2765</t>
        </is>
      </c>
      <c r="C2766" s="4" t="inlineStr">
        <is>
          <t>Group</t>
        </is>
      </c>
      <c r="D2766" s="4" t="inlineStr">
        <is>
          <t>Shared Living</t>
        </is>
      </c>
      <c r="E2766" s="4" t="inlineStr">
        <is>
          <t>Family Household</t>
        </is>
      </c>
      <c r="F2766" s="4" t="inlineStr">
        <is>
          <t>Bills</t>
        </is>
      </c>
      <c r="G2766" s="4" t="inlineStr">
        <is>
          <t>Expense</t>
        </is>
      </c>
      <c r="H2766" s="12" t="n">
        <v>46082</v>
      </c>
      <c r="I2766" s="13" t="n">
        <v>0.3671759259259259</v>
      </c>
      <c r="J2766" s="14" t="n">
        <v>46082.36717592592</v>
      </c>
      <c r="K2766" s="15" t="n">
        <v>7363.24</v>
      </c>
      <c r="L2766" s="4" t="inlineStr">
        <is>
          <t>INR</t>
        </is>
      </c>
      <c r="M2766" s="15" t="n">
        <v>-7363.24</v>
      </c>
      <c r="N2766" s="4" t="inlineStr">
        <is>
          <t>IOS Owner</t>
        </is>
      </c>
      <c r="O2766" s="4" t="n">
        <v>3</v>
      </c>
      <c r="P2766" s="4" t="inlineStr">
        <is>
          <t>PERCENTAGE</t>
        </is>
      </c>
      <c r="Q2766" s="4" t="inlineStr">
        <is>
          <t>MAESTRO-IOS-GROUP-FAMILY_HOUSEHOLD-2765 | Bills | 7363.24</t>
        </is>
      </c>
      <c r="R2766" s="4" t="inlineStr">
        <is>
          <t>iPhone</t>
        </is>
      </c>
      <c r="S2766" s="4" t="inlineStr">
        <is>
          <t>B56</t>
        </is>
      </c>
      <c r="T2766" s="4" t="inlineStr">
        <is>
          <t>HIGH_2501_3000</t>
        </is>
      </c>
      <c r="U2766" s="4" t="inlineStr">
        <is>
          <t>CREATED</t>
        </is>
      </c>
      <c r="V2766" s="4" t="inlineStr">
        <is>
          <t>idem-20260902-ios-2765</t>
        </is>
      </c>
    </row>
    <row r="2767" ht="30" customHeight="1">
      <c r="A2767" s="4" t="n">
        <v>2766</v>
      </c>
      <c r="B2767" s="4" t="inlineStr">
        <is>
          <t>MTR-IOS-2766</t>
        </is>
      </c>
      <c r="C2767" s="4" t="inlineStr">
        <is>
          <t>Business</t>
        </is>
      </c>
      <c r="D2767" s="4" t="inlineStr">
        <is>
          <t>Business</t>
        </is>
      </c>
      <c r="E2767" s="4" t="inlineStr">
        <is>
          <t>Business Operations</t>
        </is>
      </c>
      <c r="F2767" s="4" t="inlineStr">
        <is>
          <t>Equipment</t>
        </is>
      </c>
      <c r="G2767" s="4" t="inlineStr">
        <is>
          <t>Expense</t>
        </is>
      </c>
      <c r="H2767" s="12" t="n">
        <v>46243</v>
      </c>
      <c r="I2767" s="13" t="n">
        <v>0.7965162037037037</v>
      </c>
      <c r="J2767" s="14" t="n">
        <v>46243.79651620371</v>
      </c>
      <c r="K2767" s="15" t="n">
        <v>13000.8</v>
      </c>
      <c r="L2767" s="4" t="inlineStr">
        <is>
          <t>INR</t>
        </is>
      </c>
      <c r="M2767" s="15" t="n">
        <v>-13000.8</v>
      </c>
      <c r="N2767" s="4" t="inlineStr">
        <is>
          <t>IOS Owner</t>
        </is>
      </c>
      <c r="O2767" s="4" t="n"/>
      <c r="P2767" s="4" t="n"/>
      <c r="Q2767" s="4" t="inlineStr">
        <is>
          <t>MAESTRO-IOS-BUSINESS-BUSINESS_OPERATIONS-2766 | Equipment | 13000.80</t>
        </is>
      </c>
      <c r="R2767" s="4" t="inlineStr">
        <is>
          <t>iPhone</t>
        </is>
      </c>
      <c r="S2767" s="4" t="inlineStr">
        <is>
          <t>B56</t>
        </is>
      </c>
      <c r="T2767" s="4" t="inlineStr">
        <is>
          <t>HIGH_2501_3000</t>
        </is>
      </c>
      <c r="U2767" s="4" t="inlineStr">
        <is>
          <t>CREATED</t>
        </is>
      </c>
      <c r="V2767" s="4" t="inlineStr">
        <is>
          <t>idem-20260902-ios-2766</t>
        </is>
      </c>
    </row>
    <row r="2768" ht="30" customHeight="1">
      <c r="A2768" s="4" t="n">
        <v>2767</v>
      </c>
      <c r="B2768" s="4" t="inlineStr">
        <is>
          <t>MTR-IOS-2767</t>
        </is>
      </c>
      <c r="C2768" s="4" t="inlineStr">
        <is>
          <t>Personal</t>
        </is>
      </c>
      <c r="D2768" s="4" t="inlineStr">
        <is>
          <t>Personal</t>
        </is>
      </c>
      <c r="E2768" s="4" t="inlineStr">
        <is>
          <t>Life Operations</t>
        </is>
      </c>
      <c r="F2768" s="4" t="inlineStr">
        <is>
          <t>Bills</t>
        </is>
      </c>
      <c r="G2768" s="4" t="inlineStr">
        <is>
          <t>Expense</t>
        </is>
      </c>
      <c r="H2768" s="12" t="n">
        <v>46187</v>
      </c>
      <c r="I2768" s="13" t="n">
        <v>0.5703587962962963</v>
      </c>
      <c r="J2768" s="14" t="n">
        <v>46187.5703587963</v>
      </c>
      <c r="K2768" s="15" t="n">
        <v>14224.54</v>
      </c>
      <c r="L2768" s="4" t="inlineStr">
        <is>
          <t>INR</t>
        </is>
      </c>
      <c r="M2768" s="15" t="n">
        <v>-14224.54</v>
      </c>
      <c r="N2768" s="4" t="inlineStr">
        <is>
          <t>IOS Owner</t>
        </is>
      </c>
      <c r="O2768" s="4" t="n"/>
      <c r="P2768" s="4" t="n"/>
      <c r="Q2768" s="4" t="inlineStr">
        <is>
          <t>MAESTRO-IOS-PERSONAL-LIFE_OPERATIONS-2767 | Bills | 14224.54</t>
        </is>
      </c>
      <c r="R2768" s="4" t="inlineStr">
        <is>
          <t>iPhone</t>
        </is>
      </c>
      <c r="S2768" s="4" t="inlineStr">
        <is>
          <t>B56</t>
        </is>
      </c>
      <c r="T2768" s="4" t="inlineStr">
        <is>
          <t>HIGH_2501_3000</t>
        </is>
      </c>
      <c r="U2768" s="4" t="inlineStr">
        <is>
          <t>CREATED</t>
        </is>
      </c>
      <c r="V2768" s="4" t="inlineStr">
        <is>
          <t>idem-20260902-ios-2767</t>
        </is>
      </c>
    </row>
    <row r="2769" ht="30" customHeight="1">
      <c r="A2769" s="4" t="n">
        <v>2768</v>
      </c>
      <c r="B2769" s="4" t="inlineStr">
        <is>
          <t>MTR-IOS-2768</t>
        </is>
      </c>
      <c r="C2769" s="4" t="inlineStr">
        <is>
          <t>Group</t>
        </is>
      </c>
      <c r="D2769" s="4" t="inlineStr">
        <is>
          <t>Shared Living</t>
        </is>
      </c>
      <c r="E2769" s="4" t="inlineStr">
        <is>
          <t>Family Household</t>
        </is>
      </c>
      <c r="F2769" s="4" t="inlineStr">
        <is>
          <t>School</t>
        </is>
      </c>
      <c r="G2769" s="4" t="inlineStr">
        <is>
          <t>Expense</t>
        </is>
      </c>
      <c r="H2769" s="12" t="n">
        <v>46014</v>
      </c>
      <c r="I2769" s="13" t="n">
        <v>0.6973958333333333</v>
      </c>
      <c r="J2769" s="14" t="n">
        <v>46014.69739583333</v>
      </c>
      <c r="K2769" s="15" t="n">
        <v>18511.04</v>
      </c>
      <c r="L2769" s="4" t="inlineStr">
        <is>
          <t>INR</t>
        </is>
      </c>
      <c r="M2769" s="15" t="n">
        <v>-18511.04</v>
      </c>
      <c r="N2769" s="4" t="inlineStr">
        <is>
          <t>IOS Aarav</t>
        </is>
      </c>
      <c r="O2769" s="4" t="n">
        <v>3</v>
      </c>
      <c r="P2769" s="4" t="inlineStr">
        <is>
          <t>EXACT</t>
        </is>
      </c>
      <c r="Q2769" s="4" t="inlineStr">
        <is>
          <t>MAESTRO-IOS-GROUP-FAMILY_HOUSEHOLD-2768 | School | 18511.04</t>
        </is>
      </c>
      <c r="R2769" s="4" t="inlineStr">
        <is>
          <t>iPhone</t>
        </is>
      </c>
      <c r="S2769" s="4" t="inlineStr">
        <is>
          <t>B56</t>
        </is>
      </c>
      <c r="T2769" s="4" t="inlineStr">
        <is>
          <t>HIGH_2501_3000</t>
        </is>
      </c>
      <c r="U2769" s="4" t="inlineStr">
        <is>
          <t>CREATED</t>
        </is>
      </c>
      <c r="V2769" s="4" t="inlineStr">
        <is>
          <t>idem-20260902-ios-2768</t>
        </is>
      </c>
    </row>
    <row r="2770" ht="30" customHeight="1">
      <c r="A2770" s="4" t="n">
        <v>2769</v>
      </c>
      <c r="B2770" s="4" t="inlineStr">
        <is>
          <t>MTR-IOS-2769</t>
        </is>
      </c>
      <c r="C2770" s="4" t="inlineStr">
        <is>
          <t>Business</t>
        </is>
      </c>
      <c r="D2770" s="4" t="inlineStr">
        <is>
          <t>Business</t>
        </is>
      </c>
      <c r="E2770" s="4" t="inlineStr">
        <is>
          <t>Business Operations</t>
        </is>
      </c>
      <c r="F2770" s="4" t="inlineStr">
        <is>
          <t>Vendor</t>
        </is>
      </c>
      <c r="G2770" s="4" t="inlineStr">
        <is>
          <t>Expense</t>
        </is>
      </c>
      <c r="H2770" s="12" t="n">
        <v>46029</v>
      </c>
      <c r="I2770" s="13" t="n">
        <v>0.3467592592592593</v>
      </c>
      <c r="J2770" s="14" t="n">
        <v>46029.34675925926</v>
      </c>
      <c r="K2770" s="15" t="n">
        <v>85507.50999999999</v>
      </c>
      <c r="L2770" s="4" t="inlineStr">
        <is>
          <t>INR</t>
        </is>
      </c>
      <c r="M2770" s="15" t="n">
        <v>-85507.50999999999</v>
      </c>
      <c r="N2770" s="4" t="inlineStr">
        <is>
          <t>IOS Owner</t>
        </is>
      </c>
      <c r="O2770" s="4" t="n"/>
      <c r="P2770" s="4" t="n"/>
      <c r="Q2770" s="4" t="inlineStr">
        <is>
          <t>MAESTRO-IOS-BUSINESS-BUSINESS_OPERATIONS-2769 | Vendor | 85507.51</t>
        </is>
      </c>
      <c r="R2770" s="4" t="inlineStr">
        <is>
          <t>iPhone</t>
        </is>
      </c>
      <c r="S2770" s="4" t="inlineStr">
        <is>
          <t>B56</t>
        </is>
      </c>
      <c r="T2770" s="4" t="inlineStr">
        <is>
          <t>HIGH_2501_3000</t>
        </is>
      </c>
      <c r="U2770" s="4" t="inlineStr">
        <is>
          <t>CREATED</t>
        </is>
      </c>
      <c r="V2770" s="4" t="inlineStr">
        <is>
          <t>idem-20260902-ios-2769</t>
        </is>
      </c>
    </row>
    <row r="2771" ht="30" customHeight="1">
      <c r="A2771" s="4" t="n">
        <v>2770</v>
      </c>
      <c r="B2771" s="4" t="inlineStr">
        <is>
          <t>MTR-IOS-2770</t>
        </is>
      </c>
      <c r="C2771" s="4" t="inlineStr">
        <is>
          <t>Personal</t>
        </is>
      </c>
      <c r="D2771" s="4" t="inlineStr">
        <is>
          <t>Personal</t>
        </is>
      </c>
      <c r="E2771" s="4" t="inlineStr">
        <is>
          <t>Life Operations</t>
        </is>
      </c>
      <c r="F2771" s="4" t="inlineStr">
        <is>
          <t>Transport</t>
        </is>
      </c>
      <c r="G2771" s="4" t="inlineStr">
        <is>
          <t>Expense</t>
        </is>
      </c>
      <c r="H2771" s="12" t="n">
        <v>46013</v>
      </c>
      <c r="I2771" s="13" t="n">
        <v>0.7706597222222222</v>
      </c>
      <c r="J2771" s="14" t="n">
        <v>46013.77065972222</v>
      </c>
      <c r="K2771" s="15" t="n">
        <v>5874.42</v>
      </c>
      <c r="L2771" s="4" t="inlineStr">
        <is>
          <t>INR</t>
        </is>
      </c>
      <c r="M2771" s="15" t="n">
        <v>-5874.42</v>
      </c>
      <c r="N2771" s="4" t="inlineStr">
        <is>
          <t>IOS Owner</t>
        </is>
      </c>
      <c r="O2771" s="4" t="n"/>
      <c r="P2771" s="4" t="n"/>
      <c r="Q2771" s="4" t="inlineStr">
        <is>
          <t>MAESTRO-IOS-PERSONAL-LIFE_OPERATIONS-2770 | Transport | 5874.42</t>
        </is>
      </c>
      <c r="R2771" s="4" t="inlineStr">
        <is>
          <t>iPhone</t>
        </is>
      </c>
      <c r="S2771" s="4" t="inlineStr">
        <is>
          <t>B56</t>
        </is>
      </c>
      <c r="T2771" s="4" t="inlineStr">
        <is>
          <t>HIGH_2501_3000</t>
        </is>
      </c>
      <c r="U2771" s="4" t="inlineStr">
        <is>
          <t>CREATED</t>
        </is>
      </c>
      <c r="V2771" s="4" t="inlineStr">
        <is>
          <t>idem-20260902-ios-2770</t>
        </is>
      </c>
    </row>
    <row r="2772" ht="30" customHeight="1">
      <c r="A2772" s="4" t="n">
        <v>2771</v>
      </c>
      <c r="B2772" s="4" t="inlineStr">
        <is>
          <t>MTR-IOS-2771</t>
        </is>
      </c>
      <c r="C2772" s="4" t="inlineStr">
        <is>
          <t>Group</t>
        </is>
      </c>
      <c r="D2772" s="4" t="inlineStr">
        <is>
          <t>Shared Living</t>
        </is>
      </c>
      <c r="E2772" s="4" t="inlineStr">
        <is>
          <t>Family Household</t>
        </is>
      </c>
      <c r="F2772" s="4" t="inlineStr">
        <is>
          <t>Healthcare</t>
        </is>
      </c>
      <c r="G2772" s="4" t="inlineStr">
        <is>
          <t>Expense</t>
        </is>
      </c>
      <c r="H2772" s="12" t="n">
        <v>46252</v>
      </c>
      <c r="I2772" s="13" t="n">
        <v>0.06256944444444444</v>
      </c>
      <c r="J2772" s="14" t="n">
        <v>46252.06256944445</v>
      </c>
      <c r="K2772" s="15" t="n">
        <v>5387.21</v>
      </c>
      <c r="L2772" s="4" t="inlineStr">
        <is>
          <t>INR</t>
        </is>
      </c>
      <c r="M2772" s="15" t="n">
        <v>-5387.21</v>
      </c>
      <c r="N2772" s="4" t="inlineStr">
        <is>
          <t>IOS Meera</t>
        </is>
      </c>
      <c r="O2772" s="4" t="n">
        <v>3</v>
      </c>
      <c r="P2772" s="4" t="inlineStr">
        <is>
          <t>SHARES</t>
        </is>
      </c>
      <c r="Q2772" s="4" t="inlineStr">
        <is>
          <t>MAESTRO-IOS-GROUP-FAMILY_HOUSEHOLD-2771 | Healthcare | 5387.21</t>
        </is>
      </c>
      <c r="R2772" s="4" t="inlineStr">
        <is>
          <t>iPhone</t>
        </is>
      </c>
      <c r="S2772" s="4" t="inlineStr">
        <is>
          <t>B56</t>
        </is>
      </c>
      <c r="T2772" s="4" t="inlineStr">
        <is>
          <t>HIGH_2501_3000</t>
        </is>
      </c>
      <c r="U2772" s="4" t="inlineStr">
        <is>
          <t>CREATED</t>
        </is>
      </c>
      <c r="V2772" s="4" t="inlineStr">
        <is>
          <t>idem-20260902-ios-2771</t>
        </is>
      </c>
    </row>
    <row r="2773" ht="30" customHeight="1">
      <c r="A2773" s="4" t="n">
        <v>2772</v>
      </c>
      <c r="B2773" s="4" t="inlineStr">
        <is>
          <t>MTR-IOS-2772</t>
        </is>
      </c>
      <c r="C2773" s="4" t="inlineStr">
        <is>
          <t>Business</t>
        </is>
      </c>
      <c r="D2773" s="4" t="inlineStr">
        <is>
          <t>Business</t>
        </is>
      </c>
      <c r="E2773" s="4" t="inlineStr">
        <is>
          <t>Business Operations</t>
        </is>
      </c>
      <c r="F2773" s="4" t="inlineStr">
        <is>
          <t>Tax</t>
        </is>
      </c>
      <c r="G2773" s="4" t="inlineStr">
        <is>
          <t>Expense</t>
        </is>
      </c>
      <c r="H2773" s="12" t="n">
        <v>46141</v>
      </c>
      <c r="I2773" s="13" t="n">
        <v>0.9856134259259259</v>
      </c>
      <c r="J2773" s="14" t="n">
        <v>46141.98561342592</v>
      </c>
      <c r="K2773" s="15" t="n">
        <v>152308.12</v>
      </c>
      <c r="L2773" s="4" t="inlineStr">
        <is>
          <t>INR</t>
        </is>
      </c>
      <c r="M2773" s="15" t="n">
        <v>-152308.12</v>
      </c>
      <c r="N2773" s="4" t="inlineStr">
        <is>
          <t>IOS Owner</t>
        </is>
      </c>
      <c r="O2773" s="4" t="n"/>
      <c r="P2773" s="4" t="n"/>
      <c r="Q2773" s="4" t="inlineStr">
        <is>
          <t>MAESTRO-IOS-BUSINESS-BUSINESS_OPERATIONS-2772 | Tax | 152308.12</t>
        </is>
      </c>
      <c r="R2773" s="4" t="inlineStr">
        <is>
          <t>iPhone</t>
        </is>
      </c>
      <c r="S2773" s="4" t="inlineStr">
        <is>
          <t>B56</t>
        </is>
      </c>
      <c r="T2773" s="4" t="inlineStr">
        <is>
          <t>HIGH_2501_3000</t>
        </is>
      </c>
      <c r="U2773" s="4" t="inlineStr">
        <is>
          <t>CREATED</t>
        </is>
      </c>
      <c r="V2773" s="4" t="inlineStr">
        <is>
          <t>idem-20260902-ios-2772</t>
        </is>
      </c>
    </row>
    <row r="2774" ht="30" customHeight="1">
      <c r="A2774" s="4" t="n">
        <v>2773</v>
      </c>
      <c r="B2774" s="4" t="inlineStr">
        <is>
          <t>MTR-IOS-2773</t>
        </is>
      </c>
      <c r="C2774" s="4" t="inlineStr">
        <is>
          <t>Personal</t>
        </is>
      </c>
      <c r="D2774" s="4" t="inlineStr">
        <is>
          <t>Personal</t>
        </is>
      </c>
      <c r="E2774" s="4" t="inlineStr">
        <is>
          <t>Life Operations</t>
        </is>
      </c>
      <c r="F2774" s="4" t="inlineStr">
        <is>
          <t>Healthcare</t>
        </is>
      </c>
      <c r="G2774" s="4" t="inlineStr">
        <is>
          <t>Expense</t>
        </is>
      </c>
      <c r="H2774" s="12" t="n">
        <v>46158</v>
      </c>
      <c r="I2774" s="13" t="n">
        <v>0.1375694444444444</v>
      </c>
      <c r="J2774" s="14" t="n">
        <v>46158.13756944444</v>
      </c>
      <c r="K2774" s="15" t="n">
        <v>5331.27</v>
      </c>
      <c r="L2774" s="4" t="inlineStr">
        <is>
          <t>INR</t>
        </is>
      </c>
      <c r="M2774" s="15" t="n">
        <v>-5331.27</v>
      </c>
      <c r="N2774" s="4" t="inlineStr">
        <is>
          <t>IOS Owner</t>
        </is>
      </c>
      <c r="O2774" s="4" t="n"/>
      <c r="P2774" s="4" t="n"/>
      <c r="Q2774" s="4" t="inlineStr">
        <is>
          <t>MAESTRO-IOS-PERSONAL-LIFE_OPERATIONS-2773 | Healthcare | 5331.27</t>
        </is>
      </c>
      <c r="R2774" s="4" t="inlineStr">
        <is>
          <t>iPhone</t>
        </is>
      </c>
      <c r="S2774" s="4" t="inlineStr">
        <is>
          <t>B56</t>
        </is>
      </c>
      <c r="T2774" s="4" t="inlineStr">
        <is>
          <t>HIGH_2501_3000</t>
        </is>
      </c>
      <c r="U2774" s="4" t="inlineStr">
        <is>
          <t>CREATED</t>
        </is>
      </c>
      <c r="V2774" s="4" t="inlineStr">
        <is>
          <t>idem-20260902-ios-2773</t>
        </is>
      </c>
    </row>
    <row r="2775" ht="30" customHeight="1">
      <c r="A2775" s="4" t="n">
        <v>2774</v>
      </c>
      <c r="B2775" s="4" t="inlineStr">
        <is>
          <t>MTR-IOS-2774</t>
        </is>
      </c>
      <c r="C2775" s="4" t="inlineStr">
        <is>
          <t>Group</t>
        </is>
      </c>
      <c r="D2775" s="4" t="inlineStr">
        <is>
          <t>Shared Living</t>
        </is>
      </c>
      <c r="E2775" s="4" t="inlineStr">
        <is>
          <t>Family Household</t>
        </is>
      </c>
      <c r="F2775" s="4" t="inlineStr">
        <is>
          <t>Home</t>
        </is>
      </c>
      <c r="G2775" s="4" t="inlineStr">
        <is>
          <t>Expense</t>
        </is>
      </c>
      <c r="H2775" s="12" t="n">
        <v>46139</v>
      </c>
      <c r="I2775" s="13" t="n">
        <v>0.4540740740740741</v>
      </c>
      <c r="J2775" s="14" t="n">
        <v>46139.45407407408</v>
      </c>
      <c r="K2775" s="15" t="n">
        <v>1238.9</v>
      </c>
      <c r="L2775" s="4" t="inlineStr">
        <is>
          <t>INR</t>
        </is>
      </c>
      <c r="M2775" s="15" t="n">
        <v>-1238.9</v>
      </c>
      <c r="N2775" s="4" t="inlineStr">
        <is>
          <t>IOS Owner</t>
        </is>
      </c>
      <c r="O2775" s="4" t="n">
        <v>3</v>
      </c>
      <c r="P2775" s="4" t="inlineStr">
        <is>
          <t>EQUAL</t>
        </is>
      </c>
      <c r="Q2775" s="4" t="inlineStr">
        <is>
          <t>MAESTRO-IOS-GROUP-FAMILY_HOUSEHOLD-2774 | Home | 1238.90</t>
        </is>
      </c>
      <c r="R2775" s="4" t="inlineStr">
        <is>
          <t>iPhone</t>
        </is>
      </c>
      <c r="S2775" s="4" t="inlineStr">
        <is>
          <t>B56</t>
        </is>
      </c>
      <c r="T2775" s="4" t="inlineStr">
        <is>
          <t>HIGH_2501_3000</t>
        </is>
      </c>
      <c r="U2775" s="4" t="inlineStr">
        <is>
          <t>CREATED</t>
        </is>
      </c>
      <c r="V2775" s="4" t="inlineStr">
        <is>
          <t>idem-20260902-ios-2774</t>
        </is>
      </c>
    </row>
    <row r="2776" ht="30" customHeight="1">
      <c r="A2776" s="4" t="n">
        <v>2775</v>
      </c>
      <c r="B2776" s="4" t="inlineStr">
        <is>
          <t>MTR-IOS-2775</t>
        </is>
      </c>
      <c r="C2776" s="4" t="inlineStr">
        <is>
          <t>Business</t>
        </is>
      </c>
      <c r="D2776" s="4" t="inlineStr">
        <is>
          <t>Business</t>
        </is>
      </c>
      <c r="E2776" s="4" t="inlineStr">
        <is>
          <t>Team Operations</t>
        </is>
      </c>
      <c r="F2776" s="4" t="inlineStr">
        <is>
          <t>Payroll</t>
        </is>
      </c>
      <c r="G2776" s="4" t="inlineStr">
        <is>
          <t>Expense</t>
        </is>
      </c>
      <c r="H2776" s="12" t="n">
        <v>45943</v>
      </c>
      <c r="I2776" s="13" t="n">
        <v>0.3040625</v>
      </c>
      <c r="J2776" s="14" t="n">
        <v>45943.3040625</v>
      </c>
      <c r="K2776" s="15" t="n">
        <v>100</v>
      </c>
      <c r="L2776" s="4" t="inlineStr">
        <is>
          <t>INR</t>
        </is>
      </c>
      <c r="M2776" s="15" t="n">
        <v>-100</v>
      </c>
      <c r="N2776" s="4" t="inlineStr">
        <is>
          <t>IOS Owner</t>
        </is>
      </c>
      <c r="O2776" s="4" t="n"/>
      <c r="P2776" s="4" t="n"/>
      <c r="Q2776" s="4" t="inlineStr">
        <is>
          <t>MAESTRO-IOS-BUSINESS-TEAM_OPERATIONS-2775 | Payroll | 100.00</t>
        </is>
      </c>
      <c r="R2776" s="4" t="inlineStr">
        <is>
          <t>iPhone</t>
        </is>
      </c>
      <c r="S2776" s="4" t="inlineStr">
        <is>
          <t>B56</t>
        </is>
      </c>
      <c r="T2776" s="4" t="inlineStr">
        <is>
          <t>HIGH_2501_3000</t>
        </is>
      </c>
      <c r="U2776" s="4" t="inlineStr">
        <is>
          <t>CREATED</t>
        </is>
      </c>
      <c r="V2776" s="4" t="inlineStr">
        <is>
          <t>idem-20260902-ios-2775</t>
        </is>
      </c>
    </row>
    <row r="2777" ht="30" customHeight="1">
      <c r="A2777" s="4" t="n">
        <v>2776</v>
      </c>
      <c r="B2777" s="4" t="inlineStr">
        <is>
          <t>MTR-IOS-2776</t>
        </is>
      </c>
      <c r="C2777" s="4" t="inlineStr">
        <is>
          <t>Personal</t>
        </is>
      </c>
      <c r="D2777" s="4" t="inlineStr">
        <is>
          <t>Personal</t>
        </is>
      </c>
      <c r="E2777" s="4" t="inlineStr">
        <is>
          <t>Life Operations</t>
        </is>
      </c>
      <c r="F2777" s="4" t="inlineStr">
        <is>
          <t>Subscriptions</t>
        </is>
      </c>
      <c r="G2777" s="4" t="inlineStr">
        <is>
          <t>Expense</t>
        </is>
      </c>
      <c r="H2777" s="12" t="n">
        <v>46246</v>
      </c>
      <c r="I2777" s="13" t="n">
        <v>0.6664583333333334</v>
      </c>
      <c r="J2777" s="14" t="n">
        <v>46246.66645833333</v>
      </c>
      <c r="K2777" s="15" t="n">
        <v>15780.13</v>
      </c>
      <c r="L2777" s="4" t="inlineStr">
        <is>
          <t>INR</t>
        </is>
      </c>
      <c r="M2777" s="15" t="n">
        <v>-15780.13</v>
      </c>
      <c r="N2777" s="4" t="inlineStr">
        <is>
          <t>IOS Owner</t>
        </is>
      </c>
      <c r="O2777" s="4" t="n"/>
      <c r="P2777" s="4" t="n"/>
      <c r="Q2777" s="4" t="inlineStr">
        <is>
          <t>MAESTRO-IOS-PERSONAL-LIFE_OPERATIONS-2776 | Subscriptions | 15780.13</t>
        </is>
      </c>
      <c r="R2777" s="4" t="inlineStr">
        <is>
          <t>iPhone</t>
        </is>
      </c>
      <c r="S2777" s="4" t="inlineStr">
        <is>
          <t>B56</t>
        </is>
      </c>
      <c r="T2777" s="4" t="inlineStr">
        <is>
          <t>HIGH_2501_3000</t>
        </is>
      </c>
      <c r="U2777" s="4" t="inlineStr">
        <is>
          <t>CREATED</t>
        </is>
      </c>
      <c r="V2777" s="4" t="inlineStr">
        <is>
          <t>idem-20260902-ios-2776</t>
        </is>
      </c>
    </row>
    <row r="2778" ht="30" customHeight="1">
      <c r="A2778" s="4" t="n">
        <v>2777</v>
      </c>
      <c r="B2778" s="4" t="inlineStr">
        <is>
          <t>MTR-IOS-2777</t>
        </is>
      </c>
      <c r="C2778" s="4" t="inlineStr">
        <is>
          <t>Group</t>
        </is>
      </c>
      <c r="D2778" s="4" t="inlineStr">
        <is>
          <t>Shared Living</t>
        </is>
      </c>
      <c r="E2778" s="4" t="inlineStr">
        <is>
          <t>Family Household</t>
        </is>
      </c>
      <c r="F2778" s="4" t="inlineStr">
        <is>
          <t>Other</t>
        </is>
      </c>
      <c r="G2778" s="4" t="inlineStr">
        <is>
          <t>Expense</t>
        </is>
      </c>
      <c r="H2778" s="12" t="n">
        <v>46259</v>
      </c>
      <c r="I2778" s="13" t="n">
        <v>0.1486226851851852</v>
      </c>
      <c r="J2778" s="14" t="n">
        <v>46259.14862268518</v>
      </c>
      <c r="K2778" s="15" t="n">
        <v>9174.24</v>
      </c>
      <c r="L2778" s="4" t="inlineStr">
        <is>
          <t>INR</t>
        </is>
      </c>
      <c r="M2778" s="15" t="n">
        <v>-9174.24</v>
      </c>
      <c r="N2778" s="4" t="inlineStr">
        <is>
          <t>IOS Aarav</t>
        </is>
      </c>
      <c r="O2778" s="4" t="n">
        <v>3</v>
      </c>
      <c r="P2778" s="4" t="inlineStr">
        <is>
          <t>PERCENTAGE</t>
        </is>
      </c>
      <c r="Q2778" s="4" t="inlineStr">
        <is>
          <t>MAESTRO-IOS-GROUP-FAMILY_HOUSEHOLD-2777 | Other | 9174.24</t>
        </is>
      </c>
      <c r="R2778" s="4" t="inlineStr">
        <is>
          <t>iPhone</t>
        </is>
      </c>
      <c r="S2778" s="4" t="inlineStr">
        <is>
          <t>B56</t>
        </is>
      </c>
      <c r="T2778" s="4" t="inlineStr">
        <is>
          <t>HIGH_2501_3000</t>
        </is>
      </c>
      <c r="U2778" s="4" t="inlineStr">
        <is>
          <t>CREATED</t>
        </is>
      </c>
      <c r="V2778" s="4" t="inlineStr">
        <is>
          <t>idem-20260902-ios-2777</t>
        </is>
      </c>
    </row>
    <row r="2779" ht="30" customHeight="1">
      <c r="A2779" s="4" t="n">
        <v>2778</v>
      </c>
      <c r="B2779" s="4" t="inlineStr">
        <is>
          <t>MTR-IOS-2778</t>
        </is>
      </c>
      <c r="C2779" s="4" t="inlineStr">
        <is>
          <t>Business</t>
        </is>
      </c>
      <c r="D2779" s="4" t="inlineStr">
        <is>
          <t>Business</t>
        </is>
      </c>
      <c r="E2779" s="4" t="inlineStr">
        <is>
          <t>Team Operations</t>
        </is>
      </c>
      <c r="F2779" s="4" t="inlineStr">
        <is>
          <t>Contractor</t>
        </is>
      </c>
      <c r="G2779" s="4" t="inlineStr">
        <is>
          <t>Expense</t>
        </is>
      </c>
      <c r="H2779" s="12" t="n">
        <v>46084</v>
      </c>
      <c r="I2779" s="13" t="n">
        <v>0.2117824074074074</v>
      </c>
      <c r="J2779" s="14" t="n">
        <v>46084.21178240741</v>
      </c>
      <c r="K2779" s="15" t="n">
        <v>75869.25</v>
      </c>
      <c r="L2779" s="4" t="inlineStr">
        <is>
          <t>INR</t>
        </is>
      </c>
      <c r="M2779" s="15" t="n">
        <v>-75869.25</v>
      </c>
      <c r="N2779" s="4" t="inlineStr">
        <is>
          <t>IOS Owner</t>
        </is>
      </c>
      <c r="O2779" s="4" t="n"/>
      <c r="P2779" s="4" t="n"/>
      <c r="Q2779" s="4" t="inlineStr">
        <is>
          <t>MAESTRO-IOS-BUSINESS-TEAM_OPERATIONS-2778 | Contractor | 75869.25</t>
        </is>
      </c>
      <c r="R2779" s="4" t="inlineStr">
        <is>
          <t>iPhone</t>
        </is>
      </c>
      <c r="S2779" s="4" t="inlineStr">
        <is>
          <t>B56</t>
        </is>
      </c>
      <c r="T2779" s="4" t="inlineStr">
        <is>
          <t>HIGH_2501_3000</t>
        </is>
      </c>
      <c r="U2779" s="4" t="inlineStr">
        <is>
          <t>CREATED</t>
        </is>
      </c>
      <c r="V2779" s="4" t="inlineStr">
        <is>
          <t>idem-20260902-ios-2778</t>
        </is>
      </c>
    </row>
    <row r="2780" ht="30" customHeight="1">
      <c r="A2780" s="4" t="n">
        <v>2779</v>
      </c>
      <c r="B2780" s="4" t="inlineStr">
        <is>
          <t>MTR-IOS-2779</t>
        </is>
      </c>
      <c r="C2780" s="4" t="inlineStr">
        <is>
          <t>Personal</t>
        </is>
      </c>
      <c r="D2780" s="4" t="inlineStr">
        <is>
          <t>Personal</t>
        </is>
      </c>
      <c r="E2780" s="4" t="inlineStr">
        <is>
          <t>Life Operations</t>
        </is>
      </c>
      <c r="F2780" s="4" t="inlineStr">
        <is>
          <t>Repairs</t>
        </is>
      </c>
      <c r="G2780" s="4" t="inlineStr">
        <is>
          <t>Expense</t>
        </is>
      </c>
      <c r="H2780" s="12" t="n">
        <v>46055</v>
      </c>
      <c r="I2780" s="13" t="n">
        <v>0.9448032407407407</v>
      </c>
      <c r="J2780" s="14" t="n">
        <v>46055.94480324074</v>
      </c>
      <c r="K2780" s="15" t="n">
        <v>1243.35</v>
      </c>
      <c r="L2780" s="4" t="inlineStr">
        <is>
          <t>INR</t>
        </is>
      </c>
      <c r="M2780" s="15" t="n">
        <v>-1243.35</v>
      </c>
      <c r="N2780" s="4" t="inlineStr">
        <is>
          <t>IOS Owner</t>
        </is>
      </c>
      <c r="O2780" s="4" t="n"/>
      <c r="P2780" s="4" t="n"/>
      <c r="Q2780" s="4" t="inlineStr">
        <is>
          <t>MAESTRO-IOS-PERSONAL-LIFE_OPERATIONS-2779 | Repairs | 1243.35</t>
        </is>
      </c>
      <c r="R2780" s="4" t="inlineStr">
        <is>
          <t>iPhone</t>
        </is>
      </c>
      <c r="S2780" s="4" t="inlineStr">
        <is>
          <t>B56</t>
        </is>
      </c>
      <c r="T2780" s="4" t="inlineStr">
        <is>
          <t>HIGH_2501_3000</t>
        </is>
      </c>
      <c r="U2780" s="4" t="inlineStr">
        <is>
          <t>CREATED</t>
        </is>
      </c>
      <c r="V2780" s="4" t="inlineStr">
        <is>
          <t>idem-20260902-ios-2779</t>
        </is>
      </c>
    </row>
    <row r="2781" ht="30" customHeight="1">
      <c r="A2781" s="4" t="n">
        <v>2780</v>
      </c>
      <c r="B2781" s="4" t="inlineStr">
        <is>
          <t>MTR-IOS-2780</t>
        </is>
      </c>
      <c r="C2781" s="4" t="inlineStr">
        <is>
          <t>Group</t>
        </is>
      </c>
      <c r="D2781" s="4" t="inlineStr">
        <is>
          <t>Shared Living</t>
        </is>
      </c>
      <c r="E2781" s="4" t="inlineStr">
        <is>
          <t>Custom Living</t>
        </is>
      </c>
      <c r="F2781" s="4" t="inlineStr">
        <is>
          <t>Custom Expense</t>
        </is>
      </c>
      <c r="G2781" s="4" t="inlineStr">
        <is>
          <t>Expense</t>
        </is>
      </c>
      <c r="H2781" s="12" t="n">
        <v>46129</v>
      </c>
      <c r="I2781" s="13" t="n">
        <v>0.8555208333333333</v>
      </c>
      <c r="J2781" s="14" t="n">
        <v>46129.85552083333</v>
      </c>
      <c r="K2781" s="15" t="n">
        <v>3158.43</v>
      </c>
      <c r="L2781" s="4" t="inlineStr">
        <is>
          <t>INR</t>
        </is>
      </c>
      <c r="M2781" s="15" t="n">
        <v>-3158.43</v>
      </c>
      <c r="N2781" s="4" t="inlineStr">
        <is>
          <t>IOS Meera</t>
        </is>
      </c>
      <c r="O2781" s="4" t="n">
        <v>3</v>
      </c>
      <c r="P2781" s="4" t="inlineStr">
        <is>
          <t>EXACT</t>
        </is>
      </c>
      <c r="Q2781" s="4" t="inlineStr">
        <is>
          <t>MAESTRO-IOS-GROUP-CUSTOM_LIVING-2780 | Custom Expense | 3158.43</t>
        </is>
      </c>
      <c r="R2781" s="4" t="inlineStr">
        <is>
          <t>iPhone</t>
        </is>
      </c>
      <c r="S2781" s="4" t="inlineStr">
        <is>
          <t>B56</t>
        </is>
      </c>
      <c r="T2781" s="4" t="inlineStr">
        <is>
          <t>HIGH_2501_3000</t>
        </is>
      </c>
      <c r="U2781" s="4" t="inlineStr">
        <is>
          <t>CREATED</t>
        </is>
      </c>
      <c r="V2781" s="4" t="inlineStr">
        <is>
          <t>idem-20260902-ios-2780</t>
        </is>
      </c>
    </row>
    <row r="2782" ht="30" customHeight="1">
      <c r="A2782" s="4" t="n">
        <v>2781</v>
      </c>
      <c r="B2782" s="4" t="inlineStr">
        <is>
          <t>MTR-IOS-2781</t>
        </is>
      </c>
      <c r="C2782" s="4" t="inlineStr">
        <is>
          <t>Business</t>
        </is>
      </c>
      <c r="D2782" s="4" t="inlineStr">
        <is>
          <t>Business</t>
        </is>
      </c>
      <c r="E2782" s="4" t="inlineStr">
        <is>
          <t>Team Operations</t>
        </is>
      </c>
      <c r="F2782" s="4" t="inlineStr">
        <is>
          <t>Hiring</t>
        </is>
      </c>
      <c r="G2782" s="4" t="inlineStr">
        <is>
          <t>Expense</t>
        </is>
      </c>
      <c r="H2782" s="12" t="n">
        <v>46146</v>
      </c>
      <c r="I2782" s="13" t="n">
        <v>0.8479398148148148</v>
      </c>
      <c r="J2782" s="14" t="n">
        <v>46146.84793981481</v>
      </c>
      <c r="K2782" s="15" t="n">
        <v>82814.03999999999</v>
      </c>
      <c r="L2782" s="4" t="inlineStr">
        <is>
          <t>INR</t>
        </is>
      </c>
      <c r="M2782" s="15" t="n">
        <v>-82814.03999999999</v>
      </c>
      <c r="N2782" s="4" t="inlineStr">
        <is>
          <t>IOS Owner</t>
        </is>
      </c>
      <c r="O2782" s="4" t="n"/>
      <c r="P2782" s="4" t="n"/>
      <c r="Q2782" s="4" t="inlineStr">
        <is>
          <t>MAESTRO-IOS-BUSINESS-TEAM_OPERATIONS-2781 | Hiring | 82814.04</t>
        </is>
      </c>
      <c r="R2782" s="4" t="inlineStr">
        <is>
          <t>iPhone</t>
        </is>
      </c>
      <c r="S2782" s="4" t="inlineStr">
        <is>
          <t>B56</t>
        </is>
      </c>
      <c r="T2782" s="4" t="inlineStr">
        <is>
          <t>HIGH_2501_3000</t>
        </is>
      </c>
      <c r="U2782" s="4" t="inlineStr">
        <is>
          <t>CREATED</t>
        </is>
      </c>
      <c r="V2782" s="4" t="inlineStr">
        <is>
          <t>idem-20260902-ios-2781</t>
        </is>
      </c>
    </row>
    <row r="2783" ht="30" customHeight="1">
      <c r="A2783" s="4" t="n">
        <v>2782</v>
      </c>
      <c r="B2783" s="4" t="inlineStr">
        <is>
          <t>MTR-IOS-2782</t>
        </is>
      </c>
      <c r="C2783" s="4" t="inlineStr">
        <is>
          <t>Personal</t>
        </is>
      </c>
      <c r="D2783" s="4" t="inlineStr">
        <is>
          <t>Personal</t>
        </is>
      </c>
      <c r="E2783" s="4" t="inlineStr">
        <is>
          <t>Future Building</t>
        </is>
      </c>
      <c r="F2783" s="4" t="inlineStr">
        <is>
          <t>Savings</t>
        </is>
      </c>
      <c r="G2783" s="4" t="inlineStr">
        <is>
          <t>Transfer</t>
        </is>
      </c>
      <c r="H2783" s="12" t="n">
        <v>45929</v>
      </c>
      <c r="I2783" s="13" t="n">
        <v>0.3277199074074074</v>
      </c>
      <c r="J2783" s="14" t="n">
        <v>45929.32771990741</v>
      </c>
      <c r="K2783" s="15" t="n">
        <v>9822.719999999999</v>
      </c>
      <c r="L2783" s="4" t="inlineStr">
        <is>
          <t>INR</t>
        </is>
      </c>
      <c r="M2783" s="15" t="n">
        <v>0</v>
      </c>
      <c r="N2783" s="4" t="inlineStr">
        <is>
          <t>IOS Owner</t>
        </is>
      </c>
      <c r="O2783" s="4" t="n"/>
      <c r="P2783" s="4" t="n"/>
      <c r="Q2783" s="4" t="inlineStr">
        <is>
          <t>MAESTRO-IOS-PERSONAL-FUTURE_BUILDING-2782 | Savings | 9822.72</t>
        </is>
      </c>
      <c r="R2783" s="4" t="inlineStr">
        <is>
          <t>iPhone</t>
        </is>
      </c>
      <c r="S2783" s="4" t="inlineStr">
        <is>
          <t>B56</t>
        </is>
      </c>
      <c r="T2783" s="4" t="inlineStr">
        <is>
          <t>HIGH_2501_3000</t>
        </is>
      </c>
      <c r="U2783" s="4" t="inlineStr">
        <is>
          <t>CREATED</t>
        </is>
      </c>
      <c r="V2783" s="4" t="inlineStr">
        <is>
          <t>idem-20260902-ios-2782</t>
        </is>
      </c>
    </row>
    <row r="2784" ht="30" customHeight="1">
      <c r="A2784" s="4" t="n">
        <v>2783</v>
      </c>
      <c r="B2784" s="4" t="inlineStr">
        <is>
          <t>MTR-IOS-2783</t>
        </is>
      </c>
      <c r="C2784" s="4" t="inlineStr">
        <is>
          <t>Group</t>
        </is>
      </c>
      <c r="D2784" s="4" t="inlineStr">
        <is>
          <t>Shared Living</t>
        </is>
      </c>
      <c r="E2784" s="4" t="inlineStr">
        <is>
          <t>Custom Living</t>
        </is>
      </c>
      <c r="F2784" s="4" t="inlineStr">
        <is>
          <t>Custom Contribution</t>
        </is>
      </c>
      <c r="G2784" s="4" t="inlineStr">
        <is>
          <t>Contribution</t>
        </is>
      </c>
      <c r="H2784" s="12" t="n">
        <v>46253</v>
      </c>
      <c r="I2784" s="13" t="n">
        <v>0.4892245370370371</v>
      </c>
      <c r="J2784" s="14" t="n">
        <v>46253.48922453704</v>
      </c>
      <c r="K2784" s="15" t="n">
        <v>11948.93</v>
      </c>
      <c r="L2784" s="4" t="inlineStr">
        <is>
          <t>INR</t>
        </is>
      </c>
      <c r="M2784" s="15" t="n">
        <v>11948.93</v>
      </c>
      <c r="N2784" s="4" t="inlineStr">
        <is>
          <t>IOS Owner</t>
        </is>
      </c>
      <c r="O2784" s="4" t="n">
        <v>3</v>
      </c>
      <c r="P2784" s="4" t="inlineStr">
        <is>
          <t>SHARES</t>
        </is>
      </c>
      <c r="Q2784" s="4" t="inlineStr">
        <is>
          <t>MAESTRO-IOS-GROUP-CUSTOM_LIVING-2783 | Custom Contribution | 11948.93</t>
        </is>
      </c>
      <c r="R2784" s="4" t="inlineStr">
        <is>
          <t>iPhone</t>
        </is>
      </c>
      <c r="S2784" s="4" t="inlineStr">
        <is>
          <t>B56</t>
        </is>
      </c>
      <c r="T2784" s="4" t="inlineStr">
        <is>
          <t>HIGH_2501_3000</t>
        </is>
      </c>
      <c r="U2784" s="4" t="inlineStr">
        <is>
          <t>CREATED</t>
        </is>
      </c>
      <c r="V2784" s="4" t="inlineStr">
        <is>
          <t>idem-20260902-ios-2783</t>
        </is>
      </c>
    </row>
    <row r="2785" ht="30" customHeight="1">
      <c r="A2785" s="4" t="n">
        <v>2784</v>
      </c>
      <c r="B2785" s="4" t="inlineStr">
        <is>
          <t>MTR-IOS-2784</t>
        </is>
      </c>
      <c r="C2785" s="4" t="inlineStr">
        <is>
          <t>Business</t>
        </is>
      </c>
      <c r="D2785" s="4" t="inlineStr">
        <is>
          <t>Business</t>
        </is>
      </c>
      <c r="E2785" s="4" t="inlineStr">
        <is>
          <t>Team Operations</t>
        </is>
      </c>
      <c r="F2785" s="4" t="inlineStr">
        <is>
          <t>Team Meal</t>
        </is>
      </c>
      <c r="G2785" s="4" t="inlineStr">
        <is>
          <t>Expense</t>
        </is>
      </c>
      <c r="H2785" s="12" t="n">
        <v>46087</v>
      </c>
      <c r="I2785" s="13" t="n">
        <v>0.9319212962962963</v>
      </c>
      <c r="J2785" s="14" t="n">
        <v>46087.93192129629</v>
      </c>
      <c r="K2785" s="15" t="n">
        <v>152715.25</v>
      </c>
      <c r="L2785" s="4" t="inlineStr">
        <is>
          <t>INR</t>
        </is>
      </c>
      <c r="M2785" s="15" t="n">
        <v>-152715.25</v>
      </c>
      <c r="N2785" s="4" t="inlineStr">
        <is>
          <t>IOS Owner</t>
        </is>
      </c>
      <c r="O2785" s="4" t="n"/>
      <c r="P2785" s="4" t="n"/>
      <c r="Q2785" s="4" t="inlineStr">
        <is>
          <t>MAESTRO-IOS-BUSINESS-TEAM_OPERATIONS-2784 | Team Meal | 152715.25</t>
        </is>
      </c>
      <c r="R2785" s="4" t="inlineStr">
        <is>
          <t>iPhone</t>
        </is>
      </c>
      <c r="S2785" s="4" t="inlineStr">
        <is>
          <t>B56</t>
        </is>
      </c>
      <c r="T2785" s="4" t="inlineStr">
        <is>
          <t>HIGH_2501_3000</t>
        </is>
      </c>
      <c r="U2785" s="4" t="inlineStr">
        <is>
          <t>CREATED</t>
        </is>
      </c>
      <c r="V2785" s="4" t="inlineStr">
        <is>
          <t>idem-20260902-ios-2784</t>
        </is>
      </c>
    </row>
    <row r="2786" ht="30" customHeight="1">
      <c r="A2786" s="4" t="n">
        <v>2785</v>
      </c>
      <c r="B2786" s="4" t="inlineStr">
        <is>
          <t>MTR-IOS-2785</t>
        </is>
      </c>
      <c r="C2786" s="4" t="inlineStr">
        <is>
          <t>Personal</t>
        </is>
      </c>
      <c r="D2786" s="4" t="inlineStr">
        <is>
          <t>Personal</t>
        </is>
      </c>
      <c r="E2786" s="4" t="inlineStr">
        <is>
          <t>Future Building</t>
        </is>
      </c>
      <c r="F2786" s="4" t="inlineStr">
        <is>
          <t>Emergency Fund</t>
        </is>
      </c>
      <c r="G2786" s="4" t="inlineStr">
        <is>
          <t>Transfer</t>
        </is>
      </c>
      <c r="H2786" s="12" t="n">
        <v>46127</v>
      </c>
      <c r="I2786" s="13" t="n">
        <v>0.4558912037037037</v>
      </c>
      <c r="J2786" s="14" t="n">
        <v>46127.4558912037</v>
      </c>
      <c r="K2786" s="15" t="n">
        <v>12781.06</v>
      </c>
      <c r="L2786" s="4" t="inlineStr">
        <is>
          <t>INR</t>
        </is>
      </c>
      <c r="M2786" s="15" t="n">
        <v>0</v>
      </c>
      <c r="N2786" s="4" t="inlineStr">
        <is>
          <t>IOS Owner</t>
        </is>
      </c>
      <c r="O2786" s="4" t="n"/>
      <c r="P2786" s="4" t="n"/>
      <c r="Q2786" s="4" t="inlineStr">
        <is>
          <t>MAESTRO-IOS-PERSONAL-FUTURE_BUILDING-2785 | Emergency Fund | 12781.06</t>
        </is>
      </c>
      <c r="R2786" s="4" t="inlineStr">
        <is>
          <t>iPhone</t>
        </is>
      </c>
      <c r="S2786" s="4" t="inlineStr">
        <is>
          <t>B56</t>
        </is>
      </c>
      <c r="T2786" s="4" t="inlineStr">
        <is>
          <t>HIGH_2501_3000</t>
        </is>
      </c>
      <c r="U2786" s="4" t="inlineStr">
        <is>
          <t>CREATED</t>
        </is>
      </c>
      <c r="V2786" s="4" t="inlineStr">
        <is>
          <t>idem-20260902-ios-2785</t>
        </is>
      </c>
    </row>
    <row r="2787" ht="30" customHeight="1">
      <c r="A2787" s="4" t="n">
        <v>2786</v>
      </c>
      <c r="B2787" s="4" t="inlineStr">
        <is>
          <t>MTR-IOS-2786</t>
        </is>
      </c>
      <c r="C2787" s="4" t="inlineStr">
        <is>
          <t>Group</t>
        </is>
      </c>
      <c r="D2787" s="4" t="inlineStr">
        <is>
          <t>Shared Experience</t>
        </is>
      </c>
      <c r="E2787" s="4" t="inlineStr">
        <is>
          <t>Trip</t>
        </is>
      </c>
      <c r="F2787" s="4" t="inlineStr">
        <is>
          <t>Travel</t>
        </is>
      </c>
      <c r="G2787" s="4" t="inlineStr">
        <is>
          <t>Expense</t>
        </is>
      </c>
      <c r="H2787" s="12" t="n">
        <v>45995</v>
      </c>
      <c r="I2787" s="13" t="n">
        <v>0.3236342592592593</v>
      </c>
      <c r="J2787" s="14" t="n">
        <v>45995.32363425926</v>
      </c>
      <c r="K2787" s="15" t="n">
        <v>4675.44</v>
      </c>
      <c r="L2787" s="4" t="inlineStr">
        <is>
          <t>INR</t>
        </is>
      </c>
      <c r="M2787" s="15" t="n">
        <v>-4675.44</v>
      </c>
      <c r="N2787" s="4" t="inlineStr">
        <is>
          <t>IOS Aarav</t>
        </is>
      </c>
      <c r="O2787" s="4" t="n">
        <v>3</v>
      </c>
      <c r="P2787" s="4" t="inlineStr">
        <is>
          <t>EQUAL</t>
        </is>
      </c>
      <c r="Q2787" s="4" t="inlineStr">
        <is>
          <t>MAESTRO-IOS-GROUP-TRIP-2786 | Travel | 4675.44</t>
        </is>
      </c>
      <c r="R2787" s="4" t="inlineStr">
        <is>
          <t>iPhone</t>
        </is>
      </c>
      <c r="S2787" s="4" t="inlineStr">
        <is>
          <t>B56</t>
        </is>
      </c>
      <c r="T2787" s="4" t="inlineStr">
        <is>
          <t>HIGH_2501_3000</t>
        </is>
      </c>
      <c r="U2787" s="4" t="inlineStr">
        <is>
          <t>CREATED</t>
        </is>
      </c>
      <c r="V2787" s="4" t="inlineStr">
        <is>
          <t>idem-20260902-ios-2786</t>
        </is>
      </c>
    </row>
    <row r="2788" ht="30" customHeight="1">
      <c r="A2788" s="4" t="n">
        <v>2787</v>
      </c>
      <c r="B2788" s="4" t="inlineStr">
        <is>
          <t>MTR-IOS-2787</t>
        </is>
      </c>
      <c r="C2788" s="4" t="inlineStr">
        <is>
          <t>Business</t>
        </is>
      </c>
      <c r="D2788" s="4" t="inlineStr">
        <is>
          <t>Business</t>
        </is>
      </c>
      <c r="E2788" s="4" t="inlineStr">
        <is>
          <t>Team Operations</t>
        </is>
      </c>
      <c r="F2788" s="4" t="inlineStr">
        <is>
          <t>Travel</t>
        </is>
      </c>
      <c r="G2788" s="4" t="inlineStr">
        <is>
          <t>Expense</t>
        </is>
      </c>
      <c r="H2788" s="12" t="n">
        <v>46178</v>
      </c>
      <c r="I2788" s="13" t="n">
        <v>0.9694097222222222</v>
      </c>
      <c r="J2788" s="14" t="n">
        <v>46178.96940972222</v>
      </c>
      <c r="K2788" s="15" t="n">
        <v>125366.08</v>
      </c>
      <c r="L2788" s="4" t="inlineStr">
        <is>
          <t>INR</t>
        </is>
      </c>
      <c r="M2788" s="15" t="n">
        <v>-125366.08</v>
      </c>
      <c r="N2788" s="4" t="inlineStr">
        <is>
          <t>IOS Owner</t>
        </is>
      </c>
      <c r="O2788" s="4" t="n"/>
      <c r="P2788" s="4" t="n"/>
      <c r="Q2788" s="4" t="inlineStr">
        <is>
          <t>MAESTRO-IOS-BUSINESS-TEAM_OPERATIONS-2787 | Travel | 125366.08</t>
        </is>
      </c>
      <c r="R2788" s="4" t="inlineStr">
        <is>
          <t>iPhone</t>
        </is>
      </c>
      <c r="S2788" s="4" t="inlineStr">
        <is>
          <t>B56</t>
        </is>
      </c>
      <c r="T2788" s="4" t="inlineStr">
        <is>
          <t>HIGH_2501_3000</t>
        </is>
      </c>
      <c r="U2788" s="4" t="inlineStr">
        <is>
          <t>CREATED</t>
        </is>
      </c>
      <c r="V2788" s="4" t="inlineStr">
        <is>
          <t>idem-20260902-ios-2787</t>
        </is>
      </c>
    </row>
    <row r="2789" ht="30" customHeight="1">
      <c r="A2789" s="4" t="n">
        <v>2788</v>
      </c>
      <c r="B2789" s="4" t="inlineStr">
        <is>
          <t>MTR-IOS-2788</t>
        </is>
      </c>
      <c r="C2789" s="4" t="inlineStr">
        <is>
          <t>Personal</t>
        </is>
      </c>
      <c r="D2789" s="4" t="inlineStr">
        <is>
          <t>Personal</t>
        </is>
      </c>
      <c r="E2789" s="4" t="inlineStr">
        <is>
          <t>Future Building</t>
        </is>
      </c>
      <c r="F2789" s="4" t="inlineStr">
        <is>
          <t>Investments</t>
        </is>
      </c>
      <c r="G2789" s="4" t="inlineStr">
        <is>
          <t>Investment</t>
        </is>
      </c>
      <c r="H2789" s="12" t="n">
        <v>46199</v>
      </c>
      <c r="I2789" s="13" t="n">
        <v>0.3127430555555555</v>
      </c>
      <c r="J2789" s="14" t="n">
        <v>46199.31274305555</v>
      </c>
      <c r="K2789" s="15" t="n">
        <v>3013.6</v>
      </c>
      <c r="L2789" s="4" t="inlineStr">
        <is>
          <t>INR</t>
        </is>
      </c>
      <c r="M2789" s="15" t="n">
        <v>0</v>
      </c>
      <c r="N2789" s="4" t="inlineStr">
        <is>
          <t>IOS Owner</t>
        </is>
      </c>
      <c r="O2789" s="4" t="n"/>
      <c r="P2789" s="4" t="n"/>
      <c r="Q2789" s="4" t="inlineStr">
        <is>
          <t>MAESTRO-IOS-PERSONAL-FUTURE_BUILDING-2788 | Investments | 3013.60</t>
        </is>
      </c>
      <c r="R2789" s="4" t="inlineStr">
        <is>
          <t>iPhone</t>
        </is>
      </c>
      <c r="S2789" s="4" t="inlineStr">
        <is>
          <t>B56</t>
        </is>
      </c>
      <c r="T2789" s="4" t="inlineStr">
        <is>
          <t>HIGH_2501_3000</t>
        </is>
      </c>
      <c r="U2789" s="4" t="inlineStr">
        <is>
          <t>CREATED</t>
        </is>
      </c>
      <c r="V2789" s="4" t="inlineStr">
        <is>
          <t>idem-20260902-ios-2788</t>
        </is>
      </c>
    </row>
    <row r="2790" ht="30" customHeight="1">
      <c r="A2790" s="4" t="n">
        <v>2789</v>
      </c>
      <c r="B2790" s="4" t="inlineStr">
        <is>
          <t>MTR-IOS-2789</t>
        </is>
      </c>
      <c r="C2790" s="4" t="inlineStr">
        <is>
          <t>Group</t>
        </is>
      </c>
      <c r="D2790" s="4" t="inlineStr">
        <is>
          <t>Shared Experience</t>
        </is>
      </c>
      <c r="E2790" s="4" t="inlineStr">
        <is>
          <t>Trip</t>
        </is>
      </c>
      <c r="F2790" s="4" t="inlineStr">
        <is>
          <t>Stay</t>
        </is>
      </c>
      <c r="G2790" s="4" t="inlineStr">
        <is>
          <t>Expense</t>
        </is>
      </c>
      <c r="H2790" s="12" t="n">
        <v>46106</v>
      </c>
      <c r="I2790" s="13" t="n">
        <v>0.8711574074074074</v>
      </c>
      <c r="J2790" s="14" t="n">
        <v>46106.8711574074</v>
      </c>
      <c r="K2790" s="15" t="n">
        <v>5073.31</v>
      </c>
      <c r="L2790" s="4" t="inlineStr">
        <is>
          <t>INR</t>
        </is>
      </c>
      <c r="M2790" s="15" t="n">
        <v>-5073.31</v>
      </c>
      <c r="N2790" s="4" t="inlineStr">
        <is>
          <t>IOS Meera</t>
        </is>
      </c>
      <c r="O2790" s="4" t="n">
        <v>3</v>
      </c>
      <c r="P2790" s="4" t="inlineStr">
        <is>
          <t>PERCENTAGE</t>
        </is>
      </c>
      <c r="Q2790" s="4" t="inlineStr">
        <is>
          <t>MAESTRO-IOS-GROUP-TRIP-2789 | Stay | 5073.31</t>
        </is>
      </c>
      <c r="R2790" s="4" t="inlineStr">
        <is>
          <t>iPhone</t>
        </is>
      </c>
      <c r="S2790" s="4" t="inlineStr">
        <is>
          <t>B56</t>
        </is>
      </c>
      <c r="T2790" s="4" t="inlineStr">
        <is>
          <t>HIGH_2501_3000</t>
        </is>
      </c>
      <c r="U2790" s="4" t="inlineStr">
        <is>
          <t>CREATED</t>
        </is>
      </c>
      <c r="V2790" s="4" t="inlineStr">
        <is>
          <t>idem-20260902-ios-2789</t>
        </is>
      </c>
    </row>
    <row r="2791" ht="30" customHeight="1">
      <c r="A2791" s="4" t="n">
        <v>2790</v>
      </c>
      <c r="B2791" s="4" t="inlineStr">
        <is>
          <t>MTR-IOS-2790</t>
        </is>
      </c>
      <c r="C2791" s="4" t="inlineStr">
        <is>
          <t>Business</t>
        </is>
      </c>
      <c r="D2791" s="4" t="inlineStr">
        <is>
          <t>Business</t>
        </is>
      </c>
      <c r="E2791" s="4" t="inlineStr">
        <is>
          <t>Team Operations</t>
        </is>
      </c>
      <c r="F2791" s="4" t="inlineStr">
        <is>
          <t>Training</t>
        </is>
      </c>
      <c r="G2791" s="4" t="inlineStr">
        <is>
          <t>Expense</t>
        </is>
      </c>
      <c r="H2791" s="12" t="n">
        <v>45915</v>
      </c>
      <c r="I2791" s="13" t="n">
        <v>0.3788888888888889</v>
      </c>
      <c r="J2791" s="14" t="n">
        <v>45915.37888888889</v>
      </c>
      <c r="K2791" s="15" t="n">
        <v>7042.43</v>
      </c>
      <c r="L2791" s="4" t="inlineStr">
        <is>
          <t>INR</t>
        </is>
      </c>
      <c r="M2791" s="15" t="n">
        <v>-7042.43</v>
      </c>
      <c r="N2791" s="4" t="inlineStr">
        <is>
          <t>IOS Owner</t>
        </is>
      </c>
      <c r="O2791" s="4" t="n"/>
      <c r="P2791" s="4" t="n"/>
      <c r="Q2791" s="4" t="inlineStr">
        <is>
          <t>MAESTRO-IOS-BUSINESS-TEAM_OPERATIONS-2790 | Training | 7042.43</t>
        </is>
      </c>
      <c r="R2791" s="4" t="inlineStr">
        <is>
          <t>iPhone</t>
        </is>
      </c>
      <c r="S2791" s="4" t="inlineStr">
        <is>
          <t>B56</t>
        </is>
      </c>
      <c r="T2791" s="4" t="inlineStr">
        <is>
          <t>HIGH_2501_3000</t>
        </is>
      </c>
      <c r="U2791" s="4" t="inlineStr">
        <is>
          <t>CREATED</t>
        </is>
      </c>
      <c r="V2791" s="4" t="inlineStr">
        <is>
          <t>idem-20260902-ios-2790</t>
        </is>
      </c>
    </row>
    <row r="2792" ht="30" customHeight="1">
      <c r="A2792" s="4" t="n">
        <v>2791</v>
      </c>
      <c r="B2792" s="4" t="inlineStr">
        <is>
          <t>MTR-IOS-2791</t>
        </is>
      </c>
      <c r="C2792" s="4" t="inlineStr">
        <is>
          <t>Personal</t>
        </is>
      </c>
      <c r="D2792" s="4" t="inlineStr">
        <is>
          <t>Personal</t>
        </is>
      </c>
      <c r="E2792" s="4" t="inlineStr">
        <is>
          <t>Future Building</t>
        </is>
      </c>
      <c r="F2792" s="4" t="inlineStr">
        <is>
          <t>Education</t>
        </is>
      </c>
      <c r="G2792" s="4" t="inlineStr">
        <is>
          <t>Expense</t>
        </is>
      </c>
      <c r="H2792" s="12" t="n">
        <v>45954</v>
      </c>
      <c r="I2792" s="13" t="n">
        <v>0.3697222222222222</v>
      </c>
      <c r="J2792" s="14" t="n">
        <v>45954.36972222223</v>
      </c>
      <c r="K2792" s="15" t="n">
        <v>10364.1</v>
      </c>
      <c r="L2792" s="4" t="inlineStr">
        <is>
          <t>INR</t>
        </is>
      </c>
      <c r="M2792" s="15" t="n">
        <v>-10364.1</v>
      </c>
      <c r="N2792" s="4" t="inlineStr">
        <is>
          <t>IOS Owner</t>
        </is>
      </c>
      <c r="O2792" s="4" t="n"/>
      <c r="P2792" s="4" t="n"/>
      <c r="Q2792" s="4" t="inlineStr">
        <is>
          <t>MAESTRO-IOS-PERSONAL-FUTURE_BUILDING-2791 | Education | 10364.10</t>
        </is>
      </c>
      <c r="R2792" s="4" t="inlineStr">
        <is>
          <t>iPhone</t>
        </is>
      </c>
      <c r="S2792" s="4" t="inlineStr">
        <is>
          <t>B56</t>
        </is>
      </c>
      <c r="T2792" s="4" t="inlineStr">
        <is>
          <t>HIGH_2501_3000</t>
        </is>
      </c>
      <c r="U2792" s="4" t="inlineStr">
        <is>
          <t>CREATED</t>
        </is>
      </c>
      <c r="V2792" s="4" t="inlineStr">
        <is>
          <t>idem-20260902-ios-2791</t>
        </is>
      </c>
    </row>
    <row r="2793" ht="30" customHeight="1">
      <c r="A2793" s="4" t="n">
        <v>2792</v>
      </c>
      <c r="B2793" s="4" t="inlineStr">
        <is>
          <t>MTR-IOS-2792</t>
        </is>
      </c>
      <c r="C2793" s="4" t="inlineStr">
        <is>
          <t>Group</t>
        </is>
      </c>
      <c r="D2793" s="4" t="inlineStr">
        <is>
          <t>Shared Experience</t>
        </is>
      </c>
      <c r="E2793" s="4" t="inlineStr">
        <is>
          <t>Trip</t>
        </is>
      </c>
      <c r="F2793" s="4" t="inlineStr">
        <is>
          <t>Food</t>
        </is>
      </c>
      <c r="G2793" s="4" t="inlineStr">
        <is>
          <t>Expense</t>
        </is>
      </c>
      <c r="H2793" s="12" t="n">
        <v>46060</v>
      </c>
      <c r="I2793" s="13" t="n">
        <v>0.5836805555555555</v>
      </c>
      <c r="J2793" s="14" t="n">
        <v>46060.58368055556</v>
      </c>
      <c r="K2793" s="15" t="n">
        <v>6576.42</v>
      </c>
      <c r="L2793" s="4" t="inlineStr">
        <is>
          <t>INR</t>
        </is>
      </c>
      <c r="M2793" s="15" t="n">
        <v>-6576.42</v>
      </c>
      <c r="N2793" s="4" t="inlineStr">
        <is>
          <t>IOS Owner</t>
        </is>
      </c>
      <c r="O2793" s="4" t="n">
        <v>3</v>
      </c>
      <c r="P2793" s="4" t="inlineStr">
        <is>
          <t>EXACT</t>
        </is>
      </c>
      <c r="Q2793" s="4" t="inlineStr">
        <is>
          <t>MAESTRO-IOS-GROUP-TRIP-2792 | Food | 6576.42</t>
        </is>
      </c>
      <c r="R2793" s="4" t="inlineStr">
        <is>
          <t>iPhone</t>
        </is>
      </c>
      <c r="S2793" s="4" t="inlineStr">
        <is>
          <t>B56</t>
        </is>
      </c>
      <c r="T2793" s="4" t="inlineStr">
        <is>
          <t>HIGH_2501_3000</t>
        </is>
      </c>
      <c r="U2793" s="4" t="inlineStr">
        <is>
          <t>CREATED</t>
        </is>
      </c>
      <c r="V2793" s="4" t="inlineStr">
        <is>
          <t>idem-20260902-ios-2792</t>
        </is>
      </c>
    </row>
    <row r="2794" ht="30" customHeight="1">
      <c r="A2794" s="4" t="n">
        <v>2793</v>
      </c>
      <c r="B2794" s="4" t="inlineStr">
        <is>
          <t>MTR-IOS-2793</t>
        </is>
      </c>
      <c r="C2794" s="4" t="inlineStr">
        <is>
          <t>Business</t>
        </is>
      </c>
      <c r="D2794" s="4" t="inlineStr">
        <is>
          <t>Business</t>
        </is>
      </c>
      <c r="E2794" s="4" t="inlineStr">
        <is>
          <t>Team Operations</t>
        </is>
      </c>
      <c r="F2794" s="4" t="inlineStr">
        <is>
          <t>Tools</t>
        </is>
      </c>
      <c r="G2794" s="4" t="inlineStr">
        <is>
          <t>Expense</t>
        </is>
      </c>
      <c r="H2794" s="12" t="n">
        <v>45972</v>
      </c>
      <c r="I2794" s="13" t="n">
        <v>0.2749305555555556</v>
      </c>
      <c r="J2794" s="14" t="n">
        <v>45972.27493055556</v>
      </c>
      <c r="K2794" s="15" t="n">
        <v>22212.81</v>
      </c>
      <c r="L2794" s="4" t="inlineStr">
        <is>
          <t>INR</t>
        </is>
      </c>
      <c r="M2794" s="15" t="n">
        <v>-22212.81</v>
      </c>
      <c r="N2794" s="4" t="inlineStr">
        <is>
          <t>IOS Owner</t>
        </is>
      </c>
      <c r="O2794" s="4" t="n"/>
      <c r="P2794" s="4" t="n"/>
      <c r="Q2794" s="4" t="inlineStr">
        <is>
          <t>MAESTRO-IOS-BUSINESS-TEAM_OPERATIONS-2793 | Tools | 22212.81</t>
        </is>
      </c>
      <c r="R2794" s="4" t="inlineStr">
        <is>
          <t>iPhone</t>
        </is>
      </c>
      <c r="S2794" s="4" t="inlineStr">
        <is>
          <t>B56</t>
        </is>
      </c>
      <c r="T2794" s="4" t="inlineStr">
        <is>
          <t>HIGH_2501_3000</t>
        </is>
      </c>
      <c r="U2794" s="4" t="inlineStr">
        <is>
          <t>CREATED</t>
        </is>
      </c>
      <c r="V2794" s="4" t="inlineStr">
        <is>
          <t>idem-20260902-ios-2793</t>
        </is>
      </c>
    </row>
    <row r="2795" ht="30" customHeight="1">
      <c r="A2795" s="4" t="n">
        <v>2794</v>
      </c>
      <c r="B2795" s="4" t="inlineStr">
        <is>
          <t>MTR-IOS-2794</t>
        </is>
      </c>
      <c r="C2795" s="4" t="inlineStr">
        <is>
          <t>Personal</t>
        </is>
      </c>
      <c r="D2795" s="4" t="inlineStr">
        <is>
          <t>Personal</t>
        </is>
      </c>
      <c r="E2795" s="4" t="inlineStr">
        <is>
          <t>Future Building</t>
        </is>
      </c>
      <c r="F2795" s="4" t="inlineStr">
        <is>
          <t>Goal Contribution</t>
        </is>
      </c>
      <c r="G2795" s="4" t="inlineStr">
        <is>
          <t>Transfer</t>
        </is>
      </c>
      <c r="H2795" s="12" t="n">
        <v>46163</v>
      </c>
      <c r="I2795" s="13" t="n">
        <v>0.9218171296296296</v>
      </c>
      <c r="J2795" s="14" t="n">
        <v>46163.92181712963</v>
      </c>
      <c r="K2795" s="15" t="n">
        <v>1941.84</v>
      </c>
      <c r="L2795" s="4" t="inlineStr">
        <is>
          <t>INR</t>
        </is>
      </c>
      <c r="M2795" s="15" t="n">
        <v>0</v>
      </c>
      <c r="N2795" s="4" t="inlineStr">
        <is>
          <t>IOS Owner</t>
        </is>
      </c>
      <c r="O2795" s="4" t="n"/>
      <c r="P2795" s="4" t="n"/>
      <c r="Q2795" s="4" t="inlineStr">
        <is>
          <t>MAESTRO-IOS-PERSONAL-FUTURE_BUILDING-2794 | Goal Contribution | 1941.84</t>
        </is>
      </c>
      <c r="R2795" s="4" t="inlineStr">
        <is>
          <t>iPhone</t>
        </is>
      </c>
      <c r="S2795" s="4" t="inlineStr">
        <is>
          <t>B56</t>
        </is>
      </c>
      <c r="T2795" s="4" t="inlineStr">
        <is>
          <t>HIGH_2501_3000</t>
        </is>
      </c>
      <c r="U2795" s="4" t="inlineStr">
        <is>
          <t>CREATED</t>
        </is>
      </c>
      <c r="V2795" s="4" t="inlineStr">
        <is>
          <t>idem-20260902-ios-2794</t>
        </is>
      </c>
    </row>
    <row r="2796" ht="30" customHeight="1">
      <c r="A2796" s="4" t="n">
        <v>2795</v>
      </c>
      <c r="B2796" s="4" t="inlineStr">
        <is>
          <t>MTR-IOS-2795</t>
        </is>
      </c>
      <c r="C2796" s="4" t="inlineStr">
        <is>
          <t>Group</t>
        </is>
      </c>
      <c r="D2796" s="4" t="inlineStr">
        <is>
          <t>Shared Experience</t>
        </is>
      </c>
      <c r="E2796" s="4" t="inlineStr">
        <is>
          <t>Trip</t>
        </is>
      </c>
      <c r="F2796" s="4" t="inlineStr">
        <is>
          <t>Local Transport</t>
        </is>
      </c>
      <c r="G2796" s="4" t="inlineStr">
        <is>
          <t>Expense</t>
        </is>
      </c>
      <c r="H2796" s="12" t="n">
        <v>45965</v>
      </c>
      <c r="I2796" s="13" t="n">
        <v>0.9243749999999999</v>
      </c>
      <c r="J2796" s="14" t="n">
        <v>45965.924375</v>
      </c>
      <c r="K2796" s="15" t="n">
        <v>22788.88</v>
      </c>
      <c r="L2796" s="4" t="inlineStr">
        <is>
          <t>INR</t>
        </is>
      </c>
      <c r="M2796" s="15" t="n">
        <v>-22788.88</v>
      </c>
      <c r="N2796" s="4" t="inlineStr">
        <is>
          <t>IOS Aarav</t>
        </is>
      </c>
      <c r="O2796" s="4" t="n">
        <v>3</v>
      </c>
      <c r="P2796" s="4" t="inlineStr">
        <is>
          <t>SHARES</t>
        </is>
      </c>
      <c r="Q2796" s="4" t="inlineStr">
        <is>
          <t>MAESTRO-IOS-GROUP-TRIP-2795 | Local Transport | 22788.88</t>
        </is>
      </c>
      <c r="R2796" s="4" t="inlineStr">
        <is>
          <t>iPhone</t>
        </is>
      </c>
      <c r="S2796" s="4" t="inlineStr">
        <is>
          <t>B56</t>
        </is>
      </c>
      <c r="T2796" s="4" t="inlineStr">
        <is>
          <t>HIGH_2501_3000</t>
        </is>
      </c>
      <c r="U2796" s="4" t="inlineStr">
        <is>
          <t>CREATED</t>
        </is>
      </c>
      <c r="V2796" s="4" t="inlineStr">
        <is>
          <t>idem-20260902-ios-2795</t>
        </is>
      </c>
    </row>
    <row r="2797" ht="30" customHeight="1">
      <c r="A2797" s="4" t="n">
        <v>2796</v>
      </c>
      <c r="B2797" s="4" t="inlineStr">
        <is>
          <t>MTR-IOS-2796</t>
        </is>
      </c>
      <c r="C2797" s="4" t="inlineStr">
        <is>
          <t>Business</t>
        </is>
      </c>
      <c r="D2797" s="4" t="inlineStr">
        <is>
          <t>Business</t>
        </is>
      </c>
      <c r="E2797" s="4" t="inlineStr">
        <is>
          <t>Business Runway</t>
        </is>
      </c>
      <c r="F2797" s="4" t="inlineStr">
        <is>
          <t>Funding</t>
        </is>
      </c>
      <c r="G2797" s="4" t="inlineStr">
        <is>
          <t>Income</t>
        </is>
      </c>
      <c r="H2797" s="12" t="n">
        <v>46038</v>
      </c>
      <c r="I2797" s="13" t="n">
        <v>0.7091782407407408</v>
      </c>
      <c r="J2797" s="14" t="n">
        <v>46038.70917824074</v>
      </c>
      <c r="K2797" s="15" t="n">
        <v>99246.48</v>
      </c>
      <c r="L2797" s="4" t="inlineStr">
        <is>
          <t>INR</t>
        </is>
      </c>
      <c r="M2797" s="15" t="n">
        <v>99246.48</v>
      </c>
      <c r="N2797" s="4" t="inlineStr">
        <is>
          <t>IOS Owner</t>
        </is>
      </c>
      <c r="O2797" s="4" t="n"/>
      <c r="P2797" s="4" t="n"/>
      <c r="Q2797" s="4" t="inlineStr">
        <is>
          <t>MAESTRO-IOS-BUSINESS-BUSINESS_RUNWAY-2796 | Funding | 99246.48</t>
        </is>
      </c>
      <c r="R2797" s="4" t="inlineStr">
        <is>
          <t>iPhone</t>
        </is>
      </c>
      <c r="S2797" s="4" t="inlineStr">
        <is>
          <t>B56</t>
        </is>
      </c>
      <c r="T2797" s="4" t="inlineStr">
        <is>
          <t>HIGH_2501_3000</t>
        </is>
      </c>
      <c r="U2797" s="4" t="inlineStr">
        <is>
          <t>CREATED</t>
        </is>
      </c>
      <c r="V2797" s="4" t="inlineStr">
        <is>
          <t>idem-20260902-ios-2796</t>
        </is>
      </c>
    </row>
    <row r="2798" ht="30" customHeight="1">
      <c r="A2798" s="4" t="n">
        <v>2797</v>
      </c>
      <c r="B2798" s="4" t="inlineStr">
        <is>
          <t>MTR-IOS-2797</t>
        </is>
      </c>
      <c r="C2798" s="4" t="inlineStr">
        <is>
          <t>Personal</t>
        </is>
      </c>
      <c r="D2798" s="4" t="inlineStr">
        <is>
          <t>Personal</t>
        </is>
      </c>
      <c r="E2798" s="4" t="inlineStr">
        <is>
          <t>Lifestyle</t>
        </is>
      </c>
      <c r="F2798" s="4" t="inlineStr">
        <is>
          <t>Dining</t>
        </is>
      </c>
      <c r="G2798" s="4" t="inlineStr">
        <is>
          <t>Expense</t>
        </is>
      </c>
      <c r="H2798" s="12" t="n">
        <v>46028</v>
      </c>
      <c r="I2798" s="13" t="n">
        <v>0.1770486111111111</v>
      </c>
      <c r="J2798" s="14" t="n">
        <v>46028.17704861111</v>
      </c>
      <c r="K2798" s="15" t="n">
        <v>12129.8</v>
      </c>
      <c r="L2798" s="4" t="inlineStr">
        <is>
          <t>INR</t>
        </is>
      </c>
      <c r="M2798" s="15" t="n">
        <v>-12129.8</v>
      </c>
      <c r="N2798" s="4" t="inlineStr">
        <is>
          <t>IOS Owner</t>
        </is>
      </c>
      <c r="O2798" s="4" t="n"/>
      <c r="P2798" s="4" t="n"/>
      <c r="Q2798" s="4" t="inlineStr">
        <is>
          <t>MAESTRO-IOS-PERSONAL-LIFESTYLE-2797 | Dining | 12129.80</t>
        </is>
      </c>
      <c r="R2798" s="4" t="inlineStr">
        <is>
          <t>iPhone</t>
        </is>
      </c>
      <c r="S2798" s="4" t="inlineStr">
        <is>
          <t>B56</t>
        </is>
      </c>
      <c r="T2798" s="4" t="inlineStr">
        <is>
          <t>HIGH_2501_3000</t>
        </is>
      </c>
      <c r="U2798" s="4" t="inlineStr">
        <is>
          <t>CREATED</t>
        </is>
      </c>
      <c r="V2798" s="4" t="inlineStr">
        <is>
          <t>idem-20260902-ios-2797</t>
        </is>
      </c>
    </row>
    <row r="2799" ht="30" customHeight="1">
      <c r="A2799" s="4" t="n">
        <v>2798</v>
      </c>
      <c r="B2799" s="4" t="inlineStr">
        <is>
          <t>MTR-IOS-2798</t>
        </is>
      </c>
      <c r="C2799" s="4" t="inlineStr">
        <is>
          <t>Group</t>
        </is>
      </c>
      <c r="D2799" s="4" t="inlineStr">
        <is>
          <t>Shared Experience</t>
        </is>
      </c>
      <c r="E2799" s="4" t="inlineStr">
        <is>
          <t>Trip</t>
        </is>
      </c>
      <c r="F2799" s="4" t="inlineStr">
        <is>
          <t>Activities</t>
        </is>
      </c>
      <c r="G2799" s="4" t="inlineStr">
        <is>
          <t>Expense</t>
        </is>
      </c>
      <c r="H2799" s="12" t="n">
        <v>46085</v>
      </c>
      <c r="I2799" s="13" t="n">
        <v>0.1097569444444444</v>
      </c>
      <c r="J2799" s="14" t="n">
        <v>46085.10975694445</v>
      </c>
      <c r="K2799" s="15" t="n">
        <v>11471.79</v>
      </c>
      <c r="L2799" s="4" t="inlineStr">
        <is>
          <t>INR</t>
        </is>
      </c>
      <c r="M2799" s="15" t="n">
        <v>-11471.79</v>
      </c>
      <c r="N2799" s="4" t="inlineStr">
        <is>
          <t>IOS Meera</t>
        </is>
      </c>
      <c r="O2799" s="4" t="n">
        <v>3</v>
      </c>
      <c r="P2799" s="4" t="inlineStr">
        <is>
          <t>EQUAL</t>
        </is>
      </c>
      <c r="Q2799" s="4" t="inlineStr">
        <is>
          <t>MAESTRO-IOS-GROUP-TRIP-2798 | Activities | 11471.79</t>
        </is>
      </c>
      <c r="R2799" s="4" t="inlineStr">
        <is>
          <t>iPhone</t>
        </is>
      </c>
      <c r="S2799" s="4" t="inlineStr">
        <is>
          <t>B56</t>
        </is>
      </c>
      <c r="T2799" s="4" t="inlineStr">
        <is>
          <t>HIGH_2501_3000</t>
        </is>
      </c>
      <c r="U2799" s="4" t="inlineStr">
        <is>
          <t>CREATED</t>
        </is>
      </c>
      <c r="V2799" s="4" t="inlineStr">
        <is>
          <t>idem-20260902-ios-2798</t>
        </is>
      </c>
    </row>
    <row r="2800" ht="30" customHeight="1">
      <c r="A2800" s="4" t="n">
        <v>2799</v>
      </c>
      <c r="B2800" s="4" t="inlineStr">
        <is>
          <t>MTR-IOS-2799</t>
        </is>
      </c>
      <c r="C2800" s="4" t="inlineStr">
        <is>
          <t>Business</t>
        </is>
      </c>
      <c r="D2800" s="4" t="inlineStr">
        <is>
          <t>Business</t>
        </is>
      </c>
      <c r="E2800" s="4" t="inlineStr">
        <is>
          <t>Business Runway</t>
        </is>
      </c>
      <c r="F2800" s="4" t="inlineStr">
        <is>
          <t>Revenue</t>
        </is>
      </c>
      <c r="G2800" s="4" t="inlineStr">
        <is>
          <t>Income</t>
        </is>
      </c>
      <c r="H2800" s="12" t="n">
        <v>46237</v>
      </c>
      <c r="I2800" s="13" t="n">
        <v>0.5821296296296297</v>
      </c>
      <c r="J2800" s="14" t="n">
        <v>46237.58212962963</v>
      </c>
      <c r="K2800" s="15" t="n">
        <v>52747.46</v>
      </c>
      <c r="L2800" s="4" t="inlineStr">
        <is>
          <t>INR</t>
        </is>
      </c>
      <c r="M2800" s="15" t="n">
        <v>52747.46</v>
      </c>
      <c r="N2800" s="4" t="inlineStr">
        <is>
          <t>IOS Owner</t>
        </is>
      </c>
      <c r="O2800" s="4" t="n"/>
      <c r="P2800" s="4" t="n"/>
      <c r="Q2800" s="4" t="inlineStr">
        <is>
          <t>MAESTRO-IOS-BUSINESS-BUSINESS_RUNWAY-2799 | Revenue | 52747.46</t>
        </is>
      </c>
      <c r="R2800" s="4" t="inlineStr">
        <is>
          <t>iPhone</t>
        </is>
      </c>
      <c r="S2800" s="4" t="inlineStr">
        <is>
          <t>B56</t>
        </is>
      </c>
      <c r="T2800" s="4" t="inlineStr">
        <is>
          <t>HIGH_2501_3000</t>
        </is>
      </c>
      <c r="U2800" s="4" t="inlineStr">
        <is>
          <t>CREATED</t>
        </is>
      </c>
      <c r="V2800" s="4" t="inlineStr">
        <is>
          <t>idem-20260902-ios-2799</t>
        </is>
      </c>
    </row>
    <row r="2801" ht="30" customHeight="1">
      <c r="A2801" s="4" t="n">
        <v>2800</v>
      </c>
      <c r="B2801" s="4" t="inlineStr">
        <is>
          <t>MTR-IOS-2800</t>
        </is>
      </c>
      <c r="C2801" s="4" t="inlineStr">
        <is>
          <t>Personal</t>
        </is>
      </c>
      <c r="D2801" s="4" t="inlineStr">
        <is>
          <t>Personal</t>
        </is>
      </c>
      <c r="E2801" s="4" t="inlineStr">
        <is>
          <t>Lifestyle</t>
        </is>
      </c>
      <c r="F2801" s="4" t="inlineStr">
        <is>
          <t>Shopping</t>
        </is>
      </c>
      <c r="G2801" s="4" t="inlineStr">
        <is>
          <t>Expense</t>
        </is>
      </c>
      <c r="H2801" s="12" t="n">
        <v>45945</v>
      </c>
      <c r="I2801" s="13" t="n">
        <v>0.6526967592592593</v>
      </c>
      <c r="J2801" s="14" t="n">
        <v>45945.65269675926</v>
      </c>
      <c r="K2801" s="15" t="n">
        <v>10427.6</v>
      </c>
      <c r="L2801" s="4" t="inlineStr">
        <is>
          <t>INR</t>
        </is>
      </c>
      <c r="M2801" s="15" t="n">
        <v>-10427.6</v>
      </c>
      <c r="N2801" s="4" t="inlineStr">
        <is>
          <t>IOS Owner</t>
        </is>
      </c>
      <c r="O2801" s="4" t="n"/>
      <c r="P2801" s="4" t="n"/>
      <c r="Q2801" s="4" t="inlineStr">
        <is>
          <t>MAESTRO-IOS-PERSONAL-LIFESTYLE-2800 | Shopping | 10427.60</t>
        </is>
      </c>
      <c r="R2801" s="4" t="inlineStr">
        <is>
          <t>iPhone</t>
        </is>
      </c>
      <c r="S2801" s="4" t="inlineStr">
        <is>
          <t>B56</t>
        </is>
      </c>
      <c r="T2801" s="4" t="inlineStr">
        <is>
          <t>HIGH_2501_3000</t>
        </is>
      </c>
      <c r="U2801" s="4" t="inlineStr">
        <is>
          <t>CREATED</t>
        </is>
      </c>
      <c r="V2801" s="4" t="inlineStr">
        <is>
          <t>idem-20260902-ios-2800</t>
        </is>
      </c>
    </row>
    <row r="2802" ht="30" customHeight="1">
      <c r="A2802" s="4" t="n">
        <v>2801</v>
      </c>
      <c r="B2802" s="4" t="inlineStr">
        <is>
          <t>MTR-IOS-2801</t>
        </is>
      </c>
      <c r="C2802" s="4" t="inlineStr">
        <is>
          <t>Group</t>
        </is>
      </c>
      <c r="D2802" s="4" t="inlineStr">
        <is>
          <t>Shared Experience</t>
        </is>
      </c>
      <c r="E2802" s="4" t="inlineStr">
        <is>
          <t>Trip</t>
        </is>
      </c>
      <c r="F2802" s="4" t="inlineStr">
        <is>
          <t>Shopping</t>
        </is>
      </c>
      <c r="G2802" s="4" t="inlineStr">
        <is>
          <t>Expense</t>
        </is>
      </c>
      <c r="H2802" s="12" t="n">
        <v>46235</v>
      </c>
      <c r="I2802" s="13" t="n">
        <v>0.3245138888888889</v>
      </c>
      <c r="J2802" s="14" t="n">
        <v>46235.32451388889</v>
      </c>
      <c r="K2802" s="15" t="n">
        <v>14416.29</v>
      </c>
      <c r="L2802" s="4" t="inlineStr">
        <is>
          <t>INR</t>
        </is>
      </c>
      <c r="M2802" s="15" t="n">
        <v>-14416.29</v>
      </c>
      <c r="N2802" s="4" t="inlineStr">
        <is>
          <t>IOS Owner</t>
        </is>
      </c>
      <c r="O2802" s="4" t="n">
        <v>3</v>
      </c>
      <c r="P2802" s="4" t="inlineStr">
        <is>
          <t>PERCENTAGE</t>
        </is>
      </c>
      <c r="Q2802" s="4" t="inlineStr">
        <is>
          <t>MAESTRO-IOS-GROUP-TRIP-2801 | Shopping | 14416.29</t>
        </is>
      </c>
      <c r="R2802" s="4" t="inlineStr">
        <is>
          <t>iPhone</t>
        </is>
      </c>
      <c r="S2802" s="4" t="inlineStr">
        <is>
          <t>B57</t>
        </is>
      </c>
      <c r="T2802" s="4" t="inlineStr">
        <is>
          <t>HIGH_2501_3000</t>
        </is>
      </c>
      <c r="U2802" s="4" t="inlineStr">
        <is>
          <t>CREATED</t>
        </is>
      </c>
      <c r="V2802" s="4" t="inlineStr">
        <is>
          <t>idem-20260902-ios-2801</t>
        </is>
      </c>
    </row>
    <row r="2803" ht="30" customHeight="1">
      <c r="A2803" s="4" t="n">
        <v>2802</v>
      </c>
      <c r="B2803" s="4" t="inlineStr">
        <is>
          <t>MTR-IOS-2802</t>
        </is>
      </c>
      <c r="C2803" s="4" t="inlineStr">
        <is>
          <t>Business</t>
        </is>
      </c>
      <c r="D2803" s="4" t="inlineStr">
        <is>
          <t>Business</t>
        </is>
      </c>
      <c r="E2803" s="4" t="inlineStr">
        <is>
          <t>Business Runway</t>
        </is>
      </c>
      <c r="F2803" s="4" t="inlineStr">
        <is>
          <t>Burn</t>
        </is>
      </c>
      <c r="G2803" s="4" t="inlineStr">
        <is>
          <t>Expense</t>
        </is>
      </c>
      <c r="H2803" s="12" t="n">
        <v>46030</v>
      </c>
      <c r="I2803" s="13" t="n">
        <v>0.5565393518518519</v>
      </c>
      <c r="J2803" s="14" t="n">
        <v>46030.55653935186</v>
      </c>
      <c r="K2803" s="15" t="n">
        <v>18549.32</v>
      </c>
      <c r="L2803" s="4" t="inlineStr">
        <is>
          <t>INR</t>
        </is>
      </c>
      <c r="M2803" s="15" t="n">
        <v>-18549.32</v>
      </c>
      <c r="N2803" s="4" t="inlineStr">
        <is>
          <t>IOS Owner</t>
        </is>
      </c>
      <c r="O2803" s="4" t="n"/>
      <c r="P2803" s="4" t="n"/>
      <c r="Q2803" s="4" t="inlineStr">
        <is>
          <t>MAESTRO-IOS-BUSINESS-BUSINESS_RUNWAY-2802 | Burn | 18549.32</t>
        </is>
      </c>
      <c r="R2803" s="4" t="inlineStr">
        <is>
          <t>iPhone</t>
        </is>
      </c>
      <c r="S2803" s="4" t="inlineStr">
        <is>
          <t>B57</t>
        </is>
      </c>
      <c r="T2803" s="4" t="inlineStr">
        <is>
          <t>HIGH_2501_3000</t>
        </is>
      </c>
      <c r="U2803" s="4" t="inlineStr">
        <is>
          <t>CREATED</t>
        </is>
      </c>
      <c r="V2803" s="4" t="inlineStr">
        <is>
          <t>idem-20260902-ios-2802</t>
        </is>
      </c>
    </row>
    <row r="2804" ht="30" customHeight="1">
      <c r="A2804" s="4" t="n">
        <v>2803</v>
      </c>
      <c r="B2804" s="4" t="inlineStr">
        <is>
          <t>MTR-IOS-2803</t>
        </is>
      </c>
      <c r="C2804" s="4" t="inlineStr">
        <is>
          <t>Personal</t>
        </is>
      </c>
      <c r="D2804" s="4" t="inlineStr">
        <is>
          <t>Personal</t>
        </is>
      </c>
      <c r="E2804" s="4" t="inlineStr">
        <is>
          <t>Lifestyle</t>
        </is>
      </c>
      <c r="F2804" s="4" t="inlineStr">
        <is>
          <t>Entertainment</t>
        </is>
      </c>
      <c r="G2804" s="4" t="inlineStr">
        <is>
          <t>Expense</t>
        </is>
      </c>
      <c r="H2804" s="12" t="n">
        <v>46092</v>
      </c>
      <c r="I2804" s="13" t="n">
        <v>0.05900462962962963</v>
      </c>
      <c r="J2804" s="14" t="n">
        <v>46092.05900462963</v>
      </c>
      <c r="K2804" s="15" t="n">
        <v>4288.2</v>
      </c>
      <c r="L2804" s="4" t="inlineStr">
        <is>
          <t>INR</t>
        </is>
      </c>
      <c r="M2804" s="15" t="n">
        <v>-4288.2</v>
      </c>
      <c r="N2804" s="4" t="inlineStr">
        <is>
          <t>IOS Owner</t>
        </is>
      </c>
      <c r="O2804" s="4" t="n"/>
      <c r="P2804" s="4" t="n"/>
      <c r="Q2804" s="4" t="inlineStr">
        <is>
          <t>MAESTRO-IOS-PERSONAL-LIFESTYLE-2803 | Entertainment | 4288.20</t>
        </is>
      </c>
      <c r="R2804" s="4" t="inlineStr">
        <is>
          <t>iPhone</t>
        </is>
      </c>
      <c r="S2804" s="4" t="inlineStr">
        <is>
          <t>B57</t>
        </is>
      </c>
      <c r="T2804" s="4" t="inlineStr">
        <is>
          <t>HIGH_2501_3000</t>
        </is>
      </c>
      <c r="U2804" s="4" t="inlineStr">
        <is>
          <t>CREATED</t>
        </is>
      </c>
      <c r="V2804" s="4" t="inlineStr">
        <is>
          <t>idem-20260902-ios-2803</t>
        </is>
      </c>
    </row>
    <row r="2805" ht="30" customHeight="1">
      <c r="A2805" s="4" t="n">
        <v>2804</v>
      </c>
      <c r="B2805" s="4" t="inlineStr">
        <is>
          <t>MTR-IOS-2804</t>
        </is>
      </c>
      <c r="C2805" s="4" t="inlineStr">
        <is>
          <t>Group</t>
        </is>
      </c>
      <c r="D2805" s="4" t="inlineStr">
        <is>
          <t>Shared Experience</t>
        </is>
      </c>
      <c r="E2805" s="4" t="inlineStr">
        <is>
          <t>Trip</t>
        </is>
      </c>
      <c r="F2805" s="4" t="inlineStr">
        <is>
          <t>Other</t>
        </is>
      </c>
      <c r="G2805" s="4" t="inlineStr">
        <is>
          <t>Expense</t>
        </is>
      </c>
      <c r="H2805" s="12" t="n">
        <v>46201</v>
      </c>
      <c r="I2805" s="13" t="n">
        <v>0.124537037037037</v>
      </c>
      <c r="J2805" s="14" t="n">
        <v>46201.12453703704</v>
      </c>
      <c r="K2805" s="15" t="n">
        <v>26470.61</v>
      </c>
      <c r="L2805" s="4" t="inlineStr">
        <is>
          <t>INR</t>
        </is>
      </c>
      <c r="M2805" s="15" t="n">
        <v>-26470.61</v>
      </c>
      <c r="N2805" s="4" t="inlineStr">
        <is>
          <t>IOS Aarav</t>
        </is>
      </c>
      <c r="O2805" s="4" t="n">
        <v>3</v>
      </c>
      <c r="P2805" s="4" t="inlineStr">
        <is>
          <t>EXACT</t>
        </is>
      </c>
      <c r="Q2805" s="4" t="inlineStr">
        <is>
          <t>MAESTRO-IOS-GROUP-TRIP-2804 | Other | 26470.61</t>
        </is>
      </c>
      <c r="R2805" s="4" t="inlineStr">
        <is>
          <t>iPhone</t>
        </is>
      </c>
      <c r="S2805" s="4" t="inlineStr">
        <is>
          <t>B57</t>
        </is>
      </c>
      <c r="T2805" s="4" t="inlineStr">
        <is>
          <t>HIGH_2501_3000</t>
        </is>
      </c>
      <c r="U2805" s="4" t="inlineStr">
        <is>
          <t>CREATED</t>
        </is>
      </c>
      <c r="V2805" s="4" t="inlineStr">
        <is>
          <t>idem-20260902-ios-2804</t>
        </is>
      </c>
    </row>
    <row r="2806" ht="30" customHeight="1">
      <c r="A2806" s="4" t="n">
        <v>2805</v>
      </c>
      <c r="B2806" s="4" t="inlineStr">
        <is>
          <t>MTR-IOS-2805</t>
        </is>
      </c>
      <c r="C2806" s="4" t="inlineStr">
        <is>
          <t>Business</t>
        </is>
      </c>
      <c r="D2806" s="4" t="inlineStr">
        <is>
          <t>Business</t>
        </is>
      </c>
      <c r="E2806" s="4" t="inlineStr">
        <is>
          <t>Business Runway</t>
        </is>
      </c>
      <c r="F2806" s="4" t="inlineStr">
        <is>
          <t>Reserve</t>
        </is>
      </c>
      <c r="G2806" s="4" t="inlineStr">
        <is>
          <t>Transfer</t>
        </is>
      </c>
      <c r="H2806" s="12" t="n">
        <v>46266</v>
      </c>
      <c r="I2806" s="13" t="n">
        <v>0.8820601851851851</v>
      </c>
      <c r="J2806" s="14" t="n">
        <v>46266.88206018518</v>
      </c>
      <c r="K2806" s="15" t="n">
        <v>70861.39999999999</v>
      </c>
      <c r="L2806" s="4" t="inlineStr">
        <is>
          <t>INR</t>
        </is>
      </c>
      <c r="M2806" s="15" t="n">
        <v>0</v>
      </c>
      <c r="N2806" s="4" t="inlineStr">
        <is>
          <t>IOS Owner</t>
        </is>
      </c>
      <c r="O2806" s="4" t="n"/>
      <c r="P2806" s="4" t="n"/>
      <c r="Q2806" s="4" t="inlineStr">
        <is>
          <t>MAESTRO-IOS-BUSINESS-BUSINESS_RUNWAY-2805 | Reserve | 70861.40</t>
        </is>
      </c>
      <c r="R2806" s="4" t="inlineStr">
        <is>
          <t>iPhone</t>
        </is>
      </c>
      <c r="S2806" s="4" t="inlineStr">
        <is>
          <t>B57</t>
        </is>
      </c>
      <c r="T2806" s="4" t="inlineStr">
        <is>
          <t>HIGH_2501_3000</t>
        </is>
      </c>
      <c r="U2806" s="4" t="inlineStr">
        <is>
          <t>CREATED</t>
        </is>
      </c>
      <c r="V2806" s="4" t="inlineStr">
        <is>
          <t>idem-20260902-ios-2805</t>
        </is>
      </c>
    </row>
    <row r="2807" ht="30" customHeight="1">
      <c r="A2807" s="4" t="n">
        <v>2806</v>
      </c>
      <c r="B2807" s="4" t="inlineStr">
        <is>
          <t>MTR-IOS-2806</t>
        </is>
      </c>
      <c r="C2807" s="4" t="inlineStr">
        <is>
          <t>Personal</t>
        </is>
      </c>
      <c r="D2807" s="4" t="inlineStr">
        <is>
          <t>Personal</t>
        </is>
      </c>
      <c r="E2807" s="4" t="inlineStr">
        <is>
          <t>Lifestyle</t>
        </is>
      </c>
      <c r="F2807" s="4" t="inlineStr">
        <is>
          <t>Travel</t>
        </is>
      </c>
      <c r="G2807" s="4" t="inlineStr">
        <is>
          <t>Expense</t>
        </is>
      </c>
      <c r="H2807" s="12" t="n">
        <v>46042</v>
      </c>
      <c r="I2807" s="13" t="n">
        <v>0.3904282407407407</v>
      </c>
      <c r="J2807" s="14" t="n">
        <v>46042.39042824074</v>
      </c>
      <c r="K2807" s="15" t="n">
        <v>1144.67</v>
      </c>
      <c r="L2807" s="4" t="inlineStr">
        <is>
          <t>INR</t>
        </is>
      </c>
      <c r="M2807" s="15" t="n">
        <v>-1144.67</v>
      </c>
      <c r="N2807" s="4" t="inlineStr">
        <is>
          <t>IOS Owner</t>
        </is>
      </c>
      <c r="O2807" s="4" t="n"/>
      <c r="P2807" s="4" t="n"/>
      <c r="Q2807" s="4" t="inlineStr">
        <is>
          <t>MAESTRO-IOS-PERSONAL-LIFESTYLE-2806 | Travel | 1144.67</t>
        </is>
      </c>
      <c r="R2807" s="4" t="inlineStr">
        <is>
          <t>iPhone</t>
        </is>
      </c>
      <c r="S2807" s="4" t="inlineStr">
        <is>
          <t>B57</t>
        </is>
      </c>
      <c r="T2807" s="4" t="inlineStr">
        <is>
          <t>HIGH_2501_3000</t>
        </is>
      </c>
      <c r="U2807" s="4" t="inlineStr">
        <is>
          <t>CREATED</t>
        </is>
      </c>
      <c r="V2807" s="4" t="inlineStr">
        <is>
          <t>idem-20260902-ios-2806</t>
        </is>
      </c>
    </row>
    <row r="2808" ht="30" customHeight="1">
      <c r="A2808" s="4" t="n">
        <v>2807</v>
      </c>
      <c r="B2808" s="4" t="inlineStr">
        <is>
          <t>MTR-IOS-2807</t>
        </is>
      </c>
      <c r="C2808" s="4" t="inlineStr">
        <is>
          <t>Group</t>
        </is>
      </c>
      <c r="D2808" s="4" t="inlineStr">
        <is>
          <t>Shared Experience</t>
        </is>
      </c>
      <c r="E2808" s="4" t="inlineStr">
        <is>
          <t>Wedding</t>
        </is>
      </c>
      <c r="F2808" s="4" t="inlineStr">
        <is>
          <t>Venue</t>
        </is>
      </c>
      <c r="G2808" s="4" t="inlineStr">
        <is>
          <t>Expense</t>
        </is>
      </c>
      <c r="H2808" s="12" t="n">
        <v>46244</v>
      </c>
      <c r="I2808" s="13" t="n">
        <v>0.6105324074074074</v>
      </c>
      <c r="J2808" s="14" t="n">
        <v>46244.61053240741</v>
      </c>
      <c r="K2808" s="15" t="n">
        <v>13070.78</v>
      </c>
      <c r="L2808" s="4" t="inlineStr">
        <is>
          <t>INR</t>
        </is>
      </c>
      <c r="M2808" s="15" t="n">
        <v>-13070.78</v>
      </c>
      <c r="N2808" s="4" t="inlineStr">
        <is>
          <t>IOS Meera</t>
        </is>
      </c>
      <c r="O2808" s="4" t="n">
        <v>3</v>
      </c>
      <c r="P2808" s="4" t="inlineStr">
        <is>
          <t>SHARES</t>
        </is>
      </c>
      <c r="Q2808" s="4" t="inlineStr">
        <is>
          <t>MAESTRO-IOS-GROUP-WEDDING-2807 | Venue | 13070.78</t>
        </is>
      </c>
      <c r="R2808" s="4" t="inlineStr">
        <is>
          <t>iPhone</t>
        </is>
      </c>
      <c r="S2808" s="4" t="inlineStr">
        <is>
          <t>B57</t>
        </is>
      </c>
      <c r="T2808" s="4" t="inlineStr">
        <is>
          <t>HIGH_2501_3000</t>
        </is>
      </c>
      <c r="U2808" s="4" t="inlineStr">
        <is>
          <t>CREATED</t>
        </is>
      </c>
      <c r="V2808" s="4" t="inlineStr">
        <is>
          <t>idem-20260902-ios-2807</t>
        </is>
      </c>
    </row>
    <row r="2809" ht="30" customHeight="1">
      <c r="A2809" s="4" t="n">
        <v>2808</v>
      </c>
      <c r="B2809" s="4" t="inlineStr">
        <is>
          <t>MTR-IOS-2808</t>
        </is>
      </c>
      <c r="C2809" s="4" t="inlineStr">
        <is>
          <t>Business</t>
        </is>
      </c>
      <c r="D2809" s="4" t="inlineStr">
        <is>
          <t>Business</t>
        </is>
      </c>
      <c r="E2809" s="4" t="inlineStr">
        <is>
          <t>Business Runway</t>
        </is>
      </c>
      <c r="F2809" s="4" t="inlineStr">
        <is>
          <t>Loan</t>
        </is>
      </c>
      <c r="G2809" s="4" t="inlineStr">
        <is>
          <t>Income</t>
        </is>
      </c>
      <c r="H2809" s="12" t="n">
        <v>46227</v>
      </c>
      <c r="I2809" s="13" t="n">
        <v>0.298125</v>
      </c>
      <c r="J2809" s="14" t="n">
        <v>46227.298125</v>
      </c>
      <c r="K2809" s="15" t="n">
        <v>66631.97</v>
      </c>
      <c r="L2809" s="4" t="inlineStr">
        <is>
          <t>INR</t>
        </is>
      </c>
      <c r="M2809" s="15" t="n">
        <v>66631.97</v>
      </c>
      <c r="N2809" s="4" t="inlineStr">
        <is>
          <t>IOS Owner</t>
        </is>
      </c>
      <c r="O2809" s="4" t="n"/>
      <c r="P2809" s="4" t="n"/>
      <c r="Q2809" s="4" t="inlineStr">
        <is>
          <t>MAESTRO-IOS-BUSINESS-BUSINESS_RUNWAY-2808 | Loan | 66631.97</t>
        </is>
      </c>
      <c r="R2809" s="4" t="inlineStr">
        <is>
          <t>iPhone</t>
        </is>
      </c>
      <c r="S2809" s="4" t="inlineStr">
        <is>
          <t>B57</t>
        </is>
      </c>
      <c r="T2809" s="4" t="inlineStr">
        <is>
          <t>HIGH_2501_3000</t>
        </is>
      </c>
      <c r="U2809" s="4" t="inlineStr">
        <is>
          <t>CREATED</t>
        </is>
      </c>
      <c r="V2809" s="4" t="inlineStr">
        <is>
          <t>idem-20260902-ios-2808</t>
        </is>
      </c>
    </row>
    <row r="2810" ht="30" customHeight="1">
      <c r="A2810" s="4" t="n">
        <v>2809</v>
      </c>
      <c r="B2810" s="4" t="inlineStr">
        <is>
          <t>MTR-IOS-2809</t>
        </is>
      </c>
      <c r="C2810" s="4" t="inlineStr">
        <is>
          <t>Personal</t>
        </is>
      </c>
      <c r="D2810" s="4" t="inlineStr">
        <is>
          <t>Personal</t>
        </is>
      </c>
      <c r="E2810" s="4" t="inlineStr">
        <is>
          <t>Lifestyle</t>
        </is>
      </c>
      <c r="F2810" s="4" t="inlineStr">
        <is>
          <t>Fitness</t>
        </is>
      </c>
      <c r="G2810" s="4" t="inlineStr">
        <is>
          <t>Expense</t>
        </is>
      </c>
      <c r="H2810" s="12" t="n">
        <v>46000</v>
      </c>
      <c r="I2810" s="13" t="n">
        <v>0.1183101851851852</v>
      </c>
      <c r="J2810" s="14" t="n">
        <v>46000.11831018519</v>
      </c>
      <c r="K2810" s="15" t="n">
        <v>3046.23</v>
      </c>
      <c r="L2810" s="4" t="inlineStr">
        <is>
          <t>INR</t>
        </is>
      </c>
      <c r="M2810" s="15" t="n">
        <v>-3046.23</v>
      </c>
      <c r="N2810" s="4" t="inlineStr">
        <is>
          <t>IOS Owner</t>
        </is>
      </c>
      <c r="O2810" s="4" t="n"/>
      <c r="P2810" s="4" t="n"/>
      <c r="Q2810" s="4" t="inlineStr">
        <is>
          <t>MAESTRO-IOS-PERSONAL-LIFESTYLE-2809 | Fitness | 3046.23</t>
        </is>
      </c>
      <c r="R2810" s="4" t="inlineStr">
        <is>
          <t>iPhone</t>
        </is>
      </c>
      <c r="S2810" s="4" t="inlineStr">
        <is>
          <t>B57</t>
        </is>
      </c>
      <c r="T2810" s="4" t="inlineStr">
        <is>
          <t>HIGH_2501_3000</t>
        </is>
      </c>
      <c r="U2810" s="4" t="inlineStr">
        <is>
          <t>CREATED</t>
        </is>
      </c>
      <c r="V2810" s="4" t="inlineStr">
        <is>
          <t>idem-20260902-ios-2809</t>
        </is>
      </c>
    </row>
    <row r="2811" ht="30" customHeight="1">
      <c r="A2811" s="4" t="n">
        <v>2810</v>
      </c>
      <c r="B2811" s="4" t="inlineStr">
        <is>
          <t>MTR-IOS-2810</t>
        </is>
      </c>
      <c r="C2811" s="4" t="inlineStr">
        <is>
          <t>Group</t>
        </is>
      </c>
      <c r="D2811" s="4" t="inlineStr">
        <is>
          <t>Shared Experience</t>
        </is>
      </c>
      <c r="E2811" s="4" t="inlineStr">
        <is>
          <t>Wedding</t>
        </is>
      </c>
      <c r="F2811" s="4" t="inlineStr">
        <is>
          <t>Catering</t>
        </is>
      </c>
      <c r="G2811" s="4" t="inlineStr">
        <is>
          <t>Expense</t>
        </is>
      </c>
      <c r="H2811" s="12" t="n">
        <v>46185</v>
      </c>
      <c r="I2811" s="13" t="n">
        <v>0.3207060185185185</v>
      </c>
      <c r="J2811" s="14" t="n">
        <v>46185.32070601852</v>
      </c>
      <c r="K2811" s="15" t="n">
        <v>7790.9</v>
      </c>
      <c r="L2811" s="4" t="inlineStr">
        <is>
          <t>INR</t>
        </is>
      </c>
      <c r="M2811" s="15" t="n">
        <v>-7790.9</v>
      </c>
      <c r="N2811" s="4" t="inlineStr">
        <is>
          <t>IOS Owner</t>
        </is>
      </c>
      <c r="O2811" s="4" t="n">
        <v>3</v>
      </c>
      <c r="P2811" s="4" t="inlineStr">
        <is>
          <t>EQUAL</t>
        </is>
      </c>
      <c r="Q2811" s="4" t="inlineStr">
        <is>
          <t>MAESTRO-IOS-GROUP-WEDDING-2810 | Catering | 7790.90</t>
        </is>
      </c>
      <c r="R2811" s="4" t="inlineStr">
        <is>
          <t>iPhone</t>
        </is>
      </c>
      <c r="S2811" s="4" t="inlineStr">
        <is>
          <t>B57</t>
        </is>
      </c>
      <c r="T2811" s="4" t="inlineStr">
        <is>
          <t>HIGH_2501_3000</t>
        </is>
      </c>
      <c r="U2811" s="4" t="inlineStr">
        <is>
          <t>CREATED</t>
        </is>
      </c>
      <c r="V2811" s="4" t="inlineStr">
        <is>
          <t>idem-20260902-ios-2810</t>
        </is>
      </c>
    </row>
    <row r="2812" ht="30" customHeight="1">
      <c r="A2812" s="4" t="n">
        <v>2811</v>
      </c>
      <c r="B2812" s="4" t="inlineStr">
        <is>
          <t>MTR-IOS-2811</t>
        </is>
      </c>
      <c r="C2812" s="4" t="inlineStr">
        <is>
          <t>Business</t>
        </is>
      </c>
      <c r="D2812" s="4" t="inlineStr">
        <is>
          <t>Business</t>
        </is>
      </c>
      <c r="E2812" s="4" t="inlineStr">
        <is>
          <t>Business Runway</t>
        </is>
      </c>
      <c r="F2812" s="4" t="inlineStr">
        <is>
          <t>Investment</t>
        </is>
      </c>
      <c r="G2812" s="4" t="inlineStr">
        <is>
          <t>Income</t>
        </is>
      </c>
      <c r="H2812" s="12" t="n">
        <v>46246</v>
      </c>
      <c r="I2812" s="13" t="n">
        <v>0.7027662037037037</v>
      </c>
      <c r="J2812" s="14" t="n">
        <v>46246.70276620371</v>
      </c>
      <c r="K2812" s="15" t="n">
        <v>49109.33</v>
      </c>
      <c r="L2812" s="4" t="inlineStr">
        <is>
          <t>INR</t>
        </is>
      </c>
      <c r="M2812" s="15" t="n">
        <v>49109.33</v>
      </c>
      <c r="N2812" s="4" t="inlineStr">
        <is>
          <t>IOS Owner</t>
        </is>
      </c>
      <c r="O2812" s="4" t="n"/>
      <c r="P2812" s="4" t="n"/>
      <c r="Q2812" s="4" t="inlineStr">
        <is>
          <t>MAESTRO-IOS-BUSINESS-BUSINESS_RUNWAY-2811 | Investment | 49109.33</t>
        </is>
      </c>
      <c r="R2812" s="4" t="inlineStr">
        <is>
          <t>iPhone</t>
        </is>
      </c>
      <c r="S2812" s="4" t="inlineStr">
        <is>
          <t>B57</t>
        </is>
      </c>
      <c r="T2812" s="4" t="inlineStr">
        <is>
          <t>HIGH_2501_3000</t>
        </is>
      </c>
      <c r="U2812" s="4" t="inlineStr">
        <is>
          <t>CREATED</t>
        </is>
      </c>
      <c r="V2812" s="4" t="inlineStr">
        <is>
          <t>idem-20260902-ios-2811</t>
        </is>
      </c>
    </row>
    <row r="2813" ht="30" customHeight="1">
      <c r="A2813" s="4" t="n">
        <v>2812</v>
      </c>
      <c r="B2813" s="4" t="inlineStr">
        <is>
          <t>MTR-IOS-2812</t>
        </is>
      </c>
      <c r="C2813" s="4" t="inlineStr">
        <is>
          <t>Personal</t>
        </is>
      </c>
      <c r="D2813" s="4" t="inlineStr">
        <is>
          <t>Personal</t>
        </is>
      </c>
      <c r="E2813" s="4" t="inlineStr">
        <is>
          <t>Lifestyle</t>
        </is>
      </c>
      <c r="F2813" s="4" t="inlineStr">
        <is>
          <t>Hobbies</t>
        </is>
      </c>
      <c r="G2813" s="4" t="inlineStr">
        <is>
          <t>Expense</t>
        </is>
      </c>
      <c r="H2813" s="12" t="n">
        <v>46161</v>
      </c>
      <c r="I2813" s="13" t="n">
        <v>0.4739351851851852</v>
      </c>
      <c r="J2813" s="14" t="n">
        <v>46161.47393518518</v>
      </c>
      <c r="K2813" s="15" t="n">
        <v>999.99</v>
      </c>
      <c r="L2813" s="4" t="inlineStr">
        <is>
          <t>INR</t>
        </is>
      </c>
      <c r="M2813" s="15" t="n">
        <v>-999.99</v>
      </c>
      <c r="N2813" s="4" t="inlineStr">
        <is>
          <t>IOS Owner</t>
        </is>
      </c>
      <c r="O2813" s="4" t="n"/>
      <c r="P2813" s="4" t="n"/>
      <c r="Q2813" s="4" t="inlineStr">
        <is>
          <t>MAESTRO-IOS-PERSONAL-LIFESTYLE-2812 | Hobbies | 999.99</t>
        </is>
      </c>
      <c r="R2813" s="4" t="inlineStr">
        <is>
          <t>iPhone</t>
        </is>
      </c>
      <c r="S2813" s="4" t="inlineStr">
        <is>
          <t>B57</t>
        </is>
      </c>
      <c r="T2813" s="4" t="inlineStr">
        <is>
          <t>HIGH_2501_3000</t>
        </is>
      </c>
      <c r="U2813" s="4" t="inlineStr">
        <is>
          <t>CREATED</t>
        </is>
      </c>
      <c r="V2813" s="4" t="inlineStr">
        <is>
          <t>idem-20260902-ios-2812</t>
        </is>
      </c>
    </row>
    <row r="2814" ht="30" customHeight="1">
      <c r="A2814" s="4" t="n">
        <v>2813</v>
      </c>
      <c r="B2814" s="4" t="inlineStr">
        <is>
          <t>MTR-IOS-2813</t>
        </is>
      </c>
      <c r="C2814" s="4" t="inlineStr">
        <is>
          <t>Group</t>
        </is>
      </c>
      <c r="D2814" s="4" t="inlineStr">
        <is>
          <t>Shared Experience</t>
        </is>
      </c>
      <c r="E2814" s="4" t="inlineStr">
        <is>
          <t>Wedding</t>
        </is>
      </c>
      <c r="F2814" s="4" t="inlineStr">
        <is>
          <t>Decor</t>
        </is>
      </c>
      <c r="G2814" s="4" t="inlineStr">
        <is>
          <t>Expense</t>
        </is>
      </c>
      <c r="H2814" s="12" t="n">
        <v>46211</v>
      </c>
      <c r="I2814" s="13" t="n">
        <v>0.6024074074074074</v>
      </c>
      <c r="J2814" s="14" t="n">
        <v>46211.60240740741</v>
      </c>
      <c r="K2814" s="15" t="n">
        <v>9839.77</v>
      </c>
      <c r="L2814" s="4" t="inlineStr">
        <is>
          <t>INR</t>
        </is>
      </c>
      <c r="M2814" s="15" t="n">
        <v>-9839.77</v>
      </c>
      <c r="N2814" s="4" t="inlineStr">
        <is>
          <t>IOS Aarav</t>
        </is>
      </c>
      <c r="O2814" s="4" t="n">
        <v>3</v>
      </c>
      <c r="P2814" s="4" t="inlineStr">
        <is>
          <t>PERCENTAGE</t>
        </is>
      </c>
      <c r="Q2814" s="4" t="inlineStr">
        <is>
          <t>MAESTRO-IOS-GROUP-WEDDING-2813 | Decor | 9839.77</t>
        </is>
      </c>
      <c r="R2814" s="4" t="inlineStr">
        <is>
          <t>iPhone</t>
        </is>
      </c>
      <c r="S2814" s="4" t="inlineStr">
        <is>
          <t>B57</t>
        </is>
      </c>
      <c r="T2814" s="4" t="inlineStr">
        <is>
          <t>HIGH_2501_3000</t>
        </is>
      </c>
      <c r="U2814" s="4" t="inlineStr">
        <is>
          <t>CREATED</t>
        </is>
      </c>
      <c r="V2814" s="4" t="inlineStr">
        <is>
          <t>idem-20260902-ios-2813</t>
        </is>
      </c>
    </row>
    <row r="2815" ht="30" customHeight="1">
      <c r="A2815" s="4" t="n">
        <v>2814</v>
      </c>
      <c r="B2815" s="4" t="inlineStr">
        <is>
          <t>MTR-IOS-2814</t>
        </is>
      </c>
      <c r="C2815" s="4" t="inlineStr">
        <is>
          <t>Business</t>
        </is>
      </c>
      <c r="D2815" s="4" t="inlineStr">
        <is>
          <t>Business</t>
        </is>
      </c>
      <c r="E2815" s="4" t="inlineStr">
        <is>
          <t>Business Operations</t>
        </is>
      </c>
      <c r="F2815" s="4" t="inlineStr">
        <is>
          <t>Software</t>
        </is>
      </c>
      <c r="G2815" s="4" t="inlineStr">
        <is>
          <t>Expense</t>
        </is>
      </c>
      <c r="H2815" s="12" t="n">
        <v>46006</v>
      </c>
      <c r="I2815" s="13" t="n">
        <v>0.8304976851851852</v>
      </c>
      <c r="J2815" s="14" t="n">
        <v>46006.83049768519</v>
      </c>
      <c r="K2815" s="15" t="n">
        <v>85768.60000000001</v>
      </c>
      <c r="L2815" s="4" t="inlineStr">
        <is>
          <t>INR</t>
        </is>
      </c>
      <c r="M2815" s="15" t="n">
        <v>-85768.60000000001</v>
      </c>
      <c r="N2815" s="4" t="inlineStr">
        <is>
          <t>IOS Owner</t>
        </is>
      </c>
      <c r="O2815" s="4" t="n"/>
      <c r="P2815" s="4" t="n"/>
      <c r="Q2815" s="4" t="inlineStr">
        <is>
          <t>MAESTRO-IOS-BUSINESS-BUSINESS_OPERATIONS-2814 | Software | 85768.60</t>
        </is>
      </c>
      <c r="R2815" s="4" t="inlineStr">
        <is>
          <t>iPhone</t>
        </is>
      </c>
      <c r="S2815" s="4" t="inlineStr">
        <is>
          <t>B57</t>
        </is>
      </c>
      <c r="T2815" s="4" t="inlineStr">
        <is>
          <t>HIGH_2501_3000</t>
        </is>
      </c>
      <c r="U2815" s="4" t="inlineStr">
        <is>
          <t>CREATED</t>
        </is>
      </c>
      <c r="V2815" s="4" t="inlineStr">
        <is>
          <t>idem-20260902-ios-2814</t>
        </is>
      </c>
    </row>
    <row r="2816" ht="30" customHeight="1">
      <c r="A2816" s="4" t="n">
        <v>2815</v>
      </c>
      <c r="B2816" s="4" t="inlineStr">
        <is>
          <t>MTR-IOS-2815</t>
        </is>
      </c>
      <c r="C2816" s="4" t="inlineStr">
        <is>
          <t>Personal</t>
        </is>
      </c>
      <c r="D2816" s="4" t="inlineStr">
        <is>
          <t>Personal</t>
        </is>
      </c>
      <c r="E2816" s="4" t="inlineStr">
        <is>
          <t>Relationships</t>
        </is>
      </c>
      <c r="F2816" s="4" t="inlineStr">
        <is>
          <t>Gifts</t>
        </is>
      </c>
      <c r="G2816" s="4" t="inlineStr">
        <is>
          <t>Expense</t>
        </is>
      </c>
      <c r="H2816" s="12" t="n">
        <v>46202</v>
      </c>
      <c r="I2816" s="13" t="n">
        <v>0.2721064814814815</v>
      </c>
      <c r="J2816" s="14" t="n">
        <v>46202.27210648148</v>
      </c>
      <c r="K2816" s="15" t="n">
        <v>3057.44</v>
      </c>
      <c r="L2816" s="4" t="inlineStr">
        <is>
          <t>INR</t>
        </is>
      </c>
      <c r="M2816" s="15" t="n">
        <v>-3057.44</v>
      </c>
      <c r="N2816" s="4" t="inlineStr">
        <is>
          <t>IOS Owner</t>
        </is>
      </c>
      <c r="O2816" s="4" t="n"/>
      <c r="P2816" s="4" t="n"/>
      <c r="Q2816" s="4" t="inlineStr">
        <is>
          <t>MAESTRO-IOS-PERSONAL-RELATIONSHIPS-2815 | Gifts | 3057.44</t>
        </is>
      </c>
      <c r="R2816" s="4" t="inlineStr">
        <is>
          <t>iPhone</t>
        </is>
      </c>
      <c r="S2816" s="4" t="inlineStr">
        <is>
          <t>B57</t>
        </is>
      </c>
      <c r="T2816" s="4" t="inlineStr">
        <is>
          <t>HIGH_2501_3000</t>
        </is>
      </c>
      <c r="U2816" s="4" t="inlineStr">
        <is>
          <t>CREATED</t>
        </is>
      </c>
      <c r="V2816" s="4" t="inlineStr">
        <is>
          <t>idem-20260902-ios-2815</t>
        </is>
      </c>
    </row>
    <row r="2817" ht="30" customHeight="1">
      <c r="A2817" s="4" t="n">
        <v>2816</v>
      </c>
      <c r="B2817" s="4" t="inlineStr">
        <is>
          <t>MTR-IOS-2816</t>
        </is>
      </c>
      <c r="C2817" s="4" t="inlineStr">
        <is>
          <t>Group</t>
        </is>
      </c>
      <c r="D2817" s="4" t="inlineStr">
        <is>
          <t>Shared Experience</t>
        </is>
      </c>
      <c r="E2817" s="4" t="inlineStr">
        <is>
          <t>Wedding</t>
        </is>
      </c>
      <c r="F2817" s="4" t="inlineStr">
        <is>
          <t>Travel</t>
        </is>
      </c>
      <c r="G2817" s="4" t="inlineStr">
        <is>
          <t>Expense</t>
        </is>
      </c>
      <c r="H2817" s="12" t="n">
        <v>45921</v>
      </c>
      <c r="I2817" s="13" t="n">
        <v>0.6095949074074074</v>
      </c>
      <c r="J2817" s="14" t="n">
        <v>45921.60959490741</v>
      </c>
      <c r="K2817" s="15" t="n">
        <v>2058.85</v>
      </c>
      <c r="L2817" s="4" t="inlineStr">
        <is>
          <t>INR</t>
        </is>
      </c>
      <c r="M2817" s="15" t="n">
        <v>-2058.85</v>
      </c>
      <c r="N2817" s="4" t="inlineStr">
        <is>
          <t>IOS Meera</t>
        </is>
      </c>
      <c r="O2817" s="4" t="n">
        <v>3</v>
      </c>
      <c r="P2817" s="4" t="inlineStr">
        <is>
          <t>EXACT</t>
        </is>
      </c>
      <c r="Q2817" s="4" t="inlineStr">
        <is>
          <t>MAESTRO-IOS-GROUP-WEDDING-2816 | Travel | 2058.85</t>
        </is>
      </c>
      <c r="R2817" s="4" t="inlineStr">
        <is>
          <t>iPhone</t>
        </is>
      </c>
      <c r="S2817" s="4" t="inlineStr">
        <is>
          <t>B57</t>
        </is>
      </c>
      <c r="T2817" s="4" t="inlineStr">
        <is>
          <t>HIGH_2501_3000</t>
        </is>
      </c>
      <c r="U2817" s="4" t="inlineStr">
        <is>
          <t>CREATED</t>
        </is>
      </c>
      <c r="V2817" s="4" t="inlineStr">
        <is>
          <t>idem-20260902-ios-2816</t>
        </is>
      </c>
    </row>
    <row r="2818" ht="30" customHeight="1">
      <c r="A2818" s="4" t="n">
        <v>2817</v>
      </c>
      <c r="B2818" s="4" t="inlineStr">
        <is>
          <t>MTR-IOS-2817</t>
        </is>
      </c>
      <c r="C2818" s="4" t="inlineStr">
        <is>
          <t>Business</t>
        </is>
      </c>
      <c r="D2818" s="4" t="inlineStr">
        <is>
          <t>Business</t>
        </is>
      </c>
      <c r="E2818" s="4" t="inlineStr">
        <is>
          <t>Business Operations</t>
        </is>
      </c>
      <c r="F2818" s="4" t="inlineStr">
        <is>
          <t>Rent</t>
        </is>
      </c>
      <c r="G2818" s="4" t="inlineStr">
        <is>
          <t>Expense</t>
        </is>
      </c>
      <c r="H2818" s="12" t="n">
        <v>46070</v>
      </c>
      <c r="I2818" s="13" t="n">
        <v>0.2795833333333334</v>
      </c>
      <c r="J2818" s="14" t="n">
        <v>46070.27958333334</v>
      </c>
      <c r="K2818" s="15" t="n">
        <v>46736.05</v>
      </c>
      <c r="L2818" s="4" t="inlineStr">
        <is>
          <t>INR</t>
        </is>
      </c>
      <c r="M2818" s="15" t="n">
        <v>-46736.05</v>
      </c>
      <c r="N2818" s="4" t="inlineStr">
        <is>
          <t>IOS Owner</t>
        </is>
      </c>
      <c r="O2818" s="4" t="n"/>
      <c r="P2818" s="4" t="n"/>
      <c r="Q2818" s="4" t="inlineStr">
        <is>
          <t>MAESTRO-IOS-BUSINESS-BUSINESS_OPERATIONS-2817 | Rent | 46736.05</t>
        </is>
      </c>
      <c r="R2818" s="4" t="inlineStr">
        <is>
          <t>iPhone</t>
        </is>
      </c>
      <c r="S2818" s="4" t="inlineStr">
        <is>
          <t>B57</t>
        </is>
      </c>
      <c r="T2818" s="4" t="inlineStr">
        <is>
          <t>HIGH_2501_3000</t>
        </is>
      </c>
      <c r="U2818" s="4" t="inlineStr">
        <is>
          <t>CREATED</t>
        </is>
      </c>
      <c r="V2818" s="4" t="inlineStr">
        <is>
          <t>idem-20260902-ios-2817</t>
        </is>
      </c>
    </row>
    <row r="2819" ht="30" customHeight="1">
      <c r="A2819" s="4" t="n">
        <v>2818</v>
      </c>
      <c r="B2819" s="4" t="inlineStr">
        <is>
          <t>MTR-IOS-2818</t>
        </is>
      </c>
      <c r="C2819" s="4" t="inlineStr">
        <is>
          <t>Personal</t>
        </is>
      </c>
      <c r="D2819" s="4" t="inlineStr">
        <is>
          <t>Personal</t>
        </is>
      </c>
      <c r="E2819" s="4" t="inlineStr">
        <is>
          <t>Relationships</t>
        </is>
      </c>
      <c r="F2819" s="4" t="inlineStr">
        <is>
          <t>Dates</t>
        </is>
      </c>
      <c r="G2819" s="4" t="inlineStr">
        <is>
          <t>Expense</t>
        </is>
      </c>
      <c r="H2819" s="12" t="n">
        <v>46096</v>
      </c>
      <c r="I2819" s="13" t="n">
        <v>0.4104166666666667</v>
      </c>
      <c r="J2819" s="14" t="n">
        <v>46096.41041666667</v>
      </c>
      <c r="K2819" s="15" t="n">
        <v>2440.5</v>
      </c>
      <c r="L2819" s="4" t="inlineStr">
        <is>
          <t>INR</t>
        </is>
      </c>
      <c r="M2819" s="15" t="n">
        <v>-2440.5</v>
      </c>
      <c r="N2819" s="4" t="inlineStr">
        <is>
          <t>IOS Owner</t>
        </is>
      </c>
      <c r="O2819" s="4" t="n"/>
      <c r="P2819" s="4" t="n"/>
      <c r="Q2819" s="4" t="inlineStr">
        <is>
          <t>MAESTRO-IOS-PERSONAL-RELATIONSHIPS-2818 | Dates | 2440.50</t>
        </is>
      </c>
      <c r="R2819" s="4" t="inlineStr">
        <is>
          <t>iPhone</t>
        </is>
      </c>
      <c r="S2819" s="4" t="inlineStr">
        <is>
          <t>B57</t>
        </is>
      </c>
      <c r="T2819" s="4" t="inlineStr">
        <is>
          <t>HIGH_2501_3000</t>
        </is>
      </c>
      <c r="U2819" s="4" t="inlineStr">
        <is>
          <t>CREATED</t>
        </is>
      </c>
      <c r="V2819" s="4" t="inlineStr">
        <is>
          <t>idem-20260902-ios-2818</t>
        </is>
      </c>
    </row>
    <row r="2820" ht="30" customHeight="1">
      <c r="A2820" s="4" t="n">
        <v>2819</v>
      </c>
      <c r="B2820" s="4" t="inlineStr">
        <is>
          <t>MTR-IOS-2819</t>
        </is>
      </c>
      <c r="C2820" s="4" t="inlineStr">
        <is>
          <t>Group</t>
        </is>
      </c>
      <c r="D2820" s="4" t="inlineStr">
        <is>
          <t>Shared Experience</t>
        </is>
      </c>
      <c r="E2820" s="4" t="inlineStr">
        <is>
          <t>Wedding</t>
        </is>
      </c>
      <c r="F2820" s="4" t="inlineStr">
        <is>
          <t>Gifts</t>
        </is>
      </c>
      <c r="G2820" s="4" t="inlineStr">
        <is>
          <t>Expense</t>
        </is>
      </c>
      <c r="H2820" s="12" t="n">
        <v>45976</v>
      </c>
      <c r="I2820" s="13" t="n">
        <v>0.5859606481481482</v>
      </c>
      <c r="J2820" s="14" t="n">
        <v>45976.58596064815</v>
      </c>
      <c r="K2820" s="15" t="n">
        <v>23753.89</v>
      </c>
      <c r="L2820" s="4" t="inlineStr">
        <is>
          <t>INR</t>
        </is>
      </c>
      <c r="M2820" s="15" t="n">
        <v>-23753.89</v>
      </c>
      <c r="N2820" s="4" t="inlineStr">
        <is>
          <t>IOS Owner</t>
        </is>
      </c>
      <c r="O2820" s="4" t="n">
        <v>3</v>
      </c>
      <c r="P2820" s="4" t="inlineStr">
        <is>
          <t>SHARES</t>
        </is>
      </c>
      <c r="Q2820" s="4" t="inlineStr">
        <is>
          <t>MAESTRO-IOS-GROUP-WEDDING-2819 | Gifts | 23753.89</t>
        </is>
      </c>
      <c r="R2820" s="4" t="inlineStr">
        <is>
          <t>iPhone</t>
        </is>
      </c>
      <c r="S2820" s="4" t="inlineStr">
        <is>
          <t>B57</t>
        </is>
      </c>
      <c r="T2820" s="4" t="inlineStr">
        <is>
          <t>HIGH_2501_3000</t>
        </is>
      </c>
      <c r="U2820" s="4" t="inlineStr">
        <is>
          <t>CREATED</t>
        </is>
      </c>
      <c r="V2820" s="4" t="inlineStr">
        <is>
          <t>idem-20260902-ios-2819</t>
        </is>
      </c>
    </row>
    <row r="2821" ht="30" customHeight="1">
      <c r="A2821" s="4" t="n">
        <v>2820</v>
      </c>
      <c r="B2821" s="4" t="inlineStr">
        <is>
          <t>MTR-IOS-2820</t>
        </is>
      </c>
      <c r="C2821" s="4" t="inlineStr">
        <is>
          <t>Business</t>
        </is>
      </c>
      <c r="D2821" s="4" t="inlineStr">
        <is>
          <t>Business</t>
        </is>
      </c>
      <c r="E2821" s="4" t="inlineStr">
        <is>
          <t>Business Operations</t>
        </is>
      </c>
      <c r="F2821" s="4" t="inlineStr">
        <is>
          <t>Marketing</t>
        </is>
      </c>
      <c r="G2821" s="4" t="inlineStr">
        <is>
          <t>Expense</t>
        </is>
      </c>
      <c r="H2821" s="12" t="n">
        <v>45978</v>
      </c>
      <c r="I2821" s="13" t="n">
        <v>0.6302546296296296</v>
      </c>
      <c r="J2821" s="14" t="n">
        <v>45978.63025462963</v>
      </c>
      <c r="K2821" s="15" t="n">
        <v>97260.60000000001</v>
      </c>
      <c r="L2821" s="4" t="inlineStr">
        <is>
          <t>INR</t>
        </is>
      </c>
      <c r="M2821" s="15" t="n">
        <v>-97260.60000000001</v>
      </c>
      <c r="N2821" s="4" t="inlineStr">
        <is>
          <t>IOS Owner</t>
        </is>
      </c>
      <c r="O2821" s="4" t="n"/>
      <c r="P2821" s="4" t="n"/>
      <c r="Q2821" s="4" t="inlineStr">
        <is>
          <t>MAESTRO-IOS-BUSINESS-BUSINESS_OPERATIONS-2820 | Marketing | 97260.60</t>
        </is>
      </c>
      <c r="R2821" s="4" t="inlineStr">
        <is>
          <t>iPhone</t>
        </is>
      </c>
      <c r="S2821" s="4" t="inlineStr">
        <is>
          <t>B57</t>
        </is>
      </c>
      <c r="T2821" s="4" t="inlineStr">
        <is>
          <t>HIGH_2501_3000</t>
        </is>
      </c>
      <c r="U2821" s="4" t="inlineStr">
        <is>
          <t>CREATED</t>
        </is>
      </c>
      <c r="V2821" s="4" t="inlineStr">
        <is>
          <t>idem-20260902-ios-2820</t>
        </is>
      </c>
    </row>
    <row r="2822" ht="30" customHeight="1">
      <c r="A2822" s="4" t="n">
        <v>2821</v>
      </c>
      <c r="B2822" s="4" t="inlineStr">
        <is>
          <t>MTR-IOS-2821</t>
        </is>
      </c>
      <c r="C2822" s="4" t="inlineStr">
        <is>
          <t>Personal</t>
        </is>
      </c>
      <c r="D2822" s="4" t="inlineStr">
        <is>
          <t>Personal</t>
        </is>
      </c>
      <c r="E2822" s="4" t="inlineStr">
        <is>
          <t>Relationships</t>
        </is>
      </c>
      <c r="F2822" s="4" t="inlineStr">
        <is>
          <t>Family</t>
        </is>
      </c>
      <c r="G2822" s="4" t="inlineStr">
        <is>
          <t>Expense</t>
        </is>
      </c>
      <c r="H2822" s="12" t="n">
        <v>46193</v>
      </c>
      <c r="I2822" s="13" t="n">
        <v>0.3842939814814815</v>
      </c>
      <c r="J2822" s="14" t="n">
        <v>46193.38429398148</v>
      </c>
      <c r="K2822" s="15" t="n">
        <v>4393.41</v>
      </c>
      <c r="L2822" s="4" t="inlineStr">
        <is>
          <t>INR</t>
        </is>
      </c>
      <c r="M2822" s="15" t="n">
        <v>-4393.41</v>
      </c>
      <c r="N2822" s="4" t="inlineStr">
        <is>
          <t>IOS Owner</t>
        </is>
      </c>
      <c r="O2822" s="4" t="n"/>
      <c r="P2822" s="4" t="n"/>
      <c r="Q2822" s="4" t="inlineStr">
        <is>
          <t>MAESTRO-IOS-PERSONAL-RELATIONSHIPS-2821 | Family | 4393.41</t>
        </is>
      </c>
      <c r="R2822" s="4" t="inlineStr">
        <is>
          <t>iPhone</t>
        </is>
      </c>
      <c r="S2822" s="4" t="inlineStr">
        <is>
          <t>B57</t>
        </is>
      </c>
      <c r="T2822" s="4" t="inlineStr">
        <is>
          <t>HIGH_2501_3000</t>
        </is>
      </c>
      <c r="U2822" s="4" t="inlineStr">
        <is>
          <t>CREATED</t>
        </is>
      </c>
      <c r="V2822" s="4" t="inlineStr">
        <is>
          <t>idem-20260902-ios-2821</t>
        </is>
      </c>
    </row>
    <row r="2823" ht="30" customHeight="1">
      <c r="A2823" s="4" t="n">
        <v>2822</v>
      </c>
      <c r="B2823" s="4" t="inlineStr">
        <is>
          <t>MTR-IOS-2822</t>
        </is>
      </c>
      <c r="C2823" s="4" t="inlineStr">
        <is>
          <t>Group</t>
        </is>
      </c>
      <c r="D2823" s="4" t="inlineStr">
        <is>
          <t>Shared Experience</t>
        </is>
      </c>
      <c r="E2823" s="4" t="inlineStr">
        <is>
          <t>Wedding</t>
        </is>
      </c>
      <c r="F2823" s="4" t="inlineStr">
        <is>
          <t>Photography</t>
        </is>
      </c>
      <c r="G2823" s="4" t="inlineStr">
        <is>
          <t>Expense</t>
        </is>
      </c>
      <c r="H2823" s="12" t="n">
        <v>46035</v>
      </c>
      <c r="I2823" s="13" t="n">
        <v>0.3563657407407407</v>
      </c>
      <c r="J2823" s="14" t="n">
        <v>46035.35636574074</v>
      </c>
      <c r="K2823" s="15" t="n">
        <v>12022.01</v>
      </c>
      <c r="L2823" s="4" t="inlineStr">
        <is>
          <t>INR</t>
        </is>
      </c>
      <c r="M2823" s="15" t="n">
        <v>-12022.01</v>
      </c>
      <c r="N2823" s="4" t="inlineStr">
        <is>
          <t>IOS Aarav</t>
        </is>
      </c>
      <c r="O2823" s="4" t="n">
        <v>3</v>
      </c>
      <c r="P2823" s="4" t="inlineStr">
        <is>
          <t>EQUAL</t>
        </is>
      </c>
      <c r="Q2823" s="4" t="inlineStr">
        <is>
          <t>MAESTRO-IOS-GROUP-WEDDING-2822 | Photography | 12022.01</t>
        </is>
      </c>
      <c r="R2823" s="4" t="inlineStr">
        <is>
          <t>iPhone</t>
        </is>
      </c>
      <c r="S2823" s="4" t="inlineStr">
        <is>
          <t>B57</t>
        </is>
      </c>
      <c r="T2823" s="4" t="inlineStr">
        <is>
          <t>HIGH_2501_3000</t>
        </is>
      </c>
      <c r="U2823" s="4" t="inlineStr">
        <is>
          <t>CREATED</t>
        </is>
      </c>
      <c r="V2823" s="4" t="inlineStr">
        <is>
          <t>idem-20260902-ios-2822</t>
        </is>
      </c>
    </row>
    <row r="2824" ht="30" customHeight="1">
      <c r="A2824" s="4" t="n">
        <v>2823</v>
      </c>
      <c r="B2824" s="4" t="inlineStr">
        <is>
          <t>MTR-IOS-2823</t>
        </is>
      </c>
      <c r="C2824" s="4" t="inlineStr">
        <is>
          <t>Business</t>
        </is>
      </c>
      <c r="D2824" s="4" t="inlineStr">
        <is>
          <t>Business</t>
        </is>
      </c>
      <c r="E2824" s="4" t="inlineStr">
        <is>
          <t>Business Operations</t>
        </is>
      </c>
      <c r="F2824" s="4" t="inlineStr">
        <is>
          <t>Legal</t>
        </is>
      </c>
      <c r="G2824" s="4" t="inlineStr">
        <is>
          <t>Expense</t>
        </is>
      </c>
      <c r="H2824" s="12" t="n">
        <v>46072</v>
      </c>
      <c r="I2824" s="13" t="n">
        <v>0.5322453703703703</v>
      </c>
      <c r="J2824" s="14" t="n">
        <v>46072.53224537037</v>
      </c>
      <c r="K2824" s="15" t="n">
        <v>160661.94</v>
      </c>
      <c r="L2824" s="4" t="inlineStr">
        <is>
          <t>INR</t>
        </is>
      </c>
      <c r="M2824" s="15" t="n">
        <v>-160661.94</v>
      </c>
      <c r="N2824" s="4" t="inlineStr">
        <is>
          <t>IOS Owner</t>
        </is>
      </c>
      <c r="O2824" s="4" t="n"/>
      <c r="P2824" s="4" t="n"/>
      <c r="Q2824" s="4" t="inlineStr">
        <is>
          <t>MAESTRO-IOS-BUSINESS-BUSINESS_OPERATIONS-2823 | Legal | 160661.94</t>
        </is>
      </c>
      <c r="R2824" s="4" t="inlineStr">
        <is>
          <t>iPhone</t>
        </is>
      </c>
      <c r="S2824" s="4" t="inlineStr">
        <is>
          <t>B57</t>
        </is>
      </c>
      <c r="T2824" s="4" t="inlineStr">
        <is>
          <t>HIGH_2501_3000</t>
        </is>
      </c>
      <c r="U2824" s="4" t="inlineStr">
        <is>
          <t>CREATED</t>
        </is>
      </c>
      <c r="V2824" s="4" t="inlineStr">
        <is>
          <t>idem-20260902-ios-2823</t>
        </is>
      </c>
    </row>
    <row r="2825" ht="30" customHeight="1">
      <c r="A2825" s="4" t="n">
        <v>2824</v>
      </c>
      <c r="B2825" s="4" t="inlineStr">
        <is>
          <t>MTR-IOS-2824</t>
        </is>
      </c>
      <c r="C2825" s="4" t="inlineStr">
        <is>
          <t>Personal</t>
        </is>
      </c>
      <c r="D2825" s="4" t="inlineStr">
        <is>
          <t>Personal</t>
        </is>
      </c>
      <c r="E2825" s="4" t="inlineStr">
        <is>
          <t>Relationships</t>
        </is>
      </c>
      <c r="F2825" s="4" t="inlineStr">
        <is>
          <t>Friends</t>
        </is>
      </c>
      <c r="G2825" s="4" t="inlineStr">
        <is>
          <t>Expense</t>
        </is>
      </c>
      <c r="H2825" s="12" t="n">
        <v>45913</v>
      </c>
      <c r="I2825" s="13" t="n">
        <v>0.8657754629629629</v>
      </c>
      <c r="J2825" s="14" t="n">
        <v>45913.86577546296</v>
      </c>
      <c r="K2825" s="15" t="n">
        <v>2908.6</v>
      </c>
      <c r="L2825" s="4" t="inlineStr">
        <is>
          <t>INR</t>
        </is>
      </c>
      <c r="M2825" s="15" t="n">
        <v>-2908.6</v>
      </c>
      <c r="N2825" s="4" t="inlineStr">
        <is>
          <t>IOS Owner</t>
        </is>
      </c>
      <c r="O2825" s="4" t="n"/>
      <c r="P2825" s="4" t="n"/>
      <c r="Q2825" s="4" t="inlineStr">
        <is>
          <t>MAESTRO-IOS-PERSONAL-RELATIONSHIPS-2824 | Friends | 2908.60</t>
        </is>
      </c>
      <c r="R2825" s="4" t="inlineStr">
        <is>
          <t>iPhone</t>
        </is>
      </c>
      <c r="S2825" s="4" t="inlineStr">
        <is>
          <t>B57</t>
        </is>
      </c>
      <c r="T2825" s="4" t="inlineStr">
        <is>
          <t>HIGH_2501_3000</t>
        </is>
      </c>
      <c r="U2825" s="4" t="inlineStr">
        <is>
          <t>CREATED</t>
        </is>
      </c>
      <c r="V2825" s="4" t="inlineStr">
        <is>
          <t>idem-20260902-ios-2824</t>
        </is>
      </c>
    </row>
    <row r="2826" ht="30" customHeight="1">
      <c r="A2826" s="4" t="n">
        <v>2825</v>
      </c>
      <c r="B2826" s="4" t="inlineStr">
        <is>
          <t>MTR-IOS-2825</t>
        </is>
      </c>
      <c r="C2826" s="4" t="inlineStr">
        <is>
          <t>Group</t>
        </is>
      </c>
      <c r="D2826" s="4" t="inlineStr">
        <is>
          <t>Shared Experience</t>
        </is>
      </c>
      <c r="E2826" s="4" t="inlineStr">
        <is>
          <t>Wedding</t>
        </is>
      </c>
      <c r="F2826" s="4" t="inlineStr">
        <is>
          <t>Other</t>
        </is>
      </c>
      <c r="G2826" s="4" t="inlineStr">
        <is>
          <t>Expense</t>
        </is>
      </c>
      <c r="H2826" s="12" t="n">
        <v>46004</v>
      </c>
      <c r="I2826" s="13" t="n">
        <v>0.4939236111111111</v>
      </c>
      <c r="J2826" s="14" t="n">
        <v>46004.49392361111</v>
      </c>
      <c r="K2826" s="15" t="n">
        <v>24637.16</v>
      </c>
      <c r="L2826" s="4" t="inlineStr">
        <is>
          <t>INR</t>
        </is>
      </c>
      <c r="M2826" s="15" t="n">
        <v>-24637.16</v>
      </c>
      <c r="N2826" s="4" t="inlineStr">
        <is>
          <t>IOS Meera</t>
        </is>
      </c>
      <c r="O2826" s="4" t="n">
        <v>3</v>
      </c>
      <c r="P2826" s="4" t="inlineStr">
        <is>
          <t>PERCENTAGE</t>
        </is>
      </c>
      <c r="Q2826" s="4" t="inlineStr">
        <is>
          <t>MAESTRO-IOS-GROUP-WEDDING-2825 | Other | 24637.16</t>
        </is>
      </c>
      <c r="R2826" s="4" t="inlineStr">
        <is>
          <t>iPhone</t>
        </is>
      </c>
      <c r="S2826" s="4" t="inlineStr">
        <is>
          <t>B57</t>
        </is>
      </c>
      <c r="T2826" s="4" t="inlineStr">
        <is>
          <t>HIGH_2501_3000</t>
        </is>
      </c>
      <c r="U2826" s="4" t="inlineStr">
        <is>
          <t>CREATED</t>
        </is>
      </c>
      <c r="V2826" s="4" t="inlineStr">
        <is>
          <t>idem-20260902-ios-2825</t>
        </is>
      </c>
    </row>
    <row r="2827" ht="30" customHeight="1">
      <c r="A2827" s="4" t="n">
        <v>2826</v>
      </c>
      <c r="B2827" s="4" t="inlineStr">
        <is>
          <t>MTR-IOS-2826</t>
        </is>
      </c>
      <c r="C2827" s="4" t="inlineStr">
        <is>
          <t>Business</t>
        </is>
      </c>
      <c r="D2827" s="4" t="inlineStr">
        <is>
          <t>Business</t>
        </is>
      </c>
      <c r="E2827" s="4" t="inlineStr">
        <is>
          <t>Business Operations</t>
        </is>
      </c>
      <c r="F2827" s="4" t="inlineStr">
        <is>
          <t>Accounting</t>
        </is>
      </c>
      <c r="G2827" s="4" t="inlineStr">
        <is>
          <t>Expense</t>
        </is>
      </c>
      <c r="H2827" s="12" t="n">
        <v>46062</v>
      </c>
      <c r="I2827" s="13" t="n">
        <v>0.4676967592592592</v>
      </c>
      <c r="J2827" s="14" t="n">
        <v>46062.46769675926</v>
      </c>
      <c r="K2827" s="15" t="n">
        <v>62228.27</v>
      </c>
      <c r="L2827" s="4" t="inlineStr">
        <is>
          <t>INR</t>
        </is>
      </c>
      <c r="M2827" s="15" t="n">
        <v>-62228.27</v>
      </c>
      <c r="N2827" s="4" t="inlineStr">
        <is>
          <t>IOS Owner</t>
        </is>
      </c>
      <c r="O2827" s="4" t="n"/>
      <c r="P2827" s="4" t="n"/>
      <c r="Q2827" s="4" t="inlineStr">
        <is>
          <t>MAESTRO-IOS-BUSINESS-BUSINESS_OPERATIONS-2826 | Accounting | 62228.27</t>
        </is>
      </c>
      <c r="R2827" s="4" t="inlineStr">
        <is>
          <t>iPhone</t>
        </is>
      </c>
      <c r="S2827" s="4" t="inlineStr">
        <is>
          <t>B57</t>
        </is>
      </c>
      <c r="T2827" s="4" t="inlineStr">
        <is>
          <t>HIGH_2501_3000</t>
        </is>
      </c>
      <c r="U2827" s="4" t="inlineStr">
        <is>
          <t>CREATED</t>
        </is>
      </c>
      <c r="V2827" s="4" t="inlineStr">
        <is>
          <t>idem-20260902-ios-2826</t>
        </is>
      </c>
    </row>
    <row r="2828" ht="30" customHeight="1">
      <c r="A2828" s="4" t="n">
        <v>2827</v>
      </c>
      <c r="B2828" s="4" t="inlineStr">
        <is>
          <t>MTR-IOS-2827</t>
        </is>
      </c>
      <c r="C2828" s="4" t="inlineStr">
        <is>
          <t>Personal</t>
        </is>
      </c>
      <c r="D2828" s="4" t="inlineStr">
        <is>
          <t>Personal</t>
        </is>
      </c>
      <c r="E2828" s="4" t="inlineStr">
        <is>
          <t>Relationships</t>
        </is>
      </c>
      <c r="F2828" s="4" t="inlineStr">
        <is>
          <t>Celebrations</t>
        </is>
      </c>
      <c r="G2828" s="4" t="inlineStr">
        <is>
          <t>Expense</t>
        </is>
      </c>
      <c r="H2828" s="12" t="n">
        <v>46063</v>
      </c>
      <c r="I2828" s="13" t="n">
        <v>0.2361111111111111</v>
      </c>
      <c r="J2828" s="14" t="n">
        <v>46063.23611111111</v>
      </c>
      <c r="K2828" s="15" t="n">
        <v>17731.91</v>
      </c>
      <c r="L2828" s="4" t="inlineStr">
        <is>
          <t>INR</t>
        </is>
      </c>
      <c r="M2828" s="15" t="n">
        <v>-17731.91</v>
      </c>
      <c r="N2828" s="4" t="inlineStr">
        <is>
          <t>IOS Owner</t>
        </is>
      </c>
      <c r="O2828" s="4" t="n"/>
      <c r="P2828" s="4" t="n"/>
      <c r="Q2828" s="4" t="inlineStr">
        <is>
          <t>MAESTRO-IOS-PERSONAL-RELATIONSHIPS-2827 | Celebrations | 17731.91</t>
        </is>
      </c>
      <c r="R2828" s="4" t="inlineStr">
        <is>
          <t>iPhone</t>
        </is>
      </c>
      <c r="S2828" s="4" t="inlineStr">
        <is>
          <t>B57</t>
        </is>
      </c>
      <c r="T2828" s="4" t="inlineStr">
        <is>
          <t>HIGH_2501_3000</t>
        </is>
      </c>
      <c r="U2828" s="4" t="inlineStr">
        <is>
          <t>CREATED</t>
        </is>
      </c>
      <c r="V2828" s="4" t="inlineStr">
        <is>
          <t>idem-20260902-ios-2827</t>
        </is>
      </c>
    </row>
    <row r="2829" ht="30" customHeight="1">
      <c r="A2829" s="4" t="n">
        <v>2828</v>
      </c>
      <c r="B2829" s="4" t="inlineStr">
        <is>
          <t>MTR-IOS-2828</t>
        </is>
      </c>
      <c r="C2829" s="4" t="inlineStr">
        <is>
          <t>Group</t>
        </is>
      </c>
      <c r="D2829" s="4" t="inlineStr">
        <is>
          <t>Shared Experience</t>
        </is>
      </c>
      <c r="E2829" s="4" t="inlineStr">
        <is>
          <t>Office Outing</t>
        </is>
      </c>
      <c r="F2829" s="4" t="inlineStr">
        <is>
          <t>Food</t>
        </is>
      </c>
      <c r="G2829" s="4" t="inlineStr">
        <is>
          <t>Expense</t>
        </is>
      </c>
      <c r="H2829" s="12" t="n">
        <v>46131</v>
      </c>
      <c r="I2829" s="13" t="n">
        <v>0.739363425925926</v>
      </c>
      <c r="J2829" s="14" t="n">
        <v>46131.73936342593</v>
      </c>
      <c r="K2829" s="15" t="n">
        <v>9889.25</v>
      </c>
      <c r="L2829" s="4" t="inlineStr">
        <is>
          <t>INR</t>
        </is>
      </c>
      <c r="M2829" s="15" t="n">
        <v>-9889.25</v>
      </c>
      <c r="N2829" s="4" t="inlineStr">
        <is>
          <t>IOS Owner</t>
        </is>
      </c>
      <c r="O2829" s="4" t="n">
        <v>3</v>
      </c>
      <c r="P2829" s="4" t="inlineStr">
        <is>
          <t>EXACT</t>
        </is>
      </c>
      <c r="Q2829" s="4" t="inlineStr">
        <is>
          <t>MAESTRO-IOS-GROUP-OFFICE_OUTING-2828 | Food | 9889.25</t>
        </is>
      </c>
      <c r="R2829" s="4" t="inlineStr">
        <is>
          <t>iPhone</t>
        </is>
      </c>
      <c r="S2829" s="4" t="inlineStr">
        <is>
          <t>B57</t>
        </is>
      </c>
      <c r="T2829" s="4" t="inlineStr">
        <is>
          <t>HIGH_2501_3000</t>
        </is>
      </c>
      <c r="U2829" s="4" t="inlineStr">
        <is>
          <t>CREATED</t>
        </is>
      </c>
      <c r="V2829" s="4" t="inlineStr">
        <is>
          <t>idem-20260902-ios-2828</t>
        </is>
      </c>
    </row>
    <row r="2830" ht="30" customHeight="1">
      <c r="A2830" s="4" t="n">
        <v>2829</v>
      </c>
      <c r="B2830" s="4" t="inlineStr">
        <is>
          <t>MTR-IOS-2829</t>
        </is>
      </c>
      <c r="C2830" s="4" t="inlineStr">
        <is>
          <t>Business</t>
        </is>
      </c>
      <c r="D2830" s="4" t="inlineStr">
        <is>
          <t>Business</t>
        </is>
      </c>
      <c r="E2830" s="4" t="inlineStr">
        <is>
          <t>Business Operations</t>
        </is>
      </c>
      <c r="F2830" s="4" t="inlineStr">
        <is>
          <t>Equipment</t>
        </is>
      </c>
      <c r="G2830" s="4" t="inlineStr">
        <is>
          <t>Expense</t>
        </is>
      </c>
      <c r="H2830" s="12" t="n">
        <v>46014</v>
      </c>
      <c r="I2830" s="13" t="n">
        <v>0.3079976851851852</v>
      </c>
      <c r="J2830" s="14" t="n">
        <v>46014.30799768519</v>
      </c>
      <c r="K2830" s="15" t="n">
        <v>92113.72</v>
      </c>
      <c r="L2830" s="4" t="inlineStr">
        <is>
          <t>INR</t>
        </is>
      </c>
      <c r="M2830" s="15" t="n">
        <v>-92113.72</v>
      </c>
      <c r="N2830" s="4" t="inlineStr">
        <is>
          <t>IOS Owner</t>
        </is>
      </c>
      <c r="O2830" s="4" t="n"/>
      <c r="P2830" s="4" t="n"/>
      <c r="Q2830" s="4" t="inlineStr">
        <is>
          <t>MAESTRO-IOS-BUSINESS-BUSINESS_OPERATIONS-2829 | Equipment | 92113.72</t>
        </is>
      </c>
      <c r="R2830" s="4" t="inlineStr">
        <is>
          <t>iPhone</t>
        </is>
      </c>
      <c r="S2830" s="4" t="inlineStr">
        <is>
          <t>B57</t>
        </is>
      </c>
      <c r="T2830" s="4" t="inlineStr">
        <is>
          <t>HIGH_2501_3000</t>
        </is>
      </c>
      <c r="U2830" s="4" t="inlineStr">
        <is>
          <t>CREATED</t>
        </is>
      </c>
      <c r="V2830" s="4" t="inlineStr">
        <is>
          <t>idem-20260902-ios-2829</t>
        </is>
      </c>
    </row>
    <row r="2831" ht="30" customHeight="1">
      <c r="A2831" s="4" t="n">
        <v>2830</v>
      </c>
      <c r="B2831" s="4" t="inlineStr">
        <is>
          <t>MTR-IOS-2830</t>
        </is>
      </c>
      <c r="C2831" s="4" t="inlineStr">
        <is>
          <t>Personal</t>
        </is>
      </c>
      <c r="D2831" s="4" t="inlineStr">
        <is>
          <t>Personal</t>
        </is>
      </c>
      <c r="E2831" s="4" t="inlineStr">
        <is>
          <t>Life Operations</t>
        </is>
      </c>
      <c r="F2831" s="4" t="inlineStr">
        <is>
          <t>Groceries</t>
        </is>
      </c>
      <c r="G2831" s="4" t="inlineStr">
        <is>
          <t>Expense</t>
        </is>
      </c>
      <c r="H2831" s="12" t="n">
        <v>45923</v>
      </c>
      <c r="I2831" s="13" t="n">
        <v>0.2311805555555556</v>
      </c>
      <c r="J2831" s="14" t="n">
        <v>45923.23118055556</v>
      </c>
      <c r="K2831" s="15" t="n">
        <v>3000.95</v>
      </c>
      <c r="L2831" s="4" t="inlineStr">
        <is>
          <t>INR</t>
        </is>
      </c>
      <c r="M2831" s="15" t="n">
        <v>-3000.95</v>
      </c>
      <c r="N2831" s="4" t="inlineStr">
        <is>
          <t>IOS Owner</t>
        </is>
      </c>
      <c r="O2831" s="4" t="n"/>
      <c r="P2831" s="4" t="n"/>
      <c r="Q2831" s="4" t="inlineStr">
        <is>
          <t>MAESTRO-IOS-PERSONAL-LIFE_OPERATIONS-2830 | Groceries | 3000.95</t>
        </is>
      </c>
      <c r="R2831" s="4" t="inlineStr">
        <is>
          <t>iPhone</t>
        </is>
      </c>
      <c r="S2831" s="4" t="inlineStr">
        <is>
          <t>B57</t>
        </is>
      </c>
      <c r="T2831" s="4" t="inlineStr">
        <is>
          <t>HIGH_2501_3000</t>
        </is>
      </c>
      <c r="U2831" s="4" t="inlineStr">
        <is>
          <t>CREATED</t>
        </is>
      </c>
      <c r="V2831" s="4" t="inlineStr">
        <is>
          <t>idem-20260902-ios-2830</t>
        </is>
      </c>
    </row>
    <row r="2832" ht="30" customHeight="1">
      <c r="A2832" s="4" t="n">
        <v>2831</v>
      </c>
      <c r="B2832" s="4" t="inlineStr">
        <is>
          <t>MTR-IOS-2831</t>
        </is>
      </c>
      <c r="C2832" s="4" t="inlineStr">
        <is>
          <t>Group</t>
        </is>
      </c>
      <c r="D2832" s="4" t="inlineStr">
        <is>
          <t>Shared Experience</t>
        </is>
      </c>
      <c r="E2832" s="4" t="inlineStr">
        <is>
          <t>Office Outing</t>
        </is>
      </c>
      <c r="F2832" s="4" t="inlineStr">
        <is>
          <t>Travel</t>
        </is>
      </c>
      <c r="G2832" s="4" t="inlineStr">
        <is>
          <t>Expense</t>
        </is>
      </c>
      <c r="H2832" s="12" t="n">
        <v>46002</v>
      </c>
      <c r="I2832" s="13" t="n">
        <v>0.2657291666666667</v>
      </c>
      <c r="J2832" s="14" t="n">
        <v>46002.26572916667</v>
      </c>
      <c r="K2832" s="15" t="n">
        <v>25586.85</v>
      </c>
      <c r="L2832" s="4" t="inlineStr">
        <is>
          <t>INR</t>
        </is>
      </c>
      <c r="M2832" s="15" t="n">
        <v>-25586.85</v>
      </c>
      <c r="N2832" s="4" t="inlineStr">
        <is>
          <t>IOS Aarav</t>
        </is>
      </c>
      <c r="O2832" s="4" t="n">
        <v>3</v>
      </c>
      <c r="P2832" s="4" t="inlineStr">
        <is>
          <t>SHARES</t>
        </is>
      </c>
      <c r="Q2832" s="4" t="inlineStr">
        <is>
          <t>MAESTRO-IOS-GROUP-OFFICE_OUTING-2831 | Travel | 25586.85</t>
        </is>
      </c>
      <c r="R2832" s="4" t="inlineStr">
        <is>
          <t>iPhone</t>
        </is>
      </c>
      <c r="S2832" s="4" t="inlineStr">
        <is>
          <t>B57</t>
        </is>
      </c>
      <c r="T2832" s="4" t="inlineStr">
        <is>
          <t>HIGH_2501_3000</t>
        </is>
      </c>
      <c r="U2832" s="4" t="inlineStr">
        <is>
          <t>CREATED</t>
        </is>
      </c>
      <c r="V2832" s="4" t="inlineStr">
        <is>
          <t>idem-20260902-ios-2831</t>
        </is>
      </c>
    </row>
    <row r="2833" ht="30" customHeight="1">
      <c r="A2833" s="4" t="n">
        <v>2832</v>
      </c>
      <c r="B2833" s="4" t="inlineStr">
        <is>
          <t>MTR-IOS-2832</t>
        </is>
      </c>
      <c r="C2833" s="4" t="inlineStr">
        <is>
          <t>Business</t>
        </is>
      </c>
      <c r="D2833" s="4" t="inlineStr">
        <is>
          <t>Business</t>
        </is>
      </c>
      <c r="E2833" s="4" t="inlineStr">
        <is>
          <t>Business Operations</t>
        </is>
      </c>
      <c r="F2833" s="4" t="inlineStr">
        <is>
          <t>Vendor</t>
        </is>
      </c>
      <c r="G2833" s="4" t="inlineStr">
        <is>
          <t>Expense</t>
        </is>
      </c>
      <c r="H2833" s="12" t="n">
        <v>45914</v>
      </c>
      <c r="I2833" s="13" t="n">
        <v>0.849212962962963</v>
      </c>
      <c r="J2833" s="14" t="n">
        <v>45914.84921296296</v>
      </c>
      <c r="K2833" s="15" t="n">
        <v>71381.64</v>
      </c>
      <c r="L2833" s="4" t="inlineStr">
        <is>
          <t>INR</t>
        </is>
      </c>
      <c r="M2833" s="15" t="n">
        <v>-71381.64</v>
      </c>
      <c r="N2833" s="4" t="inlineStr">
        <is>
          <t>IOS Owner</t>
        </is>
      </c>
      <c r="O2833" s="4" t="n"/>
      <c r="P2833" s="4" t="n"/>
      <c r="Q2833" s="4" t="inlineStr">
        <is>
          <t>MAESTRO-IOS-BUSINESS-BUSINESS_OPERATIONS-2832 | Vendor | 71381.64</t>
        </is>
      </c>
      <c r="R2833" s="4" t="inlineStr">
        <is>
          <t>iPhone</t>
        </is>
      </c>
      <c r="S2833" s="4" t="inlineStr">
        <is>
          <t>B57</t>
        </is>
      </c>
      <c r="T2833" s="4" t="inlineStr">
        <is>
          <t>HIGH_2501_3000</t>
        </is>
      </c>
      <c r="U2833" s="4" t="inlineStr">
        <is>
          <t>CREATED</t>
        </is>
      </c>
      <c r="V2833" s="4" t="inlineStr">
        <is>
          <t>idem-20260902-ios-2832</t>
        </is>
      </c>
    </row>
    <row r="2834" ht="30" customHeight="1">
      <c r="A2834" s="4" t="n">
        <v>2833</v>
      </c>
      <c r="B2834" s="4" t="inlineStr">
        <is>
          <t>MTR-IOS-2833</t>
        </is>
      </c>
      <c r="C2834" s="4" t="inlineStr">
        <is>
          <t>Personal</t>
        </is>
      </c>
      <c r="D2834" s="4" t="inlineStr">
        <is>
          <t>Personal</t>
        </is>
      </c>
      <c r="E2834" s="4" t="inlineStr">
        <is>
          <t>Life Operations</t>
        </is>
      </c>
      <c r="F2834" s="4" t="inlineStr">
        <is>
          <t>Rent</t>
        </is>
      </c>
      <c r="G2834" s="4" t="inlineStr">
        <is>
          <t>Expense</t>
        </is>
      </c>
      <c r="H2834" s="12" t="n">
        <v>46226</v>
      </c>
      <c r="I2834" s="13" t="n">
        <v>0.3534953703703704</v>
      </c>
      <c r="J2834" s="14" t="n">
        <v>46226.35349537037</v>
      </c>
      <c r="K2834" s="15" t="n">
        <v>7823.63</v>
      </c>
      <c r="L2834" s="4" t="inlineStr">
        <is>
          <t>INR</t>
        </is>
      </c>
      <c r="M2834" s="15" t="n">
        <v>-7823.63</v>
      </c>
      <c r="N2834" s="4" t="inlineStr">
        <is>
          <t>IOS Owner</t>
        </is>
      </c>
      <c r="O2834" s="4" t="n"/>
      <c r="P2834" s="4" t="n"/>
      <c r="Q2834" s="4" t="inlineStr">
        <is>
          <t>MAESTRO-IOS-PERSONAL-LIFE_OPERATIONS-2833 | Rent | 7823.63</t>
        </is>
      </c>
      <c r="R2834" s="4" t="inlineStr">
        <is>
          <t>iPhone</t>
        </is>
      </c>
      <c r="S2834" s="4" t="inlineStr">
        <is>
          <t>B57</t>
        </is>
      </c>
      <c r="T2834" s="4" t="inlineStr">
        <is>
          <t>HIGH_2501_3000</t>
        </is>
      </c>
      <c r="U2834" s="4" t="inlineStr">
        <is>
          <t>CREATED</t>
        </is>
      </c>
      <c r="V2834" s="4" t="inlineStr">
        <is>
          <t>idem-20260902-ios-2833</t>
        </is>
      </c>
    </row>
    <row r="2835" ht="30" customHeight="1">
      <c r="A2835" s="4" t="n">
        <v>2834</v>
      </c>
      <c r="B2835" s="4" t="inlineStr">
        <is>
          <t>MTR-IOS-2834</t>
        </is>
      </c>
      <c r="C2835" s="4" t="inlineStr">
        <is>
          <t>Group</t>
        </is>
      </c>
      <c r="D2835" s="4" t="inlineStr">
        <is>
          <t>Shared Experience</t>
        </is>
      </c>
      <c r="E2835" s="4" t="inlineStr">
        <is>
          <t>Office Outing</t>
        </is>
      </c>
      <c r="F2835" s="4" t="inlineStr">
        <is>
          <t>Activities</t>
        </is>
      </c>
      <c r="G2835" s="4" t="inlineStr">
        <is>
          <t>Expense</t>
        </is>
      </c>
      <c r="H2835" s="12" t="n">
        <v>46090</v>
      </c>
      <c r="I2835" s="13" t="n">
        <v>0.4737847222222222</v>
      </c>
      <c r="J2835" s="14" t="n">
        <v>46090.47378472222</v>
      </c>
      <c r="K2835" s="15" t="n">
        <v>20032.75</v>
      </c>
      <c r="L2835" s="4" t="inlineStr">
        <is>
          <t>INR</t>
        </is>
      </c>
      <c r="M2835" s="15" t="n">
        <v>-20032.75</v>
      </c>
      <c r="N2835" s="4" t="inlineStr">
        <is>
          <t>IOS Meera</t>
        </is>
      </c>
      <c r="O2835" s="4" t="n">
        <v>3</v>
      </c>
      <c r="P2835" s="4" t="inlineStr">
        <is>
          <t>EQUAL</t>
        </is>
      </c>
      <c r="Q2835" s="4" t="inlineStr">
        <is>
          <t>MAESTRO-IOS-GROUP-OFFICE_OUTING-2834 | Activities | 20032.75</t>
        </is>
      </c>
      <c r="R2835" s="4" t="inlineStr">
        <is>
          <t>iPhone</t>
        </is>
      </c>
      <c r="S2835" s="4" t="inlineStr">
        <is>
          <t>B57</t>
        </is>
      </c>
      <c r="T2835" s="4" t="inlineStr">
        <is>
          <t>HIGH_2501_3000</t>
        </is>
      </c>
      <c r="U2835" s="4" t="inlineStr">
        <is>
          <t>CREATED</t>
        </is>
      </c>
      <c r="V2835" s="4" t="inlineStr">
        <is>
          <t>idem-20260902-ios-2834</t>
        </is>
      </c>
    </row>
    <row r="2836" ht="30" customHeight="1">
      <c r="A2836" s="4" t="n">
        <v>2835</v>
      </c>
      <c r="B2836" s="4" t="inlineStr">
        <is>
          <t>MTR-IOS-2835</t>
        </is>
      </c>
      <c r="C2836" s="4" t="inlineStr">
        <is>
          <t>Business</t>
        </is>
      </c>
      <c r="D2836" s="4" t="inlineStr">
        <is>
          <t>Business</t>
        </is>
      </c>
      <c r="E2836" s="4" t="inlineStr">
        <is>
          <t>Business Operations</t>
        </is>
      </c>
      <c r="F2836" s="4" t="inlineStr">
        <is>
          <t>Tax</t>
        </is>
      </c>
      <c r="G2836" s="4" t="inlineStr">
        <is>
          <t>Expense</t>
        </is>
      </c>
      <c r="H2836" s="12" t="n">
        <v>46182</v>
      </c>
      <c r="I2836" s="13" t="n">
        <v>0.9441087962962963</v>
      </c>
      <c r="J2836" s="14" t="n">
        <v>46182.9441087963</v>
      </c>
      <c r="K2836" s="15" t="n">
        <v>80056.78999999999</v>
      </c>
      <c r="L2836" s="4" t="inlineStr">
        <is>
          <t>INR</t>
        </is>
      </c>
      <c r="M2836" s="15" t="n">
        <v>-80056.78999999999</v>
      </c>
      <c r="N2836" s="4" t="inlineStr">
        <is>
          <t>IOS Owner</t>
        </is>
      </c>
      <c r="O2836" s="4" t="n"/>
      <c r="P2836" s="4" t="n"/>
      <c r="Q2836" s="4" t="inlineStr">
        <is>
          <t>MAESTRO-IOS-BUSINESS-BUSINESS_OPERATIONS-2835 | Tax | 80056.79</t>
        </is>
      </c>
      <c r="R2836" s="4" t="inlineStr">
        <is>
          <t>iPhone</t>
        </is>
      </c>
      <c r="S2836" s="4" t="inlineStr">
        <is>
          <t>B57</t>
        </is>
      </c>
      <c r="T2836" s="4" t="inlineStr">
        <is>
          <t>HIGH_2501_3000</t>
        </is>
      </c>
      <c r="U2836" s="4" t="inlineStr">
        <is>
          <t>CREATED</t>
        </is>
      </c>
      <c r="V2836" s="4" t="inlineStr">
        <is>
          <t>idem-20260902-ios-2835</t>
        </is>
      </c>
    </row>
    <row r="2837" ht="30" customHeight="1">
      <c r="A2837" s="4" t="n">
        <v>2836</v>
      </c>
      <c r="B2837" s="4" t="inlineStr">
        <is>
          <t>MTR-IOS-2836</t>
        </is>
      </c>
      <c r="C2837" s="4" t="inlineStr">
        <is>
          <t>Personal</t>
        </is>
      </c>
      <c r="D2837" s="4" t="inlineStr">
        <is>
          <t>Personal</t>
        </is>
      </c>
      <c r="E2837" s="4" t="inlineStr">
        <is>
          <t>Life Operations</t>
        </is>
      </c>
      <c r="F2837" s="4" t="inlineStr">
        <is>
          <t>Bills</t>
        </is>
      </c>
      <c r="G2837" s="4" t="inlineStr">
        <is>
          <t>Expense</t>
        </is>
      </c>
      <c r="H2837" s="12" t="n">
        <v>46095</v>
      </c>
      <c r="I2837" s="13" t="n">
        <v>0.658599537037037</v>
      </c>
      <c r="J2837" s="14" t="n">
        <v>46095.65859953704</v>
      </c>
      <c r="K2837" s="15" t="n">
        <v>10037.53</v>
      </c>
      <c r="L2837" s="4" t="inlineStr">
        <is>
          <t>INR</t>
        </is>
      </c>
      <c r="M2837" s="15" t="n">
        <v>-10037.53</v>
      </c>
      <c r="N2837" s="4" t="inlineStr">
        <is>
          <t>IOS Owner</t>
        </is>
      </c>
      <c r="O2837" s="4" t="n"/>
      <c r="P2837" s="4" t="n"/>
      <c r="Q2837" s="4" t="inlineStr">
        <is>
          <t>MAESTRO-IOS-PERSONAL-LIFE_OPERATIONS-2836 | Bills | 10037.53</t>
        </is>
      </c>
      <c r="R2837" s="4" t="inlineStr">
        <is>
          <t>iPhone</t>
        </is>
      </c>
      <c r="S2837" s="4" t="inlineStr">
        <is>
          <t>B57</t>
        </is>
      </c>
      <c r="T2837" s="4" t="inlineStr">
        <is>
          <t>HIGH_2501_3000</t>
        </is>
      </c>
      <c r="U2837" s="4" t="inlineStr">
        <is>
          <t>CREATED</t>
        </is>
      </c>
      <c r="V2837" s="4" t="inlineStr">
        <is>
          <t>idem-20260902-ios-2836</t>
        </is>
      </c>
    </row>
    <row r="2838" ht="30" customHeight="1">
      <c r="A2838" s="4" t="n">
        <v>2837</v>
      </c>
      <c r="B2838" s="4" t="inlineStr">
        <is>
          <t>MTR-IOS-2837</t>
        </is>
      </c>
      <c r="C2838" s="4" t="inlineStr">
        <is>
          <t>Group</t>
        </is>
      </c>
      <c r="D2838" s="4" t="inlineStr">
        <is>
          <t>Shared Experience</t>
        </is>
      </c>
      <c r="E2838" s="4" t="inlineStr">
        <is>
          <t>Office Outing</t>
        </is>
      </c>
      <c r="F2838" s="4" t="inlineStr">
        <is>
          <t>Venue</t>
        </is>
      </c>
      <c r="G2838" s="4" t="inlineStr">
        <is>
          <t>Expense</t>
        </is>
      </c>
      <c r="H2838" s="12" t="n">
        <v>46124</v>
      </c>
      <c r="I2838" s="13" t="n">
        <v>0.6452662037037037</v>
      </c>
      <c r="J2838" s="14" t="n">
        <v>46124.6452662037</v>
      </c>
      <c r="K2838" s="15" t="n">
        <v>3184.56</v>
      </c>
      <c r="L2838" s="4" t="inlineStr">
        <is>
          <t>INR</t>
        </is>
      </c>
      <c r="M2838" s="15" t="n">
        <v>-3184.56</v>
      </c>
      <c r="N2838" s="4" t="inlineStr">
        <is>
          <t>IOS Owner</t>
        </is>
      </c>
      <c r="O2838" s="4" t="n">
        <v>3</v>
      </c>
      <c r="P2838" s="4" t="inlineStr">
        <is>
          <t>PERCENTAGE</t>
        </is>
      </c>
      <c r="Q2838" s="4" t="inlineStr">
        <is>
          <t>MAESTRO-IOS-GROUP-OFFICE_OUTING-2837 | Venue | 3184.56</t>
        </is>
      </c>
      <c r="R2838" s="4" t="inlineStr">
        <is>
          <t>iPhone</t>
        </is>
      </c>
      <c r="S2838" s="4" t="inlineStr">
        <is>
          <t>B57</t>
        </is>
      </c>
      <c r="T2838" s="4" t="inlineStr">
        <is>
          <t>HIGH_2501_3000</t>
        </is>
      </c>
      <c r="U2838" s="4" t="inlineStr">
        <is>
          <t>CREATED</t>
        </is>
      </c>
      <c r="V2838" s="4" t="inlineStr">
        <is>
          <t>idem-20260902-ios-2837</t>
        </is>
      </c>
    </row>
    <row r="2839" ht="30" customHeight="1">
      <c r="A2839" s="4" t="n">
        <v>2838</v>
      </c>
      <c r="B2839" s="4" t="inlineStr">
        <is>
          <t>MTR-IOS-2838</t>
        </is>
      </c>
      <c r="C2839" s="4" t="inlineStr">
        <is>
          <t>Business</t>
        </is>
      </c>
      <c r="D2839" s="4" t="inlineStr">
        <is>
          <t>Business</t>
        </is>
      </c>
      <c r="E2839" s="4" t="inlineStr">
        <is>
          <t>Team Operations</t>
        </is>
      </c>
      <c r="F2839" s="4" t="inlineStr">
        <is>
          <t>Payroll</t>
        </is>
      </c>
      <c r="G2839" s="4" t="inlineStr">
        <is>
          <t>Expense</t>
        </is>
      </c>
      <c r="H2839" s="12" t="n">
        <v>45932</v>
      </c>
      <c r="I2839" s="13" t="n">
        <v>0.6994328703703704</v>
      </c>
      <c r="J2839" s="14" t="n">
        <v>45932.69943287037</v>
      </c>
      <c r="K2839" s="15" t="n">
        <v>85276.42</v>
      </c>
      <c r="L2839" s="4" t="inlineStr">
        <is>
          <t>INR</t>
        </is>
      </c>
      <c r="M2839" s="15" t="n">
        <v>-85276.42</v>
      </c>
      <c r="N2839" s="4" t="inlineStr">
        <is>
          <t>IOS Owner</t>
        </is>
      </c>
      <c r="O2839" s="4" t="n"/>
      <c r="P2839" s="4" t="n"/>
      <c r="Q2839" s="4" t="inlineStr">
        <is>
          <t>MAESTRO-IOS-BUSINESS-TEAM_OPERATIONS-2838 | Payroll | 85276.42</t>
        </is>
      </c>
      <c r="R2839" s="4" t="inlineStr">
        <is>
          <t>iPhone</t>
        </is>
      </c>
      <c r="S2839" s="4" t="inlineStr">
        <is>
          <t>B57</t>
        </is>
      </c>
      <c r="T2839" s="4" t="inlineStr">
        <is>
          <t>HIGH_2501_3000</t>
        </is>
      </c>
      <c r="U2839" s="4" t="inlineStr">
        <is>
          <t>CREATED</t>
        </is>
      </c>
      <c r="V2839" s="4" t="inlineStr">
        <is>
          <t>idem-20260902-ios-2838</t>
        </is>
      </c>
    </row>
    <row r="2840" ht="30" customHeight="1">
      <c r="A2840" s="4" t="n">
        <v>2839</v>
      </c>
      <c r="B2840" s="4" t="inlineStr">
        <is>
          <t>MTR-IOS-2839</t>
        </is>
      </c>
      <c r="C2840" s="4" t="inlineStr">
        <is>
          <t>Personal</t>
        </is>
      </c>
      <c r="D2840" s="4" t="inlineStr">
        <is>
          <t>Personal</t>
        </is>
      </c>
      <c r="E2840" s="4" t="inlineStr">
        <is>
          <t>Life Operations</t>
        </is>
      </c>
      <c r="F2840" s="4" t="inlineStr">
        <is>
          <t>Transport</t>
        </is>
      </c>
      <c r="G2840" s="4" t="inlineStr">
        <is>
          <t>Expense</t>
        </is>
      </c>
      <c r="H2840" s="12" t="n">
        <v>45988</v>
      </c>
      <c r="I2840" s="13" t="n">
        <v>0.220787037037037</v>
      </c>
      <c r="J2840" s="14" t="n">
        <v>45988.22078703704</v>
      </c>
      <c r="K2840" s="15" t="n">
        <v>8735.969999999999</v>
      </c>
      <c r="L2840" s="4" t="inlineStr">
        <is>
          <t>INR</t>
        </is>
      </c>
      <c r="M2840" s="15" t="n">
        <v>-8735.969999999999</v>
      </c>
      <c r="N2840" s="4" t="inlineStr">
        <is>
          <t>IOS Owner</t>
        </is>
      </c>
      <c r="O2840" s="4" t="n"/>
      <c r="P2840" s="4" t="n"/>
      <c r="Q2840" s="4" t="inlineStr">
        <is>
          <t>MAESTRO-IOS-PERSONAL-LIFE_OPERATIONS-2839 | Transport | 8735.97</t>
        </is>
      </c>
      <c r="R2840" s="4" t="inlineStr">
        <is>
          <t>iPhone</t>
        </is>
      </c>
      <c r="S2840" s="4" t="inlineStr">
        <is>
          <t>B57</t>
        </is>
      </c>
      <c r="T2840" s="4" t="inlineStr">
        <is>
          <t>HIGH_2501_3000</t>
        </is>
      </c>
      <c r="U2840" s="4" t="inlineStr">
        <is>
          <t>CREATED</t>
        </is>
      </c>
      <c r="V2840" s="4" t="inlineStr">
        <is>
          <t>idem-20260902-ios-2839</t>
        </is>
      </c>
    </row>
    <row r="2841" ht="30" customHeight="1">
      <c r="A2841" s="4" t="n">
        <v>2840</v>
      </c>
      <c r="B2841" s="4" t="inlineStr">
        <is>
          <t>MTR-IOS-2840</t>
        </is>
      </c>
      <c r="C2841" s="4" t="inlineStr">
        <is>
          <t>Group</t>
        </is>
      </c>
      <c r="D2841" s="4" t="inlineStr">
        <is>
          <t>Shared Experience</t>
        </is>
      </c>
      <c r="E2841" s="4" t="inlineStr">
        <is>
          <t>Office Outing</t>
        </is>
      </c>
      <c r="F2841" s="4" t="inlineStr">
        <is>
          <t>Other</t>
        </is>
      </c>
      <c r="G2841" s="4" t="inlineStr">
        <is>
          <t>Expense</t>
        </is>
      </c>
      <c r="H2841" s="12" t="n">
        <v>45925</v>
      </c>
      <c r="I2841" s="13" t="n">
        <v>0.4908333333333333</v>
      </c>
      <c r="J2841" s="14" t="n">
        <v>45925.49083333334</v>
      </c>
      <c r="K2841" s="15" t="n">
        <v>26607.08</v>
      </c>
      <c r="L2841" s="4" t="inlineStr">
        <is>
          <t>INR</t>
        </is>
      </c>
      <c r="M2841" s="15" t="n">
        <v>-26607.08</v>
      </c>
      <c r="N2841" s="4" t="inlineStr">
        <is>
          <t>IOS Aarav</t>
        </is>
      </c>
      <c r="O2841" s="4" t="n">
        <v>3</v>
      </c>
      <c r="P2841" s="4" t="inlineStr">
        <is>
          <t>EXACT</t>
        </is>
      </c>
      <c r="Q2841" s="4" t="inlineStr">
        <is>
          <t>MAESTRO-IOS-GROUP-OFFICE_OUTING-2840 | Other | 26607.08</t>
        </is>
      </c>
      <c r="R2841" s="4" t="inlineStr">
        <is>
          <t>iPhone</t>
        </is>
      </c>
      <c r="S2841" s="4" t="inlineStr">
        <is>
          <t>B57</t>
        </is>
      </c>
      <c r="T2841" s="4" t="inlineStr">
        <is>
          <t>HIGH_2501_3000</t>
        </is>
      </c>
      <c r="U2841" s="4" t="inlineStr">
        <is>
          <t>CREATED</t>
        </is>
      </c>
      <c r="V2841" s="4" t="inlineStr">
        <is>
          <t>idem-20260902-ios-2840</t>
        </is>
      </c>
    </row>
    <row r="2842" ht="30" customHeight="1">
      <c r="A2842" s="4" t="n">
        <v>2841</v>
      </c>
      <c r="B2842" s="4" t="inlineStr">
        <is>
          <t>MTR-IOS-2841</t>
        </is>
      </c>
      <c r="C2842" s="4" t="inlineStr">
        <is>
          <t>Business</t>
        </is>
      </c>
      <c r="D2842" s="4" t="inlineStr">
        <is>
          <t>Business</t>
        </is>
      </c>
      <c r="E2842" s="4" t="inlineStr">
        <is>
          <t>Team Operations</t>
        </is>
      </c>
      <c r="F2842" s="4" t="inlineStr">
        <is>
          <t>Contractor</t>
        </is>
      </c>
      <c r="G2842" s="4" t="inlineStr">
        <is>
          <t>Expense</t>
        </is>
      </c>
      <c r="H2842" s="12" t="n">
        <v>46117</v>
      </c>
      <c r="I2842" s="13" t="n">
        <v>0.01291666666666667</v>
      </c>
      <c r="J2842" s="14" t="n">
        <v>46117.01291666667</v>
      </c>
      <c r="K2842" s="15" t="n">
        <v>135576.98</v>
      </c>
      <c r="L2842" s="4" t="inlineStr">
        <is>
          <t>INR</t>
        </is>
      </c>
      <c r="M2842" s="15" t="n">
        <v>-135576.98</v>
      </c>
      <c r="N2842" s="4" t="inlineStr">
        <is>
          <t>IOS Owner</t>
        </is>
      </c>
      <c r="O2842" s="4" t="n"/>
      <c r="P2842" s="4" t="n"/>
      <c r="Q2842" s="4" t="inlineStr">
        <is>
          <t>MAESTRO-IOS-BUSINESS-TEAM_OPERATIONS-2841 | Contractor | 135576.98</t>
        </is>
      </c>
      <c r="R2842" s="4" t="inlineStr">
        <is>
          <t>iPhone</t>
        </is>
      </c>
      <c r="S2842" s="4" t="inlineStr">
        <is>
          <t>B57</t>
        </is>
      </c>
      <c r="T2842" s="4" t="inlineStr">
        <is>
          <t>HIGH_2501_3000</t>
        </is>
      </c>
      <c r="U2842" s="4" t="inlineStr">
        <is>
          <t>CREATED</t>
        </is>
      </c>
      <c r="V2842" s="4" t="inlineStr">
        <is>
          <t>idem-20260902-ios-2841</t>
        </is>
      </c>
    </row>
    <row r="2843" ht="30" customHeight="1">
      <c r="A2843" s="4" t="n">
        <v>2842</v>
      </c>
      <c r="B2843" s="4" t="inlineStr">
        <is>
          <t>MTR-IOS-2842</t>
        </is>
      </c>
      <c r="C2843" s="4" t="inlineStr">
        <is>
          <t>Personal</t>
        </is>
      </c>
      <c r="D2843" s="4" t="inlineStr">
        <is>
          <t>Personal</t>
        </is>
      </c>
      <c r="E2843" s="4" t="inlineStr">
        <is>
          <t>Life Operations</t>
        </is>
      </c>
      <c r="F2843" s="4" t="inlineStr">
        <is>
          <t>Healthcare</t>
        </is>
      </c>
      <c r="G2843" s="4" t="inlineStr">
        <is>
          <t>Expense</t>
        </is>
      </c>
      <c r="H2843" s="12" t="n">
        <v>45995</v>
      </c>
      <c r="I2843" s="13" t="n">
        <v>0.5648263888888889</v>
      </c>
      <c r="J2843" s="14" t="n">
        <v>45995.56482638889</v>
      </c>
      <c r="K2843" s="15" t="n">
        <v>4186.24</v>
      </c>
      <c r="L2843" s="4" t="inlineStr">
        <is>
          <t>INR</t>
        </is>
      </c>
      <c r="M2843" s="15" t="n">
        <v>-4186.24</v>
      </c>
      <c r="N2843" s="4" t="inlineStr">
        <is>
          <t>IOS Owner</t>
        </is>
      </c>
      <c r="O2843" s="4" t="n"/>
      <c r="P2843" s="4" t="n"/>
      <c r="Q2843" s="4" t="inlineStr">
        <is>
          <t>MAESTRO-IOS-PERSONAL-LIFE_OPERATIONS-2842 | Healthcare | 4186.24</t>
        </is>
      </c>
      <c r="R2843" s="4" t="inlineStr">
        <is>
          <t>iPhone</t>
        </is>
      </c>
      <c r="S2843" s="4" t="inlineStr">
        <is>
          <t>B57</t>
        </is>
      </c>
      <c r="T2843" s="4" t="inlineStr">
        <is>
          <t>HIGH_2501_3000</t>
        </is>
      </c>
      <c r="U2843" s="4" t="inlineStr">
        <is>
          <t>CREATED</t>
        </is>
      </c>
      <c r="V2843" s="4" t="inlineStr">
        <is>
          <t>idem-20260902-ios-2842</t>
        </is>
      </c>
    </row>
    <row r="2844" ht="30" customHeight="1">
      <c r="A2844" s="4" t="n">
        <v>2843</v>
      </c>
      <c r="B2844" s="4" t="inlineStr">
        <is>
          <t>MTR-IOS-2843</t>
        </is>
      </c>
      <c r="C2844" s="4" t="inlineStr">
        <is>
          <t>Group</t>
        </is>
      </c>
      <c r="D2844" s="4" t="inlineStr">
        <is>
          <t>Shared Experience</t>
        </is>
      </c>
      <c r="E2844" s="4" t="inlineStr">
        <is>
          <t>House Party</t>
        </is>
      </c>
      <c r="F2844" s="4" t="inlineStr">
        <is>
          <t>Food</t>
        </is>
      </c>
      <c r="G2844" s="4" t="inlineStr">
        <is>
          <t>Expense</t>
        </is>
      </c>
      <c r="H2844" s="12" t="n">
        <v>46057</v>
      </c>
      <c r="I2844" s="13" t="n">
        <v>0.573587962962963</v>
      </c>
      <c r="J2844" s="14" t="n">
        <v>46057.57358796296</v>
      </c>
      <c r="K2844" s="15" t="n">
        <v>11429.06</v>
      </c>
      <c r="L2844" s="4" t="inlineStr">
        <is>
          <t>INR</t>
        </is>
      </c>
      <c r="M2844" s="15" t="n">
        <v>-11429.06</v>
      </c>
      <c r="N2844" s="4" t="inlineStr">
        <is>
          <t>IOS Meera</t>
        </is>
      </c>
      <c r="O2844" s="4" t="n">
        <v>3</v>
      </c>
      <c r="P2844" s="4" t="inlineStr">
        <is>
          <t>SHARES</t>
        </is>
      </c>
      <c r="Q2844" s="4" t="inlineStr">
        <is>
          <t>MAESTRO-IOS-GROUP-HOUSE_PARTY-2843 | Food | 11429.06</t>
        </is>
      </c>
      <c r="R2844" s="4" t="inlineStr">
        <is>
          <t>iPhone</t>
        </is>
      </c>
      <c r="S2844" s="4" t="inlineStr">
        <is>
          <t>B57</t>
        </is>
      </c>
      <c r="T2844" s="4" t="inlineStr">
        <is>
          <t>HIGH_2501_3000</t>
        </is>
      </c>
      <c r="U2844" s="4" t="inlineStr">
        <is>
          <t>CREATED</t>
        </is>
      </c>
      <c r="V2844" s="4" t="inlineStr">
        <is>
          <t>idem-20260902-ios-2843</t>
        </is>
      </c>
    </row>
    <row r="2845" ht="30" customHeight="1">
      <c r="A2845" s="4" t="n">
        <v>2844</v>
      </c>
      <c r="B2845" s="4" t="inlineStr">
        <is>
          <t>MTR-IOS-2844</t>
        </is>
      </c>
      <c r="C2845" s="4" t="inlineStr">
        <is>
          <t>Business</t>
        </is>
      </c>
      <c r="D2845" s="4" t="inlineStr">
        <is>
          <t>Business</t>
        </is>
      </c>
      <c r="E2845" s="4" t="inlineStr">
        <is>
          <t>Team Operations</t>
        </is>
      </c>
      <c r="F2845" s="4" t="inlineStr">
        <is>
          <t>Hiring</t>
        </is>
      </c>
      <c r="G2845" s="4" t="inlineStr">
        <is>
          <t>Expense</t>
        </is>
      </c>
      <c r="H2845" s="12" t="n">
        <v>46156</v>
      </c>
      <c r="I2845" s="13" t="n">
        <v>0.5772337962962963</v>
      </c>
      <c r="J2845" s="14" t="n">
        <v>46156.5772337963</v>
      </c>
      <c r="K2845" s="15" t="n">
        <v>122674.65</v>
      </c>
      <c r="L2845" s="4" t="inlineStr">
        <is>
          <t>INR</t>
        </is>
      </c>
      <c r="M2845" s="15" t="n">
        <v>-122674.65</v>
      </c>
      <c r="N2845" s="4" t="inlineStr">
        <is>
          <t>IOS Owner</t>
        </is>
      </c>
      <c r="O2845" s="4" t="n"/>
      <c r="P2845" s="4" t="n"/>
      <c r="Q2845" s="4" t="inlineStr">
        <is>
          <t>MAESTRO-IOS-BUSINESS-TEAM_OPERATIONS-2844 | Hiring | 122674.65</t>
        </is>
      </c>
      <c r="R2845" s="4" t="inlineStr">
        <is>
          <t>iPhone</t>
        </is>
      </c>
      <c r="S2845" s="4" t="inlineStr">
        <is>
          <t>B57</t>
        </is>
      </c>
      <c r="T2845" s="4" t="inlineStr">
        <is>
          <t>HIGH_2501_3000</t>
        </is>
      </c>
      <c r="U2845" s="4" t="inlineStr">
        <is>
          <t>CREATED</t>
        </is>
      </c>
      <c r="V2845" s="4" t="inlineStr">
        <is>
          <t>idem-20260902-ios-2844</t>
        </is>
      </c>
    </row>
    <row r="2846" ht="30" customHeight="1">
      <c r="A2846" s="4" t="n">
        <v>2845</v>
      </c>
      <c r="B2846" s="4" t="inlineStr">
        <is>
          <t>MTR-IOS-2845</t>
        </is>
      </c>
      <c r="C2846" s="4" t="inlineStr">
        <is>
          <t>Personal</t>
        </is>
      </c>
      <c r="D2846" s="4" t="inlineStr">
        <is>
          <t>Personal</t>
        </is>
      </c>
      <c r="E2846" s="4" t="inlineStr">
        <is>
          <t>Life Operations</t>
        </is>
      </c>
      <c r="F2846" s="4" t="inlineStr">
        <is>
          <t>Subscriptions</t>
        </is>
      </c>
      <c r="G2846" s="4" t="inlineStr">
        <is>
          <t>Expense</t>
        </is>
      </c>
      <c r="H2846" s="12" t="n">
        <v>46249</v>
      </c>
      <c r="I2846" s="13" t="n">
        <v>0.1334837962962963</v>
      </c>
      <c r="J2846" s="14" t="n">
        <v>46249.13348379629</v>
      </c>
      <c r="K2846" s="15" t="n">
        <v>13064.2</v>
      </c>
      <c r="L2846" s="4" t="inlineStr">
        <is>
          <t>INR</t>
        </is>
      </c>
      <c r="M2846" s="15" t="n">
        <v>-13064.2</v>
      </c>
      <c r="N2846" s="4" t="inlineStr">
        <is>
          <t>IOS Owner</t>
        </is>
      </c>
      <c r="O2846" s="4" t="n"/>
      <c r="P2846" s="4" t="n"/>
      <c r="Q2846" s="4" t="inlineStr">
        <is>
          <t>MAESTRO-IOS-PERSONAL-LIFE_OPERATIONS-2845 | Subscriptions | 13064.20</t>
        </is>
      </c>
      <c r="R2846" s="4" t="inlineStr">
        <is>
          <t>iPhone</t>
        </is>
      </c>
      <c r="S2846" s="4" t="inlineStr">
        <is>
          <t>B57</t>
        </is>
      </c>
      <c r="T2846" s="4" t="inlineStr">
        <is>
          <t>HIGH_2501_3000</t>
        </is>
      </c>
      <c r="U2846" s="4" t="inlineStr">
        <is>
          <t>CREATED</t>
        </is>
      </c>
      <c r="V2846" s="4" t="inlineStr">
        <is>
          <t>idem-20260902-ios-2845</t>
        </is>
      </c>
    </row>
    <row r="2847" ht="30" customHeight="1">
      <c r="A2847" s="4" t="n">
        <v>2846</v>
      </c>
      <c r="B2847" s="4" t="inlineStr">
        <is>
          <t>MTR-IOS-2846</t>
        </is>
      </c>
      <c r="C2847" s="4" t="inlineStr">
        <is>
          <t>Group</t>
        </is>
      </c>
      <c r="D2847" s="4" t="inlineStr">
        <is>
          <t>Shared Experience</t>
        </is>
      </c>
      <c r="E2847" s="4" t="inlineStr">
        <is>
          <t>House Party</t>
        </is>
      </c>
      <c r="F2847" s="4" t="inlineStr">
        <is>
          <t>Drinks</t>
        </is>
      </c>
      <c r="G2847" s="4" t="inlineStr">
        <is>
          <t>Expense</t>
        </is>
      </c>
      <c r="H2847" s="12" t="n">
        <v>46092</v>
      </c>
      <c r="I2847" s="13" t="n">
        <v>0.957962962962963</v>
      </c>
      <c r="J2847" s="14" t="n">
        <v>46092.95796296297</v>
      </c>
      <c r="K2847" s="15" t="n">
        <v>9939.24</v>
      </c>
      <c r="L2847" s="4" t="inlineStr">
        <is>
          <t>INR</t>
        </is>
      </c>
      <c r="M2847" s="15" t="n">
        <v>-9939.24</v>
      </c>
      <c r="N2847" s="4" t="inlineStr">
        <is>
          <t>IOS Owner</t>
        </is>
      </c>
      <c r="O2847" s="4" t="n">
        <v>3</v>
      </c>
      <c r="P2847" s="4" t="inlineStr">
        <is>
          <t>EQUAL</t>
        </is>
      </c>
      <c r="Q2847" s="4" t="inlineStr">
        <is>
          <t>MAESTRO-IOS-GROUP-HOUSE_PARTY-2846 | Drinks | 9939.24</t>
        </is>
      </c>
      <c r="R2847" s="4" t="inlineStr">
        <is>
          <t>iPhone</t>
        </is>
      </c>
      <c r="S2847" s="4" t="inlineStr">
        <is>
          <t>B57</t>
        </is>
      </c>
      <c r="T2847" s="4" t="inlineStr">
        <is>
          <t>HIGH_2501_3000</t>
        </is>
      </c>
      <c r="U2847" s="4" t="inlineStr">
        <is>
          <t>CREATED</t>
        </is>
      </c>
      <c r="V2847" s="4" t="inlineStr">
        <is>
          <t>idem-20260902-ios-2846</t>
        </is>
      </c>
    </row>
    <row r="2848" ht="30" customHeight="1">
      <c r="A2848" s="4" t="n">
        <v>2847</v>
      </c>
      <c r="B2848" s="4" t="inlineStr">
        <is>
          <t>MTR-IOS-2847</t>
        </is>
      </c>
      <c r="C2848" s="4" t="inlineStr">
        <is>
          <t>Business</t>
        </is>
      </c>
      <c r="D2848" s="4" t="inlineStr">
        <is>
          <t>Business</t>
        </is>
      </c>
      <c r="E2848" s="4" t="inlineStr">
        <is>
          <t>Team Operations</t>
        </is>
      </c>
      <c r="F2848" s="4" t="inlineStr">
        <is>
          <t>Team Meal</t>
        </is>
      </c>
      <c r="G2848" s="4" t="inlineStr">
        <is>
          <t>Expense</t>
        </is>
      </c>
      <c r="H2848" s="12" t="n">
        <v>46169</v>
      </c>
      <c r="I2848" s="13" t="n">
        <v>0.7448958333333333</v>
      </c>
      <c r="J2848" s="14" t="n">
        <v>46169.74489583333</v>
      </c>
      <c r="K2848" s="15" t="n">
        <v>38908.23</v>
      </c>
      <c r="L2848" s="4" t="inlineStr">
        <is>
          <t>INR</t>
        </is>
      </c>
      <c r="M2848" s="15" t="n">
        <v>-38908.23</v>
      </c>
      <c r="N2848" s="4" t="inlineStr">
        <is>
          <t>IOS Owner</t>
        </is>
      </c>
      <c r="O2848" s="4" t="n"/>
      <c r="P2848" s="4" t="n"/>
      <c r="Q2848" s="4" t="inlineStr">
        <is>
          <t>MAESTRO-IOS-BUSINESS-TEAM_OPERATIONS-2847 | Team Meal | 38908.23</t>
        </is>
      </c>
      <c r="R2848" s="4" t="inlineStr">
        <is>
          <t>iPhone</t>
        </is>
      </c>
      <c r="S2848" s="4" t="inlineStr">
        <is>
          <t>B57</t>
        </is>
      </c>
      <c r="T2848" s="4" t="inlineStr">
        <is>
          <t>HIGH_2501_3000</t>
        </is>
      </c>
      <c r="U2848" s="4" t="inlineStr">
        <is>
          <t>CREATED</t>
        </is>
      </c>
      <c r="V2848" s="4" t="inlineStr">
        <is>
          <t>idem-20260902-ios-2847</t>
        </is>
      </c>
    </row>
    <row r="2849" ht="30" customHeight="1">
      <c r="A2849" s="4" t="n">
        <v>2848</v>
      </c>
      <c r="B2849" s="4" t="inlineStr">
        <is>
          <t>MTR-IOS-2848</t>
        </is>
      </c>
      <c r="C2849" s="4" t="inlineStr">
        <is>
          <t>Personal</t>
        </is>
      </c>
      <c r="D2849" s="4" t="inlineStr">
        <is>
          <t>Personal</t>
        </is>
      </c>
      <c r="E2849" s="4" t="inlineStr">
        <is>
          <t>Life Operations</t>
        </is>
      </c>
      <c r="F2849" s="4" t="inlineStr">
        <is>
          <t>Repairs</t>
        </is>
      </c>
      <c r="G2849" s="4" t="inlineStr">
        <is>
          <t>Expense</t>
        </is>
      </c>
      <c r="H2849" s="12" t="n">
        <v>45944</v>
      </c>
      <c r="I2849" s="13" t="n">
        <v>0.7775115740740741</v>
      </c>
      <c r="J2849" s="14" t="n">
        <v>45944.77751157407</v>
      </c>
      <c r="K2849" s="15" t="n">
        <v>490.97</v>
      </c>
      <c r="L2849" s="4" t="inlineStr">
        <is>
          <t>INR</t>
        </is>
      </c>
      <c r="M2849" s="15" t="n">
        <v>-490.97</v>
      </c>
      <c r="N2849" s="4" t="inlineStr">
        <is>
          <t>IOS Owner</t>
        </is>
      </c>
      <c r="O2849" s="4" t="n"/>
      <c r="P2849" s="4" t="n"/>
      <c r="Q2849" s="4" t="inlineStr">
        <is>
          <t>MAESTRO-IOS-PERSONAL-LIFE_OPERATIONS-2848 | Repairs | 490.97</t>
        </is>
      </c>
      <c r="R2849" s="4" t="inlineStr">
        <is>
          <t>iPhone</t>
        </is>
      </c>
      <c r="S2849" s="4" t="inlineStr">
        <is>
          <t>B57</t>
        </is>
      </c>
      <c r="T2849" s="4" t="inlineStr">
        <is>
          <t>HIGH_2501_3000</t>
        </is>
      </c>
      <c r="U2849" s="4" t="inlineStr">
        <is>
          <t>CREATED</t>
        </is>
      </c>
      <c r="V2849" s="4" t="inlineStr">
        <is>
          <t>idem-20260902-ios-2848</t>
        </is>
      </c>
    </row>
    <row r="2850" ht="30" customHeight="1">
      <c r="A2850" s="4" t="n">
        <v>2849</v>
      </c>
      <c r="B2850" s="4" t="inlineStr">
        <is>
          <t>MTR-IOS-2849</t>
        </is>
      </c>
      <c r="C2850" s="4" t="inlineStr">
        <is>
          <t>Group</t>
        </is>
      </c>
      <c r="D2850" s="4" t="inlineStr">
        <is>
          <t>Shared Experience</t>
        </is>
      </c>
      <c r="E2850" s="4" t="inlineStr">
        <is>
          <t>House Party</t>
        </is>
      </c>
      <c r="F2850" s="4" t="inlineStr">
        <is>
          <t>Decor</t>
        </is>
      </c>
      <c r="G2850" s="4" t="inlineStr">
        <is>
          <t>Expense</t>
        </is>
      </c>
      <c r="H2850" s="12" t="n">
        <v>46168</v>
      </c>
      <c r="I2850" s="13" t="n">
        <v>0.05520833333333333</v>
      </c>
      <c r="J2850" s="14" t="n">
        <v>46168.05520833333</v>
      </c>
      <c r="K2850" s="15" t="n">
        <v>10000</v>
      </c>
      <c r="L2850" s="4" t="inlineStr">
        <is>
          <t>INR</t>
        </is>
      </c>
      <c r="M2850" s="15" t="n">
        <v>-10000</v>
      </c>
      <c r="N2850" s="4" t="inlineStr">
        <is>
          <t>IOS Aarav</t>
        </is>
      </c>
      <c r="O2850" s="4" t="n">
        <v>3</v>
      </c>
      <c r="P2850" s="4" t="inlineStr">
        <is>
          <t>PERCENTAGE</t>
        </is>
      </c>
      <c r="Q2850" s="4" t="inlineStr">
        <is>
          <t>MAESTRO-IOS-GROUP-HOUSE_PARTY-2849 | Decor | 10000.00</t>
        </is>
      </c>
      <c r="R2850" s="4" t="inlineStr">
        <is>
          <t>iPhone</t>
        </is>
      </c>
      <c r="S2850" s="4" t="inlineStr">
        <is>
          <t>B57</t>
        </is>
      </c>
      <c r="T2850" s="4" t="inlineStr">
        <is>
          <t>HIGH_2501_3000</t>
        </is>
      </c>
      <c r="U2850" s="4" t="inlineStr">
        <is>
          <t>CREATED</t>
        </is>
      </c>
      <c r="V2850" s="4" t="inlineStr">
        <is>
          <t>idem-20260902-ios-2849</t>
        </is>
      </c>
    </row>
    <row r="2851" ht="30" customHeight="1">
      <c r="A2851" s="4" t="n">
        <v>2850</v>
      </c>
      <c r="B2851" s="4" t="inlineStr">
        <is>
          <t>MTR-IOS-2850</t>
        </is>
      </c>
      <c r="C2851" s="4" t="inlineStr">
        <is>
          <t>Business</t>
        </is>
      </c>
      <c r="D2851" s="4" t="inlineStr">
        <is>
          <t>Business</t>
        </is>
      </c>
      <c r="E2851" s="4" t="inlineStr">
        <is>
          <t>Team Operations</t>
        </is>
      </c>
      <c r="F2851" s="4" t="inlineStr">
        <is>
          <t>Travel</t>
        </is>
      </c>
      <c r="G2851" s="4" t="inlineStr">
        <is>
          <t>Expense</t>
        </is>
      </c>
      <c r="H2851" s="12" t="n">
        <v>46153</v>
      </c>
      <c r="I2851" s="13" t="n">
        <v>0.6693171296296296</v>
      </c>
      <c r="J2851" s="14" t="n">
        <v>46153.66931712963</v>
      </c>
      <c r="K2851" s="15" t="n">
        <v>136535.2</v>
      </c>
      <c r="L2851" s="4" t="inlineStr">
        <is>
          <t>INR</t>
        </is>
      </c>
      <c r="M2851" s="15" t="n">
        <v>-136535.2</v>
      </c>
      <c r="N2851" s="4" t="inlineStr">
        <is>
          <t>IOS Owner</t>
        </is>
      </c>
      <c r="O2851" s="4" t="n"/>
      <c r="P2851" s="4" t="n"/>
      <c r="Q2851" s="4" t="inlineStr">
        <is>
          <t>MAESTRO-IOS-BUSINESS-TEAM_OPERATIONS-2850 | Travel | 136535.20</t>
        </is>
      </c>
      <c r="R2851" s="4" t="inlineStr">
        <is>
          <t>iPhone</t>
        </is>
      </c>
      <c r="S2851" s="4" t="inlineStr">
        <is>
          <t>B57</t>
        </is>
      </c>
      <c r="T2851" s="4" t="inlineStr">
        <is>
          <t>HIGH_2501_3000</t>
        </is>
      </c>
      <c r="U2851" s="4" t="inlineStr">
        <is>
          <t>CREATED</t>
        </is>
      </c>
      <c r="V2851" s="4" t="inlineStr">
        <is>
          <t>idem-20260902-ios-2850</t>
        </is>
      </c>
    </row>
    <row r="2852" ht="30" customHeight="1">
      <c r="A2852" s="4" t="n">
        <v>2851</v>
      </c>
      <c r="B2852" s="4" t="inlineStr">
        <is>
          <t>MTR-IOS-2851</t>
        </is>
      </c>
      <c r="C2852" s="4" t="inlineStr">
        <is>
          <t>Personal</t>
        </is>
      </c>
      <c r="D2852" s="4" t="inlineStr">
        <is>
          <t>Personal</t>
        </is>
      </c>
      <c r="E2852" s="4" t="inlineStr">
        <is>
          <t>Future Building</t>
        </is>
      </c>
      <c r="F2852" s="4" t="inlineStr">
        <is>
          <t>Savings</t>
        </is>
      </c>
      <c r="G2852" s="4" t="inlineStr">
        <is>
          <t>Transfer</t>
        </is>
      </c>
      <c r="H2852" s="12" t="n">
        <v>46217</v>
      </c>
      <c r="I2852" s="13" t="n">
        <v>0.8406018518518519</v>
      </c>
      <c r="J2852" s="14" t="n">
        <v>46217.84060185185</v>
      </c>
      <c r="K2852" s="15" t="n">
        <v>5068.4</v>
      </c>
      <c r="L2852" s="4" t="inlineStr">
        <is>
          <t>INR</t>
        </is>
      </c>
      <c r="M2852" s="15" t="n">
        <v>0</v>
      </c>
      <c r="N2852" s="4" t="inlineStr">
        <is>
          <t>IOS Owner</t>
        </is>
      </c>
      <c r="O2852" s="4" t="n"/>
      <c r="P2852" s="4" t="n"/>
      <c r="Q2852" s="4" t="inlineStr">
        <is>
          <t>MAESTRO-IOS-PERSONAL-FUTURE_BUILDING-2851 | Savings | 5068.40</t>
        </is>
      </c>
      <c r="R2852" s="4" t="inlineStr">
        <is>
          <t>iPhone</t>
        </is>
      </c>
      <c r="S2852" s="4" t="inlineStr">
        <is>
          <t>B58</t>
        </is>
      </c>
      <c r="T2852" s="4" t="inlineStr">
        <is>
          <t>HIGH_2501_3000</t>
        </is>
      </c>
      <c r="U2852" s="4" t="inlineStr">
        <is>
          <t>CREATED</t>
        </is>
      </c>
      <c r="V2852" s="4" t="inlineStr">
        <is>
          <t>idem-20260902-ios-2851</t>
        </is>
      </c>
    </row>
    <row r="2853" ht="30" customHeight="1">
      <c r="A2853" s="4" t="n">
        <v>2852</v>
      </c>
      <c r="B2853" s="4" t="inlineStr">
        <is>
          <t>MTR-IOS-2852</t>
        </is>
      </c>
      <c r="C2853" s="4" t="inlineStr">
        <is>
          <t>Group</t>
        </is>
      </c>
      <c r="D2853" s="4" t="inlineStr">
        <is>
          <t>Shared Experience</t>
        </is>
      </c>
      <c r="E2853" s="4" t="inlineStr">
        <is>
          <t>House Party</t>
        </is>
      </c>
      <c r="F2853" s="4" t="inlineStr">
        <is>
          <t>Supplies</t>
        </is>
      </c>
      <c r="G2853" s="4" t="inlineStr">
        <is>
          <t>Expense</t>
        </is>
      </c>
      <c r="H2853" s="12" t="n">
        <v>46217</v>
      </c>
      <c r="I2853" s="13" t="n">
        <v>0.6217476851851852</v>
      </c>
      <c r="J2853" s="14" t="n">
        <v>46217.62174768518</v>
      </c>
      <c r="K2853" s="15" t="n">
        <v>4515.72</v>
      </c>
      <c r="L2853" s="4" t="inlineStr">
        <is>
          <t>INR</t>
        </is>
      </c>
      <c r="M2853" s="15" t="n">
        <v>-4515.72</v>
      </c>
      <c r="N2853" s="4" t="inlineStr">
        <is>
          <t>IOS Meera</t>
        </is>
      </c>
      <c r="O2853" s="4" t="n">
        <v>3</v>
      </c>
      <c r="P2853" s="4" t="inlineStr">
        <is>
          <t>EXACT</t>
        </is>
      </c>
      <c r="Q2853" s="4" t="inlineStr">
        <is>
          <t>MAESTRO-IOS-GROUP-HOUSE_PARTY-2852 | Supplies | 4515.72</t>
        </is>
      </c>
      <c r="R2853" s="4" t="inlineStr">
        <is>
          <t>iPhone</t>
        </is>
      </c>
      <c r="S2853" s="4" t="inlineStr">
        <is>
          <t>B58</t>
        </is>
      </c>
      <c r="T2853" s="4" t="inlineStr">
        <is>
          <t>HIGH_2501_3000</t>
        </is>
      </c>
      <c r="U2853" s="4" t="inlineStr">
        <is>
          <t>CREATED</t>
        </is>
      </c>
      <c r="V2853" s="4" t="inlineStr">
        <is>
          <t>idem-20260902-ios-2852</t>
        </is>
      </c>
    </row>
    <row r="2854" ht="30" customHeight="1">
      <c r="A2854" s="4" t="n">
        <v>2853</v>
      </c>
      <c r="B2854" s="4" t="inlineStr">
        <is>
          <t>MTR-IOS-2853</t>
        </is>
      </c>
      <c r="C2854" s="4" t="inlineStr">
        <is>
          <t>Business</t>
        </is>
      </c>
      <c r="D2854" s="4" t="inlineStr">
        <is>
          <t>Business</t>
        </is>
      </c>
      <c r="E2854" s="4" t="inlineStr">
        <is>
          <t>Team Operations</t>
        </is>
      </c>
      <c r="F2854" s="4" t="inlineStr">
        <is>
          <t>Training</t>
        </is>
      </c>
      <c r="G2854" s="4" t="inlineStr">
        <is>
          <t>Expense</t>
        </is>
      </c>
      <c r="H2854" s="12" t="n">
        <v>46158</v>
      </c>
      <c r="I2854" s="13" t="n">
        <v>0.9464583333333333</v>
      </c>
      <c r="J2854" s="14" t="n">
        <v>46158.94645833333</v>
      </c>
      <c r="K2854" s="15" t="n">
        <v>87244.77</v>
      </c>
      <c r="L2854" s="4" t="inlineStr">
        <is>
          <t>INR</t>
        </is>
      </c>
      <c r="M2854" s="15" t="n">
        <v>-87244.77</v>
      </c>
      <c r="N2854" s="4" t="inlineStr">
        <is>
          <t>IOS Owner</t>
        </is>
      </c>
      <c r="O2854" s="4" t="n"/>
      <c r="P2854" s="4" t="n"/>
      <c r="Q2854" s="4" t="inlineStr">
        <is>
          <t>MAESTRO-IOS-BUSINESS-TEAM_OPERATIONS-2853 | Training | 87244.77</t>
        </is>
      </c>
      <c r="R2854" s="4" t="inlineStr">
        <is>
          <t>iPhone</t>
        </is>
      </c>
      <c r="S2854" s="4" t="inlineStr">
        <is>
          <t>B58</t>
        </is>
      </c>
      <c r="T2854" s="4" t="inlineStr">
        <is>
          <t>HIGH_2501_3000</t>
        </is>
      </c>
      <c r="U2854" s="4" t="inlineStr">
        <is>
          <t>CREATED</t>
        </is>
      </c>
      <c r="V2854" s="4" t="inlineStr">
        <is>
          <t>idem-20260902-ios-2853</t>
        </is>
      </c>
    </row>
    <row r="2855" ht="30" customHeight="1">
      <c r="A2855" s="4" t="n">
        <v>2854</v>
      </c>
      <c r="B2855" s="4" t="inlineStr">
        <is>
          <t>MTR-IOS-2854</t>
        </is>
      </c>
      <c r="C2855" s="4" t="inlineStr">
        <is>
          <t>Personal</t>
        </is>
      </c>
      <c r="D2855" s="4" t="inlineStr">
        <is>
          <t>Personal</t>
        </is>
      </c>
      <c r="E2855" s="4" t="inlineStr">
        <is>
          <t>Future Building</t>
        </is>
      </c>
      <c r="F2855" s="4" t="inlineStr">
        <is>
          <t>Emergency Fund</t>
        </is>
      </c>
      <c r="G2855" s="4" t="inlineStr">
        <is>
          <t>Transfer</t>
        </is>
      </c>
      <c r="H2855" s="12" t="n">
        <v>46133</v>
      </c>
      <c r="I2855" s="13" t="n">
        <v>0.8913888888888889</v>
      </c>
      <c r="J2855" s="14" t="n">
        <v>46133.89138888889</v>
      </c>
      <c r="K2855" s="15" t="n">
        <v>8818.4</v>
      </c>
      <c r="L2855" s="4" t="inlineStr">
        <is>
          <t>INR</t>
        </is>
      </c>
      <c r="M2855" s="15" t="n">
        <v>0</v>
      </c>
      <c r="N2855" s="4" t="inlineStr">
        <is>
          <t>IOS Owner</t>
        </is>
      </c>
      <c r="O2855" s="4" t="n"/>
      <c r="P2855" s="4" t="n"/>
      <c r="Q2855" s="4" t="inlineStr">
        <is>
          <t>MAESTRO-IOS-PERSONAL-FUTURE_BUILDING-2854 | Emergency Fund | 8818.40</t>
        </is>
      </c>
      <c r="R2855" s="4" t="inlineStr">
        <is>
          <t>iPhone</t>
        </is>
      </c>
      <c r="S2855" s="4" t="inlineStr">
        <is>
          <t>B58</t>
        </is>
      </c>
      <c r="T2855" s="4" t="inlineStr">
        <is>
          <t>HIGH_2501_3000</t>
        </is>
      </c>
      <c r="U2855" s="4" t="inlineStr">
        <is>
          <t>CREATED</t>
        </is>
      </c>
      <c r="V2855" s="4" t="inlineStr">
        <is>
          <t>idem-20260902-ios-2854</t>
        </is>
      </c>
    </row>
    <row r="2856" ht="30" customHeight="1">
      <c r="A2856" s="4" t="n">
        <v>2855</v>
      </c>
      <c r="B2856" s="4" t="inlineStr">
        <is>
          <t>MTR-IOS-2855</t>
        </is>
      </c>
      <c r="C2856" s="4" t="inlineStr">
        <is>
          <t>Group</t>
        </is>
      </c>
      <c r="D2856" s="4" t="inlineStr">
        <is>
          <t>Shared Experience</t>
        </is>
      </c>
      <c r="E2856" s="4" t="inlineStr">
        <is>
          <t>House Party</t>
        </is>
      </c>
      <c r="F2856" s="4" t="inlineStr">
        <is>
          <t>Other</t>
        </is>
      </c>
      <c r="G2856" s="4" t="inlineStr">
        <is>
          <t>Expense</t>
        </is>
      </c>
      <c r="H2856" s="12" t="n">
        <v>46040</v>
      </c>
      <c r="I2856" s="13" t="n">
        <v>0.3151851851851852</v>
      </c>
      <c r="J2856" s="14" t="n">
        <v>46040.31518518519</v>
      </c>
      <c r="K2856" s="15" t="n">
        <v>25072.38</v>
      </c>
      <c r="L2856" s="4" t="inlineStr">
        <is>
          <t>INR</t>
        </is>
      </c>
      <c r="M2856" s="15" t="n">
        <v>-25072.38</v>
      </c>
      <c r="N2856" s="4" t="inlineStr">
        <is>
          <t>IOS Owner</t>
        </is>
      </c>
      <c r="O2856" s="4" t="n">
        <v>3</v>
      </c>
      <c r="P2856" s="4" t="inlineStr">
        <is>
          <t>SHARES</t>
        </is>
      </c>
      <c r="Q2856" s="4" t="inlineStr">
        <is>
          <t>MAESTRO-IOS-GROUP-HOUSE_PARTY-2855 | Other | 25072.38</t>
        </is>
      </c>
      <c r="R2856" s="4" t="inlineStr">
        <is>
          <t>iPhone</t>
        </is>
      </c>
      <c r="S2856" s="4" t="inlineStr">
        <is>
          <t>B58</t>
        </is>
      </c>
      <c r="T2856" s="4" t="inlineStr">
        <is>
          <t>HIGH_2501_3000</t>
        </is>
      </c>
      <c r="U2856" s="4" t="inlineStr">
        <is>
          <t>CREATED</t>
        </is>
      </c>
      <c r="V2856" s="4" t="inlineStr">
        <is>
          <t>idem-20260902-ios-2855</t>
        </is>
      </c>
    </row>
    <row r="2857" ht="30" customHeight="1">
      <c r="A2857" s="4" t="n">
        <v>2856</v>
      </c>
      <c r="B2857" s="4" t="inlineStr">
        <is>
          <t>MTR-IOS-2856</t>
        </is>
      </c>
      <c r="C2857" s="4" t="inlineStr">
        <is>
          <t>Business</t>
        </is>
      </c>
      <c r="D2857" s="4" t="inlineStr">
        <is>
          <t>Business</t>
        </is>
      </c>
      <c r="E2857" s="4" t="inlineStr">
        <is>
          <t>Team Operations</t>
        </is>
      </c>
      <c r="F2857" s="4" t="inlineStr">
        <is>
          <t>Tools</t>
        </is>
      </c>
      <c r="G2857" s="4" t="inlineStr">
        <is>
          <t>Expense</t>
        </is>
      </c>
      <c r="H2857" s="12" t="n">
        <v>46061</v>
      </c>
      <c r="I2857" s="13" t="n">
        <v>0.2300810185185185</v>
      </c>
      <c r="J2857" s="14" t="n">
        <v>46061.23008101852</v>
      </c>
      <c r="K2857" s="15" t="n">
        <v>30877.46</v>
      </c>
      <c r="L2857" s="4" t="inlineStr">
        <is>
          <t>INR</t>
        </is>
      </c>
      <c r="M2857" s="15" t="n">
        <v>-30877.46</v>
      </c>
      <c r="N2857" s="4" t="inlineStr">
        <is>
          <t>IOS Owner</t>
        </is>
      </c>
      <c r="O2857" s="4" t="n"/>
      <c r="P2857" s="4" t="n"/>
      <c r="Q2857" s="4" t="inlineStr">
        <is>
          <t>MAESTRO-IOS-BUSINESS-TEAM_OPERATIONS-2856 | Tools | 30877.46</t>
        </is>
      </c>
      <c r="R2857" s="4" t="inlineStr">
        <is>
          <t>iPhone</t>
        </is>
      </c>
      <c r="S2857" s="4" t="inlineStr">
        <is>
          <t>B58</t>
        </is>
      </c>
      <c r="T2857" s="4" t="inlineStr">
        <is>
          <t>HIGH_2501_3000</t>
        </is>
      </c>
      <c r="U2857" s="4" t="inlineStr">
        <is>
          <t>CREATED</t>
        </is>
      </c>
      <c r="V2857" s="4" t="inlineStr">
        <is>
          <t>idem-20260902-ios-2856</t>
        </is>
      </c>
    </row>
    <row r="2858" ht="30" customHeight="1">
      <c r="A2858" s="4" t="n">
        <v>2857</v>
      </c>
      <c r="B2858" s="4" t="inlineStr">
        <is>
          <t>MTR-IOS-2857</t>
        </is>
      </c>
      <c r="C2858" s="4" t="inlineStr">
        <is>
          <t>Personal</t>
        </is>
      </c>
      <c r="D2858" s="4" t="inlineStr">
        <is>
          <t>Personal</t>
        </is>
      </c>
      <c r="E2858" s="4" t="inlineStr">
        <is>
          <t>Future Building</t>
        </is>
      </c>
      <c r="F2858" s="4" t="inlineStr">
        <is>
          <t>Investments</t>
        </is>
      </c>
      <c r="G2858" s="4" t="inlineStr">
        <is>
          <t>Investment</t>
        </is>
      </c>
      <c r="H2858" s="12" t="n">
        <v>46055</v>
      </c>
      <c r="I2858" s="13" t="n">
        <v>0.06114583333333334</v>
      </c>
      <c r="J2858" s="14" t="n">
        <v>46055.06114583334</v>
      </c>
      <c r="K2858" s="15" t="n">
        <v>4111.79</v>
      </c>
      <c r="L2858" s="4" t="inlineStr">
        <is>
          <t>INR</t>
        </is>
      </c>
      <c r="M2858" s="15" t="n">
        <v>0</v>
      </c>
      <c r="N2858" s="4" t="inlineStr">
        <is>
          <t>IOS Owner</t>
        </is>
      </c>
      <c r="O2858" s="4" t="n"/>
      <c r="P2858" s="4" t="n"/>
      <c r="Q2858" s="4" t="inlineStr">
        <is>
          <t>MAESTRO-IOS-PERSONAL-FUTURE_BUILDING-2857 | Investments | 4111.79</t>
        </is>
      </c>
      <c r="R2858" s="4" t="inlineStr">
        <is>
          <t>iPhone</t>
        </is>
      </c>
      <c r="S2858" s="4" t="inlineStr">
        <is>
          <t>B58</t>
        </is>
      </c>
      <c r="T2858" s="4" t="inlineStr">
        <is>
          <t>HIGH_2501_3000</t>
        </is>
      </c>
      <c r="U2858" s="4" t="inlineStr">
        <is>
          <t>CREATED</t>
        </is>
      </c>
      <c r="V2858" s="4" t="inlineStr">
        <is>
          <t>idem-20260902-ios-2857</t>
        </is>
      </c>
    </row>
    <row r="2859" ht="30" customHeight="1">
      <c r="A2859" s="4" t="n">
        <v>2858</v>
      </c>
      <c r="B2859" s="4" t="inlineStr">
        <is>
          <t>MTR-IOS-2858</t>
        </is>
      </c>
      <c r="C2859" s="4" t="inlineStr">
        <is>
          <t>Group</t>
        </is>
      </c>
      <c r="D2859" s="4" t="inlineStr">
        <is>
          <t>Shared Purchase</t>
        </is>
      </c>
      <c r="E2859" s="4" t="inlineStr">
        <is>
          <t>Gift Pool</t>
        </is>
      </c>
      <c r="F2859" s="4" t="inlineStr">
        <is>
          <t>Contribution</t>
        </is>
      </c>
      <c r="G2859" s="4" t="inlineStr">
        <is>
          <t>Contribution</t>
        </is>
      </c>
      <c r="H2859" s="12" t="n">
        <v>46105</v>
      </c>
      <c r="I2859" s="13" t="n">
        <v>0.7664120370370371</v>
      </c>
      <c r="J2859" s="14" t="n">
        <v>46105.76641203704</v>
      </c>
      <c r="K2859" s="15" t="n">
        <v>20903.62</v>
      </c>
      <c r="L2859" s="4" t="inlineStr">
        <is>
          <t>INR</t>
        </is>
      </c>
      <c r="M2859" s="15" t="n">
        <v>20903.62</v>
      </c>
      <c r="N2859" s="4" t="inlineStr">
        <is>
          <t>IOS Aarav</t>
        </is>
      </c>
      <c r="O2859" s="4" t="n">
        <v>3</v>
      </c>
      <c r="P2859" s="4" t="inlineStr">
        <is>
          <t>EQUAL</t>
        </is>
      </c>
      <c r="Q2859" s="4" t="inlineStr">
        <is>
          <t>MAESTRO-IOS-GROUP-GIFT_POOL-2858 | Contribution | 20903.62</t>
        </is>
      </c>
      <c r="R2859" s="4" t="inlineStr">
        <is>
          <t>iPhone</t>
        </is>
      </c>
      <c r="S2859" s="4" t="inlineStr">
        <is>
          <t>B58</t>
        </is>
      </c>
      <c r="T2859" s="4" t="inlineStr">
        <is>
          <t>HIGH_2501_3000</t>
        </is>
      </c>
      <c r="U2859" s="4" t="inlineStr">
        <is>
          <t>CREATED</t>
        </is>
      </c>
      <c r="V2859" s="4" t="inlineStr">
        <is>
          <t>idem-20260902-ios-2858</t>
        </is>
      </c>
    </row>
    <row r="2860" ht="30" customHeight="1">
      <c r="A2860" s="4" t="n">
        <v>2859</v>
      </c>
      <c r="B2860" s="4" t="inlineStr">
        <is>
          <t>MTR-IOS-2859</t>
        </is>
      </c>
      <c r="C2860" s="4" t="inlineStr">
        <is>
          <t>Business</t>
        </is>
      </c>
      <c r="D2860" s="4" t="inlineStr">
        <is>
          <t>Business</t>
        </is>
      </c>
      <c r="E2860" s="4" t="inlineStr">
        <is>
          <t>Business Runway</t>
        </is>
      </c>
      <c r="F2860" s="4" t="inlineStr">
        <is>
          <t>Funding</t>
        </is>
      </c>
      <c r="G2860" s="4" t="inlineStr">
        <is>
          <t>Income</t>
        </is>
      </c>
      <c r="H2860" s="12" t="n">
        <v>46042</v>
      </c>
      <c r="I2860" s="13" t="n">
        <v>0.6883912037037037</v>
      </c>
      <c r="J2860" s="14" t="n">
        <v>46042.6883912037</v>
      </c>
      <c r="K2860" s="15" t="n">
        <v>136029.47</v>
      </c>
      <c r="L2860" s="4" t="inlineStr">
        <is>
          <t>INR</t>
        </is>
      </c>
      <c r="M2860" s="15" t="n">
        <v>136029.47</v>
      </c>
      <c r="N2860" s="4" t="inlineStr">
        <is>
          <t>IOS Owner</t>
        </is>
      </c>
      <c r="O2860" s="4" t="n"/>
      <c r="P2860" s="4" t="n"/>
      <c r="Q2860" s="4" t="inlineStr">
        <is>
          <t>MAESTRO-IOS-BUSINESS-BUSINESS_RUNWAY-2859 | Funding | 136029.47</t>
        </is>
      </c>
      <c r="R2860" s="4" t="inlineStr">
        <is>
          <t>iPhone</t>
        </is>
      </c>
      <c r="S2860" s="4" t="inlineStr">
        <is>
          <t>B58</t>
        </is>
      </c>
      <c r="T2860" s="4" t="inlineStr">
        <is>
          <t>HIGH_2501_3000</t>
        </is>
      </c>
      <c r="U2860" s="4" t="inlineStr">
        <is>
          <t>CREATED</t>
        </is>
      </c>
      <c r="V2860" s="4" t="inlineStr">
        <is>
          <t>idem-20260902-ios-2859</t>
        </is>
      </c>
    </row>
    <row r="2861" ht="30" customHeight="1">
      <c r="A2861" s="4" t="n">
        <v>2860</v>
      </c>
      <c r="B2861" s="4" t="inlineStr">
        <is>
          <t>MTR-IOS-2860</t>
        </is>
      </c>
      <c r="C2861" s="4" t="inlineStr">
        <is>
          <t>Personal</t>
        </is>
      </c>
      <c r="D2861" s="4" t="inlineStr">
        <is>
          <t>Personal</t>
        </is>
      </c>
      <c r="E2861" s="4" t="inlineStr">
        <is>
          <t>Future Building</t>
        </is>
      </c>
      <c r="F2861" s="4" t="inlineStr">
        <is>
          <t>Education</t>
        </is>
      </c>
      <c r="G2861" s="4" t="inlineStr">
        <is>
          <t>Expense</t>
        </is>
      </c>
      <c r="H2861" s="12" t="n">
        <v>45933</v>
      </c>
      <c r="I2861" s="13" t="n">
        <v>0.9563194444444445</v>
      </c>
      <c r="J2861" s="14" t="n">
        <v>45933.95631944444</v>
      </c>
      <c r="K2861" s="15" t="n">
        <v>12081.63</v>
      </c>
      <c r="L2861" s="4" t="inlineStr">
        <is>
          <t>INR</t>
        </is>
      </c>
      <c r="M2861" s="15" t="n">
        <v>-12081.63</v>
      </c>
      <c r="N2861" s="4" t="inlineStr">
        <is>
          <t>IOS Owner</t>
        </is>
      </c>
      <c r="O2861" s="4" t="n"/>
      <c r="P2861" s="4" t="n"/>
      <c r="Q2861" s="4" t="inlineStr">
        <is>
          <t>MAESTRO-IOS-PERSONAL-FUTURE_BUILDING-2860 | Education | 12081.63</t>
        </is>
      </c>
      <c r="R2861" s="4" t="inlineStr">
        <is>
          <t>iPhone</t>
        </is>
      </c>
      <c r="S2861" s="4" t="inlineStr">
        <is>
          <t>B58</t>
        </is>
      </c>
      <c r="T2861" s="4" t="inlineStr">
        <is>
          <t>HIGH_2501_3000</t>
        </is>
      </c>
      <c r="U2861" s="4" t="inlineStr">
        <is>
          <t>CREATED</t>
        </is>
      </c>
      <c r="V2861" s="4" t="inlineStr">
        <is>
          <t>idem-20260902-ios-2860</t>
        </is>
      </c>
    </row>
    <row r="2862" ht="30" customHeight="1">
      <c r="A2862" s="4" t="n">
        <v>2861</v>
      </c>
      <c r="B2862" s="4" t="inlineStr">
        <is>
          <t>MTR-IOS-2861</t>
        </is>
      </c>
      <c r="C2862" s="4" t="inlineStr">
        <is>
          <t>Group</t>
        </is>
      </c>
      <c r="D2862" s="4" t="inlineStr">
        <is>
          <t>Shared Purchase</t>
        </is>
      </c>
      <c r="E2862" s="4" t="inlineStr">
        <is>
          <t>Gift Pool</t>
        </is>
      </c>
      <c r="F2862" s="4" t="inlineStr">
        <is>
          <t>Gift Purchase</t>
        </is>
      </c>
      <c r="G2862" s="4" t="inlineStr">
        <is>
          <t>Expense</t>
        </is>
      </c>
      <c r="H2862" s="12" t="n">
        <v>46124</v>
      </c>
      <c r="I2862" s="13" t="n">
        <v>0.3317476851851852</v>
      </c>
      <c r="J2862" s="14" t="n">
        <v>46124.33174768519</v>
      </c>
      <c r="K2862" s="15" t="n">
        <v>23999.78</v>
      </c>
      <c r="L2862" s="4" t="inlineStr">
        <is>
          <t>INR</t>
        </is>
      </c>
      <c r="M2862" s="15" t="n">
        <v>-23999.78</v>
      </c>
      <c r="N2862" s="4" t="inlineStr">
        <is>
          <t>IOS Meera</t>
        </is>
      </c>
      <c r="O2862" s="4" t="n">
        <v>3</v>
      </c>
      <c r="P2862" s="4" t="inlineStr">
        <is>
          <t>PERCENTAGE</t>
        </is>
      </c>
      <c r="Q2862" s="4" t="inlineStr">
        <is>
          <t>MAESTRO-IOS-GROUP-GIFT_POOL-2861 | Gift Purchase | 23999.78</t>
        </is>
      </c>
      <c r="R2862" s="4" t="inlineStr">
        <is>
          <t>iPhone</t>
        </is>
      </c>
      <c r="S2862" s="4" t="inlineStr">
        <is>
          <t>B58</t>
        </is>
      </c>
      <c r="T2862" s="4" t="inlineStr">
        <is>
          <t>HIGH_2501_3000</t>
        </is>
      </c>
      <c r="U2862" s="4" t="inlineStr">
        <is>
          <t>CREATED</t>
        </is>
      </c>
      <c r="V2862" s="4" t="inlineStr">
        <is>
          <t>idem-20260902-ios-2861</t>
        </is>
      </c>
    </row>
    <row r="2863" ht="30" customHeight="1">
      <c r="A2863" s="4" t="n">
        <v>2862</v>
      </c>
      <c r="B2863" s="4" t="inlineStr">
        <is>
          <t>MTR-IOS-2862</t>
        </is>
      </c>
      <c r="C2863" s="4" t="inlineStr">
        <is>
          <t>Business</t>
        </is>
      </c>
      <c r="D2863" s="4" t="inlineStr">
        <is>
          <t>Business</t>
        </is>
      </c>
      <c r="E2863" s="4" t="inlineStr">
        <is>
          <t>Business Runway</t>
        </is>
      </c>
      <c r="F2863" s="4" t="inlineStr">
        <is>
          <t>Revenue</t>
        </is>
      </c>
      <c r="G2863" s="4" t="inlineStr">
        <is>
          <t>Income</t>
        </is>
      </c>
      <c r="H2863" s="12" t="n">
        <v>46266</v>
      </c>
      <c r="I2863" s="13" t="n">
        <v>0.9271759259259259</v>
      </c>
      <c r="J2863" s="14" t="n">
        <v>46266.92717592593</v>
      </c>
      <c r="K2863" s="15" t="n">
        <v>66956.7</v>
      </c>
      <c r="L2863" s="4" t="inlineStr">
        <is>
          <t>INR</t>
        </is>
      </c>
      <c r="M2863" s="15" t="n">
        <v>66956.7</v>
      </c>
      <c r="N2863" s="4" t="inlineStr">
        <is>
          <t>IOS Owner</t>
        </is>
      </c>
      <c r="O2863" s="4" t="n"/>
      <c r="P2863" s="4" t="n"/>
      <c r="Q2863" s="4" t="inlineStr">
        <is>
          <t>MAESTRO-IOS-BUSINESS-BUSINESS_RUNWAY-2862 | Revenue | 66956.70</t>
        </is>
      </c>
      <c r="R2863" s="4" t="inlineStr">
        <is>
          <t>iPhone</t>
        </is>
      </c>
      <c r="S2863" s="4" t="inlineStr">
        <is>
          <t>B58</t>
        </is>
      </c>
      <c r="T2863" s="4" t="inlineStr">
        <is>
          <t>HIGH_2501_3000</t>
        </is>
      </c>
      <c r="U2863" s="4" t="inlineStr">
        <is>
          <t>CREATED</t>
        </is>
      </c>
      <c r="V2863" s="4" t="inlineStr">
        <is>
          <t>idem-20260902-ios-2862</t>
        </is>
      </c>
    </row>
    <row r="2864" ht="30" customHeight="1">
      <c r="A2864" s="4" t="n">
        <v>2863</v>
      </c>
      <c r="B2864" s="4" t="inlineStr">
        <is>
          <t>MTR-IOS-2863</t>
        </is>
      </c>
      <c r="C2864" s="4" t="inlineStr">
        <is>
          <t>Personal</t>
        </is>
      </c>
      <c r="D2864" s="4" t="inlineStr">
        <is>
          <t>Personal</t>
        </is>
      </c>
      <c r="E2864" s="4" t="inlineStr">
        <is>
          <t>Future Building</t>
        </is>
      </c>
      <c r="F2864" s="4" t="inlineStr">
        <is>
          <t>Goal Contribution</t>
        </is>
      </c>
      <c r="G2864" s="4" t="inlineStr">
        <is>
          <t>Transfer</t>
        </is>
      </c>
      <c r="H2864" s="12" t="n">
        <v>45930</v>
      </c>
      <c r="I2864" s="13" t="n">
        <v>0.5531944444444444</v>
      </c>
      <c r="J2864" s="14" t="n">
        <v>45930.55319444444</v>
      </c>
      <c r="K2864" s="15" t="n">
        <v>10784.06</v>
      </c>
      <c r="L2864" s="4" t="inlineStr">
        <is>
          <t>INR</t>
        </is>
      </c>
      <c r="M2864" s="15" t="n">
        <v>0</v>
      </c>
      <c r="N2864" s="4" t="inlineStr">
        <is>
          <t>IOS Owner</t>
        </is>
      </c>
      <c r="O2864" s="4" t="n"/>
      <c r="P2864" s="4" t="n"/>
      <c r="Q2864" s="4" t="inlineStr">
        <is>
          <t>MAESTRO-IOS-PERSONAL-FUTURE_BUILDING-2863 | Goal Contribution | 10784.06</t>
        </is>
      </c>
      <c r="R2864" s="4" t="inlineStr">
        <is>
          <t>iPhone</t>
        </is>
      </c>
      <c r="S2864" s="4" t="inlineStr">
        <is>
          <t>B58</t>
        </is>
      </c>
      <c r="T2864" s="4" t="inlineStr">
        <is>
          <t>HIGH_2501_3000</t>
        </is>
      </c>
      <c r="U2864" s="4" t="inlineStr">
        <is>
          <t>CREATED</t>
        </is>
      </c>
      <c r="V2864" s="4" t="inlineStr">
        <is>
          <t>idem-20260902-ios-2863</t>
        </is>
      </c>
    </row>
    <row r="2865" ht="30" customHeight="1">
      <c r="A2865" s="4" t="n">
        <v>2864</v>
      </c>
      <c r="B2865" s="4" t="inlineStr">
        <is>
          <t>MTR-IOS-2864</t>
        </is>
      </c>
      <c r="C2865" s="4" t="inlineStr">
        <is>
          <t>Group</t>
        </is>
      </c>
      <c r="D2865" s="4" t="inlineStr">
        <is>
          <t>Shared Purchase</t>
        </is>
      </c>
      <c r="E2865" s="4" t="inlineStr">
        <is>
          <t>Gift Pool</t>
        </is>
      </c>
      <c r="F2865" s="4" t="inlineStr">
        <is>
          <t>Delivery</t>
        </is>
      </c>
      <c r="G2865" s="4" t="inlineStr">
        <is>
          <t>Expense</t>
        </is>
      </c>
      <c r="H2865" s="12" t="n">
        <v>46187</v>
      </c>
      <c r="I2865" s="13" t="n">
        <v>0.6533680555555555</v>
      </c>
      <c r="J2865" s="14" t="n">
        <v>46187.65336805556</v>
      </c>
      <c r="K2865" s="15" t="n">
        <v>12944.84</v>
      </c>
      <c r="L2865" s="4" t="inlineStr">
        <is>
          <t>INR</t>
        </is>
      </c>
      <c r="M2865" s="15" t="n">
        <v>-12944.84</v>
      </c>
      <c r="N2865" s="4" t="inlineStr">
        <is>
          <t>IOS Owner</t>
        </is>
      </c>
      <c r="O2865" s="4" t="n">
        <v>3</v>
      </c>
      <c r="P2865" s="4" t="inlineStr">
        <is>
          <t>EXACT</t>
        </is>
      </c>
      <c r="Q2865" s="4" t="inlineStr">
        <is>
          <t>MAESTRO-IOS-GROUP-GIFT_POOL-2864 | Delivery | 12944.84</t>
        </is>
      </c>
      <c r="R2865" s="4" t="inlineStr">
        <is>
          <t>iPhone</t>
        </is>
      </c>
      <c r="S2865" s="4" t="inlineStr">
        <is>
          <t>B58</t>
        </is>
      </c>
      <c r="T2865" s="4" t="inlineStr">
        <is>
          <t>HIGH_2501_3000</t>
        </is>
      </c>
      <c r="U2865" s="4" t="inlineStr">
        <is>
          <t>CREATED</t>
        </is>
      </c>
      <c r="V2865" s="4" t="inlineStr">
        <is>
          <t>idem-20260902-ios-2864</t>
        </is>
      </c>
    </row>
    <row r="2866" ht="30" customHeight="1">
      <c r="A2866" s="4" t="n">
        <v>2865</v>
      </c>
      <c r="B2866" s="4" t="inlineStr">
        <is>
          <t>MTR-IOS-2865</t>
        </is>
      </c>
      <c r="C2866" s="4" t="inlineStr">
        <is>
          <t>Business</t>
        </is>
      </c>
      <c r="D2866" s="4" t="inlineStr">
        <is>
          <t>Business</t>
        </is>
      </c>
      <c r="E2866" s="4" t="inlineStr">
        <is>
          <t>Business Runway</t>
        </is>
      </c>
      <c r="F2866" s="4" t="inlineStr">
        <is>
          <t>Burn</t>
        </is>
      </c>
      <c r="G2866" s="4" t="inlineStr">
        <is>
          <t>Expense</t>
        </is>
      </c>
      <c r="H2866" s="12" t="n">
        <v>46240</v>
      </c>
      <c r="I2866" s="13" t="n">
        <v>0.4653935185185185</v>
      </c>
      <c r="J2866" s="14" t="n">
        <v>46240.46539351852</v>
      </c>
      <c r="K2866" s="15" t="n">
        <v>151257.34</v>
      </c>
      <c r="L2866" s="4" t="inlineStr">
        <is>
          <t>INR</t>
        </is>
      </c>
      <c r="M2866" s="15" t="n">
        <v>-151257.34</v>
      </c>
      <c r="N2866" s="4" t="inlineStr">
        <is>
          <t>IOS Owner</t>
        </is>
      </c>
      <c r="O2866" s="4" t="n"/>
      <c r="P2866" s="4" t="n"/>
      <c r="Q2866" s="4" t="inlineStr">
        <is>
          <t>MAESTRO-IOS-BUSINESS-BUSINESS_RUNWAY-2865 | Burn | 151257.34</t>
        </is>
      </c>
      <c r="R2866" s="4" t="inlineStr">
        <is>
          <t>iPhone</t>
        </is>
      </c>
      <c r="S2866" s="4" t="inlineStr">
        <is>
          <t>B58</t>
        </is>
      </c>
      <c r="T2866" s="4" t="inlineStr">
        <is>
          <t>HIGH_2501_3000</t>
        </is>
      </c>
      <c r="U2866" s="4" t="inlineStr">
        <is>
          <t>CREATED</t>
        </is>
      </c>
      <c r="V2866" s="4" t="inlineStr">
        <is>
          <t>idem-20260902-ios-2865</t>
        </is>
      </c>
    </row>
    <row r="2867" ht="30" customHeight="1">
      <c r="A2867" s="4" t="n">
        <v>2866</v>
      </c>
      <c r="B2867" s="4" t="inlineStr">
        <is>
          <t>MTR-IOS-2866</t>
        </is>
      </c>
      <c r="C2867" s="4" t="inlineStr">
        <is>
          <t>Personal</t>
        </is>
      </c>
      <c r="D2867" s="4" t="inlineStr">
        <is>
          <t>Personal</t>
        </is>
      </c>
      <c r="E2867" s="4" t="inlineStr">
        <is>
          <t>Lifestyle</t>
        </is>
      </c>
      <c r="F2867" s="4" t="inlineStr">
        <is>
          <t>Dining</t>
        </is>
      </c>
      <c r="G2867" s="4" t="inlineStr">
        <is>
          <t>Expense</t>
        </is>
      </c>
      <c r="H2867" s="12" t="n">
        <v>45914</v>
      </c>
      <c r="I2867" s="13" t="n">
        <v>0.891875</v>
      </c>
      <c r="J2867" s="14" t="n">
        <v>45914.891875</v>
      </c>
      <c r="K2867" s="15" t="n">
        <v>11225.56</v>
      </c>
      <c r="L2867" s="4" t="inlineStr">
        <is>
          <t>INR</t>
        </is>
      </c>
      <c r="M2867" s="15" t="n">
        <v>-11225.56</v>
      </c>
      <c r="N2867" s="4" t="inlineStr">
        <is>
          <t>IOS Owner</t>
        </is>
      </c>
      <c r="O2867" s="4" t="n"/>
      <c r="P2867" s="4" t="n"/>
      <c r="Q2867" s="4" t="inlineStr">
        <is>
          <t>MAESTRO-IOS-PERSONAL-LIFESTYLE-2866 | Dining | 11225.56</t>
        </is>
      </c>
      <c r="R2867" s="4" t="inlineStr">
        <is>
          <t>iPhone</t>
        </is>
      </c>
      <c r="S2867" s="4" t="inlineStr">
        <is>
          <t>B58</t>
        </is>
      </c>
      <c r="T2867" s="4" t="inlineStr">
        <is>
          <t>HIGH_2501_3000</t>
        </is>
      </c>
      <c r="U2867" s="4" t="inlineStr">
        <is>
          <t>CREATED</t>
        </is>
      </c>
      <c r="V2867" s="4" t="inlineStr">
        <is>
          <t>idem-20260902-ios-2866</t>
        </is>
      </c>
    </row>
    <row r="2868" ht="30" customHeight="1">
      <c r="A2868" s="4" t="n">
        <v>2867</v>
      </c>
      <c r="B2868" s="4" t="inlineStr">
        <is>
          <t>MTR-IOS-2867</t>
        </is>
      </c>
      <c r="C2868" s="4" t="inlineStr">
        <is>
          <t>Group</t>
        </is>
      </c>
      <c r="D2868" s="4" t="inlineStr">
        <is>
          <t>Shared Purchase</t>
        </is>
      </c>
      <c r="E2868" s="4" t="inlineStr">
        <is>
          <t>Gift Pool</t>
        </is>
      </c>
      <c r="F2868" s="4" t="inlineStr">
        <is>
          <t>Other</t>
        </is>
      </c>
      <c r="G2868" s="4" t="inlineStr">
        <is>
          <t>Expense</t>
        </is>
      </c>
      <c r="H2868" s="12" t="n">
        <v>46177</v>
      </c>
      <c r="I2868" s="13" t="n">
        <v>0.09923611111111111</v>
      </c>
      <c r="J2868" s="14" t="n">
        <v>46177.09923611111</v>
      </c>
      <c r="K2868" s="15" t="n">
        <v>11569.38</v>
      </c>
      <c r="L2868" s="4" t="inlineStr">
        <is>
          <t>INR</t>
        </is>
      </c>
      <c r="M2868" s="15" t="n">
        <v>-11569.38</v>
      </c>
      <c r="N2868" s="4" t="inlineStr">
        <is>
          <t>IOS Aarav</t>
        </is>
      </c>
      <c r="O2868" s="4" t="n">
        <v>3</v>
      </c>
      <c r="P2868" s="4" t="inlineStr">
        <is>
          <t>SHARES</t>
        </is>
      </c>
      <c r="Q2868" s="4" t="inlineStr">
        <is>
          <t>MAESTRO-IOS-GROUP-GIFT_POOL-2867 | Other | 11569.38</t>
        </is>
      </c>
      <c r="R2868" s="4" t="inlineStr">
        <is>
          <t>iPhone</t>
        </is>
      </c>
      <c r="S2868" s="4" t="inlineStr">
        <is>
          <t>B58</t>
        </is>
      </c>
      <c r="T2868" s="4" t="inlineStr">
        <is>
          <t>HIGH_2501_3000</t>
        </is>
      </c>
      <c r="U2868" s="4" t="inlineStr">
        <is>
          <t>CREATED</t>
        </is>
      </c>
      <c r="V2868" s="4" t="inlineStr">
        <is>
          <t>idem-20260902-ios-2867</t>
        </is>
      </c>
    </row>
    <row r="2869" ht="30" customHeight="1">
      <c r="A2869" s="4" t="n">
        <v>2868</v>
      </c>
      <c r="B2869" s="4" t="inlineStr">
        <is>
          <t>MTR-IOS-2868</t>
        </is>
      </c>
      <c r="C2869" s="4" t="inlineStr">
        <is>
          <t>Business</t>
        </is>
      </c>
      <c r="D2869" s="4" t="inlineStr">
        <is>
          <t>Business</t>
        </is>
      </c>
      <c r="E2869" s="4" t="inlineStr">
        <is>
          <t>Business Runway</t>
        </is>
      </c>
      <c r="F2869" s="4" t="inlineStr">
        <is>
          <t>Reserve</t>
        </is>
      </c>
      <c r="G2869" s="4" t="inlineStr">
        <is>
          <t>Transfer</t>
        </is>
      </c>
      <c r="H2869" s="12" t="n">
        <v>46170</v>
      </c>
      <c r="I2869" s="13" t="n">
        <v>0.09537037037037037</v>
      </c>
      <c r="J2869" s="14" t="n">
        <v>46170.09537037037</v>
      </c>
      <c r="K2869" s="15" t="n">
        <v>145721.49</v>
      </c>
      <c r="L2869" s="4" t="inlineStr">
        <is>
          <t>INR</t>
        </is>
      </c>
      <c r="M2869" s="15" t="n">
        <v>0</v>
      </c>
      <c r="N2869" s="4" t="inlineStr">
        <is>
          <t>IOS Owner</t>
        </is>
      </c>
      <c r="O2869" s="4" t="n"/>
      <c r="P2869" s="4" t="n"/>
      <c r="Q2869" s="4" t="inlineStr">
        <is>
          <t>MAESTRO-IOS-BUSINESS-BUSINESS_RUNWAY-2868 | Reserve | 145721.49</t>
        </is>
      </c>
      <c r="R2869" s="4" t="inlineStr">
        <is>
          <t>iPhone</t>
        </is>
      </c>
      <c r="S2869" s="4" t="inlineStr">
        <is>
          <t>B58</t>
        </is>
      </c>
      <c r="T2869" s="4" t="inlineStr">
        <is>
          <t>HIGH_2501_3000</t>
        </is>
      </c>
      <c r="U2869" s="4" t="inlineStr">
        <is>
          <t>CREATED</t>
        </is>
      </c>
      <c r="V2869" s="4" t="inlineStr">
        <is>
          <t>idem-20260902-ios-2868</t>
        </is>
      </c>
    </row>
    <row r="2870" ht="30" customHeight="1">
      <c r="A2870" s="4" t="n">
        <v>2869</v>
      </c>
      <c r="B2870" s="4" t="inlineStr">
        <is>
          <t>MTR-IOS-2869</t>
        </is>
      </c>
      <c r="C2870" s="4" t="inlineStr">
        <is>
          <t>Personal</t>
        </is>
      </c>
      <c r="D2870" s="4" t="inlineStr">
        <is>
          <t>Personal</t>
        </is>
      </c>
      <c r="E2870" s="4" t="inlineStr">
        <is>
          <t>Lifestyle</t>
        </is>
      </c>
      <c r="F2870" s="4" t="inlineStr">
        <is>
          <t>Shopping</t>
        </is>
      </c>
      <c r="G2870" s="4" t="inlineStr">
        <is>
          <t>Expense</t>
        </is>
      </c>
      <c r="H2870" s="12" t="n">
        <v>46131</v>
      </c>
      <c r="I2870" s="13" t="n">
        <v>0.2874884259259259</v>
      </c>
      <c r="J2870" s="14" t="n">
        <v>46131.28748842593</v>
      </c>
      <c r="K2870" s="15" t="n">
        <v>2265.39</v>
      </c>
      <c r="L2870" s="4" t="inlineStr">
        <is>
          <t>INR</t>
        </is>
      </c>
      <c r="M2870" s="15" t="n">
        <v>-2265.39</v>
      </c>
      <c r="N2870" s="4" t="inlineStr">
        <is>
          <t>IOS Owner</t>
        </is>
      </c>
      <c r="O2870" s="4" t="n"/>
      <c r="P2870" s="4" t="n"/>
      <c r="Q2870" s="4" t="inlineStr">
        <is>
          <t>MAESTRO-IOS-PERSONAL-LIFESTYLE-2869 | Shopping | 2265.39</t>
        </is>
      </c>
      <c r="R2870" s="4" t="inlineStr">
        <is>
          <t>iPhone</t>
        </is>
      </c>
      <c r="S2870" s="4" t="inlineStr">
        <is>
          <t>B58</t>
        </is>
      </c>
      <c r="T2870" s="4" t="inlineStr">
        <is>
          <t>HIGH_2501_3000</t>
        </is>
      </c>
      <c r="U2870" s="4" t="inlineStr">
        <is>
          <t>CREATED</t>
        </is>
      </c>
      <c r="V2870" s="4" t="inlineStr">
        <is>
          <t>idem-20260902-ios-2869</t>
        </is>
      </c>
    </row>
    <row r="2871" ht="30" customHeight="1">
      <c r="A2871" s="4" t="n">
        <v>2870</v>
      </c>
      <c r="B2871" s="4" t="inlineStr">
        <is>
          <t>MTR-IOS-2870</t>
        </is>
      </c>
      <c r="C2871" s="4" t="inlineStr">
        <is>
          <t>Group</t>
        </is>
      </c>
      <c r="D2871" s="4" t="inlineStr">
        <is>
          <t>Shared Purchase</t>
        </is>
      </c>
      <c r="E2871" s="4" t="inlineStr">
        <is>
          <t>Purchase</t>
        </is>
      </c>
      <c r="F2871" s="4" t="inlineStr">
        <is>
          <t>Item</t>
        </is>
      </c>
      <c r="G2871" s="4" t="inlineStr">
        <is>
          <t>Expense</t>
        </is>
      </c>
      <c r="H2871" s="12" t="n">
        <v>46241</v>
      </c>
      <c r="I2871" s="13" t="n">
        <v>0.1265972222222222</v>
      </c>
      <c r="J2871" s="14" t="n">
        <v>46241.12659722222</v>
      </c>
      <c r="K2871" s="15" t="n">
        <v>26339.76</v>
      </c>
      <c r="L2871" s="4" t="inlineStr">
        <is>
          <t>INR</t>
        </is>
      </c>
      <c r="M2871" s="15" t="n">
        <v>-26339.76</v>
      </c>
      <c r="N2871" s="4" t="inlineStr">
        <is>
          <t>IOS Meera</t>
        </is>
      </c>
      <c r="O2871" s="4" t="n">
        <v>3</v>
      </c>
      <c r="P2871" s="4" t="inlineStr">
        <is>
          <t>EQUAL</t>
        </is>
      </c>
      <c r="Q2871" s="4" t="inlineStr">
        <is>
          <t>MAESTRO-IOS-GROUP-PURCHASE-2870 | Item | 26339.76</t>
        </is>
      </c>
      <c r="R2871" s="4" t="inlineStr">
        <is>
          <t>iPhone</t>
        </is>
      </c>
      <c r="S2871" s="4" t="inlineStr">
        <is>
          <t>B58</t>
        </is>
      </c>
      <c r="T2871" s="4" t="inlineStr">
        <is>
          <t>HIGH_2501_3000</t>
        </is>
      </c>
      <c r="U2871" s="4" t="inlineStr">
        <is>
          <t>CREATED</t>
        </is>
      </c>
      <c r="V2871" s="4" t="inlineStr">
        <is>
          <t>idem-20260902-ios-2870</t>
        </is>
      </c>
    </row>
    <row r="2872" ht="30" customHeight="1">
      <c r="A2872" s="4" t="n">
        <v>2871</v>
      </c>
      <c r="B2872" s="4" t="inlineStr">
        <is>
          <t>MTR-IOS-2871</t>
        </is>
      </c>
      <c r="C2872" s="4" t="inlineStr">
        <is>
          <t>Business</t>
        </is>
      </c>
      <c r="D2872" s="4" t="inlineStr">
        <is>
          <t>Business</t>
        </is>
      </c>
      <c r="E2872" s="4" t="inlineStr">
        <is>
          <t>Business Runway</t>
        </is>
      </c>
      <c r="F2872" s="4" t="inlineStr">
        <is>
          <t>Loan</t>
        </is>
      </c>
      <c r="G2872" s="4" t="inlineStr">
        <is>
          <t>Income</t>
        </is>
      </c>
      <c r="H2872" s="12" t="n">
        <v>46005</v>
      </c>
      <c r="I2872" s="13" t="n">
        <v>0.5296643518518519</v>
      </c>
      <c r="J2872" s="14" t="n">
        <v>46005.52966435185</v>
      </c>
      <c r="K2872" s="15" t="n">
        <v>162211.21</v>
      </c>
      <c r="L2872" s="4" t="inlineStr">
        <is>
          <t>INR</t>
        </is>
      </c>
      <c r="M2872" s="15" t="n">
        <v>162211.21</v>
      </c>
      <c r="N2872" s="4" t="inlineStr">
        <is>
          <t>IOS Owner</t>
        </is>
      </c>
      <c r="O2872" s="4" t="n"/>
      <c r="P2872" s="4" t="n"/>
      <c r="Q2872" s="4" t="inlineStr">
        <is>
          <t>MAESTRO-IOS-BUSINESS-BUSINESS_RUNWAY-2871 | Loan | 162211.21</t>
        </is>
      </c>
      <c r="R2872" s="4" t="inlineStr">
        <is>
          <t>iPhone</t>
        </is>
      </c>
      <c r="S2872" s="4" t="inlineStr">
        <is>
          <t>B58</t>
        </is>
      </c>
      <c r="T2872" s="4" t="inlineStr">
        <is>
          <t>HIGH_2501_3000</t>
        </is>
      </c>
      <c r="U2872" s="4" t="inlineStr">
        <is>
          <t>CREATED</t>
        </is>
      </c>
      <c r="V2872" s="4" t="inlineStr">
        <is>
          <t>idem-20260902-ios-2871</t>
        </is>
      </c>
    </row>
    <row r="2873" ht="30" customHeight="1">
      <c r="A2873" s="4" t="n">
        <v>2872</v>
      </c>
      <c r="B2873" s="4" t="inlineStr">
        <is>
          <t>MTR-IOS-2872</t>
        </is>
      </c>
      <c r="C2873" s="4" t="inlineStr">
        <is>
          <t>Personal</t>
        </is>
      </c>
      <c r="D2873" s="4" t="inlineStr">
        <is>
          <t>Personal</t>
        </is>
      </c>
      <c r="E2873" s="4" t="inlineStr">
        <is>
          <t>Lifestyle</t>
        </is>
      </c>
      <c r="F2873" s="4" t="inlineStr">
        <is>
          <t>Entertainment</t>
        </is>
      </c>
      <c r="G2873" s="4" t="inlineStr">
        <is>
          <t>Expense</t>
        </is>
      </c>
      <c r="H2873" s="12" t="n">
        <v>46075</v>
      </c>
      <c r="I2873" s="13" t="n">
        <v>0.5712037037037037</v>
      </c>
      <c r="J2873" s="14" t="n">
        <v>46075.5712037037</v>
      </c>
      <c r="K2873" s="15" t="n">
        <v>403.67</v>
      </c>
      <c r="L2873" s="4" t="inlineStr">
        <is>
          <t>INR</t>
        </is>
      </c>
      <c r="M2873" s="15" t="n">
        <v>-403.67</v>
      </c>
      <c r="N2873" s="4" t="inlineStr">
        <is>
          <t>IOS Owner</t>
        </is>
      </c>
      <c r="O2873" s="4" t="n"/>
      <c r="P2873" s="4" t="n"/>
      <c r="Q2873" s="4" t="inlineStr">
        <is>
          <t>MAESTRO-IOS-PERSONAL-LIFESTYLE-2872 | Entertainment | 403.67</t>
        </is>
      </c>
      <c r="R2873" s="4" t="inlineStr">
        <is>
          <t>iPhone</t>
        </is>
      </c>
      <c r="S2873" s="4" t="inlineStr">
        <is>
          <t>B58</t>
        </is>
      </c>
      <c r="T2873" s="4" t="inlineStr">
        <is>
          <t>HIGH_2501_3000</t>
        </is>
      </c>
      <c r="U2873" s="4" t="inlineStr">
        <is>
          <t>CREATED</t>
        </is>
      </c>
      <c r="V2873" s="4" t="inlineStr">
        <is>
          <t>idem-20260902-ios-2872</t>
        </is>
      </c>
    </row>
    <row r="2874" ht="30" customHeight="1">
      <c r="A2874" s="4" t="n">
        <v>2873</v>
      </c>
      <c r="B2874" s="4" t="inlineStr">
        <is>
          <t>MTR-IOS-2873</t>
        </is>
      </c>
      <c r="C2874" s="4" t="inlineStr">
        <is>
          <t>Group</t>
        </is>
      </c>
      <c r="D2874" s="4" t="inlineStr">
        <is>
          <t>Shared Purchase</t>
        </is>
      </c>
      <c r="E2874" s="4" t="inlineStr">
        <is>
          <t>Purchase</t>
        </is>
      </c>
      <c r="F2874" s="4" t="inlineStr">
        <is>
          <t>Shipping</t>
        </is>
      </c>
      <c r="G2874" s="4" t="inlineStr">
        <is>
          <t>Expense</t>
        </is>
      </c>
      <c r="H2874" s="12" t="n">
        <v>45919</v>
      </c>
      <c r="I2874" s="13" t="n">
        <v>0.7415162037037037</v>
      </c>
      <c r="J2874" s="14" t="n">
        <v>45919.74151620371</v>
      </c>
      <c r="K2874" s="15" t="n">
        <v>7917.48</v>
      </c>
      <c r="L2874" s="4" t="inlineStr">
        <is>
          <t>INR</t>
        </is>
      </c>
      <c r="M2874" s="15" t="n">
        <v>-7917.48</v>
      </c>
      <c r="N2874" s="4" t="inlineStr">
        <is>
          <t>IOS Owner</t>
        </is>
      </c>
      <c r="O2874" s="4" t="n">
        <v>3</v>
      </c>
      <c r="P2874" s="4" t="inlineStr">
        <is>
          <t>PERCENTAGE</t>
        </is>
      </c>
      <c r="Q2874" s="4" t="inlineStr">
        <is>
          <t>MAESTRO-IOS-GROUP-PURCHASE-2873 | Shipping | 7917.48</t>
        </is>
      </c>
      <c r="R2874" s="4" t="inlineStr">
        <is>
          <t>iPhone</t>
        </is>
      </c>
      <c r="S2874" s="4" t="inlineStr">
        <is>
          <t>B58</t>
        </is>
      </c>
      <c r="T2874" s="4" t="inlineStr">
        <is>
          <t>HIGH_2501_3000</t>
        </is>
      </c>
      <c r="U2874" s="4" t="inlineStr">
        <is>
          <t>CREATED</t>
        </is>
      </c>
      <c r="V2874" s="4" t="inlineStr">
        <is>
          <t>idem-20260902-ios-2873</t>
        </is>
      </c>
    </row>
    <row r="2875" ht="30" customHeight="1">
      <c r="A2875" s="4" t="n">
        <v>2874</v>
      </c>
      <c r="B2875" s="4" t="inlineStr">
        <is>
          <t>MTR-IOS-2874</t>
        </is>
      </c>
      <c r="C2875" s="4" t="inlineStr">
        <is>
          <t>Business</t>
        </is>
      </c>
      <c r="D2875" s="4" t="inlineStr">
        <is>
          <t>Business</t>
        </is>
      </c>
      <c r="E2875" s="4" t="inlineStr">
        <is>
          <t>Business Runway</t>
        </is>
      </c>
      <c r="F2875" s="4" t="inlineStr">
        <is>
          <t>Investment</t>
        </is>
      </c>
      <c r="G2875" s="4" t="inlineStr">
        <is>
          <t>Income</t>
        </is>
      </c>
      <c r="H2875" s="12" t="n">
        <v>46145</v>
      </c>
      <c r="I2875" s="13" t="n">
        <v>0.4527083333333333</v>
      </c>
      <c r="J2875" s="14" t="n">
        <v>46145.45270833333</v>
      </c>
      <c r="K2875" s="15" t="n">
        <v>154766.06</v>
      </c>
      <c r="L2875" s="4" t="inlineStr">
        <is>
          <t>INR</t>
        </is>
      </c>
      <c r="M2875" s="15" t="n">
        <v>154766.06</v>
      </c>
      <c r="N2875" s="4" t="inlineStr">
        <is>
          <t>IOS Owner</t>
        </is>
      </c>
      <c r="O2875" s="4" t="n"/>
      <c r="P2875" s="4" t="n"/>
      <c r="Q2875" s="4" t="inlineStr">
        <is>
          <t>MAESTRO-IOS-BUSINESS-BUSINESS_RUNWAY-2874 | Investment | 154766.06</t>
        </is>
      </c>
      <c r="R2875" s="4" t="inlineStr">
        <is>
          <t>iPhone</t>
        </is>
      </c>
      <c r="S2875" s="4" t="inlineStr">
        <is>
          <t>B58</t>
        </is>
      </c>
      <c r="T2875" s="4" t="inlineStr">
        <is>
          <t>HIGH_2501_3000</t>
        </is>
      </c>
      <c r="U2875" s="4" t="inlineStr">
        <is>
          <t>CREATED</t>
        </is>
      </c>
      <c r="V2875" s="4" t="inlineStr">
        <is>
          <t>idem-20260902-ios-2874</t>
        </is>
      </c>
    </row>
    <row r="2876" ht="30" customHeight="1">
      <c r="A2876" s="4" t="n">
        <v>2875</v>
      </c>
      <c r="B2876" s="4" t="inlineStr">
        <is>
          <t>MTR-IOS-2875</t>
        </is>
      </c>
      <c r="C2876" s="4" t="inlineStr">
        <is>
          <t>Personal</t>
        </is>
      </c>
      <c r="D2876" s="4" t="inlineStr">
        <is>
          <t>Personal</t>
        </is>
      </c>
      <c r="E2876" s="4" t="inlineStr">
        <is>
          <t>Lifestyle</t>
        </is>
      </c>
      <c r="F2876" s="4" t="inlineStr">
        <is>
          <t>Travel</t>
        </is>
      </c>
      <c r="G2876" s="4" t="inlineStr">
        <is>
          <t>Expense</t>
        </is>
      </c>
      <c r="H2876" s="12" t="n">
        <v>46113</v>
      </c>
      <c r="I2876" s="13" t="n">
        <v>0.2331018518518519</v>
      </c>
      <c r="J2876" s="14" t="n">
        <v>46113.23310185185</v>
      </c>
      <c r="K2876" s="15" t="n">
        <v>670.0599999999999</v>
      </c>
      <c r="L2876" s="4" t="inlineStr">
        <is>
          <t>INR</t>
        </is>
      </c>
      <c r="M2876" s="15" t="n">
        <v>-670.0599999999999</v>
      </c>
      <c r="N2876" s="4" t="inlineStr">
        <is>
          <t>IOS Owner</t>
        </is>
      </c>
      <c r="O2876" s="4" t="n"/>
      <c r="P2876" s="4" t="n"/>
      <c r="Q2876" s="4" t="inlineStr">
        <is>
          <t>MAESTRO-IOS-PERSONAL-LIFESTYLE-2875 | Travel | 670.06</t>
        </is>
      </c>
      <c r="R2876" s="4" t="inlineStr">
        <is>
          <t>iPhone</t>
        </is>
      </c>
      <c r="S2876" s="4" t="inlineStr">
        <is>
          <t>B58</t>
        </is>
      </c>
      <c r="T2876" s="4" t="inlineStr">
        <is>
          <t>HIGH_2501_3000</t>
        </is>
      </c>
      <c r="U2876" s="4" t="inlineStr">
        <is>
          <t>CREATED</t>
        </is>
      </c>
      <c r="V2876" s="4" t="inlineStr">
        <is>
          <t>idem-20260902-ios-2875</t>
        </is>
      </c>
    </row>
    <row r="2877" ht="30" customHeight="1">
      <c r="A2877" s="4" t="n">
        <v>2876</v>
      </c>
      <c r="B2877" s="4" t="inlineStr">
        <is>
          <t>MTR-IOS-2876</t>
        </is>
      </c>
      <c r="C2877" s="4" t="inlineStr">
        <is>
          <t>Group</t>
        </is>
      </c>
      <c r="D2877" s="4" t="inlineStr">
        <is>
          <t>Shared Purchase</t>
        </is>
      </c>
      <c r="E2877" s="4" t="inlineStr">
        <is>
          <t>Purchase</t>
        </is>
      </c>
      <c r="F2877" s="4" t="inlineStr">
        <is>
          <t>Tax</t>
        </is>
      </c>
      <c r="G2877" s="4" t="inlineStr">
        <is>
          <t>Expense</t>
        </is>
      </c>
      <c r="H2877" s="12" t="n">
        <v>46036</v>
      </c>
      <c r="I2877" s="13" t="n">
        <v>0.8372222222222222</v>
      </c>
      <c r="J2877" s="14" t="n">
        <v>46036.83722222222</v>
      </c>
      <c r="K2877" s="15" t="n">
        <v>19416.8</v>
      </c>
      <c r="L2877" s="4" t="inlineStr">
        <is>
          <t>INR</t>
        </is>
      </c>
      <c r="M2877" s="15" t="n">
        <v>-19416.8</v>
      </c>
      <c r="N2877" s="4" t="inlineStr">
        <is>
          <t>IOS Aarav</t>
        </is>
      </c>
      <c r="O2877" s="4" t="n">
        <v>3</v>
      </c>
      <c r="P2877" s="4" t="inlineStr">
        <is>
          <t>EXACT</t>
        </is>
      </c>
      <c r="Q2877" s="4" t="inlineStr">
        <is>
          <t>MAESTRO-IOS-GROUP-PURCHASE-2876 | Tax | 19416.80</t>
        </is>
      </c>
      <c r="R2877" s="4" t="inlineStr">
        <is>
          <t>iPhone</t>
        </is>
      </c>
      <c r="S2877" s="4" t="inlineStr">
        <is>
          <t>B58</t>
        </is>
      </c>
      <c r="T2877" s="4" t="inlineStr">
        <is>
          <t>HIGH_2501_3000</t>
        </is>
      </c>
      <c r="U2877" s="4" t="inlineStr">
        <is>
          <t>CREATED</t>
        </is>
      </c>
      <c r="V2877" s="4" t="inlineStr">
        <is>
          <t>idem-20260902-ios-2876</t>
        </is>
      </c>
    </row>
    <row r="2878" ht="30" customHeight="1">
      <c r="A2878" s="4" t="n">
        <v>2877</v>
      </c>
      <c r="B2878" s="4" t="inlineStr">
        <is>
          <t>MTR-IOS-2877</t>
        </is>
      </c>
      <c r="C2878" s="4" t="inlineStr">
        <is>
          <t>Business</t>
        </is>
      </c>
      <c r="D2878" s="4" t="inlineStr">
        <is>
          <t>Business</t>
        </is>
      </c>
      <c r="E2878" s="4" t="inlineStr">
        <is>
          <t>Business Operations</t>
        </is>
      </c>
      <c r="F2878" s="4" t="inlineStr">
        <is>
          <t>Software</t>
        </is>
      </c>
      <c r="G2878" s="4" t="inlineStr">
        <is>
          <t>Expense</t>
        </is>
      </c>
      <c r="H2878" s="12" t="n">
        <v>46127</v>
      </c>
      <c r="I2878" s="13" t="n">
        <v>0.01114583333333333</v>
      </c>
      <c r="J2878" s="14" t="n">
        <v>46127.01114583333</v>
      </c>
      <c r="K2878" s="15" t="n">
        <v>130891.01</v>
      </c>
      <c r="L2878" s="4" t="inlineStr">
        <is>
          <t>INR</t>
        </is>
      </c>
      <c r="M2878" s="15" t="n">
        <v>-130891.01</v>
      </c>
      <c r="N2878" s="4" t="inlineStr">
        <is>
          <t>IOS Owner</t>
        </is>
      </c>
      <c r="O2878" s="4" t="n"/>
      <c r="P2878" s="4" t="n"/>
      <c r="Q2878" s="4" t="inlineStr">
        <is>
          <t>MAESTRO-IOS-BUSINESS-BUSINESS_OPERATIONS-2877 | Software | 130891.01</t>
        </is>
      </c>
      <c r="R2878" s="4" t="inlineStr">
        <is>
          <t>iPhone</t>
        </is>
      </c>
      <c r="S2878" s="4" t="inlineStr">
        <is>
          <t>B58</t>
        </is>
      </c>
      <c r="T2878" s="4" t="inlineStr">
        <is>
          <t>HIGH_2501_3000</t>
        </is>
      </c>
      <c r="U2878" s="4" t="inlineStr">
        <is>
          <t>CREATED</t>
        </is>
      </c>
      <c r="V2878" s="4" t="inlineStr">
        <is>
          <t>idem-20260902-ios-2877</t>
        </is>
      </c>
    </row>
    <row r="2879" ht="30" customHeight="1">
      <c r="A2879" s="4" t="n">
        <v>2878</v>
      </c>
      <c r="B2879" s="4" t="inlineStr">
        <is>
          <t>MTR-IOS-2878</t>
        </is>
      </c>
      <c r="C2879" s="4" t="inlineStr">
        <is>
          <t>Personal</t>
        </is>
      </c>
      <c r="D2879" s="4" t="inlineStr">
        <is>
          <t>Personal</t>
        </is>
      </c>
      <c r="E2879" s="4" t="inlineStr">
        <is>
          <t>Lifestyle</t>
        </is>
      </c>
      <c r="F2879" s="4" t="inlineStr">
        <is>
          <t>Fitness</t>
        </is>
      </c>
      <c r="G2879" s="4" t="inlineStr">
        <is>
          <t>Expense</t>
        </is>
      </c>
      <c r="H2879" s="12" t="n">
        <v>46184</v>
      </c>
      <c r="I2879" s="13" t="n">
        <v>0.7704861111111111</v>
      </c>
      <c r="J2879" s="14" t="n">
        <v>46184.77048611111</v>
      </c>
      <c r="K2879" s="15" t="n">
        <v>16723.64</v>
      </c>
      <c r="L2879" s="4" t="inlineStr">
        <is>
          <t>INR</t>
        </is>
      </c>
      <c r="M2879" s="15" t="n">
        <v>-16723.64</v>
      </c>
      <c r="N2879" s="4" t="inlineStr">
        <is>
          <t>IOS Owner</t>
        </is>
      </c>
      <c r="O2879" s="4" t="n"/>
      <c r="P2879" s="4" t="n"/>
      <c r="Q2879" s="4" t="inlineStr">
        <is>
          <t>MAESTRO-IOS-PERSONAL-LIFESTYLE-2878 | Fitness | 16723.64</t>
        </is>
      </c>
      <c r="R2879" s="4" t="inlineStr">
        <is>
          <t>iPhone</t>
        </is>
      </c>
      <c r="S2879" s="4" t="inlineStr">
        <is>
          <t>B58</t>
        </is>
      </c>
      <c r="T2879" s="4" t="inlineStr">
        <is>
          <t>HIGH_2501_3000</t>
        </is>
      </c>
      <c r="U2879" s="4" t="inlineStr">
        <is>
          <t>CREATED</t>
        </is>
      </c>
      <c r="V2879" s="4" t="inlineStr">
        <is>
          <t>idem-20260902-ios-2878</t>
        </is>
      </c>
    </row>
    <row r="2880" ht="30" customHeight="1">
      <c r="A2880" s="4" t="n">
        <v>2879</v>
      </c>
      <c r="B2880" s="4" t="inlineStr">
        <is>
          <t>MTR-IOS-2879</t>
        </is>
      </c>
      <c r="C2880" s="4" t="inlineStr">
        <is>
          <t>Group</t>
        </is>
      </c>
      <c r="D2880" s="4" t="inlineStr">
        <is>
          <t>Shared Purchase</t>
        </is>
      </c>
      <c r="E2880" s="4" t="inlineStr">
        <is>
          <t>Purchase</t>
        </is>
      </c>
      <c r="F2880" s="4" t="inlineStr">
        <is>
          <t>Other</t>
        </is>
      </c>
      <c r="G2880" s="4" t="inlineStr">
        <is>
          <t>Expense</t>
        </is>
      </c>
      <c r="H2880" s="12" t="n">
        <v>45929</v>
      </c>
      <c r="I2880" s="13" t="n">
        <v>0.08229166666666667</v>
      </c>
      <c r="J2880" s="14" t="n">
        <v>45929.08229166667</v>
      </c>
      <c r="K2880" s="15" t="n">
        <v>7529.47</v>
      </c>
      <c r="L2880" s="4" t="inlineStr">
        <is>
          <t>INR</t>
        </is>
      </c>
      <c r="M2880" s="15" t="n">
        <v>-7529.47</v>
      </c>
      <c r="N2880" s="4" t="inlineStr">
        <is>
          <t>IOS Meera</t>
        </is>
      </c>
      <c r="O2880" s="4" t="n">
        <v>3</v>
      </c>
      <c r="P2880" s="4" t="inlineStr">
        <is>
          <t>SHARES</t>
        </is>
      </c>
      <c r="Q2880" s="4" t="inlineStr">
        <is>
          <t>MAESTRO-IOS-GROUP-PURCHASE-2879 | Other | 7529.47</t>
        </is>
      </c>
      <c r="R2880" s="4" t="inlineStr">
        <is>
          <t>iPhone</t>
        </is>
      </c>
      <c r="S2880" s="4" t="inlineStr">
        <is>
          <t>B58</t>
        </is>
      </c>
      <c r="T2880" s="4" t="inlineStr">
        <is>
          <t>HIGH_2501_3000</t>
        </is>
      </c>
      <c r="U2880" s="4" t="inlineStr">
        <is>
          <t>CREATED</t>
        </is>
      </c>
      <c r="V2880" s="4" t="inlineStr">
        <is>
          <t>idem-20260902-ios-2879</t>
        </is>
      </c>
    </row>
    <row r="2881" ht="30" customHeight="1">
      <c r="A2881" s="4" t="n">
        <v>2880</v>
      </c>
      <c r="B2881" s="4" t="inlineStr">
        <is>
          <t>MTR-IOS-2880</t>
        </is>
      </c>
      <c r="C2881" s="4" t="inlineStr">
        <is>
          <t>Business</t>
        </is>
      </c>
      <c r="D2881" s="4" t="inlineStr">
        <is>
          <t>Business</t>
        </is>
      </c>
      <c r="E2881" s="4" t="inlineStr">
        <is>
          <t>Business Operations</t>
        </is>
      </c>
      <c r="F2881" s="4" t="inlineStr">
        <is>
          <t>Rent</t>
        </is>
      </c>
      <c r="G2881" s="4" t="inlineStr">
        <is>
          <t>Expense</t>
        </is>
      </c>
      <c r="H2881" s="12" t="n">
        <v>45916</v>
      </c>
      <c r="I2881" s="13" t="n">
        <v>0.5692939814814815</v>
      </c>
      <c r="J2881" s="14" t="n">
        <v>45916.56929398148</v>
      </c>
      <c r="K2881" s="15" t="n">
        <v>37112.74</v>
      </c>
      <c r="L2881" s="4" t="inlineStr">
        <is>
          <t>INR</t>
        </is>
      </c>
      <c r="M2881" s="15" t="n">
        <v>-37112.74</v>
      </c>
      <c r="N2881" s="4" t="inlineStr">
        <is>
          <t>IOS Owner</t>
        </is>
      </c>
      <c r="O2881" s="4" t="n"/>
      <c r="P2881" s="4" t="n"/>
      <c r="Q2881" s="4" t="inlineStr">
        <is>
          <t>MAESTRO-IOS-BUSINESS-BUSINESS_OPERATIONS-2880 | Rent | 37112.74</t>
        </is>
      </c>
      <c r="R2881" s="4" t="inlineStr">
        <is>
          <t>iPhone</t>
        </is>
      </c>
      <c r="S2881" s="4" t="inlineStr">
        <is>
          <t>B58</t>
        </is>
      </c>
      <c r="T2881" s="4" t="inlineStr">
        <is>
          <t>HIGH_2501_3000</t>
        </is>
      </c>
      <c r="U2881" s="4" t="inlineStr">
        <is>
          <t>CREATED</t>
        </is>
      </c>
      <c r="V2881" s="4" t="inlineStr">
        <is>
          <t>idem-20260902-ios-2880</t>
        </is>
      </c>
    </row>
    <row r="2882" ht="30" customHeight="1">
      <c r="A2882" s="4" t="n">
        <v>2881</v>
      </c>
      <c r="B2882" s="4" t="inlineStr">
        <is>
          <t>MTR-IOS-2881</t>
        </is>
      </c>
      <c r="C2882" s="4" t="inlineStr">
        <is>
          <t>Personal</t>
        </is>
      </c>
      <c r="D2882" s="4" t="inlineStr">
        <is>
          <t>Personal</t>
        </is>
      </c>
      <c r="E2882" s="4" t="inlineStr">
        <is>
          <t>Lifestyle</t>
        </is>
      </c>
      <c r="F2882" s="4" t="inlineStr">
        <is>
          <t>Hobbies</t>
        </is>
      </c>
      <c r="G2882" s="4" t="inlineStr">
        <is>
          <t>Expense</t>
        </is>
      </c>
      <c r="H2882" s="12" t="n">
        <v>46050</v>
      </c>
      <c r="I2882" s="13" t="n">
        <v>0.1679050925925926</v>
      </c>
      <c r="J2882" s="14" t="n">
        <v>46050.1679050926</v>
      </c>
      <c r="K2882" s="15" t="n">
        <v>13378.72</v>
      </c>
      <c r="L2882" s="4" t="inlineStr">
        <is>
          <t>INR</t>
        </is>
      </c>
      <c r="M2882" s="15" t="n">
        <v>-13378.72</v>
      </c>
      <c r="N2882" s="4" t="inlineStr">
        <is>
          <t>IOS Owner</t>
        </is>
      </c>
      <c r="O2882" s="4" t="n"/>
      <c r="P2882" s="4" t="n"/>
      <c r="Q2882" s="4" t="inlineStr">
        <is>
          <t>MAESTRO-IOS-PERSONAL-LIFESTYLE-2881 | Hobbies | 13378.72</t>
        </is>
      </c>
      <c r="R2882" s="4" t="inlineStr">
        <is>
          <t>iPhone</t>
        </is>
      </c>
      <c r="S2882" s="4" t="inlineStr">
        <is>
          <t>B58</t>
        </is>
      </c>
      <c r="T2882" s="4" t="inlineStr">
        <is>
          <t>HIGH_2501_3000</t>
        </is>
      </c>
      <c r="U2882" s="4" t="inlineStr">
        <is>
          <t>CREATED</t>
        </is>
      </c>
      <c r="V2882" s="4" t="inlineStr">
        <is>
          <t>idem-20260902-ios-2881</t>
        </is>
      </c>
    </row>
    <row r="2883" ht="30" customHeight="1">
      <c r="A2883" s="4" t="n">
        <v>2882</v>
      </c>
      <c r="B2883" s="4" t="inlineStr">
        <is>
          <t>MTR-IOS-2882</t>
        </is>
      </c>
      <c r="C2883" s="4" t="inlineStr">
        <is>
          <t>Group</t>
        </is>
      </c>
      <c r="D2883" s="4" t="inlineStr">
        <is>
          <t>Shared Purchase</t>
        </is>
      </c>
      <c r="E2883" s="4" t="inlineStr">
        <is>
          <t>Assets</t>
        </is>
      </c>
      <c r="F2883" s="4" t="inlineStr">
        <is>
          <t>Purchase</t>
        </is>
      </c>
      <c r="G2883" s="4" t="inlineStr">
        <is>
          <t>Expense</t>
        </is>
      </c>
      <c r="H2883" s="12" t="n">
        <v>46243</v>
      </c>
      <c r="I2883" s="13" t="n">
        <v>0.5</v>
      </c>
      <c r="J2883" s="14" t="n">
        <v>46243.5</v>
      </c>
      <c r="K2883" s="15" t="n">
        <v>8027.55</v>
      </c>
      <c r="L2883" s="4" t="inlineStr">
        <is>
          <t>INR</t>
        </is>
      </c>
      <c r="M2883" s="15" t="n">
        <v>-8027.55</v>
      </c>
      <c r="N2883" s="4" t="inlineStr">
        <is>
          <t>IOS Owner</t>
        </is>
      </c>
      <c r="O2883" s="4" t="n">
        <v>3</v>
      </c>
      <c r="P2883" s="4" t="inlineStr">
        <is>
          <t>EQUAL</t>
        </is>
      </c>
      <c r="Q2883" s="4" t="inlineStr">
        <is>
          <t>MAESTRO-IOS-GROUP-ASSETS-2882 | Purchase | 8027.55</t>
        </is>
      </c>
      <c r="R2883" s="4" t="inlineStr">
        <is>
          <t>iPhone</t>
        </is>
      </c>
      <c r="S2883" s="4" t="inlineStr">
        <is>
          <t>B58</t>
        </is>
      </c>
      <c r="T2883" s="4" t="inlineStr">
        <is>
          <t>HIGH_2501_3000</t>
        </is>
      </c>
      <c r="U2883" s="4" t="inlineStr">
        <is>
          <t>CREATED</t>
        </is>
      </c>
      <c r="V2883" s="4" t="inlineStr">
        <is>
          <t>idem-20260902-ios-2882</t>
        </is>
      </c>
    </row>
    <row r="2884" ht="30" customHeight="1">
      <c r="A2884" s="4" t="n">
        <v>2883</v>
      </c>
      <c r="B2884" s="4" t="inlineStr">
        <is>
          <t>MTR-IOS-2883</t>
        </is>
      </c>
      <c r="C2884" s="4" t="inlineStr">
        <is>
          <t>Business</t>
        </is>
      </c>
      <c r="D2884" s="4" t="inlineStr">
        <is>
          <t>Business</t>
        </is>
      </c>
      <c r="E2884" s="4" t="inlineStr">
        <is>
          <t>Business Operations</t>
        </is>
      </c>
      <c r="F2884" s="4" t="inlineStr">
        <is>
          <t>Marketing</t>
        </is>
      </c>
      <c r="G2884" s="4" t="inlineStr">
        <is>
          <t>Expense</t>
        </is>
      </c>
      <c r="H2884" s="12" t="n">
        <v>46236</v>
      </c>
      <c r="I2884" s="13" t="n">
        <v>0.4676157407407407</v>
      </c>
      <c r="J2884" s="14" t="n">
        <v>46236.46761574074</v>
      </c>
      <c r="K2884" s="15" t="n">
        <v>157848.44</v>
      </c>
      <c r="L2884" s="4" t="inlineStr">
        <is>
          <t>INR</t>
        </is>
      </c>
      <c r="M2884" s="15" t="n">
        <v>-157848.44</v>
      </c>
      <c r="N2884" s="4" t="inlineStr">
        <is>
          <t>IOS Owner</t>
        </is>
      </c>
      <c r="O2884" s="4" t="n"/>
      <c r="P2884" s="4" t="n"/>
      <c r="Q2884" s="4" t="inlineStr">
        <is>
          <t>MAESTRO-IOS-BUSINESS-BUSINESS_OPERATIONS-2883 | Marketing | 157848.44</t>
        </is>
      </c>
      <c r="R2884" s="4" t="inlineStr">
        <is>
          <t>iPhone</t>
        </is>
      </c>
      <c r="S2884" s="4" t="inlineStr">
        <is>
          <t>B58</t>
        </is>
      </c>
      <c r="T2884" s="4" t="inlineStr">
        <is>
          <t>HIGH_2501_3000</t>
        </is>
      </c>
      <c r="U2884" s="4" t="inlineStr">
        <is>
          <t>CREATED</t>
        </is>
      </c>
      <c r="V2884" s="4" t="inlineStr">
        <is>
          <t>idem-20260902-ios-2883</t>
        </is>
      </c>
    </row>
    <row r="2885" ht="30" customHeight="1">
      <c r="A2885" s="4" t="n">
        <v>2884</v>
      </c>
      <c r="B2885" s="4" t="inlineStr">
        <is>
          <t>MTR-IOS-2884</t>
        </is>
      </c>
      <c r="C2885" s="4" t="inlineStr">
        <is>
          <t>Personal</t>
        </is>
      </c>
      <c r="D2885" s="4" t="inlineStr">
        <is>
          <t>Personal</t>
        </is>
      </c>
      <c r="E2885" s="4" t="inlineStr">
        <is>
          <t>Relationships</t>
        </is>
      </c>
      <c r="F2885" s="4" t="inlineStr">
        <is>
          <t>Gifts</t>
        </is>
      </c>
      <c r="G2885" s="4" t="inlineStr">
        <is>
          <t>Expense</t>
        </is>
      </c>
      <c r="H2885" s="12" t="n">
        <v>46127</v>
      </c>
      <c r="I2885" s="13" t="n">
        <v>0.6207291666666667</v>
      </c>
      <c r="J2885" s="14" t="n">
        <v>46127.62072916667</v>
      </c>
      <c r="K2885" s="15" t="n">
        <v>5732.7</v>
      </c>
      <c r="L2885" s="4" t="inlineStr">
        <is>
          <t>INR</t>
        </is>
      </c>
      <c r="M2885" s="15" t="n">
        <v>-5732.7</v>
      </c>
      <c r="N2885" s="4" t="inlineStr">
        <is>
          <t>IOS Owner</t>
        </is>
      </c>
      <c r="O2885" s="4" t="n"/>
      <c r="P2885" s="4" t="n"/>
      <c r="Q2885" s="4" t="inlineStr">
        <is>
          <t>MAESTRO-IOS-PERSONAL-RELATIONSHIPS-2884 | Gifts | 5732.70</t>
        </is>
      </c>
      <c r="R2885" s="4" t="inlineStr">
        <is>
          <t>iPhone</t>
        </is>
      </c>
      <c r="S2885" s="4" t="inlineStr">
        <is>
          <t>B58</t>
        </is>
      </c>
      <c r="T2885" s="4" t="inlineStr">
        <is>
          <t>HIGH_2501_3000</t>
        </is>
      </c>
      <c r="U2885" s="4" t="inlineStr">
        <is>
          <t>CREATED</t>
        </is>
      </c>
      <c r="V2885" s="4" t="inlineStr">
        <is>
          <t>idem-20260902-ios-2884</t>
        </is>
      </c>
    </row>
    <row r="2886" ht="30" customHeight="1">
      <c r="A2886" s="4" t="n">
        <v>2885</v>
      </c>
      <c r="B2886" s="4" t="inlineStr">
        <is>
          <t>MTR-IOS-2885</t>
        </is>
      </c>
      <c r="C2886" s="4" t="inlineStr">
        <is>
          <t>Group</t>
        </is>
      </c>
      <c r="D2886" s="4" t="inlineStr">
        <is>
          <t>Shared Purchase</t>
        </is>
      </c>
      <c r="E2886" s="4" t="inlineStr">
        <is>
          <t>Assets</t>
        </is>
      </c>
      <c r="F2886" s="4" t="inlineStr">
        <is>
          <t>Maintenance</t>
        </is>
      </c>
      <c r="G2886" s="4" t="inlineStr">
        <is>
          <t>Expense</t>
        </is>
      </c>
      <c r="H2886" s="12" t="n">
        <v>46177</v>
      </c>
      <c r="I2886" s="13" t="n">
        <v>0.7398842592592593</v>
      </c>
      <c r="J2886" s="14" t="n">
        <v>46177.73988425926</v>
      </c>
      <c r="K2886" s="15" t="n">
        <v>5386.22</v>
      </c>
      <c r="L2886" s="4" t="inlineStr">
        <is>
          <t>INR</t>
        </is>
      </c>
      <c r="M2886" s="15" t="n">
        <v>-5386.22</v>
      </c>
      <c r="N2886" s="4" t="inlineStr">
        <is>
          <t>IOS Aarav</t>
        </is>
      </c>
      <c r="O2886" s="4" t="n">
        <v>3</v>
      </c>
      <c r="P2886" s="4" t="inlineStr">
        <is>
          <t>PERCENTAGE</t>
        </is>
      </c>
      <c r="Q2886" s="4" t="inlineStr">
        <is>
          <t>MAESTRO-IOS-GROUP-ASSETS-2885 | Maintenance | 5386.22</t>
        </is>
      </c>
      <c r="R2886" s="4" t="inlineStr">
        <is>
          <t>iPhone</t>
        </is>
      </c>
      <c r="S2886" s="4" t="inlineStr">
        <is>
          <t>B58</t>
        </is>
      </c>
      <c r="T2886" s="4" t="inlineStr">
        <is>
          <t>HIGH_2501_3000</t>
        </is>
      </c>
      <c r="U2886" s="4" t="inlineStr">
        <is>
          <t>CREATED</t>
        </is>
      </c>
      <c r="V2886" s="4" t="inlineStr">
        <is>
          <t>idem-20260902-ios-2885</t>
        </is>
      </c>
    </row>
    <row r="2887" ht="30" customHeight="1">
      <c r="A2887" s="4" t="n">
        <v>2886</v>
      </c>
      <c r="B2887" s="4" t="inlineStr">
        <is>
          <t>MTR-IOS-2886</t>
        </is>
      </c>
      <c r="C2887" s="4" t="inlineStr">
        <is>
          <t>Business</t>
        </is>
      </c>
      <c r="D2887" s="4" t="inlineStr">
        <is>
          <t>Business</t>
        </is>
      </c>
      <c r="E2887" s="4" t="inlineStr">
        <is>
          <t>Business Operations</t>
        </is>
      </c>
      <c r="F2887" s="4" t="inlineStr">
        <is>
          <t>Legal</t>
        </is>
      </c>
      <c r="G2887" s="4" t="inlineStr">
        <is>
          <t>Expense</t>
        </is>
      </c>
      <c r="H2887" s="12" t="n">
        <v>46083</v>
      </c>
      <c r="I2887" s="13" t="n">
        <v>0.2500578703703704</v>
      </c>
      <c r="J2887" s="14" t="n">
        <v>46083.25005787037</v>
      </c>
      <c r="K2887" s="15" t="n">
        <v>0.01</v>
      </c>
      <c r="L2887" s="4" t="inlineStr">
        <is>
          <t>INR</t>
        </is>
      </c>
      <c r="M2887" s="15" t="n">
        <v>-0.01</v>
      </c>
      <c r="N2887" s="4" t="inlineStr">
        <is>
          <t>IOS Owner</t>
        </is>
      </c>
      <c r="O2887" s="4" t="n"/>
      <c r="P2887" s="4" t="n"/>
      <c r="Q2887" s="4" t="inlineStr">
        <is>
          <t>MAESTRO-IOS-BUSINESS-BUSINESS_OPERATIONS-2886 | Legal | 0.01</t>
        </is>
      </c>
      <c r="R2887" s="4" t="inlineStr">
        <is>
          <t>iPhone</t>
        </is>
      </c>
      <c r="S2887" s="4" t="inlineStr">
        <is>
          <t>B58</t>
        </is>
      </c>
      <c r="T2887" s="4" t="inlineStr">
        <is>
          <t>HIGH_2501_3000</t>
        </is>
      </c>
      <c r="U2887" s="4" t="inlineStr">
        <is>
          <t>CREATED</t>
        </is>
      </c>
      <c r="V2887" s="4" t="inlineStr">
        <is>
          <t>idem-20260902-ios-2886</t>
        </is>
      </c>
    </row>
    <row r="2888" ht="30" customHeight="1">
      <c r="A2888" s="4" t="n">
        <v>2887</v>
      </c>
      <c r="B2888" s="4" t="inlineStr">
        <is>
          <t>MTR-IOS-2887</t>
        </is>
      </c>
      <c r="C2888" s="4" t="inlineStr">
        <is>
          <t>Personal</t>
        </is>
      </c>
      <c r="D2888" s="4" t="inlineStr">
        <is>
          <t>Personal</t>
        </is>
      </c>
      <c r="E2888" s="4" t="inlineStr">
        <is>
          <t>Relationships</t>
        </is>
      </c>
      <c r="F2888" s="4" t="inlineStr">
        <is>
          <t>Dates</t>
        </is>
      </c>
      <c r="G2888" s="4" t="inlineStr">
        <is>
          <t>Expense</t>
        </is>
      </c>
      <c r="H2888" s="12" t="n">
        <v>46186</v>
      </c>
      <c r="I2888" s="13" t="n">
        <v>0.1808333333333333</v>
      </c>
      <c r="J2888" s="14" t="n">
        <v>46186.18083333333</v>
      </c>
      <c r="K2888" s="15" t="n">
        <v>14533.51</v>
      </c>
      <c r="L2888" s="4" t="inlineStr">
        <is>
          <t>INR</t>
        </is>
      </c>
      <c r="M2888" s="15" t="n">
        <v>-14533.51</v>
      </c>
      <c r="N2888" s="4" t="inlineStr">
        <is>
          <t>IOS Owner</t>
        </is>
      </c>
      <c r="O2888" s="4" t="n"/>
      <c r="P2888" s="4" t="n"/>
      <c r="Q2888" s="4" t="inlineStr">
        <is>
          <t>MAESTRO-IOS-PERSONAL-RELATIONSHIPS-2887 | Dates | 14533.51</t>
        </is>
      </c>
      <c r="R2888" s="4" t="inlineStr">
        <is>
          <t>iPhone</t>
        </is>
      </c>
      <c r="S2888" s="4" t="inlineStr">
        <is>
          <t>B58</t>
        </is>
      </c>
      <c r="T2888" s="4" t="inlineStr">
        <is>
          <t>HIGH_2501_3000</t>
        </is>
      </c>
      <c r="U2888" s="4" t="inlineStr">
        <is>
          <t>CREATED</t>
        </is>
      </c>
      <c r="V2888" s="4" t="inlineStr">
        <is>
          <t>idem-20260902-ios-2887</t>
        </is>
      </c>
    </row>
    <row r="2889" ht="30" customHeight="1">
      <c r="A2889" s="4" t="n">
        <v>2888</v>
      </c>
      <c r="B2889" s="4" t="inlineStr">
        <is>
          <t>MTR-IOS-2888</t>
        </is>
      </c>
      <c r="C2889" s="4" t="inlineStr">
        <is>
          <t>Group</t>
        </is>
      </c>
      <c r="D2889" s="4" t="inlineStr">
        <is>
          <t>Shared Purchase</t>
        </is>
      </c>
      <c r="E2889" s="4" t="inlineStr">
        <is>
          <t>Assets</t>
        </is>
      </c>
      <c r="F2889" s="4" t="inlineStr">
        <is>
          <t>Repair</t>
        </is>
      </c>
      <c r="G2889" s="4" t="inlineStr">
        <is>
          <t>Expense</t>
        </is>
      </c>
      <c r="H2889" s="12" t="n">
        <v>45994</v>
      </c>
      <c r="I2889" s="13" t="n">
        <v>0.6482870370370371</v>
      </c>
      <c r="J2889" s="14" t="n">
        <v>45994.64828703704</v>
      </c>
      <c r="K2889" s="15" t="n">
        <v>1485.34</v>
      </c>
      <c r="L2889" s="4" t="inlineStr">
        <is>
          <t>INR</t>
        </is>
      </c>
      <c r="M2889" s="15" t="n">
        <v>-1485.34</v>
      </c>
      <c r="N2889" s="4" t="inlineStr">
        <is>
          <t>IOS Meera</t>
        </is>
      </c>
      <c r="O2889" s="4" t="n">
        <v>3</v>
      </c>
      <c r="P2889" s="4" t="inlineStr">
        <is>
          <t>EXACT</t>
        </is>
      </c>
      <c r="Q2889" s="4" t="inlineStr">
        <is>
          <t>MAESTRO-IOS-GROUP-ASSETS-2888 | Repair | 1485.34</t>
        </is>
      </c>
      <c r="R2889" s="4" t="inlineStr">
        <is>
          <t>iPhone</t>
        </is>
      </c>
      <c r="S2889" s="4" t="inlineStr">
        <is>
          <t>B58</t>
        </is>
      </c>
      <c r="T2889" s="4" t="inlineStr">
        <is>
          <t>HIGH_2501_3000</t>
        </is>
      </c>
      <c r="U2889" s="4" t="inlineStr">
        <is>
          <t>CREATED</t>
        </is>
      </c>
      <c r="V2889" s="4" t="inlineStr">
        <is>
          <t>idem-20260902-ios-2888</t>
        </is>
      </c>
    </row>
    <row r="2890" ht="30" customHeight="1">
      <c r="A2890" s="4" t="n">
        <v>2889</v>
      </c>
      <c r="B2890" s="4" t="inlineStr">
        <is>
          <t>MTR-IOS-2889</t>
        </is>
      </c>
      <c r="C2890" s="4" t="inlineStr">
        <is>
          <t>Business</t>
        </is>
      </c>
      <c r="D2890" s="4" t="inlineStr">
        <is>
          <t>Business</t>
        </is>
      </c>
      <c r="E2890" s="4" t="inlineStr">
        <is>
          <t>Business Operations</t>
        </is>
      </c>
      <c r="F2890" s="4" t="inlineStr">
        <is>
          <t>Accounting</t>
        </is>
      </c>
      <c r="G2890" s="4" t="inlineStr">
        <is>
          <t>Expense</t>
        </is>
      </c>
      <c r="H2890" s="12" t="n">
        <v>46003</v>
      </c>
      <c r="I2890" s="13" t="n">
        <v>0.7800231481481481</v>
      </c>
      <c r="J2890" s="14" t="n">
        <v>46003.78002314815</v>
      </c>
      <c r="K2890" s="15" t="n">
        <v>155127.85</v>
      </c>
      <c r="L2890" s="4" t="inlineStr">
        <is>
          <t>INR</t>
        </is>
      </c>
      <c r="M2890" s="15" t="n">
        <v>-155127.85</v>
      </c>
      <c r="N2890" s="4" t="inlineStr">
        <is>
          <t>IOS Owner</t>
        </is>
      </c>
      <c r="O2890" s="4" t="n"/>
      <c r="P2890" s="4" t="n"/>
      <c r="Q2890" s="4" t="inlineStr">
        <is>
          <t>MAESTRO-IOS-BUSINESS-BUSINESS_OPERATIONS-2889 | Accounting | 155127.85</t>
        </is>
      </c>
      <c r="R2890" s="4" t="inlineStr">
        <is>
          <t>iPhone</t>
        </is>
      </c>
      <c r="S2890" s="4" t="inlineStr">
        <is>
          <t>B58</t>
        </is>
      </c>
      <c r="T2890" s="4" t="inlineStr">
        <is>
          <t>HIGH_2501_3000</t>
        </is>
      </c>
      <c r="U2890" s="4" t="inlineStr">
        <is>
          <t>CREATED</t>
        </is>
      </c>
      <c r="V2890" s="4" t="inlineStr">
        <is>
          <t>idem-20260902-ios-2889</t>
        </is>
      </c>
    </row>
    <row r="2891" ht="30" customHeight="1">
      <c r="A2891" s="4" t="n">
        <v>2890</v>
      </c>
      <c r="B2891" s="4" t="inlineStr">
        <is>
          <t>MTR-IOS-2890</t>
        </is>
      </c>
      <c r="C2891" s="4" t="inlineStr">
        <is>
          <t>Personal</t>
        </is>
      </c>
      <c r="D2891" s="4" t="inlineStr">
        <is>
          <t>Personal</t>
        </is>
      </c>
      <c r="E2891" s="4" t="inlineStr">
        <is>
          <t>Relationships</t>
        </is>
      </c>
      <c r="F2891" s="4" t="inlineStr">
        <is>
          <t>Family</t>
        </is>
      </c>
      <c r="G2891" s="4" t="inlineStr">
        <is>
          <t>Expense</t>
        </is>
      </c>
      <c r="H2891" s="12" t="n">
        <v>46114</v>
      </c>
      <c r="I2891" s="13" t="n">
        <v>0.09715277777777778</v>
      </c>
      <c r="J2891" s="14" t="n">
        <v>46114.09715277778</v>
      </c>
      <c r="K2891" s="15" t="n">
        <v>17355.29</v>
      </c>
      <c r="L2891" s="4" t="inlineStr">
        <is>
          <t>INR</t>
        </is>
      </c>
      <c r="M2891" s="15" t="n">
        <v>-17355.29</v>
      </c>
      <c r="N2891" s="4" t="inlineStr">
        <is>
          <t>IOS Owner</t>
        </is>
      </c>
      <c r="O2891" s="4" t="n"/>
      <c r="P2891" s="4" t="n"/>
      <c r="Q2891" s="4" t="inlineStr">
        <is>
          <t>MAESTRO-IOS-PERSONAL-RELATIONSHIPS-2890 | Family | 17355.29</t>
        </is>
      </c>
      <c r="R2891" s="4" t="inlineStr">
        <is>
          <t>iPhone</t>
        </is>
      </c>
      <c r="S2891" s="4" t="inlineStr">
        <is>
          <t>B58</t>
        </is>
      </c>
      <c r="T2891" s="4" t="inlineStr">
        <is>
          <t>HIGH_2501_3000</t>
        </is>
      </c>
      <c r="U2891" s="4" t="inlineStr">
        <is>
          <t>CREATED</t>
        </is>
      </c>
      <c r="V2891" s="4" t="inlineStr">
        <is>
          <t>idem-20260902-ios-2890</t>
        </is>
      </c>
    </row>
    <row r="2892" ht="30" customHeight="1">
      <c r="A2892" s="4" t="n">
        <v>2891</v>
      </c>
      <c r="B2892" s="4" t="inlineStr">
        <is>
          <t>MTR-IOS-2891</t>
        </is>
      </c>
      <c r="C2892" s="4" t="inlineStr">
        <is>
          <t>Group</t>
        </is>
      </c>
      <c r="D2892" s="4" t="inlineStr">
        <is>
          <t>Shared Purchase</t>
        </is>
      </c>
      <c r="E2892" s="4" t="inlineStr">
        <is>
          <t>Assets</t>
        </is>
      </c>
      <c r="F2892" s="4" t="inlineStr">
        <is>
          <t>Insurance</t>
        </is>
      </c>
      <c r="G2892" s="4" t="inlineStr">
        <is>
          <t>Expense</t>
        </is>
      </c>
      <c r="H2892" s="12" t="n">
        <v>46085</v>
      </c>
      <c r="I2892" s="13" t="n">
        <v>0.2822106481481482</v>
      </c>
      <c r="J2892" s="14" t="n">
        <v>46085.28221064815</v>
      </c>
      <c r="K2892" s="15" t="n">
        <v>19079.31</v>
      </c>
      <c r="L2892" s="4" t="inlineStr">
        <is>
          <t>INR</t>
        </is>
      </c>
      <c r="M2892" s="15" t="n">
        <v>-19079.31</v>
      </c>
      <c r="N2892" s="4" t="inlineStr">
        <is>
          <t>IOS Owner</t>
        </is>
      </c>
      <c r="O2892" s="4" t="n">
        <v>3</v>
      </c>
      <c r="P2892" s="4" t="inlineStr">
        <is>
          <t>SHARES</t>
        </is>
      </c>
      <c r="Q2892" s="4" t="inlineStr">
        <is>
          <t>MAESTRO-IOS-GROUP-ASSETS-2891 | Insurance | 19079.31</t>
        </is>
      </c>
      <c r="R2892" s="4" t="inlineStr">
        <is>
          <t>iPhone</t>
        </is>
      </c>
      <c r="S2892" s="4" t="inlineStr">
        <is>
          <t>B58</t>
        </is>
      </c>
      <c r="T2892" s="4" t="inlineStr">
        <is>
          <t>HIGH_2501_3000</t>
        </is>
      </c>
      <c r="U2892" s="4" t="inlineStr">
        <is>
          <t>CREATED</t>
        </is>
      </c>
      <c r="V2892" s="4" t="inlineStr">
        <is>
          <t>idem-20260902-ios-2891</t>
        </is>
      </c>
    </row>
    <row r="2893" ht="30" customHeight="1">
      <c r="A2893" s="4" t="n">
        <v>2892</v>
      </c>
      <c r="B2893" s="4" t="inlineStr">
        <is>
          <t>MTR-IOS-2892</t>
        </is>
      </c>
      <c r="C2893" s="4" t="inlineStr">
        <is>
          <t>Business</t>
        </is>
      </c>
      <c r="D2893" s="4" t="inlineStr">
        <is>
          <t>Business</t>
        </is>
      </c>
      <c r="E2893" s="4" t="inlineStr">
        <is>
          <t>Business Operations</t>
        </is>
      </c>
      <c r="F2893" s="4" t="inlineStr">
        <is>
          <t>Equipment</t>
        </is>
      </c>
      <c r="G2893" s="4" t="inlineStr">
        <is>
          <t>Expense</t>
        </is>
      </c>
      <c r="H2893" s="12" t="n">
        <v>46152</v>
      </c>
      <c r="I2893" s="13" t="n">
        <v>0.9943402777777778</v>
      </c>
      <c r="J2893" s="14" t="n">
        <v>46152.99434027778</v>
      </c>
      <c r="K2893" s="15" t="n">
        <v>90790.56</v>
      </c>
      <c r="L2893" s="4" t="inlineStr">
        <is>
          <t>INR</t>
        </is>
      </c>
      <c r="M2893" s="15" t="n">
        <v>-90790.56</v>
      </c>
      <c r="N2893" s="4" t="inlineStr">
        <is>
          <t>IOS Owner</t>
        </is>
      </c>
      <c r="O2893" s="4" t="n"/>
      <c r="P2893" s="4" t="n"/>
      <c r="Q2893" s="4" t="inlineStr">
        <is>
          <t>MAESTRO-IOS-BUSINESS-BUSINESS_OPERATIONS-2892 | Equipment | 90790.56</t>
        </is>
      </c>
      <c r="R2893" s="4" t="inlineStr">
        <is>
          <t>iPhone</t>
        </is>
      </c>
      <c r="S2893" s="4" t="inlineStr">
        <is>
          <t>B58</t>
        </is>
      </c>
      <c r="T2893" s="4" t="inlineStr">
        <is>
          <t>HIGH_2501_3000</t>
        </is>
      </c>
      <c r="U2893" s="4" t="inlineStr">
        <is>
          <t>CREATED</t>
        </is>
      </c>
      <c r="V2893" s="4" t="inlineStr">
        <is>
          <t>idem-20260902-ios-2892</t>
        </is>
      </c>
    </row>
    <row r="2894" ht="30" customHeight="1">
      <c r="A2894" s="4" t="n">
        <v>2893</v>
      </c>
      <c r="B2894" s="4" t="inlineStr">
        <is>
          <t>MTR-IOS-2893</t>
        </is>
      </c>
      <c r="C2894" s="4" t="inlineStr">
        <is>
          <t>Personal</t>
        </is>
      </c>
      <c r="D2894" s="4" t="inlineStr">
        <is>
          <t>Personal</t>
        </is>
      </c>
      <c r="E2894" s="4" t="inlineStr">
        <is>
          <t>Relationships</t>
        </is>
      </c>
      <c r="F2894" s="4" t="inlineStr">
        <is>
          <t>Friends</t>
        </is>
      </c>
      <c r="G2894" s="4" t="inlineStr">
        <is>
          <t>Expense</t>
        </is>
      </c>
      <c r="H2894" s="12" t="n">
        <v>45979</v>
      </c>
      <c r="I2894" s="13" t="n">
        <v>0.8432407407407407</v>
      </c>
      <c r="J2894" s="14" t="n">
        <v>45979.84324074074</v>
      </c>
      <c r="K2894" s="15" t="n">
        <v>8963.4</v>
      </c>
      <c r="L2894" s="4" t="inlineStr">
        <is>
          <t>INR</t>
        </is>
      </c>
      <c r="M2894" s="15" t="n">
        <v>-8963.4</v>
      </c>
      <c r="N2894" s="4" t="inlineStr">
        <is>
          <t>IOS Owner</t>
        </is>
      </c>
      <c r="O2894" s="4" t="n"/>
      <c r="P2894" s="4" t="n"/>
      <c r="Q2894" s="4" t="inlineStr">
        <is>
          <t>MAESTRO-IOS-PERSONAL-RELATIONSHIPS-2893 | Friends | 8963.40</t>
        </is>
      </c>
      <c r="R2894" s="4" t="inlineStr">
        <is>
          <t>iPhone</t>
        </is>
      </c>
      <c r="S2894" s="4" t="inlineStr">
        <is>
          <t>B58</t>
        </is>
      </c>
      <c r="T2894" s="4" t="inlineStr">
        <is>
          <t>HIGH_2501_3000</t>
        </is>
      </c>
      <c r="U2894" s="4" t="inlineStr">
        <is>
          <t>CREATED</t>
        </is>
      </c>
      <c r="V2894" s="4" t="inlineStr">
        <is>
          <t>idem-20260902-ios-2893</t>
        </is>
      </c>
    </row>
    <row r="2895" ht="30" customHeight="1">
      <c r="A2895" s="4" t="n">
        <v>2894</v>
      </c>
      <c r="B2895" s="4" t="inlineStr">
        <is>
          <t>MTR-IOS-2894</t>
        </is>
      </c>
      <c r="C2895" s="4" t="inlineStr">
        <is>
          <t>Group</t>
        </is>
      </c>
      <c r="D2895" s="4" t="inlineStr">
        <is>
          <t>Shared Purchase</t>
        </is>
      </c>
      <c r="E2895" s="4" t="inlineStr">
        <is>
          <t>Assets</t>
        </is>
      </c>
      <c r="F2895" s="4" t="inlineStr">
        <is>
          <t>Other</t>
        </is>
      </c>
      <c r="G2895" s="4" t="inlineStr">
        <is>
          <t>Expense</t>
        </is>
      </c>
      <c r="H2895" s="12" t="n">
        <v>46221</v>
      </c>
      <c r="I2895" s="13" t="n">
        <v>0.3802546296296296</v>
      </c>
      <c r="J2895" s="14" t="n">
        <v>46221.38025462963</v>
      </c>
      <c r="K2895" s="15" t="n">
        <v>1379.58</v>
      </c>
      <c r="L2895" s="4" t="inlineStr">
        <is>
          <t>INR</t>
        </is>
      </c>
      <c r="M2895" s="15" t="n">
        <v>-1379.58</v>
      </c>
      <c r="N2895" s="4" t="inlineStr">
        <is>
          <t>IOS Aarav</t>
        </is>
      </c>
      <c r="O2895" s="4" t="n">
        <v>3</v>
      </c>
      <c r="P2895" s="4" t="inlineStr">
        <is>
          <t>EQUAL</t>
        </is>
      </c>
      <c r="Q2895" s="4" t="inlineStr">
        <is>
          <t>MAESTRO-IOS-GROUP-ASSETS-2894 | Other | 1379.58</t>
        </is>
      </c>
      <c r="R2895" s="4" t="inlineStr">
        <is>
          <t>iPhone</t>
        </is>
      </c>
      <c r="S2895" s="4" t="inlineStr">
        <is>
          <t>B58</t>
        </is>
      </c>
      <c r="T2895" s="4" t="inlineStr">
        <is>
          <t>HIGH_2501_3000</t>
        </is>
      </c>
      <c r="U2895" s="4" t="inlineStr">
        <is>
          <t>CREATED</t>
        </is>
      </c>
      <c r="V2895" s="4" t="inlineStr">
        <is>
          <t>idem-20260902-ios-2894</t>
        </is>
      </c>
    </row>
    <row r="2896" ht="30" customHeight="1">
      <c r="A2896" s="4" t="n">
        <v>2895</v>
      </c>
      <c r="B2896" s="4" t="inlineStr">
        <is>
          <t>MTR-IOS-2895</t>
        </is>
      </c>
      <c r="C2896" s="4" t="inlineStr">
        <is>
          <t>Business</t>
        </is>
      </c>
      <c r="D2896" s="4" t="inlineStr">
        <is>
          <t>Business</t>
        </is>
      </c>
      <c r="E2896" s="4" t="inlineStr">
        <is>
          <t>Business Operations</t>
        </is>
      </c>
      <c r="F2896" s="4" t="inlineStr">
        <is>
          <t>Vendor</t>
        </is>
      </c>
      <c r="G2896" s="4" t="inlineStr">
        <is>
          <t>Expense</t>
        </is>
      </c>
      <c r="H2896" s="12" t="n">
        <v>46149</v>
      </c>
      <c r="I2896" s="13" t="n">
        <v>0.5952199074074074</v>
      </c>
      <c r="J2896" s="14" t="n">
        <v>46149.59521990741</v>
      </c>
      <c r="K2896" s="15" t="n">
        <v>136797.33</v>
      </c>
      <c r="L2896" s="4" t="inlineStr">
        <is>
          <t>INR</t>
        </is>
      </c>
      <c r="M2896" s="15" t="n">
        <v>-136797.33</v>
      </c>
      <c r="N2896" s="4" t="inlineStr">
        <is>
          <t>IOS Owner</t>
        </is>
      </c>
      <c r="O2896" s="4" t="n"/>
      <c r="P2896" s="4" t="n"/>
      <c r="Q2896" s="4" t="inlineStr">
        <is>
          <t>MAESTRO-IOS-BUSINESS-BUSINESS_OPERATIONS-2895 | Vendor | 136797.33</t>
        </is>
      </c>
      <c r="R2896" s="4" t="inlineStr">
        <is>
          <t>iPhone</t>
        </is>
      </c>
      <c r="S2896" s="4" t="inlineStr">
        <is>
          <t>B58</t>
        </is>
      </c>
      <c r="T2896" s="4" t="inlineStr">
        <is>
          <t>HIGH_2501_3000</t>
        </is>
      </c>
      <c r="U2896" s="4" t="inlineStr">
        <is>
          <t>CREATED</t>
        </is>
      </c>
      <c r="V2896" s="4" t="inlineStr">
        <is>
          <t>idem-20260902-ios-2895</t>
        </is>
      </c>
    </row>
    <row r="2897" ht="30" customHeight="1">
      <c r="A2897" s="4" t="n">
        <v>2896</v>
      </c>
      <c r="B2897" s="4" t="inlineStr">
        <is>
          <t>MTR-IOS-2896</t>
        </is>
      </c>
      <c r="C2897" s="4" t="inlineStr">
        <is>
          <t>Personal</t>
        </is>
      </c>
      <c r="D2897" s="4" t="inlineStr">
        <is>
          <t>Personal</t>
        </is>
      </c>
      <c r="E2897" s="4" t="inlineStr">
        <is>
          <t>Relationships</t>
        </is>
      </c>
      <c r="F2897" s="4" t="inlineStr">
        <is>
          <t>Celebrations</t>
        </is>
      </c>
      <c r="G2897" s="4" t="inlineStr">
        <is>
          <t>Expense</t>
        </is>
      </c>
      <c r="H2897" s="12" t="n">
        <v>46192</v>
      </c>
      <c r="I2897" s="13" t="n">
        <v>0.6732175925925926</v>
      </c>
      <c r="J2897" s="14" t="n">
        <v>46192.67321759259</v>
      </c>
      <c r="K2897" s="15" t="n">
        <v>2270.69</v>
      </c>
      <c r="L2897" s="4" t="inlineStr">
        <is>
          <t>INR</t>
        </is>
      </c>
      <c r="M2897" s="15" t="n">
        <v>-2270.69</v>
      </c>
      <c r="N2897" s="4" t="inlineStr">
        <is>
          <t>IOS Owner</t>
        </is>
      </c>
      <c r="O2897" s="4" t="n"/>
      <c r="P2897" s="4" t="n"/>
      <c r="Q2897" s="4" t="inlineStr">
        <is>
          <t>MAESTRO-IOS-PERSONAL-RELATIONSHIPS-2896 | Celebrations | 2270.69</t>
        </is>
      </c>
      <c r="R2897" s="4" t="inlineStr">
        <is>
          <t>iPhone</t>
        </is>
      </c>
      <c r="S2897" s="4" t="inlineStr">
        <is>
          <t>B58</t>
        </is>
      </c>
      <c r="T2897" s="4" t="inlineStr">
        <is>
          <t>HIGH_2501_3000</t>
        </is>
      </c>
      <c r="U2897" s="4" t="inlineStr">
        <is>
          <t>CREATED</t>
        </is>
      </c>
      <c r="V2897" s="4" t="inlineStr">
        <is>
          <t>idem-20260902-ios-2896</t>
        </is>
      </c>
    </row>
    <row r="2898" ht="30" customHeight="1">
      <c r="A2898" s="4" t="n">
        <v>2897</v>
      </c>
      <c r="B2898" s="4" t="inlineStr">
        <is>
          <t>MTR-IOS-2897</t>
        </is>
      </c>
      <c r="C2898" s="4" t="inlineStr">
        <is>
          <t>Group</t>
        </is>
      </c>
      <c r="D2898" s="4" t="inlineStr">
        <is>
          <t>Shared Purchase</t>
        </is>
      </c>
      <c r="E2898" s="4" t="inlineStr">
        <is>
          <t>Custom Purchase</t>
        </is>
      </c>
      <c r="F2898" s="4" t="inlineStr">
        <is>
          <t>Custom Expense</t>
        </is>
      </c>
      <c r="G2898" s="4" t="inlineStr">
        <is>
          <t>Expense</t>
        </is>
      </c>
      <c r="H2898" s="12" t="n">
        <v>46050</v>
      </c>
      <c r="I2898" s="13" t="n">
        <v>0.6778009259259259</v>
      </c>
      <c r="J2898" s="14" t="n">
        <v>46050.67780092593</v>
      </c>
      <c r="K2898" s="15" t="n">
        <v>15061.06</v>
      </c>
      <c r="L2898" s="4" t="inlineStr">
        <is>
          <t>INR</t>
        </is>
      </c>
      <c r="M2898" s="15" t="n">
        <v>-15061.06</v>
      </c>
      <c r="N2898" s="4" t="inlineStr">
        <is>
          <t>IOS Meera</t>
        </is>
      </c>
      <c r="O2898" s="4" t="n">
        <v>3</v>
      </c>
      <c r="P2898" s="4" t="inlineStr">
        <is>
          <t>PERCENTAGE</t>
        </is>
      </c>
      <c r="Q2898" s="4" t="inlineStr">
        <is>
          <t>MAESTRO-IOS-GROUP-CUSTOM_PURCHASE-2897 | Custom Expense | 15061.06</t>
        </is>
      </c>
      <c r="R2898" s="4" t="inlineStr">
        <is>
          <t>iPhone</t>
        </is>
      </c>
      <c r="S2898" s="4" t="inlineStr">
        <is>
          <t>B58</t>
        </is>
      </c>
      <c r="T2898" s="4" t="inlineStr">
        <is>
          <t>HIGH_2501_3000</t>
        </is>
      </c>
      <c r="U2898" s="4" t="inlineStr">
        <is>
          <t>CREATED</t>
        </is>
      </c>
      <c r="V2898" s="4" t="inlineStr">
        <is>
          <t>idem-20260902-ios-2897</t>
        </is>
      </c>
    </row>
    <row r="2899" ht="30" customHeight="1">
      <c r="A2899" s="4" t="n">
        <v>2898</v>
      </c>
      <c r="B2899" s="4" t="inlineStr">
        <is>
          <t>MTR-IOS-2898</t>
        </is>
      </c>
      <c r="C2899" s="4" t="inlineStr">
        <is>
          <t>Business</t>
        </is>
      </c>
      <c r="D2899" s="4" t="inlineStr">
        <is>
          <t>Business</t>
        </is>
      </c>
      <c r="E2899" s="4" t="inlineStr">
        <is>
          <t>Business Operations</t>
        </is>
      </c>
      <c r="F2899" s="4" t="inlineStr">
        <is>
          <t>Tax</t>
        </is>
      </c>
      <c r="G2899" s="4" t="inlineStr">
        <is>
          <t>Expense</t>
        </is>
      </c>
      <c r="H2899" s="12" t="n">
        <v>46248</v>
      </c>
      <c r="I2899" s="13" t="n">
        <v>0.1838310185185185</v>
      </c>
      <c r="J2899" s="14" t="n">
        <v>46248.18383101852</v>
      </c>
      <c r="K2899" s="15" t="n">
        <v>679.49</v>
      </c>
      <c r="L2899" s="4" t="inlineStr">
        <is>
          <t>INR</t>
        </is>
      </c>
      <c r="M2899" s="15" t="n">
        <v>-679.49</v>
      </c>
      <c r="N2899" s="4" t="inlineStr">
        <is>
          <t>IOS Owner</t>
        </is>
      </c>
      <c r="O2899" s="4" t="n"/>
      <c r="P2899" s="4" t="n"/>
      <c r="Q2899" s="4" t="inlineStr">
        <is>
          <t>MAESTRO-IOS-BUSINESS-BUSINESS_OPERATIONS-2898 | Tax | 679.49</t>
        </is>
      </c>
      <c r="R2899" s="4" t="inlineStr">
        <is>
          <t>iPhone</t>
        </is>
      </c>
      <c r="S2899" s="4" t="inlineStr">
        <is>
          <t>B58</t>
        </is>
      </c>
      <c r="T2899" s="4" t="inlineStr">
        <is>
          <t>HIGH_2501_3000</t>
        </is>
      </c>
      <c r="U2899" s="4" t="inlineStr">
        <is>
          <t>CREATED</t>
        </is>
      </c>
      <c r="V2899" s="4" t="inlineStr">
        <is>
          <t>idem-20260902-ios-2898</t>
        </is>
      </c>
    </row>
    <row r="2900" ht="30" customHeight="1">
      <c r="A2900" s="4" t="n">
        <v>2899</v>
      </c>
      <c r="B2900" s="4" t="inlineStr">
        <is>
          <t>MTR-IOS-2899</t>
        </is>
      </c>
      <c r="C2900" s="4" t="inlineStr">
        <is>
          <t>Personal</t>
        </is>
      </c>
      <c r="D2900" s="4" t="inlineStr">
        <is>
          <t>Personal</t>
        </is>
      </c>
      <c r="E2900" s="4" t="inlineStr">
        <is>
          <t>Life Operations</t>
        </is>
      </c>
      <c r="F2900" s="4" t="inlineStr">
        <is>
          <t>Groceries</t>
        </is>
      </c>
      <c r="G2900" s="4" t="inlineStr">
        <is>
          <t>Expense</t>
        </is>
      </c>
      <c r="H2900" s="12" t="n">
        <v>45920</v>
      </c>
      <c r="I2900" s="13" t="n">
        <v>0.9388078703703704</v>
      </c>
      <c r="J2900" s="14" t="n">
        <v>45920.93880787037</v>
      </c>
      <c r="K2900" s="15" t="n">
        <v>1996.09</v>
      </c>
      <c r="L2900" s="4" t="inlineStr">
        <is>
          <t>INR</t>
        </is>
      </c>
      <c r="M2900" s="15" t="n">
        <v>-1996.09</v>
      </c>
      <c r="N2900" s="4" t="inlineStr">
        <is>
          <t>IOS Owner</t>
        </is>
      </c>
      <c r="O2900" s="4" t="n"/>
      <c r="P2900" s="4" t="n"/>
      <c r="Q2900" s="4" t="inlineStr">
        <is>
          <t>MAESTRO-IOS-PERSONAL-LIFE_OPERATIONS-2899 | Groceries | 1996.09</t>
        </is>
      </c>
      <c r="R2900" s="4" t="inlineStr">
        <is>
          <t>iPhone</t>
        </is>
      </c>
      <c r="S2900" s="4" t="inlineStr">
        <is>
          <t>B58</t>
        </is>
      </c>
      <c r="T2900" s="4" t="inlineStr">
        <is>
          <t>HIGH_2501_3000</t>
        </is>
      </c>
      <c r="U2900" s="4" t="inlineStr">
        <is>
          <t>CREATED</t>
        </is>
      </c>
      <c r="V2900" s="4" t="inlineStr">
        <is>
          <t>idem-20260902-ios-2899</t>
        </is>
      </c>
    </row>
    <row r="2901" ht="30" customHeight="1">
      <c r="A2901" s="4" t="n">
        <v>2900</v>
      </c>
      <c r="B2901" s="4" t="inlineStr">
        <is>
          <t>MTR-IOS-2900</t>
        </is>
      </c>
      <c r="C2901" s="4" t="inlineStr">
        <is>
          <t>Group</t>
        </is>
      </c>
      <c r="D2901" s="4" t="inlineStr">
        <is>
          <t>Shared Purchase</t>
        </is>
      </c>
      <c r="E2901" s="4" t="inlineStr">
        <is>
          <t>Custom Purchase</t>
        </is>
      </c>
      <c r="F2901" s="4" t="inlineStr">
        <is>
          <t>Custom Contribution</t>
        </is>
      </c>
      <c r="G2901" s="4" t="inlineStr">
        <is>
          <t>Contribution</t>
        </is>
      </c>
      <c r="H2901" s="12" t="n">
        <v>46105</v>
      </c>
      <c r="I2901" s="13" t="n">
        <v>0.8890393518518519</v>
      </c>
      <c r="J2901" s="14" t="n">
        <v>46105.88903935185</v>
      </c>
      <c r="K2901" s="15" t="n">
        <v>12523.4</v>
      </c>
      <c r="L2901" s="4" t="inlineStr">
        <is>
          <t>INR</t>
        </is>
      </c>
      <c r="M2901" s="15" t="n">
        <v>12523.4</v>
      </c>
      <c r="N2901" s="4" t="inlineStr">
        <is>
          <t>IOS Owner</t>
        </is>
      </c>
      <c r="O2901" s="4" t="n">
        <v>3</v>
      </c>
      <c r="P2901" s="4" t="inlineStr">
        <is>
          <t>EXACT</t>
        </is>
      </c>
      <c r="Q2901" s="4" t="inlineStr">
        <is>
          <t>MAESTRO-IOS-GROUP-CUSTOM_PURCHASE-2900 | Custom Contribution | 12523.40</t>
        </is>
      </c>
      <c r="R2901" s="4" t="inlineStr">
        <is>
          <t>iPhone</t>
        </is>
      </c>
      <c r="S2901" s="4" t="inlineStr">
        <is>
          <t>B58</t>
        </is>
      </c>
      <c r="T2901" s="4" t="inlineStr">
        <is>
          <t>HIGH_2501_3000</t>
        </is>
      </c>
      <c r="U2901" s="4" t="inlineStr">
        <is>
          <t>CREATED</t>
        </is>
      </c>
      <c r="V2901" s="4" t="inlineStr">
        <is>
          <t>idem-20260902-ios-2900</t>
        </is>
      </c>
    </row>
    <row r="2902" ht="30" customHeight="1">
      <c r="A2902" s="4" t="n">
        <v>2901</v>
      </c>
      <c r="B2902" s="4" t="inlineStr">
        <is>
          <t>MTR-IOS-2901</t>
        </is>
      </c>
      <c r="C2902" s="4" t="inlineStr">
        <is>
          <t>Business</t>
        </is>
      </c>
      <c r="D2902" s="4" t="inlineStr">
        <is>
          <t>Business</t>
        </is>
      </c>
      <c r="E2902" s="4" t="inlineStr">
        <is>
          <t>Team Operations</t>
        </is>
      </c>
      <c r="F2902" s="4" t="inlineStr">
        <is>
          <t>Payroll</t>
        </is>
      </c>
      <c r="G2902" s="4" t="inlineStr">
        <is>
          <t>Expense</t>
        </is>
      </c>
      <c r="H2902" s="12" t="n">
        <v>46039</v>
      </c>
      <c r="I2902" s="13" t="n">
        <v>0.7428587962962963</v>
      </c>
      <c r="J2902" s="14" t="n">
        <v>46039.74285879629</v>
      </c>
      <c r="K2902" s="15" t="n">
        <v>91624.13</v>
      </c>
      <c r="L2902" s="4" t="inlineStr">
        <is>
          <t>INR</t>
        </is>
      </c>
      <c r="M2902" s="15" t="n">
        <v>-91624.13</v>
      </c>
      <c r="N2902" s="4" t="inlineStr">
        <is>
          <t>IOS Owner</t>
        </is>
      </c>
      <c r="O2902" s="4" t="n"/>
      <c r="P2902" s="4" t="n"/>
      <c r="Q2902" s="4" t="inlineStr">
        <is>
          <t>MAESTRO-IOS-BUSINESS-TEAM_OPERATIONS-2901 | Payroll | 91624.13</t>
        </is>
      </c>
      <c r="R2902" s="4" t="inlineStr">
        <is>
          <t>iPhone</t>
        </is>
      </c>
      <c r="S2902" s="4" t="inlineStr">
        <is>
          <t>B59</t>
        </is>
      </c>
      <c r="T2902" s="4" t="inlineStr">
        <is>
          <t>HIGH_2501_3000</t>
        </is>
      </c>
      <c r="U2902" s="4" t="inlineStr">
        <is>
          <t>CREATED</t>
        </is>
      </c>
      <c r="V2902" s="4" t="inlineStr">
        <is>
          <t>idem-20260902-ios-2901</t>
        </is>
      </c>
    </row>
    <row r="2903" ht="30" customHeight="1">
      <c r="A2903" s="4" t="n">
        <v>2902</v>
      </c>
      <c r="B2903" s="4" t="inlineStr">
        <is>
          <t>MTR-IOS-2902</t>
        </is>
      </c>
      <c r="C2903" s="4" t="inlineStr">
        <is>
          <t>Personal</t>
        </is>
      </c>
      <c r="D2903" s="4" t="inlineStr">
        <is>
          <t>Personal</t>
        </is>
      </c>
      <c r="E2903" s="4" t="inlineStr">
        <is>
          <t>Life Operations</t>
        </is>
      </c>
      <c r="F2903" s="4" t="inlineStr">
        <is>
          <t>Rent</t>
        </is>
      </c>
      <c r="G2903" s="4" t="inlineStr">
        <is>
          <t>Expense</t>
        </is>
      </c>
      <c r="H2903" s="12" t="n">
        <v>46223</v>
      </c>
      <c r="I2903" s="13" t="n">
        <v>0.6220601851851851</v>
      </c>
      <c r="J2903" s="14" t="n">
        <v>46223.62206018518</v>
      </c>
      <c r="K2903" s="15" t="n">
        <v>2340.93</v>
      </c>
      <c r="L2903" s="4" t="inlineStr">
        <is>
          <t>INR</t>
        </is>
      </c>
      <c r="M2903" s="15" t="n">
        <v>-2340.93</v>
      </c>
      <c r="N2903" s="4" t="inlineStr">
        <is>
          <t>IOS Owner</t>
        </is>
      </c>
      <c r="O2903" s="4" t="n"/>
      <c r="P2903" s="4" t="n"/>
      <c r="Q2903" s="4" t="inlineStr">
        <is>
          <t>MAESTRO-IOS-PERSONAL-LIFE_OPERATIONS-2902 | Rent | 2340.93</t>
        </is>
      </c>
      <c r="R2903" s="4" t="inlineStr">
        <is>
          <t>iPhone</t>
        </is>
      </c>
      <c r="S2903" s="4" t="inlineStr">
        <is>
          <t>B59</t>
        </is>
      </c>
      <c r="T2903" s="4" t="inlineStr">
        <is>
          <t>HIGH_2501_3000</t>
        </is>
      </c>
      <c r="U2903" s="4" t="inlineStr">
        <is>
          <t>CREATED</t>
        </is>
      </c>
      <c r="V2903" s="4" t="inlineStr">
        <is>
          <t>idem-20260902-ios-2902</t>
        </is>
      </c>
    </row>
    <row r="2904" ht="30" customHeight="1">
      <c r="A2904" s="4" t="n">
        <v>2903</v>
      </c>
      <c r="B2904" s="4" t="inlineStr">
        <is>
          <t>MTR-IOS-2903</t>
        </is>
      </c>
      <c r="C2904" s="4" t="inlineStr">
        <is>
          <t>Group</t>
        </is>
      </c>
      <c r="D2904" s="4" t="inlineStr">
        <is>
          <t>Shared Living</t>
        </is>
      </c>
      <c r="E2904" s="4" t="inlineStr">
        <is>
          <t>Flatmates</t>
        </is>
      </c>
      <c r="F2904" s="4" t="inlineStr">
        <is>
          <t>Rent</t>
        </is>
      </c>
      <c r="G2904" s="4" t="inlineStr">
        <is>
          <t>Expense</t>
        </is>
      </c>
      <c r="H2904" s="12" t="n">
        <v>46247</v>
      </c>
      <c r="I2904" s="13" t="n">
        <v>0.8766898148148148</v>
      </c>
      <c r="J2904" s="14" t="n">
        <v>46247.87668981482</v>
      </c>
      <c r="K2904" s="15" t="n">
        <v>14740.87</v>
      </c>
      <c r="L2904" s="4" t="inlineStr">
        <is>
          <t>INR</t>
        </is>
      </c>
      <c r="M2904" s="15" t="n">
        <v>-14740.87</v>
      </c>
      <c r="N2904" s="4" t="inlineStr">
        <is>
          <t>IOS Aarav</t>
        </is>
      </c>
      <c r="O2904" s="4" t="n">
        <v>3</v>
      </c>
      <c r="P2904" s="4" t="inlineStr">
        <is>
          <t>SHARES</t>
        </is>
      </c>
      <c r="Q2904" s="4" t="inlineStr">
        <is>
          <t>MAESTRO-IOS-GROUP-FLATMATES-2903 | Rent | 14740.87</t>
        </is>
      </c>
      <c r="R2904" s="4" t="inlineStr">
        <is>
          <t>iPhone</t>
        </is>
      </c>
      <c r="S2904" s="4" t="inlineStr">
        <is>
          <t>B59</t>
        </is>
      </c>
      <c r="T2904" s="4" t="inlineStr">
        <is>
          <t>HIGH_2501_3000</t>
        </is>
      </c>
      <c r="U2904" s="4" t="inlineStr">
        <is>
          <t>CREATED</t>
        </is>
      </c>
      <c r="V2904" s="4" t="inlineStr">
        <is>
          <t>idem-20260902-ios-2903</t>
        </is>
      </c>
    </row>
    <row r="2905" ht="30" customHeight="1">
      <c r="A2905" s="4" t="n">
        <v>2904</v>
      </c>
      <c r="B2905" s="4" t="inlineStr">
        <is>
          <t>MTR-IOS-2904</t>
        </is>
      </c>
      <c r="C2905" s="4" t="inlineStr">
        <is>
          <t>Business</t>
        </is>
      </c>
      <c r="D2905" s="4" t="inlineStr">
        <is>
          <t>Business</t>
        </is>
      </c>
      <c r="E2905" s="4" t="inlineStr">
        <is>
          <t>Team Operations</t>
        </is>
      </c>
      <c r="F2905" s="4" t="inlineStr">
        <is>
          <t>Contractor</t>
        </is>
      </c>
      <c r="G2905" s="4" t="inlineStr">
        <is>
          <t>Expense</t>
        </is>
      </c>
      <c r="H2905" s="12" t="n">
        <v>46077</v>
      </c>
      <c r="I2905" s="13" t="n">
        <v>0.3991203703703703</v>
      </c>
      <c r="J2905" s="14" t="n">
        <v>46077.39912037037</v>
      </c>
      <c r="K2905" s="15" t="n">
        <v>121869.6</v>
      </c>
      <c r="L2905" s="4" t="inlineStr">
        <is>
          <t>INR</t>
        </is>
      </c>
      <c r="M2905" s="15" t="n">
        <v>-121869.6</v>
      </c>
      <c r="N2905" s="4" t="inlineStr">
        <is>
          <t>IOS Owner</t>
        </is>
      </c>
      <c r="O2905" s="4" t="n"/>
      <c r="P2905" s="4" t="n"/>
      <c r="Q2905" s="4" t="inlineStr">
        <is>
          <t>MAESTRO-IOS-BUSINESS-TEAM_OPERATIONS-2904 | Contractor | 121869.60</t>
        </is>
      </c>
      <c r="R2905" s="4" t="inlineStr">
        <is>
          <t>iPhone</t>
        </is>
      </c>
      <c r="S2905" s="4" t="inlineStr">
        <is>
          <t>B59</t>
        </is>
      </c>
      <c r="T2905" s="4" t="inlineStr">
        <is>
          <t>HIGH_2501_3000</t>
        </is>
      </c>
      <c r="U2905" s="4" t="inlineStr">
        <is>
          <t>CREATED</t>
        </is>
      </c>
      <c r="V2905" s="4" t="inlineStr">
        <is>
          <t>idem-20260902-ios-2904</t>
        </is>
      </c>
    </row>
    <row r="2906" ht="30" customHeight="1">
      <c r="A2906" s="4" t="n">
        <v>2905</v>
      </c>
      <c r="B2906" s="4" t="inlineStr">
        <is>
          <t>MTR-IOS-2905</t>
        </is>
      </c>
      <c r="C2906" s="4" t="inlineStr">
        <is>
          <t>Personal</t>
        </is>
      </c>
      <c r="D2906" s="4" t="inlineStr">
        <is>
          <t>Personal</t>
        </is>
      </c>
      <c r="E2906" s="4" t="inlineStr">
        <is>
          <t>Life Operations</t>
        </is>
      </c>
      <c r="F2906" s="4" t="inlineStr">
        <is>
          <t>Bills</t>
        </is>
      </c>
      <c r="G2906" s="4" t="inlineStr">
        <is>
          <t>Expense</t>
        </is>
      </c>
      <c r="H2906" s="12" t="n">
        <v>45979</v>
      </c>
      <c r="I2906" s="13" t="n">
        <v>0.05756944444444444</v>
      </c>
      <c r="J2906" s="14" t="n">
        <v>45979.05756944444</v>
      </c>
      <c r="K2906" s="15" t="n">
        <v>14933.16</v>
      </c>
      <c r="L2906" s="4" t="inlineStr">
        <is>
          <t>INR</t>
        </is>
      </c>
      <c r="M2906" s="15" t="n">
        <v>-14933.16</v>
      </c>
      <c r="N2906" s="4" t="inlineStr">
        <is>
          <t>IOS Owner</t>
        </is>
      </c>
      <c r="O2906" s="4" t="n"/>
      <c r="P2906" s="4" t="n"/>
      <c r="Q2906" s="4" t="inlineStr">
        <is>
          <t>MAESTRO-IOS-PERSONAL-LIFE_OPERATIONS-2905 | Bills | 14933.16</t>
        </is>
      </c>
      <c r="R2906" s="4" t="inlineStr">
        <is>
          <t>iPhone</t>
        </is>
      </c>
      <c r="S2906" s="4" t="inlineStr">
        <is>
          <t>B59</t>
        </is>
      </c>
      <c r="T2906" s="4" t="inlineStr">
        <is>
          <t>HIGH_2501_3000</t>
        </is>
      </c>
      <c r="U2906" s="4" t="inlineStr">
        <is>
          <t>CREATED</t>
        </is>
      </c>
      <c r="V2906" s="4" t="inlineStr">
        <is>
          <t>idem-20260902-ios-2905</t>
        </is>
      </c>
    </row>
    <row r="2907" ht="30" customHeight="1">
      <c r="A2907" s="4" t="n">
        <v>2906</v>
      </c>
      <c r="B2907" s="4" t="inlineStr">
        <is>
          <t>MTR-IOS-2906</t>
        </is>
      </c>
      <c r="C2907" s="4" t="inlineStr">
        <is>
          <t>Group</t>
        </is>
      </c>
      <c r="D2907" s="4" t="inlineStr">
        <is>
          <t>Shared Living</t>
        </is>
      </c>
      <c r="E2907" s="4" t="inlineStr">
        <is>
          <t>Flatmates</t>
        </is>
      </c>
      <c r="F2907" s="4" t="inlineStr">
        <is>
          <t>Utilities</t>
        </is>
      </c>
      <c r="G2907" s="4" t="inlineStr">
        <is>
          <t>Expense</t>
        </is>
      </c>
      <c r="H2907" s="12" t="n">
        <v>45917</v>
      </c>
      <c r="I2907" s="13" t="n">
        <v>0.1115277777777778</v>
      </c>
      <c r="J2907" s="14" t="n">
        <v>45917.11152777778</v>
      </c>
      <c r="K2907" s="15" t="n">
        <v>4765.67</v>
      </c>
      <c r="L2907" s="4" t="inlineStr">
        <is>
          <t>INR</t>
        </is>
      </c>
      <c r="M2907" s="15" t="n">
        <v>-4765.67</v>
      </c>
      <c r="N2907" s="4" t="inlineStr">
        <is>
          <t>IOS Meera</t>
        </is>
      </c>
      <c r="O2907" s="4" t="n">
        <v>3</v>
      </c>
      <c r="P2907" s="4" t="inlineStr">
        <is>
          <t>EQUAL</t>
        </is>
      </c>
      <c r="Q2907" s="4" t="inlineStr">
        <is>
          <t>MAESTRO-IOS-GROUP-FLATMATES-2906 | Utilities | 4765.67</t>
        </is>
      </c>
      <c r="R2907" s="4" t="inlineStr">
        <is>
          <t>iPhone</t>
        </is>
      </c>
      <c r="S2907" s="4" t="inlineStr">
        <is>
          <t>B59</t>
        </is>
      </c>
      <c r="T2907" s="4" t="inlineStr">
        <is>
          <t>HIGH_2501_3000</t>
        </is>
      </c>
      <c r="U2907" s="4" t="inlineStr">
        <is>
          <t>CREATED</t>
        </is>
      </c>
      <c r="V2907" s="4" t="inlineStr">
        <is>
          <t>idem-20260902-ios-2906</t>
        </is>
      </c>
    </row>
    <row r="2908" ht="30" customHeight="1">
      <c r="A2908" s="4" t="n">
        <v>2907</v>
      </c>
      <c r="B2908" s="4" t="inlineStr">
        <is>
          <t>MTR-IOS-2907</t>
        </is>
      </c>
      <c r="C2908" s="4" t="inlineStr">
        <is>
          <t>Business</t>
        </is>
      </c>
      <c r="D2908" s="4" t="inlineStr">
        <is>
          <t>Business</t>
        </is>
      </c>
      <c r="E2908" s="4" t="inlineStr">
        <is>
          <t>Team Operations</t>
        </is>
      </c>
      <c r="F2908" s="4" t="inlineStr">
        <is>
          <t>Hiring</t>
        </is>
      </c>
      <c r="G2908" s="4" t="inlineStr">
        <is>
          <t>Expense</t>
        </is>
      </c>
      <c r="H2908" s="12" t="n">
        <v>46136</v>
      </c>
      <c r="I2908" s="13" t="n">
        <v>0.7826273148148148</v>
      </c>
      <c r="J2908" s="14" t="n">
        <v>46136.78262731482</v>
      </c>
      <c r="K2908" s="15" t="n">
        <v>16291.63</v>
      </c>
      <c r="L2908" s="4" t="inlineStr">
        <is>
          <t>INR</t>
        </is>
      </c>
      <c r="M2908" s="15" t="n">
        <v>-16291.63</v>
      </c>
      <c r="N2908" s="4" t="inlineStr">
        <is>
          <t>IOS Owner</t>
        </is>
      </c>
      <c r="O2908" s="4" t="n"/>
      <c r="P2908" s="4" t="n"/>
      <c r="Q2908" s="4" t="inlineStr">
        <is>
          <t>MAESTRO-IOS-BUSINESS-TEAM_OPERATIONS-2907 | Hiring | 16291.63</t>
        </is>
      </c>
      <c r="R2908" s="4" t="inlineStr">
        <is>
          <t>iPhone</t>
        </is>
      </c>
      <c r="S2908" s="4" t="inlineStr">
        <is>
          <t>B59</t>
        </is>
      </c>
      <c r="T2908" s="4" t="inlineStr">
        <is>
          <t>HIGH_2501_3000</t>
        </is>
      </c>
      <c r="U2908" s="4" t="inlineStr">
        <is>
          <t>CREATED</t>
        </is>
      </c>
      <c r="V2908" s="4" t="inlineStr">
        <is>
          <t>idem-20260902-ios-2907</t>
        </is>
      </c>
    </row>
    <row r="2909" ht="30" customHeight="1">
      <c r="A2909" s="4" t="n">
        <v>2908</v>
      </c>
      <c r="B2909" s="4" t="inlineStr">
        <is>
          <t>MTR-IOS-2908</t>
        </is>
      </c>
      <c r="C2909" s="4" t="inlineStr">
        <is>
          <t>Personal</t>
        </is>
      </c>
      <c r="D2909" s="4" t="inlineStr">
        <is>
          <t>Personal</t>
        </is>
      </c>
      <c r="E2909" s="4" t="inlineStr">
        <is>
          <t>Life Operations</t>
        </is>
      </c>
      <c r="F2909" s="4" t="inlineStr">
        <is>
          <t>Transport</t>
        </is>
      </c>
      <c r="G2909" s="4" t="inlineStr">
        <is>
          <t>Expense</t>
        </is>
      </c>
      <c r="H2909" s="12" t="n">
        <v>46173</v>
      </c>
      <c r="I2909" s="13" t="n">
        <v>0.8888078703703703</v>
      </c>
      <c r="J2909" s="14" t="n">
        <v>46173.88880787037</v>
      </c>
      <c r="K2909" s="15" t="n">
        <v>17722.71</v>
      </c>
      <c r="L2909" s="4" t="inlineStr">
        <is>
          <t>INR</t>
        </is>
      </c>
      <c r="M2909" s="15" t="n">
        <v>-17722.71</v>
      </c>
      <c r="N2909" s="4" t="inlineStr">
        <is>
          <t>IOS Owner</t>
        </is>
      </c>
      <c r="O2909" s="4" t="n"/>
      <c r="P2909" s="4" t="n"/>
      <c r="Q2909" s="4" t="inlineStr">
        <is>
          <t>MAESTRO-IOS-PERSONAL-LIFE_OPERATIONS-2908 | Transport | 17722.71</t>
        </is>
      </c>
      <c r="R2909" s="4" t="inlineStr">
        <is>
          <t>iPhone</t>
        </is>
      </c>
      <c r="S2909" s="4" t="inlineStr">
        <is>
          <t>B59</t>
        </is>
      </c>
      <c r="T2909" s="4" t="inlineStr">
        <is>
          <t>HIGH_2501_3000</t>
        </is>
      </c>
      <c r="U2909" s="4" t="inlineStr">
        <is>
          <t>CREATED</t>
        </is>
      </c>
      <c r="V2909" s="4" t="inlineStr">
        <is>
          <t>idem-20260902-ios-2908</t>
        </is>
      </c>
    </row>
    <row r="2910" ht="30" customHeight="1">
      <c r="A2910" s="4" t="n">
        <v>2909</v>
      </c>
      <c r="B2910" s="4" t="inlineStr">
        <is>
          <t>MTR-IOS-2909</t>
        </is>
      </c>
      <c r="C2910" s="4" t="inlineStr">
        <is>
          <t>Group</t>
        </is>
      </c>
      <c r="D2910" s="4" t="inlineStr">
        <is>
          <t>Shared Living</t>
        </is>
      </c>
      <c r="E2910" s="4" t="inlineStr">
        <is>
          <t>Flatmates</t>
        </is>
      </c>
      <c r="F2910" s="4" t="inlineStr">
        <is>
          <t>Groceries</t>
        </is>
      </c>
      <c r="G2910" s="4" t="inlineStr">
        <is>
          <t>Expense</t>
        </is>
      </c>
      <c r="H2910" s="12" t="n">
        <v>46096</v>
      </c>
      <c r="I2910" s="13" t="n">
        <v>0.6119907407407408</v>
      </c>
      <c r="J2910" s="14" t="n">
        <v>46096.61199074074</v>
      </c>
      <c r="K2910" s="15" t="n">
        <v>7273.29</v>
      </c>
      <c r="L2910" s="4" t="inlineStr">
        <is>
          <t>INR</t>
        </is>
      </c>
      <c r="M2910" s="15" t="n">
        <v>-7273.29</v>
      </c>
      <c r="N2910" s="4" t="inlineStr">
        <is>
          <t>IOS Owner</t>
        </is>
      </c>
      <c r="O2910" s="4" t="n">
        <v>3</v>
      </c>
      <c r="P2910" s="4" t="inlineStr">
        <is>
          <t>PERCENTAGE</t>
        </is>
      </c>
      <c r="Q2910" s="4" t="inlineStr">
        <is>
          <t>MAESTRO-IOS-GROUP-FLATMATES-2909 | Groceries | 7273.29</t>
        </is>
      </c>
      <c r="R2910" s="4" t="inlineStr">
        <is>
          <t>iPhone</t>
        </is>
      </c>
      <c r="S2910" s="4" t="inlineStr">
        <is>
          <t>B59</t>
        </is>
      </c>
      <c r="T2910" s="4" t="inlineStr">
        <is>
          <t>HIGH_2501_3000</t>
        </is>
      </c>
      <c r="U2910" s="4" t="inlineStr">
        <is>
          <t>CREATED</t>
        </is>
      </c>
      <c r="V2910" s="4" t="inlineStr">
        <is>
          <t>idem-20260902-ios-2909</t>
        </is>
      </c>
    </row>
    <row r="2911" ht="30" customHeight="1">
      <c r="A2911" s="4" t="n">
        <v>2910</v>
      </c>
      <c r="B2911" s="4" t="inlineStr">
        <is>
          <t>MTR-IOS-2910</t>
        </is>
      </c>
      <c r="C2911" s="4" t="inlineStr">
        <is>
          <t>Business</t>
        </is>
      </c>
      <c r="D2911" s="4" t="inlineStr">
        <is>
          <t>Business</t>
        </is>
      </c>
      <c r="E2911" s="4" t="inlineStr">
        <is>
          <t>Team Operations</t>
        </is>
      </c>
      <c r="F2911" s="4" t="inlineStr">
        <is>
          <t>Team Meal</t>
        </is>
      </c>
      <c r="G2911" s="4" t="inlineStr">
        <is>
          <t>Expense</t>
        </is>
      </c>
      <c r="H2911" s="12" t="n">
        <v>45941</v>
      </c>
      <c r="I2911" s="13" t="n">
        <v>0.6787384259259259</v>
      </c>
      <c r="J2911" s="14" t="n">
        <v>45941.67873842592</v>
      </c>
      <c r="K2911" s="15" t="n">
        <v>99430.89</v>
      </c>
      <c r="L2911" s="4" t="inlineStr">
        <is>
          <t>INR</t>
        </is>
      </c>
      <c r="M2911" s="15" t="n">
        <v>-99430.89</v>
      </c>
      <c r="N2911" s="4" t="inlineStr">
        <is>
          <t>IOS Owner</t>
        </is>
      </c>
      <c r="O2911" s="4" t="n"/>
      <c r="P2911" s="4" t="n"/>
      <c r="Q2911" s="4" t="inlineStr">
        <is>
          <t>MAESTRO-IOS-BUSINESS-TEAM_OPERATIONS-2910 | Team Meal | 99430.89</t>
        </is>
      </c>
      <c r="R2911" s="4" t="inlineStr">
        <is>
          <t>iPhone</t>
        </is>
      </c>
      <c r="S2911" s="4" t="inlineStr">
        <is>
          <t>B59</t>
        </is>
      </c>
      <c r="T2911" s="4" t="inlineStr">
        <is>
          <t>HIGH_2501_3000</t>
        </is>
      </c>
      <c r="U2911" s="4" t="inlineStr">
        <is>
          <t>CREATED</t>
        </is>
      </c>
      <c r="V2911" s="4" t="inlineStr">
        <is>
          <t>idem-20260902-ios-2910</t>
        </is>
      </c>
    </row>
    <row r="2912" ht="30" customHeight="1">
      <c r="A2912" s="4" t="n">
        <v>2911</v>
      </c>
      <c r="B2912" s="4" t="inlineStr">
        <is>
          <t>MTR-IOS-2911</t>
        </is>
      </c>
      <c r="C2912" s="4" t="inlineStr">
        <is>
          <t>Personal</t>
        </is>
      </c>
      <c r="D2912" s="4" t="inlineStr">
        <is>
          <t>Personal</t>
        </is>
      </c>
      <c r="E2912" s="4" t="inlineStr">
        <is>
          <t>Life Operations</t>
        </is>
      </c>
      <c r="F2912" s="4" t="inlineStr">
        <is>
          <t>Healthcare</t>
        </is>
      </c>
      <c r="G2912" s="4" t="inlineStr">
        <is>
          <t>Expense</t>
        </is>
      </c>
      <c r="H2912" s="12" t="n">
        <v>46250</v>
      </c>
      <c r="I2912" s="13" t="n">
        <v>0.5</v>
      </c>
      <c r="J2912" s="14" t="n">
        <v>46250.5</v>
      </c>
      <c r="K2912" s="15" t="n">
        <v>2916.22</v>
      </c>
      <c r="L2912" s="4" t="inlineStr">
        <is>
          <t>INR</t>
        </is>
      </c>
      <c r="M2912" s="15" t="n">
        <v>-2916.22</v>
      </c>
      <c r="N2912" s="4" t="inlineStr">
        <is>
          <t>IOS Owner</t>
        </is>
      </c>
      <c r="O2912" s="4" t="n"/>
      <c r="P2912" s="4" t="n"/>
      <c r="Q2912" s="4" t="inlineStr">
        <is>
          <t>MAESTRO-IOS-PERSONAL-LIFE_OPERATIONS-2911 | Healthcare | 2916.22</t>
        </is>
      </c>
      <c r="R2912" s="4" t="inlineStr">
        <is>
          <t>iPhone</t>
        </is>
      </c>
      <c r="S2912" s="4" t="inlineStr">
        <is>
          <t>B59</t>
        </is>
      </c>
      <c r="T2912" s="4" t="inlineStr">
        <is>
          <t>HIGH_2501_3000</t>
        </is>
      </c>
      <c r="U2912" s="4" t="inlineStr">
        <is>
          <t>CREATED</t>
        </is>
      </c>
      <c r="V2912" s="4" t="inlineStr">
        <is>
          <t>idem-20260902-ios-2911</t>
        </is>
      </c>
    </row>
    <row r="2913" ht="30" customHeight="1">
      <c r="A2913" s="4" t="n">
        <v>2912</v>
      </c>
      <c r="B2913" s="4" t="inlineStr">
        <is>
          <t>MTR-IOS-2912</t>
        </is>
      </c>
      <c r="C2913" s="4" t="inlineStr">
        <is>
          <t>Group</t>
        </is>
      </c>
      <c r="D2913" s="4" t="inlineStr">
        <is>
          <t>Shared Living</t>
        </is>
      </c>
      <c r="E2913" s="4" t="inlineStr">
        <is>
          <t>Flatmates</t>
        </is>
      </c>
      <c r="F2913" s="4" t="inlineStr">
        <is>
          <t>Internet</t>
        </is>
      </c>
      <c r="G2913" s="4" t="inlineStr">
        <is>
          <t>Expense</t>
        </is>
      </c>
      <c r="H2913" s="12" t="n">
        <v>46159</v>
      </c>
      <c r="I2913" s="13" t="n">
        <v>0.5451157407407408</v>
      </c>
      <c r="J2913" s="14" t="n">
        <v>46159.54511574074</v>
      </c>
      <c r="K2913" s="15" t="n">
        <v>24806.95</v>
      </c>
      <c r="L2913" s="4" t="inlineStr">
        <is>
          <t>INR</t>
        </is>
      </c>
      <c r="M2913" s="15" t="n">
        <v>-24806.95</v>
      </c>
      <c r="N2913" s="4" t="inlineStr">
        <is>
          <t>IOS Aarav</t>
        </is>
      </c>
      <c r="O2913" s="4" t="n">
        <v>3</v>
      </c>
      <c r="P2913" s="4" t="inlineStr">
        <is>
          <t>EXACT</t>
        </is>
      </c>
      <c r="Q2913" s="4" t="inlineStr">
        <is>
          <t>MAESTRO-IOS-GROUP-FLATMATES-2912 | Internet | 24806.95</t>
        </is>
      </c>
      <c r="R2913" s="4" t="inlineStr">
        <is>
          <t>iPhone</t>
        </is>
      </c>
      <c r="S2913" s="4" t="inlineStr">
        <is>
          <t>B59</t>
        </is>
      </c>
      <c r="T2913" s="4" t="inlineStr">
        <is>
          <t>HIGH_2501_3000</t>
        </is>
      </c>
      <c r="U2913" s="4" t="inlineStr">
        <is>
          <t>CREATED</t>
        </is>
      </c>
      <c r="V2913" s="4" t="inlineStr">
        <is>
          <t>idem-20260902-ios-2912</t>
        </is>
      </c>
    </row>
    <row r="2914" ht="30" customHeight="1">
      <c r="A2914" s="4" t="n">
        <v>2913</v>
      </c>
      <c r="B2914" s="4" t="inlineStr">
        <is>
          <t>MTR-IOS-2913</t>
        </is>
      </c>
      <c r="C2914" s="4" t="inlineStr">
        <is>
          <t>Business</t>
        </is>
      </c>
      <c r="D2914" s="4" t="inlineStr">
        <is>
          <t>Business</t>
        </is>
      </c>
      <c r="E2914" s="4" t="inlineStr">
        <is>
          <t>Team Operations</t>
        </is>
      </c>
      <c r="F2914" s="4" t="inlineStr">
        <is>
          <t>Travel</t>
        </is>
      </c>
      <c r="G2914" s="4" t="inlineStr">
        <is>
          <t>Expense</t>
        </is>
      </c>
      <c r="H2914" s="12" t="n">
        <v>46168</v>
      </c>
      <c r="I2914" s="13" t="n">
        <v>0.5412268518518518</v>
      </c>
      <c r="J2914" s="14" t="n">
        <v>46168.54122685185</v>
      </c>
      <c r="K2914" s="15" t="n">
        <v>131906.61</v>
      </c>
      <c r="L2914" s="4" t="inlineStr">
        <is>
          <t>INR</t>
        </is>
      </c>
      <c r="M2914" s="15" t="n">
        <v>-131906.61</v>
      </c>
      <c r="N2914" s="4" t="inlineStr">
        <is>
          <t>IOS Owner</t>
        </is>
      </c>
      <c r="O2914" s="4" t="n"/>
      <c r="P2914" s="4" t="n"/>
      <c r="Q2914" s="4" t="inlineStr">
        <is>
          <t>MAESTRO-IOS-BUSINESS-TEAM_OPERATIONS-2913 | Travel | 131906.61</t>
        </is>
      </c>
      <c r="R2914" s="4" t="inlineStr">
        <is>
          <t>iPhone</t>
        </is>
      </c>
      <c r="S2914" s="4" t="inlineStr">
        <is>
          <t>B59</t>
        </is>
      </c>
      <c r="T2914" s="4" t="inlineStr">
        <is>
          <t>HIGH_2501_3000</t>
        </is>
      </c>
      <c r="U2914" s="4" t="inlineStr">
        <is>
          <t>CREATED</t>
        </is>
      </c>
      <c r="V2914" s="4" t="inlineStr">
        <is>
          <t>idem-20260902-ios-2913</t>
        </is>
      </c>
    </row>
    <row r="2915" ht="30" customHeight="1">
      <c r="A2915" s="4" t="n">
        <v>2914</v>
      </c>
      <c r="B2915" s="4" t="inlineStr">
        <is>
          <t>MTR-IOS-2914</t>
        </is>
      </c>
      <c r="C2915" s="4" t="inlineStr">
        <is>
          <t>Personal</t>
        </is>
      </c>
      <c r="D2915" s="4" t="inlineStr">
        <is>
          <t>Personal</t>
        </is>
      </c>
      <c r="E2915" s="4" t="inlineStr">
        <is>
          <t>Life Operations</t>
        </is>
      </c>
      <c r="F2915" s="4" t="inlineStr">
        <is>
          <t>Subscriptions</t>
        </is>
      </c>
      <c r="G2915" s="4" t="inlineStr">
        <is>
          <t>Expense</t>
        </is>
      </c>
      <c r="H2915" s="12" t="n">
        <v>45991</v>
      </c>
      <c r="I2915" s="13" t="n">
        <v>0.7299074074074074</v>
      </c>
      <c r="J2915" s="14" t="n">
        <v>45991.72990740741</v>
      </c>
      <c r="K2915" s="15" t="n">
        <v>16970.15</v>
      </c>
      <c r="L2915" s="4" t="inlineStr">
        <is>
          <t>INR</t>
        </is>
      </c>
      <c r="M2915" s="15" t="n">
        <v>-16970.15</v>
      </c>
      <c r="N2915" s="4" t="inlineStr">
        <is>
          <t>IOS Owner</t>
        </is>
      </c>
      <c r="O2915" s="4" t="n"/>
      <c r="P2915" s="4" t="n"/>
      <c r="Q2915" s="4" t="inlineStr">
        <is>
          <t>MAESTRO-IOS-PERSONAL-LIFE_OPERATIONS-2914 | Subscriptions | 16970.15</t>
        </is>
      </c>
      <c r="R2915" s="4" t="inlineStr">
        <is>
          <t>iPhone</t>
        </is>
      </c>
      <c r="S2915" s="4" t="inlineStr">
        <is>
          <t>B59</t>
        </is>
      </c>
      <c r="T2915" s="4" t="inlineStr">
        <is>
          <t>HIGH_2501_3000</t>
        </is>
      </c>
      <c r="U2915" s="4" t="inlineStr">
        <is>
          <t>CREATED</t>
        </is>
      </c>
      <c r="V2915" s="4" t="inlineStr">
        <is>
          <t>idem-20260902-ios-2914</t>
        </is>
      </c>
    </row>
    <row r="2916" ht="30" customHeight="1">
      <c r="A2916" s="4" t="n">
        <v>2915</v>
      </c>
      <c r="B2916" s="4" t="inlineStr">
        <is>
          <t>MTR-IOS-2915</t>
        </is>
      </c>
      <c r="C2916" s="4" t="inlineStr">
        <is>
          <t>Group</t>
        </is>
      </c>
      <c r="D2916" s="4" t="inlineStr">
        <is>
          <t>Shared Living</t>
        </is>
      </c>
      <c r="E2916" s="4" t="inlineStr">
        <is>
          <t>Flatmates</t>
        </is>
      </c>
      <c r="F2916" s="4" t="inlineStr">
        <is>
          <t>House Supplies</t>
        </is>
      </c>
      <c r="G2916" s="4" t="inlineStr">
        <is>
          <t>Expense</t>
        </is>
      </c>
      <c r="H2916" s="12" t="n">
        <v>46011</v>
      </c>
      <c r="I2916" s="13" t="n">
        <v>0.1136458333333333</v>
      </c>
      <c r="J2916" s="14" t="n">
        <v>46011.11364583333</v>
      </c>
      <c r="K2916" s="15" t="n">
        <v>13930.57</v>
      </c>
      <c r="L2916" s="4" t="inlineStr">
        <is>
          <t>INR</t>
        </is>
      </c>
      <c r="M2916" s="15" t="n">
        <v>-13930.57</v>
      </c>
      <c r="N2916" s="4" t="inlineStr">
        <is>
          <t>IOS Meera</t>
        </is>
      </c>
      <c r="O2916" s="4" t="n">
        <v>3</v>
      </c>
      <c r="P2916" s="4" t="inlineStr">
        <is>
          <t>SHARES</t>
        </is>
      </c>
      <c r="Q2916" s="4" t="inlineStr">
        <is>
          <t>MAESTRO-IOS-GROUP-FLATMATES-2915 | House Supplies | 13930.57</t>
        </is>
      </c>
      <c r="R2916" s="4" t="inlineStr">
        <is>
          <t>iPhone</t>
        </is>
      </c>
      <c r="S2916" s="4" t="inlineStr">
        <is>
          <t>B59</t>
        </is>
      </c>
      <c r="T2916" s="4" t="inlineStr">
        <is>
          <t>HIGH_2501_3000</t>
        </is>
      </c>
      <c r="U2916" s="4" t="inlineStr">
        <is>
          <t>CREATED</t>
        </is>
      </c>
      <c r="V2916" s="4" t="inlineStr">
        <is>
          <t>idem-20260902-ios-2915</t>
        </is>
      </c>
    </row>
    <row r="2917" ht="30" customHeight="1">
      <c r="A2917" s="4" t="n">
        <v>2916</v>
      </c>
      <c r="B2917" s="4" t="inlineStr">
        <is>
          <t>MTR-IOS-2916</t>
        </is>
      </c>
      <c r="C2917" s="4" t="inlineStr">
        <is>
          <t>Business</t>
        </is>
      </c>
      <c r="D2917" s="4" t="inlineStr">
        <is>
          <t>Business</t>
        </is>
      </c>
      <c r="E2917" s="4" t="inlineStr">
        <is>
          <t>Team Operations</t>
        </is>
      </c>
      <c r="F2917" s="4" t="inlineStr">
        <is>
          <t>Training</t>
        </is>
      </c>
      <c r="G2917" s="4" t="inlineStr">
        <is>
          <t>Expense</t>
        </is>
      </c>
      <c r="H2917" s="12" t="n">
        <v>46075</v>
      </c>
      <c r="I2917" s="13" t="n">
        <v>0.2972916666666667</v>
      </c>
      <c r="J2917" s="14" t="n">
        <v>46075.29729166667</v>
      </c>
      <c r="K2917" s="15" t="n">
        <v>42209.66</v>
      </c>
      <c r="L2917" s="4" t="inlineStr">
        <is>
          <t>INR</t>
        </is>
      </c>
      <c r="M2917" s="15" t="n">
        <v>-42209.66</v>
      </c>
      <c r="N2917" s="4" t="inlineStr">
        <is>
          <t>IOS Owner</t>
        </is>
      </c>
      <c r="O2917" s="4" t="n"/>
      <c r="P2917" s="4" t="n"/>
      <c r="Q2917" s="4" t="inlineStr">
        <is>
          <t>MAESTRO-IOS-BUSINESS-TEAM_OPERATIONS-2916 | Training | 42209.66</t>
        </is>
      </c>
      <c r="R2917" s="4" t="inlineStr">
        <is>
          <t>iPhone</t>
        </is>
      </c>
      <c r="S2917" s="4" t="inlineStr">
        <is>
          <t>B59</t>
        </is>
      </c>
      <c r="T2917" s="4" t="inlineStr">
        <is>
          <t>HIGH_2501_3000</t>
        </is>
      </c>
      <c r="U2917" s="4" t="inlineStr">
        <is>
          <t>CREATED</t>
        </is>
      </c>
      <c r="V2917" s="4" t="inlineStr">
        <is>
          <t>idem-20260902-ios-2916</t>
        </is>
      </c>
    </row>
    <row r="2918" ht="30" customHeight="1">
      <c r="A2918" s="4" t="n">
        <v>2917</v>
      </c>
      <c r="B2918" s="4" t="inlineStr">
        <is>
          <t>MTR-IOS-2917</t>
        </is>
      </c>
      <c r="C2918" s="4" t="inlineStr">
        <is>
          <t>Personal</t>
        </is>
      </c>
      <c r="D2918" s="4" t="inlineStr">
        <is>
          <t>Personal</t>
        </is>
      </c>
      <c r="E2918" s="4" t="inlineStr">
        <is>
          <t>Life Operations</t>
        </is>
      </c>
      <c r="F2918" s="4" t="inlineStr">
        <is>
          <t>Repairs</t>
        </is>
      </c>
      <c r="G2918" s="4" t="inlineStr">
        <is>
          <t>Expense</t>
        </is>
      </c>
      <c r="H2918" s="12" t="n">
        <v>46222</v>
      </c>
      <c r="I2918" s="13" t="n">
        <v>0.1750810185185185</v>
      </c>
      <c r="J2918" s="14" t="n">
        <v>46222.17508101852</v>
      </c>
      <c r="K2918" s="15" t="n">
        <v>3416.34</v>
      </c>
      <c r="L2918" s="4" t="inlineStr">
        <is>
          <t>INR</t>
        </is>
      </c>
      <c r="M2918" s="15" t="n">
        <v>-3416.34</v>
      </c>
      <c r="N2918" s="4" t="inlineStr">
        <is>
          <t>IOS Owner</t>
        </is>
      </c>
      <c r="O2918" s="4" t="n"/>
      <c r="P2918" s="4" t="n"/>
      <c r="Q2918" s="4" t="inlineStr">
        <is>
          <t>MAESTRO-IOS-PERSONAL-LIFE_OPERATIONS-2917 | Repairs | 3416.34</t>
        </is>
      </c>
      <c r="R2918" s="4" t="inlineStr">
        <is>
          <t>iPhone</t>
        </is>
      </c>
      <c r="S2918" s="4" t="inlineStr">
        <is>
          <t>B59</t>
        </is>
      </c>
      <c r="T2918" s="4" t="inlineStr">
        <is>
          <t>HIGH_2501_3000</t>
        </is>
      </c>
      <c r="U2918" s="4" t="inlineStr">
        <is>
          <t>CREATED</t>
        </is>
      </c>
      <c r="V2918" s="4" t="inlineStr">
        <is>
          <t>idem-20260902-ios-2917</t>
        </is>
      </c>
    </row>
    <row r="2919" ht="30" customHeight="1">
      <c r="A2919" s="4" t="n">
        <v>2918</v>
      </c>
      <c r="B2919" s="4" t="inlineStr">
        <is>
          <t>MTR-IOS-2918</t>
        </is>
      </c>
      <c r="C2919" s="4" t="inlineStr">
        <is>
          <t>Group</t>
        </is>
      </c>
      <c r="D2919" s="4" t="inlineStr">
        <is>
          <t>Shared Living</t>
        </is>
      </c>
      <c r="E2919" s="4" t="inlineStr">
        <is>
          <t>Flatmates</t>
        </is>
      </c>
      <c r="F2919" s="4" t="inlineStr">
        <is>
          <t>Repairs</t>
        </is>
      </c>
      <c r="G2919" s="4" t="inlineStr">
        <is>
          <t>Expense</t>
        </is>
      </c>
      <c r="H2919" s="12" t="n">
        <v>46025</v>
      </c>
      <c r="I2919" s="13" t="n">
        <v>0.3688425925925926</v>
      </c>
      <c r="J2919" s="14" t="n">
        <v>46025.36884259259</v>
      </c>
      <c r="K2919" s="15" t="n">
        <v>14912.06</v>
      </c>
      <c r="L2919" s="4" t="inlineStr">
        <is>
          <t>INR</t>
        </is>
      </c>
      <c r="M2919" s="15" t="n">
        <v>-14912.06</v>
      </c>
      <c r="N2919" s="4" t="inlineStr">
        <is>
          <t>IOS Owner</t>
        </is>
      </c>
      <c r="O2919" s="4" t="n">
        <v>3</v>
      </c>
      <c r="P2919" s="4" t="inlineStr">
        <is>
          <t>EQUAL</t>
        </is>
      </c>
      <c r="Q2919" s="4" t="inlineStr">
        <is>
          <t>MAESTRO-IOS-GROUP-FLATMATES-2918 | Repairs | 14912.06</t>
        </is>
      </c>
      <c r="R2919" s="4" t="inlineStr">
        <is>
          <t>iPhone</t>
        </is>
      </c>
      <c r="S2919" s="4" t="inlineStr">
        <is>
          <t>B59</t>
        </is>
      </c>
      <c r="T2919" s="4" t="inlineStr">
        <is>
          <t>HIGH_2501_3000</t>
        </is>
      </c>
      <c r="U2919" s="4" t="inlineStr">
        <is>
          <t>CREATED</t>
        </is>
      </c>
      <c r="V2919" s="4" t="inlineStr">
        <is>
          <t>idem-20260902-ios-2918</t>
        </is>
      </c>
    </row>
    <row r="2920" ht="30" customHeight="1">
      <c r="A2920" s="4" t="n">
        <v>2919</v>
      </c>
      <c r="B2920" s="4" t="inlineStr">
        <is>
          <t>MTR-IOS-2919</t>
        </is>
      </c>
      <c r="C2920" s="4" t="inlineStr">
        <is>
          <t>Business</t>
        </is>
      </c>
      <c r="D2920" s="4" t="inlineStr">
        <is>
          <t>Business</t>
        </is>
      </c>
      <c r="E2920" s="4" t="inlineStr">
        <is>
          <t>Team Operations</t>
        </is>
      </c>
      <c r="F2920" s="4" t="inlineStr">
        <is>
          <t>Tools</t>
        </is>
      </c>
      <c r="G2920" s="4" t="inlineStr">
        <is>
          <t>Expense</t>
        </is>
      </c>
      <c r="H2920" s="12" t="n">
        <v>46262</v>
      </c>
      <c r="I2920" s="13" t="n">
        <v>0.6469675925925926</v>
      </c>
      <c r="J2920" s="14" t="n">
        <v>46262.64696759259</v>
      </c>
      <c r="K2920" s="15" t="n">
        <v>91704.35000000001</v>
      </c>
      <c r="L2920" s="4" t="inlineStr">
        <is>
          <t>INR</t>
        </is>
      </c>
      <c r="M2920" s="15" t="n">
        <v>-91704.35000000001</v>
      </c>
      <c r="N2920" s="4" t="inlineStr">
        <is>
          <t>IOS Owner</t>
        </is>
      </c>
      <c r="O2920" s="4" t="n"/>
      <c r="P2920" s="4" t="n"/>
      <c r="Q2920" s="4" t="inlineStr">
        <is>
          <t>MAESTRO-IOS-BUSINESS-TEAM_OPERATIONS-2919 | Tools | 91704.35</t>
        </is>
      </c>
      <c r="R2920" s="4" t="inlineStr">
        <is>
          <t>iPhone</t>
        </is>
      </c>
      <c r="S2920" s="4" t="inlineStr">
        <is>
          <t>B59</t>
        </is>
      </c>
      <c r="T2920" s="4" t="inlineStr">
        <is>
          <t>HIGH_2501_3000</t>
        </is>
      </c>
      <c r="U2920" s="4" t="inlineStr">
        <is>
          <t>CREATED</t>
        </is>
      </c>
      <c r="V2920" s="4" t="inlineStr">
        <is>
          <t>idem-20260902-ios-2919</t>
        </is>
      </c>
    </row>
    <row r="2921" ht="30" customHeight="1">
      <c r="A2921" s="4" t="n">
        <v>2920</v>
      </c>
      <c r="B2921" s="4" t="inlineStr">
        <is>
          <t>MTR-IOS-2920</t>
        </is>
      </c>
      <c r="C2921" s="4" t="inlineStr">
        <is>
          <t>Personal</t>
        </is>
      </c>
      <c r="D2921" s="4" t="inlineStr">
        <is>
          <t>Personal</t>
        </is>
      </c>
      <c r="E2921" s="4" t="inlineStr">
        <is>
          <t>Future Building</t>
        </is>
      </c>
      <c r="F2921" s="4" t="inlineStr">
        <is>
          <t>Savings</t>
        </is>
      </c>
      <c r="G2921" s="4" t="inlineStr">
        <is>
          <t>Transfer</t>
        </is>
      </c>
      <c r="H2921" s="12" t="n">
        <v>46238</v>
      </c>
      <c r="I2921" s="13" t="n">
        <v>0.5614467592592592</v>
      </c>
      <c r="J2921" s="14" t="n">
        <v>46238.56144675926</v>
      </c>
      <c r="K2921" s="15" t="n">
        <v>10574.88</v>
      </c>
      <c r="L2921" s="4" t="inlineStr">
        <is>
          <t>INR</t>
        </is>
      </c>
      <c r="M2921" s="15" t="n">
        <v>0</v>
      </c>
      <c r="N2921" s="4" t="inlineStr">
        <is>
          <t>IOS Owner</t>
        </is>
      </c>
      <c r="O2921" s="4" t="n"/>
      <c r="P2921" s="4" t="n"/>
      <c r="Q2921" s="4" t="inlineStr">
        <is>
          <t>MAESTRO-IOS-PERSONAL-FUTURE_BUILDING-2920 | Savings | 10574.88</t>
        </is>
      </c>
      <c r="R2921" s="4" t="inlineStr">
        <is>
          <t>iPhone</t>
        </is>
      </c>
      <c r="S2921" s="4" t="inlineStr">
        <is>
          <t>B59</t>
        </is>
      </c>
      <c r="T2921" s="4" t="inlineStr">
        <is>
          <t>HIGH_2501_3000</t>
        </is>
      </c>
      <c r="U2921" s="4" t="inlineStr">
        <is>
          <t>CREATED</t>
        </is>
      </c>
      <c r="V2921" s="4" t="inlineStr">
        <is>
          <t>idem-20260902-ios-2920</t>
        </is>
      </c>
    </row>
    <row r="2922" ht="30" customHeight="1">
      <c r="A2922" s="4" t="n">
        <v>2921</v>
      </c>
      <c r="B2922" s="4" t="inlineStr">
        <is>
          <t>MTR-IOS-2921</t>
        </is>
      </c>
      <c r="C2922" s="4" t="inlineStr">
        <is>
          <t>Group</t>
        </is>
      </c>
      <c r="D2922" s="4" t="inlineStr">
        <is>
          <t>Shared Living</t>
        </is>
      </c>
      <c r="E2922" s="4" t="inlineStr">
        <is>
          <t>Shared Living</t>
        </is>
      </c>
      <c r="F2922" s="4" t="inlineStr">
        <is>
          <t>Rent</t>
        </is>
      </c>
      <c r="G2922" s="4" t="inlineStr">
        <is>
          <t>Expense</t>
        </is>
      </c>
      <c r="H2922" s="12" t="n">
        <v>46162</v>
      </c>
      <c r="I2922" s="13" t="n">
        <v>0.7299305555555555</v>
      </c>
      <c r="J2922" s="14" t="n">
        <v>46162.72993055556</v>
      </c>
      <c r="K2922" s="15" t="n">
        <v>7084.03</v>
      </c>
      <c r="L2922" s="4" t="inlineStr">
        <is>
          <t>INR</t>
        </is>
      </c>
      <c r="M2922" s="15" t="n">
        <v>-7084.03</v>
      </c>
      <c r="N2922" s="4" t="inlineStr">
        <is>
          <t>IOS Aarav</t>
        </is>
      </c>
      <c r="O2922" s="4" t="n">
        <v>3</v>
      </c>
      <c r="P2922" s="4" t="inlineStr">
        <is>
          <t>PERCENTAGE</t>
        </is>
      </c>
      <c r="Q2922" s="4" t="inlineStr">
        <is>
          <t>MAESTRO-IOS-GROUP-SHARED_LIVING-2921 | Rent | 7084.03</t>
        </is>
      </c>
      <c r="R2922" s="4" t="inlineStr">
        <is>
          <t>iPhone</t>
        </is>
      </c>
      <c r="S2922" s="4" t="inlineStr">
        <is>
          <t>B59</t>
        </is>
      </c>
      <c r="T2922" s="4" t="inlineStr">
        <is>
          <t>HIGH_2501_3000</t>
        </is>
      </c>
      <c r="U2922" s="4" t="inlineStr">
        <is>
          <t>CREATED</t>
        </is>
      </c>
      <c r="V2922" s="4" t="inlineStr">
        <is>
          <t>idem-20260902-ios-2921</t>
        </is>
      </c>
    </row>
    <row r="2923" ht="30" customHeight="1">
      <c r="A2923" s="4" t="n">
        <v>2922</v>
      </c>
      <c r="B2923" s="4" t="inlineStr">
        <is>
          <t>MTR-IOS-2922</t>
        </is>
      </c>
      <c r="C2923" s="4" t="inlineStr">
        <is>
          <t>Business</t>
        </is>
      </c>
      <c r="D2923" s="4" t="inlineStr">
        <is>
          <t>Business</t>
        </is>
      </c>
      <c r="E2923" s="4" t="inlineStr">
        <is>
          <t>Business Runway</t>
        </is>
      </c>
      <c r="F2923" s="4" t="inlineStr">
        <is>
          <t>Funding</t>
        </is>
      </c>
      <c r="G2923" s="4" t="inlineStr">
        <is>
          <t>Income</t>
        </is>
      </c>
      <c r="H2923" s="12" t="n">
        <v>46235</v>
      </c>
      <c r="I2923" s="13" t="n">
        <v>0.1076967592592593</v>
      </c>
      <c r="J2923" s="14" t="n">
        <v>46235.10769675926</v>
      </c>
      <c r="K2923" s="15" t="n">
        <v>49718.38</v>
      </c>
      <c r="L2923" s="4" t="inlineStr">
        <is>
          <t>INR</t>
        </is>
      </c>
      <c r="M2923" s="15" t="n">
        <v>49718.38</v>
      </c>
      <c r="N2923" s="4" t="inlineStr">
        <is>
          <t>IOS Owner</t>
        </is>
      </c>
      <c r="O2923" s="4" t="n"/>
      <c r="P2923" s="4" t="n"/>
      <c r="Q2923" s="4" t="inlineStr">
        <is>
          <t>MAESTRO-IOS-BUSINESS-BUSINESS_RUNWAY-2922 | Funding | 49718.38</t>
        </is>
      </c>
      <c r="R2923" s="4" t="inlineStr">
        <is>
          <t>iPhone</t>
        </is>
      </c>
      <c r="S2923" s="4" t="inlineStr">
        <is>
          <t>B59</t>
        </is>
      </c>
      <c r="T2923" s="4" t="inlineStr">
        <is>
          <t>HIGH_2501_3000</t>
        </is>
      </c>
      <c r="U2923" s="4" t="inlineStr">
        <is>
          <t>CREATED</t>
        </is>
      </c>
      <c r="V2923" s="4" t="inlineStr">
        <is>
          <t>idem-20260902-ios-2922</t>
        </is>
      </c>
    </row>
    <row r="2924" ht="30" customHeight="1">
      <c r="A2924" s="4" t="n">
        <v>2923</v>
      </c>
      <c r="B2924" s="4" t="inlineStr">
        <is>
          <t>MTR-IOS-2923</t>
        </is>
      </c>
      <c r="C2924" s="4" t="inlineStr">
        <is>
          <t>Personal</t>
        </is>
      </c>
      <c r="D2924" s="4" t="inlineStr">
        <is>
          <t>Personal</t>
        </is>
      </c>
      <c r="E2924" s="4" t="inlineStr">
        <is>
          <t>Future Building</t>
        </is>
      </c>
      <c r="F2924" s="4" t="inlineStr">
        <is>
          <t>Emergency Fund</t>
        </is>
      </c>
      <c r="G2924" s="4" t="inlineStr">
        <is>
          <t>Transfer</t>
        </is>
      </c>
      <c r="H2924" s="12" t="n">
        <v>45998</v>
      </c>
      <c r="I2924" s="13" t="n">
        <v>0.6235185185185185</v>
      </c>
      <c r="J2924" s="14" t="n">
        <v>45998.62351851852</v>
      </c>
      <c r="K2924" s="15" t="n">
        <v>1</v>
      </c>
      <c r="L2924" s="4" t="inlineStr">
        <is>
          <t>INR</t>
        </is>
      </c>
      <c r="M2924" s="15" t="n">
        <v>0</v>
      </c>
      <c r="N2924" s="4" t="inlineStr">
        <is>
          <t>IOS Owner</t>
        </is>
      </c>
      <c r="O2924" s="4" t="n"/>
      <c r="P2924" s="4" t="n"/>
      <c r="Q2924" s="4" t="inlineStr">
        <is>
          <t>MAESTRO-IOS-PERSONAL-FUTURE_BUILDING-2923 | Emergency Fund | 1.00</t>
        </is>
      </c>
      <c r="R2924" s="4" t="inlineStr">
        <is>
          <t>iPhone</t>
        </is>
      </c>
      <c r="S2924" s="4" t="inlineStr">
        <is>
          <t>B59</t>
        </is>
      </c>
      <c r="T2924" s="4" t="inlineStr">
        <is>
          <t>HIGH_2501_3000</t>
        </is>
      </c>
      <c r="U2924" s="4" t="inlineStr">
        <is>
          <t>CREATED</t>
        </is>
      </c>
      <c r="V2924" s="4" t="inlineStr">
        <is>
          <t>idem-20260902-ios-2923</t>
        </is>
      </c>
    </row>
    <row r="2925" ht="30" customHeight="1">
      <c r="A2925" s="4" t="n">
        <v>2924</v>
      </c>
      <c r="B2925" s="4" t="inlineStr">
        <is>
          <t>MTR-IOS-2924</t>
        </is>
      </c>
      <c r="C2925" s="4" t="inlineStr">
        <is>
          <t>Group</t>
        </is>
      </c>
      <c r="D2925" s="4" t="inlineStr">
        <is>
          <t>Shared Living</t>
        </is>
      </c>
      <c r="E2925" s="4" t="inlineStr">
        <is>
          <t>Shared Living</t>
        </is>
      </c>
      <c r="F2925" s="4" t="inlineStr">
        <is>
          <t>Utilities</t>
        </is>
      </c>
      <c r="G2925" s="4" t="inlineStr">
        <is>
          <t>Expense</t>
        </is>
      </c>
      <c r="H2925" s="12" t="n">
        <v>46108</v>
      </c>
      <c r="I2925" s="13" t="n">
        <v>0.1654166666666667</v>
      </c>
      <c r="J2925" s="14" t="n">
        <v>46108.16541666666</v>
      </c>
      <c r="K2925" s="15" t="n">
        <v>13988.77</v>
      </c>
      <c r="L2925" s="4" t="inlineStr">
        <is>
          <t>INR</t>
        </is>
      </c>
      <c r="M2925" s="15" t="n">
        <v>-13988.77</v>
      </c>
      <c r="N2925" s="4" t="inlineStr">
        <is>
          <t>IOS Meera</t>
        </is>
      </c>
      <c r="O2925" s="4" t="n">
        <v>3</v>
      </c>
      <c r="P2925" s="4" t="inlineStr">
        <is>
          <t>EXACT</t>
        </is>
      </c>
      <c r="Q2925" s="4" t="inlineStr">
        <is>
          <t>MAESTRO-IOS-GROUP-SHARED_LIVING-2924 | Utilities | 13988.77</t>
        </is>
      </c>
      <c r="R2925" s="4" t="inlineStr">
        <is>
          <t>iPhone</t>
        </is>
      </c>
      <c r="S2925" s="4" t="inlineStr">
        <is>
          <t>B59</t>
        </is>
      </c>
      <c r="T2925" s="4" t="inlineStr">
        <is>
          <t>HIGH_2501_3000</t>
        </is>
      </c>
      <c r="U2925" s="4" t="inlineStr">
        <is>
          <t>CREATED</t>
        </is>
      </c>
      <c r="V2925" s="4" t="inlineStr">
        <is>
          <t>idem-20260902-ios-2924</t>
        </is>
      </c>
    </row>
    <row r="2926" ht="30" customHeight="1">
      <c r="A2926" s="4" t="n">
        <v>2925</v>
      </c>
      <c r="B2926" s="4" t="inlineStr">
        <is>
          <t>MTR-IOS-2925</t>
        </is>
      </c>
      <c r="C2926" s="4" t="inlineStr">
        <is>
          <t>Business</t>
        </is>
      </c>
      <c r="D2926" s="4" t="inlineStr">
        <is>
          <t>Business</t>
        </is>
      </c>
      <c r="E2926" s="4" t="inlineStr">
        <is>
          <t>Business Runway</t>
        </is>
      </c>
      <c r="F2926" s="4" t="inlineStr">
        <is>
          <t>Revenue</t>
        </is>
      </c>
      <c r="G2926" s="4" t="inlineStr">
        <is>
          <t>Income</t>
        </is>
      </c>
      <c r="H2926" s="12" t="n">
        <v>45993</v>
      </c>
      <c r="I2926" s="13" t="n">
        <v>0.9231134259259259</v>
      </c>
      <c r="J2926" s="14" t="n">
        <v>45993.92311342592</v>
      </c>
      <c r="K2926" s="15" t="n">
        <v>92993.94</v>
      </c>
      <c r="L2926" s="4" t="inlineStr">
        <is>
          <t>INR</t>
        </is>
      </c>
      <c r="M2926" s="15" t="n">
        <v>92993.94</v>
      </c>
      <c r="N2926" s="4" t="inlineStr">
        <is>
          <t>IOS Owner</t>
        </is>
      </c>
      <c r="O2926" s="4" t="n"/>
      <c r="P2926" s="4" t="n"/>
      <c r="Q2926" s="4" t="inlineStr">
        <is>
          <t>MAESTRO-IOS-BUSINESS-BUSINESS_RUNWAY-2925 | Revenue | 92993.94</t>
        </is>
      </c>
      <c r="R2926" s="4" t="inlineStr">
        <is>
          <t>iPhone</t>
        </is>
      </c>
      <c r="S2926" s="4" t="inlineStr">
        <is>
          <t>B59</t>
        </is>
      </c>
      <c r="T2926" s="4" t="inlineStr">
        <is>
          <t>HIGH_2501_3000</t>
        </is>
      </c>
      <c r="U2926" s="4" t="inlineStr">
        <is>
          <t>CREATED</t>
        </is>
      </c>
      <c r="V2926" s="4" t="inlineStr">
        <is>
          <t>idem-20260902-ios-2925</t>
        </is>
      </c>
    </row>
    <row r="2927" ht="30" customHeight="1">
      <c r="A2927" s="4" t="n">
        <v>2926</v>
      </c>
      <c r="B2927" s="4" t="inlineStr">
        <is>
          <t>MTR-IOS-2926</t>
        </is>
      </c>
      <c r="C2927" s="4" t="inlineStr">
        <is>
          <t>Personal</t>
        </is>
      </c>
      <c r="D2927" s="4" t="inlineStr">
        <is>
          <t>Personal</t>
        </is>
      </c>
      <c r="E2927" s="4" t="inlineStr">
        <is>
          <t>Future Building</t>
        </is>
      </c>
      <c r="F2927" s="4" t="inlineStr">
        <is>
          <t>Investments</t>
        </is>
      </c>
      <c r="G2927" s="4" t="inlineStr">
        <is>
          <t>Investment</t>
        </is>
      </c>
      <c r="H2927" s="12" t="n">
        <v>46221</v>
      </c>
      <c r="I2927" s="13" t="n">
        <v>0.6578009259259259</v>
      </c>
      <c r="J2927" s="14" t="n">
        <v>46221.65780092592</v>
      </c>
      <c r="K2927" s="15" t="n">
        <v>6710.52</v>
      </c>
      <c r="L2927" s="4" t="inlineStr">
        <is>
          <t>INR</t>
        </is>
      </c>
      <c r="M2927" s="15" t="n">
        <v>0</v>
      </c>
      <c r="N2927" s="4" t="inlineStr">
        <is>
          <t>IOS Owner</t>
        </is>
      </c>
      <c r="O2927" s="4" t="n"/>
      <c r="P2927" s="4" t="n"/>
      <c r="Q2927" s="4" t="inlineStr">
        <is>
          <t>MAESTRO-IOS-PERSONAL-FUTURE_BUILDING-2926 | Investments | 6710.52</t>
        </is>
      </c>
      <c r="R2927" s="4" t="inlineStr">
        <is>
          <t>iPhone</t>
        </is>
      </c>
      <c r="S2927" s="4" t="inlineStr">
        <is>
          <t>B59</t>
        </is>
      </c>
      <c r="T2927" s="4" t="inlineStr">
        <is>
          <t>HIGH_2501_3000</t>
        </is>
      </c>
      <c r="U2927" s="4" t="inlineStr">
        <is>
          <t>CREATED</t>
        </is>
      </c>
      <c r="V2927" s="4" t="inlineStr">
        <is>
          <t>idem-20260902-ios-2926</t>
        </is>
      </c>
    </row>
    <row r="2928" ht="30" customHeight="1">
      <c r="A2928" s="4" t="n">
        <v>2927</v>
      </c>
      <c r="B2928" s="4" t="inlineStr">
        <is>
          <t>MTR-IOS-2927</t>
        </is>
      </c>
      <c r="C2928" s="4" t="inlineStr">
        <is>
          <t>Group</t>
        </is>
      </c>
      <c r="D2928" s="4" t="inlineStr">
        <is>
          <t>Shared Living</t>
        </is>
      </c>
      <c r="E2928" s="4" t="inlineStr">
        <is>
          <t>Shared Living</t>
        </is>
      </c>
      <c r="F2928" s="4" t="inlineStr">
        <is>
          <t>Groceries</t>
        </is>
      </c>
      <c r="G2928" s="4" t="inlineStr">
        <is>
          <t>Expense</t>
        </is>
      </c>
      <c r="H2928" s="12" t="n">
        <v>46108</v>
      </c>
      <c r="I2928" s="13" t="n">
        <v>0.09564814814814815</v>
      </c>
      <c r="J2928" s="14" t="n">
        <v>46108.09564814815</v>
      </c>
      <c r="K2928" s="15" t="n">
        <v>19586.77</v>
      </c>
      <c r="L2928" s="4" t="inlineStr">
        <is>
          <t>INR</t>
        </is>
      </c>
      <c r="M2928" s="15" t="n">
        <v>-19586.77</v>
      </c>
      <c r="N2928" s="4" t="inlineStr">
        <is>
          <t>IOS Owner</t>
        </is>
      </c>
      <c r="O2928" s="4" t="n">
        <v>3</v>
      </c>
      <c r="P2928" s="4" t="inlineStr">
        <is>
          <t>SHARES</t>
        </is>
      </c>
      <c r="Q2928" s="4" t="inlineStr">
        <is>
          <t>MAESTRO-IOS-GROUP-SHARED_LIVING-2927 | Groceries | 19586.77</t>
        </is>
      </c>
      <c r="R2928" s="4" t="inlineStr">
        <is>
          <t>iPhone</t>
        </is>
      </c>
      <c r="S2928" s="4" t="inlineStr">
        <is>
          <t>B59</t>
        </is>
      </c>
      <c r="T2928" s="4" t="inlineStr">
        <is>
          <t>HIGH_2501_3000</t>
        </is>
      </c>
      <c r="U2928" s="4" t="inlineStr">
        <is>
          <t>CREATED</t>
        </is>
      </c>
      <c r="V2928" s="4" t="inlineStr">
        <is>
          <t>idem-20260902-ios-2927</t>
        </is>
      </c>
    </row>
    <row r="2929" ht="30" customHeight="1">
      <c r="A2929" s="4" t="n">
        <v>2928</v>
      </c>
      <c r="B2929" s="4" t="inlineStr">
        <is>
          <t>MTR-IOS-2928</t>
        </is>
      </c>
      <c r="C2929" s="4" t="inlineStr">
        <is>
          <t>Business</t>
        </is>
      </c>
      <c r="D2929" s="4" t="inlineStr">
        <is>
          <t>Business</t>
        </is>
      </c>
      <c r="E2929" s="4" t="inlineStr">
        <is>
          <t>Business Runway</t>
        </is>
      </c>
      <c r="F2929" s="4" t="inlineStr">
        <is>
          <t>Burn</t>
        </is>
      </c>
      <c r="G2929" s="4" t="inlineStr">
        <is>
          <t>Expense</t>
        </is>
      </c>
      <c r="H2929" s="12" t="n">
        <v>46051</v>
      </c>
      <c r="I2929" s="13" t="n">
        <v>0.00900462962962963</v>
      </c>
      <c r="J2929" s="14" t="n">
        <v>46051.00900462963</v>
      </c>
      <c r="K2929" s="15" t="n">
        <v>54789.51</v>
      </c>
      <c r="L2929" s="4" t="inlineStr">
        <is>
          <t>INR</t>
        </is>
      </c>
      <c r="M2929" s="15" t="n">
        <v>-54789.51</v>
      </c>
      <c r="N2929" s="4" t="inlineStr">
        <is>
          <t>IOS Owner</t>
        </is>
      </c>
      <c r="O2929" s="4" t="n"/>
      <c r="P2929" s="4" t="n"/>
      <c r="Q2929" s="4" t="inlineStr">
        <is>
          <t>MAESTRO-IOS-BUSINESS-BUSINESS_RUNWAY-2928 | Burn | 54789.51</t>
        </is>
      </c>
      <c r="R2929" s="4" t="inlineStr">
        <is>
          <t>iPhone</t>
        </is>
      </c>
      <c r="S2929" s="4" t="inlineStr">
        <is>
          <t>B59</t>
        </is>
      </c>
      <c r="T2929" s="4" t="inlineStr">
        <is>
          <t>HIGH_2501_3000</t>
        </is>
      </c>
      <c r="U2929" s="4" t="inlineStr">
        <is>
          <t>CREATED</t>
        </is>
      </c>
      <c r="V2929" s="4" t="inlineStr">
        <is>
          <t>idem-20260902-ios-2928</t>
        </is>
      </c>
    </row>
    <row r="2930" ht="30" customHeight="1">
      <c r="A2930" s="4" t="n">
        <v>2929</v>
      </c>
      <c r="B2930" s="4" t="inlineStr">
        <is>
          <t>MTR-IOS-2929</t>
        </is>
      </c>
      <c r="C2930" s="4" t="inlineStr">
        <is>
          <t>Personal</t>
        </is>
      </c>
      <c r="D2930" s="4" t="inlineStr">
        <is>
          <t>Personal</t>
        </is>
      </c>
      <c r="E2930" s="4" t="inlineStr">
        <is>
          <t>Future Building</t>
        </is>
      </c>
      <c r="F2930" s="4" t="inlineStr">
        <is>
          <t>Education</t>
        </is>
      </c>
      <c r="G2930" s="4" t="inlineStr">
        <is>
          <t>Expense</t>
        </is>
      </c>
      <c r="H2930" s="12" t="n">
        <v>45919</v>
      </c>
      <c r="I2930" s="13" t="n">
        <v>0.8384259259259259</v>
      </c>
      <c r="J2930" s="14" t="n">
        <v>45919.83842592593</v>
      </c>
      <c r="K2930" s="15" t="n">
        <v>9957.52</v>
      </c>
      <c r="L2930" s="4" t="inlineStr">
        <is>
          <t>INR</t>
        </is>
      </c>
      <c r="M2930" s="15" t="n">
        <v>-9957.52</v>
      </c>
      <c r="N2930" s="4" t="inlineStr">
        <is>
          <t>IOS Owner</t>
        </is>
      </c>
      <c r="O2930" s="4" t="n"/>
      <c r="P2930" s="4" t="n"/>
      <c r="Q2930" s="4" t="inlineStr">
        <is>
          <t>MAESTRO-IOS-PERSONAL-FUTURE_BUILDING-2929 | Education | 9957.52</t>
        </is>
      </c>
      <c r="R2930" s="4" t="inlineStr">
        <is>
          <t>iPhone</t>
        </is>
      </c>
      <c r="S2930" s="4" t="inlineStr">
        <is>
          <t>B59</t>
        </is>
      </c>
      <c r="T2930" s="4" t="inlineStr">
        <is>
          <t>HIGH_2501_3000</t>
        </is>
      </c>
      <c r="U2930" s="4" t="inlineStr">
        <is>
          <t>CREATED</t>
        </is>
      </c>
      <c r="V2930" s="4" t="inlineStr">
        <is>
          <t>idem-20260902-ios-2929</t>
        </is>
      </c>
    </row>
    <row r="2931" ht="30" customHeight="1">
      <c r="A2931" s="4" t="n">
        <v>2930</v>
      </c>
      <c r="B2931" s="4" t="inlineStr">
        <is>
          <t>MTR-IOS-2930</t>
        </is>
      </c>
      <c r="C2931" s="4" t="inlineStr">
        <is>
          <t>Group</t>
        </is>
      </c>
      <c r="D2931" s="4" t="inlineStr">
        <is>
          <t>Shared Living</t>
        </is>
      </c>
      <c r="E2931" s="4" t="inlineStr">
        <is>
          <t>Shared Living</t>
        </is>
      </c>
      <c r="F2931" s="4" t="inlineStr">
        <is>
          <t>Maintenance</t>
        </is>
      </c>
      <c r="G2931" s="4" t="inlineStr">
        <is>
          <t>Expense</t>
        </is>
      </c>
      <c r="H2931" s="12" t="n">
        <v>45984</v>
      </c>
      <c r="I2931" s="13" t="n">
        <v>0.8536342592592593</v>
      </c>
      <c r="J2931" s="14" t="n">
        <v>45984.85363425926</v>
      </c>
      <c r="K2931" s="15" t="n">
        <v>13822.97</v>
      </c>
      <c r="L2931" s="4" t="inlineStr">
        <is>
          <t>INR</t>
        </is>
      </c>
      <c r="M2931" s="15" t="n">
        <v>-13822.97</v>
      </c>
      <c r="N2931" s="4" t="inlineStr">
        <is>
          <t>IOS Aarav</t>
        </is>
      </c>
      <c r="O2931" s="4" t="n">
        <v>3</v>
      </c>
      <c r="P2931" s="4" t="inlineStr">
        <is>
          <t>EQUAL</t>
        </is>
      </c>
      <c r="Q2931" s="4" t="inlineStr">
        <is>
          <t>MAESTRO-IOS-GROUP-SHARED_LIVING-2930 | Maintenance | 13822.97</t>
        </is>
      </c>
      <c r="R2931" s="4" t="inlineStr">
        <is>
          <t>iPhone</t>
        </is>
      </c>
      <c r="S2931" s="4" t="inlineStr">
        <is>
          <t>B59</t>
        </is>
      </c>
      <c r="T2931" s="4" t="inlineStr">
        <is>
          <t>HIGH_2501_3000</t>
        </is>
      </c>
      <c r="U2931" s="4" t="inlineStr">
        <is>
          <t>CREATED</t>
        </is>
      </c>
      <c r="V2931" s="4" t="inlineStr">
        <is>
          <t>idem-20260902-ios-2930</t>
        </is>
      </c>
    </row>
    <row r="2932" ht="30" customHeight="1">
      <c r="A2932" s="4" t="n">
        <v>2931</v>
      </c>
      <c r="B2932" s="4" t="inlineStr">
        <is>
          <t>MTR-IOS-2931</t>
        </is>
      </c>
      <c r="C2932" s="4" t="inlineStr">
        <is>
          <t>Business</t>
        </is>
      </c>
      <c r="D2932" s="4" t="inlineStr">
        <is>
          <t>Business</t>
        </is>
      </c>
      <c r="E2932" s="4" t="inlineStr">
        <is>
          <t>Business Runway</t>
        </is>
      </c>
      <c r="F2932" s="4" t="inlineStr">
        <is>
          <t>Reserve</t>
        </is>
      </c>
      <c r="G2932" s="4" t="inlineStr">
        <is>
          <t>Transfer</t>
        </is>
      </c>
      <c r="H2932" s="12" t="n">
        <v>46177</v>
      </c>
      <c r="I2932" s="13" t="n">
        <v>0.4947916666666667</v>
      </c>
      <c r="J2932" s="14" t="n">
        <v>46177.49479166666</v>
      </c>
      <c r="K2932" s="15" t="n">
        <v>99049.77</v>
      </c>
      <c r="L2932" s="4" t="inlineStr">
        <is>
          <t>INR</t>
        </is>
      </c>
      <c r="M2932" s="15" t="n">
        <v>0</v>
      </c>
      <c r="N2932" s="4" t="inlineStr">
        <is>
          <t>IOS Owner</t>
        </is>
      </c>
      <c r="O2932" s="4" t="n"/>
      <c r="P2932" s="4" t="n"/>
      <c r="Q2932" s="4" t="inlineStr">
        <is>
          <t>MAESTRO-IOS-BUSINESS-BUSINESS_RUNWAY-2931 | Reserve | 99049.77</t>
        </is>
      </c>
      <c r="R2932" s="4" t="inlineStr">
        <is>
          <t>iPhone</t>
        </is>
      </c>
      <c r="S2932" s="4" t="inlineStr">
        <is>
          <t>B59</t>
        </is>
      </c>
      <c r="T2932" s="4" t="inlineStr">
        <is>
          <t>HIGH_2501_3000</t>
        </is>
      </c>
      <c r="U2932" s="4" t="inlineStr">
        <is>
          <t>CREATED</t>
        </is>
      </c>
      <c r="V2932" s="4" t="inlineStr">
        <is>
          <t>idem-20260902-ios-2931</t>
        </is>
      </c>
    </row>
    <row r="2933" ht="30" customHeight="1">
      <c r="A2933" s="4" t="n">
        <v>2932</v>
      </c>
      <c r="B2933" s="4" t="inlineStr">
        <is>
          <t>MTR-IOS-2932</t>
        </is>
      </c>
      <c r="C2933" s="4" t="inlineStr">
        <is>
          <t>Personal</t>
        </is>
      </c>
      <c r="D2933" s="4" t="inlineStr">
        <is>
          <t>Personal</t>
        </is>
      </c>
      <c r="E2933" s="4" t="inlineStr">
        <is>
          <t>Future Building</t>
        </is>
      </c>
      <c r="F2933" s="4" t="inlineStr">
        <is>
          <t>Goal Contribution</t>
        </is>
      </c>
      <c r="G2933" s="4" t="inlineStr">
        <is>
          <t>Transfer</t>
        </is>
      </c>
      <c r="H2933" s="12" t="n">
        <v>46266</v>
      </c>
      <c r="I2933" s="13" t="n">
        <v>0.2837152777777778</v>
      </c>
      <c r="J2933" s="14" t="n">
        <v>46266.28371527778</v>
      </c>
      <c r="K2933" s="15" t="n">
        <v>8595.809999999999</v>
      </c>
      <c r="L2933" s="4" t="inlineStr">
        <is>
          <t>INR</t>
        </is>
      </c>
      <c r="M2933" s="15" t="n">
        <v>0</v>
      </c>
      <c r="N2933" s="4" t="inlineStr">
        <is>
          <t>IOS Owner</t>
        </is>
      </c>
      <c r="O2933" s="4" t="n"/>
      <c r="P2933" s="4" t="n"/>
      <c r="Q2933" s="4" t="inlineStr">
        <is>
          <t>MAESTRO-IOS-PERSONAL-FUTURE_BUILDING-2932 | Goal Contribution | 8595.81</t>
        </is>
      </c>
      <c r="R2933" s="4" t="inlineStr">
        <is>
          <t>iPhone</t>
        </is>
      </c>
      <c r="S2933" s="4" t="inlineStr">
        <is>
          <t>B59</t>
        </is>
      </c>
      <c r="T2933" s="4" t="inlineStr">
        <is>
          <t>HIGH_2501_3000</t>
        </is>
      </c>
      <c r="U2933" s="4" t="inlineStr">
        <is>
          <t>CREATED</t>
        </is>
      </c>
      <c r="V2933" s="4" t="inlineStr">
        <is>
          <t>idem-20260902-ios-2932</t>
        </is>
      </c>
    </row>
    <row r="2934" ht="30" customHeight="1">
      <c r="A2934" s="4" t="n">
        <v>2933</v>
      </c>
      <c r="B2934" s="4" t="inlineStr">
        <is>
          <t>MTR-IOS-2933</t>
        </is>
      </c>
      <c r="C2934" s="4" t="inlineStr">
        <is>
          <t>Group</t>
        </is>
      </c>
      <c r="D2934" s="4" t="inlineStr">
        <is>
          <t>Shared Living</t>
        </is>
      </c>
      <c r="E2934" s="4" t="inlineStr">
        <is>
          <t>Shared Living</t>
        </is>
      </c>
      <c r="F2934" s="4" t="inlineStr">
        <is>
          <t>Other</t>
        </is>
      </c>
      <c r="G2934" s="4" t="inlineStr">
        <is>
          <t>Expense</t>
        </is>
      </c>
      <c r="H2934" s="12" t="n">
        <v>46261</v>
      </c>
      <c r="I2934" s="13" t="n">
        <v>0.1103009259259259</v>
      </c>
      <c r="J2934" s="14" t="n">
        <v>46261.11030092592</v>
      </c>
      <c r="K2934" s="15" t="n">
        <v>25272.17</v>
      </c>
      <c r="L2934" s="4" t="inlineStr">
        <is>
          <t>INR</t>
        </is>
      </c>
      <c r="M2934" s="15" t="n">
        <v>-25272.17</v>
      </c>
      <c r="N2934" s="4" t="inlineStr">
        <is>
          <t>IOS Meera</t>
        </is>
      </c>
      <c r="O2934" s="4" t="n">
        <v>3</v>
      </c>
      <c r="P2934" s="4" t="inlineStr">
        <is>
          <t>PERCENTAGE</t>
        </is>
      </c>
      <c r="Q2934" s="4" t="inlineStr">
        <is>
          <t>MAESTRO-IOS-GROUP-SHARED_LIVING-2933 | Other | 25272.17</t>
        </is>
      </c>
      <c r="R2934" s="4" t="inlineStr">
        <is>
          <t>iPhone</t>
        </is>
      </c>
      <c r="S2934" s="4" t="inlineStr">
        <is>
          <t>B59</t>
        </is>
      </c>
      <c r="T2934" s="4" t="inlineStr">
        <is>
          <t>HIGH_2501_3000</t>
        </is>
      </c>
      <c r="U2934" s="4" t="inlineStr">
        <is>
          <t>CREATED</t>
        </is>
      </c>
      <c r="V2934" s="4" t="inlineStr">
        <is>
          <t>idem-20260902-ios-2933</t>
        </is>
      </c>
    </row>
    <row r="2935" ht="30" customHeight="1">
      <c r="A2935" s="4" t="n">
        <v>2934</v>
      </c>
      <c r="B2935" s="4" t="inlineStr">
        <is>
          <t>MTR-IOS-2934</t>
        </is>
      </c>
      <c r="C2935" s="4" t="inlineStr">
        <is>
          <t>Business</t>
        </is>
      </c>
      <c r="D2935" s="4" t="inlineStr">
        <is>
          <t>Business</t>
        </is>
      </c>
      <c r="E2935" s="4" t="inlineStr">
        <is>
          <t>Business Runway</t>
        </is>
      </c>
      <c r="F2935" s="4" t="inlineStr">
        <is>
          <t>Loan</t>
        </is>
      </c>
      <c r="G2935" s="4" t="inlineStr">
        <is>
          <t>Income</t>
        </is>
      </c>
      <c r="H2935" s="12" t="n">
        <v>46250</v>
      </c>
      <c r="I2935" s="13" t="n">
        <v>0.03695601851851852</v>
      </c>
      <c r="J2935" s="14" t="n">
        <v>46250.03695601852</v>
      </c>
      <c r="K2935" s="15" t="n">
        <v>142537.52</v>
      </c>
      <c r="L2935" s="4" t="inlineStr">
        <is>
          <t>INR</t>
        </is>
      </c>
      <c r="M2935" s="15" t="n">
        <v>142537.52</v>
      </c>
      <c r="N2935" s="4" t="inlineStr">
        <is>
          <t>IOS Owner</t>
        </is>
      </c>
      <c r="O2935" s="4" t="n"/>
      <c r="P2935" s="4" t="n"/>
      <c r="Q2935" s="4" t="inlineStr">
        <is>
          <t>MAESTRO-IOS-BUSINESS-BUSINESS_RUNWAY-2934 | Loan | 142537.52</t>
        </is>
      </c>
      <c r="R2935" s="4" t="inlineStr">
        <is>
          <t>iPhone</t>
        </is>
      </c>
      <c r="S2935" s="4" t="inlineStr">
        <is>
          <t>B59</t>
        </is>
      </c>
      <c r="T2935" s="4" t="inlineStr">
        <is>
          <t>HIGH_2501_3000</t>
        </is>
      </c>
      <c r="U2935" s="4" t="inlineStr">
        <is>
          <t>CREATED</t>
        </is>
      </c>
      <c r="V2935" s="4" t="inlineStr">
        <is>
          <t>idem-20260902-ios-2934</t>
        </is>
      </c>
    </row>
    <row r="2936" ht="30" customHeight="1">
      <c r="A2936" s="4" t="n">
        <v>2935</v>
      </c>
      <c r="B2936" s="4" t="inlineStr">
        <is>
          <t>MTR-IOS-2935</t>
        </is>
      </c>
      <c r="C2936" s="4" t="inlineStr">
        <is>
          <t>Personal</t>
        </is>
      </c>
      <c r="D2936" s="4" t="inlineStr">
        <is>
          <t>Personal</t>
        </is>
      </c>
      <c r="E2936" s="4" t="inlineStr">
        <is>
          <t>Lifestyle</t>
        </is>
      </c>
      <c r="F2936" s="4" t="inlineStr">
        <is>
          <t>Dining</t>
        </is>
      </c>
      <c r="G2936" s="4" t="inlineStr">
        <is>
          <t>Expense</t>
        </is>
      </c>
      <c r="H2936" s="12" t="n">
        <v>45985</v>
      </c>
      <c r="I2936" s="13" t="n">
        <v>0.7262268518518519</v>
      </c>
      <c r="J2936" s="14" t="n">
        <v>45985.72622685185</v>
      </c>
      <c r="K2936" s="15" t="n">
        <v>5666.19</v>
      </c>
      <c r="L2936" s="4" t="inlineStr">
        <is>
          <t>INR</t>
        </is>
      </c>
      <c r="M2936" s="15" t="n">
        <v>-5666.19</v>
      </c>
      <c r="N2936" s="4" t="inlineStr">
        <is>
          <t>IOS Owner</t>
        </is>
      </c>
      <c r="O2936" s="4" t="n"/>
      <c r="P2936" s="4" t="n"/>
      <c r="Q2936" s="4" t="inlineStr">
        <is>
          <t>MAESTRO-IOS-PERSONAL-LIFESTYLE-2935 | Dining | 5666.19</t>
        </is>
      </c>
      <c r="R2936" s="4" t="inlineStr">
        <is>
          <t>iPhone</t>
        </is>
      </c>
      <c r="S2936" s="4" t="inlineStr">
        <is>
          <t>B59</t>
        </is>
      </c>
      <c r="T2936" s="4" t="inlineStr">
        <is>
          <t>HIGH_2501_3000</t>
        </is>
      </c>
      <c r="U2936" s="4" t="inlineStr">
        <is>
          <t>CREATED</t>
        </is>
      </c>
      <c r="V2936" s="4" t="inlineStr">
        <is>
          <t>idem-20260902-ios-2935</t>
        </is>
      </c>
    </row>
    <row r="2937" ht="30" customHeight="1">
      <c r="A2937" s="4" t="n">
        <v>2936</v>
      </c>
      <c r="B2937" s="4" t="inlineStr">
        <is>
          <t>MTR-IOS-2936</t>
        </is>
      </c>
      <c r="C2937" s="4" t="inlineStr">
        <is>
          <t>Group</t>
        </is>
      </c>
      <c r="D2937" s="4" t="inlineStr">
        <is>
          <t>Shared Living</t>
        </is>
      </c>
      <c r="E2937" s="4" t="inlineStr">
        <is>
          <t>Family Household</t>
        </is>
      </c>
      <c r="F2937" s="4" t="inlineStr">
        <is>
          <t>Groceries</t>
        </is>
      </c>
      <c r="G2937" s="4" t="inlineStr">
        <is>
          <t>Expense</t>
        </is>
      </c>
      <c r="H2937" s="12" t="n">
        <v>46098</v>
      </c>
      <c r="I2937" s="13" t="n">
        <v>0.8284837962962963</v>
      </c>
      <c r="J2937" s="14" t="n">
        <v>46098.82848379629</v>
      </c>
      <c r="K2937" s="15" t="n">
        <v>17633.34</v>
      </c>
      <c r="L2937" s="4" t="inlineStr">
        <is>
          <t>INR</t>
        </is>
      </c>
      <c r="M2937" s="15" t="n">
        <v>-17633.34</v>
      </c>
      <c r="N2937" s="4" t="inlineStr">
        <is>
          <t>IOS Owner</t>
        </is>
      </c>
      <c r="O2937" s="4" t="n">
        <v>3</v>
      </c>
      <c r="P2937" s="4" t="inlineStr">
        <is>
          <t>EXACT</t>
        </is>
      </c>
      <c r="Q2937" s="4" t="inlineStr">
        <is>
          <t>MAESTRO-IOS-GROUP-FAMILY_HOUSEHOLD-2936 | Groceries | 17633.34</t>
        </is>
      </c>
      <c r="R2937" s="4" t="inlineStr">
        <is>
          <t>iPhone</t>
        </is>
      </c>
      <c r="S2937" s="4" t="inlineStr">
        <is>
          <t>B59</t>
        </is>
      </c>
      <c r="T2937" s="4" t="inlineStr">
        <is>
          <t>HIGH_2501_3000</t>
        </is>
      </c>
      <c r="U2937" s="4" t="inlineStr">
        <is>
          <t>CREATED</t>
        </is>
      </c>
      <c r="V2937" s="4" t="inlineStr">
        <is>
          <t>idem-20260902-ios-2936</t>
        </is>
      </c>
    </row>
    <row r="2938" ht="30" customHeight="1">
      <c r="A2938" s="4" t="n">
        <v>2937</v>
      </c>
      <c r="B2938" s="4" t="inlineStr">
        <is>
          <t>MTR-IOS-2937</t>
        </is>
      </c>
      <c r="C2938" s="4" t="inlineStr">
        <is>
          <t>Business</t>
        </is>
      </c>
      <c r="D2938" s="4" t="inlineStr">
        <is>
          <t>Business</t>
        </is>
      </c>
      <c r="E2938" s="4" t="inlineStr">
        <is>
          <t>Business Runway</t>
        </is>
      </c>
      <c r="F2938" s="4" t="inlineStr">
        <is>
          <t>Investment</t>
        </is>
      </c>
      <c r="G2938" s="4" t="inlineStr">
        <is>
          <t>Income</t>
        </is>
      </c>
      <c r="H2938" s="12" t="n">
        <v>46263</v>
      </c>
      <c r="I2938" s="13" t="n">
        <v>0.1228703703703704</v>
      </c>
      <c r="J2938" s="14" t="n">
        <v>46263.12287037037</v>
      </c>
      <c r="K2938" s="15" t="n">
        <v>87959.99000000001</v>
      </c>
      <c r="L2938" s="4" t="inlineStr">
        <is>
          <t>INR</t>
        </is>
      </c>
      <c r="M2938" s="15" t="n">
        <v>87959.99000000001</v>
      </c>
      <c r="N2938" s="4" t="inlineStr">
        <is>
          <t>IOS Owner</t>
        </is>
      </c>
      <c r="O2938" s="4" t="n"/>
      <c r="P2938" s="4" t="n"/>
      <c r="Q2938" s="4" t="inlineStr">
        <is>
          <t>MAESTRO-IOS-BUSINESS-BUSINESS_RUNWAY-2937 | Investment | 87959.99</t>
        </is>
      </c>
      <c r="R2938" s="4" t="inlineStr">
        <is>
          <t>iPhone</t>
        </is>
      </c>
      <c r="S2938" s="4" t="inlineStr">
        <is>
          <t>B59</t>
        </is>
      </c>
      <c r="T2938" s="4" t="inlineStr">
        <is>
          <t>HIGH_2501_3000</t>
        </is>
      </c>
      <c r="U2938" s="4" t="inlineStr">
        <is>
          <t>CREATED</t>
        </is>
      </c>
      <c r="V2938" s="4" t="inlineStr">
        <is>
          <t>idem-20260902-ios-2937</t>
        </is>
      </c>
    </row>
    <row r="2939" ht="30" customHeight="1">
      <c r="A2939" s="4" t="n">
        <v>2938</v>
      </c>
      <c r="B2939" s="4" t="inlineStr">
        <is>
          <t>MTR-IOS-2938</t>
        </is>
      </c>
      <c r="C2939" s="4" t="inlineStr">
        <is>
          <t>Personal</t>
        </is>
      </c>
      <c r="D2939" s="4" t="inlineStr">
        <is>
          <t>Personal</t>
        </is>
      </c>
      <c r="E2939" s="4" t="inlineStr">
        <is>
          <t>Lifestyle</t>
        </is>
      </c>
      <c r="F2939" s="4" t="inlineStr">
        <is>
          <t>Shopping</t>
        </is>
      </c>
      <c r="G2939" s="4" t="inlineStr">
        <is>
          <t>Expense</t>
        </is>
      </c>
      <c r="H2939" s="12" t="n">
        <v>46259</v>
      </c>
      <c r="I2939" s="13" t="n">
        <v>0.6397222222222222</v>
      </c>
      <c r="J2939" s="14" t="n">
        <v>46259.63972222222</v>
      </c>
      <c r="K2939" s="15" t="n">
        <v>4062.98</v>
      </c>
      <c r="L2939" s="4" t="inlineStr">
        <is>
          <t>INR</t>
        </is>
      </c>
      <c r="M2939" s="15" t="n">
        <v>-4062.98</v>
      </c>
      <c r="N2939" s="4" t="inlineStr">
        <is>
          <t>IOS Owner</t>
        </is>
      </c>
      <c r="O2939" s="4" t="n"/>
      <c r="P2939" s="4" t="n"/>
      <c r="Q2939" s="4" t="inlineStr">
        <is>
          <t>MAESTRO-IOS-PERSONAL-LIFESTYLE-2938 | Shopping | 4062.98</t>
        </is>
      </c>
      <c r="R2939" s="4" t="inlineStr">
        <is>
          <t>iPhone</t>
        </is>
      </c>
      <c r="S2939" s="4" t="inlineStr">
        <is>
          <t>B59</t>
        </is>
      </c>
      <c r="T2939" s="4" t="inlineStr">
        <is>
          <t>HIGH_2501_3000</t>
        </is>
      </c>
      <c r="U2939" s="4" t="inlineStr">
        <is>
          <t>CREATED</t>
        </is>
      </c>
      <c r="V2939" s="4" t="inlineStr">
        <is>
          <t>idem-20260902-ios-2938</t>
        </is>
      </c>
    </row>
    <row r="2940" ht="30" customHeight="1">
      <c r="A2940" s="4" t="n">
        <v>2939</v>
      </c>
      <c r="B2940" s="4" t="inlineStr">
        <is>
          <t>MTR-IOS-2939</t>
        </is>
      </c>
      <c r="C2940" s="4" t="inlineStr">
        <is>
          <t>Group</t>
        </is>
      </c>
      <c r="D2940" s="4" t="inlineStr">
        <is>
          <t>Shared Living</t>
        </is>
      </c>
      <c r="E2940" s="4" t="inlineStr">
        <is>
          <t>Family Household</t>
        </is>
      </c>
      <c r="F2940" s="4" t="inlineStr">
        <is>
          <t>Bills</t>
        </is>
      </c>
      <c r="G2940" s="4" t="inlineStr">
        <is>
          <t>Expense</t>
        </is>
      </c>
      <c r="H2940" s="12" t="n">
        <v>46241</v>
      </c>
      <c r="I2940" s="13" t="n">
        <v>0.3661111111111111</v>
      </c>
      <c r="J2940" s="14" t="n">
        <v>46241.36611111111</v>
      </c>
      <c r="K2940" s="15" t="n">
        <v>23378.39</v>
      </c>
      <c r="L2940" s="4" t="inlineStr">
        <is>
          <t>INR</t>
        </is>
      </c>
      <c r="M2940" s="15" t="n">
        <v>-23378.39</v>
      </c>
      <c r="N2940" s="4" t="inlineStr">
        <is>
          <t>IOS Aarav</t>
        </is>
      </c>
      <c r="O2940" s="4" t="n">
        <v>3</v>
      </c>
      <c r="P2940" s="4" t="inlineStr">
        <is>
          <t>SHARES</t>
        </is>
      </c>
      <c r="Q2940" s="4" t="inlineStr">
        <is>
          <t>MAESTRO-IOS-GROUP-FAMILY_HOUSEHOLD-2939 | Bills | 23378.39</t>
        </is>
      </c>
      <c r="R2940" s="4" t="inlineStr">
        <is>
          <t>iPhone</t>
        </is>
      </c>
      <c r="S2940" s="4" t="inlineStr">
        <is>
          <t>B59</t>
        </is>
      </c>
      <c r="T2940" s="4" t="inlineStr">
        <is>
          <t>HIGH_2501_3000</t>
        </is>
      </c>
      <c r="U2940" s="4" t="inlineStr">
        <is>
          <t>CREATED</t>
        </is>
      </c>
      <c r="V2940" s="4" t="inlineStr">
        <is>
          <t>idem-20260902-ios-2939</t>
        </is>
      </c>
    </row>
    <row r="2941" ht="30" customHeight="1">
      <c r="A2941" s="4" t="n">
        <v>2940</v>
      </c>
      <c r="B2941" s="4" t="inlineStr">
        <is>
          <t>MTR-IOS-2940</t>
        </is>
      </c>
      <c r="C2941" s="4" t="inlineStr">
        <is>
          <t>Business</t>
        </is>
      </c>
      <c r="D2941" s="4" t="inlineStr">
        <is>
          <t>Business</t>
        </is>
      </c>
      <c r="E2941" s="4" t="inlineStr">
        <is>
          <t>Business Operations</t>
        </is>
      </c>
      <c r="F2941" s="4" t="inlineStr">
        <is>
          <t>Software</t>
        </is>
      </c>
      <c r="G2941" s="4" t="inlineStr">
        <is>
          <t>Expense</t>
        </is>
      </c>
      <c r="H2941" s="12" t="n">
        <v>46091</v>
      </c>
      <c r="I2941" s="13" t="n">
        <v>0.06083333333333334</v>
      </c>
      <c r="J2941" s="14" t="n">
        <v>46091.06083333334</v>
      </c>
      <c r="K2941" s="15" t="n">
        <v>75173.03999999999</v>
      </c>
      <c r="L2941" s="4" t="inlineStr">
        <is>
          <t>INR</t>
        </is>
      </c>
      <c r="M2941" s="15" t="n">
        <v>-75173.03999999999</v>
      </c>
      <c r="N2941" s="4" t="inlineStr">
        <is>
          <t>IOS Owner</t>
        </is>
      </c>
      <c r="O2941" s="4" t="n"/>
      <c r="P2941" s="4" t="n"/>
      <c r="Q2941" s="4" t="inlineStr">
        <is>
          <t>MAESTRO-IOS-BUSINESS-BUSINESS_OPERATIONS-2940 | Software | 75173.04</t>
        </is>
      </c>
      <c r="R2941" s="4" t="inlineStr">
        <is>
          <t>iPhone</t>
        </is>
      </c>
      <c r="S2941" s="4" t="inlineStr">
        <is>
          <t>B59</t>
        </is>
      </c>
      <c r="T2941" s="4" t="inlineStr">
        <is>
          <t>HIGH_2501_3000</t>
        </is>
      </c>
      <c r="U2941" s="4" t="inlineStr">
        <is>
          <t>CREATED</t>
        </is>
      </c>
      <c r="V2941" s="4" t="inlineStr">
        <is>
          <t>idem-20260902-ios-2940</t>
        </is>
      </c>
    </row>
    <row r="2942" ht="30" customHeight="1">
      <c r="A2942" s="4" t="n">
        <v>2941</v>
      </c>
      <c r="B2942" s="4" t="inlineStr">
        <is>
          <t>MTR-IOS-2941</t>
        </is>
      </c>
      <c r="C2942" s="4" t="inlineStr">
        <is>
          <t>Personal</t>
        </is>
      </c>
      <c r="D2942" s="4" t="inlineStr">
        <is>
          <t>Personal</t>
        </is>
      </c>
      <c r="E2942" s="4" t="inlineStr">
        <is>
          <t>Lifestyle</t>
        </is>
      </c>
      <c r="F2942" s="4" t="inlineStr">
        <is>
          <t>Entertainment</t>
        </is>
      </c>
      <c r="G2942" s="4" t="inlineStr">
        <is>
          <t>Expense</t>
        </is>
      </c>
      <c r="H2942" s="12" t="n">
        <v>46169</v>
      </c>
      <c r="I2942" s="13" t="n">
        <v>0.5852199074074074</v>
      </c>
      <c r="J2942" s="14" t="n">
        <v>46169.58521990741</v>
      </c>
      <c r="K2942" s="15" t="n">
        <v>1024.68</v>
      </c>
      <c r="L2942" s="4" t="inlineStr">
        <is>
          <t>INR</t>
        </is>
      </c>
      <c r="M2942" s="15" t="n">
        <v>-1024.68</v>
      </c>
      <c r="N2942" s="4" t="inlineStr">
        <is>
          <t>IOS Owner</t>
        </is>
      </c>
      <c r="O2942" s="4" t="n"/>
      <c r="P2942" s="4" t="n"/>
      <c r="Q2942" s="4" t="inlineStr">
        <is>
          <t>MAESTRO-IOS-PERSONAL-LIFESTYLE-2941 | Entertainment | 1024.68</t>
        </is>
      </c>
      <c r="R2942" s="4" t="inlineStr">
        <is>
          <t>iPhone</t>
        </is>
      </c>
      <c r="S2942" s="4" t="inlineStr">
        <is>
          <t>B59</t>
        </is>
      </c>
      <c r="T2942" s="4" t="inlineStr">
        <is>
          <t>HIGH_2501_3000</t>
        </is>
      </c>
      <c r="U2942" s="4" t="inlineStr">
        <is>
          <t>CREATED</t>
        </is>
      </c>
      <c r="V2942" s="4" t="inlineStr">
        <is>
          <t>idem-20260902-ios-2941</t>
        </is>
      </c>
    </row>
    <row r="2943" ht="30" customHeight="1">
      <c r="A2943" s="4" t="n">
        <v>2942</v>
      </c>
      <c r="B2943" s="4" t="inlineStr">
        <is>
          <t>MTR-IOS-2942</t>
        </is>
      </c>
      <c r="C2943" s="4" t="inlineStr">
        <is>
          <t>Group</t>
        </is>
      </c>
      <c r="D2943" s="4" t="inlineStr">
        <is>
          <t>Shared Living</t>
        </is>
      </c>
      <c r="E2943" s="4" t="inlineStr">
        <is>
          <t>Family Household</t>
        </is>
      </c>
      <c r="F2943" s="4" t="inlineStr">
        <is>
          <t>School</t>
        </is>
      </c>
      <c r="G2943" s="4" t="inlineStr">
        <is>
          <t>Expense</t>
        </is>
      </c>
      <c r="H2943" s="12" t="n">
        <v>46069</v>
      </c>
      <c r="I2943" s="13" t="n">
        <v>0.9237152777777777</v>
      </c>
      <c r="J2943" s="14" t="n">
        <v>46069.92371527778</v>
      </c>
      <c r="K2943" s="15" t="n">
        <v>11144.44</v>
      </c>
      <c r="L2943" s="4" t="inlineStr">
        <is>
          <t>INR</t>
        </is>
      </c>
      <c r="M2943" s="15" t="n">
        <v>-11144.44</v>
      </c>
      <c r="N2943" s="4" t="inlineStr">
        <is>
          <t>IOS Meera</t>
        </is>
      </c>
      <c r="O2943" s="4" t="n">
        <v>3</v>
      </c>
      <c r="P2943" s="4" t="inlineStr">
        <is>
          <t>EQUAL</t>
        </is>
      </c>
      <c r="Q2943" s="4" t="inlineStr">
        <is>
          <t>MAESTRO-IOS-GROUP-FAMILY_HOUSEHOLD-2942 | School | 11144.44</t>
        </is>
      </c>
      <c r="R2943" s="4" t="inlineStr">
        <is>
          <t>iPhone</t>
        </is>
      </c>
      <c r="S2943" s="4" t="inlineStr">
        <is>
          <t>B59</t>
        </is>
      </c>
      <c r="T2943" s="4" t="inlineStr">
        <is>
          <t>HIGH_2501_3000</t>
        </is>
      </c>
      <c r="U2943" s="4" t="inlineStr">
        <is>
          <t>CREATED</t>
        </is>
      </c>
      <c r="V2943" s="4" t="inlineStr">
        <is>
          <t>idem-20260902-ios-2942</t>
        </is>
      </c>
    </row>
    <row r="2944" ht="30" customHeight="1">
      <c r="A2944" s="4" t="n">
        <v>2943</v>
      </c>
      <c r="B2944" s="4" t="inlineStr">
        <is>
          <t>MTR-IOS-2943</t>
        </is>
      </c>
      <c r="C2944" s="4" t="inlineStr">
        <is>
          <t>Business</t>
        </is>
      </c>
      <c r="D2944" s="4" t="inlineStr">
        <is>
          <t>Business</t>
        </is>
      </c>
      <c r="E2944" s="4" t="inlineStr">
        <is>
          <t>Business Operations</t>
        </is>
      </c>
      <c r="F2944" s="4" t="inlineStr">
        <is>
          <t>Rent</t>
        </is>
      </c>
      <c r="G2944" s="4" t="inlineStr">
        <is>
          <t>Expense</t>
        </is>
      </c>
      <c r="H2944" s="12" t="n">
        <v>46169</v>
      </c>
      <c r="I2944" s="13" t="n">
        <v>0.9367129629629629</v>
      </c>
      <c r="J2944" s="14" t="n">
        <v>46169.93671296296</v>
      </c>
      <c r="K2944" s="15" t="n">
        <v>140249.95</v>
      </c>
      <c r="L2944" s="4" t="inlineStr">
        <is>
          <t>INR</t>
        </is>
      </c>
      <c r="M2944" s="15" t="n">
        <v>-140249.95</v>
      </c>
      <c r="N2944" s="4" t="inlineStr">
        <is>
          <t>IOS Owner</t>
        </is>
      </c>
      <c r="O2944" s="4" t="n"/>
      <c r="P2944" s="4" t="n"/>
      <c r="Q2944" s="4" t="inlineStr">
        <is>
          <t>MAESTRO-IOS-BUSINESS-BUSINESS_OPERATIONS-2943 | Rent | 140249.95</t>
        </is>
      </c>
      <c r="R2944" s="4" t="inlineStr">
        <is>
          <t>iPhone</t>
        </is>
      </c>
      <c r="S2944" s="4" t="inlineStr">
        <is>
          <t>B59</t>
        </is>
      </c>
      <c r="T2944" s="4" t="inlineStr">
        <is>
          <t>HIGH_2501_3000</t>
        </is>
      </c>
      <c r="U2944" s="4" t="inlineStr">
        <is>
          <t>CREATED</t>
        </is>
      </c>
      <c r="V2944" s="4" t="inlineStr">
        <is>
          <t>idem-20260902-ios-2943</t>
        </is>
      </c>
    </row>
    <row r="2945" ht="30" customHeight="1">
      <c r="A2945" s="4" t="n">
        <v>2944</v>
      </c>
      <c r="B2945" s="4" t="inlineStr">
        <is>
          <t>MTR-IOS-2944</t>
        </is>
      </c>
      <c r="C2945" s="4" t="inlineStr">
        <is>
          <t>Personal</t>
        </is>
      </c>
      <c r="D2945" s="4" t="inlineStr">
        <is>
          <t>Personal</t>
        </is>
      </c>
      <c r="E2945" s="4" t="inlineStr">
        <is>
          <t>Lifestyle</t>
        </is>
      </c>
      <c r="F2945" s="4" t="inlineStr">
        <is>
          <t>Travel</t>
        </is>
      </c>
      <c r="G2945" s="4" t="inlineStr">
        <is>
          <t>Expense</t>
        </is>
      </c>
      <c r="H2945" s="12" t="n">
        <v>45999</v>
      </c>
      <c r="I2945" s="13" t="n">
        <v>0.9607291666666666</v>
      </c>
      <c r="J2945" s="14" t="n">
        <v>45999.96072916667</v>
      </c>
      <c r="K2945" s="15" t="n">
        <v>13787.66</v>
      </c>
      <c r="L2945" s="4" t="inlineStr">
        <is>
          <t>INR</t>
        </is>
      </c>
      <c r="M2945" s="15" t="n">
        <v>-13787.66</v>
      </c>
      <c r="N2945" s="4" t="inlineStr">
        <is>
          <t>IOS Owner</t>
        </is>
      </c>
      <c r="O2945" s="4" t="n"/>
      <c r="P2945" s="4" t="n"/>
      <c r="Q2945" s="4" t="inlineStr">
        <is>
          <t>MAESTRO-IOS-PERSONAL-LIFESTYLE-2944 | Travel | 13787.66</t>
        </is>
      </c>
      <c r="R2945" s="4" t="inlineStr">
        <is>
          <t>iPhone</t>
        </is>
      </c>
      <c r="S2945" s="4" t="inlineStr">
        <is>
          <t>B59</t>
        </is>
      </c>
      <c r="T2945" s="4" t="inlineStr">
        <is>
          <t>HIGH_2501_3000</t>
        </is>
      </c>
      <c r="U2945" s="4" t="inlineStr">
        <is>
          <t>CREATED</t>
        </is>
      </c>
      <c r="V2945" s="4" t="inlineStr">
        <is>
          <t>idem-20260902-ios-2944</t>
        </is>
      </c>
    </row>
    <row r="2946" ht="30" customHeight="1">
      <c r="A2946" s="4" t="n">
        <v>2945</v>
      </c>
      <c r="B2946" s="4" t="inlineStr">
        <is>
          <t>MTR-IOS-2945</t>
        </is>
      </c>
      <c r="C2946" s="4" t="inlineStr">
        <is>
          <t>Group</t>
        </is>
      </c>
      <c r="D2946" s="4" t="inlineStr">
        <is>
          <t>Shared Living</t>
        </is>
      </c>
      <c r="E2946" s="4" t="inlineStr">
        <is>
          <t>Family Household</t>
        </is>
      </c>
      <c r="F2946" s="4" t="inlineStr">
        <is>
          <t>Healthcare</t>
        </is>
      </c>
      <c r="G2946" s="4" t="inlineStr">
        <is>
          <t>Expense</t>
        </is>
      </c>
      <c r="H2946" s="12" t="n">
        <v>46063</v>
      </c>
      <c r="I2946" s="13" t="n">
        <v>0.04385416666666667</v>
      </c>
      <c r="J2946" s="14" t="n">
        <v>46063.04385416667</v>
      </c>
      <c r="K2946" s="15" t="n">
        <v>26283</v>
      </c>
      <c r="L2946" s="4" t="inlineStr">
        <is>
          <t>INR</t>
        </is>
      </c>
      <c r="M2946" s="15" t="n">
        <v>-26283</v>
      </c>
      <c r="N2946" s="4" t="inlineStr">
        <is>
          <t>IOS Owner</t>
        </is>
      </c>
      <c r="O2946" s="4" t="n">
        <v>3</v>
      </c>
      <c r="P2946" s="4" t="inlineStr">
        <is>
          <t>PERCENTAGE</t>
        </is>
      </c>
      <c r="Q2946" s="4" t="inlineStr">
        <is>
          <t>MAESTRO-IOS-GROUP-FAMILY_HOUSEHOLD-2945 | Healthcare | 26283.00</t>
        </is>
      </c>
      <c r="R2946" s="4" t="inlineStr">
        <is>
          <t>iPhone</t>
        </is>
      </c>
      <c r="S2946" s="4" t="inlineStr">
        <is>
          <t>B59</t>
        </is>
      </c>
      <c r="T2946" s="4" t="inlineStr">
        <is>
          <t>HIGH_2501_3000</t>
        </is>
      </c>
      <c r="U2946" s="4" t="inlineStr">
        <is>
          <t>CREATED</t>
        </is>
      </c>
      <c r="V2946" s="4" t="inlineStr">
        <is>
          <t>idem-20260902-ios-2945</t>
        </is>
      </c>
    </row>
    <row r="2947" ht="30" customHeight="1">
      <c r="A2947" s="4" t="n">
        <v>2946</v>
      </c>
      <c r="B2947" s="4" t="inlineStr">
        <is>
          <t>MTR-IOS-2946</t>
        </is>
      </c>
      <c r="C2947" s="4" t="inlineStr">
        <is>
          <t>Business</t>
        </is>
      </c>
      <c r="D2947" s="4" t="inlineStr">
        <is>
          <t>Business</t>
        </is>
      </c>
      <c r="E2947" s="4" t="inlineStr">
        <is>
          <t>Business Operations</t>
        </is>
      </c>
      <c r="F2947" s="4" t="inlineStr">
        <is>
          <t>Marketing</t>
        </is>
      </c>
      <c r="G2947" s="4" t="inlineStr">
        <is>
          <t>Expense</t>
        </is>
      </c>
      <c r="H2947" s="12" t="n">
        <v>46167</v>
      </c>
      <c r="I2947" s="13" t="n">
        <v>0.9286574074074074</v>
      </c>
      <c r="J2947" s="14" t="n">
        <v>46167.92865740741</v>
      </c>
      <c r="K2947" s="15" t="n">
        <v>55204.29</v>
      </c>
      <c r="L2947" s="4" t="inlineStr">
        <is>
          <t>INR</t>
        </is>
      </c>
      <c r="M2947" s="15" t="n">
        <v>-55204.29</v>
      </c>
      <c r="N2947" s="4" t="inlineStr">
        <is>
          <t>IOS Owner</t>
        </is>
      </c>
      <c r="O2947" s="4" t="n"/>
      <c r="P2947" s="4" t="n"/>
      <c r="Q2947" s="4" t="inlineStr">
        <is>
          <t>MAESTRO-IOS-BUSINESS-BUSINESS_OPERATIONS-2946 | Marketing | 55204.29</t>
        </is>
      </c>
      <c r="R2947" s="4" t="inlineStr">
        <is>
          <t>iPhone</t>
        </is>
      </c>
      <c r="S2947" s="4" t="inlineStr">
        <is>
          <t>B59</t>
        </is>
      </c>
      <c r="T2947" s="4" t="inlineStr">
        <is>
          <t>HIGH_2501_3000</t>
        </is>
      </c>
      <c r="U2947" s="4" t="inlineStr">
        <is>
          <t>CREATED</t>
        </is>
      </c>
      <c r="V2947" s="4" t="inlineStr">
        <is>
          <t>idem-20260902-ios-2946</t>
        </is>
      </c>
    </row>
    <row r="2948" ht="30" customHeight="1">
      <c r="A2948" s="4" t="n">
        <v>2947</v>
      </c>
      <c r="B2948" s="4" t="inlineStr">
        <is>
          <t>MTR-IOS-2947</t>
        </is>
      </c>
      <c r="C2948" s="4" t="inlineStr">
        <is>
          <t>Personal</t>
        </is>
      </c>
      <c r="D2948" s="4" t="inlineStr">
        <is>
          <t>Personal</t>
        </is>
      </c>
      <c r="E2948" s="4" t="inlineStr">
        <is>
          <t>Lifestyle</t>
        </is>
      </c>
      <c r="F2948" s="4" t="inlineStr">
        <is>
          <t>Fitness</t>
        </is>
      </c>
      <c r="G2948" s="4" t="inlineStr">
        <is>
          <t>Expense</t>
        </is>
      </c>
      <c r="H2948" s="12" t="n">
        <v>46036</v>
      </c>
      <c r="I2948" s="13" t="n">
        <v>0.2398263888888889</v>
      </c>
      <c r="J2948" s="14" t="n">
        <v>46036.23982638889</v>
      </c>
      <c r="K2948" s="15" t="n">
        <v>8946.92</v>
      </c>
      <c r="L2948" s="4" t="inlineStr">
        <is>
          <t>INR</t>
        </is>
      </c>
      <c r="M2948" s="15" t="n">
        <v>-8946.92</v>
      </c>
      <c r="N2948" s="4" t="inlineStr">
        <is>
          <t>IOS Owner</t>
        </is>
      </c>
      <c r="O2948" s="4" t="n"/>
      <c r="P2948" s="4" t="n"/>
      <c r="Q2948" s="4" t="inlineStr">
        <is>
          <t>MAESTRO-IOS-PERSONAL-LIFESTYLE-2947 | Fitness | 8946.92</t>
        </is>
      </c>
      <c r="R2948" s="4" t="inlineStr">
        <is>
          <t>iPhone</t>
        </is>
      </c>
      <c r="S2948" s="4" t="inlineStr">
        <is>
          <t>B59</t>
        </is>
      </c>
      <c r="T2948" s="4" t="inlineStr">
        <is>
          <t>HIGH_2501_3000</t>
        </is>
      </c>
      <c r="U2948" s="4" t="inlineStr">
        <is>
          <t>CREATED</t>
        </is>
      </c>
      <c r="V2948" s="4" t="inlineStr">
        <is>
          <t>idem-20260902-ios-2947</t>
        </is>
      </c>
    </row>
    <row r="2949" ht="30" customHeight="1">
      <c r="A2949" s="4" t="n">
        <v>2948</v>
      </c>
      <c r="B2949" s="4" t="inlineStr">
        <is>
          <t>MTR-IOS-2948</t>
        </is>
      </c>
      <c r="C2949" s="4" t="inlineStr">
        <is>
          <t>Group</t>
        </is>
      </c>
      <c r="D2949" s="4" t="inlineStr">
        <is>
          <t>Shared Living</t>
        </is>
      </c>
      <c r="E2949" s="4" t="inlineStr">
        <is>
          <t>Family Household</t>
        </is>
      </c>
      <c r="F2949" s="4" t="inlineStr">
        <is>
          <t>Home</t>
        </is>
      </c>
      <c r="G2949" s="4" t="inlineStr">
        <is>
          <t>Expense</t>
        </is>
      </c>
      <c r="H2949" s="12" t="n">
        <v>46176</v>
      </c>
      <c r="I2949" s="13" t="n">
        <v>0.6614930555555556</v>
      </c>
      <c r="J2949" s="14" t="n">
        <v>46176.66149305556</v>
      </c>
      <c r="K2949" s="15" t="n">
        <v>6475.47</v>
      </c>
      <c r="L2949" s="4" t="inlineStr">
        <is>
          <t>INR</t>
        </is>
      </c>
      <c r="M2949" s="15" t="n">
        <v>-6475.47</v>
      </c>
      <c r="N2949" s="4" t="inlineStr">
        <is>
          <t>IOS Aarav</t>
        </is>
      </c>
      <c r="O2949" s="4" t="n">
        <v>3</v>
      </c>
      <c r="P2949" s="4" t="inlineStr">
        <is>
          <t>EXACT</t>
        </is>
      </c>
      <c r="Q2949" s="4" t="inlineStr">
        <is>
          <t>MAESTRO-IOS-GROUP-FAMILY_HOUSEHOLD-2948 | Home | 6475.47</t>
        </is>
      </c>
      <c r="R2949" s="4" t="inlineStr">
        <is>
          <t>iPhone</t>
        </is>
      </c>
      <c r="S2949" s="4" t="inlineStr">
        <is>
          <t>B59</t>
        </is>
      </c>
      <c r="T2949" s="4" t="inlineStr">
        <is>
          <t>HIGH_2501_3000</t>
        </is>
      </c>
      <c r="U2949" s="4" t="inlineStr">
        <is>
          <t>CREATED</t>
        </is>
      </c>
      <c r="V2949" s="4" t="inlineStr">
        <is>
          <t>idem-20260902-ios-2948</t>
        </is>
      </c>
    </row>
    <row r="2950" ht="30" customHeight="1">
      <c r="A2950" s="4" t="n">
        <v>2949</v>
      </c>
      <c r="B2950" s="4" t="inlineStr">
        <is>
          <t>MTR-IOS-2949</t>
        </is>
      </c>
      <c r="C2950" s="4" t="inlineStr">
        <is>
          <t>Business</t>
        </is>
      </c>
      <c r="D2950" s="4" t="inlineStr">
        <is>
          <t>Business</t>
        </is>
      </c>
      <c r="E2950" s="4" t="inlineStr">
        <is>
          <t>Business Operations</t>
        </is>
      </c>
      <c r="F2950" s="4" t="inlineStr">
        <is>
          <t>Legal</t>
        </is>
      </c>
      <c r="G2950" s="4" t="inlineStr">
        <is>
          <t>Expense</t>
        </is>
      </c>
      <c r="H2950" s="12" t="n">
        <v>46224</v>
      </c>
      <c r="I2950" s="13" t="n">
        <v>0.869375</v>
      </c>
      <c r="J2950" s="14" t="n">
        <v>46224.869375</v>
      </c>
      <c r="K2950" s="15" t="n">
        <v>81598.74000000001</v>
      </c>
      <c r="L2950" s="4" t="inlineStr">
        <is>
          <t>INR</t>
        </is>
      </c>
      <c r="M2950" s="15" t="n">
        <v>-81598.74000000001</v>
      </c>
      <c r="N2950" s="4" t="inlineStr">
        <is>
          <t>IOS Owner</t>
        </is>
      </c>
      <c r="O2950" s="4" t="n"/>
      <c r="P2950" s="4" t="n"/>
      <c r="Q2950" s="4" t="inlineStr">
        <is>
          <t>MAESTRO-IOS-BUSINESS-BUSINESS_OPERATIONS-2949 | Legal | 81598.74</t>
        </is>
      </c>
      <c r="R2950" s="4" t="inlineStr">
        <is>
          <t>iPhone</t>
        </is>
      </c>
      <c r="S2950" s="4" t="inlineStr">
        <is>
          <t>B59</t>
        </is>
      </c>
      <c r="T2950" s="4" t="inlineStr">
        <is>
          <t>HIGH_2501_3000</t>
        </is>
      </c>
      <c r="U2950" s="4" t="inlineStr">
        <is>
          <t>CREATED</t>
        </is>
      </c>
      <c r="V2950" s="4" t="inlineStr">
        <is>
          <t>idem-20260902-ios-2949</t>
        </is>
      </c>
    </row>
    <row r="2951" ht="30" customHeight="1">
      <c r="A2951" s="4" t="n">
        <v>2950</v>
      </c>
      <c r="B2951" s="4" t="inlineStr">
        <is>
          <t>MTR-IOS-2950</t>
        </is>
      </c>
      <c r="C2951" s="4" t="inlineStr">
        <is>
          <t>Personal</t>
        </is>
      </c>
      <c r="D2951" s="4" t="inlineStr">
        <is>
          <t>Personal</t>
        </is>
      </c>
      <c r="E2951" s="4" t="inlineStr">
        <is>
          <t>Lifestyle</t>
        </is>
      </c>
      <c r="F2951" s="4" t="inlineStr">
        <is>
          <t>Hobbies</t>
        </is>
      </c>
      <c r="G2951" s="4" t="inlineStr">
        <is>
          <t>Expense</t>
        </is>
      </c>
      <c r="H2951" s="12" t="n">
        <v>46206</v>
      </c>
      <c r="I2951" s="13" t="n">
        <v>0.6015625</v>
      </c>
      <c r="J2951" s="14" t="n">
        <v>46206.6015625</v>
      </c>
      <c r="K2951" s="15" t="n">
        <v>8080.27</v>
      </c>
      <c r="L2951" s="4" t="inlineStr">
        <is>
          <t>INR</t>
        </is>
      </c>
      <c r="M2951" s="15" t="n">
        <v>-8080.27</v>
      </c>
      <c r="N2951" s="4" t="inlineStr">
        <is>
          <t>IOS Owner</t>
        </is>
      </c>
      <c r="O2951" s="4" t="n"/>
      <c r="P2951" s="4" t="n"/>
      <c r="Q2951" s="4" t="inlineStr">
        <is>
          <t>MAESTRO-IOS-PERSONAL-LIFESTYLE-2950 | Hobbies | 8080.27</t>
        </is>
      </c>
      <c r="R2951" s="4" t="inlineStr">
        <is>
          <t>iPhone</t>
        </is>
      </c>
      <c r="S2951" s="4" t="inlineStr">
        <is>
          <t>B59</t>
        </is>
      </c>
      <c r="T2951" s="4" t="inlineStr">
        <is>
          <t>HIGH_2501_3000</t>
        </is>
      </c>
      <c r="U2951" s="4" t="inlineStr">
        <is>
          <t>CREATED</t>
        </is>
      </c>
      <c r="V2951" s="4" t="inlineStr">
        <is>
          <t>idem-20260902-ios-2950</t>
        </is>
      </c>
    </row>
    <row r="2952" ht="30" customHeight="1">
      <c r="A2952" s="4" t="n">
        <v>2951</v>
      </c>
      <c r="B2952" s="4" t="inlineStr">
        <is>
          <t>MTR-IOS-2951</t>
        </is>
      </c>
      <c r="C2952" s="4" t="inlineStr">
        <is>
          <t>Group</t>
        </is>
      </c>
      <c r="D2952" s="4" t="inlineStr">
        <is>
          <t>Shared Living</t>
        </is>
      </c>
      <c r="E2952" s="4" t="inlineStr">
        <is>
          <t>Family Household</t>
        </is>
      </c>
      <c r="F2952" s="4" t="inlineStr">
        <is>
          <t>Other</t>
        </is>
      </c>
      <c r="G2952" s="4" t="inlineStr">
        <is>
          <t>Expense</t>
        </is>
      </c>
      <c r="H2952" s="12" t="n">
        <v>46012</v>
      </c>
      <c r="I2952" s="13" t="n">
        <v>0.3721527777777778</v>
      </c>
      <c r="J2952" s="14" t="n">
        <v>46012.37215277777</v>
      </c>
      <c r="K2952" s="15" t="n">
        <v>15376.76</v>
      </c>
      <c r="L2952" s="4" t="inlineStr">
        <is>
          <t>INR</t>
        </is>
      </c>
      <c r="M2952" s="15" t="n">
        <v>-15376.76</v>
      </c>
      <c r="N2952" s="4" t="inlineStr">
        <is>
          <t>IOS Meera</t>
        </is>
      </c>
      <c r="O2952" s="4" t="n">
        <v>3</v>
      </c>
      <c r="P2952" s="4" t="inlineStr">
        <is>
          <t>SHARES</t>
        </is>
      </c>
      <c r="Q2952" s="4" t="inlineStr">
        <is>
          <t>MAESTRO-IOS-GROUP-FAMILY_HOUSEHOLD-2951 | Other | 15376.76</t>
        </is>
      </c>
      <c r="R2952" s="4" t="inlineStr">
        <is>
          <t>iPhone</t>
        </is>
      </c>
      <c r="S2952" s="4" t="inlineStr">
        <is>
          <t>B60</t>
        </is>
      </c>
      <c r="T2952" s="4" t="inlineStr">
        <is>
          <t>HIGH_2501_3000</t>
        </is>
      </c>
      <c r="U2952" s="4" t="inlineStr">
        <is>
          <t>CREATED</t>
        </is>
      </c>
      <c r="V2952" s="4" t="inlineStr">
        <is>
          <t>idem-20260902-ios-2951</t>
        </is>
      </c>
    </row>
    <row r="2953" ht="30" customHeight="1">
      <c r="A2953" s="4" t="n">
        <v>2952</v>
      </c>
      <c r="B2953" s="4" t="inlineStr">
        <is>
          <t>MTR-IOS-2952</t>
        </is>
      </c>
      <c r="C2953" s="4" t="inlineStr">
        <is>
          <t>Business</t>
        </is>
      </c>
      <c r="D2953" s="4" t="inlineStr">
        <is>
          <t>Business</t>
        </is>
      </c>
      <c r="E2953" s="4" t="inlineStr">
        <is>
          <t>Business Operations</t>
        </is>
      </c>
      <c r="F2953" s="4" t="inlineStr">
        <is>
          <t>Accounting</t>
        </is>
      </c>
      <c r="G2953" s="4" t="inlineStr">
        <is>
          <t>Expense</t>
        </is>
      </c>
      <c r="H2953" s="12" t="n">
        <v>45955</v>
      </c>
      <c r="I2953" s="13" t="n">
        <v>0.2114351851851852</v>
      </c>
      <c r="J2953" s="14" t="n">
        <v>45955.21143518519</v>
      </c>
      <c r="K2953" s="15" t="n">
        <v>156548.56</v>
      </c>
      <c r="L2953" s="4" t="inlineStr">
        <is>
          <t>INR</t>
        </is>
      </c>
      <c r="M2953" s="15" t="n">
        <v>-156548.56</v>
      </c>
      <c r="N2953" s="4" t="inlineStr">
        <is>
          <t>IOS Owner</t>
        </is>
      </c>
      <c r="O2953" s="4" t="n"/>
      <c r="P2953" s="4" t="n"/>
      <c r="Q2953" s="4" t="inlineStr">
        <is>
          <t>MAESTRO-IOS-BUSINESS-BUSINESS_OPERATIONS-2952 | Accounting | 156548.56</t>
        </is>
      </c>
      <c r="R2953" s="4" t="inlineStr">
        <is>
          <t>iPhone</t>
        </is>
      </c>
      <c r="S2953" s="4" t="inlineStr">
        <is>
          <t>B60</t>
        </is>
      </c>
      <c r="T2953" s="4" t="inlineStr">
        <is>
          <t>HIGH_2501_3000</t>
        </is>
      </c>
      <c r="U2953" s="4" t="inlineStr">
        <is>
          <t>CREATED</t>
        </is>
      </c>
      <c r="V2953" s="4" t="inlineStr">
        <is>
          <t>idem-20260902-ios-2952</t>
        </is>
      </c>
    </row>
    <row r="2954" ht="30" customHeight="1">
      <c r="A2954" s="4" t="n">
        <v>2953</v>
      </c>
      <c r="B2954" s="4" t="inlineStr">
        <is>
          <t>MTR-IOS-2953</t>
        </is>
      </c>
      <c r="C2954" s="4" t="inlineStr">
        <is>
          <t>Personal</t>
        </is>
      </c>
      <c r="D2954" s="4" t="inlineStr">
        <is>
          <t>Personal</t>
        </is>
      </c>
      <c r="E2954" s="4" t="inlineStr">
        <is>
          <t>Relationships</t>
        </is>
      </c>
      <c r="F2954" s="4" t="inlineStr">
        <is>
          <t>Gifts</t>
        </is>
      </c>
      <c r="G2954" s="4" t="inlineStr">
        <is>
          <t>Expense</t>
        </is>
      </c>
      <c r="H2954" s="12" t="n">
        <v>45912</v>
      </c>
      <c r="I2954" s="13" t="n">
        <v>0.1901273148148148</v>
      </c>
      <c r="J2954" s="14" t="n">
        <v>45912.19012731482</v>
      </c>
      <c r="K2954" s="15" t="n">
        <v>11958.33</v>
      </c>
      <c r="L2954" s="4" t="inlineStr">
        <is>
          <t>INR</t>
        </is>
      </c>
      <c r="M2954" s="15" t="n">
        <v>-11958.33</v>
      </c>
      <c r="N2954" s="4" t="inlineStr">
        <is>
          <t>IOS Owner</t>
        </is>
      </c>
      <c r="O2954" s="4" t="n"/>
      <c r="P2954" s="4" t="n"/>
      <c r="Q2954" s="4" t="inlineStr">
        <is>
          <t>MAESTRO-IOS-PERSONAL-RELATIONSHIPS-2953 | Gifts | 11958.33</t>
        </is>
      </c>
      <c r="R2954" s="4" t="inlineStr">
        <is>
          <t>iPhone</t>
        </is>
      </c>
      <c r="S2954" s="4" t="inlineStr">
        <is>
          <t>B60</t>
        </is>
      </c>
      <c r="T2954" s="4" t="inlineStr">
        <is>
          <t>HIGH_2501_3000</t>
        </is>
      </c>
      <c r="U2954" s="4" t="inlineStr">
        <is>
          <t>CREATED</t>
        </is>
      </c>
      <c r="V2954" s="4" t="inlineStr">
        <is>
          <t>idem-20260902-ios-2953</t>
        </is>
      </c>
    </row>
    <row r="2955" ht="30" customHeight="1">
      <c r="A2955" s="4" t="n">
        <v>2954</v>
      </c>
      <c r="B2955" s="4" t="inlineStr">
        <is>
          <t>MTR-IOS-2954</t>
        </is>
      </c>
      <c r="C2955" s="4" t="inlineStr">
        <is>
          <t>Group</t>
        </is>
      </c>
      <c r="D2955" s="4" t="inlineStr">
        <is>
          <t>Shared Living</t>
        </is>
      </c>
      <c r="E2955" s="4" t="inlineStr">
        <is>
          <t>Custom Living</t>
        </is>
      </c>
      <c r="F2955" s="4" t="inlineStr">
        <is>
          <t>Custom Expense</t>
        </is>
      </c>
      <c r="G2955" s="4" t="inlineStr">
        <is>
          <t>Expense</t>
        </is>
      </c>
      <c r="H2955" s="12" t="n">
        <v>46126</v>
      </c>
      <c r="I2955" s="13" t="n">
        <v>0.1314930555555555</v>
      </c>
      <c r="J2955" s="14" t="n">
        <v>46126.13149305555</v>
      </c>
      <c r="K2955" s="15" t="n">
        <v>10689.41</v>
      </c>
      <c r="L2955" s="4" t="inlineStr">
        <is>
          <t>INR</t>
        </is>
      </c>
      <c r="M2955" s="15" t="n">
        <v>-10689.41</v>
      </c>
      <c r="N2955" s="4" t="inlineStr">
        <is>
          <t>IOS Owner</t>
        </is>
      </c>
      <c r="O2955" s="4" t="n">
        <v>3</v>
      </c>
      <c r="P2955" s="4" t="inlineStr">
        <is>
          <t>EQUAL</t>
        </is>
      </c>
      <c r="Q2955" s="4" t="inlineStr">
        <is>
          <t>MAESTRO-IOS-GROUP-CUSTOM_LIVING-2954 | Custom Expense | 10689.41</t>
        </is>
      </c>
      <c r="R2955" s="4" t="inlineStr">
        <is>
          <t>iPhone</t>
        </is>
      </c>
      <c r="S2955" s="4" t="inlineStr">
        <is>
          <t>B60</t>
        </is>
      </c>
      <c r="T2955" s="4" t="inlineStr">
        <is>
          <t>HIGH_2501_3000</t>
        </is>
      </c>
      <c r="U2955" s="4" t="inlineStr">
        <is>
          <t>CREATED</t>
        </is>
      </c>
      <c r="V2955" s="4" t="inlineStr">
        <is>
          <t>idem-20260902-ios-2954</t>
        </is>
      </c>
    </row>
    <row r="2956" ht="30" customHeight="1">
      <c r="A2956" s="4" t="n">
        <v>2955</v>
      </c>
      <c r="B2956" s="4" t="inlineStr">
        <is>
          <t>MTR-IOS-2955</t>
        </is>
      </c>
      <c r="C2956" s="4" t="inlineStr">
        <is>
          <t>Business</t>
        </is>
      </c>
      <c r="D2956" s="4" t="inlineStr">
        <is>
          <t>Business</t>
        </is>
      </c>
      <c r="E2956" s="4" t="inlineStr">
        <is>
          <t>Business Operations</t>
        </is>
      </c>
      <c r="F2956" s="4" t="inlineStr">
        <is>
          <t>Equipment</t>
        </is>
      </c>
      <c r="G2956" s="4" t="inlineStr">
        <is>
          <t>Expense</t>
        </is>
      </c>
      <c r="H2956" s="12" t="n">
        <v>45956</v>
      </c>
      <c r="I2956" s="13" t="n">
        <v>0.2865740740740741</v>
      </c>
      <c r="J2956" s="14" t="n">
        <v>45956.28657407407</v>
      </c>
      <c r="K2956" s="15" t="n">
        <v>85759.52</v>
      </c>
      <c r="L2956" s="4" t="inlineStr">
        <is>
          <t>INR</t>
        </is>
      </c>
      <c r="M2956" s="15" t="n">
        <v>-85759.52</v>
      </c>
      <c r="N2956" s="4" t="inlineStr">
        <is>
          <t>IOS Owner</t>
        </is>
      </c>
      <c r="O2956" s="4" t="n"/>
      <c r="P2956" s="4" t="n"/>
      <c r="Q2956" s="4" t="inlineStr">
        <is>
          <t>MAESTRO-IOS-BUSINESS-BUSINESS_OPERATIONS-2955 | Equipment | 85759.52</t>
        </is>
      </c>
      <c r="R2956" s="4" t="inlineStr">
        <is>
          <t>iPhone</t>
        </is>
      </c>
      <c r="S2956" s="4" t="inlineStr">
        <is>
          <t>B60</t>
        </is>
      </c>
      <c r="T2956" s="4" t="inlineStr">
        <is>
          <t>HIGH_2501_3000</t>
        </is>
      </c>
      <c r="U2956" s="4" t="inlineStr">
        <is>
          <t>CREATED</t>
        </is>
      </c>
      <c r="V2956" s="4" t="inlineStr">
        <is>
          <t>idem-20260902-ios-2955</t>
        </is>
      </c>
    </row>
    <row r="2957" ht="30" customHeight="1">
      <c r="A2957" s="4" t="n">
        <v>2956</v>
      </c>
      <c r="B2957" s="4" t="inlineStr">
        <is>
          <t>MTR-IOS-2956</t>
        </is>
      </c>
      <c r="C2957" s="4" t="inlineStr">
        <is>
          <t>Personal</t>
        </is>
      </c>
      <c r="D2957" s="4" t="inlineStr">
        <is>
          <t>Personal</t>
        </is>
      </c>
      <c r="E2957" s="4" t="inlineStr">
        <is>
          <t>Relationships</t>
        </is>
      </c>
      <c r="F2957" s="4" t="inlineStr">
        <is>
          <t>Dates</t>
        </is>
      </c>
      <c r="G2957" s="4" t="inlineStr">
        <is>
          <t>Expense</t>
        </is>
      </c>
      <c r="H2957" s="12" t="n">
        <v>46188</v>
      </c>
      <c r="I2957" s="13" t="n">
        <v>0.04082175925925926</v>
      </c>
      <c r="J2957" s="14" t="n">
        <v>46188.04082175926</v>
      </c>
      <c r="K2957" s="15" t="n">
        <v>6846.77</v>
      </c>
      <c r="L2957" s="4" t="inlineStr">
        <is>
          <t>INR</t>
        </is>
      </c>
      <c r="M2957" s="15" t="n">
        <v>-6846.77</v>
      </c>
      <c r="N2957" s="4" t="inlineStr">
        <is>
          <t>IOS Owner</t>
        </is>
      </c>
      <c r="O2957" s="4" t="n"/>
      <c r="P2957" s="4" t="n"/>
      <c r="Q2957" s="4" t="inlineStr">
        <is>
          <t>MAESTRO-IOS-PERSONAL-RELATIONSHIPS-2956 | Dates | 6846.77</t>
        </is>
      </c>
      <c r="R2957" s="4" t="inlineStr">
        <is>
          <t>iPhone</t>
        </is>
      </c>
      <c r="S2957" s="4" t="inlineStr">
        <is>
          <t>B60</t>
        </is>
      </c>
      <c r="T2957" s="4" t="inlineStr">
        <is>
          <t>HIGH_2501_3000</t>
        </is>
      </c>
      <c r="U2957" s="4" t="inlineStr">
        <is>
          <t>CREATED</t>
        </is>
      </c>
      <c r="V2957" s="4" t="inlineStr">
        <is>
          <t>idem-20260902-ios-2956</t>
        </is>
      </c>
    </row>
    <row r="2958" ht="30" customHeight="1">
      <c r="A2958" s="4" t="n">
        <v>2957</v>
      </c>
      <c r="B2958" s="4" t="inlineStr">
        <is>
          <t>MTR-IOS-2957</t>
        </is>
      </c>
      <c r="C2958" s="4" t="inlineStr">
        <is>
          <t>Group</t>
        </is>
      </c>
      <c r="D2958" s="4" t="inlineStr">
        <is>
          <t>Shared Living</t>
        </is>
      </c>
      <c r="E2958" s="4" t="inlineStr">
        <is>
          <t>Custom Living</t>
        </is>
      </c>
      <c r="F2958" s="4" t="inlineStr">
        <is>
          <t>Custom Contribution</t>
        </is>
      </c>
      <c r="G2958" s="4" t="inlineStr">
        <is>
          <t>Contribution</t>
        </is>
      </c>
      <c r="H2958" s="12" t="n">
        <v>45912</v>
      </c>
      <c r="I2958" s="13" t="n">
        <v>0.5349652777777778</v>
      </c>
      <c r="J2958" s="14" t="n">
        <v>45912.53496527778</v>
      </c>
      <c r="K2958" s="15" t="n">
        <v>18337.42</v>
      </c>
      <c r="L2958" s="4" t="inlineStr">
        <is>
          <t>INR</t>
        </is>
      </c>
      <c r="M2958" s="15" t="n">
        <v>18337.42</v>
      </c>
      <c r="N2958" s="4" t="inlineStr">
        <is>
          <t>IOS Aarav</t>
        </is>
      </c>
      <c r="O2958" s="4" t="n">
        <v>3</v>
      </c>
      <c r="P2958" s="4" t="inlineStr">
        <is>
          <t>PERCENTAGE</t>
        </is>
      </c>
      <c r="Q2958" s="4" t="inlineStr">
        <is>
          <t>MAESTRO-IOS-GROUP-CUSTOM_LIVING-2957 | Custom Contribution | 18337.42</t>
        </is>
      </c>
      <c r="R2958" s="4" t="inlineStr">
        <is>
          <t>iPhone</t>
        </is>
      </c>
      <c r="S2958" s="4" t="inlineStr">
        <is>
          <t>B60</t>
        </is>
      </c>
      <c r="T2958" s="4" t="inlineStr">
        <is>
          <t>HIGH_2501_3000</t>
        </is>
      </c>
      <c r="U2958" s="4" t="inlineStr">
        <is>
          <t>CREATED</t>
        </is>
      </c>
      <c r="V2958" s="4" t="inlineStr">
        <is>
          <t>idem-20260902-ios-2957</t>
        </is>
      </c>
    </row>
    <row r="2959" ht="30" customHeight="1">
      <c r="A2959" s="4" t="n">
        <v>2958</v>
      </c>
      <c r="B2959" s="4" t="inlineStr">
        <is>
          <t>MTR-IOS-2958</t>
        </is>
      </c>
      <c r="C2959" s="4" t="inlineStr">
        <is>
          <t>Business</t>
        </is>
      </c>
      <c r="D2959" s="4" t="inlineStr">
        <is>
          <t>Business</t>
        </is>
      </c>
      <c r="E2959" s="4" t="inlineStr">
        <is>
          <t>Business Operations</t>
        </is>
      </c>
      <c r="F2959" s="4" t="inlineStr">
        <is>
          <t>Vendor</t>
        </is>
      </c>
      <c r="G2959" s="4" t="inlineStr">
        <is>
          <t>Expense</t>
        </is>
      </c>
      <c r="H2959" s="12" t="n">
        <v>46033</v>
      </c>
      <c r="I2959" s="13" t="n">
        <v>0.3117708333333333</v>
      </c>
      <c r="J2959" s="14" t="n">
        <v>46033.31177083333</v>
      </c>
      <c r="K2959" s="15" t="n">
        <v>110537.14</v>
      </c>
      <c r="L2959" s="4" t="inlineStr">
        <is>
          <t>INR</t>
        </is>
      </c>
      <c r="M2959" s="15" t="n">
        <v>-110537.14</v>
      </c>
      <c r="N2959" s="4" t="inlineStr">
        <is>
          <t>IOS Owner</t>
        </is>
      </c>
      <c r="O2959" s="4" t="n"/>
      <c r="P2959" s="4" t="n"/>
      <c r="Q2959" s="4" t="inlineStr">
        <is>
          <t>MAESTRO-IOS-BUSINESS-BUSINESS_OPERATIONS-2958 | Vendor | 110537.14</t>
        </is>
      </c>
      <c r="R2959" s="4" t="inlineStr">
        <is>
          <t>iPhone</t>
        </is>
      </c>
      <c r="S2959" s="4" t="inlineStr">
        <is>
          <t>B60</t>
        </is>
      </c>
      <c r="T2959" s="4" t="inlineStr">
        <is>
          <t>HIGH_2501_3000</t>
        </is>
      </c>
      <c r="U2959" s="4" t="inlineStr">
        <is>
          <t>CREATED</t>
        </is>
      </c>
      <c r="V2959" s="4" t="inlineStr">
        <is>
          <t>idem-20260902-ios-2958</t>
        </is>
      </c>
    </row>
    <row r="2960" ht="30" customHeight="1">
      <c r="A2960" s="4" t="n">
        <v>2959</v>
      </c>
      <c r="B2960" s="4" t="inlineStr">
        <is>
          <t>MTR-IOS-2959</t>
        </is>
      </c>
      <c r="C2960" s="4" t="inlineStr">
        <is>
          <t>Personal</t>
        </is>
      </c>
      <c r="D2960" s="4" t="inlineStr">
        <is>
          <t>Personal</t>
        </is>
      </c>
      <c r="E2960" s="4" t="inlineStr">
        <is>
          <t>Relationships</t>
        </is>
      </c>
      <c r="F2960" s="4" t="inlineStr">
        <is>
          <t>Family</t>
        </is>
      </c>
      <c r="G2960" s="4" t="inlineStr">
        <is>
          <t>Expense</t>
        </is>
      </c>
      <c r="H2960" s="12" t="n">
        <v>46125</v>
      </c>
      <c r="I2960" s="13" t="n">
        <v>0.4001736111111111</v>
      </c>
      <c r="J2960" s="14" t="n">
        <v>46125.40017361111</v>
      </c>
      <c r="K2960" s="15" t="n">
        <v>262.75</v>
      </c>
      <c r="L2960" s="4" t="inlineStr">
        <is>
          <t>INR</t>
        </is>
      </c>
      <c r="M2960" s="15" t="n">
        <v>-262.75</v>
      </c>
      <c r="N2960" s="4" t="inlineStr">
        <is>
          <t>IOS Owner</t>
        </is>
      </c>
      <c r="O2960" s="4" t="n"/>
      <c r="P2960" s="4" t="n"/>
      <c r="Q2960" s="4" t="inlineStr">
        <is>
          <t>MAESTRO-IOS-PERSONAL-RELATIONSHIPS-2959 | Family | 262.75</t>
        </is>
      </c>
      <c r="R2960" s="4" t="inlineStr">
        <is>
          <t>iPhone</t>
        </is>
      </c>
      <c r="S2960" s="4" t="inlineStr">
        <is>
          <t>B60</t>
        </is>
      </c>
      <c r="T2960" s="4" t="inlineStr">
        <is>
          <t>HIGH_2501_3000</t>
        </is>
      </c>
      <c r="U2960" s="4" t="inlineStr">
        <is>
          <t>CREATED</t>
        </is>
      </c>
      <c r="V2960" s="4" t="inlineStr">
        <is>
          <t>idem-20260902-ios-2959</t>
        </is>
      </c>
    </row>
    <row r="2961" ht="30" customHeight="1">
      <c r="A2961" s="4" t="n">
        <v>2960</v>
      </c>
      <c r="B2961" s="4" t="inlineStr">
        <is>
          <t>MTR-IOS-2960</t>
        </is>
      </c>
      <c r="C2961" s="4" t="inlineStr">
        <is>
          <t>Group</t>
        </is>
      </c>
      <c r="D2961" s="4" t="inlineStr">
        <is>
          <t>Shared Experience</t>
        </is>
      </c>
      <c r="E2961" s="4" t="inlineStr">
        <is>
          <t>Trip</t>
        </is>
      </c>
      <c r="F2961" s="4" t="inlineStr">
        <is>
          <t>Travel</t>
        </is>
      </c>
      <c r="G2961" s="4" t="inlineStr">
        <is>
          <t>Expense</t>
        </is>
      </c>
      <c r="H2961" s="12" t="n">
        <v>45905</v>
      </c>
      <c r="I2961" s="13" t="n">
        <v>0.7597685185185186</v>
      </c>
      <c r="J2961" s="14" t="n">
        <v>45905.75976851852</v>
      </c>
      <c r="K2961" s="15" t="n">
        <v>99.98999999999999</v>
      </c>
      <c r="L2961" s="4" t="inlineStr">
        <is>
          <t>INR</t>
        </is>
      </c>
      <c r="M2961" s="15" t="n">
        <v>-99.98999999999999</v>
      </c>
      <c r="N2961" s="4" t="inlineStr">
        <is>
          <t>IOS Meera</t>
        </is>
      </c>
      <c r="O2961" s="4" t="n">
        <v>3</v>
      </c>
      <c r="P2961" s="4" t="inlineStr">
        <is>
          <t>EXACT</t>
        </is>
      </c>
      <c r="Q2961" s="4" t="inlineStr">
        <is>
          <t>MAESTRO-IOS-GROUP-TRIP-2960 | Travel | 99.99</t>
        </is>
      </c>
      <c r="R2961" s="4" t="inlineStr">
        <is>
          <t>iPhone</t>
        </is>
      </c>
      <c r="S2961" s="4" t="inlineStr">
        <is>
          <t>B60</t>
        </is>
      </c>
      <c r="T2961" s="4" t="inlineStr">
        <is>
          <t>HIGH_2501_3000</t>
        </is>
      </c>
      <c r="U2961" s="4" t="inlineStr">
        <is>
          <t>CREATED</t>
        </is>
      </c>
      <c r="V2961" s="4" t="inlineStr">
        <is>
          <t>idem-20260902-ios-2960</t>
        </is>
      </c>
    </row>
    <row r="2962" ht="30" customHeight="1">
      <c r="A2962" s="4" t="n">
        <v>2961</v>
      </c>
      <c r="B2962" s="4" t="inlineStr">
        <is>
          <t>MTR-IOS-2961</t>
        </is>
      </c>
      <c r="C2962" s="4" t="inlineStr">
        <is>
          <t>Business</t>
        </is>
      </c>
      <c r="D2962" s="4" t="inlineStr">
        <is>
          <t>Business</t>
        </is>
      </c>
      <c r="E2962" s="4" t="inlineStr">
        <is>
          <t>Business Operations</t>
        </is>
      </c>
      <c r="F2962" s="4" t="inlineStr">
        <is>
          <t>Tax</t>
        </is>
      </c>
      <c r="G2962" s="4" t="inlineStr">
        <is>
          <t>Expense</t>
        </is>
      </c>
      <c r="H2962" s="12" t="n">
        <v>46039</v>
      </c>
      <c r="I2962" s="13" t="n">
        <v>0.6142245370370371</v>
      </c>
      <c r="J2962" s="14" t="n">
        <v>46039.61422453704</v>
      </c>
      <c r="K2962" s="15" t="n">
        <v>65871.27</v>
      </c>
      <c r="L2962" s="4" t="inlineStr">
        <is>
          <t>INR</t>
        </is>
      </c>
      <c r="M2962" s="15" t="n">
        <v>-65871.27</v>
      </c>
      <c r="N2962" s="4" t="inlineStr">
        <is>
          <t>IOS Owner</t>
        </is>
      </c>
      <c r="O2962" s="4" t="n"/>
      <c r="P2962" s="4" t="n"/>
      <c r="Q2962" s="4" t="inlineStr">
        <is>
          <t>MAESTRO-IOS-BUSINESS-BUSINESS_OPERATIONS-2961 | Tax | 65871.27</t>
        </is>
      </c>
      <c r="R2962" s="4" t="inlineStr">
        <is>
          <t>iPhone</t>
        </is>
      </c>
      <c r="S2962" s="4" t="inlineStr">
        <is>
          <t>B60</t>
        </is>
      </c>
      <c r="T2962" s="4" t="inlineStr">
        <is>
          <t>HIGH_2501_3000</t>
        </is>
      </c>
      <c r="U2962" s="4" t="inlineStr">
        <is>
          <t>CREATED</t>
        </is>
      </c>
      <c r="V2962" s="4" t="inlineStr">
        <is>
          <t>idem-20260902-ios-2961</t>
        </is>
      </c>
    </row>
    <row r="2963" ht="30" customHeight="1">
      <c r="A2963" s="4" t="n">
        <v>2962</v>
      </c>
      <c r="B2963" s="4" t="inlineStr">
        <is>
          <t>MTR-IOS-2962</t>
        </is>
      </c>
      <c r="C2963" s="4" t="inlineStr">
        <is>
          <t>Personal</t>
        </is>
      </c>
      <c r="D2963" s="4" t="inlineStr">
        <is>
          <t>Personal</t>
        </is>
      </c>
      <c r="E2963" s="4" t="inlineStr">
        <is>
          <t>Relationships</t>
        </is>
      </c>
      <c r="F2963" s="4" t="inlineStr">
        <is>
          <t>Friends</t>
        </is>
      </c>
      <c r="G2963" s="4" t="inlineStr">
        <is>
          <t>Expense</t>
        </is>
      </c>
      <c r="H2963" s="12" t="n">
        <v>46074</v>
      </c>
      <c r="I2963" s="13" t="n">
        <v>0.6415393518518518</v>
      </c>
      <c r="J2963" s="14" t="n">
        <v>46074.64153935185</v>
      </c>
      <c r="K2963" s="15" t="n">
        <v>4858.2</v>
      </c>
      <c r="L2963" s="4" t="inlineStr">
        <is>
          <t>INR</t>
        </is>
      </c>
      <c r="M2963" s="15" t="n">
        <v>-4858.2</v>
      </c>
      <c r="N2963" s="4" t="inlineStr">
        <is>
          <t>IOS Owner</t>
        </is>
      </c>
      <c r="O2963" s="4" t="n"/>
      <c r="P2963" s="4" t="n"/>
      <c r="Q2963" s="4" t="inlineStr">
        <is>
          <t>MAESTRO-IOS-PERSONAL-RELATIONSHIPS-2962 | Friends | 4858.20</t>
        </is>
      </c>
      <c r="R2963" s="4" t="inlineStr">
        <is>
          <t>iPhone</t>
        </is>
      </c>
      <c r="S2963" s="4" t="inlineStr">
        <is>
          <t>B60</t>
        </is>
      </c>
      <c r="T2963" s="4" t="inlineStr">
        <is>
          <t>HIGH_2501_3000</t>
        </is>
      </c>
      <c r="U2963" s="4" t="inlineStr">
        <is>
          <t>CREATED</t>
        </is>
      </c>
      <c r="V2963" s="4" t="inlineStr">
        <is>
          <t>idem-20260902-ios-2962</t>
        </is>
      </c>
    </row>
    <row r="2964" ht="30" customHeight="1">
      <c r="A2964" s="4" t="n">
        <v>2963</v>
      </c>
      <c r="B2964" s="4" t="inlineStr">
        <is>
          <t>MTR-IOS-2963</t>
        </is>
      </c>
      <c r="C2964" s="4" t="inlineStr">
        <is>
          <t>Group</t>
        </is>
      </c>
      <c r="D2964" s="4" t="inlineStr">
        <is>
          <t>Shared Experience</t>
        </is>
      </c>
      <c r="E2964" s="4" t="inlineStr">
        <is>
          <t>Trip</t>
        </is>
      </c>
      <c r="F2964" s="4" t="inlineStr">
        <is>
          <t>Stay</t>
        </is>
      </c>
      <c r="G2964" s="4" t="inlineStr">
        <is>
          <t>Expense</t>
        </is>
      </c>
      <c r="H2964" s="12" t="n">
        <v>46122</v>
      </c>
      <c r="I2964" s="13" t="n">
        <v>0.5208564814814814</v>
      </c>
      <c r="J2964" s="14" t="n">
        <v>46122.52085648148</v>
      </c>
      <c r="K2964" s="15" t="n">
        <v>25559.06</v>
      </c>
      <c r="L2964" s="4" t="inlineStr">
        <is>
          <t>INR</t>
        </is>
      </c>
      <c r="M2964" s="15" t="n">
        <v>-25559.06</v>
      </c>
      <c r="N2964" s="4" t="inlineStr">
        <is>
          <t>IOS Owner</t>
        </is>
      </c>
      <c r="O2964" s="4" t="n">
        <v>3</v>
      </c>
      <c r="P2964" s="4" t="inlineStr">
        <is>
          <t>SHARES</t>
        </is>
      </c>
      <c r="Q2964" s="4" t="inlineStr">
        <is>
          <t>MAESTRO-IOS-GROUP-TRIP-2963 | Stay | 25559.06</t>
        </is>
      </c>
      <c r="R2964" s="4" t="inlineStr">
        <is>
          <t>iPhone</t>
        </is>
      </c>
      <c r="S2964" s="4" t="inlineStr">
        <is>
          <t>B60</t>
        </is>
      </c>
      <c r="T2964" s="4" t="inlineStr">
        <is>
          <t>HIGH_2501_3000</t>
        </is>
      </c>
      <c r="U2964" s="4" t="inlineStr">
        <is>
          <t>CREATED</t>
        </is>
      </c>
      <c r="V2964" s="4" t="inlineStr">
        <is>
          <t>idem-20260902-ios-2963</t>
        </is>
      </c>
    </row>
    <row r="2965" ht="30" customHeight="1">
      <c r="A2965" s="4" t="n">
        <v>2964</v>
      </c>
      <c r="B2965" s="4" t="inlineStr">
        <is>
          <t>MTR-IOS-2964</t>
        </is>
      </c>
      <c r="C2965" s="4" t="inlineStr">
        <is>
          <t>Business</t>
        </is>
      </c>
      <c r="D2965" s="4" t="inlineStr">
        <is>
          <t>Business</t>
        </is>
      </c>
      <c r="E2965" s="4" t="inlineStr">
        <is>
          <t>Team Operations</t>
        </is>
      </c>
      <c r="F2965" s="4" t="inlineStr">
        <is>
          <t>Payroll</t>
        </is>
      </c>
      <c r="G2965" s="4" t="inlineStr">
        <is>
          <t>Expense</t>
        </is>
      </c>
      <c r="H2965" s="12" t="n">
        <v>45961</v>
      </c>
      <c r="I2965" s="13" t="n">
        <v>0.2474074074074074</v>
      </c>
      <c r="J2965" s="14" t="n">
        <v>45961.24740740741</v>
      </c>
      <c r="K2965" s="15" t="n">
        <v>12558.38</v>
      </c>
      <c r="L2965" s="4" t="inlineStr">
        <is>
          <t>INR</t>
        </is>
      </c>
      <c r="M2965" s="15" t="n">
        <v>-12558.38</v>
      </c>
      <c r="N2965" s="4" t="inlineStr">
        <is>
          <t>IOS Owner</t>
        </is>
      </c>
      <c r="O2965" s="4" t="n"/>
      <c r="P2965" s="4" t="n"/>
      <c r="Q2965" s="4" t="inlineStr">
        <is>
          <t>MAESTRO-IOS-BUSINESS-TEAM_OPERATIONS-2964 | Payroll | 12558.38</t>
        </is>
      </c>
      <c r="R2965" s="4" t="inlineStr">
        <is>
          <t>iPhone</t>
        </is>
      </c>
      <c r="S2965" s="4" t="inlineStr">
        <is>
          <t>B60</t>
        </is>
      </c>
      <c r="T2965" s="4" t="inlineStr">
        <is>
          <t>HIGH_2501_3000</t>
        </is>
      </c>
      <c r="U2965" s="4" t="inlineStr">
        <is>
          <t>CREATED</t>
        </is>
      </c>
      <c r="V2965" s="4" t="inlineStr">
        <is>
          <t>idem-20260902-ios-2964</t>
        </is>
      </c>
    </row>
    <row r="2966" ht="30" customHeight="1">
      <c r="A2966" s="4" t="n">
        <v>2965</v>
      </c>
      <c r="B2966" s="4" t="inlineStr">
        <is>
          <t>MTR-IOS-2965</t>
        </is>
      </c>
      <c r="C2966" s="4" t="inlineStr">
        <is>
          <t>Personal</t>
        </is>
      </c>
      <c r="D2966" s="4" t="inlineStr">
        <is>
          <t>Personal</t>
        </is>
      </c>
      <c r="E2966" s="4" t="inlineStr">
        <is>
          <t>Relationships</t>
        </is>
      </c>
      <c r="F2966" s="4" t="inlineStr">
        <is>
          <t>Celebrations</t>
        </is>
      </c>
      <c r="G2966" s="4" t="inlineStr">
        <is>
          <t>Expense</t>
        </is>
      </c>
      <c r="H2966" s="12" t="n">
        <v>46046</v>
      </c>
      <c r="I2966" s="13" t="n">
        <v>0.3275694444444445</v>
      </c>
      <c r="J2966" s="14" t="n">
        <v>46046.32756944445</v>
      </c>
      <c r="K2966" s="15" t="n">
        <v>11623.65</v>
      </c>
      <c r="L2966" s="4" t="inlineStr">
        <is>
          <t>INR</t>
        </is>
      </c>
      <c r="M2966" s="15" t="n">
        <v>-11623.65</v>
      </c>
      <c r="N2966" s="4" t="inlineStr">
        <is>
          <t>IOS Owner</t>
        </is>
      </c>
      <c r="O2966" s="4" t="n"/>
      <c r="P2966" s="4" t="n"/>
      <c r="Q2966" s="4" t="inlineStr">
        <is>
          <t>MAESTRO-IOS-PERSONAL-RELATIONSHIPS-2965 | Celebrations | 11623.65</t>
        </is>
      </c>
      <c r="R2966" s="4" t="inlineStr">
        <is>
          <t>iPhone</t>
        </is>
      </c>
      <c r="S2966" s="4" t="inlineStr">
        <is>
          <t>B60</t>
        </is>
      </c>
      <c r="T2966" s="4" t="inlineStr">
        <is>
          <t>HIGH_2501_3000</t>
        </is>
      </c>
      <c r="U2966" s="4" t="inlineStr">
        <is>
          <t>CREATED</t>
        </is>
      </c>
      <c r="V2966" s="4" t="inlineStr">
        <is>
          <t>idem-20260902-ios-2965</t>
        </is>
      </c>
    </row>
    <row r="2967" ht="30" customHeight="1">
      <c r="A2967" s="4" t="n">
        <v>2966</v>
      </c>
      <c r="B2967" s="4" t="inlineStr">
        <is>
          <t>MTR-IOS-2966</t>
        </is>
      </c>
      <c r="C2967" s="4" t="inlineStr">
        <is>
          <t>Group</t>
        </is>
      </c>
      <c r="D2967" s="4" t="inlineStr">
        <is>
          <t>Shared Experience</t>
        </is>
      </c>
      <c r="E2967" s="4" t="inlineStr">
        <is>
          <t>Trip</t>
        </is>
      </c>
      <c r="F2967" s="4" t="inlineStr">
        <is>
          <t>Food</t>
        </is>
      </c>
      <c r="G2967" s="4" t="inlineStr">
        <is>
          <t>Expense</t>
        </is>
      </c>
      <c r="H2967" s="12" t="n">
        <v>46130</v>
      </c>
      <c r="I2967" s="13" t="n">
        <v>0.810150462962963</v>
      </c>
      <c r="J2967" s="14" t="n">
        <v>46130.81015046296</v>
      </c>
      <c r="K2967" s="15" t="n">
        <v>1341.96</v>
      </c>
      <c r="L2967" s="4" t="inlineStr">
        <is>
          <t>INR</t>
        </is>
      </c>
      <c r="M2967" s="15" t="n">
        <v>-1341.96</v>
      </c>
      <c r="N2967" s="4" t="inlineStr">
        <is>
          <t>IOS Aarav</t>
        </is>
      </c>
      <c r="O2967" s="4" t="n">
        <v>3</v>
      </c>
      <c r="P2967" s="4" t="inlineStr">
        <is>
          <t>EQUAL</t>
        </is>
      </c>
      <c r="Q2967" s="4" t="inlineStr">
        <is>
          <t>MAESTRO-IOS-GROUP-TRIP-2966 | Food | 1341.96</t>
        </is>
      </c>
      <c r="R2967" s="4" t="inlineStr">
        <is>
          <t>iPhone</t>
        </is>
      </c>
      <c r="S2967" s="4" t="inlineStr">
        <is>
          <t>B60</t>
        </is>
      </c>
      <c r="T2967" s="4" t="inlineStr">
        <is>
          <t>HIGH_2501_3000</t>
        </is>
      </c>
      <c r="U2967" s="4" t="inlineStr">
        <is>
          <t>CREATED</t>
        </is>
      </c>
      <c r="V2967" s="4" t="inlineStr">
        <is>
          <t>idem-20260902-ios-2966</t>
        </is>
      </c>
    </row>
    <row r="2968" ht="30" customHeight="1">
      <c r="A2968" s="4" t="n">
        <v>2967</v>
      </c>
      <c r="B2968" s="4" t="inlineStr">
        <is>
          <t>MTR-IOS-2967</t>
        </is>
      </c>
      <c r="C2968" s="4" t="inlineStr">
        <is>
          <t>Business</t>
        </is>
      </c>
      <c r="D2968" s="4" t="inlineStr">
        <is>
          <t>Business</t>
        </is>
      </c>
      <c r="E2968" s="4" t="inlineStr">
        <is>
          <t>Team Operations</t>
        </is>
      </c>
      <c r="F2968" s="4" t="inlineStr">
        <is>
          <t>Contractor</t>
        </is>
      </c>
      <c r="G2968" s="4" t="inlineStr">
        <is>
          <t>Expense</t>
        </is>
      </c>
      <c r="H2968" s="12" t="n">
        <v>46128</v>
      </c>
      <c r="I2968" s="13" t="n">
        <v>0.2659375</v>
      </c>
      <c r="J2968" s="14" t="n">
        <v>46128.2659375</v>
      </c>
      <c r="K2968" s="15" t="n">
        <v>141725.11</v>
      </c>
      <c r="L2968" s="4" t="inlineStr">
        <is>
          <t>INR</t>
        </is>
      </c>
      <c r="M2968" s="15" t="n">
        <v>-141725.11</v>
      </c>
      <c r="N2968" s="4" t="inlineStr">
        <is>
          <t>IOS Owner</t>
        </is>
      </c>
      <c r="O2968" s="4" t="n"/>
      <c r="P2968" s="4" t="n"/>
      <c r="Q2968" s="4" t="inlineStr">
        <is>
          <t>MAESTRO-IOS-BUSINESS-TEAM_OPERATIONS-2967 | Contractor | 141725.11</t>
        </is>
      </c>
      <c r="R2968" s="4" t="inlineStr">
        <is>
          <t>iPhone</t>
        </is>
      </c>
      <c r="S2968" s="4" t="inlineStr">
        <is>
          <t>B60</t>
        </is>
      </c>
      <c r="T2968" s="4" t="inlineStr">
        <is>
          <t>HIGH_2501_3000</t>
        </is>
      </c>
      <c r="U2968" s="4" t="inlineStr">
        <is>
          <t>CREATED</t>
        </is>
      </c>
      <c r="V2968" s="4" t="inlineStr">
        <is>
          <t>idem-20260902-ios-2967</t>
        </is>
      </c>
    </row>
    <row r="2969" ht="30" customHeight="1">
      <c r="A2969" s="4" t="n">
        <v>2968</v>
      </c>
      <c r="B2969" s="4" t="inlineStr">
        <is>
          <t>MTR-IOS-2968</t>
        </is>
      </c>
      <c r="C2969" s="4" t="inlineStr">
        <is>
          <t>Personal</t>
        </is>
      </c>
      <c r="D2969" s="4" t="inlineStr">
        <is>
          <t>Personal</t>
        </is>
      </c>
      <c r="E2969" s="4" t="inlineStr">
        <is>
          <t>Life Operations</t>
        </is>
      </c>
      <c r="F2969" s="4" t="inlineStr">
        <is>
          <t>Groceries</t>
        </is>
      </c>
      <c r="G2969" s="4" t="inlineStr">
        <is>
          <t>Expense</t>
        </is>
      </c>
      <c r="H2969" s="12" t="n">
        <v>46151</v>
      </c>
      <c r="I2969" s="13" t="n">
        <v>0.996724537037037</v>
      </c>
      <c r="J2969" s="14" t="n">
        <v>46151.99672453704</v>
      </c>
      <c r="K2969" s="15" t="n">
        <v>5553.61</v>
      </c>
      <c r="L2969" s="4" t="inlineStr">
        <is>
          <t>INR</t>
        </is>
      </c>
      <c r="M2969" s="15" t="n">
        <v>-5553.61</v>
      </c>
      <c r="N2969" s="4" t="inlineStr">
        <is>
          <t>IOS Owner</t>
        </is>
      </c>
      <c r="O2969" s="4" t="n"/>
      <c r="P2969" s="4" t="n"/>
      <c r="Q2969" s="4" t="inlineStr">
        <is>
          <t>MAESTRO-IOS-PERSONAL-LIFE_OPERATIONS-2968 | Groceries | 5553.61</t>
        </is>
      </c>
      <c r="R2969" s="4" t="inlineStr">
        <is>
          <t>iPhone</t>
        </is>
      </c>
      <c r="S2969" s="4" t="inlineStr">
        <is>
          <t>B60</t>
        </is>
      </c>
      <c r="T2969" s="4" t="inlineStr">
        <is>
          <t>HIGH_2501_3000</t>
        </is>
      </c>
      <c r="U2969" s="4" t="inlineStr">
        <is>
          <t>CREATED</t>
        </is>
      </c>
      <c r="V2969" s="4" t="inlineStr">
        <is>
          <t>idem-20260902-ios-2968</t>
        </is>
      </c>
    </row>
    <row r="2970" ht="30" customHeight="1">
      <c r="A2970" s="4" t="n">
        <v>2969</v>
      </c>
      <c r="B2970" s="4" t="inlineStr">
        <is>
          <t>MTR-IOS-2969</t>
        </is>
      </c>
      <c r="C2970" s="4" t="inlineStr">
        <is>
          <t>Group</t>
        </is>
      </c>
      <c r="D2970" s="4" t="inlineStr">
        <is>
          <t>Shared Experience</t>
        </is>
      </c>
      <c r="E2970" s="4" t="inlineStr">
        <is>
          <t>Trip</t>
        </is>
      </c>
      <c r="F2970" s="4" t="inlineStr">
        <is>
          <t>Local Transport</t>
        </is>
      </c>
      <c r="G2970" s="4" t="inlineStr">
        <is>
          <t>Expense</t>
        </is>
      </c>
      <c r="H2970" s="12" t="n">
        <v>46136</v>
      </c>
      <c r="I2970" s="13" t="n">
        <v>0.7976388888888889</v>
      </c>
      <c r="J2970" s="14" t="n">
        <v>46136.79763888889</v>
      </c>
      <c r="K2970" s="15" t="n">
        <v>10808.51</v>
      </c>
      <c r="L2970" s="4" t="inlineStr">
        <is>
          <t>INR</t>
        </is>
      </c>
      <c r="M2970" s="15" t="n">
        <v>-10808.51</v>
      </c>
      <c r="N2970" s="4" t="inlineStr">
        <is>
          <t>IOS Meera</t>
        </is>
      </c>
      <c r="O2970" s="4" t="n">
        <v>3</v>
      </c>
      <c r="P2970" s="4" t="inlineStr">
        <is>
          <t>PERCENTAGE</t>
        </is>
      </c>
      <c r="Q2970" s="4" t="inlineStr">
        <is>
          <t>MAESTRO-IOS-GROUP-TRIP-2969 | Local Transport | 10808.51</t>
        </is>
      </c>
      <c r="R2970" s="4" t="inlineStr">
        <is>
          <t>iPhone</t>
        </is>
      </c>
      <c r="S2970" s="4" t="inlineStr">
        <is>
          <t>B60</t>
        </is>
      </c>
      <c r="T2970" s="4" t="inlineStr">
        <is>
          <t>HIGH_2501_3000</t>
        </is>
      </c>
      <c r="U2970" s="4" t="inlineStr">
        <is>
          <t>CREATED</t>
        </is>
      </c>
      <c r="V2970" s="4" t="inlineStr">
        <is>
          <t>idem-20260902-ios-2969</t>
        </is>
      </c>
    </row>
    <row r="2971" ht="30" customHeight="1">
      <c r="A2971" s="4" t="n">
        <v>2970</v>
      </c>
      <c r="B2971" s="4" t="inlineStr">
        <is>
          <t>MTR-IOS-2970</t>
        </is>
      </c>
      <c r="C2971" s="4" t="inlineStr">
        <is>
          <t>Business</t>
        </is>
      </c>
      <c r="D2971" s="4" t="inlineStr">
        <is>
          <t>Business</t>
        </is>
      </c>
      <c r="E2971" s="4" t="inlineStr">
        <is>
          <t>Team Operations</t>
        </is>
      </c>
      <c r="F2971" s="4" t="inlineStr">
        <is>
          <t>Hiring</t>
        </is>
      </c>
      <c r="G2971" s="4" t="inlineStr">
        <is>
          <t>Expense</t>
        </is>
      </c>
      <c r="H2971" s="12" t="n">
        <v>46167</v>
      </c>
      <c r="I2971" s="13" t="n">
        <v>0.6122106481481482</v>
      </c>
      <c r="J2971" s="14" t="n">
        <v>46167.61221064815</v>
      </c>
      <c r="K2971" s="15" t="n">
        <v>23327.09</v>
      </c>
      <c r="L2971" s="4" t="inlineStr">
        <is>
          <t>INR</t>
        </is>
      </c>
      <c r="M2971" s="15" t="n">
        <v>-23327.09</v>
      </c>
      <c r="N2971" s="4" t="inlineStr">
        <is>
          <t>IOS Owner</t>
        </is>
      </c>
      <c r="O2971" s="4" t="n"/>
      <c r="P2971" s="4" t="n"/>
      <c r="Q2971" s="4" t="inlineStr">
        <is>
          <t>MAESTRO-IOS-BUSINESS-TEAM_OPERATIONS-2970 | Hiring | 23327.09</t>
        </is>
      </c>
      <c r="R2971" s="4" t="inlineStr">
        <is>
          <t>iPhone</t>
        </is>
      </c>
      <c r="S2971" s="4" t="inlineStr">
        <is>
          <t>B60</t>
        </is>
      </c>
      <c r="T2971" s="4" t="inlineStr">
        <is>
          <t>HIGH_2501_3000</t>
        </is>
      </c>
      <c r="U2971" s="4" t="inlineStr">
        <is>
          <t>CREATED</t>
        </is>
      </c>
      <c r="V2971" s="4" t="inlineStr">
        <is>
          <t>idem-20260902-ios-2970</t>
        </is>
      </c>
    </row>
    <row r="2972" ht="30" customHeight="1">
      <c r="A2972" s="4" t="n">
        <v>2971</v>
      </c>
      <c r="B2972" s="4" t="inlineStr">
        <is>
          <t>MTR-IOS-2971</t>
        </is>
      </c>
      <c r="C2972" s="4" t="inlineStr">
        <is>
          <t>Personal</t>
        </is>
      </c>
      <c r="D2972" s="4" t="inlineStr">
        <is>
          <t>Personal</t>
        </is>
      </c>
      <c r="E2972" s="4" t="inlineStr">
        <is>
          <t>Life Operations</t>
        </is>
      </c>
      <c r="F2972" s="4" t="inlineStr">
        <is>
          <t>Rent</t>
        </is>
      </c>
      <c r="G2972" s="4" t="inlineStr">
        <is>
          <t>Expense</t>
        </is>
      </c>
      <c r="H2972" s="12" t="n">
        <v>45956</v>
      </c>
      <c r="I2972" s="13" t="n">
        <v>0.9098842592592593</v>
      </c>
      <c r="J2972" s="14" t="n">
        <v>45956.90988425926</v>
      </c>
      <c r="K2972" s="15" t="n">
        <v>1510.98</v>
      </c>
      <c r="L2972" s="4" t="inlineStr">
        <is>
          <t>INR</t>
        </is>
      </c>
      <c r="M2972" s="15" t="n">
        <v>-1510.98</v>
      </c>
      <c r="N2972" s="4" t="inlineStr">
        <is>
          <t>IOS Owner</t>
        </is>
      </c>
      <c r="O2972" s="4" t="n"/>
      <c r="P2972" s="4" t="n"/>
      <c r="Q2972" s="4" t="inlineStr">
        <is>
          <t>MAESTRO-IOS-PERSONAL-LIFE_OPERATIONS-2971 | Rent | 1510.98</t>
        </is>
      </c>
      <c r="R2972" s="4" t="inlineStr">
        <is>
          <t>iPhone</t>
        </is>
      </c>
      <c r="S2972" s="4" t="inlineStr">
        <is>
          <t>B60</t>
        </is>
      </c>
      <c r="T2972" s="4" t="inlineStr">
        <is>
          <t>HIGH_2501_3000</t>
        </is>
      </c>
      <c r="U2972" s="4" t="inlineStr">
        <is>
          <t>CREATED</t>
        </is>
      </c>
      <c r="V2972" s="4" t="inlineStr">
        <is>
          <t>idem-20260902-ios-2971</t>
        </is>
      </c>
    </row>
    <row r="2973" ht="30" customHeight="1">
      <c r="A2973" s="4" t="n">
        <v>2972</v>
      </c>
      <c r="B2973" s="4" t="inlineStr">
        <is>
          <t>MTR-IOS-2972</t>
        </is>
      </c>
      <c r="C2973" s="4" t="inlineStr">
        <is>
          <t>Group</t>
        </is>
      </c>
      <c r="D2973" s="4" t="inlineStr">
        <is>
          <t>Shared Experience</t>
        </is>
      </c>
      <c r="E2973" s="4" t="inlineStr">
        <is>
          <t>Trip</t>
        </is>
      </c>
      <c r="F2973" s="4" t="inlineStr">
        <is>
          <t>Activities</t>
        </is>
      </c>
      <c r="G2973" s="4" t="inlineStr">
        <is>
          <t>Expense</t>
        </is>
      </c>
      <c r="H2973" s="12" t="n">
        <v>45913</v>
      </c>
      <c r="I2973" s="13" t="n">
        <v>0.9571064814814815</v>
      </c>
      <c r="J2973" s="14" t="n">
        <v>45913.95710648148</v>
      </c>
      <c r="K2973" s="15" t="n">
        <v>20260.15</v>
      </c>
      <c r="L2973" s="4" t="inlineStr">
        <is>
          <t>INR</t>
        </is>
      </c>
      <c r="M2973" s="15" t="n">
        <v>-20260.15</v>
      </c>
      <c r="N2973" s="4" t="inlineStr">
        <is>
          <t>IOS Owner</t>
        </is>
      </c>
      <c r="O2973" s="4" t="n">
        <v>3</v>
      </c>
      <c r="P2973" s="4" t="inlineStr">
        <is>
          <t>EXACT</t>
        </is>
      </c>
      <c r="Q2973" s="4" t="inlineStr">
        <is>
          <t>MAESTRO-IOS-GROUP-TRIP-2972 | Activities | 20260.15</t>
        </is>
      </c>
      <c r="R2973" s="4" t="inlineStr">
        <is>
          <t>iPhone</t>
        </is>
      </c>
      <c r="S2973" s="4" t="inlineStr">
        <is>
          <t>B60</t>
        </is>
      </c>
      <c r="T2973" s="4" t="inlineStr">
        <is>
          <t>HIGH_2501_3000</t>
        </is>
      </c>
      <c r="U2973" s="4" t="inlineStr">
        <is>
          <t>CREATED</t>
        </is>
      </c>
      <c r="V2973" s="4" t="inlineStr">
        <is>
          <t>idem-20260902-ios-2972</t>
        </is>
      </c>
    </row>
    <row r="2974" ht="30" customHeight="1">
      <c r="A2974" s="4" t="n">
        <v>2973</v>
      </c>
      <c r="B2974" s="4" t="inlineStr">
        <is>
          <t>MTR-IOS-2973</t>
        </is>
      </c>
      <c r="C2974" s="4" t="inlineStr">
        <is>
          <t>Business</t>
        </is>
      </c>
      <c r="D2974" s="4" t="inlineStr">
        <is>
          <t>Business</t>
        </is>
      </c>
      <c r="E2974" s="4" t="inlineStr">
        <is>
          <t>Team Operations</t>
        </is>
      </c>
      <c r="F2974" s="4" t="inlineStr">
        <is>
          <t>Team Meal</t>
        </is>
      </c>
      <c r="G2974" s="4" t="inlineStr">
        <is>
          <t>Expense</t>
        </is>
      </c>
      <c r="H2974" s="12" t="n">
        <v>46117</v>
      </c>
      <c r="I2974" s="13" t="n">
        <v>0.213912037037037</v>
      </c>
      <c r="J2974" s="14" t="n">
        <v>46117.21391203703</v>
      </c>
      <c r="K2974" s="15" t="n">
        <v>34401.13</v>
      </c>
      <c r="L2974" s="4" t="inlineStr">
        <is>
          <t>INR</t>
        </is>
      </c>
      <c r="M2974" s="15" t="n">
        <v>-34401.13</v>
      </c>
      <c r="N2974" s="4" t="inlineStr">
        <is>
          <t>IOS Owner</t>
        </is>
      </c>
      <c r="O2974" s="4" t="n"/>
      <c r="P2974" s="4" t="n"/>
      <c r="Q2974" s="4" t="inlineStr">
        <is>
          <t>MAESTRO-IOS-BUSINESS-TEAM_OPERATIONS-2973 | Team Meal | 34401.13</t>
        </is>
      </c>
      <c r="R2974" s="4" t="inlineStr">
        <is>
          <t>iPhone</t>
        </is>
      </c>
      <c r="S2974" s="4" t="inlineStr">
        <is>
          <t>B60</t>
        </is>
      </c>
      <c r="T2974" s="4" t="inlineStr">
        <is>
          <t>HIGH_2501_3000</t>
        </is>
      </c>
      <c r="U2974" s="4" t="inlineStr">
        <is>
          <t>CREATED</t>
        </is>
      </c>
      <c r="V2974" s="4" t="inlineStr">
        <is>
          <t>idem-20260902-ios-2973</t>
        </is>
      </c>
    </row>
    <row r="2975" ht="30" customHeight="1">
      <c r="A2975" s="4" t="n">
        <v>2974</v>
      </c>
      <c r="B2975" s="4" t="inlineStr">
        <is>
          <t>MTR-IOS-2974</t>
        </is>
      </c>
      <c r="C2975" s="4" t="inlineStr">
        <is>
          <t>Personal</t>
        </is>
      </c>
      <c r="D2975" s="4" t="inlineStr">
        <is>
          <t>Personal</t>
        </is>
      </c>
      <c r="E2975" s="4" t="inlineStr">
        <is>
          <t>Life Operations</t>
        </is>
      </c>
      <c r="F2975" s="4" t="inlineStr">
        <is>
          <t>Bills</t>
        </is>
      </c>
      <c r="G2975" s="4" t="inlineStr">
        <is>
          <t>Expense</t>
        </is>
      </c>
      <c r="H2975" s="12" t="n">
        <v>46021</v>
      </c>
      <c r="I2975" s="13" t="n">
        <v>0.7220601851851852</v>
      </c>
      <c r="J2975" s="14" t="n">
        <v>46021.72206018519</v>
      </c>
      <c r="K2975" s="15" t="n">
        <v>8006.46</v>
      </c>
      <c r="L2975" s="4" t="inlineStr">
        <is>
          <t>INR</t>
        </is>
      </c>
      <c r="M2975" s="15" t="n">
        <v>-8006.46</v>
      </c>
      <c r="N2975" s="4" t="inlineStr">
        <is>
          <t>IOS Owner</t>
        </is>
      </c>
      <c r="O2975" s="4" t="n"/>
      <c r="P2975" s="4" t="n"/>
      <c r="Q2975" s="4" t="inlineStr">
        <is>
          <t>MAESTRO-IOS-PERSONAL-LIFE_OPERATIONS-2974 | Bills | 8006.46</t>
        </is>
      </c>
      <c r="R2975" s="4" t="inlineStr">
        <is>
          <t>iPhone</t>
        </is>
      </c>
      <c r="S2975" s="4" t="inlineStr">
        <is>
          <t>B60</t>
        </is>
      </c>
      <c r="T2975" s="4" t="inlineStr">
        <is>
          <t>HIGH_2501_3000</t>
        </is>
      </c>
      <c r="U2975" s="4" t="inlineStr">
        <is>
          <t>CREATED</t>
        </is>
      </c>
      <c r="V2975" s="4" t="inlineStr">
        <is>
          <t>idem-20260902-ios-2974</t>
        </is>
      </c>
    </row>
    <row r="2976" ht="30" customHeight="1">
      <c r="A2976" s="4" t="n">
        <v>2975</v>
      </c>
      <c r="B2976" s="4" t="inlineStr">
        <is>
          <t>MTR-IOS-2975</t>
        </is>
      </c>
      <c r="C2976" s="4" t="inlineStr">
        <is>
          <t>Group</t>
        </is>
      </c>
      <c r="D2976" s="4" t="inlineStr">
        <is>
          <t>Shared Experience</t>
        </is>
      </c>
      <c r="E2976" s="4" t="inlineStr">
        <is>
          <t>Trip</t>
        </is>
      </c>
      <c r="F2976" s="4" t="inlineStr">
        <is>
          <t>Shopping</t>
        </is>
      </c>
      <c r="G2976" s="4" t="inlineStr">
        <is>
          <t>Expense</t>
        </is>
      </c>
      <c r="H2976" s="12" t="n">
        <v>45936</v>
      </c>
      <c r="I2976" s="13" t="n">
        <v>0.6131481481481481</v>
      </c>
      <c r="J2976" s="14" t="n">
        <v>45936.61314814815</v>
      </c>
      <c r="K2976" s="15" t="n">
        <v>15185.74</v>
      </c>
      <c r="L2976" s="4" t="inlineStr">
        <is>
          <t>INR</t>
        </is>
      </c>
      <c r="M2976" s="15" t="n">
        <v>-15185.74</v>
      </c>
      <c r="N2976" s="4" t="inlineStr">
        <is>
          <t>IOS Aarav</t>
        </is>
      </c>
      <c r="O2976" s="4" t="n">
        <v>3</v>
      </c>
      <c r="P2976" s="4" t="inlineStr">
        <is>
          <t>SHARES</t>
        </is>
      </c>
      <c r="Q2976" s="4" t="inlineStr">
        <is>
          <t>MAESTRO-IOS-GROUP-TRIP-2975 | Shopping | 15185.74</t>
        </is>
      </c>
      <c r="R2976" s="4" t="inlineStr">
        <is>
          <t>iPhone</t>
        </is>
      </c>
      <c r="S2976" s="4" t="inlineStr">
        <is>
          <t>B60</t>
        </is>
      </c>
      <c r="T2976" s="4" t="inlineStr">
        <is>
          <t>HIGH_2501_3000</t>
        </is>
      </c>
      <c r="U2976" s="4" t="inlineStr">
        <is>
          <t>CREATED</t>
        </is>
      </c>
      <c r="V2976" s="4" t="inlineStr">
        <is>
          <t>idem-20260902-ios-2975</t>
        </is>
      </c>
    </row>
    <row r="2977" ht="30" customHeight="1">
      <c r="A2977" s="4" t="n">
        <v>2976</v>
      </c>
      <c r="B2977" s="4" t="inlineStr">
        <is>
          <t>MTR-IOS-2976</t>
        </is>
      </c>
      <c r="C2977" s="4" t="inlineStr">
        <is>
          <t>Business</t>
        </is>
      </c>
      <c r="D2977" s="4" t="inlineStr">
        <is>
          <t>Business</t>
        </is>
      </c>
      <c r="E2977" s="4" t="inlineStr">
        <is>
          <t>Team Operations</t>
        </is>
      </c>
      <c r="F2977" s="4" t="inlineStr">
        <is>
          <t>Travel</t>
        </is>
      </c>
      <c r="G2977" s="4" t="inlineStr">
        <is>
          <t>Expense</t>
        </is>
      </c>
      <c r="H2977" s="12" t="n">
        <v>45922</v>
      </c>
      <c r="I2977" s="13" t="n">
        <v>0.9620023148148148</v>
      </c>
      <c r="J2977" s="14" t="n">
        <v>45922.96200231482</v>
      </c>
      <c r="K2977" s="15" t="n">
        <v>8573.16</v>
      </c>
      <c r="L2977" s="4" t="inlineStr">
        <is>
          <t>INR</t>
        </is>
      </c>
      <c r="M2977" s="15" t="n">
        <v>-8573.16</v>
      </c>
      <c r="N2977" s="4" t="inlineStr">
        <is>
          <t>IOS Owner</t>
        </is>
      </c>
      <c r="O2977" s="4" t="n"/>
      <c r="P2977" s="4" t="n"/>
      <c r="Q2977" s="4" t="inlineStr">
        <is>
          <t>MAESTRO-IOS-BUSINESS-TEAM_OPERATIONS-2976 | Travel | 8573.16</t>
        </is>
      </c>
      <c r="R2977" s="4" t="inlineStr">
        <is>
          <t>iPhone</t>
        </is>
      </c>
      <c r="S2977" s="4" t="inlineStr">
        <is>
          <t>B60</t>
        </is>
      </c>
      <c r="T2977" s="4" t="inlineStr">
        <is>
          <t>HIGH_2501_3000</t>
        </is>
      </c>
      <c r="U2977" s="4" t="inlineStr">
        <is>
          <t>CREATED</t>
        </is>
      </c>
      <c r="V2977" s="4" t="inlineStr">
        <is>
          <t>idem-20260902-ios-2976</t>
        </is>
      </c>
    </row>
    <row r="2978" ht="30" customHeight="1">
      <c r="A2978" s="4" t="n">
        <v>2977</v>
      </c>
      <c r="B2978" s="4" t="inlineStr">
        <is>
          <t>MTR-IOS-2977</t>
        </is>
      </c>
      <c r="C2978" s="4" t="inlineStr">
        <is>
          <t>Personal</t>
        </is>
      </c>
      <c r="D2978" s="4" t="inlineStr">
        <is>
          <t>Personal</t>
        </is>
      </c>
      <c r="E2978" s="4" t="inlineStr">
        <is>
          <t>Life Operations</t>
        </is>
      </c>
      <c r="F2978" s="4" t="inlineStr">
        <is>
          <t>Transport</t>
        </is>
      </c>
      <c r="G2978" s="4" t="inlineStr">
        <is>
          <t>Expense</t>
        </is>
      </c>
      <c r="H2978" s="12" t="n">
        <v>45986</v>
      </c>
      <c r="I2978" s="13" t="n">
        <v>0.460625</v>
      </c>
      <c r="J2978" s="14" t="n">
        <v>45986.460625</v>
      </c>
      <c r="K2978" s="15" t="n">
        <v>2698.35</v>
      </c>
      <c r="L2978" s="4" t="inlineStr">
        <is>
          <t>INR</t>
        </is>
      </c>
      <c r="M2978" s="15" t="n">
        <v>-2698.35</v>
      </c>
      <c r="N2978" s="4" t="inlineStr">
        <is>
          <t>IOS Owner</t>
        </is>
      </c>
      <c r="O2978" s="4" t="n"/>
      <c r="P2978" s="4" t="n"/>
      <c r="Q2978" s="4" t="inlineStr">
        <is>
          <t>MAESTRO-IOS-PERSONAL-LIFE_OPERATIONS-2977 | Transport | 2698.35</t>
        </is>
      </c>
      <c r="R2978" s="4" t="inlineStr">
        <is>
          <t>iPhone</t>
        </is>
      </c>
      <c r="S2978" s="4" t="inlineStr">
        <is>
          <t>B60</t>
        </is>
      </c>
      <c r="T2978" s="4" t="inlineStr">
        <is>
          <t>HIGH_2501_3000</t>
        </is>
      </c>
      <c r="U2978" s="4" t="inlineStr">
        <is>
          <t>CREATED</t>
        </is>
      </c>
      <c r="V2978" s="4" t="inlineStr">
        <is>
          <t>idem-20260902-ios-2977</t>
        </is>
      </c>
    </row>
    <row r="2979" ht="30" customHeight="1">
      <c r="A2979" s="4" t="n">
        <v>2978</v>
      </c>
      <c r="B2979" s="4" t="inlineStr">
        <is>
          <t>MTR-IOS-2978</t>
        </is>
      </c>
      <c r="C2979" s="4" t="inlineStr">
        <is>
          <t>Group</t>
        </is>
      </c>
      <c r="D2979" s="4" t="inlineStr">
        <is>
          <t>Shared Experience</t>
        </is>
      </c>
      <c r="E2979" s="4" t="inlineStr">
        <is>
          <t>Trip</t>
        </is>
      </c>
      <c r="F2979" s="4" t="inlineStr">
        <is>
          <t>Other</t>
        </is>
      </c>
      <c r="G2979" s="4" t="inlineStr">
        <is>
          <t>Expense</t>
        </is>
      </c>
      <c r="H2979" s="12" t="n">
        <v>46207</v>
      </c>
      <c r="I2979" s="13" t="n">
        <v>0.8452662037037038</v>
      </c>
      <c r="J2979" s="14" t="n">
        <v>46207.8452662037</v>
      </c>
      <c r="K2979" s="15" t="n">
        <v>18004.49</v>
      </c>
      <c r="L2979" s="4" t="inlineStr">
        <is>
          <t>INR</t>
        </is>
      </c>
      <c r="M2979" s="15" t="n">
        <v>-18004.49</v>
      </c>
      <c r="N2979" s="4" t="inlineStr">
        <is>
          <t>IOS Meera</t>
        </is>
      </c>
      <c r="O2979" s="4" t="n">
        <v>3</v>
      </c>
      <c r="P2979" s="4" t="inlineStr">
        <is>
          <t>EQUAL</t>
        </is>
      </c>
      <c r="Q2979" s="4" t="inlineStr">
        <is>
          <t>MAESTRO-IOS-GROUP-TRIP-2978 | Other | 18004.49</t>
        </is>
      </c>
      <c r="R2979" s="4" t="inlineStr">
        <is>
          <t>iPhone</t>
        </is>
      </c>
      <c r="S2979" s="4" t="inlineStr">
        <is>
          <t>B60</t>
        </is>
      </c>
      <c r="T2979" s="4" t="inlineStr">
        <is>
          <t>HIGH_2501_3000</t>
        </is>
      </c>
      <c r="U2979" s="4" t="inlineStr">
        <is>
          <t>CREATED</t>
        </is>
      </c>
      <c r="V2979" s="4" t="inlineStr">
        <is>
          <t>idem-20260902-ios-2978</t>
        </is>
      </c>
    </row>
    <row r="2980" ht="30" customHeight="1">
      <c r="A2980" s="4" t="n">
        <v>2979</v>
      </c>
      <c r="B2980" s="4" t="inlineStr">
        <is>
          <t>MTR-IOS-2979</t>
        </is>
      </c>
      <c r="C2980" s="4" t="inlineStr">
        <is>
          <t>Business</t>
        </is>
      </c>
      <c r="D2980" s="4" t="inlineStr">
        <is>
          <t>Business</t>
        </is>
      </c>
      <c r="E2980" s="4" t="inlineStr">
        <is>
          <t>Team Operations</t>
        </is>
      </c>
      <c r="F2980" s="4" t="inlineStr">
        <is>
          <t>Training</t>
        </is>
      </c>
      <c r="G2980" s="4" t="inlineStr">
        <is>
          <t>Expense</t>
        </is>
      </c>
      <c r="H2980" s="12" t="n">
        <v>45910</v>
      </c>
      <c r="I2980" s="13" t="n">
        <v>0.1367476851851852</v>
      </c>
      <c r="J2980" s="14" t="n">
        <v>45910.13674768519</v>
      </c>
      <c r="K2980" s="15" t="n">
        <v>15849.08</v>
      </c>
      <c r="L2980" s="4" t="inlineStr">
        <is>
          <t>INR</t>
        </is>
      </c>
      <c r="M2980" s="15" t="n">
        <v>-15849.08</v>
      </c>
      <c r="N2980" s="4" t="inlineStr">
        <is>
          <t>IOS Owner</t>
        </is>
      </c>
      <c r="O2980" s="4" t="n"/>
      <c r="P2980" s="4" t="n"/>
      <c r="Q2980" s="4" t="inlineStr">
        <is>
          <t>MAESTRO-IOS-BUSINESS-TEAM_OPERATIONS-2979 | Training | 15849.08</t>
        </is>
      </c>
      <c r="R2980" s="4" t="inlineStr">
        <is>
          <t>iPhone</t>
        </is>
      </c>
      <c r="S2980" s="4" t="inlineStr">
        <is>
          <t>B60</t>
        </is>
      </c>
      <c r="T2980" s="4" t="inlineStr">
        <is>
          <t>HIGH_2501_3000</t>
        </is>
      </c>
      <c r="U2980" s="4" t="inlineStr">
        <is>
          <t>CREATED</t>
        </is>
      </c>
      <c r="V2980" s="4" t="inlineStr">
        <is>
          <t>idem-20260902-ios-2979</t>
        </is>
      </c>
    </row>
    <row r="2981" ht="30" customHeight="1">
      <c r="A2981" s="4" t="n">
        <v>2980</v>
      </c>
      <c r="B2981" s="4" t="inlineStr">
        <is>
          <t>MTR-IOS-2980</t>
        </is>
      </c>
      <c r="C2981" s="4" t="inlineStr">
        <is>
          <t>Personal</t>
        </is>
      </c>
      <c r="D2981" s="4" t="inlineStr">
        <is>
          <t>Personal</t>
        </is>
      </c>
      <c r="E2981" s="4" t="inlineStr">
        <is>
          <t>Life Operations</t>
        </is>
      </c>
      <c r="F2981" s="4" t="inlineStr">
        <is>
          <t>Healthcare</t>
        </is>
      </c>
      <c r="G2981" s="4" t="inlineStr">
        <is>
          <t>Expense</t>
        </is>
      </c>
      <c r="H2981" s="12" t="n">
        <v>46070</v>
      </c>
      <c r="I2981" s="13" t="n">
        <v>0.1210300925925926</v>
      </c>
      <c r="J2981" s="14" t="n">
        <v>46070.1210300926</v>
      </c>
      <c r="K2981" s="15" t="n">
        <v>5962.19</v>
      </c>
      <c r="L2981" s="4" t="inlineStr">
        <is>
          <t>INR</t>
        </is>
      </c>
      <c r="M2981" s="15" t="n">
        <v>-5962.19</v>
      </c>
      <c r="N2981" s="4" t="inlineStr">
        <is>
          <t>IOS Owner</t>
        </is>
      </c>
      <c r="O2981" s="4" t="n"/>
      <c r="P2981" s="4" t="n"/>
      <c r="Q2981" s="4" t="inlineStr">
        <is>
          <t>MAESTRO-IOS-PERSONAL-LIFE_OPERATIONS-2980 | Healthcare | 5962.19</t>
        </is>
      </c>
      <c r="R2981" s="4" t="inlineStr">
        <is>
          <t>iPhone</t>
        </is>
      </c>
      <c r="S2981" s="4" t="inlineStr">
        <is>
          <t>B60</t>
        </is>
      </c>
      <c r="T2981" s="4" t="inlineStr">
        <is>
          <t>HIGH_2501_3000</t>
        </is>
      </c>
      <c r="U2981" s="4" t="inlineStr">
        <is>
          <t>CREATED</t>
        </is>
      </c>
      <c r="V2981" s="4" t="inlineStr">
        <is>
          <t>idem-20260902-ios-2980</t>
        </is>
      </c>
    </row>
    <row r="2982" ht="30" customHeight="1">
      <c r="A2982" s="4" t="n">
        <v>2981</v>
      </c>
      <c r="B2982" s="4" t="inlineStr">
        <is>
          <t>MTR-IOS-2981</t>
        </is>
      </c>
      <c r="C2982" s="4" t="inlineStr">
        <is>
          <t>Group</t>
        </is>
      </c>
      <c r="D2982" s="4" t="inlineStr">
        <is>
          <t>Shared Experience</t>
        </is>
      </c>
      <c r="E2982" s="4" t="inlineStr">
        <is>
          <t>Wedding</t>
        </is>
      </c>
      <c r="F2982" s="4" t="inlineStr">
        <is>
          <t>Venue</t>
        </is>
      </c>
      <c r="G2982" s="4" t="inlineStr">
        <is>
          <t>Expense</t>
        </is>
      </c>
      <c r="H2982" s="12" t="n">
        <v>46099</v>
      </c>
      <c r="I2982" s="13" t="n">
        <v>0.4565625</v>
      </c>
      <c r="J2982" s="14" t="n">
        <v>46099.4565625</v>
      </c>
      <c r="K2982" s="15" t="n">
        <v>9628.24</v>
      </c>
      <c r="L2982" s="4" t="inlineStr">
        <is>
          <t>INR</t>
        </is>
      </c>
      <c r="M2982" s="15" t="n">
        <v>-9628.24</v>
      </c>
      <c r="N2982" s="4" t="inlineStr">
        <is>
          <t>IOS Owner</t>
        </is>
      </c>
      <c r="O2982" s="4" t="n">
        <v>3</v>
      </c>
      <c r="P2982" s="4" t="inlineStr">
        <is>
          <t>PERCENTAGE</t>
        </is>
      </c>
      <c r="Q2982" s="4" t="inlineStr">
        <is>
          <t>MAESTRO-IOS-GROUP-WEDDING-2981 | Venue | 9628.24</t>
        </is>
      </c>
      <c r="R2982" s="4" t="inlineStr">
        <is>
          <t>iPhone</t>
        </is>
      </c>
      <c r="S2982" s="4" t="inlineStr">
        <is>
          <t>B60</t>
        </is>
      </c>
      <c r="T2982" s="4" t="inlineStr">
        <is>
          <t>HIGH_2501_3000</t>
        </is>
      </c>
      <c r="U2982" s="4" t="inlineStr">
        <is>
          <t>CREATED</t>
        </is>
      </c>
      <c r="V2982" s="4" t="inlineStr">
        <is>
          <t>idem-20260902-ios-2981</t>
        </is>
      </c>
    </row>
    <row r="2983" ht="30" customHeight="1">
      <c r="A2983" s="4" t="n">
        <v>2982</v>
      </c>
      <c r="B2983" s="4" t="inlineStr">
        <is>
          <t>MTR-IOS-2982</t>
        </is>
      </c>
      <c r="C2983" s="4" t="inlineStr">
        <is>
          <t>Business</t>
        </is>
      </c>
      <c r="D2983" s="4" t="inlineStr">
        <is>
          <t>Business</t>
        </is>
      </c>
      <c r="E2983" s="4" t="inlineStr">
        <is>
          <t>Team Operations</t>
        </is>
      </c>
      <c r="F2983" s="4" t="inlineStr">
        <is>
          <t>Tools</t>
        </is>
      </c>
      <c r="G2983" s="4" t="inlineStr">
        <is>
          <t>Expense</t>
        </is>
      </c>
      <c r="H2983" s="12" t="n">
        <v>45928</v>
      </c>
      <c r="I2983" s="13" t="n">
        <v>0.9644560185185185</v>
      </c>
      <c r="J2983" s="14" t="n">
        <v>45928.96445601852</v>
      </c>
      <c r="K2983" s="15" t="n">
        <v>129648.8</v>
      </c>
      <c r="L2983" s="4" t="inlineStr">
        <is>
          <t>INR</t>
        </is>
      </c>
      <c r="M2983" s="15" t="n">
        <v>-129648.8</v>
      </c>
      <c r="N2983" s="4" t="inlineStr">
        <is>
          <t>IOS Owner</t>
        </is>
      </c>
      <c r="O2983" s="4" t="n"/>
      <c r="P2983" s="4" t="n"/>
      <c r="Q2983" s="4" t="inlineStr">
        <is>
          <t>MAESTRO-IOS-BUSINESS-TEAM_OPERATIONS-2982 | Tools | 129648.80</t>
        </is>
      </c>
      <c r="R2983" s="4" t="inlineStr">
        <is>
          <t>iPhone</t>
        </is>
      </c>
      <c r="S2983" s="4" t="inlineStr">
        <is>
          <t>B60</t>
        </is>
      </c>
      <c r="T2983" s="4" t="inlineStr">
        <is>
          <t>HIGH_2501_3000</t>
        </is>
      </c>
      <c r="U2983" s="4" t="inlineStr">
        <is>
          <t>CREATED</t>
        </is>
      </c>
      <c r="V2983" s="4" t="inlineStr">
        <is>
          <t>idem-20260902-ios-2982</t>
        </is>
      </c>
    </row>
    <row r="2984" ht="30" customHeight="1">
      <c r="A2984" s="4" t="n">
        <v>2983</v>
      </c>
      <c r="B2984" s="4" t="inlineStr">
        <is>
          <t>MTR-IOS-2983</t>
        </is>
      </c>
      <c r="C2984" s="4" t="inlineStr">
        <is>
          <t>Personal</t>
        </is>
      </c>
      <c r="D2984" s="4" t="inlineStr">
        <is>
          <t>Personal</t>
        </is>
      </c>
      <c r="E2984" s="4" t="inlineStr">
        <is>
          <t>Life Operations</t>
        </is>
      </c>
      <c r="F2984" s="4" t="inlineStr">
        <is>
          <t>Subscriptions</t>
        </is>
      </c>
      <c r="G2984" s="4" t="inlineStr">
        <is>
          <t>Expense</t>
        </is>
      </c>
      <c r="H2984" s="12" t="n">
        <v>46183</v>
      </c>
      <c r="I2984" s="13" t="n">
        <v>0.3109722222222222</v>
      </c>
      <c r="J2984" s="14" t="n">
        <v>46183.31097222222</v>
      </c>
      <c r="K2984" s="15" t="n">
        <v>7926.26</v>
      </c>
      <c r="L2984" s="4" t="inlineStr">
        <is>
          <t>INR</t>
        </is>
      </c>
      <c r="M2984" s="15" t="n">
        <v>-7926.26</v>
      </c>
      <c r="N2984" s="4" t="inlineStr">
        <is>
          <t>IOS Owner</t>
        </is>
      </c>
      <c r="O2984" s="4" t="n"/>
      <c r="P2984" s="4" t="n"/>
      <c r="Q2984" s="4" t="inlineStr">
        <is>
          <t>MAESTRO-IOS-PERSONAL-LIFE_OPERATIONS-2983 | Subscriptions | 7926.26</t>
        </is>
      </c>
      <c r="R2984" s="4" t="inlineStr">
        <is>
          <t>iPhone</t>
        </is>
      </c>
      <c r="S2984" s="4" t="inlineStr">
        <is>
          <t>B60</t>
        </is>
      </c>
      <c r="T2984" s="4" t="inlineStr">
        <is>
          <t>HIGH_2501_3000</t>
        </is>
      </c>
      <c r="U2984" s="4" t="inlineStr">
        <is>
          <t>CREATED</t>
        </is>
      </c>
      <c r="V2984" s="4" t="inlineStr">
        <is>
          <t>idem-20260902-ios-2983</t>
        </is>
      </c>
    </row>
    <row r="2985" ht="30" customHeight="1">
      <c r="A2985" s="4" t="n">
        <v>2984</v>
      </c>
      <c r="B2985" s="4" t="inlineStr">
        <is>
          <t>MTR-IOS-2984</t>
        </is>
      </c>
      <c r="C2985" s="4" t="inlineStr">
        <is>
          <t>Group</t>
        </is>
      </c>
      <c r="D2985" s="4" t="inlineStr">
        <is>
          <t>Shared Experience</t>
        </is>
      </c>
      <c r="E2985" s="4" t="inlineStr">
        <is>
          <t>Wedding</t>
        </is>
      </c>
      <c r="F2985" s="4" t="inlineStr">
        <is>
          <t>Catering</t>
        </is>
      </c>
      <c r="G2985" s="4" t="inlineStr">
        <is>
          <t>Expense</t>
        </is>
      </c>
      <c r="H2985" s="12" t="n">
        <v>46083</v>
      </c>
      <c r="I2985" s="13" t="n">
        <v>0.6188773148148148</v>
      </c>
      <c r="J2985" s="14" t="n">
        <v>46083.61887731482</v>
      </c>
      <c r="K2985" s="15" t="n">
        <v>6667.19</v>
      </c>
      <c r="L2985" s="4" t="inlineStr">
        <is>
          <t>INR</t>
        </is>
      </c>
      <c r="M2985" s="15" t="n">
        <v>-6667.19</v>
      </c>
      <c r="N2985" s="4" t="inlineStr">
        <is>
          <t>IOS Aarav</t>
        </is>
      </c>
      <c r="O2985" s="4" t="n">
        <v>3</v>
      </c>
      <c r="P2985" s="4" t="inlineStr">
        <is>
          <t>EXACT</t>
        </is>
      </c>
      <c r="Q2985" s="4" t="inlineStr">
        <is>
          <t>MAESTRO-IOS-GROUP-WEDDING-2984 | Catering | 6667.19</t>
        </is>
      </c>
      <c r="R2985" s="4" t="inlineStr">
        <is>
          <t>iPhone</t>
        </is>
      </c>
      <c r="S2985" s="4" t="inlineStr">
        <is>
          <t>B60</t>
        </is>
      </c>
      <c r="T2985" s="4" t="inlineStr">
        <is>
          <t>HIGH_2501_3000</t>
        </is>
      </c>
      <c r="U2985" s="4" t="inlineStr">
        <is>
          <t>CREATED</t>
        </is>
      </c>
      <c r="V2985" s="4" t="inlineStr">
        <is>
          <t>idem-20260902-ios-2984</t>
        </is>
      </c>
    </row>
    <row r="2986" ht="30" customHeight="1">
      <c r="A2986" s="4" t="n">
        <v>2985</v>
      </c>
      <c r="B2986" s="4" t="inlineStr">
        <is>
          <t>MTR-IOS-2985</t>
        </is>
      </c>
      <c r="C2986" s="4" t="inlineStr">
        <is>
          <t>Business</t>
        </is>
      </c>
      <c r="D2986" s="4" t="inlineStr">
        <is>
          <t>Business</t>
        </is>
      </c>
      <c r="E2986" s="4" t="inlineStr">
        <is>
          <t>Business Runway</t>
        </is>
      </c>
      <c r="F2986" s="4" t="inlineStr">
        <is>
          <t>Funding</t>
        </is>
      </c>
      <c r="G2986" s="4" t="inlineStr">
        <is>
          <t>Income</t>
        </is>
      </c>
      <c r="H2986" s="12" t="n">
        <v>46148</v>
      </c>
      <c r="I2986" s="13" t="n">
        <v>0.7231481481481481</v>
      </c>
      <c r="J2986" s="14" t="n">
        <v>46148.72314814815</v>
      </c>
      <c r="K2986" s="15" t="n">
        <v>39580.12</v>
      </c>
      <c r="L2986" s="4" t="inlineStr">
        <is>
          <t>INR</t>
        </is>
      </c>
      <c r="M2986" s="15" t="n">
        <v>39580.12</v>
      </c>
      <c r="N2986" s="4" t="inlineStr">
        <is>
          <t>IOS Owner</t>
        </is>
      </c>
      <c r="O2986" s="4" t="n"/>
      <c r="P2986" s="4" t="n"/>
      <c r="Q2986" s="4" t="inlineStr">
        <is>
          <t>MAESTRO-IOS-BUSINESS-BUSINESS_RUNWAY-2985 | Funding | 39580.12</t>
        </is>
      </c>
      <c r="R2986" s="4" t="inlineStr">
        <is>
          <t>iPhone</t>
        </is>
      </c>
      <c r="S2986" s="4" t="inlineStr">
        <is>
          <t>B60</t>
        </is>
      </c>
      <c r="T2986" s="4" t="inlineStr">
        <is>
          <t>HIGH_2501_3000</t>
        </is>
      </c>
      <c r="U2986" s="4" t="inlineStr">
        <is>
          <t>CREATED</t>
        </is>
      </c>
      <c r="V2986" s="4" t="inlineStr">
        <is>
          <t>idem-20260902-ios-2985</t>
        </is>
      </c>
    </row>
    <row r="2987" ht="30" customHeight="1">
      <c r="A2987" s="4" t="n">
        <v>2986</v>
      </c>
      <c r="B2987" s="4" t="inlineStr">
        <is>
          <t>MTR-IOS-2986</t>
        </is>
      </c>
      <c r="C2987" s="4" t="inlineStr">
        <is>
          <t>Personal</t>
        </is>
      </c>
      <c r="D2987" s="4" t="inlineStr">
        <is>
          <t>Personal</t>
        </is>
      </c>
      <c r="E2987" s="4" t="inlineStr">
        <is>
          <t>Life Operations</t>
        </is>
      </c>
      <c r="F2987" s="4" t="inlineStr">
        <is>
          <t>Repairs</t>
        </is>
      </c>
      <c r="G2987" s="4" t="inlineStr">
        <is>
          <t>Expense</t>
        </is>
      </c>
      <c r="H2987" s="12" t="n">
        <v>46159</v>
      </c>
      <c r="I2987" s="13" t="n">
        <v>0.3403819444444444</v>
      </c>
      <c r="J2987" s="14" t="n">
        <v>46159.34038194444</v>
      </c>
      <c r="K2987" s="15" t="n">
        <v>14052.54</v>
      </c>
      <c r="L2987" s="4" t="inlineStr">
        <is>
          <t>INR</t>
        </is>
      </c>
      <c r="M2987" s="15" t="n">
        <v>-14052.54</v>
      </c>
      <c r="N2987" s="4" t="inlineStr">
        <is>
          <t>IOS Owner</t>
        </is>
      </c>
      <c r="O2987" s="4" t="n"/>
      <c r="P2987" s="4" t="n"/>
      <c r="Q2987" s="4" t="inlineStr">
        <is>
          <t>MAESTRO-IOS-PERSONAL-LIFE_OPERATIONS-2986 | Repairs | 14052.54</t>
        </is>
      </c>
      <c r="R2987" s="4" t="inlineStr">
        <is>
          <t>iPhone</t>
        </is>
      </c>
      <c r="S2987" s="4" t="inlineStr">
        <is>
          <t>B60</t>
        </is>
      </c>
      <c r="T2987" s="4" t="inlineStr">
        <is>
          <t>HIGH_2501_3000</t>
        </is>
      </c>
      <c r="U2987" s="4" t="inlineStr">
        <is>
          <t>CREATED</t>
        </is>
      </c>
      <c r="V2987" s="4" t="inlineStr">
        <is>
          <t>idem-20260902-ios-2986</t>
        </is>
      </c>
    </row>
    <row r="2988" ht="30" customHeight="1">
      <c r="A2988" s="4" t="n">
        <v>2987</v>
      </c>
      <c r="B2988" s="4" t="inlineStr">
        <is>
          <t>MTR-IOS-2987</t>
        </is>
      </c>
      <c r="C2988" s="4" t="inlineStr">
        <is>
          <t>Group</t>
        </is>
      </c>
      <c r="D2988" s="4" t="inlineStr">
        <is>
          <t>Shared Experience</t>
        </is>
      </c>
      <c r="E2988" s="4" t="inlineStr">
        <is>
          <t>Wedding</t>
        </is>
      </c>
      <c r="F2988" s="4" t="inlineStr">
        <is>
          <t>Decor</t>
        </is>
      </c>
      <c r="G2988" s="4" t="inlineStr">
        <is>
          <t>Expense</t>
        </is>
      </c>
      <c r="H2988" s="12" t="n">
        <v>46072</v>
      </c>
      <c r="I2988" s="13" t="n">
        <v>0.1181597222222222</v>
      </c>
      <c r="J2988" s="14" t="n">
        <v>46072.11815972222</v>
      </c>
      <c r="K2988" s="15" t="n">
        <v>8143.15</v>
      </c>
      <c r="L2988" s="4" t="inlineStr">
        <is>
          <t>INR</t>
        </is>
      </c>
      <c r="M2988" s="15" t="n">
        <v>-8143.15</v>
      </c>
      <c r="N2988" s="4" t="inlineStr">
        <is>
          <t>IOS Meera</t>
        </is>
      </c>
      <c r="O2988" s="4" t="n">
        <v>3</v>
      </c>
      <c r="P2988" s="4" t="inlineStr">
        <is>
          <t>SHARES</t>
        </is>
      </c>
      <c r="Q2988" s="4" t="inlineStr">
        <is>
          <t>MAESTRO-IOS-GROUP-WEDDING-2987 | Decor | 8143.15</t>
        </is>
      </c>
      <c r="R2988" s="4" t="inlineStr">
        <is>
          <t>iPhone</t>
        </is>
      </c>
      <c r="S2988" s="4" t="inlineStr">
        <is>
          <t>B60</t>
        </is>
      </c>
      <c r="T2988" s="4" t="inlineStr">
        <is>
          <t>HIGH_2501_3000</t>
        </is>
      </c>
      <c r="U2988" s="4" t="inlineStr">
        <is>
          <t>CREATED</t>
        </is>
      </c>
      <c r="V2988" s="4" t="inlineStr">
        <is>
          <t>idem-20260902-ios-2987</t>
        </is>
      </c>
    </row>
    <row r="2989" ht="30" customHeight="1">
      <c r="A2989" s="4" t="n">
        <v>2988</v>
      </c>
      <c r="B2989" s="4" t="inlineStr">
        <is>
          <t>MTR-IOS-2988</t>
        </is>
      </c>
      <c r="C2989" s="4" t="inlineStr">
        <is>
          <t>Business</t>
        </is>
      </c>
      <c r="D2989" s="4" t="inlineStr">
        <is>
          <t>Business</t>
        </is>
      </c>
      <c r="E2989" s="4" t="inlineStr">
        <is>
          <t>Business Runway</t>
        </is>
      </c>
      <c r="F2989" s="4" t="inlineStr">
        <is>
          <t>Revenue</t>
        </is>
      </c>
      <c r="G2989" s="4" t="inlineStr">
        <is>
          <t>Income</t>
        </is>
      </c>
      <c r="H2989" s="12" t="n">
        <v>46009</v>
      </c>
      <c r="I2989" s="13" t="n">
        <v>0.3919444444444444</v>
      </c>
      <c r="J2989" s="14" t="n">
        <v>46009.39194444445</v>
      </c>
      <c r="K2989" s="15" t="n">
        <v>124082.31</v>
      </c>
      <c r="L2989" s="4" t="inlineStr">
        <is>
          <t>INR</t>
        </is>
      </c>
      <c r="M2989" s="15" t="n">
        <v>124082.31</v>
      </c>
      <c r="N2989" s="4" t="inlineStr">
        <is>
          <t>IOS Owner</t>
        </is>
      </c>
      <c r="O2989" s="4" t="n"/>
      <c r="P2989" s="4" t="n"/>
      <c r="Q2989" s="4" t="inlineStr">
        <is>
          <t>MAESTRO-IOS-BUSINESS-BUSINESS_RUNWAY-2988 | Revenue | 124082.31</t>
        </is>
      </c>
      <c r="R2989" s="4" t="inlineStr">
        <is>
          <t>iPhone</t>
        </is>
      </c>
      <c r="S2989" s="4" t="inlineStr">
        <is>
          <t>B60</t>
        </is>
      </c>
      <c r="T2989" s="4" t="inlineStr">
        <is>
          <t>HIGH_2501_3000</t>
        </is>
      </c>
      <c r="U2989" s="4" t="inlineStr">
        <is>
          <t>CREATED</t>
        </is>
      </c>
      <c r="V2989" s="4" t="inlineStr">
        <is>
          <t>idem-20260902-ios-2988</t>
        </is>
      </c>
    </row>
    <row r="2990" ht="30" customHeight="1">
      <c r="A2990" s="4" t="n">
        <v>2989</v>
      </c>
      <c r="B2990" s="4" t="inlineStr">
        <is>
          <t>MTR-IOS-2989</t>
        </is>
      </c>
      <c r="C2990" s="4" t="inlineStr">
        <is>
          <t>Personal</t>
        </is>
      </c>
      <c r="D2990" s="4" t="inlineStr">
        <is>
          <t>Personal</t>
        </is>
      </c>
      <c r="E2990" s="4" t="inlineStr">
        <is>
          <t>Future Building</t>
        </is>
      </c>
      <c r="F2990" s="4" t="inlineStr">
        <is>
          <t>Savings</t>
        </is>
      </c>
      <c r="G2990" s="4" t="inlineStr">
        <is>
          <t>Transfer</t>
        </is>
      </c>
      <c r="H2990" s="12" t="n">
        <v>46201</v>
      </c>
      <c r="I2990" s="13" t="n">
        <v>0.1475462962962963</v>
      </c>
      <c r="J2990" s="14" t="n">
        <v>46201.1475462963</v>
      </c>
      <c r="K2990" s="15" t="n">
        <v>3076.98</v>
      </c>
      <c r="L2990" s="4" t="inlineStr">
        <is>
          <t>INR</t>
        </is>
      </c>
      <c r="M2990" s="15" t="n">
        <v>0</v>
      </c>
      <c r="N2990" s="4" t="inlineStr">
        <is>
          <t>IOS Owner</t>
        </is>
      </c>
      <c r="O2990" s="4" t="n"/>
      <c r="P2990" s="4" t="n"/>
      <c r="Q2990" s="4" t="inlineStr">
        <is>
          <t>MAESTRO-IOS-PERSONAL-FUTURE_BUILDING-2989 | Savings | 3076.98</t>
        </is>
      </c>
      <c r="R2990" s="4" t="inlineStr">
        <is>
          <t>iPhone</t>
        </is>
      </c>
      <c r="S2990" s="4" t="inlineStr">
        <is>
          <t>B60</t>
        </is>
      </c>
      <c r="T2990" s="4" t="inlineStr">
        <is>
          <t>HIGH_2501_3000</t>
        </is>
      </c>
      <c r="U2990" s="4" t="inlineStr">
        <is>
          <t>CREATED</t>
        </is>
      </c>
      <c r="V2990" s="4" t="inlineStr">
        <is>
          <t>idem-20260902-ios-2989</t>
        </is>
      </c>
    </row>
    <row r="2991" ht="30" customHeight="1">
      <c r="A2991" s="4" t="n">
        <v>2990</v>
      </c>
      <c r="B2991" s="4" t="inlineStr">
        <is>
          <t>MTR-IOS-2990</t>
        </is>
      </c>
      <c r="C2991" s="4" t="inlineStr">
        <is>
          <t>Group</t>
        </is>
      </c>
      <c r="D2991" s="4" t="inlineStr">
        <is>
          <t>Shared Experience</t>
        </is>
      </c>
      <c r="E2991" s="4" t="inlineStr">
        <is>
          <t>Wedding</t>
        </is>
      </c>
      <c r="F2991" s="4" t="inlineStr">
        <is>
          <t>Travel</t>
        </is>
      </c>
      <c r="G2991" s="4" t="inlineStr">
        <is>
          <t>Expense</t>
        </is>
      </c>
      <c r="H2991" s="12" t="n">
        <v>46187</v>
      </c>
      <c r="I2991" s="13" t="n">
        <v>0.1966087962962963</v>
      </c>
      <c r="J2991" s="14" t="n">
        <v>46187.19660879629</v>
      </c>
      <c r="K2991" s="15" t="n">
        <v>21300.8</v>
      </c>
      <c r="L2991" s="4" t="inlineStr">
        <is>
          <t>INR</t>
        </is>
      </c>
      <c r="M2991" s="15" t="n">
        <v>-21300.8</v>
      </c>
      <c r="N2991" s="4" t="inlineStr">
        <is>
          <t>IOS Owner</t>
        </is>
      </c>
      <c r="O2991" s="4" t="n">
        <v>3</v>
      </c>
      <c r="P2991" s="4" t="inlineStr">
        <is>
          <t>EQUAL</t>
        </is>
      </c>
      <c r="Q2991" s="4" t="inlineStr">
        <is>
          <t>MAESTRO-IOS-GROUP-WEDDING-2990 | Travel | 21300.80</t>
        </is>
      </c>
      <c r="R2991" s="4" t="inlineStr">
        <is>
          <t>iPhone</t>
        </is>
      </c>
      <c r="S2991" s="4" t="inlineStr">
        <is>
          <t>B60</t>
        </is>
      </c>
      <c r="T2991" s="4" t="inlineStr">
        <is>
          <t>HIGH_2501_3000</t>
        </is>
      </c>
      <c r="U2991" s="4" t="inlineStr">
        <is>
          <t>CREATED</t>
        </is>
      </c>
      <c r="V2991" s="4" t="inlineStr">
        <is>
          <t>idem-20260902-ios-2990</t>
        </is>
      </c>
    </row>
    <row r="2992" ht="30" customHeight="1">
      <c r="A2992" s="4" t="n">
        <v>2991</v>
      </c>
      <c r="B2992" s="4" t="inlineStr">
        <is>
          <t>MTR-IOS-2991</t>
        </is>
      </c>
      <c r="C2992" s="4" t="inlineStr">
        <is>
          <t>Business</t>
        </is>
      </c>
      <c r="D2992" s="4" t="inlineStr">
        <is>
          <t>Business</t>
        </is>
      </c>
      <c r="E2992" s="4" t="inlineStr">
        <is>
          <t>Business Runway</t>
        </is>
      </c>
      <c r="F2992" s="4" t="inlineStr">
        <is>
          <t>Burn</t>
        </is>
      </c>
      <c r="G2992" s="4" t="inlineStr">
        <is>
          <t>Expense</t>
        </is>
      </c>
      <c r="H2992" s="12" t="n">
        <v>46065</v>
      </c>
      <c r="I2992" s="13" t="n">
        <v>0.8713657407407407</v>
      </c>
      <c r="J2992" s="14" t="n">
        <v>46065.87136574074</v>
      </c>
      <c r="K2992" s="15" t="n">
        <v>36834.93</v>
      </c>
      <c r="L2992" s="4" t="inlineStr">
        <is>
          <t>INR</t>
        </is>
      </c>
      <c r="M2992" s="15" t="n">
        <v>-36834.93</v>
      </c>
      <c r="N2992" s="4" t="inlineStr">
        <is>
          <t>IOS Owner</t>
        </is>
      </c>
      <c r="O2992" s="4" t="n"/>
      <c r="P2992" s="4" t="n"/>
      <c r="Q2992" s="4" t="inlineStr">
        <is>
          <t>MAESTRO-IOS-BUSINESS-BUSINESS_RUNWAY-2991 | Burn | 36834.93</t>
        </is>
      </c>
      <c r="R2992" s="4" t="inlineStr">
        <is>
          <t>iPhone</t>
        </is>
      </c>
      <c r="S2992" s="4" t="inlineStr">
        <is>
          <t>B60</t>
        </is>
      </c>
      <c r="T2992" s="4" t="inlineStr">
        <is>
          <t>HIGH_2501_3000</t>
        </is>
      </c>
      <c r="U2992" s="4" t="inlineStr">
        <is>
          <t>CREATED</t>
        </is>
      </c>
      <c r="V2992" s="4" t="inlineStr">
        <is>
          <t>idem-20260902-ios-2991</t>
        </is>
      </c>
    </row>
    <row r="2993" ht="30" customHeight="1">
      <c r="A2993" s="4" t="n">
        <v>2992</v>
      </c>
      <c r="B2993" s="4" t="inlineStr">
        <is>
          <t>MTR-IOS-2992</t>
        </is>
      </c>
      <c r="C2993" s="4" t="inlineStr">
        <is>
          <t>Personal</t>
        </is>
      </c>
      <c r="D2993" s="4" t="inlineStr">
        <is>
          <t>Personal</t>
        </is>
      </c>
      <c r="E2993" s="4" t="inlineStr">
        <is>
          <t>Future Building</t>
        </is>
      </c>
      <c r="F2993" s="4" t="inlineStr">
        <is>
          <t>Emergency Fund</t>
        </is>
      </c>
      <c r="G2993" s="4" t="inlineStr">
        <is>
          <t>Transfer</t>
        </is>
      </c>
      <c r="H2993" s="12" t="n">
        <v>45910</v>
      </c>
      <c r="I2993" s="13" t="n">
        <v>0.3930324074074074</v>
      </c>
      <c r="J2993" s="14" t="n">
        <v>45910.39303240741</v>
      </c>
      <c r="K2993" s="15" t="n">
        <v>3449.96</v>
      </c>
      <c r="L2993" s="4" t="inlineStr">
        <is>
          <t>INR</t>
        </is>
      </c>
      <c r="M2993" s="15" t="n">
        <v>0</v>
      </c>
      <c r="N2993" s="4" t="inlineStr">
        <is>
          <t>IOS Owner</t>
        </is>
      </c>
      <c r="O2993" s="4" t="n"/>
      <c r="P2993" s="4" t="n"/>
      <c r="Q2993" s="4" t="inlineStr">
        <is>
          <t>MAESTRO-IOS-PERSONAL-FUTURE_BUILDING-2992 | Emergency Fund | 3449.96</t>
        </is>
      </c>
      <c r="R2993" s="4" t="inlineStr">
        <is>
          <t>iPhone</t>
        </is>
      </c>
      <c r="S2993" s="4" t="inlineStr">
        <is>
          <t>B60</t>
        </is>
      </c>
      <c r="T2993" s="4" t="inlineStr">
        <is>
          <t>HIGH_2501_3000</t>
        </is>
      </c>
      <c r="U2993" s="4" t="inlineStr">
        <is>
          <t>CREATED</t>
        </is>
      </c>
      <c r="V2993" s="4" t="inlineStr">
        <is>
          <t>idem-20260902-ios-2992</t>
        </is>
      </c>
    </row>
    <row r="2994" ht="30" customHeight="1">
      <c r="A2994" s="4" t="n">
        <v>2993</v>
      </c>
      <c r="B2994" s="4" t="inlineStr">
        <is>
          <t>MTR-IOS-2993</t>
        </is>
      </c>
      <c r="C2994" s="4" t="inlineStr">
        <is>
          <t>Group</t>
        </is>
      </c>
      <c r="D2994" s="4" t="inlineStr">
        <is>
          <t>Shared Experience</t>
        </is>
      </c>
      <c r="E2994" s="4" t="inlineStr">
        <is>
          <t>Wedding</t>
        </is>
      </c>
      <c r="F2994" s="4" t="inlineStr">
        <is>
          <t>Gifts</t>
        </is>
      </c>
      <c r="G2994" s="4" t="inlineStr">
        <is>
          <t>Expense</t>
        </is>
      </c>
      <c r="H2994" s="12" t="n">
        <v>46216</v>
      </c>
      <c r="I2994" s="13" t="n">
        <v>0.7763541666666667</v>
      </c>
      <c r="J2994" s="14" t="n">
        <v>46216.77635416666</v>
      </c>
      <c r="K2994" s="15" t="n">
        <v>8531.379999999999</v>
      </c>
      <c r="L2994" s="4" t="inlineStr">
        <is>
          <t>INR</t>
        </is>
      </c>
      <c r="M2994" s="15" t="n">
        <v>-8531.379999999999</v>
      </c>
      <c r="N2994" s="4" t="inlineStr">
        <is>
          <t>IOS Aarav</t>
        </is>
      </c>
      <c r="O2994" s="4" t="n">
        <v>3</v>
      </c>
      <c r="P2994" s="4" t="inlineStr">
        <is>
          <t>PERCENTAGE</t>
        </is>
      </c>
      <c r="Q2994" s="4" t="inlineStr">
        <is>
          <t>MAESTRO-IOS-GROUP-WEDDING-2993 | Gifts | 8531.38</t>
        </is>
      </c>
      <c r="R2994" s="4" t="inlineStr">
        <is>
          <t>iPhone</t>
        </is>
      </c>
      <c r="S2994" s="4" t="inlineStr">
        <is>
          <t>B60</t>
        </is>
      </c>
      <c r="T2994" s="4" t="inlineStr">
        <is>
          <t>HIGH_2501_3000</t>
        </is>
      </c>
      <c r="U2994" s="4" t="inlineStr">
        <is>
          <t>CREATED</t>
        </is>
      </c>
      <c r="V2994" s="4" t="inlineStr">
        <is>
          <t>idem-20260902-ios-2993</t>
        </is>
      </c>
    </row>
    <row r="2995" ht="30" customHeight="1">
      <c r="A2995" s="4" t="n">
        <v>2994</v>
      </c>
      <c r="B2995" s="4" t="inlineStr">
        <is>
          <t>MTR-IOS-2994</t>
        </is>
      </c>
      <c r="C2995" s="4" t="inlineStr">
        <is>
          <t>Business</t>
        </is>
      </c>
      <c r="D2995" s="4" t="inlineStr">
        <is>
          <t>Business</t>
        </is>
      </c>
      <c r="E2995" s="4" t="inlineStr">
        <is>
          <t>Business Runway</t>
        </is>
      </c>
      <c r="F2995" s="4" t="inlineStr">
        <is>
          <t>Reserve</t>
        </is>
      </c>
      <c r="G2995" s="4" t="inlineStr">
        <is>
          <t>Transfer</t>
        </is>
      </c>
      <c r="H2995" s="12" t="n">
        <v>46075</v>
      </c>
      <c r="I2995" s="13" t="n">
        <v>0.7572569444444445</v>
      </c>
      <c r="J2995" s="14" t="n">
        <v>46075.75725694445</v>
      </c>
      <c r="K2995" s="15" t="n">
        <v>3274.74</v>
      </c>
      <c r="L2995" s="4" t="inlineStr">
        <is>
          <t>INR</t>
        </is>
      </c>
      <c r="M2995" s="15" t="n">
        <v>0</v>
      </c>
      <c r="N2995" s="4" t="inlineStr">
        <is>
          <t>IOS Owner</t>
        </is>
      </c>
      <c r="O2995" s="4" t="n"/>
      <c r="P2995" s="4" t="n"/>
      <c r="Q2995" s="4" t="inlineStr">
        <is>
          <t>MAESTRO-IOS-BUSINESS-BUSINESS_RUNWAY-2994 | Reserve | 3274.74</t>
        </is>
      </c>
      <c r="R2995" s="4" t="inlineStr">
        <is>
          <t>iPhone</t>
        </is>
      </c>
      <c r="S2995" s="4" t="inlineStr">
        <is>
          <t>B60</t>
        </is>
      </c>
      <c r="T2995" s="4" t="inlineStr">
        <is>
          <t>HIGH_2501_3000</t>
        </is>
      </c>
      <c r="U2995" s="4" t="inlineStr">
        <is>
          <t>CREATED</t>
        </is>
      </c>
      <c r="V2995" s="4" t="inlineStr">
        <is>
          <t>idem-20260902-ios-2994</t>
        </is>
      </c>
    </row>
    <row r="2996" ht="30" customHeight="1">
      <c r="A2996" s="4" t="n">
        <v>2995</v>
      </c>
      <c r="B2996" s="4" t="inlineStr">
        <is>
          <t>MTR-IOS-2995</t>
        </is>
      </c>
      <c r="C2996" s="4" t="inlineStr">
        <is>
          <t>Personal</t>
        </is>
      </c>
      <c r="D2996" s="4" t="inlineStr">
        <is>
          <t>Personal</t>
        </is>
      </c>
      <c r="E2996" s="4" t="inlineStr">
        <is>
          <t>Future Building</t>
        </is>
      </c>
      <c r="F2996" s="4" t="inlineStr">
        <is>
          <t>Investments</t>
        </is>
      </c>
      <c r="G2996" s="4" t="inlineStr">
        <is>
          <t>Investment</t>
        </is>
      </c>
      <c r="H2996" s="12" t="n">
        <v>46000</v>
      </c>
      <c r="I2996" s="13" t="n">
        <v>0.9204513888888889</v>
      </c>
      <c r="J2996" s="14" t="n">
        <v>46000.92045138889</v>
      </c>
      <c r="K2996" s="15" t="n">
        <v>4860.56</v>
      </c>
      <c r="L2996" s="4" t="inlineStr">
        <is>
          <t>INR</t>
        </is>
      </c>
      <c r="M2996" s="15" t="n">
        <v>0</v>
      </c>
      <c r="N2996" s="4" t="inlineStr">
        <is>
          <t>IOS Owner</t>
        </is>
      </c>
      <c r="O2996" s="4" t="n"/>
      <c r="P2996" s="4" t="n"/>
      <c r="Q2996" s="4" t="inlineStr">
        <is>
          <t>MAESTRO-IOS-PERSONAL-FUTURE_BUILDING-2995 | Investments | 4860.56</t>
        </is>
      </c>
      <c r="R2996" s="4" t="inlineStr">
        <is>
          <t>iPhone</t>
        </is>
      </c>
      <c r="S2996" s="4" t="inlineStr">
        <is>
          <t>B60</t>
        </is>
      </c>
      <c r="T2996" s="4" t="inlineStr">
        <is>
          <t>HIGH_2501_3000</t>
        </is>
      </c>
      <c r="U2996" s="4" t="inlineStr">
        <is>
          <t>CREATED</t>
        </is>
      </c>
      <c r="V2996" s="4" t="inlineStr">
        <is>
          <t>idem-20260902-ios-2995</t>
        </is>
      </c>
    </row>
    <row r="2997" ht="30" customHeight="1">
      <c r="A2997" s="4" t="n">
        <v>2996</v>
      </c>
      <c r="B2997" s="4" t="inlineStr">
        <is>
          <t>MTR-IOS-2996</t>
        </is>
      </c>
      <c r="C2997" s="4" t="inlineStr">
        <is>
          <t>Group</t>
        </is>
      </c>
      <c r="D2997" s="4" t="inlineStr">
        <is>
          <t>Shared Experience</t>
        </is>
      </c>
      <c r="E2997" s="4" t="inlineStr">
        <is>
          <t>Wedding</t>
        </is>
      </c>
      <c r="F2997" s="4" t="inlineStr">
        <is>
          <t>Photography</t>
        </is>
      </c>
      <c r="G2997" s="4" t="inlineStr">
        <is>
          <t>Expense</t>
        </is>
      </c>
      <c r="H2997" s="12" t="n">
        <v>45968</v>
      </c>
      <c r="I2997" s="13" t="n">
        <v>0.4839699074074074</v>
      </c>
      <c r="J2997" s="14" t="n">
        <v>45968.48396990741</v>
      </c>
      <c r="K2997" s="15" t="n">
        <v>10015.58</v>
      </c>
      <c r="L2997" s="4" t="inlineStr">
        <is>
          <t>INR</t>
        </is>
      </c>
      <c r="M2997" s="15" t="n">
        <v>-10015.58</v>
      </c>
      <c r="N2997" s="4" t="inlineStr">
        <is>
          <t>IOS Meera</t>
        </is>
      </c>
      <c r="O2997" s="4" t="n">
        <v>3</v>
      </c>
      <c r="P2997" s="4" t="inlineStr">
        <is>
          <t>EXACT</t>
        </is>
      </c>
      <c r="Q2997" s="4" t="inlineStr">
        <is>
          <t>MAESTRO-IOS-GROUP-WEDDING-2996 | Photography | 10015.58</t>
        </is>
      </c>
      <c r="R2997" s="4" t="inlineStr">
        <is>
          <t>iPhone</t>
        </is>
      </c>
      <c r="S2997" s="4" t="inlineStr">
        <is>
          <t>B60</t>
        </is>
      </c>
      <c r="T2997" s="4" t="inlineStr">
        <is>
          <t>HIGH_2501_3000</t>
        </is>
      </c>
      <c r="U2997" s="4" t="inlineStr">
        <is>
          <t>CREATED</t>
        </is>
      </c>
      <c r="V2997" s="4" t="inlineStr">
        <is>
          <t>idem-20260902-ios-2996</t>
        </is>
      </c>
    </row>
    <row r="2998" ht="30" customHeight="1">
      <c r="A2998" s="4" t="n">
        <v>2997</v>
      </c>
      <c r="B2998" s="4" t="inlineStr">
        <is>
          <t>MTR-IOS-2997</t>
        </is>
      </c>
      <c r="C2998" s="4" t="inlineStr">
        <is>
          <t>Business</t>
        </is>
      </c>
      <c r="D2998" s="4" t="inlineStr">
        <is>
          <t>Business</t>
        </is>
      </c>
      <c r="E2998" s="4" t="inlineStr">
        <is>
          <t>Business Runway</t>
        </is>
      </c>
      <c r="F2998" s="4" t="inlineStr">
        <is>
          <t>Loan</t>
        </is>
      </c>
      <c r="G2998" s="4" t="inlineStr">
        <is>
          <t>Income</t>
        </is>
      </c>
      <c r="H2998" s="12" t="n">
        <v>45993</v>
      </c>
      <c r="I2998" s="13" t="n">
        <v>0.6713194444444445</v>
      </c>
      <c r="J2998" s="14" t="n">
        <v>45993.67131944445</v>
      </c>
      <c r="K2998" s="15" t="n">
        <v>100</v>
      </c>
      <c r="L2998" s="4" t="inlineStr">
        <is>
          <t>INR</t>
        </is>
      </c>
      <c r="M2998" s="15" t="n">
        <v>100</v>
      </c>
      <c r="N2998" s="4" t="inlineStr">
        <is>
          <t>IOS Owner</t>
        </is>
      </c>
      <c r="O2998" s="4" t="n"/>
      <c r="P2998" s="4" t="n"/>
      <c r="Q2998" s="4" t="inlineStr">
        <is>
          <t>MAESTRO-IOS-BUSINESS-BUSINESS_RUNWAY-2997 | Loan | 100.00</t>
        </is>
      </c>
      <c r="R2998" s="4" t="inlineStr">
        <is>
          <t>iPhone</t>
        </is>
      </c>
      <c r="S2998" s="4" t="inlineStr">
        <is>
          <t>B60</t>
        </is>
      </c>
      <c r="T2998" s="4" t="inlineStr">
        <is>
          <t>HIGH_2501_3000</t>
        </is>
      </c>
      <c r="U2998" s="4" t="inlineStr">
        <is>
          <t>CREATED</t>
        </is>
      </c>
      <c r="V2998" s="4" t="inlineStr">
        <is>
          <t>idem-20260902-ios-2997</t>
        </is>
      </c>
    </row>
    <row r="2999" ht="30" customHeight="1">
      <c r="A2999" s="4" t="n">
        <v>2998</v>
      </c>
      <c r="B2999" s="4" t="inlineStr">
        <is>
          <t>MTR-IOS-2998</t>
        </is>
      </c>
      <c r="C2999" s="4" t="inlineStr">
        <is>
          <t>Personal</t>
        </is>
      </c>
      <c r="D2999" s="4" t="inlineStr">
        <is>
          <t>Personal</t>
        </is>
      </c>
      <c r="E2999" s="4" t="inlineStr">
        <is>
          <t>Future Building</t>
        </is>
      </c>
      <c r="F2999" s="4" t="inlineStr">
        <is>
          <t>Education</t>
        </is>
      </c>
      <c r="G2999" s="4" t="inlineStr">
        <is>
          <t>Expense</t>
        </is>
      </c>
      <c r="H2999" s="12" t="n">
        <v>46053</v>
      </c>
      <c r="I2999" s="13" t="n">
        <v>0.1552199074074074</v>
      </c>
      <c r="J2999" s="14" t="n">
        <v>46053.15521990741</v>
      </c>
      <c r="K2999" s="15" t="n">
        <v>4984.63</v>
      </c>
      <c r="L2999" s="4" t="inlineStr">
        <is>
          <t>INR</t>
        </is>
      </c>
      <c r="M2999" s="15" t="n">
        <v>-4984.63</v>
      </c>
      <c r="N2999" s="4" t="inlineStr">
        <is>
          <t>IOS Owner</t>
        </is>
      </c>
      <c r="O2999" s="4" t="n"/>
      <c r="P2999" s="4" t="n"/>
      <c r="Q2999" s="4" t="inlineStr">
        <is>
          <t>MAESTRO-IOS-PERSONAL-FUTURE_BUILDING-2998 | Education | 4984.63</t>
        </is>
      </c>
      <c r="R2999" s="4" t="inlineStr">
        <is>
          <t>iPhone</t>
        </is>
      </c>
      <c r="S2999" s="4" t="inlineStr">
        <is>
          <t>B60</t>
        </is>
      </c>
      <c r="T2999" s="4" t="inlineStr">
        <is>
          <t>HIGH_2501_3000</t>
        </is>
      </c>
      <c r="U2999" s="4" t="inlineStr">
        <is>
          <t>CREATED</t>
        </is>
      </c>
      <c r="V2999" s="4" t="inlineStr">
        <is>
          <t>idem-20260902-ios-2998</t>
        </is>
      </c>
    </row>
    <row r="3000" ht="30" customHeight="1">
      <c r="A3000" s="4" t="n">
        <v>2999</v>
      </c>
      <c r="B3000" s="4" t="inlineStr">
        <is>
          <t>MTR-IOS-2999</t>
        </is>
      </c>
      <c r="C3000" s="4" t="inlineStr">
        <is>
          <t>Group</t>
        </is>
      </c>
      <c r="D3000" s="4" t="inlineStr">
        <is>
          <t>Shared Experience</t>
        </is>
      </c>
      <c r="E3000" s="4" t="inlineStr">
        <is>
          <t>Wedding</t>
        </is>
      </c>
      <c r="F3000" s="4" t="inlineStr">
        <is>
          <t>Other</t>
        </is>
      </c>
      <c r="G3000" s="4" t="inlineStr">
        <is>
          <t>Expense</t>
        </is>
      </c>
      <c r="H3000" s="12" t="n">
        <v>45926</v>
      </c>
      <c r="I3000" s="13" t="n">
        <v>0.3085532407407408</v>
      </c>
      <c r="J3000" s="14" t="n">
        <v>45926.30855324074</v>
      </c>
      <c r="K3000" s="15" t="n">
        <v>3846.99</v>
      </c>
      <c r="L3000" s="4" t="inlineStr">
        <is>
          <t>INR</t>
        </is>
      </c>
      <c r="M3000" s="15" t="n">
        <v>-3846.99</v>
      </c>
      <c r="N3000" s="4" t="inlineStr">
        <is>
          <t>IOS Owner</t>
        </is>
      </c>
      <c r="O3000" s="4" t="n">
        <v>3</v>
      </c>
      <c r="P3000" s="4" t="inlineStr">
        <is>
          <t>SHARES</t>
        </is>
      </c>
      <c r="Q3000" s="4" t="inlineStr">
        <is>
          <t>MAESTRO-IOS-GROUP-WEDDING-2999 | Other | 3846.99</t>
        </is>
      </c>
      <c r="R3000" s="4" t="inlineStr">
        <is>
          <t>iPhone</t>
        </is>
      </c>
      <c r="S3000" s="4" t="inlineStr">
        <is>
          <t>B60</t>
        </is>
      </c>
      <c r="T3000" s="4" t="inlineStr">
        <is>
          <t>HIGH_2501_3000</t>
        </is>
      </c>
      <c r="U3000" s="4" t="inlineStr">
        <is>
          <t>CREATED</t>
        </is>
      </c>
      <c r="V3000" s="4" t="inlineStr">
        <is>
          <t>idem-20260902-ios-2999</t>
        </is>
      </c>
    </row>
    <row r="3001" ht="30" customHeight="1">
      <c r="A3001" s="4" t="n">
        <v>3000</v>
      </c>
      <c r="B3001" s="4" t="inlineStr">
        <is>
          <t>MTR-IOS-3000</t>
        </is>
      </c>
      <c r="C3001" s="4" t="inlineStr">
        <is>
          <t>Business</t>
        </is>
      </c>
      <c r="D3001" s="4" t="inlineStr">
        <is>
          <t>Business</t>
        </is>
      </c>
      <c r="E3001" s="4" t="inlineStr">
        <is>
          <t>Business Runway</t>
        </is>
      </c>
      <c r="F3001" s="4" t="inlineStr">
        <is>
          <t>Investment</t>
        </is>
      </c>
      <c r="G3001" s="4" t="inlineStr">
        <is>
          <t>Income</t>
        </is>
      </c>
      <c r="H3001" s="12" t="n">
        <v>46190</v>
      </c>
      <c r="I3001" s="13" t="n">
        <v>0.1777199074074074</v>
      </c>
      <c r="J3001" s="14" t="n">
        <v>46190.17771990741</v>
      </c>
      <c r="K3001" s="15" t="n">
        <v>70692.00999999999</v>
      </c>
      <c r="L3001" s="4" t="inlineStr">
        <is>
          <t>INR</t>
        </is>
      </c>
      <c r="M3001" s="15" t="n">
        <v>70692.00999999999</v>
      </c>
      <c r="N3001" s="4" t="inlineStr">
        <is>
          <t>IOS Owner</t>
        </is>
      </c>
      <c r="O3001" s="4" t="n"/>
      <c r="P3001" s="4" t="n"/>
      <c r="Q3001" s="4" t="inlineStr">
        <is>
          <t>MAESTRO-IOS-BUSINESS-BUSINESS_RUNWAY-3000 | Investment | 70692.01</t>
        </is>
      </c>
      <c r="R3001" s="4" t="inlineStr">
        <is>
          <t>iPhone</t>
        </is>
      </c>
      <c r="S3001" s="4" t="inlineStr">
        <is>
          <t>B60</t>
        </is>
      </c>
      <c r="T3001" s="4" t="inlineStr">
        <is>
          <t>HIGH_2501_3000</t>
        </is>
      </c>
      <c r="U3001" s="4" t="inlineStr">
        <is>
          <t>CREATED</t>
        </is>
      </c>
      <c r="V3001" s="4" t="inlineStr">
        <is>
          <t>idem-20260902-ios-3000</t>
        </is>
      </c>
    </row>
    <row r="3002" ht="30" customHeight="1">
      <c r="A3002" s="4" t="n">
        <v>3001</v>
      </c>
      <c r="B3002" s="4" t="inlineStr">
        <is>
          <t>MTR-IOS-3001</t>
        </is>
      </c>
      <c r="C3002" s="4" t="inlineStr">
        <is>
          <t>Personal</t>
        </is>
      </c>
      <c r="D3002" s="4" t="inlineStr">
        <is>
          <t>Personal</t>
        </is>
      </c>
      <c r="E3002" s="4" t="inlineStr">
        <is>
          <t>Future Building</t>
        </is>
      </c>
      <c r="F3002" s="4" t="inlineStr">
        <is>
          <t>Goal Contribution</t>
        </is>
      </c>
      <c r="G3002" s="4" t="inlineStr">
        <is>
          <t>Transfer</t>
        </is>
      </c>
      <c r="H3002" s="12" t="n">
        <v>46218</v>
      </c>
      <c r="I3002" s="13" t="n">
        <v>0.1608680555555556</v>
      </c>
      <c r="J3002" s="14" t="n">
        <v>46218.16086805556</v>
      </c>
      <c r="K3002" s="15" t="n">
        <v>3960.24</v>
      </c>
      <c r="L3002" s="4" t="inlineStr">
        <is>
          <t>INR</t>
        </is>
      </c>
      <c r="M3002" s="15" t="n">
        <v>0</v>
      </c>
      <c r="N3002" s="4" t="inlineStr">
        <is>
          <t>IOS Owner</t>
        </is>
      </c>
      <c r="O3002" s="4" t="n"/>
      <c r="P3002" s="4" t="n"/>
      <c r="Q3002" s="4" t="inlineStr">
        <is>
          <t>MAESTRO-IOS-PERSONAL-FUTURE_BUILDING-3001 | Goal Contribution | 3960.24</t>
        </is>
      </c>
      <c r="R3002" s="4" t="inlineStr">
        <is>
          <t>iPhone</t>
        </is>
      </c>
      <c r="S3002" s="4" t="inlineStr">
        <is>
          <t>B61</t>
        </is>
      </c>
      <c r="T3002" s="4" t="inlineStr">
        <is>
          <t>STRESS_3001_3500</t>
        </is>
      </c>
      <c r="U3002" s="4" t="inlineStr">
        <is>
          <t>CREATED</t>
        </is>
      </c>
      <c r="V3002" s="4" t="inlineStr">
        <is>
          <t>idem-20260902-ios-3001</t>
        </is>
      </c>
    </row>
    <row r="3003" ht="30" customHeight="1">
      <c r="A3003" s="4" t="n">
        <v>3002</v>
      </c>
      <c r="B3003" s="4" t="inlineStr">
        <is>
          <t>MTR-IOS-3002</t>
        </is>
      </c>
      <c r="C3003" s="4" t="inlineStr">
        <is>
          <t>Group</t>
        </is>
      </c>
      <c r="D3003" s="4" t="inlineStr">
        <is>
          <t>Shared Experience</t>
        </is>
      </c>
      <c r="E3003" s="4" t="inlineStr">
        <is>
          <t>Office Outing</t>
        </is>
      </c>
      <c r="F3003" s="4" t="inlineStr">
        <is>
          <t>Food</t>
        </is>
      </c>
      <c r="G3003" s="4" t="inlineStr">
        <is>
          <t>Expense</t>
        </is>
      </c>
      <c r="H3003" s="12" t="n">
        <v>45953</v>
      </c>
      <c r="I3003" s="13" t="n">
        <v>0.6709490740740741</v>
      </c>
      <c r="J3003" s="14" t="n">
        <v>45953.67094907408</v>
      </c>
      <c r="K3003" s="15" t="n">
        <v>14584.62</v>
      </c>
      <c r="L3003" s="4" t="inlineStr">
        <is>
          <t>INR</t>
        </is>
      </c>
      <c r="M3003" s="15" t="n">
        <v>-14584.62</v>
      </c>
      <c r="N3003" s="4" t="inlineStr">
        <is>
          <t>IOS Aarav</t>
        </is>
      </c>
      <c r="O3003" s="4" t="n">
        <v>3</v>
      </c>
      <c r="P3003" s="4" t="inlineStr">
        <is>
          <t>EQUAL</t>
        </is>
      </c>
      <c r="Q3003" s="4" t="inlineStr">
        <is>
          <t>MAESTRO-IOS-GROUP-OFFICE_OUTING-3002 | Food | 14584.62</t>
        </is>
      </c>
      <c r="R3003" s="4" t="inlineStr">
        <is>
          <t>iPhone</t>
        </is>
      </c>
      <c r="S3003" s="4" t="inlineStr">
        <is>
          <t>B61</t>
        </is>
      </c>
      <c r="T3003" s="4" t="inlineStr">
        <is>
          <t>STRESS_3001_3500</t>
        </is>
      </c>
      <c r="U3003" s="4" t="inlineStr">
        <is>
          <t>CREATED</t>
        </is>
      </c>
      <c r="V3003" s="4" t="inlineStr">
        <is>
          <t>idem-20260902-ios-3002</t>
        </is>
      </c>
    </row>
    <row r="3004" ht="30" customHeight="1">
      <c r="A3004" s="4" t="n">
        <v>3003</v>
      </c>
      <c r="B3004" s="4" t="inlineStr">
        <is>
          <t>MTR-IOS-3003</t>
        </is>
      </c>
      <c r="C3004" s="4" t="inlineStr">
        <is>
          <t>Business</t>
        </is>
      </c>
      <c r="D3004" s="4" t="inlineStr">
        <is>
          <t>Business</t>
        </is>
      </c>
      <c r="E3004" s="4" t="inlineStr">
        <is>
          <t>Business Operations</t>
        </is>
      </c>
      <c r="F3004" s="4" t="inlineStr">
        <is>
          <t>Software</t>
        </is>
      </c>
      <c r="G3004" s="4" t="inlineStr">
        <is>
          <t>Expense</t>
        </is>
      </c>
      <c r="H3004" s="12" t="n">
        <v>46070</v>
      </c>
      <c r="I3004" s="13" t="n">
        <v>0.2666203703703704</v>
      </c>
      <c r="J3004" s="14" t="n">
        <v>46070.26662037037</v>
      </c>
      <c r="K3004" s="15" t="n">
        <v>22456.06</v>
      </c>
      <c r="L3004" s="4" t="inlineStr">
        <is>
          <t>INR</t>
        </is>
      </c>
      <c r="M3004" s="15" t="n">
        <v>-22456.06</v>
      </c>
      <c r="N3004" s="4" t="inlineStr">
        <is>
          <t>IOS Owner</t>
        </is>
      </c>
      <c r="O3004" s="4" t="n"/>
      <c r="P3004" s="4" t="n"/>
      <c r="Q3004" s="4" t="inlineStr">
        <is>
          <t>MAESTRO-IOS-BUSINESS-BUSINESS_OPERATIONS-3003 | Software | 22456.06</t>
        </is>
      </c>
      <c r="R3004" s="4" t="inlineStr">
        <is>
          <t>iPhone</t>
        </is>
      </c>
      <c r="S3004" s="4" t="inlineStr">
        <is>
          <t>B61</t>
        </is>
      </c>
      <c r="T3004" s="4" t="inlineStr">
        <is>
          <t>STRESS_3001_3500</t>
        </is>
      </c>
      <c r="U3004" s="4" t="inlineStr">
        <is>
          <t>CREATED</t>
        </is>
      </c>
      <c r="V3004" s="4" t="inlineStr">
        <is>
          <t>idem-20260902-ios-3003</t>
        </is>
      </c>
    </row>
    <row r="3005" ht="30" customHeight="1">
      <c r="A3005" s="4" t="n">
        <v>3004</v>
      </c>
      <c r="B3005" s="4" t="inlineStr">
        <is>
          <t>MTR-IOS-3004</t>
        </is>
      </c>
      <c r="C3005" s="4" t="inlineStr">
        <is>
          <t>Personal</t>
        </is>
      </c>
      <c r="D3005" s="4" t="inlineStr">
        <is>
          <t>Personal</t>
        </is>
      </c>
      <c r="E3005" s="4" t="inlineStr">
        <is>
          <t>Lifestyle</t>
        </is>
      </c>
      <c r="F3005" s="4" t="inlineStr">
        <is>
          <t>Dining</t>
        </is>
      </c>
      <c r="G3005" s="4" t="inlineStr">
        <is>
          <t>Expense</t>
        </is>
      </c>
      <c r="H3005" s="12" t="n">
        <v>46228</v>
      </c>
      <c r="I3005" s="13" t="n">
        <v>0.3683217592592593</v>
      </c>
      <c r="J3005" s="14" t="n">
        <v>46228.36832175926</v>
      </c>
      <c r="K3005" s="15" t="n">
        <v>4652.27</v>
      </c>
      <c r="L3005" s="4" t="inlineStr">
        <is>
          <t>INR</t>
        </is>
      </c>
      <c r="M3005" s="15" t="n">
        <v>-4652.27</v>
      </c>
      <c r="N3005" s="4" t="inlineStr">
        <is>
          <t>IOS Owner</t>
        </is>
      </c>
      <c r="O3005" s="4" t="n"/>
      <c r="P3005" s="4" t="n"/>
      <c r="Q3005" s="4" t="inlineStr">
        <is>
          <t>MAESTRO-IOS-PERSONAL-LIFESTYLE-3004 | Dining | 4652.27</t>
        </is>
      </c>
      <c r="R3005" s="4" t="inlineStr">
        <is>
          <t>iPhone</t>
        </is>
      </c>
      <c r="S3005" s="4" t="inlineStr">
        <is>
          <t>B61</t>
        </is>
      </c>
      <c r="T3005" s="4" t="inlineStr">
        <is>
          <t>STRESS_3001_3500</t>
        </is>
      </c>
      <c r="U3005" s="4" t="inlineStr">
        <is>
          <t>CREATED</t>
        </is>
      </c>
      <c r="V3005" s="4" t="inlineStr">
        <is>
          <t>idem-20260902-ios-3004</t>
        </is>
      </c>
    </row>
    <row r="3006" ht="30" customHeight="1">
      <c r="A3006" s="4" t="n">
        <v>3005</v>
      </c>
      <c r="B3006" s="4" t="inlineStr">
        <is>
          <t>MTR-IOS-3005</t>
        </is>
      </c>
      <c r="C3006" s="4" t="inlineStr">
        <is>
          <t>Group</t>
        </is>
      </c>
      <c r="D3006" s="4" t="inlineStr">
        <is>
          <t>Shared Experience</t>
        </is>
      </c>
      <c r="E3006" s="4" t="inlineStr">
        <is>
          <t>Office Outing</t>
        </is>
      </c>
      <c r="F3006" s="4" t="inlineStr">
        <is>
          <t>Travel</t>
        </is>
      </c>
      <c r="G3006" s="4" t="inlineStr">
        <is>
          <t>Expense</t>
        </is>
      </c>
      <c r="H3006" s="12" t="n">
        <v>46186</v>
      </c>
      <c r="I3006" s="13" t="n">
        <v>0.2264351851851852</v>
      </c>
      <c r="J3006" s="14" t="n">
        <v>46186.22643518518</v>
      </c>
      <c r="K3006" s="15" t="n">
        <v>5761.03</v>
      </c>
      <c r="L3006" s="4" t="inlineStr">
        <is>
          <t>INR</t>
        </is>
      </c>
      <c r="M3006" s="15" t="n">
        <v>-5761.03</v>
      </c>
      <c r="N3006" s="4" t="inlineStr">
        <is>
          <t>IOS Meera</t>
        </is>
      </c>
      <c r="O3006" s="4" t="n">
        <v>3</v>
      </c>
      <c r="P3006" s="4" t="inlineStr">
        <is>
          <t>PERCENTAGE</t>
        </is>
      </c>
      <c r="Q3006" s="4" t="inlineStr">
        <is>
          <t>MAESTRO-IOS-GROUP-OFFICE_OUTING-3005 | Travel | 5761.03</t>
        </is>
      </c>
      <c r="R3006" s="4" t="inlineStr">
        <is>
          <t>iPhone</t>
        </is>
      </c>
      <c r="S3006" s="4" t="inlineStr">
        <is>
          <t>B61</t>
        </is>
      </c>
      <c r="T3006" s="4" t="inlineStr">
        <is>
          <t>STRESS_3001_3500</t>
        </is>
      </c>
      <c r="U3006" s="4" t="inlineStr">
        <is>
          <t>CREATED</t>
        </is>
      </c>
      <c r="V3006" s="4" t="inlineStr">
        <is>
          <t>idem-20260902-ios-3005</t>
        </is>
      </c>
    </row>
    <row r="3007" ht="30" customHeight="1">
      <c r="A3007" s="4" t="n">
        <v>3006</v>
      </c>
      <c r="B3007" s="4" t="inlineStr">
        <is>
          <t>MTR-IOS-3006</t>
        </is>
      </c>
      <c r="C3007" s="4" t="inlineStr">
        <is>
          <t>Business</t>
        </is>
      </c>
      <c r="D3007" s="4" t="inlineStr">
        <is>
          <t>Business</t>
        </is>
      </c>
      <c r="E3007" s="4" t="inlineStr">
        <is>
          <t>Business Operations</t>
        </is>
      </c>
      <c r="F3007" s="4" t="inlineStr">
        <is>
          <t>Rent</t>
        </is>
      </c>
      <c r="G3007" s="4" t="inlineStr">
        <is>
          <t>Expense</t>
        </is>
      </c>
      <c r="H3007" s="12" t="n">
        <v>45975</v>
      </c>
      <c r="I3007" s="13" t="n">
        <v>0.8463657407407408</v>
      </c>
      <c r="J3007" s="14" t="n">
        <v>45975.84636574074</v>
      </c>
      <c r="K3007" s="15" t="n">
        <v>87046.55</v>
      </c>
      <c r="L3007" s="4" t="inlineStr">
        <is>
          <t>INR</t>
        </is>
      </c>
      <c r="M3007" s="15" t="n">
        <v>-87046.55</v>
      </c>
      <c r="N3007" s="4" t="inlineStr">
        <is>
          <t>IOS Owner</t>
        </is>
      </c>
      <c r="O3007" s="4" t="n"/>
      <c r="P3007" s="4" t="n"/>
      <c r="Q3007" s="4" t="inlineStr">
        <is>
          <t>MAESTRO-IOS-BUSINESS-BUSINESS_OPERATIONS-3006 | Rent | 87046.55</t>
        </is>
      </c>
      <c r="R3007" s="4" t="inlineStr">
        <is>
          <t>iPhone</t>
        </is>
      </c>
      <c r="S3007" s="4" t="inlineStr">
        <is>
          <t>B61</t>
        </is>
      </c>
      <c r="T3007" s="4" t="inlineStr">
        <is>
          <t>STRESS_3001_3500</t>
        </is>
      </c>
      <c r="U3007" s="4" t="inlineStr">
        <is>
          <t>CREATED</t>
        </is>
      </c>
      <c r="V3007" s="4" t="inlineStr">
        <is>
          <t>idem-20260902-ios-3006</t>
        </is>
      </c>
    </row>
    <row r="3008" ht="30" customHeight="1">
      <c r="A3008" s="4" t="n">
        <v>3007</v>
      </c>
      <c r="B3008" s="4" t="inlineStr">
        <is>
          <t>MTR-IOS-3007</t>
        </is>
      </c>
      <c r="C3008" s="4" t="inlineStr">
        <is>
          <t>Personal</t>
        </is>
      </c>
      <c r="D3008" s="4" t="inlineStr">
        <is>
          <t>Personal</t>
        </is>
      </c>
      <c r="E3008" s="4" t="inlineStr">
        <is>
          <t>Lifestyle</t>
        </is>
      </c>
      <c r="F3008" s="4" t="inlineStr">
        <is>
          <t>Shopping</t>
        </is>
      </c>
      <c r="G3008" s="4" t="inlineStr">
        <is>
          <t>Expense</t>
        </is>
      </c>
      <c r="H3008" s="12" t="n">
        <v>46021</v>
      </c>
      <c r="I3008" s="13" t="n">
        <v>0.4273379629629629</v>
      </c>
      <c r="J3008" s="14" t="n">
        <v>46021.42733796296</v>
      </c>
      <c r="K3008" s="15" t="n">
        <v>5862.35</v>
      </c>
      <c r="L3008" s="4" t="inlineStr">
        <is>
          <t>INR</t>
        </is>
      </c>
      <c r="M3008" s="15" t="n">
        <v>-5862.35</v>
      </c>
      <c r="N3008" s="4" t="inlineStr">
        <is>
          <t>IOS Owner</t>
        </is>
      </c>
      <c r="O3008" s="4" t="n"/>
      <c r="P3008" s="4" t="n"/>
      <c r="Q3008" s="4" t="inlineStr">
        <is>
          <t>MAESTRO-IOS-PERSONAL-LIFESTYLE-3007 | Shopping | 5862.35</t>
        </is>
      </c>
      <c r="R3008" s="4" t="inlineStr">
        <is>
          <t>iPhone</t>
        </is>
      </c>
      <c r="S3008" s="4" t="inlineStr">
        <is>
          <t>B61</t>
        </is>
      </c>
      <c r="T3008" s="4" t="inlineStr">
        <is>
          <t>STRESS_3001_3500</t>
        </is>
      </c>
      <c r="U3008" s="4" t="inlineStr">
        <is>
          <t>CREATED</t>
        </is>
      </c>
      <c r="V3008" s="4" t="inlineStr">
        <is>
          <t>idem-20260902-ios-3007</t>
        </is>
      </c>
    </row>
    <row r="3009" ht="30" customHeight="1">
      <c r="A3009" s="4" t="n">
        <v>3008</v>
      </c>
      <c r="B3009" s="4" t="inlineStr">
        <is>
          <t>MTR-IOS-3008</t>
        </is>
      </c>
      <c r="C3009" s="4" t="inlineStr">
        <is>
          <t>Group</t>
        </is>
      </c>
      <c r="D3009" s="4" t="inlineStr">
        <is>
          <t>Shared Experience</t>
        </is>
      </c>
      <c r="E3009" s="4" t="inlineStr">
        <is>
          <t>Office Outing</t>
        </is>
      </c>
      <c r="F3009" s="4" t="inlineStr">
        <is>
          <t>Activities</t>
        </is>
      </c>
      <c r="G3009" s="4" t="inlineStr">
        <is>
          <t>Expense</t>
        </is>
      </c>
      <c r="H3009" s="12" t="n">
        <v>46114</v>
      </c>
      <c r="I3009" s="13" t="n">
        <v>0.2434027777777778</v>
      </c>
      <c r="J3009" s="14" t="n">
        <v>46114.24340277778</v>
      </c>
      <c r="K3009" s="15" t="n">
        <v>6972.76</v>
      </c>
      <c r="L3009" s="4" t="inlineStr">
        <is>
          <t>INR</t>
        </is>
      </c>
      <c r="M3009" s="15" t="n">
        <v>-6972.76</v>
      </c>
      <c r="N3009" s="4" t="inlineStr">
        <is>
          <t>IOS Owner</t>
        </is>
      </c>
      <c r="O3009" s="4" t="n">
        <v>3</v>
      </c>
      <c r="P3009" s="4" t="inlineStr">
        <is>
          <t>EXACT</t>
        </is>
      </c>
      <c r="Q3009" s="4" t="inlineStr">
        <is>
          <t>MAESTRO-IOS-GROUP-OFFICE_OUTING-3008 | Activities | 6972.76</t>
        </is>
      </c>
      <c r="R3009" s="4" t="inlineStr">
        <is>
          <t>iPhone</t>
        </is>
      </c>
      <c r="S3009" s="4" t="inlineStr">
        <is>
          <t>B61</t>
        </is>
      </c>
      <c r="T3009" s="4" t="inlineStr">
        <is>
          <t>STRESS_3001_3500</t>
        </is>
      </c>
      <c r="U3009" s="4" t="inlineStr">
        <is>
          <t>CREATED</t>
        </is>
      </c>
      <c r="V3009" s="4" t="inlineStr">
        <is>
          <t>idem-20260902-ios-3008</t>
        </is>
      </c>
    </row>
    <row r="3010" ht="30" customHeight="1">
      <c r="A3010" s="4" t="n">
        <v>3009</v>
      </c>
      <c r="B3010" s="4" t="inlineStr">
        <is>
          <t>MTR-IOS-3009</t>
        </is>
      </c>
      <c r="C3010" s="4" t="inlineStr">
        <is>
          <t>Business</t>
        </is>
      </c>
      <c r="D3010" s="4" t="inlineStr">
        <is>
          <t>Business</t>
        </is>
      </c>
      <c r="E3010" s="4" t="inlineStr">
        <is>
          <t>Business Operations</t>
        </is>
      </c>
      <c r="F3010" s="4" t="inlineStr">
        <is>
          <t>Marketing</t>
        </is>
      </c>
      <c r="G3010" s="4" t="inlineStr">
        <is>
          <t>Expense</t>
        </is>
      </c>
      <c r="H3010" s="12" t="n">
        <v>46083</v>
      </c>
      <c r="I3010" s="13" t="n">
        <v>0.3208449074074074</v>
      </c>
      <c r="J3010" s="14" t="n">
        <v>46083.32084490741</v>
      </c>
      <c r="K3010" s="15" t="n">
        <v>53560.31</v>
      </c>
      <c r="L3010" s="4" t="inlineStr">
        <is>
          <t>INR</t>
        </is>
      </c>
      <c r="M3010" s="15" t="n">
        <v>-53560.31</v>
      </c>
      <c r="N3010" s="4" t="inlineStr">
        <is>
          <t>IOS Owner</t>
        </is>
      </c>
      <c r="O3010" s="4" t="n"/>
      <c r="P3010" s="4" t="n"/>
      <c r="Q3010" s="4" t="inlineStr">
        <is>
          <t>MAESTRO-IOS-BUSINESS-BUSINESS_OPERATIONS-3009 | Marketing | 53560.31</t>
        </is>
      </c>
      <c r="R3010" s="4" t="inlineStr">
        <is>
          <t>iPhone</t>
        </is>
      </c>
      <c r="S3010" s="4" t="inlineStr">
        <is>
          <t>B61</t>
        </is>
      </c>
      <c r="T3010" s="4" t="inlineStr">
        <is>
          <t>STRESS_3001_3500</t>
        </is>
      </c>
      <c r="U3010" s="4" t="inlineStr">
        <is>
          <t>CREATED</t>
        </is>
      </c>
      <c r="V3010" s="4" t="inlineStr">
        <is>
          <t>idem-20260902-ios-3009</t>
        </is>
      </c>
    </row>
    <row r="3011" ht="30" customHeight="1">
      <c r="A3011" s="4" t="n">
        <v>3010</v>
      </c>
      <c r="B3011" s="4" t="inlineStr">
        <is>
          <t>MTR-IOS-3010</t>
        </is>
      </c>
      <c r="C3011" s="4" t="inlineStr">
        <is>
          <t>Personal</t>
        </is>
      </c>
      <c r="D3011" s="4" t="inlineStr">
        <is>
          <t>Personal</t>
        </is>
      </c>
      <c r="E3011" s="4" t="inlineStr">
        <is>
          <t>Lifestyle</t>
        </is>
      </c>
      <c r="F3011" s="4" t="inlineStr">
        <is>
          <t>Entertainment</t>
        </is>
      </c>
      <c r="G3011" s="4" t="inlineStr">
        <is>
          <t>Expense</t>
        </is>
      </c>
      <c r="H3011" s="12" t="n">
        <v>46201</v>
      </c>
      <c r="I3011" s="13" t="n">
        <v>0.5115162037037037</v>
      </c>
      <c r="J3011" s="14" t="n">
        <v>46201.5115162037</v>
      </c>
      <c r="K3011" s="15" t="n">
        <v>12151.92</v>
      </c>
      <c r="L3011" s="4" t="inlineStr">
        <is>
          <t>INR</t>
        </is>
      </c>
      <c r="M3011" s="15" t="n">
        <v>-12151.92</v>
      </c>
      <c r="N3011" s="4" t="inlineStr">
        <is>
          <t>IOS Owner</t>
        </is>
      </c>
      <c r="O3011" s="4" t="n"/>
      <c r="P3011" s="4" t="n"/>
      <c r="Q3011" s="4" t="inlineStr">
        <is>
          <t>MAESTRO-IOS-PERSONAL-LIFESTYLE-3010 | Entertainment | 12151.92</t>
        </is>
      </c>
      <c r="R3011" s="4" t="inlineStr">
        <is>
          <t>iPhone</t>
        </is>
      </c>
      <c r="S3011" s="4" t="inlineStr">
        <is>
          <t>B61</t>
        </is>
      </c>
      <c r="T3011" s="4" t="inlineStr">
        <is>
          <t>STRESS_3001_3500</t>
        </is>
      </c>
      <c r="U3011" s="4" t="inlineStr">
        <is>
          <t>CREATED</t>
        </is>
      </c>
      <c r="V3011" s="4" t="inlineStr">
        <is>
          <t>idem-20260902-ios-3010</t>
        </is>
      </c>
    </row>
    <row r="3012" ht="30" customHeight="1">
      <c r="A3012" s="4" t="n">
        <v>3011</v>
      </c>
      <c r="B3012" s="4" t="inlineStr">
        <is>
          <t>MTR-IOS-3011</t>
        </is>
      </c>
      <c r="C3012" s="4" t="inlineStr">
        <is>
          <t>Group</t>
        </is>
      </c>
      <c r="D3012" s="4" t="inlineStr">
        <is>
          <t>Shared Experience</t>
        </is>
      </c>
      <c r="E3012" s="4" t="inlineStr">
        <is>
          <t>Office Outing</t>
        </is>
      </c>
      <c r="F3012" s="4" t="inlineStr">
        <is>
          <t>Venue</t>
        </is>
      </c>
      <c r="G3012" s="4" t="inlineStr">
        <is>
          <t>Expense</t>
        </is>
      </c>
      <c r="H3012" s="12" t="n">
        <v>46175</v>
      </c>
      <c r="I3012" s="13" t="n">
        <v>0.4465162037037037</v>
      </c>
      <c r="J3012" s="14" t="n">
        <v>46175.4465162037</v>
      </c>
      <c r="K3012" s="15" t="n">
        <v>3706.44</v>
      </c>
      <c r="L3012" s="4" t="inlineStr">
        <is>
          <t>INR</t>
        </is>
      </c>
      <c r="M3012" s="15" t="n">
        <v>-3706.44</v>
      </c>
      <c r="N3012" s="4" t="inlineStr">
        <is>
          <t>IOS Aarav</t>
        </is>
      </c>
      <c r="O3012" s="4" t="n">
        <v>3</v>
      </c>
      <c r="P3012" s="4" t="inlineStr">
        <is>
          <t>SHARES</t>
        </is>
      </c>
      <c r="Q3012" s="4" t="inlineStr">
        <is>
          <t>MAESTRO-IOS-GROUP-OFFICE_OUTING-3011 | Venue | 3706.44</t>
        </is>
      </c>
      <c r="R3012" s="4" t="inlineStr">
        <is>
          <t>iPhone</t>
        </is>
      </c>
      <c r="S3012" s="4" t="inlineStr">
        <is>
          <t>B61</t>
        </is>
      </c>
      <c r="T3012" s="4" t="inlineStr">
        <is>
          <t>STRESS_3001_3500</t>
        </is>
      </c>
      <c r="U3012" s="4" t="inlineStr">
        <is>
          <t>CREATED</t>
        </is>
      </c>
      <c r="V3012" s="4" t="inlineStr">
        <is>
          <t>idem-20260902-ios-3011</t>
        </is>
      </c>
    </row>
    <row r="3013" ht="30" customHeight="1">
      <c r="A3013" s="4" t="n">
        <v>3012</v>
      </c>
      <c r="B3013" s="4" t="inlineStr">
        <is>
          <t>MTR-IOS-3012</t>
        </is>
      </c>
      <c r="C3013" s="4" t="inlineStr">
        <is>
          <t>Business</t>
        </is>
      </c>
      <c r="D3013" s="4" t="inlineStr">
        <is>
          <t>Business</t>
        </is>
      </c>
      <c r="E3013" s="4" t="inlineStr">
        <is>
          <t>Business Operations</t>
        </is>
      </c>
      <c r="F3013" s="4" t="inlineStr">
        <is>
          <t>Legal</t>
        </is>
      </c>
      <c r="G3013" s="4" t="inlineStr">
        <is>
          <t>Expense</t>
        </is>
      </c>
      <c r="H3013" s="12" t="n">
        <v>46087</v>
      </c>
      <c r="I3013" s="13" t="n">
        <v>0.03675925925925926</v>
      </c>
      <c r="J3013" s="14" t="n">
        <v>46087.03675925926</v>
      </c>
      <c r="K3013" s="15" t="n">
        <v>145938.18</v>
      </c>
      <c r="L3013" s="4" t="inlineStr">
        <is>
          <t>INR</t>
        </is>
      </c>
      <c r="M3013" s="15" t="n">
        <v>-145938.18</v>
      </c>
      <c r="N3013" s="4" t="inlineStr">
        <is>
          <t>IOS Owner</t>
        </is>
      </c>
      <c r="O3013" s="4" t="n"/>
      <c r="P3013" s="4" t="n"/>
      <c r="Q3013" s="4" t="inlineStr">
        <is>
          <t>MAESTRO-IOS-BUSINESS-BUSINESS_OPERATIONS-3012 | Legal | 145938.18</t>
        </is>
      </c>
      <c r="R3013" s="4" t="inlineStr">
        <is>
          <t>iPhone</t>
        </is>
      </c>
      <c r="S3013" s="4" t="inlineStr">
        <is>
          <t>B61</t>
        </is>
      </c>
      <c r="T3013" s="4" t="inlineStr">
        <is>
          <t>STRESS_3001_3500</t>
        </is>
      </c>
      <c r="U3013" s="4" t="inlineStr">
        <is>
          <t>CREATED</t>
        </is>
      </c>
      <c r="V3013" s="4" t="inlineStr">
        <is>
          <t>idem-20260902-ios-3012</t>
        </is>
      </c>
    </row>
    <row r="3014" ht="30" customHeight="1">
      <c r="A3014" s="4" t="n">
        <v>3013</v>
      </c>
      <c r="B3014" s="4" t="inlineStr">
        <is>
          <t>MTR-IOS-3013</t>
        </is>
      </c>
      <c r="C3014" s="4" t="inlineStr">
        <is>
          <t>Personal</t>
        </is>
      </c>
      <c r="D3014" s="4" t="inlineStr">
        <is>
          <t>Personal</t>
        </is>
      </c>
      <c r="E3014" s="4" t="inlineStr">
        <is>
          <t>Lifestyle</t>
        </is>
      </c>
      <c r="F3014" s="4" t="inlineStr">
        <is>
          <t>Travel</t>
        </is>
      </c>
      <c r="G3014" s="4" t="inlineStr">
        <is>
          <t>Expense</t>
        </is>
      </c>
      <c r="H3014" s="12" t="n">
        <v>46076</v>
      </c>
      <c r="I3014" s="13" t="n">
        <v>0.5059259259259259</v>
      </c>
      <c r="J3014" s="14" t="n">
        <v>46076.50592592593</v>
      </c>
      <c r="K3014" s="15" t="n">
        <v>7069.2</v>
      </c>
      <c r="L3014" s="4" t="inlineStr">
        <is>
          <t>INR</t>
        </is>
      </c>
      <c r="M3014" s="15" t="n">
        <v>-7069.2</v>
      </c>
      <c r="N3014" s="4" t="inlineStr">
        <is>
          <t>IOS Owner</t>
        </is>
      </c>
      <c r="O3014" s="4" t="n"/>
      <c r="P3014" s="4" t="n"/>
      <c r="Q3014" s="4" t="inlineStr">
        <is>
          <t>MAESTRO-IOS-PERSONAL-LIFESTYLE-3013 | Travel | 7069.20</t>
        </is>
      </c>
      <c r="R3014" s="4" t="inlineStr">
        <is>
          <t>iPhone</t>
        </is>
      </c>
      <c r="S3014" s="4" t="inlineStr">
        <is>
          <t>B61</t>
        </is>
      </c>
      <c r="T3014" s="4" t="inlineStr">
        <is>
          <t>STRESS_3001_3500</t>
        </is>
      </c>
      <c r="U3014" s="4" t="inlineStr">
        <is>
          <t>CREATED</t>
        </is>
      </c>
      <c r="V3014" s="4" t="inlineStr">
        <is>
          <t>idem-20260902-ios-3013</t>
        </is>
      </c>
    </row>
    <row r="3015" ht="30" customHeight="1">
      <c r="A3015" s="4" t="n">
        <v>3014</v>
      </c>
      <c r="B3015" s="4" t="inlineStr">
        <is>
          <t>MTR-IOS-3014</t>
        </is>
      </c>
      <c r="C3015" s="4" t="inlineStr">
        <is>
          <t>Group</t>
        </is>
      </c>
      <c r="D3015" s="4" t="inlineStr">
        <is>
          <t>Shared Experience</t>
        </is>
      </c>
      <c r="E3015" s="4" t="inlineStr">
        <is>
          <t>Office Outing</t>
        </is>
      </c>
      <c r="F3015" s="4" t="inlineStr">
        <is>
          <t>Other</t>
        </is>
      </c>
      <c r="G3015" s="4" t="inlineStr">
        <is>
          <t>Expense</t>
        </is>
      </c>
      <c r="H3015" s="12" t="n">
        <v>45922</v>
      </c>
      <c r="I3015" s="13" t="n">
        <v>0.3933680555555555</v>
      </c>
      <c r="J3015" s="14" t="n">
        <v>45922.39336805556</v>
      </c>
      <c r="K3015" s="15" t="n">
        <v>20067.63</v>
      </c>
      <c r="L3015" s="4" t="inlineStr">
        <is>
          <t>INR</t>
        </is>
      </c>
      <c r="M3015" s="15" t="n">
        <v>-20067.63</v>
      </c>
      <c r="N3015" s="4" t="inlineStr">
        <is>
          <t>IOS Meera</t>
        </is>
      </c>
      <c r="O3015" s="4" t="n">
        <v>3</v>
      </c>
      <c r="P3015" s="4" t="inlineStr">
        <is>
          <t>EQUAL</t>
        </is>
      </c>
      <c r="Q3015" s="4" t="inlineStr">
        <is>
          <t>MAESTRO-IOS-GROUP-OFFICE_OUTING-3014 | Other | 20067.63</t>
        </is>
      </c>
      <c r="R3015" s="4" t="inlineStr">
        <is>
          <t>iPhone</t>
        </is>
      </c>
      <c r="S3015" s="4" t="inlineStr">
        <is>
          <t>B61</t>
        </is>
      </c>
      <c r="T3015" s="4" t="inlineStr">
        <is>
          <t>STRESS_3001_3500</t>
        </is>
      </c>
      <c r="U3015" s="4" t="inlineStr">
        <is>
          <t>CREATED</t>
        </is>
      </c>
      <c r="V3015" s="4" t="inlineStr">
        <is>
          <t>idem-20260902-ios-3014</t>
        </is>
      </c>
    </row>
    <row r="3016" ht="30" customHeight="1">
      <c r="A3016" s="4" t="n">
        <v>3015</v>
      </c>
      <c r="B3016" s="4" t="inlineStr">
        <is>
          <t>MTR-IOS-3015</t>
        </is>
      </c>
      <c r="C3016" s="4" t="inlineStr">
        <is>
          <t>Business</t>
        </is>
      </c>
      <c r="D3016" s="4" t="inlineStr">
        <is>
          <t>Business</t>
        </is>
      </c>
      <c r="E3016" s="4" t="inlineStr">
        <is>
          <t>Business Operations</t>
        </is>
      </c>
      <c r="F3016" s="4" t="inlineStr">
        <is>
          <t>Accounting</t>
        </is>
      </c>
      <c r="G3016" s="4" t="inlineStr">
        <is>
          <t>Expense</t>
        </is>
      </c>
      <c r="H3016" s="12" t="n">
        <v>46235</v>
      </c>
      <c r="I3016" s="13" t="n">
        <v>0.2324652777777778</v>
      </c>
      <c r="J3016" s="14" t="n">
        <v>46235.23246527778</v>
      </c>
      <c r="K3016" s="15" t="n">
        <v>48960.24</v>
      </c>
      <c r="L3016" s="4" t="inlineStr">
        <is>
          <t>INR</t>
        </is>
      </c>
      <c r="M3016" s="15" t="n">
        <v>-48960.24</v>
      </c>
      <c r="N3016" s="4" t="inlineStr">
        <is>
          <t>IOS Owner</t>
        </is>
      </c>
      <c r="O3016" s="4" t="n"/>
      <c r="P3016" s="4" t="n"/>
      <c r="Q3016" s="4" t="inlineStr">
        <is>
          <t>MAESTRO-IOS-BUSINESS-BUSINESS_OPERATIONS-3015 | Accounting | 48960.24</t>
        </is>
      </c>
      <c r="R3016" s="4" t="inlineStr">
        <is>
          <t>iPhone</t>
        </is>
      </c>
      <c r="S3016" s="4" t="inlineStr">
        <is>
          <t>B61</t>
        </is>
      </c>
      <c r="T3016" s="4" t="inlineStr">
        <is>
          <t>STRESS_3001_3500</t>
        </is>
      </c>
      <c r="U3016" s="4" t="inlineStr">
        <is>
          <t>CREATED</t>
        </is>
      </c>
      <c r="V3016" s="4" t="inlineStr">
        <is>
          <t>idem-20260902-ios-3015</t>
        </is>
      </c>
    </row>
    <row r="3017" ht="30" customHeight="1">
      <c r="A3017" s="4" t="n">
        <v>3016</v>
      </c>
      <c r="B3017" s="4" t="inlineStr">
        <is>
          <t>MTR-IOS-3016</t>
        </is>
      </c>
      <c r="C3017" s="4" t="inlineStr">
        <is>
          <t>Personal</t>
        </is>
      </c>
      <c r="D3017" s="4" t="inlineStr">
        <is>
          <t>Personal</t>
        </is>
      </c>
      <c r="E3017" s="4" t="inlineStr">
        <is>
          <t>Lifestyle</t>
        </is>
      </c>
      <c r="F3017" s="4" t="inlineStr">
        <is>
          <t>Fitness</t>
        </is>
      </c>
      <c r="G3017" s="4" t="inlineStr">
        <is>
          <t>Expense</t>
        </is>
      </c>
      <c r="H3017" s="12" t="n">
        <v>46127</v>
      </c>
      <c r="I3017" s="13" t="n">
        <v>0.03738425925925926</v>
      </c>
      <c r="J3017" s="14" t="n">
        <v>46127.03738425926</v>
      </c>
      <c r="K3017" s="15" t="n">
        <v>6581.19</v>
      </c>
      <c r="L3017" s="4" t="inlineStr">
        <is>
          <t>INR</t>
        </is>
      </c>
      <c r="M3017" s="15" t="n">
        <v>-6581.19</v>
      </c>
      <c r="N3017" s="4" t="inlineStr">
        <is>
          <t>IOS Owner</t>
        </is>
      </c>
      <c r="O3017" s="4" t="n"/>
      <c r="P3017" s="4" t="n"/>
      <c r="Q3017" s="4" t="inlineStr">
        <is>
          <t>MAESTRO-IOS-PERSONAL-LIFESTYLE-3016 | Fitness | 6581.19</t>
        </is>
      </c>
      <c r="R3017" s="4" t="inlineStr">
        <is>
          <t>iPhone</t>
        </is>
      </c>
      <c r="S3017" s="4" t="inlineStr">
        <is>
          <t>B61</t>
        </is>
      </c>
      <c r="T3017" s="4" t="inlineStr">
        <is>
          <t>STRESS_3001_3500</t>
        </is>
      </c>
      <c r="U3017" s="4" t="inlineStr">
        <is>
          <t>CREATED</t>
        </is>
      </c>
      <c r="V3017" s="4" t="inlineStr">
        <is>
          <t>idem-20260902-ios-3016</t>
        </is>
      </c>
    </row>
    <row r="3018" ht="30" customHeight="1">
      <c r="A3018" s="4" t="n">
        <v>3017</v>
      </c>
      <c r="B3018" s="4" t="inlineStr">
        <is>
          <t>MTR-IOS-3017</t>
        </is>
      </c>
      <c r="C3018" s="4" t="inlineStr">
        <is>
          <t>Group</t>
        </is>
      </c>
      <c r="D3018" s="4" t="inlineStr">
        <is>
          <t>Shared Experience</t>
        </is>
      </c>
      <c r="E3018" s="4" t="inlineStr">
        <is>
          <t>House Party</t>
        </is>
      </c>
      <c r="F3018" s="4" t="inlineStr">
        <is>
          <t>Food</t>
        </is>
      </c>
      <c r="G3018" s="4" t="inlineStr">
        <is>
          <t>Expense</t>
        </is>
      </c>
      <c r="H3018" s="12" t="n">
        <v>46220</v>
      </c>
      <c r="I3018" s="13" t="n">
        <v>0.3250462962962963</v>
      </c>
      <c r="J3018" s="14" t="n">
        <v>46220.3250462963</v>
      </c>
      <c r="K3018" s="15" t="n">
        <v>19741.47</v>
      </c>
      <c r="L3018" s="4" t="inlineStr">
        <is>
          <t>INR</t>
        </is>
      </c>
      <c r="M3018" s="15" t="n">
        <v>-19741.47</v>
      </c>
      <c r="N3018" s="4" t="inlineStr">
        <is>
          <t>IOS Owner</t>
        </is>
      </c>
      <c r="O3018" s="4" t="n">
        <v>3</v>
      </c>
      <c r="P3018" s="4" t="inlineStr">
        <is>
          <t>PERCENTAGE</t>
        </is>
      </c>
      <c r="Q3018" s="4" t="inlineStr">
        <is>
          <t>MAESTRO-IOS-GROUP-HOUSE_PARTY-3017 | Food | 19741.47</t>
        </is>
      </c>
      <c r="R3018" s="4" t="inlineStr">
        <is>
          <t>iPhone</t>
        </is>
      </c>
      <c r="S3018" s="4" t="inlineStr">
        <is>
          <t>B61</t>
        </is>
      </c>
      <c r="T3018" s="4" t="inlineStr">
        <is>
          <t>STRESS_3001_3500</t>
        </is>
      </c>
      <c r="U3018" s="4" t="inlineStr">
        <is>
          <t>CREATED</t>
        </is>
      </c>
      <c r="V3018" s="4" t="inlineStr">
        <is>
          <t>idem-20260902-ios-3017</t>
        </is>
      </c>
    </row>
    <row r="3019" ht="30" customHeight="1">
      <c r="A3019" s="4" t="n">
        <v>3018</v>
      </c>
      <c r="B3019" s="4" t="inlineStr">
        <is>
          <t>MTR-IOS-3018</t>
        </is>
      </c>
      <c r="C3019" s="4" t="inlineStr">
        <is>
          <t>Business</t>
        </is>
      </c>
      <c r="D3019" s="4" t="inlineStr">
        <is>
          <t>Business</t>
        </is>
      </c>
      <c r="E3019" s="4" t="inlineStr">
        <is>
          <t>Business Operations</t>
        </is>
      </c>
      <c r="F3019" s="4" t="inlineStr">
        <is>
          <t>Equipment</t>
        </is>
      </c>
      <c r="G3019" s="4" t="inlineStr">
        <is>
          <t>Expense</t>
        </is>
      </c>
      <c r="H3019" s="12" t="n">
        <v>46208</v>
      </c>
      <c r="I3019" s="13" t="n">
        <v>0.4521527777777778</v>
      </c>
      <c r="J3019" s="14" t="n">
        <v>46208.45215277778</v>
      </c>
      <c r="K3019" s="15" t="n">
        <v>110309.05</v>
      </c>
      <c r="L3019" s="4" t="inlineStr">
        <is>
          <t>INR</t>
        </is>
      </c>
      <c r="M3019" s="15" t="n">
        <v>-110309.05</v>
      </c>
      <c r="N3019" s="4" t="inlineStr">
        <is>
          <t>IOS Owner</t>
        </is>
      </c>
      <c r="O3019" s="4" t="n"/>
      <c r="P3019" s="4" t="n"/>
      <c r="Q3019" s="4" t="inlineStr">
        <is>
          <t>MAESTRO-IOS-BUSINESS-BUSINESS_OPERATIONS-3018 | Equipment | 110309.05</t>
        </is>
      </c>
      <c r="R3019" s="4" t="inlineStr">
        <is>
          <t>iPhone</t>
        </is>
      </c>
      <c r="S3019" s="4" t="inlineStr">
        <is>
          <t>B61</t>
        </is>
      </c>
      <c r="T3019" s="4" t="inlineStr">
        <is>
          <t>STRESS_3001_3500</t>
        </is>
      </c>
      <c r="U3019" s="4" t="inlineStr">
        <is>
          <t>CREATED</t>
        </is>
      </c>
      <c r="V3019" s="4" t="inlineStr">
        <is>
          <t>idem-20260902-ios-3018</t>
        </is>
      </c>
    </row>
    <row r="3020" ht="30" customHeight="1">
      <c r="A3020" s="4" t="n">
        <v>3019</v>
      </c>
      <c r="B3020" s="4" t="inlineStr">
        <is>
          <t>MTR-IOS-3019</t>
        </is>
      </c>
      <c r="C3020" s="4" t="inlineStr">
        <is>
          <t>Personal</t>
        </is>
      </c>
      <c r="D3020" s="4" t="inlineStr">
        <is>
          <t>Personal</t>
        </is>
      </c>
      <c r="E3020" s="4" t="inlineStr">
        <is>
          <t>Lifestyle</t>
        </is>
      </c>
      <c r="F3020" s="4" t="inlineStr">
        <is>
          <t>Hobbies</t>
        </is>
      </c>
      <c r="G3020" s="4" t="inlineStr">
        <is>
          <t>Expense</t>
        </is>
      </c>
      <c r="H3020" s="12" t="n">
        <v>46104</v>
      </c>
      <c r="I3020" s="13" t="n">
        <v>0.01458333333333333</v>
      </c>
      <c r="J3020" s="14" t="n">
        <v>46104.01458333333</v>
      </c>
      <c r="K3020" s="15" t="n">
        <v>2218.85</v>
      </c>
      <c r="L3020" s="4" t="inlineStr">
        <is>
          <t>INR</t>
        </is>
      </c>
      <c r="M3020" s="15" t="n">
        <v>-2218.85</v>
      </c>
      <c r="N3020" s="4" t="inlineStr">
        <is>
          <t>IOS Owner</t>
        </is>
      </c>
      <c r="O3020" s="4" t="n"/>
      <c r="P3020" s="4" t="n"/>
      <c r="Q3020" s="4" t="inlineStr">
        <is>
          <t>MAESTRO-IOS-PERSONAL-LIFESTYLE-3019 | Hobbies | 2218.85</t>
        </is>
      </c>
      <c r="R3020" s="4" t="inlineStr">
        <is>
          <t>iPhone</t>
        </is>
      </c>
      <c r="S3020" s="4" t="inlineStr">
        <is>
          <t>B61</t>
        </is>
      </c>
      <c r="T3020" s="4" t="inlineStr">
        <is>
          <t>STRESS_3001_3500</t>
        </is>
      </c>
      <c r="U3020" s="4" t="inlineStr">
        <is>
          <t>CREATED</t>
        </is>
      </c>
      <c r="V3020" s="4" t="inlineStr">
        <is>
          <t>idem-20260902-ios-3019</t>
        </is>
      </c>
    </row>
    <row r="3021" ht="30" customHeight="1">
      <c r="A3021" s="4" t="n">
        <v>3020</v>
      </c>
      <c r="B3021" s="4" t="inlineStr">
        <is>
          <t>MTR-IOS-3020</t>
        </is>
      </c>
      <c r="C3021" s="4" t="inlineStr">
        <is>
          <t>Group</t>
        </is>
      </c>
      <c r="D3021" s="4" t="inlineStr">
        <is>
          <t>Shared Experience</t>
        </is>
      </c>
      <c r="E3021" s="4" t="inlineStr">
        <is>
          <t>House Party</t>
        </is>
      </c>
      <c r="F3021" s="4" t="inlineStr">
        <is>
          <t>Drinks</t>
        </is>
      </c>
      <c r="G3021" s="4" t="inlineStr">
        <is>
          <t>Expense</t>
        </is>
      </c>
      <c r="H3021" s="12" t="n">
        <v>45909</v>
      </c>
      <c r="I3021" s="13" t="n">
        <v>0.5696296296296296</v>
      </c>
      <c r="J3021" s="14" t="n">
        <v>45909.56962962963</v>
      </c>
      <c r="K3021" s="15" t="n">
        <v>23200</v>
      </c>
      <c r="L3021" s="4" t="inlineStr">
        <is>
          <t>INR</t>
        </is>
      </c>
      <c r="M3021" s="15" t="n">
        <v>-23200</v>
      </c>
      <c r="N3021" s="4" t="inlineStr">
        <is>
          <t>IOS Aarav</t>
        </is>
      </c>
      <c r="O3021" s="4" t="n">
        <v>3</v>
      </c>
      <c r="P3021" s="4" t="inlineStr">
        <is>
          <t>EXACT</t>
        </is>
      </c>
      <c r="Q3021" s="4" t="inlineStr">
        <is>
          <t>MAESTRO-IOS-GROUP-HOUSE_PARTY-3020 | Drinks | 23200.00</t>
        </is>
      </c>
      <c r="R3021" s="4" t="inlineStr">
        <is>
          <t>iPhone</t>
        </is>
      </c>
      <c r="S3021" s="4" t="inlineStr">
        <is>
          <t>B61</t>
        </is>
      </c>
      <c r="T3021" s="4" t="inlineStr">
        <is>
          <t>STRESS_3001_3500</t>
        </is>
      </c>
      <c r="U3021" s="4" t="inlineStr">
        <is>
          <t>CREATED</t>
        </is>
      </c>
      <c r="V3021" s="4" t="inlineStr">
        <is>
          <t>idem-20260902-ios-3020</t>
        </is>
      </c>
    </row>
    <row r="3022" ht="30" customHeight="1">
      <c r="A3022" s="4" t="n">
        <v>3021</v>
      </c>
      <c r="B3022" s="4" t="inlineStr">
        <is>
          <t>MTR-IOS-3021</t>
        </is>
      </c>
      <c r="C3022" s="4" t="inlineStr">
        <is>
          <t>Business</t>
        </is>
      </c>
      <c r="D3022" s="4" t="inlineStr">
        <is>
          <t>Business</t>
        </is>
      </c>
      <c r="E3022" s="4" t="inlineStr">
        <is>
          <t>Business Operations</t>
        </is>
      </c>
      <c r="F3022" s="4" t="inlineStr">
        <is>
          <t>Vendor</t>
        </is>
      </c>
      <c r="G3022" s="4" t="inlineStr">
        <is>
          <t>Expense</t>
        </is>
      </c>
      <c r="H3022" s="12" t="n">
        <v>46141</v>
      </c>
      <c r="I3022" s="13" t="n">
        <v>0.2771064814814815</v>
      </c>
      <c r="J3022" s="14" t="n">
        <v>46141.27710648148</v>
      </c>
      <c r="K3022" s="15" t="n">
        <v>158228.45</v>
      </c>
      <c r="L3022" s="4" t="inlineStr">
        <is>
          <t>INR</t>
        </is>
      </c>
      <c r="M3022" s="15" t="n">
        <v>-158228.45</v>
      </c>
      <c r="N3022" s="4" t="inlineStr">
        <is>
          <t>IOS Owner</t>
        </is>
      </c>
      <c r="O3022" s="4" t="n"/>
      <c r="P3022" s="4" t="n"/>
      <c r="Q3022" s="4" t="inlineStr">
        <is>
          <t>MAESTRO-IOS-BUSINESS-BUSINESS_OPERATIONS-3021 | Vendor | 158228.45</t>
        </is>
      </c>
      <c r="R3022" s="4" t="inlineStr">
        <is>
          <t>iPhone</t>
        </is>
      </c>
      <c r="S3022" s="4" t="inlineStr">
        <is>
          <t>B61</t>
        </is>
      </c>
      <c r="T3022" s="4" t="inlineStr">
        <is>
          <t>STRESS_3001_3500</t>
        </is>
      </c>
      <c r="U3022" s="4" t="inlineStr">
        <is>
          <t>CREATED</t>
        </is>
      </c>
      <c r="V3022" s="4" t="inlineStr">
        <is>
          <t>idem-20260902-ios-3021</t>
        </is>
      </c>
    </row>
    <row r="3023" ht="30" customHeight="1">
      <c r="A3023" s="4" t="n">
        <v>3022</v>
      </c>
      <c r="B3023" s="4" t="inlineStr">
        <is>
          <t>MTR-IOS-3022</t>
        </is>
      </c>
      <c r="C3023" s="4" t="inlineStr">
        <is>
          <t>Personal</t>
        </is>
      </c>
      <c r="D3023" s="4" t="inlineStr">
        <is>
          <t>Personal</t>
        </is>
      </c>
      <c r="E3023" s="4" t="inlineStr">
        <is>
          <t>Relationships</t>
        </is>
      </c>
      <c r="F3023" s="4" t="inlineStr">
        <is>
          <t>Gifts</t>
        </is>
      </c>
      <c r="G3023" s="4" t="inlineStr">
        <is>
          <t>Expense</t>
        </is>
      </c>
      <c r="H3023" s="12" t="n">
        <v>46194</v>
      </c>
      <c r="I3023" s="13" t="n">
        <v>0.1187152777777778</v>
      </c>
      <c r="J3023" s="14" t="n">
        <v>46194.11871527778</v>
      </c>
      <c r="K3023" s="15" t="n">
        <v>6776.68</v>
      </c>
      <c r="L3023" s="4" t="inlineStr">
        <is>
          <t>INR</t>
        </is>
      </c>
      <c r="M3023" s="15" t="n">
        <v>-6776.68</v>
      </c>
      <c r="N3023" s="4" t="inlineStr">
        <is>
          <t>IOS Owner</t>
        </is>
      </c>
      <c r="O3023" s="4" t="n"/>
      <c r="P3023" s="4" t="n"/>
      <c r="Q3023" s="4" t="inlineStr">
        <is>
          <t>MAESTRO-IOS-PERSONAL-RELATIONSHIPS-3022 | Gifts | 6776.68</t>
        </is>
      </c>
      <c r="R3023" s="4" t="inlineStr">
        <is>
          <t>iPhone</t>
        </is>
      </c>
      <c r="S3023" s="4" t="inlineStr">
        <is>
          <t>B61</t>
        </is>
      </c>
      <c r="T3023" s="4" t="inlineStr">
        <is>
          <t>STRESS_3001_3500</t>
        </is>
      </c>
      <c r="U3023" s="4" t="inlineStr">
        <is>
          <t>CREATED</t>
        </is>
      </c>
      <c r="V3023" s="4" t="inlineStr">
        <is>
          <t>idem-20260902-ios-3022</t>
        </is>
      </c>
    </row>
    <row r="3024" ht="30" customHeight="1">
      <c r="A3024" s="4" t="n">
        <v>3023</v>
      </c>
      <c r="B3024" s="4" t="inlineStr">
        <is>
          <t>MTR-IOS-3023</t>
        </is>
      </c>
      <c r="C3024" s="4" t="inlineStr">
        <is>
          <t>Group</t>
        </is>
      </c>
      <c r="D3024" s="4" t="inlineStr">
        <is>
          <t>Shared Experience</t>
        </is>
      </c>
      <c r="E3024" s="4" t="inlineStr">
        <is>
          <t>House Party</t>
        </is>
      </c>
      <c r="F3024" s="4" t="inlineStr">
        <is>
          <t>Decor</t>
        </is>
      </c>
      <c r="G3024" s="4" t="inlineStr">
        <is>
          <t>Expense</t>
        </is>
      </c>
      <c r="H3024" s="12" t="n">
        <v>46023</v>
      </c>
      <c r="I3024" s="13" t="n">
        <v>0.7497569444444444</v>
      </c>
      <c r="J3024" s="14" t="n">
        <v>46023.74975694445</v>
      </c>
      <c r="K3024" s="15" t="n">
        <v>12398.63</v>
      </c>
      <c r="L3024" s="4" t="inlineStr">
        <is>
          <t>INR</t>
        </is>
      </c>
      <c r="M3024" s="15" t="n">
        <v>-12398.63</v>
      </c>
      <c r="N3024" s="4" t="inlineStr">
        <is>
          <t>IOS Meera</t>
        </is>
      </c>
      <c r="O3024" s="4" t="n">
        <v>3</v>
      </c>
      <c r="P3024" s="4" t="inlineStr">
        <is>
          <t>SHARES</t>
        </is>
      </c>
      <c r="Q3024" s="4" t="inlineStr">
        <is>
          <t>MAESTRO-IOS-GROUP-HOUSE_PARTY-3023 | Decor | 12398.63</t>
        </is>
      </c>
      <c r="R3024" s="4" t="inlineStr">
        <is>
          <t>iPhone</t>
        </is>
      </c>
      <c r="S3024" s="4" t="inlineStr">
        <is>
          <t>B61</t>
        </is>
      </c>
      <c r="T3024" s="4" t="inlineStr">
        <is>
          <t>STRESS_3001_3500</t>
        </is>
      </c>
      <c r="U3024" s="4" t="inlineStr">
        <is>
          <t>CREATED</t>
        </is>
      </c>
      <c r="V3024" s="4" t="inlineStr">
        <is>
          <t>idem-20260902-ios-3023</t>
        </is>
      </c>
    </row>
    <row r="3025" ht="30" customHeight="1">
      <c r="A3025" s="4" t="n">
        <v>3024</v>
      </c>
      <c r="B3025" s="4" t="inlineStr">
        <is>
          <t>MTR-IOS-3024</t>
        </is>
      </c>
      <c r="C3025" s="4" t="inlineStr">
        <is>
          <t>Business</t>
        </is>
      </c>
      <c r="D3025" s="4" t="inlineStr">
        <is>
          <t>Business</t>
        </is>
      </c>
      <c r="E3025" s="4" t="inlineStr">
        <is>
          <t>Business Operations</t>
        </is>
      </c>
      <c r="F3025" s="4" t="inlineStr">
        <is>
          <t>Tax</t>
        </is>
      </c>
      <c r="G3025" s="4" t="inlineStr">
        <is>
          <t>Expense</t>
        </is>
      </c>
      <c r="H3025" s="12" t="n">
        <v>46116</v>
      </c>
      <c r="I3025" s="13" t="n">
        <v>0.2419560185185185</v>
      </c>
      <c r="J3025" s="14" t="n">
        <v>46116.24195601852</v>
      </c>
      <c r="K3025" s="15" t="n">
        <v>92203.2</v>
      </c>
      <c r="L3025" s="4" t="inlineStr">
        <is>
          <t>INR</t>
        </is>
      </c>
      <c r="M3025" s="15" t="n">
        <v>-92203.2</v>
      </c>
      <c r="N3025" s="4" t="inlineStr">
        <is>
          <t>IOS Owner</t>
        </is>
      </c>
      <c r="O3025" s="4" t="n"/>
      <c r="P3025" s="4" t="n"/>
      <c r="Q3025" s="4" t="inlineStr">
        <is>
          <t>MAESTRO-IOS-BUSINESS-BUSINESS_OPERATIONS-3024 | Tax | 92203.20</t>
        </is>
      </c>
      <c r="R3025" s="4" t="inlineStr">
        <is>
          <t>iPhone</t>
        </is>
      </c>
      <c r="S3025" s="4" t="inlineStr">
        <is>
          <t>B61</t>
        </is>
      </c>
      <c r="T3025" s="4" t="inlineStr">
        <is>
          <t>STRESS_3001_3500</t>
        </is>
      </c>
      <c r="U3025" s="4" t="inlineStr">
        <is>
          <t>CREATED</t>
        </is>
      </c>
      <c r="V3025" s="4" t="inlineStr">
        <is>
          <t>idem-20260902-ios-3024</t>
        </is>
      </c>
    </row>
    <row r="3026" ht="30" customHeight="1">
      <c r="A3026" s="4" t="n">
        <v>3025</v>
      </c>
      <c r="B3026" s="4" t="inlineStr">
        <is>
          <t>MTR-IOS-3025</t>
        </is>
      </c>
      <c r="C3026" s="4" t="inlineStr">
        <is>
          <t>Personal</t>
        </is>
      </c>
      <c r="D3026" s="4" t="inlineStr">
        <is>
          <t>Personal</t>
        </is>
      </c>
      <c r="E3026" s="4" t="inlineStr">
        <is>
          <t>Relationships</t>
        </is>
      </c>
      <c r="F3026" s="4" t="inlineStr">
        <is>
          <t>Dates</t>
        </is>
      </c>
      <c r="G3026" s="4" t="inlineStr">
        <is>
          <t>Expense</t>
        </is>
      </c>
      <c r="H3026" s="12" t="n">
        <v>45943</v>
      </c>
      <c r="I3026" s="13" t="n">
        <v>0.251412037037037</v>
      </c>
      <c r="J3026" s="14" t="n">
        <v>45943.25141203704</v>
      </c>
      <c r="K3026" s="15" t="n">
        <v>11967.89</v>
      </c>
      <c r="L3026" s="4" t="inlineStr">
        <is>
          <t>INR</t>
        </is>
      </c>
      <c r="M3026" s="15" t="n">
        <v>-11967.89</v>
      </c>
      <c r="N3026" s="4" t="inlineStr">
        <is>
          <t>IOS Owner</t>
        </is>
      </c>
      <c r="O3026" s="4" t="n"/>
      <c r="P3026" s="4" t="n"/>
      <c r="Q3026" s="4" t="inlineStr">
        <is>
          <t>MAESTRO-IOS-PERSONAL-RELATIONSHIPS-3025 | Dates | 11967.89</t>
        </is>
      </c>
      <c r="R3026" s="4" t="inlineStr">
        <is>
          <t>iPhone</t>
        </is>
      </c>
      <c r="S3026" s="4" t="inlineStr">
        <is>
          <t>B61</t>
        </is>
      </c>
      <c r="T3026" s="4" t="inlineStr">
        <is>
          <t>STRESS_3001_3500</t>
        </is>
      </c>
      <c r="U3026" s="4" t="inlineStr">
        <is>
          <t>CREATED</t>
        </is>
      </c>
      <c r="V3026" s="4" t="inlineStr">
        <is>
          <t>idem-20260902-ios-3025</t>
        </is>
      </c>
    </row>
    <row r="3027" ht="30" customHeight="1">
      <c r="A3027" s="4" t="n">
        <v>3026</v>
      </c>
      <c r="B3027" s="4" t="inlineStr">
        <is>
          <t>MTR-IOS-3026</t>
        </is>
      </c>
      <c r="C3027" s="4" t="inlineStr">
        <is>
          <t>Group</t>
        </is>
      </c>
      <c r="D3027" s="4" t="inlineStr">
        <is>
          <t>Shared Experience</t>
        </is>
      </c>
      <c r="E3027" s="4" t="inlineStr">
        <is>
          <t>House Party</t>
        </is>
      </c>
      <c r="F3027" s="4" t="inlineStr">
        <is>
          <t>Supplies</t>
        </is>
      </c>
      <c r="G3027" s="4" t="inlineStr">
        <is>
          <t>Expense</t>
        </is>
      </c>
      <c r="H3027" s="12" t="n">
        <v>46184</v>
      </c>
      <c r="I3027" s="13" t="n">
        <v>0.8198032407407407</v>
      </c>
      <c r="J3027" s="14" t="n">
        <v>46184.81980324074</v>
      </c>
      <c r="K3027" s="15" t="n">
        <v>5125.02</v>
      </c>
      <c r="L3027" s="4" t="inlineStr">
        <is>
          <t>INR</t>
        </is>
      </c>
      <c r="M3027" s="15" t="n">
        <v>-5125.02</v>
      </c>
      <c r="N3027" s="4" t="inlineStr">
        <is>
          <t>IOS Owner</t>
        </is>
      </c>
      <c r="O3027" s="4" t="n">
        <v>3</v>
      </c>
      <c r="P3027" s="4" t="inlineStr">
        <is>
          <t>EQUAL</t>
        </is>
      </c>
      <c r="Q3027" s="4" t="inlineStr">
        <is>
          <t>MAESTRO-IOS-GROUP-HOUSE_PARTY-3026 | Supplies | 5125.02</t>
        </is>
      </c>
      <c r="R3027" s="4" t="inlineStr">
        <is>
          <t>iPhone</t>
        </is>
      </c>
      <c r="S3027" s="4" t="inlineStr">
        <is>
          <t>B61</t>
        </is>
      </c>
      <c r="T3027" s="4" t="inlineStr">
        <is>
          <t>STRESS_3001_3500</t>
        </is>
      </c>
      <c r="U3027" s="4" t="inlineStr">
        <is>
          <t>CREATED</t>
        </is>
      </c>
      <c r="V3027" s="4" t="inlineStr">
        <is>
          <t>idem-20260902-ios-3026</t>
        </is>
      </c>
    </row>
    <row r="3028" ht="30" customHeight="1">
      <c r="A3028" s="4" t="n">
        <v>3027</v>
      </c>
      <c r="B3028" s="4" t="inlineStr">
        <is>
          <t>MTR-IOS-3027</t>
        </is>
      </c>
      <c r="C3028" s="4" t="inlineStr">
        <is>
          <t>Business</t>
        </is>
      </c>
      <c r="D3028" s="4" t="inlineStr">
        <is>
          <t>Business</t>
        </is>
      </c>
      <c r="E3028" s="4" t="inlineStr">
        <is>
          <t>Team Operations</t>
        </is>
      </c>
      <c r="F3028" s="4" t="inlineStr">
        <is>
          <t>Payroll</t>
        </is>
      </c>
      <c r="G3028" s="4" t="inlineStr">
        <is>
          <t>Expense</t>
        </is>
      </c>
      <c r="H3028" s="12" t="n">
        <v>46047</v>
      </c>
      <c r="I3028" s="13" t="n">
        <v>0.6609143518518519</v>
      </c>
      <c r="J3028" s="14" t="n">
        <v>46047.66091435185</v>
      </c>
      <c r="K3028" s="15" t="n">
        <v>151618.36</v>
      </c>
      <c r="L3028" s="4" t="inlineStr">
        <is>
          <t>INR</t>
        </is>
      </c>
      <c r="M3028" s="15" t="n">
        <v>-151618.36</v>
      </c>
      <c r="N3028" s="4" t="inlineStr">
        <is>
          <t>IOS Owner</t>
        </is>
      </c>
      <c r="O3028" s="4" t="n"/>
      <c r="P3028" s="4" t="n"/>
      <c r="Q3028" s="4" t="inlineStr">
        <is>
          <t>MAESTRO-IOS-BUSINESS-TEAM_OPERATIONS-3027 | Payroll | 151618.36</t>
        </is>
      </c>
      <c r="R3028" s="4" t="inlineStr">
        <is>
          <t>iPhone</t>
        </is>
      </c>
      <c r="S3028" s="4" t="inlineStr">
        <is>
          <t>B61</t>
        </is>
      </c>
      <c r="T3028" s="4" t="inlineStr">
        <is>
          <t>STRESS_3001_3500</t>
        </is>
      </c>
      <c r="U3028" s="4" t="inlineStr">
        <is>
          <t>CREATED</t>
        </is>
      </c>
      <c r="V3028" s="4" t="inlineStr">
        <is>
          <t>idem-20260902-ios-3027</t>
        </is>
      </c>
    </row>
    <row r="3029" ht="30" customHeight="1">
      <c r="A3029" s="4" t="n">
        <v>3028</v>
      </c>
      <c r="B3029" s="4" t="inlineStr">
        <is>
          <t>MTR-IOS-3028</t>
        </is>
      </c>
      <c r="C3029" s="4" t="inlineStr">
        <is>
          <t>Personal</t>
        </is>
      </c>
      <c r="D3029" s="4" t="inlineStr">
        <is>
          <t>Personal</t>
        </is>
      </c>
      <c r="E3029" s="4" t="inlineStr">
        <is>
          <t>Relationships</t>
        </is>
      </c>
      <c r="F3029" s="4" t="inlineStr">
        <is>
          <t>Family</t>
        </is>
      </c>
      <c r="G3029" s="4" t="inlineStr">
        <is>
          <t>Expense</t>
        </is>
      </c>
      <c r="H3029" s="12" t="n">
        <v>46129</v>
      </c>
      <c r="I3029" s="13" t="n">
        <v>0.5072337962962963</v>
      </c>
      <c r="J3029" s="14" t="n">
        <v>46129.5072337963</v>
      </c>
      <c r="K3029" s="15" t="n">
        <v>2865.98</v>
      </c>
      <c r="L3029" s="4" t="inlineStr">
        <is>
          <t>INR</t>
        </is>
      </c>
      <c r="M3029" s="15" t="n">
        <v>-2865.98</v>
      </c>
      <c r="N3029" s="4" t="inlineStr">
        <is>
          <t>IOS Owner</t>
        </is>
      </c>
      <c r="O3029" s="4" t="n"/>
      <c r="P3029" s="4" t="n"/>
      <c r="Q3029" s="4" t="inlineStr">
        <is>
          <t>MAESTRO-IOS-PERSONAL-RELATIONSHIPS-3028 | Family | 2865.98</t>
        </is>
      </c>
      <c r="R3029" s="4" t="inlineStr">
        <is>
          <t>iPhone</t>
        </is>
      </c>
      <c r="S3029" s="4" t="inlineStr">
        <is>
          <t>B61</t>
        </is>
      </c>
      <c r="T3029" s="4" t="inlineStr">
        <is>
          <t>STRESS_3001_3500</t>
        </is>
      </c>
      <c r="U3029" s="4" t="inlineStr">
        <is>
          <t>CREATED</t>
        </is>
      </c>
      <c r="V3029" s="4" t="inlineStr">
        <is>
          <t>idem-20260902-ios-3028</t>
        </is>
      </c>
    </row>
    <row r="3030" ht="30" customHeight="1">
      <c r="A3030" s="4" t="n">
        <v>3029</v>
      </c>
      <c r="B3030" s="4" t="inlineStr">
        <is>
          <t>MTR-IOS-3029</t>
        </is>
      </c>
      <c r="C3030" s="4" t="inlineStr">
        <is>
          <t>Group</t>
        </is>
      </c>
      <c r="D3030" s="4" t="inlineStr">
        <is>
          <t>Shared Experience</t>
        </is>
      </c>
      <c r="E3030" s="4" t="inlineStr">
        <is>
          <t>House Party</t>
        </is>
      </c>
      <c r="F3030" s="4" t="inlineStr">
        <is>
          <t>Other</t>
        </is>
      </c>
      <c r="G3030" s="4" t="inlineStr">
        <is>
          <t>Expense</t>
        </is>
      </c>
      <c r="H3030" s="12" t="n">
        <v>45971</v>
      </c>
      <c r="I3030" s="13" t="n">
        <v>0.3199768518518519</v>
      </c>
      <c r="J3030" s="14" t="n">
        <v>45971.31997685185</v>
      </c>
      <c r="K3030" s="15" t="n">
        <v>26136.19</v>
      </c>
      <c r="L3030" s="4" t="inlineStr">
        <is>
          <t>INR</t>
        </is>
      </c>
      <c r="M3030" s="15" t="n">
        <v>-26136.19</v>
      </c>
      <c r="N3030" s="4" t="inlineStr">
        <is>
          <t>IOS Aarav</t>
        </is>
      </c>
      <c r="O3030" s="4" t="n">
        <v>3</v>
      </c>
      <c r="P3030" s="4" t="inlineStr">
        <is>
          <t>PERCENTAGE</t>
        </is>
      </c>
      <c r="Q3030" s="4" t="inlineStr">
        <is>
          <t>MAESTRO-IOS-GROUP-HOUSE_PARTY-3029 | Other | 26136.19</t>
        </is>
      </c>
      <c r="R3030" s="4" t="inlineStr">
        <is>
          <t>iPhone</t>
        </is>
      </c>
      <c r="S3030" s="4" t="inlineStr">
        <is>
          <t>B61</t>
        </is>
      </c>
      <c r="T3030" s="4" t="inlineStr">
        <is>
          <t>STRESS_3001_3500</t>
        </is>
      </c>
      <c r="U3030" s="4" t="inlineStr">
        <is>
          <t>CREATED</t>
        </is>
      </c>
      <c r="V3030" s="4" t="inlineStr">
        <is>
          <t>idem-20260902-ios-3029</t>
        </is>
      </c>
    </row>
    <row r="3031" ht="30" customHeight="1">
      <c r="A3031" s="4" t="n">
        <v>3030</v>
      </c>
      <c r="B3031" s="4" t="inlineStr">
        <is>
          <t>MTR-IOS-3030</t>
        </is>
      </c>
      <c r="C3031" s="4" t="inlineStr">
        <is>
          <t>Business</t>
        </is>
      </c>
      <c r="D3031" s="4" t="inlineStr">
        <is>
          <t>Business</t>
        </is>
      </c>
      <c r="E3031" s="4" t="inlineStr">
        <is>
          <t>Team Operations</t>
        </is>
      </c>
      <c r="F3031" s="4" t="inlineStr">
        <is>
          <t>Contractor</t>
        </is>
      </c>
      <c r="G3031" s="4" t="inlineStr">
        <is>
          <t>Expense</t>
        </is>
      </c>
      <c r="H3031" s="12" t="n">
        <v>46100</v>
      </c>
      <c r="I3031" s="13" t="n">
        <v>0.1778587962962963</v>
      </c>
      <c r="J3031" s="14" t="n">
        <v>46100.1778587963</v>
      </c>
      <c r="K3031" s="15" t="n">
        <v>18107.7</v>
      </c>
      <c r="L3031" s="4" t="inlineStr">
        <is>
          <t>INR</t>
        </is>
      </c>
      <c r="M3031" s="15" t="n">
        <v>-18107.7</v>
      </c>
      <c r="N3031" s="4" t="inlineStr">
        <is>
          <t>IOS Owner</t>
        </is>
      </c>
      <c r="O3031" s="4" t="n"/>
      <c r="P3031" s="4" t="n"/>
      <c r="Q3031" s="4" t="inlineStr">
        <is>
          <t>MAESTRO-IOS-BUSINESS-TEAM_OPERATIONS-3030 | Contractor | 18107.70</t>
        </is>
      </c>
      <c r="R3031" s="4" t="inlineStr">
        <is>
          <t>iPhone</t>
        </is>
      </c>
      <c r="S3031" s="4" t="inlineStr">
        <is>
          <t>B61</t>
        </is>
      </c>
      <c r="T3031" s="4" t="inlineStr">
        <is>
          <t>STRESS_3001_3500</t>
        </is>
      </c>
      <c r="U3031" s="4" t="inlineStr">
        <is>
          <t>CREATED</t>
        </is>
      </c>
      <c r="V3031" s="4" t="inlineStr">
        <is>
          <t>idem-20260902-ios-3030</t>
        </is>
      </c>
    </row>
    <row r="3032" ht="30" customHeight="1">
      <c r="A3032" s="4" t="n">
        <v>3031</v>
      </c>
      <c r="B3032" s="4" t="inlineStr">
        <is>
          <t>MTR-IOS-3031</t>
        </is>
      </c>
      <c r="C3032" s="4" t="inlineStr">
        <is>
          <t>Personal</t>
        </is>
      </c>
      <c r="D3032" s="4" t="inlineStr">
        <is>
          <t>Personal</t>
        </is>
      </c>
      <c r="E3032" s="4" t="inlineStr">
        <is>
          <t>Relationships</t>
        </is>
      </c>
      <c r="F3032" s="4" t="inlineStr">
        <is>
          <t>Friends</t>
        </is>
      </c>
      <c r="G3032" s="4" t="inlineStr">
        <is>
          <t>Expense</t>
        </is>
      </c>
      <c r="H3032" s="12" t="n">
        <v>46210</v>
      </c>
      <c r="I3032" s="13" t="n">
        <v>0.905625</v>
      </c>
      <c r="J3032" s="14" t="n">
        <v>46210.905625</v>
      </c>
      <c r="K3032" s="15" t="n">
        <v>6464.99</v>
      </c>
      <c r="L3032" s="4" t="inlineStr">
        <is>
          <t>INR</t>
        </is>
      </c>
      <c r="M3032" s="15" t="n">
        <v>-6464.99</v>
      </c>
      <c r="N3032" s="4" t="inlineStr">
        <is>
          <t>IOS Owner</t>
        </is>
      </c>
      <c r="O3032" s="4" t="n"/>
      <c r="P3032" s="4" t="n"/>
      <c r="Q3032" s="4" t="inlineStr">
        <is>
          <t>MAESTRO-IOS-PERSONAL-RELATIONSHIPS-3031 | Friends | 6464.99</t>
        </is>
      </c>
      <c r="R3032" s="4" t="inlineStr">
        <is>
          <t>iPhone</t>
        </is>
      </c>
      <c r="S3032" s="4" t="inlineStr">
        <is>
          <t>B61</t>
        </is>
      </c>
      <c r="T3032" s="4" t="inlineStr">
        <is>
          <t>STRESS_3001_3500</t>
        </is>
      </c>
      <c r="U3032" s="4" t="inlineStr">
        <is>
          <t>CREATED</t>
        </is>
      </c>
      <c r="V3032" s="4" t="inlineStr">
        <is>
          <t>idem-20260902-ios-3031</t>
        </is>
      </c>
    </row>
    <row r="3033" ht="30" customHeight="1">
      <c r="A3033" s="4" t="n">
        <v>3032</v>
      </c>
      <c r="B3033" s="4" t="inlineStr">
        <is>
          <t>MTR-IOS-3032</t>
        </is>
      </c>
      <c r="C3033" s="4" t="inlineStr">
        <is>
          <t>Group</t>
        </is>
      </c>
      <c r="D3033" s="4" t="inlineStr">
        <is>
          <t>Shared Purchase</t>
        </is>
      </c>
      <c r="E3033" s="4" t="inlineStr">
        <is>
          <t>Gift Pool</t>
        </is>
      </c>
      <c r="F3033" s="4" t="inlineStr">
        <is>
          <t>Contribution</t>
        </is>
      </c>
      <c r="G3033" s="4" t="inlineStr">
        <is>
          <t>Contribution</t>
        </is>
      </c>
      <c r="H3033" s="12" t="n">
        <v>46030</v>
      </c>
      <c r="I3033" s="13" t="n">
        <v>0.4922222222222222</v>
      </c>
      <c r="J3033" s="14" t="n">
        <v>46030.49222222222</v>
      </c>
      <c r="K3033" s="15" t="n">
        <v>17663.31</v>
      </c>
      <c r="L3033" s="4" t="inlineStr">
        <is>
          <t>INR</t>
        </is>
      </c>
      <c r="M3033" s="15" t="n">
        <v>17663.31</v>
      </c>
      <c r="N3033" s="4" t="inlineStr">
        <is>
          <t>IOS Meera</t>
        </is>
      </c>
      <c r="O3033" s="4" t="n">
        <v>3</v>
      </c>
      <c r="P3033" s="4" t="inlineStr">
        <is>
          <t>EXACT</t>
        </is>
      </c>
      <c r="Q3033" s="4" t="inlineStr">
        <is>
          <t>MAESTRO-IOS-GROUP-GIFT_POOL-3032 | Contribution | 17663.31</t>
        </is>
      </c>
      <c r="R3033" s="4" t="inlineStr">
        <is>
          <t>iPhone</t>
        </is>
      </c>
      <c r="S3033" s="4" t="inlineStr">
        <is>
          <t>B61</t>
        </is>
      </c>
      <c r="T3033" s="4" t="inlineStr">
        <is>
          <t>STRESS_3001_3500</t>
        </is>
      </c>
      <c r="U3033" s="4" t="inlineStr">
        <is>
          <t>CREATED</t>
        </is>
      </c>
      <c r="V3033" s="4" t="inlineStr">
        <is>
          <t>idem-20260902-ios-3032</t>
        </is>
      </c>
    </row>
    <row r="3034" ht="30" customHeight="1">
      <c r="A3034" s="4" t="n">
        <v>3033</v>
      </c>
      <c r="B3034" s="4" t="inlineStr">
        <is>
          <t>MTR-IOS-3033</t>
        </is>
      </c>
      <c r="C3034" s="4" t="inlineStr">
        <is>
          <t>Business</t>
        </is>
      </c>
      <c r="D3034" s="4" t="inlineStr">
        <is>
          <t>Business</t>
        </is>
      </c>
      <c r="E3034" s="4" t="inlineStr">
        <is>
          <t>Team Operations</t>
        </is>
      </c>
      <c r="F3034" s="4" t="inlineStr">
        <is>
          <t>Hiring</t>
        </is>
      </c>
      <c r="G3034" s="4" t="inlineStr">
        <is>
          <t>Expense</t>
        </is>
      </c>
      <c r="H3034" s="12" t="n">
        <v>46232</v>
      </c>
      <c r="I3034" s="13" t="n">
        <v>0.4133912037037037</v>
      </c>
      <c r="J3034" s="14" t="n">
        <v>46232.41339120371</v>
      </c>
      <c r="K3034" s="15" t="n">
        <v>142445.52</v>
      </c>
      <c r="L3034" s="4" t="inlineStr">
        <is>
          <t>INR</t>
        </is>
      </c>
      <c r="M3034" s="15" t="n">
        <v>-142445.52</v>
      </c>
      <c r="N3034" s="4" t="inlineStr">
        <is>
          <t>IOS Owner</t>
        </is>
      </c>
      <c r="O3034" s="4" t="n"/>
      <c r="P3034" s="4" t="n"/>
      <c r="Q3034" s="4" t="inlineStr">
        <is>
          <t>MAESTRO-IOS-BUSINESS-TEAM_OPERATIONS-3033 | Hiring | 142445.52</t>
        </is>
      </c>
      <c r="R3034" s="4" t="inlineStr">
        <is>
          <t>iPhone</t>
        </is>
      </c>
      <c r="S3034" s="4" t="inlineStr">
        <is>
          <t>B61</t>
        </is>
      </c>
      <c r="T3034" s="4" t="inlineStr">
        <is>
          <t>STRESS_3001_3500</t>
        </is>
      </c>
      <c r="U3034" s="4" t="inlineStr">
        <is>
          <t>CREATED</t>
        </is>
      </c>
      <c r="V3034" s="4" t="inlineStr">
        <is>
          <t>idem-20260902-ios-3033</t>
        </is>
      </c>
    </row>
    <row r="3035" ht="30" customHeight="1">
      <c r="A3035" s="4" t="n">
        <v>3034</v>
      </c>
      <c r="B3035" s="4" t="inlineStr">
        <is>
          <t>MTR-IOS-3034</t>
        </is>
      </c>
      <c r="C3035" s="4" t="inlineStr">
        <is>
          <t>Personal</t>
        </is>
      </c>
      <c r="D3035" s="4" t="inlineStr">
        <is>
          <t>Personal</t>
        </is>
      </c>
      <c r="E3035" s="4" t="inlineStr">
        <is>
          <t>Relationships</t>
        </is>
      </c>
      <c r="F3035" s="4" t="inlineStr">
        <is>
          <t>Celebrations</t>
        </is>
      </c>
      <c r="G3035" s="4" t="inlineStr">
        <is>
          <t>Expense</t>
        </is>
      </c>
      <c r="H3035" s="12" t="n">
        <v>46088</v>
      </c>
      <c r="I3035" s="13" t="n">
        <v>0.05538194444444444</v>
      </c>
      <c r="J3035" s="14" t="n">
        <v>46088.05538194445</v>
      </c>
      <c r="K3035" s="15" t="n">
        <v>999.99</v>
      </c>
      <c r="L3035" s="4" t="inlineStr">
        <is>
          <t>INR</t>
        </is>
      </c>
      <c r="M3035" s="15" t="n">
        <v>-999.99</v>
      </c>
      <c r="N3035" s="4" t="inlineStr">
        <is>
          <t>IOS Owner</t>
        </is>
      </c>
      <c r="O3035" s="4" t="n"/>
      <c r="P3035" s="4" t="n"/>
      <c r="Q3035" s="4" t="inlineStr">
        <is>
          <t>MAESTRO-IOS-PERSONAL-RELATIONSHIPS-3034 | Celebrations | 999.99</t>
        </is>
      </c>
      <c r="R3035" s="4" t="inlineStr">
        <is>
          <t>iPhone</t>
        </is>
      </c>
      <c r="S3035" s="4" t="inlineStr">
        <is>
          <t>B61</t>
        </is>
      </c>
      <c r="T3035" s="4" t="inlineStr">
        <is>
          <t>STRESS_3001_3500</t>
        </is>
      </c>
      <c r="U3035" s="4" t="inlineStr">
        <is>
          <t>CREATED</t>
        </is>
      </c>
      <c r="V3035" s="4" t="inlineStr">
        <is>
          <t>idem-20260902-ios-3034</t>
        </is>
      </c>
    </row>
    <row r="3036" ht="30" customHeight="1">
      <c r="A3036" s="4" t="n">
        <v>3035</v>
      </c>
      <c r="B3036" s="4" t="inlineStr">
        <is>
          <t>MTR-IOS-3035</t>
        </is>
      </c>
      <c r="C3036" s="4" t="inlineStr">
        <is>
          <t>Group</t>
        </is>
      </c>
      <c r="D3036" s="4" t="inlineStr">
        <is>
          <t>Shared Purchase</t>
        </is>
      </c>
      <c r="E3036" s="4" t="inlineStr">
        <is>
          <t>Gift Pool</t>
        </is>
      </c>
      <c r="F3036" s="4" t="inlineStr">
        <is>
          <t>Gift Purchase</t>
        </is>
      </c>
      <c r="G3036" s="4" t="inlineStr">
        <is>
          <t>Expense</t>
        </is>
      </c>
      <c r="H3036" s="12" t="n">
        <v>45996</v>
      </c>
      <c r="I3036" s="13" t="n">
        <v>0.2655439814814815</v>
      </c>
      <c r="J3036" s="14" t="n">
        <v>45996.26554398148</v>
      </c>
      <c r="K3036" s="15" t="n">
        <v>11280.85</v>
      </c>
      <c r="L3036" s="4" t="inlineStr">
        <is>
          <t>INR</t>
        </is>
      </c>
      <c r="M3036" s="15" t="n">
        <v>-11280.85</v>
      </c>
      <c r="N3036" s="4" t="inlineStr">
        <is>
          <t>IOS Owner</t>
        </is>
      </c>
      <c r="O3036" s="4" t="n">
        <v>3</v>
      </c>
      <c r="P3036" s="4" t="inlineStr">
        <is>
          <t>SHARES</t>
        </is>
      </c>
      <c r="Q3036" s="4" t="inlineStr">
        <is>
          <t>MAESTRO-IOS-GROUP-GIFT_POOL-3035 | Gift Purchase | 11280.85</t>
        </is>
      </c>
      <c r="R3036" s="4" t="inlineStr">
        <is>
          <t>iPhone</t>
        </is>
      </c>
      <c r="S3036" s="4" t="inlineStr">
        <is>
          <t>B61</t>
        </is>
      </c>
      <c r="T3036" s="4" t="inlineStr">
        <is>
          <t>STRESS_3001_3500</t>
        </is>
      </c>
      <c r="U3036" s="4" t="inlineStr">
        <is>
          <t>CREATED</t>
        </is>
      </c>
      <c r="V3036" s="4" t="inlineStr">
        <is>
          <t>idem-20260902-ios-3035</t>
        </is>
      </c>
    </row>
    <row r="3037" ht="30" customHeight="1">
      <c r="A3037" s="4" t="n">
        <v>3036</v>
      </c>
      <c r="B3037" s="4" t="inlineStr">
        <is>
          <t>MTR-IOS-3036</t>
        </is>
      </c>
      <c r="C3037" s="4" t="inlineStr">
        <is>
          <t>Business</t>
        </is>
      </c>
      <c r="D3037" s="4" t="inlineStr">
        <is>
          <t>Business</t>
        </is>
      </c>
      <c r="E3037" s="4" t="inlineStr">
        <is>
          <t>Team Operations</t>
        </is>
      </c>
      <c r="F3037" s="4" t="inlineStr">
        <is>
          <t>Team Meal</t>
        </is>
      </c>
      <c r="G3037" s="4" t="inlineStr">
        <is>
          <t>Expense</t>
        </is>
      </c>
      <c r="H3037" s="12" t="n">
        <v>46209</v>
      </c>
      <c r="I3037" s="13" t="n">
        <v>0.489525462962963</v>
      </c>
      <c r="J3037" s="14" t="n">
        <v>46209.48952546297</v>
      </c>
      <c r="K3037" s="15" t="n">
        <v>108481.96</v>
      </c>
      <c r="L3037" s="4" t="inlineStr">
        <is>
          <t>INR</t>
        </is>
      </c>
      <c r="M3037" s="15" t="n">
        <v>-108481.96</v>
      </c>
      <c r="N3037" s="4" t="inlineStr">
        <is>
          <t>IOS Owner</t>
        </is>
      </c>
      <c r="O3037" s="4" t="n"/>
      <c r="P3037" s="4" t="n"/>
      <c r="Q3037" s="4" t="inlineStr">
        <is>
          <t>MAESTRO-IOS-BUSINESS-TEAM_OPERATIONS-3036 | Team Meal | 108481.96</t>
        </is>
      </c>
      <c r="R3037" s="4" t="inlineStr">
        <is>
          <t>iPhone</t>
        </is>
      </c>
      <c r="S3037" s="4" t="inlineStr">
        <is>
          <t>B61</t>
        </is>
      </c>
      <c r="T3037" s="4" t="inlineStr">
        <is>
          <t>STRESS_3001_3500</t>
        </is>
      </c>
      <c r="U3037" s="4" t="inlineStr">
        <is>
          <t>CREATED</t>
        </is>
      </c>
      <c r="V3037" s="4" t="inlineStr">
        <is>
          <t>idem-20260902-ios-3036</t>
        </is>
      </c>
    </row>
    <row r="3038" ht="30" customHeight="1">
      <c r="A3038" s="4" t="n">
        <v>3037</v>
      </c>
      <c r="B3038" s="4" t="inlineStr">
        <is>
          <t>MTR-IOS-3037</t>
        </is>
      </c>
      <c r="C3038" s="4" t="inlineStr">
        <is>
          <t>Personal</t>
        </is>
      </c>
      <c r="D3038" s="4" t="inlineStr">
        <is>
          <t>Personal</t>
        </is>
      </c>
      <c r="E3038" s="4" t="inlineStr">
        <is>
          <t>Life Operations</t>
        </is>
      </c>
      <c r="F3038" s="4" t="inlineStr">
        <is>
          <t>Groceries</t>
        </is>
      </c>
      <c r="G3038" s="4" t="inlineStr">
        <is>
          <t>Expense</t>
        </is>
      </c>
      <c r="H3038" s="12" t="n">
        <v>46211</v>
      </c>
      <c r="I3038" s="13" t="n">
        <v>0.8497106481481481</v>
      </c>
      <c r="J3038" s="14" t="n">
        <v>46211.84971064814</v>
      </c>
      <c r="K3038" s="15" t="n">
        <v>10736.65</v>
      </c>
      <c r="L3038" s="4" t="inlineStr">
        <is>
          <t>INR</t>
        </is>
      </c>
      <c r="M3038" s="15" t="n">
        <v>-10736.65</v>
      </c>
      <c r="N3038" s="4" t="inlineStr">
        <is>
          <t>IOS Owner</t>
        </is>
      </c>
      <c r="O3038" s="4" t="n"/>
      <c r="P3038" s="4" t="n"/>
      <c r="Q3038" s="4" t="inlineStr">
        <is>
          <t>MAESTRO-IOS-PERSONAL-LIFE_OPERATIONS-3037 | Groceries | 10736.65</t>
        </is>
      </c>
      <c r="R3038" s="4" t="inlineStr">
        <is>
          <t>iPhone</t>
        </is>
      </c>
      <c r="S3038" s="4" t="inlineStr">
        <is>
          <t>B61</t>
        </is>
      </c>
      <c r="T3038" s="4" t="inlineStr">
        <is>
          <t>STRESS_3001_3500</t>
        </is>
      </c>
      <c r="U3038" s="4" t="inlineStr">
        <is>
          <t>CREATED</t>
        </is>
      </c>
      <c r="V3038" s="4" t="inlineStr">
        <is>
          <t>idem-20260902-ios-3037</t>
        </is>
      </c>
    </row>
    <row r="3039" ht="30" customHeight="1">
      <c r="A3039" s="4" t="n">
        <v>3038</v>
      </c>
      <c r="B3039" s="4" t="inlineStr">
        <is>
          <t>MTR-IOS-3038</t>
        </is>
      </c>
      <c r="C3039" s="4" t="inlineStr">
        <is>
          <t>Group</t>
        </is>
      </c>
      <c r="D3039" s="4" t="inlineStr">
        <is>
          <t>Shared Purchase</t>
        </is>
      </c>
      <c r="E3039" s="4" t="inlineStr">
        <is>
          <t>Gift Pool</t>
        </is>
      </c>
      <c r="F3039" s="4" t="inlineStr">
        <is>
          <t>Delivery</t>
        </is>
      </c>
      <c r="G3039" s="4" t="inlineStr">
        <is>
          <t>Expense</t>
        </is>
      </c>
      <c r="H3039" s="12" t="n">
        <v>46087</v>
      </c>
      <c r="I3039" s="13" t="n">
        <v>0.7455324074074074</v>
      </c>
      <c r="J3039" s="14" t="n">
        <v>46087.74553240741</v>
      </c>
      <c r="K3039" s="15" t="n">
        <v>8028.92</v>
      </c>
      <c r="L3039" s="4" t="inlineStr">
        <is>
          <t>INR</t>
        </is>
      </c>
      <c r="M3039" s="15" t="n">
        <v>-8028.92</v>
      </c>
      <c r="N3039" s="4" t="inlineStr">
        <is>
          <t>IOS Aarav</t>
        </is>
      </c>
      <c r="O3039" s="4" t="n">
        <v>3</v>
      </c>
      <c r="P3039" s="4" t="inlineStr">
        <is>
          <t>EQUAL</t>
        </is>
      </c>
      <c r="Q3039" s="4" t="inlineStr">
        <is>
          <t>MAESTRO-IOS-GROUP-GIFT_POOL-3038 | Delivery | 8028.92</t>
        </is>
      </c>
      <c r="R3039" s="4" t="inlineStr">
        <is>
          <t>iPhone</t>
        </is>
      </c>
      <c r="S3039" s="4" t="inlineStr">
        <is>
          <t>B61</t>
        </is>
      </c>
      <c r="T3039" s="4" t="inlineStr">
        <is>
          <t>STRESS_3001_3500</t>
        </is>
      </c>
      <c r="U3039" s="4" t="inlineStr">
        <is>
          <t>CREATED</t>
        </is>
      </c>
      <c r="V3039" s="4" t="inlineStr">
        <is>
          <t>idem-20260902-ios-3038</t>
        </is>
      </c>
    </row>
    <row r="3040" ht="30" customHeight="1">
      <c r="A3040" s="4" t="n">
        <v>3039</v>
      </c>
      <c r="B3040" s="4" t="inlineStr">
        <is>
          <t>MTR-IOS-3039</t>
        </is>
      </c>
      <c r="C3040" s="4" t="inlineStr">
        <is>
          <t>Business</t>
        </is>
      </c>
      <c r="D3040" s="4" t="inlineStr">
        <is>
          <t>Business</t>
        </is>
      </c>
      <c r="E3040" s="4" t="inlineStr">
        <is>
          <t>Team Operations</t>
        </is>
      </c>
      <c r="F3040" s="4" t="inlineStr">
        <is>
          <t>Travel</t>
        </is>
      </c>
      <c r="G3040" s="4" t="inlineStr">
        <is>
          <t>Expense</t>
        </is>
      </c>
      <c r="H3040" s="12" t="n">
        <v>45998</v>
      </c>
      <c r="I3040" s="13" t="n">
        <v>0.8838541666666667</v>
      </c>
      <c r="J3040" s="14" t="n">
        <v>45998.88385416667</v>
      </c>
      <c r="K3040" s="15" t="n">
        <v>11921.92</v>
      </c>
      <c r="L3040" s="4" t="inlineStr">
        <is>
          <t>INR</t>
        </is>
      </c>
      <c r="M3040" s="15" t="n">
        <v>-11921.92</v>
      </c>
      <c r="N3040" s="4" t="inlineStr">
        <is>
          <t>IOS Owner</t>
        </is>
      </c>
      <c r="O3040" s="4" t="n"/>
      <c r="P3040" s="4" t="n"/>
      <c r="Q3040" s="4" t="inlineStr">
        <is>
          <t>MAESTRO-IOS-BUSINESS-TEAM_OPERATIONS-3039 | Travel | 11921.92</t>
        </is>
      </c>
      <c r="R3040" s="4" t="inlineStr">
        <is>
          <t>iPhone</t>
        </is>
      </c>
      <c r="S3040" s="4" t="inlineStr">
        <is>
          <t>B61</t>
        </is>
      </c>
      <c r="T3040" s="4" t="inlineStr">
        <is>
          <t>STRESS_3001_3500</t>
        </is>
      </c>
      <c r="U3040" s="4" t="inlineStr">
        <is>
          <t>CREATED</t>
        </is>
      </c>
      <c r="V3040" s="4" t="inlineStr">
        <is>
          <t>idem-20260902-ios-3039</t>
        </is>
      </c>
    </row>
    <row r="3041" ht="30" customHeight="1">
      <c r="A3041" s="4" t="n">
        <v>3040</v>
      </c>
      <c r="B3041" s="4" t="inlineStr">
        <is>
          <t>MTR-IOS-3040</t>
        </is>
      </c>
      <c r="C3041" s="4" t="inlineStr">
        <is>
          <t>Personal</t>
        </is>
      </c>
      <c r="D3041" s="4" t="inlineStr">
        <is>
          <t>Personal</t>
        </is>
      </c>
      <c r="E3041" s="4" t="inlineStr">
        <is>
          <t>Life Operations</t>
        </is>
      </c>
      <c r="F3041" s="4" t="inlineStr">
        <is>
          <t>Rent</t>
        </is>
      </c>
      <c r="G3041" s="4" t="inlineStr">
        <is>
          <t>Expense</t>
        </is>
      </c>
      <c r="H3041" s="12" t="n">
        <v>45907</v>
      </c>
      <c r="I3041" s="13" t="n">
        <v>0.7730208333333334</v>
      </c>
      <c r="J3041" s="14" t="n">
        <v>45907.77302083333</v>
      </c>
      <c r="K3041" s="15" t="n">
        <v>11839.99</v>
      </c>
      <c r="L3041" s="4" t="inlineStr">
        <is>
          <t>INR</t>
        </is>
      </c>
      <c r="M3041" s="15" t="n">
        <v>-11839.99</v>
      </c>
      <c r="N3041" s="4" t="inlineStr">
        <is>
          <t>IOS Owner</t>
        </is>
      </c>
      <c r="O3041" s="4" t="n"/>
      <c r="P3041" s="4" t="n"/>
      <c r="Q3041" s="4" t="inlineStr">
        <is>
          <t>MAESTRO-IOS-PERSONAL-LIFE_OPERATIONS-3040 | Rent | 11839.99</t>
        </is>
      </c>
      <c r="R3041" s="4" t="inlineStr">
        <is>
          <t>iPhone</t>
        </is>
      </c>
      <c r="S3041" s="4" t="inlineStr">
        <is>
          <t>B61</t>
        </is>
      </c>
      <c r="T3041" s="4" t="inlineStr">
        <is>
          <t>STRESS_3001_3500</t>
        </is>
      </c>
      <c r="U3041" s="4" t="inlineStr">
        <is>
          <t>CREATED</t>
        </is>
      </c>
      <c r="V3041" s="4" t="inlineStr">
        <is>
          <t>idem-20260902-ios-3040</t>
        </is>
      </c>
    </row>
    <row r="3042" ht="30" customHeight="1">
      <c r="A3042" s="4" t="n">
        <v>3041</v>
      </c>
      <c r="B3042" s="4" t="inlineStr">
        <is>
          <t>MTR-IOS-3041</t>
        </is>
      </c>
      <c r="C3042" s="4" t="inlineStr">
        <is>
          <t>Group</t>
        </is>
      </c>
      <c r="D3042" s="4" t="inlineStr">
        <is>
          <t>Shared Purchase</t>
        </is>
      </c>
      <c r="E3042" s="4" t="inlineStr">
        <is>
          <t>Gift Pool</t>
        </is>
      </c>
      <c r="F3042" s="4" t="inlineStr">
        <is>
          <t>Other</t>
        </is>
      </c>
      <c r="G3042" s="4" t="inlineStr">
        <is>
          <t>Expense</t>
        </is>
      </c>
      <c r="H3042" s="12" t="n">
        <v>46074</v>
      </c>
      <c r="I3042" s="13" t="n">
        <v>0.9072337962962963</v>
      </c>
      <c r="J3042" s="14" t="n">
        <v>46074.90723379629</v>
      </c>
      <c r="K3042" s="15" t="n">
        <v>24835.47</v>
      </c>
      <c r="L3042" s="4" t="inlineStr">
        <is>
          <t>INR</t>
        </is>
      </c>
      <c r="M3042" s="15" t="n">
        <v>-24835.47</v>
      </c>
      <c r="N3042" s="4" t="inlineStr">
        <is>
          <t>IOS Meera</t>
        </is>
      </c>
      <c r="O3042" s="4" t="n">
        <v>3</v>
      </c>
      <c r="P3042" s="4" t="inlineStr">
        <is>
          <t>PERCENTAGE</t>
        </is>
      </c>
      <c r="Q3042" s="4" t="inlineStr">
        <is>
          <t>MAESTRO-IOS-GROUP-GIFT_POOL-3041 | Other | 24835.47</t>
        </is>
      </c>
      <c r="R3042" s="4" t="inlineStr">
        <is>
          <t>iPhone</t>
        </is>
      </c>
      <c r="S3042" s="4" t="inlineStr">
        <is>
          <t>B61</t>
        </is>
      </c>
      <c r="T3042" s="4" t="inlineStr">
        <is>
          <t>STRESS_3001_3500</t>
        </is>
      </c>
      <c r="U3042" s="4" t="inlineStr">
        <is>
          <t>CREATED</t>
        </is>
      </c>
      <c r="V3042" s="4" t="inlineStr">
        <is>
          <t>idem-20260902-ios-3041</t>
        </is>
      </c>
    </row>
    <row r="3043" ht="30" customHeight="1">
      <c r="A3043" s="4" t="n">
        <v>3042</v>
      </c>
      <c r="B3043" s="4" t="inlineStr">
        <is>
          <t>MTR-IOS-3042</t>
        </is>
      </c>
      <c r="C3043" s="4" t="inlineStr">
        <is>
          <t>Business</t>
        </is>
      </c>
      <c r="D3043" s="4" t="inlineStr">
        <is>
          <t>Business</t>
        </is>
      </c>
      <c r="E3043" s="4" t="inlineStr">
        <is>
          <t>Team Operations</t>
        </is>
      </c>
      <c r="F3043" s="4" t="inlineStr">
        <is>
          <t>Training</t>
        </is>
      </c>
      <c r="G3043" s="4" t="inlineStr">
        <is>
          <t>Expense</t>
        </is>
      </c>
      <c r="H3043" s="12" t="n">
        <v>46210</v>
      </c>
      <c r="I3043" s="13" t="n">
        <v>0.3656018518518518</v>
      </c>
      <c r="J3043" s="14" t="n">
        <v>46210.36560185185</v>
      </c>
      <c r="K3043" s="15" t="n">
        <v>15230.05</v>
      </c>
      <c r="L3043" s="4" t="inlineStr">
        <is>
          <t>INR</t>
        </is>
      </c>
      <c r="M3043" s="15" t="n">
        <v>-15230.05</v>
      </c>
      <c r="N3043" s="4" t="inlineStr">
        <is>
          <t>IOS Owner</t>
        </is>
      </c>
      <c r="O3043" s="4" t="n"/>
      <c r="P3043" s="4" t="n"/>
      <c r="Q3043" s="4" t="inlineStr">
        <is>
          <t>MAESTRO-IOS-BUSINESS-TEAM_OPERATIONS-3042 | Training | 15230.05</t>
        </is>
      </c>
      <c r="R3043" s="4" t="inlineStr">
        <is>
          <t>iPhone</t>
        </is>
      </c>
      <c r="S3043" s="4" t="inlineStr">
        <is>
          <t>B61</t>
        </is>
      </c>
      <c r="T3043" s="4" t="inlineStr">
        <is>
          <t>STRESS_3001_3500</t>
        </is>
      </c>
      <c r="U3043" s="4" t="inlineStr">
        <is>
          <t>CREATED</t>
        </is>
      </c>
      <c r="V3043" s="4" t="inlineStr">
        <is>
          <t>idem-20260902-ios-3042</t>
        </is>
      </c>
    </row>
    <row r="3044" ht="30" customHeight="1">
      <c r="A3044" s="4" t="n">
        <v>3043</v>
      </c>
      <c r="B3044" s="4" t="inlineStr">
        <is>
          <t>MTR-IOS-3043</t>
        </is>
      </c>
      <c r="C3044" s="4" t="inlineStr">
        <is>
          <t>Personal</t>
        </is>
      </c>
      <c r="D3044" s="4" t="inlineStr">
        <is>
          <t>Personal</t>
        </is>
      </c>
      <c r="E3044" s="4" t="inlineStr">
        <is>
          <t>Life Operations</t>
        </is>
      </c>
      <c r="F3044" s="4" t="inlineStr">
        <is>
          <t>Bills</t>
        </is>
      </c>
      <c r="G3044" s="4" t="inlineStr">
        <is>
          <t>Expense</t>
        </is>
      </c>
      <c r="H3044" s="12" t="n">
        <v>46013</v>
      </c>
      <c r="I3044" s="13" t="n">
        <v>0.1126157407407407</v>
      </c>
      <c r="J3044" s="14" t="n">
        <v>46013.11261574074</v>
      </c>
      <c r="K3044" s="15" t="n">
        <v>9481.309999999999</v>
      </c>
      <c r="L3044" s="4" t="inlineStr">
        <is>
          <t>INR</t>
        </is>
      </c>
      <c r="M3044" s="15" t="n">
        <v>-9481.309999999999</v>
      </c>
      <c r="N3044" s="4" t="inlineStr">
        <is>
          <t>IOS Owner</t>
        </is>
      </c>
      <c r="O3044" s="4" t="n"/>
      <c r="P3044" s="4" t="n"/>
      <c r="Q3044" s="4" t="inlineStr">
        <is>
          <t>MAESTRO-IOS-PERSONAL-LIFE_OPERATIONS-3043 | Bills | 9481.31</t>
        </is>
      </c>
      <c r="R3044" s="4" t="inlineStr">
        <is>
          <t>iPhone</t>
        </is>
      </c>
      <c r="S3044" s="4" t="inlineStr">
        <is>
          <t>B61</t>
        </is>
      </c>
      <c r="T3044" s="4" t="inlineStr">
        <is>
          <t>STRESS_3001_3500</t>
        </is>
      </c>
      <c r="U3044" s="4" t="inlineStr">
        <is>
          <t>CREATED</t>
        </is>
      </c>
      <c r="V3044" s="4" t="inlineStr">
        <is>
          <t>idem-20260902-ios-3043</t>
        </is>
      </c>
    </row>
    <row r="3045" ht="30" customHeight="1">
      <c r="A3045" s="4" t="n">
        <v>3044</v>
      </c>
      <c r="B3045" s="4" t="inlineStr">
        <is>
          <t>MTR-IOS-3044</t>
        </is>
      </c>
      <c r="C3045" s="4" t="inlineStr">
        <is>
          <t>Group</t>
        </is>
      </c>
      <c r="D3045" s="4" t="inlineStr">
        <is>
          <t>Shared Purchase</t>
        </is>
      </c>
      <c r="E3045" s="4" t="inlineStr">
        <is>
          <t>Purchase</t>
        </is>
      </c>
      <c r="F3045" s="4" t="inlineStr">
        <is>
          <t>Item</t>
        </is>
      </c>
      <c r="G3045" s="4" t="inlineStr">
        <is>
          <t>Expense</t>
        </is>
      </c>
      <c r="H3045" s="12" t="n">
        <v>46138</v>
      </c>
      <c r="I3045" s="13" t="n">
        <v>0.6989004629629629</v>
      </c>
      <c r="J3045" s="14" t="n">
        <v>46138.69890046296</v>
      </c>
      <c r="K3045" s="15" t="n">
        <v>20407.15</v>
      </c>
      <c r="L3045" s="4" t="inlineStr">
        <is>
          <t>INR</t>
        </is>
      </c>
      <c r="M3045" s="15" t="n">
        <v>-20407.15</v>
      </c>
      <c r="N3045" s="4" t="inlineStr">
        <is>
          <t>IOS Owner</t>
        </is>
      </c>
      <c r="O3045" s="4" t="n">
        <v>3</v>
      </c>
      <c r="P3045" s="4" t="inlineStr">
        <is>
          <t>EXACT</t>
        </is>
      </c>
      <c r="Q3045" s="4" t="inlineStr">
        <is>
          <t>MAESTRO-IOS-GROUP-PURCHASE-3044 | Item | 20407.15</t>
        </is>
      </c>
      <c r="R3045" s="4" t="inlineStr">
        <is>
          <t>iPhone</t>
        </is>
      </c>
      <c r="S3045" s="4" t="inlineStr">
        <is>
          <t>B61</t>
        </is>
      </c>
      <c r="T3045" s="4" t="inlineStr">
        <is>
          <t>STRESS_3001_3500</t>
        </is>
      </c>
      <c r="U3045" s="4" t="inlineStr">
        <is>
          <t>CREATED</t>
        </is>
      </c>
      <c r="V3045" s="4" t="inlineStr">
        <is>
          <t>idem-20260902-ios-3044</t>
        </is>
      </c>
    </row>
    <row r="3046" ht="30" customHeight="1">
      <c r="A3046" s="4" t="n">
        <v>3045</v>
      </c>
      <c r="B3046" s="4" t="inlineStr">
        <is>
          <t>MTR-IOS-3045</t>
        </is>
      </c>
      <c r="C3046" s="4" t="inlineStr">
        <is>
          <t>Business</t>
        </is>
      </c>
      <c r="D3046" s="4" t="inlineStr">
        <is>
          <t>Business</t>
        </is>
      </c>
      <c r="E3046" s="4" t="inlineStr">
        <is>
          <t>Team Operations</t>
        </is>
      </c>
      <c r="F3046" s="4" t="inlineStr">
        <is>
          <t>Tools</t>
        </is>
      </c>
      <c r="G3046" s="4" t="inlineStr">
        <is>
          <t>Expense</t>
        </is>
      </c>
      <c r="H3046" s="12" t="n">
        <v>46210</v>
      </c>
      <c r="I3046" s="13" t="n">
        <v>0.6752430555555555</v>
      </c>
      <c r="J3046" s="14" t="n">
        <v>46210.67524305556</v>
      </c>
      <c r="K3046" s="15" t="n">
        <v>90822.49000000001</v>
      </c>
      <c r="L3046" s="4" t="inlineStr">
        <is>
          <t>INR</t>
        </is>
      </c>
      <c r="M3046" s="15" t="n">
        <v>-90822.49000000001</v>
      </c>
      <c r="N3046" s="4" t="inlineStr">
        <is>
          <t>IOS Owner</t>
        </is>
      </c>
      <c r="O3046" s="4" t="n"/>
      <c r="P3046" s="4" t="n"/>
      <c r="Q3046" s="4" t="inlineStr">
        <is>
          <t>MAESTRO-IOS-BUSINESS-TEAM_OPERATIONS-3045 | Tools | 90822.49</t>
        </is>
      </c>
      <c r="R3046" s="4" t="inlineStr">
        <is>
          <t>iPhone</t>
        </is>
      </c>
      <c r="S3046" s="4" t="inlineStr">
        <is>
          <t>B61</t>
        </is>
      </c>
      <c r="T3046" s="4" t="inlineStr">
        <is>
          <t>STRESS_3001_3500</t>
        </is>
      </c>
      <c r="U3046" s="4" t="inlineStr">
        <is>
          <t>CREATED</t>
        </is>
      </c>
      <c r="V3046" s="4" t="inlineStr">
        <is>
          <t>idem-20260902-ios-3045</t>
        </is>
      </c>
    </row>
    <row r="3047" ht="30" customHeight="1">
      <c r="A3047" s="4" t="n">
        <v>3046</v>
      </c>
      <c r="B3047" s="4" t="inlineStr">
        <is>
          <t>MTR-IOS-3046</t>
        </is>
      </c>
      <c r="C3047" s="4" t="inlineStr">
        <is>
          <t>Personal</t>
        </is>
      </c>
      <c r="D3047" s="4" t="inlineStr">
        <is>
          <t>Personal</t>
        </is>
      </c>
      <c r="E3047" s="4" t="inlineStr">
        <is>
          <t>Life Operations</t>
        </is>
      </c>
      <c r="F3047" s="4" t="inlineStr">
        <is>
          <t>Transport</t>
        </is>
      </c>
      <c r="G3047" s="4" t="inlineStr">
        <is>
          <t>Expense</t>
        </is>
      </c>
      <c r="H3047" s="12" t="n">
        <v>46087</v>
      </c>
      <c r="I3047" s="13" t="n">
        <v>0.9977893518518518</v>
      </c>
      <c r="J3047" s="14" t="n">
        <v>46087.99778935185</v>
      </c>
      <c r="K3047" s="15" t="n">
        <v>7209.02</v>
      </c>
      <c r="L3047" s="4" t="inlineStr">
        <is>
          <t>INR</t>
        </is>
      </c>
      <c r="M3047" s="15" t="n">
        <v>-7209.02</v>
      </c>
      <c r="N3047" s="4" t="inlineStr">
        <is>
          <t>IOS Owner</t>
        </is>
      </c>
      <c r="O3047" s="4" t="n"/>
      <c r="P3047" s="4" t="n"/>
      <c r="Q3047" s="4" t="inlineStr">
        <is>
          <t>MAESTRO-IOS-PERSONAL-LIFE_OPERATIONS-3046 | Transport | 7209.02</t>
        </is>
      </c>
      <c r="R3047" s="4" t="inlineStr">
        <is>
          <t>iPhone</t>
        </is>
      </c>
      <c r="S3047" s="4" t="inlineStr">
        <is>
          <t>B61</t>
        </is>
      </c>
      <c r="T3047" s="4" t="inlineStr">
        <is>
          <t>STRESS_3001_3500</t>
        </is>
      </c>
      <c r="U3047" s="4" t="inlineStr">
        <is>
          <t>CREATED</t>
        </is>
      </c>
      <c r="V3047" s="4" t="inlineStr">
        <is>
          <t>idem-20260902-ios-3046</t>
        </is>
      </c>
    </row>
    <row r="3048" ht="30" customHeight="1">
      <c r="A3048" s="4" t="n">
        <v>3047</v>
      </c>
      <c r="B3048" s="4" t="inlineStr">
        <is>
          <t>MTR-IOS-3047</t>
        </is>
      </c>
      <c r="C3048" s="4" t="inlineStr">
        <is>
          <t>Group</t>
        </is>
      </c>
      <c r="D3048" s="4" t="inlineStr">
        <is>
          <t>Shared Purchase</t>
        </is>
      </c>
      <c r="E3048" s="4" t="inlineStr">
        <is>
          <t>Purchase</t>
        </is>
      </c>
      <c r="F3048" s="4" t="inlineStr">
        <is>
          <t>Shipping</t>
        </is>
      </c>
      <c r="G3048" s="4" t="inlineStr">
        <is>
          <t>Expense</t>
        </is>
      </c>
      <c r="H3048" s="12" t="n">
        <v>46243</v>
      </c>
      <c r="I3048" s="13" t="n">
        <v>0.3325231481481482</v>
      </c>
      <c r="J3048" s="14" t="n">
        <v>46243.33252314815</v>
      </c>
      <c r="K3048" s="15" t="n">
        <v>9106.280000000001</v>
      </c>
      <c r="L3048" s="4" t="inlineStr">
        <is>
          <t>INR</t>
        </is>
      </c>
      <c r="M3048" s="15" t="n">
        <v>-9106.280000000001</v>
      </c>
      <c r="N3048" s="4" t="inlineStr">
        <is>
          <t>IOS Aarav</t>
        </is>
      </c>
      <c r="O3048" s="4" t="n">
        <v>3</v>
      </c>
      <c r="P3048" s="4" t="inlineStr">
        <is>
          <t>SHARES</t>
        </is>
      </c>
      <c r="Q3048" s="4" t="inlineStr">
        <is>
          <t>MAESTRO-IOS-GROUP-PURCHASE-3047 | Shipping | 9106.28</t>
        </is>
      </c>
      <c r="R3048" s="4" t="inlineStr">
        <is>
          <t>iPhone</t>
        </is>
      </c>
      <c r="S3048" s="4" t="inlineStr">
        <is>
          <t>B61</t>
        </is>
      </c>
      <c r="T3048" s="4" t="inlineStr">
        <is>
          <t>STRESS_3001_3500</t>
        </is>
      </c>
      <c r="U3048" s="4" t="inlineStr">
        <is>
          <t>CREATED</t>
        </is>
      </c>
      <c r="V3048" s="4" t="inlineStr">
        <is>
          <t>idem-20260902-ios-3047</t>
        </is>
      </c>
    </row>
    <row r="3049" ht="30" customHeight="1">
      <c r="A3049" s="4" t="n">
        <v>3048</v>
      </c>
      <c r="B3049" s="4" t="inlineStr">
        <is>
          <t>MTR-IOS-3048</t>
        </is>
      </c>
      <c r="C3049" s="4" t="inlineStr">
        <is>
          <t>Business</t>
        </is>
      </c>
      <c r="D3049" s="4" t="inlineStr">
        <is>
          <t>Business</t>
        </is>
      </c>
      <c r="E3049" s="4" t="inlineStr">
        <is>
          <t>Business Runway</t>
        </is>
      </c>
      <c r="F3049" s="4" t="inlineStr">
        <is>
          <t>Funding</t>
        </is>
      </c>
      <c r="G3049" s="4" t="inlineStr">
        <is>
          <t>Income</t>
        </is>
      </c>
      <c r="H3049" s="12" t="n">
        <v>46165</v>
      </c>
      <c r="I3049" s="13" t="n">
        <v>0.8273495370370371</v>
      </c>
      <c r="J3049" s="14" t="n">
        <v>46165.82734953704</v>
      </c>
      <c r="K3049" s="15" t="n">
        <v>32799.01</v>
      </c>
      <c r="L3049" s="4" t="inlineStr">
        <is>
          <t>INR</t>
        </is>
      </c>
      <c r="M3049" s="15" t="n">
        <v>32799.01</v>
      </c>
      <c r="N3049" s="4" t="inlineStr">
        <is>
          <t>IOS Owner</t>
        </is>
      </c>
      <c r="O3049" s="4" t="n"/>
      <c r="P3049" s="4" t="n"/>
      <c r="Q3049" s="4" t="inlineStr">
        <is>
          <t>MAESTRO-IOS-BUSINESS-BUSINESS_RUNWAY-3048 | Funding | 32799.01</t>
        </is>
      </c>
      <c r="R3049" s="4" t="inlineStr">
        <is>
          <t>iPhone</t>
        </is>
      </c>
      <c r="S3049" s="4" t="inlineStr">
        <is>
          <t>B61</t>
        </is>
      </c>
      <c r="T3049" s="4" t="inlineStr">
        <is>
          <t>STRESS_3001_3500</t>
        </is>
      </c>
      <c r="U3049" s="4" t="inlineStr">
        <is>
          <t>CREATED</t>
        </is>
      </c>
      <c r="V3049" s="4" t="inlineStr">
        <is>
          <t>idem-20260902-ios-3048</t>
        </is>
      </c>
    </row>
    <row r="3050" ht="30" customHeight="1">
      <c r="A3050" s="4" t="n">
        <v>3049</v>
      </c>
      <c r="B3050" s="4" t="inlineStr">
        <is>
          <t>MTR-IOS-3049</t>
        </is>
      </c>
      <c r="C3050" s="4" t="inlineStr">
        <is>
          <t>Personal</t>
        </is>
      </c>
      <c r="D3050" s="4" t="inlineStr">
        <is>
          <t>Personal</t>
        </is>
      </c>
      <c r="E3050" s="4" t="inlineStr">
        <is>
          <t>Life Operations</t>
        </is>
      </c>
      <c r="F3050" s="4" t="inlineStr">
        <is>
          <t>Healthcare</t>
        </is>
      </c>
      <c r="G3050" s="4" t="inlineStr">
        <is>
          <t>Expense</t>
        </is>
      </c>
      <c r="H3050" s="12" t="n">
        <v>45931</v>
      </c>
      <c r="I3050" s="13" t="n">
        <v>0.8548958333333333</v>
      </c>
      <c r="J3050" s="14" t="n">
        <v>45931.85489583333</v>
      </c>
      <c r="K3050" s="15" t="n">
        <v>13607.44</v>
      </c>
      <c r="L3050" s="4" t="inlineStr">
        <is>
          <t>INR</t>
        </is>
      </c>
      <c r="M3050" s="15" t="n">
        <v>-13607.44</v>
      </c>
      <c r="N3050" s="4" t="inlineStr">
        <is>
          <t>IOS Owner</t>
        </is>
      </c>
      <c r="O3050" s="4" t="n"/>
      <c r="P3050" s="4" t="n"/>
      <c r="Q3050" s="4" t="inlineStr">
        <is>
          <t>MAESTRO-IOS-PERSONAL-LIFE_OPERATIONS-3049 | Healthcare | 13607.44</t>
        </is>
      </c>
      <c r="R3050" s="4" t="inlineStr">
        <is>
          <t>iPhone</t>
        </is>
      </c>
      <c r="S3050" s="4" t="inlineStr">
        <is>
          <t>B61</t>
        </is>
      </c>
      <c r="T3050" s="4" t="inlineStr">
        <is>
          <t>STRESS_3001_3500</t>
        </is>
      </c>
      <c r="U3050" s="4" t="inlineStr">
        <is>
          <t>CREATED</t>
        </is>
      </c>
      <c r="V3050" s="4" t="inlineStr">
        <is>
          <t>idem-20260902-ios-3049</t>
        </is>
      </c>
    </row>
    <row r="3051" ht="30" customHeight="1">
      <c r="A3051" s="4" t="n">
        <v>3050</v>
      </c>
      <c r="B3051" s="4" t="inlineStr">
        <is>
          <t>MTR-IOS-3050</t>
        </is>
      </c>
      <c r="C3051" s="4" t="inlineStr">
        <is>
          <t>Group</t>
        </is>
      </c>
      <c r="D3051" s="4" t="inlineStr">
        <is>
          <t>Shared Purchase</t>
        </is>
      </c>
      <c r="E3051" s="4" t="inlineStr">
        <is>
          <t>Purchase</t>
        </is>
      </c>
      <c r="F3051" s="4" t="inlineStr">
        <is>
          <t>Tax</t>
        </is>
      </c>
      <c r="G3051" s="4" t="inlineStr">
        <is>
          <t>Expense</t>
        </is>
      </c>
      <c r="H3051" s="12" t="n">
        <v>46146</v>
      </c>
      <c r="I3051" s="13" t="n">
        <v>0.7243171296296296</v>
      </c>
      <c r="J3051" s="14" t="n">
        <v>46146.72431712963</v>
      </c>
      <c r="K3051" s="15" t="n">
        <v>13057.16</v>
      </c>
      <c r="L3051" s="4" t="inlineStr">
        <is>
          <t>INR</t>
        </is>
      </c>
      <c r="M3051" s="15" t="n">
        <v>-13057.16</v>
      </c>
      <c r="N3051" s="4" t="inlineStr">
        <is>
          <t>IOS Meera</t>
        </is>
      </c>
      <c r="O3051" s="4" t="n">
        <v>3</v>
      </c>
      <c r="P3051" s="4" t="inlineStr">
        <is>
          <t>EQUAL</t>
        </is>
      </c>
      <c r="Q3051" s="4" t="inlineStr">
        <is>
          <t>MAESTRO-IOS-GROUP-PURCHASE-3050 | Tax | 13057.16</t>
        </is>
      </c>
      <c r="R3051" s="4" t="inlineStr">
        <is>
          <t>iPhone</t>
        </is>
      </c>
      <c r="S3051" s="4" t="inlineStr">
        <is>
          <t>B61</t>
        </is>
      </c>
      <c r="T3051" s="4" t="inlineStr">
        <is>
          <t>STRESS_3001_3500</t>
        </is>
      </c>
      <c r="U3051" s="4" t="inlineStr">
        <is>
          <t>CREATED</t>
        </is>
      </c>
      <c r="V3051" s="4" t="inlineStr">
        <is>
          <t>idem-20260902-ios-3050</t>
        </is>
      </c>
    </row>
    <row r="3052" ht="30" customHeight="1">
      <c r="A3052" s="4" t="n">
        <v>3051</v>
      </c>
      <c r="B3052" s="4" t="inlineStr">
        <is>
          <t>MTR-IOS-3051</t>
        </is>
      </c>
      <c r="C3052" s="4" t="inlineStr">
        <is>
          <t>Business</t>
        </is>
      </c>
      <c r="D3052" s="4" t="inlineStr">
        <is>
          <t>Business</t>
        </is>
      </c>
      <c r="E3052" s="4" t="inlineStr">
        <is>
          <t>Business Runway</t>
        </is>
      </c>
      <c r="F3052" s="4" t="inlineStr">
        <is>
          <t>Revenue</t>
        </is>
      </c>
      <c r="G3052" s="4" t="inlineStr">
        <is>
          <t>Income</t>
        </is>
      </c>
      <c r="H3052" s="12" t="n">
        <v>46244</v>
      </c>
      <c r="I3052" s="13" t="n">
        <v>0.1271412037037037</v>
      </c>
      <c r="J3052" s="14" t="n">
        <v>46244.1271412037</v>
      </c>
      <c r="K3052" s="15" t="n">
        <v>109569.48</v>
      </c>
      <c r="L3052" s="4" t="inlineStr">
        <is>
          <t>INR</t>
        </is>
      </c>
      <c r="M3052" s="15" t="n">
        <v>109569.48</v>
      </c>
      <c r="N3052" s="4" t="inlineStr">
        <is>
          <t>IOS Owner</t>
        </is>
      </c>
      <c r="O3052" s="4" t="n"/>
      <c r="P3052" s="4" t="n"/>
      <c r="Q3052" s="4" t="inlineStr">
        <is>
          <t>MAESTRO-IOS-BUSINESS-BUSINESS_RUNWAY-3051 | Revenue | 109569.48</t>
        </is>
      </c>
      <c r="R3052" s="4" t="inlineStr">
        <is>
          <t>iPhone</t>
        </is>
      </c>
      <c r="S3052" s="4" t="inlineStr">
        <is>
          <t>B62</t>
        </is>
      </c>
      <c r="T3052" s="4" t="inlineStr">
        <is>
          <t>STRESS_3001_3500</t>
        </is>
      </c>
      <c r="U3052" s="4" t="inlineStr">
        <is>
          <t>CREATED</t>
        </is>
      </c>
      <c r="V3052" s="4" t="inlineStr">
        <is>
          <t>idem-20260902-ios-3051</t>
        </is>
      </c>
    </row>
    <row r="3053" ht="30" customHeight="1">
      <c r="A3053" s="4" t="n">
        <v>3052</v>
      </c>
      <c r="B3053" s="4" t="inlineStr">
        <is>
          <t>MTR-IOS-3052</t>
        </is>
      </c>
      <c r="C3053" s="4" t="inlineStr">
        <is>
          <t>Personal</t>
        </is>
      </c>
      <c r="D3053" s="4" t="inlineStr">
        <is>
          <t>Personal</t>
        </is>
      </c>
      <c r="E3053" s="4" t="inlineStr">
        <is>
          <t>Life Operations</t>
        </is>
      </c>
      <c r="F3053" s="4" t="inlineStr">
        <is>
          <t>Subscriptions</t>
        </is>
      </c>
      <c r="G3053" s="4" t="inlineStr">
        <is>
          <t>Expense</t>
        </is>
      </c>
      <c r="H3053" s="12" t="n">
        <v>46007</v>
      </c>
      <c r="I3053" s="13" t="n">
        <v>0.627824074074074</v>
      </c>
      <c r="J3053" s="14" t="n">
        <v>46007.62782407407</v>
      </c>
      <c r="K3053" s="15" t="n">
        <v>2266.64</v>
      </c>
      <c r="L3053" s="4" t="inlineStr">
        <is>
          <t>INR</t>
        </is>
      </c>
      <c r="M3053" s="15" t="n">
        <v>-2266.64</v>
      </c>
      <c r="N3053" s="4" t="inlineStr">
        <is>
          <t>IOS Owner</t>
        </is>
      </c>
      <c r="O3053" s="4" t="n"/>
      <c r="P3053" s="4" t="n"/>
      <c r="Q3053" s="4" t="inlineStr">
        <is>
          <t>MAESTRO-IOS-PERSONAL-LIFE_OPERATIONS-3052 | Subscriptions | 2266.64</t>
        </is>
      </c>
      <c r="R3053" s="4" t="inlineStr">
        <is>
          <t>iPhone</t>
        </is>
      </c>
      <c r="S3053" s="4" t="inlineStr">
        <is>
          <t>B62</t>
        </is>
      </c>
      <c r="T3053" s="4" t="inlineStr">
        <is>
          <t>STRESS_3001_3500</t>
        </is>
      </c>
      <c r="U3053" s="4" t="inlineStr">
        <is>
          <t>CREATED</t>
        </is>
      </c>
      <c r="V3053" s="4" t="inlineStr">
        <is>
          <t>idem-20260902-ios-3052</t>
        </is>
      </c>
    </row>
    <row r="3054" ht="30" customHeight="1">
      <c r="A3054" s="4" t="n">
        <v>3053</v>
      </c>
      <c r="B3054" s="4" t="inlineStr">
        <is>
          <t>MTR-IOS-3053</t>
        </is>
      </c>
      <c r="C3054" s="4" t="inlineStr">
        <is>
          <t>Group</t>
        </is>
      </c>
      <c r="D3054" s="4" t="inlineStr">
        <is>
          <t>Shared Purchase</t>
        </is>
      </c>
      <c r="E3054" s="4" t="inlineStr">
        <is>
          <t>Purchase</t>
        </is>
      </c>
      <c r="F3054" s="4" t="inlineStr">
        <is>
          <t>Other</t>
        </is>
      </c>
      <c r="G3054" s="4" t="inlineStr">
        <is>
          <t>Expense</t>
        </is>
      </c>
      <c r="H3054" s="12" t="n">
        <v>45942</v>
      </c>
      <c r="I3054" s="13" t="n">
        <v>0.0312037037037037</v>
      </c>
      <c r="J3054" s="14" t="n">
        <v>45942.0312037037</v>
      </c>
      <c r="K3054" s="15" t="n">
        <v>5555.98</v>
      </c>
      <c r="L3054" s="4" t="inlineStr">
        <is>
          <t>INR</t>
        </is>
      </c>
      <c r="M3054" s="15" t="n">
        <v>-5555.98</v>
      </c>
      <c r="N3054" s="4" t="inlineStr">
        <is>
          <t>IOS Owner</t>
        </is>
      </c>
      <c r="O3054" s="4" t="n">
        <v>3</v>
      </c>
      <c r="P3054" s="4" t="inlineStr">
        <is>
          <t>PERCENTAGE</t>
        </is>
      </c>
      <c r="Q3054" s="4" t="inlineStr">
        <is>
          <t>MAESTRO-IOS-GROUP-PURCHASE-3053 | Other | 5555.98</t>
        </is>
      </c>
      <c r="R3054" s="4" t="inlineStr">
        <is>
          <t>iPhone</t>
        </is>
      </c>
      <c r="S3054" s="4" t="inlineStr">
        <is>
          <t>B62</t>
        </is>
      </c>
      <c r="T3054" s="4" t="inlineStr">
        <is>
          <t>STRESS_3001_3500</t>
        </is>
      </c>
      <c r="U3054" s="4" t="inlineStr">
        <is>
          <t>CREATED</t>
        </is>
      </c>
      <c r="V3054" s="4" t="inlineStr">
        <is>
          <t>idem-20260902-ios-3053</t>
        </is>
      </c>
    </row>
    <row r="3055" ht="30" customHeight="1">
      <c r="A3055" s="4" t="n">
        <v>3054</v>
      </c>
      <c r="B3055" s="4" t="inlineStr">
        <is>
          <t>MTR-IOS-3054</t>
        </is>
      </c>
      <c r="C3055" s="4" t="inlineStr">
        <is>
          <t>Business</t>
        </is>
      </c>
      <c r="D3055" s="4" t="inlineStr">
        <is>
          <t>Business</t>
        </is>
      </c>
      <c r="E3055" s="4" t="inlineStr">
        <is>
          <t>Business Runway</t>
        </is>
      </c>
      <c r="F3055" s="4" t="inlineStr">
        <is>
          <t>Burn</t>
        </is>
      </c>
      <c r="G3055" s="4" t="inlineStr">
        <is>
          <t>Expense</t>
        </is>
      </c>
      <c r="H3055" s="12" t="n">
        <v>45959</v>
      </c>
      <c r="I3055" s="13" t="n">
        <v>0.3989004629629629</v>
      </c>
      <c r="J3055" s="14" t="n">
        <v>45959.39890046296</v>
      </c>
      <c r="K3055" s="15" t="n">
        <v>152796.17</v>
      </c>
      <c r="L3055" s="4" t="inlineStr">
        <is>
          <t>INR</t>
        </is>
      </c>
      <c r="M3055" s="15" t="n">
        <v>-152796.17</v>
      </c>
      <c r="N3055" s="4" t="inlineStr">
        <is>
          <t>IOS Owner</t>
        </is>
      </c>
      <c r="O3055" s="4" t="n"/>
      <c r="P3055" s="4" t="n"/>
      <c r="Q3055" s="4" t="inlineStr">
        <is>
          <t>MAESTRO-IOS-BUSINESS-BUSINESS_RUNWAY-3054 | Burn | 152796.17</t>
        </is>
      </c>
      <c r="R3055" s="4" t="inlineStr">
        <is>
          <t>iPhone</t>
        </is>
      </c>
      <c r="S3055" s="4" t="inlineStr">
        <is>
          <t>B62</t>
        </is>
      </c>
      <c r="T3055" s="4" t="inlineStr">
        <is>
          <t>STRESS_3001_3500</t>
        </is>
      </c>
      <c r="U3055" s="4" t="inlineStr">
        <is>
          <t>CREATED</t>
        </is>
      </c>
      <c r="V3055" s="4" t="inlineStr">
        <is>
          <t>idem-20260902-ios-3054</t>
        </is>
      </c>
    </row>
    <row r="3056" ht="30" customHeight="1">
      <c r="A3056" s="4" t="n">
        <v>3055</v>
      </c>
      <c r="B3056" s="4" t="inlineStr">
        <is>
          <t>MTR-IOS-3055</t>
        </is>
      </c>
      <c r="C3056" s="4" t="inlineStr">
        <is>
          <t>Personal</t>
        </is>
      </c>
      <c r="D3056" s="4" t="inlineStr">
        <is>
          <t>Personal</t>
        </is>
      </c>
      <c r="E3056" s="4" t="inlineStr">
        <is>
          <t>Life Operations</t>
        </is>
      </c>
      <c r="F3056" s="4" t="inlineStr">
        <is>
          <t>Repairs</t>
        </is>
      </c>
      <c r="G3056" s="4" t="inlineStr">
        <is>
          <t>Expense</t>
        </is>
      </c>
      <c r="H3056" s="12" t="n">
        <v>45956</v>
      </c>
      <c r="I3056" s="13" t="n">
        <v>0.2666550925925926</v>
      </c>
      <c r="J3056" s="14" t="n">
        <v>45956.26665509259</v>
      </c>
      <c r="K3056" s="15" t="n">
        <v>11009.36</v>
      </c>
      <c r="L3056" s="4" t="inlineStr">
        <is>
          <t>INR</t>
        </is>
      </c>
      <c r="M3056" s="15" t="n">
        <v>-11009.36</v>
      </c>
      <c r="N3056" s="4" t="inlineStr">
        <is>
          <t>IOS Owner</t>
        </is>
      </c>
      <c r="O3056" s="4" t="n"/>
      <c r="P3056" s="4" t="n"/>
      <c r="Q3056" s="4" t="inlineStr">
        <is>
          <t>MAESTRO-IOS-PERSONAL-LIFE_OPERATIONS-3055 | Repairs | 11009.36</t>
        </is>
      </c>
      <c r="R3056" s="4" t="inlineStr">
        <is>
          <t>iPhone</t>
        </is>
      </c>
      <c r="S3056" s="4" t="inlineStr">
        <is>
          <t>B62</t>
        </is>
      </c>
      <c r="T3056" s="4" t="inlineStr">
        <is>
          <t>STRESS_3001_3500</t>
        </is>
      </c>
      <c r="U3056" s="4" t="inlineStr">
        <is>
          <t>CREATED</t>
        </is>
      </c>
      <c r="V3056" s="4" t="inlineStr">
        <is>
          <t>idem-20260902-ios-3055</t>
        </is>
      </c>
    </row>
    <row r="3057" ht="30" customHeight="1">
      <c r="A3057" s="4" t="n">
        <v>3056</v>
      </c>
      <c r="B3057" s="4" t="inlineStr">
        <is>
          <t>MTR-IOS-3056</t>
        </is>
      </c>
      <c r="C3057" s="4" t="inlineStr">
        <is>
          <t>Group</t>
        </is>
      </c>
      <c r="D3057" s="4" t="inlineStr">
        <is>
          <t>Shared Purchase</t>
        </is>
      </c>
      <c r="E3057" s="4" t="inlineStr">
        <is>
          <t>Assets</t>
        </is>
      </c>
      <c r="F3057" s="4" t="inlineStr">
        <is>
          <t>Purchase</t>
        </is>
      </c>
      <c r="G3057" s="4" t="inlineStr">
        <is>
          <t>Expense</t>
        </is>
      </c>
      <c r="H3057" s="12" t="n">
        <v>46157</v>
      </c>
      <c r="I3057" s="13" t="n">
        <v>0.4320486111111111</v>
      </c>
      <c r="J3057" s="14" t="n">
        <v>46157.43204861111</v>
      </c>
      <c r="K3057" s="15" t="n">
        <v>594.76</v>
      </c>
      <c r="L3057" s="4" t="inlineStr">
        <is>
          <t>INR</t>
        </is>
      </c>
      <c r="M3057" s="15" t="n">
        <v>-594.76</v>
      </c>
      <c r="N3057" s="4" t="inlineStr">
        <is>
          <t>IOS Aarav</t>
        </is>
      </c>
      <c r="O3057" s="4" t="n">
        <v>3</v>
      </c>
      <c r="P3057" s="4" t="inlineStr">
        <is>
          <t>EXACT</t>
        </is>
      </c>
      <c r="Q3057" s="4" t="inlineStr">
        <is>
          <t>MAESTRO-IOS-GROUP-ASSETS-3056 | Purchase | 594.76</t>
        </is>
      </c>
      <c r="R3057" s="4" t="inlineStr">
        <is>
          <t>iPhone</t>
        </is>
      </c>
      <c r="S3057" s="4" t="inlineStr">
        <is>
          <t>B62</t>
        </is>
      </c>
      <c r="T3057" s="4" t="inlineStr">
        <is>
          <t>STRESS_3001_3500</t>
        </is>
      </c>
      <c r="U3057" s="4" t="inlineStr">
        <is>
          <t>CREATED</t>
        </is>
      </c>
      <c r="V3057" s="4" t="inlineStr">
        <is>
          <t>idem-20260902-ios-3056</t>
        </is>
      </c>
    </row>
    <row r="3058" ht="30" customHeight="1">
      <c r="A3058" s="4" t="n">
        <v>3057</v>
      </c>
      <c r="B3058" s="4" t="inlineStr">
        <is>
          <t>MTR-IOS-3057</t>
        </is>
      </c>
      <c r="C3058" s="4" t="inlineStr">
        <is>
          <t>Business</t>
        </is>
      </c>
      <c r="D3058" s="4" t="inlineStr">
        <is>
          <t>Business</t>
        </is>
      </c>
      <c r="E3058" s="4" t="inlineStr">
        <is>
          <t>Business Runway</t>
        </is>
      </c>
      <c r="F3058" s="4" t="inlineStr">
        <is>
          <t>Reserve</t>
        </is>
      </c>
      <c r="G3058" s="4" t="inlineStr">
        <is>
          <t>Transfer</t>
        </is>
      </c>
      <c r="H3058" s="12" t="n">
        <v>46113</v>
      </c>
      <c r="I3058" s="13" t="n">
        <v>0.2493055555555556</v>
      </c>
      <c r="J3058" s="14" t="n">
        <v>46113.24930555555</v>
      </c>
      <c r="K3058" s="15" t="n">
        <v>121790.71</v>
      </c>
      <c r="L3058" s="4" t="inlineStr">
        <is>
          <t>INR</t>
        </is>
      </c>
      <c r="M3058" s="15" t="n">
        <v>0</v>
      </c>
      <c r="N3058" s="4" t="inlineStr">
        <is>
          <t>IOS Owner</t>
        </is>
      </c>
      <c r="O3058" s="4" t="n"/>
      <c r="P3058" s="4" t="n"/>
      <c r="Q3058" s="4" t="inlineStr">
        <is>
          <t>MAESTRO-IOS-BUSINESS-BUSINESS_RUNWAY-3057 | Reserve | 121790.71</t>
        </is>
      </c>
      <c r="R3058" s="4" t="inlineStr">
        <is>
          <t>iPhone</t>
        </is>
      </c>
      <c r="S3058" s="4" t="inlineStr">
        <is>
          <t>B62</t>
        </is>
      </c>
      <c r="T3058" s="4" t="inlineStr">
        <is>
          <t>STRESS_3001_3500</t>
        </is>
      </c>
      <c r="U3058" s="4" t="inlineStr">
        <is>
          <t>CREATED</t>
        </is>
      </c>
      <c r="V3058" s="4" t="inlineStr">
        <is>
          <t>idem-20260902-ios-3057</t>
        </is>
      </c>
    </row>
    <row r="3059" ht="30" customHeight="1">
      <c r="A3059" s="4" t="n">
        <v>3058</v>
      </c>
      <c r="B3059" s="4" t="inlineStr">
        <is>
          <t>MTR-IOS-3058</t>
        </is>
      </c>
      <c r="C3059" s="4" t="inlineStr">
        <is>
          <t>Personal</t>
        </is>
      </c>
      <c r="D3059" s="4" t="inlineStr">
        <is>
          <t>Personal</t>
        </is>
      </c>
      <c r="E3059" s="4" t="inlineStr">
        <is>
          <t>Future Building</t>
        </is>
      </c>
      <c r="F3059" s="4" t="inlineStr">
        <is>
          <t>Savings</t>
        </is>
      </c>
      <c r="G3059" s="4" t="inlineStr">
        <is>
          <t>Transfer</t>
        </is>
      </c>
      <c r="H3059" s="12" t="n">
        <v>46215</v>
      </c>
      <c r="I3059" s="13" t="n">
        <v>0.4759027777777778</v>
      </c>
      <c r="J3059" s="14" t="n">
        <v>46215.47590277778</v>
      </c>
      <c r="K3059" s="15" t="n">
        <v>4815.93</v>
      </c>
      <c r="L3059" s="4" t="inlineStr">
        <is>
          <t>INR</t>
        </is>
      </c>
      <c r="M3059" s="15" t="n">
        <v>0</v>
      </c>
      <c r="N3059" s="4" t="inlineStr">
        <is>
          <t>IOS Owner</t>
        </is>
      </c>
      <c r="O3059" s="4" t="n"/>
      <c r="P3059" s="4" t="n"/>
      <c r="Q3059" s="4" t="inlineStr">
        <is>
          <t>MAESTRO-IOS-PERSONAL-FUTURE_BUILDING-3058 | Savings | 4815.93</t>
        </is>
      </c>
      <c r="R3059" s="4" t="inlineStr">
        <is>
          <t>iPhone</t>
        </is>
      </c>
      <c r="S3059" s="4" t="inlineStr">
        <is>
          <t>B62</t>
        </is>
      </c>
      <c r="T3059" s="4" t="inlineStr">
        <is>
          <t>STRESS_3001_3500</t>
        </is>
      </c>
      <c r="U3059" s="4" t="inlineStr">
        <is>
          <t>CREATED</t>
        </is>
      </c>
      <c r="V3059" s="4" t="inlineStr">
        <is>
          <t>idem-20260902-ios-3058</t>
        </is>
      </c>
    </row>
    <row r="3060" ht="30" customHeight="1">
      <c r="A3060" s="4" t="n">
        <v>3059</v>
      </c>
      <c r="B3060" s="4" t="inlineStr">
        <is>
          <t>MTR-IOS-3059</t>
        </is>
      </c>
      <c r="C3060" s="4" t="inlineStr">
        <is>
          <t>Group</t>
        </is>
      </c>
      <c r="D3060" s="4" t="inlineStr">
        <is>
          <t>Shared Purchase</t>
        </is>
      </c>
      <c r="E3060" s="4" t="inlineStr">
        <is>
          <t>Assets</t>
        </is>
      </c>
      <c r="F3060" s="4" t="inlineStr">
        <is>
          <t>Maintenance</t>
        </is>
      </c>
      <c r="G3060" s="4" t="inlineStr">
        <is>
          <t>Expense</t>
        </is>
      </c>
      <c r="H3060" s="12" t="n">
        <v>46177</v>
      </c>
      <c r="I3060" s="13" t="n">
        <v>0.9495833333333333</v>
      </c>
      <c r="J3060" s="14" t="n">
        <v>46177.94958333333</v>
      </c>
      <c r="K3060" s="15" t="n">
        <v>17963.47</v>
      </c>
      <c r="L3060" s="4" t="inlineStr">
        <is>
          <t>INR</t>
        </is>
      </c>
      <c r="M3060" s="15" t="n">
        <v>-17963.47</v>
      </c>
      <c r="N3060" s="4" t="inlineStr">
        <is>
          <t>IOS Meera</t>
        </is>
      </c>
      <c r="O3060" s="4" t="n">
        <v>3</v>
      </c>
      <c r="P3060" s="4" t="inlineStr">
        <is>
          <t>SHARES</t>
        </is>
      </c>
      <c r="Q3060" s="4" t="inlineStr">
        <is>
          <t>MAESTRO-IOS-GROUP-ASSETS-3059 | Maintenance | 17963.47</t>
        </is>
      </c>
      <c r="R3060" s="4" t="inlineStr">
        <is>
          <t>iPhone</t>
        </is>
      </c>
      <c r="S3060" s="4" t="inlineStr">
        <is>
          <t>B62</t>
        </is>
      </c>
      <c r="T3060" s="4" t="inlineStr">
        <is>
          <t>STRESS_3001_3500</t>
        </is>
      </c>
      <c r="U3060" s="4" t="inlineStr">
        <is>
          <t>CREATED</t>
        </is>
      </c>
      <c r="V3060" s="4" t="inlineStr">
        <is>
          <t>idem-20260902-ios-3059</t>
        </is>
      </c>
    </row>
    <row r="3061" ht="30" customHeight="1">
      <c r="A3061" s="4" t="n">
        <v>3060</v>
      </c>
      <c r="B3061" s="4" t="inlineStr">
        <is>
          <t>MTR-IOS-3060</t>
        </is>
      </c>
      <c r="C3061" s="4" t="inlineStr">
        <is>
          <t>Business</t>
        </is>
      </c>
      <c r="D3061" s="4" t="inlineStr">
        <is>
          <t>Business</t>
        </is>
      </c>
      <c r="E3061" s="4" t="inlineStr">
        <is>
          <t>Business Runway</t>
        </is>
      </c>
      <c r="F3061" s="4" t="inlineStr">
        <is>
          <t>Loan</t>
        </is>
      </c>
      <c r="G3061" s="4" t="inlineStr">
        <is>
          <t>Income</t>
        </is>
      </c>
      <c r="H3061" s="12" t="n">
        <v>45977</v>
      </c>
      <c r="I3061" s="13" t="n">
        <v>0.914224537037037</v>
      </c>
      <c r="J3061" s="14" t="n">
        <v>45977.91422453704</v>
      </c>
      <c r="K3061" s="15" t="n">
        <v>95390.77</v>
      </c>
      <c r="L3061" s="4" t="inlineStr">
        <is>
          <t>INR</t>
        </is>
      </c>
      <c r="M3061" s="15" t="n">
        <v>95390.77</v>
      </c>
      <c r="N3061" s="4" t="inlineStr">
        <is>
          <t>IOS Owner</t>
        </is>
      </c>
      <c r="O3061" s="4" t="n"/>
      <c r="P3061" s="4" t="n"/>
      <c r="Q3061" s="4" t="inlineStr">
        <is>
          <t>MAESTRO-IOS-BUSINESS-BUSINESS_RUNWAY-3060 | Loan | 95390.77</t>
        </is>
      </c>
      <c r="R3061" s="4" t="inlineStr">
        <is>
          <t>iPhone</t>
        </is>
      </c>
      <c r="S3061" s="4" t="inlineStr">
        <is>
          <t>B62</t>
        </is>
      </c>
      <c r="T3061" s="4" t="inlineStr">
        <is>
          <t>STRESS_3001_3500</t>
        </is>
      </c>
      <c r="U3061" s="4" t="inlineStr">
        <is>
          <t>CREATED</t>
        </is>
      </c>
      <c r="V3061" s="4" t="inlineStr">
        <is>
          <t>idem-20260902-ios-3060</t>
        </is>
      </c>
    </row>
    <row r="3062" ht="30" customHeight="1">
      <c r="A3062" s="4" t="n">
        <v>3061</v>
      </c>
      <c r="B3062" s="4" t="inlineStr">
        <is>
          <t>MTR-IOS-3061</t>
        </is>
      </c>
      <c r="C3062" s="4" t="inlineStr">
        <is>
          <t>Personal</t>
        </is>
      </c>
      <c r="D3062" s="4" t="inlineStr">
        <is>
          <t>Personal</t>
        </is>
      </c>
      <c r="E3062" s="4" t="inlineStr">
        <is>
          <t>Future Building</t>
        </is>
      </c>
      <c r="F3062" s="4" t="inlineStr">
        <is>
          <t>Emergency Fund</t>
        </is>
      </c>
      <c r="G3062" s="4" t="inlineStr">
        <is>
          <t>Transfer</t>
        </is>
      </c>
      <c r="H3062" s="12" t="n">
        <v>46210</v>
      </c>
      <c r="I3062" s="13" t="n">
        <v>0.2503240740740741</v>
      </c>
      <c r="J3062" s="14" t="n">
        <v>46210.25032407408</v>
      </c>
      <c r="K3062" s="15" t="n">
        <v>4053.35</v>
      </c>
      <c r="L3062" s="4" t="inlineStr">
        <is>
          <t>INR</t>
        </is>
      </c>
      <c r="M3062" s="15" t="n">
        <v>0</v>
      </c>
      <c r="N3062" s="4" t="inlineStr">
        <is>
          <t>IOS Owner</t>
        </is>
      </c>
      <c r="O3062" s="4" t="n"/>
      <c r="P3062" s="4" t="n"/>
      <c r="Q3062" s="4" t="inlineStr">
        <is>
          <t>MAESTRO-IOS-PERSONAL-FUTURE_BUILDING-3061 | Emergency Fund | 4053.35</t>
        </is>
      </c>
      <c r="R3062" s="4" t="inlineStr">
        <is>
          <t>iPhone</t>
        </is>
      </c>
      <c r="S3062" s="4" t="inlineStr">
        <is>
          <t>B62</t>
        </is>
      </c>
      <c r="T3062" s="4" t="inlineStr">
        <is>
          <t>STRESS_3001_3500</t>
        </is>
      </c>
      <c r="U3062" s="4" t="inlineStr">
        <is>
          <t>CREATED</t>
        </is>
      </c>
      <c r="V3062" s="4" t="inlineStr">
        <is>
          <t>idem-20260902-ios-3061</t>
        </is>
      </c>
    </row>
    <row r="3063" ht="30" customHeight="1">
      <c r="A3063" s="4" t="n">
        <v>3062</v>
      </c>
      <c r="B3063" s="4" t="inlineStr">
        <is>
          <t>MTR-IOS-3062</t>
        </is>
      </c>
      <c r="C3063" s="4" t="inlineStr">
        <is>
          <t>Group</t>
        </is>
      </c>
      <c r="D3063" s="4" t="inlineStr">
        <is>
          <t>Shared Purchase</t>
        </is>
      </c>
      <c r="E3063" s="4" t="inlineStr">
        <is>
          <t>Assets</t>
        </is>
      </c>
      <c r="F3063" s="4" t="inlineStr">
        <is>
          <t>Repair</t>
        </is>
      </c>
      <c r="G3063" s="4" t="inlineStr">
        <is>
          <t>Expense</t>
        </is>
      </c>
      <c r="H3063" s="12" t="n">
        <v>45912</v>
      </c>
      <c r="I3063" s="13" t="n">
        <v>0.2028009259259259</v>
      </c>
      <c r="J3063" s="14" t="n">
        <v>45912.20280092592</v>
      </c>
      <c r="K3063" s="15" t="n">
        <v>14999.74</v>
      </c>
      <c r="L3063" s="4" t="inlineStr">
        <is>
          <t>INR</t>
        </is>
      </c>
      <c r="M3063" s="15" t="n">
        <v>-14999.74</v>
      </c>
      <c r="N3063" s="4" t="inlineStr">
        <is>
          <t>IOS Owner</t>
        </is>
      </c>
      <c r="O3063" s="4" t="n">
        <v>3</v>
      </c>
      <c r="P3063" s="4" t="inlineStr">
        <is>
          <t>EQUAL</t>
        </is>
      </c>
      <c r="Q3063" s="4" t="inlineStr">
        <is>
          <t>MAESTRO-IOS-GROUP-ASSETS-3062 | Repair | 14999.74</t>
        </is>
      </c>
      <c r="R3063" s="4" t="inlineStr">
        <is>
          <t>iPhone</t>
        </is>
      </c>
      <c r="S3063" s="4" t="inlineStr">
        <is>
          <t>B62</t>
        </is>
      </c>
      <c r="T3063" s="4" t="inlineStr">
        <is>
          <t>STRESS_3001_3500</t>
        </is>
      </c>
      <c r="U3063" s="4" t="inlineStr">
        <is>
          <t>CREATED</t>
        </is>
      </c>
      <c r="V3063" s="4" t="inlineStr">
        <is>
          <t>idem-20260902-ios-3062</t>
        </is>
      </c>
    </row>
    <row r="3064" ht="30" customHeight="1">
      <c r="A3064" s="4" t="n">
        <v>3063</v>
      </c>
      <c r="B3064" s="4" t="inlineStr">
        <is>
          <t>MTR-IOS-3063</t>
        </is>
      </c>
      <c r="C3064" s="4" t="inlineStr">
        <is>
          <t>Business</t>
        </is>
      </c>
      <c r="D3064" s="4" t="inlineStr">
        <is>
          <t>Business</t>
        </is>
      </c>
      <c r="E3064" s="4" t="inlineStr">
        <is>
          <t>Business Runway</t>
        </is>
      </c>
      <c r="F3064" s="4" t="inlineStr">
        <is>
          <t>Investment</t>
        </is>
      </c>
      <c r="G3064" s="4" t="inlineStr">
        <is>
          <t>Income</t>
        </is>
      </c>
      <c r="H3064" s="12" t="n">
        <v>46008</v>
      </c>
      <c r="I3064" s="13" t="n">
        <v>0.1729282407407407</v>
      </c>
      <c r="J3064" s="14" t="n">
        <v>46008.17292824074</v>
      </c>
      <c r="K3064" s="15" t="n">
        <v>43250.48</v>
      </c>
      <c r="L3064" s="4" t="inlineStr">
        <is>
          <t>INR</t>
        </is>
      </c>
      <c r="M3064" s="15" t="n">
        <v>43250.48</v>
      </c>
      <c r="N3064" s="4" t="inlineStr">
        <is>
          <t>IOS Owner</t>
        </is>
      </c>
      <c r="O3064" s="4" t="n"/>
      <c r="P3064" s="4" t="n"/>
      <c r="Q3064" s="4" t="inlineStr">
        <is>
          <t>MAESTRO-IOS-BUSINESS-BUSINESS_RUNWAY-3063 | Investment | 43250.48</t>
        </is>
      </c>
      <c r="R3064" s="4" t="inlineStr">
        <is>
          <t>iPhone</t>
        </is>
      </c>
      <c r="S3064" s="4" t="inlineStr">
        <is>
          <t>B62</t>
        </is>
      </c>
      <c r="T3064" s="4" t="inlineStr">
        <is>
          <t>STRESS_3001_3500</t>
        </is>
      </c>
      <c r="U3064" s="4" t="inlineStr">
        <is>
          <t>CREATED</t>
        </is>
      </c>
      <c r="V3064" s="4" t="inlineStr">
        <is>
          <t>idem-20260902-ios-3063</t>
        </is>
      </c>
    </row>
    <row r="3065" ht="30" customHeight="1">
      <c r="A3065" s="4" t="n">
        <v>3064</v>
      </c>
      <c r="B3065" s="4" t="inlineStr">
        <is>
          <t>MTR-IOS-3064</t>
        </is>
      </c>
      <c r="C3065" s="4" t="inlineStr">
        <is>
          <t>Personal</t>
        </is>
      </c>
      <c r="D3065" s="4" t="inlineStr">
        <is>
          <t>Personal</t>
        </is>
      </c>
      <c r="E3065" s="4" t="inlineStr">
        <is>
          <t>Future Building</t>
        </is>
      </c>
      <c r="F3065" s="4" t="inlineStr">
        <is>
          <t>Investments</t>
        </is>
      </c>
      <c r="G3065" s="4" t="inlineStr">
        <is>
          <t>Investment</t>
        </is>
      </c>
      <c r="H3065" s="12" t="n">
        <v>46023</v>
      </c>
      <c r="I3065" s="13" t="n">
        <v>0.7716782407407408</v>
      </c>
      <c r="J3065" s="14" t="n">
        <v>46023.77167824074</v>
      </c>
      <c r="K3065" s="15" t="n">
        <v>6093.35</v>
      </c>
      <c r="L3065" s="4" t="inlineStr">
        <is>
          <t>INR</t>
        </is>
      </c>
      <c r="M3065" s="15" t="n">
        <v>0</v>
      </c>
      <c r="N3065" s="4" t="inlineStr">
        <is>
          <t>IOS Owner</t>
        </is>
      </c>
      <c r="O3065" s="4" t="n"/>
      <c r="P3065" s="4" t="n"/>
      <c r="Q3065" s="4" t="inlineStr">
        <is>
          <t>MAESTRO-IOS-PERSONAL-FUTURE_BUILDING-3064 | Investments | 6093.35</t>
        </is>
      </c>
      <c r="R3065" s="4" t="inlineStr">
        <is>
          <t>iPhone</t>
        </is>
      </c>
      <c r="S3065" s="4" t="inlineStr">
        <is>
          <t>B62</t>
        </is>
      </c>
      <c r="T3065" s="4" t="inlineStr">
        <is>
          <t>STRESS_3001_3500</t>
        </is>
      </c>
      <c r="U3065" s="4" t="inlineStr">
        <is>
          <t>CREATED</t>
        </is>
      </c>
      <c r="V3065" s="4" t="inlineStr">
        <is>
          <t>idem-20260902-ios-3064</t>
        </is>
      </c>
    </row>
    <row r="3066" ht="30" customHeight="1">
      <c r="A3066" s="4" t="n">
        <v>3065</v>
      </c>
      <c r="B3066" s="4" t="inlineStr">
        <is>
          <t>MTR-IOS-3065</t>
        </is>
      </c>
      <c r="C3066" s="4" t="inlineStr">
        <is>
          <t>Group</t>
        </is>
      </c>
      <c r="D3066" s="4" t="inlineStr">
        <is>
          <t>Shared Purchase</t>
        </is>
      </c>
      <c r="E3066" s="4" t="inlineStr">
        <is>
          <t>Assets</t>
        </is>
      </c>
      <c r="F3066" s="4" t="inlineStr">
        <is>
          <t>Insurance</t>
        </is>
      </c>
      <c r="G3066" s="4" t="inlineStr">
        <is>
          <t>Expense</t>
        </is>
      </c>
      <c r="H3066" s="12" t="n">
        <v>46265</v>
      </c>
      <c r="I3066" s="13" t="n">
        <v>0.9055787037037037</v>
      </c>
      <c r="J3066" s="14" t="n">
        <v>46265.90557870371</v>
      </c>
      <c r="K3066" s="15" t="n">
        <v>7844.71</v>
      </c>
      <c r="L3066" s="4" t="inlineStr">
        <is>
          <t>INR</t>
        </is>
      </c>
      <c r="M3066" s="15" t="n">
        <v>-7844.71</v>
      </c>
      <c r="N3066" s="4" t="inlineStr">
        <is>
          <t>IOS Aarav</t>
        </is>
      </c>
      <c r="O3066" s="4" t="n">
        <v>3</v>
      </c>
      <c r="P3066" s="4" t="inlineStr">
        <is>
          <t>PERCENTAGE</t>
        </is>
      </c>
      <c r="Q3066" s="4" t="inlineStr">
        <is>
          <t>MAESTRO-IOS-GROUP-ASSETS-3065 | Insurance | 7844.71</t>
        </is>
      </c>
      <c r="R3066" s="4" t="inlineStr">
        <is>
          <t>iPhone</t>
        </is>
      </c>
      <c r="S3066" s="4" t="inlineStr">
        <is>
          <t>B62</t>
        </is>
      </c>
      <c r="T3066" s="4" t="inlineStr">
        <is>
          <t>STRESS_3001_3500</t>
        </is>
      </c>
      <c r="U3066" s="4" t="inlineStr">
        <is>
          <t>CREATED</t>
        </is>
      </c>
      <c r="V3066" s="4" t="inlineStr">
        <is>
          <t>idem-20260902-ios-3065</t>
        </is>
      </c>
    </row>
    <row r="3067" ht="30" customHeight="1">
      <c r="A3067" s="4" t="n">
        <v>3066</v>
      </c>
      <c r="B3067" s="4" t="inlineStr">
        <is>
          <t>MTR-IOS-3066</t>
        </is>
      </c>
      <c r="C3067" s="4" t="inlineStr">
        <is>
          <t>Business</t>
        </is>
      </c>
      <c r="D3067" s="4" t="inlineStr">
        <is>
          <t>Business</t>
        </is>
      </c>
      <c r="E3067" s="4" t="inlineStr">
        <is>
          <t>Business Operations</t>
        </is>
      </c>
      <c r="F3067" s="4" t="inlineStr">
        <is>
          <t>Software</t>
        </is>
      </c>
      <c r="G3067" s="4" t="inlineStr">
        <is>
          <t>Expense</t>
        </is>
      </c>
      <c r="H3067" s="12" t="n">
        <v>45988</v>
      </c>
      <c r="I3067" s="13" t="n">
        <v>0.3007407407407408</v>
      </c>
      <c r="J3067" s="14" t="n">
        <v>45988.30074074074</v>
      </c>
      <c r="K3067" s="15" t="n">
        <v>134707.22</v>
      </c>
      <c r="L3067" s="4" t="inlineStr">
        <is>
          <t>INR</t>
        </is>
      </c>
      <c r="M3067" s="15" t="n">
        <v>-134707.22</v>
      </c>
      <c r="N3067" s="4" t="inlineStr">
        <is>
          <t>IOS Owner</t>
        </is>
      </c>
      <c r="O3067" s="4" t="n"/>
      <c r="P3067" s="4" t="n"/>
      <c r="Q3067" s="4" t="inlineStr">
        <is>
          <t>MAESTRO-IOS-BUSINESS-BUSINESS_OPERATIONS-3066 | Software | 134707.22</t>
        </is>
      </c>
      <c r="R3067" s="4" t="inlineStr">
        <is>
          <t>iPhone</t>
        </is>
      </c>
      <c r="S3067" s="4" t="inlineStr">
        <is>
          <t>B62</t>
        </is>
      </c>
      <c r="T3067" s="4" t="inlineStr">
        <is>
          <t>STRESS_3001_3500</t>
        </is>
      </c>
      <c r="U3067" s="4" t="inlineStr">
        <is>
          <t>CREATED</t>
        </is>
      </c>
      <c r="V3067" s="4" t="inlineStr">
        <is>
          <t>idem-20260902-ios-3066</t>
        </is>
      </c>
    </row>
    <row r="3068" ht="30" customHeight="1">
      <c r="A3068" s="4" t="n">
        <v>3067</v>
      </c>
      <c r="B3068" s="4" t="inlineStr">
        <is>
          <t>MTR-IOS-3067</t>
        </is>
      </c>
      <c r="C3068" s="4" t="inlineStr">
        <is>
          <t>Personal</t>
        </is>
      </c>
      <c r="D3068" s="4" t="inlineStr">
        <is>
          <t>Personal</t>
        </is>
      </c>
      <c r="E3068" s="4" t="inlineStr">
        <is>
          <t>Future Building</t>
        </is>
      </c>
      <c r="F3068" s="4" t="inlineStr">
        <is>
          <t>Education</t>
        </is>
      </c>
      <c r="G3068" s="4" t="inlineStr">
        <is>
          <t>Expense</t>
        </is>
      </c>
      <c r="H3068" s="12" t="n">
        <v>45993</v>
      </c>
      <c r="I3068" s="13" t="n">
        <v>0.06289351851851852</v>
      </c>
      <c r="J3068" s="14" t="n">
        <v>45993.06289351852</v>
      </c>
      <c r="K3068" s="15" t="n">
        <v>11770.86</v>
      </c>
      <c r="L3068" s="4" t="inlineStr">
        <is>
          <t>INR</t>
        </is>
      </c>
      <c r="M3068" s="15" t="n">
        <v>-11770.86</v>
      </c>
      <c r="N3068" s="4" t="inlineStr">
        <is>
          <t>IOS Owner</t>
        </is>
      </c>
      <c r="O3068" s="4" t="n"/>
      <c r="P3068" s="4" t="n"/>
      <c r="Q3068" s="4" t="inlineStr">
        <is>
          <t>MAESTRO-IOS-PERSONAL-FUTURE_BUILDING-3067 | Education | 11770.86</t>
        </is>
      </c>
      <c r="R3068" s="4" t="inlineStr">
        <is>
          <t>iPhone</t>
        </is>
      </c>
      <c r="S3068" s="4" t="inlineStr">
        <is>
          <t>B62</t>
        </is>
      </c>
      <c r="T3068" s="4" t="inlineStr">
        <is>
          <t>STRESS_3001_3500</t>
        </is>
      </c>
      <c r="U3068" s="4" t="inlineStr">
        <is>
          <t>CREATED</t>
        </is>
      </c>
      <c r="V3068" s="4" t="inlineStr">
        <is>
          <t>idem-20260902-ios-3067</t>
        </is>
      </c>
    </row>
    <row r="3069" ht="30" customHeight="1">
      <c r="A3069" s="4" t="n">
        <v>3068</v>
      </c>
      <c r="B3069" s="4" t="inlineStr">
        <is>
          <t>MTR-IOS-3068</t>
        </is>
      </c>
      <c r="C3069" s="4" t="inlineStr">
        <is>
          <t>Group</t>
        </is>
      </c>
      <c r="D3069" s="4" t="inlineStr">
        <is>
          <t>Shared Purchase</t>
        </is>
      </c>
      <c r="E3069" s="4" t="inlineStr">
        <is>
          <t>Assets</t>
        </is>
      </c>
      <c r="F3069" s="4" t="inlineStr">
        <is>
          <t>Other</t>
        </is>
      </c>
      <c r="G3069" s="4" t="inlineStr">
        <is>
          <t>Expense</t>
        </is>
      </c>
      <c r="H3069" s="12" t="n">
        <v>46110</v>
      </c>
      <c r="I3069" s="13" t="n">
        <v>0.6086921296296296</v>
      </c>
      <c r="J3069" s="14" t="n">
        <v>46110.60869212963</v>
      </c>
      <c r="K3069" s="15" t="n">
        <v>16885.37</v>
      </c>
      <c r="L3069" s="4" t="inlineStr">
        <is>
          <t>INR</t>
        </is>
      </c>
      <c r="M3069" s="15" t="n">
        <v>-16885.37</v>
      </c>
      <c r="N3069" s="4" t="inlineStr">
        <is>
          <t>IOS Meera</t>
        </is>
      </c>
      <c r="O3069" s="4" t="n">
        <v>3</v>
      </c>
      <c r="P3069" s="4" t="inlineStr">
        <is>
          <t>EXACT</t>
        </is>
      </c>
      <c r="Q3069" s="4" t="inlineStr">
        <is>
          <t>MAESTRO-IOS-GROUP-ASSETS-3068 | Other | 16885.37</t>
        </is>
      </c>
      <c r="R3069" s="4" t="inlineStr">
        <is>
          <t>iPhone</t>
        </is>
      </c>
      <c r="S3069" s="4" t="inlineStr">
        <is>
          <t>B62</t>
        </is>
      </c>
      <c r="T3069" s="4" t="inlineStr">
        <is>
          <t>STRESS_3001_3500</t>
        </is>
      </c>
      <c r="U3069" s="4" t="inlineStr">
        <is>
          <t>CREATED</t>
        </is>
      </c>
      <c r="V3069" s="4" t="inlineStr">
        <is>
          <t>idem-20260902-ios-3068</t>
        </is>
      </c>
    </row>
    <row r="3070" ht="30" customHeight="1">
      <c r="A3070" s="4" t="n">
        <v>3069</v>
      </c>
      <c r="B3070" s="4" t="inlineStr">
        <is>
          <t>MTR-IOS-3069</t>
        </is>
      </c>
      <c r="C3070" s="4" t="inlineStr">
        <is>
          <t>Business</t>
        </is>
      </c>
      <c r="D3070" s="4" t="inlineStr">
        <is>
          <t>Business</t>
        </is>
      </c>
      <c r="E3070" s="4" t="inlineStr">
        <is>
          <t>Business Operations</t>
        </is>
      </c>
      <c r="F3070" s="4" t="inlineStr">
        <is>
          <t>Rent</t>
        </is>
      </c>
      <c r="G3070" s="4" t="inlineStr">
        <is>
          <t>Expense</t>
        </is>
      </c>
      <c r="H3070" s="12" t="n">
        <v>46216</v>
      </c>
      <c r="I3070" s="13" t="n">
        <v>0.2368634259259259</v>
      </c>
      <c r="J3070" s="14" t="n">
        <v>46216.23686342593</v>
      </c>
      <c r="K3070" s="15" t="n">
        <v>111171.99</v>
      </c>
      <c r="L3070" s="4" t="inlineStr">
        <is>
          <t>INR</t>
        </is>
      </c>
      <c r="M3070" s="15" t="n">
        <v>-111171.99</v>
      </c>
      <c r="N3070" s="4" t="inlineStr">
        <is>
          <t>IOS Owner</t>
        </is>
      </c>
      <c r="O3070" s="4" t="n"/>
      <c r="P3070" s="4" t="n"/>
      <c r="Q3070" s="4" t="inlineStr">
        <is>
          <t>MAESTRO-IOS-BUSINESS-BUSINESS_OPERATIONS-3069 | Rent | 111171.99</t>
        </is>
      </c>
      <c r="R3070" s="4" t="inlineStr">
        <is>
          <t>iPhone</t>
        </is>
      </c>
      <c r="S3070" s="4" t="inlineStr">
        <is>
          <t>B62</t>
        </is>
      </c>
      <c r="T3070" s="4" t="inlineStr">
        <is>
          <t>STRESS_3001_3500</t>
        </is>
      </c>
      <c r="U3070" s="4" t="inlineStr">
        <is>
          <t>CREATED</t>
        </is>
      </c>
      <c r="V3070" s="4" t="inlineStr">
        <is>
          <t>idem-20260902-ios-3069</t>
        </is>
      </c>
    </row>
    <row r="3071" ht="30" customHeight="1">
      <c r="A3071" s="4" t="n">
        <v>3070</v>
      </c>
      <c r="B3071" s="4" t="inlineStr">
        <is>
          <t>MTR-IOS-3070</t>
        </is>
      </c>
      <c r="C3071" s="4" t="inlineStr">
        <is>
          <t>Personal</t>
        </is>
      </c>
      <c r="D3071" s="4" t="inlineStr">
        <is>
          <t>Personal</t>
        </is>
      </c>
      <c r="E3071" s="4" t="inlineStr">
        <is>
          <t>Future Building</t>
        </is>
      </c>
      <c r="F3071" s="4" t="inlineStr">
        <is>
          <t>Goal Contribution</t>
        </is>
      </c>
      <c r="G3071" s="4" t="inlineStr">
        <is>
          <t>Transfer</t>
        </is>
      </c>
      <c r="H3071" s="12" t="n">
        <v>46229</v>
      </c>
      <c r="I3071" s="13" t="n">
        <v>0.9833564814814815</v>
      </c>
      <c r="J3071" s="14" t="n">
        <v>46229.98335648148</v>
      </c>
      <c r="K3071" s="15" t="n">
        <v>12655.99</v>
      </c>
      <c r="L3071" s="4" t="inlineStr">
        <is>
          <t>INR</t>
        </is>
      </c>
      <c r="M3071" s="15" t="n">
        <v>0</v>
      </c>
      <c r="N3071" s="4" t="inlineStr">
        <is>
          <t>IOS Owner</t>
        </is>
      </c>
      <c r="O3071" s="4" t="n"/>
      <c r="P3071" s="4" t="n"/>
      <c r="Q3071" s="4" t="inlineStr">
        <is>
          <t>MAESTRO-IOS-PERSONAL-FUTURE_BUILDING-3070 | Goal Contribution | 12655.99</t>
        </is>
      </c>
      <c r="R3071" s="4" t="inlineStr">
        <is>
          <t>iPhone</t>
        </is>
      </c>
      <c r="S3071" s="4" t="inlineStr">
        <is>
          <t>B62</t>
        </is>
      </c>
      <c r="T3071" s="4" t="inlineStr">
        <is>
          <t>STRESS_3001_3500</t>
        </is>
      </c>
      <c r="U3071" s="4" t="inlineStr">
        <is>
          <t>CREATED</t>
        </is>
      </c>
      <c r="V3071" s="4" t="inlineStr">
        <is>
          <t>idem-20260902-ios-3070</t>
        </is>
      </c>
    </row>
    <row r="3072" ht="30" customHeight="1">
      <c r="A3072" s="4" t="n">
        <v>3071</v>
      </c>
      <c r="B3072" s="4" t="inlineStr">
        <is>
          <t>MTR-IOS-3071</t>
        </is>
      </c>
      <c r="C3072" s="4" t="inlineStr">
        <is>
          <t>Group</t>
        </is>
      </c>
      <c r="D3072" s="4" t="inlineStr">
        <is>
          <t>Shared Purchase</t>
        </is>
      </c>
      <c r="E3072" s="4" t="inlineStr">
        <is>
          <t>Custom Purchase</t>
        </is>
      </c>
      <c r="F3072" s="4" t="inlineStr">
        <is>
          <t>Custom Expense</t>
        </is>
      </c>
      <c r="G3072" s="4" t="inlineStr">
        <is>
          <t>Expense</t>
        </is>
      </c>
      <c r="H3072" s="12" t="n">
        <v>46189</v>
      </c>
      <c r="I3072" s="13" t="n">
        <v>0.6932175925925926</v>
      </c>
      <c r="J3072" s="14" t="n">
        <v>46189.69321759259</v>
      </c>
      <c r="K3072" s="15" t="n">
        <v>10000</v>
      </c>
      <c r="L3072" s="4" t="inlineStr">
        <is>
          <t>INR</t>
        </is>
      </c>
      <c r="M3072" s="15" t="n">
        <v>-10000</v>
      </c>
      <c r="N3072" s="4" t="inlineStr">
        <is>
          <t>IOS Owner</t>
        </is>
      </c>
      <c r="O3072" s="4" t="n">
        <v>3</v>
      </c>
      <c r="P3072" s="4" t="inlineStr">
        <is>
          <t>SHARES</t>
        </is>
      </c>
      <c r="Q3072" s="4" t="inlineStr">
        <is>
          <t>MAESTRO-IOS-GROUP-CUSTOM_PURCHASE-3071 | Custom Expense | 10000.00</t>
        </is>
      </c>
      <c r="R3072" s="4" t="inlineStr">
        <is>
          <t>iPhone</t>
        </is>
      </c>
      <c r="S3072" s="4" t="inlineStr">
        <is>
          <t>B62</t>
        </is>
      </c>
      <c r="T3072" s="4" t="inlineStr">
        <is>
          <t>STRESS_3001_3500</t>
        </is>
      </c>
      <c r="U3072" s="4" t="inlineStr">
        <is>
          <t>CREATED</t>
        </is>
      </c>
      <c r="V3072" s="4" t="inlineStr">
        <is>
          <t>idem-20260902-ios-3071</t>
        </is>
      </c>
    </row>
    <row r="3073" ht="30" customHeight="1">
      <c r="A3073" s="4" t="n">
        <v>3072</v>
      </c>
      <c r="B3073" s="4" t="inlineStr">
        <is>
          <t>MTR-IOS-3072</t>
        </is>
      </c>
      <c r="C3073" s="4" t="inlineStr">
        <is>
          <t>Business</t>
        </is>
      </c>
      <c r="D3073" s="4" t="inlineStr">
        <is>
          <t>Business</t>
        </is>
      </c>
      <c r="E3073" s="4" t="inlineStr">
        <is>
          <t>Business Operations</t>
        </is>
      </c>
      <c r="F3073" s="4" t="inlineStr">
        <is>
          <t>Marketing</t>
        </is>
      </c>
      <c r="G3073" s="4" t="inlineStr">
        <is>
          <t>Expense</t>
        </is>
      </c>
      <c r="H3073" s="12" t="n">
        <v>46058</v>
      </c>
      <c r="I3073" s="13" t="n">
        <v>0.6283333333333333</v>
      </c>
      <c r="J3073" s="14" t="n">
        <v>46058.62833333333</v>
      </c>
      <c r="K3073" s="15" t="n">
        <v>116339.22</v>
      </c>
      <c r="L3073" s="4" t="inlineStr">
        <is>
          <t>INR</t>
        </is>
      </c>
      <c r="M3073" s="15" t="n">
        <v>-116339.22</v>
      </c>
      <c r="N3073" s="4" t="inlineStr">
        <is>
          <t>IOS Owner</t>
        </is>
      </c>
      <c r="O3073" s="4" t="n"/>
      <c r="P3073" s="4" t="n"/>
      <c r="Q3073" s="4" t="inlineStr">
        <is>
          <t>MAESTRO-IOS-BUSINESS-BUSINESS_OPERATIONS-3072 | Marketing | 116339.22</t>
        </is>
      </c>
      <c r="R3073" s="4" t="inlineStr">
        <is>
          <t>iPhone</t>
        </is>
      </c>
      <c r="S3073" s="4" t="inlineStr">
        <is>
          <t>B62</t>
        </is>
      </c>
      <c r="T3073" s="4" t="inlineStr">
        <is>
          <t>STRESS_3001_3500</t>
        </is>
      </c>
      <c r="U3073" s="4" t="inlineStr">
        <is>
          <t>CREATED</t>
        </is>
      </c>
      <c r="V3073" s="4" t="inlineStr">
        <is>
          <t>idem-20260902-ios-3072</t>
        </is>
      </c>
    </row>
    <row r="3074" ht="30" customHeight="1">
      <c r="A3074" s="4" t="n">
        <v>3073</v>
      </c>
      <c r="B3074" s="4" t="inlineStr">
        <is>
          <t>MTR-IOS-3073</t>
        </is>
      </c>
      <c r="C3074" s="4" t="inlineStr">
        <is>
          <t>Personal</t>
        </is>
      </c>
      <c r="D3074" s="4" t="inlineStr">
        <is>
          <t>Personal</t>
        </is>
      </c>
      <c r="E3074" s="4" t="inlineStr">
        <is>
          <t>Lifestyle</t>
        </is>
      </c>
      <c r="F3074" s="4" t="inlineStr">
        <is>
          <t>Dining</t>
        </is>
      </c>
      <c r="G3074" s="4" t="inlineStr">
        <is>
          <t>Expense</t>
        </is>
      </c>
      <c r="H3074" s="12" t="n">
        <v>46214</v>
      </c>
      <c r="I3074" s="13" t="n">
        <v>0.4407754629629629</v>
      </c>
      <c r="J3074" s="14" t="n">
        <v>46214.44077546296</v>
      </c>
      <c r="K3074" s="15" t="n">
        <v>13065.3</v>
      </c>
      <c r="L3074" s="4" t="inlineStr">
        <is>
          <t>INR</t>
        </is>
      </c>
      <c r="M3074" s="15" t="n">
        <v>-13065.3</v>
      </c>
      <c r="N3074" s="4" t="inlineStr">
        <is>
          <t>IOS Owner</t>
        </is>
      </c>
      <c r="O3074" s="4" t="n"/>
      <c r="P3074" s="4" t="n"/>
      <c r="Q3074" s="4" t="inlineStr">
        <is>
          <t>MAESTRO-IOS-PERSONAL-LIFESTYLE-3073 | Dining | 13065.30</t>
        </is>
      </c>
      <c r="R3074" s="4" t="inlineStr">
        <is>
          <t>iPhone</t>
        </is>
      </c>
      <c r="S3074" s="4" t="inlineStr">
        <is>
          <t>B62</t>
        </is>
      </c>
      <c r="T3074" s="4" t="inlineStr">
        <is>
          <t>STRESS_3001_3500</t>
        </is>
      </c>
      <c r="U3074" s="4" t="inlineStr">
        <is>
          <t>CREATED</t>
        </is>
      </c>
      <c r="V3074" s="4" t="inlineStr">
        <is>
          <t>idem-20260902-ios-3073</t>
        </is>
      </c>
    </row>
    <row r="3075" ht="30" customHeight="1">
      <c r="A3075" s="4" t="n">
        <v>3074</v>
      </c>
      <c r="B3075" s="4" t="inlineStr">
        <is>
          <t>MTR-IOS-3074</t>
        </is>
      </c>
      <c r="C3075" s="4" t="inlineStr">
        <is>
          <t>Group</t>
        </is>
      </c>
      <c r="D3075" s="4" t="inlineStr">
        <is>
          <t>Shared Purchase</t>
        </is>
      </c>
      <c r="E3075" s="4" t="inlineStr">
        <is>
          <t>Custom Purchase</t>
        </is>
      </c>
      <c r="F3075" s="4" t="inlineStr">
        <is>
          <t>Custom Contribution</t>
        </is>
      </c>
      <c r="G3075" s="4" t="inlineStr">
        <is>
          <t>Contribution</t>
        </is>
      </c>
      <c r="H3075" s="12" t="n">
        <v>45998</v>
      </c>
      <c r="I3075" s="13" t="n">
        <v>0.986574074074074</v>
      </c>
      <c r="J3075" s="14" t="n">
        <v>45998.98657407407</v>
      </c>
      <c r="K3075" s="15" t="n">
        <v>16537.47</v>
      </c>
      <c r="L3075" s="4" t="inlineStr">
        <is>
          <t>INR</t>
        </is>
      </c>
      <c r="M3075" s="15" t="n">
        <v>16537.47</v>
      </c>
      <c r="N3075" s="4" t="inlineStr">
        <is>
          <t>IOS Aarav</t>
        </is>
      </c>
      <c r="O3075" s="4" t="n">
        <v>3</v>
      </c>
      <c r="P3075" s="4" t="inlineStr">
        <is>
          <t>EQUAL</t>
        </is>
      </c>
      <c r="Q3075" s="4" t="inlineStr">
        <is>
          <t>MAESTRO-IOS-GROUP-CUSTOM_PURCHASE-3074 | Custom Contribution | 16537.47</t>
        </is>
      </c>
      <c r="R3075" s="4" t="inlineStr">
        <is>
          <t>iPhone</t>
        </is>
      </c>
      <c r="S3075" s="4" t="inlineStr">
        <is>
          <t>B62</t>
        </is>
      </c>
      <c r="T3075" s="4" t="inlineStr">
        <is>
          <t>STRESS_3001_3500</t>
        </is>
      </c>
      <c r="U3075" s="4" t="inlineStr">
        <is>
          <t>CREATED</t>
        </is>
      </c>
      <c r="V3075" s="4" t="inlineStr">
        <is>
          <t>idem-20260902-ios-3074</t>
        </is>
      </c>
    </row>
    <row r="3076" ht="30" customHeight="1">
      <c r="A3076" s="4" t="n">
        <v>3075</v>
      </c>
      <c r="B3076" s="4" t="inlineStr">
        <is>
          <t>MTR-IOS-3075</t>
        </is>
      </c>
      <c r="C3076" s="4" t="inlineStr">
        <is>
          <t>Business</t>
        </is>
      </c>
      <c r="D3076" s="4" t="inlineStr">
        <is>
          <t>Business</t>
        </is>
      </c>
      <c r="E3076" s="4" t="inlineStr">
        <is>
          <t>Business Operations</t>
        </is>
      </c>
      <c r="F3076" s="4" t="inlineStr">
        <is>
          <t>Legal</t>
        </is>
      </c>
      <c r="G3076" s="4" t="inlineStr">
        <is>
          <t>Expense</t>
        </is>
      </c>
      <c r="H3076" s="12" t="n">
        <v>46222</v>
      </c>
      <c r="I3076" s="13" t="n">
        <v>0.4451273148148148</v>
      </c>
      <c r="J3076" s="14" t="n">
        <v>46222.44512731482</v>
      </c>
      <c r="K3076" s="15" t="n">
        <v>56144.31</v>
      </c>
      <c r="L3076" s="4" t="inlineStr">
        <is>
          <t>INR</t>
        </is>
      </c>
      <c r="M3076" s="15" t="n">
        <v>-56144.31</v>
      </c>
      <c r="N3076" s="4" t="inlineStr">
        <is>
          <t>IOS Owner</t>
        </is>
      </c>
      <c r="O3076" s="4" t="n"/>
      <c r="P3076" s="4" t="n"/>
      <c r="Q3076" s="4" t="inlineStr">
        <is>
          <t>MAESTRO-IOS-BUSINESS-BUSINESS_OPERATIONS-3075 | Legal | 56144.31</t>
        </is>
      </c>
      <c r="R3076" s="4" t="inlineStr">
        <is>
          <t>iPhone</t>
        </is>
      </c>
      <c r="S3076" s="4" t="inlineStr">
        <is>
          <t>B62</t>
        </is>
      </c>
      <c r="T3076" s="4" t="inlineStr">
        <is>
          <t>STRESS_3001_3500</t>
        </is>
      </c>
      <c r="U3076" s="4" t="inlineStr">
        <is>
          <t>CREATED</t>
        </is>
      </c>
      <c r="V3076" s="4" t="inlineStr">
        <is>
          <t>idem-20260902-ios-3075</t>
        </is>
      </c>
    </row>
    <row r="3077" ht="30" customHeight="1">
      <c r="A3077" s="4" t="n">
        <v>3076</v>
      </c>
      <c r="B3077" s="4" t="inlineStr">
        <is>
          <t>MTR-IOS-3076</t>
        </is>
      </c>
      <c r="C3077" s="4" t="inlineStr">
        <is>
          <t>Personal</t>
        </is>
      </c>
      <c r="D3077" s="4" t="inlineStr">
        <is>
          <t>Personal</t>
        </is>
      </c>
      <c r="E3077" s="4" t="inlineStr">
        <is>
          <t>Lifestyle</t>
        </is>
      </c>
      <c r="F3077" s="4" t="inlineStr">
        <is>
          <t>Shopping</t>
        </is>
      </c>
      <c r="G3077" s="4" t="inlineStr">
        <is>
          <t>Expense</t>
        </is>
      </c>
      <c r="H3077" s="12" t="n">
        <v>46220</v>
      </c>
      <c r="I3077" s="13" t="n">
        <v>0.1463078703703704</v>
      </c>
      <c r="J3077" s="14" t="n">
        <v>46220.14630787037</v>
      </c>
      <c r="K3077" s="15" t="n">
        <v>2366.46</v>
      </c>
      <c r="L3077" s="4" t="inlineStr">
        <is>
          <t>INR</t>
        </is>
      </c>
      <c r="M3077" s="15" t="n">
        <v>-2366.46</v>
      </c>
      <c r="N3077" s="4" t="inlineStr">
        <is>
          <t>IOS Owner</t>
        </is>
      </c>
      <c r="O3077" s="4" t="n"/>
      <c r="P3077" s="4" t="n"/>
      <c r="Q3077" s="4" t="inlineStr">
        <is>
          <t>MAESTRO-IOS-PERSONAL-LIFESTYLE-3076 | Shopping | 2366.46</t>
        </is>
      </c>
      <c r="R3077" s="4" t="inlineStr">
        <is>
          <t>iPhone</t>
        </is>
      </c>
      <c r="S3077" s="4" t="inlineStr">
        <is>
          <t>B62</t>
        </is>
      </c>
      <c r="T3077" s="4" t="inlineStr">
        <is>
          <t>STRESS_3001_3500</t>
        </is>
      </c>
      <c r="U3077" s="4" t="inlineStr">
        <is>
          <t>CREATED</t>
        </is>
      </c>
      <c r="V3077" s="4" t="inlineStr">
        <is>
          <t>idem-20260902-ios-3076</t>
        </is>
      </c>
    </row>
    <row r="3078" ht="30" customHeight="1">
      <c r="A3078" s="4" t="n">
        <v>3077</v>
      </c>
      <c r="B3078" s="4" t="inlineStr">
        <is>
          <t>MTR-IOS-3077</t>
        </is>
      </c>
      <c r="C3078" s="4" t="inlineStr">
        <is>
          <t>Group</t>
        </is>
      </c>
      <c r="D3078" s="4" t="inlineStr">
        <is>
          <t>Shared Living</t>
        </is>
      </c>
      <c r="E3078" s="4" t="inlineStr">
        <is>
          <t>Flatmates</t>
        </is>
      </c>
      <c r="F3078" s="4" t="inlineStr">
        <is>
          <t>Rent</t>
        </is>
      </c>
      <c r="G3078" s="4" t="inlineStr">
        <is>
          <t>Expense</t>
        </is>
      </c>
      <c r="H3078" s="12" t="n">
        <v>46035</v>
      </c>
      <c r="I3078" s="13" t="n">
        <v>0.4773726851851852</v>
      </c>
      <c r="J3078" s="14" t="n">
        <v>46035.47737268519</v>
      </c>
      <c r="K3078" s="15" t="n">
        <v>2955.88</v>
      </c>
      <c r="L3078" s="4" t="inlineStr">
        <is>
          <t>INR</t>
        </is>
      </c>
      <c r="M3078" s="15" t="n">
        <v>-2955.88</v>
      </c>
      <c r="N3078" s="4" t="inlineStr">
        <is>
          <t>IOS Meera</t>
        </is>
      </c>
      <c r="O3078" s="4" t="n">
        <v>3</v>
      </c>
      <c r="P3078" s="4" t="inlineStr">
        <is>
          <t>PERCENTAGE</t>
        </is>
      </c>
      <c r="Q3078" s="4" t="inlineStr">
        <is>
          <t>MAESTRO-IOS-GROUP-FLATMATES-3077 | Rent | 2955.88</t>
        </is>
      </c>
      <c r="R3078" s="4" t="inlineStr">
        <is>
          <t>iPhone</t>
        </is>
      </c>
      <c r="S3078" s="4" t="inlineStr">
        <is>
          <t>B62</t>
        </is>
      </c>
      <c r="T3078" s="4" t="inlineStr">
        <is>
          <t>STRESS_3001_3500</t>
        </is>
      </c>
      <c r="U3078" s="4" t="inlineStr">
        <is>
          <t>CREATED</t>
        </is>
      </c>
      <c r="V3078" s="4" t="inlineStr">
        <is>
          <t>idem-20260902-ios-3077</t>
        </is>
      </c>
    </row>
    <row r="3079" ht="30" customHeight="1">
      <c r="A3079" s="4" t="n">
        <v>3078</v>
      </c>
      <c r="B3079" s="4" t="inlineStr">
        <is>
          <t>MTR-IOS-3078</t>
        </is>
      </c>
      <c r="C3079" s="4" t="inlineStr">
        <is>
          <t>Business</t>
        </is>
      </c>
      <c r="D3079" s="4" t="inlineStr">
        <is>
          <t>Business</t>
        </is>
      </c>
      <c r="E3079" s="4" t="inlineStr">
        <is>
          <t>Business Operations</t>
        </is>
      </c>
      <c r="F3079" s="4" t="inlineStr">
        <is>
          <t>Accounting</t>
        </is>
      </c>
      <c r="G3079" s="4" t="inlineStr">
        <is>
          <t>Expense</t>
        </is>
      </c>
      <c r="H3079" s="12" t="n">
        <v>45969</v>
      </c>
      <c r="I3079" s="13" t="n">
        <v>0.6343518518518518</v>
      </c>
      <c r="J3079" s="14" t="n">
        <v>45969.63435185186</v>
      </c>
      <c r="K3079" s="15" t="n">
        <v>148309.27</v>
      </c>
      <c r="L3079" s="4" t="inlineStr">
        <is>
          <t>INR</t>
        </is>
      </c>
      <c r="M3079" s="15" t="n">
        <v>-148309.27</v>
      </c>
      <c r="N3079" s="4" t="inlineStr">
        <is>
          <t>IOS Owner</t>
        </is>
      </c>
      <c r="O3079" s="4" t="n"/>
      <c r="P3079" s="4" t="n"/>
      <c r="Q3079" s="4" t="inlineStr">
        <is>
          <t>MAESTRO-IOS-BUSINESS-BUSINESS_OPERATIONS-3078 | Accounting | 148309.27</t>
        </is>
      </c>
      <c r="R3079" s="4" t="inlineStr">
        <is>
          <t>iPhone</t>
        </is>
      </c>
      <c r="S3079" s="4" t="inlineStr">
        <is>
          <t>B62</t>
        </is>
      </c>
      <c r="T3079" s="4" t="inlineStr">
        <is>
          <t>STRESS_3001_3500</t>
        </is>
      </c>
      <c r="U3079" s="4" t="inlineStr">
        <is>
          <t>CREATED</t>
        </is>
      </c>
      <c r="V3079" s="4" t="inlineStr">
        <is>
          <t>idem-20260902-ios-3078</t>
        </is>
      </c>
    </row>
    <row r="3080" ht="30" customHeight="1">
      <c r="A3080" s="4" t="n">
        <v>3079</v>
      </c>
      <c r="B3080" s="4" t="inlineStr">
        <is>
          <t>MTR-IOS-3079</t>
        </is>
      </c>
      <c r="C3080" s="4" t="inlineStr">
        <is>
          <t>Personal</t>
        </is>
      </c>
      <c r="D3080" s="4" t="inlineStr">
        <is>
          <t>Personal</t>
        </is>
      </c>
      <c r="E3080" s="4" t="inlineStr">
        <is>
          <t>Lifestyle</t>
        </is>
      </c>
      <c r="F3080" s="4" t="inlineStr">
        <is>
          <t>Entertainment</t>
        </is>
      </c>
      <c r="G3080" s="4" t="inlineStr">
        <is>
          <t>Expense</t>
        </is>
      </c>
      <c r="H3080" s="12" t="n">
        <v>45946</v>
      </c>
      <c r="I3080" s="13" t="n">
        <v>0.4182060185185185</v>
      </c>
      <c r="J3080" s="14" t="n">
        <v>45946.41820601852</v>
      </c>
      <c r="K3080" s="15" t="n">
        <v>866.59</v>
      </c>
      <c r="L3080" s="4" t="inlineStr">
        <is>
          <t>INR</t>
        </is>
      </c>
      <c r="M3080" s="15" t="n">
        <v>-866.59</v>
      </c>
      <c r="N3080" s="4" t="inlineStr">
        <is>
          <t>IOS Owner</t>
        </is>
      </c>
      <c r="O3080" s="4" t="n"/>
      <c r="P3080" s="4" t="n"/>
      <c r="Q3080" s="4" t="inlineStr">
        <is>
          <t>MAESTRO-IOS-PERSONAL-LIFESTYLE-3079 | Entertainment | 866.59</t>
        </is>
      </c>
      <c r="R3080" s="4" t="inlineStr">
        <is>
          <t>iPhone</t>
        </is>
      </c>
      <c r="S3080" s="4" t="inlineStr">
        <is>
          <t>B62</t>
        </is>
      </c>
      <c r="T3080" s="4" t="inlineStr">
        <is>
          <t>STRESS_3001_3500</t>
        </is>
      </c>
      <c r="U3080" s="4" t="inlineStr">
        <is>
          <t>CREATED</t>
        </is>
      </c>
      <c r="V3080" s="4" t="inlineStr">
        <is>
          <t>idem-20260902-ios-3079</t>
        </is>
      </c>
    </row>
    <row r="3081" ht="30" customHeight="1">
      <c r="A3081" s="4" t="n">
        <v>3080</v>
      </c>
      <c r="B3081" s="4" t="inlineStr">
        <is>
          <t>MTR-IOS-3080</t>
        </is>
      </c>
      <c r="C3081" s="4" t="inlineStr">
        <is>
          <t>Group</t>
        </is>
      </c>
      <c r="D3081" s="4" t="inlineStr">
        <is>
          <t>Shared Living</t>
        </is>
      </c>
      <c r="E3081" s="4" t="inlineStr">
        <is>
          <t>Flatmates</t>
        </is>
      </c>
      <c r="F3081" s="4" t="inlineStr">
        <is>
          <t>Utilities</t>
        </is>
      </c>
      <c r="G3081" s="4" t="inlineStr">
        <is>
          <t>Expense</t>
        </is>
      </c>
      <c r="H3081" s="12" t="n">
        <v>46169</v>
      </c>
      <c r="I3081" s="13" t="n">
        <v>0.6301273148148148</v>
      </c>
      <c r="J3081" s="14" t="n">
        <v>46169.63012731481</v>
      </c>
      <c r="K3081" s="15" t="n">
        <v>20099.22</v>
      </c>
      <c r="L3081" s="4" t="inlineStr">
        <is>
          <t>INR</t>
        </is>
      </c>
      <c r="M3081" s="15" t="n">
        <v>-20099.22</v>
      </c>
      <c r="N3081" s="4" t="inlineStr">
        <is>
          <t>IOS Owner</t>
        </is>
      </c>
      <c r="O3081" s="4" t="n">
        <v>3</v>
      </c>
      <c r="P3081" s="4" t="inlineStr">
        <is>
          <t>EXACT</t>
        </is>
      </c>
      <c r="Q3081" s="4" t="inlineStr">
        <is>
          <t>MAESTRO-IOS-GROUP-FLATMATES-3080 | Utilities | 20099.22</t>
        </is>
      </c>
      <c r="R3081" s="4" t="inlineStr">
        <is>
          <t>iPhone</t>
        </is>
      </c>
      <c r="S3081" s="4" t="inlineStr">
        <is>
          <t>B62</t>
        </is>
      </c>
      <c r="T3081" s="4" t="inlineStr">
        <is>
          <t>STRESS_3001_3500</t>
        </is>
      </c>
      <c r="U3081" s="4" t="inlineStr">
        <is>
          <t>CREATED</t>
        </is>
      </c>
      <c r="V3081" s="4" t="inlineStr">
        <is>
          <t>idem-20260902-ios-3080</t>
        </is>
      </c>
    </row>
    <row r="3082" ht="30" customHeight="1">
      <c r="A3082" s="4" t="n">
        <v>3081</v>
      </c>
      <c r="B3082" s="4" t="inlineStr">
        <is>
          <t>MTR-IOS-3081</t>
        </is>
      </c>
      <c r="C3082" s="4" t="inlineStr">
        <is>
          <t>Business</t>
        </is>
      </c>
      <c r="D3082" s="4" t="inlineStr">
        <is>
          <t>Business</t>
        </is>
      </c>
      <c r="E3082" s="4" t="inlineStr">
        <is>
          <t>Business Operations</t>
        </is>
      </c>
      <c r="F3082" s="4" t="inlineStr">
        <is>
          <t>Equipment</t>
        </is>
      </c>
      <c r="G3082" s="4" t="inlineStr">
        <is>
          <t>Expense</t>
        </is>
      </c>
      <c r="H3082" s="12" t="n">
        <v>46218</v>
      </c>
      <c r="I3082" s="13" t="n">
        <v>0.5087615740740741</v>
      </c>
      <c r="J3082" s="14" t="n">
        <v>46218.50876157408</v>
      </c>
      <c r="K3082" s="15" t="n">
        <v>137375.58</v>
      </c>
      <c r="L3082" s="4" t="inlineStr">
        <is>
          <t>INR</t>
        </is>
      </c>
      <c r="M3082" s="15" t="n">
        <v>-137375.58</v>
      </c>
      <c r="N3082" s="4" t="inlineStr">
        <is>
          <t>IOS Owner</t>
        </is>
      </c>
      <c r="O3082" s="4" t="n"/>
      <c r="P3082" s="4" t="n"/>
      <c r="Q3082" s="4" t="inlineStr">
        <is>
          <t>MAESTRO-IOS-BUSINESS-BUSINESS_OPERATIONS-3081 | Equipment | 137375.58</t>
        </is>
      </c>
      <c r="R3082" s="4" t="inlineStr">
        <is>
          <t>iPhone</t>
        </is>
      </c>
      <c r="S3082" s="4" t="inlineStr">
        <is>
          <t>B62</t>
        </is>
      </c>
      <c r="T3082" s="4" t="inlineStr">
        <is>
          <t>STRESS_3001_3500</t>
        </is>
      </c>
      <c r="U3082" s="4" t="inlineStr">
        <is>
          <t>CREATED</t>
        </is>
      </c>
      <c r="V3082" s="4" t="inlineStr">
        <is>
          <t>idem-20260902-ios-3081</t>
        </is>
      </c>
    </row>
    <row r="3083" ht="30" customHeight="1">
      <c r="A3083" s="4" t="n">
        <v>3082</v>
      </c>
      <c r="B3083" s="4" t="inlineStr">
        <is>
          <t>MTR-IOS-3082</t>
        </is>
      </c>
      <c r="C3083" s="4" t="inlineStr">
        <is>
          <t>Personal</t>
        </is>
      </c>
      <c r="D3083" s="4" t="inlineStr">
        <is>
          <t>Personal</t>
        </is>
      </c>
      <c r="E3083" s="4" t="inlineStr">
        <is>
          <t>Lifestyle</t>
        </is>
      </c>
      <c r="F3083" s="4" t="inlineStr">
        <is>
          <t>Travel</t>
        </is>
      </c>
      <c r="G3083" s="4" t="inlineStr">
        <is>
          <t>Expense</t>
        </is>
      </c>
      <c r="H3083" s="12" t="n">
        <v>46008</v>
      </c>
      <c r="I3083" s="13" t="n">
        <v>0.2458680555555555</v>
      </c>
      <c r="J3083" s="14" t="n">
        <v>46008.24586805556</v>
      </c>
      <c r="K3083" s="15" t="n">
        <v>6736.33</v>
      </c>
      <c r="L3083" s="4" t="inlineStr">
        <is>
          <t>INR</t>
        </is>
      </c>
      <c r="M3083" s="15" t="n">
        <v>-6736.33</v>
      </c>
      <c r="N3083" s="4" t="inlineStr">
        <is>
          <t>IOS Owner</t>
        </is>
      </c>
      <c r="O3083" s="4" t="n"/>
      <c r="P3083" s="4" t="n"/>
      <c r="Q3083" s="4" t="inlineStr">
        <is>
          <t>MAESTRO-IOS-PERSONAL-LIFESTYLE-3082 | Travel | 6736.33</t>
        </is>
      </c>
      <c r="R3083" s="4" t="inlineStr">
        <is>
          <t>iPhone</t>
        </is>
      </c>
      <c r="S3083" s="4" t="inlineStr">
        <is>
          <t>B62</t>
        </is>
      </c>
      <c r="T3083" s="4" t="inlineStr">
        <is>
          <t>STRESS_3001_3500</t>
        </is>
      </c>
      <c r="U3083" s="4" t="inlineStr">
        <is>
          <t>CREATED</t>
        </is>
      </c>
      <c r="V3083" s="4" t="inlineStr">
        <is>
          <t>idem-20260902-ios-3082</t>
        </is>
      </c>
    </row>
    <row r="3084" ht="30" customHeight="1">
      <c r="A3084" s="4" t="n">
        <v>3083</v>
      </c>
      <c r="B3084" s="4" t="inlineStr">
        <is>
          <t>MTR-IOS-3083</t>
        </is>
      </c>
      <c r="C3084" s="4" t="inlineStr">
        <is>
          <t>Group</t>
        </is>
      </c>
      <c r="D3084" s="4" t="inlineStr">
        <is>
          <t>Shared Living</t>
        </is>
      </c>
      <c r="E3084" s="4" t="inlineStr">
        <is>
          <t>Flatmates</t>
        </is>
      </c>
      <c r="F3084" s="4" t="inlineStr">
        <is>
          <t>Groceries</t>
        </is>
      </c>
      <c r="G3084" s="4" t="inlineStr">
        <is>
          <t>Expense</t>
        </is>
      </c>
      <c r="H3084" s="12" t="n">
        <v>46178</v>
      </c>
      <c r="I3084" s="13" t="n">
        <v>0.9517129629629629</v>
      </c>
      <c r="J3084" s="14" t="n">
        <v>46178.95171296296</v>
      </c>
      <c r="K3084" s="15" t="n">
        <v>18115.37</v>
      </c>
      <c r="L3084" s="4" t="inlineStr">
        <is>
          <t>INR</t>
        </is>
      </c>
      <c r="M3084" s="15" t="n">
        <v>-18115.37</v>
      </c>
      <c r="N3084" s="4" t="inlineStr">
        <is>
          <t>IOS Aarav</t>
        </is>
      </c>
      <c r="O3084" s="4" t="n">
        <v>3</v>
      </c>
      <c r="P3084" s="4" t="inlineStr">
        <is>
          <t>SHARES</t>
        </is>
      </c>
      <c r="Q3084" s="4" t="inlineStr">
        <is>
          <t>MAESTRO-IOS-GROUP-FLATMATES-3083 | Groceries | 18115.37</t>
        </is>
      </c>
      <c r="R3084" s="4" t="inlineStr">
        <is>
          <t>iPhone</t>
        </is>
      </c>
      <c r="S3084" s="4" t="inlineStr">
        <is>
          <t>B62</t>
        </is>
      </c>
      <c r="T3084" s="4" t="inlineStr">
        <is>
          <t>STRESS_3001_3500</t>
        </is>
      </c>
      <c r="U3084" s="4" t="inlineStr">
        <is>
          <t>CREATED</t>
        </is>
      </c>
      <c r="V3084" s="4" t="inlineStr">
        <is>
          <t>idem-20260902-ios-3083</t>
        </is>
      </c>
    </row>
    <row r="3085" ht="30" customHeight="1">
      <c r="A3085" s="4" t="n">
        <v>3084</v>
      </c>
      <c r="B3085" s="4" t="inlineStr">
        <is>
          <t>MTR-IOS-3084</t>
        </is>
      </c>
      <c r="C3085" s="4" t="inlineStr">
        <is>
          <t>Business</t>
        </is>
      </c>
      <c r="D3085" s="4" t="inlineStr">
        <is>
          <t>Business</t>
        </is>
      </c>
      <c r="E3085" s="4" t="inlineStr">
        <is>
          <t>Business Operations</t>
        </is>
      </c>
      <c r="F3085" s="4" t="inlineStr">
        <is>
          <t>Vendor</t>
        </is>
      </c>
      <c r="G3085" s="4" t="inlineStr">
        <is>
          <t>Expense</t>
        </is>
      </c>
      <c r="H3085" s="12" t="n">
        <v>46248</v>
      </c>
      <c r="I3085" s="13" t="n">
        <v>0.3324074074074074</v>
      </c>
      <c r="J3085" s="14" t="n">
        <v>46248.3324074074</v>
      </c>
      <c r="K3085" s="15" t="n">
        <v>38193.13</v>
      </c>
      <c r="L3085" s="4" t="inlineStr">
        <is>
          <t>INR</t>
        </is>
      </c>
      <c r="M3085" s="15" t="n">
        <v>-38193.13</v>
      </c>
      <c r="N3085" s="4" t="inlineStr">
        <is>
          <t>IOS Owner</t>
        </is>
      </c>
      <c r="O3085" s="4" t="n"/>
      <c r="P3085" s="4" t="n"/>
      <c r="Q3085" s="4" t="inlineStr">
        <is>
          <t>MAESTRO-IOS-BUSINESS-BUSINESS_OPERATIONS-3084 | Vendor | 38193.13</t>
        </is>
      </c>
      <c r="R3085" s="4" t="inlineStr">
        <is>
          <t>iPhone</t>
        </is>
      </c>
      <c r="S3085" s="4" t="inlineStr">
        <is>
          <t>B62</t>
        </is>
      </c>
      <c r="T3085" s="4" t="inlineStr">
        <is>
          <t>STRESS_3001_3500</t>
        </is>
      </c>
      <c r="U3085" s="4" t="inlineStr">
        <is>
          <t>CREATED</t>
        </is>
      </c>
      <c r="V3085" s="4" t="inlineStr">
        <is>
          <t>idem-20260902-ios-3084</t>
        </is>
      </c>
    </row>
    <row r="3086" ht="30" customHeight="1">
      <c r="A3086" s="4" t="n">
        <v>3085</v>
      </c>
      <c r="B3086" s="4" t="inlineStr">
        <is>
          <t>MTR-IOS-3085</t>
        </is>
      </c>
      <c r="C3086" s="4" t="inlineStr">
        <is>
          <t>Personal</t>
        </is>
      </c>
      <c r="D3086" s="4" t="inlineStr">
        <is>
          <t>Personal</t>
        </is>
      </c>
      <c r="E3086" s="4" t="inlineStr">
        <is>
          <t>Lifestyle</t>
        </is>
      </c>
      <c r="F3086" s="4" t="inlineStr">
        <is>
          <t>Fitness</t>
        </is>
      </c>
      <c r="G3086" s="4" t="inlineStr">
        <is>
          <t>Expense</t>
        </is>
      </c>
      <c r="H3086" s="12" t="n">
        <v>46197</v>
      </c>
      <c r="I3086" s="13" t="n">
        <v>0.8104050925925926</v>
      </c>
      <c r="J3086" s="14" t="n">
        <v>46197.81040509259</v>
      </c>
      <c r="K3086" s="15" t="n">
        <v>14080.42</v>
      </c>
      <c r="L3086" s="4" t="inlineStr">
        <is>
          <t>INR</t>
        </is>
      </c>
      <c r="M3086" s="15" t="n">
        <v>-14080.42</v>
      </c>
      <c r="N3086" s="4" t="inlineStr">
        <is>
          <t>IOS Owner</t>
        </is>
      </c>
      <c r="O3086" s="4" t="n"/>
      <c r="P3086" s="4" t="n"/>
      <c r="Q3086" s="4" t="inlineStr">
        <is>
          <t>MAESTRO-IOS-PERSONAL-LIFESTYLE-3085 | Fitness | 14080.42</t>
        </is>
      </c>
      <c r="R3086" s="4" t="inlineStr">
        <is>
          <t>iPhone</t>
        </is>
      </c>
      <c r="S3086" s="4" t="inlineStr">
        <is>
          <t>B62</t>
        </is>
      </c>
      <c r="T3086" s="4" t="inlineStr">
        <is>
          <t>STRESS_3001_3500</t>
        </is>
      </c>
      <c r="U3086" s="4" t="inlineStr">
        <is>
          <t>CREATED</t>
        </is>
      </c>
      <c r="V3086" s="4" t="inlineStr">
        <is>
          <t>idem-20260902-ios-3085</t>
        </is>
      </c>
    </row>
    <row r="3087" ht="30" customHeight="1">
      <c r="A3087" s="4" t="n">
        <v>3086</v>
      </c>
      <c r="B3087" s="4" t="inlineStr">
        <is>
          <t>MTR-IOS-3086</t>
        </is>
      </c>
      <c r="C3087" s="4" t="inlineStr">
        <is>
          <t>Group</t>
        </is>
      </c>
      <c r="D3087" s="4" t="inlineStr">
        <is>
          <t>Shared Living</t>
        </is>
      </c>
      <c r="E3087" s="4" t="inlineStr">
        <is>
          <t>Flatmates</t>
        </is>
      </c>
      <c r="F3087" s="4" t="inlineStr">
        <is>
          <t>Internet</t>
        </is>
      </c>
      <c r="G3087" s="4" t="inlineStr">
        <is>
          <t>Expense</t>
        </is>
      </c>
      <c r="H3087" s="12" t="n">
        <v>46253</v>
      </c>
      <c r="I3087" s="13" t="n">
        <v>0.5908101851851851</v>
      </c>
      <c r="J3087" s="14" t="n">
        <v>46253.59081018518</v>
      </c>
      <c r="K3087" s="15" t="n">
        <v>6368.95</v>
      </c>
      <c r="L3087" s="4" t="inlineStr">
        <is>
          <t>INR</t>
        </is>
      </c>
      <c r="M3087" s="15" t="n">
        <v>-6368.95</v>
      </c>
      <c r="N3087" s="4" t="inlineStr">
        <is>
          <t>IOS Meera</t>
        </is>
      </c>
      <c r="O3087" s="4" t="n">
        <v>3</v>
      </c>
      <c r="P3087" s="4" t="inlineStr">
        <is>
          <t>EQUAL</t>
        </is>
      </c>
      <c r="Q3087" s="4" t="inlineStr">
        <is>
          <t>MAESTRO-IOS-GROUP-FLATMATES-3086 | Internet | 6368.95</t>
        </is>
      </c>
      <c r="R3087" s="4" t="inlineStr">
        <is>
          <t>iPhone</t>
        </is>
      </c>
      <c r="S3087" s="4" t="inlineStr">
        <is>
          <t>B62</t>
        </is>
      </c>
      <c r="T3087" s="4" t="inlineStr">
        <is>
          <t>STRESS_3001_3500</t>
        </is>
      </c>
      <c r="U3087" s="4" t="inlineStr">
        <is>
          <t>CREATED</t>
        </is>
      </c>
      <c r="V3087" s="4" t="inlineStr">
        <is>
          <t>idem-20260902-ios-3086</t>
        </is>
      </c>
    </row>
    <row r="3088" ht="30" customHeight="1">
      <c r="A3088" s="4" t="n">
        <v>3087</v>
      </c>
      <c r="B3088" s="4" t="inlineStr">
        <is>
          <t>MTR-IOS-3087</t>
        </is>
      </c>
      <c r="C3088" s="4" t="inlineStr">
        <is>
          <t>Business</t>
        </is>
      </c>
      <c r="D3088" s="4" t="inlineStr">
        <is>
          <t>Business</t>
        </is>
      </c>
      <c r="E3088" s="4" t="inlineStr">
        <is>
          <t>Business Operations</t>
        </is>
      </c>
      <c r="F3088" s="4" t="inlineStr">
        <is>
          <t>Tax</t>
        </is>
      </c>
      <c r="G3088" s="4" t="inlineStr">
        <is>
          <t>Expense</t>
        </is>
      </c>
      <c r="H3088" s="12" t="n">
        <v>45981</v>
      </c>
      <c r="I3088" s="13" t="n">
        <v>0.6518171296296297</v>
      </c>
      <c r="J3088" s="14" t="n">
        <v>45981.65181712963</v>
      </c>
      <c r="K3088" s="15" t="n">
        <v>48549.72</v>
      </c>
      <c r="L3088" s="4" t="inlineStr">
        <is>
          <t>INR</t>
        </is>
      </c>
      <c r="M3088" s="15" t="n">
        <v>-48549.72</v>
      </c>
      <c r="N3088" s="4" t="inlineStr">
        <is>
          <t>IOS Owner</t>
        </is>
      </c>
      <c r="O3088" s="4" t="n"/>
      <c r="P3088" s="4" t="n"/>
      <c r="Q3088" s="4" t="inlineStr">
        <is>
          <t>MAESTRO-IOS-BUSINESS-BUSINESS_OPERATIONS-3087 | Tax | 48549.72</t>
        </is>
      </c>
      <c r="R3088" s="4" t="inlineStr">
        <is>
          <t>iPhone</t>
        </is>
      </c>
      <c r="S3088" s="4" t="inlineStr">
        <is>
          <t>B62</t>
        </is>
      </c>
      <c r="T3088" s="4" t="inlineStr">
        <is>
          <t>STRESS_3001_3500</t>
        </is>
      </c>
      <c r="U3088" s="4" t="inlineStr">
        <is>
          <t>CREATED</t>
        </is>
      </c>
      <c r="V3088" s="4" t="inlineStr">
        <is>
          <t>idem-20260902-ios-3087</t>
        </is>
      </c>
    </row>
    <row r="3089" ht="30" customHeight="1">
      <c r="A3089" s="4" t="n">
        <v>3088</v>
      </c>
      <c r="B3089" s="4" t="inlineStr">
        <is>
          <t>MTR-IOS-3088</t>
        </is>
      </c>
      <c r="C3089" s="4" t="inlineStr">
        <is>
          <t>Personal</t>
        </is>
      </c>
      <c r="D3089" s="4" t="inlineStr">
        <is>
          <t>Personal</t>
        </is>
      </c>
      <c r="E3089" s="4" t="inlineStr">
        <is>
          <t>Lifestyle</t>
        </is>
      </c>
      <c r="F3089" s="4" t="inlineStr">
        <is>
          <t>Hobbies</t>
        </is>
      </c>
      <c r="G3089" s="4" t="inlineStr">
        <is>
          <t>Expense</t>
        </is>
      </c>
      <c r="H3089" s="12" t="n">
        <v>46147</v>
      </c>
      <c r="I3089" s="13" t="n">
        <v>0.3374652777777778</v>
      </c>
      <c r="J3089" s="14" t="n">
        <v>46147.33746527778</v>
      </c>
      <c r="K3089" s="15" t="n">
        <v>12583.41</v>
      </c>
      <c r="L3089" s="4" t="inlineStr">
        <is>
          <t>INR</t>
        </is>
      </c>
      <c r="M3089" s="15" t="n">
        <v>-12583.41</v>
      </c>
      <c r="N3089" s="4" t="inlineStr">
        <is>
          <t>IOS Owner</t>
        </is>
      </c>
      <c r="O3089" s="4" t="n"/>
      <c r="P3089" s="4" t="n"/>
      <c r="Q3089" s="4" t="inlineStr">
        <is>
          <t>MAESTRO-IOS-PERSONAL-LIFESTYLE-3088 | Hobbies | 12583.41</t>
        </is>
      </c>
      <c r="R3089" s="4" t="inlineStr">
        <is>
          <t>iPhone</t>
        </is>
      </c>
      <c r="S3089" s="4" t="inlineStr">
        <is>
          <t>B62</t>
        </is>
      </c>
      <c r="T3089" s="4" t="inlineStr">
        <is>
          <t>STRESS_3001_3500</t>
        </is>
      </c>
      <c r="U3089" s="4" t="inlineStr">
        <is>
          <t>CREATED</t>
        </is>
      </c>
      <c r="V3089" s="4" t="inlineStr">
        <is>
          <t>idem-20260902-ios-3088</t>
        </is>
      </c>
    </row>
    <row r="3090" ht="30" customHeight="1">
      <c r="A3090" s="4" t="n">
        <v>3089</v>
      </c>
      <c r="B3090" s="4" t="inlineStr">
        <is>
          <t>MTR-IOS-3089</t>
        </is>
      </c>
      <c r="C3090" s="4" t="inlineStr">
        <is>
          <t>Group</t>
        </is>
      </c>
      <c r="D3090" s="4" t="inlineStr">
        <is>
          <t>Shared Living</t>
        </is>
      </c>
      <c r="E3090" s="4" t="inlineStr">
        <is>
          <t>Flatmates</t>
        </is>
      </c>
      <c r="F3090" s="4" t="inlineStr">
        <is>
          <t>House Supplies</t>
        </is>
      </c>
      <c r="G3090" s="4" t="inlineStr">
        <is>
          <t>Expense</t>
        </is>
      </c>
      <c r="H3090" s="12" t="n">
        <v>45923</v>
      </c>
      <c r="I3090" s="13" t="n">
        <v>0.5467245370370371</v>
      </c>
      <c r="J3090" s="14" t="n">
        <v>45923.54672453704</v>
      </c>
      <c r="K3090" s="15" t="n">
        <v>26483.92</v>
      </c>
      <c r="L3090" s="4" t="inlineStr">
        <is>
          <t>INR</t>
        </is>
      </c>
      <c r="M3090" s="15" t="n">
        <v>-26483.92</v>
      </c>
      <c r="N3090" s="4" t="inlineStr">
        <is>
          <t>IOS Owner</t>
        </is>
      </c>
      <c r="O3090" s="4" t="n">
        <v>3</v>
      </c>
      <c r="P3090" s="4" t="inlineStr">
        <is>
          <t>PERCENTAGE</t>
        </is>
      </c>
      <c r="Q3090" s="4" t="inlineStr">
        <is>
          <t>MAESTRO-IOS-GROUP-FLATMATES-3089 | House Supplies | 26483.92</t>
        </is>
      </c>
      <c r="R3090" s="4" t="inlineStr">
        <is>
          <t>iPhone</t>
        </is>
      </c>
      <c r="S3090" s="4" t="inlineStr">
        <is>
          <t>B62</t>
        </is>
      </c>
      <c r="T3090" s="4" t="inlineStr">
        <is>
          <t>STRESS_3001_3500</t>
        </is>
      </c>
      <c r="U3090" s="4" t="inlineStr">
        <is>
          <t>CREATED</t>
        </is>
      </c>
      <c r="V3090" s="4" t="inlineStr">
        <is>
          <t>idem-20260902-ios-3089</t>
        </is>
      </c>
    </row>
    <row r="3091" ht="30" customHeight="1">
      <c r="A3091" s="4" t="n">
        <v>3090</v>
      </c>
      <c r="B3091" s="4" t="inlineStr">
        <is>
          <t>MTR-IOS-3090</t>
        </is>
      </c>
      <c r="C3091" s="4" t="inlineStr">
        <is>
          <t>Business</t>
        </is>
      </c>
      <c r="D3091" s="4" t="inlineStr">
        <is>
          <t>Business</t>
        </is>
      </c>
      <c r="E3091" s="4" t="inlineStr">
        <is>
          <t>Team Operations</t>
        </is>
      </c>
      <c r="F3091" s="4" t="inlineStr">
        <is>
          <t>Payroll</t>
        </is>
      </c>
      <c r="G3091" s="4" t="inlineStr">
        <is>
          <t>Expense</t>
        </is>
      </c>
      <c r="H3091" s="12" t="n">
        <v>46236</v>
      </c>
      <c r="I3091" s="13" t="n">
        <v>0.6136458333333333</v>
      </c>
      <c r="J3091" s="14" t="n">
        <v>46236.61364583333</v>
      </c>
      <c r="K3091" s="15" t="n">
        <v>16038.77</v>
      </c>
      <c r="L3091" s="4" t="inlineStr">
        <is>
          <t>INR</t>
        </is>
      </c>
      <c r="M3091" s="15" t="n">
        <v>-16038.77</v>
      </c>
      <c r="N3091" s="4" t="inlineStr">
        <is>
          <t>IOS Owner</t>
        </is>
      </c>
      <c r="O3091" s="4" t="n"/>
      <c r="P3091" s="4" t="n"/>
      <c r="Q3091" s="4" t="inlineStr">
        <is>
          <t>MAESTRO-IOS-BUSINESS-TEAM_OPERATIONS-3090 | Payroll | 16038.77</t>
        </is>
      </c>
      <c r="R3091" s="4" t="inlineStr">
        <is>
          <t>iPhone</t>
        </is>
      </c>
      <c r="S3091" s="4" t="inlineStr">
        <is>
          <t>B62</t>
        </is>
      </c>
      <c r="T3091" s="4" t="inlineStr">
        <is>
          <t>STRESS_3001_3500</t>
        </is>
      </c>
      <c r="U3091" s="4" t="inlineStr">
        <is>
          <t>CREATED</t>
        </is>
      </c>
      <c r="V3091" s="4" t="inlineStr">
        <is>
          <t>idem-20260902-ios-3090</t>
        </is>
      </c>
    </row>
    <row r="3092" ht="30" customHeight="1">
      <c r="A3092" s="4" t="n">
        <v>3091</v>
      </c>
      <c r="B3092" s="4" t="inlineStr">
        <is>
          <t>MTR-IOS-3091</t>
        </is>
      </c>
      <c r="C3092" s="4" t="inlineStr">
        <is>
          <t>Personal</t>
        </is>
      </c>
      <c r="D3092" s="4" t="inlineStr">
        <is>
          <t>Personal</t>
        </is>
      </c>
      <c r="E3092" s="4" t="inlineStr">
        <is>
          <t>Relationships</t>
        </is>
      </c>
      <c r="F3092" s="4" t="inlineStr">
        <is>
          <t>Gifts</t>
        </is>
      </c>
      <c r="G3092" s="4" t="inlineStr">
        <is>
          <t>Expense</t>
        </is>
      </c>
      <c r="H3092" s="12" t="n">
        <v>46143</v>
      </c>
      <c r="I3092" s="13" t="n">
        <v>0.9968055555555555</v>
      </c>
      <c r="J3092" s="14" t="n">
        <v>46143.99680555556</v>
      </c>
      <c r="K3092" s="15" t="n">
        <v>13722.18</v>
      </c>
      <c r="L3092" s="4" t="inlineStr">
        <is>
          <t>INR</t>
        </is>
      </c>
      <c r="M3092" s="15" t="n">
        <v>-13722.18</v>
      </c>
      <c r="N3092" s="4" t="inlineStr">
        <is>
          <t>IOS Owner</t>
        </is>
      </c>
      <c r="O3092" s="4" t="n"/>
      <c r="P3092" s="4" t="n"/>
      <c r="Q3092" s="4" t="inlineStr">
        <is>
          <t>MAESTRO-IOS-PERSONAL-RELATIONSHIPS-3091 | Gifts | 13722.18</t>
        </is>
      </c>
      <c r="R3092" s="4" t="inlineStr">
        <is>
          <t>iPhone</t>
        </is>
      </c>
      <c r="S3092" s="4" t="inlineStr">
        <is>
          <t>B62</t>
        </is>
      </c>
      <c r="T3092" s="4" t="inlineStr">
        <is>
          <t>STRESS_3001_3500</t>
        </is>
      </c>
      <c r="U3092" s="4" t="inlineStr">
        <is>
          <t>CREATED</t>
        </is>
      </c>
      <c r="V3092" s="4" t="inlineStr">
        <is>
          <t>idem-20260902-ios-3091</t>
        </is>
      </c>
    </row>
    <row r="3093" ht="30" customHeight="1">
      <c r="A3093" s="4" t="n">
        <v>3092</v>
      </c>
      <c r="B3093" s="4" t="inlineStr">
        <is>
          <t>MTR-IOS-3092</t>
        </is>
      </c>
      <c r="C3093" s="4" t="inlineStr">
        <is>
          <t>Group</t>
        </is>
      </c>
      <c r="D3093" s="4" t="inlineStr">
        <is>
          <t>Shared Living</t>
        </is>
      </c>
      <c r="E3093" s="4" t="inlineStr">
        <is>
          <t>Flatmates</t>
        </is>
      </c>
      <c r="F3093" s="4" t="inlineStr">
        <is>
          <t>Repairs</t>
        </is>
      </c>
      <c r="G3093" s="4" t="inlineStr">
        <is>
          <t>Expense</t>
        </is>
      </c>
      <c r="H3093" s="12" t="n">
        <v>45988</v>
      </c>
      <c r="I3093" s="13" t="n">
        <v>0.146412037037037</v>
      </c>
      <c r="J3093" s="14" t="n">
        <v>45988.14641203704</v>
      </c>
      <c r="K3093" s="15" t="n">
        <v>1456.23</v>
      </c>
      <c r="L3093" s="4" t="inlineStr">
        <is>
          <t>INR</t>
        </is>
      </c>
      <c r="M3093" s="15" t="n">
        <v>-1456.23</v>
      </c>
      <c r="N3093" s="4" t="inlineStr">
        <is>
          <t>IOS Aarav</t>
        </is>
      </c>
      <c r="O3093" s="4" t="n">
        <v>3</v>
      </c>
      <c r="P3093" s="4" t="inlineStr">
        <is>
          <t>EXACT</t>
        </is>
      </c>
      <c r="Q3093" s="4" t="inlineStr">
        <is>
          <t>MAESTRO-IOS-GROUP-FLATMATES-3092 | Repairs | 1456.23</t>
        </is>
      </c>
      <c r="R3093" s="4" t="inlineStr">
        <is>
          <t>iPhone</t>
        </is>
      </c>
      <c r="S3093" s="4" t="inlineStr">
        <is>
          <t>B62</t>
        </is>
      </c>
      <c r="T3093" s="4" t="inlineStr">
        <is>
          <t>STRESS_3001_3500</t>
        </is>
      </c>
      <c r="U3093" s="4" t="inlineStr">
        <is>
          <t>CREATED</t>
        </is>
      </c>
      <c r="V3093" s="4" t="inlineStr">
        <is>
          <t>idem-20260902-ios-3092</t>
        </is>
      </c>
    </row>
    <row r="3094" ht="30" customHeight="1">
      <c r="A3094" s="4" t="n">
        <v>3093</v>
      </c>
      <c r="B3094" s="4" t="inlineStr">
        <is>
          <t>MTR-IOS-3093</t>
        </is>
      </c>
      <c r="C3094" s="4" t="inlineStr">
        <is>
          <t>Business</t>
        </is>
      </c>
      <c r="D3094" s="4" t="inlineStr">
        <is>
          <t>Business</t>
        </is>
      </c>
      <c r="E3094" s="4" t="inlineStr">
        <is>
          <t>Team Operations</t>
        </is>
      </c>
      <c r="F3094" s="4" t="inlineStr">
        <is>
          <t>Contractor</t>
        </is>
      </c>
      <c r="G3094" s="4" t="inlineStr">
        <is>
          <t>Expense</t>
        </is>
      </c>
      <c r="H3094" s="12" t="n">
        <v>46160</v>
      </c>
      <c r="I3094" s="13" t="n">
        <v>0.4059490740740741</v>
      </c>
      <c r="J3094" s="14" t="n">
        <v>46160.40594907408</v>
      </c>
      <c r="K3094" s="15" t="n">
        <v>48254.08</v>
      </c>
      <c r="L3094" s="4" t="inlineStr">
        <is>
          <t>INR</t>
        </is>
      </c>
      <c r="M3094" s="15" t="n">
        <v>-48254.08</v>
      </c>
      <c r="N3094" s="4" t="inlineStr">
        <is>
          <t>IOS Owner</t>
        </is>
      </c>
      <c r="O3094" s="4" t="n"/>
      <c r="P3094" s="4" t="n"/>
      <c r="Q3094" s="4" t="inlineStr">
        <is>
          <t>MAESTRO-IOS-BUSINESS-TEAM_OPERATIONS-3093 | Contractor | 48254.08</t>
        </is>
      </c>
      <c r="R3094" s="4" t="inlineStr">
        <is>
          <t>iPhone</t>
        </is>
      </c>
      <c r="S3094" s="4" t="inlineStr">
        <is>
          <t>B62</t>
        </is>
      </c>
      <c r="T3094" s="4" t="inlineStr">
        <is>
          <t>STRESS_3001_3500</t>
        </is>
      </c>
      <c r="U3094" s="4" t="inlineStr">
        <is>
          <t>CREATED</t>
        </is>
      </c>
      <c r="V3094" s="4" t="inlineStr">
        <is>
          <t>idem-20260902-ios-3093</t>
        </is>
      </c>
    </row>
    <row r="3095" ht="30" customHeight="1">
      <c r="A3095" s="4" t="n">
        <v>3094</v>
      </c>
      <c r="B3095" s="4" t="inlineStr">
        <is>
          <t>MTR-IOS-3094</t>
        </is>
      </c>
      <c r="C3095" s="4" t="inlineStr">
        <is>
          <t>Personal</t>
        </is>
      </c>
      <c r="D3095" s="4" t="inlineStr">
        <is>
          <t>Personal</t>
        </is>
      </c>
      <c r="E3095" s="4" t="inlineStr">
        <is>
          <t>Relationships</t>
        </is>
      </c>
      <c r="F3095" s="4" t="inlineStr">
        <is>
          <t>Dates</t>
        </is>
      </c>
      <c r="G3095" s="4" t="inlineStr">
        <is>
          <t>Expense</t>
        </is>
      </c>
      <c r="H3095" s="12" t="n">
        <v>46132</v>
      </c>
      <c r="I3095" s="13" t="n">
        <v>0.4666435185185185</v>
      </c>
      <c r="J3095" s="14" t="n">
        <v>46132.46664351852</v>
      </c>
      <c r="K3095" s="15" t="n">
        <v>12786.28</v>
      </c>
      <c r="L3095" s="4" t="inlineStr">
        <is>
          <t>INR</t>
        </is>
      </c>
      <c r="M3095" s="15" t="n">
        <v>-12786.28</v>
      </c>
      <c r="N3095" s="4" t="inlineStr">
        <is>
          <t>IOS Owner</t>
        </is>
      </c>
      <c r="O3095" s="4" t="n"/>
      <c r="P3095" s="4" t="n"/>
      <c r="Q3095" s="4" t="inlineStr">
        <is>
          <t>MAESTRO-IOS-PERSONAL-RELATIONSHIPS-3094 | Dates | 12786.28</t>
        </is>
      </c>
      <c r="R3095" s="4" t="inlineStr">
        <is>
          <t>iPhone</t>
        </is>
      </c>
      <c r="S3095" s="4" t="inlineStr">
        <is>
          <t>B62</t>
        </is>
      </c>
      <c r="T3095" s="4" t="inlineStr">
        <is>
          <t>STRESS_3001_3500</t>
        </is>
      </c>
      <c r="U3095" s="4" t="inlineStr">
        <is>
          <t>CREATED</t>
        </is>
      </c>
      <c r="V3095" s="4" t="inlineStr">
        <is>
          <t>idem-20260902-ios-3094</t>
        </is>
      </c>
    </row>
    <row r="3096" ht="30" customHeight="1">
      <c r="A3096" s="4" t="n">
        <v>3095</v>
      </c>
      <c r="B3096" s="4" t="inlineStr">
        <is>
          <t>MTR-IOS-3095</t>
        </is>
      </c>
      <c r="C3096" s="4" t="inlineStr">
        <is>
          <t>Group</t>
        </is>
      </c>
      <c r="D3096" s="4" t="inlineStr">
        <is>
          <t>Shared Living</t>
        </is>
      </c>
      <c r="E3096" s="4" t="inlineStr">
        <is>
          <t>Shared Living</t>
        </is>
      </c>
      <c r="F3096" s="4" t="inlineStr">
        <is>
          <t>Rent</t>
        </is>
      </c>
      <c r="G3096" s="4" t="inlineStr">
        <is>
          <t>Expense</t>
        </is>
      </c>
      <c r="H3096" s="12" t="n">
        <v>45977</v>
      </c>
      <c r="I3096" s="13" t="n">
        <v>0.6986805555555555</v>
      </c>
      <c r="J3096" s="14" t="n">
        <v>45977.69868055556</v>
      </c>
      <c r="K3096" s="15" t="n">
        <v>7466.73</v>
      </c>
      <c r="L3096" s="4" t="inlineStr">
        <is>
          <t>INR</t>
        </is>
      </c>
      <c r="M3096" s="15" t="n">
        <v>-7466.73</v>
      </c>
      <c r="N3096" s="4" t="inlineStr">
        <is>
          <t>IOS Meera</t>
        </is>
      </c>
      <c r="O3096" s="4" t="n">
        <v>3</v>
      </c>
      <c r="P3096" s="4" t="inlineStr">
        <is>
          <t>SHARES</t>
        </is>
      </c>
      <c r="Q3096" s="4" t="inlineStr">
        <is>
          <t>MAESTRO-IOS-GROUP-SHARED_LIVING-3095 | Rent | 7466.73</t>
        </is>
      </c>
      <c r="R3096" s="4" t="inlineStr">
        <is>
          <t>iPhone</t>
        </is>
      </c>
      <c r="S3096" s="4" t="inlineStr">
        <is>
          <t>B62</t>
        </is>
      </c>
      <c r="T3096" s="4" t="inlineStr">
        <is>
          <t>STRESS_3001_3500</t>
        </is>
      </c>
      <c r="U3096" s="4" t="inlineStr">
        <is>
          <t>CREATED</t>
        </is>
      </c>
      <c r="V3096" s="4" t="inlineStr">
        <is>
          <t>idem-20260902-ios-3095</t>
        </is>
      </c>
    </row>
    <row r="3097" ht="30" customHeight="1">
      <c r="A3097" s="4" t="n">
        <v>3096</v>
      </c>
      <c r="B3097" s="4" t="inlineStr">
        <is>
          <t>MTR-IOS-3096</t>
        </is>
      </c>
      <c r="C3097" s="4" t="inlineStr">
        <is>
          <t>Business</t>
        </is>
      </c>
      <c r="D3097" s="4" t="inlineStr">
        <is>
          <t>Business</t>
        </is>
      </c>
      <c r="E3097" s="4" t="inlineStr">
        <is>
          <t>Team Operations</t>
        </is>
      </c>
      <c r="F3097" s="4" t="inlineStr">
        <is>
          <t>Hiring</t>
        </is>
      </c>
      <c r="G3097" s="4" t="inlineStr">
        <is>
          <t>Expense</t>
        </is>
      </c>
      <c r="H3097" s="12" t="n">
        <v>45972</v>
      </c>
      <c r="I3097" s="13" t="n">
        <v>0.6374189814814815</v>
      </c>
      <c r="J3097" s="14" t="n">
        <v>45972.63741898148</v>
      </c>
      <c r="K3097" s="15" t="n">
        <v>96926.75</v>
      </c>
      <c r="L3097" s="4" t="inlineStr">
        <is>
          <t>INR</t>
        </is>
      </c>
      <c r="M3097" s="15" t="n">
        <v>-96926.75</v>
      </c>
      <c r="N3097" s="4" t="inlineStr">
        <is>
          <t>IOS Owner</t>
        </is>
      </c>
      <c r="O3097" s="4" t="n"/>
      <c r="P3097" s="4" t="n"/>
      <c r="Q3097" s="4" t="inlineStr">
        <is>
          <t>MAESTRO-IOS-BUSINESS-TEAM_OPERATIONS-3096 | Hiring | 96926.75</t>
        </is>
      </c>
      <c r="R3097" s="4" t="inlineStr">
        <is>
          <t>iPhone</t>
        </is>
      </c>
      <c r="S3097" s="4" t="inlineStr">
        <is>
          <t>B62</t>
        </is>
      </c>
      <c r="T3097" s="4" t="inlineStr">
        <is>
          <t>STRESS_3001_3500</t>
        </is>
      </c>
      <c r="U3097" s="4" t="inlineStr">
        <is>
          <t>CREATED</t>
        </is>
      </c>
      <c r="V3097" s="4" t="inlineStr">
        <is>
          <t>idem-20260902-ios-3096</t>
        </is>
      </c>
    </row>
    <row r="3098" ht="30" customHeight="1">
      <c r="A3098" s="4" t="n">
        <v>3097</v>
      </c>
      <c r="B3098" s="4" t="inlineStr">
        <is>
          <t>MTR-IOS-3097</t>
        </is>
      </c>
      <c r="C3098" s="4" t="inlineStr">
        <is>
          <t>Personal</t>
        </is>
      </c>
      <c r="D3098" s="4" t="inlineStr">
        <is>
          <t>Personal</t>
        </is>
      </c>
      <c r="E3098" s="4" t="inlineStr">
        <is>
          <t>Relationships</t>
        </is>
      </c>
      <c r="F3098" s="4" t="inlineStr">
        <is>
          <t>Family</t>
        </is>
      </c>
      <c r="G3098" s="4" t="inlineStr">
        <is>
          <t>Expense</t>
        </is>
      </c>
      <c r="H3098" s="12" t="n">
        <v>46232</v>
      </c>
      <c r="I3098" s="13" t="n">
        <v>0.7398148148148148</v>
      </c>
      <c r="J3098" s="14" t="n">
        <v>46232.73981481481</v>
      </c>
      <c r="K3098" s="15" t="n">
        <v>6843.77</v>
      </c>
      <c r="L3098" s="4" t="inlineStr">
        <is>
          <t>INR</t>
        </is>
      </c>
      <c r="M3098" s="15" t="n">
        <v>-6843.77</v>
      </c>
      <c r="N3098" s="4" t="inlineStr">
        <is>
          <t>IOS Owner</t>
        </is>
      </c>
      <c r="O3098" s="4" t="n"/>
      <c r="P3098" s="4" t="n"/>
      <c r="Q3098" s="4" t="inlineStr">
        <is>
          <t>MAESTRO-IOS-PERSONAL-RELATIONSHIPS-3097 | Family | 6843.77</t>
        </is>
      </c>
      <c r="R3098" s="4" t="inlineStr">
        <is>
          <t>iPhone</t>
        </is>
      </c>
      <c r="S3098" s="4" t="inlineStr">
        <is>
          <t>B62</t>
        </is>
      </c>
      <c r="T3098" s="4" t="inlineStr">
        <is>
          <t>STRESS_3001_3500</t>
        </is>
      </c>
      <c r="U3098" s="4" t="inlineStr">
        <is>
          <t>CREATED</t>
        </is>
      </c>
      <c r="V3098" s="4" t="inlineStr">
        <is>
          <t>idem-20260902-ios-3097</t>
        </is>
      </c>
    </row>
    <row r="3099" ht="30" customHeight="1">
      <c r="A3099" s="4" t="n">
        <v>3098</v>
      </c>
      <c r="B3099" s="4" t="inlineStr">
        <is>
          <t>MTR-IOS-3098</t>
        </is>
      </c>
      <c r="C3099" s="4" t="inlineStr">
        <is>
          <t>Group</t>
        </is>
      </c>
      <c r="D3099" s="4" t="inlineStr">
        <is>
          <t>Shared Living</t>
        </is>
      </c>
      <c r="E3099" s="4" t="inlineStr">
        <is>
          <t>Shared Living</t>
        </is>
      </c>
      <c r="F3099" s="4" t="inlineStr">
        <is>
          <t>Utilities</t>
        </is>
      </c>
      <c r="G3099" s="4" t="inlineStr">
        <is>
          <t>Expense</t>
        </is>
      </c>
      <c r="H3099" s="12" t="n">
        <v>45909</v>
      </c>
      <c r="I3099" s="13" t="n">
        <v>0.2034722222222222</v>
      </c>
      <c r="J3099" s="14" t="n">
        <v>45909.20347222222</v>
      </c>
      <c r="K3099" s="15" t="n">
        <v>17933.77</v>
      </c>
      <c r="L3099" s="4" t="inlineStr">
        <is>
          <t>INR</t>
        </is>
      </c>
      <c r="M3099" s="15" t="n">
        <v>-17933.77</v>
      </c>
      <c r="N3099" s="4" t="inlineStr">
        <is>
          <t>IOS Owner</t>
        </is>
      </c>
      <c r="O3099" s="4" t="n">
        <v>3</v>
      </c>
      <c r="P3099" s="4" t="inlineStr">
        <is>
          <t>EQUAL</t>
        </is>
      </c>
      <c r="Q3099" s="4" t="inlineStr">
        <is>
          <t>MAESTRO-IOS-GROUP-SHARED_LIVING-3098 | Utilities | 17933.77</t>
        </is>
      </c>
      <c r="R3099" s="4" t="inlineStr">
        <is>
          <t>iPhone</t>
        </is>
      </c>
      <c r="S3099" s="4" t="inlineStr">
        <is>
          <t>B62</t>
        </is>
      </c>
      <c r="T3099" s="4" t="inlineStr">
        <is>
          <t>STRESS_3001_3500</t>
        </is>
      </c>
      <c r="U3099" s="4" t="inlineStr">
        <is>
          <t>CREATED</t>
        </is>
      </c>
      <c r="V3099" s="4" t="inlineStr">
        <is>
          <t>idem-20260902-ios-3098</t>
        </is>
      </c>
    </row>
    <row r="3100" ht="30" customHeight="1">
      <c r="A3100" s="4" t="n">
        <v>3099</v>
      </c>
      <c r="B3100" s="4" t="inlineStr">
        <is>
          <t>MTR-IOS-3099</t>
        </is>
      </c>
      <c r="C3100" s="4" t="inlineStr">
        <is>
          <t>Business</t>
        </is>
      </c>
      <c r="D3100" s="4" t="inlineStr">
        <is>
          <t>Business</t>
        </is>
      </c>
      <c r="E3100" s="4" t="inlineStr">
        <is>
          <t>Team Operations</t>
        </is>
      </c>
      <c r="F3100" s="4" t="inlineStr">
        <is>
          <t>Team Meal</t>
        </is>
      </c>
      <c r="G3100" s="4" t="inlineStr">
        <is>
          <t>Expense</t>
        </is>
      </c>
      <c r="H3100" s="12" t="n">
        <v>46025</v>
      </c>
      <c r="I3100" s="13" t="n">
        <v>0.4455092592592593</v>
      </c>
      <c r="J3100" s="14" t="n">
        <v>46025.44550925926</v>
      </c>
      <c r="K3100" s="15" t="n">
        <v>89854.11</v>
      </c>
      <c r="L3100" s="4" t="inlineStr">
        <is>
          <t>INR</t>
        </is>
      </c>
      <c r="M3100" s="15" t="n">
        <v>-89854.11</v>
      </c>
      <c r="N3100" s="4" t="inlineStr">
        <is>
          <t>IOS Owner</t>
        </is>
      </c>
      <c r="O3100" s="4" t="n"/>
      <c r="P3100" s="4" t="n"/>
      <c r="Q3100" s="4" t="inlineStr">
        <is>
          <t>MAESTRO-IOS-BUSINESS-TEAM_OPERATIONS-3099 | Team Meal | 89854.11</t>
        </is>
      </c>
      <c r="R3100" s="4" t="inlineStr">
        <is>
          <t>iPhone</t>
        </is>
      </c>
      <c r="S3100" s="4" t="inlineStr">
        <is>
          <t>B62</t>
        </is>
      </c>
      <c r="T3100" s="4" t="inlineStr">
        <is>
          <t>STRESS_3001_3500</t>
        </is>
      </c>
      <c r="U3100" s="4" t="inlineStr">
        <is>
          <t>CREATED</t>
        </is>
      </c>
      <c r="V3100" s="4" t="inlineStr">
        <is>
          <t>idem-20260902-ios-3099</t>
        </is>
      </c>
    </row>
    <row r="3101" ht="30" customHeight="1">
      <c r="A3101" s="4" t="n">
        <v>3100</v>
      </c>
      <c r="B3101" s="4" t="inlineStr">
        <is>
          <t>MTR-IOS-3100</t>
        </is>
      </c>
      <c r="C3101" s="4" t="inlineStr">
        <is>
          <t>Personal</t>
        </is>
      </c>
      <c r="D3101" s="4" t="inlineStr">
        <is>
          <t>Personal</t>
        </is>
      </c>
      <c r="E3101" s="4" t="inlineStr">
        <is>
          <t>Relationships</t>
        </is>
      </c>
      <c r="F3101" s="4" t="inlineStr">
        <is>
          <t>Friends</t>
        </is>
      </c>
      <c r="G3101" s="4" t="inlineStr">
        <is>
          <t>Expense</t>
        </is>
      </c>
      <c r="H3101" s="12" t="n">
        <v>46010</v>
      </c>
      <c r="I3101" s="13" t="n">
        <v>0.8532291666666667</v>
      </c>
      <c r="J3101" s="14" t="n">
        <v>46010.85322916666</v>
      </c>
      <c r="K3101" s="15" t="n">
        <v>9505.969999999999</v>
      </c>
      <c r="L3101" s="4" t="inlineStr">
        <is>
          <t>INR</t>
        </is>
      </c>
      <c r="M3101" s="15" t="n">
        <v>-9505.969999999999</v>
      </c>
      <c r="N3101" s="4" t="inlineStr">
        <is>
          <t>IOS Owner</t>
        </is>
      </c>
      <c r="O3101" s="4" t="n"/>
      <c r="P3101" s="4" t="n"/>
      <c r="Q3101" s="4" t="inlineStr">
        <is>
          <t>MAESTRO-IOS-PERSONAL-RELATIONSHIPS-3100 | Friends | 9505.97</t>
        </is>
      </c>
      <c r="R3101" s="4" t="inlineStr">
        <is>
          <t>iPhone</t>
        </is>
      </c>
      <c r="S3101" s="4" t="inlineStr">
        <is>
          <t>B62</t>
        </is>
      </c>
      <c r="T3101" s="4" t="inlineStr">
        <is>
          <t>STRESS_3001_3500</t>
        </is>
      </c>
      <c r="U3101" s="4" t="inlineStr">
        <is>
          <t>CREATED</t>
        </is>
      </c>
      <c r="V3101" s="4" t="inlineStr">
        <is>
          <t>idem-20260902-ios-3100</t>
        </is>
      </c>
    </row>
    <row r="3102" ht="30" customHeight="1">
      <c r="A3102" s="4" t="n">
        <v>3101</v>
      </c>
      <c r="B3102" s="4" t="inlineStr">
        <is>
          <t>MTR-IOS-3101</t>
        </is>
      </c>
      <c r="C3102" s="4" t="inlineStr">
        <is>
          <t>Group</t>
        </is>
      </c>
      <c r="D3102" s="4" t="inlineStr">
        <is>
          <t>Shared Living</t>
        </is>
      </c>
      <c r="E3102" s="4" t="inlineStr">
        <is>
          <t>Shared Living</t>
        </is>
      </c>
      <c r="F3102" s="4" t="inlineStr">
        <is>
          <t>Groceries</t>
        </is>
      </c>
      <c r="G3102" s="4" t="inlineStr">
        <is>
          <t>Expense</t>
        </is>
      </c>
      <c r="H3102" s="12" t="n">
        <v>46129</v>
      </c>
      <c r="I3102" s="13" t="n">
        <v>0.6325578703703704</v>
      </c>
      <c r="J3102" s="14" t="n">
        <v>46129.63255787037</v>
      </c>
      <c r="K3102" s="15" t="n">
        <v>20018.83</v>
      </c>
      <c r="L3102" s="4" t="inlineStr">
        <is>
          <t>INR</t>
        </is>
      </c>
      <c r="M3102" s="15" t="n">
        <v>-20018.83</v>
      </c>
      <c r="N3102" s="4" t="inlineStr">
        <is>
          <t>IOS Aarav</t>
        </is>
      </c>
      <c r="O3102" s="4" t="n">
        <v>3</v>
      </c>
      <c r="P3102" s="4" t="inlineStr">
        <is>
          <t>PERCENTAGE</t>
        </is>
      </c>
      <c r="Q3102" s="4" t="inlineStr">
        <is>
          <t>MAESTRO-IOS-GROUP-SHARED_LIVING-3101 | Groceries | 20018.83</t>
        </is>
      </c>
      <c r="R3102" s="4" t="inlineStr">
        <is>
          <t>iPhone</t>
        </is>
      </c>
      <c r="S3102" s="4" t="inlineStr">
        <is>
          <t>B63</t>
        </is>
      </c>
      <c r="T3102" s="4" t="inlineStr">
        <is>
          <t>STRESS_3001_3500</t>
        </is>
      </c>
      <c r="U3102" s="4" t="inlineStr">
        <is>
          <t>CREATED</t>
        </is>
      </c>
      <c r="V3102" s="4" t="inlineStr">
        <is>
          <t>idem-20260902-ios-3101</t>
        </is>
      </c>
    </row>
    <row r="3103" ht="30" customHeight="1">
      <c r="A3103" s="4" t="n">
        <v>3102</v>
      </c>
      <c r="B3103" s="4" t="inlineStr">
        <is>
          <t>MTR-IOS-3102</t>
        </is>
      </c>
      <c r="C3103" s="4" t="inlineStr">
        <is>
          <t>Business</t>
        </is>
      </c>
      <c r="D3103" s="4" t="inlineStr">
        <is>
          <t>Business</t>
        </is>
      </c>
      <c r="E3103" s="4" t="inlineStr">
        <is>
          <t>Team Operations</t>
        </is>
      </c>
      <c r="F3103" s="4" t="inlineStr">
        <is>
          <t>Travel</t>
        </is>
      </c>
      <c r="G3103" s="4" t="inlineStr">
        <is>
          <t>Expense</t>
        </is>
      </c>
      <c r="H3103" s="12" t="n">
        <v>46070</v>
      </c>
      <c r="I3103" s="13" t="n">
        <v>0.9981481481481481</v>
      </c>
      <c r="J3103" s="14" t="n">
        <v>46070.99814814814</v>
      </c>
      <c r="K3103" s="15" t="n">
        <v>134124.94</v>
      </c>
      <c r="L3103" s="4" t="inlineStr">
        <is>
          <t>INR</t>
        </is>
      </c>
      <c r="M3103" s="15" t="n">
        <v>-134124.94</v>
      </c>
      <c r="N3103" s="4" t="inlineStr">
        <is>
          <t>IOS Owner</t>
        </is>
      </c>
      <c r="O3103" s="4" t="n"/>
      <c r="P3103" s="4" t="n"/>
      <c r="Q3103" s="4" t="inlineStr">
        <is>
          <t>MAESTRO-IOS-BUSINESS-TEAM_OPERATIONS-3102 | Travel | 134124.94</t>
        </is>
      </c>
      <c r="R3103" s="4" t="inlineStr">
        <is>
          <t>iPhone</t>
        </is>
      </c>
      <c r="S3103" s="4" t="inlineStr">
        <is>
          <t>B63</t>
        </is>
      </c>
      <c r="T3103" s="4" t="inlineStr">
        <is>
          <t>STRESS_3001_3500</t>
        </is>
      </c>
      <c r="U3103" s="4" t="inlineStr">
        <is>
          <t>CREATED</t>
        </is>
      </c>
      <c r="V3103" s="4" t="inlineStr">
        <is>
          <t>idem-20260902-ios-3102</t>
        </is>
      </c>
    </row>
    <row r="3104" ht="30" customHeight="1">
      <c r="A3104" s="4" t="n">
        <v>3103</v>
      </c>
      <c r="B3104" s="4" t="inlineStr">
        <is>
          <t>MTR-IOS-3103</t>
        </is>
      </c>
      <c r="C3104" s="4" t="inlineStr">
        <is>
          <t>Personal</t>
        </is>
      </c>
      <c r="D3104" s="4" t="inlineStr">
        <is>
          <t>Personal</t>
        </is>
      </c>
      <c r="E3104" s="4" t="inlineStr">
        <is>
          <t>Relationships</t>
        </is>
      </c>
      <c r="F3104" s="4" t="inlineStr">
        <is>
          <t>Celebrations</t>
        </is>
      </c>
      <c r="G3104" s="4" t="inlineStr">
        <is>
          <t>Expense</t>
        </is>
      </c>
      <c r="H3104" s="12" t="n">
        <v>46105</v>
      </c>
      <c r="I3104" s="13" t="n">
        <v>0.7824305555555555</v>
      </c>
      <c r="J3104" s="14" t="n">
        <v>46105.78243055556</v>
      </c>
      <c r="K3104" s="15" t="n">
        <v>8501.059999999999</v>
      </c>
      <c r="L3104" s="4" t="inlineStr">
        <is>
          <t>INR</t>
        </is>
      </c>
      <c r="M3104" s="15" t="n">
        <v>-8501.059999999999</v>
      </c>
      <c r="N3104" s="4" t="inlineStr">
        <is>
          <t>IOS Owner</t>
        </is>
      </c>
      <c r="O3104" s="4" t="n"/>
      <c r="P3104" s="4" t="n"/>
      <c r="Q3104" s="4" t="inlineStr">
        <is>
          <t>MAESTRO-IOS-PERSONAL-RELATIONSHIPS-3103 | Celebrations | 8501.06</t>
        </is>
      </c>
      <c r="R3104" s="4" t="inlineStr">
        <is>
          <t>iPhone</t>
        </is>
      </c>
      <c r="S3104" s="4" t="inlineStr">
        <is>
          <t>B63</t>
        </is>
      </c>
      <c r="T3104" s="4" t="inlineStr">
        <is>
          <t>STRESS_3001_3500</t>
        </is>
      </c>
      <c r="U3104" s="4" t="inlineStr">
        <is>
          <t>CREATED</t>
        </is>
      </c>
      <c r="V3104" s="4" t="inlineStr">
        <is>
          <t>idem-20260902-ios-3103</t>
        </is>
      </c>
    </row>
    <row r="3105" ht="30" customHeight="1">
      <c r="A3105" s="4" t="n">
        <v>3104</v>
      </c>
      <c r="B3105" s="4" t="inlineStr">
        <is>
          <t>MTR-IOS-3104</t>
        </is>
      </c>
      <c r="C3105" s="4" t="inlineStr">
        <is>
          <t>Group</t>
        </is>
      </c>
      <c r="D3105" s="4" t="inlineStr">
        <is>
          <t>Shared Living</t>
        </is>
      </c>
      <c r="E3105" s="4" t="inlineStr">
        <is>
          <t>Shared Living</t>
        </is>
      </c>
      <c r="F3105" s="4" t="inlineStr">
        <is>
          <t>Maintenance</t>
        </is>
      </c>
      <c r="G3105" s="4" t="inlineStr">
        <is>
          <t>Expense</t>
        </is>
      </c>
      <c r="H3105" s="12" t="n">
        <v>46083</v>
      </c>
      <c r="I3105" s="13" t="n">
        <v>0.6871527777777777</v>
      </c>
      <c r="J3105" s="14" t="n">
        <v>46083.68715277778</v>
      </c>
      <c r="K3105" s="15" t="n">
        <v>13523.09</v>
      </c>
      <c r="L3105" s="4" t="inlineStr">
        <is>
          <t>INR</t>
        </is>
      </c>
      <c r="M3105" s="15" t="n">
        <v>-13523.09</v>
      </c>
      <c r="N3105" s="4" t="inlineStr">
        <is>
          <t>IOS Meera</t>
        </is>
      </c>
      <c r="O3105" s="4" t="n">
        <v>3</v>
      </c>
      <c r="P3105" s="4" t="inlineStr">
        <is>
          <t>EXACT</t>
        </is>
      </c>
      <c r="Q3105" s="4" t="inlineStr">
        <is>
          <t>MAESTRO-IOS-GROUP-SHARED_LIVING-3104 | Maintenance | 13523.09</t>
        </is>
      </c>
      <c r="R3105" s="4" t="inlineStr">
        <is>
          <t>iPhone</t>
        </is>
      </c>
      <c r="S3105" s="4" t="inlineStr">
        <is>
          <t>B63</t>
        </is>
      </c>
      <c r="T3105" s="4" t="inlineStr">
        <is>
          <t>STRESS_3001_3500</t>
        </is>
      </c>
      <c r="U3105" s="4" t="inlineStr">
        <is>
          <t>CREATED</t>
        </is>
      </c>
      <c r="V3105" s="4" t="inlineStr">
        <is>
          <t>idem-20260902-ios-3104</t>
        </is>
      </c>
    </row>
    <row r="3106" ht="30" customHeight="1">
      <c r="A3106" s="4" t="n">
        <v>3105</v>
      </c>
      <c r="B3106" s="4" t="inlineStr">
        <is>
          <t>MTR-IOS-3105</t>
        </is>
      </c>
      <c r="C3106" s="4" t="inlineStr">
        <is>
          <t>Business</t>
        </is>
      </c>
      <c r="D3106" s="4" t="inlineStr">
        <is>
          <t>Business</t>
        </is>
      </c>
      <c r="E3106" s="4" t="inlineStr">
        <is>
          <t>Team Operations</t>
        </is>
      </c>
      <c r="F3106" s="4" t="inlineStr">
        <is>
          <t>Training</t>
        </is>
      </c>
      <c r="G3106" s="4" t="inlineStr">
        <is>
          <t>Expense</t>
        </is>
      </c>
      <c r="H3106" s="12" t="n">
        <v>46072</v>
      </c>
      <c r="I3106" s="13" t="n">
        <v>0.9127893518518518</v>
      </c>
      <c r="J3106" s="14" t="n">
        <v>46072.91278935185</v>
      </c>
      <c r="K3106" s="15" t="n">
        <v>84981.31</v>
      </c>
      <c r="L3106" s="4" t="inlineStr">
        <is>
          <t>INR</t>
        </is>
      </c>
      <c r="M3106" s="15" t="n">
        <v>-84981.31</v>
      </c>
      <c r="N3106" s="4" t="inlineStr">
        <is>
          <t>IOS Owner</t>
        </is>
      </c>
      <c r="O3106" s="4" t="n"/>
      <c r="P3106" s="4" t="n"/>
      <c r="Q3106" s="4" t="inlineStr">
        <is>
          <t>MAESTRO-IOS-BUSINESS-TEAM_OPERATIONS-3105 | Training | 84981.31</t>
        </is>
      </c>
      <c r="R3106" s="4" t="inlineStr">
        <is>
          <t>iPhone</t>
        </is>
      </c>
      <c r="S3106" s="4" t="inlineStr">
        <is>
          <t>B63</t>
        </is>
      </c>
      <c r="T3106" s="4" t="inlineStr">
        <is>
          <t>STRESS_3001_3500</t>
        </is>
      </c>
      <c r="U3106" s="4" t="inlineStr">
        <is>
          <t>CREATED</t>
        </is>
      </c>
      <c r="V3106" s="4" t="inlineStr">
        <is>
          <t>idem-20260902-ios-3105</t>
        </is>
      </c>
    </row>
    <row r="3107" ht="30" customHeight="1">
      <c r="A3107" s="4" t="n">
        <v>3106</v>
      </c>
      <c r="B3107" s="4" t="inlineStr">
        <is>
          <t>MTR-IOS-3106</t>
        </is>
      </c>
      <c r="C3107" s="4" t="inlineStr">
        <is>
          <t>Personal</t>
        </is>
      </c>
      <c r="D3107" s="4" t="inlineStr">
        <is>
          <t>Personal</t>
        </is>
      </c>
      <c r="E3107" s="4" t="inlineStr">
        <is>
          <t>Life Operations</t>
        </is>
      </c>
      <c r="F3107" s="4" t="inlineStr">
        <is>
          <t>Groceries</t>
        </is>
      </c>
      <c r="G3107" s="4" t="inlineStr">
        <is>
          <t>Expense</t>
        </is>
      </c>
      <c r="H3107" s="12" t="n">
        <v>45942</v>
      </c>
      <c r="I3107" s="13" t="n">
        <v>0.04412037037037037</v>
      </c>
      <c r="J3107" s="14" t="n">
        <v>45942.04412037037</v>
      </c>
      <c r="K3107" s="15" t="n">
        <v>14963.53</v>
      </c>
      <c r="L3107" s="4" t="inlineStr">
        <is>
          <t>INR</t>
        </is>
      </c>
      <c r="M3107" s="15" t="n">
        <v>-14963.53</v>
      </c>
      <c r="N3107" s="4" t="inlineStr">
        <is>
          <t>IOS Owner</t>
        </is>
      </c>
      <c r="O3107" s="4" t="n"/>
      <c r="P3107" s="4" t="n"/>
      <c r="Q3107" s="4" t="inlineStr">
        <is>
          <t>MAESTRO-IOS-PERSONAL-LIFE_OPERATIONS-3106 | Groceries | 14963.53</t>
        </is>
      </c>
      <c r="R3107" s="4" t="inlineStr">
        <is>
          <t>iPhone</t>
        </is>
      </c>
      <c r="S3107" s="4" t="inlineStr">
        <is>
          <t>B63</t>
        </is>
      </c>
      <c r="T3107" s="4" t="inlineStr">
        <is>
          <t>STRESS_3001_3500</t>
        </is>
      </c>
      <c r="U3107" s="4" t="inlineStr">
        <is>
          <t>CREATED</t>
        </is>
      </c>
      <c r="V3107" s="4" t="inlineStr">
        <is>
          <t>idem-20260902-ios-3106</t>
        </is>
      </c>
    </row>
    <row r="3108" ht="30" customHeight="1">
      <c r="A3108" s="4" t="n">
        <v>3107</v>
      </c>
      <c r="B3108" s="4" t="inlineStr">
        <is>
          <t>MTR-IOS-3107</t>
        </is>
      </c>
      <c r="C3108" s="4" t="inlineStr">
        <is>
          <t>Group</t>
        </is>
      </c>
      <c r="D3108" s="4" t="inlineStr">
        <is>
          <t>Shared Living</t>
        </is>
      </c>
      <c r="E3108" s="4" t="inlineStr">
        <is>
          <t>Shared Living</t>
        </is>
      </c>
      <c r="F3108" s="4" t="inlineStr">
        <is>
          <t>Other</t>
        </is>
      </c>
      <c r="G3108" s="4" t="inlineStr">
        <is>
          <t>Expense</t>
        </is>
      </c>
      <c r="H3108" s="12" t="n">
        <v>46068</v>
      </c>
      <c r="I3108" s="13" t="n">
        <v>0.485625</v>
      </c>
      <c r="J3108" s="14" t="n">
        <v>46068.485625</v>
      </c>
      <c r="K3108" s="15" t="n">
        <v>17307.1</v>
      </c>
      <c r="L3108" s="4" t="inlineStr">
        <is>
          <t>INR</t>
        </is>
      </c>
      <c r="M3108" s="15" t="n">
        <v>-17307.1</v>
      </c>
      <c r="N3108" s="4" t="inlineStr">
        <is>
          <t>IOS Owner</t>
        </is>
      </c>
      <c r="O3108" s="4" t="n">
        <v>3</v>
      </c>
      <c r="P3108" s="4" t="inlineStr">
        <is>
          <t>SHARES</t>
        </is>
      </c>
      <c r="Q3108" s="4" t="inlineStr">
        <is>
          <t>MAESTRO-IOS-GROUP-SHARED_LIVING-3107 | Other | 17307.10</t>
        </is>
      </c>
      <c r="R3108" s="4" t="inlineStr">
        <is>
          <t>iPhone</t>
        </is>
      </c>
      <c r="S3108" s="4" t="inlineStr">
        <is>
          <t>B63</t>
        </is>
      </c>
      <c r="T3108" s="4" t="inlineStr">
        <is>
          <t>STRESS_3001_3500</t>
        </is>
      </c>
      <c r="U3108" s="4" t="inlineStr">
        <is>
          <t>CREATED</t>
        </is>
      </c>
      <c r="V3108" s="4" t="inlineStr">
        <is>
          <t>idem-20260902-ios-3107</t>
        </is>
      </c>
    </row>
    <row r="3109" ht="30" customHeight="1">
      <c r="A3109" s="4" t="n">
        <v>3108</v>
      </c>
      <c r="B3109" s="4" t="inlineStr">
        <is>
          <t>MTR-IOS-3108</t>
        </is>
      </c>
      <c r="C3109" s="4" t="inlineStr">
        <is>
          <t>Business</t>
        </is>
      </c>
      <c r="D3109" s="4" t="inlineStr">
        <is>
          <t>Business</t>
        </is>
      </c>
      <c r="E3109" s="4" t="inlineStr">
        <is>
          <t>Team Operations</t>
        </is>
      </c>
      <c r="F3109" s="4" t="inlineStr">
        <is>
          <t>Tools</t>
        </is>
      </c>
      <c r="G3109" s="4" t="inlineStr">
        <is>
          <t>Expense</t>
        </is>
      </c>
      <c r="H3109" s="12" t="n">
        <v>46066</v>
      </c>
      <c r="I3109" s="13" t="n">
        <v>0.4241319444444445</v>
      </c>
      <c r="J3109" s="14" t="n">
        <v>46066.42413194444</v>
      </c>
      <c r="K3109" s="15" t="n">
        <v>0.01</v>
      </c>
      <c r="L3109" s="4" t="inlineStr">
        <is>
          <t>INR</t>
        </is>
      </c>
      <c r="M3109" s="15" t="n">
        <v>-0.01</v>
      </c>
      <c r="N3109" s="4" t="inlineStr">
        <is>
          <t>IOS Owner</t>
        </is>
      </c>
      <c r="O3109" s="4" t="n"/>
      <c r="P3109" s="4" t="n"/>
      <c r="Q3109" s="4" t="inlineStr">
        <is>
          <t>MAESTRO-IOS-BUSINESS-TEAM_OPERATIONS-3108 | Tools | 0.01</t>
        </is>
      </c>
      <c r="R3109" s="4" t="inlineStr">
        <is>
          <t>iPhone</t>
        </is>
      </c>
      <c r="S3109" s="4" t="inlineStr">
        <is>
          <t>B63</t>
        </is>
      </c>
      <c r="T3109" s="4" t="inlineStr">
        <is>
          <t>STRESS_3001_3500</t>
        </is>
      </c>
      <c r="U3109" s="4" t="inlineStr">
        <is>
          <t>CREATED</t>
        </is>
      </c>
      <c r="V3109" s="4" t="inlineStr">
        <is>
          <t>idem-20260902-ios-3108</t>
        </is>
      </c>
    </row>
    <row r="3110" ht="30" customHeight="1">
      <c r="A3110" s="4" t="n">
        <v>3109</v>
      </c>
      <c r="B3110" s="4" t="inlineStr">
        <is>
          <t>MTR-IOS-3109</t>
        </is>
      </c>
      <c r="C3110" s="4" t="inlineStr">
        <is>
          <t>Personal</t>
        </is>
      </c>
      <c r="D3110" s="4" t="inlineStr">
        <is>
          <t>Personal</t>
        </is>
      </c>
      <c r="E3110" s="4" t="inlineStr">
        <is>
          <t>Life Operations</t>
        </is>
      </c>
      <c r="F3110" s="4" t="inlineStr">
        <is>
          <t>Rent</t>
        </is>
      </c>
      <c r="G3110" s="4" t="inlineStr">
        <is>
          <t>Expense</t>
        </is>
      </c>
      <c r="H3110" s="12" t="n">
        <v>45952</v>
      </c>
      <c r="I3110" s="13" t="n">
        <v>0.6850231481481481</v>
      </c>
      <c r="J3110" s="14" t="n">
        <v>45952.68502314815</v>
      </c>
      <c r="K3110" s="15" t="n">
        <v>6119.84</v>
      </c>
      <c r="L3110" s="4" t="inlineStr">
        <is>
          <t>INR</t>
        </is>
      </c>
      <c r="M3110" s="15" t="n">
        <v>-6119.84</v>
      </c>
      <c r="N3110" s="4" t="inlineStr">
        <is>
          <t>IOS Owner</t>
        </is>
      </c>
      <c r="O3110" s="4" t="n"/>
      <c r="P3110" s="4" t="n"/>
      <c r="Q3110" s="4" t="inlineStr">
        <is>
          <t>MAESTRO-IOS-PERSONAL-LIFE_OPERATIONS-3109 | Rent | 6119.84</t>
        </is>
      </c>
      <c r="R3110" s="4" t="inlineStr">
        <is>
          <t>iPhone</t>
        </is>
      </c>
      <c r="S3110" s="4" t="inlineStr">
        <is>
          <t>B63</t>
        </is>
      </c>
      <c r="T3110" s="4" t="inlineStr">
        <is>
          <t>STRESS_3001_3500</t>
        </is>
      </c>
      <c r="U3110" s="4" t="inlineStr">
        <is>
          <t>CREATED</t>
        </is>
      </c>
      <c r="V3110" s="4" t="inlineStr">
        <is>
          <t>idem-20260902-ios-3109</t>
        </is>
      </c>
    </row>
    <row r="3111" ht="30" customHeight="1">
      <c r="A3111" s="4" t="n">
        <v>3110</v>
      </c>
      <c r="B3111" s="4" t="inlineStr">
        <is>
          <t>MTR-IOS-3110</t>
        </is>
      </c>
      <c r="C3111" s="4" t="inlineStr">
        <is>
          <t>Group</t>
        </is>
      </c>
      <c r="D3111" s="4" t="inlineStr">
        <is>
          <t>Shared Living</t>
        </is>
      </c>
      <c r="E3111" s="4" t="inlineStr">
        <is>
          <t>Family Household</t>
        </is>
      </c>
      <c r="F3111" s="4" t="inlineStr">
        <is>
          <t>Groceries</t>
        </is>
      </c>
      <c r="G3111" s="4" t="inlineStr">
        <is>
          <t>Expense</t>
        </is>
      </c>
      <c r="H3111" s="12" t="n">
        <v>46084</v>
      </c>
      <c r="I3111" s="13" t="n">
        <v>0.5466203703703704</v>
      </c>
      <c r="J3111" s="14" t="n">
        <v>46084.54662037037</v>
      </c>
      <c r="K3111" s="15" t="n">
        <v>26473.19</v>
      </c>
      <c r="L3111" s="4" t="inlineStr">
        <is>
          <t>INR</t>
        </is>
      </c>
      <c r="M3111" s="15" t="n">
        <v>-26473.19</v>
      </c>
      <c r="N3111" s="4" t="inlineStr">
        <is>
          <t>IOS Aarav</t>
        </is>
      </c>
      <c r="O3111" s="4" t="n">
        <v>3</v>
      </c>
      <c r="P3111" s="4" t="inlineStr">
        <is>
          <t>EQUAL</t>
        </is>
      </c>
      <c r="Q3111" s="4" t="inlineStr">
        <is>
          <t>MAESTRO-IOS-GROUP-FAMILY_HOUSEHOLD-3110 | Groceries | 26473.19</t>
        </is>
      </c>
      <c r="R3111" s="4" t="inlineStr">
        <is>
          <t>iPhone</t>
        </is>
      </c>
      <c r="S3111" s="4" t="inlineStr">
        <is>
          <t>B63</t>
        </is>
      </c>
      <c r="T3111" s="4" t="inlineStr">
        <is>
          <t>STRESS_3001_3500</t>
        </is>
      </c>
      <c r="U3111" s="4" t="inlineStr">
        <is>
          <t>CREATED</t>
        </is>
      </c>
      <c r="V3111" s="4" t="inlineStr">
        <is>
          <t>idem-20260902-ios-3110</t>
        </is>
      </c>
    </row>
    <row r="3112" ht="30" customHeight="1">
      <c r="A3112" s="4" t="n">
        <v>3111</v>
      </c>
      <c r="B3112" s="4" t="inlineStr">
        <is>
          <t>MTR-IOS-3111</t>
        </is>
      </c>
      <c r="C3112" s="4" t="inlineStr">
        <is>
          <t>Business</t>
        </is>
      </c>
      <c r="D3112" s="4" t="inlineStr">
        <is>
          <t>Business</t>
        </is>
      </c>
      <c r="E3112" s="4" t="inlineStr">
        <is>
          <t>Business Runway</t>
        </is>
      </c>
      <c r="F3112" s="4" t="inlineStr">
        <is>
          <t>Funding</t>
        </is>
      </c>
      <c r="G3112" s="4" t="inlineStr">
        <is>
          <t>Income</t>
        </is>
      </c>
      <c r="H3112" s="12" t="n">
        <v>46207</v>
      </c>
      <c r="I3112" s="13" t="n">
        <v>0.8061458333333333</v>
      </c>
      <c r="J3112" s="14" t="n">
        <v>46207.80614583333</v>
      </c>
      <c r="K3112" s="15" t="n">
        <v>129496.97</v>
      </c>
      <c r="L3112" s="4" t="inlineStr">
        <is>
          <t>INR</t>
        </is>
      </c>
      <c r="M3112" s="15" t="n">
        <v>129496.97</v>
      </c>
      <c r="N3112" s="4" t="inlineStr">
        <is>
          <t>IOS Owner</t>
        </is>
      </c>
      <c r="O3112" s="4" t="n"/>
      <c r="P3112" s="4" t="n"/>
      <c r="Q3112" s="4" t="inlineStr">
        <is>
          <t>MAESTRO-IOS-BUSINESS-BUSINESS_RUNWAY-3111 | Funding | 129496.97</t>
        </is>
      </c>
      <c r="R3112" s="4" t="inlineStr">
        <is>
          <t>iPhone</t>
        </is>
      </c>
      <c r="S3112" s="4" t="inlineStr">
        <is>
          <t>B63</t>
        </is>
      </c>
      <c r="T3112" s="4" t="inlineStr">
        <is>
          <t>STRESS_3001_3500</t>
        </is>
      </c>
      <c r="U3112" s="4" t="inlineStr">
        <is>
          <t>CREATED</t>
        </is>
      </c>
      <c r="V3112" s="4" t="inlineStr">
        <is>
          <t>idem-20260902-ios-3111</t>
        </is>
      </c>
    </row>
    <row r="3113" ht="30" customHeight="1">
      <c r="A3113" s="4" t="n">
        <v>3112</v>
      </c>
      <c r="B3113" s="4" t="inlineStr">
        <is>
          <t>MTR-IOS-3112</t>
        </is>
      </c>
      <c r="C3113" s="4" t="inlineStr">
        <is>
          <t>Personal</t>
        </is>
      </c>
      <c r="D3113" s="4" t="inlineStr">
        <is>
          <t>Personal</t>
        </is>
      </c>
      <c r="E3113" s="4" t="inlineStr">
        <is>
          <t>Life Operations</t>
        </is>
      </c>
      <c r="F3113" s="4" t="inlineStr">
        <is>
          <t>Bills</t>
        </is>
      </c>
      <c r="G3113" s="4" t="inlineStr">
        <is>
          <t>Expense</t>
        </is>
      </c>
      <c r="H3113" s="12" t="n">
        <v>46207</v>
      </c>
      <c r="I3113" s="13" t="n">
        <v>0.6633449074074074</v>
      </c>
      <c r="J3113" s="14" t="n">
        <v>46207.66334490741</v>
      </c>
      <c r="K3113" s="15" t="n">
        <v>9539.379999999999</v>
      </c>
      <c r="L3113" s="4" t="inlineStr">
        <is>
          <t>INR</t>
        </is>
      </c>
      <c r="M3113" s="15" t="n">
        <v>-9539.379999999999</v>
      </c>
      <c r="N3113" s="4" t="inlineStr">
        <is>
          <t>IOS Owner</t>
        </is>
      </c>
      <c r="O3113" s="4" t="n"/>
      <c r="P3113" s="4" t="n"/>
      <c r="Q3113" s="4" t="inlineStr">
        <is>
          <t>MAESTRO-IOS-PERSONAL-LIFE_OPERATIONS-3112 | Bills | 9539.38</t>
        </is>
      </c>
      <c r="R3113" s="4" t="inlineStr">
        <is>
          <t>iPhone</t>
        </is>
      </c>
      <c r="S3113" s="4" t="inlineStr">
        <is>
          <t>B63</t>
        </is>
      </c>
      <c r="T3113" s="4" t="inlineStr">
        <is>
          <t>STRESS_3001_3500</t>
        </is>
      </c>
      <c r="U3113" s="4" t="inlineStr">
        <is>
          <t>CREATED</t>
        </is>
      </c>
      <c r="V3113" s="4" t="inlineStr">
        <is>
          <t>idem-20260902-ios-3112</t>
        </is>
      </c>
    </row>
    <row r="3114" ht="30" customHeight="1">
      <c r="A3114" s="4" t="n">
        <v>3113</v>
      </c>
      <c r="B3114" s="4" t="inlineStr">
        <is>
          <t>MTR-IOS-3113</t>
        </is>
      </c>
      <c r="C3114" s="4" t="inlineStr">
        <is>
          <t>Group</t>
        </is>
      </c>
      <c r="D3114" s="4" t="inlineStr">
        <is>
          <t>Shared Living</t>
        </is>
      </c>
      <c r="E3114" s="4" t="inlineStr">
        <is>
          <t>Family Household</t>
        </is>
      </c>
      <c r="F3114" s="4" t="inlineStr">
        <is>
          <t>Bills</t>
        </is>
      </c>
      <c r="G3114" s="4" t="inlineStr">
        <is>
          <t>Expense</t>
        </is>
      </c>
      <c r="H3114" s="12" t="n">
        <v>46048</v>
      </c>
      <c r="I3114" s="13" t="n">
        <v>0.6587731481481481</v>
      </c>
      <c r="J3114" s="14" t="n">
        <v>46048.65877314815</v>
      </c>
      <c r="K3114" s="15" t="n">
        <v>2859.32</v>
      </c>
      <c r="L3114" s="4" t="inlineStr">
        <is>
          <t>INR</t>
        </is>
      </c>
      <c r="M3114" s="15" t="n">
        <v>-2859.32</v>
      </c>
      <c r="N3114" s="4" t="inlineStr">
        <is>
          <t>IOS Meera</t>
        </is>
      </c>
      <c r="O3114" s="4" t="n">
        <v>3</v>
      </c>
      <c r="P3114" s="4" t="inlineStr">
        <is>
          <t>PERCENTAGE</t>
        </is>
      </c>
      <c r="Q3114" s="4" t="inlineStr">
        <is>
          <t>MAESTRO-IOS-GROUP-FAMILY_HOUSEHOLD-3113 | Bills | 2859.32</t>
        </is>
      </c>
      <c r="R3114" s="4" t="inlineStr">
        <is>
          <t>iPhone</t>
        </is>
      </c>
      <c r="S3114" s="4" t="inlineStr">
        <is>
          <t>B63</t>
        </is>
      </c>
      <c r="T3114" s="4" t="inlineStr">
        <is>
          <t>STRESS_3001_3500</t>
        </is>
      </c>
      <c r="U3114" s="4" t="inlineStr">
        <is>
          <t>CREATED</t>
        </is>
      </c>
      <c r="V3114" s="4" t="inlineStr">
        <is>
          <t>idem-20260902-ios-3113</t>
        </is>
      </c>
    </row>
    <row r="3115" ht="30" customHeight="1">
      <c r="A3115" s="4" t="n">
        <v>3114</v>
      </c>
      <c r="B3115" s="4" t="inlineStr">
        <is>
          <t>MTR-IOS-3114</t>
        </is>
      </c>
      <c r="C3115" s="4" t="inlineStr">
        <is>
          <t>Business</t>
        </is>
      </c>
      <c r="D3115" s="4" t="inlineStr">
        <is>
          <t>Business</t>
        </is>
      </c>
      <c r="E3115" s="4" t="inlineStr">
        <is>
          <t>Business Runway</t>
        </is>
      </c>
      <c r="F3115" s="4" t="inlineStr">
        <is>
          <t>Revenue</t>
        </is>
      </c>
      <c r="G3115" s="4" t="inlineStr">
        <is>
          <t>Income</t>
        </is>
      </c>
      <c r="H3115" s="12" t="n">
        <v>46245</v>
      </c>
      <c r="I3115" s="13" t="n">
        <v>0.829224537037037</v>
      </c>
      <c r="J3115" s="14" t="n">
        <v>46245.82922453704</v>
      </c>
      <c r="K3115" s="15" t="n">
        <v>30245.29</v>
      </c>
      <c r="L3115" s="4" t="inlineStr">
        <is>
          <t>INR</t>
        </is>
      </c>
      <c r="M3115" s="15" t="n">
        <v>30245.29</v>
      </c>
      <c r="N3115" s="4" t="inlineStr">
        <is>
          <t>IOS Owner</t>
        </is>
      </c>
      <c r="O3115" s="4" t="n"/>
      <c r="P3115" s="4" t="n"/>
      <c r="Q3115" s="4" t="inlineStr">
        <is>
          <t>MAESTRO-IOS-BUSINESS-BUSINESS_RUNWAY-3114 | Revenue | 30245.29</t>
        </is>
      </c>
      <c r="R3115" s="4" t="inlineStr">
        <is>
          <t>iPhone</t>
        </is>
      </c>
      <c r="S3115" s="4" t="inlineStr">
        <is>
          <t>B63</t>
        </is>
      </c>
      <c r="T3115" s="4" t="inlineStr">
        <is>
          <t>STRESS_3001_3500</t>
        </is>
      </c>
      <c r="U3115" s="4" t="inlineStr">
        <is>
          <t>CREATED</t>
        </is>
      </c>
      <c r="V3115" s="4" t="inlineStr">
        <is>
          <t>idem-20260902-ios-3114</t>
        </is>
      </c>
    </row>
    <row r="3116" ht="30" customHeight="1">
      <c r="A3116" s="4" t="n">
        <v>3115</v>
      </c>
      <c r="B3116" s="4" t="inlineStr">
        <is>
          <t>MTR-IOS-3115</t>
        </is>
      </c>
      <c r="C3116" s="4" t="inlineStr">
        <is>
          <t>Personal</t>
        </is>
      </c>
      <c r="D3116" s="4" t="inlineStr">
        <is>
          <t>Personal</t>
        </is>
      </c>
      <c r="E3116" s="4" t="inlineStr">
        <is>
          <t>Life Operations</t>
        </is>
      </c>
      <c r="F3116" s="4" t="inlineStr">
        <is>
          <t>Transport</t>
        </is>
      </c>
      <c r="G3116" s="4" t="inlineStr">
        <is>
          <t>Expense</t>
        </is>
      </c>
      <c r="H3116" s="12" t="n">
        <v>46197</v>
      </c>
      <c r="I3116" s="13" t="n">
        <v>0.3966550925925926</v>
      </c>
      <c r="J3116" s="14" t="n">
        <v>46197.39665509259</v>
      </c>
      <c r="K3116" s="15" t="n">
        <v>2952.68</v>
      </c>
      <c r="L3116" s="4" t="inlineStr">
        <is>
          <t>INR</t>
        </is>
      </c>
      <c r="M3116" s="15" t="n">
        <v>-2952.68</v>
      </c>
      <c r="N3116" s="4" t="inlineStr">
        <is>
          <t>IOS Owner</t>
        </is>
      </c>
      <c r="O3116" s="4" t="n"/>
      <c r="P3116" s="4" t="n"/>
      <c r="Q3116" s="4" t="inlineStr">
        <is>
          <t>MAESTRO-IOS-PERSONAL-LIFE_OPERATIONS-3115 | Transport | 2952.68</t>
        </is>
      </c>
      <c r="R3116" s="4" t="inlineStr">
        <is>
          <t>iPhone</t>
        </is>
      </c>
      <c r="S3116" s="4" t="inlineStr">
        <is>
          <t>B63</t>
        </is>
      </c>
      <c r="T3116" s="4" t="inlineStr">
        <is>
          <t>STRESS_3001_3500</t>
        </is>
      </c>
      <c r="U3116" s="4" t="inlineStr">
        <is>
          <t>CREATED</t>
        </is>
      </c>
      <c r="V3116" s="4" t="inlineStr">
        <is>
          <t>idem-20260902-ios-3115</t>
        </is>
      </c>
    </row>
    <row r="3117" ht="30" customHeight="1">
      <c r="A3117" s="4" t="n">
        <v>3116</v>
      </c>
      <c r="B3117" s="4" t="inlineStr">
        <is>
          <t>MTR-IOS-3116</t>
        </is>
      </c>
      <c r="C3117" s="4" t="inlineStr">
        <is>
          <t>Group</t>
        </is>
      </c>
      <c r="D3117" s="4" t="inlineStr">
        <is>
          <t>Shared Living</t>
        </is>
      </c>
      <c r="E3117" s="4" t="inlineStr">
        <is>
          <t>Family Household</t>
        </is>
      </c>
      <c r="F3117" s="4" t="inlineStr">
        <is>
          <t>School</t>
        </is>
      </c>
      <c r="G3117" s="4" t="inlineStr">
        <is>
          <t>Expense</t>
        </is>
      </c>
      <c r="H3117" s="12" t="n">
        <v>46126</v>
      </c>
      <c r="I3117" s="13" t="n">
        <v>0.7853472222222222</v>
      </c>
      <c r="J3117" s="14" t="n">
        <v>46126.78534722222</v>
      </c>
      <c r="K3117" s="15" t="n">
        <v>19687.75</v>
      </c>
      <c r="L3117" s="4" t="inlineStr">
        <is>
          <t>INR</t>
        </is>
      </c>
      <c r="M3117" s="15" t="n">
        <v>-19687.75</v>
      </c>
      <c r="N3117" s="4" t="inlineStr">
        <is>
          <t>IOS Owner</t>
        </is>
      </c>
      <c r="O3117" s="4" t="n">
        <v>3</v>
      </c>
      <c r="P3117" s="4" t="inlineStr">
        <is>
          <t>EXACT</t>
        </is>
      </c>
      <c r="Q3117" s="4" t="inlineStr">
        <is>
          <t>MAESTRO-IOS-GROUP-FAMILY_HOUSEHOLD-3116 | School | 19687.75</t>
        </is>
      </c>
      <c r="R3117" s="4" t="inlineStr">
        <is>
          <t>iPhone</t>
        </is>
      </c>
      <c r="S3117" s="4" t="inlineStr">
        <is>
          <t>B63</t>
        </is>
      </c>
      <c r="T3117" s="4" t="inlineStr">
        <is>
          <t>STRESS_3001_3500</t>
        </is>
      </c>
      <c r="U3117" s="4" t="inlineStr">
        <is>
          <t>CREATED</t>
        </is>
      </c>
      <c r="V3117" s="4" t="inlineStr">
        <is>
          <t>idem-20260902-ios-3116</t>
        </is>
      </c>
    </row>
    <row r="3118" ht="30" customHeight="1">
      <c r="A3118" s="4" t="n">
        <v>3117</v>
      </c>
      <c r="B3118" s="4" t="inlineStr">
        <is>
          <t>MTR-IOS-3117</t>
        </is>
      </c>
      <c r="C3118" s="4" t="inlineStr">
        <is>
          <t>Business</t>
        </is>
      </c>
      <c r="D3118" s="4" t="inlineStr">
        <is>
          <t>Business</t>
        </is>
      </c>
      <c r="E3118" s="4" t="inlineStr">
        <is>
          <t>Business Runway</t>
        </is>
      </c>
      <c r="F3118" s="4" t="inlineStr">
        <is>
          <t>Burn</t>
        </is>
      </c>
      <c r="G3118" s="4" t="inlineStr">
        <is>
          <t>Expense</t>
        </is>
      </c>
      <c r="H3118" s="12" t="n">
        <v>45947</v>
      </c>
      <c r="I3118" s="13" t="n">
        <v>0.2499305555555555</v>
      </c>
      <c r="J3118" s="14" t="n">
        <v>45947.24993055555</v>
      </c>
      <c r="K3118" s="15" t="n">
        <v>28678.07</v>
      </c>
      <c r="L3118" s="4" t="inlineStr">
        <is>
          <t>INR</t>
        </is>
      </c>
      <c r="M3118" s="15" t="n">
        <v>-28678.07</v>
      </c>
      <c r="N3118" s="4" t="inlineStr">
        <is>
          <t>IOS Owner</t>
        </is>
      </c>
      <c r="O3118" s="4" t="n"/>
      <c r="P3118" s="4" t="n"/>
      <c r="Q3118" s="4" t="inlineStr">
        <is>
          <t>MAESTRO-IOS-BUSINESS-BUSINESS_RUNWAY-3117 | Burn | 28678.07</t>
        </is>
      </c>
      <c r="R3118" s="4" t="inlineStr">
        <is>
          <t>iPhone</t>
        </is>
      </c>
      <c r="S3118" s="4" t="inlineStr">
        <is>
          <t>B63</t>
        </is>
      </c>
      <c r="T3118" s="4" t="inlineStr">
        <is>
          <t>STRESS_3001_3500</t>
        </is>
      </c>
      <c r="U3118" s="4" t="inlineStr">
        <is>
          <t>CREATED</t>
        </is>
      </c>
      <c r="V3118" s="4" t="inlineStr">
        <is>
          <t>idem-20260902-ios-3117</t>
        </is>
      </c>
    </row>
    <row r="3119" ht="30" customHeight="1">
      <c r="A3119" s="4" t="n">
        <v>3118</v>
      </c>
      <c r="B3119" s="4" t="inlineStr">
        <is>
          <t>MTR-IOS-3118</t>
        </is>
      </c>
      <c r="C3119" s="4" t="inlineStr">
        <is>
          <t>Personal</t>
        </is>
      </c>
      <c r="D3119" s="4" t="inlineStr">
        <is>
          <t>Personal</t>
        </is>
      </c>
      <c r="E3119" s="4" t="inlineStr">
        <is>
          <t>Life Operations</t>
        </is>
      </c>
      <c r="F3119" s="4" t="inlineStr">
        <is>
          <t>Healthcare</t>
        </is>
      </c>
      <c r="G3119" s="4" t="inlineStr">
        <is>
          <t>Expense</t>
        </is>
      </c>
      <c r="H3119" s="12" t="n">
        <v>45954</v>
      </c>
      <c r="I3119" s="13" t="n">
        <v>0.6845949074074074</v>
      </c>
      <c r="J3119" s="14" t="n">
        <v>45954.6845949074</v>
      </c>
      <c r="K3119" s="15" t="n">
        <v>1093.71</v>
      </c>
      <c r="L3119" s="4" t="inlineStr">
        <is>
          <t>INR</t>
        </is>
      </c>
      <c r="M3119" s="15" t="n">
        <v>-1093.71</v>
      </c>
      <c r="N3119" s="4" t="inlineStr">
        <is>
          <t>IOS Owner</t>
        </is>
      </c>
      <c r="O3119" s="4" t="n"/>
      <c r="P3119" s="4" t="n"/>
      <c r="Q3119" s="4" t="inlineStr">
        <is>
          <t>MAESTRO-IOS-PERSONAL-LIFE_OPERATIONS-3118 | Healthcare | 1093.71</t>
        </is>
      </c>
      <c r="R3119" s="4" t="inlineStr">
        <is>
          <t>iPhone</t>
        </is>
      </c>
      <c r="S3119" s="4" t="inlineStr">
        <is>
          <t>B63</t>
        </is>
      </c>
      <c r="T3119" s="4" t="inlineStr">
        <is>
          <t>STRESS_3001_3500</t>
        </is>
      </c>
      <c r="U3119" s="4" t="inlineStr">
        <is>
          <t>CREATED</t>
        </is>
      </c>
      <c r="V3119" s="4" t="inlineStr">
        <is>
          <t>idem-20260902-ios-3118</t>
        </is>
      </c>
    </row>
    <row r="3120" ht="30" customHeight="1">
      <c r="A3120" s="4" t="n">
        <v>3119</v>
      </c>
      <c r="B3120" s="4" t="inlineStr">
        <is>
          <t>MTR-IOS-3119</t>
        </is>
      </c>
      <c r="C3120" s="4" t="inlineStr">
        <is>
          <t>Group</t>
        </is>
      </c>
      <c r="D3120" s="4" t="inlineStr">
        <is>
          <t>Shared Living</t>
        </is>
      </c>
      <c r="E3120" s="4" t="inlineStr">
        <is>
          <t>Family Household</t>
        </is>
      </c>
      <c r="F3120" s="4" t="inlineStr">
        <is>
          <t>Healthcare</t>
        </is>
      </c>
      <c r="G3120" s="4" t="inlineStr">
        <is>
          <t>Expense</t>
        </is>
      </c>
      <c r="H3120" s="12" t="n">
        <v>46027</v>
      </c>
      <c r="I3120" s="13" t="n">
        <v>0.1849305555555555</v>
      </c>
      <c r="J3120" s="14" t="n">
        <v>46027.18493055556</v>
      </c>
      <c r="K3120" s="15" t="n">
        <v>14087.21</v>
      </c>
      <c r="L3120" s="4" t="inlineStr">
        <is>
          <t>INR</t>
        </is>
      </c>
      <c r="M3120" s="15" t="n">
        <v>-14087.21</v>
      </c>
      <c r="N3120" s="4" t="inlineStr">
        <is>
          <t>IOS Aarav</t>
        </is>
      </c>
      <c r="O3120" s="4" t="n">
        <v>3</v>
      </c>
      <c r="P3120" s="4" t="inlineStr">
        <is>
          <t>SHARES</t>
        </is>
      </c>
      <c r="Q3120" s="4" t="inlineStr">
        <is>
          <t>MAESTRO-IOS-GROUP-FAMILY_HOUSEHOLD-3119 | Healthcare | 14087.21</t>
        </is>
      </c>
      <c r="R3120" s="4" t="inlineStr">
        <is>
          <t>iPhone</t>
        </is>
      </c>
      <c r="S3120" s="4" t="inlineStr">
        <is>
          <t>B63</t>
        </is>
      </c>
      <c r="T3120" s="4" t="inlineStr">
        <is>
          <t>STRESS_3001_3500</t>
        </is>
      </c>
      <c r="U3120" s="4" t="inlineStr">
        <is>
          <t>CREATED</t>
        </is>
      </c>
      <c r="V3120" s="4" t="inlineStr">
        <is>
          <t>idem-20260902-ios-3119</t>
        </is>
      </c>
    </row>
    <row r="3121" ht="30" customHeight="1">
      <c r="A3121" s="4" t="n">
        <v>3120</v>
      </c>
      <c r="B3121" s="4" t="inlineStr">
        <is>
          <t>MTR-IOS-3120</t>
        </is>
      </c>
      <c r="C3121" s="4" t="inlineStr">
        <is>
          <t>Business</t>
        </is>
      </c>
      <c r="D3121" s="4" t="inlineStr">
        <is>
          <t>Business</t>
        </is>
      </c>
      <c r="E3121" s="4" t="inlineStr">
        <is>
          <t>Business Runway</t>
        </is>
      </c>
      <c r="F3121" s="4" t="inlineStr">
        <is>
          <t>Reserve</t>
        </is>
      </c>
      <c r="G3121" s="4" t="inlineStr">
        <is>
          <t>Transfer</t>
        </is>
      </c>
      <c r="H3121" s="12" t="n">
        <v>45927</v>
      </c>
      <c r="I3121" s="13" t="n">
        <v>0.3363194444444444</v>
      </c>
      <c r="J3121" s="14" t="n">
        <v>45927.33631944445</v>
      </c>
      <c r="K3121" s="15" t="n">
        <v>25892.37</v>
      </c>
      <c r="L3121" s="4" t="inlineStr">
        <is>
          <t>INR</t>
        </is>
      </c>
      <c r="M3121" s="15" t="n">
        <v>0</v>
      </c>
      <c r="N3121" s="4" t="inlineStr">
        <is>
          <t>IOS Owner</t>
        </is>
      </c>
      <c r="O3121" s="4" t="n"/>
      <c r="P3121" s="4" t="n"/>
      <c r="Q3121" s="4" t="inlineStr">
        <is>
          <t>MAESTRO-IOS-BUSINESS-BUSINESS_RUNWAY-3120 | Reserve | 25892.37</t>
        </is>
      </c>
      <c r="R3121" s="4" t="inlineStr">
        <is>
          <t>iPhone</t>
        </is>
      </c>
      <c r="S3121" s="4" t="inlineStr">
        <is>
          <t>B63</t>
        </is>
      </c>
      <c r="T3121" s="4" t="inlineStr">
        <is>
          <t>STRESS_3001_3500</t>
        </is>
      </c>
      <c r="U3121" s="4" t="inlineStr">
        <is>
          <t>CREATED</t>
        </is>
      </c>
      <c r="V3121" s="4" t="inlineStr">
        <is>
          <t>idem-20260902-ios-3120</t>
        </is>
      </c>
    </row>
    <row r="3122" ht="30" customHeight="1">
      <c r="A3122" s="4" t="n">
        <v>3121</v>
      </c>
      <c r="B3122" s="4" t="inlineStr">
        <is>
          <t>MTR-IOS-3121</t>
        </is>
      </c>
      <c r="C3122" s="4" t="inlineStr">
        <is>
          <t>Personal</t>
        </is>
      </c>
      <c r="D3122" s="4" t="inlineStr">
        <is>
          <t>Personal</t>
        </is>
      </c>
      <c r="E3122" s="4" t="inlineStr">
        <is>
          <t>Life Operations</t>
        </is>
      </c>
      <c r="F3122" s="4" t="inlineStr">
        <is>
          <t>Subscriptions</t>
        </is>
      </c>
      <c r="G3122" s="4" t="inlineStr">
        <is>
          <t>Expense</t>
        </is>
      </c>
      <c r="H3122" s="12" t="n">
        <v>46097</v>
      </c>
      <c r="I3122" s="13" t="n">
        <v>0.8926967592592593</v>
      </c>
      <c r="J3122" s="14" t="n">
        <v>46097.89269675926</v>
      </c>
      <c r="K3122" s="15" t="n">
        <v>12158.34</v>
      </c>
      <c r="L3122" s="4" t="inlineStr">
        <is>
          <t>INR</t>
        </is>
      </c>
      <c r="M3122" s="15" t="n">
        <v>-12158.34</v>
      </c>
      <c r="N3122" s="4" t="inlineStr">
        <is>
          <t>IOS Owner</t>
        </is>
      </c>
      <c r="O3122" s="4" t="n"/>
      <c r="P3122" s="4" t="n"/>
      <c r="Q3122" s="4" t="inlineStr">
        <is>
          <t>MAESTRO-IOS-PERSONAL-LIFE_OPERATIONS-3121 | Subscriptions | 12158.34</t>
        </is>
      </c>
      <c r="R3122" s="4" t="inlineStr">
        <is>
          <t>iPhone</t>
        </is>
      </c>
      <c r="S3122" s="4" t="inlineStr">
        <is>
          <t>B63</t>
        </is>
      </c>
      <c r="T3122" s="4" t="inlineStr">
        <is>
          <t>STRESS_3001_3500</t>
        </is>
      </c>
      <c r="U3122" s="4" t="inlineStr">
        <is>
          <t>CREATED</t>
        </is>
      </c>
      <c r="V3122" s="4" t="inlineStr">
        <is>
          <t>idem-20260902-ios-3121</t>
        </is>
      </c>
    </row>
    <row r="3123" ht="30" customHeight="1">
      <c r="A3123" s="4" t="n">
        <v>3122</v>
      </c>
      <c r="B3123" s="4" t="inlineStr">
        <is>
          <t>MTR-IOS-3122</t>
        </is>
      </c>
      <c r="C3123" s="4" t="inlineStr">
        <is>
          <t>Group</t>
        </is>
      </c>
      <c r="D3123" s="4" t="inlineStr">
        <is>
          <t>Shared Living</t>
        </is>
      </c>
      <c r="E3123" s="4" t="inlineStr">
        <is>
          <t>Family Household</t>
        </is>
      </c>
      <c r="F3123" s="4" t="inlineStr">
        <is>
          <t>Home</t>
        </is>
      </c>
      <c r="G3123" s="4" t="inlineStr">
        <is>
          <t>Expense</t>
        </is>
      </c>
      <c r="H3123" s="12" t="n">
        <v>45953</v>
      </c>
      <c r="I3123" s="13" t="n">
        <v>0.7063310185185185</v>
      </c>
      <c r="J3123" s="14" t="n">
        <v>45953.70633101852</v>
      </c>
      <c r="K3123" s="15" t="n">
        <v>8948.110000000001</v>
      </c>
      <c r="L3123" s="4" t="inlineStr">
        <is>
          <t>INR</t>
        </is>
      </c>
      <c r="M3123" s="15" t="n">
        <v>-8948.110000000001</v>
      </c>
      <c r="N3123" s="4" t="inlineStr">
        <is>
          <t>IOS Meera</t>
        </is>
      </c>
      <c r="O3123" s="4" t="n">
        <v>3</v>
      </c>
      <c r="P3123" s="4" t="inlineStr">
        <is>
          <t>EQUAL</t>
        </is>
      </c>
      <c r="Q3123" s="4" t="inlineStr">
        <is>
          <t>MAESTRO-IOS-GROUP-FAMILY_HOUSEHOLD-3122 | Home | 8948.11</t>
        </is>
      </c>
      <c r="R3123" s="4" t="inlineStr">
        <is>
          <t>iPhone</t>
        </is>
      </c>
      <c r="S3123" s="4" t="inlineStr">
        <is>
          <t>B63</t>
        </is>
      </c>
      <c r="T3123" s="4" t="inlineStr">
        <is>
          <t>STRESS_3001_3500</t>
        </is>
      </c>
      <c r="U3123" s="4" t="inlineStr">
        <is>
          <t>CREATED</t>
        </is>
      </c>
      <c r="V3123" s="4" t="inlineStr">
        <is>
          <t>idem-20260902-ios-3122</t>
        </is>
      </c>
    </row>
    <row r="3124" ht="30" customHeight="1">
      <c r="A3124" s="4" t="n">
        <v>3123</v>
      </c>
      <c r="B3124" s="4" t="inlineStr">
        <is>
          <t>MTR-IOS-3123</t>
        </is>
      </c>
      <c r="C3124" s="4" t="inlineStr">
        <is>
          <t>Business</t>
        </is>
      </c>
      <c r="D3124" s="4" t="inlineStr">
        <is>
          <t>Business</t>
        </is>
      </c>
      <c r="E3124" s="4" t="inlineStr">
        <is>
          <t>Business Runway</t>
        </is>
      </c>
      <c r="F3124" s="4" t="inlineStr">
        <is>
          <t>Loan</t>
        </is>
      </c>
      <c r="G3124" s="4" t="inlineStr">
        <is>
          <t>Income</t>
        </is>
      </c>
      <c r="H3124" s="12" t="n">
        <v>45942</v>
      </c>
      <c r="I3124" s="13" t="n">
        <v>0.4845023148148148</v>
      </c>
      <c r="J3124" s="14" t="n">
        <v>45942.48450231482</v>
      </c>
      <c r="K3124" s="15" t="n">
        <v>131136.76</v>
      </c>
      <c r="L3124" s="4" t="inlineStr">
        <is>
          <t>INR</t>
        </is>
      </c>
      <c r="M3124" s="15" t="n">
        <v>131136.76</v>
      </c>
      <c r="N3124" s="4" t="inlineStr">
        <is>
          <t>IOS Owner</t>
        </is>
      </c>
      <c r="O3124" s="4" t="n"/>
      <c r="P3124" s="4" t="n"/>
      <c r="Q3124" s="4" t="inlineStr">
        <is>
          <t>MAESTRO-IOS-BUSINESS-BUSINESS_RUNWAY-3123 | Loan | 131136.76</t>
        </is>
      </c>
      <c r="R3124" s="4" t="inlineStr">
        <is>
          <t>iPhone</t>
        </is>
      </c>
      <c r="S3124" s="4" t="inlineStr">
        <is>
          <t>B63</t>
        </is>
      </c>
      <c r="T3124" s="4" t="inlineStr">
        <is>
          <t>STRESS_3001_3500</t>
        </is>
      </c>
      <c r="U3124" s="4" t="inlineStr">
        <is>
          <t>CREATED</t>
        </is>
      </c>
      <c r="V3124" s="4" t="inlineStr">
        <is>
          <t>idem-20260902-ios-3123</t>
        </is>
      </c>
    </row>
    <row r="3125" ht="30" customHeight="1">
      <c r="A3125" s="4" t="n">
        <v>3124</v>
      </c>
      <c r="B3125" s="4" t="inlineStr">
        <is>
          <t>MTR-IOS-3124</t>
        </is>
      </c>
      <c r="C3125" s="4" t="inlineStr">
        <is>
          <t>Personal</t>
        </is>
      </c>
      <c r="D3125" s="4" t="inlineStr">
        <is>
          <t>Personal</t>
        </is>
      </c>
      <c r="E3125" s="4" t="inlineStr">
        <is>
          <t>Life Operations</t>
        </is>
      </c>
      <c r="F3125" s="4" t="inlineStr">
        <is>
          <t>Repairs</t>
        </is>
      </c>
      <c r="G3125" s="4" t="inlineStr">
        <is>
          <t>Expense</t>
        </is>
      </c>
      <c r="H3125" s="12" t="n">
        <v>46161</v>
      </c>
      <c r="I3125" s="13" t="n">
        <v>0.4243171296296296</v>
      </c>
      <c r="J3125" s="14" t="n">
        <v>46161.42431712963</v>
      </c>
      <c r="K3125" s="15" t="n">
        <v>8626.43</v>
      </c>
      <c r="L3125" s="4" t="inlineStr">
        <is>
          <t>INR</t>
        </is>
      </c>
      <c r="M3125" s="15" t="n">
        <v>-8626.43</v>
      </c>
      <c r="N3125" s="4" t="inlineStr">
        <is>
          <t>IOS Owner</t>
        </is>
      </c>
      <c r="O3125" s="4" t="n"/>
      <c r="P3125" s="4" t="n"/>
      <c r="Q3125" s="4" t="inlineStr">
        <is>
          <t>MAESTRO-IOS-PERSONAL-LIFE_OPERATIONS-3124 | Repairs | 8626.43</t>
        </is>
      </c>
      <c r="R3125" s="4" t="inlineStr">
        <is>
          <t>iPhone</t>
        </is>
      </c>
      <c r="S3125" s="4" t="inlineStr">
        <is>
          <t>B63</t>
        </is>
      </c>
      <c r="T3125" s="4" t="inlineStr">
        <is>
          <t>STRESS_3001_3500</t>
        </is>
      </c>
      <c r="U3125" s="4" t="inlineStr">
        <is>
          <t>CREATED</t>
        </is>
      </c>
      <c r="V3125" s="4" t="inlineStr">
        <is>
          <t>idem-20260902-ios-3124</t>
        </is>
      </c>
    </row>
    <row r="3126" ht="30" customHeight="1">
      <c r="A3126" s="4" t="n">
        <v>3125</v>
      </c>
      <c r="B3126" s="4" t="inlineStr">
        <is>
          <t>MTR-IOS-3125</t>
        </is>
      </c>
      <c r="C3126" s="4" t="inlineStr">
        <is>
          <t>Group</t>
        </is>
      </c>
      <c r="D3126" s="4" t="inlineStr">
        <is>
          <t>Shared Living</t>
        </is>
      </c>
      <c r="E3126" s="4" t="inlineStr">
        <is>
          <t>Family Household</t>
        </is>
      </c>
      <c r="F3126" s="4" t="inlineStr">
        <is>
          <t>Other</t>
        </is>
      </c>
      <c r="G3126" s="4" t="inlineStr">
        <is>
          <t>Expense</t>
        </is>
      </c>
      <c r="H3126" s="12" t="n">
        <v>45953</v>
      </c>
      <c r="I3126" s="13" t="n">
        <v>0.07953703703703703</v>
      </c>
      <c r="J3126" s="14" t="n">
        <v>45953.07953703704</v>
      </c>
      <c r="K3126" s="15" t="n">
        <v>8412.700000000001</v>
      </c>
      <c r="L3126" s="4" t="inlineStr">
        <is>
          <t>INR</t>
        </is>
      </c>
      <c r="M3126" s="15" t="n">
        <v>-8412.700000000001</v>
      </c>
      <c r="N3126" s="4" t="inlineStr">
        <is>
          <t>IOS Owner</t>
        </is>
      </c>
      <c r="O3126" s="4" t="n">
        <v>3</v>
      </c>
      <c r="P3126" s="4" t="inlineStr">
        <is>
          <t>PERCENTAGE</t>
        </is>
      </c>
      <c r="Q3126" s="4" t="inlineStr">
        <is>
          <t>MAESTRO-IOS-GROUP-FAMILY_HOUSEHOLD-3125 | Other | 8412.70</t>
        </is>
      </c>
      <c r="R3126" s="4" t="inlineStr">
        <is>
          <t>iPhone</t>
        </is>
      </c>
      <c r="S3126" s="4" t="inlineStr">
        <is>
          <t>B63</t>
        </is>
      </c>
      <c r="T3126" s="4" t="inlineStr">
        <is>
          <t>STRESS_3001_3500</t>
        </is>
      </c>
      <c r="U3126" s="4" t="inlineStr">
        <is>
          <t>CREATED</t>
        </is>
      </c>
      <c r="V3126" s="4" t="inlineStr">
        <is>
          <t>idem-20260902-ios-3125</t>
        </is>
      </c>
    </row>
    <row r="3127" ht="30" customHeight="1">
      <c r="A3127" s="4" t="n">
        <v>3126</v>
      </c>
      <c r="B3127" s="4" t="inlineStr">
        <is>
          <t>MTR-IOS-3126</t>
        </is>
      </c>
      <c r="C3127" s="4" t="inlineStr">
        <is>
          <t>Business</t>
        </is>
      </c>
      <c r="D3127" s="4" t="inlineStr">
        <is>
          <t>Business</t>
        </is>
      </c>
      <c r="E3127" s="4" t="inlineStr">
        <is>
          <t>Business Runway</t>
        </is>
      </c>
      <c r="F3127" s="4" t="inlineStr">
        <is>
          <t>Investment</t>
        </is>
      </c>
      <c r="G3127" s="4" t="inlineStr">
        <is>
          <t>Income</t>
        </is>
      </c>
      <c r="H3127" s="12" t="n">
        <v>46175</v>
      </c>
      <c r="I3127" s="13" t="n">
        <v>0.6044097222222222</v>
      </c>
      <c r="J3127" s="14" t="n">
        <v>46175.60440972223</v>
      </c>
      <c r="K3127" s="15" t="n">
        <v>160431.28</v>
      </c>
      <c r="L3127" s="4" t="inlineStr">
        <is>
          <t>INR</t>
        </is>
      </c>
      <c r="M3127" s="15" t="n">
        <v>160431.28</v>
      </c>
      <c r="N3127" s="4" t="inlineStr">
        <is>
          <t>IOS Owner</t>
        </is>
      </c>
      <c r="O3127" s="4" t="n"/>
      <c r="P3127" s="4" t="n"/>
      <c r="Q3127" s="4" t="inlineStr">
        <is>
          <t>MAESTRO-IOS-BUSINESS-BUSINESS_RUNWAY-3126 | Investment | 160431.28</t>
        </is>
      </c>
      <c r="R3127" s="4" t="inlineStr">
        <is>
          <t>iPhone</t>
        </is>
      </c>
      <c r="S3127" s="4" t="inlineStr">
        <is>
          <t>B63</t>
        </is>
      </c>
      <c r="T3127" s="4" t="inlineStr">
        <is>
          <t>STRESS_3001_3500</t>
        </is>
      </c>
      <c r="U3127" s="4" t="inlineStr">
        <is>
          <t>CREATED</t>
        </is>
      </c>
      <c r="V3127" s="4" t="inlineStr">
        <is>
          <t>idem-20260902-ios-3126</t>
        </is>
      </c>
    </row>
    <row r="3128" ht="30" customHeight="1">
      <c r="A3128" s="4" t="n">
        <v>3127</v>
      </c>
      <c r="B3128" s="4" t="inlineStr">
        <is>
          <t>MTR-IOS-3127</t>
        </is>
      </c>
      <c r="C3128" s="4" t="inlineStr">
        <is>
          <t>Personal</t>
        </is>
      </c>
      <c r="D3128" s="4" t="inlineStr">
        <is>
          <t>Personal</t>
        </is>
      </c>
      <c r="E3128" s="4" t="inlineStr">
        <is>
          <t>Future Building</t>
        </is>
      </c>
      <c r="F3128" s="4" t="inlineStr">
        <is>
          <t>Savings</t>
        </is>
      </c>
      <c r="G3128" s="4" t="inlineStr">
        <is>
          <t>Transfer</t>
        </is>
      </c>
      <c r="H3128" s="12" t="n">
        <v>46159</v>
      </c>
      <c r="I3128" s="13" t="n">
        <v>0.6923032407407408</v>
      </c>
      <c r="J3128" s="14" t="n">
        <v>46159.69230324074</v>
      </c>
      <c r="K3128" s="15" t="n">
        <v>16254.08</v>
      </c>
      <c r="L3128" s="4" t="inlineStr">
        <is>
          <t>INR</t>
        </is>
      </c>
      <c r="M3128" s="15" t="n">
        <v>0</v>
      </c>
      <c r="N3128" s="4" t="inlineStr">
        <is>
          <t>IOS Owner</t>
        </is>
      </c>
      <c r="O3128" s="4" t="n"/>
      <c r="P3128" s="4" t="n"/>
      <c r="Q3128" s="4" t="inlineStr">
        <is>
          <t>MAESTRO-IOS-PERSONAL-FUTURE_BUILDING-3127 | Savings | 16254.08</t>
        </is>
      </c>
      <c r="R3128" s="4" t="inlineStr">
        <is>
          <t>iPhone</t>
        </is>
      </c>
      <c r="S3128" s="4" t="inlineStr">
        <is>
          <t>B63</t>
        </is>
      </c>
      <c r="T3128" s="4" t="inlineStr">
        <is>
          <t>STRESS_3001_3500</t>
        </is>
      </c>
      <c r="U3128" s="4" t="inlineStr">
        <is>
          <t>CREATED</t>
        </is>
      </c>
      <c r="V3128" s="4" t="inlineStr">
        <is>
          <t>idem-20260902-ios-3127</t>
        </is>
      </c>
    </row>
    <row r="3129" ht="30" customHeight="1">
      <c r="A3129" s="4" t="n">
        <v>3128</v>
      </c>
      <c r="B3129" s="4" t="inlineStr">
        <is>
          <t>MTR-IOS-3128</t>
        </is>
      </c>
      <c r="C3129" s="4" t="inlineStr">
        <is>
          <t>Group</t>
        </is>
      </c>
      <c r="D3129" s="4" t="inlineStr">
        <is>
          <t>Shared Living</t>
        </is>
      </c>
      <c r="E3129" s="4" t="inlineStr">
        <is>
          <t>Custom Living</t>
        </is>
      </c>
      <c r="F3129" s="4" t="inlineStr">
        <is>
          <t>Custom Expense</t>
        </is>
      </c>
      <c r="G3129" s="4" t="inlineStr">
        <is>
          <t>Expense</t>
        </is>
      </c>
      <c r="H3129" s="12" t="n">
        <v>46161</v>
      </c>
      <c r="I3129" s="13" t="n">
        <v>0.4110532407407407</v>
      </c>
      <c r="J3129" s="14" t="n">
        <v>46161.41105324074</v>
      </c>
      <c r="K3129" s="15" t="n">
        <v>9229.32</v>
      </c>
      <c r="L3129" s="4" t="inlineStr">
        <is>
          <t>INR</t>
        </is>
      </c>
      <c r="M3129" s="15" t="n">
        <v>-9229.32</v>
      </c>
      <c r="N3129" s="4" t="inlineStr">
        <is>
          <t>IOS Aarav</t>
        </is>
      </c>
      <c r="O3129" s="4" t="n">
        <v>3</v>
      </c>
      <c r="P3129" s="4" t="inlineStr">
        <is>
          <t>EXACT</t>
        </is>
      </c>
      <c r="Q3129" s="4" t="inlineStr">
        <is>
          <t>MAESTRO-IOS-GROUP-CUSTOM_LIVING-3128 | Custom Expense | 9229.32</t>
        </is>
      </c>
      <c r="R3129" s="4" t="inlineStr">
        <is>
          <t>iPhone</t>
        </is>
      </c>
      <c r="S3129" s="4" t="inlineStr">
        <is>
          <t>B63</t>
        </is>
      </c>
      <c r="T3129" s="4" t="inlineStr">
        <is>
          <t>STRESS_3001_3500</t>
        </is>
      </c>
      <c r="U3129" s="4" t="inlineStr">
        <is>
          <t>CREATED</t>
        </is>
      </c>
      <c r="V3129" s="4" t="inlineStr">
        <is>
          <t>idem-20260902-ios-3128</t>
        </is>
      </c>
    </row>
    <row r="3130" ht="30" customHeight="1">
      <c r="A3130" s="4" t="n">
        <v>3129</v>
      </c>
      <c r="B3130" s="4" t="inlineStr">
        <is>
          <t>MTR-IOS-3129</t>
        </is>
      </c>
      <c r="C3130" s="4" t="inlineStr">
        <is>
          <t>Business</t>
        </is>
      </c>
      <c r="D3130" s="4" t="inlineStr">
        <is>
          <t>Business</t>
        </is>
      </c>
      <c r="E3130" s="4" t="inlineStr">
        <is>
          <t>Business Operations</t>
        </is>
      </c>
      <c r="F3130" s="4" t="inlineStr">
        <is>
          <t>Software</t>
        </is>
      </c>
      <c r="G3130" s="4" t="inlineStr">
        <is>
          <t>Expense</t>
        </is>
      </c>
      <c r="H3130" s="12" t="n">
        <v>46266</v>
      </c>
      <c r="I3130" s="13" t="n">
        <v>0.601087962962963</v>
      </c>
      <c r="J3130" s="14" t="n">
        <v>46266.60108796296</v>
      </c>
      <c r="K3130" s="15" t="n">
        <v>158169.26</v>
      </c>
      <c r="L3130" s="4" t="inlineStr">
        <is>
          <t>INR</t>
        </is>
      </c>
      <c r="M3130" s="15" t="n">
        <v>-158169.26</v>
      </c>
      <c r="N3130" s="4" t="inlineStr">
        <is>
          <t>IOS Owner</t>
        </is>
      </c>
      <c r="O3130" s="4" t="n"/>
      <c r="P3130" s="4" t="n"/>
      <c r="Q3130" s="4" t="inlineStr">
        <is>
          <t>MAESTRO-IOS-BUSINESS-BUSINESS_OPERATIONS-3129 | Software | 158169.26</t>
        </is>
      </c>
      <c r="R3130" s="4" t="inlineStr">
        <is>
          <t>iPhone</t>
        </is>
      </c>
      <c r="S3130" s="4" t="inlineStr">
        <is>
          <t>B63</t>
        </is>
      </c>
      <c r="T3130" s="4" t="inlineStr">
        <is>
          <t>STRESS_3001_3500</t>
        </is>
      </c>
      <c r="U3130" s="4" t="inlineStr">
        <is>
          <t>CREATED</t>
        </is>
      </c>
      <c r="V3130" s="4" t="inlineStr">
        <is>
          <t>idem-20260902-ios-3129</t>
        </is>
      </c>
    </row>
    <row r="3131" ht="30" customHeight="1">
      <c r="A3131" s="4" t="n">
        <v>3130</v>
      </c>
      <c r="B3131" s="4" t="inlineStr">
        <is>
          <t>MTR-IOS-3130</t>
        </is>
      </c>
      <c r="C3131" s="4" t="inlineStr">
        <is>
          <t>Personal</t>
        </is>
      </c>
      <c r="D3131" s="4" t="inlineStr">
        <is>
          <t>Personal</t>
        </is>
      </c>
      <c r="E3131" s="4" t="inlineStr">
        <is>
          <t>Future Building</t>
        </is>
      </c>
      <c r="F3131" s="4" t="inlineStr">
        <is>
          <t>Emergency Fund</t>
        </is>
      </c>
      <c r="G3131" s="4" t="inlineStr">
        <is>
          <t>Transfer</t>
        </is>
      </c>
      <c r="H3131" s="12" t="n">
        <v>46190</v>
      </c>
      <c r="I3131" s="13" t="n">
        <v>0.3180787037037037</v>
      </c>
      <c r="J3131" s="14" t="n">
        <v>46190.31807870371</v>
      </c>
      <c r="K3131" s="15" t="n">
        <v>5157.34</v>
      </c>
      <c r="L3131" s="4" t="inlineStr">
        <is>
          <t>INR</t>
        </is>
      </c>
      <c r="M3131" s="15" t="n">
        <v>0</v>
      </c>
      <c r="N3131" s="4" t="inlineStr">
        <is>
          <t>IOS Owner</t>
        </is>
      </c>
      <c r="O3131" s="4" t="n"/>
      <c r="P3131" s="4" t="n"/>
      <c r="Q3131" s="4" t="inlineStr">
        <is>
          <t>MAESTRO-IOS-PERSONAL-FUTURE_BUILDING-3130 | Emergency Fund | 5157.34</t>
        </is>
      </c>
      <c r="R3131" s="4" t="inlineStr">
        <is>
          <t>iPhone</t>
        </is>
      </c>
      <c r="S3131" s="4" t="inlineStr">
        <is>
          <t>B63</t>
        </is>
      </c>
      <c r="T3131" s="4" t="inlineStr">
        <is>
          <t>STRESS_3001_3500</t>
        </is>
      </c>
      <c r="U3131" s="4" t="inlineStr">
        <is>
          <t>CREATED</t>
        </is>
      </c>
      <c r="V3131" s="4" t="inlineStr">
        <is>
          <t>idem-20260902-ios-3130</t>
        </is>
      </c>
    </row>
    <row r="3132" ht="30" customHeight="1">
      <c r="A3132" s="4" t="n">
        <v>3131</v>
      </c>
      <c r="B3132" s="4" t="inlineStr">
        <is>
          <t>MTR-IOS-3131</t>
        </is>
      </c>
      <c r="C3132" s="4" t="inlineStr">
        <is>
          <t>Group</t>
        </is>
      </c>
      <c r="D3132" s="4" t="inlineStr">
        <is>
          <t>Shared Living</t>
        </is>
      </c>
      <c r="E3132" s="4" t="inlineStr">
        <is>
          <t>Custom Living</t>
        </is>
      </c>
      <c r="F3132" s="4" t="inlineStr">
        <is>
          <t>Custom Contribution</t>
        </is>
      </c>
      <c r="G3132" s="4" t="inlineStr">
        <is>
          <t>Contribution</t>
        </is>
      </c>
      <c r="H3132" s="12" t="n">
        <v>46140</v>
      </c>
      <c r="I3132" s="13" t="n">
        <v>0.23875</v>
      </c>
      <c r="J3132" s="14" t="n">
        <v>46140.23875</v>
      </c>
      <c r="K3132" s="15" t="n">
        <v>24327.82</v>
      </c>
      <c r="L3132" s="4" t="inlineStr">
        <is>
          <t>INR</t>
        </is>
      </c>
      <c r="M3132" s="15" t="n">
        <v>24327.82</v>
      </c>
      <c r="N3132" s="4" t="inlineStr">
        <is>
          <t>IOS Meera</t>
        </is>
      </c>
      <c r="O3132" s="4" t="n">
        <v>3</v>
      </c>
      <c r="P3132" s="4" t="inlineStr">
        <is>
          <t>SHARES</t>
        </is>
      </c>
      <c r="Q3132" s="4" t="inlineStr">
        <is>
          <t>MAESTRO-IOS-GROUP-CUSTOM_LIVING-3131 | Custom Contribution | 24327.82</t>
        </is>
      </c>
      <c r="R3132" s="4" t="inlineStr">
        <is>
          <t>iPhone</t>
        </is>
      </c>
      <c r="S3132" s="4" t="inlineStr">
        <is>
          <t>B63</t>
        </is>
      </c>
      <c r="T3132" s="4" t="inlineStr">
        <is>
          <t>STRESS_3001_3500</t>
        </is>
      </c>
      <c r="U3132" s="4" t="inlineStr">
        <is>
          <t>CREATED</t>
        </is>
      </c>
      <c r="V3132" s="4" t="inlineStr">
        <is>
          <t>idem-20260902-ios-3131</t>
        </is>
      </c>
    </row>
    <row r="3133" ht="30" customHeight="1">
      <c r="A3133" s="4" t="n">
        <v>3132</v>
      </c>
      <c r="B3133" s="4" t="inlineStr">
        <is>
          <t>MTR-IOS-3132</t>
        </is>
      </c>
      <c r="C3133" s="4" t="inlineStr">
        <is>
          <t>Business</t>
        </is>
      </c>
      <c r="D3133" s="4" t="inlineStr">
        <is>
          <t>Business</t>
        </is>
      </c>
      <c r="E3133" s="4" t="inlineStr">
        <is>
          <t>Business Operations</t>
        </is>
      </c>
      <c r="F3133" s="4" t="inlineStr">
        <is>
          <t>Rent</t>
        </is>
      </c>
      <c r="G3133" s="4" t="inlineStr">
        <is>
          <t>Expense</t>
        </is>
      </c>
      <c r="H3133" s="12" t="n">
        <v>45932</v>
      </c>
      <c r="I3133" s="13" t="n">
        <v>0.3615393518518519</v>
      </c>
      <c r="J3133" s="14" t="n">
        <v>45932.36153935185</v>
      </c>
      <c r="K3133" s="15" t="n">
        <v>161198.19</v>
      </c>
      <c r="L3133" s="4" t="inlineStr">
        <is>
          <t>INR</t>
        </is>
      </c>
      <c r="M3133" s="15" t="n">
        <v>-161198.19</v>
      </c>
      <c r="N3133" s="4" t="inlineStr">
        <is>
          <t>IOS Owner</t>
        </is>
      </c>
      <c r="O3133" s="4" t="n"/>
      <c r="P3133" s="4" t="n"/>
      <c r="Q3133" s="4" t="inlineStr">
        <is>
          <t>MAESTRO-IOS-BUSINESS-BUSINESS_OPERATIONS-3132 | Rent | 161198.19</t>
        </is>
      </c>
      <c r="R3133" s="4" t="inlineStr">
        <is>
          <t>iPhone</t>
        </is>
      </c>
      <c r="S3133" s="4" t="inlineStr">
        <is>
          <t>B63</t>
        </is>
      </c>
      <c r="T3133" s="4" t="inlineStr">
        <is>
          <t>STRESS_3001_3500</t>
        </is>
      </c>
      <c r="U3133" s="4" t="inlineStr">
        <is>
          <t>CREATED</t>
        </is>
      </c>
      <c r="V3133" s="4" t="inlineStr">
        <is>
          <t>idem-20260902-ios-3132</t>
        </is>
      </c>
    </row>
    <row r="3134" ht="30" customHeight="1">
      <c r="A3134" s="4" t="n">
        <v>3133</v>
      </c>
      <c r="B3134" s="4" t="inlineStr">
        <is>
          <t>MTR-IOS-3133</t>
        </is>
      </c>
      <c r="C3134" s="4" t="inlineStr">
        <is>
          <t>Personal</t>
        </is>
      </c>
      <c r="D3134" s="4" t="inlineStr">
        <is>
          <t>Personal</t>
        </is>
      </c>
      <c r="E3134" s="4" t="inlineStr">
        <is>
          <t>Future Building</t>
        </is>
      </c>
      <c r="F3134" s="4" t="inlineStr">
        <is>
          <t>Investments</t>
        </is>
      </c>
      <c r="G3134" s="4" t="inlineStr">
        <is>
          <t>Investment</t>
        </is>
      </c>
      <c r="H3134" s="12" t="n">
        <v>46135</v>
      </c>
      <c r="I3134" s="13" t="n">
        <v>0.945787037037037</v>
      </c>
      <c r="J3134" s="14" t="n">
        <v>46135.94578703704</v>
      </c>
      <c r="K3134" s="15" t="n">
        <v>17063.19</v>
      </c>
      <c r="L3134" s="4" t="inlineStr">
        <is>
          <t>INR</t>
        </is>
      </c>
      <c r="M3134" s="15" t="n">
        <v>0</v>
      </c>
      <c r="N3134" s="4" t="inlineStr">
        <is>
          <t>IOS Owner</t>
        </is>
      </c>
      <c r="O3134" s="4" t="n"/>
      <c r="P3134" s="4" t="n"/>
      <c r="Q3134" s="4" t="inlineStr">
        <is>
          <t>MAESTRO-IOS-PERSONAL-FUTURE_BUILDING-3133 | Investments | 17063.19</t>
        </is>
      </c>
      <c r="R3134" s="4" t="inlineStr">
        <is>
          <t>iPhone</t>
        </is>
      </c>
      <c r="S3134" s="4" t="inlineStr">
        <is>
          <t>B63</t>
        </is>
      </c>
      <c r="T3134" s="4" t="inlineStr">
        <is>
          <t>STRESS_3001_3500</t>
        </is>
      </c>
      <c r="U3134" s="4" t="inlineStr">
        <is>
          <t>CREATED</t>
        </is>
      </c>
      <c r="V3134" s="4" t="inlineStr">
        <is>
          <t>idem-20260902-ios-3133</t>
        </is>
      </c>
    </row>
    <row r="3135" ht="30" customHeight="1">
      <c r="A3135" s="4" t="n">
        <v>3134</v>
      </c>
      <c r="B3135" s="4" t="inlineStr">
        <is>
          <t>MTR-IOS-3134</t>
        </is>
      </c>
      <c r="C3135" s="4" t="inlineStr">
        <is>
          <t>Group</t>
        </is>
      </c>
      <c r="D3135" s="4" t="inlineStr">
        <is>
          <t>Shared Experience</t>
        </is>
      </c>
      <c r="E3135" s="4" t="inlineStr">
        <is>
          <t>Trip</t>
        </is>
      </c>
      <c r="F3135" s="4" t="inlineStr">
        <is>
          <t>Travel</t>
        </is>
      </c>
      <c r="G3135" s="4" t="inlineStr">
        <is>
          <t>Expense</t>
        </is>
      </c>
      <c r="H3135" s="12" t="n">
        <v>46057</v>
      </c>
      <c r="I3135" s="13" t="n">
        <v>0.1220949074074074</v>
      </c>
      <c r="J3135" s="14" t="n">
        <v>46057.1220949074</v>
      </c>
      <c r="K3135" s="15" t="n">
        <v>13916.29</v>
      </c>
      <c r="L3135" s="4" t="inlineStr">
        <is>
          <t>INR</t>
        </is>
      </c>
      <c r="M3135" s="15" t="n">
        <v>-13916.29</v>
      </c>
      <c r="N3135" s="4" t="inlineStr">
        <is>
          <t>IOS Owner</t>
        </is>
      </c>
      <c r="O3135" s="4" t="n">
        <v>3</v>
      </c>
      <c r="P3135" s="4" t="inlineStr">
        <is>
          <t>EQUAL</t>
        </is>
      </c>
      <c r="Q3135" s="4" t="inlineStr">
        <is>
          <t>MAESTRO-IOS-GROUP-TRIP-3134 | Travel | 13916.29</t>
        </is>
      </c>
      <c r="R3135" s="4" t="inlineStr">
        <is>
          <t>iPhone</t>
        </is>
      </c>
      <c r="S3135" s="4" t="inlineStr">
        <is>
          <t>B63</t>
        </is>
      </c>
      <c r="T3135" s="4" t="inlineStr">
        <is>
          <t>STRESS_3001_3500</t>
        </is>
      </c>
      <c r="U3135" s="4" t="inlineStr">
        <is>
          <t>CREATED</t>
        </is>
      </c>
      <c r="V3135" s="4" t="inlineStr">
        <is>
          <t>idem-20260902-ios-3134</t>
        </is>
      </c>
    </row>
    <row r="3136" ht="30" customHeight="1">
      <c r="A3136" s="4" t="n">
        <v>3135</v>
      </c>
      <c r="B3136" s="4" t="inlineStr">
        <is>
          <t>MTR-IOS-3135</t>
        </is>
      </c>
      <c r="C3136" s="4" t="inlineStr">
        <is>
          <t>Business</t>
        </is>
      </c>
      <c r="D3136" s="4" t="inlineStr">
        <is>
          <t>Business</t>
        </is>
      </c>
      <c r="E3136" s="4" t="inlineStr">
        <is>
          <t>Business Operations</t>
        </is>
      </c>
      <c r="F3136" s="4" t="inlineStr">
        <is>
          <t>Marketing</t>
        </is>
      </c>
      <c r="G3136" s="4" t="inlineStr">
        <is>
          <t>Expense</t>
        </is>
      </c>
      <c r="H3136" s="12" t="n">
        <v>46021</v>
      </c>
      <c r="I3136" s="13" t="n">
        <v>0.6727083333333334</v>
      </c>
      <c r="J3136" s="14" t="n">
        <v>46021.67270833333</v>
      </c>
      <c r="K3136" s="15" t="n">
        <v>26003.76</v>
      </c>
      <c r="L3136" s="4" t="inlineStr">
        <is>
          <t>INR</t>
        </is>
      </c>
      <c r="M3136" s="15" t="n">
        <v>-26003.76</v>
      </c>
      <c r="N3136" s="4" t="inlineStr">
        <is>
          <t>IOS Owner</t>
        </is>
      </c>
      <c r="O3136" s="4" t="n"/>
      <c r="P3136" s="4" t="n"/>
      <c r="Q3136" s="4" t="inlineStr">
        <is>
          <t>MAESTRO-IOS-BUSINESS-BUSINESS_OPERATIONS-3135 | Marketing | 26003.76</t>
        </is>
      </c>
      <c r="R3136" s="4" t="inlineStr">
        <is>
          <t>iPhone</t>
        </is>
      </c>
      <c r="S3136" s="4" t="inlineStr">
        <is>
          <t>B63</t>
        </is>
      </c>
      <c r="T3136" s="4" t="inlineStr">
        <is>
          <t>STRESS_3001_3500</t>
        </is>
      </c>
      <c r="U3136" s="4" t="inlineStr">
        <is>
          <t>CREATED</t>
        </is>
      </c>
      <c r="V3136" s="4" t="inlineStr">
        <is>
          <t>idem-20260902-ios-3135</t>
        </is>
      </c>
    </row>
    <row r="3137" ht="30" customHeight="1">
      <c r="A3137" s="4" t="n">
        <v>3136</v>
      </c>
      <c r="B3137" s="4" t="inlineStr">
        <is>
          <t>MTR-IOS-3136</t>
        </is>
      </c>
      <c r="C3137" s="4" t="inlineStr">
        <is>
          <t>Personal</t>
        </is>
      </c>
      <c r="D3137" s="4" t="inlineStr">
        <is>
          <t>Personal</t>
        </is>
      </c>
      <c r="E3137" s="4" t="inlineStr">
        <is>
          <t>Future Building</t>
        </is>
      </c>
      <c r="F3137" s="4" t="inlineStr">
        <is>
          <t>Education</t>
        </is>
      </c>
      <c r="G3137" s="4" t="inlineStr">
        <is>
          <t>Expense</t>
        </is>
      </c>
      <c r="H3137" s="12" t="n">
        <v>45914</v>
      </c>
      <c r="I3137" s="13" t="n">
        <v>0.001238425925925926</v>
      </c>
      <c r="J3137" s="14" t="n">
        <v>45914.00123842592</v>
      </c>
      <c r="K3137" s="15" t="n">
        <v>9525.41</v>
      </c>
      <c r="L3137" s="4" t="inlineStr">
        <is>
          <t>INR</t>
        </is>
      </c>
      <c r="M3137" s="15" t="n">
        <v>-9525.41</v>
      </c>
      <c r="N3137" s="4" t="inlineStr">
        <is>
          <t>IOS Owner</t>
        </is>
      </c>
      <c r="O3137" s="4" t="n"/>
      <c r="P3137" s="4" t="n"/>
      <c r="Q3137" s="4" t="inlineStr">
        <is>
          <t>MAESTRO-IOS-PERSONAL-FUTURE_BUILDING-3136 | Education | 9525.41</t>
        </is>
      </c>
      <c r="R3137" s="4" t="inlineStr">
        <is>
          <t>iPhone</t>
        </is>
      </c>
      <c r="S3137" s="4" t="inlineStr">
        <is>
          <t>B63</t>
        </is>
      </c>
      <c r="T3137" s="4" t="inlineStr">
        <is>
          <t>STRESS_3001_3500</t>
        </is>
      </c>
      <c r="U3137" s="4" t="inlineStr">
        <is>
          <t>CREATED</t>
        </is>
      </c>
      <c r="V3137" s="4" t="inlineStr">
        <is>
          <t>idem-20260902-ios-3136</t>
        </is>
      </c>
    </row>
    <row r="3138" ht="30" customHeight="1">
      <c r="A3138" s="4" t="n">
        <v>3137</v>
      </c>
      <c r="B3138" s="4" t="inlineStr">
        <is>
          <t>MTR-IOS-3137</t>
        </is>
      </c>
      <c r="C3138" s="4" t="inlineStr">
        <is>
          <t>Group</t>
        </is>
      </c>
      <c r="D3138" s="4" t="inlineStr">
        <is>
          <t>Shared Experience</t>
        </is>
      </c>
      <c r="E3138" s="4" t="inlineStr">
        <is>
          <t>Trip</t>
        </is>
      </c>
      <c r="F3138" s="4" t="inlineStr">
        <is>
          <t>Stay</t>
        </is>
      </c>
      <c r="G3138" s="4" t="inlineStr">
        <is>
          <t>Expense</t>
        </is>
      </c>
      <c r="H3138" s="12" t="n">
        <v>46162</v>
      </c>
      <c r="I3138" s="13" t="n">
        <v>0.8437962962962963</v>
      </c>
      <c r="J3138" s="14" t="n">
        <v>46162.8437962963</v>
      </c>
      <c r="K3138" s="15" t="n">
        <v>17659.79</v>
      </c>
      <c r="L3138" s="4" t="inlineStr">
        <is>
          <t>INR</t>
        </is>
      </c>
      <c r="M3138" s="15" t="n">
        <v>-17659.79</v>
      </c>
      <c r="N3138" s="4" t="inlineStr">
        <is>
          <t>IOS Aarav</t>
        </is>
      </c>
      <c r="O3138" s="4" t="n">
        <v>3</v>
      </c>
      <c r="P3138" s="4" t="inlineStr">
        <is>
          <t>PERCENTAGE</t>
        </is>
      </c>
      <c r="Q3138" s="4" t="inlineStr">
        <is>
          <t>MAESTRO-IOS-GROUP-TRIP-3137 | Stay | 17659.79</t>
        </is>
      </c>
      <c r="R3138" s="4" t="inlineStr">
        <is>
          <t>iPhone</t>
        </is>
      </c>
      <c r="S3138" s="4" t="inlineStr">
        <is>
          <t>B63</t>
        </is>
      </c>
      <c r="T3138" s="4" t="inlineStr">
        <is>
          <t>STRESS_3001_3500</t>
        </is>
      </c>
      <c r="U3138" s="4" t="inlineStr">
        <is>
          <t>CREATED</t>
        </is>
      </c>
      <c r="V3138" s="4" t="inlineStr">
        <is>
          <t>idem-20260902-ios-3137</t>
        </is>
      </c>
    </row>
    <row r="3139" ht="30" customHeight="1">
      <c r="A3139" s="4" t="n">
        <v>3138</v>
      </c>
      <c r="B3139" s="4" t="inlineStr">
        <is>
          <t>MTR-IOS-3138</t>
        </is>
      </c>
      <c r="C3139" s="4" t="inlineStr">
        <is>
          <t>Business</t>
        </is>
      </c>
      <c r="D3139" s="4" t="inlineStr">
        <is>
          <t>Business</t>
        </is>
      </c>
      <c r="E3139" s="4" t="inlineStr">
        <is>
          <t>Business Operations</t>
        </is>
      </c>
      <c r="F3139" s="4" t="inlineStr">
        <is>
          <t>Legal</t>
        </is>
      </c>
      <c r="G3139" s="4" t="inlineStr">
        <is>
          <t>Expense</t>
        </is>
      </c>
      <c r="H3139" s="12" t="n">
        <v>46228</v>
      </c>
      <c r="I3139" s="13" t="n">
        <v>0.9204629629629629</v>
      </c>
      <c r="J3139" s="14" t="n">
        <v>46228.92046296296</v>
      </c>
      <c r="K3139" s="15" t="n">
        <v>145363.66</v>
      </c>
      <c r="L3139" s="4" t="inlineStr">
        <is>
          <t>INR</t>
        </is>
      </c>
      <c r="M3139" s="15" t="n">
        <v>-145363.66</v>
      </c>
      <c r="N3139" s="4" t="inlineStr">
        <is>
          <t>IOS Owner</t>
        </is>
      </c>
      <c r="O3139" s="4" t="n"/>
      <c r="P3139" s="4" t="n"/>
      <c r="Q3139" s="4" t="inlineStr">
        <is>
          <t>MAESTRO-IOS-BUSINESS-BUSINESS_OPERATIONS-3138 | Legal | 145363.66</t>
        </is>
      </c>
      <c r="R3139" s="4" t="inlineStr">
        <is>
          <t>iPhone</t>
        </is>
      </c>
      <c r="S3139" s="4" t="inlineStr">
        <is>
          <t>B63</t>
        </is>
      </c>
      <c r="T3139" s="4" t="inlineStr">
        <is>
          <t>STRESS_3001_3500</t>
        </is>
      </c>
      <c r="U3139" s="4" t="inlineStr">
        <is>
          <t>CREATED</t>
        </is>
      </c>
      <c r="V3139" s="4" t="inlineStr">
        <is>
          <t>idem-20260902-ios-3138</t>
        </is>
      </c>
    </row>
    <row r="3140" ht="30" customHeight="1">
      <c r="A3140" s="4" t="n">
        <v>3139</v>
      </c>
      <c r="B3140" s="4" t="inlineStr">
        <is>
          <t>MTR-IOS-3139</t>
        </is>
      </c>
      <c r="C3140" s="4" t="inlineStr">
        <is>
          <t>Personal</t>
        </is>
      </c>
      <c r="D3140" s="4" t="inlineStr">
        <is>
          <t>Personal</t>
        </is>
      </c>
      <c r="E3140" s="4" t="inlineStr">
        <is>
          <t>Future Building</t>
        </is>
      </c>
      <c r="F3140" s="4" t="inlineStr">
        <is>
          <t>Goal Contribution</t>
        </is>
      </c>
      <c r="G3140" s="4" t="inlineStr">
        <is>
          <t>Transfer</t>
        </is>
      </c>
      <c r="H3140" s="12" t="n">
        <v>46179</v>
      </c>
      <c r="I3140" s="13" t="n">
        <v>0.3020717592592593</v>
      </c>
      <c r="J3140" s="14" t="n">
        <v>46179.30207175926</v>
      </c>
      <c r="K3140" s="15" t="n">
        <v>5006.97</v>
      </c>
      <c r="L3140" s="4" t="inlineStr">
        <is>
          <t>INR</t>
        </is>
      </c>
      <c r="M3140" s="15" t="n">
        <v>0</v>
      </c>
      <c r="N3140" s="4" t="inlineStr">
        <is>
          <t>IOS Owner</t>
        </is>
      </c>
      <c r="O3140" s="4" t="n"/>
      <c r="P3140" s="4" t="n"/>
      <c r="Q3140" s="4" t="inlineStr">
        <is>
          <t>MAESTRO-IOS-PERSONAL-FUTURE_BUILDING-3139 | Goal Contribution | 5006.97</t>
        </is>
      </c>
      <c r="R3140" s="4" t="inlineStr">
        <is>
          <t>iPhone</t>
        </is>
      </c>
      <c r="S3140" s="4" t="inlineStr">
        <is>
          <t>B63</t>
        </is>
      </c>
      <c r="T3140" s="4" t="inlineStr">
        <is>
          <t>STRESS_3001_3500</t>
        </is>
      </c>
      <c r="U3140" s="4" t="inlineStr">
        <is>
          <t>CREATED</t>
        </is>
      </c>
      <c r="V3140" s="4" t="inlineStr">
        <is>
          <t>idem-20260902-ios-3139</t>
        </is>
      </c>
    </row>
    <row r="3141" ht="30" customHeight="1">
      <c r="A3141" s="4" t="n">
        <v>3140</v>
      </c>
      <c r="B3141" s="4" t="inlineStr">
        <is>
          <t>MTR-IOS-3140</t>
        </is>
      </c>
      <c r="C3141" s="4" t="inlineStr">
        <is>
          <t>Group</t>
        </is>
      </c>
      <c r="D3141" s="4" t="inlineStr">
        <is>
          <t>Shared Experience</t>
        </is>
      </c>
      <c r="E3141" s="4" t="inlineStr">
        <is>
          <t>Trip</t>
        </is>
      </c>
      <c r="F3141" s="4" t="inlineStr">
        <is>
          <t>Food</t>
        </is>
      </c>
      <c r="G3141" s="4" t="inlineStr">
        <is>
          <t>Expense</t>
        </is>
      </c>
      <c r="H3141" s="12" t="n">
        <v>45987</v>
      </c>
      <c r="I3141" s="13" t="n">
        <v>0.2732638888888889</v>
      </c>
      <c r="J3141" s="14" t="n">
        <v>45987.27326388889</v>
      </c>
      <c r="K3141" s="15" t="n">
        <v>20944</v>
      </c>
      <c r="L3141" s="4" t="inlineStr">
        <is>
          <t>INR</t>
        </is>
      </c>
      <c r="M3141" s="15" t="n">
        <v>-20944</v>
      </c>
      <c r="N3141" s="4" t="inlineStr">
        <is>
          <t>IOS Meera</t>
        </is>
      </c>
      <c r="O3141" s="4" t="n">
        <v>3</v>
      </c>
      <c r="P3141" s="4" t="inlineStr">
        <is>
          <t>EXACT</t>
        </is>
      </c>
      <c r="Q3141" s="4" t="inlineStr">
        <is>
          <t>MAESTRO-IOS-GROUP-TRIP-3140 | Food | 20944.00</t>
        </is>
      </c>
      <c r="R3141" s="4" t="inlineStr">
        <is>
          <t>iPhone</t>
        </is>
      </c>
      <c r="S3141" s="4" t="inlineStr">
        <is>
          <t>B63</t>
        </is>
      </c>
      <c r="T3141" s="4" t="inlineStr">
        <is>
          <t>STRESS_3001_3500</t>
        </is>
      </c>
      <c r="U3141" s="4" t="inlineStr">
        <is>
          <t>CREATED</t>
        </is>
      </c>
      <c r="V3141" s="4" t="inlineStr">
        <is>
          <t>idem-20260902-ios-3140</t>
        </is>
      </c>
    </row>
    <row r="3142" ht="30" customHeight="1">
      <c r="A3142" s="4" t="n">
        <v>3141</v>
      </c>
      <c r="B3142" s="4" t="inlineStr">
        <is>
          <t>MTR-IOS-3141</t>
        </is>
      </c>
      <c r="C3142" s="4" t="inlineStr">
        <is>
          <t>Business</t>
        </is>
      </c>
      <c r="D3142" s="4" t="inlineStr">
        <is>
          <t>Business</t>
        </is>
      </c>
      <c r="E3142" s="4" t="inlineStr">
        <is>
          <t>Business Operations</t>
        </is>
      </c>
      <c r="F3142" s="4" t="inlineStr">
        <is>
          <t>Accounting</t>
        </is>
      </c>
      <c r="G3142" s="4" t="inlineStr">
        <is>
          <t>Expense</t>
        </is>
      </c>
      <c r="H3142" s="12" t="n">
        <v>46164</v>
      </c>
      <c r="I3142" s="13" t="n">
        <v>0.4596527777777778</v>
      </c>
      <c r="J3142" s="14" t="n">
        <v>46164.45965277778</v>
      </c>
      <c r="K3142" s="15" t="n">
        <v>162491.2</v>
      </c>
      <c r="L3142" s="4" t="inlineStr">
        <is>
          <t>INR</t>
        </is>
      </c>
      <c r="M3142" s="15" t="n">
        <v>-162491.2</v>
      </c>
      <c r="N3142" s="4" t="inlineStr">
        <is>
          <t>IOS Owner</t>
        </is>
      </c>
      <c r="O3142" s="4" t="n"/>
      <c r="P3142" s="4" t="n"/>
      <c r="Q3142" s="4" t="inlineStr">
        <is>
          <t>MAESTRO-IOS-BUSINESS-BUSINESS_OPERATIONS-3141 | Accounting | 162491.20</t>
        </is>
      </c>
      <c r="R3142" s="4" t="inlineStr">
        <is>
          <t>iPhone</t>
        </is>
      </c>
      <c r="S3142" s="4" t="inlineStr">
        <is>
          <t>B63</t>
        </is>
      </c>
      <c r="T3142" s="4" t="inlineStr">
        <is>
          <t>STRESS_3001_3500</t>
        </is>
      </c>
      <c r="U3142" s="4" t="inlineStr">
        <is>
          <t>CREATED</t>
        </is>
      </c>
      <c r="V3142" s="4" t="inlineStr">
        <is>
          <t>idem-20260902-ios-3141</t>
        </is>
      </c>
    </row>
    <row r="3143" ht="30" customHeight="1">
      <c r="A3143" s="4" t="n">
        <v>3142</v>
      </c>
      <c r="B3143" s="4" t="inlineStr">
        <is>
          <t>MTR-IOS-3142</t>
        </is>
      </c>
      <c r="C3143" s="4" t="inlineStr">
        <is>
          <t>Personal</t>
        </is>
      </c>
      <c r="D3143" s="4" t="inlineStr">
        <is>
          <t>Personal</t>
        </is>
      </c>
      <c r="E3143" s="4" t="inlineStr">
        <is>
          <t>Lifestyle</t>
        </is>
      </c>
      <c r="F3143" s="4" t="inlineStr">
        <is>
          <t>Dining</t>
        </is>
      </c>
      <c r="G3143" s="4" t="inlineStr">
        <is>
          <t>Expense</t>
        </is>
      </c>
      <c r="H3143" s="12" t="n">
        <v>45980</v>
      </c>
      <c r="I3143" s="13" t="n">
        <v>0.7496412037037037</v>
      </c>
      <c r="J3143" s="14" t="n">
        <v>45980.74964120371</v>
      </c>
      <c r="K3143" s="15" t="n">
        <v>1422.49</v>
      </c>
      <c r="L3143" s="4" t="inlineStr">
        <is>
          <t>INR</t>
        </is>
      </c>
      <c r="M3143" s="15" t="n">
        <v>-1422.49</v>
      </c>
      <c r="N3143" s="4" t="inlineStr">
        <is>
          <t>IOS Owner</t>
        </is>
      </c>
      <c r="O3143" s="4" t="n"/>
      <c r="P3143" s="4" t="n"/>
      <c r="Q3143" s="4" t="inlineStr">
        <is>
          <t>MAESTRO-IOS-PERSONAL-LIFESTYLE-3142 | Dining | 1422.49</t>
        </is>
      </c>
      <c r="R3143" s="4" t="inlineStr">
        <is>
          <t>iPhone</t>
        </is>
      </c>
      <c r="S3143" s="4" t="inlineStr">
        <is>
          <t>B63</t>
        </is>
      </c>
      <c r="T3143" s="4" t="inlineStr">
        <is>
          <t>STRESS_3001_3500</t>
        </is>
      </c>
      <c r="U3143" s="4" t="inlineStr">
        <is>
          <t>CREATED</t>
        </is>
      </c>
      <c r="V3143" s="4" t="inlineStr">
        <is>
          <t>idem-20260902-ios-3142</t>
        </is>
      </c>
    </row>
    <row r="3144" ht="30" customHeight="1">
      <c r="A3144" s="4" t="n">
        <v>3143</v>
      </c>
      <c r="B3144" s="4" t="inlineStr">
        <is>
          <t>MTR-IOS-3143</t>
        </is>
      </c>
      <c r="C3144" s="4" t="inlineStr">
        <is>
          <t>Group</t>
        </is>
      </c>
      <c r="D3144" s="4" t="inlineStr">
        <is>
          <t>Shared Experience</t>
        </is>
      </c>
      <c r="E3144" s="4" t="inlineStr">
        <is>
          <t>Trip</t>
        </is>
      </c>
      <c r="F3144" s="4" t="inlineStr">
        <is>
          <t>Local Transport</t>
        </is>
      </c>
      <c r="G3144" s="4" t="inlineStr">
        <is>
          <t>Expense</t>
        </is>
      </c>
      <c r="H3144" s="12" t="n">
        <v>46092</v>
      </c>
      <c r="I3144" s="13" t="n">
        <v>0.3459837962962963</v>
      </c>
      <c r="J3144" s="14" t="n">
        <v>46092.34598379629</v>
      </c>
      <c r="K3144" s="15" t="n">
        <v>22009.06</v>
      </c>
      <c r="L3144" s="4" t="inlineStr">
        <is>
          <t>INR</t>
        </is>
      </c>
      <c r="M3144" s="15" t="n">
        <v>-22009.06</v>
      </c>
      <c r="N3144" s="4" t="inlineStr">
        <is>
          <t>IOS Owner</t>
        </is>
      </c>
      <c r="O3144" s="4" t="n">
        <v>3</v>
      </c>
      <c r="P3144" s="4" t="inlineStr">
        <is>
          <t>SHARES</t>
        </is>
      </c>
      <c r="Q3144" s="4" t="inlineStr">
        <is>
          <t>MAESTRO-IOS-GROUP-TRIP-3143 | Local Transport | 22009.06</t>
        </is>
      </c>
      <c r="R3144" s="4" t="inlineStr">
        <is>
          <t>iPhone</t>
        </is>
      </c>
      <c r="S3144" s="4" t="inlineStr">
        <is>
          <t>B63</t>
        </is>
      </c>
      <c r="T3144" s="4" t="inlineStr">
        <is>
          <t>STRESS_3001_3500</t>
        </is>
      </c>
      <c r="U3144" s="4" t="inlineStr">
        <is>
          <t>CREATED</t>
        </is>
      </c>
      <c r="V3144" s="4" t="inlineStr">
        <is>
          <t>idem-20260902-ios-3143</t>
        </is>
      </c>
    </row>
    <row r="3145" ht="30" customHeight="1">
      <c r="A3145" s="4" t="n">
        <v>3144</v>
      </c>
      <c r="B3145" s="4" t="inlineStr">
        <is>
          <t>MTR-IOS-3144</t>
        </is>
      </c>
      <c r="C3145" s="4" t="inlineStr">
        <is>
          <t>Business</t>
        </is>
      </c>
      <c r="D3145" s="4" t="inlineStr">
        <is>
          <t>Business</t>
        </is>
      </c>
      <c r="E3145" s="4" t="inlineStr">
        <is>
          <t>Business Operations</t>
        </is>
      </c>
      <c r="F3145" s="4" t="inlineStr">
        <is>
          <t>Equipment</t>
        </is>
      </c>
      <c r="G3145" s="4" t="inlineStr">
        <is>
          <t>Expense</t>
        </is>
      </c>
      <c r="H3145" s="12" t="n">
        <v>45958</v>
      </c>
      <c r="I3145" s="13" t="n">
        <v>0.7797685185185185</v>
      </c>
      <c r="J3145" s="14" t="n">
        <v>45958.77976851852</v>
      </c>
      <c r="K3145" s="15" t="n">
        <v>106307.31</v>
      </c>
      <c r="L3145" s="4" t="inlineStr">
        <is>
          <t>INR</t>
        </is>
      </c>
      <c r="M3145" s="15" t="n">
        <v>-106307.31</v>
      </c>
      <c r="N3145" s="4" t="inlineStr">
        <is>
          <t>IOS Owner</t>
        </is>
      </c>
      <c r="O3145" s="4" t="n"/>
      <c r="P3145" s="4" t="n"/>
      <c r="Q3145" s="4" t="inlineStr">
        <is>
          <t>MAESTRO-IOS-BUSINESS-BUSINESS_OPERATIONS-3144 | Equipment | 106307.31</t>
        </is>
      </c>
      <c r="R3145" s="4" t="inlineStr">
        <is>
          <t>iPhone</t>
        </is>
      </c>
      <c r="S3145" s="4" t="inlineStr">
        <is>
          <t>B63</t>
        </is>
      </c>
      <c r="T3145" s="4" t="inlineStr">
        <is>
          <t>STRESS_3001_3500</t>
        </is>
      </c>
      <c r="U3145" s="4" t="inlineStr">
        <is>
          <t>CREATED</t>
        </is>
      </c>
      <c r="V3145" s="4" t="inlineStr">
        <is>
          <t>idem-20260902-ios-3144</t>
        </is>
      </c>
    </row>
    <row r="3146" ht="30" customHeight="1">
      <c r="A3146" s="4" t="n">
        <v>3145</v>
      </c>
      <c r="B3146" s="4" t="inlineStr">
        <is>
          <t>MTR-IOS-3145</t>
        </is>
      </c>
      <c r="C3146" s="4" t="inlineStr">
        <is>
          <t>Personal</t>
        </is>
      </c>
      <c r="D3146" s="4" t="inlineStr">
        <is>
          <t>Personal</t>
        </is>
      </c>
      <c r="E3146" s="4" t="inlineStr">
        <is>
          <t>Lifestyle</t>
        </is>
      </c>
      <c r="F3146" s="4" t="inlineStr">
        <is>
          <t>Shopping</t>
        </is>
      </c>
      <c r="G3146" s="4" t="inlineStr">
        <is>
          <t>Expense</t>
        </is>
      </c>
      <c r="H3146" s="12" t="n">
        <v>45963</v>
      </c>
      <c r="I3146" s="13" t="n">
        <v>0.5878472222222222</v>
      </c>
      <c r="J3146" s="14" t="n">
        <v>45963.58784722222</v>
      </c>
      <c r="K3146" s="15" t="n">
        <v>1</v>
      </c>
      <c r="L3146" s="4" t="inlineStr">
        <is>
          <t>INR</t>
        </is>
      </c>
      <c r="M3146" s="15" t="n">
        <v>-1</v>
      </c>
      <c r="N3146" s="4" t="inlineStr">
        <is>
          <t>IOS Owner</t>
        </is>
      </c>
      <c r="O3146" s="4" t="n"/>
      <c r="P3146" s="4" t="n"/>
      <c r="Q3146" s="4" t="inlineStr">
        <is>
          <t>MAESTRO-IOS-PERSONAL-LIFESTYLE-3145 | Shopping | 1.00</t>
        </is>
      </c>
      <c r="R3146" s="4" t="inlineStr">
        <is>
          <t>iPhone</t>
        </is>
      </c>
      <c r="S3146" s="4" t="inlineStr">
        <is>
          <t>B63</t>
        </is>
      </c>
      <c r="T3146" s="4" t="inlineStr">
        <is>
          <t>STRESS_3001_3500</t>
        </is>
      </c>
      <c r="U3146" s="4" t="inlineStr">
        <is>
          <t>CREATED</t>
        </is>
      </c>
      <c r="V3146" s="4" t="inlineStr">
        <is>
          <t>idem-20260902-ios-3145</t>
        </is>
      </c>
    </row>
    <row r="3147" ht="30" customHeight="1">
      <c r="A3147" s="4" t="n">
        <v>3146</v>
      </c>
      <c r="B3147" s="4" t="inlineStr">
        <is>
          <t>MTR-IOS-3146</t>
        </is>
      </c>
      <c r="C3147" s="4" t="inlineStr">
        <is>
          <t>Group</t>
        </is>
      </c>
      <c r="D3147" s="4" t="inlineStr">
        <is>
          <t>Shared Experience</t>
        </is>
      </c>
      <c r="E3147" s="4" t="inlineStr">
        <is>
          <t>Trip</t>
        </is>
      </c>
      <c r="F3147" s="4" t="inlineStr">
        <is>
          <t>Activities</t>
        </is>
      </c>
      <c r="G3147" s="4" t="inlineStr">
        <is>
          <t>Expense</t>
        </is>
      </c>
      <c r="H3147" s="12" t="n">
        <v>46140</v>
      </c>
      <c r="I3147" s="13" t="n">
        <v>0.529074074074074</v>
      </c>
      <c r="J3147" s="14" t="n">
        <v>46140.52907407407</v>
      </c>
      <c r="K3147" s="15" t="n">
        <v>7644.58</v>
      </c>
      <c r="L3147" s="4" t="inlineStr">
        <is>
          <t>INR</t>
        </is>
      </c>
      <c r="M3147" s="15" t="n">
        <v>-7644.58</v>
      </c>
      <c r="N3147" s="4" t="inlineStr">
        <is>
          <t>IOS Aarav</t>
        </is>
      </c>
      <c r="O3147" s="4" t="n">
        <v>3</v>
      </c>
      <c r="P3147" s="4" t="inlineStr">
        <is>
          <t>EQUAL</t>
        </is>
      </c>
      <c r="Q3147" s="4" t="inlineStr">
        <is>
          <t>MAESTRO-IOS-GROUP-TRIP-3146 | Activities | 7644.58</t>
        </is>
      </c>
      <c r="R3147" s="4" t="inlineStr">
        <is>
          <t>iPhone</t>
        </is>
      </c>
      <c r="S3147" s="4" t="inlineStr">
        <is>
          <t>B63</t>
        </is>
      </c>
      <c r="T3147" s="4" t="inlineStr">
        <is>
          <t>STRESS_3001_3500</t>
        </is>
      </c>
      <c r="U3147" s="4" t="inlineStr">
        <is>
          <t>CREATED</t>
        </is>
      </c>
      <c r="V3147" s="4" t="inlineStr">
        <is>
          <t>idem-20260902-ios-3146</t>
        </is>
      </c>
    </row>
    <row r="3148" ht="30" customHeight="1">
      <c r="A3148" s="4" t="n">
        <v>3147</v>
      </c>
      <c r="B3148" s="4" t="inlineStr">
        <is>
          <t>MTR-IOS-3147</t>
        </is>
      </c>
      <c r="C3148" s="4" t="inlineStr">
        <is>
          <t>Business</t>
        </is>
      </c>
      <c r="D3148" s="4" t="inlineStr">
        <is>
          <t>Business</t>
        </is>
      </c>
      <c r="E3148" s="4" t="inlineStr">
        <is>
          <t>Business Operations</t>
        </is>
      </c>
      <c r="F3148" s="4" t="inlineStr">
        <is>
          <t>Vendor</t>
        </is>
      </c>
      <c r="G3148" s="4" t="inlineStr">
        <is>
          <t>Expense</t>
        </is>
      </c>
      <c r="H3148" s="12" t="n">
        <v>45987</v>
      </c>
      <c r="I3148" s="13" t="n">
        <v>0.04263888888888889</v>
      </c>
      <c r="J3148" s="14" t="n">
        <v>45987.04263888889</v>
      </c>
      <c r="K3148" s="15" t="n">
        <v>101868.84</v>
      </c>
      <c r="L3148" s="4" t="inlineStr">
        <is>
          <t>INR</t>
        </is>
      </c>
      <c r="M3148" s="15" t="n">
        <v>-101868.84</v>
      </c>
      <c r="N3148" s="4" t="inlineStr">
        <is>
          <t>IOS Owner</t>
        </is>
      </c>
      <c r="O3148" s="4" t="n"/>
      <c r="P3148" s="4" t="n"/>
      <c r="Q3148" s="4" t="inlineStr">
        <is>
          <t>MAESTRO-IOS-BUSINESS-BUSINESS_OPERATIONS-3147 | Vendor | 101868.84</t>
        </is>
      </c>
      <c r="R3148" s="4" t="inlineStr">
        <is>
          <t>iPhone</t>
        </is>
      </c>
      <c r="S3148" s="4" t="inlineStr">
        <is>
          <t>B63</t>
        </is>
      </c>
      <c r="T3148" s="4" t="inlineStr">
        <is>
          <t>STRESS_3001_3500</t>
        </is>
      </c>
      <c r="U3148" s="4" t="inlineStr">
        <is>
          <t>CREATED</t>
        </is>
      </c>
      <c r="V3148" s="4" t="inlineStr">
        <is>
          <t>idem-20260902-ios-3147</t>
        </is>
      </c>
    </row>
    <row r="3149" ht="30" customHeight="1">
      <c r="A3149" s="4" t="n">
        <v>3148</v>
      </c>
      <c r="B3149" s="4" t="inlineStr">
        <is>
          <t>MTR-IOS-3148</t>
        </is>
      </c>
      <c r="C3149" s="4" t="inlineStr">
        <is>
          <t>Personal</t>
        </is>
      </c>
      <c r="D3149" s="4" t="inlineStr">
        <is>
          <t>Personal</t>
        </is>
      </c>
      <c r="E3149" s="4" t="inlineStr">
        <is>
          <t>Lifestyle</t>
        </is>
      </c>
      <c r="F3149" s="4" t="inlineStr">
        <is>
          <t>Entertainment</t>
        </is>
      </c>
      <c r="G3149" s="4" t="inlineStr">
        <is>
          <t>Expense</t>
        </is>
      </c>
      <c r="H3149" s="12" t="n">
        <v>46103</v>
      </c>
      <c r="I3149" s="13" t="n">
        <v>0.7883101851851851</v>
      </c>
      <c r="J3149" s="14" t="n">
        <v>46103.78831018518</v>
      </c>
      <c r="K3149" s="15" t="n">
        <v>6436.56</v>
      </c>
      <c r="L3149" s="4" t="inlineStr">
        <is>
          <t>INR</t>
        </is>
      </c>
      <c r="M3149" s="15" t="n">
        <v>-6436.56</v>
      </c>
      <c r="N3149" s="4" t="inlineStr">
        <is>
          <t>IOS Owner</t>
        </is>
      </c>
      <c r="O3149" s="4" t="n"/>
      <c r="P3149" s="4" t="n"/>
      <c r="Q3149" s="4" t="inlineStr">
        <is>
          <t>MAESTRO-IOS-PERSONAL-LIFESTYLE-3148 | Entertainment | 6436.56</t>
        </is>
      </c>
      <c r="R3149" s="4" t="inlineStr">
        <is>
          <t>iPhone</t>
        </is>
      </c>
      <c r="S3149" s="4" t="inlineStr">
        <is>
          <t>B63</t>
        </is>
      </c>
      <c r="T3149" s="4" t="inlineStr">
        <is>
          <t>STRESS_3001_3500</t>
        </is>
      </c>
      <c r="U3149" s="4" t="inlineStr">
        <is>
          <t>CREATED</t>
        </is>
      </c>
      <c r="V3149" s="4" t="inlineStr">
        <is>
          <t>idem-20260902-ios-3148</t>
        </is>
      </c>
    </row>
    <row r="3150" ht="30" customHeight="1">
      <c r="A3150" s="4" t="n">
        <v>3149</v>
      </c>
      <c r="B3150" s="4" t="inlineStr">
        <is>
          <t>MTR-IOS-3149</t>
        </is>
      </c>
      <c r="C3150" s="4" t="inlineStr">
        <is>
          <t>Group</t>
        </is>
      </c>
      <c r="D3150" s="4" t="inlineStr">
        <is>
          <t>Shared Experience</t>
        </is>
      </c>
      <c r="E3150" s="4" t="inlineStr">
        <is>
          <t>Trip</t>
        </is>
      </c>
      <c r="F3150" s="4" t="inlineStr">
        <is>
          <t>Shopping</t>
        </is>
      </c>
      <c r="G3150" s="4" t="inlineStr">
        <is>
          <t>Expense</t>
        </is>
      </c>
      <c r="H3150" s="12" t="n">
        <v>46165</v>
      </c>
      <c r="I3150" s="13" t="n">
        <v>0.1140625</v>
      </c>
      <c r="J3150" s="14" t="n">
        <v>46165.1140625</v>
      </c>
      <c r="K3150" s="15" t="n">
        <v>17324.05</v>
      </c>
      <c r="L3150" s="4" t="inlineStr">
        <is>
          <t>INR</t>
        </is>
      </c>
      <c r="M3150" s="15" t="n">
        <v>-17324.05</v>
      </c>
      <c r="N3150" s="4" t="inlineStr">
        <is>
          <t>IOS Meera</t>
        </is>
      </c>
      <c r="O3150" s="4" t="n">
        <v>3</v>
      </c>
      <c r="P3150" s="4" t="inlineStr">
        <is>
          <t>PERCENTAGE</t>
        </is>
      </c>
      <c r="Q3150" s="4" t="inlineStr">
        <is>
          <t>MAESTRO-IOS-GROUP-TRIP-3149 | Shopping | 17324.05</t>
        </is>
      </c>
      <c r="R3150" s="4" t="inlineStr">
        <is>
          <t>iPhone</t>
        </is>
      </c>
      <c r="S3150" s="4" t="inlineStr">
        <is>
          <t>B63</t>
        </is>
      </c>
      <c r="T3150" s="4" t="inlineStr">
        <is>
          <t>STRESS_3001_3500</t>
        </is>
      </c>
      <c r="U3150" s="4" t="inlineStr">
        <is>
          <t>CREATED</t>
        </is>
      </c>
      <c r="V3150" s="4" t="inlineStr">
        <is>
          <t>idem-20260902-ios-3149</t>
        </is>
      </c>
    </row>
    <row r="3151" ht="30" customHeight="1">
      <c r="A3151" s="4" t="n">
        <v>3150</v>
      </c>
      <c r="B3151" s="4" t="inlineStr">
        <is>
          <t>MTR-IOS-3150</t>
        </is>
      </c>
      <c r="C3151" s="4" t="inlineStr">
        <is>
          <t>Business</t>
        </is>
      </c>
      <c r="D3151" s="4" t="inlineStr">
        <is>
          <t>Business</t>
        </is>
      </c>
      <c r="E3151" s="4" t="inlineStr">
        <is>
          <t>Business Operations</t>
        </is>
      </c>
      <c r="F3151" s="4" t="inlineStr">
        <is>
          <t>Tax</t>
        </is>
      </c>
      <c r="G3151" s="4" t="inlineStr">
        <is>
          <t>Expense</t>
        </is>
      </c>
      <c r="H3151" s="12" t="n">
        <v>46078</v>
      </c>
      <c r="I3151" s="13" t="n">
        <v>0.6855787037037037</v>
      </c>
      <c r="J3151" s="14" t="n">
        <v>46078.68557870371</v>
      </c>
      <c r="K3151" s="15" t="n">
        <v>155410.28</v>
      </c>
      <c r="L3151" s="4" t="inlineStr">
        <is>
          <t>INR</t>
        </is>
      </c>
      <c r="M3151" s="15" t="n">
        <v>-155410.28</v>
      </c>
      <c r="N3151" s="4" t="inlineStr">
        <is>
          <t>IOS Owner</t>
        </is>
      </c>
      <c r="O3151" s="4" t="n"/>
      <c r="P3151" s="4" t="n"/>
      <c r="Q3151" s="4" t="inlineStr">
        <is>
          <t>MAESTRO-IOS-BUSINESS-BUSINESS_OPERATIONS-3150 | Tax | 155410.28</t>
        </is>
      </c>
      <c r="R3151" s="4" t="inlineStr">
        <is>
          <t>iPhone</t>
        </is>
      </c>
      <c r="S3151" s="4" t="inlineStr">
        <is>
          <t>B63</t>
        </is>
      </c>
      <c r="T3151" s="4" t="inlineStr">
        <is>
          <t>STRESS_3001_3500</t>
        </is>
      </c>
      <c r="U3151" s="4" t="inlineStr">
        <is>
          <t>CREATED</t>
        </is>
      </c>
      <c r="V3151" s="4" t="inlineStr">
        <is>
          <t>idem-20260902-ios-3150</t>
        </is>
      </c>
    </row>
    <row r="3152" ht="30" customHeight="1">
      <c r="A3152" s="4" t="n">
        <v>3151</v>
      </c>
      <c r="B3152" s="4" t="inlineStr">
        <is>
          <t>MTR-IOS-3151</t>
        </is>
      </c>
      <c r="C3152" s="4" t="inlineStr">
        <is>
          <t>Personal</t>
        </is>
      </c>
      <c r="D3152" s="4" t="inlineStr">
        <is>
          <t>Personal</t>
        </is>
      </c>
      <c r="E3152" s="4" t="inlineStr">
        <is>
          <t>Lifestyle</t>
        </is>
      </c>
      <c r="F3152" s="4" t="inlineStr">
        <is>
          <t>Travel</t>
        </is>
      </c>
      <c r="G3152" s="4" t="inlineStr">
        <is>
          <t>Expense</t>
        </is>
      </c>
      <c r="H3152" s="12" t="n">
        <v>45980</v>
      </c>
      <c r="I3152" s="13" t="n">
        <v>0.4381134259259259</v>
      </c>
      <c r="J3152" s="14" t="n">
        <v>45980.43811342592</v>
      </c>
      <c r="K3152" s="15" t="n">
        <v>1423.38</v>
      </c>
      <c r="L3152" s="4" t="inlineStr">
        <is>
          <t>INR</t>
        </is>
      </c>
      <c r="M3152" s="15" t="n">
        <v>-1423.38</v>
      </c>
      <c r="N3152" s="4" t="inlineStr">
        <is>
          <t>IOS Owner</t>
        </is>
      </c>
      <c r="O3152" s="4" t="n"/>
      <c r="P3152" s="4" t="n"/>
      <c r="Q3152" s="4" t="inlineStr">
        <is>
          <t>MAESTRO-IOS-PERSONAL-LIFESTYLE-3151 | Travel | 1423.38</t>
        </is>
      </c>
      <c r="R3152" s="4" t="inlineStr">
        <is>
          <t>iPhone</t>
        </is>
      </c>
      <c r="S3152" s="4" t="inlineStr">
        <is>
          <t>B64</t>
        </is>
      </c>
      <c r="T3152" s="4" t="inlineStr">
        <is>
          <t>STRESS_3001_3500</t>
        </is>
      </c>
      <c r="U3152" s="4" t="inlineStr">
        <is>
          <t>CREATED</t>
        </is>
      </c>
      <c r="V3152" s="4" t="inlineStr">
        <is>
          <t>idem-20260902-ios-3151</t>
        </is>
      </c>
    </row>
    <row r="3153" ht="30" customHeight="1">
      <c r="A3153" s="4" t="n">
        <v>3152</v>
      </c>
      <c r="B3153" s="4" t="inlineStr">
        <is>
          <t>MTR-IOS-3152</t>
        </is>
      </c>
      <c r="C3153" s="4" t="inlineStr">
        <is>
          <t>Group</t>
        </is>
      </c>
      <c r="D3153" s="4" t="inlineStr">
        <is>
          <t>Shared Experience</t>
        </is>
      </c>
      <c r="E3153" s="4" t="inlineStr">
        <is>
          <t>Trip</t>
        </is>
      </c>
      <c r="F3153" s="4" t="inlineStr">
        <is>
          <t>Other</t>
        </is>
      </c>
      <c r="G3153" s="4" t="inlineStr">
        <is>
          <t>Expense</t>
        </is>
      </c>
      <c r="H3153" s="12" t="n">
        <v>46204</v>
      </c>
      <c r="I3153" s="13" t="n">
        <v>0.5330902777777777</v>
      </c>
      <c r="J3153" s="14" t="n">
        <v>46204.53309027778</v>
      </c>
      <c r="K3153" s="15" t="n">
        <v>18992.33</v>
      </c>
      <c r="L3153" s="4" t="inlineStr">
        <is>
          <t>INR</t>
        </is>
      </c>
      <c r="M3153" s="15" t="n">
        <v>-18992.33</v>
      </c>
      <c r="N3153" s="4" t="inlineStr">
        <is>
          <t>IOS Owner</t>
        </is>
      </c>
      <c r="O3153" s="4" t="n">
        <v>3</v>
      </c>
      <c r="P3153" s="4" t="inlineStr">
        <is>
          <t>EXACT</t>
        </is>
      </c>
      <c r="Q3153" s="4" t="inlineStr">
        <is>
          <t>MAESTRO-IOS-GROUP-TRIP-3152 | Other | 18992.33</t>
        </is>
      </c>
      <c r="R3153" s="4" t="inlineStr">
        <is>
          <t>iPhone</t>
        </is>
      </c>
      <c r="S3153" s="4" t="inlineStr">
        <is>
          <t>B64</t>
        </is>
      </c>
      <c r="T3153" s="4" t="inlineStr">
        <is>
          <t>STRESS_3001_3500</t>
        </is>
      </c>
      <c r="U3153" s="4" t="inlineStr">
        <is>
          <t>CREATED</t>
        </is>
      </c>
      <c r="V3153" s="4" t="inlineStr">
        <is>
          <t>idem-20260902-ios-3152</t>
        </is>
      </c>
    </row>
    <row r="3154" ht="30" customHeight="1">
      <c r="A3154" s="4" t="n">
        <v>3153</v>
      </c>
      <c r="B3154" s="4" t="inlineStr">
        <is>
          <t>MTR-IOS-3153</t>
        </is>
      </c>
      <c r="C3154" s="4" t="inlineStr">
        <is>
          <t>Business</t>
        </is>
      </c>
      <c r="D3154" s="4" t="inlineStr">
        <is>
          <t>Business</t>
        </is>
      </c>
      <c r="E3154" s="4" t="inlineStr">
        <is>
          <t>Team Operations</t>
        </is>
      </c>
      <c r="F3154" s="4" t="inlineStr">
        <is>
          <t>Payroll</t>
        </is>
      </c>
      <c r="G3154" s="4" t="inlineStr">
        <is>
          <t>Expense</t>
        </is>
      </c>
      <c r="H3154" s="12" t="n">
        <v>46051</v>
      </c>
      <c r="I3154" s="13" t="n">
        <v>0.7992361111111111</v>
      </c>
      <c r="J3154" s="14" t="n">
        <v>46051.79923611111</v>
      </c>
      <c r="K3154" s="15" t="n">
        <v>142576.12</v>
      </c>
      <c r="L3154" s="4" t="inlineStr">
        <is>
          <t>INR</t>
        </is>
      </c>
      <c r="M3154" s="15" t="n">
        <v>-142576.12</v>
      </c>
      <c r="N3154" s="4" t="inlineStr">
        <is>
          <t>IOS Owner</t>
        </is>
      </c>
      <c r="O3154" s="4" t="n"/>
      <c r="P3154" s="4" t="n"/>
      <c r="Q3154" s="4" t="inlineStr">
        <is>
          <t>MAESTRO-IOS-BUSINESS-TEAM_OPERATIONS-3153 | Payroll | 142576.12</t>
        </is>
      </c>
      <c r="R3154" s="4" t="inlineStr">
        <is>
          <t>iPhone</t>
        </is>
      </c>
      <c r="S3154" s="4" t="inlineStr">
        <is>
          <t>B64</t>
        </is>
      </c>
      <c r="T3154" s="4" t="inlineStr">
        <is>
          <t>STRESS_3001_3500</t>
        </is>
      </c>
      <c r="U3154" s="4" t="inlineStr">
        <is>
          <t>CREATED</t>
        </is>
      </c>
      <c r="V3154" s="4" t="inlineStr">
        <is>
          <t>idem-20260902-ios-3153</t>
        </is>
      </c>
    </row>
    <row r="3155" ht="30" customHeight="1">
      <c r="A3155" s="4" t="n">
        <v>3154</v>
      </c>
      <c r="B3155" s="4" t="inlineStr">
        <is>
          <t>MTR-IOS-3154</t>
        </is>
      </c>
      <c r="C3155" s="4" t="inlineStr">
        <is>
          <t>Personal</t>
        </is>
      </c>
      <c r="D3155" s="4" t="inlineStr">
        <is>
          <t>Personal</t>
        </is>
      </c>
      <c r="E3155" s="4" t="inlineStr">
        <is>
          <t>Lifestyle</t>
        </is>
      </c>
      <c r="F3155" s="4" t="inlineStr">
        <is>
          <t>Fitness</t>
        </is>
      </c>
      <c r="G3155" s="4" t="inlineStr">
        <is>
          <t>Expense</t>
        </is>
      </c>
      <c r="H3155" s="12" t="n">
        <v>46109</v>
      </c>
      <c r="I3155" s="13" t="n">
        <v>0.2910185185185185</v>
      </c>
      <c r="J3155" s="14" t="n">
        <v>46109.29101851852</v>
      </c>
      <c r="K3155" s="15" t="n">
        <v>9265.66</v>
      </c>
      <c r="L3155" s="4" t="inlineStr">
        <is>
          <t>INR</t>
        </is>
      </c>
      <c r="M3155" s="15" t="n">
        <v>-9265.66</v>
      </c>
      <c r="N3155" s="4" t="inlineStr">
        <is>
          <t>IOS Owner</t>
        </is>
      </c>
      <c r="O3155" s="4" t="n"/>
      <c r="P3155" s="4" t="n"/>
      <c r="Q3155" s="4" t="inlineStr">
        <is>
          <t>MAESTRO-IOS-PERSONAL-LIFESTYLE-3154 | Fitness | 9265.66</t>
        </is>
      </c>
      <c r="R3155" s="4" t="inlineStr">
        <is>
          <t>iPhone</t>
        </is>
      </c>
      <c r="S3155" s="4" t="inlineStr">
        <is>
          <t>B64</t>
        </is>
      </c>
      <c r="T3155" s="4" t="inlineStr">
        <is>
          <t>STRESS_3001_3500</t>
        </is>
      </c>
      <c r="U3155" s="4" t="inlineStr">
        <is>
          <t>CREATED</t>
        </is>
      </c>
      <c r="V3155" s="4" t="inlineStr">
        <is>
          <t>idem-20260902-ios-3154</t>
        </is>
      </c>
    </row>
    <row r="3156" ht="30" customHeight="1">
      <c r="A3156" s="4" t="n">
        <v>3155</v>
      </c>
      <c r="B3156" s="4" t="inlineStr">
        <is>
          <t>MTR-IOS-3155</t>
        </is>
      </c>
      <c r="C3156" s="4" t="inlineStr">
        <is>
          <t>Group</t>
        </is>
      </c>
      <c r="D3156" s="4" t="inlineStr">
        <is>
          <t>Shared Experience</t>
        </is>
      </c>
      <c r="E3156" s="4" t="inlineStr">
        <is>
          <t>Wedding</t>
        </is>
      </c>
      <c r="F3156" s="4" t="inlineStr">
        <is>
          <t>Venue</t>
        </is>
      </c>
      <c r="G3156" s="4" t="inlineStr">
        <is>
          <t>Expense</t>
        </is>
      </c>
      <c r="H3156" s="12" t="n">
        <v>45922</v>
      </c>
      <c r="I3156" s="13" t="n">
        <v>0.4167708333333333</v>
      </c>
      <c r="J3156" s="14" t="n">
        <v>45922.41677083333</v>
      </c>
      <c r="K3156" s="15" t="n">
        <v>15786.43</v>
      </c>
      <c r="L3156" s="4" t="inlineStr">
        <is>
          <t>INR</t>
        </is>
      </c>
      <c r="M3156" s="15" t="n">
        <v>-15786.43</v>
      </c>
      <c r="N3156" s="4" t="inlineStr">
        <is>
          <t>IOS Aarav</t>
        </is>
      </c>
      <c r="O3156" s="4" t="n">
        <v>3</v>
      </c>
      <c r="P3156" s="4" t="inlineStr">
        <is>
          <t>SHARES</t>
        </is>
      </c>
      <c r="Q3156" s="4" t="inlineStr">
        <is>
          <t>MAESTRO-IOS-GROUP-WEDDING-3155 | Venue | 15786.43</t>
        </is>
      </c>
      <c r="R3156" s="4" t="inlineStr">
        <is>
          <t>iPhone</t>
        </is>
      </c>
      <c r="S3156" s="4" t="inlineStr">
        <is>
          <t>B64</t>
        </is>
      </c>
      <c r="T3156" s="4" t="inlineStr">
        <is>
          <t>STRESS_3001_3500</t>
        </is>
      </c>
      <c r="U3156" s="4" t="inlineStr">
        <is>
          <t>CREATED</t>
        </is>
      </c>
      <c r="V3156" s="4" t="inlineStr">
        <is>
          <t>idem-20260902-ios-3155</t>
        </is>
      </c>
    </row>
    <row r="3157" ht="30" customHeight="1">
      <c r="A3157" s="4" t="n">
        <v>3156</v>
      </c>
      <c r="B3157" s="4" t="inlineStr">
        <is>
          <t>MTR-IOS-3156</t>
        </is>
      </c>
      <c r="C3157" s="4" t="inlineStr">
        <is>
          <t>Business</t>
        </is>
      </c>
      <c r="D3157" s="4" t="inlineStr">
        <is>
          <t>Business</t>
        </is>
      </c>
      <c r="E3157" s="4" t="inlineStr">
        <is>
          <t>Team Operations</t>
        </is>
      </c>
      <c r="F3157" s="4" t="inlineStr">
        <is>
          <t>Contractor</t>
        </is>
      </c>
      <c r="G3157" s="4" t="inlineStr">
        <is>
          <t>Expense</t>
        </is>
      </c>
      <c r="H3157" s="12" t="n">
        <v>46058</v>
      </c>
      <c r="I3157" s="13" t="n">
        <v>0.2738078703703704</v>
      </c>
      <c r="J3157" s="14" t="n">
        <v>46058.27380787037</v>
      </c>
      <c r="K3157" s="15" t="n">
        <v>125748.06</v>
      </c>
      <c r="L3157" s="4" t="inlineStr">
        <is>
          <t>INR</t>
        </is>
      </c>
      <c r="M3157" s="15" t="n">
        <v>-125748.06</v>
      </c>
      <c r="N3157" s="4" t="inlineStr">
        <is>
          <t>IOS Owner</t>
        </is>
      </c>
      <c r="O3157" s="4" t="n"/>
      <c r="P3157" s="4" t="n"/>
      <c r="Q3157" s="4" t="inlineStr">
        <is>
          <t>MAESTRO-IOS-BUSINESS-TEAM_OPERATIONS-3156 | Contractor | 125748.06</t>
        </is>
      </c>
      <c r="R3157" s="4" t="inlineStr">
        <is>
          <t>iPhone</t>
        </is>
      </c>
      <c r="S3157" s="4" t="inlineStr">
        <is>
          <t>B64</t>
        </is>
      </c>
      <c r="T3157" s="4" t="inlineStr">
        <is>
          <t>STRESS_3001_3500</t>
        </is>
      </c>
      <c r="U3157" s="4" t="inlineStr">
        <is>
          <t>CREATED</t>
        </is>
      </c>
      <c r="V3157" s="4" t="inlineStr">
        <is>
          <t>idem-20260902-ios-3156</t>
        </is>
      </c>
    </row>
    <row r="3158" ht="30" customHeight="1">
      <c r="A3158" s="4" t="n">
        <v>3157</v>
      </c>
      <c r="B3158" s="4" t="inlineStr">
        <is>
          <t>MTR-IOS-3157</t>
        </is>
      </c>
      <c r="C3158" s="4" t="inlineStr">
        <is>
          <t>Personal</t>
        </is>
      </c>
      <c r="D3158" s="4" t="inlineStr">
        <is>
          <t>Personal</t>
        </is>
      </c>
      <c r="E3158" s="4" t="inlineStr">
        <is>
          <t>Lifestyle</t>
        </is>
      </c>
      <c r="F3158" s="4" t="inlineStr">
        <is>
          <t>Hobbies</t>
        </is>
      </c>
      <c r="G3158" s="4" t="inlineStr">
        <is>
          <t>Expense</t>
        </is>
      </c>
      <c r="H3158" s="12" t="n">
        <v>46126</v>
      </c>
      <c r="I3158" s="13" t="n">
        <v>0.9179861111111111</v>
      </c>
      <c r="J3158" s="14" t="n">
        <v>46126.91798611111</v>
      </c>
      <c r="K3158" s="15" t="n">
        <v>2092.89</v>
      </c>
      <c r="L3158" s="4" t="inlineStr">
        <is>
          <t>INR</t>
        </is>
      </c>
      <c r="M3158" s="15" t="n">
        <v>-2092.89</v>
      </c>
      <c r="N3158" s="4" t="inlineStr">
        <is>
          <t>IOS Owner</t>
        </is>
      </c>
      <c r="O3158" s="4" t="n"/>
      <c r="P3158" s="4" t="n"/>
      <c r="Q3158" s="4" t="inlineStr">
        <is>
          <t>MAESTRO-IOS-PERSONAL-LIFESTYLE-3157 | Hobbies | 2092.89</t>
        </is>
      </c>
      <c r="R3158" s="4" t="inlineStr">
        <is>
          <t>iPhone</t>
        </is>
      </c>
      <c r="S3158" s="4" t="inlineStr">
        <is>
          <t>B64</t>
        </is>
      </c>
      <c r="T3158" s="4" t="inlineStr">
        <is>
          <t>STRESS_3001_3500</t>
        </is>
      </c>
      <c r="U3158" s="4" t="inlineStr">
        <is>
          <t>CREATED</t>
        </is>
      </c>
      <c r="V3158" s="4" t="inlineStr">
        <is>
          <t>idem-20260902-ios-3157</t>
        </is>
      </c>
    </row>
    <row r="3159" ht="30" customHeight="1">
      <c r="A3159" s="4" t="n">
        <v>3158</v>
      </c>
      <c r="B3159" s="4" t="inlineStr">
        <is>
          <t>MTR-IOS-3158</t>
        </is>
      </c>
      <c r="C3159" s="4" t="inlineStr">
        <is>
          <t>Group</t>
        </is>
      </c>
      <c r="D3159" s="4" t="inlineStr">
        <is>
          <t>Shared Experience</t>
        </is>
      </c>
      <c r="E3159" s="4" t="inlineStr">
        <is>
          <t>Wedding</t>
        </is>
      </c>
      <c r="F3159" s="4" t="inlineStr">
        <is>
          <t>Catering</t>
        </is>
      </c>
      <c r="G3159" s="4" t="inlineStr">
        <is>
          <t>Expense</t>
        </is>
      </c>
      <c r="H3159" s="12" t="n">
        <v>46017</v>
      </c>
      <c r="I3159" s="13" t="n">
        <v>0.952488425925926</v>
      </c>
      <c r="J3159" s="14" t="n">
        <v>46017.95248842592</v>
      </c>
      <c r="K3159" s="15" t="n">
        <v>26298.11</v>
      </c>
      <c r="L3159" s="4" t="inlineStr">
        <is>
          <t>INR</t>
        </is>
      </c>
      <c r="M3159" s="15" t="n">
        <v>-26298.11</v>
      </c>
      <c r="N3159" s="4" t="inlineStr">
        <is>
          <t>IOS Meera</t>
        </is>
      </c>
      <c r="O3159" s="4" t="n">
        <v>3</v>
      </c>
      <c r="P3159" s="4" t="inlineStr">
        <is>
          <t>EQUAL</t>
        </is>
      </c>
      <c r="Q3159" s="4" t="inlineStr">
        <is>
          <t>MAESTRO-IOS-GROUP-WEDDING-3158 | Catering | 26298.11</t>
        </is>
      </c>
      <c r="R3159" s="4" t="inlineStr">
        <is>
          <t>iPhone</t>
        </is>
      </c>
      <c r="S3159" s="4" t="inlineStr">
        <is>
          <t>B64</t>
        </is>
      </c>
      <c r="T3159" s="4" t="inlineStr">
        <is>
          <t>STRESS_3001_3500</t>
        </is>
      </c>
      <c r="U3159" s="4" t="inlineStr">
        <is>
          <t>CREATED</t>
        </is>
      </c>
      <c r="V3159" s="4" t="inlineStr">
        <is>
          <t>idem-20260902-ios-3158</t>
        </is>
      </c>
    </row>
    <row r="3160" ht="30" customHeight="1">
      <c r="A3160" s="4" t="n">
        <v>3159</v>
      </c>
      <c r="B3160" s="4" t="inlineStr">
        <is>
          <t>MTR-IOS-3159</t>
        </is>
      </c>
      <c r="C3160" s="4" t="inlineStr">
        <is>
          <t>Business</t>
        </is>
      </c>
      <c r="D3160" s="4" t="inlineStr">
        <is>
          <t>Business</t>
        </is>
      </c>
      <c r="E3160" s="4" t="inlineStr">
        <is>
          <t>Team Operations</t>
        </is>
      </c>
      <c r="F3160" s="4" t="inlineStr">
        <is>
          <t>Hiring</t>
        </is>
      </c>
      <c r="G3160" s="4" t="inlineStr">
        <is>
          <t>Expense</t>
        </is>
      </c>
      <c r="H3160" s="12" t="n">
        <v>45991</v>
      </c>
      <c r="I3160" s="13" t="n">
        <v>0.9717013888888889</v>
      </c>
      <c r="J3160" s="14" t="n">
        <v>45991.97170138889</v>
      </c>
      <c r="K3160" s="15" t="n">
        <v>54672.61</v>
      </c>
      <c r="L3160" s="4" t="inlineStr">
        <is>
          <t>INR</t>
        </is>
      </c>
      <c r="M3160" s="15" t="n">
        <v>-54672.61</v>
      </c>
      <c r="N3160" s="4" t="inlineStr">
        <is>
          <t>IOS Owner</t>
        </is>
      </c>
      <c r="O3160" s="4" t="n"/>
      <c r="P3160" s="4" t="n"/>
      <c r="Q3160" s="4" t="inlineStr">
        <is>
          <t>MAESTRO-IOS-BUSINESS-TEAM_OPERATIONS-3159 | Hiring | 54672.61</t>
        </is>
      </c>
      <c r="R3160" s="4" t="inlineStr">
        <is>
          <t>iPhone</t>
        </is>
      </c>
      <c r="S3160" s="4" t="inlineStr">
        <is>
          <t>B64</t>
        </is>
      </c>
      <c r="T3160" s="4" t="inlineStr">
        <is>
          <t>STRESS_3001_3500</t>
        </is>
      </c>
      <c r="U3160" s="4" t="inlineStr">
        <is>
          <t>CREATED</t>
        </is>
      </c>
      <c r="V3160" s="4" t="inlineStr">
        <is>
          <t>idem-20260902-ios-3159</t>
        </is>
      </c>
    </row>
    <row r="3161" ht="30" customHeight="1">
      <c r="A3161" s="4" t="n">
        <v>3160</v>
      </c>
      <c r="B3161" s="4" t="inlineStr">
        <is>
          <t>MTR-IOS-3160</t>
        </is>
      </c>
      <c r="C3161" s="4" t="inlineStr">
        <is>
          <t>Personal</t>
        </is>
      </c>
      <c r="D3161" s="4" t="inlineStr">
        <is>
          <t>Personal</t>
        </is>
      </c>
      <c r="E3161" s="4" t="inlineStr">
        <is>
          <t>Relationships</t>
        </is>
      </c>
      <c r="F3161" s="4" t="inlineStr">
        <is>
          <t>Gifts</t>
        </is>
      </c>
      <c r="G3161" s="4" t="inlineStr">
        <is>
          <t>Expense</t>
        </is>
      </c>
      <c r="H3161" s="12" t="n">
        <v>46250</v>
      </c>
      <c r="I3161" s="13" t="n">
        <v>0.3716087962962963</v>
      </c>
      <c r="J3161" s="14" t="n">
        <v>46250.3716087963</v>
      </c>
      <c r="K3161" s="15" t="n">
        <v>2124.02</v>
      </c>
      <c r="L3161" s="4" t="inlineStr">
        <is>
          <t>INR</t>
        </is>
      </c>
      <c r="M3161" s="15" t="n">
        <v>-2124.02</v>
      </c>
      <c r="N3161" s="4" t="inlineStr">
        <is>
          <t>IOS Owner</t>
        </is>
      </c>
      <c r="O3161" s="4" t="n"/>
      <c r="P3161" s="4" t="n"/>
      <c r="Q3161" s="4" t="inlineStr">
        <is>
          <t>MAESTRO-IOS-PERSONAL-RELATIONSHIPS-3160 | Gifts | 2124.02</t>
        </is>
      </c>
      <c r="R3161" s="4" t="inlineStr">
        <is>
          <t>iPhone</t>
        </is>
      </c>
      <c r="S3161" s="4" t="inlineStr">
        <is>
          <t>B64</t>
        </is>
      </c>
      <c r="T3161" s="4" t="inlineStr">
        <is>
          <t>STRESS_3001_3500</t>
        </is>
      </c>
      <c r="U3161" s="4" t="inlineStr">
        <is>
          <t>CREATED</t>
        </is>
      </c>
      <c r="V3161" s="4" t="inlineStr">
        <is>
          <t>idem-20260902-ios-3160</t>
        </is>
      </c>
    </row>
    <row r="3162" ht="30" customHeight="1">
      <c r="A3162" s="4" t="n">
        <v>3161</v>
      </c>
      <c r="B3162" s="4" t="inlineStr">
        <is>
          <t>MTR-IOS-3161</t>
        </is>
      </c>
      <c r="C3162" s="4" t="inlineStr">
        <is>
          <t>Group</t>
        </is>
      </c>
      <c r="D3162" s="4" t="inlineStr">
        <is>
          <t>Shared Experience</t>
        </is>
      </c>
      <c r="E3162" s="4" t="inlineStr">
        <is>
          <t>Wedding</t>
        </is>
      </c>
      <c r="F3162" s="4" t="inlineStr">
        <is>
          <t>Decor</t>
        </is>
      </c>
      <c r="G3162" s="4" t="inlineStr">
        <is>
          <t>Expense</t>
        </is>
      </c>
      <c r="H3162" s="12" t="n">
        <v>45987</v>
      </c>
      <c r="I3162" s="13" t="n">
        <v>0.08534722222222223</v>
      </c>
      <c r="J3162" s="14" t="n">
        <v>45987.08534722222</v>
      </c>
      <c r="K3162" s="15" t="n">
        <v>7155.03</v>
      </c>
      <c r="L3162" s="4" t="inlineStr">
        <is>
          <t>INR</t>
        </is>
      </c>
      <c r="M3162" s="15" t="n">
        <v>-7155.03</v>
      </c>
      <c r="N3162" s="4" t="inlineStr">
        <is>
          <t>IOS Owner</t>
        </is>
      </c>
      <c r="O3162" s="4" t="n">
        <v>3</v>
      </c>
      <c r="P3162" s="4" t="inlineStr">
        <is>
          <t>PERCENTAGE</t>
        </is>
      </c>
      <c r="Q3162" s="4" t="inlineStr">
        <is>
          <t>MAESTRO-IOS-GROUP-WEDDING-3161 | Decor | 7155.03</t>
        </is>
      </c>
      <c r="R3162" s="4" t="inlineStr">
        <is>
          <t>iPhone</t>
        </is>
      </c>
      <c r="S3162" s="4" t="inlineStr">
        <is>
          <t>B64</t>
        </is>
      </c>
      <c r="T3162" s="4" t="inlineStr">
        <is>
          <t>STRESS_3001_3500</t>
        </is>
      </c>
      <c r="U3162" s="4" t="inlineStr">
        <is>
          <t>CREATED</t>
        </is>
      </c>
      <c r="V3162" s="4" t="inlineStr">
        <is>
          <t>idem-20260902-ios-3161</t>
        </is>
      </c>
    </row>
    <row r="3163" ht="30" customHeight="1">
      <c r="A3163" s="4" t="n">
        <v>3162</v>
      </c>
      <c r="B3163" s="4" t="inlineStr">
        <is>
          <t>MTR-IOS-3162</t>
        </is>
      </c>
      <c r="C3163" s="4" t="inlineStr">
        <is>
          <t>Business</t>
        </is>
      </c>
      <c r="D3163" s="4" t="inlineStr">
        <is>
          <t>Business</t>
        </is>
      </c>
      <c r="E3163" s="4" t="inlineStr">
        <is>
          <t>Team Operations</t>
        </is>
      </c>
      <c r="F3163" s="4" t="inlineStr">
        <is>
          <t>Team Meal</t>
        </is>
      </c>
      <c r="G3163" s="4" t="inlineStr">
        <is>
          <t>Expense</t>
        </is>
      </c>
      <c r="H3163" s="12" t="n">
        <v>46192</v>
      </c>
      <c r="I3163" s="13" t="n">
        <v>0.07303240740740741</v>
      </c>
      <c r="J3163" s="14" t="n">
        <v>46192.07303240741</v>
      </c>
      <c r="K3163" s="15" t="n">
        <v>62905.17</v>
      </c>
      <c r="L3163" s="4" t="inlineStr">
        <is>
          <t>INR</t>
        </is>
      </c>
      <c r="M3163" s="15" t="n">
        <v>-62905.17</v>
      </c>
      <c r="N3163" s="4" t="inlineStr">
        <is>
          <t>IOS Owner</t>
        </is>
      </c>
      <c r="O3163" s="4" t="n"/>
      <c r="P3163" s="4" t="n"/>
      <c r="Q3163" s="4" t="inlineStr">
        <is>
          <t>MAESTRO-IOS-BUSINESS-TEAM_OPERATIONS-3162 | Team Meal | 62905.17</t>
        </is>
      </c>
      <c r="R3163" s="4" t="inlineStr">
        <is>
          <t>iPhone</t>
        </is>
      </c>
      <c r="S3163" s="4" t="inlineStr">
        <is>
          <t>B64</t>
        </is>
      </c>
      <c r="T3163" s="4" t="inlineStr">
        <is>
          <t>STRESS_3001_3500</t>
        </is>
      </c>
      <c r="U3163" s="4" t="inlineStr">
        <is>
          <t>CREATED</t>
        </is>
      </c>
      <c r="V3163" s="4" t="inlineStr">
        <is>
          <t>idem-20260902-ios-3162</t>
        </is>
      </c>
    </row>
    <row r="3164" ht="30" customHeight="1">
      <c r="A3164" s="4" t="n">
        <v>3163</v>
      </c>
      <c r="B3164" s="4" t="inlineStr">
        <is>
          <t>MTR-IOS-3163</t>
        </is>
      </c>
      <c r="C3164" s="4" t="inlineStr">
        <is>
          <t>Personal</t>
        </is>
      </c>
      <c r="D3164" s="4" t="inlineStr">
        <is>
          <t>Personal</t>
        </is>
      </c>
      <c r="E3164" s="4" t="inlineStr">
        <is>
          <t>Relationships</t>
        </is>
      </c>
      <c r="F3164" s="4" t="inlineStr">
        <is>
          <t>Dates</t>
        </is>
      </c>
      <c r="G3164" s="4" t="inlineStr">
        <is>
          <t>Expense</t>
        </is>
      </c>
      <c r="H3164" s="12" t="n">
        <v>46188</v>
      </c>
      <c r="I3164" s="13" t="n">
        <v>0.6584606481481482</v>
      </c>
      <c r="J3164" s="14" t="n">
        <v>46188.65846064815</v>
      </c>
      <c r="K3164" s="15" t="n">
        <v>16446.84</v>
      </c>
      <c r="L3164" s="4" t="inlineStr">
        <is>
          <t>INR</t>
        </is>
      </c>
      <c r="M3164" s="15" t="n">
        <v>-16446.84</v>
      </c>
      <c r="N3164" s="4" t="inlineStr">
        <is>
          <t>IOS Owner</t>
        </is>
      </c>
      <c r="O3164" s="4" t="n"/>
      <c r="P3164" s="4" t="n"/>
      <c r="Q3164" s="4" t="inlineStr">
        <is>
          <t>MAESTRO-IOS-PERSONAL-RELATIONSHIPS-3163 | Dates | 16446.84</t>
        </is>
      </c>
      <c r="R3164" s="4" t="inlineStr">
        <is>
          <t>iPhone</t>
        </is>
      </c>
      <c r="S3164" s="4" t="inlineStr">
        <is>
          <t>B64</t>
        </is>
      </c>
      <c r="T3164" s="4" t="inlineStr">
        <is>
          <t>STRESS_3001_3500</t>
        </is>
      </c>
      <c r="U3164" s="4" t="inlineStr">
        <is>
          <t>CREATED</t>
        </is>
      </c>
      <c r="V3164" s="4" t="inlineStr">
        <is>
          <t>idem-20260902-ios-3163</t>
        </is>
      </c>
    </row>
    <row r="3165" ht="30" customHeight="1">
      <c r="A3165" s="4" t="n">
        <v>3164</v>
      </c>
      <c r="B3165" s="4" t="inlineStr">
        <is>
          <t>MTR-IOS-3164</t>
        </is>
      </c>
      <c r="C3165" s="4" t="inlineStr">
        <is>
          <t>Group</t>
        </is>
      </c>
      <c r="D3165" s="4" t="inlineStr">
        <is>
          <t>Shared Experience</t>
        </is>
      </c>
      <c r="E3165" s="4" t="inlineStr">
        <is>
          <t>Wedding</t>
        </is>
      </c>
      <c r="F3165" s="4" t="inlineStr">
        <is>
          <t>Travel</t>
        </is>
      </c>
      <c r="G3165" s="4" t="inlineStr">
        <is>
          <t>Expense</t>
        </is>
      </c>
      <c r="H3165" s="12" t="n">
        <v>46106</v>
      </c>
      <c r="I3165" s="13" t="n">
        <v>0.8339814814814814</v>
      </c>
      <c r="J3165" s="14" t="n">
        <v>46106.83398148148</v>
      </c>
      <c r="K3165" s="15" t="n">
        <v>22488.78</v>
      </c>
      <c r="L3165" s="4" t="inlineStr">
        <is>
          <t>INR</t>
        </is>
      </c>
      <c r="M3165" s="15" t="n">
        <v>-22488.78</v>
      </c>
      <c r="N3165" s="4" t="inlineStr">
        <is>
          <t>IOS Aarav</t>
        </is>
      </c>
      <c r="O3165" s="4" t="n">
        <v>3</v>
      </c>
      <c r="P3165" s="4" t="inlineStr">
        <is>
          <t>EXACT</t>
        </is>
      </c>
      <c r="Q3165" s="4" t="inlineStr">
        <is>
          <t>MAESTRO-IOS-GROUP-WEDDING-3164 | Travel | 22488.78</t>
        </is>
      </c>
      <c r="R3165" s="4" t="inlineStr">
        <is>
          <t>iPhone</t>
        </is>
      </c>
      <c r="S3165" s="4" t="inlineStr">
        <is>
          <t>B64</t>
        </is>
      </c>
      <c r="T3165" s="4" t="inlineStr">
        <is>
          <t>STRESS_3001_3500</t>
        </is>
      </c>
      <c r="U3165" s="4" t="inlineStr">
        <is>
          <t>CREATED</t>
        </is>
      </c>
      <c r="V3165" s="4" t="inlineStr">
        <is>
          <t>idem-20260902-ios-3164</t>
        </is>
      </c>
    </row>
    <row r="3166" ht="30" customHeight="1">
      <c r="A3166" s="4" t="n">
        <v>3165</v>
      </c>
      <c r="B3166" s="4" t="inlineStr">
        <is>
          <t>MTR-IOS-3165</t>
        </is>
      </c>
      <c r="C3166" s="4" t="inlineStr">
        <is>
          <t>Business</t>
        </is>
      </c>
      <c r="D3166" s="4" t="inlineStr">
        <is>
          <t>Business</t>
        </is>
      </c>
      <c r="E3166" s="4" t="inlineStr">
        <is>
          <t>Team Operations</t>
        </is>
      </c>
      <c r="F3166" s="4" t="inlineStr">
        <is>
          <t>Travel</t>
        </is>
      </c>
      <c r="G3166" s="4" t="inlineStr">
        <is>
          <t>Expense</t>
        </is>
      </c>
      <c r="H3166" s="12" t="n">
        <v>45983</v>
      </c>
      <c r="I3166" s="13" t="n">
        <v>0.2367476851851852</v>
      </c>
      <c r="J3166" s="14" t="n">
        <v>45983.23674768519</v>
      </c>
      <c r="K3166" s="15" t="n">
        <v>29247.48</v>
      </c>
      <c r="L3166" s="4" t="inlineStr">
        <is>
          <t>INR</t>
        </is>
      </c>
      <c r="M3166" s="15" t="n">
        <v>-29247.48</v>
      </c>
      <c r="N3166" s="4" t="inlineStr">
        <is>
          <t>IOS Owner</t>
        </is>
      </c>
      <c r="O3166" s="4" t="n"/>
      <c r="P3166" s="4" t="n"/>
      <c r="Q3166" s="4" t="inlineStr">
        <is>
          <t>MAESTRO-IOS-BUSINESS-TEAM_OPERATIONS-3165 | Travel | 29247.48</t>
        </is>
      </c>
      <c r="R3166" s="4" t="inlineStr">
        <is>
          <t>iPhone</t>
        </is>
      </c>
      <c r="S3166" s="4" t="inlineStr">
        <is>
          <t>B64</t>
        </is>
      </c>
      <c r="T3166" s="4" t="inlineStr">
        <is>
          <t>STRESS_3001_3500</t>
        </is>
      </c>
      <c r="U3166" s="4" t="inlineStr">
        <is>
          <t>CREATED</t>
        </is>
      </c>
      <c r="V3166" s="4" t="inlineStr">
        <is>
          <t>idem-20260902-ios-3165</t>
        </is>
      </c>
    </row>
    <row r="3167" ht="30" customHeight="1">
      <c r="A3167" s="4" t="n">
        <v>3166</v>
      </c>
      <c r="B3167" s="4" t="inlineStr">
        <is>
          <t>MTR-IOS-3166</t>
        </is>
      </c>
      <c r="C3167" s="4" t="inlineStr">
        <is>
          <t>Personal</t>
        </is>
      </c>
      <c r="D3167" s="4" t="inlineStr">
        <is>
          <t>Personal</t>
        </is>
      </c>
      <c r="E3167" s="4" t="inlineStr">
        <is>
          <t>Relationships</t>
        </is>
      </c>
      <c r="F3167" s="4" t="inlineStr">
        <is>
          <t>Family</t>
        </is>
      </c>
      <c r="G3167" s="4" t="inlineStr">
        <is>
          <t>Expense</t>
        </is>
      </c>
      <c r="H3167" s="12" t="n">
        <v>46026</v>
      </c>
      <c r="I3167" s="13" t="n">
        <v>0.3725810185185185</v>
      </c>
      <c r="J3167" s="14" t="n">
        <v>46026.37258101852</v>
      </c>
      <c r="K3167" s="15" t="n">
        <v>17833.6</v>
      </c>
      <c r="L3167" s="4" t="inlineStr">
        <is>
          <t>INR</t>
        </is>
      </c>
      <c r="M3167" s="15" t="n">
        <v>-17833.6</v>
      </c>
      <c r="N3167" s="4" t="inlineStr">
        <is>
          <t>IOS Owner</t>
        </is>
      </c>
      <c r="O3167" s="4" t="n"/>
      <c r="P3167" s="4" t="n"/>
      <c r="Q3167" s="4" t="inlineStr">
        <is>
          <t>MAESTRO-IOS-PERSONAL-RELATIONSHIPS-3166 | Family | 17833.60</t>
        </is>
      </c>
      <c r="R3167" s="4" t="inlineStr">
        <is>
          <t>iPhone</t>
        </is>
      </c>
      <c r="S3167" s="4" t="inlineStr">
        <is>
          <t>B64</t>
        </is>
      </c>
      <c r="T3167" s="4" t="inlineStr">
        <is>
          <t>STRESS_3001_3500</t>
        </is>
      </c>
      <c r="U3167" s="4" t="inlineStr">
        <is>
          <t>CREATED</t>
        </is>
      </c>
      <c r="V3167" s="4" t="inlineStr">
        <is>
          <t>idem-20260902-ios-3166</t>
        </is>
      </c>
    </row>
    <row r="3168" ht="30" customHeight="1">
      <c r="A3168" s="4" t="n">
        <v>3167</v>
      </c>
      <c r="B3168" s="4" t="inlineStr">
        <is>
          <t>MTR-IOS-3167</t>
        </is>
      </c>
      <c r="C3168" s="4" t="inlineStr">
        <is>
          <t>Group</t>
        </is>
      </c>
      <c r="D3168" s="4" t="inlineStr">
        <is>
          <t>Shared Experience</t>
        </is>
      </c>
      <c r="E3168" s="4" t="inlineStr">
        <is>
          <t>Wedding</t>
        </is>
      </c>
      <c r="F3168" s="4" t="inlineStr">
        <is>
          <t>Gifts</t>
        </is>
      </c>
      <c r="G3168" s="4" t="inlineStr">
        <is>
          <t>Expense</t>
        </is>
      </c>
      <c r="H3168" s="12" t="n">
        <v>45945</v>
      </c>
      <c r="I3168" s="13" t="n">
        <v>0.2871180555555555</v>
      </c>
      <c r="J3168" s="14" t="n">
        <v>45945.28711805555</v>
      </c>
      <c r="K3168" s="15" t="n">
        <v>11617.56</v>
      </c>
      <c r="L3168" s="4" t="inlineStr">
        <is>
          <t>INR</t>
        </is>
      </c>
      <c r="M3168" s="15" t="n">
        <v>-11617.56</v>
      </c>
      <c r="N3168" s="4" t="inlineStr">
        <is>
          <t>IOS Meera</t>
        </is>
      </c>
      <c r="O3168" s="4" t="n">
        <v>3</v>
      </c>
      <c r="P3168" s="4" t="inlineStr">
        <is>
          <t>SHARES</t>
        </is>
      </c>
      <c r="Q3168" s="4" t="inlineStr">
        <is>
          <t>MAESTRO-IOS-GROUP-WEDDING-3167 | Gifts | 11617.56</t>
        </is>
      </c>
      <c r="R3168" s="4" t="inlineStr">
        <is>
          <t>iPhone</t>
        </is>
      </c>
      <c r="S3168" s="4" t="inlineStr">
        <is>
          <t>B64</t>
        </is>
      </c>
      <c r="T3168" s="4" t="inlineStr">
        <is>
          <t>STRESS_3001_3500</t>
        </is>
      </c>
      <c r="U3168" s="4" t="inlineStr">
        <is>
          <t>CREATED</t>
        </is>
      </c>
      <c r="V3168" s="4" t="inlineStr">
        <is>
          <t>idem-20260902-ios-3167</t>
        </is>
      </c>
    </row>
    <row r="3169" ht="30" customHeight="1">
      <c r="A3169" s="4" t="n">
        <v>3168</v>
      </c>
      <c r="B3169" s="4" t="inlineStr">
        <is>
          <t>MTR-IOS-3168</t>
        </is>
      </c>
      <c r="C3169" s="4" t="inlineStr">
        <is>
          <t>Business</t>
        </is>
      </c>
      <c r="D3169" s="4" t="inlineStr">
        <is>
          <t>Business</t>
        </is>
      </c>
      <c r="E3169" s="4" t="inlineStr">
        <is>
          <t>Team Operations</t>
        </is>
      </c>
      <c r="F3169" s="4" t="inlineStr">
        <is>
          <t>Training</t>
        </is>
      </c>
      <c r="G3169" s="4" t="inlineStr">
        <is>
          <t>Expense</t>
        </is>
      </c>
      <c r="H3169" s="12" t="n">
        <v>46128</v>
      </c>
      <c r="I3169" s="13" t="n">
        <v>0.8956712962962963</v>
      </c>
      <c r="J3169" s="14" t="n">
        <v>46128.8956712963</v>
      </c>
      <c r="K3169" s="15" t="n">
        <v>54594.23</v>
      </c>
      <c r="L3169" s="4" t="inlineStr">
        <is>
          <t>INR</t>
        </is>
      </c>
      <c r="M3169" s="15" t="n">
        <v>-54594.23</v>
      </c>
      <c r="N3169" s="4" t="inlineStr">
        <is>
          <t>IOS Owner</t>
        </is>
      </c>
      <c r="O3169" s="4" t="n"/>
      <c r="P3169" s="4" t="n"/>
      <c r="Q3169" s="4" t="inlineStr">
        <is>
          <t>MAESTRO-IOS-BUSINESS-TEAM_OPERATIONS-3168 | Training | 54594.23</t>
        </is>
      </c>
      <c r="R3169" s="4" t="inlineStr">
        <is>
          <t>iPhone</t>
        </is>
      </c>
      <c r="S3169" s="4" t="inlineStr">
        <is>
          <t>B64</t>
        </is>
      </c>
      <c r="T3169" s="4" t="inlineStr">
        <is>
          <t>STRESS_3001_3500</t>
        </is>
      </c>
      <c r="U3169" s="4" t="inlineStr">
        <is>
          <t>CREATED</t>
        </is>
      </c>
      <c r="V3169" s="4" t="inlineStr">
        <is>
          <t>idem-20260902-ios-3168</t>
        </is>
      </c>
    </row>
    <row r="3170" ht="30" customHeight="1">
      <c r="A3170" s="4" t="n">
        <v>3169</v>
      </c>
      <c r="B3170" s="4" t="inlineStr">
        <is>
          <t>MTR-IOS-3169</t>
        </is>
      </c>
      <c r="C3170" s="4" t="inlineStr">
        <is>
          <t>Personal</t>
        </is>
      </c>
      <c r="D3170" s="4" t="inlineStr">
        <is>
          <t>Personal</t>
        </is>
      </c>
      <c r="E3170" s="4" t="inlineStr">
        <is>
          <t>Relationships</t>
        </is>
      </c>
      <c r="F3170" s="4" t="inlineStr">
        <is>
          <t>Friends</t>
        </is>
      </c>
      <c r="G3170" s="4" t="inlineStr">
        <is>
          <t>Expense</t>
        </is>
      </c>
      <c r="H3170" s="12" t="n">
        <v>45990</v>
      </c>
      <c r="I3170" s="13" t="n">
        <v>0.1811574074074074</v>
      </c>
      <c r="J3170" s="14" t="n">
        <v>45990.18115740741</v>
      </c>
      <c r="K3170" s="15" t="n">
        <v>17160.38</v>
      </c>
      <c r="L3170" s="4" t="inlineStr">
        <is>
          <t>INR</t>
        </is>
      </c>
      <c r="M3170" s="15" t="n">
        <v>-17160.38</v>
      </c>
      <c r="N3170" s="4" t="inlineStr">
        <is>
          <t>IOS Owner</t>
        </is>
      </c>
      <c r="O3170" s="4" t="n"/>
      <c r="P3170" s="4" t="n"/>
      <c r="Q3170" s="4" t="inlineStr">
        <is>
          <t>MAESTRO-IOS-PERSONAL-RELATIONSHIPS-3169 | Friends | 17160.38</t>
        </is>
      </c>
      <c r="R3170" s="4" t="inlineStr">
        <is>
          <t>iPhone</t>
        </is>
      </c>
      <c r="S3170" s="4" t="inlineStr">
        <is>
          <t>B64</t>
        </is>
      </c>
      <c r="T3170" s="4" t="inlineStr">
        <is>
          <t>STRESS_3001_3500</t>
        </is>
      </c>
      <c r="U3170" s="4" t="inlineStr">
        <is>
          <t>CREATED</t>
        </is>
      </c>
      <c r="V3170" s="4" t="inlineStr">
        <is>
          <t>idem-20260902-ios-3169</t>
        </is>
      </c>
    </row>
    <row r="3171" ht="30" customHeight="1">
      <c r="A3171" s="4" t="n">
        <v>3170</v>
      </c>
      <c r="B3171" s="4" t="inlineStr">
        <is>
          <t>MTR-IOS-3170</t>
        </is>
      </c>
      <c r="C3171" s="4" t="inlineStr">
        <is>
          <t>Group</t>
        </is>
      </c>
      <c r="D3171" s="4" t="inlineStr">
        <is>
          <t>Shared Experience</t>
        </is>
      </c>
      <c r="E3171" s="4" t="inlineStr">
        <is>
          <t>Wedding</t>
        </is>
      </c>
      <c r="F3171" s="4" t="inlineStr">
        <is>
          <t>Photography</t>
        </is>
      </c>
      <c r="G3171" s="4" t="inlineStr">
        <is>
          <t>Expense</t>
        </is>
      </c>
      <c r="H3171" s="12" t="n">
        <v>46088</v>
      </c>
      <c r="I3171" s="13" t="n">
        <v>0.2851851851851852</v>
      </c>
      <c r="J3171" s="14" t="n">
        <v>46088.28518518519</v>
      </c>
      <c r="K3171" s="15" t="n">
        <v>296.62</v>
      </c>
      <c r="L3171" s="4" t="inlineStr">
        <is>
          <t>INR</t>
        </is>
      </c>
      <c r="M3171" s="15" t="n">
        <v>-296.62</v>
      </c>
      <c r="N3171" s="4" t="inlineStr">
        <is>
          <t>IOS Owner</t>
        </is>
      </c>
      <c r="O3171" s="4" t="n">
        <v>3</v>
      </c>
      <c r="P3171" s="4" t="inlineStr">
        <is>
          <t>EQUAL</t>
        </is>
      </c>
      <c r="Q3171" s="4" t="inlineStr">
        <is>
          <t>MAESTRO-IOS-GROUP-WEDDING-3170 | Photography | 296.62</t>
        </is>
      </c>
      <c r="R3171" s="4" t="inlineStr">
        <is>
          <t>iPhone</t>
        </is>
      </c>
      <c r="S3171" s="4" t="inlineStr">
        <is>
          <t>B64</t>
        </is>
      </c>
      <c r="T3171" s="4" t="inlineStr">
        <is>
          <t>STRESS_3001_3500</t>
        </is>
      </c>
      <c r="U3171" s="4" t="inlineStr">
        <is>
          <t>CREATED</t>
        </is>
      </c>
      <c r="V3171" s="4" t="inlineStr">
        <is>
          <t>idem-20260902-ios-3170</t>
        </is>
      </c>
    </row>
    <row r="3172" ht="30" customHeight="1">
      <c r="A3172" s="4" t="n">
        <v>3171</v>
      </c>
      <c r="B3172" s="4" t="inlineStr">
        <is>
          <t>MTR-IOS-3171</t>
        </is>
      </c>
      <c r="C3172" s="4" t="inlineStr">
        <is>
          <t>Business</t>
        </is>
      </c>
      <c r="D3172" s="4" t="inlineStr">
        <is>
          <t>Business</t>
        </is>
      </c>
      <c r="E3172" s="4" t="inlineStr">
        <is>
          <t>Team Operations</t>
        </is>
      </c>
      <c r="F3172" s="4" t="inlineStr">
        <is>
          <t>Tools</t>
        </is>
      </c>
      <c r="G3172" s="4" t="inlineStr">
        <is>
          <t>Expense</t>
        </is>
      </c>
      <c r="H3172" s="12" t="n">
        <v>46097</v>
      </c>
      <c r="I3172" s="13" t="n">
        <v>0.3753356481481481</v>
      </c>
      <c r="J3172" s="14" t="n">
        <v>46097.37533564815</v>
      </c>
      <c r="K3172" s="15" t="n">
        <v>73497.91</v>
      </c>
      <c r="L3172" s="4" t="inlineStr">
        <is>
          <t>INR</t>
        </is>
      </c>
      <c r="M3172" s="15" t="n">
        <v>-73497.91</v>
      </c>
      <c r="N3172" s="4" t="inlineStr">
        <is>
          <t>IOS Owner</t>
        </is>
      </c>
      <c r="O3172" s="4" t="n"/>
      <c r="P3172" s="4" t="n"/>
      <c r="Q3172" s="4" t="inlineStr">
        <is>
          <t>MAESTRO-IOS-BUSINESS-TEAM_OPERATIONS-3171 | Tools | 73497.91</t>
        </is>
      </c>
      <c r="R3172" s="4" t="inlineStr">
        <is>
          <t>iPhone</t>
        </is>
      </c>
      <c r="S3172" s="4" t="inlineStr">
        <is>
          <t>B64</t>
        </is>
      </c>
      <c r="T3172" s="4" t="inlineStr">
        <is>
          <t>STRESS_3001_3500</t>
        </is>
      </c>
      <c r="U3172" s="4" t="inlineStr">
        <is>
          <t>CREATED</t>
        </is>
      </c>
      <c r="V3172" s="4" t="inlineStr">
        <is>
          <t>idem-20260902-ios-3171</t>
        </is>
      </c>
    </row>
    <row r="3173" ht="30" customHeight="1">
      <c r="A3173" s="4" t="n">
        <v>3172</v>
      </c>
      <c r="B3173" s="4" t="inlineStr">
        <is>
          <t>MTR-IOS-3172</t>
        </is>
      </c>
      <c r="C3173" s="4" t="inlineStr">
        <is>
          <t>Personal</t>
        </is>
      </c>
      <c r="D3173" s="4" t="inlineStr">
        <is>
          <t>Personal</t>
        </is>
      </c>
      <c r="E3173" s="4" t="inlineStr">
        <is>
          <t>Relationships</t>
        </is>
      </c>
      <c r="F3173" s="4" t="inlineStr">
        <is>
          <t>Celebrations</t>
        </is>
      </c>
      <c r="G3173" s="4" t="inlineStr">
        <is>
          <t>Expense</t>
        </is>
      </c>
      <c r="H3173" s="12" t="n">
        <v>46202</v>
      </c>
      <c r="I3173" s="13" t="n">
        <v>0.7738541666666666</v>
      </c>
      <c r="J3173" s="14" t="n">
        <v>46202.77385416667</v>
      </c>
      <c r="K3173" s="15" t="n">
        <v>5097.93</v>
      </c>
      <c r="L3173" s="4" t="inlineStr">
        <is>
          <t>INR</t>
        </is>
      </c>
      <c r="M3173" s="15" t="n">
        <v>-5097.93</v>
      </c>
      <c r="N3173" s="4" t="inlineStr">
        <is>
          <t>IOS Owner</t>
        </is>
      </c>
      <c r="O3173" s="4" t="n"/>
      <c r="P3173" s="4" t="n"/>
      <c r="Q3173" s="4" t="inlineStr">
        <is>
          <t>MAESTRO-IOS-PERSONAL-RELATIONSHIPS-3172 | Celebrations | 5097.93</t>
        </is>
      </c>
      <c r="R3173" s="4" t="inlineStr">
        <is>
          <t>iPhone</t>
        </is>
      </c>
      <c r="S3173" s="4" t="inlineStr">
        <is>
          <t>B64</t>
        </is>
      </c>
      <c r="T3173" s="4" t="inlineStr">
        <is>
          <t>STRESS_3001_3500</t>
        </is>
      </c>
      <c r="U3173" s="4" t="inlineStr">
        <is>
          <t>CREATED</t>
        </is>
      </c>
      <c r="V3173" s="4" t="inlineStr">
        <is>
          <t>idem-20260902-ios-3172</t>
        </is>
      </c>
    </row>
    <row r="3174" ht="30" customHeight="1">
      <c r="A3174" s="4" t="n">
        <v>3173</v>
      </c>
      <c r="B3174" s="4" t="inlineStr">
        <is>
          <t>MTR-IOS-3173</t>
        </is>
      </c>
      <c r="C3174" s="4" t="inlineStr">
        <is>
          <t>Group</t>
        </is>
      </c>
      <c r="D3174" s="4" t="inlineStr">
        <is>
          <t>Shared Experience</t>
        </is>
      </c>
      <c r="E3174" s="4" t="inlineStr">
        <is>
          <t>Wedding</t>
        </is>
      </c>
      <c r="F3174" s="4" t="inlineStr">
        <is>
          <t>Other</t>
        </is>
      </c>
      <c r="G3174" s="4" t="inlineStr">
        <is>
          <t>Expense</t>
        </is>
      </c>
      <c r="H3174" s="12" t="n">
        <v>46144</v>
      </c>
      <c r="I3174" s="13" t="n">
        <v>0.4481365740740741</v>
      </c>
      <c r="J3174" s="14" t="n">
        <v>46144.44813657407</v>
      </c>
      <c r="K3174" s="15" t="n">
        <v>18264.78</v>
      </c>
      <c r="L3174" s="4" t="inlineStr">
        <is>
          <t>INR</t>
        </is>
      </c>
      <c r="M3174" s="15" t="n">
        <v>-18264.78</v>
      </c>
      <c r="N3174" s="4" t="inlineStr">
        <is>
          <t>IOS Aarav</t>
        </is>
      </c>
      <c r="O3174" s="4" t="n">
        <v>3</v>
      </c>
      <c r="P3174" s="4" t="inlineStr">
        <is>
          <t>PERCENTAGE</t>
        </is>
      </c>
      <c r="Q3174" s="4" t="inlineStr">
        <is>
          <t>MAESTRO-IOS-GROUP-WEDDING-3173 | Other | 18264.78</t>
        </is>
      </c>
      <c r="R3174" s="4" t="inlineStr">
        <is>
          <t>iPhone</t>
        </is>
      </c>
      <c r="S3174" s="4" t="inlineStr">
        <is>
          <t>B64</t>
        </is>
      </c>
      <c r="T3174" s="4" t="inlineStr">
        <is>
          <t>STRESS_3001_3500</t>
        </is>
      </c>
      <c r="U3174" s="4" t="inlineStr">
        <is>
          <t>CREATED</t>
        </is>
      </c>
      <c r="V3174" s="4" t="inlineStr">
        <is>
          <t>idem-20260902-ios-3173</t>
        </is>
      </c>
    </row>
    <row r="3175" ht="30" customHeight="1">
      <c r="A3175" s="4" t="n">
        <v>3174</v>
      </c>
      <c r="B3175" s="4" t="inlineStr">
        <is>
          <t>MTR-IOS-3174</t>
        </is>
      </c>
      <c r="C3175" s="4" t="inlineStr">
        <is>
          <t>Business</t>
        </is>
      </c>
      <c r="D3175" s="4" t="inlineStr">
        <is>
          <t>Business</t>
        </is>
      </c>
      <c r="E3175" s="4" t="inlineStr">
        <is>
          <t>Business Runway</t>
        </is>
      </c>
      <c r="F3175" s="4" t="inlineStr">
        <is>
          <t>Funding</t>
        </is>
      </c>
      <c r="G3175" s="4" t="inlineStr">
        <is>
          <t>Income</t>
        </is>
      </c>
      <c r="H3175" s="12" t="n">
        <v>46236</v>
      </c>
      <c r="I3175" s="13" t="n">
        <v>0.2188078703703704</v>
      </c>
      <c r="J3175" s="14" t="n">
        <v>46236.21880787037</v>
      </c>
      <c r="K3175" s="15" t="n">
        <v>96925.39999999999</v>
      </c>
      <c r="L3175" s="4" t="inlineStr">
        <is>
          <t>INR</t>
        </is>
      </c>
      <c r="M3175" s="15" t="n">
        <v>96925.39999999999</v>
      </c>
      <c r="N3175" s="4" t="inlineStr">
        <is>
          <t>IOS Owner</t>
        </is>
      </c>
      <c r="O3175" s="4" t="n"/>
      <c r="P3175" s="4" t="n"/>
      <c r="Q3175" s="4" t="inlineStr">
        <is>
          <t>MAESTRO-IOS-BUSINESS-BUSINESS_RUNWAY-3174 | Funding | 96925.40</t>
        </is>
      </c>
      <c r="R3175" s="4" t="inlineStr">
        <is>
          <t>iPhone</t>
        </is>
      </c>
      <c r="S3175" s="4" t="inlineStr">
        <is>
          <t>B64</t>
        </is>
      </c>
      <c r="T3175" s="4" t="inlineStr">
        <is>
          <t>STRESS_3001_3500</t>
        </is>
      </c>
      <c r="U3175" s="4" t="inlineStr">
        <is>
          <t>CREATED</t>
        </is>
      </c>
      <c r="V3175" s="4" t="inlineStr">
        <is>
          <t>idem-20260902-ios-3174</t>
        </is>
      </c>
    </row>
    <row r="3176" ht="30" customHeight="1">
      <c r="A3176" s="4" t="n">
        <v>3175</v>
      </c>
      <c r="B3176" s="4" t="inlineStr">
        <is>
          <t>MTR-IOS-3175</t>
        </is>
      </c>
      <c r="C3176" s="4" t="inlineStr">
        <is>
          <t>Personal</t>
        </is>
      </c>
      <c r="D3176" s="4" t="inlineStr">
        <is>
          <t>Personal</t>
        </is>
      </c>
      <c r="E3176" s="4" t="inlineStr">
        <is>
          <t>Life Operations</t>
        </is>
      </c>
      <c r="F3176" s="4" t="inlineStr">
        <is>
          <t>Groceries</t>
        </is>
      </c>
      <c r="G3176" s="4" t="inlineStr">
        <is>
          <t>Expense</t>
        </is>
      </c>
      <c r="H3176" s="12" t="n">
        <v>46172</v>
      </c>
      <c r="I3176" s="13" t="n">
        <v>0.9988425925925926</v>
      </c>
      <c r="J3176" s="14" t="n">
        <v>46172.99884259259</v>
      </c>
      <c r="K3176" s="15" t="n">
        <v>3630.11</v>
      </c>
      <c r="L3176" s="4" t="inlineStr">
        <is>
          <t>INR</t>
        </is>
      </c>
      <c r="M3176" s="15" t="n">
        <v>-3630.11</v>
      </c>
      <c r="N3176" s="4" t="inlineStr">
        <is>
          <t>IOS Owner</t>
        </is>
      </c>
      <c r="O3176" s="4" t="n"/>
      <c r="P3176" s="4" t="n"/>
      <c r="Q3176" s="4" t="inlineStr">
        <is>
          <t>MAESTRO-IOS-PERSONAL-LIFE_OPERATIONS-3175 | Groceries | 3630.11</t>
        </is>
      </c>
      <c r="R3176" s="4" t="inlineStr">
        <is>
          <t>iPhone</t>
        </is>
      </c>
      <c r="S3176" s="4" t="inlineStr">
        <is>
          <t>B64</t>
        </is>
      </c>
      <c r="T3176" s="4" t="inlineStr">
        <is>
          <t>STRESS_3001_3500</t>
        </is>
      </c>
      <c r="U3176" s="4" t="inlineStr">
        <is>
          <t>CREATED</t>
        </is>
      </c>
      <c r="V3176" s="4" t="inlineStr">
        <is>
          <t>idem-20260902-ios-3175</t>
        </is>
      </c>
    </row>
    <row r="3177" ht="30" customHeight="1">
      <c r="A3177" s="4" t="n">
        <v>3176</v>
      </c>
      <c r="B3177" s="4" t="inlineStr">
        <is>
          <t>MTR-IOS-3176</t>
        </is>
      </c>
      <c r="C3177" s="4" t="inlineStr">
        <is>
          <t>Group</t>
        </is>
      </c>
      <c r="D3177" s="4" t="inlineStr">
        <is>
          <t>Shared Experience</t>
        </is>
      </c>
      <c r="E3177" s="4" t="inlineStr">
        <is>
          <t>Office Outing</t>
        </is>
      </c>
      <c r="F3177" s="4" t="inlineStr">
        <is>
          <t>Food</t>
        </is>
      </c>
      <c r="G3177" s="4" t="inlineStr">
        <is>
          <t>Expense</t>
        </is>
      </c>
      <c r="H3177" s="12" t="n">
        <v>46026</v>
      </c>
      <c r="I3177" s="13" t="n">
        <v>0.6966898148148148</v>
      </c>
      <c r="J3177" s="14" t="n">
        <v>46026.69668981482</v>
      </c>
      <c r="K3177" s="15" t="n">
        <v>21141.64</v>
      </c>
      <c r="L3177" s="4" t="inlineStr">
        <is>
          <t>INR</t>
        </is>
      </c>
      <c r="M3177" s="15" t="n">
        <v>-21141.64</v>
      </c>
      <c r="N3177" s="4" t="inlineStr">
        <is>
          <t>IOS Meera</t>
        </is>
      </c>
      <c r="O3177" s="4" t="n">
        <v>3</v>
      </c>
      <c r="P3177" s="4" t="inlineStr">
        <is>
          <t>EXACT</t>
        </is>
      </c>
      <c r="Q3177" s="4" t="inlineStr">
        <is>
          <t>MAESTRO-IOS-GROUP-OFFICE_OUTING-3176 | Food | 21141.64</t>
        </is>
      </c>
      <c r="R3177" s="4" t="inlineStr">
        <is>
          <t>iPhone</t>
        </is>
      </c>
      <c r="S3177" s="4" t="inlineStr">
        <is>
          <t>B64</t>
        </is>
      </c>
      <c r="T3177" s="4" t="inlineStr">
        <is>
          <t>STRESS_3001_3500</t>
        </is>
      </c>
      <c r="U3177" s="4" t="inlineStr">
        <is>
          <t>CREATED</t>
        </is>
      </c>
      <c r="V3177" s="4" t="inlineStr">
        <is>
          <t>idem-20260902-ios-3176</t>
        </is>
      </c>
    </row>
    <row r="3178" ht="30" customHeight="1">
      <c r="A3178" s="4" t="n">
        <v>3177</v>
      </c>
      <c r="B3178" s="4" t="inlineStr">
        <is>
          <t>MTR-IOS-3177</t>
        </is>
      </c>
      <c r="C3178" s="4" t="inlineStr">
        <is>
          <t>Business</t>
        </is>
      </c>
      <c r="D3178" s="4" t="inlineStr">
        <is>
          <t>Business</t>
        </is>
      </c>
      <c r="E3178" s="4" t="inlineStr">
        <is>
          <t>Business Runway</t>
        </is>
      </c>
      <c r="F3178" s="4" t="inlineStr">
        <is>
          <t>Revenue</t>
        </is>
      </c>
      <c r="G3178" s="4" t="inlineStr">
        <is>
          <t>Income</t>
        </is>
      </c>
      <c r="H3178" s="12" t="n">
        <v>46215</v>
      </c>
      <c r="I3178" s="13" t="n">
        <v>0.2003125</v>
      </c>
      <c r="J3178" s="14" t="n">
        <v>46215.2003125</v>
      </c>
      <c r="K3178" s="15" t="n">
        <v>66906.55</v>
      </c>
      <c r="L3178" s="4" t="inlineStr">
        <is>
          <t>INR</t>
        </is>
      </c>
      <c r="M3178" s="15" t="n">
        <v>66906.55</v>
      </c>
      <c r="N3178" s="4" t="inlineStr">
        <is>
          <t>IOS Owner</t>
        </is>
      </c>
      <c r="O3178" s="4" t="n"/>
      <c r="P3178" s="4" t="n"/>
      <c r="Q3178" s="4" t="inlineStr">
        <is>
          <t>MAESTRO-IOS-BUSINESS-BUSINESS_RUNWAY-3177 | Revenue | 66906.55</t>
        </is>
      </c>
      <c r="R3178" s="4" t="inlineStr">
        <is>
          <t>iPhone</t>
        </is>
      </c>
      <c r="S3178" s="4" t="inlineStr">
        <is>
          <t>B64</t>
        </is>
      </c>
      <c r="T3178" s="4" t="inlineStr">
        <is>
          <t>STRESS_3001_3500</t>
        </is>
      </c>
      <c r="U3178" s="4" t="inlineStr">
        <is>
          <t>CREATED</t>
        </is>
      </c>
      <c r="V3178" s="4" t="inlineStr">
        <is>
          <t>idem-20260902-ios-3177</t>
        </is>
      </c>
    </row>
    <row r="3179" ht="30" customHeight="1">
      <c r="A3179" s="4" t="n">
        <v>3178</v>
      </c>
      <c r="B3179" s="4" t="inlineStr">
        <is>
          <t>MTR-IOS-3178</t>
        </is>
      </c>
      <c r="C3179" s="4" t="inlineStr">
        <is>
          <t>Personal</t>
        </is>
      </c>
      <c r="D3179" s="4" t="inlineStr">
        <is>
          <t>Personal</t>
        </is>
      </c>
      <c r="E3179" s="4" t="inlineStr">
        <is>
          <t>Life Operations</t>
        </is>
      </c>
      <c r="F3179" s="4" t="inlineStr">
        <is>
          <t>Rent</t>
        </is>
      </c>
      <c r="G3179" s="4" t="inlineStr">
        <is>
          <t>Expense</t>
        </is>
      </c>
      <c r="H3179" s="12" t="n">
        <v>45931</v>
      </c>
      <c r="I3179" s="13" t="n">
        <v>0.5465625</v>
      </c>
      <c r="J3179" s="14" t="n">
        <v>45931.5465625</v>
      </c>
      <c r="K3179" s="15" t="n">
        <v>13627.45</v>
      </c>
      <c r="L3179" s="4" t="inlineStr">
        <is>
          <t>INR</t>
        </is>
      </c>
      <c r="M3179" s="15" t="n">
        <v>-13627.45</v>
      </c>
      <c r="N3179" s="4" t="inlineStr">
        <is>
          <t>IOS Owner</t>
        </is>
      </c>
      <c r="O3179" s="4" t="n"/>
      <c r="P3179" s="4" t="n"/>
      <c r="Q3179" s="4" t="inlineStr">
        <is>
          <t>MAESTRO-IOS-PERSONAL-LIFE_OPERATIONS-3178 | Rent | 13627.45</t>
        </is>
      </c>
      <c r="R3179" s="4" t="inlineStr">
        <is>
          <t>iPhone</t>
        </is>
      </c>
      <c r="S3179" s="4" t="inlineStr">
        <is>
          <t>B64</t>
        </is>
      </c>
      <c r="T3179" s="4" t="inlineStr">
        <is>
          <t>STRESS_3001_3500</t>
        </is>
      </c>
      <c r="U3179" s="4" t="inlineStr">
        <is>
          <t>CREATED</t>
        </is>
      </c>
      <c r="V3179" s="4" t="inlineStr">
        <is>
          <t>idem-20260902-ios-3178</t>
        </is>
      </c>
    </row>
    <row r="3180" ht="30" customHeight="1">
      <c r="A3180" s="4" t="n">
        <v>3179</v>
      </c>
      <c r="B3180" s="4" t="inlineStr">
        <is>
          <t>MTR-IOS-3179</t>
        </is>
      </c>
      <c r="C3180" s="4" t="inlineStr">
        <is>
          <t>Group</t>
        </is>
      </c>
      <c r="D3180" s="4" t="inlineStr">
        <is>
          <t>Shared Experience</t>
        </is>
      </c>
      <c r="E3180" s="4" t="inlineStr">
        <is>
          <t>Office Outing</t>
        </is>
      </c>
      <c r="F3180" s="4" t="inlineStr">
        <is>
          <t>Travel</t>
        </is>
      </c>
      <c r="G3180" s="4" t="inlineStr">
        <is>
          <t>Expense</t>
        </is>
      </c>
      <c r="H3180" s="12" t="n">
        <v>46076</v>
      </c>
      <c r="I3180" s="13" t="n">
        <v>0.1352430555555555</v>
      </c>
      <c r="J3180" s="14" t="n">
        <v>46076.13524305556</v>
      </c>
      <c r="K3180" s="15" t="n">
        <v>13956.68</v>
      </c>
      <c r="L3180" s="4" t="inlineStr">
        <is>
          <t>INR</t>
        </is>
      </c>
      <c r="M3180" s="15" t="n">
        <v>-13956.68</v>
      </c>
      <c r="N3180" s="4" t="inlineStr">
        <is>
          <t>IOS Owner</t>
        </is>
      </c>
      <c r="O3180" s="4" t="n">
        <v>3</v>
      </c>
      <c r="P3180" s="4" t="inlineStr">
        <is>
          <t>SHARES</t>
        </is>
      </c>
      <c r="Q3180" s="4" t="inlineStr">
        <is>
          <t>MAESTRO-IOS-GROUP-OFFICE_OUTING-3179 | Travel | 13956.68</t>
        </is>
      </c>
      <c r="R3180" s="4" t="inlineStr">
        <is>
          <t>iPhone</t>
        </is>
      </c>
      <c r="S3180" s="4" t="inlineStr">
        <is>
          <t>B64</t>
        </is>
      </c>
      <c r="T3180" s="4" t="inlineStr">
        <is>
          <t>STRESS_3001_3500</t>
        </is>
      </c>
      <c r="U3180" s="4" t="inlineStr">
        <is>
          <t>CREATED</t>
        </is>
      </c>
      <c r="V3180" s="4" t="inlineStr">
        <is>
          <t>idem-20260902-ios-3179</t>
        </is>
      </c>
    </row>
    <row r="3181" ht="30" customHeight="1">
      <c r="A3181" s="4" t="n">
        <v>3180</v>
      </c>
      <c r="B3181" s="4" t="inlineStr">
        <is>
          <t>MTR-IOS-3180</t>
        </is>
      </c>
      <c r="C3181" s="4" t="inlineStr">
        <is>
          <t>Business</t>
        </is>
      </c>
      <c r="D3181" s="4" t="inlineStr">
        <is>
          <t>Business</t>
        </is>
      </c>
      <c r="E3181" s="4" t="inlineStr">
        <is>
          <t>Business Runway</t>
        </is>
      </c>
      <c r="F3181" s="4" t="inlineStr">
        <is>
          <t>Burn</t>
        </is>
      </c>
      <c r="G3181" s="4" t="inlineStr">
        <is>
          <t>Expense</t>
        </is>
      </c>
      <c r="H3181" s="12" t="n">
        <v>46096</v>
      </c>
      <c r="I3181" s="13" t="n">
        <v>0.2222685185185185</v>
      </c>
      <c r="J3181" s="14" t="n">
        <v>46096.22226851852</v>
      </c>
      <c r="K3181" s="15" t="n">
        <v>133820.51</v>
      </c>
      <c r="L3181" s="4" t="inlineStr">
        <is>
          <t>INR</t>
        </is>
      </c>
      <c r="M3181" s="15" t="n">
        <v>-133820.51</v>
      </c>
      <c r="N3181" s="4" t="inlineStr">
        <is>
          <t>IOS Owner</t>
        </is>
      </c>
      <c r="O3181" s="4" t="n"/>
      <c r="P3181" s="4" t="n"/>
      <c r="Q3181" s="4" t="inlineStr">
        <is>
          <t>MAESTRO-IOS-BUSINESS-BUSINESS_RUNWAY-3180 | Burn | 133820.51</t>
        </is>
      </c>
      <c r="R3181" s="4" t="inlineStr">
        <is>
          <t>iPhone</t>
        </is>
      </c>
      <c r="S3181" s="4" t="inlineStr">
        <is>
          <t>B64</t>
        </is>
      </c>
      <c r="T3181" s="4" t="inlineStr">
        <is>
          <t>STRESS_3001_3500</t>
        </is>
      </c>
      <c r="U3181" s="4" t="inlineStr">
        <is>
          <t>CREATED</t>
        </is>
      </c>
      <c r="V3181" s="4" t="inlineStr">
        <is>
          <t>idem-20260902-ios-3180</t>
        </is>
      </c>
    </row>
    <row r="3182" ht="30" customHeight="1">
      <c r="A3182" s="4" t="n">
        <v>3181</v>
      </c>
      <c r="B3182" s="4" t="inlineStr">
        <is>
          <t>MTR-IOS-3181</t>
        </is>
      </c>
      <c r="C3182" s="4" t="inlineStr">
        <is>
          <t>Personal</t>
        </is>
      </c>
      <c r="D3182" s="4" t="inlineStr">
        <is>
          <t>Personal</t>
        </is>
      </c>
      <c r="E3182" s="4" t="inlineStr">
        <is>
          <t>Life Operations</t>
        </is>
      </c>
      <c r="F3182" s="4" t="inlineStr">
        <is>
          <t>Bills</t>
        </is>
      </c>
      <c r="G3182" s="4" t="inlineStr">
        <is>
          <t>Expense</t>
        </is>
      </c>
      <c r="H3182" s="12" t="n">
        <v>45992</v>
      </c>
      <c r="I3182" s="13" t="n">
        <v>0.5678009259259259</v>
      </c>
      <c r="J3182" s="14" t="n">
        <v>45992.56780092593</v>
      </c>
      <c r="K3182" s="15" t="n">
        <v>15319.75</v>
      </c>
      <c r="L3182" s="4" t="inlineStr">
        <is>
          <t>INR</t>
        </is>
      </c>
      <c r="M3182" s="15" t="n">
        <v>-15319.75</v>
      </c>
      <c r="N3182" s="4" t="inlineStr">
        <is>
          <t>IOS Owner</t>
        </is>
      </c>
      <c r="O3182" s="4" t="n"/>
      <c r="P3182" s="4" t="n"/>
      <c r="Q3182" s="4" t="inlineStr">
        <is>
          <t>MAESTRO-IOS-PERSONAL-LIFE_OPERATIONS-3181 | Bills | 15319.75</t>
        </is>
      </c>
      <c r="R3182" s="4" t="inlineStr">
        <is>
          <t>iPhone</t>
        </is>
      </c>
      <c r="S3182" s="4" t="inlineStr">
        <is>
          <t>B64</t>
        </is>
      </c>
      <c r="T3182" s="4" t="inlineStr">
        <is>
          <t>STRESS_3001_3500</t>
        </is>
      </c>
      <c r="U3182" s="4" t="inlineStr">
        <is>
          <t>CREATED</t>
        </is>
      </c>
      <c r="V3182" s="4" t="inlineStr">
        <is>
          <t>idem-20260902-ios-3181</t>
        </is>
      </c>
    </row>
    <row r="3183" ht="30" customHeight="1">
      <c r="A3183" s="4" t="n">
        <v>3182</v>
      </c>
      <c r="B3183" s="4" t="inlineStr">
        <is>
          <t>MTR-IOS-3182</t>
        </is>
      </c>
      <c r="C3183" s="4" t="inlineStr">
        <is>
          <t>Group</t>
        </is>
      </c>
      <c r="D3183" s="4" t="inlineStr">
        <is>
          <t>Shared Experience</t>
        </is>
      </c>
      <c r="E3183" s="4" t="inlineStr">
        <is>
          <t>Office Outing</t>
        </is>
      </c>
      <c r="F3183" s="4" t="inlineStr">
        <is>
          <t>Activities</t>
        </is>
      </c>
      <c r="G3183" s="4" t="inlineStr">
        <is>
          <t>Expense</t>
        </is>
      </c>
      <c r="H3183" s="12" t="n">
        <v>46039</v>
      </c>
      <c r="I3183" s="13" t="n">
        <v>0.4418171296296297</v>
      </c>
      <c r="J3183" s="14" t="n">
        <v>46039.44181712963</v>
      </c>
      <c r="K3183" s="15" t="n">
        <v>99.98999999999999</v>
      </c>
      <c r="L3183" s="4" t="inlineStr">
        <is>
          <t>INR</t>
        </is>
      </c>
      <c r="M3183" s="15" t="n">
        <v>-99.98999999999999</v>
      </c>
      <c r="N3183" s="4" t="inlineStr">
        <is>
          <t>IOS Aarav</t>
        </is>
      </c>
      <c r="O3183" s="4" t="n">
        <v>3</v>
      </c>
      <c r="P3183" s="4" t="inlineStr">
        <is>
          <t>EQUAL</t>
        </is>
      </c>
      <c r="Q3183" s="4" t="inlineStr">
        <is>
          <t>MAESTRO-IOS-GROUP-OFFICE_OUTING-3182 | Activities | 99.99</t>
        </is>
      </c>
      <c r="R3183" s="4" t="inlineStr">
        <is>
          <t>iPhone</t>
        </is>
      </c>
      <c r="S3183" s="4" t="inlineStr">
        <is>
          <t>B64</t>
        </is>
      </c>
      <c r="T3183" s="4" t="inlineStr">
        <is>
          <t>STRESS_3001_3500</t>
        </is>
      </c>
      <c r="U3183" s="4" t="inlineStr">
        <is>
          <t>CREATED</t>
        </is>
      </c>
      <c r="V3183" s="4" t="inlineStr">
        <is>
          <t>idem-20260902-ios-3182</t>
        </is>
      </c>
    </row>
    <row r="3184" ht="30" customHeight="1">
      <c r="A3184" s="4" t="n">
        <v>3183</v>
      </c>
      <c r="B3184" s="4" t="inlineStr">
        <is>
          <t>MTR-IOS-3183</t>
        </is>
      </c>
      <c r="C3184" s="4" t="inlineStr">
        <is>
          <t>Business</t>
        </is>
      </c>
      <c r="D3184" s="4" t="inlineStr">
        <is>
          <t>Business</t>
        </is>
      </c>
      <c r="E3184" s="4" t="inlineStr">
        <is>
          <t>Business Runway</t>
        </is>
      </c>
      <c r="F3184" s="4" t="inlineStr">
        <is>
          <t>Reserve</t>
        </is>
      </c>
      <c r="G3184" s="4" t="inlineStr">
        <is>
          <t>Transfer</t>
        </is>
      </c>
      <c r="H3184" s="12" t="n">
        <v>46210</v>
      </c>
      <c r="I3184" s="13" t="n">
        <v>0.4480902777777778</v>
      </c>
      <c r="J3184" s="14" t="n">
        <v>46210.44809027778</v>
      </c>
      <c r="K3184" s="15" t="n">
        <v>26428.1</v>
      </c>
      <c r="L3184" s="4" t="inlineStr">
        <is>
          <t>INR</t>
        </is>
      </c>
      <c r="M3184" s="15" t="n">
        <v>0</v>
      </c>
      <c r="N3184" s="4" t="inlineStr">
        <is>
          <t>IOS Owner</t>
        </is>
      </c>
      <c r="O3184" s="4" t="n"/>
      <c r="P3184" s="4" t="n"/>
      <c r="Q3184" s="4" t="inlineStr">
        <is>
          <t>MAESTRO-IOS-BUSINESS-BUSINESS_RUNWAY-3183 | Reserve | 26428.10</t>
        </is>
      </c>
      <c r="R3184" s="4" t="inlineStr">
        <is>
          <t>iPhone</t>
        </is>
      </c>
      <c r="S3184" s="4" t="inlineStr">
        <is>
          <t>B64</t>
        </is>
      </c>
      <c r="T3184" s="4" t="inlineStr">
        <is>
          <t>STRESS_3001_3500</t>
        </is>
      </c>
      <c r="U3184" s="4" t="inlineStr">
        <is>
          <t>CREATED</t>
        </is>
      </c>
      <c r="V3184" s="4" t="inlineStr">
        <is>
          <t>idem-20260902-ios-3183</t>
        </is>
      </c>
    </row>
    <row r="3185" ht="30" customHeight="1">
      <c r="A3185" s="4" t="n">
        <v>3184</v>
      </c>
      <c r="B3185" s="4" t="inlineStr">
        <is>
          <t>MTR-IOS-3184</t>
        </is>
      </c>
      <c r="C3185" s="4" t="inlineStr">
        <is>
          <t>Personal</t>
        </is>
      </c>
      <c r="D3185" s="4" t="inlineStr">
        <is>
          <t>Personal</t>
        </is>
      </c>
      <c r="E3185" s="4" t="inlineStr">
        <is>
          <t>Life Operations</t>
        </is>
      </c>
      <c r="F3185" s="4" t="inlineStr">
        <is>
          <t>Transport</t>
        </is>
      </c>
      <c r="G3185" s="4" t="inlineStr">
        <is>
          <t>Expense</t>
        </is>
      </c>
      <c r="H3185" s="12" t="n">
        <v>46043</v>
      </c>
      <c r="I3185" s="13" t="n">
        <v>0.1489930555555556</v>
      </c>
      <c r="J3185" s="14" t="n">
        <v>46043.14899305555</v>
      </c>
      <c r="K3185" s="15" t="n">
        <v>14557.69</v>
      </c>
      <c r="L3185" s="4" t="inlineStr">
        <is>
          <t>INR</t>
        </is>
      </c>
      <c r="M3185" s="15" t="n">
        <v>-14557.69</v>
      </c>
      <c r="N3185" s="4" t="inlineStr">
        <is>
          <t>IOS Owner</t>
        </is>
      </c>
      <c r="O3185" s="4" t="n"/>
      <c r="P3185" s="4" t="n"/>
      <c r="Q3185" s="4" t="inlineStr">
        <is>
          <t>MAESTRO-IOS-PERSONAL-LIFE_OPERATIONS-3184 | Transport | 14557.69</t>
        </is>
      </c>
      <c r="R3185" s="4" t="inlineStr">
        <is>
          <t>iPhone</t>
        </is>
      </c>
      <c r="S3185" s="4" t="inlineStr">
        <is>
          <t>B64</t>
        </is>
      </c>
      <c r="T3185" s="4" t="inlineStr">
        <is>
          <t>STRESS_3001_3500</t>
        </is>
      </c>
      <c r="U3185" s="4" t="inlineStr">
        <is>
          <t>CREATED</t>
        </is>
      </c>
      <c r="V3185" s="4" t="inlineStr">
        <is>
          <t>idem-20260902-ios-3184</t>
        </is>
      </c>
    </row>
    <row r="3186" ht="30" customHeight="1">
      <c r="A3186" s="4" t="n">
        <v>3185</v>
      </c>
      <c r="B3186" s="4" t="inlineStr">
        <is>
          <t>MTR-IOS-3185</t>
        </is>
      </c>
      <c r="C3186" s="4" t="inlineStr">
        <is>
          <t>Group</t>
        </is>
      </c>
      <c r="D3186" s="4" t="inlineStr">
        <is>
          <t>Shared Experience</t>
        </is>
      </c>
      <c r="E3186" s="4" t="inlineStr">
        <is>
          <t>Office Outing</t>
        </is>
      </c>
      <c r="F3186" s="4" t="inlineStr">
        <is>
          <t>Venue</t>
        </is>
      </c>
      <c r="G3186" s="4" t="inlineStr">
        <is>
          <t>Expense</t>
        </is>
      </c>
      <c r="H3186" s="12" t="n">
        <v>46102</v>
      </c>
      <c r="I3186" s="13" t="n">
        <v>0.2953009259259259</v>
      </c>
      <c r="J3186" s="14" t="n">
        <v>46102.29530092593</v>
      </c>
      <c r="K3186" s="15" t="n">
        <v>1903.31</v>
      </c>
      <c r="L3186" s="4" t="inlineStr">
        <is>
          <t>INR</t>
        </is>
      </c>
      <c r="M3186" s="15" t="n">
        <v>-1903.31</v>
      </c>
      <c r="N3186" s="4" t="inlineStr">
        <is>
          <t>IOS Meera</t>
        </is>
      </c>
      <c r="O3186" s="4" t="n">
        <v>3</v>
      </c>
      <c r="P3186" s="4" t="inlineStr">
        <is>
          <t>PERCENTAGE</t>
        </is>
      </c>
      <c r="Q3186" s="4" t="inlineStr">
        <is>
          <t>MAESTRO-IOS-GROUP-OFFICE_OUTING-3185 | Venue | 1903.31</t>
        </is>
      </c>
      <c r="R3186" s="4" t="inlineStr">
        <is>
          <t>iPhone</t>
        </is>
      </c>
      <c r="S3186" s="4" t="inlineStr">
        <is>
          <t>B64</t>
        </is>
      </c>
      <c r="T3186" s="4" t="inlineStr">
        <is>
          <t>STRESS_3001_3500</t>
        </is>
      </c>
      <c r="U3186" s="4" t="inlineStr">
        <is>
          <t>CREATED</t>
        </is>
      </c>
      <c r="V3186" s="4" t="inlineStr">
        <is>
          <t>idem-20260902-ios-3185</t>
        </is>
      </c>
    </row>
    <row r="3187" ht="30" customHeight="1">
      <c r="A3187" s="4" t="n">
        <v>3186</v>
      </c>
      <c r="B3187" s="4" t="inlineStr">
        <is>
          <t>MTR-IOS-3186</t>
        </is>
      </c>
      <c r="C3187" s="4" t="inlineStr">
        <is>
          <t>Business</t>
        </is>
      </c>
      <c r="D3187" s="4" t="inlineStr">
        <is>
          <t>Business</t>
        </is>
      </c>
      <c r="E3187" s="4" t="inlineStr">
        <is>
          <t>Business Runway</t>
        </is>
      </c>
      <c r="F3187" s="4" t="inlineStr">
        <is>
          <t>Loan</t>
        </is>
      </c>
      <c r="G3187" s="4" t="inlineStr">
        <is>
          <t>Income</t>
        </is>
      </c>
      <c r="H3187" s="12" t="n">
        <v>46215</v>
      </c>
      <c r="I3187" s="13" t="n">
        <v>0.7152893518518518</v>
      </c>
      <c r="J3187" s="14" t="n">
        <v>46215.71528935185</v>
      </c>
      <c r="K3187" s="15" t="n">
        <v>22323.11</v>
      </c>
      <c r="L3187" s="4" t="inlineStr">
        <is>
          <t>INR</t>
        </is>
      </c>
      <c r="M3187" s="15" t="n">
        <v>22323.11</v>
      </c>
      <c r="N3187" s="4" t="inlineStr">
        <is>
          <t>IOS Owner</t>
        </is>
      </c>
      <c r="O3187" s="4" t="n"/>
      <c r="P3187" s="4" t="n"/>
      <c r="Q3187" s="4" t="inlineStr">
        <is>
          <t>MAESTRO-IOS-BUSINESS-BUSINESS_RUNWAY-3186 | Loan | 22323.11</t>
        </is>
      </c>
      <c r="R3187" s="4" t="inlineStr">
        <is>
          <t>iPhone</t>
        </is>
      </c>
      <c r="S3187" s="4" t="inlineStr">
        <is>
          <t>B64</t>
        </is>
      </c>
      <c r="T3187" s="4" t="inlineStr">
        <is>
          <t>STRESS_3001_3500</t>
        </is>
      </c>
      <c r="U3187" s="4" t="inlineStr">
        <is>
          <t>CREATED</t>
        </is>
      </c>
      <c r="V3187" s="4" t="inlineStr">
        <is>
          <t>idem-20260902-ios-3186</t>
        </is>
      </c>
    </row>
    <row r="3188" ht="30" customHeight="1">
      <c r="A3188" s="4" t="n">
        <v>3187</v>
      </c>
      <c r="B3188" s="4" t="inlineStr">
        <is>
          <t>MTR-IOS-3187</t>
        </is>
      </c>
      <c r="C3188" s="4" t="inlineStr">
        <is>
          <t>Personal</t>
        </is>
      </c>
      <c r="D3188" s="4" t="inlineStr">
        <is>
          <t>Personal</t>
        </is>
      </c>
      <c r="E3188" s="4" t="inlineStr">
        <is>
          <t>Life Operations</t>
        </is>
      </c>
      <c r="F3188" s="4" t="inlineStr">
        <is>
          <t>Healthcare</t>
        </is>
      </c>
      <c r="G3188" s="4" t="inlineStr">
        <is>
          <t>Expense</t>
        </is>
      </c>
      <c r="H3188" s="12" t="n">
        <v>45960</v>
      </c>
      <c r="I3188" s="13" t="n">
        <v>0.1025231481481482</v>
      </c>
      <c r="J3188" s="14" t="n">
        <v>45960.10252314815</v>
      </c>
      <c r="K3188" s="15" t="n">
        <v>1212.03</v>
      </c>
      <c r="L3188" s="4" t="inlineStr">
        <is>
          <t>INR</t>
        </is>
      </c>
      <c r="M3188" s="15" t="n">
        <v>-1212.03</v>
      </c>
      <c r="N3188" s="4" t="inlineStr">
        <is>
          <t>IOS Owner</t>
        </is>
      </c>
      <c r="O3188" s="4" t="n"/>
      <c r="P3188" s="4" t="n"/>
      <c r="Q3188" s="4" t="inlineStr">
        <is>
          <t>MAESTRO-IOS-PERSONAL-LIFE_OPERATIONS-3187 | Healthcare | 1212.03</t>
        </is>
      </c>
      <c r="R3188" s="4" t="inlineStr">
        <is>
          <t>iPhone</t>
        </is>
      </c>
      <c r="S3188" s="4" t="inlineStr">
        <is>
          <t>B64</t>
        </is>
      </c>
      <c r="T3188" s="4" t="inlineStr">
        <is>
          <t>STRESS_3001_3500</t>
        </is>
      </c>
      <c r="U3188" s="4" t="inlineStr">
        <is>
          <t>CREATED</t>
        </is>
      </c>
      <c r="V3188" s="4" t="inlineStr">
        <is>
          <t>idem-20260902-ios-3187</t>
        </is>
      </c>
    </row>
    <row r="3189" ht="30" customHeight="1">
      <c r="A3189" s="4" t="n">
        <v>3188</v>
      </c>
      <c r="B3189" s="4" t="inlineStr">
        <is>
          <t>MTR-IOS-3188</t>
        </is>
      </c>
      <c r="C3189" s="4" t="inlineStr">
        <is>
          <t>Group</t>
        </is>
      </c>
      <c r="D3189" s="4" t="inlineStr">
        <is>
          <t>Shared Experience</t>
        </is>
      </c>
      <c r="E3189" s="4" t="inlineStr">
        <is>
          <t>Office Outing</t>
        </is>
      </c>
      <c r="F3189" s="4" t="inlineStr">
        <is>
          <t>Other</t>
        </is>
      </c>
      <c r="G3189" s="4" t="inlineStr">
        <is>
          <t>Expense</t>
        </is>
      </c>
      <c r="H3189" s="12" t="n">
        <v>46033</v>
      </c>
      <c r="I3189" s="13" t="n">
        <v>0.6528125</v>
      </c>
      <c r="J3189" s="14" t="n">
        <v>46033.6528125</v>
      </c>
      <c r="K3189" s="15" t="n">
        <v>11598.29</v>
      </c>
      <c r="L3189" s="4" t="inlineStr">
        <is>
          <t>INR</t>
        </is>
      </c>
      <c r="M3189" s="15" t="n">
        <v>-11598.29</v>
      </c>
      <c r="N3189" s="4" t="inlineStr">
        <is>
          <t>IOS Owner</t>
        </is>
      </c>
      <c r="O3189" s="4" t="n">
        <v>3</v>
      </c>
      <c r="P3189" s="4" t="inlineStr">
        <is>
          <t>EXACT</t>
        </is>
      </c>
      <c r="Q3189" s="4" t="inlineStr">
        <is>
          <t>MAESTRO-IOS-GROUP-OFFICE_OUTING-3188 | Other | 11598.29</t>
        </is>
      </c>
      <c r="R3189" s="4" t="inlineStr">
        <is>
          <t>iPhone</t>
        </is>
      </c>
      <c r="S3189" s="4" t="inlineStr">
        <is>
          <t>B64</t>
        </is>
      </c>
      <c r="T3189" s="4" t="inlineStr">
        <is>
          <t>STRESS_3001_3500</t>
        </is>
      </c>
      <c r="U3189" s="4" t="inlineStr">
        <is>
          <t>CREATED</t>
        </is>
      </c>
      <c r="V3189" s="4" t="inlineStr">
        <is>
          <t>idem-20260902-ios-3188</t>
        </is>
      </c>
    </row>
    <row r="3190" ht="30" customHeight="1">
      <c r="A3190" s="4" t="n">
        <v>3189</v>
      </c>
      <c r="B3190" s="4" t="inlineStr">
        <is>
          <t>MTR-IOS-3189</t>
        </is>
      </c>
      <c r="C3190" s="4" t="inlineStr">
        <is>
          <t>Business</t>
        </is>
      </c>
      <c r="D3190" s="4" t="inlineStr">
        <is>
          <t>Business</t>
        </is>
      </c>
      <c r="E3190" s="4" t="inlineStr">
        <is>
          <t>Business Runway</t>
        </is>
      </c>
      <c r="F3190" s="4" t="inlineStr">
        <is>
          <t>Investment</t>
        </is>
      </c>
      <c r="G3190" s="4" t="inlineStr">
        <is>
          <t>Income</t>
        </is>
      </c>
      <c r="H3190" s="12" t="n">
        <v>46050</v>
      </c>
      <c r="I3190" s="13" t="n">
        <v>0.3877430555555555</v>
      </c>
      <c r="J3190" s="14" t="n">
        <v>46050.38774305556</v>
      </c>
      <c r="K3190" s="15" t="n">
        <v>81533.57000000001</v>
      </c>
      <c r="L3190" s="4" t="inlineStr">
        <is>
          <t>INR</t>
        </is>
      </c>
      <c r="M3190" s="15" t="n">
        <v>81533.57000000001</v>
      </c>
      <c r="N3190" s="4" t="inlineStr">
        <is>
          <t>IOS Owner</t>
        </is>
      </c>
      <c r="O3190" s="4" t="n"/>
      <c r="P3190" s="4" t="n"/>
      <c r="Q3190" s="4" t="inlineStr">
        <is>
          <t>MAESTRO-IOS-BUSINESS-BUSINESS_RUNWAY-3189 | Investment | 81533.57</t>
        </is>
      </c>
      <c r="R3190" s="4" t="inlineStr">
        <is>
          <t>iPhone</t>
        </is>
      </c>
      <c r="S3190" s="4" t="inlineStr">
        <is>
          <t>B64</t>
        </is>
      </c>
      <c r="T3190" s="4" t="inlineStr">
        <is>
          <t>STRESS_3001_3500</t>
        </is>
      </c>
      <c r="U3190" s="4" t="inlineStr">
        <is>
          <t>CREATED</t>
        </is>
      </c>
      <c r="V3190" s="4" t="inlineStr">
        <is>
          <t>idem-20260902-ios-3189</t>
        </is>
      </c>
    </row>
    <row r="3191" ht="30" customHeight="1">
      <c r="A3191" s="4" t="n">
        <v>3190</v>
      </c>
      <c r="B3191" s="4" t="inlineStr">
        <is>
          <t>MTR-IOS-3190</t>
        </is>
      </c>
      <c r="C3191" s="4" t="inlineStr">
        <is>
          <t>Personal</t>
        </is>
      </c>
      <c r="D3191" s="4" t="inlineStr">
        <is>
          <t>Personal</t>
        </is>
      </c>
      <c r="E3191" s="4" t="inlineStr">
        <is>
          <t>Life Operations</t>
        </is>
      </c>
      <c r="F3191" s="4" t="inlineStr">
        <is>
          <t>Subscriptions</t>
        </is>
      </c>
      <c r="G3191" s="4" t="inlineStr">
        <is>
          <t>Expense</t>
        </is>
      </c>
      <c r="H3191" s="12" t="n">
        <v>46066</v>
      </c>
      <c r="I3191" s="13" t="n">
        <v>0.610011574074074</v>
      </c>
      <c r="J3191" s="14" t="n">
        <v>46066.61001157408</v>
      </c>
      <c r="K3191" s="15" t="n">
        <v>14577.25</v>
      </c>
      <c r="L3191" s="4" t="inlineStr">
        <is>
          <t>INR</t>
        </is>
      </c>
      <c r="M3191" s="15" t="n">
        <v>-14577.25</v>
      </c>
      <c r="N3191" s="4" t="inlineStr">
        <is>
          <t>IOS Owner</t>
        </is>
      </c>
      <c r="O3191" s="4" t="n"/>
      <c r="P3191" s="4" t="n"/>
      <c r="Q3191" s="4" t="inlineStr">
        <is>
          <t>MAESTRO-IOS-PERSONAL-LIFE_OPERATIONS-3190 | Subscriptions | 14577.25</t>
        </is>
      </c>
      <c r="R3191" s="4" t="inlineStr">
        <is>
          <t>iPhone</t>
        </is>
      </c>
      <c r="S3191" s="4" t="inlineStr">
        <is>
          <t>B64</t>
        </is>
      </c>
      <c r="T3191" s="4" t="inlineStr">
        <is>
          <t>STRESS_3001_3500</t>
        </is>
      </c>
      <c r="U3191" s="4" t="inlineStr">
        <is>
          <t>CREATED</t>
        </is>
      </c>
      <c r="V3191" s="4" t="inlineStr">
        <is>
          <t>idem-20260902-ios-3190</t>
        </is>
      </c>
    </row>
    <row r="3192" ht="30" customHeight="1">
      <c r="A3192" s="4" t="n">
        <v>3191</v>
      </c>
      <c r="B3192" s="4" t="inlineStr">
        <is>
          <t>MTR-IOS-3191</t>
        </is>
      </c>
      <c r="C3192" s="4" t="inlineStr">
        <is>
          <t>Group</t>
        </is>
      </c>
      <c r="D3192" s="4" t="inlineStr">
        <is>
          <t>Shared Experience</t>
        </is>
      </c>
      <c r="E3192" s="4" t="inlineStr">
        <is>
          <t>House Party</t>
        </is>
      </c>
      <c r="F3192" s="4" t="inlineStr">
        <is>
          <t>Food</t>
        </is>
      </c>
      <c r="G3192" s="4" t="inlineStr">
        <is>
          <t>Expense</t>
        </is>
      </c>
      <c r="H3192" s="12" t="n">
        <v>45918</v>
      </c>
      <c r="I3192" s="13" t="n">
        <v>0.6031944444444445</v>
      </c>
      <c r="J3192" s="14" t="n">
        <v>45918.60319444445</v>
      </c>
      <c r="K3192" s="15" t="n">
        <v>18927.75</v>
      </c>
      <c r="L3192" s="4" t="inlineStr">
        <is>
          <t>INR</t>
        </is>
      </c>
      <c r="M3192" s="15" t="n">
        <v>-18927.75</v>
      </c>
      <c r="N3192" s="4" t="inlineStr">
        <is>
          <t>IOS Aarav</t>
        </is>
      </c>
      <c r="O3192" s="4" t="n">
        <v>3</v>
      </c>
      <c r="P3192" s="4" t="inlineStr">
        <is>
          <t>SHARES</t>
        </is>
      </c>
      <c r="Q3192" s="4" t="inlineStr">
        <is>
          <t>MAESTRO-IOS-GROUP-HOUSE_PARTY-3191 | Food | 18927.75</t>
        </is>
      </c>
      <c r="R3192" s="4" t="inlineStr">
        <is>
          <t>iPhone</t>
        </is>
      </c>
      <c r="S3192" s="4" t="inlineStr">
        <is>
          <t>B64</t>
        </is>
      </c>
      <c r="T3192" s="4" t="inlineStr">
        <is>
          <t>STRESS_3001_3500</t>
        </is>
      </c>
      <c r="U3192" s="4" t="inlineStr">
        <is>
          <t>CREATED</t>
        </is>
      </c>
      <c r="V3192" s="4" t="inlineStr">
        <is>
          <t>idem-20260902-ios-3191</t>
        </is>
      </c>
    </row>
    <row r="3193" ht="30" customHeight="1">
      <c r="A3193" s="4" t="n">
        <v>3192</v>
      </c>
      <c r="B3193" s="4" t="inlineStr">
        <is>
          <t>MTR-IOS-3192</t>
        </is>
      </c>
      <c r="C3193" s="4" t="inlineStr">
        <is>
          <t>Business</t>
        </is>
      </c>
      <c r="D3193" s="4" t="inlineStr">
        <is>
          <t>Business</t>
        </is>
      </c>
      <c r="E3193" s="4" t="inlineStr">
        <is>
          <t>Business Operations</t>
        </is>
      </c>
      <c r="F3193" s="4" t="inlineStr">
        <is>
          <t>Software</t>
        </is>
      </c>
      <c r="G3193" s="4" t="inlineStr">
        <is>
          <t>Expense</t>
        </is>
      </c>
      <c r="H3193" s="12" t="n">
        <v>46087</v>
      </c>
      <c r="I3193" s="13" t="n">
        <v>0.4155092592592592</v>
      </c>
      <c r="J3193" s="14" t="n">
        <v>46087.41550925926</v>
      </c>
      <c r="K3193" s="15" t="n">
        <v>127337.57</v>
      </c>
      <c r="L3193" s="4" t="inlineStr">
        <is>
          <t>INR</t>
        </is>
      </c>
      <c r="M3193" s="15" t="n">
        <v>-127337.57</v>
      </c>
      <c r="N3193" s="4" t="inlineStr">
        <is>
          <t>IOS Owner</t>
        </is>
      </c>
      <c r="O3193" s="4" t="n"/>
      <c r="P3193" s="4" t="n"/>
      <c r="Q3193" s="4" t="inlineStr">
        <is>
          <t>MAESTRO-IOS-BUSINESS-BUSINESS_OPERATIONS-3192 | Software | 127337.57</t>
        </is>
      </c>
      <c r="R3193" s="4" t="inlineStr">
        <is>
          <t>iPhone</t>
        </is>
      </c>
      <c r="S3193" s="4" t="inlineStr">
        <is>
          <t>B64</t>
        </is>
      </c>
      <c r="T3193" s="4" t="inlineStr">
        <is>
          <t>STRESS_3001_3500</t>
        </is>
      </c>
      <c r="U3193" s="4" t="inlineStr">
        <is>
          <t>CREATED</t>
        </is>
      </c>
      <c r="V3193" s="4" t="inlineStr">
        <is>
          <t>idem-20260902-ios-3192</t>
        </is>
      </c>
    </row>
    <row r="3194" ht="30" customHeight="1">
      <c r="A3194" s="4" t="n">
        <v>3193</v>
      </c>
      <c r="B3194" s="4" t="inlineStr">
        <is>
          <t>MTR-IOS-3193</t>
        </is>
      </c>
      <c r="C3194" s="4" t="inlineStr">
        <is>
          <t>Personal</t>
        </is>
      </c>
      <c r="D3194" s="4" t="inlineStr">
        <is>
          <t>Personal</t>
        </is>
      </c>
      <c r="E3194" s="4" t="inlineStr">
        <is>
          <t>Life Operations</t>
        </is>
      </c>
      <c r="F3194" s="4" t="inlineStr">
        <is>
          <t>Repairs</t>
        </is>
      </c>
      <c r="G3194" s="4" t="inlineStr">
        <is>
          <t>Expense</t>
        </is>
      </c>
      <c r="H3194" s="12" t="n">
        <v>46090</v>
      </c>
      <c r="I3194" s="13" t="n">
        <v>0.9077893518518518</v>
      </c>
      <c r="J3194" s="14" t="n">
        <v>46090.90778935186</v>
      </c>
      <c r="K3194" s="15" t="n">
        <v>5280.67</v>
      </c>
      <c r="L3194" s="4" t="inlineStr">
        <is>
          <t>INR</t>
        </is>
      </c>
      <c r="M3194" s="15" t="n">
        <v>-5280.67</v>
      </c>
      <c r="N3194" s="4" t="inlineStr">
        <is>
          <t>IOS Owner</t>
        </is>
      </c>
      <c r="O3194" s="4" t="n"/>
      <c r="P3194" s="4" t="n"/>
      <c r="Q3194" s="4" t="inlineStr">
        <is>
          <t>MAESTRO-IOS-PERSONAL-LIFE_OPERATIONS-3193 | Repairs | 5280.67</t>
        </is>
      </c>
      <c r="R3194" s="4" t="inlineStr">
        <is>
          <t>iPhone</t>
        </is>
      </c>
      <c r="S3194" s="4" t="inlineStr">
        <is>
          <t>B64</t>
        </is>
      </c>
      <c r="T3194" s="4" t="inlineStr">
        <is>
          <t>STRESS_3001_3500</t>
        </is>
      </c>
      <c r="U3194" s="4" t="inlineStr">
        <is>
          <t>CREATED</t>
        </is>
      </c>
      <c r="V3194" s="4" t="inlineStr">
        <is>
          <t>idem-20260902-ios-3193</t>
        </is>
      </c>
    </row>
    <row r="3195" ht="30" customHeight="1">
      <c r="A3195" s="4" t="n">
        <v>3194</v>
      </c>
      <c r="B3195" s="4" t="inlineStr">
        <is>
          <t>MTR-IOS-3194</t>
        </is>
      </c>
      <c r="C3195" s="4" t="inlineStr">
        <is>
          <t>Group</t>
        </is>
      </c>
      <c r="D3195" s="4" t="inlineStr">
        <is>
          <t>Shared Experience</t>
        </is>
      </c>
      <c r="E3195" s="4" t="inlineStr">
        <is>
          <t>House Party</t>
        </is>
      </c>
      <c r="F3195" s="4" t="inlineStr">
        <is>
          <t>Drinks</t>
        </is>
      </c>
      <c r="G3195" s="4" t="inlineStr">
        <is>
          <t>Expense</t>
        </is>
      </c>
      <c r="H3195" s="12" t="n">
        <v>45925</v>
      </c>
      <c r="I3195" s="13" t="n">
        <v>0.7427314814814815</v>
      </c>
      <c r="J3195" s="14" t="n">
        <v>45925.74273148148</v>
      </c>
      <c r="K3195" s="15" t="n">
        <v>10473.87</v>
      </c>
      <c r="L3195" s="4" t="inlineStr">
        <is>
          <t>INR</t>
        </is>
      </c>
      <c r="M3195" s="15" t="n">
        <v>-10473.87</v>
      </c>
      <c r="N3195" s="4" t="inlineStr">
        <is>
          <t>IOS Meera</t>
        </is>
      </c>
      <c r="O3195" s="4" t="n">
        <v>3</v>
      </c>
      <c r="P3195" s="4" t="inlineStr">
        <is>
          <t>EQUAL</t>
        </is>
      </c>
      <c r="Q3195" s="4" t="inlineStr">
        <is>
          <t>MAESTRO-IOS-GROUP-HOUSE_PARTY-3194 | Drinks | 10473.87</t>
        </is>
      </c>
      <c r="R3195" s="4" t="inlineStr">
        <is>
          <t>iPhone</t>
        </is>
      </c>
      <c r="S3195" s="4" t="inlineStr">
        <is>
          <t>B64</t>
        </is>
      </c>
      <c r="T3195" s="4" t="inlineStr">
        <is>
          <t>STRESS_3001_3500</t>
        </is>
      </c>
      <c r="U3195" s="4" t="inlineStr">
        <is>
          <t>CREATED</t>
        </is>
      </c>
      <c r="V3195" s="4" t="inlineStr">
        <is>
          <t>idem-20260902-ios-3194</t>
        </is>
      </c>
    </row>
    <row r="3196" ht="30" customHeight="1">
      <c r="A3196" s="4" t="n">
        <v>3195</v>
      </c>
      <c r="B3196" s="4" t="inlineStr">
        <is>
          <t>MTR-IOS-3195</t>
        </is>
      </c>
      <c r="C3196" s="4" t="inlineStr">
        <is>
          <t>Business</t>
        </is>
      </c>
      <c r="D3196" s="4" t="inlineStr">
        <is>
          <t>Business</t>
        </is>
      </c>
      <c r="E3196" s="4" t="inlineStr">
        <is>
          <t>Business Operations</t>
        </is>
      </c>
      <c r="F3196" s="4" t="inlineStr">
        <is>
          <t>Rent</t>
        </is>
      </c>
      <c r="G3196" s="4" t="inlineStr">
        <is>
          <t>Expense</t>
        </is>
      </c>
      <c r="H3196" s="12" t="n">
        <v>46238</v>
      </c>
      <c r="I3196" s="13" t="n">
        <v>0.3109375</v>
      </c>
      <c r="J3196" s="14" t="n">
        <v>46238.3109375</v>
      </c>
      <c r="K3196" s="15" t="n">
        <v>108037.35</v>
      </c>
      <c r="L3196" s="4" t="inlineStr">
        <is>
          <t>INR</t>
        </is>
      </c>
      <c r="M3196" s="15" t="n">
        <v>-108037.35</v>
      </c>
      <c r="N3196" s="4" t="inlineStr">
        <is>
          <t>IOS Owner</t>
        </is>
      </c>
      <c r="O3196" s="4" t="n"/>
      <c r="P3196" s="4" t="n"/>
      <c r="Q3196" s="4" t="inlineStr">
        <is>
          <t>MAESTRO-IOS-BUSINESS-BUSINESS_OPERATIONS-3195 | Rent | 108037.35</t>
        </is>
      </c>
      <c r="R3196" s="4" t="inlineStr">
        <is>
          <t>iPhone</t>
        </is>
      </c>
      <c r="S3196" s="4" t="inlineStr">
        <is>
          <t>B64</t>
        </is>
      </c>
      <c r="T3196" s="4" t="inlineStr">
        <is>
          <t>STRESS_3001_3500</t>
        </is>
      </c>
      <c r="U3196" s="4" t="inlineStr">
        <is>
          <t>CREATED</t>
        </is>
      </c>
      <c r="V3196" s="4" t="inlineStr">
        <is>
          <t>idem-20260902-ios-3195</t>
        </is>
      </c>
    </row>
    <row r="3197" ht="30" customHeight="1">
      <c r="A3197" s="4" t="n">
        <v>3196</v>
      </c>
      <c r="B3197" s="4" t="inlineStr">
        <is>
          <t>MTR-IOS-3196</t>
        </is>
      </c>
      <c r="C3197" s="4" t="inlineStr">
        <is>
          <t>Personal</t>
        </is>
      </c>
      <c r="D3197" s="4" t="inlineStr">
        <is>
          <t>Personal</t>
        </is>
      </c>
      <c r="E3197" s="4" t="inlineStr">
        <is>
          <t>Future Building</t>
        </is>
      </c>
      <c r="F3197" s="4" t="inlineStr">
        <is>
          <t>Savings</t>
        </is>
      </c>
      <c r="G3197" s="4" t="inlineStr">
        <is>
          <t>Transfer</t>
        </is>
      </c>
      <c r="H3197" s="12" t="n">
        <v>46198</v>
      </c>
      <c r="I3197" s="13" t="n">
        <v>0.6521412037037037</v>
      </c>
      <c r="J3197" s="14" t="n">
        <v>46198.6521412037</v>
      </c>
      <c r="K3197" s="15" t="n">
        <v>8953.07</v>
      </c>
      <c r="L3197" s="4" t="inlineStr">
        <is>
          <t>INR</t>
        </is>
      </c>
      <c r="M3197" s="15" t="n">
        <v>0</v>
      </c>
      <c r="N3197" s="4" t="inlineStr">
        <is>
          <t>IOS Owner</t>
        </is>
      </c>
      <c r="O3197" s="4" t="n"/>
      <c r="P3197" s="4" t="n"/>
      <c r="Q3197" s="4" t="inlineStr">
        <is>
          <t>MAESTRO-IOS-PERSONAL-FUTURE_BUILDING-3196 | Savings | 8953.07</t>
        </is>
      </c>
      <c r="R3197" s="4" t="inlineStr">
        <is>
          <t>iPhone</t>
        </is>
      </c>
      <c r="S3197" s="4" t="inlineStr">
        <is>
          <t>B64</t>
        </is>
      </c>
      <c r="T3197" s="4" t="inlineStr">
        <is>
          <t>STRESS_3001_3500</t>
        </is>
      </c>
      <c r="U3197" s="4" t="inlineStr">
        <is>
          <t>CREATED</t>
        </is>
      </c>
      <c r="V3197" s="4" t="inlineStr">
        <is>
          <t>idem-20260902-ios-3196</t>
        </is>
      </c>
    </row>
    <row r="3198" ht="30" customHeight="1">
      <c r="A3198" s="4" t="n">
        <v>3197</v>
      </c>
      <c r="B3198" s="4" t="inlineStr">
        <is>
          <t>MTR-IOS-3197</t>
        </is>
      </c>
      <c r="C3198" s="4" t="inlineStr">
        <is>
          <t>Group</t>
        </is>
      </c>
      <c r="D3198" s="4" t="inlineStr">
        <is>
          <t>Shared Experience</t>
        </is>
      </c>
      <c r="E3198" s="4" t="inlineStr">
        <is>
          <t>House Party</t>
        </is>
      </c>
      <c r="F3198" s="4" t="inlineStr">
        <is>
          <t>Decor</t>
        </is>
      </c>
      <c r="G3198" s="4" t="inlineStr">
        <is>
          <t>Expense</t>
        </is>
      </c>
      <c r="H3198" s="12" t="n">
        <v>46023</v>
      </c>
      <c r="I3198" s="13" t="n">
        <v>0.356087962962963</v>
      </c>
      <c r="J3198" s="14" t="n">
        <v>46023.35608796297</v>
      </c>
      <c r="K3198" s="15" t="n">
        <v>20535.35</v>
      </c>
      <c r="L3198" s="4" t="inlineStr">
        <is>
          <t>INR</t>
        </is>
      </c>
      <c r="M3198" s="15" t="n">
        <v>-20535.35</v>
      </c>
      <c r="N3198" s="4" t="inlineStr">
        <is>
          <t>IOS Owner</t>
        </is>
      </c>
      <c r="O3198" s="4" t="n">
        <v>3</v>
      </c>
      <c r="P3198" s="4" t="inlineStr">
        <is>
          <t>PERCENTAGE</t>
        </is>
      </c>
      <c r="Q3198" s="4" t="inlineStr">
        <is>
          <t>MAESTRO-IOS-GROUP-HOUSE_PARTY-3197 | Decor | 20535.35</t>
        </is>
      </c>
      <c r="R3198" s="4" t="inlineStr">
        <is>
          <t>iPhone</t>
        </is>
      </c>
      <c r="S3198" s="4" t="inlineStr">
        <is>
          <t>B64</t>
        </is>
      </c>
      <c r="T3198" s="4" t="inlineStr">
        <is>
          <t>STRESS_3001_3500</t>
        </is>
      </c>
      <c r="U3198" s="4" t="inlineStr">
        <is>
          <t>CREATED</t>
        </is>
      </c>
      <c r="V3198" s="4" t="inlineStr">
        <is>
          <t>idem-20260902-ios-3197</t>
        </is>
      </c>
    </row>
    <row r="3199" ht="30" customHeight="1">
      <c r="A3199" s="4" t="n">
        <v>3198</v>
      </c>
      <c r="B3199" s="4" t="inlineStr">
        <is>
          <t>MTR-IOS-3198</t>
        </is>
      </c>
      <c r="C3199" s="4" t="inlineStr">
        <is>
          <t>Business</t>
        </is>
      </c>
      <c r="D3199" s="4" t="inlineStr">
        <is>
          <t>Business</t>
        </is>
      </c>
      <c r="E3199" s="4" t="inlineStr">
        <is>
          <t>Business Operations</t>
        </is>
      </c>
      <c r="F3199" s="4" t="inlineStr">
        <is>
          <t>Marketing</t>
        </is>
      </c>
      <c r="G3199" s="4" t="inlineStr">
        <is>
          <t>Expense</t>
        </is>
      </c>
      <c r="H3199" s="12" t="n">
        <v>46165</v>
      </c>
      <c r="I3199" s="13" t="n">
        <v>0.8822569444444445</v>
      </c>
      <c r="J3199" s="14" t="n">
        <v>46165.88225694445</v>
      </c>
      <c r="K3199" s="15" t="n">
        <v>119236.68</v>
      </c>
      <c r="L3199" s="4" t="inlineStr">
        <is>
          <t>INR</t>
        </is>
      </c>
      <c r="M3199" s="15" t="n">
        <v>-119236.68</v>
      </c>
      <c r="N3199" s="4" t="inlineStr">
        <is>
          <t>IOS Owner</t>
        </is>
      </c>
      <c r="O3199" s="4" t="n"/>
      <c r="P3199" s="4" t="n"/>
      <c r="Q3199" s="4" t="inlineStr">
        <is>
          <t>MAESTRO-IOS-BUSINESS-BUSINESS_OPERATIONS-3198 | Marketing | 119236.68</t>
        </is>
      </c>
      <c r="R3199" s="4" t="inlineStr">
        <is>
          <t>iPhone</t>
        </is>
      </c>
      <c r="S3199" s="4" t="inlineStr">
        <is>
          <t>B64</t>
        </is>
      </c>
      <c r="T3199" s="4" t="inlineStr">
        <is>
          <t>STRESS_3001_3500</t>
        </is>
      </c>
      <c r="U3199" s="4" t="inlineStr">
        <is>
          <t>CREATED</t>
        </is>
      </c>
      <c r="V3199" s="4" t="inlineStr">
        <is>
          <t>idem-20260902-ios-3198</t>
        </is>
      </c>
    </row>
    <row r="3200" ht="30" customHeight="1">
      <c r="A3200" s="4" t="n">
        <v>3199</v>
      </c>
      <c r="B3200" s="4" t="inlineStr">
        <is>
          <t>MTR-IOS-3199</t>
        </is>
      </c>
      <c r="C3200" s="4" t="inlineStr">
        <is>
          <t>Personal</t>
        </is>
      </c>
      <c r="D3200" s="4" t="inlineStr">
        <is>
          <t>Personal</t>
        </is>
      </c>
      <c r="E3200" s="4" t="inlineStr">
        <is>
          <t>Future Building</t>
        </is>
      </c>
      <c r="F3200" s="4" t="inlineStr">
        <is>
          <t>Emergency Fund</t>
        </is>
      </c>
      <c r="G3200" s="4" t="inlineStr">
        <is>
          <t>Transfer</t>
        </is>
      </c>
      <c r="H3200" s="12" t="n">
        <v>45974</v>
      </c>
      <c r="I3200" s="13" t="n">
        <v>0.4282638888888889</v>
      </c>
      <c r="J3200" s="14" t="n">
        <v>45974.42826388889</v>
      </c>
      <c r="K3200" s="15" t="n">
        <v>16784.31</v>
      </c>
      <c r="L3200" s="4" t="inlineStr">
        <is>
          <t>INR</t>
        </is>
      </c>
      <c r="M3200" s="15" t="n">
        <v>0</v>
      </c>
      <c r="N3200" s="4" t="inlineStr">
        <is>
          <t>IOS Owner</t>
        </is>
      </c>
      <c r="O3200" s="4" t="n"/>
      <c r="P3200" s="4" t="n"/>
      <c r="Q3200" s="4" t="inlineStr">
        <is>
          <t>MAESTRO-IOS-PERSONAL-FUTURE_BUILDING-3199 | Emergency Fund | 16784.31</t>
        </is>
      </c>
      <c r="R3200" s="4" t="inlineStr">
        <is>
          <t>iPhone</t>
        </is>
      </c>
      <c r="S3200" s="4" t="inlineStr">
        <is>
          <t>B64</t>
        </is>
      </c>
      <c r="T3200" s="4" t="inlineStr">
        <is>
          <t>STRESS_3001_3500</t>
        </is>
      </c>
      <c r="U3200" s="4" t="inlineStr">
        <is>
          <t>CREATED</t>
        </is>
      </c>
      <c r="V3200" s="4" t="inlineStr">
        <is>
          <t>idem-20260902-ios-3199</t>
        </is>
      </c>
    </row>
    <row r="3201" ht="30" customHeight="1">
      <c r="A3201" s="4" t="n">
        <v>3200</v>
      </c>
      <c r="B3201" s="4" t="inlineStr">
        <is>
          <t>MTR-IOS-3200</t>
        </is>
      </c>
      <c r="C3201" s="4" t="inlineStr">
        <is>
          <t>Group</t>
        </is>
      </c>
      <c r="D3201" s="4" t="inlineStr">
        <is>
          <t>Shared Experience</t>
        </is>
      </c>
      <c r="E3201" s="4" t="inlineStr">
        <is>
          <t>House Party</t>
        </is>
      </c>
      <c r="F3201" s="4" t="inlineStr">
        <is>
          <t>Supplies</t>
        </is>
      </c>
      <c r="G3201" s="4" t="inlineStr">
        <is>
          <t>Expense</t>
        </is>
      </c>
      <c r="H3201" s="12" t="n">
        <v>45940</v>
      </c>
      <c r="I3201" s="13" t="n">
        <v>0.7271296296296297</v>
      </c>
      <c r="J3201" s="14" t="n">
        <v>45940.72712962963</v>
      </c>
      <c r="K3201" s="15" t="n">
        <v>24317.49</v>
      </c>
      <c r="L3201" s="4" t="inlineStr">
        <is>
          <t>INR</t>
        </is>
      </c>
      <c r="M3201" s="15" t="n">
        <v>-24317.49</v>
      </c>
      <c r="N3201" s="4" t="inlineStr">
        <is>
          <t>IOS Aarav</t>
        </is>
      </c>
      <c r="O3201" s="4" t="n">
        <v>3</v>
      </c>
      <c r="P3201" s="4" t="inlineStr">
        <is>
          <t>EXACT</t>
        </is>
      </c>
      <c r="Q3201" s="4" t="inlineStr">
        <is>
          <t>MAESTRO-IOS-GROUP-HOUSE_PARTY-3200 | Supplies | 24317.49</t>
        </is>
      </c>
      <c r="R3201" s="4" t="inlineStr">
        <is>
          <t>iPhone</t>
        </is>
      </c>
      <c r="S3201" s="4" t="inlineStr">
        <is>
          <t>B64</t>
        </is>
      </c>
      <c r="T3201" s="4" t="inlineStr">
        <is>
          <t>STRESS_3001_3500</t>
        </is>
      </c>
      <c r="U3201" s="4" t="inlineStr">
        <is>
          <t>CREATED</t>
        </is>
      </c>
      <c r="V3201" s="4" t="inlineStr">
        <is>
          <t>idem-20260902-ios-3200</t>
        </is>
      </c>
    </row>
    <row r="3202" ht="30" customHeight="1">
      <c r="A3202" s="4" t="n">
        <v>3201</v>
      </c>
      <c r="B3202" s="4" t="inlineStr">
        <is>
          <t>MTR-IOS-3201</t>
        </is>
      </c>
      <c r="C3202" s="4" t="inlineStr">
        <is>
          <t>Business</t>
        </is>
      </c>
      <c r="D3202" s="4" t="inlineStr">
        <is>
          <t>Business</t>
        </is>
      </c>
      <c r="E3202" s="4" t="inlineStr">
        <is>
          <t>Business Operations</t>
        </is>
      </c>
      <c r="F3202" s="4" t="inlineStr">
        <is>
          <t>Legal</t>
        </is>
      </c>
      <c r="G3202" s="4" t="inlineStr">
        <is>
          <t>Expense</t>
        </is>
      </c>
      <c r="H3202" s="12" t="n">
        <v>46090</v>
      </c>
      <c r="I3202" s="13" t="n">
        <v>0.4249537037037037</v>
      </c>
      <c r="J3202" s="14" t="n">
        <v>46090.4249537037</v>
      </c>
      <c r="K3202" s="15" t="n">
        <v>114592.74</v>
      </c>
      <c r="L3202" s="4" t="inlineStr">
        <is>
          <t>INR</t>
        </is>
      </c>
      <c r="M3202" s="15" t="n">
        <v>-114592.74</v>
      </c>
      <c r="N3202" s="4" t="inlineStr">
        <is>
          <t>IOS Owner</t>
        </is>
      </c>
      <c r="O3202" s="4" t="n"/>
      <c r="P3202" s="4" t="n"/>
      <c r="Q3202" s="4" t="inlineStr">
        <is>
          <t>MAESTRO-IOS-BUSINESS-BUSINESS_OPERATIONS-3201 | Legal | 114592.74</t>
        </is>
      </c>
      <c r="R3202" s="4" t="inlineStr">
        <is>
          <t>iPhone</t>
        </is>
      </c>
      <c r="S3202" s="4" t="inlineStr">
        <is>
          <t>B65</t>
        </is>
      </c>
      <c r="T3202" s="4" t="inlineStr">
        <is>
          <t>STRESS_3001_3500</t>
        </is>
      </c>
      <c r="U3202" s="4" t="inlineStr">
        <is>
          <t>CREATED</t>
        </is>
      </c>
      <c r="V3202" s="4" t="inlineStr">
        <is>
          <t>idem-20260902-ios-3201</t>
        </is>
      </c>
    </row>
    <row r="3203" ht="30" customHeight="1">
      <c r="A3203" s="4" t="n">
        <v>3202</v>
      </c>
      <c r="B3203" s="4" t="inlineStr">
        <is>
          <t>MTR-IOS-3202</t>
        </is>
      </c>
      <c r="C3203" s="4" t="inlineStr">
        <is>
          <t>Personal</t>
        </is>
      </c>
      <c r="D3203" s="4" t="inlineStr">
        <is>
          <t>Personal</t>
        </is>
      </c>
      <c r="E3203" s="4" t="inlineStr">
        <is>
          <t>Future Building</t>
        </is>
      </c>
      <c r="F3203" s="4" t="inlineStr">
        <is>
          <t>Investments</t>
        </is>
      </c>
      <c r="G3203" s="4" t="inlineStr">
        <is>
          <t>Investment</t>
        </is>
      </c>
      <c r="H3203" s="12" t="n">
        <v>45923</v>
      </c>
      <c r="I3203" s="13" t="n">
        <v>0.08202546296296297</v>
      </c>
      <c r="J3203" s="14" t="n">
        <v>45923.08202546297</v>
      </c>
      <c r="K3203" s="15" t="n">
        <v>14389.91</v>
      </c>
      <c r="L3203" s="4" t="inlineStr">
        <is>
          <t>INR</t>
        </is>
      </c>
      <c r="M3203" s="15" t="n">
        <v>0</v>
      </c>
      <c r="N3203" s="4" t="inlineStr">
        <is>
          <t>IOS Owner</t>
        </is>
      </c>
      <c r="O3203" s="4" t="n"/>
      <c r="P3203" s="4" t="n"/>
      <c r="Q3203" s="4" t="inlineStr">
        <is>
          <t>MAESTRO-IOS-PERSONAL-FUTURE_BUILDING-3202 | Investments | 14389.91</t>
        </is>
      </c>
      <c r="R3203" s="4" t="inlineStr">
        <is>
          <t>iPhone</t>
        </is>
      </c>
      <c r="S3203" s="4" t="inlineStr">
        <is>
          <t>B65</t>
        </is>
      </c>
      <c r="T3203" s="4" t="inlineStr">
        <is>
          <t>STRESS_3001_3500</t>
        </is>
      </c>
      <c r="U3203" s="4" t="inlineStr">
        <is>
          <t>CREATED</t>
        </is>
      </c>
      <c r="V3203" s="4" t="inlineStr">
        <is>
          <t>idem-20260902-ios-3202</t>
        </is>
      </c>
    </row>
    <row r="3204" ht="30" customHeight="1">
      <c r="A3204" s="4" t="n">
        <v>3203</v>
      </c>
      <c r="B3204" s="4" t="inlineStr">
        <is>
          <t>MTR-IOS-3203</t>
        </is>
      </c>
      <c r="C3204" s="4" t="inlineStr">
        <is>
          <t>Group</t>
        </is>
      </c>
      <c r="D3204" s="4" t="inlineStr">
        <is>
          <t>Shared Experience</t>
        </is>
      </c>
      <c r="E3204" s="4" t="inlineStr">
        <is>
          <t>House Party</t>
        </is>
      </c>
      <c r="F3204" s="4" t="inlineStr">
        <is>
          <t>Other</t>
        </is>
      </c>
      <c r="G3204" s="4" t="inlineStr">
        <is>
          <t>Expense</t>
        </is>
      </c>
      <c r="H3204" s="12" t="n">
        <v>45953</v>
      </c>
      <c r="I3204" s="13" t="n">
        <v>0.9782175925925926</v>
      </c>
      <c r="J3204" s="14" t="n">
        <v>45953.97821759259</v>
      </c>
      <c r="K3204" s="15" t="n">
        <v>23843.6</v>
      </c>
      <c r="L3204" s="4" t="inlineStr">
        <is>
          <t>INR</t>
        </is>
      </c>
      <c r="M3204" s="15" t="n">
        <v>-23843.6</v>
      </c>
      <c r="N3204" s="4" t="inlineStr">
        <is>
          <t>IOS Meera</t>
        </is>
      </c>
      <c r="O3204" s="4" t="n">
        <v>3</v>
      </c>
      <c r="P3204" s="4" t="inlineStr">
        <is>
          <t>SHARES</t>
        </is>
      </c>
      <c r="Q3204" s="4" t="inlineStr">
        <is>
          <t>MAESTRO-IOS-GROUP-HOUSE_PARTY-3203 | Other | 23843.60</t>
        </is>
      </c>
      <c r="R3204" s="4" t="inlineStr">
        <is>
          <t>iPhone</t>
        </is>
      </c>
      <c r="S3204" s="4" t="inlineStr">
        <is>
          <t>B65</t>
        </is>
      </c>
      <c r="T3204" s="4" t="inlineStr">
        <is>
          <t>STRESS_3001_3500</t>
        </is>
      </c>
      <c r="U3204" s="4" t="inlineStr">
        <is>
          <t>CREATED</t>
        </is>
      </c>
      <c r="V3204" s="4" t="inlineStr">
        <is>
          <t>idem-20260902-ios-3203</t>
        </is>
      </c>
    </row>
    <row r="3205" ht="30" customHeight="1">
      <c r="A3205" s="4" t="n">
        <v>3204</v>
      </c>
      <c r="B3205" s="4" t="inlineStr">
        <is>
          <t>MTR-IOS-3204</t>
        </is>
      </c>
      <c r="C3205" s="4" t="inlineStr">
        <is>
          <t>Business</t>
        </is>
      </c>
      <c r="D3205" s="4" t="inlineStr">
        <is>
          <t>Business</t>
        </is>
      </c>
      <c r="E3205" s="4" t="inlineStr">
        <is>
          <t>Business Operations</t>
        </is>
      </c>
      <c r="F3205" s="4" t="inlineStr">
        <is>
          <t>Accounting</t>
        </is>
      </c>
      <c r="G3205" s="4" t="inlineStr">
        <is>
          <t>Expense</t>
        </is>
      </c>
      <c r="H3205" s="12" t="n">
        <v>45935</v>
      </c>
      <c r="I3205" s="13" t="n">
        <v>0.9180555555555555</v>
      </c>
      <c r="J3205" s="14" t="n">
        <v>45935.91805555556</v>
      </c>
      <c r="K3205" s="15" t="n">
        <v>146195.66</v>
      </c>
      <c r="L3205" s="4" t="inlineStr">
        <is>
          <t>INR</t>
        </is>
      </c>
      <c r="M3205" s="15" t="n">
        <v>-146195.66</v>
      </c>
      <c r="N3205" s="4" t="inlineStr">
        <is>
          <t>IOS Owner</t>
        </is>
      </c>
      <c r="O3205" s="4" t="n"/>
      <c r="P3205" s="4" t="n"/>
      <c r="Q3205" s="4" t="inlineStr">
        <is>
          <t>MAESTRO-IOS-BUSINESS-BUSINESS_OPERATIONS-3204 | Accounting | 146195.66</t>
        </is>
      </c>
      <c r="R3205" s="4" t="inlineStr">
        <is>
          <t>iPhone</t>
        </is>
      </c>
      <c r="S3205" s="4" t="inlineStr">
        <is>
          <t>B65</t>
        </is>
      </c>
      <c r="T3205" s="4" t="inlineStr">
        <is>
          <t>STRESS_3001_3500</t>
        </is>
      </c>
      <c r="U3205" s="4" t="inlineStr">
        <is>
          <t>CREATED</t>
        </is>
      </c>
      <c r="V3205" s="4" t="inlineStr">
        <is>
          <t>idem-20260902-ios-3204</t>
        </is>
      </c>
    </row>
    <row r="3206" ht="30" customHeight="1">
      <c r="A3206" s="4" t="n">
        <v>3205</v>
      </c>
      <c r="B3206" s="4" t="inlineStr">
        <is>
          <t>MTR-IOS-3205</t>
        </is>
      </c>
      <c r="C3206" s="4" t="inlineStr">
        <is>
          <t>Personal</t>
        </is>
      </c>
      <c r="D3206" s="4" t="inlineStr">
        <is>
          <t>Personal</t>
        </is>
      </c>
      <c r="E3206" s="4" t="inlineStr">
        <is>
          <t>Future Building</t>
        </is>
      </c>
      <c r="F3206" s="4" t="inlineStr">
        <is>
          <t>Education</t>
        </is>
      </c>
      <c r="G3206" s="4" t="inlineStr">
        <is>
          <t>Expense</t>
        </is>
      </c>
      <c r="H3206" s="12" t="n">
        <v>46032</v>
      </c>
      <c r="I3206" s="13" t="n">
        <v>0.02331018518518518</v>
      </c>
      <c r="J3206" s="14" t="n">
        <v>46032.02331018518</v>
      </c>
      <c r="K3206" s="15" t="n">
        <v>3681.56</v>
      </c>
      <c r="L3206" s="4" t="inlineStr">
        <is>
          <t>INR</t>
        </is>
      </c>
      <c r="M3206" s="15" t="n">
        <v>-3681.56</v>
      </c>
      <c r="N3206" s="4" t="inlineStr">
        <is>
          <t>IOS Owner</t>
        </is>
      </c>
      <c r="O3206" s="4" t="n"/>
      <c r="P3206" s="4" t="n"/>
      <c r="Q3206" s="4" t="inlineStr">
        <is>
          <t>MAESTRO-IOS-PERSONAL-FUTURE_BUILDING-3205 | Education | 3681.56</t>
        </is>
      </c>
      <c r="R3206" s="4" t="inlineStr">
        <is>
          <t>iPhone</t>
        </is>
      </c>
      <c r="S3206" s="4" t="inlineStr">
        <is>
          <t>B65</t>
        </is>
      </c>
      <c r="T3206" s="4" t="inlineStr">
        <is>
          <t>STRESS_3001_3500</t>
        </is>
      </c>
      <c r="U3206" s="4" t="inlineStr">
        <is>
          <t>CREATED</t>
        </is>
      </c>
      <c r="V3206" s="4" t="inlineStr">
        <is>
          <t>idem-20260902-ios-3205</t>
        </is>
      </c>
    </row>
    <row r="3207" ht="30" customHeight="1">
      <c r="A3207" s="4" t="n">
        <v>3206</v>
      </c>
      <c r="B3207" s="4" t="inlineStr">
        <is>
          <t>MTR-IOS-3206</t>
        </is>
      </c>
      <c r="C3207" s="4" t="inlineStr">
        <is>
          <t>Group</t>
        </is>
      </c>
      <c r="D3207" s="4" t="inlineStr">
        <is>
          <t>Shared Purchase</t>
        </is>
      </c>
      <c r="E3207" s="4" t="inlineStr">
        <is>
          <t>Gift Pool</t>
        </is>
      </c>
      <c r="F3207" s="4" t="inlineStr">
        <is>
          <t>Contribution</t>
        </is>
      </c>
      <c r="G3207" s="4" t="inlineStr">
        <is>
          <t>Contribution</t>
        </is>
      </c>
      <c r="H3207" s="12" t="n">
        <v>46174</v>
      </c>
      <c r="I3207" s="13" t="n">
        <v>0.5970833333333333</v>
      </c>
      <c r="J3207" s="14" t="n">
        <v>46174.59708333333</v>
      </c>
      <c r="K3207" s="15" t="n">
        <v>4792.7</v>
      </c>
      <c r="L3207" s="4" t="inlineStr">
        <is>
          <t>INR</t>
        </is>
      </c>
      <c r="M3207" s="15" t="n">
        <v>4792.7</v>
      </c>
      <c r="N3207" s="4" t="inlineStr">
        <is>
          <t>IOS Owner</t>
        </is>
      </c>
      <c r="O3207" s="4" t="n">
        <v>3</v>
      </c>
      <c r="P3207" s="4" t="inlineStr">
        <is>
          <t>EQUAL</t>
        </is>
      </c>
      <c r="Q3207" s="4" t="inlineStr">
        <is>
          <t>MAESTRO-IOS-GROUP-GIFT_POOL-3206 | Contribution | 4792.70</t>
        </is>
      </c>
      <c r="R3207" s="4" t="inlineStr">
        <is>
          <t>iPhone</t>
        </is>
      </c>
      <c r="S3207" s="4" t="inlineStr">
        <is>
          <t>B65</t>
        </is>
      </c>
      <c r="T3207" s="4" t="inlineStr">
        <is>
          <t>STRESS_3001_3500</t>
        </is>
      </c>
      <c r="U3207" s="4" t="inlineStr">
        <is>
          <t>CREATED</t>
        </is>
      </c>
      <c r="V3207" s="4" t="inlineStr">
        <is>
          <t>idem-20260902-ios-3206</t>
        </is>
      </c>
    </row>
    <row r="3208" ht="30" customHeight="1">
      <c r="A3208" s="4" t="n">
        <v>3207</v>
      </c>
      <c r="B3208" s="4" t="inlineStr">
        <is>
          <t>MTR-IOS-3207</t>
        </is>
      </c>
      <c r="C3208" s="4" t="inlineStr">
        <is>
          <t>Business</t>
        </is>
      </c>
      <c r="D3208" s="4" t="inlineStr">
        <is>
          <t>Business</t>
        </is>
      </c>
      <c r="E3208" s="4" t="inlineStr">
        <is>
          <t>Business Operations</t>
        </is>
      </c>
      <c r="F3208" s="4" t="inlineStr">
        <is>
          <t>Equipment</t>
        </is>
      </c>
      <c r="G3208" s="4" t="inlineStr">
        <is>
          <t>Expense</t>
        </is>
      </c>
      <c r="H3208" s="12" t="n">
        <v>46192</v>
      </c>
      <c r="I3208" s="13" t="n">
        <v>0.9305787037037037</v>
      </c>
      <c r="J3208" s="14" t="n">
        <v>46192.9305787037</v>
      </c>
      <c r="K3208" s="15" t="n">
        <v>148837.8</v>
      </c>
      <c r="L3208" s="4" t="inlineStr">
        <is>
          <t>INR</t>
        </is>
      </c>
      <c r="M3208" s="15" t="n">
        <v>-148837.8</v>
      </c>
      <c r="N3208" s="4" t="inlineStr">
        <is>
          <t>IOS Owner</t>
        </is>
      </c>
      <c r="O3208" s="4" t="n"/>
      <c r="P3208" s="4" t="n"/>
      <c r="Q3208" s="4" t="inlineStr">
        <is>
          <t>MAESTRO-IOS-BUSINESS-BUSINESS_OPERATIONS-3207 | Equipment | 148837.80</t>
        </is>
      </c>
      <c r="R3208" s="4" t="inlineStr">
        <is>
          <t>iPhone</t>
        </is>
      </c>
      <c r="S3208" s="4" t="inlineStr">
        <is>
          <t>B65</t>
        </is>
      </c>
      <c r="T3208" s="4" t="inlineStr">
        <is>
          <t>STRESS_3001_3500</t>
        </is>
      </c>
      <c r="U3208" s="4" t="inlineStr">
        <is>
          <t>CREATED</t>
        </is>
      </c>
      <c r="V3208" s="4" t="inlineStr">
        <is>
          <t>idem-20260902-ios-3207</t>
        </is>
      </c>
    </row>
    <row r="3209" ht="30" customHeight="1">
      <c r="A3209" s="4" t="n">
        <v>3208</v>
      </c>
      <c r="B3209" s="4" t="inlineStr">
        <is>
          <t>MTR-IOS-3208</t>
        </is>
      </c>
      <c r="C3209" s="4" t="inlineStr">
        <is>
          <t>Personal</t>
        </is>
      </c>
      <c r="D3209" s="4" t="inlineStr">
        <is>
          <t>Personal</t>
        </is>
      </c>
      <c r="E3209" s="4" t="inlineStr">
        <is>
          <t>Future Building</t>
        </is>
      </c>
      <c r="F3209" s="4" t="inlineStr">
        <is>
          <t>Goal Contribution</t>
        </is>
      </c>
      <c r="G3209" s="4" t="inlineStr">
        <is>
          <t>Transfer</t>
        </is>
      </c>
      <c r="H3209" s="12" t="n">
        <v>45968</v>
      </c>
      <c r="I3209" s="13" t="n">
        <v>0.05265046296296296</v>
      </c>
      <c r="J3209" s="14" t="n">
        <v>45968.05265046296</v>
      </c>
      <c r="K3209" s="15" t="n">
        <v>16001.35</v>
      </c>
      <c r="L3209" s="4" t="inlineStr">
        <is>
          <t>INR</t>
        </is>
      </c>
      <c r="M3209" s="15" t="n">
        <v>0</v>
      </c>
      <c r="N3209" s="4" t="inlineStr">
        <is>
          <t>IOS Owner</t>
        </is>
      </c>
      <c r="O3209" s="4" t="n"/>
      <c r="P3209" s="4" t="n"/>
      <c r="Q3209" s="4" t="inlineStr">
        <is>
          <t>MAESTRO-IOS-PERSONAL-FUTURE_BUILDING-3208 | Goal Contribution | 16001.35</t>
        </is>
      </c>
      <c r="R3209" s="4" t="inlineStr">
        <is>
          <t>iPhone</t>
        </is>
      </c>
      <c r="S3209" s="4" t="inlineStr">
        <is>
          <t>B65</t>
        </is>
      </c>
      <c r="T3209" s="4" t="inlineStr">
        <is>
          <t>STRESS_3001_3500</t>
        </is>
      </c>
      <c r="U3209" s="4" t="inlineStr">
        <is>
          <t>CREATED</t>
        </is>
      </c>
      <c r="V3209" s="4" t="inlineStr">
        <is>
          <t>idem-20260902-ios-3208</t>
        </is>
      </c>
    </row>
    <row r="3210" ht="30" customHeight="1">
      <c r="A3210" s="4" t="n">
        <v>3209</v>
      </c>
      <c r="B3210" s="4" t="inlineStr">
        <is>
          <t>MTR-IOS-3209</t>
        </is>
      </c>
      <c r="C3210" s="4" t="inlineStr">
        <is>
          <t>Group</t>
        </is>
      </c>
      <c r="D3210" s="4" t="inlineStr">
        <is>
          <t>Shared Purchase</t>
        </is>
      </c>
      <c r="E3210" s="4" t="inlineStr">
        <is>
          <t>Gift Pool</t>
        </is>
      </c>
      <c r="F3210" s="4" t="inlineStr">
        <is>
          <t>Gift Purchase</t>
        </is>
      </c>
      <c r="G3210" s="4" t="inlineStr">
        <is>
          <t>Expense</t>
        </is>
      </c>
      <c r="H3210" s="12" t="n">
        <v>45966</v>
      </c>
      <c r="I3210" s="13" t="n">
        <v>0.6779513888888888</v>
      </c>
      <c r="J3210" s="14" t="n">
        <v>45966.67795138889</v>
      </c>
      <c r="K3210" s="15" t="n">
        <v>16626.89</v>
      </c>
      <c r="L3210" s="4" t="inlineStr">
        <is>
          <t>INR</t>
        </is>
      </c>
      <c r="M3210" s="15" t="n">
        <v>-16626.89</v>
      </c>
      <c r="N3210" s="4" t="inlineStr">
        <is>
          <t>IOS Aarav</t>
        </is>
      </c>
      <c r="O3210" s="4" t="n">
        <v>3</v>
      </c>
      <c r="P3210" s="4" t="inlineStr">
        <is>
          <t>PERCENTAGE</t>
        </is>
      </c>
      <c r="Q3210" s="4" t="inlineStr">
        <is>
          <t>MAESTRO-IOS-GROUP-GIFT_POOL-3209 | Gift Purchase | 16626.89</t>
        </is>
      </c>
      <c r="R3210" s="4" t="inlineStr">
        <is>
          <t>iPhone</t>
        </is>
      </c>
      <c r="S3210" s="4" t="inlineStr">
        <is>
          <t>B65</t>
        </is>
      </c>
      <c r="T3210" s="4" t="inlineStr">
        <is>
          <t>STRESS_3001_3500</t>
        </is>
      </c>
      <c r="U3210" s="4" t="inlineStr">
        <is>
          <t>CREATED</t>
        </is>
      </c>
      <c r="V3210" s="4" t="inlineStr">
        <is>
          <t>idem-20260902-ios-3209</t>
        </is>
      </c>
    </row>
    <row r="3211" ht="30" customHeight="1">
      <c r="A3211" s="4" t="n">
        <v>3210</v>
      </c>
      <c r="B3211" s="4" t="inlineStr">
        <is>
          <t>MTR-IOS-3210</t>
        </is>
      </c>
      <c r="C3211" s="4" t="inlineStr">
        <is>
          <t>Business</t>
        </is>
      </c>
      <c r="D3211" s="4" t="inlineStr">
        <is>
          <t>Business</t>
        </is>
      </c>
      <c r="E3211" s="4" t="inlineStr">
        <is>
          <t>Business Operations</t>
        </is>
      </c>
      <c r="F3211" s="4" t="inlineStr">
        <is>
          <t>Vendor</t>
        </is>
      </c>
      <c r="G3211" s="4" t="inlineStr">
        <is>
          <t>Expense</t>
        </is>
      </c>
      <c r="H3211" s="12" t="n">
        <v>45937</v>
      </c>
      <c r="I3211" s="13" t="n">
        <v>0.7592245370370371</v>
      </c>
      <c r="J3211" s="14" t="n">
        <v>45937.75922453704</v>
      </c>
      <c r="K3211" s="15" t="n">
        <v>113648.05</v>
      </c>
      <c r="L3211" s="4" t="inlineStr">
        <is>
          <t>INR</t>
        </is>
      </c>
      <c r="M3211" s="15" t="n">
        <v>-113648.05</v>
      </c>
      <c r="N3211" s="4" t="inlineStr">
        <is>
          <t>IOS Owner</t>
        </is>
      </c>
      <c r="O3211" s="4" t="n"/>
      <c r="P3211" s="4" t="n"/>
      <c r="Q3211" s="4" t="inlineStr">
        <is>
          <t>MAESTRO-IOS-BUSINESS-BUSINESS_OPERATIONS-3210 | Vendor | 113648.05</t>
        </is>
      </c>
      <c r="R3211" s="4" t="inlineStr">
        <is>
          <t>iPhone</t>
        </is>
      </c>
      <c r="S3211" s="4" t="inlineStr">
        <is>
          <t>B65</t>
        </is>
      </c>
      <c r="T3211" s="4" t="inlineStr">
        <is>
          <t>STRESS_3001_3500</t>
        </is>
      </c>
      <c r="U3211" s="4" t="inlineStr">
        <is>
          <t>CREATED</t>
        </is>
      </c>
      <c r="V3211" s="4" t="inlineStr">
        <is>
          <t>idem-20260902-ios-3210</t>
        </is>
      </c>
    </row>
    <row r="3212" ht="30" customHeight="1">
      <c r="A3212" s="4" t="n">
        <v>3211</v>
      </c>
      <c r="B3212" s="4" t="inlineStr">
        <is>
          <t>MTR-IOS-3211</t>
        </is>
      </c>
      <c r="C3212" s="4" t="inlineStr">
        <is>
          <t>Personal</t>
        </is>
      </c>
      <c r="D3212" s="4" t="inlineStr">
        <is>
          <t>Personal</t>
        </is>
      </c>
      <c r="E3212" s="4" t="inlineStr">
        <is>
          <t>Lifestyle</t>
        </is>
      </c>
      <c r="F3212" s="4" t="inlineStr">
        <is>
          <t>Dining</t>
        </is>
      </c>
      <c r="G3212" s="4" t="inlineStr">
        <is>
          <t>Expense</t>
        </is>
      </c>
      <c r="H3212" s="12" t="n">
        <v>46115</v>
      </c>
      <c r="I3212" s="13" t="n">
        <v>0.8027314814814814</v>
      </c>
      <c r="J3212" s="14" t="n">
        <v>46115.80273148148</v>
      </c>
      <c r="K3212" s="15" t="n">
        <v>16244.42</v>
      </c>
      <c r="L3212" s="4" t="inlineStr">
        <is>
          <t>INR</t>
        </is>
      </c>
      <c r="M3212" s="15" t="n">
        <v>-16244.42</v>
      </c>
      <c r="N3212" s="4" t="inlineStr">
        <is>
          <t>IOS Owner</t>
        </is>
      </c>
      <c r="O3212" s="4" t="n"/>
      <c r="P3212" s="4" t="n"/>
      <c r="Q3212" s="4" t="inlineStr">
        <is>
          <t>MAESTRO-IOS-PERSONAL-LIFESTYLE-3211 | Dining | 16244.42</t>
        </is>
      </c>
      <c r="R3212" s="4" t="inlineStr">
        <is>
          <t>iPhone</t>
        </is>
      </c>
      <c r="S3212" s="4" t="inlineStr">
        <is>
          <t>B65</t>
        </is>
      </c>
      <c r="T3212" s="4" t="inlineStr">
        <is>
          <t>STRESS_3001_3500</t>
        </is>
      </c>
      <c r="U3212" s="4" t="inlineStr">
        <is>
          <t>CREATED</t>
        </is>
      </c>
      <c r="V3212" s="4" t="inlineStr">
        <is>
          <t>idem-20260902-ios-3211</t>
        </is>
      </c>
    </row>
    <row r="3213" ht="30" customHeight="1">
      <c r="A3213" s="4" t="n">
        <v>3212</v>
      </c>
      <c r="B3213" s="4" t="inlineStr">
        <is>
          <t>MTR-IOS-3212</t>
        </is>
      </c>
      <c r="C3213" s="4" t="inlineStr">
        <is>
          <t>Group</t>
        </is>
      </c>
      <c r="D3213" s="4" t="inlineStr">
        <is>
          <t>Shared Purchase</t>
        </is>
      </c>
      <c r="E3213" s="4" t="inlineStr">
        <is>
          <t>Gift Pool</t>
        </is>
      </c>
      <c r="F3213" s="4" t="inlineStr">
        <is>
          <t>Delivery</t>
        </is>
      </c>
      <c r="G3213" s="4" t="inlineStr">
        <is>
          <t>Expense</t>
        </is>
      </c>
      <c r="H3213" s="12" t="n">
        <v>46200</v>
      </c>
      <c r="I3213" s="13" t="n">
        <v>0.278599537037037</v>
      </c>
      <c r="J3213" s="14" t="n">
        <v>46200.27859953704</v>
      </c>
      <c r="K3213" s="15" t="n">
        <v>22590.41</v>
      </c>
      <c r="L3213" s="4" t="inlineStr">
        <is>
          <t>INR</t>
        </is>
      </c>
      <c r="M3213" s="15" t="n">
        <v>-22590.41</v>
      </c>
      <c r="N3213" s="4" t="inlineStr">
        <is>
          <t>IOS Meera</t>
        </is>
      </c>
      <c r="O3213" s="4" t="n">
        <v>3</v>
      </c>
      <c r="P3213" s="4" t="inlineStr">
        <is>
          <t>EXACT</t>
        </is>
      </c>
      <c r="Q3213" s="4" t="inlineStr">
        <is>
          <t>MAESTRO-IOS-GROUP-GIFT_POOL-3212 | Delivery | 22590.41</t>
        </is>
      </c>
      <c r="R3213" s="4" t="inlineStr">
        <is>
          <t>iPhone</t>
        </is>
      </c>
      <c r="S3213" s="4" t="inlineStr">
        <is>
          <t>B65</t>
        </is>
      </c>
      <c r="T3213" s="4" t="inlineStr">
        <is>
          <t>STRESS_3001_3500</t>
        </is>
      </c>
      <c r="U3213" s="4" t="inlineStr">
        <is>
          <t>CREATED</t>
        </is>
      </c>
      <c r="V3213" s="4" t="inlineStr">
        <is>
          <t>idem-20260902-ios-3212</t>
        </is>
      </c>
    </row>
    <row r="3214" ht="30" customHeight="1">
      <c r="A3214" s="4" t="n">
        <v>3213</v>
      </c>
      <c r="B3214" s="4" t="inlineStr">
        <is>
          <t>MTR-IOS-3213</t>
        </is>
      </c>
      <c r="C3214" s="4" t="inlineStr">
        <is>
          <t>Business</t>
        </is>
      </c>
      <c r="D3214" s="4" t="inlineStr">
        <is>
          <t>Business</t>
        </is>
      </c>
      <c r="E3214" s="4" t="inlineStr">
        <is>
          <t>Business Operations</t>
        </is>
      </c>
      <c r="F3214" s="4" t="inlineStr">
        <is>
          <t>Tax</t>
        </is>
      </c>
      <c r="G3214" s="4" t="inlineStr">
        <is>
          <t>Expense</t>
        </is>
      </c>
      <c r="H3214" s="12" t="n">
        <v>46118</v>
      </c>
      <c r="I3214" s="13" t="n">
        <v>0.6405439814814815</v>
      </c>
      <c r="J3214" s="14" t="n">
        <v>46118.64054398148</v>
      </c>
      <c r="K3214" s="15" t="n">
        <v>48400.19</v>
      </c>
      <c r="L3214" s="4" t="inlineStr">
        <is>
          <t>INR</t>
        </is>
      </c>
      <c r="M3214" s="15" t="n">
        <v>-48400.19</v>
      </c>
      <c r="N3214" s="4" t="inlineStr">
        <is>
          <t>IOS Owner</t>
        </is>
      </c>
      <c r="O3214" s="4" t="n"/>
      <c r="P3214" s="4" t="n"/>
      <c r="Q3214" s="4" t="inlineStr">
        <is>
          <t>MAESTRO-IOS-BUSINESS-BUSINESS_OPERATIONS-3213 | Tax | 48400.19</t>
        </is>
      </c>
      <c r="R3214" s="4" t="inlineStr">
        <is>
          <t>iPhone</t>
        </is>
      </c>
      <c r="S3214" s="4" t="inlineStr">
        <is>
          <t>B65</t>
        </is>
      </c>
      <c r="T3214" s="4" t="inlineStr">
        <is>
          <t>STRESS_3001_3500</t>
        </is>
      </c>
      <c r="U3214" s="4" t="inlineStr">
        <is>
          <t>CREATED</t>
        </is>
      </c>
      <c r="V3214" s="4" t="inlineStr">
        <is>
          <t>idem-20260902-ios-3213</t>
        </is>
      </c>
    </row>
    <row r="3215" ht="30" customHeight="1">
      <c r="A3215" s="4" t="n">
        <v>3214</v>
      </c>
      <c r="B3215" s="4" t="inlineStr">
        <is>
          <t>MTR-IOS-3214</t>
        </is>
      </c>
      <c r="C3215" s="4" t="inlineStr">
        <is>
          <t>Personal</t>
        </is>
      </c>
      <c r="D3215" s="4" t="inlineStr">
        <is>
          <t>Personal</t>
        </is>
      </c>
      <c r="E3215" s="4" t="inlineStr">
        <is>
          <t>Lifestyle</t>
        </is>
      </c>
      <c r="F3215" s="4" t="inlineStr">
        <is>
          <t>Shopping</t>
        </is>
      </c>
      <c r="G3215" s="4" t="inlineStr">
        <is>
          <t>Expense</t>
        </is>
      </c>
      <c r="H3215" s="12" t="n">
        <v>46115</v>
      </c>
      <c r="I3215" s="13" t="n">
        <v>0.5359606481481481</v>
      </c>
      <c r="J3215" s="14" t="n">
        <v>46115.53596064815</v>
      </c>
      <c r="K3215" s="15" t="n">
        <v>675.4400000000001</v>
      </c>
      <c r="L3215" s="4" t="inlineStr">
        <is>
          <t>INR</t>
        </is>
      </c>
      <c r="M3215" s="15" t="n">
        <v>-675.4400000000001</v>
      </c>
      <c r="N3215" s="4" t="inlineStr">
        <is>
          <t>IOS Owner</t>
        </is>
      </c>
      <c r="O3215" s="4" t="n"/>
      <c r="P3215" s="4" t="n"/>
      <c r="Q3215" s="4" t="inlineStr">
        <is>
          <t>MAESTRO-IOS-PERSONAL-LIFESTYLE-3214 | Shopping | 675.44</t>
        </is>
      </c>
      <c r="R3215" s="4" t="inlineStr">
        <is>
          <t>iPhone</t>
        </is>
      </c>
      <c r="S3215" s="4" t="inlineStr">
        <is>
          <t>B65</t>
        </is>
      </c>
      <c r="T3215" s="4" t="inlineStr">
        <is>
          <t>STRESS_3001_3500</t>
        </is>
      </c>
      <c r="U3215" s="4" t="inlineStr">
        <is>
          <t>CREATED</t>
        </is>
      </c>
      <c r="V3215" s="4" t="inlineStr">
        <is>
          <t>idem-20260902-ios-3214</t>
        </is>
      </c>
    </row>
    <row r="3216" ht="30" customHeight="1">
      <c r="A3216" s="4" t="n">
        <v>3215</v>
      </c>
      <c r="B3216" s="4" t="inlineStr">
        <is>
          <t>MTR-IOS-3215</t>
        </is>
      </c>
      <c r="C3216" s="4" t="inlineStr">
        <is>
          <t>Group</t>
        </is>
      </c>
      <c r="D3216" s="4" t="inlineStr">
        <is>
          <t>Shared Purchase</t>
        </is>
      </c>
      <c r="E3216" s="4" t="inlineStr">
        <is>
          <t>Gift Pool</t>
        </is>
      </c>
      <c r="F3216" s="4" t="inlineStr">
        <is>
          <t>Other</t>
        </is>
      </c>
      <c r="G3216" s="4" t="inlineStr">
        <is>
          <t>Expense</t>
        </is>
      </c>
      <c r="H3216" s="12" t="n">
        <v>46130</v>
      </c>
      <c r="I3216" s="13" t="n">
        <v>0.971574074074074</v>
      </c>
      <c r="J3216" s="14" t="n">
        <v>46130.97157407407</v>
      </c>
      <c r="K3216" s="15" t="n">
        <v>20957.05</v>
      </c>
      <c r="L3216" s="4" t="inlineStr">
        <is>
          <t>INR</t>
        </is>
      </c>
      <c r="M3216" s="15" t="n">
        <v>-20957.05</v>
      </c>
      <c r="N3216" s="4" t="inlineStr">
        <is>
          <t>IOS Owner</t>
        </is>
      </c>
      <c r="O3216" s="4" t="n">
        <v>3</v>
      </c>
      <c r="P3216" s="4" t="inlineStr">
        <is>
          <t>SHARES</t>
        </is>
      </c>
      <c r="Q3216" s="4" t="inlineStr">
        <is>
          <t>MAESTRO-IOS-GROUP-GIFT_POOL-3215 | Other | 20957.05</t>
        </is>
      </c>
      <c r="R3216" s="4" t="inlineStr">
        <is>
          <t>iPhone</t>
        </is>
      </c>
      <c r="S3216" s="4" t="inlineStr">
        <is>
          <t>B65</t>
        </is>
      </c>
      <c r="T3216" s="4" t="inlineStr">
        <is>
          <t>STRESS_3001_3500</t>
        </is>
      </c>
      <c r="U3216" s="4" t="inlineStr">
        <is>
          <t>CREATED</t>
        </is>
      </c>
      <c r="V3216" s="4" t="inlineStr">
        <is>
          <t>idem-20260902-ios-3215</t>
        </is>
      </c>
    </row>
    <row r="3217" ht="30" customHeight="1">
      <c r="A3217" s="4" t="n">
        <v>3216</v>
      </c>
      <c r="B3217" s="4" t="inlineStr">
        <is>
          <t>MTR-IOS-3216</t>
        </is>
      </c>
      <c r="C3217" s="4" t="inlineStr">
        <is>
          <t>Business</t>
        </is>
      </c>
      <c r="D3217" s="4" t="inlineStr">
        <is>
          <t>Business</t>
        </is>
      </c>
      <c r="E3217" s="4" t="inlineStr">
        <is>
          <t>Team Operations</t>
        </is>
      </c>
      <c r="F3217" s="4" t="inlineStr">
        <is>
          <t>Payroll</t>
        </is>
      </c>
      <c r="G3217" s="4" t="inlineStr">
        <is>
          <t>Expense</t>
        </is>
      </c>
      <c r="H3217" s="12" t="n">
        <v>46001</v>
      </c>
      <c r="I3217" s="13" t="n">
        <v>0.6632407407407407</v>
      </c>
      <c r="J3217" s="14" t="n">
        <v>46001.66324074074</v>
      </c>
      <c r="K3217" s="15" t="n">
        <v>78921.63</v>
      </c>
      <c r="L3217" s="4" t="inlineStr">
        <is>
          <t>INR</t>
        </is>
      </c>
      <c r="M3217" s="15" t="n">
        <v>-78921.63</v>
      </c>
      <c r="N3217" s="4" t="inlineStr">
        <is>
          <t>IOS Owner</t>
        </is>
      </c>
      <c r="O3217" s="4" t="n"/>
      <c r="P3217" s="4" t="n"/>
      <c r="Q3217" s="4" t="inlineStr">
        <is>
          <t>MAESTRO-IOS-BUSINESS-TEAM_OPERATIONS-3216 | Payroll | 78921.63</t>
        </is>
      </c>
      <c r="R3217" s="4" t="inlineStr">
        <is>
          <t>iPhone</t>
        </is>
      </c>
      <c r="S3217" s="4" t="inlineStr">
        <is>
          <t>B65</t>
        </is>
      </c>
      <c r="T3217" s="4" t="inlineStr">
        <is>
          <t>STRESS_3001_3500</t>
        </is>
      </c>
      <c r="U3217" s="4" t="inlineStr">
        <is>
          <t>CREATED</t>
        </is>
      </c>
      <c r="V3217" s="4" t="inlineStr">
        <is>
          <t>idem-20260902-ios-3216</t>
        </is>
      </c>
    </row>
    <row r="3218" ht="30" customHeight="1">
      <c r="A3218" s="4" t="n">
        <v>3217</v>
      </c>
      <c r="B3218" s="4" t="inlineStr">
        <is>
          <t>MTR-IOS-3217</t>
        </is>
      </c>
      <c r="C3218" s="4" t="inlineStr">
        <is>
          <t>Personal</t>
        </is>
      </c>
      <c r="D3218" s="4" t="inlineStr">
        <is>
          <t>Personal</t>
        </is>
      </c>
      <c r="E3218" s="4" t="inlineStr">
        <is>
          <t>Lifestyle</t>
        </is>
      </c>
      <c r="F3218" s="4" t="inlineStr">
        <is>
          <t>Entertainment</t>
        </is>
      </c>
      <c r="G3218" s="4" t="inlineStr">
        <is>
          <t>Expense</t>
        </is>
      </c>
      <c r="H3218" s="12" t="n">
        <v>46113</v>
      </c>
      <c r="I3218" s="13" t="n">
        <v>0.1592361111111111</v>
      </c>
      <c r="J3218" s="14" t="n">
        <v>46113.15923611111</v>
      </c>
      <c r="K3218" s="15" t="n">
        <v>9227.540000000001</v>
      </c>
      <c r="L3218" s="4" t="inlineStr">
        <is>
          <t>INR</t>
        </is>
      </c>
      <c r="M3218" s="15" t="n">
        <v>-9227.540000000001</v>
      </c>
      <c r="N3218" s="4" t="inlineStr">
        <is>
          <t>IOS Owner</t>
        </is>
      </c>
      <c r="O3218" s="4" t="n"/>
      <c r="P3218" s="4" t="n"/>
      <c r="Q3218" s="4" t="inlineStr">
        <is>
          <t>MAESTRO-IOS-PERSONAL-LIFESTYLE-3217 | Entertainment | 9227.54</t>
        </is>
      </c>
      <c r="R3218" s="4" t="inlineStr">
        <is>
          <t>iPhone</t>
        </is>
      </c>
      <c r="S3218" s="4" t="inlineStr">
        <is>
          <t>B65</t>
        </is>
      </c>
      <c r="T3218" s="4" t="inlineStr">
        <is>
          <t>STRESS_3001_3500</t>
        </is>
      </c>
      <c r="U3218" s="4" t="inlineStr">
        <is>
          <t>CREATED</t>
        </is>
      </c>
      <c r="V3218" s="4" t="inlineStr">
        <is>
          <t>idem-20260902-ios-3217</t>
        </is>
      </c>
    </row>
    <row r="3219" ht="30" customHeight="1">
      <c r="A3219" s="4" t="n">
        <v>3218</v>
      </c>
      <c r="B3219" s="4" t="inlineStr">
        <is>
          <t>MTR-IOS-3218</t>
        </is>
      </c>
      <c r="C3219" s="4" t="inlineStr">
        <is>
          <t>Group</t>
        </is>
      </c>
      <c r="D3219" s="4" t="inlineStr">
        <is>
          <t>Shared Purchase</t>
        </is>
      </c>
      <c r="E3219" s="4" t="inlineStr">
        <is>
          <t>Purchase</t>
        </is>
      </c>
      <c r="F3219" s="4" t="inlineStr">
        <is>
          <t>Item</t>
        </is>
      </c>
      <c r="G3219" s="4" t="inlineStr">
        <is>
          <t>Expense</t>
        </is>
      </c>
      <c r="H3219" s="12" t="n">
        <v>46244</v>
      </c>
      <c r="I3219" s="13" t="n">
        <v>0.6325694444444444</v>
      </c>
      <c r="J3219" s="14" t="n">
        <v>46244.63256944445</v>
      </c>
      <c r="K3219" s="15" t="n">
        <v>17280.4</v>
      </c>
      <c r="L3219" s="4" t="inlineStr">
        <is>
          <t>INR</t>
        </is>
      </c>
      <c r="M3219" s="15" t="n">
        <v>-17280.4</v>
      </c>
      <c r="N3219" s="4" t="inlineStr">
        <is>
          <t>IOS Aarav</t>
        </is>
      </c>
      <c r="O3219" s="4" t="n">
        <v>3</v>
      </c>
      <c r="P3219" s="4" t="inlineStr">
        <is>
          <t>EQUAL</t>
        </is>
      </c>
      <c r="Q3219" s="4" t="inlineStr">
        <is>
          <t>MAESTRO-IOS-GROUP-PURCHASE-3218 | Item | 17280.40</t>
        </is>
      </c>
      <c r="R3219" s="4" t="inlineStr">
        <is>
          <t>iPhone</t>
        </is>
      </c>
      <c r="S3219" s="4" t="inlineStr">
        <is>
          <t>B65</t>
        </is>
      </c>
      <c r="T3219" s="4" t="inlineStr">
        <is>
          <t>STRESS_3001_3500</t>
        </is>
      </c>
      <c r="U3219" s="4" t="inlineStr">
        <is>
          <t>CREATED</t>
        </is>
      </c>
      <c r="V3219" s="4" t="inlineStr">
        <is>
          <t>idem-20260902-ios-3218</t>
        </is>
      </c>
    </row>
    <row r="3220" ht="30" customHeight="1">
      <c r="A3220" s="4" t="n">
        <v>3219</v>
      </c>
      <c r="B3220" s="4" t="inlineStr">
        <is>
          <t>MTR-IOS-3219</t>
        </is>
      </c>
      <c r="C3220" s="4" t="inlineStr">
        <is>
          <t>Business</t>
        </is>
      </c>
      <c r="D3220" s="4" t="inlineStr">
        <is>
          <t>Business</t>
        </is>
      </c>
      <c r="E3220" s="4" t="inlineStr">
        <is>
          <t>Team Operations</t>
        </is>
      </c>
      <c r="F3220" s="4" t="inlineStr">
        <is>
          <t>Contractor</t>
        </is>
      </c>
      <c r="G3220" s="4" t="inlineStr">
        <is>
          <t>Expense</t>
        </is>
      </c>
      <c r="H3220" s="12" t="n">
        <v>46121</v>
      </c>
      <c r="I3220" s="13" t="n">
        <v>0.461099537037037</v>
      </c>
      <c r="J3220" s="14" t="n">
        <v>46121.46109953704</v>
      </c>
      <c r="K3220" s="15" t="n">
        <v>100</v>
      </c>
      <c r="L3220" s="4" t="inlineStr">
        <is>
          <t>INR</t>
        </is>
      </c>
      <c r="M3220" s="15" t="n">
        <v>-100</v>
      </c>
      <c r="N3220" s="4" t="inlineStr">
        <is>
          <t>IOS Owner</t>
        </is>
      </c>
      <c r="O3220" s="4" t="n"/>
      <c r="P3220" s="4" t="n"/>
      <c r="Q3220" s="4" t="inlineStr">
        <is>
          <t>MAESTRO-IOS-BUSINESS-TEAM_OPERATIONS-3219 | Contractor | 100.00</t>
        </is>
      </c>
      <c r="R3220" s="4" t="inlineStr">
        <is>
          <t>iPhone</t>
        </is>
      </c>
      <c r="S3220" s="4" t="inlineStr">
        <is>
          <t>B65</t>
        </is>
      </c>
      <c r="T3220" s="4" t="inlineStr">
        <is>
          <t>STRESS_3001_3500</t>
        </is>
      </c>
      <c r="U3220" s="4" t="inlineStr">
        <is>
          <t>CREATED</t>
        </is>
      </c>
      <c r="V3220" s="4" t="inlineStr">
        <is>
          <t>idem-20260902-ios-3219</t>
        </is>
      </c>
    </row>
    <row r="3221" ht="30" customHeight="1">
      <c r="A3221" s="4" t="n">
        <v>3220</v>
      </c>
      <c r="B3221" s="4" t="inlineStr">
        <is>
          <t>MTR-IOS-3220</t>
        </is>
      </c>
      <c r="C3221" s="4" t="inlineStr">
        <is>
          <t>Personal</t>
        </is>
      </c>
      <c r="D3221" s="4" t="inlineStr">
        <is>
          <t>Personal</t>
        </is>
      </c>
      <c r="E3221" s="4" t="inlineStr">
        <is>
          <t>Lifestyle</t>
        </is>
      </c>
      <c r="F3221" s="4" t="inlineStr">
        <is>
          <t>Travel</t>
        </is>
      </c>
      <c r="G3221" s="4" t="inlineStr">
        <is>
          <t>Expense</t>
        </is>
      </c>
      <c r="H3221" s="12" t="n">
        <v>45936</v>
      </c>
      <c r="I3221" s="13" t="n">
        <v>0.389525462962963</v>
      </c>
      <c r="J3221" s="14" t="n">
        <v>45936.38952546296</v>
      </c>
      <c r="K3221" s="15" t="n">
        <v>10537.51</v>
      </c>
      <c r="L3221" s="4" t="inlineStr">
        <is>
          <t>INR</t>
        </is>
      </c>
      <c r="M3221" s="15" t="n">
        <v>-10537.51</v>
      </c>
      <c r="N3221" s="4" t="inlineStr">
        <is>
          <t>IOS Owner</t>
        </is>
      </c>
      <c r="O3221" s="4" t="n"/>
      <c r="P3221" s="4" t="n"/>
      <c r="Q3221" s="4" t="inlineStr">
        <is>
          <t>MAESTRO-IOS-PERSONAL-LIFESTYLE-3220 | Travel | 10537.51</t>
        </is>
      </c>
      <c r="R3221" s="4" t="inlineStr">
        <is>
          <t>iPhone</t>
        </is>
      </c>
      <c r="S3221" s="4" t="inlineStr">
        <is>
          <t>B65</t>
        </is>
      </c>
      <c r="T3221" s="4" t="inlineStr">
        <is>
          <t>STRESS_3001_3500</t>
        </is>
      </c>
      <c r="U3221" s="4" t="inlineStr">
        <is>
          <t>CREATED</t>
        </is>
      </c>
      <c r="V3221" s="4" t="inlineStr">
        <is>
          <t>idem-20260902-ios-3220</t>
        </is>
      </c>
    </row>
    <row r="3222" ht="30" customHeight="1">
      <c r="A3222" s="4" t="n">
        <v>3221</v>
      </c>
      <c r="B3222" s="4" t="inlineStr">
        <is>
          <t>MTR-IOS-3221</t>
        </is>
      </c>
      <c r="C3222" s="4" t="inlineStr">
        <is>
          <t>Group</t>
        </is>
      </c>
      <c r="D3222" s="4" t="inlineStr">
        <is>
          <t>Shared Purchase</t>
        </is>
      </c>
      <c r="E3222" s="4" t="inlineStr">
        <is>
          <t>Purchase</t>
        </is>
      </c>
      <c r="F3222" s="4" t="inlineStr">
        <is>
          <t>Shipping</t>
        </is>
      </c>
      <c r="G3222" s="4" t="inlineStr">
        <is>
          <t>Expense</t>
        </is>
      </c>
      <c r="H3222" s="12" t="n">
        <v>46231</v>
      </c>
      <c r="I3222" s="13" t="n">
        <v>0.6840277777777778</v>
      </c>
      <c r="J3222" s="14" t="n">
        <v>46231.68402777778</v>
      </c>
      <c r="K3222" s="15" t="n">
        <v>16239.46</v>
      </c>
      <c r="L3222" s="4" t="inlineStr">
        <is>
          <t>INR</t>
        </is>
      </c>
      <c r="M3222" s="15" t="n">
        <v>-16239.46</v>
      </c>
      <c r="N3222" s="4" t="inlineStr">
        <is>
          <t>IOS Meera</t>
        </is>
      </c>
      <c r="O3222" s="4" t="n">
        <v>3</v>
      </c>
      <c r="P3222" s="4" t="inlineStr">
        <is>
          <t>PERCENTAGE</t>
        </is>
      </c>
      <c r="Q3222" s="4" t="inlineStr">
        <is>
          <t>MAESTRO-IOS-GROUP-PURCHASE-3221 | Shipping | 16239.46</t>
        </is>
      </c>
      <c r="R3222" s="4" t="inlineStr">
        <is>
          <t>iPhone</t>
        </is>
      </c>
      <c r="S3222" s="4" t="inlineStr">
        <is>
          <t>B65</t>
        </is>
      </c>
      <c r="T3222" s="4" t="inlineStr">
        <is>
          <t>STRESS_3001_3500</t>
        </is>
      </c>
      <c r="U3222" s="4" t="inlineStr">
        <is>
          <t>CREATED</t>
        </is>
      </c>
      <c r="V3222" s="4" t="inlineStr">
        <is>
          <t>idem-20260902-ios-3221</t>
        </is>
      </c>
    </row>
    <row r="3223" ht="30" customHeight="1">
      <c r="A3223" s="4" t="n">
        <v>3222</v>
      </c>
      <c r="B3223" s="4" t="inlineStr">
        <is>
          <t>MTR-IOS-3222</t>
        </is>
      </c>
      <c r="C3223" s="4" t="inlineStr">
        <is>
          <t>Business</t>
        </is>
      </c>
      <c r="D3223" s="4" t="inlineStr">
        <is>
          <t>Business</t>
        </is>
      </c>
      <c r="E3223" s="4" t="inlineStr">
        <is>
          <t>Team Operations</t>
        </is>
      </c>
      <c r="F3223" s="4" t="inlineStr">
        <is>
          <t>Hiring</t>
        </is>
      </c>
      <c r="G3223" s="4" t="inlineStr">
        <is>
          <t>Expense</t>
        </is>
      </c>
      <c r="H3223" s="12" t="n">
        <v>46114</v>
      </c>
      <c r="I3223" s="13" t="n">
        <v>0.550162037037037</v>
      </c>
      <c r="J3223" s="14" t="n">
        <v>46114.55016203703</v>
      </c>
      <c r="K3223" s="15" t="n">
        <v>149167.98</v>
      </c>
      <c r="L3223" s="4" t="inlineStr">
        <is>
          <t>INR</t>
        </is>
      </c>
      <c r="M3223" s="15" t="n">
        <v>-149167.98</v>
      </c>
      <c r="N3223" s="4" t="inlineStr">
        <is>
          <t>IOS Owner</t>
        </is>
      </c>
      <c r="O3223" s="4" t="n"/>
      <c r="P3223" s="4" t="n"/>
      <c r="Q3223" s="4" t="inlineStr">
        <is>
          <t>MAESTRO-IOS-BUSINESS-TEAM_OPERATIONS-3222 | Hiring | 149167.98</t>
        </is>
      </c>
      <c r="R3223" s="4" t="inlineStr">
        <is>
          <t>iPhone</t>
        </is>
      </c>
      <c r="S3223" s="4" t="inlineStr">
        <is>
          <t>B65</t>
        </is>
      </c>
      <c r="T3223" s="4" t="inlineStr">
        <is>
          <t>STRESS_3001_3500</t>
        </is>
      </c>
      <c r="U3223" s="4" t="inlineStr">
        <is>
          <t>CREATED</t>
        </is>
      </c>
      <c r="V3223" s="4" t="inlineStr">
        <is>
          <t>idem-20260902-ios-3222</t>
        </is>
      </c>
    </row>
    <row r="3224" ht="30" customHeight="1">
      <c r="A3224" s="4" t="n">
        <v>3223</v>
      </c>
      <c r="B3224" s="4" t="inlineStr">
        <is>
          <t>MTR-IOS-3223</t>
        </is>
      </c>
      <c r="C3224" s="4" t="inlineStr">
        <is>
          <t>Personal</t>
        </is>
      </c>
      <c r="D3224" s="4" t="inlineStr">
        <is>
          <t>Personal</t>
        </is>
      </c>
      <c r="E3224" s="4" t="inlineStr">
        <is>
          <t>Lifestyle</t>
        </is>
      </c>
      <c r="F3224" s="4" t="inlineStr">
        <is>
          <t>Fitness</t>
        </is>
      </c>
      <c r="G3224" s="4" t="inlineStr">
        <is>
          <t>Expense</t>
        </is>
      </c>
      <c r="H3224" s="12" t="n">
        <v>46136</v>
      </c>
      <c r="I3224" s="13" t="n">
        <v>0.256724537037037</v>
      </c>
      <c r="J3224" s="14" t="n">
        <v>46136.25672453704</v>
      </c>
      <c r="K3224" s="15" t="n">
        <v>9796.030000000001</v>
      </c>
      <c r="L3224" s="4" t="inlineStr">
        <is>
          <t>INR</t>
        </is>
      </c>
      <c r="M3224" s="15" t="n">
        <v>-9796.030000000001</v>
      </c>
      <c r="N3224" s="4" t="inlineStr">
        <is>
          <t>IOS Owner</t>
        </is>
      </c>
      <c r="O3224" s="4" t="n"/>
      <c r="P3224" s="4" t="n"/>
      <c r="Q3224" s="4" t="inlineStr">
        <is>
          <t>MAESTRO-IOS-PERSONAL-LIFESTYLE-3223 | Fitness | 9796.03</t>
        </is>
      </c>
      <c r="R3224" s="4" t="inlineStr">
        <is>
          <t>iPhone</t>
        </is>
      </c>
      <c r="S3224" s="4" t="inlineStr">
        <is>
          <t>B65</t>
        </is>
      </c>
      <c r="T3224" s="4" t="inlineStr">
        <is>
          <t>STRESS_3001_3500</t>
        </is>
      </c>
      <c r="U3224" s="4" t="inlineStr">
        <is>
          <t>CREATED</t>
        </is>
      </c>
      <c r="V3224" s="4" t="inlineStr">
        <is>
          <t>idem-20260902-ios-3223</t>
        </is>
      </c>
    </row>
    <row r="3225" ht="30" customHeight="1">
      <c r="A3225" s="4" t="n">
        <v>3224</v>
      </c>
      <c r="B3225" s="4" t="inlineStr">
        <is>
          <t>MTR-IOS-3224</t>
        </is>
      </c>
      <c r="C3225" s="4" t="inlineStr">
        <is>
          <t>Group</t>
        </is>
      </c>
      <c r="D3225" s="4" t="inlineStr">
        <is>
          <t>Shared Purchase</t>
        </is>
      </c>
      <c r="E3225" s="4" t="inlineStr">
        <is>
          <t>Purchase</t>
        </is>
      </c>
      <c r="F3225" s="4" t="inlineStr">
        <is>
          <t>Tax</t>
        </is>
      </c>
      <c r="G3225" s="4" t="inlineStr">
        <is>
          <t>Expense</t>
        </is>
      </c>
      <c r="H3225" s="12" t="n">
        <v>46197</v>
      </c>
      <c r="I3225" s="13" t="n">
        <v>0.2578356481481481</v>
      </c>
      <c r="J3225" s="14" t="n">
        <v>46197.25783564815</v>
      </c>
      <c r="K3225" s="15" t="n">
        <v>23040.55</v>
      </c>
      <c r="L3225" s="4" t="inlineStr">
        <is>
          <t>INR</t>
        </is>
      </c>
      <c r="M3225" s="15" t="n">
        <v>-23040.55</v>
      </c>
      <c r="N3225" s="4" t="inlineStr">
        <is>
          <t>IOS Owner</t>
        </is>
      </c>
      <c r="O3225" s="4" t="n">
        <v>3</v>
      </c>
      <c r="P3225" s="4" t="inlineStr">
        <is>
          <t>EXACT</t>
        </is>
      </c>
      <c r="Q3225" s="4" t="inlineStr">
        <is>
          <t>MAESTRO-IOS-GROUP-PURCHASE-3224 | Tax | 23040.55</t>
        </is>
      </c>
      <c r="R3225" s="4" t="inlineStr">
        <is>
          <t>iPhone</t>
        </is>
      </c>
      <c r="S3225" s="4" t="inlineStr">
        <is>
          <t>B65</t>
        </is>
      </c>
      <c r="T3225" s="4" t="inlineStr">
        <is>
          <t>STRESS_3001_3500</t>
        </is>
      </c>
      <c r="U3225" s="4" t="inlineStr">
        <is>
          <t>CREATED</t>
        </is>
      </c>
      <c r="V3225" s="4" t="inlineStr">
        <is>
          <t>idem-20260902-ios-3224</t>
        </is>
      </c>
    </row>
    <row r="3226" ht="30" customHeight="1">
      <c r="A3226" s="4" t="n">
        <v>3225</v>
      </c>
      <c r="B3226" s="4" t="inlineStr">
        <is>
          <t>MTR-IOS-3225</t>
        </is>
      </c>
      <c r="C3226" s="4" t="inlineStr">
        <is>
          <t>Business</t>
        </is>
      </c>
      <c r="D3226" s="4" t="inlineStr">
        <is>
          <t>Business</t>
        </is>
      </c>
      <c r="E3226" s="4" t="inlineStr">
        <is>
          <t>Team Operations</t>
        </is>
      </c>
      <c r="F3226" s="4" t="inlineStr">
        <is>
          <t>Team Meal</t>
        </is>
      </c>
      <c r="G3226" s="4" t="inlineStr">
        <is>
          <t>Expense</t>
        </is>
      </c>
      <c r="H3226" s="12" t="n">
        <v>45982</v>
      </c>
      <c r="I3226" s="13" t="n">
        <v>0.3877430555555555</v>
      </c>
      <c r="J3226" s="14" t="n">
        <v>45982.38774305556</v>
      </c>
      <c r="K3226" s="15" t="n">
        <v>122658.25</v>
      </c>
      <c r="L3226" s="4" t="inlineStr">
        <is>
          <t>INR</t>
        </is>
      </c>
      <c r="M3226" s="15" t="n">
        <v>-122658.25</v>
      </c>
      <c r="N3226" s="4" t="inlineStr">
        <is>
          <t>IOS Owner</t>
        </is>
      </c>
      <c r="O3226" s="4" t="n"/>
      <c r="P3226" s="4" t="n"/>
      <c r="Q3226" s="4" t="inlineStr">
        <is>
          <t>MAESTRO-IOS-BUSINESS-TEAM_OPERATIONS-3225 | Team Meal | 122658.25</t>
        </is>
      </c>
      <c r="R3226" s="4" t="inlineStr">
        <is>
          <t>iPhone</t>
        </is>
      </c>
      <c r="S3226" s="4" t="inlineStr">
        <is>
          <t>B65</t>
        </is>
      </c>
      <c r="T3226" s="4" t="inlineStr">
        <is>
          <t>STRESS_3001_3500</t>
        </is>
      </c>
      <c r="U3226" s="4" t="inlineStr">
        <is>
          <t>CREATED</t>
        </is>
      </c>
      <c r="V3226" s="4" t="inlineStr">
        <is>
          <t>idem-20260902-ios-3225</t>
        </is>
      </c>
    </row>
    <row r="3227" ht="30" customHeight="1">
      <c r="A3227" s="4" t="n">
        <v>3226</v>
      </c>
      <c r="B3227" s="4" t="inlineStr">
        <is>
          <t>MTR-IOS-3226</t>
        </is>
      </c>
      <c r="C3227" s="4" t="inlineStr">
        <is>
          <t>Personal</t>
        </is>
      </c>
      <c r="D3227" s="4" t="inlineStr">
        <is>
          <t>Personal</t>
        </is>
      </c>
      <c r="E3227" s="4" t="inlineStr">
        <is>
          <t>Lifestyle</t>
        </is>
      </c>
      <c r="F3227" s="4" t="inlineStr">
        <is>
          <t>Hobbies</t>
        </is>
      </c>
      <c r="G3227" s="4" t="inlineStr">
        <is>
          <t>Expense</t>
        </is>
      </c>
      <c r="H3227" s="12" t="n">
        <v>46128</v>
      </c>
      <c r="I3227" s="13" t="n">
        <v>0.4379398148148148</v>
      </c>
      <c r="J3227" s="14" t="n">
        <v>46128.43793981482</v>
      </c>
      <c r="K3227" s="15" t="n">
        <v>16897.95</v>
      </c>
      <c r="L3227" s="4" t="inlineStr">
        <is>
          <t>INR</t>
        </is>
      </c>
      <c r="M3227" s="15" t="n">
        <v>-16897.95</v>
      </c>
      <c r="N3227" s="4" t="inlineStr">
        <is>
          <t>IOS Owner</t>
        </is>
      </c>
      <c r="O3227" s="4" t="n"/>
      <c r="P3227" s="4" t="n"/>
      <c r="Q3227" s="4" t="inlineStr">
        <is>
          <t>MAESTRO-IOS-PERSONAL-LIFESTYLE-3226 | Hobbies | 16897.95</t>
        </is>
      </c>
      <c r="R3227" s="4" t="inlineStr">
        <is>
          <t>iPhone</t>
        </is>
      </c>
      <c r="S3227" s="4" t="inlineStr">
        <is>
          <t>B65</t>
        </is>
      </c>
      <c r="T3227" s="4" t="inlineStr">
        <is>
          <t>STRESS_3001_3500</t>
        </is>
      </c>
      <c r="U3227" s="4" t="inlineStr">
        <is>
          <t>CREATED</t>
        </is>
      </c>
      <c r="V3227" s="4" t="inlineStr">
        <is>
          <t>idem-20260902-ios-3226</t>
        </is>
      </c>
    </row>
    <row r="3228" ht="30" customHeight="1">
      <c r="A3228" s="4" t="n">
        <v>3227</v>
      </c>
      <c r="B3228" s="4" t="inlineStr">
        <is>
          <t>MTR-IOS-3227</t>
        </is>
      </c>
      <c r="C3228" s="4" t="inlineStr">
        <is>
          <t>Group</t>
        </is>
      </c>
      <c r="D3228" s="4" t="inlineStr">
        <is>
          <t>Shared Purchase</t>
        </is>
      </c>
      <c r="E3228" s="4" t="inlineStr">
        <is>
          <t>Purchase</t>
        </is>
      </c>
      <c r="F3228" s="4" t="inlineStr">
        <is>
          <t>Other</t>
        </is>
      </c>
      <c r="G3228" s="4" t="inlineStr">
        <is>
          <t>Expense</t>
        </is>
      </c>
      <c r="H3228" s="12" t="n">
        <v>46076</v>
      </c>
      <c r="I3228" s="13" t="n">
        <v>0.6731365740740741</v>
      </c>
      <c r="J3228" s="14" t="n">
        <v>46076.67313657407</v>
      </c>
      <c r="K3228" s="15" t="n">
        <v>14066.58</v>
      </c>
      <c r="L3228" s="4" t="inlineStr">
        <is>
          <t>INR</t>
        </is>
      </c>
      <c r="M3228" s="15" t="n">
        <v>-14066.58</v>
      </c>
      <c r="N3228" s="4" t="inlineStr">
        <is>
          <t>IOS Aarav</t>
        </is>
      </c>
      <c r="O3228" s="4" t="n">
        <v>3</v>
      </c>
      <c r="P3228" s="4" t="inlineStr">
        <is>
          <t>SHARES</t>
        </is>
      </c>
      <c r="Q3228" s="4" t="inlineStr">
        <is>
          <t>MAESTRO-IOS-GROUP-PURCHASE-3227 | Other | 14066.58</t>
        </is>
      </c>
      <c r="R3228" s="4" t="inlineStr">
        <is>
          <t>iPhone</t>
        </is>
      </c>
      <c r="S3228" s="4" t="inlineStr">
        <is>
          <t>B65</t>
        </is>
      </c>
      <c r="T3228" s="4" t="inlineStr">
        <is>
          <t>STRESS_3001_3500</t>
        </is>
      </c>
      <c r="U3228" s="4" t="inlineStr">
        <is>
          <t>CREATED</t>
        </is>
      </c>
      <c r="V3228" s="4" t="inlineStr">
        <is>
          <t>idem-20260902-ios-3227</t>
        </is>
      </c>
    </row>
    <row r="3229" ht="30" customHeight="1">
      <c r="A3229" s="4" t="n">
        <v>3228</v>
      </c>
      <c r="B3229" s="4" t="inlineStr">
        <is>
          <t>MTR-IOS-3228</t>
        </is>
      </c>
      <c r="C3229" s="4" t="inlineStr">
        <is>
          <t>Business</t>
        </is>
      </c>
      <c r="D3229" s="4" t="inlineStr">
        <is>
          <t>Business</t>
        </is>
      </c>
      <c r="E3229" s="4" t="inlineStr">
        <is>
          <t>Team Operations</t>
        </is>
      </c>
      <c r="F3229" s="4" t="inlineStr">
        <is>
          <t>Travel</t>
        </is>
      </c>
      <c r="G3229" s="4" t="inlineStr">
        <is>
          <t>Expense</t>
        </is>
      </c>
      <c r="H3229" s="12" t="n">
        <v>45971</v>
      </c>
      <c r="I3229" s="13" t="n">
        <v>0.04491898148148148</v>
      </c>
      <c r="J3229" s="14" t="n">
        <v>45971.04491898148</v>
      </c>
      <c r="K3229" s="15" t="n">
        <v>10175.42</v>
      </c>
      <c r="L3229" s="4" t="inlineStr">
        <is>
          <t>INR</t>
        </is>
      </c>
      <c r="M3229" s="15" t="n">
        <v>-10175.42</v>
      </c>
      <c r="N3229" s="4" t="inlineStr">
        <is>
          <t>IOS Owner</t>
        </is>
      </c>
      <c r="O3229" s="4" t="n"/>
      <c r="P3229" s="4" t="n"/>
      <c r="Q3229" s="4" t="inlineStr">
        <is>
          <t>MAESTRO-IOS-BUSINESS-TEAM_OPERATIONS-3228 | Travel | 10175.42</t>
        </is>
      </c>
      <c r="R3229" s="4" t="inlineStr">
        <is>
          <t>iPhone</t>
        </is>
      </c>
      <c r="S3229" s="4" t="inlineStr">
        <is>
          <t>B65</t>
        </is>
      </c>
      <c r="T3229" s="4" t="inlineStr">
        <is>
          <t>STRESS_3001_3500</t>
        </is>
      </c>
      <c r="U3229" s="4" t="inlineStr">
        <is>
          <t>CREATED</t>
        </is>
      </c>
      <c r="V3229" s="4" t="inlineStr">
        <is>
          <t>idem-20260902-ios-3228</t>
        </is>
      </c>
    </row>
    <row r="3230" ht="30" customHeight="1">
      <c r="A3230" s="4" t="n">
        <v>3229</v>
      </c>
      <c r="B3230" s="4" t="inlineStr">
        <is>
          <t>MTR-IOS-3229</t>
        </is>
      </c>
      <c r="C3230" s="4" t="inlineStr">
        <is>
          <t>Personal</t>
        </is>
      </c>
      <c r="D3230" s="4" t="inlineStr">
        <is>
          <t>Personal</t>
        </is>
      </c>
      <c r="E3230" s="4" t="inlineStr">
        <is>
          <t>Relationships</t>
        </is>
      </c>
      <c r="F3230" s="4" t="inlineStr">
        <is>
          <t>Gifts</t>
        </is>
      </c>
      <c r="G3230" s="4" t="inlineStr">
        <is>
          <t>Expense</t>
        </is>
      </c>
      <c r="H3230" s="12" t="n">
        <v>46182</v>
      </c>
      <c r="I3230" s="13" t="n">
        <v>0.9939814814814815</v>
      </c>
      <c r="J3230" s="14" t="n">
        <v>46182.99398148148</v>
      </c>
      <c r="K3230" s="15" t="n">
        <v>2665.72</v>
      </c>
      <c r="L3230" s="4" t="inlineStr">
        <is>
          <t>INR</t>
        </is>
      </c>
      <c r="M3230" s="15" t="n">
        <v>-2665.72</v>
      </c>
      <c r="N3230" s="4" t="inlineStr">
        <is>
          <t>IOS Owner</t>
        </is>
      </c>
      <c r="O3230" s="4" t="n"/>
      <c r="P3230" s="4" t="n"/>
      <c r="Q3230" s="4" t="inlineStr">
        <is>
          <t>MAESTRO-IOS-PERSONAL-RELATIONSHIPS-3229 | Gifts | 2665.72</t>
        </is>
      </c>
      <c r="R3230" s="4" t="inlineStr">
        <is>
          <t>iPhone</t>
        </is>
      </c>
      <c r="S3230" s="4" t="inlineStr">
        <is>
          <t>B65</t>
        </is>
      </c>
      <c r="T3230" s="4" t="inlineStr">
        <is>
          <t>STRESS_3001_3500</t>
        </is>
      </c>
      <c r="U3230" s="4" t="inlineStr">
        <is>
          <t>CREATED</t>
        </is>
      </c>
      <c r="V3230" s="4" t="inlineStr">
        <is>
          <t>idem-20260902-ios-3229</t>
        </is>
      </c>
    </row>
    <row r="3231" ht="30" customHeight="1">
      <c r="A3231" s="4" t="n">
        <v>3230</v>
      </c>
      <c r="B3231" s="4" t="inlineStr">
        <is>
          <t>MTR-IOS-3230</t>
        </is>
      </c>
      <c r="C3231" s="4" t="inlineStr">
        <is>
          <t>Group</t>
        </is>
      </c>
      <c r="D3231" s="4" t="inlineStr">
        <is>
          <t>Shared Purchase</t>
        </is>
      </c>
      <c r="E3231" s="4" t="inlineStr">
        <is>
          <t>Assets</t>
        </is>
      </c>
      <c r="F3231" s="4" t="inlineStr">
        <is>
          <t>Purchase</t>
        </is>
      </c>
      <c r="G3231" s="4" t="inlineStr">
        <is>
          <t>Expense</t>
        </is>
      </c>
      <c r="H3231" s="12" t="n">
        <v>46266</v>
      </c>
      <c r="I3231" s="13" t="n">
        <v>0.4379629629629629</v>
      </c>
      <c r="J3231" s="14" t="n">
        <v>46266.43796296296</v>
      </c>
      <c r="K3231" s="15" t="n">
        <v>7870.56</v>
      </c>
      <c r="L3231" s="4" t="inlineStr">
        <is>
          <t>INR</t>
        </is>
      </c>
      <c r="M3231" s="15" t="n">
        <v>-7870.56</v>
      </c>
      <c r="N3231" s="4" t="inlineStr">
        <is>
          <t>IOS Meera</t>
        </is>
      </c>
      <c r="O3231" s="4" t="n">
        <v>3</v>
      </c>
      <c r="P3231" s="4" t="inlineStr">
        <is>
          <t>EQUAL</t>
        </is>
      </c>
      <c r="Q3231" s="4" t="inlineStr">
        <is>
          <t>MAESTRO-IOS-GROUP-ASSETS-3230 | Purchase | 7870.56</t>
        </is>
      </c>
      <c r="R3231" s="4" t="inlineStr">
        <is>
          <t>iPhone</t>
        </is>
      </c>
      <c r="S3231" s="4" t="inlineStr">
        <is>
          <t>B65</t>
        </is>
      </c>
      <c r="T3231" s="4" t="inlineStr">
        <is>
          <t>STRESS_3001_3500</t>
        </is>
      </c>
      <c r="U3231" s="4" t="inlineStr">
        <is>
          <t>CREATED</t>
        </is>
      </c>
      <c r="V3231" s="4" t="inlineStr">
        <is>
          <t>idem-20260902-ios-3230</t>
        </is>
      </c>
    </row>
    <row r="3232" ht="30" customHeight="1">
      <c r="A3232" s="4" t="n">
        <v>3231</v>
      </c>
      <c r="B3232" s="4" t="inlineStr">
        <is>
          <t>MTR-IOS-3231</t>
        </is>
      </c>
      <c r="C3232" s="4" t="inlineStr">
        <is>
          <t>Business</t>
        </is>
      </c>
      <c r="D3232" s="4" t="inlineStr">
        <is>
          <t>Business</t>
        </is>
      </c>
      <c r="E3232" s="4" t="inlineStr">
        <is>
          <t>Team Operations</t>
        </is>
      </c>
      <c r="F3232" s="4" t="inlineStr">
        <is>
          <t>Training</t>
        </is>
      </c>
      <c r="G3232" s="4" t="inlineStr">
        <is>
          <t>Expense</t>
        </is>
      </c>
      <c r="H3232" s="12" t="n">
        <v>46215</v>
      </c>
      <c r="I3232" s="13" t="n">
        <v>0.01128472222222222</v>
      </c>
      <c r="J3232" s="14" t="n">
        <v>46215.01128472222</v>
      </c>
      <c r="K3232" s="15" t="n">
        <v>103587.52</v>
      </c>
      <c r="L3232" s="4" t="inlineStr">
        <is>
          <t>INR</t>
        </is>
      </c>
      <c r="M3232" s="15" t="n">
        <v>-103587.52</v>
      </c>
      <c r="N3232" s="4" t="inlineStr">
        <is>
          <t>IOS Owner</t>
        </is>
      </c>
      <c r="O3232" s="4" t="n"/>
      <c r="P3232" s="4" t="n"/>
      <c r="Q3232" s="4" t="inlineStr">
        <is>
          <t>MAESTRO-IOS-BUSINESS-TEAM_OPERATIONS-3231 | Training | 103587.52</t>
        </is>
      </c>
      <c r="R3232" s="4" t="inlineStr">
        <is>
          <t>iPhone</t>
        </is>
      </c>
      <c r="S3232" s="4" t="inlineStr">
        <is>
          <t>B65</t>
        </is>
      </c>
      <c r="T3232" s="4" t="inlineStr">
        <is>
          <t>STRESS_3001_3500</t>
        </is>
      </c>
      <c r="U3232" s="4" t="inlineStr">
        <is>
          <t>CREATED</t>
        </is>
      </c>
      <c r="V3232" s="4" t="inlineStr">
        <is>
          <t>idem-20260902-ios-3231</t>
        </is>
      </c>
    </row>
    <row r="3233" ht="30" customHeight="1">
      <c r="A3233" s="4" t="n">
        <v>3232</v>
      </c>
      <c r="B3233" s="4" t="inlineStr">
        <is>
          <t>MTR-IOS-3232</t>
        </is>
      </c>
      <c r="C3233" s="4" t="inlineStr">
        <is>
          <t>Personal</t>
        </is>
      </c>
      <c r="D3233" s="4" t="inlineStr">
        <is>
          <t>Personal</t>
        </is>
      </c>
      <c r="E3233" s="4" t="inlineStr">
        <is>
          <t>Relationships</t>
        </is>
      </c>
      <c r="F3233" s="4" t="inlineStr">
        <is>
          <t>Dates</t>
        </is>
      </c>
      <c r="G3233" s="4" t="inlineStr">
        <is>
          <t>Expense</t>
        </is>
      </c>
      <c r="H3233" s="12" t="n">
        <v>46178</v>
      </c>
      <c r="I3233" s="13" t="n">
        <v>0.7704513888888889</v>
      </c>
      <c r="J3233" s="14" t="n">
        <v>46178.77045138889</v>
      </c>
      <c r="K3233" s="15" t="n">
        <v>14275.98</v>
      </c>
      <c r="L3233" s="4" t="inlineStr">
        <is>
          <t>INR</t>
        </is>
      </c>
      <c r="M3233" s="15" t="n">
        <v>-14275.98</v>
      </c>
      <c r="N3233" s="4" t="inlineStr">
        <is>
          <t>IOS Owner</t>
        </is>
      </c>
      <c r="O3233" s="4" t="n"/>
      <c r="P3233" s="4" t="n"/>
      <c r="Q3233" s="4" t="inlineStr">
        <is>
          <t>MAESTRO-IOS-PERSONAL-RELATIONSHIPS-3232 | Dates | 14275.98</t>
        </is>
      </c>
      <c r="R3233" s="4" t="inlineStr">
        <is>
          <t>iPhone</t>
        </is>
      </c>
      <c r="S3233" s="4" t="inlineStr">
        <is>
          <t>B65</t>
        </is>
      </c>
      <c r="T3233" s="4" t="inlineStr">
        <is>
          <t>STRESS_3001_3500</t>
        </is>
      </c>
      <c r="U3233" s="4" t="inlineStr">
        <is>
          <t>CREATED</t>
        </is>
      </c>
      <c r="V3233" s="4" t="inlineStr">
        <is>
          <t>idem-20260902-ios-3232</t>
        </is>
      </c>
    </row>
    <row r="3234" ht="30" customHeight="1">
      <c r="A3234" s="4" t="n">
        <v>3233</v>
      </c>
      <c r="B3234" s="4" t="inlineStr">
        <is>
          <t>MTR-IOS-3233</t>
        </is>
      </c>
      <c r="C3234" s="4" t="inlineStr">
        <is>
          <t>Group</t>
        </is>
      </c>
      <c r="D3234" s="4" t="inlineStr">
        <is>
          <t>Shared Purchase</t>
        </is>
      </c>
      <c r="E3234" s="4" t="inlineStr">
        <is>
          <t>Assets</t>
        </is>
      </c>
      <c r="F3234" s="4" t="inlineStr">
        <is>
          <t>Maintenance</t>
        </is>
      </c>
      <c r="G3234" s="4" t="inlineStr">
        <is>
          <t>Expense</t>
        </is>
      </c>
      <c r="H3234" s="12" t="n">
        <v>45948</v>
      </c>
      <c r="I3234" s="13" t="n">
        <v>0.07843749999999999</v>
      </c>
      <c r="J3234" s="14" t="n">
        <v>45948.0784375</v>
      </c>
      <c r="K3234" s="15" t="n">
        <v>25660.35</v>
      </c>
      <c r="L3234" s="4" t="inlineStr">
        <is>
          <t>INR</t>
        </is>
      </c>
      <c r="M3234" s="15" t="n">
        <v>-25660.35</v>
      </c>
      <c r="N3234" s="4" t="inlineStr">
        <is>
          <t>IOS Owner</t>
        </is>
      </c>
      <c r="O3234" s="4" t="n">
        <v>3</v>
      </c>
      <c r="P3234" s="4" t="inlineStr">
        <is>
          <t>PERCENTAGE</t>
        </is>
      </c>
      <c r="Q3234" s="4" t="inlineStr">
        <is>
          <t>MAESTRO-IOS-GROUP-ASSETS-3233 | Maintenance | 25660.35</t>
        </is>
      </c>
      <c r="R3234" s="4" t="inlineStr">
        <is>
          <t>iPhone</t>
        </is>
      </c>
      <c r="S3234" s="4" t="inlineStr">
        <is>
          <t>B65</t>
        </is>
      </c>
      <c r="T3234" s="4" t="inlineStr">
        <is>
          <t>STRESS_3001_3500</t>
        </is>
      </c>
      <c r="U3234" s="4" t="inlineStr">
        <is>
          <t>CREATED</t>
        </is>
      </c>
      <c r="V3234" s="4" t="inlineStr">
        <is>
          <t>idem-20260902-ios-3233</t>
        </is>
      </c>
    </row>
    <row r="3235" ht="30" customHeight="1">
      <c r="A3235" s="4" t="n">
        <v>3234</v>
      </c>
      <c r="B3235" s="4" t="inlineStr">
        <is>
          <t>MTR-IOS-3234</t>
        </is>
      </c>
      <c r="C3235" s="4" t="inlineStr">
        <is>
          <t>Business</t>
        </is>
      </c>
      <c r="D3235" s="4" t="inlineStr">
        <is>
          <t>Business</t>
        </is>
      </c>
      <c r="E3235" s="4" t="inlineStr">
        <is>
          <t>Team Operations</t>
        </is>
      </c>
      <c r="F3235" s="4" t="inlineStr">
        <is>
          <t>Tools</t>
        </is>
      </c>
      <c r="G3235" s="4" t="inlineStr">
        <is>
          <t>Expense</t>
        </is>
      </c>
      <c r="H3235" s="12" t="n">
        <v>46175</v>
      </c>
      <c r="I3235" s="13" t="n">
        <v>0.2954282407407408</v>
      </c>
      <c r="J3235" s="14" t="n">
        <v>46175.29542824074</v>
      </c>
      <c r="K3235" s="15" t="n">
        <v>89356.53999999999</v>
      </c>
      <c r="L3235" s="4" t="inlineStr">
        <is>
          <t>INR</t>
        </is>
      </c>
      <c r="M3235" s="15" t="n">
        <v>-89356.53999999999</v>
      </c>
      <c r="N3235" s="4" t="inlineStr">
        <is>
          <t>IOS Owner</t>
        </is>
      </c>
      <c r="O3235" s="4" t="n"/>
      <c r="P3235" s="4" t="n"/>
      <c r="Q3235" s="4" t="inlineStr">
        <is>
          <t>MAESTRO-IOS-BUSINESS-TEAM_OPERATIONS-3234 | Tools | 89356.54</t>
        </is>
      </c>
      <c r="R3235" s="4" t="inlineStr">
        <is>
          <t>iPhone</t>
        </is>
      </c>
      <c r="S3235" s="4" t="inlineStr">
        <is>
          <t>B65</t>
        </is>
      </c>
      <c r="T3235" s="4" t="inlineStr">
        <is>
          <t>STRESS_3001_3500</t>
        </is>
      </c>
      <c r="U3235" s="4" t="inlineStr">
        <is>
          <t>CREATED</t>
        </is>
      </c>
      <c r="V3235" s="4" t="inlineStr">
        <is>
          <t>idem-20260902-ios-3234</t>
        </is>
      </c>
    </row>
    <row r="3236" ht="30" customHeight="1">
      <c r="A3236" s="4" t="n">
        <v>3235</v>
      </c>
      <c r="B3236" s="4" t="inlineStr">
        <is>
          <t>MTR-IOS-3235</t>
        </is>
      </c>
      <c r="C3236" s="4" t="inlineStr">
        <is>
          <t>Personal</t>
        </is>
      </c>
      <c r="D3236" s="4" t="inlineStr">
        <is>
          <t>Personal</t>
        </is>
      </c>
      <c r="E3236" s="4" t="inlineStr">
        <is>
          <t>Relationships</t>
        </is>
      </c>
      <c r="F3236" s="4" t="inlineStr">
        <is>
          <t>Family</t>
        </is>
      </c>
      <c r="G3236" s="4" t="inlineStr">
        <is>
          <t>Expense</t>
        </is>
      </c>
      <c r="H3236" s="12" t="n">
        <v>46223</v>
      </c>
      <c r="I3236" s="13" t="n">
        <v>0.8659375</v>
      </c>
      <c r="J3236" s="14" t="n">
        <v>46223.8659375</v>
      </c>
      <c r="K3236" s="15" t="n">
        <v>7787.95</v>
      </c>
      <c r="L3236" s="4" t="inlineStr">
        <is>
          <t>INR</t>
        </is>
      </c>
      <c r="M3236" s="15" t="n">
        <v>-7787.95</v>
      </c>
      <c r="N3236" s="4" t="inlineStr">
        <is>
          <t>IOS Owner</t>
        </is>
      </c>
      <c r="O3236" s="4" t="n"/>
      <c r="P3236" s="4" t="n"/>
      <c r="Q3236" s="4" t="inlineStr">
        <is>
          <t>MAESTRO-IOS-PERSONAL-RELATIONSHIPS-3235 | Family | 7787.95</t>
        </is>
      </c>
      <c r="R3236" s="4" t="inlineStr">
        <is>
          <t>iPhone</t>
        </is>
      </c>
      <c r="S3236" s="4" t="inlineStr">
        <is>
          <t>B65</t>
        </is>
      </c>
      <c r="T3236" s="4" t="inlineStr">
        <is>
          <t>STRESS_3001_3500</t>
        </is>
      </c>
      <c r="U3236" s="4" t="inlineStr">
        <is>
          <t>CREATED</t>
        </is>
      </c>
      <c r="V3236" s="4" t="inlineStr">
        <is>
          <t>idem-20260902-ios-3235</t>
        </is>
      </c>
    </row>
    <row r="3237" ht="30" customHeight="1">
      <c r="A3237" s="4" t="n">
        <v>3236</v>
      </c>
      <c r="B3237" s="4" t="inlineStr">
        <is>
          <t>MTR-IOS-3236</t>
        </is>
      </c>
      <c r="C3237" s="4" t="inlineStr">
        <is>
          <t>Group</t>
        </is>
      </c>
      <c r="D3237" s="4" t="inlineStr">
        <is>
          <t>Shared Purchase</t>
        </is>
      </c>
      <c r="E3237" s="4" t="inlineStr">
        <is>
          <t>Assets</t>
        </is>
      </c>
      <c r="F3237" s="4" t="inlineStr">
        <is>
          <t>Repair</t>
        </is>
      </c>
      <c r="G3237" s="4" t="inlineStr">
        <is>
          <t>Expense</t>
        </is>
      </c>
      <c r="H3237" s="12" t="n">
        <v>46263</v>
      </c>
      <c r="I3237" s="13" t="n">
        <v>0.6510185185185186</v>
      </c>
      <c r="J3237" s="14" t="n">
        <v>46263.65101851852</v>
      </c>
      <c r="K3237" s="15" t="n">
        <v>12474.01</v>
      </c>
      <c r="L3237" s="4" t="inlineStr">
        <is>
          <t>INR</t>
        </is>
      </c>
      <c r="M3237" s="15" t="n">
        <v>-12474.01</v>
      </c>
      <c r="N3237" s="4" t="inlineStr">
        <is>
          <t>IOS Aarav</t>
        </is>
      </c>
      <c r="O3237" s="4" t="n">
        <v>3</v>
      </c>
      <c r="P3237" s="4" t="inlineStr">
        <is>
          <t>EXACT</t>
        </is>
      </c>
      <c r="Q3237" s="4" t="inlineStr">
        <is>
          <t>MAESTRO-IOS-GROUP-ASSETS-3236 | Repair | 12474.01</t>
        </is>
      </c>
      <c r="R3237" s="4" t="inlineStr">
        <is>
          <t>iPhone</t>
        </is>
      </c>
      <c r="S3237" s="4" t="inlineStr">
        <is>
          <t>B65</t>
        </is>
      </c>
      <c r="T3237" s="4" t="inlineStr">
        <is>
          <t>STRESS_3001_3500</t>
        </is>
      </c>
      <c r="U3237" s="4" t="inlineStr">
        <is>
          <t>CREATED</t>
        </is>
      </c>
      <c r="V3237" s="4" t="inlineStr">
        <is>
          <t>idem-20260902-ios-3236</t>
        </is>
      </c>
    </row>
    <row r="3238" ht="30" customHeight="1">
      <c r="A3238" s="4" t="n">
        <v>3237</v>
      </c>
      <c r="B3238" s="4" t="inlineStr">
        <is>
          <t>MTR-IOS-3237</t>
        </is>
      </c>
      <c r="C3238" s="4" t="inlineStr">
        <is>
          <t>Business</t>
        </is>
      </c>
      <c r="D3238" s="4" t="inlineStr">
        <is>
          <t>Business</t>
        </is>
      </c>
      <c r="E3238" s="4" t="inlineStr">
        <is>
          <t>Business Runway</t>
        </is>
      </c>
      <c r="F3238" s="4" t="inlineStr">
        <is>
          <t>Funding</t>
        </is>
      </c>
      <c r="G3238" s="4" t="inlineStr">
        <is>
          <t>Income</t>
        </is>
      </c>
      <c r="H3238" s="12" t="n">
        <v>46097</v>
      </c>
      <c r="I3238" s="13" t="n">
        <v>0.2452662037037037</v>
      </c>
      <c r="J3238" s="14" t="n">
        <v>46097.2452662037</v>
      </c>
      <c r="K3238" s="15" t="n">
        <v>18512.87</v>
      </c>
      <c r="L3238" s="4" t="inlineStr">
        <is>
          <t>INR</t>
        </is>
      </c>
      <c r="M3238" s="15" t="n">
        <v>18512.87</v>
      </c>
      <c r="N3238" s="4" t="inlineStr">
        <is>
          <t>IOS Owner</t>
        </is>
      </c>
      <c r="O3238" s="4" t="n"/>
      <c r="P3238" s="4" t="n"/>
      <c r="Q3238" s="4" t="inlineStr">
        <is>
          <t>MAESTRO-IOS-BUSINESS-BUSINESS_RUNWAY-3237 | Funding | 18512.87</t>
        </is>
      </c>
      <c r="R3238" s="4" t="inlineStr">
        <is>
          <t>iPhone</t>
        </is>
      </c>
      <c r="S3238" s="4" t="inlineStr">
        <is>
          <t>B65</t>
        </is>
      </c>
      <c r="T3238" s="4" t="inlineStr">
        <is>
          <t>STRESS_3001_3500</t>
        </is>
      </c>
      <c r="U3238" s="4" t="inlineStr">
        <is>
          <t>CREATED</t>
        </is>
      </c>
      <c r="V3238" s="4" t="inlineStr">
        <is>
          <t>idem-20260902-ios-3237</t>
        </is>
      </c>
    </row>
    <row r="3239" ht="30" customHeight="1">
      <c r="A3239" s="4" t="n">
        <v>3238</v>
      </c>
      <c r="B3239" s="4" t="inlineStr">
        <is>
          <t>MTR-IOS-3238</t>
        </is>
      </c>
      <c r="C3239" s="4" t="inlineStr">
        <is>
          <t>Personal</t>
        </is>
      </c>
      <c r="D3239" s="4" t="inlineStr">
        <is>
          <t>Personal</t>
        </is>
      </c>
      <c r="E3239" s="4" t="inlineStr">
        <is>
          <t>Relationships</t>
        </is>
      </c>
      <c r="F3239" s="4" t="inlineStr">
        <is>
          <t>Friends</t>
        </is>
      </c>
      <c r="G3239" s="4" t="inlineStr">
        <is>
          <t>Expense</t>
        </is>
      </c>
      <c r="H3239" s="12" t="n">
        <v>46086</v>
      </c>
      <c r="I3239" s="13" t="n">
        <v>0.8611342592592592</v>
      </c>
      <c r="J3239" s="14" t="n">
        <v>46086.86113425926</v>
      </c>
      <c r="K3239" s="15" t="n">
        <v>15144.44</v>
      </c>
      <c r="L3239" s="4" t="inlineStr">
        <is>
          <t>INR</t>
        </is>
      </c>
      <c r="M3239" s="15" t="n">
        <v>-15144.44</v>
      </c>
      <c r="N3239" s="4" t="inlineStr">
        <is>
          <t>IOS Owner</t>
        </is>
      </c>
      <c r="O3239" s="4" t="n"/>
      <c r="P3239" s="4" t="n"/>
      <c r="Q3239" s="4" t="inlineStr">
        <is>
          <t>MAESTRO-IOS-PERSONAL-RELATIONSHIPS-3238 | Friends | 15144.44</t>
        </is>
      </c>
      <c r="R3239" s="4" t="inlineStr">
        <is>
          <t>iPhone</t>
        </is>
      </c>
      <c r="S3239" s="4" t="inlineStr">
        <is>
          <t>B65</t>
        </is>
      </c>
      <c r="T3239" s="4" t="inlineStr">
        <is>
          <t>STRESS_3001_3500</t>
        </is>
      </c>
      <c r="U3239" s="4" t="inlineStr">
        <is>
          <t>CREATED</t>
        </is>
      </c>
      <c r="V3239" s="4" t="inlineStr">
        <is>
          <t>idem-20260902-ios-3238</t>
        </is>
      </c>
    </row>
    <row r="3240" ht="30" customHeight="1">
      <c r="A3240" s="4" t="n">
        <v>3239</v>
      </c>
      <c r="B3240" s="4" t="inlineStr">
        <is>
          <t>MTR-IOS-3239</t>
        </is>
      </c>
      <c r="C3240" s="4" t="inlineStr">
        <is>
          <t>Group</t>
        </is>
      </c>
      <c r="D3240" s="4" t="inlineStr">
        <is>
          <t>Shared Purchase</t>
        </is>
      </c>
      <c r="E3240" s="4" t="inlineStr">
        <is>
          <t>Assets</t>
        </is>
      </c>
      <c r="F3240" s="4" t="inlineStr">
        <is>
          <t>Insurance</t>
        </is>
      </c>
      <c r="G3240" s="4" t="inlineStr">
        <is>
          <t>Expense</t>
        </is>
      </c>
      <c r="H3240" s="12" t="n">
        <v>45957</v>
      </c>
      <c r="I3240" s="13" t="n">
        <v>0.9974421296296296</v>
      </c>
      <c r="J3240" s="14" t="n">
        <v>45957.99744212963</v>
      </c>
      <c r="K3240" s="15" t="n">
        <v>6951.05</v>
      </c>
      <c r="L3240" s="4" t="inlineStr">
        <is>
          <t>INR</t>
        </is>
      </c>
      <c r="M3240" s="15" t="n">
        <v>-6951.05</v>
      </c>
      <c r="N3240" s="4" t="inlineStr">
        <is>
          <t>IOS Meera</t>
        </is>
      </c>
      <c r="O3240" s="4" t="n">
        <v>3</v>
      </c>
      <c r="P3240" s="4" t="inlineStr">
        <is>
          <t>SHARES</t>
        </is>
      </c>
      <c r="Q3240" s="4" t="inlineStr">
        <is>
          <t>MAESTRO-IOS-GROUP-ASSETS-3239 | Insurance | 6951.05</t>
        </is>
      </c>
      <c r="R3240" s="4" t="inlineStr">
        <is>
          <t>iPhone</t>
        </is>
      </c>
      <c r="S3240" s="4" t="inlineStr">
        <is>
          <t>B65</t>
        </is>
      </c>
      <c r="T3240" s="4" t="inlineStr">
        <is>
          <t>STRESS_3001_3500</t>
        </is>
      </c>
      <c r="U3240" s="4" t="inlineStr">
        <is>
          <t>CREATED</t>
        </is>
      </c>
      <c r="V3240" s="4" t="inlineStr">
        <is>
          <t>idem-20260902-ios-3239</t>
        </is>
      </c>
    </row>
    <row r="3241" ht="30" customHeight="1">
      <c r="A3241" s="4" t="n">
        <v>3240</v>
      </c>
      <c r="B3241" s="4" t="inlineStr">
        <is>
          <t>MTR-IOS-3240</t>
        </is>
      </c>
      <c r="C3241" s="4" t="inlineStr">
        <is>
          <t>Business</t>
        </is>
      </c>
      <c r="D3241" s="4" t="inlineStr">
        <is>
          <t>Business</t>
        </is>
      </c>
      <c r="E3241" s="4" t="inlineStr">
        <is>
          <t>Business Runway</t>
        </is>
      </c>
      <c r="F3241" s="4" t="inlineStr">
        <is>
          <t>Revenue</t>
        </is>
      </c>
      <c r="G3241" s="4" t="inlineStr">
        <is>
          <t>Income</t>
        </is>
      </c>
      <c r="H3241" s="12" t="n">
        <v>46032</v>
      </c>
      <c r="I3241" s="13" t="n">
        <v>0.9350347222222222</v>
      </c>
      <c r="J3241" s="14" t="n">
        <v>46032.93503472222</v>
      </c>
      <c r="K3241" s="15" t="n">
        <v>65605.12</v>
      </c>
      <c r="L3241" s="4" t="inlineStr">
        <is>
          <t>INR</t>
        </is>
      </c>
      <c r="M3241" s="15" t="n">
        <v>65605.12</v>
      </c>
      <c r="N3241" s="4" t="inlineStr">
        <is>
          <t>IOS Owner</t>
        </is>
      </c>
      <c r="O3241" s="4" t="n"/>
      <c r="P3241" s="4" t="n"/>
      <c r="Q3241" s="4" t="inlineStr">
        <is>
          <t>MAESTRO-IOS-BUSINESS-BUSINESS_RUNWAY-3240 | Revenue | 65605.12</t>
        </is>
      </c>
      <c r="R3241" s="4" t="inlineStr">
        <is>
          <t>iPhone</t>
        </is>
      </c>
      <c r="S3241" s="4" t="inlineStr">
        <is>
          <t>B65</t>
        </is>
      </c>
      <c r="T3241" s="4" t="inlineStr">
        <is>
          <t>STRESS_3001_3500</t>
        </is>
      </c>
      <c r="U3241" s="4" t="inlineStr">
        <is>
          <t>CREATED</t>
        </is>
      </c>
      <c r="V3241" s="4" t="inlineStr">
        <is>
          <t>idem-20260902-ios-3240</t>
        </is>
      </c>
    </row>
    <row r="3242" ht="30" customHeight="1">
      <c r="A3242" s="4" t="n">
        <v>3241</v>
      </c>
      <c r="B3242" s="4" t="inlineStr">
        <is>
          <t>MTR-IOS-3241</t>
        </is>
      </c>
      <c r="C3242" s="4" t="inlineStr">
        <is>
          <t>Personal</t>
        </is>
      </c>
      <c r="D3242" s="4" t="inlineStr">
        <is>
          <t>Personal</t>
        </is>
      </c>
      <c r="E3242" s="4" t="inlineStr">
        <is>
          <t>Relationships</t>
        </is>
      </c>
      <c r="F3242" s="4" t="inlineStr">
        <is>
          <t>Celebrations</t>
        </is>
      </c>
      <c r="G3242" s="4" t="inlineStr">
        <is>
          <t>Expense</t>
        </is>
      </c>
      <c r="H3242" s="12" t="n">
        <v>46228</v>
      </c>
      <c r="I3242" s="13" t="n">
        <v>0.8890972222222222</v>
      </c>
      <c r="J3242" s="14" t="n">
        <v>46228.88909722222</v>
      </c>
      <c r="K3242" s="15" t="n">
        <v>11576.92</v>
      </c>
      <c r="L3242" s="4" t="inlineStr">
        <is>
          <t>INR</t>
        </is>
      </c>
      <c r="M3242" s="15" t="n">
        <v>-11576.92</v>
      </c>
      <c r="N3242" s="4" t="inlineStr">
        <is>
          <t>IOS Owner</t>
        </is>
      </c>
      <c r="O3242" s="4" t="n"/>
      <c r="P3242" s="4" t="n"/>
      <c r="Q3242" s="4" t="inlineStr">
        <is>
          <t>MAESTRO-IOS-PERSONAL-RELATIONSHIPS-3241 | Celebrations | 11576.92</t>
        </is>
      </c>
      <c r="R3242" s="4" t="inlineStr">
        <is>
          <t>iPhone</t>
        </is>
      </c>
      <c r="S3242" s="4" t="inlineStr">
        <is>
          <t>B65</t>
        </is>
      </c>
      <c r="T3242" s="4" t="inlineStr">
        <is>
          <t>STRESS_3001_3500</t>
        </is>
      </c>
      <c r="U3242" s="4" t="inlineStr">
        <is>
          <t>CREATED</t>
        </is>
      </c>
      <c r="V3242" s="4" t="inlineStr">
        <is>
          <t>idem-20260902-ios-3241</t>
        </is>
      </c>
    </row>
    <row r="3243" ht="30" customHeight="1">
      <c r="A3243" s="4" t="n">
        <v>3242</v>
      </c>
      <c r="B3243" s="4" t="inlineStr">
        <is>
          <t>MTR-IOS-3242</t>
        </is>
      </c>
      <c r="C3243" s="4" t="inlineStr">
        <is>
          <t>Group</t>
        </is>
      </c>
      <c r="D3243" s="4" t="inlineStr">
        <is>
          <t>Shared Purchase</t>
        </is>
      </c>
      <c r="E3243" s="4" t="inlineStr">
        <is>
          <t>Assets</t>
        </is>
      </c>
      <c r="F3243" s="4" t="inlineStr">
        <is>
          <t>Other</t>
        </is>
      </c>
      <c r="G3243" s="4" t="inlineStr">
        <is>
          <t>Expense</t>
        </is>
      </c>
      <c r="H3243" s="12" t="n">
        <v>46173</v>
      </c>
      <c r="I3243" s="13" t="n">
        <v>0.5501851851851852</v>
      </c>
      <c r="J3243" s="14" t="n">
        <v>46173.55018518519</v>
      </c>
      <c r="K3243" s="15" t="n">
        <v>3861.79</v>
      </c>
      <c r="L3243" s="4" t="inlineStr">
        <is>
          <t>INR</t>
        </is>
      </c>
      <c r="M3243" s="15" t="n">
        <v>-3861.79</v>
      </c>
      <c r="N3243" s="4" t="inlineStr">
        <is>
          <t>IOS Owner</t>
        </is>
      </c>
      <c r="O3243" s="4" t="n">
        <v>3</v>
      </c>
      <c r="P3243" s="4" t="inlineStr">
        <is>
          <t>EQUAL</t>
        </is>
      </c>
      <c r="Q3243" s="4" t="inlineStr">
        <is>
          <t>MAESTRO-IOS-GROUP-ASSETS-3242 | Other | 3861.79</t>
        </is>
      </c>
      <c r="R3243" s="4" t="inlineStr">
        <is>
          <t>iPhone</t>
        </is>
      </c>
      <c r="S3243" s="4" t="inlineStr">
        <is>
          <t>B65</t>
        </is>
      </c>
      <c r="T3243" s="4" t="inlineStr">
        <is>
          <t>STRESS_3001_3500</t>
        </is>
      </c>
      <c r="U3243" s="4" t="inlineStr">
        <is>
          <t>CREATED</t>
        </is>
      </c>
      <c r="V3243" s="4" t="inlineStr">
        <is>
          <t>idem-20260902-ios-3242</t>
        </is>
      </c>
    </row>
    <row r="3244" ht="30" customHeight="1">
      <c r="A3244" s="4" t="n">
        <v>3243</v>
      </c>
      <c r="B3244" s="4" t="inlineStr">
        <is>
          <t>MTR-IOS-3243</t>
        </is>
      </c>
      <c r="C3244" s="4" t="inlineStr">
        <is>
          <t>Business</t>
        </is>
      </c>
      <c r="D3244" s="4" t="inlineStr">
        <is>
          <t>Business</t>
        </is>
      </c>
      <c r="E3244" s="4" t="inlineStr">
        <is>
          <t>Business Runway</t>
        </is>
      </c>
      <c r="F3244" s="4" t="inlineStr">
        <is>
          <t>Burn</t>
        </is>
      </c>
      <c r="G3244" s="4" t="inlineStr">
        <is>
          <t>Expense</t>
        </is>
      </c>
      <c r="H3244" s="12" t="n">
        <v>46179</v>
      </c>
      <c r="I3244" s="13" t="n">
        <v>0.1798032407407407</v>
      </c>
      <c r="J3244" s="14" t="n">
        <v>46179.17980324074</v>
      </c>
      <c r="K3244" s="15" t="n">
        <v>68664.14</v>
      </c>
      <c r="L3244" s="4" t="inlineStr">
        <is>
          <t>INR</t>
        </is>
      </c>
      <c r="M3244" s="15" t="n">
        <v>-68664.14</v>
      </c>
      <c r="N3244" s="4" t="inlineStr">
        <is>
          <t>IOS Owner</t>
        </is>
      </c>
      <c r="O3244" s="4" t="n"/>
      <c r="P3244" s="4" t="n"/>
      <c r="Q3244" s="4" t="inlineStr">
        <is>
          <t>MAESTRO-IOS-BUSINESS-BUSINESS_RUNWAY-3243 | Burn | 68664.14</t>
        </is>
      </c>
      <c r="R3244" s="4" t="inlineStr">
        <is>
          <t>iPhone</t>
        </is>
      </c>
      <c r="S3244" s="4" t="inlineStr">
        <is>
          <t>B65</t>
        </is>
      </c>
      <c r="T3244" s="4" t="inlineStr">
        <is>
          <t>STRESS_3001_3500</t>
        </is>
      </c>
      <c r="U3244" s="4" t="inlineStr">
        <is>
          <t>CREATED</t>
        </is>
      </c>
      <c r="V3244" s="4" t="inlineStr">
        <is>
          <t>idem-20260902-ios-3243</t>
        </is>
      </c>
    </row>
    <row r="3245" ht="30" customHeight="1">
      <c r="A3245" s="4" t="n">
        <v>3244</v>
      </c>
      <c r="B3245" s="4" t="inlineStr">
        <is>
          <t>MTR-IOS-3244</t>
        </is>
      </c>
      <c r="C3245" s="4" t="inlineStr">
        <is>
          <t>Personal</t>
        </is>
      </c>
      <c r="D3245" s="4" t="inlineStr">
        <is>
          <t>Personal</t>
        </is>
      </c>
      <c r="E3245" s="4" t="inlineStr">
        <is>
          <t>Life Operations</t>
        </is>
      </c>
      <c r="F3245" s="4" t="inlineStr">
        <is>
          <t>Groceries</t>
        </is>
      </c>
      <c r="G3245" s="4" t="inlineStr">
        <is>
          <t>Expense</t>
        </is>
      </c>
      <c r="H3245" s="12" t="n">
        <v>46202</v>
      </c>
      <c r="I3245" s="13" t="n">
        <v>0.4082291666666666</v>
      </c>
      <c r="J3245" s="14" t="n">
        <v>46202.40822916666</v>
      </c>
      <c r="K3245" s="15" t="n">
        <v>8905.25</v>
      </c>
      <c r="L3245" s="4" t="inlineStr">
        <is>
          <t>INR</t>
        </is>
      </c>
      <c r="M3245" s="15" t="n">
        <v>-8905.25</v>
      </c>
      <c r="N3245" s="4" t="inlineStr">
        <is>
          <t>IOS Owner</t>
        </is>
      </c>
      <c r="O3245" s="4" t="n"/>
      <c r="P3245" s="4" t="n"/>
      <c r="Q3245" s="4" t="inlineStr">
        <is>
          <t>MAESTRO-IOS-PERSONAL-LIFE_OPERATIONS-3244 | Groceries | 8905.25</t>
        </is>
      </c>
      <c r="R3245" s="4" t="inlineStr">
        <is>
          <t>iPhone</t>
        </is>
      </c>
      <c r="S3245" s="4" t="inlineStr">
        <is>
          <t>B65</t>
        </is>
      </c>
      <c r="T3245" s="4" t="inlineStr">
        <is>
          <t>STRESS_3001_3500</t>
        </is>
      </c>
      <c r="U3245" s="4" t="inlineStr">
        <is>
          <t>CREATED</t>
        </is>
      </c>
      <c r="V3245" s="4" t="inlineStr">
        <is>
          <t>idem-20260902-ios-3244</t>
        </is>
      </c>
    </row>
    <row r="3246" ht="30" customHeight="1">
      <c r="A3246" s="4" t="n">
        <v>3245</v>
      </c>
      <c r="B3246" s="4" t="inlineStr">
        <is>
          <t>MTR-IOS-3245</t>
        </is>
      </c>
      <c r="C3246" s="4" t="inlineStr">
        <is>
          <t>Group</t>
        </is>
      </c>
      <c r="D3246" s="4" t="inlineStr">
        <is>
          <t>Shared Purchase</t>
        </is>
      </c>
      <c r="E3246" s="4" t="inlineStr">
        <is>
          <t>Custom Purchase</t>
        </is>
      </c>
      <c r="F3246" s="4" t="inlineStr">
        <is>
          <t>Custom Expense</t>
        </is>
      </c>
      <c r="G3246" s="4" t="inlineStr">
        <is>
          <t>Expense</t>
        </is>
      </c>
      <c r="H3246" s="12" t="n">
        <v>45967</v>
      </c>
      <c r="I3246" s="13" t="n">
        <v>0.07989583333333333</v>
      </c>
      <c r="J3246" s="14" t="n">
        <v>45967.07989583333</v>
      </c>
      <c r="K3246" s="15" t="n">
        <v>8183.63</v>
      </c>
      <c r="L3246" s="4" t="inlineStr">
        <is>
          <t>INR</t>
        </is>
      </c>
      <c r="M3246" s="15" t="n">
        <v>-8183.63</v>
      </c>
      <c r="N3246" s="4" t="inlineStr">
        <is>
          <t>IOS Aarav</t>
        </is>
      </c>
      <c r="O3246" s="4" t="n">
        <v>3</v>
      </c>
      <c r="P3246" s="4" t="inlineStr">
        <is>
          <t>PERCENTAGE</t>
        </is>
      </c>
      <c r="Q3246" s="4" t="inlineStr">
        <is>
          <t>MAESTRO-IOS-GROUP-CUSTOM_PURCHASE-3245 | Custom Expense | 8183.63</t>
        </is>
      </c>
      <c r="R3246" s="4" t="inlineStr">
        <is>
          <t>iPhone</t>
        </is>
      </c>
      <c r="S3246" s="4" t="inlineStr">
        <is>
          <t>B65</t>
        </is>
      </c>
      <c r="T3246" s="4" t="inlineStr">
        <is>
          <t>STRESS_3001_3500</t>
        </is>
      </c>
      <c r="U3246" s="4" t="inlineStr">
        <is>
          <t>CREATED</t>
        </is>
      </c>
      <c r="V3246" s="4" t="inlineStr">
        <is>
          <t>idem-20260902-ios-3245</t>
        </is>
      </c>
    </row>
    <row r="3247" ht="30" customHeight="1">
      <c r="A3247" s="4" t="n">
        <v>3246</v>
      </c>
      <c r="B3247" s="4" t="inlineStr">
        <is>
          <t>MTR-IOS-3246</t>
        </is>
      </c>
      <c r="C3247" s="4" t="inlineStr">
        <is>
          <t>Business</t>
        </is>
      </c>
      <c r="D3247" s="4" t="inlineStr">
        <is>
          <t>Business</t>
        </is>
      </c>
      <c r="E3247" s="4" t="inlineStr">
        <is>
          <t>Business Runway</t>
        </is>
      </c>
      <c r="F3247" s="4" t="inlineStr">
        <is>
          <t>Reserve</t>
        </is>
      </c>
      <c r="G3247" s="4" t="inlineStr">
        <is>
          <t>Transfer</t>
        </is>
      </c>
      <c r="H3247" s="12" t="n">
        <v>46135</v>
      </c>
      <c r="I3247" s="13" t="n">
        <v>0.02584490740740741</v>
      </c>
      <c r="J3247" s="14" t="n">
        <v>46135.02584490741</v>
      </c>
      <c r="K3247" s="15" t="n">
        <v>55908.61</v>
      </c>
      <c r="L3247" s="4" t="inlineStr">
        <is>
          <t>INR</t>
        </is>
      </c>
      <c r="M3247" s="15" t="n">
        <v>0</v>
      </c>
      <c r="N3247" s="4" t="inlineStr">
        <is>
          <t>IOS Owner</t>
        </is>
      </c>
      <c r="O3247" s="4" t="n"/>
      <c r="P3247" s="4" t="n"/>
      <c r="Q3247" s="4" t="inlineStr">
        <is>
          <t>MAESTRO-IOS-BUSINESS-BUSINESS_RUNWAY-3246 | Reserve | 55908.61</t>
        </is>
      </c>
      <c r="R3247" s="4" t="inlineStr">
        <is>
          <t>iPhone</t>
        </is>
      </c>
      <c r="S3247" s="4" t="inlineStr">
        <is>
          <t>B65</t>
        </is>
      </c>
      <c r="T3247" s="4" t="inlineStr">
        <is>
          <t>STRESS_3001_3500</t>
        </is>
      </c>
      <c r="U3247" s="4" t="inlineStr">
        <is>
          <t>CREATED</t>
        </is>
      </c>
      <c r="V3247" s="4" t="inlineStr">
        <is>
          <t>idem-20260902-ios-3246</t>
        </is>
      </c>
    </row>
    <row r="3248" ht="30" customHeight="1">
      <c r="A3248" s="4" t="n">
        <v>3247</v>
      </c>
      <c r="B3248" s="4" t="inlineStr">
        <is>
          <t>MTR-IOS-3247</t>
        </is>
      </c>
      <c r="C3248" s="4" t="inlineStr">
        <is>
          <t>Personal</t>
        </is>
      </c>
      <c r="D3248" s="4" t="inlineStr">
        <is>
          <t>Personal</t>
        </is>
      </c>
      <c r="E3248" s="4" t="inlineStr">
        <is>
          <t>Life Operations</t>
        </is>
      </c>
      <c r="F3248" s="4" t="inlineStr">
        <is>
          <t>Rent</t>
        </is>
      </c>
      <c r="G3248" s="4" t="inlineStr">
        <is>
          <t>Expense</t>
        </is>
      </c>
      <c r="H3248" s="12" t="n">
        <v>46127</v>
      </c>
      <c r="I3248" s="13" t="n">
        <v>0.5976388888888889</v>
      </c>
      <c r="J3248" s="14" t="n">
        <v>46127.59763888889</v>
      </c>
      <c r="K3248" s="15" t="n">
        <v>4970.23</v>
      </c>
      <c r="L3248" s="4" t="inlineStr">
        <is>
          <t>INR</t>
        </is>
      </c>
      <c r="M3248" s="15" t="n">
        <v>-4970.23</v>
      </c>
      <c r="N3248" s="4" t="inlineStr">
        <is>
          <t>IOS Owner</t>
        </is>
      </c>
      <c r="O3248" s="4" t="n"/>
      <c r="P3248" s="4" t="n"/>
      <c r="Q3248" s="4" t="inlineStr">
        <is>
          <t>MAESTRO-IOS-PERSONAL-LIFE_OPERATIONS-3247 | Rent | 4970.23</t>
        </is>
      </c>
      <c r="R3248" s="4" t="inlineStr">
        <is>
          <t>iPhone</t>
        </is>
      </c>
      <c r="S3248" s="4" t="inlineStr">
        <is>
          <t>B65</t>
        </is>
      </c>
      <c r="T3248" s="4" t="inlineStr">
        <is>
          <t>STRESS_3001_3500</t>
        </is>
      </c>
      <c r="U3248" s="4" t="inlineStr">
        <is>
          <t>CREATED</t>
        </is>
      </c>
      <c r="V3248" s="4" t="inlineStr">
        <is>
          <t>idem-20260902-ios-3247</t>
        </is>
      </c>
    </row>
    <row r="3249" ht="30" customHeight="1">
      <c r="A3249" s="4" t="n">
        <v>3248</v>
      </c>
      <c r="B3249" s="4" t="inlineStr">
        <is>
          <t>MTR-IOS-3248</t>
        </is>
      </c>
      <c r="C3249" s="4" t="inlineStr">
        <is>
          <t>Group</t>
        </is>
      </c>
      <c r="D3249" s="4" t="inlineStr">
        <is>
          <t>Shared Purchase</t>
        </is>
      </c>
      <c r="E3249" s="4" t="inlineStr">
        <is>
          <t>Custom Purchase</t>
        </is>
      </c>
      <c r="F3249" s="4" t="inlineStr">
        <is>
          <t>Custom Contribution</t>
        </is>
      </c>
      <c r="G3249" s="4" t="inlineStr">
        <is>
          <t>Contribution</t>
        </is>
      </c>
      <c r="H3249" s="12" t="n">
        <v>46172</v>
      </c>
      <c r="I3249" s="13" t="n">
        <v>0.5578819444444445</v>
      </c>
      <c r="J3249" s="14" t="n">
        <v>46172.55788194444</v>
      </c>
      <c r="K3249" s="15" t="n">
        <v>18379.16</v>
      </c>
      <c r="L3249" s="4" t="inlineStr">
        <is>
          <t>INR</t>
        </is>
      </c>
      <c r="M3249" s="15" t="n">
        <v>18379.16</v>
      </c>
      <c r="N3249" s="4" t="inlineStr">
        <is>
          <t>IOS Meera</t>
        </is>
      </c>
      <c r="O3249" s="4" t="n">
        <v>3</v>
      </c>
      <c r="P3249" s="4" t="inlineStr">
        <is>
          <t>EXACT</t>
        </is>
      </c>
      <c r="Q3249" s="4" t="inlineStr">
        <is>
          <t>MAESTRO-IOS-GROUP-CUSTOM_PURCHASE-3248 | Custom Contribution | 18379.16</t>
        </is>
      </c>
      <c r="R3249" s="4" t="inlineStr">
        <is>
          <t>iPhone</t>
        </is>
      </c>
      <c r="S3249" s="4" t="inlineStr">
        <is>
          <t>B65</t>
        </is>
      </c>
      <c r="T3249" s="4" t="inlineStr">
        <is>
          <t>STRESS_3001_3500</t>
        </is>
      </c>
      <c r="U3249" s="4" t="inlineStr">
        <is>
          <t>CREATED</t>
        </is>
      </c>
      <c r="V3249" s="4" t="inlineStr">
        <is>
          <t>idem-20260902-ios-3248</t>
        </is>
      </c>
    </row>
    <row r="3250" ht="30" customHeight="1">
      <c r="A3250" s="4" t="n">
        <v>3249</v>
      </c>
      <c r="B3250" s="4" t="inlineStr">
        <is>
          <t>MTR-IOS-3249</t>
        </is>
      </c>
      <c r="C3250" s="4" t="inlineStr">
        <is>
          <t>Business</t>
        </is>
      </c>
      <c r="D3250" s="4" t="inlineStr">
        <is>
          <t>Business</t>
        </is>
      </c>
      <c r="E3250" s="4" t="inlineStr">
        <is>
          <t>Business Runway</t>
        </is>
      </c>
      <c r="F3250" s="4" t="inlineStr">
        <is>
          <t>Loan</t>
        </is>
      </c>
      <c r="G3250" s="4" t="inlineStr">
        <is>
          <t>Income</t>
        </is>
      </c>
      <c r="H3250" s="12" t="n">
        <v>45967</v>
      </c>
      <c r="I3250" s="13" t="n">
        <v>0.4791203703703704</v>
      </c>
      <c r="J3250" s="14" t="n">
        <v>45967.47912037037</v>
      </c>
      <c r="K3250" s="15" t="n">
        <v>67670.58</v>
      </c>
      <c r="L3250" s="4" t="inlineStr">
        <is>
          <t>INR</t>
        </is>
      </c>
      <c r="M3250" s="15" t="n">
        <v>67670.58</v>
      </c>
      <c r="N3250" s="4" t="inlineStr">
        <is>
          <t>IOS Owner</t>
        </is>
      </c>
      <c r="O3250" s="4" t="n"/>
      <c r="P3250" s="4" t="n"/>
      <c r="Q3250" s="4" t="inlineStr">
        <is>
          <t>MAESTRO-IOS-BUSINESS-BUSINESS_RUNWAY-3249 | Loan | 67670.58</t>
        </is>
      </c>
      <c r="R3250" s="4" t="inlineStr">
        <is>
          <t>iPhone</t>
        </is>
      </c>
      <c r="S3250" s="4" t="inlineStr">
        <is>
          <t>B65</t>
        </is>
      </c>
      <c r="T3250" s="4" t="inlineStr">
        <is>
          <t>STRESS_3001_3500</t>
        </is>
      </c>
      <c r="U3250" s="4" t="inlineStr">
        <is>
          <t>CREATED</t>
        </is>
      </c>
      <c r="V3250" s="4" t="inlineStr">
        <is>
          <t>idem-20260902-ios-3249</t>
        </is>
      </c>
    </row>
    <row r="3251" ht="30" customHeight="1">
      <c r="A3251" s="4" t="n">
        <v>3250</v>
      </c>
      <c r="B3251" s="4" t="inlineStr">
        <is>
          <t>MTR-IOS-3250</t>
        </is>
      </c>
      <c r="C3251" s="4" t="inlineStr">
        <is>
          <t>Personal</t>
        </is>
      </c>
      <c r="D3251" s="4" t="inlineStr">
        <is>
          <t>Personal</t>
        </is>
      </c>
      <c r="E3251" s="4" t="inlineStr">
        <is>
          <t>Life Operations</t>
        </is>
      </c>
      <c r="F3251" s="4" t="inlineStr">
        <is>
          <t>Bills</t>
        </is>
      </c>
      <c r="G3251" s="4" t="inlineStr">
        <is>
          <t>Expense</t>
        </is>
      </c>
      <c r="H3251" s="12" t="n">
        <v>45992</v>
      </c>
      <c r="I3251" s="13" t="n">
        <v>0.1162847222222222</v>
      </c>
      <c r="J3251" s="14" t="n">
        <v>45992.11628472222</v>
      </c>
      <c r="K3251" s="15" t="n">
        <v>16537.54</v>
      </c>
      <c r="L3251" s="4" t="inlineStr">
        <is>
          <t>INR</t>
        </is>
      </c>
      <c r="M3251" s="15" t="n">
        <v>-16537.54</v>
      </c>
      <c r="N3251" s="4" t="inlineStr">
        <is>
          <t>IOS Owner</t>
        </is>
      </c>
      <c r="O3251" s="4" t="n"/>
      <c r="P3251" s="4" t="n"/>
      <c r="Q3251" s="4" t="inlineStr">
        <is>
          <t>MAESTRO-IOS-PERSONAL-LIFE_OPERATIONS-3250 | Bills | 16537.54</t>
        </is>
      </c>
      <c r="R3251" s="4" t="inlineStr">
        <is>
          <t>iPhone</t>
        </is>
      </c>
      <c r="S3251" s="4" t="inlineStr">
        <is>
          <t>B65</t>
        </is>
      </c>
      <c r="T3251" s="4" t="inlineStr">
        <is>
          <t>STRESS_3001_3500</t>
        </is>
      </c>
      <c r="U3251" s="4" t="inlineStr">
        <is>
          <t>CREATED</t>
        </is>
      </c>
      <c r="V3251" s="4" t="inlineStr">
        <is>
          <t>idem-20260902-ios-3250</t>
        </is>
      </c>
    </row>
    <row r="3252" ht="30" customHeight="1">
      <c r="A3252" s="4" t="n">
        <v>3251</v>
      </c>
      <c r="B3252" s="4" t="inlineStr">
        <is>
          <t>MTR-IOS-3251</t>
        </is>
      </c>
      <c r="C3252" s="4" t="inlineStr">
        <is>
          <t>Group</t>
        </is>
      </c>
      <c r="D3252" s="4" t="inlineStr">
        <is>
          <t>Shared Living</t>
        </is>
      </c>
      <c r="E3252" s="4" t="inlineStr">
        <is>
          <t>Flatmates</t>
        </is>
      </c>
      <c r="F3252" s="4" t="inlineStr">
        <is>
          <t>Rent</t>
        </is>
      </c>
      <c r="G3252" s="4" t="inlineStr">
        <is>
          <t>Expense</t>
        </is>
      </c>
      <c r="H3252" s="12" t="n">
        <v>45979</v>
      </c>
      <c r="I3252" s="13" t="n">
        <v>0.8607986111111111</v>
      </c>
      <c r="J3252" s="14" t="n">
        <v>45979.86079861111</v>
      </c>
      <c r="K3252" s="15" t="n">
        <v>6311.45</v>
      </c>
      <c r="L3252" s="4" t="inlineStr">
        <is>
          <t>INR</t>
        </is>
      </c>
      <c r="M3252" s="15" t="n">
        <v>-6311.45</v>
      </c>
      <c r="N3252" s="4" t="inlineStr">
        <is>
          <t>IOS Owner</t>
        </is>
      </c>
      <c r="O3252" s="4" t="n">
        <v>3</v>
      </c>
      <c r="P3252" s="4" t="inlineStr">
        <is>
          <t>SHARES</t>
        </is>
      </c>
      <c r="Q3252" s="4" t="inlineStr">
        <is>
          <t>MAESTRO-IOS-GROUP-FLATMATES-3251 | Rent | 6311.45</t>
        </is>
      </c>
      <c r="R3252" s="4" t="inlineStr">
        <is>
          <t>iPhone</t>
        </is>
      </c>
      <c r="S3252" s="4" t="inlineStr">
        <is>
          <t>B66</t>
        </is>
      </c>
      <c r="T3252" s="4" t="inlineStr">
        <is>
          <t>STRESS_3001_3500</t>
        </is>
      </c>
      <c r="U3252" s="4" t="inlineStr">
        <is>
          <t>CREATED</t>
        </is>
      </c>
      <c r="V3252" s="4" t="inlineStr">
        <is>
          <t>idem-20260902-ios-3251</t>
        </is>
      </c>
    </row>
    <row r="3253" ht="30" customHeight="1">
      <c r="A3253" s="4" t="n">
        <v>3252</v>
      </c>
      <c r="B3253" s="4" t="inlineStr">
        <is>
          <t>MTR-IOS-3252</t>
        </is>
      </c>
      <c r="C3253" s="4" t="inlineStr">
        <is>
          <t>Business</t>
        </is>
      </c>
      <c r="D3253" s="4" t="inlineStr">
        <is>
          <t>Business</t>
        </is>
      </c>
      <c r="E3253" s="4" t="inlineStr">
        <is>
          <t>Business Runway</t>
        </is>
      </c>
      <c r="F3253" s="4" t="inlineStr">
        <is>
          <t>Investment</t>
        </is>
      </c>
      <c r="G3253" s="4" t="inlineStr">
        <is>
          <t>Income</t>
        </is>
      </c>
      <c r="H3253" s="12" t="n">
        <v>46006</v>
      </c>
      <c r="I3253" s="13" t="n">
        <v>0.6849074074074074</v>
      </c>
      <c r="J3253" s="14" t="n">
        <v>46006.68490740741</v>
      </c>
      <c r="K3253" s="15" t="n">
        <v>92887.24000000001</v>
      </c>
      <c r="L3253" s="4" t="inlineStr">
        <is>
          <t>INR</t>
        </is>
      </c>
      <c r="M3253" s="15" t="n">
        <v>92887.24000000001</v>
      </c>
      <c r="N3253" s="4" t="inlineStr">
        <is>
          <t>IOS Owner</t>
        </is>
      </c>
      <c r="O3253" s="4" t="n"/>
      <c r="P3253" s="4" t="n"/>
      <c r="Q3253" s="4" t="inlineStr">
        <is>
          <t>MAESTRO-IOS-BUSINESS-BUSINESS_RUNWAY-3252 | Investment | 92887.24</t>
        </is>
      </c>
      <c r="R3253" s="4" t="inlineStr">
        <is>
          <t>iPhone</t>
        </is>
      </c>
      <c r="S3253" s="4" t="inlineStr">
        <is>
          <t>B66</t>
        </is>
      </c>
      <c r="T3253" s="4" t="inlineStr">
        <is>
          <t>STRESS_3001_3500</t>
        </is>
      </c>
      <c r="U3253" s="4" t="inlineStr">
        <is>
          <t>CREATED</t>
        </is>
      </c>
      <c r="V3253" s="4" t="inlineStr">
        <is>
          <t>idem-20260902-ios-3252</t>
        </is>
      </c>
    </row>
    <row r="3254" ht="30" customHeight="1">
      <c r="A3254" s="4" t="n">
        <v>3253</v>
      </c>
      <c r="B3254" s="4" t="inlineStr">
        <is>
          <t>MTR-IOS-3253</t>
        </is>
      </c>
      <c r="C3254" s="4" t="inlineStr">
        <is>
          <t>Personal</t>
        </is>
      </c>
      <c r="D3254" s="4" t="inlineStr">
        <is>
          <t>Personal</t>
        </is>
      </c>
      <c r="E3254" s="4" t="inlineStr">
        <is>
          <t>Life Operations</t>
        </is>
      </c>
      <c r="F3254" s="4" t="inlineStr">
        <is>
          <t>Transport</t>
        </is>
      </c>
      <c r="G3254" s="4" t="inlineStr">
        <is>
          <t>Expense</t>
        </is>
      </c>
      <c r="H3254" s="12" t="n">
        <v>46144</v>
      </c>
      <c r="I3254" s="13" t="n">
        <v>0.7364236111111111</v>
      </c>
      <c r="J3254" s="14" t="n">
        <v>46144.73642361111</v>
      </c>
      <c r="K3254" s="15" t="n">
        <v>4505.99</v>
      </c>
      <c r="L3254" s="4" t="inlineStr">
        <is>
          <t>INR</t>
        </is>
      </c>
      <c r="M3254" s="15" t="n">
        <v>-4505.99</v>
      </c>
      <c r="N3254" s="4" t="inlineStr">
        <is>
          <t>IOS Owner</t>
        </is>
      </c>
      <c r="O3254" s="4" t="n"/>
      <c r="P3254" s="4" t="n"/>
      <c r="Q3254" s="4" t="inlineStr">
        <is>
          <t>MAESTRO-IOS-PERSONAL-LIFE_OPERATIONS-3253 | Transport | 4505.99</t>
        </is>
      </c>
      <c r="R3254" s="4" t="inlineStr">
        <is>
          <t>iPhone</t>
        </is>
      </c>
      <c r="S3254" s="4" t="inlineStr">
        <is>
          <t>B66</t>
        </is>
      </c>
      <c r="T3254" s="4" t="inlineStr">
        <is>
          <t>STRESS_3001_3500</t>
        </is>
      </c>
      <c r="U3254" s="4" t="inlineStr">
        <is>
          <t>CREATED</t>
        </is>
      </c>
      <c r="V3254" s="4" t="inlineStr">
        <is>
          <t>idem-20260902-ios-3253</t>
        </is>
      </c>
    </row>
    <row r="3255" ht="30" customHeight="1">
      <c r="A3255" s="4" t="n">
        <v>3254</v>
      </c>
      <c r="B3255" s="4" t="inlineStr">
        <is>
          <t>MTR-IOS-3254</t>
        </is>
      </c>
      <c r="C3255" s="4" t="inlineStr">
        <is>
          <t>Group</t>
        </is>
      </c>
      <c r="D3255" s="4" t="inlineStr">
        <is>
          <t>Shared Living</t>
        </is>
      </c>
      <c r="E3255" s="4" t="inlineStr">
        <is>
          <t>Flatmates</t>
        </is>
      </c>
      <c r="F3255" s="4" t="inlineStr">
        <is>
          <t>Utilities</t>
        </is>
      </c>
      <c r="G3255" s="4" t="inlineStr">
        <is>
          <t>Expense</t>
        </is>
      </c>
      <c r="H3255" s="12" t="n">
        <v>45971</v>
      </c>
      <c r="I3255" s="13" t="n">
        <v>0.6427546296296296</v>
      </c>
      <c r="J3255" s="14" t="n">
        <v>45971.64275462963</v>
      </c>
      <c r="K3255" s="15" t="n">
        <v>13150.58</v>
      </c>
      <c r="L3255" s="4" t="inlineStr">
        <is>
          <t>INR</t>
        </is>
      </c>
      <c r="M3255" s="15" t="n">
        <v>-13150.58</v>
      </c>
      <c r="N3255" s="4" t="inlineStr">
        <is>
          <t>IOS Aarav</t>
        </is>
      </c>
      <c r="O3255" s="4" t="n">
        <v>3</v>
      </c>
      <c r="P3255" s="4" t="inlineStr">
        <is>
          <t>EQUAL</t>
        </is>
      </c>
      <c r="Q3255" s="4" t="inlineStr">
        <is>
          <t>MAESTRO-IOS-GROUP-FLATMATES-3254 | Utilities | 13150.58</t>
        </is>
      </c>
      <c r="R3255" s="4" t="inlineStr">
        <is>
          <t>iPhone</t>
        </is>
      </c>
      <c r="S3255" s="4" t="inlineStr">
        <is>
          <t>B66</t>
        </is>
      </c>
      <c r="T3255" s="4" t="inlineStr">
        <is>
          <t>STRESS_3001_3500</t>
        </is>
      </c>
      <c r="U3255" s="4" t="inlineStr">
        <is>
          <t>CREATED</t>
        </is>
      </c>
      <c r="V3255" s="4" t="inlineStr">
        <is>
          <t>idem-20260902-ios-3254</t>
        </is>
      </c>
    </row>
    <row r="3256" ht="30" customHeight="1">
      <c r="A3256" s="4" t="n">
        <v>3255</v>
      </c>
      <c r="B3256" s="4" t="inlineStr">
        <is>
          <t>MTR-IOS-3255</t>
        </is>
      </c>
      <c r="C3256" s="4" t="inlineStr">
        <is>
          <t>Business</t>
        </is>
      </c>
      <c r="D3256" s="4" t="inlineStr">
        <is>
          <t>Business</t>
        </is>
      </c>
      <c r="E3256" s="4" t="inlineStr">
        <is>
          <t>Business Operations</t>
        </is>
      </c>
      <c r="F3256" s="4" t="inlineStr">
        <is>
          <t>Software</t>
        </is>
      </c>
      <c r="G3256" s="4" t="inlineStr">
        <is>
          <t>Expense</t>
        </is>
      </c>
      <c r="H3256" s="12" t="n">
        <v>45907</v>
      </c>
      <c r="I3256" s="13" t="n">
        <v>0.153125</v>
      </c>
      <c r="J3256" s="14" t="n">
        <v>45907.153125</v>
      </c>
      <c r="K3256" s="15" t="n">
        <v>55263.01</v>
      </c>
      <c r="L3256" s="4" t="inlineStr">
        <is>
          <t>INR</t>
        </is>
      </c>
      <c r="M3256" s="15" t="n">
        <v>-55263.01</v>
      </c>
      <c r="N3256" s="4" t="inlineStr">
        <is>
          <t>IOS Owner</t>
        </is>
      </c>
      <c r="O3256" s="4" t="n"/>
      <c r="P3256" s="4" t="n"/>
      <c r="Q3256" s="4" t="inlineStr">
        <is>
          <t>MAESTRO-IOS-BUSINESS-BUSINESS_OPERATIONS-3255 | Software | 55263.01</t>
        </is>
      </c>
      <c r="R3256" s="4" t="inlineStr">
        <is>
          <t>iPhone</t>
        </is>
      </c>
      <c r="S3256" s="4" t="inlineStr">
        <is>
          <t>B66</t>
        </is>
      </c>
      <c r="T3256" s="4" t="inlineStr">
        <is>
          <t>STRESS_3001_3500</t>
        </is>
      </c>
      <c r="U3256" s="4" t="inlineStr">
        <is>
          <t>CREATED</t>
        </is>
      </c>
      <c r="V3256" s="4" t="inlineStr">
        <is>
          <t>idem-20260902-ios-3255</t>
        </is>
      </c>
    </row>
    <row r="3257" ht="30" customHeight="1">
      <c r="A3257" s="4" t="n">
        <v>3256</v>
      </c>
      <c r="B3257" s="4" t="inlineStr">
        <is>
          <t>MTR-IOS-3256</t>
        </is>
      </c>
      <c r="C3257" s="4" t="inlineStr">
        <is>
          <t>Personal</t>
        </is>
      </c>
      <c r="D3257" s="4" t="inlineStr">
        <is>
          <t>Personal</t>
        </is>
      </c>
      <c r="E3257" s="4" t="inlineStr">
        <is>
          <t>Life Operations</t>
        </is>
      </c>
      <c r="F3257" s="4" t="inlineStr">
        <is>
          <t>Healthcare</t>
        </is>
      </c>
      <c r="G3257" s="4" t="inlineStr">
        <is>
          <t>Expense</t>
        </is>
      </c>
      <c r="H3257" s="12" t="n">
        <v>45960</v>
      </c>
      <c r="I3257" s="13" t="n">
        <v>0.8500115740740741</v>
      </c>
      <c r="J3257" s="14" t="n">
        <v>45960.85001157408</v>
      </c>
      <c r="K3257" s="15" t="n">
        <v>999.99</v>
      </c>
      <c r="L3257" s="4" t="inlineStr">
        <is>
          <t>INR</t>
        </is>
      </c>
      <c r="M3257" s="15" t="n">
        <v>-999.99</v>
      </c>
      <c r="N3257" s="4" t="inlineStr">
        <is>
          <t>IOS Owner</t>
        </is>
      </c>
      <c r="O3257" s="4" t="n"/>
      <c r="P3257" s="4" t="n"/>
      <c r="Q3257" s="4" t="inlineStr">
        <is>
          <t>MAESTRO-IOS-PERSONAL-LIFE_OPERATIONS-3256 | Healthcare | 999.99</t>
        </is>
      </c>
      <c r="R3257" s="4" t="inlineStr">
        <is>
          <t>iPhone</t>
        </is>
      </c>
      <c r="S3257" s="4" t="inlineStr">
        <is>
          <t>B66</t>
        </is>
      </c>
      <c r="T3257" s="4" t="inlineStr">
        <is>
          <t>STRESS_3001_3500</t>
        </is>
      </c>
      <c r="U3257" s="4" t="inlineStr">
        <is>
          <t>CREATED</t>
        </is>
      </c>
      <c r="V3257" s="4" t="inlineStr">
        <is>
          <t>idem-20260902-ios-3256</t>
        </is>
      </c>
    </row>
    <row r="3258" ht="30" customHeight="1">
      <c r="A3258" s="4" t="n">
        <v>3257</v>
      </c>
      <c r="B3258" s="4" t="inlineStr">
        <is>
          <t>MTR-IOS-3257</t>
        </is>
      </c>
      <c r="C3258" s="4" t="inlineStr">
        <is>
          <t>Group</t>
        </is>
      </c>
      <c r="D3258" s="4" t="inlineStr">
        <is>
          <t>Shared Living</t>
        </is>
      </c>
      <c r="E3258" s="4" t="inlineStr">
        <is>
          <t>Flatmates</t>
        </is>
      </c>
      <c r="F3258" s="4" t="inlineStr">
        <is>
          <t>Groceries</t>
        </is>
      </c>
      <c r="G3258" s="4" t="inlineStr">
        <is>
          <t>Expense</t>
        </is>
      </c>
      <c r="H3258" s="12" t="n">
        <v>46063</v>
      </c>
      <c r="I3258" s="13" t="n">
        <v>0.6020486111111111</v>
      </c>
      <c r="J3258" s="14" t="n">
        <v>46063.60204861111</v>
      </c>
      <c r="K3258" s="15" t="n">
        <v>22654.07</v>
      </c>
      <c r="L3258" s="4" t="inlineStr">
        <is>
          <t>INR</t>
        </is>
      </c>
      <c r="M3258" s="15" t="n">
        <v>-22654.07</v>
      </c>
      <c r="N3258" s="4" t="inlineStr">
        <is>
          <t>IOS Meera</t>
        </is>
      </c>
      <c r="O3258" s="4" t="n">
        <v>3</v>
      </c>
      <c r="P3258" s="4" t="inlineStr">
        <is>
          <t>PERCENTAGE</t>
        </is>
      </c>
      <c r="Q3258" s="4" t="inlineStr">
        <is>
          <t>MAESTRO-IOS-GROUP-FLATMATES-3257 | Groceries | 22654.07</t>
        </is>
      </c>
      <c r="R3258" s="4" t="inlineStr">
        <is>
          <t>iPhone</t>
        </is>
      </c>
      <c r="S3258" s="4" t="inlineStr">
        <is>
          <t>B66</t>
        </is>
      </c>
      <c r="T3258" s="4" t="inlineStr">
        <is>
          <t>STRESS_3001_3500</t>
        </is>
      </c>
      <c r="U3258" s="4" t="inlineStr">
        <is>
          <t>CREATED</t>
        </is>
      </c>
      <c r="V3258" s="4" t="inlineStr">
        <is>
          <t>idem-20260902-ios-3257</t>
        </is>
      </c>
    </row>
    <row r="3259" ht="30" customHeight="1">
      <c r="A3259" s="4" t="n">
        <v>3258</v>
      </c>
      <c r="B3259" s="4" t="inlineStr">
        <is>
          <t>MTR-IOS-3258</t>
        </is>
      </c>
      <c r="C3259" s="4" t="inlineStr">
        <is>
          <t>Business</t>
        </is>
      </c>
      <c r="D3259" s="4" t="inlineStr">
        <is>
          <t>Business</t>
        </is>
      </c>
      <c r="E3259" s="4" t="inlineStr">
        <is>
          <t>Business Operations</t>
        </is>
      </c>
      <c r="F3259" s="4" t="inlineStr">
        <is>
          <t>Rent</t>
        </is>
      </c>
      <c r="G3259" s="4" t="inlineStr">
        <is>
          <t>Expense</t>
        </is>
      </c>
      <c r="H3259" s="12" t="n">
        <v>46249</v>
      </c>
      <c r="I3259" s="13" t="n">
        <v>0.025</v>
      </c>
      <c r="J3259" s="14" t="n">
        <v>46249.025</v>
      </c>
      <c r="K3259" s="15" t="n">
        <v>64855.95</v>
      </c>
      <c r="L3259" s="4" t="inlineStr">
        <is>
          <t>INR</t>
        </is>
      </c>
      <c r="M3259" s="15" t="n">
        <v>-64855.95</v>
      </c>
      <c r="N3259" s="4" t="inlineStr">
        <is>
          <t>IOS Owner</t>
        </is>
      </c>
      <c r="O3259" s="4" t="n"/>
      <c r="P3259" s="4" t="n"/>
      <c r="Q3259" s="4" t="inlineStr">
        <is>
          <t>MAESTRO-IOS-BUSINESS-BUSINESS_OPERATIONS-3258 | Rent | 64855.95</t>
        </is>
      </c>
      <c r="R3259" s="4" t="inlineStr">
        <is>
          <t>iPhone</t>
        </is>
      </c>
      <c r="S3259" s="4" t="inlineStr">
        <is>
          <t>B66</t>
        </is>
      </c>
      <c r="T3259" s="4" t="inlineStr">
        <is>
          <t>STRESS_3001_3500</t>
        </is>
      </c>
      <c r="U3259" s="4" t="inlineStr">
        <is>
          <t>CREATED</t>
        </is>
      </c>
      <c r="V3259" s="4" t="inlineStr">
        <is>
          <t>idem-20260902-ios-3258</t>
        </is>
      </c>
    </row>
    <row r="3260" ht="30" customHeight="1">
      <c r="A3260" s="4" t="n">
        <v>3259</v>
      </c>
      <c r="B3260" s="4" t="inlineStr">
        <is>
          <t>MTR-IOS-3259</t>
        </is>
      </c>
      <c r="C3260" s="4" t="inlineStr">
        <is>
          <t>Personal</t>
        </is>
      </c>
      <c r="D3260" s="4" t="inlineStr">
        <is>
          <t>Personal</t>
        </is>
      </c>
      <c r="E3260" s="4" t="inlineStr">
        <is>
          <t>Life Operations</t>
        </is>
      </c>
      <c r="F3260" s="4" t="inlineStr">
        <is>
          <t>Subscriptions</t>
        </is>
      </c>
      <c r="G3260" s="4" t="inlineStr">
        <is>
          <t>Expense</t>
        </is>
      </c>
      <c r="H3260" s="12" t="n">
        <v>46251</v>
      </c>
      <c r="I3260" s="13" t="n">
        <v>0.8690393518518519</v>
      </c>
      <c r="J3260" s="14" t="n">
        <v>46251.86903935186</v>
      </c>
      <c r="K3260" s="15" t="n">
        <v>11866.41</v>
      </c>
      <c r="L3260" s="4" t="inlineStr">
        <is>
          <t>INR</t>
        </is>
      </c>
      <c r="M3260" s="15" t="n">
        <v>-11866.41</v>
      </c>
      <c r="N3260" s="4" t="inlineStr">
        <is>
          <t>IOS Owner</t>
        </is>
      </c>
      <c r="O3260" s="4" t="n"/>
      <c r="P3260" s="4" t="n"/>
      <c r="Q3260" s="4" t="inlineStr">
        <is>
          <t>MAESTRO-IOS-PERSONAL-LIFE_OPERATIONS-3259 | Subscriptions | 11866.41</t>
        </is>
      </c>
      <c r="R3260" s="4" t="inlineStr">
        <is>
          <t>iPhone</t>
        </is>
      </c>
      <c r="S3260" s="4" t="inlineStr">
        <is>
          <t>B66</t>
        </is>
      </c>
      <c r="T3260" s="4" t="inlineStr">
        <is>
          <t>STRESS_3001_3500</t>
        </is>
      </c>
      <c r="U3260" s="4" t="inlineStr">
        <is>
          <t>CREATED</t>
        </is>
      </c>
      <c r="V3260" s="4" t="inlineStr">
        <is>
          <t>idem-20260902-ios-3259</t>
        </is>
      </c>
    </row>
    <row r="3261" ht="30" customHeight="1">
      <c r="A3261" s="4" t="n">
        <v>3260</v>
      </c>
      <c r="B3261" s="4" t="inlineStr">
        <is>
          <t>MTR-IOS-3260</t>
        </is>
      </c>
      <c r="C3261" s="4" t="inlineStr">
        <is>
          <t>Group</t>
        </is>
      </c>
      <c r="D3261" s="4" t="inlineStr">
        <is>
          <t>Shared Living</t>
        </is>
      </c>
      <c r="E3261" s="4" t="inlineStr">
        <is>
          <t>Flatmates</t>
        </is>
      </c>
      <c r="F3261" s="4" t="inlineStr">
        <is>
          <t>Internet</t>
        </is>
      </c>
      <c r="G3261" s="4" t="inlineStr">
        <is>
          <t>Expense</t>
        </is>
      </c>
      <c r="H3261" s="12" t="n">
        <v>46160</v>
      </c>
      <c r="I3261" s="13" t="n">
        <v>0.78875</v>
      </c>
      <c r="J3261" s="14" t="n">
        <v>46160.78875</v>
      </c>
      <c r="K3261" s="15" t="n">
        <v>18442.98</v>
      </c>
      <c r="L3261" s="4" t="inlineStr">
        <is>
          <t>INR</t>
        </is>
      </c>
      <c r="M3261" s="15" t="n">
        <v>-18442.98</v>
      </c>
      <c r="N3261" s="4" t="inlineStr">
        <is>
          <t>IOS Owner</t>
        </is>
      </c>
      <c r="O3261" s="4" t="n">
        <v>3</v>
      </c>
      <c r="P3261" s="4" t="inlineStr">
        <is>
          <t>EXACT</t>
        </is>
      </c>
      <c r="Q3261" s="4" t="inlineStr">
        <is>
          <t>MAESTRO-IOS-GROUP-FLATMATES-3260 | Internet | 18442.98</t>
        </is>
      </c>
      <c r="R3261" s="4" t="inlineStr">
        <is>
          <t>iPhone</t>
        </is>
      </c>
      <c r="S3261" s="4" t="inlineStr">
        <is>
          <t>B66</t>
        </is>
      </c>
      <c r="T3261" s="4" t="inlineStr">
        <is>
          <t>STRESS_3001_3500</t>
        </is>
      </c>
      <c r="U3261" s="4" t="inlineStr">
        <is>
          <t>CREATED</t>
        </is>
      </c>
      <c r="V3261" s="4" t="inlineStr">
        <is>
          <t>idem-20260902-ios-3260</t>
        </is>
      </c>
    </row>
    <row r="3262" ht="30" customHeight="1">
      <c r="A3262" s="4" t="n">
        <v>3261</v>
      </c>
      <c r="B3262" s="4" t="inlineStr">
        <is>
          <t>MTR-IOS-3261</t>
        </is>
      </c>
      <c r="C3262" s="4" t="inlineStr">
        <is>
          <t>Business</t>
        </is>
      </c>
      <c r="D3262" s="4" t="inlineStr">
        <is>
          <t>Business</t>
        </is>
      </c>
      <c r="E3262" s="4" t="inlineStr">
        <is>
          <t>Business Operations</t>
        </is>
      </c>
      <c r="F3262" s="4" t="inlineStr">
        <is>
          <t>Marketing</t>
        </is>
      </c>
      <c r="G3262" s="4" t="inlineStr">
        <is>
          <t>Expense</t>
        </is>
      </c>
      <c r="H3262" s="12" t="n">
        <v>45936</v>
      </c>
      <c r="I3262" s="13" t="n">
        <v>0.9452777777777778</v>
      </c>
      <c r="J3262" s="14" t="n">
        <v>45936.94527777778</v>
      </c>
      <c r="K3262" s="15" t="n">
        <v>38132.29</v>
      </c>
      <c r="L3262" s="4" t="inlineStr">
        <is>
          <t>INR</t>
        </is>
      </c>
      <c r="M3262" s="15" t="n">
        <v>-38132.29</v>
      </c>
      <c r="N3262" s="4" t="inlineStr">
        <is>
          <t>IOS Owner</t>
        </is>
      </c>
      <c r="O3262" s="4" t="n"/>
      <c r="P3262" s="4" t="n"/>
      <c r="Q3262" s="4" t="inlineStr">
        <is>
          <t>MAESTRO-IOS-BUSINESS-BUSINESS_OPERATIONS-3261 | Marketing | 38132.29</t>
        </is>
      </c>
      <c r="R3262" s="4" t="inlineStr">
        <is>
          <t>iPhone</t>
        </is>
      </c>
      <c r="S3262" s="4" t="inlineStr">
        <is>
          <t>B66</t>
        </is>
      </c>
      <c r="T3262" s="4" t="inlineStr">
        <is>
          <t>STRESS_3001_3500</t>
        </is>
      </c>
      <c r="U3262" s="4" t="inlineStr">
        <is>
          <t>CREATED</t>
        </is>
      </c>
      <c r="V3262" s="4" t="inlineStr">
        <is>
          <t>idem-20260902-ios-3261</t>
        </is>
      </c>
    </row>
    <row r="3263" ht="30" customHeight="1">
      <c r="A3263" s="4" t="n">
        <v>3262</v>
      </c>
      <c r="B3263" s="4" t="inlineStr">
        <is>
          <t>MTR-IOS-3262</t>
        </is>
      </c>
      <c r="C3263" s="4" t="inlineStr">
        <is>
          <t>Personal</t>
        </is>
      </c>
      <c r="D3263" s="4" t="inlineStr">
        <is>
          <t>Personal</t>
        </is>
      </c>
      <c r="E3263" s="4" t="inlineStr">
        <is>
          <t>Life Operations</t>
        </is>
      </c>
      <c r="F3263" s="4" t="inlineStr">
        <is>
          <t>Repairs</t>
        </is>
      </c>
      <c r="G3263" s="4" t="inlineStr">
        <is>
          <t>Expense</t>
        </is>
      </c>
      <c r="H3263" s="12" t="n">
        <v>46076</v>
      </c>
      <c r="I3263" s="13" t="n">
        <v>0.0007175925925925926</v>
      </c>
      <c r="J3263" s="14" t="n">
        <v>46076.00071759259</v>
      </c>
      <c r="K3263" s="15" t="n">
        <v>9533.709999999999</v>
      </c>
      <c r="L3263" s="4" t="inlineStr">
        <is>
          <t>INR</t>
        </is>
      </c>
      <c r="M3263" s="15" t="n">
        <v>-9533.709999999999</v>
      </c>
      <c r="N3263" s="4" t="inlineStr">
        <is>
          <t>IOS Owner</t>
        </is>
      </c>
      <c r="O3263" s="4" t="n"/>
      <c r="P3263" s="4" t="n"/>
      <c r="Q3263" s="4" t="inlineStr">
        <is>
          <t>MAESTRO-IOS-PERSONAL-LIFE_OPERATIONS-3262 | Repairs | 9533.71</t>
        </is>
      </c>
      <c r="R3263" s="4" t="inlineStr">
        <is>
          <t>iPhone</t>
        </is>
      </c>
      <c r="S3263" s="4" t="inlineStr">
        <is>
          <t>B66</t>
        </is>
      </c>
      <c r="T3263" s="4" t="inlineStr">
        <is>
          <t>STRESS_3001_3500</t>
        </is>
      </c>
      <c r="U3263" s="4" t="inlineStr">
        <is>
          <t>CREATED</t>
        </is>
      </c>
      <c r="V3263" s="4" t="inlineStr">
        <is>
          <t>idem-20260902-ios-3262</t>
        </is>
      </c>
    </row>
    <row r="3264" ht="30" customHeight="1">
      <c r="A3264" s="4" t="n">
        <v>3263</v>
      </c>
      <c r="B3264" s="4" t="inlineStr">
        <is>
          <t>MTR-IOS-3263</t>
        </is>
      </c>
      <c r="C3264" s="4" t="inlineStr">
        <is>
          <t>Group</t>
        </is>
      </c>
      <c r="D3264" s="4" t="inlineStr">
        <is>
          <t>Shared Living</t>
        </is>
      </c>
      <c r="E3264" s="4" t="inlineStr">
        <is>
          <t>Flatmates</t>
        </is>
      </c>
      <c r="F3264" s="4" t="inlineStr">
        <is>
          <t>House Supplies</t>
        </is>
      </c>
      <c r="G3264" s="4" t="inlineStr">
        <is>
          <t>Expense</t>
        </is>
      </c>
      <c r="H3264" s="12" t="n">
        <v>46235</v>
      </c>
      <c r="I3264" s="13" t="n">
        <v>0.6668518518518518</v>
      </c>
      <c r="J3264" s="14" t="n">
        <v>46235.66685185185</v>
      </c>
      <c r="K3264" s="15" t="n">
        <v>24687.29</v>
      </c>
      <c r="L3264" s="4" t="inlineStr">
        <is>
          <t>INR</t>
        </is>
      </c>
      <c r="M3264" s="15" t="n">
        <v>-24687.29</v>
      </c>
      <c r="N3264" s="4" t="inlineStr">
        <is>
          <t>IOS Aarav</t>
        </is>
      </c>
      <c r="O3264" s="4" t="n">
        <v>3</v>
      </c>
      <c r="P3264" s="4" t="inlineStr">
        <is>
          <t>SHARES</t>
        </is>
      </c>
      <c r="Q3264" s="4" t="inlineStr">
        <is>
          <t>MAESTRO-IOS-GROUP-FLATMATES-3263 | House Supplies | 24687.29</t>
        </is>
      </c>
      <c r="R3264" s="4" t="inlineStr">
        <is>
          <t>iPhone</t>
        </is>
      </c>
      <c r="S3264" s="4" t="inlineStr">
        <is>
          <t>B66</t>
        </is>
      </c>
      <c r="T3264" s="4" t="inlineStr">
        <is>
          <t>STRESS_3001_3500</t>
        </is>
      </c>
      <c r="U3264" s="4" t="inlineStr">
        <is>
          <t>CREATED</t>
        </is>
      </c>
      <c r="V3264" s="4" t="inlineStr">
        <is>
          <t>idem-20260902-ios-3263</t>
        </is>
      </c>
    </row>
    <row r="3265" ht="30" customHeight="1">
      <c r="A3265" s="4" t="n">
        <v>3264</v>
      </c>
      <c r="B3265" s="4" t="inlineStr">
        <is>
          <t>MTR-IOS-3264</t>
        </is>
      </c>
      <c r="C3265" s="4" t="inlineStr">
        <is>
          <t>Business</t>
        </is>
      </c>
      <c r="D3265" s="4" t="inlineStr">
        <is>
          <t>Business</t>
        </is>
      </c>
      <c r="E3265" s="4" t="inlineStr">
        <is>
          <t>Business Operations</t>
        </is>
      </c>
      <c r="F3265" s="4" t="inlineStr">
        <is>
          <t>Legal</t>
        </is>
      </c>
      <c r="G3265" s="4" t="inlineStr">
        <is>
          <t>Expense</t>
        </is>
      </c>
      <c r="H3265" s="12" t="n">
        <v>45979</v>
      </c>
      <c r="I3265" s="13" t="n">
        <v>0.1853240740740741</v>
      </c>
      <c r="J3265" s="14" t="n">
        <v>45979.18532407407</v>
      </c>
      <c r="K3265" s="15" t="n">
        <v>86479.91</v>
      </c>
      <c r="L3265" s="4" t="inlineStr">
        <is>
          <t>INR</t>
        </is>
      </c>
      <c r="M3265" s="15" t="n">
        <v>-86479.91</v>
      </c>
      <c r="N3265" s="4" t="inlineStr">
        <is>
          <t>IOS Owner</t>
        </is>
      </c>
      <c r="O3265" s="4" t="n"/>
      <c r="P3265" s="4" t="n"/>
      <c r="Q3265" s="4" t="inlineStr">
        <is>
          <t>MAESTRO-IOS-BUSINESS-BUSINESS_OPERATIONS-3264 | Legal | 86479.91</t>
        </is>
      </c>
      <c r="R3265" s="4" t="inlineStr">
        <is>
          <t>iPhone</t>
        </is>
      </c>
      <c r="S3265" s="4" t="inlineStr">
        <is>
          <t>B66</t>
        </is>
      </c>
      <c r="T3265" s="4" t="inlineStr">
        <is>
          <t>STRESS_3001_3500</t>
        </is>
      </c>
      <c r="U3265" s="4" t="inlineStr">
        <is>
          <t>CREATED</t>
        </is>
      </c>
      <c r="V3265" s="4" t="inlineStr">
        <is>
          <t>idem-20260902-ios-3264</t>
        </is>
      </c>
    </row>
    <row r="3266" ht="30" customHeight="1">
      <c r="A3266" s="4" t="n">
        <v>3265</v>
      </c>
      <c r="B3266" s="4" t="inlineStr">
        <is>
          <t>MTR-IOS-3265</t>
        </is>
      </c>
      <c r="C3266" s="4" t="inlineStr">
        <is>
          <t>Personal</t>
        </is>
      </c>
      <c r="D3266" s="4" t="inlineStr">
        <is>
          <t>Personal</t>
        </is>
      </c>
      <c r="E3266" s="4" t="inlineStr">
        <is>
          <t>Future Building</t>
        </is>
      </c>
      <c r="F3266" s="4" t="inlineStr">
        <is>
          <t>Savings</t>
        </is>
      </c>
      <c r="G3266" s="4" t="inlineStr">
        <is>
          <t>Transfer</t>
        </is>
      </c>
      <c r="H3266" s="12" t="n">
        <v>46173</v>
      </c>
      <c r="I3266" s="13" t="n">
        <v>0.8441782407407408</v>
      </c>
      <c r="J3266" s="14" t="n">
        <v>46173.84417824074</v>
      </c>
      <c r="K3266" s="15" t="n">
        <v>17223.94</v>
      </c>
      <c r="L3266" s="4" t="inlineStr">
        <is>
          <t>INR</t>
        </is>
      </c>
      <c r="M3266" s="15" t="n">
        <v>0</v>
      </c>
      <c r="N3266" s="4" t="inlineStr">
        <is>
          <t>IOS Owner</t>
        </is>
      </c>
      <c r="O3266" s="4" t="n"/>
      <c r="P3266" s="4" t="n"/>
      <c r="Q3266" s="4" t="inlineStr">
        <is>
          <t>MAESTRO-IOS-PERSONAL-FUTURE_BUILDING-3265 | Savings | 17223.94</t>
        </is>
      </c>
      <c r="R3266" s="4" t="inlineStr">
        <is>
          <t>iPhone</t>
        </is>
      </c>
      <c r="S3266" s="4" t="inlineStr">
        <is>
          <t>B66</t>
        </is>
      </c>
      <c r="T3266" s="4" t="inlineStr">
        <is>
          <t>STRESS_3001_3500</t>
        </is>
      </c>
      <c r="U3266" s="4" t="inlineStr">
        <is>
          <t>CREATED</t>
        </is>
      </c>
      <c r="V3266" s="4" t="inlineStr">
        <is>
          <t>idem-20260902-ios-3265</t>
        </is>
      </c>
    </row>
    <row r="3267" ht="30" customHeight="1">
      <c r="A3267" s="4" t="n">
        <v>3266</v>
      </c>
      <c r="B3267" s="4" t="inlineStr">
        <is>
          <t>MTR-IOS-3266</t>
        </is>
      </c>
      <c r="C3267" s="4" t="inlineStr">
        <is>
          <t>Group</t>
        </is>
      </c>
      <c r="D3267" s="4" t="inlineStr">
        <is>
          <t>Shared Living</t>
        </is>
      </c>
      <c r="E3267" s="4" t="inlineStr">
        <is>
          <t>Flatmates</t>
        </is>
      </c>
      <c r="F3267" s="4" t="inlineStr">
        <is>
          <t>Repairs</t>
        </is>
      </c>
      <c r="G3267" s="4" t="inlineStr">
        <is>
          <t>Expense</t>
        </is>
      </c>
      <c r="H3267" s="12" t="n">
        <v>46204</v>
      </c>
      <c r="I3267" s="13" t="n">
        <v>0.9829513888888889</v>
      </c>
      <c r="J3267" s="14" t="n">
        <v>46204.98295138889</v>
      </c>
      <c r="K3267" s="15" t="n">
        <v>24639.83</v>
      </c>
      <c r="L3267" s="4" t="inlineStr">
        <is>
          <t>INR</t>
        </is>
      </c>
      <c r="M3267" s="15" t="n">
        <v>-24639.83</v>
      </c>
      <c r="N3267" s="4" t="inlineStr">
        <is>
          <t>IOS Meera</t>
        </is>
      </c>
      <c r="O3267" s="4" t="n">
        <v>3</v>
      </c>
      <c r="P3267" s="4" t="inlineStr">
        <is>
          <t>EQUAL</t>
        </is>
      </c>
      <c r="Q3267" s="4" t="inlineStr">
        <is>
          <t>MAESTRO-IOS-GROUP-FLATMATES-3266 | Repairs | 24639.83</t>
        </is>
      </c>
      <c r="R3267" s="4" t="inlineStr">
        <is>
          <t>iPhone</t>
        </is>
      </c>
      <c r="S3267" s="4" t="inlineStr">
        <is>
          <t>B66</t>
        </is>
      </c>
      <c r="T3267" s="4" t="inlineStr">
        <is>
          <t>STRESS_3001_3500</t>
        </is>
      </c>
      <c r="U3267" s="4" t="inlineStr">
        <is>
          <t>CREATED</t>
        </is>
      </c>
      <c r="V3267" s="4" t="inlineStr">
        <is>
          <t>idem-20260902-ios-3266</t>
        </is>
      </c>
    </row>
    <row r="3268" ht="30" customHeight="1">
      <c r="A3268" s="4" t="n">
        <v>3267</v>
      </c>
      <c r="B3268" s="4" t="inlineStr">
        <is>
          <t>MTR-IOS-3267</t>
        </is>
      </c>
      <c r="C3268" s="4" t="inlineStr">
        <is>
          <t>Business</t>
        </is>
      </c>
      <c r="D3268" s="4" t="inlineStr">
        <is>
          <t>Business</t>
        </is>
      </c>
      <c r="E3268" s="4" t="inlineStr">
        <is>
          <t>Business Operations</t>
        </is>
      </c>
      <c r="F3268" s="4" t="inlineStr">
        <is>
          <t>Accounting</t>
        </is>
      </c>
      <c r="G3268" s="4" t="inlineStr">
        <is>
          <t>Expense</t>
        </is>
      </c>
      <c r="H3268" s="12" t="n">
        <v>45906</v>
      </c>
      <c r="I3268" s="13" t="n">
        <v>0.5898842592592592</v>
      </c>
      <c r="J3268" s="14" t="n">
        <v>45906.58988425926</v>
      </c>
      <c r="K3268" s="15" t="n">
        <v>71064.37</v>
      </c>
      <c r="L3268" s="4" t="inlineStr">
        <is>
          <t>INR</t>
        </is>
      </c>
      <c r="M3268" s="15" t="n">
        <v>-71064.37</v>
      </c>
      <c r="N3268" s="4" t="inlineStr">
        <is>
          <t>IOS Owner</t>
        </is>
      </c>
      <c r="O3268" s="4" t="n"/>
      <c r="P3268" s="4" t="n"/>
      <c r="Q3268" s="4" t="inlineStr">
        <is>
          <t>MAESTRO-IOS-BUSINESS-BUSINESS_OPERATIONS-3267 | Accounting | 71064.37</t>
        </is>
      </c>
      <c r="R3268" s="4" t="inlineStr">
        <is>
          <t>iPhone</t>
        </is>
      </c>
      <c r="S3268" s="4" t="inlineStr">
        <is>
          <t>B66</t>
        </is>
      </c>
      <c r="T3268" s="4" t="inlineStr">
        <is>
          <t>STRESS_3001_3500</t>
        </is>
      </c>
      <c r="U3268" s="4" t="inlineStr">
        <is>
          <t>CREATED</t>
        </is>
      </c>
      <c r="V3268" s="4" t="inlineStr">
        <is>
          <t>idem-20260902-ios-3267</t>
        </is>
      </c>
    </row>
    <row r="3269" ht="30" customHeight="1">
      <c r="A3269" s="4" t="n">
        <v>3268</v>
      </c>
      <c r="B3269" s="4" t="inlineStr">
        <is>
          <t>MTR-IOS-3268</t>
        </is>
      </c>
      <c r="C3269" s="4" t="inlineStr">
        <is>
          <t>Personal</t>
        </is>
      </c>
      <c r="D3269" s="4" t="inlineStr">
        <is>
          <t>Personal</t>
        </is>
      </c>
      <c r="E3269" s="4" t="inlineStr">
        <is>
          <t>Future Building</t>
        </is>
      </c>
      <c r="F3269" s="4" t="inlineStr">
        <is>
          <t>Emergency Fund</t>
        </is>
      </c>
      <c r="G3269" s="4" t="inlineStr">
        <is>
          <t>Transfer</t>
        </is>
      </c>
      <c r="H3269" s="12" t="n">
        <v>45937</v>
      </c>
      <c r="I3269" s="13" t="n">
        <v>0.1915740740740741</v>
      </c>
      <c r="J3269" s="14" t="n">
        <v>45937.19157407407</v>
      </c>
      <c r="K3269" s="15" t="n">
        <v>14859.56</v>
      </c>
      <c r="L3269" s="4" t="inlineStr">
        <is>
          <t>INR</t>
        </is>
      </c>
      <c r="M3269" s="15" t="n">
        <v>0</v>
      </c>
      <c r="N3269" s="4" t="inlineStr">
        <is>
          <t>IOS Owner</t>
        </is>
      </c>
      <c r="O3269" s="4" t="n"/>
      <c r="P3269" s="4" t="n"/>
      <c r="Q3269" s="4" t="inlineStr">
        <is>
          <t>MAESTRO-IOS-PERSONAL-FUTURE_BUILDING-3268 | Emergency Fund | 14859.56</t>
        </is>
      </c>
      <c r="R3269" s="4" t="inlineStr">
        <is>
          <t>iPhone</t>
        </is>
      </c>
      <c r="S3269" s="4" t="inlineStr">
        <is>
          <t>B66</t>
        </is>
      </c>
      <c r="T3269" s="4" t="inlineStr">
        <is>
          <t>STRESS_3001_3500</t>
        </is>
      </c>
      <c r="U3269" s="4" t="inlineStr">
        <is>
          <t>CREATED</t>
        </is>
      </c>
      <c r="V3269" s="4" t="inlineStr">
        <is>
          <t>idem-20260902-ios-3268</t>
        </is>
      </c>
    </row>
    <row r="3270" ht="30" customHeight="1">
      <c r="A3270" s="4" t="n">
        <v>3269</v>
      </c>
      <c r="B3270" s="4" t="inlineStr">
        <is>
          <t>MTR-IOS-3269</t>
        </is>
      </c>
      <c r="C3270" s="4" t="inlineStr">
        <is>
          <t>Group</t>
        </is>
      </c>
      <c r="D3270" s="4" t="inlineStr">
        <is>
          <t>Shared Living</t>
        </is>
      </c>
      <c r="E3270" s="4" t="inlineStr">
        <is>
          <t>Shared Living</t>
        </is>
      </c>
      <c r="F3270" s="4" t="inlineStr">
        <is>
          <t>Rent</t>
        </is>
      </c>
      <c r="G3270" s="4" t="inlineStr">
        <is>
          <t>Expense</t>
        </is>
      </c>
      <c r="H3270" s="12" t="n">
        <v>46116</v>
      </c>
      <c r="I3270" s="13" t="n">
        <v>0.5316203703703704</v>
      </c>
      <c r="J3270" s="14" t="n">
        <v>46116.53162037037</v>
      </c>
      <c r="K3270" s="15" t="n">
        <v>12304.03</v>
      </c>
      <c r="L3270" s="4" t="inlineStr">
        <is>
          <t>INR</t>
        </is>
      </c>
      <c r="M3270" s="15" t="n">
        <v>-12304.03</v>
      </c>
      <c r="N3270" s="4" t="inlineStr">
        <is>
          <t>IOS Owner</t>
        </is>
      </c>
      <c r="O3270" s="4" t="n">
        <v>3</v>
      </c>
      <c r="P3270" s="4" t="inlineStr">
        <is>
          <t>PERCENTAGE</t>
        </is>
      </c>
      <c r="Q3270" s="4" t="inlineStr">
        <is>
          <t>MAESTRO-IOS-GROUP-SHARED_LIVING-3269 | Rent | 12304.03</t>
        </is>
      </c>
      <c r="R3270" s="4" t="inlineStr">
        <is>
          <t>iPhone</t>
        </is>
      </c>
      <c r="S3270" s="4" t="inlineStr">
        <is>
          <t>B66</t>
        </is>
      </c>
      <c r="T3270" s="4" t="inlineStr">
        <is>
          <t>STRESS_3001_3500</t>
        </is>
      </c>
      <c r="U3270" s="4" t="inlineStr">
        <is>
          <t>CREATED</t>
        </is>
      </c>
      <c r="V3270" s="4" t="inlineStr">
        <is>
          <t>idem-20260902-ios-3269</t>
        </is>
      </c>
    </row>
    <row r="3271" ht="30" customHeight="1">
      <c r="A3271" s="4" t="n">
        <v>3270</v>
      </c>
      <c r="B3271" s="4" t="inlineStr">
        <is>
          <t>MTR-IOS-3270</t>
        </is>
      </c>
      <c r="C3271" s="4" t="inlineStr">
        <is>
          <t>Business</t>
        </is>
      </c>
      <c r="D3271" s="4" t="inlineStr">
        <is>
          <t>Business</t>
        </is>
      </c>
      <c r="E3271" s="4" t="inlineStr">
        <is>
          <t>Business Operations</t>
        </is>
      </c>
      <c r="F3271" s="4" t="inlineStr">
        <is>
          <t>Equipment</t>
        </is>
      </c>
      <c r="G3271" s="4" t="inlineStr">
        <is>
          <t>Expense</t>
        </is>
      </c>
      <c r="H3271" s="12" t="n">
        <v>46030</v>
      </c>
      <c r="I3271" s="13" t="n">
        <v>0.8686805555555556</v>
      </c>
      <c r="J3271" s="14" t="n">
        <v>46030.86868055556</v>
      </c>
      <c r="K3271" s="15" t="n">
        <v>80111.42</v>
      </c>
      <c r="L3271" s="4" t="inlineStr">
        <is>
          <t>INR</t>
        </is>
      </c>
      <c r="M3271" s="15" t="n">
        <v>-80111.42</v>
      </c>
      <c r="N3271" s="4" t="inlineStr">
        <is>
          <t>IOS Owner</t>
        </is>
      </c>
      <c r="O3271" s="4" t="n"/>
      <c r="P3271" s="4" t="n"/>
      <c r="Q3271" s="4" t="inlineStr">
        <is>
          <t>MAESTRO-IOS-BUSINESS-BUSINESS_OPERATIONS-3270 | Equipment | 80111.42</t>
        </is>
      </c>
      <c r="R3271" s="4" t="inlineStr">
        <is>
          <t>iPhone</t>
        </is>
      </c>
      <c r="S3271" s="4" t="inlineStr">
        <is>
          <t>B66</t>
        </is>
      </c>
      <c r="T3271" s="4" t="inlineStr">
        <is>
          <t>STRESS_3001_3500</t>
        </is>
      </c>
      <c r="U3271" s="4" t="inlineStr">
        <is>
          <t>CREATED</t>
        </is>
      </c>
      <c r="V3271" s="4" t="inlineStr">
        <is>
          <t>idem-20260902-ios-3270</t>
        </is>
      </c>
    </row>
    <row r="3272" ht="30" customHeight="1">
      <c r="A3272" s="4" t="n">
        <v>3271</v>
      </c>
      <c r="B3272" s="4" t="inlineStr">
        <is>
          <t>MTR-IOS-3271</t>
        </is>
      </c>
      <c r="C3272" s="4" t="inlineStr">
        <is>
          <t>Personal</t>
        </is>
      </c>
      <c r="D3272" s="4" t="inlineStr">
        <is>
          <t>Personal</t>
        </is>
      </c>
      <c r="E3272" s="4" t="inlineStr">
        <is>
          <t>Future Building</t>
        </is>
      </c>
      <c r="F3272" s="4" t="inlineStr">
        <is>
          <t>Investments</t>
        </is>
      </c>
      <c r="G3272" s="4" t="inlineStr">
        <is>
          <t>Investment</t>
        </is>
      </c>
      <c r="H3272" s="12" t="n">
        <v>46081</v>
      </c>
      <c r="I3272" s="13" t="n">
        <v>0.8630439814814815</v>
      </c>
      <c r="J3272" s="14" t="n">
        <v>46081.86304398148</v>
      </c>
      <c r="K3272" s="15" t="n">
        <v>17665.86</v>
      </c>
      <c r="L3272" s="4" t="inlineStr">
        <is>
          <t>INR</t>
        </is>
      </c>
      <c r="M3272" s="15" t="n">
        <v>0</v>
      </c>
      <c r="N3272" s="4" t="inlineStr">
        <is>
          <t>IOS Owner</t>
        </is>
      </c>
      <c r="O3272" s="4" t="n"/>
      <c r="P3272" s="4" t="n"/>
      <c r="Q3272" s="4" t="inlineStr">
        <is>
          <t>MAESTRO-IOS-PERSONAL-FUTURE_BUILDING-3271 | Investments | 17665.86</t>
        </is>
      </c>
      <c r="R3272" s="4" t="inlineStr">
        <is>
          <t>iPhone</t>
        </is>
      </c>
      <c r="S3272" s="4" t="inlineStr">
        <is>
          <t>B66</t>
        </is>
      </c>
      <c r="T3272" s="4" t="inlineStr">
        <is>
          <t>STRESS_3001_3500</t>
        </is>
      </c>
      <c r="U3272" s="4" t="inlineStr">
        <is>
          <t>CREATED</t>
        </is>
      </c>
      <c r="V3272" s="4" t="inlineStr">
        <is>
          <t>idem-20260902-ios-3271</t>
        </is>
      </c>
    </row>
    <row r="3273" ht="30" customHeight="1">
      <c r="A3273" s="4" t="n">
        <v>3272</v>
      </c>
      <c r="B3273" s="4" t="inlineStr">
        <is>
          <t>MTR-IOS-3272</t>
        </is>
      </c>
      <c r="C3273" s="4" t="inlineStr">
        <is>
          <t>Group</t>
        </is>
      </c>
      <c r="D3273" s="4" t="inlineStr">
        <is>
          <t>Shared Living</t>
        </is>
      </c>
      <c r="E3273" s="4" t="inlineStr">
        <is>
          <t>Shared Living</t>
        </is>
      </c>
      <c r="F3273" s="4" t="inlineStr">
        <is>
          <t>Utilities</t>
        </is>
      </c>
      <c r="G3273" s="4" t="inlineStr">
        <is>
          <t>Expense</t>
        </is>
      </c>
      <c r="H3273" s="12" t="n">
        <v>46202</v>
      </c>
      <c r="I3273" s="13" t="n">
        <v>0.4512268518518519</v>
      </c>
      <c r="J3273" s="14" t="n">
        <v>46202.45122685185</v>
      </c>
      <c r="K3273" s="15" t="n">
        <v>14471.12</v>
      </c>
      <c r="L3273" s="4" t="inlineStr">
        <is>
          <t>INR</t>
        </is>
      </c>
      <c r="M3273" s="15" t="n">
        <v>-14471.12</v>
      </c>
      <c r="N3273" s="4" t="inlineStr">
        <is>
          <t>IOS Aarav</t>
        </is>
      </c>
      <c r="O3273" s="4" t="n">
        <v>3</v>
      </c>
      <c r="P3273" s="4" t="inlineStr">
        <is>
          <t>EXACT</t>
        </is>
      </c>
      <c r="Q3273" s="4" t="inlineStr">
        <is>
          <t>MAESTRO-IOS-GROUP-SHARED_LIVING-3272 | Utilities | 14471.12</t>
        </is>
      </c>
      <c r="R3273" s="4" t="inlineStr">
        <is>
          <t>iPhone</t>
        </is>
      </c>
      <c r="S3273" s="4" t="inlineStr">
        <is>
          <t>B66</t>
        </is>
      </c>
      <c r="T3273" s="4" t="inlineStr">
        <is>
          <t>STRESS_3001_3500</t>
        </is>
      </c>
      <c r="U3273" s="4" t="inlineStr">
        <is>
          <t>CREATED</t>
        </is>
      </c>
      <c r="V3273" s="4" t="inlineStr">
        <is>
          <t>idem-20260902-ios-3272</t>
        </is>
      </c>
    </row>
    <row r="3274" ht="30" customHeight="1">
      <c r="A3274" s="4" t="n">
        <v>3273</v>
      </c>
      <c r="B3274" s="4" t="inlineStr">
        <is>
          <t>MTR-IOS-3273</t>
        </is>
      </c>
      <c r="C3274" s="4" t="inlineStr">
        <is>
          <t>Business</t>
        </is>
      </c>
      <c r="D3274" s="4" t="inlineStr">
        <is>
          <t>Business</t>
        </is>
      </c>
      <c r="E3274" s="4" t="inlineStr">
        <is>
          <t>Business Operations</t>
        </is>
      </c>
      <c r="F3274" s="4" t="inlineStr">
        <is>
          <t>Vendor</t>
        </is>
      </c>
      <c r="G3274" s="4" t="inlineStr">
        <is>
          <t>Expense</t>
        </is>
      </c>
      <c r="H3274" s="12" t="n">
        <v>46185</v>
      </c>
      <c r="I3274" s="13" t="n">
        <v>0.9650462962962963</v>
      </c>
      <c r="J3274" s="14" t="n">
        <v>46185.9650462963</v>
      </c>
      <c r="K3274" s="15" t="n">
        <v>9026.110000000001</v>
      </c>
      <c r="L3274" s="4" t="inlineStr">
        <is>
          <t>INR</t>
        </is>
      </c>
      <c r="M3274" s="15" t="n">
        <v>-9026.110000000001</v>
      </c>
      <c r="N3274" s="4" t="inlineStr">
        <is>
          <t>IOS Owner</t>
        </is>
      </c>
      <c r="O3274" s="4" t="n"/>
      <c r="P3274" s="4" t="n"/>
      <c r="Q3274" s="4" t="inlineStr">
        <is>
          <t>MAESTRO-IOS-BUSINESS-BUSINESS_OPERATIONS-3273 | Vendor | 9026.11</t>
        </is>
      </c>
      <c r="R3274" s="4" t="inlineStr">
        <is>
          <t>iPhone</t>
        </is>
      </c>
      <c r="S3274" s="4" t="inlineStr">
        <is>
          <t>B66</t>
        </is>
      </c>
      <c r="T3274" s="4" t="inlineStr">
        <is>
          <t>STRESS_3001_3500</t>
        </is>
      </c>
      <c r="U3274" s="4" t="inlineStr">
        <is>
          <t>CREATED</t>
        </is>
      </c>
      <c r="V3274" s="4" t="inlineStr">
        <is>
          <t>idem-20260902-ios-3273</t>
        </is>
      </c>
    </row>
    <row r="3275" ht="30" customHeight="1">
      <c r="A3275" s="4" t="n">
        <v>3274</v>
      </c>
      <c r="B3275" s="4" t="inlineStr">
        <is>
          <t>MTR-IOS-3274</t>
        </is>
      </c>
      <c r="C3275" s="4" t="inlineStr">
        <is>
          <t>Personal</t>
        </is>
      </c>
      <c r="D3275" s="4" t="inlineStr">
        <is>
          <t>Personal</t>
        </is>
      </c>
      <c r="E3275" s="4" t="inlineStr">
        <is>
          <t>Future Building</t>
        </is>
      </c>
      <c r="F3275" s="4" t="inlineStr">
        <is>
          <t>Education</t>
        </is>
      </c>
      <c r="G3275" s="4" t="inlineStr">
        <is>
          <t>Expense</t>
        </is>
      </c>
      <c r="H3275" s="12" t="n">
        <v>45960</v>
      </c>
      <c r="I3275" s="13" t="n">
        <v>0.4624074074074074</v>
      </c>
      <c r="J3275" s="14" t="n">
        <v>45960.46240740741</v>
      </c>
      <c r="K3275" s="15" t="n">
        <v>15817.43</v>
      </c>
      <c r="L3275" s="4" t="inlineStr">
        <is>
          <t>INR</t>
        </is>
      </c>
      <c r="M3275" s="15" t="n">
        <v>-15817.43</v>
      </c>
      <c r="N3275" s="4" t="inlineStr">
        <is>
          <t>IOS Owner</t>
        </is>
      </c>
      <c r="O3275" s="4" t="n"/>
      <c r="P3275" s="4" t="n"/>
      <c r="Q3275" s="4" t="inlineStr">
        <is>
          <t>MAESTRO-IOS-PERSONAL-FUTURE_BUILDING-3274 | Education | 15817.43</t>
        </is>
      </c>
      <c r="R3275" s="4" t="inlineStr">
        <is>
          <t>iPhone</t>
        </is>
      </c>
      <c r="S3275" s="4" t="inlineStr">
        <is>
          <t>B66</t>
        </is>
      </c>
      <c r="T3275" s="4" t="inlineStr">
        <is>
          <t>STRESS_3001_3500</t>
        </is>
      </c>
      <c r="U3275" s="4" t="inlineStr">
        <is>
          <t>CREATED</t>
        </is>
      </c>
      <c r="V3275" s="4" t="inlineStr">
        <is>
          <t>idem-20260902-ios-3274</t>
        </is>
      </c>
    </row>
    <row r="3276" ht="30" customHeight="1">
      <c r="A3276" s="4" t="n">
        <v>3275</v>
      </c>
      <c r="B3276" s="4" t="inlineStr">
        <is>
          <t>MTR-IOS-3275</t>
        </is>
      </c>
      <c r="C3276" s="4" t="inlineStr">
        <is>
          <t>Group</t>
        </is>
      </c>
      <c r="D3276" s="4" t="inlineStr">
        <is>
          <t>Shared Living</t>
        </is>
      </c>
      <c r="E3276" s="4" t="inlineStr">
        <is>
          <t>Shared Living</t>
        </is>
      </c>
      <c r="F3276" s="4" t="inlineStr">
        <is>
          <t>Groceries</t>
        </is>
      </c>
      <c r="G3276" s="4" t="inlineStr">
        <is>
          <t>Expense</t>
        </is>
      </c>
      <c r="H3276" s="12" t="n">
        <v>45952</v>
      </c>
      <c r="I3276" s="13" t="n">
        <v>0.5756712962962963</v>
      </c>
      <c r="J3276" s="14" t="n">
        <v>45952.5756712963</v>
      </c>
      <c r="K3276" s="15" t="n">
        <v>24554.47</v>
      </c>
      <c r="L3276" s="4" t="inlineStr">
        <is>
          <t>INR</t>
        </is>
      </c>
      <c r="M3276" s="15" t="n">
        <v>-24554.47</v>
      </c>
      <c r="N3276" s="4" t="inlineStr">
        <is>
          <t>IOS Meera</t>
        </is>
      </c>
      <c r="O3276" s="4" t="n">
        <v>3</v>
      </c>
      <c r="P3276" s="4" t="inlineStr">
        <is>
          <t>SHARES</t>
        </is>
      </c>
      <c r="Q3276" s="4" t="inlineStr">
        <is>
          <t>MAESTRO-IOS-GROUP-SHARED_LIVING-3275 | Groceries | 24554.47</t>
        </is>
      </c>
      <c r="R3276" s="4" t="inlineStr">
        <is>
          <t>iPhone</t>
        </is>
      </c>
      <c r="S3276" s="4" t="inlineStr">
        <is>
          <t>B66</t>
        </is>
      </c>
      <c r="T3276" s="4" t="inlineStr">
        <is>
          <t>STRESS_3001_3500</t>
        </is>
      </c>
      <c r="U3276" s="4" t="inlineStr">
        <is>
          <t>CREATED</t>
        </is>
      </c>
      <c r="V3276" s="4" t="inlineStr">
        <is>
          <t>idem-20260902-ios-3275</t>
        </is>
      </c>
    </row>
    <row r="3277" ht="30" customHeight="1">
      <c r="A3277" s="4" t="n">
        <v>3276</v>
      </c>
      <c r="B3277" s="4" t="inlineStr">
        <is>
          <t>MTR-IOS-3276</t>
        </is>
      </c>
      <c r="C3277" s="4" t="inlineStr">
        <is>
          <t>Business</t>
        </is>
      </c>
      <c r="D3277" s="4" t="inlineStr">
        <is>
          <t>Business</t>
        </is>
      </c>
      <c r="E3277" s="4" t="inlineStr">
        <is>
          <t>Business Operations</t>
        </is>
      </c>
      <c r="F3277" s="4" t="inlineStr">
        <is>
          <t>Tax</t>
        </is>
      </c>
      <c r="G3277" s="4" t="inlineStr">
        <is>
          <t>Expense</t>
        </is>
      </c>
      <c r="H3277" s="12" t="n">
        <v>45975</v>
      </c>
      <c r="I3277" s="13" t="n">
        <v>0.2696875</v>
      </c>
      <c r="J3277" s="14" t="n">
        <v>45975.2696875</v>
      </c>
      <c r="K3277" s="15" t="n">
        <v>120961.99</v>
      </c>
      <c r="L3277" s="4" t="inlineStr">
        <is>
          <t>INR</t>
        </is>
      </c>
      <c r="M3277" s="15" t="n">
        <v>-120961.99</v>
      </c>
      <c r="N3277" s="4" t="inlineStr">
        <is>
          <t>IOS Owner</t>
        </is>
      </c>
      <c r="O3277" s="4" t="n"/>
      <c r="P3277" s="4" t="n"/>
      <c r="Q3277" s="4" t="inlineStr">
        <is>
          <t>MAESTRO-IOS-BUSINESS-BUSINESS_OPERATIONS-3276 | Tax | 120961.99</t>
        </is>
      </c>
      <c r="R3277" s="4" t="inlineStr">
        <is>
          <t>iPhone</t>
        </is>
      </c>
      <c r="S3277" s="4" t="inlineStr">
        <is>
          <t>B66</t>
        </is>
      </c>
      <c r="T3277" s="4" t="inlineStr">
        <is>
          <t>STRESS_3001_3500</t>
        </is>
      </c>
      <c r="U3277" s="4" t="inlineStr">
        <is>
          <t>CREATED</t>
        </is>
      </c>
      <c r="V3277" s="4" t="inlineStr">
        <is>
          <t>idem-20260902-ios-3276</t>
        </is>
      </c>
    </row>
    <row r="3278" ht="30" customHeight="1">
      <c r="A3278" s="4" t="n">
        <v>3277</v>
      </c>
      <c r="B3278" s="4" t="inlineStr">
        <is>
          <t>MTR-IOS-3277</t>
        </is>
      </c>
      <c r="C3278" s="4" t="inlineStr">
        <is>
          <t>Personal</t>
        </is>
      </c>
      <c r="D3278" s="4" t="inlineStr">
        <is>
          <t>Personal</t>
        </is>
      </c>
      <c r="E3278" s="4" t="inlineStr">
        <is>
          <t>Future Building</t>
        </is>
      </c>
      <c r="F3278" s="4" t="inlineStr">
        <is>
          <t>Goal Contribution</t>
        </is>
      </c>
      <c r="G3278" s="4" t="inlineStr">
        <is>
          <t>Transfer</t>
        </is>
      </c>
      <c r="H3278" s="12" t="n">
        <v>46126</v>
      </c>
      <c r="I3278" s="13" t="n">
        <v>0.782974537037037</v>
      </c>
      <c r="J3278" s="14" t="n">
        <v>46126.78297453704</v>
      </c>
      <c r="K3278" s="15" t="n">
        <v>324.81</v>
      </c>
      <c r="L3278" s="4" t="inlineStr">
        <is>
          <t>INR</t>
        </is>
      </c>
      <c r="M3278" s="15" t="n">
        <v>0</v>
      </c>
      <c r="N3278" s="4" t="inlineStr">
        <is>
          <t>IOS Owner</t>
        </is>
      </c>
      <c r="O3278" s="4" t="n"/>
      <c r="P3278" s="4" t="n"/>
      <c r="Q3278" s="4" t="inlineStr">
        <is>
          <t>MAESTRO-IOS-PERSONAL-FUTURE_BUILDING-3277 | Goal Contribution | 324.81</t>
        </is>
      </c>
      <c r="R3278" s="4" t="inlineStr">
        <is>
          <t>iPhone</t>
        </is>
      </c>
      <c r="S3278" s="4" t="inlineStr">
        <is>
          <t>B66</t>
        </is>
      </c>
      <c r="T3278" s="4" t="inlineStr">
        <is>
          <t>STRESS_3001_3500</t>
        </is>
      </c>
      <c r="U3278" s="4" t="inlineStr">
        <is>
          <t>CREATED</t>
        </is>
      </c>
      <c r="V3278" s="4" t="inlineStr">
        <is>
          <t>idem-20260902-ios-3277</t>
        </is>
      </c>
    </row>
    <row r="3279" ht="30" customHeight="1">
      <c r="A3279" s="4" t="n">
        <v>3278</v>
      </c>
      <c r="B3279" s="4" t="inlineStr">
        <is>
          <t>MTR-IOS-3278</t>
        </is>
      </c>
      <c r="C3279" s="4" t="inlineStr">
        <is>
          <t>Group</t>
        </is>
      </c>
      <c r="D3279" s="4" t="inlineStr">
        <is>
          <t>Shared Living</t>
        </is>
      </c>
      <c r="E3279" s="4" t="inlineStr">
        <is>
          <t>Shared Living</t>
        </is>
      </c>
      <c r="F3279" s="4" t="inlineStr">
        <is>
          <t>Maintenance</t>
        </is>
      </c>
      <c r="G3279" s="4" t="inlineStr">
        <is>
          <t>Expense</t>
        </is>
      </c>
      <c r="H3279" s="12" t="n">
        <v>46200</v>
      </c>
      <c r="I3279" s="13" t="n">
        <v>0.7666666666666667</v>
      </c>
      <c r="J3279" s="14" t="n">
        <v>46200.76666666667</v>
      </c>
      <c r="K3279" s="15" t="n">
        <v>5425.95</v>
      </c>
      <c r="L3279" s="4" t="inlineStr">
        <is>
          <t>INR</t>
        </is>
      </c>
      <c r="M3279" s="15" t="n">
        <v>-5425.95</v>
      </c>
      <c r="N3279" s="4" t="inlineStr">
        <is>
          <t>IOS Owner</t>
        </is>
      </c>
      <c r="O3279" s="4" t="n">
        <v>3</v>
      </c>
      <c r="P3279" s="4" t="inlineStr">
        <is>
          <t>EQUAL</t>
        </is>
      </c>
      <c r="Q3279" s="4" t="inlineStr">
        <is>
          <t>MAESTRO-IOS-GROUP-SHARED_LIVING-3278 | Maintenance | 5425.95</t>
        </is>
      </c>
      <c r="R3279" s="4" t="inlineStr">
        <is>
          <t>iPhone</t>
        </is>
      </c>
      <c r="S3279" s="4" t="inlineStr">
        <is>
          <t>B66</t>
        </is>
      </c>
      <c r="T3279" s="4" t="inlineStr">
        <is>
          <t>STRESS_3001_3500</t>
        </is>
      </c>
      <c r="U3279" s="4" t="inlineStr">
        <is>
          <t>CREATED</t>
        </is>
      </c>
      <c r="V3279" s="4" t="inlineStr">
        <is>
          <t>idem-20260902-ios-3278</t>
        </is>
      </c>
    </row>
    <row r="3280" ht="30" customHeight="1">
      <c r="A3280" s="4" t="n">
        <v>3279</v>
      </c>
      <c r="B3280" s="4" t="inlineStr">
        <is>
          <t>MTR-IOS-3279</t>
        </is>
      </c>
      <c r="C3280" s="4" t="inlineStr">
        <is>
          <t>Business</t>
        </is>
      </c>
      <c r="D3280" s="4" t="inlineStr">
        <is>
          <t>Business</t>
        </is>
      </c>
      <c r="E3280" s="4" t="inlineStr">
        <is>
          <t>Team Operations</t>
        </is>
      </c>
      <c r="F3280" s="4" t="inlineStr">
        <is>
          <t>Payroll</t>
        </is>
      </c>
      <c r="G3280" s="4" t="inlineStr">
        <is>
          <t>Expense</t>
        </is>
      </c>
      <c r="H3280" s="12" t="n">
        <v>46160</v>
      </c>
      <c r="I3280" s="13" t="n">
        <v>0.9334143518518518</v>
      </c>
      <c r="J3280" s="14" t="n">
        <v>46160.93341435185</v>
      </c>
      <c r="K3280" s="15" t="n">
        <v>50324.11</v>
      </c>
      <c r="L3280" s="4" t="inlineStr">
        <is>
          <t>INR</t>
        </is>
      </c>
      <c r="M3280" s="15" t="n">
        <v>-50324.11</v>
      </c>
      <c r="N3280" s="4" t="inlineStr">
        <is>
          <t>IOS Owner</t>
        </is>
      </c>
      <c r="O3280" s="4" t="n"/>
      <c r="P3280" s="4" t="n"/>
      <c r="Q3280" s="4" t="inlineStr">
        <is>
          <t>MAESTRO-IOS-BUSINESS-TEAM_OPERATIONS-3279 | Payroll | 50324.11</t>
        </is>
      </c>
      <c r="R3280" s="4" t="inlineStr">
        <is>
          <t>iPhone</t>
        </is>
      </c>
      <c r="S3280" s="4" t="inlineStr">
        <is>
          <t>B66</t>
        </is>
      </c>
      <c r="T3280" s="4" t="inlineStr">
        <is>
          <t>STRESS_3001_3500</t>
        </is>
      </c>
      <c r="U3280" s="4" t="inlineStr">
        <is>
          <t>CREATED</t>
        </is>
      </c>
      <c r="V3280" s="4" t="inlineStr">
        <is>
          <t>idem-20260902-ios-3279</t>
        </is>
      </c>
    </row>
    <row r="3281" ht="30" customHeight="1">
      <c r="A3281" s="4" t="n">
        <v>3280</v>
      </c>
      <c r="B3281" s="4" t="inlineStr">
        <is>
          <t>MTR-IOS-3280</t>
        </is>
      </c>
      <c r="C3281" s="4" t="inlineStr">
        <is>
          <t>Personal</t>
        </is>
      </c>
      <c r="D3281" s="4" t="inlineStr">
        <is>
          <t>Personal</t>
        </is>
      </c>
      <c r="E3281" s="4" t="inlineStr">
        <is>
          <t>Lifestyle</t>
        </is>
      </c>
      <c r="F3281" s="4" t="inlineStr">
        <is>
          <t>Dining</t>
        </is>
      </c>
      <c r="G3281" s="4" t="inlineStr">
        <is>
          <t>Expense</t>
        </is>
      </c>
      <c r="H3281" s="12" t="n">
        <v>46053</v>
      </c>
      <c r="I3281" s="13" t="n">
        <v>0.1580092592592593</v>
      </c>
      <c r="J3281" s="14" t="n">
        <v>46053.15800925926</v>
      </c>
      <c r="K3281" s="15" t="n">
        <v>3242.27</v>
      </c>
      <c r="L3281" s="4" t="inlineStr">
        <is>
          <t>INR</t>
        </is>
      </c>
      <c r="M3281" s="15" t="n">
        <v>-3242.27</v>
      </c>
      <c r="N3281" s="4" t="inlineStr">
        <is>
          <t>IOS Owner</t>
        </is>
      </c>
      <c r="O3281" s="4" t="n"/>
      <c r="P3281" s="4" t="n"/>
      <c r="Q3281" s="4" t="inlineStr">
        <is>
          <t>MAESTRO-IOS-PERSONAL-LIFESTYLE-3280 | Dining | 3242.27</t>
        </is>
      </c>
      <c r="R3281" s="4" t="inlineStr">
        <is>
          <t>iPhone</t>
        </is>
      </c>
      <c r="S3281" s="4" t="inlineStr">
        <is>
          <t>B66</t>
        </is>
      </c>
      <c r="T3281" s="4" t="inlineStr">
        <is>
          <t>STRESS_3001_3500</t>
        </is>
      </c>
      <c r="U3281" s="4" t="inlineStr">
        <is>
          <t>CREATED</t>
        </is>
      </c>
      <c r="V3281" s="4" t="inlineStr">
        <is>
          <t>idem-20260902-ios-3280</t>
        </is>
      </c>
    </row>
    <row r="3282" ht="30" customHeight="1">
      <c r="A3282" s="4" t="n">
        <v>3281</v>
      </c>
      <c r="B3282" s="4" t="inlineStr">
        <is>
          <t>MTR-IOS-3281</t>
        </is>
      </c>
      <c r="C3282" s="4" t="inlineStr">
        <is>
          <t>Group</t>
        </is>
      </c>
      <c r="D3282" s="4" t="inlineStr">
        <is>
          <t>Shared Living</t>
        </is>
      </c>
      <c r="E3282" s="4" t="inlineStr">
        <is>
          <t>Shared Living</t>
        </is>
      </c>
      <c r="F3282" s="4" t="inlineStr">
        <is>
          <t>Other</t>
        </is>
      </c>
      <c r="G3282" s="4" t="inlineStr">
        <is>
          <t>Expense</t>
        </is>
      </c>
      <c r="H3282" s="12" t="n">
        <v>46073</v>
      </c>
      <c r="I3282" s="13" t="n">
        <v>0.1243518518518519</v>
      </c>
      <c r="J3282" s="14" t="n">
        <v>46073.12435185185</v>
      </c>
      <c r="K3282" s="15" t="n">
        <v>15292.58</v>
      </c>
      <c r="L3282" s="4" t="inlineStr">
        <is>
          <t>INR</t>
        </is>
      </c>
      <c r="M3282" s="15" t="n">
        <v>-15292.58</v>
      </c>
      <c r="N3282" s="4" t="inlineStr">
        <is>
          <t>IOS Aarav</t>
        </is>
      </c>
      <c r="O3282" s="4" t="n">
        <v>3</v>
      </c>
      <c r="P3282" s="4" t="inlineStr">
        <is>
          <t>PERCENTAGE</t>
        </is>
      </c>
      <c r="Q3282" s="4" t="inlineStr">
        <is>
          <t>MAESTRO-IOS-GROUP-SHARED_LIVING-3281 | Other | 15292.58</t>
        </is>
      </c>
      <c r="R3282" s="4" t="inlineStr">
        <is>
          <t>iPhone</t>
        </is>
      </c>
      <c r="S3282" s="4" t="inlineStr">
        <is>
          <t>B66</t>
        </is>
      </c>
      <c r="T3282" s="4" t="inlineStr">
        <is>
          <t>STRESS_3001_3500</t>
        </is>
      </c>
      <c r="U3282" s="4" t="inlineStr">
        <is>
          <t>CREATED</t>
        </is>
      </c>
      <c r="V3282" s="4" t="inlineStr">
        <is>
          <t>idem-20260902-ios-3281</t>
        </is>
      </c>
    </row>
    <row r="3283" ht="30" customHeight="1">
      <c r="A3283" s="4" t="n">
        <v>3282</v>
      </c>
      <c r="B3283" s="4" t="inlineStr">
        <is>
          <t>MTR-IOS-3282</t>
        </is>
      </c>
      <c r="C3283" s="4" t="inlineStr">
        <is>
          <t>Business</t>
        </is>
      </c>
      <c r="D3283" s="4" t="inlineStr">
        <is>
          <t>Business</t>
        </is>
      </c>
      <c r="E3283" s="4" t="inlineStr">
        <is>
          <t>Team Operations</t>
        </is>
      </c>
      <c r="F3283" s="4" t="inlineStr">
        <is>
          <t>Contractor</t>
        </is>
      </c>
      <c r="G3283" s="4" t="inlineStr">
        <is>
          <t>Expense</t>
        </is>
      </c>
      <c r="H3283" s="12" t="n">
        <v>46036</v>
      </c>
      <c r="I3283" s="13" t="n">
        <v>0.8384606481481481</v>
      </c>
      <c r="J3283" s="14" t="n">
        <v>46036.83846064815</v>
      </c>
      <c r="K3283" s="15" t="n">
        <v>23884.3</v>
      </c>
      <c r="L3283" s="4" t="inlineStr">
        <is>
          <t>INR</t>
        </is>
      </c>
      <c r="M3283" s="15" t="n">
        <v>-23884.3</v>
      </c>
      <c r="N3283" s="4" t="inlineStr">
        <is>
          <t>IOS Owner</t>
        </is>
      </c>
      <c r="O3283" s="4" t="n"/>
      <c r="P3283" s="4" t="n"/>
      <c r="Q3283" s="4" t="inlineStr">
        <is>
          <t>MAESTRO-IOS-BUSINESS-TEAM_OPERATIONS-3282 | Contractor | 23884.30</t>
        </is>
      </c>
      <c r="R3283" s="4" t="inlineStr">
        <is>
          <t>iPhone</t>
        </is>
      </c>
      <c r="S3283" s="4" t="inlineStr">
        <is>
          <t>B66</t>
        </is>
      </c>
      <c r="T3283" s="4" t="inlineStr">
        <is>
          <t>STRESS_3001_3500</t>
        </is>
      </c>
      <c r="U3283" s="4" t="inlineStr">
        <is>
          <t>CREATED</t>
        </is>
      </c>
      <c r="V3283" s="4" t="inlineStr">
        <is>
          <t>idem-20260902-ios-3282</t>
        </is>
      </c>
    </row>
    <row r="3284" ht="30" customHeight="1">
      <c r="A3284" s="4" t="n">
        <v>3283</v>
      </c>
      <c r="B3284" s="4" t="inlineStr">
        <is>
          <t>MTR-IOS-3283</t>
        </is>
      </c>
      <c r="C3284" s="4" t="inlineStr">
        <is>
          <t>Personal</t>
        </is>
      </c>
      <c r="D3284" s="4" t="inlineStr">
        <is>
          <t>Personal</t>
        </is>
      </c>
      <c r="E3284" s="4" t="inlineStr">
        <is>
          <t>Lifestyle</t>
        </is>
      </c>
      <c r="F3284" s="4" t="inlineStr">
        <is>
          <t>Shopping</t>
        </is>
      </c>
      <c r="G3284" s="4" t="inlineStr">
        <is>
          <t>Expense</t>
        </is>
      </c>
      <c r="H3284" s="12" t="n">
        <v>46165</v>
      </c>
      <c r="I3284" s="13" t="n">
        <v>0.05984953703703703</v>
      </c>
      <c r="J3284" s="14" t="n">
        <v>46165.05984953704</v>
      </c>
      <c r="K3284" s="15" t="n">
        <v>14232.16</v>
      </c>
      <c r="L3284" s="4" t="inlineStr">
        <is>
          <t>INR</t>
        </is>
      </c>
      <c r="M3284" s="15" t="n">
        <v>-14232.16</v>
      </c>
      <c r="N3284" s="4" t="inlineStr">
        <is>
          <t>IOS Owner</t>
        </is>
      </c>
      <c r="O3284" s="4" t="n"/>
      <c r="P3284" s="4" t="n"/>
      <c r="Q3284" s="4" t="inlineStr">
        <is>
          <t>MAESTRO-IOS-PERSONAL-LIFESTYLE-3283 | Shopping | 14232.16</t>
        </is>
      </c>
      <c r="R3284" s="4" t="inlineStr">
        <is>
          <t>iPhone</t>
        </is>
      </c>
      <c r="S3284" s="4" t="inlineStr">
        <is>
          <t>B66</t>
        </is>
      </c>
      <c r="T3284" s="4" t="inlineStr">
        <is>
          <t>STRESS_3001_3500</t>
        </is>
      </c>
      <c r="U3284" s="4" t="inlineStr">
        <is>
          <t>CREATED</t>
        </is>
      </c>
      <c r="V3284" s="4" t="inlineStr">
        <is>
          <t>idem-20260902-ios-3283</t>
        </is>
      </c>
    </row>
    <row r="3285" ht="30" customHeight="1">
      <c r="A3285" s="4" t="n">
        <v>3284</v>
      </c>
      <c r="B3285" s="4" t="inlineStr">
        <is>
          <t>MTR-IOS-3284</t>
        </is>
      </c>
      <c r="C3285" s="4" t="inlineStr">
        <is>
          <t>Group</t>
        </is>
      </c>
      <c r="D3285" s="4" t="inlineStr">
        <is>
          <t>Shared Living</t>
        </is>
      </c>
      <c r="E3285" s="4" t="inlineStr">
        <is>
          <t>Family Household</t>
        </is>
      </c>
      <c r="F3285" s="4" t="inlineStr">
        <is>
          <t>Groceries</t>
        </is>
      </c>
      <c r="G3285" s="4" t="inlineStr">
        <is>
          <t>Expense</t>
        </is>
      </c>
      <c r="H3285" s="12" t="n">
        <v>46068</v>
      </c>
      <c r="I3285" s="13" t="n">
        <v>0.06777777777777778</v>
      </c>
      <c r="J3285" s="14" t="n">
        <v>46068.06777777777</v>
      </c>
      <c r="K3285" s="15" t="n">
        <v>19395.02</v>
      </c>
      <c r="L3285" s="4" t="inlineStr">
        <is>
          <t>INR</t>
        </is>
      </c>
      <c r="M3285" s="15" t="n">
        <v>-19395.02</v>
      </c>
      <c r="N3285" s="4" t="inlineStr">
        <is>
          <t>IOS Meera</t>
        </is>
      </c>
      <c r="O3285" s="4" t="n">
        <v>3</v>
      </c>
      <c r="P3285" s="4" t="inlineStr">
        <is>
          <t>EXACT</t>
        </is>
      </c>
      <c r="Q3285" s="4" t="inlineStr">
        <is>
          <t>MAESTRO-IOS-GROUP-FAMILY_HOUSEHOLD-3284 | Groceries | 19395.02</t>
        </is>
      </c>
      <c r="R3285" s="4" t="inlineStr">
        <is>
          <t>iPhone</t>
        </is>
      </c>
      <c r="S3285" s="4" t="inlineStr">
        <is>
          <t>B66</t>
        </is>
      </c>
      <c r="T3285" s="4" t="inlineStr">
        <is>
          <t>STRESS_3001_3500</t>
        </is>
      </c>
      <c r="U3285" s="4" t="inlineStr">
        <is>
          <t>CREATED</t>
        </is>
      </c>
      <c r="V3285" s="4" t="inlineStr">
        <is>
          <t>idem-20260902-ios-3284</t>
        </is>
      </c>
    </row>
    <row r="3286" ht="30" customHeight="1">
      <c r="A3286" s="4" t="n">
        <v>3285</v>
      </c>
      <c r="B3286" s="4" t="inlineStr">
        <is>
          <t>MTR-IOS-3285</t>
        </is>
      </c>
      <c r="C3286" s="4" t="inlineStr">
        <is>
          <t>Business</t>
        </is>
      </c>
      <c r="D3286" s="4" t="inlineStr">
        <is>
          <t>Business</t>
        </is>
      </c>
      <c r="E3286" s="4" t="inlineStr">
        <is>
          <t>Team Operations</t>
        </is>
      </c>
      <c r="F3286" s="4" t="inlineStr">
        <is>
          <t>Hiring</t>
        </is>
      </c>
      <c r="G3286" s="4" t="inlineStr">
        <is>
          <t>Expense</t>
        </is>
      </c>
      <c r="H3286" s="12" t="n">
        <v>46225</v>
      </c>
      <c r="I3286" s="13" t="n">
        <v>0.2268518518518519</v>
      </c>
      <c r="J3286" s="14" t="n">
        <v>46225.22685185185</v>
      </c>
      <c r="K3286" s="15" t="n">
        <v>106765.48</v>
      </c>
      <c r="L3286" s="4" t="inlineStr">
        <is>
          <t>INR</t>
        </is>
      </c>
      <c r="M3286" s="15" t="n">
        <v>-106765.48</v>
      </c>
      <c r="N3286" s="4" t="inlineStr">
        <is>
          <t>IOS Owner</t>
        </is>
      </c>
      <c r="O3286" s="4" t="n"/>
      <c r="P3286" s="4" t="n"/>
      <c r="Q3286" s="4" t="inlineStr">
        <is>
          <t>MAESTRO-IOS-BUSINESS-TEAM_OPERATIONS-3285 | Hiring | 106765.48</t>
        </is>
      </c>
      <c r="R3286" s="4" t="inlineStr">
        <is>
          <t>iPhone</t>
        </is>
      </c>
      <c r="S3286" s="4" t="inlineStr">
        <is>
          <t>B66</t>
        </is>
      </c>
      <c r="T3286" s="4" t="inlineStr">
        <is>
          <t>STRESS_3001_3500</t>
        </is>
      </c>
      <c r="U3286" s="4" t="inlineStr">
        <is>
          <t>CREATED</t>
        </is>
      </c>
      <c r="V3286" s="4" t="inlineStr">
        <is>
          <t>idem-20260902-ios-3285</t>
        </is>
      </c>
    </row>
    <row r="3287" ht="30" customHeight="1">
      <c r="A3287" s="4" t="n">
        <v>3286</v>
      </c>
      <c r="B3287" s="4" t="inlineStr">
        <is>
          <t>MTR-IOS-3286</t>
        </is>
      </c>
      <c r="C3287" s="4" t="inlineStr">
        <is>
          <t>Personal</t>
        </is>
      </c>
      <c r="D3287" s="4" t="inlineStr">
        <is>
          <t>Personal</t>
        </is>
      </c>
      <c r="E3287" s="4" t="inlineStr">
        <is>
          <t>Lifestyle</t>
        </is>
      </c>
      <c r="F3287" s="4" t="inlineStr">
        <is>
          <t>Entertainment</t>
        </is>
      </c>
      <c r="G3287" s="4" t="inlineStr">
        <is>
          <t>Expense</t>
        </is>
      </c>
      <c r="H3287" s="12" t="n">
        <v>45909</v>
      </c>
      <c r="I3287" s="13" t="n">
        <v>0.6598379629629629</v>
      </c>
      <c r="J3287" s="14" t="n">
        <v>45909.65983796296</v>
      </c>
      <c r="K3287" s="15" t="n">
        <v>7431.27</v>
      </c>
      <c r="L3287" s="4" t="inlineStr">
        <is>
          <t>INR</t>
        </is>
      </c>
      <c r="M3287" s="15" t="n">
        <v>-7431.27</v>
      </c>
      <c r="N3287" s="4" t="inlineStr">
        <is>
          <t>IOS Owner</t>
        </is>
      </c>
      <c r="O3287" s="4" t="n"/>
      <c r="P3287" s="4" t="n"/>
      <c r="Q3287" s="4" t="inlineStr">
        <is>
          <t>MAESTRO-IOS-PERSONAL-LIFESTYLE-3286 | Entertainment | 7431.27</t>
        </is>
      </c>
      <c r="R3287" s="4" t="inlineStr">
        <is>
          <t>iPhone</t>
        </is>
      </c>
      <c r="S3287" s="4" t="inlineStr">
        <is>
          <t>B66</t>
        </is>
      </c>
      <c r="T3287" s="4" t="inlineStr">
        <is>
          <t>STRESS_3001_3500</t>
        </is>
      </c>
      <c r="U3287" s="4" t="inlineStr">
        <is>
          <t>CREATED</t>
        </is>
      </c>
      <c r="V3287" s="4" t="inlineStr">
        <is>
          <t>idem-20260902-ios-3286</t>
        </is>
      </c>
    </row>
    <row r="3288" ht="30" customHeight="1">
      <c r="A3288" s="4" t="n">
        <v>3287</v>
      </c>
      <c r="B3288" s="4" t="inlineStr">
        <is>
          <t>MTR-IOS-3287</t>
        </is>
      </c>
      <c r="C3288" s="4" t="inlineStr">
        <is>
          <t>Group</t>
        </is>
      </c>
      <c r="D3288" s="4" t="inlineStr">
        <is>
          <t>Shared Living</t>
        </is>
      </c>
      <c r="E3288" s="4" t="inlineStr">
        <is>
          <t>Family Household</t>
        </is>
      </c>
      <c r="F3288" s="4" t="inlineStr">
        <is>
          <t>Bills</t>
        </is>
      </c>
      <c r="G3288" s="4" t="inlineStr">
        <is>
          <t>Expense</t>
        </is>
      </c>
      <c r="H3288" s="12" t="n">
        <v>45914</v>
      </c>
      <c r="I3288" s="13" t="n">
        <v>0.3789467592592592</v>
      </c>
      <c r="J3288" s="14" t="n">
        <v>45914.37894675926</v>
      </c>
      <c r="K3288" s="15" t="n">
        <v>17910.75</v>
      </c>
      <c r="L3288" s="4" t="inlineStr">
        <is>
          <t>INR</t>
        </is>
      </c>
      <c r="M3288" s="15" t="n">
        <v>-17910.75</v>
      </c>
      <c r="N3288" s="4" t="inlineStr">
        <is>
          <t>IOS Owner</t>
        </is>
      </c>
      <c r="O3288" s="4" t="n">
        <v>3</v>
      </c>
      <c r="P3288" s="4" t="inlineStr">
        <is>
          <t>SHARES</t>
        </is>
      </c>
      <c r="Q3288" s="4" t="inlineStr">
        <is>
          <t>MAESTRO-IOS-GROUP-FAMILY_HOUSEHOLD-3287 | Bills | 17910.75</t>
        </is>
      </c>
      <c r="R3288" s="4" t="inlineStr">
        <is>
          <t>iPhone</t>
        </is>
      </c>
      <c r="S3288" s="4" t="inlineStr">
        <is>
          <t>B66</t>
        </is>
      </c>
      <c r="T3288" s="4" t="inlineStr">
        <is>
          <t>STRESS_3001_3500</t>
        </is>
      </c>
      <c r="U3288" s="4" t="inlineStr">
        <is>
          <t>CREATED</t>
        </is>
      </c>
      <c r="V3288" s="4" t="inlineStr">
        <is>
          <t>idem-20260902-ios-3287</t>
        </is>
      </c>
    </row>
    <row r="3289" ht="30" customHeight="1">
      <c r="A3289" s="4" t="n">
        <v>3288</v>
      </c>
      <c r="B3289" s="4" t="inlineStr">
        <is>
          <t>MTR-IOS-3288</t>
        </is>
      </c>
      <c r="C3289" s="4" t="inlineStr">
        <is>
          <t>Business</t>
        </is>
      </c>
      <c r="D3289" s="4" t="inlineStr">
        <is>
          <t>Business</t>
        </is>
      </c>
      <c r="E3289" s="4" t="inlineStr">
        <is>
          <t>Team Operations</t>
        </is>
      </c>
      <c r="F3289" s="4" t="inlineStr">
        <is>
          <t>Team Meal</t>
        </is>
      </c>
      <c r="G3289" s="4" t="inlineStr">
        <is>
          <t>Expense</t>
        </is>
      </c>
      <c r="H3289" s="12" t="n">
        <v>46101</v>
      </c>
      <c r="I3289" s="13" t="n">
        <v>0.7765393518518519</v>
      </c>
      <c r="J3289" s="14" t="n">
        <v>46101.77653935185</v>
      </c>
      <c r="K3289" s="15" t="n">
        <v>35409.12</v>
      </c>
      <c r="L3289" s="4" t="inlineStr">
        <is>
          <t>INR</t>
        </is>
      </c>
      <c r="M3289" s="15" t="n">
        <v>-35409.12</v>
      </c>
      <c r="N3289" s="4" t="inlineStr">
        <is>
          <t>IOS Owner</t>
        </is>
      </c>
      <c r="O3289" s="4" t="n"/>
      <c r="P3289" s="4" t="n"/>
      <c r="Q3289" s="4" t="inlineStr">
        <is>
          <t>MAESTRO-IOS-BUSINESS-TEAM_OPERATIONS-3288 | Team Meal | 35409.12</t>
        </is>
      </c>
      <c r="R3289" s="4" t="inlineStr">
        <is>
          <t>iPhone</t>
        </is>
      </c>
      <c r="S3289" s="4" t="inlineStr">
        <is>
          <t>B66</t>
        </is>
      </c>
      <c r="T3289" s="4" t="inlineStr">
        <is>
          <t>STRESS_3001_3500</t>
        </is>
      </c>
      <c r="U3289" s="4" t="inlineStr">
        <is>
          <t>CREATED</t>
        </is>
      </c>
      <c r="V3289" s="4" t="inlineStr">
        <is>
          <t>idem-20260902-ios-3288</t>
        </is>
      </c>
    </row>
    <row r="3290" ht="30" customHeight="1">
      <c r="A3290" s="4" t="n">
        <v>3289</v>
      </c>
      <c r="B3290" s="4" t="inlineStr">
        <is>
          <t>MTR-IOS-3289</t>
        </is>
      </c>
      <c r="C3290" s="4" t="inlineStr">
        <is>
          <t>Personal</t>
        </is>
      </c>
      <c r="D3290" s="4" t="inlineStr">
        <is>
          <t>Personal</t>
        </is>
      </c>
      <c r="E3290" s="4" t="inlineStr">
        <is>
          <t>Lifestyle</t>
        </is>
      </c>
      <c r="F3290" s="4" t="inlineStr">
        <is>
          <t>Travel</t>
        </is>
      </c>
      <c r="G3290" s="4" t="inlineStr">
        <is>
          <t>Expense</t>
        </is>
      </c>
      <c r="H3290" s="12" t="n">
        <v>45967</v>
      </c>
      <c r="I3290" s="13" t="n">
        <v>0.3061458333333333</v>
      </c>
      <c r="J3290" s="14" t="n">
        <v>45967.30614583333</v>
      </c>
      <c r="K3290" s="15" t="n">
        <v>2750.38</v>
      </c>
      <c r="L3290" s="4" t="inlineStr">
        <is>
          <t>INR</t>
        </is>
      </c>
      <c r="M3290" s="15" t="n">
        <v>-2750.38</v>
      </c>
      <c r="N3290" s="4" t="inlineStr">
        <is>
          <t>IOS Owner</t>
        </is>
      </c>
      <c r="O3290" s="4" t="n"/>
      <c r="P3290" s="4" t="n"/>
      <c r="Q3290" s="4" t="inlineStr">
        <is>
          <t>MAESTRO-IOS-PERSONAL-LIFESTYLE-3289 | Travel | 2750.38</t>
        </is>
      </c>
      <c r="R3290" s="4" t="inlineStr">
        <is>
          <t>iPhone</t>
        </is>
      </c>
      <c r="S3290" s="4" t="inlineStr">
        <is>
          <t>B66</t>
        </is>
      </c>
      <c r="T3290" s="4" t="inlineStr">
        <is>
          <t>STRESS_3001_3500</t>
        </is>
      </c>
      <c r="U3290" s="4" t="inlineStr">
        <is>
          <t>CREATED</t>
        </is>
      </c>
      <c r="V3290" s="4" t="inlineStr">
        <is>
          <t>idem-20260902-ios-3289</t>
        </is>
      </c>
    </row>
    <row r="3291" ht="30" customHeight="1">
      <c r="A3291" s="4" t="n">
        <v>3290</v>
      </c>
      <c r="B3291" s="4" t="inlineStr">
        <is>
          <t>MTR-IOS-3290</t>
        </is>
      </c>
      <c r="C3291" s="4" t="inlineStr">
        <is>
          <t>Group</t>
        </is>
      </c>
      <c r="D3291" s="4" t="inlineStr">
        <is>
          <t>Shared Living</t>
        </is>
      </c>
      <c r="E3291" s="4" t="inlineStr">
        <is>
          <t>Family Household</t>
        </is>
      </c>
      <c r="F3291" s="4" t="inlineStr">
        <is>
          <t>School</t>
        </is>
      </c>
      <c r="G3291" s="4" t="inlineStr">
        <is>
          <t>Expense</t>
        </is>
      </c>
      <c r="H3291" s="12" t="n">
        <v>45973</v>
      </c>
      <c r="I3291" s="13" t="n">
        <v>0.8976388888888889</v>
      </c>
      <c r="J3291" s="14" t="n">
        <v>45973.89763888889</v>
      </c>
      <c r="K3291" s="15" t="n">
        <v>20868.58</v>
      </c>
      <c r="L3291" s="4" t="inlineStr">
        <is>
          <t>INR</t>
        </is>
      </c>
      <c r="M3291" s="15" t="n">
        <v>-20868.58</v>
      </c>
      <c r="N3291" s="4" t="inlineStr">
        <is>
          <t>IOS Aarav</t>
        </is>
      </c>
      <c r="O3291" s="4" t="n">
        <v>3</v>
      </c>
      <c r="P3291" s="4" t="inlineStr">
        <is>
          <t>EQUAL</t>
        </is>
      </c>
      <c r="Q3291" s="4" t="inlineStr">
        <is>
          <t>MAESTRO-IOS-GROUP-FAMILY_HOUSEHOLD-3290 | School | 20868.58</t>
        </is>
      </c>
      <c r="R3291" s="4" t="inlineStr">
        <is>
          <t>iPhone</t>
        </is>
      </c>
      <c r="S3291" s="4" t="inlineStr">
        <is>
          <t>B66</t>
        </is>
      </c>
      <c r="T3291" s="4" t="inlineStr">
        <is>
          <t>STRESS_3001_3500</t>
        </is>
      </c>
      <c r="U3291" s="4" t="inlineStr">
        <is>
          <t>CREATED</t>
        </is>
      </c>
      <c r="V3291" s="4" t="inlineStr">
        <is>
          <t>idem-20260902-ios-3290</t>
        </is>
      </c>
    </row>
    <row r="3292" ht="30" customHeight="1">
      <c r="A3292" s="4" t="n">
        <v>3291</v>
      </c>
      <c r="B3292" s="4" t="inlineStr">
        <is>
          <t>MTR-IOS-3291</t>
        </is>
      </c>
      <c r="C3292" s="4" t="inlineStr">
        <is>
          <t>Business</t>
        </is>
      </c>
      <c r="D3292" s="4" t="inlineStr">
        <is>
          <t>Business</t>
        </is>
      </c>
      <c r="E3292" s="4" t="inlineStr">
        <is>
          <t>Team Operations</t>
        </is>
      </c>
      <c r="F3292" s="4" t="inlineStr">
        <is>
          <t>Travel</t>
        </is>
      </c>
      <c r="G3292" s="4" t="inlineStr">
        <is>
          <t>Expense</t>
        </is>
      </c>
      <c r="H3292" s="12" t="n">
        <v>45996</v>
      </c>
      <c r="I3292" s="13" t="n">
        <v>0.4873842592592593</v>
      </c>
      <c r="J3292" s="14" t="n">
        <v>45996.48738425926</v>
      </c>
      <c r="K3292" s="15" t="n">
        <v>137626.29</v>
      </c>
      <c r="L3292" s="4" t="inlineStr">
        <is>
          <t>INR</t>
        </is>
      </c>
      <c r="M3292" s="15" t="n">
        <v>-137626.29</v>
      </c>
      <c r="N3292" s="4" t="inlineStr">
        <is>
          <t>IOS Owner</t>
        </is>
      </c>
      <c r="O3292" s="4" t="n"/>
      <c r="P3292" s="4" t="n"/>
      <c r="Q3292" s="4" t="inlineStr">
        <is>
          <t>MAESTRO-IOS-BUSINESS-TEAM_OPERATIONS-3291 | Travel | 137626.29</t>
        </is>
      </c>
      <c r="R3292" s="4" t="inlineStr">
        <is>
          <t>iPhone</t>
        </is>
      </c>
      <c r="S3292" s="4" t="inlineStr">
        <is>
          <t>B66</t>
        </is>
      </c>
      <c r="T3292" s="4" t="inlineStr">
        <is>
          <t>STRESS_3001_3500</t>
        </is>
      </c>
      <c r="U3292" s="4" t="inlineStr">
        <is>
          <t>CREATED</t>
        </is>
      </c>
      <c r="V3292" s="4" t="inlineStr">
        <is>
          <t>idem-20260902-ios-3291</t>
        </is>
      </c>
    </row>
    <row r="3293" ht="30" customHeight="1">
      <c r="A3293" s="4" t="n">
        <v>3292</v>
      </c>
      <c r="B3293" s="4" t="inlineStr">
        <is>
          <t>MTR-IOS-3292</t>
        </is>
      </c>
      <c r="C3293" s="4" t="inlineStr">
        <is>
          <t>Personal</t>
        </is>
      </c>
      <c r="D3293" s="4" t="inlineStr">
        <is>
          <t>Personal</t>
        </is>
      </c>
      <c r="E3293" s="4" t="inlineStr">
        <is>
          <t>Lifestyle</t>
        </is>
      </c>
      <c r="F3293" s="4" t="inlineStr">
        <is>
          <t>Fitness</t>
        </is>
      </c>
      <c r="G3293" s="4" t="inlineStr">
        <is>
          <t>Expense</t>
        </is>
      </c>
      <c r="H3293" s="12" t="n">
        <v>46113</v>
      </c>
      <c r="I3293" s="13" t="n">
        <v>0.6212037037037037</v>
      </c>
      <c r="J3293" s="14" t="n">
        <v>46113.6212037037</v>
      </c>
      <c r="K3293" s="15" t="n">
        <v>6546.08</v>
      </c>
      <c r="L3293" s="4" t="inlineStr">
        <is>
          <t>INR</t>
        </is>
      </c>
      <c r="M3293" s="15" t="n">
        <v>-6546.08</v>
      </c>
      <c r="N3293" s="4" t="inlineStr">
        <is>
          <t>IOS Owner</t>
        </is>
      </c>
      <c r="O3293" s="4" t="n"/>
      <c r="P3293" s="4" t="n"/>
      <c r="Q3293" s="4" t="inlineStr">
        <is>
          <t>MAESTRO-IOS-PERSONAL-LIFESTYLE-3292 | Fitness | 6546.08</t>
        </is>
      </c>
      <c r="R3293" s="4" t="inlineStr">
        <is>
          <t>iPhone</t>
        </is>
      </c>
      <c r="S3293" s="4" t="inlineStr">
        <is>
          <t>B66</t>
        </is>
      </c>
      <c r="T3293" s="4" t="inlineStr">
        <is>
          <t>STRESS_3001_3500</t>
        </is>
      </c>
      <c r="U3293" s="4" t="inlineStr">
        <is>
          <t>CREATED</t>
        </is>
      </c>
      <c r="V3293" s="4" t="inlineStr">
        <is>
          <t>idem-20260902-ios-3292</t>
        </is>
      </c>
    </row>
    <row r="3294" ht="30" customHeight="1">
      <c r="A3294" s="4" t="n">
        <v>3293</v>
      </c>
      <c r="B3294" s="4" t="inlineStr">
        <is>
          <t>MTR-IOS-3293</t>
        </is>
      </c>
      <c r="C3294" s="4" t="inlineStr">
        <is>
          <t>Group</t>
        </is>
      </c>
      <c r="D3294" s="4" t="inlineStr">
        <is>
          <t>Shared Living</t>
        </is>
      </c>
      <c r="E3294" s="4" t="inlineStr">
        <is>
          <t>Family Household</t>
        </is>
      </c>
      <c r="F3294" s="4" t="inlineStr">
        <is>
          <t>Healthcare</t>
        </is>
      </c>
      <c r="G3294" s="4" t="inlineStr">
        <is>
          <t>Expense</t>
        </is>
      </c>
      <c r="H3294" s="12" t="n">
        <v>45920</v>
      </c>
      <c r="I3294" s="13" t="n">
        <v>0.4561689814814815</v>
      </c>
      <c r="J3294" s="14" t="n">
        <v>45920.45616898148</v>
      </c>
      <c r="K3294" s="15" t="n">
        <v>10000</v>
      </c>
      <c r="L3294" s="4" t="inlineStr">
        <is>
          <t>INR</t>
        </is>
      </c>
      <c r="M3294" s="15" t="n">
        <v>-10000</v>
      </c>
      <c r="N3294" s="4" t="inlineStr">
        <is>
          <t>IOS Meera</t>
        </is>
      </c>
      <c r="O3294" s="4" t="n">
        <v>3</v>
      </c>
      <c r="P3294" s="4" t="inlineStr">
        <is>
          <t>PERCENTAGE</t>
        </is>
      </c>
      <c r="Q3294" s="4" t="inlineStr">
        <is>
          <t>MAESTRO-IOS-GROUP-FAMILY_HOUSEHOLD-3293 | Healthcare | 10000.00</t>
        </is>
      </c>
      <c r="R3294" s="4" t="inlineStr">
        <is>
          <t>iPhone</t>
        </is>
      </c>
      <c r="S3294" s="4" t="inlineStr">
        <is>
          <t>B66</t>
        </is>
      </c>
      <c r="T3294" s="4" t="inlineStr">
        <is>
          <t>STRESS_3001_3500</t>
        </is>
      </c>
      <c r="U3294" s="4" t="inlineStr">
        <is>
          <t>CREATED</t>
        </is>
      </c>
      <c r="V3294" s="4" t="inlineStr">
        <is>
          <t>idem-20260902-ios-3293</t>
        </is>
      </c>
    </row>
    <row r="3295" ht="30" customHeight="1">
      <c r="A3295" s="4" t="n">
        <v>3294</v>
      </c>
      <c r="B3295" s="4" t="inlineStr">
        <is>
          <t>MTR-IOS-3294</t>
        </is>
      </c>
      <c r="C3295" s="4" t="inlineStr">
        <is>
          <t>Business</t>
        </is>
      </c>
      <c r="D3295" s="4" t="inlineStr">
        <is>
          <t>Business</t>
        </is>
      </c>
      <c r="E3295" s="4" t="inlineStr">
        <is>
          <t>Team Operations</t>
        </is>
      </c>
      <c r="F3295" s="4" t="inlineStr">
        <is>
          <t>Training</t>
        </is>
      </c>
      <c r="G3295" s="4" t="inlineStr">
        <is>
          <t>Expense</t>
        </is>
      </c>
      <c r="H3295" s="12" t="n">
        <v>46096</v>
      </c>
      <c r="I3295" s="13" t="n">
        <v>0.1400115740740741</v>
      </c>
      <c r="J3295" s="14" t="n">
        <v>46096.14001157408</v>
      </c>
      <c r="K3295" s="15" t="n">
        <v>132056.99</v>
      </c>
      <c r="L3295" s="4" t="inlineStr">
        <is>
          <t>INR</t>
        </is>
      </c>
      <c r="M3295" s="15" t="n">
        <v>-132056.99</v>
      </c>
      <c r="N3295" s="4" t="inlineStr">
        <is>
          <t>IOS Owner</t>
        </is>
      </c>
      <c r="O3295" s="4" t="n"/>
      <c r="P3295" s="4" t="n"/>
      <c r="Q3295" s="4" t="inlineStr">
        <is>
          <t>MAESTRO-IOS-BUSINESS-TEAM_OPERATIONS-3294 | Training | 132056.99</t>
        </is>
      </c>
      <c r="R3295" s="4" t="inlineStr">
        <is>
          <t>iPhone</t>
        </is>
      </c>
      <c r="S3295" s="4" t="inlineStr">
        <is>
          <t>B66</t>
        </is>
      </c>
      <c r="T3295" s="4" t="inlineStr">
        <is>
          <t>STRESS_3001_3500</t>
        </is>
      </c>
      <c r="U3295" s="4" t="inlineStr">
        <is>
          <t>CREATED</t>
        </is>
      </c>
      <c r="V3295" s="4" t="inlineStr">
        <is>
          <t>idem-20260902-ios-3294</t>
        </is>
      </c>
    </row>
    <row r="3296" ht="30" customHeight="1">
      <c r="A3296" s="4" t="n">
        <v>3295</v>
      </c>
      <c r="B3296" s="4" t="inlineStr">
        <is>
          <t>MTR-IOS-3295</t>
        </is>
      </c>
      <c r="C3296" s="4" t="inlineStr">
        <is>
          <t>Personal</t>
        </is>
      </c>
      <c r="D3296" s="4" t="inlineStr">
        <is>
          <t>Personal</t>
        </is>
      </c>
      <c r="E3296" s="4" t="inlineStr">
        <is>
          <t>Lifestyle</t>
        </is>
      </c>
      <c r="F3296" s="4" t="inlineStr">
        <is>
          <t>Hobbies</t>
        </is>
      </c>
      <c r="G3296" s="4" t="inlineStr">
        <is>
          <t>Expense</t>
        </is>
      </c>
      <c r="H3296" s="12" t="n">
        <v>46108</v>
      </c>
      <c r="I3296" s="13" t="n">
        <v>0.6525578703703704</v>
      </c>
      <c r="J3296" s="14" t="n">
        <v>46108.65255787037</v>
      </c>
      <c r="K3296" s="15" t="n">
        <v>702.16</v>
      </c>
      <c r="L3296" s="4" t="inlineStr">
        <is>
          <t>INR</t>
        </is>
      </c>
      <c r="M3296" s="15" t="n">
        <v>-702.16</v>
      </c>
      <c r="N3296" s="4" t="inlineStr">
        <is>
          <t>IOS Owner</t>
        </is>
      </c>
      <c r="O3296" s="4" t="n"/>
      <c r="P3296" s="4" t="n"/>
      <c r="Q3296" s="4" t="inlineStr">
        <is>
          <t>MAESTRO-IOS-PERSONAL-LIFESTYLE-3295 | Hobbies | 702.16</t>
        </is>
      </c>
      <c r="R3296" s="4" t="inlineStr">
        <is>
          <t>iPhone</t>
        </is>
      </c>
      <c r="S3296" s="4" t="inlineStr">
        <is>
          <t>B66</t>
        </is>
      </c>
      <c r="T3296" s="4" t="inlineStr">
        <is>
          <t>STRESS_3001_3500</t>
        </is>
      </c>
      <c r="U3296" s="4" t="inlineStr">
        <is>
          <t>CREATED</t>
        </is>
      </c>
      <c r="V3296" s="4" t="inlineStr">
        <is>
          <t>idem-20260902-ios-3295</t>
        </is>
      </c>
    </row>
    <row r="3297" ht="30" customHeight="1">
      <c r="A3297" s="4" t="n">
        <v>3296</v>
      </c>
      <c r="B3297" s="4" t="inlineStr">
        <is>
          <t>MTR-IOS-3296</t>
        </is>
      </c>
      <c r="C3297" s="4" t="inlineStr">
        <is>
          <t>Group</t>
        </is>
      </c>
      <c r="D3297" s="4" t="inlineStr">
        <is>
          <t>Shared Living</t>
        </is>
      </c>
      <c r="E3297" s="4" t="inlineStr">
        <is>
          <t>Family Household</t>
        </is>
      </c>
      <c r="F3297" s="4" t="inlineStr">
        <is>
          <t>Home</t>
        </is>
      </c>
      <c r="G3297" s="4" t="inlineStr">
        <is>
          <t>Expense</t>
        </is>
      </c>
      <c r="H3297" s="12" t="n">
        <v>46178</v>
      </c>
      <c r="I3297" s="13" t="n">
        <v>0.7600231481481482</v>
      </c>
      <c r="J3297" s="14" t="n">
        <v>46178.76002314815</v>
      </c>
      <c r="K3297" s="15" t="n">
        <v>3562.26</v>
      </c>
      <c r="L3297" s="4" t="inlineStr">
        <is>
          <t>INR</t>
        </is>
      </c>
      <c r="M3297" s="15" t="n">
        <v>-3562.26</v>
      </c>
      <c r="N3297" s="4" t="inlineStr">
        <is>
          <t>IOS Owner</t>
        </is>
      </c>
      <c r="O3297" s="4" t="n">
        <v>3</v>
      </c>
      <c r="P3297" s="4" t="inlineStr">
        <is>
          <t>EXACT</t>
        </is>
      </c>
      <c r="Q3297" s="4" t="inlineStr">
        <is>
          <t>MAESTRO-IOS-GROUP-FAMILY_HOUSEHOLD-3296 | Home | 3562.26</t>
        </is>
      </c>
      <c r="R3297" s="4" t="inlineStr">
        <is>
          <t>iPhone</t>
        </is>
      </c>
      <c r="S3297" s="4" t="inlineStr">
        <is>
          <t>B66</t>
        </is>
      </c>
      <c r="T3297" s="4" t="inlineStr">
        <is>
          <t>STRESS_3001_3500</t>
        </is>
      </c>
      <c r="U3297" s="4" t="inlineStr">
        <is>
          <t>CREATED</t>
        </is>
      </c>
      <c r="V3297" s="4" t="inlineStr">
        <is>
          <t>idem-20260902-ios-3296</t>
        </is>
      </c>
    </row>
    <row r="3298" ht="30" customHeight="1">
      <c r="A3298" s="4" t="n">
        <v>3297</v>
      </c>
      <c r="B3298" s="4" t="inlineStr">
        <is>
          <t>MTR-IOS-3297</t>
        </is>
      </c>
      <c r="C3298" s="4" t="inlineStr">
        <is>
          <t>Business</t>
        </is>
      </c>
      <c r="D3298" s="4" t="inlineStr">
        <is>
          <t>Business</t>
        </is>
      </c>
      <c r="E3298" s="4" t="inlineStr">
        <is>
          <t>Team Operations</t>
        </is>
      </c>
      <c r="F3298" s="4" t="inlineStr">
        <is>
          <t>Tools</t>
        </is>
      </c>
      <c r="G3298" s="4" t="inlineStr">
        <is>
          <t>Expense</t>
        </is>
      </c>
      <c r="H3298" s="12" t="n">
        <v>45936</v>
      </c>
      <c r="I3298" s="13" t="n">
        <v>0.3812847222222222</v>
      </c>
      <c r="J3298" s="14" t="n">
        <v>45936.38128472222</v>
      </c>
      <c r="K3298" s="15" t="n">
        <v>93317.32000000001</v>
      </c>
      <c r="L3298" s="4" t="inlineStr">
        <is>
          <t>INR</t>
        </is>
      </c>
      <c r="M3298" s="15" t="n">
        <v>-93317.32000000001</v>
      </c>
      <c r="N3298" s="4" t="inlineStr">
        <is>
          <t>IOS Owner</t>
        </is>
      </c>
      <c r="O3298" s="4" t="n"/>
      <c r="P3298" s="4" t="n"/>
      <c r="Q3298" s="4" t="inlineStr">
        <is>
          <t>MAESTRO-IOS-BUSINESS-TEAM_OPERATIONS-3297 | Tools | 93317.32</t>
        </is>
      </c>
      <c r="R3298" s="4" t="inlineStr">
        <is>
          <t>iPhone</t>
        </is>
      </c>
      <c r="S3298" s="4" t="inlineStr">
        <is>
          <t>B66</t>
        </is>
      </c>
      <c r="T3298" s="4" t="inlineStr">
        <is>
          <t>STRESS_3001_3500</t>
        </is>
      </c>
      <c r="U3298" s="4" t="inlineStr">
        <is>
          <t>CREATED</t>
        </is>
      </c>
      <c r="V3298" s="4" t="inlineStr">
        <is>
          <t>idem-20260902-ios-3297</t>
        </is>
      </c>
    </row>
    <row r="3299" ht="30" customHeight="1">
      <c r="A3299" s="4" t="n">
        <v>3298</v>
      </c>
      <c r="B3299" s="4" t="inlineStr">
        <is>
          <t>MTR-IOS-3298</t>
        </is>
      </c>
      <c r="C3299" s="4" t="inlineStr">
        <is>
          <t>Personal</t>
        </is>
      </c>
      <c r="D3299" s="4" t="inlineStr">
        <is>
          <t>Personal</t>
        </is>
      </c>
      <c r="E3299" s="4" t="inlineStr">
        <is>
          <t>Relationships</t>
        </is>
      </c>
      <c r="F3299" s="4" t="inlineStr">
        <is>
          <t>Gifts</t>
        </is>
      </c>
      <c r="G3299" s="4" t="inlineStr">
        <is>
          <t>Expense</t>
        </is>
      </c>
      <c r="H3299" s="12" t="n">
        <v>46229</v>
      </c>
      <c r="I3299" s="13" t="n">
        <v>0.9357523148148148</v>
      </c>
      <c r="J3299" s="14" t="n">
        <v>46229.93575231481</v>
      </c>
      <c r="K3299" s="15" t="n">
        <v>15665.98</v>
      </c>
      <c r="L3299" s="4" t="inlineStr">
        <is>
          <t>INR</t>
        </is>
      </c>
      <c r="M3299" s="15" t="n">
        <v>-15665.98</v>
      </c>
      <c r="N3299" s="4" t="inlineStr">
        <is>
          <t>IOS Owner</t>
        </is>
      </c>
      <c r="O3299" s="4" t="n"/>
      <c r="P3299" s="4" t="n"/>
      <c r="Q3299" s="4" t="inlineStr">
        <is>
          <t>MAESTRO-IOS-PERSONAL-RELATIONSHIPS-3298 | Gifts | 15665.98</t>
        </is>
      </c>
      <c r="R3299" s="4" t="inlineStr">
        <is>
          <t>iPhone</t>
        </is>
      </c>
      <c r="S3299" s="4" t="inlineStr">
        <is>
          <t>B66</t>
        </is>
      </c>
      <c r="T3299" s="4" t="inlineStr">
        <is>
          <t>STRESS_3001_3500</t>
        </is>
      </c>
      <c r="U3299" s="4" t="inlineStr">
        <is>
          <t>CREATED</t>
        </is>
      </c>
      <c r="V3299" s="4" t="inlineStr">
        <is>
          <t>idem-20260902-ios-3298</t>
        </is>
      </c>
    </row>
    <row r="3300" ht="30" customHeight="1">
      <c r="A3300" s="4" t="n">
        <v>3299</v>
      </c>
      <c r="B3300" s="4" t="inlineStr">
        <is>
          <t>MTR-IOS-3299</t>
        </is>
      </c>
      <c r="C3300" s="4" t="inlineStr">
        <is>
          <t>Group</t>
        </is>
      </c>
      <c r="D3300" s="4" t="inlineStr">
        <is>
          <t>Shared Living</t>
        </is>
      </c>
      <c r="E3300" s="4" t="inlineStr">
        <is>
          <t>Family Household</t>
        </is>
      </c>
      <c r="F3300" s="4" t="inlineStr">
        <is>
          <t>Other</t>
        </is>
      </c>
      <c r="G3300" s="4" t="inlineStr">
        <is>
          <t>Expense</t>
        </is>
      </c>
      <c r="H3300" s="12" t="n">
        <v>46182</v>
      </c>
      <c r="I3300" s="13" t="n">
        <v>0.8986805555555556</v>
      </c>
      <c r="J3300" s="14" t="n">
        <v>46182.89868055555</v>
      </c>
      <c r="K3300" s="15" t="n">
        <v>5750.63</v>
      </c>
      <c r="L3300" s="4" t="inlineStr">
        <is>
          <t>INR</t>
        </is>
      </c>
      <c r="M3300" s="15" t="n">
        <v>-5750.63</v>
      </c>
      <c r="N3300" s="4" t="inlineStr">
        <is>
          <t>IOS Aarav</t>
        </is>
      </c>
      <c r="O3300" s="4" t="n">
        <v>3</v>
      </c>
      <c r="P3300" s="4" t="inlineStr">
        <is>
          <t>SHARES</t>
        </is>
      </c>
      <c r="Q3300" s="4" t="inlineStr">
        <is>
          <t>MAESTRO-IOS-GROUP-FAMILY_HOUSEHOLD-3299 | Other | 5750.63</t>
        </is>
      </c>
      <c r="R3300" s="4" t="inlineStr">
        <is>
          <t>iPhone</t>
        </is>
      </c>
      <c r="S3300" s="4" t="inlineStr">
        <is>
          <t>B66</t>
        </is>
      </c>
      <c r="T3300" s="4" t="inlineStr">
        <is>
          <t>STRESS_3001_3500</t>
        </is>
      </c>
      <c r="U3300" s="4" t="inlineStr">
        <is>
          <t>CREATED</t>
        </is>
      </c>
      <c r="V3300" s="4" t="inlineStr">
        <is>
          <t>idem-20260902-ios-3299</t>
        </is>
      </c>
    </row>
    <row r="3301" ht="30" customHeight="1">
      <c r="A3301" s="4" t="n">
        <v>3300</v>
      </c>
      <c r="B3301" s="4" t="inlineStr">
        <is>
          <t>MTR-IOS-3300</t>
        </is>
      </c>
      <c r="C3301" s="4" t="inlineStr">
        <is>
          <t>Business</t>
        </is>
      </c>
      <c r="D3301" s="4" t="inlineStr">
        <is>
          <t>Business</t>
        </is>
      </c>
      <c r="E3301" s="4" t="inlineStr">
        <is>
          <t>Business Runway</t>
        </is>
      </c>
      <c r="F3301" s="4" t="inlineStr">
        <is>
          <t>Funding</t>
        </is>
      </c>
      <c r="G3301" s="4" t="inlineStr">
        <is>
          <t>Income</t>
        </is>
      </c>
      <c r="H3301" s="12" t="n">
        <v>46056</v>
      </c>
      <c r="I3301" s="13" t="n">
        <v>0.5318518518518518</v>
      </c>
      <c r="J3301" s="14" t="n">
        <v>46056.53185185185</v>
      </c>
      <c r="K3301" s="15" t="n">
        <v>51674.77</v>
      </c>
      <c r="L3301" s="4" t="inlineStr">
        <is>
          <t>INR</t>
        </is>
      </c>
      <c r="M3301" s="15" t="n">
        <v>51674.77</v>
      </c>
      <c r="N3301" s="4" t="inlineStr">
        <is>
          <t>IOS Owner</t>
        </is>
      </c>
      <c r="O3301" s="4" t="n"/>
      <c r="P3301" s="4" t="n"/>
      <c r="Q3301" s="4" t="inlineStr">
        <is>
          <t>MAESTRO-IOS-BUSINESS-BUSINESS_RUNWAY-3300 | Funding | 51674.77</t>
        </is>
      </c>
      <c r="R3301" s="4" t="inlineStr">
        <is>
          <t>iPhone</t>
        </is>
      </c>
      <c r="S3301" s="4" t="inlineStr">
        <is>
          <t>B66</t>
        </is>
      </c>
      <c r="T3301" s="4" t="inlineStr">
        <is>
          <t>STRESS_3001_3500</t>
        </is>
      </c>
      <c r="U3301" s="4" t="inlineStr">
        <is>
          <t>CREATED</t>
        </is>
      </c>
      <c r="V3301" s="4" t="inlineStr">
        <is>
          <t>idem-20260902-ios-3300</t>
        </is>
      </c>
    </row>
    <row r="3302" ht="30" customHeight="1">
      <c r="A3302" s="4" t="n">
        <v>3301</v>
      </c>
      <c r="B3302" s="4" t="inlineStr">
        <is>
          <t>MTR-IOS-3301</t>
        </is>
      </c>
      <c r="C3302" s="4" t="inlineStr">
        <is>
          <t>Personal</t>
        </is>
      </c>
      <c r="D3302" s="4" t="inlineStr">
        <is>
          <t>Personal</t>
        </is>
      </c>
      <c r="E3302" s="4" t="inlineStr">
        <is>
          <t>Relationships</t>
        </is>
      </c>
      <c r="F3302" s="4" t="inlineStr">
        <is>
          <t>Dates</t>
        </is>
      </c>
      <c r="G3302" s="4" t="inlineStr">
        <is>
          <t>Expense</t>
        </is>
      </c>
      <c r="H3302" s="12" t="n">
        <v>46008</v>
      </c>
      <c r="I3302" s="13" t="n">
        <v>0.6092013888888889</v>
      </c>
      <c r="J3302" s="14" t="n">
        <v>46008.60920138889</v>
      </c>
      <c r="K3302" s="15" t="n">
        <v>2019.01</v>
      </c>
      <c r="L3302" s="4" t="inlineStr">
        <is>
          <t>INR</t>
        </is>
      </c>
      <c r="M3302" s="15" t="n">
        <v>-2019.01</v>
      </c>
      <c r="N3302" s="4" t="inlineStr">
        <is>
          <t>IOS Owner</t>
        </is>
      </c>
      <c r="O3302" s="4" t="n"/>
      <c r="P3302" s="4" t="n"/>
      <c r="Q3302" s="4" t="inlineStr">
        <is>
          <t>MAESTRO-IOS-PERSONAL-RELATIONSHIPS-3301 | Dates | 2019.01</t>
        </is>
      </c>
      <c r="R3302" s="4" t="inlineStr">
        <is>
          <t>iPhone</t>
        </is>
      </c>
      <c r="S3302" s="4" t="inlineStr">
        <is>
          <t>B67</t>
        </is>
      </c>
      <c r="T3302" s="4" t="inlineStr">
        <is>
          <t>STRESS_3001_3500</t>
        </is>
      </c>
      <c r="U3302" s="4" t="inlineStr">
        <is>
          <t>CREATED</t>
        </is>
      </c>
      <c r="V3302" s="4" t="inlineStr">
        <is>
          <t>idem-20260902-ios-3301</t>
        </is>
      </c>
    </row>
    <row r="3303" ht="30" customHeight="1">
      <c r="A3303" s="4" t="n">
        <v>3302</v>
      </c>
      <c r="B3303" s="4" t="inlineStr">
        <is>
          <t>MTR-IOS-3302</t>
        </is>
      </c>
      <c r="C3303" s="4" t="inlineStr">
        <is>
          <t>Group</t>
        </is>
      </c>
      <c r="D3303" s="4" t="inlineStr">
        <is>
          <t>Shared Living</t>
        </is>
      </c>
      <c r="E3303" s="4" t="inlineStr">
        <is>
          <t>Custom Living</t>
        </is>
      </c>
      <c r="F3303" s="4" t="inlineStr">
        <is>
          <t>Custom Expense</t>
        </is>
      </c>
      <c r="G3303" s="4" t="inlineStr">
        <is>
          <t>Expense</t>
        </is>
      </c>
      <c r="H3303" s="12" t="n">
        <v>45994</v>
      </c>
      <c r="I3303" s="13" t="n">
        <v>0.7448842592592593</v>
      </c>
      <c r="J3303" s="14" t="n">
        <v>45994.74488425926</v>
      </c>
      <c r="K3303" s="15" t="n">
        <v>8584.709999999999</v>
      </c>
      <c r="L3303" s="4" t="inlineStr">
        <is>
          <t>INR</t>
        </is>
      </c>
      <c r="M3303" s="15" t="n">
        <v>-8584.709999999999</v>
      </c>
      <c r="N3303" s="4" t="inlineStr">
        <is>
          <t>IOS Meera</t>
        </is>
      </c>
      <c r="O3303" s="4" t="n">
        <v>3</v>
      </c>
      <c r="P3303" s="4" t="inlineStr">
        <is>
          <t>EQUAL</t>
        </is>
      </c>
      <c r="Q3303" s="4" t="inlineStr">
        <is>
          <t>MAESTRO-IOS-GROUP-CUSTOM_LIVING-3302 | Custom Expense | 8584.71</t>
        </is>
      </c>
      <c r="R3303" s="4" t="inlineStr">
        <is>
          <t>iPhone</t>
        </is>
      </c>
      <c r="S3303" s="4" t="inlineStr">
        <is>
          <t>B67</t>
        </is>
      </c>
      <c r="T3303" s="4" t="inlineStr">
        <is>
          <t>STRESS_3001_3500</t>
        </is>
      </c>
      <c r="U3303" s="4" t="inlineStr">
        <is>
          <t>CREATED</t>
        </is>
      </c>
      <c r="V3303" s="4" t="inlineStr">
        <is>
          <t>idem-20260902-ios-3302</t>
        </is>
      </c>
    </row>
    <row r="3304" ht="30" customHeight="1">
      <c r="A3304" s="4" t="n">
        <v>3303</v>
      </c>
      <c r="B3304" s="4" t="inlineStr">
        <is>
          <t>MTR-IOS-3303</t>
        </is>
      </c>
      <c r="C3304" s="4" t="inlineStr">
        <is>
          <t>Business</t>
        </is>
      </c>
      <c r="D3304" s="4" t="inlineStr">
        <is>
          <t>Business</t>
        </is>
      </c>
      <c r="E3304" s="4" t="inlineStr">
        <is>
          <t>Business Runway</t>
        </is>
      </c>
      <c r="F3304" s="4" t="inlineStr">
        <is>
          <t>Revenue</t>
        </is>
      </c>
      <c r="G3304" s="4" t="inlineStr">
        <is>
          <t>Income</t>
        </is>
      </c>
      <c r="H3304" s="12" t="n">
        <v>46144</v>
      </c>
      <c r="I3304" s="13" t="n">
        <v>0.08936342592592593</v>
      </c>
      <c r="J3304" s="14" t="n">
        <v>46144.08936342593</v>
      </c>
      <c r="K3304" s="15" t="n">
        <v>96948.85000000001</v>
      </c>
      <c r="L3304" s="4" t="inlineStr">
        <is>
          <t>INR</t>
        </is>
      </c>
      <c r="M3304" s="15" t="n">
        <v>96948.85000000001</v>
      </c>
      <c r="N3304" s="4" t="inlineStr">
        <is>
          <t>IOS Owner</t>
        </is>
      </c>
      <c r="O3304" s="4" t="n"/>
      <c r="P3304" s="4" t="n"/>
      <c r="Q3304" s="4" t="inlineStr">
        <is>
          <t>MAESTRO-IOS-BUSINESS-BUSINESS_RUNWAY-3303 | Revenue | 96948.85</t>
        </is>
      </c>
      <c r="R3304" s="4" t="inlineStr">
        <is>
          <t>iPhone</t>
        </is>
      </c>
      <c r="S3304" s="4" t="inlineStr">
        <is>
          <t>B67</t>
        </is>
      </c>
      <c r="T3304" s="4" t="inlineStr">
        <is>
          <t>STRESS_3001_3500</t>
        </is>
      </c>
      <c r="U3304" s="4" t="inlineStr">
        <is>
          <t>CREATED</t>
        </is>
      </c>
      <c r="V3304" s="4" t="inlineStr">
        <is>
          <t>idem-20260902-ios-3303</t>
        </is>
      </c>
    </row>
    <row r="3305" ht="30" customHeight="1">
      <c r="A3305" s="4" t="n">
        <v>3304</v>
      </c>
      <c r="B3305" s="4" t="inlineStr">
        <is>
          <t>MTR-IOS-3304</t>
        </is>
      </c>
      <c r="C3305" s="4" t="inlineStr">
        <is>
          <t>Personal</t>
        </is>
      </c>
      <c r="D3305" s="4" t="inlineStr">
        <is>
          <t>Personal</t>
        </is>
      </c>
      <c r="E3305" s="4" t="inlineStr">
        <is>
          <t>Relationships</t>
        </is>
      </c>
      <c r="F3305" s="4" t="inlineStr">
        <is>
          <t>Family</t>
        </is>
      </c>
      <c r="G3305" s="4" t="inlineStr">
        <is>
          <t>Expense</t>
        </is>
      </c>
      <c r="H3305" s="12" t="n">
        <v>46257</v>
      </c>
      <c r="I3305" s="13" t="n">
        <v>0.7121064814814815</v>
      </c>
      <c r="J3305" s="14" t="n">
        <v>46257.71210648148</v>
      </c>
      <c r="K3305" s="15" t="n">
        <v>6009.66</v>
      </c>
      <c r="L3305" s="4" t="inlineStr">
        <is>
          <t>INR</t>
        </is>
      </c>
      <c r="M3305" s="15" t="n">
        <v>-6009.66</v>
      </c>
      <c r="N3305" s="4" t="inlineStr">
        <is>
          <t>IOS Owner</t>
        </is>
      </c>
      <c r="O3305" s="4" t="n"/>
      <c r="P3305" s="4" t="n"/>
      <c r="Q3305" s="4" t="inlineStr">
        <is>
          <t>MAESTRO-IOS-PERSONAL-RELATIONSHIPS-3304 | Family | 6009.66</t>
        </is>
      </c>
      <c r="R3305" s="4" t="inlineStr">
        <is>
          <t>iPhone</t>
        </is>
      </c>
      <c r="S3305" s="4" t="inlineStr">
        <is>
          <t>B67</t>
        </is>
      </c>
      <c r="T3305" s="4" t="inlineStr">
        <is>
          <t>STRESS_3001_3500</t>
        </is>
      </c>
      <c r="U3305" s="4" t="inlineStr">
        <is>
          <t>CREATED</t>
        </is>
      </c>
      <c r="V3305" s="4" t="inlineStr">
        <is>
          <t>idem-20260902-ios-3304</t>
        </is>
      </c>
    </row>
    <row r="3306" ht="30" customHeight="1">
      <c r="A3306" s="4" t="n">
        <v>3305</v>
      </c>
      <c r="B3306" s="4" t="inlineStr">
        <is>
          <t>MTR-IOS-3305</t>
        </is>
      </c>
      <c r="C3306" s="4" t="inlineStr">
        <is>
          <t>Group</t>
        </is>
      </c>
      <c r="D3306" s="4" t="inlineStr">
        <is>
          <t>Shared Living</t>
        </is>
      </c>
      <c r="E3306" s="4" t="inlineStr">
        <is>
          <t>Custom Living</t>
        </is>
      </c>
      <c r="F3306" s="4" t="inlineStr">
        <is>
          <t>Custom Contribution</t>
        </is>
      </c>
      <c r="G3306" s="4" t="inlineStr">
        <is>
          <t>Contribution</t>
        </is>
      </c>
      <c r="H3306" s="12" t="n">
        <v>46158</v>
      </c>
      <c r="I3306" s="13" t="n">
        <v>0.9484490740740741</v>
      </c>
      <c r="J3306" s="14" t="n">
        <v>46158.94844907407</v>
      </c>
      <c r="K3306" s="15" t="n">
        <v>7655.86</v>
      </c>
      <c r="L3306" s="4" t="inlineStr">
        <is>
          <t>INR</t>
        </is>
      </c>
      <c r="M3306" s="15" t="n">
        <v>7655.86</v>
      </c>
      <c r="N3306" s="4" t="inlineStr">
        <is>
          <t>IOS Owner</t>
        </is>
      </c>
      <c r="O3306" s="4" t="n">
        <v>3</v>
      </c>
      <c r="P3306" s="4" t="inlineStr">
        <is>
          <t>PERCENTAGE</t>
        </is>
      </c>
      <c r="Q3306" s="4" t="inlineStr">
        <is>
          <t>MAESTRO-IOS-GROUP-CUSTOM_LIVING-3305 | Custom Contribution | 7655.86</t>
        </is>
      </c>
      <c r="R3306" s="4" t="inlineStr">
        <is>
          <t>iPhone</t>
        </is>
      </c>
      <c r="S3306" s="4" t="inlineStr">
        <is>
          <t>B67</t>
        </is>
      </c>
      <c r="T3306" s="4" t="inlineStr">
        <is>
          <t>STRESS_3001_3500</t>
        </is>
      </c>
      <c r="U3306" s="4" t="inlineStr">
        <is>
          <t>CREATED</t>
        </is>
      </c>
      <c r="V3306" s="4" t="inlineStr">
        <is>
          <t>idem-20260902-ios-3305</t>
        </is>
      </c>
    </row>
    <row r="3307" ht="30" customHeight="1">
      <c r="A3307" s="4" t="n">
        <v>3306</v>
      </c>
      <c r="B3307" s="4" t="inlineStr">
        <is>
          <t>MTR-IOS-3306</t>
        </is>
      </c>
      <c r="C3307" s="4" t="inlineStr">
        <is>
          <t>Business</t>
        </is>
      </c>
      <c r="D3307" s="4" t="inlineStr">
        <is>
          <t>Business</t>
        </is>
      </c>
      <c r="E3307" s="4" t="inlineStr">
        <is>
          <t>Business Runway</t>
        </is>
      </c>
      <c r="F3307" s="4" t="inlineStr">
        <is>
          <t>Burn</t>
        </is>
      </c>
      <c r="G3307" s="4" t="inlineStr">
        <is>
          <t>Expense</t>
        </is>
      </c>
      <c r="H3307" s="12" t="n">
        <v>46022</v>
      </c>
      <c r="I3307" s="13" t="n">
        <v>0.8711458333333333</v>
      </c>
      <c r="J3307" s="14" t="n">
        <v>46022.87114583333</v>
      </c>
      <c r="K3307" s="15" t="n">
        <v>153777.97</v>
      </c>
      <c r="L3307" s="4" t="inlineStr">
        <is>
          <t>INR</t>
        </is>
      </c>
      <c r="M3307" s="15" t="n">
        <v>-153777.97</v>
      </c>
      <c r="N3307" s="4" t="inlineStr">
        <is>
          <t>IOS Owner</t>
        </is>
      </c>
      <c r="O3307" s="4" t="n"/>
      <c r="P3307" s="4" t="n"/>
      <c r="Q3307" s="4" t="inlineStr">
        <is>
          <t>MAESTRO-IOS-BUSINESS-BUSINESS_RUNWAY-3306 | Burn | 153777.97</t>
        </is>
      </c>
      <c r="R3307" s="4" t="inlineStr">
        <is>
          <t>iPhone</t>
        </is>
      </c>
      <c r="S3307" s="4" t="inlineStr">
        <is>
          <t>B67</t>
        </is>
      </c>
      <c r="T3307" s="4" t="inlineStr">
        <is>
          <t>STRESS_3001_3500</t>
        </is>
      </c>
      <c r="U3307" s="4" t="inlineStr">
        <is>
          <t>CREATED</t>
        </is>
      </c>
      <c r="V3307" s="4" t="inlineStr">
        <is>
          <t>idem-20260902-ios-3306</t>
        </is>
      </c>
    </row>
    <row r="3308" ht="30" customHeight="1">
      <c r="A3308" s="4" t="n">
        <v>3307</v>
      </c>
      <c r="B3308" s="4" t="inlineStr">
        <is>
          <t>MTR-IOS-3307</t>
        </is>
      </c>
      <c r="C3308" s="4" t="inlineStr">
        <is>
          <t>Personal</t>
        </is>
      </c>
      <c r="D3308" s="4" t="inlineStr">
        <is>
          <t>Personal</t>
        </is>
      </c>
      <c r="E3308" s="4" t="inlineStr">
        <is>
          <t>Relationships</t>
        </is>
      </c>
      <c r="F3308" s="4" t="inlineStr">
        <is>
          <t>Friends</t>
        </is>
      </c>
      <c r="G3308" s="4" t="inlineStr">
        <is>
          <t>Expense</t>
        </is>
      </c>
      <c r="H3308" s="12" t="n">
        <v>45946</v>
      </c>
      <c r="I3308" s="13" t="n">
        <v>0.1184375</v>
      </c>
      <c r="J3308" s="14" t="n">
        <v>45946.1184375</v>
      </c>
      <c r="K3308" s="15" t="n">
        <v>14279.91</v>
      </c>
      <c r="L3308" s="4" t="inlineStr">
        <is>
          <t>INR</t>
        </is>
      </c>
      <c r="M3308" s="15" t="n">
        <v>-14279.91</v>
      </c>
      <c r="N3308" s="4" t="inlineStr">
        <is>
          <t>IOS Owner</t>
        </is>
      </c>
      <c r="O3308" s="4" t="n"/>
      <c r="P3308" s="4" t="n"/>
      <c r="Q3308" s="4" t="inlineStr">
        <is>
          <t>MAESTRO-IOS-PERSONAL-RELATIONSHIPS-3307 | Friends | 14279.91</t>
        </is>
      </c>
      <c r="R3308" s="4" t="inlineStr">
        <is>
          <t>iPhone</t>
        </is>
      </c>
      <c r="S3308" s="4" t="inlineStr">
        <is>
          <t>B67</t>
        </is>
      </c>
      <c r="T3308" s="4" t="inlineStr">
        <is>
          <t>STRESS_3001_3500</t>
        </is>
      </c>
      <c r="U3308" s="4" t="inlineStr">
        <is>
          <t>CREATED</t>
        </is>
      </c>
      <c r="V3308" s="4" t="inlineStr">
        <is>
          <t>idem-20260902-ios-3307</t>
        </is>
      </c>
    </row>
    <row r="3309" ht="30" customHeight="1">
      <c r="A3309" s="4" t="n">
        <v>3308</v>
      </c>
      <c r="B3309" s="4" t="inlineStr">
        <is>
          <t>MTR-IOS-3308</t>
        </is>
      </c>
      <c r="C3309" s="4" t="inlineStr">
        <is>
          <t>Group</t>
        </is>
      </c>
      <c r="D3309" s="4" t="inlineStr">
        <is>
          <t>Shared Experience</t>
        </is>
      </c>
      <c r="E3309" s="4" t="inlineStr">
        <is>
          <t>Trip</t>
        </is>
      </c>
      <c r="F3309" s="4" t="inlineStr">
        <is>
          <t>Travel</t>
        </is>
      </c>
      <c r="G3309" s="4" t="inlineStr">
        <is>
          <t>Expense</t>
        </is>
      </c>
      <c r="H3309" s="12" t="n">
        <v>46070</v>
      </c>
      <c r="I3309" s="13" t="n">
        <v>0.6455787037037037</v>
      </c>
      <c r="J3309" s="14" t="n">
        <v>46070.6455787037</v>
      </c>
      <c r="K3309" s="15" t="n">
        <v>18952.46</v>
      </c>
      <c r="L3309" s="4" t="inlineStr">
        <is>
          <t>INR</t>
        </is>
      </c>
      <c r="M3309" s="15" t="n">
        <v>-18952.46</v>
      </c>
      <c r="N3309" s="4" t="inlineStr">
        <is>
          <t>IOS Aarav</t>
        </is>
      </c>
      <c r="O3309" s="4" t="n">
        <v>3</v>
      </c>
      <c r="P3309" s="4" t="inlineStr">
        <is>
          <t>EXACT</t>
        </is>
      </c>
      <c r="Q3309" s="4" t="inlineStr">
        <is>
          <t>MAESTRO-IOS-GROUP-TRIP-3308 | Travel | 18952.46</t>
        </is>
      </c>
      <c r="R3309" s="4" t="inlineStr">
        <is>
          <t>iPhone</t>
        </is>
      </c>
      <c r="S3309" s="4" t="inlineStr">
        <is>
          <t>B67</t>
        </is>
      </c>
      <c r="T3309" s="4" t="inlineStr">
        <is>
          <t>STRESS_3001_3500</t>
        </is>
      </c>
      <c r="U3309" s="4" t="inlineStr">
        <is>
          <t>CREATED</t>
        </is>
      </c>
      <c r="V3309" s="4" t="inlineStr">
        <is>
          <t>idem-20260902-ios-3308</t>
        </is>
      </c>
    </row>
    <row r="3310" ht="30" customHeight="1">
      <c r="A3310" s="4" t="n">
        <v>3309</v>
      </c>
      <c r="B3310" s="4" t="inlineStr">
        <is>
          <t>MTR-IOS-3309</t>
        </is>
      </c>
      <c r="C3310" s="4" t="inlineStr">
        <is>
          <t>Business</t>
        </is>
      </c>
      <c r="D3310" s="4" t="inlineStr">
        <is>
          <t>Business</t>
        </is>
      </c>
      <c r="E3310" s="4" t="inlineStr">
        <is>
          <t>Business Runway</t>
        </is>
      </c>
      <c r="F3310" s="4" t="inlineStr">
        <is>
          <t>Reserve</t>
        </is>
      </c>
      <c r="G3310" s="4" t="inlineStr">
        <is>
          <t>Transfer</t>
        </is>
      </c>
      <c r="H3310" s="12" t="n">
        <v>46089</v>
      </c>
      <c r="I3310" s="13" t="n">
        <v>0.1537037037037037</v>
      </c>
      <c r="J3310" s="14" t="n">
        <v>46089.15370370371</v>
      </c>
      <c r="K3310" s="15" t="n">
        <v>158182.89</v>
      </c>
      <c r="L3310" s="4" t="inlineStr">
        <is>
          <t>INR</t>
        </is>
      </c>
      <c r="M3310" s="15" t="n">
        <v>0</v>
      </c>
      <c r="N3310" s="4" t="inlineStr">
        <is>
          <t>IOS Owner</t>
        </is>
      </c>
      <c r="O3310" s="4" t="n"/>
      <c r="P3310" s="4" t="n"/>
      <c r="Q3310" s="4" t="inlineStr">
        <is>
          <t>MAESTRO-IOS-BUSINESS-BUSINESS_RUNWAY-3309 | Reserve | 158182.89</t>
        </is>
      </c>
      <c r="R3310" s="4" t="inlineStr">
        <is>
          <t>iPhone</t>
        </is>
      </c>
      <c r="S3310" s="4" t="inlineStr">
        <is>
          <t>B67</t>
        </is>
      </c>
      <c r="T3310" s="4" t="inlineStr">
        <is>
          <t>STRESS_3001_3500</t>
        </is>
      </c>
      <c r="U3310" s="4" t="inlineStr">
        <is>
          <t>CREATED</t>
        </is>
      </c>
      <c r="V3310" s="4" t="inlineStr">
        <is>
          <t>idem-20260902-ios-3309</t>
        </is>
      </c>
    </row>
    <row r="3311" ht="30" customHeight="1">
      <c r="A3311" s="4" t="n">
        <v>3310</v>
      </c>
      <c r="B3311" s="4" t="inlineStr">
        <is>
          <t>MTR-IOS-3310</t>
        </is>
      </c>
      <c r="C3311" s="4" t="inlineStr">
        <is>
          <t>Personal</t>
        </is>
      </c>
      <c r="D3311" s="4" t="inlineStr">
        <is>
          <t>Personal</t>
        </is>
      </c>
      <c r="E3311" s="4" t="inlineStr">
        <is>
          <t>Relationships</t>
        </is>
      </c>
      <c r="F3311" s="4" t="inlineStr">
        <is>
          <t>Celebrations</t>
        </is>
      </c>
      <c r="G3311" s="4" t="inlineStr">
        <is>
          <t>Expense</t>
        </is>
      </c>
      <c r="H3311" s="12" t="n">
        <v>46248</v>
      </c>
      <c r="I3311" s="13" t="n">
        <v>0.8619560185185186</v>
      </c>
      <c r="J3311" s="14" t="n">
        <v>46248.86195601852</v>
      </c>
      <c r="K3311" s="15" t="n">
        <v>15323.51</v>
      </c>
      <c r="L3311" s="4" t="inlineStr">
        <is>
          <t>INR</t>
        </is>
      </c>
      <c r="M3311" s="15" t="n">
        <v>-15323.51</v>
      </c>
      <c r="N3311" s="4" t="inlineStr">
        <is>
          <t>IOS Owner</t>
        </is>
      </c>
      <c r="O3311" s="4" t="n"/>
      <c r="P3311" s="4" t="n"/>
      <c r="Q3311" s="4" t="inlineStr">
        <is>
          <t>MAESTRO-IOS-PERSONAL-RELATIONSHIPS-3310 | Celebrations | 15323.51</t>
        </is>
      </c>
      <c r="R3311" s="4" t="inlineStr">
        <is>
          <t>iPhone</t>
        </is>
      </c>
      <c r="S3311" s="4" t="inlineStr">
        <is>
          <t>B67</t>
        </is>
      </c>
      <c r="T3311" s="4" t="inlineStr">
        <is>
          <t>STRESS_3001_3500</t>
        </is>
      </c>
      <c r="U3311" s="4" t="inlineStr">
        <is>
          <t>CREATED</t>
        </is>
      </c>
      <c r="V3311" s="4" t="inlineStr">
        <is>
          <t>idem-20260902-ios-3310</t>
        </is>
      </c>
    </row>
    <row r="3312" ht="30" customHeight="1">
      <c r="A3312" s="4" t="n">
        <v>3311</v>
      </c>
      <c r="B3312" s="4" t="inlineStr">
        <is>
          <t>MTR-IOS-3311</t>
        </is>
      </c>
      <c r="C3312" s="4" t="inlineStr">
        <is>
          <t>Group</t>
        </is>
      </c>
      <c r="D3312" s="4" t="inlineStr">
        <is>
          <t>Shared Experience</t>
        </is>
      </c>
      <c r="E3312" s="4" t="inlineStr">
        <is>
          <t>Trip</t>
        </is>
      </c>
      <c r="F3312" s="4" t="inlineStr">
        <is>
          <t>Stay</t>
        </is>
      </c>
      <c r="G3312" s="4" t="inlineStr">
        <is>
          <t>Expense</t>
        </is>
      </c>
      <c r="H3312" s="12" t="n">
        <v>45906</v>
      </c>
      <c r="I3312" s="13" t="n">
        <v>0.3561689814814815</v>
      </c>
      <c r="J3312" s="14" t="n">
        <v>45906.35616898148</v>
      </c>
      <c r="K3312" s="15" t="n">
        <v>25790.95</v>
      </c>
      <c r="L3312" s="4" t="inlineStr">
        <is>
          <t>INR</t>
        </is>
      </c>
      <c r="M3312" s="15" t="n">
        <v>-25790.95</v>
      </c>
      <c r="N3312" s="4" t="inlineStr">
        <is>
          <t>IOS Meera</t>
        </is>
      </c>
      <c r="O3312" s="4" t="n">
        <v>3</v>
      </c>
      <c r="P3312" s="4" t="inlineStr">
        <is>
          <t>SHARES</t>
        </is>
      </c>
      <c r="Q3312" s="4" t="inlineStr">
        <is>
          <t>MAESTRO-IOS-GROUP-TRIP-3311 | Stay | 25790.95</t>
        </is>
      </c>
      <c r="R3312" s="4" t="inlineStr">
        <is>
          <t>iPhone</t>
        </is>
      </c>
      <c r="S3312" s="4" t="inlineStr">
        <is>
          <t>B67</t>
        </is>
      </c>
      <c r="T3312" s="4" t="inlineStr">
        <is>
          <t>STRESS_3001_3500</t>
        </is>
      </c>
      <c r="U3312" s="4" t="inlineStr">
        <is>
          <t>CREATED</t>
        </is>
      </c>
      <c r="V3312" s="4" t="inlineStr">
        <is>
          <t>idem-20260902-ios-3311</t>
        </is>
      </c>
    </row>
    <row r="3313" ht="30" customHeight="1">
      <c r="A3313" s="4" t="n">
        <v>3312</v>
      </c>
      <c r="B3313" s="4" t="inlineStr">
        <is>
          <t>MTR-IOS-3312</t>
        </is>
      </c>
      <c r="C3313" s="4" t="inlineStr">
        <is>
          <t>Business</t>
        </is>
      </c>
      <c r="D3313" s="4" t="inlineStr">
        <is>
          <t>Business</t>
        </is>
      </c>
      <c r="E3313" s="4" t="inlineStr">
        <is>
          <t>Business Runway</t>
        </is>
      </c>
      <c r="F3313" s="4" t="inlineStr">
        <is>
          <t>Loan</t>
        </is>
      </c>
      <c r="G3313" s="4" t="inlineStr">
        <is>
          <t>Income</t>
        </is>
      </c>
      <c r="H3313" s="12" t="n">
        <v>46065</v>
      </c>
      <c r="I3313" s="13" t="n">
        <v>0.06331018518518519</v>
      </c>
      <c r="J3313" s="14" t="n">
        <v>46065.06331018519</v>
      </c>
      <c r="K3313" s="15" t="n">
        <v>158772.92</v>
      </c>
      <c r="L3313" s="4" t="inlineStr">
        <is>
          <t>INR</t>
        </is>
      </c>
      <c r="M3313" s="15" t="n">
        <v>158772.92</v>
      </c>
      <c r="N3313" s="4" t="inlineStr">
        <is>
          <t>IOS Owner</t>
        </is>
      </c>
      <c r="O3313" s="4" t="n"/>
      <c r="P3313" s="4" t="n"/>
      <c r="Q3313" s="4" t="inlineStr">
        <is>
          <t>MAESTRO-IOS-BUSINESS-BUSINESS_RUNWAY-3312 | Loan | 158772.92</t>
        </is>
      </c>
      <c r="R3313" s="4" t="inlineStr">
        <is>
          <t>iPhone</t>
        </is>
      </c>
      <c r="S3313" s="4" t="inlineStr">
        <is>
          <t>B67</t>
        </is>
      </c>
      <c r="T3313" s="4" t="inlineStr">
        <is>
          <t>STRESS_3001_3500</t>
        </is>
      </c>
      <c r="U3313" s="4" t="inlineStr">
        <is>
          <t>CREATED</t>
        </is>
      </c>
      <c r="V3313" s="4" t="inlineStr">
        <is>
          <t>idem-20260902-ios-3312</t>
        </is>
      </c>
    </row>
    <row r="3314" ht="30" customHeight="1">
      <c r="A3314" s="4" t="n">
        <v>3313</v>
      </c>
      <c r="B3314" s="4" t="inlineStr">
        <is>
          <t>MTR-IOS-3313</t>
        </is>
      </c>
      <c r="C3314" s="4" t="inlineStr">
        <is>
          <t>Personal</t>
        </is>
      </c>
      <c r="D3314" s="4" t="inlineStr">
        <is>
          <t>Personal</t>
        </is>
      </c>
      <c r="E3314" s="4" t="inlineStr">
        <is>
          <t>Life Operations</t>
        </is>
      </c>
      <c r="F3314" s="4" t="inlineStr">
        <is>
          <t>Groceries</t>
        </is>
      </c>
      <c r="G3314" s="4" t="inlineStr">
        <is>
          <t>Expense</t>
        </is>
      </c>
      <c r="H3314" s="12" t="n">
        <v>46223</v>
      </c>
      <c r="I3314" s="13" t="n">
        <v>0.7392476851851851</v>
      </c>
      <c r="J3314" s="14" t="n">
        <v>46223.73924768518</v>
      </c>
      <c r="K3314" s="15" t="n">
        <v>6850.45</v>
      </c>
      <c r="L3314" s="4" t="inlineStr">
        <is>
          <t>INR</t>
        </is>
      </c>
      <c r="M3314" s="15" t="n">
        <v>-6850.45</v>
      </c>
      <c r="N3314" s="4" t="inlineStr">
        <is>
          <t>IOS Owner</t>
        </is>
      </c>
      <c r="O3314" s="4" t="n"/>
      <c r="P3314" s="4" t="n"/>
      <c r="Q3314" s="4" t="inlineStr">
        <is>
          <t>MAESTRO-IOS-PERSONAL-LIFE_OPERATIONS-3313 | Groceries | 6850.45</t>
        </is>
      </c>
      <c r="R3314" s="4" t="inlineStr">
        <is>
          <t>iPhone</t>
        </is>
      </c>
      <c r="S3314" s="4" t="inlineStr">
        <is>
          <t>B67</t>
        </is>
      </c>
      <c r="T3314" s="4" t="inlineStr">
        <is>
          <t>STRESS_3001_3500</t>
        </is>
      </c>
      <c r="U3314" s="4" t="inlineStr">
        <is>
          <t>CREATED</t>
        </is>
      </c>
      <c r="V3314" s="4" t="inlineStr">
        <is>
          <t>idem-20260902-ios-3313</t>
        </is>
      </c>
    </row>
    <row r="3315" ht="30" customHeight="1">
      <c r="A3315" s="4" t="n">
        <v>3314</v>
      </c>
      <c r="B3315" s="4" t="inlineStr">
        <is>
          <t>MTR-IOS-3314</t>
        </is>
      </c>
      <c r="C3315" s="4" t="inlineStr">
        <is>
          <t>Group</t>
        </is>
      </c>
      <c r="D3315" s="4" t="inlineStr">
        <is>
          <t>Shared Experience</t>
        </is>
      </c>
      <c r="E3315" s="4" t="inlineStr">
        <is>
          <t>Trip</t>
        </is>
      </c>
      <c r="F3315" s="4" t="inlineStr">
        <is>
          <t>Food</t>
        </is>
      </c>
      <c r="G3315" s="4" t="inlineStr">
        <is>
          <t>Expense</t>
        </is>
      </c>
      <c r="H3315" s="12" t="n">
        <v>45932</v>
      </c>
      <c r="I3315" s="13" t="n">
        <v>0.2915972222222222</v>
      </c>
      <c r="J3315" s="14" t="n">
        <v>45932.29159722223</v>
      </c>
      <c r="K3315" s="15" t="n">
        <v>6806.4</v>
      </c>
      <c r="L3315" s="4" t="inlineStr">
        <is>
          <t>INR</t>
        </is>
      </c>
      <c r="M3315" s="15" t="n">
        <v>-6806.4</v>
      </c>
      <c r="N3315" s="4" t="inlineStr">
        <is>
          <t>IOS Owner</t>
        </is>
      </c>
      <c r="O3315" s="4" t="n">
        <v>3</v>
      </c>
      <c r="P3315" s="4" t="inlineStr">
        <is>
          <t>EQUAL</t>
        </is>
      </c>
      <c r="Q3315" s="4" t="inlineStr">
        <is>
          <t>MAESTRO-IOS-GROUP-TRIP-3314 | Food | 6806.40</t>
        </is>
      </c>
      <c r="R3315" s="4" t="inlineStr">
        <is>
          <t>iPhone</t>
        </is>
      </c>
      <c r="S3315" s="4" t="inlineStr">
        <is>
          <t>B67</t>
        </is>
      </c>
      <c r="T3315" s="4" t="inlineStr">
        <is>
          <t>STRESS_3001_3500</t>
        </is>
      </c>
      <c r="U3315" s="4" t="inlineStr">
        <is>
          <t>CREATED</t>
        </is>
      </c>
      <c r="V3315" s="4" t="inlineStr">
        <is>
          <t>idem-20260902-ios-3314</t>
        </is>
      </c>
    </row>
    <row r="3316" ht="30" customHeight="1">
      <c r="A3316" s="4" t="n">
        <v>3315</v>
      </c>
      <c r="B3316" s="4" t="inlineStr">
        <is>
          <t>MTR-IOS-3315</t>
        </is>
      </c>
      <c r="C3316" s="4" t="inlineStr">
        <is>
          <t>Business</t>
        </is>
      </c>
      <c r="D3316" s="4" t="inlineStr">
        <is>
          <t>Business</t>
        </is>
      </c>
      <c r="E3316" s="4" t="inlineStr">
        <is>
          <t>Business Runway</t>
        </is>
      </c>
      <c r="F3316" s="4" t="inlineStr">
        <is>
          <t>Investment</t>
        </is>
      </c>
      <c r="G3316" s="4" t="inlineStr">
        <is>
          <t>Income</t>
        </is>
      </c>
      <c r="H3316" s="12" t="n">
        <v>46266</v>
      </c>
      <c r="I3316" s="13" t="n">
        <v>0.02034722222222222</v>
      </c>
      <c r="J3316" s="14" t="n">
        <v>46266.02034722222</v>
      </c>
      <c r="K3316" s="15" t="n">
        <v>51633.91</v>
      </c>
      <c r="L3316" s="4" t="inlineStr">
        <is>
          <t>INR</t>
        </is>
      </c>
      <c r="M3316" s="15" t="n">
        <v>51633.91</v>
      </c>
      <c r="N3316" s="4" t="inlineStr">
        <is>
          <t>IOS Owner</t>
        </is>
      </c>
      <c r="O3316" s="4" t="n"/>
      <c r="P3316" s="4" t="n"/>
      <c r="Q3316" s="4" t="inlineStr">
        <is>
          <t>MAESTRO-IOS-BUSINESS-BUSINESS_RUNWAY-3315 | Investment | 51633.91</t>
        </is>
      </c>
      <c r="R3316" s="4" t="inlineStr">
        <is>
          <t>iPhone</t>
        </is>
      </c>
      <c r="S3316" s="4" t="inlineStr">
        <is>
          <t>B67</t>
        </is>
      </c>
      <c r="T3316" s="4" t="inlineStr">
        <is>
          <t>STRESS_3001_3500</t>
        </is>
      </c>
      <c r="U3316" s="4" t="inlineStr">
        <is>
          <t>CREATED</t>
        </is>
      </c>
      <c r="V3316" s="4" t="inlineStr">
        <is>
          <t>idem-20260902-ios-3315</t>
        </is>
      </c>
    </row>
    <row r="3317" ht="30" customHeight="1">
      <c r="A3317" s="4" t="n">
        <v>3316</v>
      </c>
      <c r="B3317" s="4" t="inlineStr">
        <is>
          <t>MTR-IOS-3316</t>
        </is>
      </c>
      <c r="C3317" s="4" t="inlineStr">
        <is>
          <t>Personal</t>
        </is>
      </c>
      <c r="D3317" s="4" t="inlineStr">
        <is>
          <t>Personal</t>
        </is>
      </c>
      <c r="E3317" s="4" t="inlineStr">
        <is>
          <t>Life Operations</t>
        </is>
      </c>
      <c r="F3317" s="4" t="inlineStr">
        <is>
          <t>Rent</t>
        </is>
      </c>
      <c r="G3317" s="4" t="inlineStr">
        <is>
          <t>Expense</t>
        </is>
      </c>
      <c r="H3317" s="12" t="n">
        <v>46004</v>
      </c>
      <c r="I3317" s="13" t="n">
        <v>0.5233101851851852</v>
      </c>
      <c r="J3317" s="14" t="n">
        <v>46004.52331018518</v>
      </c>
      <c r="K3317" s="15" t="n">
        <v>12811.04</v>
      </c>
      <c r="L3317" s="4" t="inlineStr">
        <is>
          <t>INR</t>
        </is>
      </c>
      <c r="M3317" s="15" t="n">
        <v>-12811.04</v>
      </c>
      <c r="N3317" s="4" t="inlineStr">
        <is>
          <t>IOS Owner</t>
        </is>
      </c>
      <c r="O3317" s="4" t="n"/>
      <c r="P3317" s="4" t="n"/>
      <c r="Q3317" s="4" t="inlineStr">
        <is>
          <t>MAESTRO-IOS-PERSONAL-LIFE_OPERATIONS-3316 | Rent | 12811.04</t>
        </is>
      </c>
      <c r="R3317" s="4" t="inlineStr">
        <is>
          <t>iPhone</t>
        </is>
      </c>
      <c r="S3317" s="4" t="inlineStr">
        <is>
          <t>B67</t>
        </is>
      </c>
      <c r="T3317" s="4" t="inlineStr">
        <is>
          <t>STRESS_3001_3500</t>
        </is>
      </c>
      <c r="U3317" s="4" t="inlineStr">
        <is>
          <t>CREATED</t>
        </is>
      </c>
      <c r="V3317" s="4" t="inlineStr">
        <is>
          <t>idem-20260902-ios-3316</t>
        </is>
      </c>
    </row>
    <row r="3318" ht="30" customHeight="1">
      <c r="A3318" s="4" t="n">
        <v>3317</v>
      </c>
      <c r="B3318" s="4" t="inlineStr">
        <is>
          <t>MTR-IOS-3317</t>
        </is>
      </c>
      <c r="C3318" s="4" t="inlineStr">
        <is>
          <t>Group</t>
        </is>
      </c>
      <c r="D3318" s="4" t="inlineStr">
        <is>
          <t>Shared Experience</t>
        </is>
      </c>
      <c r="E3318" s="4" t="inlineStr">
        <is>
          <t>Trip</t>
        </is>
      </c>
      <c r="F3318" s="4" t="inlineStr">
        <is>
          <t>Local Transport</t>
        </is>
      </c>
      <c r="G3318" s="4" t="inlineStr">
        <is>
          <t>Expense</t>
        </is>
      </c>
      <c r="H3318" s="12" t="n">
        <v>45978</v>
      </c>
      <c r="I3318" s="13" t="n">
        <v>0.5118287037037037</v>
      </c>
      <c r="J3318" s="14" t="n">
        <v>45978.5118287037</v>
      </c>
      <c r="K3318" s="15" t="n">
        <v>193.04</v>
      </c>
      <c r="L3318" s="4" t="inlineStr">
        <is>
          <t>INR</t>
        </is>
      </c>
      <c r="M3318" s="15" t="n">
        <v>-193.04</v>
      </c>
      <c r="N3318" s="4" t="inlineStr">
        <is>
          <t>IOS Aarav</t>
        </is>
      </c>
      <c r="O3318" s="4" t="n">
        <v>3</v>
      </c>
      <c r="P3318" s="4" t="inlineStr">
        <is>
          <t>PERCENTAGE</t>
        </is>
      </c>
      <c r="Q3318" s="4" t="inlineStr">
        <is>
          <t>MAESTRO-IOS-GROUP-TRIP-3317 | Local Transport | 193.04</t>
        </is>
      </c>
      <c r="R3318" s="4" t="inlineStr">
        <is>
          <t>iPhone</t>
        </is>
      </c>
      <c r="S3318" s="4" t="inlineStr">
        <is>
          <t>B67</t>
        </is>
      </c>
      <c r="T3318" s="4" t="inlineStr">
        <is>
          <t>STRESS_3001_3500</t>
        </is>
      </c>
      <c r="U3318" s="4" t="inlineStr">
        <is>
          <t>CREATED</t>
        </is>
      </c>
      <c r="V3318" s="4" t="inlineStr">
        <is>
          <t>idem-20260902-ios-3317</t>
        </is>
      </c>
    </row>
    <row r="3319" ht="30" customHeight="1">
      <c r="A3319" s="4" t="n">
        <v>3318</v>
      </c>
      <c r="B3319" s="4" t="inlineStr">
        <is>
          <t>MTR-IOS-3318</t>
        </is>
      </c>
      <c r="C3319" s="4" t="inlineStr">
        <is>
          <t>Business</t>
        </is>
      </c>
      <c r="D3319" s="4" t="inlineStr">
        <is>
          <t>Business</t>
        </is>
      </c>
      <c r="E3319" s="4" t="inlineStr">
        <is>
          <t>Business Operations</t>
        </is>
      </c>
      <c r="F3319" s="4" t="inlineStr">
        <is>
          <t>Software</t>
        </is>
      </c>
      <c r="G3319" s="4" t="inlineStr">
        <is>
          <t>Expense</t>
        </is>
      </c>
      <c r="H3319" s="12" t="n">
        <v>46181</v>
      </c>
      <c r="I3319" s="13" t="n">
        <v>0.7903472222222222</v>
      </c>
      <c r="J3319" s="14" t="n">
        <v>46181.79034722222</v>
      </c>
      <c r="K3319" s="15" t="n">
        <v>11357.65</v>
      </c>
      <c r="L3319" s="4" t="inlineStr">
        <is>
          <t>INR</t>
        </is>
      </c>
      <c r="M3319" s="15" t="n">
        <v>-11357.65</v>
      </c>
      <c r="N3319" s="4" t="inlineStr">
        <is>
          <t>IOS Owner</t>
        </is>
      </c>
      <c r="O3319" s="4" t="n"/>
      <c r="P3319" s="4" t="n"/>
      <c r="Q3319" s="4" t="inlineStr">
        <is>
          <t>MAESTRO-IOS-BUSINESS-BUSINESS_OPERATIONS-3318 | Software | 11357.65</t>
        </is>
      </c>
      <c r="R3319" s="4" t="inlineStr">
        <is>
          <t>iPhone</t>
        </is>
      </c>
      <c r="S3319" s="4" t="inlineStr">
        <is>
          <t>B67</t>
        </is>
      </c>
      <c r="T3319" s="4" t="inlineStr">
        <is>
          <t>STRESS_3001_3500</t>
        </is>
      </c>
      <c r="U3319" s="4" t="inlineStr">
        <is>
          <t>CREATED</t>
        </is>
      </c>
      <c r="V3319" s="4" t="inlineStr">
        <is>
          <t>idem-20260902-ios-3318</t>
        </is>
      </c>
    </row>
    <row r="3320" ht="30" customHeight="1">
      <c r="A3320" s="4" t="n">
        <v>3319</v>
      </c>
      <c r="B3320" s="4" t="inlineStr">
        <is>
          <t>MTR-IOS-3319</t>
        </is>
      </c>
      <c r="C3320" s="4" t="inlineStr">
        <is>
          <t>Personal</t>
        </is>
      </c>
      <c r="D3320" s="4" t="inlineStr">
        <is>
          <t>Personal</t>
        </is>
      </c>
      <c r="E3320" s="4" t="inlineStr">
        <is>
          <t>Life Operations</t>
        </is>
      </c>
      <c r="F3320" s="4" t="inlineStr">
        <is>
          <t>Bills</t>
        </is>
      </c>
      <c r="G3320" s="4" t="inlineStr">
        <is>
          <t>Expense</t>
        </is>
      </c>
      <c r="H3320" s="12" t="n">
        <v>46088</v>
      </c>
      <c r="I3320" s="13" t="n">
        <v>0.4305092592592593</v>
      </c>
      <c r="J3320" s="14" t="n">
        <v>46088.43050925926</v>
      </c>
      <c r="K3320" s="15" t="n">
        <v>6914.39</v>
      </c>
      <c r="L3320" s="4" t="inlineStr">
        <is>
          <t>INR</t>
        </is>
      </c>
      <c r="M3320" s="15" t="n">
        <v>-6914.39</v>
      </c>
      <c r="N3320" s="4" t="inlineStr">
        <is>
          <t>IOS Owner</t>
        </is>
      </c>
      <c r="O3320" s="4" t="n"/>
      <c r="P3320" s="4" t="n"/>
      <c r="Q3320" s="4" t="inlineStr">
        <is>
          <t>MAESTRO-IOS-PERSONAL-LIFE_OPERATIONS-3319 | Bills | 6914.39</t>
        </is>
      </c>
      <c r="R3320" s="4" t="inlineStr">
        <is>
          <t>iPhone</t>
        </is>
      </c>
      <c r="S3320" s="4" t="inlineStr">
        <is>
          <t>B67</t>
        </is>
      </c>
      <c r="T3320" s="4" t="inlineStr">
        <is>
          <t>STRESS_3001_3500</t>
        </is>
      </c>
      <c r="U3320" s="4" t="inlineStr">
        <is>
          <t>CREATED</t>
        </is>
      </c>
      <c r="V3320" s="4" t="inlineStr">
        <is>
          <t>idem-20260902-ios-3319</t>
        </is>
      </c>
    </row>
    <row r="3321" ht="30" customHeight="1">
      <c r="A3321" s="4" t="n">
        <v>3320</v>
      </c>
      <c r="B3321" s="4" t="inlineStr">
        <is>
          <t>MTR-IOS-3320</t>
        </is>
      </c>
      <c r="C3321" s="4" t="inlineStr">
        <is>
          <t>Group</t>
        </is>
      </c>
      <c r="D3321" s="4" t="inlineStr">
        <is>
          <t>Shared Experience</t>
        </is>
      </c>
      <c r="E3321" s="4" t="inlineStr">
        <is>
          <t>Trip</t>
        </is>
      </c>
      <c r="F3321" s="4" t="inlineStr">
        <is>
          <t>Activities</t>
        </is>
      </c>
      <c r="G3321" s="4" t="inlineStr">
        <is>
          <t>Expense</t>
        </is>
      </c>
      <c r="H3321" s="12" t="n">
        <v>46119</v>
      </c>
      <c r="I3321" s="13" t="n">
        <v>0.9451851851851852</v>
      </c>
      <c r="J3321" s="14" t="n">
        <v>46119.94518518518</v>
      </c>
      <c r="K3321" s="15" t="n">
        <v>16892.57</v>
      </c>
      <c r="L3321" s="4" t="inlineStr">
        <is>
          <t>INR</t>
        </is>
      </c>
      <c r="M3321" s="15" t="n">
        <v>-16892.57</v>
      </c>
      <c r="N3321" s="4" t="inlineStr">
        <is>
          <t>IOS Meera</t>
        </is>
      </c>
      <c r="O3321" s="4" t="n">
        <v>3</v>
      </c>
      <c r="P3321" s="4" t="inlineStr">
        <is>
          <t>EXACT</t>
        </is>
      </c>
      <c r="Q3321" s="4" t="inlineStr">
        <is>
          <t>MAESTRO-IOS-GROUP-TRIP-3320 | Activities | 16892.57</t>
        </is>
      </c>
      <c r="R3321" s="4" t="inlineStr">
        <is>
          <t>iPhone</t>
        </is>
      </c>
      <c r="S3321" s="4" t="inlineStr">
        <is>
          <t>B67</t>
        </is>
      </c>
      <c r="T3321" s="4" t="inlineStr">
        <is>
          <t>STRESS_3001_3500</t>
        </is>
      </c>
      <c r="U3321" s="4" t="inlineStr">
        <is>
          <t>CREATED</t>
        </is>
      </c>
      <c r="V3321" s="4" t="inlineStr">
        <is>
          <t>idem-20260902-ios-3320</t>
        </is>
      </c>
    </row>
    <row r="3322" ht="30" customHeight="1">
      <c r="A3322" s="4" t="n">
        <v>3321</v>
      </c>
      <c r="B3322" s="4" t="inlineStr">
        <is>
          <t>MTR-IOS-3321</t>
        </is>
      </c>
      <c r="C3322" s="4" t="inlineStr">
        <is>
          <t>Business</t>
        </is>
      </c>
      <c r="D3322" s="4" t="inlineStr">
        <is>
          <t>Business</t>
        </is>
      </c>
      <c r="E3322" s="4" t="inlineStr">
        <is>
          <t>Business Operations</t>
        </is>
      </c>
      <c r="F3322" s="4" t="inlineStr">
        <is>
          <t>Rent</t>
        </is>
      </c>
      <c r="G3322" s="4" t="inlineStr">
        <is>
          <t>Expense</t>
        </is>
      </c>
      <c r="H3322" s="12" t="n">
        <v>46062</v>
      </c>
      <c r="I3322" s="13" t="n">
        <v>0.4788657407407407</v>
      </c>
      <c r="J3322" s="14" t="n">
        <v>46062.47886574074</v>
      </c>
      <c r="K3322" s="15" t="n">
        <v>135213.23</v>
      </c>
      <c r="L3322" s="4" t="inlineStr">
        <is>
          <t>INR</t>
        </is>
      </c>
      <c r="M3322" s="15" t="n">
        <v>-135213.23</v>
      </c>
      <c r="N3322" s="4" t="inlineStr">
        <is>
          <t>IOS Owner</t>
        </is>
      </c>
      <c r="O3322" s="4" t="n"/>
      <c r="P3322" s="4" t="n"/>
      <c r="Q3322" s="4" t="inlineStr">
        <is>
          <t>MAESTRO-IOS-BUSINESS-BUSINESS_OPERATIONS-3321 | Rent | 135213.23</t>
        </is>
      </c>
      <c r="R3322" s="4" t="inlineStr">
        <is>
          <t>iPhone</t>
        </is>
      </c>
      <c r="S3322" s="4" t="inlineStr">
        <is>
          <t>B67</t>
        </is>
      </c>
      <c r="T3322" s="4" t="inlineStr">
        <is>
          <t>STRESS_3001_3500</t>
        </is>
      </c>
      <c r="U3322" s="4" t="inlineStr">
        <is>
          <t>CREATED</t>
        </is>
      </c>
      <c r="V3322" s="4" t="inlineStr">
        <is>
          <t>idem-20260902-ios-3321</t>
        </is>
      </c>
    </row>
    <row r="3323" ht="30" customHeight="1">
      <c r="A3323" s="4" t="n">
        <v>3322</v>
      </c>
      <c r="B3323" s="4" t="inlineStr">
        <is>
          <t>MTR-IOS-3322</t>
        </is>
      </c>
      <c r="C3323" s="4" t="inlineStr">
        <is>
          <t>Personal</t>
        </is>
      </c>
      <c r="D3323" s="4" t="inlineStr">
        <is>
          <t>Personal</t>
        </is>
      </c>
      <c r="E3323" s="4" t="inlineStr">
        <is>
          <t>Life Operations</t>
        </is>
      </c>
      <c r="F3323" s="4" t="inlineStr">
        <is>
          <t>Transport</t>
        </is>
      </c>
      <c r="G3323" s="4" t="inlineStr">
        <is>
          <t>Expense</t>
        </is>
      </c>
      <c r="H3323" s="12" t="n">
        <v>45905</v>
      </c>
      <c r="I3323" s="13" t="n">
        <v>0.5470833333333334</v>
      </c>
      <c r="J3323" s="14" t="n">
        <v>45905.54708333333</v>
      </c>
      <c r="K3323" s="15" t="n">
        <v>1322.95</v>
      </c>
      <c r="L3323" s="4" t="inlineStr">
        <is>
          <t>INR</t>
        </is>
      </c>
      <c r="M3323" s="15" t="n">
        <v>-1322.95</v>
      </c>
      <c r="N3323" s="4" t="inlineStr">
        <is>
          <t>IOS Owner</t>
        </is>
      </c>
      <c r="O3323" s="4" t="n"/>
      <c r="P3323" s="4" t="n"/>
      <c r="Q3323" s="4" t="inlineStr">
        <is>
          <t>MAESTRO-IOS-PERSONAL-LIFE_OPERATIONS-3322 | Transport | 1322.95</t>
        </is>
      </c>
      <c r="R3323" s="4" t="inlineStr">
        <is>
          <t>iPhone</t>
        </is>
      </c>
      <c r="S3323" s="4" t="inlineStr">
        <is>
          <t>B67</t>
        </is>
      </c>
      <c r="T3323" s="4" t="inlineStr">
        <is>
          <t>STRESS_3001_3500</t>
        </is>
      </c>
      <c r="U3323" s="4" t="inlineStr">
        <is>
          <t>CREATED</t>
        </is>
      </c>
      <c r="V3323" s="4" t="inlineStr">
        <is>
          <t>idem-20260902-ios-3322</t>
        </is>
      </c>
    </row>
    <row r="3324" ht="30" customHeight="1">
      <c r="A3324" s="4" t="n">
        <v>3323</v>
      </c>
      <c r="B3324" s="4" t="inlineStr">
        <is>
          <t>MTR-IOS-3323</t>
        </is>
      </c>
      <c r="C3324" s="4" t="inlineStr">
        <is>
          <t>Group</t>
        </is>
      </c>
      <c r="D3324" s="4" t="inlineStr">
        <is>
          <t>Shared Experience</t>
        </is>
      </c>
      <c r="E3324" s="4" t="inlineStr">
        <is>
          <t>Trip</t>
        </is>
      </c>
      <c r="F3324" s="4" t="inlineStr">
        <is>
          <t>Shopping</t>
        </is>
      </c>
      <c r="G3324" s="4" t="inlineStr">
        <is>
          <t>Expense</t>
        </is>
      </c>
      <c r="H3324" s="12" t="n">
        <v>46215</v>
      </c>
      <c r="I3324" s="13" t="n">
        <v>0.6846064814814815</v>
      </c>
      <c r="J3324" s="14" t="n">
        <v>46215.68460648148</v>
      </c>
      <c r="K3324" s="15" t="n">
        <v>12860.28</v>
      </c>
      <c r="L3324" s="4" t="inlineStr">
        <is>
          <t>INR</t>
        </is>
      </c>
      <c r="M3324" s="15" t="n">
        <v>-12860.28</v>
      </c>
      <c r="N3324" s="4" t="inlineStr">
        <is>
          <t>IOS Owner</t>
        </is>
      </c>
      <c r="O3324" s="4" t="n">
        <v>3</v>
      </c>
      <c r="P3324" s="4" t="inlineStr">
        <is>
          <t>SHARES</t>
        </is>
      </c>
      <c r="Q3324" s="4" t="inlineStr">
        <is>
          <t>MAESTRO-IOS-GROUP-TRIP-3323 | Shopping | 12860.28</t>
        </is>
      </c>
      <c r="R3324" s="4" t="inlineStr">
        <is>
          <t>iPhone</t>
        </is>
      </c>
      <c r="S3324" s="4" t="inlineStr">
        <is>
          <t>B67</t>
        </is>
      </c>
      <c r="T3324" s="4" t="inlineStr">
        <is>
          <t>STRESS_3001_3500</t>
        </is>
      </c>
      <c r="U3324" s="4" t="inlineStr">
        <is>
          <t>CREATED</t>
        </is>
      </c>
      <c r="V3324" s="4" t="inlineStr">
        <is>
          <t>idem-20260902-ios-3323</t>
        </is>
      </c>
    </row>
    <row r="3325" ht="30" customHeight="1">
      <c r="A3325" s="4" t="n">
        <v>3324</v>
      </c>
      <c r="B3325" s="4" t="inlineStr">
        <is>
          <t>MTR-IOS-3324</t>
        </is>
      </c>
      <c r="C3325" s="4" t="inlineStr">
        <is>
          <t>Business</t>
        </is>
      </c>
      <c r="D3325" s="4" t="inlineStr">
        <is>
          <t>Business</t>
        </is>
      </c>
      <c r="E3325" s="4" t="inlineStr">
        <is>
          <t>Business Operations</t>
        </is>
      </c>
      <c r="F3325" s="4" t="inlineStr">
        <is>
          <t>Marketing</t>
        </is>
      </c>
      <c r="G3325" s="4" t="inlineStr">
        <is>
          <t>Expense</t>
        </is>
      </c>
      <c r="H3325" s="12" t="n">
        <v>45932</v>
      </c>
      <c r="I3325" s="13" t="n">
        <v>0.7005787037037037</v>
      </c>
      <c r="J3325" s="14" t="n">
        <v>45932.70057870371</v>
      </c>
      <c r="K3325" s="15" t="n">
        <v>56718.37</v>
      </c>
      <c r="L3325" s="4" t="inlineStr">
        <is>
          <t>INR</t>
        </is>
      </c>
      <c r="M3325" s="15" t="n">
        <v>-56718.37</v>
      </c>
      <c r="N3325" s="4" t="inlineStr">
        <is>
          <t>IOS Owner</t>
        </is>
      </c>
      <c r="O3325" s="4" t="n"/>
      <c r="P3325" s="4" t="n"/>
      <c r="Q3325" s="4" t="inlineStr">
        <is>
          <t>MAESTRO-IOS-BUSINESS-BUSINESS_OPERATIONS-3324 | Marketing | 56718.37</t>
        </is>
      </c>
      <c r="R3325" s="4" t="inlineStr">
        <is>
          <t>iPhone</t>
        </is>
      </c>
      <c r="S3325" s="4" t="inlineStr">
        <is>
          <t>B67</t>
        </is>
      </c>
      <c r="T3325" s="4" t="inlineStr">
        <is>
          <t>STRESS_3001_3500</t>
        </is>
      </c>
      <c r="U3325" s="4" t="inlineStr">
        <is>
          <t>CREATED</t>
        </is>
      </c>
      <c r="V3325" s="4" t="inlineStr">
        <is>
          <t>idem-20260902-ios-3324</t>
        </is>
      </c>
    </row>
    <row r="3326" ht="30" customHeight="1">
      <c r="A3326" s="4" t="n">
        <v>3325</v>
      </c>
      <c r="B3326" s="4" t="inlineStr">
        <is>
          <t>MTR-IOS-3325</t>
        </is>
      </c>
      <c r="C3326" s="4" t="inlineStr">
        <is>
          <t>Personal</t>
        </is>
      </c>
      <c r="D3326" s="4" t="inlineStr">
        <is>
          <t>Personal</t>
        </is>
      </c>
      <c r="E3326" s="4" t="inlineStr">
        <is>
          <t>Life Operations</t>
        </is>
      </c>
      <c r="F3326" s="4" t="inlineStr">
        <is>
          <t>Healthcare</t>
        </is>
      </c>
      <c r="G3326" s="4" t="inlineStr">
        <is>
          <t>Expense</t>
        </is>
      </c>
      <c r="H3326" s="12" t="n">
        <v>46113</v>
      </c>
      <c r="I3326" s="13" t="n">
        <v>0.5766087962962962</v>
      </c>
      <c r="J3326" s="14" t="n">
        <v>46113.5766087963</v>
      </c>
      <c r="K3326" s="15" t="n">
        <v>13152.48</v>
      </c>
      <c r="L3326" s="4" t="inlineStr">
        <is>
          <t>INR</t>
        </is>
      </c>
      <c r="M3326" s="15" t="n">
        <v>-13152.48</v>
      </c>
      <c r="N3326" s="4" t="inlineStr">
        <is>
          <t>IOS Owner</t>
        </is>
      </c>
      <c r="O3326" s="4" t="n"/>
      <c r="P3326" s="4" t="n"/>
      <c r="Q3326" s="4" t="inlineStr">
        <is>
          <t>MAESTRO-IOS-PERSONAL-LIFE_OPERATIONS-3325 | Healthcare | 13152.48</t>
        </is>
      </c>
      <c r="R3326" s="4" t="inlineStr">
        <is>
          <t>iPhone</t>
        </is>
      </c>
      <c r="S3326" s="4" t="inlineStr">
        <is>
          <t>B67</t>
        </is>
      </c>
      <c r="T3326" s="4" t="inlineStr">
        <is>
          <t>STRESS_3001_3500</t>
        </is>
      </c>
      <c r="U3326" s="4" t="inlineStr">
        <is>
          <t>CREATED</t>
        </is>
      </c>
      <c r="V3326" s="4" t="inlineStr">
        <is>
          <t>idem-20260902-ios-3325</t>
        </is>
      </c>
    </row>
    <row r="3327" ht="30" customHeight="1">
      <c r="A3327" s="4" t="n">
        <v>3326</v>
      </c>
      <c r="B3327" s="4" t="inlineStr">
        <is>
          <t>MTR-IOS-3326</t>
        </is>
      </c>
      <c r="C3327" s="4" t="inlineStr">
        <is>
          <t>Group</t>
        </is>
      </c>
      <c r="D3327" s="4" t="inlineStr">
        <is>
          <t>Shared Experience</t>
        </is>
      </c>
      <c r="E3327" s="4" t="inlineStr">
        <is>
          <t>Trip</t>
        </is>
      </c>
      <c r="F3327" s="4" t="inlineStr">
        <is>
          <t>Other</t>
        </is>
      </c>
      <c r="G3327" s="4" t="inlineStr">
        <is>
          <t>Expense</t>
        </is>
      </c>
      <c r="H3327" s="12" t="n">
        <v>45961</v>
      </c>
      <c r="I3327" s="13" t="n">
        <v>0.8517361111111111</v>
      </c>
      <c r="J3327" s="14" t="n">
        <v>45961.85173611111</v>
      </c>
      <c r="K3327" s="15" t="n">
        <v>20539.94</v>
      </c>
      <c r="L3327" s="4" t="inlineStr">
        <is>
          <t>INR</t>
        </is>
      </c>
      <c r="M3327" s="15" t="n">
        <v>-20539.94</v>
      </c>
      <c r="N3327" s="4" t="inlineStr">
        <is>
          <t>IOS Aarav</t>
        </is>
      </c>
      <c r="O3327" s="4" t="n">
        <v>3</v>
      </c>
      <c r="P3327" s="4" t="inlineStr">
        <is>
          <t>EQUAL</t>
        </is>
      </c>
      <c r="Q3327" s="4" t="inlineStr">
        <is>
          <t>MAESTRO-IOS-GROUP-TRIP-3326 | Other | 20539.94</t>
        </is>
      </c>
      <c r="R3327" s="4" t="inlineStr">
        <is>
          <t>iPhone</t>
        </is>
      </c>
      <c r="S3327" s="4" t="inlineStr">
        <is>
          <t>B67</t>
        </is>
      </c>
      <c r="T3327" s="4" t="inlineStr">
        <is>
          <t>STRESS_3001_3500</t>
        </is>
      </c>
      <c r="U3327" s="4" t="inlineStr">
        <is>
          <t>CREATED</t>
        </is>
      </c>
      <c r="V3327" s="4" t="inlineStr">
        <is>
          <t>idem-20260902-ios-3326</t>
        </is>
      </c>
    </row>
    <row r="3328" ht="30" customHeight="1">
      <c r="A3328" s="4" t="n">
        <v>3327</v>
      </c>
      <c r="B3328" s="4" t="inlineStr">
        <is>
          <t>MTR-IOS-3327</t>
        </is>
      </c>
      <c r="C3328" s="4" t="inlineStr">
        <is>
          <t>Business</t>
        </is>
      </c>
      <c r="D3328" s="4" t="inlineStr">
        <is>
          <t>Business</t>
        </is>
      </c>
      <c r="E3328" s="4" t="inlineStr">
        <is>
          <t>Business Operations</t>
        </is>
      </c>
      <c r="F3328" s="4" t="inlineStr">
        <is>
          <t>Legal</t>
        </is>
      </c>
      <c r="G3328" s="4" t="inlineStr">
        <is>
          <t>Expense</t>
        </is>
      </c>
      <c r="H3328" s="12" t="n">
        <v>45938</v>
      </c>
      <c r="I3328" s="13" t="n">
        <v>0.1147916666666667</v>
      </c>
      <c r="J3328" s="14" t="n">
        <v>45938.11479166667</v>
      </c>
      <c r="K3328" s="15" t="n">
        <v>148678.69</v>
      </c>
      <c r="L3328" s="4" t="inlineStr">
        <is>
          <t>INR</t>
        </is>
      </c>
      <c r="M3328" s="15" t="n">
        <v>-148678.69</v>
      </c>
      <c r="N3328" s="4" t="inlineStr">
        <is>
          <t>IOS Owner</t>
        </is>
      </c>
      <c r="O3328" s="4" t="n"/>
      <c r="P3328" s="4" t="n"/>
      <c r="Q3328" s="4" t="inlineStr">
        <is>
          <t>MAESTRO-IOS-BUSINESS-BUSINESS_OPERATIONS-3327 | Legal | 148678.69</t>
        </is>
      </c>
      <c r="R3328" s="4" t="inlineStr">
        <is>
          <t>iPhone</t>
        </is>
      </c>
      <c r="S3328" s="4" t="inlineStr">
        <is>
          <t>B67</t>
        </is>
      </c>
      <c r="T3328" s="4" t="inlineStr">
        <is>
          <t>STRESS_3001_3500</t>
        </is>
      </c>
      <c r="U3328" s="4" t="inlineStr">
        <is>
          <t>CREATED</t>
        </is>
      </c>
      <c r="V3328" s="4" t="inlineStr">
        <is>
          <t>idem-20260902-ios-3327</t>
        </is>
      </c>
    </row>
    <row r="3329" ht="30" customHeight="1">
      <c r="A3329" s="4" t="n">
        <v>3328</v>
      </c>
      <c r="B3329" s="4" t="inlineStr">
        <is>
          <t>MTR-IOS-3328</t>
        </is>
      </c>
      <c r="C3329" s="4" t="inlineStr">
        <is>
          <t>Personal</t>
        </is>
      </c>
      <c r="D3329" s="4" t="inlineStr">
        <is>
          <t>Personal</t>
        </is>
      </c>
      <c r="E3329" s="4" t="inlineStr">
        <is>
          <t>Life Operations</t>
        </is>
      </c>
      <c r="F3329" s="4" t="inlineStr">
        <is>
          <t>Subscriptions</t>
        </is>
      </c>
      <c r="G3329" s="4" t="inlineStr">
        <is>
          <t>Expense</t>
        </is>
      </c>
      <c r="H3329" s="12" t="n">
        <v>46184</v>
      </c>
      <c r="I3329" s="13" t="n">
        <v>0.6971875</v>
      </c>
      <c r="J3329" s="14" t="n">
        <v>46184.6971875</v>
      </c>
      <c r="K3329" s="15" t="n">
        <v>10971.71</v>
      </c>
      <c r="L3329" s="4" t="inlineStr">
        <is>
          <t>INR</t>
        </is>
      </c>
      <c r="M3329" s="15" t="n">
        <v>-10971.71</v>
      </c>
      <c r="N3329" s="4" t="inlineStr">
        <is>
          <t>IOS Owner</t>
        </is>
      </c>
      <c r="O3329" s="4" t="n"/>
      <c r="P3329" s="4" t="n"/>
      <c r="Q3329" s="4" t="inlineStr">
        <is>
          <t>MAESTRO-IOS-PERSONAL-LIFE_OPERATIONS-3328 | Subscriptions | 10971.71</t>
        </is>
      </c>
      <c r="R3329" s="4" t="inlineStr">
        <is>
          <t>iPhone</t>
        </is>
      </c>
      <c r="S3329" s="4" t="inlineStr">
        <is>
          <t>B67</t>
        </is>
      </c>
      <c r="T3329" s="4" t="inlineStr">
        <is>
          <t>STRESS_3001_3500</t>
        </is>
      </c>
      <c r="U3329" s="4" t="inlineStr">
        <is>
          <t>CREATED</t>
        </is>
      </c>
      <c r="V3329" s="4" t="inlineStr">
        <is>
          <t>idem-20260902-ios-3328</t>
        </is>
      </c>
    </row>
    <row r="3330" ht="30" customHeight="1">
      <c r="A3330" s="4" t="n">
        <v>3329</v>
      </c>
      <c r="B3330" s="4" t="inlineStr">
        <is>
          <t>MTR-IOS-3329</t>
        </is>
      </c>
      <c r="C3330" s="4" t="inlineStr">
        <is>
          <t>Group</t>
        </is>
      </c>
      <c r="D3330" s="4" t="inlineStr">
        <is>
          <t>Shared Experience</t>
        </is>
      </c>
      <c r="E3330" s="4" t="inlineStr">
        <is>
          <t>Wedding</t>
        </is>
      </c>
      <c r="F3330" s="4" t="inlineStr">
        <is>
          <t>Venue</t>
        </is>
      </c>
      <c r="G3330" s="4" t="inlineStr">
        <is>
          <t>Expense</t>
        </is>
      </c>
      <c r="H3330" s="12" t="n">
        <v>46257</v>
      </c>
      <c r="I3330" s="13" t="n">
        <v>0.1081134259259259</v>
      </c>
      <c r="J3330" s="14" t="n">
        <v>46257.10811342593</v>
      </c>
      <c r="K3330" s="15" t="n">
        <v>7572.49</v>
      </c>
      <c r="L3330" s="4" t="inlineStr">
        <is>
          <t>INR</t>
        </is>
      </c>
      <c r="M3330" s="15" t="n">
        <v>-7572.49</v>
      </c>
      <c r="N3330" s="4" t="inlineStr">
        <is>
          <t>IOS Meera</t>
        </is>
      </c>
      <c r="O3330" s="4" t="n">
        <v>3</v>
      </c>
      <c r="P3330" s="4" t="inlineStr">
        <is>
          <t>PERCENTAGE</t>
        </is>
      </c>
      <c r="Q3330" s="4" t="inlineStr">
        <is>
          <t>MAESTRO-IOS-GROUP-WEDDING-3329 | Venue | 7572.49</t>
        </is>
      </c>
      <c r="R3330" s="4" t="inlineStr">
        <is>
          <t>iPhone</t>
        </is>
      </c>
      <c r="S3330" s="4" t="inlineStr">
        <is>
          <t>B67</t>
        </is>
      </c>
      <c r="T3330" s="4" t="inlineStr">
        <is>
          <t>STRESS_3001_3500</t>
        </is>
      </c>
      <c r="U3330" s="4" t="inlineStr">
        <is>
          <t>CREATED</t>
        </is>
      </c>
      <c r="V3330" s="4" t="inlineStr">
        <is>
          <t>idem-20260902-ios-3329</t>
        </is>
      </c>
    </row>
    <row r="3331" ht="30" customHeight="1">
      <c r="A3331" s="4" t="n">
        <v>3330</v>
      </c>
      <c r="B3331" s="4" t="inlineStr">
        <is>
          <t>MTR-IOS-3330</t>
        </is>
      </c>
      <c r="C3331" s="4" t="inlineStr">
        <is>
          <t>Business</t>
        </is>
      </c>
      <c r="D3331" s="4" t="inlineStr">
        <is>
          <t>Business</t>
        </is>
      </c>
      <c r="E3331" s="4" t="inlineStr">
        <is>
          <t>Business Operations</t>
        </is>
      </c>
      <c r="F3331" s="4" t="inlineStr">
        <is>
          <t>Accounting</t>
        </is>
      </c>
      <c r="G3331" s="4" t="inlineStr">
        <is>
          <t>Expense</t>
        </is>
      </c>
      <c r="H3331" s="12" t="n">
        <v>46125</v>
      </c>
      <c r="I3331" s="13" t="n">
        <v>0.9534722222222223</v>
      </c>
      <c r="J3331" s="14" t="n">
        <v>46125.95347222222</v>
      </c>
      <c r="K3331" s="15" t="n">
        <v>0.01</v>
      </c>
      <c r="L3331" s="4" t="inlineStr">
        <is>
          <t>INR</t>
        </is>
      </c>
      <c r="M3331" s="15" t="n">
        <v>-0.01</v>
      </c>
      <c r="N3331" s="4" t="inlineStr">
        <is>
          <t>IOS Owner</t>
        </is>
      </c>
      <c r="O3331" s="4" t="n"/>
      <c r="P3331" s="4" t="n"/>
      <c r="Q3331" s="4" t="inlineStr">
        <is>
          <t>MAESTRO-IOS-BUSINESS-BUSINESS_OPERATIONS-3330 | Accounting | 0.01</t>
        </is>
      </c>
      <c r="R3331" s="4" t="inlineStr">
        <is>
          <t>iPhone</t>
        </is>
      </c>
      <c r="S3331" s="4" t="inlineStr">
        <is>
          <t>B67</t>
        </is>
      </c>
      <c r="T3331" s="4" t="inlineStr">
        <is>
          <t>STRESS_3001_3500</t>
        </is>
      </c>
      <c r="U3331" s="4" t="inlineStr">
        <is>
          <t>CREATED</t>
        </is>
      </c>
      <c r="V3331" s="4" t="inlineStr">
        <is>
          <t>idem-20260902-ios-3330</t>
        </is>
      </c>
    </row>
    <row r="3332" ht="30" customHeight="1">
      <c r="A3332" s="4" t="n">
        <v>3331</v>
      </c>
      <c r="B3332" s="4" t="inlineStr">
        <is>
          <t>MTR-IOS-3331</t>
        </is>
      </c>
      <c r="C3332" s="4" t="inlineStr">
        <is>
          <t>Personal</t>
        </is>
      </c>
      <c r="D3332" s="4" t="inlineStr">
        <is>
          <t>Personal</t>
        </is>
      </c>
      <c r="E3332" s="4" t="inlineStr">
        <is>
          <t>Life Operations</t>
        </is>
      </c>
      <c r="F3332" s="4" t="inlineStr">
        <is>
          <t>Repairs</t>
        </is>
      </c>
      <c r="G3332" s="4" t="inlineStr">
        <is>
          <t>Expense</t>
        </is>
      </c>
      <c r="H3332" s="12" t="n">
        <v>45911</v>
      </c>
      <c r="I3332" s="13" t="n">
        <v>0.9456134259259259</v>
      </c>
      <c r="J3332" s="14" t="n">
        <v>45911.94561342592</v>
      </c>
      <c r="K3332" s="15" t="n">
        <v>1979.29</v>
      </c>
      <c r="L3332" s="4" t="inlineStr">
        <is>
          <t>INR</t>
        </is>
      </c>
      <c r="M3332" s="15" t="n">
        <v>-1979.29</v>
      </c>
      <c r="N3332" s="4" t="inlineStr">
        <is>
          <t>IOS Owner</t>
        </is>
      </c>
      <c r="O3332" s="4" t="n"/>
      <c r="P3332" s="4" t="n"/>
      <c r="Q3332" s="4" t="inlineStr">
        <is>
          <t>MAESTRO-IOS-PERSONAL-LIFE_OPERATIONS-3331 | Repairs | 1979.29</t>
        </is>
      </c>
      <c r="R3332" s="4" t="inlineStr">
        <is>
          <t>iPhone</t>
        </is>
      </c>
      <c r="S3332" s="4" t="inlineStr">
        <is>
          <t>B67</t>
        </is>
      </c>
      <c r="T3332" s="4" t="inlineStr">
        <is>
          <t>STRESS_3001_3500</t>
        </is>
      </c>
      <c r="U3332" s="4" t="inlineStr">
        <is>
          <t>CREATED</t>
        </is>
      </c>
      <c r="V3332" s="4" t="inlineStr">
        <is>
          <t>idem-20260902-ios-3331</t>
        </is>
      </c>
    </row>
    <row r="3333" ht="30" customHeight="1">
      <c r="A3333" s="4" t="n">
        <v>3332</v>
      </c>
      <c r="B3333" s="4" t="inlineStr">
        <is>
          <t>MTR-IOS-3332</t>
        </is>
      </c>
      <c r="C3333" s="4" t="inlineStr">
        <is>
          <t>Group</t>
        </is>
      </c>
      <c r="D3333" s="4" t="inlineStr">
        <is>
          <t>Shared Experience</t>
        </is>
      </c>
      <c r="E3333" s="4" t="inlineStr">
        <is>
          <t>Wedding</t>
        </is>
      </c>
      <c r="F3333" s="4" t="inlineStr">
        <is>
          <t>Catering</t>
        </is>
      </c>
      <c r="G3333" s="4" t="inlineStr">
        <is>
          <t>Expense</t>
        </is>
      </c>
      <c r="H3333" s="12" t="n">
        <v>46255</v>
      </c>
      <c r="I3333" s="13" t="n">
        <v>0.5724652777777778</v>
      </c>
      <c r="J3333" s="14" t="n">
        <v>46255.57246527778</v>
      </c>
      <c r="K3333" s="15" t="n">
        <v>12417.84</v>
      </c>
      <c r="L3333" s="4" t="inlineStr">
        <is>
          <t>INR</t>
        </is>
      </c>
      <c r="M3333" s="15" t="n">
        <v>-12417.84</v>
      </c>
      <c r="N3333" s="4" t="inlineStr">
        <is>
          <t>IOS Owner</t>
        </is>
      </c>
      <c r="O3333" s="4" t="n">
        <v>3</v>
      </c>
      <c r="P3333" s="4" t="inlineStr">
        <is>
          <t>EXACT</t>
        </is>
      </c>
      <c r="Q3333" s="4" t="inlineStr">
        <is>
          <t>MAESTRO-IOS-GROUP-WEDDING-3332 | Catering | 12417.84</t>
        </is>
      </c>
      <c r="R3333" s="4" t="inlineStr">
        <is>
          <t>iPhone</t>
        </is>
      </c>
      <c r="S3333" s="4" t="inlineStr">
        <is>
          <t>B67</t>
        </is>
      </c>
      <c r="T3333" s="4" t="inlineStr">
        <is>
          <t>STRESS_3001_3500</t>
        </is>
      </c>
      <c r="U3333" s="4" t="inlineStr">
        <is>
          <t>CREATED</t>
        </is>
      </c>
      <c r="V3333" s="4" t="inlineStr">
        <is>
          <t>idem-20260902-ios-3332</t>
        </is>
      </c>
    </row>
    <row r="3334" ht="30" customHeight="1">
      <c r="A3334" s="4" t="n">
        <v>3333</v>
      </c>
      <c r="B3334" s="4" t="inlineStr">
        <is>
          <t>MTR-IOS-3333</t>
        </is>
      </c>
      <c r="C3334" s="4" t="inlineStr">
        <is>
          <t>Business</t>
        </is>
      </c>
      <c r="D3334" s="4" t="inlineStr">
        <is>
          <t>Business</t>
        </is>
      </c>
      <c r="E3334" s="4" t="inlineStr">
        <is>
          <t>Business Operations</t>
        </is>
      </c>
      <c r="F3334" s="4" t="inlineStr">
        <is>
          <t>Equipment</t>
        </is>
      </c>
      <c r="G3334" s="4" t="inlineStr">
        <is>
          <t>Expense</t>
        </is>
      </c>
      <c r="H3334" s="12" t="n">
        <v>46098</v>
      </c>
      <c r="I3334" s="13" t="n">
        <v>0.1834259259259259</v>
      </c>
      <c r="J3334" s="14" t="n">
        <v>46098.18342592593</v>
      </c>
      <c r="K3334" s="15" t="n">
        <v>103102.33</v>
      </c>
      <c r="L3334" s="4" t="inlineStr">
        <is>
          <t>INR</t>
        </is>
      </c>
      <c r="M3334" s="15" t="n">
        <v>-103102.33</v>
      </c>
      <c r="N3334" s="4" t="inlineStr">
        <is>
          <t>IOS Owner</t>
        </is>
      </c>
      <c r="O3334" s="4" t="n"/>
      <c r="P3334" s="4" t="n"/>
      <c r="Q3334" s="4" t="inlineStr">
        <is>
          <t>MAESTRO-IOS-BUSINESS-BUSINESS_OPERATIONS-3333 | Equipment | 103102.33</t>
        </is>
      </c>
      <c r="R3334" s="4" t="inlineStr">
        <is>
          <t>iPhone</t>
        </is>
      </c>
      <c r="S3334" s="4" t="inlineStr">
        <is>
          <t>B67</t>
        </is>
      </c>
      <c r="T3334" s="4" t="inlineStr">
        <is>
          <t>STRESS_3001_3500</t>
        </is>
      </c>
      <c r="U3334" s="4" t="inlineStr">
        <is>
          <t>CREATED</t>
        </is>
      </c>
      <c r="V3334" s="4" t="inlineStr">
        <is>
          <t>idem-20260902-ios-3333</t>
        </is>
      </c>
    </row>
    <row r="3335" ht="30" customHeight="1">
      <c r="A3335" s="4" t="n">
        <v>3334</v>
      </c>
      <c r="B3335" s="4" t="inlineStr">
        <is>
          <t>MTR-IOS-3334</t>
        </is>
      </c>
      <c r="C3335" s="4" t="inlineStr">
        <is>
          <t>Personal</t>
        </is>
      </c>
      <c r="D3335" s="4" t="inlineStr">
        <is>
          <t>Personal</t>
        </is>
      </c>
      <c r="E3335" s="4" t="inlineStr">
        <is>
          <t>Future Building</t>
        </is>
      </c>
      <c r="F3335" s="4" t="inlineStr">
        <is>
          <t>Savings</t>
        </is>
      </c>
      <c r="G3335" s="4" t="inlineStr">
        <is>
          <t>Transfer</t>
        </is>
      </c>
      <c r="H3335" s="12" t="n">
        <v>46243</v>
      </c>
      <c r="I3335" s="13" t="n">
        <v>0.7622453703703703</v>
      </c>
      <c r="J3335" s="14" t="n">
        <v>46243.76224537037</v>
      </c>
      <c r="K3335" s="15" t="n">
        <v>11250.94</v>
      </c>
      <c r="L3335" s="4" t="inlineStr">
        <is>
          <t>INR</t>
        </is>
      </c>
      <c r="M3335" s="15" t="n">
        <v>0</v>
      </c>
      <c r="N3335" s="4" t="inlineStr">
        <is>
          <t>IOS Owner</t>
        </is>
      </c>
      <c r="O3335" s="4" t="n"/>
      <c r="P3335" s="4" t="n"/>
      <c r="Q3335" s="4" t="inlineStr">
        <is>
          <t>MAESTRO-IOS-PERSONAL-FUTURE_BUILDING-3334 | Savings | 11250.94</t>
        </is>
      </c>
      <c r="R3335" s="4" t="inlineStr">
        <is>
          <t>iPhone</t>
        </is>
      </c>
      <c r="S3335" s="4" t="inlineStr">
        <is>
          <t>B67</t>
        </is>
      </c>
      <c r="T3335" s="4" t="inlineStr">
        <is>
          <t>STRESS_3001_3500</t>
        </is>
      </c>
      <c r="U3335" s="4" t="inlineStr">
        <is>
          <t>CREATED</t>
        </is>
      </c>
      <c r="V3335" s="4" t="inlineStr">
        <is>
          <t>idem-20260902-ios-3334</t>
        </is>
      </c>
    </row>
    <row r="3336" ht="30" customHeight="1">
      <c r="A3336" s="4" t="n">
        <v>3335</v>
      </c>
      <c r="B3336" s="4" t="inlineStr">
        <is>
          <t>MTR-IOS-3335</t>
        </is>
      </c>
      <c r="C3336" s="4" t="inlineStr">
        <is>
          <t>Group</t>
        </is>
      </c>
      <c r="D3336" s="4" t="inlineStr">
        <is>
          <t>Shared Experience</t>
        </is>
      </c>
      <c r="E3336" s="4" t="inlineStr">
        <is>
          <t>Wedding</t>
        </is>
      </c>
      <c r="F3336" s="4" t="inlineStr">
        <is>
          <t>Decor</t>
        </is>
      </c>
      <c r="G3336" s="4" t="inlineStr">
        <is>
          <t>Expense</t>
        </is>
      </c>
      <c r="H3336" s="12" t="n">
        <v>46000</v>
      </c>
      <c r="I3336" s="13" t="n">
        <v>0.3431944444444445</v>
      </c>
      <c r="J3336" s="14" t="n">
        <v>46000.34319444445</v>
      </c>
      <c r="K3336" s="15" t="n">
        <v>12560.52</v>
      </c>
      <c r="L3336" s="4" t="inlineStr">
        <is>
          <t>INR</t>
        </is>
      </c>
      <c r="M3336" s="15" t="n">
        <v>-12560.52</v>
      </c>
      <c r="N3336" s="4" t="inlineStr">
        <is>
          <t>IOS Aarav</t>
        </is>
      </c>
      <c r="O3336" s="4" t="n">
        <v>3</v>
      </c>
      <c r="P3336" s="4" t="inlineStr">
        <is>
          <t>SHARES</t>
        </is>
      </c>
      <c r="Q3336" s="4" t="inlineStr">
        <is>
          <t>MAESTRO-IOS-GROUP-WEDDING-3335 | Decor | 12560.52</t>
        </is>
      </c>
      <c r="R3336" s="4" t="inlineStr">
        <is>
          <t>iPhone</t>
        </is>
      </c>
      <c r="S3336" s="4" t="inlineStr">
        <is>
          <t>B67</t>
        </is>
      </c>
      <c r="T3336" s="4" t="inlineStr">
        <is>
          <t>STRESS_3001_3500</t>
        </is>
      </c>
      <c r="U3336" s="4" t="inlineStr">
        <is>
          <t>CREATED</t>
        </is>
      </c>
      <c r="V3336" s="4" t="inlineStr">
        <is>
          <t>idem-20260902-ios-3335</t>
        </is>
      </c>
    </row>
    <row r="3337" ht="30" customHeight="1">
      <c r="A3337" s="4" t="n">
        <v>3336</v>
      </c>
      <c r="B3337" s="4" t="inlineStr">
        <is>
          <t>MTR-IOS-3336</t>
        </is>
      </c>
      <c r="C3337" s="4" t="inlineStr">
        <is>
          <t>Business</t>
        </is>
      </c>
      <c r="D3337" s="4" t="inlineStr">
        <is>
          <t>Business</t>
        </is>
      </c>
      <c r="E3337" s="4" t="inlineStr">
        <is>
          <t>Business Operations</t>
        </is>
      </c>
      <c r="F3337" s="4" t="inlineStr">
        <is>
          <t>Vendor</t>
        </is>
      </c>
      <c r="G3337" s="4" t="inlineStr">
        <is>
          <t>Expense</t>
        </is>
      </c>
      <c r="H3337" s="12" t="n">
        <v>46233</v>
      </c>
      <c r="I3337" s="13" t="n">
        <v>0.4631828703703704</v>
      </c>
      <c r="J3337" s="14" t="n">
        <v>46233.46318287037</v>
      </c>
      <c r="K3337" s="15" t="n">
        <v>131920.33</v>
      </c>
      <c r="L3337" s="4" t="inlineStr">
        <is>
          <t>INR</t>
        </is>
      </c>
      <c r="M3337" s="15" t="n">
        <v>-131920.33</v>
      </c>
      <c r="N3337" s="4" t="inlineStr">
        <is>
          <t>IOS Owner</t>
        </is>
      </c>
      <c r="O3337" s="4" t="n"/>
      <c r="P3337" s="4" t="n"/>
      <c r="Q3337" s="4" t="inlineStr">
        <is>
          <t>MAESTRO-IOS-BUSINESS-BUSINESS_OPERATIONS-3336 | Vendor | 131920.33</t>
        </is>
      </c>
      <c r="R3337" s="4" t="inlineStr">
        <is>
          <t>iPhone</t>
        </is>
      </c>
      <c r="S3337" s="4" t="inlineStr">
        <is>
          <t>B67</t>
        </is>
      </c>
      <c r="T3337" s="4" t="inlineStr">
        <is>
          <t>STRESS_3001_3500</t>
        </is>
      </c>
      <c r="U3337" s="4" t="inlineStr">
        <is>
          <t>CREATED</t>
        </is>
      </c>
      <c r="V3337" s="4" t="inlineStr">
        <is>
          <t>idem-20260902-ios-3336</t>
        </is>
      </c>
    </row>
    <row r="3338" ht="30" customHeight="1">
      <c r="A3338" s="4" t="n">
        <v>3337</v>
      </c>
      <c r="B3338" s="4" t="inlineStr">
        <is>
          <t>MTR-IOS-3337</t>
        </is>
      </c>
      <c r="C3338" s="4" t="inlineStr">
        <is>
          <t>Personal</t>
        </is>
      </c>
      <c r="D3338" s="4" t="inlineStr">
        <is>
          <t>Personal</t>
        </is>
      </c>
      <c r="E3338" s="4" t="inlineStr">
        <is>
          <t>Future Building</t>
        </is>
      </c>
      <c r="F3338" s="4" t="inlineStr">
        <is>
          <t>Emergency Fund</t>
        </is>
      </c>
      <c r="G3338" s="4" t="inlineStr">
        <is>
          <t>Transfer</t>
        </is>
      </c>
      <c r="H3338" s="12" t="n">
        <v>46005</v>
      </c>
      <c r="I3338" s="13" t="n">
        <v>0.04186342592592593</v>
      </c>
      <c r="J3338" s="14" t="n">
        <v>46005.04186342593</v>
      </c>
      <c r="K3338" s="15" t="n">
        <v>11242.07</v>
      </c>
      <c r="L3338" s="4" t="inlineStr">
        <is>
          <t>INR</t>
        </is>
      </c>
      <c r="M3338" s="15" t="n">
        <v>0</v>
      </c>
      <c r="N3338" s="4" t="inlineStr">
        <is>
          <t>IOS Owner</t>
        </is>
      </c>
      <c r="O3338" s="4" t="n"/>
      <c r="P3338" s="4" t="n"/>
      <c r="Q3338" s="4" t="inlineStr">
        <is>
          <t>MAESTRO-IOS-PERSONAL-FUTURE_BUILDING-3337 | Emergency Fund | 11242.07</t>
        </is>
      </c>
      <c r="R3338" s="4" t="inlineStr">
        <is>
          <t>iPhone</t>
        </is>
      </c>
      <c r="S3338" s="4" t="inlineStr">
        <is>
          <t>B67</t>
        </is>
      </c>
      <c r="T3338" s="4" t="inlineStr">
        <is>
          <t>STRESS_3001_3500</t>
        </is>
      </c>
      <c r="U3338" s="4" t="inlineStr">
        <is>
          <t>CREATED</t>
        </is>
      </c>
      <c r="V3338" s="4" t="inlineStr">
        <is>
          <t>idem-20260902-ios-3337</t>
        </is>
      </c>
    </row>
    <row r="3339" ht="30" customHeight="1">
      <c r="A3339" s="4" t="n">
        <v>3338</v>
      </c>
      <c r="B3339" s="4" t="inlineStr">
        <is>
          <t>MTR-IOS-3338</t>
        </is>
      </c>
      <c r="C3339" s="4" t="inlineStr">
        <is>
          <t>Group</t>
        </is>
      </c>
      <c r="D3339" s="4" t="inlineStr">
        <is>
          <t>Shared Experience</t>
        </is>
      </c>
      <c r="E3339" s="4" t="inlineStr">
        <is>
          <t>Wedding</t>
        </is>
      </c>
      <c r="F3339" s="4" t="inlineStr">
        <is>
          <t>Travel</t>
        </is>
      </c>
      <c r="G3339" s="4" t="inlineStr">
        <is>
          <t>Expense</t>
        </is>
      </c>
      <c r="H3339" s="12" t="n">
        <v>45958</v>
      </c>
      <c r="I3339" s="13" t="n">
        <v>0.9577430555555555</v>
      </c>
      <c r="J3339" s="14" t="n">
        <v>45958.95774305556</v>
      </c>
      <c r="K3339" s="15" t="n">
        <v>7045.22</v>
      </c>
      <c r="L3339" s="4" t="inlineStr">
        <is>
          <t>INR</t>
        </is>
      </c>
      <c r="M3339" s="15" t="n">
        <v>-7045.22</v>
      </c>
      <c r="N3339" s="4" t="inlineStr">
        <is>
          <t>IOS Meera</t>
        </is>
      </c>
      <c r="O3339" s="4" t="n">
        <v>3</v>
      </c>
      <c r="P3339" s="4" t="inlineStr">
        <is>
          <t>EQUAL</t>
        </is>
      </c>
      <c r="Q3339" s="4" t="inlineStr">
        <is>
          <t>MAESTRO-IOS-GROUP-WEDDING-3338 | Travel | 7045.22</t>
        </is>
      </c>
      <c r="R3339" s="4" t="inlineStr">
        <is>
          <t>iPhone</t>
        </is>
      </c>
      <c r="S3339" s="4" t="inlineStr">
        <is>
          <t>B67</t>
        </is>
      </c>
      <c r="T3339" s="4" t="inlineStr">
        <is>
          <t>STRESS_3001_3500</t>
        </is>
      </c>
      <c r="U3339" s="4" t="inlineStr">
        <is>
          <t>CREATED</t>
        </is>
      </c>
      <c r="V3339" s="4" t="inlineStr">
        <is>
          <t>idem-20260902-ios-3338</t>
        </is>
      </c>
    </row>
    <row r="3340" ht="30" customHeight="1">
      <c r="A3340" s="4" t="n">
        <v>3339</v>
      </c>
      <c r="B3340" s="4" t="inlineStr">
        <is>
          <t>MTR-IOS-3339</t>
        </is>
      </c>
      <c r="C3340" s="4" t="inlineStr">
        <is>
          <t>Business</t>
        </is>
      </c>
      <c r="D3340" s="4" t="inlineStr">
        <is>
          <t>Business</t>
        </is>
      </c>
      <c r="E3340" s="4" t="inlineStr">
        <is>
          <t>Business Operations</t>
        </is>
      </c>
      <c r="F3340" s="4" t="inlineStr">
        <is>
          <t>Tax</t>
        </is>
      </c>
      <c r="G3340" s="4" t="inlineStr">
        <is>
          <t>Expense</t>
        </is>
      </c>
      <c r="H3340" s="12" t="n">
        <v>46085</v>
      </c>
      <c r="I3340" s="13" t="n">
        <v>0.7451273148148149</v>
      </c>
      <c r="J3340" s="14" t="n">
        <v>46085.74512731482</v>
      </c>
      <c r="K3340" s="15" t="n">
        <v>7680.94</v>
      </c>
      <c r="L3340" s="4" t="inlineStr">
        <is>
          <t>INR</t>
        </is>
      </c>
      <c r="M3340" s="15" t="n">
        <v>-7680.94</v>
      </c>
      <c r="N3340" s="4" t="inlineStr">
        <is>
          <t>IOS Owner</t>
        </is>
      </c>
      <c r="O3340" s="4" t="n"/>
      <c r="P3340" s="4" t="n"/>
      <c r="Q3340" s="4" t="inlineStr">
        <is>
          <t>MAESTRO-IOS-BUSINESS-BUSINESS_OPERATIONS-3339 | Tax | 7680.94</t>
        </is>
      </c>
      <c r="R3340" s="4" t="inlineStr">
        <is>
          <t>iPhone</t>
        </is>
      </c>
      <c r="S3340" s="4" t="inlineStr">
        <is>
          <t>B67</t>
        </is>
      </c>
      <c r="T3340" s="4" t="inlineStr">
        <is>
          <t>STRESS_3001_3500</t>
        </is>
      </c>
      <c r="U3340" s="4" t="inlineStr">
        <is>
          <t>CREATED</t>
        </is>
      </c>
      <c r="V3340" s="4" t="inlineStr">
        <is>
          <t>idem-20260902-ios-3339</t>
        </is>
      </c>
    </row>
    <row r="3341" ht="30" customHeight="1">
      <c r="A3341" s="4" t="n">
        <v>3340</v>
      </c>
      <c r="B3341" s="4" t="inlineStr">
        <is>
          <t>MTR-IOS-3340</t>
        </is>
      </c>
      <c r="C3341" s="4" t="inlineStr">
        <is>
          <t>Personal</t>
        </is>
      </c>
      <c r="D3341" s="4" t="inlineStr">
        <is>
          <t>Personal</t>
        </is>
      </c>
      <c r="E3341" s="4" t="inlineStr">
        <is>
          <t>Future Building</t>
        </is>
      </c>
      <c r="F3341" s="4" t="inlineStr">
        <is>
          <t>Investments</t>
        </is>
      </c>
      <c r="G3341" s="4" t="inlineStr">
        <is>
          <t>Investment</t>
        </is>
      </c>
      <c r="H3341" s="12" t="n">
        <v>45925</v>
      </c>
      <c r="I3341" s="13" t="n">
        <v>0.7763425925925926</v>
      </c>
      <c r="J3341" s="14" t="n">
        <v>45925.7763425926</v>
      </c>
      <c r="K3341" s="15" t="n">
        <v>16002.2</v>
      </c>
      <c r="L3341" s="4" t="inlineStr">
        <is>
          <t>INR</t>
        </is>
      </c>
      <c r="M3341" s="15" t="n">
        <v>0</v>
      </c>
      <c r="N3341" s="4" t="inlineStr">
        <is>
          <t>IOS Owner</t>
        </is>
      </c>
      <c r="O3341" s="4" t="n"/>
      <c r="P3341" s="4" t="n"/>
      <c r="Q3341" s="4" t="inlineStr">
        <is>
          <t>MAESTRO-IOS-PERSONAL-FUTURE_BUILDING-3340 | Investments | 16002.20</t>
        </is>
      </c>
      <c r="R3341" s="4" t="inlineStr">
        <is>
          <t>iPhone</t>
        </is>
      </c>
      <c r="S3341" s="4" t="inlineStr">
        <is>
          <t>B67</t>
        </is>
      </c>
      <c r="T3341" s="4" t="inlineStr">
        <is>
          <t>STRESS_3001_3500</t>
        </is>
      </c>
      <c r="U3341" s="4" t="inlineStr">
        <is>
          <t>CREATED</t>
        </is>
      </c>
      <c r="V3341" s="4" t="inlineStr">
        <is>
          <t>idem-20260902-ios-3340</t>
        </is>
      </c>
    </row>
    <row r="3342" ht="30" customHeight="1">
      <c r="A3342" s="4" t="n">
        <v>3341</v>
      </c>
      <c r="B3342" s="4" t="inlineStr">
        <is>
          <t>MTR-IOS-3341</t>
        </is>
      </c>
      <c r="C3342" s="4" t="inlineStr">
        <is>
          <t>Group</t>
        </is>
      </c>
      <c r="D3342" s="4" t="inlineStr">
        <is>
          <t>Shared Experience</t>
        </is>
      </c>
      <c r="E3342" s="4" t="inlineStr">
        <is>
          <t>Wedding</t>
        </is>
      </c>
      <c r="F3342" s="4" t="inlineStr">
        <is>
          <t>Gifts</t>
        </is>
      </c>
      <c r="G3342" s="4" t="inlineStr">
        <is>
          <t>Expense</t>
        </is>
      </c>
      <c r="H3342" s="12" t="n">
        <v>46056</v>
      </c>
      <c r="I3342" s="13" t="n">
        <v>0.3060185185185185</v>
      </c>
      <c r="J3342" s="14" t="n">
        <v>46056.30601851852</v>
      </c>
      <c r="K3342" s="15" t="n">
        <v>23950.51</v>
      </c>
      <c r="L3342" s="4" t="inlineStr">
        <is>
          <t>INR</t>
        </is>
      </c>
      <c r="M3342" s="15" t="n">
        <v>-23950.51</v>
      </c>
      <c r="N3342" s="4" t="inlineStr">
        <is>
          <t>IOS Owner</t>
        </is>
      </c>
      <c r="O3342" s="4" t="n">
        <v>3</v>
      </c>
      <c r="P3342" s="4" t="inlineStr">
        <is>
          <t>PERCENTAGE</t>
        </is>
      </c>
      <c r="Q3342" s="4" t="inlineStr">
        <is>
          <t>MAESTRO-IOS-GROUP-WEDDING-3341 | Gifts | 23950.51</t>
        </is>
      </c>
      <c r="R3342" s="4" t="inlineStr">
        <is>
          <t>iPhone</t>
        </is>
      </c>
      <c r="S3342" s="4" t="inlineStr">
        <is>
          <t>B67</t>
        </is>
      </c>
      <c r="T3342" s="4" t="inlineStr">
        <is>
          <t>STRESS_3001_3500</t>
        </is>
      </c>
      <c r="U3342" s="4" t="inlineStr">
        <is>
          <t>CREATED</t>
        </is>
      </c>
      <c r="V3342" s="4" t="inlineStr">
        <is>
          <t>idem-20260902-ios-3341</t>
        </is>
      </c>
    </row>
    <row r="3343" ht="30" customHeight="1">
      <c r="A3343" s="4" t="n">
        <v>3342</v>
      </c>
      <c r="B3343" s="4" t="inlineStr">
        <is>
          <t>MTR-IOS-3342</t>
        </is>
      </c>
      <c r="C3343" s="4" t="inlineStr">
        <is>
          <t>Business</t>
        </is>
      </c>
      <c r="D3343" s="4" t="inlineStr">
        <is>
          <t>Business</t>
        </is>
      </c>
      <c r="E3343" s="4" t="inlineStr">
        <is>
          <t>Team Operations</t>
        </is>
      </c>
      <c r="F3343" s="4" t="inlineStr">
        <is>
          <t>Payroll</t>
        </is>
      </c>
      <c r="G3343" s="4" t="inlineStr">
        <is>
          <t>Expense</t>
        </is>
      </c>
      <c r="H3343" s="12" t="n">
        <v>46090</v>
      </c>
      <c r="I3343" s="13" t="n">
        <v>0.9404398148148149</v>
      </c>
      <c r="J3343" s="14" t="n">
        <v>46090.94043981482</v>
      </c>
      <c r="K3343" s="15" t="n">
        <v>140697.58</v>
      </c>
      <c r="L3343" s="4" t="inlineStr">
        <is>
          <t>INR</t>
        </is>
      </c>
      <c r="M3343" s="15" t="n">
        <v>-140697.58</v>
      </c>
      <c r="N3343" s="4" t="inlineStr">
        <is>
          <t>IOS Owner</t>
        </is>
      </c>
      <c r="O3343" s="4" t="n"/>
      <c r="P3343" s="4" t="n"/>
      <c r="Q3343" s="4" t="inlineStr">
        <is>
          <t>MAESTRO-IOS-BUSINESS-TEAM_OPERATIONS-3342 | Payroll | 140697.58</t>
        </is>
      </c>
      <c r="R3343" s="4" t="inlineStr">
        <is>
          <t>iPhone</t>
        </is>
      </c>
      <c r="S3343" s="4" t="inlineStr">
        <is>
          <t>B67</t>
        </is>
      </c>
      <c r="T3343" s="4" t="inlineStr">
        <is>
          <t>STRESS_3001_3500</t>
        </is>
      </c>
      <c r="U3343" s="4" t="inlineStr">
        <is>
          <t>CREATED</t>
        </is>
      </c>
      <c r="V3343" s="4" t="inlineStr">
        <is>
          <t>idem-20260902-ios-3342</t>
        </is>
      </c>
    </row>
    <row r="3344" ht="30" customHeight="1">
      <c r="A3344" s="4" t="n">
        <v>3343</v>
      </c>
      <c r="B3344" s="4" t="inlineStr">
        <is>
          <t>MTR-IOS-3343</t>
        </is>
      </c>
      <c r="C3344" s="4" t="inlineStr">
        <is>
          <t>Personal</t>
        </is>
      </c>
      <c r="D3344" s="4" t="inlineStr">
        <is>
          <t>Personal</t>
        </is>
      </c>
      <c r="E3344" s="4" t="inlineStr">
        <is>
          <t>Future Building</t>
        </is>
      </c>
      <c r="F3344" s="4" t="inlineStr">
        <is>
          <t>Education</t>
        </is>
      </c>
      <c r="G3344" s="4" t="inlineStr">
        <is>
          <t>Expense</t>
        </is>
      </c>
      <c r="H3344" s="12" t="n">
        <v>45921</v>
      </c>
      <c r="I3344" s="13" t="n">
        <v>0.2681597222222222</v>
      </c>
      <c r="J3344" s="14" t="n">
        <v>45921.26815972223</v>
      </c>
      <c r="K3344" s="15" t="n">
        <v>6637.95</v>
      </c>
      <c r="L3344" s="4" t="inlineStr">
        <is>
          <t>INR</t>
        </is>
      </c>
      <c r="M3344" s="15" t="n">
        <v>-6637.95</v>
      </c>
      <c r="N3344" s="4" t="inlineStr">
        <is>
          <t>IOS Owner</t>
        </is>
      </c>
      <c r="O3344" s="4" t="n"/>
      <c r="P3344" s="4" t="n"/>
      <c r="Q3344" s="4" t="inlineStr">
        <is>
          <t>MAESTRO-IOS-PERSONAL-FUTURE_BUILDING-3343 | Education | 6637.95</t>
        </is>
      </c>
      <c r="R3344" s="4" t="inlineStr">
        <is>
          <t>iPhone</t>
        </is>
      </c>
      <c r="S3344" s="4" t="inlineStr">
        <is>
          <t>B67</t>
        </is>
      </c>
      <c r="T3344" s="4" t="inlineStr">
        <is>
          <t>STRESS_3001_3500</t>
        </is>
      </c>
      <c r="U3344" s="4" t="inlineStr">
        <is>
          <t>CREATED</t>
        </is>
      </c>
      <c r="V3344" s="4" t="inlineStr">
        <is>
          <t>idem-20260902-ios-3343</t>
        </is>
      </c>
    </row>
    <row r="3345" ht="30" customHeight="1">
      <c r="A3345" s="4" t="n">
        <v>3344</v>
      </c>
      <c r="B3345" s="4" t="inlineStr">
        <is>
          <t>MTR-IOS-3344</t>
        </is>
      </c>
      <c r="C3345" s="4" t="inlineStr">
        <is>
          <t>Group</t>
        </is>
      </c>
      <c r="D3345" s="4" t="inlineStr">
        <is>
          <t>Shared Experience</t>
        </is>
      </c>
      <c r="E3345" s="4" t="inlineStr">
        <is>
          <t>Wedding</t>
        </is>
      </c>
      <c r="F3345" s="4" t="inlineStr">
        <is>
          <t>Photography</t>
        </is>
      </c>
      <c r="G3345" s="4" t="inlineStr">
        <is>
          <t>Expense</t>
        </is>
      </c>
      <c r="H3345" s="12" t="n">
        <v>46032</v>
      </c>
      <c r="I3345" s="13" t="n">
        <v>0.623912037037037</v>
      </c>
      <c r="J3345" s="14" t="n">
        <v>46032.62391203704</v>
      </c>
      <c r="K3345" s="15" t="n">
        <v>22669.57</v>
      </c>
      <c r="L3345" s="4" t="inlineStr">
        <is>
          <t>INR</t>
        </is>
      </c>
      <c r="M3345" s="15" t="n">
        <v>-22669.57</v>
      </c>
      <c r="N3345" s="4" t="inlineStr">
        <is>
          <t>IOS Aarav</t>
        </is>
      </c>
      <c r="O3345" s="4" t="n">
        <v>3</v>
      </c>
      <c r="P3345" s="4" t="inlineStr">
        <is>
          <t>EXACT</t>
        </is>
      </c>
      <c r="Q3345" s="4" t="inlineStr">
        <is>
          <t>MAESTRO-IOS-GROUP-WEDDING-3344 | Photography | 22669.57</t>
        </is>
      </c>
      <c r="R3345" s="4" t="inlineStr">
        <is>
          <t>iPhone</t>
        </is>
      </c>
      <c r="S3345" s="4" t="inlineStr">
        <is>
          <t>B67</t>
        </is>
      </c>
      <c r="T3345" s="4" t="inlineStr">
        <is>
          <t>STRESS_3001_3500</t>
        </is>
      </c>
      <c r="U3345" s="4" t="inlineStr">
        <is>
          <t>CREATED</t>
        </is>
      </c>
      <c r="V3345" s="4" t="inlineStr">
        <is>
          <t>idem-20260902-ios-3344</t>
        </is>
      </c>
    </row>
    <row r="3346" ht="30" customHeight="1">
      <c r="A3346" s="4" t="n">
        <v>3345</v>
      </c>
      <c r="B3346" s="4" t="inlineStr">
        <is>
          <t>MTR-IOS-3345</t>
        </is>
      </c>
      <c r="C3346" s="4" t="inlineStr">
        <is>
          <t>Business</t>
        </is>
      </c>
      <c r="D3346" s="4" t="inlineStr">
        <is>
          <t>Business</t>
        </is>
      </c>
      <c r="E3346" s="4" t="inlineStr">
        <is>
          <t>Team Operations</t>
        </is>
      </c>
      <c r="F3346" s="4" t="inlineStr">
        <is>
          <t>Contractor</t>
        </is>
      </c>
      <c r="G3346" s="4" t="inlineStr">
        <is>
          <t>Expense</t>
        </is>
      </c>
      <c r="H3346" s="12" t="n">
        <v>46202</v>
      </c>
      <c r="I3346" s="13" t="n">
        <v>0.3549537037037037</v>
      </c>
      <c r="J3346" s="14" t="n">
        <v>46202.3549537037</v>
      </c>
      <c r="K3346" s="15" t="n">
        <v>30932.62</v>
      </c>
      <c r="L3346" s="4" t="inlineStr">
        <is>
          <t>INR</t>
        </is>
      </c>
      <c r="M3346" s="15" t="n">
        <v>-30932.62</v>
      </c>
      <c r="N3346" s="4" t="inlineStr">
        <is>
          <t>IOS Owner</t>
        </is>
      </c>
      <c r="O3346" s="4" t="n"/>
      <c r="P3346" s="4" t="n"/>
      <c r="Q3346" s="4" t="inlineStr">
        <is>
          <t>MAESTRO-IOS-BUSINESS-TEAM_OPERATIONS-3345 | Contractor | 30932.62</t>
        </is>
      </c>
      <c r="R3346" s="4" t="inlineStr">
        <is>
          <t>iPhone</t>
        </is>
      </c>
      <c r="S3346" s="4" t="inlineStr">
        <is>
          <t>B67</t>
        </is>
      </c>
      <c r="T3346" s="4" t="inlineStr">
        <is>
          <t>STRESS_3001_3500</t>
        </is>
      </c>
      <c r="U3346" s="4" t="inlineStr">
        <is>
          <t>CREATED</t>
        </is>
      </c>
      <c r="V3346" s="4" t="inlineStr">
        <is>
          <t>idem-20260902-ios-3345</t>
        </is>
      </c>
    </row>
    <row r="3347" ht="30" customHeight="1">
      <c r="A3347" s="4" t="n">
        <v>3346</v>
      </c>
      <c r="B3347" s="4" t="inlineStr">
        <is>
          <t>MTR-IOS-3346</t>
        </is>
      </c>
      <c r="C3347" s="4" t="inlineStr">
        <is>
          <t>Personal</t>
        </is>
      </c>
      <c r="D3347" s="4" t="inlineStr">
        <is>
          <t>Personal</t>
        </is>
      </c>
      <c r="E3347" s="4" t="inlineStr">
        <is>
          <t>Future Building</t>
        </is>
      </c>
      <c r="F3347" s="4" t="inlineStr">
        <is>
          <t>Goal Contribution</t>
        </is>
      </c>
      <c r="G3347" s="4" t="inlineStr">
        <is>
          <t>Transfer</t>
        </is>
      </c>
      <c r="H3347" s="12" t="n">
        <v>45933</v>
      </c>
      <c r="I3347" s="13" t="n">
        <v>0.9981134259259259</v>
      </c>
      <c r="J3347" s="14" t="n">
        <v>45933.99811342593</v>
      </c>
      <c r="K3347" s="15" t="n">
        <v>6583.36</v>
      </c>
      <c r="L3347" s="4" t="inlineStr">
        <is>
          <t>INR</t>
        </is>
      </c>
      <c r="M3347" s="15" t="n">
        <v>0</v>
      </c>
      <c r="N3347" s="4" t="inlineStr">
        <is>
          <t>IOS Owner</t>
        </is>
      </c>
      <c r="O3347" s="4" t="n"/>
      <c r="P3347" s="4" t="n"/>
      <c r="Q3347" s="4" t="inlineStr">
        <is>
          <t>MAESTRO-IOS-PERSONAL-FUTURE_BUILDING-3346 | Goal Contribution | 6583.36</t>
        </is>
      </c>
      <c r="R3347" s="4" t="inlineStr">
        <is>
          <t>iPhone</t>
        </is>
      </c>
      <c r="S3347" s="4" t="inlineStr">
        <is>
          <t>B67</t>
        </is>
      </c>
      <c r="T3347" s="4" t="inlineStr">
        <is>
          <t>STRESS_3001_3500</t>
        </is>
      </c>
      <c r="U3347" s="4" t="inlineStr">
        <is>
          <t>CREATED</t>
        </is>
      </c>
      <c r="V3347" s="4" t="inlineStr">
        <is>
          <t>idem-20260902-ios-3346</t>
        </is>
      </c>
    </row>
    <row r="3348" ht="30" customHeight="1">
      <c r="A3348" s="4" t="n">
        <v>3347</v>
      </c>
      <c r="B3348" s="4" t="inlineStr">
        <is>
          <t>MTR-IOS-3347</t>
        </is>
      </c>
      <c r="C3348" s="4" t="inlineStr">
        <is>
          <t>Group</t>
        </is>
      </c>
      <c r="D3348" s="4" t="inlineStr">
        <is>
          <t>Shared Experience</t>
        </is>
      </c>
      <c r="E3348" s="4" t="inlineStr">
        <is>
          <t>Wedding</t>
        </is>
      </c>
      <c r="F3348" s="4" t="inlineStr">
        <is>
          <t>Other</t>
        </is>
      </c>
      <c r="G3348" s="4" t="inlineStr">
        <is>
          <t>Expense</t>
        </is>
      </c>
      <c r="H3348" s="12" t="n">
        <v>46225</v>
      </c>
      <c r="I3348" s="13" t="n">
        <v>0.7544212962962963</v>
      </c>
      <c r="J3348" s="14" t="n">
        <v>46225.7544212963</v>
      </c>
      <c r="K3348" s="15" t="n">
        <v>12151.84</v>
      </c>
      <c r="L3348" s="4" t="inlineStr">
        <is>
          <t>INR</t>
        </is>
      </c>
      <c r="M3348" s="15" t="n">
        <v>-12151.84</v>
      </c>
      <c r="N3348" s="4" t="inlineStr">
        <is>
          <t>IOS Meera</t>
        </is>
      </c>
      <c r="O3348" s="4" t="n">
        <v>3</v>
      </c>
      <c r="P3348" s="4" t="inlineStr">
        <is>
          <t>SHARES</t>
        </is>
      </c>
      <c r="Q3348" s="4" t="inlineStr">
        <is>
          <t>MAESTRO-IOS-GROUP-WEDDING-3347 | Other | 12151.84</t>
        </is>
      </c>
      <c r="R3348" s="4" t="inlineStr">
        <is>
          <t>iPhone</t>
        </is>
      </c>
      <c r="S3348" s="4" t="inlineStr">
        <is>
          <t>B67</t>
        </is>
      </c>
      <c r="T3348" s="4" t="inlineStr">
        <is>
          <t>STRESS_3001_3500</t>
        </is>
      </c>
      <c r="U3348" s="4" t="inlineStr">
        <is>
          <t>CREATED</t>
        </is>
      </c>
      <c r="V3348" s="4" t="inlineStr">
        <is>
          <t>idem-20260902-ios-3347</t>
        </is>
      </c>
    </row>
    <row r="3349" ht="30" customHeight="1">
      <c r="A3349" s="4" t="n">
        <v>3348</v>
      </c>
      <c r="B3349" s="4" t="inlineStr">
        <is>
          <t>MTR-IOS-3348</t>
        </is>
      </c>
      <c r="C3349" s="4" t="inlineStr">
        <is>
          <t>Business</t>
        </is>
      </c>
      <c r="D3349" s="4" t="inlineStr">
        <is>
          <t>Business</t>
        </is>
      </c>
      <c r="E3349" s="4" t="inlineStr">
        <is>
          <t>Team Operations</t>
        </is>
      </c>
      <c r="F3349" s="4" t="inlineStr">
        <is>
          <t>Hiring</t>
        </is>
      </c>
      <c r="G3349" s="4" t="inlineStr">
        <is>
          <t>Expense</t>
        </is>
      </c>
      <c r="H3349" s="12" t="n">
        <v>46142</v>
      </c>
      <c r="I3349" s="13" t="n">
        <v>0.181724537037037</v>
      </c>
      <c r="J3349" s="14" t="n">
        <v>46142.18172453704</v>
      </c>
      <c r="K3349" s="15" t="n">
        <v>80666.45</v>
      </c>
      <c r="L3349" s="4" t="inlineStr">
        <is>
          <t>INR</t>
        </is>
      </c>
      <c r="M3349" s="15" t="n">
        <v>-80666.45</v>
      </c>
      <c r="N3349" s="4" t="inlineStr">
        <is>
          <t>IOS Owner</t>
        </is>
      </c>
      <c r="O3349" s="4" t="n"/>
      <c r="P3349" s="4" t="n"/>
      <c r="Q3349" s="4" t="inlineStr">
        <is>
          <t>MAESTRO-IOS-BUSINESS-TEAM_OPERATIONS-3348 | Hiring | 80666.45</t>
        </is>
      </c>
      <c r="R3349" s="4" t="inlineStr">
        <is>
          <t>iPhone</t>
        </is>
      </c>
      <c r="S3349" s="4" t="inlineStr">
        <is>
          <t>B67</t>
        </is>
      </c>
      <c r="T3349" s="4" t="inlineStr">
        <is>
          <t>STRESS_3001_3500</t>
        </is>
      </c>
      <c r="U3349" s="4" t="inlineStr">
        <is>
          <t>CREATED</t>
        </is>
      </c>
      <c r="V3349" s="4" t="inlineStr">
        <is>
          <t>idem-20260902-ios-3348</t>
        </is>
      </c>
    </row>
    <row r="3350" ht="30" customHeight="1">
      <c r="A3350" s="4" t="n">
        <v>3349</v>
      </c>
      <c r="B3350" s="4" t="inlineStr">
        <is>
          <t>MTR-IOS-3349</t>
        </is>
      </c>
      <c r="C3350" s="4" t="inlineStr">
        <is>
          <t>Personal</t>
        </is>
      </c>
      <c r="D3350" s="4" t="inlineStr">
        <is>
          <t>Personal</t>
        </is>
      </c>
      <c r="E3350" s="4" t="inlineStr">
        <is>
          <t>Lifestyle</t>
        </is>
      </c>
      <c r="F3350" s="4" t="inlineStr">
        <is>
          <t>Dining</t>
        </is>
      </c>
      <c r="G3350" s="4" t="inlineStr">
        <is>
          <t>Expense</t>
        </is>
      </c>
      <c r="H3350" s="12" t="n">
        <v>46083</v>
      </c>
      <c r="I3350" s="13" t="n">
        <v>0.5043055555555556</v>
      </c>
      <c r="J3350" s="14" t="n">
        <v>46083.50430555556</v>
      </c>
      <c r="K3350" s="15" t="n">
        <v>14961.57</v>
      </c>
      <c r="L3350" s="4" t="inlineStr">
        <is>
          <t>INR</t>
        </is>
      </c>
      <c r="M3350" s="15" t="n">
        <v>-14961.57</v>
      </c>
      <c r="N3350" s="4" t="inlineStr">
        <is>
          <t>IOS Owner</t>
        </is>
      </c>
      <c r="O3350" s="4" t="n"/>
      <c r="P3350" s="4" t="n"/>
      <c r="Q3350" s="4" t="inlineStr">
        <is>
          <t>MAESTRO-IOS-PERSONAL-LIFESTYLE-3349 | Dining | 14961.57</t>
        </is>
      </c>
      <c r="R3350" s="4" t="inlineStr">
        <is>
          <t>iPhone</t>
        </is>
      </c>
      <c r="S3350" s="4" t="inlineStr">
        <is>
          <t>B67</t>
        </is>
      </c>
      <c r="T3350" s="4" t="inlineStr">
        <is>
          <t>STRESS_3001_3500</t>
        </is>
      </c>
      <c r="U3350" s="4" t="inlineStr">
        <is>
          <t>CREATED</t>
        </is>
      </c>
      <c r="V3350" s="4" t="inlineStr">
        <is>
          <t>idem-20260902-ios-3349</t>
        </is>
      </c>
    </row>
    <row r="3351" ht="30" customHeight="1">
      <c r="A3351" s="4" t="n">
        <v>3350</v>
      </c>
      <c r="B3351" s="4" t="inlineStr">
        <is>
          <t>MTR-IOS-3350</t>
        </is>
      </c>
      <c r="C3351" s="4" t="inlineStr">
        <is>
          <t>Group</t>
        </is>
      </c>
      <c r="D3351" s="4" t="inlineStr">
        <is>
          <t>Shared Experience</t>
        </is>
      </c>
      <c r="E3351" s="4" t="inlineStr">
        <is>
          <t>Office Outing</t>
        </is>
      </c>
      <c r="F3351" s="4" t="inlineStr">
        <is>
          <t>Food</t>
        </is>
      </c>
      <c r="G3351" s="4" t="inlineStr">
        <is>
          <t>Expense</t>
        </is>
      </c>
      <c r="H3351" s="12" t="n">
        <v>46266</v>
      </c>
      <c r="I3351" s="13" t="n">
        <v>0.1277314814814815</v>
      </c>
      <c r="J3351" s="14" t="n">
        <v>46266.12773148148</v>
      </c>
      <c r="K3351" s="15" t="n">
        <v>20681.09</v>
      </c>
      <c r="L3351" s="4" t="inlineStr">
        <is>
          <t>INR</t>
        </is>
      </c>
      <c r="M3351" s="15" t="n">
        <v>-20681.09</v>
      </c>
      <c r="N3351" s="4" t="inlineStr">
        <is>
          <t>IOS Owner</t>
        </is>
      </c>
      <c r="O3351" s="4" t="n">
        <v>3</v>
      </c>
      <c r="P3351" s="4" t="inlineStr">
        <is>
          <t>EQUAL</t>
        </is>
      </c>
      <c r="Q3351" s="4" t="inlineStr">
        <is>
          <t>MAESTRO-IOS-GROUP-OFFICE_OUTING-3350 | Food | 20681.09</t>
        </is>
      </c>
      <c r="R3351" s="4" t="inlineStr">
        <is>
          <t>iPhone</t>
        </is>
      </c>
      <c r="S3351" s="4" t="inlineStr">
        <is>
          <t>B67</t>
        </is>
      </c>
      <c r="T3351" s="4" t="inlineStr">
        <is>
          <t>STRESS_3001_3500</t>
        </is>
      </c>
      <c r="U3351" s="4" t="inlineStr">
        <is>
          <t>CREATED</t>
        </is>
      </c>
      <c r="V3351" s="4" t="inlineStr">
        <is>
          <t>idem-20260902-ios-3350</t>
        </is>
      </c>
    </row>
    <row r="3352" ht="30" customHeight="1">
      <c r="A3352" s="4" t="n">
        <v>3351</v>
      </c>
      <c r="B3352" s="4" t="inlineStr">
        <is>
          <t>MTR-IOS-3351</t>
        </is>
      </c>
      <c r="C3352" s="4" t="inlineStr">
        <is>
          <t>Business</t>
        </is>
      </c>
      <c r="D3352" s="4" t="inlineStr">
        <is>
          <t>Business</t>
        </is>
      </c>
      <c r="E3352" s="4" t="inlineStr">
        <is>
          <t>Team Operations</t>
        </is>
      </c>
      <c r="F3352" s="4" t="inlineStr">
        <is>
          <t>Team Meal</t>
        </is>
      </c>
      <c r="G3352" s="4" t="inlineStr">
        <is>
          <t>Expense</t>
        </is>
      </c>
      <c r="H3352" s="12" t="n">
        <v>45955</v>
      </c>
      <c r="I3352" s="13" t="n">
        <v>0.3699768518518519</v>
      </c>
      <c r="J3352" s="14" t="n">
        <v>45955.36997685185</v>
      </c>
      <c r="K3352" s="15" t="n">
        <v>106442.77</v>
      </c>
      <c r="L3352" s="4" t="inlineStr">
        <is>
          <t>INR</t>
        </is>
      </c>
      <c r="M3352" s="15" t="n">
        <v>-106442.77</v>
      </c>
      <c r="N3352" s="4" t="inlineStr">
        <is>
          <t>IOS Owner</t>
        </is>
      </c>
      <c r="O3352" s="4" t="n"/>
      <c r="P3352" s="4" t="n"/>
      <c r="Q3352" s="4" t="inlineStr">
        <is>
          <t>MAESTRO-IOS-BUSINESS-TEAM_OPERATIONS-3351 | Team Meal | 106442.77</t>
        </is>
      </c>
      <c r="R3352" s="4" t="inlineStr">
        <is>
          <t>iPhone</t>
        </is>
      </c>
      <c r="S3352" s="4" t="inlineStr">
        <is>
          <t>B68</t>
        </is>
      </c>
      <c r="T3352" s="4" t="inlineStr">
        <is>
          <t>STRESS_3001_3500</t>
        </is>
      </c>
      <c r="U3352" s="4" t="inlineStr">
        <is>
          <t>CREATED</t>
        </is>
      </c>
      <c r="V3352" s="4" t="inlineStr">
        <is>
          <t>idem-20260902-ios-3351</t>
        </is>
      </c>
    </row>
    <row r="3353" ht="30" customHeight="1">
      <c r="A3353" s="4" t="n">
        <v>3352</v>
      </c>
      <c r="B3353" s="4" t="inlineStr">
        <is>
          <t>MTR-IOS-3352</t>
        </is>
      </c>
      <c r="C3353" s="4" t="inlineStr">
        <is>
          <t>Personal</t>
        </is>
      </c>
      <c r="D3353" s="4" t="inlineStr">
        <is>
          <t>Personal</t>
        </is>
      </c>
      <c r="E3353" s="4" t="inlineStr">
        <is>
          <t>Lifestyle</t>
        </is>
      </c>
      <c r="F3353" s="4" t="inlineStr">
        <is>
          <t>Shopping</t>
        </is>
      </c>
      <c r="G3353" s="4" t="inlineStr">
        <is>
          <t>Expense</t>
        </is>
      </c>
      <c r="H3353" s="12" t="n">
        <v>46038</v>
      </c>
      <c r="I3353" s="13" t="n">
        <v>0.7506712962962963</v>
      </c>
      <c r="J3353" s="14" t="n">
        <v>46038.75067129629</v>
      </c>
      <c r="K3353" s="15" t="n">
        <v>16592.75</v>
      </c>
      <c r="L3353" s="4" t="inlineStr">
        <is>
          <t>INR</t>
        </is>
      </c>
      <c r="M3353" s="15" t="n">
        <v>-16592.75</v>
      </c>
      <c r="N3353" s="4" t="inlineStr">
        <is>
          <t>IOS Owner</t>
        </is>
      </c>
      <c r="O3353" s="4" t="n"/>
      <c r="P3353" s="4" t="n"/>
      <c r="Q3353" s="4" t="inlineStr">
        <is>
          <t>MAESTRO-IOS-PERSONAL-LIFESTYLE-3352 | Shopping | 16592.75</t>
        </is>
      </c>
      <c r="R3353" s="4" t="inlineStr">
        <is>
          <t>iPhone</t>
        </is>
      </c>
      <c r="S3353" s="4" t="inlineStr">
        <is>
          <t>B68</t>
        </is>
      </c>
      <c r="T3353" s="4" t="inlineStr">
        <is>
          <t>STRESS_3001_3500</t>
        </is>
      </c>
      <c r="U3353" s="4" t="inlineStr">
        <is>
          <t>CREATED</t>
        </is>
      </c>
      <c r="V3353" s="4" t="inlineStr">
        <is>
          <t>idem-20260902-ios-3352</t>
        </is>
      </c>
    </row>
    <row r="3354" ht="30" customHeight="1">
      <c r="A3354" s="4" t="n">
        <v>3353</v>
      </c>
      <c r="B3354" s="4" t="inlineStr">
        <is>
          <t>MTR-IOS-3353</t>
        </is>
      </c>
      <c r="C3354" s="4" t="inlineStr">
        <is>
          <t>Group</t>
        </is>
      </c>
      <c r="D3354" s="4" t="inlineStr">
        <is>
          <t>Shared Experience</t>
        </is>
      </c>
      <c r="E3354" s="4" t="inlineStr">
        <is>
          <t>Office Outing</t>
        </is>
      </c>
      <c r="F3354" s="4" t="inlineStr">
        <is>
          <t>Travel</t>
        </is>
      </c>
      <c r="G3354" s="4" t="inlineStr">
        <is>
          <t>Expense</t>
        </is>
      </c>
      <c r="H3354" s="12" t="n">
        <v>45917</v>
      </c>
      <c r="I3354" s="13" t="n">
        <v>0.2291898148148148</v>
      </c>
      <c r="J3354" s="14" t="n">
        <v>45917.22918981482</v>
      </c>
      <c r="K3354" s="15" t="n">
        <v>18132.72</v>
      </c>
      <c r="L3354" s="4" t="inlineStr">
        <is>
          <t>INR</t>
        </is>
      </c>
      <c r="M3354" s="15" t="n">
        <v>-18132.72</v>
      </c>
      <c r="N3354" s="4" t="inlineStr">
        <is>
          <t>IOS Aarav</t>
        </is>
      </c>
      <c r="O3354" s="4" t="n">
        <v>3</v>
      </c>
      <c r="P3354" s="4" t="inlineStr">
        <is>
          <t>PERCENTAGE</t>
        </is>
      </c>
      <c r="Q3354" s="4" t="inlineStr">
        <is>
          <t>MAESTRO-IOS-GROUP-OFFICE_OUTING-3353 | Travel | 18132.72</t>
        </is>
      </c>
      <c r="R3354" s="4" t="inlineStr">
        <is>
          <t>iPhone</t>
        </is>
      </c>
      <c r="S3354" s="4" t="inlineStr">
        <is>
          <t>B68</t>
        </is>
      </c>
      <c r="T3354" s="4" t="inlineStr">
        <is>
          <t>STRESS_3001_3500</t>
        </is>
      </c>
      <c r="U3354" s="4" t="inlineStr">
        <is>
          <t>CREATED</t>
        </is>
      </c>
      <c r="V3354" s="4" t="inlineStr">
        <is>
          <t>idem-20260902-ios-3353</t>
        </is>
      </c>
    </row>
    <row r="3355" ht="30" customHeight="1">
      <c r="A3355" s="4" t="n">
        <v>3354</v>
      </c>
      <c r="B3355" s="4" t="inlineStr">
        <is>
          <t>MTR-IOS-3354</t>
        </is>
      </c>
      <c r="C3355" s="4" t="inlineStr">
        <is>
          <t>Business</t>
        </is>
      </c>
      <c r="D3355" s="4" t="inlineStr">
        <is>
          <t>Business</t>
        </is>
      </c>
      <c r="E3355" s="4" t="inlineStr">
        <is>
          <t>Team Operations</t>
        </is>
      </c>
      <c r="F3355" s="4" t="inlineStr">
        <is>
          <t>Travel</t>
        </is>
      </c>
      <c r="G3355" s="4" t="inlineStr">
        <is>
          <t>Expense</t>
        </is>
      </c>
      <c r="H3355" s="12" t="n">
        <v>46134</v>
      </c>
      <c r="I3355" s="13" t="n">
        <v>0.9596759259259259</v>
      </c>
      <c r="J3355" s="14" t="n">
        <v>46134.95967592593</v>
      </c>
      <c r="K3355" s="15" t="n">
        <v>3868.97</v>
      </c>
      <c r="L3355" s="4" t="inlineStr">
        <is>
          <t>INR</t>
        </is>
      </c>
      <c r="M3355" s="15" t="n">
        <v>-3868.97</v>
      </c>
      <c r="N3355" s="4" t="inlineStr">
        <is>
          <t>IOS Owner</t>
        </is>
      </c>
      <c r="O3355" s="4" t="n"/>
      <c r="P3355" s="4" t="n"/>
      <c r="Q3355" s="4" t="inlineStr">
        <is>
          <t>MAESTRO-IOS-BUSINESS-TEAM_OPERATIONS-3354 | Travel | 3868.97</t>
        </is>
      </c>
      <c r="R3355" s="4" t="inlineStr">
        <is>
          <t>iPhone</t>
        </is>
      </c>
      <c r="S3355" s="4" t="inlineStr">
        <is>
          <t>B68</t>
        </is>
      </c>
      <c r="T3355" s="4" t="inlineStr">
        <is>
          <t>STRESS_3001_3500</t>
        </is>
      </c>
      <c r="U3355" s="4" t="inlineStr">
        <is>
          <t>CREATED</t>
        </is>
      </c>
      <c r="V3355" s="4" t="inlineStr">
        <is>
          <t>idem-20260902-ios-3354</t>
        </is>
      </c>
    </row>
    <row r="3356" ht="30" customHeight="1">
      <c r="A3356" s="4" t="n">
        <v>3355</v>
      </c>
      <c r="B3356" s="4" t="inlineStr">
        <is>
          <t>MTR-IOS-3355</t>
        </is>
      </c>
      <c r="C3356" s="4" t="inlineStr">
        <is>
          <t>Personal</t>
        </is>
      </c>
      <c r="D3356" s="4" t="inlineStr">
        <is>
          <t>Personal</t>
        </is>
      </c>
      <c r="E3356" s="4" t="inlineStr">
        <is>
          <t>Lifestyle</t>
        </is>
      </c>
      <c r="F3356" s="4" t="inlineStr">
        <is>
          <t>Entertainment</t>
        </is>
      </c>
      <c r="G3356" s="4" t="inlineStr">
        <is>
          <t>Expense</t>
        </is>
      </c>
      <c r="H3356" s="12" t="n">
        <v>45907</v>
      </c>
      <c r="I3356" s="13" t="n">
        <v>0.9163425925925925</v>
      </c>
      <c r="J3356" s="14" t="n">
        <v>45907.91634259259</v>
      </c>
      <c r="K3356" s="15" t="n">
        <v>12415.53</v>
      </c>
      <c r="L3356" s="4" t="inlineStr">
        <is>
          <t>INR</t>
        </is>
      </c>
      <c r="M3356" s="15" t="n">
        <v>-12415.53</v>
      </c>
      <c r="N3356" s="4" t="inlineStr">
        <is>
          <t>IOS Owner</t>
        </is>
      </c>
      <c r="O3356" s="4" t="n"/>
      <c r="P3356" s="4" t="n"/>
      <c r="Q3356" s="4" t="inlineStr">
        <is>
          <t>MAESTRO-IOS-PERSONAL-LIFESTYLE-3355 | Entertainment | 12415.53</t>
        </is>
      </c>
      <c r="R3356" s="4" t="inlineStr">
        <is>
          <t>iPhone</t>
        </is>
      </c>
      <c r="S3356" s="4" t="inlineStr">
        <is>
          <t>B68</t>
        </is>
      </c>
      <c r="T3356" s="4" t="inlineStr">
        <is>
          <t>STRESS_3001_3500</t>
        </is>
      </c>
      <c r="U3356" s="4" t="inlineStr">
        <is>
          <t>CREATED</t>
        </is>
      </c>
      <c r="V3356" s="4" t="inlineStr">
        <is>
          <t>idem-20260902-ios-3355</t>
        </is>
      </c>
    </row>
    <row r="3357" ht="30" customHeight="1">
      <c r="A3357" s="4" t="n">
        <v>3356</v>
      </c>
      <c r="B3357" s="4" t="inlineStr">
        <is>
          <t>MTR-IOS-3356</t>
        </is>
      </c>
      <c r="C3357" s="4" t="inlineStr">
        <is>
          <t>Group</t>
        </is>
      </c>
      <c r="D3357" s="4" t="inlineStr">
        <is>
          <t>Shared Experience</t>
        </is>
      </c>
      <c r="E3357" s="4" t="inlineStr">
        <is>
          <t>Office Outing</t>
        </is>
      </c>
      <c r="F3357" s="4" t="inlineStr">
        <is>
          <t>Activities</t>
        </is>
      </c>
      <c r="G3357" s="4" t="inlineStr">
        <is>
          <t>Expense</t>
        </is>
      </c>
      <c r="H3357" s="12" t="n">
        <v>46157</v>
      </c>
      <c r="I3357" s="13" t="n">
        <v>0.1653356481481481</v>
      </c>
      <c r="J3357" s="14" t="n">
        <v>46157.16533564815</v>
      </c>
      <c r="K3357" s="15" t="n">
        <v>16129.08</v>
      </c>
      <c r="L3357" s="4" t="inlineStr">
        <is>
          <t>INR</t>
        </is>
      </c>
      <c r="M3357" s="15" t="n">
        <v>-16129.08</v>
      </c>
      <c r="N3357" s="4" t="inlineStr">
        <is>
          <t>IOS Meera</t>
        </is>
      </c>
      <c r="O3357" s="4" t="n">
        <v>3</v>
      </c>
      <c r="P3357" s="4" t="inlineStr">
        <is>
          <t>EXACT</t>
        </is>
      </c>
      <c r="Q3357" s="4" t="inlineStr">
        <is>
          <t>MAESTRO-IOS-GROUP-OFFICE_OUTING-3356 | Activities | 16129.08</t>
        </is>
      </c>
      <c r="R3357" s="4" t="inlineStr">
        <is>
          <t>iPhone</t>
        </is>
      </c>
      <c r="S3357" s="4" t="inlineStr">
        <is>
          <t>B68</t>
        </is>
      </c>
      <c r="T3357" s="4" t="inlineStr">
        <is>
          <t>STRESS_3001_3500</t>
        </is>
      </c>
      <c r="U3357" s="4" t="inlineStr">
        <is>
          <t>CREATED</t>
        </is>
      </c>
      <c r="V3357" s="4" t="inlineStr">
        <is>
          <t>idem-20260902-ios-3356</t>
        </is>
      </c>
    </row>
    <row r="3358" ht="30" customHeight="1">
      <c r="A3358" s="4" t="n">
        <v>3357</v>
      </c>
      <c r="B3358" s="4" t="inlineStr">
        <is>
          <t>MTR-IOS-3357</t>
        </is>
      </c>
      <c r="C3358" s="4" t="inlineStr">
        <is>
          <t>Business</t>
        </is>
      </c>
      <c r="D3358" s="4" t="inlineStr">
        <is>
          <t>Business</t>
        </is>
      </c>
      <c r="E3358" s="4" t="inlineStr">
        <is>
          <t>Team Operations</t>
        </is>
      </c>
      <c r="F3358" s="4" t="inlineStr">
        <is>
          <t>Training</t>
        </is>
      </c>
      <c r="G3358" s="4" t="inlineStr">
        <is>
          <t>Expense</t>
        </is>
      </c>
      <c r="H3358" s="12" t="n">
        <v>45998</v>
      </c>
      <c r="I3358" s="13" t="n">
        <v>0.05351851851851852</v>
      </c>
      <c r="J3358" s="14" t="n">
        <v>45998.05351851852</v>
      </c>
      <c r="K3358" s="15" t="n">
        <v>84291.28999999999</v>
      </c>
      <c r="L3358" s="4" t="inlineStr">
        <is>
          <t>INR</t>
        </is>
      </c>
      <c r="M3358" s="15" t="n">
        <v>-84291.28999999999</v>
      </c>
      <c r="N3358" s="4" t="inlineStr">
        <is>
          <t>IOS Owner</t>
        </is>
      </c>
      <c r="O3358" s="4" t="n"/>
      <c r="P3358" s="4" t="n"/>
      <c r="Q3358" s="4" t="inlineStr">
        <is>
          <t>MAESTRO-IOS-BUSINESS-TEAM_OPERATIONS-3357 | Training | 84291.29</t>
        </is>
      </c>
      <c r="R3358" s="4" t="inlineStr">
        <is>
          <t>iPhone</t>
        </is>
      </c>
      <c r="S3358" s="4" t="inlineStr">
        <is>
          <t>B68</t>
        </is>
      </c>
      <c r="T3358" s="4" t="inlineStr">
        <is>
          <t>STRESS_3001_3500</t>
        </is>
      </c>
      <c r="U3358" s="4" t="inlineStr">
        <is>
          <t>CREATED</t>
        </is>
      </c>
      <c r="V3358" s="4" t="inlineStr">
        <is>
          <t>idem-20260902-ios-3357</t>
        </is>
      </c>
    </row>
    <row r="3359" ht="30" customHeight="1">
      <c r="A3359" s="4" t="n">
        <v>3358</v>
      </c>
      <c r="B3359" s="4" t="inlineStr">
        <is>
          <t>MTR-IOS-3358</t>
        </is>
      </c>
      <c r="C3359" s="4" t="inlineStr">
        <is>
          <t>Personal</t>
        </is>
      </c>
      <c r="D3359" s="4" t="inlineStr">
        <is>
          <t>Personal</t>
        </is>
      </c>
      <c r="E3359" s="4" t="inlineStr">
        <is>
          <t>Lifestyle</t>
        </is>
      </c>
      <c r="F3359" s="4" t="inlineStr">
        <is>
          <t>Travel</t>
        </is>
      </c>
      <c r="G3359" s="4" t="inlineStr">
        <is>
          <t>Expense</t>
        </is>
      </c>
      <c r="H3359" s="12" t="n">
        <v>46213</v>
      </c>
      <c r="I3359" s="13" t="n">
        <v>0.6750810185185185</v>
      </c>
      <c r="J3359" s="14" t="n">
        <v>46213.67508101852</v>
      </c>
      <c r="K3359" s="15" t="n">
        <v>334.79</v>
      </c>
      <c r="L3359" s="4" t="inlineStr">
        <is>
          <t>INR</t>
        </is>
      </c>
      <c r="M3359" s="15" t="n">
        <v>-334.79</v>
      </c>
      <c r="N3359" s="4" t="inlineStr">
        <is>
          <t>IOS Owner</t>
        </is>
      </c>
      <c r="O3359" s="4" t="n"/>
      <c r="P3359" s="4" t="n"/>
      <c r="Q3359" s="4" t="inlineStr">
        <is>
          <t>MAESTRO-IOS-PERSONAL-LIFESTYLE-3358 | Travel | 334.79</t>
        </is>
      </c>
      <c r="R3359" s="4" t="inlineStr">
        <is>
          <t>iPhone</t>
        </is>
      </c>
      <c r="S3359" s="4" t="inlineStr">
        <is>
          <t>B68</t>
        </is>
      </c>
      <c r="T3359" s="4" t="inlineStr">
        <is>
          <t>STRESS_3001_3500</t>
        </is>
      </c>
      <c r="U3359" s="4" t="inlineStr">
        <is>
          <t>CREATED</t>
        </is>
      </c>
      <c r="V3359" s="4" t="inlineStr">
        <is>
          <t>idem-20260902-ios-3358</t>
        </is>
      </c>
    </row>
    <row r="3360" ht="30" customHeight="1">
      <c r="A3360" s="4" t="n">
        <v>3359</v>
      </c>
      <c r="B3360" s="4" t="inlineStr">
        <is>
          <t>MTR-IOS-3359</t>
        </is>
      </c>
      <c r="C3360" s="4" t="inlineStr">
        <is>
          <t>Group</t>
        </is>
      </c>
      <c r="D3360" s="4" t="inlineStr">
        <is>
          <t>Shared Experience</t>
        </is>
      </c>
      <c r="E3360" s="4" t="inlineStr">
        <is>
          <t>Office Outing</t>
        </is>
      </c>
      <c r="F3360" s="4" t="inlineStr">
        <is>
          <t>Venue</t>
        </is>
      </c>
      <c r="G3360" s="4" t="inlineStr">
        <is>
          <t>Expense</t>
        </is>
      </c>
      <c r="H3360" s="12" t="n">
        <v>46258</v>
      </c>
      <c r="I3360" s="13" t="n">
        <v>0.3345949074074074</v>
      </c>
      <c r="J3360" s="14" t="n">
        <v>46258.33459490741</v>
      </c>
      <c r="K3360" s="15" t="n">
        <v>17110</v>
      </c>
      <c r="L3360" s="4" t="inlineStr">
        <is>
          <t>INR</t>
        </is>
      </c>
      <c r="M3360" s="15" t="n">
        <v>-17110</v>
      </c>
      <c r="N3360" s="4" t="inlineStr">
        <is>
          <t>IOS Owner</t>
        </is>
      </c>
      <c r="O3360" s="4" t="n">
        <v>3</v>
      </c>
      <c r="P3360" s="4" t="inlineStr">
        <is>
          <t>SHARES</t>
        </is>
      </c>
      <c r="Q3360" s="4" t="inlineStr">
        <is>
          <t>MAESTRO-IOS-GROUP-OFFICE_OUTING-3359 | Venue | 17110.00</t>
        </is>
      </c>
      <c r="R3360" s="4" t="inlineStr">
        <is>
          <t>iPhone</t>
        </is>
      </c>
      <c r="S3360" s="4" t="inlineStr">
        <is>
          <t>B68</t>
        </is>
      </c>
      <c r="T3360" s="4" t="inlineStr">
        <is>
          <t>STRESS_3001_3500</t>
        </is>
      </c>
      <c r="U3360" s="4" t="inlineStr">
        <is>
          <t>CREATED</t>
        </is>
      </c>
      <c r="V3360" s="4" t="inlineStr">
        <is>
          <t>idem-20260902-ios-3359</t>
        </is>
      </c>
    </row>
    <row r="3361" ht="30" customHeight="1">
      <c r="A3361" s="4" t="n">
        <v>3360</v>
      </c>
      <c r="B3361" s="4" t="inlineStr">
        <is>
          <t>MTR-IOS-3360</t>
        </is>
      </c>
      <c r="C3361" s="4" t="inlineStr">
        <is>
          <t>Business</t>
        </is>
      </c>
      <c r="D3361" s="4" t="inlineStr">
        <is>
          <t>Business</t>
        </is>
      </c>
      <c r="E3361" s="4" t="inlineStr">
        <is>
          <t>Team Operations</t>
        </is>
      </c>
      <c r="F3361" s="4" t="inlineStr">
        <is>
          <t>Tools</t>
        </is>
      </c>
      <c r="G3361" s="4" t="inlineStr">
        <is>
          <t>Expense</t>
        </is>
      </c>
      <c r="H3361" s="12" t="n">
        <v>45954</v>
      </c>
      <c r="I3361" s="13" t="n">
        <v>0.3885300925925926</v>
      </c>
      <c r="J3361" s="14" t="n">
        <v>45954.38853009259</v>
      </c>
      <c r="K3361" s="15" t="n">
        <v>24419.88</v>
      </c>
      <c r="L3361" s="4" t="inlineStr">
        <is>
          <t>INR</t>
        </is>
      </c>
      <c r="M3361" s="15" t="n">
        <v>-24419.88</v>
      </c>
      <c r="N3361" s="4" t="inlineStr">
        <is>
          <t>IOS Owner</t>
        </is>
      </c>
      <c r="O3361" s="4" t="n"/>
      <c r="P3361" s="4" t="n"/>
      <c r="Q3361" s="4" t="inlineStr">
        <is>
          <t>MAESTRO-IOS-BUSINESS-TEAM_OPERATIONS-3360 | Tools | 24419.88</t>
        </is>
      </c>
      <c r="R3361" s="4" t="inlineStr">
        <is>
          <t>iPhone</t>
        </is>
      </c>
      <c r="S3361" s="4" t="inlineStr">
        <is>
          <t>B68</t>
        </is>
      </c>
      <c r="T3361" s="4" t="inlineStr">
        <is>
          <t>STRESS_3001_3500</t>
        </is>
      </c>
      <c r="U3361" s="4" t="inlineStr">
        <is>
          <t>CREATED</t>
        </is>
      </c>
      <c r="V3361" s="4" t="inlineStr">
        <is>
          <t>idem-20260902-ios-3360</t>
        </is>
      </c>
    </row>
    <row r="3362" ht="30" customHeight="1">
      <c r="A3362" s="4" t="n">
        <v>3361</v>
      </c>
      <c r="B3362" s="4" t="inlineStr">
        <is>
          <t>MTR-IOS-3361</t>
        </is>
      </c>
      <c r="C3362" s="4" t="inlineStr">
        <is>
          <t>Personal</t>
        </is>
      </c>
      <c r="D3362" s="4" t="inlineStr">
        <is>
          <t>Personal</t>
        </is>
      </c>
      <c r="E3362" s="4" t="inlineStr">
        <is>
          <t>Lifestyle</t>
        </is>
      </c>
      <c r="F3362" s="4" t="inlineStr">
        <is>
          <t>Fitness</t>
        </is>
      </c>
      <c r="G3362" s="4" t="inlineStr">
        <is>
          <t>Expense</t>
        </is>
      </c>
      <c r="H3362" s="12" t="n">
        <v>46016</v>
      </c>
      <c r="I3362" s="13" t="n">
        <v>0.3261574074074074</v>
      </c>
      <c r="J3362" s="14" t="n">
        <v>46016.32615740741</v>
      </c>
      <c r="K3362" s="15" t="n">
        <v>10356.26</v>
      </c>
      <c r="L3362" s="4" t="inlineStr">
        <is>
          <t>INR</t>
        </is>
      </c>
      <c r="M3362" s="15" t="n">
        <v>-10356.26</v>
      </c>
      <c r="N3362" s="4" t="inlineStr">
        <is>
          <t>IOS Owner</t>
        </is>
      </c>
      <c r="O3362" s="4" t="n"/>
      <c r="P3362" s="4" t="n"/>
      <c r="Q3362" s="4" t="inlineStr">
        <is>
          <t>MAESTRO-IOS-PERSONAL-LIFESTYLE-3361 | Fitness | 10356.26</t>
        </is>
      </c>
      <c r="R3362" s="4" t="inlineStr">
        <is>
          <t>iPhone</t>
        </is>
      </c>
      <c r="S3362" s="4" t="inlineStr">
        <is>
          <t>B68</t>
        </is>
      </c>
      <c r="T3362" s="4" t="inlineStr">
        <is>
          <t>STRESS_3001_3500</t>
        </is>
      </c>
      <c r="U3362" s="4" t="inlineStr">
        <is>
          <t>CREATED</t>
        </is>
      </c>
      <c r="V3362" s="4" t="inlineStr">
        <is>
          <t>idem-20260902-ios-3361</t>
        </is>
      </c>
    </row>
    <row r="3363" ht="30" customHeight="1">
      <c r="A3363" s="4" t="n">
        <v>3362</v>
      </c>
      <c r="B3363" s="4" t="inlineStr">
        <is>
          <t>MTR-IOS-3362</t>
        </is>
      </c>
      <c r="C3363" s="4" t="inlineStr">
        <is>
          <t>Group</t>
        </is>
      </c>
      <c r="D3363" s="4" t="inlineStr">
        <is>
          <t>Shared Experience</t>
        </is>
      </c>
      <c r="E3363" s="4" t="inlineStr">
        <is>
          <t>Office Outing</t>
        </is>
      </c>
      <c r="F3363" s="4" t="inlineStr">
        <is>
          <t>Other</t>
        </is>
      </c>
      <c r="G3363" s="4" t="inlineStr">
        <is>
          <t>Expense</t>
        </is>
      </c>
      <c r="H3363" s="12" t="n">
        <v>46032</v>
      </c>
      <c r="I3363" s="13" t="n">
        <v>0.8811226851851852</v>
      </c>
      <c r="J3363" s="14" t="n">
        <v>46032.88112268518</v>
      </c>
      <c r="K3363" s="15" t="n">
        <v>16237.25</v>
      </c>
      <c r="L3363" s="4" t="inlineStr">
        <is>
          <t>INR</t>
        </is>
      </c>
      <c r="M3363" s="15" t="n">
        <v>-16237.25</v>
      </c>
      <c r="N3363" s="4" t="inlineStr">
        <is>
          <t>IOS Aarav</t>
        </is>
      </c>
      <c r="O3363" s="4" t="n">
        <v>3</v>
      </c>
      <c r="P3363" s="4" t="inlineStr">
        <is>
          <t>EQUAL</t>
        </is>
      </c>
      <c r="Q3363" s="4" t="inlineStr">
        <is>
          <t>MAESTRO-IOS-GROUP-OFFICE_OUTING-3362 | Other | 16237.25</t>
        </is>
      </c>
      <c r="R3363" s="4" t="inlineStr">
        <is>
          <t>iPhone</t>
        </is>
      </c>
      <c r="S3363" s="4" t="inlineStr">
        <is>
          <t>B68</t>
        </is>
      </c>
      <c r="T3363" s="4" t="inlineStr">
        <is>
          <t>STRESS_3001_3500</t>
        </is>
      </c>
      <c r="U3363" s="4" t="inlineStr">
        <is>
          <t>CREATED</t>
        </is>
      </c>
      <c r="V3363" s="4" t="inlineStr">
        <is>
          <t>idem-20260902-ios-3362</t>
        </is>
      </c>
    </row>
    <row r="3364" ht="30" customHeight="1">
      <c r="A3364" s="4" t="n">
        <v>3363</v>
      </c>
      <c r="B3364" s="4" t="inlineStr">
        <is>
          <t>MTR-IOS-3363</t>
        </is>
      </c>
      <c r="C3364" s="4" t="inlineStr">
        <is>
          <t>Business</t>
        </is>
      </c>
      <c r="D3364" s="4" t="inlineStr">
        <is>
          <t>Business</t>
        </is>
      </c>
      <c r="E3364" s="4" t="inlineStr">
        <is>
          <t>Business Runway</t>
        </is>
      </c>
      <c r="F3364" s="4" t="inlineStr">
        <is>
          <t>Funding</t>
        </is>
      </c>
      <c r="G3364" s="4" t="inlineStr">
        <is>
          <t>Income</t>
        </is>
      </c>
      <c r="H3364" s="12" t="n">
        <v>46119</v>
      </c>
      <c r="I3364" s="13" t="n">
        <v>0.5925925925925926</v>
      </c>
      <c r="J3364" s="14" t="n">
        <v>46119.59259259259</v>
      </c>
      <c r="K3364" s="15" t="n">
        <v>15056.58</v>
      </c>
      <c r="L3364" s="4" t="inlineStr">
        <is>
          <t>INR</t>
        </is>
      </c>
      <c r="M3364" s="15" t="n">
        <v>15056.58</v>
      </c>
      <c r="N3364" s="4" t="inlineStr">
        <is>
          <t>IOS Owner</t>
        </is>
      </c>
      <c r="O3364" s="4" t="n"/>
      <c r="P3364" s="4" t="n"/>
      <c r="Q3364" s="4" t="inlineStr">
        <is>
          <t>MAESTRO-IOS-BUSINESS-BUSINESS_RUNWAY-3363 | Funding | 15056.58</t>
        </is>
      </c>
      <c r="R3364" s="4" t="inlineStr">
        <is>
          <t>iPhone</t>
        </is>
      </c>
      <c r="S3364" s="4" t="inlineStr">
        <is>
          <t>B68</t>
        </is>
      </c>
      <c r="T3364" s="4" t="inlineStr">
        <is>
          <t>STRESS_3001_3500</t>
        </is>
      </c>
      <c r="U3364" s="4" t="inlineStr">
        <is>
          <t>CREATED</t>
        </is>
      </c>
      <c r="V3364" s="4" t="inlineStr">
        <is>
          <t>idem-20260902-ios-3363</t>
        </is>
      </c>
    </row>
    <row r="3365" ht="30" customHeight="1">
      <c r="A3365" s="4" t="n">
        <v>3364</v>
      </c>
      <c r="B3365" s="4" t="inlineStr">
        <is>
          <t>MTR-IOS-3364</t>
        </is>
      </c>
      <c r="C3365" s="4" t="inlineStr">
        <is>
          <t>Personal</t>
        </is>
      </c>
      <c r="D3365" s="4" t="inlineStr">
        <is>
          <t>Personal</t>
        </is>
      </c>
      <c r="E3365" s="4" t="inlineStr">
        <is>
          <t>Lifestyle</t>
        </is>
      </c>
      <c r="F3365" s="4" t="inlineStr">
        <is>
          <t>Hobbies</t>
        </is>
      </c>
      <c r="G3365" s="4" t="inlineStr">
        <is>
          <t>Expense</t>
        </is>
      </c>
      <c r="H3365" s="12" t="n">
        <v>46216</v>
      </c>
      <c r="I3365" s="13" t="n">
        <v>0.1534027777777778</v>
      </c>
      <c r="J3365" s="14" t="n">
        <v>46216.15340277777</v>
      </c>
      <c r="K3365" s="15" t="n">
        <v>15006.24</v>
      </c>
      <c r="L3365" s="4" t="inlineStr">
        <is>
          <t>INR</t>
        </is>
      </c>
      <c r="M3365" s="15" t="n">
        <v>-15006.24</v>
      </c>
      <c r="N3365" s="4" t="inlineStr">
        <is>
          <t>IOS Owner</t>
        </is>
      </c>
      <c r="O3365" s="4" t="n"/>
      <c r="P3365" s="4" t="n"/>
      <c r="Q3365" s="4" t="inlineStr">
        <is>
          <t>MAESTRO-IOS-PERSONAL-LIFESTYLE-3364 | Hobbies | 15006.24</t>
        </is>
      </c>
      <c r="R3365" s="4" t="inlineStr">
        <is>
          <t>iPhone</t>
        </is>
      </c>
      <c r="S3365" s="4" t="inlineStr">
        <is>
          <t>B68</t>
        </is>
      </c>
      <c r="T3365" s="4" t="inlineStr">
        <is>
          <t>STRESS_3001_3500</t>
        </is>
      </c>
      <c r="U3365" s="4" t="inlineStr">
        <is>
          <t>CREATED</t>
        </is>
      </c>
      <c r="V3365" s="4" t="inlineStr">
        <is>
          <t>idem-20260902-ios-3364</t>
        </is>
      </c>
    </row>
    <row r="3366" ht="30" customHeight="1">
      <c r="A3366" s="4" t="n">
        <v>3365</v>
      </c>
      <c r="B3366" s="4" t="inlineStr">
        <is>
          <t>MTR-IOS-3365</t>
        </is>
      </c>
      <c r="C3366" s="4" t="inlineStr">
        <is>
          <t>Group</t>
        </is>
      </c>
      <c r="D3366" s="4" t="inlineStr">
        <is>
          <t>Shared Experience</t>
        </is>
      </c>
      <c r="E3366" s="4" t="inlineStr">
        <is>
          <t>House Party</t>
        </is>
      </c>
      <c r="F3366" s="4" t="inlineStr">
        <is>
          <t>Food</t>
        </is>
      </c>
      <c r="G3366" s="4" t="inlineStr">
        <is>
          <t>Expense</t>
        </is>
      </c>
      <c r="H3366" s="12" t="n">
        <v>46043</v>
      </c>
      <c r="I3366" s="13" t="n">
        <v>0.02831018518518518</v>
      </c>
      <c r="J3366" s="14" t="n">
        <v>46043.02831018518</v>
      </c>
      <c r="K3366" s="15" t="n">
        <v>23931.95</v>
      </c>
      <c r="L3366" s="4" t="inlineStr">
        <is>
          <t>INR</t>
        </is>
      </c>
      <c r="M3366" s="15" t="n">
        <v>-23931.95</v>
      </c>
      <c r="N3366" s="4" t="inlineStr">
        <is>
          <t>IOS Meera</t>
        </is>
      </c>
      <c r="O3366" s="4" t="n">
        <v>3</v>
      </c>
      <c r="P3366" s="4" t="inlineStr">
        <is>
          <t>PERCENTAGE</t>
        </is>
      </c>
      <c r="Q3366" s="4" t="inlineStr">
        <is>
          <t>MAESTRO-IOS-GROUP-HOUSE_PARTY-3365 | Food | 23931.95</t>
        </is>
      </c>
      <c r="R3366" s="4" t="inlineStr">
        <is>
          <t>iPhone</t>
        </is>
      </c>
      <c r="S3366" s="4" t="inlineStr">
        <is>
          <t>B68</t>
        </is>
      </c>
      <c r="T3366" s="4" t="inlineStr">
        <is>
          <t>STRESS_3001_3500</t>
        </is>
      </c>
      <c r="U3366" s="4" t="inlineStr">
        <is>
          <t>CREATED</t>
        </is>
      </c>
      <c r="V3366" s="4" t="inlineStr">
        <is>
          <t>idem-20260902-ios-3365</t>
        </is>
      </c>
    </row>
    <row r="3367" ht="30" customHeight="1">
      <c r="A3367" s="4" t="n">
        <v>3366</v>
      </c>
      <c r="B3367" s="4" t="inlineStr">
        <is>
          <t>MTR-IOS-3366</t>
        </is>
      </c>
      <c r="C3367" s="4" t="inlineStr">
        <is>
          <t>Business</t>
        </is>
      </c>
      <c r="D3367" s="4" t="inlineStr">
        <is>
          <t>Business</t>
        </is>
      </c>
      <c r="E3367" s="4" t="inlineStr">
        <is>
          <t>Business Runway</t>
        </is>
      </c>
      <c r="F3367" s="4" t="inlineStr">
        <is>
          <t>Revenue</t>
        </is>
      </c>
      <c r="G3367" s="4" t="inlineStr">
        <is>
          <t>Income</t>
        </is>
      </c>
      <c r="H3367" s="12" t="n">
        <v>46063</v>
      </c>
      <c r="I3367" s="13" t="n">
        <v>0.8856597222222222</v>
      </c>
      <c r="J3367" s="14" t="n">
        <v>46063.88565972223</v>
      </c>
      <c r="K3367" s="15" t="n">
        <v>56441.94</v>
      </c>
      <c r="L3367" s="4" t="inlineStr">
        <is>
          <t>INR</t>
        </is>
      </c>
      <c r="M3367" s="15" t="n">
        <v>56441.94</v>
      </c>
      <c r="N3367" s="4" t="inlineStr">
        <is>
          <t>IOS Owner</t>
        </is>
      </c>
      <c r="O3367" s="4" t="n"/>
      <c r="P3367" s="4" t="n"/>
      <c r="Q3367" s="4" t="inlineStr">
        <is>
          <t>MAESTRO-IOS-BUSINESS-BUSINESS_RUNWAY-3366 | Revenue | 56441.94</t>
        </is>
      </c>
      <c r="R3367" s="4" t="inlineStr">
        <is>
          <t>iPhone</t>
        </is>
      </c>
      <c r="S3367" s="4" t="inlineStr">
        <is>
          <t>B68</t>
        </is>
      </c>
      <c r="T3367" s="4" t="inlineStr">
        <is>
          <t>STRESS_3001_3500</t>
        </is>
      </c>
      <c r="U3367" s="4" t="inlineStr">
        <is>
          <t>CREATED</t>
        </is>
      </c>
      <c r="V3367" s="4" t="inlineStr">
        <is>
          <t>idem-20260902-ios-3366</t>
        </is>
      </c>
    </row>
    <row r="3368" ht="30" customHeight="1">
      <c r="A3368" s="4" t="n">
        <v>3367</v>
      </c>
      <c r="B3368" s="4" t="inlineStr">
        <is>
          <t>MTR-IOS-3367</t>
        </is>
      </c>
      <c r="C3368" s="4" t="inlineStr">
        <is>
          <t>Personal</t>
        </is>
      </c>
      <c r="D3368" s="4" t="inlineStr">
        <is>
          <t>Personal</t>
        </is>
      </c>
      <c r="E3368" s="4" t="inlineStr">
        <is>
          <t>Relationships</t>
        </is>
      </c>
      <c r="F3368" s="4" t="inlineStr">
        <is>
          <t>Gifts</t>
        </is>
      </c>
      <c r="G3368" s="4" t="inlineStr">
        <is>
          <t>Expense</t>
        </is>
      </c>
      <c r="H3368" s="12" t="n">
        <v>45996</v>
      </c>
      <c r="I3368" s="13" t="n">
        <v>0.6167361111111112</v>
      </c>
      <c r="J3368" s="14" t="n">
        <v>45996.61673611111</v>
      </c>
      <c r="K3368" s="15" t="n">
        <v>1</v>
      </c>
      <c r="L3368" s="4" t="inlineStr">
        <is>
          <t>INR</t>
        </is>
      </c>
      <c r="M3368" s="15" t="n">
        <v>-1</v>
      </c>
      <c r="N3368" s="4" t="inlineStr">
        <is>
          <t>IOS Owner</t>
        </is>
      </c>
      <c r="O3368" s="4" t="n"/>
      <c r="P3368" s="4" t="n"/>
      <c r="Q3368" s="4" t="inlineStr">
        <is>
          <t>MAESTRO-IOS-PERSONAL-RELATIONSHIPS-3367 | Gifts | 1.00</t>
        </is>
      </c>
      <c r="R3368" s="4" t="inlineStr">
        <is>
          <t>iPhone</t>
        </is>
      </c>
      <c r="S3368" s="4" t="inlineStr">
        <is>
          <t>B68</t>
        </is>
      </c>
      <c r="T3368" s="4" t="inlineStr">
        <is>
          <t>STRESS_3001_3500</t>
        </is>
      </c>
      <c r="U3368" s="4" t="inlineStr">
        <is>
          <t>CREATED</t>
        </is>
      </c>
      <c r="V3368" s="4" t="inlineStr">
        <is>
          <t>idem-20260902-ios-3367</t>
        </is>
      </c>
    </row>
    <row r="3369" ht="30" customHeight="1">
      <c r="A3369" s="4" t="n">
        <v>3368</v>
      </c>
      <c r="B3369" s="4" t="inlineStr">
        <is>
          <t>MTR-IOS-3368</t>
        </is>
      </c>
      <c r="C3369" s="4" t="inlineStr">
        <is>
          <t>Group</t>
        </is>
      </c>
      <c r="D3369" s="4" t="inlineStr">
        <is>
          <t>Shared Experience</t>
        </is>
      </c>
      <c r="E3369" s="4" t="inlineStr">
        <is>
          <t>House Party</t>
        </is>
      </c>
      <c r="F3369" s="4" t="inlineStr">
        <is>
          <t>Drinks</t>
        </is>
      </c>
      <c r="G3369" s="4" t="inlineStr">
        <is>
          <t>Expense</t>
        </is>
      </c>
      <c r="H3369" s="12" t="n">
        <v>46013</v>
      </c>
      <c r="I3369" s="13" t="n">
        <v>0.4528587962962963</v>
      </c>
      <c r="J3369" s="14" t="n">
        <v>46013.4528587963</v>
      </c>
      <c r="K3369" s="15" t="n">
        <v>18062.79</v>
      </c>
      <c r="L3369" s="4" t="inlineStr">
        <is>
          <t>INR</t>
        </is>
      </c>
      <c r="M3369" s="15" t="n">
        <v>-18062.79</v>
      </c>
      <c r="N3369" s="4" t="inlineStr">
        <is>
          <t>IOS Owner</t>
        </is>
      </c>
      <c r="O3369" s="4" t="n">
        <v>3</v>
      </c>
      <c r="P3369" s="4" t="inlineStr">
        <is>
          <t>EXACT</t>
        </is>
      </c>
      <c r="Q3369" s="4" t="inlineStr">
        <is>
          <t>MAESTRO-IOS-GROUP-HOUSE_PARTY-3368 | Drinks | 18062.79</t>
        </is>
      </c>
      <c r="R3369" s="4" t="inlineStr">
        <is>
          <t>iPhone</t>
        </is>
      </c>
      <c r="S3369" s="4" t="inlineStr">
        <is>
          <t>B68</t>
        </is>
      </c>
      <c r="T3369" s="4" t="inlineStr">
        <is>
          <t>STRESS_3001_3500</t>
        </is>
      </c>
      <c r="U3369" s="4" t="inlineStr">
        <is>
          <t>CREATED</t>
        </is>
      </c>
      <c r="V3369" s="4" t="inlineStr">
        <is>
          <t>idem-20260902-ios-3368</t>
        </is>
      </c>
    </row>
    <row r="3370" ht="30" customHeight="1">
      <c r="A3370" s="4" t="n">
        <v>3369</v>
      </c>
      <c r="B3370" s="4" t="inlineStr">
        <is>
          <t>MTR-IOS-3369</t>
        </is>
      </c>
      <c r="C3370" s="4" t="inlineStr">
        <is>
          <t>Business</t>
        </is>
      </c>
      <c r="D3370" s="4" t="inlineStr">
        <is>
          <t>Business</t>
        </is>
      </c>
      <c r="E3370" s="4" t="inlineStr">
        <is>
          <t>Business Runway</t>
        </is>
      </c>
      <c r="F3370" s="4" t="inlineStr">
        <is>
          <t>Burn</t>
        </is>
      </c>
      <c r="G3370" s="4" t="inlineStr">
        <is>
          <t>Expense</t>
        </is>
      </c>
      <c r="H3370" s="12" t="n">
        <v>46008</v>
      </c>
      <c r="I3370" s="13" t="n">
        <v>0.5236574074074074</v>
      </c>
      <c r="J3370" s="14" t="n">
        <v>46008.52365740741</v>
      </c>
      <c r="K3370" s="15" t="n">
        <v>6809.12</v>
      </c>
      <c r="L3370" s="4" t="inlineStr">
        <is>
          <t>INR</t>
        </is>
      </c>
      <c r="M3370" s="15" t="n">
        <v>-6809.12</v>
      </c>
      <c r="N3370" s="4" t="inlineStr">
        <is>
          <t>IOS Owner</t>
        </is>
      </c>
      <c r="O3370" s="4" t="n"/>
      <c r="P3370" s="4" t="n"/>
      <c r="Q3370" s="4" t="inlineStr">
        <is>
          <t>MAESTRO-IOS-BUSINESS-BUSINESS_RUNWAY-3369 | Burn | 6809.12</t>
        </is>
      </c>
      <c r="R3370" s="4" t="inlineStr">
        <is>
          <t>iPhone</t>
        </is>
      </c>
      <c r="S3370" s="4" t="inlineStr">
        <is>
          <t>B68</t>
        </is>
      </c>
      <c r="T3370" s="4" t="inlineStr">
        <is>
          <t>STRESS_3001_3500</t>
        </is>
      </c>
      <c r="U3370" s="4" t="inlineStr">
        <is>
          <t>CREATED</t>
        </is>
      </c>
      <c r="V3370" s="4" t="inlineStr">
        <is>
          <t>idem-20260902-ios-3369</t>
        </is>
      </c>
    </row>
    <row r="3371" ht="30" customHeight="1">
      <c r="A3371" s="4" t="n">
        <v>3370</v>
      </c>
      <c r="B3371" s="4" t="inlineStr">
        <is>
          <t>MTR-IOS-3370</t>
        </is>
      </c>
      <c r="C3371" s="4" t="inlineStr">
        <is>
          <t>Personal</t>
        </is>
      </c>
      <c r="D3371" s="4" t="inlineStr">
        <is>
          <t>Personal</t>
        </is>
      </c>
      <c r="E3371" s="4" t="inlineStr">
        <is>
          <t>Relationships</t>
        </is>
      </c>
      <c r="F3371" s="4" t="inlineStr">
        <is>
          <t>Dates</t>
        </is>
      </c>
      <c r="G3371" s="4" t="inlineStr">
        <is>
          <t>Expense</t>
        </is>
      </c>
      <c r="H3371" s="12" t="n">
        <v>46060</v>
      </c>
      <c r="I3371" s="13" t="n">
        <v>0.4106018518518518</v>
      </c>
      <c r="J3371" s="14" t="n">
        <v>46060.41060185185</v>
      </c>
      <c r="K3371" s="15" t="n">
        <v>15849.24</v>
      </c>
      <c r="L3371" s="4" t="inlineStr">
        <is>
          <t>INR</t>
        </is>
      </c>
      <c r="M3371" s="15" t="n">
        <v>-15849.24</v>
      </c>
      <c r="N3371" s="4" t="inlineStr">
        <is>
          <t>IOS Owner</t>
        </is>
      </c>
      <c r="O3371" s="4" t="n"/>
      <c r="P3371" s="4" t="n"/>
      <c r="Q3371" s="4" t="inlineStr">
        <is>
          <t>MAESTRO-IOS-PERSONAL-RELATIONSHIPS-3370 | Dates | 15849.24</t>
        </is>
      </c>
      <c r="R3371" s="4" t="inlineStr">
        <is>
          <t>iPhone</t>
        </is>
      </c>
      <c r="S3371" s="4" t="inlineStr">
        <is>
          <t>B68</t>
        </is>
      </c>
      <c r="T3371" s="4" t="inlineStr">
        <is>
          <t>STRESS_3001_3500</t>
        </is>
      </c>
      <c r="U3371" s="4" t="inlineStr">
        <is>
          <t>CREATED</t>
        </is>
      </c>
      <c r="V3371" s="4" t="inlineStr">
        <is>
          <t>idem-20260902-ios-3370</t>
        </is>
      </c>
    </row>
    <row r="3372" ht="30" customHeight="1">
      <c r="A3372" s="4" t="n">
        <v>3371</v>
      </c>
      <c r="B3372" s="4" t="inlineStr">
        <is>
          <t>MTR-IOS-3371</t>
        </is>
      </c>
      <c r="C3372" s="4" t="inlineStr">
        <is>
          <t>Group</t>
        </is>
      </c>
      <c r="D3372" s="4" t="inlineStr">
        <is>
          <t>Shared Experience</t>
        </is>
      </c>
      <c r="E3372" s="4" t="inlineStr">
        <is>
          <t>House Party</t>
        </is>
      </c>
      <c r="F3372" s="4" t="inlineStr">
        <is>
          <t>Decor</t>
        </is>
      </c>
      <c r="G3372" s="4" t="inlineStr">
        <is>
          <t>Expense</t>
        </is>
      </c>
      <c r="H3372" s="12" t="n">
        <v>46194</v>
      </c>
      <c r="I3372" s="13" t="n">
        <v>0.9146412037037037</v>
      </c>
      <c r="J3372" s="14" t="n">
        <v>46194.9146412037</v>
      </c>
      <c r="K3372" s="15" t="n">
        <v>5969.74</v>
      </c>
      <c r="L3372" s="4" t="inlineStr">
        <is>
          <t>INR</t>
        </is>
      </c>
      <c r="M3372" s="15" t="n">
        <v>-5969.74</v>
      </c>
      <c r="N3372" s="4" t="inlineStr">
        <is>
          <t>IOS Aarav</t>
        </is>
      </c>
      <c r="O3372" s="4" t="n">
        <v>3</v>
      </c>
      <c r="P3372" s="4" t="inlineStr">
        <is>
          <t>SHARES</t>
        </is>
      </c>
      <c r="Q3372" s="4" t="inlineStr">
        <is>
          <t>MAESTRO-IOS-GROUP-HOUSE_PARTY-3371 | Decor | 5969.74</t>
        </is>
      </c>
      <c r="R3372" s="4" t="inlineStr">
        <is>
          <t>iPhone</t>
        </is>
      </c>
      <c r="S3372" s="4" t="inlineStr">
        <is>
          <t>B68</t>
        </is>
      </c>
      <c r="T3372" s="4" t="inlineStr">
        <is>
          <t>STRESS_3001_3500</t>
        </is>
      </c>
      <c r="U3372" s="4" t="inlineStr">
        <is>
          <t>CREATED</t>
        </is>
      </c>
      <c r="V3372" s="4" t="inlineStr">
        <is>
          <t>idem-20260902-ios-3371</t>
        </is>
      </c>
    </row>
    <row r="3373" ht="30" customHeight="1">
      <c r="A3373" s="4" t="n">
        <v>3372</v>
      </c>
      <c r="B3373" s="4" t="inlineStr">
        <is>
          <t>MTR-IOS-3372</t>
        </is>
      </c>
      <c r="C3373" s="4" t="inlineStr">
        <is>
          <t>Business</t>
        </is>
      </c>
      <c r="D3373" s="4" t="inlineStr">
        <is>
          <t>Business</t>
        </is>
      </c>
      <c r="E3373" s="4" t="inlineStr">
        <is>
          <t>Business Runway</t>
        </is>
      </c>
      <c r="F3373" s="4" t="inlineStr">
        <is>
          <t>Reserve</t>
        </is>
      </c>
      <c r="G3373" s="4" t="inlineStr">
        <is>
          <t>Transfer</t>
        </is>
      </c>
      <c r="H3373" s="12" t="n">
        <v>46125</v>
      </c>
      <c r="I3373" s="13" t="n">
        <v>0.9567824074074074</v>
      </c>
      <c r="J3373" s="14" t="n">
        <v>46125.9567824074</v>
      </c>
      <c r="K3373" s="15" t="n">
        <v>67192.06</v>
      </c>
      <c r="L3373" s="4" t="inlineStr">
        <is>
          <t>INR</t>
        </is>
      </c>
      <c r="M3373" s="15" t="n">
        <v>0</v>
      </c>
      <c r="N3373" s="4" t="inlineStr">
        <is>
          <t>IOS Owner</t>
        </is>
      </c>
      <c r="O3373" s="4" t="n"/>
      <c r="P3373" s="4" t="n"/>
      <c r="Q3373" s="4" t="inlineStr">
        <is>
          <t>MAESTRO-IOS-BUSINESS-BUSINESS_RUNWAY-3372 | Reserve | 67192.06</t>
        </is>
      </c>
      <c r="R3373" s="4" t="inlineStr">
        <is>
          <t>iPhone</t>
        </is>
      </c>
      <c r="S3373" s="4" t="inlineStr">
        <is>
          <t>B68</t>
        </is>
      </c>
      <c r="T3373" s="4" t="inlineStr">
        <is>
          <t>STRESS_3001_3500</t>
        </is>
      </c>
      <c r="U3373" s="4" t="inlineStr">
        <is>
          <t>CREATED</t>
        </is>
      </c>
      <c r="V3373" s="4" t="inlineStr">
        <is>
          <t>idem-20260902-ios-3372</t>
        </is>
      </c>
    </row>
    <row r="3374" ht="30" customHeight="1">
      <c r="A3374" s="4" t="n">
        <v>3373</v>
      </c>
      <c r="B3374" s="4" t="inlineStr">
        <is>
          <t>MTR-IOS-3373</t>
        </is>
      </c>
      <c r="C3374" s="4" t="inlineStr">
        <is>
          <t>Personal</t>
        </is>
      </c>
      <c r="D3374" s="4" t="inlineStr">
        <is>
          <t>Personal</t>
        </is>
      </c>
      <c r="E3374" s="4" t="inlineStr">
        <is>
          <t>Relationships</t>
        </is>
      </c>
      <c r="F3374" s="4" t="inlineStr">
        <is>
          <t>Family</t>
        </is>
      </c>
      <c r="G3374" s="4" t="inlineStr">
        <is>
          <t>Expense</t>
        </is>
      </c>
      <c r="H3374" s="12" t="n">
        <v>46038</v>
      </c>
      <c r="I3374" s="13" t="n">
        <v>0.04954861111111111</v>
      </c>
      <c r="J3374" s="14" t="n">
        <v>46038.04954861111</v>
      </c>
      <c r="K3374" s="15" t="n">
        <v>13620.91</v>
      </c>
      <c r="L3374" s="4" t="inlineStr">
        <is>
          <t>INR</t>
        </is>
      </c>
      <c r="M3374" s="15" t="n">
        <v>-13620.91</v>
      </c>
      <c r="N3374" s="4" t="inlineStr">
        <is>
          <t>IOS Owner</t>
        </is>
      </c>
      <c r="O3374" s="4" t="n"/>
      <c r="P3374" s="4" t="n"/>
      <c r="Q3374" s="4" t="inlineStr">
        <is>
          <t>MAESTRO-IOS-PERSONAL-RELATIONSHIPS-3373 | Family | 13620.91</t>
        </is>
      </c>
      <c r="R3374" s="4" t="inlineStr">
        <is>
          <t>iPhone</t>
        </is>
      </c>
      <c r="S3374" s="4" t="inlineStr">
        <is>
          <t>B68</t>
        </is>
      </c>
      <c r="T3374" s="4" t="inlineStr">
        <is>
          <t>STRESS_3001_3500</t>
        </is>
      </c>
      <c r="U3374" s="4" t="inlineStr">
        <is>
          <t>CREATED</t>
        </is>
      </c>
      <c r="V3374" s="4" t="inlineStr">
        <is>
          <t>idem-20260902-ios-3373</t>
        </is>
      </c>
    </row>
    <row r="3375" ht="30" customHeight="1">
      <c r="A3375" s="4" t="n">
        <v>3374</v>
      </c>
      <c r="B3375" s="4" t="inlineStr">
        <is>
          <t>MTR-IOS-3374</t>
        </is>
      </c>
      <c r="C3375" s="4" t="inlineStr">
        <is>
          <t>Group</t>
        </is>
      </c>
      <c r="D3375" s="4" t="inlineStr">
        <is>
          <t>Shared Experience</t>
        </is>
      </c>
      <c r="E3375" s="4" t="inlineStr">
        <is>
          <t>House Party</t>
        </is>
      </c>
      <c r="F3375" s="4" t="inlineStr">
        <is>
          <t>Supplies</t>
        </is>
      </c>
      <c r="G3375" s="4" t="inlineStr">
        <is>
          <t>Expense</t>
        </is>
      </c>
      <c r="H3375" s="12" t="n">
        <v>45944</v>
      </c>
      <c r="I3375" s="13" t="n">
        <v>0.06016203703703703</v>
      </c>
      <c r="J3375" s="14" t="n">
        <v>45944.06016203704</v>
      </c>
      <c r="K3375" s="15" t="n">
        <v>15517.37</v>
      </c>
      <c r="L3375" s="4" t="inlineStr">
        <is>
          <t>INR</t>
        </is>
      </c>
      <c r="M3375" s="15" t="n">
        <v>-15517.37</v>
      </c>
      <c r="N3375" s="4" t="inlineStr">
        <is>
          <t>IOS Meera</t>
        </is>
      </c>
      <c r="O3375" s="4" t="n">
        <v>3</v>
      </c>
      <c r="P3375" s="4" t="inlineStr">
        <is>
          <t>EQUAL</t>
        </is>
      </c>
      <c r="Q3375" s="4" t="inlineStr">
        <is>
          <t>MAESTRO-IOS-GROUP-HOUSE_PARTY-3374 | Supplies | 15517.37</t>
        </is>
      </c>
      <c r="R3375" s="4" t="inlineStr">
        <is>
          <t>iPhone</t>
        </is>
      </c>
      <c r="S3375" s="4" t="inlineStr">
        <is>
          <t>B68</t>
        </is>
      </c>
      <c r="T3375" s="4" t="inlineStr">
        <is>
          <t>STRESS_3001_3500</t>
        </is>
      </c>
      <c r="U3375" s="4" t="inlineStr">
        <is>
          <t>CREATED</t>
        </is>
      </c>
      <c r="V3375" s="4" t="inlineStr">
        <is>
          <t>idem-20260902-ios-3374</t>
        </is>
      </c>
    </row>
    <row r="3376" ht="30" customHeight="1">
      <c r="A3376" s="4" t="n">
        <v>3375</v>
      </c>
      <c r="B3376" s="4" t="inlineStr">
        <is>
          <t>MTR-IOS-3375</t>
        </is>
      </c>
      <c r="C3376" s="4" t="inlineStr">
        <is>
          <t>Business</t>
        </is>
      </c>
      <c r="D3376" s="4" t="inlineStr">
        <is>
          <t>Business</t>
        </is>
      </c>
      <c r="E3376" s="4" t="inlineStr">
        <is>
          <t>Business Runway</t>
        </is>
      </c>
      <c r="F3376" s="4" t="inlineStr">
        <is>
          <t>Loan</t>
        </is>
      </c>
      <c r="G3376" s="4" t="inlineStr">
        <is>
          <t>Income</t>
        </is>
      </c>
      <c r="H3376" s="12" t="n">
        <v>46104</v>
      </c>
      <c r="I3376" s="13" t="n">
        <v>0.739849537037037</v>
      </c>
      <c r="J3376" s="14" t="n">
        <v>46104.73984953704</v>
      </c>
      <c r="K3376" s="15" t="n">
        <v>19724.61</v>
      </c>
      <c r="L3376" s="4" t="inlineStr">
        <is>
          <t>INR</t>
        </is>
      </c>
      <c r="M3376" s="15" t="n">
        <v>19724.61</v>
      </c>
      <c r="N3376" s="4" t="inlineStr">
        <is>
          <t>IOS Owner</t>
        </is>
      </c>
      <c r="O3376" s="4" t="n"/>
      <c r="P3376" s="4" t="n"/>
      <c r="Q3376" s="4" t="inlineStr">
        <is>
          <t>MAESTRO-IOS-BUSINESS-BUSINESS_RUNWAY-3375 | Loan | 19724.61</t>
        </is>
      </c>
      <c r="R3376" s="4" t="inlineStr">
        <is>
          <t>iPhone</t>
        </is>
      </c>
      <c r="S3376" s="4" t="inlineStr">
        <is>
          <t>B68</t>
        </is>
      </c>
      <c r="T3376" s="4" t="inlineStr">
        <is>
          <t>STRESS_3001_3500</t>
        </is>
      </c>
      <c r="U3376" s="4" t="inlineStr">
        <is>
          <t>CREATED</t>
        </is>
      </c>
      <c r="V3376" s="4" t="inlineStr">
        <is>
          <t>idem-20260902-ios-3375</t>
        </is>
      </c>
    </row>
    <row r="3377" ht="30" customHeight="1">
      <c r="A3377" s="4" t="n">
        <v>3376</v>
      </c>
      <c r="B3377" s="4" t="inlineStr">
        <is>
          <t>MTR-IOS-3376</t>
        </is>
      </c>
      <c r="C3377" s="4" t="inlineStr">
        <is>
          <t>Personal</t>
        </is>
      </c>
      <c r="D3377" s="4" t="inlineStr">
        <is>
          <t>Personal</t>
        </is>
      </c>
      <c r="E3377" s="4" t="inlineStr">
        <is>
          <t>Relationships</t>
        </is>
      </c>
      <c r="F3377" s="4" t="inlineStr">
        <is>
          <t>Friends</t>
        </is>
      </c>
      <c r="G3377" s="4" t="inlineStr">
        <is>
          <t>Expense</t>
        </is>
      </c>
      <c r="H3377" s="12" t="n">
        <v>45962</v>
      </c>
      <c r="I3377" s="13" t="n">
        <v>0.7368749999999999</v>
      </c>
      <c r="J3377" s="14" t="n">
        <v>45962.736875</v>
      </c>
      <c r="K3377" s="15" t="n">
        <v>8736.91</v>
      </c>
      <c r="L3377" s="4" t="inlineStr">
        <is>
          <t>INR</t>
        </is>
      </c>
      <c r="M3377" s="15" t="n">
        <v>-8736.91</v>
      </c>
      <c r="N3377" s="4" t="inlineStr">
        <is>
          <t>IOS Owner</t>
        </is>
      </c>
      <c r="O3377" s="4" t="n"/>
      <c r="P3377" s="4" t="n"/>
      <c r="Q3377" s="4" t="inlineStr">
        <is>
          <t>MAESTRO-IOS-PERSONAL-RELATIONSHIPS-3376 | Friends | 8736.91</t>
        </is>
      </c>
      <c r="R3377" s="4" t="inlineStr">
        <is>
          <t>iPhone</t>
        </is>
      </c>
      <c r="S3377" s="4" t="inlineStr">
        <is>
          <t>B68</t>
        </is>
      </c>
      <c r="T3377" s="4" t="inlineStr">
        <is>
          <t>STRESS_3001_3500</t>
        </is>
      </c>
      <c r="U3377" s="4" t="inlineStr">
        <is>
          <t>CREATED</t>
        </is>
      </c>
      <c r="V3377" s="4" t="inlineStr">
        <is>
          <t>idem-20260902-ios-3376</t>
        </is>
      </c>
    </row>
    <row r="3378" ht="30" customHeight="1">
      <c r="A3378" s="4" t="n">
        <v>3377</v>
      </c>
      <c r="B3378" s="4" t="inlineStr">
        <is>
          <t>MTR-IOS-3377</t>
        </is>
      </c>
      <c r="C3378" s="4" t="inlineStr">
        <is>
          <t>Group</t>
        </is>
      </c>
      <c r="D3378" s="4" t="inlineStr">
        <is>
          <t>Shared Experience</t>
        </is>
      </c>
      <c r="E3378" s="4" t="inlineStr">
        <is>
          <t>House Party</t>
        </is>
      </c>
      <c r="F3378" s="4" t="inlineStr">
        <is>
          <t>Other</t>
        </is>
      </c>
      <c r="G3378" s="4" t="inlineStr">
        <is>
          <t>Expense</t>
        </is>
      </c>
      <c r="H3378" s="12" t="n">
        <v>46110</v>
      </c>
      <c r="I3378" s="13" t="n">
        <v>0.3978819444444445</v>
      </c>
      <c r="J3378" s="14" t="n">
        <v>46110.39788194445</v>
      </c>
      <c r="K3378" s="15" t="n">
        <v>835.61</v>
      </c>
      <c r="L3378" s="4" t="inlineStr">
        <is>
          <t>INR</t>
        </is>
      </c>
      <c r="M3378" s="15" t="n">
        <v>-835.61</v>
      </c>
      <c r="N3378" s="4" t="inlineStr">
        <is>
          <t>IOS Owner</t>
        </is>
      </c>
      <c r="O3378" s="4" t="n">
        <v>3</v>
      </c>
      <c r="P3378" s="4" t="inlineStr">
        <is>
          <t>PERCENTAGE</t>
        </is>
      </c>
      <c r="Q3378" s="4" t="inlineStr">
        <is>
          <t>MAESTRO-IOS-GROUP-HOUSE_PARTY-3377 | Other | 835.61</t>
        </is>
      </c>
      <c r="R3378" s="4" t="inlineStr">
        <is>
          <t>iPhone</t>
        </is>
      </c>
      <c r="S3378" s="4" t="inlineStr">
        <is>
          <t>B68</t>
        </is>
      </c>
      <c r="T3378" s="4" t="inlineStr">
        <is>
          <t>STRESS_3001_3500</t>
        </is>
      </c>
      <c r="U3378" s="4" t="inlineStr">
        <is>
          <t>CREATED</t>
        </is>
      </c>
      <c r="V3378" s="4" t="inlineStr">
        <is>
          <t>idem-20260902-ios-3377</t>
        </is>
      </c>
    </row>
    <row r="3379" ht="30" customHeight="1">
      <c r="A3379" s="4" t="n">
        <v>3378</v>
      </c>
      <c r="B3379" s="4" t="inlineStr">
        <is>
          <t>MTR-IOS-3378</t>
        </is>
      </c>
      <c r="C3379" s="4" t="inlineStr">
        <is>
          <t>Business</t>
        </is>
      </c>
      <c r="D3379" s="4" t="inlineStr">
        <is>
          <t>Business</t>
        </is>
      </c>
      <c r="E3379" s="4" t="inlineStr">
        <is>
          <t>Business Runway</t>
        </is>
      </c>
      <c r="F3379" s="4" t="inlineStr">
        <is>
          <t>Investment</t>
        </is>
      </c>
      <c r="G3379" s="4" t="inlineStr">
        <is>
          <t>Income</t>
        </is>
      </c>
      <c r="H3379" s="12" t="n">
        <v>46202</v>
      </c>
      <c r="I3379" s="13" t="n">
        <v>0.8870138888888889</v>
      </c>
      <c r="J3379" s="14" t="n">
        <v>46202.88701388889</v>
      </c>
      <c r="K3379" s="15" t="n">
        <v>69707.86</v>
      </c>
      <c r="L3379" s="4" t="inlineStr">
        <is>
          <t>INR</t>
        </is>
      </c>
      <c r="M3379" s="15" t="n">
        <v>69707.86</v>
      </c>
      <c r="N3379" s="4" t="inlineStr">
        <is>
          <t>IOS Owner</t>
        </is>
      </c>
      <c r="O3379" s="4" t="n"/>
      <c r="P3379" s="4" t="n"/>
      <c r="Q3379" s="4" t="inlineStr">
        <is>
          <t>MAESTRO-IOS-BUSINESS-BUSINESS_RUNWAY-3378 | Investment | 69707.86</t>
        </is>
      </c>
      <c r="R3379" s="4" t="inlineStr">
        <is>
          <t>iPhone</t>
        </is>
      </c>
      <c r="S3379" s="4" t="inlineStr">
        <is>
          <t>B68</t>
        </is>
      </c>
      <c r="T3379" s="4" t="inlineStr">
        <is>
          <t>STRESS_3001_3500</t>
        </is>
      </c>
      <c r="U3379" s="4" t="inlineStr">
        <is>
          <t>CREATED</t>
        </is>
      </c>
      <c r="V3379" s="4" t="inlineStr">
        <is>
          <t>idem-20260902-ios-3378</t>
        </is>
      </c>
    </row>
    <row r="3380" ht="30" customHeight="1">
      <c r="A3380" s="4" t="n">
        <v>3379</v>
      </c>
      <c r="B3380" s="4" t="inlineStr">
        <is>
          <t>MTR-IOS-3379</t>
        </is>
      </c>
      <c r="C3380" s="4" t="inlineStr">
        <is>
          <t>Personal</t>
        </is>
      </c>
      <c r="D3380" s="4" t="inlineStr">
        <is>
          <t>Personal</t>
        </is>
      </c>
      <c r="E3380" s="4" t="inlineStr">
        <is>
          <t>Relationships</t>
        </is>
      </c>
      <c r="F3380" s="4" t="inlineStr">
        <is>
          <t>Celebrations</t>
        </is>
      </c>
      <c r="G3380" s="4" t="inlineStr">
        <is>
          <t>Expense</t>
        </is>
      </c>
      <c r="H3380" s="12" t="n">
        <v>45916</v>
      </c>
      <c r="I3380" s="13" t="n">
        <v>0.1346527777777778</v>
      </c>
      <c r="J3380" s="14" t="n">
        <v>45916.13465277778</v>
      </c>
      <c r="K3380" s="15" t="n">
        <v>13344.4</v>
      </c>
      <c r="L3380" s="4" t="inlineStr">
        <is>
          <t>INR</t>
        </is>
      </c>
      <c r="M3380" s="15" t="n">
        <v>-13344.4</v>
      </c>
      <c r="N3380" s="4" t="inlineStr">
        <is>
          <t>IOS Owner</t>
        </is>
      </c>
      <c r="O3380" s="4" t="n"/>
      <c r="P3380" s="4" t="n"/>
      <c r="Q3380" s="4" t="inlineStr">
        <is>
          <t>MAESTRO-IOS-PERSONAL-RELATIONSHIPS-3379 | Celebrations | 13344.40</t>
        </is>
      </c>
      <c r="R3380" s="4" t="inlineStr">
        <is>
          <t>iPhone</t>
        </is>
      </c>
      <c r="S3380" s="4" t="inlineStr">
        <is>
          <t>B68</t>
        </is>
      </c>
      <c r="T3380" s="4" t="inlineStr">
        <is>
          <t>STRESS_3001_3500</t>
        </is>
      </c>
      <c r="U3380" s="4" t="inlineStr">
        <is>
          <t>CREATED</t>
        </is>
      </c>
      <c r="V3380" s="4" t="inlineStr">
        <is>
          <t>idem-20260902-ios-3379</t>
        </is>
      </c>
    </row>
    <row r="3381" ht="30" customHeight="1">
      <c r="A3381" s="4" t="n">
        <v>3380</v>
      </c>
      <c r="B3381" s="4" t="inlineStr">
        <is>
          <t>MTR-IOS-3380</t>
        </is>
      </c>
      <c r="C3381" s="4" t="inlineStr">
        <is>
          <t>Group</t>
        </is>
      </c>
      <c r="D3381" s="4" t="inlineStr">
        <is>
          <t>Shared Purchase</t>
        </is>
      </c>
      <c r="E3381" s="4" t="inlineStr">
        <is>
          <t>Gift Pool</t>
        </is>
      </c>
      <c r="F3381" s="4" t="inlineStr">
        <is>
          <t>Contribution</t>
        </is>
      </c>
      <c r="G3381" s="4" t="inlineStr">
        <is>
          <t>Contribution</t>
        </is>
      </c>
      <c r="H3381" s="12" t="n">
        <v>46160</v>
      </c>
      <c r="I3381" s="13" t="n">
        <v>0.9071990740740741</v>
      </c>
      <c r="J3381" s="14" t="n">
        <v>46160.90719907408</v>
      </c>
      <c r="K3381" s="15" t="n">
        <v>22761.31</v>
      </c>
      <c r="L3381" s="4" t="inlineStr">
        <is>
          <t>INR</t>
        </is>
      </c>
      <c r="M3381" s="15" t="n">
        <v>22761.31</v>
      </c>
      <c r="N3381" s="4" t="inlineStr">
        <is>
          <t>IOS Aarav</t>
        </is>
      </c>
      <c r="O3381" s="4" t="n">
        <v>3</v>
      </c>
      <c r="P3381" s="4" t="inlineStr">
        <is>
          <t>EXACT</t>
        </is>
      </c>
      <c r="Q3381" s="4" t="inlineStr">
        <is>
          <t>MAESTRO-IOS-GROUP-GIFT_POOL-3380 | Contribution | 22761.31</t>
        </is>
      </c>
      <c r="R3381" s="4" t="inlineStr">
        <is>
          <t>iPhone</t>
        </is>
      </c>
      <c r="S3381" s="4" t="inlineStr">
        <is>
          <t>B68</t>
        </is>
      </c>
      <c r="T3381" s="4" t="inlineStr">
        <is>
          <t>STRESS_3001_3500</t>
        </is>
      </c>
      <c r="U3381" s="4" t="inlineStr">
        <is>
          <t>CREATED</t>
        </is>
      </c>
      <c r="V3381" s="4" t="inlineStr">
        <is>
          <t>idem-20260902-ios-3380</t>
        </is>
      </c>
    </row>
    <row r="3382" ht="30" customHeight="1">
      <c r="A3382" s="4" t="n">
        <v>3381</v>
      </c>
      <c r="B3382" s="4" t="inlineStr">
        <is>
          <t>MTR-IOS-3381</t>
        </is>
      </c>
      <c r="C3382" s="4" t="inlineStr">
        <is>
          <t>Business</t>
        </is>
      </c>
      <c r="D3382" s="4" t="inlineStr">
        <is>
          <t>Business</t>
        </is>
      </c>
      <c r="E3382" s="4" t="inlineStr">
        <is>
          <t>Business Operations</t>
        </is>
      </c>
      <c r="F3382" s="4" t="inlineStr">
        <is>
          <t>Software</t>
        </is>
      </c>
      <c r="G3382" s="4" t="inlineStr">
        <is>
          <t>Expense</t>
        </is>
      </c>
      <c r="H3382" s="12" t="n">
        <v>45948</v>
      </c>
      <c r="I3382" s="13" t="n">
        <v>0.8016666666666666</v>
      </c>
      <c r="J3382" s="14" t="n">
        <v>45948.80166666667</v>
      </c>
      <c r="K3382" s="15" t="n">
        <v>58793.03</v>
      </c>
      <c r="L3382" s="4" t="inlineStr">
        <is>
          <t>INR</t>
        </is>
      </c>
      <c r="M3382" s="15" t="n">
        <v>-58793.03</v>
      </c>
      <c r="N3382" s="4" t="inlineStr">
        <is>
          <t>IOS Owner</t>
        </is>
      </c>
      <c r="O3382" s="4" t="n"/>
      <c r="P3382" s="4" t="n"/>
      <c r="Q3382" s="4" t="inlineStr">
        <is>
          <t>MAESTRO-IOS-BUSINESS-BUSINESS_OPERATIONS-3381 | Software | 58793.03</t>
        </is>
      </c>
      <c r="R3382" s="4" t="inlineStr">
        <is>
          <t>iPhone</t>
        </is>
      </c>
      <c r="S3382" s="4" t="inlineStr">
        <is>
          <t>B68</t>
        </is>
      </c>
      <c r="T3382" s="4" t="inlineStr">
        <is>
          <t>STRESS_3001_3500</t>
        </is>
      </c>
      <c r="U3382" s="4" t="inlineStr">
        <is>
          <t>CREATED</t>
        </is>
      </c>
      <c r="V3382" s="4" t="inlineStr">
        <is>
          <t>idem-20260902-ios-3381</t>
        </is>
      </c>
    </row>
    <row r="3383" ht="30" customHeight="1">
      <c r="A3383" s="4" t="n">
        <v>3382</v>
      </c>
      <c r="B3383" s="4" t="inlineStr">
        <is>
          <t>MTR-IOS-3382</t>
        </is>
      </c>
      <c r="C3383" s="4" t="inlineStr">
        <is>
          <t>Personal</t>
        </is>
      </c>
      <c r="D3383" s="4" t="inlineStr">
        <is>
          <t>Personal</t>
        </is>
      </c>
      <c r="E3383" s="4" t="inlineStr">
        <is>
          <t>Life Operations</t>
        </is>
      </c>
      <c r="F3383" s="4" t="inlineStr">
        <is>
          <t>Groceries</t>
        </is>
      </c>
      <c r="G3383" s="4" t="inlineStr">
        <is>
          <t>Expense</t>
        </is>
      </c>
      <c r="H3383" s="12" t="n">
        <v>46102</v>
      </c>
      <c r="I3383" s="13" t="n">
        <v>0.8948611111111111</v>
      </c>
      <c r="J3383" s="14" t="n">
        <v>46102.89486111111</v>
      </c>
      <c r="K3383" s="15" t="n">
        <v>8150.77</v>
      </c>
      <c r="L3383" s="4" t="inlineStr">
        <is>
          <t>INR</t>
        </is>
      </c>
      <c r="M3383" s="15" t="n">
        <v>-8150.77</v>
      </c>
      <c r="N3383" s="4" t="inlineStr">
        <is>
          <t>IOS Owner</t>
        </is>
      </c>
      <c r="O3383" s="4" t="n"/>
      <c r="P3383" s="4" t="n"/>
      <c r="Q3383" s="4" t="inlineStr">
        <is>
          <t>MAESTRO-IOS-PERSONAL-LIFE_OPERATIONS-3382 | Groceries | 8150.77</t>
        </is>
      </c>
      <c r="R3383" s="4" t="inlineStr">
        <is>
          <t>iPhone</t>
        </is>
      </c>
      <c r="S3383" s="4" t="inlineStr">
        <is>
          <t>B68</t>
        </is>
      </c>
      <c r="T3383" s="4" t="inlineStr">
        <is>
          <t>STRESS_3001_3500</t>
        </is>
      </c>
      <c r="U3383" s="4" t="inlineStr">
        <is>
          <t>CREATED</t>
        </is>
      </c>
      <c r="V3383" s="4" t="inlineStr">
        <is>
          <t>idem-20260902-ios-3382</t>
        </is>
      </c>
    </row>
    <row r="3384" ht="30" customHeight="1">
      <c r="A3384" s="4" t="n">
        <v>3383</v>
      </c>
      <c r="B3384" s="4" t="inlineStr">
        <is>
          <t>MTR-IOS-3383</t>
        </is>
      </c>
      <c r="C3384" s="4" t="inlineStr">
        <is>
          <t>Group</t>
        </is>
      </c>
      <c r="D3384" s="4" t="inlineStr">
        <is>
          <t>Shared Purchase</t>
        </is>
      </c>
      <c r="E3384" s="4" t="inlineStr">
        <is>
          <t>Gift Pool</t>
        </is>
      </c>
      <c r="F3384" s="4" t="inlineStr">
        <is>
          <t>Gift Purchase</t>
        </is>
      </c>
      <c r="G3384" s="4" t="inlineStr">
        <is>
          <t>Expense</t>
        </is>
      </c>
      <c r="H3384" s="12" t="n">
        <v>45917</v>
      </c>
      <c r="I3384" s="13" t="n">
        <v>0.2322685185185185</v>
      </c>
      <c r="J3384" s="14" t="n">
        <v>45917.23226851852</v>
      </c>
      <c r="K3384" s="15" t="n">
        <v>424.3</v>
      </c>
      <c r="L3384" s="4" t="inlineStr">
        <is>
          <t>INR</t>
        </is>
      </c>
      <c r="M3384" s="15" t="n">
        <v>-424.3</v>
      </c>
      <c r="N3384" s="4" t="inlineStr">
        <is>
          <t>IOS Meera</t>
        </is>
      </c>
      <c r="O3384" s="4" t="n">
        <v>3</v>
      </c>
      <c r="P3384" s="4" t="inlineStr">
        <is>
          <t>SHARES</t>
        </is>
      </c>
      <c r="Q3384" s="4" t="inlineStr">
        <is>
          <t>MAESTRO-IOS-GROUP-GIFT_POOL-3383 | Gift Purchase | 424.30</t>
        </is>
      </c>
      <c r="R3384" s="4" t="inlineStr">
        <is>
          <t>iPhone</t>
        </is>
      </c>
      <c r="S3384" s="4" t="inlineStr">
        <is>
          <t>B68</t>
        </is>
      </c>
      <c r="T3384" s="4" t="inlineStr">
        <is>
          <t>STRESS_3001_3500</t>
        </is>
      </c>
      <c r="U3384" s="4" t="inlineStr">
        <is>
          <t>CREATED</t>
        </is>
      </c>
      <c r="V3384" s="4" t="inlineStr">
        <is>
          <t>idem-20260902-ios-3383</t>
        </is>
      </c>
    </row>
    <row r="3385" ht="30" customHeight="1">
      <c r="A3385" s="4" t="n">
        <v>3384</v>
      </c>
      <c r="B3385" s="4" t="inlineStr">
        <is>
          <t>MTR-IOS-3384</t>
        </is>
      </c>
      <c r="C3385" s="4" t="inlineStr">
        <is>
          <t>Business</t>
        </is>
      </c>
      <c r="D3385" s="4" t="inlineStr">
        <is>
          <t>Business</t>
        </is>
      </c>
      <c r="E3385" s="4" t="inlineStr">
        <is>
          <t>Business Operations</t>
        </is>
      </c>
      <c r="F3385" s="4" t="inlineStr">
        <is>
          <t>Rent</t>
        </is>
      </c>
      <c r="G3385" s="4" t="inlineStr">
        <is>
          <t>Expense</t>
        </is>
      </c>
      <c r="H3385" s="12" t="n">
        <v>46223</v>
      </c>
      <c r="I3385" s="13" t="n">
        <v>0.3966550925925926</v>
      </c>
      <c r="J3385" s="14" t="n">
        <v>46223.39665509259</v>
      </c>
      <c r="K3385" s="15" t="n">
        <v>956.67</v>
      </c>
      <c r="L3385" s="4" t="inlineStr">
        <is>
          <t>INR</t>
        </is>
      </c>
      <c r="M3385" s="15" t="n">
        <v>-956.67</v>
      </c>
      <c r="N3385" s="4" t="inlineStr">
        <is>
          <t>IOS Owner</t>
        </is>
      </c>
      <c r="O3385" s="4" t="n"/>
      <c r="P3385" s="4" t="n"/>
      <c r="Q3385" s="4" t="inlineStr">
        <is>
          <t>MAESTRO-IOS-BUSINESS-BUSINESS_OPERATIONS-3384 | Rent | 956.67</t>
        </is>
      </c>
      <c r="R3385" s="4" t="inlineStr">
        <is>
          <t>iPhone</t>
        </is>
      </c>
      <c r="S3385" s="4" t="inlineStr">
        <is>
          <t>B68</t>
        </is>
      </c>
      <c r="T3385" s="4" t="inlineStr">
        <is>
          <t>STRESS_3001_3500</t>
        </is>
      </c>
      <c r="U3385" s="4" t="inlineStr">
        <is>
          <t>CREATED</t>
        </is>
      </c>
      <c r="V3385" s="4" t="inlineStr">
        <is>
          <t>idem-20260902-ios-3384</t>
        </is>
      </c>
    </row>
    <row r="3386" ht="30" customHeight="1">
      <c r="A3386" s="4" t="n">
        <v>3385</v>
      </c>
      <c r="B3386" s="4" t="inlineStr">
        <is>
          <t>MTR-IOS-3385</t>
        </is>
      </c>
      <c r="C3386" s="4" t="inlineStr">
        <is>
          <t>Personal</t>
        </is>
      </c>
      <c r="D3386" s="4" t="inlineStr">
        <is>
          <t>Personal</t>
        </is>
      </c>
      <c r="E3386" s="4" t="inlineStr">
        <is>
          <t>Life Operations</t>
        </is>
      </c>
      <c r="F3386" s="4" t="inlineStr">
        <is>
          <t>Rent</t>
        </is>
      </c>
      <c r="G3386" s="4" t="inlineStr">
        <is>
          <t>Expense</t>
        </is>
      </c>
      <c r="H3386" s="12" t="n">
        <v>46012</v>
      </c>
      <c r="I3386" s="13" t="n">
        <v>0.9614814814814815</v>
      </c>
      <c r="J3386" s="14" t="n">
        <v>46012.96148148148</v>
      </c>
      <c r="K3386" s="15" t="n">
        <v>16420.22</v>
      </c>
      <c r="L3386" s="4" t="inlineStr">
        <is>
          <t>INR</t>
        </is>
      </c>
      <c r="M3386" s="15" t="n">
        <v>-16420.22</v>
      </c>
      <c r="N3386" s="4" t="inlineStr">
        <is>
          <t>IOS Owner</t>
        </is>
      </c>
      <c r="O3386" s="4" t="n"/>
      <c r="P3386" s="4" t="n"/>
      <c r="Q3386" s="4" t="inlineStr">
        <is>
          <t>MAESTRO-IOS-PERSONAL-LIFE_OPERATIONS-3385 | Rent | 16420.22</t>
        </is>
      </c>
      <c r="R3386" s="4" t="inlineStr">
        <is>
          <t>iPhone</t>
        </is>
      </c>
      <c r="S3386" s="4" t="inlineStr">
        <is>
          <t>B68</t>
        </is>
      </c>
      <c r="T3386" s="4" t="inlineStr">
        <is>
          <t>STRESS_3001_3500</t>
        </is>
      </c>
      <c r="U3386" s="4" t="inlineStr">
        <is>
          <t>CREATED</t>
        </is>
      </c>
      <c r="V3386" s="4" t="inlineStr">
        <is>
          <t>idem-20260902-ios-3385</t>
        </is>
      </c>
    </row>
    <row r="3387" ht="30" customHeight="1">
      <c r="A3387" s="4" t="n">
        <v>3386</v>
      </c>
      <c r="B3387" s="4" t="inlineStr">
        <is>
          <t>MTR-IOS-3386</t>
        </is>
      </c>
      <c r="C3387" s="4" t="inlineStr">
        <is>
          <t>Group</t>
        </is>
      </c>
      <c r="D3387" s="4" t="inlineStr">
        <is>
          <t>Shared Purchase</t>
        </is>
      </c>
      <c r="E3387" s="4" t="inlineStr">
        <is>
          <t>Gift Pool</t>
        </is>
      </c>
      <c r="F3387" s="4" t="inlineStr">
        <is>
          <t>Delivery</t>
        </is>
      </c>
      <c r="G3387" s="4" t="inlineStr">
        <is>
          <t>Expense</t>
        </is>
      </c>
      <c r="H3387" s="12" t="n">
        <v>45911</v>
      </c>
      <c r="I3387" s="13" t="n">
        <v>0.8765740740740741</v>
      </c>
      <c r="J3387" s="14" t="n">
        <v>45911.87657407407</v>
      </c>
      <c r="K3387" s="15" t="n">
        <v>4952.77</v>
      </c>
      <c r="L3387" s="4" t="inlineStr">
        <is>
          <t>INR</t>
        </is>
      </c>
      <c r="M3387" s="15" t="n">
        <v>-4952.77</v>
      </c>
      <c r="N3387" s="4" t="inlineStr">
        <is>
          <t>IOS Owner</t>
        </is>
      </c>
      <c r="O3387" s="4" t="n">
        <v>3</v>
      </c>
      <c r="P3387" s="4" t="inlineStr">
        <is>
          <t>EQUAL</t>
        </is>
      </c>
      <c r="Q3387" s="4" t="inlineStr">
        <is>
          <t>MAESTRO-IOS-GROUP-GIFT_POOL-3386 | Delivery | 4952.77</t>
        </is>
      </c>
      <c r="R3387" s="4" t="inlineStr">
        <is>
          <t>iPhone</t>
        </is>
      </c>
      <c r="S3387" s="4" t="inlineStr">
        <is>
          <t>B68</t>
        </is>
      </c>
      <c r="T3387" s="4" t="inlineStr">
        <is>
          <t>STRESS_3001_3500</t>
        </is>
      </c>
      <c r="U3387" s="4" t="inlineStr">
        <is>
          <t>CREATED</t>
        </is>
      </c>
      <c r="V3387" s="4" t="inlineStr">
        <is>
          <t>idem-20260902-ios-3386</t>
        </is>
      </c>
    </row>
    <row r="3388" ht="30" customHeight="1">
      <c r="A3388" s="4" t="n">
        <v>3387</v>
      </c>
      <c r="B3388" s="4" t="inlineStr">
        <is>
          <t>MTR-IOS-3387</t>
        </is>
      </c>
      <c r="C3388" s="4" t="inlineStr">
        <is>
          <t>Business</t>
        </is>
      </c>
      <c r="D3388" s="4" t="inlineStr">
        <is>
          <t>Business</t>
        </is>
      </c>
      <c r="E3388" s="4" t="inlineStr">
        <is>
          <t>Business Operations</t>
        </is>
      </c>
      <c r="F3388" s="4" t="inlineStr">
        <is>
          <t>Marketing</t>
        </is>
      </c>
      <c r="G3388" s="4" t="inlineStr">
        <is>
          <t>Expense</t>
        </is>
      </c>
      <c r="H3388" s="12" t="n">
        <v>46079</v>
      </c>
      <c r="I3388" s="13" t="n">
        <v>0.1507175925925926</v>
      </c>
      <c r="J3388" s="14" t="n">
        <v>46079.15071759259</v>
      </c>
      <c r="K3388" s="15" t="n">
        <v>117109.23</v>
      </c>
      <c r="L3388" s="4" t="inlineStr">
        <is>
          <t>INR</t>
        </is>
      </c>
      <c r="M3388" s="15" t="n">
        <v>-117109.23</v>
      </c>
      <c r="N3388" s="4" t="inlineStr">
        <is>
          <t>IOS Owner</t>
        </is>
      </c>
      <c r="O3388" s="4" t="n"/>
      <c r="P3388" s="4" t="n"/>
      <c r="Q3388" s="4" t="inlineStr">
        <is>
          <t>MAESTRO-IOS-BUSINESS-BUSINESS_OPERATIONS-3387 | Marketing | 117109.23</t>
        </is>
      </c>
      <c r="R3388" s="4" t="inlineStr">
        <is>
          <t>iPhone</t>
        </is>
      </c>
      <c r="S3388" s="4" t="inlineStr">
        <is>
          <t>B68</t>
        </is>
      </c>
      <c r="T3388" s="4" t="inlineStr">
        <is>
          <t>STRESS_3001_3500</t>
        </is>
      </c>
      <c r="U3388" s="4" t="inlineStr">
        <is>
          <t>CREATED</t>
        </is>
      </c>
      <c r="V3388" s="4" t="inlineStr">
        <is>
          <t>idem-20260902-ios-3387</t>
        </is>
      </c>
    </row>
    <row r="3389" ht="30" customHeight="1">
      <c r="A3389" s="4" t="n">
        <v>3388</v>
      </c>
      <c r="B3389" s="4" t="inlineStr">
        <is>
          <t>MTR-IOS-3388</t>
        </is>
      </c>
      <c r="C3389" s="4" t="inlineStr">
        <is>
          <t>Personal</t>
        </is>
      </c>
      <c r="D3389" s="4" t="inlineStr">
        <is>
          <t>Personal</t>
        </is>
      </c>
      <c r="E3389" s="4" t="inlineStr">
        <is>
          <t>Life Operations</t>
        </is>
      </c>
      <c r="F3389" s="4" t="inlineStr">
        <is>
          <t>Bills</t>
        </is>
      </c>
      <c r="G3389" s="4" t="inlineStr">
        <is>
          <t>Expense</t>
        </is>
      </c>
      <c r="H3389" s="12" t="n">
        <v>46070</v>
      </c>
      <c r="I3389" s="13" t="n">
        <v>0.0869212962962963</v>
      </c>
      <c r="J3389" s="14" t="n">
        <v>46070.08692129629</v>
      </c>
      <c r="K3389" s="15" t="n">
        <v>7380.04</v>
      </c>
      <c r="L3389" s="4" t="inlineStr">
        <is>
          <t>INR</t>
        </is>
      </c>
      <c r="M3389" s="15" t="n">
        <v>-7380.04</v>
      </c>
      <c r="N3389" s="4" t="inlineStr">
        <is>
          <t>IOS Owner</t>
        </is>
      </c>
      <c r="O3389" s="4" t="n"/>
      <c r="P3389" s="4" t="n"/>
      <c r="Q3389" s="4" t="inlineStr">
        <is>
          <t>MAESTRO-IOS-PERSONAL-LIFE_OPERATIONS-3388 | Bills | 7380.04</t>
        </is>
      </c>
      <c r="R3389" s="4" t="inlineStr">
        <is>
          <t>iPhone</t>
        </is>
      </c>
      <c r="S3389" s="4" t="inlineStr">
        <is>
          <t>B68</t>
        </is>
      </c>
      <c r="T3389" s="4" t="inlineStr">
        <is>
          <t>STRESS_3001_3500</t>
        </is>
      </c>
      <c r="U3389" s="4" t="inlineStr">
        <is>
          <t>CREATED</t>
        </is>
      </c>
      <c r="V3389" s="4" t="inlineStr">
        <is>
          <t>idem-20260902-ios-3388</t>
        </is>
      </c>
    </row>
    <row r="3390" ht="30" customHeight="1">
      <c r="A3390" s="4" t="n">
        <v>3389</v>
      </c>
      <c r="B3390" s="4" t="inlineStr">
        <is>
          <t>MTR-IOS-3389</t>
        </is>
      </c>
      <c r="C3390" s="4" t="inlineStr">
        <is>
          <t>Group</t>
        </is>
      </c>
      <c r="D3390" s="4" t="inlineStr">
        <is>
          <t>Shared Purchase</t>
        </is>
      </c>
      <c r="E3390" s="4" t="inlineStr">
        <is>
          <t>Gift Pool</t>
        </is>
      </c>
      <c r="F3390" s="4" t="inlineStr">
        <is>
          <t>Other</t>
        </is>
      </c>
      <c r="G3390" s="4" t="inlineStr">
        <is>
          <t>Expense</t>
        </is>
      </c>
      <c r="H3390" s="12" t="n">
        <v>46152</v>
      </c>
      <c r="I3390" s="13" t="n">
        <v>0.3347337962962963</v>
      </c>
      <c r="J3390" s="14" t="n">
        <v>46152.3347337963</v>
      </c>
      <c r="K3390" s="15" t="n">
        <v>14751.47</v>
      </c>
      <c r="L3390" s="4" t="inlineStr">
        <is>
          <t>INR</t>
        </is>
      </c>
      <c r="M3390" s="15" t="n">
        <v>-14751.47</v>
      </c>
      <c r="N3390" s="4" t="inlineStr">
        <is>
          <t>IOS Aarav</t>
        </is>
      </c>
      <c r="O3390" s="4" t="n">
        <v>3</v>
      </c>
      <c r="P3390" s="4" t="inlineStr">
        <is>
          <t>PERCENTAGE</t>
        </is>
      </c>
      <c r="Q3390" s="4" t="inlineStr">
        <is>
          <t>MAESTRO-IOS-GROUP-GIFT_POOL-3389 | Other | 14751.47</t>
        </is>
      </c>
      <c r="R3390" s="4" t="inlineStr">
        <is>
          <t>iPhone</t>
        </is>
      </c>
      <c r="S3390" s="4" t="inlineStr">
        <is>
          <t>B68</t>
        </is>
      </c>
      <c r="T3390" s="4" t="inlineStr">
        <is>
          <t>STRESS_3001_3500</t>
        </is>
      </c>
      <c r="U3390" s="4" t="inlineStr">
        <is>
          <t>CREATED</t>
        </is>
      </c>
      <c r="V3390" s="4" t="inlineStr">
        <is>
          <t>idem-20260902-ios-3389</t>
        </is>
      </c>
    </row>
    <row r="3391" ht="30" customHeight="1">
      <c r="A3391" s="4" t="n">
        <v>3390</v>
      </c>
      <c r="B3391" s="4" t="inlineStr">
        <is>
          <t>MTR-IOS-3390</t>
        </is>
      </c>
      <c r="C3391" s="4" t="inlineStr">
        <is>
          <t>Business</t>
        </is>
      </c>
      <c r="D3391" s="4" t="inlineStr">
        <is>
          <t>Business</t>
        </is>
      </c>
      <c r="E3391" s="4" t="inlineStr">
        <is>
          <t>Business Operations</t>
        </is>
      </c>
      <c r="F3391" s="4" t="inlineStr">
        <is>
          <t>Legal</t>
        </is>
      </c>
      <c r="G3391" s="4" t="inlineStr">
        <is>
          <t>Expense</t>
        </is>
      </c>
      <c r="H3391" s="12" t="n">
        <v>46085</v>
      </c>
      <c r="I3391" s="13" t="n">
        <v>0.1208333333333333</v>
      </c>
      <c r="J3391" s="14" t="n">
        <v>46085.12083333333</v>
      </c>
      <c r="K3391" s="15" t="n">
        <v>89564.66</v>
      </c>
      <c r="L3391" s="4" t="inlineStr">
        <is>
          <t>INR</t>
        </is>
      </c>
      <c r="M3391" s="15" t="n">
        <v>-89564.66</v>
      </c>
      <c r="N3391" s="4" t="inlineStr">
        <is>
          <t>IOS Owner</t>
        </is>
      </c>
      <c r="O3391" s="4" t="n"/>
      <c r="P3391" s="4" t="n"/>
      <c r="Q3391" s="4" t="inlineStr">
        <is>
          <t>MAESTRO-IOS-BUSINESS-BUSINESS_OPERATIONS-3390 | Legal | 89564.66</t>
        </is>
      </c>
      <c r="R3391" s="4" t="inlineStr">
        <is>
          <t>iPhone</t>
        </is>
      </c>
      <c r="S3391" s="4" t="inlineStr">
        <is>
          <t>B68</t>
        </is>
      </c>
      <c r="T3391" s="4" t="inlineStr">
        <is>
          <t>STRESS_3001_3500</t>
        </is>
      </c>
      <c r="U3391" s="4" t="inlineStr">
        <is>
          <t>CREATED</t>
        </is>
      </c>
      <c r="V3391" s="4" t="inlineStr">
        <is>
          <t>idem-20260902-ios-3390</t>
        </is>
      </c>
    </row>
    <row r="3392" ht="30" customHeight="1">
      <c r="A3392" s="4" t="n">
        <v>3391</v>
      </c>
      <c r="B3392" s="4" t="inlineStr">
        <is>
          <t>MTR-IOS-3391</t>
        </is>
      </c>
      <c r="C3392" s="4" t="inlineStr">
        <is>
          <t>Personal</t>
        </is>
      </c>
      <c r="D3392" s="4" t="inlineStr">
        <is>
          <t>Personal</t>
        </is>
      </c>
      <c r="E3392" s="4" t="inlineStr">
        <is>
          <t>Life Operations</t>
        </is>
      </c>
      <c r="F3392" s="4" t="inlineStr">
        <is>
          <t>Transport</t>
        </is>
      </c>
      <c r="G3392" s="4" t="inlineStr">
        <is>
          <t>Expense</t>
        </is>
      </c>
      <c r="H3392" s="12" t="n">
        <v>46199</v>
      </c>
      <c r="I3392" s="13" t="n">
        <v>0.7779513888888889</v>
      </c>
      <c r="J3392" s="14" t="n">
        <v>46199.77795138889</v>
      </c>
      <c r="K3392" s="15" t="n">
        <v>14086.94</v>
      </c>
      <c r="L3392" s="4" t="inlineStr">
        <is>
          <t>INR</t>
        </is>
      </c>
      <c r="M3392" s="15" t="n">
        <v>-14086.94</v>
      </c>
      <c r="N3392" s="4" t="inlineStr">
        <is>
          <t>IOS Owner</t>
        </is>
      </c>
      <c r="O3392" s="4" t="n"/>
      <c r="P3392" s="4" t="n"/>
      <c r="Q3392" s="4" t="inlineStr">
        <is>
          <t>MAESTRO-IOS-PERSONAL-LIFE_OPERATIONS-3391 | Transport | 14086.94</t>
        </is>
      </c>
      <c r="R3392" s="4" t="inlineStr">
        <is>
          <t>iPhone</t>
        </is>
      </c>
      <c r="S3392" s="4" t="inlineStr">
        <is>
          <t>B68</t>
        </is>
      </c>
      <c r="T3392" s="4" t="inlineStr">
        <is>
          <t>STRESS_3001_3500</t>
        </is>
      </c>
      <c r="U3392" s="4" t="inlineStr">
        <is>
          <t>CREATED</t>
        </is>
      </c>
      <c r="V3392" s="4" t="inlineStr">
        <is>
          <t>idem-20260902-ios-3391</t>
        </is>
      </c>
    </row>
    <row r="3393" ht="30" customHeight="1">
      <c r="A3393" s="4" t="n">
        <v>3392</v>
      </c>
      <c r="B3393" s="4" t="inlineStr">
        <is>
          <t>MTR-IOS-3392</t>
        </is>
      </c>
      <c r="C3393" s="4" t="inlineStr">
        <is>
          <t>Group</t>
        </is>
      </c>
      <c r="D3393" s="4" t="inlineStr">
        <is>
          <t>Shared Purchase</t>
        </is>
      </c>
      <c r="E3393" s="4" t="inlineStr">
        <is>
          <t>Purchase</t>
        </is>
      </c>
      <c r="F3393" s="4" t="inlineStr">
        <is>
          <t>Item</t>
        </is>
      </c>
      <c r="G3393" s="4" t="inlineStr">
        <is>
          <t>Expense</t>
        </is>
      </c>
      <c r="H3393" s="12" t="n">
        <v>46133</v>
      </c>
      <c r="I3393" s="13" t="n">
        <v>0.6714351851851852</v>
      </c>
      <c r="J3393" s="14" t="n">
        <v>46133.67143518518</v>
      </c>
      <c r="K3393" s="15" t="n">
        <v>4108.7</v>
      </c>
      <c r="L3393" s="4" t="inlineStr">
        <is>
          <t>INR</t>
        </is>
      </c>
      <c r="M3393" s="15" t="n">
        <v>-4108.7</v>
      </c>
      <c r="N3393" s="4" t="inlineStr">
        <is>
          <t>IOS Meera</t>
        </is>
      </c>
      <c r="O3393" s="4" t="n">
        <v>3</v>
      </c>
      <c r="P3393" s="4" t="inlineStr">
        <is>
          <t>EXACT</t>
        </is>
      </c>
      <c r="Q3393" s="4" t="inlineStr">
        <is>
          <t>MAESTRO-IOS-GROUP-PURCHASE-3392 | Item | 4108.70</t>
        </is>
      </c>
      <c r="R3393" s="4" t="inlineStr">
        <is>
          <t>iPhone</t>
        </is>
      </c>
      <c r="S3393" s="4" t="inlineStr">
        <is>
          <t>B68</t>
        </is>
      </c>
      <c r="T3393" s="4" t="inlineStr">
        <is>
          <t>STRESS_3001_3500</t>
        </is>
      </c>
      <c r="U3393" s="4" t="inlineStr">
        <is>
          <t>CREATED</t>
        </is>
      </c>
      <c r="V3393" s="4" t="inlineStr">
        <is>
          <t>idem-20260902-ios-3392</t>
        </is>
      </c>
    </row>
    <row r="3394" ht="30" customHeight="1">
      <c r="A3394" s="4" t="n">
        <v>3393</v>
      </c>
      <c r="B3394" s="4" t="inlineStr">
        <is>
          <t>MTR-IOS-3393</t>
        </is>
      </c>
      <c r="C3394" s="4" t="inlineStr">
        <is>
          <t>Business</t>
        </is>
      </c>
      <c r="D3394" s="4" t="inlineStr">
        <is>
          <t>Business</t>
        </is>
      </c>
      <c r="E3394" s="4" t="inlineStr">
        <is>
          <t>Business Operations</t>
        </is>
      </c>
      <c r="F3394" s="4" t="inlineStr">
        <is>
          <t>Accounting</t>
        </is>
      </c>
      <c r="G3394" s="4" t="inlineStr">
        <is>
          <t>Expense</t>
        </is>
      </c>
      <c r="H3394" s="12" t="n">
        <v>46253</v>
      </c>
      <c r="I3394" s="13" t="n">
        <v>0.2848611111111111</v>
      </c>
      <c r="J3394" s="14" t="n">
        <v>46253.28486111111</v>
      </c>
      <c r="K3394" s="15" t="n">
        <v>46312.97</v>
      </c>
      <c r="L3394" s="4" t="inlineStr">
        <is>
          <t>INR</t>
        </is>
      </c>
      <c r="M3394" s="15" t="n">
        <v>-46312.97</v>
      </c>
      <c r="N3394" s="4" t="inlineStr">
        <is>
          <t>IOS Owner</t>
        </is>
      </c>
      <c r="O3394" s="4" t="n"/>
      <c r="P3394" s="4" t="n"/>
      <c r="Q3394" s="4" t="inlineStr">
        <is>
          <t>MAESTRO-IOS-BUSINESS-BUSINESS_OPERATIONS-3393 | Accounting | 46312.97</t>
        </is>
      </c>
      <c r="R3394" s="4" t="inlineStr">
        <is>
          <t>iPhone</t>
        </is>
      </c>
      <c r="S3394" s="4" t="inlineStr">
        <is>
          <t>B68</t>
        </is>
      </c>
      <c r="T3394" s="4" t="inlineStr">
        <is>
          <t>STRESS_3001_3500</t>
        </is>
      </c>
      <c r="U3394" s="4" t="inlineStr">
        <is>
          <t>CREATED</t>
        </is>
      </c>
      <c r="V3394" s="4" t="inlineStr">
        <is>
          <t>idem-20260902-ios-3393</t>
        </is>
      </c>
    </row>
    <row r="3395" ht="30" customHeight="1">
      <c r="A3395" s="4" t="n">
        <v>3394</v>
      </c>
      <c r="B3395" s="4" t="inlineStr">
        <is>
          <t>MTR-IOS-3394</t>
        </is>
      </c>
      <c r="C3395" s="4" t="inlineStr">
        <is>
          <t>Personal</t>
        </is>
      </c>
      <c r="D3395" s="4" t="inlineStr">
        <is>
          <t>Personal</t>
        </is>
      </c>
      <c r="E3395" s="4" t="inlineStr">
        <is>
          <t>Life Operations</t>
        </is>
      </c>
      <c r="F3395" s="4" t="inlineStr">
        <is>
          <t>Healthcare</t>
        </is>
      </c>
      <c r="G3395" s="4" t="inlineStr">
        <is>
          <t>Expense</t>
        </is>
      </c>
      <c r="H3395" s="12" t="n">
        <v>46134</v>
      </c>
      <c r="I3395" s="13" t="n">
        <v>0.6423032407407407</v>
      </c>
      <c r="J3395" s="14" t="n">
        <v>46134.64230324074</v>
      </c>
      <c r="K3395" s="15" t="n">
        <v>8937.51</v>
      </c>
      <c r="L3395" s="4" t="inlineStr">
        <is>
          <t>INR</t>
        </is>
      </c>
      <c r="M3395" s="15" t="n">
        <v>-8937.51</v>
      </c>
      <c r="N3395" s="4" t="inlineStr">
        <is>
          <t>IOS Owner</t>
        </is>
      </c>
      <c r="O3395" s="4" t="n"/>
      <c r="P3395" s="4" t="n"/>
      <c r="Q3395" s="4" t="inlineStr">
        <is>
          <t>MAESTRO-IOS-PERSONAL-LIFE_OPERATIONS-3394 | Healthcare | 8937.51</t>
        </is>
      </c>
      <c r="R3395" s="4" t="inlineStr">
        <is>
          <t>iPhone</t>
        </is>
      </c>
      <c r="S3395" s="4" t="inlineStr">
        <is>
          <t>B68</t>
        </is>
      </c>
      <c r="T3395" s="4" t="inlineStr">
        <is>
          <t>STRESS_3001_3500</t>
        </is>
      </c>
      <c r="U3395" s="4" t="inlineStr">
        <is>
          <t>CREATED</t>
        </is>
      </c>
      <c r="V3395" s="4" t="inlineStr">
        <is>
          <t>idem-20260902-ios-3394</t>
        </is>
      </c>
    </row>
    <row r="3396" ht="30" customHeight="1">
      <c r="A3396" s="4" t="n">
        <v>3395</v>
      </c>
      <c r="B3396" s="4" t="inlineStr">
        <is>
          <t>MTR-IOS-3395</t>
        </is>
      </c>
      <c r="C3396" s="4" t="inlineStr">
        <is>
          <t>Group</t>
        </is>
      </c>
      <c r="D3396" s="4" t="inlineStr">
        <is>
          <t>Shared Purchase</t>
        </is>
      </c>
      <c r="E3396" s="4" t="inlineStr">
        <is>
          <t>Purchase</t>
        </is>
      </c>
      <c r="F3396" s="4" t="inlineStr">
        <is>
          <t>Shipping</t>
        </is>
      </c>
      <c r="G3396" s="4" t="inlineStr">
        <is>
          <t>Expense</t>
        </is>
      </c>
      <c r="H3396" s="12" t="n">
        <v>45916</v>
      </c>
      <c r="I3396" s="13" t="n">
        <v>0.4197916666666667</v>
      </c>
      <c r="J3396" s="14" t="n">
        <v>45916.41979166667</v>
      </c>
      <c r="K3396" s="15" t="n">
        <v>516.4400000000001</v>
      </c>
      <c r="L3396" s="4" t="inlineStr">
        <is>
          <t>INR</t>
        </is>
      </c>
      <c r="M3396" s="15" t="n">
        <v>-516.4400000000001</v>
      </c>
      <c r="N3396" s="4" t="inlineStr">
        <is>
          <t>IOS Owner</t>
        </is>
      </c>
      <c r="O3396" s="4" t="n">
        <v>3</v>
      </c>
      <c r="P3396" s="4" t="inlineStr">
        <is>
          <t>SHARES</t>
        </is>
      </c>
      <c r="Q3396" s="4" t="inlineStr">
        <is>
          <t>MAESTRO-IOS-GROUP-PURCHASE-3395 | Shipping | 516.44</t>
        </is>
      </c>
      <c r="R3396" s="4" t="inlineStr">
        <is>
          <t>iPhone</t>
        </is>
      </c>
      <c r="S3396" s="4" t="inlineStr">
        <is>
          <t>B68</t>
        </is>
      </c>
      <c r="T3396" s="4" t="inlineStr">
        <is>
          <t>STRESS_3001_3500</t>
        </is>
      </c>
      <c r="U3396" s="4" t="inlineStr">
        <is>
          <t>CREATED</t>
        </is>
      </c>
      <c r="V3396" s="4" t="inlineStr">
        <is>
          <t>idem-20260902-ios-3395</t>
        </is>
      </c>
    </row>
    <row r="3397" ht="30" customHeight="1">
      <c r="A3397" s="4" t="n">
        <v>3396</v>
      </c>
      <c r="B3397" s="4" t="inlineStr">
        <is>
          <t>MTR-IOS-3396</t>
        </is>
      </c>
      <c r="C3397" s="4" t="inlineStr">
        <is>
          <t>Business</t>
        </is>
      </c>
      <c r="D3397" s="4" t="inlineStr">
        <is>
          <t>Business</t>
        </is>
      </c>
      <c r="E3397" s="4" t="inlineStr">
        <is>
          <t>Business Operations</t>
        </is>
      </c>
      <c r="F3397" s="4" t="inlineStr">
        <is>
          <t>Equipment</t>
        </is>
      </c>
      <c r="G3397" s="4" t="inlineStr">
        <is>
          <t>Expense</t>
        </is>
      </c>
      <c r="H3397" s="12" t="n">
        <v>46022</v>
      </c>
      <c r="I3397" s="13" t="n">
        <v>0.3575810185185185</v>
      </c>
      <c r="J3397" s="14" t="n">
        <v>46022.35758101852</v>
      </c>
      <c r="K3397" s="15" t="n">
        <v>154661.52</v>
      </c>
      <c r="L3397" s="4" t="inlineStr">
        <is>
          <t>INR</t>
        </is>
      </c>
      <c r="M3397" s="15" t="n">
        <v>-154661.52</v>
      </c>
      <c r="N3397" s="4" t="inlineStr">
        <is>
          <t>IOS Owner</t>
        </is>
      </c>
      <c r="O3397" s="4" t="n"/>
      <c r="P3397" s="4" t="n"/>
      <c r="Q3397" s="4" t="inlineStr">
        <is>
          <t>MAESTRO-IOS-BUSINESS-BUSINESS_OPERATIONS-3396 | Equipment | 154661.52</t>
        </is>
      </c>
      <c r="R3397" s="4" t="inlineStr">
        <is>
          <t>iPhone</t>
        </is>
      </c>
      <c r="S3397" s="4" t="inlineStr">
        <is>
          <t>B68</t>
        </is>
      </c>
      <c r="T3397" s="4" t="inlineStr">
        <is>
          <t>STRESS_3001_3500</t>
        </is>
      </c>
      <c r="U3397" s="4" t="inlineStr">
        <is>
          <t>CREATED</t>
        </is>
      </c>
      <c r="V3397" s="4" t="inlineStr">
        <is>
          <t>idem-20260902-ios-3396</t>
        </is>
      </c>
    </row>
    <row r="3398" ht="30" customHeight="1">
      <c r="A3398" s="4" t="n">
        <v>3397</v>
      </c>
      <c r="B3398" s="4" t="inlineStr">
        <is>
          <t>MTR-IOS-3397</t>
        </is>
      </c>
      <c r="C3398" s="4" t="inlineStr">
        <is>
          <t>Personal</t>
        </is>
      </c>
      <c r="D3398" s="4" t="inlineStr">
        <is>
          <t>Personal</t>
        </is>
      </c>
      <c r="E3398" s="4" t="inlineStr">
        <is>
          <t>Life Operations</t>
        </is>
      </c>
      <c r="F3398" s="4" t="inlineStr">
        <is>
          <t>Subscriptions</t>
        </is>
      </c>
      <c r="G3398" s="4" t="inlineStr">
        <is>
          <t>Expense</t>
        </is>
      </c>
      <c r="H3398" s="12" t="n">
        <v>46063</v>
      </c>
      <c r="I3398" s="13" t="n">
        <v>0.3441435185185185</v>
      </c>
      <c r="J3398" s="14" t="n">
        <v>46063.34414351852</v>
      </c>
      <c r="K3398" s="15" t="n">
        <v>11388.31</v>
      </c>
      <c r="L3398" s="4" t="inlineStr">
        <is>
          <t>INR</t>
        </is>
      </c>
      <c r="M3398" s="15" t="n">
        <v>-11388.31</v>
      </c>
      <c r="N3398" s="4" t="inlineStr">
        <is>
          <t>IOS Owner</t>
        </is>
      </c>
      <c r="O3398" s="4" t="n"/>
      <c r="P3398" s="4" t="n"/>
      <c r="Q3398" s="4" t="inlineStr">
        <is>
          <t>MAESTRO-IOS-PERSONAL-LIFE_OPERATIONS-3397 | Subscriptions | 11388.31</t>
        </is>
      </c>
      <c r="R3398" s="4" t="inlineStr">
        <is>
          <t>iPhone</t>
        </is>
      </c>
      <c r="S3398" s="4" t="inlineStr">
        <is>
          <t>B68</t>
        </is>
      </c>
      <c r="T3398" s="4" t="inlineStr">
        <is>
          <t>STRESS_3001_3500</t>
        </is>
      </c>
      <c r="U3398" s="4" t="inlineStr">
        <is>
          <t>CREATED</t>
        </is>
      </c>
      <c r="V3398" s="4" t="inlineStr">
        <is>
          <t>idem-20260902-ios-3397</t>
        </is>
      </c>
    </row>
    <row r="3399" ht="30" customHeight="1">
      <c r="A3399" s="4" t="n">
        <v>3398</v>
      </c>
      <c r="B3399" s="4" t="inlineStr">
        <is>
          <t>MTR-IOS-3398</t>
        </is>
      </c>
      <c r="C3399" s="4" t="inlineStr">
        <is>
          <t>Group</t>
        </is>
      </c>
      <c r="D3399" s="4" t="inlineStr">
        <is>
          <t>Shared Purchase</t>
        </is>
      </c>
      <c r="E3399" s="4" t="inlineStr">
        <is>
          <t>Purchase</t>
        </is>
      </c>
      <c r="F3399" s="4" t="inlineStr">
        <is>
          <t>Tax</t>
        </is>
      </c>
      <c r="G3399" s="4" t="inlineStr">
        <is>
          <t>Expense</t>
        </is>
      </c>
      <c r="H3399" s="12" t="n">
        <v>45945</v>
      </c>
      <c r="I3399" s="13" t="n">
        <v>0.871087962962963</v>
      </c>
      <c r="J3399" s="14" t="n">
        <v>45945.87108796297</v>
      </c>
      <c r="K3399" s="15" t="n">
        <v>16918.22</v>
      </c>
      <c r="L3399" s="4" t="inlineStr">
        <is>
          <t>INR</t>
        </is>
      </c>
      <c r="M3399" s="15" t="n">
        <v>-16918.22</v>
      </c>
      <c r="N3399" s="4" t="inlineStr">
        <is>
          <t>IOS Aarav</t>
        </is>
      </c>
      <c r="O3399" s="4" t="n">
        <v>3</v>
      </c>
      <c r="P3399" s="4" t="inlineStr">
        <is>
          <t>EQUAL</t>
        </is>
      </c>
      <c r="Q3399" s="4" t="inlineStr">
        <is>
          <t>MAESTRO-IOS-GROUP-PURCHASE-3398 | Tax | 16918.22</t>
        </is>
      </c>
      <c r="R3399" s="4" t="inlineStr">
        <is>
          <t>iPhone</t>
        </is>
      </c>
      <c r="S3399" s="4" t="inlineStr">
        <is>
          <t>B68</t>
        </is>
      </c>
      <c r="T3399" s="4" t="inlineStr">
        <is>
          <t>STRESS_3001_3500</t>
        </is>
      </c>
      <c r="U3399" s="4" t="inlineStr">
        <is>
          <t>CREATED</t>
        </is>
      </c>
      <c r="V3399" s="4" t="inlineStr">
        <is>
          <t>idem-20260902-ios-3398</t>
        </is>
      </c>
    </row>
    <row r="3400" ht="30" customHeight="1">
      <c r="A3400" s="4" t="n">
        <v>3399</v>
      </c>
      <c r="B3400" s="4" t="inlineStr">
        <is>
          <t>MTR-IOS-3399</t>
        </is>
      </c>
      <c r="C3400" s="4" t="inlineStr">
        <is>
          <t>Business</t>
        </is>
      </c>
      <c r="D3400" s="4" t="inlineStr">
        <is>
          <t>Business</t>
        </is>
      </c>
      <c r="E3400" s="4" t="inlineStr">
        <is>
          <t>Business Operations</t>
        </is>
      </c>
      <c r="F3400" s="4" t="inlineStr">
        <is>
          <t>Vendor</t>
        </is>
      </c>
      <c r="G3400" s="4" t="inlineStr">
        <is>
          <t>Expense</t>
        </is>
      </c>
      <c r="H3400" s="12" t="n">
        <v>46053</v>
      </c>
      <c r="I3400" s="13" t="n">
        <v>0.7897685185185185</v>
      </c>
      <c r="J3400" s="14" t="n">
        <v>46053.78976851852</v>
      </c>
      <c r="K3400" s="15" t="n">
        <v>125938.47</v>
      </c>
      <c r="L3400" s="4" t="inlineStr">
        <is>
          <t>INR</t>
        </is>
      </c>
      <c r="M3400" s="15" t="n">
        <v>-125938.47</v>
      </c>
      <c r="N3400" s="4" t="inlineStr">
        <is>
          <t>IOS Owner</t>
        </is>
      </c>
      <c r="O3400" s="4" t="n"/>
      <c r="P3400" s="4" t="n"/>
      <c r="Q3400" s="4" t="inlineStr">
        <is>
          <t>MAESTRO-IOS-BUSINESS-BUSINESS_OPERATIONS-3399 | Vendor | 125938.47</t>
        </is>
      </c>
      <c r="R3400" s="4" t="inlineStr">
        <is>
          <t>iPhone</t>
        </is>
      </c>
      <c r="S3400" s="4" t="inlineStr">
        <is>
          <t>B68</t>
        </is>
      </c>
      <c r="T3400" s="4" t="inlineStr">
        <is>
          <t>STRESS_3001_3500</t>
        </is>
      </c>
      <c r="U3400" s="4" t="inlineStr">
        <is>
          <t>CREATED</t>
        </is>
      </c>
      <c r="V3400" s="4" t="inlineStr">
        <is>
          <t>idem-20260902-ios-3399</t>
        </is>
      </c>
    </row>
    <row r="3401" ht="30" customHeight="1">
      <c r="A3401" s="4" t="n">
        <v>3400</v>
      </c>
      <c r="B3401" s="4" t="inlineStr">
        <is>
          <t>MTR-IOS-3400</t>
        </is>
      </c>
      <c r="C3401" s="4" t="inlineStr">
        <is>
          <t>Personal</t>
        </is>
      </c>
      <c r="D3401" s="4" t="inlineStr">
        <is>
          <t>Personal</t>
        </is>
      </c>
      <c r="E3401" s="4" t="inlineStr">
        <is>
          <t>Life Operations</t>
        </is>
      </c>
      <c r="F3401" s="4" t="inlineStr">
        <is>
          <t>Repairs</t>
        </is>
      </c>
      <c r="G3401" s="4" t="inlineStr">
        <is>
          <t>Expense</t>
        </is>
      </c>
      <c r="H3401" s="12" t="n">
        <v>46153</v>
      </c>
      <c r="I3401" s="13" t="n">
        <v>0.9556712962962963</v>
      </c>
      <c r="J3401" s="14" t="n">
        <v>46153.95567129629</v>
      </c>
      <c r="K3401" s="15" t="n">
        <v>17745.36</v>
      </c>
      <c r="L3401" s="4" t="inlineStr">
        <is>
          <t>INR</t>
        </is>
      </c>
      <c r="M3401" s="15" t="n">
        <v>-17745.36</v>
      </c>
      <c r="N3401" s="4" t="inlineStr">
        <is>
          <t>IOS Owner</t>
        </is>
      </c>
      <c r="O3401" s="4" t="n"/>
      <c r="P3401" s="4" t="n"/>
      <c r="Q3401" s="4" t="inlineStr">
        <is>
          <t>MAESTRO-IOS-PERSONAL-LIFE_OPERATIONS-3400 | Repairs | 17745.36</t>
        </is>
      </c>
      <c r="R3401" s="4" t="inlineStr">
        <is>
          <t>iPhone</t>
        </is>
      </c>
      <c r="S3401" s="4" t="inlineStr">
        <is>
          <t>B68</t>
        </is>
      </c>
      <c r="T3401" s="4" t="inlineStr">
        <is>
          <t>STRESS_3001_3500</t>
        </is>
      </c>
      <c r="U3401" s="4" t="inlineStr">
        <is>
          <t>CREATED</t>
        </is>
      </c>
      <c r="V3401" s="4" t="inlineStr">
        <is>
          <t>idem-20260902-ios-3400</t>
        </is>
      </c>
    </row>
    <row r="3402" ht="30" customHeight="1">
      <c r="A3402" s="4" t="n">
        <v>3401</v>
      </c>
      <c r="B3402" s="4" t="inlineStr">
        <is>
          <t>MTR-IOS-3401</t>
        </is>
      </c>
      <c r="C3402" s="4" t="inlineStr">
        <is>
          <t>Group</t>
        </is>
      </c>
      <c r="D3402" s="4" t="inlineStr">
        <is>
          <t>Shared Purchase</t>
        </is>
      </c>
      <c r="E3402" s="4" t="inlineStr">
        <is>
          <t>Purchase</t>
        </is>
      </c>
      <c r="F3402" s="4" t="inlineStr">
        <is>
          <t>Other</t>
        </is>
      </c>
      <c r="G3402" s="4" t="inlineStr">
        <is>
          <t>Expense</t>
        </is>
      </c>
      <c r="H3402" s="12" t="n">
        <v>46014</v>
      </c>
      <c r="I3402" s="13" t="n">
        <v>0.6411342592592593</v>
      </c>
      <c r="J3402" s="14" t="n">
        <v>46014.64113425926</v>
      </c>
      <c r="K3402" s="15" t="n">
        <v>1560.93</v>
      </c>
      <c r="L3402" s="4" t="inlineStr">
        <is>
          <t>INR</t>
        </is>
      </c>
      <c r="M3402" s="15" t="n">
        <v>-1560.93</v>
      </c>
      <c r="N3402" s="4" t="inlineStr">
        <is>
          <t>IOS Meera</t>
        </is>
      </c>
      <c r="O3402" s="4" t="n">
        <v>3</v>
      </c>
      <c r="P3402" s="4" t="inlineStr">
        <is>
          <t>PERCENTAGE</t>
        </is>
      </c>
      <c r="Q3402" s="4" t="inlineStr">
        <is>
          <t>MAESTRO-IOS-GROUP-PURCHASE-3401 | Other | 1560.93</t>
        </is>
      </c>
      <c r="R3402" s="4" t="inlineStr">
        <is>
          <t>iPhone</t>
        </is>
      </c>
      <c r="S3402" s="4" t="inlineStr">
        <is>
          <t>B69</t>
        </is>
      </c>
      <c r="T3402" s="4" t="inlineStr">
        <is>
          <t>STRESS_3001_3500</t>
        </is>
      </c>
      <c r="U3402" s="4" t="inlineStr">
        <is>
          <t>CREATED</t>
        </is>
      </c>
      <c r="V3402" s="4" t="inlineStr">
        <is>
          <t>idem-20260902-ios-3401</t>
        </is>
      </c>
    </row>
    <row r="3403" ht="30" customHeight="1">
      <c r="A3403" s="4" t="n">
        <v>3402</v>
      </c>
      <c r="B3403" s="4" t="inlineStr">
        <is>
          <t>MTR-IOS-3402</t>
        </is>
      </c>
      <c r="C3403" s="4" t="inlineStr">
        <is>
          <t>Business</t>
        </is>
      </c>
      <c r="D3403" s="4" t="inlineStr">
        <is>
          <t>Business</t>
        </is>
      </c>
      <c r="E3403" s="4" t="inlineStr">
        <is>
          <t>Business Operations</t>
        </is>
      </c>
      <c r="F3403" s="4" t="inlineStr">
        <is>
          <t>Tax</t>
        </is>
      </c>
      <c r="G3403" s="4" t="inlineStr">
        <is>
          <t>Expense</t>
        </is>
      </c>
      <c r="H3403" s="12" t="n">
        <v>46014</v>
      </c>
      <c r="I3403" s="13" t="n">
        <v>0.2906712962962963</v>
      </c>
      <c r="J3403" s="14" t="n">
        <v>46014.29067129629</v>
      </c>
      <c r="K3403" s="15" t="n">
        <v>82047.58</v>
      </c>
      <c r="L3403" s="4" t="inlineStr">
        <is>
          <t>INR</t>
        </is>
      </c>
      <c r="M3403" s="15" t="n">
        <v>-82047.58</v>
      </c>
      <c r="N3403" s="4" t="inlineStr">
        <is>
          <t>IOS Owner</t>
        </is>
      </c>
      <c r="O3403" s="4" t="n"/>
      <c r="P3403" s="4" t="n"/>
      <c r="Q3403" s="4" t="inlineStr">
        <is>
          <t>MAESTRO-IOS-BUSINESS-BUSINESS_OPERATIONS-3402 | Tax | 82047.58</t>
        </is>
      </c>
      <c r="R3403" s="4" t="inlineStr">
        <is>
          <t>iPhone</t>
        </is>
      </c>
      <c r="S3403" s="4" t="inlineStr">
        <is>
          <t>B69</t>
        </is>
      </c>
      <c r="T3403" s="4" t="inlineStr">
        <is>
          <t>STRESS_3001_3500</t>
        </is>
      </c>
      <c r="U3403" s="4" t="inlineStr">
        <is>
          <t>CREATED</t>
        </is>
      </c>
      <c r="V3403" s="4" t="inlineStr">
        <is>
          <t>idem-20260902-ios-3402</t>
        </is>
      </c>
    </row>
    <row r="3404" ht="30" customHeight="1">
      <c r="A3404" s="4" t="n">
        <v>3403</v>
      </c>
      <c r="B3404" s="4" t="inlineStr">
        <is>
          <t>MTR-IOS-3403</t>
        </is>
      </c>
      <c r="C3404" s="4" t="inlineStr">
        <is>
          <t>Personal</t>
        </is>
      </c>
      <c r="D3404" s="4" t="inlineStr">
        <is>
          <t>Personal</t>
        </is>
      </c>
      <c r="E3404" s="4" t="inlineStr">
        <is>
          <t>Future Building</t>
        </is>
      </c>
      <c r="F3404" s="4" t="inlineStr">
        <is>
          <t>Savings</t>
        </is>
      </c>
      <c r="G3404" s="4" t="inlineStr">
        <is>
          <t>Transfer</t>
        </is>
      </c>
      <c r="H3404" s="12" t="n">
        <v>46042</v>
      </c>
      <c r="I3404" s="13" t="n">
        <v>0.09554398148148148</v>
      </c>
      <c r="J3404" s="14" t="n">
        <v>46042.09554398148</v>
      </c>
      <c r="K3404" s="15" t="n">
        <v>16074.82</v>
      </c>
      <c r="L3404" s="4" t="inlineStr">
        <is>
          <t>INR</t>
        </is>
      </c>
      <c r="M3404" s="15" t="n">
        <v>0</v>
      </c>
      <c r="N3404" s="4" t="inlineStr">
        <is>
          <t>IOS Owner</t>
        </is>
      </c>
      <c r="O3404" s="4" t="n"/>
      <c r="P3404" s="4" t="n"/>
      <c r="Q3404" s="4" t="inlineStr">
        <is>
          <t>MAESTRO-IOS-PERSONAL-FUTURE_BUILDING-3403 | Savings | 16074.82</t>
        </is>
      </c>
      <c r="R3404" s="4" t="inlineStr">
        <is>
          <t>iPhone</t>
        </is>
      </c>
      <c r="S3404" s="4" t="inlineStr">
        <is>
          <t>B69</t>
        </is>
      </c>
      <c r="T3404" s="4" t="inlineStr">
        <is>
          <t>STRESS_3001_3500</t>
        </is>
      </c>
      <c r="U3404" s="4" t="inlineStr">
        <is>
          <t>CREATED</t>
        </is>
      </c>
      <c r="V3404" s="4" t="inlineStr">
        <is>
          <t>idem-20260902-ios-3403</t>
        </is>
      </c>
    </row>
    <row r="3405" ht="30" customHeight="1">
      <c r="A3405" s="4" t="n">
        <v>3404</v>
      </c>
      <c r="B3405" s="4" t="inlineStr">
        <is>
          <t>MTR-IOS-3404</t>
        </is>
      </c>
      <c r="C3405" s="4" t="inlineStr">
        <is>
          <t>Group</t>
        </is>
      </c>
      <c r="D3405" s="4" t="inlineStr">
        <is>
          <t>Shared Purchase</t>
        </is>
      </c>
      <c r="E3405" s="4" t="inlineStr">
        <is>
          <t>Assets</t>
        </is>
      </c>
      <c r="F3405" s="4" t="inlineStr">
        <is>
          <t>Purchase</t>
        </is>
      </c>
      <c r="G3405" s="4" t="inlineStr">
        <is>
          <t>Expense</t>
        </is>
      </c>
      <c r="H3405" s="12" t="n">
        <v>46102</v>
      </c>
      <c r="I3405" s="13" t="n">
        <v>0.4770254629629629</v>
      </c>
      <c r="J3405" s="14" t="n">
        <v>46102.47702546296</v>
      </c>
      <c r="K3405" s="15" t="n">
        <v>99.98999999999999</v>
      </c>
      <c r="L3405" s="4" t="inlineStr">
        <is>
          <t>INR</t>
        </is>
      </c>
      <c r="M3405" s="15" t="n">
        <v>-99.98999999999999</v>
      </c>
      <c r="N3405" s="4" t="inlineStr">
        <is>
          <t>IOS Owner</t>
        </is>
      </c>
      <c r="O3405" s="4" t="n">
        <v>3</v>
      </c>
      <c r="P3405" s="4" t="inlineStr">
        <is>
          <t>EXACT</t>
        </is>
      </c>
      <c r="Q3405" s="4" t="inlineStr">
        <is>
          <t>MAESTRO-IOS-GROUP-ASSETS-3404 | Purchase | 99.99</t>
        </is>
      </c>
      <c r="R3405" s="4" t="inlineStr">
        <is>
          <t>iPhone</t>
        </is>
      </c>
      <c r="S3405" s="4" t="inlineStr">
        <is>
          <t>B69</t>
        </is>
      </c>
      <c r="T3405" s="4" t="inlineStr">
        <is>
          <t>STRESS_3001_3500</t>
        </is>
      </c>
      <c r="U3405" s="4" t="inlineStr">
        <is>
          <t>CREATED</t>
        </is>
      </c>
      <c r="V3405" s="4" t="inlineStr">
        <is>
          <t>idem-20260902-ios-3404</t>
        </is>
      </c>
    </row>
    <row r="3406" ht="30" customHeight="1">
      <c r="A3406" s="4" t="n">
        <v>3405</v>
      </c>
      <c r="B3406" s="4" t="inlineStr">
        <is>
          <t>MTR-IOS-3405</t>
        </is>
      </c>
      <c r="C3406" s="4" t="inlineStr">
        <is>
          <t>Business</t>
        </is>
      </c>
      <c r="D3406" s="4" t="inlineStr">
        <is>
          <t>Business</t>
        </is>
      </c>
      <c r="E3406" s="4" t="inlineStr">
        <is>
          <t>Team Operations</t>
        </is>
      </c>
      <c r="F3406" s="4" t="inlineStr">
        <is>
          <t>Payroll</t>
        </is>
      </c>
      <c r="G3406" s="4" t="inlineStr">
        <is>
          <t>Expense</t>
        </is>
      </c>
      <c r="H3406" s="12" t="n">
        <v>45982</v>
      </c>
      <c r="I3406" s="13" t="n">
        <v>0.7335532407407407</v>
      </c>
      <c r="J3406" s="14" t="n">
        <v>45982.73355324074</v>
      </c>
      <c r="K3406" s="15" t="n">
        <v>152062.46</v>
      </c>
      <c r="L3406" s="4" t="inlineStr">
        <is>
          <t>INR</t>
        </is>
      </c>
      <c r="M3406" s="15" t="n">
        <v>-152062.46</v>
      </c>
      <c r="N3406" s="4" t="inlineStr">
        <is>
          <t>IOS Owner</t>
        </is>
      </c>
      <c r="O3406" s="4" t="n"/>
      <c r="P3406" s="4" t="n"/>
      <c r="Q3406" s="4" t="inlineStr">
        <is>
          <t>MAESTRO-IOS-BUSINESS-TEAM_OPERATIONS-3405 | Payroll | 152062.46</t>
        </is>
      </c>
      <c r="R3406" s="4" t="inlineStr">
        <is>
          <t>iPhone</t>
        </is>
      </c>
      <c r="S3406" s="4" t="inlineStr">
        <is>
          <t>B69</t>
        </is>
      </c>
      <c r="T3406" s="4" t="inlineStr">
        <is>
          <t>STRESS_3001_3500</t>
        </is>
      </c>
      <c r="U3406" s="4" t="inlineStr">
        <is>
          <t>CREATED</t>
        </is>
      </c>
      <c r="V3406" s="4" t="inlineStr">
        <is>
          <t>idem-20260902-ios-3405</t>
        </is>
      </c>
    </row>
    <row r="3407" ht="30" customHeight="1">
      <c r="A3407" s="4" t="n">
        <v>3406</v>
      </c>
      <c r="B3407" s="4" t="inlineStr">
        <is>
          <t>MTR-IOS-3406</t>
        </is>
      </c>
      <c r="C3407" s="4" t="inlineStr">
        <is>
          <t>Personal</t>
        </is>
      </c>
      <c r="D3407" s="4" t="inlineStr">
        <is>
          <t>Personal</t>
        </is>
      </c>
      <c r="E3407" s="4" t="inlineStr">
        <is>
          <t>Future Building</t>
        </is>
      </c>
      <c r="F3407" s="4" t="inlineStr">
        <is>
          <t>Emergency Fund</t>
        </is>
      </c>
      <c r="G3407" s="4" t="inlineStr">
        <is>
          <t>Transfer</t>
        </is>
      </c>
      <c r="H3407" s="12" t="n">
        <v>46156</v>
      </c>
      <c r="I3407" s="13" t="n">
        <v>0.8596643518518519</v>
      </c>
      <c r="J3407" s="14" t="n">
        <v>46156.85966435185</v>
      </c>
      <c r="K3407" s="15" t="n">
        <v>12452.84</v>
      </c>
      <c r="L3407" s="4" t="inlineStr">
        <is>
          <t>INR</t>
        </is>
      </c>
      <c r="M3407" s="15" t="n">
        <v>0</v>
      </c>
      <c r="N3407" s="4" t="inlineStr">
        <is>
          <t>IOS Owner</t>
        </is>
      </c>
      <c r="O3407" s="4" t="n"/>
      <c r="P3407" s="4" t="n"/>
      <c r="Q3407" s="4" t="inlineStr">
        <is>
          <t>MAESTRO-IOS-PERSONAL-FUTURE_BUILDING-3406 | Emergency Fund | 12452.84</t>
        </is>
      </c>
      <c r="R3407" s="4" t="inlineStr">
        <is>
          <t>iPhone</t>
        </is>
      </c>
      <c r="S3407" s="4" t="inlineStr">
        <is>
          <t>B69</t>
        </is>
      </c>
      <c r="T3407" s="4" t="inlineStr">
        <is>
          <t>STRESS_3001_3500</t>
        </is>
      </c>
      <c r="U3407" s="4" t="inlineStr">
        <is>
          <t>CREATED</t>
        </is>
      </c>
      <c r="V3407" s="4" t="inlineStr">
        <is>
          <t>idem-20260902-ios-3406</t>
        </is>
      </c>
    </row>
    <row r="3408" ht="30" customHeight="1">
      <c r="A3408" s="4" t="n">
        <v>3407</v>
      </c>
      <c r="B3408" s="4" t="inlineStr">
        <is>
          <t>MTR-IOS-3407</t>
        </is>
      </c>
      <c r="C3408" s="4" t="inlineStr">
        <is>
          <t>Group</t>
        </is>
      </c>
      <c r="D3408" s="4" t="inlineStr">
        <is>
          <t>Shared Purchase</t>
        </is>
      </c>
      <c r="E3408" s="4" t="inlineStr">
        <is>
          <t>Assets</t>
        </is>
      </c>
      <c r="F3408" s="4" t="inlineStr">
        <is>
          <t>Maintenance</t>
        </is>
      </c>
      <c r="G3408" s="4" t="inlineStr">
        <is>
          <t>Expense</t>
        </is>
      </c>
      <c r="H3408" s="12" t="n">
        <v>46170</v>
      </c>
      <c r="I3408" s="13" t="n">
        <v>0.2724189814814815</v>
      </c>
      <c r="J3408" s="14" t="n">
        <v>46170.27241898148</v>
      </c>
      <c r="K3408" s="15" t="n">
        <v>23171.42</v>
      </c>
      <c r="L3408" s="4" t="inlineStr">
        <is>
          <t>INR</t>
        </is>
      </c>
      <c r="M3408" s="15" t="n">
        <v>-23171.42</v>
      </c>
      <c r="N3408" s="4" t="inlineStr">
        <is>
          <t>IOS Aarav</t>
        </is>
      </c>
      <c r="O3408" s="4" t="n">
        <v>3</v>
      </c>
      <c r="P3408" s="4" t="inlineStr">
        <is>
          <t>SHARES</t>
        </is>
      </c>
      <c r="Q3408" s="4" t="inlineStr">
        <is>
          <t>MAESTRO-IOS-GROUP-ASSETS-3407 | Maintenance | 23171.42</t>
        </is>
      </c>
      <c r="R3408" s="4" t="inlineStr">
        <is>
          <t>iPhone</t>
        </is>
      </c>
      <c r="S3408" s="4" t="inlineStr">
        <is>
          <t>B69</t>
        </is>
      </c>
      <c r="T3408" s="4" t="inlineStr">
        <is>
          <t>STRESS_3001_3500</t>
        </is>
      </c>
      <c r="U3408" s="4" t="inlineStr">
        <is>
          <t>CREATED</t>
        </is>
      </c>
      <c r="V3408" s="4" t="inlineStr">
        <is>
          <t>idem-20260902-ios-3407</t>
        </is>
      </c>
    </row>
    <row r="3409" ht="30" customHeight="1">
      <c r="A3409" s="4" t="n">
        <v>3408</v>
      </c>
      <c r="B3409" s="4" t="inlineStr">
        <is>
          <t>MTR-IOS-3408</t>
        </is>
      </c>
      <c r="C3409" s="4" t="inlineStr">
        <is>
          <t>Business</t>
        </is>
      </c>
      <c r="D3409" s="4" t="inlineStr">
        <is>
          <t>Business</t>
        </is>
      </c>
      <c r="E3409" s="4" t="inlineStr">
        <is>
          <t>Team Operations</t>
        </is>
      </c>
      <c r="F3409" s="4" t="inlineStr">
        <is>
          <t>Contractor</t>
        </is>
      </c>
      <c r="G3409" s="4" t="inlineStr">
        <is>
          <t>Expense</t>
        </is>
      </c>
      <c r="H3409" s="12" t="n">
        <v>46002</v>
      </c>
      <c r="I3409" s="13" t="n">
        <v>0.6506597222222222</v>
      </c>
      <c r="J3409" s="14" t="n">
        <v>46002.65065972223</v>
      </c>
      <c r="K3409" s="15" t="n">
        <v>77484.41</v>
      </c>
      <c r="L3409" s="4" t="inlineStr">
        <is>
          <t>INR</t>
        </is>
      </c>
      <c r="M3409" s="15" t="n">
        <v>-77484.41</v>
      </c>
      <c r="N3409" s="4" t="inlineStr">
        <is>
          <t>IOS Owner</t>
        </is>
      </c>
      <c r="O3409" s="4" t="n"/>
      <c r="P3409" s="4" t="n"/>
      <c r="Q3409" s="4" t="inlineStr">
        <is>
          <t>MAESTRO-IOS-BUSINESS-TEAM_OPERATIONS-3408 | Contractor | 77484.41</t>
        </is>
      </c>
      <c r="R3409" s="4" t="inlineStr">
        <is>
          <t>iPhone</t>
        </is>
      </c>
      <c r="S3409" s="4" t="inlineStr">
        <is>
          <t>B69</t>
        </is>
      </c>
      <c r="T3409" s="4" t="inlineStr">
        <is>
          <t>STRESS_3001_3500</t>
        </is>
      </c>
      <c r="U3409" s="4" t="inlineStr">
        <is>
          <t>CREATED</t>
        </is>
      </c>
      <c r="V3409" s="4" t="inlineStr">
        <is>
          <t>idem-20260902-ios-3408</t>
        </is>
      </c>
    </row>
    <row r="3410" ht="30" customHeight="1">
      <c r="A3410" s="4" t="n">
        <v>3409</v>
      </c>
      <c r="B3410" s="4" t="inlineStr">
        <is>
          <t>MTR-IOS-3409</t>
        </is>
      </c>
      <c r="C3410" s="4" t="inlineStr">
        <is>
          <t>Personal</t>
        </is>
      </c>
      <c r="D3410" s="4" t="inlineStr">
        <is>
          <t>Personal</t>
        </is>
      </c>
      <c r="E3410" s="4" t="inlineStr">
        <is>
          <t>Future Building</t>
        </is>
      </c>
      <c r="F3410" s="4" t="inlineStr">
        <is>
          <t>Investments</t>
        </is>
      </c>
      <c r="G3410" s="4" t="inlineStr">
        <is>
          <t>Investment</t>
        </is>
      </c>
      <c r="H3410" s="12" t="n">
        <v>46083</v>
      </c>
      <c r="I3410" s="13" t="n">
        <v>0.7804976851851851</v>
      </c>
      <c r="J3410" s="14" t="n">
        <v>46083.78049768518</v>
      </c>
      <c r="K3410" s="15" t="n">
        <v>5848.21</v>
      </c>
      <c r="L3410" s="4" t="inlineStr">
        <is>
          <t>INR</t>
        </is>
      </c>
      <c r="M3410" s="15" t="n">
        <v>0</v>
      </c>
      <c r="N3410" s="4" t="inlineStr">
        <is>
          <t>IOS Owner</t>
        </is>
      </c>
      <c r="O3410" s="4" t="n"/>
      <c r="P3410" s="4" t="n"/>
      <c r="Q3410" s="4" t="inlineStr">
        <is>
          <t>MAESTRO-IOS-PERSONAL-FUTURE_BUILDING-3409 | Investments | 5848.21</t>
        </is>
      </c>
      <c r="R3410" s="4" t="inlineStr">
        <is>
          <t>iPhone</t>
        </is>
      </c>
      <c r="S3410" s="4" t="inlineStr">
        <is>
          <t>B69</t>
        </is>
      </c>
      <c r="T3410" s="4" t="inlineStr">
        <is>
          <t>STRESS_3001_3500</t>
        </is>
      </c>
      <c r="U3410" s="4" t="inlineStr">
        <is>
          <t>CREATED</t>
        </is>
      </c>
      <c r="V3410" s="4" t="inlineStr">
        <is>
          <t>idem-20260902-ios-3409</t>
        </is>
      </c>
    </row>
    <row r="3411" ht="30" customHeight="1">
      <c r="A3411" s="4" t="n">
        <v>3410</v>
      </c>
      <c r="B3411" s="4" t="inlineStr">
        <is>
          <t>MTR-IOS-3410</t>
        </is>
      </c>
      <c r="C3411" s="4" t="inlineStr">
        <is>
          <t>Group</t>
        </is>
      </c>
      <c r="D3411" s="4" t="inlineStr">
        <is>
          <t>Shared Purchase</t>
        </is>
      </c>
      <c r="E3411" s="4" t="inlineStr">
        <is>
          <t>Assets</t>
        </is>
      </c>
      <c r="F3411" s="4" t="inlineStr">
        <is>
          <t>Repair</t>
        </is>
      </c>
      <c r="G3411" s="4" t="inlineStr">
        <is>
          <t>Expense</t>
        </is>
      </c>
      <c r="H3411" s="12" t="n">
        <v>46176</v>
      </c>
      <c r="I3411" s="13" t="n">
        <v>0.2713310185185185</v>
      </c>
      <c r="J3411" s="14" t="n">
        <v>46176.27133101852</v>
      </c>
      <c r="K3411" s="15" t="n">
        <v>7277.45</v>
      </c>
      <c r="L3411" s="4" t="inlineStr">
        <is>
          <t>INR</t>
        </is>
      </c>
      <c r="M3411" s="15" t="n">
        <v>-7277.45</v>
      </c>
      <c r="N3411" s="4" t="inlineStr">
        <is>
          <t>IOS Meera</t>
        </is>
      </c>
      <c r="O3411" s="4" t="n">
        <v>3</v>
      </c>
      <c r="P3411" s="4" t="inlineStr">
        <is>
          <t>EQUAL</t>
        </is>
      </c>
      <c r="Q3411" s="4" t="inlineStr">
        <is>
          <t>MAESTRO-IOS-GROUP-ASSETS-3410 | Repair | 7277.45</t>
        </is>
      </c>
      <c r="R3411" s="4" t="inlineStr">
        <is>
          <t>iPhone</t>
        </is>
      </c>
      <c r="S3411" s="4" t="inlineStr">
        <is>
          <t>B69</t>
        </is>
      </c>
      <c r="T3411" s="4" t="inlineStr">
        <is>
          <t>STRESS_3001_3500</t>
        </is>
      </c>
      <c r="U3411" s="4" t="inlineStr">
        <is>
          <t>CREATED</t>
        </is>
      </c>
      <c r="V3411" s="4" t="inlineStr">
        <is>
          <t>idem-20260902-ios-3410</t>
        </is>
      </c>
    </row>
    <row r="3412" ht="30" customHeight="1">
      <c r="A3412" s="4" t="n">
        <v>3411</v>
      </c>
      <c r="B3412" s="4" t="inlineStr">
        <is>
          <t>MTR-IOS-3411</t>
        </is>
      </c>
      <c r="C3412" s="4" t="inlineStr">
        <is>
          <t>Business</t>
        </is>
      </c>
      <c r="D3412" s="4" t="inlineStr">
        <is>
          <t>Business</t>
        </is>
      </c>
      <c r="E3412" s="4" t="inlineStr">
        <is>
          <t>Team Operations</t>
        </is>
      </c>
      <c r="F3412" s="4" t="inlineStr">
        <is>
          <t>Hiring</t>
        </is>
      </c>
      <c r="G3412" s="4" t="inlineStr">
        <is>
          <t>Expense</t>
        </is>
      </c>
      <c r="H3412" s="12" t="n">
        <v>46074</v>
      </c>
      <c r="I3412" s="13" t="n">
        <v>0.4998958333333333</v>
      </c>
      <c r="J3412" s="14" t="n">
        <v>46074.49989583333</v>
      </c>
      <c r="K3412" s="15" t="n">
        <v>12966.72</v>
      </c>
      <c r="L3412" s="4" t="inlineStr">
        <is>
          <t>INR</t>
        </is>
      </c>
      <c r="M3412" s="15" t="n">
        <v>-12966.72</v>
      </c>
      <c r="N3412" s="4" t="inlineStr">
        <is>
          <t>IOS Owner</t>
        </is>
      </c>
      <c r="O3412" s="4" t="n"/>
      <c r="P3412" s="4" t="n"/>
      <c r="Q3412" s="4" t="inlineStr">
        <is>
          <t>MAESTRO-IOS-BUSINESS-TEAM_OPERATIONS-3411 | Hiring | 12966.72</t>
        </is>
      </c>
      <c r="R3412" s="4" t="inlineStr">
        <is>
          <t>iPhone</t>
        </is>
      </c>
      <c r="S3412" s="4" t="inlineStr">
        <is>
          <t>B69</t>
        </is>
      </c>
      <c r="T3412" s="4" t="inlineStr">
        <is>
          <t>STRESS_3001_3500</t>
        </is>
      </c>
      <c r="U3412" s="4" t="inlineStr">
        <is>
          <t>CREATED</t>
        </is>
      </c>
      <c r="V3412" s="4" t="inlineStr">
        <is>
          <t>idem-20260902-ios-3411</t>
        </is>
      </c>
    </row>
    <row r="3413" ht="30" customHeight="1">
      <c r="A3413" s="4" t="n">
        <v>3412</v>
      </c>
      <c r="B3413" s="4" t="inlineStr">
        <is>
          <t>MTR-IOS-3412</t>
        </is>
      </c>
      <c r="C3413" s="4" t="inlineStr">
        <is>
          <t>Personal</t>
        </is>
      </c>
      <c r="D3413" s="4" t="inlineStr">
        <is>
          <t>Personal</t>
        </is>
      </c>
      <c r="E3413" s="4" t="inlineStr">
        <is>
          <t>Future Building</t>
        </is>
      </c>
      <c r="F3413" s="4" t="inlineStr">
        <is>
          <t>Education</t>
        </is>
      </c>
      <c r="G3413" s="4" t="inlineStr">
        <is>
          <t>Expense</t>
        </is>
      </c>
      <c r="H3413" s="12" t="n">
        <v>45923</v>
      </c>
      <c r="I3413" s="13" t="n">
        <v>0.263912037037037</v>
      </c>
      <c r="J3413" s="14" t="n">
        <v>45923.26391203704</v>
      </c>
      <c r="K3413" s="15" t="n">
        <v>14032.11</v>
      </c>
      <c r="L3413" s="4" t="inlineStr">
        <is>
          <t>INR</t>
        </is>
      </c>
      <c r="M3413" s="15" t="n">
        <v>-14032.11</v>
      </c>
      <c r="N3413" s="4" t="inlineStr">
        <is>
          <t>IOS Owner</t>
        </is>
      </c>
      <c r="O3413" s="4" t="n"/>
      <c r="P3413" s="4" t="n"/>
      <c r="Q3413" s="4" t="inlineStr">
        <is>
          <t>MAESTRO-IOS-PERSONAL-FUTURE_BUILDING-3412 | Education | 14032.11</t>
        </is>
      </c>
      <c r="R3413" s="4" t="inlineStr">
        <is>
          <t>iPhone</t>
        </is>
      </c>
      <c r="S3413" s="4" t="inlineStr">
        <is>
          <t>B69</t>
        </is>
      </c>
      <c r="T3413" s="4" t="inlineStr">
        <is>
          <t>STRESS_3001_3500</t>
        </is>
      </c>
      <c r="U3413" s="4" t="inlineStr">
        <is>
          <t>CREATED</t>
        </is>
      </c>
      <c r="V3413" s="4" t="inlineStr">
        <is>
          <t>idem-20260902-ios-3412</t>
        </is>
      </c>
    </row>
    <row r="3414" ht="30" customHeight="1">
      <c r="A3414" s="4" t="n">
        <v>3413</v>
      </c>
      <c r="B3414" s="4" t="inlineStr">
        <is>
          <t>MTR-IOS-3413</t>
        </is>
      </c>
      <c r="C3414" s="4" t="inlineStr">
        <is>
          <t>Group</t>
        </is>
      </c>
      <c r="D3414" s="4" t="inlineStr">
        <is>
          <t>Shared Purchase</t>
        </is>
      </c>
      <c r="E3414" s="4" t="inlineStr">
        <is>
          <t>Assets</t>
        </is>
      </c>
      <c r="F3414" s="4" t="inlineStr">
        <is>
          <t>Insurance</t>
        </is>
      </c>
      <c r="G3414" s="4" t="inlineStr">
        <is>
          <t>Expense</t>
        </is>
      </c>
      <c r="H3414" s="12" t="n">
        <v>45908</v>
      </c>
      <c r="I3414" s="13" t="n">
        <v>0.09702546296296297</v>
      </c>
      <c r="J3414" s="14" t="n">
        <v>45908.09702546296</v>
      </c>
      <c r="K3414" s="15" t="n">
        <v>19750.05</v>
      </c>
      <c r="L3414" s="4" t="inlineStr">
        <is>
          <t>INR</t>
        </is>
      </c>
      <c r="M3414" s="15" t="n">
        <v>-19750.05</v>
      </c>
      <c r="N3414" s="4" t="inlineStr">
        <is>
          <t>IOS Owner</t>
        </is>
      </c>
      <c r="O3414" s="4" t="n">
        <v>3</v>
      </c>
      <c r="P3414" s="4" t="inlineStr">
        <is>
          <t>PERCENTAGE</t>
        </is>
      </c>
      <c r="Q3414" s="4" t="inlineStr">
        <is>
          <t>MAESTRO-IOS-GROUP-ASSETS-3413 | Insurance | 19750.05</t>
        </is>
      </c>
      <c r="R3414" s="4" t="inlineStr">
        <is>
          <t>iPhone</t>
        </is>
      </c>
      <c r="S3414" s="4" t="inlineStr">
        <is>
          <t>B69</t>
        </is>
      </c>
      <c r="T3414" s="4" t="inlineStr">
        <is>
          <t>STRESS_3001_3500</t>
        </is>
      </c>
      <c r="U3414" s="4" t="inlineStr">
        <is>
          <t>CREATED</t>
        </is>
      </c>
      <c r="V3414" s="4" t="inlineStr">
        <is>
          <t>idem-20260902-ios-3413</t>
        </is>
      </c>
    </row>
    <row r="3415" ht="30" customHeight="1">
      <c r="A3415" s="4" t="n">
        <v>3414</v>
      </c>
      <c r="B3415" s="4" t="inlineStr">
        <is>
          <t>MTR-IOS-3414</t>
        </is>
      </c>
      <c r="C3415" s="4" t="inlineStr">
        <is>
          <t>Business</t>
        </is>
      </c>
      <c r="D3415" s="4" t="inlineStr">
        <is>
          <t>Business</t>
        </is>
      </c>
      <c r="E3415" s="4" t="inlineStr">
        <is>
          <t>Team Operations</t>
        </is>
      </c>
      <c r="F3415" s="4" t="inlineStr">
        <is>
          <t>Team Meal</t>
        </is>
      </c>
      <c r="G3415" s="4" t="inlineStr">
        <is>
          <t>Expense</t>
        </is>
      </c>
      <c r="H3415" s="12" t="n">
        <v>46077</v>
      </c>
      <c r="I3415" s="13" t="n">
        <v>0.02599537037037037</v>
      </c>
      <c r="J3415" s="14" t="n">
        <v>46077.02599537037</v>
      </c>
      <c r="K3415" s="15" t="n">
        <v>163004.56</v>
      </c>
      <c r="L3415" s="4" t="inlineStr">
        <is>
          <t>INR</t>
        </is>
      </c>
      <c r="M3415" s="15" t="n">
        <v>-163004.56</v>
      </c>
      <c r="N3415" s="4" t="inlineStr">
        <is>
          <t>IOS Owner</t>
        </is>
      </c>
      <c r="O3415" s="4" t="n"/>
      <c r="P3415" s="4" t="n"/>
      <c r="Q3415" s="4" t="inlineStr">
        <is>
          <t>MAESTRO-IOS-BUSINESS-TEAM_OPERATIONS-3414 | Team Meal | 163004.56</t>
        </is>
      </c>
      <c r="R3415" s="4" t="inlineStr">
        <is>
          <t>iPhone</t>
        </is>
      </c>
      <c r="S3415" s="4" t="inlineStr">
        <is>
          <t>B69</t>
        </is>
      </c>
      <c r="T3415" s="4" t="inlineStr">
        <is>
          <t>STRESS_3001_3500</t>
        </is>
      </c>
      <c r="U3415" s="4" t="inlineStr">
        <is>
          <t>CREATED</t>
        </is>
      </c>
      <c r="V3415" s="4" t="inlineStr">
        <is>
          <t>idem-20260902-ios-3414</t>
        </is>
      </c>
    </row>
    <row r="3416" ht="30" customHeight="1">
      <c r="A3416" s="4" t="n">
        <v>3415</v>
      </c>
      <c r="B3416" s="4" t="inlineStr">
        <is>
          <t>MTR-IOS-3415</t>
        </is>
      </c>
      <c r="C3416" s="4" t="inlineStr">
        <is>
          <t>Personal</t>
        </is>
      </c>
      <c r="D3416" s="4" t="inlineStr">
        <is>
          <t>Personal</t>
        </is>
      </c>
      <c r="E3416" s="4" t="inlineStr">
        <is>
          <t>Future Building</t>
        </is>
      </c>
      <c r="F3416" s="4" t="inlineStr">
        <is>
          <t>Goal Contribution</t>
        </is>
      </c>
      <c r="G3416" s="4" t="inlineStr">
        <is>
          <t>Transfer</t>
        </is>
      </c>
      <c r="H3416" s="12" t="n">
        <v>45925</v>
      </c>
      <c r="I3416" s="13" t="n">
        <v>0.5403819444444444</v>
      </c>
      <c r="J3416" s="14" t="n">
        <v>45925.54038194445</v>
      </c>
      <c r="K3416" s="15" t="n">
        <v>9129.299999999999</v>
      </c>
      <c r="L3416" s="4" t="inlineStr">
        <is>
          <t>INR</t>
        </is>
      </c>
      <c r="M3416" s="15" t="n">
        <v>0</v>
      </c>
      <c r="N3416" s="4" t="inlineStr">
        <is>
          <t>IOS Owner</t>
        </is>
      </c>
      <c r="O3416" s="4" t="n"/>
      <c r="P3416" s="4" t="n"/>
      <c r="Q3416" s="4" t="inlineStr">
        <is>
          <t>MAESTRO-IOS-PERSONAL-FUTURE_BUILDING-3415 | Goal Contribution | 9129.30</t>
        </is>
      </c>
      <c r="R3416" s="4" t="inlineStr">
        <is>
          <t>iPhone</t>
        </is>
      </c>
      <c r="S3416" s="4" t="inlineStr">
        <is>
          <t>B69</t>
        </is>
      </c>
      <c r="T3416" s="4" t="inlineStr">
        <is>
          <t>STRESS_3001_3500</t>
        </is>
      </c>
      <c r="U3416" s="4" t="inlineStr">
        <is>
          <t>CREATED</t>
        </is>
      </c>
      <c r="V3416" s="4" t="inlineStr">
        <is>
          <t>idem-20260902-ios-3415</t>
        </is>
      </c>
    </row>
    <row r="3417" ht="30" customHeight="1">
      <c r="A3417" s="4" t="n">
        <v>3416</v>
      </c>
      <c r="B3417" s="4" t="inlineStr">
        <is>
          <t>MTR-IOS-3416</t>
        </is>
      </c>
      <c r="C3417" s="4" t="inlineStr">
        <is>
          <t>Group</t>
        </is>
      </c>
      <c r="D3417" s="4" t="inlineStr">
        <is>
          <t>Shared Purchase</t>
        </is>
      </c>
      <c r="E3417" s="4" t="inlineStr">
        <is>
          <t>Assets</t>
        </is>
      </c>
      <c r="F3417" s="4" t="inlineStr">
        <is>
          <t>Other</t>
        </is>
      </c>
      <c r="G3417" s="4" t="inlineStr">
        <is>
          <t>Expense</t>
        </is>
      </c>
      <c r="H3417" s="12" t="n">
        <v>46239</v>
      </c>
      <c r="I3417" s="13" t="n">
        <v>0.4422337962962963</v>
      </c>
      <c r="J3417" s="14" t="n">
        <v>46239.4422337963</v>
      </c>
      <c r="K3417" s="15" t="n">
        <v>5504.28</v>
      </c>
      <c r="L3417" s="4" t="inlineStr">
        <is>
          <t>INR</t>
        </is>
      </c>
      <c r="M3417" s="15" t="n">
        <v>-5504.28</v>
      </c>
      <c r="N3417" s="4" t="inlineStr">
        <is>
          <t>IOS Aarav</t>
        </is>
      </c>
      <c r="O3417" s="4" t="n">
        <v>3</v>
      </c>
      <c r="P3417" s="4" t="inlineStr">
        <is>
          <t>EXACT</t>
        </is>
      </c>
      <c r="Q3417" s="4" t="inlineStr">
        <is>
          <t>MAESTRO-IOS-GROUP-ASSETS-3416 | Other | 5504.28</t>
        </is>
      </c>
      <c r="R3417" s="4" t="inlineStr">
        <is>
          <t>iPhone</t>
        </is>
      </c>
      <c r="S3417" s="4" t="inlineStr">
        <is>
          <t>B69</t>
        </is>
      </c>
      <c r="T3417" s="4" t="inlineStr">
        <is>
          <t>STRESS_3001_3500</t>
        </is>
      </c>
      <c r="U3417" s="4" t="inlineStr">
        <is>
          <t>CREATED</t>
        </is>
      </c>
      <c r="V3417" s="4" t="inlineStr">
        <is>
          <t>idem-20260902-ios-3416</t>
        </is>
      </c>
    </row>
    <row r="3418" ht="30" customHeight="1">
      <c r="A3418" s="4" t="n">
        <v>3417</v>
      </c>
      <c r="B3418" s="4" t="inlineStr">
        <is>
          <t>MTR-IOS-3417</t>
        </is>
      </c>
      <c r="C3418" s="4" t="inlineStr">
        <is>
          <t>Business</t>
        </is>
      </c>
      <c r="D3418" s="4" t="inlineStr">
        <is>
          <t>Business</t>
        </is>
      </c>
      <c r="E3418" s="4" t="inlineStr">
        <is>
          <t>Team Operations</t>
        </is>
      </c>
      <c r="F3418" s="4" t="inlineStr">
        <is>
          <t>Travel</t>
        </is>
      </c>
      <c r="G3418" s="4" t="inlineStr">
        <is>
          <t>Expense</t>
        </is>
      </c>
      <c r="H3418" s="12" t="n">
        <v>46113</v>
      </c>
      <c r="I3418" s="13" t="n">
        <v>0.3028703703703703</v>
      </c>
      <c r="J3418" s="14" t="n">
        <v>46113.30287037037</v>
      </c>
      <c r="K3418" s="15" t="n">
        <v>91324.3</v>
      </c>
      <c r="L3418" s="4" t="inlineStr">
        <is>
          <t>INR</t>
        </is>
      </c>
      <c r="M3418" s="15" t="n">
        <v>-91324.3</v>
      </c>
      <c r="N3418" s="4" t="inlineStr">
        <is>
          <t>IOS Owner</t>
        </is>
      </c>
      <c r="O3418" s="4" t="n"/>
      <c r="P3418" s="4" t="n"/>
      <c r="Q3418" s="4" t="inlineStr">
        <is>
          <t>MAESTRO-IOS-BUSINESS-TEAM_OPERATIONS-3417 | Travel | 91324.30</t>
        </is>
      </c>
      <c r="R3418" s="4" t="inlineStr">
        <is>
          <t>iPhone</t>
        </is>
      </c>
      <c r="S3418" s="4" t="inlineStr">
        <is>
          <t>B69</t>
        </is>
      </c>
      <c r="T3418" s="4" t="inlineStr">
        <is>
          <t>STRESS_3001_3500</t>
        </is>
      </c>
      <c r="U3418" s="4" t="inlineStr">
        <is>
          <t>CREATED</t>
        </is>
      </c>
      <c r="V3418" s="4" t="inlineStr">
        <is>
          <t>idem-20260902-ios-3417</t>
        </is>
      </c>
    </row>
    <row r="3419" ht="30" customHeight="1">
      <c r="A3419" s="4" t="n">
        <v>3418</v>
      </c>
      <c r="B3419" s="4" t="inlineStr">
        <is>
          <t>MTR-IOS-3418</t>
        </is>
      </c>
      <c r="C3419" s="4" t="inlineStr">
        <is>
          <t>Personal</t>
        </is>
      </c>
      <c r="D3419" s="4" t="inlineStr">
        <is>
          <t>Personal</t>
        </is>
      </c>
      <c r="E3419" s="4" t="inlineStr">
        <is>
          <t>Lifestyle</t>
        </is>
      </c>
      <c r="F3419" s="4" t="inlineStr">
        <is>
          <t>Dining</t>
        </is>
      </c>
      <c r="G3419" s="4" t="inlineStr">
        <is>
          <t>Expense</t>
        </is>
      </c>
      <c r="H3419" s="12" t="n">
        <v>45933</v>
      </c>
      <c r="I3419" s="13" t="n">
        <v>0.8987731481481481</v>
      </c>
      <c r="J3419" s="14" t="n">
        <v>45933.89877314815</v>
      </c>
      <c r="K3419" s="15" t="n">
        <v>17715.66</v>
      </c>
      <c r="L3419" s="4" t="inlineStr">
        <is>
          <t>INR</t>
        </is>
      </c>
      <c r="M3419" s="15" t="n">
        <v>-17715.66</v>
      </c>
      <c r="N3419" s="4" t="inlineStr">
        <is>
          <t>IOS Owner</t>
        </is>
      </c>
      <c r="O3419" s="4" t="n"/>
      <c r="P3419" s="4" t="n"/>
      <c r="Q3419" s="4" t="inlineStr">
        <is>
          <t>MAESTRO-IOS-PERSONAL-LIFESTYLE-3418 | Dining | 17715.66</t>
        </is>
      </c>
      <c r="R3419" s="4" t="inlineStr">
        <is>
          <t>iPhone</t>
        </is>
      </c>
      <c r="S3419" s="4" t="inlineStr">
        <is>
          <t>B69</t>
        </is>
      </c>
      <c r="T3419" s="4" t="inlineStr">
        <is>
          <t>STRESS_3001_3500</t>
        </is>
      </c>
      <c r="U3419" s="4" t="inlineStr">
        <is>
          <t>CREATED</t>
        </is>
      </c>
      <c r="V3419" s="4" t="inlineStr">
        <is>
          <t>idem-20260902-ios-3418</t>
        </is>
      </c>
    </row>
    <row r="3420" ht="30" customHeight="1">
      <c r="A3420" s="4" t="n">
        <v>3419</v>
      </c>
      <c r="B3420" s="4" t="inlineStr">
        <is>
          <t>MTR-IOS-3419</t>
        </is>
      </c>
      <c r="C3420" s="4" t="inlineStr">
        <is>
          <t>Group</t>
        </is>
      </c>
      <c r="D3420" s="4" t="inlineStr">
        <is>
          <t>Shared Purchase</t>
        </is>
      </c>
      <c r="E3420" s="4" t="inlineStr">
        <is>
          <t>Custom Purchase</t>
        </is>
      </c>
      <c r="F3420" s="4" t="inlineStr">
        <is>
          <t>Custom Expense</t>
        </is>
      </c>
      <c r="G3420" s="4" t="inlineStr">
        <is>
          <t>Expense</t>
        </is>
      </c>
      <c r="H3420" s="12" t="n">
        <v>45986</v>
      </c>
      <c r="I3420" s="13" t="n">
        <v>0.02804398148148148</v>
      </c>
      <c r="J3420" s="14" t="n">
        <v>45986.02804398148</v>
      </c>
      <c r="K3420" s="15" t="n">
        <v>707.22</v>
      </c>
      <c r="L3420" s="4" t="inlineStr">
        <is>
          <t>INR</t>
        </is>
      </c>
      <c r="M3420" s="15" t="n">
        <v>-707.22</v>
      </c>
      <c r="N3420" s="4" t="inlineStr">
        <is>
          <t>IOS Meera</t>
        </is>
      </c>
      <c r="O3420" s="4" t="n">
        <v>3</v>
      </c>
      <c r="P3420" s="4" t="inlineStr">
        <is>
          <t>SHARES</t>
        </is>
      </c>
      <c r="Q3420" s="4" t="inlineStr">
        <is>
          <t>MAESTRO-IOS-GROUP-CUSTOM_PURCHASE-3419 | Custom Expense | 707.22</t>
        </is>
      </c>
      <c r="R3420" s="4" t="inlineStr">
        <is>
          <t>iPhone</t>
        </is>
      </c>
      <c r="S3420" s="4" t="inlineStr">
        <is>
          <t>B69</t>
        </is>
      </c>
      <c r="T3420" s="4" t="inlineStr">
        <is>
          <t>STRESS_3001_3500</t>
        </is>
      </c>
      <c r="U3420" s="4" t="inlineStr">
        <is>
          <t>CREATED</t>
        </is>
      </c>
      <c r="V3420" s="4" t="inlineStr">
        <is>
          <t>idem-20260902-ios-3419</t>
        </is>
      </c>
    </row>
    <row r="3421" ht="30" customHeight="1">
      <c r="A3421" s="4" t="n">
        <v>3420</v>
      </c>
      <c r="B3421" s="4" t="inlineStr">
        <is>
          <t>MTR-IOS-3420</t>
        </is>
      </c>
      <c r="C3421" s="4" t="inlineStr">
        <is>
          <t>Business</t>
        </is>
      </c>
      <c r="D3421" s="4" t="inlineStr">
        <is>
          <t>Business</t>
        </is>
      </c>
      <c r="E3421" s="4" t="inlineStr">
        <is>
          <t>Team Operations</t>
        </is>
      </c>
      <c r="F3421" s="4" t="inlineStr">
        <is>
          <t>Training</t>
        </is>
      </c>
      <c r="G3421" s="4" t="inlineStr">
        <is>
          <t>Expense</t>
        </is>
      </c>
      <c r="H3421" s="12" t="n">
        <v>46033</v>
      </c>
      <c r="I3421" s="13" t="n">
        <v>0.4036689814814815</v>
      </c>
      <c r="J3421" s="14" t="n">
        <v>46033.40366898148</v>
      </c>
      <c r="K3421" s="15" t="n">
        <v>5232.02</v>
      </c>
      <c r="L3421" s="4" t="inlineStr">
        <is>
          <t>INR</t>
        </is>
      </c>
      <c r="M3421" s="15" t="n">
        <v>-5232.02</v>
      </c>
      <c r="N3421" s="4" t="inlineStr">
        <is>
          <t>IOS Owner</t>
        </is>
      </c>
      <c r="O3421" s="4" t="n"/>
      <c r="P3421" s="4" t="n"/>
      <c r="Q3421" s="4" t="inlineStr">
        <is>
          <t>MAESTRO-IOS-BUSINESS-TEAM_OPERATIONS-3420 | Training | 5232.02</t>
        </is>
      </c>
      <c r="R3421" s="4" t="inlineStr">
        <is>
          <t>iPhone</t>
        </is>
      </c>
      <c r="S3421" s="4" t="inlineStr">
        <is>
          <t>B69</t>
        </is>
      </c>
      <c r="T3421" s="4" t="inlineStr">
        <is>
          <t>STRESS_3001_3500</t>
        </is>
      </c>
      <c r="U3421" s="4" t="inlineStr">
        <is>
          <t>CREATED</t>
        </is>
      </c>
      <c r="V3421" s="4" t="inlineStr">
        <is>
          <t>idem-20260902-ios-3420</t>
        </is>
      </c>
    </row>
    <row r="3422" ht="30" customHeight="1">
      <c r="A3422" s="4" t="n">
        <v>3421</v>
      </c>
      <c r="B3422" s="4" t="inlineStr">
        <is>
          <t>MTR-IOS-3421</t>
        </is>
      </c>
      <c r="C3422" s="4" t="inlineStr">
        <is>
          <t>Personal</t>
        </is>
      </c>
      <c r="D3422" s="4" t="inlineStr">
        <is>
          <t>Personal</t>
        </is>
      </c>
      <c r="E3422" s="4" t="inlineStr">
        <is>
          <t>Lifestyle</t>
        </is>
      </c>
      <c r="F3422" s="4" t="inlineStr">
        <is>
          <t>Shopping</t>
        </is>
      </c>
      <c r="G3422" s="4" t="inlineStr">
        <is>
          <t>Expense</t>
        </is>
      </c>
      <c r="H3422" s="12" t="n">
        <v>46035</v>
      </c>
      <c r="I3422" s="13" t="n">
        <v>0.6050462962962962</v>
      </c>
      <c r="J3422" s="14" t="n">
        <v>46035.6050462963</v>
      </c>
      <c r="K3422" s="15" t="n">
        <v>268.67</v>
      </c>
      <c r="L3422" s="4" t="inlineStr">
        <is>
          <t>INR</t>
        </is>
      </c>
      <c r="M3422" s="15" t="n">
        <v>-268.67</v>
      </c>
      <c r="N3422" s="4" t="inlineStr">
        <is>
          <t>IOS Owner</t>
        </is>
      </c>
      <c r="O3422" s="4" t="n"/>
      <c r="P3422" s="4" t="n"/>
      <c r="Q3422" s="4" t="inlineStr">
        <is>
          <t>MAESTRO-IOS-PERSONAL-LIFESTYLE-3421 | Shopping | 268.67</t>
        </is>
      </c>
      <c r="R3422" s="4" t="inlineStr">
        <is>
          <t>iPhone</t>
        </is>
      </c>
      <c r="S3422" s="4" t="inlineStr">
        <is>
          <t>B69</t>
        </is>
      </c>
      <c r="T3422" s="4" t="inlineStr">
        <is>
          <t>STRESS_3001_3500</t>
        </is>
      </c>
      <c r="U3422" s="4" t="inlineStr">
        <is>
          <t>CREATED</t>
        </is>
      </c>
      <c r="V3422" s="4" t="inlineStr">
        <is>
          <t>idem-20260902-ios-3421</t>
        </is>
      </c>
    </row>
    <row r="3423" ht="30" customHeight="1">
      <c r="A3423" s="4" t="n">
        <v>3422</v>
      </c>
      <c r="B3423" s="4" t="inlineStr">
        <is>
          <t>MTR-IOS-3422</t>
        </is>
      </c>
      <c r="C3423" s="4" t="inlineStr">
        <is>
          <t>Group</t>
        </is>
      </c>
      <c r="D3423" s="4" t="inlineStr">
        <is>
          <t>Shared Purchase</t>
        </is>
      </c>
      <c r="E3423" s="4" t="inlineStr">
        <is>
          <t>Custom Purchase</t>
        </is>
      </c>
      <c r="F3423" s="4" t="inlineStr">
        <is>
          <t>Custom Contribution</t>
        </is>
      </c>
      <c r="G3423" s="4" t="inlineStr">
        <is>
          <t>Contribution</t>
        </is>
      </c>
      <c r="H3423" s="12" t="n">
        <v>46138</v>
      </c>
      <c r="I3423" s="13" t="n">
        <v>0.4942245370370371</v>
      </c>
      <c r="J3423" s="14" t="n">
        <v>46138.49422453704</v>
      </c>
      <c r="K3423" s="15" t="n">
        <v>11791.72</v>
      </c>
      <c r="L3423" s="4" t="inlineStr">
        <is>
          <t>INR</t>
        </is>
      </c>
      <c r="M3423" s="15" t="n">
        <v>11791.72</v>
      </c>
      <c r="N3423" s="4" t="inlineStr">
        <is>
          <t>IOS Owner</t>
        </is>
      </c>
      <c r="O3423" s="4" t="n">
        <v>3</v>
      </c>
      <c r="P3423" s="4" t="inlineStr">
        <is>
          <t>EQUAL</t>
        </is>
      </c>
      <c r="Q3423" s="4" t="inlineStr">
        <is>
          <t>MAESTRO-IOS-GROUP-CUSTOM_PURCHASE-3422 | Custom Contribution | 11791.72</t>
        </is>
      </c>
      <c r="R3423" s="4" t="inlineStr">
        <is>
          <t>iPhone</t>
        </is>
      </c>
      <c r="S3423" s="4" t="inlineStr">
        <is>
          <t>B69</t>
        </is>
      </c>
      <c r="T3423" s="4" t="inlineStr">
        <is>
          <t>STRESS_3001_3500</t>
        </is>
      </c>
      <c r="U3423" s="4" t="inlineStr">
        <is>
          <t>CREATED</t>
        </is>
      </c>
      <c r="V3423" s="4" t="inlineStr">
        <is>
          <t>idem-20260902-ios-3422</t>
        </is>
      </c>
    </row>
    <row r="3424" ht="30" customHeight="1">
      <c r="A3424" s="4" t="n">
        <v>3423</v>
      </c>
      <c r="B3424" s="4" t="inlineStr">
        <is>
          <t>MTR-IOS-3423</t>
        </is>
      </c>
      <c r="C3424" s="4" t="inlineStr">
        <is>
          <t>Business</t>
        </is>
      </c>
      <c r="D3424" s="4" t="inlineStr">
        <is>
          <t>Business</t>
        </is>
      </c>
      <c r="E3424" s="4" t="inlineStr">
        <is>
          <t>Team Operations</t>
        </is>
      </c>
      <c r="F3424" s="4" t="inlineStr">
        <is>
          <t>Tools</t>
        </is>
      </c>
      <c r="G3424" s="4" t="inlineStr">
        <is>
          <t>Expense</t>
        </is>
      </c>
      <c r="H3424" s="12" t="n">
        <v>46071</v>
      </c>
      <c r="I3424" s="13" t="n">
        <v>0.5171875</v>
      </c>
      <c r="J3424" s="14" t="n">
        <v>46071.5171875</v>
      </c>
      <c r="K3424" s="15" t="n">
        <v>6795.92</v>
      </c>
      <c r="L3424" s="4" t="inlineStr">
        <is>
          <t>INR</t>
        </is>
      </c>
      <c r="M3424" s="15" t="n">
        <v>-6795.92</v>
      </c>
      <c r="N3424" s="4" t="inlineStr">
        <is>
          <t>IOS Owner</t>
        </is>
      </c>
      <c r="O3424" s="4" t="n"/>
      <c r="P3424" s="4" t="n"/>
      <c r="Q3424" s="4" t="inlineStr">
        <is>
          <t>MAESTRO-IOS-BUSINESS-TEAM_OPERATIONS-3423 | Tools | 6795.92</t>
        </is>
      </c>
      <c r="R3424" s="4" t="inlineStr">
        <is>
          <t>iPhone</t>
        </is>
      </c>
      <c r="S3424" s="4" t="inlineStr">
        <is>
          <t>B69</t>
        </is>
      </c>
      <c r="T3424" s="4" t="inlineStr">
        <is>
          <t>STRESS_3001_3500</t>
        </is>
      </c>
      <c r="U3424" s="4" t="inlineStr">
        <is>
          <t>CREATED</t>
        </is>
      </c>
      <c r="V3424" s="4" t="inlineStr">
        <is>
          <t>idem-20260902-ios-3423</t>
        </is>
      </c>
    </row>
    <row r="3425" ht="30" customHeight="1">
      <c r="A3425" s="4" t="n">
        <v>3424</v>
      </c>
      <c r="B3425" s="4" t="inlineStr">
        <is>
          <t>MTR-IOS-3424</t>
        </is>
      </c>
      <c r="C3425" s="4" t="inlineStr">
        <is>
          <t>Personal</t>
        </is>
      </c>
      <c r="D3425" s="4" t="inlineStr">
        <is>
          <t>Personal</t>
        </is>
      </c>
      <c r="E3425" s="4" t="inlineStr">
        <is>
          <t>Lifestyle</t>
        </is>
      </c>
      <c r="F3425" s="4" t="inlineStr">
        <is>
          <t>Entertainment</t>
        </is>
      </c>
      <c r="G3425" s="4" t="inlineStr">
        <is>
          <t>Expense</t>
        </is>
      </c>
      <c r="H3425" s="12" t="n">
        <v>46251</v>
      </c>
      <c r="I3425" s="13" t="n">
        <v>0.730462962962963</v>
      </c>
      <c r="J3425" s="14" t="n">
        <v>46251.73046296297</v>
      </c>
      <c r="K3425" s="15" t="n">
        <v>13639.1</v>
      </c>
      <c r="L3425" s="4" t="inlineStr">
        <is>
          <t>INR</t>
        </is>
      </c>
      <c r="M3425" s="15" t="n">
        <v>-13639.1</v>
      </c>
      <c r="N3425" s="4" t="inlineStr">
        <is>
          <t>IOS Owner</t>
        </is>
      </c>
      <c r="O3425" s="4" t="n"/>
      <c r="P3425" s="4" t="n"/>
      <c r="Q3425" s="4" t="inlineStr">
        <is>
          <t>MAESTRO-IOS-PERSONAL-LIFESTYLE-3424 | Entertainment | 13639.10</t>
        </is>
      </c>
      <c r="R3425" s="4" t="inlineStr">
        <is>
          <t>iPhone</t>
        </is>
      </c>
      <c r="S3425" s="4" t="inlineStr">
        <is>
          <t>B69</t>
        </is>
      </c>
      <c r="T3425" s="4" t="inlineStr">
        <is>
          <t>STRESS_3001_3500</t>
        </is>
      </c>
      <c r="U3425" s="4" t="inlineStr">
        <is>
          <t>CREATED</t>
        </is>
      </c>
      <c r="V3425" s="4" t="inlineStr">
        <is>
          <t>idem-20260902-ios-3424</t>
        </is>
      </c>
    </row>
    <row r="3426" ht="30" customHeight="1">
      <c r="A3426" s="4" t="n">
        <v>3425</v>
      </c>
      <c r="B3426" s="4" t="inlineStr">
        <is>
          <t>MTR-IOS-3425</t>
        </is>
      </c>
      <c r="C3426" s="4" t="inlineStr">
        <is>
          <t>Group</t>
        </is>
      </c>
      <c r="D3426" s="4" t="inlineStr">
        <is>
          <t>Shared Living</t>
        </is>
      </c>
      <c r="E3426" s="4" t="inlineStr">
        <is>
          <t>Flatmates</t>
        </is>
      </c>
      <c r="F3426" s="4" t="inlineStr">
        <is>
          <t>Rent</t>
        </is>
      </c>
      <c r="G3426" s="4" t="inlineStr">
        <is>
          <t>Expense</t>
        </is>
      </c>
      <c r="H3426" s="12" t="n">
        <v>46200</v>
      </c>
      <c r="I3426" s="13" t="n">
        <v>0.6618287037037037</v>
      </c>
      <c r="J3426" s="14" t="n">
        <v>46200.66182870371</v>
      </c>
      <c r="K3426" s="15" t="n">
        <v>25545.49</v>
      </c>
      <c r="L3426" s="4" t="inlineStr">
        <is>
          <t>INR</t>
        </is>
      </c>
      <c r="M3426" s="15" t="n">
        <v>-25545.49</v>
      </c>
      <c r="N3426" s="4" t="inlineStr">
        <is>
          <t>IOS Aarav</t>
        </is>
      </c>
      <c r="O3426" s="4" t="n">
        <v>3</v>
      </c>
      <c r="P3426" s="4" t="inlineStr">
        <is>
          <t>PERCENTAGE</t>
        </is>
      </c>
      <c r="Q3426" s="4" t="inlineStr">
        <is>
          <t>MAESTRO-IOS-GROUP-FLATMATES-3425 | Rent | 25545.49</t>
        </is>
      </c>
      <c r="R3426" s="4" t="inlineStr">
        <is>
          <t>iPhone</t>
        </is>
      </c>
      <c r="S3426" s="4" t="inlineStr">
        <is>
          <t>B69</t>
        </is>
      </c>
      <c r="T3426" s="4" t="inlineStr">
        <is>
          <t>STRESS_3001_3500</t>
        </is>
      </c>
      <c r="U3426" s="4" t="inlineStr">
        <is>
          <t>CREATED</t>
        </is>
      </c>
      <c r="V3426" s="4" t="inlineStr">
        <is>
          <t>idem-20260902-ios-3425</t>
        </is>
      </c>
    </row>
    <row r="3427" ht="30" customHeight="1">
      <c r="A3427" s="4" t="n">
        <v>3426</v>
      </c>
      <c r="B3427" s="4" t="inlineStr">
        <is>
          <t>MTR-IOS-3426</t>
        </is>
      </c>
      <c r="C3427" s="4" t="inlineStr">
        <is>
          <t>Business</t>
        </is>
      </c>
      <c r="D3427" s="4" t="inlineStr">
        <is>
          <t>Business</t>
        </is>
      </c>
      <c r="E3427" s="4" t="inlineStr">
        <is>
          <t>Business Runway</t>
        </is>
      </c>
      <c r="F3427" s="4" t="inlineStr">
        <is>
          <t>Funding</t>
        </is>
      </c>
      <c r="G3427" s="4" t="inlineStr">
        <is>
          <t>Income</t>
        </is>
      </c>
      <c r="H3427" s="12" t="n">
        <v>46136</v>
      </c>
      <c r="I3427" s="13" t="n">
        <v>0.1819097222222222</v>
      </c>
      <c r="J3427" s="14" t="n">
        <v>46136.18190972223</v>
      </c>
      <c r="K3427" s="15" t="n">
        <v>40336.78</v>
      </c>
      <c r="L3427" s="4" t="inlineStr">
        <is>
          <t>INR</t>
        </is>
      </c>
      <c r="M3427" s="15" t="n">
        <v>40336.78</v>
      </c>
      <c r="N3427" s="4" t="inlineStr">
        <is>
          <t>IOS Owner</t>
        </is>
      </c>
      <c r="O3427" s="4" t="n"/>
      <c r="P3427" s="4" t="n"/>
      <c r="Q3427" s="4" t="inlineStr">
        <is>
          <t>MAESTRO-IOS-BUSINESS-BUSINESS_RUNWAY-3426 | Funding | 40336.78</t>
        </is>
      </c>
      <c r="R3427" s="4" t="inlineStr">
        <is>
          <t>iPhone</t>
        </is>
      </c>
      <c r="S3427" s="4" t="inlineStr">
        <is>
          <t>B69</t>
        </is>
      </c>
      <c r="T3427" s="4" t="inlineStr">
        <is>
          <t>STRESS_3001_3500</t>
        </is>
      </c>
      <c r="U3427" s="4" t="inlineStr">
        <is>
          <t>CREATED</t>
        </is>
      </c>
      <c r="V3427" s="4" t="inlineStr">
        <is>
          <t>idem-20260902-ios-3426</t>
        </is>
      </c>
    </row>
    <row r="3428" ht="30" customHeight="1">
      <c r="A3428" s="4" t="n">
        <v>3427</v>
      </c>
      <c r="B3428" s="4" t="inlineStr">
        <is>
          <t>MTR-IOS-3427</t>
        </is>
      </c>
      <c r="C3428" s="4" t="inlineStr">
        <is>
          <t>Personal</t>
        </is>
      </c>
      <c r="D3428" s="4" t="inlineStr">
        <is>
          <t>Personal</t>
        </is>
      </c>
      <c r="E3428" s="4" t="inlineStr">
        <is>
          <t>Lifestyle</t>
        </is>
      </c>
      <c r="F3428" s="4" t="inlineStr">
        <is>
          <t>Travel</t>
        </is>
      </c>
      <c r="G3428" s="4" t="inlineStr">
        <is>
          <t>Expense</t>
        </is>
      </c>
      <c r="H3428" s="12" t="n">
        <v>45919</v>
      </c>
      <c r="I3428" s="13" t="n">
        <v>0.8402546296296296</v>
      </c>
      <c r="J3428" s="14" t="n">
        <v>45919.84025462963</v>
      </c>
      <c r="K3428" s="15" t="n">
        <v>15974.24</v>
      </c>
      <c r="L3428" s="4" t="inlineStr">
        <is>
          <t>INR</t>
        </is>
      </c>
      <c r="M3428" s="15" t="n">
        <v>-15974.24</v>
      </c>
      <c r="N3428" s="4" t="inlineStr">
        <is>
          <t>IOS Owner</t>
        </is>
      </c>
      <c r="O3428" s="4" t="n"/>
      <c r="P3428" s="4" t="n"/>
      <c r="Q3428" s="4" t="inlineStr">
        <is>
          <t>MAESTRO-IOS-PERSONAL-LIFESTYLE-3427 | Travel | 15974.24</t>
        </is>
      </c>
      <c r="R3428" s="4" t="inlineStr">
        <is>
          <t>iPhone</t>
        </is>
      </c>
      <c r="S3428" s="4" t="inlineStr">
        <is>
          <t>B69</t>
        </is>
      </c>
      <c r="T3428" s="4" t="inlineStr">
        <is>
          <t>STRESS_3001_3500</t>
        </is>
      </c>
      <c r="U3428" s="4" t="inlineStr">
        <is>
          <t>CREATED</t>
        </is>
      </c>
      <c r="V3428" s="4" t="inlineStr">
        <is>
          <t>idem-20260902-ios-3427</t>
        </is>
      </c>
    </row>
    <row r="3429" ht="30" customHeight="1">
      <c r="A3429" s="4" t="n">
        <v>3428</v>
      </c>
      <c r="B3429" s="4" t="inlineStr">
        <is>
          <t>MTR-IOS-3428</t>
        </is>
      </c>
      <c r="C3429" s="4" t="inlineStr">
        <is>
          <t>Group</t>
        </is>
      </c>
      <c r="D3429" s="4" t="inlineStr">
        <is>
          <t>Shared Living</t>
        </is>
      </c>
      <c r="E3429" s="4" t="inlineStr">
        <is>
          <t>Flatmates</t>
        </is>
      </c>
      <c r="F3429" s="4" t="inlineStr">
        <is>
          <t>Utilities</t>
        </is>
      </c>
      <c r="G3429" s="4" t="inlineStr">
        <is>
          <t>Expense</t>
        </is>
      </c>
      <c r="H3429" s="12" t="n">
        <v>46009</v>
      </c>
      <c r="I3429" s="13" t="n">
        <v>0.7559027777777778</v>
      </c>
      <c r="J3429" s="14" t="n">
        <v>46009.75590277778</v>
      </c>
      <c r="K3429" s="15" t="n">
        <v>18750.95</v>
      </c>
      <c r="L3429" s="4" t="inlineStr">
        <is>
          <t>INR</t>
        </is>
      </c>
      <c r="M3429" s="15" t="n">
        <v>-18750.95</v>
      </c>
      <c r="N3429" s="4" t="inlineStr">
        <is>
          <t>IOS Meera</t>
        </is>
      </c>
      <c r="O3429" s="4" t="n">
        <v>3</v>
      </c>
      <c r="P3429" s="4" t="inlineStr">
        <is>
          <t>EXACT</t>
        </is>
      </c>
      <c r="Q3429" s="4" t="inlineStr">
        <is>
          <t>MAESTRO-IOS-GROUP-FLATMATES-3428 | Utilities | 18750.95</t>
        </is>
      </c>
      <c r="R3429" s="4" t="inlineStr">
        <is>
          <t>iPhone</t>
        </is>
      </c>
      <c r="S3429" s="4" t="inlineStr">
        <is>
          <t>B69</t>
        </is>
      </c>
      <c r="T3429" s="4" t="inlineStr">
        <is>
          <t>STRESS_3001_3500</t>
        </is>
      </c>
      <c r="U3429" s="4" t="inlineStr">
        <is>
          <t>CREATED</t>
        </is>
      </c>
      <c r="V3429" s="4" t="inlineStr">
        <is>
          <t>idem-20260902-ios-3428</t>
        </is>
      </c>
    </row>
    <row r="3430" ht="30" customHeight="1">
      <c r="A3430" s="4" t="n">
        <v>3429</v>
      </c>
      <c r="B3430" s="4" t="inlineStr">
        <is>
          <t>MTR-IOS-3429</t>
        </is>
      </c>
      <c r="C3430" s="4" t="inlineStr">
        <is>
          <t>Business</t>
        </is>
      </c>
      <c r="D3430" s="4" t="inlineStr">
        <is>
          <t>Business</t>
        </is>
      </c>
      <c r="E3430" s="4" t="inlineStr">
        <is>
          <t>Business Runway</t>
        </is>
      </c>
      <c r="F3430" s="4" t="inlineStr">
        <is>
          <t>Revenue</t>
        </is>
      </c>
      <c r="G3430" s="4" t="inlineStr">
        <is>
          <t>Income</t>
        </is>
      </c>
      <c r="H3430" s="12" t="n">
        <v>46087</v>
      </c>
      <c r="I3430" s="13" t="n">
        <v>0.6270254629629629</v>
      </c>
      <c r="J3430" s="14" t="n">
        <v>46087.62702546296</v>
      </c>
      <c r="K3430" s="15" t="n">
        <v>164771.99</v>
      </c>
      <c r="L3430" s="4" t="inlineStr">
        <is>
          <t>INR</t>
        </is>
      </c>
      <c r="M3430" s="15" t="n">
        <v>164771.99</v>
      </c>
      <c r="N3430" s="4" t="inlineStr">
        <is>
          <t>IOS Owner</t>
        </is>
      </c>
      <c r="O3430" s="4" t="n"/>
      <c r="P3430" s="4" t="n"/>
      <c r="Q3430" s="4" t="inlineStr">
        <is>
          <t>MAESTRO-IOS-BUSINESS-BUSINESS_RUNWAY-3429 | Revenue | 164771.99</t>
        </is>
      </c>
      <c r="R3430" s="4" t="inlineStr">
        <is>
          <t>iPhone</t>
        </is>
      </c>
      <c r="S3430" s="4" t="inlineStr">
        <is>
          <t>B69</t>
        </is>
      </c>
      <c r="T3430" s="4" t="inlineStr">
        <is>
          <t>STRESS_3001_3500</t>
        </is>
      </c>
      <c r="U3430" s="4" t="inlineStr">
        <is>
          <t>CREATED</t>
        </is>
      </c>
      <c r="V3430" s="4" t="inlineStr">
        <is>
          <t>idem-20260902-ios-3429</t>
        </is>
      </c>
    </row>
    <row r="3431" ht="30" customHeight="1">
      <c r="A3431" s="4" t="n">
        <v>3430</v>
      </c>
      <c r="B3431" s="4" t="inlineStr">
        <is>
          <t>MTR-IOS-3430</t>
        </is>
      </c>
      <c r="C3431" s="4" t="inlineStr">
        <is>
          <t>Personal</t>
        </is>
      </c>
      <c r="D3431" s="4" t="inlineStr">
        <is>
          <t>Personal</t>
        </is>
      </c>
      <c r="E3431" s="4" t="inlineStr">
        <is>
          <t>Lifestyle</t>
        </is>
      </c>
      <c r="F3431" s="4" t="inlineStr">
        <is>
          <t>Fitness</t>
        </is>
      </c>
      <c r="G3431" s="4" t="inlineStr">
        <is>
          <t>Expense</t>
        </is>
      </c>
      <c r="H3431" s="12" t="n">
        <v>46064</v>
      </c>
      <c r="I3431" s="13" t="n">
        <v>0.3001504629629629</v>
      </c>
      <c r="J3431" s="14" t="n">
        <v>46064.30015046296</v>
      </c>
      <c r="K3431" s="15" t="n">
        <v>11781.13</v>
      </c>
      <c r="L3431" s="4" t="inlineStr">
        <is>
          <t>INR</t>
        </is>
      </c>
      <c r="M3431" s="15" t="n">
        <v>-11781.13</v>
      </c>
      <c r="N3431" s="4" t="inlineStr">
        <is>
          <t>IOS Owner</t>
        </is>
      </c>
      <c r="O3431" s="4" t="n"/>
      <c r="P3431" s="4" t="n"/>
      <c r="Q3431" s="4" t="inlineStr">
        <is>
          <t>MAESTRO-IOS-PERSONAL-LIFESTYLE-3430 | Fitness | 11781.13</t>
        </is>
      </c>
      <c r="R3431" s="4" t="inlineStr">
        <is>
          <t>iPhone</t>
        </is>
      </c>
      <c r="S3431" s="4" t="inlineStr">
        <is>
          <t>B69</t>
        </is>
      </c>
      <c r="T3431" s="4" t="inlineStr">
        <is>
          <t>STRESS_3001_3500</t>
        </is>
      </c>
      <c r="U3431" s="4" t="inlineStr">
        <is>
          <t>CREATED</t>
        </is>
      </c>
      <c r="V3431" s="4" t="inlineStr">
        <is>
          <t>idem-20260902-ios-3430</t>
        </is>
      </c>
    </row>
    <row r="3432" ht="30" customHeight="1">
      <c r="A3432" s="4" t="n">
        <v>3431</v>
      </c>
      <c r="B3432" s="4" t="inlineStr">
        <is>
          <t>MTR-IOS-3431</t>
        </is>
      </c>
      <c r="C3432" s="4" t="inlineStr">
        <is>
          <t>Group</t>
        </is>
      </c>
      <c r="D3432" s="4" t="inlineStr">
        <is>
          <t>Shared Living</t>
        </is>
      </c>
      <c r="E3432" s="4" t="inlineStr">
        <is>
          <t>Flatmates</t>
        </is>
      </c>
      <c r="F3432" s="4" t="inlineStr">
        <is>
          <t>Groceries</t>
        </is>
      </c>
      <c r="G3432" s="4" t="inlineStr">
        <is>
          <t>Expense</t>
        </is>
      </c>
      <c r="H3432" s="12" t="n">
        <v>45973</v>
      </c>
      <c r="I3432" s="13" t="n">
        <v>0.02481481481481481</v>
      </c>
      <c r="J3432" s="14" t="n">
        <v>45973.02481481482</v>
      </c>
      <c r="K3432" s="15" t="n">
        <v>6456.44</v>
      </c>
      <c r="L3432" s="4" t="inlineStr">
        <is>
          <t>INR</t>
        </is>
      </c>
      <c r="M3432" s="15" t="n">
        <v>-6456.44</v>
      </c>
      <c r="N3432" s="4" t="inlineStr">
        <is>
          <t>IOS Owner</t>
        </is>
      </c>
      <c r="O3432" s="4" t="n">
        <v>3</v>
      </c>
      <c r="P3432" s="4" t="inlineStr">
        <is>
          <t>SHARES</t>
        </is>
      </c>
      <c r="Q3432" s="4" t="inlineStr">
        <is>
          <t>MAESTRO-IOS-GROUP-FLATMATES-3431 | Groceries | 6456.44</t>
        </is>
      </c>
      <c r="R3432" s="4" t="inlineStr">
        <is>
          <t>iPhone</t>
        </is>
      </c>
      <c r="S3432" s="4" t="inlineStr">
        <is>
          <t>B69</t>
        </is>
      </c>
      <c r="T3432" s="4" t="inlineStr">
        <is>
          <t>STRESS_3001_3500</t>
        </is>
      </c>
      <c r="U3432" s="4" t="inlineStr">
        <is>
          <t>CREATED</t>
        </is>
      </c>
      <c r="V3432" s="4" t="inlineStr">
        <is>
          <t>idem-20260902-ios-3431</t>
        </is>
      </c>
    </row>
    <row r="3433" ht="30" customHeight="1">
      <c r="A3433" s="4" t="n">
        <v>3432</v>
      </c>
      <c r="B3433" s="4" t="inlineStr">
        <is>
          <t>MTR-IOS-3432</t>
        </is>
      </c>
      <c r="C3433" s="4" t="inlineStr">
        <is>
          <t>Business</t>
        </is>
      </c>
      <c r="D3433" s="4" t="inlineStr">
        <is>
          <t>Business</t>
        </is>
      </c>
      <c r="E3433" s="4" t="inlineStr">
        <is>
          <t>Business Runway</t>
        </is>
      </c>
      <c r="F3433" s="4" t="inlineStr">
        <is>
          <t>Burn</t>
        </is>
      </c>
      <c r="G3433" s="4" t="inlineStr">
        <is>
          <t>Expense</t>
        </is>
      </c>
      <c r="H3433" s="12" t="n">
        <v>46004</v>
      </c>
      <c r="I3433" s="13" t="n">
        <v>0.3446064814814815</v>
      </c>
      <c r="J3433" s="14" t="n">
        <v>46004.34460648148</v>
      </c>
      <c r="K3433" s="15" t="n">
        <v>66805.64</v>
      </c>
      <c r="L3433" s="4" t="inlineStr">
        <is>
          <t>INR</t>
        </is>
      </c>
      <c r="M3433" s="15" t="n">
        <v>-66805.64</v>
      </c>
      <c r="N3433" s="4" t="inlineStr">
        <is>
          <t>IOS Owner</t>
        </is>
      </c>
      <c r="O3433" s="4" t="n"/>
      <c r="P3433" s="4" t="n"/>
      <c r="Q3433" s="4" t="inlineStr">
        <is>
          <t>MAESTRO-IOS-BUSINESS-BUSINESS_RUNWAY-3432 | Burn | 66805.64</t>
        </is>
      </c>
      <c r="R3433" s="4" t="inlineStr">
        <is>
          <t>iPhone</t>
        </is>
      </c>
      <c r="S3433" s="4" t="inlineStr">
        <is>
          <t>B69</t>
        </is>
      </c>
      <c r="T3433" s="4" t="inlineStr">
        <is>
          <t>STRESS_3001_3500</t>
        </is>
      </c>
      <c r="U3433" s="4" t="inlineStr">
        <is>
          <t>CREATED</t>
        </is>
      </c>
      <c r="V3433" s="4" t="inlineStr">
        <is>
          <t>idem-20260902-ios-3432</t>
        </is>
      </c>
    </row>
    <row r="3434" ht="30" customHeight="1">
      <c r="A3434" s="4" t="n">
        <v>3433</v>
      </c>
      <c r="B3434" s="4" t="inlineStr">
        <is>
          <t>MTR-IOS-3433</t>
        </is>
      </c>
      <c r="C3434" s="4" t="inlineStr">
        <is>
          <t>Personal</t>
        </is>
      </c>
      <c r="D3434" s="4" t="inlineStr">
        <is>
          <t>Personal</t>
        </is>
      </c>
      <c r="E3434" s="4" t="inlineStr">
        <is>
          <t>Lifestyle</t>
        </is>
      </c>
      <c r="F3434" s="4" t="inlineStr">
        <is>
          <t>Hobbies</t>
        </is>
      </c>
      <c r="G3434" s="4" t="inlineStr">
        <is>
          <t>Expense</t>
        </is>
      </c>
      <c r="H3434" s="12" t="n">
        <v>45932</v>
      </c>
      <c r="I3434" s="13" t="n">
        <v>0.6867592592592593</v>
      </c>
      <c r="J3434" s="14" t="n">
        <v>45932.68675925926</v>
      </c>
      <c r="K3434" s="15" t="n">
        <v>4558.77</v>
      </c>
      <c r="L3434" s="4" t="inlineStr">
        <is>
          <t>INR</t>
        </is>
      </c>
      <c r="M3434" s="15" t="n">
        <v>-4558.77</v>
      </c>
      <c r="N3434" s="4" t="inlineStr">
        <is>
          <t>IOS Owner</t>
        </is>
      </c>
      <c r="O3434" s="4" t="n"/>
      <c r="P3434" s="4" t="n"/>
      <c r="Q3434" s="4" t="inlineStr">
        <is>
          <t>MAESTRO-IOS-PERSONAL-LIFESTYLE-3433 | Hobbies | 4558.77</t>
        </is>
      </c>
      <c r="R3434" s="4" t="inlineStr">
        <is>
          <t>iPhone</t>
        </is>
      </c>
      <c r="S3434" s="4" t="inlineStr">
        <is>
          <t>B69</t>
        </is>
      </c>
      <c r="T3434" s="4" t="inlineStr">
        <is>
          <t>STRESS_3001_3500</t>
        </is>
      </c>
      <c r="U3434" s="4" t="inlineStr">
        <is>
          <t>CREATED</t>
        </is>
      </c>
      <c r="V3434" s="4" t="inlineStr">
        <is>
          <t>idem-20260902-ios-3433</t>
        </is>
      </c>
    </row>
    <row r="3435" ht="30" customHeight="1">
      <c r="A3435" s="4" t="n">
        <v>3434</v>
      </c>
      <c r="B3435" s="4" t="inlineStr">
        <is>
          <t>MTR-IOS-3434</t>
        </is>
      </c>
      <c r="C3435" s="4" t="inlineStr">
        <is>
          <t>Group</t>
        </is>
      </c>
      <c r="D3435" s="4" t="inlineStr">
        <is>
          <t>Shared Living</t>
        </is>
      </c>
      <c r="E3435" s="4" t="inlineStr">
        <is>
          <t>Flatmates</t>
        </is>
      </c>
      <c r="F3435" s="4" t="inlineStr">
        <is>
          <t>Internet</t>
        </is>
      </c>
      <c r="G3435" s="4" t="inlineStr">
        <is>
          <t>Expense</t>
        </is>
      </c>
      <c r="H3435" s="12" t="n">
        <v>46131</v>
      </c>
      <c r="I3435" s="13" t="n">
        <v>0.8690277777777777</v>
      </c>
      <c r="J3435" s="14" t="n">
        <v>46131.86902777778</v>
      </c>
      <c r="K3435" s="15" t="n">
        <v>6478</v>
      </c>
      <c r="L3435" s="4" t="inlineStr">
        <is>
          <t>INR</t>
        </is>
      </c>
      <c r="M3435" s="15" t="n">
        <v>-6478</v>
      </c>
      <c r="N3435" s="4" t="inlineStr">
        <is>
          <t>IOS Aarav</t>
        </is>
      </c>
      <c r="O3435" s="4" t="n">
        <v>3</v>
      </c>
      <c r="P3435" s="4" t="inlineStr">
        <is>
          <t>EQUAL</t>
        </is>
      </c>
      <c r="Q3435" s="4" t="inlineStr">
        <is>
          <t>MAESTRO-IOS-GROUP-FLATMATES-3434 | Internet | 6478.00</t>
        </is>
      </c>
      <c r="R3435" s="4" t="inlineStr">
        <is>
          <t>iPhone</t>
        </is>
      </c>
      <c r="S3435" s="4" t="inlineStr">
        <is>
          <t>B69</t>
        </is>
      </c>
      <c r="T3435" s="4" t="inlineStr">
        <is>
          <t>STRESS_3001_3500</t>
        </is>
      </c>
      <c r="U3435" s="4" t="inlineStr">
        <is>
          <t>CREATED</t>
        </is>
      </c>
      <c r="V3435" s="4" t="inlineStr">
        <is>
          <t>idem-20260902-ios-3434</t>
        </is>
      </c>
    </row>
    <row r="3436" ht="30" customHeight="1">
      <c r="A3436" s="4" t="n">
        <v>3435</v>
      </c>
      <c r="B3436" s="4" t="inlineStr">
        <is>
          <t>MTR-IOS-3435</t>
        </is>
      </c>
      <c r="C3436" s="4" t="inlineStr">
        <is>
          <t>Business</t>
        </is>
      </c>
      <c r="D3436" s="4" t="inlineStr">
        <is>
          <t>Business</t>
        </is>
      </c>
      <c r="E3436" s="4" t="inlineStr">
        <is>
          <t>Business Runway</t>
        </is>
      </c>
      <c r="F3436" s="4" t="inlineStr">
        <is>
          <t>Reserve</t>
        </is>
      </c>
      <c r="G3436" s="4" t="inlineStr">
        <is>
          <t>Transfer</t>
        </is>
      </c>
      <c r="H3436" s="12" t="n">
        <v>46178</v>
      </c>
      <c r="I3436" s="13" t="n">
        <v>0.6470023148148148</v>
      </c>
      <c r="J3436" s="14" t="n">
        <v>46178.64700231481</v>
      </c>
      <c r="K3436" s="15" t="n">
        <v>130064.96</v>
      </c>
      <c r="L3436" s="4" t="inlineStr">
        <is>
          <t>INR</t>
        </is>
      </c>
      <c r="M3436" s="15" t="n">
        <v>0</v>
      </c>
      <c r="N3436" s="4" t="inlineStr">
        <is>
          <t>IOS Owner</t>
        </is>
      </c>
      <c r="O3436" s="4" t="n"/>
      <c r="P3436" s="4" t="n"/>
      <c r="Q3436" s="4" t="inlineStr">
        <is>
          <t>MAESTRO-IOS-BUSINESS-BUSINESS_RUNWAY-3435 | Reserve | 130064.96</t>
        </is>
      </c>
      <c r="R3436" s="4" t="inlineStr">
        <is>
          <t>iPhone</t>
        </is>
      </c>
      <c r="S3436" s="4" t="inlineStr">
        <is>
          <t>B69</t>
        </is>
      </c>
      <c r="T3436" s="4" t="inlineStr">
        <is>
          <t>STRESS_3001_3500</t>
        </is>
      </c>
      <c r="U3436" s="4" t="inlineStr">
        <is>
          <t>CREATED</t>
        </is>
      </c>
      <c r="V3436" s="4" t="inlineStr">
        <is>
          <t>idem-20260902-ios-3435</t>
        </is>
      </c>
    </row>
    <row r="3437" ht="30" customHeight="1">
      <c r="A3437" s="4" t="n">
        <v>3436</v>
      </c>
      <c r="B3437" s="4" t="inlineStr">
        <is>
          <t>MTR-IOS-3436</t>
        </is>
      </c>
      <c r="C3437" s="4" t="inlineStr">
        <is>
          <t>Personal</t>
        </is>
      </c>
      <c r="D3437" s="4" t="inlineStr">
        <is>
          <t>Personal</t>
        </is>
      </c>
      <c r="E3437" s="4" t="inlineStr">
        <is>
          <t>Relationships</t>
        </is>
      </c>
      <c r="F3437" s="4" t="inlineStr">
        <is>
          <t>Gifts</t>
        </is>
      </c>
      <c r="G3437" s="4" t="inlineStr">
        <is>
          <t>Expense</t>
        </is>
      </c>
      <c r="H3437" s="12" t="n">
        <v>46135</v>
      </c>
      <c r="I3437" s="13" t="n">
        <v>0.6911342592592593</v>
      </c>
      <c r="J3437" s="14" t="n">
        <v>46135.69113425926</v>
      </c>
      <c r="K3437" s="15" t="n">
        <v>2428.11</v>
      </c>
      <c r="L3437" s="4" t="inlineStr">
        <is>
          <t>INR</t>
        </is>
      </c>
      <c r="M3437" s="15" t="n">
        <v>-2428.11</v>
      </c>
      <c r="N3437" s="4" t="inlineStr">
        <is>
          <t>IOS Owner</t>
        </is>
      </c>
      <c r="O3437" s="4" t="n"/>
      <c r="P3437" s="4" t="n"/>
      <c r="Q3437" s="4" t="inlineStr">
        <is>
          <t>MAESTRO-IOS-PERSONAL-RELATIONSHIPS-3436 | Gifts | 2428.11</t>
        </is>
      </c>
      <c r="R3437" s="4" t="inlineStr">
        <is>
          <t>iPhone</t>
        </is>
      </c>
      <c r="S3437" s="4" t="inlineStr">
        <is>
          <t>B69</t>
        </is>
      </c>
      <c r="T3437" s="4" t="inlineStr">
        <is>
          <t>STRESS_3001_3500</t>
        </is>
      </c>
      <c r="U3437" s="4" t="inlineStr">
        <is>
          <t>CREATED</t>
        </is>
      </c>
      <c r="V3437" s="4" t="inlineStr">
        <is>
          <t>idem-20260902-ios-3436</t>
        </is>
      </c>
    </row>
    <row r="3438" ht="30" customHeight="1">
      <c r="A3438" s="4" t="n">
        <v>3437</v>
      </c>
      <c r="B3438" s="4" t="inlineStr">
        <is>
          <t>MTR-IOS-3437</t>
        </is>
      </c>
      <c r="C3438" s="4" t="inlineStr">
        <is>
          <t>Group</t>
        </is>
      </c>
      <c r="D3438" s="4" t="inlineStr">
        <is>
          <t>Shared Living</t>
        </is>
      </c>
      <c r="E3438" s="4" t="inlineStr">
        <is>
          <t>Flatmates</t>
        </is>
      </c>
      <c r="F3438" s="4" t="inlineStr">
        <is>
          <t>House Supplies</t>
        </is>
      </c>
      <c r="G3438" s="4" t="inlineStr">
        <is>
          <t>Expense</t>
        </is>
      </c>
      <c r="H3438" s="12" t="n">
        <v>45972</v>
      </c>
      <c r="I3438" s="13" t="n">
        <v>0.04450231481481481</v>
      </c>
      <c r="J3438" s="14" t="n">
        <v>45972.04450231481</v>
      </c>
      <c r="K3438" s="15" t="n">
        <v>17459.25</v>
      </c>
      <c r="L3438" s="4" t="inlineStr">
        <is>
          <t>INR</t>
        </is>
      </c>
      <c r="M3438" s="15" t="n">
        <v>-17459.25</v>
      </c>
      <c r="N3438" s="4" t="inlineStr">
        <is>
          <t>IOS Meera</t>
        </is>
      </c>
      <c r="O3438" s="4" t="n">
        <v>3</v>
      </c>
      <c r="P3438" s="4" t="inlineStr">
        <is>
          <t>PERCENTAGE</t>
        </is>
      </c>
      <c r="Q3438" s="4" t="inlineStr">
        <is>
          <t>MAESTRO-IOS-GROUP-FLATMATES-3437 | House Supplies | 17459.25</t>
        </is>
      </c>
      <c r="R3438" s="4" t="inlineStr">
        <is>
          <t>iPhone</t>
        </is>
      </c>
      <c r="S3438" s="4" t="inlineStr">
        <is>
          <t>B69</t>
        </is>
      </c>
      <c r="T3438" s="4" t="inlineStr">
        <is>
          <t>STRESS_3001_3500</t>
        </is>
      </c>
      <c r="U3438" s="4" t="inlineStr">
        <is>
          <t>CREATED</t>
        </is>
      </c>
      <c r="V3438" s="4" t="inlineStr">
        <is>
          <t>idem-20260902-ios-3437</t>
        </is>
      </c>
    </row>
    <row r="3439" ht="30" customHeight="1">
      <c r="A3439" s="4" t="n">
        <v>3438</v>
      </c>
      <c r="B3439" s="4" t="inlineStr">
        <is>
          <t>MTR-IOS-3438</t>
        </is>
      </c>
      <c r="C3439" s="4" t="inlineStr">
        <is>
          <t>Business</t>
        </is>
      </c>
      <c r="D3439" s="4" t="inlineStr">
        <is>
          <t>Business</t>
        </is>
      </c>
      <c r="E3439" s="4" t="inlineStr">
        <is>
          <t>Business Runway</t>
        </is>
      </c>
      <c r="F3439" s="4" t="inlineStr">
        <is>
          <t>Loan</t>
        </is>
      </c>
      <c r="G3439" s="4" t="inlineStr">
        <is>
          <t>Income</t>
        </is>
      </c>
      <c r="H3439" s="12" t="n">
        <v>46241</v>
      </c>
      <c r="I3439" s="13" t="n">
        <v>0.9222453703703704</v>
      </c>
      <c r="J3439" s="14" t="n">
        <v>46241.92224537037</v>
      </c>
      <c r="K3439" s="15" t="n">
        <v>143497.98</v>
      </c>
      <c r="L3439" s="4" t="inlineStr">
        <is>
          <t>INR</t>
        </is>
      </c>
      <c r="M3439" s="15" t="n">
        <v>143497.98</v>
      </c>
      <c r="N3439" s="4" t="inlineStr">
        <is>
          <t>IOS Owner</t>
        </is>
      </c>
      <c r="O3439" s="4" t="n"/>
      <c r="P3439" s="4" t="n"/>
      <c r="Q3439" s="4" t="inlineStr">
        <is>
          <t>MAESTRO-IOS-BUSINESS-BUSINESS_RUNWAY-3438 | Loan | 143497.98</t>
        </is>
      </c>
      <c r="R3439" s="4" t="inlineStr">
        <is>
          <t>iPhone</t>
        </is>
      </c>
      <c r="S3439" s="4" t="inlineStr">
        <is>
          <t>B69</t>
        </is>
      </c>
      <c r="T3439" s="4" t="inlineStr">
        <is>
          <t>STRESS_3001_3500</t>
        </is>
      </c>
      <c r="U3439" s="4" t="inlineStr">
        <is>
          <t>CREATED</t>
        </is>
      </c>
      <c r="V3439" s="4" t="inlineStr">
        <is>
          <t>idem-20260902-ios-3438</t>
        </is>
      </c>
    </row>
    <row r="3440" ht="30" customHeight="1">
      <c r="A3440" s="4" t="n">
        <v>3439</v>
      </c>
      <c r="B3440" s="4" t="inlineStr">
        <is>
          <t>MTR-IOS-3439</t>
        </is>
      </c>
      <c r="C3440" s="4" t="inlineStr">
        <is>
          <t>Personal</t>
        </is>
      </c>
      <c r="D3440" s="4" t="inlineStr">
        <is>
          <t>Personal</t>
        </is>
      </c>
      <c r="E3440" s="4" t="inlineStr">
        <is>
          <t>Relationships</t>
        </is>
      </c>
      <c r="F3440" s="4" t="inlineStr">
        <is>
          <t>Dates</t>
        </is>
      </c>
      <c r="G3440" s="4" t="inlineStr">
        <is>
          <t>Expense</t>
        </is>
      </c>
      <c r="H3440" s="12" t="n">
        <v>46161</v>
      </c>
      <c r="I3440" s="13" t="n">
        <v>0.6826736111111111</v>
      </c>
      <c r="J3440" s="14" t="n">
        <v>46161.68267361111</v>
      </c>
      <c r="K3440" s="15" t="n">
        <v>11435.34</v>
      </c>
      <c r="L3440" s="4" t="inlineStr">
        <is>
          <t>INR</t>
        </is>
      </c>
      <c r="M3440" s="15" t="n">
        <v>-11435.34</v>
      </c>
      <c r="N3440" s="4" t="inlineStr">
        <is>
          <t>IOS Owner</t>
        </is>
      </c>
      <c r="O3440" s="4" t="n"/>
      <c r="P3440" s="4" t="n"/>
      <c r="Q3440" s="4" t="inlineStr">
        <is>
          <t>MAESTRO-IOS-PERSONAL-RELATIONSHIPS-3439 | Dates | 11435.34</t>
        </is>
      </c>
      <c r="R3440" s="4" t="inlineStr">
        <is>
          <t>iPhone</t>
        </is>
      </c>
      <c r="S3440" s="4" t="inlineStr">
        <is>
          <t>B69</t>
        </is>
      </c>
      <c r="T3440" s="4" t="inlineStr">
        <is>
          <t>STRESS_3001_3500</t>
        </is>
      </c>
      <c r="U3440" s="4" t="inlineStr">
        <is>
          <t>CREATED</t>
        </is>
      </c>
      <c r="V3440" s="4" t="inlineStr">
        <is>
          <t>idem-20260902-ios-3439</t>
        </is>
      </c>
    </row>
    <row r="3441" ht="30" customHeight="1">
      <c r="A3441" s="4" t="n">
        <v>3440</v>
      </c>
      <c r="B3441" s="4" t="inlineStr">
        <is>
          <t>MTR-IOS-3440</t>
        </is>
      </c>
      <c r="C3441" s="4" t="inlineStr">
        <is>
          <t>Group</t>
        </is>
      </c>
      <c r="D3441" s="4" t="inlineStr">
        <is>
          <t>Shared Living</t>
        </is>
      </c>
      <c r="E3441" s="4" t="inlineStr">
        <is>
          <t>Flatmates</t>
        </is>
      </c>
      <c r="F3441" s="4" t="inlineStr">
        <is>
          <t>Repairs</t>
        </is>
      </c>
      <c r="G3441" s="4" t="inlineStr">
        <is>
          <t>Expense</t>
        </is>
      </c>
      <c r="H3441" s="12" t="n">
        <v>45910</v>
      </c>
      <c r="I3441" s="13" t="n">
        <v>0.5337037037037037</v>
      </c>
      <c r="J3441" s="14" t="n">
        <v>45910.5337037037</v>
      </c>
      <c r="K3441" s="15" t="n">
        <v>4303.07</v>
      </c>
      <c r="L3441" s="4" t="inlineStr">
        <is>
          <t>INR</t>
        </is>
      </c>
      <c r="M3441" s="15" t="n">
        <v>-4303.07</v>
      </c>
      <c r="N3441" s="4" t="inlineStr">
        <is>
          <t>IOS Owner</t>
        </is>
      </c>
      <c r="O3441" s="4" t="n">
        <v>3</v>
      </c>
      <c r="P3441" s="4" t="inlineStr">
        <is>
          <t>EXACT</t>
        </is>
      </c>
      <c r="Q3441" s="4" t="inlineStr">
        <is>
          <t>MAESTRO-IOS-GROUP-FLATMATES-3440 | Repairs | 4303.07</t>
        </is>
      </c>
      <c r="R3441" s="4" t="inlineStr">
        <is>
          <t>iPhone</t>
        </is>
      </c>
      <c r="S3441" s="4" t="inlineStr">
        <is>
          <t>B69</t>
        </is>
      </c>
      <c r="T3441" s="4" t="inlineStr">
        <is>
          <t>STRESS_3001_3500</t>
        </is>
      </c>
      <c r="U3441" s="4" t="inlineStr">
        <is>
          <t>CREATED</t>
        </is>
      </c>
      <c r="V3441" s="4" t="inlineStr">
        <is>
          <t>idem-20260902-ios-3440</t>
        </is>
      </c>
    </row>
    <row r="3442" ht="30" customHeight="1">
      <c r="A3442" s="4" t="n">
        <v>3441</v>
      </c>
      <c r="B3442" s="4" t="inlineStr">
        <is>
          <t>MTR-IOS-3441</t>
        </is>
      </c>
      <c r="C3442" s="4" t="inlineStr">
        <is>
          <t>Business</t>
        </is>
      </c>
      <c r="D3442" s="4" t="inlineStr">
        <is>
          <t>Business</t>
        </is>
      </c>
      <c r="E3442" s="4" t="inlineStr">
        <is>
          <t>Business Runway</t>
        </is>
      </c>
      <c r="F3442" s="4" t="inlineStr">
        <is>
          <t>Investment</t>
        </is>
      </c>
      <c r="G3442" s="4" t="inlineStr">
        <is>
          <t>Income</t>
        </is>
      </c>
      <c r="H3442" s="12" t="n">
        <v>46004</v>
      </c>
      <c r="I3442" s="13" t="n">
        <v>0.5834259259259259</v>
      </c>
      <c r="J3442" s="14" t="n">
        <v>46004.58342592593</v>
      </c>
      <c r="K3442" s="15" t="n">
        <v>100</v>
      </c>
      <c r="L3442" s="4" t="inlineStr">
        <is>
          <t>INR</t>
        </is>
      </c>
      <c r="M3442" s="15" t="n">
        <v>100</v>
      </c>
      <c r="N3442" s="4" t="inlineStr">
        <is>
          <t>IOS Owner</t>
        </is>
      </c>
      <c r="O3442" s="4" t="n"/>
      <c r="P3442" s="4" t="n"/>
      <c r="Q3442" s="4" t="inlineStr">
        <is>
          <t>MAESTRO-IOS-BUSINESS-BUSINESS_RUNWAY-3441 | Investment | 100.00</t>
        </is>
      </c>
      <c r="R3442" s="4" t="inlineStr">
        <is>
          <t>iPhone</t>
        </is>
      </c>
      <c r="S3442" s="4" t="inlineStr">
        <is>
          <t>B69</t>
        </is>
      </c>
      <c r="T3442" s="4" t="inlineStr">
        <is>
          <t>STRESS_3001_3500</t>
        </is>
      </c>
      <c r="U3442" s="4" t="inlineStr">
        <is>
          <t>CREATED</t>
        </is>
      </c>
      <c r="V3442" s="4" t="inlineStr">
        <is>
          <t>idem-20260902-ios-3441</t>
        </is>
      </c>
    </row>
    <row r="3443" ht="30" customHeight="1">
      <c r="A3443" s="4" t="n">
        <v>3442</v>
      </c>
      <c r="B3443" s="4" t="inlineStr">
        <is>
          <t>MTR-IOS-3442</t>
        </is>
      </c>
      <c r="C3443" s="4" t="inlineStr">
        <is>
          <t>Personal</t>
        </is>
      </c>
      <c r="D3443" s="4" t="inlineStr">
        <is>
          <t>Personal</t>
        </is>
      </c>
      <c r="E3443" s="4" t="inlineStr">
        <is>
          <t>Relationships</t>
        </is>
      </c>
      <c r="F3443" s="4" t="inlineStr">
        <is>
          <t>Family</t>
        </is>
      </c>
      <c r="G3443" s="4" t="inlineStr">
        <is>
          <t>Expense</t>
        </is>
      </c>
      <c r="H3443" s="12" t="n">
        <v>45963</v>
      </c>
      <c r="I3443" s="13" t="n">
        <v>0.000925925925925926</v>
      </c>
      <c r="J3443" s="14" t="n">
        <v>45963.00092592592</v>
      </c>
      <c r="K3443" s="15" t="n">
        <v>16058.75</v>
      </c>
      <c r="L3443" s="4" t="inlineStr">
        <is>
          <t>INR</t>
        </is>
      </c>
      <c r="M3443" s="15" t="n">
        <v>-16058.75</v>
      </c>
      <c r="N3443" s="4" t="inlineStr">
        <is>
          <t>IOS Owner</t>
        </is>
      </c>
      <c r="O3443" s="4" t="n"/>
      <c r="P3443" s="4" t="n"/>
      <c r="Q3443" s="4" t="inlineStr">
        <is>
          <t>MAESTRO-IOS-PERSONAL-RELATIONSHIPS-3442 | Family | 16058.75</t>
        </is>
      </c>
      <c r="R3443" s="4" t="inlineStr">
        <is>
          <t>iPhone</t>
        </is>
      </c>
      <c r="S3443" s="4" t="inlineStr">
        <is>
          <t>B69</t>
        </is>
      </c>
      <c r="T3443" s="4" t="inlineStr">
        <is>
          <t>STRESS_3001_3500</t>
        </is>
      </c>
      <c r="U3443" s="4" t="inlineStr">
        <is>
          <t>CREATED</t>
        </is>
      </c>
      <c r="V3443" s="4" t="inlineStr">
        <is>
          <t>idem-20260902-ios-3442</t>
        </is>
      </c>
    </row>
    <row r="3444" ht="30" customHeight="1">
      <c r="A3444" s="4" t="n">
        <v>3443</v>
      </c>
      <c r="B3444" s="4" t="inlineStr">
        <is>
          <t>MTR-IOS-3443</t>
        </is>
      </c>
      <c r="C3444" s="4" t="inlineStr">
        <is>
          <t>Group</t>
        </is>
      </c>
      <c r="D3444" s="4" t="inlineStr">
        <is>
          <t>Shared Living</t>
        </is>
      </c>
      <c r="E3444" s="4" t="inlineStr">
        <is>
          <t>Shared Living</t>
        </is>
      </c>
      <c r="F3444" s="4" t="inlineStr">
        <is>
          <t>Rent</t>
        </is>
      </c>
      <c r="G3444" s="4" t="inlineStr">
        <is>
          <t>Expense</t>
        </is>
      </c>
      <c r="H3444" s="12" t="n">
        <v>46062</v>
      </c>
      <c r="I3444" s="13" t="n">
        <v>0.6030208333333333</v>
      </c>
      <c r="J3444" s="14" t="n">
        <v>46062.60302083333</v>
      </c>
      <c r="K3444" s="15" t="n">
        <v>26413.55</v>
      </c>
      <c r="L3444" s="4" t="inlineStr">
        <is>
          <t>INR</t>
        </is>
      </c>
      <c r="M3444" s="15" t="n">
        <v>-26413.55</v>
      </c>
      <c r="N3444" s="4" t="inlineStr">
        <is>
          <t>IOS Aarav</t>
        </is>
      </c>
      <c r="O3444" s="4" t="n">
        <v>3</v>
      </c>
      <c r="P3444" s="4" t="inlineStr">
        <is>
          <t>SHARES</t>
        </is>
      </c>
      <c r="Q3444" s="4" t="inlineStr">
        <is>
          <t>MAESTRO-IOS-GROUP-SHARED_LIVING-3443 | Rent | 26413.55</t>
        </is>
      </c>
      <c r="R3444" s="4" t="inlineStr">
        <is>
          <t>iPhone</t>
        </is>
      </c>
      <c r="S3444" s="4" t="inlineStr">
        <is>
          <t>B69</t>
        </is>
      </c>
      <c r="T3444" s="4" t="inlineStr">
        <is>
          <t>STRESS_3001_3500</t>
        </is>
      </c>
      <c r="U3444" s="4" t="inlineStr">
        <is>
          <t>CREATED</t>
        </is>
      </c>
      <c r="V3444" s="4" t="inlineStr">
        <is>
          <t>idem-20260902-ios-3443</t>
        </is>
      </c>
    </row>
    <row r="3445" ht="30" customHeight="1">
      <c r="A3445" s="4" t="n">
        <v>3444</v>
      </c>
      <c r="B3445" s="4" t="inlineStr">
        <is>
          <t>MTR-IOS-3444</t>
        </is>
      </c>
      <c r="C3445" s="4" t="inlineStr">
        <is>
          <t>Business</t>
        </is>
      </c>
      <c r="D3445" s="4" t="inlineStr">
        <is>
          <t>Business</t>
        </is>
      </c>
      <c r="E3445" s="4" t="inlineStr">
        <is>
          <t>Business Operations</t>
        </is>
      </c>
      <c r="F3445" s="4" t="inlineStr">
        <is>
          <t>Software</t>
        </is>
      </c>
      <c r="G3445" s="4" t="inlineStr">
        <is>
          <t>Expense</t>
        </is>
      </c>
      <c r="H3445" s="12" t="n">
        <v>45974</v>
      </c>
      <c r="I3445" s="13" t="n">
        <v>0.4530092592592593</v>
      </c>
      <c r="J3445" s="14" t="n">
        <v>45974.45300925926</v>
      </c>
      <c r="K3445" s="15" t="n">
        <v>67679.98</v>
      </c>
      <c r="L3445" s="4" t="inlineStr">
        <is>
          <t>INR</t>
        </is>
      </c>
      <c r="M3445" s="15" t="n">
        <v>-67679.98</v>
      </c>
      <c r="N3445" s="4" t="inlineStr">
        <is>
          <t>IOS Owner</t>
        </is>
      </c>
      <c r="O3445" s="4" t="n"/>
      <c r="P3445" s="4" t="n"/>
      <c r="Q3445" s="4" t="inlineStr">
        <is>
          <t>MAESTRO-IOS-BUSINESS-BUSINESS_OPERATIONS-3444 | Software | 67679.98</t>
        </is>
      </c>
      <c r="R3445" s="4" t="inlineStr">
        <is>
          <t>iPhone</t>
        </is>
      </c>
      <c r="S3445" s="4" t="inlineStr">
        <is>
          <t>B69</t>
        </is>
      </c>
      <c r="T3445" s="4" t="inlineStr">
        <is>
          <t>STRESS_3001_3500</t>
        </is>
      </c>
      <c r="U3445" s="4" t="inlineStr">
        <is>
          <t>CREATED</t>
        </is>
      </c>
      <c r="V3445" s="4" t="inlineStr">
        <is>
          <t>idem-20260902-ios-3444</t>
        </is>
      </c>
    </row>
    <row r="3446" ht="30" customHeight="1">
      <c r="A3446" s="4" t="n">
        <v>3445</v>
      </c>
      <c r="B3446" s="4" t="inlineStr">
        <is>
          <t>MTR-IOS-3445</t>
        </is>
      </c>
      <c r="C3446" s="4" t="inlineStr">
        <is>
          <t>Personal</t>
        </is>
      </c>
      <c r="D3446" s="4" t="inlineStr">
        <is>
          <t>Personal</t>
        </is>
      </c>
      <c r="E3446" s="4" t="inlineStr">
        <is>
          <t>Relationships</t>
        </is>
      </c>
      <c r="F3446" s="4" t="inlineStr">
        <is>
          <t>Friends</t>
        </is>
      </c>
      <c r="G3446" s="4" t="inlineStr">
        <is>
          <t>Expense</t>
        </is>
      </c>
      <c r="H3446" s="12" t="n">
        <v>46095</v>
      </c>
      <c r="I3446" s="13" t="n">
        <v>0.8614120370370371</v>
      </c>
      <c r="J3446" s="14" t="n">
        <v>46095.86141203704</v>
      </c>
      <c r="K3446" s="15" t="n">
        <v>1981.15</v>
      </c>
      <c r="L3446" s="4" t="inlineStr">
        <is>
          <t>INR</t>
        </is>
      </c>
      <c r="M3446" s="15" t="n">
        <v>-1981.15</v>
      </c>
      <c r="N3446" s="4" t="inlineStr">
        <is>
          <t>IOS Owner</t>
        </is>
      </c>
      <c r="O3446" s="4" t="n"/>
      <c r="P3446" s="4" t="n"/>
      <c r="Q3446" s="4" t="inlineStr">
        <is>
          <t>MAESTRO-IOS-PERSONAL-RELATIONSHIPS-3445 | Friends | 1981.15</t>
        </is>
      </c>
      <c r="R3446" s="4" t="inlineStr">
        <is>
          <t>iPhone</t>
        </is>
      </c>
      <c r="S3446" s="4" t="inlineStr">
        <is>
          <t>B69</t>
        </is>
      </c>
      <c r="T3446" s="4" t="inlineStr">
        <is>
          <t>STRESS_3001_3500</t>
        </is>
      </c>
      <c r="U3446" s="4" t="inlineStr">
        <is>
          <t>CREATED</t>
        </is>
      </c>
      <c r="V3446" s="4" t="inlineStr">
        <is>
          <t>idem-20260902-ios-3445</t>
        </is>
      </c>
    </row>
    <row r="3447" ht="30" customHeight="1">
      <c r="A3447" s="4" t="n">
        <v>3446</v>
      </c>
      <c r="B3447" s="4" t="inlineStr">
        <is>
          <t>MTR-IOS-3446</t>
        </is>
      </c>
      <c r="C3447" s="4" t="inlineStr">
        <is>
          <t>Group</t>
        </is>
      </c>
      <c r="D3447" s="4" t="inlineStr">
        <is>
          <t>Shared Living</t>
        </is>
      </c>
      <c r="E3447" s="4" t="inlineStr">
        <is>
          <t>Shared Living</t>
        </is>
      </c>
      <c r="F3447" s="4" t="inlineStr">
        <is>
          <t>Utilities</t>
        </is>
      </c>
      <c r="G3447" s="4" t="inlineStr">
        <is>
          <t>Expense</t>
        </is>
      </c>
      <c r="H3447" s="12" t="n">
        <v>46202</v>
      </c>
      <c r="I3447" s="13" t="n">
        <v>0.1745717592592592</v>
      </c>
      <c r="J3447" s="14" t="n">
        <v>46202.17457175926</v>
      </c>
      <c r="K3447" s="15" t="n">
        <v>11172.82</v>
      </c>
      <c r="L3447" s="4" t="inlineStr">
        <is>
          <t>INR</t>
        </is>
      </c>
      <c r="M3447" s="15" t="n">
        <v>-11172.82</v>
      </c>
      <c r="N3447" s="4" t="inlineStr">
        <is>
          <t>IOS Meera</t>
        </is>
      </c>
      <c r="O3447" s="4" t="n">
        <v>3</v>
      </c>
      <c r="P3447" s="4" t="inlineStr">
        <is>
          <t>EQUAL</t>
        </is>
      </c>
      <c r="Q3447" s="4" t="inlineStr">
        <is>
          <t>MAESTRO-IOS-GROUP-SHARED_LIVING-3446 | Utilities | 11172.82</t>
        </is>
      </c>
      <c r="R3447" s="4" t="inlineStr">
        <is>
          <t>iPhone</t>
        </is>
      </c>
      <c r="S3447" s="4" t="inlineStr">
        <is>
          <t>B69</t>
        </is>
      </c>
      <c r="T3447" s="4" t="inlineStr">
        <is>
          <t>STRESS_3001_3500</t>
        </is>
      </c>
      <c r="U3447" s="4" t="inlineStr">
        <is>
          <t>CREATED</t>
        </is>
      </c>
      <c r="V3447" s="4" t="inlineStr">
        <is>
          <t>idem-20260902-ios-3446</t>
        </is>
      </c>
    </row>
    <row r="3448" ht="30" customHeight="1">
      <c r="A3448" s="4" t="n">
        <v>3447</v>
      </c>
      <c r="B3448" s="4" t="inlineStr">
        <is>
          <t>MTR-IOS-3447</t>
        </is>
      </c>
      <c r="C3448" s="4" t="inlineStr">
        <is>
          <t>Business</t>
        </is>
      </c>
      <c r="D3448" s="4" t="inlineStr">
        <is>
          <t>Business</t>
        </is>
      </c>
      <c r="E3448" s="4" t="inlineStr">
        <is>
          <t>Business Operations</t>
        </is>
      </c>
      <c r="F3448" s="4" t="inlineStr">
        <is>
          <t>Rent</t>
        </is>
      </c>
      <c r="G3448" s="4" t="inlineStr">
        <is>
          <t>Expense</t>
        </is>
      </c>
      <c r="H3448" s="12" t="n">
        <v>46177</v>
      </c>
      <c r="I3448" s="13" t="n">
        <v>0.03787037037037037</v>
      </c>
      <c r="J3448" s="14" t="n">
        <v>46177.03787037037</v>
      </c>
      <c r="K3448" s="15" t="n">
        <v>152223.38</v>
      </c>
      <c r="L3448" s="4" t="inlineStr">
        <is>
          <t>INR</t>
        </is>
      </c>
      <c r="M3448" s="15" t="n">
        <v>-152223.38</v>
      </c>
      <c r="N3448" s="4" t="inlineStr">
        <is>
          <t>IOS Owner</t>
        </is>
      </c>
      <c r="O3448" s="4" t="n"/>
      <c r="P3448" s="4" t="n"/>
      <c r="Q3448" s="4" t="inlineStr">
        <is>
          <t>MAESTRO-IOS-BUSINESS-BUSINESS_OPERATIONS-3447 | Rent | 152223.38</t>
        </is>
      </c>
      <c r="R3448" s="4" t="inlineStr">
        <is>
          <t>iPhone</t>
        </is>
      </c>
      <c r="S3448" s="4" t="inlineStr">
        <is>
          <t>B69</t>
        </is>
      </c>
      <c r="T3448" s="4" t="inlineStr">
        <is>
          <t>STRESS_3001_3500</t>
        </is>
      </c>
      <c r="U3448" s="4" t="inlineStr">
        <is>
          <t>CREATED</t>
        </is>
      </c>
      <c r="V3448" s="4" t="inlineStr">
        <is>
          <t>idem-20260902-ios-3447</t>
        </is>
      </c>
    </row>
    <row r="3449" ht="30" customHeight="1">
      <c r="A3449" s="4" t="n">
        <v>3448</v>
      </c>
      <c r="B3449" s="4" t="inlineStr">
        <is>
          <t>MTR-IOS-3448</t>
        </is>
      </c>
      <c r="C3449" s="4" t="inlineStr">
        <is>
          <t>Personal</t>
        </is>
      </c>
      <c r="D3449" s="4" t="inlineStr">
        <is>
          <t>Personal</t>
        </is>
      </c>
      <c r="E3449" s="4" t="inlineStr">
        <is>
          <t>Relationships</t>
        </is>
      </c>
      <c r="F3449" s="4" t="inlineStr">
        <is>
          <t>Celebrations</t>
        </is>
      </c>
      <c r="G3449" s="4" t="inlineStr">
        <is>
          <t>Expense</t>
        </is>
      </c>
      <c r="H3449" s="12" t="n">
        <v>46110</v>
      </c>
      <c r="I3449" s="13" t="n">
        <v>0.0559375</v>
      </c>
      <c r="J3449" s="14" t="n">
        <v>46110.0559375</v>
      </c>
      <c r="K3449" s="15" t="n">
        <v>3208.76</v>
      </c>
      <c r="L3449" s="4" t="inlineStr">
        <is>
          <t>INR</t>
        </is>
      </c>
      <c r="M3449" s="15" t="n">
        <v>-3208.76</v>
      </c>
      <c r="N3449" s="4" t="inlineStr">
        <is>
          <t>IOS Owner</t>
        </is>
      </c>
      <c r="O3449" s="4" t="n"/>
      <c r="P3449" s="4" t="n"/>
      <c r="Q3449" s="4" t="inlineStr">
        <is>
          <t>MAESTRO-IOS-PERSONAL-RELATIONSHIPS-3448 | Celebrations | 3208.76</t>
        </is>
      </c>
      <c r="R3449" s="4" t="inlineStr">
        <is>
          <t>iPhone</t>
        </is>
      </c>
      <c r="S3449" s="4" t="inlineStr">
        <is>
          <t>B69</t>
        </is>
      </c>
      <c r="T3449" s="4" t="inlineStr">
        <is>
          <t>STRESS_3001_3500</t>
        </is>
      </c>
      <c r="U3449" s="4" t="inlineStr">
        <is>
          <t>CREATED</t>
        </is>
      </c>
      <c r="V3449" s="4" t="inlineStr">
        <is>
          <t>idem-20260902-ios-3448</t>
        </is>
      </c>
    </row>
    <row r="3450" ht="30" customHeight="1">
      <c r="A3450" s="4" t="n">
        <v>3449</v>
      </c>
      <c r="B3450" s="4" t="inlineStr">
        <is>
          <t>MTR-IOS-3449</t>
        </is>
      </c>
      <c r="C3450" s="4" t="inlineStr">
        <is>
          <t>Group</t>
        </is>
      </c>
      <c r="D3450" s="4" t="inlineStr">
        <is>
          <t>Shared Living</t>
        </is>
      </c>
      <c r="E3450" s="4" t="inlineStr">
        <is>
          <t>Shared Living</t>
        </is>
      </c>
      <c r="F3450" s="4" t="inlineStr">
        <is>
          <t>Groceries</t>
        </is>
      </c>
      <c r="G3450" s="4" t="inlineStr">
        <is>
          <t>Expense</t>
        </is>
      </c>
      <c r="H3450" s="12" t="n">
        <v>46135</v>
      </c>
      <c r="I3450" s="13" t="n">
        <v>0.8899189814814815</v>
      </c>
      <c r="J3450" s="14" t="n">
        <v>46135.88991898148</v>
      </c>
      <c r="K3450" s="15" t="n">
        <v>1319.78</v>
      </c>
      <c r="L3450" s="4" t="inlineStr">
        <is>
          <t>INR</t>
        </is>
      </c>
      <c r="M3450" s="15" t="n">
        <v>-1319.78</v>
      </c>
      <c r="N3450" s="4" t="inlineStr">
        <is>
          <t>IOS Owner</t>
        </is>
      </c>
      <c r="O3450" s="4" t="n">
        <v>3</v>
      </c>
      <c r="P3450" s="4" t="inlineStr">
        <is>
          <t>PERCENTAGE</t>
        </is>
      </c>
      <c r="Q3450" s="4" t="inlineStr">
        <is>
          <t>MAESTRO-IOS-GROUP-SHARED_LIVING-3449 | Groceries | 1319.78</t>
        </is>
      </c>
      <c r="R3450" s="4" t="inlineStr">
        <is>
          <t>iPhone</t>
        </is>
      </c>
      <c r="S3450" s="4" t="inlineStr">
        <is>
          <t>B69</t>
        </is>
      </c>
      <c r="T3450" s="4" t="inlineStr">
        <is>
          <t>STRESS_3001_3500</t>
        </is>
      </c>
      <c r="U3450" s="4" t="inlineStr">
        <is>
          <t>CREATED</t>
        </is>
      </c>
      <c r="V3450" s="4" t="inlineStr">
        <is>
          <t>idem-20260902-ios-3449</t>
        </is>
      </c>
    </row>
    <row r="3451" ht="30" customHeight="1">
      <c r="A3451" s="4" t="n">
        <v>3450</v>
      </c>
      <c r="B3451" s="4" t="inlineStr">
        <is>
          <t>MTR-IOS-3450</t>
        </is>
      </c>
      <c r="C3451" s="4" t="inlineStr">
        <is>
          <t>Business</t>
        </is>
      </c>
      <c r="D3451" s="4" t="inlineStr">
        <is>
          <t>Business</t>
        </is>
      </c>
      <c r="E3451" s="4" t="inlineStr">
        <is>
          <t>Business Operations</t>
        </is>
      </c>
      <c r="F3451" s="4" t="inlineStr">
        <is>
          <t>Marketing</t>
        </is>
      </c>
      <c r="G3451" s="4" t="inlineStr">
        <is>
          <t>Expense</t>
        </is>
      </c>
      <c r="H3451" s="12" t="n">
        <v>46159</v>
      </c>
      <c r="I3451" s="13" t="n">
        <v>0.03741898148148148</v>
      </c>
      <c r="J3451" s="14" t="n">
        <v>46159.03741898148</v>
      </c>
      <c r="K3451" s="15" t="n">
        <v>116959.72</v>
      </c>
      <c r="L3451" s="4" t="inlineStr">
        <is>
          <t>INR</t>
        </is>
      </c>
      <c r="M3451" s="15" t="n">
        <v>-116959.72</v>
      </c>
      <c r="N3451" s="4" t="inlineStr">
        <is>
          <t>IOS Owner</t>
        </is>
      </c>
      <c r="O3451" s="4" t="n"/>
      <c r="P3451" s="4" t="n"/>
      <c r="Q3451" s="4" t="inlineStr">
        <is>
          <t>MAESTRO-IOS-BUSINESS-BUSINESS_OPERATIONS-3450 | Marketing | 116959.72</t>
        </is>
      </c>
      <c r="R3451" s="4" t="inlineStr">
        <is>
          <t>iPhone</t>
        </is>
      </c>
      <c r="S3451" s="4" t="inlineStr">
        <is>
          <t>B69</t>
        </is>
      </c>
      <c r="T3451" s="4" t="inlineStr">
        <is>
          <t>STRESS_3001_3500</t>
        </is>
      </c>
      <c r="U3451" s="4" t="inlineStr">
        <is>
          <t>CREATED</t>
        </is>
      </c>
      <c r="V3451" s="4" t="inlineStr">
        <is>
          <t>idem-20260902-ios-3450</t>
        </is>
      </c>
    </row>
    <row r="3452" ht="30" customHeight="1">
      <c r="A3452" s="4" t="n">
        <v>3451</v>
      </c>
      <c r="B3452" s="4" t="inlineStr">
        <is>
          <t>MTR-IOS-3451</t>
        </is>
      </c>
      <c r="C3452" s="4" t="inlineStr">
        <is>
          <t>Personal</t>
        </is>
      </c>
      <c r="D3452" s="4" t="inlineStr">
        <is>
          <t>Personal</t>
        </is>
      </c>
      <c r="E3452" s="4" t="inlineStr">
        <is>
          <t>Life Operations</t>
        </is>
      </c>
      <c r="F3452" s="4" t="inlineStr">
        <is>
          <t>Groceries</t>
        </is>
      </c>
      <c r="G3452" s="4" t="inlineStr">
        <is>
          <t>Expense</t>
        </is>
      </c>
      <c r="H3452" s="12" t="n">
        <v>45978</v>
      </c>
      <c r="I3452" s="13" t="n">
        <v>0.2455092592592593</v>
      </c>
      <c r="J3452" s="14" t="n">
        <v>45978.24550925926</v>
      </c>
      <c r="K3452" s="15" t="n">
        <v>14818.97</v>
      </c>
      <c r="L3452" s="4" t="inlineStr">
        <is>
          <t>INR</t>
        </is>
      </c>
      <c r="M3452" s="15" t="n">
        <v>-14818.97</v>
      </c>
      <c r="N3452" s="4" t="inlineStr">
        <is>
          <t>IOS Owner</t>
        </is>
      </c>
      <c r="O3452" s="4" t="n"/>
      <c r="P3452" s="4" t="n"/>
      <c r="Q3452" s="4" t="inlineStr">
        <is>
          <t>MAESTRO-IOS-PERSONAL-LIFE_OPERATIONS-3451 | Groceries | 14818.97</t>
        </is>
      </c>
      <c r="R3452" s="4" t="inlineStr">
        <is>
          <t>iPhone</t>
        </is>
      </c>
      <c r="S3452" s="4" t="inlineStr">
        <is>
          <t>B70</t>
        </is>
      </c>
      <c r="T3452" s="4" t="inlineStr">
        <is>
          <t>STRESS_3001_3500</t>
        </is>
      </c>
      <c r="U3452" s="4" t="inlineStr">
        <is>
          <t>CREATED</t>
        </is>
      </c>
      <c r="V3452" s="4" t="inlineStr">
        <is>
          <t>idem-20260902-ios-3451</t>
        </is>
      </c>
    </row>
    <row r="3453" ht="30" customHeight="1">
      <c r="A3453" s="4" t="n">
        <v>3452</v>
      </c>
      <c r="B3453" s="4" t="inlineStr">
        <is>
          <t>MTR-IOS-3452</t>
        </is>
      </c>
      <c r="C3453" s="4" t="inlineStr">
        <is>
          <t>Group</t>
        </is>
      </c>
      <c r="D3453" s="4" t="inlineStr">
        <is>
          <t>Shared Living</t>
        </is>
      </c>
      <c r="E3453" s="4" t="inlineStr">
        <is>
          <t>Shared Living</t>
        </is>
      </c>
      <c r="F3453" s="4" t="inlineStr">
        <is>
          <t>Maintenance</t>
        </is>
      </c>
      <c r="G3453" s="4" t="inlineStr">
        <is>
          <t>Expense</t>
        </is>
      </c>
      <c r="H3453" s="12" t="n">
        <v>46091</v>
      </c>
      <c r="I3453" s="13" t="n">
        <v>0.5534606481481481</v>
      </c>
      <c r="J3453" s="14" t="n">
        <v>46091.55346064815</v>
      </c>
      <c r="K3453" s="15" t="n">
        <v>5762.07</v>
      </c>
      <c r="L3453" s="4" t="inlineStr">
        <is>
          <t>INR</t>
        </is>
      </c>
      <c r="M3453" s="15" t="n">
        <v>-5762.07</v>
      </c>
      <c r="N3453" s="4" t="inlineStr">
        <is>
          <t>IOS Aarav</t>
        </is>
      </c>
      <c r="O3453" s="4" t="n">
        <v>3</v>
      </c>
      <c r="P3453" s="4" t="inlineStr">
        <is>
          <t>EXACT</t>
        </is>
      </c>
      <c r="Q3453" s="4" t="inlineStr">
        <is>
          <t>MAESTRO-IOS-GROUP-SHARED_LIVING-3452 | Maintenance | 5762.07</t>
        </is>
      </c>
      <c r="R3453" s="4" t="inlineStr">
        <is>
          <t>iPhone</t>
        </is>
      </c>
      <c r="S3453" s="4" t="inlineStr">
        <is>
          <t>B70</t>
        </is>
      </c>
      <c r="T3453" s="4" t="inlineStr">
        <is>
          <t>STRESS_3001_3500</t>
        </is>
      </c>
      <c r="U3453" s="4" t="inlineStr">
        <is>
          <t>CREATED</t>
        </is>
      </c>
      <c r="V3453" s="4" t="inlineStr">
        <is>
          <t>idem-20260902-ios-3452</t>
        </is>
      </c>
    </row>
    <row r="3454" ht="30" customHeight="1">
      <c r="A3454" s="4" t="n">
        <v>3453</v>
      </c>
      <c r="B3454" s="4" t="inlineStr">
        <is>
          <t>MTR-IOS-3453</t>
        </is>
      </c>
      <c r="C3454" s="4" t="inlineStr">
        <is>
          <t>Business</t>
        </is>
      </c>
      <c r="D3454" s="4" t="inlineStr">
        <is>
          <t>Business</t>
        </is>
      </c>
      <c r="E3454" s="4" t="inlineStr">
        <is>
          <t>Business Operations</t>
        </is>
      </c>
      <c r="F3454" s="4" t="inlineStr">
        <is>
          <t>Legal</t>
        </is>
      </c>
      <c r="G3454" s="4" t="inlineStr">
        <is>
          <t>Expense</t>
        </is>
      </c>
      <c r="H3454" s="12" t="n">
        <v>46170</v>
      </c>
      <c r="I3454" s="13" t="n">
        <v>0.2652777777777778</v>
      </c>
      <c r="J3454" s="14" t="n">
        <v>46170.26527777778</v>
      </c>
      <c r="K3454" s="15" t="n">
        <v>145330.02</v>
      </c>
      <c r="L3454" s="4" t="inlineStr">
        <is>
          <t>INR</t>
        </is>
      </c>
      <c r="M3454" s="15" t="n">
        <v>-145330.02</v>
      </c>
      <c r="N3454" s="4" t="inlineStr">
        <is>
          <t>IOS Owner</t>
        </is>
      </c>
      <c r="O3454" s="4" t="n"/>
      <c r="P3454" s="4" t="n"/>
      <c r="Q3454" s="4" t="inlineStr">
        <is>
          <t>MAESTRO-IOS-BUSINESS-BUSINESS_OPERATIONS-3453 | Legal | 145330.02</t>
        </is>
      </c>
      <c r="R3454" s="4" t="inlineStr">
        <is>
          <t>iPhone</t>
        </is>
      </c>
      <c r="S3454" s="4" t="inlineStr">
        <is>
          <t>B70</t>
        </is>
      </c>
      <c r="T3454" s="4" t="inlineStr">
        <is>
          <t>STRESS_3001_3500</t>
        </is>
      </c>
      <c r="U3454" s="4" t="inlineStr">
        <is>
          <t>CREATED</t>
        </is>
      </c>
      <c r="V3454" s="4" t="inlineStr">
        <is>
          <t>idem-20260902-ios-3453</t>
        </is>
      </c>
    </row>
    <row r="3455" ht="30" customHeight="1">
      <c r="A3455" s="4" t="n">
        <v>3454</v>
      </c>
      <c r="B3455" s="4" t="inlineStr">
        <is>
          <t>MTR-IOS-3454</t>
        </is>
      </c>
      <c r="C3455" s="4" t="inlineStr">
        <is>
          <t>Personal</t>
        </is>
      </c>
      <c r="D3455" s="4" t="inlineStr">
        <is>
          <t>Personal</t>
        </is>
      </c>
      <c r="E3455" s="4" t="inlineStr">
        <is>
          <t>Life Operations</t>
        </is>
      </c>
      <c r="F3455" s="4" t="inlineStr">
        <is>
          <t>Rent</t>
        </is>
      </c>
      <c r="G3455" s="4" t="inlineStr">
        <is>
          <t>Expense</t>
        </is>
      </c>
      <c r="H3455" s="12" t="n">
        <v>45962</v>
      </c>
      <c r="I3455" s="13" t="n">
        <v>0.4719791666666667</v>
      </c>
      <c r="J3455" s="14" t="n">
        <v>45962.47197916666</v>
      </c>
      <c r="K3455" s="15" t="n">
        <v>16492.44</v>
      </c>
      <c r="L3455" s="4" t="inlineStr">
        <is>
          <t>INR</t>
        </is>
      </c>
      <c r="M3455" s="15" t="n">
        <v>-16492.44</v>
      </c>
      <c r="N3455" s="4" t="inlineStr">
        <is>
          <t>IOS Owner</t>
        </is>
      </c>
      <c r="O3455" s="4" t="n"/>
      <c r="P3455" s="4" t="n"/>
      <c r="Q3455" s="4" t="inlineStr">
        <is>
          <t>MAESTRO-IOS-PERSONAL-LIFE_OPERATIONS-3454 | Rent | 16492.44</t>
        </is>
      </c>
      <c r="R3455" s="4" t="inlineStr">
        <is>
          <t>iPhone</t>
        </is>
      </c>
      <c r="S3455" s="4" t="inlineStr">
        <is>
          <t>B70</t>
        </is>
      </c>
      <c r="T3455" s="4" t="inlineStr">
        <is>
          <t>STRESS_3001_3500</t>
        </is>
      </c>
      <c r="U3455" s="4" t="inlineStr">
        <is>
          <t>CREATED</t>
        </is>
      </c>
      <c r="V3455" s="4" t="inlineStr">
        <is>
          <t>idem-20260902-ios-3454</t>
        </is>
      </c>
    </row>
    <row r="3456" ht="30" customHeight="1">
      <c r="A3456" s="4" t="n">
        <v>3455</v>
      </c>
      <c r="B3456" s="4" t="inlineStr">
        <is>
          <t>MTR-IOS-3455</t>
        </is>
      </c>
      <c r="C3456" s="4" t="inlineStr">
        <is>
          <t>Group</t>
        </is>
      </c>
      <c r="D3456" s="4" t="inlineStr">
        <is>
          <t>Shared Living</t>
        </is>
      </c>
      <c r="E3456" s="4" t="inlineStr">
        <is>
          <t>Shared Living</t>
        </is>
      </c>
      <c r="F3456" s="4" t="inlineStr">
        <is>
          <t>Other</t>
        </is>
      </c>
      <c r="G3456" s="4" t="inlineStr">
        <is>
          <t>Expense</t>
        </is>
      </c>
      <c r="H3456" s="12" t="n">
        <v>45991</v>
      </c>
      <c r="I3456" s="13" t="n">
        <v>0.7410185185185185</v>
      </c>
      <c r="J3456" s="14" t="n">
        <v>45991.74101851852</v>
      </c>
      <c r="K3456" s="15" t="n">
        <v>4246.04</v>
      </c>
      <c r="L3456" s="4" t="inlineStr">
        <is>
          <t>INR</t>
        </is>
      </c>
      <c r="M3456" s="15" t="n">
        <v>-4246.04</v>
      </c>
      <c r="N3456" s="4" t="inlineStr">
        <is>
          <t>IOS Meera</t>
        </is>
      </c>
      <c r="O3456" s="4" t="n">
        <v>3</v>
      </c>
      <c r="P3456" s="4" t="inlineStr">
        <is>
          <t>SHARES</t>
        </is>
      </c>
      <c r="Q3456" s="4" t="inlineStr">
        <is>
          <t>MAESTRO-IOS-GROUP-SHARED_LIVING-3455 | Other | 4246.04</t>
        </is>
      </c>
      <c r="R3456" s="4" t="inlineStr">
        <is>
          <t>iPhone</t>
        </is>
      </c>
      <c r="S3456" s="4" t="inlineStr">
        <is>
          <t>B70</t>
        </is>
      </c>
      <c r="T3456" s="4" t="inlineStr">
        <is>
          <t>STRESS_3001_3500</t>
        </is>
      </c>
      <c r="U3456" s="4" t="inlineStr">
        <is>
          <t>CREATED</t>
        </is>
      </c>
      <c r="V3456" s="4" t="inlineStr">
        <is>
          <t>idem-20260902-ios-3455</t>
        </is>
      </c>
    </row>
    <row r="3457" ht="30" customHeight="1">
      <c r="A3457" s="4" t="n">
        <v>3456</v>
      </c>
      <c r="B3457" s="4" t="inlineStr">
        <is>
          <t>MTR-IOS-3456</t>
        </is>
      </c>
      <c r="C3457" s="4" t="inlineStr">
        <is>
          <t>Business</t>
        </is>
      </c>
      <c r="D3457" s="4" t="inlineStr">
        <is>
          <t>Business</t>
        </is>
      </c>
      <c r="E3457" s="4" t="inlineStr">
        <is>
          <t>Business Operations</t>
        </is>
      </c>
      <c r="F3457" s="4" t="inlineStr">
        <is>
          <t>Accounting</t>
        </is>
      </c>
      <c r="G3457" s="4" t="inlineStr">
        <is>
          <t>Expense</t>
        </is>
      </c>
      <c r="H3457" s="12" t="n">
        <v>46255</v>
      </c>
      <c r="I3457" s="13" t="n">
        <v>0.3295023148148148</v>
      </c>
      <c r="J3457" s="14" t="n">
        <v>46255.32950231482</v>
      </c>
      <c r="K3457" s="15" t="n">
        <v>31220.9</v>
      </c>
      <c r="L3457" s="4" t="inlineStr">
        <is>
          <t>INR</t>
        </is>
      </c>
      <c r="M3457" s="15" t="n">
        <v>-31220.9</v>
      </c>
      <c r="N3457" s="4" t="inlineStr">
        <is>
          <t>IOS Owner</t>
        </is>
      </c>
      <c r="O3457" s="4" t="n"/>
      <c r="P3457" s="4" t="n"/>
      <c r="Q3457" s="4" t="inlineStr">
        <is>
          <t>MAESTRO-IOS-BUSINESS-BUSINESS_OPERATIONS-3456 | Accounting | 31220.90</t>
        </is>
      </c>
      <c r="R3457" s="4" t="inlineStr">
        <is>
          <t>iPhone</t>
        </is>
      </c>
      <c r="S3457" s="4" t="inlineStr">
        <is>
          <t>B70</t>
        </is>
      </c>
      <c r="T3457" s="4" t="inlineStr">
        <is>
          <t>STRESS_3001_3500</t>
        </is>
      </c>
      <c r="U3457" s="4" t="inlineStr">
        <is>
          <t>CREATED</t>
        </is>
      </c>
      <c r="V3457" s="4" t="inlineStr">
        <is>
          <t>idem-20260902-ios-3456</t>
        </is>
      </c>
    </row>
    <row r="3458" ht="30" customHeight="1">
      <c r="A3458" s="4" t="n">
        <v>3457</v>
      </c>
      <c r="B3458" s="4" t="inlineStr">
        <is>
          <t>MTR-IOS-3457</t>
        </is>
      </c>
      <c r="C3458" s="4" t="inlineStr">
        <is>
          <t>Personal</t>
        </is>
      </c>
      <c r="D3458" s="4" t="inlineStr">
        <is>
          <t>Personal</t>
        </is>
      </c>
      <c r="E3458" s="4" t="inlineStr">
        <is>
          <t>Life Operations</t>
        </is>
      </c>
      <c r="F3458" s="4" t="inlineStr">
        <is>
          <t>Bills</t>
        </is>
      </c>
      <c r="G3458" s="4" t="inlineStr">
        <is>
          <t>Expense</t>
        </is>
      </c>
      <c r="H3458" s="12" t="n">
        <v>46231</v>
      </c>
      <c r="I3458" s="13" t="n">
        <v>0.3927083333333333</v>
      </c>
      <c r="J3458" s="14" t="n">
        <v>46231.39270833333</v>
      </c>
      <c r="K3458" s="15" t="n">
        <v>1475.78</v>
      </c>
      <c r="L3458" s="4" t="inlineStr">
        <is>
          <t>INR</t>
        </is>
      </c>
      <c r="M3458" s="15" t="n">
        <v>-1475.78</v>
      </c>
      <c r="N3458" s="4" t="inlineStr">
        <is>
          <t>IOS Owner</t>
        </is>
      </c>
      <c r="O3458" s="4" t="n"/>
      <c r="P3458" s="4" t="n"/>
      <c r="Q3458" s="4" t="inlineStr">
        <is>
          <t>MAESTRO-IOS-PERSONAL-LIFE_OPERATIONS-3457 | Bills | 1475.78</t>
        </is>
      </c>
      <c r="R3458" s="4" t="inlineStr">
        <is>
          <t>iPhone</t>
        </is>
      </c>
      <c r="S3458" s="4" t="inlineStr">
        <is>
          <t>B70</t>
        </is>
      </c>
      <c r="T3458" s="4" t="inlineStr">
        <is>
          <t>STRESS_3001_3500</t>
        </is>
      </c>
      <c r="U3458" s="4" t="inlineStr">
        <is>
          <t>CREATED</t>
        </is>
      </c>
      <c r="V3458" s="4" t="inlineStr">
        <is>
          <t>idem-20260902-ios-3457</t>
        </is>
      </c>
    </row>
    <row r="3459" ht="30" customHeight="1">
      <c r="A3459" s="4" t="n">
        <v>3458</v>
      </c>
      <c r="B3459" s="4" t="inlineStr">
        <is>
          <t>MTR-IOS-3458</t>
        </is>
      </c>
      <c r="C3459" s="4" t="inlineStr">
        <is>
          <t>Group</t>
        </is>
      </c>
      <c r="D3459" s="4" t="inlineStr">
        <is>
          <t>Shared Living</t>
        </is>
      </c>
      <c r="E3459" s="4" t="inlineStr">
        <is>
          <t>Family Household</t>
        </is>
      </c>
      <c r="F3459" s="4" t="inlineStr">
        <is>
          <t>Groceries</t>
        </is>
      </c>
      <c r="G3459" s="4" t="inlineStr">
        <is>
          <t>Expense</t>
        </is>
      </c>
      <c r="H3459" s="12" t="n">
        <v>46007</v>
      </c>
      <c r="I3459" s="13" t="n">
        <v>0.7218634259259259</v>
      </c>
      <c r="J3459" s="14" t="n">
        <v>46007.72186342593</v>
      </c>
      <c r="K3459" s="15" t="n">
        <v>22984.5</v>
      </c>
      <c r="L3459" s="4" t="inlineStr">
        <is>
          <t>INR</t>
        </is>
      </c>
      <c r="M3459" s="15" t="n">
        <v>-22984.5</v>
      </c>
      <c r="N3459" s="4" t="inlineStr">
        <is>
          <t>IOS Owner</t>
        </is>
      </c>
      <c r="O3459" s="4" t="n">
        <v>3</v>
      </c>
      <c r="P3459" s="4" t="inlineStr">
        <is>
          <t>EQUAL</t>
        </is>
      </c>
      <c r="Q3459" s="4" t="inlineStr">
        <is>
          <t>MAESTRO-IOS-GROUP-FAMILY_HOUSEHOLD-3458 | Groceries | 22984.50</t>
        </is>
      </c>
      <c r="R3459" s="4" t="inlineStr">
        <is>
          <t>iPhone</t>
        </is>
      </c>
      <c r="S3459" s="4" t="inlineStr">
        <is>
          <t>B70</t>
        </is>
      </c>
      <c r="T3459" s="4" t="inlineStr">
        <is>
          <t>STRESS_3001_3500</t>
        </is>
      </c>
      <c r="U3459" s="4" t="inlineStr">
        <is>
          <t>CREATED</t>
        </is>
      </c>
      <c r="V3459" s="4" t="inlineStr">
        <is>
          <t>idem-20260902-ios-3458</t>
        </is>
      </c>
    </row>
    <row r="3460" ht="30" customHeight="1">
      <c r="A3460" s="4" t="n">
        <v>3459</v>
      </c>
      <c r="B3460" s="4" t="inlineStr">
        <is>
          <t>MTR-IOS-3459</t>
        </is>
      </c>
      <c r="C3460" s="4" t="inlineStr">
        <is>
          <t>Business</t>
        </is>
      </c>
      <c r="D3460" s="4" t="inlineStr">
        <is>
          <t>Business</t>
        </is>
      </c>
      <c r="E3460" s="4" t="inlineStr">
        <is>
          <t>Business Operations</t>
        </is>
      </c>
      <c r="F3460" s="4" t="inlineStr">
        <is>
          <t>Equipment</t>
        </is>
      </c>
      <c r="G3460" s="4" t="inlineStr">
        <is>
          <t>Expense</t>
        </is>
      </c>
      <c r="H3460" s="12" t="n">
        <v>45992</v>
      </c>
      <c r="I3460" s="13" t="n">
        <v>0.1091087962962963</v>
      </c>
      <c r="J3460" s="14" t="n">
        <v>45992.1091087963</v>
      </c>
      <c r="K3460" s="15" t="n">
        <v>36627.08</v>
      </c>
      <c r="L3460" s="4" t="inlineStr">
        <is>
          <t>INR</t>
        </is>
      </c>
      <c r="M3460" s="15" t="n">
        <v>-36627.08</v>
      </c>
      <c r="N3460" s="4" t="inlineStr">
        <is>
          <t>IOS Owner</t>
        </is>
      </c>
      <c r="O3460" s="4" t="n"/>
      <c r="P3460" s="4" t="n"/>
      <c r="Q3460" s="4" t="inlineStr">
        <is>
          <t>MAESTRO-IOS-BUSINESS-BUSINESS_OPERATIONS-3459 | Equipment | 36627.08</t>
        </is>
      </c>
      <c r="R3460" s="4" t="inlineStr">
        <is>
          <t>iPhone</t>
        </is>
      </c>
      <c r="S3460" s="4" t="inlineStr">
        <is>
          <t>B70</t>
        </is>
      </c>
      <c r="T3460" s="4" t="inlineStr">
        <is>
          <t>STRESS_3001_3500</t>
        </is>
      </c>
      <c r="U3460" s="4" t="inlineStr">
        <is>
          <t>CREATED</t>
        </is>
      </c>
      <c r="V3460" s="4" t="inlineStr">
        <is>
          <t>idem-20260902-ios-3459</t>
        </is>
      </c>
    </row>
    <row r="3461" ht="30" customHeight="1">
      <c r="A3461" s="4" t="n">
        <v>3460</v>
      </c>
      <c r="B3461" s="4" t="inlineStr">
        <is>
          <t>MTR-IOS-3460</t>
        </is>
      </c>
      <c r="C3461" s="4" t="inlineStr">
        <is>
          <t>Personal</t>
        </is>
      </c>
      <c r="D3461" s="4" t="inlineStr">
        <is>
          <t>Personal</t>
        </is>
      </c>
      <c r="E3461" s="4" t="inlineStr">
        <is>
          <t>Life Operations</t>
        </is>
      </c>
      <c r="F3461" s="4" t="inlineStr">
        <is>
          <t>Transport</t>
        </is>
      </c>
      <c r="G3461" s="4" t="inlineStr">
        <is>
          <t>Expense</t>
        </is>
      </c>
      <c r="H3461" s="12" t="n">
        <v>46127</v>
      </c>
      <c r="I3461" s="13" t="n">
        <v>0.4915393518518518</v>
      </c>
      <c r="J3461" s="14" t="n">
        <v>46127.49153935185</v>
      </c>
      <c r="K3461" s="15" t="n">
        <v>14867.36</v>
      </c>
      <c r="L3461" s="4" t="inlineStr">
        <is>
          <t>INR</t>
        </is>
      </c>
      <c r="M3461" s="15" t="n">
        <v>-14867.36</v>
      </c>
      <c r="N3461" s="4" t="inlineStr">
        <is>
          <t>IOS Owner</t>
        </is>
      </c>
      <c r="O3461" s="4" t="n"/>
      <c r="P3461" s="4" t="n"/>
      <c r="Q3461" s="4" t="inlineStr">
        <is>
          <t>MAESTRO-IOS-PERSONAL-LIFE_OPERATIONS-3460 | Transport | 14867.36</t>
        </is>
      </c>
      <c r="R3461" s="4" t="inlineStr">
        <is>
          <t>iPhone</t>
        </is>
      </c>
      <c r="S3461" s="4" t="inlineStr">
        <is>
          <t>B70</t>
        </is>
      </c>
      <c r="T3461" s="4" t="inlineStr">
        <is>
          <t>STRESS_3001_3500</t>
        </is>
      </c>
      <c r="U3461" s="4" t="inlineStr">
        <is>
          <t>CREATED</t>
        </is>
      </c>
      <c r="V3461" s="4" t="inlineStr">
        <is>
          <t>idem-20260902-ios-3460</t>
        </is>
      </c>
    </row>
    <row r="3462" ht="30" customHeight="1">
      <c r="A3462" s="4" t="n">
        <v>3461</v>
      </c>
      <c r="B3462" s="4" t="inlineStr">
        <is>
          <t>MTR-IOS-3461</t>
        </is>
      </c>
      <c r="C3462" s="4" t="inlineStr">
        <is>
          <t>Group</t>
        </is>
      </c>
      <c r="D3462" s="4" t="inlineStr">
        <is>
          <t>Shared Living</t>
        </is>
      </c>
      <c r="E3462" s="4" t="inlineStr">
        <is>
          <t>Family Household</t>
        </is>
      </c>
      <c r="F3462" s="4" t="inlineStr">
        <is>
          <t>Bills</t>
        </is>
      </c>
      <c r="G3462" s="4" t="inlineStr">
        <is>
          <t>Expense</t>
        </is>
      </c>
      <c r="H3462" s="12" t="n">
        <v>46258</v>
      </c>
      <c r="I3462" s="13" t="n">
        <v>0.6192476851851851</v>
      </c>
      <c r="J3462" s="14" t="n">
        <v>46258.61924768519</v>
      </c>
      <c r="K3462" s="15" t="n">
        <v>9380.559999999999</v>
      </c>
      <c r="L3462" s="4" t="inlineStr">
        <is>
          <t>INR</t>
        </is>
      </c>
      <c r="M3462" s="15" t="n">
        <v>-9380.559999999999</v>
      </c>
      <c r="N3462" s="4" t="inlineStr">
        <is>
          <t>IOS Aarav</t>
        </is>
      </c>
      <c r="O3462" s="4" t="n">
        <v>3</v>
      </c>
      <c r="P3462" s="4" t="inlineStr">
        <is>
          <t>PERCENTAGE</t>
        </is>
      </c>
      <c r="Q3462" s="4" t="inlineStr">
        <is>
          <t>MAESTRO-IOS-GROUP-FAMILY_HOUSEHOLD-3461 | Bills | 9380.56</t>
        </is>
      </c>
      <c r="R3462" s="4" t="inlineStr">
        <is>
          <t>iPhone</t>
        </is>
      </c>
      <c r="S3462" s="4" t="inlineStr">
        <is>
          <t>B70</t>
        </is>
      </c>
      <c r="T3462" s="4" t="inlineStr">
        <is>
          <t>STRESS_3001_3500</t>
        </is>
      </c>
      <c r="U3462" s="4" t="inlineStr">
        <is>
          <t>CREATED</t>
        </is>
      </c>
      <c r="V3462" s="4" t="inlineStr">
        <is>
          <t>idem-20260902-ios-3461</t>
        </is>
      </c>
    </row>
    <row r="3463" ht="30" customHeight="1">
      <c r="A3463" s="4" t="n">
        <v>3462</v>
      </c>
      <c r="B3463" s="4" t="inlineStr">
        <is>
          <t>MTR-IOS-3462</t>
        </is>
      </c>
      <c r="C3463" s="4" t="inlineStr">
        <is>
          <t>Business</t>
        </is>
      </c>
      <c r="D3463" s="4" t="inlineStr">
        <is>
          <t>Business</t>
        </is>
      </c>
      <c r="E3463" s="4" t="inlineStr">
        <is>
          <t>Business Operations</t>
        </is>
      </c>
      <c r="F3463" s="4" t="inlineStr">
        <is>
          <t>Vendor</t>
        </is>
      </c>
      <c r="G3463" s="4" t="inlineStr">
        <is>
          <t>Expense</t>
        </is>
      </c>
      <c r="H3463" s="12" t="n">
        <v>46018</v>
      </c>
      <c r="I3463" s="13" t="n">
        <v>0.6046875</v>
      </c>
      <c r="J3463" s="14" t="n">
        <v>46018.6046875</v>
      </c>
      <c r="K3463" s="15" t="n">
        <v>69729.42999999999</v>
      </c>
      <c r="L3463" s="4" t="inlineStr">
        <is>
          <t>INR</t>
        </is>
      </c>
      <c r="M3463" s="15" t="n">
        <v>-69729.42999999999</v>
      </c>
      <c r="N3463" s="4" t="inlineStr">
        <is>
          <t>IOS Owner</t>
        </is>
      </c>
      <c r="O3463" s="4" t="n"/>
      <c r="P3463" s="4" t="n"/>
      <c r="Q3463" s="4" t="inlineStr">
        <is>
          <t>MAESTRO-IOS-BUSINESS-BUSINESS_OPERATIONS-3462 | Vendor | 69729.43</t>
        </is>
      </c>
      <c r="R3463" s="4" t="inlineStr">
        <is>
          <t>iPhone</t>
        </is>
      </c>
      <c r="S3463" s="4" t="inlineStr">
        <is>
          <t>B70</t>
        </is>
      </c>
      <c r="T3463" s="4" t="inlineStr">
        <is>
          <t>STRESS_3001_3500</t>
        </is>
      </c>
      <c r="U3463" s="4" t="inlineStr">
        <is>
          <t>CREATED</t>
        </is>
      </c>
      <c r="V3463" s="4" t="inlineStr">
        <is>
          <t>idem-20260902-ios-3462</t>
        </is>
      </c>
    </row>
    <row r="3464" ht="30" customHeight="1">
      <c r="A3464" s="4" t="n">
        <v>3463</v>
      </c>
      <c r="B3464" s="4" t="inlineStr">
        <is>
          <t>MTR-IOS-3463</t>
        </is>
      </c>
      <c r="C3464" s="4" t="inlineStr">
        <is>
          <t>Personal</t>
        </is>
      </c>
      <c r="D3464" s="4" t="inlineStr">
        <is>
          <t>Personal</t>
        </is>
      </c>
      <c r="E3464" s="4" t="inlineStr">
        <is>
          <t>Life Operations</t>
        </is>
      </c>
      <c r="F3464" s="4" t="inlineStr">
        <is>
          <t>Healthcare</t>
        </is>
      </c>
      <c r="G3464" s="4" t="inlineStr">
        <is>
          <t>Expense</t>
        </is>
      </c>
      <c r="H3464" s="12" t="n">
        <v>46031</v>
      </c>
      <c r="I3464" s="13" t="n">
        <v>0.03173611111111111</v>
      </c>
      <c r="J3464" s="14" t="n">
        <v>46031.03173611111</v>
      </c>
      <c r="K3464" s="15" t="n">
        <v>7783.6</v>
      </c>
      <c r="L3464" s="4" t="inlineStr">
        <is>
          <t>INR</t>
        </is>
      </c>
      <c r="M3464" s="15" t="n">
        <v>-7783.6</v>
      </c>
      <c r="N3464" s="4" t="inlineStr">
        <is>
          <t>IOS Owner</t>
        </is>
      </c>
      <c r="O3464" s="4" t="n"/>
      <c r="P3464" s="4" t="n"/>
      <c r="Q3464" s="4" t="inlineStr">
        <is>
          <t>MAESTRO-IOS-PERSONAL-LIFE_OPERATIONS-3463 | Healthcare | 7783.60</t>
        </is>
      </c>
      <c r="R3464" s="4" t="inlineStr">
        <is>
          <t>iPhone</t>
        </is>
      </c>
      <c r="S3464" s="4" t="inlineStr">
        <is>
          <t>B70</t>
        </is>
      </c>
      <c r="T3464" s="4" t="inlineStr">
        <is>
          <t>STRESS_3001_3500</t>
        </is>
      </c>
      <c r="U3464" s="4" t="inlineStr">
        <is>
          <t>CREATED</t>
        </is>
      </c>
      <c r="V3464" s="4" t="inlineStr">
        <is>
          <t>idem-20260902-ios-3463</t>
        </is>
      </c>
    </row>
    <row r="3465" ht="30" customHeight="1">
      <c r="A3465" s="4" t="n">
        <v>3464</v>
      </c>
      <c r="B3465" s="4" t="inlineStr">
        <is>
          <t>MTR-IOS-3464</t>
        </is>
      </c>
      <c r="C3465" s="4" t="inlineStr">
        <is>
          <t>Group</t>
        </is>
      </c>
      <c r="D3465" s="4" t="inlineStr">
        <is>
          <t>Shared Living</t>
        </is>
      </c>
      <c r="E3465" s="4" t="inlineStr">
        <is>
          <t>Family Household</t>
        </is>
      </c>
      <c r="F3465" s="4" t="inlineStr">
        <is>
          <t>School</t>
        </is>
      </c>
      <c r="G3465" s="4" t="inlineStr">
        <is>
          <t>Expense</t>
        </is>
      </c>
      <c r="H3465" s="12" t="n">
        <v>45917</v>
      </c>
      <c r="I3465" s="13" t="n">
        <v>0.5987037037037037</v>
      </c>
      <c r="J3465" s="14" t="n">
        <v>45917.5987037037</v>
      </c>
      <c r="K3465" s="15" t="n">
        <v>20052.1</v>
      </c>
      <c r="L3465" s="4" t="inlineStr">
        <is>
          <t>INR</t>
        </is>
      </c>
      <c r="M3465" s="15" t="n">
        <v>-20052.1</v>
      </c>
      <c r="N3465" s="4" t="inlineStr">
        <is>
          <t>IOS Meera</t>
        </is>
      </c>
      <c r="O3465" s="4" t="n">
        <v>3</v>
      </c>
      <c r="P3465" s="4" t="inlineStr">
        <is>
          <t>EXACT</t>
        </is>
      </c>
      <c r="Q3465" s="4" t="inlineStr">
        <is>
          <t>MAESTRO-IOS-GROUP-FAMILY_HOUSEHOLD-3464 | School | 20052.10</t>
        </is>
      </c>
      <c r="R3465" s="4" t="inlineStr">
        <is>
          <t>iPhone</t>
        </is>
      </c>
      <c r="S3465" s="4" t="inlineStr">
        <is>
          <t>B70</t>
        </is>
      </c>
      <c r="T3465" s="4" t="inlineStr">
        <is>
          <t>STRESS_3001_3500</t>
        </is>
      </c>
      <c r="U3465" s="4" t="inlineStr">
        <is>
          <t>CREATED</t>
        </is>
      </c>
      <c r="V3465" s="4" t="inlineStr">
        <is>
          <t>idem-20260902-ios-3464</t>
        </is>
      </c>
    </row>
    <row r="3466" ht="30" customHeight="1">
      <c r="A3466" s="4" t="n">
        <v>3465</v>
      </c>
      <c r="B3466" s="4" t="inlineStr">
        <is>
          <t>MTR-IOS-3465</t>
        </is>
      </c>
      <c r="C3466" s="4" t="inlineStr">
        <is>
          <t>Business</t>
        </is>
      </c>
      <c r="D3466" s="4" t="inlineStr">
        <is>
          <t>Business</t>
        </is>
      </c>
      <c r="E3466" s="4" t="inlineStr">
        <is>
          <t>Business Operations</t>
        </is>
      </c>
      <c r="F3466" s="4" t="inlineStr">
        <is>
          <t>Tax</t>
        </is>
      </c>
      <c r="G3466" s="4" t="inlineStr">
        <is>
          <t>Expense</t>
        </is>
      </c>
      <c r="H3466" s="12" t="n">
        <v>46139</v>
      </c>
      <c r="I3466" s="13" t="n">
        <v>0.06210648148148148</v>
      </c>
      <c r="J3466" s="14" t="n">
        <v>46139.06210648148</v>
      </c>
      <c r="K3466" s="15" t="n">
        <v>26131.05</v>
      </c>
      <c r="L3466" s="4" t="inlineStr">
        <is>
          <t>INR</t>
        </is>
      </c>
      <c r="M3466" s="15" t="n">
        <v>-26131.05</v>
      </c>
      <c r="N3466" s="4" t="inlineStr">
        <is>
          <t>IOS Owner</t>
        </is>
      </c>
      <c r="O3466" s="4" t="n"/>
      <c r="P3466" s="4" t="n"/>
      <c r="Q3466" s="4" t="inlineStr">
        <is>
          <t>MAESTRO-IOS-BUSINESS-BUSINESS_OPERATIONS-3465 | Tax | 26131.05</t>
        </is>
      </c>
      <c r="R3466" s="4" t="inlineStr">
        <is>
          <t>iPhone</t>
        </is>
      </c>
      <c r="S3466" s="4" t="inlineStr">
        <is>
          <t>B70</t>
        </is>
      </c>
      <c r="T3466" s="4" t="inlineStr">
        <is>
          <t>STRESS_3001_3500</t>
        </is>
      </c>
      <c r="U3466" s="4" t="inlineStr">
        <is>
          <t>CREATED</t>
        </is>
      </c>
      <c r="V3466" s="4" t="inlineStr">
        <is>
          <t>idem-20260902-ios-3465</t>
        </is>
      </c>
    </row>
    <row r="3467" ht="30" customHeight="1">
      <c r="A3467" s="4" t="n">
        <v>3466</v>
      </c>
      <c r="B3467" s="4" t="inlineStr">
        <is>
          <t>MTR-IOS-3466</t>
        </is>
      </c>
      <c r="C3467" s="4" t="inlineStr">
        <is>
          <t>Personal</t>
        </is>
      </c>
      <c r="D3467" s="4" t="inlineStr">
        <is>
          <t>Personal</t>
        </is>
      </c>
      <c r="E3467" s="4" t="inlineStr">
        <is>
          <t>Life Operations</t>
        </is>
      </c>
      <c r="F3467" s="4" t="inlineStr">
        <is>
          <t>Subscriptions</t>
        </is>
      </c>
      <c r="G3467" s="4" t="inlineStr">
        <is>
          <t>Expense</t>
        </is>
      </c>
      <c r="H3467" s="12" t="n">
        <v>46099</v>
      </c>
      <c r="I3467" s="13" t="n">
        <v>0.5622569444444444</v>
      </c>
      <c r="J3467" s="14" t="n">
        <v>46099.56225694445</v>
      </c>
      <c r="K3467" s="15" t="n">
        <v>17530.28</v>
      </c>
      <c r="L3467" s="4" t="inlineStr">
        <is>
          <t>INR</t>
        </is>
      </c>
      <c r="M3467" s="15" t="n">
        <v>-17530.28</v>
      </c>
      <c r="N3467" s="4" t="inlineStr">
        <is>
          <t>IOS Owner</t>
        </is>
      </c>
      <c r="O3467" s="4" t="n"/>
      <c r="P3467" s="4" t="n"/>
      <c r="Q3467" s="4" t="inlineStr">
        <is>
          <t>MAESTRO-IOS-PERSONAL-LIFE_OPERATIONS-3466 | Subscriptions | 17530.28</t>
        </is>
      </c>
      <c r="R3467" s="4" t="inlineStr">
        <is>
          <t>iPhone</t>
        </is>
      </c>
      <c r="S3467" s="4" t="inlineStr">
        <is>
          <t>B70</t>
        </is>
      </c>
      <c r="T3467" s="4" t="inlineStr">
        <is>
          <t>STRESS_3001_3500</t>
        </is>
      </c>
      <c r="U3467" s="4" t="inlineStr">
        <is>
          <t>CREATED</t>
        </is>
      </c>
      <c r="V3467" s="4" t="inlineStr">
        <is>
          <t>idem-20260902-ios-3466</t>
        </is>
      </c>
    </row>
    <row r="3468" ht="30" customHeight="1">
      <c r="A3468" s="4" t="n">
        <v>3467</v>
      </c>
      <c r="B3468" s="4" t="inlineStr">
        <is>
          <t>MTR-IOS-3467</t>
        </is>
      </c>
      <c r="C3468" s="4" t="inlineStr">
        <is>
          <t>Group</t>
        </is>
      </c>
      <c r="D3468" s="4" t="inlineStr">
        <is>
          <t>Shared Living</t>
        </is>
      </c>
      <c r="E3468" s="4" t="inlineStr">
        <is>
          <t>Family Household</t>
        </is>
      </c>
      <c r="F3468" s="4" t="inlineStr">
        <is>
          <t>Healthcare</t>
        </is>
      </c>
      <c r="G3468" s="4" t="inlineStr">
        <is>
          <t>Expense</t>
        </is>
      </c>
      <c r="H3468" s="12" t="n">
        <v>46182</v>
      </c>
      <c r="I3468" s="13" t="n">
        <v>0.05837962962962963</v>
      </c>
      <c r="J3468" s="14" t="n">
        <v>46182.05837962963</v>
      </c>
      <c r="K3468" s="15" t="n">
        <v>9702.92</v>
      </c>
      <c r="L3468" s="4" t="inlineStr">
        <is>
          <t>INR</t>
        </is>
      </c>
      <c r="M3468" s="15" t="n">
        <v>-9702.92</v>
      </c>
      <c r="N3468" s="4" t="inlineStr">
        <is>
          <t>IOS Owner</t>
        </is>
      </c>
      <c r="O3468" s="4" t="n">
        <v>3</v>
      </c>
      <c r="P3468" s="4" t="inlineStr">
        <is>
          <t>SHARES</t>
        </is>
      </c>
      <c r="Q3468" s="4" t="inlineStr">
        <is>
          <t>MAESTRO-IOS-GROUP-FAMILY_HOUSEHOLD-3467 | Healthcare | 9702.92</t>
        </is>
      </c>
      <c r="R3468" s="4" t="inlineStr">
        <is>
          <t>iPhone</t>
        </is>
      </c>
      <c r="S3468" s="4" t="inlineStr">
        <is>
          <t>B70</t>
        </is>
      </c>
      <c r="T3468" s="4" t="inlineStr">
        <is>
          <t>STRESS_3001_3500</t>
        </is>
      </c>
      <c r="U3468" s="4" t="inlineStr">
        <is>
          <t>CREATED</t>
        </is>
      </c>
      <c r="V3468" s="4" t="inlineStr">
        <is>
          <t>idem-20260902-ios-3467</t>
        </is>
      </c>
    </row>
    <row r="3469" ht="30" customHeight="1">
      <c r="A3469" s="4" t="n">
        <v>3468</v>
      </c>
      <c r="B3469" s="4" t="inlineStr">
        <is>
          <t>MTR-IOS-3468</t>
        </is>
      </c>
      <c r="C3469" s="4" t="inlineStr">
        <is>
          <t>Business</t>
        </is>
      </c>
      <c r="D3469" s="4" t="inlineStr">
        <is>
          <t>Business</t>
        </is>
      </c>
      <c r="E3469" s="4" t="inlineStr">
        <is>
          <t>Team Operations</t>
        </is>
      </c>
      <c r="F3469" s="4" t="inlineStr">
        <is>
          <t>Payroll</t>
        </is>
      </c>
      <c r="G3469" s="4" t="inlineStr">
        <is>
          <t>Expense</t>
        </is>
      </c>
      <c r="H3469" s="12" t="n">
        <v>45985</v>
      </c>
      <c r="I3469" s="13" t="n">
        <v>0.6162152777777777</v>
      </c>
      <c r="J3469" s="14" t="n">
        <v>45985.61621527778</v>
      </c>
      <c r="K3469" s="15" t="n">
        <v>457.12</v>
      </c>
      <c r="L3469" s="4" t="inlineStr">
        <is>
          <t>INR</t>
        </is>
      </c>
      <c r="M3469" s="15" t="n">
        <v>-457.12</v>
      </c>
      <c r="N3469" s="4" t="inlineStr">
        <is>
          <t>IOS Owner</t>
        </is>
      </c>
      <c r="O3469" s="4" t="n"/>
      <c r="P3469" s="4" t="n"/>
      <c r="Q3469" s="4" t="inlineStr">
        <is>
          <t>MAESTRO-IOS-BUSINESS-TEAM_OPERATIONS-3468 | Payroll | 457.12</t>
        </is>
      </c>
      <c r="R3469" s="4" t="inlineStr">
        <is>
          <t>iPhone</t>
        </is>
      </c>
      <c r="S3469" s="4" t="inlineStr">
        <is>
          <t>B70</t>
        </is>
      </c>
      <c r="T3469" s="4" t="inlineStr">
        <is>
          <t>STRESS_3001_3500</t>
        </is>
      </c>
      <c r="U3469" s="4" t="inlineStr">
        <is>
          <t>CREATED</t>
        </is>
      </c>
      <c r="V3469" s="4" t="inlineStr">
        <is>
          <t>idem-20260902-ios-3468</t>
        </is>
      </c>
    </row>
    <row r="3470" ht="30" customHeight="1">
      <c r="A3470" s="4" t="n">
        <v>3469</v>
      </c>
      <c r="B3470" s="4" t="inlineStr">
        <is>
          <t>MTR-IOS-3469</t>
        </is>
      </c>
      <c r="C3470" s="4" t="inlineStr">
        <is>
          <t>Personal</t>
        </is>
      </c>
      <c r="D3470" s="4" t="inlineStr">
        <is>
          <t>Personal</t>
        </is>
      </c>
      <c r="E3470" s="4" t="inlineStr">
        <is>
          <t>Life Operations</t>
        </is>
      </c>
      <c r="F3470" s="4" t="inlineStr">
        <is>
          <t>Repairs</t>
        </is>
      </c>
      <c r="G3470" s="4" t="inlineStr">
        <is>
          <t>Expense</t>
        </is>
      </c>
      <c r="H3470" s="12" t="n">
        <v>46162</v>
      </c>
      <c r="I3470" s="13" t="n">
        <v>0.2392939814814815</v>
      </c>
      <c r="J3470" s="14" t="n">
        <v>46162.23929398148</v>
      </c>
      <c r="K3470" s="15" t="n">
        <v>13581.23</v>
      </c>
      <c r="L3470" s="4" t="inlineStr">
        <is>
          <t>INR</t>
        </is>
      </c>
      <c r="M3470" s="15" t="n">
        <v>-13581.23</v>
      </c>
      <c r="N3470" s="4" t="inlineStr">
        <is>
          <t>IOS Owner</t>
        </is>
      </c>
      <c r="O3470" s="4" t="n"/>
      <c r="P3470" s="4" t="n"/>
      <c r="Q3470" s="4" t="inlineStr">
        <is>
          <t>MAESTRO-IOS-PERSONAL-LIFE_OPERATIONS-3469 | Repairs | 13581.23</t>
        </is>
      </c>
      <c r="R3470" s="4" t="inlineStr">
        <is>
          <t>iPhone</t>
        </is>
      </c>
      <c r="S3470" s="4" t="inlineStr">
        <is>
          <t>B70</t>
        </is>
      </c>
      <c r="T3470" s="4" t="inlineStr">
        <is>
          <t>STRESS_3001_3500</t>
        </is>
      </c>
      <c r="U3470" s="4" t="inlineStr">
        <is>
          <t>CREATED</t>
        </is>
      </c>
      <c r="V3470" s="4" t="inlineStr">
        <is>
          <t>idem-20260902-ios-3469</t>
        </is>
      </c>
    </row>
    <row r="3471" ht="30" customHeight="1">
      <c r="A3471" s="4" t="n">
        <v>3470</v>
      </c>
      <c r="B3471" s="4" t="inlineStr">
        <is>
          <t>MTR-IOS-3470</t>
        </is>
      </c>
      <c r="C3471" s="4" t="inlineStr">
        <is>
          <t>Group</t>
        </is>
      </c>
      <c r="D3471" s="4" t="inlineStr">
        <is>
          <t>Shared Living</t>
        </is>
      </c>
      <c r="E3471" s="4" t="inlineStr">
        <is>
          <t>Family Household</t>
        </is>
      </c>
      <c r="F3471" s="4" t="inlineStr">
        <is>
          <t>Home</t>
        </is>
      </c>
      <c r="G3471" s="4" t="inlineStr">
        <is>
          <t>Expense</t>
        </is>
      </c>
      <c r="H3471" s="12" t="n">
        <v>46156</v>
      </c>
      <c r="I3471" s="13" t="n">
        <v>0.2854282407407407</v>
      </c>
      <c r="J3471" s="14" t="n">
        <v>46156.28542824074</v>
      </c>
      <c r="K3471" s="15" t="n">
        <v>18566.61</v>
      </c>
      <c r="L3471" s="4" t="inlineStr">
        <is>
          <t>INR</t>
        </is>
      </c>
      <c r="M3471" s="15" t="n">
        <v>-18566.61</v>
      </c>
      <c r="N3471" s="4" t="inlineStr">
        <is>
          <t>IOS Aarav</t>
        </is>
      </c>
      <c r="O3471" s="4" t="n">
        <v>3</v>
      </c>
      <c r="P3471" s="4" t="inlineStr">
        <is>
          <t>EQUAL</t>
        </is>
      </c>
      <c r="Q3471" s="4" t="inlineStr">
        <is>
          <t>MAESTRO-IOS-GROUP-FAMILY_HOUSEHOLD-3470 | Home | 18566.61</t>
        </is>
      </c>
      <c r="R3471" s="4" t="inlineStr">
        <is>
          <t>iPhone</t>
        </is>
      </c>
      <c r="S3471" s="4" t="inlineStr">
        <is>
          <t>B70</t>
        </is>
      </c>
      <c r="T3471" s="4" t="inlineStr">
        <is>
          <t>STRESS_3001_3500</t>
        </is>
      </c>
      <c r="U3471" s="4" t="inlineStr">
        <is>
          <t>CREATED</t>
        </is>
      </c>
      <c r="V3471" s="4" t="inlineStr">
        <is>
          <t>idem-20260902-ios-3470</t>
        </is>
      </c>
    </row>
    <row r="3472" ht="30" customHeight="1">
      <c r="A3472" s="4" t="n">
        <v>3471</v>
      </c>
      <c r="B3472" s="4" t="inlineStr">
        <is>
          <t>MTR-IOS-3471</t>
        </is>
      </c>
      <c r="C3472" s="4" t="inlineStr">
        <is>
          <t>Business</t>
        </is>
      </c>
      <c r="D3472" s="4" t="inlineStr">
        <is>
          <t>Business</t>
        </is>
      </c>
      <c r="E3472" s="4" t="inlineStr">
        <is>
          <t>Team Operations</t>
        </is>
      </c>
      <c r="F3472" s="4" t="inlineStr">
        <is>
          <t>Contractor</t>
        </is>
      </c>
      <c r="G3472" s="4" t="inlineStr">
        <is>
          <t>Expense</t>
        </is>
      </c>
      <c r="H3472" s="12" t="n">
        <v>46023</v>
      </c>
      <c r="I3472" s="13" t="n">
        <v>0.6374652777777777</v>
      </c>
      <c r="J3472" s="14" t="n">
        <v>46023.63746527778</v>
      </c>
      <c r="K3472" s="15" t="n">
        <v>175.19</v>
      </c>
      <c r="L3472" s="4" t="inlineStr">
        <is>
          <t>INR</t>
        </is>
      </c>
      <c r="M3472" s="15" t="n">
        <v>-175.19</v>
      </c>
      <c r="N3472" s="4" t="inlineStr">
        <is>
          <t>IOS Owner</t>
        </is>
      </c>
      <c r="O3472" s="4" t="n"/>
      <c r="P3472" s="4" t="n"/>
      <c r="Q3472" s="4" t="inlineStr">
        <is>
          <t>MAESTRO-IOS-BUSINESS-TEAM_OPERATIONS-3471 | Contractor | 175.19</t>
        </is>
      </c>
      <c r="R3472" s="4" t="inlineStr">
        <is>
          <t>iPhone</t>
        </is>
      </c>
      <c r="S3472" s="4" t="inlineStr">
        <is>
          <t>B70</t>
        </is>
      </c>
      <c r="T3472" s="4" t="inlineStr">
        <is>
          <t>STRESS_3001_3500</t>
        </is>
      </c>
      <c r="U3472" s="4" t="inlineStr">
        <is>
          <t>CREATED</t>
        </is>
      </c>
      <c r="V3472" s="4" t="inlineStr">
        <is>
          <t>idem-20260902-ios-3471</t>
        </is>
      </c>
    </row>
    <row r="3473" ht="30" customHeight="1">
      <c r="A3473" s="4" t="n">
        <v>3472</v>
      </c>
      <c r="B3473" s="4" t="inlineStr">
        <is>
          <t>MTR-IOS-3472</t>
        </is>
      </c>
      <c r="C3473" s="4" t="inlineStr">
        <is>
          <t>Personal</t>
        </is>
      </c>
      <c r="D3473" s="4" t="inlineStr">
        <is>
          <t>Personal</t>
        </is>
      </c>
      <c r="E3473" s="4" t="inlineStr">
        <is>
          <t>Future Building</t>
        </is>
      </c>
      <c r="F3473" s="4" t="inlineStr">
        <is>
          <t>Savings</t>
        </is>
      </c>
      <c r="G3473" s="4" t="inlineStr">
        <is>
          <t>Transfer</t>
        </is>
      </c>
      <c r="H3473" s="12" t="n">
        <v>46134</v>
      </c>
      <c r="I3473" s="13" t="n">
        <v>0.3796643518518519</v>
      </c>
      <c r="J3473" s="14" t="n">
        <v>46134.37966435185</v>
      </c>
      <c r="K3473" s="15" t="n">
        <v>13018</v>
      </c>
      <c r="L3473" s="4" t="inlineStr">
        <is>
          <t>INR</t>
        </is>
      </c>
      <c r="M3473" s="15" t="n">
        <v>0</v>
      </c>
      <c r="N3473" s="4" t="inlineStr">
        <is>
          <t>IOS Owner</t>
        </is>
      </c>
      <c r="O3473" s="4" t="n"/>
      <c r="P3473" s="4" t="n"/>
      <c r="Q3473" s="4" t="inlineStr">
        <is>
          <t>MAESTRO-IOS-PERSONAL-FUTURE_BUILDING-3472 | Savings | 13018.00</t>
        </is>
      </c>
      <c r="R3473" s="4" t="inlineStr">
        <is>
          <t>iPhone</t>
        </is>
      </c>
      <c r="S3473" s="4" t="inlineStr">
        <is>
          <t>B70</t>
        </is>
      </c>
      <c r="T3473" s="4" t="inlineStr">
        <is>
          <t>STRESS_3001_3500</t>
        </is>
      </c>
      <c r="U3473" s="4" t="inlineStr">
        <is>
          <t>CREATED</t>
        </is>
      </c>
      <c r="V3473" s="4" t="inlineStr">
        <is>
          <t>idem-20260902-ios-3472</t>
        </is>
      </c>
    </row>
    <row r="3474" ht="30" customHeight="1">
      <c r="A3474" s="4" t="n">
        <v>3473</v>
      </c>
      <c r="B3474" s="4" t="inlineStr">
        <is>
          <t>MTR-IOS-3473</t>
        </is>
      </c>
      <c r="C3474" s="4" t="inlineStr">
        <is>
          <t>Group</t>
        </is>
      </c>
      <c r="D3474" s="4" t="inlineStr">
        <is>
          <t>Shared Living</t>
        </is>
      </c>
      <c r="E3474" s="4" t="inlineStr">
        <is>
          <t>Family Household</t>
        </is>
      </c>
      <c r="F3474" s="4" t="inlineStr">
        <is>
          <t>Other</t>
        </is>
      </c>
      <c r="G3474" s="4" t="inlineStr">
        <is>
          <t>Expense</t>
        </is>
      </c>
      <c r="H3474" s="12" t="n">
        <v>46146</v>
      </c>
      <c r="I3474" s="13" t="n">
        <v>0.7857986111111112</v>
      </c>
      <c r="J3474" s="14" t="n">
        <v>46146.78579861111</v>
      </c>
      <c r="K3474" s="15" t="n">
        <v>21578.91</v>
      </c>
      <c r="L3474" s="4" t="inlineStr">
        <is>
          <t>INR</t>
        </is>
      </c>
      <c r="M3474" s="15" t="n">
        <v>-21578.91</v>
      </c>
      <c r="N3474" s="4" t="inlineStr">
        <is>
          <t>IOS Meera</t>
        </is>
      </c>
      <c r="O3474" s="4" t="n">
        <v>3</v>
      </c>
      <c r="P3474" s="4" t="inlineStr">
        <is>
          <t>PERCENTAGE</t>
        </is>
      </c>
      <c r="Q3474" s="4" t="inlineStr">
        <is>
          <t>MAESTRO-IOS-GROUP-FAMILY_HOUSEHOLD-3473 | Other | 21578.91</t>
        </is>
      </c>
      <c r="R3474" s="4" t="inlineStr">
        <is>
          <t>iPhone</t>
        </is>
      </c>
      <c r="S3474" s="4" t="inlineStr">
        <is>
          <t>B70</t>
        </is>
      </c>
      <c r="T3474" s="4" t="inlineStr">
        <is>
          <t>STRESS_3001_3500</t>
        </is>
      </c>
      <c r="U3474" s="4" t="inlineStr">
        <is>
          <t>CREATED</t>
        </is>
      </c>
      <c r="V3474" s="4" t="inlineStr">
        <is>
          <t>idem-20260902-ios-3473</t>
        </is>
      </c>
    </row>
    <row r="3475" ht="30" customHeight="1">
      <c r="A3475" s="4" t="n">
        <v>3474</v>
      </c>
      <c r="B3475" s="4" t="inlineStr">
        <is>
          <t>MTR-IOS-3474</t>
        </is>
      </c>
      <c r="C3475" s="4" t="inlineStr">
        <is>
          <t>Business</t>
        </is>
      </c>
      <c r="D3475" s="4" t="inlineStr">
        <is>
          <t>Business</t>
        </is>
      </c>
      <c r="E3475" s="4" t="inlineStr">
        <is>
          <t>Team Operations</t>
        </is>
      </c>
      <c r="F3475" s="4" t="inlineStr">
        <is>
          <t>Hiring</t>
        </is>
      </c>
      <c r="G3475" s="4" t="inlineStr">
        <is>
          <t>Expense</t>
        </is>
      </c>
      <c r="H3475" s="12" t="n">
        <v>46224</v>
      </c>
      <c r="I3475" s="13" t="n">
        <v>0.01299768518518519</v>
      </c>
      <c r="J3475" s="14" t="n">
        <v>46224.01299768518</v>
      </c>
      <c r="K3475" s="15" t="n">
        <v>67719.67999999999</v>
      </c>
      <c r="L3475" s="4" t="inlineStr">
        <is>
          <t>INR</t>
        </is>
      </c>
      <c r="M3475" s="15" t="n">
        <v>-67719.67999999999</v>
      </c>
      <c r="N3475" s="4" t="inlineStr">
        <is>
          <t>IOS Owner</t>
        </is>
      </c>
      <c r="O3475" s="4" t="n"/>
      <c r="P3475" s="4" t="n"/>
      <c r="Q3475" s="4" t="inlineStr">
        <is>
          <t>MAESTRO-IOS-BUSINESS-TEAM_OPERATIONS-3474 | Hiring | 67719.68</t>
        </is>
      </c>
      <c r="R3475" s="4" t="inlineStr">
        <is>
          <t>iPhone</t>
        </is>
      </c>
      <c r="S3475" s="4" t="inlineStr">
        <is>
          <t>B70</t>
        </is>
      </c>
      <c r="T3475" s="4" t="inlineStr">
        <is>
          <t>STRESS_3001_3500</t>
        </is>
      </c>
      <c r="U3475" s="4" t="inlineStr">
        <is>
          <t>CREATED</t>
        </is>
      </c>
      <c r="V3475" s="4" t="inlineStr">
        <is>
          <t>idem-20260902-ios-3474</t>
        </is>
      </c>
    </row>
    <row r="3476" ht="30" customHeight="1">
      <c r="A3476" s="4" t="n">
        <v>3475</v>
      </c>
      <c r="B3476" s="4" t="inlineStr">
        <is>
          <t>MTR-IOS-3475</t>
        </is>
      </c>
      <c r="C3476" s="4" t="inlineStr">
        <is>
          <t>Personal</t>
        </is>
      </c>
      <c r="D3476" s="4" t="inlineStr">
        <is>
          <t>Personal</t>
        </is>
      </c>
      <c r="E3476" s="4" t="inlineStr">
        <is>
          <t>Future Building</t>
        </is>
      </c>
      <c r="F3476" s="4" t="inlineStr">
        <is>
          <t>Emergency Fund</t>
        </is>
      </c>
      <c r="G3476" s="4" t="inlineStr">
        <is>
          <t>Transfer</t>
        </is>
      </c>
      <c r="H3476" s="12" t="n">
        <v>45925</v>
      </c>
      <c r="I3476" s="13" t="n">
        <v>0.461724537037037</v>
      </c>
      <c r="J3476" s="14" t="n">
        <v>45925.46172453704</v>
      </c>
      <c r="K3476" s="15" t="n">
        <v>5143.06</v>
      </c>
      <c r="L3476" s="4" t="inlineStr">
        <is>
          <t>INR</t>
        </is>
      </c>
      <c r="M3476" s="15" t="n">
        <v>0</v>
      </c>
      <c r="N3476" s="4" t="inlineStr">
        <is>
          <t>IOS Owner</t>
        </is>
      </c>
      <c r="O3476" s="4" t="n"/>
      <c r="P3476" s="4" t="n"/>
      <c r="Q3476" s="4" t="inlineStr">
        <is>
          <t>MAESTRO-IOS-PERSONAL-FUTURE_BUILDING-3475 | Emergency Fund | 5143.06</t>
        </is>
      </c>
      <c r="R3476" s="4" t="inlineStr">
        <is>
          <t>iPhone</t>
        </is>
      </c>
      <c r="S3476" s="4" t="inlineStr">
        <is>
          <t>B70</t>
        </is>
      </c>
      <c r="T3476" s="4" t="inlineStr">
        <is>
          <t>STRESS_3001_3500</t>
        </is>
      </c>
      <c r="U3476" s="4" t="inlineStr">
        <is>
          <t>CREATED</t>
        </is>
      </c>
      <c r="V3476" s="4" t="inlineStr">
        <is>
          <t>idem-20260902-ios-3475</t>
        </is>
      </c>
    </row>
    <row r="3477" ht="30" customHeight="1">
      <c r="A3477" s="4" t="n">
        <v>3476</v>
      </c>
      <c r="B3477" s="4" t="inlineStr">
        <is>
          <t>MTR-IOS-3476</t>
        </is>
      </c>
      <c r="C3477" s="4" t="inlineStr">
        <is>
          <t>Group</t>
        </is>
      </c>
      <c r="D3477" s="4" t="inlineStr">
        <is>
          <t>Shared Living</t>
        </is>
      </c>
      <c r="E3477" s="4" t="inlineStr">
        <is>
          <t>Custom Living</t>
        </is>
      </c>
      <c r="F3477" s="4" t="inlineStr">
        <is>
          <t>Custom Expense</t>
        </is>
      </c>
      <c r="G3477" s="4" t="inlineStr">
        <is>
          <t>Expense</t>
        </is>
      </c>
      <c r="H3477" s="12" t="n">
        <v>46250</v>
      </c>
      <c r="I3477" s="13" t="n">
        <v>0.5</v>
      </c>
      <c r="J3477" s="14" t="n">
        <v>46250.5</v>
      </c>
      <c r="K3477" s="15" t="n">
        <v>26647.12</v>
      </c>
      <c r="L3477" s="4" t="inlineStr">
        <is>
          <t>INR</t>
        </is>
      </c>
      <c r="M3477" s="15" t="n">
        <v>-26647.12</v>
      </c>
      <c r="N3477" s="4" t="inlineStr">
        <is>
          <t>IOS Owner</t>
        </is>
      </c>
      <c r="O3477" s="4" t="n">
        <v>3</v>
      </c>
      <c r="P3477" s="4" t="inlineStr">
        <is>
          <t>EXACT</t>
        </is>
      </c>
      <c r="Q3477" s="4" t="inlineStr">
        <is>
          <t>MAESTRO-IOS-GROUP-CUSTOM_LIVING-3476 | Custom Expense | 26647.12</t>
        </is>
      </c>
      <c r="R3477" s="4" t="inlineStr">
        <is>
          <t>iPhone</t>
        </is>
      </c>
      <c r="S3477" s="4" t="inlineStr">
        <is>
          <t>B70</t>
        </is>
      </c>
      <c r="T3477" s="4" t="inlineStr">
        <is>
          <t>STRESS_3001_3500</t>
        </is>
      </c>
      <c r="U3477" s="4" t="inlineStr">
        <is>
          <t>CREATED</t>
        </is>
      </c>
      <c r="V3477" s="4" t="inlineStr">
        <is>
          <t>idem-20260902-ios-3476</t>
        </is>
      </c>
    </row>
    <row r="3478" ht="30" customHeight="1">
      <c r="A3478" s="4" t="n">
        <v>3477</v>
      </c>
      <c r="B3478" s="4" t="inlineStr">
        <is>
          <t>MTR-IOS-3477</t>
        </is>
      </c>
      <c r="C3478" s="4" t="inlineStr">
        <is>
          <t>Business</t>
        </is>
      </c>
      <c r="D3478" s="4" t="inlineStr">
        <is>
          <t>Business</t>
        </is>
      </c>
      <c r="E3478" s="4" t="inlineStr">
        <is>
          <t>Team Operations</t>
        </is>
      </c>
      <c r="F3478" s="4" t="inlineStr">
        <is>
          <t>Team Meal</t>
        </is>
      </c>
      <c r="G3478" s="4" t="inlineStr">
        <is>
          <t>Expense</t>
        </is>
      </c>
      <c r="H3478" s="12" t="n">
        <v>46048</v>
      </c>
      <c r="I3478" s="13" t="n">
        <v>0.9399768518518519</v>
      </c>
      <c r="J3478" s="14" t="n">
        <v>46048.93997685185</v>
      </c>
      <c r="K3478" s="15" t="n">
        <v>10147.39</v>
      </c>
      <c r="L3478" s="4" t="inlineStr">
        <is>
          <t>INR</t>
        </is>
      </c>
      <c r="M3478" s="15" t="n">
        <v>-10147.39</v>
      </c>
      <c r="N3478" s="4" t="inlineStr">
        <is>
          <t>IOS Owner</t>
        </is>
      </c>
      <c r="O3478" s="4" t="n"/>
      <c r="P3478" s="4" t="n"/>
      <c r="Q3478" s="4" t="inlineStr">
        <is>
          <t>MAESTRO-IOS-BUSINESS-TEAM_OPERATIONS-3477 | Team Meal | 10147.39</t>
        </is>
      </c>
      <c r="R3478" s="4" t="inlineStr">
        <is>
          <t>iPhone</t>
        </is>
      </c>
      <c r="S3478" s="4" t="inlineStr">
        <is>
          <t>B70</t>
        </is>
      </c>
      <c r="T3478" s="4" t="inlineStr">
        <is>
          <t>STRESS_3001_3500</t>
        </is>
      </c>
      <c r="U3478" s="4" t="inlineStr">
        <is>
          <t>CREATED</t>
        </is>
      </c>
      <c r="V3478" s="4" t="inlineStr">
        <is>
          <t>idem-20260902-ios-3477</t>
        </is>
      </c>
    </row>
    <row r="3479" ht="30" customHeight="1">
      <c r="A3479" s="4" t="n">
        <v>3478</v>
      </c>
      <c r="B3479" s="4" t="inlineStr">
        <is>
          <t>MTR-IOS-3478</t>
        </is>
      </c>
      <c r="C3479" s="4" t="inlineStr">
        <is>
          <t>Personal</t>
        </is>
      </c>
      <c r="D3479" s="4" t="inlineStr">
        <is>
          <t>Personal</t>
        </is>
      </c>
      <c r="E3479" s="4" t="inlineStr">
        <is>
          <t>Future Building</t>
        </is>
      </c>
      <c r="F3479" s="4" t="inlineStr">
        <is>
          <t>Investments</t>
        </is>
      </c>
      <c r="G3479" s="4" t="inlineStr">
        <is>
          <t>Investment</t>
        </is>
      </c>
      <c r="H3479" s="12" t="n">
        <v>46134</v>
      </c>
      <c r="I3479" s="13" t="n">
        <v>0.1568865740740741</v>
      </c>
      <c r="J3479" s="14" t="n">
        <v>46134.15688657408</v>
      </c>
      <c r="K3479" s="15" t="n">
        <v>999.99</v>
      </c>
      <c r="L3479" s="4" t="inlineStr">
        <is>
          <t>INR</t>
        </is>
      </c>
      <c r="M3479" s="15" t="n">
        <v>0</v>
      </c>
      <c r="N3479" s="4" t="inlineStr">
        <is>
          <t>IOS Owner</t>
        </is>
      </c>
      <c r="O3479" s="4" t="n"/>
      <c r="P3479" s="4" t="n"/>
      <c r="Q3479" s="4" t="inlineStr">
        <is>
          <t>MAESTRO-IOS-PERSONAL-FUTURE_BUILDING-3478 | Investments | 999.99</t>
        </is>
      </c>
      <c r="R3479" s="4" t="inlineStr">
        <is>
          <t>iPhone</t>
        </is>
      </c>
      <c r="S3479" s="4" t="inlineStr">
        <is>
          <t>B70</t>
        </is>
      </c>
      <c r="T3479" s="4" t="inlineStr">
        <is>
          <t>STRESS_3001_3500</t>
        </is>
      </c>
      <c r="U3479" s="4" t="inlineStr">
        <is>
          <t>CREATED</t>
        </is>
      </c>
      <c r="V3479" s="4" t="inlineStr">
        <is>
          <t>idem-20260902-ios-3478</t>
        </is>
      </c>
    </row>
    <row r="3480" ht="30" customHeight="1">
      <c r="A3480" s="4" t="n">
        <v>3479</v>
      </c>
      <c r="B3480" s="4" t="inlineStr">
        <is>
          <t>MTR-IOS-3479</t>
        </is>
      </c>
      <c r="C3480" s="4" t="inlineStr">
        <is>
          <t>Group</t>
        </is>
      </c>
      <c r="D3480" s="4" t="inlineStr">
        <is>
          <t>Shared Living</t>
        </is>
      </c>
      <c r="E3480" s="4" t="inlineStr">
        <is>
          <t>Custom Living</t>
        </is>
      </c>
      <c r="F3480" s="4" t="inlineStr">
        <is>
          <t>Custom Contribution</t>
        </is>
      </c>
      <c r="G3480" s="4" t="inlineStr">
        <is>
          <t>Contribution</t>
        </is>
      </c>
      <c r="H3480" s="12" t="n">
        <v>46001</v>
      </c>
      <c r="I3480" s="13" t="n">
        <v>0.4197222222222222</v>
      </c>
      <c r="J3480" s="14" t="n">
        <v>46001.41972222222</v>
      </c>
      <c r="K3480" s="15" t="n">
        <v>15722.32</v>
      </c>
      <c r="L3480" s="4" t="inlineStr">
        <is>
          <t>INR</t>
        </is>
      </c>
      <c r="M3480" s="15" t="n">
        <v>15722.32</v>
      </c>
      <c r="N3480" s="4" t="inlineStr">
        <is>
          <t>IOS Aarav</t>
        </is>
      </c>
      <c r="O3480" s="4" t="n">
        <v>3</v>
      </c>
      <c r="P3480" s="4" t="inlineStr">
        <is>
          <t>SHARES</t>
        </is>
      </c>
      <c r="Q3480" s="4" t="inlineStr">
        <is>
          <t>MAESTRO-IOS-GROUP-CUSTOM_LIVING-3479 | Custom Contribution | 15722.32</t>
        </is>
      </c>
      <c r="R3480" s="4" t="inlineStr">
        <is>
          <t>iPhone</t>
        </is>
      </c>
      <c r="S3480" s="4" t="inlineStr">
        <is>
          <t>B70</t>
        </is>
      </c>
      <c r="T3480" s="4" t="inlineStr">
        <is>
          <t>STRESS_3001_3500</t>
        </is>
      </c>
      <c r="U3480" s="4" t="inlineStr">
        <is>
          <t>CREATED</t>
        </is>
      </c>
      <c r="V3480" s="4" t="inlineStr">
        <is>
          <t>idem-20260902-ios-3479</t>
        </is>
      </c>
    </row>
    <row r="3481" ht="30" customHeight="1">
      <c r="A3481" s="4" t="n">
        <v>3480</v>
      </c>
      <c r="B3481" s="4" t="inlineStr">
        <is>
          <t>MTR-IOS-3480</t>
        </is>
      </c>
      <c r="C3481" s="4" t="inlineStr">
        <is>
          <t>Business</t>
        </is>
      </c>
      <c r="D3481" s="4" t="inlineStr">
        <is>
          <t>Business</t>
        </is>
      </c>
      <c r="E3481" s="4" t="inlineStr">
        <is>
          <t>Team Operations</t>
        </is>
      </c>
      <c r="F3481" s="4" t="inlineStr">
        <is>
          <t>Travel</t>
        </is>
      </c>
      <c r="G3481" s="4" t="inlineStr">
        <is>
          <t>Expense</t>
        </is>
      </c>
      <c r="H3481" s="12" t="n">
        <v>46177</v>
      </c>
      <c r="I3481" s="13" t="n">
        <v>0.1359722222222222</v>
      </c>
      <c r="J3481" s="14" t="n">
        <v>46177.13597222222</v>
      </c>
      <c r="K3481" s="15" t="n">
        <v>95304.75</v>
      </c>
      <c r="L3481" s="4" t="inlineStr">
        <is>
          <t>INR</t>
        </is>
      </c>
      <c r="M3481" s="15" t="n">
        <v>-95304.75</v>
      </c>
      <c r="N3481" s="4" t="inlineStr">
        <is>
          <t>IOS Owner</t>
        </is>
      </c>
      <c r="O3481" s="4" t="n"/>
      <c r="P3481" s="4" t="n"/>
      <c r="Q3481" s="4" t="inlineStr">
        <is>
          <t>MAESTRO-IOS-BUSINESS-TEAM_OPERATIONS-3480 | Travel | 95304.75</t>
        </is>
      </c>
      <c r="R3481" s="4" t="inlineStr">
        <is>
          <t>iPhone</t>
        </is>
      </c>
      <c r="S3481" s="4" t="inlineStr">
        <is>
          <t>B70</t>
        </is>
      </c>
      <c r="T3481" s="4" t="inlineStr">
        <is>
          <t>STRESS_3001_3500</t>
        </is>
      </c>
      <c r="U3481" s="4" t="inlineStr">
        <is>
          <t>CREATED</t>
        </is>
      </c>
      <c r="V3481" s="4" t="inlineStr">
        <is>
          <t>idem-20260902-ios-3480</t>
        </is>
      </c>
    </row>
    <row r="3482" ht="30" customHeight="1">
      <c r="A3482" s="4" t="n">
        <v>3481</v>
      </c>
      <c r="B3482" s="4" t="inlineStr">
        <is>
          <t>MTR-IOS-3481</t>
        </is>
      </c>
      <c r="C3482" s="4" t="inlineStr">
        <is>
          <t>Personal</t>
        </is>
      </c>
      <c r="D3482" s="4" t="inlineStr">
        <is>
          <t>Personal</t>
        </is>
      </c>
      <c r="E3482" s="4" t="inlineStr">
        <is>
          <t>Future Building</t>
        </is>
      </c>
      <c r="F3482" s="4" t="inlineStr">
        <is>
          <t>Education</t>
        </is>
      </c>
      <c r="G3482" s="4" t="inlineStr">
        <is>
          <t>Expense</t>
        </is>
      </c>
      <c r="H3482" s="12" t="n">
        <v>46161</v>
      </c>
      <c r="I3482" s="13" t="n">
        <v>0.1215046296296296</v>
      </c>
      <c r="J3482" s="14" t="n">
        <v>46161.12150462963</v>
      </c>
      <c r="K3482" s="15" t="n">
        <v>12129.91</v>
      </c>
      <c r="L3482" s="4" t="inlineStr">
        <is>
          <t>INR</t>
        </is>
      </c>
      <c r="M3482" s="15" t="n">
        <v>-12129.91</v>
      </c>
      <c r="N3482" s="4" t="inlineStr">
        <is>
          <t>IOS Owner</t>
        </is>
      </c>
      <c r="O3482" s="4" t="n"/>
      <c r="P3482" s="4" t="n"/>
      <c r="Q3482" s="4" t="inlineStr">
        <is>
          <t>MAESTRO-IOS-PERSONAL-FUTURE_BUILDING-3481 | Education | 12129.91</t>
        </is>
      </c>
      <c r="R3482" s="4" t="inlineStr">
        <is>
          <t>iPhone</t>
        </is>
      </c>
      <c r="S3482" s="4" t="inlineStr">
        <is>
          <t>B70</t>
        </is>
      </c>
      <c r="T3482" s="4" t="inlineStr">
        <is>
          <t>STRESS_3001_3500</t>
        </is>
      </c>
      <c r="U3482" s="4" t="inlineStr">
        <is>
          <t>CREATED</t>
        </is>
      </c>
      <c r="V3482" s="4" t="inlineStr">
        <is>
          <t>idem-20260902-ios-3481</t>
        </is>
      </c>
    </row>
    <row r="3483" ht="30" customHeight="1">
      <c r="A3483" s="4" t="n">
        <v>3482</v>
      </c>
      <c r="B3483" s="4" t="inlineStr">
        <is>
          <t>MTR-IOS-3482</t>
        </is>
      </c>
      <c r="C3483" s="4" t="inlineStr">
        <is>
          <t>Group</t>
        </is>
      </c>
      <c r="D3483" s="4" t="inlineStr">
        <is>
          <t>Shared Experience</t>
        </is>
      </c>
      <c r="E3483" s="4" t="inlineStr">
        <is>
          <t>Trip</t>
        </is>
      </c>
      <c r="F3483" s="4" t="inlineStr">
        <is>
          <t>Travel</t>
        </is>
      </c>
      <c r="G3483" s="4" t="inlineStr">
        <is>
          <t>Expense</t>
        </is>
      </c>
      <c r="H3483" s="12" t="n">
        <v>46205</v>
      </c>
      <c r="I3483" s="13" t="n">
        <v>0.6390509259259259</v>
      </c>
      <c r="J3483" s="14" t="n">
        <v>46205.63905092593</v>
      </c>
      <c r="K3483" s="15" t="n">
        <v>3176.09</v>
      </c>
      <c r="L3483" s="4" t="inlineStr">
        <is>
          <t>INR</t>
        </is>
      </c>
      <c r="M3483" s="15" t="n">
        <v>-3176.09</v>
      </c>
      <c r="N3483" s="4" t="inlineStr">
        <is>
          <t>IOS Meera</t>
        </is>
      </c>
      <c r="O3483" s="4" t="n">
        <v>3</v>
      </c>
      <c r="P3483" s="4" t="inlineStr">
        <is>
          <t>EQUAL</t>
        </is>
      </c>
      <c r="Q3483" s="4" t="inlineStr">
        <is>
          <t>MAESTRO-IOS-GROUP-TRIP-3482 | Travel | 3176.09</t>
        </is>
      </c>
      <c r="R3483" s="4" t="inlineStr">
        <is>
          <t>iPhone</t>
        </is>
      </c>
      <c r="S3483" s="4" t="inlineStr">
        <is>
          <t>B70</t>
        </is>
      </c>
      <c r="T3483" s="4" t="inlineStr">
        <is>
          <t>STRESS_3001_3500</t>
        </is>
      </c>
      <c r="U3483" s="4" t="inlineStr">
        <is>
          <t>CREATED</t>
        </is>
      </c>
      <c r="V3483" s="4" t="inlineStr">
        <is>
          <t>idem-20260902-ios-3482</t>
        </is>
      </c>
    </row>
    <row r="3484" ht="30" customHeight="1">
      <c r="A3484" s="4" t="n">
        <v>3483</v>
      </c>
      <c r="B3484" s="4" t="inlineStr">
        <is>
          <t>MTR-IOS-3483</t>
        </is>
      </c>
      <c r="C3484" s="4" t="inlineStr">
        <is>
          <t>Business</t>
        </is>
      </c>
      <c r="D3484" s="4" t="inlineStr">
        <is>
          <t>Business</t>
        </is>
      </c>
      <c r="E3484" s="4" t="inlineStr">
        <is>
          <t>Team Operations</t>
        </is>
      </c>
      <c r="F3484" s="4" t="inlineStr">
        <is>
          <t>Training</t>
        </is>
      </c>
      <c r="G3484" s="4" t="inlineStr">
        <is>
          <t>Expense</t>
        </is>
      </c>
      <c r="H3484" s="12" t="n">
        <v>45937</v>
      </c>
      <c r="I3484" s="13" t="n">
        <v>0.7412268518518519</v>
      </c>
      <c r="J3484" s="14" t="n">
        <v>45937.74122685185</v>
      </c>
      <c r="K3484" s="15" t="n">
        <v>69731.03</v>
      </c>
      <c r="L3484" s="4" t="inlineStr">
        <is>
          <t>INR</t>
        </is>
      </c>
      <c r="M3484" s="15" t="n">
        <v>-69731.03</v>
      </c>
      <c r="N3484" s="4" t="inlineStr">
        <is>
          <t>IOS Owner</t>
        </is>
      </c>
      <c r="O3484" s="4" t="n"/>
      <c r="P3484" s="4" t="n"/>
      <c r="Q3484" s="4" t="inlineStr">
        <is>
          <t>MAESTRO-IOS-BUSINESS-TEAM_OPERATIONS-3483 | Training | 69731.03</t>
        </is>
      </c>
      <c r="R3484" s="4" t="inlineStr">
        <is>
          <t>iPhone</t>
        </is>
      </c>
      <c r="S3484" s="4" t="inlineStr">
        <is>
          <t>B70</t>
        </is>
      </c>
      <c r="T3484" s="4" t="inlineStr">
        <is>
          <t>STRESS_3001_3500</t>
        </is>
      </c>
      <c r="U3484" s="4" t="inlineStr">
        <is>
          <t>CREATED</t>
        </is>
      </c>
      <c r="V3484" s="4" t="inlineStr">
        <is>
          <t>idem-20260902-ios-3483</t>
        </is>
      </c>
    </row>
    <row r="3485" ht="30" customHeight="1">
      <c r="A3485" s="4" t="n">
        <v>3484</v>
      </c>
      <c r="B3485" s="4" t="inlineStr">
        <is>
          <t>MTR-IOS-3484</t>
        </is>
      </c>
      <c r="C3485" s="4" t="inlineStr">
        <is>
          <t>Personal</t>
        </is>
      </c>
      <c r="D3485" s="4" t="inlineStr">
        <is>
          <t>Personal</t>
        </is>
      </c>
      <c r="E3485" s="4" t="inlineStr">
        <is>
          <t>Future Building</t>
        </is>
      </c>
      <c r="F3485" s="4" t="inlineStr">
        <is>
          <t>Goal Contribution</t>
        </is>
      </c>
      <c r="G3485" s="4" t="inlineStr">
        <is>
          <t>Transfer</t>
        </is>
      </c>
      <c r="H3485" s="12" t="n">
        <v>46246</v>
      </c>
      <c r="I3485" s="13" t="n">
        <v>0.2506481481481482</v>
      </c>
      <c r="J3485" s="14" t="n">
        <v>46246.25064814815</v>
      </c>
      <c r="K3485" s="15" t="n">
        <v>4893.78</v>
      </c>
      <c r="L3485" s="4" t="inlineStr">
        <is>
          <t>INR</t>
        </is>
      </c>
      <c r="M3485" s="15" t="n">
        <v>0</v>
      </c>
      <c r="N3485" s="4" t="inlineStr">
        <is>
          <t>IOS Owner</t>
        </is>
      </c>
      <c r="O3485" s="4" t="n"/>
      <c r="P3485" s="4" t="n"/>
      <c r="Q3485" s="4" t="inlineStr">
        <is>
          <t>MAESTRO-IOS-PERSONAL-FUTURE_BUILDING-3484 | Goal Contribution | 4893.78</t>
        </is>
      </c>
      <c r="R3485" s="4" t="inlineStr">
        <is>
          <t>iPhone</t>
        </is>
      </c>
      <c r="S3485" s="4" t="inlineStr">
        <is>
          <t>B70</t>
        </is>
      </c>
      <c r="T3485" s="4" t="inlineStr">
        <is>
          <t>STRESS_3001_3500</t>
        </is>
      </c>
      <c r="U3485" s="4" t="inlineStr">
        <is>
          <t>CREATED</t>
        </is>
      </c>
      <c r="V3485" s="4" t="inlineStr">
        <is>
          <t>idem-20260902-ios-3484</t>
        </is>
      </c>
    </row>
    <row r="3486" ht="30" customHeight="1">
      <c r="A3486" s="4" t="n">
        <v>3485</v>
      </c>
      <c r="B3486" s="4" t="inlineStr">
        <is>
          <t>MTR-IOS-3485</t>
        </is>
      </c>
      <c r="C3486" s="4" t="inlineStr">
        <is>
          <t>Group</t>
        </is>
      </c>
      <c r="D3486" s="4" t="inlineStr">
        <is>
          <t>Shared Experience</t>
        </is>
      </c>
      <c r="E3486" s="4" t="inlineStr">
        <is>
          <t>Trip</t>
        </is>
      </c>
      <c r="F3486" s="4" t="inlineStr">
        <is>
          <t>Stay</t>
        </is>
      </c>
      <c r="G3486" s="4" t="inlineStr">
        <is>
          <t>Expense</t>
        </is>
      </c>
      <c r="H3486" s="12" t="n">
        <v>46169</v>
      </c>
      <c r="I3486" s="13" t="n">
        <v>0.6497916666666667</v>
      </c>
      <c r="J3486" s="14" t="n">
        <v>46169.64979166666</v>
      </c>
      <c r="K3486" s="15" t="n">
        <v>24752.73</v>
      </c>
      <c r="L3486" s="4" t="inlineStr">
        <is>
          <t>INR</t>
        </is>
      </c>
      <c r="M3486" s="15" t="n">
        <v>-24752.73</v>
      </c>
      <c r="N3486" s="4" t="inlineStr">
        <is>
          <t>IOS Owner</t>
        </is>
      </c>
      <c r="O3486" s="4" t="n">
        <v>3</v>
      </c>
      <c r="P3486" s="4" t="inlineStr">
        <is>
          <t>PERCENTAGE</t>
        </is>
      </c>
      <c r="Q3486" s="4" t="inlineStr">
        <is>
          <t>MAESTRO-IOS-GROUP-TRIP-3485 | Stay | 24752.73</t>
        </is>
      </c>
      <c r="R3486" s="4" t="inlineStr">
        <is>
          <t>iPhone</t>
        </is>
      </c>
      <c r="S3486" s="4" t="inlineStr">
        <is>
          <t>B70</t>
        </is>
      </c>
      <c r="T3486" s="4" t="inlineStr">
        <is>
          <t>STRESS_3001_3500</t>
        </is>
      </c>
      <c r="U3486" s="4" t="inlineStr">
        <is>
          <t>CREATED</t>
        </is>
      </c>
      <c r="V3486" s="4" t="inlineStr">
        <is>
          <t>idem-20260902-ios-3485</t>
        </is>
      </c>
    </row>
    <row r="3487" ht="30" customHeight="1">
      <c r="A3487" s="4" t="n">
        <v>3486</v>
      </c>
      <c r="B3487" s="4" t="inlineStr">
        <is>
          <t>MTR-IOS-3486</t>
        </is>
      </c>
      <c r="C3487" s="4" t="inlineStr">
        <is>
          <t>Business</t>
        </is>
      </c>
      <c r="D3487" s="4" t="inlineStr">
        <is>
          <t>Business</t>
        </is>
      </c>
      <c r="E3487" s="4" t="inlineStr">
        <is>
          <t>Team Operations</t>
        </is>
      </c>
      <c r="F3487" s="4" t="inlineStr">
        <is>
          <t>Tools</t>
        </is>
      </c>
      <c r="G3487" s="4" t="inlineStr">
        <is>
          <t>Expense</t>
        </is>
      </c>
      <c r="H3487" s="12" t="n">
        <v>46034</v>
      </c>
      <c r="I3487" s="13" t="n">
        <v>0.4159722222222222</v>
      </c>
      <c r="J3487" s="14" t="n">
        <v>46034.41597222222</v>
      </c>
      <c r="K3487" s="15" t="n">
        <v>99439.38</v>
      </c>
      <c r="L3487" s="4" t="inlineStr">
        <is>
          <t>INR</t>
        </is>
      </c>
      <c r="M3487" s="15" t="n">
        <v>-99439.38</v>
      </c>
      <c r="N3487" s="4" t="inlineStr">
        <is>
          <t>IOS Owner</t>
        </is>
      </c>
      <c r="O3487" s="4" t="n"/>
      <c r="P3487" s="4" t="n"/>
      <c r="Q3487" s="4" t="inlineStr">
        <is>
          <t>MAESTRO-IOS-BUSINESS-TEAM_OPERATIONS-3486 | Tools | 99439.38</t>
        </is>
      </c>
      <c r="R3487" s="4" t="inlineStr">
        <is>
          <t>iPhone</t>
        </is>
      </c>
      <c r="S3487" s="4" t="inlineStr">
        <is>
          <t>B70</t>
        </is>
      </c>
      <c r="T3487" s="4" t="inlineStr">
        <is>
          <t>STRESS_3001_3500</t>
        </is>
      </c>
      <c r="U3487" s="4" t="inlineStr">
        <is>
          <t>CREATED</t>
        </is>
      </c>
      <c r="V3487" s="4" t="inlineStr">
        <is>
          <t>idem-20260902-ios-3486</t>
        </is>
      </c>
    </row>
    <row r="3488" ht="30" customHeight="1">
      <c r="A3488" s="4" t="n">
        <v>3487</v>
      </c>
      <c r="B3488" s="4" t="inlineStr">
        <is>
          <t>MTR-IOS-3487</t>
        </is>
      </c>
      <c r="C3488" s="4" t="inlineStr">
        <is>
          <t>Personal</t>
        </is>
      </c>
      <c r="D3488" s="4" t="inlineStr">
        <is>
          <t>Personal</t>
        </is>
      </c>
      <c r="E3488" s="4" t="inlineStr">
        <is>
          <t>Lifestyle</t>
        </is>
      </c>
      <c r="F3488" s="4" t="inlineStr">
        <is>
          <t>Dining</t>
        </is>
      </c>
      <c r="G3488" s="4" t="inlineStr">
        <is>
          <t>Expense</t>
        </is>
      </c>
      <c r="H3488" s="12" t="n">
        <v>45964</v>
      </c>
      <c r="I3488" s="13" t="n">
        <v>0.2716087962962963</v>
      </c>
      <c r="J3488" s="14" t="n">
        <v>45964.2716087963</v>
      </c>
      <c r="K3488" s="15" t="n">
        <v>5327.25</v>
      </c>
      <c r="L3488" s="4" t="inlineStr">
        <is>
          <t>INR</t>
        </is>
      </c>
      <c r="M3488" s="15" t="n">
        <v>-5327.25</v>
      </c>
      <c r="N3488" s="4" t="inlineStr">
        <is>
          <t>IOS Owner</t>
        </is>
      </c>
      <c r="O3488" s="4" t="n"/>
      <c r="P3488" s="4" t="n"/>
      <c r="Q3488" s="4" t="inlineStr">
        <is>
          <t>MAESTRO-IOS-PERSONAL-LIFESTYLE-3487 | Dining | 5327.25</t>
        </is>
      </c>
      <c r="R3488" s="4" t="inlineStr">
        <is>
          <t>iPhone</t>
        </is>
      </c>
      <c r="S3488" s="4" t="inlineStr">
        <is>
          <t>B70</t>
        </is>
      </c>
      <c r="T3488" s="4" t="inlineStr">
        <is>
          <t>STRESS_3001_3500</t>
        </is>
      </c>
      <c r="U3488" s="4" t="inlineStr">
        <is>
          <t>CREATED</t>
        </is>
      </c>
      <c r="V3488" s="4" t="inlineStr">
        <is>
          <t>idem-20260902-ios-3487</t>
        </is>
      </c>
    </row>
    <row r="3489" ht="30" customHeight="1">
      <c r="A3489" s="4" t="n">
        <v>3488</v>
      </c>
      <c r="B3489" s="4" t="inlineStr">
        <is>
          <t>MTR-IOS-3488</t>
        </is>
      </c>
      <c r="C3489" s="4" t="inlineStr">
        <is>
          <t>Group</t>
        </is>
      </c>
      <c r="D3489" s="4" t="inlineStr">
        <is>
          <t>Shared Experience</t>
        </is>
      </c>
      <c r="E3489" s="4" t="inlineStr">
        <is>
          <t>Trip</t>
        </is>
      </c>
      <c r="F3489" s="4" t="inlineStr">
        <is>
          <t>Food</t>
        </is>
      </c>
      <c r="G3489" s="4" t="inlineStr">
        <is>
          <t>Expense</t>
        </is>
      </c>
      <c r="H3489" s="12" t="n">
        <v>45987</v>
      </c>
      <c r="I3489" s="13" t="n">
        <v>0.475162037037037</v>
      </c>
      <c r="J3489" s="14" t="n">
        <v>45987.47516203704</v>
      </c>
      <c r="K3489" s="15" t="n">
        <v>7373.69</v>
      </c>
      <c r="L3489" s="4" t="inlineStr">
        <is>
          <t>INR</t>
        </is>
      </c>
      <c r="M3489" s="15" t="n">
        <v>-7373.69</v>
      </c>
      <c r="N3489" s="4" t="inlineStr">
        <is>
          <t>IOS Aarav</t>
        </is>
      </c>
      <c r="O3489" s="4" t="n">
        <v>3</v>
      </c>
      <c r="P3489" s="4" t="inlineStr">
        <is>
          <t>EXACT</t>
        </is>
      </c>
      <c r="Q3489" s="4" t="inlineStr">
        <is>
          <t>MAESTRO-IOS-GROUP-TRIP-3488 | Food | 7373.69</t>
        </is>
      </c>
      <c r="R3489" s="4" t="inlineStr">
        <is>
          <t>iPhone</t>
        </is>
      </c>
      <c r="S3489" s="4" t="inlineStr">
        <is>
          <t>B70</t>
        </is>
      </c>
      <c r="T3489" s="4" t="inlineStr">
        <is>
          <t>STRESS_3001_3500</t>
        </is>
      </c>
      <c r="U3489" s="4" t="inlineStr">
        <is>
          <t>CREATED</t>
        </is>
      </c>
      <c r="V3489" s="4" t="inlineStr">
        <is>
          <t>idem-20260902-ios-3488</t>
        </is>
      </c>
    </row>
    <row r="3490" ht="30" customHeight="1">
      <c r="A3490" s="4" t="n">
        <v>3489</v>
      </c>
      <c r="B3490" s="4" t="inlineStr">
        <is>
          <t>MTR-IOS-3489</t>
        </is>
      </c>
      <c r="C3490" s="4" t="inlineStr">
        <is>
          <t>Business</t>
        </is>
      </c>
      <c r="D3490" s="4" t="inlineStr">
        <is>
          <t>Business</t>
        </is>
      </c>
      <c r="E3490" s="4" t="inlineStr">
        <is>
          <t>Business Runway</t>
        </is>
      </c>
      <c r="F3490" s="4" t="inlineStr">
        <is>
          <t>Funding</t>
        </is>
      </c>
      <c r="G3490" s="4" t="inlineStr">
        <is>
          <t>Income</t>
        </is>
      </c>
      <c r="H3490" s="12" t="n">
        <v>45924</v>
      </c>
      <c r="I3490" s="13" t="n">
        <v>0.3007638888888889</v>
      </c>
      <c r="J3490" s="14" t="n">
        <v>45924.30076388889</v>
      </c>
      <c r="K3490" s="15" t="n">
        <v>146456.46</v>
      </c>
      <c r="L3490" s="4" t="inlineStr">
        <is>
          <t>INR</t>
        </is>
      </c>
      <c r="M3490" s="15" t="n">
        <v>146456.46</v>
      </c>
      <c r="N3490" s="4" t="inlineStr">
        <is>
          <t>IOS Owner</t>
        </is>
      </c>
      <c r="O3490" s="4" t="n"/>
      <c r="P3490" s="4" t="n"/>
      <c r="Q3490" s="4" t="inlineStr">
        <is>
          <t>MAESTRO-IOS-BUSINESS-BUSINESS_RUNWAY-3489 | Funding | 146456.46</t>
        </is>
      </c>
      <c r="R3490" s="4" t="inlineStr">
        <is>
          <t>iPhone</t>
        </is>
      </c>
      <c r="S3490" s="4" t="inlineStr">
        <is>
          <t>B70</t>
        </is>
      </c>
      <c r="T3490" s="4" t="inlineStr">
        <is>
          <t>STRESS_3001_3500</t>
        </is>
      </c>
      <c r="U3490" s="4" t="inlineStr">
        <is>
          <t>CREATED</t>
        </is>
      </c>
      <c r="V3490" s="4" t="inlineStr">
        <is>
          <t>idem-20260902-ios-3489</t>
        </is>
      </c>
    </row>
    <row r="3491" ht="30" customHeight="1">
      <c r="A3491" s="4" t="n">
        <v>3490</v>
      </c>
      <c r="B3491" s="4" t="inlineStr">
        <is>
          <t>MTR-IOS-3490</t>
        </is>
      </c>
      <c r="C3491" s="4" t="inlineStr">
        <is>
          <t>Personal</t>
        </is>
      </c>
      <c r="D3491" s="4" t="inlineStr">
        <is>
          <t>Personal</t>
        </is>
      </c>
      <c r="E3491" s="4" t="inlineStr">
        <is>
          <t>Lifestyle</t>
        </is>
      </c>
      <c r="F3491" s="4" t="inlineStr">
        <is>
          <t>Shopping</t>
        </is>
      </c>
      <c r="G3491" s="4" t="inlineStr">
        <is>
          <t>Expense</t>
        </is>
      </c>
      <c r="H3491" s="12" t="n">
        <v>46030</v>
      </c>
      <c r="I3491" s="13" t="n">
        <v>0.40375</v>
      </c>
      <c r="J3491" s="14" t="n">
        <v>46030.40375</v>
      </c>
      <c r="K3491" s="15" t="n">
        <v>5930.56</v>
      </c>
      <c r="L3491" s="4" t="inlineStr">
        <is>
          <t>INR</t>
        </is>
      </c>
      <c r="M3491" s="15" t="n">
        <v>-5930.56</v>
      </c>
      <c r="N3491" s="4" t="inlineStr">
        <is>
          <t>IOS Owner</t>
        </is>
      </c>
      <c r="O3491" s="4" t="n"/>
      <c r="P3491" s="4" t="n"/>
      <c r="Q3491" s="4" t="inlineStr">
        <is>
          <t>MAESTRO-IOS-PERSONAL-LIFESTYLE-3490 | Shopping | 5930.56</t>
        </is>
      </c>
      <c r="R3491" s="4" t="inlineStr">
        <is>
          <t>iPhone</t>
        </is>
      </c>
      <c r="S3491" s="4" t="inlineStr">
        <is>
          <t>B70</t>
        </is>
      </c>
      <c r="T3491" s="4" t="inlineStr">
        <is>
          <t>STRESS_3001_3500</t>
        </is>
      </c>
      <c r="U3491" s="4" t="inlineStr">
        <is>
          <t>CREATED</t>
        </is>
      </c>
      <c r="V3491" s="4" t="inlineStr">
        <is>
          <t>idem-20260902-ios-3490</t>
        </is>
      </c>
    </row>
    <row r="3492" ht="30" customHeight="1">
      <c r="A3492" s="4" t="n">
        <v>3491</v>
      </c>
      <c r="B3492" s="4" t="inlineStr">
        <is>
          <t>MTR-IOS-3491</t>
        </is>
      </c>
      <c r="C3492" s="4" t="inlineStr">
        <is>
          <t>Group</t>
        </is>
      </c>
      <c r="D3492" s="4" t="inlineStr">
        <is>
          <t>Shared Experience</t>
        </is>
      </c>
      <c r="E3492" s="4" t="inlineStr">
        <is>
          <t>Trip</t>
        </is>
      </c>
      <c r="F3492" s="4" t="inlineStr">
        <is>
          <t>Local Transport</t>
        </is>
      </c>
      <c r="G3492" s="4" t="inlineStr">
        <is>
          <t>Expense</t>
        </is>
      </c>
      <c r="H3492" s="12" t="n">
        <v>46047</v>
      </c>
      <c r="I3492" s="13" t="n">
        <v>0.9407291666666666</v>
      </c>
      <c r="J3492" s="14" t="n">
        <v>46047.94072916666</v>
      </c>
      <c r="K3492" s="15" t="n">
        <v>16237.35</v>
      </c>
      <c r="L3492" s="4" t="inlineStr">
        <is>
          <t>INR</t>
        </is>
      </c>
      <c r="M3492" s="15" t="n">
        <v>-16237.35</v>
      </c>
      <c r="N3492" s="4" t="inlineStr">
        <is>
          <t>IOS Meera</t>
        </is>
      </c>
      <c r="O3492" s="4" t="n">
        <v>3</v>
      </c>
      <c r="P3492" s="4" t="inlineStr">
        <is>
          <t>SHARES</t>
        </is>
      </c>
      <c r="Q3492" s="4" t="inlineStr">
        <is>
          <t>MAESTRO-IOS-GROUP-TRIP-3491 | Local Transport | 16237.35</t>
        </is>
      </c>
      <c r="R3492" s="4" t="inlineStr">
        <is>
          <t>iPhone</t>
        </is>
      </c>
      <c r="S3492" s="4" t="inlineStr">
        <is>
          <t>B70</t>
        </is>
      </c>
      <c r="T3492" s="4" t="inlineStr">
        <is>
          <t>STRESS_3001_3500</t>
        </is>
      </c>
      <c r="U3492" s="4" t="inlineStr">
        <is>
          <t>CREATED</t>
        </is>
      </c>
      <c r="V3492" s="4" t="inlineStr">
        <is>
          <t>idem-20260902-ios-3491</t>
        </is>
      </c>
    </row>
    <row r="3493" ht="30" customHeight="1">
      <c r="A3493" s="4" t="n">
        <v>3492</v>
      </c>
      <c r="B3493" s="4" t="inlineStr">
        <is>
          <t>MTR-IOS-3492</t>
        </is>
      </c>
      <c r="C3493" s="4" t="inlineStr">
        <is>
          <t>Business</t>
        </is>
      </c>
      <c r="D3493" s="4" t="inlineStr">
        <is>
          <t>Business</t>
        </is>
      </c>
      <c r="E3493" s="4" t="inlineStr">
        <is>
          <t>Business Runway</t>
        </is>
      </c>
      <c r="F3493" s="4" t="inlineStr">
        <is>
          <t>Revenue</t>
        </is>
      </c>
      <c r="G3493" s="4" t="inlineStr">
        <is>
          <t>Income</t>
        </is>
      </c>
      <c r="H3493" s="12" t="n">
        <v>46060</v>
      </c>
      <c r="I3493" s="13" t="n">
        <v>0.9389120370370371</v>
      </c>
      <c r="J3493" s="14" t="n">
        <v>46060.93891203704</v>
      </c>
      <c r="K3493" s="15" t="n">
        <v>12511.5</v>
      </c>
      <c r="L3493" s="4" t="inlineStr">
        <is>
          <t>INR</t>
        </is>
      </c>
      <c r="M3493" s="15" t="n">
        <v>12511.5</v>
      </c>
      <c r="N3493" s="4" t="inlineStr">
        <is>
          <t>IOS Owner</t>
        </is>
      </c>
      <c r="O3493" s="4" t="n"/>
      <c r="P3493" s="4" t="n"/>
      <c r="Q3493" s="4" t="inlineStr">
        <is>
          <t>MAESTRO-IOS-BUSINESS-BUSINESS_RUNWAY-3492 | Revenue | 12511.50</t>
        </is>
      </c>
      <c r="R3493" s="4" t="inlineStr">
        <is>
          <t>iPhone</t>
        </is>
      </c>
      <c r="S3493" s="4" t="inlineStr">
        <is>
          <t>B70</t>
        </is>
      </c>
      <c r="T3493" s="4" t="inlineStr">
        <is>
          <t>STRESS_3001_3500</t>
        </is>
      </c>
      <c r="U3493" s="4" t="inlineStr">
        <is>
          <t>CREATED</t>
        </is>
      </c>
      <c r="V3493" s="4" t="inlineStr">
        <is>
          <t>idem-20260902-ios-3492</t>
        </is>
      </c>
    </row>
    <row r="3494" ht="30" customHeight="1">
      <c r="A3494" s="4" t="n">
        <v>3493</v>
      </c>
      <c r="B3494" s="4" t="inlineStr">
        <is>
          <t>MTR-IOS-3493</t>
        </is>
      </c>
      <c r="C3494" s="4" t="inlineStr">
        <is>
          <t>Personal</t>
        </is>
      </c>
      <c r="D3494" s="4" t="inlineStr">
        <is>
          <t>Personal</t>
        </is>
      </c>
      <c r="E3494" s="4" t="inlineStr">
        <is>
          <t>Lifestyle</t>
        </is>
      </c>
      <c r="F3494" s="4" t="inlineStr">
        <is>
          <t>Entertainment</t>
        </is>
      </c>
      <c r="G3494" s="4" t="inlineStr">
        <is>
          <t>Expense</t>
        </is>
      </c>
      <c r="H3494" s="12" t="n">
        <v>46093</v>
      </c>
      <c r="I3494" s="13" t="n">
        <v>0.6630555555555555</v>
      </c>
      <c r="J3494" s="14" t="n">
        <v>46093.66305555555</v>
      </c>
      <c r="K3494" s="15" t="n">
        <v>4050.29</v>
      </c>
      <c r="L3494" s="4" t="inlineStr">
        <is>
          <t>INR</t>
        </is>
      </c>
      <c r="M3494" s="15" t="n">
        <v>-4050.29</v>
      </c>
      <c r="N3494" s="4" t="inlineStr">
        <is>
          <t>IOS Owner</t>
        </is>
      </c>
      <c r="O3494" s="4" t="n"/>
      <c r="P3494" s="4" t="n"/>
      <c r="Q3494" s="4" t="inlineStr">
        <is>
          <t>MAESTRO-IOS-PERSONAL-LIFESTYLE-3493 | Entertainment | 4050.29</t>
        </is>
      </c>
      <c r="R3494" s="4" t="inlineStr">
        <is>
          <t>iPhone</t>
        </is>
      </c>
      <c r="S3494" s="4" t="inlineStr">
        <is>
          <t>B70</t>
        </is>
      </c>
      <c r="T3494" s="4" t="inlineStr">
        <is>
          <t>STRESS_3001_3500</t>
        </is>
      </c>
      <c r="U3494" s="4" t="inlineStr">
        <is>
          <t>CREATED</t>
        </is>
      </c>
      <c r="V3494" s="4" t="inlineStr">
        <is>
          <t>idem-20260902-ios-3493</t>
        </is>
      </c>
    </row>
    <row r="3495" ht="30" customHeight="1">
      <c r="A3495" s="4" t="n">
        <v>3494</v>
      </c>
      <c r="B3495" s="4" t="inlineStr">
        <is>
          <t>MTR-IOS-3494</t>
        </is>
      </c>
      <c r="C3495" s="4" t="inlineStr">
        <is>
          <t>Group</t>
        </is>
      </c>
      <c r="D3495" s="4" t="inlineStr">
        <is>
          <t>Shared Experience</t>
        </is>
      </c>
      <c r="E3495" s="4" t="inlineStr">
        <is>
          <t>Trip</t>
        </is>
      </c>
      <c r="F3495" s="4" t="inlineStr">
        <is>
          <t>Activities</t>
        </is>
      </c>
      <c r="G3495" s="4" t="inlineStr">
        <is>
          <t>Expense</t>
        </is>
      </c>
      <c r="H3495" s="12" t="n">
        <v>46246</v>
      </c>
      <c r="I3495" s="13" t="n">
        <v>0.3686458333333333</v>
      </c>
      <c r="J3495" s="14" t="n">
        <v>46246.36864583333</v>
      </c>
      <c r="K3495" s="15" t="n">
        <v>7757.42</v>
      </c>
      <c r="L3495" s="4" t="inlineStr">
        <is>
          <t>INR</t>
        </is>
      </c>
      <c r="M3495" s="15" t="n">
        <v>-7757.42</v>
      </c>
      <c r="N3495" s="4" t="inlineStr">
        <is>
          <t>IOS Owner</t>
        </is>
      </c>
      <c r="O3495" s="4" t="n">
        <v>3</v>
      </c>
      <c r="P3495" s="4" t="inlineStr">
        <is>
          <t>EQUAL</t>
        </is>
      </c>
      <c r="Q3495" s="4" t="inlineStr">
        <is>
          <t>MAESTRO-IOS-GROUP-TRIP-3494 | Activities | 7757.42</t>
        </is>
      </c>
      <c r="R3495" s="4" t="inlineStr">
        <is>
          <t>iPhone</t>
        </is>
      </c>
      <c r="S3495" s="4" t="inlineStr">
        <is>
          <t>B70</t>
        </is>
      </c>
      <c r="T3495" s="4" t="inlineStr">
        <is>
          <t>STRESS_3001_3500</t>
        </is>
      </c>
      <c r="U3495" s="4" t="inlineStr">
        <is>
          <t>CREATED</t>
        </is>
      </c>
      <c r="V3495" s="4" t="inlineStr">
        <is>
          <t>idem-20260902-ios-3494</t>
        </is>
      </c>
    </row>
    <row r="3496" ht="30" customHeight="1">
      <c r="A3496" s="4" t="n">
        <v>3495</v>
      </c>
      <c r="B3496" s="4" t="inlineStr">
        <is>
          <t>MTR-IOS-3495</t>
        </is>
      </c>
      <c r="C3496" s="4" t="inlineStr">
        <is>
          <t>Business</t>
        </is>
      </c>
      <c r="D3496" s="4" t="inlineStr">
        <is>
          <t>Business</t>
        </is>
      </c>
      <c r="E3496" s="4" t="inlineStr">
        <is>
          <t>Business Runway</t>
        </is>
      </c>
      <c r="F3496" s="4" t="inlineStr">
        <is>
          <t>Burn</t>
        </is>
      </c>
      <c r="G3496" s="4" t="inlineStr">
        <is>
          <t>Expense</t>
        </is>
      </c>
      <c r="H3496" s="12" t="n">
        <v>46133</v>
      </c>
      <c r="I3496" s="13" t="n">
        <v>0.6720138888888889</v>
      </c>
      <c r="J3496" s="14" t="n">
        <v>46133.67201388889</v>
      </c>
      <c r="K3496" s="15" t="n">
        <v>124971.43</v>
      </c>
      <c r="L3496" s="4" t="inlineStr">
        <is>
          <t>INR</t>
        </is>
      </c>
      <c r="M3496" s="15" t="n">
        <v>-124971.43</v>
      </c>
      <c r="N3496" s="4" t="inlineStr">
        <is>
          <t>IOS Owner</t>
        </is>
      </c>
      <c r="O3496" s="4" t="n"/>
      <c r="P3496" s="4" t="n"/>
      <c r="Q3496" s="4" t="inlineStr">
        <is>
          <t>MAESTRO-IOS-BUSINESS-BUSINESS_RUNWAY-3495 | Burn | 124971.43</t>
        </is>
      </c>
      <c r="R3496" s="4" t="inlineStr">
        <is>
          <t>iPhone</t>
        </is>
      </c>
      <c r="S3496" s="4" t="inlineStr">
        <is>
          <t>B70</t>
        </is>
      </c>
      <c r="T3496" s="4" t="inlineStr">
        <is>
          <t>STRESS_3001_3500</t>
        </is>
      </c>
      <c r="U3496" s="4" t="inlineStr">
        <is>
          <t>CREATED</t>
        </is>
      </c>
      <c r="V3496" s="4" t="inlineStr">
        <is>
          <t>idem-20260902-ios-3495</t>
        </is>
      </c>
    </row>
    <row r="3497" ht="30" customHeight="1">
      <c r="A3497" s="4" t="n">
        <v>3496</v>
      </c>
      <c r="B3497" s="4" t="inlineStr">
        <is>
          <t>MTR-IOS-3496</t>
        </is>
      </c>
      <c r="C3497" s="4" t="inlineStr">
        <is>
          <t>Personal</t>
        </is>
      </c>
      <c r="D3497" s="4" t="inlineStr">
        <is>
          <t>Personal</t>
        </is>
      </c>
      <c r="E3497" s="4" t="inlineStr">
        <is>
          <t>Lifestyle</t>
        </is>
      </c>
      <c r="F3497" s="4" t="inlineStr">
        <is>
          <t>Travel</t>
        </is>
      </c>
      <c r="G3497" s="4" t="inlineStr">
        <is>
          <t>Expense</t>
        </is>
      </c>
      <c r="H3497" s="12" t="n">
        <v>46128</v>
      </c>
      <c r="I3497" s="13" t="n">
        <v>0.9181481481481482</v>
      </c>
      <c r="J3497" s="14" t="n">
        <v>46128.91814814815</v>
      </c>
      <c r="K3497" s="15" t="n">
        <v>9277.889999999999</v>
      </c>
      <c r="L3497" s="4" t="inlineStr">
        <is>
          <t>INR</t>
        </is>
      </c>
      <c r="M3497" s="15" t="n">
        <v>-9277.889999999999</v>
      </c>
      <c r="N3497" s="4" t="inlineStr">
        <is>
          <t>IOS Owner</t>
        </is>
      </c>
      <c r="O3497" s="4" t="n"/>
      <c r="P3497" s="4" t="n"/>
      <c r="Q3497" s="4" t="inlineStr">
        <is>
          <t>MAESTRO-IOS-PERSONAL-LIFESTYLE-3496 | Travel | 9277.89</t>
        </is>
      </c>
      <c r="R3497" s="4" t="inlineStr">
        <is>
          <t>iPhone</t>
        </is>
      </c>
      <c r="S3497" s="4" t="inlineStr">
        <is>
          <t>B70</t>
        </is>
      </c>
      <c r="T3497" s="4" t="inlineStr">
        <is>
          <t>STRESS_3001_3500</t>
        </is>
      </c>
      <c r="U3497" s="4" t="inlineStr">
        <is>
          <t>CREATED</t>
        </is>
      </c>
      <c r="V3497" s="4" t="inlineStr">
        <is>
          <t>idem-20260902-ios-3496</t>
        </is>
      </c>
    </row>
    <row r="3498" ht="30" customHeight="1">
      <c r="A3498" s="4" t="n">
        <v>3497</v>
      </c>
      <c r="B3498" s="4" t="inlineStr">
        <is>
          <t>MTR-IOS-3497</t>
        </is>
      </c>
      <c r="C3498" s="4" t="inlineStr">
        <is>
          <t>Group</t>
        </is>
      </c>
      <c r="D3498" s="4" t="inlineStr">
        <is>
          <t>Shared Experience</t>
        </is>
      </c>
      <c r="E3498" s="4" t="inlineStr">
        <is>
          <t>Trip</t>
        </is>
      </c>
      <c r="F3498" s="4" t="inlineStr">
        <is>
          <t>Shopping</t>
        </is>
      </c>
      <c r="G3498" s="4" t="inlineStr">
        <is>
          <t>Expense</t>
        </is>
      </c>
      <c r="H3498" s="12" t="n">
        <v>46030</v>
      </c>
      <c r="I3498" s="13" t="n">
        <v>0.2222916666666667</v>
      </c>
      <c r="J3498" s="14" t="n">
        <v>46030.22229166667</v>
      </c>
      <c r="K3498" s="15" t="n">
        <v>10742.68</v>
      </c>
      <c r="L3498" s="4" t="inlineStr">
        <is>
          <t>INR</t>
        </is>
      </c>
      <c r="M3498" s="15" t="n">
        <v>-10742.68</v>
      </c>
      <c r="N3498" s="4" t="inlineStr">
        <is>
          <t>IOS Aarav</t>
        </is>
      </c>
      <c r="O3498" s="4" t="n">
        <v>3</v>
      </c>
      <c r="P3498" s="4" t="inlineStr">
        <is>
          <t>PERCENTAGE</t>
        </is>
      </c>
      <c r="Q3498" s="4" t="inlineStr">
        <is>
          <t>MAESTRO-IOS-GROUP-TRIP-3497 | Shopping | 10742.68</t>
        </is>
      </c>
      <c r="R3498" s="4" t="inlineStr">
        <is>
          <t>iPhone</t>
        </is>
      </c>
      <c r="S3498" s="4" t="inlineStr">
        <is>
          <t>B70</t>
        </is>
      </c>
      <c r="T3498" s="4" t="inlineStr">
        <is>
          <t>STRESS_3001_3500</t>
        </is>
      </c>
      <c r="U3498" s="4" t="inlineStr">
        <is>
          <t>CREATED</t>
        </is>
      </c>
      <c r="V3498" s="4" t="inlineStr">
        <is>
          <t>idem-20260902-ios-3497</t>
        </is>
      </c>
    </row>
    <row r="3499" ht="30" customHeight="1">
      <c r="A3499" s="4" t="n">
        <v>3498</v>
      </c>
      <c r="B3499" s="4" t="inlineStr">
        <is>
          <t>MTR-IOS-3498</t>
        </is>
      </c>
      <c r="C3499" s="4" t="inlineStr">
        <is>
          <t>Business</t>
        </is>
      </c>
      <c r="D3499" s="4" t="inlineStr">
        <is>
          <t>Business</t>
        </is>
      </c>
      <c r="E3499" s="4" t="inlineStr">
        <is>
          <t>Business Runway</t>
        </is>
      </c>
      <c r="F3499" s="4" t="inlineStr">
        <is>
          <t>Reserve</t>
        </is>
      </c>
      <c r="G3499" s="4" t="inlineStr">
        <is>
          <t>Transfer</t>
        </is>
      </c>
      <c r="H3499" s="12" t="n">
        <v>46152</v>
      </c>
      <c r="I3499" s="13" t="n">
        <v>0.9090277777777778</v>
      </c>
      <c r="J3499" s="14" t="n">
        <v>46152.90902777778</v>
      </c>
      <c r="K3499" s="15" t="n">
        <v>44037.85</v>
      </c>
      <c r="L3499" s="4" t="inlineStr">
        <is>
          <t>INR</t>
        </is>
      </c>
      <c r="M3499" s="15" t="n">
        <v>0</v>
      </c>
      <c r="N3499" s="4" t="inlineStr">
        <is>
          <t>IOS Owner</t>
        </is>
      </c>
      <c r="O3499" s="4" t="n"/>
      <c r="P3499" s="4" t="n"/>
      <c r="Q3499" s="4" t="inlineStr">
        <is>
          <t>MAESTRO-IOS-BUSINESS-BUSINESS_RUNWAY-3498 | Reserve | 44037.85</t>
        </is>
      </c>
      <c r="R3499" s="4" t="inlineStr">
        <is>
          <t>iPhone</t>
        </is>
      </c>
      <c r="S3499" s="4" t="inlineStr">
        <is>
          <t>B70</t>
        </is>
      </c>
      <c r="T3499" s="4" t="inlineStr">
        <is>
          <t>STRESS_3001_3500</t>
        </is>
      </c>
      <c r="U3499" s="4" t="inlineStr">
        <is>
          <t>CREATED</t>
        </is>
      </c>
      <c r="V3499" s="4" t="inlineStr">
        <is>
          <t>idem-20260902-ios-3498</t>
        </is>
      </c>
    </row>
    <row r="3500" ht="30" customHeight="1">
      <c r="A3500" s="4" t="n">
        <v>3499</v>
      </c>
      <c r="B3500" s="4" t="inlineStr">
        <is>
          <t>MTR-IOS-3499</t>
        </is>
      </c>
      <c r="C3500" s="4" t="inlineStr">
        <is>
          <t>Personal</t>
        </is>
      </c>
      <c r="D3500" s="4" t="inlineStr">
        <is>
          <t>Personal</t>
        </is>
      </c>
      <c r="E3500" s="4" t="inlineStr">
        <is>
          <t>Lifestyle</t>
        </is>
      </c>
      <c r="F3500" s="4" t="inlineStr">
        <is>
          <t>Fitness</t>
        </is>
      </c>
      <c r="G3500" s="4" t="inlineStr">
        <is>
          <t>Expense</t>
        </is>
      </c>
      <c r="H3500" s="12" t="n">
        <v>46229</v>
      </c>
      <c r="I3500" s="13" t="n">
        <v>0.4978125</v>
      </c>
      <c r="J3500" s="14" t="n">
        <v>46229.4978125</v>
      </c>
      <c r="K3500" s="15" t="n">
        <v>10501.42</v>
      </c>
      <c r="L3500" s="4" t="inlineStr">
        <is>
          <t>INR</t>
        </is>
      </c>
      <c r="M3500" s="15" t="n">
        <v>-10501.42</v>
      </c>
      <c r="N3500" s="4" t="inlineStr">
        <is>
          <t>IOS Owner</t>
        </is>
      </c>
      <c r="O3500" s="4" t="n"/>
      <c r="P3500" s="4" t="n"/>
      <c r="Q3500" s="4" t="inlineStr">
        <is>
          <t>MAESTRO-IOS-PERSONAL-LIFESTYLE-3499 | Fitness | 10501.42</t>
        </is>
      </c>
      <c r="R3500" s="4" t="inlineStr">
        <is>
          <t>iPhone</t>
        </is>
      </c>
      <c r="S3500" s="4" t="inlineStr">
        <is>
          <t>B70</t>
        </is>
      </c>
      <c r="T3500" s="4" t="inlineStr">
        <is>
          <t>STRESS_3001_3500</t>
        </is>
      </c>
      <c r="U3500" s="4" t="inlineStr">
        <is>
          <t>CREATED</t>
        </is>
      </c>
      <c r="V3500" s="4" t="inlineStr">
        <is>
          <t>idem-20260902-ios-3499</t>
        </is>
      </c>
    </row>
    <row r="3501" ht="30" customHeight="1">
      <c r="A3501" s="4" t="n">
        <v>3500</v>
      </c>
      <c r="B3501" s="4" t="inlineStr">
        <is>
          <t>MTR-IOS-3500</t>
        </is>
      </c>
      <c r="C3501" s="4" t="inlineStr">
        <is>
          <t>Group</t>
        </is>
      </c>
      <c r="D3501" s="4" t="inlineStr">
        <is>
          <t>Shared Experience</t>
        </is>
      </c>
      <c r="E3501" s="4" t="inlineStr">
        <is>
          <t>Trip</t>
        </is>
      </c>
      <c r="F3501" s="4" t="inlineStr">
        <is>
          <t>Other</t>
        </is>
      </c>
      <c r="G3501" s="4" t="inlineStr">
        <is>
          <t>Expense</t>
        </is>
      </c>
      <c r="H3501" s="12" t="n">
        <v>46064</v>
      </c>
      <c r="I3501" s="13" t="n">
        <v>0.3277199074074074</v>
      </c>
      <c r="J3501" s="14" t="n">
        <v>46064.32771990741</v>
      </c>
      <c r="K3501" s="15" t="n">
        <v>21962.77</v>
      </c>
      <c r="L3501" s="4" t="inlineStr">
        <is>
          <t>INR</t>
        </is>
      </c>
      <c r="M3501" s="15" t="n">
        <v>-21962.77</v>
      </c>
      <c r="N3501" s="4" t="inlineStr">
        <is>
          <t>IOS Meera</t>
        </is>
      </c>
      <c r="O3501" s="4" t="n">
        <v>3</v>
      </c>
      <c r="P3501" s="4" t="inlineStr">
        <is>
          <t>EXACT</t>
        </is>
      </c>
      <c r="Q3501" s="4" t="inlineStr">
        <is>
          <t>MAESTRO-IOS-GROUP-TRIP-3500 | Other | 21962.77</t>
        </is>
      </c>
      <c r="R3501" s="4" t="inlineStr">
        <is>
          <t>iPhone</t>
        </is>
      </c>
      <c r="S3501" s="4" t="inlineStr">
        <is>
          <t>B70</t>
        </is>
      </c>
      <c r="T3501" s="4" t="inlineStr">
        <is>
          <t>STRESS_3001_3500</t>
        </is>
      </c>
      <c r="U3501" s="4" t="inlineStr">
        <is>
          <t>CREATED</t>
        </is>
      </c>
      <c r="V3501" s="4" t="inlineStr">
        <is>
          <t>idem-20260902-ios-3500</t>
        </is>
      </c>
    </row>
  </sheetData>
  <autoFilter ref="A1:V3501"/>
  <conditionalFormatting sqref="T2:T3301">
    <cfRule type="expression" priority="1" dxfId="0">
      <formula>ISNUMBER(SEARCH("STRESS",T2))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4" t="inlineStr">
        <is>
          <t>Txn_ID</t>
        </is>
      </c>
      <c r="B1" s="4" t="inlineStr">
        <is>
          <t>Moment</t>
        </is>
      </c>
      <c r="C1" s="4" t="inlineStr">
        <is>
          <t>Split_Method</t>
        </is>
      </c>
      <c r="D1" s="4" t="inlineStr">
        <is>
          <t>Member</t>
        </is>
      </c>
      <c r="E1" s="4" t="inlineStr">
        <is>
          <t>Paid_Amount</t>
        </is>
      </c>
      <c r="F1" s="4" t="inlineStr">
        <is>
          <t>Share_Amount</t>
        </is>
      </c>
      <c r="G1" s="4" t="inlineStr">
        <is>
          <t>Share_Percent</t>
        </is>
      </c>
      <c r="H1" s="4" t="inlineStr">
        <is>
          <t>Expected_Net</t>
        </is>
      </c>
      <c r="I1" s="4" t="inlineStr">
        <is>
          <t>Split_Check</t>
        </is>
      </c>
    </row>
    <row r="2">
      <c r="A2" t="inlineStr">
        <is>
          <t>MTR-IOS-0002</t>
        </is>
      </c>
      <c r="B2" t="inlineStr">
        <is>
          <t>Trip</t>
        </is>
      </c>
      <c r="C2" t="inlineStr">
        <is>
          <t>EQUAL</t>
        </is>
      </c>
      <c r="D2" t="inlineStr">
        <is>
          <t>IOS Owner</t>
        </is>
      </c>
      <c r="E2" s="16" t="n">
        <v>26868.32</v>
      </c>
      <c r="F2" s="16" t="n">
        <v>8956.110000000001</v>
      </c>
      <c r="G2" s="17" t="n"/>
      <c r="H2" s="16" t="n">
        <v>17912.21</v>
      </c>
      <c r="I2" s="16" t="n">
        <v>0</v>
      </c>
    </row>
    <row r="3">
      <c r="A3" t="inlineStr">
        <is>
          <t>MTR-IOS-0002</t>
        </is>
      </c>
      <c r="B3" t="inlineStr">
        <is>
          <t>Trip</t>
        </is>
      </c>
      <c r="C3" t="inlineStr">
        <is>
          <t>EQUAL</t>
        </is>
      </c>
      <c r="D3" t="inlineStr">
        <is>
          <t>IOS Aarav</t>
        </is>
      </c>
      <c r="E3" s="16" t="n">
        <v>0</v>
      </c>
      <c r="F3" s="16" t="n">
        <v>8956.110000000001</v>
      </c>
      <c r="G3" s="17" t="n"/>
      <c r="H3" s="16" t="n">
        <v>-8956.110000000001</v>
      </c>
      <c r="I3" s="16" t="n">
        <v>0</v>
      </c>
    </row>
    <row r="4">
      <c r="A4" t="inlineStr">
        <is>
          <t>MTR-IOS-0002</t>
        </is>
      </c>
      <c r="B4" t="inlineStr">
        <is>
          <t>Trip</t>
        </is>
      </c>
      <c r="C4" t="inlineStr">
        <is>
          <t>EQUAL</t>
        </is>
      </c>
      <c r="D4" t="inlineStr">
        <is>
          <t>IOS Meera</t>
        </is>
      </c>
      <c r="E4" s="16" t="n">
        <v>0</v>
      </c>
      <c r="F4" s="16" t="n">
        <v>8956.1</v>
      </c>
      <c r="G4" s="17" t="n"/>
      <c r="H4" s="16" t="n">
        <v>-8956.1</v>
      </c>
      <c r="I4" s="16" t="n">
        <v>0</v>
      </c>
    </row>
    <row r="5">
      <c r="A5" t="inlineStr">
        <is>
          <t>MTR-IOS-0005</t>
        </is>
      </c>
      <c r="B5" t="inlineStr">
        <is>
          <t>Trip</t>
        </is>
      </c>
      <c r="C5" t="inlineStr">
        <is>
          <t>PERCENTAGE</t>
        </is>
      </c>
      <c r="D5" t="inlineStr">
        <is>
          <t>IOS Owner</t>
        </is>
      </c>
      <c r="E5" s="16" t="n">
        <v>0</v>
      </c>
      <c r="F5" s="16" t="n">
        <v>9175.610000000001</v>
      </c>
      <c r="G5" s="17" t="n">
        <v>50</v>
      </c>
      <c r="H5" s="16" t="n">
        <v>-9175.610000000001</v>
      </c>
      <c r="I5" s="16" t="n">
        <v>0</v>
      </c>
    </row>
    <row r="6">
      <c r="A6" t="inlineStr">
        <is>
          <t>MTR-IOS-0005</t>
        </is>
      </c>
      <c r="B6" t="inlineStr">
        <is>
          <t>Trip</t>
        </is>
      </c>
      <c r="C6" t="inlineStr">
        <is>
          <t>PERCENTAGE</t>
        </is>
      </c>
      <c r="D6" t="inlineStr">
        <is>
          <t>IOS Aarav</t>
        </is>
      </c>
      <c r="E6" s="16" t="n">
        <v>18351.21</v>
      </c>
      <c r="F6" s="16" t="n">
        <v>5505.36</v>
      </c>
      <c r="G6" s="17" t="n">
        <v>30</v>
      </c>
      <c r="H6" s="16" t="n">
        <v>12845.85</v>
      </c>
      <c r="I6" s="16" t="n">
        <v>0</v>
      </c>
    </row>
    <row r="7">
      <c r="A7" t="inlineStr">
        <is>
          <t>MTR-IOS-0005</t>
        </is>
      </c>
      <c r="B7" t="inlineStr">
        <is>
          <t>Trip</t>
        </is>
      </c>
      <c r="C7" t="inlineStr">
        <is>
          <t>PERCENTAGE</t>
        </is>
      </c>
      <c r="D7" t="inlineStr">
        <is>
          <t>IOS Meera</t>
        </is>
      </c>
      <c r="E7" s="16" t="n">
        <v>0</v>
      </c>
      <c r="F7" s="16" t="n">
        <v>3670.24</v>
      </c>
      <c r="G7" s="17" t="n">
        <v>20</v>
      </c>
      <c r="H7" s="16" t="n">
        <v>-3670.24</v>
      </c>
      <c r="I7" s="16" t="n">
        <v>0</v>
      </c>
    </row>
    <row r="8">
      <c r="A8" t="inlineStr">
        <is>
          <t>MTR-IOS-0008</t>
        </is>
      </c>
      <c r="B8" t="inlineStr">
        <is>
          <t>Trip</t>
        </is>
      </c>
      <c r="C8" t="inlineStr">
        <is>
          <t>EXACT</t>
        </is>
      </c>
      <c r="D8" t="inlineStr">
        <is>
          <t>IOS Owner</t>
        </is>
      </c>
      <c r="E8" s="16" t="n">
        <v>0</v>
      </c>
      <c r="F8" s="16" t="n">
        <v>8465.58</v>
      </c>
      <c r="G8" s="17" t="n"/>
      <c r="H8" s="16" t="n">
        <v>-8465.58</v>
      </c>
      <c r="I8" s="16" t="n">
        <v>0</v>
      </c>
    </row>
    <row r="9">
      <c r="A9" t="inlineStr">
        <is>
          <t>MTR-IOS-0008</t>
        </is>
      </c>
      <c r="B9" t="inlineStr">
        <is>
          <t>Trip</t>
        </is>
      </c>
      <c r="C9" t="inlineStr">
        <is>
          <t>EXACT</t>
        </is>
      </c>
      <c r="D9" t="inlineStr">
        <is>
          <t>IOS Aarav</t>
        </is>
      </c>
      <c r="E9" s="16" t="n">
        <v>0</v>
      </c>
      <c r="F9" s="16" t="n">
        <v>8465.58</v>
      </c>
      <c r="G9" s="17" t="n"/>
      <c r="H9" s="16" t="n">
        <v>-8465.58</v>
      </c>
      <c r="I9" s="16" t="n">
        <v>0</v>
      </c>
    </row>
    <row r="10">
      <c r="A10" t="inlineStr">
        <is>
          <t>MTR-IOS-0008</t>
        </is>
      </c>
      <c r="B10" t="inlineStr">
        <is>
          <t>Trip</t>
        </is>
      </c>
      <c r="C10" t="inlineStr">
        <is>
          <t>EXACT</t>
        </is>
      </c>
      <c r="D10" t="inlineStr">
        <is>
          <t>IOS Meera</t>
        </is>
      </c>
      <c r="E10" s="16" t="n">
        <v>25422.15</v>
      </c>
      <c r="F10" s="16" t="n">
        <v>8490.99</v>
      </c>
      <c r="G10" s="17" t="n"/>
      <c r="H10" s="16" t="n">
        <v>16931.16</v>
      </c>
      <c r="I10" s="16" t="n">
        <v>0</v>
      </c>
    </row>
    <row r="11">
      <c r="A11" t="inlineStr">
        <is>
          <t>MTR-IOS-0011</t>
        </is>
      </c>
      <c r="B11" t="inlineStr">
        <is>
          <t>Trip</t>
        </is>
      </c>
      <c r="C11" t="inlineStr">
        <is>
          <t>SHARES</t>
        </is>
      </c>
      <c r="D11" t="inlineStr">
        <is>
          <t>IOS Owner</t>
        </is>
      </c>
      <c r="E11" s="16" t="n">
        <v>20814.45</v>
      </c>
      <c r="F11" s="16" t="n">
        <v>10407.23</v>
      </c>
      <c r="G11" s="17" t="n"/>
      <c r="H11" s="16" t="n">
        <v>10407.22</v>
      </c>
      <c r="I11" s="16" t="n">
        <v>0</v>
      </c>
    </row>
    <row r="12">
      <c r="A12" t="inlineStr">
        <is>
          <t>MTR-IOS-0011</t>
        </is>
      </c>
      <c r="B12" t="inlineStr">
        <is>
          <t>Trip</t>
        </is>
      </c>
      <c r="C12" t="inlineStr">
        <is>
          <t>SHARES</t>
        </is>
      </c>
      <c r="D12" t="inlineStr">
        <is>
          <t>IOS Aarav</t>
        </is>
      </c>
      <c r="E12" s="16" t="n">
        <v>0</v>
      </c>
      <c r="F12" s="16" t="n">
        <v>6938.15</v>
      </c>
      <c r="G12" s="17" t="n"/>
      <c r="H12" s="16" t="n">
        <v>-6938.15</v>
      </c>
      <c r="I12" s="16" t="n">
        <v>0</v>
      </c>
    </row>
    <row r="13">
      <c r="A13" t="inlineStr">
        <is>
          <t>MTR-IOS-0011</t>
        </is>
      </c>
      <c r="B13" t="inlineStr">
        <is>
          <t>Trip</t>
        </is>
      </c>
      <c r="C13" t="inlineStr">
        <is>
          <t>SHARES</t>
        </is>
      </c>
      <c r="D13" t="inlineStr">
        <is>
          <t>IOS Meera</t>
        </is>
      </c>
      <c r="E13" s="16" t="n">
        <v>0</v>
      </c>
      <c r="F13" s="16" t="n">
        <v>3469.07</v>
      </c>
      <c r="G13" s="17" t="n"/>
      <c r="H13" s="16" t="n">
        <v>-3469.07</v>
      </c>
      <c r="I13" s="16" t="n">
        <v>0</v>
      </c>
    </row>
    <row r="14">
      <c r="A14" t="inlineStr">
        <is>
          <t>MTR-IOS-0014</t>
        </is>
      </c>
      <c r="B14" t="inlineStr">
        <is>
          <t>Trip</t>
        </is>
      </c>
      <c r="C14" t="inlineStr">
        <is>
          <t>EQUAL</t>
        </is>
      </c>
      <c r="D14" t="inlineStr">
        <is>
          <t>IOS Owner</t>
        </is>
      </c>
      <c r="E14" s="16" t="n">
        <v>0</v>
      </c>
      <c r="F14" s="16" t="n">
        <v>2861.93</v>
      </c>
      <c r="G14" s="17" t="n"/>
      <c r="H14" s="16" t="n">
        <v>-2861.93</v>
      </c>
      <c r="I14" s="16" t="n">
        <v>0</v>
      </c>
    </row>
    <row r="15">
      <c r="A15" t="inlineStr">
        <is>
          <t>MTR-IOS-0014</t>
        </is>
      </c>
      <c r="B15" t="inlineStr">
        <is>
          <t>Trip</t>
        </is>
      </c>
      <c r="C15" t="inlineStr">
        <is>
          <t>EQUAL</t>
        </is>
      </c>
      <c r="D15" t="inlineStr">
        <is>
          <t>IOS Aarav</t>
        </is>
      </c>
      <c r="E15" s="16" t="n">
        <v>8585.780000000001</v>
      </c>
      <c r="F15" s="16" t="n">
        <v>2861.93</v>
      </c>
      <c r="G15" s="17" t="n"/>
      <c r="H15" s="16" t="n">
        <v>5723.85</v>
      </c>
      <c r="I15" s="16" t="n">
        <v>0</v>
      </c>
    </row>
    <row r="16">
      <c r="A16" t="inlineStr">
        <is>
          <t>MTR-IOS-0014</t>
        </is>
      </c>
      <c r="B16" t="inlineStr">
        <is>
          <t>Trip</t>
        </is>
      </c>
      <c r="C16" t="inlineStr">
        <is>
          <t>EQUAL</t>
        </is>
      </c>
      <c r="D16" t="inlineStr">
        <is>
          <t>IOS Meera</t>
        </is>
      </c>
      <c r="E16" s="16" t="n">
        <v>0</v>
      </c>
      <c r="F16" s="16" t="n">
        <v>2861.92</v>
      </c>
      <c r="G16" s="17" t="n"/>
      <c r="H16" s="16" t="n">
        <v>-2861.92</v>
      </c>
      <c r="I16" s="16" t="n">
        <v>0</v>
      </c>
    </row>
    <row r="17">
      <c r="A17" t="inlineStr">
        <is>
          <t>MTR-IOS-0017</t>
        </is>
      </c>
      <c r="B17" t="inlineStr">
        <is>
          <t>Trip</t>
        </is>
      </c>
      <c r="C17" t="inlineStr">
        <is>
          <t>PERCENTAGE</t>
        </is>
      </c>
      <c r="D17" t="inlineStr">
        <is>
          <t>IOS Owner</t>
        </is>
      </c>
      <c r="E17" s="16" t="n">
        <v>0</v>
      </c>
      <c r="F17" s="16" t="n">
        <v>7445.75</v>
      </c>
      <c r="G17" s="17" t="n">
        <v>50</v>
      </c>
      <c r="H17" s="16" t="n">
        <v>-7445.75</v>
      </c>
      <c r="I17" s="16" t="n">
        <v>0</v>
      </c>
    </row>
    <row r="18">
      <c r="A18" t="inlineStr">
        <is>
          <t>MTR-IOS-0017</t>
        </is>
      </c>
      <c r="B18" t="inlineStr">
        <is>
          <t>Trip</t>
        </is>
      </c>
      <c r="C18" t="inlineStr">
        <is>
          <t>PERCENTAGE</t>
        </is>
      </c>
      <c r="D18" t="inlineStr">
        <is>
          <t>IOS Aarav</t>
        </is>
      </c>
      <c r="E18" s="16" t="n">
        <v>0</v>
      </c>
      <c r="F18" s="16" t="n">
        <v>4467.45</v>
      </c>
      <c r="G18" s="17" t="n">
        <v>30</v>
      </c>
      <c r="H18" s="16" t="n">
        <v>-4467.45</v>
      </c>
      <c r="I18" s="16" t="n">
        <v>0</v>
      </c>
    </row>
    <row r="19">
      <c r="A19" t="inlineStr">
        <is>
          <t>MTR-IOS-0017</t>
        </is>
      </c>
      <c r="B19" t="inlineStr">
        <is>
          <t>Trip</t>
        </is>
      </c>
      <c r="C19" t="inlineStr">
        <is>
          <t>PERCENTAGE</t>
        </is>
      </c>
      <c r="D19" t="inlineStr">
        <is>
          <t>IOS Meera</t>
        </is>
      </c>
      <c r="E19" s="16" t="n">
        <v>14891.49</v>
      </c>
      <c r="F19" s="16" t="n">
        <v>2978.29</v>
      </c>
      <c r="G19" s="17" t="n">
        <v>20</v>
      </c>
      <c r="H19" s="16" t="n">
        <v>11913.2</v>
      </c>
      <c r="I19" s="16" t="n">
        <v>0</v>
      </c>
    </row>
    <row r="20">
      <c r="A20" t="inlineStr">
        <is>
          <t>MTR-IOS-0020</t>
        </is>
      </c>
      <c r="B20" t="inlineStr">
        <is>
          <t>Trip</t>
        </is>
      </c>
      <c r="C20" t="inlineStr">
        <is>
          <t>EXACT</t>
        </is>
      </c>
      <c r="D20" t="inlineStr">
        <is>
          <t>IOS Owner</t>
        </is>
      </c>
      <c r="E20" s="16" t="n">
        <v>16125.67</v>
      </c>
      <c r="F20" s="16" t="n">
        <v>5369.85</v>
      </c>
      <c r="G20" s="17" t="n"/>
      <c r="H20" s="16" t="n">
        <v>10755.82</v>
      </c>
      <c r="I20" s="16" t="n">
        <v>0</v>
      </c>
    </row>
    <row r="21">
      <c r="A21" t="inlineStr">
        <is>
          <t>MTR-IOS-0020</t>
        </is>
      </c>
      <c r="B21" t="inlineStr">
        <is>
          <t>Trip</t>
        </is>
      </c>
      <c r="C21" t="inlineStr">
        <is>
          <t>EXACT</t>
        </is>
      </c>
      <c r="D21" t="inlineStr">
        <is>
          <t>IOS Aarav</t>
        </is>
      </c>
      <c r="E21" s="16" t="n">
        <v>0</v>
      </c>
      <c r="F21" s="16" t="n">
        <v>5369.85</v>
      </c>
      <c r="G21" s="17" t="n"/>
      <c r="H21" s="16" t="n">
        <v>-5369.85</v>
      </c>
      <c r="I21" s="16" t="n">
        <v>0</v>
      </c>
    </row>
    <row r="22">
      <c r="A22" t="inlineStr">
        <is>
          <t>MTR-IOS-0020</t>
        </is>
      </c>
      <c r="B22" t="inlineStr">
        <is>
          <t>Trip</t>
        </is>
      </c>
      <c r="C22" t="inlineStr">
        <is>
          <t>EXACT</t>
        </is>
      </c>
      <c r="D22" t="inlineStr">
        <is>
          <t>IOS Meera</t>
        </is>
      </c>
      <c r="E22" s="16" t="n">
        <v>0</v>
      </c>
      <c r="F22" s="16" t="n">
        <v>5385.97</v>
      </c>
      <c r="G22" s="17" t="n"/>
      <c r="H22" s="16" t="n">
        <v>-5385.97</v>
      </c>
      <c r="I22" s="16" t="n">
        <v>0</v>
      </c>
    </row>
    <row r="23">
      <c r="A23" t="inlineStr">
        <is>
          <t>MTR-IOS-0023</t>
        </is>
      </c>
      <c r="B23" t="inlineStr">
        <is>
          <t>Wedding</t>
        </is>
      </c>
      <c r="C23" t="inlineStr">
        <is>
          <t>SHARES</t>
        </is>
      </c>
      <c r="D23" t="inlineStr">
        <is>
          <t>IOS Owner</t>
        </is>
      </c>
      <c r="E23" s="16" t="n">
        <v>0</v>
      </c>
      <c r="F23" s="16" t="n">
        <v>12462.58</v>
      </c>
      <c r="G23" s="17" t="n"/>
      <c r="H23" s="16" t="n">
        <v>-12462.58</v>
      </c>
      <c r="I23" s="16" t="n">
        <v>0</v>
      </c>
    </row>
    <row r="24">
      <c r="A24" t="inlineStr">
        <is>
          <t>MTR-IOS-0023</t>
        </is>
      </c>
      <c r="B24" t="inlineStr">
        <is>
          <t>Wedding</t>
        </is>
      </c>
      <c r="C24" t="inlineStr">
        <is>
          <t>SHARES</t>
        </is>
      </c>
      <c r="D24" t="inlineStr">
        <is>
          <t>IOS Aarav</t>
        </is>
      </c>
      <c r="E24" s="16" t="n">
        <v>24925.16</v>
      </c>
      <c r="F24" s="16" t="n">
        <v>8308.389999999999</v>
      </c>
      <c r="G24" s="17" t="n"/>
      <c r="H24" s="16" t="n">
        <v>16616.77</v>
      </c>
      <c r="I24" s="16" t="n">
        <v>0</v>
      </c>
    </row>
    <row r="25">
      <c r="A25" t="inlineStr">
        <is>
          <t>MTR-IOS-0023</t>
        </is>
      </c>
      <c r="B25" t="inlineStr">
        <is>
          <t>Wedding</t>
        </is>
      </c>
      <c r="C25" t="inlineStr">
        <is>
          <t>SHARES</t>
        </is>
      </c>
      <c r="D25" t="inlineStr">
        <is>
          <t>IOS Meera</t>
        </is>
      </c>
      <c r="E25" s="16" t="n">
        <v>0</v>
      </c>
      <c r="F25" s="16" t="n">
        <v>4154.19</v>
      </c>
      <c r="G25" s="17" t="n"/>
      <c r="H25" s="16" t="n">
        <v>-4154.19</v>
      </c>
      <c r="I25" s="16" t="n">
        <v>0</v>
      </c>
    </row>
    <row r="26">
      <c r="A26" t="inlineStr">
        <is>
          <t>MTR-IOS-0026</t>
        </is>
      </c>
      <c r="B26" t="inlineStr">
        <is>
          <t>Wedding</t>
        </is>
      </c>
      <c r="C26" t="inlineStr">
        <is>
          <t>EQUAL</t>
        </is>
      </c>
      <c r="D26" t="inlineStr">
        <is>
          <t>IOS Owner</t>
        </is>
      </c>
      <c r="E26" s="16" t="n">
        <v>0</v>
      </c>
      <c r="F26" s="16" t="n">
        <v>6568.24</v>
      </c>
      <c r="G26" s="17" t="n"/>
      <c r="H26" s="16" t="n">
        <v>-6568.24</v>
      </c>
      <c r="I26" s="16" t="n">
        <v>0</v>
      </c>
    </row>
    <row r="27">
      <c r="A27" t="inlineStr">
        <is>
          <t>MTR-IOS-0026</t>
        </is>
      </c>
      <c r="B27" t="inlineStr">
        <is>
          <t>Wedding</t>
        </is>
      </c>
      <c r="C27" t="inlineStr">
        <is>
          <t>EQUAL</t>
        </is>
      </c>
      <c r="D27" t="inlineStr">
        <is>
          <t>IOS Aarav</t>
        </is>
      </c>
      <c r="E27" s="16" t="n">
        <v>0</v>
      </c>
      <c r="F27" s="16" t="n">
        <v>6568.24</v>
      </c>
      <c r="G27" s="17" t="n"/>
      <c r="H27" s="16" t="n">
        <v>-6568.24</v>
      </c>
      <c r="I27" s="16" t="n">
        <v>0</v>
      </c>
    </row>
    <row r="28">
      <c r="A28" t="inlineStr">
        <is>
          <t>MTR-IOS-0026</t>
        </is>
      </c>
      <c r="B28" t="inlineStr">
        <is>
          <t>Wedding</t>
        </is>
      </c>
      <c r="C28" t="inlineStr">
        <is>
          <t>EQUAL</t>
        </is>
      </c>
      <c r="D28" t="inlineStr">
        <is>
          <t>IOS Meera</t>
        </is>
      </c>
      <c r="E28" s="16" t="n">
        <v>19704.71</v>
      </c>
      <c r="F28" s="16" t="n">
        <v>6568.23</v>
      </c>
      <c r="G28" s="17" t="n"/>
      <c r="H28" s="16" t="n">
        <v>13136.48</v>
      </c>
      <c r="I28" s="16" t="n">
        <v>0</v>
      </c>
    </row>
    <row r="29">
      <c r="A29" t="inlineStr">
        <is>
          <t>MTR-IOS-0029</t>
        </is>
      </c>
      <c r="B29" t="inlineStr">
        <is>
          <t>Wedding</t>
        </is>
      </c>
      <c r="C29" t="inlineStr">
        <is>
          <t>PERCENTAGE</t>
        </is>
      </c>
      <c r="D29" t="inlineStr">
        <is>
          <t>IOS Owner</t>
        </is>
      </c>
      <c r="E29" s="16" t="n">
        <v>15620.75</v>
      </c>
      <c r="F29" s="16" t="n">
        <v>7810.38</v>
      </c>
      <c r="G29" s="17" t="n">
        <v>50</v>
      </c>
      <c r="H29" s="16" t="n">
        <v>7810.37</v>
      </c>
      <c r="I29" s="16" t="n">
        <v>0</v>
      </c>
    </row>
    <row r="30">
      <c r="A30" t="inlineStr">
        <is>
          <t>MTR-IOS-0029</t>
        </is>
      </c>
      <c r="B30" t="inlineStr">
        <is>
          <t>Wedding</t>
        </is>
      </c>
      <c r="C30" t="inlineStr">
        <is>
          <t>PERCENTAGE</t>
        </is>
      </c>
      <c r="D30" t="inlineStr">
        <is>
          <t>IOS Aarav</t>
        </is>
      </c>
      <c r="E30" s="16" t="n">
        <v>0</v>
      </c>
      <c r="F30" s="16" t="n">
        <v>4686.23</v>
      </c>
      <c r="G30" s="17" t="n">
        <v>30</v>
      </c>
      <c r="H30" s="16" t="n">
        <v>-4686.23</v>
      </c>
      <c r="I30" s="16" t="n">
        <v>0</v>
      </c>
    </row>
    <row r="31">
      <c r="A31" t="inlineStr">
        <is>
          <t>MTR-IOS-0029</t>
        </is>
      </c>
      <c r="B31" t="inlineStr">
        <is>
          <t>Wedding</t>
        </is>
      </c>
      <c r="C31" t="inlineStr">
        <is>
          <t>PERCENTAGE</t>
        </is>
      </c>
      <c r="D31" t="inlineStr">
        <is>
          <t>IOS Meera</t>
        </is>
      </c>
      <c r="E31" s="16" t="n">
        <v>0</v>
      </c>
      <c r="F31" s="16" t="n">
        <v>3124.14</v>
      </c>
      <c r="G31" s="17" t="n">
        <v>20</v>
      </c>
      <c r="H31" s="16" t="n">
        <v>-3124.14</v>
      </c>
      <c r="I31" s="16" t="n">
        <v>0</v>
      </c>
    </row>
    <row r="32">
      <c r="A32" t="inlineStr">
        <is>
          <t>MTR-IOS-0032</t>
        </is>
      </c>
      <c r="B32" t="inlineStr">
        <is>
          <t>Wedding</t>
        </is>
      </c>
      <c r="C32" t="inlineStr">
        <is>
          <t>EXACT</t>
        </is>
      </c>
      <c r="D32" t="inlineStr">
        <is>
          <t>IOS Owner</t>
        </is>
      </c>
      <c r="E32" s="16" t="n">
        <v>0</v>
      </c>
      <c r="F32" s="16" t="n">
        <v>5485.38</v>
      </c>
      <c r="G32" s="17" t="n"/>
      <c r="H32" s="16" t="n">
        <v>-5485.38</v>
      </c>
      <c r="I32" s="16" t="n">
        <v>0</v>
      </c>
    </row>
    <row r="33">
      <c r="A33" t="inlineStr">
        <is>
          <t>MTR-IOS-0032</t>
        </is>
      </c>
      <c r="B33" t="inlineStr">
        <is>
          <t>Wedding</t>
        </is>
      </c>
      <c r="C33" t="inlineStr">
        <is>
          <t>EXACT</t>
        </is>
      </c>
      <c r="D33" t="inlineStr">
        <is>
          <t>IOS Aarav</t>
        </is>
      </c>
      <c r="E33" s="16" t="n">
        <v>16472.62</v>
      </c>
      <c r="F33" s="16" t="n">
        <v>5485.38</v>
      </c>
      <c r="G33" s="17" t="n"/>
      <c r="H33" s="16" t="n">
        <v>10987.24</v>
      </c>
      <c r="I33" s="16" t="n">
        <v>0</v>
      </c>
    </row>
    <row r="34">
      <c r="A34" t="inlineStr">
        <is>
          <t>MTR-IOS-0032</t>
        </is>
      </c>
      <c r="B34" t="inlineStr">
        <is>
          <t>Wedding</t>
        </is>
      </c>
      <c r="C34" t="inlineStr">
        <is>
          <t>EXACT</t>
        </is>
      </c>
      <c r="D34" t="inlineStr">
        <is>
          <t>IOS Meera</t>
        </is>
      </c>
      <c r="E34" s="16" t="n">
        <v>0</v>
      </c>
      <c r="F34" s="16" t="n">
        <v>5501.86</v>
      </c>
      <c r="G34" s="17" t="n"/>
      <c r="H34" s="16" t="n">
        <v>-5501.86</v>
      </c>
      <c r="I34" s="16" t="n">
        <v>0</v>
      </c>
    </row>
    <row r="35">
      <c r="A35" t="inlineStr">
        <is>
          <t>MTR-IOS-0035</t>
        </is>
      </c>
      <c r="B35" t="inlineStr">
        <is>
          <t>Wedding</t>
        </is>
      </c>
      <c r="C35" t="inlineStr">
        <is>
          <t>SHARES</t>
        </is>
      </c>
      <c r="D35" t="inlineStr">
        <is>
          <t>IOS Owner</t>
        </is>
      </c>
      <c r="E35" s="16" t="n">
        <v>0</v>
      </c>
      <c r="F35" s="16" t="n">
        <v>9410.98</v>
      </c>
      <c r="G35" s="17" t="n"/>
      <c r="H35" s="16" t="n">
        <v>-9410.98</v>
      </c>
      <c r="I35" s="16" t="n">
        <v>0</v>
      </c>
    </row>
    <row r="36">
      <c r="A36" t="inlineStr">
        <is>
          <t>MTR-IOS-0035</t>
        </is>
      </c>
      <c r="B36" t="inlineStr">
        <is>
          <t>Wedding</t>
        </is>
      </c>
      <c r="C36" t="inlineStr">
        <is>
          <t>SHARES</t>
        </is>
      </c>
      <c r="D36" t="inlineStr">
        <is>
          <t>IOS Aarav</t>
        </is>
      </c>
      <c r="E36" s="16" t="n">
        <v>0</v>
      </c>
      <c r="F36" s="16" t="n">
        <v>6273.99</v>
      </c>
      <c r="G36" s="17" t="n"/>
      <c r="H36" s="16" t="n">
        <v>-6273.99</v>
      </c>
      <c r="I36" s="16" t="n">
        <v>0</v>
      </c>
    </row>
    <row r="37">
      <c r="A37" t="inlineStr">
        <is>
          <t>MTR-IOS-0035</t>
        </is>
      </c>
      <c r="B37" t="inlineStr">
        <is>
          <t>Wedding</t>
        </is>
      </c>
      <c r="C37" t="inlineStr">
        <is>
          <t>SHARES</t>
        </is>
      </c>
      <c r="D37" t="inlineStr">
        <is>
          <t>IOS Meera</t>
        </is>
      </c>
      <c r="E37" s="16" t="n">
        <v>18821.96</v>
      </c>
      <c r="F37" s="16" t="n">
        <v>3136.99</v>
      </c>
      <c r="G37" s="17" t="n"/>
      <c r="H37" s="16" t="n">
        <v>15684.97</v>
      </c>
      <c r="I37" s="16" t="n">
        <v>0</v>
      </c>
    </row>
    <row r="38">
      <c r="A38" t="inlineStr">
        <is>
          <t>MTR-IOS-0038</t>
        </is>
      </c>
      <c r="B38" t="inlineStr">
        <is>
          <t>Wedding</t>
        </is>
      </c>
      <c r="C38" t="inlineStr">
        <is>
          <t>EQUAL</t>
        </is>
      </c>
      <c r="D38" t="inlineStr">
        <is>
          <t>IOS Owner</t>
        </is>
      </c>
      <c r="E38" s="16" t="n">
        <v>6824.65</v>
      </c>
      <c r="F38" s="16" t="n">
        <v>2274.88</v>
      </c>
      <c r="G38" s="17" t="n"/>
      <c r="H38" s="16" t="n">
        <v>4549.77</v>
      </c>
      <c r="I38" s="16" t="n">
        <v>0</v>
      </c>
    </row>
    <row r="39">
      <c r="A39" t="inlineStr">
        <is>
          <t>MTR-IOS-0038</t>
        </is>
      </c>
      <c r="B39" t="inlineStr">
        <is>
          <t>Wedding</t>
        </is>
      </c>
      <c r="C39" t="inlineStr">
        <is>
          <t>EQUAL</t>
        </is>
      </c>
      <c r="D39" t="inlineStr">
        <is>
          <t>IOS Aarav</t>
        </is>
      </c>
      <c r="E39" s="16" t="n">
        <v>0</v>
      </c>
      <c r="F39" s="16" t="n">
        <v>2274.88</v>
      </c>
      <c r="G39" s="17" t="n"/>
      <c r="H39" s="16" t="n">
        <v>-2274.88</v>
      </c>
      <c r="I39" s="16" t="n">
        <v>0</v>
      </c>
    </row>
    <row r="40">
      <c r="A40" t="inlineStr">
        <is>
          <t>MTR-IOS-0038</t>
        </is>
      </c>
      <c r="B40" t="inlineStr">
        <is>
          <t>Wedding</t>
        </is>
      </c>
      <c r="C40" t="inlineStr">
        <is>
          <t>EQUAL</t>
        </is>
      </c>
      <c r="D40" t="inlineStr">
        <is>
          <t>IOS Meera</t>
        </is>
      </c>
      <c r="E40" s="16" t="n">
        <v>0</v>
      </c>
      <c r="F40" s="16" t="n">
        <v>2274.89</v>
      </c>
      <c r="G40" s="17" t="n"/>
      <c r="H40" s="16" t="n">
        <v>-2274.89</v>
      </c>
      <c r="I40" s="16" t="n">
        <v>0</v>
      </c>
    </row>
    <row r="41">
      <c r="A41" t="inlineStr">
        <is>
          <t>MTR-IOS-0041</t>
        </is>
      </c>
      <c r="B41" t="inlineStr">
        <is>
          <t>Wedding</t>
        </is>
      </c>
      <c r="C41" t="inlineStr">
        <is>
          <t>PERCENTAGE</t>
        </is>
      </c>
      <c r="D41" t="inlineStr">
        <is>
          <t>IOS Owner</t>
        </is>
      </c>
      <c r="E41" s="16" t="n">
        <v>0</v>
      </c>
      <c r="F41" s="16" t="n">
        <v>9196.200000000001</v>
      </c>
      <c r="G41" s="17" t="n">
        <v>50</v>
      </c>
      <c r="H41" s="16" t="n">
        <v>-9196.200000000001</v>
      </c>
      <c r="I41" s="16" t="n">
        <v>0</v>
      </c>
    </row>
    <row r="42">
      <c r="A42" t="inlineStr">
        <is>
          <t>MTR-IOS-0041</t>
        </is>
      </c>
      <c r="B42" t="inlineStr">
        <is>
          <t>Wedding</t>
        </is>
      </c>
      <c r="C42" t="inlineStr">
        <is>
          <t>PERCENTAGE</t>
        </is>
      </c>
      <c r="D42" t="inlineStr">
        <is>
          <t>IOS Aarav</t>
        </is>
      </c>
      <c r="E42" s="16" t="n">
        <v>18392.39</v>
      </c>
      <c r="F42" s="16" t="n">
        <v>5517.72</v>
      </c>
      <c r="G42" s="17" t="n">
        <v>30</v>
      </c>
      <c r="H42" s="16" t="n">
        <v>12874.67</v>
      </c>
      <c r="I42" s="16" t="n">
        <v>0</v>
      </c>
    </row>
    <row r="43">
      <c r="A43" t="inlineStr">
        <is>
          <t>MTR-IOS-0041</t>
        </is>
      </c>
      <c r="B43" t="inlineStr">
        <is>
          <t>Wedding</t>
        </is>
      </c>
      <c r="C43" t="inlineStr">
        <is>
          <t>PERCENTAGE</t>
        </is>
      </c>
      <c r="D43" t="inlineStr">
        <is>
          <t>IOS Meera</t>
        </is>
      </c>
      <c r="E43" s="16" t="n">
        <v>0</v>
      </c>
      <c r="F43" s="16" t="n">
        <v>3678.47</v>
      </c>
      <c r="G43" s="17" t="n">
        <v>20</v>
      </c>
      <c r="H43" s="16" t="n">
        <v>-3678.47</v>
      </c>
      <c r="I43" s="16" t="n">
        <v>0</v>
      </c>
    </row>
    <row r="44">
      <c r="A44" t="inlineStr">
        <is>
          <t>MTR-IOS-0044</t>
        </is>
      </c>
      <c r="B44" t="inlineStr">
        <is>
          <t>Office Outing</t>
        </is>
      </c>
      <c r="C44" t="inlineStr">
        <is>
          <t>EXACT</t>
        </is>
      </c>
      <c r="D44" t="inlineStr">
        <is>
          <t>IOS Owner</t>
        </is>
      </c>
      <c r="E44" s="16" t="n">
        <v>0</v>
      </c>
      <c r="F44" s="16" t="n">
        <v>8017.2</v>
      </c>
      <c r="G44" s="17" t="n"/>
      <c r="H44" s="16" t="n">
        <v>-8017.2</v>
      </c>
      <c r="I44" s="16" t="n">
        <v>0</v>
      </c>
    </row>
    <row r="45">
      <c r="A45" t="inlineStr">
        <is>
          <t>MTR-IOS-0044</t>
        </is>
      </c>
      <c r="B45" t="inlineStr">
        <is>
          <t>Office Outing</t>
        </is>
      </c>
      <c r="C45" t="inlineStr">
        <is>
          <t>EXACT</t>
        </is>
      </c>
      <c r="D45" t="inlineStr">
        <is>
          <t>IOS Aarav</t>
        </is>
      </c>
      <c r="E45" s="16" t="n">
        <v>0</v>
      </c>
      <c r="F45" s="16" t="n">
        <v>8017.2</v>
      </c>
      <c r="G45" s="17" t="n"/>
      <c r="H45" s="16" t="n">
        <v>-8017.2</v>
      </c>
      <c r="I45" s="16" t="n">
        <v>0</v>
      </c>
    </row>
    <row r="46">
      <c r="A46" t="inlineStr">
        <is>
          <t>MTR-IOS-0044</t>
        </is>
      </c>
      <c r="B46" t="inlineStr">
        <is>
          <t>Office Outing</t>
        </is>
      </c>
      <c r="C46" t="inlineStr">
        <is>
          <t>EXACT</t>
        </is>
      </c>
      <c r="D46" t="inlineStr">
        <is>
          <t>IOS Meera</t>
        </is>
      </c>
      <c r="E46" s="16" t="n">
        <v>24075.67</v>
      </c>
      <c r="F46" s="16" t="n">
        <v>8041.27</v>
      </c>
      <c r="G46" s="17" t="n"/>
      <c r="H46" s="16" t="n">
        <v>16034.4</v>
      </c>
      <c r="I46" s="16" t="n">
        <v>0</v>
      </c>
    </row>
    <row r="47">
      <c r="A47" t="inlineStr">
        <is>
          <t>MTR-IOS-0047</t>
        </is>
      </c>
      <c r="B47" t="inlineStr">
        <is>
          <t>Office Outing</t>
        </is>
      </c>
      <c r="C47" t="inlineStr">
        <is>
          <t>SHARES</t>
        </is>
      </c>
      <c r="D47" t="inlineStr">
        <is>
          <t>IOS Owner</t>
        </is>
      </c>
      <c r="E47" s="16" t="n">
        <v>26939.54</v>
      </c>
      <c r="F47" s="16" t="n">
        <v>13469.77</v>
      </c>
      <c r="G47" s="17" t="n"/>
      <c r="H47" s="16" t="n">
        <v>13469.77</v>
      </c>
      <c r="I47" s="16" t="n">
        <v>0</v>
      </c>
    </row>
    <row r="48">
      <c r="A48" t="inlineStr">
        <is>
          <t>MTR-IOS-0047</t>
        </is>
      </c>
      <c r="B48" t="inlineStr">
        <is>
          <t>Office Outing</t>
        </is>
      </c>
      <c r="C48" t="inlineStr">
        <is>
          <t>SHARES</t>
        </is>
      </c>
      <c r="D48" t="inlineStr">
        <is>
          <t>IOS Aarav</t>
        </is>
      </c>
      <c r="E48" s="16" t="n">
        <v>0</v>
      </c>
      <c r="F48" s="16" t="n">
        <v>8979.85</v>
      </c>
      <c r="G48" s="17" t="n"/>
      <c r="H48" s="16" t="n">
        <v>-8979.85</v>
      </c>
      <c r="I48" s="16" t="n">
        <v>0</v>
      </c>
    </row>
    <row r="49">
      <c r="A49" t="inlineStr">
        <is>
          <t>MTR-IOS-0047</t>
        </is>
      </c>
      <c r="B49" t="inlineStr">
        <is>
          <t>Office Outing</t>
        </is>
      </c>
      <c r="C49" t="inlineStr">
        <is>
          <t>SHARES</t>
        </is>
      </c>
      <c r="D49" t="inlineStr">
        <is>
          <t>IOS Meera</t>
        </is>
      </c>
      <c r="E49" s="16" t="n">
        <v>0</v>
      </c>
      <c r="F49" s="16" t="n">
        <v>4489.92</v>
      </c>
      <c r="G49" s="17" t="n"/>
      <c r="H49" s="16" t="n">
        <v>-4489.92</v>
      </c>
      <c r="I49" s="16" t="n">
        <v>0</v>
      </c>
    </row>
    <row r="50">
      <c r="A50" t="inlineStr">
        <is>
          <t>MTR-IOS-0050</t>
        </is>
      </c>
      <c r="B50" t="inlineStr">
        <is>
          <t>Office Outing</t>
        </is>
      </c>
      <c r="C50" t="inlineStr">
        <is>
          <t>EQUAL</t>
        </is>
      </c>
      <c r="D50" t="inlineStr">
        <is>
          <t>IOS Owner</t>
        </is>
      </c>
      <c r="E50" s="16" t="n">
        <v>0</v>
      </c>
      <c r="F50" s="16" t="n">
        <v>7976.36</v>
      </c>
      <c r="G50" s="17" t="n"/>
      <c r="H50" s="16" t="n">
        <v>-7976.36</v>
      </c>
      <c r="I50" s="16" t="n">
        <v>0</v>
      </c>
    </row>
    <row r="51">
      <c r="A51" t="inlineStr">
        <is>
          <t>MTR-IOS-0050</t>
        </is>
      </c>
      <c r="B51" t="inlineStr">
        <is>
          <t>Office Outing</t>
        </is>
      </c>
      <c r="C51" t="inlineStr">
        <is>
          <t>EQUAL</t>
        </is>
      </c>
      <c r="D51" t="inlineStr">
        <is>
          <t>IOS Aarav</t>
        </is>
      </c>
      <c r="E51" s="16" t="n">
        <v>23929.09</v>
      </c>
      <c r="F51" s="16" t="n">
        <v>7976.36</v>
      </c>
      <c r="G51" s="17" t="n"/>
      <c r="H51" s="16" t="n">
        <v>15952.73</v>
      </c>
      <c r="I51" s="16" t="n">
        <v>0</v>
      </c>
    </row>
    <row r="52">
      <c r="A52" t="inlineStr">
        <is>
          <t>MTR-IOS-0050</t>
        </is>
      </c>
      <c r="B52" t="inlineStr">
        <is>
          <t>Office Outing</t>
        </is>
      </c>
      <c r="C52" t="inlineStr">
        <is>
          <t>EQUAL</t>
        </is>
      </c>
      <c r="D52" t="inlineStr">
        <is>
          <t>IOS Meera</t>
        </is>
      </c>
      <c r="E52" s="16" t="n">
        <v>0</v>
      </c>
      <c r="F52" s="16" t="n">
        <v>7976.37</v>
      </c>
      <c r="G52" s="17" t="n"/>
      <c r="H52" s="16" t="n">
        <v>-7976.37</v>
      </c>
      <c r="I52" s="16" t="n">
        <v>0</v>
      </c>
    </row>
    <row r="53">
      <c r="A53" t="inlineStr">
        <is>
          <t>MTR-IOS-0053</t>
        </is>
      </c>
      <c r="B53" t="inlineStr">
        <is>
          <t>Office Outing</t>
        </is>
      </c>
      <c r="C53" t="inlineStr">
        <is>
          <t>PERCENTAGE</t>
        </is>
      </c>
      <c r="D53" t="inlineStr">
        <is>
          <t>IOS Owner</t>
        </is>
      </c>
      <c r="E53" s="16" t="n">
        <v>0</v>
      </c>
      <c r="F53" s="16" t="n">
        <v>2069</v>
      </c>
      <c r="G53" s="17" t="n">
        <v>50</v>
      </c>
      <c r="H53" s="16" t="n">
        <v>-2069</v>
      </c>
      <c r="I53" s="16" t="n">
        <v>0</v>
      </c>
    </row>
    <row r="54">
      <c r="A54" t="inlineStr">
        <is>
          <t>MTR-IOS-0053</t>
        </is>
      </c>
      <c r="B54" t="inlineStr">
        <is>
          <t>Office Outing</t>
        </is>
      </c>
      <c r="C54" t="inlineStr">
        <is>
          <t>PERCENTAGE</t>
        </is>
      </c>
      <c r="D54" t="inlineStr">
        <is>
          <t>IOS Aarav</t>
        </is>
      </c>
      <c r="E54" s="16" t="n">
        <v>0</v>
      </c>
      <c r="F54" s="16" t="n">
        <v>1241.4</v>
      </c>
      <c r="G54" s="17" t="n">
        <v>30</v>
      </c>
      <c r="H54" s="16" t="n">
        <v>-1241.4</v>
      </c>
      <c r="I54" s="16" t="n">
        <v>0</v>
      </c>
    </row>
    <row r="55">
      <c r="A55" t="inlineStr">
        <is>
          <t>MTR-IOS-0053</t>
        </is>
      </c>
      <c r="B55" t="inlineStr">
        <is>
          <t>Office Outing</t>
        </is>
      </c>
      <c r="C55" t="inlineStr">
        <is>
          <t>PERCENTAGE</t>
        </is>
      </c>
      <c r="D55" t="inlineStr">
        <is>
          <t>IOS Meera</t>
        </is>
      </c>
      <c r="E55" s="16" t="n">
        <v>4138</v>
      </c>
      <c r="F55" s="16" t="n">
        <v>827.6</v>
      </c>
      <c r="G55" s="17" t="n">
        <v>20</v>
      </c>
      <c r="H55" s="16" t="n">
        <v>3310.4</v>
      </c>
      <c r="I55" s="16" t="n">
        <v>0</v>
      </c>
    </row>
    <row r="56">
      <c r="A56" t="inlineStr">
        <is>
          <t>MTR-IOS-0056</t>
        </is>
      </c>
      <c r="B56" t="inlineStr">
        <is>
          <t>Office Outing</t>
        </is>
      </c>
      <c r="C56" t="inlineStr">
        <is>
          <t>EXACT</t>
        </is>
      </c>
      <c r="D56" t="inlineStr">
        <is>
          <t>IOS Owner</t>
        </is>
      </c>
      <c r="E56" s="16" t="n">
        <v>2675.67</v>
      </c>
      <c r="F56" s="16" t="n">
        <v>891</v>
      </c>
      <c r="G56" s="17" t="n"/>
      <c r="H56" s="16" t="n">
        <v>1784.67</v>
      </c>
      <c r="I56" s="16" t="n">
        <v>0</v>
      </c>
    </row>
    <row r="57">
      <c r="A57" t="inlineStr">
        <is>
          <t>MTR-IOS-0056</t>
        </is>
      </c>
      <c r="B57" t="inlineStr">
        <is>
          <t>Office Outing</t>
        </is>
      </c>
      <c r="C57" t="inlineStr">
        <is>
          <t>EXACT</t>
        </is>
      </c>
      <c r="D57" t="inlineStr">
        <is>
          <t>IOS Aarav</t>
        </is>
      </c>
      <c r="E57" s="16" t="n">
        <v>0</v>
      </c>
      <c r="F57" s="16" t="n">
        <v>891</v>
      </c>
      <c r="G57" s="17" t="n"/>
      <c r="H57" s="16" t="n">
        <v>-891</v>
      </c>
      <c r="I57" s="16" t="n">
        <v>0</v>
      </c>
    </row>
    <row r="58">
      <c r="A58" t="inlineStr">
        <is>
          <t>MTR-IOS-0056</t>
        </is>
      </c>
      <c r="B58" t="inlineStr">
        <is>
          <t>Office Outing</t>
        </is>
      </c>
      <c r="C58" t="inlineStr">
        <is>
          <t>EXACT</t>
        </is>
      </c>
      <c r="D58" t="inlineStr">
        <is>
          <t>IOS Meera</t>
        </is>
      </c>
      <c r="E58" s="16" t="n">
        <v>0</v>
      </c>
      <c r="F58" s="16" t="n">
        <v>893.67</v>
      </c>
      <c r="G58" s="17" t="n"/>
      <c r="H58" s="16" t="n">
        <v>-893.67</v>
      </c>
      <c r="I58" s="16" t="n">
        <v>0</v>
      </c>
    </row>
    <row r="59">
      <c r="A59" t="inlineStr">
        <is>
          <t>MTR-IOS-0059</t>
        </is>
      </c>
      <c r="B59" t="inlineStr">
        <is>
          <t>House Party</t>
        </is>
      </c>
      <c r="C59" t="inlineStr">
        <is>
          <t>SHARES</t>
        </is>
      </c>
      <c r="D59" t="inlineStr">
        <is>
          <t>IOS Owner</t>
        </is>
      </c>
      <c r="E59" s="16" t="n">
        <v>0</v>
      </c>
      <c r="F59" s="16" t="n">
        <v>322.64</v>
      </c>
      <c r="G59" s="17" t="n"/>
      <c r="H59" s="16" t="n">
        <v>-322.64</v>
      </c>
      <c r="I59" s="16" t="n">
        <v>0</v>
      </c>
    </row>
    <row r="60">
      <c r="A60" t="inlineStr">
        <is>
          <t>MTR-IOS-0059</t>
        </is>
      </c>
      <c r="B60" t="inlineStr">
        <is>
          <t>House Party</t>
        </is>
      </c>
      <c r="C60" t="inlineStr">
        <is>
          <t>SHARES</t>
        </is>
      </c>
      <c r="D60" t="inlineStr">
        <is>
          <t>IOS Aarav</t>
        </is>
      </c>
      <c r="E60" s="16" t="n">
        <v>645.28</v>
      </c>
      <c r="F60" s="16" t="n">
        <v>215.09</v>
      </c>
      <c r="G60" s="17" t="n"/>
      <c r="H60" s="16" t="n">
        <v>430.19</v>
      </c>
      <c r="I60" s="16" t="n">
        <v>0</v>
      </c>
    </row>
    <row r="61">
      <c r="A61" t="inlineStr">
        <is>
          <t>MTR-IOS-0059</t>
        </is>
      </c>
      <c r="B61" t="inlineStr">
        <is>
          <t>House Party</t>
        </is>
      </c>
      <c r="C61" t="inlineStr">
        <is>
          <t>SHARES</t>
        </is>
      </c>
      <c r="D61" t="inlineStr">
        <is>
          <t>IOS Meera</t>
        </is>
      </c>
      <c r="E61" s="16" t="n">
        <v>0</v>
      </c>
      <c r="F61" s="16" t="n">
        <v>107.55</v>
      </c>
      <c r="G61" s="17" t="n"/>
      <c r="H61" s="16" t="n">
        <v>-107.55</v>
      </c>
      <c r="I61" s="16" t="n">
        <v>0</v>
      </c>
    </row>
    <row r="62">
      <c r="A62" t="inlineStr">
        <is>
          <t>MTR-IOS-0062</t>
        </is>
      </c>
      <c r="B62" t="inlineStr">
        <is>
          <t>House Party</t>
        </is>
      </c>
      <c r="C62" t="inlineStr">
        <is>
          <t>EQUAL</t>
        </is>
      </c>
      <c r="D62" t="inlineStr">
        <is>
          <t>IOS Owner</t>
        </is>
      </c>
      <c r="E62" s="16" t="n">
        <v>0</v>
      </c>
      <c r="F62" s="16" t="n">
        <v>5419.06</v>
      </c>
      <c r="G62" s="17" t="n"/>
      <c r="H62" s="16" t="n">
        <v>-5419.06</v>
      </c>
      <c r="I62" s="16" t="n">
        <v>0</v>
      </c>
    </row>
    <row r="63">
      <c r="A63" t="inlineStr">
        <is>
          <t>MTR-IOS-0062</t>
        </is>
      </c>
      <c r="B63" t="inlineStr">
        <is>
          <t>House Party</t>
        </is>
      </c>
      <c r="C63" t="inlineStr">
        <is>
          <t>EQUAL</t>
        </is>
      </c>
      <c r="D63" t="inlineStr">
        <is>
          <t>IOS Aarav</t>
        </is>
      </c>
      <c r="E63" s="16" t="n">
        <v>0</v>
      </c>
      <c r="F63" s="16" t="n">
        <v>5419.06</v>
      </c>
      <c r="G63" s="17" t="n"/>
      <c r="H63" s="16" t="n">
        <v>-5419.06</v>
      </c>
      <c r="I63" s="16" t="n">
        <v>0</v>
      </c>
    </row>
    <row r="64">
      <c r="A64" t="inlineStr">
        <is>
          <t>MTR-IOS-0062</t>
        </is>
      </c>
      <c r="B64" t="inlineStr">
        <is>
          <t>House Party</t>
        </is>
      </c>
      <c r="C64" t="inlineStr">
        <is>
          <t>EQUAL</t>
        </is>
      </c>
      <c r="D64" t="inlineStr">
        <is>
          <t>IOS Meera</t>
        </is>
      </c>
      <c r="E64" s="16" t="n">
        <v>16257.19</v>
      </c>
      <c r="F64" s="16" t="n">
        <v>5419.07</v>
      </c>
      <c r="G64" s="17" t="n"/>
      <c r="H64" s="16" t="n">
        <v>10838.12</v>
      </c>
      <c r="I64" s="16" t="n">
        <v>0</v>
      </c>
    </row>
    <row r="65">
      <c r="A65" t="inlineStr">
        <is>
          <t>MTR-IOS-0065</t>
        </is>
      </c>
      <c r="B65" t="inlineStr">
        <is>
          <t>House Party</t>
        </is>
      </c>
      <c r="C65" t="inlineStr">
        <is>
          <t>PERCENTAGE</t>
        </is>
      </c>
      <c r="D65" t="inlineStr">
        <is>
          <t>IOS Owner</t>
        </is>
      </c>
      <c r="E65" s="16" t="n">
        <v>6500.81</v>
      </c>
      <c r="F65" s="16" t="n">
        <v>3250.41</v>
      </c>
      <c r="G65" s="17" t="n">
        <v>50</v>
      </c>
      <c r="H65" s="16" t="n">
        <v>3250.4</v>
      </c>
      <c r="I65" s="16" t="n">
        <v>0</v>
      </c>
    </row>
    <row r="66">
      <c r="A66" t="inlineStr">
        <is>
          <t>MTR-IOS-0065</t>
        </is>
      </c>
      <c r="B66" t="inlineStr">
        <is>
          <t>House Party</t>
        </is>
      </c>
      <c r="C66" t="inlineStr">
        <is>
          <t>PERCENTAGE</t>
        </is>
      </c>
      <c r="D66" t="inlineStr">
        <is>
          <t>IOS Aarav</t>
        </is>
      </c>
      <c r="E66" s="16" t="n">
        <v>0</v>
      </c>
      <c r="F66" s="16" t="n">
        <v>1950.24</v>
      </c>
      <c r="G66" s="17" t="n">
        <v>30</v>
      </c>
      <c r="H66" s="16" t="n">
        <v>-1950.24</v>
      </c>
      <c r="I66" s="16" t="n">
        <v>0</v>
      </c>
    </row>
    <row r="67">
      <c r="A67" t="inlineStr">
        <is>
          <t>MTR-IOS-0065</t>
        </is>
      </c>
      <c r="B67" t="inlineStr">
        <is>
          <t>House Party</t>
        </is>
      </c>
      <c r="C67" t="inlineStr">
        <is>
          <t>PERCENTAGE</t>
        </is>
      </c>
      <c r="D67" t="inlineStr">
        <is>
          <t>IOS Meera</t>
        </is>
      </c>
      <c r="E67" s="16" t="n">
        <v>0</v>
      </c>
      <c r="F67" s="16" t="n">
        <v>1300.16</v>
      </c>
      <c r="G67" s="17" t="n">
        <v>20</v>
      </c>
      <c r="H67" s="16" t="n">
        <v>-1300.16</v>
      </c>
      <c r="I67" s="16" t="n">
        <v>0</v>
      </c>
    </row>
    <row r="68">
      <c r="A68" t="inlineStr">
        <is>
          <t>MTR-IOS-0068</t>
        </is>
      </c>
      <c r="B68" t="inlineStr">
        <is>
          <t>House Party</t>
        </is>
      </c>
      <c r="C68" t="inlineStr">
        <is>
          <t>EXACT</t>
        </is>
      </c>
      <c r="D68" t="inlineStr">
        <is>
          <t>IOS Owner</t>
        </is>
      </c>
      <c r="E68" s="16" t="n">
        <v>0</v>
      </c>
      <c r="F68" s="16" t="n">
        <v>4194.41</v>
      </c>
      <c r="G68" s="17" t="n"/>
      <c r="H68" s="16" t="n">
        <v>-4194.41</v>
      </c>
      <c r="I68" s="16" t="n">
        <v>0</v>
      </c>
    </row>
    <row r="69">
      <c r="A69" t="inlineStr">
        <is>
          <t>MTR-IOS-0068</t>
        </is>
      </c>
      <c r="B69" t="inlineStr">
        <is>
          <t>House Party</t>
        </is>
      </c>
      <c r="C69" t="inlineStr">
        <is>
          <t>EXACT</t>
        </is>
      </c>
      <c r="D69" t="inlineStr">
        <is>
          <t>IOS Aarav</t>
        </is>
      </c>
      <c r="E69" s="16" t="n">
        <v>12595.83</v>
      </c>
      <c r="F69" s="16" t="n">
        <v>4194.41</v>
      </c>
      <c r="G69" s="17" t="n"/>
      <c r="H69" s="16" t="n">
        <v>8401.42</v>
      </c>
      <c r="I69" s="16" t="n">
        <v>0</v>
      </c>
    </row>
    <row r="70">
      <c r="A70" t="inlineStr">
        <is>
          <t>MTR-IOS-0068</t>
        </is>
      </c>
      <c r="B70" t="inlineStr">
        <is>
          <t>House Party</t>
        </is>
      </c>
      <c r="C70" t="inlineStr">
        <is>
          <t>EXACT</t>
        </is>
      </c>
      <c r="D70" t="inlineStr">
        <is>
          <t>IOS Meera</t>
        </is>
      </c>
      <c r="E70" s="16" t="n">
        <v>0</v>
      </c>
      <c r="F70" s="16" t="n">
        <v>4207.01</v>
      </c>
      <c r="G70" s="17" t="n"/>
      <c r="H70" s="16" t="n">
        <v>-4207.01</v>
      </c>
      <c r="I70" s="16" t="n">
        <v>0</v>
      </c>
    </row>
    <row r="71">
      <c r="A71" t="inlineStr">
        <is>
          <t>MTR-IOS-0071</t>
        </is>
      </c>
      <c r="B71" t="inlineStr">
        <is>
          <t>House Party</t>
        </is>
      </c>
      <c r="C71" t="inlineStr">
        <is>
          <t>SHARES</t>
        </is>
      </c>
      <c r="D71" t="inlineStr">
        <is>
          <t>IOS Owner</t>
        </is>
      </c>
      <c r="E71" s="16" t="n">
        <v>0</v>
      </c>
      <c r="F71" s="16" t="n">
        <v>11466.05</v>
      </c>
      <c r="G71" s="17" t="n"/>
      <c r="H71" s="16" t="n">
        <v>-11466.05</v>
      </c>
      <c r="I71" s="16" t="n">
        <v>0</v>
      </c>
    </row>
    <row r="72">
      <c r="A72" t="inlineStr">
        <is>
          <t>MTR-IOS-0071</t>
        </is>
      </c>
      <c r="B72" t="inlineStr">
        <is>
          <t>House Party</t>
        </is>
      </c>
      <c r="C72" t="inlineStr">
        <is>
          <t>SHARES</t>
        </is>
      </c>
      <c r="D72" t="inlineStr">
        <is>
          <t>IOS Aarav</t>
        </is>
      </c>
      <c r="E72" s="16" t="n">
        <v>0</v>
      </c>
      <c r="F72" s="16" t="n">
        <v>7644.03</v>
      </c>
      <c r="G72" s="17" t="n"/>
      <c r="H72" s="16" t="n">
        <v>-7644.03</v>
      </c>
      <c r="I72" s="16" t="n">
        <v>0</v>
      </c>
    </row>
    <row r="73">
      <c r="A73" t="inlineStr">
        <is>
          <t>MTR-IOS-0071</t>
        </is>
      </c>
      <c r="B73" t="inlineStr">
        <is>
          <t>House Party</t>
        </is>
      </c>
      <c r="C73" t="inlineStr">
        <is>
          <t>SHARES</t>
        </is>
      </c>
      <c r="D73" t="inlineStr">
        <is>
          <t>IOS Meera</t>
        </is>
      </c>
      <c r="E73" s="16" t="n">
        <v>22932.1</v>
      </c>
      <c r="F73" s="16" t="n">
        <v>3822.02</v>
      </c>
      <c r="G73" s="17" t="n"/>
      <c r="H73" s="16" t="n">
        <v>19110.08</v>
      </c>
      <c r="I73" s="16" t="n">
        <v>0</v>
      </c>
    </row>
    <row r="74">
      <c r="A74" t="inlineStr">
        <is>
          <t>MTR-IOS-0074</t>
        </is>
      </c>
      <c r="B74" t="inlineStr">
        <is>
          <t>Gift Pool</t>
        </is>
      </c>
      <c r="C74" t="inlineStr">
        <is>
          <t>EQUAL</t>
        </is>
      </c>
      <c r="D74" t="inlineStr">
        <is>
          <t>IOS Owner</t>
        </is>
      </c>
      <c r="E74" s="16" t="n">
        <v>99.98999999999999</v>
      </c>
      <c r="F74" s="16" t="n">
        <v>33.33</v>
      </c>
      <c r="G74" s="17" t="n"/>
      <c r="H74" s="16" t="n">
        <v>66.66</v>
      </c>
      <c r="I74" s="16" t="n">
        <v>0</v>
      </c>
    </row>
    <row r="75">
      <c r="A75" t="inlineStr">
        <is>
          <t>MTR-IOS-0074</t>
        </is>
      </c>
      <c r="B75" t="inlineStr">
        <is>
          <t>Gift Pool</t>
        </is>
      </c>
      <c r="C75" t="inlineStr">
        <is>
          <t>EQUAL</t>
        </is>
      </c>
      <c r="D75" t="inlineStr">
        <is>
          <t>IOS Aarav</t>
        </is>
      </c>
      <c r="E75" s="16" t="n">
        <v>0</v>
      </c>
      <c r="F75" s="16" t="n">
        <v>33.33</v>
      </c>
      <c r="G75" s="17" t="n"/>
      <c r="H75" s="16" t="n">
        <v>-33.33</v>
      </c>
      <c r="I75" s="16" t="n">
        <v>0</v>
      </c>
    </row>
    <row r="76">
      <c r="A76" t="inlineStr">
        <is>
          <t>MTR-IOS-0074</t>
        </is>
      </c>
      <c r="B76" t="inlineStr">
        <is>
          <t>Gift Pool</t>
        </is>
      </c>
      <c r="C76" t="inlineStr">
        <is>
          <t>EQUAL</t>
        </is>
      </c>
      <c r="D76" t="inlineStr">
        <is>
          <t>IOS Meera</t>
        </is>
      </c>
      <c r="E76" s="16" t="n">
        <v>0</v>
      </c>
      <c r="F76" s="16" t="n">
        <v>33.33</v>
      </c>
      <c r="G76" s="17" t="n"/>
      <c r="H76" s="16" t="n">
        <v>-33.33</v>
      </c>
      <c r="I76" s="16" t="n">
        <v>0</v>
      </c>
    </row>
    <row r="77">
      <c r="A77" t="inlineStr">
        <is>
          <t>MTR-IOS-0077</t>
        </is>
      </c>
      <c r="B77" t="inlineStr">
        <is>
          <t>Gift Pool</t>
        </is>
      </c>
      <c r="C77" t="inlineStr">
        <is>
          <t>PERCENTAGE</t>
        </is>
      </c>
      <c r="D77" t="inlineStr">
        <is>
          <t>IOS Owner</t>
        </is>
      </c>
      <c r="E77" s="16" t="n">
        <v>0</v>
      </c>
      <c r="F77" s="16" t="n">
        <v>5326.48</v>
      </c>
      <c r="G77" s="17" t="n">
        <v>50</v>
      </c>
      <c r="H77" s="16" t="n">
        <v>-5326.48</v>
      </c>
      <c r="I77" s="16" t="n">
        <v>0</v>
      </c>
    </row>
    <row r="78">
      <c r="A78" t="inlineStr">
        <is>
          <t>MTR-IOS-0077</t>
        </is>
      </c>
      <c r="B78" t="inlineStr">
        <is>
          <t>Gift Pool</t>
        </is>
      </c>
      <c r="C78" t="inlineStr">
        <is>
          <t>PERCENTAGE</t>
        </is>
      </c>
      <c r="D78" t="inlineStr">
        <is>
          <t>IOS Aarav</t>
        </is>
      </c>
      <c r="E78" s="16" t="n">
        <v>10652.95</v>
      </c>
      <c r="F78" s="16" t="n">
        <v>3195.89</v>
      </c>
      <c r="G78" s="17" t="n">
        <v>30</v>
      </c>
      <c r="H78" s="16" t="n">
        <v>7457.06</v>
      </c>
      <c r="I78" s="16" t="n">
        <v>0</v>
      </c>
    </row>
    <row r="79">
      <c r="A79" t="inlineStr">
        <is>
          <t>MTR-IOS-0077</t>
        </is>
      </c>
      <c r="B79" t="inlineStr">
        <is>
          <t>Gift Pool</t>
        </is>
      </c>
      <c r="C79" t="inlineStr">
        <is>
          <t>PERCENTAGE</t>
        </is>
      </c>
      <c r="D79" t="inlineStr">
        <is>
          <t>IOS Meera</t>
        </is>
      </c>
      <c r="E79" s="16" t="n">
        <v>0</v>
      </c>
      <c r="F79" s="16" t="n">
        <v>2130.58</v>
      </c>
      <c r="G79" s="17" t="n">
        <v>20</v>
      </c>
      <c r="H79" s="16" t="n">
        <v>-2130.58</v>
      </c>
      <c r="I79" s="16" t="n">
        <v>0</v>
      </c>
    </row>
    <row r="80">
      <c r="A80" t="inlineStr">
        <is>
          <t>MTR-IOS-0080</t>
        </is>
      </c>
      <c r="B80" t="inlineStr">
        <is>
          <t>Gift Pool</t>
        </is>
      </c>
      <c r="C80" t="inlineStr">
        <is>
          <t>EXACT</t>
        </is>
      </c>
      <c r="D80" t="inlineStr">
        <is>
          <t>IOS Owner</t>
        </is>
      </c>
      <c r="E80" s="16" t="n">
        <v>0</v>
      </c>
      <c r="F80" s="16" t="n">
        <v>1795.39</v>
      </c>
      <c r="G80" s="17" t="n"/>
      <c r="H80" s="16" t="n">
        <v>-1795.39</v>
      </c>
      <c r="I80" s="16" t="n">
        <v>0</v>
      </c>
    </row>
    <row r="81">
      <c r="A81" t="inlineStr">
        <is>
          <t>MTR-IOS-0080</t>
        </is>
      </c>
      <c r="B81" t="inlineStr">
        <is>
          <t>Gift Pool</t>
        </is>
      </c>
      <c r="C81" t="inlineStr">
        <is>
          <t>EXACT</t>
        </is>
      </c>
      <c r="D81" t="inlineStr">
        <is>
          <t>IOS Aarav</t>
        </is>
      </c>
      <c r="E81" s="16" t="n">
        <v>0</v>
      </c>
      <c r="F81" s="16" t="n">
        <v>1795.39</v>
      </c>
      <c r="G81" s="17" t="n"/>
      <c r="H81" s="16" t="n">
        <v>-1795.39</v>
      </c>
      <c r="I81" s="16" t="n">
        <v>0</v>
      </c>
    </row>
    <row r="82">
      <c r="A82" t="inlineStr">
        <is>
          <t>MTR-IOS-0080</t>
        </is>
      </c>
      <c r="B82" t="inlineStr">
        <is>
          <t>Gift Pool</t>
        </is>
      </c>
      <c r="C82" t="inlineStr">
        <is>
          <t>EXACT</t>
        </is>
      </c>
      <c r="D82" t="inlineStr">
        <is>
          <t>IOS Meera</t>
        </is>
      </c>
      <c r="E82" s="16" t="n">
        <v>5391.57</v>
      </c>
      <c r="F82" s="16" t="n">
        <v>1800.79</v>
      </c>
      <c r="G82" s="17" t="n"/>
      <c r="H82" s="16" t="n">
        <v>3590.78</v>
      </c>
      <c r="I82" s="16" t="n">
        <v>0</v>
      </c>
    </row>
    <row r="83">
      <c r="A83" t="inlineStr">
        <is>
          <t>MTR-IOS-0083</t>
        </is>
      </c>
      <c r="B83" t="inlineStr">
        <is>
          <t>Gift Pool</t>
        </is>
      </c>
      <c r="C83" t="inlineStr">
        <is>
          <t>SHARES</t>
        </is>
      </c>
      <c r="D83" t="inlineStr">
        <is>
          <t>IOS Owner</t>
        </is>
      </c>
      <c r="E83" s="16" t="n">
        <v>22439.56</v>
      </c>
      <c r="F83" s="16" t="n">
        <v>11219.78</v>
      </c>
      <c r="G83" s="17" t="n"/>
      <c r="H83" s="16" t="n">
        <v>11219.78</v>
      </c>
      <c r="I83" s="16" t="n">
        <v>0</v>
      </c>
    </row>
    <row r="84">
      <c r="A84" t="inlineStr">
        <is>
          <t>MTR-IOS-0083</t>
        </is>
      </c>
      <c r="B84" t="inlineStr">
        <is>
          <t>Gift Pool</t>
        </is>
      </c>
      <c r="C84" t="inlineStr">
        <is>
          <t>SHARES</t>
        </is>
      </c>
      <c r="D84" t="inlineStr">
        <is>
          <t>IOS Aarav</t>
        </is>
      </c>
      <c r="E84" s="16" t="n">
        <v>0</v>
      </c>
      <c r="F84" s="16" t="n">
        <v>7479.85</v>
      </c>
      <c r="G84" s="17" t="n"/>
      <c r="H84" s="16" t="n">
        <v>-7479.85</v>
      </c>
      <c r="I84" s="16" t="n">
        <v>0</v>
      </c>
    </row>
    <row r="85">
      <c r="A85" t="inlineStr">
        <is>
          <t>MTR-IOS-0083</t>
        </is>
      </c>
      <c r="B85" t="inlineStr">
        <is>
          <t>Gift Pool</t>
        </is>
      </c>
      <c r="C85" t="inlineStr">
        <is>
          <t>SHARES</t>
        </is>
      </c>
      <c r="D85" t="inlineStr">
        <is>
          <t>IOS Meera</t>
        </is>
      </c>
      <c r="E85" s="16" t="n">
        <v>0</v>
      </c>
      <c r="F85" s="16" t="n">
        <v>3739.93</v>
      </c>
      <c r="G85" s="17" t="n"/>
      <c r="H85" s="16" t="n">
        <v>-3739.93</v>
      </c>
      <c r="I85" s="16" t="n">
        <v>0</v>
      </c>
    </row>
    <row r="86">
      <c r="A86" t="inlineStr">
        <is>
          <t>MTR-IOS-0086</t>
        </is>
      </c>
      <c r="B86" t="inlineStr">
        <is>
          <t>Purchase</t>
        </is>
      </c>
      <c r="C86" t="inlineStr">
        <is>
          <t>EQUAL</t>
        </is>
      </c>
      <c r="D86" t="inlineStr">
        <is>
          <t>IOS Owner</t>
        </is>
      </c>
      <c r="E86" s="16" t="n">
        <v>0</v>
      </c>
      <c r="F86" s="16" t="n">
        <v>662.55</v>
      </c>
      <c r="G86" s="17" t="n"/>
      <c r="H86" s="16" t="n">
        <v>-662.55</v>
      </c>
      <c r="I86" s="16" t="n">
        <v>0</v>
      </c>
    </row>
    <row r="87">
      <c r="A87" t="inlineStr">
        <is>
          <t>MTR-IOS-0086</t>
        </is>
      </c>
      <c r="B87" t="inlineStr">
        <is>
          <t>Purchase</t>
        </is>
      </c>
      <c r="C87" t="inlineStr">
        <is>
          <t>EQUAL</t>
        </is>
      </c>
      <c r="D87" t="inlineStr">
        <is>
          <t>IOS Aarav</t>
        </is>
      </c>
      <c r="E87" s="16" t="n">
        <v>1987.64</v>
      </c>
      <c r="F87" s="16" t="n">
        <v>662.55</v>
      </c>
      <c r="G87" s="17" t="n"/>
      <c r="H87" s="16" t="n">
        <v>1325.09</v>
      </c>
      <c r="I87" s="16" t="n">
        <v>0</v>
      </c>
    </row>
    <row r="88">
      <c r="A88" t="inlineStr">
        <is>
          <t>MTR-IOS-0086</t>
        </is>
      </c>
      <c r="B88" t="inlineStr">
        <is>
          <t>Purchase</t>
        </is>
      </c>
      <c r="C88" t="inlineStr">
        <is>
          <t>EQUAL</t>
        </is>
      </c>
      <c r="D88" t="inlineStr">
        <is>
          <t>IOS Meera</t>
        </is>
      </c>
      <c r="E88" s="16" t="n">
        <v>0</v>
      </c>
      <c r="F88" s="16" t="n">
        <v>662.54</v>
      </c>
      <c r="G88" s="17" t="n"/>
      <c r="H88" s="16" t="n">
        <v>-662.54</v>
      </c>
      <c r="I88" s="16" t="n">
        <v>0</v>
      </c>
    </row>
    <row r="89">
      <c r="A89" t="inlineStr">
        <is>
          <t>MTR-IOS-0089</t>
        </is>
      </c>
      <c r="B89" t="inlineStr">
        <is>
          <t>Purchase</t>
        </is>
      </c>
      <c r="C89" t="inlineStr">
        <is>
          <t>PERCENTAGE</t>
        </is>
      </c>
      <c r="D89" t="inlineStr">
        <is>
          <t>IOS Owner</t>
        </is>
      </c>
      <c r="E89" s="16" t="n">
        <v>0</v>
      </c>
      <c r="F89" s="16" t="n">
        <v>4198.65</v>
      </c>
      <c r="G89" s="17" t="n">
        <v>50</v>
      </c>
      <c r="H89" s="16" t="n">
        <v>-4198.65</v>
      </c>
      <c r="I89" s="16" t="n">
        <v>0</v>
      </c>
    </row>
    <row r="90">
      <c r="A90" t="inlineStr">
        <is>
          <t>MTR-IOS-0089</t>
        </is>
      </c>
      <c r="B90" t="inlineStr">
        <is>
          <t>Purchase</t>
        </is>
      </c>
      <c r="C90" t="inlineStr">
        <is>
          <t>PERCENTAGE</t>
        </is>
      </c>
      <c r="D90" t="inlineStr">
        <is>
          <t>IOS Aarav</t>
        </is>
      </c>
      <c r="E90" s="16" t="n">
        <v>0</v>
      </c>
      <c r="F90" s="16" t="n">
        <v>2519.19</v>
      </c>
      <c r="G90" s="17" t="n">
        <v>30</v>
      </c>
      <c r="H90" s="16" t="n">
        <v>-2519.19</v>
      </c>
      <c r="I90" s="16" t="n">
        <v>0</v>
      </c>
    </row>
    <row r="91">
      <c r="A91" t="inlineStr">
        <is>
          <t>MTR-IOS-0089</t>
        </is>
      </c>
      <c r="B91" t="inlineStr">
        <is>
          <t>Purchase</t>
        </is>
      </c>
      <c r="C91" t="inlineStr">
        <is>
          <t>PERCENTAGE</t>
        </is>
      </c>
      <c r="D91" t="inlineStr">
        <is>
          <t>IOS Meera</t>
        </is>
      </c>
      <c r="E91" s="16" t="n">
        <v>8397.299999999999</v>
      </c>
      <c r="F91" s="16" t="n">
        <v>1679.46</v>
      </c>
      <c r="G91" s="17" t="n">
        <v>20</v>
      </c>
      <c r="H91" s="16" t="n">
        <v>6717.84</v>
      </c>
      <c r="I91" s="16" t="n">
        <v>0</v>
      </c>
    </row>
    <row r="92">
      <c r="A92" t="inlineStr">
        <is>
          <t>MTR-IOS-0092</t>
        </is>
      </c>
      <c r="B92" t="inlineStr">
        <is>
          <t>Purchase</t>
        </is>
      </c>
      <c r="C92" t="inlineStr">
        <is>
          <t>EXACT</t>
        </is>
      </c>
      <c r="D92" t="inlineStr">
        <is>
          <t>IOS Owner</t>
        </is>
      </c>
      <c r="E92" s="16" t="n">
        <v>22954.16</v>
      </c>
      <c r="F92" s="16" t="n">
        <v>7643.74</v>
      </c>
      <c r="G92" s="17" t="n"/>
      <c r="H92" s="16" t="n">
        <v>15310.42</v>
      </c>
      <c r="I92" s="16" t="n">
        <v>0</v>
      </c>
    </row>
    <row r="93">
      <c r="A93" t="inlineStr">
        <is>
          <t>MTR-IOS-0092</t>
        </is>
      </c>
      <c r="B93" t="inlineStr">
        <is>
          <t>Purchase</t>
        </is>
      </c>
      <c r="C93" t="inlineStr">
        <is>
          <t>EXACT</t>
        </is>
      </c>
      <c r="D93" t="inlineStr">
        <is>
          <t>IOS Aarav</t>
        </is>
      </c>
      <c r="E93" s="16" t="n">
        <v>0</v>
      </c>
      <c r="F93" s="16" t="n">
        <v>7643.74</v>
      </c>
      <c r="G93" s="17" t="n"/>
      <c r="H93" s="16" t="n">
        <v>-7643.74</v>
      </c>
      <c r="I93" s="16" t="n">
        <v>0</v>
      </c>
    </row>
    <row r="94">
      <c r="A94" t="inlineStr">
        <is>
          <t>MTR-IOS-0092</t>
        </is>
      </c>
      <c r="B94" t="inlineStr">
        <is>
          <t>Purchase</t>
        </is>
      </c>
      <c r="C94" t="inlineStr">
        <is>
          <t>EXACT</t>
        </is>
      </c>
      <c r="D94" t="inlineStr">
        <is>
          <t>IOS Meera</t>
        </is>
      </c>
      <c r="E94" s="16" t="n">
        <v>0</v>
      </c>
      <c r="F94" s="16" t="n">
        <v>7666.68</v>
      </c>
      <c r="G94" s="17" t="n"/>
      <c r="H94" s="16" t="n">
        <v>-7666.68</v>
      </c>
      <c r="I94" s="16" t="n">
        <v>0</v>
      </c>
    </row>
    <row r="95">
      <c r="A95" t="inlineStr">
        <is>
          <t>MTR-IOS-0095</t>
        </is>
      </c>
      <c r="B95" t="inlineStr">
        <is>
          <t>Purchase</t>
        </is>
      </c>
      <c r="C95" t="inlineStr">
        <is>
          <t>SHARES</t>
        </is>
      </c>
      <c r="D95" t="inlineStr">
        <is>
          <t>IOS Owner</t>
        </is>
      </c>
      <c r="E95" s="16" t="n">
        <v>0</v>
      </c>
      <c r="F95" s="16" t="n">
        <v>12816.59</v>
      </c>
      <c r="G95" s="17" t="n"/>
      <c r="H95" s="16" t="n">
        <v>-12816.59</v>
      </c>
      <c r="I95" s="16" t="n">
        <v>0</v>
      </c>
    </row>
    <row r="96">
      <c r="A96" t="inlineStr">
        <is>
          <t>MTR-IOS-0095</t>
        </is>
      </c>
      <c r="B96" t="inlineStr">
        <is>
          <t>Purchase</t>
        </is>
      </c>
      <c r="C96" t="inlineStr">
        <is>
          <t>SHARES</t>
        </is>
      </c>
      <c r="D96" t="inlineStr">
        <is>
          <t>IOS Aarav</t>
        </is>
      </c>
      <c r="E96" s="16" t="n">
        <v>25633.17</v>
      </c>
      <c r="F96" s="16" t="n">
        <v>8544.389999999999</v>
      </c>
      <c r="G96" s="17" t="n"/>
      <c r="H96" s="16" t="n">
        <v>17088.78</v>
      </c>
      <c r="I96" s="16" t="n">
        <v>0</v>
      </c>
    </row>
    <row r="97">
      <c r="A97" t="inlineStr">
        <is>
          <t>MTR-IOS-0095</t>
        </is>
      </c>
      <c r="B97" t="inlineStr">
        <is>
          <t>Purchase</t>
        </is>
      </c>
      <c r="C97" t="inlineStr">
        <is>
          <t>SHARES</t>
        </is>
      </c>
      <c r="D97" t="inlineStr">
        <is>
          <t>IOS Meera</t>
        </is>
      </c>
      <c r="E97" s="16" t="n">
        <v>0</v>
      </c>
      <c r="F97" s="16" t="n">
        <v>4272.19</v>
      </c>
      <c r="G97" s="17" t="n"/>
      <c r="H97" s="16" t="n">
        <v>-4272.19</v>
      </c>
      <c r="I97" s="16" t="n">
        <v>0</v>
      </c>
    </row>
    <row r="98">
      <c r="A98" t="inlineStr">
        <is>
          <t>MTR-IOS-0098</t>
        </is>
      </c>
      <c r="B98" t="inlineStr">
        <is>
          <t>Assets</t>
        </is>
      </c>
      <c r="C98" t="inlineStr">
        <is>
          <t>EQUAL</t>
        </is>
      </c>
      <c r="D98" t="inlineStr">
        <is>
          <t>IOS Owner</t>
        </is>
      </c>
      <c r="E98" s="16" t="n">
        <v>0</v>
      </c>
      <c r="F98" s="16" t="n">
        <v>6972.47</v>
      </c>
      <c r="G98" s="17" t="n"/>
      <c r="H98" s="16" t="n">
        <v>-6972.47</v>
      </c>
      <c r="I98" s="16" t="n">
        <v>0</v>
      </c>
    </row>
    <row r="99">
      <c r="A99" t="inlineStr">
        <is>
          <t>MTR-IOS-0098</t>
        </is>
      </c>
      <c r="B99" t="inlineStr">
        <is>
          <t>Assets</t>
        </is>
      </c>
      <c r="C99" t="inlineStr">
        <is>
          <t>EQUAL</t>
        </is>
      </c>
      <c r="D99" t="inlineStr">
        <is>
          <t>IOS Aarav</t>
        </is>
      </c>
      <c r="E99" s="16" t="n">
        <v>0</v>
      </c>
      <c r="F99" s="16" t="n">
        <v>6972.47</v>
      </c>
      <c r="G99" s="17" t="n"/>
      <c r="H99" s="16" t="n">
        <v>-6972.47</v>
      </c>
      <c r="I99" s="16" t="n">
        <v>0</v>
      </c>
    </row>
    <row r="100">
      <c r="A100" t="inlineStr">
        <is>
          <t>MTR-IOS-0098</t>
        </is>
      </c>
      <c r="B100" t="inlineStr">
        <is>
          <t>Assets</t>
        </is>
      </c>
      <c r="C100" t="inlineStr">
        <is>
          <t>EQUAL</t>
        </is>
      </c>
      <c r="D100" t="inlineStr">
        <is>
          <t>IOS Meera</t>
        </is>
      </c>
      <c r="E100" s="16" t="n">
        <v>20917.42</v>
      </c>
      <c r="F100" s="16" t="n">
        <v>6972.48</v>
      </c>
      <c r="G100" s="17" t="n"/>
      <c r="H100" s="16" t="n">
        <v>13944.94</v>
      </c>
      <c r="I100" s="16" t="n">
        <v>0</v>
      </c>
    </row>
    <row r="101">
      <c r="A101" t="inlineStr">
        <is>
          <t>MTR-IOS-0101</t>
        </is>
      </c>
      <c r="B101" t="inlineStr">
        <is>
          <t>Assets</t>
        </is>
      </c>
      <c r="C101" t="inlineStr">
        <is>
          <t>PERCENTAGE</t>
        </is>
      </c>
      <c r="D101" t="inlineStr">
        <is>
          <t>IOS Owner</t>
        </is>
      </c>
      <c r="E101" s="16" t="n">
        <v>21681.29</v>
      </c>
      <c r="F101" s="16" t="n">
        <v>10840.65</v>
      </c>
      <c r="G101" s="17" t="n">
        <v>50</v>
      </c>
      <c r="H101" s="16" t="n">
        <v>10840.64</v>
      </c>
      <c r="I101" s="16" t="n">
        <v>0</v>
      </c>
    </row>
    <row r="102">
      <c r="A102" t="inlineStr">
        <is>
          <t>MTR-IOS-0101</t>
        </is>
      </c>
      <c r="B102" t="inlineStr">
        <is>
          <t>Assets</t>
        </is>
      </c>
      <c r="C102" t="inlineStr">
        <is>
          <t>PERCENTAGE</t>
        </is>
      </c>
      <c r="D102" t="inlineStr">
        <is>
          <t>IOS Aarav</t>
        </is>
      </c>
      <c r="E102" s="16" t="n">
        <v>0</v>
      </c>
      <c r="F102" s="16" t="n">
        <v>6504.39</v>
      </c>
      <c r="G102" s="17" t="n">
        <v>30</v>
      </c>
      <c r="H102" s="16" t="n">
        <v>-6504.39</v>
      </c>
      <c r="I102" s="16" t="n">
        <v>0</v>
      </c>
    </row>
    <row r="103">
      <c r="A103" t="inlineStr">
        <is>
          <t>MTR-IOS-0101</t>
        </is>
      </c>
      <c r="B103" t="inlineStr">
        <is>
          <t>Assets</t>
        </is>
      </c>
      <c r="C103" t="inlineStr">
        <is>
          <t>PERCENTAGE</t>
        </is>
      </c>
      <c r="D103" t="inlineStr">
        <is>
          <t>IOS Meera</t>
        </is>
      </c>
      <c r="E103" s="16" t="n">
        <v>0</v>
      </c>
      <c r="F103" s="16" t="n">
        <v>4336.25</v>
      </c>
      <c r="G103" s="17" t="n">
        <v>20</v>
      </c>
      <c r="H103" s="16" t="n">
        <v>-4336.25</v>
      </c>
      <c r="I103" s="16" t="n">
        <v>0</v>
      </c>
    </row>
    <row r="104">
      <c r="A104" t="inlineStr">
        <is>
          <t>MTR-IOS-0104</t>
        </is>
      </c>
      <c r="B104" t="inlineStr">
        <is>
          <t>Assets</t>
        </is>
      </c>
      <c r="C104" t="inlineStr">
        <is>
          <t>EXACT</t>
        </is>
      </c>
      <c r="D104" t="inlineStr">
        <is>
          <t>IOS Owner</t>
        </is>
      </c>
      <c r="E104" s="16" t="n">
        <v>0</v>
      </c>
      <c r="F104" s="16" t="n">
        <v>7945.49</v>
      </c>
      <c r="G104" s="17" t="n"/>
      <c r="H104" s="16" t="n">
        <v>-7945.49</v>
      </c>
      <c r="I104" s="16" t="n">
        <v>0</v>
      </c>
    </row>
    <row r="105">
      <c r="A105" t="inlineStr">
        <is>
          <t>MTR-IOS-0104</t>
        </is>
      </c>
      <c r="B105" t="inlineStr">
        <is>
          <t>Assets</t>
        </is>
      </c>
      <c r="C105" t="inlineStr">
        <is>
          <t>EXACT</t>
        </is>
      </c>
      <c r="D105" t="inlineStr">
        <is>
          <t>IOS Aarav</t>
        </is>
      </c>
      <c r="E105" s="16" t="n">
        <v>23860.34</v>
      </c>
      <c r="F105" s="16" t="n">
        <v>7945.49</v>
      </c>
      <c r="G105" s="17" t="n"/>
      <c r="H105" s="16" t="n">
        <v>15914.85</v>
      </c>
      <c r="I105" s="16" t="n">
        <v>0</v>
      </c>
    </row>
    <row r="106">
      <c r="A106" t="inlineStr">
        <is>
          <t>MTR-IOS-0104</t>
        </is>
      </c>
      <c r="B106" t="inlineStr">
        <is>
          <t>Assets</t>
        </is>
      </c>
      <c r="C106" t="inlineStr">
        <is>
          <t>EXACT</t>
        </is>
      </c>
      <c r="D106" t="inlineStr">
        <is>
          <t>IOS Meera</t>
        </is>
      </c>
      <c r="E106" s="16" t="n">
        <v>0</v>
      </c>
      <c r="F106" s="16" t="n">
        <v>7969.36</v>
      </c>
      <c r="G106" s="17" t="n"/>
      <c r="H106" s="16" t="n">
        <v>-7969.36</v>
      </c>
      <c r="I106" s="16" t="n">
        <v>0</v>
      </c>
    </row>
    <row r="107">
      <c r="A107" t="inlineStr">
        <is>
          <t>MTR-IOS-0107</t>
        </is>
      </c>
      <c r="B107" t="inlineStr">
        <is>
          <t>Assets</t>
        </is>
      </c>
      <c r="C107" t="inlineStr">
        <is>
          <t>SHARES</t>
        </is>
      </c>
      <c r="D107" t="inlineStr">
        <is>
          <t>IOS Owner</t>
        </is>
      </c>
      <c r="E107" s="16" t="n">
        <v>0</v>
      </c>
      <c r="F107" s="16" t="n">
        <v>8432.65</v>
      </c>
      <c r="G107" s="17" t="n"/>
      <c r="H107" s="16" t="n">
        <v>-8432.65</v>
      </c>
      <c r="I107" s="16" t="n">
        <v>0</v>
      </c>
    </row>
    <row r="108">
      <c r="A108" t="inlineStr">
        <is>
          <t>MTR-IOS-0107</t>
        </is>
      </c>
      <c r="B108" t="inlineStr">
        <is>
          <t>Assets</t>
        </is>
      </c>
      <c r="C108" t="inlineStr">
        <is>
          <t>SHARES</t>
        </is>
      </c>
      <c r="D108" t="inlineStr">
        <is>
          <t>IOS Aarav</t>
        </is>
      </c>
      <c r="E108" s="16" t="n">
        <v>0</v>
      </c>
      <c r="F108" s="16" t="n">
        <v>5621.77</v>
      </c>
      <c r="G108" s="17" t="n"/>
      <c r="H108" s="16" t="n">
        <v>-5621.77</v>
      </c>
      <c r="I108" s="16" t="n">
        <v>0</v>
      </c>
    </row>
    <row r="109">
      <c r="A109" t="inlineStr">
        <is>
          <t>MTR-IOS-0107</t>
        </is>
      </c>
      <c r="B109" t="inlineStr">
        <is>
          <t>Assets</t>
        </is>
      </c>
      <c r="C109" t="inlineStr">
        <is>
          <t>SHARES</t>
        </is>
      </c>
      <c r="D109" t="inlineStr">
        <is>
          <t>IOS Meera</t>
        </is>
      </c>
      <c r="E109" s="16" t="n">
        <v>16865.3</v>
      </c>
      <c r="F109" s="16" t="n">
        <v>2810.88</v>
      </c>
      <c r="G109" s="17" t="n"/>
      <c r="H109" s="16" t="n">
        <v>14054.42</v>
      </c>
      <c r="I109" s="16" t="n">
        <v>0</v>
      </c>
    </row>
    <row r="110">
      <c r="A110" t="inlineStr">
        <is>
          <t>MTR-IOS-0110</t>
        </is>
      </c>
      <c r="B110" t="inlineStr">
        <is>
          <t>Assets</t>
        </is>
      </c>
      <c r="C110" t="inlineStr">
        <is>
          <t>EQUAL</t>
        </is>
      </c>
      <c r="D110" t="inlineStr">
        <is>
          <t>IOS Owner</t>
        </is>
      </c>
      <c r="E110" s="16" t="n">
        <v>2670.61</v>
      </c>
      <c r="F110" s="16" t="n">
        <v>890.2</v>
      </c>
      <c r="G110" s="17" t="n"/>
      <c r="H110" s="16" t="n">
        <v>1780.41</v>
      </c>
      <c r="I110" s="16" t="n">
        <v>0</v>
      </c>
    </row>
    <row r="111">
      <c r="A111" t="inlineStr">
        <is>
          <t>MTR-IOS-0110</t>
        </is>
      </c>
      <c r="B111" t="inlineStr">
        <is>
          <t>Assets</t>
        </is>
      </c>
      <c r="C111" t="inlineStr">
        <is>
          <t>EQUAL</t>
        </is>
      </c>
      <c r="D111" t="inlineStr">
        <is>
          <t>IOS Aarav</t>
        </is>
      </c>
      <c r="E111" s="16" t="n">
        <v>0</v>
      </c>
      <c r="F111" s="16" t="n">
        <v>890.2</v>
      </c>
      <c r="G111" s="17" t="n"/>
      <c r="H111" s="16" t="n">
        <v>-890.2</v>
      </c>
      <c r="I111" s="16" t="n">
        <v>0</v>
      </c>
    </row>
    <row r="112">
      <c r="A112" t="inlineStr">
        <is>
          <t>MTR-IOS-0110</t>
        </is>
      </c>
      <c r="B112" t="inlineStr">
        <is>
          <t>Assets</t>
        </is>
      </c>
      <c r="C112" t="inlineStr">
        <is>
          <t>EQUAL</t>
        </is>
      </c>
      <c r="D112" t="inlineStr">
        <is>
          <t>IOS Meera</t>
        </is>
      </c>
      <c r="E112" s="16" t="n">
        <v>0</v>
      </c>
      <c r="F112" s="16" t="n">
        <v>890.21</v>
      </c>
      <c r="G112" s="17" t="n"/>
      <c r="H112" s="16" t="n">
        <v>-890.21</v>
      </c>
      <c r="I112" s="16" t="n">
        <v>0</v>
      </c>
    </row>
    <row r="113">
      <c r="A113" t="inlineStr">
        <is>
          <t>MTR-IOS-0113</t>
        </is>
      </c>
      <c r="B113" t="inlineStr">
        <is>
          <t>Custom Purchase</t>
        </is>
      </c>
      <c r="C113" t="inlineStr">
        <is>
          <t>PERCENTAGE</t>
        </is>
      </c>
      <c r="D113" t="inlineStr">
        <is>
          <t>IOS Owner</t>
        </is>
      </c>
      <c r="E113" s="16" t="n">
        <v>0</v>
      </c>
      <c r="F113" s="16" t="n">
        <v>6006</v>
      </c>
      <c r="G113" s="17" t="n">
        <v>50</v>
      </c>
      <c r="H113" s="16" t="n">
        <v>-6006</v>
      </c>
      <c r="I113" s="16" t="n">
        <v>0</v>
      </c>
    </row>
    <row r="114">
      <c r="A114" t="inlineStr">
        <is>
          <t>MTR-IOS-0113</t>
        </is>
      </c>
      <c r="B114" t="inlineStr">
        <is>
          <t>Custom Purchase</t>
        </is>
      </c>
      <c r="C114" t="inlineStr">
        <is>
          <t>PERCENTAGE</t>
        </is>
      </c>
      <c r="D114" t="inlineStr">
        <is>
          <t>IOS Aarav</t>
        </is>
      </c>
      <c r="E114" s="16" t="n">
        <v>12012</v>
      </c>
      <c r="F114" s="16" t="n">
        <v>3603.6</v>
      </c>
      <c r="G114" s="17" t="n">
        <v>30</v>
      </c>
      <c r="H114" s="16" t="n">
        <v>8408.4</v>
      </c>
      <c r="I114" s="16" t="n">
        <v>0</v>
      </c>
    </row>
    <row r="115">
      <c r="A115" t="inlineStr">
        <is>
          <t>MTR-IOS-0113</t>
        </is>
      </c>
      <c r="B115" t="inlineStr">
        <is>
          <t>Custom Purchase</t>
        </is>
      </c>
      <c r="C115" t="inlineStr">
        <is>
          <t>PERCENTAGE</t>
        </is>
      </c>
      <c r="D115" t="inlineStr">
        <is>
          <t>IOS Meera</t>
        </is>
      </c>
      <c r="E115" s="16" t="n">
        <v>0</v>
      </c>
      <c r="F115" s="16" t="n">
        <v>2402.4</v>
      </c>
      <c r="G115" s="17" t="n">
        <v>20</v>
      </c>
      <c r="H115" s="16" t="n">
        <v>-2402.4</v>
      </c>
      <c r="I115" s="16" t="n">
        <v>0</v>
      </c>
    </row>
    <row r="116">
      <c r="A116" t="inlineStr">
        <is>
          <t>MTR-IOS-0116</t>
        </is>
      </c>
      <c r="B116" t="inlineStr">
        <is>
          <t>Custom Purchase</t>
        </is>
      </c>
      <c r="C116" t="inlineStr">
        <is>
          <t>EXACT</t>
        </is>
      </c>
      <c r="D116" t="inlineStr">
        <is>
          <t>IOS Owner</t>
        </is>
      </c>
      <c r="E116" s="16" t="n">
        <v>0</v>
      </c>
      <c r="F116" s="16" t="n">
        <v>7779.33</v>
      </c>
      <c r="G116" s="17" t="n"/>
      <c r="H116" s="16" t="n">
        <v>-7779.33</v>
      </c>
      <c r="I116" s="16" t="n">
        <v>0</v>
      </c>
    </row>
    <row r="117">
      <c r="A117" t="inlineStr">
        <is>
          <t>MTR-IOS-0116</t>
        </is>
      </c>
      <c r="B117" t="inlineStr">
        <is>
          <t>Custom Purchase</t>
        </is>
      </c>
      <c r="C117" t="inlineStr">
        <is>
          <t>EXACT</t>
        </is>
      </c>
      <c r="D117" t="inlineStr">
        <is>
          <t>IOS Aarav</t>
        </is>
      </c>
      <c r="E117" s="16" t="n">
        <v>0</v>
      </c>
      <c r="F117" s="16" t="n">
        <v>7779.33</v>
      </c>
      <c r="G117" s="17" t="n"/>
      <c r="H117" s="16" t="n">
        <v>-7779.33</v>
      </c>
      <c r="I117" s="16" t="n">
        <v>0</v>
      </c>
    </row>
    <row r="118">
      <c r="A118" t="inlineStr">
        <is>
          <t>MTR-IOS-0116</t>
        </is>
      </c>
      <c r="B118" t="inlineStr">
        <is>
          <t>Custom Purchase</t>
        </is>
      </c>
      <c r="C118" t="inlineStr">
        <is>
          <t>EXACT</t>
        </is>
      </c>
      <c r="D118" t="inlineStr">
        <is>
          <t>IOS Meera</t>
        </is>
      </c>
      <c r="E118" s="16" t="n">
        <v>23361.36</v>
      </c>
      <c r="F118" s="16" t="n">
        <v>7802.7</v>
      </c>
      <c r="G118" s="17" t="n"/>
      <c r="H118" s="16" t="n">
        <v>15558.66</v>
      </c>
      <c r="I118" s="16" t="n">
        <v>0</v>
      </c>
    </row>
    <row r="119">
      <c r="A119" t="inlineStr">
        <is>
          <t>MTR-IOS-0119</t>
        </is>
      </c>
      <c r="B119" t="inlineStr">
        <is>
          <t>Flatmates</t>
        </is>
      </c>
      <c r="C119" t="inlineStr">
        <is>
          <t>SHARES</t>
        </is>
      </c>
      <c r="D119" t="inlineStr">
        <is>
          <t>IOS Owner</t>
        </is>
      </c>
      <c r="E119" s="16" t="n">
        <v>15229.04</v>
      </c>
      <c r="F119" s="16" t="n">
        <v>7614.52</v>
      </c>
      <c r="G119" s="17" t="n"/>
      <c r="H119" s="16" t="n">
        <v>7614.52</v>
      </c>
      <c r="I119" s="16" t="n">
        <v>0</v>
      </c>
    </row>
    <row r="120">
      <c r="A120" t="inlineStr">
        <is>
          <t>MTR-IOS-0119</t>
        </is>
      </c>
      <c r="B120" t="inlineStr">
        <is>
          <t>Flatmates</t>
        </is>
      </c>
      <c r="C120" t="inlineStr">
        <is>
          <t>SHARES</t>
        </is>
      </c>
      <c r="D120" t="inlineStr">
        <is>
          <t>IOS Aarav</t>
        </is>
      </c>
      <c r="E120" s="16" t="n">
        <v>0</v>
      </c>
      <c r="F120" s="16" t="n">
        <v>5076.35</v>
      </c>
      <c r="G120" s="17" t="n"/>
      <c r="H120" s="16" t="n">
        <v>-5076.35</v>
      </c>
      <c r="I120" s="16" t="n">
        <v>0</v>
      </c>
    </row>
    <row r="121">
      <c r="A121" t="inlineStr">
        <is>
          <t>MTR-IOS-0119</t>
        </is>
      </c>
      <c r="B121" t="inlineStr">
        <is>
          <t>Flatmates</t>
        </is>
      </c>
      <c r="C121" t="inlineStr">
        <is>
          <t>SHARES</t>
        </is>
      </c>
      <c r="D121" t="inlineStr">
        <is>
          <t>IOS Meera</t>
        </is>
      </c>
      <c r="E121" s="16" t="n">
        <v>0</v>
      </c>
      <c r="F121" s="16" t="n">
        <v>2538.17</v>
      </c>
      <c r="G121" s="17" t="n"/>
      <c r="H121" s="16" t="n">
        <v>-2538.17</v>
      </c>
      <c r="I121" s="16" t="n">
        <v>0</v>
      </c>
    </row>
    <row r="122">
      <c r="A122" t="inlineStr">
        <is>
          <t>MTR-IOS-0122</t>
        </is>
      </c>
      <c r="B122" t="inlineStr">
        <is>
          <t>Flatmates</t>
        </is>
      </c>
      <c r="C122" t="inlineStr">
        <is>
          <t>EQUAL</t>
        </is>
      </c>
      <c r="D122" t="inlineStr">
        <is>
          <t>IOS Owner</t>
        </is>
      </c>
      <c r="E122" s="16" t="n">
        <v>0</v>
      </c>
      <c r="F122" s="16" t="n">
        <v>1650.54</v>
      </c>
      <c r="G122" s="17" t="n"/>
      <c r="H122" s="16" t="n">
        <v>-1650.54</v>
      </c>
      <c r="I122" s="16" t="n">
        <v>0</v>
      </c>
    </row>
    <row r="123">
      <c r="A123" t="inlineStr">
        <is>
          <t>MTR-IOS-0122</t>
        </is>
      </c>
      <c r="B123" t="inlineStr">
        <is>
          <t>Flatmates</t>
        </is>
      </c>
      <c r="C123" t="inlineStr">
        <is>
          <t>EQUAL</t>
        </is>
      </c>
      <c r="D123" t="inlineStr">
        <is>
          <t>IOS Aarav</t>
        </is>
      </c>
      <c r="E123" s="16" t="n">
        <v>4951.63</v>
      </c>
      <c r="F123" s="16" t="n">
        <v>1650.54</v>
      </c>
      <c r="G123" s="17" t="n"/>
      <c r="H123" s="16" t="n">
        <v>3301.09</v>
      </c>
      <c r="I123" s="16" t="n">
        <v>0</v>
      </c>
    </row>
    <row r="124">
      <c r="A124" t="inlineStr">
        <is>
          <t>MTR-IOS-0122</t>
        </is>
      </c>
      <c r="B124" t="inlineStr">
        <is>
          <t>Flatmates</t>
        </is>
      </c>
      <c r="C124" t="inlineStr">
        <is>
          <t>EQUAL</t>
        </is>
      </c>
      <c r="D124" t="inlineStr">
        <is>
          <t>IOS Meera</t>
        </is>
      </c>
      <c r="E124" s="16" t="n">
        <v>0</v>
      </c>
      <c r="F124" s="16" t="n">
        <v>1650.55</v>
      </c>
      <c r="G124" s="17" t="n"/>
      <c r="H124" s="16" t="n">
        <v>-1650.55</v>
      </c>
      <c r="I124" s="16" t="n">
        <v>0</v>
      </c>
    </row>
    <row r="125">
      <c r="A125" t="inlineStr">
        <is>
          <t>MTR-IOS-0125</t>
        </is>
      </c>
      <c r="B125" t="inlineStr">
        <is>
          <t>Flatmates</t>
        </is>
      </c>
      <c r="C125" t="inlineStr">
        <is>
          <t>PERCENTAGE</t>
        </is>
      </c>
      <c r="D125" t="inlineStr">
        <is>
          <t>IOS Owner</t>
        </is>
      </c>
      <c r="E125" s="16" t="n">
        <v>0</v>
      </c>
      <c r="F125" s="16" t="n">
        <v>3129.8</v>
      </c>
      <c r="G125" s="17" t="n">
        <v>50</v>
      </c>
      <c r="H125" s="16" t="n">
        <v>-3129.8</v>
      </c>
      <c r="I125" s="16" t="n">
        <v>0</v>
      </c>
    </row>
    <row r="126">
      <c r="A126" t="inlineStr">
        <is>
          <t>MTR-IOS-0125</t>
        </is>
      </c>
      <c r="B126" t="inlineStr">
        <is>
          <t>Flatmates</t>
        </is>
      </c>
      <c r="C126" t="inlineStr">
        <is>
          <t>PERCENTAGE</t>
        </is>
      </c>
      <c r="D126" t="inlineStr">
        <is>
          <t>IOS Aarav</t>
        </is>
      </c>
      <c r="E126" s="16" t="n">
        <v>0</v>
      </c>
      <c r="F126" s="16" t="n">
        <v>1877.88</v>
      </c>
      <c r="G126" s="17" t="n">
        <v>30</v>
      </c>
      <c r="H126" s="16" t="n">
        <v>-1877.88</v>
      </c>
      <c r="I126" s="16" t="n">
        <v>0</v>
      </c>
    </row>
    <row r="127">
      <c r="A127" t="inlineStr">
        <is>
          <t>MTR-IOS-0125</t>
        </is>
      </c>
      <c r="B127" t="inlineStr">
        <is>
          <t>Flatmates</t>
        </is>
      </c>
      <c r="C127" t="inlineStr">
        <is>
          <t>PERCENTAGE</t>
        </is>
      </c>
      <c r="D127" t="inlineStr">
        <is>
          <t>IOS Meera</t>
        </is>
      </c>
      <c r="E127" s="16" t="n">
        <v>6259.59</v>
      </c>
      <c r="F127" s="16" t="n">
        <v>1251.91</v>
      </c>
      <c r="G127" s="17" t="n">
        <v>20</v>
      </c>
      <c r="H127" s="16" t="n">
        <v>5007.68</v>
      </c>
      <c r="I127" s="16" t="n">
        <v>0</v>
      </c>
    </row>
    <row r="128">
      <c r="A128" t="inlineStr">
        <is>
          <t>MTR-IOS-0128</t>
        </is>
      </c>
      <c r="B128" t="inlineStr">
        <is>
          <t>Flatmates</t>
        </is>
      </c>
      <c r="C128" t="inlineStr">
        <is>
          <t>EXACT</t>
        </is>
      </c>
      <c r="D128" t="inlineStr">
        <is>
          <t>IOS Owner</t>
        </is>
      </c>
      <c r="E128" s="16" t="n">
        <v>21504.53</v>
      </c>
      <c r="F128" s="16" t="n">
        <v>7161.01</v>
      </c>
      <c r="G128" s="17" t="n"/>
      <c r="H128" s="16" t="n">
        <v>14343.52</v>
      </c>
      <c r="I128" s="16" t="n">
        <v>0</v>
      </c>
    </row>
    <row r="129">
      <c r="A129" t="inlineStr">
        <is>
          <t>MTR-IOS-0128</t>
        </is>
      </c>
      <c r="B129" t="inlineStr">
        <is>
          <t>Flatmates</t>
        </is>
      </c>
      <c r="C129" t="inlineStr">
        <is>
          <t>EXACT</t>
        </is>
      </c>
      <c r="D129" t="inlineStr">
        <is>
          <t>IOS Aarav</t>
        </is>
      </c>
      <c r="E129" s="16" t="n">
        <v>0</v>
      </c>
      <c r="F129" s="16" t="n">
        <v>7161.01</v>
      </c>
      <c r="G129" s="17" t="n"/>
      <c r="H129" s="16" t="n">
        <v>-7161.01</v>
      </c>
      <c r="I129" s="16" t="n">
        <v>0</v>
      </c>
    </row>
    <row r="130">
      <c r="A130" t="inlineStr">
        <is>
          <t>MTR-IOS-0128</t>
        </is>
      </c>
      <c r="B130" t="inlineStr">
        <is>
          <t>Flatmates</t>
        </is>
      </c>
      <c r="C130" t="inlineStr">
        <is>
          <t>EXACT</t>
        </is>
      </c>
      <c r="D130" t="inlineStr">
        <is>
          <t>IOS Meera</t>
        </is>
      </c>
      <c r="E130" s="16" t="n">
        <v>0</v>
      </c>
      <c r="F130" s="16" t="n">
        <v>7182.51</v>
      </c>
      <c r="G130" s="17" t="n"/>
      <c r="H130" s="16" t="n">
        <v>-7182.51</v>
      </c>
      <c r="I130" s="16" t="n">
        <v>0</v>
      </c>
    </row>
    <row r="131">
      <c r="A131" t="inlineStr">
        <is>
          <t>MTR-IOS-0131</t>
        </is>
      </c>
      <c r="B131" t="inlineStr">
        <is>
          <t>Flatmates</t>
        </is>
      </c>
      <c r="C131" t="inlineStr">
        <is>
          <t>SHARES</t>
        </is>
      </c>
      <c r="D131" t="inlineStr">
        <is>
          <t>IOS Owner</t>
        </is>
      </c>
      <c r="E131" s="16" t="n">
        <v>0</v>
      </c>
      <c r="F131" s="16" t="n">
        <v>10187.14</v>
      </c>
      <c r="G131" s="17" t="n"/>
      <c r="H131" s="16" t="n">
        <v>-10187.14</v>
      </c>
      <c r="I131" s="16" t="n">
        <v>0</v>
      </c>
    </row>
    <row r="132">
      <c r="A132" t="inlineStr">
        <is>
          <t>MTR-IOS-0131</t>
        </is>
      </c>
      <c r="B132" t="inlineStr">
        <is>
          <t>Flatmates</t>
        </is>
      </c>
      <c r="C132" t="inlineStr">
        <is>
          <t>SHARES</t>
        </is>
      </c>
      <c r="D132" t="inlineStr">
        <is>
          <t>IOS Aarav</t>
        </is>
      </c>
      <c r="E132" s="16" t="n">
        <v>20374.27</v>
      </c>
      <c r="F132" s="16" t="n">
        <v>6791.42</v>
      </c>
      <c r="G132" s="17" t="n"/>
      <c r="H132" s="16" t="n">
        <v>13582.85</v>
      </c>
      <c r="I132" s="16" t="n">
        <v>0</v>
      </c>
    </row>
    <row r="133">
      <c r="A133" t="inlineStr">
        <is>
          <t>MTR-IOS-0131</t>
        </is>
      </c>
      <c r="B133" t="inlineStr">
        <is>
          <t>Flatmates</t>
        </is>
      </c>
      <c r="C133" t="inlineStr">
        <is>
          <t>SHARES</t>
        </is>
      </c>
      <c r="D133" t="inlineStr">
        <is>
          <t>IOS Meera</t>
        </is>
      </c>
      <c r="E133" s="16" t="n">
        <v>0</v>
      </c>
      <c r="F133" s="16" t="n">
        <v>3395.71</v>
      </c>
      <c r="G133" s="17" t="n"/>
      <c r="H133" s="16" t="n">
        <v>-3395.71</v>
      </c>
      <c r="I133" s="16" t="n">
        <v>0</v>
      </c>
    </row>
    <row r="134">
      <c r="A134" t="inlineStr">
        <is>
          <t>MTR-IOS-0134</t>
        </is>
      </c>
      <c r="B134" t="inlineStr">
        <is>
          <t>Flatmates</t>
        </is>
      </c>
      <c r="C134" t="inlineStr">
        <is>
          <t>EQUAL</t>
        </is>
      </c>
      <c r="D134" t="inlineStr">
        <is>
          <t>IOS Owner</t>
        </is>
      </c>
      <c r="E134" s="16" t="n">
        <v>0</v>
      </c>
      <c r="F134" s="16" t="n">
        <v>1792.46</v>
      </c>
      <c r="G134" s="17" t="n"/>
      <c r="H134" s="16" t="n">
        <v>-1792.46</v>
      </c>
      <c r="I134" s="16" t="n">
        <v>0</v>
      </c>
    </row>
    <row r="135">
      <c r="A135" t="inlineStr">
        <is>
          <t>MTR-IOS-0134</t>
        </is>
      </c>
      <c r="B135" t="inlineStr">
        <is>
          <t>Flatmates</t>
        </is>
      </c>
      <c r="C135" t="inlineStr">
        <is>
          <t>EQUAL</t>
        </is>
      </c>
      <c r="D135" t="inlineStr">
        <is>
          <t>IOS Aarav</t>
        </is>
      </c>
      <c r="E135" s="16" t="n">
        <v>0</v>
      </c>
      <c r="F135" s="16" t="n">
        <v>1792.46</v>
      </c>
      <c r="G135" s="17" t="n"/>
      <c r="H135" s="16" t="n">
        <v>-1792.46</v>
      </c>
      <c r="I135" s="16" t="n">
        <v>0</v>
      </c>
    </row>
    <row r="136">
      <c r="A136" t="inlineStr">
        <is>
          <t>MTR-IOS-0134</t>
        </is>
      </c>
      <c r="B136" t="inlineStr">
        <is>
          <t>Flatmates</t>
        </is>
      </c>
      <c r="C136" t="inlineStr">
        <is>
          <t>EQUAL</t>
        </is>
      </c>
      <c r="D136" t="inlineStr">
        <is>
          <t>IOS Meera</t>
        </is>
      </c>
      <c r="E136" s="16" t="n">
        <v>5377.39</v>
      </c>
      <c r="F136" s="16" t="n">
        <v>1792.47</v>
      </c>
      <c r="G136" s="17" t="n"/>
      <c r="H136" s="16" t="n">
        <v>3584.92</v>
      </c>
      <c r="I136" s="16" t="n">
        <v>0</v>
      </c>
    </row>
    <row r="137">
      <c r="A137" t="inlineStr">
        <is>
          <t>MTR-IOS-0137</t>
        </is>
      </c>
      <c r="B137" t="inlineStr">
        <is>
          <t>Shared Living</t>
        </is>
      </c>
      <c r="C137" t="inlineStr">
        <is>
          <t>PERCENTAGE</t>
        </is>
      </c>
      <c r="D137" t="inlineStr">
        <is>
          <t>IOS Owner</t>
        </is>
      </c>
      <c r="E137" s="16" t="n">
        <v>14722.69</v>
      </c>
      <c r="F137" s="16" t="n">
        <v>7361.35</v>
      </c>
      <c r="G137" s="17" t="n">
        <v>50</v>
      </c>
      <c r="H137" s="16" t="n">
        <v>7361.34</v>
      </c>
      <c r="I137" s="16" t="n">
        <v>0</v>
      </c>
    </row>
    <row r="138">
      <c r="A138" t="inlineStr">
        <is>
          <t>MTR-IOS-0137</t>
        </is>
      </c>
      <c r="B138" t="inlineStr">
        <is>
          <t>Shared Living</t>
        </is>
      </c>
      <c r="C138" t="inlineStr">
        <is>
          <t>PERCENTAGE</t>
        </is>
      </c>
      <c r="D138" t="inlineStr">
        <is>
          <t>IOS Aarav</t>
        </is>
      </c>
      <c r="E138" s="16" t="n">
        <v>0</v>
      </c>
      <c r="F138" s="16" t="n">
        <v>4416.81</v>
      </c>
      <c r="G138" s="17" t="n">
        <v>30</v>
      </c>
      <c r="H138" s="16" t="n">
        <v>-4416.81</v>
      </c>
      <c r="I138" s="16" t="n">
        <v>0</v>
      </c>
    </row>
    <row r="139">
      <c r="A139" t="inlineStr">
        <is>
          <t>MTR-IOS-0137</t>
        </is>
      </c>
      <c r="B139" t="inlineStr">
        <is>
          <t>Shared Living</t>
        </is>
      </c>
      <c r="C139" t="inlineStr">
        <is>
          <t>PERCENTAGE</t>
        </is>
      </c>
      <c r="D139" t="inlineStr">
        <is>
          <t>IOS Meera</t>
        </is>
      </c>
      <c r="E139" s="16" t="n">
        <v>0</v>
      </c>
      <c r="F139" s="16" t="n">
        <v>2944.53</v>
      </c>
      <c r="G139" s="17" t="n">
        <v>20</v>
      </c>
      <c r="H139" s="16" t="n">
        <v>-2944.53</v>
      </c>
      <c r="I139" s="16" t="n">
        <v>0</v>
      </c>
    </row>
    <row r="140">
      <c r="A140" t="inlineStr">
        <is>
          <t>MTR-IOS-0140</t>
        </is>
      </c>
      <c r="B140" t="inlineStr">
        <is>
          <t>Shared Living</t>
        </is>
      </c>
      <c r="C140" t="inlineStr">
        <is>
          <t>EXACT</t>
        </is>
      </c>
      <c r="D140" t="inlineStr">
        <is>
          <t>IOS Owner</t>
        </is>
      </c>
      <c r="E140" s="16" t="n">
        <v>0</v>
      </c>
      <c r="F140" s="16" t="n">
        <v>5711.93</v>
      </c>
      <c r="G140" s="17" t="n"/>
      <c r="H140" s="16" t="n">
        <v>-5711.93</v>
      </c>
      <c r="I140" s="16" t="n">
        <v>0</v>
      </c>
    </row>
    <row r="141">
      <c r="A141" t="inlineStr">
        <is>
          <t>MTR-IOS-0140</t>
        </is>
      </c>
      <c r="B141" t="inlineStr">
        <is>
          <t>Shared Living</t>
        </is>
      </c>
      <c r="C141" t="inlineStr">
        <is>
          <t>EXACT</t>
        </is>
      </c>
      <c r="D141" t="inlineStr">
        <is>
          <t>IOS Aarav</t>
        </is>
      </c>
      <c r="E141" s="16" t="n">
        <v>17152.95</v>
      </c>
      <c r="F141" s="16" t="n">
        <v>5711.93</v>
      </c>
      <c r="G141" s="17" t="n"/>
      <c r="H141" s="16" t="n">
        <v>11441.02</v>
      </c>
      <c r="I141" s="16" t="n">
        <v>0</v>
      </c>
    </row>
    <row r="142">
      <c r="A142" t="inlineStr">
        <is>
          <t>MTR-IOS-0140</t>
        </is>
      </c>
      <c r="B142" t="inlineStr">
        <is>
          <t>Shared Living</t>
        </is>
      </c>
      <c r="C142" t="inlineStr">
        <is>
          <t>EXACT</t>
        </is>
      </c>
      <c r="D142" t="inlineStr">
        <is>
          <t>IOS Meera</t>
        </is>
      </c>
      <c r="E142" s="16" t="n">
        <v>0</v>
      </c>
      <c r="F142" s="16" t="n">
        <v>5729.09</v>
      </c>
      <c r="G142" s="17" t="n"/>
      <c r="H142" s="16" t="n">
        <v>-5729.09</v>
      </c>
      <c r="I142" s="16" t="n">
        <v>0</v>
      </c>
    </row>
    <row r="143">
      <c r="A143" t="inlineStr">
        <is>
          <t>MTR-IOS-0143</t>
        </is>
      </c>
      <c r="B143" t="inlineStr">
        <is>
          <t>Shared Living</t>
        </is>
      </c>
      <c r="C143" t="inlineStr">
        <is>
          <t>SHARES</t>
        </is>
      </c>
      <c r="D143" t="inlineStr">
        <is>
          <t>IOS Owner</t>
        </is>
      </c>
      <c r="E143" s="16" t="n">
        <v>0</v>
      </c>
      <c r="F143" s="16" t="n">
        <v>11868.02</v>
      </c>
      <c r="G143" s="17" t="n"/>
      <c r="H143" s="16" t="n">
        <v>-11868.02</v>
      </c>
      <c r="I143" s="16" t="n">
        <v>0</v>
      </c>
    </row>
    <row r="144">
      <c r="A144" t="inlineStr">
        <is>
          <t>MTR-IOS-0143</t>
        </is>
      </c>
      <c r="B144" t="inlineStr">
        <is>
          <t>Shared Living</t>
        </is>
      </c>
      <c r="C144" t="inlineStr">
        <is>
          <t>SHARES</t>
        </is>
      </c>
      <c r="D144" t="inlineStr">
        <is>
          <t>IOS Aarav</t>
        </is>
      </c>
      <c r="E144" s="16" t="n">
        <v>0</v>
      </c>
      <c r="F144" s="16" t="n">
        <v>7912.01</v>
      </c>
      <c r="G144" s="17" t="n"/>
      <c r="H144" s="16" t="n">
        <v>-7912.01</v>
      </c>
      <c r="I144" s="16" t="n">
        <v>0</v>
      </c>
    </row>
    <row r="145">
      <c r="A145" t="inlineStr">
        <is>
          <t>MTR-IOS-0143</t>
        </is>
      </c>
      <c r="B145" t="inlineStr">
        <is>
          <t>Shared Living</t>
        </is>
      </c>
      <c r="C145" t="inlineStr">
        <is>
          <t>SHARES</t>
        </is>
      </c>
      <c r="D145" t="inlineStr">
        <is>
          <t>IOS Meera</t>
        </is>
      </c>
      <c r="E145" s="16" t="n">
        <v>23736.03</v>
      </c>
      <c r="F145" s="16" t="n">
        <v>3956</v>
      </c>
      <c r="G145" s="17" t="n"/>
      <c r="H145" s="16" t="n">
        <v>19780.03</v>
      </c>
      <c r="I145" s="16" t="n">
        <v>0</v>
      </c>
    </row>
    <row r="146">
      <c r="A146" t="inlineStr">
        <is>
          <t>MTR-IOS-0146</t>
        </is>
      </c>
      <c r="B146" t="inlineStr">
        <is>
          <t>Shared Living</t>
        </is>
      </c>
      <c r="C146" t="inlineStr">
        <is>
          <t>EQUAL</t>
        </is>
      </c>
      <c r="D146" t="inlineStr">
        <is>
          <t>IOS Owner</t>
        </is>
      </c>
      <c r="E146" s="16" t="n">
        <v>10279</v>
      </c>
      <c r="F146" s="16" t="n">
        <v>3426.33</v>
      </c>
      <c r="G146" s="17" t="n"/>
      <c r="H146" s="16" t="n">
        <v>6852.67</v>
      </c>
      <c r="I146" s="16" t="n">
        <v>0</v>
      </c>
    </row>
    <row r="147">
      <c r="A147" t="inlineStr">
        <is>
          <t>MTR-IOS-0146</t>
        </is>
      </c>
      <c r="B147" t="inlineStr">
        <is>
          <t>Shared Living</t>
        </is>
      </c>
      <c r="C147" t="inlineStr">
        <is>
          <t>EQUAL</t>
        </is>
      </c>
      <c r="D147" t="inlineStr">
        <is>
          <t>IOS Aarav</t>
        </is>
      </c>
      <c r="E147" s="16" t="n">
        <v>0</v>
      </c>
      <c r="F147" s="16" t="n">
        <v>3426.33</v>
      </c>
      <c r="G147" s="17" t="n"/>
      <c r="H147" s="16" t="n">
        <v>-3426.33</v>
      </c>
      <c r="I147" s="16" t="n">
        <v>0</v>
      </c>
    </row>
    <row r="148">
      <c r="A148" t="inlineStr">
        <is>
          <t>MTR-IOS-0146</t>
        </is>
      </c>
      <c r="B148" t="inlineStr">
        <is>
          <t>Shared Living</t>
        </is>
      </c>
      <c r="C148" t="inlineStr">
        <is>
          <t>EQUAL</t>
        </is>
      </c>
      <c r="D148" t="inlineStr">
        <is>
          <t>IOS Meera</t>
        </is>
      </c>
      <c r="E148" s="16" t="n">
        <v>0</v>
      </c>
      <c r="F148" s="16" t="n">
        <v>3426.34</v>
      </c>
      <c r="G148" s="17" t="n"/>
      <c r="H148" s="16" t="n">
        <v>-3426.34</v>
      </c>
      <c r="I148" s="16" t="n">
        <v>0</v>
      </c>
    </row>
    <row r="149">
      <c r="A149" t="inlineStr">
        <is>
          <t>MTR-IOS-0149</t>
        </is>
      </c>
      <c r="B149" t="inlineStr">
        <is>
          <t>Shared Living</t>
        </is>
      </c>
      <c r="C149" t="inlineStr">
        <is>
          <t>PERCENTAGE</t>
        </is>
      </c>
      <c r="D149" t="inlineStr">
        <is>
          <t>IOS Owner</t>
        </is>
      </c>
      <c r="E149" s="16" t="n">
        <v>0</v>
      </c>
      <c r="F149" s="16" t="n">
        <v>8413.379999999999</v>
      </c>
      <c r="G149" s="17" t="n">
        <v>50</v>
      </c>
      <c r="H149" s="16" t="n">
        <v>-8413.379999999999</v>
      </c>
      <c r="I149" s="16" t="n">
        <v>0</v>
      </c>
    </row>
    <row r="150">
      <c r="A150" t="inlineStr">
        <is>
          <t>MTR-IOS-0149</t>
        </is>
      </c>
      <c r="B150" t="inlineStr">
        <is>
          <t>Shared Living</t>
        </is>
      </c>
      <c r="C150" t="inlineStr">
        <is>
          <t>PERCENTAGE</t>
        </is>
      </c>
      <c r="D150" t="inlineStr">
        <is>
          <t>IOS Aarav</t>
        </is>
      </c>
      <c r="E150" s="16" t="n">
        <v>16826.75</v>
      </c>
      <c r="F150" s="16" t="n">
        <v>5048.03</v>
      </c>
      <c r="G150" s="17" t="n">
        <v>30</v>
      </c>
      <c r="H150" s="16" t="n">
        <v>11778.72</v>
      </c>
      <c r="I150" s="16" t="n">
        <v>0</v>
      </c>
    </row>
    <row r="151">
      <c r="A151" t="inlineStr">
        <is>
          <t>MTR-IOS-0149</t>
        </is>
      </c>
      <c r="B151" t="inlineStr">
        <is>
          <t>Shared Living</t>
        </is>
      </c>
      <c r="C151" t="inlineStr">
        <is>
          <t>PERCENTAGE</t>
        </is>
      </c>
      <c r="D151" t="inlineStr">
        <is>
          <t>IOS Meera</t>
        </is>
      </c>
      <c r="E151" s="16" t="n">
        <v>0</v>
      </c>
      <c r="F151" s="16" t="n">
        <v>3365.34</v>
      </c>
      <c r="G151" s="17" t="n">
        <v>20</v>
      </c>
      <c r="H151" s="16" t="n">
        <v>-3365.34</v>
      </c>
      <c r="I151" s="16" t="n">
        <v>0</v>
      </c>
    </row>
    <row r="152">
      <c r="A152" t="inlineStr">
        <is>
          <t>MTR-IOS-0152</t>
        </is>
      </c>
      <c r="B152" t="inlineStr">
        <is>
          <t>Family Household</t>
        </is>
      </c>
      <c r="C152" t="inlineStr">
        <is>
          <t>EXACT</t>
        </is>
      </c>
      <c r="D152" t="inlineStr">
        <is>
          <t>IOS Owner</t>
        </is>
      </c>
      <c r="E152" s="16" t="n">
        <v>0</v>
      </c>
      <c r="F152" s="16" t="n">
        <v>5230.92</v>
      </c>
      <c r="G152" s="17" t="n"/>
      <c r="H152" s="16" t="n">
        <v>-5230.92</v>
      </c>
      <c r="I152" s="16" t="n">
        <v>0</v>
      </c>
    </row>
    <row r="153">
      <c r="A153" t="inlineStr">
        <is>
          <t>MTR-IOS-0152</t>
        </is>
      </c>
      <c r="B153" t="inlineStr">
        <is>
          <t>Family Household</t>
        </is>
      </c>
      <c r="C153" t="inlineStr">
        <is>
          <t>EXACT</t>
        </is>
      </c>
      <c r="D153" t="inlineStr">
        <is>
          <t>IOS Aarav</t>
        </is>
      </c>
      <c r="E153" s="16" t="n">
        <v>0</v>
      </c>
      <c r="F153" s="16" t="n">
        <v>5230.92</v>
      </c>
      <c r="G153" s="17" t="n"/>
      <c r="H153" s="16" t="n">
        <v>-5230.92</v>
      </c>
      <c r="I153" s="16" t="n">
        <v>0</v>
      </c>
    </row>
    <row r="154">
      <c r="A154" t="inlineStr">
        <is>
          <t>MTR-IOS-0152</t>
        </is>
      </c>
      <c r="B154" t="inlineStr">
        <is>
          <t>Family Household</t>
        </is>
      </c>
      <c r="C154" t="inlineStr">
        <is>
          <t>EXACT</t>
        </is>
      </c>
      <c r="D154" t="inlineStr">
        <is>
          <t>IOS Meera</t>
        </is>
      </c>
      <c r="E154" s="16" t="n">
        <v>15708.48</v>
      </c>
      <c r="F154" s="16" t="n">
        <v>5246.64</v>
      </c>
      <c r="G154" s="17" t="n"/>
      <c r="H154" s="16" t="n">
        <v>10461.84</v>
      </c>
      <c r="I154" s="16" t="n">
        <v>0</v>
      </c>
    </row>
    <row r="155">
      <c r="A155" t="inlineStr">
        <is>
          <t>MTR-IOS-0155</t>
        </is>
      </c>
      <c r="B155" t="inlineStr">
        <is>
          <t>Family Household</t>
        </is>
      </c>
      <c r="C155" t="inlineStr">
        <is>
          <t>SHARES</t>
        </is>
      </c>
      <c r="D155" t="inlineStr">
        <is>
          <t>IOS Owner</t>
        </is>
      </c>
      <c r="E155" s="16" t="n">
        <v>12976.19</v>
      </c>
      <c r="F155" s="16" t="n">
        <v>6488.1</v>
      </c>
      <c r="G155" s="17" t="n"/>
      <c r="H155" s="16" t="n">
        <v>6488.09</v>
      </c>
      <c r="I155" s="16" t="n">
        <v>0</v>
      </c>
    </row>
    <row r="156">
      <c r="A156" t="inlineStr">
        <is>
          <t>MTR-IOS-0155</t>
        </is>
      </c>
      <c r="B156" t="inlineStr">
        <is>
          <t>Family Household</t>
        </is>
      </c>
      <c r="C156" t="inlineStr">
        <is>
          <t>SHARES</t>
        </is>
      </c>
      <c r="D156" t="inlineStr">
        <is>
          <t>IOS Aarav</t>
        </is>
      </c>
      <c r="E156" s="16" t="n">
        <v>0</v>
      </c>
      <c r="F156" s="16" t="n">
        <v>4325.4</v>
      </c>
      <c r="G156" s="17" t="n"/>
      <c r="H156" s="16" t="n">
        <v>-4325.4</v>
      </c>
      <c r="I156" s="16" t="n">
        <v>0</v>
      </c>
    </row>
    <row r="157">
      <c r="A157" t="inlineStr">
        <is>
          <t>MTR-IOS-0155</t>
        </is>
      </c>
      <c r="B157" t="inlineStr">
        <is>
          <t>Family Household</t>
        </is>
      </c>
      <c r="C157" t="inlineStr">
        <is>
          <t>SHARES</t>
        </is>
      </c>
      <c r="D157" t="inlineStr">
        <is>
          <t>IOS Meera</t>
        </is>
      </c>
      <c r="E157" s="16" t="n">
        <v>0</v>
      </c>
      <c r="F157" s="16" t="n">
        <v>2162.69</v>
      </c>
      <c r="G157" s="17" t="n"/>
      <c r="H157" s="16" t="n">
        <v>-2162.69</v>
      </c>
      <c r="I157" s="16" t="n">
        <v>0</v>
      </c>
    </row>
    <row r="158">
      <c r="A158" t="inlineStr">
        <is>
          <t>MTR-IOS-0158</t>
        </is>
      </c>
      <c r="B158" t="inlineStr">
        <is>
          <t>Family Household</t>
        </is>
      </c>
      <c r="C158" t="inlineStr">
        <is>
          <t>EQUAL</t>
        </is>
      </c>
      <c r="D158" t="inlineStr">
        <is>
          <t>IOS Owner</t>
        </is>
      </c>
      <c r="E158" s="16" t="n">
        <v>0</v>
      </c>
      <c r="F158" s="16" t="n">
        <v>8753.610000000001</v>
      </c>
      <c r="G158" s="17" t="n"/>
      <c r="H158" s="16" t="n">
        <v>-8753.610000000001</v>
      </c>
      <c r="I158" s="16" t="n">
        <v>0</v>
      </c>
    </row>
    <row r="159">
      <c r="A159" t="inlineStr">
        <is>
          <t>MTR-IOS-0158</t>
        </is>
      </c>
      <c r="B159" t="inlineStr">
        <is>
          <t>Family Household</t>
        </is>
      </c>
      <c r="C159" t="inlineStr">
        <is>
          <t>EQUAL</t>
        </is>
      </c>
      <c r="D159" t="inlineStr">
        <is>
          <t>IOS Aarav</t>
        </is>
      </c>
      <c r="E159" s="16" t="n">
        <v>26260.83</v>
      </c>
      <c r="F159" s="16" t="n">
        <v>8753.610000000001</v>
      </c>
      <c r="G159" s="17" t="n"/>
      <c r="H159" s="16" t="n">
        <v>17507.22</v>
      </c>
      <c r="I159" s="16" t="n">
        <v>0</v>
      </c>
    </row>
    <row r="160">
      <c r="A160" t="inlineStr">
        <is>
          <t>MTR-IOS-0158</t>
        </is>
      </c>
      <c r="B160" t="inlineStr">
        <is>
          <t>Family Household</t>
        </is>
      </c>
      <c r="C160" t="inlineStr">
        <is>
          <t>EQUAL</t>
        </is>
      </c>
      <c r="D160" t="inlineStr">
        <is>
          <t>IOS Meera</t>
        </is>
      </c>
      <c r="E160" s="16" t="n">
        <v>0</v>
      </c>
      <c r="F160" s="16" t="n">
        <v>8753.610000000001</v>
      </c>
      <c r="G160" s="17" t="n"/>
      <c r="H160" s="16" t="n">
        <v>-8753.610000000001</v>
      </c>
      <c r="I160" s="16" t="n">
        <v>0</v>
      </c>
    </row>
    <row r="161">
      <c r="A161" t="inlineStr">
        <is>
          <t>MTR-IOS-0161</t>
        </is>
      </c>
      <c r="B161" t="inlineStr">
        <is>
          <t>Family Household</t>
        </is>
      </c>
      <c r="C161" t="inlineStr">
        <is>
          <t>PERCENTAGE</t>
        </is>
      </c>
      <c r="D161" t="inlineStr">
        <is>
          <t>IOS Owner</t>
        </is>
      </c>
      <c r="E161" s="16" t="n">
        <v>0</v>
      </c>
      <c r="F161" s="16" t="n">
        <v>7747.35</v>
      </c>
      <c r="G161" s="17" t="n">
        <v>50</v>
      </c>
      <c r="H161" s="16" t="n">
        <v>-7747.35</v>
      </c>
      <c r="I161" s="16" t="n">
        <v>0</v>
      </c>
    </row>
    <row r="162">
      <c r="A162" t="inlineStr">
        <is>
          <t>MTR-IOS-0161</t>
        </is>
      </c>
      <c r="B162" t="inlineStr">
        <is>
          <t>Family Household</t>
        </is>
      </c>
      <c r="C162" t="inlineStr">
        <is>
          <t>PERCENTAGE</t>
        </is>
      </c>
      <c r="D162" t="inlineStr">
        <is>
          <t>IOS Aarav</t>
        </is>
      </c>
      <c r="E162" s="16" t="n">
        <v>0</v>
      </c>
      <c r="F162" s="16" t="n">
        <v>4648.41</v>
      </c>
      <c r="G162" s="17" t="n">
        <v>30</v>
      </c>
      <c r="H162" s="16" t="n">
        <v>-4648.41</v>
      </c>
      <c r="I162" s="16" t="n">
        <v>0</v>
      </c>
    </row>
    <row r="163">
      <c r="A163" t="inlineStr">
        <is>
          <t>MTR-IOS-0161</t>
        </is>
      </c>
      <c r="B163" t="inlineStr">
        <is>
          <t>Family Household</t>
        </is>
      </c>
      <c r="C163" t="inlineStr">
        <is>
          <t>PERCENTAGE</t>
        </is>
      </c>
      <c r="D163" t="inlineStr">
        <is>
          <t>IOS Meera</t>
        </is>
      </c>
      <c r="E163" s="16" t="n">
        <v>15494.7</v>
      </c>
      <c r="F163" s="16" t="n">
        <v>3098.94</v>
      </c>
      <c r="G163" s="17" t="n">
        <v>20</v>
      </c>
      <c r="H163" s="16" t="n">
        <v>12395.76</v>
      </c>
      <c r="I163" s="16" t="n">
        <v>0</v>
      </c>
    </row>
    <row r="164">
      <c r="A164" t="inlineStr">
        <is>
          <t>MTR-IOS-0164</t>
        </is>
      </c>
      <c r="B164" t="inlineStr">
        <is>
          <t>Family Household</t>
        </is>
      </c>
      <c r="C164" t="inlineStr">
        <is>
          <t>EXACT</t>
        </is>
      </c>
      <c r="D164" t="inlineStr">
        <is>
          <t>IOS Owner</t>
        </is>
      </c>
      <c r="E164" s="16" t="n">
        <v>7216.51</v>
      </c>
      <c r="F164" s="16" t="n">
        <v>2403.1</v>
      </c>
      <c r="G164" s="17" t="n"/>
      <c r="H164" s="16" t="n">
        <v>4813.41</v>
      </c>
      <c r="I164" s="16" t="n">
        <v>0</v>
      </c>
    </row>
    <row r="165">
      <c r="A165" t="inlineStr">
        <is>
          <t>MTR-IOS-0164</t>
        </is>
      </c>
      <c r="B165" t="inlineStr">
        <is>
          <t>Family Household</t>
        </is>
      </c>
      <c r="C165" t="inlineStr">
        <is>
          <t>EXACT</t>
        </is>
      </c>
      <c r="D165" t="inlineStr">
        <is>
          <t>IOS Aarav</t>
        </is>
      </c>
      <c r="E165" s="16" t="n">
        <v>0</v>
      </c>
      <c r="F165" s="16" t="n">
        <v>2403.1</v>
      </c>
      <c r="G165" s="17" t="n"/>
      <c r="H165" s="16" t="n">
        <v>-2403.1</v>
      </c>
      <c r="I165" s="16" t="n">
        <v>0</v>
      </c>
    </row>
    <row r="166">
      <c r="A166" t="inlineStr">
        <is>
          <t>MTR-IOS-0164</t>
        </is>
      </c>
      <c r="B166" t="inlineStr">
        <is>
          <t>Family Household</t>
        </is>
      </c>
      <c r="C166" t="inlineStr">
        <is>
          <t>EXACT</t>
        </is>
      </c>
      <c r="D166" t="inlineStr">
        <is>
          <t>IOS Meera</t>
        </is>
      </c>
      <c r="E166" s="16" t="n">
        <v>0</v>
      </c>
      <c r="F166" s="16" t="n">
        <v>2410.31</v>
      </c>
      <c r="G166" s="17" t="n"/>
      <c r="H166" s="16" t="n">
        <v>-2410.31</v>
      </c>
      <c r="I166" s="16" t="n">
        <v>0</v>
      </c>
    </row>
    <row r="167">
      <c r="A167" t="inlineStr">
        <is>
          <t>MTR-IOS-0167</t>
        </is>
      </c>
      <c r="B167" t="inlineStr">
        <is>
          <t>Family Household</t>
        </is>
      </c>
      <c r="C167" t="inlineStr">
        <is>
          <t>SHARES</t>
        </is>
      </c>
      <c r="D167" t="inlineStr">
        <is>
          <t>IOS Owner</t>
        </is>
      </c>
      <c r="E167" s="16" t="n">
        <v>0</v>
      </c>
      <c r="F167" s="16" t="n">
        <v>2954.62</v>
      </c>
      <c r="G167" s="17" t="n"/>
      <c r="H167" s="16" t="n">
        <v>-2954.62</v>
      </c>
      <c r="I167" s="16" t="n">
        <v>0</v>
      </c>
    </row>
    <row r="168">
      <c r="A168" t="inlineStr">
        <is>
          <t>MTR-IOS-0167</t>
        </is>
      </c>
      <c r="B168" t="inlineStr">
        <is>
          <t>Family Household</t>
        </is>
      </c>
      <c r="C168" t="inlineStr">
        <is>
          <t>SHARES</t>
        </is>
      </c>
      <c r="D168" t="inlineStr">
        <is>
          <t>IOS Aarav</t>
        </is>
      </c>
      <c r="E168" s="16" t="n">
        <v>5909.24</v>
      </c>
      <c r="F168" s="16" t="n">
        <v>1969.75</v>
      </c>
      <c r="G168" s="17" t="n"/>
      <c r="H168" s="16" t="n">
        <v>3939.49</v>
      </c>
      <c r="I168" s="16" t="n">
        <v>0</v>
      </c>
    </row>
    <row r="169">
      <c r="A169" t="inlineStr">
        <is>
          <t>MTR-IOS-0167</t>
        </is>
      </c>
      <c r="B169" t="inlineStr">
        <is>
          <t>Family Household</t>
        </is>
      </c>
      <c r="C169" t="inlineStr">
        <is>
          <t>SHARES</t>
        </is>
      </c>
      <c r="D169" t="inlineStr">
        <is>
          <t>IOS Meera</t>
        </is>
      </c>
      <c r="E169" s="16" t="n">
        <v>0</v>
      </c>
      <c r="F169" s="16" t="n">
        <v>984.87</v>
      </c>
      <c r="G169" s="17" t="n"/>
      <c r="H169" s="16" t="n">
        <v>-984.87</v>
      </c>
      <c r="I169" s="16" t="n">
        <v>0</v>
      </c>
    </row>
    <row r="170">
      <c r="A170" t="inlineStr">
        <is>
          <t>MTR-IOS-0170</t>
        </is>
      </c>
      <c r="B170" t="inlineStr">
        <is>
          <t>Custom Living</t>
        </is>
      </c>
      <c r="C170" t="inlineStr">
        <is>
          <t>EQUAL</t>
        </is>
      </c>
      <c r="D170" t="inlineStr">
        <is>
          <t>IOS Owner</t>
        </is>
      </c>
      <c r="E170" s="16" t="n">
        <v>0</v>
      </c>
      <c r="F170" s="16" t="n">
        <v>2172.84</v>
      </c>
      <c r="G170" s="17" t="n"/>
      <c r="H170" s="16" t="n">
        <v>-2172.84</v>
      </c>
      <c r="I170" s="16" t="n">
        <v>0</v>
      </c>
    </row>
    <row r="171">
      <c r="A171" t="inlineStr">
        <is>
          <t>MTR-IOS-0170</t>
        </is>
      </c>
      <c r="B171" t="inlineStr">
        <is>
          <t>Custom Living</t>
        </is>
      </c>
      <c r="C171" t="inlineStr">
        <is>
          <t>EQUAL</t>
        </is>
      </c>
      <c r="D171" t="inlineStr">
        <is>
          <t>IOS Aarav</t>
        </is>
      </c>
      <c r="E171" s="16" t="n">
        <v>0</v>
      </c>
      <c r="F171" s="16" t="n">
        <v>2172.84</v>
      </c>
      <c r="G171" s="17" t="n"/>
      <c r="H171" s="16" t="n">
        <v>-2172.84</v>
      </c>
      <c r="I171" s="16" t="n">
        <v>0</v>
      </c>
    </row>
    <row r="172">
      <c r="A172" t="inlineStr">
        <is>
          <t>MTR-IOS-0170</t>
        </is>
      </c>
      <c r="B172" t="inlineStr">
        <is>
          <t>Custom Living</t>
        </is>
      </c>
      <c r="C172" t="inlineStr">
        <is>
          <t>EQUAL</t>
        </is>
      </c>
      <c r="D172" t="inlineStr">
        <is>
          <t>IOS Meera</t>
        </is>
      </c>
      <c r="E172" s="16" t="n">
        <v>6518.51</v>
      </c>
      <c r="F172" s="16" t="n">
        <v>2172.83</v>
      </c>
      <c r="G172" s="17" t="n"/>
      <c r="H172" s="16" t="n">
        <v>4345.68</v>
      </c>
      <c r="I172" s="16" t="n">
        <v>0</v>
      </c>
    </row>
    <row r="173">
      <c r="A173" t="inlineStr">
        <is>
          <t>MTR-IOS-0173</t>
        </is>
      </c>
      <c r="B173" t="inlineStr">
        <is>
          <t>Custom Living</t>
        </is>
      </c>
      <c r="C173" t="inlineStr">
        <is>
          <t>PERCENTAGE</t>
        </is>
      </c>
      <c r="D173" t="inlineStr">
        <is>
          <t>IOS Owner</t>
        </is>
      </c>
      <c r="E173" s="16" t="n">
        <v>11183.99</v>
      </c>
      <c r="F173" s="16" t="n">
        <v>5592</v>
      </c>
      <c r="G173" s="17" t="n">
        <v>50</v>
      </c>
      <c r="H173" s="16" t="n">
        <v>5591.99</v>
      </c>
      <c r="I173" s="16" t="n">
        <v>0</v>
      </c>
    </row>
    <row r="174">
      <c r="A174" t="inlineStr">
        <is>
          <t>MTR-IOS-0173</t>
        </is>
      </c>
      <c r="B174" t="inlineStr">
        <is>
          <t>Custom Living</t>
        </is>
      </c>
      <c r="C174" t="inlineStr">
        <is>
          <t>PERCENTAGE</t>
        </is>
      </c>
      <c r="D174" t="inlineStr">
        <is>
          <t>IOS Aarav</t>
        </is>
      </c>
      <c r="E174" s="16" t="n">
        <v>0</v>
      </c>
      <c r="F174" s="16" t="n">
        <v>3355.2</v>
      </c>
      <c r="G174" s="17" t="n">
        <v>30</v>
      </c>
      <c r="H174" s="16" t="n">
        <v>-3355.2</v>
      </c>
      <c r="I174" s="16" t="n">
        <v>0</v>
      </c>
    </row>
    <row r="175">
      <c r="A175" t="inlineStr">
        <is>
          <t>MTR-IOS-0173</t>
        </is>
      </c>
      <c r="B175" t="inlineStr">
        <is>
          <t>Custom Living</t>
        </is>
      </c>
      <c r="C175" t="inlineStr">
        <is>
          <t>PERCENTAGE</t>
        </is>
      </c>
      <c r="D175" t="inlineStr">
        <is>
          <t>IOS Meera</t>
        </is>
      </c>
      <c r="E175" s="16" t="n">
        <v>0</v>
      </c>
      <c r="F175" s="16" t="n">
        <v>2236.79</v>
      </c>
      <c r="G175" s="17" t="n">
        <v>20</v>
      </c>
      <c r="H175" s="16" t="n">
        <v>-2236.79</v>
      </c>
      <c r="I175" s="16" t="n">
        <v>0</v>
      </c>
    </row>
    <row r="176">
      <c r="A176" t="inlineStr">
        <is>
          <t>MTR-IOS-0176</t>
        </is>
      </c>
      <c r="B176" t="inlineStr">
        <is>
          <t>Trip</t>
        </is>
      </c>
      <c r="C176" t="inlineStr">
        <is>
          <t>EXACT</t>
        </is>
      </c>
      <c r="D176" t="inlineStr">
        <is>
          <t>IOS Owner</t>
        </is>
      </c>
      <c r="E176" s="16" t="n">
        <v>0</v>
      </c>
      <c r="F176" s="16" t="n">
        <v>721.3099999999999</v>
      </c>
      <c r="G176" s="17" t="n"/>
      <c r="H176" s="16" t="n">
        <v>-721.3099999999999</v>
      </c>
      <c r="I176" s="16" t="n">
        <v>0</v>
      </c>
    </row>
    <row r="177">
      <c r="A177" t="inlineStr">
        <is>
          <t>MTR-IOS-0176</t>
        </is>
      </c>
      <c r="B177" t="inlineStr">
        <is>
          <t>Trip</t>
        </is>
      </c>
      <c r="C177" t="inlineStr">
        <is>
          <t>EXACT</t>
        </is>
      </c>
      <c r="D177" t="inlineStr">
        <is>
          <t>IOS Aarav</t>
        </is>
      </c>
      <c r="E177" s="16" t="n">
        <v>2166.1</v>
      </c>
      <c r="F177" s="16" t="n">
        <v>721.3099999999999</v>
      </c>
      <c r="G177" s="17" t="n"/>
      <c r="H177" s="16" t="n">
        <v>1444.79</v>
      </c>
      <c r="I177" s="16" t="n">
        <v>0</v>
      </c>
    </row>
    <row r="178">
      <c r="A178" t="inlineStr">
        <is>
          <t>MTR-IOS-0176</t>
        </is>
      </c>
      <c r="B178" t="inlineStr">
        <is>
          <t>Trip</t>
        </is>
      </c>
      <c r="C178" t="inlineStr">
        <is>
          <t>EXACT</t>
        </is>
      </c>
      <c r="D178" t="inlineStr">
        <is>
          <t>IOS Meera</t>
        </is>
      </c>
      <c r="E178" s="16" t="n">
        <v>0</v>
      </c>
      <c r="F178" s="16" t="n">
        <v>723.48</v>
      </c>
      <c r="G178" s="17" t="n"/>
      <c r="H178" s="16" t="n">
        <v>-723.48</v>
      </c>
      <c r="I178" s="16" t="n">
        <v>0</v>
      </c>
    </row>
    <row r="179">
      <c r="A179" t="inlineStr">
        <is>
          <t>MTR-IOS-0179</t>
        </is>
      </c>
      <c r="B179" t="inlineStr">
        <is>
          <t>Trip</t>
        </is>
      </c>
      <c r="C179" t="inlineStr">
        <is>
          <t>SHARES</t>
        </is>
      </c>
      <c r="D179" t="inlineStr">
        <is>
          <t>IOS Owner</t>
        </is>
      </c>
      <c r="E179" s="16" t="n">
        <v>0</v>
      </c>
      <c r="F179" s="16" t="n">
        <v>3301.6</v>
      </c>
      <c r="G179" s="17" t="n"/>
      <c r="H179" s="16" t="n">
        <v>-3301.6</v>
      </c>
      <c r="I179" s="16" t="n">
        <v>0</v>
      </c>
    </row>
    <row r="180">
      <c r="A180" t="inlineStr">
        <is>
          <t>MTR-IOS-0179</t>
        </is>
      </c>
      <c r="B180" t="inlineStr">
        <is>
          <t>Trip</t>
        </is>
      </c>
      <c r="C180" t="inlineStr">
        <is>
          <t>SHARES</t>
        </is>
      </c>
      <c r="D180" t="inlineStr">
        <is>
          <t>IOS Aarav</t>
        </is>
      </c>
      <c r="E180" s="16" t="n">
        <v>0</v>
      </c>
      <c r="F180" s="16" t="n">
        <v>2201.07</v>
      </c>
      <c r="G180" s="17" t="n"/>
      <c r="H180" s="16" t="n">
        <v>-2201.07</v>
      </c>
      <c r="I180" s="16" t="n">
        <v>0</v>
      </c>
    </row>
    <row r="181">
      <c r="A181" t="inlineStr">
        <is>
          <t>MTR-IOS-0179</t>
        </is>
      </c>
      <c r="B181" t="inlineStr">
        <is>
          <t>Trip</t>
        </is>
      </c>
      <c r="C181" t="inlineStr">
        <is>
          <t>SHARES</t>
        </is>
      </c>
      <c r="D181" t="inlineStr">
        <is>
          <t>IOS Meera</t>
        </is>
      </c>
      <c r="E181" s="16" t="n">
        <v>6603.2</v>
      </c>
      <c r="F181" s="16" t="n">
        <v>1100.53</v>
      </c>
      <c r="G181" s="17" t="n"/>
      <c r="H181" s="16" t="n">
        <v>5502.67</v>
      </c>
      <c r="I181" s="16" t="n">
        <v>0</v>
      </c>
    </row>
    <row r="182">
      <c r="A182" t="inlineStr">
        <is>
          <t>MTR-IOS-0182</t>
        </is>
      </c>
      <c r="B182" t="inlineStr">
        <is>
          <t>Trip</t>
        </is>
      </c>
      <c r="C182" t="inlineStr">
        <is>
          <t>EQUAL</t>
        </is>
      </c>
      <c r="D182" t="inlineStr">
        <is>
          <t>IOS Owner</t>
        </is>
      </c>
      <c r="E182" s="16" t="n">
        <v>17792.66</v>
      </c>
      <c r="F182" s="16" t="n">
        <v>5930.89</v>
      </c>
      <c r="G182" s="17" t="n"/>
      <c r="H182" s="16" t="n">
        <v>11861.77</v>
      </c>
      <c r="I182" s="16" t="n">
        <v>0</v>
      </c>
    </row>
    <row r="183">
      <c r="A183" t="inlineStr">
        <is>
          <t>MTR-IOS-0182</t>
        </is>
      </c>
      <c r="B183" t="inlineStr">
        <is>
          <t>Trip</t>
        </is>
      </c>
      <c r="C183" t="inlineStr">
        <is>
          <t>EQUAL</t>
        </is>
      </c>
      <c r="D183" t="inlineStr">
        <is>
          <t>IOS Aarav</t>
        </is>
      </c>
      <c r="E183" s="16" t="n">
        <v>0</v>
      </c>
      <c r="F183" s="16" t="n">
        <v>5930.89</v>
      </c>
      <c r="G183" s="17" t="n"/>
      <c r="H183" s="16" t="n">
        <v>-5930.89</v>
      </c>
      <c r="I183" s="16" t="n">
        <v>0</v>
      </c>
    </row>
    <row r="184">
      <c r="A184" t="inlineStr">
        <is>
          <t>MTR-IOS-0182</t>
        </is>
      </c>
      <c r="B184" t="inlineStr">
        <is>
          <t>Trip</t>
        </is>
      </c>
      <c r="C184" t="inlineStr">
        <is>
          <t>EQUAL</t>
        </is>
      </c>
      <c r="D184" t="inlineStr">
        <is>
          <t>IOS Meera</t>
        </is>
      </c>
      <c r="E184" s="16" t="n">
        <v>0</v>
      </c>
      <c r="F184" s="16" t="n">
        <v>5930.88</v>
      </c>
      <c r="G184" s="17" t="n"/>
      <c r="H184" s="16" t="n">
        <v>-5930.88</v>
      </c>
      <c r="I184" s="16" t="n">
        <v>0</v>
      </c>
    </row>
    <row r="185">
      <c r="A185" t="inlineStr">
        <is>
          <t>MTR-IOS-0185</t>
        </is>
      </c>
      <c r="B185" t="inlineStr">
        <is>
          <t>Trip</t>
        </is>
      </c>
      <c r="C185" t="inlineStr">
        <is>
          <t>PERCENTAGE</t>
        </is>
      </c>
      <c r="D185" t="inlineStr">
        <is>
          <t>IOS Owner</t>
        </is>
      </c>
      <c r="E185" s="16" t="n">
        <v>0</v>
      </c>
      <c r="F185" s="16" t="n">
        <v>5000</v>
      </c>
      <c r="G185" s="17" t="n">
        <v>50</v>
      </c>
      <c r="H185" s="16" t="n">
        <v>-5000</v>
      </c>
      <c r="I185" s="16" t="n">
        <v>0</v>
      </c>
    </row>
    <row r="186">
      <c r="A186" t="inlineStr">
        <is>
          <t>MTR-IOS-0185</t>
        </is>
      </c>
      <c r="B186" t="inlineStr">
        <is>
          <t>Trip</t>
        </is>
      </c>
      <c r="C186" t="inlineStr">
        <is>
          <t>PERCENTAGE</t>
        </is>
      </c>
      <c r="D186" t="inlineStr">
        <is>
          <t>IOS Aarav</t>
        </is>
      </c>
      <c r="E186" s="16" t="n">
        <v>10000</v>
      </c>
      <c r="F186" s="16" t="n">
        <v>3000</v>
      </c>
      <c r="G186" s="17" t="n">
        <v>30</v>
      </c>
      <c r="H186" s="16" t="n">
        <v>7000</v>
      </c>
      <c r="I186" s="16" t="n">
        <v>0</v>
      </c>
    </row>
    <row r="187">
      <c r="A187" t="inlineStr">
        <is>
          <t>MTR-IOS-0185</t>
        </is>
      </c>
      <c r="B187" t="inlineStr">
        <is>
          <t>Trip</t>
        </is>
      </c>
      <c r="C187" t="inlineStr">
        <is>
          <t>PERCENTAGE</t>
        </is>
      </c>
      <c r="D187" t="inlineStr">
        <is>
          <t>IOS Meera</t>
        </is>
      </c>
      <c r="E187" s="16" t="n">
        <v>0</v>
      </c>
      <c r="F187" s="16" t="n">
        <v>2000</v>
      </c>
      <c r="G187" s="17" t="n">
        <v>20</v>
      </c>
      <c r="H187" s="16" t="n">
        <v>-2000</v>
      </c>
      <c r="I187" s="16" t="n">
        <v>0</v>
      </c>
    </row>
    <row r="188">
      <c r="A188" t="inlineStr">
        <is>
          <t>MTR-IOS-0188</t>
        </is>
      </c>
      <c r="B188" t="inlineStr">
        <is>
          <t>Trip</t>
        </is>
      </c>
      <c r="C188" t="inlineStr">
        <is>
          <t>EXACT</t>
        </is>
      </c>
      <c r="D188" t="inlineStr">
        <is>
          <t>IOS Owner</t>
        </is>
      </c>
      <c r="E188" s="16" t="n">
        <v>0</v>
      </c>
      <c r="F188" s="16" t="n">
        <v>2434.12</v>
      </c>
      <c r="G188" s="17" t="n"/>
      <c r="H188" s="16" t="n">
        <v>-2434.12</v>
      </c>
      <c r="I188" s="16" t="n">
        <v>0</v>
      </c>
    </row>
    <row r="189">
      <c r="A189" t="inlineStr">
        <is>
          <t>MTR-IOS-0188</t>
        </is>
      </c>
      <c r="B189" t="inlineStr">
        <is>
          <t>Trip</t>
        </is>
      </c>
      <c r="C189" t="inlineStr">
        <is>
          <t>EXACT</t>
        </is>
      </c>
      <c r="D189" t="inlineStr">
        <is>
          <t>IOS Aarav</t>
        </is>
      </c>
      <c r="E189" s="16" t="n">
        <v>0</v>
      </c>
      <c r="F189" s="16" t="n">
        <v>2434.12</v>
      </c>
      <c r="G189" s="17" t="n"/>
      <c r="H189" s="16" t="n">
        <v>-2434.12</v>
      </c>
      <c r="I189" s="16" t="n">
        <v>0</v>
      </c>
    </row>
    <row r="190">
      <c r="A190" t="inlineStr">
        <is>
          <t>MTR-IOS-0188</t>
        </is>
      </c>
      <c r="B190" t="inlineStr">
        <is>
          <t>Trip</t>
        </is>
      </c>
      <c r="C190" t="inlineStr">
        <is>
          <t>EXACT</t>
        </is>
      </c>
      <c r="D190" t="inlineStr">
        <is>
          <t>IOS Meera</t>
        </is>
      </c>
      <c r="E190" s="16" t="n">
        <v>7309.68</v>
      </c>
      <c r="F190" s="16" t="n">
        <v>2441.44</v>
      </c>
      <c r="G190" s="17" t="n"/>
      <c r="H190" s="16" t="n">
        <v>4868.24</v>
      </c>
      <c r="I190" s="16" t="n">
        <v>0</v>
      </c>
    </row>
    <row r="191">
      <c r="A191" t="inlineStr">
        <is>
          <t>MTR-IOS-0191</t>
        </is>
      </c>
      <c r="B191" t="inlineStr">
        <is>
          <t>Trip</t>
        </is>
      </c>
      <c r="C191" t="inlineStr">
        <is>
          <t>SHARES</t>
        </is>
      </c>
      <c r="D191" t="inlineStr">
        <is>
          <t>IOS Owner</t>
        </is>
      </c>
      <c r="E191" s="16" t="n">
        <v>17401.75</v>
      </c>
      <c r="F191" s="16" t="n">
        <v>8700.879999999999</v>
      </c>
      <c r="G191" s="17" t="n"/>
      <c r="H191" s="16" t="n">
        <v>8700.870000000001</v>
      </c>
      <c r="I191" s="16" t="n">
        <v>0</v>
      </c>
    </row>
    <row r="192">
      <c r="A192" t="inlineStr">
        <is>
          <t>MTR-IOS-0191</t>
        </is>
      </c>
      <c r="B192" t="inlineStr">
        <is>
          <t>Trip</t>
        </is>
      </c>
      <c r="C192" t="inlineStr">
        <is>
          <t>SHARES</t>
        </is>
      </c>
      <c r="D192" t="inlineStr">
        <is>
          <t>IOS Aarav</t>
        </is>
      </c>
      <c r="E192" s="16" t="n">
        <v>0</v>
      </c>
      <c r="F192" s="16" t="n">
        <v>5800.58</v>
      </c>
      <c r="G192" s="17" t="n"/>
      <c r="H192" s="16" t="n">
        <v>-5800.58</v>
      </c>
      <c r="I192" s="16" t="n">
        <v>0</v>
      </c>
    </row>
    <row r="193">
      <c r="A193" t="inlineStr">
        <is>
          <t>MTR-IOS-0191</t>
        </is>
      </c>
      <c r="B193" t="inlineStr">
        <is>
          <t>Trip</t>
        </is>
      </c>
      <c r="C193" t="inlineStr">
        <is>
          <t>SHARES</t>
        </is>
      </c>
      <c r="D193" t="inlineStr">
        <is>
          <t>IOS Meera</t>
        </is>
      </c>
      <c r="E193" s="16" t="n">
        <v>0</v>
      </c>
      <c r="F193" s="16" t="n">
        <v>2900.29</v>
      </c>
      <c r="G193" s="17" t="n"/>
      <c r="H193" s="16" t="n">
        <v>-2900.29</v>
      </c>
      <c r="I193" s="16" t="n">
        <v>0</v>
      </c>
    </row>
    <row r="194">
      <c r="A194" t="inlineStr">
        <is>
          <t>MTR-IOS-0194</t>
        </is>
      </c>
      <c r="B194" t="inlineStr">
        <is>
          <t>Trip</t>
        </is>
      </c>
      <c r="C194" t="inlineStr">
        <is>
          <t>EQUAL</t>
        </is>
      </c>
      <c r="D194" t="inlineStr">
        <is>
          <t>IOS Owner</t>
        </is>
      </c>
      <c r="E194" s="16" t="n">
        <v>0</v>
      </c>
      <c r="F194" s="16" t="n">
        <v>3703.44</v>
      </c>
      <c r="G194" s="17" t="n"/>
      <c r="H194" s="16" t="n">
        <v>-3703.44</v>
      </c>
      <c r="I194" s="16" t="n">
        <v>0</v>
      </c>
    </row>
    <row r="195">
      <c r="A195" t="inlineStr">
        <is>
          <t>MTR-IOS-0194</t>
        </is>
      </c>
      <c r="B195" t="inlineStr">
        <is>
          <t>Trip</t>
        </is>
      </c>
      <c r="C195" t="inlineStr">
        <is>
          <t>EQUAL</t>
        </is>
      </c>
      <c r="D195" t="inlineStr">
        <is>
          <t>IOS Aarav</t>
        </is>
      </c>
      <c r="E195" s="16" t="n">
        <v>11110.31</v>
      </c>
      <c r="F195" s="16" t="n">
        <v>3703.44</v>
      </c>
      <c r="G195" s="17" t="n"/>
      <c r="H195" s="16" t="n">
        <v>7406.87</v>
      </c>
      <c r="I195" s="16" t="n">
        <v>0</v>
      </c>
    </row>
    <row r="196">
      <c r="A196" t="inlineStr">
        <is>
          <t>MTR-IOS-0194</t>
        </is>
      </c>
      <c r="B196" t="inlineStr">
        <is>
          <t>Trip</t>
        </is>
      </c>
      <c r="C196" t="inlineStr">
        <is>
          <t>EQUAL</t>
        </is>
      </c>
      <c r="D196" t="inlineStr">
        <is>
          <t>IOS Meera</t>
        </is>
      </c>
      <c r="E196" s="16" t="n">
        <v>0</v>
      </c>
      <c r="F196" s="16" t="n">
        <v>3703.43</v>
      </c>
      <c r="G196" s="17" t="n"/>
      <c r="H196" s="16" t="n">
        <v>-3703.43</v>
      </c>
      <c r="I196" s="16" t="n">
        <v>0</v>
      </c>
    </row>
    <row r="197">
      <c r="A197" t="inlineStr">
        <is>
          <t>MTR-IOS-0197</t>
        </is>
      </c>
      <c r="B197" t="inlineStr">
        <is>
          <t>Wedding</t>
        </is>
      </c>
      <c r="C197" t="inlineStr">
        <is>
          <t>PERCENTAGE</t>
        </is>
      </c>
      <c r="D197" t="inlineStr">
        <is>
          <t>IOS Owner</t>
        </is>
      </c>
      <c r="E197" s="16" t="n">
        <v>0</v>
      </c>
      <c r="F197" s="16" t="n">
        <v>1692.87</v>
      </c>
      <c r="G197" s="17" t="n">
        <v>50</v>
      </c>
      <c r="H197" s="16" t="n">
        <v>-1692.87</v>
      </c>
      <c r="I197" s="16" t="n">
        <v>0</v>
      </c>
    </row>
    <row r="198">
      <c r="A198" t="inlineStr">
        <is>
          <t>MTR-IOS-0197</t>
        </is>
      </c>
      <c r="B198" t="inlineStr">
        <is>
          <t>Wedding</t>
        </is>
      </c>
      <c r="C198" t="inlineStr">
        <is>
          <t>PERCENTAGE</t>
        </is>
      </c>
      <c r="D198" t="inlineStr">
        <is>
          <t>IOS Aarav</t>
        </is>
      </c>
      <c r="E198" s="16" t="n">
        <v>0</v>
      </c>
      <c r="F198" s="16" t="n">
        <v>1015.72</v>
      </c>
      <c r="G198" s="17" t="n">
        <v>30</v>
      </c>
      <c r="H198" s="16" t="n">
        <v>-1015.72</v>
      </c>
      <c r="I198" s="16" t="n">
        <v>0</v>
      </c>
    </row>
    <row r="199">
      <c r="A199" t="inlineStr">
        <is>
          <t>MTR-IOS-0197</t>
        </is>
      </c>
      <c r="B199" t="inlineStr">
        <is>
          <t>Wedding</t>
        </is>
      </c>
      <c r="C199" t="inlineStr">
        <is>
          <t>PERCENTAGE</t>
        </is>
      </c>
      <c r="D199" t="inlineStr">
        <is>
          <t>IOS Meera</t>
        </is>
      </c>
      <c r="E199" s="16" t="n">
        <v>3385.73</v>
      </c>
      <c r="F199" s="16" t="n">
        <v>677.14</v>
      </c>
      <c r="G199" s="17" t="n">
        <v>20</v>
      </c>
      <c r="H199" s="16" t="n">
        <v>2708.59</v>
      </c>
      <c r="I199" s="16" t="n">
        <v>0</v>
      </c>
    </row>
    <row r="200">
      <c r="A200" t="inlineStr">
        <is>
          <t>MTR-IOS-0200</t>
        </is>
      </c>
      <c r="B200" t="inlineStr">
        <is>
          <t>Wedding</t>
        </is>
      </c>
      <c r="C200" t="inlineStr">
        <is>
          <t>EXACT</t>
        </is>
      </c>
      <c r="D200" t="inlineStr">
        <is>
          <t>IOS Owner</t>
        </is>
      </c>
      <c r="E200" s="16" t="n">
        <v>9035.43</v>
      </c>
      <c r="F200" s="16" t="n">
        <v>3008.8</v>
      </c>
      <c r="G200" s="17" t="n"/>
      <c r="H200" s="16" t="n">
        <v>6026.63</v>
      </c>
      <c r="I200" s="16" t="n">
        <v>0</v>
      </c>
    </row>
    <row r="201">
      <c r="A201" t="inlineStr">
        <is>
          <t>MTR-IOS-0200</t>
        </is>
      </c>
      <c r="B201" t="inlineStr">
        <is>
          <t>Wedding</t>
        </is>
      </c>
      <c r="C201" t="inlineStr">
        <is>
          <t>EXACT</t>
        </is>
      </c>
      <c r="D201" t="inlineStr">
        <is>
          <t>IOS Aarav</t>
        </is>
      </c>
      <c r="E201" s="16" t="n">
        <v>0</v>
      </c>
      <c r="F201" s="16" t="n">
        <v>3008.8</v>
      </c>
      <c r="G201" s="17" t="n"/>
      <c r="H201" s="16" t="n">
        <v>-3008.8</v>
      </c>
      <c r="I201" s="16" t="n">
        <v>0</v>
      </c>
    </row>
    <row r="202">
      <c r="A202" t="inlineStr">
        <is>
          <t>MTR-IOS-0200</t>
        </is>
      </c>
      <c r="B202" t="inlineStr">
        <is>
          <t>Wedding</t>
        </is>
      </c>
      <c r="C202" t="inlineStr">
        <is>
          <t>EXACT</t>
        </is>
      </c>
      <c r="D202" t="inlineStr">
        <is>
          <t>IOS Meera</t>
        </is>
      </c>
      <c r="E202" s="16" t="n">
        <v>0</v>
      </c>
      <c r="F202" s="16" t="n">
        <v>3017.83</v>
      </c>
      <c r="G202" s="17" t="n"/>
      <c r="H202" s="16" t="n">
        <v>-3017.83</v>
      </c>
      <c r="I202" s="16" t="n">
        <v>0</v>
      </c>
    </row>
    <row r="203">
      <c r="A203" t="inlineStr">
        <is>
          <t>MTR-IOS-0203</t>
        </is>
      </c>
      <c r="B203" t="inlineStr">
        <is>
          <t>Wedding</t>
        </is>
      </c>
      <c r="C203" t="inlineStr">
        <is>
          <t>SHARES</t>
        </is>
      </c>
      <c r="D203" t="inlineStr">
        <is>
          <t>IOS Owner</t>
        </is>
      </c>
      <c r="E203" s="16" t="n">
        <v>0</v>
      </c>
      <c r="F203" s="16" t="n">
        <v>7044.56</v>
      </c>
      <c r="G203" s="17" t="n"/>
      <c r="H203" s="16" t="n">
        <v>-7044.56</v>
      </c>
      <c r="I203" s="16" t="n">
        <v>0</v>
      </c>
    </row>
    <row r="204">
      <c r="A204" t="inlineStr">
        <is>
          <t>MTR-IOS-0203</t>
        </is>
      </c>
      <c r="B204" t="inlineStr">
        <is>
          <t>Wedding</t>
        </is>
      </c>
      <c r="C204" t="inlineStr">
        <is>
          <t>SHARES</t>
        </is>
      </c>
      <c r="D204" t="inlineStr">
        <is>
          <t>IOS Aarav</t>
        </is>
      </c>
      <c r="E204" s="16" t="n">
        <v>14089.12</v>
      </c>
      <c r="F204" s="16" t="n">
        <v>4696.37</v>
      </c>
      <c r="G204" s="17" t="n"/>
      <c r="H204" s="16" t="n">
        <v>9392.75</v>
      </c>
      <c r="I204" s="16" t="n">
        <v>0</v>
      </c>
    </row>
    <row r="205">
      <c r="A205" t="inlineStr">
        <is>
          <t>MTR-IOS-0203</t>
        </is>
      </c>
      <c r="B205" t="inlineStr">
        <is>
          <t>Wedding</t>
        </is>
      </c>
      <c r="C205" t="inlineStr">
        <is>
          <t>SHARES</t>
        </is>
      </c>
      <c r="D205" t="inlineStr">
        <is>
          <t>IOS Meera</t>
        </is>
      </c>
      <c r="E205" s="16" t="n">
        <v>0</v>
      </c>
      <c r="F205" s="16" t="n">
        <v>2348.19</v>
      </c>
      <c r="G205" s="17" t="n"/>
      <c r="H205" s="16" t="n">
        <v>-2348.19</v>
      </c>
      <c r="I205" s="16" t="n">
        <v>0</v>
      </c>
    </row>
    <row r="206">
      <c r="A206" t="inlineStr">
        <is>
          <t>MTR-IOS-0206</t>
        </is>
      </c>
      <c r="B206" t="inlineStr">
        <is>
          <t>Wedding</t>
        </is>
      </c>
      <c r="C206" t="inlineStr">
        <is>
          <t>EQUAL</t>
        </is>
      </c>
      <c r="D206" t="inlineStr">
        <is>
          <t>IOS Owner</t>
        </is>
      </c>
      <c r="E206" s="16" t="n">
        <v>0</v>
      </c>
      <c r="F206" s="16" t="n">
        <v>4641.83</v>
      </c>
      <c r="G206" s="17" t="n"/>
      <c r="H206" s="16" t="n">
        <v>-4641.83</v>
      </c>
      <c r="I206" s="16" t="n">
        <v>0</v>
      </c>
    </row>
    <row r="207">
      <c r="A207" t="inlineStr">
        <is>
          <t>MTR-IOS-0206</t>
        </is>
      </c>
      <c r="B207" t="inlineStr">
        <is>
          <t>Wedding</t>
        </is>
      </c>
      <c r="C207" t="inlineStr">
        <is>
          <t>EQUAL</t>
        </is>
      </c>
      <c r="D207" t="inlineStr">
        <is>
          <t>IOS Aarav</t>
        </is>
      </c>
      <c r="E207" s="16" t="n">
        <v>0</v>
      </c>
      <c r="F207" s="16" t="n">
        <v>4641.83</v>
      </c>
      <c r="G207" s="17" t="n"/>
      <c r="H207" s="16" t="n">
        <v>-4641.83</v>
      </c>
      <c r="I207" s="16" t="n">
        <v>0</v>
      </c>
    </row>
    <row r="208">
      <c r="A208" t="inlineStr">
        <is>
          <t>MTR-IOS-0206</t>
        </is>
      </c>
      <c r="B208" t="inlineStr">
        <is>
          <t>Wedding</t>
        </is>
      </c>
      <c r="C208" t="inlineStr">
        <is>
          <t>EQUAL</t>
        </is>
      </c>
      <c r="D208" t="inlineStr">
        <is>
          <t>IOS Meera</t>
        </is>
      </c>
      <c r="E208" s="16" t="n">
        <v>13925.5</v>
      </c>
      <c r="F208" s="16" t="n">
        <v>4641.84</v>
      </c>
      <c r="G208" s="17" t="n"/>
      <c r="H208" s="16" t="n">
        <v>9283.66</v>
      </c>
      <c r="I208" s="16" t="n">
        <v>0</v>
      </c>
    </row>
    <row r="209">
      <c r="A209" t="inlineStr">
        <is>
          <t>MTR-IOS-0209</t>
        </is>
      </c>
      <c r="B209" t="inlineStr">
        <is>
          <t>Wedding</t>
        </is>
      </c>
      <c r="C209" t="inlineStr">
        <is>
          <t>PERCENTAGE</t>
        </is>
      </c>
      <c r="D209" t="inlineStr">
        <is>
          <t>IOS Owner</t>
        </is>
      </c>
      <c r="E209" s="16" t="n">
        <v>26113.74</v>
      </c>
      <c r="F209" s="16" t="n">
        <v>13056.87</v>
      </c>
      <c r="G209" s="17" t="n">
        <v>50</v>
      </c>
      <c r="H209" s="16" t="n">
        <v>13056.87</v>
      </c>
      <c r="I209" s="16" t="n">
        <v>0</v>
      </c>
    </row>
    <row r="210">
      <c r="A210" t="inlineStr">
        <is>
          <t>MTR-IOS-0209</t>
        </is>
      </c>
      <c r="B210" t="inlineStr">
        <is>
          <t>Wedding</t>
        </is>
      </c>
      <c r="C210" t="inlineStr">
        <is>
          <t>PERCENTAGE</t>
        </is>
      </c>
      <c r="D210" t="inlineStr">
        <is>
          <t>IOS Aarav</t>
        </is>
      </c>
      <c r="E210" s="16" t="n">
        <v>0</v>
      </c>
      <c r="F210" s="16" t="n">
        <v>7834.12</v>
      </c>
      <c r="G210" s="17" t="n">
        <v>30</v>
      </c>
      <c r="H210" s="16" t="n">
        <v>-7834.12</v>
      </c>
      <c r="I210" s="16" t="n">
        <v>0</v>
      </c>
    </row>
    <row r="211">
      <c r="A211" t="inlineStr">
        <is>
          <t>MTR-IOS-0209</t>
        </is>
      </c>
      <c r="B211" t="inlineStr">
        <is>
          <t>Wedding</t>
        </is>
      </c>
      <c r="C211" t="inlineStr">
        <is>
          <t>PERCENTAGE</t>
        </is>
      </c>
      <c r="D211" t="inlineStr">
        <is>
          <t>IOS Meera</t>
        </is>
      </c>
      <c r="E211" s="16" t="n">
        <v>0</v>
      </c>
      <c r="F211" s="16" t="n">
        <v>5222.75</v>
      </c>
      <c r="G211" s="17" t="n">
        <v>20</v>
      </c>
      <c r="H211" s="16" t="n">
        <v>-5222.75</v>
      </c>
      <c r="I211" s="16" t="n">
        <v>0</v>
      </c>
    </row>
    <row r="212">
      <c r="A212" t="inlineStr">
        <is>
          <t>MTR-IOS-0212</t>
        </is>
      </c>
      <c r="B212" t="inlineStr">
        <is>
          <t>Wedding</t>
        </is>
      </c>
      <c r="C212" t="inlineStr">
        <is>
          <t>EXACT</t>
        </is>
      </c>
      <c r="D212" t="inlineStr">
        <is>
          <t>IOS Owner</t>
        </is>
      </c>
      <c r="E212" s="16" t="n">
        <v>0</v>
      </c>
      <c r="F212" s="16" t="n">
        <v>112.74</v>
      </c>
      <c r="G212" s="17" t="n"/>
      <c r="H212" s="16" t="n">
        <v>-112.74</v>
      </c>
      <c r="I212" s="16" t="n">
        <v>0</v>
      </c>
    </row>
    <row r="213">
      <c r="A213" t="inlineStr">
        <is>
          <t>MTR-IOS-0212</t>
        </is>
      </c>
      <c r="B213" t="inlineStr">
        <is>
          <t>Wedding</t>
        </is>
      </c>
      <c r="C213" t="inlineStr">
        <is>
          <t>EXACT</t>
        </is>
      </c>
      <c r="D213" t="inlineStr">
        <is>
          <t>IOS Aarav</t>
        </is>
      </c>
      <c r="E213" s="16" t="n">
        <v>338.55</v>
      </c>
      <c r="F213" s="16" t="n">
        <v>112.74</v>
      </c>
      <c r="G213" s="17" t="n"/>
      <c r="H213" s="16" t="n">
        <v>225.81</v>
      </c>
      <c r="I213" s="16" t="n">
        <v>0</v>
      </c>
    </row>
    <row r="214">
      <c r="A214" t="inlineStr">
        <is>
          <t>MTR-IOS-0212</t>
        </is>
      </c>
      <c r="B214" t="inlineStr">
        <is>
          <t>Wedding</t>
        </is>
      </c>
      <c r="C214" t="inlineStr">
        <is>
          <t>EXACT</t>
        </is>
      </c>
      <c r="D214" t="inlineStr">
        <is>
          <t>IOS Meera</t>
        </is>
      </c>
      <c r="E214" s="16" t="n">
        <v>0</v>
      </c>
      <c r="F214" s="16" t="n">
        <v>113.07</v>
      </c>
      <c r="G214" s="17" t="n"/>
      <c r="H214" s="16" t="n">
        <v>-113.07</v>
      </c>
      <c r="I214" s="16" t="n">
        <v>0</v>
      </c>
    </row>
    <row r="215">
      <c r="A215" t="inlineStr">
        <is>
          <t>MTR-IOS-0215</t>
        </is>
      </c>
      <c r="B215" t="inlineStr">
        <is>
          <t>Wedding</t>
        </is>
      </c>
      <c r="C215" t="inlineStr">
        <is>
          <t>SHARES</t>
        </is>
      </c>
      <c r="D215" t="inlineStr">
        <is>
          <t>IOS Owner</t>
        </is>
      </c>
      <c r="E215" s="16" t="n">
        <v>0</v>
      </c>
      <c r="F215" s="16" t="n">
        <v>12055.5</v>
      </c>
      <c r="G215" s="17" t="n"/>
      <c r="H215" s="16" t="n">
        <v>-12055.5</v>
      </c>
      <c r="I215" s="16" t="n">
        <v>0</v>
      </c>
    </row>
    <row r="216">
      <c r="A216" t="inlineStr">
        <is>
          <t>MTR-IOS-0215</t>
        </is>
      </c>
      <c r="B216" t="inlineStr">
        <is>
          <t>Wedding</t>
        </is>
      </c>
      <c r="C216" t="inlineStr">
        <is>
          <t>SHARES</t>
        </is>
      </c>
      <c r="D216" t="inlineStr">
        <is>
          <t>IOS Aarav</t>
        </is>
      </c>
      <c r="E216" s="16" t="n">
        <v>0</v>
      </c>
      <c r="F216" s="16" t="n">
        <v>8037</v>
      </c>
      <c r="G216" s="17" t="n"/>
      <c r="H216" s="16" t="n">
        <v>-8037</v>
      </c>
      <c r="I216" s="16" t="n">
        <v>0</v>
      </c>
    </row>
    <row r="217">
      <c r="A217" t="inlineStr">
        <is>
          <t>MTR-IOS-0215</t>
        </is>
      </c>
      <c r="B217" t="inlineStr">
        <is>
          <t>Wedding</t>
        </is>
      </c>
      <c r="C217" t="inlineStr">
        <is>
          <t>SHARES</t>
        </is>
      </c>
      <c r="D217" t="inlineStr">
        <is>
          <t>IOS Meera</t>
        </is>
      </c>
      <c r="E217" s="16" t="n">
        <v>24110.99</v>
      </c>
      <c r="F217" s="16" t="n">
        <v>4018.49</v>
      </c>
      <c r="G217" s="17" t="n"/>
      <c r="H217" s="16" t="n">
        <v>20092.5</v>
      </c>
      <c r="I217" s="16" t="n">
        <v>0</v>
      </c>
    </row>
    <row r="218">
      <c r="A218" t="inlineStr">
        <is>
          <t>MTR-IOS-0218</t>
        </is>
      </c>
      <c r="B218" t="inlineStr">
        <is>
          <t>Office Outing</t>
        </is>
      </c>
      <c r="C218" t="inlineStr">
        <is>
          <t>EQUAL</t>
        </is>
      </c>
      <c r="D218" t="inlineStr">
        <is>
          <t>IOS Owner</t>
        </is>
      </c>
      <c r="E218" s="16" t="n">
        <v>13122.27</v>
      </c>
      <c r="F218" s="16" t="n">
        <v>4374.09</v>
      </c>
      <c r="G218" s="17" t="n"/>
      <c r="H218" s="16" t="n">
        <v>8748.18</v>
      </c>
      <c r="I218" s="16" t="n">
        <v>0</v>
      </c>
    </row>
    <row r="219">
      <c r="A219" t="inlineStr">
        <is>
          <t>MTR-IOS-0218</t>
        </is>
      </c>
      <c r="B219" t="inlineStr">
        <is>
          <t>Office Outing</t>
        </is>
      </c>
      <c r="C219" t="inlineStr">
        <is>
          <t>EQUAL</t>
        </is>
      </c>
      <c r="D219" t="inlineStr">
        <is>
          <t>IOS Aarav</t>
        </is>
      </c>
      <c r="E219" s="16" t="n">
        <v>0</v>
      </c>
      <c r="F219" s="16" t="n">
        <v>4374.09</v>
      </c>
      <c r="G219" s="17" t="n"/>
      <c r="H219" s="16" t="n">
        <v>-4374.09</v>
      </c>
      <c r="I219" s="16" t="n">
        <v>0</v>
      </c>
    </row>
    <row r="220">
      <c r="A220" t="inlineStr">
        <is>
          <t>MTR-IOS-0218</t>
        </is>
      </c>
      <c r="B220" t="inlineStr">
        <is>
          <t>Office Outing</t>
        </is>
      </c>
      <c r="C220" t="inlineStr">
        <is>
          <t>EQUAL</t>
        </is>
      </c>
      <c r="D220" t="inlineStr">
        <is>
          <t>IOS Meera</t>
        </is>
      </c>
      <c r="E220" s="16" t="n">
        <v>0</v>
      </c>
      <c r="F220" s="16" t="n">
        <v>4374.09</v>
      </c>
      <c r="G220" s="17" t="n"/>
      <c r="H220" s="16" t="n">
        <v>-4374.09</v>
      </c>
      <c r="I220" s="16" t="n">
        <v>0</v>
      </c>
    </row>
    <row r="221">
      <c r="A221" t="inlineStr">
        <is>
          <t>MTR-IOS-0221</t>
        </is>
      </c>
      <c r="B221" t="inlineStr">
        <is>
          <t>Office Outing</t>
        </is>
      </c>
      <c r="C221" t="inlineStr">
        <is>
          <t>PERCENTAGE</t>
        </is>
      </c>
      <c r="D221" t="inlineStr">
        <is>
          <t>IOS Owner</t>
        </is>
      </c>
      <c r="E221" s="16" t="n">
        <v>0</v>
      </c>
      <c r="F221" s="16" t="n">
        <v>12122.48</v>
      </c>
      <c r="G221" s="17" t="n">
        <v>50</v>
      </c>
      <c r="H221" s="16" t="n">
        <v>-12122.48</v>
      </c>
      <c r="I221" s="16" t="n">
        <v>0</v>
      </c>
    </row>
    <row r="222">
      <c r="A222" t="inlineStr">
        <is>
          <t>MTR-IOS-0221</t>
        </is>
      </c>
      <c r="B222" t="inlineStr">
        <is>
          <t>Office Outing</t>
        </is>
      </c>
      <c r="C222" t="inlineStr">
        <is>
          <t>PERCENTAGE</t>
        </is>
      </c>
      <c r="D222" t="inlineStr">
        <is>
          <t>IOS Aarav</t>
        </is>
      </c>
      <c r="E222" s="16" t="n">
        <v>24244.95</v>
      </c>
      <c r="F222" s="16" t="n">
        <v>7273.49</v>
      </c>
      <c r="G222" s="17" t="n">
        <v>30</v>
      </c>
      <c r="H222" s="16" t="n">
        <v>16971.46</v>
      </c>
      <c r="I222" s="16" t="n">
        <v>0</v>
      </c>
    </row>
    <row r="223">
      <c r="A223" t="inlineStr">
        <is>
          <t>MTR-IOS-0221</t>
        </is>
      </c>
      <c r="B223" t="inlineStr">
        <is>
          <t>Office Outing</t>
        </is>
      </c>
      <c r="C223" t="inlineStr">
        <is>
          <t>PERCENTAGE</t>
        </is>
      </c>
      <c r="D223" t="inlineStr">
        <is>
          <t>IOS Meera</t>
        </is>
      </c>
      <c r="E223" s="16" t="n">
        <v>0</v>
      </c>
      <c r="F223" s="16" t="n">
        <v>4848.98</v>
      </c>
      <c r="G223" s="17" t="n">
        <v>20</v>
      </c>
      <c r="H223" s="16" t="n">
        <v>-4848.98</v>
      </c>
      <c r="I223" s="16" t="n">
        <v>0</v>
      </c>
    </row>
    <row r="224">
      <c r="A224" t="inlineStr">
        <is>
          <t>MTR-IOS-0224</t>
        </is>
      </c>
      <c r="B224" t="inlineStr">
        <is>
          <t>Office Outing</t>
        </is>
      </c>
      <c r="C224" t="inlineStr">
        <is>
          <t>EXACT</t>
        </is>
      </c>
      <c r="D224" t="inlineStr">
        <is>
          <t>IOS Owner</t>
        </is>
      </c>
      <c r="E224" s="16" t="n">
        <v>0</v>
      </c>
      <c r="F224" s="16" t="n">
        <v>1378.83</v>
      </c>
      <c r="G224" s="17" t="n"/>
      <c r="H224" s="16" t="n">
        <v>-1378.83</v>
      </c>
      <c r="I224" s="16" t="n">
        <v>0</v>
      </c>
    </row>
    <row r="225">
      <c r="A225" t="inlineStr">
        <is>
          <t>MTR-IOS-0224</t>
        </is>
      </c>
      <c r="B225" t="inlineStr">
        <is>
          <t>Office Outing</t>
        </is>
      </c>
      <c r="C225" t="inlineStr">
        <is>
          <t>EXACT</t>
        </is>
      </c>
      <c r="D225" t="inlineStr">
        <is>
          <t>IOS Aarav</t>
        </is>
      </c>
      <c r="E225" s="16" t="n">
        <v>0</v>
      </c>
      <c r="F225" s="16" t="n">
        <v>1378.83</v>
      </c>
      <c r="G225" s="17" t="n"/>
      <c r="H225" s="16" t="n">
        <v>-1378.83</v>
      </c>
      <c r="I225" s="16" t="n">
        <v>0</v>
      </c>
    </row>
    <row r="226">
      <c r="A226" t="inlineStr">
        <is>
          <t>MTR-IOS-0224</t>
        </is>
      </c>
      <c r="B226" t="inlineStr">
        <is>
          <t>Office Outing</t>
        </is>
      </c>
      <c r="C226" t="inlineStr">
        <is>
          <t>EXACT</t>
        </is>
      </c>
      <c r="D226" t="inlineStr">
        <is>
          <t>IOS Meera</t>
        </is>
      </c>
      <c r="E226" s="16" t="n">
        <v>4140.64</v>
      </c>
      <c r="F226" s="16" t="n">
        <v>1382.98</v>
      </c>
      <c r="G226" s="17" t="n"/>
      <c r="H226" s="16" t="n">
        <v>2757.66</v>
      </c>
      <c r="I226" s="16" t="n">
        <v>0</v>
      </c>
    </row>
    <row r="227">
      <c r="A227" t="inlineStr">
        <is>
          <t>MTR-IOS-0227</t>
        </is>
      </c>
      <c r="B227" t="inlineStr">
        <is>
          <t>Office Outing</t>
        </is>
      </c>
      <c r="C227" t="inlineStr">
        <is>
          <t>SHARES</t>
        </is>
      </c>
      <c r="D227" t="inlineStr">
        <is>
          <t>IOS Owner</t>
        </is>
      </c>
      <c r="E227" s="16" t="n">
        <v>25883.88</v>
      </c>
      <c r="F227" s="16" t="n">
        <v>12941.94</v>
      </c>
      <c r="G227" s="17" t="n"/>
      <c r="H227" s="16" t="n">
        <v>12941.94</v>
      </c>
      <c r="I227" s="16" t="n">
        <v>0</v>
      </c>
    </row>
    <row r="228">
      <c r="A228" t="inlineStr">
        <is>
          <t>MTR-IOS-0227</t>
        </is>
      </c>
      <c r="B228" t="inlineStr">
        <is>
          <t>Office Outing</t>
        </is>
      </c>
      <c r="C228" t="inlineStr">
        <is>
          <t>SHARES</t>
        </is>
      </c>
      <c r="D228" t="inlineStr">
        <is>
          <t>IOS Aarav</t>
        </is>
      </c>
      <c r="E228" s="16" t="n">
        <v>0</v>
      </c>
      <c r="F228" s="16" t="n">
        <v>8627.959999999999</v>
      </c>
      <c r="G228" s="17" t="n"/>
      <c r="H228" s="16" t="n">
        <v>-8627.959999999999</v>
      </c>
      <c r="I228" s="16" t="n">
        <v>0</v>
      </c>
    </row>
    <row r="229">
      <c r="A229" t="inlineStr">
        <is>
          <t>MTR-IOS-0227</t>
        </is>
      </c>
      <c r="B229" t="inlineStr">
        <is>
          <t>Office Outing</t>
        </is>
      </c>
      <c r="C229" t="inlineStr">
        <is>
          <t>SHARES</t>
        </is>
      </c>
      <c r="D229" t="inlineStr">
        <is>
          <t>IOS Meera</t>
        </is>
      </c>
      <c r="E229" s="16" t="n">
        <v>0</v>
      </c>
      <c r="F229" s="16" t="n">
        <v>4313.98</v>
      </c>
      <c r="G229" s="17" t="n"/>
      <c r="H229" s="16" t="n">
        <v>-4313.98</v>
      </c>
      <c r="I229" s="16" t="n">
        <v>0</v>
      </c>
    </row>
    <row r="230">
      <c r="A230" t="inlineStr">
        <is>
          <t>MTR-IOS-0230</t>
        </is>
      </c>
      <c r="B230" t="inlineStr">
        <is>
          <t>Office Outing</t>
        </is>
      </c>
      <c r="C230" t="inlineStr">
        <is>
          <t>EQUAL</t>
        </is>
      </c>
      <c r="D230" t="inlineStr">
        <is>
          <t>IOS Owner</t>
        </is>
      </c>
      <c r="E230" s="16" t="n">
        <v>0</v>
      </c>
      <c r="F230" s="16" t="n">
        <v>707.39</v>
      </c>
      <c r="G230" s="17" t="n"/>
      <c r="H230" s="16" t="n">
        <v>-707.39</v>
      </c>
      <c r="I230" s="16" t="n">
        <v>0</v>
      </c>
    </row>
    <row r="231">
      <c r="A231" t="inlineStr">
        <is>
          <t>MTR-IOS-0230</t>
        </is>
      </c>
      <c r="B231" t="inlineStr">
        <is>
          <t>Office Outing</t>
        </is>
      </c>
      <c r="C231" t="inlineStr">
        <is>
          <t>EQUAL</t>
        </is>
      </c>
      <c r="D231" t="inlineStr">
        <is>
          <t>IOS Aarav</t>
        </is>
      </c>
      <c r="E231" s="16" t="n">
        <v>2122.17</v>
      </c>
      <c r="F231" s="16" t="n">
        <v>707.39</v>
      </c>
      <c r="G231" s="17" t="n"/>
      <c r="H231" s="16" t="n">
        <v>1414.78</v>
      </c>
      <c r="I231" s="16" t="n">
        <v>0</v>
      </c>
    </row>
    <row r="232">
      <c r="A232" t="inlineStr">
        <is>
          <t>MTR-IOS-0230</t>
        </is>
      </c>
      <c r="B232" t="inlineStr">
        <is>
          <t>Office Outing</t>
        </is>
      </c>
      <c r="C232" t="inlineStr">
        <is>
          <t>EQUAL</t>
        </is>
      </c>
      <c r="D232" t="inlineStr">
        <is>
          <t>IOS Meera</t>
        </is>
      </c>
      <c r="E232" s="16" t="n">
        <v>0</v>
      </c>
      <c r="F232" s="16" t="n">
        <v>707.39</v>
      </c>
      <c r="G232" s="17" t="n"/>
      <c r="H232" s="16" t="n">
        <v>-707.39</v>
      </c>
      <c r="I232" s="16" t="n">
        <v>0</v>
      </c>
    </row>
    <row r="233">
      <c r="A233" t="inlineStr">
        <is>
          <t>MTR-IOS-0233</t>
        </is>
      </c>
      <c r="B233" t="inlineStr">
        <is>
          <t>House Party</t>
        </is>
      </c>
      <c r="C233" t="inlineStr">
        <is>
          <t>PERCENTAGE</t>
        </is>
      </c>
      <c r="D233" t="inlineStr">
        <is>
          <t>IOS Owner</t>
        </is>
      </c>
      <c r="E233" s="16" t="n">
        <v>0</v>
      </c>
      <c r="F233" s="16" t="n">
        <v>12609.93</v>
      </c>
      <c r="G233" s="17" t="n">
        <v>50</v>
      </c>
      <c r="H233" s="16" t="n">
        <v>-12609.93</v>
      </c>
      <c r="I233" s="16" t="n">
        <v>0</v>
      </c>
    </row>
    <row r="234">
      <c r="A234" t="inlineStr">
        <is>
          <t>MTR-IOS-0233</t>
        </is>
      </c>
      <c r="B234" t="inlineStr">
        <is>
          <t>House Party</t>
        </is>
      </c>
      <c r="C234" t="inlineStr">
        <is>
          <t>PERCENTAGE</t>
        </is>
      </c>
      <c r="D234" t="inlineStr">
        <is>
          <t>IOS Aarav</t>
        </is>
      </c>
      <c r="E234" s="16" t="n">
        <v>0</v>
      </c>
      <c r="F234" s="16" t="n">
        <v>7565.96</v>
      </c>
      <c r="G234" s="17" t="n">
        <v>30</v>
      </c>
      <c r="H234" s="16" t="n">
        <v>-7565.96</v>
      </c>
      <c r="I234" s="16" t="n">
        <v>0</v>
      </c>
    </row>
    <row r="235">
      <c r="A235" t="inlineStr">
        <is>
          <t>MTR-IOS-0233</t>
        </is>
      </c>
      <c r="B235" t="inlineStr">
        <is>
          <t>House Party</t>
        </is>
      </c>
      <c r="C235" t="inlineStr">
        <is>
          <t>PERCENTAGE</t>
        </is>
      </c>
      <c r="D235" t="inlineStr">
        <is>
          <t>IOS Meera</t>
        </is>
      </c>
      <c r="E235" s="16" t="n">
        <v>25219.85</v>
      </c>
      <c r="F235" s="16" t="n">
        <v>5043.96</v>
      </c>
      <c r="G235" s="17" t="n">
        <v>20</v>
      </c>
      <c r="H235" s="16" t="n">
        <v>20175.89</v>
      </c>
      <c r="I235" s="16" t="n">
        <v>0</v>
      </c>
    </row>
    <row r="236">
      <c r="A236" t="inlineStr">
        <is>
          <t>MTR-IOS-0236</t>
        </is>
      </c>
      <c r="B236" t="inlineStr">
        <is>
          <t>House Party</t>
        </is>
      </c>
      <c r="C236" t="inlineStr">
        <is>
          <t>EXACT</t>
        </is>
      </c>
      <c r="D236" t="inlineStr">
        <is>
          <t>IOS Owner</t>
        </is>
      </c>
      <c r="E236" s="16" t="n">
        <v>25493.74</v>
      </c>
      <c r="F236" s="16" t="n">
        <v>8489.42</v>
      </c>
      <c r="G236" s="17" t="n"/>
      <c r="H236" s="16" t="n">
        <v>17004.32</v>
      </c>
      <c r="I236" s="16" t="n">
        <v>0</v>
      </c>
    </row>
    <row r="237">
      <c r="A237" t="inlineStr">
        <is>
          <t>MTR-IOS-0236</t>
        </is>
      </c>
      <c r="B237" t="inlineStr">
        <is>
          <t>House Party</t>
        </is>
      </c>
      <c r="C237" t="inlineStr">
        <is>
          <t>EXACT</t>
        </is>
      </c>
      <c r="D237" t="inlineStr">
        <is>
          <t>IOS Aarav</t>
        </is>
      </c>
      <c r="E237" s="16" t="n">
        <v>0</v>
      </c>
      <c r="F237" s="16" t="n">
        <v>8489.42</v>
      </c>
      <c r="G237" s="17" t="n"/>
      <c r="H237" s="16" t="n">
        <v>-8489.42</v>
      </c>
      <c r="I237" s="16" t="n">
        <v>0</v>
      </c>
    </row>
    <row r="238">
      <c r="A238" t="inlineStr">
        <is>
          <t>MTR-IOS-0236</t>
        </is>
      </c>
      <c r="B238" t="inlineStr">
        <is>
          <t>House Party</t>
        </is>
      </c>
      <c r="C238" t="inlineStr">
        <is>
          <t>EXACT</t>
        </is>
      </c>
      <c r="D238" t="inlineStr">
        <is>
          <t>IOS Meera</t>
        </is>
      </c>
      <c r="E238" s="16" t="n">
        <v>0</v>
      </c>
      <c r="F238" s="16" t="n">
        <v>8514.9</v>
      </c>
      <c r="G238" s="17" t="n"/>
      <c r="H238" s="16" t="n">
        <v>-8514.9</v>
      </c>
      <c r="I238" s="16" t="n">
        <v>0</v>
      </c>
    </row>
    <row r="239">
      <c r="A239" t="inlineStr">
        <is>
          <t>MTR-IOS-0239</t>
        </is>
      </c>
      <c r="B239" t="inlineStr">
        <is>
          <t>House Party</t>
        </is>
      </c>
      <c r="C239" t="inlineStr">
        <is>
          <t>SHARES</t>
        </is>
      </c>
      <c r="D239" t="inlineStr">
        <is>
          <t>IOS Owner</t>
        </is>
      </c>
      <c r="E239" s="16" t="n">
        <v>0</v>
      </c>
      <c r="F239" s="16" t="n">
        <v>1698.84</v>
      </c>
      <c r="G239" s="17" t="n"/>
      <c r="H239" s="16" t="n">
        <v>-1698.84</v>
      </c>
      <c r="I239" s="16" t="n">
        <v>0</v>
      </c>
    </row>
    <row r="240">
      <c r="A240" t="inlineStr">
        <is>
          <t>MTR-IOS-0239</t>
        </is>
      </c>
      <c r="B240" t="inlineStr">
        <is>
          <t>House Party</t>
        </is>
      </c>
      <c r="C240" t="inlineStr">
        <is>
          <t>SHARES</t>
        </is>
      </c>
      <c r="D240" t="inlineStr">
        <is>
          <t>IOS Aarav</t>
        </is>
      </c>
      <c r="E240" s="16" t="n">
        <v>3397.68</v>
      </c>
      <c r="F240" s="16" t="n">
        <v>1132.56</v>
      </c>
      <c r="G240" s="17" t="n"/>
      <c r="H240" s="16" t="n">
        <v>2265.12</v>
      </c>
      <c r="I240" s="16" t="n">
        <v>0</v>
      </c>
    </row>
    <row r="241">
      <c r="A241" t="inlineStr">
        <is>
          <t>MTR-IOS-0239</t>
        </is>
      </c>
      <c r="B241" t="inlineStr">
        <is>
          <t>House Party</t>
        </is>
      </c>
      <c r="C241" t="inlineStr">
        <is>
          <t>SHARES</t>
        </is>
      </c>
      <c r="D241" t="inlineStr">
        <is>
          <t>IOS Meera</t>
        </is>
      </c>
      <c r="E241" s="16" t="n">
        <v>0</v>
      </c>
      <c r="F241" s="16" t="n">
        <v>566.28</v>
      </c>
      <c r="G241" s="17" t="n"/>
      <c r="H241" s="16" t="n">
        <v>-566.28</v>
      </c>
      <c r="I241" s="16" t="n">
        <v>0</v>
      </c>
    </row>
    <row r="242">
      <c r="A242" t="inlineStr">
        <is>
          <t>MTR-IOS-0242</t>
        </is>
      </c>
      <c r="B242" t="inlineStr">
        <is>
          <t>House Party</t>
        </is>
      </c>
      <c r="C242" t="inlineStr">
        <is>
          <t>EQUAL</t>
        </is>
      </c>
      <c r="D242" t="inlineStr">
        <is>
          <t>IOS Owner</t>
        </is>
      </c>
      <c r="E242" s="16" t="n">
        <v>0</v>
      </c>
      <c r="F242" s="16" t="n">
        <v>1714.84</v>
      </c>
      <c r="G242" s="17" t="n"/>
      <c r="H242" s="16" t="n">
        <v>-1714.84</v>
      </c>
      <c r="I242" s="16" t="n">
        <v>0</v>
      </c>
    </row>
    <row r="243">
      <c r="A243" t="inlineStr">
        <is>
          <t>MTR-IOS-0242</t>
        </is>
      </c>
      <c r="B243" t="inlineStr">
        <is>
          <t>House Party</t>
        </is>
      </c>
      <c r="C243" t="inlineStr">
        <is>
          <t>EQUAL</t>
        </is>
      </c>
      <c r="D243" t="inlineStr">
        <is>
          <t>IOS Aarav</t>
        </is>
      </c>
      <c r="E243" s="16" t="n">
        <v>0</v>
      </c>
      <c r="F243" s="16" t="n">
        <v>1714.84</v>
      </c>
      <c r="G243" s="17" t="n"/>
      <c r="H243" s="16" t="n">
        <v>-1714.84</v>
      </c>
      <c r="I243" s="16" t="n">
        <v>0</v>
      </c>
    </row>
    <row r="244">
      <c r="A244" t="inlineStr">
        <is>
          <t>MTR-IOS-0242</t>
        </is>
      </c>
      <c r="B244" t="inlineStr">
        <is>
          <t>House Party</t>
        </is>
      </c>
      <c r="C244" t="inlineStr">
        <is>
          <t>EQUAL</t>
        </is>
      </c>
      <c r="D244" t="inlineStr">
        <is>
          <t>IOS Meera</t>
        </is>
      </c>
      <c r="E244" s="16" t="n">
        <v>5144.52</v>
      </c>
      <c r="F244" s="16" t="n">
        <v>1714.84</v>
      </c>
      <c r="G244" s="17" t="n"/>
      <c r="H244" s="16" t="n">
        <v>3429.68</v>
      </c>
      <c r="I244" s="16" t="n">
        <v>0</v>
      </c>
    </row>
    <row r="245">
      <c r="A245" t="inlineStr">
        <is>
          <t>MTR-IOS-0245</t>
        </is>
      </c>
      <c r="B245" t="inlineStr">
        <is>
          <t>House Party</t>
        </is>
      </c>
      <c r="C245" t="inlineStr">
        <is>
          <t>PERCENTAGE</t>
        </is>
      </c>
      <c r="D245" t="inlineStr">
        <is>
          <t>IOS Owner</t>
        </is>
      </c>
      <c r="E245" s="16" t="n">
        <v>26303.07</v>
      </c>
      <c r="F245" s="16" t="n">
        <v>13151.54</v>
      </c>
      <c r="G245" s="17" t="n">
        <v>50</v>
      </c>
      <c r="H245" s="16" t="n">
        <v>13151.53</v>
      </c>
      <c r="I245" s="16" t="n">
        <v>0</v>
      </c>
    </row>
    <row r="246">
      <c r="A246" t="inlineStr">
        <is>
          <t>MTR-IOS-0245</t>
        </is>
      </c>
      <c r="B246" t="inlineStr">
        <is>
          <t>House Party</t>
        </is>
      </c>
      <c r="C246" t="inlineStr">
        <is>
          <t>PERCENTAGE</t>
        </is>
      </c>
      <c r="D246" t="inlineStr">
        <is>
          <t>IOS Aarav</t>
        </is>
      </c>
      <c r="E246" s="16" t="n">
        <v>0</v>
      </c>
      <c r="F246" s="16" t="n">
        <v>7890.92</v>
      </c>
      <c r="G246" s="17" t="n">
        <v>30</v>
      </c>
      <c r="H246" s="16" t="n">
        <v>-7890.92</v>
      </c>
      <c r="I246" s="16" t="n">
        <v>0</v>
      </c>
    </row>
    <row r="247">
      <c r="A247" t="inlineStr">
        <is>
          <t>MTR-IOS-0245</t>
        </is>
      </c>
      <c r="B247" t="inlineStr">
        <is>
          <t>House Party</t>
        </is>
      </c>
      <c r="C247" t="inlineStr">
        <is>
          <t>PERCENTAGE</t>
        </is>
      </c>
      <c r="D247" t="inlineStr">
        <is>
          <t>IOS Meera</t>
        </is>
      </c>
      <c r="E247" s="16" t="n">
        <v>0</v>
      </c>
      <c r="F247" s="16" t="n">
        <v>5260.61</v>
      </c>
      <c r="G247" s="17" t="n">
        <v>20</v>
      </c>
      <c r="H247" s="16" t="n">
        <v>-5260.61</v>
      </c>
      <c r="I247" s="16" t="n">
        <v>0</v>
      </c>
    </row>
    <row r="248">
      <c r="A248" t="inlineStr">
        <is>
          <t>MTR-IOS-0248</t>
        </is>
      </c>
      <c r="B248" t="inlineStr">
        <is>
          <t>Gift Pool</t>
        </is>
      </c>
      <c r="C248" t="inlineStr">
        <is>
          <t>EXACT</t>
        </is>
      </c>
      <c r="D248" t="inlineStr">
        <is>
          <t>IOS Owner</t>
        </is>
      </c>
      <c r="E248" s="16" t="n">
        <v>0</v>
      </c>
      <c r="F248" s="16" t="n">
        <v>1185.32</v>
      </c>
      <c r="G248" s="17" t="n"/>
      <c r="H248" s="16" t="n">
        <v>-1185.32</v>
      </c>
      <c r="I248" s="16" t="n">
        <v>0</v>
      </c>
    </row>
    <row r="249">
      <c r="A249" t="inlineStr">
        <is>
          <t>MTR-IOS-0248</t>
        </is>
      </c>
      <c r="B249" t="inlineStr">
        <is>
          <t>Gift Pool</t>
        </is>
      </c>
      <c r="C249" t="inlineStr">
        <is>
          <t>EXACT</t>
        </is>
      </c>
      <c r="D249" t="inlineStr">
        <is>
          <t>IOS Aarav</t>
        </is>
      </c>
      <c r="E249" s="16" t="n">
        <v>3559.52</v>
      </c>
      <c r="F249" s="16" t="n">
        <v>1185.32</v>
      </c>
      <c r="G249" s="17" t="n"/>
      <c r="H249" s="16" t="n">
        <v>2374.2</v>
      </c>
      <c r="I249" s="16" t="n">
        <v>0</v>
      </c>
    </row>
    <row r="250">
      <c r="A250" t="inlineStr">
        <is>
          <t>MTR-IOS-0248</t>
        </is>
      </c>
      <c r="B250" t="inlineStr">
        <is>
          <t>Gift Pool</t>
        </is>
      </c>
      <c r="C250" t="inlineStr">
        <is>
          <t>EXACT</t>
        </is>
      </c>
      <c r="D250" t="inlineStr">
        <is>
          <t>IOS Meera</t>
        </is>
      </c>
      <c r="E250" s="16" t="n">
        <v>0</v>
      </c>
      <c r="F250" s="16" t="n">
        <v>1188.88</v>
      </c>
      <c r="G250" s="17" t="n"/>
      <c r="H250" s="16" t="n">
        <v>-1188.88</v>
      </c>
      <c r="I250" s="16" t="n">
        <v>0</v>
      </c>
    </row>
    <row r="251">
      <c r="A251" t="inlineStr">
        <is>
          <t>MTR-IOS-0251</t>
        </is>
      </c>
      <c r="B251" t="inlineStr">
        <is>
          <t>Gift Pool</t>
        </is>
      </c>
      <c r="C251" t="inlineStr">
        <is>
          <t>SHARES</t>
        </is>
      </c>
      <c r="D251" t="inlineStr">
        <is>
          <t>IOS Owner</t>
        </is>
      </c>
      <c r="E251" s="16" t="n">
        <v>0</v>
      </c>
      <c r="F251" s="16" t="n">
        <v>2872.11</v>
      </c>
      <c r="G251" s="17" t="n"/>
      <c r="H251" s="16" t="n">
        <v>-2872.11</v>
      </c>
      <c r="I251" s="16" t="n">
        <v>0</v>
      </c>
    </row>
    <row r="252">
      <c r="A252" t="inlineStr">
        <is>
          <t>MTR-IOS-0251</t>
        </is>
      </c>
      <c r="B252" t="inlineStr">
        <is>
          <t>Gift Pool</t>
        </is>
      </c>
      <c r="C252" t="inlineStr">
        <is>
          <t>SHARES</t>
        </is>
      </c>
      <c r="D252" t="inlineStr">
        <is>
          <t>IOS Aarav</t>
        </is>
      </c>
      <c r="E252" s="16" t="n">
        <v>0</v>
      </c>
      <c r="F252" s="16" t="n">
        <v>1914.74</v>
      </c>
      <c r="G252" s="17" t="n"/>
      <c r="H252" s="16" t="n">
        <v>-1914.74</v>
      </c>
      <c r="I252" s="16" t="n">
        <v>0</v>
      </c>
    </row>
    <row r="253">
      <c r="A253" t="inlineStr">
        <is>
          <t>MTR-IOS-0251</t>
        </is>
      </c>
      <c r="B253" t="inlineStr">
        <is>
          <t>Gift Pool</t>
        </is>
      </c>
      <c r="C253" t="inlineStr">
        <is>
          <t>SHARES</t>
        </is>
      </c>
      <c r="D253" t="inlineStr">
        <is>
          <t>IOS Meera</t>
        </is>
      </c>
      <c r="E253" s="16" t="n">
        <v>5744.22</v>
      </c>
      <c r="F253" s="16" t="n">
        <v>957.37</v>
      </c>
      <c r="G253" s="17" t="n"/>
      <c r="H253" s="16" t="n">
        <v>4786.85</v>
      </c>
      <c r="I253" s="16" t="n">
        <v>0</v>
      </c>
    </row>
    <row r="254">
      <c r="A254" t="inlineStr">
        <is>
          <t>MTR-IOS-0254</t>
        </is>
      </c>
      <c r="B254" t="inlineStr">
        <is>
          <t>Gift Pool</t>
        </is>
      </c>
      <c r="C254" t="inlineStr">
        <is>
          <t>EQUAL</t>
        </is>
      </c>
      <c r="D254" t="inlineStr">
        <is>
          <t>IOS Owner</t>
        </is>
      </c>
      <c r="E254" s="16" t="n">
        <v>19482.92</v>
      </c>
      <c r="F254" s="16" t="n">
        <v>6494.31</v>
      </c>
      <c r="G254" s="17" t="n"/>
      <c r="H254" s="16" t="n">
        <v>12988.61</v>
      </c>
      <c r="I254" s="16" t="n">
        <v>0</v>
      </c>
    </row>
    <row r="255">
      <c r="A255" t="inlineStr">
        <is>
          <t>MTR-IOS-0254</t>
        </is>
      </c>
      <c r="B255" t="inlineStr">
        <is>
          <t>Gift Pool</t>
        </is>
      </c>
      <c r="C255" t="inlineStr">
        <is>
          <t>EQUAL</t>
        </is>
      </c>
      <c r="D255" t="inlineStr">
        <is>
          <t>IOS Aarav</t>
        </is>
      </c>
      <c r="E255" s="16" t="n">
        <v>0</v>
      </c>
      <c r="F255" s="16" t="n">
        <v>6494.31</v>
      </c>
      <c r="G255" s="17" t="n"/>
      <c r="H255" s="16" t="n">
        <v>-6494.31</v>
      </c>
      <c r="I255" s="16" t="n">
        <v>0</v>
      </c>
    </row>
    <row r="256">
      <c r="A256" t="inlineStr">
        <is>
          <t>MTR-IOS-0254</t>
        </is>
      </c>
      <c r="B256" t="inlineStr">
        <is>
          <t>Gift Pool</t>
        </is>
      </c>
      <c r="C256" t="inlineStr">
        <is>
          <t>EQUAL</t>
        </is>
      </c>
      <c r="D256" t="inlineStr">
        <is>
          <t>IOS Meera</t>
        </is>
      </c>
      <c r="E256" s="16" t="n">
        <v>0</v>
      </c>
      <c r="F256" s="16" t="n">
        <v>6494.3</v>
      </c>
      <c r="G256" s="17" t="n"/>
      <c r="H256" s="16" t="n">
        <v>-6494.3</v>
      </c>
      <c r="I256" s="16" t="n">
        <v>0</v>
      </c>
    </row>
    <row r="257">
      <c r="A257" t="inlineStr">
        <is>
          <t>MTR-IOS-0257</t>
        </is>
      </c>
      <c r="B257" t="inlineStr">
        <is>
          <t>Gift Pool</t>
        </is>
      </c>
      <c r="C257" t="inlineStr">
        <is>
          <t>PERCENTAGE</t>
        </is>
      </c>
      <c r="D257" t="inlineStr">
        <is>
          <t>IOS Owner</t>
        </is>
      </c>
      <c r="E257" s="16" t="n">
        <v>0</v>
      </c>
      <c r="F257" s="16" t="n">
        <v>7492.23</v>
      </c>
      <c r="G257" s="17" t="n">
        <v>50</v>
      </c>
      <c r="H257" s="16" t="n">
        <v>-7492.23</v>
      </c>
      <c r="I257" s="16" t="n">
        <v>0</v>
      </c>
    </row>
    <row r="258">
      <c r="A258" t="inlineStr">
        <is>
          <t>MTR-IOS-0257</t>
        </is>
      </c>
      <c r="B258" t="inlineStr">
        <is>
          <t>Gift Pool</t>
        </is>
      </c>
      <c r="C258" t="inlineStr">
        <is>
          <t>PERCENTAGE</t>
        </is>
      </c>
      <c r="D258" t="inlineStr">
        <is>
          <t>IOS Aarav</t>
        </is>
      </c>
      <c r="E258" s="16" t="n">
        <v>14984.45</v>
      </c>
      <c r="F258" s="16" t="n">
        <v>4495.34</v>
      </c>
      <c r="G258" s="17" t="n">
        <v>30</v>
      </c>
      <c r="H258" s="16" t="n">
        <v>10489.11</v>
      </c>
      <c r="I258" s="16" t="n">
        <v>0</v>
      </c>
    </row>
    <row r="259">
      <c r="A259" t="inlineStr">
        <is>
          <t>MTR-IOS-0257</t>
        </is>
      </c>
      <c r="B259" t="inlineStr">
        <is>
          <t>Gift Pool</t>
        </is>
      </c>
      <c r="C259" t="inlineStr">
        <is>
          <t>PERCENTAGE</t>
        </is>
      </c>
      <c r="D259" t="inlineStr">
        <is>
          <t>IOS Meera</t>
        </is>
      </c>
      <c r="E259" s="16" t="n">
        <v>0</v>
      </c>
      <c r="F259" s="16" t="n">
        <v>2996.88</v>
      </c>
      <c r="G259" s="17" t="n">
        <v>20</v>
      </c>
      <c r="H259" s="16" t="n">
        <v>-2996.88</v>
      </c>
      <c r="I259" s="16" t="n">
        <v>0</v>
      </c>
    </row>
    <row r="260">
      <c r="A260" t="inlineStr">
        <is>
          <t>MTR-IOS-0260</t>
        </is>
      </c>
      <c r="B260" t="inlineStr">
        <is>
          <t>Purchase</t>
        </is>
      </c>
      <c r="C260" t="inlineStr">
        <is>
          <t>EXACT</t>
        </is>
      </c>
      <c r="D260" t="inlineStr">
        <is>
          <t>IOS Owner</t>
        </is>
      </c>
      <c r="E260" s="16" t="n">
        <v>0</v>
      </c>
      <c r="F260" s="16" t="n">
        <v>7509.88</v>
      </c>
      <c r="G260" s="17" t="n"/>
      <c r="H260" s="16" t="n">
        <v>-7509.88</v>
      </c>
      <c r="I260" s="16" t="n">
        <v>0</v>
      </c>
    </row>
    <row r="261">
      <c r="A261" t="inlineStr">
        <is>
          <t>MTR-IOS-0260</t>
        </is>
      </c>
      <c r="B261" t="inlineStr">
        <is>
          <t>Purchase</t>
        </is>
      </c>
      <c r="C261" t="inlineStr">
        <is>
          <t>EXACT</t>
        </is>
      </c>
      <c r="D261" t="inlineStr">
        <is>
          <t>IOS Aarav</t>
        </is>
      </c>
      <c r="E261" s="16" t="n">
        <v>0</v>
      </c>
      <c r="F261" s="16" t="n">
        <v>7509.88</v>
      </c>
      <c r="G261" s="17" t="n"/>
      <c r="H261" s="16" t="n">
        <v>-7509.88</v>
      </c>
      <c r="I261" s="16" t="n">
        <v>0</v>
      </c>
    </row>
    <row r="262">
      <c r="A262" t="inlineStr">
        <is>
          <t>MTR-IOS-0260</t>
        </is>
      </c>
      <c r="B262" t="inlineStr">
        <is>
          <t>Purchase</t>
        </is>
      </c>
      <c r="C262" t="inlineStr">
        <is>
          <t>EXACT</t>
        </is>
      </c>
      <c r="D262" t="inlineStr">
        <is>
          <t>IOS Meera</t>
        </is>
      </c>
      <c r="E262" s="16" t="n">
        <v>22552.2</v>
      </c>
      <c r="F262" s="16" t="n">
        <v>7532.44</v>
      </c>
      <c r="G262" s="17" t="n"/>
      <c r="H262" s="16" t="n">
        <v>15019.76</v>
      </c>
      <c r="I262" s="16" t="n">
        <v>0</v>
      </c>
    </row>
    <row r="263">
      <c r="A263" t="inlineStr">
        <is>
          <t>MTR-IOS-0263</t>
        </is>
      </c>
      <c r="B263" t="inlineStr">
        <is>
          <t>Purchase</t>
        </is>
      </c>
      <c r="C263" t="inlineStr">
        <is>
          <t>SHARES</t>
        </is>
      </c>
      <c r="D263" t="inlineStr">
        <is>
          <t>IOS Owner</t>
        </is>
      </c>
      <c r="E263" s="16" t="n">
        <v>10911.16</v>
      </c>
      <c r="F263" s="16" t="n">
        <v>5455.58</v>
      </c>
      <c r="G263" s="17" t="n"/>
      <c r="H263" s="16" t="n">
        <v>5455.58</v>
      </c>
      <c r="I263" s="16" t="n">
        <v>0</v>
      </c>
    </row>
    <row r="264">
      <c r="A264" t="inlineStr">
        <is>
          <t>MTR-IOS-0263</t>
        </is>
      </c>
      <c r="B264" t="inlineStr">
        <is>
          <t>Purchase</t>
        </is>
      </c>
      <c r="C264" t="inlineStr">
        <is>
          <t>SHARES</t>
        </is>
      </c>
      <c r="D264" t="inlineStr">
        <is>
          <t>IOS Aarav</t>
        </is>
      </c>
      <c r="E264" s="16" t="n">
        <v>0</v>
      </c>
      <c r="F264" s="16" t="n">
        <v>3637.05</v>
      </c>
      <c r="G264" s="17" t="n"/>
      <c r="H264" s="16" t="n">
        <v>-3637.05</v>
      </c>
      <c r="I264" s="16" t="n">
        <v>0</v>
      </c>
    </row>
    <row r="265">
      <c r="A265" t="inlineStr">
        <is>
          <t>MTR-IOS-0263</t>
        </is>
      </c>
      <c r="B265" t="inlineStr">
        <is>
          <t>Purchase</t>
        </is>
      </c>
      <c r="C265" t="inlineStr">
        <is>
          <t>SHARES</t>
        </is>
      </c>
      <c r="D265" t="inlineStr">
        <is>
          <t>IOS Meera</t>
        </is>
      </c>
      <c r="E265" s="16" t="n">
        <v>0</v>
      </c>
      <c r="F265" s="16" t="n">
        <v>1818.53</v>
      </c>
      <c r="G265" s="17" t="n"/>
      <c r="H265" s="16" t="n">
        <v>-1818.53</v>
      </c>
      <c r="I265" s="16" t="n">
        <v>0</v>
      </c>
    </row>
    <row r="266">
      <c r="A266" t="inlineStr">
        <is>
          <t>MTR-IOS-0266</t>
        </is>
      </c>
      <c r="B266" t="inlineStr">
        <is>
          <t>Purchase</t>
        </is>
      </c>
      <c r="C266" t="inlineStr">
        <is>
          <t>EQUAL</t>
        </is>
      </c>
      <c r="D266" t="inlineStr">
        <is>
          <t>IOS Owner</t>
        </is>
      </c>
      <c r="E266" s="16" t="n">
        <v>0</v>
      </c>
      <c r="F266" s="16" t="n">
        <v>6945.06</v>
      </c>
      <c r="G266" s="17" t="n"/>
      <c r="H266" s="16" t="n">
        <v>-6945.06</v>
      </c>
      <c r="I266" s="16" t="n">
        <v>0</v>
      </c>
    </row>
    <row r="267">
      <c r="A267" t="inlineStr">
        <is>
          <t>MTR-IOS-0266</t>
        </is>
      </c>
      <c r="B267" t="inlineStr">
        <is>
          <t>Purchase</t>
        </is>
      </c>
      <c r="C267" t="inlineStr">
        <is>
          <t>EQUAL</t>
        </is>
      </c>
      <c r="D267" t="inlineStr">
        <is>
          <t>IOS Aarav</t>
        </is>
      </c>
      <c r="E267" s="16" t="n">
        <v>20835.17</v>
      </c>
      <c r="F267" s="16" t="n">
        <v>6945.06</v>
      </c>
      <c r="G267" s="17" t="n"/>
      <c r="H267" s="16" t="n">
        <v>13890.11</v>
      </c>
      <c r="I267" s="16" t="n">
        <v>0</v>
      </c>
    </row>
    <row r="268">
      <c r="A268" t="inlineStr">
        <is>
          <t>MTR-IOS-0266</t>
        </is>
      </c>
      <c r="B268" t="inlineStr">
        <is>
          <t>Purchase</t>
        </is>
      </c>
      <c r="C268" t="inlineStr">
        <is>
          <t>EQUAL</t>
        </is>
      </c>
      <c r="D268" t="inlineStr">
        <is>
          <t>IOS Meera</t>
        </is>
      </c>
      <c r="E268" s="16" t="n">
        <v>0</v>
      </c>
      <c r="F268" s="16" t="n">
        <v>6945.05</v>
      </c>
      <c r="G268" s="17" t="n"/>
      <c r="H268" s="16" t="n">
        <v>-6945.05</v>
      </c>
      <c r="I268" s="16" t="n">
        <v>0</v>
      </c>
    </row>
    <row r="269">
      <c r="A269" t="inlineStr">
        <is>
          <t>MTR-IOS-0269</t>
        </is>
      </c>
      <c r="B269" t="inlineStr">
        <is>
          <t>Purchase</t>
        </is>
      </c>
      <c r="C269" t="inlineStr">
        <is>
          <t>PERCENTAGE</t>
        </is>
      </c>
      <c r="D269" t="inlineStr">
        <is>
          <t>IOS Owner</t>
        </is>
      </c>
      <c r="E269" s="16" t="n">
        <v>0</v>
      </c>
      <c r="F269" s="16" t="n">
        <v>3592.74</v>
      </c>
      <c r="G269" s="17" t="n">
        <v>50</v>
      </c>
      <c r="H269" s="16" t="n">
        <v>-3592.74</v>
      </c>
      <c r="I269" s="16" t="n">
        <v>0</v>
      </c>
    </row>
    <row r="270">
      <c r="A270" t="inlineStr">
        <is>
          <t>MTR-IOS-0269</t>
        </is>
      </c>
      <c r="B270" t="inlineStr">
        <is>
          <t>Purchase</t>
        </is>
      </c>
      <c r="C270" t="inlineStr">
        <is>
          <t>PERCENTAGE</t>
        </is>
      </c>
      <c r="D270" t="inlineStr">
        <is>
          <t>IOS Aarav</t>
        </is>
      </c>
      <c r="E270" s="16" t="n">
        <v>0</v>
      </c>
      <c r="F270" s="16" t="n">
        <v>2155.64</v>
      </c>
      <c r="G270" s="17" t="n">
        <v>30</v>
      </c>
      <c r="H270" s="16" t="n">
        <v>-2155.64</v>
      </c>
      <c r="I270" s="16" t="n">
        <v>0</v>
      </c>
    </row>
    <row r="271">
      <c r="A271" t="inlineStr">
        <is>
          <t>MTR-IOS-0269</t>
        </is>
      </c>
      <c r="B271" t="inlineStr">
        <is>
          <t>Purchase</t>
        </is>
      </c>
      <c r="C271" t="inlineStr">
        <is>
          <t>PERCENTAGE</t>
        </is>
      </c>
      <c r="D271" t="inlineStr">
        <is>
          <t>IOS Meera</t>
        </is>
      </c>
      <c r="E271" s="16" t="n">
        <v>7185.47</v>
      </c>
      <c r="F271" s="16" t="n">
        <v>1437.09</v>
      </c>
      <c r="G271" s="17" t="n">
        <v>20</v>
      </c>
      <c r="H271" s="16" t="n">
        <v>5748.38</v>
      </c>
      <c r="I271" s="16" t="n">
        <v>0</v>
      </c>
    </row>
    <row r="272">
      <c r="A272" t="inlineStr">
        <is>
          <t>MTR-IOS-0272</t>
        </is>
      </c>
      <c r="B272" t="inlineStr">
        <is>
          <t>Assets</t>
        </is>
      </c>
      <c r="C272" t="inlineStr">
        <is>
          <t>EXACT</t>
        </is>
      </c>
      <c r="D272" t="inlineStr">
        <is>
          <t>IOS Owner</t>
        </is>
      </c>
      <c r="E272" s="16" t="n">
        <v>13337.69</v>
      </c>
      <c r="F272" s="16" t="n">
        <v>4441.45</v>
      </c>
      <c r="G272" s="17" t="n"/>
      <c r="H272" s="16" t="n">
        <v>8896.24</v>
      </c>
      <c r="I272" s="16" t="n">
        <v>0</v>
      </c>
    </row>
    <row r="273">
      <c r="A273" t="inlineStr">
        <is>
          <t>MTR-IOS-0272</t>
        </is>
      </c>
      <c r="B273" t="inlineStr">
        <is>
          <t>Assets</t>
        </is>
      </c>
      <c r="C273" t="inlineStr">
        <is>
          <t>EXACT</t>
        </is>
      </c>
      <c r="D273" t="inlineStr">
        <is>
          <t>IOS Aarav</t>
        </is>
      </c>
      <c r="E273" s="16" t="n">
        <v>0</v>
      </c>
      <c r="F273" s="16" t="n">
        <v>4441.45</v>
      </c>
      <c r="G273" s="17" t="n"/>
      <c r="H273" s="16" t="n">
        <v>-4441.45</v>
      </c>
      <c r="I273" s="16" t="n">
        <v>0</v>
      </c>
    </row>
    <row r="274">
      <c r="A274" t="inlineStr">
        <is>
          <t>MTR-IOS-0272</t>
        </is>
      </c>
      <c r="B274" t="inlineStr">
        <is>
          <t>Assets</t>
        </is>
      </c>
      <c r="C274" t="inlineStr">
        <is>
          <t>EXACT</t>
        </is>
      </c>
      <c r="D274" t="inlineStr">
        <is>
          <t>IOS Meera</t>
        </is>
      </c>
      <c r="E274" s="16" t="n">
        <v>0</v>
      </c>
      <c r="F274" s="16" t="n">
        <v>4454.79</v>
      </c>
      <c r="G274" s="17" t="n"/>
      <c r="H274" s="16" t="n">
        <v>-4454.79</v>
      </c>
      <c r="I274" s="16" t="n">
        <v>0</v>
      </c>
    </row>
    <row r="275">
      <c r="A275" t="inlineStr">
        <is>
          <t>MTR-IOS-0275</t>
        </is>
      </c>
      <c r="B275" t="inlineStr">
        <is>
          <t>Assets</t>
        </is>
      </c>
      <c r="C275" t="inlineStr">
        <is>
          <t>SHARES</t>
        </is>
      </c>
      <c r="D275" t="inlineStr">
        <is>
          <t>IOS Owner</t>
        </is>
      </c>
      <c r="E275" s="16" t="n">
        <v>0</v>
      </c>
      <c r="F275" s="16" t="n">
        <v>2841.01</v>
      </c>
      <c r="G275" s="17" t="n"/>
      <c r="H275" s="16" t="n">
        <v>-2841.01</v>
      </c>
      <c r="I275" s="16" t="n">
        <v>0</v>
      </c>
    </row>
    <row r="276">
      <c r="A276" t="inlineStr">
        <is>
          <t>MTR-IOS-0275</t>
        </is>
      </c>
      <c r="B276" t="inlineStr">
        <is>
          <t>Assets</t>
        </is>
      </c>
      <c r="C276" t="inlineStr">
        <is>
          <t>SHARES</t>
        </is>
      </c>
      <c r="D276" t="inlineStr">
        <is>
          <t>IOS Aarav</t>
        </is>
      </c>
      <c r="E276" s="16" t="n">
        <v>5682.01</v>
      </c>
      <c r="F276" s="16" t="n">
        <v>1894</v>
      </c>
      <c r="G276" s="17" t="n"/>
      <c r="H276" s="16" t="n">
        <v>3788.01</v>
      </c>
      <c r="I276" s="16" t="n">
        <v>0</v>
      </c>
    </row>
    <row r="277">
      <c r="A277" t="inlineStr">
        <is>
          <t>MTR-IOS-0275</t>
        </is>
      </c>
      <c r="B277" t="inlineStr">
        <is>
          <t>Assets</t>
        </is>
      </c>
      <c r="C277" t="inlineStr">
        <is>
          <t>SHARES</t>
        </is>
      </c>
      <c r="D277" t="inlineStr">
        <is>
          <t>IOS Meera</t>
        </is>
      </c>
      <c r="E277" s="16" t="n">
        <v>0</v>
      </c>
      <c r="F277" s="16" t="n">
        <v>947</v>
      </c>
      <c r="G277" s="17" t="n"/>
      <c r="H277" s="16" t="n">
        <v>-947</v>
      </c>
      <c r="I277" s="16" t="n">
        <v>0</v>
      </c>
    </row>
    <row r="278">
      <c r="A278" t="inlineStr">
        <is>
          <t>MTR-IOS-0278</t>
        </is>
      </c>
      <c r="B278" t="inlineStr">
        <is>
          <t>Assets</t>
        </is>
      </c>
      <c r="C278" t="inlineStr">
        <is>
          <t>EQUAL</t>
        </is>
      </c>
      <c r="D278" t="inlineStr">
        <is>
          <t>IOS Owner</t>
        </is>
      </c>
      <c r="E278" s="16" t="n">
        <v>0</v>
      </c>
      <c r="F278" s="16" t="n">
        <v>8599.17</v>
      </c>
      <c r="G278" s="17" t="n"/>
      <c r="H278" s="16" t="n">
        <v>-8599.17</v>
      </c>
      <c r="I278" s="16" t="n">
        <v>0</v>
      </c>
    </row>
    <row r="279">
      <c r="A279" t="inlineStr">
        <is>
          <t>MTR-IOS-0278</t>
        </is>
      </c>
      <c r="B279" t="inlineStr">
        <is>
          <t>Assets</t>
        </is>
      </c>
      <c r="C279" t="inlineStr">
        <is>
          <t>EQUAL</t>
        </is>
      </c>
      <c r="D279" t="inlineStr">
        <is>
          <t>IOS Aarav</t>
        </is>
      </c>
      <c r="E279" s="16" t="n">
        <v>0</v>
      </c>
      <c r="F279" s="16" t="n">
        <v>8599.17</v>
      </c>
      <c r="G279" s="17" t="n"/>
      <c r="H279" s="16" t="n">
        <v>-8599.17</v>
      </c>
      <c r="I279" s="16" t="n">
        <v>0</v>
      </c>
    </row>
    <row r="280">
      <c r="A280" t="inlineStr">
        <is>
          <t>MTR-IOS-0278</t>
        </is>
      </c>
      <c r="B280" t="inlineStr">
        <is>
          <t>Assets</t>
        </is>
      </c>
      <c r="C280" t="inlineStr">
        <is>
          <t>EQUAL</t>
        </is>
      </c>
      <c r="D280" t="inlineStr">
        <is>
          <t>IOS Meera</t>
        </is>
      </c>
      <c r="E280" s="16" t="n">
        <v>25797.51</v>
      </c>
      <c r="F280" s="16" t="n">
        <v>8599.17</v>
      </c>
      <c r="G280" s="17" t="n"/>
      <c r="H280" s="16" t="n">
        <v>17198.34</v>
      </c>
      <c r="I280" s="16" t="n">
        <v>0</v>
      </c>
    </row>
    <row r="281">
      <c r="A281" t="inlineStr">
        <is>
          <t>MTR-IOS-0281</t>
        </is>
      </c>
      <c r="B281" t="inlineStr">
        <is>
          <t>Assets</t>
        </is>
      </c>
      <c r="C281" t="inlineStr">
        <is>
          <t>PERCENTAGE</t>
        </is>
      </c>
      <c r="D281" t="inlineStr">
        <is>
          <t>IOS Owner</t>
        </is>
      </c>
      <c r="E281" s="16" t="n">
        <v>325.85</v>
      </c>
      <c r="F281" s="16" t="n">
        <v>162.93</v>
      </c>
      <c r="G281" s="17" t="n">
        <v>50</v>
      </c>
      <c r="H281" s="16" t="n">
        <v>162.92</v>
      </c>
      <c r="I281" s="16" t="n">
        <v>0</v>
      </c>
    </row>
    <row r="282">
      <c r="A282" t="inlineStr">
        <is>
          <t>MTR-IOS-0281</t>
        </is>
      </c>
      <c r="B282" t="inlineStr">
        <is>
          <t>Assets</t>
        </is>
      </c>
      <c r="C282" t="inlineStr">
        <is>
          <t>PERCENTAGE</t>
        </is>
      </c>
      <c r="D282" t="inlineStr">
        <is>
          <t>IOS Aarav</t>
        </is>
      </c>
      <c r="E282" s="16" t="n">
        <v>0</v>
      </c>
      <c r="F282" s="16" t="n">
        <v>97.76000000000001</v>
      </c>
      <c r="G282" s="17" t="n">
        <v>30</v>
      </c>
      <c r="H282" s="16" t="n">
        <v>-97.76000000000001</v>
      </c>
      <c r="I282" s="16" t="n">
        <v>0</v>
      </c>
    </row>
    <row r="283">
      <c r="A283" t="inlineStr">
        <is>
          <t>MTR-IOS-0281</t>
        </is>
      </c>
      <c r="B283" t="inlineStr">
        <is>
          <t>Assets</t>
        </is>
      </c>
      <c r="C283" t="inlineStr">
        <is>
          <t>PERCENTAGE</t>
        </is>
      </c>
      <c r="D283" t="inlineStr">
        <is>
          <t>IOS Meera</t>
        </is>
      </c>
      <c r="E283" s="16" t="n">
        <v>0</v>
      </c>
      <c r="F283" s="16" t="n">
        <v>65.16</v>
      </c>
      <c r="G283" s="17" t="n">
        <v>20</v>
      </c>
      <c r="H283" s="16" t="n">
        <v>-65.16</v>
      </c>
      <c r="I283" s="16" t="n">
        <v>0</v>
      </c>
    </row>
    <row r="284">
      <c r="A284" t="inlineStr">
        <is>
          <t>MTR-IOS-0284</t>
        </is>
      </c>
      <c r="B284" t="inlineStr">
        <is>
          <t>Assets</t>
        </is>
      </c>
      <c r="C284" t="inlineStr">
        <is>
          <t>EXACT</t>
        </is>
      </c>
      <c r="D284" t="inlineStr">
        <is>
          <t>IOS Owner</t>
        </is>
      </c>
      <c r="E284" s="16" t="n">
        <v>0</v>
      </c>
      <c r="F284" s="16" t="n">
        <v>3562.14</v>
      </c>
      <c r="G284" s="17" t="n"/>
      <c r="H284" s="16" t="n">
        <v>-3562.14</v>
      </c>
      <c r="I284" s="16" t="n">
        <v>0</v>
      </c>
    </row>
    <row r="285">
      <c r="A285" t="inlineStr">
        <is>
          <t>MTR-IOS-0284</t>
        </is>
      </c>
      <c r="B285" t="inlineStr">
        <is>
          <t>Assets</t>
        </is>
      </c>
      <c r="C285" t="inlineStr">
        <is>
          <t>EXACT</t>
        </is>
      </c>
      <c r="D285" t="inlineStr">
        <is>
          <t>IOS Aarav</t>
        </is>
      </c>
      <c r="E285" s="16" t="n">
        <v>10697.13</v>
      </c>
      <c r="F285" s="16" t="n">
        <v>3562.14</v>
      </c>
      <c r="G285" s="17" t="n"/>
      <c r="H285" s="16" t="n">
        <v>7134.99</v>
      </c>
      <c r="I285" s="16" t="n">
        <v>0</v>
      </c>
    </row>
    <row r="286">
      <c r="A286" t="inlineStr">
        <is>
          <t>MTR-IOS-0284</t>
        </is>
      </c>
      <c r="B286" t="inlineStr">
        <is>
          <t>Assets</t>
        </is>
      </c>
      <c r="C286" t="inlineStr">
        <is>
          <t>EXACT</t>
        </is>
      </c>
      <c r="D286" t="inlineStr">
        <is>
          <t>IOS Meera</t>
        </is>
      </c>
      <c r="E286" s="16" t="n">
        <v>0</v>
      </c>
      <c r="F286" s="16" t="n">
        <v>3572.85</v>
      </c>
      <c r="G286" s="17" t="n"/>
      <c r="H286" s="16" t="n">
        <v>-3572.85</v>
      </c>
      <c r="I286" s="16" t="n">
        <v>0</v>
      </c>
    </row>
    <row r="287">
      <c r="A287" t="inlineStr">
        <is>
          <t>MTR-IOS-0287</t>
        </is>
      </c>
      <c r="B287" t="inlineStr">
        <is>
          <t>Custom Purchase</t>
        </is>
      </c>
      <c r="C287" t="inlineStr">
        <is>
          <t>SHARES</t>
        </is>
      </c>
      <c r="D287" t="inlineStr">
        <is>
          <t>IOS Owner</t>
        </is>
      </c>
      <c r="E287" s="16" t="n">
        <v>0</v>
      </c>
      <c r="F287" s="16" t="n">
        <v>10673.74</v>
      </c>
      <c r="G287" s="17" t="n"/>
      <c r="H287" s="16" t="n">
        <v>-10673.74</v>
      </c>
      <c r="I287" s="16" t="n">
        <v>0</v>
      </c>
    </row>
    <row r="288">
      <c r="A288" t="inlineStr">
        <is>
          <t>MTR-IOS-0287</t>
        </is>
      </c>
      <c r="B288" t="inlineStr">
        <is>
          <t>Custom Purchase</t>
        </is>
      </c>
      <c r="C288" t="inlineStr">
        <is>
          <t>SHARES</t>
        </is>
      </c>
      <c r="D288" t="inlineStr">
        <is>
          <t>IOS Aarav</t>
        </is>
      </c>
      <c r="E288" s="16" t="n">
        <v>0</v>
      </c>
      <c r="F288" s="16" t="n">
        <v>7115.82</v>
      </c>
      <c r="G288" s="17" t="n"/>
      <c r="H288" s="16" t="n">
        <v>-7115.82</v>
      </c>
      <c r="I288" s="16" t="n">
        <v>0</v>
      </c>
    </row>
    <row r="289">
      <c r="A289" t="inlineStr">
        <is>
          <t>MTR-IOS-0287</t>
        </is>
      </c>
      <c r="B289" t="inlineStr">
        <is>
          <t>Custom Purchase</t>
        </is>
      </c>
      <c r="C289" t="inlineStr">
        <is>
          <t>SHARES</t>
        </is>
      </c>
      <c r="D289" t="inlineStr">
        <is>
          <t>IOS Meera</t>
        </is>
      </c>
      <c r="E289" s="16" t="n">
        <v>21347.47</v>
      </c>
      <c r="F289" s="16" t="n">
        <v>3557.91</v>
      </c>
      <c r="G289" s="17" t="n"/>
      <c r="H289" s="16" t="n">
        <v>17789.56</v>
      </c>
      <c r="I289" s="16" t="n">
        <v>0</v>
      </c>
    </row>
    <row r="290">
      <c r="A290" t="inlineStr">
        <is>
          <t>MTR-IOS-0290</t>
        </is>
      </c>
      <c r="B290" t="inlineStr">
        <is>
          <t>Custom Purchase</t>
        </is>
      </c>
      <c r="C290" t="inlineStr">
        <is>
          <t>EQUAL</t>
        </is>
      </c>
      <c r="D290" t="inlineStr">
        <is>
          <t>IOS Owner</t>
        </is>
      </c>
      <c r="E290" s="16" t="n">
        <v>9774.290000000001</v>
      </c>
      <c r="F290" s="16" t="n">
        <v>3258.1</v>
      </c>
      <c r="G290" s="17" t="n"/>
      <c r="H290" s="16" t="n">
        <v>6516.19</v>
      </c>
      <c r="I290" s="16" t="n">
        <v>0</v>
      </c>
    </row>
    <row r="291">
      <c r="A291" t="inlineStr">
        <is>
          <t>MTR-IOS-0290</t>
        </is>
      </c>
      <c r="B291" t="inlineStr">
        <is>
          <t>Custom Purchase</t>
        </is>
      </c>
      <c r="C291" t="inlineStr">
        <is>
          <t>EQUAL</t>
        </is>
      </c>
      <c r="D291" t="inlineStr">
        <is>
          <t>IOS Aarav</t>
        </is>
      </c>
      <c r="E291" s="16" t="n">
        <v>0</v>
      </c>
      <c r="F291" s="16" t="n">
        <v>3258.1</v>
      </c>
      <c r="G291" s="17" t="n"/>
      <c r="H291" s="16" t="n">
        <v>-3258.1</v>
      </c>
      <c r="I291" s="16" t="n">
        <v>0</v>
      </c>
    </row>
    <row r="292">
      <c r="A292" t="inlineStr">
        <is>
          <t>MTR-IOS-0290</t>
        </is>
      </c>
      <c r="B292" t="inlineStr">
        <is>
          <t>Custom Purchase</t>
        </is>
      </c>
      <c r="C292" t="inlineStr">
        <is>
          <t>EQUAL</t>
        </is>
      </c>
      <c r="D292" t="inlineStr">
        <is>
          <t>IOS Meera</t>
        </is>
      </c>
      <c r="E292" s="16" t="n">
        <v>0</v>
      </c>
      <c r="F292" s="16" t="n">
        <v>3258.09</v>
      </c>
      <c r="G292" s="17" t="n"/>
      <c r="H292" s="16" t="n">
        <v>-3258.09</v>
      </c>
      <c r="I292" s="16" t="n">
        <v>0</v>
      </c>
    </row>
    <row r="293">
      <c r="A293" t="inlineStr">
        <is>
          <t>MTR-IOS-0293</t>
        </is>
      </c>
      <c r="B293" t="inlineStr">
        <is>
          <t>Flatmates</t>
        </is>
      </c>
      <c r="C293" t="inlineStr">
        <is>
          <t>PERCENTAGE</t>
        </is>
      </c>
      <c r="D293" t="inlineStr">
        <is>
          <t>IOS Owner</t>
        </is>
      </c>
      <c r="E293" s="16" t="n">
        <v>0</v>
      </c>
      <c r="F293" s="16" t="n">
        <v>12562.59</v>
      </c>
      <c r="G293" s="17" t="n">
        <v>50</v>
      </c>
      <c r="H293" s="16" t="n">
        <v>-12562.59</v>
      </c>
      <c r="I293" s="16" t="n">
        <v>0</v>
      </c>
    </row>
    <row r="294">
      <c r="A294" t="inlineStr">
        <is>
          <t>MTR-IOS-0293</t>
        </is>
      </c>
      <c r="B294" t="inlineStr">
        <is>
          <t>Flatmates</t>
        </is>
      </c>
      <c r="C294" t="inlineStr">
        <is>
          <t>PERCENTAGE</t>
        </is>
      </c>
      <c r="D294" t="inlineStr">
        <is>
          <t>IOS Aarav</t>
        </is>
      </c>
      <c r="E294" s="16" t="n">
        <v>25125.18</v>
      </c>
      <c r="F294" s="16" t="n">
        <v>7537.55</v>
      </c>
      <c r="G294" s="17" t="n">
        <v>30</v>
      </c>
      <c r="H294" s="16" t="n">
        <v>17587.63</v>
      </c>
      <c r="I294" s="16" t="n">
        <v>0</v>
      </c>
    </row>
    <row r="295">
      <c r="A295" t="inlineStr">
        <is>
          <t>MTR-IOS-0293</t>
        </is>
      </c>
      <c r="B295" t="inlineStr">
        <is>
          <t>Flatmates</t>
        </is>
      </c>
      <c r="C295" t="inlineStr">
        <is>
          <t>PERCENTAGE</t>
        </is>
      </c>
      <c r="D295" t="inlineStr">
        <is>
          <t>IOS Meera</t>
        </is>
      </c>
      <c r="E295" s="16" t="n">
        <v>0</v>
      </c>
      <c r="F295" s="16" t="n">
        <v>5025.04</v>
      </c>
      <c r="G295" s="17" t="n">
        <v>20</v>
      </c>
      <c r="H295" s="16" t="n">
        <v>-5025.04</v>
      </c>
      <c r="I295" s="16" t="n">
        <v>0</v>
      </c>
    </row>
    <row r="296">
      <c r="A296" t="inlineStr">
        <is>
          <t>MTR-IOS-0296</t>
        </is>
      </c>
      <c r="B296" t="inlineStr">
        <is>
          <t>Flatmates</t>
        </is>
      </c>
      <c r="C296" t="inlineStr">
        <is>
          <t>EXACT</t>
        </is>
      </c>
      <c r="D296" t="inlineStr">
        <is>
          <t>IOS Owner</t>
        </is>
      </c>
      <c r="E296" s="16" t="n">
        <v>0</v>
      </c>
      <c r="F296" s="16" t="n">
        <v>33.3</v>
      </c>
      <c r="G296" s="17" t="n"/>
      <c r="H296" s="16" t="n">
        <v>-33.3</v>
      </c>
      <c r="I296" s="16" t="n">
        <v>0</v>
      </c>
    </row>
    <row r="297">
      <c r="A297" t="inlineStr">
        <is>
          <t>MTR-IOS-0296</t>
        </is>
      </c>
      <c r="B297" t="inlineStr">
        <is>
          <t>Flatmates</t>
        </is>
      </c>
      <c r="C297" t="inlineStr">
        <is>
          <t>EXACT</t>
        </is>
      </c>
      <c r="D297" t="inlineStr">
        <is>
          <t>IOS Aarav</t>
        </is>
      </c>
      <c r="E297" s="16" t="n">
        <v>0</v>
      </c>
      <c r="F297" s="16" t="n">
        <v>33.3</v>
      </c>
      <c r="G297" s="17" t="n"/>
      <c r="H297" s="16" t="n">
        <v>-33.3</v>
      </c>
      <c r="I297" s="16" t="n">
        <v>0</v>
      </c>
    </row>
    <row r="298">
      <c r="A298" t="inlineStr">
        <is>
          <t>MTR-IOS-0296</t>
        </is>
      </c>
      <c r="B298" t="inlineStr">
        <is>
          <t>Flatmates</t>
        </is>
      </c>
      <c r="C298" t="inlineStr">
        <is>
          <t>EXACT</t>
        </is>
      </c>
      <c r="D298" t="inlineStr">
        <is>
          <t>IOS Meera</t>
        </is>
      </c>
      <c r="E298" s="16" t="n">
        <v>99.98999999999999</v>
      </c>
      <c r="F298" s="16" t="n">
        <v>33.39</v>
      </c>
      <c r="G298" s="17" t="n"/>
      <c r="H298" s="16" t="n">
        <v>66.59999999999999</v>
      </c>
      <c r="I298" s="16" t="n">
        <v>0</v>
      </c>
    </row>
    <row r="299">
      <c r="A299" t="inlineStr">
        <is>
          <t>MTR-IOS-0299</t>
        </is>
      </c>
      <c r="B299" t="inlineStr">
        <is>
          <t>Flatmates</t>
        </is>
      </c>
      <c r="C299" t="inlineStr">
        <is>
          <t>SHARES</t>
        </is>
      </c>
      <c r="D299" t="inlineStr">
        <is>
          <t>IOS Owner</t>
        </is>
      </c>
      <c r="E299" s="16" t="n">
        <v>18077.99</v>
      </c>
      <c r="F299" s="16" t="n">
        <v>9039</v>
      </c>
      <c r="G299" s="17" t="n"/>
      <c r="H299" s="16" t="n">
        <v>9038.99</v>
      </c>
      <c r="I299" s="16" t="n">
        <v>0</v>
      </c>
    </row>
    <row r="300">
      <c r="A300" t="inlineStr">
        <is>
          <t>MTR-IOS-0299</t>
        </is>
      </c>
      <c r="B300" t="inlineStr">
        <is>
          <t>Flatmates</t>
        </is>
      </c>
      <c r="C300" t="inlineStr">
        <is>
          <t>SHARES</t>
        </is>
      </c>
      <c r="D300" t="inlineStr">
        <is>
          <t>IOS Aarav</t>
        </is>
      </c>
      <c r="E300" s="16" t="n">
        <v>0</v>
      </c>
      <c r="F300" s="16" t="n">
        <v>6026</v>
      </c>
      <c r="G300" s="17" t="n"/>
      <c r="H300" s="16" t="n">
        <v>-6026</v>
      </c>
      <c r="I300" s="16" t="n">
        <v>0</v>
      </c>
    </row>
    <row r="301">
      <c r="A301" t="inlineStr">
        <is>
          <t>MTR-IOS-0299</t>
        </is>
      </c>
      <c r="B301" t="inlineStr">
        <is>
          <t>Flatmates</t>
        </is>
      </c>
      <c r="C301" t="inlineStr">
        <is>
          <t>SHARES</t>
        </is>
      </c>
      <c r="D301" t="inlineStr">
        <is>
          <t>IOS Meera</t>
        </is>
      </c>
      <c r="E301" s="16" t="n">
        <v>0</v>
      </c>
      <c r="F301" s="16" t="n">
        <v>3012.99</v>
      </c>
      <c r="G301" s="17" t="n"/>
      <c r="H301" s="16" t="n">
        <v>-3012.99</v>
      </c>
      <c r="I301" s="16" t="n">
        <v>0</v>
      </c>
    </row>
    <row r="302">
      <c r="A302" t="inlineStr">
        <is>
          <t>MTR-IOS-0302</t>
        </is>
      </c>
      <c r="B302" t="inlineStr">
        <is>
          <t>Flatmates</t>
        </is>
      </c>
      <c r="C302" t="inlineStr">
        <is>
          <t>EQUAL</t>
        </is>
      </c>
      <c r="D302" t="inlineStr">
        <is>
          <t>IOS Owner</t>
        </is>
      </c>
      <c r="E302" s="16" t="n">
        <v>0</v>
      </c>
      <c r="F302" s="16" t="n">
        <v>102.92</v>
      </c>
      <c r="G302" s="17" t="n"/>
      <c r="H302" s="16" t="n">
        <v>-102.92</v>
      </c>
      <c r="I302" s="16" t="n">
        <v>0</v>
      </c>
    </row>
    <row r="303">
      <c r="A303" t="inlineStr">
        <is>
          <t>MTR-IOS-0302</t>
        </is>
      </c>
      <c r="B303" t="inlineStr">
        <is>
          <t>Flatmates</t>
        </is>
      </c>
      <c r="C303" t="inlineStr">
        <is>
          <t>EQUAL</t>
        </is>
      </c>
      <c r="D303" t="inlineStr">
        <is>
          <t>IOS Aarav</t>
        </is>
      </c>
      <c r="E303" s="16" t="n">
        <v>308.75</v>
      </c>
      <c r="F303" s="16" t="n">
        <v>102.92</v>
      </c>
      <c r="G303" s="17" t="n"/>
      <c r="H303" s="16" t="n">
        <v>205.83</v>
      </c>
      <c r="I303" s="16" t="n">
        <v>0</v>
      </c>
    </row>
    <row r="304">
      <c r="A304" t="inlineStr">
        <is>
          <t>MTR-IOS-0302</t>
        </is>
      </c>
      <c r="B304" t="inlineStr">
        <is>
          <t>Flatmates</t>
        </is>
      </c>
      <c r="C304" t="inlineStr">
        <is>
          <t>EQUAL</t>
        </is>
      </c>
      <c r="D304" t="inlineStr">
        <is>
          <t>IOS Meera</t>
        </is>
      </c>
      <c r="E304" s="16" t="n">
        <v>0</v>
      </c>
      <c r="F304" s="16" t="n">
        <v>102.91</v>
      </c>
      <c r="G304" s="17" t="n"/>
      <c r="H304" s="16" t="n">
        <v>-102.91</v>
      </c>
      <c r="I304" s="16" t="n">
        <v>0</v>
      </c>
    </row>
    <row r="305">
      <c r="A305" t="inlineStr">
        <is>
          <t>MTR-IOS-0305</t>
        </is>
      </c>
      <c r="B305" t="inlineStr">
        <is>
          <t>Flatmates</t>
        </is>
      </c>
      <c r="C305" t="inlineStr">
        <is>
          <t>PERCENTAGE</t>
        </is>
      </c>
      <c r="D305" t="inlineStr">
        <is>
          <t>IOS Owner</t>
        </is>
      </c>
      <c r="E305" s="16" t="n">
        <v>0</v>
      </c>
      <c r="F305" s="16" t="n">
        <v>10517.6</v>
      </c>
      <c r="G305" s="17" t="n">
        <v>50</v>
      </c>
      <c r="H305" s="16" t="n">
        <v>-10517.6</v>
      </c>
      <c r="I305" s="16" t="n">
        <v>0</v>
      </c>
    </row>
    <row r="306">
      <c r="A306" t="inlineStr">
        <is>
          <t>MTR-IOS-0305</t>
        </is>
      </c>
      <c r="B306" t="inlineStr">
        <is>
          <t>Flatmates</t>
        </is>
      </c>
      <c r="C306" t="inlineStr">
        <is>
          <t>PERCENTAGE</t>
        </is>
      </c>
      <c r="D306" t="inlineStr">
        <is>
          <t>IOS Aarav</t>
        </is>
      </c>
      <c r="E306" s="16" t="n">
        <v>0</v>
      </c>
      <c r="F306" s="16" t="n">
        <v>6310.56</v>
      </c>
      <c r="G306" s="17" t="n">
        <v>30</v>
      </c>
      <c r="H306" s="16" t="n">
        <v>-6310.56</v>
      </c>
      <c r="I306" s="16" t="n">
        <v>0</v>
      </c>
    </row>
    <row r="307">
      <c r="A307" t="inlineStr">
        <is>
          <t>MTR-IOS-0305</t>
        </is>
      </c>
      <c r="B307" t="inlineStr">
        <is>
          <t>Flatmates</t>
        </is>
      </c>
      <c r="C307" t="inlineStr">
        <is>
          <t>PERCENTAGE</t>
        </is>
      </c>
      <c r="D307" t="inlineStr">
        <is>
          <t>IOS Meera</t>
        </is>
      </c>
      <c r="E307" s="16" t="n">
        <v>21035.19</v>
      </c>
      <c r="F307" s="16" t="n">
        <v>4207.03</v>
      </c>
      <c r="G307" s="17" t="n">
        <v>20</v>
      </c>
      <c r="H307" s="16" t="n">
        <v>16828.16</v>
      </c>
      <c r="I307" s="16" t="n">
        <v>0</v>
      </c>
    </row>
    <row r="308">
      <c r="A308" t="inlineStr">
        <is>
          <t>MTR-IOS-0308</t>
        </is>
      </c>
      <c r="B308" t="inlineStr">
        <is>
          <t>Flatmates</t>
        </is>
      </c>
      <c r="C308" t="inlineStr">
        <is>
          <t>EXACT</t>
        </is>
      </c>
      <c r="D308" t="inlineStr">
        <is>
          <t>IOS Owner</t>
        </is>
      </c>
      <c r="E308" s="16" t="n">
        <v>8538.32</v>
      </c>
      <c r="F308" s="16" t="n">
        <v>2843.26</v>
      </c>
      <c r="G308" s="17" t="n"/>
      <c r="H308" s="16" t="n">
        <v>5695.06</v>
      </c>
      <c r="I308" s="16" t="n">
        <v>0</v>
      </c>
    </row>
    <row r="309">
      <c r="A309" t="inlineStr">
        <is>
          <t>MTR-IOS-0308</t>
        </is>
      </c>
      <c r="B309" t="inlineStr">
        <is>
          <t>Flatmates</t>
        </is>
      </c>
      <c r="C309" t="inlineStr">
        <is>
          <t>EXACT</t>
        </is>
      </c>
      <c r="D309" t="inlineStr">
        <is>
          <t>IOS Aarav</t>
        </is>
      </c>
      <c r="E309" s="16" t="n">
        <v>0</v>
      </c>
      <c r="F309" s="16" t="n">
        <v>2843.26</v>
      </c>
      <c r="G309" s="17" t="n"/>
      <c r="H309" s="16" t="n">
        <v>-2843.26</v>
      </c>
      <c r="I309" s="16" t="n">
        <v>0</v>
      </c>
    </row>
    <row r="310">
      <c r="A310" t="inlineStr">
        <is>
          <t>MTR-IOS-0308</t>
        </is>
      </c>
      <c r="B310" t="inlineStr">
        <is>
          <t>Flatmates</t>
        </is>
      </c>
      <c r="C310" t="inlineStr">
        <is>
          <t>EXACT</t>
        </is>
      </c>
      <c r="D310" t="inlineStr">
        <is>
          <t>IOS Meera</t>
        </is>
      </c>
      <c r="E310" s="16" t="n">
        <v>0</v>
      </c>
      <c r="F310" s="16" t="n">
        <v>2851.8</v>
      </c>
      <c r="G310" s="17" t="n"/>
      <c r="H310" s="16" t="n">
        <v>-2851.8</v>
      </c>
      <c r="I310" s="16" t="n">
        <v>0</v>
      </c>
    </row>
    <row r="311">
      <c r="A311" t="inlineStr">
        <is>
          <t>MTR-IOS-0311</t>
        </is>
      </c>
      <c r="B311" t="inlineStr">
        <is>
          <t>Shared Living</t>
        </is>
      </c>
      <c r="C311" t="inlineStr">
        <is>
          <t>SHARES</t>
        </is>
      </c>
      <c r="D311" t="inlineStr">
        <is>
          <t>IOS Owner</t>
        </is>
      </c>
      <c r="E311" s="16" t="n">
        <v>0</v>
      </c>
      <c r="F311" s="16" t="n">
        <v>7883.68</v>
      </c>
      <c r="G311" s="17" t="n"/>
      <c r="H311" s="16" t="n">
        <v>-7883.68</v>
      </c>
      <c r="I311" s="16" t="n">
        <v>0</v>
      </c>
    </row>
    <row r="312">
      <c r="A312" t="inlineStr">
        <is>
          <t>MTR-IOS-0311</t>
        </is>
      </c>
      <c r="B312" t="inlineStr">
        <is>
          <t>Shared Living</t>
        </is>
      </c>
      <c r="C312" t="inlineStr">
        <is>
          <t>SHARES</t>
        </is>
      </c>
      <c r="D312" t="inlineStr">
        <is>
          <t>IOS Aarav</t>
        </is>
      </c>
      <c r="E312" s="16" t="n">
        <v>15767.35</v>
      </c>
      <c r="F312" s="16" t="n">
        <v>5255.78</v>
      </c>
      <c r="G312" s="17" t="n"/>
      <c r="H312" s="16" t="n">
        <v>10511.57</v>
      </c>
      <c r="I312" s="16" t="n">
        <v>0</v>
      </c>
    </row>
    <row r="313">
      <c r="A313" t="inlineStr">
        <is>
          <t>MTR-IOS-0311</t>
        </is>
      </c>
      <c r="B313" t="inlineStr">
        <is>
          <t>Shared Living</t>
        </is>
      </c>
      <c r="C313" t="inlineStr">
        <is>
          <t>SHARES</t>
        </is>
      </c>
      <c r="D313" t="inlineStr">
        <is>
          <t>IOS Meera</t>
        </is>
      </c>
      <c r="E313" s="16" t="n">
        <v>0</v>
      </c>
      <c r="F313" s="16" t="n">
        <v>2627.89</v>
      </c>
      <c r="G313" s="17" t="n"/>
      <c r="H313" s="16" t="n">
        <v>-2627.89</v>
      </c>
      <c r="I313" s="16" t="n">
        <v>0</v>
      </c>
    </row>
    <row r="314">
      <c r="A314" t="inlineStr">
        <is>
          <t>MTR-IOS-0314</t>
        </is>
      </c>
      <c r="B314" t="inlineStr">
        <is>
          <t>Shared Living</t>
        </is>
      </c>
      <c r="C314" t="inlineStr">
        <is>
          <t>EQUAL</t>
        </is>
      </c>
      <c r="D314" t="inlineStr">
        <is>
          <t>IOS Owner</t>
        </is>
      </c>
      <c r="E314" s="16" t="n">
        <v>0</v>
      </c>
      <c r="F314" s="16" t="n">
        <v>567.25</v>
      </c>
      <c r="G314" s="17" t="n"/>
      <c r="H314" s="16" t="n">
        <v>-567.25</v>
      </c>
      <c r="I314" s="16" t="n">
        <v>0</v>
      </c>
    </row>
    <row r="315">
      <c r="A315" t="inlineStr">
        <is>
          <t>MTR-IOS-0314</t>
        </is>
      </c>
      <c r="B315" t="inlineStr">
        <is>
          <t>Shared Living</t>
        </is>
      </c>
      <c r="C315" t="inlineStr">
        <is>
          <t>EQUAL</t>
        </is>
      </c>
      <c r="D315" t="inlineStr">
        <is>
          <t>IOS Aarav</t>
        </is>
      </c>
      <c r="E315" s="16" t="n">
        <v>0</v>
      </c>
      <c r="F315" s="16" t="n">
        <v>567.25</v>
      </c>
      <c r="G315" s="17" t="n"/>
      <c r="H315" s="16" t="n">
        <v>-567.25</v>
      </c>
      <c r="I315" s="16" t="n">
        <v>0</v>
      </c>
    </row>
    <row r="316">
      <c r="A316" t="inlineStr">
        <is>
          <t>MTR-IOS-0314</t>
        </is>
      </c>
      <c r="B316" t="inlineStr">
        <is>
          <t>Shared Living</t>
        </is>
      </c>
      <c r="C316" t="inlineStr">
        <is>
          <t>EQUAL</t>
        </is>
      </c>
      <c r="D316" t="inlineStr">
        <is>
          <t>IOS Meera</t>
        </is>
      </c>
      <c r="E316" s="16" t="n">
        <v>1701.74</v>
      </c>
      <c r="F316" s="16" t="n">
        <v>567.24</v>
      </c>
      <c r="G316" s="17" t="n"/>
      <c r="H316" s="16" t="n">
        <v>1134.5</v>
      </c>
      <c r="I316" s="16" t="n">
        <v>0</v>
      </c>
    </row>
    <row r="317">
      <c r="A317" t="inlineStr">
        <is>
          <t>MTR-IOS-0317</t>
        </is>
      </c>
      <c r="B317" t="inlineStr">
        <is>
          <t>Shared Living</t>
        </is>
      </c>
      <c r="C317" t="inlineStr">
        <is>
          <t>PERCENTAGE</t>
        </is>
      </c>
      <c r="D317" t="inlineStr">
        <is>
          <t>IOS Owner</t>
        </is>
      </c>
      <c r="E317" s="16" t="n">
        <v>4985.51</v>
      </c>
      <c r="F317" s="16" t="n">
        <v>2492.76</v>
      </c>
      <c r="G317" s="17" t="n">
        <v>50</v>
      </c>
      <c r="H317" s="16" t="n">
        <v>2492.75</v>
      </c>
      <c r="I317" s="16" t="n">
        <v>0</v>
      </c>
    </row>
    <row r="318">
      <c r="A318" t="inlineStr">
        <is>
          <t>MTR-IOS-0317</t>
        </is>
      </c>
      <c r="B318" t="inlineStr">
        <is>
          <t>Shared Living</t>
        </is>
      </c>
      <c r="C318" t="inlineStr">
        <is>
          <t>PERCENTAGE</t>
        </is>
      </c>
      <c r="D318" t="inlineStr">
        <is>
          <t>IOS Aarav</t>
        </is>
      </c>
      <c r="E318" s="16" t="n">
        <v>0</v>
      </c>
      <c r="F318" s="16" t="n">
        <v>1495.65</v>
      </c>
      <c r="G318" s="17" t="n">
        <v>30</v>
      </c>
      <c r="H318" s="16" t="n">
        <v>-1495.65</v>
      </c>
      <c r="I318" s="16" t="n">
        <v>0</v>
      </c>
    </row>
    <row r="319">
      <c r="A319" t="inlineStr">
        <is>
          <t>MTR-IOS-0317</t>
        </is>
      </c>
      <c r="B319" t="inlineStr">
        <is>
          <t>Shared Living</t>
        </is>
      </c>
      <c r="C319" t="inlineStr">
        <is>
          <t>PERCENTAGE</t>
        </is>
      </c>
      <c r="D319" t="inlineStr">
        <is>
          <t>IOS Meera</t>
        </is>
      </c>
      <c r="E319" s="16" t="n">
        <v>0</v>
      </c>
      <c r="F319" s="16" t="n">
        <v>997.1</v>
      </c>
      <c r="G319" s="17" t="n">
        <v>20</v>
      </c>
      <c r="H319" s="16" t="n">
        <v>-997.1</v>
      </c>
      <c r="I319" s="16" t="n">
        <v>0</v>
      </c>
    </row>
    <row r="320">
      <c r="A320" t="inlineStr">
        <is>
          <t>MTR-IOS-0320</t>
        </is>
      </c>
      <c r="B320" t="inlineStr">
        <is>
          <t>Shared Living</t>
        </is>
      </c>
      <c r="C320" t="inlineStr">
        <is>
          <t>EXACT</t>
        </is>
      </c>
      <c r="D320" t="inlineStr">
        <is>
          <t>IOS Owner</t>
        </is>
      </c>
      <c r="E320" s="16" t="n">
        <v>0</v>
      </c>
      <c r="F320" s="16" t="n">
        <v>1961.34</v>
      </c>
      <c r="G320" s="17" t="n"/>
      <c r="H320" s="16" t="n">
        <v>-1961.34</v>
      </c>
      <c r="I320" s="16" t="n">
        <v>0</v>
      </c>
    </row>
    <row r="321">
      <c r="A321" t="inlineStr">
        <is>
          <t>MTR-IOS-0320</t>
        </is>
      </c>
      <c r="B321" t="inlineStr">
        <is>
          <t>Shared Living</t>
        </is>
      </c>
      <c r="C321" t="inlineStr">
        <is>
          <t>EXACT</t>
        </is>
      </c>
      <c r="D321" t="inlineStr">
        <is>
          <t>IOS Aarav</t>
        </is>
      </c>
      <c r="E321" s="16" t="n">
        <v>5889.92</v>
      </c>
      <c r="F321" s="16" t="n">
        <v>1961.34</v>
      </c>
      <c r="G321" s="17" t="n"/>
      <c r="H321" s="16" t="n">
        <v>3928.58</v>
      </c>
      <c r="I321" s="16" t="n">
        <v>0</v>
      </c>
    </row>
    <row r="322">
      <c r="A322" t="inlineStr">
        <is>
          <t>MTR-IOS-0320</t>
        </is>
      </c>
      <c r="B322" t="inlineStr">
        <is>
          <t>Shared Living</t>
        </is>
      </c>
      <c r="C322" t="inlineStr">
        <is>
          <t>EXACT</t>
        </is>
      </c>
      <c r="D322" t="inlineStr">
        <is>
          <t>IOS Meera</t>
        </is>
      </c>
      <c r="E322" s="16" t="n">
        <v>0</v>
      </c>
      <c r="F322" s="16" t="n">
        <v>1967.24</v>
      </c>
      <c r="G322" s="17" t="n"/>
      <c r="H322" s="16" t="n">
        <v>-1967.24</v>
      </c>
      <c r="I322" s="16" t="n">
        <v>0</v>
      </c>
    </row>
    <row r="323">
      <c r="A323" t="inlineStr">
        <is>
          <t>MTR-IOS-0323</t>
        </is>
      </c>
      <c r="B323" t="inlineStr">
        <is>
          <t>Shared Living</t>
        </is>
      </c>
      <c r="C323" t="inlineStr">
        <is>
          <t>SHARES</t>
        </is>
      </c>
      <c r="D323" t="inlineStr">
        <is>
          <t>IOS Owner</t>
        </is>
      </c>
      <c r="E323" s="16" t="n">
        <v>0</v>
      </c>
      <c r="F323" s="16" t="n">
        <v>2877.95</v>
      </c>
      <c r="G323" s="17" t="n"/>
      <c r="H323" s="16" t="n">
        <v>-2877.95</v>
      </c>
      <c r="I323" s="16" t="n">
        <v>0</v>
      </c>
    </row>
    <row r="324">
      <c r="A324" t="inlineStr">
        <is>
          <t>MTR-IOS-0323</t>
        </is>
      </c>
      <c r="B324" t="inlineStr">
        <is>
          <t>Shared Living</t>
        </is>
      </c>
      <c r="C324" t="inlineStr">
        <is>
          <t>SHARES</t>
        </is>
      </c>
      <c r="D324" t="inlineStr">
        <is>
          <t>IOS Aarav</t>
        </is>
      </c>
      <c r="E324" s="16" t="n">
        <v>0</v>
      </c>
      <c r="F324" s="16" t="n">
        <v>1918.63</v>
      </c>
      <c r="G324" s="17" t="n"/>
      <c r="H324" s="16" t="n">
        <v>-1918.63</v>
      </c>
      <c r="I324" s="16" t="n">
        <v>0</v>
      </c>
    </row>
    <row r="325">
      <c r="A325" t="inlineStr">
        <is>
          <t>MTR-IOS-0323</t>
        </is>
      </c>
      <c r="B325" t="inlineStr">
        <is>
          <t>Shared Living</t>
        </is>
      </c>
      <c r="C325" t="inlineStr">
        <is>
          <t>SHARES</t>
        </is>
      </c>
      <c r="D325" t="inlineStr">
        <is>
          <t>IOS Meera</t>
        </is>
      </c>
      <c r="E325" s="16" t="n">
        <v>5755.9</v>
      </c>
      <c r="F325" s="16" t="n">
        <v>959.3200000000001</v>
      </c>
      <c r="G325" s="17" t="n"/>
      <c r="H325" s="16" t="n">
        <v>4796.58</v>
      </c>
      <c r="I325" s="16" t="n">
        <v>0</v>
      </c>
    </row>
    <row r="326">
      <c r="A326" t="inlineStr">
        <is>
          <t>MTR-IOS-0326</t>
        </is>
      </c>
      <c r="B326" t="inlineStr">
        <is>
          <t>Family Household</t>
        </is>
      </c>
      <c r="C326" t="inlineStr">
        <is>
          <t>EQUAL</t>
        </is>
      </c>
      <c r="D326" t="inlineStr">
        <is>
          <t>IOS Owner</t>
        </is>
      </c>
      <c r="E326" s="16" t="n">
        <v>295.7</v>
      </c>
      <c r="F326" s="16" t="n">
        <v>98.56999999999999</v>
      </c>
      <c r="G326" s="17" t="n"/>
      <c r="H326" s="16" t="n">
        <v>197.13</v>
      </c>
      <c r="I326" s="16" t="n">
        <v>0</v>
      </c>
    </row>
    <row r="327">
      <c r="A327" t="inlineStr">
        <is>
          <t>MTR-IOS-0326</t>
        </is>
      </c>
      <c r="B327" t="inlineStr">
        <is>
          <t>Family Household</t>
        </is>
      </c>
      <c r="C327" t="inlineStr">
        <is>
          <t>EQUAL</t>
        </is>
      </c>
      <c r="D327" t="inlineStr">
        <is>
          <t>IOS Aarav</t>
        </is>
      </c>
      <c r="E327" s="16" t="n">
        <v>0</v>
      </c>
      <c r="F327" s="16" t="n">
        <v>98.56999999999999</v>
      </c>
      <c r="G327" s="17" t="n"/>
      <c r="H327" s="16" t="n">
        <v>-98.56999999999999</v>
      </c>
      <c r="I327" s="16" t="n">
        <v>0</v>
      </c>
    </row>
    <row r="328">
      <c r="A328" t="inlineStr">
        <is>
          <t>MTR-IOS-0326</t>
        </is>
      </c>
      <c r="B328" t="inlineStr">
        <is>
          <t>Family Household</t>
        </is>
      </c>
      <c r="C328" t="inlineStr">
        <is>
          <t>EQUAL</t>
        </is>
      </c>
      <c r="D328" t="inlineStr">
        <is>
          <t>IOS Meera</t>
        </is>
      </c>
      <c r="E328" s="16" t="n">
        <v>0</v>
      </c>
      <c r="F328" s="16" t="n">
        <v>98.56</v>
      </c>
      <c r="G328" s="17" t="n"/>
      <c r="H328" s="16" t="n">
        <v>-98.56</v>
      </c>
      <c r="I328" s="16" t="n">
        <v>0</v>
      </c>
    </row>
    <row r="329">
      <c r="A329" t="inlineStr">
        <is>
          <t>MTR-IOS-0329</t>
        </is>
      </c>
      <c r="B329" t="inlineStr">
        <is>
          <t>Family Household</t>
        </is>
      </c>
      <c r="C329" t="inlineStr">
        <is>
          <t>PERCENTAGE</t>
        </is>
      </c>
      <c r="D329" t="inlineStr">
        <is>
          <t>IOS Owner</t>
        </is>
      </c>
      <c r="E329" s="16" t="n">
        <v>0</v>
      </c>
      <c r="F329" s="16" t="n">
        <v>3335.67</v>
      </c>
      <c r="G329" s="17" t="n">
        <v>50</v>
      </c>
      <c r="H329" s="16" t="n">
        <v>-3335.67</v>
      </c>
      <c r="I329" s="16" t="n">
        <v>0</v>
      </c>
    </row>
    <row r="330">
      <c r="A330" t="inlineStr">
        <is>
          <t>MTR-IOS-0329</t>
        </is>
      </c>
      <c r="B330" t="inlineStr">
        <is>
          <t>Family Household</t>
        </is>
      </c>
      <c r="C330" t="inlineStr">
        <is>
          <t>PERCENTAGE</t>
        </is>
      </c>
      <c r="D330" t="inlineStr">
        <is>
          <t>IOS Aarav</t>
        </is>
      </c>
      <c r="E330" s="16" t="n">
        <v>6671.33</v>
      </c>
      <c r="F330" s="16" t="n">
        <v>2001.4</v>
      </c>
      <c r="G330" s="17" t="n">
        <v>30</v>
      </c>
      <c r="H330" s="16" t="n">
        <v>4669.93</v>
      </c>
      <c r="I330" s="16" t="n">
        <v>0</v>
      </c>
    </row>
    <row r="331">
      <c r="A331" t="inlineStr">
        <is>
          <t>MTR-IOS-0329</t>
        </is>
      </c>
      <c r="B331" t="inlineStr">
        <is>
          <t>Family Household</t>
        </is>
      </c>
      <c r="C331" t="inlineStr">
        <is>
          <t>PERCENTAGE</t>
        </is>
      </c>
      <c r="D331" t="inlineStr">
        <is>
          <t>IOS Meera</t>
        </is>
      </c>
      <c r="E331" s="16" t="n">
        <v>0</v>
      </c>
      <c r="F331" s="16" t="n">
        <v>1334.26</v>
      </c>
      <c r="G331" s="17" t="n">
        <v>20</v>
      </c>
      <c r="H331" s="16" t="n">
        <v>-1334.26</v>
      </c>
      <c r="I331" s="16" t="n">
        <v>0</v>
      </c>
    </row>
    <row r="332">
      <c r="A332" t="inlineStr">
        <is>
          <t>MTR-IOS-0332</t>
        </is>
      </c>
      <c r="B332" t="inlineStr">
        <is>
          <t>Family Household</t>
        </is>
      </c>
      <c r="C332" t="inlineStr">
        <is>
          <t>EXACT</t>
        </is>
      </c>
      <c r="D332" t="inlineStr">
        <is>
          <t>IOS Owner</t>
        </is>
      </c>
      <c r="E332" s="16" t="n">
        <v>0</v>
      </c>
      <c r="F332" s="16" t="n">
        <v>463.54</v>
      </c>
      <c r="G332" s="17" t="n"/>
      <c r="H332" s="16" t="n">
        <v>-463.54</v>
      </c>
      <c r="I332" s="16" t="n">
        <v>0</v>
      </c>
    </row>
    <row r="333">
      <c r="A333" t="inlineStr">
        <is>
          <t>MTR-IOS-0332</t>
        </is>
      </c>
      <c r="B333" t="inlineStr">
        <is>
          <t>Family Household</t>
        </is>
      </c>
      <c r="C333" t="inlineStr">
        <is>
          <t>EXACT</t>
        </is>
      </c>
      <c r="D333" t="inlineStr">
        <is>
          <t>IOS Aarav</t>
        </is>
      </c>
      <c r="E333" s="16" t="n">
        <v>0</v>
      </c>
      <c r="F333" s="16" t="n">
        <v>463.54</v>
      </c>
      <c r="G333" s="17" t="n"/>
      <c r="H333" s="16" t="n">
        <v>-463.54</v>
      </c>
      <c r="I333" s="16" t="n">
        <v>0</v>
      </c>
    </row>
    <row r="334">
      <c r="A334" t="inlineStr">
        <is>
          <t>MTR-IOS-0332</t>
        </is>
      </c>
      <c r="B334" t="inlineStr">
        <is>
          <t>Family Household</t>
        </is>
      </c>
      <c r="C334" t="inlineStr">
        <is>
          <t>EXACT</t>
        </is>
      </c>
      <c r="D334" t="inlineStr">
        <is>
          <t>IOS Meera</t>
        </is>
      </c>
      <c r="E334" s="16" t="n">
        <v>1392</v>
      </c>
      <c r="F334" s="16" t="n">
        <v>464.92</v>
      </c>
      <c r="G334" s="17" t="n"/>
      <c r="H334" s="16" t="n">
        <v>927.08</v>
      </c>
      <c r="I334" s="16" t="n">
        <v>0</v>
      </c>
    </row>
    <row r="335">
      <c r="A335" t="inlineStr">
        <is>
          <t>MTR-IOS-0335</t>
        </is>
      </c>
      <c r="B335" t="inlineStr">
        <is>
          <t>Family Household</t>
        </is>
      </c>
      <c r="C335" t="inlineStr">
        <is>
          <t>SHARES</t>
        </is>
      </c>
      <c r="D335" t="inlineStr">
        <is>
          <t>IOS Owner</t>
        </is>
      </c>
      <c r="E335" s="16" t="n">
        <v>11897.85</v>
      </c>
      <c r="F335" s="16" t="n">
        <v>5948.93</v>
      </c>
      <c r="G335" s="17" t="n"/>
      <c r="H335" s="16" t="n">
        <v>5948.92</v>
      </c>
      <c r="I335" s="16" t="n">
        <v>0</v>
      </c>
    </row>
    <row r="336">
      <c r="A336" t="inlineStr">
        <is>
          <t>MTR-IOS-0335</t>
        </is>
      </c>
      <c r="B336" t="inlineStr">
        <is>
          <t>Family Household</t>
        </is>
      </c>
      <c r="C336" t="inlineStr">
        <is>
          <t>SHARES</t>
        </is>
      </c>
      <c r="D336" t="inlineStr">
        <is>
          <t>IOS Aarav</t>
        </is>
      </c>
      <c r="E336" s="16" t="n">
        <v>0</v>
      </c>
      <c r="F336" s="16" t="n">
        <v>3965.95</v>
      </c>
      <c r="G336" s="17" t="n"/>
      <c r="H336" s="16" t="n">
        <v>-3965.95</v>
      </c>
      <c r="I336" s="16" t="n">
        <v>0</v>
      </c>
    </row>
    <row r="337">
      <c r="A337" t="inlineStr">
        <is>
          <t>MTR-IOS-0335</t>
        </is>
      </c>
      <c r="B337" t="inlineStr">
        <is>
          <t>Family Household</t>
        </is>
      </c>
      <c r="C337" t="inlineStr">
        <is>
          <t>SHARES</t>
        </is>
      </c>
      <c r="D337" t="inlineStr">
        <is>
          <t>IOS Meera</t>
        </is>
      </c>
      <c r="E337" s="16" t="n">
        <v>0</v>
      </c>
      <c r="F337" s="16" t="n">
        <v>1982.97</v>
      </c>
      <c r="G337" s="17" t="n"/>
      <c r="H337" s="16" t="n">
        <v>-1982.97</v>
      </c>
      <c r="I337" s="16" t="n">
        <v>0</v>
      </c>
    </row>
    <row r="338">
      <c r="A338" t="inlineStr">
        <is>
          <t>MTR-IOS-0338</t>
        </is>
      </c>
      <c r="B338" t="inlineStr">
        <is>
          <t>Family Household</t>
        </is>
      </c>
      <c r="C338" t="inlineStr">
        <is>
          <t>EQUAL</t>
        </is>
      </c>
      <c r="D338" t="inlineStr">
        <is>
          <t>IOS Owner</t>
        </is>
      </c>
      <c r="E338" s="16" t="n">
        <v>0</v>
      </c>
      <c r="F338" s="16" t="n">
        <v>2966.28</v>
      </c>
      <c r="G338" s="17" t="n"/>
      <c r="H338" s="16" t="n">
        <v>-2966.28</v>
      </c>
      <c r="I338" s="16" t="n">
        <v>0</v>
      </c>
    </row>
    <row r="339">
      <c r="A339" t="inlineStr">
        <is>
          <t>MTR-IOS-0338</t>
        </is>
      </c>
      <c r="B339" t="inlineStr">
        <is>
          <t>Family Household</t>
        </is>
      </c>
      <c r="C339" t="inlineStr">
        <is>
          <t>EQUAL</t>
        </is>
      </c>
      <c r="D339" t="inlineStr">
        <is>
          <t>IOS Aarav</t>
        </is>
      </c>
      <c r="E339" s="16" t="n">
        <v>8898.84</v>
      </c>
      <c r="F339" s="16" t="n">
        <v>2966.28</v>
      </c>
      <c r="G339" s="17" t="n"/>
      <c r="H339" s="16" t="n">
        <v>5932.56</v>
      </c>
      <c r="I339" s="16" t="n">
        <v>0</v>
      </c>
    </row>
    <row r="340">
      <c r="A340" t="inlineStr">
        <is>
          <t>MTR-IOS-0338</t>
        </is>
      </c>
      <c r="B340" t="inlineStr">
        <is>
          <t>Family Household</t>
        </is>
      </c>
      <c r="C340" t="inlineStr">
        <is>
          <t>EQUAL</t>
        </is>
      </c>
      <c r="D340" t="inlineStr">
        <is>
          <t>IOS Meera</t>
        </is>
      </c>
      <c r="E340" s="16" t="n">
        <v>0</v>
      </c>
      <c r="F340" s="16" t="n">
        <v>2966.28</v>
      </c>
      <c r="G340" s="17" t="n"/>
      <c r="H340" s="16" t="n">
        <v>-2966.28</v>
      </c>
      <c r="I340" s="16" t="n">
        <v>0</v>
      </c>
    </row>
    <row r="341">
      <c r="A341" t="inlineStr">
        <is>
          <t>MTR-IOS-0341</t>
        </is>
      </c>
      <c r="B341" t="inlineStr">
        <is>
          <t>Family Household</t>
        </is>
      </c>
      <c r="C341" t="inlineStr">
        <is>
          <t>PERCENTAGE</t>
        </is>
      </c>
      <c r="D341" t="inlineStr">
        <is>
          <t>IOS Owner</t>
        </is>
      </c>
      <c r="E341" s="16" t="n">
        <v>0</v>
      </c>
      <c r="F341" s="16" t="n">
        <v>12127.12</v>
      </c>
      <c r="G341" s="17" t="n">
        <v>50</v>
      </c>
      <c r="H341" s="16" t="n">
        <v>-12127.12</v>
      </c>
      <c r="I341" s="16" t="n">
        <v>0</v>
      </c>
    </row>
    <row r="342">
      <c r="A342" t="inlineStr">
        <is>
          <t>MTR-IOS-0341</t>
        </is>
      </c>
      <c r="B342" t="inlineStr">
        <is>
          <t>Family Household</t>
        </is>
      </c>
      <c r="C342" t="inlineStr">
        <is>
          <t>PERCENTAGE</t>
        </is>
      </c>
      <c r="D342" t="inlineStr">
        <is>
          <t>IOS Aarav</t>
        </is>
      </c>
      <c r="E342" s="16" t="n">
        <v>0</v>
      </c>
      <c r="F342" s="16" t="n">
        <v>7276.27</v>
      </c>
      <c r="G342" s="17" t="n">
        <v>30</v>
      </c>
      <c r="H342" s="16" t="n">
        <v>-7276.27</v>
      </c>
      <c r="I342" s="16" t="n">
        <v>0</v>
      </c>
    </row>
    <row r="343">
      <c r="A343" t="inlineStr">
        <is>
          <t>MTR-IOS-0341</t>
        </is>
      </c>
      <c r="B343" t="inlineStr">
        <is>
          <t>Family Household</t>
        </is>
      </c>
      <c r="C343" t="inlineStr">
        <is>
          <t>PERCENTAGE</t>
        </is>
      </c>
      <c r="D343" t="inlineStr">
        <is>
          <t>IOS Meera</t>
        </is>
      </c>
      <c r="E343" s="16" t="n">
        <v>24254.23</v>
      </c>
      <c r="F343" s="16" t="n">
        <v>4850.84</v>
      </c>
      <c r="G343" s="17" t="n">
        <v>20</v>
      </c>
      <c r="H343" s="16" t="n">
        <v>19403.39</v>
      </c>
      <c r="I343" s="16" t="n">
        <v>0</v>
      </c>
    </row>
    <row r="344">
      <c r="A344" t="inlineStr">
        <is>
          <t>MTR-IOS-0344</t>
        </is>
      </c>
      <c r="B344" t="inlineStr">
        <is>
          <t>Custom Living</t>
        </is>
      </c>
      <c r="C344" t="inlineStr">
        <is>
          <t>EXACT</t>
        </is>
      </c>
      <c r="D344" t="inlineStr">
        <is>
          <t>IOS Owner</t>
        </is>
      </c>
      <c r="E344" s="16" t="n">
        <v>19090.95</v>
      </c>
      <c r="F344" s="16" t="n">
        <v>6357.29</v>
      </c>
      <c r="G344" s="17" t="n"/>
      <c r="H344" s="16" t="n">
        <v>12733.66</v>
      </c>
      <c r="I344" s="16" t="n">
        <v>0</v>
      </c>
    </row>
    <row r="345">
      <c r="A345" t="inlineStr">
        <is>
          <t>MTR-IOS-0344</t>
        </is>
      </c>
      <c r="B345" t="inlineStr">
        <is>
          <t>Custom Living</t>
        </is>
      </c>
      <c r="C345" t="inlineStr">
        <is>
          <t>EXACT</t>
        </is>
      </c>
      <c r="D345" t="inlineStr">
        <is>
          <t>IOS Aarav</t>
        </is>
      </c>
      <c r="E345" s="16" t="n">
        <v>0</v>
      </c>
      <c r="F345" s="16" t="n">
        <v>6357.29</v>
      </c>
      <c r="G345" s="17" t="n"/>
      <c r="H345" s="16" t="n">
        <v>-6357.29</v>
      </c>
      <c r="I345" s="16" t="n">
        <v>0</v>
      </c>
    </row>
    <row r="346">
      <c r="A346" t="inlineStr">
        <is>
          <t>MTR-IOS-0344</t>
        </is>
      </c>
      <c r="B346" t="inlineStr">
        <is>
          <t>Custom Living</t>
        </is>
      </c>
      <c r="C346" t="inlineStr">
        <is>
          <t>EXACT</t>
        </is>
      </c>
      <c r="D346" t="inlineStr">
        <is>
          <t>IOS Meera</t>
        </is>
      </c>
      <c r="E346" s="16" t="n">
        <v>0</v>
      </c>
      <c r="F346" s="16" t="n">
        <v>6376.37</v>
      </c>
      <c r="G346" s="17" t="n"/>
      <c r="H346" s="16" t="n">
        <v>-6376.37</v>
      </c>
      <c r="I346" s="16" t="n">
        <v>0</v>
      </c>
    </row>
    <row r="347">
      <c r="A347" t="inlineStr">
        <is>
          <t>MTR-IOS-0347</t>
        </is>
      </c>
      <c r="B347" t="inlineStr">
        <is>
          <t>Custom Living</t>
        </is>
      </c>
      <c r="C347" t="inlineStr">
        <is>
          <t>SHARES</t>
        </is>
      </c>
      <c r="D347" t="inlineStr">
        <is>
          <t>IOS Owner</t>
        </is>
      </c>
      <c r="E347" s="16" t="n">
        <v>0</v>
      </c>
      <c r="F347" s="16" t="n">
        <v>5410.88</v>
      </c>
      <c r="G347" s="17" t="n"/>
      <c r="H347" s="16" t="n">
        <v>-5410.88</v>
      </c>
      <c r="I347" s="16" t="n">
        <v>0</v>
      </c>
    </row>
    <row r="348">
      <c r="A348" t="inlineStr">
        <is>
          <t>MTR-IOS-0347</t>
        </is>
      </c>
      <c r="B348" t="inlineStr">
        <is>
          <t>Custom Living</t>
        </is>
      </c>
      <c r="C348" t="inlineStr">
        <is>
          <t>SHARES</t>
        </is>
      </c>
      <c r="D348" t="inlineStr">
        <is>
          <t>IOS Aarav</t>
        </is>
      </c>
      <c r="E348" s="16" t="n">
        <v>10821.75</v>
      </c>
      <c r="F348" s="16" t="n">
        <v>3607.25</v>
      </c>
      <c r="G348" s="17" t="n"/>
      <c r="H348" s="16" t="n">
        <v>7214.5</v>
      </c>
      <c r="I348" s="16" t="n">
        <v>0</v>
      </c>
    </row>
    <row r="349">
      <c r="A349" t="inlineStr">
        <is>
          <t>MTR-IOS-0347</t>
        </is>
      </c>
      <c r="B349" t="inlineStr">
        <is>
          <t>Custom Living</t>
        </is>
      </c>
      <c r="C349" t="inlineStr">
        <is>
          <t>SHARES</t>
        </is>
      </c>
      <c r="D349" t="inlineStr">
        <is>
          <t>IOS Meera</t>
        </is>
      </c>
      <c r="E349" s="16" t="n">
        <v>0</v>
      </c>
      <c r="F349" s="16" t="n">
        <v>1803.62</v>
      </c>
      <c r="G349" s="17" t="n"/>
      <c r="H349" s="16" t="n">
        <v>-1803.62</v>
      </c>
      <c r="I349" s="16" t="n">
        <v>0</v>
      </c>
    </row>
    <row r="350">
      <c r="A350" t="inlineStr">
        <is>
          <t>MTR-IOS-0350</t>
        </is>
      </c>
      <c r="B350" t="inlineStr">
        <is>
          <t>Trip</t>
        </is>
      </c>
      <c r="C350" t="inlineStr">
        <is>
          <t>EQUAL</t>
        </is>
      </c>
      <c r="D350" t="inlineStr">
        <is>
          <t>IOS Owner</t>
        </is>
      </c>
      <c r="E350" s="16" t="n">
        <v>0</v>
      </c>
      <c r="F350" s="16" t="n">
        <v>3979.65</v>
      </c>
      <c r="G350" s="17" t="n"/>
      <c r="H350" s="16" t="n">
        <v>-3979.65</v>
      </c>
      <c r="I350" s="16" t="n">
        <v>0</v>
      </c>
    </row>
    <row r="351">
      <c r="A351" t="inlineStr">
        <is>
          <t>MTR-IOS-0350</t>
        </is>
      </c>
      <c r="B351" t="inlineStr">
        <is>
          <t>Trip</t>
        </is>
      </c>
      <c r="C351" t="inlineStr">
        <is>
          <t>EQUAL</t>
        </is>
      </c>
      <c r="D351" t="inlineStr">
        <is>
          <t>IOS Aarav</t>
        </is>
      </c>
      <c r="E351" s="16" t="n">
        <v>0</v>
      </c>
      <c r="F351" s="16" t="n">
        <v>3979.65</v>
      </c>
      <c r="G351" s="17" t="n"/>
      <c r="H351" s="16" t="n">
        <v>-3979.65</v>
      </c>
      <c r="I351" s="16" t="n">
        <v>0</v>
      </c>
    </row>
    <row r="352">
      <c r="A352" t="inlineStr">
        <is>
          <t>MTR-IOS-0350</t>
        </is>
      </c>
      <c r="B352" t="inlineStr">
        <is>
          <t>Trip</t>
        </is>
      </c>
      <c r="C352" t="inlineStr">
        <is>
          <t>EQUAL</t>
        </is>
      </c>
      <c r="D352" t="inlineStr">
        <is>
          <t>IOS Meera</t>
        </is>
      </c>
      <c r="E352" s="16" t="n">
        <v>11938.96</v>
      </c>
      <c r="F352" s="16" t="n">
        <v>3979.66</v>
      </c>
      <c r="G352" s="17" t="n"/>
      <c r="H352" s="16" t="n">
        <v>7959.3</v>
      </c>
      <c r="I352" s="16" t="n">
        <v>0</v>
      </c>
    </row>
    <row r="353">
      <c r="A353" t="inlineStr">
        <is>
          <t>MTR-IOS-0353</t>
        </is>
      </c>
      <c r="B353" t="inlineStr">
        <is>
          <t>Trip</t>
        </is>
      </c>
      <c r="C353" t="inlineStr">
        <is>
          <t>PERCENTAGE</t>
        </is>
      </c>
      <c r="D353" t="inlineStr">
        <is>
          <t>IOS Owner</t>
        </is>
      </c>
      <c r="E353" s="16" t="n">
        <v>4462.15</v>
      </c>
      <c r="F353" s="16" t="n">
        <v>2231.08</v>
      </c>
      <c r="G353" s="17" t="n">
        <v>50</v>
      </c>
      <c r="H353" s="16" t="n">
        <v>2231.07</v>
      </c>
      <c r="I353" s="16" t="n">
        <v>0</v>
      </c>
    </row>
    <row r="354">
      <c r="A354" t="inlineStr">
        <is>
          <t>MTR-IOS-0353</t>
        </is>
      </c>
      <c r="B354" t="inlineStr">
        <is>
          <t>Trip</t>
        </is>
      </c>
      <c r="C354" t="inlineStr">
        <is>
          <t>PERCENTAGE</t>
        </is>
      </c>
      <c r="D354" t="inlineStr">
        <is>
          <t>IOS Aarav</t>
        </is>
      </c>
      <c r="E354" s="16" t="n">
        <v>0</v>
      </c>
      <c r="F354" s="16" t="n">
        <v>1338.65</v>
      </c>
      <c r="G354" s="17" t="n">
        <v>30</v>
      </c>
      <c r="H354" s="16" t="n">
        <v>-1338.65</v>
      </c>
      <c r="I354" s="16" t="n">
        <v>0</v>
      </c>
    </row>
    <row r="355">
      <c r="A355" t="inlineStr">
        <is>
          <t>MTR-IOS-0353</t>
        </is>
      </c>
      <c r="B355" t="inlineStr">
        <is>
          <t>Trip</t>
        </is>
      </c>
      <c r="C355" t="inlineStr">
        <is>
          <t>PERCENTAGE</t>
        </is>
      </c>
      <c r="D355" t="inlineStr">
        <is>
          <t>IOS Meera</t>
        </is>
      </c>
      <c r="E355" s="16" t="n">
        <v>0</v>
      </c>
      <c r="F355" s="16" t="n">
        <v>892.42</v>
      </c>
      <c r="G355" s="17" t="n">
        <v>20</v>
      </c>
      <c r="H355" s="16" t="n">
        <v>-892.42</v>
      </c>
      <c r="I355" s="16" t="n">
        <v>0</v>
      </c>
    </row>
    <row r="356">
      <c r="A356" t="inlineStr">
        <is>
          <t>MTR-IOS-0356</t>
        </is>
      </c>
      <c r="B356" t="inlineStr">
        <is>
          <t>Trip</t>
        </is>
      </c>
      <c r="C356" t="inlineStr">
        <is>
          <t>EXACT</t>
        </is>
      </c>
      <c r="D356" t="inlineStr">
        <is>
          <t>IOS Owner</t>
        </is>
      </c>
      <c r="E356" s="16" t="n">
        <v>0</v>
      </c>
      <c r="F356" s="16" t="n">
        <v>2179.82</v>
      </c>
      <c r="G356" s="17" t="n"/>
      <c r="H356" s="16" t="n">
        <v>-2179.82</v>
      </c>
      <c r="I356" s="16" t="n">
        <v>0</v>
      </c>
    </row>
    <row r="357">
      <c r="A357" t="inlineStr">
        <is>
          <t>MTR-IOS-0356</t>
        </is>
      </c>
      <c r="B357" t="inlineStr">
        <is>
          <t>Trip</t>
        </is>
      </c>
      <c r="C357" t="inlineStr">
        <is>
          <t>EXACT</t>
        </is>
      </c>
      <c r="D357" t="inlineStr">
        <is>
          <t>IOS Aarav</t>
        </is>
      </c>
      <c r="E357" s="16" t="n">
        <v>6546</v>
      </c>
      <c r="F357" s="16" t="n">
        <v>2179.82</v>
      </c>
      <c r="G357" s="17" t="n"/>
      <c r="H357" s="16" t="n">
        <v>4366.18</v>
      </c>
      <c r="I357" s="16" t="n">
        <v>0</v>
      </c>
    </row>
    <row r="358">
      <c r="A358" t="inlineStr">
        <is>
          <t>MTR-IOS-0356</t>
        </is>
      </c>
      <c r="B358" t="inlineStr">
        <is>
          <t>Trip</t>
        </is>
      </c>
      <c r="C358" t="inlineStr">
        <is>
          <t>EXACT</t>
        </is>
      </c>
      <c r="D358" t="inlineStr">
        <is>
          <t>IOS Meera</t>
        </is>
      </c>
      <c r="E358" s="16" t="n">
        <v>0</v>
      </c>
      <c r="F358" s="16" t="n">
        <v>2186.36</v>
      </c>
      <c r="G358" s="17" t="n"/>
      <c r="H358" s="16" t="n">
        <v>-2186.36</v>
      </c>
      <c r="I358" s="16" t="n">
        <v>0</v>
      </c>
    </row>
    <row r="359">
      <c r="A359" t="inlineStr">
        <is>
          <t>MTR-IOS-0359</t>
        </is>
      </c>
      <c r="B359" t="inlineStr">
        <is>
          <t>Trip</t>
        </is>
      </c>
      <c r="C359" t="inlineStr">
        <is>
          <t>SHARES</t>
        </is>
      </c>
      <c r="D359" t="inlineStr">
        <is>
          <t>IOS Owner</t>
        </is>
      </c>
      <c r="E359" s="16" t="n">
        <v>0</v>
      </c>
      <c r="F359" s="16" t="n">
        <v>3885.08</v>
      </c>
      <c r="G359" s="17" t="n"/>
      <c r="H359" s="16" t="n">
        <v>-3885.08</v>
      </c>
      <c r="I359" s="16" t="n">
        <v>0</v>
      </c>
    </row>
    <row r="360">
      <c r="A360" t="inlineStr">
        <is>
          <t>MTR-IOS-0359</t>
        </is>
      </c>
      <c r="B360" t="inlineStr">
        <is>
          <t>Trip</t>
        </is>
      </c>
      <c r="C360" t="inlineStr">
        <is>
          <t>SHARES</t>
        </is>
      </c>
      <c r="D360" t="inlineStr">
        <is>
          <t>IOS Aarav</t>
        </is>
      </c>
      <c r="E360" s="16" t="n">
        <v>0</v>
      </c>
      <c r="F360" s="16" t="n">
        <v>2590.05</v>
      </c>
      <c r="G360" s="17" t="n"/>
      <c r="H360" s="16" t="n">
        <v>-2590.05</v>
      </c>
      <c r="I360" s="16" t="n">
        <v>0</v>
      </c>
    </row>
    <row r="361">
      <c r="A361" t="inlineStr">
        <is>
          <t>MTR-IOS-0359</t>
        </is>
      </c>
      <c r="B361" t="inlineStr">
        <is>
          <t>Trip</t>
        </is>
      </c>
      <c r="C361" t="inlineStr">
        <is>
          <t>SHARES</t>
        </is>
      </c>
      <c r="D361" t="inlineStr">
        <is>
          <t>IOS Meera</t>
        </is>
      </c>
      <c r="E361" s="16" t="n">
        <v>7770.15</v>
      </c>
      <c r="F361" s="16" t="n">
        <v>1295.02</v>
      </c>
      <c r="G361" s="17" t="n"/>
      <c r="H361" s="16" t="n">
        <v>6475.13</v>
      </c>
      <c r="I361" s="16" t="n">
        <v>0</v>
      </c>
    </row>
    <row r="362">
      <c r="A362" t="inlineStr">
        <is>
          <t>MTR-IOS-0362</t>
        </is>
      </c>
      <c r="B362" t="inlineStr">
        <is>
          <t>Trip</t>
        </is>
      </c>
      <c r="C362" t="inlineStr">
        <is>
          <t>EQUAL</t>
        </is>
      </c>
      <c r="D362" t="inlineStr">
        <is>
          <t>IOS Owner</t>
        </is>
      </c>
      <c r="E362" s="16" t="n">
        <v>13215.49</v>
      </c>
      <c r="F362" s="16" t="n">
        <v>4405.16</v>
      </c>
      <c r="G362" s="17" t="n"/>
      <c r="H362" s="16" t="n">
        <v>8810.33</v>
      </c>
      <c r="I362" s="16" t="n">
        <v>0</v>
      </c>
    </row>
    <row r="363">
      <c r="A363" t="inlineStr">
        <is>
          <t>MTR-IOS-0362</t>
        </is>
      </c>
      <c r="B363" t="inlineStr">
        <is>
          <t>Trip</t>
        </is>
      </c>
      <c r="C363" t="inlineStr">
        <is>
          <t>EQUAL</t>
        </is>
      </c>
      <c r="D363" t="inlineStr">
        <is>
          <t>IOS Aarav</t>
        </is>
      </c>
      <c r="E363" s="16" t="n">
        <v>0</v>
      </c>
      <c r="F363" s="16" t="n">
        <v>4405.16</v>
      </c>
      <c r="G363" s="17" t="n"/>
      <c r="H363" s="16" t="n">
        <v>-4405.16</v>
      </c>
      <c r="I363" s="16" t="n">
        <v>0</v>
      </c>
    </row>
    <row r="364">
      <c r="A364" t="inlineStr">
        <is>
          <t>MTR-IOS-0362</t>
        </is>
      </c>
      <c r="B364" t="inlineStr">
        <is>
          <t>Trip</t>
        </is>
      </c>
      <c r="C364" t="inlineStr">
        <is>
          <t>EQUAL</t>
        </is>
      </c>
      <c r="D364" t="inlineStr">
        <is>
          <t>IOS Meera</t>
        </is>
      </c>
      <c r="E364" s="16" t="n">
        <v>0</v>
      </c>
      <c r="F364" s="16" t="n">
        <v>4405.17</v>
      </c>
      <c r="G364" s="17" t="n"/>
      <c r="H364" s="16" t="n">
        <v>-4405.17</v>
      </c>
      <c r="I364" s="16" t="n">
        <v>0</v>
      </c>
    </row>
    <row r="365">
      <c r="A365" t="inlineStr">
        <is>
          <t>MTR-IOS-0365</t>
        </is>
      </c>
      <c r="B365" t="inlineStr">
        <is>
          <t>Trip</t>
        </is>
      </c>
      <c r="C365" t="inlineStr">
        <is>
          <t>PERCENTAGE</t>
        </is>
      </c>
      <c r="D365" t="inlineStr">
        <is>
          <t>IOS Owner</t>
        </is>
      </c>
      <c r="E365" s="16" t="n">
        <v>0</v>
      </c>
      <c r="F365" s="16" t="n">
        <v>11098.12</v>
      </c>
      <c r="G365" s="17" t="n">
        <v>50</v>
      </c>
      <c r="H365" s="16" t="n">
        <v>-11098.12</v>
      </c>
      <c r="I365" s="16" t="n">
        <v>0</v>
      </c>
    </row>
    <row r="366">
      <c r="A366" t="inlineStr">
        <is>
          <t>MTR-IOS-0365</t>
        </is>
      </c>
      <c r="B366" t="inlineStr">
        <is>
          <t>Trip</t>
        </is>
      </c>
      <c r="C366" t="inlineStr">
        <is>
          <t>PERCENTAGE</t>
        </is>
      </c>
      <c r="D366" t="inlineStr">
        <is>
          <t>IOS Aarav</t>
        </is>
      </c>
      <c r="E366" s="16" t="n">
        <v>22196.23</v>
      </c>
      <c r="F366" s="16" t="n">
        <v>6658.87</v>
      </c>
      <c r="G366" s="17" t="n">
        <v>30</v>
      </c>
      <c r="H366" s="16" t="n">
        <v>15537.36</v>
      </c>
      <c r="I366" s="16" t="n">
        <v>0</v>
      </c>
    </row>
    <row r="367">
      <c r="A367" t="inlineStr">
        <is>
          <t>MTR-IOS-0365</t>
        </is>
      </c>
      <c r="B367" t="inlineStr">
        <is>
          <t>Trip</t>
        </is>
      </c>
      <c r="C367" t="inlineStr">
        <is>
          <t>PERCENTAGE</t>
        </is>
      </c>
      <c r="D367" t="inlineStr">
        <is>
          <t>IOS Meera</t>
        </is>
      </c>
      <c r="E367" s="16" t="n">
        <v>0</v>
      </c>
      <c r="F367" s="16" t="n">
        <v>4439.24</v>
      </c>
      <c r="G367" s="17" t="n">
        <v>20</v>
      </c>
      <c r="H367" s="16" t="n">
        <v>-4439.24</v>
      </c>
      <c r="I367" s="16" t="n">
        <v>0</v>
      </c>
    </row>
    <row r="368">
      <c r="A368" t="inlineStr">
        <is>
          <t>MTR-IOS-0368</t>
        </is>
      </c>
      <c r="B368" t="inlineStr">
        <is>
          <t>Trip</t>
        </is>
      </c>
      <c r="C368" t="inlineStr">
        <is>
          <t>EXACT</t>
        </is>
      </c>
      <c r="D368" t="inlineStr">
        <is>
          <t>IOS Owner</t>
        </is>
      </c>
      <c r="E368" s="16" t="n">
        <v>0</v>
      </c>
      <c r="F368" s="16" t="n">
        <v>8042.96</v>
      </c>
      <c r="G368" s="17" t="n"/>
      <c r="H368" s="16" t="n">
        <v>-8042.96</v>
      </c>
      <c r="I368" s="16" t="n">
        <v>0</v>
      </c>
    </row>
    <row r="369">
      <c r="A369" t="inlineStr">
        <is>
          <t>MTR-IOS-0368</t>
        </is>
      </c>
      <c r="B369" t="inlineStr">
        <is>
          <t>Trip</t>
        </is>
      </c>
      <c r="C369" t="inlineStr">
        <is>
          <t>EXACT</t>
        </is>
      </c>
      <c r="D369" t="inlineStr">
        <is>
          <t>IOS Aarav</t>
        </is>
      </c>
      <c r="E369" s="16" t="n">
        <v>0</v>
      </c>
      <c r="F369" s="16" t="n">
        <v>8042.96</v>
      </c>
      <c r="G369" s="17" t="n"/>
      <c r="H369" s="16" t="n">
        <v>-8042.96</v>
      </c>
      <c r="I369" s="16" t="n">
        <v>0</v>
      </c>
    </row>
    <row r="370">
      <c r="A370" t="inlineStr">
        <is>
          <t>MTR-IOS-0368</t>
        </is>
      </c>
      <c r="B370" t="inlineStr">
        <is>
          <t>Trip</t>
        </is>
      </c>
      <c r="C370" t="inlineStr">
        <is>
          <t>EXACT</t>
        </is>
      </c>
      <c r="D370" t="inlineStr">
        <is>
          <t>IOS Meera</t>
        </is>
      </c>
      <c r="E370" s="16" t="n">
        <v>24153.02</v>
      </c>
      <c r="F370" s="16" t="n">
        <v>8067.1</v>
      </c>
      <c r="G370" s="17" t="n"/>
      <c r="H370" s="16" t="n">
        <v>16085.92</v>
      </c>
      <c r="I370" s="16" t="n">
        <v>0</v>
      </c>
    </row>
    <row r="371">
      <c r="A371" t="inlineStr">
        <is>
          <t>MTR-IOS-0371</t>
        </is>
      </c>
      <c r="B371" t="inlineStr">
        <is>
          <t>Wedding</t>
        </is>
      </c>
      <c r="C371" t="inlineStr">
        <is>
          <t>SHARES</t>
        </is>
      </c>
      <c r="D371" t="inlineStr">
        <is>
          <t>IOS Owner</t>
        </is>
      </c>
      <c r="E371" s="16" t="n">
        <v>21281.27</v>
      </c>
      <c r="F371" s="16" t="n">
        <v>10640.64</v>
      </c>
      <c r="G371" s="17" t="n"/>
      <c r="H371" s="16" t="n">
        <v>10640.63</v>
      </c>
      <c r="I371" s="16" t="n">
        <v>0</v>
      </c>
    </row>
    <row r="372">
      <c r="A372" t="inlineStr">
        <is>
          <t>MTR-IOS-0371</t>
        </is>
      </c>
      <c r="B372" t="inlineStr">
        <is>
          <t>Wedding</t>
        </is>
      </c>
      <c r="C372" t="inlineStr">
        <is>
          <t>SHARES</t>
        </is>
      </c>
      <c r="D372" t="inlineStr">
        <is>
          <t>IOS Aarav</t>
        </is>
      </c>
      <c r="E372" s="16" t="n">
        <v>0</v>
      </c>
      <c r="F372" s="16" t="n">
        <v>7093.76</v>
      </c>
      <c r="G372" s="17" t="n"/>
      <c r="H372" s="16" t="n">
        <v>-7093.76</v>
      </c>
      <c r="I372" s="16" t="n">
        <v>0</v>
      </c>
    </row>
    <row r="373">
      <c r="A373" t="inlineStr">
        <is>
          <t>MTR-IOS-0371</t>
        </is>
      </c>
      <c r="B373" t="inlineStr">
        <is>
          <t>Wedding</t>
        </is>
      </c>
      <c r="C373" t="inlineStr">
        <is>
          <t>SHARES</t>
        </is>
      </c>
      <c r="D373" t="inlineStr">
        <is>
          <t>IOS Meera</t>
        </is>
      </c>
      <c r="E373" s="16" t="n">
        <v>0</v>
      </c>
      <c r="F373" s="16" t="n">
        <v>3546.87</v>
      </c>
      <c r="G373" s="17" t="n"/>
      <c r="H373" s="16" t="n">
        <v>-3546.87</v>
      </c>
      <c r="I373" s="16" t="n">
        <v>0</v>
      </c>
    </row>
    <row r="374">
      <c r="A374" t="inlineStr">
        <is>
          <t>MTR-IOS-0374</t>
        </is>
      </c>
      <c r="B374" t="inlineStr">
        <is>
          <t>Wedding</t>
        </is>
      </c>
      <c r="C374" t="inlineStr">
        <is>
          <t>EQUAL</t>
        </is>
      </c>
      <c r="D374" t="inlineStr">
        <is>
          <t>IOS Owner</t>
        </is>
      </c>
      <c r="E374" s="16" t="n">
        <v>0</v>
      </c>
      <c r="F374" s="16" t="n">
        <v>4625.19</v>
      </c>
      <c r="G374" s="17" t="n"/>
      <c r="H374" s="16" t="n">
        <v>-4625.19</v>
      </c>
      <c r="I374" s="16" t="n">
        <v>0</v>
      </c>
    </row>
    <row r="375">
      <c r="A375" t="inlineStr">
        <is>
          <t>MTR-IOS-0374</t>
        </is>
      </c>
      <c r="B375" t="inlineStr">
        <is>
          <t>Wedding</t>
        </is>
      </c>
      <c r="C375" t="inlineStr">
        <is>
          <t>EQUAL</t>
        </is>
      </c>
      <c r="D375" t="inlineStr">
        <is>
          <t>IOS Aarav</t>
        </is>
      </c>
      <c r="E375" s="16" t="n">
        <v>13875.58</v>
      </c>
      <c r="F375" s="16" t="n">
        <v>4625.19</v>
      </c>
      <c r="G375" s="17" t="n"/>
      <c r="H375" s="16" t="n">
        <v>9250.389999999999</v>
      </c>
      <c r="I375" s="16" t="n">
        <v>0</v>
      </c>
    </row>
    <row r="376">
      <c r="A376" t="inlineStr">
        <is>
          <t>MTR-IOS-0374</t>
        </is>
      </c>
      <c r="B376" t="inlineStr">
        <is>
          <t>Wedding</t>
        </is>
      </c>
      <c r="C376" t="inlineStr">
        <is>
          <t>EQUAL</t>
        </is>
      </c>
      <c r="D376" t="inlineStr">
        <is>
          <t>IOS Meera</t>
        </is>
      </c>
      <c r="E376" s="16" t="n">
        <v>0</v>
      </c>
      <c r="F376" s="16" t="n">
        <v>4625.2</v>
      </c>
      <c r="G376" s="17" t="n"/>
      <c r="H376" s="16" t="n">
        <v>-4625.2</v>
      </c>
      <c r="I376" s="16" t="n">
        <v>0</v>
      </c>
    </row>
    <row r="377">
      <c r="A377" t="inlineStr">
        <is>
          <t>MTR-IOS-0377</t>
        </is>
      </c>
      <c r="B377" t="inlineStr">
        <is>
          <t>Wedding</t>
        </is>
      </c>
      <c r="C377" t="inlineStr">
        <is>
          <t>PERCENTAGE</t>
        </is>
      </c>
      <c r="D377" t="inlineStr">
        <is>
          <t>IOS Owner</t>
        </is>
      </c>
      <c r="E377" s="16" t="n">
        <v>0</v>
      </c>
      <c r="F377" s="16" t="n">
        <v>12371.97</v>
      </c>
      <c r="G377" s="17" t="n">
        <v>50</v>
      </c>
      <c r="H377" s="16" t="n">
        <v>-12371.97</v>
      </c>
      <c r="I377" s="16" t="n">
        <v>0</v>
      </c>
    </row>
    <row r="378">
      <c r="A378" t="inlineStr">
        <is>
          <t>MTR-IOS-0377</t>
        </is>
      </c>
      <c r="B378" t="inlineStr">
        <is>
          <t>Wedding</t>
        </is>
      </c>
      <c r="C378" t="inlineStr">
        <is>
          <t>PERCENTAGE</t>
        </is>
      </c>
      <c r="D378" t="inlineStr">
        <is>
          <t>IOS Aarav</t>
        </is>
      </c>
      <c r="E378" s="16" t="n">
        <v>0</v>
      </c>
      <c r="F378" s="16" t="n">
        <v>7423.18</v>
      </c>
      <c r="G378" s="17" t="n">
        <v>30</v>
      </c>
      <c r="H378" s="16" t="n">
        <v>-7423.18</v>
      </c>
      <c r="I378" s="16" t="n">
        <v>0</v>
      </c>
    </row>
    <row r="379">
      <c r="A379" t="inlineStr">
        <is>
          <t>MTR-IOS-0377</t>
        </is>
      </c>
      <c r="B379" t="inlineStr">
        <is>
          <t>Wedding</t>
        </is>
      </c>
      <c r="C379" t="inlineStr">
        <is>
          <t>PERCENTAGE</t>
        </is>
      </c>
      <c r="D379" t="inlineStr">
        <is>
          <t>IOS Meera</t>
        </is>
      </c>
      <c r="E379" s="16" t="n">
        <v>24743.93</v>
      </c>
      <c r="F379" s="16" t="n">
        <v>4948.78</v>
      </c>
      <c r="G379" s="17" t="n">
        <v>20</v>
      </c>
      <c r="H379" s="16" t="n">
        <v>19795.15</v>
      </c>
      <c r="I379" s="16" t="n">
        <v>0</v>
      </c>
    </row>
    <row r="380">
      <c r="A380" t="inlineStr">
        <is>
          <t>MTR-IOS-0380</t>
        </is>
      </c>
      <c r="B380" t="inlineStr">
        <is>
          <t>Wedding</t>
        </is>
      </c>
      <c r="C380" t="inlineStr">
        <is>
          <t>EXACT</t>
        </is>
      </c>
      <c r="D380" t="inlineStr">
        <is>
          <t>IOS Owner</t>
        </is>
      </c>
      <c r="E380" s="16" t="n">
        <v>9606.290000000001</v>
      </c>
      <c r="F380" s="16" t="n">
        <v>3198.89</v>
      </c>
      <c r="G380" s="17" t="n"/>
      <c r="H380" s="16" t="n">
        <v>6407.4</v>
      </c>
      <c r="I380" s="16" t="n">
        <v>0</v>
      </c>
    </row>
    <row r="381">
      <c r="A381" t="inlineStr">
        <is>
          <t>MTR-IOS-0380</t>
        </is>
      </c>
      <c r="B381" t="inlineStr">
        <is>
          <t>Wedding</t>
        </is>
      </c>
      <c r="C381" t="inlineStr">
        <is>
          <t>EXACT</t>
        </is>
      </c>
      <c r="D381" t="inlineStr">
        <is>
          <t>IOS Aarav</t>
        </is>
      </c>
      <c r="E381" s="16" t="n">
        <v>0</v>
      </c>
      <c r="F381" s="16" t="n">
        <v>3198.89</v>
      </c>
      <c r="G381" s="17" t="n"/>
      <c r="H381" s="16" t="n">
        <v>-3198.89</v>
      </c>
      <c r="I381" s="16" t="n">
        <v>0</v>
      </c>
    </row>
    <row r="382">
      <c r="A382" t="inlineStr">
        <is>
          <t>MTR-IOS-0380</t>
        </is>
      </c>
      <c r="B382" t="inlineStr">
        <is>
          <t>Wedding</t>
        </is>
      </c>
      <c r="C382" t="inlineStr">
        <is>
          <t>EXACT</t>
        </is>
      </c>
      <c r="D382" t="inlineStr">
        <is>
          <t>IOS Meera</t>
        </is>
      </c>
      <c r="E382" s="16" t="n">
        <v>0</v>
      </c>
      <c r="F382" s="16" t="n">
        <v>3208.51</v>
      </c>
      <c r="G382" s="17" t="n"/>
      <c r="H382" s="16" t="n">
        <v>-3208.51</v>
      </c>
      <c r="I382" s="16" t="n">
        <v>0</v>
      </c>
    </row>
    <row r="383">
      <c r="A383" t="inlineStr">
        <is>
          <t>MTR-IOS-0383</t>
        </is>
      </c>
      <c r="B383" t="inlineStr">
        <is>
          <t>Wedding</t>
        </is>
      </c>
      <c r="C383" t="inlineStr">
        <is>
          <t>SHARES</t>
        </is>
      </c>
      <c r="D383" t="inlineStr">
        <is>
          <t>IOS Owner</t>
        </is>
      </c>
      <c r="E383" s="16" t="n">
        <v>0</v>
      </c>
      <c r="F383" s="16" t="n">
        <v>5090.99</v>
      </c>
      <c r="G383" s="17" t="n"/>
      <c r="H383" s="16" t="n">
        <v>-5090.99</v>
      </c>
      <c r="I383" s="16" t="n">
        <v>0</v>
      </c>
    </row>
    <row r="384">
      <c r="A384" t="inlineStr">
        <is>
          <t>MTR-IOS-0383</t>
        </is>
      </c>
      <c r="B384" t="inlineStr">
        <is>
          <t>Wedding</t>
        </is>
      </c>
      <c r="C384" t="inlineStr">
        <is>
          <t>SHARES</t>
        </is>
      </c>
      <c r="D384" t="inlineStr">
        <is>
          <t>IOS Aarav</t>
        </is>
      </c>
      <c r="E384" s="16" t="n">
        <v>10181.97</v>
      </c>
      <c r="F384" s="16" t="n">
        <v>3393.99</v>
      </c>
      <c r="G384" s="17" t="n"/>
      <c r="H384" s="16" t="n">
        <v>6787.98</v>
      </c>
      <c r="I384" s="16" t="n">
        <v>0</v>
      </c>
    </row>
    <row r="385">
      <c r="A385" t="inlineStr">
        <is>
          <t>MTR-IOS-0383</t>
        </is>
      </c>
      <c r="B385" t="inlineStr">
        <is>
          <t>Wedding</t>
        </is>
      </c>
      <c r="C385" t="inlineStr">
        <is>
          <t>SHARES</t>
        </is>
      </c>
      <c r="D385" t="inlineStr">
        <is>
          <t>IOS Meera</t>
        </is>
      </c>
      <c r="E385" s="16" t="n">
        <v>0</v>
      </c>
      <c r="F385" s="16" t="n">
        <v>1696.99</v>
      </c>
      <c r="G385" s="17" t="n"/>
      <c r="H385" s="16" t="n">
        <v>-1696.99</v>
      </c>
      <c r="I385" s="16" t="n">
        <v>0</v>
      </c>
    </row>
    <row r="386">
      <c r="A386" t="inlineStr">
        <is>
          <t>MTR-IOS-0386</t>
        </is>
      </c>
      <c r="B386" t="inlineStr">
        <is>
          <t>Wedding</t>
        </is>
      </c>
      <c r="C386" t="inlineStr">
        <is>
          <t>EQUAL</t>
        </is>
      </c>
      <c r="D386" t="inlineStr">
        <is>
          <t>IOS Owner</t>
        </is>
      </c>
      <c r="E386" s="16" t="n">
        <v>0</v>
      </c>
      <c r="F386" s="16" t="n">
        <v>2689.49</v>
      </c>
      <c r="G386" s="17" t="n"/>
      <c r="H386" s="16" t="n">
        <v>-2689.49</v>
      </c>
      <c r="I386" s="16" t="n">
        <v>0</v>
      </c>
    </row>
    <row r="387">
      <c r="A387" t="inlineStr">
        <is>
          <t>MTR-IOS-0386</t>
        </is>
      </c>
      <c r="B387" t="inlineStr">
        <is>
          <t>Wedding</t>
        </is>
      </c>
      <c r="C387" t="inlineStr">
        <is>
          <t>EQUAL</t>
        </is>
      </c>
      <c r="D387" t="inlineStr">
        <is>
          <t>IOS Aarav</t>
        </is>
      </c>
      <c r="E387" s="16" t="n">
        <v>0</v>
      </c>
      <c r="F387" s="16" t="n">
        <v>2689.49</v>
      </c>
      <c r="G387" s="17" t="n"/>
      <c r="H387" s="16" t="n">
        <v>-2689.49</v>
      </c>
      <c r="I387" s="16" t="n">
        <v>0</v>
      </c>
    </row>
    <row r="388">
      <c r="A388" t="inlineStr">
        <is>
          <t>MTR-IOS-0386</t>
        </is>
      </c>
      <c r="B388" t="inlineStr">
        <is>
          <t>Wedding</t>
        </is>
      </c>
      <c r="C388" t="inlineStr">
        <is>
          <t>EQUAL</t>
        </is>
      </c>
      <c r="D388" t="inlineStr">
        <is>
          <t>IOS Meera</t>
        </is>
      </c>
      <c r="E388" s="16" t="n">
        <v>8068.47</v>
      </c>
      <c r="F388" s="16" t="n">
        <v>2689.49</v>
      </c>
      <c r="G388" s="17" t="n"/>
      <c r="H388" s="16" t="n">
        <v>5378.98</v>
      </c>
      <c r="I388" s="16" t="n">
        <v>0</v>
      </c>
    </row>
    <row r="389">
      <c r="A389" t="inlineStr">
        <is>
          <t>MTR-IOS-0389</t>
        </is>
      </c>
      <c r="B389" t="inlineStr">
        <is>
          <t>Wedding</t>
        </is>
      </c>
      <c r="C389" t="inlineStr">
        <is>
          <t>PERCENTAGE</t>
        </is>
      </c>
      <c r="D389" t="inlineStr">
        <is>
          <t>IOS Owner</t>
        </is>
      </c>
      <c r="E389" s="16" t="n">
        <v>19014.31</v>
      </c>
      <c r="F389" s="16" t="n">
        <v>9507.16</v>
      </c>
      <c r="G389" s="17" t="n">
        <v>50</v>
      </c>
      <c r="H389" s="16" t="n">
        <v>9507.15</v>
      </c>
      <c r="I389" s="16" t="n">
        <v>0</v>
      </c>
    </row>
    <row r="390">
      <c r="A390" t="inlineStr">
        <is>
          <t>MTR-IOS-0389</t>
        </is>
      </c>
      <c r="B390" t="inlineStr">
        <is>
          <t>Wedding</t>
        </is>
      </c>
      <c r="C390" t="inlineStr">
        <is>
          <t>PERCENTAGE</t>
        </is>
      </c>
      <c r="D390" t="inlineStr">
        <is>
          <t>IOS Aarav</t>
        </is>
      </c>
      <c r="E390" s="16" t="n">
        <v>0</v>
      </c>
      <c r="F390" s="16" t="n">
        <v>5704.29</v>
      </c>
      <c r="G390" s="17" t="n">
        <v>30</v>
      </c>
      <c r="H390" s="16" t="n">
        <v>-5704.29</v>
      </c>
      <c r="I390" s="16" t="n">
        <v>0</v>
      </c>
    </row>
    <row r="391">
      <c r="A391" t="inlineStr">
        <is>
          <t>MTR-IOS-0389</t>
        </is>
      </c>
      <c r="B391" t="inlineStr">
        <is>
          <t>Wedding</t>
        </is>
      </c>
      <c r="C391" t="inlineStr">
        <is>
          <t>PERCENTAGE</t>
        </is>
      </c>
      <c r="D391" t="inlineStr">
        <is>
          <t>IOS Meera</t>
        </is>
      </c>
      <c r="E391" s="16" t="n">
        <v>0</v>
      </c>
      <c r="F391" s="16" t="n">
        <v>3802.86</v>
      </c>
      <c r="G391" s="17" t="n">
        <v>20</v>
      </c>
      <c r="H391" s="16" t="n">
        <v>-3802.86</v>
      </c>
      <c r="I391" s="16" t="n">
        <v>0</v>
      </c>
    </row>
    <row r="392">
      <c r="A392" t="inlineStr">
        <is>
          <t>MTR-IOS-0392</t>
        </is>
      </c>
      <c r="B392" t="inlineStr">
        <is>
          <t>Office Outing</t>
        </is>
      </c>
      <c r="C392" t="inlineStr">
        <is>
          <t>EXACT</t>
        </is>
      </c>
      <c r="D392" t="inlineStr">
        <is>
          <t>IOS Owner</t>
        </is>
      </c>
      <c r="E392" s="16" t="n">
        <v>0</v>
      </c>
      <c r="F392" s="16" t="n">
        <v>4188.3</v>
      </c>
      <c r="G392" s="17" t="n"/>
      <c r="H392" s="16" t="n">
        <v>-4188.3</v>
      </c>
      <c r="I392" s="16" t="n">
        <v>0</v>
      </c>
    </row>
    <row r="393">
      <c r="A393" t="inlineStr">
        <is>
          <t>MTR-IOS-0392</t>
        </is>
      </c>
      <c r="B393" t="inlineStr">
        <is>
          <t>Office Outing</t>
        </is>
      </c>
      <c r="C393" t="inlineStr">
        <is>
          <t>EXACT</t>
        </is>
      </c>
      <c r="D393" t="inlineStr">
        <is>
          <t>IOS Aarav</t>
        </is>
      </c>
      <c r="E393" s="16" t="n">
        <v>12577.48</v>
      </c>
      <c r="F393" s="16" t="n">
        <v>4188.3</v>
      </c>
      <c r="G393" s="17" t="n"/>
      <c r="H393" s="16" t="n">
        <v>8389.18</v>
      </c>
      <c r="I393" s="16" t="n">
        <v>0</v>
      </c>
    </row>
    <row r="394">
      <c r="A394" t="inlineStr">
        <is>
          <t>MTR-IOS-0392</t>
        </is>
      </c>
      <c r="B394" t="inlineStr">
        <is>
          <t>Office Outing</t>
        </is>
      </c>
      <c r="C394" t="inlineStr">
        <is>
          <t>EXACT</t>
        </is>
      </c>
      <c r="D394" t="inlineStr">
        <is>
          <t>IOS Meera</t>
        </is>
      </c>
      <c r="E394" s="16" t="n">
        <v>0</v>
      </c>
      <c r="F394" s="16" t="n">
        <v>4200.88</v>
      </c>
      <c r="G394" s="17" t="n"/>
      <c r="H394" s="16" t="n">
        <v>-4200.88</v>
      </c>
      <c r="I394" s="16" t="n">
        <v>0</v>
      </c>
    </row>
    <row r="395">
      <c r="A395" t="inlineStr">
        <is>
          <t>MTR-IOS-0395</t>
        </is>
      </c>
      <c r="B395" t="inlineStr">
        <is>
          <t>Office Outing</t>
        </is>
      </c>
      <c r="C395" t="inlineStr">
        <is>
          <t>SHARES</t>
        </is>
      </c>
      <c r="D395" t="inlineStr">
        <is>
          <t>IOS Owner</t>
        </is>
      </c>
      <c r="E395" s="16" t="n">
        <v>0</v>
      </c>
      <c r="F395" s="16" t="n">
        <v>12841.62</v>
      </c>
      <c r="G395" s="17" t="n"/>
      <c r="H395" s="16" t="n">
        <v>-12841.62</v>
      </c>
      <c r="I395" s="16" t="n">
        <v>0</v>
      </c>
    </row>
    <row r="396">
      <c r="A396" t="inlineStr">
        <is>
          <t>MTR-IOS-0395</t>
        </is>
      </c>
      <c r="B396" t="inlineStr">
        <is>
          <t>Office Outing</t>
        </is>
      </c>
      <c r="C396" t="inlineStr">
        <is>
          <t>SHARES</t>
        </is>
      </c>
      <c r="D396" t="inlineStr">
        <is>
          <t>IOS Aarav</t>
        </is>
      </c>
      <c r="E396" s="16" t="n">
        <v>0</v>
      </c>
      <c r="F396" s="16" t="n">
        <v>8561.08</v>
      </c>
      <c r="G396" s="17" t="n"/>
      <c r="H396" s="16" t="n">
        <v>-8561.08</v>
      </c>
      <c r="I396" s="16" t="n">
        <v>0</v>
      </c>
    </row>
    <row r="397">
      <c r="A397" t="inlineStr">
        <is>
          <t>MTR-IOS-0395</t>
        </is>
      </c>
      <c r="B397" t="inlineStr">
        <is>
          <t>Office Outing</t>
        </is>
      </c>
      <c r="C397" t="inlineStr">
        <is>
          <t>SHARES</t>
        </is>
      </c>
      <c r="D397" t="inlineStr">
        <is>
          <t>IOS Meera</t>
        </is>
      </c>
      <c r="E397" s="16" t="n">
        <v>25683.24</v>
      </c>
      <c r="F397" s="16" t="n">
        <v>4280.54</v>
      </c>
      <c r="G397" s="17" t="n"/>
      <c r="H397" s="16" t="n">
        <v>21402.7</v>
      </c>
      <c r="I397" s="16" t="n">
        <v>0</v>
      </c>
    </row>
    <row r="398">
      <c r="A398" t="inlineStr">
        <is>
          <t>MTR-IOS-0398</t>
        </is>
      </c>
      <c r="B398" t="inlineStr">
        <is>
          <t>Office Outing</t>
        </is>
      </c>
      <c r="C398" t="inlineStr">
        <is>
          <t>EQUAL</t>
        </is>
      </c>
      <c r="D398" t="inlineStr">
        <is>
          <t>IOS Owner</t>
        </is>
      </c>
      <c r="E398" s="16" t="n">
        <v>13413.27</v>
      </c>
      <c r="F398" s="16" t="n">
        <v>4471.09</v>
      </c>
      <c r="G398" s="17" t="n"/>
      <c r="H398" s="16" t="n">
        <v>8942.18</v>
      </c>
      <c r="I398" s="16" t="n">
        <v>0</v>
      </c>
    </row>
    <row r="399">
      <c r="A399" t="inlineStr">
        <is>
          <t>MTR-IOS-0398</t>
        </is>
      </c>
      <c r="B399" t="inlineStr">
        <is>
          <t>Office Outing</t>
        </is>
      </c>
      <c r="C399" t="inlineStr">
        <is>
          <t>EQUAL</t>
        </is>
      </c>
      <c r="D399" t="inlineStr">
        <is>
          <t>IOS Aarav</t>
        </is>
      </c>
      <c r="E399" s="16" t="n">
        <v>0</v>
      </c>
      <c r="F399" s="16" t="n">
        <v>4471.09</v>
      </c>
      <c r="G399" s="17" t="n"/>
      <c r="H399" s="16" t="n">
        <v>-4471.09</v>
      </c>
      <c r="I399" s="16" t="n">
        <v>0</v>
      </c>
    </row>
    <row r="400">
      <c r="A400" t="inlineStr">
        <is>
          <t>MTR-IOS-0398</t>
        </is>
      </c>
      <c r="B400" t="inlineStr">
        <is>
          <t>Office Outing</t>
        </is>
      </c>
      <c r="C400" t="inlineStr">
        <is>
          <t>EQUAL</t>
        </is>
      </c>
      <c r="D400" t="inlineStr">
        <is>
          <t>IOS Meera</t>
        </is>
      </c>
      <c r="E400" s="16" t="n">
        <v>0</v>
      </c>
      <c r="F400" s="16" t="n">
        <v>4471.09</v>
      </c>
      <c r="G400" s="17" t="n"/>
      <c r="H400" s="16" t="n">
        <v>-4471.09</v>
      </c>
      <c r="I400" s="16" t="n">
        <v>0</v>
      </c>
    </row>
    <row r="401">
      <c r="A401" t="inlineStr">
        <is>
          <t>MTR-IOS-0401</t>
        </is>
      </c>
      <c r="B401" t="inlineStr">
        <is>
          <t>Office Outing</t>
        </is>
      </c>
      <c r="C401" t="inlineStr">
        <is>
          <t>PERCENTAGE</t>
        </is>
      </c>
      <c r="D401" t="inlineStr">
        <is>
          <t>IOS Owner</t>
        </is>
      </c>
      <c r="E401" s="16" t="n">
        <v>0</v>
      </c>
      <c r="F401" s="16" t="n">
        <v>10837.28</v>
      </c>
      <c r="G401" s="17" t="n">
        <v>50</v>
      </c>
      <c r="H401" s="16" t="n">
        <v>-10837.28</v>
      </c>
      <c r="I401" s="16" t="n">
        <v>0</v>
      </c>
    </row>
    <row r="402">
      <c r="A402" t="inlineStr">
        <is>
          <t>MTR-IOS-0401</t>
        </is>
      </c>
      <c r="B402" t="inlineStr">
        <is>
          <t>Office Outing</t>
        </is>
      </c>
      <c r="C402" t="inlineStr">
        <is>
          <t>PERCENTAGE</t>
        </is>
      </c>
      <c r="D402" t="inlineStr">
        <is>
          <t>IOS Aarav</t>
        </is>
      </c>
      <c r="E402" s="16" t="n">
        <v>21674.55</v>
      </c>
      <c r="F402" s="16" t="n">
        <v>6502.37</v>
      </c>
      <c r="G402" s="17" t="n">
        <v>30</v>
      </c>
      <c r="H402" s="16" t="n">
        <v>15172.18</v>
      </c>
      <c r="I402" s="16" t="n">
        <v>0</v>
      </c>
    </row>
    <row r="403">
      <c r="A403" t="inlineStr">
        <is>
          <t>MTR-IOS-0401</t>
        </is>
      </c>
      <c r="B403" t="inlineStr">
        <is>
          <t>Office Outing</t>
        </is>
      </c>
      <c r="C403" t="inlineStr">
        <is>
          <t>PERCENTAGE</t>
        </is>
      </c>
      <c r="D403" t="inlineStr">
        <is>
          <t>IOS Meera</t>
        </is>
      </c>
      <c r="E403" s="16" t="n">
        <v>0</v>
      </c>
      <c r="F403" s="16" t="n">
        <v>4334.9</v>
      </c>
      <c r="G403" s="17" t="n">
        <v>20</v>
      </c>
      <c r="H403" s="16" t="n">
        <v>-4334.9</v>
      </c>
      <c r="I403" s="16" t="n">
        <v>0</v>
      </c>
    </row>
    <row r="404">
      <c r="A404" t="inlineStr">
        <is>
          <t>MTR-IOS-0404</t>
        </is>
      </c>
      <c r="B404" t="inlineStr">
        <is>
          <t>Office Outing</t>
        </is>
      </c>
      <c r="C404" t="inlineStr">
        <is>
          <t>EXACT</t>
        </is>
      </c>
      <c r="D404" t="inlineStr">
        <is>
          <t>IOS Owner</t>
        </is>
      </c>
      <c r="E404" s="16" t="n">
        <v>0</v>
      </c>
      <c r="F404" s="16" t="n">
        <v>3666</v>
      </c>
      <c r="G404" s="17" t="n"/>
      <c r="H404" s="16" t="n">
        <v>-3666</v>
      </c>
      <c r="I404" s="16" t="n">
        <v>0</v>
      </c>
    </row>
    <row r="405">
      <c r="A405" t="inlineStr">
        <is>
          <t>MTR-IOS-0404</t>
        </is>
      </c>
      <c r="B405" t="inlineStr">
        <is>
          <t>Office Outing</t>
        </is>
      </c>
      <c r="C405" t="inlineStr">
        <is>
          <t>EXACT</t>
        </is>
      </c>
      <c r="D405" t="inlineStr">
        <is>
          <t>IOS Aarav</t>
        </is>
      </c>
      <c r="E405" s="16" t="n">
        <v>0</v>
      </c>
      <c r="F405" s="16" t="n">
        <v>3666</v>
      </c>
      <c r="G405" s="17" t="n"/>
      <c r="H405" s="16" t="n">
        <v>-3666</v>
      </c>
      <c r="I405" s="16" t="n">
        <v>0</v>
      </c>
    </row>
    <row r="406">
      <c r="A406" t="inlineStr">
        <is>
          <t>MTR-IOS-0404</t>
        </is>
      </c>
      <c r="B406" t="inlineStr">
        <is>
          <t>Office Outing</t>
        </is>
      </c>
      <c r="C406" t="inlineStr">
        <is>
          <t>EXACT</t>
        </is>
      </c>
      <c r="D406" t="inlineStr">
        <is>
          <t>IOS Meera</t>
        </is>
      </c>
      <c r="E406" s="16" t="n">
        <v>11009.01</v>
      </c>
      <c r="F406" s="16" t="n">
        <v>3677.01</v>
      </c>
      <c r="G406" s="17" t="n"/>
      <c r="H406" s="16" t="n">
        <v>7332</v>
      </c>
      <c r="I406" s="16" t="n">
        <v>0</v>
      </c>
    </row>
    <row r="407">
      <c r="A407" t="inlineStr">
        <is>
          <t>MTR-IOS-0407</t>
        </is>
      </c>
      <c r="B407" t="inlineStr">
        <is>
          <t>House Party</t>
        </is>
      </c>
      <c r="C407" t="inlineStr">
        <is>
          <t>SHARES</t>
        </is>
      </c>
      <c r="D407" t="inlineStr">
        <is>
          <t>IOS Owner</t>
        </is>
      </c>
      <c r="E407" s="16" t="n">
        <v>10000</v>
      </c>
      <c r="F407" s="16" t="n">
        <v>5000</v>
      </c>
      <c r="G407" s="17" t="n"/>
      <c r="H407" s="16" t="n">
        <v>5000</v>
      </c>
      <c r="I407" s="16" t="n">
        <v>0</v>
      </c>
    </row>
    <row r="408">
      <c r="A408" t="inlineStr">
        <is>
          <t>MTR-IOS-0407</t>
        </is>
      </c>
      <c r="B408" t="inlineStr">
        <is>
          <t>House Party</t>
        </is>
      </c>
      <c r="C408" t="inlineStr">
        <is>
          <t>SHARES</t>
        </is>
      </c>
      <c r="D408" t="inlineStr">
        <is>
          <t>IOS Aarav</t>
        </is>
      </c>
      <c r="E408" s="16" t="n">
        <v>0</v>
      </c>
      <c r="F408" s="16" t="n">
        <v>3333.33</v>
      </c>
      <c r="G408" s="17" t="n"/>
      <c r="H408" s="16" t="n">
        <v>-3333.33</v>
      </c>
      <c r="I408" s="16" t="n">
        <v>0</v>
      </c>
    </row>
    <row r="409">
      <c r="A409" t="inlineStr">
        <is>
          <t>MTR-IOS-0407</t>
        </is>
      </c>
      <c r="B409" t="inlineStr">
        <is>
          <t>House Party</t>
        </is>
      </c>
      <c r="C409" t="inlineStr">
        <is>
          <t>SHARES</t>
        </is>
      </c>
      <c r="D409" t="inlineStr">
        <is>
          <t>IOS Meera</t>
        </is>
      </c>
      <c r="E409" s="16" t="n">
        <v>0</v>
      </c>
      <c r="F409" s="16" t="n">
        <v>1666.67</v>
      </c>
      <c r="G409" s="17" t="n"/>
      <c r="H409" s="16" t="n">
        <v>-1666.67</v>
      </c>
      <c r="I409" s="16" t="n">
        <v>0</v>
      </c>
    </row>
    <row r="410">
      <c r="A410" t="inlineStr">
        <is>
          <t>MTR-IOS-0410</t>
        </is>
      </c>
      <c r="B410" t="inlineStr">
        <is>
          <t>House Party</t>
        </is>
      </c>
      <c r="C410" t="inlineStr">
        <is>
          <t>EQUAL</t>
        </is>
      </c>
      <c r="D410" t="inlineStr">
        <is>
          <t>IOS Owner</t>
        </is>
      </c>
      <c r="E410" s="16" t="n">
        <v>0</v>
      </c>
      <c r="F410" s="16" t="n">
        <v>1844.24</v>
      </c>
      <c r="G410" s="17" t="n"/>
      <c r="H410" s="16" t="n">
        <v>-1844.24</v>
      </c>
      <c r="I410" s="16" t="n">
        <v>0</v>
      </c>
    </row>
    <row r="411">
      <c r="A411" t="inlineStr">
        <is>
          <t>MTR-IOS-0410</t>
        </is>
      </c>
      <c r="B411" t="inlineStr">
        <is>
          <t>House Party</t>
        </is>
      </c>
      <c r="C411" t="inlineStr">
        <is>
          <t>EQUAL</t>
        </is>
      </c>
      <c r="D411" t="inlineStr">
        <is>
          <t>IOS Aarav</t>
        </is>
      </c>
      <c r="E411" s="16" t="n">
        <v>5532.72</v>
      </c>
      <c r="F411" s="16" t="n">
        <v>1844.24</v>
      </c>
      <c r="G411" s="17" t="n"/>
      <c r="H411" s="16" t="n">
        <v>3688.48</v>
      </c>
      <c r="I411" s="16" t="n">
        <v>0</v>
      </c>
    </row>
    <row r="412">
      <c r="A412" t="inlineStr">
        <is>
          <t>MTR-IOS-0410</t>
        </is>
      </c>
      <c r="B412" t="inlineStr">
        <is>
          <t>House Party</t>
        </is>
      </c>
      <c r="C412" t="inlineStr">
        <is>
          <t>EQUAL</t>
        </is>
      </c>
      <c r="D412" t="inlineStr">
        <is>
          <t>IOS Meera</t>
        </is>
      </c>
      <c r="E412" s="16" t="n">
        <v>0</v>
      </c>
      <c r="F412" s="16" t="n">
        <v>1844.24</v>
      </c>
      <c r="G412" s="17" t="n"/>
      <c r="H412" s="16" t="n">
        <v>-1844.24</v>
      </c>
      <c r="I412" s="16" t="n">
        <v>0</v>
      </c>
    </row>
    <row r="413">
      <c r="A413" t="inlineStr">
        <is>
          <t>MTR-IOS-0413</t>
        </is>
      </c>
      <c r="B413" t="inlineStr">
        <is>
          <t>House Party</t>
        </is>
      </c>
      <c r="C413" t="inlineStr">
        <is>
          <t>PERCENTAGE</t>
        </is>
      </c>
      <c r="D413" t="inlineStr">
        <is>
          <t>IOS Owner</t>
        </is>
      </c>
      <c r="E413" s="16" t="n">
        <v>0</v>
      </c>
      <c r="F413" s="16" t="n">
        <v>9591.91</v>
      </c>
      <c r="G413" s="17" t="n">
        <v>50</v>
      </c>
      <c r="H413" s="16" t="n">
        <v>-9591.91</v>
      </c>
      <c r="I413" s="16" t="n">
        <v>0</v>
      </c>
    </row>
    <row r="414">
      <c r="A414" t="inlineStr">
        <is>
          <t>MTR-IOS-0413</t>
        </is>
      </c>
      <c r="B414" t="inlineStr">
        <is>
          <t>House Party</t>
        </is>
      </c>
      <c r="C414" t="inlineStr">
        <is>
          <t>PERCENTAGE</t>
        </is>
      </c>
      <c r="D414" t="inlineStr">
        <is>
          <t>IOS Aarav</t>
        </is>
      </c>
      <c r="E414" s="16" t="n">
        <v>0</v>
      </c>
      <c r="F414" s="16" t="n">
        <v>5755.14</v>
      </c>
      <c r="G414" s="17" t="n">
        <v>30</v>
      </c>
      <c r="H414" s="16" t="n">
        <v>-5755.14</v>
      </c>
      <c r="I414" s="16" t="n">
        <v>0</v>
      </c>
    </row>
    <row r="415">
      <c r="A415" t="inlineStr">
        <is>
          <t>MTR-IOS-0413</t>
        </is>
      </c>
      <c r="B415" t="inlineStr">
        <is>
          <t>House Party</t>
        </is>
      </c>
      <c r="C415" t="inlineStr">
        <is>
          <t>PERCENTAGE</t>
        </is>
      </c>
      <c r="D415" t="inlineStr">
        <is>
          <t>IOS Meera</t>
        </is>
      </c>
      <c r="E415" s="16" t="n">
        <v>19183.81</v>
      </c>
      <c r="F415" s="16" t="n">
        <v>3836.76</v>
      </c>
      <c r="G415" s="17" t="n">
        <v>20</v>
      </c>
      <c r="H415" s="16" t="n">
        <v>15347.05</v>
      </c>
      <c r="I415" s="16" t="n">
        <v>0</v>
      </c>
    </row>
    <row r="416">
      <c r="A416" t="inlineStr">
        <is>
          <t>MTR-IOS-0416</t>
        </is>
      </c>
      <c r="B416" t="inlineStr">
        <is>
          <t>House Party</t>
        </is>
      </c>
      <c r="C416" t="inlineStr">
        <is>
          <t>EXACT</t>
        </is>
      </c>
      <c r="D416" t="inlineStr">
        <is>
          <t>IOS Owner</t>
        </is>
      </c>
      <c r="E416" s="16" t="n">
        <v>9262.690000000001</v>
      </c>
      <c r="F416" s="16" t="n">
        <v>3084.48</v>
      </c>
      <c r="G416" s="17" t="n"/>
      <c r="H416" s="16" t="n">
        <v>6178.21</v>
      </c>
      <c r="I416" s="16" t="n">
        <v>0</v>
      </c>
    </row>
    <row r="417">
      <c r="A417" t="inlineStr">
        <is>
          <t>MTR-IOS-0416</t>
        </is>
      </c>
      <c r="B417" t="inlineStr">
        <is>
          <t>House Party</t>
        </is>
      </c>
      <c r="C417" t="inlineStr">
        <is>
          <t>EXACT</t>
        </is>
      </c>
      <c r="D417" t="inlineStr">
        <is>
          <t>IOS Aarav</t>
        </is>
      </c>
      <c r="E417" s="16" t="n">
        <v>0</v>
      </c>
      <c r="F417" s="16" t="n">
        <v>3084.48</v>
      </c>
      <c r="G417" s="17" t="n"/>
      <c r="H417" s="16" t="n">
        <v>-3084.48</v>
      </c>
      <c r="I417" s="16" t="n">
        <v>0</v>
      </c>
    </row>
    <row r="418">
      <c r="A418" t="inlineStr">
        <is>
          <t>MTR-IOS-0416</t>
        </is>
      </c>
      <c r="B418" t="inlineStr">
        <is>
          <t>House Party</t>
        </is>
      </c>
      <c r="C418" t="inlineStr">
        <is>
          <t>EXACT</t>
        </is>
      </c>
      <c r="D418" t="inlineStr">
        <is>
          <t>IOS Meera</t>
        </is>
      </c>
      <c r="E418" s="16" t="n">
        <v>0</v>
      </c>
      <c r="F418" s="16" t="n">
        <v>3093.73</v>
      </c>
      <c r="G418" s="17" t="n"/>
      <c r="H418" s="16" t="n">
        <v>-3093.73</v>
      </c>
      <c r="I418" s="16" t="n">
        <v>0</v>
      </c>
    </row>
    <row r="419">
      <c r="A419" t="inlineStr">
        <is>
          <t>MTR-IOS-0419</t>
        </is>
      </c>
      <c r="B419" t="inlineStr">
        <is>
          <t>House Party</t>
        </is>
      </c>
      <c r="C419" t="inlineStr">
        <is>
          <t>SHARES</t>
        </is>
      </c>
      <c r="D419" t="inlineStr">
        <is>
          <t>IOS Owner</t>
        </is>
      </c>
      <c r="E419" s="16" t="n">
        <v>0</v>
      </c>
      <c r="F419" s="16" t="n">
        <v>7272.26</v>
      </c>
      <c r="G419" s="17" t="n"/>
      <c r="H419" s="16" t="n">
        <v>-7272.26</v>
      </c>
      <c r="I419" s="16" t="n">
        <v>0</v>
      </c>
    </row>
    <row r="420">
      <c r="A420" t="inlineStr">
        <is>
          <t>MTR-IOS-0419</t>
        </is>
      </c>
      <c r="B420" t="inlineStr">
        <is>
          <t>House Party</t>
        </is>
      </c>
      <c r="C420" t="inlineStr">
        <is>
          <t>SHARES</t>
        </is>
      </c>
      <c r="D420" t="inlineStr">
        <is>
          <t>IOS Aarav</t>
        </is>
      </c>
      <c r="E420" s="16" t="n">
        <v>14544.51</v>
      </c>
      <c r="F420" s="16" t="n">
        <v>4848.17</v>
      </c>
      <c r="G420" s="17" t="n"/>
      <c r="H420" s="16" t="n">
        <v>9696.34</v>
      </c>
      <c r="I420" s="16" t="n">
        <v>0</v>
      </c>
    </row>
    <row r="421">
      <c r="A421" t="inlineStr">
        <is>
          <t>MTR-IOS-0419</t>
        </is>
      </c>
      <c r="B421" t="inlineStr">
        <is>
          <t>House Party</t>
        </is>
      </c>
      <c r="C421" t="inlineStr">
        <is>
          <t>SHARES</t>
        </is>
      </c>
      <c r="D421" t="inlineStr">
        <is>
          <t>IOS Meera</t>
        </is>
      </c>
      <c r="E421" s="16" t="n">
        <v>0</v>
      </c>
      <c r="F421" s="16" t="n">
        <v>2424.08</v>
      </c>
      <c r="G421" s="17" t="n"/>
      <c r="H421" s="16" t="n">
        <v>-2424.08</v>
      </c>
      <c r="I421" s="16" t="n">
        <v>0</v>
      </c>
    </row>
    <row r="422">
      <c r="A422" t="inlineStr">
        <is>
          <t>MTR-IOS-0422</t>
        </is>
      </c>
      <c r="B422" t="inlineStr">
        <is>
          <t>Gift Pool</t>
        </is>
      </c>
      <c r="C422" t="inlineStr">
        <is>
          <t>EQUAL</t>
        </is>
      </c>
      <c r="D422" t="inlineStr">
        <is>
          <t>IOS Owner</t>
        </is>
      </c>
      <c r="E422" s="16" t="n">
        <v>0</v>
      </c>
      <c r="F422" s="16" t="n">
        <v>8187.05</v>
      </c>
      <c r="G422" s="17" t="n"/>
      <c r="H422" s="16" t="n">
        <v>-8187.05</v>
      </c>
      <c r="I422" s="16" t="n">
        <v>0</v>
      </c>
    </row>
    <row r="423">
      <c r="A423" t="inlineStr">
        <is>
          <t>MTR-IOS-0422</t>
        </is>
      </c>
      <c r="B423" t="inlineStr">
        <is>
          <t>Gift Pool</t>
        </is>
      </c>
      <c r="C423" t="inlineStr">
        <is>
          <t>EQUAL</t>
        </is>
      </c>
      <c r="D423" t="inlineStr">
        <is>
          <t>IOS Aarav</t>
        </is>
      </c>
      <c r="E423" s="16" t="n">
        <v>0</v>
      </c>
      <c r="F423" s="16" t="n">
        <v>8187.05</v>
      </c>
      <c r="G423" s="17" t="n"/>
      <c r="H423" s="16" t="n">
        <v>-8187.05</v>
      </c>
      <c r="I423" s="16" t="n">
        <v>0</v>
      </c>
    </row>
    <row r="424">
      <c r="A424" t="inlineStr">
        <is>
          <t>MTR-IOS-0422</t>
        </is>
      </c>
      <c r="B424" t="inlineStr">
        <is>
          <t>Gift Pool</t>
        </is>
      </c>
      <c r="C424" t="inlineStr">
        <is>
          <t>EQUAL</t>
        </is>
      </c>
      <c r="D424" t="inlineStr">
        <is>
          <t>IOS Meera</t>
        </is>
      </c>
      <c r="E424" s="16" t="n">
        <v>24561.16</v>
      </c>
      <c r="F424" s="16" t="n">
        <v>8187.06</v>
      </c>
      <c r="G424" s="17" t="n"/>
      <c r="H424" s="16" t="n">
        <v>16374.1</v>
      </c>
      <c r="I424" s="16" t="n">
        <v>0</v>
      </c>
    </row>
    <row r="425">
      <c r="A425" t="inlineStr">
        <is>
          <t>MTR-IOS-0425</t>
        </is>
      </c>
      <c r="B425" t="inlineStr">
        <is>
          <t>Gift Pool</t>
        </is>
      </c>
      <c r="C425" t="inlineStr">
        <is>
          <t>PERCENTAGE</t>
        </is>
      </c>
      <c r="D425" t="inlineStr">
        <is>
          <t>IOS Owner</t>
        </is>
      </c>
      <c r="E425" s="16" t="n">
        <v>4434.72</v>
      </c>
      <c r="F425" s="16" t="n">
        <v>2217.36</v>
      </c>
      <c r="G425" s="17" t="n">
        <v>50</v>
      </c>
      <c r="H425" s="16" t="n">
        <v>2217.36</v>
      </c>
      <c r="I425" s="16" t="n">
        <v>0</v>
      </c>
    </row>
    <row r="426">
      <c r="A426" t="inlineStr">
        <is>
          <t>MTR-IOS-0425</t>
        </is>
      </c>
      <c r="B426" t="inlineStr">
        <is>
          <t>Gift Pool</t>
        </is>
      </c>
      <c r="C426" t="inlineStr">
        <is>
          <t>PERCENTAGE</t>
        </is>
      </c>
      <c r="D426" t="inlineStr">
        <is>
          <t>IOS Aarav</t>
        </is>
      </c>
      <c r="E426" s="16" t="n">
        <v>0</v>
      </c>
      <c r="F426" s="16" t="n">
        <v>1330.42</v>
      </c>
      <c r="G426" s="17" t="n">
        <v>30</v>
      </c>
      <c r="H426" s="16" t="n">
        <v>-1330.42</v>
      </c>
      <c r="I426" s="16" t="n">
        <v>0</v>
      </c>
    </row>
    <row r="427">
      <c r="A427" t="inlineStr">
        <is>
          <t>MTR-IOS-0425</t>
        </is>
      </c>
      <c r="B427" t="inlineStr">
        <is>
          <t>Gift Pool</t>
        </is>
      </c>
      <c r="C427" t="inlineStr">
        <is>
          <t>PERCENTAGE</t>
        </is>
      </c>
      <c r="D427" t="inlineStr">
        <is>
          <t>IOS Meera</t>
        </is>
      </c>
      <c r="E427" s="16" t="n">
        <v>0</v>
      </c>
      <c r="F427" s="16" t="n">
        <v>886.9400000000001</v>
      </c>
      <c r="G427" s="17" t="n">
        <v>20</v>
      </c>
      <c r="H427" s="16" t="n">
        <v>-886.9400000000001</v>
      </c>
      <c r="I427" s="16" t="n">
        <v>0</v>
      </c>
    </row>
    <row r="428">
      <c r="A428" t="inlineStr">
        <is>
          <t>MTR-IOS-0428</t>
        </is>
      </c>
      <c r="B428" t="inlineStr">
        <is>
          <t>Gift Pool</t>
        </is>
      </c>
      <c r="C428" t="inlineStr">
        <is>
          <t>EXACT</t>
        </is>
      </c>
      <c r="D428" t="inlineStr">
        <is>
          <t>IOS Owner</t>
        </is>
      </c>
      <c r="E428" s="16" t="n">
        <v>0</v>
      </c>
      <c r="F428" s="16" t="n">
        <v>5727.3</v>
      </c>
      <c r="G428" s="17" t="n"/>
      <c r="H428" s="16" t="n">
        <v>-5727.3</v>
      </c>
      <c r="I428" s="16" t="n">
        <v>0</v>
      </c>
    </row>
    <row r="429">
      <c r="A429" t="inlineStr">
        <is>
          <t>MTR-IOS-0428</t>
        </is>
      </c>
      <c r="B429" t="inlineStr">
        <is>
          <t>Gift Pool</t>
        </is>
      </c>
      <c r="C429" t="inlineStr">
        <is>
          <t>EXACT</t>
        </is>
      </c>
      <c r="D429" t="inlineStr">
        <is>
          <t>IOS Aarav</t>
        </is>
      </c>
      <c r="E429" s="16" t="n">
        <v>17199.11</v>
      </c>
      <c r="F429" s="16" t="n">
        <v>5727.3</v>
      </c>
      <c r="G429" s="17" t="n"/>
      <c r="H429" s="16" t="n">
        <v>11471.81</v>
      </c>
      <c r="I429" s="16" t="n">
        <v>0</v>
      </c>
    </row>
    <row r="430">
      <c r="A430" t="inlineStr">
        <is>
          <t>MTR-IOS-0428</t>
        </is>
      </c>
      <c r="B430" t="inlineStr">
        <is>
          <t>Gift Pool</t>
        </is>
      </c>
      <c r="C430" t="inlineStr">
        <is>
          <t>EXACT</t>
        </is>
      </c>
      <c r="D430" t="inlineStr">
        <is>
          <t>IOS Meera</t>
        </is>
      </c>
      <c r="E430" s="16" t="n">
        <v>0</v>
      </c>
      <c r="F430" s="16" t="n">
        <v>5744.51</v>
      </c>
      <c r="G430" s="17" t="n"/>
      <c r="H430" s="16" t="n">
        <v>-5744.51</v>
      </c>
      <c r="I430" s="16" t="n">
        <v>0</v>
      </c>
    </row>
    <row r="431">
      <c r="A431" t="inlineStr">
        <is>
          <t>MTR-IOS-0431</t>
        </is>
      </c>
      <c r="B431" t="inlineStr">
        <is>
          <t>Gift Pool</t>
        </is>
      </c>
      <c r="C431" t="inlineStr">
        <is>
          <t>SHARES</t>
        </is>
      </c>
      <c r="D431" t="inlineStr">
        <is>
          <t>IOS Owner</t>
        </is>
      </c>
      <c r="E431" s="16" t="n">
        <v>0</v>
      </c>
      <c r="F431" s="16" t="n">
        <v>4402.78</v>
      </c>
      <c r="G431" s="17" t="n"/>
      <c r="H431" s="16" t="n">
        <v>-4402.78</v>
      </c>
      <c r="I431" s="16" t="n">
        <v>0</v>
      </c>
    </row>
    <row r="432">
      <c r="A432" t="inlineStr">
        <is>
          <t>MTR-IOS-0431</t>
        </is>
      </c>
      <c r="B432" t="inlineStr">
        <is>
          <t>Gift Pool</t>
        </is>
      </c>
      <c r="C432" t="inlineStr">
        <is>
          <t>SHARES</t>
        </is>
      </c>
      <c r="D432" t="inlineStr">
        <is>
          <t>IOS Aarav</t>
        </is>
      </c>
      <c r="E432" s="16" t="n">
        <v>0</v>
      </c>
      <c r="F432" s="16" t="n">
        <v>2935.19</v>
      </c>
      <c r="G432" s="17" t="n"/>
      <c r="H432" s="16" t="n">
        <v>-2935.19</v>
      </c>
      <c r="I432" s="16" t="n">
        <v>0</v>
      </c>
    </row>
    <row r="433">
      <c r="A433" t="inlineStr">
        <is>
          <t>MTR-IOS-0431</t>
        </is>
      </c>
      <c r="B433" t="inlineStr">
        <is>
          <t>Gift Pool</t>
        </is>
      </c>
      <c r="C433" t="inlineStr">
        <is>
          <t>SHARES</t>
        </is>
      </c>
      <c r="D433" t="inlineStr">
        <is>
          <t>IOS Meera</t>
        </is>
      </c>
      <c r="E433" s="16" t="n">
        <v>8805.559999999999</v>
      </c>
      <c r="F433" s="16" t="n">
        <v>1467.59</v>
      </c>
      <c r="G433" s="17" t="n"/>
      <c r="H433" s="16" t="n">
        <v>7337.97</v>
      </c>
      <c r="I433" s="16" t="n">
        <v>0</v>
      </c>
    </row>
    <row r="434">
      <c r="A434" t="inlineStr">
        <is>
          <t>MTR-IOS-0434</t>
        </is>
      </c>
      <c r="B434" t="inlineStr">
        <is>
          <t>Purchase</t>
        </is>
      </c>
      <c r="C434" t="inlineStr">
        <is>
          <t>EQUAL</t>
        </is>
      </c>
      <c r="D434" t="inlineStr">
        <is>
          <t>IOS Owner</t>
        </is>
      </c>
      <c r="E434" s="16" t="n">
        <v>20412.85</v>
      </c>
      <c r="F434" s="16" t="n">
        <v>6804.28</v>
      </c>
      <c r="G434" s="17" t="n"/>
      <c r="H434" s="16" t="n">
        <v>13608.57</v>
      </c>
      <c r="I434" s="16" t="n">
        <v>0</v>
      </c>
    </row>
    <row r="435">
      <c r="A435" t="inlineStr">
        <is>
          <t>MTR-IOS-0434</t>
        </is>
      </c>
      <c r="B435" t="inlineStr">
        <is>
          <t>Purchase</t>
        </is>
      </c>
      <c r="C435" t="inlineStr">
        <is>
          <t>EQUAL</t>
        </is>
      </c>
      <c r="D435" t="inlineStr">
        <is>
          <t>IOS Aarav</t>
        </is>
      </c>
      <c r="E435" s="16" t="n">
        <v>0</v>
      </c>
      <c r="F435" s="16" t="n">
        <v>6804.28</v>
      </c>
      <c r="G435" s="17" t="n"/>
      <c r="H435" s="16" t="n">
        <v>-6804.28</v>
      </c>
      <c r="I435" s="16" t="n">
        <v>0</v>
      </c>
    </row>
    <row r="436">
      <c r="A436" t="inlineStr">
        <is>
          <t>MTR-IOS-0434</t>
        </is>
      </c>
      <c r="B436" t="inlineStr">
        <is>
          <t>Purchase</t>
        </is>
      </c>
      <c r="C436" t="inlineStr">
        <is>
          <t>EQUAL</t>
        </is>
      </c>
      <c r="D436" t="inlineStr">
        <is>
          <t>IOS Meera</t>
        </is>
      </c>
      <c r="E436" s="16" t="n">
        <v>0</v>
      </c>
      <c r="F436" s="16" t="n">
        <v>6804.29</v>
      </c>
      <c r="G436" s="17" t="n"/>
      <c r="H436" s="16" t="n">
        <v>-6804.29</v>
      </c>
      <c r="I436" s="16" t="n">
        <v>0</v>
      </c>
    </row>
    <row r="437">
      <c r="A437" t="inlineStr">
        <is>
          <t>MTR-IOS-0437</t>
        </is>
      </c>
      <c r="B437" t="inlineStr">
        <is>
          <t>Purchase</t>
        </is>
      </c>
      <c r="C437" t="inlineStr">
        <is>
          <t>PERCENTAGE</t>
        </is>
      </c>
      <c r="D437" t="inlineStr">
        <is>
          <t>IOS Owner</t>
        </is>
      </c>
      <c r="E437" s="16" t="n">
        <v>0</v>
      </c>
      <c r="F437" s="16" t="n">
        <v>6635.4</v>
      </c>
      <c r="G437" s="17" t="n">
        <v>50</v>
      </c>
      <c r="H437" s="16" t="n">
        <v>-6635.4</v>
      </c>
      <c r="I437" s="16" t="n">
        <v>0</v>
      </c>
    </row>
    <row r="438">
      <c r="A438" t="inlineStr">
        <is>
          <t>MTR-IOS-0437</t>
        </is>
      </c>
      <c r="B438" t="inlineStr">
        <is>
          <t>Purchase</t>
        </is>
      </c>
      <c r="C438" t="inlineStr">
        <is>
          <t>PERCENTAGE</t>
        </is>
      </c>
      <c r="D438" t="inlineStr">
        <is>
          <t>IOS Aarav</t>
        </is>
      </c>
      <c r="E438" s="16" t="n">
        <v>13270.79</v>
      </c>
      <c r="F438" s="16" t="n">
        <v>3981.24</v>
      </c>
      <c r="G438" s="17" t="n">
        <v>30</v>
      </c>
      <c r="H438" s="16" t="n">
        <v>9289.549999999999</v>
      </c>
      <c r="I438" s="16" t="n">
        <v>0</v>
      </c>
    </row>
    <row r="439">
      <c r="A439" t="inlineStr">
        <is>
          <t>MTR-IOS-0437</t>
        </is>
      </c>
      <c r="B439" t="inlineStr">
        <is>
          <t>Purchase</t>
        </is>
      </c>
      <c r="C439" t="inlineStr">
        <is>
          <t>PERCENTAGE</t>
        </is>
      </c>
      <c r="D439" t="inlineStr">
        <is>
          <t>IOS Meera</t>
        </is>
      </c>
      <c r="E439" s="16" t="n">
        <v>0</v>
      </c>
      <c r="F439" s="16" t="n">
        <v>2654.15</v>
      </c>
      <c r="G439" s="17" t="n">
        <v>20</v>
      </c>
      <c r="H439" s="16" t="n">
        <v>-2654.15</v>
      </c>
      <c r="I439" s="16" t="n">
        <v>0</v>
      </c>
    </row>
    <row r="440">
      <c r="A440" t="inlineStr">
        <is>
          <t>MTR-IOS-0440</t>
        </is>
      </c>
      <c r="B440" t="inlineStr">
        <is>
          <t>Purchase</t>
        </is>
      </c>
      <c r="C440" t="inlineStr">
        <is>
          <t>EXACT</t>
        </is>
      </c>
      <c r="D440" t="inlineStr">
        <is>
          <t>IOS Owner</t>
        </is>
      </c>
      <c r="E440" s="16" t="n">
        <v>0</v>
      </c>
      <c r="F440" s="16" t="n">
        <v>1508.29</v>
      </c>
      <c r="G440" s="17" t="n"/>
      <c r="H440" s="16" t="n">
        <v>-1508.29</v>
      </c>
      <c r="I440" s="16" t="n">
        <v>0</v>
      </c>
    </row>
    <row r="441">
      <c r="A441" t="inlineStr">
        <is>
          <t>MTR-IOS-0440</t>
        </is>
      </c>
      <c r="B441" t="inlineStr">
        <is>
          <t>Purchase</t>
        </is>
      </c>
      <c r="C441" t="inlineStr">
        <is>
          <t>EXACT</t>
        </is>
      </c>
      <c r="D441" t="inlineStr">
        <is>
          <t>IOS Aarav</t>
        </is>
      </c>
      <c r="E441" s="16" t="n">
        <v>0</v>
      </c>
      <c r="F441" s="16" t="n">
        <v>1508.29</v>
      </c>
      <c r="G441" s="17" t="n"/>
      <c r="H441" s="16" t="n">
        <v>-1508.29</v>
      </c>
      <c r="I441" s="16" t="n">
        <v>0</v>
      </c>
    </row>
    <row r="442">
      <c r="A442" t="inlineStr">
        <is>
          <t>MTR-IOS-0440</t>
        </is>
      </c>
      <c r="B442" t="inlineStr">
        <is>
          <t>Purchase</t>
        </is>
      </c>
      <c r="C442" t="inlineStr">
        <is>
          <t>EXACT</t>
        </is>
      </c>
      <c r="D442" t="inlineStr">
        <is>
          <t>IOS Meera</t>
        </is>
      </c>
      <c r="E442" s="16" t="n">
        <v>4529.41</v>
      </c>
      <c r="F442" s="16" t="n">
        <v>1512.83</v>
      </c>
      <c r="G442" s="17" t="n"/>
      <c r="H442" s="16" t="n">
        <v>3016.58</v>
      </c>
      <c r="I442" s="16" t="n">
        <v>0</v>
      </c>
    </row>
    <row r="443">
      <c r="A443" t="inlineStr">
        <is>
          <t>MTR-IOS-0443</t>
        </is>
      </c>
      <c r="B443" t="inlineStr">
        <is>
          <t>Purchase</t>
        </is>
      </c>
      <c r="C443" t="inlineStr">
        <is>
          <t>SHARES</t>
        </is>
      </c>
      <c r="D443" t="inlineStr">
        <is>
          <t>IOS Owner</t>
        </is>
      </c>
      <c r="E443" s="16" t="n">
        <v>4612.25</v>
      </c>
      <c r="F443" s="16" t="n">
        <v>2306.13</v>
      </c>
      <c r="G443" s="17" t="n"/>
      <c r="H443" s="16" t="n">
        <v>2306.12</v>
      </c>
      <c r="I443" s="16" t="n">
        <v>0</v>
      </c>
    </row>
    <row r="444">
      <c r="A444" t="inlineStr">
        <is>
          <t>MTR-IOS-0443</t>
        </is>
      </c>
      <c r="B444" t="inlineStr">
        <is>
          <t>Purchase</t>
        </is>
      </c>
      <c r="C444" t="inlineStr">
        <is>
          <t>SHARES</t>
        </is>
      </c>
      <c r="D444" t="inlineStr">
        <is>
          <t>IOS Aarav</t>
        </is>
      </c>
      <c r="E444" s="16" t="n">
        <v>0</v>
      </c>
      <c r="F444" s="16" t="n">
        <v>1537.42</v>
      </c>
      <c r="G444" s="17" t="n"/>
      <c r="H444" s="16" t="n">
        <v>-1537.42</v>
      </c>
      <c r="I444" s="16" t="n">
        <v>0</v>
      </c>
    </row>
    <row r="445">
      <c r="A445" t="inlineStr">
        <is>
          <t>MTR-IOS-0443</t>
        </is>
      </c>
      <c r="B445" t="inlineStr">
        <is>
          <t>Purchase</t>
        </is>
      </c>
      <c r="C445" t="inlineStr">
        <is>
          <t>SHARES</t>
        </is>
      </c>
      <c r="D445" t="inlineStr">
        <is>
          <t>IOS Meera</t>
        </is>
      </c>
      <c r="E445" s="16" t="n">
        <v>0</v>
      </c>
      <c r="F445" s="16" t="n">
        <v>768.7</v>
      </c>
      <c r="G445" s="17" t="n"/>
      <c r="H445" s="16" t="n">
        <v>-768.7</v>
      </c>
      <c r="I445" s="16" t="n">
        <v>0</v>
      </c>
    </row>
    <row r="446">
      <c r="A446" t="inlineStr">
        <is>
          <t>MTR-IOS-0446</t>
        </is>
      </c>
      <c r="B446" t="inlineStr">
        <is>
          <t>Assets</t>
        </is>
      </c>
      <c r="C446" t="inlineStr">
        <is>
          <t>EQUAL</t>
        </is>
      </c>
      <c r="D446" t="inlineStr">
        <is>
          <t>IOS Owner</t>
        </is>
      </c>
      <c r="E446" s="16" t="n">
        <v>0</v>
      </c>
      <c r="F446" s="16" t="n">
        <v>3353</v>
      </c>
      <c r="G446" s="17" t="n"/>
      <c r="H446" s="16" t="n">
        <v>-3353</v>
      </c>
      <c r="I446" s="16" t="n">
        <v>0</v>
      </c>
    </row>
    <row r="447">
      <c r="A447" t="inlineStr">
        <is>
          <t>MTR-IOS-0446</t>
        </is>
      </c>
      <c r="B447" t="inlineStr">
        <is>
          <t>Assets</t>
        </is>
      </c>
      <c r="C447" t="inlineStr">
        <is>
          <t>EQUAL</t>
        </is>
      </c>
      <c r="D447" t="inlineStr">
        <is>
          <t>IOS Aarav</t>
        </is>
      </c>
      <c r="E447" s="16" t="n">
        <v>10059</v>
      </c>
      <c r="F447" s="16" t="n">
        <v>3353</v>
      </c>
      <c r="G447" s="17" t="n"/>
      <c r="H447" s="16" t="n">
        <v>6706</v>
      </c>
      <c r="I447" s="16" t="n">
        <v>0</v>
      </c>
    </row>
    <row r="448">
      <c r="A448" t="inlineStr">
        <is>
          <t>MTR-IOS-0446</t>
        </is>
      </c>
      <c r="B448" t="inlineStr">
        <is>
          <t>Assets</t>
        </is>
      </c>
      <c r="C448" t="inlineStr">
        <is>
          <t>EQUAL</t>
        </is>
      </c>
      <c r="D448" t="inlineStr">
        <is>
          <t>IOS Meera</t>
        </is>
      </c>
      <c r="E448" s="16" t="n">
        <v>0</v>
      </c>
      <c r="F448" s="16" t="n">
        <v>3353</v>
      </c>
      <c r="G448" s="17" t="n"/>
      <c r="H448" s="16" t="n">
        <v>-3353</v>
      </c>
      <c r="I448" s="16" t="n">
        <v>0</v>
      </c>
    </row>
    <row r="449">
      <c r="A449" t="inlineStr">
        <is>
          <t>MTR-IOS-0449</t>
        </is>
      </c>
      <c r="B449" t="inlineStr">
        <is>
          <t>Assets</t>
        </is>
      </c>
      <c r="C449" t="inlineStr">
        <is>
          <t>PERCENTAGE</t>
        </is>
      </c>
      <c r="D449" t="inlineStr">
        <is>
          <t>IOS Owner</t>
        </is>
      </c>
      <c r="E449" s="16" t="n">
        <v>0</v>
      </c>
      <c r="F449" s="16" t="n">
        <v>461.2</v>
      </c>
      <c r="G449" s="17" t="n">
        <v>50</v>
      </c>
      <c r="H449" s="16" t="n">
        <v>-461.2</v>
      </c>
      <c r="I449" s="16" t="n">
        <v>0</v>
      </c>
    </row>
    <row r="450">
      <c r="A450" t="inlineStr">
        <is>
          <t>MTR-IOS-0449</t>
        </is>
      </c>
      <c r="B450" t="inlineStr">
        <is>
          <t>Assets</t>
        </is>
      </c>
      <c r="C450" t="inlineStr">
        <is>
          <t>PERCENTAGE</t>
        </is>
      </c>
      <c r="D450" t="inlineStr">
        <is>
          <t>IOS Aarav</t>
        </is>
      </c>
      <c r="E450" s="16" t="n">
        <v>0</v>
      </c>
      <c r="F450" s="16" t="n">
        <v>276.72</v>
      </c>
      <c r="G450" s="17" t="n">
        <v>30</v>
      </c>
      <c r="H450" s="16" t="n">
        <v>-276.72</v>
      </c>
      <c r="I450" s="16" t="n">
        <v>0</v>
      </c>
    </row>
    <row r="451">
      <c r="A451" t="inlineStr">
        <is>
          <t>MTR-IOS-0449</t>
        </is>
      </c>
      <c r="B451" t="inlineStr">
        <is>
          <t>Assets</t>
        </is>
      </c>
      <c r="C451" t="inlineStr">
        <is>
          <t>PERCENTAGE</t>
        </is>
      </c>
      <c r="D451" t="inlineStr">
        <is>
          <t>IOS Meera</t>
        </is>
      </c>
      <c r="E451" s="16" t="n">
        <v>922.4</v>
      </c>
      <c r="F451" s="16" t="n">
        <v>184.48</v>
      </c>
      <c r="G451" s="17" t="n">
        <v>20</v>
      </c>
      <c r="H451" s="16" t="n">
        <v>737.92</v>
      </c>
      <c r="I451" s="16" t="n">
        <v>0</v>
      </c>
    </row>
    <row r="452">
      <c r="A452" t="inlineStr">
        <is>
          <t>MTR-IOS-0452</t>
        </is>
      </c>
      <c r="B452" t="inlineStr">
        <is>
          <t>Assets</t>
        </is>
      </c>
      <c r="C452" t="inlineStr">
        <is>
          <t>EXACT</t>
        </is>
      </c>
      <c r="D452" t="inlineStr">
        <is>
          <t>IOS Owner</t>
        </is>
      </c>
      <c r="E452" s="16" t="n">
        <v>21974.48</v>
      </c>
      <c r="F452" s="16" t="n">
        <v>7317.5</v>
      </c>
      <c r="G452" s="17" t="n"/>
      <c r="H452" s="16" t="n">
        <v>14656.98</v>
      </c>
      <c r="I452" s="16" t="n">
        <v>0</v>
      </c>
    </row>
    <row r="453">
      <c r="A453" t="inlineStr">
        <is>
          <t>MTR-IOS-0452</t>
        </is>
      </c>
      <c r="B453" t="inlineStr">
        <is>
          <t>Assets</t>
        </is>
      </c>
      <c r="C453" t="inlineStr">
        <is>
          <t>EXACT</t>
        </is>
      </c>
      <c r="D453" t="inlineStr">
        <is>
          <t>IOS Aarav</t>
        </is>
      </c>
      <c r="E453" s="16" t="n">
        <v>0</v>
      </c>
      <c r="F453" s="16" t="n">
        <v>7317.5</v>
      </c>
      <c r="G453" s="17" t="n"/>
      <c r="H453" s="16" t="n">
        <v>-7317.5</v>
      </c>
      <c r="I453" s="16" t="n">
        <v>0</v>
      </c>
    </row>
    <row r="454">
      <c r="A454" t="inlineStr">
        <is>
          <t>MTR-IOS-0452</t>
        </is>
      </c>
      <c r="B454" t="inlineStr">
        <is>
          <t>Assets</t>
        </is>
      </c>
      <c r="C454" t="inlineStr">
        <is>
          <t>EXACT</t>
        </is>
      </c>
      <c r="D454" t="inlineStr">
        <is>
          <t>IOS Meera</t>
        </is>
      </c>
      <c r="E454" s="16" t="n">
        <v>0</v>
      </c>
      <c r="F454" s="16" t="n">
        <v>7339.48</v>
      </c>
      <c r="G454" s="17" t="n"/>
      <c r="H454" s="16" t="n">
        <v>-7339.48</v>
      </c>
      <c r="I454" s="16" t="n">
        <v>0</v>
      </c>
    </row>
    <row r="455">
      <c r="A455" t="inlineStr">
        <is>
          <t>MTR-IOS-0455</t>
        </is>
      </c>
      <c r="B455" t="inlineStr">
        <is>
          <t>Assets</t>
        </is>
      </c>
      <c r="C455" t="inlineStr">
        <is>
          <t>SHARES</t>
        </is>
      </c>
      <c r="D455" t="inlineStr">
        <is>
          <t>IOS Owner</t>
        </is>
      </c>
      <c r="E455" s="16" t="n">
        <v>0</v>
      </c>
      <c r="F455" s="16" t="n">
        <v>10709.68</v>
      </c>
      <c r="G455" s="17" t="n"/>
      <c r="H455" s="16" t="n">
        <v>-10709.68</v>
      </c>
      <c r="I455" s="16" t="n">
        <v>0</v>
      </c>
    </row>
    <row r="456">
      <c r="A456" t="inlineStr">
        <is>
          <t>MTR-IOS-0455</t>
        </is>
      </c>
      <c r="B456" t="inlineStr">
        <is>
          <t>Assets</t>
        </is>
      </c>
      <c r="C456" t="inlineStr">
        <is>
          <t>SHARES</t>
        </is>
      </c>
      <c r="D456" t="inlineStr">
        <is>
          <t>IOS Aarav</t>
        </is>
      </c>
      <c r="E456" s="16" t="n">
        <v>21419.35</v>
      </c>
      <c r="F456" s="16" t="n">
        <v>7139.78</v>
      </c>
      <c r="G456" s="17" t="n"/>
      <c r="H456" s="16" t="n">
        <v>14279.57</v>
      </c>
      <c r="I456" s="16" t="n">
        <v>0</v>
      </c>
    </row>
    <row r="457">
      <c r="A457" t="inlineStr">
        <is>
          <t>MTR-IOS-0455</t>
        </is>
      </c>
      <c r="B457" t="inlineStr">
        <is>
          <t>Assets</t>
        </is>
      </c>
      <c r="C457" t="inlineStr">
        <is>
          <t>SHARES</t>
        </is>
      </c>
      <c r="D457" t="inlineStr">
        <is>
          <t>IOS Meera</t>
        </is>
      </c>
      <c r="E457" s="16" t="n">
        <v>0</v>
      </c>
      <c r="F457" s="16" t="n">
        <v>3569.89</v>
      </c>
      <c r="G457" s="17" t="n"/>
      <c r="H457" s="16" t="n">
        <v>-3569.89</v>
      </c>
      <c r="I457" s="16" t="n">
        <v>0</v>
      </c>
    </row>
    <row r="458">
      <c r="A458" t="inlineStr">
        <is>
          <t>MTR-IOS-0458</t>
        </is>
      </c>
      <c r="B458" t="inlineStr">
        <is>
          <t>Assets</t>
        </is>
      </c>
      <c r="C458" t="inlineStr">
        <is>
          <t>EQUAL</t>
        </is>
      </c>
      <c r="D458" t="inlineStr">
        <is>
          <t>IOS Owner</t>
        </is>
      </c>
      <c r="E458" s="16" t="n">
        <v>0</v>
      </c>
      <c r="F458" s="16" t="n">
        <v>8668.57</v>
      </c>
      <c r="G458" s="17" t="n"/>
      <c r="H458" s="16" t="n">
        <v>-8668.57</v>
      </c>
      <c r="I458" s="16" t="n">
        <v>0</v>
      </c>
    </row>
    <row r="459">
      <c r="A459" t="inlineStr">
        <is>
          <t>MTR-IOS-0458</t>
        </is>
      </c>
      <c r="B459" t="inlineStr">
        <is>
          <t>Assets</t>
        </is>
      </c>
      <c r="C459" t="inlineStr">
        <is>
          <t>EQUAL</t>
        </is>
      </c>
      <c r="D459" t="inlineStr">
        <is>
          <t>IOS Aarav</t>
        </is>
      </c>
      <c r="E459" s="16" t="n">
        <v>0</v>
      </c>
      <c r="F459" s="16" t="n">
        <v>8668.57</v>
      </c>
      <c r="G459" s="17" t="n"/>
      <c r="H459" s="16" t="n">
        <v>-8668.57</v>
      </c>
      <c r="I459" s="16" t="n">
        <v>0</v>
      </c>
    </row>
    <row r="460">
      <c r="A460" t="inlineStr">
        <is>
          <t>MTR-IOS-0458</t>
        </is>
      </c>
      <c r="B460" t="inlineStr">
        <is>
          <t>Assets</t>
        </is>
      </c>
      <c r="C460" t="inlineStr">
        <is>
          <t>EQUAL</t>
        </is>
      </c>
      <c r="D460" t="inlineStr">
        <is>
          <t>IOS Meera</t>
        </is>
      </c>
      <c r="E460" s="16" t="n">
        <v>26005.71</v>
      </c>
      <c r="F460" s="16" t="n">
        <v>8668.57</v>
      </c>
      <c r="G460" s="17" t="n"/>
      <c r="H460" s="16" t="n">
        <v>17337.14</v>
      </c>
      <c r="I460" s="16" t="n">
        <v>0</v>
      </c>
    </row>
    <row r="461">
      <c r="A461" t="inlineStr">
        <is>
          <t>MTR-IOS-0461</t>
        </is>
      </c>
      <c r="B461" t="inlineStr">
        <is>
          <t>Custom Purchase</t>
        </is>
      </c>
      <c r="C461" t="inlineStr">
        <is>
          <t>PERCENTAGE</t>
        </is>
      </c>
      <c r="D461" t="inlineStr">
        <is>
          <t>IOS Owner</t>
        </is>
      </c>
      <c r="E461" s="16" t="n">
        <v>21413.66</v>
      </c>
      <c r="F461" s="16" t="n">
        <v>10706.83</v>
      </c>
      <c r="G461" s="17" t="n">
        <v>50</v>
      </c>
      <c r="H461" s="16" t="n">
        <v>10706.83</v>
      </c>
      <c r="I461" s="16" t="n">
        <v>0</v>
      </c>
    </row>
    <row r="462">
      <c r="A462" t="inlineStr">
        <is>
          <t>MTR-IOS-0461</t>
        </is>
      </c>
      <c r="B462" t="inlineStr">
        <is>
          <t>Custom Purchase</t>
        </is>
      </c>
      <c r="C462" t="inlineStr">
        <is>
          <t>PERCENTAGE</t>
        </is>
      </c>
      <c r="D462" t="inlineStr">
        <is>
          <t>IOS Aarav</t>
        </is>
      </c>
      <c r="E462" s="16" t="n">
        <v>0</v>
      </c>
      <c r="F462" s="16" t="n">
        <v>6424.1</v>
      </c>
      <c r="G462" s="17" t="n">
        <v>30</v>
      </c>
      <c r="H462" s="16" t="n">
        <v>-6424.1</v>
      </c>
      <c r="I462" s="16" t="n">
        <v>0</v>
      </c>
    </row>
    <row r="463">
      <c r="A463" t="inlineStr">
        <is>
          <t>MTR-IOS-0461</t>
        </is>
      </c>
      <c r="B463" t="inlineStr">
        <is>
          <t>Custom Purchase</t>
        </is>
      </c>
      <c r="C463" t="inlineStr">
        <is>
          <t>PERCENTAGE</t>
        </is>
      </c>
      <c r="D463" t="inlineStr">
        <is>
          <t>IOS Meera</t>
        </is>
      </c>
      <c r="E463" s="16" t="n">
        <v>0</v>
      </c>
      <c r="F463" s="16" t="n">
        <v>4282.73</v>
      </c>
      <c r="G463" s="17" t="n">
        <v>20</v>
      </c>
      <c r="H463" s="16" t="n">
        <v>-4282.73</v>
      </c>
      <c r="I463" s="16" t="n">
        <v>0</v>
      </c>
    </row>
    <row r="464">
      <c r="A464" t="inlineStr">
        <is>
          <t>MTR-IOS-0464</t>
        </is>
      </c>
      <c r="B464" t="inlineStr">
        <is>
          <t>Custom Purchase</t>
        </is>
      </c>
      <c r="C464" t="inlineStr">
        <is>
          <t>EXACT</t>
        </is>
      </c>
      <c r="D464" t="inlineStr">
        <is>
          <t>IOS Owner</t>
        </is>
      </c>
      <c r="E464" s="16" t="n">
        <v>0</v>
      </c>
      <c r="F464" s="16" t="n">
        <v>1262.07</v>
      </c>
      <c r="G464" s="17" t="n"/>
      <c r="H464" s="16" t="n">
        <v>-1262.07</v>
      </c>
      <c r="I464" s="16" t="n">
        <v>0</v>
      </c>
    </row>
    <row r="465">
      <c r="A465" t="inlineStr">
        <is>
          <t>MTR-IOS-0464</t>
        </is>
      </c>
      <c r="B465" t="inlineStr">
        <is>
          <t>Custom Purchase</t>
        </is>
      </c>
      <c r="C465" t="inlineStr">
        <is>
          <t>EXACT</t>
        </is>
      </c>
      <c r="D465" t="inlineStr">
        <is>
          <t>IOS Aarav</t>
        </is>
      </c>
      <c r="E465" s="16" t="n">
        <v>3789.99</v>
      </c>
      <c r="F465" s="16" t="n">
        <v>1262.07</v>
      </c>
      <c r="G465" s="17" t="n"/>
      <c r="H465" s="16" t="n">
        <v>2527.92</v>
      </c>
      <c r="I465" s="16" t="n">
        <v>0</v>
      </c>
    </row>
    <row r="466">
      <c r="A466" t="inlineStr">
        <is>
          <t>MTR-IOS-0464</t>
        </is>
      </c>
      <c r="B466" t="inlineStr">
        <is>
          <t>Custom Purchase</t>
        </is>
      </c>
      <c r="C466" t="inlineStr">
        <is>
          <t>EXACT</t>
        </is>
      </c>
      <c r="D466" t="inlineStr">
        <is>
          <t>IOS Meera</t>
        </is>
      </c>
      <c r="E466" s="16" t="n">
        <v>0</v>
      </c>
      <c r="F466" s="16" t="n">
        <v>1265.85</v>
      </c>
      <c r="G466" s="17" t="n"/>
      <c r="H466" s="16" t="n">
        <v>-1265.85</v>
      </c>
      <c r="I466" s="16" t="n">
        <v>0</v>
      </c>
    </row>
    <row r="467">
      <c r="A467" t="inlineStr">
        <is>
          <t>MTR-IOS-0467</t>
        </is>
      </c>
      <c r="B467" t="inlineStr">
        <is>
          <t>Flatmates</t>
        </is>
      </c>
      <c r="C467" t="inlineStr">
        <is>
          <t>SHARES</t>
        </is>
      </c>
      <c r="D467" t="inlineStr">
        <is>
          <t>IOS Owner</t>
        </is>
      </c>
      <c r="E467" s="16" t="n">
        <v>0</v>
      </c>
      <c r="F467" s="16" t="n">
        <v>3908.5</v>
      </c>
      <c r="G467" s="17" t="n"/>
      <c r="H467" s="16" t="n">
        <v>-3908.5</v>
      </c>
      <c r="I467" s="16" t="n">
        <v>0</v>
      </c>
    </row>
    <row r="468">
      <c r="A468" t="inlineStr">
        <is>
          <t>MTR-IOS-0467</t>
        </is>
      </c>
      <c r="B468" t="inlineStr">
        <is>
          <t>Flatmates</t>
        </is>
      </c>
      <c r="C468" t="inlineStr">
        <is>
          <t>SHARES</t>
        </is>
      </c>
      <c r="D468" t="inlineStr">
        <is>
          <t>IOS Aarav</t>
        </is>
      </c>
      <c r="E468" s="16" t="n">
        <v>0</v>
      </c>
      <c r="F468" s="16" t="n">
        <v>2605.67</v>
      </c>
      <c r="G468" s="17" t="n"/>
      <c r="H468" s="16" t="n">
        <v>-2605.67</v>
      </c>
      <c r="I468" s="16" t="n">
        <v>0</v>
      </c>
    </row>
    <row r="469">
      <c r="A469" t="inlineStr">
        <is>
          <t>MTR-IOS-0467</t>
        </is>
      </c>
      <c r="B469" t="inlineStr">
        <is>
          <t>Flatmates</t>
        </is>
      </c>
      <c r="C469" t="inlineStr">
        <is>
          <t>SHARES</t>
        </is>
      </c>
      <c r="D469" t="inlineStr">
        <is>
          <t>IOS Meera</t>
        </is>
      </c>
      <c r="E469" s="16" t="n">
        <v>7817</v>
      </c>
      <c r="F469" s="16" t="n">
        <v>1302.83</v>
      </c>
      <c r="G469" s="17" t="n"/>
      <c r="H469" s="16" t="n">
        <v>6514.17</v>
      </c>
      <c r="I469" s="16" t="n">
        <v>0</v>
      </c>
    </row>
    <row r="470">
      <c r="A470" t="inlineStr">
        <is>
          <t>MTR-IOS-0470</t>
        </is>
      </c>
      <c r="B470" t="inlineStr">
        <is>
          <t>Flatmates</t>
        </is>
      </c>
      <c r="C470" t="inlineStr">
        <is>
          <t>EQUAL</t>
        </is>
      </c>
      <c r="D470" t="inlineStr">
        <is>
          <t>IOS Owner</t>
        </is>
      </c>
      <c r="E470" s="16" t="n">
        <v>2360.02</v>
      </c>
      <c r="F470" s="16" t="n">
        <v>786.67</v>
      </c>
      <c r="G470" s="17" t="n"/>
      <c r="H470" s="16" t="n">
        <v>1573.35</v>
      </c>
      <c r="I470" s="16" t="n">
        <v>0</v>
      </c>
    </row>
    <row r="471">
      <c r="A471" t="inlineStr">
        <is>
          <t>MTR-IOS-0470</t>
        </is>
      </c>
      <c r="B471" t="inlineStr">
        <is>
          <t>Flatmates</t>
        </is>
      </c>
      <c r="C471" t="inlineStr">
        <is>
          <t>EQUAL</t>
        </is>
      </c>
      <c r="D471" t="inlineStr">
        <is>
          <t>IOS Aarav</t>
        </is>
      </c>
      <c r="E471" s="16" t="n">
        <v>0</v>
      </c>
      <c r="F471" s="16" t="n">
        <v>786.67</v>
      </c>
      <c r="G471" s="17" t="n"/>
      <c r="H471" s="16" t="n">
        <v>-786.67</v>
      </c>
      <c r="I471" s="16" t="n">
        <v>0</v>
      </c>
    </row>
    <row r="472">
      <c r="A472" t="inlineStr">
        <is>
          <t>MTR-IOS-0470</t>
        </is>
      </c>
      <c r="B472" t="inlineStr">
        <is>
          <t>Flatmates</t>
        </is>
      </c>
      <c r="C472" t="inlineStr">
        <is>
          <t>EQUAL</t>
        </is>
      </c>
      <c r="D472" t="inlineStr">
        <is>
          <t>IOS Meera</t>
        </is>
      </c>
      <c r="E472" s="16" t="n">
        <v>0</v>
      </c>
      <c r="F472" s="16" t="n">
        <v>786.6799999999999</v>
      </c>
      <c r="G472" s="17" t="n"/>
      <c r="H472" s="16" t="n">
        <v>-786.6799999999999</v>
      </c>
      <c r="I472" s="16" t="n">
        <v>0</v>
      </c>
    </row>
    <row r="473">
      <c r="A473" t="inlineStr">
        <is>
          <t>MTR-IOS-0473</t>
        </is>
      </c>
      <c r="B473" t="inlineStr">
        <is>
          <t>Flatmates</t>
        </is>
      </c>
      <c r="C473" t="inlineStr">
        <is>
          <t>PERCENTAGE</t>
        </is>
      </c>
      <c r="D473" t="inlineStr">
        <is>
          <t>IOS Owner</t>
        </is>
      </c>
      <c r="E473" s="16" t="n">
        <v>0</v>
      </c>
      <c r="F473" s="16" t="n">
        <v>7268.37</v>
      </c>
      <c r="G473" s="17" t="n">
        <v>50</v>
      </c>
      <c r="H473" s="16" t="n">
        <v>-7268.37</v>
      </c>
      <c r="I473" s="16" t="n">
        <v>0</v>
      </c>
    </row>
    <row r="474">
      <c r="A474" t="inlineStr">
        <is>
          <t>MTR-IOS-0473</t>
        </is>
      </c>
      <c r="B474" t="inlineStr">
        <is>
          <t>Flatmates</t>
        </is>
      </c>
      <c r="C474" t="inlineStr">
        <is>
          <t>PERCENTAGE</t>
        </is>
      </c>
      <c r="D474" t="inlineStr">
        <is>
          <t>IOS Aarav</t>
        </is>
      </c>
      <c r="E474" s="16" t="n">
        <v>14536.73</v>
      </c>
      <c r="F474" s="16" t="n">
        <v>4361.02</v>
      </c>
      <c r="G474" s="17" t="n">
        <v>30</v>
      </c>
      <c r="H474" s="16" t="n">
        <v>10175.71</v>
      </c>
      <c r="I474" s="16" t="n">
        <v>0</v>
      </c>
    </row>
    <row r="475">
      <c r="A475" t="inlineStr">
        <is>
          <t>MTR-IOS-0473</t>
        </is>
      </c>
      <c r="B475" t="inlineStr">
        <is>
          <t>Flatmates</t>
        </is>
      </c>
      <c r="C475" t="inlineStr">
        <is>
          <t>PERCENTAGE</t>
        </is>
      </c>
      <c r="D475" t="inlineStr">
        <is>
          <t>IOS Meera</t>
        </is>
      </c>
      <c r="E475" s="16" t="n">
        <v>0</v>
      </c>
      <c r="F475" s="16" t="n">
        <v>2907.34</v>
      </c>
      <c r="G475" s="17" t="n">
        <v>20</v>
      </c>
      <c r="H475" s="16" t="n">
        <v>-2907.34</v>
      </c>
      <c r="I475" s="16" t="n">
        <v>0</v>
      </c>
    </row>
    <row r="476">
      <c r="A476" t="inlineStr">
        <is>
          <t>MTR-IOS-0476</t>
        </is>
      </c>
      <c r="B476" t="inlineStr">
        <is>
          <t>Flatmates</t>
        </is>
      </c>
      <c r="C476" t="inlineStr">
        <is>
          <t>EXACT</t>
        </is>
      </c>
      <c r="D476" t="inlineStr">
        <is>
          <t>IOS Owner</t>
        </is>
      </c>
      <c r="E476" s="16" t="n">
        <v>0</v>
      </c>
      <c r="F476" s="16" t="n">
        <v>2236.31</v>
      </c>
      <c r="G476" s="17" t="n"/>
      <c r="H476" s="16" t="n">
        <v>-2236.31</v>
      </c>
      <c r="I476" s="16" t="n">
        <v>0</v>
      </c>
    </row>
    <row r="477">
      <c r="A477" t="inlineStr">
        <is>
          <t>MTR-IOS-0476</t>
        </is>
      </c>
      <c r="B477" t="inlineStr">
        <is>
          <t>Flatmates</t>
        </is>
      </c>
      <c r="C477" t="inlineStr">
        <is>
          <t>EXACT</t>
        </is>
      </c>
      <c r="D477" t="inlineStr">
        <is>
          <t>IOS Aarav</t>
        </is>
      </c>
      <c r="E477" s="16" t="n">
        <v>0</v>
      </c>
      <c r="F477" s="16" t="n">
        <v>2236.31</v>
      </c>
      <c r="G477" s="17" t="n"/>
      <c r="H477" s="16" t="n">
        <v>-2236.31</v>
      </c>
      <c r="I477" s="16" t="n">
        <v>0</v>
      </c>
    </row>
    <row r="478">
      <c r="A478" t="inlineStr">
        <is>
          <t>MTR-IOS-0476</t>
        </is>
      </c>
      <c r="B478" t="inlineStr">
        <is>
          <t>Flatmates</t>
        </is>
      </c>
      <c r="C478" t="inlineStr">
        <is>
          <t>EXACT</t>
        </is>
      </c>
      <c r="D478" t="inlineStr">
        <is>
          <t>IOS Meera</t>
        </is>
      </c>
      <c r="E478" s="16" t="n">
        <v>6715.64</v>
      </c>
      <c r="F478" s="16" t="n">
        <v>2243.02</v>
      </c>
      <c r="G478" s="17" t="n"/>
      <c r="H478" s="16" t="n">
        <v>4472.62</v>
      </c>
      <c r="I478" s="16" t="n">
        <v>0</v>
      </c>
    </row>
    <row r="479">
      <c r="A479" t="inlineStr">
        <is>
          <t>MTR-IOS-0479</t>
        </is>
      </c>
      <c r="B479" t="inlineStr">
        <is>
          <t>Flatmates</t>
        </is>
      </c>
      <c r="C479" t="inlineStr">
        <is>
          <t>SHARES</t>
        </is>
      </c>
      <c r="D479" t="inlineStr">
        <is>
          <t>IOS Owner</t>
        </is>
      </c>
      <c r="E479" s="16" t="n">
        <v>10908.23</v>
      </c>
      <c r="F479" s="16" t="n">
        <v>5454.12</v>
      </c>
      <c r="G479" s="17" t="n"/>
      <c r="H479" s="16" t="n">
        <v>5454.11</v>
      </c>
      <c r="I479" s="16" t="n">
        <v>0</v>
      </c>
    </row>
    <row r="480">
      <c r="A480" t="inlineStr">
        <is>
          <t>MTR-IOS-0479</t>
        </is>
      </c>
      <c r="B480" t="inlineStr">
        <is>
          <t>Flatmates</t>
        </is>
      </c>
      <c r="C480" t="inlineStr">
        <is>
          <t>SHARES</t>
        </is>
      </c>
      <c r="D480" t="inlineStr">
        <is>
          <t>IOS Aarav</t>
        </is>
      </c>
      <c r="E480" s="16" t="n">
        <v>0</v>
      </c>
      <c r="F480" s="16" t="n">
        <v>3636.08</v>
      </c>
      <c r="G480" s="17" t="n"/>
      <c r="H480" s="16" t="n">
        <v>-3636.08</v>
      </c>
      <c r="I480" s="16" t="n">
        <v>0</v>
      </c>
    </row>
    <row r="481">
      <c r="A481" t="inlineStr">
        <is>
          <t>MTR-IOS-0479</t>
        </is>
      </c>
      <c r="B481" t="inlineStr">
        <is>
          <t>Flatmates</t>
        </is>
      </c>
      <c r="C481" t="inlineStr">
        <is>
          <t>SHARES</t>
        </is>
      </c>
      <c r="D481" t="inlineStr">
        <is>
          <t>IOS Meera</t>
        </is>
      </c>
      <c r="E481" s="16" t="n">
        <v>0</v>
      </c>
      <c r="F481" s="16" t="n">
        <v>1818.03</v>
      </c>
      <c r="G481" s="17" t="n"/>
      <c r="H481" s="16" t="n">
        <v>-1818.03</v>
      </c>
      <c r="I481" s="16" t="n">
        <v>0</v>
      </c>
    </row>
    <row r="482">
      <c r="A482" t="inlineStr">
        <is>
          <t>MTR-IOS-0482</t>
        </is>
      </c>
      <c r="B482" t="inlineStr">
        <is>
          <t>Flatmates</t>
        </is>
      </c>
      <c r="C482" t="inlineStr">
        <is>
          <t>EQUAL</t>
        </is>
      </c>
      <c r="D482" t="inlineStr">
        <is>
          <t>IOS Owner</t>
        </is>
      </c>
      <c r="E482" s="16" t="n">
        <v>0</v>
      </c>
      <c r="F482" s="16" t="n">
        <v>6872.57</v>
      </c>
      <c r="G482" s="17" t="n"/>
      <c r="H482" s="16" t="n">
        <v>-6872.57</v>
      </c>
      <c r="I482" s="16" t="n">
        <v>0</v>
      </c>
    </row>
    <row r="483">
      <c r="A483" t="inlineStr">
        <is>
          <t>MTR-IOS-0482</t>
        </is>
      </c>
      <c r="B483" t="inlineStr">
        <is>
          <t>Flatmates</t>
        </is>
      </c>
      <c r="C483" t="inlineStr">
        <is>
          <t>EQUAL</t>
        </is>
      </c>
      <c r="D483" t="inlineStr">
        <is>
          <t>IOS Aarav</t>
        </is>
      </c>
      <c r="E483" s="16" t="n">
        <v>20617.72</v>
      </c>
      <c r="F483" s="16" t="n">
        <v>6872.57</v>
      </c>
      <c r="G483" s="17" t="n"/>
      <c r="H483" s="16" t="n">
        <v>13745.15</v>
      </c>
      <c r="I483" s="16" t="n">
        <v>0</v>
      </c>
    </row>
    <row r="484">
      <c r="A484" t="inlineStr">
        <is>
          <t>MTR-IOS-0482</t>
        </is>
      </c>
      <c r="B484" t="inlineStr">
        <is>
          <t>Flatmates</t>
        </is>
      </c>
      <c r="C484" t="inlineStr">
        <is>
          <t>EQUAL</t>
        </is>
      </c>
      <c r="D484" t="inlineStr">
        <is>
          <t>IOS Meera</t>
        </is>
      </c>
      <c r="E484" s="16" t="n">
        <v>0</v>
      </c>
      <c r="F484" s="16" t="n">
        <v>6872.58</v>
      </c>
      <c r="G484" s="17" t="n"/>
      <c r="H484" s="16" t="n">
        <v>-6872.58</v>
      </c>
      <c r="I484" s="16" t="n">
        <v>0</v>
      </c>
    </row>
    <row r="485">
      <c r="A485" t="inlineStr">
        <is>
          <t>MTR-IOS-0485</t>
        </is>
      </c>
      <c r="B485" t="inlineStr">
        <is>
          <t>Shared Living</t>
        </is>
      </c>
      <c r="C485" t="inlineStr">
        <is>
          <t>PERCENTAGE</t>
        </is>
      </c>
      <c r="D485" t="inlineStr">
        <is>
          <t>IOS Owner</t>
        </is>
      </c>
      <c r="E485" s="16" t="n">
        <v>0</v>
      </c>
      <c r="F485" s="16" t="n">
        <v>10911.48</v>
      </c>
      <c r="G485" s="17" t="n">
        <v>50</v>
      </c>
      <c r="H485" s="16" t="n">
        <v>-10911.48</v>
      </c>
      <c r="I485" s="16" t="n">
        <v>0</v>
      </c>
    </row>
    <row r="486">
      <c r="A486" t="inlineStr">
        <is>
          <t>MTR-IOS-0485</t>
        </is>
      </c>
      <c r="B486" t="inlineStr">
        <is>
          <t>Shared Living</t>
        </is>
      </c>
      <c r="C486" t="inlineStr">
        <is>
          <t>PERCENTAGE</t>
        </is>
      </c>
      <c r="D486" t="inlineStr">
        <is>
          <t>IOS Aarav</t>
        </is>
      </c>
      <c r="E486" s="16" t="n">
        <v>0</v>
      </c>
      <c r="F486" s="16" t="n">
        <v>6546.89</v>
      </c>
      <c r="G486" s="17" t="n">
        <v>30</v>
      </c>
      <c r="H486" s="16" t="n">
        <v>-6546.89</v>
      </c>
      <c r="I486" s="16" t="n">
        <v>0</v>
      </c>
    </row>
    <row r="487">
      <c r="A487" t="inlineStr">
        <is>
          <t>MTR-IOS-0485</t>
        </is>
      </c>
      <c r="B487" t="inlineStr">
        <is>
          <t>Shared Living</t>
        </is>
      </c>
      <c r="C487" t="inlineStr">
        <is>
          <t>PERCENTAGE</t>
        </is>
      </c>
      <c r="D487" t="inlineStr">
        <is>
          <t>IOS Meera</t>
        </is>
      </c>
      <c r="E487" s="16" t="n">
        <v>21822.95</v>
      </c>
      <c r="F487" s="16" t="n">
        <v>4364.58</v>
      </c>
      <c r="G487" s="17" t="n">
        <v>20</v>
      </c>
      <c r="H487" s="16" t="n">
        <v>17458.37</v>
      </c>
      <c r="I487" s="16" t="n">
        <v>0</v>
      </c>
    </row>
    <row r="488">
      <c r="A488" t="inlineStr">
        <is>
          <t>MTR-IOS-0488</t>
        </is>
      </c>
      <c r="B488" t="inlineStr">
        <is>
          <t>Shared Living</t>
        </is>
      </c>
      <c r="C488" t="inlineStr">
        <is>
          <t>EXACT</t>
        </is>
      </c>
      <c r="D488" t="inlineStr">
        <is>
          <t>IOS Owner</t>
        </is>
      </c>
      <c r="E488" s="16" t="n">
        <v>5684.17</v>
      </c>
      <c r="F488" s="16" t="n">
        <v>1892.83</v>
      </c>
      <c r="G488" s="17" t="n"/>
      <c r="H488" s="16" t="n">
        <v>3791.34</v>
      </c>
      <c r="I488" s="16" t="n">
        <v>0</v>
      </c>
    </row>
    <row r="489">
      <c r="A489" t="inlineStr">
        <is>
          <t>MTR-IOS-0488</t>
        </is>
      </c>
      <c r="B489" t="inlineStr">
        <is>
          <t>Shared Living</t>
        </is>
      </c>
      <c r="C489" t="inlineStr">
        <is>
          <t>EXACT</t>
        </is>
      </c>
      <c r="D489" t="inlineStr">
        <is>
          <t>IOS Aarav</t>
        </is>
      </c>
      <c r="E489" s="16" t="n">
        <v>0</v>
      </c>
      <c r="F489" s="16" t="n">
        <v>1892.83</v>
      </c>
      <c r="G489" s="17" t="n"/>
      <c r="H489" s="16" t="n">
        <v>-1892.83</v>
      </c>
      <c r="I489" s="16" t="n">
        <v>0</v>
      </c>
    </row>
    <row r="490">
      <c r="A490" t="inlineStr">
        <is>
          <t>MTR-IOS-0488</t>
        </is>
      </c>
      <c r="B490" t="inlineStr">
        <is>
          <t>Shared Living</t>
        </is>
      </c>
      <c r="C490" t="inlineStr">
        <is>
          <t>EXACT</t>
        </is>
      </c>
      <c r="D490" t="inlineStr">
        <is>
          <t>IOS Meera</t>
        </is>
      </c>
      <c r="E490" s="16" t="n">
        <v>0</v>
      </c>
      <c r="F490" s="16" t="n">
        <v>1898.51</v>
      </c>
      <c r="G490" s="17" t="n"/>
      <c r="H490" s="16" t="n">
        <v>-1898.51</v>
      </c>
      <c r="I490" s="16" t="n">
        <v>0</v>
      </c>
    </row>
    <row r="491">
      <c r="A491" t="inlineStr">
        <is>
          <t>MTR-IOS-0491</t>
        </is>
      </c>
      <c r="B491" t="inlineStr">
        <is>
          <t>Shared Living</t>
        </is>
      </c>
      <c r="C491" t="inlineStr">
        <is>
          <t>SHARES</t>
        </is>
      </c>
      <c r="D491" t="inlineStr">
        <is>
          <t>IOS Owner</t>
        </is>
      </c>
      <c r="E491" s="16" t="n">
        <v>0</v>
      </c>
      <c r="F491" s="16" t="n">
        <v>8992.709999999999</v>
      </c>
      <c r="G491" s="17" t="n"/>
      <c r="H491" s="16" t="n">
        <v>-8992.709999999999</v>
      </c>
      <c r="I491" s="16" t="n">
        <v>0</v>
      </c>
    </row>
    <row r="492">
      <c r="A492" t="inlineStr">
        <is>
          <t>MTR-IOS-0491</t>
        </is>
      </c>
      <c r="B492" t="inlineStr">
        <is>
          <t>Shared Living</t>
        </is>
      </c>
      <c r="C492" t="inlineStr">
        <is>
          <t>SHARES</t>
        </is>
      </c>
      <c r="D492" t="inlineStr">
        <is>
          <t>IOS Aarav</t>
        </is>
      </c>
      <c r="E492" s="16" t="n">
        <v>17985.42</v>
      </c>
      <c r="F492" s="16" t="n">
        <v>5995.14</v>
      </c>
      <c r="G492" s="17" t="n"/>
      <c r="H492" s="16" t="n">
        <v>11990.28</v>
      </c>
      <c r="I492" s="16" t="n">
        <v>0</v>
      </c>
    </row>
    <row r="493">
      <c r="A493" t="inlineStr">
        <is>
          <t>MTR-IOS-0491</t>
        </is>
      </c>
      <c r="B493" t="inlineStr">
        <is>
          <t>Shared Living</t>
        </is>
      </c>
      <c r="C493" t="inlineStr">
        <is>
          <t>SHARES</t>
        </is>
      </c>
      <c r="D493" t="inlineStr">
        <is>
          <t>IOS Meera</t>
        </is>
      </c>
      <c r="E493" s="16" t="n">
        <v>0</v>
      </c>
      <c r="F493" s="16" t="n">
        <v>2997.57</v>
      </c>
      <c r="G493" s="17" t="n"/>
      <c r="H493" s="16" t="n">
        <v>-2997.57</v>
      </c>
      <c r="I493" s="16" t="n">
        <v>0</v>
      </c>
    </row>
    <row r="494">
      <c r="A494" t="inlineStr">
        <is>
          <t>MTR-IOS-0494</t>
        </is>
      </c>
      <c r="B494" t="inlineStr">
        <is>
          <t>Shared Living</t>
        </is>
      </c>
      <c r="C494" t="inlineStr">
        <is>
          <t>EQUAL</t>
        </is>
      </c>
      <c r="D494" t="inlineStr">
        <is>
          <t>IOS Owner</t>
        </is>
      </c>
      <c r="E494" s="16" t="n">
        <v>0</v>
      </c>
      <c r="F494" s="16" t="n">
        <v>3440.74</v>
      </c>
      <c r="G494" s="17" t="n"/>
      <c r="H494" s="16" t="n">
        <v>-3440.74</v>
      </c>
      <c r="I494" s="16" t="n">
        <v>0</v>
      </c>
    </row>
    <row r="495">
      <c r="A495" t="inlineStr">
        <is>
          <t>MTR-IOS-0494</t>
        </is>
      </c>
      <c r="B495" t="inlineStr">
        <is>
          <t>Shared Living</t>
        </is>
      </c>
      <c r="C495" t="inlineStr">
        <is>
          <t>EQUAL</t>
        </is>
      </c>
      <c r="D495" t="inlineStr">
        <is>
          <t>IOS Aarav</t>
        </is>
      </c>
      <c r="E495" s="16" t="n">
        <v>0</v>
      </c>
      <c r="F495" s="16" t="n">
        <v>3440.74</v>
      </c>
      <c r="G495" s="17" t="n"/>
      <c r="H495" s="16" t="n">
        <v>-3440.74</v>
      </c>
      <c r="I495" s="16" t="n">
        <v>0</v>
      </c>
    </row>
    <row r="496">
      <c r="A496" t="inlineStr">
        <is>
          <t>MTR-IOS-0494</t>
        </is>
      </c>
      <c r="B496" t="inlineStr">
        <is>
          <t>Shared Living</t>
        </is>
      </c>
      <c r="C496" t="inlineStr">
        <is>
          <t>EQUAL</t>
        </is>
      </c>
      <c r="D496" t="inlineStr">
        <is>
          <t>IOS Meera</t>
        </is>
      </c>
      <c r="E496" s="16" t="n">
        <v>10322.21</v>
      </c>
      <c r="F496" s="16" t="n">
        <v>3440.73</v>
      </c>
      <c r="G496" s="17" t="n"/>
      <c r="H496" s="16" t="n">
        <v>6881.48</v>
      </c>
      <c r="I496" s="16" t="n">
        <v>0</v>
      </c>
    </row>
    <row r="497">
      <c r="A497" t="inlineStr">
        <is>
          <t>MTR-IOS-0497</t>
        </is>
      </c>
      <c r="B497" t="inlineStr">
        <is>
          <t>Shared Living</t>
        </is>
      </c>
      <c r="C497" t="inlineStr">
        <is>
          <t>PERCENTAGE</t>
        </is>
      </c>
      <c r="D497" t="inlineStr">
        <is>
          <t>IOS Owner</t>
        </is>
      </c>
      <c r="E497" s="16" t="n">
        <v>24598.59</v>
      </c>
      <c r="F497" s="16" t="n">
        <v>12299.3</v>
      </c>
      <c r="G497" s="17" t="n">
        <v>50</v>
      </c>
      <c r="H497" s="16" t="n">
        <v>12299.29</v>
      </c>
      <c r="I497" s="16" t="n">
        <v>0</v>
      </c>
    </row>
    <row r="498">
      <c r="A498" t="inlineStr">
        <is>
          <t>MTR-IOS-0497</t>
        </is>
      </c>
      <c r="B498" t="inlineStr">
        <is>
          <t>Shared Living</t>
        </is>
      </c>
      <c r="C498" t="inlineStr">
        <is>
          <t>PERCENTAGE</t>
        </is>
      </c>
      <c r="D498" t="inlineStr">
        <is>
          <t>IOS Aarav</t>
        </is>
      </c>
      <c r="E498" s="16" t="n">
        <v>0</v>
      </c>
      <c r="F498" s="16" t="n">
        <v>7379.58</v>
      </c>
      <c r="G498" s="17" t="n">
        <v>30</v>
      </c>
      <c r="H498" s="16" t="n">
        <v>-7379.58</v>
      </c>
      <c r="I498" s="16" t="n">
        <v>0</v>
      </c>
    </row>
    <row r="499">
      <c r="A499" t="inlineStr">
        <is>
          <t>MTR-IOS-0497</t>
        </is>
      </c>
      <c r="B499" t="inlineStr">
        <is>
          <t>Shared Living</t>
        </is>
      </c>
      <c r="C499" t="inlineStr">
        <is>
          <t>PERCENTAGE</t>
        </is>
      </c>
      <c r="D499" t="inlineStr">
        <is>
          <t>IOS Meera</t>
        </is>
      </c>
      <c r="E499" s="16" t="n">
        <v>0</v>
      </c>
      <c r="F499" s="16" t="n">
        <v>4919.71</v>
      </c>
      <c r="G499" s="17" t="n">
        <v>20</v>
      </c>
      <c r="H499" s="16" t="n">
        <v>-4919.71</v>
      </c>
      <c r="I499" s="16" t="n">
        <v>0</v>
      </c>
    </row>
    <row r="500">
      <c r="A500" t="inlineStr">
        <is>
          <t>MTR-IOS-0500</t>
        </is>
      </c>
      <c r="B500" t="inlineStr">
        <is>
          <t>Family Household</t>
        </is>
      </c>
      <c r="C500" t="inlineStr">
        <is>
          <t>EXACT</t>
        </is>
      </c>
      <c r="D500" t="inlineStr">
        <is>
          <t>IOS Owner</t>
        </is>
      </c>
      <c r="E500" s="16" t="n">
        <v>0</v>
      </c>
      <c r="F500" s="16" t="n">
        <v>2090.51</v>
      </c>
      <c r="G500" s="17" t="n"/>
      <c r="H500" s="16" t="n">
        <v>-2090.51</v>
      </c>
      <c r="I500" s="16" t="n">
        <v>0</v>
      </c>
    </row>
    <row r="501">
      <c r="A501" t="inlineStr">
        <is>
          <t>MTR-IOS-0500</t>
        </is>
      </c>
      <c r="B501" t="inlineStr">
        <is>
          <t>Family Household</t>
        </is>
      </c>
      <c r="C501" t="inlineStr">
        <is>
          <t>EXACT</t>
        </is>
      </c>
      <c r="D501" t="inlineStr">
        <is>
          <t>IOS Aarav</t>
        </is>
      </c>
      <c r="E501" s="16" t="n">
        <v>6277.82</v>
      </c>
      <c r="F501" s="16" t="n">
        <v>2090.51</v>
      </c>
      <c r="G501" s="17" t="n"/>
      <c r="H501" s="16" t="n">
        <v>4187.31</v>
      </c>
      <c r="I501" s="16" t="n">
        <v>0</v>
      </c>
    </row>
    <row r="502">
      <c r="A502" t="inlineStr">
        <is>
          <t>MTR-IOS-0500</t>
        </is>
      </c>
      <c r="B502" t="inlineStr">
        <is>
          <t>Family Household</t>
        </is>
      </c>
      <c r="C502" t="inlineStr">
        <is>
          <t>EXACT</t>
        </is>
      </c>
      <c r="D502" t="inlineStr">
        <is>
          <t>IOS Meera</t>
        </is>
      </c>
      <c r="E502" s="16" t="n">
        <v>0</v>
      </c>
      <c r="F502" s="16" t="n">
        <v>2096.8</v>
      </c>
      <c r="G502" s="17" t="n"/>
      <c r="H502" s="16" t="n">
        <v>-2096.8</v>
      </c>
      <c r="I502" s="16" t="n">
        <v>0</v>
      </c>
    </row>
    <row r="503">
      <c r="A503" t="inlineStr">
        <is>
          <t>MTR-IOS-0503</t>
        </is>
      </c>
      <c r="B503" t="inlineStr">
        <is>
          <t>Family Household</t>
        </is>
      </c>
      <c r="C503" t="inlineStr">
        <is>
          <t>SHARES</t>
        </is>
      </c>
      <c r="D503" t="inlineStr">
        <is>
          <t>IOS Owner</t>
        </is>
      </c>
      <c r="E503" s="16" t="n">
        <v>0</v>
      </c>
      <c r="F503" s="16" t="n">
        <v>11806.64</v>
      </c>
      <c r="G503" s="17" t="n"/>
      <c r="H503" s="16" t="n">
        <v>-11806.64</v>
      </c>
      <c r="I503" s="16" t="n">
        <v>0</v>
      </c>
    </row>
    <row r="504">
      <c r="A504" t="inlineStr">
        <is>
          <t>MTR-IOS-0503</t>
        </is>
      </c>
      <c r="B504" t="inlineStr">
        <is>
          <t>Family Household</t>
        </is>
      </c>
      <c r="C504" t="inlineStr">
        <is>
          <t>SHARES</t>
        </is>
      </c>
      <c r="D504" t="inlineStr">
        <is>
          <t>IOS Aarav</t>
        </is>
      </c>
      <c r="E504" s="16" t="n">
        <v>0</v>
      </c>
      <c r="F504" s="16" t="n">
        <v>7871.09</v>
      </c>
      <c r="G504" s="17" t="n"/>
      <c r="H504" s="16" t="n">
        <v>-7871.09</v>
      </c>
      <c r="I504" s="16" t="n">
        <v>0</v>
      </c>
    </row>
    <row r="505">
      <c r="A505" t="inlineStr">
        <is>
          <t>MTR-IOS-0503</t>
        </is>
      </c>
      <c r="B505" t="inlineStr">
        <is>
          <t>Family Household</t>
        </is>
      </c>
      <c r="C505" t="inlineStr">
        <is>
          <t>SHARES</t>
        </is>
      </c>
      <c r="D505" t="inlineStr">
        <is>
          <t>IOS Meera</t>
        </is>
      </c>
      <c r="E505" s="16" t="n">
        <v>23613.28</v>
      </c>
      <c r="F505" s="16" t="n">
        <v>3935.55</v>
      </c>
      <c r="G505" s="17" t="n"/>
      <c r="H505" s="16" t="n">
        <v>19677.73</v>
      </c>
      <c r="I505" s="16" t="n">
        <v>0</v>
      </c>
    </row>
    <row r="506">
      <c r="A506" t="inlineStr">
        <is>
          <t>MTR-IOS-0506</t>
        </is>
      </c>
      <c r="B506" t="inlineStr">
        <is>
          <t>Family Household</t>
        </is>
      </c>
      <c r="C506" t="inlineStr">
        <is>
          <t>EQUAL</t>
        </is>
      </c>
      <c r="D506" t="inlineStr">
        <is>
          <t>IOS Owner</t>
        </is>
      </c>
      <c r="E506" s="16" t="n">
        <v>1216.54</v>
      </c>
      <c r="F506" s="16" t="n">
        <v>405.51</v>
      </c>
      <c r="G506" s="17" t="n"/>
      <c r="H506" s="16" t="n">
        <v>811.03</v>
      </c>
      <c r="I506" s="16" t="n">
        <v>0</v>
      </c>
    </row>
    <row r="507">
      <c r="A507" t="inlineStr">
        <is>
          <t>MTR-IOS-0506</t>
        </is>
      </c>
      <c r="B507" t="inlineStr">
        <is>
          <t>Family Household</t>
        </is>
      </c>
      <c r="C507" t="inlineStr">
        <is>
          <t>EQUAL</t>
        </is>
      </c>
      <c r="D507" t="inlineStr">
        <is>
          <t>IOS Aarav</t>
        </is>
      </c>
      <c r="E507" s="16" t="n">
        <v>0</v>
      </c>
      <c r="F507" s="16" t="n">
        <v>405.51</v>
      </c>
      <c r="G507" s="17" t="n"/>
      <c r="H507" s="16" t="n">
        <v>-405.51</v>
      </c>
      <c r="I507" s="16" t="n">
        <v>0</v>
      </c>
    </row>
    <row r="508">
      <c r="A508" t="inlineStr">
        <is>
          <t>MTR-IOS-0506</t>
        </is>
      </c>
      <c r="B508" t="inlineStr">
        <is>
          <t>Family Household</t>
        </is>
      </c>
      <c r="C508" t="inlineStr">
        <is>
          <t>EQUAL</t>
        </is>
      </c>
      <c r="D508" t="inlineStr">
        <is>
          <t>IOS Meera</t>
        </is>
      </c>
      <c r="E508" s="16" t="n">
        <v>0</v>
      </c>
      <c r="F508" s="16" t="n">
        <v>405.52</v>
      </c>
      <c r="G508" s="17" t="n"/>
      <c r="H508" s="16" t="n">
        <v>-405.52</v>
      </c>
      <c r="I508" s="16" t="n">
        <v>0</v>
      </c>
    </row>
    <row r="509">
      <c r="A509" t="inlineStr">
        <is>
          <t>MTR-IOS-0509</t>
        </is>
      </c>
      <c r="B509" t="inlineStr">
        <is>
          <t>Family Household</t>
        </is>
      </c>
      <c r="C509" t="inlineStr">
        <is>
          <t>PERCENTAGE</t>
        </is>
      </c>
      <c r="D509" t="inlineStr">
        <is>
          <t>IOS Owner</t>
        </is>
      </c>
      <c r="E509" s="16" t="n">
        <v>0</v>
      </c>
      <c r="F509" s="16" t="n">
        <v>2610.31</v>
      </c>
      <c r="G509" s="17" t="n">
        <v>50</v>
      </c>
      <c r="H509" s="16" t="n">
        <v>-2610.31</v>
      </c>
      <c r="I509" s="16" t="n">
        <v>0</v>
      </c>
    </row>
    <row r="510">
      <c r="A510" t="inlineStr">
        <is>
          <t>MTR-IOS-0509</t>
        </is>
      </c>
      <c r="B510" t="inlineStr">
        <is>
          <t>Family Household</t>
        </is>
      </c>
      <c r="C510" t="inlineStr">
        <is>
          <t>PERCENTAGE</t>
        </is>
      </c>
      <c r="D510" t="inlineStr">
        <is>
          <t>IOS Aarav</t>
        </is>
      </c>
      <c r="E510" s="16" t="n">
        <v>5220.62</v>
      </c>
      <c r="F510" s="16" t="n">
        <v>1566.19</v>
      </c>
      <c r="G510" s="17" t="n">
        <v>30</v>
      </c>
      <c r="H510" s="16" t="n">
        <v>3654.43</v>
      </c>
      <c r="I510" s="16" t="n">
        <v>0</v>
      </c>
    </row>
    <row r="511">
      <c r="A511" t="inlineStr">
        <is>
          <t>MTR-IOS-0509</t>
        </is>
      </c>
      <c r="B511" t="inlineStr">
        <is>
          <t>Family Household</t>
        </is>
      </c>
      <c r="C511" t="inlineStr">
        <is>
          <t>PERCENTAGE</t>
        </is>
      </c>
      <c r="D511" t="inlineStr">
        <is>
          <t>IOS Meera</t>
        </is>
      </c>
      <c r="E511" s="16" t="n">
        <v>0</v>
      </c>
      <c r="F511" s="16" t="n">
        <v>1044.12</v>
      </c>
      <c r="G511" s="17" t="n">
        <v>20</v>
      </c>
      <c r="H511" s="16" t="n">
        <v>-1044.12</v>
      </c>
      <c r="I511" s="16" t="n">
        <v>0</v>
      </c>
    </row>
    <row r="512">
      <c r="A512" t="inlineStr">
        <is>
          <t>MTR-IOS-0512</t>
        </is>
      </c>
      <c r="B512" t="inlineStr">
        <is>
          <t>Family Household</t>
        </is>
      </c>
      <c r="C512" t="inlineStr">
        <is>
          <t>EXACT</t>
        </is>
      </c>
      <c r="D512" t="inlineStr">
        <is>
          <t>IOS Owner</t>
        </is>
      </c>
      <c r="E512" s="16" t="n">
        <v>0</v>
      </c>
      <c r="F512" s="16" t="n">
        <v>316.8</v>
      </c>
      <c r="G512" s="17" t="n"/>
      <c r="H512" s="16" t="n">
        <v>-316.8</v>
      </c>
      <c r="I512" s="16" t="n">
        <v>0</v>
      </c>
    </row>
    <row r="513">
      <c r="A513" t="inlineStr">
        <is>
          <t>MTR-IOS-0512</t>
        </is>
      </c>
      <c r="B513" t="inlineStr">
        <is>
          <t>Family Household</t>
        </is>
      </c>
      <c r="C513" t="inlineStr">
        <is>
          <t>EXACT</t>
        </is>
      </c>
      <c r="D513" t="inlineStr">
        <is>
          <t>IOS Aarav</t>
        </is>
      </c>
      <c r="E513" s="16" t="n">
        <v>0</v>
      </c>
      <c r="F513" s="16" t="n">
        <v>316.8</v>
      </c>
      <c r="G513" s="17" t="n"/>
      <c r="H513" s="16" t="n">
        <v>-316.8</v>
      </c>
      <c r="I513" s="16" t="n">
        <v>0</v>
      </c>
    </row>
    <row r="514">
      <c r="A514" t="inlineStr">
        <is>
          <t>MTR-IOS-0512</t>
        </is>
      </c>
      <c r="B514" t="inlineStr">
        <is>
          <t>Family Household</t>
        </is>
      </c>
      <c r="C514" t="inlineStr">
        <is>
          <t>EXACT</t>
        </is>
      </c>
      <c r="D514" t="inlineStr">
        <is>
          <t>IOS Meera</t>
        </is>
      </c>
      <c r="E514" s="16" t="n">
        <v>951.35</v>
      </c>
      <c r="F514" s="16" t="n">
        <v>317.75</v>
      </c>
      <c r="G514" s="17" t="n"/>
      <c r="H514" s="16" t="n">
        <v>633.6</v>
      </c>
      <c r="I514" s="16" t="n">
        <v>0</v>
      </c>
    </row>
    <row r="515">
      <c r="A515" t="inlineStr">
        <is>
          <t>MTR-IOS-0515</t>
        </is>
      </c>
      <c r="B515" t="inlineStr">
        <is>
          <t>Family Household</t>
        </is>
      </c>
      <c r="C515" t="inlineStr">
        <is>
          <t>SHARES</t>
        </is>
      </c>
      <c r="D515" t="inlineStr">
        <is>
          <t>IOS Owner</t>
        </is>
      </c>
      <c r="E515" s="16" t="n">
        <v>25779.67</v>
      </c>
      <c r="F515" s="16" t="n">
        <v>12889.84</v>
      </c>
      <c r="G515" s="17" t="n"/>
      <c r="H515" s="16" t="n">
        <v>12889.83</v>
      </c>
      <c r="I515" s="16" t="n">
        <v>0</v>
      </c>
    </row>
    <row r="516">
      <c r="A516" t="inlineStr">
        <is>
          <t>MTR-IOS-0515</t>
        </is>
      </c>
      <c r="B516" t="inlineStr">
        <is>
          <t>Family Household</t>
        </is>
      </c>
      <c r="C516" t="inlineStr">
        <is>
          <t>SHARES</t>
        </is>
      </c>
      <c r="D516" t="inlineStr">
        <is>
          <t>IOS Aarav</t>
        </is>
      </c>
      <c r="E516" s="16" t="n">
        <v>0</v>
      </c>
      <c r="F516" s="16" t="n">
        <v>8593.219999999999</v>
      </c>
      <c r="G516" s="17" t="n"/>
      <c r="H516" s="16" t="n">
        <v>-8593.219999999999</v>
      </c>
      <c r="I516" s="16" t="n">
        <v>0</v>
      </c>
    </row>
    <row r="517">
      <c r="A517" t="inlineStr">
        <is>
          <t>MTR-IOS-0515</t>
        </is>
      </c>
      <c r="B517" t="inlineStr">
        <is>
          <t>Family Household</t>
        </is>
      </c>
      <c r="C517" t="inlineStr">
        <is>
          <t>SHARES</t>
        </is>
      </c>
      <c r="D517" t="inlineStr">
        <is>
          <t>IOS Meera</t>
        </is>
      </c>
      <c r="E517" s="16" t="n">
        <v>0</v>
      </c>
      <c r="F517" s="16" t="n">
        <v>4296.61</v>
      </c>
      <c r="G517" s="17" t="n"/>
      <c r="H517" s="16" t="n">
        <v>-4296.61</v>
      </c>
      <c r="I517" s="16" t="n">
        <v>0</v>
      </c>
    </row>
    <row r="518">
      <c r="A518" t="inlineStr">
        <is>
          <t>MTR-IOS-0518</t>
        </is>
      </c>
      <c r="B518" t="inlineStr">
        <is>
          <t>Custom Living</t>
        </is>
      </c>
      <c r="C518" t="inlineStr">
        <is>
          <t>EQUAL</t>
        </is>
      </c>
      <c r="D518" t="inlineStr">
        <is>
          <t>IOS Owner</t>
        </is>
      </c>
      <c r="E518" s="16" t="n">
        <v>0</v>
      </c>
      <c r="F518" s="16" t="n">
        <v>33.33</v>
      </c>
      <c r="G518" s="17" t="n"/>
      <c r="H518" s="16" t="n">
        <v>-33.33</v>
      </c>
      <c r="I518" s="16" t="n">
        <v>0</v>
      </c>
    </row>
    <row r="519">
      <c r="A519" t="inlineStr">
        <is>
          <t>MTR-IOS-0518</t>
        </is>
      </c>
      <c r="B519" t="inlineStr">
        <is>
          <t>Custom Living</t>
        </is>
      </c>
      <c r="C519" t="inlineStr">
        <is>
          <t>EQUAL</t>
        </is>
      </c>
      <c r="D519" t="inlineStr">
        <is>
          <t>IOS Aarav</t>
        </is>
      </c>
      <c r="E519" s="16" t="n">
        <v>99.98999999999999</v>
      </c>
      <c r="F519" s="16" t="n">
        <v>33.33</v>
      </c>
      <c r="G519" s="17" t="n"/>
      <c r="H519" s="16" t="n">
        <v>66.66</v>
      </c>
      <c r="I519" s="16" t="n">
        <v>0</v>
      </c>
    </row>
    <row r="520">
      <c r="A520" t="inlineStr">
        <is>
          <t>MTR-IOS-0518</t>
        </is>
      </c>
      <c r="B520" t="inlineStr">
        <is>
          <t>Custom Living</t>
        </is>
      </c>
      <c r="C520" t="inlineStr">
        <is>
          <t>EQUAL</t>
        </is>
      </c>
      <c r="D520" t="inlineStr">
        <is>
          <t>IOS Meera</t>
        </is>
      </c>
      <c r="E520" s="16" t="n">
        <v>0</v>
      </c>
      <c r="F520" s="16" t="n">
        <v>33.33</v>
      </c>
      <c r="G520" s="17" t="n"/>
      <c r="H520" s="16" t="n">
        <v>-33.33</v>
      </c>
      <c r="I520" s="16" t="n">
        <v>0</v>
      </c>
    </row>
    <row r="521">
      <c r="A521" t="inlineStr">
        <is>
          <t>MTR-IOS-0521</t>
        </is>
      </c>
      <c r="B521" t="inlineStr">
        <is>
          <t>Custom Living</t>
        </is>
      </c>
      <c r="C521" t="inlineStr">
        <is>
          <t>PERCENTAGE</t>
        </is>
      </c>
      <c r="D521" t="inlineStr">
        <is>
          <t>IOS Owner</t>
        </is>
      </c>
      <c r="E521" s="16" t="n">
        <v>0</v>
      </c>
      <c r="F521" s="16" t="n">
        <v>11810.69</v>
      </c>
      <c r="G521" s="17" t="n">
        <v>50</v>
      </c>
      <c r="H521" s="16" t="n">
        <v>-11810.69</v>
      </c>
      <c r="I521" s="16" t="n">
        <v>0</v>
      </c>
    </row>
    <row r="522">
      <c r="A522" t="inlineStr">
        <is>
          <t>MTR-IOS-0521</t>
        </is>
      </c>
      <c r="B522" t="inlineStr">
        <is>
          <t>Custom Living</t>
        </is>
      </c>
      <c r="C522" t="inlineStr">
        <is>
          <t>PERCENTAGE</t>
        </is>
      </c>
      <c r="D522" t="inlineStr">
        <is>
          <t>IOS Aarav</t>
        </is>
      </c>
      <c r="E522" s="16" t="n">
        <v>0</v>
      </c>
      <c r="F522" s="16" t="n">
        <v>7086.41</v>
      </c>
      <c r="G522" s="17" t="n">
        <v>30</v>
      </c>
      <c r="H522" s="16" t="n">
        <v>-7086.41</v>
      </c>
      <c r="I522" s="16" t="n">
        <v>0</v>
      </c>
    </row>
    <row r="523">
      <c r="A523" t="inlineStr">
        <is>
          <t>MTR-IOS-0521</t>
        </is>
      </c>
      <c r="B523" t="inlineStr">
        <is>
          <t>Custom Living</t>
        </is>
      </c>
      <c r="C523" t="inlineStr">
        <is>
          <t>PERCENTAGE</t>
        </is>
      </c>
      <c r="D523" t="inlineStr">
        <is>
          <t>IOS Meera</t>
        </is>
      </c>
      <c r="E523" s="16" t="n">
        <v>23621.37</v>
      </c>
      <c r="F523" s="16" t="n">
        <v>4724.27</v>
      </c>
      <c r="G523" s="17" t="n">
        <v>20</v>
      </c>
      <c r="H523" s="16" t="n">
        <v>18897.1</v>
      </c>
      <c r="I523" s="16" t="n">
        <v>0</v>
      </c>
    </row>
    <row r="524">
      <c r="A524" t="inlineStr">
        <is>
          <t>MTR-IOS-0524</t>
        </is>
      </c>
      <c r="B524" t="inlineStr">
        <is>
          <t>Trip</t>
        </is>
      </c>
      <c r="C524" t="inlineStr">
        <is>
          <t>EXACT</t>
        </is>
      </c>
      <c r="D524" t="inlineStr">
        <is>
          <t>IOS Owner</t>
        </is>
      </c>
      <c r="E524" s="16" t="n">
        <v>18277.44</v>
      </c>
      <c r="F524" s="16" t="n">
        <v>6086.39</v>
      </c>
      <c r="G524" s="17" t="n"/>
      <c r="H524" s="16" t="n">
        <v>12191.05</v>
      </c>
      <c r="I524" s="16" t="n">
        <v>0</v>
      </c>
    </row>
    <row r="525">
      <c r="A525" t="inlineStr">
        <is>
          <t>MTR-IOS-0524</t>
        </is>
      </c>
      <c r="B525" t="inlineStr">
        <is>
          <t>Trip</t>
        </is>
      </c>
      <c r="C525" t="inlineStr">
        <is>
          <t>EXACT</t>
        </is>
      </c>
      <c r="D525" t="inlineStr">
        <is>
          <t>IOS Aarav</t>
        </is>
      </c>
      <c r="E525" s="16" t="n">
        <v>0</v>
      </c>
      <c r="F525" s="16" t="n">
        <v>6086.39</v>
      </c>
      <c r="G525" s="17" t="n"/>
      <c r="H525" s="16" t="n">
        <v>-6086.39</v>
      </c>
      <c r="I525" s="16" t="n">
        <v>0</v>
      </c>
    </row>
    <row r="526">
      <c r="A526" t="inlineStr">
        <is>
          <t>MTR-IOS-0524</t>
        </is>
      </c>
      <c r="B526" t="inlineStr">
        <is>
          <t>Trip</t>
        </is>
      </c>
      <c r="C526" t="inlineStr">
        <is>
          <t>EXACT</t>
        </is>
      </c>
      <c r="D526" t="inlineStr">
        <is>
          <t>IOS Meera</t>
        </is>
      </c>
      <c r="E526" s="16" t="n">
        <v>0</v>
      </c>
      <c r="F526" s="16" t="n">
        <v>6104.66</v>
      </c>
      <c r="G526" s="17" t="n"/>
      <c r="H526" s="16" t="n">
        <v>-6104.66</v>
      </c>
      <c r="I526" s="16" t="n">
        <v>0</v>
      </c>
    </row>
    <row r="527">
      <c r="A527" t="inlineStr">
        <is>
          <t>MTR-IOS-0527</t>
        </is>
      </c>
      <c r="B527" t="inlineStr">
        <is>
          <t>Trip</t>
        </is>
      </c>
      <c r="C527" t="inlineStr">
        <is>
          <t>SHARES</t>
        </is>
      </c>
      <c r="D527" t="inlineStr">
        <is>
          <t>IOS Owner</t>
        </is>
      </c>
      <c r="E527" s="16" t="n">
        <v>0</v>
      </c>
      <c r="F527" s="16" t="n">
        <v>12029.52</v>
      </c>
      <c r="G527" s="17" t="n"/>
      <c r="H527" s="16" t="n">
        <v>-12029.52</v>
      </c>
      <c r="I527" s="16" t="n">
        <v>0</v>
      </c>
    </row>
    <row r="528">
      <c r="A528" t="inlineStr">
        <is>
          <t>MTR-IOS-0527</t>
        </is>
      </c>
      <c r="B528" t="inlineStr">
        <is>
          <t>Trip</t>
        </is>
      </c>
      <c r="C528" t="inlineStr">
        <is>
          <t>SHARES</t>
        </is>
      </c>
      <c r="D528" t="inlineStr">
        <is>
          <t>IOS Aarav</t>
        </is>
      </c>
      <c r="E528" s="16" t="n">
        <v>24059.04</v>
      </c>
      <c r="F528" s="16" t="n">
        <v>8019.68</v>
      </c>
      <c r="G528" s="17" t="n"/>
      <c r="H528" s="16" t="n">
        <v>16039.36</v>
      </c>
      <c r="I528" s="16" t="n">
        <v>0</v>
      </c>
    </row>
    <row r="529">
      <c r="A529" t="inlineStr">
        <is>
          <t>MTR-IOS-0527</t>
        </is>
      </c>
      <c r="B529" t="inlineStr">
        <is>
          <t>Trip</t>
        </is>
      </c>
      <c r="C529" t="inlineStr">
        <is>
          <t>SHARES</t>
        </is>
      </c>
      <c r="D529" t="inlineStr">
        <is>
          <t>IOS Meera</t>
        </is>
      </c>
      <c r="E529" s="16" t="n">
        <v>0</v>
      </c>
      <c r="F529" s="16" t="n">
        <v>4009.84</v>
      </c>
      <c r="G529" s="17" t="n"/>
      <c r="H529" s="16" t="n">
        <v>-4009.84</v>
      </c>
      <c r="I529" s="16" t="n">
        <v>0</v>
      </c>
    </row>
    <row r="530">
      <c r="A530" t="inlineStr">
        <is>
          <t>MTR-IOS-0530</t>
        </is>
      </c>
      <c r="B530" t="inlineStr">
        <is>
          <t>Trip</t>
        </is>
      </c>
      <c r="C530" t="inlineStr">
        <is>
          <t>EQUAL</t>
        </is>
      </c>
      <c r="D530" t="inlineStr">
        <is>
          <t>IOS Owner</t>
        </is>
      </c>
      <c r="E530" s="16" t="n">
        <v>0</v>
      </c>
      <c r="F530" s="16" t="n">
        <v>5821.41</v>
      </c>
      <c r="G530" s="17" t="n"/>
      <c r="H530" s="16" t="n">
        <v>-5821.41</v>
      </c>
      <c r="I530" s="16" t="n">
        <v>0</v>
      </c>
    </row>
    <row r="531">
      <c r="A531" t="inlineStr">
        <is>
          <t>MTR-IOS-0530</t>
        </is>
      </c>
      <c r="B531" t="inlineStr">
        <is>
          <t>Trip</t>
        </is>
      </c>
      <c r="C531" t="inlineStr">
        <is>
          <t>EQUAL</t>
        </is>
      </c>
      <c r="D531" t="inlineStr">
        <is>
          <t>IOS Aarav</t>
        </is>
      </c>
      <c r="E531" s="16" t="n">
        <v>0</v>
      </c>
      <c r="F531" s="16" t="n">
        <v>5821.41</v>
      </c>
      <c r="G531" s="17" t="n"/>
      <c r="H531" s="16" t="n">
        <v>-5821.41</v>
      </c>
      <c r="I531" s="16" t="n">
        <v>0</v>
      </c>
    </row>
    <row r="532">
      <c r="A532" t="inlineStr">
        <is>
          <t>MTR-IOS-0530</t>
        </is>
      </c>
      <c r="B532" t="inlineStr">
        <is>
          <t>Trip</t>
        </is>
      </c>
      <c r="C532" t="inlineStr">
        <is>
          <t>EQUAL</t>
        </is>
      </c>
      <c r="D532" t="inlineStr">
        <is>
          <t>IOS Meera</t>
        </is>
      </c>
      <c r="E532" s="16" t="n">
        <v>17464.22</v>
      </c>
      <c r="F532" s="16" t="n">
        <v>5821.4</v>
      </c>
      <c r="G532" s="17" t="n"/>
      <c r="H532" s="16" t="n">
        <v>11642.82</v>
      </c>
      <c r="I532" s="16" t="n">
        <v>0</v>
      </c>
    </row>
    <row r="533">
      <c r="A533" t="inlineStr">
        <is>
          <t>MTR-IOS-0533</t>
        </is>
      </c>
      <c r="B533" t="inlineStr">
        <is>
          <t>Trip</t>
        </is>
      </c>
      <c r="C533" t="inlineStr">
        <is>
          <t>PERCENTAGE</t>
        </is>
      </c>
      <c r="D533" t="inlineStr">
        <is>
          <t>IOS Owner</t>
        </is>
      </c>
      <c r="E533" s="16" t="n">
        <v>24222.35</v>
      </c>
      <c r="F533" s="16" t="n">
        <v>12111.18</v>
      </c>
      <c r="G533" s="17" t="n">
        <v>50</v>
      </c>
      <c r="H533" s="16" t="n">
        <v>12111.17</v>
      </c>
      <c r="I533" s="16" t="n">
        <v>0</v>
      </c>
    </row>
    <row r="534">
      <c r="A534" t="inlineStr">
        <is>
          <t>MTR-IOS-0533</t>
        </is>
      </c>
      <c r="B534" t="inlineStr">
        <is>
          <t>Trip</t>
        </is>
      </c>
      <c r="C534" t="inlineStr">
        <is>
          <t>PERCENTAGE</t>
        </is>
      </c>
      <c r="D534" t="inlineStr">
        <is>
          <t>IOS Aarav</t>
        </is>
      </c>
      <c r="E534" s="16" t="n">
        <v>0</v>
      </c>
      <c r="F534" s="16" t="n">
        <v>7266.71</v>
      </c>
      <c r="G534" s="17" t="n">
        <v>30</v>
      </c>
      <c r="H534" s="16" t="n">
        <v>-7266.71</v>
      </c>
      <c r="I534" s="16" t="n">
        <v>0</v>
      </c>
    </row>
    <row r="535">
      <c r="A535" t="inlineStr">
        <is>
          <t>MTR-IOS-0533</t>
        </is>
      </c>
      <c r="B535" t="inlineStr">
        <is>
          <t>Trip</t>
        </is>
      </c>
      <c r="C535" t="inlineStr">
        <is>
          <t>PERCENTAGE</t>
        </is>
      </c>
      <c r="D535" t="inlineStr">
        <is>
          <t>IOS Meera</t>
        </is>
      </c>
      <c r="E535" s="16" t="n">
        <v>0</v>
      </c>
      <c r="F535" s="16" t="n">
        <v>4844.46</v>
      </c>
      <c r="G535" s="17" t="n">
        <v>20</v>
      </c>
      <c r="H535" s="16" t="n">
        <v>-4844.46</v>
      </c>
      <c r="I535" s="16" t="n">
        <v>0</v>
      </c>
    </row>
    <row r="536">
      <c r="A536" t="inlineStr">
        <is>
          <t>MTR-IOS-0536</t>
        </is>
      </c>
      <c r="B536" t="inlineStr">
        <is>
          <t>Trip</t>
        </is>
      </c>
      <c r="C536" t="inlineStr">
        <is>
          <t>EXACT</t>
        </is>
      </c>
      <c r="D536" t="inlineStr">
        <is>
          <t>IOS Owner</t>
        </is>
      </c>
      <c r="E536" s="16" t="n">
        <v>0</v>
      </c>
      <c r="F536" s="16" t="n">
        <v>1151.9</v>
      </c>
      <c r="G536" s="17" t="n"/>
      <c r="H536" s="16" t="n">
        <v>-1151.9</v>
      </c>
      <c r="I536" s="16" t="n">
        <v>0</v>
      </c>
    </row>
    <row r="537">
      <c r="A537" t="inlineStr">
        <is>
          <t>MTR-IOS-0536</t>
        </is>
      </c>
      <c r="B537" t="inlineStr">
        <is>
          <t>Trip</t>
        </is>
      </c>
      <c r="C537" t="inlineStr">
        <is>
          <t>EXACT</t>
        </is>
      </c>
      <c r="D537" t="inlineStr">
        <is>
          <t>IOS Aarav</t>
        </is>
      </c>
      <c r="E537" s="16" t="n">
        <v>3459.16</v>
      </c>
      <c r="F537" s="16" t="n">
        <v>1151.9</v>
      </c>
      <c r="G537" s="17" t="n"/>
      <c r="H537" s="16" t="n">
        <v>2307.26</v>
      </c>
      <c r="I537" s="16" t="n">
        <v>0</v>
      </c>
    </row>
    <row r="538">
      <c r="A538" t="inlineStr">
        <is>
          <t>MTR-IOS-0536</t>
        </is>
      </c>
      <c r="B538" t="inlineStr">
        <is>
          <t>Trip</t>
        </is>
      </c>
      <c r="C538" t="inlineStr">
        <is>
          <t>EXACT</t>
        </is>
      </c>
      <c r="D538" t="inlineStr">
        <is>
          <t>IOS Meera</t>
        </is>
      </c>
      <c r="E538" s="16" t="n">
        <v>0</v>
      </c>
      <c r="F538" s="16" t="n">
        <v>1155.36</v>
      </c>
      <c r="G538" s="17" t="n"/>
      <c r="H538" s="16" t="n">
        <v>-1155.36</v>
      </c>
      <c r="I538" s="16" t="n">
        <v>0</v>
      </c>
    </row>
    <row r="539">
      <c r="A539" t="inlineStr">
        <is>
          <t>MTR-IOS-0539</t>
        </is>
      </c>
      <c r="B539" t="inlineStr">
        <is>
          <t>Trip</t>
        </is>
      </c>
      <c r="C539" t="inlineStr">
        <is>
          <t>SHARES</t>
        </is>
      </c>
      <c r="D539" t="inlineStr">
        <is>
          <t>IOS Owner</t>
        </is>
      </c>
      <c r="E539" s="16" t="n">
        <v>0</v>
      </c>
      <c r="F539" s="16" t="n">
        <v>234.12</v>
      </c>
      <c r="G539" s="17" t="n"/>
      <c r="H539" s="16" t="n">
        <v>-234.12</v>
      </c>
      <c r="I539" s="16" t="n">
        <v>0</v>
      </c>
    </row>
    <row r="540">
      <c r="A540" t="inlineStr">
        <is>
          <t>MTR-IOS-0539</t>
        </is>
      </c>
      <c r="B540" t="inlineStr">
        <is>
          <t>Trip</t>
        </is>
      </c>
      <c r="C540" t="inlineStr">
        <is>
          <t>SHARES</t>
        </is>
      </c>
      <c r="D540" t="inlineStr">
        <is>
          <t>IOS Aarav</t>
        </is>
      </c>
      <c r="E540" s="16" t="n">
        <v>0</v>
      </c>
      <c r="F540" s="16" t="n">
        <v>156.08</v>
      </c>
      <c r="G540" s="17" t="n"/>
      <c r="H540" s="16" t="n">
        <v>-156.08</v>
      </c>
      <c r="I540" s="16" t="n">
        <v>0</v>
      </c>
    </row>
    <row r="541">
      <c r="A541" t="inlineStr">
        <is>
          <t>MTR-IOS-0539</t>
        </is>
      </c>
      <c r="B541" t="inlineStr">
        <is>
          <t>Trip</t>
        </is>
      </c>
      <c r="C541" t="inlineStr">
        <is>
          <t>SHARES</t>
        </is>
      </c>
      <c r="D541" t="inlineStr">
        <is>
          <t>IOS Meera</t>
        </is>
      </c>
      <c r="E541" s="16" t="n">
        <v>468.24</v>
      </c>
      <c r="F541" s="16" t="n">
        <v>78.04000000000001</v>
      </c>
      <c r="G541" s="17" t="n"/>
      <c r="H541" s="16" t="n">
        <v>390.2</v>
      </c>
      <c r="I541" s="16" t="n">
        <v>0</v>
      </c>
    </row>
    <row r="542">
      <c r="A542" t="inlineStr">
        <is>
          <t>MTR-IOS-0542</t>
        </is>
      </c>
      <c r="B542" t="inlineStr">
        <is>
          <t>Trip</t>
        </is>
      </c>
      <c r="C542" t="inlineStr">
        <is>
          <t>EQUAL</t>
        </is>
      </c>
      <c r="D542" t="inlineStr">
        <is>
          <t>IOS Owner</t>
        </is>
      </c>
      <c r="E542" s="16" t="n">
        <v>2675.69</v>
      </c>
      <c r="F542" s="16" t="n">
        <v>891.9</v>
      </c>
      <c r="G542" s="17" t="n"/>
      <c r="H542" s="16" t="n">
        <v>1783.79</v>
      </c>
      <c r="I542" s="16" t="n">
        <v>0</v>
      </c>
    </row>
    <row r="543">
      <c r="A543" t="inlineStr">
        <is>
          <t>MTR-IOS-0542</t>
        </is>
      </c>
      <c r="B543" t="inlineStr">
        <is>
          <t>Trip</t>
        </is>
      </c>
      <c r="C543" t="inlineStr">
        <is>
          <t>EQUAL</t>
        </is>
      </c>
      <c r="D543" t="inlineStr">
        <is>
          <t>IOS Aarav</t>
        </is>
      </c>
      <c r="E543" s="16" t="n">
        <v>0</v>
      </c>
      <c r="F543" s="16" t="n">
        <v>891.9</v>
      </c>
      <c r="G543" s="17" t="n"/>
      <c r="H543" s="16" t="n">
        <v>-891.9</v>
      </c>
      <c r="I543" s="16" t="n">
        <v>0</v>
      </c>
    </row>
    <row r="544">
      <c r="A544" t="inlineStr">
        <is>
          <t>MTR-IOS-0542</t>
        </is>
      </c>
      <c r="B544" t="inlineStr">
        <is>
          <t>Trip</t>
        </is>
      </c>
      <c r="C544" t="inlineStr">
        <is>
          <t>EQUAL</t>
        </is>
      </c>
      <c r="D544" t="inlineStr">
        <is>
          <t>IOS Meera</t>
        </is>
      </c>
      <c r="E544" s="16" t="n">
        <v>0</v>
      </c>
      <c r="F544" s="16" t="n">
        <v>891.89</v>
      </c>
      <c r="G544" s="17" t="n"/>
      <c r="H544" s="16" t="n">
        <v>-891.89</v>
      </c>
      <c r="I544" s="16" t="n">
        <v>0</v>
      </c>
    </row>
    <row r="545">
      <c r="A545" t="inlineStr">
        <is>
          <t>MTR-IOS-0545</t>
        </is>
      </c>
      <c r="B545" t="inlineStr">
        <is>
          <t>Wedding</t>
        </is>
      </c>
      <c r="C545" t="inlineStr">
        <is>
          <t>PERCENTAGE</t>
        </is>
      </c>
      <c r="D545" t="inlineStr">
        <is>
          <t>IOS Owner</t>
        </is>
      </c>
      <c r="E545" s="16" t="n">
        <v>0</v>
      </c>
      <c r="F545" s="16" t="n">
        <v>1069.41</v>
      </c>
      <c r="G545" s="17" t="n">
        <v>50</v>
      </c>
      <c r="H545" s="16" t="n">
        <v>-1069.41</v>
      </c>
      <c r="I545" s="16" t="n">
        <v>0</v>
      </c>
    </row>
    <row r="546">
      <c r="A546" t="inlineStr">
        <is>
          <t>MTR-IOS-0545</t>
        </is>
      </c>
      <c r="B546" t="inlineStr">
        <is>
          <t>Wedding</t>
        </is>
      </c>
      <c r="C546" t="inlineStr">
        <is>
          <t>PERCENTAGE</t>
        </is>
      </c>
      <c r="D546" t="inlineStr">
        <is>
          <t>IOS Aarav</t>
        </is>
      </c>
      <c r="E546" s="16" t="n">
        <v>2138.81</v>
      </c>
      <c r="F546" s="16" t="n">
        <v>641.64</v>
      </c>
      <c r="G546" s="17" t="n">
        <v>30</v>
      </c>
      <c r="H546" s="16" t="n">
        <v>1497.17</v>
      </c>
      <c r="I546" s="16" t="n">
        <v>0</v>
      </c>
    </row>
    <row r="547">
      <c r="A547" t="inlineStr">
        <is>
          <t>MTR-IOS-0545</t>
        </is>
      </c>
      <c r="B547" t="inlineStr">
        <is>
          <t>Wedding</t>
        </is>
      </c>
      <c r="C547" t="inlineStr">
        <is>
          <t>PERCENTAGE</t>
        </is>
      </c>
      <c r="D547" t="inlineStr">
        <is>
          <t>IOS Meera</t>
        </is>
      </c>
      <c r="E547" s="16" t="n">
        <v>0</v>
      </c>
      <c r="F547" s="16" t="n">
        <v>427.76</v>
      </c>
      <c r="G547" s="17" t="n">
        <v>20</v>
      </c>
      <c r="H547" s="16" t="n">
        <v>-427.76</v>
      </c>
      <c r="I547" s="16" t="n">
        <v>0</v>
      </c>
    </row>
    <row r="548">
      <c r="A548" t="inlineStr">
        <is>
          <t>MTR-IOS-0548</t>
        </is>
      </c>
      <c r="B548" t="inlineStr">
        <is>
          <t>Wedding</t>
        </is>
      </c>
      <c r="C548" t="inlineStr">
        <is>
          <t>EXACT</t>
        </is>
      </c>
      <c r="D548" t="inlineStr">
        <is>
          <t>IOS Owner</t>
        </is>
      </c>
      <c r="E548" s="16" t="n">
        <v>0</v>
      </c>
      <c r="F548" s="16" t="n">
        <v>128.12</v>
      </c>
      <c r="G548" s="17" t="n"/>
      <c r="H548" s="16" t="n">
        <v>-128.12</v>
      </c>
      <c r="I548" s="16" t="n">
        <v>0</v>
      </c>
    </row>
    <row r="549">
      <c r="A549" t="inlineStr">
        <is>
          <t>MTR-IOS-0548</t>
        </is>
      </c>
      <c r="B549" t="inlineStr">
        <is>
          <t>Wedding</t>
        </is>
      </c>
      <c r="C549" t="inlineStr">
        <is>
          <t>EXACT</t>
        </is>
      </c>
      <c r="D549" t="inlineStr">
        <is>
          <t>IOS Aarav</t>
        </is>
      </c>
      <c r="E549" s="16" t="n">
        <v>0</v>
      </c>
      <c r="F549" s="16" t="n">
        <v>128.12</v>
      </c>
      <c r="G549" s="17" t="n"/>
      <c r="H549" s="16" t="n">
        <v>-128.12</v>
      </c>
      <c r="I549" s="16" t="n">
        <v>0</v>
      </c>
    </row>
    <row r="550">
      <c r="A550" t="inlineStr">
        <is>
          <t>MTR-IOS-0548</t>
        </is>
      </c>
      <c r="B550" t="inlineStr">
        <is>
          <t>Wedding</t>
        </is>
      </c>
      <c r="C550" t="inlineStr">
        <is>
          <t>EXACT</t>
        </is>
      </c>
      <c r="D550" t="inlineStr">
        <is>
          <t>IOS Meera</t>
        </is>
      </c>
      <c r="E550" s="16" t="n">
        <v>384.73</v>
      </c>
      <c r="F550" s="16" t="n">
        <v>128.49</v>
      </c>
      <c r="G550" s="17" t="n"/>
      <c r="H550" s="16" t="n">
        <v>256.24</v>
      </c>
      <c r="I550" s="16" t="n">
        <v>0</v>
      </c>
    </row>
    <row r="551">
      <c r="A551" t="inlineStr">
        <is>
          <t>MTR-IOS-0551</t>
        </is>
      </c>
      <c r="B551" t="inlineStr">
        <is>
          <t>Wedding</t>
        </is>
      </c>
      <c r="C551" t="inlineStr">
        <is>
          <t>SHARES</t>
        </is>
      </c>
      <c r="D551" t="inlineStr">
        <is>
          <t>IOS Owner</t>
        </is>
      </c>
      <c r="E551" s="16" t="n">
        <v>25205.46</v>
      </c>
      <c r="F551" s="16" t="n">
        <v>12602.73</v>
      </c>
      <c r="G551" s="17" t="n"/>
      <c r="H551" s="16" t="n">
        <v>12602.73</v>
      </c>
      <c r="I551" s="16" t="n">
        <v>0</v>
      </c>
    </row>
    <row r="552">
      <c r="A552" t="inlineStr">
        <is>
          <t>MTR-IOS-0551</t>
        </is>
      </c>
      <c r="B552" t="inlineStr">
        <is>
          <t>Wedding</t>
        </is>
      </c>
      <c r="C552" t="inlineStr">
        <is>
          <t>SHARES</t>
        </is>
      </c>
      <c r="D552" t="inlineStr">
        <is>
          <t>IOS Aarav</t>
        </is>
      </c>
      <c r="E552" s="16" t="n">
        <v>0</v>
      </c>
      <c r="F552" s="16" t="n">
        <v>8401.82</v>
      </c>
      <c r="G552" s="17" t="n"/>
      <c r="H552" s="16" t="n">
        <v>-8401.82</v>
      </c>
      <c r="I552" s="16" t="n">
        <v>0</v>
      </c>
    </row>
    <row r="553">
      <c r="A553" t="inlineStr">
        <is>
          <t>MTR-IOS-0551</t>
        </is>
      </c>
      <c r="B553" t="inlineStr">
        <is>
          <t>Wedding</t>
        </is>
      </c>
      <c r="C553" t="inlineStr">
        <is>
          <t>SHARES</t>
        </is>
      </c>
      <c r="D553" t="inlineStr">
        <is>
          <t>IOS Meera</t>
        </is>
      </c>
      <c r="E553" s="16" t="n">
        <v>0</v>
      </c>
      <c r="F553" s="16" t="n">
        <v>4200.91</v>
      </c>
      <c r="G553" s="17" t="n"/>
      <c r="H553" s="16" t="n">
        <v>-4200.91</v>
      </c>
      <c r="I553" s="16" t="n">
        <v>0</v>
      </c>
    </row>
    <row r="554">
      <c r="A554" t="inlineStr">
        <is>
          <t>MTR-IOS-0554</t>
        </is>
      </c>
      <c r="B554" t="inlineStr">
        <is>
          <t>Wedding</t>
        </is>
      </c>
      <c r="C554" t="inlineStr">
        <is>
          <t>EQUAL</t>
        </is>
      </c>
      <c r="D554" t="inlineStr">
        <is>
          <t>IOS Owner</t>
        </is>
      </c>
      <c r="E554" s="16" t="n">
        <v>0</v>
      </c>
      <c r="F554" s="16" t="n">
        <v>1099.12</v>
      </c>
      <c r="G554" s="17" t="n"/>
      <c r="H554" s="16" t="n">
        <v>-1099.12</v>
      </c>
      <c r="I554" s="16" t="n">
        <v>0</v>
      </c>
    </row>
    <row r="555">
      <c r="A555" t="inlineStr">
        <is>
          <t>MTR-IOS-0554</t>
        </is>
      </c>
      <c r="B555" t="inlineStr">
        <is>
          <t>Wedding</t>
        </is>
      </c>
      <c r="C555" t="inlineStr">
        <is>
          <t>EQUAL</t>
        </is>
      </c>
      <c r="D555" t="inlineStr">
        <is>
          <t>IOS Aarav</t>
        </is>
      </c>
      <c r="E555" s="16" t="n">
        <v>3297.35</v>
      </c>
      <c r="F555" s="16" t="n">
        <v>1099.12</v>
      </c>
      <c r="G555" s="17" t="n"/>
      <c r="H555" s="16" t="n">
        <v>2198.23</v>
      </c>
      <c r="I555" s="16" t="n">
        <v>0</v>
      </c>
    </row>
    <row r="556">
      <c r="A556" t="inlineStr">
        <is>
          <t>MTR-IOS-0554</t>
        </is>
      </c>
      <c r="B556" t="inlineStr">
        <is>
          <t>Wedding</t>
        </is>
      </c>
      <c r="C556" t="inlineStr">
        <is>
          <t>EQUAL</t>
        </is>
      </c>
      <c r="D556" t="inlineStr">
        <is>
          <t>IOS Meera</t>
        </is>
      </c>
      <c r="E556" s="16" t="n">
        <v>0</v>
      </c>
      <c r="F556" s="16" t="n">
        <v>1099.11</v>
      </c>
      <c r="G556" s="17" t="n"/>
      <c r="H556" s="16" t="n">
        <v>-1099.11</v>
      </c>
      <c r="I556" s="16" t="n">
        <v>0</v>
      </c>
    </row>
    <row r="557">
      <c r="A557" t="inlineStr">
        <is>
          <t>MTR-IOS-0557</t>
        </is>
      </c>
      <c r="B557" t="inlineStr">
        <is>
          <t>Wedding</t>
        </is>
      </c>
      <c r="C557" t="inlineStr">
        <is>
          <t>PERCENTAGE</t>
        </is>
      </c>
      <c r="D557" t="inlineStr">
        <is>
          <t>IOS Owner</t>
        </is>
      </c>
      <c r="E557" s="16" t="n">
        <v>0</v>
      </c>
      <c r="F557" s="16" t="n">
        <v>8880.389999999999</v>
      </c>
      <c r="G557" s="17" t="n">
        <v>50</v>
      </c>
      <c r="H557" s="16" t="n">
        <v>-8880.389999999999</v>
      </c>
      <c r="I557" s="16" t="n">
        <v>0</v>
      </c>
    </row>
    <row r="558">
      <c r="A558" t="inlineStr">
        <is>
          <t>MTR-IOS-0557</t>
        </is>
      </c>
      <c r="B558" t="inlineStr">
        <is>
          <t>Wedding</t>
        </is>
      </c>
      <c r="C558" t="inlineStr">
        <is>
          <t>PERCENTAGE</t>
        </is>
      </c>
      <c r="D558" t="inlineStr">
        <is>
          <t>IOS Aarav</t>
        </is>
      </c>
      <c r="E558" s="16" t="n">
        <v>0</v>
      </c>
      <c r="F558" s="16" t="n">
        <v>5328.23</v>
      </c>
      <c r="G558" s="17" t="n">
        <v>30</v>
      </c>
      <c r="H558" s="16" t="n">
        <v>-5328.23</v>
      </c>
      <c r="I558" s="16" t="n">
        <v>0</v>
      </c>
    </row>
    <row r="559">
      <c r="A559" t="inlineStr">
        <is>
          <t>MTR-IOS-0557</t>
        </is>
      </c>
      <c r="B559" t="inlineStr">
        <is>
          <t>Wedding</t>
        </is>
      </c>
      <c r="C559" t="inlineStr">
        <is>
          <t>PERCENTAGE</t>
        </is>
      </c>
      <c r="D559" t="inlineStr">
        <is>
          <t>IOS Meera</t>
        </is>
      </c>
      <c r="E559" s="16" t="n">
        <v>17760.78</v>
      </c>
      <c r="F559" s="16" t="n">
        <v>3552.16</v>
      </c>
      <c r="G559" s="17" t="n">
        <v>20</v>
      </c>
      <c r="H559" s="16" t="n">
        <v>14208.62</v>
      </c>
      <c r="I559" s="16" t="n">
        <v>0</v>
      </c>
    </row>
    <row r="560">
      <c r="A560" t="inlineStr">
        <is>
          <t>MTR-IOS-0560</t>
        </is>
      </c>
      <c r="B560" t="inlineStr">
        <is>
          <t>Wedding</t>
        </is>
      </c>
      <c r="C560" t="inlineStr">
        <is>
          <t>EXACT</t>
        </is>
      </c>
      <c r="D560" t="inlineStr">
        <is>
          <t>IOS Owner</t>
        </is>
      </c>
      <c r="E560" s="16" t="n">
        <v>10303.38</v>
      </c>
      <c r="F560" s="16" t="n">
        <v>3431.03</v>
      </c>
      <c r="G560" s="17" t="n"/>
      <c r="H560" s="16" t="n">
        <v>6872.35</v>
      </c>
      <c r="I560" s="16" t="n">
        <v>0</v>
      </c>
    </row>
    <row r="561">
      <c r="A561" t="inlineStr">
        <is>
          <t>MTR-IOS-0560</t>
        </is>
      </c>
      <c r="B561" t="inlineStr">
        <is>
          <t>Wedding</t>
        </is>
      </c>
      <c r="C561" t="inlineStr">
        <is>
          <t>EXACT</t>
        </is>
      </c>
      <c r="D561" t="inlineStr">
        <is>
          <t>IOS Aarav</t>
        </is>
      </c>
      <c r="E561" s="16" t="n">
        <v>0</v>
      </c>
      <c r="F561" s="16" t="n">
        <v>3431.03</v>
      </c>
      <c r="G561" s="17" t="n"/>
      <c r="H561" s="16" t="n">
        <v>-3431.03</v>
      </c>
      <c r="I561" s="16" t="n">
        <v>0</v>
      </c>
    </row>
    <row r="562">
      <c r="A562" t="inlineStr">
        <is>
          <t>MTR-IOS-0560</t>
        </is>
      </c>
      <c r="B562" t="inlineStr">
        <is>
          <t>Wedding</t>
        </is>
      </c>
      <c r="C562" t="inlineStr">
        <is>
          <t>EXACT</t>
        </is>
      </c>
      <c r="D562" t="inlineStr">
        <is>
          <t>IOS Meera</t>
        </is>
      </c>
      <c r="E562" s="16" t="n">
        <v>0</v>
      </c>
      <c r="F562" s="16" t="n">
        <v>3441.32</v>
      </c>
      <c r="G562" s="17" t="n"/>
      <c r="H562" s="16" t="n">
        <v>-3441.32</v>
      </c>
      <c r="I562" s="16" t="n">
        <v>0</v>
      </c>
    </row>
    <row r="563">
      <c r="A563" t="inlineStr">
        <is>
          <t>MTR-IOS-0563</t>
        </is>
      </c>
      <c r="B563" t="inlineStr">
        <is>
          <t>Wedding</t>
        </is>
      </c>
      <c r="C563" t="inlineStr">
        <is>
          <t>SHARES</t>
        </is>
      </c>
      <c r="D563" t="inlineStr">
        <is>
          <t>IOS Owner</t>
        </is>
      </c>
      <c r="E563" s="16" t="n">
        <v>0</v>
      </c>
      <c r="F563" s="16" t="n">
        <v>9373.33</v>
      </c>
      <c r="G563" s="17" t="n"/>
      <c r="H563" s="16" t="n">
        <v>-9373.33</v>
      </c>
      <c r="I563" s="16" t="n">
        <v>0</v>
      </c>
    </row>
    <row r="564">
      <c r="A564" t="inlineStr">
        <is>
          <t>MTR-IOS-0563</t>
        </is>
      </c>
      <c r="B564" t="inlineStr">
        <is>
          <t>Wedding</t>
        </is>
      </c>
      <c r="C564" t="inlineStr">
        <is>
          <t>SHARES</t>
        </is>
      </c>
      <c r="D564" t="inlineStr">
        <is>
          <t>IOS Aarav</t>
        </is>
      </c>
      <c r="E564" s="16" t="n">
        <v>18746.66</v>
      </c>
      <c r="F564" s="16" t="n">
        <v>6248.89</v>
      </c>
      <c r="G564" s="17" t="n"/>
      <c r="H564" s="16" t="n">
        <v>12497.77</v>
      </c>
      <c r="I564" s="16" t="n">
        <v>0</v>
      </c>
    </row>
    <row r="565">
      <c r="A565" t="inlineStr">
        <is>
          <t>MTR-IOS-0563</t>
        </is>
      </c>
      <c r="B565" t="inlineStr">
        <is>
          <t>Wedding</t>
        </is>
      </c>
      <c r="C565" t="inlineStr">
        <is>
          <t>SHARES</t>
        </is>
      </c>
      <c r="D565" t="inlineStr">
        <is>
          <t>IOS Meera</t>
        </is>
      </c>
      <c r="E565" s="16" t="n">
        <v>0</v>
      </c>
      <c r="F565" s="16" t="n">
        <v>3124.44</v>
      </c>
      <c r="G565" s="17" t="n"/>
      <c r="H565" s="16" t="n">
        <v>-3124.44</v>
      </c>
      <c r="I565" s="16" t="n">
        <v>0</v>
      </c>
    </row>
    <row r="566">
      <c r="A566" t="inlineStr">
        <is>
          <t>MTR-IOS-0566</t>
        </is>
      </c>
      <c r="B566" t="inlineStr">
        <is>
          <t>Office Outing</t>
        </is>
      </c>
      <c r="C566" t="inlineStr">
        <is>
          <t>EQUAL</t>
        </is>
      </c>
      <c r="D566" t="inlineStr">
        <is>
          <t>IOS Owner</t>
        </is>
      </c>
      <c r="E566" s="16" t="n">
        <v>0</v>
      </c>
      <c r="F566" s="16" t="n">
        <v>6861.83</v>
      </c>
      <c r="G566" s="17" t="n"/>
      <c r="H566" s="16" t="n">
        <v>-6861.83</v>
      </c>
      <c r="I566" s="16" t="n">
        <v>0</v>
      </c>
    </row>
    <row r="567">
      <c r="A567" t="inlineStr">
        <is>
          <t>MTR-IOS-0566</t>
        </is>
      </c>
      <c r="B567" t="inlineStr">
        <is>
          <t>Office Outing</t>
        </is>
      </c>
      <c r="C567" t="inlineStr">
        <is>
          <t>EQUAL</t>
        </is>
      </c>
      <c r="D567" t="inlineStr">
        <is>
          <t>IOS Aarav</t>
        </is>
      </c>
      <c r="E567" s="16" t="n">
        <v>0</v>
      </c>
      <c r="F567" s="16" t="n">
        <v>6861.83</v>
      </c>
      <c r="G567" s="17" t="n"/>
      <c r="H567" s="16" t="n">
        <v>-6861.83</v>
      </c>
      <c r="I567" s="16" t="n">
        <v>0</v>
      </c>
    </row>
    <row r="568">
      <c r="A568" t="inlineStr">
        <is>
          <t>MTR-IOS-0566</t>
        </is>
      </c>
      <c r="B568" t="inlineStr">
        <is>
          <t>Office Outing</t>
        </is>
      </c>
      <c r="C568" t="inlineStr">
        <is>
          <t>EQUAL</t>
        </is>
      </c>
      <c r="D568" t="inlineStr">
        <is>
          <t>IOS Meera</t>
        </is>
      </c>
      <c r="E568" s="16" t="n">
        <v>20585.49</v>
      </c>
      <c r="F568" s="16" t="n">
        <v>6861.83</v>
      </c>
      <c r="G568" s="17" t="n"/>
      <c r="H568" s="16" t="n">
        <v>13723.66</v>
      </c>
      <c r="I568" s="16" t="n">
        <v>0</v>
      </c>
    </row>
    <row r="569">
      <c r="A569" t="inlineStr">
        <is>
          <t>MTR-IOS-0569</t>
        </is>
      </c>
      <c r="B569" t="inlineStr">
        <is>
          <t>Office Outing</t>
        </is>
      </c>
      <c r="C569" t="inlineStr">
        <is>
          <t>PERCENTAGE</t>
        </is>
      </c>
      <c r="D569" t="inlineStr">
        <is>
          <t>IOS Owner</t>
        </is>
      </c>
      <c r="E569" s="16" t="n">
        <v>19065.06</v>
      </c>
      <c r="F569" s="16" t="n">
        <v>9532.530000000001</v>
      </c>
      <c r="G569" s="17" t="n">
        <v>50</v>
      </c>
      <c r="H569" s="16" t="n">
        <v>9532.530000000001</v>
      </c>
      <c r="I569" s="16" t="n">
        <v>0</v>
      </c>
    </row>
    <row r="570">
      <c r="A570" t="inlineStr">
        <is>
          <t>MTR-IOS-0569</t>
        </is>
      </c>
      <c r="B570" t="inlineStr">
        <is>
          <t>Office Outing</t>
        </is>
      </c>
      <c r="C570" t="inlineStr">
        <is>
          <t>PERCENTAGE</t>
        </is>
      </c>
      <c r="D570" t="inlineStr">
        <is>
          <t>IOS Aarav</t>
        </is>
      </c>
      <c r="E570" s="16" t="n">
        <v>0</v>
      </c>
      <c r="F570" s="16" t="n">
        <v>5719.52</v>
      </c>
      <c r="G570" s="17" t="n">
        <v>30</v>
      </c>
      <c r="H570" s="16" t="n">
        <v>-5719.52</v>
      </c>
      <c r="I570" s="16" t="n">
        <v>0</v>
      </c>
    </row>
    <row r="571">
      <c r="A571" t="inlineStr">
        <is>
          <t>MTR-IOS-0569</t>
        </is>
      </c>
      <c r="B571" t="inlineStr">
        <is>
          <t>Office Outing</t>
        </is>
      </c>
      <c r="C571" t="inlineStr">
        <is>
          <t>PERCENTAGE</t>
        </is>
      </c>
      <c r="D571" t="inlineStr">
        <is>
          <t>IOS Meera</t>
        </is>
      </c>
      <c r="E571" s="16" t="n">
        <v>0</v>
      </c>
      <c r="F571" s="16" t="n">
        <v>3813.01</v>
      </c>
      <c r="G571" s="17" t="n">
        <v>20</v>
      </c>
      <c r="H571" s="16" t="n">
        <v>-3813.01</v>
      </c>
      <c r="I571" s="16" t="n">
        <v>0</v>
      </c>
    </row>
    <row r="572">
      <c r="A572" t="inlineStr">
        <is>
          <t>MTR-IOS-0572</t>
        </is>
      </c>
      <c r="B572" t="inlineStr">
        <is>
          <t>Office Outing</t>
        </is>
      </c>
      <c r="C572" t="inlineStr">
        <is>
          <t>EXACT</t>
        </is>
      </c>
      <c r="D572" t="inlineStr">
        <is>
          <t>IOS Owner</t>
        </is>
      </c>
      <c r="E572" s="16" t="n">
        <v>0</v>
      </c>
      <c r="F572" s="16" t="n">
        <v>3272.66</v>
      </c>
      <c r="G572" s="17" t="n"/>
      <c r="H572" s="16" t="n">
        <v>-3272.66</v>
      </c>
      <c r="I572" s="16" t="n">
        <v>0</v>
      </c>
    </row>
    <row r="573">
      <c r="A573" t="inlineStr">
        <is>
          <t>MTR-IOS-0572</t>
        </is>
      </c>
      <c r="B573" t="inlineStr">
        <is>
          <t>Office Outing</t>
        </is>
      </c>
      <c r="C573" t="inlineStr">
        <is>
          <t>EXACT</t>
        </is>
      </c>
      <c r="D573" t="inlineStr">
        <is>
          <t>IOS Aarav</t>
        </is>
      </c>
      <c r="E573" s="16" t="n">
        <v>9827.799999999999</v>
      </c>
      <c r="F573" s="16" t="n">
        <v>3272.66</v>
      </c>
      <c r="G573" s="17" t="n"/>
      <c r="H573" s="16" t="n">
        <v>6555.14</v>
      </c>
      <c r="I573" s="16" t="n">
        <v>0</v>
      </c>
    </row>
    <row r="574">
      <c r="A574" t="inlineStr">
        <is>
          <t>MTR-IOS-0572</t>
        </is>
      </c>
      <c r="B574" t="inlineStr">
        <is>
          <t>Office Outing</t>
        </is>
      </c>
      <c r="C574" t="inlineStr">
        <is>
          <t>EXACT</t>
        </is>
      </c>
      <c r="D574" t="inlineStr">
        <is>
          <t>IOS Meera</t>
        </is>
      </c>
      <c r="E574" s="16" t="n">
        <v>0</v>
      </c>
      <c r="F574" s="16" t="n">
        <v>3282.48</v>
      </c>
      <c r="G574" s="17" t="n"/>
      <c r="H574" s="16" t="n">
        <v>-3282.48</v>
      </c>
      <c r="I574" s="16" t="n">
        <v>0</v>
      </c>
    </row>
    <row r="575">
      <c r="A575" t="inlineStr">
        <is>
          <t>MTR-IOS-0575</t>
        </is>
      </c>
      <c r="B575" t="inlineStr">
        <is>
          <t>Office Outing</t>
        </is>
      </c>
      <c r="C575" t="inlineStr">
        <is>
          <t>SHARES</t>
        </is>
      </c>
      <c r="D575" t="inlineStr">
        <is>
          <t>IOS Owner</t>
        </is>
      </c>
      <c r="E575" s="16" t="n">
        <v>0</v>
      </c>
      <c r="F575" s="16" t="n">
        <v>42.39</v>
      </c>
      <c r="G575" s="17" t="n"/>
      <c r="H575" s="16" t="n">
        <v>-42.39</v>
      </c>
      <c r="I575" s="16" t="n">
        <v>0</v>
      </c>
    </row>
    <row r="576">
      <c r="A576" t="inlineStr">
        <is>
          <t>MTR-IOS-0575</t>
        </is>
      </c>
      <c r="B576" t="inlineStr">
        <is>
          <t>Office Outing</t>
        </is>
      </c>
      <c r="C576" t="inlineStr">
        <is>
          <t>SHARES</t>
        </is>
      </c>
      <c r="D576" t="inlineStr">
        <is>
          <t>IOS Aarav</t>
        </is>
      </c>
      <c r="E576" s="16" t="n">
        <v>0</v>
      </c>
      <c r="F576" s="16" t="n">
        <v>28.26</v>
      </c>
      <c r="G576" s="17" t="n"/>
      <c r="H576" s="16" t="n">
        <v>-28.26</v>
      </c>
      <c r="I576" s="16" t="n">
        <v>0</v>
      </c>
    </row>
    <row r="577">
      <c r="A577" t="inlineStr">
        <is>
          <t>MTR-IOS-0575</t>
        </is>
      </c>
      <c r="B577" t="inlineStr">
        <is>
          <t>Office Outing</t>
        </is>
      </c>
      <c r="C577" t="inlineStr">
        <is>
          <t>SHARES</t>
        </is>
      </c>
      <c r="D577" t="inlineStr">
        <is>
          <t>IOS Meera</t>
        </is>
      </c>
      <c r="E577" s="16" t="n">
        <v>84.77</v>
      </c>
      <c r="F577" s="16" t="n">
        <v>14.12</v>
      </c>
      <c r="G577" s="17" t="n"/>
      <c r="H577" s="16" t="n">
        <v>70.65000000000001</v>
      </c>
      <c r="I577" s="16" t="n">
        <v>0</v>
      </c>
    </row>
    <row r="578">
      <c r="A578" t="inlineStr">
        <is>
          <t>MTR-IOS-0578</t>
        </is>
      </c>
      <c r="B578" t="inlineStr">
        <is>
          <t>Office Outing</t>
        </is>
      </c>
      <c r="C578" t="inlineStr">
        <is>
          <t>EQUAL</t>
        </is>
      </c>
      <c r="D578" t="inlineStr">
        <is>
          <t>IOS Owner</t>
        </is>
      </c>
      <c r="E578" s="16" t="n">
        <v>419.29</v>
      </c>
      <c r="F578" s="16" t="n">
        <v>139.76</v>
      </c>
      <c r="G578" s="17" t="n"/>
      <c r="H578" s="16" t="n">
        <v>279.53</v>
      </c>
      <c r="I578" s="16" t="n">
        <v>0</v>
      </c>
    </row>
    <row r="579">
      <c r="A579" t="inlineStr">
        <is>
          <t>MTR-IOS-0578</t>
        </is>
      </c>
      <c r="B579" t="inlineStr">
        <is>
          <t>Office Outing</t>
        </is>
      </c>
      <c r="C579" t="inlineStr">
        <is>
          <t>EQUAL</t>
        </is>
      </c>
      <c r="D579" t="inlineStr">
        <is>
          <t>IOS Aarav</t>
        </is>
      </c>
      <c r="E579" s="16" t="n">
        <v>0</v>
      </c>
      <c r="F579" s="16" t="n">
        <v>139.76</v>
      </c>
      <c r="G579" s="17" t="n"/>
      <c r="H579" s="16" t="n">
        <v>-139.76</v>
      </c>
      <c r="I579" s="16" t="n">
        <v>0</v>
      </c>
    </row>
    <row r="580">
      <c r="A580" t="inlineStr">
        <is>
          <t>MTR-IOS-0578</t>
        </is>
      </c>
      <c r="B580" t="inlineStr">
        <is>
          <t>Office Outing</t>
        </is>
      </c>
      <c r="C580" t="inlineStr">
        <is>
          <t>EQUAL</t>
        </is>
      </c>
      <c r="D580" t="inlineStr">
        <is>
          <t>IOS Meera</t>
        </is>
      </c>
      <c r="E580" s="16" t="n">
        <v>0</v>
      </c>
      <c r="F580" s="16" t="n">
        <v>139.77</v>
      </c>
      <c r="G580" s="17" t="n"/>
      <c r="H580" s="16" t="n">
        <v>-139.77</v>
      </c>
      <c r="I580" s="16" t="n">
        <v>0</v>
      </c>
    </row>
    <row r="581">
      <c r="A581" t="inlineStr">
        <is>
          <t>MTR-IOS-0581</t>
        </is>
      </c>
      <c r="B581" t="inlineStr">
        <is>
          <t>House Party</t>
        </is>
      </c>
      <c r="C581" t="inlineStr">
        <is>
          <t>PERCENTAGE</t>
        </is>
      </c>
      <c r="D581" t="inlineStr">
        <is>
          <t>IOS Owner</t>
        </is>
      </c>
      <c r="E581" s="16" t="n">
        <v>0</v>
      </c>
      <c r="F581" s="16" t="n">
        <v>1016.6</v>
      </c>
      <c r="G581" s="17" t="n">
        <v>50</v>
      </c>
      <c r="H581" s="16" t="n">
        <v>-1016.6</v>
      </c>
      <c r="I581" s="16" t="n">
        <v>0</v>
      </c>
    </row>
    <row r="582">
      <c r="A582" t="inlineStr">
        <is>
          <t>MTR-IOS-0581</t>
        </is>
      </c>
      <c r="B582" t="inlineStr">
        <is>
          <t>House Party</t>
        </is>
      </c>
      <c r="C582" t="inlineStr">
        <is>
          <t>PERCENTAGE</t>
        </is>
      </c>
      <c r="D582" t="inlineStr">
        <is>
          <t>IOS Aarav</t>
        </is>
      </c>
      <c r="E582" s="16" t="n">
        <v>2033.2</v>
      </c>
      <c r="F582" s="16" t="n">
        <v>609.96</v>
      </c>
      <c r="G582" s="17" t="n">
        <v>30</v>
      </c>
      <c r="H582" s="16" t="n">
        <v>1423.24</v>
      </c>
      <c r="I582" s="16" t="n">
        <v>0</v>
      </c>
    </row>
    <row r="583">
      <c r="A583" t="inlineStr">
        <is>
          <t>MTR-IOS-0581</t>
        </is>
      </c>
      <c r="B583" t="inlineStr">
        <is>
          <t>House Party</t>
        </is>
      </c>
      <c r="C583" t="inlineStr">
        <is>
          <t>PERCENTAGE</t>
        </is>
      </c>
      <c r="D583" t="inlineStr">
        <is>
          <t>IOS Meera</t>
        </is>
      </c>
      <c r="E583" s="16" t="n">
        <v>0</v>
      </c>
      <c r="F583" s="16" t="n">
        <v>406.64</v>
      </c>
      <c r="G583" s="17" t="n">
        <v>20</v>
      </c>
      <c r="H583" s="16" t="n">
        <v>-406.64</v>
      </c>
      <c r="I583" s="16" t="n">
        <v>0</v>
      </c>
    </row>
    <row r="584">
      <c r="A584" t="inlineStr">
        <is>
          <t>MTR-IOS-0584</t>
        </is>
      </c>
      <c r="B584" t="inlineStr">
        <is>
          <t>House Party</t>
        </is>
      </c>
      <c r="C584" t="inlineStr">
        <is>
          <t>EXACT</t>
        </is>
      </c>
      <c r="D584" t="inlineStr">
        <is>
          <t>IOS Owner</t>
        </is>
      </c>
      <c r="E584" s="16" t="n">
        <v>0</v>
      </c>
      <c r="F584" s="16" t="n">
        <v>3822.16</v>
      </c>
      <c r="G584" s="17" t="n"/>
      <c r="H584" s="16" t="n">
        <v>-3822.16</v>
      </c>
      <c r="I584" s="16" t="n">
        <v>0</v>
      </c>
    </row>
    <row r="585">
      <c r="A585" t="inlineStr">
        <is>
          <t>MTR-IOS-0584</t>
        </is>
      </c>
      <c r="B585" t="inlineStr">
        <is>
          <t>House Party</t>
        </is>
      </c>
      <c r="C585" t="inlineStr">
        <is>
          <t>EXACT</t>
        </is>
      </c>
      <c r="D585" t="inlineStr">
        <is>
          <t>IOS Aarav</t>
        </is>
      </c>
      <c r="E585" s="16" t="n">
        <v>0</v>
      </c>
      <c r="F585" s="16" t="n">
        <v>3822.16</v>
      </c>
      <c r="G585" s="17" t="n"/>
      <c r="H585" s="16" t="n">
        <v>-3822.16</v>
      </c>
      <c r="I585" s="16" t="n">
        <v>0</v>
      </c>
    </row>
    <row r="586">
      <c r="A586" t="inlineStr">
        <is>
          <t>MTR-IOS-0584</t>
        </is>
      </c>
      <c r="B586" t="inlineStr">
        <is>
          <t>House Party</t>
        </is>
      </c>
      <c r="C586" t="inlineStr">
        <is>
          <t>EXACT</t>
        </is>
      </c>
      <c r="D586" t="inlineStr">
        <is>
          <t>IOS Meera</t>
        </is>
      </c>
      <c r="E586" s="16" t="n">
        <v>11477.96</v>
      </c>
      <c r="F586" s="16" t="n">
        <v>3833.64</v>
      </c>
      <c r="G586" s="17" t="n"/>
      <c r="H586" s="16" t="n">
        <v>7644.32</v>
      </c>
      <c r="I586" s="16" t="n">
        <v>0</v>
      </c>
    </row>
    <row r="587">
      <c r="A587" t="inlineStr">
        <is>
          <t>MTR-IOS-0587</t>
        </is>
      </c>
      <c r="B587" t="inlineStr">
        <is>
          <t>House Party</t>
        </is>
      </c>
      <c r="C587" t="inlineStr">
        <is>
          <t>SHARES</t>
        </is>
      </c>
      <c r="D587" t="inlineStr">
        <is>
          <t>IOS Owner</t>
        </is>
      </c>
      <c r="E587" s="16" t="n">
        <v>21960.55</v>
      </c>
      <c r="F587" s="16" t="n">
        <v>10980.28</v>
      </c>
      <c r="G587" s="17" t="n"/>
      <c r="H587" s="16" t="n">
        <v>10980.27</v>
      </c>
      <c r="I587" s="16" t="n">
        <v>0</v>
      </c>
    </row>
    <row r="588">
      <c r="A588" t="inlineStr">
        <is>
          <t>MTR-IOS-0587</t>
        </is>
      </c>
      <c r="B588" t="inlineStr">
        <is>
          <t>House Party</t>
        </is>
      </c>
      <c r="C588" t="inlineStr">
        <is>
          <t>SHARES</t>
        </is>
      </c>
      <c r="D588" t="inlineStr">
        <is>
          <t>IOS Aarav</t>
        </is>
      </c>
      <c r="E588" s="16" t="n">
        <v>0</v>
      </c>
      <c r="F588" s="16" t="n">
        <v>7320.18</v>
      </c>
      <c r="G588" s="17" t="n"/>
      <c r="H588" s="16" t="n">
        <v>-7320.18</v>
      </c>
      <c r="I588" s="16" t="n">
        <v>0</v>
      </c>
    </row>
    <row r="589">
      <c r="A589" t="inlineStr">
        <is>
          <t>MTR-IOS-0587</t>
        </is>
      </c>
      <c r="B589" t="inlineStr">
        <is>
          <t>House Party</t>
        </is>
      </c>
      <c r="C589" t="inlineStr">
        <is>
          <t>SHARES</t>
        </is>
      </c>
      <c r="D589" t="inlineStr">
        <is>
          <t>IOS Meera</t>
        </is>
      </c>
      <c r="E589" s="16" t="n">
        <v>0</v>
      </c>
      <c r="F589" s="16" t="n">
        <v>3660.09</v>
      </c>
      <c r="G589" s="17" t="n"/>
      <c r="H589" s="16" t="n">
        <v>-3660.09</v>
      </c>
      <c r="I589" s="16" t="n">
        <v>0</v>
      </c>
    </row>
    <row r="590">
      <c r="A590" t="inlineStr">
        <is>
          <t>MTR-IOS-0590</t>
        </is>
      </c>
      <c r="B590" t="inlineStr">
        <is>
          <t>House Party</t>
        </is>
      </c>
      <c r="C590" t="inlineStr">
        <is>
          <t>EQUAL</t>
        </is>
      </c>
      <c r="D590" t="inlineStr">
        <is>
          <t>IOS Owner</t>
        </is>
      </c>
      <c r="E590" s="16" t="n">
        <v>0</v>
      </c>
      <c r="F590" s="16" t="n">
        <v>2183.74</v>
      </c>
      <c r="G590" s="17" t="n"/>
      <c r="H590" s="16" t="n">
        <v>-2183.74</v>
      </c>
      <c r="I590" s="16" t="n">
        <v>0</v>
      </c>
    </row>
    <row r="591">
      <c r="A591" t="inlineStr">
        <is>
          <t>MTR-IOS-0590</t>
        </is>
      </c>
      <c r="B591" t="inlineStr">
        <is>
          <t>House Party</t>
        </is>
      </c>
      <c r="C591" t="inlineStr">
        <is>
          <t>EQUAL</t>
        </is>
      </c>
      <c r="D591" t="inlineStr">
        <is>
          <t>IOS Aarav</t>
        </is>
      </c>
      <c r="E591" s="16" t="n">
        <v>6551.22</v>
      </c>
      <c r="F591" s="16" t="n">
        <v>2183.74</v>
      </c>
      <c r="G591" s="17" t="n"/>
      <c r="H591" s="16" t="n">
        <v>4367.48</v>
      </c>
      <c r="I591" s="16" t="n">
        <v>0</v>
      </c>
    </row>
    <row r="592">
      <c r="A592" t="inlineStr">
        <is>
          <t>MTR-IOS-0590</t>
        </is>
      </c>
      <c r="B592" t="inlineStr">
        <is>
          <t>House Party</t>
        </is>
      </c>
      <c r="C592" t="inlineStr">
        <is>
          <t>EQUAL</t>
        </is>
      </c>
      <c r="D592" t="inlineStr">
        <is>
          <t>IOS Meera</t>
        </is>
      </c>
      <c r="E592" s="16" t="n">
        <v>0</v>
      </c>
      <c r="F592" s="16" t="n">
        <v>2183.74</v>
      </c>
      <c r="G592" s="17" t="n"/>
      <c r="H592" s="16" t="n">
        <v>-2183.74</v>
      </c>
      <c r="I592" s="16" t="n">
        <v>0</v>
      </c>
    </row>
    <row r="593">
      <c r="A593" t="inlineStr">
        <is>
          <t>MTR-IOS-0593</t>
        </is>
      </c>
      <c r="B593" t="inlineStr">
        <is>
          <t>House Party</t>
        </is>
      </c>
      <c r="C593" t="inlineStr">
        <is>
          <t>PERCENTAGE</t>
        </is>
      </c>
      <c r="D593" t="inlineStr">
        <is>
          <t>IOS Owner</t>
        </is>
      </c>
      <c r="E593" s="16" t="n">
        <v>0</v>
      </c>
      <c r="F593" s="16" t="n">
        <v>5551.24</v>
      </c>
      <c r="G593" s="17" t="n">
        <v>50</v>
      </c>
      <c r="H593" s="16" t="n">
        <v>-5551.24</v>
      </c>
      <c r="I593" s="16" t="n">
        <v>0</v>
      </c>
    </row>
    <row r="594">
      <c r="A594" t="inlineStr">
        <is>
          <t>MTR-IOS-0593</t>
        </is>
      </c>
      <c r="B594" t="inlineStr">
        <is>
          <t>House Party</t>
        </is>
      </c>
      <c r="C594" t="inlineStr">
        <is>
          <t>PERCENTAGE</t>
        </is>
      </c>
      <c r="D594" t="inlineStr">
        <is>
          <t>IOS Aarav</t>
        </is>
      </c>
      <c r="E594" s="16" t="n">
        <v>0</v>
      </c>
      <c r="F594" s="16" t="n">
        <v>3330.74</v>
      </c>
      <c r="G594" s="17" t="n">
        <v>30</v>
      </c>
      <c r="H594" s="16" t="n">
        <v>-3330.74</v>
      </c>
      <c r="I594" s="16" t="n">
        <v>0</v>
      </c>
    </row>
    <row r="595">
      <c r="A595" t="inlineStr">
        <is>
          <t>MTR-IOS-0593</t>
        </is>
      </c>
      <c r="B595" t="inlineStr">
        <is>
          <t>House Party</t>
        </is>
      </c>
      <c r="C595" t="inlineStr">
        <is>
          <t>PERCENTAGE</t>
        </is>
      </c>
      <c r="D595" t="inlineStr">
        <is>
          <t>IOS Meera</t>
        </is>
      </c>
      <c r="E595" s="16" t="n">
        <v>11102.48</v>
      </c>
      <c r="F595" s="16" t="n">
        <v>2220.5</v>
      </c>
      <c r="G595" s="17" t="n">
        <v>20</v>
      </c>
      <c r="H595" s="16" t="n">
        <v>8881.98</v>
      </c>
      <c r="I595" s="16" t="n">
        <v>0</v>
      </c>
    </row>
    <row r="596">
      <c r="A596" t="inlineStr">
        <is>
          <t>MTR-IOS-0596</t>
        </is>
      </c>
      <c r="B596" t="inlineStr">
        <is>
          <t>Gift Pool</t>
        </is>
      </c>
      <c r="C596" t="inlineStr">
        <is>
          <t>EXACT</t>
        </is>
      </c>
      <c r="D596" t="inlineStr">
        <is>
          <t>IOS Owner</t>
        </is>
      </c>
      <c r="E596" s="16" t="n">
        <v>1096.86</v>
      </c>
      <c r="F596" s="16" t="n">
        <v>365.25</v>
      </c>
      <c r="G596" s="17" t="n"/>
      <c r="H596" s="16" t="n">
        <v>731.61</v>
      </c>
      <c r="I596" s="16" t="n">
        <v>0</v>
      </c>
    </row>
    <row r="597">
      <c r="A597" t="inlineStr">
        <is>
          <t>MTR-IOS-0596</t>
        </is>
      </c>
      <c r="B597" t="inlineStr">
        <is>
          <t>Gift Pool</t>
        </is>
      </c>
      <c r="C597" t="inlineStr">
        <is>
          <t>EXACT</t>
        </is>
      </c>
      <c r="D597" t="inlineStr">
        <is>
          <t>IOS Aarav</t>
        </is>
      </c>
      <c r="E597" s="16" t="n">
        <v>0</v>
      </c>
      <c r="F597" s="16" t="n">
        <v>365.25</v>
      </c>
      <c r="G597" s="17" t="n"/>
      <c r="H597" s="16" t="n">
        <v>-365.25</v>
      </c>
      <c r="I597" s="16" t="n">
        <v>0</v>
      </c>
    </row>
    <row r="598">
      <c r="A598" t="inlineStr">
        <is>
          <t>MTR-IOS-0596</t>
        </is>
      </c>
      <c r="B598" t="inlineStr">
        <is>
          <t>Gift Pool</t>
        </is>
      </c>
      <c r="C598" t="inlineStr">
        <is>
          <t>EXACT</t>
        </is>
      </c>
      <c r="D598" t="inlineStr">
        <is>
          <t>IOS Meera</t>
        </is>
      </c>
      <c r="E598" s="16" t="n">
        <v>0</v>
      </c>
      <c r="F598" s="16" t="n">
        <v>366.36</v>
      </c>
      <c r="G598" s="17" t="n"/>
      <c r="H598" s="16" t="n">
        <v>-366.36</v>
      </c>
      <c r="I598" s="16" t="n">
        <v>0</v>
      </c>
    </row>
    <row r="599">
      <c r="A599" t="inlineStr">
        <is>
          <t>MTR-IOS-0599</t>
        </is>
      </c>
      <c r="B599" t="inlineStr">
        <is>
          <t>Gift Pool</t>
        </is>
      </c>
      <c r="C599" t="inlineStr">
        <is>
          <t>SHARES</t>
        </is>
      </c>
      <c r="D599" t="inlineStr">
        <is>
          <t>IOS Owner</t>
        </is>
      </c>
      <c r="E599" s="16" t="n">
        <v>0</v>
      </c>
      <c r="F599" s="16" t="n">
        <v>3477.82</v>
      </c>
      <c r="G599" s="17" t="n"/>
      <c r="H599" s="16" t="n">
        <v>-3477.82</v>
      </c>
      <c r="I599" s="16" t="n">
        <v>0</v>
      </c>
    </row>
    <row r="600">
      <c r="A600" t="inlineStr">
        <is>
          <t>MTR-IOS-0599</t>
        </is>
      </c>
      <c r="B600" t="inlineStr">
        <is>
          <t>Gift Pool</t>
        </is>
      </c>
      <c r="C600" t="inlineStr">
        <is>
          <t>SHARES</t>
        </is>
      </c>
      <c r="D600" t="inlineStr">
        <is>
          <t>IOS Aarav</t>
        </is>
      </c>
      <c r="E600" s="16" t="n">
        <v>6955.64</v>
      </c>
      <c r="F600" s="16" t="n">
        <v>2318.55</v>
      </c>
      <c r="G600" s="17" t="n"/>
      <c r="H600" s="16" t="n">
        <v>4637.09</v>
      </c>
      <c r="I600" s="16" t="n">
        <v>0</v>
      </c>
    </row>
    <row r="601">
      <c r="A601" t="inlineStr">
        <is>
          <t>MTR-IOS-0599</t>
        </is>
      </c>
      <c r="B601" t="inlineStr">
        <is>
          <t>Gift Pool</t>
        </is>
      </c>
      <c r="C601" t="inlineStr">
        <is>
          <t>SHARES</t>
        </is>
      </c>
      <c r="D601" t="inlineStr">
        <is>
          <t>IOS Meera</t>
        </is>
      </c>
      <c r="E601" s="16" t="n">
        <v>0</v>
      </c>
      <c r="F601" s="16" t="n">
        <v>1159.27</v>
      </c>
      <c r="G601" s="17" t="n"/>
      <c r="H601" s="16" t="n">
        <v>-1159.27</v>
      </c>
      <c r="I601" s="16" t="n">
        <v>0</v>
      </c>
    </row>
    <row r="602">
      <c r="A602" t="inlineStr">
        <is>
          <t>MTR-IOS-0602</t>
        </is>
      </c>
      <c r="B602" t="inlineStr">
        <is>
          <t>Gift Pool</t>
        </is>
      </c>
      <c r="C602" t="inlineStr">
        <is>
          <t>EQUAL</t>
        </is>
      </c>
      <c r="D602" t="inlineStr">
        <is>
          <t>IOS Owner</t>
        </is>
      </c>
      <c r="E602" s="16" t="n">
        <v>0</v>
      </c>
      <c r="F602" s="16" t="n">
        <v>5517.27</v>
      </c>
      <c r="G602" s="17" t="n"/>
      <c r="H602" s="16" t="n">
        <v>-5517.27</v>
      </c>
      <c r="I602" s="16" t="n">
        <v>0</v>
      </c>
    </row>
    <row r="603">
      <c r="A603" t="inlineStr">
        <is>
          <t>MTR-IOS-0602</t>
        </is>
      </c>
      <c r="B603" t="inlineStr">
        <is>
          <t>Gift Pool</t>
        </is>
      </c>
      <c r="C603" t="inlineStr">
        <is>
          <t>EQUAL</t>
        </is>
      </c>
      <c r="D603" t="inlineStr">
        <is>
          <t>IOS Aarav</t>
        </is>
      </c>
      <c r="E603" s="16" t="n">
        <v>0</v>
      </c>
      <c r="F603" s="16" t="n">
        <v>5517.27</v>
      </c>
      <c r="G603" s="17" t="n"/>
      <c r="H603" s="16" t="n">
        <v>-5517.27</v>
      </c>
      <c r="I603" s="16" t="n">
        <v>0</v>
      </c>
    </row>
    <row r="604">
      <c r="A604" t="inlineStr">
        <is>
          <t>MTR-IOS-0602</t>
        </is>
      </c>
      <c r="B604" t="inlineStr">
        <is>
          <t>Gift Pool</t>
        </is>
      </c>
      <c r="C604" t="inlineStr">
        <is>
          <t>EQUAL</t>
        </is>
      </c>
      <c r="D604" t="inlineStr">
        <is>
          <t>IOS Meera</t>
        </is>
      </c>
      <c r="E604" s="16" t="n">
        <v>16551.8</v>
      </c>
      <c r="F604" s="16" t="n">
        <v>5517.26</v>
      </c>
      <c r="G604" s="17" t="n"/>
      <c r="H604" s="16" t="n">
        <v>11034.54</v>
      </c>
      <c r="I604" s="16" t="n">
        <v>0</v>
      </c>
    </row>
    <row r="605">
      <c r="A605" t="inlineStr">
        <is>
          <t>MTR-IOS-0605</t>
        </is>
      </c>
      <c r="B605" t="inlineStr">
        <is>
          <t>Gift Pool</t>
        </is>
      </c>
      <c r="C605" t="inlineStr">
        <is>
          <t>PERCENTAGE</t>
        </is>
      </c>
      <c r="D605" t="inlineStr">
        <is>
          <t>IOS Owner</t>
        </is>
      </c>
      <c r="E605" s="16" t="n">
        <v>16551.48</v>
      </c>
      <c r="F605" s="16" t="n">
        <v>8275.74</v>
      </c>
      <c r="G605" s="17" t="n">
        <v>50</v>
      </c>
      <c r="H605" s="16" t="n">
        <v>8275.74</v>
      </c>
      <c r="I605" s="16" t="n">
        <v>0</v>
      </c>
    </row>
    <row r="606">
      <c r="A606" t="inlineStr">
        <is>
          <t>MTR-IOS-0605</t>
        </is>
      </c>
      <c r="B606" t="inlineStr">
        <is>
          <t>Gift Pool</t>
        </is>
      </c>
      <c r="C606" t="inlineStr">
        <is>
          <t>PERCENTAGE</t>
        </is>
      </c>
      <c r="D606" t="inlineStr">
        <is>
          <t>IOS Aarav</t>
        </is>
      </c>
      <c r="E606" s="16" t="n">
        <v>0</v>
      </c>
      <c r="F606" s="16" t="n">
        <v>4965.44</v>
      </c>
      <c r="G606" s="17" t="n">
        <v>30</v>
      </c>
      <c r="H606" s="16" t="n">
        <v>-4965.44</v>
      </c>
      <c r="I606" s="16" t="n">
        <v>0</v>
      </c>
    </row>
    <row r="607">
      <c r="A607" t="inlineStr">
        <is>
          <t>MTR-IOS-0605</t>
        </is>
      </c>
      <c r="B607" t="inlineStr">
        <is>
          <t>Gift Pool</t>
        </is>
      </c>
      <c r="C607" t="inlineStr">
        <is>
          <t>PERCENTAGE</t>
        </is>
      </c>
      <c r="D607" t="inlineStr">
        <is>
          <t>IOS Meera</t>
        </is>
      </c>
      <c r="E607" s="16" t="n">
        <v>0</v>
      </c>
      <c r="F607" s="16" t="n">
        <v>3310.3</v>
      </c>
      <c r="G607" s="17" t="n">
        <v>20</v>
      </c>
      <c r="H607" s="16" t="n">
        <v>-3310.3</v>
      </c>
      <c r="I607" s="16" t="n">
        <v>0</v>
      </c>
    </row>
    <row r="608">
      <c r="A608" t="inlineStr">
        <is>
          <t>MTR-IOS-0608</t>
        </is>
      </c>
      <c r="B608" t="inlineStr">
        <is>
          <t>Purchase</t>
        </is>
      </c>
      <c r="C608" t="inlineStr">
        <is>
          <t>EXACT</t>
        </is>
      </c>
      <c r="D608" t="inlineStr">
        <is>
          <t>IOS Owner</t>
        </is>
      </c>
      <c r="E608" s="16" t="n">
        <v>0</v>
      </c>
      <c r="F608" s="16" t="n">
        <v>1388.04</v>
      </c>
      <c r="G608" s="17" t="n"/>
      <c r="H608" s="16" t="n">
        <v>-1388.04</v>
      </c>
      <c r="I608" s="16" t="n">
        <v>0</v>
      </c>
    </row>
    <row r="609">
      <c r="A609" t="inlineStr">
        <is>
          <t>MTR-IOS-0608</t>
        </is>
      </c>
      <c r="B609" t="inlineStr">
        <is>
          <t>Purchase</t>
        </is>
      </c>
      <c r="C609" t="inlineStr">
        <is>
          <t>EXACT</t>
        </is>
      </c>
      <c r="D609" t="inlineStr">
        <is>
          <t>IOS Aarav</t>
        </is>
      </c>
      <c r="E609" s="16" t="n">
        <v>4168.3</v>
      </c>
      <c r="F609" s="16" t="n">
        <v>1388.04</v>
      </c>
      <c r="G609" s="17" t="n"/>
      <c r="H609" s="16" t="n">
        <v>2780.26</v>
      </c>
      <c r="I609" s="16" t="n">
        <v>0</v>
      </c>
    </row>
    <row r="610">
      <c r="A610" t="inlineStr">
        <is>
          <t>MTR-IOS-0608</t>
        </is>
      </c>
      <c r="B610" t="inlineStr">
        <is>
          <t>Purchase</t>
        </is>
      </c>
      <c r="C610" t="inlineStr">
        <is>
          <t>EXACT</t>
        </is>
      </c>
      <c r="D610" t="inlineStr">
        <is>
          <t>IOS Meera</t>
        </is>
      </c>
      <c r="E610" s="16" t="n">
        <v>0</v>
      </c>
      <c r="F610" s="16" t="n">
        <v>1392.22</v>
      </c>
      <c r="G610" s="17" t="n"/>
      <c r="H610" s="16" t="n">
        <v>-1392.22</v>
      </c>
      <c r="I610" s="16" t="n">
        <v>0</v>
      </c>
    </row>
    <row r="611">
      <c r="A611" t="inlineStr">
        <is>
          <t>MTR-IOS-0611</t>
        </is>
      </c>
      <c r="B611" t="inlineStr">
        <is>
          <t>Purchase</t>
        </is>
      </c>
      <c r="C611" t="inlineStr">
        <is>
          <t>SHARES</t>
        </is>
      </c>
      <c r="D611" t="inlineStr">
        <is>
          <t>IOS Owner</t>
        </is>
      </c>
      <c r="E611" s="16" t="n">
        <v>0</v>
      </c>
      <c r="F611" s="16" t="n">
        <v>11418.86</v>
      </c>
      <c r="G611" s="17" t="n"/>
      <c r="H611" s="16" t="n">
        <v>-11418.86</v>
      </c>
      <c r="I611" s="16" t="n">
        <v>0</v>
      </c>
    </row>
    <row r="612">
      <c r="A612" t="inlineStr">
        <is>
          <t>MTR-IOS-0611</t>
        </is>
      </c>
      <c r="B612" t="inlineStr">
        <is>
          <t>Purchase</t>
        </is>
      </c>
      <c r="C612" t="inlineStr">
        <is>
          <t>SHARES</t>
        </is>
      </c>
      <c r="D612" t="inlineStr">
        <is>
          <t>IOS Aarav</t>
        </is>
      </c>
      <c r="E612" s="16" t="n">
        <v>0</v>
      </c>
      <c r="F612" s="16" t="n">
        <v>7612.57</v>
      </c>
      <c r="G612" s="17" t="n"/>
      <c r="H612" s="16" t="n">
        <v>-7612.57</v>
      </c>
      <c r="I612" s="16" t="n">
        <v>0</v>
      </c>
    </row>
    <row r="613">
      <c r="A613" t="inlineStr">
        <is>
          <t>MTR-IOS-0611</t>
        </is>
      </c>
      <c r="B613" t="inlineStr">
        <is>
          <t>Purchase</t>
        </is>
      </c>
      <c r="C613" t="inlineStr">
        <is>
          <t>SHARES</t>
        </is>
      </c>
      <c r="D613" t="inlineStr">
        <is>
          <t>IOS Meera</t>
        </is>
      </c>
      <c r="E613" s="16" t="n">
        <v>22837.72</v>
      </c>
      <c r="F613" s="16" t="n">
        <v>3806.29</v>
      </c>
      <c r="G613" s="17" t="n"/>
      <c r="H613" s="16" t="n">
        <v>19031.43</v>
      </c>
      <c r="I613" s="16" t="n">
        <v>0</v>
      </c>
    </row>
    <row r="614">
      <c r="A614" t="inlineStr">
        <is>
          <t>MTR-IOS-0614</t>
        </is>
      </c>
      <c r="B614" t="inlineStr">
        <is>
          <t>Purchase</t>
        </is>
      </c>
      <c r="C614" t="inlineStr">
        <is>
          <t>EQUAL</t>
        </is>
      </c>
      <c r="D614" t="inlineStr">
        <is>
          <t>IOS Owner</t>
        </is>
      </c>
      <c r="E614" s="16" t="n">
        <v>24505.96</v>
      </c>
      <c r="F614" s="16" t="n">
        <v>8168.65</v>
      </c>
      <c r="G614" s="17" t="n"/>
      <c r="H614" s="16" t="n">
        <v>16337.31</v>
      </c>
      <c r="I614" s="16" t="n">
        <v>0</v>
      </c>
    </row>
    <row r="615">
      <c r="A615" t="inlineStr">
        <is>
          <t>MTR-IOS-0614</t>
        </is>
      </c>
      <c r="B615" t="inlineStr">
        <is>
          <t>Purchase</t>
        </is>
      </c>
      <c r="C615" t="inlineStr">
        <is>
          <t>EQUAL</t>
        </is>
      </c>
      <c r="D615" t="inlineStr">
        <is>
          <t>IOS Aarav</t>
        </is>
      </c>
      <c r="E615" s="16" t="n">
        <v>0</v>
      </c>
      <c r="F615" s="16" t="n">
        <v>8168.65</v>
      </c>
      <c r="G615" s="17" t="n"/>
      <c r="H615" s="16" t="n">
        <v>-8168.65</v>
      </c>
      <c r="I615" s="16" t="n">
        <v>0</v>
      </c>
    </row>
    <row r="616">
      <c r="A616" t="inlineStr">
        <is>
          <t>MTR-IOS-0614</t>
        </is>
      </c>
      <c r="B616" t="inlineStr">
        <is>
          <t>Purchase</t>
        </is>
      </c>
      <c r="C616" t="inlineStr">
        <is>
          <t>EQUAL</t>
        </is>
      </c>
      <c r="D616" t="inlineStr">
        <is>
          <t>IOS Meera</t>
        </is>
      </c>
      <c r="E616" s="16" t="n">
        <v>0</v>
      </c>
      <c r="F616" s="16" t="n">
        <v>8168.66</v>
      </c>
      <c r="G616" s="17" t="n"/>
      <c r="H616" s="16" t="n">
        <v>-8168.66</v>
      </c>
      <c r="I616" s="16" t="n">
        <v>0</v>
      </c>
    </row>
    <row r="617">
      <c r="A617" t="inlineStr">
        <is>
          <t>MTR-IOS-0617</t>
        </is>
      </c>
      <c r="B617" t="inlineStr">
        <is>
          <t>Purchase</t>
        </is>
      </c>
      <c r="C617" t="inlineStr">
        <is>
          <t>PERCENTAGE</t>
        </is>
      </c>
      <c r="D617" t="inlineStr">
        <is>
          <t>IOS Owner</t>
        </is>
      </c>
      <c r="E617" s="16" t="n">
        <v>0</v>
      </c>
      <c r="F617" s="16" t="n">
        <v>6695.87</v>
      </c>
      <c r="G617" s="17" t="n">
        <v>50</v>
      </c>
      <c r="H617" s="16" t="n">
        <v>-6695.87</v>
      </c>
      <c r="I617" s="16" t="n">
        <v>0</v>
      </c>
    </row>
    <row r="618">
      <c r="A618" t="inlineStr">
        <is>
          <t>MTR-IOS-0617</t>
        </is>
      </c>
      <c r="B618" t="inlineStr">
        <is>
          <t>Purchase</t>
        </is>
      </c>
      <c r="C618" t="inlineStr">
        <is>
          <t>PERCENTAGE</t>
        </is>
      </c>
      <c r="D618" t="inlineStr">
        <is>
          <t>IOS Aarav</t>
        </is>
      </c>
      <c r="E618" s="16" t="n">
        <v>13391.74</v>
      </c>
      <c r="F618" s="16" t="n">
        <v>4017.52</v>
      </c>
      <c r="G618" s="17" t="n">
        <v>30</v>
      </c>
      <c r="H618" s="16" t="n">
        <v>9374.219999999999</v>
      </c>
      <c r="I618" s="16" t="n">
        <v>0</v>
      </c>
    </row>
    <row r="619">
      <c r="A619" t="inlineStr">
        <is>
          <t>MTR-IOS-0617</t>
        </is>
      </c>
      <c r="B619" t="inlineStr">
        <is>
          <t>Purchase</t>
        </is>
      </c>
      <c r="C619" t="inlineStr">
        <is>
          <t>PERCENTAGE</t>
        </is>
      </c>
      <c r="D619" t="inlineStr">
        <is>
          <t>IOS Meera</t>
        </is>
      </c>
      <c r="E619" s="16" t="n">
        <v>0</v>
      </c>
      <c r="F619" s="16" t="n">
        <v>2678.35</v>
      </c>
      <c r="G619" s="17" t="n">
        <v>20</v>
      </c>
      <c r="H619" s="16" t="n">
        <v>-2678.35</v>
      </c>
      <c r="I619" s="16" t="n">
        <v>0</v>
      </c>
    </row>
    <row r="620">
      <c r="A620" t="inlineStr">
        <is>
          <t>MTR-IOS-0620</t>
        </is>
      </c>
      <c r="B620" t="inlineStr">
        <is>
          <t>Assets</t>
        </is>
      </c>
      <c r="C620" t="inlineStr">
        <is>
          <t>EXACT</t>
        </is>
      </c>
      <c r="D620" t="inlineStr">
        <is>
          <t>IOS Owner</t>
        </is>
      </c>
      <c r="E620" s="16" t="n">
        <v>0</v>
      </c>
      <c r="F620" s="16" t="n">
        <v>337.14</v>
      </c>
      <c r="G620" s="17" t="n"/>
      <c r="H620" s="16" t="n">
        <v>-337.14</v>
      </c>
      <c r="I620" s="16" t="n">
        <v>0</v>
      </c>
    </row>
    <row r="621">
      <c r="A621" t="inlineStr">
        <is>
          <t>MTR-IOS-0620</t>
        </is>
      </c>
      <c r="B621" t="inlineStr">
        <is>
          <t>Assets</t>
        </is>
      </c>
      <c r="C621" t="inlineStr">
        <is>
          <t>EXACT</t>
        </is>
      </c>
      <c r="D621" t="inlineStr">
        <is>
          <t>IOS Aarav</t>
        </is>
      </c>
      <c r="E621" s="16" t="n">
        <v>0</v>
      </c>
      <c r="F621" s="16" t="n">
        <v>337.14</v>
      </c>
      <c r="G621" s="17" t="n"/>
      <c r="H621" s="16" t="n">
        <v>-337.14</v>
      </c>
      <c r="I621" s="16" t="n">
        <v>0</v>
      </c>
    </row>
    <row r="622">
      <c r="A622" t="inlineStr">
        <is>
          <t>MTR-IOS-0620</t>
        </is>
      </c>
      <c r="B622" t="inlineStr">
        <is>
          <t>Assets</t>
        </is>
      </c>
      <c r="C622" t="inlineStr">
        <is>
          <t>EXACT</t>
        </is>
      </c>
      <c r="D622" t="inlineStr">
        <is>
          <t>IOS Meera</t>
        </is>
      </c>
      <c r="E622" s="16" t="n">
        <v>1012.42</v>
      </c>
      <c r="F622" s="16" t="n">
        <v>338.14</v>
      </c>
      <c r="G622" s="17" t="n"/>
      <c r="H622" s="16" t="n">
        <v>674.28</v>
      </c>
      <c r="I622" s="16" t="n">
        <v>0</v>
      </c>
    </row>
    <row r="623">
      <c r="A623" t="inlineStr">
        <is>
          <t>MTR-IOS-0623</t>
        </is>
      </c>
      <c r="B623" t="inlineStr">
        <is>
          <t>Assets</t>
        </is>
      </c>
      <c r="C623" t="inlineStr">
        <is>
          <t>SHARES</t>
        </is>
      </c>
      <c r="D623" t="inlineStr">
        <is>
          <t>IOS Owner</t>
        </is>
      </c>
      <c r="E623" s="16" t="n">
        <v>13034.89</v>
      </c>
      <c r="F623" s="16" t="n">
        <v>6517.45</v>
      </c>
      <c r="G623" s="17" t="n"/>
      <c r="H623" s="16" t="n">
        <v>6517.44</v>
      </c>
      <c r="I623" s="16" t="n">
        <v>0</v>
      </c>
    </row>
    <row r="624">
      <c r="A624" t="inlineStr">
        <is>
          <t>MTR-IOS-0623</t>
        </is>
      </c>
      <c r="B624" t="inlineStr">
        <is>
          <t>Assets</t>
        </is>
      </c>
      <c r="C624" t="inlineStr">
        <is>
          <t>SHARES</t>
        </is>
      </c>
      <c r="D624" t="inlineStr">
        <is>
          <t>IOS Aarav</t>
        </is>
      </c>
      <c r="E624" s="16" t="n">
        <v>0</v>
      </c>
      <c r="F624" s="16" t="n">
        <v>4344.96</v>
      </c>
      <c r="G624" s="17" t="n"/>
      <c r="H624" s="16" t="n">
        <v>-4344.96</v>
      </c>
      <c r="I624" s="16" t="n">
        <v>0</v>
      </c>
    </row>
    <row r="625">
      <c r="A625" t="inlineStr">
        <is>
          <t>MTR-IOS-0623</t>
        </is>
      </c>
      <c r="B625" t="inlineStr">
        <is>
          <t>Assets</t>
        </is>
      </c>
      <c r="C625" t="inlineStr">
        <is>
          <t>SHARES</t>
        </is>
      </c>
      <c r="D625" t="inlineStr">
        <is>
          <t>IOS Meera</t>
        </is>
      </c>
      <c r="E625" s="16" t="n">
        <v>0</v>
      </c>
      <c r="F625" s="16" t="n">
        <v>2172.48</v>
      </c>
      <c r="G625" s="17" t="n"/>
      <c r="H625" s="16" t="n">
        <v>-2172.48</v>
      </c>
      <c r="I625" s="16" t="n">
        <v>0</v>
      </c>
    </row>
    <row r="626">
      <c r="A626" t="inlineStr">
        <is>
          <t>MTR-IOS-0626</t>
        </is>
      </c>
      <c r="B626" t="inlineStr">
        <is>
          <t>Assets</t>
        </is>
      </c>
      <c r="C626" t="inlineStr">
        <is>
          <t>EQUAL</t>
        </is>
      </c>
      <c r="D626" t="inlineStr">
        <is>
          <t>IOS Owner</t>
        </is>
      </c>
      <c r="E626" s="16" t="n">
        <v>0</v>
      </c>
      <c r="F626" s="16" t="n">
        <v>7761.26</v>
      </c>
      <c r="G626" s="17" t="n"/>
      <c r="H626" s="16" t="n">
        <v>-7761.26</v>
      </c>
      <c r="I626" s="16" t="n">
        <v>0</v>
      </c>
    </row>
    <row r="627">
      <c r="A627" t="inlineStr">
        <is>
          <t>MTR-IOS-0626</t>
        </is>
      </c>
      <c r="B627" t="inlineStr">
        <is>
          <t>Assets</t>
        </is>
      </c>
      <c r="C627" t="inlineStr">
        <is>
          <t>EQUAL</t>
        </is>
      </c>
      <c r="D627" t="inlineStr">
        <is>
          <t>IOS Aarav</t>
        </is>
      </c>
      <c r="E627" s="16" t="n">
        <v>23283.77</v>
      </c>
      <c r="F627" s="16" t="n">
        <v>7761.26</v>
      </c>
      <c r="G627" s="17" t="n"/>
      <c r="H627" s="16" t="n">
        <v>15522.51</v>
      </c>
      <c r="I627" s="16" t="n">
        <v>0</v>
      </c>
    </row>
    <row r="628">
      <c r="A628" t="inlineStr">
        <is>
          <t>MTR-IOS-0626</t>
        </is>
      </c>
      <c r="B628" t="inlineStr">
        <is>
          <t>Assets</t>
        </is>
      </c>
      <c r="C628" t="inlineStr">
        <is>
          <t>EQUAL</t>
        </is>
      </c>
      <c r="D628" t="inlineStr">
        <is>
          <t>IOS Meera</t>
        </is>
      </c>
      <c r="E628" s="16" t="n">
        <v>0</v>
      </c>
      <c r="F628" s="16" t="n">
        <v>7761.25</v>
      </c>
      <c r="G628" s="17" t="n"/>
      <c r="H628" s="16" t="n">
        <v>-7761.25</v>
      </c>
      <c r="I628" s="16" t="n">
        <v>0</v>
      </c>
    </row>
    <row r="629">
      <c r="A629" t="inlineStr">
        <is>
          <t>MTR-IOS-0629</t>
        </is>
      </c>
      <c r="B629" t="inlineStr">
        <is>
          <t>Assets</t>
        </is>
      </c>
      <c r="C629" t="inlineStr">
        <is>
          <t>PERCENTAGE</t>
        </is>
      </c>
      <c r="D629" t="inlineStr">
        <is>
          <t>IOS Owner</t>
        </is>
      </c>
      <c r="E629" s="16" t="n">
        <v>0</v>
      </c>
      <c r="F629" s="16" t="n">
        <v>5000</v>
      </c>
      <c r="G629" s="17" t="n">
        <v>50</v>
      </c>
      <c r="H629" s="16" t="n">
        <v>-5000</v>
      </c>
      <c r="I629" s="16" t="n">
        <v>0</v>
      </c>
    </row>
    <row r="630">
      <c r="A630" t="inlineStr">
        <is>
          <t>MTR-IOS-0629</t>
        </is>
      </c>
      <c r="B630" t="inlineStr">
        <is>
          <t>Assets</t>
        </is>
      </c>
      <c r="C630" t="inlineStr">
        <is>
          <t>PERCENTAGE</t>
        </is>
      </c>
      <c r="D630" t="inlineStr">
        <is>
          <t>IOS Aarav</t>
        </is>
      </c>
      <c r="E630" s="16" t="n">
        <v>0</v>
      </c>
      <c r="F630" s="16" t="n">
        <v>3000</v>
      </c>
      <c r="G630" s="17" t="n">
        <v>30</v>
      </c>
      <c r="H630" s="16" t="n">
        <v>-3000</v>
      </c>
      <c r="I630" s="16" t="n">
        <v>0</v>
      </c>
    </row>
    <row r="631">
      <c r="A631" t="inlineStr">
        <is>
          <t>MTR-IOS-0629</t>
        </is>
      </c>
      <c r="B631" t="inlineStr">
        <is>
          <t>Assets</t>
        </is>
      </c>
      <c r="C631" t="inlineStr">
        <is>
          <t>PERCENTAGE</t>
        </is>
      </c>
      <c r="D631" t="inlineStr">
        <is>
          <t>IOS Meera</t>
        </is>
      </c>
      <c r="E631" s="16" t="n">
        <v>10000</v>
      </c>
      <c r="F631" s="16" t="n">
        <v>2000</v>
      </c>
      <c r="G631" s="17" t="n">
        <v>20</v>
      </c>
      <c r="H631" s="16" t="n">
        <v>8000</v>
      </c>
      <c r="I631" s="16" t="n">
        <v>0</v>
      </c>
    </row>
    <row r="632">
      <c r="A632" t="inlineStr">
        <is>
          <t>MTR-IOS-0632</t>
        </is>
      </c>
      <c r="B632" t="inlineStr">
        <is>
          <t>Assets</t>
        </is>
      </c>
      <c r="C632" t="inlineStr">
        <is>
          <t>EXACT</t>
        </is>
      </c>
      <c r="D632" t="inlineStr">
        <is>
          <t>IOS Owner</t>
        </is>
      </c>
      <c r="E632" s="16" t="n">
        <v>23455.44</v>
      </c>
      <c r="F632" s="16" t="n">
        <v>7810.66</v>
      </c>
      <c r="G632" s="17" t="n"/>
      <c r="H632" s="16" t="n">
        <v>15644.78</v>
      </c>
      <c r="I632" s="16" t="n">
        <v>0</v>
      </c>
    </row>
    <row r="633">
      <c r="A633" t="inlineStr">
        <is>
          <t>MTR-IOS-0632</t>
        </is>
      </c>
      <c r="B633" t="inlineStr">
        <is>
          <t>Assets</t>
        </is>
      </c>
      <c r="C633" t="inlineStr">
        <is>
          <t>EXACT</t>
        </is>
      </c>
      <c r="D633" t="inlineStr">
        <is>
          <t>IOS Aarav</t>
        </is>
      </c>
      <c r="E633" s="16" t="n">
        <v>0</v>
      </c>
      <c r="F633" s="16" t="n">
        <v>7810.66</v>
      </c>
      <c r="G633" s="17" t="n"/>
      <c r="H633" s="16" t="n">
        <v>-7810.66</v>
      </c>
      <c r="I633" s="16" t="n">
        <v>0</v>
      </c>
    </row>
    <row r="634">
      <c r="A634" t="inlineStr">
        <is>
          <t>MTR-IOS-0632</t>
        </is>
      </c>
      <c r="B634" t="inlineStr">
        <is>
          <t>Assets</t>
        </is>
      </c>
      <c r="C634" t="inlineStr">
        <is>
          <t>EXACT</t>
        </is>
      </c>
      <c r="D634" t="inlineStr">
        <is>
          <t>IOS Meera</t>
        </is>
      </c>
      <c r="E634" s="16" t="n">
        <v>0</v>
      </c>
      <c r="F634" s="16" t="n">
        <v>7834.12</v>
      </c>
      <c r="G634" s="17" t="n"/>
      <c r="H634" s="16" t="n">
        <v>-7834.12</v>
      </c>
      <c r="I634" s="16" t="n">
        <v>0</v>
      </c>
    </row>
    <row r="635">
      <c r="A635" t="inlineStr">
        <is>
          <t>MTR-IOS-0635</t>
        </is>
      </c>
      <c r="B635" t="inlineStr">
        <is>
          <t>Custom Purchase</t>
        </is>
      </c>
      <c r="C635" t="inlineStr">
        <is>
          <t>SHARES</t>
        </is>
      </c>
      <c r="D635" t="inlineStr">
        <is>
          <t>IOS Owner</t>
        </is>
      </c>
      <c r="E635" s="16" t="n">
        <v>0</v>
      </c>
      <c r="F635" s="16" t="n">
        <v>10853.48</v>
      </c>
      <c r="G635" s="17" t="n"/>
      <c r="H635" s="16" t="n">
        <v>-10853.48</v>
      </c>
      <c r="I635" s="16" t="n">
        <v>0</v>
      </c>
    </row>
    <row r="636">
      <c r="A636" t="inlineStr">
        <is>
          <t>MTR-IOS-0635</t>
        </is>
      </c>
      <c r="B636" t="inlineStr">
        <is>
          <t>Custom Purchase</t>
        </is>
      </c>
      <c r="C636" t="inlineStr">
        <is>
          <t>SHARES</t>
        </is>
      </c>
      <c r="D636" t="inlineStr">
        <is>
          <t>IOS Aarav</t>
        </is>
      </c>
      <c r="E636" s="16" t="n">
        <v>21706.95</v>
      </c>
      <c r="F636" s="16" t="n">
        <v>7235.65</v>
      </c>
      <c r="G636" s="17" t="n"/>
      <c r="H636" s="16" t="n">
        <v>14471.3</v>
      </c>
      <c r="I636" s="16" t="n">
        <v>0</v>
      </c>
    </row>
    <row r="637">
      <c r="A637" t="inlineStr">
        <is>
          <t>MTR-IOS-0635</t>
        </is>
      </c>
      <c r="B637" t="inlineStr">
        <is>
          <t>Custom Purchase</t>
        </is>
      </c>
      <c r="C637" t="inlineStr">
        <is>
          <t>SHARES</t>
        </is>
      </c>
      <c r="D637" t="inlineStr">
        <is>
          <t>IOS Meera</t>
        </is>
      </c>
      <c r="E637" s="16" t="n">
        <v>0</v>
      </c>
      <c r="F637" s="16" t="n">
        <v>3617.82</v>
      </c>
      <c r="G637" s="17" t="n"/>
      <c r="H637" s="16" t="n">
        <v>-3617.82</v>
      </c>
      <c r="I637" s="16" t="n">
        <v>0</v>
      </c>
    </row>
    <row r="638">
      <c r="A638" t="inlineStr">
        <is>
          <t>MTR-IOS-0638</t>
        </is>
      </c>
      <c r="B638" t="inlineStr">
        <is>
          <t>Custom Purchase</t>
        </is>
      </c>
      <c r="C638" t="inlineStr">
        <is>
          <t>EQUAL</t>
        </is>
      </c>
      <c r="D638" t="inlineStr">
        <is>
          <t>IOS Owner</t>
        </is>
      </c>
      <c r="E638" s="16" t="n">
        <v>0</v>
      </c>
      <c r="F638" s="16" t="n">
        <v>2838.95</v>
      </c>
      <c r="G638" s="17" t="n"/>
      <c r="H638" s="16" t="n">
        <v>-2838.95</v>
      </c>
      <c r="I638" s="16" t="n">
        <v>0</v>
      </c>
    </row>
    <row r="639">
      <c r="A639" t="inlineStr">
        <is>
          <t>MTR-IOS-0638</t>
        </is>
      </c>
      <c r="B639" t="inlineStr">
        <is>
          <t>Custom Purchase</t>
        </is>
      </c>
      <c r="C639" t="inlineStr">
        <is>
          <t>EQUAL</t>
        </is>
      </c>
      <c r="D639" t="inlineStr">
        <is>
          <t>IOS Aarav</t>
        </is>
      </c>
      <c r="E639" s="16" t="n">
        <v>0</v>
      </c>
      <c r="F639" s="16" t="n">
        <v>2838.95</v>
      </c>
      <c r="G639" s="17" t="n"/>
      <c r="H639" s="16" t="n">
        <v>-2838.95</v>
      </c>
      <c r="I639" s="16" t="n">
        <v>0</v>
      </c>
    </row>
    <row r="640">
      <c r="A640" t="inlineStr">
        <is>
          <t>MTR-IOS-0638</t>
        </is>
      </c>
      <c r="B640" t="inlineStr">
        <is>
          <t>Custom Purchase</t>
        </is>
      </c>
      <c r="C640" t="inlineStr">
        <is>
          <t>EQUAL</t>
        </is>
      </c>
      <c r="D640" t="inlineStr">
        <is>
          <t>IOS Meera</t>
        </is>
      </c>
      <c r="E640" s="16" t="n">
        <v>8516.85</v>
      </c>
      <c r="F640" s="16" t="n">
        <v>2838.95</v>
      </c>
      <c r="G640" s="17" t="n"/>
      <c r="H640" s="16" t="n">
        <v>5677.9</v>
      </c>
      <c r="I640" s="16" t="n">
        <v>0</v>
      </c>
    </row>
    <row r="641">
      <c r="A641" t="inlineStr">
        <is>
          <t>MTR-IOS-0641</t>
        </is>
      </c>
      <c r="B641" t="inlineStr">
        <is>
          <t>Flatmates</t>
        </is>
      </c>
      <c r="C641" t="inlineStr">
        <is>
          <t>PERCENTAGE</t>
        </is>
      </c>
      <c r="D641" t="inlineStr">
        <is>
          <t>IOS Owner</t>
        </is>
      </c>
      <c r="E641" s="16" t="n">
        <v>17267.12</v>
      </c>
      <c r="F641" s="16" t="n">
        <v>8633.559999999999</v>
      </c>
      <c r="G641" s="17" t="n">
        <v>50</v>
      </c>
      <c r="H641" s="16" t="n">
        <v>8633.559999999999</v>
      </c>
      <c r="I641" s="16" t="n">
        <v>0</v>
      </c>
    </row>
    <row r="642">
      <c r="A642" t="inlineStr">
        <is>
          <t>MTR-IOS-0641</t>
        </is>
      </c>
      <c r="B642" t="inlineStr">
        <is>
          <t>Flatmates</t>
        </is>
      </c>
      <c r="C642" t="inlineStr">
        <is>
          <t>PERCENTAGE</t>
        </is>
      </c>
      <c r="D642" t="inlineStr">
        <is>
          <t>IOS Aarav</t>
        </is>
      </c>
      <c r="E642" s="16" t="n">
        <v>0</v>
      </c>
      <c r="F642" s="16" t="n">
        <v>5180.14</v>
      </c>
      <c r="G642" s="17" t="n">
        <v>30</v>
      </c>
      <c r="H642" s="16" t="n">
        <v>-5180.14</v>
      </c>
      <c r="I642" s="16" t="n">
        <v>0</v>
      </c>
    </row>
    <row r="643">
      <c r="A643" t="inlineStr">
        <is>
          <t>MTR-IOS-0641</t>
        </is>
      </c>
      <c r="B643" t="inlineStr">
        <is>
          <t>Flatmates</t>
        </is>
      </c>
      <c r="C643" t="inlineStr">
        <is>
          <t>PERCENTAGE</t>
        </is>
      </c>
      <c r="D643" t="inlineStr">
        <is>
          <t>IOS Meera</t>
        </is>
      </c>
      <c r="E643" s="16" t="n">
        <v>0</v>
      </c>
      <c r="F643" s="16" t="n">
        <v>3453.42</v>
      </c>
      <c r="G643" s="17" t="n">
        <v>20</v>
      </c>
      <c r="H643" s="16" t="n">
        <v>-3453.42</v>
      </c>
      <c r="I643" s="16" t="n">
        <v>0</v>
      </c>
    </row>
    <row r="644">
      <c r="A644" t="inlineStr">
        <is>
          <t>MTR-IOS-0644</t>
        </is>
      </c>
      <c r="B644" t="inlineStr">
        <is>
          <t>Flatmates</t>
        </is>
      </c>
      <c r="C644" t="inlineStr">
        <is>
          <t>EXACT</t>
        </is>
      </c>
      <c r="D644" t="inlineStr">
        <is>
          <t>IOS Owner</t>
        </is>
      </c>
      <c r="E644" s="16" t="n">
        <v>0</v>
      </c>
      <c r="F644" s="16" t="n">
        <v>4671.77</v>
      </c>
      <c r="G644" s="17" t="n"/>
      <c r="H644" s="16" t="n">
        <v>-4671.77</v>
      </c>
      <c r="I644" s="16" t="n">
        <v>0</v>
      </c>
    </row>
    <row r="645">
      <c r="A645" t="inlineStr">
        <is>
          <t>MTR-IOS-0644</t>
        </is>
      </c>
      <c r="B645" t="inlineStr">
        <is>
          <t>Flatmates</t>
        </is>
      </c>
      <c r="C645" t="inlineStr">
        <is>
          <t>EXACT</t>
        </is>
      </c>
      <c r="D645" t="inlineStr">
        <is>
          <t>IOS Aarav</t>
        </is>
      </c>
      <c r="E645" s="16" t="n">
        <v>14029.33</v>
      </c>
      <c r="F645" s="16" t="n">
        <v>4671.77</v>
      </c>
      <c r="G645" s="17" t="n"/>
      <c r="H645" s="16" t="n">
        <v>9357.559999999999</v>
      </c>
      <c r="I645" s="16" t="n">
        <v>0</v>
      </c>
    </row>
    <row r="646">
      <c r="A646" t="inlineStr">
        <is>
          <t>MTR-IOS-0644</t>
        </is>
      </c>
      <c r="B646" t="inlineStr">
        <is>
          <t>Flatmates</t>
        </is>
      </c>
      <c r="C646" t="inlineStr">
        <is>
          <t>EXACT</t>
        </is>
      </c>
      <c r="D646" t="inlineStr">
        <is>
          <t>IOS Meera</t>
        </is>
      </c>
      <c r="E646" s="16" t="n">
        <v>0</v>
      </c>
      <c r="F646" s="16" t="n">
        <v>4685.79</v>
      </c>
      <c r="G646" s="17" t="n"/>
      <c r="H646" s="16" t="n">
        <v>-4685.79</v>
      </c>
      <c r="I646" s="16" t="n">
        <v>0</v>
      </c>
    </row>
    <row r="647">
      <c r="A647" t="inlineStr">
        <is>
          <t>MTR-IOS-0647</t>
        </is>
      </c>
      <c r="B647" t="inlineStr">
        <is>
          <t>Flatmates</t>
        </is>
      </c>
      <c r="C647" t="inlineStr">
        <is>
          <t>SHARES</t>
        </is>
      </c>
      <c r="D647" t="inlineStr">
        <is>
          <t>IOS Owner</t>
        </is>
      </c>
      <c r="E647" s="16" t="n">
        <v>0</v>
      </c>
      <c r="F647" s="16" t="n">
        <v>3642.25</v>
      </c>
      <c r="G647" s="17" t="n"/>
      <c r="H647" s="16" t="n">
        <v>-3642.25</v>
      </c>
      <c r="I647" s="16" t="n">
        <v>0</v>
      </c>
    </row>
    <row r="648">
      <c r="A648" t="inlineStr">
        <is>
          <t>MTR-IOS-0647</t>
        </is>
      </c>
      <c r="B648" t="inlineStr">
        <is>
          <t>Flatmates</t>
        </is>
      </c>
      <c r="C648" t="inlineStr">
        <is>
          <t>SHARES</t>
        </is>
      </c>
      <c r="D648" t="inlineStr">
        <is>
          <t>IOS Aarav</t>
        </is>
      </c>
      <c r="E648" s="16" t="n">
        <v>0</v>
      </c>
      <c r="F648" s="16" t="n">
        <v>2428.16</v>
      </c>
      <c r="G648" s="17" t="n"/>
      <c r="H648" s="16" t="n">
        <v>-2428.16</v>
      </c>
      <c r="I648" s="16" t="n">
        <v>0</v>
      </c>
    </row>
    <row r="649">
      <c r="A649" t="inlineStr">
        <is>
          <t>MTR-IOS-0647</t>
        </is>
      </c>
      <c r="B649" t="inlineStr">
        <is>
          <t>Flatmates</t>
        </is>
      </c>
      <c r="C649" t="inlineStr">
        <is>
          <t>SHARES</t>
        </is>
      </c>
      <c r="D649" t="inlineStr">
        <is>
          <t>IOS Meera</t>
        </is>
      </c>
      <c r="E649" s="16" t="n">
        <v>7284.49</v>
      </c>
      <c r="F649" s="16" t="n">
        <v>1214.08</v>
      </c>
      <c r="G649" s="17" t="n"/>
      <c r="H649" s="16" t="n">
        <v>6070.41</v>
      </c>
      <c r="I649" s="16" t="n">
        <v>0</v>
      </c>
    </row>
    <row r="650">
      <c r="A650" t="inlineStr">
        <is>
          <t>MTR-IOS-0650</t>
        </is>
      </c>
      <c r="B650" t="inlineStr">
        <is>
          <t>Flatmates</t>
        </is>
      </c>
      <c r="C650" t="inlineStr">
        <is>
          <t>EQUAL</t>
        </is>
      </c>
      <c r="D650" t="inlineStr">
        <is>
          <t>IOS Owner</t>
        </is>
      </c>
      <c r="E650" s="16" t="n">
        <v>10859.57</v>
      </c>
      <c r="F650" s="16" t="n">
        <v>3619.86</v>
      </c>
      <c r="G650" s="17" t="n"/>
      <c r="H650" s="16" t="n">
        <v>7239.71</v>
      </c>
      <c r="I650" s="16" t="n">
        <v>0</v>
      </c>
    </row>
    <row r="651">
      <c r="A651" t="inlineStr">
        <is>
          <t>MTR-IOS-0650</t>
        </is>
      </c>
      <c r="B651" t="inlineStr">
        <is>
          <t>Flatmates</t>
        </is>
      </c>
      <c r="C651" t="inlineStr">
        <is>
          <t>EQUAL</t>
        </is>
      </c>
      <c r="D651" t="inlineStr">
        <is>
          <t>IOS Aarav</t>
        </is>
      </c>
      <c r="E651" s="16" t="n">
        <v>0</v>
      </c>
      <c r="F651" s="16" t="n">
        <v>3619.86</v>
      </c>
      <c r="G651" s="17" t="n"/>
      <c r="H651" s="16" t="n">
        <v>-3619.86</v>
      </c>
      <c r="I651" s="16" t="n">
        <v>0</v>
      </c>
    </row>
    <row r="652">
      <c r="A652" t="inlineStr">
        <is>
          <t>MTR-IOS-0650</t>
        </is>
      </c>
      <c r="B652" t="inlineStr">
        <is>
          <t>Flatmates</t>
        </is>
      </c>
      <c r="C652" t="inlineStr">
        <is>
          <t>EQUAL</t>
        </is>
      </c>
      <c r="D652" t="inlineStr">
        <is>
          <t>IOS Meera</t>
        </is>
      </c>
      <c r="E652" s="16" t="n">
        <v>0</v>
      </c>
      <c r="F652" s="16" t="n">
        <v>3619.85</v>
      </c>
      <c r="G652" s="17" t="n"/>
      <c r="H652" s="16" t="n">
        <v>-3619.85</v>
      </c>
      <c r="I652" s="16" t="n">
        <v>0</v>
      </c>
    </row>
    <row r="653">
      <c r="A653" t="inlineStr">
        <is>
          <t>MTR-IOS-0653</t>
        </is>
      </c>
      <c r="B653" t="inlineStr">
        <is>
          <t>Flatmates</t>
        </is>
      </c>
      <c r="C653" t="inlineStr">
        <is>
          <t>PERCENTAGE</t>
        </is>
      </c>
      <c r="D653" t="inlineStr">
        <is>
          <t>IOS Owner</t>
        </is>
      </c>
      <c r="E653" s="16" t="n">
        <v>0</v>
      </c>
      <c r="F653" s="16" t="n">
        <v>5239.27</v>
      </c>
      <c r="G653" s="17" t="n">
        <v>50</v>
      </c>
      <c r="H653" s="16" t="n">
        <v>-5239.27</v>
      </c>
      <c r="I653" s="16" t="n">
        <v>0</v>
      </c>
    </row>
    <row r="654">
      <c r="A654" t="inlineStr">
        <is>
          <t>MTR-IOS-0653</t>
        </is>
      </c>
      <c r="B654" t="inlineStr">
        <is>
          <t>Flatmates</t>
        </is>
      </c>
      <c r="C654" t="inlineStr">
        <is>
          <t>PERCENTAGE</t>
        </is>
      </c>
      <c r="D654" t="inlineStr">
        <is>
          <t>IOS Aarav</t>
        </is>
      </c>
      <c r="E654" s="16" t="n">
        <v>10478.53</v>
      </c>
      <c r="F654" s="16" t="n">
        <v>3143.56</v>
      </c>
      <c r="G654" s="17" t="n">
        <v>30</v>
      </c>
      <c r="H654" s="16" t="n">
        <v>7334.97</v>
      </c>
      <c r="I654" s="16" t="n">
        <v>0</v>
      </c>
    </row>
    <row r="655">
      <c r="A655" t="inlineStr">
        <is>
          <t>MTR-IOS-0653</t>
        </is>
      </c>
      <c r="B655" t="inlineStr">
        <is>
          <t>Flatmates</t>
        </is>
      </c>
      <c r="C655" t="inlineStr">
        <is>
          <t>PERCENTAGE</t>
        </is>
      </c>
      <c r="D655" t="inlineStr">
        <is>
          <t>IOS Meera</t>
        </is>
      </c>
      <c r="E655" s="16" t="n">
        <v>0</v>
      </c>
      <c r="F655" s="16" t="n">
        <v>2095.7</v>
      </c>
      <c r="G655" s="17" t="n">
        <v>20</v>
      </c>
      <c r="H655" s="16" t="n">
        <v>-2095.7</v>
      </c>
      <c r="I655" s="16" t="n">
        <v>0</v>
      </c>
    </row>
    <row r="656">
      <c r="A656" t="inlineStr">
        <is>
          <t>MTR-IOS-0656</t>
        </is>
      </c>
      <c r="B656" t="inlineStr">
        <is>
          <t>Flatmates</t>
        </is>
      </c>
      <c r="C656" t="inlineStr">
        <is>
          <t>EXACT</t>
        </is>
      </c>
      <c r="D656" t="inlineStr">
        <is>
          <t>IOS Owner</t>
        </is>
      </c>
      <c r="E656" s="16" t="n">
        <v>0</v>
      </c>
      <c r="F656" s="16" t="n">
        <v>8613.530000000001</v>
      </c>
      <c r="G656" s="17" t="n"/>
      <c r="H656" s="16" t="n">
        <v>-8613.530000000001</v>
      </c>
      <c r="I656" s="16" t="n">
        <v>0</v>
      </c>
    </row>
    <row r="657">
      <c r="A657" t="inlineStr">
        <is>
          <t>MTR-IOS-0656</t>
        </is>
      </c>
      <c r="B657" t="inlineStr">
        <is>
          <t>Flatmates</t>
        </is>
      </c>
      <c r="C657" t="inlineStr">
        <is>
          <t>EXACT</t>
        </is>
      </c>
      <c r="D657" t="inlineStr">
        <is>
          <t>IOS Aarav</t>
        </is>
      </c>
      <c r="E657" s="16" t="n">
        <v>0</v>
      </c>
      <c r="F657" s="16" t="n">
        <v>8613.530000000001</v>
      </c>
      <c r="G657" s="17" t="n"/>
      <c r="H657" s="16" t="n">
        <v>-8613.530000000001</v>
      </c>
      <c r="I657" s="16" t="n">
        <v>0</v>
      </c>
    </row>
    <row r="658">
      <c r="A658" t="inlineStr">
        <is>
          <t>MTR-IOS-0656</t>
        </is>
      </c>
      <c r="B658" t="inlineStr">
        <is>
          <t>Flatmates</t>
        </is>
      </c>
      <c r="C658" t="inlineStr">
        <is>
          <t>EXACT</t>
        </is>
      </c>
      <c r="D658" t="inlineStr">
        <is>
          <t>IOS Meera</t>
        </is>
      </c>
      <c r="E658" s="16" t="n">
        <v>25866.47</v>
      </c>
      <c r="F658" s="16" t="n">
        <v>8639.41</v>
      </c>
      <c r="G658" s="17" t="n"/>
      <c r="H658" s="16" t="n">
        <v>17227.06</v>
      </c>
      <c r="I658" s="16" t="n">
        <v>0</v>
      </c>
    </row>
    <row r="659">
      <c r="A659" t="inlineStr">
        <is>
          <t>MTR-IOS-0659</t>
        </is>
      </c>
      <c r="B659" t="inlineStr">
        <is>
          <t>Shared Living</t>
        </is>
      </c>
      <c r="C659" t="inlineStr">
        <is>
          <t>SHARES</t>
        </is>
      </c>
      <c r="D659" t="inlineStr">
        <is>
          <t>IOS Owner</t>
        </is>
      </c>
      <c r="E659" s="16" t="n">
        <v>23329.24</v>
      </c>
      <c r="F659" s="16" t="n">
        <v>11664.62</v>
      </c>
      <c r="G659" s="17" t="n"/>
      <c r="H659" s="16" t="n">
        <v>11664.62</v>
      </c>
      <c r="I659" s="16" t="n">
        <v>0</v>
      </c>
    </row>
    <row r="660">
      <c r="A660" t="inlineStr">
        <is>
          <t>MTR-IOS-0659</t>
        </is>
      </c>
      <c r="B660" t="inlineStr">
        <is>
          <t>Shared Living</t>
        </is>
      </c>
      <c r="C660" t="inlineStr">
        <is>
          <t>SHARES</t>
        </is>
      </c>
      <c r="D660" t="inlineStr">
        <is>
          <t>IOS Aarav</t>
        </is>
      </c>
      <c r="E660" s="16" t="n">
        <v>0</v>
      </c>
      <c r="F660" s="16" t="n">
        <v>7776.41</v>
      </c>
      <c r="G660" s="17" t="n"/>
      <c r="H660" s="16" t="n">
        <v>-7776.41</v>
      </c>
      <c r="I660" s="16" t="n">
        <v>0</v>
      </c>
    </row>
    <row r="661">
      <c r="A661" t="inlineStr">
        <is>
          <t>MTR-IOS-0659</t>
        </is>
      </c>
      <c r="B661" t="inlineStr">
        <is>
          <t>Shared Living</t>
        </is>
      </c>
      <c r="C661" t="inlineStr">
        <is>
          <t>SHARES</t>
        </is>
      </c>
      <c r="D661" t="inlineStr">
        <is>
          <t>IOS Meera</t>
        </is>
      </c>
      <c r="E661" s="16" t="n">
        <v>0</v>
      </c>
      <c r="F661" s="16" t="n">
        <v>3888.21</v>
      </c>
      <c r="G661" s="17" t="n"/>
      <c r="H661" s="16" t="n">
        <v>-3888.21</v>
      </c>
      <c r="I661" s="16" t="n">
        <v>0</v>
      </c>
    </row>
    <row r="662">
      <c r="A662" t="inlineStr">
        <is>
          <t>MTR-IOS-0662</t>
        </is>
      </c>
      <c r="B662" t="inlineStr">
        <is>
          <t>Shared Living</t>
        </is>
      </c>
      <c r="C662" t="inlineStr">
        <is>
          <t>EQUAL</t>
        </is>
      </c>
      <c r="D662" t="inlineStr">
        <is>
          <t>IOS Owner</t>
        </is>
      </c>
      <c r="E662" s="16" t="n">
        <v>0</v>
      </c>
      <c r="F662" s="16" t="n">
        <v>4807.97</v>
      </c>
      <c r="G662" s="17" t="n"/>
      <c r="H662" s="16" t="n">
        <v>-4807.97</v>
      </c>
      <c r="I662" s="16" t="n">
        <v>0</v>
      </c>
    </row>
    <row r="663">
      <c r="A663" t="inlineStr">
        <is>
          <t>MTR-IOS-0662</t>
        </is>
      </c>
      <c r="B663" t="inlineStr">
        <is>
          <t>Shared Living</t>
        </is>
      </c>
      <c r="C663" t="inlineStr">
        <is>
          <t>EQUAL</t>
        </is>
      </c>
      <c r="D663" t="inlineStr">
        <is>
          <t>IOS Aarav</t>
        </is>
      </c>
      <c r="E663" s="16" t="n">
        <v>14423.91</v>
      </c>
      <c r="F663" s="16" t="n">
        <v>4807.97</v>
      </c>
      <c r="G663" s="17" t="n"/>
      <c r="H663" s="16" t="n">
        <v>9615.940000000001</v>
      </c>
      <c r="I663" s="16" t="n">
        <v>0</v>
      </c>
    </row>
    <row r="664">
      <c r="A664" t="inlineStr">
        <is>
          <t>MTR-IOS-0662</t>
        </is>
      </c>
      <c r="B664" t="inlineStr">
        <is>
          <t>Shared Living</t>
        </is>
      </c>
      <c r="C664" t="inlineStr">
        <is>
          <t>EQUAL</t>
        </is>
      </c>
      <c r="D664" t="inlineStr">
        <is>
          <t>IOS Meera</t>
        </is>
      </c>
      <c r="E664" s="16" t="n">
        <v>0</v>
      </c>
      <c r="F664" s="16" t="n">
        <v>4807.97</v>
      </c>
      <c r="G664" s="17" t="n"/>
      <c r="H664" s="16" t="n">
        <v>-4807.97</v>
      </c>
      <c r="I664" s="16" t="n">
        <v>0</v>
      </c>
    </row>
    <row r="665">
      <c r="A665" t="inlineStr">
        <is>
          <t>MTR-IOS-0665</t>
        </is>
      </c>
      <c r="B665" t="inlineStr">
        <is>
          <t>Shared Living</t>
        </is>
      </c>
      <c r="C665" t="inlineStr">
        <is>
          <t>PERCENTAGE</t>
        </is>
      </c>
      <c r="D665" t="inlineStr">
        <is>
          <t>IOS Owner</t>
        </is>
      </c>
      <c r="E665" s="16" t="n">
        <v>0</v>
      </c>
      <c r="F665" s="16" t="n">
        <v>12590.95</v>
      </c>
      <c r="G665" s="17" t="n">
        <v>50</v>
      </c>
      <c r="H665" s="16" t="n">
        <v>-12590.95</v>
      </c>
      <c r="I665" s="16" t="n">
        <v>0</v>
      </c>
    </row>
    <row r="666">
      <c r="A666" t="inlineStr">
        <is>
          <t>MTR-IOS-0665</t>
        </is>
      </c>
      <c r="B666" t="inlineStr">
        <is>
          <t>Shared Living</t>
        </is>
      </c>
      <c r="C666" t="inlineStr">
        <is>
          <t>PERCENTAGE</t>
        </is>
      </c>
      <c r="D666" t="inlineStr">
        <is>
          <t>IOS Aarav</t>
        </is>
      </c>
      <c r="E666" s="16" t="n">
        <v>0</v>
      </c>
      <c r="F666" s="16" t="n">
        <v>7554.57</v>
      </c>
      <c r="G666" s="17" t="n">
        <v>30</v>
      </c>
      <c r="H666" s="16" t="n">
        <v>-7554.57</v>
      </c>
      <c r="I666" s="16" t="n">
        <v>0</v>
      </c>
    </row>
    <row r="667">
      <c r="A667" t="inlineStr">
        <is>
          <t>MTR-IOS-0665</t>
        </is>
      </c>
      <c r="B667" t="inlineStr">
        <is>
          <t>Shared Living</t>
        </is>
      </c>
      <c r="C667" t="inlineStr">
        <is>
          <t>PERCENTAGE</t>
        </is>
      </c>
      <c r="D667" t="inlineStr">
        <is>
          <t>IOS Meera</t>
        </is>
      </c>
      <c r="E667" s="16" t="n">
        <v>25181.9</v>
      </c>
      <c r="F667" s="16" t="n">
        <v>5036.38</v>
      </c>
      <c r="G667" s="17" t="n">
        <v>20</v>
      </c>
      <c r="H667" s="16" t="n">
        <v>20145.52</v>
      </c>
      <c r="I667" s="16" t="n">
        <v>0</v>
      </c>
    </row>
    <row r="668">
      <c r="A668" t="inlineStr">
        <is>
          <t>MTR-IOS-0668</t>
        </is>
      </c>
      <c r="B668" t="inlineStr">
        <is>
          <t>Shared Living</t>
        </is>
      </c>
      <c r="C668" t="inlineStr">
        <is>
          <t>EXACT</t>
        </is>
      </c>
      <c r="D668" t="inlineStr">
        <is>
          <t>IOS Owner</t>
        </is>
      </c>
      <c r="E668" s="16" t="n">
        <v>23437.48</v>
      </c>
      <c r="F668" s="16" t="n">
        <v>7804.68</v>
      </c>
      <c r="G668" s="17" t="n"/>
      <c r="H668" s="16" t="n">
        <v>15632.8</v>
      </c>
      <c r="I668" s="16" t="n">
        <v>0</v>
      </c>
    </row>
    <row r="669">
      <c r="A669" t="inlineStr">
        <is>
          <t>MTR-IOS-0668</t>
        </is>
      </c>
      <c r="B669" t="inlineStr">
        <is>
          <t>Shared Living</t>
        </is>
      </c>
      <c r="C669" t="inlineStr">
        <is>
          <t>EXACT</t>
        </is>
      </c>
      <c r="D669" t="inlineStr">
        <is>
          <t>IOS Aarav</t>
        </is>
      </c>
      <c r="E669" s="16" t="n">
        <v>0</v>
      </c>
      <c r="F669" s="16" t="n">
        <v>7804.68</v>
      </c>
      <c r="G669" s="17" t="n"/>
      <c r="H669" s="16" t="n">
        <v>-7804.68</v>
      </c>
      <c r="I669" s="16" t="n">
        <v>0</v>
      </c>
    </row>
    <row r="670">
      <c r="A670" t="inlineStr">
        <is>
          <t>MTR-IOS-0668</t>
        </is>
      </c>
      <c r="B670" t="inlineStr">
        <is>
          <t>Shared Living</t>
        </is>
      </c>
      <c r="C670" t="inlineStr">
        <is>
          <t>EXACT</t>
        </is>
      </c>
      <c r="D670" t="inlineStr">
        <is>
          <t>IOS Meera</t>
        </is>
      </c>
      <c r="E670" s="16" t="n">
        <v>0</v>
      </c>
      <c r="F670" s="16" t="n">
        <v>7828.12</v>
      </c>
      <c r="G670" s="17" t="n"/>
      <c r="H670" s="16" t="n">
        <v>-7828.12</v>
      </c>
      <c r="I670" s="16" t="n">
        <v>0</v>
      </c>
    </row>
    <row r="671">
      <c r="A671" t="inlineStr">
        <is>
          <t>MTR-IOS-0671</t>
        </is>
      </c>
      <c r="B671" t="inlineStr">
        <is>
          <t>Shared Living</t>
        </is>
      </c>
      <c r="C671" t="inlineStr">
        <is>
          <t>SHARES</t>
        </is>
      </c>
      <c r="D671" t="inlineStr">
        <is>
          <t>IOS Owner</t>
        </is>
      </c>
      <c r="E671" s="16" t="n">
        <v>0</v>
      </c>
      <c r="F671" s="16" t="n">
        <v>7438.28</v>
      </c>
      <c r="G671" s="17" t="n"/>
      <c r="H671" s="16" t="n">
        <v>-7438.28</v>
      </c>
      <c r="I671" s="16" t="n">
        <v>0</v>
      </c>
    </row>
    <row r="672">
      <c r="A672" t="inlineStr">
        <is>
          <t>MTR-IOS-0671</t>
        </is>
      </c>
      <c r="B672" t="inlineStr">
        <is>
          <t>Shared Living</t>
        </is>
      </c>
      <c r="C672" t="inlineStr">
        <is>
          <t>SHARES</t>
        </is>
      </c>
      <c r="D672" t="inlineStr">
        <is>
          <t>IOS Aarav</t>
        </is>
      </c>
      <c r="E672" s="16" t="n">
        <v>14876.55</v>
      </c>
      <c r="F672" s="16" t="n">
        <v>4958.85</v>
      </c>
      <c r="G672" s="17" t="n"/>
      <c r="H672" s="16" t="n">
        <v>9917.700000000001</v>
      </c>
      <c r="I672" s="16" t="n">
        <v>0</v>
      </c>
    </row>
    <row r="673">
      <c r="A673" t="inlineStr">
        <is>
          <t>MTR-IOS-0671</t>
        </is>
      </c>
      <c r="B673" t="inlineStr">
        <is>
          <t>Shared Living</t>
        </is>
      </c>
      <c r="C673" t="inlineStr">
        <is>
          <t>SHARES</t>
        </is>
      </c>
      <c r="D673" t="inlineStr">
        <is>
          <t>IOS Meera</t>
        </is>
      </c>
      <c r="E673" s="16" t="n">
        <v>0</v>
      </c>
      <c r="F673" s="16" t="n">
        <v>2479.42</v>
      </c>
      <c r="G673" s="17" t="n"/>
      <c r="H673" s="16" t="n">
        <v>-2479.42</v>
      </c>
      <c r="I673" s="16" t="n">
        <v>0</v>
      </c>
    </row>
    <row r="674">
      <c r="A674" t="inlineStr">
        <is>
          <t>MTR-IOS-0674</t>
        </is>
      </c>
      <c r="B674" t="inlineStr">
        <is>
          <t>Family Household</t>
        </is>
      </c>
      <c r="C674" t="inlineStr">
        <is>
          <t>EQUAL</t>
        </is>
      </c>
      <c r="D674" t="inlineStr">
        <is>
          <t>IOS Owner</t>
        </is>
      </c>
      <c r="E674" s="16" t="n">
        <v>0</v>
      </c>
      <c r="F674" s="16" t="n">
        <v>2916.93</v>
      </c>
      <c r="G674" s="17" t="n"/>
      <c r="H674" s="16" t="n">
        <v>-2916.93</v>
      </c>
      <c r="I674" s="16" t="n">
        <v>0</v>
      </c>
    </row>
    <row r="675">
      <c r="A675" t="inlineStr">
        <is>
          <t>MTR-IOS-0674</t>
        </is>
      </c>
      <c r="B675" t="inlineStr">
        <is>
          <t>Family Household</t>
        </is>
      </c>
      <c r="C675" t="inlineStr">
        <is>
          <t>EQUAL</t>
        </is>
      </c>
      <c r="D675" t="inlineStr">
        <is>
          <t>IOS Aarav</t>
        </is>
      </c>
      <c r="E675" s="16" t="n">
        <v>0</v>
      </c>
      <c r="F675" s="16" t="n">
        <v>2916.93</v>
      </c>
      <c r="G675" s="17" t="n"/>
      <c r="H675" s="16" t="n">
        <v>-2916.93</v>
      </c>
      <c r="I675" s="16" t="n">
        <v>0</v>
      </c>
    </row>
    <row r="676">
      <c r="A676" t="inlineStr">
        <is>
          <t>MTR-IOS-0674</t>
        </is>
      </c>
      <c r="B676" t="inlineStr">
        <is>
          <t>Family Household</t>
        </is>
      </c>
      <c r="C676" t="inlineStr">
        <is>
          <t>EQUAL</t>
        </is>
      </c>
      <c r="D676" t="inlineStr">
        <is>
          <t>IOS Meera</t>
        </is>
      </c>
      <c r="E676" s="16" t="n">
        <v>8750.790000000001</v>
      </c>
      <c r="F676" s="16" t="n">
        <v>2916.93</v>
      </c>
      <c r="G676" s="17" t="n"/>
      <c r="H676" s="16" t="n">
        <v>5833.86</v>
      </c>
      <c r="I676" s="16" t="n">
        <v>0</v>
      </c>
    </row>
    <row r="677">
      <c r="A677" t="inlineStr">
        <is>
          <t>MTR-IOS-0677</t>
        </is>
      </c>
      <c r="B677" t="inlineStr">
        <is>
          <t>Family Household</t>
        </is>
      </c>
      <c r="C677" t="inlineStr">
        <is>
          <t>PERCENTAGE</t>
        </is>
      </c>
      <c r="D677" t="inlineStr">
        <is>
          <t>IOS Owner</t>
        </is>
      </c>
      <c r="E677" s="16" t="n">
        <v>18927.92</v>
      </c>
      <c r="F677" s="16" t="n">
        <v>9463.959999999999</v>
      </c>
      <c r="G677" s="17" t="n">
        <v>50</v>
      </c>
      <c r="H677" s="16" t="n">
        <v>9463.959999999999</v>
      </c>
      <c r="I677" s="16" t="n">
        <v>0</v>
      </c>
    </row>
    <row r="678">
      <c r="A678" t="inlineStr">
        <is>
          <t>MTR-IOS-0677</t>
        </is>
      </c>
      <c r="B678" t="inlineStr">
        <is>
          <t>Family Household</t>
        </is>
      </c>
      <c r="C678" t="inlineStr">
        <is>
          <t>PERCENTAGE</t>
        </is>
      </c>
      <c r="D678" t="inlineStr">
        <is>
          <t>IOS Aarav</t>
        </is>
      </c>
      <c r="E678" s="16" t="n">
        <v>0</v>
      </c>
      <c r="F678" s="16" t="n">
        <v>5678.38</v>
      </c>
      <c r="G678" s="17" t="n">
        <v>30</v>
      </c>
      <c r="H678" s="16" t="n">
        <v>-5678.38</v>
      </c>
      <c r="I678" s="16" t="n">
        <v>0</v>
      </c>
    </row>
    <row r="679">
      <c r="A679" t="inlineStr">
        <is>
          <t>MTR-IOS-0677</t>
        </is>
      </c>
      <c r="B679" t="inlineStr">
        <is>
          <t>Family Household</t>
        </is>
      </c>
      <c r="C679" t="inlineStr">
        <is>
          <t>PERCENTAGE</t>
        </is>
      </c>
      <c r="D679" t="inlineStr">
        <is>
          <t>IOS Meera</t>
        </is>
      </c>
      <c r="E679" s="16" t="n">
        <v>0</v>
      </c>
      <c r="F679" s="16" t="n">
        <v>3785.58</v>
      </c>
      <c r="G679" s="17" t="n">
        <v>20</v>
      </c>
      <c r="H679" s="16" t="n">
        <v>-3785.58</v>
      </c>
      <c r="I679" s="16" t="n">
        <v>0</v>
      </c>
    </row>
    <row r="680">
      <c r="A680" t="inlineStr">
        <is>
          <t>MTR-IOS-0680</t>
        </is>
      </c>
      <c r="B680" t="inlineStr">
        <is>
          <t>Family Household</t>
        </is>
      </c>
      <c r="C680" t="inlineStr">
        <is>
          <t>EXACT</t>
        </is>
      </c>
      <c r="D680" t="inlineStr">
        <is>
          <t>IOS Owner</t>
        </is>
      </c>
      <c r="E680" s="16" t="n">
        <v>0</v>
      </c>
      <c r="F680" s="16" t="n">
        <v>8198.57</v>
      </c>
      <c r="G680" s="17" t="n"/>
      <c r="H680" s="16" t="n">
        <v>-8198.57</v>
      </c>
      <c r="I680" s="16" t="n">
        <v>0</v>
      </c>
    </row>
    <row r="681">
      <c r="A681" t="inlineStr">
        <is>
          <t>MTR-IOS-0680</t>
        </is>
      </c>
      <c r="B681" t="inlineStr">
        <is>
          <t>Family Household</t>
        </is>
      </c>
      <c r="C681" t="inlineStr">
        <is>
          <t>EXACT</t>
        </is>
      </c>
      <c r="D681" t="inlineStr">
        <is>
          <t>IOS Aarav</t>
        </is>
      </c>
      <c r="E681" s="16" t="n">
        <v>24620.33</v>
      </c>
      <c r="F681" s="16" t="n">
        <v>8198.57</v>
      </c>
      <c r="G681" s="17" t="n"/>
      <c r="H681" s="16" t="n">
        <v>16421.76</v>
      </c>
      <c r="I681" s="16" t="n">
        <v>0</v>
      </c>
    </row>
    <row r="682">
      <c r="A682" t="inlineStr">
        <is>
          <t>MTR-IOS-0680</t>
        </is>
      </c>
      <c r="B682" t="inlineStr">
        <is>
          <t>Family Household</t>
        </is>
      </c>
      <c r="C682" t="inlineStr">
        <is>
          <t>EXACT</t>
        </is>
      </c>
      <c r="D682" t="inlineStr">
        <is>
          <t>IOS Meera</t>
        </is>
      </c>
      <c r="E682" s="16" t="n">
        <v>0</v>
      </c>
      <c r="F682" s="16" t="n">
        <v>8223.190000000001</v>
      </c>
      <c r="G682" s="17" t="n"/>
      <c r="H682" s="16" t="n">
        <v>-8223.190000000001</v>
      </c>
      <c r="I682" s="16" t="n">
        <v>0</v>
      </c>
    </row>
    <row r="683">
      <c r="A683" t="inlineStr">
        <is>
          <t>MTR-IOS-0683</t>
        </is>
      </c>
      <c r="B683" t="inlineStr">
        <is>
          <t>Family Household</t>
        </is>
      </c>
      <c r="C683" t="inlineStr">
        <is>
          <t>SHARES</t>
        </is>
      </c>
      <c r="D683" t="inlineStr">
        <is>
          <t>IOS Owner</t>
        </is>
      </c>
      <c r="E683" s="16" t="n">
        <v>0</v>
      </c>
      <c r="F683" s="16" t="n">
        <v>7280.21</v>
      </c>
      <c r="G683" s="17" t="n"/>
      <c r="H683" s="16" t="n">
        <v>-7280.21</v>
      </c>
      <c r="I683" s="16" t="n">
        <v>0</v>
      </c>
    </row>
    <row r="684">
      <c r="A684" t="inlineStr">
        <is>
          <t>MTR-IOS-0683</t>
        </is>
      </c>
      <c r="B684" t="inlineStr">
        <is>
          <t>Family Household</t>
        </is>
      </c>
      <c r="C684" t="inlineStr">
        <is>
          <t>SHARES</t>
        </is>
      </c>
      <c r="D684" t="inlineStr">
        <is>
          <t>IOS Aarav</t>
        </is>
      </c>
      <c r="E684" s="16" t="n">
        <v>0</v>
      </c>
      <c r="F684" s="16" t="n">
        <v>4853.47</v>
      </c>
      <c r="G684" s="17" t="n"/>
      <c r="H684" s="16" t="n">
        <v>-4853.47</v>
      </c>
      <c r="I684" s="16" t="n">
        <v>0</v>
      </c>
    </row>
    <row r="685">
      <c r="A685" t="inlineStr">
        <is>
          <t>MTR-IOS-0683</t>
        </is>
      </c>
      <c r="B685" t="inlineStr">
        <is>
          <t>Family Household</t>
        </is>
      </c>
      <c r="C685" t="inlineStr">
        <is>
          <t>SHARES</t>
        </is>
      </c>
      <c r="D685" t="inlineStr">
        <is>
          <t>IOS Meera</t>
        </is>
      </c>
      <c r="E685" s="16" t="n">
        <v>14560.41</v>
      </c>
      <c r="F685" s="16" t="n">
        <v>2426.73</v>
      </c>
      <c r="G685" s="17" t="n"/>
      <c r="H685" s="16" t="n">
        <v>12133.68</v>
      </c>
      <c r="I685" s="16" t="n">
        <v>0</v>
      </c>
    </row>
    <row r="686">
      <c r="A686" t="inlineStr">
        <is>
          <t>MTR-IOS-0686</t>
        </is>
      </c>
      <c r="B686" t="inlineStr">
        <is>
          <t>Family Household</t>
        </is>
      </c>
      <c r="C686" t="inlineStr">
        <is>
          <t>EQUAL</t>
        </is>
      </c>
      <c r="D686" t="inlineStr">
        <is>
          <t>IOS Owner</t>
        </is>
      </c>
      <c r="E686" s="16" t="n">
        <v>16747.63</v>
      </c>
      <c r="F686" s="16" t="n">
        <v>5582.54</v>
      </c>
      <c r="G686" s="17" t="n"/>
      <c r="H686" s="16" t="n">
        <v>11165.09</v>
      </c>
      <c r="I686" s="16" t="n">
        <v>0</v>
      </c>
    </row>
    <row r="687">
      <c r="A687" t="inlineStr">
        <is>
          <t>MTR-IOS-0686</t>
        </is>
      </c>
      <c r="B687" t="inlineStr">
        <is>
          <t>Family Household</t>
        </is>
      </c>
      <c r="C687" t="inlineStr">
        <is>
          <t>EQUAL</t>
        </is>
      </c>
      <c r="D687" t="inlineStr">
        <is>
          <t>IOS Aarav</t>
        </is>
      </c>
      <c r="E687" s="16" t="n">
        <v>0</v>
      </c>
      <c r="F687" s="16" t="n">
        <v>5582.54</v>
      </c>
      <c r="G687" s="17" t="n"/>
      <c r="H687" s="16" t="n">
        <v>-5582.54</v>
      </c>
      <c r="I687" s="16" t="n">
        <v>0</v>
      </c>
    </row>
    <row r="688">
      <c r="A688" t="inlineStr">
        <is>
          <t>MTR-IOS-0686</t>
        </is>
      </c>
      <c r="B688" t="inlineStr">
        <is>
          <t>Family Household</t>
        </is>
      </c>
      <c r="C688" t="inlineStr">
        <is>
          <t>EQUAL</t>
        </is>
      </c>
      <c r="D688" t="inlineStr">
        <is>
          <t>IOS Meera</t>
        </is>
      </c>
      <c r="E688" s="16" t="n">
        <v>0</v>
      </c>
      <c r="F688" s="16" t="n">
        <v>5582.55</v>
      </c>
      <c r="G688" s="17" t="n"/>
      <c r="H688" s="16" t="n">
        <v>-5582.55</v>
      </c>
      <c r="I688" s="16" t="n">
        <v>0</v>
      </c>
    </row>
    <row r="689">
      <c r="A689" t="inlineStr">
        <is>
          <t>MTR-IOS-0689</t>
        </is>
      </c>
      <c r="B689" t="inlineStr">
        <is>
          <t>Family Household</t>
        </is>
      </c>
      <c r="C689" t="inlineStr">
        <is>
          <t>PERCENTAGE</t>
        </is>
      </c>
      <c r="D689" t="inlineStr">
        <is>
          <t>IOS Owner</t>
        </is>
      </c>
      <c r="E689" s="16" t="n">
        <v>0</v>
      </c>
      <c r="F689" s="16" t="n">
        <v>2154.61</v>
      </c>
      <c r="G689" s="17" t="n">
        <v>50</v>
      </c>
      <c r="H689" s="16" t="n">
        <v>-2154.61</v>
      </c>
      <c r="I689" s="16" t="n">
        <v>0</v>
      </c>
    </row>
    <row r="690">
      <c r="A690" t="inlineStr">
        <is>
          <t>MTR-IOS-0689</t>
        </is>
      </c>
      <c r="B690" t="inlineStr">
        <is>
          <t>Family Household</t>
        </is>
      </c>
      <c r="C690" t="inlineStr">
        <is>
          <t>PERCENTAGE</t>
        </is>
      </c>
      <c r="D690" t="inlineStr">
        <is>
          <t>IOS Aarav</t>
        </is>
      </c>
      <c r="E690" s="16" t="n">
        <v>4309.21</v>
      </c>
      <c r="F690" s="16" t="n">
        <v>1292.76</v>
      </c>
      <c r="G690" s="17" t="n">
        <v>30</v>
      </c>
      <c r="H690" s="16" t="n">
        <v>3016.45</v>
      </c>
      <c r="I690" s="16" t="n">
        <v>0</v>
      </c>
    </row>
    <row r="691">
      <c r="A691" t="inlineStr">
        <is>
          <t>MTR-IOS-0689</t>
        </is>
      </c>
      <c r="B691" t="inlineStr">
        <is>
          <t>Family Household</t>
        </is>
      </c>
      <c r="C691" t="inlineStr">
        <is>
          <t>PERCENTAGE</t>
        </is>
      </c>
      <c r="D691" t="inlineStr">
        <is>
          <t>IOS Meera</t>
        </is>
      </c>
      <c r="E691" s="16" t="n">
        <v>0</v>
      </c>
      <c r="F691" s="16" t="n">
        <v>861.84</v>
      </c>
      <c r="G691" s="17" t="n">
        <v>20</v>
      </c>
      <c r="H691" s="16" t="n">
        <v>-861.84</v>
      </c>
      <c r="I691" s="16" t="n">
        <v>0</v>
      </c>
    </row>
    <row r="692">
      <c r="A692" t="inlineStr">
        <is>
          <t>MTR-IOS-0692</t>
        </is>
      </c>
      <c r="B692" t="inlineStr">
        <is>
          <t>Custom Living</t>
        </is>
      </c>
      <c r="C692" t="inlineStr">
        <is>
          <t>EXACT</t>
        </is>
      </c>
      <c r="D692" t="inlineStr">
        <is>
          <t>IOS Owner</t>
        </is>
      </c>
      <c r="E692" s="16" t="n">
        <v>0</v>
      </c>
      <c r="F692" s="16" t="n">
        <v>1264.61</v>
      </c>
      <c r="G692" s="17" t="n"/>
      <c r="H692" s="16" t="n">
        <v>-1264.61</v>
      </c>
      <c r="I692" s="16" t="n">
        <v>0</v>
      </c>
    </row>
    <row r="693">
      <c r="A693" t="inlineStr">
        <is>
          <t>MTR-IOS-0692</t>
        </is>
      </c>
      <c r="B693" t="inlineStr">
        <is>
          <t>Custom Living</t>
        </is>
      </c>
      <c r="C693" t="inlineStr">
        <is>
          <t>EXACT</t>
        </is>
      </c>
      <c r="D693" t="inlineStr">
        <is>
          <t>IOS Aarav</t>
        </is>
      </c>
      <c r="E693" s="16" t="n">
        <v>0</v>
      </c>
      <c r="F693" s="16" t="n">
        <v>1264.61</v>
      </c>
      <c r="G693" s="17" t="n"/>
      <c r="H693" s="16" t="n">
        <v>-1264.61</v>
      </c>
      <c r="I693" s="16" t="n">
        <v>0</v>
      </c>
    </row>
    <row r="694">
      <c r="A694" t="inlineStr">
        <is>
          <t>MTR-IOS-0692</t>
        </is>
      </c>
      <c r="B694" t="inlineStr">
        <is>
          <t>Custom Living</t>
        </is>
      </c>
      <c r="C694" t="inlineStr">
        <is>
          <t>EXACT</t>
        </is>
      </c>
      <c r="D694" t="inlineStr">
        <is>
          <t>IOS Meera</t>
        </is>
      </c>
      <c r="E694" s="16" t="n">
        <v>3797.62</v>
      </c>
      <c r="F694" s="16" t="n">
        <v>1268.4</v>
      </c>
      <c r="G694" s="17" t="n"/>
      <c r="H694" s="16" t="n">
        <v>2529.22</v>
      </c>
      <c r="I694" s="16" t="n">
        <v>0</v>
      </c>
    </row>
    <row r="695">
      <c r="A695" t="inlineStr">
        <is>
          <t>MTR-IOS-0695</t>
        </is>
      </c>
      <c r="B695" t="inlineStr">
        <is>
          <t>Custom Living</t>
        </is>
      </c>
      <c r="C695" t="inlineStr">
        <is>
          <t>SHARES</t>
        </is>
      </c>
      <c r="D695" t="inlineStr">
        <is>
          <t>IOS Owner</t>
        </is>
      </c>
      <c r="E695" s="16" t="n">
        <v>15542.73</v>
      </c>
      <c r="F695" s="16" t="n">
        <v>7771.37</v>
      </c>
      <c r="G695" s="17" t="n"/>
      <c r="H695" s="16" t="n">
        <v>7771.36</v>
      </c>
      <c r="I695" s="16" t="n">
        <v>0</v>
      </c>
    </row>
    <row r="696">
      <c r="A696" t="inlineStr">
        <is>
          <t>MTR-IOS-0695</t>
        </is>
      </c>
      <c r="B696" t="inlineStr">
        <is>
          <t>Custom Living</t>
        </is>
      </c>
      <c r="C696" t="inlineStr">
        <is>
          <t>SHARES</t>
        </is>
      </c>
      <c r="D696" t="inlineStr">
        <is>
          <t>IOS Aarav</t>
        </is>
      </c>
      <c r="E696" s="16" t="n">
        <v>0</v>
      </c>
      <c r="F696" s="16" t="n">
        <v>5180.91</v>
      </c>
      <c r="G696" s="17" t="n"/>
      <c r="H696" s="16" t="n">
        <v>-5180.91</v>
      </c>
      <c r="I696" s="16" t="n">
        <v>0</v>
      </c>
    </row>
    <row r="697">
      <c r="A697" t="inlineStr">
        <is>
          <t>MTR-IOS-0695</t>
        </is>
      </c>
      <c r="B697" t="inlineStr">
        <is>
          <t>Custom Living</t>
        </is>
      </c>
      <c r="C697" t="inlineStr">
        <is>
          <t>SHARES</t>
        </is>
      </c>
      <c r="D697" t="inlineStr">
        <is>
          <t>IOS Meera</t>
        </is>
      </c>
      <c r="E697" s="16" t="n">
        <v>0</v>
      </c>
      <c r="F697" s="16" t="n">
        <v>2590.45</v>
      </c>
      <c r="G697" s="17" t="n"/>
      <c r="H697" s="16" t="n">
        <v>-2590.45</v>
      </c>
      <c r="I697" s="16" t="n">
        <v>0</v>
      </c>
    </row>
    <row r="698">
      <c r="A698" t="inlineStr">
        <is>
          <t>MTR-IOS-0698</t>
        </is>
      </c>
      <c r="B698" t="inlineStr">
        <is>
          <t>Trip</t>
        </is>
      </c>
      <c r="C698" t="inlineStr">
        <is>
          <t>EQUAL</t>
        </is>
      </c>
      <c r="D698" t="inlineStr">
        <is>
          <t>IOS Owner</t>
        </is>
      </c>
      <c r="E698" s="16" t="n">
        <v>0</v>
      </c>
      <c r="F698" s="16" t="n">
        <v>4856.21</v>
      </c>
      <c r="G698" s="17" t="n"/>
      <c r="H698" s="16" t="n">
        <v>-4856.21</v>
      </c>
      <c r="I698" s="16" t="n">
        <v>0</v>
      </c>
    </row>
    <row r="699">
      <c r="A699" t="inlineStr">
        <is>
          <t>MTR-IOS-0698</t>
        </is>
      </c>
      <c r="B699" t="inlineStr">
        <is>
          <t>Trip</t>
        </is>
      </c>
      <c r="C699" t="inlineStr">
        <is>
          <t>EQUAL</t>
        </is>
      </c>
      <c r="D699" t="inlineStr">
        <is>
          <t>IOS Aarav</t>
        </is>
      </c>
      <c r="E699" s="16" t="n">
        <v>14568.64</v>
      </c>
      <c r="F699" s="16" t="n">
        <v>4856.21</v>
      </c>
      <c r="G699" s="17" t="n"/>
      <c r="H699" s="16" t="n">
        <v>9712.43</v>
      </c>
      <c r="I699" s="16" t="n">
        <v>0</v>
      </c>
    </row>
    <row r="700">
      <c r="A700" t="inlineStr">
        <is>
          <t>MTR-IOS-0698</t>
        </is>
      </c>
      <c r="B700" t="inlineStr">
        <is>
          <t>Trip</t>
        </is>
      </c>
      <c r="C700" t="inlineStr">
        <is>
          <t>EQUAL</t>
        </is>
      </c>
      <c r="D700" t="inlineStr">
        <is>
          <t>IOS Meera</t>
        </is>
      </c>
      <c r="E700" s="16" t="n">
        <v>0</v>
      </c>
      <c r="F700" s="16" t="n">
        <v>4856.22</v>
      </c>
      <c r="G700" s="17" t="n"/>
      <c r="H700" s="16" t="n">
        <v>-4856.22</v>
      </c>
      <c r="I700" s="16" t="n">
        <v>0</v>
      </c>
    </row>
    <row r="701">
      <c r="A701" t="inlineStr">
        <is>
          <t>MTR-IOS-0701</t>
        </is>
      </c>
      <c r="B701" t="inlineStr">
        <is>
          <t>Trip</t>
        </is>
      </c>
      <c r="C701" t="inlineStr">
        <is>
          <t>PERCENTAGE</t>
        </is>
      </c>
      <c r="D701" t="inlineStr">
        <is>
          <t>IOS Owner</t>
        </is>
      </c>
      <c r="E701" s="16" t="n">
        <v>0</v>
      </c>
      <c r="F701" s="16" t="n">
        <v>9887.73</v>
      </c>
      <c r="G701" s="17" t="n">
        <v>50</v>
      </c>
      <c r="H701" s="16" t="n">
        <v>-9887.73</v>
      </c>
      <c r="I701" s="16" t="n">
        <v>0</v>
      </c>
    </row>
    <row r="702">
      <c r="A702" t="inlineStr">
        <is>
          <t>MTR-IOS-0701</t>
        </is>
      </c>
      <c r="B702" t="inlineStr">
        <is>
          <t>Trip</t>
        </is>
      </c>
      <c r="C702" t="inlineStr">
        <is>
          <t>PERCENTAGE</t>
        </is>
      </c>
      <c r="D702" t="inlineStr">
        <is>
          <t>IOS Aarav</t>
        </is>
      </c>
      <c r="E702" s="16" t="n">
        <v>0</v>
      </c>
      <c r="F702" s="16" t="n">
        <v>5932.64</v>
      </c>
      <c r="G702" s="17" t="n">
        <v>30</v>
      </c>
      <c r="H702" s="16" t="n">
        <v>-5932.64</v>
      </c>
      <c r="I702" s="16" t="n">
        <v>0</v>
      </c>
    </row>
    <row r="703">
      <c r="A703" t="inlineStr">
        <is>
          <t>MTR-IOS-0701</t>
        </is>
      </c>
      <c r="B703" t="inlineStr">
        <is>
          <t>Trip</t>
        </is>
      </c>
      <c r="C703" t="inlineStr">
        <is>
          <t>PERCENTAGE</t>
        </is>
      </c>
      <c r="D703" t="inlineStr">
        <is>
          <t>IOS Meera</t>
        </is>
      </c>
      <c r="E703" s="16" t="n">
        <v>19775.46</v>
      </c>
      <c r="F703" s="16" t="n">
        <v>3955.09</v>
      </c>
      <c r="G703" s="17" t="n">
        <v>20</v>
      </c>
      <c r="H703" s="16" t="n">
        <v>15820.37</v>
      </c>
      <c r="I703" s="16" t="n">
        <v>0</v>
      </c>
    </row>
    <row r="704">
      <c r="A704" t="inlineStr">
        <is>
          <t>MTR-IOS-0704</t>
        </is>
      </c>
      <c r="B704" t="inlineStr">
        <is>
          <t>Trip</t>
        </is>
      </c>
      <c r="C704" t="inlineStr">
        <is>
          <t>EXACT</t>
        </is>
      </c>
      <c r="D704" t="inlineStr">
        <is>
          <t>IOS Owner</t>
        </is>
      </c>
      <c r="E704" s="16" t="n">
        <v>19361.31</v>
      </c>
      <c r="F704" s="16" t="n">
        <v>6447.32</v>
      </c>
      <c r="G704" s="17" t="n"/>
      <c r="H704" s="16" t="n">
        <v>12913.99</v>
      </c>
      <c r="I704" s="16" t="n">
        <v>0</v>
      </c>
    </row>
    <row r="705">
      <c r="A705" t="inlineStr">
        <is>
          <t>MTR-IOS-0704</t>
        </is>
      </c>
      <c r="B705" t="inlineStr">
        <is>
          <t>Trip</t>
        </is>
      </c>
      <c r="C705" t="inlineStr">
        <is>
          <t>EXACT</t>
        </is>
      </c>
      <c r="D705" t="inlineStr">
        <is>
          <t>IOS Aarav</t>
        </is>
      </c>
      <c r="E705" s="16" t="n">
        <v>0</v>
      </c>
      <c r="F705" s="16" t="n">
        <v>6447.32</v>
      </c>
      <c r="G705" s="17" t="n"/>
      <c r="H705" s="16" t="n">
        <v>-6447.32</v>
      </c>
      <c r="I705" s="16" t="n">
        <v>0</v>
      </c>
    </row>
    <row r="706">
      <c r="A706" t="inlineStr">
        <is>
          <t>MTR-IOS-0704</t>
        </is>
      </c>
      <c r="B706" t="inlineStr">
        <is>
          <t>Trip</t>
        </is>
      </c>
      <c r="C706" t="inlineStr">
        <is>
          <t>EXACT</t>
        </is>
      </c>
      <c r="D706" t="inlineStr">
        <is>
          <t>IOS Meera</t>
        </is>
      </c>
      <c r="E706" s="16" t="n">
        <v>0</v>
      </c>
      <c r="F706" s="16" t="n">
        <v>6466.67</v>
      </c>
      <c r="G706" s="17" t="n"/>
      <c r="H706" s="16" t="n">
        <v>-6466.67</v>
      </c>
      <c r="I706" s="16" t="n">
        <v>0</v>
      </c>
    </row>
    <row r="707">
      <c r="A707" t="inlineStr">
        <is>
          <t>MTR-IOS-0707</t>
        </is>
      </c>
      <c r="B707" t="inlineStr">
        <is>
          <t>Trip</t>
        </is>
      </c>
      <c r="C707" t="inlineStr">
        <is>
          <t>SHARES</t>
        </is>
      </c>
      <c r="D707" t="inlineStr">
        <is>
          <t>IOS Owner</t>
        </is>
      </c>
      <c r="E707" s="16" t="n">
        <v>0</v>
      </c>
      <c r="F707" s="16" t="n">
        <v>2148.57</v>
      </c>
      <c r="G707" s="17" t="n"/>
      <c r="H707" s="16" t="n">
        <v>-2148.57</v>
      </c>
      <c r="I707" s="16" t="n">
        <v>0</v>
      </c>
    </row>
    <row r="708">
      <c r="A708" t="inlineStr">
        <is>
          <t>MTR-IOS-0707</t>
        </is>
      </c>
      <c r="B708" t="inlineStr">
        <is>
          <t>Trip</t>
        </is>
      </c>
      <c r="C708" t="inlineStr">
        <is>
          <t>SHARES</t>
        </is>
      </c>
      <c r="D708" t="inlineStr">
        <is>
          <t>IOS Aarav</t>
        </is>
      </c>
      <c r="E708" s="16" t="n">
        <v>4297.14</v>
      </c>
      <c r="F708" s="16" t="n">
        <v>1432.38</v>
      </c>
      <c r="G708" s="17" t="n"/>
      <c r="H708" s="16" t="n">
        <v>2864.76</v>
      </c>
      <c r="I708" s="16" t="n">
        <v>0</v>
      </c>
    </row>
    <row r="709">
      <c r="A709" t="inlineStr">
        <is>
          <t>MTR-IOS-0707</t>
        </is>
      </c>
      <c r="B709" t="inlineStr">
        <is>
          <t>Trip</t>
        </is>
      </c>
      <c r="C709" t="inlineStr">
        <is>
          <t>SHARES</t>
        </is>
      </c>
      <c r="D709" t="inlineStr">
        <is>
          <t>IOS Meera</t>
        </is>
      </c>
      <c r="E709" s="16" t="n">
        <v>0</v>
      </c>
      <c r="F709" s="16" t="n">
        <v>716.1900000000001</v>
      </c>
      <c r="G709" s="17" t="n"/>
      <c r="H709" s="16" t="n">
        <v>-716.1900000000001</v>
      </c>
      <c r="I709" s="16" t="n">
        <v>0</v>
      </c>
    </row>
    <row r="710">
      <c r="A710" t="inlineStr">
        <is>
          <t>MTR-IOS-0710</t>
        </is>
      </c>
      <c r="B710" t="inlineStr">
        <is>
          <t>Trip</t>
        </is>
      </c>
      <c r="C710" t="inlineStr">
        <is>
          <t>EQUAL</t>
        </is>
      </c>
      <c r="D710" t="inlineStr">
        <is>
          <t>IOS Owner</t>
        </is>
      </c>
      <c r="E710" s="16" t="n">
        <v>0</v>
      </c>
      <c r="F710" s="16" t="n">
        <v>6736.62</v>
      </c>
      <c r="G710" s="17" t="n"/>
      <c r="H710" s="16" t="n">
        <v>-6736.62</v>
      </c>
      <c r="I710" s="16" t="n">
        <v>0</v>
      </c>
    </row>
    <row r="711">
      <c r="A711" t="inlineStr">
        <is>
          <t>MTR-IOS-0710</t>
        </is>
      </c>
      <c r="B711" t="inlineStr">
        <is>
          <t>Trip</t>
        </is>
      </c>
      <c r="C711" t="inlineStr">
        <is>
          <t>EQUAL</t>
        </is>
      </c>
      <c r="D711" t="inlineStr">
        <is>
          <t>IOS Aarav</t>
        </is>
      </c>
      <c r="E711" s="16" t="n">
        <v>0</v>
      </c>
      <c r="F711" s="16" t="n">
        <v>6736.62</v>
      </c>
      <c r="G711" s="17" t="n"/>
      <c r="H711" s="16" t="n">
        <v>-6736.62</v>
      </c>
      <c r="I711" s="16" t="n">
        <v>0</v>
      </c>
    </row>
    <row r="712">
      <c r="A712" t="inlineStr">
        <is>
          <t>MTR-IOS-0710</t>
        </is>
      </c>
      <c r="B712" t="inlineStr">
        <is>
          <t>Trip</t>
        </is>
      </c>
      <c r="C712" t="inlineStr">
        <is>
          <t>EQUAL</t>
        </is>
      </c>
      <c r="D712" t="inlineStr">
        <is>
          <t>IOS Meera</t>
        </is>
      </c>
      <c r="E712" s="16" t="n">
        <v>20209.87</v>
      </c>
      <c r="F712" s="16" t="n">
        <v>6736.63</v>
      </c>
      <c r="G712" s="17" t="n"/>
      <c r="H712" s="16" t="n">
        <v>13473.24</v>
      </c>
      <c r="I712" s="16" t="n">
        <v>0</v>
      </c>
    </row>
    <row r="713">
      <c r="A713" t="inlineStr">
        <is>
          <t>MTR-IOS-0713</t>
        </is>
      </c>
      <c r="B713" t="inlineStr">
        <is>
          <t>Trip</t>
        </is>
      </c>
      <c r="C713" t="inlineStr">
        <is>
          <t>PERCENTAGE</t>
        </is>
      </c>
      <c r="D713" t="inlineStr">
        <is>
          <t>IOS Owner</t>
        </is>
      </c>
      <c r="E713" s="16" t="n">
        <v>19645.05</v>
      </c>
      <c r="F713" s="16" t="n">
        <v>9822.530000000001</v>
      </c>
      <c r="G713" s="17" t="n">
        <v>50</v>
      </c>
      <c r="H713" s="16" t="n">
        <v>9822.52</v>
      </c>
      <c r="I713" s="16" t="n">
        <v>0</v>
      </c>
    </row>
    <row r="714">
      <c r="A714" t="inlineStr">
        <is>
          <t>MTR-IOS-0713</t>
        </is>
      </c>
      <c r="B714" t="inlineStr">
        <is>
          <t>Trip</t>
        </is>
      </c>
      <c r="C714" t="inlineStr">
        <is>
          <t>PERCENTAGE</t>
        </is>
      </c>
      <c r="D714" t="inlineStr">
        <is>
          <t>IOS Aarav</t>
        </is>
      </c>
      <c r="E714" s="16" t="n">
        <v>0</v>
      </c>
      <c r="F714" s="16" t="n">
        <v>5893.52</v>
      </c>
      <c r="G714" s="17" t="n">
        <v>30</v>
      </c>
      <c r="H714" s="16" t="n">
        <v>-5893.52</v>
      </c>
      <c r="I714" s="16" t="n">
        <v>0</v>
      </c>
    </row>
    <row r="715">
      <c r="A715" t="inlineStr">
        <is>
          <t>MTR-IOS-0713</t>
        </is>
      </c>
      <c r="B715" t="inlineStr">
        <is>
          <t>Trip</t>
        </is>
      </c>
      <c r="C715" t="inlineStr">
        <is>
          <t>PERCENTAGE</t>
        </is>
      </c>
      <c r="D715" t="inlineStr">
        <is>
          <t>IOS Meera</t>
        </is>
      </c>
      <c r="E715" s="16" t="n">
        <v>0</v>
      </c>
      <c r="F715" s="16" t="n">
        <v>3929</v>
      </c>
      <c r="G715" s="17" t="n">
        <v>20</v>
      </c>
      <c r="H715" s="16" t="n">
        <v>-3929</v>
      </c>
      <c r="I715" s="16" t="n">
        <v>0</v>
      </c>
    </row>
    <row r="716">
      <c r="A716" t="inlineStr">
        <is>
          <t>MTR-IOS-0716</t>
        </is>
      </c>
      <c r="B716" t="inlineStr">
        <is>
          <t>Trip</t>
        </is>
      </c>
      <c r="C716" t="inlineStr">
        <is>
          <t>EXACT</t>
        </is>
      </c>
      <c r="D716" t="inlineStr">
        <is>
          <t>IOS Owner</t>
        </is>
      </c>
      <c r="E716" s="16" t="n">
        <v>0</v>
      </c>
      <c r="F716" s="16" t="n">
        <v>2113.6</v>
      </c>
      <c r="G716" s="17" t="n"/>
      <c r="H716" s="16" t="n">
        <v>-2113.6</v>
      </c>
      <c r="I716" s="16" t="n">
        <v>0</v>
      </c>
    </row>
    <row r="717">
      <c r="A717" t="inlineStr">
        <is>
          <t>MTR-IOS-0716</t>
        </is>
      </c>
      <c r="B717" t="inlineStr">
        <is>
          <t>Trip</t>
        </is>
      </c>
      <c r="C717" t="inlineStr">
        <is>
          <t>EXACT</t>
        </is>
      </c>
      <c r="D717" t="inlineStr">
        <is>
          <t>IOS Aarav</t>
        </is>
      </c>
      <c r="E717" s="16" t="n">
        <v>6347.16</v>
      </c>
      <c r="F717" s="16" t="n">
        <v>2113.6</v>
      </c>
      <c r="G717" s="17" t="n"/>
      <c r="H717" s="16" t="n">
        <v>4233.56</v>
      </c>
      <c r="I717" s="16" t="n">
        <v>0</v>
      </c>
    </row>
    <row r="718">
      <c r="A718" t="inlineStr">
        <is>
          <t>MTR-IOS-0716</t>
        </is>
      </c>
      <c r="B718" t="inlineStr">
        <is>
          <t>Trip</t>
        </is>
      </c>
      <c r="C718" t="inlineStr">
        <is>
          <t>EXACT</t>
        </is>
      </c>
      <c r="D718" t="inlineStr">
        <is>
          <t>IOS Meera</t>
        </is>
      </c>
      <c r="E718" s="16" t="n">
        <v>0</v>
      </c>
      <c r="F718" s="16" t="n">
        <v>2119.96</v>
      </c>
      <c r="G718" s="17" t="n"/>
      <c r="H718" s="16" t="n">
        <v>-2119.96</v>
      </c>
      <c r="I718" s="16" t="n">
        <v>0</v>
      </c>
    </row>
    <row r="719">
      <c r="A719" t="inlineStr">
        <is>
          <t>MTR-IOS-0719</t>
        </is>
      </c>
      <c r="B719" t="inlineStr">
        <is>
          <t>Wedding</t>
        </is>
      </c>
      <c r="C719" t="inlineStr">
        <is>
          <t>SHARES</t>
        </is>
      </c>
      <c r="D719" t="inlineStr">
        <is>
          <t>IOS Owner</t>
        </is>
      </c>
      <c r="E719" s="16" t="n">
        <v>0</v>
      </c>
      <c r="F719" s="16" t="n">
        <v>10634.88</v>
      </c>
      <c r="G719" s="17" t="n"/>
      <c r="H719" s="16" t="n">
        <v>-10634.88</v>
      </c>
      <c r="I719" s="16" t="n">
        <v>0</v>
      </c>
    </row>
    <row r="720">
      <c r="A720" t="inlineStr">
        <is>
          <t>MTR-IOS-0719</t>
        </is>
      </c>
      <c r="B720" t="inlineStr">
        <is>
          <t>Wedding</t>
        </is>
      </c>
      <c r="C720" t="inlineStr">
        <is>
          <t>SHARES</t>
        </is>
      </c>
      <c r="D720" t="inlineStr">
        <is>
          <t>IOS Aarav</t>
        </is>
      </c>
      <c r="E720" s="16" t="n">
        <v>0</v>
      </c>
      <c r="F720" s="16" t="n">
        <v>7089.92</v>
      </c>
      <c r="G720" s="17" t="n"/>
      <c r="H720" s="16" t="n">
        <v>-7089.92</v>
      </c>
      <c r="I720" s="16" t="n">
        <v>0</v>
      </c>
    </row>
    <row r="721">
      <c r="A721" t="inlineStr">
        <is>
          <t>MTR-IOS-0719</t>
        </is>
      </c>
      <c r="B721" t="inlineStr">
        <is>
          <t>Wedding</t>
        </is>
      </c>
      <c r="C721" t="inlineStr">
        <is>
          <t>SHARES</t>
        </is>
      </c>
      <c r="D721" t="inlineStr">
        <is>
          <t>IOS Meera</t>
        </is>
      </c>
      <c r="E721" s="16" t="n">
        <v>21269.75</v>
      </c>
      <c r="F721" s="16" t="n">
        <v>3544.95</v>
      </c>
      <c r="G721" s="17" t="n"/>
      <c r="H721" s="16" t="n">
        <v>17724.8</v>
      </c>
      <c r="I721" s="16" t="n">
        <v>0</v>
      </c>
    </row>
    <row r="722">
      <c r="A722" t="inlineStr">
        <is>
          <t>MTR-IOS-0722</t>
        </is>
      </c>
      <c r="B722" t="inlineStr">
        <is>
          <t>Wedding</t>
        </is>
      </c>
      <c r="C722" t="inlineStr">
        <is>
          <t>EQUAL</t>
        </is>
      </c>
      <c r="D722" t="inlineStr">
        <is>
          <t>IOS Owner</t>
        </is>
      </c>
      <c r="E722" s="16" t="n">
        <v>4701.97</v>
      </c>
      <c r="F722" s="16" t="n">
        <v>1567.32</v>
      </c>
      <c r="G722" s="17" t="n"/>
      <c r="H722" s="16" t="n">
        <v>3134.65</v>
      </c>
      <c r="I722" s="16" t="n">
        <v>0</v>
      </c>
    </row>
    <row r="723">
      <c r="A723" t="inlineStr">
        <is>
          <t>MTR-IOS-0722</t>
        </is>
      </c>
      <c r="B723" t="inlineStr">
        <is>
          <t>Wedding</t>
        </is>
      </c>
      <c r="C723" t="inlineStr">
        <is>
          <t>EQUAL</t>
        </is>
      </c>
      <c r="D723" t="inlineStr">
        <is>
          <t>IOS Aarav</t>
        </is>
      </c>
      <c r="E723" s="16" t="n">
        <v>0</v>
      </c>
      <c r="F723" s="16" t="n">
        <v>1567.32</v>
      </c>
      <c r="G723" s="17" t="n"/>
      <c r="H723" s="16" t="n">
        <v>-1567.32</v>
      </c>
      <c r="I723" s="16" t="n">
        <v>0</v>
      </c>
    </row>
    <row r="724">
      <c r="A724" t="inlineStr">
        <is>
          <t>MTR-IOS-0722</t>
        </is>
      </c>
      <c r="B724" t="inlineStr">
        <is>
          <t>Wedding</t>
        </is>
      </c>
      <c r="C724" t="inlineStr">
        <is>
          <t>EQUAL</t>
        </is>
      </c>
      <c r="D724" t="inlineStr">
        <is>
          <t>IOS Meera</t>
        </is>
      </c>
      <c r="E724" s="16" t="n">
        <v>0</v>
      </c>
      <c r="F724" s="16" t="n">
        <v>1567.33</v>
      </c>
      <c r="G724" s="17" t="n"/>
      <c r="H724" s="16" t="n">
        <v>-1567.33</v>
      </c>
      <c r="I724" s="16" t="n">
        <v>0</v>
      </c>
    </row>
    <row r="725">
      <c r="A725" t="inlineStr">
        <is>
          <t>MTR-IOS-0725</t>
        </is>
      </c>
      <c r="B725" t="inlineStr">
        <is>
          <t>Wedding</t>
        </is>
      </c>
      <c r="C725" t="inlineStr">
        <is>
          <t>PERCENTAGE</t>
        </is>
      </c>
      <c r="D725" t="inlineStr">
        <is>
          <t>IOS Owner</t>
        </is>
      </c>
      <c r="E725" s="16" t="n">
        <v>0</v>
      </c>
      <c r="F725" s="16" t="n">
        <v>4869.16</v>
      </c>
      <c r="G725" s="17" t="n">
        <v>50</v>
      </c>
      <c r="H725" s="16" t="n">
        <v>-4869.16</v>
      </c>
      <c r="I725" s="16" t="n">
        <v>0</v>
      </c>
    </row>
    <row r="726">
      <c r="A726" t="inlineStr">
        <is>
          <t>MTR-IOS-0725</t>
        </is>
      </c>
      <c r="B726" t="inlineStr">
        <is>
          <t>Wedding</t>
        </is>
      </c>
      <c r="C726" t="inlineStr">
        <is>
          <t>PERCENTAGE</t>
        </is>
      </c>
      <c r="D726" t="inlineStr">
        <is>
          <t>IOS Aarav</t>
        </is>
      </c>
      <c r="E726" s="16" t="n">
        <v>9738.32</v>
      </c>
      <c r="F726" s="16" t="n">
        <v>2921.5</v>
      </c>
      <c r="G726" s="17" t="n">
        <v>30</v>
      </c>
      <c r="H726" s="16" t="n">
        <v>6816.82</v>
      </c>
      <c r="I726" s="16" t="n">
        <v>0</v>
      </c>
    </row>
    <row r="727">
      <c r="A727" t="inlineStr">
        <is>
          <t>MTR-IOS-0725</t>
        </is>
      </c>
      <c r="B727" t="inlineStr">
        <is>
          <t>Wedding</t>
        </is>
      </c>
      <c r="C727" t="inlineStr">
        <is>
          <t>PERCENTAGE</t>
        </is>
      </c>
      <c r="D727" t="inlineStr">
        <is>
          <t>IOS Meera</t>
        </is>
      </c>
      <c r="E727" s="16" t="n">
        <v>0</v>
      </c>
      <c r="F727" s="16" t="n">
        <v>1947.66</v>
      </c>
      <c r="G727" s="17" t="n">
        <v>20</v>
      </c>
      <c r="H727" s="16" t="n">
        <v>-1947.66</v>
      </c>
      <c r="I727" s="16" t="n">
        <v>0</v>
      </c>
    </row>
    <row r="728">
      <c r="A728" t="inlineStr">
        <is>
          <t>MTR-IOS-0728</t>
        </is>
      </c>
      <c r="B728" t="inlineStr">
        <is>
          <t>Wedding</t>
        </is>
      </c>
      <c r="C728" t="inlineStr">
        <is>
          <t>EXACT</t>
        </is>
      </c>
      <c r="D728" t="inlineStr">
        <is>
          <t>IOS Owner</t>
        </is>
      </c>
      <c r="E728" s="16" t="n">
        <v>0</v>
      </c>
      <c r="F728" s="16" t="n">
        <v>2073.89</v>
      </c>
      <c r="G728" s="17" t="n"/>
      <c r="H728" s="16" t="n">
        <v>-2073.89</v>
      </c>
      <c r="I728" s="16" t="n">
        <v>0</v>
      </c>
    </row>
    <row r="729">
      <c r="A729" t="inlineStr">
        <is>
          <t>MTR-IOS-0728</t>
        </is>
      </c>
      <c r="B729" t="inlineStr">
        <is>
          <t>Wedding</t>
        </is>
      </c>
      <c r="C729" t="inlineStr">
        <is>
          <t>EXACT</t>
        </is>
      </c>
      <c r="D729" t="inlineStr">
        <is>
          <t>IOS Aarav</t>
        </is>
      </c>
      <c r="E729" s="16" t="n">
        <v>0</v>
      </c>
      <c r="F729" s="16" t="n">
        <v>2073.89</v>
      </c>
      <c r="G729" s="17" t="n"/>
      <c r="H729" s="16" t="n">
        <v>-2073.89</v>
      </c>
      <c r="I729" s="16" t="n">
        <v>0</v>
      </c>
    </row>
    <row r="730">
      <c r="A730" t="inlineStr">
        <is>
          <t>MTR-IOS-0728</t>
        </is>
      </c>
      <c r="B730" t="inlineStr">
        <is>
          <t>Wedding</t>
        </is>
      </c>
      <c r="C730" t="inlineStr">
        <is>
          <t>EXACT</t>
        </is>
      </c>
      <c r="D730" t="inlineStr">
        <is>
          <t>IOS Meera</t>
        </is>
      </c>
      <c r="E730" s="16" t="n">
        <v>6227.89</v>
      </c>
      <c r="F730" s="16" t="n">
        <v>2080.11</v>
      </c>
      <c r="G730" s="17" t="n"/>
      <c r="H730" s="16" t="n">
        <v>4147.78</v>
      </c>
      <c r="I730" s="16" t="n">
        <v>0</v>
      </c>
    </row>
    <row r="731">
      <c r="A731" t="inlineStr">
        <is>
          <t>MTR-IOS-0731</t>
        </is>
      </c>
      <c r="B731" t="inlineStr">
        <is>
          <t>Wedding</t>
        </is>
      </c>
      <c r="C731" t="inlineStr">
        <is>
          <t>SHARES</t>
        </is>
      </c>
      <c r="D731" t="inlineStr">
        <is>
          <t>IOS Owner</t>
        </is>
      </c>
      <c r="E731" s="16" t="n">
        <v>21170.4</v>
      </c>
      <c r="F731" s="16" t="n">
        <v>10585.2</v>
      </c>
      <c r="G731" s="17" t="n"/>
      <c r="H731" s="16" t="n">
        <v>10585.2</v>
      </c>
      <c r="I731" s="16" t="n">
        <v>0</v>
      </c>
    </row>
    <row r="732">
      <c r="A732" t="inlineStr">
        <is>
          <t>MTR-IOS-0731</t>
        </is>
      </c>
      <c r="B732" t="inlineStr">
        <is>
          <t>Wedding</t>
        </is>
      </c>
      <c r="C732" t="inlineStr">
        <is>
          <t>SHARES</t>
        </is>
      </c>
      <c r="D732" t="inlineStr">
        <is>
          <t>IOS Aarav</t>
        </is>
      </c>
      <c r="E732" s="16" t="n">
        <v>0</v>
      </c>
      <c r="F732" s="16" t="n">
        <v>7056.8</v>
      </c>
      <c r="G732" s="17" t="n"/>
      <c r="H732" s="16" t="n">
        <v>-7056.8</v>
      </c>
      <c r="I732" s="16" t="n">
        <v>0</v>
      </c>
    </row>
    <row r="733">
      <c r="A733" t="inlineStr">
        <is>
          <t>MTR-IOS-0731</t>
        </is>
      </c>
      <c r="B733" t="inlineStr">
        <is>
          <t>Wedding</t>
        </is>
      </c>
      <c r="C733" t="inlineStr">
        <is>
          <t>SHARES</t>
        </is>
      </c>
      <c r="D733" t="inlineStr">
        <is>
          <t>IOS Meera</t>
        </is>
      </c>
      <c r="E733" s="16" t="n">
        <v>0</v>
      </c>
      <c r="F733" s="16" t="n">
        <v>3528.4</v>
      </c>
      <c r="G733" s="17" t="n"/>
      <c r="H733" s="16" t="n">
        <v>-3528.4</v>
      </c>
      <c r="I733" s="16" t="n">
        <v>0</v>
      </c>
    </row>
    <row r="734">
      <c r="A734" t="inlineStr">
        <is>
          <t>MTR-IOS-0734</t>
        </is>
      </c>
      <c r="B734" t="inlineStr">
        <is>
          <t>Wedding</t>
        </is>
      </c>
      <c r="C734" t="inlineStr">
        <is>
          <t>EQUAL</t>
        </is>
      </c>
      <c r="D734" t="inlineStr">
        <is>
          <t>IOS Owner</t>
        </is>
      </c>
      <c r="E734" s="16" t="n">
        <v>0</v>
      </c>
      <c r="F734" s="16" t="n">
        <v>542.86</v>
      </c>
      <c r="G734" s="17" t="n"/>
      <c r="H734" s="16" t="n">
        <v>-542.86</v>
      </c>
      <c r="I734" s="16" t="n">
        <v>0</v>
      </c>
    </row>
    <row r="735">
      <c r="A735" t="inlineStr">
        <is>
          <t>MTR-IOS-0734</t>
        </is>
      </c>
      <c r="B735" t="inlineStr">
        <is>
          <t>Wedding</t>
        </is>
      </c>
      <c r="C735" t="inlineStr">
        <is>
          <t>EQUAL</t>
        </is>
      </c>
      <c r="D735" t="inlineStr">
        <is>
          <t>IOS Aarav</t>
        </is>
      </c>
      <c r="E735" s="16" t="n">
        <v>1628.58</v>
      </c>
      <c r="F735" s="16" t="n">
        <v>542.86</v>
      </c>
      <c r="G735" s="17" t="n"/>
      <c r="H735" s="16" t="n">
        <v>1085.72</v>
      </c>
      <c r="I735" s="16" t="n">
        <v>0</v>
      </c>
    </row>
    <row r="736">
      <c r="A736" t="inlineStr">
        <is>
          <t>MTR-IOS-0734</t>
        </is>
      </c>
      <c r="B736" t="inlineStr">
        <is>
          <t>Wedding</t>
        </is>
      </c>
      <c r="C736" t="inlineStr">
        <is>
          <t>EQUAL</t>
        </is>
      </c>
      <c r="D736" t="inlineStr">
        <is>
          <t>IOS Meera</t>
        </is>
      </c>
      <c r="E736" s="16" t="n">
        <v>0</v>
      </c>
      <c r="F736" s="16" t="n">
        <v>542.86</v>
      </c>
      <c r="G736" s="17" t="n"/>
      <c r="H736" s="16" t="n">
        <v>-542.86</v>
      </c>
      <c r="I736" s="16" t="n">
        <v>0</v>
      </c>
    </row>
    <row r="737">
      <c r="A737" t="inlineStr">
        <is>
          <t>MTR-IOS-0737</t>
        </is>
      </c>
      <c r="B737" t="inlineStr">
        <is>
          <t>Wedding</t>
        </is>
      </c>
      <c r="C737" t="inlineStr">
        <is>
          <t>PERCENTAGE</t>
        </is>
      </c>
      <c r="D737" t="inlineStr">
        <is>
          <t>IOS Owner</t>
        </is>
      </c>
      <c r="E737" s="16" t="n">
        <v>0</v>
      </c>
      <c r="F737" s="16" t="n">
        <v>12206.44</v>
      </c>
      <c r="G737" s="17" t="n">
        <v>50</v>
      </c>
      <c r="H737" s="16" t="n">
        <v>-12206.44</v>
      </c>
      <c r="I737" s="16" t="n">
        <v>0</v>
      </c>
    </row>
    <row r="738">
      <c r="A738" t="inlineStr">
        <is>
          <t>MTR-IOS-0737</t>
        </is>
      </c>
      <c r="B738" t="inlineStr">
        <is>
          <t>Wedding</t>
        </is>
      </c>
      <c r="C738" t="inlineStr">
        <is>
          <t>PERCENTAGE</t>
        </is>
      </c>
      <c r="D738" t="inlineStr">
        <is>
          <t>IOS Aarav</t>
        </is>
      </c>
      <c r="E738" s="16" t="n">
        <v>0</v>
      </c>
      <c r="F738" s="16" t="n">
        <v>7323.86</v>
      </c>
      <c r="G738" s="17" t="n">
        <v>30</v>
      </c>
      <c r="H738" s="16" t="n">
        <v>-7323.86</v>
      </c>
      <c r="I738" s="16" t="n">
        <v>0</v>
      </c>
    </row>
    <row r="739">
      <c r="A739" t="inlineStr">
        <is>
          <t>MTR-IOS-0737</t>
        </is>
      </c>
      <c r="B739" t="inlineStr">
        <is>
          <t>Wedding</t>
        </is>
      </c>
      <c r="C739" t="inlineStr">
        <is>
          <t>PERCENTAGE</t>
        </is>
      </c>
      <c r="D739" t="inlineStr">
        <is>
          <t>IOS Meera</t>
        </is>
      </c>
      <c r="E739" s="16" t="n">
        <v>24412.88</v>
      </c>
      <c r="F739" s="16" t="n">
        <v>4882.58</v>
      </c>
      <c r="G739" s="17" t="n">
        <v>20</v>
      </c>
      <c r="H739" s="16" t="n">
        <v>19530.3</v>
      </c>
      <c r="I739" s="16" t="n">
        <v>0</v>
      </c>
    </row>
    <row r="740">
      <c r="A740" t="inlineStr">
        <is>
          <t>MTR-IOS-0740</t>
        </is>
      </c>
      <c r="B740" t="inlineStr">
        <is>
          <t>Office Outing</t>
        </is>
      </c>
      <c r="C740" t="inlineStr">
        <is>
          <t>EXACT</t>
        </is>
      </c>
      <c r="D740" t="inlineStr">
        <is>
          <t>IOS Owner</t>
        </is>
      </c>
      <c r="E740" s="16" t="n">
        <v>99.98999999999999</v>
      </c>
      <c r="F740" s="16" t="n">
        <v>33.3</v>
      </c>
      <c r="G740" s="17" t="n"/>
      <c r="H740" s="16" t="n">
        <v>66.69</v>
      </c>
      <c r="I740" s="16" t="n">
        <v>0</v>
      </c>
    </row>
    <row r="741">
      <c r="A741" t="inlineStr">
        <is>
          <t>MTR-IOS-0740</t>
        </is>
      </c>
      <c r="B741" t="inlineStr">
        <is>
          <t>Office Outing</t>
        </is>
      </c>
      <c r="C741" t="inlineStr">
        <is>
          <t>EXACT</t>
        </is>
      </c>
      <c r="D741" t="inlineStr">
        <is>
          <t>IOS Aarav</t>
        </is>
      </c>
      <c r="E741" s="16" t="n">
        <v>0</v>
      </c>
      <c r="F741" s="16" t="n">
        <v>33.3</v>
      </c>
      <c r="G741" s="17" t="n"/>
      <c r="H741" s="16" t="n">
        <v>-33.3</v>
      </c>
      <c r="I741" s="16" t="n">
        <v>0</v>
      </c>
    </row>
    <row r="742">
      <c r="A742" t="inlineStr">
        <is>
          <t>MTR-IOS-0740</t>
        </is>
      </c>
      <c r="B742" t="inlineStr">
        <is>
          <t>Office Outing</t>
        </is>
      </c>
      <c r="C742" t="inlineStr">
        <is>
          <t>EXACT</t>
        </is>
      </c>
      <c r="D742" t="inlineStr">
        <is>
          <t>IOS Meera</t>
        </is>
      </c>
      <c r="E742" s="16" t="n">
        <v>0</v>
      </c>
      <c r="F742" s="16" t="n">
        <v>33.39</v>
      </c>
      <c r="G742" s="17" t="n"/>
      <c r="H742" s="16" t="n">
        <v>-33.39</v>
      </c>
      <c r="I742" s="16" t="n">
        <v>0</v>
      </c>
    </row>
    <row r="743">
      <c r="A743" t="inlineStr">
        <is>
          <t>MTR-IOS-0743</t>
        </is>
      </c>
      <c r="B743" t="inlineStr">
        <is>
          <t>Office Outing</t>
        </is>
      </c>
      <c r="C743" t="inlineStr">
        <is>
          <t>SHARES</t>
        </is>
      </c>
      <c r="D743" t="inlineStr">
        <is>
          <t>IOS Owner</t>
        </is>
      </c>
      <c r="E743" s="16" t="n">
        <v>0</v>
      </c>
      <c r="F743" s="16" t="n">
        <v>1272.53</v>
      </c>
      <c r="G743" s="17" t="n"/>
      <c r="H743" s="16" t="n">
        <v>-1272.53</v>
      </c>
      <c r="I743" s="16" t="n">
        <v>0</v>
      </c>
    </row>
    <row r="744">
      <c r="A744" t="inlineStr">
        <is>
          <t>MTR-IOS-0743</t>
        </is>
      </c>
      <c r="B744" t="inlineStr">
        <is>
          <t>Office Outing</t>
        </is>
      </c>
      <c r="C744" t="inlineStr">
        <is>
          <t>SHARES</t>
        </is>
      </c>
      <c r="D744" t="inlineStr">
        <is>
          <t>IOS Aarav</t>
        </is>
      </c>
      <c r="E744" s="16" t="n">
        <v>2545.06</v>
      </c>
      <c r="F744" s="16" t="n">
        <v>848.35</v>
      </c>
      <c r="G744" s="17" t="n"/>
      <c r="H744" s="16" t="n">
        <v>1696.71</v>
      </c>
      <c r="I744" s="16" t="n">
        <v>0</v>
      </c>
    </row>
    <row r="745">
      <c r="A745" t="inlineStr">
        <is>
          <t>MTR-IOS-0743</t>
        </is>
      </c>
      <c r="B745" t="inlineStr">
        <is>
          <t>Office Outing</t>
        </is>
      </c>
      <c r="C745" t="inlineStr">
        <is>
          <t>SHARES</t>
        </is>
      </c>
      <c r="D745" t="inlineStr">
        <is>
          <t>IOS Meera</t>
        </is>
      </c>
      <c r="E745" s="16" t="n">
        <v>0</v>
      </c>
      <c r="F745" s="16" t="n">
        <v>424.18</v>
      </c>
      <c r="G745" s="17" t="n"/>
      <c r="H745" s="16" t="n">
        <v>-424.18</v>
      </c>
      <c r="I745" s="16" t="n">
        <v>0</v>
      </c>
    </row>
    <row r="746">
      <c r="A746" t="inlineStr">
        <is>
          <t>MTR-IOS-0746</t>
        </is>
      </c>
      <c r="B746" t="inlineStr">
        <is>
          <t>Office Outing</t>
        </is>
      </c>
      <c r="C746" t="inlineStr">
        <is>
          <t>EQUAL</t>
        </is>
      </c>
      <c r="D746" t="inlineStr">
        <is>
          <t>IOS Owner</t>
        </is>
      </c>
      <c r="E746" s="16" t="n">
        <v>0</v>
      </c>
      <c r="F746" s="16" t="n">
        <v>4393.76</v>
      </c>
      <c r="G746" s="17" t="n"/>
      <c r="H746" s="16" t="n">
        <v>-4393.76</v>
      </c>
      <c r="I746" s="16" t="n">
        <v>0</v>
      </c>
    </row>
    <row r="747">
      <c r="A747" t="inlineStr">
        <is>
          <t>MTR-IOS-0746</t>
        </is>
      </c>
      <c r="B747" t="inlineStr">
        <is>
          <t>Office Outing</t>
        </is>
      </c>
      <c r="C747" t="inlineStr">
        <is>
          <t>EQUAL</t>
        </is>
      </c>
      <c r="D747" t="inlineStr">
        <is>
          <t>IOS Aarav</t>
        </is>
      </c>
      <c r="E747" s="16" t="n">
        <v>0</v>
      </c>
      <c r="F747" s="16" t="n">
        <v>4393.76</v>
      </c>
      <c r="G747" s="17" t="n"/>
      <c r="H747" s="16" t="n">
        <v>-4393.76</v>
      </c>
      <c r="I747" s="16" t="n">
        <v>0</v>
      </c>
    </row>
    <row r="748">
      <c r="A748" t="inlineStr">
        <is>
          <t>MTR-IOS-0746</t>
        </is>
      </c>
      <c r="B748" t="inlineStr">
        <is>
          <t>Office Outing</t>
        </is>
      </c>
      <c r="C748" t="inlineStr">
        <is>
          <t>EQUAL</t>
        </is>
      </c>
      <c r="D748" t="inlineStr">
        <is>
          <t>IOS Meera</t>
        </is>
      </c>
      <c r="E748" s="16" t="n">
        <v>13181.29</v>
      </c>
      <c r="F748" s="16" t="n">
        <v>4393.77</v>
      </c>
      <c r="G748" s="17" t="n"/>
      <c r="H748" s="16" t="n">
        <v>8787.52</v>
      </c>
      <c r="I748" s="16" t="n">
        <v>0</v>
      </c>
    </row>
    <row r="749">
      <c r="A749" t="inlineStr">
        <is>
          <t>MTR-IOS-0749</t>
        </is>
      </c>
      <c r="B749" t="inlineStr">
        <is>
          <t>Office Outing</t>
        </is>
      </c>
      <c r="C749" t="inlineStr">
        <is>
          <t>PERCENTAGE</t>
        </is>
      </c>
      <c r="D749" t="inlineStr">
        <is>
          <t>IOS Owner</t>
        </is>
      </c>
      <c r="E749" s="16" t="n">
        <v>26012.96</v>
      </c>
      <c r="F749" s="16" t="n">
        <v>13006.48</v>
      </c>
      <c r="G749" s="17" t="n">
        <v>50</v>
      </c>
      <c r="H749" s="16" t="n">
        <v>13006.48</v>
      </c>
      <c r="I749" s="16" t="n">
        <v>0</v>
      </c>
    </row>
    <row r="750">
      <c r="A750" t="inlineStr">
        <is>
          <t>MTR-IOS-0749</t>
        </is>
      </c>
      <c r="B750" t="inlineStr">
        <is>
          <t>Office Outing</t>
        </is>
      </c>
      <c r="C750" t="inlineStr">
        <is>
          <t>PERCENTAGE</t>
        </is>
      </c>
      <c r="D750" t="inlineStr">
        <is>
          <t>IOS Aarav</t>
        </is>
      </c>
      <c r="E750" s="16" t="n">
        <v>0</v>
      </c>
      <c r="F750" s="16" t="n">
        <v>7803.89</v>
      </c>
      <c r="G750" s="17" t="n">
        <v>30</v>
      </c>
      <c r="H750" s="16" t="n">
        <v>-7803.89</v>
      </c>
      <c r="I750" s="16" t="n">
        <v>0</v>
      </c>
    </row>
    <row r="751">
      <c r="A751" t="inlineStr">
        <is>
          <t>MTR-IOS-0749</t>
        </is>
      </c>
      <c r="B751" t="inlineStr">
        <is>
          <t>Office Outing</t>
        </is>
      </c>
      <c r="C751" t="inlineStr">
        <is>
          <t>PERCENTAGE</t>
        </is>
      </c>
      <c r="D751" t="inlineStr">
        <is>
          <t>IOS Meera</t>
        </is>
      </c>
      <c r="E751" s="16" t="n">
        <v>0</v>
      </c>
      <c r="F751" s="16" t="n">
        <v>5202.59</v>
      </c>
      <c r="G751" s="17" t="n">
        <v>20</v>
      </c>
      <c r="H751" s="16" t="n">
        <v>-5202.59</v>
      </c>
      <c r="I751" s="16" t="n">
        <v>0</v>
      </c>
    </row>
    <row r="752">
      <c r="A752" t="inlineStr">
        <is>
          <t>MTR-IOS-0752</t>
        </is>
      </c>
      <c r="B752" t="inlineStr">
        <is>
          <t>Office Outing</t>
        </is>
      </c>
      <c r="C752" t="inlineStr">
        <is>
          <t>EXACT</t>
        </is>
      </c>
      <c r="D752" t="inlineStr">
        <is>
          <t>IOS Owner</t>
        </is>
      </c>
      <c r="E752" s="16" t="n">
        <v>0</v>
      </c>
      <c r="F752" s="16" t="n">
        <v>6825.11</v>
      </c>
      <c r="G752" s="17" t="n"/>
      <c r="H752" s="16" t="n">
        <v>-6825.11</v>
      </c>
      <c r="I752" s="16" t="n">
        <v>0</v>
      </c>
    </row>
    <row r="753">
      <c r="A753" t="inlineStr">
        <is>
          <t>MTR-IOS-0752</t>
        </is>
      </c>
      <c r="B753" t="inlineStr">
        <is>
          <t>Office Outing</t>
        </is>
      </c>
      <c r="C753" t="inlineStr">
        <is>
          <t>EXACT</t>
        </is>
      </c>
      <c r="D753" t="inlineStr">
        <is>
          <t>IOS Aarav</t>
        </is>
      </c>
      <c r="E753" s="16" t="n">
        <v>20495.83</v>
      </c>
      <c r="F753" s="16" t="n">
        <v>6825.11</v>
      </c>
      <c r="G753" s="17" t="n"/>
      <c r="H753" s="16" t="n">
        <v>13670.72</v>
      </c>
      <c r="I753" s="16" t="n">
        <v>0</v>
      </c>
    </row>
    <row r="754">
      <c r="A754" t="inlineStr">
        <is>
          <t>MTR-IOS-0752</t>
        </is>
      </c>
      <c r="B754" t="inlineStr">
        <is>
          <t>Office Outing</t>
        </is>
      </c>
      <c r="C754" t="inlineStr">
        <is>
          <t>EXACT</t>
        </is>
      </c>
      <c r="D754" t="inlineStr">
        <is>
          <t>IOS Meera</t>
        </is>
      </c>
      <c r="E754" s="16" t="n">
        <v>0</v>
      </c>
      <c r="F754" s="16" t="n">
        <v>6845.61</v>
      </c>
      <c r="G754" s="17" t="n"/>
      <c r="H754" s="16" t="n">
        <v>-6845.61</v>
      </c>
      <c r="I754" s="16" t="n">
        <v>0</v>
      </c>
    </row>
    <row r="755">
      <c r="A755" t="inlineStr">
        <is>
          <t>MTR-IOS-0755</t>
        </is>
      </c>
      <c r="B755" t="inlineStr">
        <is>
          <t>House Party</t>
        </is>
      </c>
      <c r="C755" t="inlineStr">
        <is>
          <t>SHARES</t>
        </is>
      </c>
      <c r="D755" t="inlineStr">
        <is>
          <t>IOS Owner</t>
        </is>
      </c>
      <c r="E755" s="16" t="n">
        <v>0</v>
      </c>
      <c r="F755" s="16" t="n">
        <v>3898.55</v>
      </c>
      <c r="G755" s="17" t="n"/>
      <c r="H755" s="16" t="n">
        <v>-3898.55</v>
      </c>
      <c r="I755" s="16" t="n">
        <v>0</v>
      </c>
    </row>
    <row r="756">
      <c r="A756" t="inlineStr">
        <is>
          <t>MTR-IOS-0755</t>
        </is>
      </c>
      <c r="B756" t="inlineStr">
        <is>
          <t>House Party</t>
        </is>
      </c>
      <c r="C756" t="inlineStr">
        <is>
          <t>SHARES</t>
        </is>
      </c>
      <c r="D756" t="inlineStr">
        <is>
          <t>IOS Aarav</t>
        </is>
      </c>
      <c r="E756" s="16" t="n">
        <v>0</v>
      </c>
      <c r="F756" s="16" t="n">
        <v>2599.03</v>
      </c>
      <c r="G756" s="17" t="n"/>
      <c r="H756" s="16" t="n">
        <v>-2599.03</v>
      </c>
      <c r="I756" s="16" t="n">
        <v>0</v>
      </c>
    </row>
    <row r="757">
      <c r="A757" t="inlineStr">
        <is>
          <t>MTR-IOS-0755</t>
        </is>
      </c>
      <c r="B757" t="inlineStr">
        <is>
          <t>House Party</t>
        </is>
      </c>
      <c r="C757" t="inlineStr">
        <is>
          <t>SHARES</t>
        </is>
      </c>
      <c r="D757" t="inlineStr">
        <is>
          <t>IOS Meera</t>
        </is>
      </c>
      <c r="E757" s="16" t="n">
        <v>7797.1</v>
      </c>
      <c r="F757" s="16" t="n">
        <v>1299.52</v>
      </c>
      <c r="G757" s="17" t="n"/>
      <c r="H757" s="16" t="n">
        <v>6497.58</v>
      </c>
      <c r="I757" s="16" t="n">
        <v>0</v>
      </c>
    </row>
    <row r="758">
      <c r="A758" t="inlineStr">
        <is>
          <t>MTR-IOS-0758</t>
        </is>
      </c>
      <c r="B758" t="inlineStr">
        <is>
          <t>House Party</t>
        </is>
      </c>
      <c r="C758" t="inlineStr">
        <is>
          <t>EQUAL</t>
        </is>
      </c>
      <c r="D758" t="inlineStr">
        <is>
          <t>IOS Owner</t>
        </is>
      </c>
      <c r="E758" s="16" t="n">
        <v>6832.39</v>
      </c>
      <c r="F758" s="16" t="n">
        <v>2277.46</v>
      </c>
      <c r="G758" s="17" t="n"/>
      <c r="H758" s="16" t="n">
        <v>4554.93</v>
      </c>
      <c r="I758" s="16" t="n">
        <v>0</v>
      </c>
    </row>
    <row r="759">
      <c r="A759" t="inlineStr">
        <is>
          <t>MTR-IOS-0758</t>
        </is>
      </c>
      <c r="B759" t="inlineStr">
        <is>
          <t>House Party</t>
        </is>
      </c>
      <c r="C759" t="inlineStr">
        <is>
          <t>EQUAL</t>
        </is>
      </c>
      <c r="D759" t="inlineStr">
        <is>
          <t>IOS Aarav</t>
        </is>
      </c>
      <c r="E759" s="16" t="n">
        <v>0</v>
      </c>
      <c r="F759" s="16" t="n">
        <v>2277.46</v>
      </c>
      <c r="G759" s="17" t="n"/>
      <c r="H759" s="16" t="n">
        <v>-2277.46</v>
      </c>
      <c r="I759" s="16" t="n">
        <v>0</v>
      </c>
    </row>
    <row r="760">
      <c r="A760" t="inlineStr">
        <is>
          <t>MTR-IOS-0758</t>
        </is>
      </c>
      <c r="B760" t="inlineStr">
        <is>
          <t>House Party</t>
        </is>
      </c>
      <c r="C760" t="inlineStr">
        <is>
          <t>EQUAL</t>
        </is>
      </c>
      <c r="D760" t="inlineStr">
        <is>
          <t>IOS Meera</t>
        </is>
      </c>
      <c r="E760" s="16" t="n">
        <v>0</v>
      </c>
      <c r="F760" s="16" t="n">
        <v>2277.47</v>
      </c>
      <c r="G760" s="17" t="n"/>
      <c r="H760" s="16" t="n">
        <v>-2277.47</v>
      </c>
      <c r="I760" s="16" t="n">
        <v>0</v>
      </c>
    </row>
    <row r="761">
      <c r="A761" t="inlineStr">
        <is>
          <t>MTR-IOS-0761</t>
        </is>
      </c>
      <c r="B761" t="inlineStr">
        <is>
          <t>House Party</t>
        </is>
      </c>
      <c r="C761" t="inlineStr">
        <is>
          <t>PERCENTAGE</t>
        </is>
      </c>
      <c r="D761" t="inlineStr">
        <is>
          <t>IOS Owner</t>
        </is>
      </c>
      <c r="E761" s="16" t="n">
        <v>0</v>
      </c>
      <c r="F761" s="16" t="n">
        <v>4242.76</v>
      </c>
      <c r="G761" s="17" t="n">
        <v>50</v>
      </c>
      <c r="H761" s="16" t="n">
        <v>-4242.76</v>
      </c>
      <c r="I761" s="16" t="n">
        <v>0</v>
      </c>
    </row>
    <row r="762">
      <c r="A762" t="inlineStr">
        <is>
          <t>MTR-IOS-0761</t>
        </is>
      </c>
      <c r="B762" t="inlineStr">
        <is>
          <t>House Party</t>
        </is>
      </c>
      <c r="C762" t="inlineStr">
        <is>
          <t>PERCENTAGE</t>
        </is>
      </c>
      <c r="D762" t="inlineStr">
        <is>
          <t>IOS Aarav</t>
        </is>
      </c>
      <c r="E762" s="16" t="n">
        <v>8485.51</v>
      </c>
      <c r="F762" s="16" t="n">
        <v>2545.65</v>
      </c>
      <c r="G762" s="17" t="n">
        <v>30</v>
      </c>
      <c r="H762" s="16" t="n">
        <v>5939.86</v>
      </c>
      <c r="I762" s="16" t="n">
        <v>0</v>
      </c>
    </row>
    <row r="763">
      <c r="A763" t="inlineStr">
        <is>
          <t>MTR-IOS-0761</t>
        </is>
      </c>
      <c r="B763" t="inlineStr">
        <is>
          <t>House Party</t>
        </is>
      </c>
      <c r="C763" t="inlineStr">
        <is>
          <t>PERCENTAGE</t>
        </is>
      </c>
      <c r="D763" t="inlineStr">
        <is>
          <t>IOS Meera</t>
        </is>
      </c>
      <c r="E763" s="16" t="n">
        <v>0</v>
      </c>
      <c r="F763" s="16" t="n">
        <v>1697.1</v>
      </c>
      <c r="G763" s="17" t="n">
        <v>20</v>
      </c>
      <c r="H763" s="16" t="n">
        <v>-1697.1</v>
      </c>
      <c r="I763" s="16" t="n">
        <v>0</v>
      </c>
    </row>
    <row r="764">
      <c r="A764" t="inlineStr">
        <is>
          <t>MTR-IOS-0764</t>
        </is>
      </c>
      <c r="B764" t="inlineStr">
        <is>
          <t>House Party</t>
        </is>
      </c>
      <c r="C764" t="inlineStr">
        <is>
          <t>EXACT</t>
        </is>
      </c>
      <c r="D764" t="inlineStr">
        <is>
          <t>IOS Owner</t>
        </is>
      </c>
      <c r="E764" s="16" t="n">
        <v>0</v>
      </c>
      <c r="F764" s="16" t="n">
        <v>7296.76</v>
      </c>
      <c r="G764" s="17" t="n"/>
      <c r="H764" s="16" t="n">
        <v>-7296.76</v>
      </c>
      <c r="I764" s="16" t="n">
        <v>0</v>
      </c>
    </row>
    <row r="765">
      <c r="A765" t="inlineStr">
        <is>
          <t>MTR-IOS-0764</t>
        </is>
      </c>
      <c r="B765" t="inlineStr">
        <is>
          <t>House Party</t>
        </is>
      </c>
      <c r="C765" t="inlineStr">
        <is>
          <t>EXACT</t>
        </is>
      </c>
      <c r="D765" t="inlineStr">
        <is>
          <t>IOS Aarav</t>
        </is>
      </c>
      <c r="E765" s="16" t="n">
        <v>0</v>
      </c>
      <c r="F765" s="16" t="n">
        <v>7296.76</v>
      </c>
      <c r="G765" s="17" t="n"/>
      <c r="H765" s="16" t="n">
        <v>-7296.76</v>
      </c>
      <c r="I765" s="16" t="n">
        <v>0</v>
      </c>
    </row>
    <row r="766">
      <c r="A766" t="inlineStr">
        <is>
          <t>MTR-IOS-0764</t>
        </is>
      </c>
      <c r="B766" t="inlineStr">
        <is>
          <t>House Party</t>
        </is>
      </c>
      <c r="C766" t="inlineStr">
        <is>
          <t>EXACT</t>
        </is>
      </c>
      <c r="D766" t="inlineStr">
        <is>
          <t>IOS Meera</t>
        </is>
      </c>
      <c r="E766" s="16" t="n">
        <v>21912.19</v>
      </c>
      <c r="F766" s="16" t="n">
        <v>7318.67</v>
      </c>
      <c r="G766" s="17" t="n"/>
      <c r="H766" s="16" t="n">
        <v>14593.52</v>
      </c>
      <c r="I766" s="16" t="n">
        <v>0</v>
      </c>
    </row>
    <row r="767">
      <c r="A767" t="inlineStr">
        <is>
          <t>MTR-IOS-0767</t>
        </is>
      </c>
      <c r="B767" t="inlineStr">
        <is>
          <t>House Party</t>
        </is>
      </c>
      <c r="C767" t="inlineStr">
        <is>
          <t>SHARES</t>
        </is>
      </c>
      <c r="D767" t="inlineStr">
        <is>
          <t>IOS Owner</t>
        </is>
      </c>
      <c r="E767" s="16" t="n">
        <v>18929.96</v>
      </c>
      <c r="F767" s="16" t="n">
        <v>9464.98</v>
      </c>
      <c r="G767" s="17" t="n"/>
      <c r="H767" s="16" t="n">
        <v>9464.98</v>
      </c>
      <c r="I767" s="16" t="n">
        <v>0</v>
      </c>
    </row>
    <row r="768">
      <c r="A768" t="inlineStr">
        <is>
          <t>MTR-IOS-0767</t>
        </is>
      </c>
      <c r="B768" t="inlineStr">
        <is>
          <t>House Party</t>
        </is>
      </c>
      <c r="C768" t="inlineStr">
        <is>
          <t>SHARES</t>
        </is>
      </c>
      <c r="D768" t="inlineStr">
        <is>
          <t>IOS Aarav</t>
        </is>
      </c>
      <c r="E768" s="16" t="n">
        <v>0</v>
      </c>
      <c r="F768" s="16" t="n">
        <v>6309.99</v>
      </c>
      <c r="G768" s="17" t="n"/>
      <c r="H768" s="16" t="n">
        <v>-6309.99</v>
      </c>
      <c r="I768" s="16" t="n">
        <v>0</v>
      </c>
    </row>
    <row r="769">
      <c r="A769" t="inlineStr">
        <is>
          <t>MTR-IOS-0767</t>
        </is>
      </c>
      <c r="B769" t="inlineStr">
        <is>
          <t>House Party</t>
        </is>
      </c>
      <c r="C769" t="inlineStr">
        <is>
          <t>SHARES</t>
        </is>
      </c>
      <c r="D769" t="inlineStr">
        <is>
          <t>IOS Meera</t>
        </is>
      </c>
      <c r="E769" s="16" t="n">
        <v>0</v>
      </c>
      <c r="F769" s="16" t="n">
        <v>3154.99</v>
      </c>
      <c r="G769" s="17" t="n"/>
      <c r="H769" s="16" t="n">
        <v>-3154.99</v>
      </c>
      <c r="I769" s="16" t="n">
        <v>0</v>
      </c>
    </row>
    <row r="770">
      <c r="A770" t="inlineStr">
        <is>
          <t>MTR-IOS-0770</t>
        </is>
      </c>
      <c r="B770" t="inlineStr">
        <is>
          <t>Gift Pool</t>
        </is>
      </c>
      <c r="C770" t="inlineStr">
        <is>
          <t>EQUAL</t>
        </is>
      </c>
      <c r="D770" t="inlineStr">
        <is>
          <t>IOS Owner</t>
        </is>
      </c>
      <c r="E770" s="16" t="n">
        <v>0</v>
      </c>
      <c r="F770" s="16" t="n">
        <v>3472.28</v>
      </c>
      <c r="G770" s="17" t="n"/>
      <c r="H770" s="16" t="n">
        <v>-3472.28</v>
      </c>
      <c r="I770" s="16" t="n">
        <v>0</v>
      </c>
    </row>
    <row r="771">
      <c r="A771" t="inlineStr">
        <is>
          <t>MTR-IOS-0770</t>
        </is>
      </c>
      <c r="B771" t="inlineStr">
        <is>
          <t>Gift Pool</t>
        </is>
      </c>
      <c r="C771" t="inlineStr">
        <is>
          <t>EQUAL</t>
        </is>
      </c>
      <c r="D771" t="inlineStr">
        <is>
          <t>IOS Aarav</t>
        </is>
      </c>
      <c r="E771" s="16" t="n">
        <v>10416.83</v>
      </c>
      <c r="F771" s="16" t="n">
        <v>3472.28</v>
      </c>
      <c r="G771" s="17" t="n"/>
      <c r="H771" s="16" t="n">
        <v>6944.55</v>
      </c>
      <c r="I771" s="16" t="n">
        <v>0</v>
      </c>
    </row>
    <row r="772">
      <c r="A772" t="inlineStr">
        <is>
          <t>MTR-IOS-0770</t>
        </is>
      </c>
      <c r="B772" t="inlineStr">
        <is>
          <t>Gift Pool</t>
        </is>
      </c>
      <c r="C772" t="inlineStr">
        <is>
          <t>EQUAL</t>
        </is>
      </c>
      <c r="D772" t="inlineStr">
        <is>
          <t>IOS Meera</t>
        </is>
      </c>
      <c r="E772" s="16" t="n">
        <v>0</v>
      </c>
      <c r="F772" s="16" t="n">
        <v>3472.27</v>
      </c>
      <c r="G772" s="17" t="n"/>
      <c r="H772" s="16" t="n">
        <v>-3472.27</v>
      </c>
      <c r="I772" s="16" t="n">
        <v>0</v>
      </c>
    </row>
    <row r="773">
      <c r="A773" t="inlineStr">
        <is>
          <t>MTR-IOS-0773</t>
        </is>
      </c>
      <c r="B773" t="inlineStr">
        <is>
          <t>Gift Pool</t>
        </is>
      </c>
      <c r="C773" t="inlineStr">
        <is>
          <t>PERCENTAGE</t>
        </is>
      </c>
      <c r="D773" t="inlineStr">
        <is>
          <t>IOS Owner</t>
        </is>
      </c>
      <c r="E773" s="16" t="n">
        <v>0</v>
      </c>
      <c r="F773" s="16" t="n">
        <v>5644.75</v>
      </c>
      <c r="G773" s="17" t="n">
        <v>50</v>
      </c>
      <c r="H773" s="16" t="n">
        <v>-5644.75</v>
      </c>
      <c r="I773" s="16" t="n">
        <v>0</v>
      </c>
    </row>
    <row r="774">
      <c r="A774" t="inlineStr">
        <is>
          <t>MTR-IOS-0773</t>
        </is>
      </c>
      <c r="B774" t="inlineStr">
        <is>
          <t>Gift Pool</t>
        </is>
      </c>
      <c r="C774" t="inlineStr">
        <is>
          <t>PERCENTAGE</t>
        </is>
      </c>
      <c r="D774" t="inlineStr">
        <is>
          <t>IOS Aarav</t>
        </is>
      </c>
      <c r="E774" s="16" t="n">
        <v>0</v>
      </c>
      <c r="F774" s="16" t="n">
        <v>3386.85</v>
      </c>
      <c r="G774" s="17" t="n">
        <v>30</v>
      </c>
      <c r="H774" s="16" t="n">
        <v>-3386.85</v>
      </c>
      <c r="I774" s="16" t="n">
        <v>0</v>
      </c>
    </row>
    <row r="775">
      <c r="A775" t="inlineStr">
        <is>
          <t>MTR-IOS-0773</t>
        </is>
      </c>
      <c r="B775" t="inlineStr">
        <is>
          <t>Gift Pool</t>
        </is>
      </c>
      <c r="C775" t="inlineStr">
        <is>
          <t>PERCENTAGE</t>
        </is>
      </c>
      <c r="D775" t="inlineStr">
        <is>
          <t>IOS Meera</t>
        </is>
      </c>
      <c r="E775" s="16" t="n">
        <v>11289.5</v>
      </c>
      <c r="F775" s="16" t="n">
        <v>2257.9</v>
      </c>
      <c r="G775" s="17" t="n">
        <v>20</v>
      </c>
      <c r="H775" s="16" t="n">
        <v>9031.6</v>
      </c>
      <c r="I775" s="16" t="n">
        <v>0</v>
      </c>
    </row>
    <row r="776">
      <c r="A776" t="inlineStr">
        <is>
          <t>MTR-IOS-0776</t>
        </is>
      </c>
      <c r="B776" t="inlineStr">
        <is>
          <t>Gift Pool</t>
        </is>
      </c>
      <c r="C776" t="inlineStr">
        <is>
          <t>EXACT</t>
        </is>
      </c>
      <c r="D776" t="inlineStr">
        <is>
          <t>IOS Owner</t>
        </is>
      </c>
      <c r="E776" s="16" t="n">
        <v>24822.71</v>
      </c>
      <c r="F776" s="16" t="n">
        <v>8265.959999999999</v>
      </c>
      <c r="G776" s="17" t="n"/>
      <c r="H776" s="16" t="n">
        <v>16556.75</v>
      </c>
      <c r="I776" s="16" t="n">
        <v>0</v>
      </c>
    </row>
    <row r="777">
      <c r="A777" t="inlineStr">
        <is>
          <t>MTR-IOS-0776</t>
        </is>
      </c>
      <c r="B777" t="inlineStr">
        <is>
          <t>Gift Pool</t>
        </is>
      </c>
      <c r="C777" t="inlineStr">
        <is>
          <t>EXACT</t>
        </is>
      </c>
      <c r="D777" t="inlineStr">
        <is>
          <t>IOS Aarav</t>
        </is>
      </c>
      <c r="E777" s="16" t="n">
        <v>0</v>
      </c>
      <c r="F777" s="16" t="n">
        <v>8265.959999999999</v>
      </c>
      <c r="G777" s="17" t="n"/>
      <c r="H777" s="16" t="n">
        <v>-8265.959999999999</v>
      </c>
      <c r="I777" s="16" t="n">
        <v>0</v>
      </c>
    </row>
    <row r="778">
      <c r="A778" t="inlineStr">
        <is>
          <t>MTR-IOS-0776</t>
        </is>
      </c>
      <c r="B778" t="inlineStr">
        <is>
          <t>Gift Pool</t>
        </is>
      </c>
      <c r="C778" t="inlineStr">
        <is>
          <t>EXACT</t>
        </is>
      </c>
      <c r="D778" t="inlineStr">
        <is>
          <t>IOS Meera</t>
        </is>
      </c>
      <c r="E778" s="16" t="n">
        <v>0</v>
      </c>
      <c r="F778" s="16" t="n">
        <v>8290.790000000001</v>
      </c>
      <c r="G778" s="17" t="n"/>
      <c r="H778" s="16" t="n">
        <v>-8290.790000000001</v>
      </c>
      <c r="I778" s="16" t="n">
        <v>0</v>
      </c>
    </row>
    <row r="779">
      <c r="A779" t="inlineStr">
        <is>
          <t>MTR-IOS-0779</t>
        </is>
      </c>
      <c r="B779" t="inlineStr">
        <is>
          <t>Gift Pool</t>
        </is>
      </c>
      <c r="C779" t="inlineStr">
        <is>
          <t>SHARES</t>
        </is>
      </c>
      <c r="D779" t="inlineStr">
        <is>
          <t>IOS Owner</t>
        </is>
      </c>
      <c r="E779" s="16" t="n">
        <v>0</v>
      </c>
      <c r="F779" s="16" t="n">
        <v>3854.77</v>
      </c>
      <c r="G779" s="17" t="n"/>
      <c r="H779" s="16" t="n">
        <v>-3854.77</v>
      </c>
      <c r="I779" s="16" t="n">
        <v>0</v>
      </c>
    </row>
    <row r="780">
      <c r="A780" t="inlineStr">
        <is>
          <t>MTR-IOS-0779</t>
        </is>
      </c>
      <c r="B780" t="inlineStr">
        <is>
          <t>Gift Pool</t>
        </is>
      </c>
      <c r="C780" t="inlineStr">
        <is>
          <t>SHARES</t>
        </is>
      </c>
      <c r="D780" t="inlineStr">
        <is>
          <t>IOS Aarav</t>
        </is>
      </c>
      <c r="E780" s="16" t="n">
        <v>7709.54</v>
      </c>
      <c r="F780" s="16" t="n">
        <v>2569.85</v>
      </c>
      <c r="G780" s="17" t="n"/>
      <c r="H780" s="16" t="n">
        <v>5139.69</v>
      </c>
      <c r="I780" s="16" t="n">
        <v>0</v>
      </c>
    </row>
    <row r="781">
      <c r="A781" t="inlineStr">
        <is>
          <t>MTR-IOS-0779</t>
        </is>
      </c>
      <c r="B781" t="inlineStr">
        <is>
          <t>Gift Pool</t>
        </is>
      </c>
      <c r="C781" t="inlineStr">
        <is>
          <t>SHARES</t>
        </is>
      </c>
      <c r="D781" t="inlineStr">
        <is>
          <t>IOS Meera</t>
        </is>
      </c>
      <c r="E781" s="16" t="n">
        <v>0</v>
      </c>
      <c r="F781" s="16" t="n">
        <v>1284.92</v>
      </c>
      <c r="G781" s="17" t="n"/>
      <c r="H781" s="16" t="n">
        <v>-1284.92</v>
      </c>
      <c r="I781" s="16" t="n">
        <v>0</v>
      </c>
    </row>
    <row r="782">
      <c r="A782" t="inlineStr">
        <is>
          <t>MTR-IOS-0782</t>
        </is>
      </c>
      <c r="B782" t="inlineStr">
        <is>
          <t>Purchase</t>
        </is>
      </c>
      <c r="C782" t="inlineStr">
        <is>
          <t>EQUAL</t>
        </is>
      </c>
      <c r="D782" t="inlineStr">
        <is>
          <t>IOS Owner</t>
        </is>
      </c>
      <c r="E782" s="16" t="n">
        <v>0</v>
      </c>
      <c r="F782" s="16" t="n">
        <v>3758.4</v>
      </c>
      <c r="G782" s="17" t="n"/>
      <c r="H782" s="16" t="n">
        <v>-3758.4</v>
      </c>
      <c r="I782" s="16" t="n">
        <v>0</v>
      </c>
    </row>
    <row r="783">
      <c r="A783" t="inlineStr">
        <is>
          <t>MTR-IOS-0782</t>
        </is>
      </c>
      <c r="B783" t="inlineStr">
        <is>
          <t>Purchase</t>
        </is>
      </c>
      <c r="C783" t="inlineStr">
        <is>
          <t>EQUAL</t>
        </is>
      </c>
      <c r="D783" t="inlineStr">
        <is>
          <t>IOS Aarav</t>
        </is>
      </c>
      <c r="E783" s="16" t="n">
        <v>0</v>
      </c>
      <c r="F783" s="16" t="n">
        <v>3758.4</v>
      </c>
      <c r="G783" s="17" t="n"/>
      <c r="H783" s="16" t="n">
        <v>-3758.4</v>
      </c>
      <c r="I783" s="16" t="n">
        <v>0</v>
      </c>
    </row>
    <row r="784">
      <c r="A784" t="inlineStr">
        <is>
          <t>MTR-IOS-0782</t>
        </is>
      </c>
      <c r="B784" t="inlineStr">
        <is>
          <t>Purchase</t>
        </is>
      </c>
      <c r="C784" t="inlineStr">
        <is>
          <t>EQUAL</t>
        </is>
      </c>
      <c r="D784" t="inlineStr">
        <is>
          <t>IOS Meera</t>
        </is>
      </c>
      <c r="E784" s="16" t="n">
        <v>11275.21</v>
      </c>
      <c r="F784" s="16" t="n">
        <v>3758.41</v>
      </c>
      <c r="G784" s="17" t="n"/>
      <c r="H784" s="16" t="n">
        <v>7516.8</v>
      </c>
      <c r="I784" s="16" t="n">
        <v>0</v>
      </c>
    </row>
    <row r="785">
      <c r="A785" t="inlineStr">
        <is>
          <t>MTR-IOS-0785</t>
        </is>
      </c>
      <c r="B785" t="inlineStr">
        <is>
          <t>Purchase</t>
        </is>
      </c>
      <c r="C785" t="inlineStr">
        <is>
          <t>PERCENTAGE</t>
        </is>
      </c>
      <c r="D785" t="inlineStr">
        <is>
          <t>IOS Owner</t>
        </is>
      </c>
      <c r="E785" s="16" t="n">
        <v>5403.62</v>
      </c>
      <c r="F785" s="16" t="n">
        <v>2701.81</v>
      </c>
      <c r="G785" s="17" t="n">
        <v>50</v>
      </c>
      <c r="H785" s="16" t="n">
        <v>2701.81</v>
      </c>
      <c r="I785" s="16" t="n">
        <v>0</v>
      </c>
    </row>
    <row r="786">
      <c r="A786" t="inlineStr">
        <is>
          <t>MTR-IOS-0785</t>
        </is>
      </c>
      <c r="B786" t="inlineStr">
        <is>
          <t>Purchase</t>
        </is>
      </c>
      <c r="C786" t="inlineStr">
        <is>
          <t>PERCENTAGE</t>
        </is>
      </c>
      <c r="D786" t="inlineStr">
        <is>
          <t>IOS Aarav</t>
        </is>
      </c>
      <c r="E786" s="16" t="n">
        <v>0</v>
      </c>
      <c r="F786" s="16" t="n">
        <v>1621.09</v>
      </c>
      <c r="G786" s="17" t="n">
        <v>30</v>
      </c>
      <c r="H786" s="16" t="n">
        <v>-1621.09</v>
      </c>
      <c r="I786" s="16" t="n">
        <v>0</v>
      </c>
    </row>
    <row r="787">
      <c r="A787" t="inlineStr">
        <is>
          <t>MTR-IOS-0785</t>
        </is>
      </c>
      <c r="B787" t="inlineStr">
        <is>
          <t>Purchase</t>
        </is>
      </c>
      <c r="C787" t="inlineStr">
        <is>
          <t>PERCENTAGE</t>
        </is>
      </c>
      <c r="D787" t="inlineStr">
        <is>
          <t>IOS Meera</t>
        </is>
      </c>
      <c r="E787" s="16" t="n">
        <v>0</v>
      </c>
      <c r="F787" s="16" t="n">
        <v>1080.72</v>
      </c>
      <c r="G787" s="17" t="n">
        <v>20</v>
      </c>
      <c r="H787" s="16" t="n">
        <v>-1080.72</v>
      </c>
      <c r="I787" s="16" t="n">
        <v>0</v>
      </c>
    </row>
    <row r="788">
      <c r="A788" t="inlineStr">
        <is>
          <t>MTR-IOS-0788</t>
        </is>
      </c>
      <c r="B788" t="inlineStr">
        <is>
          <t>Purchase</t>
        </is>
      </c>
      <c r="C788" t="inlineStr">
        <is>
          <t>EXACT</t>
        </is>
      </c>
      <c r="D788" t="inlineStr">
        <is>
          <t>IOS Owner</t>
        </is>
      </c>
      <c r="E788" s="16" t="n">
        <v>0</v>
      </c>
      <c r="F788" s="16" t="n">
        <v>4184.12</v>
      </c>
      <c r="G788" s="17" t="n"/>
      <c r="H788" s="16" t="n">
        <v>-4184.12</v>
      </c>
      <c r="I788" s="16" t="n">
        <v>0</v>
      </c>
    </row>
    <row r="789">
      <c r="A789" t="inlineStr">
        <is>
          <t>MTR-IOS-0788</t>
        </is>
      </c>
      <c r="B789" t="inlineStr">
        <is>
          <t>Purchase</t>
        </is>
      </c>
      <c r="C789" t="inlineStr">
        <is>
          <t>EXACT</t>
        </is>
      </c>
      <c r="D789" t="inlineStr">
        <is>
          <t>IOS Aarav</t>
        </is>
      </c>
      <c r="E789" s="16" t="n">
        <v>12564.93</v>
      </c>
      <c r="F789" s="16" t="n">
        <v>4184.12</v>
      </c>
      <c r="G789" s="17" t="n"/>
      <c r="H789" s="16" t="n">
        <v>8380.809999999999</v>
      </c>
      <c r="I789" s="16" t="n">
        <v>0</v>
      </c>
    </row>
    <row r="790">
      <c r="A790" t="inlineStr">
        <is>
          <t>MTR-IOS-0788</t>
        </is>
      </c>
      <c r="B790" t="inlineStr">
        <is>
          <t>Purchase</t>
        </is>
      </c>
      <c r="C790" t="inlineStr">
        <is>
          <t>EXACT</t>
        </is>
      </c>
      <c r="D790" t="inlineStr">
        <is>
          <t>IOS Meera</t>
        </is>
      </c>
      <c r="E790" s="16" t="n">
        <v>0</v>
      </c>
      <c r="F790" s="16" t="n">
        <v>4196.69</v>
      </c>
      <c r="G790" s="17" t="n"/>
      <c r="H790" s="16" t="n">
        <v>-4196.69</v>
      </c>
      <c r="I790" s="16" t="n">
        <v>0</v>
      </c>
    </row>
    <row r="791">
      <c r="A791" t="inlineStr">
        <is>
          <t>MTR-IOS-0791</t>
        </is>
      </c>
      <c r="B791" t="inlineStr">
        <is>
          <t>Purchase</t>
        </is>
      </c>
      <c r="C791" t="inlineStr">
        <is>
          <t>SHARES</t>
        </is>
      </c>
      <c r="D791" t="inlineStr">
        <is>
          <t>IOS Owner</t>
        </is>
      </c>
      <c r="E791" s="16" t="n">
        <v>0</v>
      </c>
      <c r="F791" s="16" t="n">
        <v>12226.5</v>
      </c>
      <c r="G791" s="17" t="n"/>
      <c r="H791" s="16" t="n">
        <v>-12226.5</v>
      </c>
      <c r="I791" s="16" t="n">
        <v>0</v>
      </c>
    </row>
    <row r="792">
      <c r="A792" t="inlineStr">
        <is>
          <t>MTR-IOS-0791</t>
        </is>
      </c>
      <c r="B792" t="inlineStr">
        <is>
          <t>Purchase</t>
        </is>
      </c>
      <c r="C792" t="inlineStr">
        <is>
          <t>SHARES</t>
        </is>
      </c>
      <c r="D792" t="inlineStr">
        <is>
          <t>IOS Aarav</t>
        </is>
      </c>
      <c r="E792" s="16" t="n">
        <v>0</v>
      </c>
      <c r="F792" s="16" t="n">
        <v>8151</v>
      </c>
      <c r="G792" s="17" t="n"/>
      <c r="H792" s="16" t="n">
        <v>-8151</v>
      </c>
      <c r="I792" s="16" t="n">
        <v>0</v>
      </c>
    </row>
    <row r="793">
      <c r="A793" t="inlineStr">
        <is>
          <t>MTR-IOS-0791</t>
        </is>
      </c>
      <c r="B793" t="inlineStr">
        <is>
          <t>Purchase</t>
        </is>
      </c>
      <c r="C793" t="inlineStr">
        <is>
          <t>SHARES</t>
        </is>
      </c>
      <c r="D793" t="inlineStr">
        <is>
          <t>IOS Meera</t>
        </is>
      </c>
      <c r="E793" s="16" t="n">
        <v>24453</v>
      </c>
      <c r="F793" s="16" t="n">
        <v>4075.5</v>
      </c>
      <c r="G793" s="17" t="n"/>
      <c r="H793" s="16" t="n">
        <v>20377.5</v>
      </c>
      <c r="I793" s="16" t="n">
        <v>0</v>
      </c>
    </row>
    <row r="794">
      <c r="A794" t="inlineStr">
        <is>
          <t>MTR-IOS-0794</t>
        </is>
      </c>
      <c r="B794" t="inlineStr">
        <is>
          <t>Assets</t>
        </is>
      </c>
      <c r="C794" t="inlineStr">
        <is>
          <t>EQUAL</t>
        </is>
      </c>
      <c r="D794" t="inlineStr">
        <is>
          <t>IOS Owner</t>
        </is>
      </c>
      <c r="E794" s="16" t="n">
        <v>7894.57</v>
      </c>
      <c r="F794" s="16" t="n">
        <v>2631.52</v>
      </c>
      <c r="G794" s="17" t="n"/>
      <c r="H794" s="16" t="n">
        <v>5263.05</v>
      </c>
      <c r="I794" s="16" t="n">
        <v>0</v>
      </c>
    </row>
    <row r="795">
      <c r="A795" t="inlineStr">
        <is>
          <t>MTR-IOS-0794</t>
        </is>
      </c>
      <c r="B795" t="inlineStr">
        <is>
          <t>Assets</t>
        </is>
      </c>
      <c r="C795" t="inlineStr">
        <is>
          <t>EQUAL</t>
        </is>
      </c>
      <c r="D795" t="inlineStr">
        <is>
          <t>IOS Aarav</t>
        </is>
      </c>
      <c r="E795" s="16" t="n">
        <v>0</v>
      </c>
      <c r="F795" s="16" t="n">
        <v>2631.52</v>
      </c>
      <c r="G795" s="17" t="n"/>
      <c r="H795" s="16" t="n">
        <v>-2631.52</v>
      </c>
      <c r="I795" s="16" t="n">
        <v>0</v>
      </c>
    </row>
    <row r="796">
      <c r="A796" t="inlineStr">
        <is>
          <t>MTR-IOS-0794</t>
        </is>
      </c>
      <c r="B796" t="inlineStr">
        <is>
          <t>Assets</t>
        </is>
      </c>
      <c r="C796" t="inlineStr">
        <is>
          <t>EQUAL</t>
        </is>
      </c>
      <c r="D796" t="inlineStr">
        <is>
          <t>IOS Meera</t>
        </is>
      </c>
      <c r="E796" s="16" t="n">
        <v>0</v>
      </c>
      <c r="F796" s="16" t="n">
        <v>2631.53</v>
      </c>
      <c r="G796" s="17" t="n"/>
      <c r="H796" s="16" t="n">
        <v>-2631.53</v>
      </c>
      <c r="I796" s="16" t="n">
        <v>0</v>
      </c>
    </row>
    <row r="797">
      <c r="A797" t="inlineStr">
        <is>
          <t>MTR-IOS-0797</t>
        </is>
      </c>
      <c r="B797" t="inlineStr">
        <is>
          <t>Assets</t>
        </is>
      </c>
      <c r="C797" t="inlineStr">
        <is>
          <t>PERCENTAGE</t>
        </is>
      </c>
      <c r="D797" t="inlineStr">
        <is>
          <t>IOS Owner</t>
        </is>
      </c>
      <c r="E797" s="16" t="n">
        <v>0</v>
      </c>
      <c r="F797" s="16" t="n">
        <v>5779.72</v>
      </c>
      <c r="G797" s="17" t="n">
        <v>50</v>
      </c>
      <c r="H797" s="16" t="n">
        <v>-5779.72</v>
      </c>
      <c r="I797" s="16" t="n">
        <v>0</v>
      </c>
    </row>
    <row r="798">
      <c r="A798" t="inlineStr">
        <is>
          <t>MTR-IOS-0797</t>
        </is>
      </c>
      <c r="B798" t="inlineStr">
        <is>
          <t>Assets</t>
        </is>
      </c>
      <c r="C798" t="inlineStr">
        <is>
          <t>PERCENTAGE</t>
        </is>
      </c>
      <c r="D798" t="inlineStr">
        <is>
          <t>IOS Aarav</t>
        </is>
      </c>
      <c r="E798" s="16" t="n">
        <v>11559.44</v>
      </c>
      <c r="F798" s="16" t="n">
        <v>3467.83</v>
      </c>
      <c r="G798" s="17" t="n">
        <v>30</v>
      </c>
      <c r="H798" s="16" t="n">
        <v>8091.61</v>
      </c>
      <c r="I798" s="16" t="n">
        <v>0</v>
      </c>
    </row>
    <row r="799">
      <c r="A799" t="inlineStr">
        <is>
          <t>MTR-IOS-0797</t>
        </is>
      </c>
      <c r="B799" t="inlineStr">
        <is>
          <t>Assets</t>
        </is>
      </c>
      <c r="C799" t="inlineStr">
        <is>
          <t>PERCENTAGE</t>
        </is>
      </c>
      <c r="D799" t="inlineStr">
        <is>
          <t>IOS Meera</t>
        </is>
      </c>
      <c r="E799" s="16" t="n">
        <v>0</v>
      </c>
      <c r="F799" s="16" t="n">
        <v>2311.89</v>
      </c>
      <c r="G799" s="17" t="n">
        <v>20</v>
      </c>
      <c r="H799" s="16" t="n">
        <v>-2311.89</v>
      </c>
      <c r="I799" s="16" t="n">
        <v>0</v>
      </c>
    </row>
    <row r="800">
      <c r="A800" t="inlineStr">
        <is>
          <t>MTR-IOS-0800</t>
        </is>
      </c>
      <c r="B800" t="inlineStr">
        <is>
          <t>Assets</t>
        </is>
      </c>
      <c r="C800" t="inlineStr">
        <is>
          <t>EXACT</t>
        </is>
      </c>
      <c r="D800" t="inlineStr">
        <is>
          <t>IOS Owner</t>
        </is>
      </c>
      <c r="E800" s="16" t="n">
        <v>0</v>
      </c>
      <c r="F800" s="16" t="n">
        <v>6713.18</v>
      </c>
      <c r="G800" s="17" t="n"/>
      <c r="H800" s="16" t="n">
        <v>-6713.18</v>
      </c>
      <c r="I800" s="16" t="n">
        <v>0</v>
      </c>
    </row>
    <row r="801">
      <c r="A801" t="inlineStr">
        <is>
          <t>MTR-IOS-0800</t>
        </is>
      </c>
      <c r="B801" t="inlineStr">
        <is>
          <t>Assets</t>
        </is>
      </c>
      <c r="C801" t="inlineStr">
        <is>
          <t>EXACT</t>
        </is>
      </c>
      <c r="D801" t="inlineStr">
        <is>
          <t>IOS Aarav</t>
        </is>
      </c>
      <c r="E801" s="16" t="n">
        <v>0</v>
      </c>
      <c r="F801" s="16" t="n">
        <v>6713.18</v>
      </c>
      <c r="G801" s="17" t="n"/>
      <c r="H801" s="16" t="n">
        <v>-6713.18</v>
      </c>
      <c r="I801" s="16" t="n">
        <v>0</v>
      </c>
    </row>
    <row r="802">
      <c r="A802" t="inlineStr">
        <is>
          <t>MTR-IOS-0800</t>
        </is>
      </c>
      <c r="B802" t="inlineStr">
        <is>
          <t>Assets</t>
        </is>
      </c>
      <c r="C802" t="inlineStr">
        <is>
          <t>EXACT</t>
        </is>
      </c>
      <c r="D802" t="inlineStr">
        <is>
          <t>IOS Meera</t>
        </is>
      </c>
      <c r="E802" s="16" t="n">
        <v>20159.69</v>
      </c>
      <c r="F802" s="16" t="n">
        <v>6733.33</v>
      </c>
      <c r="G802" s="17" t="n"/>
      <c r="H802" s="16" t="n">
        <v>13426.36</v>
      </c>
      <c r="I802" s="16" t="n">
        <v>0</v>
      </c>
    </row>
    <row r="803">
      <c r="A803" t="inlineStr">
        <is>
          <t>MTR-IOS-0803</t>
        </is>
      </c>
      <c r="B803" t="inlineStr">
        <is>
          <t>Assets</t>
        </is>
      </c>
      <c r="C803" t="inlineStr">
        <is>
          <t>SHARES</t>
        </is>
      </c>
      <c r="D803" t="inlineStr">
        <is>
          <t>IOS Owner</t>
        </is>
      </c>
      <c r="E803" s="16" t="n">
        <v>19594.23</v>
      </c>
      <c r="F803" s="16" t="n">
        <v>9797.120000000001</v>
      </c>
      <c r="G803" s="17" t="n"/>
      <c r="H803" s="16" t="n">
        <v>9797.110000000001</v>
      </c>
      <c r="I803" s="16" t="n">
        <v>0</v>
      </c>
    </row>
    <row r="804">
      <c r="A804" t="inlineStr">
        <is>
          <t>MTR-IOS-0803</t>
        </is>
      </c>
      <c r="B804" t="inlineStr">
        <is>
          <t>Assets</t>
        </is>
      </c>
      <c r="C804" t="inlineStr">
        <is>
          <t>SHARES</t>
        </is>
      </c>
      <c r="D804" t="inlineStr">
        <is>
          <t>IOS Aarav</t>
        </is>
      </c>
      <c r="E804" s="16" t="n">
        <v>0</v>
      </c>
      <c r="F804" s="16" t="n">
        <v>6531.41</v>
      </c>
      <c r="G804" s="17" t="n"/>
      <c r="H804" s="16" t="n">
        <v>-6531.41</v>
      </c>
      <c r="I804" s="16" t="n">
        <v>0</v>
      </c>
    </row>
    <row r="805">
      <c r="A805" t="inlineStr">
        <is>
          <t>MTR-IOS-0803</t>
        </is>
      </c>
      <c r="B805" t="inlineStr">
        <is>
          <t>Assets</t>
        </is>
      </c>
      <c r="C805" t="inlineStr">
        <is>
          <t>SHARES</t>
        </is>
      </c>
      <c r="D805" t="inlineStr">
        <is>
          <t>IOS Meera</t>
        </is>
      </c>
      <c r="E805" s="16" t="n">
        <v>0</v>
      </c>
      <c r="F805" s="16" t="n">
        <v>3265.7</v>
      </c>
      <c r="G805" s="17" t="n"/>
      <c r="H805" s="16" t="n">
        <v>-3265.7</v>
      </c>
      <c r="I805" s="16" t="n">
        <v>0</v>
      </c>
    </row>
    <row r="806">
      <c r="A806" t="inlineStr">
        <is>
          <t>MTR-IOS-0806</t>
        </is>
      </c>
      <c r="B806" t="inlineStr">
        <is>
          <t>Assets</t>
        </is>
      </c>
      <c r="C806" t="inlineStr">
        <is>
          <t>EQUAL</t>
        </is>
      </c>
      <c r="D806" t="inlineStr">
        <is>
          <t>IOS Owner</t>
        </is>
      </c>
      <c r="E806" s="16" t="n">
        <v>0</v>
      </c>
      <c r="F806" s="16" t="n">
        <v>7415.45</v>
      </c>
      <c r="G806" s="17" t="n"/>
      <c r="H806" s="16" t="n">
        <v>-7415.45</v>
      </c>
      <c r="I806" s="16" t="n">
        <v>0</v>
      </c>
    </row>
    <row r="807">
      <c r="A807" t="inlineStr">
        <is>
          <t>MTR-IOS-0806</t>
        </is>
      </c>
      <c r="B807" t="inlineStr">
        <is>
          <t>Assets</t>
        </is>
      </c>
      <c r="C807" t="inlineStr">
        <is>
          <t>EQUAL</t>
        </is>
      </c>
      <c r="D807" t="inlineStr">
        <is>
          <t>IOS Aarav</t>
        </is>
      </c>
      <c r="E807" s="16" t="n">
        <v>22246.36</v>
      </c>
      <c r="F807" s="16" t="n">
        <v>7415.45</v>
      </c>
      <c r="G807" s="17" t="n"/>
      <c r="H807" s="16" t="n">
        <v>14830.91</v>
      </c>
      <c r="I807" s="16" t="n">
        <v>0</v>
      </c>
    </row>
    <row r="808">
      <c r="A808" t="inlineStr">
        <is>
          <t>MTR-IOS-0806</t>
        </is>
      </c>
      <c r="B808" t="inlineStr">
        <is>
          <t>Assets</t>
        </is>
      </c>
      <c r="C808" t="inlineStr">
        <is>
          <t>EQUAL</t>
        </is>
      </c>
      <c r="D808" t="inlineStr">
        <is>
          <t>IOS Meera</t>
        </is>
      </c>
      <c r="E808" s="16" t="n">
        <v>0</v>
      </c>
      <c r="F808" s="16" t="n">
        <v>7415.46</v>
      </c>
      <c r="G808" s="17" t="n"/>
      <c r="H808" s="16" t="n">
        <v>-7415.46</v>
      </c>
      <c r="I808" s="16" t="n">
        <v>0</v>
      </c>
    </row>
    <row r="809">
      <c r="A809" t="inlineStr">
        <is>
          <t>MTR-IOS-0809</t>
        </is>
      </c>
      <c r="B809" t="inlineStr">
        <is>
          <t>Custom Purchase</t>
        </is>
      </c>
      <c r="C809" t="inlineStr">
        <is>
          <t>PERCENTAGE</t>
        </is>
      </c>
      <c r="D809" t="inlineStr">
        <is>
          <t>IOS Owner</t>
        </is>
      </c>
      <c r="E809" s="16" t="n">
        <v>0</v>
      </c>
      <c r="F809" s="16" t="n">
        <v>10232.54</v>
      </c>
      <c r="G809" s="17" t="n">
        <v>50</v>
      </c>
      <c r="H809" s="16" t="n">
        <v>-10232.54</v>
      </c>
      <c r="I809" s="16" t="n">
        <v>0</v>
      </c>
    </row>
    <row r="810">
      <c r="A810" t="inlineStr">
        <is>
          <t>MTR-IOS-0809</t>
        </is>
      </c>
      <c r="B810" t="inlineStr">
        <is>
          <t>Custom Purchase</t>
        </is>
      </c>
      <c r="C810" t="inlineStr">
        <is>
          <t>PERCENTAGE</t>
        </is>
      </c>
      <c r="D810" t="inlineStr">
        <is>
          <t>IOS Aarav</t>
        </is>
      </c>
      <c r="E810" s="16" t="n">
        <v>0</v>
      </c>
      <c r="F810" s="16" t="n">
        <v>6139.52</v>
      </c>
      <c r="G810" s="17" t="n">
        <v>30</v>
      </c>
      <c r="H810" s="16" t="n">
        <v>-6139.52</v>
      </c>
      <c r="I810" s="16" t="n">
        <v>0</v>
      </c>
    </row>
    <row r="811">
      <c r="A811" t="inlineStr">
        <is>
          <t>MTR-IOS-0809</t>
        </is>
      </c>
      <c r="B811" t="inlineStr">
        <is>
          <t>Custom Purchase</t>
        </is>
      </c>
      <c r="C811" t="inlineStr">
        <is>
          <t>PERCENTAGE</t>
        </is>
      </c>
      <c r="D811" t="inlineStr">
        <is>
          <t>IOS Meera</t>
        </is>
      </c>
      <c r="E811" s="16" t="n">
        <v>20465.07</v>
      </c>
      <c r="F811" s="16" t="n">
        <v>4093.01</v>
      </c>
      <c r="G811" s="17" t="n">
        <v>20</v>
      </c>
      <c r="H811" s="16" t="n">
        <v>16372.06</v>
      </c>
      <c r="I811" s="16" t="n">
        <v>0</v>
      </c>
    </row>
    <row r="812">
      <c r="A812" t="inlineStr">
        <is>
          <t>MTR-IOS-0812</t>
        </is>
      </c>
      <c r="B812" t="inlineStr">
        <is>
          <t>Custom Purchase</t>
        </is>
      </c>
      <c r="C812" t="inlineStr">
        <is>
          <t>EXACT</t>
        </is>
      </c>
      <c r="D812" t="inlineStr">
        <is>
          <t>IOS Owner</t>
        </is>
      </c>
      <c r="E812" s="16" t="n">
        <v>1326</v>
      </c>
      <c r="F812" s="16" t="n">
        <v>441.56</v>
      </c>
      <c r="G812" s="17" t="n"/>
      <c r="H812" s="16" t="n">
        <v>884.4400000000001</v>
      </c>
      <c r="I812" s="16" t="n">
        <v>0</v>
      </c>
    </row>
    <row r="813">
      <c r="A813" t="inlineStr">
        <is>
          <t>MTR-IOS-0812</t>
        </is>
      </c>
      <c r="B813" t="inlineStr">
        <is>
          <t>Custom Purchase</t>
        </is>
      </c>
      <c r="C813" t="inlineStr">
        <is>
          <t>EXACT</t>
        </is>
      </c>
      <c r="D813" t="inlineStr">
        <is>
          <t>IOS Aarav</t>
        </is>
      </c>
      <c r="E813" s="16" t="n">
        <v>0</v>
      </c>
      <c r="F813" s="16" t="n">
        <v>441.56</v>
      </c>
      <c r="G813" s="17" t="n"/>
      <c r="H813" s="16" t="n">
        <v>-441.56</v>
      </c>
      <c r="I813" s="16" t="n">
        <v>0</v>
      </c>
    </row>
    <row r="814">
      <c r="A814" t="inlineStr">
        <is>
          <t>MTR-IOS-0812</t>
        </is>
      </c>
      <c r="B814" t="inlineStr">
        <is>
          <t>Custom Purchase</t>
        </is>
      </c>
      <c r="C814" t="inlineStr">
        <is>
          <t>EXACT</t>
        </is>
      </c>
      <c r="D814" t="inlineStr">
        <is>
          <t>IOS Meera</t>
        </is>
      </c>
      <c r="E814" s="16" t="n">
        <v>0</v>
      </c>
      <c r="F814" s="16" t="n">
        <v>442.88</v>
      </c>
      <c r="G814" s="17" t="n"/>
      <c r="H814" s="16" t="n">
        <v>-442.88</v>
      </c>
      <c r="I814" s="16" t="n">
        <v>0</v>
      </c>
    </row>
    <row r="815">
      <c r="A815" t="inlineStr">
        <is>
          <t>MTR-IOS-0815</t>
        </is>
      </c>
      <c r="B815" t="inlineStr">
        <is>
          <t>Flatmates</t>
        </is>
      </c>
      <c r="C815" t="inlineStr">
        <is>
          <t>SHARES</t>
        </is>
      </c>
      <c r="D815" t="inlineStr">
        <is>
          <t>IOS Owner</t>
        </is>
      </c>
      <c r="E815" s="16" t="n">
        <v>0</v>
      </c>
      <c r="F815" s="16" t="n">
        <v>1112.35</v>
      </c>
      <c r="G815" s="17" t="n"/>
      <c r="H815" s="16" t="n">
        <v>-1112.35</v>
      </c>
      <c r="I815" s="16" t="n">
        <v>0</v>
      </c>
    </row>
    <row r="816">
      <c r="A816" t="inlineStr">
        <is>
          <t>MTR-IOS-0815</t>
        </is>
      </c>
      <c r="B816" t="inlineStr">
        <is>
          <t>Flatmates</t>
        </is>
      </c>
      <c r="C816" t="inlineStr">
        <is>
          <t>SHARES</t>
        </is>
      </c>
      <c r="D816" t="inlineStr">
        <is>
          <t>IOS Aarav</t>
        </is>
      </c>
      <c r="E816" s="16" t="n">
        <v>2224.7</v>
      </c>
      <c r="F816" s="16" t="n">
        <v>741.5700000000001</v>
      </c>
      <c r="G816" s="17" t="n"/>
      <c r="H816" s="16" t="n">
        <v>1483.13</v>
      </c>
      <c r="I816" s="16" t="n">
        <v>0</v>
      </c>
    </row>
    <row r="817">
      <c r="A817" t="inlineStr">
        <is>
          <t>MTR-IOS-0815</t>
        </is>
      </c>
      <c r="B817" t="inlineStr">
        <is>
          <t>Flatmates</t>
        </is>
      </c>
      <c r="C817" t="inlineStr">
        <is>
          <t>SHARES</t>
        </is>
      </c>
      <c r="D817" t="inlineStr">
        <is>
          <t>IOS Meera</t>
        </is>
      </c>
      <c r="E817" s="16" t="n">
        <v>0</v>
      </c>
      <c r="F817" s="16" t="n">
        <v>370.78</v>
      </c>
      <c r="G817" s="17" t="n"/>
      <c r="H817" s="16" t="n">
        <v>-370.78</v>
      </c>
      <c r="I817" s="16" t="n">
        <v>0</v>
      </c>
    </row>
    <row r="818">
      <c r="A818" t="inlineStr">
        <is>
          <t>MTR-IOS-0818</t>
        </is>
      </c>
      <c r="B818" t="inlineStr">
        <is>
          <t>Flatmates</t>
        </is>
      </c>
      <c r="C818" t="inlineStr">
        <is>
          <t>EQUAL</t>
        </is>
      </c>
      <c r="D818" t="inlineStr">
        <is>
          <t>IOS Owner</t>
        </is>
      </c>
      <c r="E818" s="16" t="n">
        <v>0</v>
      </c>
      <c r="F818" s="16" t="n">
        <v>7263.2</v>
      </c>
      <c r="G818" s="17" t="n"/>
      <c r="H818" s="16" t="n">
        <v>-7263.2</v>
      </c>
      <c r="I818" s="16" t="n">
        <v>0</v>
      </c>
    </row>
    <row r="819">
      <c r="A819" t="inlineStr">
        <is>
          <t>MTR-IOS-0818</t>
        </is>
      </c>
      <c r="B819" t="inlineStr">
        <is>
          <t>Flatmates</t>
        </is>
      </c>
      <c r="C819" t="inlineStr">
        <is>
          <t>EQUAL</t>
        </is>
      </c>
      <c r="D819" t="inlineStr">
        <is>
          <t>IOS Aarav</t>
        </is>
      </c>
      <c r="E819" s="16" t="n">
        <v>0</v>
      </c>
      <c r="F819" s="16" t="n">
        <v>7263.2</v>
      </c>
      <c r="G819" s="17" t="n"/>
      <c r="H819" s="16" t="n">
        <v>-7263.2</v>
      </c>
      <c r="I819" s="16" t="n">
        <v>0</v>
      </c>
    </row>
    <row r="820">
      <c r="A820" t="inlineStr">
        <is>
          <t>MTR-IOS-0818</t>
        </is>
      </c>
      <c r="B820" t="inlineStr">
        <is>
          <t>Flatmates</t>
        </is>
      </c>
      <c r="C820" t="inlineStr">
        <is>
          <t>EQUAL</t>
        </is>
      </c>
      <c r="D820" t="inlineStr">
        <is>
          <t>IOS Meera</t>
        </is>
      </c>
      <c r="E820" s="16" t="n">
        <v>21789.61</v>
      </c>
      <c r="F820" s="16" t="n">
        <v>7263.21</v>
      </c>
      <c r="G820" s="17" t="n"/>
      <c r="H820" s="16" t="n">
        <v>14526.4</v>
      </c>
      <c r="I820" s="16" t="n">
        <v>0</v>
      </c>
    </row>
    <row r="821">
      <c r="A821" t="inlineStr">
        <is>
          <t>MTR-IOS-0821</t>
        </is>
      </c>
      <c r="B821" t="inlineStr">
        <is>
          <t>Flatmates</t>
        </is>
      </c>
      <c r="C821" t="inlineStr">
        <is>
          <t>PERCENTAGE</t>
        </is>
      </c>
      <c r="D821" t="inlineStr">
        <is>
          <t>IOS Owner</t>
        </is>
      </c>
      <c r="E821" s="16" t="n">
        <v>1857.83</v>
      </c>
      <c r="F821" s="16" t="n">
        <v>928.92</v>
      </c>
      <c r="G821" s="17" t="n">
        <v>50</v>
      </c>
      <c r="H821" s="16" t="n">
        <v>928.91</v>
      </c>
      <c r="I821" s="16" t="n">
        <v>0</v>
      </c>
    </row>
    <row r="822">
      <c r="A822" t="inlineStr">
        <is>
          <t>MTR-IOS-0821</t>
        </is>
      </c>
      <c r="B822" t="inlineStr">
        <is>
          <t>Flatmates</t>
        </is>
      </c>
      <c r="C822" t="inlineStr">
        <is>
          <t>PERCENTAGE</t>
        </is>
      </c>
      <c r="D822" t="inlineStr">
        <is>
          <t>IOS Aarav</t>
        </is>
      </c>
      <c r="E822" s="16" t="n">
        <v>0</v>
      </c>
      <c r="F822" s="16" t="n">
        <v>557.35</v>
      </c>
      <c r="G822" s="17" t="n">
        <v>30</v>
      </c>
      <c r="H822" s="16" t="n">
        <v>-557.35</v>
      </c>
      <c r="I822" s="16" t="n">
        <v>0</v>
      </c>
    </row>
    <row r="823">
      <c r="A823" t="inlineStr">
        <is>
          <t>MTR-IOS-0821</t>
        </is>
      </c>
      <c r="B823" t="inlineStr">
        <is>
          <t>Flatmates</t>
        </is>
      </c>
      <c r="C823" t="inlineStr">
        <is>
          <t>PERCENTAGE</t>
        </is>
      </c>
      <c r="D823" t="inlineStr">
        <is>
          <t>IOS Meera</t>
        </is>
      </c>
      <c r="E823" s="16" t="n">
        <v>0</v>
      </c>
      <c r="F823" s="16" t="n">
        <v>371.56</v>
      </c>
      <c r="G823" s="17" t="n">
        <v>20</v>
      </c>
      <c r="H823" s="16" t="n">
        <v>-371.56</v>
      </c>
      <c r="I823" s="16" t="n">
        <v>0</v>
      </c>
    </row>
    <row r="824">
      <c r="A824" t="inlineStr">
        <is>
          <t>MTR-IOS-0824</t>
        </is>
      </c>
      <c r="B824" t="inlineStr">
        <is>
          <t>Flatmates</t>
        </is>
      </c>
      <c r="C824" t="inlineStr">
        <is>
          <t>EXACT</t>
        </is>
      </c>
      <c r="D824" t="inlineStr">
        <is>
          <t>IOS Owner</t>
        </is>
      </c>
      <c r="E824" s="16" t="n">
        <v>0</v>
      </c>
      <c r="F824" s="16" t="n">
        <v>3188.47</v>
      </c>
      <c r="G824" s="17" t="n"/>
      <c r="H824" s="16" t="n">
        <v>-3188.47</v>
      </c>
      <c r="I824" s="16" t="n">
        <v>0</v>
      </c>
    </row>
    <row r="825">
      <c r="A825" t="inlineStr">
        <is>
          <t>MTR-IOS-0824</t>
        </is>
      </c>
      <c r="B825" t="inlineStr">
        <is>
          <t>Flatmates</t>
        </is>
      </c>
      <c r="C825" t="inlineStr">
        <is>
          <t>EXACT</t>
        </is>
      </c>
      <c r="D825" t="inlineStr">
        <is>
          <t>IOS Aarav</t>
        </is>
      </c>
      <c r="E825" s="16" t="n">
        <v>9574.98</v>
      </c>
      <c r="F825" s="16" t="n">
        <v>3188.47</v>
      </c>
      <c r="G825" s="17" t="n"/>
      <c r="H825" s="16" t="n">
        <v>6386.51</v>
      </c>
      <c r="I825" s="16" t="n">
        <v>0</v>
      </c>
    </row>
    <row r="826">
      <c r="A826" t="inlineStr">
        <is>
          <t>MTR-IOS-0824</t>
        </is>
      </c>
      <c r="B826" t="inlineStr">
        <is>
          <t>Flatmates</t>
        </is>
      </c>
      <c r="C826" t="inlineStr">
        <is>
          <t>EXACT</t>
        </is>
      </c>
      <c r="D826" t="inlineStr">
        <is>
          <t>IOS Meera</t>
        </is>
      </c>
      <c r="E826" s="16" t="n">
        <v>0</v>
      </c>
      <c r="F826" s="16" t="n">
        <v>3198.04</v>
      </c>
      <c r="G826" s="17" t="n"/>
      <c r="H826" s="16" t="n">
        <v>-3198.04</v>
      </c>
      <c r="I826" s="16" t="n">
        <v>0</v>
      </c>
    </row>
    <row r="827">
      <c r="A827" t="inlineStr">
        <is>
          <t>MTR-IOS-0827</t>
        </is>
      </c>
      <c r="B827" t="inlineStr">
        <is>
          <t>Flatmates</t>
        </is>
      </c>
      <c r="C827" t="inlineStr">
        <is>
          <t>SHARES</t>
        </is>
      </c>
      <c r="D827" t="inlineStr">
        <is>
          <t>IOS Owner</t>
        </is>
      </c>
      <c r="E827" s="16" t="n">
        <v>0</v>
      </c>
      <c r="F827" s="16" t="n">
        <v>7641.65</v>
      </c>
      <c r="G827" s="17" t="n"/>
      <c r="H827" s="16" t="n">
        <v>-7641.65</v>
      </c>
      <c r="I827" s="16" t="n">
        <v>0</v>
      </c>
    </row>
    <row r="828">
      <c r="A828" t="inlineStr">
        <is>
          <t>MTR-IOS-0827</t>
        </is>
      </c>
      <c r="B828" t="inlineStr">
        <is>
          <t>Flatmates</t>
        </is>
      </c>
      <c r="C828" t="inlineStr">
        <is>
          <t>SHARES</t>
        </is>
      </c>
      <c r="D828" t="inlineStr">
        <is>
          <t>IOS Aarav</t>
        </is>
      </c>
      <c r="E828" s="16" t="n">
        <v>0</v>
      </c>
      <c r="F828" s="16" t="n">
        <v>5094.43</v>
      </c>
      <c r="G828" s="17" t="n"/>
      <c r="H828" s="16" t="n">
        <v>-5094.43</v>
      </c>
      <c r="I828" s="16" t="n">
        <v>0</v>
      </c>
    </row>
    <row r="829">
      <c r="A829" t="inlineStr">
        <is>
          <t>MTR-IOS-0827</t>
        </is>
      </c>
      <c r="B829" t="inlineStr">
        <is>
          <t>Flatmates</t>
        </is>
      </c>
      <c r="C829" t="inlineStr">
        <is>
          <t>SHARES</t>
        </is>
      </c>
      <c r="D829" t="inlineStr">
        <is>
          <t>IOS Meera</t>
        </is>
      </c>
      <c r="E829" s="16" t="n">
        <v>15283.29</v>
      </c>
      <c r="F829" s="16" t="n">
        <v>2547.21</v>
      </c>
      <c r="G829" s="17" t="n"/>
      <c r="H829" s="16" t="n">
        <v>12736.08</v>
      </c>
      <c r="I829" s="16" t="n">
        <v>0</v>
      </c>
    </row>
    <row r="830">
      <c r="A830" t="inlineStr">
        <is>
          <t>MTR-IOS-0830</t>
        </is>
      </c>
      <c r="B830" t="inlineStr">
        <is>
          <t>Flatmates</t>
        </is>
      </c>
      <c r="C830" t="inlineStr">
        <is>
          <t>EQUAL</t>
        </is>
      </c>
      <c r="D830" t="inlineStr">
        <is>
          <t>IOS Owner</t>
        </is>
      </c>
      <c r="E830" s="16" t="n">
        <v>25216.96</v>
      </c>
      <c r="F830" s="16" t="n">
        <v>8405.65</v>
      </c>
      <c r="G830" s="17" t="n"/>
      <c r="H830" s="16" t="n">
        <v>16811.31</v>
      </c>
      <c r="I830" s="16" t="n">
        <v>0</v>
      </c>
    </row>
    <row r="831">
      <c r="A831" t="inlineStr">
        <is>
          <t>MTR-IOS-0830</t>
        </is>
      </c>
      <c r="B831" t="inlineStr">
        <is>
          <t>Flatmates</t>
        </is>
      </c>
      <c r="C831" t="inlineStr">
        <is>
          <t>EQUAL</t>
        </is>
      </c>
      <c r="D831" t="inlineStr">
        <is>
          <t>IOS Aarav</t>
        </is>
      </c>
      <c r="E831" s="16" t="n">
        <v>0</v>
      </c>
      <c r="F831" s="16" t="n">
        <v>8405.65</v>
      </c>
      <c r="G831" s="17" t="n"/>
      <c r="H831" s="16" t="n">
        <v>-8405.65</v>
      </c>
      <c r="I831" s="16" t="n">
        <v>0</v>
      </c>
    </row>
    <row r="832">
      <c r="A832" t="inlineStr">
        <is>
          <t>MTR-IOS-0830</t>
        </is>
      </c>
      <c r="B832" t="inlineStr">
        <is>
          <t>Flatmates</t>
        </is>
      </c>
      <c r="C832" t="inlineStr">
        <is>
          <t>EQUAL</t>
        </is>
      </c>
      <c r="D832" t="inlineStr">
        <is>
          <t>IOS Meera</t>
        </is>
      </c>
      <c r="E832" s="16" t="n">
        <v>0</v>
      </c>
      <c r="F832" s="16" t="n">
        <v>8405.66</v>
      </c>
      <c r="G832" s="17" t="n"/>
      <c r="H832" s="16" t="n">
        <v>-8405.66</v>
      </c>
      <c r="I832" s="16" t="n">
        <v>0</v>
      </c>
    </row>
    <row r="833">
      <c r="A833" t="inlineStr">
        <is>
          <t>MTR-IOS-0833</t>
        </is>
      </c>
      <c r="B833" t="inlineStr">
        <is>
          <t>Shared Living</t>
        </is>
      </c>
      <c r="C833" t="inlineStr">
        <is>
          <t>PERCENTAGE</t>
        </is>
      </c>
      <c r="D833" t="inlineStr">
        <is>
          <t>IOS Owner</t>
        </is>
      </c>
      <c r="E833" s="16" t="n">
        <v>0</v>
      </c>
      <c r="F833" s="16" t="n">
        <v>8521.49</v>
      </c>
      <c r="G833" s="17" t="n">
        <v>50</v>
      </c>
      <c r="H833" s="16" t="n">
        <v>-8521.49</v>
      </c>
      <c r="I833" s="16" t="n">
        <v>0</v>
      </c>
    </row>
    <row r="834">
      <c r="A834" t="inlineStr">
        <is>
          <t>MTR-IOS-0833</t>
        </is>
      </c>
      <c r="B834" t="inlineStr">
        <is>
          <t>Shared Living</t>
        </is>
      </c>
      <c r="C834" t="inlineStr">
        <is>
          <t>PERCENTAGE</t>
        </is>
      </c>
      <c r="D834" t="inlineStr">
        <is>
          <t>IOS Aarav</t>
        </is>
      </c>
      <c r="E834" s="16" t="n">
        <v>17042.97</v>
      </c>
      <c r="F834" s="16" t="n">
        <v>5112.89</v>
      </c>
      <c r="G834" s="17" t="n">
        <v>30</v>
      </c>
      <c r="H834" s="16" t="n">
        <v>11930.08</v>
      </c>
      <c r="I834" s="16" t="n">
        <v>0</v>
      </c>
    </row>
    <row r="835">
      <c r="A835" t="inlineStr">
        <is>
          <t>MTR-IOS-0833</t>
        </is>
      </c>
      <c r="B835" t="inlineStr">
        <is>
          <t>Shared Living</t>
        </is>
      </c>
      <c r="C835" t="inlineStr">
        <is>
          <t>PERCENTAGE</t>
        </is>
      </c>
      <c r="D835" t="inlineStr">
        <is>
          <t>IOS Meera</t>
        </is>
      </c>
      <c r="E835" s="16" t="n">
        <v>0</v>
      </c>
      <c r="F835" s="16" t="n">
        <v>3408.59</v>
      </c>
      <c r="G835" s="17" t="n">
        <v>20</v>
      </c>
      <c r="H835" s="16" t="n">
        <v>-3408.59</v>
      </c>
      <c r="I835" s="16" t="n">
        <v>0</v>
      </c>
    </row>
    <row r="836">
      <c r="A836" t="inlineStr">
        <is>
          <t>MTR-IOS-0836</t>
        </is>
      </c>
      <c r="B836" t="inlineStr">
        <is>
          <t>Shared Living</t>
        </is>
      </c>
      <c r="C836" t="inlineStr">
        <is>
          <t>EXACT</t>
        </is>
      </c>
      <c r="D836" t="inlineStr">
        <is>
          <t>IOS Owner</t>
        </is>
      </c>
      <c r="E836" s="16" t="n">
        <v>0</v>
      </c>
      <c r="F836" s="16" t="n">
        <v>1054.88</v>
      </c>
      <c r="G836" s="17" t="n"/>
      <c r="H836" s="16" t="n">
        <v>-1054.88</v>
      </c>
      <c r="I836" s="16" t="n">
        <v>0</v>
      </c>
    </row>
    <row r="837">
      <c r="A837" t="inlineStr">
        <is>
          <t>MTR-IOS-0836</t>
        </is>
      </c>
      <c r="B837" t="inlineStr">
        <is>
          <t>Shared Living</t>
        </is>
      </c>
      <c r="C837" t="inlineStr">
        <is>
          <t>EXACT</t>
        </is>
      </c>
      <c r="D837" t="inlineStr">
        <is>
          <t>IOS Aarav</t>
        </is>
      </c>
      <c r="E837" s="16" t="n">
        <v>0</v>
      </c>
      <c r="F837" s="16" t="n">
        <v>1054.88</v>
      </c>
      <c r="G837" s="17" t="n"/>
      <c r="H837" s="16" t="n">
        <v>-1054.88</v>
      </c>
      <c r="I837" s="16" t="n">
        <v>0</v>
      </c>
    </row>
    <row r="838">
      <c r="A838" t="inlineStr">
        <is>
          <t>MTR-IOS-0836</t>
        </is>
      </c>
      <c r="B838" t="inlineStr">
        <is>
          <t>Shared Living</t>
        </is>
      </c>
      <c r="C838" t="inlineStr">
        <is>
          <t>EXACT</t>
        </is>
      </c>
      <c r="D838" t="inlineStr">
        <is>
          <t>IOS Meera</t>
        </is>
      </c>
      <c r="E838" s="16" t="n">
        <v>3167.82</v>
      </c>
      <c r="F838" s="16" t="n">
        <v>1058.06</v>
      </c>
      <c r="G838" s="17" t="n"/>
      <c r="H838" s="16" t="n">
        <v>2109.76</v>
      </c>
      <c r="I838" s="16" t="n">
        <v>0</v>
      </c>
    </row>
    <row r="839">
      <c r="A839" t="inlineStr">
        <is>
          <t>MTR-IOS-0839</t>
        </is>
      </c>
      <c r="B839" t="inlineStr">
        <is>
          <t>Shared Living</t>
        </is>
      </c>
      <c r="C839" t="inlineStr">
        <is>
          <t>SHARES</t>
        </is>
      </c>
      <c r="D839" t="inlineStr">
        <is>
          <t>IOS Owner</t>
        </is>
      </c>
      <c r="E839" s="16" t="n">
        <v>22475.65</v>
      </c>
      <c r="F839" s="16" t="n">
        <v>11237.83</v>
      </c>
      <c r="G839" s="17" t="n"/>
      <c r="H839" s="16" t="n">
        <v>11237.82</v>
      </c>
      <c r="I839" s="16" t="n">
        <v>0</v>
      </c>
    </row>
    <row r="840">
      <c r="A840" t="inlineStr">
        <is>
          <t>MTR-IOS-0839</t>
        </is>
      </c>
      <c r="B840" t="inlineStr">
        <is>
          <t>Shared Living</t>
        </is>
      </c>
      <c r="C840" t="inlineStr">
        <is>
          <t>SHARES</t>
        </is>
      </c>
      <c r="D840" t="inlineStr">
        <is>
          <t>IOS Aarav</t>
        </is>
      </c>
      <c r="E840" s="16" t="n">
        <v>0</v>
      </c>
      <c r="F840" s="16" t="n">
        <v>7491.88</v>
      </c>
      <c r="G840" s="17" t="n"/>
      <c r="H840" s="16" t="n">
        <v>-7491.88</v>
      </c>
      <c r="I840" s="16" t="n">
        <v>0</v>
      </c>
    </row>
    <row r="841">
      <c r="A841" t="inlineStr">
        <is>
          <t>MTR-IOS-0839</t>
        </is>
      </c>
      <c r="B841" t="inlineStr">
        <is>
          <t>Shared Living</t>
        </is>
      </c>
      <c r="C841" t="inlineStr">
        <is>
          <t>SHARES</t>
        </is>
      </c>
      <c r="D841" t="inlineStr">
        <is>
          <t>IOS Meera</t>
        </is>
      </c>
      <c r="E841" s="16" t="n">
        <v>0</v>
      </c>
      <c r="F841" s="16" t="n">
        <v>3745.94</v>
      </c>
      <c r="G841" s="17" t="n"/>
      <c r="H841" s="16" t="n">
        <v>-3745.94</v>
      </c>
      <c r="I841" s="16" t="n">
        <v>0</v>
      </c>
    </row>
    <row r="842">
      <c r="A842" t="inlineStr">
        <is>
          <t>MTR-IOS-0842</t>
        </is>
      </c>
      <c r="B842" t="inlineStr">
        <is>
          <t>Shared Living</t>
        </is>
      </c>
      <c r="C842" t="inlineStr">
        <is>
          <t>EQUAL</t>
        </is>
      </c>
      <c r="D842" t="inlineStr">
        <is>
          <t>IOS Owner</t>
        </is>
      </c>
      <c r="E842" s="16" t="n">
        <v>0</v>
      </c>
      <c r="F842" s="16" t="n">
        <v>673.97</v>
      </c>
      <c r="G842" s="17" t="n"/>
      <c r="H842" s="16" t="n">
        <v>-673.97</v>
      </c>
      <c r="I842" s="16" t="n">
        <v>0</v>
      </c>
    </row>
    <row r="843">
      <c r="A843" t="inlineStr">
        <is>
          <t>MTR-IOS-0842</t>
        </is>
      </c>
      <c r="B843" t="inlineStr">
        <is>
          <t>Shared Living</t>
        </is>
      </c>
      <c r="C843" t="inlineStr">
        <is>
          <t>EQUAL</t>
        </is>
      </c>
      <c r="D843" t="inlineStr">
        <is>
          <t>IOS Aarav</t>
        </is>
      </c>
      <c r="E843" s="16" t="n">
        <v>2021.92</v>
      </c>
      <c r="F843" s="16" t="n">
        <v>673.97</v>
      </c>
      <c r="G843" s="17" t="n"/>
      <c r="H843" s="16" t="n">
        <v>1347.95</v>
      </c>
      <c r="I843" s="16" t="n">
        <v>0</v>
      </c>
    </row>
    <row r="844">
      <c r="A844" t="inlineStr">
        <is>
          <t>MTR-IOS-0842</t>
        </is>
      </c>
      <c r="B844" t="inlineStr">
        <is>
          <t>Shared Living</t>
        </is>
      </c>
      <c r="C844" t="inlineStr">
        <is>
          <t>EQUAL</t>
        </is>
      </c>
      <c r="D844" t="inlineStr">
        <is>
          <t>IOS Meera</t>
        </is>
      </c>
      <c r="E844" s="16" t="n">
        <v>0</v>
      </c>
      <c r="F844" s="16" t="n">
        <v>673.98</v>
      </c>
      <c r="G844" s="17" t="n"/>
      <c r="H844" s="16" t="n">
        <v>-673.98</v>
      </c>
      <c r="I844" s="16" t="n">
        <v>0</v>
      </c>
    </row>
    <row r="845">
      <c r="A845" t="inlineStr">
        <is>
          <t>MTR-IOS-0845</t>
        </is>
      </c>
      <c r="B845" t="inlineStr">
        <is>
          <t>Shared Living</t>
        </is>
      </c>
      <c r="C845" t="inlineStr">
        <is>
          <t>PERCENTAGE</t>
        </is>
      </c>
      <c r="D845" t="inlineStr">
        <is>
          <t>IOS Owner</t>
        </is>
      </c>
      <c r="E845" s="16" t="n">
        <v>0</v>
      </c>
      <c r="F845" s="16" t="n">
        <v>1233.57</v>
      </c>
      <c r="G845" s="17" t="n">
        <v>50</v>
      </c>
      <c r="H845" s="16" t="n">
        <v>-1233.57</v>
      </c>
      <c r="I845" s="16" t="n">
        <v>0</v>
      </c>
    </row>
    <row r="846">
      <c r="A846" t="inlineStr">
        <is>
          <t>MTR-IOS-0845</t>
        </is>
      </c>
      <c r="B846" t="inlineStr">
        <is>
          <t>Shared Living</t>
        </is>
      </c>
      <c r="C846" t="inlineStr">
        <is>
          <t>PERCENTAGE</t>
        </is>
      </c>
      <c r="D846" t="inlineStr">
        <is>
          <t>IOS Aarav</t>
        </is>
      </c>
      <c r="E846" s="16" t="n">
        <v>0</v>
      </c>
      <c r="F846" s="16" t="n">
        <v>740.14</v>
      </c>
      <c r="G846" s="17" t="n">
        <v>30</v>
      </c>
      <c r="H846" s="16" t="n">
        <v>-740.14</v>
      </c>
      <c r="I846" s="16" t="n">
        <v>0</v>
      </c>
    </row>
    <row r="847">
      <c r="A847" t="inlineStr">
        <is>
          <t>MTR-IOS-0845</t>
        </is>
      </c>
      <c r="B847" t="inlineStr">
        <is>
          <t>Shared Living</t>
        </is>
      </c>
      <c r="C847" t="inlineStr">
        <is>
          <t>PERCENTAGE</t>
        </is>
      </c>
      <c r="D847" t="inlineStr">
        <is>
          <t>IOS Meera</t>
        </is>
      </c>
      <c r="E847" s="16" t="n">
        <v>2467.13</v>
      </c>
      <c r="F847" s="16" t="n">
        <v>493.42</v>
      </c>
      <c r="G847" s="17" t="n">
        <v>20</v>
      </c>
      <c r="H847" s="16" t="n">
        <v>1973.71</v>
      </c>
      <c r="I847" s="16" t="n">
        <v>0</v>
      </c>
    </row>
    <row r="848">
      <c r="A848" t="inlineStr">
        <is>
          <t>MTR-IOS-0848</t>
        </is>
      </c>
      <c r="B848" t="inlineStr">
        <is>
          <t>Family Household</t>
        </is>
      </c>
      <c r="C848" t="inlineStr">
        <is>
          <t>EXACT</t>
        </is>
      </c>
      <c r="D848" t="inlineStr">
        <is>
          <t>IOS Owner</t>
        </is>
      </c>
      <c r="E848" s="16" t="n">
        <v>24302.63</v>
      </c>
      <c r="F848" s="16" t="n">
        <v>8092.78</v>
      </c>
      <c r="G848" s="17" t="n"/>
      <c r="H848" s="16" t="n">
        <v>16209.85</v>
      </c>
      <c r="I848" s="16" t="n">
        <v>0</v>
      </c>
    </row>
    <row r="849">
      <c r="A849" t="inlineStr">
        <is>
          <t>MTR-IOS-0848</t>
        </is>
      </c>
      <c r="B849" t="inlineStr">
        <is>
          <t>Family Household</t>
        </is>
      </c>
      <c r="C849" t="inlineStr">
        <is>
          <t>EXACT</t>
        </is>
      </c>
      <c r="D849" t="inlineStr">
        <is>
          <t>IOS Aarav</t>
        </is>
      </c>
      <c r="E849" s="16" t="n">
        <v>0</v>
      </c>
      <c r="F849" s="16" t="n">
        <v>8092.78</v>
      </c>
      <c r="G849" s="17" t="n"/>
      <c r="H849" s="16" t="n">
        <v>-8092.78</v>
      </c>
      <c r="I849" s="16" t="n">
        <v>0</v>
      </c>
    </row>
    <row r="850">
      <c r="A850" t="inlineStr">
        <is>
          <t>MTR-IOS-0848</t>
        </is>
      </c>
      <c r="B850" t="inlineStr">
        <is>
          <t>Family Household</t>
        </is>
      </c>
      <c r="C850" t="inlineStr">
        <is>
          <t>EXACT</t>
        </is>
      </c>
      <c r="D850" t="inlineStr">
        <is>
          <t>IOS Meera</t>
        </is>
      </c>
      <c r="E850" s="16" t="n">
        <v>0</v>
      </c>
      <c r="F850" s="16" t="n">
        <v>8117.07</v>
      </c>
      <c r="G850" s="17" t="n"/>
      <c r="H850" s="16" t="n">
        <v>-8117.07</v>
      </c>
      <c r="I850" s="16" t="n">
        <v>0</v>
      </c>
    </row>
    <row r="851">
      <c r="A851" t="inlineStr">
        <is>
          <t>MTR-IOS-0851</t>
        </is>
      </c>
      <c r="B851" t="inlineStr">
        <is>
          <t>Family Household</t>
        </is>
      </c>
      <c r="C851" t="inlineStr">
        <is>
          <t>SHARES</t>
        </is>
      </c>
      <c r="D851" t="inlineStr">
        <is>
          <t>IOS Owner</t>
        </is>
      </c>
      <c r="E851" s="16" t="n">
        <v>0</v>
      </c>
      <c r="F851" s="16" t="n">
        <v>5000</v>
      </c>
      <c r="G851" s="17" t="n"/>
      <c r="H851" s="16" t="n">
        <v>-5000</v>
      </c>
      <c r="I851" s="16" t="n">
        <v>0</v>
      </c>
    </row>
    <row r="852">
      <c r="A852" t="inlineStr">
        <is>
          <t>MTR-IOS-0851</t>
        </is>
      </c>
      <c r="B852" t="inlineStr">
        <is>
          <t>Family Household</t>
        </is>
      </c>
      <c r="C852" t="inlineStr">
        <is>
          <t>SHARES</t>
        </is>
      </c>
      <c r="D852" t="inlineStr">
        <is>
          <t>IOS Aarav</t>
        </is>
      </c>
      <c r="E852" s="16" t="n">
        <v>10000</v>
      </c>
      <c r="F852" s="16" t="n">
        <v>3333.33</v>
      </c>
      <c r="G852" s="17" t="n"/>
      <c r="H852" s="16" t="n">
        <v>6666.67</v>
      </c>
      <c r="I852" s="16" t="n">
        <v>0</v>
      </c>
    </row>
    <row r="853">
      <c r="A853" t="inlineStr">
        <is>
          <t>MTR-IOS-0851</t>
        </is>
      </c>
      <c r="B853" t="inlineStr">
        <is>
          <t>Family Household</t>
        </is>
      </c>
      <c r="C853" t="inlineStr">
        <is>
          <t>SHARES</t>
        </is>
      </c>
      <c r="D853" t="inlineStr">
        <is>
          <t>IOS Meera</t>
        </is>
      </c>
      <c r="E853" s="16" t="n">
        <v>0</v>
      </c>
      <c r="F853" s="16" t="n">
        <v>1666.67</v>
      </c>
      <c r="G853" s="17" t="n"/>
      <c r="H853" s="16" t="n">
        <v>-1666.67</v>
      </c>
      <c r="I853" s="16" t="n">
        <v>0</v>
      </c>
    </row>
    <row r="854">
      <c r="A854" t="inlineStr">
        <is>
          <t>MTR-IOS-0854</t>
        </is>
      </c>
      <c r="B854" t="inlineStr">
        <is>
          <t>Family Household</t>
        </is>
      </c>
      <c r="C854" t="inlineStr">
        <is>
          <t>EQUAL</t>
        </is>
      </c>
      <c r="D854" t="inlineStr">
        <is>
          <t>IOS Owner</t>
        </is>
      </c>
      <c r="E854" s="16" t="n">
        <v>0</v>
      </c>
      <c r="F854" s="16" t="n">
        <v>4578.78</v>
      </c>
      <c r="G854" s="17" t="n"/>
      <c r="H854" s="16" t="n">
        <v>-4578.78</v>
      </c>
      <c r="I854" s="16" t="n">
        <v>0</v>
      </c>
    </row>
    <row r="855">
      <c r="A855" t="inlineStr">
        <is>
          <t>MTR-IOS-0854</t>
        </is>
      </c>
      <c r="B855" t="inlineStr">
        <is>
          <t>Family Household</t>
        </is>
      </c>
      <c r="C855" t="inlineStr">
        <is>
          <t>EQUAL</t>
        </is>
      </c>
      <c r="D855" t="inlineStr">
        <is>
          <t>IOS Aarav</t>
        </is>
      </c>
      <c r="E855" s="16" t="n">
        <v>0</v>
      </c>
      <c r="F855" s="16" t="n">
        <v>4578.78</v>
      </c>
      <c r="G855" s="17" t="n"/>
      <c r="H855" s="16" t="n">
        <v>-4578.78</v>
      </c>
      <c r="I855" s="16" t="n">
        <v>0</v>
      </c>
    </row>
    <row r="856">
      <c r="A856" t="inlineStr">
        <is>
          <t>MTR-IOS-0854</t>
        </is>
      </c>
      <c r="B856" t="inlineStr">
        <is>
          <t>Family Household</t>
        </is>
      </c>
      <c r="C856" t="inlineStr">
        <is>
          <t>EQUAL</t>
        </is>
      </c>
      <c r="D856" t="inlineStr">
        <is>
          <t>IOS Meera</t>
        </is>
      </c>
      <c r="E856" s="16" t="n">
        <v>13736.33</v>
      </c>
      <c r="F856" s="16" t="n">
        <v>4578.77</v>
      </c>
      <c r="G856" s="17" t="n"/>
      <c r="H856" s="16" t="n">
        <v>9157.559999999999</v>
      </c>
      <c r="I856" s="16" t="n">
        <v>0</v>
      </c>
    </row>
    <row r="857">
      <c r="A857" t="inlineStr">
        <is>
          <t>MTR-IOS-0857</t>
        </is>
      </c>
      <c r="B857" t="inlineStr">
        <is>
          <t>Family Household</t>
        </is>
      </c>
      <c r="C857" t="inlineStr">
        <is>
          <t>PERCENTAGE</t>
        </is>
      </c>
      <c r="D857" t="inlineStr">
        <is>
          <t>IOS Owner</t>
        </is>
      </c>
      <c r="E857" s="16" t="n">
        <v>22984.52</v>
      </c>
      <c r="F857" s="16" t="n">
        <v>11492.26</v>
      </c>
      <c r="G857" s="17" t="n">
        <v>50</v>
      </c>
      <c r="H857" s="16" t="n">
        <v>11492.26</v>
      </c>
      <c r="I857" s="16" t="n">
        <v>0</v>
      </c>
    </row>
    <row r="858">
      <c r="A858" t="inlineStr">
        <is>
          <t>MTR-IOS-0857</t>
        </is>
      </c>
      <c r="B858" t="inlineStr">
        <is>
          <t>Family Household</t>
        </is>
      </c>
      <c r="C858" t="inlineStr">
        <is>
          <t>PERCENTAGE</t>
        </is>
      </c>
      <c r="D858" t="inlineStr">
        <is>
          <t>IOS Aarav</t>
        </is>
      </c>
      <c r="E858" s="16" t="n">
        <v>0</v>
      </c>
      <c r="F858" s="16" t="n">
        <v>6895.36</v>
      </c>
      <c r="G858" s="17" t="n">
        <v>30</v>
      </c>
      <c r="H858" s="16" t="n">
        <v>-6895.36</v>
      </c>
      <c r="I858" s="16" t="n">
        <v>0</v>
      </c>
    </row>
    <row r="859">
      <c r="A859" t="inlineStr">
        <is>
          <t>MTR-IOS-0857</t>
        </is>
      </c>
      <c r="B859" t="inlineStr">
        <is>
          <t>Family Household</t>
        </is>
      </c>
      <c r="C859" t="inlineStr">
        <is>
          <t>PERCENTAGE</t>
        </is>
      </c>
      <c r="D859" t="inlineStr">
        <is>
          <t>IOS Meera</t>
        </is>
      </c>
      <c r="E859" s="16" t="n">
        <v>0</v>
      </c>
      <c r="F859" s="16" t="n">
        <v>4596.9</v>
      </c>
      <c r="G859" s="17" t="n">
        <v>20</v>
      </c>
      <c r="H859" s="16" t="n">
        <v>-4596.9</v>
      </c>
      <c r="I859" s="16" t="n">
        <v>0</v>
      </c>
    </row>
    <row r="860">
      <c r="A860" t="inlineStr">
        <is>
          <t>MTR-IOS-0860</t>
        </is>
      </c>
      <c r="B860" t="inlineStr">
        <is>
          <t>Family Household</t>
        </is>
      </c>
      <c r="C860" t="inlineStr">
        <is>
          <t>EXACT</t>
        </is>
      </c>
      <c r="D860" t="inlineStr">
        <is>
          <t>IOS Owner</t>
        </is>
      </c>
      <c r="E860" s="16" t="n">
        <v>0</v>
      </c>
      <c r="F860" s="16" t="n">
        <v>2089.09</v>
      </c>
      <c r="G860" s="17" t="n"/>
      <c r="H860" s="16" t="n">
        <v>-2089.09</v>
      </c>
      <c r="I860" s="16" t="n">
        <v>0</v>
      </c>
    </row>
    <row r="861">
      <c r="A861" t="inlineStr">
        <is>
          <t>MTR-IOS-0860</t>
        </is>
      </c>
      <c r="B861" t="inlineStr">
        <is>
          <t>Family Household</t>
        </is>
      </c>
      <c r="C861" t="inlineStr">
        <is>
          <t>EXACT</t>
        </is>
      </c>
      <c r="D861" t="inlineStr">
        <is>
          <t>IOS Aarav</t>
        </is>
      </c>
      <c r="E861" s="16" t="n">
        <v>6273.54</v>
      </c>
      <c r="F861" s="16" t="n">
        <v>2089.09</v>
      </c>
      <c r="G861" s="17" t="n"/>
      <c r="H861" s="16" t="n">
        <v>4184.45</v>
      </c>
      <c r="I861" s="16" t="n">
        <v>0</v>
      </c>
    </row>
    <row r="862">
      <c r="A862" t="inlineStr">
        <is>
          <t>MTR-IOS-0860</t>
        </is>
      </c>
      <c r="B862" t="inlineStr">
        <is>
          <t>Family Household</t>
        </is>
      </c>
      <c r="C862" t="inlineStr">
        <is>
          <t>EXACT</t>
        </is>
      </c>
      <c r="D862" t="inlineStr">
        <is>
          <t>IOS Meera</t>
        </is>
      </c>
      <c r="E862" s="16" t="n">
        <v>0</v>
      </c>
      <c r="F862" s="16" t="n">
        <v>2095.36</v>
      </c>
      <c r="G862" s="17" t="n"/>
      <c r="H862" s="16" t="n">
        <v>-2095.36</v>
      </c>
      <c r="I862" s="16" t="n">
        <v>0</v>
      </c>
    </row>
    <row r="863">
      <c r="A863" t="inlineStr">
        <is>
          <t>MTR-IOS-0863</t>
        </is>
      </c>
      <c r="B863" t="inlineStr">
        <is>
          <t>Family Household</t>
        </is>
      </c>
      <c r="C863" t="inlineStr">
        <is>
          <t>SHARES</t>
        </is>
      </c>
      <c r="D863" t="inlineStr">
        <is>
          <t>IOS Owner</t>
        </is>
      </c>
      <c r="E863" s="16" t="n">
        <v>0</v>
      </c>
      <c r="F863" s="16" t="n">
        <v>6644.76</v>
      </c>
      <c r="G863" s="17" t="n"/>
      <c r="H863" s="16" t="n">
        <v>-6644.76</v>
      </c>
      <c r="I863" s="16" t="n">
        <v>0</v>
      </c>
    </row>
    <row r="864">
      <c r="A864" t="inlineStr">
        <is>
          <t>MTR-IOS-0863</t>
        </is>
      </c>
      <c r="B864" t="inlineStr">
        <is>
          <t>Family Household</t>
        </is>
      </c>
      <c r="C864" t="inlineStr">
        <is>
          <t>SHARES</t>
        </is>
      </c>
      <c r="D864" t="inlineStr">
        <is>
          <t>IOS Aarav</t>
        </is>
      </c>
      <c r="E864" s="16" t="n">
        <v>0</v>
      </c>
      <c r="F864" s="16" t="n">
        <v>4429.84</v>
      </c>
      <c r="G864" s="17" t="n"/>
      <c r="H864" s="16" t="n">
        <v>-4429.84</v>
      </c>
      <c r="I864" s="16" t="n">
        <v>0</v>
      </c>
    </row>
    <row r="865">
      <c r="A865" t="inlineStr">
        <is>
          <t>MTR-IOS-0863</t>
        </is>
      </c>
      <c r="B865" t="inlineStr">
        <is>
          <t>Family Household</t>
        </is>
      </c>
      <c r="C865" t="inlineStr">
        <is>
          <t>SHARES</t>
        </is>
      </c>
      <c r="D865" t="inlineStr">
        <is>
          <t>IOS Meera</t>
        </is>
      </c>
      <c r="E865" s="16" t="n">
        <v>13289.51</v>
      </c>
      <c r="F865" s="16" t="n">
        <v>2214.91</v>
      </c>
      <c r="G865" s="17" t="n"/>
      <c r="H865" s="16" t="n">
        <v>11074.6</v>
      </c>
      <c r="I865" s="16" t="n">
        <v>0</v>
      </c>
    </row>
    <row r="866">
      <c r="A866" t="inlineStr">
        <is>
          <t>MTR-IOS-0866</t>
        </is>
      </c>
      <c r="B866" t="inlineStr">
        <is>
          <t>Custom Living</t>
        </is>
      </c>
      <c r="C866" t="inlineStr">
        <is>
          <t>EQUAL</t>
        </is>
      </c>
      <c r="D866" t="inlineStr">
        <is>
          <t>IOS Owner</t>
        </is>
      </c>
      <c r="E866" s="16" t="n">
        <v>14865.78</v>
      </c>
      <c r="F866" s="16" t="n">
        <v>4955.26</v>
      </c>
      <c r="G866" s="17" t="n"/>
      <c r="H866" s="16" t="n">
        <v>9910.52</v>
      </c>
      <c r="I866" s="16" t="n">
        <v>0</v>
      </c>
    </row>
    <row r="867">
      <c r="A867" t="inlineStr">
        <is>
          <t>MTR-IOS-0866</t>
        </is>
      </c>
      <c r="B867" t="inlineStr">
        <is>
          <t>Custom Living</t>
        </is>
      </c>
      <c r="C867" t="inlineStr">
        <is>
          <t>EQUAL</t>
        </is>
      </c>
      <c r="D867" t="inlineStr">
        <is>
          <t>IOS Aarav</t>
        </is>
      </c>
      <c r="E867" s="16" t="n">
        <v>0</v>
      </c>
      <c r="F867" s="16" t="n">
        <v>4955.26</v>
      </c>
      <c r="G867" s="17" t="n"/>
      <c r="H867" s="16" t="n">
        <v>-4955.26</v>
      </c>
      <c r="I867" s="16" t="n">
        <v>0</v>
      </c>
    </row>
    <row r="868">
      <c r="A868" t="inlineStr">
        <is>
          <t>MTR-IOS-0866</t>
        </is>
      </c>
      <c r="B868" t="inlineStr">
        <is>
          <t>Custom Living</t>
        </is>
      </c>
      <c r="C868" t="inlineStr">
        <is>
          <t>EQUAL</t>
        </is>
      </c>
      <c r="D868" t="inlineStr">
        <is>
          <t>IOS Meera</t>
        </is>
      </c>
      <c r="E868" s="16" t="n">
        <v>0</v>
      </c>
      <c r="F868" s="16" t="n">
        <v>4955.26</v>
      </c>
      <c r="G868" s="17" t="n"/>
      <c r="H868" s="16" t="n">
        <v>-4955.26</v>
      </c>
      <c r="I868" s="16" t="n">
        <v>0</v>
      </c>
    </row>
    <row r="869">
      <c r="A869" t="inlineStr">
        <is>
          <t>MTR-IOS-0869</t>
        </is>
      </c>
      <c r="B869" t="inlineStr">
        <is>
          <t>Custom Living</t>
        </is>
      </c>
      <c r="C869" t="inlineStr">
        <is>
          <t>PERCENTAGE</t>
        </is>
      </c>
      <c r="D869" t="inlineStr">
        <is>
          <t>IOS Owner</t>
        </is>
      </c>
      <c r="E869" s="16" t="n">
        <v>0</v>
      </c>
      <c r="F869" s="16" t="n">
        <v>6257.59</v>
      </c>
      <c r="G869" s="17" t="n">
        <v>50</v>
      </c>
      <c r="H869" s="16" t="n">
        <v>-6257.59</v>
      </c>
      <c r="I869" s="16" t="n">
        <v>0</v>
      </c>
    </row>
    <row r="870">
      <c r="A870" t="inlineStr">
        <is>
          <t>MTR-IOS-0869</t>
        </is>
      </c>
      <c r="B870" t="inlineStr">
        <is>
          <t>Custom Living</t>
        </is>
      </c>
      <c r="C870" t="inlineStr">
        <is>
          <t>PERCENTAGE</t>
        </is>
      </c>
      <c r="D870" t="inlineStr">
        <is>
          <t>IOS Aarav</t>
        </is>
      </c>
      <c r="E870" s="16" t="n">
        <v>12515.18</v>
      </c>
      <c r="F870" s="16" t="n">
        <v>3754.55</v>
      </c>
      <c r="G870" s="17" t="n">
        <v>30</v>
      </c>
      <c r="H870" s="16" t="n">
        <v>8760.629999999999</v>
      </c>
      <c r="I870" s="16" t="n">
        <v>0</v>
      </c>
    </row>
    <row r="871">
      <c r="A871" t="inlineStr">
        <is>
          <t>MTR-IOS-0869</t>
        </is>
      </c>
      <c r="B871" t="inlineStr">
        <is>
          <t>Custom Living</t>
        </is>
      </c>
      <c r="C871" t="inlineStr">
        <is>
          <t>PERCENTAGE</t>
        </is>
      </c>
      <c r="D871" t="inlineStr">
        <is>
          <t>IOS Meera</t>
        </is>
      </c>
      <c r="E871" s="16" t="n">
        <v>0</v>
      </c>
      <c r="F871" s="16" t="n">
        <v>2503.04</v>
      </c>
      <c r="G871" s="17" t="n">
        <v>20</v>
      </c>
      <c r="H871" s="16" t="n">
        <v>-2503.04</v>
      </c>
      <c r="I871" s="16" t="n">
        <v>0</v>
      </c>
    </row>
    <row r="872">
      <c r="A872" t="inlineStr">
        <is>
          <t>MTR-IOS-0872</t>
        </is>
      </c>
      <c r="B872" t="inlineStr">
        <is>
          <t>Trip</t>
        </is>
      </c>
      <c r="C872" t="inlineStr">
        <is>
          <t>EXACT</t>
        </is>
      </c>
      <c r="D872" t="inlineStr">
        <is>
          <t>IOS Owner</t>
        </is>
      </c>
      <c r="E872" s="16" t="n">
        <v>0</v>
      </c>
      <c r="F872" s="16" t="n">
        <v>8449.67</v>
      </c>
      <c r="G872" s="17" t="n"/>
      <c r="H872" s="16" t="n">
        <v>-8449.67</v>
      </c>
      <c r="I872" s="16" t="n">
        <v>0</v>
      </c>
    </row>
    <row r="873">
      <c r="A873" t="inlineStr">
        <is>
          <t>MTR-IOS-0872</t>
        </is>
      </c>
      <c r="B873" t="inlineStr">
        <is>
          <t>Trip</t>
        </is>
      </c>
      <c r="C873" t="inlineStr">
        <is>
          <t>EXACT</t>
        </is>
      </c>
      <c r="D873" t="inlineStr">
        <is>
          <t>IOS Aarav</t>
        </is>
      </c>
      <c r="E873" s="16" t="n">
        <v>0</v>
      </c>
      <c r="F873" s="16" t="n">
        <v>8449.67</v>
      </c>
      <c r="G873" s="17" t="n"/>
      <c r="H873" s="16" t="n">
        <v>-8449.67</v>
      </c>
      <c r="I873" s="16" t="n">
        <v>0</v>
      </c>
    </row>
    <row r="874">
      <c r="A874" t="inlineStr">
        <is>
          <t>MTR-IOS-0872</t>
        </is>
      </c>
      <c r="B874" t="inlineStr">
        <is>
          <t>Trip</t>
        </is>
      </c>
      <c r="C874" t="inlineStr">
        <is>
          <t>EXACT</t>
        </is>
      </c>
      <c r="D874" t="inlineStr">
        <is>
          <t>IOS Meera</t>
        </is>
      </c>
      <c r="E874" s="16" t="n">
        <v>25374.39</v>
      </c>
      <c r="F874" s="16" t="n">
        <v>8475.049999999999</v>
      </c>
      <c r="G874" s="17" t="n"/>
      <c r="H874" s="16" t="n">
        <v>16899.34</v>
      </c>
      <c r="I874" s="16" t="n">
        <v>0</v>
      </c>
    </row>
    <row r="875">
      <c r="A875" t="inlineStr">
        <is>
          <t>MTR-IOS-0875</t>
        </is>
      </c>
      <c r="B875" t="inlineStr">
        <is>
          <t>Trip</t>
        </is>
      </c>
      <c r="C875" t="inlineStr">
        <is>
          <t>SHARES</t>
        </is>
      </c>
      <c r="D875" t="inlineStr">
        <is>
          <t>IOS Owner</t>
        </is>
      </c>
      <c r="E875" s="16" t="n">
        <v>17089.33</v>
      </c>
      <c r="F875" s="16" t="n">
        <v>8544.67</v>
      </c>
      <c r="G875" s="17" t="n"/>
      <c r="H875" s="16" t="n">
        <v>8544.66</v>
      </c>
      <c r="I875" s="16" t="n">
        <v>0</v>
      </c>
    </row>
    <row r="876">
      <c r="A876" t="inlineStr">
        <is>
          <t>MTR-IOS-0875</t>
        </is>
      </c>
      <c r="B876" t="inlineStr">
        <is>
          <t>Trip</t>
        </is>
      </c>
      <c r="C876" t="inlineStr">
        <is>
          <t>SHARES</t>
        </is>
      </c>
      <c r="D876" t="inlineStr">
        <is>
          <t>IOS Aarav</t>
        </is>
      </c>
      <c r="E876" s="16" t="n">
        <v>0</v>
      </c>
      <c r="F876" s="16" t="n">
        <v>5696.44</v>
      </c>
      <c r="G876" s="17" t="n"/>
      <c r="H876" s="16" t="n">
        <v>-5696.44</v>
      </c>
      <c r="I876" s="16" t="n">
        <v>0</v>
      </c>
    </row>
    <row r="877">
      <c r="A877" t="inlineStr">
        <is>
          <t>MTR-IOS-0875</t>
        </is>
      </c>
      <c r="B877" t="inlineStr">
        <is>
          <t>Trip</t>
        </is>
      </c>
      <c r="C877" t="inlineStr">
        <is>
          <t>SHARES</t>
        </is>
      </c>
      <c r="D877" t="inlineStr">
        <is>
          <t>IOS Meera</t>
        </is>
      </c>
      <c r="E877" s="16" t="n">
        <v>0</v>
      </c>
      <c r="F877" s="16" t="n">
        <v>2848.22</v>
      </c>
      <c r="G877" s="17" t="n"/>
      <c r="H877" s="16" t="n">
        <v>-2848.22</v>
      </c>
      <c r="I877" s="16" t="n">
        <v>0</v>
      </c>
    </row>
    <row r="878">
      <c r="A878" t="inlineStr">
        <is>
          <t>MTR-IOS-0878</t>
        </is>
      </c>
      <c r="B878" t="inlineStr">
        <is>
          <t>Trip</t>
        </is>
      </c>
      <c r="C878" t="inlineStr">
        <is>
          <t>EQUAL</t>
        </is>
      </c>
      <c r="D878" t="inlineStr">
        <is>
          <t>IOS Owner</t>
        </is>
      </c>
      <c r="E878" s="16" t="n">
        <v>0</v>
      </c>
      <c r="F878" s="16" t="n">
        <v>6117.41</v>
      </c>
      <c r="G878" s="17" t="n"/>
      <c r="H878" s="16" t="n">
        <v>-6117.41</v>
      </c>
      <c r="I878" s="16" t="n">
        <v>0</v>
      </c>
    </row>
    <row r="879">
      <c r="A879" t="inlineStr">
        <is>
          <t>MTR-IOS-0878</t>
        </is>
      </c>
      <c r="B879" t="inlineStr">
        <is>
          <t>Trip</t>
        </is>
      </c>
      <c r="C879" t="inlineStr">
        <is>
          <t>EQUAL</t>
        </is>
      </c>
      <c r="D879" t="inlineStr">
        <is>
          <t>IOS Aarav</t>
        </is>
      </c>
      <c r="E879" s="16" t="n">
        <v>18352.23</v>
      </c>
      <c r="F879" s="16" t="n">
        <v>6117.41</v>
      </c>
      <c r="G879" s="17" t="n"/>
      <c r="H879" s="16" t="n">
        <v>12234.82</v>
      </c>
      <c r="I879" s="16" t="n">
        <v>0</v>
      </c>
    </row>
    <row r="880">
      <c r="A880" t="inlineStr">
        <is>
          <t>MTR-IOS-0878</t>
        </is>
      </c>
      <c r="B880" t="inlineStr">
        <is>
          <t>Trip</t>
        </is>
      </c>
      <c r="C880" t="inlineStr">
        <is>
          <t>EQUAL</t>
        </is>
      </c>
      <c r="D880" t="inlineStr">
        <is>
          <t>IOS Meera</t>
        </is>
      </c>
      <c r="E880" s="16" t="n">
        <v>0</v>
      </c>
      <c r="F880" s="16" t="n">
        <v>6117.41</v>
      </c>
      <c r="G880" s="17" t="n"/>
      <c r="H880" s="16" t="n">
        <v>-6117.41</v>
      </c>
      <c r="I880" s="16" t="n">
        <v>0</v>
      </c>
    </row>
    <row r="881">
      <c r="A881" t="inlineStr">
        <is>
          <t>MTR-IOS-0881</t>
        </is>
      </c>
      <c r="B881" t="inlineStr">
        <is>
          <t>Trip</t>
        </is>
      </c>
      <c r="C881" t="inlineStr">
        <is>
          <t>PERCENTAGE</t>
        </is>
      </c>
      <c r="D881" t="inlineStr">
        <is>
          <t>IOS Owner</t>
        </is>
      </c>
      <c r="E881" s="16" t="n">
        <v>0</v>
      </c>
      <c r="F881" s="16" t="n">
        <v>12398.5</v>
      </c>
      <c r="G881" s="17" t="n">
        <v>50</v>
      </c>
      <c r="H881" s="16" t="n">
        <v>-12398.5</v>
      </c>
      <c r="I881" s="16" t="n">
        <v>0</v>
      </c>
    </row>
    <row r="882">
      <c r="A882" t="inlineStr">
        <is>
          <t>MTR-IOS-0881</t>
        </is>
      </c>
      <c r="B882" t="inlineStr">
        <is>
          <t>Trip</t>
        </is>
      </c>
      <c r="C882" t="inlineStr">
        <is>
          <t>PERCENTAGE</t>
        </is>
      </c>
      <c r="D882" t="inlineStr">
        <is>
          <t>IOS Aarav</t>
        </is>
      </c>
      <c r="E882" s="16" t="n">
        <v>0</v>
      </c>
      <c r="F882" s="16" t="n">
        <v>7439.1</v>
      </c>
      <c r="G882" s="17" t="n">
        <v>30</v>
      </c>
      <c r="H882" s="16" t="n">
        <v>-7439.1</v>
      </c>
      <c r="I882" s="16" t="n">
        <v>0</v>
      </c>
    </row>
    <row r="883">
      <c r="A883" t="inlineStr">
        <is>
          <t>MTR-IOS-0881</t>
        </is>
      </c>
      <c r="B883" t="inlineStr">
        <is>
          <t>Trip</t>
        </is>
      </c>
      <c r="C883" t="inlineStr">
        <is>
          <t>PERCENTAGE</t>
        </is>
      </c>
      <c r="D883" t="inlineStr">
        <is>
          <t>IOS Meera</t>
        </is>
      </c>
      <c r="E883" s="16" t="n">
        <v>24796.99</v>
      </c>
      <c r="F883" s="16" t="n">
        <v>4959.39</v>
      </c>
      <c r="G883" s="17" t="n">
        <v>20</v>
      </c>
      <c r="H883" s="16" t="n">
        <v>19837.6</v>
      </c>
      <c r="I883" s="16" t="n">
        <v>0</v>
      </c>
    </row>
    <row r="884">
      <c r="A884" t="inlineStr">
        <is>
          <t>MTR-IOS-0884</t>
        </is>
      </c>
      <c r="B884" t="inlineStr">
        <is>
          <t>Trip</t>
        </is>
      </c>
      <c r="C884" t="inlineStr">
        <is>
          <t>EXACT</t>
        </is>
      </c>
      <c r="D884" t="inlineStr">
        <is>
          <t>IOS Owner</t>
        </is>
      </c>
      <c r="E884" s="16" t="n">
        <v>13689.47</v>
      </c>
      <c r="F884" s="16" t="n">
        <v>4558.59</v>
      </c>
      <c r="G884" s="17" t="n"/>
      <c r="H884" s="16" t="n">
        <v>9130.879999999999</v>
      </c>
      <c r="I884" s="16" t="n">
        <v>0</v>
      </c>
    </row>
    <row r="885">
      <c r="A885" t="inlineStr">
        <is>
          <t>MTR-IOS-0884</t>
        </is>
      </c>
      <c r="B885" t="inlineStr">
        <is>
          <t>Trip</t>
        </is>
      </c>
      <c r="C885" t="inlineStr">
        <is>
          <t>EXACT</t>
        </is>
      </c>
      <c r="D885" t="inlineStr">
        <is>
          <t>IOS Aarav</t>
        </is>
      </c>
      <c r="E885" s="16" t="n">
        <v>0</v>
      </c>
      <c r="F885" s="16" t="n">
        <v>4558.59</v>
      </c>
      <c r="G885" s="17" t="n"/>
      <c r="H885" s="16" t="n">
        <v>-4558.59</v>
      </c>
      <c r="I885" s="16" t="n">
        <v>0</v>
      </c>
    </row>
    <row r="886">
      <c r="A886" t="inlineStr">
        <is>
          <t>MTR-IOS-0884</t>
        </is>
      </c>
      <c r="B886" t="inlineStr">
        <is>
          <t>Trip</t>
        </is>
      </c>
      <c r="C886" t="inlineStr">
        <is>
          <t>EXACT</t>
        </is>
      </c>
      <c r="D886" t="inlineStr">
        <is>
          <t>IOS Meera</t>
        </is>
      </c>
      <c r="E886" s="16" t="n">
        <v>0</v>
      </c>
      <c r="F886" s="16" t="n">
        <v>4572.29</v>
      </c>
      <c r="G886" s="17" t="n"/>
      <c r="H886" s="16" t="n">
        <v>-4572.29</v>
      </c>
      <c r="I886" s="16" t="n">
        <v>0</v>
      </c>
    </row>
    <row r="887">
      <c r="A887" t="inlineStr">
        <is>
          <t>MTR-IOS-0887</t>
        </is>
      </c>
      <c r="B887" t="inlineStr">
        <is>
          <t>Trip</t>
        </is>
      </c>
      <c r="C887" t="inlineStr">
        <is>
          <t>SHARES</t>
        </is>
      </c>
      <c r="D887" t="inlineStr">
        <is>
          <t>IOS Owner</t>
        </is>
      </c>
      <c r="E887" s="16" t="n">
        <v>0</v>
      </c>
      <c r="F887" s="16" t="n">
        <v>2695.87</v>
      </c>
      <c r="G887" s="17" t="n"/>
      <c r="H887" s="16" t="n">
        <v>-2695.87</v>
      </c>
      <c r="I887" s="16" t="n">
        <v>0</v>
      </c>
    </row>
    <row r="888">
      <c r="A888" t="inlineStr">
        <is>
          <t>MTR-IOS-0887</t>
        </is>
      </c>
      <c r="B888" t="inlineStr">
        <is>
          <t>Trip</t>
        </is>
      </c>
      <c r="C888" t="inlineStr">
        <is>
          <t>SHARES</t>
        </is>
      </c>
      <c r="D888" t="inlineStr">
        <is>
          <t>IOS Aarav</t>
        </is>
      </c>
      <c r="E888" s="16" t="n">
        <v>5391.73</v>
      </c>
      <c r="F888" s="16" t="n">
        <v>1797.24</v>
      </c>
      <c r="G888" s="17" t="n"/>
      <c r="H888" s="16" t="n">
        <v>3594.49</v>
      </c>
      <c r="I888" s="16" t="n">
        <v>0</v>
      </c>
    </row>
    <row r="889">
      <c r="A889" t="inlineStr">
        <is>
          <t>MTR-IOS-0887</t>
        </is>
      </c>
      <c r="B889" t="inlineStr">
        <is>
          <t>Trip</t>
        </is>
      </c>
      <c r="C889" t="inlineStr">
        <is>
          <t>SHARES</t>
        </is>
      </c>
      <c r="D889" t="inlineStr">
        <is>
          <t>IOS Meera</t>
        </is>
      </c>
      <c r="E889" s="16" t="n">
        <v>0</v>
      </c>
      <c r="F889" s="16" t="n">
        <v>898.62</v>
      </c>
      <c r="G889" s="17" t="n"/>
      <c r="H889" s="16" t="n">
        <v>-898.62</v>
      </c>
      <c r="I889" s="16" t="n">
        <v>0</v>
      </c>
    </row>
    <row r="890">
      <c r="A890" t="inlineStr">
        <is>
          <t>MTR-IOS-0890</t>
        </is>
      </c>
      <c r="B890" t="inlineStr">
        <is>
          <t>Trip</t>
        </is>
      </c>
      <c r="C890" t="inlineStr">
        <is>
          <t>EQUAL</t>
        </is>
      </c>
      <c r="D890" t="inlineStr">
        <is>
          <t>IOS Owner</t>
        </is>
      </c>
      <c r="E890" s="16" t="n">
        <v>0</v>
      </c>
      <c r="F890" s="16" t="n">
        <v>4865.94</v>
      </c>
      <c r="G890" s="17" t="n"/>
      <c r="H890" s="16" t="n">
        <v>-4865.94</v>
      </c>
      <c r="I890" s="16" t="n">
        <v>0</v>
      </c>
    </row>
    <row r="891">
      <c r="A891" t="inlineStr">
        <is>
          <t>MTR-IOS-0890</t>
        </is>
      </c>
      <c r="B891" t="inlineStr">
        <is>
          <t>Trip</t>
        </is>
      </c>
      <c r="C891" t="inlineStr">
        <is>
          <t>EQUAL</t>
        </is>
      </c>
      <c r="D891" t="inlineStr">
        <is>
          <t>IOS Aarav</t>
        </is>
      </c>
      <c r="E891" s="16" t="n">
        <v>0</v>
      </c>
      <c r="F891" s="16" t="n">
        <v>4865.94</v>
      </c>
      <c r="G891" s="17" t="n"/>
      <c r="H891" s="16" t="n">
        <v>-4865.94</v>
      </c>
      <c r="I891" s="16" t="n">
        <v>0</v>
      </c>
    </row>
    <row r="892">
      <c r="A892" t="inlineStr">
        <is>
          <t>MTR-IOS-0890</t>
        </is>
      </c>
      <c r="B892" t="inlineStr">
        <is>
          <t>Trip</t>
        </is>
      </c>
      <c r="C892" t="inlineStr">
        <is>
          <t>EQUAL</t>
        </is>
      </c>
      <c r="D892" t="inlineStr">
        <is>
          <t>IOS Meera</t>
        </is>
      </c>
      <c r="E892" s="16" t="n">
        <v>14597.82</v>
      </c>
      <c r="F892" s="16" t="n">
        <v>4865.94</v>
      </c>
      <c r="G892" s="17" t="n"/>
      <c r="H892" s="16" t="n">
        <v>9731.879999999999</v>
      </c>
      <c r="I892" s="16" t="n">
        <v>0</v>
      </c>
    </row>
    <row r="893">
      <c r="A893" t="inlineStr">
        <is>
          <t>MTR-IOS-0893</t>
        </is>
      </c>
      <c r="B893" t="inlineStr">
        <is>
          <t>Wedding</t>
        </is>
      </c>
      <c r="C893" t="inlineStr">
        <is>
          <t>PERCENTAGE</t>
        </is>
      </c>
      <c r="D893" t="inlineStr">
        <is>
          <t>IOS Owner</t>
        </is>
      </c>
      <c r="E893" s="16" t="n">
        <v>11003.99</v>
      </c>
      <c r="F893" s="16" t="n">
        <v>5502</v>
      </c>
      <c r="G893" s="17" t="n">
        <v>50</v>
      </c>
      <c r="H893" s="16" t="n">
        <v>5501.99</v>
      </c>
      <c r="I893" s="16" t="n">
        <v>0</v>
      </c>
    </row>
    <row r="894">
      <c r="A894" t="inlineStr">
        <is>
          <t>MTR-IOS-0893</t>
        </is>
      </c>
      <c r="B894" t="inlineStr">
        <is>
          <t>Wedding</t>
        </is>
      </c>
      <c r="C894" t="inlineStr">
        <is>
          <t>PERCENTAGE</t>
        </is>
      </c>
      <c r="D894" t="inlineStr">
        <is>
          <t>IOS Aarav</t>
        </is>
      </c>
      <c r="E894" s="16" t="n">
        <v>0</v>
      </c>
      <c r="F894" s="16" t="n">
        <v>3301.2</v>
      </c>
      <c r="G894" s="17" t="n">
        <v>30</v>
      </c>
      <c r="H894" s="16" t="n">
        <v>-3301.2</v>
      </c>
      <c r="I894" s="16" t="n">
        <v>0</v>
      </c>
    </row>
    <row r="895">
      <c r="A895" t="inlineStr">
        <is>
          <t>MTR-IOS-0893</t>
        </is>
      </c>
      <c r="B895" t="inlineStr">
        <is>
          <t>Wedding</t>
        </is>
      </c>
      <c r="C895" t="inlineStr">
        <is>
          <t>PERCENTAGE</t>
        </is>
      </c>
      <c r="D895" t="inlineStr">
        <is>
          <t>IOS Meera</t>
        </is>
      </c>
      <c r="E895" s="16" t="n">
        <v>0</v>
      </c>
      <c r="F895" s="16" t="n">
        <v>2200.79</v>
      </c>
      <c r="G895" s="17" t="n">
        <v>20</v>
      </c>
      <c r="H895" s="16" t="n">
        <v>-2200.79</v>
      </c>
      <c r="I895" s="16" t="n">
        <v>0</v>
      </c>
    </row>
    <row r="896">
      <c r="A896" t="inlineStr">
        <is>
          <t>MTR-IOS-0896</t>
        </is>
      </c>
      <c r="B896" t="inlineStr">
        <is>
          <t>Wedding</t>
        </is>
      </c>
      <c r="C896" t="inlineStr">
        <is>
          <t>EXACT</t>
        </is>
      </c>
      <c r="D896" t="inlineStr">
        <is>
          <t>IOS Owner</t>
        </is>
      </c>
      <c r="E896" s="16" t="n">
        <v>0</v>
      </c>
      <c r="F896" s="16" t="n">
        <v>4129.06</v>
      </c>
      <c r="G896" s="17" t="n"/>
      <c r="H896" s="16" t="n">
        <v>-4129.06</v>
      </c>
      <c r="I896" s="16" t="n">
        <v>0</v>
      </c>
    </row>
    <row r="897">
      <c r="A897" t="inlineStr">
        <is>
          <t>MTR-IOS-0896</t>
        </is>
      </c>
      <c r="B897" t="inlineStr">
        <is>
          <t>Wedding</t>
        </is>
      </c>
      <c r="C897" t="inlineStr">
        <is>
          <t>EXACT</t>
        </is>
      </c>
      <c r="D897" t="inlineStr">
        <is>
          <t>IOS Aarav</t>
        </is>
      </c>
      <c r="E897" s="16" t="n">
        <v>12399.58</v>
      </c>
      <c r="F897" s="16" t="n">
        <v>4129.06</v>
      </c>
      <c r="G897" s="17" t="n"/>
      <c r="H897" s="16" t="n">
        <v>8270.52</v>
      </c>
      <c r="I897" s="16" t="n">
        <v>0</v>
      </c>
    </row>
    <row r="898">
      <c r="A898" t="inlineStr">
        <is>
          <t>MTR-IOS-0896</t>
        </is>
      </c>
      <c r="B898" t="inlineStr">
        <is>
          <t>Wedding</t>
        </is>
      </c>
      <c r="C898" t="inlineStr">
        <is>
          <t>EXACT</t>
        </is>
      </c>
      <c r="D898" t="inlineStr">
        <is>
          <t>IOS Meera</t>
        </is>
      </c>
      <c r="E898" s="16" t="n">
        <v>0</v>
      </c>
      <c r="F898" s="16" t="n">
        <v>4141.46</v>
      </c>
      <c r="G898" s="17" t="n"/>
      <c r="H898" s="16" t="n">
        <v>-4141.46</v>
      </c>
      <c r="I898" s="16" t="n">
        <v>0</v>
      </c>
    </row>
    <row r="899">
      <c r="A899" t="inlineStr">
        <is>
          <t>MTR-IOS-0899</t>
        </is>
      </c>
      <c r="B899" t="inlineStr">
        <is>
          <t>Wedding</t>
        </is>
      </c>
      <c r="C899" t="inlineStr">
        <is>
          <t>SHARES</t>
        </is>
      </c>
      <c r="D899" t="inlineStr">
        <is>
          <t>IOS Owner</t>
        </is>
      </c>
      <c r="E899" s="16" t="n">
        <v>0</v>
      </c>
      <c r="F899" s="16" t="n">
        <v>10211.26</v>
      </c>
      <c r="G899" s="17" t="n"/>
      <c r="H899" s="16" t="n">
        <v>-10211.26</v>
      </c>
      <c r="I899" s="16" t="n">
        <v>0</v>
      </c>
    </row>
    <row r="900">
      <c r="A900" t="inlineStr">
        <is>
          <t>MTR-IOS-0899</t>
        </is>
      </c>
      <c r="B900" t="inlineStr">
        <is>
          <t>Wedding</t>
        </is>
      </c>
      <c r="C900" t="inlineStr">
        <is>
          <t>SHARES</t>
        </is>
      </c>
      <c r="D900" t="inlineStr">
        <is>
          <t>IOS Aarav</t>
        </is>
      </c>
      <c r="E900" s="16" t="n">
        <v>0</v>
      </c>
      <c r="F900" s="16" t="n">
        <v>6807.5</v>
      </c>
      <c r="G900" s="17" t="n"/>
      <c r="H900" s="16" t="n">
        <v>-6807.5</v>
      </c>
      <c r="I900" s="16" t="n">
        <v>0</v>
      </c>
    </row>
    <row r="901">
      <c r="A901" t="inlineStr">
        <is>
          <t>MTR-IOS-0899</t>
        </is>
      </c>
      <c r="B901" t="inlineStr">
        <is>
          <t>Wedding</t>
        </is>
      </c>
      <c r="C901" t="inlineStr">
        <is>
          <t>SHARES</t>
        </is>
      </c>
      <c r="D901" t="inlineStr">
        <is>
          <t>IOS Meera</t>
        </is>
      </c>
      <c r="E901" s="16" t="n">
        <v>20422.51</v>
      </c>
      <c r="F901" s="16" t="n">
        <v>3403.75</v>
      </c>
      <c r="G901" s="17" t="n"/>
      <c r="H901" s="16" t="n">
        <v>17018.76</v>
      </c>
      <c r="I901" s="16" t="n">
        <v>0</v>
      </c>
    </row>
    <row r="902">
      <c r="A902" t="inlineStr">
        <is>
          <t>MTR-IOS-0902</t>
        </is>
      </c>
      <c r="B902" t="inlineStr">
        <is>
          <t>Wedding</t>
        </is>
      </c>
      <c r="C902" t="inlineStr">
        <is>
          <t>EQUAL</t>
        </is>
      </c>
      <c r="D902" t="inlineStr">
        <is>
          <t>IOS Owner</t>
        </is>
      </c>
      <c r="E902" s="16" t="n">
        <v>23877.11</v>
      </c>
      <c r="F902" s="16" t="n">
        <v>7959.04</v>
      </c>
      <c r="G902" s="17" t="n"/>
      <c r="H902" s="16" t="n">
        <v>15918.07</v>
      </c>
      <c r="I902" s="16" t="n">
        <v>0</v>
      </c>
    </row>
    <row r="903">
      <c r="A903" t="inlineStr">
        <is>
          <t>MTR-IOS-0902</t>
        </is>
      </c>
      <c r="B903" t="inlineStr">
        <is>
          <t>Wedding</t>
        </is>
      </c>
      <c r="C903" t="inlineStr">
        <is>
          <t>EQUAL</t>
        </is>
      </c>
      <c r="D903" t="inlineStr">
        <is>
          <t>IOS Aarav</t>
        </is>
      </c>
      <c r="E903" s="16" t="n">
        <v>0</v>
      </c>
      <c r="F903" s="16" t="n">
        <v>7959.04</v>
      </c>
      <c r="G903" s="17" t="n"/>
      <c r="H903" s="16" t="n">
        <v>-7959.04</v>
      </c>
      <c r="I903" s="16" t="n">
        <v>0</v>
      </c>
    </row>
    <row r="904">
      <c r="A904" t="inlineStr">
        <is>
          <t>MTR-IOS-0902</t>
        </is>
      </c>
      <c r="B904" t="inlineStr">
        <is>
          <t>Wedding</t>
        </is>
      </c>
      <c r="C904" t="inlineStr">
        <is>
          <t>EQUAL</t>
        </is>
      </c>
      <c r="D904" t="inlineStr">
        <is>
          <t>IOS Meera</t>
        </is>
      </c>
      <c r="E904" s="16" t="n">
        <v>0</v>
      </c>
      <c r="F904" s="16" t="n">
        <v>7959.03</v>
      </c>
      <c r="G904" s="17" t="n"/>
      <c r="H904" s="16" t="n">
        <v>-7959.03</v>
      </c>
      <c r="I904" s="16" t="n">
        <v>0</v>
      </c>
    </row>
    <row r="905">
      <c r="A905" t="inlineStr">
        <is>
          <t>MTR-IOS-0905</t>
        </is>
      </c>
      <c r="B905" t="inlineStr">
        <is>
          <t>Wedding</t>
        </is>
      </c>
      <c r="C905" t="inlineStr">
        <is>
          <t>PERCENTAGE</t>
        </is>
      </c>
      <c r="D905" t="inlineStr">
        <is>
          <t>IOS Owner</t>
        </is>
      </c>
      <c r="E905" s="16" t="n">
        <v>0</v>
      </c>
      <c r="F905" s="16" t="n">
        <v>3690.98</v>
      </c>
      <c r="G905" s="17" t="n">
        <v>50</v>
      </c>
      <c r="H905" s="16" t="n">
        <v>-3690.98</v>
      </c>
      <c r="I905" s="16" t="n">
        <v>0</v>
      </c>
    </row>
    <row r="906">
      <c r="A906" t="inlineStr">
        <is>
          <t>MTR-IOS-0905</t>
        </is>
      </c>
      <c r="B906" t="inlineStr">
        <is>
          <t>Wedding</t>
        </is>
      </c>
      <c r="C906" t="inlineStr">
        <is>
          <t>PERCENTAGE</t>
        </is>
      </c>
      <c r="D906" t="inlineStr">
        <is>
          <t>IOS Aarav</t>
        </is>
      </c>
      <c r="E906" s="16" t="n">
        <v>7381.95</v>
      </c>
      <c r="F906" s="16" t="n">
        <v>2214.59</v>
      </c>
      <c r="G906" s="17" t="n">
        <v>30</v>
      </c>
      <c r="H906" s="16" t="n">
        <v>5167.36</v>
      </c>
      <c r="I906" s="16" t="n">
        <v>0</v>
      </c>
    </row>
    <row r="907">
      <c r="A907" t="inlineStr">
        <is>
          <t>MTR-IOS-0905</t>
        </is>
      </c>
      <c r="B907" t="inlineStr">
        <is>
          <t>Wedding</t>
        </is>
      </c>
      <c r="C907" t="inlineStr">
        <is>
          <t>PERCENTAGE</t>
        </is>
      </c>
      <c r="D907" t="inlineStr">
        <is>
          <t>IOS Meera</t>
        </is>
      </c>
      <c r="E907" s="16" t="n">
        <v>0</v>
      </c>
      <c r="F907" s="16" t="n">
        <v>1476.38</v>
      </c>
      <c r="G907" s="17" t="n">
        <v>20</v>
      </c>
      <c r="H907" s="16" t="n">
        <v>-1476.38</v>
      </c>
      <c r="I907" s="16" t="n">
        <v>0</v>
      </c>
    </row>
    <row r="908">
      <c r="A908" t="inlineStr">
        <is>
          <t>MTR-IOS-0908</t>
        </is>
      </c>
      <c r="B908" t="inlineStr">
        <is>
          <t>Wedding</t>
        </is>
      </c>
      <c r="C908" t="inlineStr">
        <is>
          <t>EXACT</t>
        </is>
      </c>
      <c r="D908" t="inlineStr">
        <is>
          <t>IOS Owner</t>
        </is>
      </c>
      <c r="E908" s="16" t="n">
        <v>0</v>
      </c>
      <c r="F908" s="16" t="n">
        <v>7408.58</v>
      </c>
      <c r="G908" s="17" t="n"/>
      <c r="H908" s="16" t="n">
        <v>-7408.58</v>
      </c>
      <c r="I908" s="16" t="n">
        <v>0</v>
      </c>
    </row>
    <row r="909">
      <c r="A909" t="inlineStr">
        <is>
          <t>MTR-IOS-0908</t>
        </is>
      </c>
      <c r="B909" t="inlineStr">
        <is>
          <t>Wedding</t>
        </is>
      </c>
      <c r="C909" t="inlineStr">
        <is>
          <t>EXACT</t>
        </is>
      </c>
      <c r="D909" t="inlineStr">
        <is>
          <t>IOS Aarav</t>
        </is>
      </c>
      <c r="E909" s="16" t="n">
        <v>0</v>
      </c>
      <c r="F909" s="16" t="n">
        <v>7408.58</v>
      </c>
      <c r="G909" s="17" t="n"/>
      <c r="H909" s="16" t="n">
        <v>-7408.58</v>
      </c>
      <c r="I909" s="16" t="n">
        <v>0</v>
      </c>
    </row>
    <row r="910">
      <c r="A910" t="inlineStr">
        <is>
          <t>MTR-IOS-0908</t>
        </is>
      </c>
      <c r="B910" t="inlineStr">
        <is>
          <t>Wedding</t>
        </is>
      </c>
      <c r="C910" t="inlineStr">
        <is>
          <t>EXACT</t>
        </is>
      </c>
      <c r="D910" t="inlineStr">
        <is>
          <t>IOS Meera</t>
        </is>
      </c>
      <c r="E910" s="16" t="n">
        <v>22247.99</v>
      </c>
      <c r="F910" s="16" t="n">
        <v>7430.83</v>
      </c>
      <c r="G910" s="17" t="n"/>
      <c r="H910" s="16" t="n">
        <v>14817.16</v>
      </c>
      <c r="I910" s="16" t="n">
        <v>0</v>
      </c>
    </row>
    <row r="911">
      <c r="A911" t="inlineStr">
        <is>
          <t>MTR-IOS-0911</t>
        </is>
      </c>
      <c r="B911" t="inlineStr">
        <is>
          <t>Wedding</t>
        </is>
      </c>
      <c r="C911" t="inlineStr">
        <is>
          <t>SHARES</t>
        </is>
      </c>
      <c r="D911" t="inlineStr">
        <is>
          <t>IOS Owner</t>
        </is>
      </c>
      <c r="E911" s="16" t="n">
        <v>26400.46</v>
      </c>
      <c r="F911" s="16" t="n">
        <v>13200.23</v>
      </c>
      <c r="G911" s="17" t="n"/>
      <c r="H911" s="16" t="n">
        <v>13200.23</v>
      </c>
      <c r="I911" s="16" t="n">
        <v>0</v>
      </c>
    </row>
    <row r="912">
      <c r="A912" t="inlineStr">
        <is>
          <t>MTR-IOS-0911</t>
        </is>
      </c>
      <c r="B912" t="inlineStr">
        <is>
          <t>Wedding</t>
        </is>
      </c>
      <c r="C912" t="inlineStr">
        <is>
          <t>SHARES</t>
        </is>
      </c>
      <c r="D912" t="inlineStr">
        <is>
          <t>IOS Aarav</t>
        </is>
      </c>
      <c r="E912" s="16" t="n">
        <v>0</v>
      </c>
      <c r="F912" s="16" t="n">
        <v>8800.15</v>
      </c>
      <c r="G912" s="17" t="n"/>
      <c r="H912" s="16" t="n">
        <v>-8800.15</v>
      </c>
      <c r="I912" s="16" t="n">
        <v>0</v>
      </c>
    </row>
    <row r="913">
      <c r="A913" t="inlineStr">
        <is>
          <t>MTR-IOS-0911</t>
        </is>
      </c>
      <c r="B913" t="inlineStr">
        <is>
          <t>Wedding</t>
        </is>
      </c>
      <c r="C913" t="inlineStr">
        <is>
          <t>SHARES</t>
        </is>
      </c>
      <c r="D913" t="inlineStr">
        <is>
          <t>IOS Meera</t>
        </is>
      </c>
      <c r="E913" s="16" t="n">
        <v>0</v>
      </c>
      <c r="F913" s="16" t="n">
        <v>4400.08</v>
      </c>
      <c r="G913" s="17" t="n"/>
      <c r="H913" s="16" t="n">
        <v>-4400.08</v>
      </c>
      <c r="I913" s="16" t="n">
        <v>0</v>
      </c>
    </row>
    <row r="914">
      <c r="A914" t="inlineStr">
        <is>
          <t>MTR-IOS-0914</t>
        </is>
      </c>
      <c r="B914" t="inlineStr">
        <is>
          <t>Office Outing</t>
        </is>
      </c>
      <c r="C914" t="inlineStr">
        <is>
          <t>EQUAL</t>
        </is>
      </c>
      <c r="D914" t="inlineStr">
        <is>
          <t>IOS Owner</t>
        </is>
      </c>
      <c r="E914" s="16" t="n">
        <v>0</v>
      </c>
      <c r="F914" s="16" t="n">
        <v>4759.17</v>
      </c>
      <c r="G914" s="17" t="n"/>
      <c r="H914" s="16" t="n">
        <v>-4759.17</v>
      </c>
      <c r="I914" s="16" t="n">
        <v>0</v>
      </c>
    </row>
    <row r="915">
      <c r="A915" t="inlineStr">
        <is>
          <t>MTR-IOS-0914</t>
        </is>
      </c>
      <c r="B915" t="inlineStr">
        <is>
          <t>Office Outing</t>
        </is>
      </c>
      <c r="C915" t="inlineStr">
        <is>
          <t>EQUAL</t>
        </is>
      </c>
      <c r="D915" t="inlineStr">
        <is>
          <t>IOS Aarav</t>
        </is>
      </c>
      <c r="E915" s="16" t="n">
        <v>14277.5</v>
      </c>
      <c r="F915" s="16" t="n">
        <v>4759.17</v>
      </c>
      <c r="G915" s="17" t="n"/>
      <c r="H915" s="16" t="n">
        <v>9518.33</v>
      </c>
      <c r="I915" s="16" t="n">
        <v>0</v>
      </c>
    </row>
    <row r="916">
      <c r="A916" t="inlineStr">
        <is>
          <t>MTR-IOS-0914</t>
        </is>
      </c>
      <c r="B916" t="inlineStr">
        <is>
          <t>Office Outing</t>
        </is>
      </c>
      <c r="C916" t="inlineStr">
        <is>
          <t>EQUAL</t>
        </is>
      </c>
      <c r="D916" t="inlineStr">
        <is>
          <t>IOS Meera</t>
        </is>
      </c>
      <c r="E916" s="16" t="n">
        <v>0</v>
      </c>
      <c r="F916" s="16" t="n">
        <v>4759.16</v>
      </c>
      <c r="G916" s="17" t="n"/>
      <c r="H916" s="16" t="n">
        <v>-4759.16</v>
      </c>
      <c r="I916" s="16" t="n">
        <v>0</v>
      </c>
    </row>
    <row r="917">
      <c r="A917" t="inlineStr">
        <is>
          <t>MTR-IOS-0917</t>
        </is>
      </c>
      <c r="B917" t="inlineStr">
        <is>
          <t>Office Outing</t>
        </is>
      </c>
      <c r="C917" t="inlineStr">
        <is>
          <t>PERCENTAGE</t>
        </is>
      </c>
      <c r="D917" t="inlineStr">
        <is>
          <t>IOS Owner</t>
        </is>
      </c>
      <c r="E917" s="16" t="n">
        <v>0</v>
      </c>
      <c r="F917" s="16" t="n">
        <v>12498.05</v>
      </c>
      <c r="G917" s="17" t="n">
        <v>50</v>
      </c>
      <c r="H917" s="16" t="n">
        <v>-12498.05</v>
      </c>
      <c r="I917" s="16" t="n">
        <v>0</v>
      </c>
    </row>
    <row r="918">
      <c r="A918" t="inlineStr">
        <is>
          <t>MTR-IOS-0917</t>
        </is>
      </c>
      <c r="B918" t="inlineStr">
        <is>
          <t>Office Outing</t>
        </is>
      </c>
      <c r="C918" t="inlineStr">
        <is>
          <t>PERCENTAGE</t>
        </is>
      </c>
      <c r="D918" t="inlineStr">
        <is>
          <t>IOS Aarav</t>
        </is>
      </c>
      <c r="E918" s="16" t="n">
        <v>0</v>
      </c>
      <c r="F918" s="16" t="n">
        <v>7498.83</v>
      </c>
      <c r="G918" s="17" t="n">
        <v>30</v>
      </c>
      <c r="H918" s="16" t="n">
        <v>-7498.83</v>
      </c>
      <c r="I918" s="16" t="n">
        <v>0</v>
      </c>
    </row>
    <row r="919">
      <c r="A919" t="inlineStr">
        <is>
          <t>MTR-IOS-0917</t>
        </is>
      </c>
      <c r="B919" t="inlineStr">
        <is>
          <t>Office Outing</t>
        </is>
      </c>
      <c r="C919" t="inlineStr">
        <is>
          <t>PERCENTAGE</t>
        </is>
      </c>
      <c r="D919" t="inlineStr">
        <is>
          <t>IOS Meera</t>
        </is>
      </c>
      <c r="E919" s="16" t="n">
        <v>24996.09</v>
      </c>
      <c r="F919" s="16" t="n">
        <v>4999.21</v>
      </c>
      <c r="G919" s="17" t="n">
        <v>20</v>
      </c>
      <c r="H919" s="16" t="n">
        <v>19996.88</v>
      </c>
      <c r="I919" s="16" t="n">
        <v>0</v>
      </c>
    </row>
    <row r="920">
      <c r="A920" t="inlineStr">
        <is>
          <t>MTR-IOS-0920</t>
        </is>
      </c>
      <c r="B920" t="inlineStr">
        <is>
          <t>Office Outing</t>
        </is>
      </c>
      <c r="C920" t="inlineStr">
        <is>
          <t>EXACT</t>
        </is>
      </c>
      <c r="D920" t="inlineStr">
        <is>
          <t>IOS Owner</t>
        </is>
      </c>
      <c r="E920" s="16" t="n">
        <v>19053.14</v>
      </c>
      <c r="F920" s="16" t="n">
        <v>6344.7</v>
      </c>
      <c r="G920" s="17" t="n"/>
      <c r="H920" s="16" t="n">
        <v>12708.44</v>
      </c>
      <c r="I920" s="16" t="n">
        <v>0</v>
      </c>
    </row>
    <row r="921">
      <c r="A921" t="inlineStr">
        <is>
          <t>MTR-IOS-0920</t>
        </is>
      </c>
      <c r="B921" t="inlineStr">
        <is>
          <t>Office Outing</t>
        </is>
      </c>
      <c r="C921" t="inlineStr">
        <is>
          <t>EXACT</t>
        </is>
      </c>
      <c r="D921" t="inlineStr">
        <is>
          <t>IOS Aarav</t>
        </is>
      </c>
      <c r="E921" s="16" t="n">
        <v>0</v>
      </c>
      <c r="F921" s="16" t="n">
        <v>6344.7</v>
      </c>
      <c r="G921" s="17" t="n"/>
      <c r="H921" s="16" t="n">
        <v>-6344.7</v>
      </c>
      <c r="I921" s="16" t="n">
        <v>0</v>
      </c>
    </row>
    <row r="922">
      <c r="A922" t="inlineStr">
        <is>
          <t>MTR-IOS-0920</t>
        </is>
      </c>
      <c r="B922" t="inlineStr">
        <is>
          <t>Office Outing</t>
        </is>
      </c>
      <c r="C922" t="inlineStr">
        <is>
          <t>EXACT</t>
        </is>
      </c>
      <c r="D922" t="inlineStr">
        <is>
          <t>IOS Meera</t>
        </is>
      </c>
      <c r="E922" s="16" t="n">
        <v>0</v>
      </c>
      <c r="F922" s="16" t="n">
        <v>6363.74</v>
      </c>
      <c r="G922" s="17" t="n"/>
      <c r="H922" s="16" t="n">
        <v>-6363.74</v>
      </c>
      <c r="I922" s="16" t="n">
        <v>0</v>
      </c>
    </row>
    <row r="923">
      <c r="A923" t="inlineStr">
        <is>
          <t>MTR-IOS-0923</t>
        </is>
      </c>
      <c r="B923" t="inlineStr">
        <is>
          <t>Office Outing</t>
        </is>
      </c>
      <c r="C923" t="inlineStr">
        <is>
          <t>SHARES</t>
        </is>
      </c>
      <c r="D923" t="inlineStr">
        <is>
          <t>IOS Owner</t>
        </is>
      </c>
      <c r="E923" s="16" t="n">
        <v>0</v>
      </c>
      <c r="F923" s="16" t="n">
        <v>11755.36</v>
      </c>
      <c r="G923" s="17" t="n"/>
      <c r="H923" s="16" t="n">
        <v>-11755.36</v>
      </c>
      <c r="I923" s="16" t="n">
        <v>0</v>
      </c>
    </row>
    <row r="924">
      <c r="A924" t="inlineStr">
        <is>
          <t>MTR-IOS-0923</t>
        </is>
      </c>
      <c r="B924" t="inlineStr">
        <is>
          <t>Office Outing</t>
        </is>
      </c>
      <c r="C924" t="inlineStr">
        <is>
          <t>SHARES</t>
        </is>
      </c>
      <c r="D924" t="inlineStr">
        <is>
          <t>IOS Aarav</t>
        </is>
      </c>
      <c r="E924" s="16" t="n">
        <v>23510.72</v>
      </c>
      <c r="F924" s="16" t="n">
        <v>7836.91</v>
      </c>
      <c r="G924" s="17" t="n"/>
      <c r="H924" s="16" t="n">
        <v>15673.81</v>
      </c>
      <c r="I924" s="16" t="n">
        <v>0</v>
      </c>
    </row>
    <row r="925">
      <c r="A925" t="inlineStr">
        <is>
          <t>MTR-IOS-0923</t>
        </is>
      </c>
      <c r="B925" t="inlineStr">
        <is>
          <t>Office Outing</t>
        </is>
      </c>
      <c r="C925" t="inlineStr">
        <is>
          <t>SHARES</t>
        </is>
      </c>
      <c r="D925" t="inlineStr">
        <is>
          <t>IOS Meera</t>
        </is>
      </c>
      <c r="E925" s="16" t="n">
        <v>0</v>
      </c>
      <c r="F925" s="16" t="n">
        <v>3918.45</v>
      </c>
      <c r="G925" s="17" t="n"/>
      <c r="H925" s="16" t="n">
        <v>-3918.45</v>
      </c>
      <c r="I925" s="16" t="n">
        <v>0</v>
      </c>
    </row>
    <row r="926">
      <c r="A926" t="inlineStr">
        <is>
          <t>MTR-IOS-0926</t>
        </is>
      </c>
      <c r="B926" t="inlineStr">
        <is>
          <t>Office Outing</t>
        </is>
      </c>
      <c r="C926" t="inlineStr">
        <is>
          <t>EQUAL</t>
        </is>
      </c>
      <c r="D926" t="inlineStr">
        <is>
          <t>IOS Owner</t>
        </is>
      </c>
      <c r="E926" s="16" t="n">
        <v>0</v>
      </c>
      <c r="F926" s="16" t="n">
        <v>1098.16</v>
      </c>
      <c r="G926" s="17" t="n"/>
      <c r="H926" s="16" t="n">
        <v>-1098.16</v>
      </c>
      <c r="I926" s="16" t="n">
        <v>0</v>
      </c>
    </row>
    <row r="927">
      <c r="A927" t="inlineStr">
        <is>
          <t>MTR-IOS-0926</t>
        </is>
      </c>
      <c r="B927" t="inlineStr">
        <is>
          <t>Office Outing</t>
        </is>
      </c>
      <c r="C927" t="inlineStr">
        <is>
          <t>EQUAL</t>
        </is>
      </c>
      <c r="D927" t="inlineStr">
        <is>
          <t>IOS Aarav</t>
        </is>
      </c>
      <c r="E927" s="16" t="n">
        <v>0</v>
      </c>
      <c r="F927" s="16" t="n">
        <v>1098.16</v>
      </c>
      <c r="G927" s="17" t="n"/>
      <c r="H927" s="16" t="n">
        <v>-1098.16</v>
      </c>
      <c r="I927" s="16" t="n">
        <v>0</v>
      </c>
    </row>
    <row r="928">
      <c r="A928" t="inlineStr">
        <is>
          <t>MTR-IOS-0926</t>
        </is>
      </c>
      <c r="B928" t="inlineStr">
        <is>
          <t>Office Outing</t>
        </is>
      </c>
      <c r="C928" t="inlineStr">
        <is>
          <t>EQUAL</t>
        </is>
      </c>
      <c r="D928" t="inlineStr">
        <is>
          <t>IOS Meera</t>
        </is>
      </c>
      <c r="E928" s="16" t="n">
        <v>3294.48</v>
      </c>
      <c r="F928" s="16" t="n">
        <v>1098.16</v>
      </c>
      <c r="G928" s="17" t="n"/>
      <c r="H928" s="16" t="n">
        <v>2196.32</v>
      </c>
      <c r="I928" s="16" t="n">
        <v>0</v>
      </c>
    </row>
    <row r="929">
      <c r="A929" t="inlineStr">
        <is>
          <t>MTR-IOS-0929</t>
        </is>
      </c>
      <c r="B929" t="inlineStr">
        <is>
          <t>House Party</t>
        </is>
      </c>
      <c r="C929" t="inlineStr">
        <is>
          <t>PERCENTAGE</t>
        </is>
      </c>
      <c r="D929" t="inlineStr">
        <is>
          <t>IOS Owner</t>
        </is>
      </c>
      <c r="E929" s="16" t="n">
        <v>14093.19</v>
      </c>
      <c r="F929" s="16" t="n">
        <v>7046.6</v>
      </c>
      <c r="G929" s="17" t="n">
        <v>50</v>
      </c>
      <c r="H929" s="16" t="n">
        <v>7046.59</v>
      </c>
      <c r="I929" s="16" t="n">
        <v>0</v>
      </c>
    </row>
    <row r="930">
      <c r="A930" t="inlineStr">
        <is>
          <t>MTR-IOS-0929</t>
        </is>
      </c>
      <c r="B930" t="inlineStr">
        <is>
          <t>House Party</t>
        </is>
      </c>
      <c r="C930" t="inlineStr">
        <is>
          <t>PERCENTAGE</t>
        </is>
      </c>
      <c r="D930" t="inlineStr">
        <is>
          <t>IOS Aarav</t>
        </is>
      </c>
      <c r="E930" s="16" t="n">
        <v>0</v>
      </c>
      <c r="F930" s="16" t="n">
        <v>4227.96</v>
      </c>
      <c r="G930" s="17" t="n">
        <v>30</v>
      </c>
      <c r="H930" s="16" t="n">
        <v>-4227.96</v>
      </c>
      <c r="I930" s="16" t="n">
        <v>0</v>
      </c>
    </row>
    <row r="931">
      <c r="A931" t="inlineStr">
        <is>
          <t>MTR-IOS-0929</t>
        </is>
      </c>
      <c r="B931" t="inlineStr">
        <is>
          <t>House Party</t>
        </is>
      </c>
      <c r="C931" t="inlineStr">
        <is>
          <t>PERCENTAGE</t>
        </is>
      </c>
      <c r="D931" t="inlineStr">
        <is>
          <t>IOS Meera</t>
        </is>
      </c>
      <c r="E931" s="16" t="n">
        <v>0</v>
      </c>
      <c r="F931" s="16" t="n">
        <v>2818.63</v>
      </c>
      <c r="G931" s="17" t="n">
        <v>20</v>
      </c>
      <c r="H931" s="16" t="n">
        <v>-2818.63</v>
      </c>
      <c r="I931" s="16" t="n">
        <v>0</v>
      </c>
    </row>
    <row r="932">
      <c r="A932" t="inlineStr">
        <is>
          <t>MTR-IOS-0932</t>
        </is>
      </c>
      <c r="B932" t="inlineStr">
        <is>
          <t>House Party</t>
        </is>
      </c>
      <c r="C932" t="inlineStr">
        <is>
          <t>EXACT</t>
        </is>
      </c>
      <c r="D932" t="inlineStr">
        <is>
          <t>IOS Owner</t>
        </is>
      </c>
      <c r="E932" s="16" t="n">
        <v>0</v>
      </c>
      <c r="F932" s="16" t="n">
        <v>4345.61</v>
      </c>
      <c r="G932" s="17" t="n"/>
      <c r="H932" s="16" t="n">
        <v>-4345.61</v>
      </c>
      <c r="I932" s="16" t="n">
        <v>0</v>
      </c>
    </row>
    <row r="933">
      <c r="A933" t="inlineStr">
        <is>
          <t>MTR-IOS-0932</t>
        </is>
      </c>
      <c r="B933" t="inlineStr">
        <is>
          <t>House Party</t>
        </is>
      </c>
      <c r="C933" t="inlineStr">
        <is>
          <t>EXACT</t>
        </is>
      </c>
      <c r="D933" t="inlineStr">
        <is>
          <t>IOS Aarav</t>
        </is>
      </c>
      <c r="E933" s="16" t="n">
        <v>13049.89</v>
      </c>
      <c r="F933" s="16" t="n">
        <v>4345.61</v>
      </c>
      <c r="G933" s="17" t="n"/>
      <c r="H933" s="16" t="n">
        <v>8704.280000000001</v>
      </c>
      <c r="I933" s="16" t="n">
        <v>0</v>
      </c>
    </row>
    <row r="934">
      <c r="A934" t="inlineStr">
        <is>
          <t>MTR-IOS-0932</t>
        </is>
      </c>
      <c r="B934" t="inlineStr">
        <is>
          <t>House Party</t>
        </is>
      </c>
      <c r="C934" t="inlineStr">
        <is>
          <t>EXACT</t>
        </is>
      </c>
      <c r="D934" t="inlineStr">
        <is>
          <t>IOS Meera</t>
        </is>
      </c>
      <c r="E934" s="16" t="n">
        <v>0</v>
      </c>
      <c r="F934" s="16" t="n">
        <v>4358.67</v>
      </c>
      <c r="G934" s="17" t="n"/>
      <c r="H934" s="16" t="n">
        <v>-4358.67</v>
      </c>
      <c r="I934" s="16" t="n">
        <v>0</v>
      </c>
    </row>
    <row r="935">
      <c r="A935" t="inlineStr">
        <is>
          <t>MTR-IOS-0935</t>
        </is>
      </c>
      <c r="B935" t="inlineStr">
        <is>
          <t>House Party</t>
        </is>
      </c>
      <c r="C935" t="inlineStr">
        <is>
          <t>SHARES</t>
        </is>
      </c>
      <c r="D935" t="inlineStr">
        <is>
          <t>IOS Owner</t>
        </is>
      </c>
      <c r="E935" s="16" t="n">
        <v>0</v>
      </c>
      <c r="F935" s="16" t="n">
        <v>5818.25</v>
      </c>
      <c r="G935" s="17" t="n"/>
      <c r="H935" s="16" t="n">
        <v>-5818.25</v>
      </c>
      <c r="I935" s="16" t="n">
        <v>0</v>
      </c>
    </row>
    <row r="936">
      <c r="A936" t="inlineStr">
        <is>
          <t>MTR-IOS-0935</t>
        </is>
      </c>
      <c r="B936" t="inlineStr">
        <is>
          <t>House Party</t>
        </is>
      </c>
      <c r="C936" t="inlineStr">
        <is>
          <t>SHARES</t>
        </is>
      </c>
      <c r="D936" t="inlineStr">
        <is>
          <t>IOS Aarav</t>
        </is>
      </c>
      <c r="E936" s="16" t="n">
        <v>0</v>
      </c>
      <c r="F936" s="16" t="n">
        <v>3878.83</v>
      </c>
      <c r="G936" s="17" t="n"/>
      <c r="H936" s="16" t="n">
        <v>-3878.83</v>
      </c>
      <c r="I936" s="16" t="n">
        <v>0</v>
      </c>
    </row>
    <row r="937">
      <c r="A937" t="inlineStr">
        <is>
          <t>MTR-IOS-0935</t>
        </is>
      </c>
      <c r="B937" t="inlineStr">
        <is>
          <t>House Party</t>
        </is>
      </c>
      <c r="C937" t="inlineStr">
        <is>
          <t>SHARES</t>
        </is>
      </c>
      <c r="D937" t="inlineStr">
        <is>
          <t>IOS Meera</t>
        </is>
      </c>
      <c r="E937" s="16" t="n">
        <v>11636.49</v>
      </c>
      <c r="F937" s="16" t="n">
        <v>1939.41</v>
      </c>
      <c r="G937" s="17" t="n"/>
      <c r="H937" s="16" t="n">
        <v>9697.08</v>
      </c>
      <c r="I937" s="16" t="n">
        <v>0</v>
      </c>
    </row>
    <row r="938">
      <c r="A938" t="inlineStr">
        <is>
          <t>MTR-IOS-0938</t>
        </is>
      </c>
      <c r="B938" t="inlineStr">
        <is>
          <t>House Party</t>
        </is>
      </c>
      <c r="C938" t="inlineStr">
        <is>
          <t>EQUAL</t>
        </is>
      </c>
      <c r="D938" t="inlineStr">
        <is>
          <t>IOS Owner</t>
        </is>
      </c>
      <c r="E938" s="16" t="n">
        <v>2136.52</v>
      </c>
      <c r="F938" s="16" t="n">
        <v>712.17</v>
      </c>
      <c r="G938" s="17" t="n"/>
      <c r="H938" s="16" t="n">
        <v>1424.35</v>
      </c>
      <c r="I938" s="16" t="n">
        <v>0</v>
      </c>
    </row>
    <row r="939">
      <c r="A939" t="inlineStr">
        <is>
          <t>MTR-IOS-0938</t>
        </is>
      </c>
      <c r="B939" t="inlineStr">
        <is>
          <t>House Party</t>
        </is>
      </c>
      <c r="C939" t="inlineStr">
        <is>
          <t>EQUAL</t>
        </is>
      </c>
      <c r="D939" t="inlineStr">
        <is>
          <t>IOS Aarav</t>
        </is>
      </c>
      <c r="E939" s="16" t="n">
        <v>0</v>
      </c>
      <c r="F939" s="16" t="n">
        <v>712.17</v>
      </c>
      <c r="G939" s="17" t="n"/>
      <c r="H939" s="16" t="n">
        <v>-712.17</v>
      </c>
      <c r="I939" s="16" t="n">
        <v>0</v>
      </c>
    </row>
    <row r="940">
      <c r="A940" t="inlineStr">
        <is>
          <t>MTR-IOS-0938</t>
        </is>
      </c>
      <c r="B940" t="inlineStr">
        <is>
          <t>House Party</t>
        </is>
      </c>
      <c r="C940" t="inlineStr">
        <is>
          <t>EQUAL</t>
        </is>
      </c>
      <c r="D940" t="inlineStr">
        <is>
          <t>IOS Meera</t>
        </is>
      </c>
      <c r="E940" s="16" t="n">
        <v>0</v>
      </c>
      <c r="F940" s="16" t="n">
        <v>712.1799999999999</v>
      </c>
      <c r="G940" s="17" t="n"/>
      <c r="H940" s="16" t="n">
        <v>-712.1799999999999</v>
      </c>
      <c r="I940" s="16" t="n">
        <v>0</v>
      </c>
    </row>
    <row r="941">
      <c r="A941" t="inlineStr">
        <is>
          <t>MTR-IOS-0941</t>
        </is>
      </c>
      <c r="B941" t="inlineStr">
        <is>
          <t>House Party</t>
        </is>
      </c>
      <c r="C941" t="inlineStr">
        <is>
          <t>PERCENTAGE</t>
        </is>
      </c>
      <c r="D941" t="inlineStr">
        <is>
          <t>IOS Owner</t>
        </is>
      </c>
      <c r="E941" s="16" t="n">
        <v>0</v>
      </c>
      <c r="F941" s="16" t="n">
        <v>10501.99</v>
      </c>
      <c r="G941" s="17" t="n">
        <v>50</v>
      </c>
      <c r="H941" s="16" t="n">
        <v>-10501.99</v>
      </c>
      <c r="I941" s="16" t="n">
        <v>0</v>
      </c>
    </row>
    <row r="942">
      <c r="A942" t="inlineStr">
        <is>
          <t>MTR-IOS-0941</t>
        </is>
      </c>
      <c r="B942" t="inlineStr">
        <is>
          <t>House Party</t>
        </is>
      </c>
      <c r="C942" t="inlineStr">
        <is>
          <t>PERCENTAGE</t>
        </is>
      </c>
      <c r="D942" t="inlineStr">
        <is>
          <t>IOS Aarav</t>
        </is>
      </c>
      <c r="E942" s="16" t="n">
        <v>21003.97</v>
      </c>
      <c r="F942" s="16" t="n">
        <v>6301.19</v>
      </c>
      <c r="G942" s="17" t="n">
        <v>30</v>
      </c>
      <c r="H942" s="16" t="n">
        <v>14702.78</v>
      </c>
      <c r="I942" s="16" t="n">
        <v>0</v>
      </c>
    </row>
    <row r="943">
      <c r="A943" t="inlineStr">
        <is>
          <t>MTR-IOS-0941</t>
        </is>
      </c>
      <c r="B943" t="inlineStr">
        <is>
          <t>House Party</t>
        </is>
      </c>
      <c r="C943" t="inlineStr">
        <is>
          <t>PERCENTAGE</t>
        </is>
      </c>
      <c r="D943" t="inlineStr">
        <is>
          <t>IOS Meera</t>
        </is>
      </c>
      <c r="E943" s="16" t="n">
        <v>0</v>
      </c>
      <c r="F943" s="16" t="n">
        <v>4200.79</v>
      </c>
      <c r="G943" s="17" t="n">
        <v>20</v>
      </c>
      <c r="H943" s="16" t="n">
        <v>-4200.79</v>
      </c>
      <c r="I943" s="16" t="n">
        <v>0</v>
      </c>
    </row>
    <row r="944">
      <c r="A944" t="inlineStr">
        <is>
          <t>MTR-IOS-0944</t>
        </is>
      </c>
      <c r="B944" t="inlineStr">
        <is>
          <t>Gift Pool</t>
        </is>
      </c>
      <c r="C944" t="inlineStr">
        <is>
          <t>EXACT</t>
        </is>
      </c>
      <c r="D944" t="inlineStr">
        <is>
          <t>IOS Owner</t>
        </is>
      </c>
      <c r="E944" s="16" t="n">
        <v>0</v>
      </c>
      <c r="F944" s="16" t="n">
        <v>6296.12</v>
      </c>
      <c r="G944" s="17" t="n"/>
      <c r="H944" s="16" t="n">
        <v>-6296.12</v>
      </c>
      <c r="I944" s="16" t="n">
        <v>0</v>
      </c>
    </row>
    <row r="945">
      <c r="A945" t="inlineStr">
        <is>
          <t>MTR-IOS-0944</t>
        </is>
      </c>
      <c r="B945" t="inlineStr">
        <is>
          <t>Gift Pool</t>
        </is>
      </c>
      <c r="C945" t="inlineStr">
        <is>
          <t>EXACT</t>
        </is>
      </c>
      <c r="D945" t="inlineStr">
        <is>
          <t>IOS Aarav</t>
        </is>
      </c>
      <c r="E945" s="16" t="n">
        <v>0</v>
      </c>
      <c r="F945" s="16" t="n">
        <v>6296.12</v>
      </c>
      <c r="G945" s="17" t="n"/>
      <c r="H945" s="16" t="n">
        <v>-6296.12</v>
      </c>
      <c r="I945" s="16" t="n">
        <v>0</v>
      </c>
    </row>
    <row r="946">
      <c r="A946" t="inlineStr">
        <is>
          <t>MTR-IOS-0944</t>
        </is>
      </c>
      <c r="B946" t="inlineStr">
        <is>
          <t>Gift Pool</t>
        </is>
      </c>
      <c r="C946" t="inlineStr">
        <is>
          <t>EXACT</t>
        </is>
      </c>
      <c r="D946" t="inlineStr">
        <is>
          <t>IOS Meera</t>
        </is>
      </c>
      <c r="E946" s="16" t="n">
        <v>18907.28</v>
      </c>
      <c r="F946" s="16" t="n">
        <v>6315.04</v>
      </c>
      <c r="G946" s="17" t="n"/>
      <c r="H946" s="16" t="n">
        <v>12592.24</v>
      </c>
      <c r="I946" s="16" t="n">
        <v>0</v>
      </c>
    </row>
    <row r="947">
      <c r="A947" t="inlineStr">
        <is>
          <t>MTR-IOS-0947</t>
        </is>
      </c>
      <c r="B947" t="inlineStr">
        <is>
          <t>Gift Pool</t>
        </is>
      </c>
      <c r="C947" t="inlineStr">
        <is>
          <t>SHARES</t>
        </is>
      </c>
      <c r="D947" t="inlineStr">
        <is>
          <t>IOS Owner</t>
        </is>
      </c>
      <c r="E947" s="16" t="n">
        <v>11841.22</v>
      </c>
      <c r="F947" s="16" t="n">
        <v>5920.61</v>
      </c>
      <c r="G947" s="17" t="n"/>
      <c r="H947" s="16" t="n">
        <v>5920.61</v>
      </c>
      <c r="I947" s="16" t="n">
        <v>0</v>
      </c>
    </row>
    <row r="948">
      <c r="A948" t="inlineStr">
        <is>
          <t>MTR-IOS-0947</t>
        </is>
      </c>
      <c r="B948" t="inlineStr">
        <is>
          <t>Gift Pool</t>
        </is>
      </c>
      <c r="C948" t="inlineStr">
        <is>
          <t>SHARES</t>
        </is>
      </c>
      <c r="D948" t="inlineStr">
        <is>
          <t>IOS Aarav</t>
        </is>
      </c>
      <c r="E948" s="16" t="n">
        <v>0</v>
      </c>
      <c r="F948" s="16" t="n">
        <v>3947.07</v>
      </c>
      <c r="G948" s="17" t="n"/>
      <c r="H948" s="16" t="n">
        <v>-3947.07</v>
      </c>
      <c r="I948" s="16" t="n">
        <v>0</v>
      </c>
    </row>
    <row r="949">
      <c r="A949" t="inlineStr">
        <is>
          <t>MTR-IOS-0947</t>
        </is>
      </c>
      <c r="B949" t="inlineStr">
        <is>
          <t>Gift Pool</t>
        </is>
      </c>
      <c r="C949" t="inlineStr">
        <is>
          <t>SHARES</t>
        </is>
      </c>
      <c r="D949" t="inlineStr">
        <is>
          <t>IOS Meera</t>
        </is>
      </c>
      <c r="E949" s="16" t="n">
        <v>0</v>
      </c>
      <c r="F949" s="16" t="n">
        <v>1973.54</v>
      </c>
      <c r="G949" s="17" t="n"/>
      <c r="H949" s="16" t="n">
        <v>-1973.54</v>
      </c>
      <c r="I949" s="16" t="n">
        <v>0</v>
      </c>
    </row>
    <row r="950">
      <c r="A950" t="inlineStr">
        <is>
          <t>MTR-IOS-0950</t>
        </is>
      </c>
      <c r="B950" t="inlineStr">
        <is>
          <t>Gift Pool</t>
        </is>
      </c>
      <c r="C950" t="inlineStr">
        <is>
          <t>EQUAL</t>
        </is>
      </c>
      <c r="D950" t="inlineStr">
        <is>
          <t>IOS Owner</t>
        </is>
      </c>
      <c r="E950" s="16" t="n">
        <v>0</v>
      </c>
      <c r="F950" s="16" t="n">
        <v>6927.51</v>
      </c>
      <c r="G950" s="17" t="n"/>
      <c r="H950" s="16" t="n">
        <v>-6927.51</v>
      </c>
      <c r="I950" s="16" t="n">
        <v>0</v>
      </c>
    </row>
    <row r="951">
      <c r="A951" t="inlineStr">
        <is>
          <t>MTR-IOS-0950</t>
        </is>
      </c>
      <c r="B951" t="inlineStr">
        <is>
          <t>Gift Pool</t>
        </is>
      </c>
      <c r="C951" t="inlineStr">
        <is>
          <t>EQUAL</t>
        </is>
      </c>
      <c r="D951" t="inlineStr">
        <is>
          <t>IOS Aarav</t>
        </is>
      </c>
      <c r="E951" s="16" t="n">
        <v>20782.52</v>
      </c>
      <c r="F951" s="16" t="n">
        <v>6927.51</v>
      </c>
      <c r="G951" s="17" t="n"/>
      <c r="H951" s="16" t="n">
        <v>13855.01</v>
      </c>
      <c r="I951" s="16" t="n">
        <v>0</v>
      </c>
    </row>
    <row r="952">
      <c r="A952" t="inlineStr">
        <is>
          <t>MTR-IOS-0950</t>
        </is>
      </c>
      <c r="B952" t="inlineStr">
        <is>
          <t>Gift Pool</t>
        </is>
      </c>
      <c r="C952" t="inlineStr">
        <is>
          <t>EQUAL</t>
        </is>
      </c>
      <c r="D952" t="inlineStr">
        <is>
          <t>IOS Meera</t>
        </is>
      </c>
      <c r="E952" s="16" t="n">
        <v>0</v>
      </c>
      <c r="F952" s="16" t="n">
        <v>6927.5</v>
      </c>
      <c r="G952" s="17" t="n"/>
      <c r="H952" s="16" t="n">
        <v>-6927.5</v>
      </c>
      <c r="I952" s="16" t="n">
        <v>0</v>
      </c>
    </row>
    <row r="953">
      <c r="A953" t="inlineStr">
        <is>
          <t>MTR-IOS-0953</t>
        </is>
      </c>
      <c r="B953" t="inlineStr">
        <is>
          <t>Gift Pool</t>
        </is>
      </c>
      <c r="C953" t="inlineStr">
        <is>
          <t>PERCENTAGE</t>
        </is>
      </c>
      <c r="D953" t="inlineStr">
        <is>
          <t>IOS Owner</t>
        </is>
      </c>
      <c r="E953" s="16" t="n">
        <v>0</v>
      </c>
      <c r="F953" s="16" t="n">
        <v>4171.66</v>
      </c>
      <c r="G953" s="17" t="n">
        <v>50</v>
      </c>
      <c r="H953" s="16" t="n">
        <v>-4171.66</v>
      </c>
      <c r="I953" s="16" t="n">
        <v>0</v>
      </c>
    </row>
    <row r="954">
      <c r="A954" t="inlineStr">
        <is>
          <t>MTR-IOS-0953</t>
        </is>
      </c>
      <c r="B954" t="inlineStr">
        <is>
          <t>Gift Pool</t>
        </is>
      </c>
      <c r="C954" t="inlineStr">
        <is>
          <t>PERCENTAGE</t>
        </is>
      </c>
      <c r="D954" t="inlineStr">
        <is>
          <t>IOS Aarav</t>
        </is>
      </c>
      <c r="E954" s="16" t="n">
        <v>0</v>
      </c>
      <c r="F954" s="16" t="n">
        <v>2502.99</v>
      </c>
      <c r="G954" s="17" t="n">
        <v>30</v>
      </c>
      <c r="H954" s="16" t="n">
        <v>-2502.99</v>
      </c>
      <c r="I954" s="16" t="n">
        <v>0</v>
      </c>
    </row>
    <row r="955">
      <c r="A955" t="inlineStr">
        <is>
          <t>MTR-IOS-0953</t>
        </is>
      </c>
      <c r="B955" t="inlineStr">
        <is>
          <t>Gift Pool</t>
        </is>
      </c>
      <c r="C955" t="inlineStr">
        <is>
          <t>PERCENTAGE</t>
        </is>
      </c>
      <c r="D955" t="inlineStr">
        <is>
          <t>IOS Meera</t>
        </is>
      </c>
      <c r="E955" s="16" t="n">
        <v>8343.309999999999</v>
      </c>
      <c r="F955" s="16" t="n">
        <v>1668.66</v>
      </c>
      <c r="G955" s="17" t="n">
        <v>20</v>
      </c>
      <c r="H955" s="16" t="n">
        <v>6674.65</v>
      </c>
      <c r="I955" s="16" t="n">
        <v>0</v>
      </c>
    </row>
    <row r="956">
      <c r="A956" t="inlineStr">
        <is>
          <t>MTR-IOS-0956</t>
        </is>
      </c>
      <c r="B956" t="inlineStr">
        <is>
          <t>Purchase</t>
        </is>
      </c>
      <c r="C956" t="inlineStr">
        <is>
          <t>EXACT</t>
        </is>
      </c>
      <c r="D956" t="inlineStr">
        <is>
          <t>IOS Owner</t>
        </is>
      </c>
      <c r="E956" s="16" t="n">
        <v>23073.01</v>
      </c>
      <c r="F956" s="16" t="n">
        <v>7683.31</v>
      </c>
      <c r="G956" s="17" t="n"/>
      <c r="H956" s="16" t="n">
        <v>15389.7</v>
      </c>
      <c r="I956" s="16" t="n">
        <v>0</v>
      </c>
    </row>
    <row r="957">
      <c r="A957" t="inlineStr">
        <is>
          <t>MTR-IOS-0956</t>
        </is>
      </c>
      <c r="B957" t="inlineStr">
        <is>
          <t>Purchase</t>
        </is>
      </c>
      <c r="C957" t="inlineStr">
        <is>
          <t>EXACT</t>
        </is>
      </c>
      <c r="D957" t="inlineStr">
        <is>
          <t>IOS Aarav</t>
        </is>
      </c>
      <c r="E957" s="16" t="n">
        <v>0</v>
      </c>
      <c r="F957" s="16" t="n">
        <v>7683.31</v>
      </c>
      <c r="G957" s="17" t="n"/>
      <c r="H957" s="16" t="n">
        <v>-7683.31</v>
      </c>
      <c r="I957" s="16" t="n">
        <v>0</v>
      </c>
    </row>
    <row r="958">
      <c r="A958" t="inlineStr">
        <is>
          <t>MTR-IOS-0956</t>
        </is>
      </c>
      <c r="B958" t="inlineStr">
        <is>
          <t>Purchase</t>
        </is>
      </c>
      <c r="C958" t="inlineStr">
        <is>
          <t>EXACT</t>
        </is>
      </c>
      <c r="D958" t="inlineStr">
        <is>
          <t>IOS Meera</t>
        </is>
      </c>
      <c r="E958" s="16" t="n">
        <v>0</v>
      </c>
      <c r="F958" s="16" t="n">
        <v>7706.39</v>
      </c>
      <c r="G958" s="17" t="n"/>
      <c r="H958" s="16" t="n">
        <v>-7706.39</v>
      </c>
      <c r="I958" s="16" t="n">
        <v>0</v>
      </c>
    </row>
    <row r="959">
      <c r="A959" t="inlineStr">
        <is>
          <t>MTR-IOS-0959</t>
        </is>
      </c>
      <c r="B959" t="inlineStr">
        <is>
          <t>Purchase</t>
        </is>
      </c>
      <c r="C959" t="inlineStr">
        <is>
          <t>SHARES</t>
        </is>
      </c>
      <c r="D959" t="inlineStr">
        <is>
          <t>IOS Owner</t>
        </is>
      </c>
      <c r="E959" s="16" t="n">
        <v>0</v>
      </c>
      <c r="F959" s="16" t="n">
        <v>4509.85</v>
      </c>
      <c r="G959" s="17" t="n"/>
      <c r="H959" s="16" t="n">
        <v>-4509.85</v>
      </c>
      <c r="I959" s="16" t="n">
        <v>0</v>
      </c>
    </row>
    <row r="960">
      <c r="A960" t="inlineStr">
        <is>
          <t>MTR-IOS-0959</t>
        </is>
      </c>
      <c r="B960" t="inlineStr">
        <is>
          <t>Purchase</t>
        </is>
      </c>
      <c r="C960" t="inlineStr">
        <is>
          <t>SHARES</t>
        </is>
      </c>
      <c r="D960" t="inlineStr">
        <is>
          <t>IOS Aarav</t>
        </is>
      </c>
      <c r="E960" s="16" t="n">
        <v>9019.700000000001</v>
      </c>
      <c r="F960" s="16" t="n">
        <v>3006.57</v>
      </c>
      <c r="G960" s="17" t="n"/>
      <c r="H960" s="16" t="n">
        <v>6013.13</v>
      </c>
      <c r="I960" s="16" t="n">
        <v>0</v>
      </c>
    </row>
    <row r="961">
      <c r="A961" t="inlineStr">
        <is>
          <t>MTR-IOS-0959</t>
        </is>
      </c>
      <c r="B961" t="inlineStr">
        <is>
          <t>Purchase</t>
        </is>
      </c>
      <c r="C961" t="inlineStr">
        <is>
          <t>SHARES</t>
        </is>
      </c>
      <c r="D961" t="inlineStr">
        <is>
          <t>IOS Meera</t>
        </is>
      </c>
      <c r="E961" s="16" t="n">
        <v>0</v>
      </c>
      <c r="F961" s="16" t="n">
        <v>1503.28</v>
      </c>
      <c r="G961" s="17" t="n"/>
      <c r="H961" s="16" t="n">
        <v>-1503.28</v>
      </c>
      <c r="I961" s="16" t="n">
        <v>0</v>
      </c>
    </row>
    <row r="962">
      <c r="A962" t="inlineStr">
        <is>
          <t>MTR-IOS-0962</t>
        </is>
      </c>
      <c r="B962" t="inlineStr">
        <is>
          <t>Purchase</t>
        </is>
      </c>
      <c r="C962" t="inlineStr">
        <is>
          <t>EQUAL</t>
        </is>
      </c>
      <c r="D962" t="inlineStr">
        <is>
          <t>IOS Owner</t>
        </is>
      </c>
      <c r="E962" s="16" t="n">
        <v>0</v>
      </c>
      <c r="F962" s="16" t="n">
        <v>33.33</v>
      </c>
      <c r="G962" s="17" t="n"/>
      <c r="H962" s="16" t="n">
        <v>-33.33</v>
      </c>
      <c r="I962" s="16" t="n">
        <v>0</v>
      </c>
    </row>
    <row r="963">
      <c r="A963" t="inlineStr">
        <is>
          <t>MTR-IOS-0962</t>
        </is>
      </c>
      <c r="B963" t="inlineStr">
        <is>
          <t>Purchase</t>
        </is>
      </c>
      <c r="C963" t="inlineStr">
        <is>
          <t>EQUAL</t>
        </is>
      </c>
      <c r="D963" t="inlineStr">
        <is>
          <t>IOS Aarav</t>
        </is>
      </c>
      <c r="E963" s="16" t="n">
        <v>0</v>
      </c>
      <c r="F963" s="16" t="n">
        <v>33.33</v>
      </c>
      <c r="G963" s="17" t="n"/>
      <c r="H963" s="16" t="n">
        <v>-33.33</v>
      </c>
      <c r="I963" s="16" t="n">
        <v>0</v>
      </c>
    </row>
    <row r="964">
      <c r="A964" t="inlineStr">
        <is>
          <t>MTR-IOS-0962</t>
        </is>
      </c>
      <c r="B964" t="inlineStr">
        <is>
          <t>Purchase</t>
        </is>
      </c>
      <c r="C964" t="inlineStr">
        <is>
          <t>EQUAL</t>
        </is>
      </c>
      <c r="D964" t="inlineStr">
        <is>
          <t>IOS Meera</t>
        </is>
      </c>
      <c r="E964" s="16" t="n">
        <v>99.98999999999999</v>
      </c>
      <c r="F964" s="16" t="n">
        <v>33.33</v>
      </c>
      <c r="G964" s="17" t="n"/>
      <c r="H964" s="16" t="n">
        <v>66.66</v>
      </c>
      <c r="I964" s="16" t="n">
        <v>0</v>
      </c>
    </row>
    <row r="965">
      <c r="A965" t="inlineStr">
        <is>
          <t>MTR-IOS-0965</t>
        </is>
      </c>
      <c r="B965" t="inlineStr">
        <is>
          <t>Purchase</t>
        </is>
      </c>
      <c r="C965" t="inlineStr">
        <is>
          <t>PERCENTAGE</t>
        </is>
      </c>
      <c r="D965" t="inlineStr">
        <is>
          <t>IOS Owner</t>
        </is>
      </c>
      <c r="E965" s="16" t="n">
        <v>17357.36</v>
      </c>
      <c r="F965" s="16" t="n">
        <v>8678.68</v>
      </c>
      <c r="G965" s="17" t="n">
        <v>50</v>
      </c>
      <c r="H965" s="16" t="n">
        <v>8678.68</v>
      </c>
      <c r="I965" s="16" t="n">
        <v>0</v>
      </c>
    </row>
    <row r="966">
      <c r="A966" t="inlineStr">
        <is>
          <t>MTR-IOS-0965</t>
        </is>
      </c>
      <c r="B966" t="inlineStr">
        <is>
          <t>Purchase</t>
        </is>
      </c>
      <c r="C966" t="inlineStr">
        <is>
          <t>PERCENTAGE</t>
        </is>
      </c>
      <c r="D966" t="inlineStr">
        <is>
          <t>IOS Aarav</t>
        </is>
      </c>
      <c r="E966" s="16" t="n">
        <v>0</v>
      </c>
      <c r="F966" s="16" t="n">
        <v>5207.21</v>
      </c>
      <c r="G966" s="17" t="n">
        <v>30</v>
      </c>
      <c r="H966" s="16" t="n">
        <v>-5207.21</v>
      </c>
      <c r="I966" s="16" t="n">
        <v>0</v>
      </c>
    </row>
    <row r="967">
      <c r="A967" t="inlineStr">
        <is>
          <t>MTR-IOS-0965</t>
        </is>
      </c>
      <c r="B967" t="inlineStr">
        <is>
          <t>Purchase</t>
        </is>
      </c>
      <c r="C967" t="inlineStr">
        <is>
          <t>PERCENTAGE</t>
        </is>
      </c>
      <c r="D967" t="inlineStr">
        <is>
          <t>IOS Meera</t>
        </is>
      </c>
      <c r="E967" s="16" t="n">
        <v>0</v>
      </c>
      <c r="F967" s="16" t="n">
        <v>3471.47</v>
      </c>
      <c r="G967" s="17" t="n">
        <v>20</v>
      </c>
      <c r="H967" s="16" t="n">
        <v>-3471.47</v>
      </c>
      <c r="I967" s="16" t="n">
        <v>0</v>
      </c>
    </row>
    <row r="968">
      <c r="A968" t="inlineStr">
        <is>
          <t>MTR-IOS-0968</t>
        </is>
      </c>
      <c r="B968" t="inlineStr">
        <is>
          <t>Assets</t>
        </is>
      </c>
      <c r="C968" t="inlineStr">
        <is>
          <t>EXACT</t>
        </is>
      </c>
      <c r="D968" t="inlineStr">
        <is>
          <t>IOS Owner</t>
        </is>
      </c>
      <c r="E968" s="16" t="n">
        <v>0</v>
      </c>
      <c r="F968" s="16" t="n">
        <v>2670.52</v>
      </c>
      <c r="G968" s="17" t="n"/>
      <c r="H968" s="16" t="n">
        <v>-2670.52</v>
      </c>
      <c r="I968" s="16" t="n">
        <v>0</v>
      </c>
    </row>
    <row r="969">
      <c r="A969" t="inlineStr">
        <is>
          <t>MTR-IOS-0968</t>
        </is>
      </c>
      <c r="B969" t="inlineStr">
        <is>
          <t>Assets</t>
        </is>
      </c>
      <c r="C969" t="inlineStr">
        <is>
          <t>EXACT</t>
        </is>
      </c>
      <c r="D969" t="inlineStr">
        <is>
          <t>IOS Aarav</t>
        </is>
      </c>
      <c r="E969" s="16" t="n">
        <v>8019.57</v>
      </c>
      <c r="F969" s="16" t="n">
        <v>2670.52</v>
      </c>
      <c r="G969" s="17" t="n"/>
      <c r="H969" s="16" t="n">
        <v>5349.05</v>
      </c>
      <c r="I969" s="16" t="n">
        <v>0</v>
      </c>
    </row>
    <row r="970">
      <c r="A970" t="inlineStr">
        <is>
          <t>MTR-IOS-0968</t>
        </is>
      </c>
      <c r="B970" t="inlineStr">
        <is>
          <t>Assets</t>
        </is>
      </c>
      <c r="C970" t="inlineStr">
        <is>
          <t>EXACT</t>
        </is>
      </c>
      <c r="D970" t="inlineStr">
        <is>
          <t>IOS Meera</t>
        </is>
      </c>
      <c r="E970" s="16" t="n">
        <v>0</v>
      </c>
      <c r="F970" s="16" t="n">
        <v>2678.53</v>
      </c>
      <c r="G970" s="17" t="n"/>
      <c r="H970" s="16" t="n">
        <v>-2678.53</v>
      </c>
      <c r="I970" s="16" t="n">
        <v>0</v>
      </c>
    </row>
    <row r="971">
      <c r="A971" t="inlineStr">
        <is>
          <t>MTR-IOS-0971</t>
        </is>
      </c>
      <c r="B971" t="inlineStr">
        <is>
          <t>Assets</t>
        </is>
      </c>
      <c r="C971" t="inlineStr">
        <is>
          <t>SHARES</t>
        </is>
      </c>
      <c r="D971" t="inlineStr">
        <is>
          <t>IOS Owner</t>
        </is>
      </c>
      <c r="E971" s="16" t="n">
        <v>0</v>
      </c>
      <c r="F971" s="16" t="n">
        <v>7029.2</v>
      </c>
      <c r="G971" s="17" t="n"/>
      <c r="H971" s="16" t="n">
        <v>-7029.2</v>
      </c>
      <c r="I971" s="16" t="n">
        <v>0</v>
      </c>
    </row>
    <row r="972">
      <c r="A972" t="inlineStr">
        <is>
          <t>MTR-IOS-0971</t>
        </is>
      </c>
      <c r="B972" t="inlineStr">
        <is>
          <t>Assets</t>
        </is>
      </c>
      <c r="C972" t="inlineStr">
        <is>
          <t>SHARES</t>
        </is>
      </c>
      <c r="D972" t="inlineStr">
        <is>
          <t>IOS Aarav</t>
        </is>
      </c>
      <c r="E972" s="16" t="n">
        <v>0</v>
      </c>
      <c r="F972" s="16" t="n">
        <v>4686.13</v>
      </c>
      <c r="G972" s="17" t="n"/>
      <c r="H972" s="16" t="n">
        <v>-4686.13</v>
      </c>
      <c r="I972" s="16" t="n">
        <v>0</v>
      </c>
    </row>
    <row r="973">
      <c r="A973" t="inlineStr">
        <is>
          <t>MTR-IOS-0971</t>
        </is>
      </c>
      <c r="B973" t="inlineStr">
        <is>
          <t>Assets</t>
        </is>
      </c>
      <c r="C973" t="inlineStr">
        <is>
          <t>SHARES</t>
        </is>
      </c>
      <c r="D973" t="inlineStr">
        <is>
          <t>IOS Meera</t>
        </is>
      </c>
      <c r="E973" s="16" t="n">
        <v>14058.4</v>
      </c>
      <c r="F973" s="16" t="n">
        <v>2343.07</v>
      </c>
      <c r="G973" s="17" t="n"/>
      <c r="H973" s="16" t="n">
        <v>11715.33</v>
      </c>
      <c r="I973" s="16" t="n">
        <v>0</v>
      </c>
    </row>
    <row r="974">
      <c r="A974" t="inlineStr">
        <is>
          <t>MTR-IOS-0974</t>
        </is>
      </c>
      <c r="B974" t="inlineStr">
        <is>
          <t>Assets</t>
        </is>
      </c>
      <c r="C974" t="inlineStr">
        <is>
          <t>EQUAL</t>
        </is>
      </c>
      <c r="D974" t="inlineStr">
        <is>
          <t>IOS Owner</t>
        </is>
      </c>
      <c r="E974" s="16" t="n">
        <v>13193.58</v>
      </c>
      <c r="F974" s="16" t="n">
        <v>4397.86</v>
      </c>
      <c r="G974" s="17" t="n"/>
      <c r="H974" s="16" t="n">
        <v>8795.719999999999</v>
      </c>
      <c r="I974" s="16" t="n">
        <v>0</v>
      </c>
    </row>
    <row r="975">
      <c r="A975" t="inlineStr">
        <is>
          <t>MTR-IOS-0974</t>
        </is>
      </c>
      <c r="B975" t="inlineStr">
        <is>
          <t>Assets</t>
        </is>
      </c>
      <c r="C975" t="inlineStr">
        <is>
          <t>EQUAL</t>
        </is>
      </c>
      <c r="D975" t="inlineStr">
        <is>
          <t>IOS Aarav</t>
        </is>
      </c>
      <c r="E975" s="16" t="n">
        <v>0</v>
      </c>
      <c r="F975" s="16" t="n">
        <v>4397.86</v>
      </c>
      <c r="G975" s="17" t="n"/>
      <c r="H975" s="16" t="n">
        <v>-4397.86</v>
      </c>
      <c r="I975" s="16" t="n">
        <v>0</v>
      </c>
    </row>
    <row r="976">
      <c r="A976" t="inlineStr">
        <is>
          <t>MTR-IOS-0974</t>
        </is>
      </c>
      <c r="B976" t="inlineStr">
        <is>
          <t>Assets</t>
        </is>
      </c>
      <c r="C976" t="inlineStr">
        <is>
          <t>EQUAL</t>
        </is>
      </c>
      <c r="D976" t="inlineStr">
        <is>
          <t>IOS Meera</t>
        </is>
      </c>
      <c r="E976" s="16" t="n">
        <v>0</v>
      </c>
      <c r="F976" s="16" t="n">
        <v>4397.86</v>
      </c>
      <c r="G976" s="17" t="n"/>
      <c r="H976" s="16" t="n">
        <v>-4397.86</v>
      </c>
      <c r="I976" s="16" t="n">
        <v>0</v>
      </c>
    </row>
    <row r="977">
      <c r="A977" t="inlineStr">
        <is>
          <t>MTR-IOS-0977</t>
        </is>
      </c>
      <c r="B977" t="inlineStr">
        <is>
          <t>Assets</t>
        </is>
      </c>
      <c r="C977" t="inlineStr">
        <is>
          <t>PERCENTAGE</t>
        </is>
      </c>
      <c r="D977" t="inlineStr">
        <is>
          <t>IOS Owner</t>
        </is>
      </c>
      <c r="E977" s="16" t="n">
        <v>0</v>
      </c>
      <c r="F977" s="16" t="n">
        <v>7088.69</v>
      </c>
      <c r="G977" s="17" t="n">
        <v>50</v>
      </c>
      <c r="H977" s="16" t="n">
        <v>-7088.69</v>
      </c>
      <c r="I977" s="16" t="n">
        <v>0</v>
      </c>
    </row>
    <row r="978">
      <c r="A978" t="inlineStr">
        <is>
          <t>MTR-IOS-0977</t>
        </is>
      </c>
      <c r="B978" t="inlineStr">
        <is>
          <t>Assets</t>
        </is>
      </c>
      <c r="C978" t="inlineStr">
        <is>
          <t>PERCENTAGE</t>
        </is>
      </c>
      <c r="D978" t="inlineStr">
        <is>
          <t>IOS Aarav</t>
        </is>
      </c>
      <c r="E978" s="16" t="n">
        <v>14177.37</v>
      </c>
      <c r="F978" s="16" t="n">
        <v>4253.21</v>
      </c>
      <c r="G978" s="17" t="n">
        <v>30</v>
      </c>
      <c r="H978" s="16" t="n">
        <v>9924.16</v>
      </c>
      <c r="I978" s="16" t="n">
        <v>0</v>
      </c>
    </row>
    <row r="979">
      <c r="A979" t="inlineStr">
        <is>
          <t>MTR-IOS-0977</t>
        </is>
      </c>
      <c r="B979" t="inlineStr">
        <is>
          <t>Assets</t>
        </is>
      </c>
      <c r="C979" t="inlineStr">
        <is>
          <t>PERCENTAGE</t>
        </is>
      </c>
      <c r="D979" t="inlineStr">
        <is>
          <t>IOS Meera</t>
        </is>
      </c>
      <c r="E979" s="16" t="n">
        <v>0</v>
      </c>
      <c r="F979" s="16" t="n">
        <v>2835.47</v>
      </c>
      <c r="G979" s="17" t="n">
        <v>20</v>
      </c>
      <c r="H979" s="16" t="n">
        <v>-2835.47</v>
      </c>
      <c r="I979" s="16" t="n">
        <v>0</v>
      </c>
    </row>
    <row r="980">
      <c r="A980" t="inlineStr">
        <is>
          <t>MTR-IOS-0980</t>
        </is>
      </c>
      <c r="B980" t="inlineStr">
        <is>
          <t>Assets</t>
        </is>
      </c>
      <c r="C980" t="inlineStr">
        <is>
          <t>EXACT</t>
        </is>
      </c>
      <c r="D980" t="inlineStr">
        <is>
          <t>IOS Owner</t>
        </is>
      </c>
      <c r="E980" s="16" t="n">
        <v>0</v>
      </c>
      <c r="F980" s="16" t="n">
        <v>7045.73</v>
      </c>
      <c r="G980" s="17" t="n"/>
      <c r="H980" s="16" t="n">
        <v>-7045.73</v>
      </c>
      <c r="I980" s="16" t="n">
        <v>0</v>
      </c>
    </row>
    <row r="981">
      <c r="A981" t="inlineStr">
        <is>
          <t>MTR-IOS-0980</t>
        </is>
      </c>
      <c r="B981" t="inlineStr">
        <is>
          <t>Assets</t>
        </is>
      </c>
      <c r="C981" t="inlineStr">
        <is>
          <t>EXACT</t>
        </is>
      </c>
      <c r="D981" t="inlineStr">
        <is>
          <t>IOS Aarav</t>
        </is>
      </c>
      <c r="E981" s="16" t="n">
        <v>0</v>
      </c>
      <c r="F981" s="16" t="n">
        <v>7045.73</v>
      </c>
      <c r="G981" s="17" t="n"/>
      <c r="H981" s="16" t="n">
        <v>-7045.73</v>
      </c>
      <c r="I981" s="16" t="n">
        <v>0</v>
      </c>
    </row>
    <row r="982">
      <c r="A982" t="inlineStr">
        <is>
          <t>MTR-IOS-0980</t>
        </is>
      </c>
      <c r="B982" t="inlineStr">
        <is>
          <t>Assets</t>
        </is>
      </c>
      <c r="C982" t="inlineStr">
        <is>
          <t>EXACT</t>
        </is>
      </c>
      <c r="D982" t="inlineStr">
        <is>
          <t>IOS Meera</t>
        </is>
      </c>
      <c r="E982" s="16" t="n">
        <v>21158.34</v>
      </c>
      <c r="F982" s="16" t="n">
        <v>7066.88</v>
      </c>
      <c r="G982" s="17" t="n"/>
      <c r="H982" s="16" t="n">
        <v>14091.46</v>
      </c>
      <c r="I982" s="16" t="n">
        <v>0</v>
      </c>
    </row>
    <row r="983">
      <c r="A983" t="inlineStr">
        <is>
          <t>MTR-IOS-0983</t>
        </is>
      </c>
      <c r="B983" t="inlineStr">
        <is>
          <t>Custom Purchase</t>
        </is>
      </c>
      <c r="C983" t="inlineStr">
        <is>
          <t>SHARES</t>
        </is>
      </c>
      <c r="D983" t="inlineStr">
        <is>
          <t>IOS Owner</t>
        </is>
      </c>
      <c r="E983" s="16" t="n">
        <v>26532.74</v>
      </c>
      <c r="F983" s="16" t="n">
        <v>13266.37</v>
      </c>
      <c r="G983" s="17" t="n"/>
      <c r="H983" s="16" t="n">
        <v>13266.37</v>
      </c>
      <c r="I983" s="16" t="n">
        <v>0</v>
      </c>
    </row>
    <row r="984">
      <c r="A984" t="inlineStr">
        <is>
          <t>MTR-IOS-0983</t>
        </is>
      </c>
      <c r="B984" t="inlineStr">
        <is>
          <t>Custom Purchase</t>
        </is>
      </c>
      <c r="C984" t="inlineStr">
        <is>
          <t>SHARES</t>
        </is>
      </c>
      <c r="D984" t="inlineStr">
        <is>
          <t>IOS Aarav</t>
        </is>
      </c>
      <c r="E984" s="16" t="n">
        <v>0</v>
      </c>
      <c r="F984" s="16" t="n">
        <v>8844.25</v>
      </c>
      <c r="G984" s="17" t="n"/>
      <c r="H984" s="16" t="n">
        <v>-8844.25</v>
      </c>
      <c r="I984" s="16" t="n">
        <v>0</v>
      </c>
    </row>
    <row r="985">
      <c r="A985" t="inlineStr">
        <is>
          <t>MTR-IOS-0983</t>
        </is>
      </c>
      <c r="B985" t="inlineStr">
        <is>
          <t>Custom Purchase</t>
        </is>
      </c>
      <c r="C985" t="inlineStr">
        <is>
          <t>SHARES</t>
        </is>
      </c>
      <c r="D985" t="inlineStr">
        <is>
          <t>IOS Meera</t>
        </is>
      </c>
      <c r="E985" s="16" t="n">
        <v>0</v>
      </c>
      <c r="F985" s="16" t="n">
        <v>4422.12</v>
      </c>
      <c r="G985" s="17" t="n"/>
      <c r="H985" s="16" t="n">
        <v>-4422.12</v>
      </c>
      <c r="I985" s="16" t="n">
        <v>0</v>
      </c>
    </row>
    <row r="986">
      <c r="A986" t="inlineStr">
        <is>
          <t>MTR-IOS-0986</t>
        </is>
      </c>
      <c r="B986" t="inlineStr">
        <is>
          <t>Custom Purchase</t>
        </is>
      </c>
      <c r="C986" t="inlineStr">
        <is>
          <t>EQUAL</t>
        </is>
      </c>
      <c r="D986" t="inlineStr">
        <is>
          <t>IOS Owner</t>
        </is>
      </c>
      <c r="E986" s="16" t="n">
        <v>0</v>
      </c>
      <c r="F986" s="16" t="n">
        <v>5160.05</v>
      </c>
      <c r="G986" s="17" t="n"/>
      <c r="H986" s="16" t="n">
        <v>-5160.05</v>
      </c>
      <c r="I986" s="16" t="n">
        <v>0</v>
      </c>
    </row>
    <row r="987">
      <c r="A987" t="inlineStr">
        <is>
          <t>MTR-IOS-0986</t>
        </is>
      </c>
      <c r="B987" t="inlineStr">
        <is>
          <t>Custom Purchase</t>
        </is>
      </c>
      <c r="C987" t="inlineStr">
        <is>
          <t>EQUAL</t>
        </is>
      </c>
      <c r="D987" t="inlineStr">
        <is>
          <t>IOS Aarav</t>
        </is>
      </c>
      <c r="E987" s="16" t="n">
        <v>15480.16</v>
      </c>
      <c r="F987" s="16" t="n">
        <v>5160.05</v>
      </c>
      <c r="G987" s="17" t="n"/>
      <c r="H987" s="16" t="n">
        <v>10320.11</v>
      </c>
      <c r="I987" s="16" t="n">
        <v>0</v>
      </c>
    </row>
    <row r="988">
      <c r="A988" t="inlineStr">
        <is>
          <t>MTR-IOS-0986</t>
        </is>
      </c>
      <c r="B988" t="inlineStr">
        <is>
          <t>Custom Purchase</t>
        </is>
      </c>
      <c r="C988" t="inlineStr">
        <is>
          <t>EQUAL</t>
        </is>
      </c>
      <c r="D988" t="inlineStr">
        <is>
          <t>IOS Meera</t>
        </is>
      </c>
      <c r="E988" s="16" t="n">
        <v>0</v>
      </c>
      <c r="F988" s="16" t="n">
        <v>5160.06</v>
      </c>
      <c r="G988" s="17" t="n"/>
      <c r="H988" s="16" t="n">
        <v>-5160.06</v>
      </c>
      <c r="I988" s="16" t="n">
        <v>0</v>
      </c>
    </row>
    <row r="989">
      <c r="A989" t="inlineStr">
        <is>
          <t>MTR-IOS-0989</t>
        </is>
      </c>
      <c r="B989" t="inlineStr">
        <is>
          <t>Flatmates</t>
        </is>
      </c>
      <c r="C989" t="inlineStr">
        <is>
          <t>PERCENTAGE</t>
        </is>
      </c>
      <c r="D989" t="inlineStr">
        <is>
          <t>IOS Owner</t>
        </is>
      </c>
      <c r="E989" s="16" t="n">
        <v>0</v>
      </c>
      <c r="F989" s="16" t="n">
        <v>4215.67</v>
      </c>
      <c r="G989" s="17" t="n">
        <v>50</v>
      </c>
      <c r="H989" s="16" t="n">
        <v>-4215.67</v>
      </c>
      <c r="I989" s="16" t="n">
        <v>0</v>
      </c>
    </row>
    <row r="990">
      <c r="A990" t="inlineStr">
        <is>
          <t>MTR-IOS-0989</t>
        </is>
      </c>
      <c r="B990" t="inlineStr">
        <is>
          <t>Flatmates</t>
        </is>
      </c>
      <c r="C990" t="inlineStr">
        <is>
          <t>PERCENTAGE</t>
        </is>
      </c>
      <c r="D990" t="inlineStr">
        <is>
          <t>IOS Aarav</t>
        </is>
      </c>
      <c r="E990" s="16" t="n">
        <v>0</v>
      </c>
      <c r="F990" s="16" t="n">
        <v>2529.4</v>
      </c>
      <c r="G990" s="17" t="n">
        <v>30</v>
      </c>
      <c r="H990" s="16" t="n">
        <v>-2529.4</v>
      </c>
      <c r="I990" s="16" t="n">
        <v>0</v>
      </c>
    </row>
    <row r="991">
      <c r="A991" t="inlineStr">
        <is>
          <t>MTR-IOS-0989</t>
        </is>
      </c>
      <c r="B991" t="inlineStr">
        <is>
          <t>Flatmates</t>
        </is>
      </c>
      <c r="C991" t="inlineStr">
        <is>
          <t>PERCENTAGE</t>
        </is>
      </c>
      <c r="D991" t="inlineStr">
        <is>
          <t>IOS Meera</t>
        </is>
      </c>
      <c r="E991" s="16" t="n">
        <v>8431.33</v>
      </c>
      <c r="F991" s="16" t="n">
        <v>1686.26</v>
      </c>
      <c r="G991" s="17" t="n">
        <v>20</v>
      </c>
      <c r="H991" s="16" t="n">
        <v>6745.07</v>
      </c>
      <c r="I991" s="16" t="n">
        <v>0</v>
      </c>
    </row>
    <row r="992">
      <c r="A992" t="inlineStr">
        <is>
          <t>MTR-IOS-0992</t>
        </is>
      </c>
      <c r="B992" t="inlineStr">
        <is>
          <t>Flatmates</t>
        </is>
      </c>
      <c r="C992" t="inlineStr">
        <is>
          <t>EXACT</t>
        </is>
      </c>
      <c r="D992" t="inlineStr">
        <is>
          <t>IOS Owner</t>
        </is>
      </c>
      <c r="E992" s="16" t="n">
        <v>4505</v>
      </c>
      <c r="F992" s="16" t="n">
        <v>1500.17</v>
      </c>
      <c r="G992" s="17" t="n"/>
      <c r="H992" s="16" t="n">
        <v>3004.83</v>
      </c>
      <c r="I992" s="16" t="n">
        <v>0</v>
      </c>
    </row>
    <row r="993">
      <c r="A993" t="inlineStr">
        <is>
          <t>MTR-IOS-0992</t>
        </is>
      </c>
      <c r="B993" t="inlineStr">
        <is>
          <t>Flatmates</t>
        </is>
      </c>
      <c r="C993" t="inlineStr">
        <is>
          <t>EXACT</t>
        </is>
      </c>
      <c r="D993" t="inlineStr">
        <is>
          <t>IOS Aarav</t>
        </is>
      </c>
      <c r="E993" s="16" t="n">
        <v>0</v>
      </c>
      <c r="F993" s="16" t="n">
        <v>1500.17</v>
      </c>
      <c r="G993" s="17" t="n"/>
      <c r="H993" s="16" t="n">
        <v>-1500.17</v>
      </c>
      <c r="I993" s="16" t="n">
        <v>0</v>
      </c>
    </row>
    <row r="994">
      <c r="A994" t="inlineStr">
        <is>
          <t>MTR-IOS-0992</t>
        </is>
      </c>
      <c r="B994" t="inlineStr">
        <is>
          <t>Flatmates</t>
        </is>
      </c>
      <c r="C994" t="inlineStr">
        <is>
          <t>EXACT</t>
        </is>
      </c>
      <c r="D994" t="inlineStr">
        <is>
          <t>IOS Meera</t>
        </is>
      </c>
      <c r="E994" s="16" t="n">
        <v>0</v>
      </c>
      <c r="F994" s="16" t="n">
        <v>1504.66</v>
      </c>
      <c r="G994" s="17" t="n"/>
      <c r="H994" s="16" t="n">
        <v>-1504.66</v>
      </c>
      <c r="I994" s="16" t="n">
        <v>0</v>
      </c>
    </row>
    <row r="995">
      <c r="A995" t="inlineStr">
        <is>
          <t>MTR-IOS-0995</t>
        </is>
      </c>
      <c r="B995" t="inlineStr">
        <is>
          <t>Flatmates</t>
        </is>
      </c>
      <c r="C995" t="inlineStr">
        <is>
          <t>SHARES</t>
        </is>
      </c>
      <c r="D995" t="inlineStr">
        <is>
          <t>IOS Owner</t>
        </is>
      </c>
      <c r="E995" s="16" t="n">
        <v>0</v>
      </c>
      <c r="F995" s="16" t="n">
        <v>9170.290000000001</v>
      </c>
      <c r="G995" s="17" t="n"/>
      <c r="H995" s="16" t="n">
        <v>-9170.290000000001</v>
      </c>
      <c r="I995" s="16" t="n">
        <v>0</v>
      </c>
    </row>
    <row r="996">
      <c r="A996" t="inlineStr">
        <is>
          <t>MTR-IOS-0995</t>
        </is>
      </c>
      <c r="B996" t="inlineStr">
        <is>
          <t>Flatmates</t>
        </is>
      </c>
      <c r="C996" t="inlineStr">
        <is>
          <t>SHARES</t>
        </is>
      </c>
      <c r="D996" t="inlineStr">
        <is>
          <t>IOS Aarav</t>
        </is>
      </c>
      <c r="E996" s="16" t="n">
        <v>18340.57</v>
      </c>
      <c r="F996" s="16" t="n">
        <v>6113.52</v>
      </c>
      <c r="G996" s="17" t="n"/>
      <c r="H996" s="16" t="n">
        <v>12227.05</v>
      </c>
      <c r="I996" s="16" t="n">
        <v>0</v>
      </c>
    </row>
    <row r="997">
      <c r="A997" t="inlineStr">
        <is>
          <t>MTR-IOS-0995</t>
        </is>
      </c>
      <c r="B997" t="inlineStr">
        <is>
          <t>Flatmates</t>
        </is>
      </c>
      <c r="C997" t="inlineStr">
        <is>
          <t>SHARES</t>
        </is>
      </c>
      <c r="D997" t="inlineStr">
        <is>
          <t>IOS Meera</t>
        </is>
      </c>
      <c r="E997" s="16" t="n">
        <v>0</v>
      </c>
      <c r="F997" s="16" t="n">
        <v>3056.76</v>
      </c>
      <c r="G997" s="17" t="n"/>
      <c r="H997" s="16" t="n">
        <v>-3056.76</v>
      </c>
      <c r="I997" s="16" t="n">
        <v>0</v>
      </c>
    </row>
    <row r="998">
      <c r="A998" t="inlineStr">
        <is>
          <t>MTR-IOS-0998</t>
        </is>
      </c>
      <c r="B998" t="inlineStr">
        <is>
          <t>Flatmates</t>
        </is>
      </c>
      <c r="C998" t="inlineStr">
        <is>
          <t>EQUAL</t>
        </is>
      </c>
      <c r="D998" t="inlineStr">
        <is>
          <t>IOS Owner</t>
        </is>
      </c>
      <c r="E998" s="16" t="n">
        <v>0</v>
      </c>
      <c r="F998" s="16" t="n">
        <v>3942.18</v>
      </c>
      <c r="G998" s="17" t="n"/>
      <c r="H998" s="16" t="n">
        <v>-3942.18</v>
      </c>
      <c r="I998" s="16" t="n">
        <v>0</v>
      </c>
    </row>
    <row r="999">
      <c r="A999" t="inlineStr">
        <is>
          <t>MTR-IOS-0998</t>
        </is>
      </c>
      <c r="B999" t="inlineStr">
        <is>
          <t>Flatmates</t>
        </is>
      </c>
      <c r="C999" t="inlineStr">
        <is>
          <t>EQUAL</t>
        </is>
      </c>
      <c r="D999" t="inlineStr">
        <is>
          <t>IOS Aarav</t>
        </is>
      </c>
      <c r="E999" s="16" t="n">
        <v>0</v>
      </c>
      <c r="F999" s="16" t="n">
        <v>3942.18</v>
      </c>
      <c r="G999" s="17" t="n"/>
      <c r="H999" s="16" t="n">
        <v>-3942.18</v>
      </c>
      <c r="I999" s="16" t="n">
        <v>0</v>
      </c>
    </row>
    <row r="1000">
      <c r="A1000" t="inlineStr">
        <is>
          <t>MTR-IOS-0998</t>
        </is>
      </c>
      <c r="B1000" t="inlineStr">
        <is>
          <t>Flatmates</t>
        </is>
      </c>
      <c r="C1000" t="inlineStr">
        <is>
          <t>EQUAL</t>
        </is>
      </c>
      <c r="D1000" t="inlineStr">
        <is>
          <t>IOS Meera</t>
        </is>
      </c>
      <c r="E1000" s="16" t="n">
        <v>11826.54</v>
      </c>
      <c r="F1000" s="16" t="n">
        <v>3942.18</v>
      </c>
      <c r="G1000" s="17" t="n"/>
      <c r="H1000" s="16" t="n">
        <v>7884.36</v>
      </c>
      <c r="I1000" s="16" t="n">
        <v>0</v>
      </c>
    </row>
    <row r="1001">
      <c r="A1001" t="inlineStr">
        <is>
          <t>MTR-IOS-1001</t>
        </is>
      </c>
      <c r="B1001" t="inlineStr">
        <is>
          <t>Flatmates</t>
        </is>
      </c>
      <c r="C1001" t="inlineStr">
        <is>
          <t>PERCENTAGE</t>
        </is>
      </c>
      <c r="D1001" t="inlineStr">
        <is>
          <t>IOS Owner</t>
        </is>
      </c>
      <c r="E1001" s="16" t="n">
        <v>4949.91</v>
      </c>
      <c r="F1001" s="16" t="n">
        <v>2474.96</v>
      </c>
      <c r="G1001" s="17" t="n">
        <v>50</v>
      </c>
      <c r="H1001" s="16" t="n">
        <v>2474.95</v>
      </c>
      <c r="I1001" s="16" t="n">
        <v>0</v>
      </c>
    </row>
    <row r="1002">
      <c r="A1002" t="inlineStr">
        <is>
          <t>MTR-IOS-1001</t>
        </is>
      </c>
      <c r="B1002" t="inlineStr">
        <is>
          <t>Flatmates</t>
        </is>
      </c>
      <c r="C1002" t="inlineStr">
        <is>
          <t>PERCENTAGE</t>
        </is>
      </c>
      <c r="D1002" t="inlineStr">
        <is>
          <t>IOS Aarav</t>
        </is>
      </c>
      <c r="E1002" s="16" t="n">
        <v>0</v>
      </c>
      <c r="F1002" s="16" t="n">
        <v>1484.97</v>
      </c>
      <c r="G1002" s="17" t="n">
        <v>30</v>
      </c>
      <c r="H1002" s="16" t="n">
        <v>-1484.97</v>
      </c>
      <c r="I1002" s="16" t="n">
        <v>0</v>
      </c>
    </row>
    <row r="1003">
      <c r="A1003" t="inlineStr">
        <is>
          <t>MTR-IOS-1001</t>
        </is>
      </c>
      <c r="B1003" t="inlineStr">
        <is>
          <t>Flatmates</t>
        </is>
      </c>
      <c r="C1003" t="inlineStr">
        <is>
          <t>PERCENTAGE</t>
        </is>
      </c>
      <c r="D1003" t="inlineStr">
        <is>
          <t>IOS Meera</t>
        </is>
      </c>
      <c r="E1003" s="16" t="n">
        <v>0</v>
      </c>
      <c r="F1003" s="16" t="n">
        <v>989.98</v>
      </c>
      <c r="G1003" s="17" t="n">
        <v>20</v>
      </c>
      <c r="H1003" s="16" t="n">
        <v>-989.98</v>
      </c>
      <c r="I1003" s="16" t="n">
        <v>0</v>
      </c>
    </row>
    <row r="1004">
      <c r="A1004" t="inlineStr">
        <is>
          <t>MTR-IOS-1004</t>
        </is>
      </c>
      <c r="B1004" t="inlineStr">
        <is>
          <t>Flatmates</t>
        </is>
      </c>
      <c r="C1004" t="inlineStr">
        <is>
          <t>EXACT</t>
        </is>
      </c>
      <c r="D1004" t="inlineStr">
        <is>
          <t>IOS Owner</t>
        </is>
      </c>
      <c r="E1004" s="16" t="n">
        <v>0</v>
      </c>
      <c r="F1004" s="16" t="n">
        <v>6284.4</v>
      </c>
      <c r="G1004" s="17" t="n"/>
      <c r="H1004" s="16" t="n">
        <v>-6284.4</v>
      </c>
      <c r="I1004" s="16" t="n">
        <v>0</v>
      </c>
    </row>
    <row r="1005">
      <c r="A1005" t="inlineStr">
        <is>
          <t>MTR-IOS-1004</t>
        </is>
      </c>
      <c r="B1005" t="inlineStr">
        <is>
          <t>Flatmates</t>
        </is>
      </c>
      <c r="C1005" t="inlineStr">
        <is>
          <t>EXACT</t>
        </is>
      </c>
      <c r="D1005" t="inlineStr">
        <is>
          <t>IOS Aarav</t>
        </is>
      </c>
      <c r="E1005" s="16" t="n">
        <v>18872.06</v>
      </c>
      <c r="F1005" s="16" t="n">
        <v>6284.4</v>
      </c>
      <c r="G1005" s="17" t="n"/>
      <c r="H1005" s="16" t="n">
        <v>12587.66</v>
      </c>
      <c r="I1005" s="16" t="n">
        <v>0</v>
      </c>
    </row>
    <row r="1006">
      <c r="A1006" t="inlineStr">
        <is>
          <t>MTR-IOS-1004</t>
        </is>
      </c>
      <c r="B1006" t="inlineStr">
        <is>
          <t>Flatmates</t>
        </is>
      </c>
      <c r="C1006" t="inlineStr">
        <is>
          <t>EXACT</t>
        </is>
      </c>
      <c r="D1006" t="inlineStr">
        <is>
          <t>IOS Meera</t>
        </is>
      </c>
      <c r="E1006" s="16" t="n">
        <v>0</v>
      </c>
      <c r="F1006" s="16" t="n">
        <v>6303.26</v>
      </c>
      <c r="G1006" s="17" t="n"/>
      <c r="H1006" s="16" t="n">
        <v>-6303.26</v>
      </c>
      <c r="I1006" s="16" t="n">
        <v>0</v>
      </c>
    </row>
    <row r="1007">
      <c r="A1007" t="inlineStr">
        <is>
          <t>MTR-IOS-1007</t>
        </is>
      </c>
      <c r="B1007" t="inlineStr">
        <is>
          <t>Shared Living</t>
        </is>
      </c>
      <c r="C1007" t="inlineStr">
        <is>
          <t>SHARES</t>
        </is>
      </c>
      <c r="D1007" t="inlineStr">
        <is>
          <t>IOS Owner</t>
        </is>
      </c>
      <c r="E1007" s="16" t="n">
        <v>0</v>
      </c>
      <c r="F1007" s="16" t="n">
        <v>9802.440000000001</v>
      </c>
      <c r="G1007" s="17" t="n"/>
      <c r="H1007" s="16" t="n">
        <v>-9802.440000000001</v>
      </c>
      <c r="I1007" s="16" t="n">
        <v>0</v>
      </c>
    </row>
    <row r="1008">
      <c r="A1008" t="inlineStr">
        <is>
          <t>MTR-IOS-1007</t>
        </is>
      </c>
      <c r="B1008" t="inlineStr">
        <is>
          <t>Shared Living</t>
        </is>
      </c>
      <c r="C1008" t="inlineStr">
        <is>
          <t>SHARES</t>
        </is>
      </c>
      <c r="D1008" t="inlineStr">
        <is>
          <t>IOS Aarav</t>
        </is>
      </c>
      <c r="E1008" s="16" t="n">
        <v>0</v>
      </c>
      <c r="F1008" s="16" t="n">
        <v>6534.96</v>
      </c>
      <c r="G1008" s="17" t="n"/>
      <c r="H1008" s="16" t="n">
        <v>-6534.96</v>
      </c>
      <c r="I1008" s="16" t="n">
        <v>0</v>
      </c>
    </row>
    <row r="1009">
      <c r="A1009" t="inlineStr">
        <is>
          <t>MTR-IOS-1007</t>
        </is>
      </c>
      <c r="B1009" t="inlineStr">
        <is>
          <t>Shared Living</t>
        </is>
      </c>
      <c r="C1009" t="inlineStr">
        <is>
          <t>SHARES</t>
        </is>
      </c>
      <c r="D1009" t="inlineStr">
        <is>
          <t>IOS Meera</t>
        </is>
      </c>
      <c r="E1009" s="16" t="n">
        <v>19604.88</v>
      </c>
      <c r="F1009" s="16" t="n">
        <v>3267.48</v>
      </c>
      <c r="G1009" s="17" t="n"/>
      <c r="H1009" s="16" t="n">
        <v>16337.4</v>
      </c>
      <c r="I1009" s="16" t="n">
        <v>0</v>
      </c>
    </row>
    <row r="1010">
      <c r="A1010" t="inlineStr">
        <is>
          <t>MTR-IOS-1010</t>
        </is>
      </c>
      <c r="B1010" t="inlineStr">
        <is>
          <t>Shared Living</t>
        </is>
      </c>
      <c r="C1010" t="inlineStr">
        <is>
          <t>EQUAL</t>
        </is>
      </c>
      <c r="D1010" t="inlineStr">
        <is>
          <t>IOS Owner</t>
        </is>
      </c>
      <c r="E1010" s="16" t="n">
        <v>7531.2</v>
      </c>
      <c r="F1010" s="16" t="n">
        <v>2510.4</v>
      </c>
      <c r="G1010" s="17" t="n"/>
      <c r="H1010" s="16" t="n">
        <v>5020.8</v>
      </c>
      <c r="I1010" s="16" t="n">
        <v>0</v>
      </c>
    </row>
    <row r="1011">
      <c r="A1011" t="inlineStr">
        <is>
          <t>MTR-IOS-1010</t>
        </is>
      </c>
      <c r="B1011" t="inlineStr">
        <is>
          <t>Shared Living</t>
        </is>
      </c>
      <c r="C1011" t="inlineStr">
        <is>
          <t>EQUAL</t>
        </is>
      </c>
      <c r="D1011" t="inlineStr">
        <is>
          <t>IOS Aarav</t>
        </is>
      </c>
      <c r="E1011" s="16" t="n">
        <v>0</v>
      </c>
      <c r="F1011" s="16" t="n">
        <v>2510.4</v>
      </c>
      <c r="G1011" s="17" t="n"/>
      <c r="H1011" s="16" t="n">
        <v>-2510.4</v>
      </c>
      <c r="I1011" s="16" t="n">
        <v>0</v>
      </c>
    </row>
    <row r="1012">
      <c r="A1012" t="inlineStr">
        <is>
          <t>MTR-IOS-1010</t>
        </is>
      </c>
      <c r="B1012" t="inlineStr">
        <is>
          <t>Shared Living</t>
        </is>
      </c>
      <c r="C1012" t="inlineStr">
        <is>
          <t>EQUAL</t>
        </is>
      </c>
      <c r="D1012" t="inlineStr">
        <is>
          <t>IOS Meera</t>
        </is>
      </c>
      <c r="E1012" s="16" t="n">
        <v>0</v>
      </c>
      <c r="F1012" s="16" t="n">
        <v>2510.4</v>
      </c>
      <c r="G1012" s="17" t="n"/>
      <c r="H1012" s="16" t="n">
        <v>-2510.4</v>
      </c>
      <c r="I1012" s="16" t="n">
        <v>0</v>
      </c>
    </row>
    <row r="1013">
      <c r="A1013" t="inlineStr">
        <is>
          <t>MTR-IOS-1013</t>
        </is>
      </c>
      <c r="B1013" t="inlineStr">
        <is>
          <t>Shared Living</t>
        </is>
      </c>
      <c r="C1013" t="inlineStr">
        <is>
          <t>PERCENTAGE</t>
        </is>
      </c>
      <c r="D1013" t="inlineStr">
        <is>
          <t>IOS Owner</t>
        </is>
      </c>
      <c r="E1013" s="16" t="n">
        <v>0</v>
      </c>
      <c r="F1013" s="16" t="n">
        <v>9687.870000000001</v>
      </c>
      <c r="G1013" s="17" t="n">
        <v>50</v>
      </c>
      <c r="H1013" s="16" t="n">
        <v>-9687.870000000001</v>
      </c>
      <c r="I1013" s="16" t="n">
        <v>0</v>
      </c>
    </row>
    <row r="1014">
      <c r="A1014" t="inlineStr">
        <is>
          <t>MTR-IOS-1013</t>
        </is>
      </c>
      <c r="B1014" t="inlineStr">
        <is>
          <t>Shared Living</t>
        </is>
      </c>
      <c r="C1014" t="inlineStr">
        <is>
          <t>PERCENTAGE</t>
        </is>
      </c>
      <c r="D1014" t="inlineStr">
        <is>
          <t>IOS Aarav</t>
        </is>
      </c>
      <c r="E1014" s="16" t="n">
        <v>19375.74</v>
      </c>
      <c r="F1014" s="16" t="n">
        <v>5812.72</v>
      </c>
      <c r="G1014" s="17" t="n">
        <v>30</v>
      </c>
      <c r="H1014" s="16" t="n">
        <v>13563.02</v>
      </c>
      <c r="I1014" s="16" t="n">
        <v>0</v>
      </c>
    </row>
    <row r="1015">
      <c r="A1015" t="inlineStr">
        <is>
          <t>MTR-IOS-1013</t>
        </is>
      </c>
      <c r="B1015" t="inlineStr">
        <is>
          <t>Shared Living</t>
        </is>
      </c>
      <c r="C1015" t="inlineStr">
        <is>
          <t>PERCENTAGE</t>
        </is>
      </c>
      <c r="D1015" t="inlineStr">
        <is>
          <t>IOS Meera</t>
        </is>
      </c>
      <c r="E1015" s="16" t="n">
        <v>0</v>
      </c>
      <c r="F1015" s="16" t="n">
        <v>3875.15</v>
      </c>
      <c r="G1015" s="17" t="n">
        <v>20</v>
      </c>
      <c r="H1015" s="16" t="n">
        <v>-3875.15</v>
      </c>
      <c r="I1015" s="16" t="n">
        <v>0</v>
      </c>
    </row>
    <row r="1016">
      <c r="A1016" t="inlineStr">
        <is>
          <t>MTR-IOS-1016</t>
        </is>
      </c>
      <c r="B1016" t="inlineStr">
        <is>
          <t>Shared Living</t>
        </is>
      </c>
      <c r="C1016" t="inlineStr">
        <is>
          <t>EXACT</t>
        </is>
      </c>
      <c r="D1016" t="inlineStr">
        <is>
          <t>IOS Owner</t>
        </is>
      </c>
      <c r="E1016" s="16" t="n">
        <v>0</v>
      </c>
      <c r="F1016" s="16" t="n">
        <v>6188.9</v>
      </c>
      <c r="G1016" s="17" t="n"/>
      <c r="H1016" s="16" t="n">
        <v>-6188.9</v>
      </c>
      <c r="I1016" s="16" t="n">
        <v>0</v>
      </c>
    </row>
    <row r="1017">
      <c r="A1017" t="inlineStr">
        <is>
          <t>MTR-IOS-1016</t>
        </is>
      </c>
      <c r="B1017" t="inlineStr">
        <is>
          <t>Shared Living</t>
        </is>
      </c>
      <c r="C1017" t="inlineStr">
        <is>
          <t>EXACT</t>
        </is>
      </c>
      <c r="D1017" t="inlineStr">
        <is>
          <t>IOS Aarav</t>
        </is>
      </c>
      <c r="E1017" s="16" t="n">
        <v>0</v>
      </c>
      <c r="F1017" s="16" t="n">
        <v>6188.9</v>
      </c>
      <c r="G1017" s="17" t="n"/>
      <c r="H1017" s="16" t="n">
        <v>-6188.9</v>
      </c>
      <c r="I1017" s="16" t="n">
        <v>0</v>
      </c>
    </row>
    <row r="1018">
      <c r="A1018" t="inlineStr">
        <is>
          <t>MTR-IOS-1016</t>
        </is>
      </c>
      <c r="B1018" t="inlineStr">
        <is>
          <t>Shared Living</t>
        </is>
      </c>
      <c r="C1018" t="inlineStr">
        <is>
          <t>EXACT</t>
        </is>
      </c>
      <c r="D1018" t="inlineStr">
        <is>
          <t>IOS Meera</t>
        </is>
      </c>
      <c r="E1018" s="16" t="n">
        <v>18585.29</v>
      </c>
      <c r="F1018" s="16" t="n">
        <v>6207.49</v>
      </c>
      <c r="G1018" s="17" t="n"/>
      <c r="H1018" s="16" t="n">
        <v>12377.8</v>
      </c>
      <c r="I1018" s="16" t="n">
        <v>0</v>
      </c>
    </row>
    <row r="1019">
      <c r="A1019" t="inlineStr">
        <is>
          <t>MTR-IOS-1019</t>
        </is>
      </c>
      <c r="B1019" t="inlineStr">
        <is>
          <t>Shared Living</t>
        </is>
      </c>
      <c r="C1019" t="inlineStr">
        <is>
          <t>SHARES</t>
        </is>
      </c>
      <c r="D1019" t="inlineStr">
        <is>
          <t>IOS Owner</t>
        </is>
      </c>
      <c r="E1019" s="16" t="n">
        <v>22445.97</v>
      </c>
      <c r="F1019" s="16" t="n">
        <v>11222.99</v>
      </c>
      <c r="G1019" s="17" t="n"/>
      <c r="H1019" s="16" t="n">
        <v>11222.98</v>
      </c>
      <c r="I1019" s="16" t="n">
        <v>0</v>
      </c>
    </row>
    <row r="1020">
      <c r="A1020" t="inlineStr">
        <is>
          <t>MTR-IOS-1019</t>
        </is>
      </c>
      <c r="B1020" t="inlineStr">
        <is>
          <t>Shared Living</t>
        </is>
      </c>
      <c r="C1020" t="inlineStr">
        <is>
          <t>SHARES</t>
        </is>
      </c>
      <c r="D1020" t="inlineStr">
        <is>
          <t>IOS Aarav</t>
        </is>
      </c>
      <c r="E1020" s="16" t="n">
        <v>0</v>
      </c>
      <c r="F1020" s="16" t="n">
        <v>7481.99</v>
      </c>
      <c r="G1020" s="17" t="n"/>
      <c r="H1020" s="16" t="n">
        <v>-7481.99</v>
      </c>
      <c r="I1020" s="16" t="n">
        <v>0</v>
      </c>
    </row>
    <row r="1021">
      <c r="A1021" t="inlineStr">
        <is>
          <t>MTR-IOS-1019</t>
        </is>
      </c>
      <c r="B1021" t="inlineStr">
        <is>
          <t>Shared Living</t>
        </is>
      </c>
      <c r="C1021" t="inlineStr">
        <is>
          <t>SHARES</t>
        </is>
      </c>
      <c r="D1021" t="inlineStr">
        <is>
          <t>IOS Meera</t>
        </is>
      </c>
      <c r="E1021" s="16" t="n">
        <v>0</v>
      </c>
      <c r="F1021" s="16" t="n">
        <v>3740.99</v>
      </c>
      <c r="G1021" s="17" t="n"/>
      <c r="H1021" s="16" t="n">
        <v>-3740.99</v>
      </c>
      <c r="I1021" s="16" t="n">
        <v>0</v>
      </c>
    </row>
    <row r="1022">
      <c r="A1022" t="inlineStr">
        <is>
          <t>MTR-IOS-1022</t>
        </is>
      </c>
      <c r="B1022" t="inlineStr">
        <is>
          <t>Family Household</t>
        </is>
      </c>
      <c r="C1022" t="inlineStr">
        <is>
          <t>EQUAL</t>
        </is>
      </c>
      <c r="D1022" t="inlineStr">
        <is>
          <t>IOS Owner</t>
        </is>
      </c>
      <c r="E1022" s="16" t="n">
        <v>0</v>
      </c>
      <c r="F1022" s="16" t="n">
        <v>4931.58</v>
      </c>
      <c r="G1022" s="17" t="n"/>
      <c r="H1022" s="16" t="n">
        <v>-4931.58</v>
      </c>
      <c r="I1022" s="16" t="n">
        <v>0</v>
      </c>
    </row>
    <row r="1023">
      <c r="A1023" t="inlineStr">
        <is>
          <t>MTR-IOS-1022</t>
        </is>
      </c>
      <c r="B1023" t="inlineStr">
        <is>
          <t>Family Household</t>
        </is>
      </c>
      <c r="C1023" t="inlineStr">
        <is>
          <t>EQUAL</t>
        </is>
      </c>
      <c r="D1023" t="inlineStr">
        <is>
          <t>IOS Aarav</t>
        </is>
      </c>
      <c r="E1023" s="16" t="n">
        <v>14794.74</v>
      </c>
      <c r="F1023" s="16" t="n">
        <v>4931.58</v>
      </c>
      <c r="G1023" s="17" t="n"/>
      <c r="H1023" s="16" t="n">
        <v>9863.16</v>
      </c>
      <c r="I1023" s="16" t="n">
        <v>0</v>
      </c>
    </row>
    <row r="1024">
      <c r="A1024" t="inlineStr">
        <is>
          <t>MTR-IOS-1022</t>
        </is>
      </c>
      <c r="B1024" t="inlineStr">
        <is>
          <t>Family Household</t>
        </is>
      </c>
      <c r="C1024" t="inlineStr">
        <is>
          <t>EQUAL</t>
        </is>
      </c>
      <c r="D1024" t="inlineStr">
        <is>
          <t>IOS Meera</t>
        </is>
      </c>
      <c r="E1024" s="16" t="n">
        <v>0</v>
      </c>
      <c r="F1024" s="16" t="n">
        <v>4931.58</v>
      </c>
      <c r="G1024" s="17" t="n"/>
      <c r="H1024" s="16" t="n">
        <v>-4931.58</v>
      </c>
      <c r="I1024" s="16" t="n">
        <v>0</v>
      </c>
    </row>
    <row r="1025">
      <c r="A1025" t="inlineStr">
        <is>
          <t>MTR-IOS-1025</t>
        </is>
      </c>
      <c r="B1025" t="inlineStr">
        <is>
          <t>Family Household</t>
        </is>
      </c>
      <c r="C1025" t="inlineStr">
        <is>
          <t>PERCENTAGE</t>
        </is>
      </c>
      <c r="D1025" t="inlineStr">
        <is>
          <t>IOS Owner</t>
        </is>
      </c>
      <c r="E1025" s="16" t="n">
        <v>0</v>
      </c>
      <c r="F1025" s="16" t="n">
        <v>6988.88</v>
      </c>
      <c r="G1025" s="17" t="n">
        <v>50</v>
      </c>
      <c r="H1025" s="16" t="n">
        <v>-6988.88</v>
      </c>
      <c r="I1025" s="16" t="n">
        <v>0</v>
      </c>
    </row>
    <row r="1026">
      <c r="A1026" t="inlineStr">
        <is>
          <t>MTR-IOS-1025</t>
        </is>
      </c>
      <c r="B1026" t="inlineStr">
        <is>
          <t>Family Household</t>
        </is>
      </c>
      <c r="C1026" t="inlineStr">
        <is>
          <t>PERCENTAGE</t>
        </is>
      </c>
      <c r="D1026" t="inlineStr">
        <is>
          <t>IOS Aarav</t>
        </is>
      </c>
      <c r="E1026" s="16" t="n">
        <v>0</v>
      </c>
      <c r="F1026" s="16" t="n">
        <v>4193.33</v>
      </c>
      <c r="G1026" s="17" t="n">
        <v>30</v>
      </c>
      <c r="H1026" s="16" t="n">
        <v>-4193.33</v>
      </c>
      <c r="I1026" s="16" t="n">
        <v>0</v>
      </c>
    </row>
    <row r="1027">
      <c r="A1027" t="inlineStr">
        <is>
          <t>MTR-IOS-1025</t>
        </is>
      </c>
      <c r="B1027" t="inlineStr">
        <is>
          <t>Family Household</t>
        </is>
      </c>
      <c r="C1027" t="inlineStr">
        <is>
          <t>PERCENTAGE</t>
        </is>
      </c>
      <c r="D1027" t="inlineStr">
        <is>
          <t>IOS Meera</t>
        </is>
      </c>
      <c r="E1027" s="16" t="n">
        <v>13977.75</v>
      </c>
      <c r="F1027" s="16" t="n">
        <v>2795.54</v>
      </c>
      <c r="G1027" s="17" t="n">
        <v>20</v>
      </c>
      <c r="H1027" s="16" t="n">
        <v>11182.21</v>
      </c>
      <c r="I1027" s="16" t="n">
        <v>0</v>
      </c>
    </row>
    <row r="1028">
      <c r="A1028" t="inlineStr">
        <is>
          <t>MTR-IOS-1028</t>
        </is>
      </c>
      <c r="B1028" t="inlineStr">
        <is>
          <t>Family Household</t>
        </is>
      </c>
      <c r="C1028" t="inlineStr">
        <is>
          <t>EXACT</t>
        </is>
      </c>
      <c r="D1028" t="inlineStr">
        <is>
          <t>IOS Owner</t>
        </is>
      </c>
      <c r="E1028" s="16" t="n">
        <v>7608.98</v>
      </c>
      <c r="F1028" s="16" t="n">
        <v>2533.79</v>
      </c>
      <c r="G1028" s="17" t="n"/>
      <c r="H1028" s="16" t="n">
        <v>5075.19</v>
      </c>
      <c r="I1028" s="16" t="n">
        <v>0</v>
      </c>
    </row>
    <row r="1029">
      <c r="A1029" t="inlineStr">
        <is>
          <t>MTR-IOS-1028</t>
        </is>
      </c>
      <c r="B1029" t="inlineStr">
        <is>
          <t>Family Household</t>
        </is>
      </c>
      <c r="C1029" t="inlineStr">
        <is>
          <t>EXACT</t>
        </is>
      </c>
      <c r="D1029" t="inlineStr">
        <is>
          <t>IOS Aarav</t>
        </is>
      </c>
      <c r="E1029" s="16" t="n">
        <v>0</v>
      </c>
      <c r="F1029" s="16" t="n">
        <v>2533.79</v>
      </c>
      <c r="G1029" s="17" t="n"/>
      <c r="H1029" s="16" t="n">
        <v>-2533.79</v>
      </c>
      <c r="I1029" s="16" t="n">
        <v>0</v>
      </c>
    </row>
    <row r="1030">
      <c r="A1030" t="inlineStr">
        <is>
          <t>MTR-IOS-1028</t>
        </is>
      </c>
      <c r="B1030" t="inlineStr">
        <is>
          <t>Family Household</t>
        </is>
      </c>
      <c r="C1030" t="inlineStr">
        <is>
          <t>EXACT</t>
        </is>
      </c>
      <c r="D1030" t="inlineStr">
        <is>
          <t>IOS Meera</t>
        </is>
      </c>
      <c r="E1030" s="16" t="n">
        <v>0</v>
      </c>
      <c r="F1030" s="16" t="n">
        <v>2541.4</v>
      </c>
      <c r="G1030" s="17" t="n"/>
      <c r="H1030" s="16" t="n">
        <v>-2541.4</v>
      </c>
      <c r="I1030" s="16" t="n">
        <v>0</v>
      </c>
    </row>
    <row r="1031">
      <c r="A1031" t="inlineStr">
        <is>
          <t>MTR-IOS-1031</t>
        </is>
      </c>
      <c r="B1031" t="inlineStr">
        <is>
          <t>Family Household</t>
        </is>
      </c>
      <c r="C1031" t="inlineStr">
        <is>
          <t>SHARES</t>
        </is>
      </c>
      <c r="D1031" t="inlineStr">
        <is>
          <t>IOS Owner</t>
        </is>
      </c>
      <c r="E1031" s="16" t="n">
        <v>0</v>
      </c>
      <c r="F1031" s="16" t="n">
        <v>1458.68</v>
      </c>
      <c r="G1031" s="17" t="n"/>
      <c r="H1031" s="16" t="n">
        <v>-1458.68</v>
      </c>
      <c r="I1031" s="16" t="n">
        <v>0</v>
      </c>
    </row>
    <row r="1032">
      <c r="A1032" t="inlineStr">
        <is>
          <t>MTR-IOS-1031</t>
        </is>
      </c>
      <c r="B1032" t="inlineStr">
        <is>
          <t>Family Household</t>
        </is>
      </c>
      <c r="C1032" t="inlineStr">
        <is>
          <t>SHARES</t>
        </is>
      </c>
      <c r="D1032" t="inlineStr">
        <is>
          <t>IOS Aarav</t>
        </is>
      </c>
      <c r="E1032" s="16" t="n">
        <v>2917.35</v>
      </c>
      <c r="F1032" s="16" t="n">
        <v>972.45</v>
      </c>
      <c r="G1032" s="17" t="n"/>
      <c r="H1032" s="16" t="n">
        <v>1944.9</v>
      </c>
      <c r="I1032" s="16" t="n">
        <v>0</v>
      </c>
    </row>
    <row r="1033">
      <c r="A1033" t="inlineStr">
        <is>
          <t>MTR-IOS-1031</t>
        </is>
      </c>
      <c r="B1033" t="inlineStr">
        <is>
          <t>Family Household</t>
        </is>
      </c>
      <c r="C1033" t="inlineStr">
        <is>
          <t>SHARES</t>
        </is>
      </c>
      <c r="D1033" t="inlineStr">
        <is>
          <t>IOS Meera</t>
        </is>
      </c>
      <c r="E1033" s="16" t="n">
        <v>0</v>
      </c>
      <c r="F1033" s="16" t="n">
        <v>486.22</v>
      </c>
      <c r="G1033" s="17" t="n"/>
      <c r="H1033" s="16" t="n">
        <v>-486.22</v>
      </c>
      <c r="I1033" s="16" t="n">
        <v>0</v>
      </c>
    </row>
    <row r="1034">
      <c r="A1034" t="inlineStr">
        <is>
          <t>MTR-IOS-1034</t>
        </is>
      </c>
      <c r="B1034" t="inlineStr">
        <is>
          <t>Family Household</t>
        </is>
      </c>
      <c r="C1034" t="inlineStr">
        <is>
          <t>EQUAL</t>
        </is>
      </c>
      <c r="D1034" t="inlineStr">
        <is>
          <t>IOS Owner</t>
        </is>
      </c>
      <c r="E1034" s="16" t="n">
        <v>0</v>
      </c>
      <c r="F1034" s="16" t="n">
        <v>5750.74</v>
      </c>
      <c r="G1034" s="17" t="n"/>
      <c r="H1034" s="16" t="n">
        <v>-5750.74</v>
      </c>
      <c r="I1034" s="16" t="n">
        <v>0</v>
      </c>
    </row>
    <row r="1035">
      <c r="A1035" t="inlineStr">
        <is>
          <t>MTR-IOS-1034</t>
        </is>
      </c>
      <c r="B1035" t="inlineStr">
        <is>
          <t>Family Household</t>
        </is>
      </c>
      <c r="C1035" t="inlineStr">
        <is>
          <t>EQUAL</t>
        </is>
      </c>
      <c r="D1035" t="inlineStr">
        <is>
          <t>IOS Aarav</t>
        </is>
      </c>
      <c r="E1035" s="16" t="n">
        <v>0</v>
      </c>
      <c r="F1035" s="16" t="n">
        <v>5750.74</v>
      </c>
      <c r="G1035" s="17" t="n"/>
      <c r="H1035" s="16" t="n">
        <v>-5750.74</v>
      </c>
      <c r="I1035" s="16" t="n">
        <v>0</v>
      </c>
    </row>
    <row r="1036">
      <c r="A1036" t="inlineStr">
        <is>
          <t>MTR-IOS-1034</t>
        </is>
      </c>
      <c r="B1036" t="inlineStr">
        <is>
          <t>Family Household</t>
        </is>
      </c>
      <c r="C1036" t="inlineStr">
        <is>
          <t>EQUAL</t>
        </is>
      </c>
      <c r="D1036" t="inlineStr">
        <is>
          <t>IOS Meera</t>
        </is>
      </c>
      <c r="E1036" s="16" t="n">
        <v>17252.22</v>
      </c>
      <c r="F1036" s="16" t="n">
        <v>5750.74</v>
      </c>
      <c r="G1036" s="17" t="n"/>
      <c r="H1036" s="16" t="n">
        <v>11501.48</v>
      </c>
      <c r="I1036" s="16" t="n">
        <v>0</v>
      </c>
    </row>
    <row r="1037">
      <c r="A1037" t="inlineStr">
        <is>
          <t>MTR-IOS-1037</t>
        </is>
      </c>
      <c r="B1037" t="inlineStr">
        <is>
          <t>Family Household</t>
        </is>
      </c>
      <c r="C1037" t="inlineStr">
        <is>
          <t>PERCENTAGE</t>
        </is>
      </c>
      <c r="D1037" t="inlineStr">
        <is>
          <t>IOS Owner</t>
        </is>
      </c>
      <c r="E1037" s="16" t="n">
        <v>5335</v>
      </c>
      <c r="F1037" s="16" t="n">
        <v>2667.5</v>
      </c>
      <c r="G1037" s="17" t="n">
        <v>50</v>
      </c>
      <c r="H1037" s="16" t="n">
        <v>2667.5</v>
      </c>
      <c r="I1037" s="16" t="n">
        <v>0</v>
      </c>
    </row>
    <row r="1038">
      <c r="A1038" t="inlineStr">
        <is>
          <t>MTR-IOS-1037</t>
        </is>
      </c>
      <c r="B1038" t="inlineStr">
        <is>
          <t>Family Household</t>
        </is>
      </c>
      <c r="C1038" t="inlineStr">
        <is>
          <t>PERCENTAGE</t>
        </is>
      </c>
      <c r="D1038" t="inlineStr">
        <is>
          <t>IOS Aarav</t>
        </is>
      </c>
      <c r="E1038" s="16" t="n">
        <v>0</v>
      </c>
      <c r="F1038" s="16" t="n">
        <v>1600.5</v>
      </c>
      <c r="G1038" s="17" t="n">
        <v>30</v>
      </c>
      <c r="H1038" s="16" t="n">
        <v>-1600.5</v>
      </c>
      <c r="I1038" s="16" t="n">
        <v>0</v>
      </c>
    </row>
    <row r="1039">
      <c r="A1039" t="inlineStr">
        <is>
          <t>MTR-IOS-1037</t>
        </is>
      </c>
      <c r="B1039" t="inlineStr">
        <is>
          <t>Family Household</t>
        </is>
      </c>
      <c r="C1039" t="inlineStr">
        <is>
          <t>PERCENTAGE</t>
        </is>
      </c>
      <c r="D1039" t="inlineStr">
        <is>
          <t>IOS Meera</t>
        </is>
      </c>
      <c r="E1039" s="16" t="n">
        <v>0</v>
      </c>
      <c r="F1039" s="16" t="n">
        <v>1067</v>
      </c>
      <c r="G1039" s="17" t="n">
        <v>20</v>
      </c>
      <c r="H1039" s="16" t="n">
        <v>-1067</v>
      </c>
      <c r="I1039" s="16" t="n">
        <v>0</v>
      </c>
    </row>
    <row r="1040">
      <c r="A1040" t="inlineStr">
        <is>
          <t>MTR-IOS-1040</t>
        </is>
      </c>
      <c r="B1040" t="inlineStr">
        <is>
          <t>Custom Living</t>
        </is>
      </c>
      <c r="C1040" t="inlineStr">
        <is>
          <t>EXACT</t>
        </is>
      </c>
      <c r="D1040" t="inlineStr">
        <is>
          <t>IOS Owner</t>
        </is>
      </c>
      <c r="E1040" s="16" t="n">
        <v>0</v>
      </c>
      <c r="F1040" s="16" t="n">
        <v>5959.65</v>
      </c>
      <c r="G1040" s="17" t="n"/>
      <c r="H1040" s="16" t="n">
        <v>-5959.65</v>
      </c>
      <c r="I1040" s="16" t="n">
        <v>0</v>
      </c>
    </row>
    <row r="1041">
      <c r="A1041" t="inlineStr">
        <is>
          <t>MTR-IOS-1040</t>
        </is>
      </c>
      <c r="B1041" t="inlineStr">
        <is>
          <t>Custom Living</t>
        </is>
      </c>
      <c r="C1041" t="inlineStr">
        <is>
          <t>EXACT</t>
        </is>
      </c>
      <c r="D1041" t="inlineStr">
        <is>
          <t>IOS Aarav</t>
        </is>
      </c>
      <c r="E1041" s="16" t="n">
        <v>17896.86</v>
      </c>
      <c r="F1041" s="16" t="n">
        <v>5959.65</v>
      </c>
      <c r="G1041" s="17" t="n"/>
      <c r="H1041" s="16" t="n">
        <v>11937.21</v>
      </c>
      <c r="I1041" s="16" t="n">
        <v>0</v>
      </c>
    </row>
    <row r="1042">
      <c r="A1042" t="inlineStr">
        <is>
          <t>MTR-IOS-1040</t>
        </is>
      </c>
      <c r="B1042" t="inlineStr">
        <is>
          <t>Custom Living</t>
        </is>
      </c>
      <c r="C1042" t="inlineStr">
        <is>
          <t>EXACT</t>
        </is>
      </c>
      <c r="D1042" t="inlineStr">
        <is>
          <t>IOS Meera</t>
        </is>
      </c>
      <c r="E1042" s="16" t="n">
        <v>0</v>
      </c>
      <c r="F1042" s="16" t="n">
        <v>5977.56</v>
      </c>
      <c r="G1042" s="17" t="n"/>
      <c r="H1042" s="16" t="n">
        <v>-5977.56</v>
      </c>
      <c r="I1042" s="16" t="n">
        <v>0</v>
      </c>
    </row>
    <row r="1043">
      <c r="A1043" t="inlineStr">
        <is>
          <t>MTR-IOS-1043</t>
        </is>
      </c>
      <c r="B1043" t="inlineStr">
        <is>
          <t>Custom Living</t>
        </is>
      </c>
      <c r="C1043" t="inlineStr">
        <is>
          <t>SHARES</t>
        </is>
      </c>
      <c r="D1043" t="inlineStr">
        <is>
          <t>IOS Owner</t>
        </is>
      </c>
      <c r="E1043" s="16" t="n">
        <v>0</v>
      </c>
      <c r="F1043" s="16" t="n">
        <v>440.25</v>
      </c>
      <c r="G1043" s="17" t="n"/>
      <c r="H1043" s="16" t="n">
        <v>-440.25</v>
      </c>
      <c r="I1043" s="16" t="n">
        <v>0</v>
      </c>
    </row>
    <row r="1044">
      <c r="A1044" t="inlineStr">
        <is>
          <t>MTR-IOS-1043</t>
        </is>
      </c>
      <c r="B1044" t="inlineStr">
        <is>
          <t>Custom Living</t>
        </is>
      </c>
      <c r="C1044" t="inlineStr">
        <is>
          <t>SHARES</t>
        </is>
      </c>
      <c r="D1044" t="inlineStr">
        <is>
          <t>IOS Aarav</t>
        </is>
      </c>
      <c r="E1044" s="16" t="n">
        <v>0</v>
      </c>
      <c r="F1044" s="16" t="n">
        <v>293.5</v>
      </c>
      <c r="G1044" s="17" t="n"/>
      <c r="H1044" s="16" t="n">
        <v>-293.5</v>
      </c>
      <c r="I1044" s="16" t="n">
        <v>0</v>
      </c>
    </row>
    <row r="1045">
      <c r="A1045" t="inlineStr">
        <is>
          <t>MTR-IOS-1043</t>
        </is>
      </c>
      <c r="B1045" t="inlineStr">
        <is>
          <t>Custom Living</t>
        </is>
      </c>
      <c r="C1045" t="inlineStr">
        <is>
          <t>SHARES</t>
        </is>
      </c>
      <c r="D1045" t="inlineStr">
        <is>
          <t>IOS Meera</t>
        </is>
      </c>
      <c r="E1045" s="16" t="n">
        <v>880.49</v>
      </c>
      <c r="F1045" s="16" t="n">
        <v>146.74</v>
      </c>
      <c r="G1045" s="17" t="n"/>
      <c r="H1045" s="16" t="n">
        <v>733.75</v>
      </c>
      <c r="I1045" s="16" t="n">
        <v>0</v>
      </c>
    </row>
    <row r="1046">
      <c r="A1046" t="inlineStr">
        <is>
          <t>MTR-IOS-1046</t>
        </is>
      </c>
      <c r="B1046" t="inlineStr">
        <is>
          <t>Trip</t>
        </is>
      </c>
      <c r="C1046" t="inlineStr">
        <is>
          <t>EQUAL</t>
        </is>
      </c>
      <c r="D1046" t="inlineStr">
        <is>
          <t>IOS Owner</t>
        </is>
      </c>
      <c r="E1046" s="16" t="n">
        <v>16471.21</v>
      </c>
      <c r="F1046" s="16" t="n">
        <v>5490.4</v>
      </c>
      <c r="G1046" s="17" t="n"/>
      <c r="H1046" s="16" t="n">
        <v>10980.81</v>
      </c>
      <c r="I1046" s="16" t="n">
        <v>0</v>
      </c>
    </row>
    <row r="1047">
      <c r="A1047" t="inlineStr">
        <is>
          <t>MTR-IOS-1046</t>
        </is>
      </c>
      <c r="B1047" t="inlineStr">
        <is>
          <t>Trip</t>
        </is>
      </c>
      <c r="C1047" t="inlineStr">
        <is>
          <t>EQUAL</t>
        </is>
      </c>
      <c r="D1047" t="inlineStr">
        <is>
          <t>IOS Aarav</t>
        </is>
      </c>
      <c r="E1047" s="16" t="n">
        <v>0</v>
      </c>
      <c r="F1047" s="16" t="n">
        <v>5490.4</v>
      </c>
      <c r="G1047" s="17" t="n"/>
      <c r="H1047" s="16" t="n">
        <v>-5490.4</v>
      </c>
      <c r="I1047" s="16" t="n">
        <v>0</v>
      </c>
    </row>
    <row r="1048">
      <c r="A1048" t="inlineStr">
        <is>
          <t>MTR-IOS-1046</t>
        </is>
      </c>
      <c r="B1048" t="inlineStr">
        <is>
          <t>Trip</t>
        </is>
      </c>
      <c r="C1048" t="inlineStr">
        <is>
          <t>EQUAL</t>
        </is>
      </c>
      <c r="D1048" t="inlineStr">
        <is>
          <t>IOS Meera</t>
        </is>
      </c>
      <c r="E1048" s="16" t="n">
        <v>0</v>
      </c>
      <c r="F1048" s="16" t="n">
        <v>5490.41</v>
      </c>
      <c r="G1048" s="17" t="n"/>
      <c r="H1048" s="16" t="n">
        <v>-5490.41</v>
      </c>
      <c r="I1048" s="16" t="n">
        <v>0</v>
      </c>
    </row>
    <row r="1049">
      <c r="A1049" t="inlineStr">
        <is>
          <t>MTR-IOS-1049</t>
        </is>
      </c>
      <c r="B1049" t="inlineStr">
        <is>
          <t>Trip</t>
        </is>
      </c>
      <c r="C1049" t="inlineStr">
        <is>
          <t>PERCENTAGE</t>
        </is>
      </c>
      <c r="D1049" t="inlineStr">
        <is>
          <t>IOS Owner</t>
        </is>
      </c>
      <c r="E1049" s="16" t="n">
        <v>0</v>
      </c>
      <c r="F1049" s="16" t="n">
        <v>12278.64</v>
      </c>
      <c r="G1049" s="17" t="n">
        <v>50</v>
      </c>
      <c r="H1049" s="16" t="n">
        <v>-12278.64</v>
      </c>
      <c r="I1049" s="16" t="n">
        <v>0</v>
      </c>
    </row>
    <row r="1050">
      <c r="A1050" t="inlineStr">
        <is>
          <t>MTR-IOS-1049</t>
        </is>
      </c>
      <c r="B1050" t="inlineStr">
        <is>
          <t>Trip</t>
        </is>
      </c>
      <c r="C1050" t="inlineStr">
        <is>
          <t>PERCENTAGE</t>
        </is>
      </c>
      <c r="D1050" t="inlineStr">
        <is>
          <t>IOS Aarav</t>
        </is>
      </c>
      <c r="E1050" s="16" t="n">
        <v>24557.28</v>
      </c>
      <c r="F1050" s="16" t="n">
        <v>7367.18</v>
      </c>
      <c r="G1050" s="17" t="n">
        <v>30</v>
      </c>
      <c r="H1050" s="16" t="n">
        <v>17190.1</v>
      </c>
      <c r="I1050" s="16" t="n">
        <v>0</v>
      </c>
    </row>
    <row r="1051">
      <c r="A1051" t="inlineStr">
        <is>
          <t>MTR-IOS-1049</t>
        </is>
      </c>
      <c r="B1051" t="inlineStr">
        <is>
          <t>Trip</t>
        </is>
      </c>
      <c r="C1051" t="inlineStr">
        <is>
          <t>PERCENTAGE</t>
        </is>
      </c>
      <c r="D1051" t="inlineStr">
        <is>
          <t>IOS Meera</t>
        </is>
      </c>
      <c r="E1051" s="16" t="n">
        <v>0</v>
      </c>
      <c r="F1051" s="16" t="n">
        <v>4911.46</v>
      </c>
      <c r="G1051" s="17" t="n">
        <v>20</v>
      </c>
      <c r="H1051" s="16" t="n">
        <v>-4911.46</v>
      </c>
      <c r="I1051" s="16" t="n">
        <v>0</v>
      </c>
    </row>
    <row r="1052">
      <c r="A1052" t="inlineStr">
        <is>
          <t>MTR-IOS-1052</t>
        </is>
      </c>
      <c r="B1052" t="inlineStr">
        <is>
          <t>Trip</t>
        </is>
      </c>
      <c r="C1052" t="inlineStr">
        <is>
          <t>EXACT</t>
        </is>
      </c>
      <c r="D1052" t="inlineStr">
        <is>
          <t>IOS Owner</t>
        </is>
      </c>
      <c r="E1052" s="16" t="n">
        <v>0</v>
      </c>
      <c r="F1052" s="16" t="n">
        <v>5710.02</v>
      </c>
      <c r="G1052" s="17" t="n"/>
      <c r="H1052" s="16" t="n">
        <v>-5710.02</v>
      </c>
      <c r="I1052" s="16" t="n">
        <v>0</v>
      </c>
    </row>
    <row r="1053">
      <c r="A1053" t="inlineStr">
        <is>
          <t>MTR-IOS-1052</t>
        </is>
      </c>
      <c r="B1053" t="inlineStr">
        <is>
          <t>Trip</t>
        </is>
      </c>
      <c r="C1053" t="inlineStr">
        <is>
          <t>EXACT</t>
        </is>
      </c>
      <c r="D1053" t="inlineStr">
        <is>
          <t>IOS Aarav</t>
        </is>
      </c>
      <c r="E1053" s="16" t="n">
        <v>0</v>
      </c>
      <c r="F1053" s="16" t="n">
        <v>5710.02</v>
      </c>
      <c r="G1053" s="17" t="n"/>
      <c r="H1053" s="16" t="n">
        <v>-5710.02</v>
      </c>
      <c r="I1053" s="16" t="n">
        <v>0</v>
      </c>
    </row>
    <row r="1054">
      <c r="A1054" t="inlineStr">
        <is>
          <t>MTR-IOS-1052</t>
        </is>
      </c>
      <c r="B1054" t="inlineStr">
        <is>
          <t>Trip</t>
        </is>
      </c>
      <c r="C1054" t="inlineStr">
        <is>
          <t>EXACT</t>
        </is>
      </c>
      <c r="D1054" t="inlineStr">
        <is>
          <t>IOS Meera</t>
        </is>
      </c>
      <c r="E1054" s="16" t="n">
        <v>17147.21</v>
      </c>
      <c r="F1054" s="16" t="n">
        <v>5727.17</v>
      </c>
      <c r="G1054" s="17" t="n"/>
      <c r="H1054" s="16" t="n">
        <v>11420.04</v>
      </c>
      <c r="I1054" s="16" t="n">
        <v>0</v>
      </c>
    </row>
    <row r="1055">
      <c r="A1055" t="inlineStr">
        <is>
          <t>MTR-IOS-1055</t>
        </is>
      </c>
      <c r="B1055" t="inlineStr">
        <is>
          <t>Trip</t>
        </is>
      </c>
      <c r="C1055" t="inlineStr">
        <is>
          <t>SHARES</t>
        </is>
      </c>
      <c r="D1055" t="inlineStr">
        <is>
          <t>IOS Owner</t>
        </is>
      </c>
      <c r="E1055" s="16" t="n">
        <v>11921.61</v>
      </c>
      <c r="F1055" s="16" t="n">
        <v>5960.81</v>
      </c>
      <c r="G1055" s="17" t="n"/>
      <c r="H1055" s="16" t="n">
        <v>5960.8</v>
      </c>
      <c r="I1055" s="16" t="n">
        <v>0</v>
      </c>
    </row>
    <row r="1056">
      <c r="A1056" t="inlineStr">
        <is>
          <t>MTR-IOS-1055</t>
        </is>
      </c>
      <c r="B1056" t="inlineStr">
        <is>
          <t>Trip</t>
        </is>
      </c>
      <c r="C1056" t="inlineStr">
        <is>
          <t>SHARES</t>
        </is>
      </c>
      <c r="D1056" t="inlineStr">
        <is>
          <t>IOS Aarav</t>
        </is>
      </c>
      <c r="E1056" s="16" t="n">
        <v>0</v>
      </c>
      <c r="F1056" s="16" t="n">
        <v>3973.87</v>
      </c>
      <c r="G1056" s="17" t="n"/>
      <c r="H1056" s="16" t="n">
        <v>-3973.87</v>
      </c>
      <c r="I1056" s="16" t="n">
        <v>0</v>
      </c>
    </row>
    <row r="1057">
      <c r="A1057" t="inlineStr">
        <is>
          <t>MTR-IOS-1055</t>
        </is>
      </c>
      <c r="B1057" t="inlineStr">
        <is>
          <t>Trip</t>
        </is>
      </c>
      <c r="C1057" t="inlineStr">
        <is>
          <t>SHARES</t>
        </is>
      </c>
      <c r="D1057" t="inlineStr">
        <is>
          <t>IOS Meera</t>
        </is>
      </c>
      <c r="E1057" s="16" t="n">
        <v>0</v>
      </c>
      <c r="F1057" s="16" t="n">
        <v>1986.93</v>
      </c>
      <c r="G1057" s="17" t="n"/>
      <c r="H1057" s="16" t="n">
        <v>-1986.93</v>
      </c>
      <c r="I1057" s="16" t="n">
        <v>0</v>
      </c>
    </row>
    <row r="1058">
      <c r="A1058" t="inlineStr">
        <is>
          <t>MTR-IOS-1058</t>
        </is>
      </c>
      <c r="B1058" t="inlineStr">
        <is>
          <t>Trip</t>
        </is>
      </c>
      <c r="C1058" t="inlineStr">
        <is>
          <t>EQUAL</t>
        </is>
      </c>
      <c r="D1058" t="inlineStr">
        <is>
          <t>IOS Owner</t>
        </is>
      </c>
      <c r="E1058" s="16" t="n">
        <v>0</v>
      </c>
      <c r="F1058" s="16" t="n">
        <v>4572.6</v>
      </c>
      <c r="G1058" s="17" t="n"/>
      <c r="H1058" s="16" t="n">
        <v>-4572.6</v>
      </c>
      <c r="I1058" s="16" t="n">
        <v>0</v>
      </c>
    </row>
    <row r="1059">
      <c r="A1059" t="inlineStr">
        <is>
          <t>MTR-IOS-1058</t>
        </is>
      </c>
      <c r="B1059" t="inlineStr">
        <is>
          <t>Trip</t>
        </is>
      </c>
      <c r="C1059" t="inlineStr">
        <is>
          <t>EQUAL</t>
        </is>
      </c>
      <c r="D1059" t="inlineStr">
        <is>
          <t>IOS Aarav</t>
        </is>
      </c>
      <c r="E1059" s="16" t="n">
        <v>13717.8</v>
      </c>
      <c r="F1059" s="16" t="n">
        <v>4572.6</v>
      </c>
      <c r="G1059" s="17" t="n"/>
      <c r="H1059" s="16" t="n">
        <v>9145.200000000001</v>
      </c>
      <c r="I1059" s="16" t="n">
        <v>0</v>
      </c>
    </row>
    <row r="1060">
      <c r="A1060" t="inlineStr">
        <is>
          <t>MTR-IOS-1058</t>
        </is>
      </c>
      <c r="B1060" t="inlineStr">
        <is>
          <t>Trip</t>
        </is>
      </c>
      <c r="C1060" t="inlineStr">
        <is>
          <t>EQUAL</t>
        </is>
      </c>
      <c r="D1060" t="inlineStr">
        <is>
          <t>IOS Meera</t>
        </is>
      </c>
      <c r="E1060" s="16" t="n">
        <v>0</v>
      </c>
      <c r="F1060" s="16" t="n">
        <v>4572.6</v>
      </c>
      <c r="G1060" s="17" t="n"/>
      <c r="H1060" s="16" t="n">
        <v>-4572.6</v>
      </c>
      <c r="I1060" s="16" t="n">
        <v>0</v>
      </c>
    </row>
    <row r="1061">
      <c r="A1061" t="inlineStr">
        <is>
          <t>MTR-IOS-1061</t>
        </is>
      </c>
      <c r="B1061" t="inlineStr">
        <is>
          <t>Trip</t>
        </is>
      </c>
      <c r="C1061" t="inlineStr">
        <is>
          <t>PERCENTAGE</t>
        </is>
      </c>
      <c r="D1061" t="inlineStr">
        <is>
          <t>IOS Owner</t>
        </is>
      </c>
      <c r="E1061" s="16" t="n">
        <v>0</v>
      </c>
      <c r="F1061" s="16" t="n">
        <v>8730.139999999999</v>
      </c>
      <c r="G1061" s="17" t="n">
        <v>50</v>
      </c>
      <c r="H1061" s="16" t="n">
        <v>-8730.139999999999</v>
      </c>
      <c r="I1061" s="16" t="n">
        <v>0</v>
      </c>
    </row>
    <row r="1062">
      <c r="A1062" t="inlineStr">
        <is>
          <t>MTR-IOS-1061</t>
        </is>
      </c>
      <c r="B1062" t="inlineStr">
        <is>
          <t>Trip</t>
        </is>
      </c>
      <c r="C1062" t="inlineStr">
        <is>
          <t>PERCENTAGE</t>
        </is>
      </c>
      <c r="D1062" t="inlineStr">
        <is>
          <t>IOS Aarav</t>
        </is>
      </c>
      <c r="E1062" s="16" t="n">
        <v>0</v>
      </c>
      <c r="F1062" s="16" t="n">
        <v>5238.08</v>
      </c>
      <c r="G1062" s="17" t="n">
        <v>30</v>
      </c>
      <c r="H1062" s="16" t="n">
        <v>-5238.08</v>
      </c>
      <c r="I1062" s="16" t="n">
        <v>0</v>
      </c>
    </row>
    <row r="1063">
      <c r="A1063" t="inlineStr">
        <is>
          <t>MTR-IOS-1061</t>
        </is>
      </c>
      <c r="B1063" t="inlineStr">
        <is>
          <t>Trip</t>
        </is>
      </c>
      <c r="C1063" t="inlineStr">
        <is>
          <t>PERCENTAGE</t>
        </is>
      </c>
      <c r="D1063" t="inlineStr">
        <is>
          <t>IOS Meera</t>
        </is>
      </c>
      <c r="E1063" s="16" t="n">
        <v>17460.27</v>
      </c>
      <c r="F1063" s="16" t="n">
        <v>3492.05</v>
      </c>
      <c r="G1063" s="17" t="n">
        <v>20</v>
      </c>
      <c r="H1063" s="16" t="n">
        <v>13968.22</v>
      </c>
      <c r="I1063" s="16" t="n">
        <v>0</v>
      </c>
    </row>
    <row r="1064">
      <c r="A1064" t="inlineStr">
        <is>
          <t>MTR-IOS-1064</t>
        </is>
      </c>
      <c r="B1064" t="inlineStr">
        <is>
          <t>Trip</t>
        </is>
      </c>
      <c r="C1064" t="inlineStr">
        <is>
          <t>EXACT</t>
        </is>
      </c>
      <c r="D1064" t="inlineStr">
        <is>
          <t>IOS Owner</t>
        </is>
      </c>
      <c r="E1064" s="16" t="n">
        <v>4241.15</v>
      </c>
      <c r="F1064" s="16" t="n">
        <v>1412.3</v>
      </c>
      <c r="G1064" s="17" t="n"/>
      <c r="H1064" s="16" t="n">
        <v>2828.85</v>
      </c>
      <c r="I1064" s="16" t="n">
        <v>0</v>
      </c>
    </row>
    <row r="1065">
      <c r="A1065" t="inlineStr">
        <is>
          <t>MTR-IOS-1064</t>
        </is>
      </c>
      <c r="B1065" t="inlineStr">
        <is>
          <t>Trip</t>
        </is>
      </c>
      <c r="C1065" t="inlineStr">
        <is>
          <t>EXACT</t>
        </is>
      </c>
      <c r="D1065" t="inlineStr">
        <is>
          <t>IOS Aarav</t>
        </is>
      </c>
      <c r="E1065" s="16" t="n">
        <v>0</v>
      </c>
      <c r="F1065" s="16" t="n">
        <v>1412.3</v>
      </c>
      <c r="G1065" s="17" t="n"/>
      <c r="H1065" s="16" t="n">
        <v>-1412.3</v>
      </c>
      <c r="I1065" s="16" t="n">
        <v>0</v>
      </c>
    </row>
    <row r="1066">
      <c r="A1066" t="inlineStr">
        <is>
          <t>MTR-IOS-1064</t>
        </is>
      </c>
      <c r="B1066" t="inlineStr">
        <is>
          <t>Trip</t>
        </is>
      </c>
      <c r="C1066" t="inlineStr">
        <is>
          <t>EXACT</t>
        </is>
      </c>
      <c r="D1066" t="inlineStr">
        <is>
          <t>IOS Meera</t>
        </is>
      </c>
      <c r="E1066" s="16" t="n">
        <v>0</v>
      </c>
      <c r="F1066" s="16" t="n">
        <v>1416.55</v>
      </c>
      <c r="G1066" s="17" t="n"/>
      <c r="H1066" s="16" t="n">
        <v>-1416.55</v>
      </c>
      <c r="I1066" s="16" t="n">
        <v>0</v>
      </c>
    </row>
    <row r="1067">
      <c r="A1067" t="inlineStr">
        <is>
          <t>MTR-IOS-1067</t>
        </is>
      </c>
      <c r="B1067" t="inlineStr">
        <is>
          <t>Wedding</t>
        </is>
      </c>
      <c r="C1067" t="inlineStr">
        <is>
          <t>SHARES</t>
        </is>
      </c>
      <c r="D1067" t="inlineStr">
        <is>
          <t>IOS Owner</t>
        </is>
      </c>
      <c r="E1067" s="16" t="n">
        <v>0</v>
      </c>
      <c r="F1067" s="16" t="n">
        <v>532.14</v>
      </c>
      <c r="G1067" s="17" t="n"/>
      <c r="H1067" s="16" t="n">
        <v>-532.14</v>
      </c>
      <c r="I1067" s="16" t="n">
        <v>0</v>
      </c>
    </row>
    <row r="1068">
      <c r="A1068" t="inlineStr">
        <is>
          <t>MTR-IOS-1067</t>
        </is>
      </c>
      <c r="B1068" t="inlineStr">
        <is>
          <t>Wedding</t>
        </is>
      </c>
      <c r="C1068" t="inlineStr">
        <is>
          <t>SHARES</t>
        </is>
      </c>
      <c r="D1068" t="inlineStr">
        <is>
          <t>IOS Aarav</t>
        </is>
      </c>
      <c r="E1068" s="16" t="n">
        <v>1064.27</v>
      </c>
      <c r="F1068" s="16" t="n">
        <v>354.76</v>
      </c>
      <c r="G1068" s="17" t="n"/>
      <c r="H1068" s="16" t="n">
        <v>709.51</v>
      </c>
      <c r="I1068" s="16" t="n">
        <v>0</v>
      </c>
    </row>
    <row r="1069">
      <c r="A1069" t="inlineStr">
        <is>
          <t>MTR-IOS-1067</t>
        </is>
      </c>
      <c r="B1069" t="inlineStr">
        <is>
          <t>Wedding</t>
        </is>
      </c>
      <c r="C1069" t="inlineStr">
        <is>
          <t>SHARES</t>
        </is>
      </c>
      <c r="D1069" t="inlineStr">
        <is>
          <t>IOS Meera</t>
        </is>
      </c>
      <c r="E1069" s="16" t="n">
        <v>0</v>
      </c>
      <c r="F1069" s="16" t="n">
        <v>177.37</v>
      </c>
      <c r="G1069" s="17" t="n"/>
      <c r="H1069" s="16" t="n">
        <v>-177.37</v>
      </c>
      <c r="I1069" s="16" t="n">
        <v>0</v>
      </c>
    </row>
    <row r="1070">
      <c r="A1070" t="inlineStr">
        <is>
          <t>MTR-IOS-1070</t>
        </is>
      </c>
      <c r="B1070" t="inlineStr">
        <is>
          <t>Wedding</t>
        </is>
      </c>
      <c r="C1070" t="inlineStr">
        <is>
          <t>EQUAL</t>
        </is>
      </c>
      <c r="D1070" t="inlineStr">
        <is>
          <t>IOS Owner</t>
        </is>
      </c>
      <c r="E1070" s="16" t="n">
        <v>0</v>
      </c>
      <c r="F1070" s="16" t="n">
        <v>1190.37</v>
      </c>
      <c r="G1070" s="17" t="n"/>
      <c r="H1070" s="16" t="n">
        <v>-1190.37</v>
      </c>
      <c r="I1070" s="16" t="n">
        <v>0</v>
      </c>
    </row>
    <row r="1071">
      <c r="A1071" t="inlineStr">
        <is>
          <t>MTR-IOS-1070</t>
        </is>
      </c>
      <c r="B1071" t="inlineStr">
        <is>
          <t>Wedding</t>
        </is>
      </c>
      <c r="C1071" t="inlineStr">
        <is>
          <t>EQUAL</t>
        </is>
      </c>
      <c r="D1071" t="inlineStr">
        <is>
          <t>IOS Aarav</t>
        </is>
      </c>
      <c r="E1071" s="16" t="n">
        <v>0</v>
      </c>
      <c r="F1071" s="16" t="n">
        <v>1190.37</v>
      </c>
      <c r="G1071" s="17" t="n"/>
      <c r="H1071" s="16" t="n">
        <v>-1190.37</v>
      </c>
      <c r="I1071" s="16" t="n">
        <v>0</v>
      </c>
    </row>
    <row r="1072">
      <c r="A1072" t="inlineStr">
        <is>
          <t>MTR-IOS-1070</t>
        </is>
      </c>
      <c r="B1072" t="inlineStr">
        <is>
          <t>Wedding</t>
        </is>
      </c>
      <c r="C1072" t="inlineStr">
        <is>
          <t>EQUAL</t>
        </is>
      </c>
      <c r="D1072" t="inlineStr">
        <is>
          <t>IOS Meera</t>
        </is>
      </c>
      <c r="E1072" s="16" t="n">
        <v>3571.1</v>
      </c>
      <c r="F1072" s="16" t="n">
        <v>1190.36</v>
      </c>
      <c r="G1072" s="17" t="n"/>
      <c r="H1072" s="16" t="n">
        <v>2380.74</v>
      </c>
      <c r="I1072" s="16" t="n">
        <v>0</v>
      </c>
    </row>
    <row r="1073">
      <c r="A1073" t="inlineStr">
        <is>
          <t>MTR-IOS-1073</t>
        </is>
      </c>
      <c r="B1073" t="inlineStr">
        <is>
          <t>Wedding</t>
        </is>
      </c>
      <c r="C1073" t="inlineStr">
        <is>
          <t>PERCENTAGE</t>
        </is>
      </c>
      <c r="D1073" t="inlineStr">
        <is>
          <t>IOS Owner</t>
        </is>
      </c>
      <c r="E1073" s="16" t="n">
        <v>10000</v>
      </c>
      <c r="F1073" s="16" t="n">
        <v>5000</v>
      </c>
      <c r="G1073" s="17" t="n">
        <v>50</v>
      </c>
      <c r="H1073" s="16" t="n">
        <v>5000</v>
      </c>
      <c r="I1073" s="16" t="n">
        <v>0</v>
      </c>
    </row>
    <row r="1074">
      <c r="A1074" t="inlineStr">
        <is>
          <t>MTR-IOS-1073</t>
        </is>
      </c>
      <c r="B1074" t="inlineStr">
        <is>
          <t>Wedding</t>
        </is>
      </c>
      <c r="C1074" t="inlineStr">
        <is>
          <t>PERCENTAGE</t>
        </is>
      </c>
      <c r="D1074" t="inlineStr">
        <is>
          <t>IOS Aarav</t>
        </is>
      </c>
      <c r="E1074" s="16" t="n">
        <v>0</v>
      </c>
      <c r="F1074" s="16" t="n">
        <v>3000</v>
      </c>
      <c r="G1074" s="17" t="n">
        <v>30</v>
      </c>
      <c r="H1074" s="16" t="n">
        <v>-3000</v>
      </c>
      <c r="I1074" s="16" t="n">
        <v>0</v>
      </c>
    </row>
    <row r="1075">
      <c r="A1075" t="inlineStr">
        <is>
          <t>MTR-IOS-1073</t>
        </is>
      </c>
      <c r="B1075" t="inlineStr">
        <is>
          <t>Wedding</t>
        </is>
      </c>
      <c r="C1075" t="inlineStr">
        <is>
          <t>PERCENTAGE</t>
        </is>
      </c>
      <c r="D1075" t="inlineStr">
        <is>
          <t>IOS Meera</t>
        </is>
      </c>
      <c r="E1075" s="16" t="n">
        <v>0</v>
      </c>
      <c r="F1075" s="16" t="n">
        <v>2000</v>
      </c>
      <c r="G1075" s="17" t="n">
        <v>20</v>
      </c>
      <c r="H1075" s="16" t="n">
        <v>-2000</v>
      </c>
      <c r="I1075" s="16" t="n">
        <v>0</v>
      </c>
    </row>
    <row r="1076">
      <c r="A1076" t="inlineStr">
        <is>
          <t>MTR-IOS-1076</t>
        </is>
      </c>
      <c r="B1076" t="inlineStr">
        <is>
          <t>Wedding</t>
        </is>
      </c>
      <c r="C1076" t="inlineStr">
        <is>
          <t>EXACT</t>
        </is>
      </c>
      <c r="D1076" t="inlineStr">
        <is>
          <t>IOS Owner</t>
        </is>
      </c>
      <c r="E1076" s="16" t="n">
        <v>0</v>
      </c>
      <c r="F1076" s="16" t="n">
        <v>5103.26</v>
      </c>
      <c r="G1076" s="17" t="n"/>
      <c r="H1076" s="16" t="n">
        <v>-5103.26</v>
      </c>
      <c r="I1076" s="16" t="n">
        <v>0</v>
      </c>
    </row>
    <row r="1077">
      <c r="A1077" t="inlineStr">
        <is>
          <t>MTR-IOS-1076</t>
        </is>
      </c>
      <c r="B1077" t="inlineStr">
        <is>
          <t>Wedding</t>
        </is>
      </c>
      <c r="C1077" t="inlineStr">
        <is>
          <t>EXACT</t>
        </is>
      </c>
      <c r="D1077" t="inlineStr">
        <is>
          <t>IOS Aarav</t>
        </is>
      </c>
      <c r="E1077" s="16" t="n">
        <v>15325.11</v>
      </c>
      <c r="F1077" s="16" t="n">
        <v>5103.26</v>
      </c>
      <c r="G1077" s="17" t="n"/>
      <c r="H1077" s="16" t="n">
        <v>10221.85</v>
      </c>
      <c r="I1077" s="16" t="n">
        <v>0</v>
      </c>
    </row>
    <row r="1078">
      <c r="A1078" t="inlineStr">
        <is>
          <t>MTR-IOS-1076</t>
        </is>
      </c>
      <c r="B1078" t="inlineStr">
        <is>
          <t>Wedding</t>
        </is>
      </c>
      <c r="C1078" t="inlineStr">
        <is>
          <t>EXACT</t>
        </is>
      </c>
      <c r="D1078" t="inlineStr">
        <is>
          <t>IOS Meera</t>
        </is>
      </c>
      <c r="E1078" s="16" t="n">
        <v>0</v>
      </c>
      <c r="F1078" s="16" t="n">
        <v>5118.59</v>
      </c>
      <c r="G1078" s="17" t="n"/>
      <c r="H1078" s="16" t="n">
        <v>-5118.59</v>
      </c>
      <c r="I1078" s="16" t="n">
        <v>0</v>
      </c>
    </row>
    <row r="1079">
      <c r="A1079" t="inlineStr">
        <is>
          <t>MTR-IOS-1079</t>
        </is>
      </c>
      <c r="B1079" t="inlineStr">
        <is>
          <t>Wedding</t>
        </is>
      </c>
      <c r="C1079" t="inlineStr">
        <is>
          <t>SHARES</t>
        </is>
      </c>
      <c r="D1079" t="inlineStr">
        <is>
          <t>IOS Owner</t>
        </is>
      </c>
      <c r="E1079" s="16" t="n">
        <v>0</v>
      </c>
      <c r="F1079" s="16" t="n">
        <v>3837.02</v>
      </c>
      <c r="G1079" s="17" t="n"/>
      <c r="H1079" s="16" t="n">
        <v>-3837.02</v>
      </c>
      <c r="I1079" s="16" t="n">
        <v>0</v>
      </c>
    </row>
    <row r="1080">
      <c r="A1080" t="inlineStr">
        <is>
          <t>MTR-IOS-1079</t>
        </is>
      </c>
      <c r="B1080" t="inlineStr">
        <is>
          <t>Wedding</t>
        </is>
      </c>
      <c r="C1080" t="inlineStr">
        <is>
          <t>SHARES</t>
        </is>
      </c>
      <c r="D1080" t="inlineStr">
        <is>
          <t>IOS Aarav</t>
        </is>
      </c>
      <c r="E1080" s="16" t="n">
        <v>0</v>
      </c>
      <c r="F1080" s="16" t="n">
        <v>2558.01</v>
      </c>
      <c r="G1080" s="17" t="n"/>
      <c r="H1080" s="16" t="n">
        <v>-2558.01</v>
      </c>
      <c r="I1080" s="16" t="n">
        <v>0</v>
      </c>
    </row>
    <row r="1081">
      <c r="A1081" t="inlineStr">
        <is>
          <t>MTR-IOS-1079</t>
        </is>
      </c>
      <c r="B1081" t="inlineStr">
        <is>
          <t>Wedding</t>
        </is>
      </c>
      <c r="C1081" t="inlineStr">
        <is>
          <t>SHARES</t>
        </is>
      </c>
      <c r="D1081" t="inlineStr">
        <is>
          <t>IOS Meera</t>
        </is>
      </c>
      <c r="E1081" s="16" t="n">
        <v>7674.04</v>
      </c>
      <c r="F1081" s="16" t="n">
        <v>1279.01</v>
      </c>
      <c r="G1081" s="17" t="n"/>
      <c r="H1081" s="16" t="n">
        <v>6395.03</v>
      </c>
      <c r="I1081" s="16" t="n">
        <v>0</v>
      </c>
    </row>
    <row r="1082">
      <c r="A1082" t="inlineStr">
        <is>
          <t>MTR-IOS-1082</t>
        </is>
      </c>
      <c r="B1082" t="inlineStr">
        <is>
          <t>Wedding</t>
        </is>
      </c>
      <c r="C1082" t="inlineStr">
        <is>
          <t>EQUAL</t>
        </is>
      </c>
      <c r="D1082" t="inlineStr">
        <is>
          <t>IOS Owner</t>
        </is>
      </c>
      <c r="E1082" s="16" t="n">
        <v>14618.9</v>
      </c>
      <c r="F1082" s="16" t="n">
        <v>4872.97</v>
      </c>
      <c r="G1082" s="17" t="n"/>
      <c r="H1082" s="16" t="n">
        <v>9745.93</v>
      </c>
      <c r="I1082" s="16" t="n">
        <v>0</v>
      </c>
    </row>
    <row r="1083">
      <c r="A1083" t="inlineStr">
        <is>
          <t>MTR-IOS-1082</t>
        </is>
      </c>
      <c r="B1083" t="inlineStr">
        <is>
          <t>Wedding</t>
        </is>
      </c>
      <c r="C1083" t="inlineStr">
        <is>
          <t>EQUAL</t>
        </is>
      </c>
      <c r="D1083" t="inlineStr">
        <is>
          <t>IOS Aarav</t>
        </is>
      </c>
      <c r="E1083" s="16" t="n">
        <v>0</v>
      </c>
      <c r="F1083" s="16" t="n">
        <v>4872.97</v>
      </c>
      <c r="G1083" s="17" t="n"/>
      <c r="H1083" s="16" t="n">
        <v>-4872.97</v>
      </c>
      <c r="I1083" s="16" t="n">
        <v>0</v>
      </c>
    </row>
    <row r="1084">
      <c r="A1084" t="inlineStr">
        <is>
          <t>MTR-IOS-1082</t>
        </is>
      </c>
      <c r="B1084" t="inlineStr">
        <is>
          <t>Wedding</t>
        </is>
      </c>
      <c r="C1084" t="inlineStr">
        <is>
          <t>EQUAL</t>
        </is>
      </c>
      <c r="D1084" t="inlineStr">
        <is>
          <t>IOS Meera</t>
        </is>
      </c>
      <c r="E1084" s="16" t="n">
        <v>0</v>
      </c>
      <c r="F1084" s="16" t="n">
        <v>4872.96</v>
      </c>
      <c r="G1084" s="17" t="n"/>
      <c r="H1084" s="16" t="n">
        <v>-4872.96</v>
      </c>
      <c r="I1084" s="16" t="n">
        <v>0</v>
      </c>
    </row>
    <row r="1085">
      <c r="A1085" t="inlineStr">
        <is>
          <t>MTR-IOS-1085</t>
        </is>
      </c>
      <c r="B1085" t="inlineStr">
        <is>
          <t>Wedding</t>
        </is>
      </c>
      <c r="C1085" t="inlineStr">
        <is>
          <t>PERCENTAGE</t>
        </is>
      </c>
      <c r="D1085" t="inlineStr">
        <is>
          <t>IOS Owner</t>
        </is>
      </c>
      <c r="E1085" s="16" t="n">
        <v>0</v>
      </c>
      <c r="F1085" s="16" t="n">
        <v>284.13</v>
      </c>
      <c r="G1085" s="17" t="n">
        <v>50</v>
      </c>
      <c r="H1085" s="16" t="n">
        <v>-284.13</v>
      </c>
      <c r="I1085" s="16" t="n">
        <v>0</v>
      </c>
    </row>
    <row r="1086">
      <c r="A1086" t="inlineStr">
        <is>
          <t>MTR-IOS-1085</t>
        </is>
      </c>
      <c r="B1086" t="inlineStr">
        <is>
          <t>Wedding</t>
        </is>
      </c>
      <c r="C1086" t="inlineStr">
        <is>
          <t>PERCENTAGE</t>
        </is>
      </c>
      <c r="D1086" t="inlineStr">
        <is>
          <t>IOS Aarav</t>
        </is>
      </c>
      <c r="E1086" s="16" t="n">
        <v>568.25</v>
      </c>
      <c r="F1086" s="16" t="n">
        <v>170.48</v>
      </c>
      <c r="G1086" s="17" t="n">
        <v>30</v>
      </c>
      <c r="H1086" s="16" t="n">
        <v>397.77</v>
      </c>
      <c r="I1086" s="16" t="n">
        <v>0</v>
      </c>
    </row>
    <row r="1087">
      <c r="A1087" t="inlineStr">
        <is>
          <t>MTR-IOS-1085</t>
        </is>
      </c>
      <c r="B1087" t="inlineStr">
        <is>
          <t>Wedding</t>
        </is>
      </c>
      <c r="C1087" t="inlineStr">
        <is>
          <t>PERCENTAGE</t>
        </is>
      </c>
      <c r="D1087" t="inlineStr">
        <is>
          <t>IOS Meera</t>
        </is>
      </c>
      <c r="E1087" s="16" t="n">
        <v>0</v>
      </c>
      <c r="F1087" s="16" t="n">
        <v>113.64</v>
      </c>
      <c r="G1087" s="17" t="n">
        <v>20</v>
      </c>
      <c r="H1087" s="16" t="n">
        <v>-113.64</v>
      </c>
      <c r="I1087" s="16" t="n">
        <v>0</v>
      </c>
    </row>
    <row r="1088">
      <c r="A1088" t="inlineStr">
        <is>
          <t>MTR-IOS-1088</t>
        </is>
      </c>
      <c r="B1088" t="inlineStr">
        <is>
          <t>Office Outing</t>
        </is>
      </c>
      <c r="C1088" t="inlineStr">
        <is>
          <t>EXACT</t>
        </is>
      </c>
      <c r="D1088" t="inlineStr">
        <is>
          <t>IOS Owner</t>
        </is>
      </c>
      <c r="E1088" s="16" t="n">
        <v>0</v>
      </c>
      <c r="F1088" s="16" t="n">
        <v>7231.75</v>
      </c>
      <c r="G1088" s="17" t="n"/>
      <c r="H1088" s="16" t="n">
        <v>-7231.75</v>
      </c>
      <c r="I1088" s="16" t="n">
        <v>0</v>
      </c>
    </row>
    <row r="1089">
      <c r="A1089" t="inlineStr">
        <is>
          <t>MTR-IOS-1088</t>
        </is>
      </c>
      <c r="B1089" t="inlineStr">
        <is>
          <t>Office Outing</t>
        </is>
      </c>
      <c r="C1089" t="inlineStr">
        <is>
          <t>EXACT</t>
        </is>
      </c>
      <c r="D1089" t="inlineStr">
        <is>
          <t>IOS Aarav</t>
        </is>
      </c>
      <c r="E1089" s="16" t="n">
        <v>0</v>
      </c>
      <c r="F1089" s="16" t="n">
        <v>7231.75</v>
      </c>
      <c r="G1089" s="17" t="n"/>
      <c r="H1089" s="16" t="n">
        <v>-7231.75</v>
      </c>
      <c r="I1089" s="16" t="n">
        <v>0</v>
      </c>
    </row>
    <row r="1090">
      <c r="A1090" t="inlineStr">
        <is>
          <t>MTR-IOS-1088</t>
        </is>
      </c>
      <c r="B1090" t="inlineStr">
        <is>
          <t>Office Outing</t>
        </is>
      </c>
      <c r="C1090" t="inlineStr">
        <is>
          <t>EXACT</t>
        </is>
      </c>
      <c r="D1090" t="inlineStr">
        <is>
          <t>IOS Meera</t>
        </is>
      </c>
      <c r="E1090" s="16" t="n">
        <v>21716.96</v>
      </c>
      <c r="F1090" s="16" t="n">
        <v>7253.46</v>
      </c>
      <c r="G1090" s="17" t="n"/>
      <c r="H1090" s="16" t="n">
        <v>14463.5</v>
      </c>
      <c r="I1090" s="16" t="n">
        <v>0</v>
      </c>
    </row>
    <row r="1091">
      <c r="A1091" t="inlineStr">
        <is>
          <t>MTR-IOS-1091</t>
        </is>
      </c>
      <c r="B1091" t="inlineStr">
        <is>
          <t>Office Outing</t>
        </is>
      </c>
      <c r="C1091" t="inlineStr">
        <is>
          <t>SHARES</t>
        </is>
      </c>
      <c r="D1091" t="inlineStr">
        <is>
          <t>IOS Owner</t>
        </is>
      </c>
      <c r="E1091" s="16" t="n">
        <v>6263.04</v>
      </c>
      <c r="F1091" s="16" t="n">
        <v>3131.52</v>
      </c>
      <c r="G1091" s="17" t="n"/>
      <c r="H1091" s="16" t="n">
        <v>3131.52</v>
      </c>
      <c r="I1091" s="16" t="n">
        <v>0</v>
      </c>
    </row>
    <row r="1092">
      <c r="A1092" t="inlineStr">
        <is>
          <t>MTR-IOS-1091</t>
        </is>
      </c>
      <c r="B1092" t="inlineStr">
        <is>
          <t>Office Outing</t>
        </is>
      </c>
      <c r="C1092" t="inlineStr">
        <is>
          <t>SHARES</t>
        </is>
      </c>
      <c r="D1092" t="inlineStr">
        <is>
          <t>IOS Aarav</t>
        </is>
      </c>
      <c r="E1092" s="16" t="n">
        <v>0</v>
      </c>
      <c r="F1092" s="16" t="n">
        <v>2087.68</v>
      </c>
      <c r="G1092" s="17" t="n"/>
      <c r="H1092" s="16" t="n">
        <v>-2087.68</v>
      </c>
      <c r="I1092" s="16" t="n">
        <v>0</v>
      </c>
    </row>
    <row r="1093">
      <c r="A1093" t="inlineStr">
        <is>
          <t>MTR-IOS-1091</t>
        </is>
      </c>
      <c r="B1093" t="inlineStr">
        <is>
          <t>Office Outing</t>
        </is>
      </c>
      <c r="C1093" t="inlineStr">
        <is>
          <t>SHARES</t>
        </is>
      </c>
      <c r="D1093" t="inlineStr">
        <is>
          <t>IOS Meera</t>
        </is>
      </c>
      <c r="E1093" s="16" t="n">
        <v>0</v>
      </c>
      <c r="F1093" s="16" t="n">
        <v>1043.84</v>
      </c>
      <c r="G1093" s="17" t="n"/>
      <c r="H1093" s="16" t="n">
        <v>-1043.84</v>
      </c>
      <c r="I1093" s="16" t="n">
        <v>0</v>
      </c>
    </row>
    <row r="1094">
      <c r="A1094" t="inlineStr">
        <is>
          <t>MTR-IOS-1094</t>
        </is>
      </c>
      <c r="B1094" t="inlineStr">
        <is>
          <t>Office Outing</t>
        </is>
      </c>
      <c r="C1094" t="inlineStr">
        <is>
          <t>EQUAL</t>
        </is>
      </c>
      <c r="D1094" t="inlineStr">
        <is>
          <t>IOS Owner</t>
        </is>
      </c>
      <c r="E1094" s="16" t="n">
        <v>0</v>
      </c>
      <c r="F1094" s="16" t="n">
        <v>4159.09</v>
      </c>
      <c r="G1094" s="17" t="n"/>
      <c r="H1094" s="16" t="n">
        <v>-4159.09</v>
      </c>
      <c r="I1094" s="16" t="n">
        <v>0</v>
      </c>
    </row>
    <row r="1095">
      <c r="A1095" t="inlineStr">
        <is>
          <t>MTR-IOS-1094</t>
        </is>
      </c>
      <c r="B1095" t="inlineStr">
        <is>
          <t>Office Outing</t>
        </is>
      </c>
      <c r="C1095" t="inlineStr">
        <is>
          <t>EQUAL</t>
        </is>
      </c>
      <c r="D1095" t="inlineStr">
        <is>
          <t>IOS Aarav</t>
        </is>
      </c>
      <c r="E1095" s="16" t="n">
        <v>12477.28</v>
      </c>
      <c r="F1095" s="16" t="n">
        <v>4159.09</v>
      </c>
      <c r="G1095" s="17" t="n"/>
      <c r="H1095" s="16" t="n">
        <v>8318.190000000001</v>
      </c>
      <c r="I1095" s="16" t="n">
        <v>0</v>
      </c>
    </row>
    <row r="1096">
      <c r="A1096" t="inlineStr">
        <is>
          <t>MTR-IOS-1094</t>
        </is>
      </c>
      <c r="B1096" t="inlineStr">
        <is>
          <t>Office Outing</t>
        </is>
      </c>
      <c r="C1096" t="inlineStr">
        <is>
          <t>EQUAL</t>
        </is>
      </c>
      <c r="D1096" t="inlineStr">
        <is>
          <t>IOS Meera</t>
        </is>
      </c>
      <c r="E1096" s="16" t="n">
        <v>0</v>
      </c>
      <c r="F1096" s="16" t="n">
        <v>4159.1</v>
      </c>
      <c r="G1096" s="17" t="n"/>
      <c r="H1096" s="16" t="n">
        <v>-4159.1</v>
      </c>
      <c r="I1096" s="16" t="n">
        <v>0</v>
      </c>
    </row>
    <row r="1097">
      <c r="A1097" t="inlineStr">
        <is>
          <t>MTR-IOS-1097</t>
        </is>
      </c>
      <c r="B1097" t="inlineStr">
        <is>
          <t>Office Outing</t>
        </is>
      </c>
      <c r="C1097" t="inlineStr">
        <is>
          <t>PERCENTAGE</t>
        </is>
      </c>
      <c r="D1097" t="inlineStr">
        <is>
          <t>IOS Owner</t>
        </is>
      </c>
      <c r="E1097" s="16" t="n">
        <v>0</v>
      </c>
      <c r="F1097" s="16" t="n">
        <v>6763.38</v>
      </c>
      <c r="G1097" s="17" t="n">
        <v>50</v>
      </c>
      <c r="H1097" s="16" t="n">
        <v>-6763.38</v>
      </c>
      <c r="I1097" s="16" t="n">
        <v>0</v>
      </c>
    </row>
    <row r="1098">
      <c r="A1098" t="inlineStr">
        <is>
          <t>MTR-IOS-1097</t>
        </is>
      </c>
      <c r="B1098" t="inlineStr">
        <is>
          <t>Office Outing</t>
        </is>
      </c>
      <c r="C1098" t="inlineStr">
        <is>
          <t>PERCENTAGE</t>
        </is>
      </c>
      <c r="D1098" t="inlineStr">
        <is>
          <t>IOS Aarav</t>
        </is>
      </c>
      <c r="E1098" s="16" t="n">
        <v>0</v>
      </c>
      <c r="F1098" s="16" t="n">
        <v>4058.03</v>
      </c>
      <c r="G1098" s="17" t="n">
        <v>30</v>
      </c>
      <c r="H1098" s="16" t="n">
        <v>-4058.03</v>
      </c>
      <c r="I1098" s="16" t="n">
        <v>0</v>
      </c>
    </row>
    <row r="1099">
      <c r="A1099" t="inlineStr">
        <is>
          <t>MTR-IOS-1097</t>
        </is>
      </c>
      <c r="B1099" t="inlineStr">
        <is>
          <t>Office Outing</t>
        </is>
      </c>
      <c r="C1099" t="inlineStr">
        <is>
          <t>PERCENTAGE</t>
        </is>
      </c>
      <c r="D1099" t="inlineStr">
        <is>
          <t>IOS Meera</t>
        </is>
      </c>
      <c r="E1099" s="16" t="n">
        <v>13526.76</v>
      </c>
      <c r="F1099" s="16" t="n">
        <v>2705.35</v>
      </c>
      <c r="G1099" s="17" t="n">
        <v>20</v>
      </c>
      <c r="H1099" s="16" t="n">
        <v>10821.41</v>
      </c>
      <c r="I1099" s="16" t="n">
        <v>0</v>
      </c>
    </row>
    <row r="1100">
      <c r="A1100" t="inlineStr">
        <is>
          <t>MTR-IOS-1100</t>
        </is>
      </c>
      <c r="B1100" t="inlineStr">
        <is>
          <t>Office Outing</t>
        </is>
      </c>
      <c r="C1100" t="inlineStr">
        <is>
          <t>EXACT</t>
        </is>
      </c>
      <c r="D1100" t="inlineStr">
        <is>
          <t>IOS Owner</t>
        </is>
      </c>
      <c r="E1100" s="16" t="n">
        <v>17701.06</v>
      </c>
      <c r="F1100" s="16" t="n">
        <v>5894.45</v>
      </c>
      <c r="G1100" s="17" t="n"/>
      <c r="H1100" s="16" t="n">
        <v>11806.61</v>
      </c>
      <c r="I1100" s="16" t="n">
        <v>0</v>
      </c>
    </row>
    <row r="1101">
      <c r="A1101" t="inlineStr">
        <is>
          <t>MTR-IOS-1100</t>
        </is>
      </c>
      <c r="B1101" t="inlineStr">
        <is>
          <t>Office Outing</t>
        </is>
      </c>
      <c r="C1101" t="inlineStr">
        <is>
          <t>EXACT</t>
        </is>
      </c>
      <c r="D1101" t="inlineStr">
        <is>
          <t>IOS Aarav</t>
        </is>
      </c>
      <c r="E1101" s="16" t="n">
        <v>0</v>
      </c>
      <c r="F1101" s="16" t="n">
        <v>5894.45</v>
      </c>
      <c r="G1101" s="17" t="n"/>
      <c r="H1101" s="16" t="n">
        <v>-5894.45</v>
      </c>
      <c r="I1101" s="16" t="n">
        <v>0</v>
      </c>
    </row>
    <row r="1102">
      <c r="A1102" t="inlineStr">
        <is>
          <t>MTR-IOS-1100</t>
        </is>
      </c>
      <c r="B1102" t="inlineStr">
        <is>
          <t>Office Outing</t>
        </is>
      </c>
      <c r="C1102" t="inlineStr">
        <is>
          <t>EXACT</t>
        </is>
      </c>
      <c r="D1102" t="inlineStr">
        <is>
          <t>IOS Meera</t>
        </is>
      </c>
      <c r="E1102" s="16" t="n">
        <v>0</v>
      </c>
      <c r="F1102" s="16" t="n">
        <v>5912.16</v>
      </c>
      <c r="G1102" s="17" t="n"/>
      <c r="H1102" s="16" t="n">
        <v>-5912.16</v>
      </c>
      <c r="I1102" s="16" t="n">
        <v>0</v>
      </c>
    </row>
    <row r="1103">
      <c r="A1103" t="inlineStr">
        <is>
          <t>MTR-IOS-1103</t>
        </is>
      </c>
      <c r="B1103" t="inlineStr">
        <is>
          <t>House Party</t>
        </is>
      </c>
      <c r="C1103" t="inlineStr">
        <is>
          <t>SHARES</t>
        </is>
      </c>
      <c r="D1103" t="inlineStr">
        <is>
          <t>IOS Owner</t>
        </is>
      </c>
      <c r="E1103" s="16" t="n">
        <v>0</v>
      </c>
      <c r="F1103" s="16" t="n">
        <v>4726.67</v>
      </c>
      <c r="G1103" s="17" t="n"/>
      <c r="H1103" s="16" t="n">
        <v>-4726.67</v>
      </c>
      <c r="I1103" s="16" t="n">
        <v>0</v>
      </c>
    </row>
    <row r="1104">
      <c r="A1104" t="inlineStr">
        <is>
          <t>MTR-IOS-1103</t>
        </is>
      </c>
      <c r="B1104" t="inlineStr">
        <is>
          <t>House Party</t>
        </is>
      </c>
      <c r="C1104" t="inlineStr">
        <is>
          <t>SHARES</t>
        </is>
      </c>
      <c r="D1104" t="inlineStr">
        <is>
          <t>IOS Aarav</t>
        </is>
      </c>
      <c r="E1104" s="16" t="n">
        <v>9453.34</v>
      </c>
      <c r="F1104" s="16" t="n">
        <v>3151.11</v>
      </c>
      <c r="G1104" s="17" t="n"/>
      <c r="H1104" s="16" t="n">
        <v>6302.23</v>
      </c>
      <c r="I1104" s="16" t="n">
        <v>0</v>
      </c>
    </row>
    <row r="1105">
      <c r="A1105" t="inlineStr">
        <is>
          <t>MTR-IOS-1103</t>
        </is>
      </c>
      <c r="B1105" t="inlineStr">
        <is>
          <t>House Party</t>
        </is>
      </c>
      <c r="C1105" t="inlineStr">
        <is>
          <t>SHARES</t>
        </is>
      </c>
      <c r="D1105" t="inlineStr">
        <is>
          <t>IOS Meera</t>
        </is>
      </c>
      <c r="E1105" s="16" t="n">
        <v>0</v>
      </c>
      <c r="F1105" s="16" t="n">
        <v>1575.56</v>
      </c>
      <c r="G1105" s="17" t="n"/>
      <c r="H1105" s="16" t="n">
        <v>-1575.56</v>
      </c>
      <c r="I1105" s="16" t="n">
        <v>0</v>
      </c>
    </row>
    <row r="1106">
      <c r="A1106" t="inlineStr">
        <is>
          <t>MTR-IOS-1106</t>
        </is>
      </c>
      <c r="B1106" t="inlineStr">
        <is>
          <t>House Party</t>
        </is>
      </c>
      <c r="C1106" t="inlineStr">
        <is>
          <t>EQUAL</t>
        </is>
      </c>
      <c r="D1106" t="inlineStr">
        <is>
          <t>IOS Owner</t>
        </is>
      </c>
      <c r="E1106" s="16" t="n">
        <v>0</v>
      </c>
      <c r="F1106" s="16" t="n">
        <v>2481.04</v>
      </c>
      <c r="G1106" s="17" t="n"/>
      <c r="H1106" s="16" t="n">
        <v>-2481.04</v>
      </c>
      <c r="I1106" s="16" t="n">
        <v>0</v>
      </c>
    </row>
    <row r="1107">
      <c r="A1107" t="inlineStr">
        <is>
          <t>MTR-IOS-1106</t>
        </is>
      </c>
      <c r="B1107" t="inlineStr">
        <is>
          <t>House Party</t>
        </is>
      </c>
      <c r="C1107" t="inlineStr">
        <is>
          <t>EQUAL</t>
        </is>
      </c>
      <c r="D1107" t="inlineStr">
        <is>
          <t>IOS Aarav</t>
        </is>
      </c>
      <c r="E1107" s="16" t="n">
        <v>0</v>
      </c>
      <c r="F1107" s="16" t="n">
        <v>2481.04</v>
      </c>
      <c r="G1107" s="17" t="n"/>
      <c r="H1107" s="16" t="n">
        <v>-2481.04</v>
      </c>
      <c r="I1107" s="16" t="n">
        <v>0</v>
      </c>
    </row>
    <row r="1108">
      <c r="A1108" t="inlineStr">
        <is>
          <t>MTR-IOS-1106</t>
        </is>
      </c>
      <c r="B1108" t="inlineStr">
        <is>
          <t>House Party</t>
        </is>
      </c>
      <c r="C1108" t="inlineStr">
        <is>
          <t>EQUAL</t>
        </is>
      </c>
      <c r="D1108" t="inlineStr">
        <is>
          <t>IOS Meera</t>
        </is>
      </c>
      <c r="E1108" s="16" t="n">
        <v>7443.12</v>
      </c>
      <c r="F1108" s="16" t="n">
        <v>2481.04</v>
      </c>
      <c r="G1108" s="17" t="n"/>
      <c r="H1108" s="16" t="n">
        <v>4962.08</v>
      </c>
      <c r="I1108" s="16" t="n">
        <v>0</v>
      </c>
    </row>
    <row r="1109">
      <c r="A1109" t="inlineStr">
        <is>
          <t>MTR-IOS-1109</t>
        </is>
      </c>
      <c r="B1109" t="inlineStr">
        <is>
          <t>House Party</t>
        </is>
      </c>
      <c r="C1109" t="inlineStr">
        <is>
          <t>PERCENTAGE</t>
        </is>
      </c>
      <c r="D1109" t="inlineStr">
        <is>
          <t>IOS Owner</t>
        </is>
      </c>
      <c r="E1109" s="16" t="n">
        <v>8165.38</v>
      </c>
      <c r="F1109" s="16" t="n">
        <v>4082.69</v>
      </c>
      <c r="G1109" s="17" t="n">
        <v>50</v>
      </c>
      <c r="H1109" s="16" t="n">
        <v>4082.69</v>
      </c>
      <c r="I1109" s="16" t="n">
        <v>0</v>
      </c>
    </row>
    <row r="1110">
      <c r="A1110" t="inlineStr">
        <is>
          <t>MTR-IOS-1109</t>
        </is>
      </c>
      <c r="B1110" t="inlineStr">
        <is>
          <t>House Party</t>
        </is>
      </c>
      <c r="C1110" t="inlineStr">
        <is>
          <t>PERCENTAGE</t>
        </is>
      </c>
      <c r="D1110" t="inlineStr">
        <is>
          <t>IOS Aarav</t>
        </is>
      </c>
      <c r="E1110" s="16" t="n">
        <v>0</v>
      </c>
      <c r="F1110" s="16" t="n">
        <v>2449.61</v>
      </c>
      <c r="G1110" s="17" t="n">
        <v>30</v>
      </c>
      <c r="H1110" s="16" t="n">
        <v>-2449.61</v>
      </c>
      <c r="I1110" s="16" t="n">
        <v>0</v>
      </c>
    </row>
    <row r="1111">
      <c r="A1111" t="inlineStr">
        <is>
          <t>MTR-IOS-1109</t>
        </is>
      </c>
      <c r="B1111" t="inlineStr">
        <is>
          <t>House Party</t>
        </is>
      </c>
      <c r="C1111" t="inlineStr">
        <is>
          <t>PERCENTAGE</t>
        </is>
      </c>
      <c r="D1111" t="inlineStr">
        <is>
          <t>IOS Meera</t>
        </is>
      </c>
      <c r="E1111" s="16" t="n">
        <v>0</v>
      </c>
      <c r="F1111" s="16" t="n">
        <v>1633.08</v>
      </c>
      <c r="G1111" s="17" t="n">
        <v>20</v>
      </c>
      <c r="H1111" s="16" t="n">
        <v>-1633.08</v>
      </c>
      <c r="I1111" s="16" t="n">
        <v>0</v>
      </c>
    </row>
    <row r="1112">
      <c r="A1112" t="inlineStr">
        <is>
          <t>MTR-IOS-1112</t>
        </is>
      </c>
      <c r="B1112" t="inlineStr">
        <is>
          <t>House Party</t>
        </is>
      </c>
      <c r="C1112" t="inlineStr">
        <is>
          <t>EXACT</t>
        </is>
      </c>
      <c r="D1112" t="inlineStr">
        <is>
          <t>IOS Owner</t>
        </is>
      </c>
      <c r="E1112" s="16" t="n">
        <v>0</v>
      </c>
      <c r="F1112" s="16" t="n">
        <v>2775.11</v>
      </c>
      <c r="G1112" s="17" t="n"/>
      <c r="H1112" s="16" t="n">
        <v>-2775.11</v>
      </c>
      <c r="I1112" s="16" t="n">
        <v>0</v>
      </c>
    </row>
    <row r="1113">
      <c r="A1113" t="inlineStr">
        <is>
          <t>MTR-IOS-1112</t>
        </is>
      </c>
      <c r="B1113" t="inlineStr">
        <is>
          <t>House Party</t>
        </is>
      </c>
      <c r="C1113" t="inlineStr">
        <is>
          <t>EXACT</t>
        </is>
      </c>
      <c r="D1113" t="inlineStr">
        <is>
          <t>IOS Aarav</t>
        </is>
      </c>
      <c r="E1113" s="16" t="n">
        <v>8333.66</v>
      </c>
      <c r="F1113" s="16" t="n">
        <v>2775.11</v>
      </c>
      <c r="G1113" s="17" t="n"/>
      <c r="H1113" s="16" t="n">
        <v>5558.55</v>
      </c>
      <c r="I1113" s="16" t="n">
        <v>0</v>
      </c>
    </row>
    <row r="1114">
      <c r="A1114" t="inlineStr">
        <is>
          <t>MTR-IOS-1112</t>
        </is>
      </c>
      <c r="B1114" t="inlineStr">
        <is>
          <t>House Party</t>
        </is>
      </c>
      <c r="C1114" t="inlineStr">
        <is>
          <t>EXACT</t>
        </is>
      </c>
      <c r="D1114" t="inlineStr">
        <is>
          <t>IOS Meera</t>
        </is>
      </c>
      <c r="E1114" s="16" t="n">
        <v>0</v>
      </c>
      <c r="F1114" s="16" t="n">
        <v>2783.44</v>
      </c>
      <c r="G1114" s="17" t="n"/>
      <c r="H1114" s="16" t="n">
        <v>-2783.44</v>
      </c>
      <c r="I1114" s="16" t="n">
        <v>0</v>
      </c>
    </row>
    <row r="1115">
      <c r="A1115" t="inlineStr">
        <is>
          <t>MTR-IOS-1115</t>
        </is>
      </c>
      <c r="B1115" t="inlineStr">
        <is>
          <t>House Party</t>
        </is>
      </c>
      <c r="C1115" t="inlineStr">
        <is>
          <t>SHARES</t>
        </is>
      </c>
      <c r="D1115" t="inlineStr">
        <is>
          <t>IOS Owner</t>
        </is>
      </c>
      <c r="E1115" s="16" t="n">
        <v>0</v>
      </c>
      <c r="F1115" s="16" t="n">
        <v>11361.46</v>
      </c>
      <c r="G1115" s="17" t="n"/>
      <c r="H1115" s="16" t="n">
        <v>-11361.46</v>
      </c>
      <c r="I1115" s="16" t="n">
        <v>0</v>
      </c>
    </row>
    <row r="1116">
      <c r="A1116" t="inlineStr">
        <is>
          <t>MTR-IOS-1115</t>
        </is>
      </c>
      <c r="B1116" t="inlineStr">
        <is>
          <t>House Party</t>
        </is>
      </c>
      <c r="C1116" t="inlineStr">
        <is>
          <t>SHARES</t>
        </is>
      </c>
      <c r="D1116" t="inlineStr">
        <is>
          <t>IOS Aarav</t>
        </is>
      </c>
      <c r="E1116" s="16" t="n">
        <v>0</v>
      </c>
      <c r="F1116" s="16" t="n">
        <v>7574.31</v>
      </c>
      <c r="G1116" s="17" t="n"/>
      <c r="H1116" s="16" t="n">
        <v>-7574.31</v>
      </c>
      <c r="I1116" s="16" t="n">
        <v>0</v>
      </c>
    </row>
    <row r="1117">
      <c r="A1117" t="inlineStr">
        <is>
          <t>MTR-IOS-1115</t>
        </is>
      </c>
      <c r="B1117" t="inlineStr">
        <is>
          <t>House Party</t>
        </is>
      </c>
      <c r="C1117" t="inlineStr">
        <is>
          <t>SHARES</t>
        </is>
      </c>
      <c r="D1117" t="inlineStr">
        <is>
          <t>IOS Meera</t>
        </is>
      </c>
      <c r="E1117" s="16" t="n">
        <v>22722.92</v>
      </c>
      <c r="F1117" s="16" t="n">
        <v>3787.15</v>
      </c>
      <c r="G1117" s="17" t="n"/>
      <c r="H1117" s="16" t="n">
        <v>18935.77</v>
      </c>
      <c r="I1117" s="16" t="n">
        <v>0</v>
      </c>
    </row>
    <row r="1118">
      <c r="A1118" t="inlineStr">
        <is>
          <t>MTR-IOS-1118</t>
        </is>
      </c>
      <c r="B1118" t="inlineStr">
        <is>
          <t>Gift Pool</t>
        </is>
      </c>
      <c r="C1118" t="inlineStr">
        <is>
          <t>EQUAL</t>
        </is>
      </c>
      <c r="D1118" t="inlineStr">
        <is>
          <t>IOS Owner</t>
        </is>
      </c>
      <c r="E1118" s="16" t="n">
        <v>14698.93</v>
      </c>
      <c r="F1118" s="16" t="n">
        <v>4899.64</v>
      </c>
      <c r="G1118" s="17" t="n"/>
      <c r="H1118" s="16" t="n">
        <v>9799.290000000001</v>
      </c>
      <c r="I1118" s="16" t="n">
        <v>0</v>
      </c>
    </row>
    <row r="1119">
      <c r="A1119" t="inlineStr">
        <is>
          <t>MTR-IOS-1118</t>
        </is>
      </c>
      <c r="B1119" t="inlineStr">
        <is>
          <t>Gift Pool</t>
        </is>
      </c>
      <c r="C1119" t="inlineStr">
        <is>
          <t>EQUAL</t>
        </is>
      </c>
      <c r="D1119" t="inlineStr">
        <is>
          <t>IOS Aarav</t>
        </is>
      </c>
      <c r="E1119" s="16" t="n">
        <v>0</v>
      </c>
      <c r="F1119" s="16" t="n">
        <v>4899.64</v>
      </c>
      <c r="G1119" s="17" t="n"/>
      <c r="H1119" s="16" t="n">
        <v>-4899.64</v>
      </c>
      <c r="I1119" s="16" t="n">
        <v>0</v>
      </c>
    </row>
    <row r="1120">
      <c r="A1120" t="inlineStr">
        <is>
          <t>MTR-IOS-1118</t>
        </is>
      </c>
      <c r="B1120" t="inlineStr">
        <is>
          <t>Gift Pool</t>
        </is>
      </c>
      <c r="C1120" t="inlineStr">
        <is>
          <t>EQUAL</t>
        </is>
      </c>
      <c r="D1120" t="inlineStr">
        <is>
          <t>IOS Meera</t>
        </is>
      </c>
      <c r="E1120" s="16" t="n">
        <v>0</v>
      </c>
      <c r="F1120" s="16" t="n">
        <v>4899.65</v>
      </c>
      <c r="G1120" s="17" t="n"/>
      <c r="H1120" s="16" t="n">
        <v>-4899.65</v>
      </c>
      <c r="I1120" s="16" t="n">
        <v>0</v>
      </c>
    </row>
    <row r="1121">
      <c r="A1121" t="inlineStr">
        <is>
          <t>MTR-IOS-1121</t>
        </is>
      </c>
      <c r="B1121" t="inlineStr">
        <is>
          <t>Gift Pool</t>
        </is>
      </c>
      <c r="C1121" t="inlineStr">
        <is>
          <t>PERCENTAGE</t>
        </is>
      </c>
      <c r="D1121" t="inlineStr">
        <is>
          <t>IOS Owner</t>
        </is>
      </c>
      <c r="E1121" s="16" t="n">
        <v>0</v>
      </c>
      <c r="F1121" s="16" t="n">
        <v>1341.56</v>
      </c>
      <c r="G1121" s="17" t="n">
        <v>50</v>
      </c>
      <c r="H1121" s="16" t="n">
        <v>-1341.56</v>
      </c>
      <c r="I1121" s="16" t="n">
        <v>0</v>
      </c>
    </row>
    <row r="1122">
      <c r="A1122" t="inlineStr">
        <is>
          <t>MTR-IOS-1121</t>
        </is>
      </c>
      <c r="B1122" t="inlineStr">
        <is>
          <t>Gift Pool</t>
        </is>
      </c>
      <c r="C1122" t="inlineStr">
        <is>
          <t>PERCENTAGE</t>
        </is>
      </c>
      <c r="D1122" t="inlineStr">
        <is>
          <t>IOS Aarav</t>
        </is>
      </c>
      <c r="E1122" s="16" t="n">
        <v>2683.11</v>
      </c>
      <c r="F1122" s="16" t="n">
        <v>804.9299999999999</v>
      </c>
      <c r="G1122" s="17" t="n">
        <v>30</v>
      </c>
      <c r="H1122" s="16" t="n">
        <v>1878.18</v>
      </c>
      <c r="I1122" s="16" t="n">
        <v>0</v>
      </c>
    </row>
    <row r="1123">
      <c r="A1123" t="inlineStr">
        <is>
          <t>MTR-IOS-1121</t>
        </is>
      </c>
      <c r="B1123" t="inlineStr">
        <is>
          <t>Gift Pool</t>
        </is>
      </c>
      <c r="C1123" t="inlineStr">
        <is>
          <t>PERCENTAGE</t>
        </is>
      </c>
      <c r="D1123" t="inlineStr">
        <is>
          <t>IOS Meera</t>
        </is>
      </c>
      <c r="E1123" s="16" t="n">
        <v>0</v>
      </c>
      <c r="F1123" s="16" t="n">
        <v>536.62</v>
      </c>
      <c r="G1123" s="17" t="n">
        <v>20</v>
      </c>
      <c r="H1123" s="16" t="n">
        <v>-536.62</v>
      </c>
      <c r="I1123" s="16" t="n">
        <v>0</v>
      </c>
    </row>
    <row r="1124">
      <c r="A1124" t="inlineStr">
        <is>
          <t>MTR-IOS-1124</t>
        </is>
      </c>
      <c r="B1124" t="inlineStr">
        <is>
          <t>Gift Pool</t>
        </is>
      </c>
      <c r="C1124" t="inlineStr">
        <is>
          <t>EXACT</t>
        </is>
      </c>
      <c r="D1124" t="inlineStr">
        <is>
          <t>IOS Owner</t>
        </is>
      </c>
      <c r="E1124" s="16" t="n">
        <v>0</v>
      </c>
      <c r="F1124" s="16" t="n">
        <v>3433.76</v>
      </c>
      <c r="G1124" s="17" t="n"/>
      <c r="H1124" s="16" t="n">
        <v>-3433.76</v>
      </c>
      <c r="I1124" s="16" t="n">
        <v>0</v>
      </c>
    </row>
    <row r="1125">
      <c r="A1125" t="inlineStr">
        <is>
          <t>MTR-IOS-1124</t>
        </is>
      </c>
      <c r="B1125" t="inlineStr">
        <is>
          <t>Gift Pool</t>
        </is>
      </c>
      <c r="C1125" t="inlineStr">
        <is>
          <t>EXACT</t>
        </is>
      </c>
      <c r="D1125" t="inlineStr">
        <is>
          <t>IOS Aarav</t>
        </is>
      </c>
      <c r="E1125" s="16" t="n">
        <v>0</v>
      </c>
      <c r="F1125" s="16" t="n">
        <v>3433.76</v>
      </c>
      <c r="G1125" s="17" t="n"/>
      <c r="H1125" s="16" t="n">
        <v>-3433.76</v>
      </c>
      <c r="I1125" s="16" t="n">
        <v>0</v>
      </c>
    </row>
    <row r="1126">
      <c r="A1126" t="inlineStr">
        <is>
          <t>MTR-IOS-1124</t>
        </is>
      </c>
      <c r="B1126" t="inlineStr">
        <is>
          <t>Gift Pool</t>
        </is>
      </c>
      <c r="C1126" t="inlineStr">
        <is>
          <t>EXACT</t>
        </is>
      </c>
      <c r="D1126" t="inlineStr">
        <is>
          <t>IOS Meera</t>
        </is>
      </c>
      <c r="E1126" s="16" t="n">
        <v>10311.59</v>
      </c>
      <c r="F1126" s="16" t="n">
        <v>3444.07</v>
      </c>
      <c r="G1126" s="17" t="n"/>
      <c r="H1126" s="16" t="n">
        <v>6867.52</v>
      </c>
      <c r="I1126" s="16" t="n">
        <v>0</v>
      </c>
    </row>
    <row r="1127">
      <c r="A1127" t="inlineStr">
        <is>
          <t>MTR-IOS-1127</t>
        </is>
      </c>
      <c r="B1127" t="inlineStr">
        <is>
          <t>Gift Pool</t>
        </is>
      </c>
      <c r="C1127" t="inlineStr">
        <is>
          <t>SHARES</t>
        </is>
      </c>
      <c r="D1127" t="inlineStr">
        <is>
          <t>IOS Owner</t>
        </is>
      </c>
      <c r="E1127" s="16" t="n">
        <v>22082.09</v>
      </c>
      <c r="F1127" s="16" t="n">
        <v>11041.05</v>
      </c>
      <c r="G1127" s="17" t="n"/>
      <c r="H1127" s="16" t="n">
        <v>11041.04</v>
      </c>
      <c r="I1127" s="16" t="n">
        <v>0</v>
      </c>
    </row>
    <row r="1128">
      <c r="A1128" t="inlineStr">
        <is>
          <t>MTR-IOS-1127</t>
        </is>
      </c>
      <c r="B1128" t="inlineStr">
        <is>
          <t>Gift Pool</t>
        </is>
      </c>
      <c r="C1128" t="inlineStr">
        <is>
          <t>SHARES</t>
        </is>
      </c>
      <c r="D1128" t="inlineStr">
        <is>
          <t>IOS Aarav</t>
        </is>
      </c>
      <c r="E1128" s="16" t="n">
        <v>0</v>
      </c>
      <c r="F1128" s="16" t="n">
        <v>7360.7</v>
      </c>
      <c r="G1128" s="17" t="n"/>
      <c r="H1128" s="16" t="n">
        <v>-7360.7</v>
      </c>
      <c r="I1128" s="16" t="n">
        <v>0</v>
      </c>
    </row>
    <row r="1129">
      <c r="A1129" t="inlineStr">
        <is>
          <t>MTR-IOS-1127</t>
        </is>
      </c>
      <c r="B1129" t="inlineStr">
        <is>
          <t>Gift Pool</t>
        </is>
      </c>
      <c r="C1129" t="inlineStr">
        <is>
          <t>SHARES</t>
        </is>
      </c>
      <c r="D1129" t="inlineStr">
        <is>
          <t>IOS Meera</t>
        </is>
      </c>
      <c r="E1129" s="16" t="n">
        <v>0</v>
      </c>
      <c r="F1129" s="16" t="n">
        <v>3680.34</v>
      </c>
      <c r="G1129" s="17" t="n"/>
      <c r="H1129" s="16" t="n">
        <v>-3680.34</v>
      </c>
      <c r="I1129" s="16" t="n">
        <v>0</v>
      </c>
    </row>
    <row r="1130">
      <c r="A1130" t="inlineStr">
        <is>
          <t>MTR-IOS-1130</t>
        </is>
      </c>
      <c r="B1130" t="inlineStr">
        <is>
          <t>Purchase</t>
        </is>
      </c>
      <c r="C1130" t="inlineStr">
        <is>
          <t>EQUAL</t>
        </is>
      </c>
      <c r="D1130" t="inlineStr">
        <is>
          <t>IOS Owner</t>
        </is>
      </c>
      <c r="E1130" s="16" t="n">
        <v>0</v>
      </c>
      <c r="F1130" s="16" t="n">
        <v>2627.49</v>
      </c>
      <c r="G1130" s="17" t="n"/>
      <c r="H1130" s="16" t="n">
        <v>-2627.49</v>
      </c>
      <c r="I1130" s="16" t="n">
        <v>0</v>
      </c>
    </row>
    <row r="1131">
      <c r="A1131" t="inlineStr">
        <is>
          <t>MTR-IOS-1130</t>
        </is>
      </c>
      <c r="B1131" t="inlineStr">
        <is>
          <t>Purchase</t>
        </is>
      </c>
      <c r="C1131" t="inlineStr">
        <is>
          <t>EQUAL</t>
        </is>
      </c>
      <c r="D1131" t="inlineStr">
        <is>
          <t>IOS Aarav</t>
        </is>
      </c>
      <c r="E1131" s="16" t="n">
        <v>7882.48</v>
      </c>
      <c r="F1131" s="16" t="n">
        <v>2627.49</v>
      </c>
      <c r="G1131" s="17" t="n"/>
      <c r="H1131" s="16" t="n">
        <v>5254.99</v>
      </c>
      <c r="I1131" s="16" t="n">
        <v>0</v>
      </c>
    </row>
    <row r="1132">
      <c r="A1132" t="inlineStr">
        <is>
          <t>MTR-IOS-1130</t>
        </is>
      </c>
      <c r="B1132" t="inlineStr">
        <is>
          <t>Purchase</t>
        </is>
      </c>
      <c r="C1132" t="inlineStr">
        <is>
          <t>EQUAL</t>
        </is>
      </c>
      <c r="D1132" t="inlineStr">
        <is>
          <t>IOS Meera</t>
        </is>
      </c>
      <c r="E1132" s="16" t="n">
        <v>0</v>
      </c>
      <c r="F1132" s="16" t="n">
        <v>2627.5</v>
      </c>
      <c r="G1132" s="17" t="n"/>
      <c r="H1132" s="16" t="n">
        <v>-2627.5</v>
      </c>
      <c r="I1132" s="16" t="n">
        <v>0</v>
      </c>
    </row>
    <row r="1133">
      <c r="A1133" t="inlineStr">
        <is>
          <t>MTR-IOS-1133</t>
        </is>
      </c>
      <c r="B1133" t="inlineStr">
        <is>
          <t>Purchase</t>
        </is>
      </c>
      <c r="C1133" t="inlineStr">
        <is>
          <t>PERCENTAGE</t>
        </is>
      </c>
      <c r="D1133" t="inlineStr">
        <is>
          <t>IOS Owner</t>
        </is>
      </c>
      <c r="E1133" s="16" t="n">
        <v>0</v>
      </c>
      <c r="F1133" s="16" t="n">
        <v>10317.25</v>
      </c>
      <c r="G1133" s="17" t="n">
        <v>50</v>
      </c>
      <c r="H1133" s="16" t="n">
        <v>-10317.25</v>
      </c>
      <c r="I1133" s="16" t="n">
        <v>0</v>
      </c>
    </row>
    <row r="1134">
      <c r="A1134" t="inlineStr">
        <is>
          <t>MTR-IOS-1133</t>
        </is>
      </c>
      <c r="B1134" t="inlineStr">
        <is>
          <t>Purchase</t>
        </is>
      </c>
      <c r="C1134" t="inlineStr">
        <is>
          <t>PERCENTAGE</t>
        </is>
      </c>
      <c r="D1134" t="inlineStr">
        <is>
          <t>IOS Aarav</t>
        </is>
      </c>
      <c r="E1134" s="16" t="n">
        <v>0</v>
      </c>
      <c r="F1134" s="16" t="n">
        <v>6190.35</v>
      </c>
      <c r="G1134" s="17" t="n">
        <v>30</v>
      </c>
      <c r="H1134" s="16" t="n">
        <v>-6190.35</v>
      </c>
      <c r="I1134" s="16" t="n">
        <v>0</v>
      </c>
    </row>
    <row r="1135">
      <c r="A1135" t="inlineStr">
        <is>
          <t>MTR-IOS-1133</t>
        </is>
      </c>
      <c r="B1135" t="inlineStr">
        <is>
          <t>Purchase</t>
        </is>
      </c>
      <c r="C1135" t="inlineStr">
        <is>
          <t>PERCENTAGE</t>
        </is>
      </c>
      <c r="D1135" t="inlineStr">
        <is>
          <t>IOS Meera</t>
        </is>
      </c>
      <c r="E1135" s="16" t="n">
        <v>20634.49</v>
      </c>
      <c r="F1135" s="16" t="n">
        <v>4126.89</v>
      </c>
      <c r="G1135" s="17" t="n">
        <v>20</v>
      </c>
      <c r="H1135" s="16" t="n">
        <v>16507.6</v>
      </c>
      <c r="I1135" s="16" t="n">
        <v>0</v>
      </c>
    </row>
    <row r="1136">
      <c r="A1136" t="inlineStr">
        <is>
          <t>MTR-IOS-1136</t>
        </is>
      </c>
      <c r="B1136" t="inlineStr">
        <is>
          <t>Purchase</t>
        </is>
      </c>
      <c r="C1136" t="inlineStr">
        <is>
          <t>EXACT</t>
        </is>
      </c>
      <c r="D1136" t="inlineStr">
        <is>
          <t>IOS Owner</t>
        </is>
      </c>
      <c r="E1136" s="16" t="n">
        <v>12854.28</v>
      </c>
      <c r="F1136" s="16" t="n">
        <v>4280.48</v>
      </c>
      <c r="G1136" s="17" t="n"/>
      <c r="H1136" s="16" t="n">
        <v>8573.799999999999</v>
      </c>
      <c r="I1136" s="16" t="n">
        <v>0</v>
      </c>
    </row>
    <row r="1137">
      <c r="A1137" t="inlineStr">
        <is>
          <t>MTR-IOS-1136</t>
        </is>
      </c>
      <c r="B1137" t="inlineStr">
        <is>
          <t>Purchase</t>
        </is>
      </c>
      <c r="C1137" t="inlineStr">
        <is>
          <t>EXACT</t>
        </is>
      </c>
      <c r="D1137" t="inlineStr">
        <is>
          <t>IOS Aarav</t>
        </is>
      </c>
      <c r="E1137" s="16" t="n">
        <v>0</v>
      </c>
      <c r="F1137" s="16" t="n">
        <v>4280.48</v>
      </c>
      <c r="G1137" s="17" t="n"/>
      <c r="H1137" s="16" t="n">
        <v>-4280.48</v>
      </c>
      <c r="I1137" s="16" t="n">
        <v>0</v>
      </c>
    </row>
    <row r="1138">
      <c r="A1138" t="inlineStr">
        <is>
          <t>MTR-IOS-1136</t>
        </is>
      </c>
      <c r="B1138" t="inlineStr">
        <is>
          <t>Purchase</t>
        </is>
      </c>
      <c r="C1138" t="inlineStr">
        <is>
          <t>EXACT</t>
        </is>
      </c>
      <c r="D1138" t="inlineStr">
        <is>
          <t>IOS Meera</t>
        </is>
      </c>
      <c r="E1138" s="16" t="n">
        <v>0</v>
      </c>
      <c r="F1138" s="16" t="n">
        <v>4293.32</v>
      </c>
      <c r="G1138" s="17" t="n"/>
      <c r="H1138" s="16" t="n">
        <v>-4293.32</v>
      </c>
      <c r="I1138" s="16" t="n">
        <v>0</v>
      </c>
    </row>
    <row r="1139">
      <c r="A1139" t="inlineStr">
        <is>
          <t>MTR-IOS-1139</t>
        </is>
      </c>
      <c r="B1139" t="inlineStr">
        <is>
          <t>Purchase</t>
        </is>
      </c>
      <c r="C1139" t="inlineStr">
        <is>
          <t>SHARES</t>
        </is>
      </c>
      <c r="D1139" t="inlineStr">
        <is>
          <t>IOS Owner</t>
        </is>
      </c>
      <c r="E1139" s="16" t="n">
        <v>0</v>
      </c>
      <c r="F1139" s="16" t="n">
        <v>13018.78</v>
      </c>
      <c r="G1139" s="17" t="n"/>
      <c r="H1139" s="16" t="n">
        <v>-13018.78</v>
      </c>
      <c r="I1139" s="16" t="n">
        <v>0</v>
      </c>
    </row>
    <row r="1140">
      <c r="A1140" t="inlineStr">
        <is>
          <t>MTR-IOS-1139</t>
        </is>
      </c>
      <c r="B1140" t="inlineStr">
        <is>
          <t>Purchase</t>
        </is>
      </c>
      <c r="C1140" t="inlineStr">
        <is>
          <t>SHARES</t>
        </is>
      </c>
      <c r="D1140" t="inlineStr">
        <is>
          <t>IOS Aarav</t>
        </is>
      </c>
      <c r="E1140" s="16" t="n">
        <v>26037.55</v>
      </c>
      <c r="F1140" s="16" t="n">
        <v>8679.18</v>
      </c>
      <c r="G1140" s="17" t="n"/>
      <c r="H1140" s="16" t="n">
        <v>17358.37</v>
      </c>
      <c r="I1140" s="16" t="n">
        <v>0</v>
      </c>
    </row>
    <row r="1141">
      <c r="A1141" t="inlineStr">
        <is>
          <t>MTR-IOS-1139</t>
        </is>
      </c>
      <c r="B1141" t="inlineStr">
        <is>
          <t>Purchase</t>
        </is>
      </c>
      <c r="C1141" t="inlineStr">
        <is>
          <t>SHARES</t>
        </is>
      </c>
      <c r="D1141" t="inlineStr">
        <is>
          <t>IOS Meera</t>
        </is>
      </c>
      <c r="E1141" s="16" t="n">
        <v>0</v>
      </c>
      <c r="F1141" s="16" t="n">
        <v>4339.59</v>
      </c>
      <c r="G1141" s="17" t="n"/>
      <c r="H1141" s="16" t="n">
        <v>-4339.59</v>
      </c>
      <c r="I1141" s="16" t="n">
        <v>0</v>
      </c>
    </row>
    <row r="1142">
      <c r="A1142" t="inlineStr">
        <is>
          <t>MTR-IOS-1142</t>
        </is>
      </c>
      <c r="B1142" t="inlineStr">
        <is>
          <t>Assets</t>
        </is>
      </c>
      <c r="C1142" t="inlineStr">
        <is>
          <t>EQUAL</t>
        </is>
      </c>
      <c r="D1142" t="inlineStr">
        <is>
          <t>IOS Owner</t>
        </is>
      </c>
      <c r="E1142" s="16" t="n">
        <v>0</v>
      </c>
      <c r="F1142" s="16" t="n">
        <v>6007.4</v>
      </c>
      <c r="G1142" s="17" t="n"/>
      <c r="H1142" s="16" t="n">
        <v>-6007.4</v>
      </c>
      <c r="I1142" s="16" t="n">
        <v>0</v>
      </c>
    </row>
    <row r="1143">
      <c r="A1143" t="inlineStr">
        <is>
          <t>MTR-IOS-1142</t>
        </is>
      </c>
      <c r="B1143" t="inlineStr">
        <is>
          <t>Assets</t>
        </is>
      </c>
      <c r="C1143" t="inlineStr">
        <is>
          <t>EQUAL</t>
        </is>
      </c>
      <c r="D1143" t="inlineStr">
        <is>
          <t>IOS Aarav</t>
        </is>
      </c>
      <c r="E1143" s="16" t="n">
        <v>0</v>
      </c>
      <c r="F1143" s="16" t="n">
        <v>6007.4</v>
      </c>
      <c r="G1143" s="17" t="n"/>
      <c r="H1143" s="16" t="n">
        <v>-6007.4</v>
      </c>
      <c r="I1143" s="16" t="n">
        <v>0</v>
      </c>
    </row>
    <row r="1144">
      <c r="A1144" t="inlineStr">
        <is>
          <t>MTR-IOS-1142</t>
        </is>
      </c>
      <c r="B1144" t="inlineStr">
        <is>
          <t>Assets</t>
        </is>
      </c>
      <c r="C1144" t="inlineStr">
        <is>
          <t>EQUAL</t>
        </is>
      </c>
      <c r="D1144" t="inlineStr">
        <is>
          <t>IOS Meera</t>
        </is>
      </c>
      <c r="E1144" s="16" t="n">
        <v>18022.19</v>
      </c>
      <c r="F1144" s="16" t="n">
        <v>6007.39</v>
      </c>
      <c r="G1144" s="17" t="n"/>
      <c r="H1144" s="16" t="n">
        <v>12014.8</v>
      </c>
      <c r="I1144" s="16" t="n">
        <v>0</v>
      </c>
    </row>
    <row r="1145">
      <c r="A1145" t="inlineStr">
        <is>
          <t>MTR-IOS-1145</t>
        </is>
      </c>
      <c r="B1145" t="inlineStr">
        <is>
          <t>Assets</t>
        </is>
      </c>
      <c r="C1145" t="inlineStr">
        <is>
          <t>PERCENTAGE</t>
        </is>
      </c>
      <c r="D1145" t="inlineStr">
        <is>
          <t>IOS Owner</t>
        </is>
      </c>
      <c r="E1145" s="16" t="n">
        <v>22480.75</v>
      </c>
      <c r="F1145" s="16" t="n">
        <v>11240.38</v>
      </c>
      <c r="G1145" s="17" t="n">
        <v>50</v>
      </c>
      <c r="H1145" s="16" t="n">
        <v>11240.37</v>
      </c>
      <c r="I1145" s="16" t="n">
        <v>0</v>
      </c>
    </row>
    <row r="1146">
      <c r="A1146" t="inlineStr">
        <is>
          <t>MTR-IOS-1145</t>
        </is>
      </c>
      <c r="B1146" t="inlineStr">
        <is>
          <t>Assets</t>
        </is>
      </c>
      <c r="C1146" t="inlineStr">
        <is>
          <t>PERCENTAGE</t>
        </is>
      </c>
      <c r="D1146" t="inlineStr">
        <is>
          <t>IOS Aarav</t>
        </is>
      </c>
      <c r="E1146" s="16" t="n">
        <v>0</v>
      </c>
      <c r="F1146" s="16" t="n">
        <v>6744.23</v>
      </c>
      <c r="G1146" s="17" t="n">
        <v>30</v>
      </c>
      <c r="H1146" s="16" t="n">
        <v>-6744.23</v>
      </c>
      <c r="I1146" s="16" t="n">
        <v>0</v>
      </c>
    </row>
    <row r="1147">
      <c r="A1147" t="inlineStr">
        <is>
          <t>MTR-IOS-1145</t>
        </is>
      </c>
      <c r="B1147" t="inlineStr">
        <is>
          <t>Assets</t>
        </is>
      </c>
      <c r="C1147" t="inlineStr">
        <is>
          <t>PERCENTAGE</t>
        </is>
      </c>
      <c r="D1147" t="inlineStr">
        <is>
          <t>IOS Meera</t>
        </is>
      </c>
      <c r="E1147" s="16" t="n">
        <v>0</v>
      </c>
      <c r="F1147" s="16" t="n">
        <v>4496.14</v>
      </c>
      <c r="G1147" s="17" t="n">
        <v>20</v>
      </c>
      <c r="H1147" s="16" t="n">
        <v>-4496.14</v>
      </c>
      <c r="I1147" s="16" t="n">
        <v>0</v>
      </c>
    </row>
    <row r="1148">
      <c r="A1148" t="inlineStr">
        <is>
          <t>MTR-IOS-1148</t>
        </is>
      </c>
      <c r="B1148" t="inlineStr">
        <is>
          <t>Assets</t>
        </is>
      </c>
      <c r="C1148" t="inlineStr">
        <is>
          <t>EXACT</t>
        </is>
      </c>
      <c r="D1148" t="inlineStr">
        <is>
          <t>IOS Owner</t>
        </is>
      </c>
      <c r="E1148" s="16" t="n">
        <v>0</v>
      </c>
      <c r="F1148" s="16" t="n">
        <v>7442.94</v>
      </c>
      <c r="G1148" s="17" t="n"/>
      <c r="H1148" s="16" t="n">
        <v>-7442.94</v>
      </c>
      <c r="I1148" s="16" t="n">
        <v>0</v>
      </c>
    </row>
    <row r="1149">
      <c r="A1149" t="inlineStr">
        <is>
          <t>MTR-IOS-1148</t>
        </is>
      </c>
      <c r="B1149" t="inlineStr">
        <is>
          <t>Assets</t>
        </is>
      </c>
      <c r="C1149" t="inlineStr">
        <is>
          <t>EXACT</t>
        </is>
      </c>
      <c r="D1149" t="inlineStr">
        <is>
          <t>IOS Aarav</t>
        </is>
      </c>
      <c r="E1149" s="16" t="n">
        <v>22351.17</v>
      </c>
      <c r="F1149" s="16" t="n">
        <v>7442.94</v>
      </c>
      <c r="G1149" s="17" t="n"/>
      <c r="H1149" s="16" t="n">
        <v>14908.23</v>
      </c>
      <c r="I1149" s="16" t="n">
        <v>0</v>
      </c>
    </row>
    <row r="1150">
      <c r="A1150" t="inlineStr">
        <is>
          <t>MTR-IOS-1148</t>
        </is>
      </c>
      <c r="B1150" t="inlineStr">
        <is>
          <t>Assets</t>
        </is>
      </c>
      <c r="C1150" t="inlineStr">
        <is>
          <t>EXACT</t>
        </is>
      </c>
      <c r="D1150" t="inlineStr">
        <is>
          <t>IOS Meera</t>
        </is>
      </c>
      <c r="E1150" s="16" t="n">
        <v>0</v>
      </c>
      <c r="F1150" s="16" t="n">
        <v>7465.29</v>
      </c>
      <c r="G1150" s="17" t="n"/>
      <c r="H1150" s="16" t="n">
        <v>-7465.29</v>
      </c>
      <c r="I1150" s="16" t="n">
        <v>0</v>
      </c>
    </row>
    <row r="1151">
      <c r="A1151" t="inlineStr">
        <is>
          <t>MTR-IOS-1151</t>
        </is>
      </c>
      <c r="B1151" t="inlineStr">
        <is>
          <t>Assets</t>
        </is>
      </c>
      <c r="C1151" t="inlineStr">
        <is>
          <t>SHARES</t>
        </is>
      </c>
      <c r="D1151" t="inlineStr">
        <is>
          <t>IOS Owner</t>
        </is>
      </c>
      <c r="E1151" s="16" t="n">
        <v>0</v>
      </c>
      <c r="F1151" s="16" t="n">
        <v>9405.73</v>
      </c>
      <c r="G1151" s="17" t="n"/>
      <c r="H1151" s="16" t="n">
        <v>-9405.73</v>
      </c>
      <c r="I1151" s="16" t="n">
        <v>0</v>
      </c>
    </row>
    <row r="1152">
      <c r="A1152" t="inlineStr">
        <is>
          <t>MTR-IOS-1151</t>
        </is>
      </c>
      <c r="B1152" t="inlineStr">
        <is>
          <t>Assets</t>
        </is>
      </c>
      <c r="C1152" t="inlineStr">
        <is>
          <t>SHARES</t>
        </is>
      </c>
      <c r="D1152" t="inlineStr">
        <is>
          <t>IOS Aarav</t>
        </is>
      </c>
      <c r="E1152" s="16" t="n">
        <v>0</v>
      </c>
      <c r="F1152" s="16" t="n">
        <v>6270.48</v>
      </c>
      <c r="G1152" s="17" t="n"/>
      <c r="H1152" s="16" t="n">
        <v>-6270.48</v>
      </c>
      <c r="I1152" s="16" t="n">
        <v>0</v>
      </c>
    </row>
    <row r="1153">
      <c r="A1153" t="inlineStr">
        <is>
          <t>MTR-IOS-1151</t>
        </is>
      </c>
      <c r="B1153" t="inlineStr">
        <is>
          <t>Assets</t>
        </is>
      </c>
      <c r="C1153" t="inlineStr">
        <is>
          <t>SHARES</t>
        </is>
      </c>
      <c r="D1153" t="inlineStr">
        <is>
          <t>IOS Meera</t>
        </is>
      </c>
      <c r="E1153" s="16" t="n">
        <v>18811.45</v>
      </c>
      <c r="F1153" s="16" t="n">
        <v>3135.24</v>
      </c>
      <c r="G1153" s="17" t="n"/>
      <c r="H1153" s="16" t="n">
        <v>15676.21</v>
      </c>
      <c r="I1153" s="16" t="n">
        <v>0</v>
      </c>
    </row>
    <row r="1154">
      <c r="A1154" t="inlineStr">
        <is>
          <t>MTR-IOS-1154</t>
        </is>
      </c>
      <c r="B1154" t="inlineStr">
        <is>
          <t>Assets</t>
        </is>
      </c>
      <c r="C1154" t="inlineStr">
        <is>
          <t>EQUAL</t>
        </is>
      </c>
      <c r="D1154" t="inlineStr">
        <is>
          <t>IOS Owner</t>
        </is>
      </c>
      <c r="E1154" s="16" t="n">
        <v>19897.44</v>
      </c>
      <c r="F1154" s="16" t="n">
        <v>6632.48</v>
      </c>
      <c r="G1154" s="17" t="n"/>
      <c r="H1154" s="16" t="n">
        <v>13264.96</v>
      </c>
      <c r="I1154" s="16" t="n">
        <v>0</v>
      </c>
    </row>
    <row r="1155">
      <c r="A1155" t="inlineStr">
        <is>
          <t>MTR-IOS-1154</t>
        </is>
      </c>
      <c r="B1155" t="inlineStr">
        <is>
          <t>Assets</t>
        </is>
      </c>
      <c r="C1155" t="inlineStr">
        <is>
          <t>EQUAL</t>
        </is>
      </c>
      <c r="D1155" t="inlineStr">
        <is>
          <t>IOS Aarav</t>
        </is>
      </c>
      <c r="E1155" s="16" t="n">
        <v>0</v>
      </c>
      <c r="F1155" s="16" t="n">
        <v>6632.48</v>
      </c>
      <c r="G1155" s="17" t="n"/>
      <c r="H1155" s="16" t="n">
        <v>-6632.48</v>
      </c>
      <c r="I1155" s="16" t="n">
        <v>0</v>
      </c>
    </row>
    <row r="1156">
      <c r="A1156" t="inlineStr">
        <is>
          <t>MTR-IOS-1154</t>
        </is>
      </c>
      <c r="B1156" t="inlineStr">
        <is>
          <t>Assets</t>
        </is>
      </c>
      <c r="C1156" t="inlineStr">
        <is>
          <t>EQUAL</t>
        </is>
      </c>
      <c r="D1156" t="inlineStr">
        <is>
          <t>IOS Meera</t>
        </is>
      </c>
      <c r="E1156" s="16" t="n">
        <v>0</v>
      </c>
      <c r="F1156" s="16" t="n">
        <v>6632.48</v>
      </c>
      <c r="G1156" s="17" t="n"/>
      <c r="H1156" s="16" t="n">
        <v>-6632.48</v>
      </c>
      <c r="I1156" s="16" t="n">
        <v>0</v>
      </c>
    </row>
    <row r="1157">
      <c r="A1157" t="inlineStr">
        <is>
          <t>MTR-IOS-1157</t>
        </is>
      </c>
      <c r="B1157" t="inlineStr">
        <is>
          <t>Custom Purchase</t>
        </is>
      </c>
      <c r="C1157" t="inlineStr">
        <is>
          <t>PERCENTAGE</t>
        </is>
      </c>
      <c r="D1157" t="inlineStr">
        <is>
          <t>IOS Owner</t>
        </is>
      </c>
      <c r="E1157" s="16" t="n">
        <v>0</v>
      </c>
      <c r="F1157" s="16" t="n">
        <v>8999.17</v>
      </c>
      <c r="G1157" s="17" t="n">
        <v>50</v>
      </c>
      <c r="H1157" s="16" t="n">
        <v>-8999.17</v>
      </c>
      <c r="I1157" s="16" t="n">
        <v>0</v>
      </c>
    </row>
    <row r="1158">
      <c r="A1158" t="inlineStr">
        <is>
          <t>MTR-IOS-1157</t>
        </is>
      </c>
      <c r="B1158" t="inlineStr">
        <is>
          <t>Custom Purchase</t>
        </is>
      </c>
      <c r="C1158" t="inlineStr">
        <is>
          <t>PERCENTAGE</t>
        </is>
      </c>
      <c r="D1158" t="inlineStr">
        <is>
          <t>IOS Aarav</t>
        </is>
      </c>
      <c r="E1158" s="16" t="n">
        <v>17998.34</v>
      </c>
      <c r="F1158" s="16" t="n">
        <v>5399.5</v>
      </c>
      <c r="G1158" s="17" t="n">
        <v>30</v>
      </c>
      <c r="H1158" s="16" t="n">
        <v>12598.84</v>
      </c>
      <c r="I1158" s="16" t="n">
        <v>0</v>
      </c>
    </row>
    <row r="1159">
      <c r="A1159" t="inlineStr">
        <is>
          <t>MTR-IOS-1157</t>
        </is>
      </c>
      <c r="B1159" t="inlineStr">
        <is>
          <t>Custom Purchase</t>
        </is>
      </c>
      <c r="C1159" t="inlineStr">
        <is>
          <t>PERCENTAGE</t>
        </is>
      </c>
      <c r="D1159" t="inlineStr">
        <is>
          <t>IOS Meera</t>
        </is>
      </c>
      <c r="E1159" s="16" t="n">
        <v>0</v>
      </c>
      <c r="F1159" s="16" t="n">
        <v>3599.67</v>
      </c>
      <c r="G1159" s="17" t="n">
        <v>20</v>
      </c>
      <c r="H1159" s="16" t="n">
        <v>-3599.67</v>
      </c>
      <c r="I1159" s="16" t="n">
        <v>0</v>
      </c>
    </row>
    <row r="1160">
      <c r="A1160" t="inlineStr">
        <is>
          <t>MTR-IOS-1160</t>
        </is>
      </c>
      <c r="B1160" t="inlineStr">
        <is>
          <t>Custom Purchase</t>
        </is>
      </c>
      <c r="C1160" t="inlineStr">
        <is>
          <t>EXACT</t>
        </is>
      </c>
      <c r="D1160" t="inlineStr">
        <is>
          <t>IOS Owner</t>
        </is>
      </c>
      <c r="E1160" s="16" t="n">
        <v>0</v>
      </c>
      <c r="F1160" s="16" t="n">
        <v>5445</v>
      </c>
      <c r="G1160" s="17" t="n"/>
      <c r="H1160" s="16" t="n">
        <v>-5445</v>
      </c>
      <c r="I1160" s="16" t="n">
        <v>0</v>
      </c>
    </row>
    <row r="1161">
      <c r="A1161" t="inlineStr">
        <is>
          <t>MTR-IOS-1160</t>
        </is>
      </c>
      <c r="B1161" t="inlineStr">
        <is>
          <t>Custom Purchase</t>
        </is>
      </c>
      <c r="C1161" t="inlineStr">
        <is>
          <t>EXACT</t>
        </is>
      </c>
      <c r="D1161" t="inlineStr">
        <is>
          <t>IOS Aarav</t>
        </is>
      </c>
      <c r="E1161" s="16" t="n">
        <v>0</v>
      </c>
      <c r="F1161" s="16" t="n">
        <v>5445</v>
      </c>
      <c r="G1161" s="17" t="n"/>
      <c r="H1161" s="16" t="n">
        <v>-5445</v>
      </c>
      <c r="I1161" s="16" t="n">
        <v>0</v>
      </c>
    </row>
    <row r="1162">
      <c r="A1162" t="inlineStr">
        <is>
          <t>MTR-IOS-1160</t>
        </is>
      </c>
      <c r="B1162" t="inlineStr">
        <is>
          <t>Custom Purchase</t>
        </is>
      </c>
      <c r="C1162" t="inlineStr">
        <is>
          <t>EXACT</t>
        </is>
      </c>
      <c r="D1162" t="inlineStr">
        <is>
          <t>IOS Meera</t>
        </is>
      </c>
      <c r="E1162" s="16" t="n">
        <v>16351.34</v>
      </c>
      <c r="F1162" s="16" t="n">
        <v>5461.34</v>
      </c>
      <c r="G1162" s="17" t="n"/>
      <c r="H1162" s="16" t="n">
        <v>10890</v>
      </c>
      <c r="I1162" s="16" t="n">
        <v>0</v>
      </c>
    </row>
    <row r="1163">
      <c r="A1163" t="inlineStr">
        <is>
          <t>MTR-IOS-1163</t>
        </is>
      </c>
      <c r="B1163" t="inlineStr">
        <is>
          <t>Flatmates</t>
        </is>
      </c>
      <c r="C1163" t="inlineStr">
        <is>
          <t>SHARES</t>
        </is>
      </c>
      <c r="D1163" t="inlineStr">
        <is>
          <t>IOS Owner</t>
        </is>
      </c>
      <c r="E1163" s="16" t="n">
        <v>2757.45</v>
      </c>
      <c r="F1163" s="16" t="n">
        <v>1378.73</v>
      </c>
      <c r="G1163" s="17" t="n"/>
      <c r="H1163" s="16" t="n">
        <v>1378.72</v>
      </c>
      <c r="I1163" s="16" t="n">
        <v>0</v>
      </c>
    </row>
    <row r="1164">
      <c r="A1164" t="inlineStr">
        <is>
          <t>MTR-IOS-1163</t>
        </is>
      </c>
      <c r="B1164" t="inlineStr">
        <is>
          <t>Flatmates</t>
        </is>
      </c>
      <c r="C1164" t="inlineStr">
        <is>
          <t>SHARES</t>
        </is>
      </c>
      <c r="D1164" t="inlineStr">
        <is>
          <t>IOS Aarav</t>
        </is>
      </c>
      <c r="E1164" s="16" t="n">
        <v>0</v>
      </c>
      <c r="F1164" s="16" t="n">
        <v>919.15</v>
      </c>
      <c r="G1164" s="17" t="n"/>
      <c r="H1164" s="16" t="n">
        <v>-919.15</v>
      </c>
      <c r="I1164" s="16" t="n">
        <v>0</v>
      </c>
    </row>
    <row r="1165">
      <c r="A1165" t="inlineStr">
        <is>
          <t>MTR-IOS-1163</t>
        </is>
      </c>
      <c r="B1165" t="inlineStr">
        <is>
          <t>Flatmates</t>
        </is>
      </c>
      <c r="C1165" t="inlineStr">
        <is>
          <t>SHARES</t>
        </is>
      </c>
      <c r="D1165" t="inlineStr">
        <is>
          <t>IOS Meera</t>
        </is>
      </c>
      <c r="E1165" s="16" t="n">
        <v>0</v>
      </c>
      <c r="F1165" s="16" t="n">
        <v>459.57</v>
      </c>
      <c r="G1165" s="17" t="n"/>
      <c r="H1165" s="16" t="n">
        <v>-459.57</v>
      </c>
      <c r="I1165" s="16" t="n">
        <v>0</v>
      </c>
    </row>
    <row r="1166">
      <c r="A1166" t="inlineStr">
        <is>
          <t>MTR-IOS-1166</t>
        </is>
      </c>
      <c r="B1166" t="inlineStr">
        <is>
          <t>Flatmates</t>
        </is>
      </c>
      <c r="C1166" t="inlineStr">
        <is>
          <t>EQUAL</t>
        </is>
      </c>
      <c r="D1166" t="inlineStr">
        <is>
          <t>IOS Owner</t>
        </is>
      </c>
      <c r="E1166" s="16" t="n">
        <v>0</v>
      </c>
      <c r="F1166" s="16" t="n">
        <v>2837.38</v>
      </c>
      <c r="G1166" s="17" t="n"/>
      <c r="H1166" s="16" t="n">
        <v>-2837.38</v>
      </c>
      <c r="I1166" s="16" t="n">
        <v>0</v>
      </c>
    </row>
    <row r="1167">
      <c r="A1167" t="inlineStr">
        <is>
          <t>MTR-IOS-1166</t>
        </is>
      </c>
      <c r="B1167" t="inlineStr">
        <is>
          <t>Flatmates</t>
        </is>
      </c>
      <c r="C1167" t="inlineStr">
        <is>
          <t>EQUAL</t>
        </is>
      </c>
      <c r="D1167" t="inlineStr">
        <is>
          <t>IOS Aarav</t>
        </is>
      </c>
      <c r="E1167" s="16" t="n">
        <v>8512.15</v>
      </c>
      <c r="F1167" s="16" t="n">
        <v>2837.38</v>
      </c>
      <c r="G1167" s="17" t="n"/>
      <c r="H1167" s="16" t="n">
        <v>5674.77</v>
      </c>
      <c r="I1167" s="16" t="n">
        <v>0</v>
      </c>
    </row>
    <row r="1168">
      <c r="A1168" t="inlineStr">
        <is>
          <t>MTR-IOS-1166</t>
        </is>
      </c>
      <c r="B1168" t="inlineStr">
        <is>
          <t>Flatmates</t>
        </is>
      </c>
      <c r="C1168" t="inlineStr">
        <is>
          <t>EQUAL</t>
        </is>
      </c>
      <c r="D1168" t="inlineStr">
        <is>
          <t>IOS Meera</t>
        </is>
      </c>
      <c r="E1168" s="16" t="n">
        <v>0</v>
      </c>
      <c r="F1168" s="16" t="n">
        <v>2837.39</v>
      </c>
      <c r="G1168" s="17" t="n"/>
      <c r="H1168" s="16" t="n">
        <v>-2837.39</v>
      </c>
      <c r="I1168" s="16" t="n">
        <v>0</v>
      </c>
    </row>
    <row r="1169">
      <c r="A1169" t="inlineStr">
        <is>
          <t>MTR-IOS-1169</t>
        </is>
      </c>
      <c r="B1169" t="inlineStr">
        <is>
          <t>Flatmates</t>
        </is>
      </c>
      <c r="C1169" t="inlineStr">
        <is>
          <t>PERCENTAGE</t>
        </is>
      </c>
      <c r="D1169" t="inlineStr">
        <is>
          <t>IOS Owner</t>
        </is>
      </c>
      <c r="E1169" s="16" t="n">
        <v>0</v>
      </c>
      <c r="F1169" s="16" t="n">
        <v>13051.88</v>
      </c>
      <c r="G1169" s="17" t="n">
        <v>50</v>
      </c>
      <c r="H1169" s="16" t="n">
        <v>-13051.88</v>
      </c>
      <c r="I1169" s="16" t="n">
        <v>0</v>
      </c>
    </row>
    <row r="1170">
      <c r="A1170" t="inlineStr">
        <is>
          <t>MTR-IOS-1169</t>
        </is>
      </c>
      <c r="B1170" t="inlineStr">
        <is>
          <t>Flatmates</t>
        </is>
      </c>
      <c r="C1170" t="inlineStr">
        <is>
          <t>PERCENTAGE</t>
        </is>
      </c>
      <c r="D1170" t="inlineStr">
        <is>
          <t>IOS Aarav</t>
        </is>
      </c>
      <c r="E1170" s="16" t="n">
        <v>0</v>
      </c>
      <c r="F1170" s="16" t="n">
        <v>7831.13</v>
      </c>
      <c r="G1170" s="17" t="n">
        <v>30</v>
      </c>
      <c r="H1170" s="16" t="n">
        <v>-7831.13</v>
      </c>
      <c r="I1170" s="16" t="n">
        <v>0</v>
      </c>
    </row>
    <row r="1171">
      <c r="A1171" t="inlineStr">
        <is>
          <t>MTR-IOS-1169</t>
        </is>
      </c>
      <c r="B1171" t="inlineStr">
        <is>
          <t>Flatmates</t>
        </is>
      </c>
      <c r="C1171" t="inlineStr">
        <is>
          <t>PERCENTAGE</t>
        </is>
      </c>
      <c r="D1171" t="inlineStr">
        <is>
          <t>IOS Meera</t>
        </is>
      </c>
      <c r="E1171" s="16" t="n">
        <v>26103.76</v>
      </c>
      <c r="F1171" s="16" t="n">
        <v>5220.75</v>
      </c>
      <c r="G1171" s="17" t="n">
        <v>20</v>
      </c>
      <c r="H1171" s="16" t="n">
        <v>20883.01</v>
      </c>
      <c r="I1171" s="16" t="n">
        <v>0</v>
      </c>
    </row>
    <row r="1172">
      <c r="A1172" t="inlineStr">
        <is>
          <t>MTR-IOS-1172</t>
        </is>
      </c>
      <c r="B1172" t="inlineStr">
        <is>
          <t>Flatmates</t>
        </is>
      </c>
      <c r="C1172" t="inlineStr">
        <is>
          <t>EXACT</t>
        </is>
      </c>
      <c r="D1172" t="inlineStr">
        <is>
          <t>IOS Owner</t>
        </is>
      </c>
      <c r="E1172" s="16" t="n">
        <v>13526.9</v>
      </c>
      <c r="F1172" s="16" t="n">
        <v>4504.46</v>
      </c>
      <c r="G1172" s="17" t="n"/>
      <c r="H1172" s="16" t="n">
        <v>9022.440000000001</v>
      </c>
      <c r="I1172" s="16" t="n">
        <v>0</v>
      </c>
    </row>
    <row r="1173">
      <c r="A1173" t="inlineStr">
        <is>
          <t>MTR-IOS-1172</t>
        </is>
      </c>
      <c r="B1173" t="inlineStr">
        <is>
          <t>Flatmates</t>
        </is>
      </c>
      <c r="C1173" t="inlineStr">
        <is>
          <t>EXACT</t>
        </is>
      </c>
      <c r="D1173" t="inlineStr">
        <is>
          <t>IOS Aarav</t>
        </is>
      </c>
      <c r="E1173" s="16" t="n">
        <v>0</v>
      </c>
      <c r="F1173" s="16" t="n">
        <v>4504.46</v>
      </c>
      <c r="G1173" s="17" t="n"/>
      <c r="H1173" s="16" t="n">
        <v>-4504.46</v>
      </c>
      <c r="I1173" s="16" t="n">
        <v>0</v>
      </c>
    </row>
    <row r="1174">
      <c r="A1174" t="inlineStr">
        <is>
          <t>MTR-IOS-1172</t>
        </is>
      </c>
      <c r="B1174" t="inlineStr">
        <is>
          <t>Flatmates</t>
        </is>
      </c>
      <c r="C1174" t="inlineStr">
        <is>
          <t>EXACT</t>
        </is>
      </c>
      <c r="D1174" t="inlineStr">
        <is>
          <t>IOS Meera</t>
        </is>
      </c>
      <c r="E1174" s="16" t="n">
        <v>0</v>
      </c>
      <c r="F1174" s="16" t="n">
        <v>4517.98</v>
      </c>
      <c r="G1174" s="17" t="n"/>
      <c r="H1174" s="16" t="n">
        <v>-4517.98</v>
      </c>
      <c r="I1174" s="16" t="n">
        <v>0</v>
      </c>
    </row>
    <row r="1175">
      <c r="A1175" t="inlineStr">
        <is>
          <t>MTR-IOS-1175</t>
        </is>
      </c>
      <c r="B1175" t="inlineStr">
        <is>
          <t>Flatmates</t>
        </is>
      </c>
      <c r="C1175" t="inlineStr">
        <is>
          <t>SHARES</t>
        </is>
      </c>
      <c r="D1175" t="inlineStr">
        <is>
          <t>IOS Owner</t>
        </is>
      </c>
      <c r="E1175" s="16" t="n">
        <v>0</v>
      </c>
      <c r="F1175" s="16" t="n">
        <v>6638.92</v>
      </c>
      <c r="G1175" s="17" t="n"/>
      <c r="H1175" s="16" t="n">
        <v>-6638.92</v>
      </c>
      <c r="I1175" s="16" t="n">
        <v>0</v>
      </c>
    </row>
    <row r="1176">
      <c r="A1176" t="inlineStr">
        <is>
          <t>MTR-IOS-1175</t>
        </is>
      </c>
      <c r="B1176" t="inlineStr">
        <is>
          <t>Flatmates</t>
        </is>
      </c>
      <c r="C1176" t="inlineStr">
        <is>
          <t>SHARES</t>
        </is>
      </c>
      <c r="D1176" t="inlineStr">
        <is>
          <t>IOS Aarav</t>
        </is>
      </c>
      <c r="E1176" s="16" t="n">
        <v>13277.83</v>
      </c>
      <c r="F1176" s="16" t="n">
        <v>4425.94</v>
      </c>
      <c r="G1176" s="17" t="n"/>
      <c r="H1176" s="16" t="n">
        <v>8851.889999999999</v>
      </c>
      <c r="I1176" s="16" t="n">
        <v>0</v>
      </c>
    </row>
    <row r="1177">
      <c r="A1177" t="inlineStr">
        <is>
          <t>MTR-IOS-1175</t>
        </is>
      </c>
      <c r="B1177" t="inlineStr">
        <is>
          <t>Flatmates</t>
        </is>
      </c>
      <c r="C1177" t="inlineStr">
        <is>
          <t>SHARES</t>
        </is>
      </c>
      <c r="D1177" t="inlineStr">
        <is>
          <t>IOS Meera</t>
        </is>
      </c>
      <c r="E1177" s="16" t="n">
        <v>0</v>
      </c>
      <c r="F1177" s="16" t="n">
        <v>2212.97</v>
      </c>
      <c r="G1177" s="17" t="n"/>
      <c r="H1177" s="16" t="n">
        <v>-2212.97</v>
      </c>
      <c r="I1177" s="16" t="n">
        <v>0</v>
      </c>
    </row>
    <row r="1178">
      <c r="A1178" t="inlineStr">
        <is>
          <t>MTR-IOS-1178</t>
        </is>
      </c>
      <c r="B1178" t="inlineStr">
        <is>
          <t>Flatmates</t>
        </is>
      </c>
      <c r="C1178" t="inlineStr">
        <is>
          <t>EQUAL</t>
        </is>
      </c>
      <c r="D1178" t="inlineStr">
        <is>
          <t>IOS Owner</t>
        </is>
      </c>
      <c r="E1178" s="16" t="n">
        <v>0</v>
      </c>
      <c r="F1178" s="16" t="n">
        <v>1880.29</v>
      </c>
      <c r="G1178" s="17" t="n"/>
      <c r="H1178" s="16" t="n">
        <v>-1880.29</v>
      </c>
      <c r="I1178" s="16" t="n">
        <v>0</v>
      </c>
    </row>
    <row r="1179">
      <c r="A1179" t="inlineStr">
        <is>
          <t>MTR-IOS-1178</t>
        </is>
      </c>
      <c r="B1179" t="inlineStr">
        <is>
          <t>Flatmates</t>
        </is>
      </c>
      <c r="C1179" t="inlineStr">
        <is>
          <t>EQUAL</t>
        </is>
      </c>
      <c r="D1179" t="inlineStr">
        <is>
          <t>IOS Aarav</t>
        </is>
      </c>
      <c r="E1179" s="16" t="n">
        <v>0</v>
      </c>
      <c r="F1179" s="16" t="n">
        <v>1880.29</v>
      </c>
      <c r="G1179" s="17" t="n"/>
      <c r="H1179" s="16" t="n">
        <v>-1880.29</v>
      </c>
      <c r="I1179" s="16" t="n">
        <v>0</v>
      </c>
    </row>
    <row r="1180">
      <c r="A1180" t="inlineStr">
        <is>
          <t>MTR-IOS-1178</t>
        </is>
      </c>
      <c r="B1180" t="inlineStr">
        <is>
          <t>Flatmates</t>
        </is>
      </c>
      <c r="C1180" t="inlineStr">
        <is>
          <t>EQUAL</t>
        </is>
      </c>
      <c r="D1180" t="inlineStr">
        <is>
          <t>IOS Meera</t>
        </is>
      </c>
      <c r="E1180" s="16" t="n">
        <v>5640.88</v>
      </c>
      <c r="F1180" s="16" t="n">
        <v>1880.3</v>
      </c>
      <c r="G1180" s="17" t="n"/>
      <c r="H1180" s="16" t="n">
        <v>3760.58</v>
      </c>
      <c r="I1180" s="16" t="n">
        <v>0</v>
      </c>
    </row>
    <row r="1181">
      <c r="A1181" t="inlineStr">
        <is>
          <t>MTR-IOS-1181</t>
        </is>
      </c>
      <c r="B1181" t="inlineStr">
        <is>
          <t>Shared Living</t>
        </is>
      </c>
      <c r="C1181" t="inlineStr">
        <is>
          <t>PERCENTAGE</t>
        </is>
      </c>
      <c r="D1181" t="inlineStr">
        <is>
          <t>IOS Owner</t>
        </is>
      </c>
      <c r="E1181" s="16" t="n">
        <v>11742.93</v>
      </c>
      <c r="F1181" s="16" t="n">
        <v>5871.47</v>
      </c>
      <c r="G1181" s="17" t="n">
        <v>50</v>
      </c>
      <c r="H1181" s="16" t="n">
        <v>5871.46</v>
      </c>
      <c r="I1181" s="16" t="n">
        <v>0</v>
      </c>
    </row>
    <row r="1182">
      <c r="A1182" t="inlineStr">
        <is>
          <t>MTR-IOS-1181</t>
        </is>
      </c>
      <c r="B1182" t="inlineStr">
        <is>
          <t>Shared Living</t>
        </is>
      </c>
      <c r="C1182" t="inlineStr">
        <is>
          <t>PERCENTAGE</t>
        </is>
      </c>
      <c r="D1182" t="inlineStr">
        <is>
          <t>IOS Aarav</t>
        </is>
      </c>
      <c r="E1182" s="16" t="n">
        <v>0</v>
      </c>
      <c r="F1182" s="16" t="n">
        <v>3522.88</v>
      </c>
      <c r="G1182" s="17" t="n">
        <v>30</v>
      </c>
      <c r="H1182" s="16" t="n">
        <v>-3522.88</v>
      </c>
      <c r="I1182" s="16" t="n">
        <v>0</v>
      </c>
    </row>
    <row r="1183">
      <c r="A1183" t="inlineStr">
        <is>
          <t>MTR-IOS-1181</t>
        </is>
      </c>
      <c r="B1183" t="inlineStr">
        <is>
          <t>Shared Living</t>
        </is>
      </c>
      <c r="C1183" t="inlineStr">
        <is>
          <t>PERCENTAGE</t>
        </is>
      </c>
      <c r="D1183" t="inlineStr">
        <is>
          <t>IOS Meera</t>
        </is>
      </c>
      <c r="E1183" s="16" t="n">
        <v>0</v>
      </c>
      <c r="F1183" s="16" t="n">
        <v>2348.58</v>
      </c>
      <c r="G1183" s="17" t="n">
        <v>20</v>
      </c>
      <c r="H1183" s="16" t="n">
        <v>-2348.58</v>
      </c>
      <c r="I1183" s="16" t="n">
        <v>0</v>
      </c>
    </row>
    <row r="1184">
      <c r="A1184" t="inlineStr">
        <is>
          <t>MTR-IOS-1184</t>
        </is>
      </c>
      <c r="B1184" t="inlineStr">
        <is>
          <t>Shared Living</t>
        </is>
      </c>
      <c r="C1184" t="inlineStr">
        <is>
          <t>EXACT</t>
        </is>
      </c>
      <c r="D1184" t="inlineStr">
        <is>
          <t>IOS Owner</t>
        </is>
      </c>
      <c r="E1184" s="16" t="n">
        <v>0</v>
      </c>
      <c r="F1184" s="16" t="n">
        <v>33.3</v>
      </c>
      <c r="G1184" s="17" t="n"/>
      <c r="H1184" s="16" t="n">
        <v>-33.3</v>
      </c>
      <c r="I1184" s="16" t="n">
        <v>0</v>
      </c>
    </row>
    <row r="1185">
      <c r="A1185" t="inlineStr">
        <is>
          <t>MTR-IOS-1184</t>
        </is>
      </c>
      <c r="B1185" t="inlineStr">
        <is>
          <t>Shared Living</t>
        </is>
      </c>
      <c r="C1185" t="inlineStr">
        <is>
          <t>EXACT</t>
        </is>
      </c>
      <c r="D1185" t="inlineStr">
        <is>
          <t>IOS Aarav</t>
        </is>
      </c>
      <c r="E1185" s="16" t="n">
        <v>99.98999999999999</v>
      </c>
      <c r="F1185" s="16" t="n">
        <v>33.3</v>
      </c>
      <c r="G1185" s="17" t="n"/>
      <c r="H1185" s="16" t="n">
        <v>66.69</v>
      </c>
      <c r="I1185" s="16" t="n">
        <v>0</v>
      </c>
    </row>
    <row r="1186">
      <c r="A1186" t="inlineStr">
        <is>
          <t>MTR-IOS-1184</t>
        </is>
      </c>
      <c r="B1186" t="inlineStr">
        <is>
          <t>Shared Living</t>
        </is>
      </c>
      <c r="C1186" t="inlineStr">
        <is>
          <t>EXACT</t>
        </is>
      </c>
      <c r="D1186" t="inlineStr">
        <is>
          <t>IOS Meera</t>
        </is>
      </c>
      <c r="E1186" s="16" t="n">
        <v>0</v>
      </c>
      <c r="F1186" s="16" t="n">
        <v>33.39</v>
      </c>
      <c r="G1186" s="17" t="n"/>
      <c r="H1186" s="16" t="n">
        <v>-33.39</v>
      </c>
      <c r="I1186" s="16" t="n">
        <v>0</v>
      </c>
    </row>
    <row r="1187">
      <c r="A1187" t="inlineStr">
        <is>
          <t>MTR-IOS-1187</t>
        </is>
      </c>
      <c r="B1187" t="inlineStr">
        <is>
          <t>Shared Living</t>
        </is>
      </c>
      <c r="C1187" t="inlineStr">
        <is>
          <t>SHARES</t>
        </is>
      </c>
      <c r="D1187" t="inlineStr">
        <is>
          <t>IOS Owner</t>
        </is>
      </c>
      <c r="E1187" s="16" t="n">
        <v>0</v>
      </c>
      <c r="F1187" s="16" t="n">
        <v>8654.200000000001</v>
      </c>
      <c r="G1187" s="17" t="n"/>
      <c r="H1187" s="16" t="n">
        <v>-8654.200000000001</v>
      </c>
      <c r="I1187" s="16" t="n">
        <v>0</v>
      </c>
    </row>
    <row r="1188">
      <c r="A1188" t="inlineStr">
        <is>
          <t>MTR-IOS-1187</t>
        </is>
      </c>
      <c r="B1188" t="inlineStr">
        <is>
          <t>Shared Living</t>
        </is>
      </c>
      <c r="C1188" t="inlineStr">
        <is>
          <t>SHARES</t>
        </is>
      </c>
      <c r="D1188" t="inlineStr">
        <is>
          <t>IOS Aarav</t>
        </is>
      </c>
      <c r="E1188" s="16" t="n">
        <v>0</v>
      </c>
      <c r="F1188" s="16" t="n">
        <v>5769.47</v>
      </c>
      <c r="G1188" s="17" t="n"/>
      <c r="H1188" s="16" t="n">
        <v>-5769.47</v>
      </c>
      <c r="I1188" s="16" t="n">
        <v>0</v>
      </c>
    </row>
    <row r="1189">
      <c r="A1189" t="inlineStr">
        <is>
          <t>MTR-IOS-1187</t>
        </is>
      </c>
      <c r="B1189" t="inlineStr">
        <is>
          <t>Shared Living</t>
        </is>
      </c>
      <c r="C1189" t="inlineStr">
        <is>
          <t>SHARES</t>
        </is>
      </c>
      <c r="D1189" t="inlineStr">
        <is>
          <t>IOS Meera</t>
        </is>
      </c>
      <c r="E1189" s="16" t="n">
        <v>17308.4</v>
      </c>
      <c r="F1189" s="16" t="n">
        <v>2884.73</v>
      </c>
      <c r="G1189" s="17" t="n"/>
      <c r="H1189" s="16" t="n">
        <v>14423.67</v>
      </c>
      <c r="I1189" s="16" t="n">
        <v>0</v>
      </c>
    </row>
    <row r="1190">
      <c r="A1190" t="inlineStr">
        <is>
          <t>MTR-IOS-1190</t>
        </is>
      </c>
      <c r="B1190" t="inlineStr">
        <is>
          <t>Shared Living</t>
        </is>
      </c>
      <c r="C1190" t="inlineStr">
        <is>
          <t>EQUAL</t>
        </is>
      </c>
      <c r="D1190" t="inlineStr">
        <is>
          <t>IOS Owner</t>
        </is>
      </c>
      <c r="E1190" s="16" t="n">
        <v>25102.56</v>
      </c>
      <c r="F1190" s="16" t="n">
        <v>8367.52</v>
      </c>
      <c r="G1190" s="17" t="n"/>
      <c r="H1190" s="16" t="n">
        <v>16735.04</v>
      </c>
      <c r="I1190" s="16" t="n">
        <v>0</v>
      </c>
    </row>
    <row r="1191">
      <c r="A1191" t="inlineStr">
        <is>
          <t>MTR-IOS-1190</t>
        </is>
      </c>
      <c r="B1191" t="inlineStr">
        <is>
          <t>Shared Living</t>
        </is>
      </c>
      <c r="C1191" t="inlineStr">
        <is>
          <t>EQUAL</t>
        </is>
      </c>
      <c r="D1191" t="inlineStr">
        <is>
          <t>IOS Aarav</t>
        </is>
      </c>
      <c r="E1191" s="16" t="n">
        <v>0</v>
      </c>
      <c r="F1191" s="16" t="n">
        <v>8367.52</v>
      </c>
      <c r="G1191" s="17" t="n"/>
      <c r="H1191" s="16" t="n">
        <v>-8367.52</v>
      </c>
      <c r="I1191" s="16" t="n">
        <v>0</v>
      </c>
    </row>
    <row r="1192">
      <c r="A1192" t="inlineStr">
        <is>
          <t>MTR-IOS-1190</t>
        </is>
      </c>
      <c r="B1192" t="inlineStr">
        <is>
          <t>Shared Living</t>
        </is>
      </c>
      <c r="C1192" t="inlineStr">
        <is>
          <t>EQUAL</t>
        </is>
      </c>
      <c r="D1192" t="inlineStr">
        <is>
          <t>IOS Meera</t>
        </is>
      </c>
      <c r="E1192" s="16" t="n">
        <v>0</v>
      </c>
      <c r="F1192" s="16" t="n">
        <v>8367.52</v>
      </c>
      <c r="G1192" s="17" t="n"/>
      <c r="H1192" s="16" t="n">
        <v>-8367.52</v>
      </c>
      <c r="I1192" s="16" t="n">
        <v>0</v>
      </c>
    </row>
    <row r="1193">
      <c r="A1193" t="inlineStr">
        <is>
          <t>MTR-IOS-1193</t>
        </is>
      </c>
      <c r="B1193" t="inlineStr">
        <is>
          <t>Shared Living</t>
        </is>
      </c>
      <c r="C1193" t="inlineStr">
        <is>
          <t>PERCENTAGE</t>
        </is>
      </c>
      <c r="D1193" t="inlineStr">
        <is>
          <t>IOS Owner</t>
        </is>
      </c>
      <c r="E1193" s="16" t="n">
        <v>0</v>
      </c>
      <c r="F1193" s="16" t="n">
        <v>1379.66</v>
      </c>
      <c r="G1193" s="17" t="n">
        <v>50</v>
      </c>
      <c r="H1193" s="16" t="n">
        <v>-1379.66</v>
      </c>
      <c r="I1193" s="16" t="n">
        <v>0</v>
      </c>
    </row>
    <row r="1194">
      <c r="A1194" t="inlineStr">
        <is>
          <t>MTR-IOS-1193</t>
        </is>
      </c>
      <c r="B1194" t="inlineStr">
        <is>
          <t>Shared Living</t>
        </is>
      </c>
      <c r="C1194" t="inlineStr">
        <is>
          <t>PERCENTAGE</t>
        </is>
      </c>
      <c r="D1194" t="inlineStr">
        <is>
          <t>IOS Aarav</t>
        </is>
      </c>
      <c r="E1194" s="16" t="n">
        <v>2759.32</v>
      </c>
      <c r="F1194" s="16" t="n">
        <v>827.8</v>
      </c>
      <c r="G1194" s="17" t="n">
        <v>30</v>
      </c>
      <c r="H1194" s="16" t="n">
        <v>1931.52</v>
      </c>
      <c r="I1194" s="16" t="n">
        <v>0</v>
      </c>
    </row>
    <row r="1195">
      <c r="A1195" t="inlineStr">
        <is>
          <t>MTR-IOS-1193</t>
        </is>
      </c>
      <c r="B1195" t="inlineStr">
        <is>
          <t>Shared Living</t>
        </is>
      </c>
      <c r="C1195" t="inlineStr">
        <is>
          <t>PERCENTAGE</t>
        </is>
      </c>
      <c r="D1195" t="inlineStr">
        <is>
          <t>IOS Meera</t>
        </is>
      </c>
      <c r="E1195" s="16" t="n">
        <v>0</v>
      </c>
      <c r="F1195" s="16" t="n">
        <v>551.86</v>
      </c>
      <c r="G1195" s="17" t="n">
        <v>20</v>
      </c>
      <c r="H1195" s="16" t="n">
        <v>-551.86</v>
      </c>
      <c r="I1195" s="16" t="n">
        <v>0</v>
      </c>
    </row>
    <row r="1196">
      <c r="A1196" t="inlineStr">
        <is>
          <t>MTR-IOS-1196</t>
        </is>
      </c>
      <c r="B1196" t="inlineStr">
        <is>
          <t>Family Household</t>
        </is>
      </c>
      <c r="C1196" t="inlineStr">
        <is>
          <t>EXACT</t>
        </is>
      </c>
      <c r="D1196" t="inlineStr">
        <is>
          <t>IOS Owner</t>
        </is>
      </c>
      <c r="E1196" s="16" t="n">
        <v>0</v>
      </c>
      <c r="F1196" s="16" t="n">
        <v>3513.32</v>
      </c>
      <c r="G1196" s="17" t="n"/>
      <c r="H1196" s="16" t="n">
        <v>-3513.32</v>
      </c>
      <c r="I1196" s="16" t="n">
        <v>0</v>
      </c>
    </row>
    <row r="1197">
      <c r="A1197" t="inlineStr">
        <is>
          <t>MTR-IOS-1196</t>
        </is>
      </c>
      <c r="B1197" t="inlineStr">
        <is>
          <t>Family Household</t>
        </is>
      </c>
      <c r="C1197" t="inlineStr">
        <is>
          <t>EXACT</t>
        </is>
      </c>
      <c r="D1197" t="inlineStr">
        <is>
          <t>IOS Aarav</t>
        </is>
      </c>
      <c r="E1197" s="16" t="n">
        <v>0</v>
      </c>
      <c r="F1197" s="16" t="n">
        <v>3513.32</v>
      </c>
      <c r="G1197" s="17" t="n"/>
      <c r="H1197" s="16" t="n">
        <v>-3513.32</v>
      </c>
      <c r="I1197" s="16" t="n">
        <v>0</v>
      </c>
    </row>
    <row r="1198">
      <c r="A1198" t="inlineStr">
        <is>
          <t>MTR-IOS-1196</t>
        </is>
      </c>
      <c r="B1198" t="inlineStr">
        <is>
          <t>Family Household</t>
        </is>
      </c>
      <c r="C1198" t="inlineStr">
        <is>
          <t>EXACT</t>
        </is>
      </c>
      <c r="D1198" t="inlineStr">
        <is>
          <t>IOS Meera</t>
        </is>
      </c>
      <c r="E1198" s="16" t="n">
        <v>10550.52</v>
      </c>
      <c r="F1198" s="16" t="n">
        <v>3523.88</v>
      </c>
      <c r="G1198" s="17" t="n"/>
      <c r="H1198" s="16" t="n">
        <v>7026.64</v>
      </c>
      <c r="I1198" s="16" t="n">
        <v>0</v>
      </c>
    </row>
    <row r="1199">
      <c r="A1199" t="inlineStr">
        <is>
          <t>MTR-IOS-1199</t>
        </is>
      </c>
      <c r="B1199" t="inlineStr">
        <is>
          <t>Family Household</t>
        </is>
      </c>
      <c r="C1199" t="inlineStr">
        <is>
          <t>SHARES</t>
        </is>
      </c>
      <c r="D1199" t="inlineStr">
        <is>
          <t>IOS Owner</t>
        </is>
      </c>
      <c r="E1199" s="16" t="n">
        <v>157.37</v>
      </c>
      <c r="F1199" s="16" t="n">
        <v>78.69</v>
      </c>
      <c r="G1199" s="17" t="n"/>
      <c r="H1199" s="16" t="n">
        <v>78.68000000000001</v>
      </c>
      <c r="I1199" s="16" t="n">
        <v>0</v>
      </c>
    </row>
    <row r="1200">
      <c r="A1200" t="inlineStr">
        <is>
          <t>MTR-IOS-1199</t>
        </is>
      </c>
      <c r="B1200" t="inlineStr">
        <is>
          <t>Family Household</t>
        </is>
      </c>
      <c r="C1200" t="inlineStr">
        <is>
          <t>SHARES</t>
        </is>
      </c>
      <c r="D1200" t="inlineStr">
        <is>
          <t>IOS Aarav</t>
        </is>
      </c>
      <c r="E1200" s="16" t="n">
        <v>0</v>
      </c>
      <c r="F1200" s="16" t="n">
        <v>52.46</v>
      </c>
      <c r="G1200" s="17" t="n"/>
      <c r="H1200" s="16" t="n">
        <v>-52.46</v>
      </c>
      <c r="I1200" s="16" t="n">
        <v>0</v>
      </c>
    </row>
    <row r="1201">
      <c r="A1201" t="inlineStr">
        <is>
          <t>MTR-IOS-1199</t>
        </is>
      </c>
      <c r="B1201" t="inlineStr">
        <is>
          <t>Family Household</t>
        </is>
      </c>
      <c r="C1201" t="inlineStr">
        <is>
          <t>SHARES</t>
        </is>
      </c>
      <c r="D1201" t="inlineStr">
        <is>
          <t>IOS Meera</t>
        </is>
      </c>
      <c r="E1201" s="16" t="n">
        <v>0</v>
      </c>
      <c r="F1201" s="16" t="n">
        <v>26.22</v>
      </c>
      <c r="G1201" s="17" t="n"/>
      <c r="H1201" s="16" t="n">
        <v>-26.22</v>
      </c>
      <c r="I1201" s="16" t="n">
        <v>0</v>
      </c>
    </row>
    <row r="1202">
      <c r="A1202" t="inlineStr">
        <is>
          <t>MTR-IOS-1202</t>
        </is>
      </c>
      <c r="B1202" t="inlineStr">
        <is>
          <t>Family Household</t>
        </is>
      </c>
      <c r="C1202" t="inlineStr">
        <is>
          <t>EQUAL</t>
        </is>
      </c>
      <c r="D1202" t="inlineStr">
        <is>
          <t>IOS Owner</t>
        </is>
      </c>
      <c r="E1202" s="16" t="n">
        <v>0</v>
      </c>
      <c r="F1202" s="16" t="n">
        <v>5977.03</v>
      </c>
      <c r="G1202" s="17" t="n"/>
      <c r="H1202" s="16" t="n">
        <v>-5977.03</v>
      </c>
      <c r="I1202" s="16" t="n">
        <v>0</v>
      </c>
    </row>
    <row r="1203">
      <c r="A1203" t="inlineStr">
        <is>
          <t>MTR-IOS-1202</t>
        </is>
      </c>
      <c r="B1203" t="inlineStr">
        <is>
          <t>Family Household</t>
        </is>
      </c>
      <c r="C1203" t="inlineStr">
        <is>
          <t>EQUAL</t>
        </is>
      </c>
      <c r="D1203" t="inlineStr">
        <is>
          <t>IOS Aarav</t>
        </is>
      </c>
      <c r="E1203" s="16" t="n">
        <v>17931.08</v>
      </c>
      <c r="F1203" s="16" t="n">
        <v>5977.03</v>
      </c>
      <c r="G1203" s="17" t="n"/>
      <c r="H1203" s="16" t="n">
        <v>11954.05</v>
      </c>
      <c r="I1203" s="16" t="n">
        <v>0</v>
      </c>
    </row>
    <row r="1204">
      <c r="A1204" t="inlineStr">
        <is>
          <t>MTR-IOS-1202</t>
        </is>
      </c>
      <c r="B1204" t="inlineStr">
        <is>
          <t>Family Household</t>
        </is>
      </c>
      <c r="C1204" t="inlineStr">
        <is>
          <t>EQUAL</t>
        </is>
      </c>
      <c r="D1204" t="inlineStr">
        <is>
          <t>IOS Meera</t>
        </is>
      </c>
      <c r="E1204" s="16" t="n">
        <v>0</v>
      </c>
      <c r="F1204" s="16" t="n">
        <v>5977.02</v>
      </c>
      <c r="G1204" s="17" t="n"/>
      <c r="H1204" s="16" t="n">
        <v>-5977.02</v>
      </c>
      <c r="I1204" s="16" t="n">
        <v>0</v>
      </c>
    </row>
    <row r="1205">
      <c r="A1205" t="inlineStr">
        <is>
          <t>MTR-IOS-1205</t>
        </is>
      </c>
      <c r="B1205" t="inlineStr">
        <is>
          <t>Family Household</t>
        </is>
      </c>
      <c r="C1205" t="inlineStr">
        <is>
          <t>PERCENTAGE</t>
        </is>
      </c>
      <c r="D1205" t="inlineStr">
        <is>
          <t>IOS Owner</t>
        </is>
      </c>
      <c r="E1205" s="16" t="n">
        <v>0</v>
      </c>
      <c r="F1205" s="16" t="n">
        <v>7028.31</v>
      </c>
      <c r="G1205" s="17" t="n">
        <v>50</v>
      </c>
      <c r="H1205" s="16" t="n">
        <v>-7028.31</v>
      </c>
      <c r="I1205" s="16" t="n">
        <v>0</v>
      </c>
    </row>
    <row r="1206">
      <c r="A1206" t="inlineStr">
        <is>
          <t>MTR-IOS-1205</t>
        </is>
      </c>
      <c r="B1206" t="inlineStr">
        <is>
          <t>Family Household</t>
        </is>
      </c>
      <c r="C1206" t="inlineStr">
        <is>
          <t>PERCENTAGE</t>
        </is>
      </c>
      <c r="D1206" t="inlineStr">
        <is>
          <t>IOS Aarav</t>
        </is>
      </c>
      <c r="E1206" s="16" t="n">
        <v>0</v>
      </c>
      <c r="F1206" s="16" t="n">
        <v>4216.98</v>
      </c>
      <c r="G1206" s="17" t="n">
        <v>30</v>
      </c>
      <c r="H1206" s="16" t="n">
        <v>-4216.98</v>
      </c>
      <c r="I1206" s="16" t="n">
        <v>0</v>
      </c>
    </row>
    <row r="1207">
      <c r="A1207" t="inlineStr">
        <is>
          <t>MTR-IOS-1205</t>
        </is>
      </c>
      <c r="B1207" t="inlineStr">
        <is>
          <t>Family Household</t>
        </is>
      </c>
      <c r="C1207" t="inlineStr">
        <is>
          <t>PERCENTAGE</t>
        </is>
      </c>
      <c r="D1207" t="inlineStr">
        <is>
          <t>IOS Meera</t>
        </is>
      </c>
      <c r="E1207" s="16" t="n">
        <v>14056.61</v>
      </c>
      <c r="F1207" s="16" t="n">
        <v>2811.32</v>
      </c>
      <c r="G1207" s="17" t="n">
        <v>20</v>
      </c>
      <c r="H1207" s="16" t="n">
        <v>11245.29</v>
      </c>
      <c r="I1207" s="16" t="n">
        <v>0</v>
      </c>
    </row>
    <row r="1208">
      <c r="A1208" t="inlineStr">
        <is>
          <t>MTR-IOS-1208</t>
        </is>
      </c>
      <c r="B1208" t="inlineStr">
        <is>
          <t>Family Household</t>
        </is>
      </c>
      <c r="C1208" t="inlineStr">
        <is>
          <t>EXACT</t>
        </is>
      </c>
      <c r="D1208" t="inlineStr">
        <is>
          <t>IOS Owner</t>
        </is>
      </c>
      <c r="E1208" s="16" t="n">
        <v>5458.31</v>
      </c>
      <c r="F1208" s="16" t="n">
        <v>1817.62</v>
      </c>
      <c r="G1208" s="17" t="n"/>
      <c r="H1208" s="16" t="n">
        <v>3640.69</v>
      </c>
      <c r="I1208" s="16" t="n">
        <v>0</v>
      </c>
    </row>
    <row r="1209">
      <c r="A1209" t="inlineStr">
        <is>
          <t>MTR-IOS-1208</t>
        </is>
      </c>
      <c r="B1209" t="inlineStr">
        <is>
          <t>Family Household</t>
        </is>
      </c>
      <c r="C1209" t="inlineStr">
        <is>
          <t>EXACT</t>
        </is>
      </c>
      <c r="D1209" t="inlineStr">
        <is>
          <t>IOS Aarav</t>
        </is>
      </c>
      <c r="E1209" s="16" t="n">
        <v>0</v>
      </c>
      <c r="F1209" s="16" t="n">
        <v>1817.62</v>
      </c>
      <c r="G1209" s="17" t="n"/>
      <c r="H1209" s="16" t="n">
        <v>-1817.62</v>
      </c>
      <c r="I1209" s="16" t="n">
        <v>0</v>
      </c>
    </row>
    <row r="1210">
      <c r="A1210" t="inlineStr">
        <is>
          <t>MTR-IOS-1208</t>
        </is>
      </c>
      <c r="B1210" t="inlineStr">
        <is>
          <t>Family Household</t>
        </is>
      </c>
      <c r="C1210" t="inlineStr">
        <is>
          <t>EXACT</t>
        </is>
      </c>
      <c r="D1210" t="inlineStr">
        <is>
          <t>IOS Meera</t>
        </is>
      </c>
      <c r="E1210" s="16" t="n">
        <v>0</v>
      </c>
      <c r="F1210" s="16" t="n">
        <v>1823.07</v>
      </c>
      <c r="G1210" s="17" t="n"/>
      <c r="H1210" s="16" t="n">
        <v>-1823.07</v>
      </c>
      <c r="I1210" s="16" t="n">
        <v>0</v>
      </c>
    </row>
    <row r="1211">
      <c r="A1211" t="inlineStr">
        <is>
          <t>MTR-IOS-1211</t>
        </is>
      </c>
      <c r="B1211" t="inlineStr">
        <is>
          <t>Family Household</t>
        </is>
      </c>
      <c r="C1211" t="inlineStr">
        <is>
          <t>SHARES</t>
        </is>
      </c>
      <c r="D1211" t="inlineStr">
        <is>
          <t>IOS Owner</t>
        </is>
      </c>
      <c r="E1211" s="16" t="n">
        <v>0</v>
      </c>
      <c r="F1211" s="16" t="n">
        <v>554.85</v>
      </c>
      <c r="G1211" s="17" t="n"/>
      <c r="H1211" s="16" t="n">
        <v>-554.85</v>
      </c>
      <c r="I1211" s="16" t="n">
        <v>0</v>
      </c>
    </row>
    <row r="1212">
      <c r="A1212" t="inlineStr">
        <is>
          <t>MTR-IOS-1211</t>
        </is>
      </c>
      <c r="B1212" t="inlineStr">
        <is>
          <t>Family Household</t>
        </is>
      </c>
      <c r="C1212" t="inlineStr">
        <is>
          <t>SHARES</t>
        </is>
      </c>
      <c r="D1212" t="inlineStr">
        <is>
          <t>IOS Aarav</t>
        </is>
      </c>
      <c r="E1212" s="16" t="n">
        <v>1109.69</v>
      </c>
      <c r="F1212" s="16" t="n">
        <v>369.9</v>
      </c>
      <c r="G1212" s="17" t="n"/>
      <c r="H1212" s="16" t="n">
        <v>739.79</v>
      </c>
      <c r="I1212" s="16" t="n">
        <v>0</v>
      </c>
    </row>
    <row r="1213">
      <c r="A1213" t="inlineStr">
        <is>
          <t>MTR-IOS-1211</t>
        </is>
      </c>
      <c r="B1213" t="inlineStr">
        <is>
          <t>Family Household</t>
        </is>
      </c>
      <c r="C1213" t="inlineStr">
        <is>
          <t>SHARES</t>
        </is>
      </c>
      <c r="D1213" t="inlineStr">
        <is>
          <t>IOS Meera</t>
        </is>
      </c>
      <c r="E1213" s="16" t="n">
        <v>0</v>
      </c>
      <c r="F1213" s="16" t="n">
        <v>184.94</v>
      </c>
      <c r="G1213" s="17" t="n"/>
      <c r="H1213" s="16" t="n">
        <v>-184.94</v>
      </c>
      <c r="I1213" s="16" t="n">
        <v>0</v>
      </c>
    </row>
    <row r="1214">
      <c r="A1214" t="inlineStr">
        <is>
          <t>MTR-IOS-1214</t>
        </is>
      </c>
      <c r="B1214" t="inlineStr">
        <is>
          <t>Custom Living</t>
        </is>
      </c>
      <c r="C1214" t="inlineStr">
        <is>
          <t>EQUAL</t>
        </is>
      </c>
      <c r="D1214" t="inlineStr">
        <is>
          <t>IOS Owner</t>
        </is>
      </c>
      <c r="E1214" s="16" t="n">
        <v>0</v>
      </c>
      <c r="F1214" s="16" t="n">
        <v>3079.44</v>
      </c>
      <c r="G1214" s="17" t="n"/>
      <c r="H1214" s="16" t="n">
        <v>-3079.44</v>
      </c>
      <c r="I1214" s="16" t="n">
        <v>0</v>
      </c>
    </row>
    <row r="1215">
      <c r="A1215" t="inlineStr">
        <is>
          <t>MTR-IOS-1214</t>
        </is>
      </c>
      <c r="B1215" t="inlineStr">
        <is>
          <t>Custom Living</t>
        </is>
      </c>
      <c r="C1215" t="inlineStr">
        <is>
          <t>EQUAL</t>
        </is>
      </c>
      <c r="D1215" t="inlineStr">
        <is>
          <t>IOS Aarav</t>
        </is>
      </c>
      <c r="E1215" s="16" t="n">
        <v>0</v>
      </c>
      <c r="F1215" s="16" t="n">
        <v>3079.44</v>
      </c>
      <c r="G1215" s="17" t="n"/>
      <c r="H1215" s="16" t="n">
        <v>-3079.44</v>
      </c>
      <c r="I1215" s="16" t="n">
        <v>0</v>
      </c>
    </row>
    <row r="1216">
      <c r="A1216" t="inlineStr">
        <is>
          <t>MTR-IOS-1214</t>
        </is>
      </c>
      <c r="B1216" t="inlineStr">
        <is>
          <t>Custom Living</t>
        </is>
      </c>
      <c r="C1216" t="inlineStr">
        <is>
          <t>EQUAL</t>
        </is>
      </c>
      <c r="D1216" t="inlineStr">
        <is>
          <t>IOS Meera</t>
        </is>
      </c>
      <c r="E1216" s="16" t="n">
        <v>9238.32</v>
      </c>
      <c r="F1216" s="16" t="n">
        <v>3079.44</v>
      </c>
      <c r="G1216" s="17" t="n"/>
      <c r="H1216" s="16" t="n">
        <v>6158.88</v>
      </c>
      <c r="I1216" s="16" t="n">
        <v>0</v>
      </c>
    </row>
    <row r="1217">
      <c r="A1217" t="inlineStr">
        <is>
          <t>MTR-IOS-1217</t>
        </is>
      </c>
      <c r="B1217" t="inlineStr">
        <is>
          <t>Custom Living</t>
        </is>
      </c>
      <c r="C1217" t="inlineStr">
        <is>
          <t>PERCENTAGE</t>
        </is>
      </c>
      <c r="D1217" t="inlineStr">
        <is>
          <t>IOS Owner</t>
        </is>
      </c>
      <c r="E1217" s="16" t="n">
        <v>24877.54</v>
      </c>
      <c r="F1217" s="16" t="n">
        <v>12438.77</v>
      </c>
      <c r="G1217" s="17" t="n">
        <v>50</v>
      </c>
      <c r="H1217" s="16" t="n">
        <v>12438.77</v>
      </c>
      <c r="I1217" s="16" t="n">
        <v>0</v>
      </c>
    </row>
    <row r="1218">
      <c r="A1218" t="inlineStr">
        <is>
          <t>MTR-IOS-1217</t>
        </is>
      </c>
      <c r="B1218" t="inlineStr">
        <is>
          <t>Custom Living</t>
        </is>
      </c>
      <c r="C1218" t="inlineStr">
        <is>
          <t>PERCENTAGE</t>
        </is>
      </c>
      <c r="D1218" t="inlineStr">
        <is>
          <t>IOS Aarav</t>
        </is>
      </c>
      <c r="E1218" s="16" t="n">
        <v>0</v>
      </c>
      <c r="F1218" s="16" t="n">
        <v>7463.26</v>
      </c>
      <c r="G1218" s="17" t="n">
        <v>30</v>
      </c>
      <c r="H1218" s="16" t="n">
        <v>-7463.26</v>
      </c>
      <c r="I1218" s="16" t="n">
        <v>0</v>
      </c>
    </row>
    <row r="1219">
      <c r="A1219" t="inlineStr">
        <is>
          <t>MTR-IOS-1217</t>
        </is>
      </c>
      <c r="B1219" t="inlineStr">
        <is>
          <t>Custom Living</t>
        </is>
      </c>
      <c r="C1219" t="inlineStr">
        <is>
          <t>PERCENTAGE</t>
        </is>
      </c>
      <c r="D1219" t="inlineStr">
        <is>
          <t>IOS Meera</t>
        </is>
      </c>
      <c r="E1219" s="16" t="n">
        <v>0</v>
      </c>
      <c r="F1219" s="16" t="n">
        <v>4975.51</v>
      </c>
      <c r="G1219" s="17" t="n">
        <v>20</v>
      </c>
      <c r="H1219" s="16" t="n">
        <v>-4975.51</v>
      </c>
      <c r="I1219" s="16" t="n">
        <v>0</v>
      </c>
    </row>
    <row r="1220">
      <c r="A1220" t="inlineStr">
        <is>
          <t>MTR-IOS-1220</t>
        </is>
      </c>
      <c r="B1220" t="inlineStr">
        <is>
          <t>Trip</t>
        </is>
      </c>
      <c r="C1220" t="inlineStr">
        <is>
          <t>EXACT</t>
        </is>
      </c>
      <c r="D1220" t="inlineStr">
        <is>
          <t>IOS Owner</t>
        </is>
      </c>
      <c r="E1220" s="16" t="n">
        <v>0</v>
      </c>
      <c r="F1220" s="16" t="n">
        <v>1455.99</v>
      </c>
      <c r="G1220" s="17" t="n"/>
      <c r="H1220" s="16" t="n">
        <v>-1455.99</v>
      </c>
      <c r="I1220" s="16" t="n">
        <v>0</v>
      </c>
    </row>
    <row r="1221">
      <c r="A1221" t="inlineStr">
        <is>
          <t>MTR-IOS-1220</t>
        </is>
      </c>
      <c r="B1221" t="inlineStr">
        <is>
          <t>Trip</t>
        </is>
      </c>
      <c r="C1221" t="inlineStr">
        <is>
          <t>EXACT</t>
        </is>
      </c>
      <c r="D1221" t="inlineStr">
        <is>
          <t>IOS Aarav</t>
        </is>
      </c>
      <c r="E1221" s="16" t="n">
        <v>4372.35</v>
      </c>
      <c r="F1221" s="16" t="n">
        <v>1455.99</v>
      </c>
      <c r="G1221" s="17" t="n"/>
      <c r="H1221" s="16" t="n">
        <v>2916.36</v>
      </c>
      <c r="I1221" s="16" t="n">
        <v>0</v>
      </c>
    </row>
    <row r="1222">
      <c r="A1222" t="inlineStr">
        <is>
          <t>MTR-IOS-1220</t>
        </is>
      </c>
      <c r="B1222" t="inlineStr">
        <is>
          <t>Trip</t>
        </is>
      </c>
      <c r="C1222" t="inlineStr">
        <is>
          <t>EXACT</t>
        </is>
      </c>
      <c r="D1222" t="inlineStr">
        <is>
          <t>IOS Meera</t>
        </is>
      </c>
      <c r="E1222" s="16" t="n">
        <v>0</v>
      </c>
      <c r="F1222" s="16" t="n">
        <v>1460.37</v>
      </c>
      <c r="G1222" s="17" t="n"/>
      <c r="H1222" s="16" t="n">
        <v>-1460.37</v>
      </c>
      <c r="I1222" s="16" t="n">
        <v>0</v>
      </c>
    </row>
    <row r="1223">
      <c r="A1223" t="inlineStr">
        <is>
          <t>MTR-IOS-1223</t>
        </is>
      </c>
      <c r="B1223" t="inlineStr">
        <is>
          <t>Trip</t>
        </is>
      </c>
      <c r="C1223" t="inlineStr">
        <is>
          <t>SHARES</t>
        </is>
      </c>
      <c r="D1223" t="inlineStr">
        <is>
          <t>IOS Owner</t>
        </is>
      </c>
      <c r="E1223" s="16" t="n">
        <v>0</v>
      </c>
      <c r="F1223" s="16" t="n">
        <v>11150.25</v>
      </c>
      <c r="G1223" s="17" t="n"/>
      <c r="H1223" s="16" t="n">
        <v>-11150.25</v>
      </c>
      <c r="I1223" s="16" t="n">
        <v>0</v>
      </c>
    </row>
    <row r="1224">
      <c r="A1224" t="inlineStr">
        <is>
          <t>MTR-IOS-1223</t>
        </is>
      </c>
      <c r="B1224" t="inlineStr">
        <is>
          <t>Trip</t>
        </is>
      </c>
      <c r="C1224" t="inlineStr">
        <is>
          <t>SHARES</t>
        </is>
      </c>
      <c r="D1224" t="inlineStr">
        <is>
          <t>IOS Aarav</t>
        </is>
      </c>
      <c r="E1224" s="16" t="n">
        <v>0</v>
      </c>
      <c r="F1224" s="16" t="n">
        <v>7433.5</v>
      </c>
      <c r="G1224" s="17" t="n"/>
      <c r="H1224" s="16" t="n">
        <v>-7433.5</v>
      </c>
      <c r="I1224" s="16" t="n">
        <v>0</v>
      </c>
    </row>
    <row r="1225">
      <c r="A1225" t="inlineStr">
        <is>
          <t>MTR-IOS-1223</t>
        </is>
      </c>
      <c r="B1225" t="inlineStr">
        <is>
          <t>Trip</t>
        </is>
      </c>
      <c r="C1225" t="inlineStr">
        <is>
          <t>SHARES</t>
        </is>
      </c>
      <c r="D1225" t="inlineStr">
        <is>
          <t>IOS Meera</t>
        </is>
      </c>
      <c r="E1225" s="16" t="n">
        <v>22300.5</v>
      </c>
      <c r="F1225" s="16" t="n">
        <v>3716.75</v>
      </c>
      <c r="G1225" s="17" t="n"/>
      <c r="H1225" s="16" t="n">
        <v>18583.75</v>
      </c>
      <c r="I1225" s="16" t="n">
        <v>0</v>
      </c>
    </row>
    <row r="1226">
      <c r="A1226" t="inlineStr">
        <is>
          <t>MTR-IOS-1226</t>
        </is>
      </c>
      <c r="B1226" t="inlineStr">
        <is>
          <t>Trip</t>
        </is>
      </c>
      <c r="C1226" t="inlineStr">
        <is>
          <t>EQUAL</t>
        </is>
      </c>
      <c r="D1226" t="inlineStr">
        <is>
          <t>IOS Owner</t>
        </is>
      </c>
      <c r="E1226" s="16" t="n">
        <v>22803.04</v>
      </c>
      <c r="F1226" s="16" t="n">
        <v>7601.01</v>
      </c>
      <c r="G1226" s="17" t="n"/>
      <c r="H1226" s="16" t="n">
        <v>15202.03</v>
      </c>
      <c r="I1226" s="16" t="n">
        <v>0</v>
      </c>
    </row>
    <row r="1227">
      <c r="A1227" t="inlineStr">
        <is>
          <t>MTR-IOS-1226</t>
        </is>
      </c>
      <c r="B1227" t="inlineStr">
        <is>
          <t>Trip</t>
        </is>
      </c>
      <c r="C1227" t="inlineStr">
        <is>
          <t>EQUAL</t>
        </is>
      </c>
      <c r="D1227" t="inlineStr">
        <is>
          <t>IOS Aarav</t>
        </is>
      </c>
      <c r="E1227" s="16" t="n">
        <v>0</v>
      </c>
      <c r="F1227" s="16" t="n">
        <v>7601.01</v>
      </c>
      <c r="G1227" s="17" t="n"/>
      <c r="H1227" s="16" t="n">
        <v>-7601.01</v>
      </c>
      <c r="I1227" s="16" t="n">
        <v>0</v>
      </c>
    </row>
    <row r="1228">
      <c r="A1228" t="inlineStr">
        <is>
          <t>MTR-IOS-1226</t>
        </is>
      </c>
      <c r="B1228" t="inlineStr">
        <is>
          <t>Trip</t>
        </is>
      </c>
      <c r="C1228" t="inlineStr">
        <is>
          <t>EQUAL</t>
        </is>
      </c>
      <c r="D1228" t="inlineStr">
        <is>
          <t>IOS Meera</t>
        </is>
      </c>
      <c r="E1228" s="16" t="n">
        <v>0</v>
      </c>
      <c r="F1228" s="16" t="n">
        <v>7601.02</v>
      </c>
      <c r="G1228" s="17" t="n"/>
      <c r="H1228" s="16" t="n">
        <v>-7601.02</v>
      </c>
      <c r="I1228" s="16" t="n">
        <v>0</v>
      </c>
    </row>
    <row r="1229">
      <c r="A1229" t="inlineStr">
        <is>
          <t>MTR-IOS-1229</t>
        </is>
      </c>
      <c r="B1229" t="inlineStr">
        <is>
          <t>Trip</t>
        </is>
      </c>
      <c r="C1229" t="inlineStr">
        <is>
          <t>PERCENTAGE</t>
        </is>
      </c>
      <c r="D1229" t="inlineStr">
        <is>
          <t>IOS Owner</t>
        </is>
      </c>
      <c r="E1229" s="16" t="n">
        <v>0</v>
      </c>
      <c r="F1229" s="16" t="n">
        <v>9788.58</v>
      </c>
      <c r="G1229" s="17" t="n">
        <v>50</v>
      </c>
      <c r="H1229" s="16" t="n">
        <v>-9788.58</v>
      </c>
      <c r="I1229" s="16" t="n">
        <v>0</v>
      </c>
    </row>
    <row r="1230">
      <c r="A1230" t="inlineStr">
        <is>
          <t>MTR-IOS-1229</t>
        </is>
      </c>
      <c r="B1230" t="inlineStr">
        <is>
          <t>Trip</t>
        </is>
      </c>
      <c r="C1230" t="inlineStr">
        <is>
          <t>PERCENTAGE</t>
        </is>
      </c>
      <c r="D1230" t="inlineStr">
        <is>
          <t>IOS Aarav</t>
        </is>
      </c>
      <c r="E1230" s="16" t="n">
        <v>19577.15</v>
      </c>
      <c r="F1230" s="16" t="n">
        <v>5873.15</v>
      </c>
      <c r="G1230" s="17" t="n">
        <v>30</v>
      </c>
      <c r="H1230" s="16" t="n">
        <v>13704</v>
      </c>
      <c r="I1230" s="16" t="n">
        <v>0</v>
      </c>
    </row>
    <row r="1231">
      <c r="A1231" t="inlineStr">
        <is>
          <t>MTR-IOS-1229</t>
        </is>
      </c>
      <c r="B1231" t="inlineStr">
        <is>
          <t>Trip</t>
        </is>
      </c>
      <c r="C1231" t="inlineStr">
        <is>
          <t>PERCENTAGE</t>
        </is>
      </c>
      <c r="D1231" t="inlineStr">
        <is>
          <t>IOS Meera</t>
        </is>
      </c>
      <c r="E1231" s="16" t="n">
        <v>0</v>
      </c>
      <c r="F1231" s="16" t="n">
        <v>3915.42</v>
      </c>
      <c r="G1231" s="17" t="n">
        <v>20</v>
      </c>
      <c r="H1231" s="16" t="n">
        <v>-3915.42</v>
      </c>
      <c r="I1231" s="16" t="n">
        <v>0</v>
      </c>
    </row>
    <row r="1232">
      <c r="A1232" t="inlineStr">
        <is>
          <t>MTR-IOS-1232</t>
        </is>
      </c>
      <c r="B1232" t="inlineStr">
        <is>
          <t>Trip</t>
        </is>
      </c>
      <c r="C1232" t="inlineStr">
        <is>
          <t>EXACT</t>
        </is>
      </c>
      <c r="D1232" t="inlineStr">
        <is>
          <t>IOS Owner</t>
        </is>
      </c>
      <c r="E1232" s="16" t="n">
        <v>0</v>
      </c>
      <c r="F1232" s="16" t="n">
        <v>456.52</v>
      </c>
      <c r="G1232" s="17" t="n"/>
      <c r="H1232" s="16" t="n">
        <v>-456.52</v>
      </c>
      <c r="I1232" s="16" t="n">
        <v>0</v>
      </c>
    </row>
    <row r="1233">
      <c r="A1233" t="inlineStr">
        <is>
          <t>MTR-IOS-1232</t>
        </is>
      </c>
      <c r="B1233" t="inlineStr">
        <is>
          <t>Trip</t>
        </is>
      </c>
      <c r="C1233" t="inlineStr">
        <is>
          <t>EXACT</t>
        </is>
      </c>
      <c r="D1233" t="inlineStr">
        <is>
          <t>IOS Aarav</t>
        </is>
      </c>
      <c r="E1233" s="16" t="n">
        <v>0</v>
      </c>
      <c r="F1233" s="16" t="n">
        <v>456.52</v>
      </c>
      <c r="G1233" s="17" t="n"/>
      <c r="H1233" s="16" t="n">
        <v>-456.52</v>
      </c>
      <c r="I1233" s="16" t="n">
        <v>0</v>
      </c>
    </row>
    <row r="1234">
      <c r="A1234" t="inlineStr">
        <is>
          <t>MTR-IOS-1232</t>
        </is>
      </c>
      <c r="B1234" t="inlineStr">
        <is>
          <t>Trip</t>
        </is>
      </c>
      <c r="C1234" t="inlineStr">
        <is>
          <t>EXACT</t>
        </is>
      </c>
      <c r="D1234" t="inlineStr">
        <is>
          <t>IOS Meera</t>
        </is>
      </c>
      <c r="E1234" s="16" t="n">
        <v>1370.93</v>
      </c>
      <c r="F1234" s="16" t="n">
        <v>457.89</v>
      </c>
      <c r="G1234" s="17" t="n"/>
      <c r="H1234" s="16" t="n">
        <v>913.04</v>
      </c>
      <c r="I1234" s="16" t="n">
        <v>0</v>
      </c>
    </row>
    <row r="1235">
      <c r="A1235" t="inlineStr">
        <is>
          <t>MTR-IOS-1235</t>
        </is>
      </c>
      <c r="B1235" t="inlineStr">
        <is>
          <t>Trip</t>
        </is>
      </c>
      <c r="C1235" t="inlineStr">
        <is>
          <t>SHARES</t>
        </is>
      </c>
      <c r="D1235" t="inlineStr">
        <is>
          <t>IOS Owner</t>
        </is>
      </c>
      <c r="E1235" s="16" t="n">
        <v>25577.46</v>
      </c>
      <c r="F1235" s="16" t="n">
        <v>12788.73</v>
      </c>
      <c r="G1235" s="17" t="n"/>
      <c r="H1235" s="16" t="n">
        <v>12788.73</v>
      </c>
      <c r="I1235" s="16" t="n">
        <v>0</v>
      </c>
    </row>
    <row r="1236">
      <c r="A1236" t="inlineStr">
        <is>
          <t>MTR-IOS-1235</t>
        </is>
      </c>
      <c r="B1236" t="inlineStr">
        <is>
          <t>Trip</t>
        </is>
      </c>
      <c r="C1236" t="inlineStr">
        <is>
          <t>SHARES</t>
        </is>
      </c>
      <c r="D1236" t="inlineStr">
        <is>
          <t>IOS Aarav</t>
        </is>
      </c>
      <c r="E1236" s="16" t="n">
        <v>0</v>
      </c>
      <c r="F1236" s="16" t="n">
        <v>8525.82</v>
      </c>
      <c r="G1236" s="17" t="n"/>
      <c r="H1236" s="16" t="n">
        <v>-8525.82</v>
      </c>
      <c r="I1236" s="16" t="n">
        <v>0</v>
      </c>
    </row>
    <row r="1237">
      <c r="A1237" t="inlineStr">
        <is>
          <t>MTR-IOS-1235</t>
        </is>
      </c>
      <c r="B1237" t="inlineStr">
        <is>
          <t>Trip</t>
        </is>
      </c>
      <c r="C1237" t="inlineStr">
        <is>
          <t>SHARES</t>
        </is>
      </c>
      <c r="D1237" t="inlineStr">
        <is>
          <t>IOS Meera</t>
        </is>
      </c>
      <c r="E1237" s="16" t="n">
        <v>0</v>
      </c>
      <c r="F1237" s="16" t="n">
        <v>4262.91</v>
      </c>
      <c r="G1237" s="17" t="n"/>
      <c r="H1237" s="16" t="n">
        <v>-4262.91</v>
      </c>
      <c r="I1237" s="16" t="n">
        <v>0</v>
      </c>
    </row>
    <row r="1238">
      <c r="A1238" t="inlineStr">
        <is>
          <t>MTR-IOS-1238</t>
        </is>
      </c>
      <c r="B1238" t="inlineStr">
        <is>
          <t>Trip</t>
        </is>
      </c>
      <c r="C1238" t="inlineStr">
        <is>
          <t>EQUAL</t>
        </is>
      </c>
      <c r="D1238" t="inlineStr">
        <is>
          <t>IOS Owner</t>
        </is>
      </c>
      <c r="E1238" s="16" t="n">
        <v>0</v>
      </c>
      <c r="F1238" s="16" t="n">
        <v>3861.62</v>
      </c>
      <c r="G1238" s="17" t="n"/>
      <c r="H1238" s="16" t="n">
        <v>-3861.62</v>
      </c>
      <c r="I1238" s="16" t="n">
        <v>0</v>
      </c>
    </row>
    <row r="1239">
      <c r="A1239" t="inlineStr">
        <is>
          <t>MTR-IOS-1238</t>
        </is>
      </c>
      <c r="B1239" t="inlineStr">
        <is>
          <t>Trip</t>
        </is>
      </c>
      <c r="C1239" t="inlineStr">
        <is>
          <t>EQUAL</t>
        </is>
      </c>
      <c r="D1239" t="inlineStr">
        <is>
          <t>IOS Aarav</t>
        </is>
      </c>
      <c r="E1239" s="16" t="n">
        <v>11584.86</v>
      </c>
      <c r="F1239" s="16" t="n">
        <v>3861.62</v>
      </c>
      <c r="G1239" s="17" t="n"/>
      <c r="H1239" s="16" t="n">
        <v>7723.24</v>
      </c>
      <c r="I1239" s="16" t="n">
        <v>0</v>
      </c>
    </row>
    <row r="1240">
      <c r="A1240" t="inlineStr">
        <is>
          <t>MTR-IOS-1238</t>
        </is>
      </c>
      <c r="B1240" t="inlineStr">
        <is>
          <t>Trip</t>
        </is>
      </c>
      <c r="C1240" t="inlineStr">
        <is>
          <t>EQUAL</t>
        </is>
      </c>
      <c r="D1240" t="inlineStr">
        <is>
          <t>IOS Meera</t>
        </is>
      </c>
      <c r="E1240" s="16" t="n">
        <v>0</v>
      </c>
      <c r="F1240" s="16" t="n">
        <v>3861.62</v>
      </c>
      <c r="G1240" s="17" t="n"/>
      <c r="H1240" s="16" t="n">
        <v>-3861.62</v>
      </c>
      <c r="I1240" s="16" t="n">
        <v>0</v>
      </c>
    </row>
    <row r="1241">
      <c r="A1241" t="inlineStr">
        <is>
          <t>MTR-IOS-1241</t>
        </is>
      </c>
      <c r="B1241" t="inlineStr">
        <is>
          <t>Wedding</t>
        </is>
      </c>
      <c r="C1241" t="inlineStr">
        <is>
          <t>PERCENTAGE</t>
        </is>
      </c>
      <c r="D1241" t="inlineStr">
        <is>
          <t>IOS Owner</t>
        </is>
      </c>
      <c r="E1241" s="16" t="n">
        <v>0</v>
      </c>
      <c r="F1241" s="16" t="n">
        <v>8596.110000000001</v>
      </c>
      <c r="G1241" s="17" t="n">
        <v>50</v>
      </c>
      <c r="H1241" s="16" t="n">
        <v>-8596.110000000001</v>
      </c>
      <c r="I1241" s="16" t="n">
        <v>0</v>
      </c>
    </row>
    <row r="1242">
      <c r="A1242" t="inlineStr">
        <is>
          <t>MTR-IOS-1241</t>
        </is>
      </c>
      <c r="B1242" t="inlineStr">
        <is>
          <t>Wedding</t>
        </is>
      </c>
      <c r="C1242" t="inlineStr">
        <is>
          <t>PERCENTAGE</t>
        </is>
      </c>
      <c r="D1242" t="inlineStr">
        <is>
          <t>IOS Aarav</t>
        </is>
      </c>
      <c r="E1242" s="16" t="n">
        <v>0</v>
      </c>
      <c r="F1242" s="16" t="n">
        <v>5157.67</v>
      </c>
      <c r="G1242" s="17" t="n">
        <v>30</v>
      </c>
      <c r="H1242" s="16" t="n">
        <v>-5157.67</v>
      </c>
      <c r="I1242" s="16" t="n">
        <v>0</v>
      </c>
    </row>
    <row r="1243">
      <c r="A1243" t="inlineStr">
        <is>
          <t>MTR-IOS-1241</t>
        </is>
      </c>
      <c r="B1243" t="inlineStr">
        <is>
          <t>Wedding</t>
        </is>
      </c>
      <c r="C1243" t="inlineStr">
        <is>
          <t>PERCENTAGE</t>
        </is>
      </c>
      <c r="D1243" t="inlineStr">
        <is>
          <t>IOS Meera</t>
        </is>
      </c>
      <c r="E1243" s="16" t="n">
        <v>17192.22</v>
      </c>
      <c r="F1243" s="16" t="n">
        <v>3438.44</v>
      </c>
      <c r="G1243" s="17" t="n">
        <v>20</v>
      </c>
      <c r="H1243" s="16" t="n">
        <v>13753.78</v>
      </c>
      <c r="I1243" s="16" t="n">
        <v>0</v>
      </c>
    </row>
    <row r="1244">
      <c r="A1244" t="inlineStr">
        <is>
          <t>MTR-IOS-1244</t>
        </is>
      </c>
      <c r="B1244" t="inlineStr">
        <is>
          <t>Wedding</t>
        </is>
      </c>
      <c r="C1244" t="inlineStr">
        <is>
          <t>EXACT</t>
        </is>
      </c>
      <c r="D1244" t="inlineStr">
        <is>
          <t>IOS Owner</t>
        </is>
      </c>
      <c r="E1244" s="16" t="n">
        <v>834.4400000000001</v>
      </c>
      <c r="F1244" s="16" t="n">
        <v>277.87</v>
      </c>
      <c r="G1244" s="17" t="n"/>
      <c r="H1244" s="16" t="n">
        <v>556.5700000000001</v>
      </c>
      <c r="I1244" s="16" t="n">
        <v>0</v>
      </c>
    </row>
    <row r="1245">
      <c r="A1245" t="inlineStr">
        <is>
          <t>MTR-IOS-1244</t>
        </is>
      </c>
      <c r="B1245" t="inlineStr">
        <is>
          <t>Wedding</t>
        </is>
      </c>
      <c r="C1245" t="inlineStr">
        <is>
          <t>EXACT</t>
        </is>
      </c>
      <c r="D1245" t="inlineStr">
        <is>
          <t>IOS Aarav</t>
        </is>
      </c>
      <c r="E1245" s="16" t="n">
        <v>0</v>
      </c>
      <c r="F1245" s="16" t="n">
        <v>277.87</v>
      </c>
      <c r="G1245" s="17" t="n"/>
      <c r="H1245" s="16" t="n">
        <v>-277.87</v>
      </c>
      <c r="I1245" s="16" t="n">
        <v>0</v>
      </c>
    </row>
    <row r="1246">
      <c r="A1246" t="inlineStr">
        <is>
          <t>MTR-IOS-1244</t>
        </is>
      </c>
      <c r="B1246" t="inlineStr">
        <is>
          <t>Wedding</t>
        </is>
      </c>
      <c r="C1246" t="inlineStr">
        <is>
          <t>EXACT</t>
        </is>
      </c>
      <c r="D1246" t="inlineStr">
        <is>
          <t>IOS Meera</t>
        </is>
      </c>
      <c r="E1246" s="16" t="n">
        <v>0</v>
      </c>
      <c r="F1246" s="16" t="n">
        <v>278.7</v>
      </c>
      <c r="G1246" s="17" t="n"/>
      <c r="H1246" s="16" t="n">
        <v>-278.7</v>
      </c>
      <c r="I1246" s="16" t="n">
        <v>0</v>
      </c>
    </row>
    <row r="1247">
      <c r="A1247" t="inlineStr">
        <is>
          <t>MTR-IOS-1247</t>
        </is>
      </c>
      <c r="B1247" t="inlineStr">
        <is>
          <t>Wedding</t>
        </is>
      </c>
      <c r="C1247" t="inlineStr">
        <is>
          <t>SHARES</t>
        </is>
      </c>
      <c r="D1247" t="inlineStr">
        <is>
          <t>IOS Owner</t>
        </is>
      </c>
      <c r="E1247" s="16" t="n">
        <v>0</v>
      </c>
      <c r="F1247" s="16" t="n">
        <v>2703.25</v>
      </c>
      <c r="G1247" s="17" t="n"/>
      <c r="H1247" s="16" t="n">
        <v>-2703.25</v>
      </c>
      <c r="I1247" s="16" t="n">
        <v>0</v>
      </c>
    </row>
    <row r="1248">
      <c r="A1248" t="inlineStr">
        <is>
          <t>MTR-IOS-1247</t>
        </is>
      </c>
      <c r="B1248" t="inlineStr">
        <is>
          <t>Wedding</t>
        </is>
      </c>
      <c r="C1248" t="inlineStr">
        <is>
          <t>SHARES</t>
        </is>
      </c>
      <c r="D1248" t="inlineStr">
        <is>
          <t>IOS Aarav</t>
        </is>
      </c>
      <c r="E1248" s="16" t="n">
        <v>5406.49</v>
      </c>
      <c r="F1248" s="16" t="n">
        <v>1802.16</v>
      </c>
      <c r="G1248" s="17" t="n"/>
      <c r="H1248" s="16" t="n">
        <v>3604.33</v>
      </c>
      <c r="I1248" s="16" t="n">
        <v>0</v>
      </c>
    </row>
    <row r="1249">
      <c r="A1249" t="inlineStr">
        <is>
          <t>MTR-IOS-1247</t>
        </is>
      </c>
      <c r="B1249" t="inlineStr">
        <is>
          <t>Wedding</t>
        </is>
      </c>
      <c r="C1249" t="inlineStr">
        <is>
          <t>SHARES</t>
        </is>
      </c>
      <c r="D1249" t="inlineStr">
        <is>
          <t>IOS Meera</t>
        </is>
      </c>
      <c r="E1249" s="16" t="n">
        <v>0</v>
      </c>
      <c r="F1249" s="16" t="n">
        <v>901.08</v>
      </c>
      <c r="G1249" s="17" t="n"/>
      <c r="H1249" s="16" t="n">
        <v>-901.08</v>
      </c>
      <c r="I1249" s="16" t="n">
        <v>0</v>
      </c>
    </row>
    <row r="1250">
      <c r="A1250" t="inlineStr">
        <is>
          <t>MTR-IOS-1250</t>
        </is>
      </c>
      <c r="B1250" t="inlineStr">
        <is>
          <t>Wedding</t>
        </is>
      </c>
      <c r="C1250" t="inlineStr">
        <is>
          <t>EQUAL</t>
        </is>
      </c>
      <c r="D1250" t="inlineStr">
        <is>
          <t>IOS Owner</t>
        </is>
      </c>
      <c r="E1250" s="16" t="n">
        <v>0</v>
      </c>
      <c r="F1250" s="16" t="n">
        <v>3632.75</v>
      </c>
      <c r="G1250" s="17" t="n"/>
      <c r="H1250" s="16" t="n">
        <v>-3632.75</v>
      </c>
      <c r="I1250" s="16" t="n">
        <v>0</v>
      </c>
    </row>
    <row r="1251">
      <c r="A1251" t="inlineStr">
        <is>
          <t>MTR-IOS-1250</t>
        </is>
      </c>
      <c r="B1251" t="inlineStr">
        <is>
          <t>Wedding</t>
        </is>
      </c>
      <c r="C1251" t="inlineStr">
        <is>
          <t>EQUAL</t>
        </is>
      </c>
      <c r="D1251" t="inlineStr">
        <is>
          <t>IOS Aarav</t>
        </is>
      </c>
      <c r="E1251" s="16" t="n">
        <v>0</v>
      </c>
      <c r="F1251" s="16" t="n">
        <v>3632.75</v>
      </c>
      <c r="G1251" s="17" t="n"/>
      <c r="H1251" s="16" t="n">
        <v>-3632.75</v>
      </c>
      <c r="I1251" s="16" t="n">
        <v>0</v>
      </c>
    </row>
    <row r="1252">
      <c r="A1252" t="inlineStr">
        <is>
          <t>MTR-IOS-1250</t>
        </is>
      </c>
      <c r="B1252" t="inlineStr">
        <is>
          <t>Wedding</t>
        </is>
      </c>
      <c r="C1252" t="inlineStr">
        <is>
          <t>EQUAL</t>
        </is>
      </c>
      <c r="D1252" t="inlineStr">
        <is>
          <t>IOS Meera</t>
        </is>
      </c>
      <c r="E1252" s="16" t="n">
        <v>10898.25</v>
      </c>
      <c r="F1252" s="16" t="n">
        <v>3632.75</v>
      </c>
      <c r="G1252" s="17" t="n"/>
      <c r="H1252" s="16" t="n">
        <v>7265.5</v>
      </c>
      <c r="I1252" s="16" t="n">
        <v>0</v>
      </c>
    </row>
    <row r="1253">
      <c r="A1253" t="inlineStr">
        <is>
          <t>MTR-IOS-1253</t>
        </is>
      </c>
      <c r="B1253" t="inlineStr">
        <is>
          <t>Wedding</t>
        </is>
      </c>
      <c r="C1253" t="inlineStr">
        <is>
          <t>PERCENTAGE</t>
        </is>
      </c>
      <c r="D1253" t="inlineStr">
        <is>
          <t>IOS Owner</t>
        </is>
      </c>
      <c r="E1253" s="16" t="n">
        <v>22610.63</v>
      </c>
      <c r="F1253" s="16" t="n">
        <v>11305.32</v>
      </c>
      <c r="G1253" s="17" t="n">
        <v>50</v>
      </c>
      <c r="H1253" s="16" t="n">
        <v>11305.31</v>
      </c>
      <c r="I1253" s="16" t="n">
        <v>0</v>
      </c>
    </row>
    <row r="1254">
      <c r="A1254" t="inlineStr">
        <is>
          <t>MTR-IOS-1253</t>
        </is>
      </c>
      <c r="B1254" t="inlineStr">
        <is>
          <t>Wedding</t>
        </is>
      </c>
      <c r="C1254" t="inlineStr">
        <is>
          <t>PERCENTAGE</t>
        </is>
      </c>
      <c r="D1254" t="inlineStr">
        <is>
          <t>IOS Aarav</t>
        </is>
      </c>
      <c r="E1254" s="16" t="n">
        <v>0</v>
      </c>
      <c r="F1254" s="16" t="n">
        <v>6783.19</v>
      </c>
      <c r="G1254" s="17" t="n">
        <v>30</v>
      </c>
      <c r="H1254" s="16" t="n">
        <v>-6783.19</v>
      </c>
      <c r="I1254" s="16" t="n">
        <v>0</v>
      </c>
    </row>
    <row r="1255">
      <c r="A1255" t="inlineStr">
        <is>
          <t>MTR-IOS-1253</t>
        </is>
      </c>
      <c r="B1255" t="inlineStr">
        <is>
          <t>Wedding</t>
        </is>
      </c>
      <c r="C1255" t="inlineStr">
        <is>
          <t>PERCENTAGE</t>
        </is>
      </c>
      <c r="D1255" t="inlineStr">
        <is>
          <t>IOS Meera</t>
        </is>
      </c>
      <c r="E1255" s="16" t="n">
        <v>0</v>
      </c>
      <c r="F1255" s="16" t="n">
        <v>4522.12</v>
      </c>
      <c r="G1255" s="17" t="n">
        <v>20</v>
      </c>
      <c r="H1255" s="16" t="n">
        <v>-4522.12</v>
      </c>
      <c r="I1255" s="16" t="n">
        <v>0</v>
      </c>
    </row>
    <row r="1256">
      <c r="A1256" t="inlineStr">
        <is>
          <t>MTR-IOS-1256</t>
        </is>
      </c>
      <c r="B1256" t="inlineStr">
        <is>
          <t>Wedding</t>
        </is>
      </c>
      <c r="C1256" t="inlineStr">
        <is>
          <t>EXACT</t>
        </is>
      </c>
      <c r="D1256" t="inlineStr">
        <is>
          <t>IOS Owner</t>
        </is>
      </c>
      <c r="E1256" s="16" t="n">
        <v>0</v>
      </c>
      <c r="F1256" s="16" t="n">
        <v>428.12</v>
      </c>
      <c r="G1256" s="17" t="n"/>
      <c r="H1256" s="16" t="n">
        <v>-428.12</v>
      </c>
      <c r="I1256" s="16" t="n">
        <v>0</v>
      </c>
    </row>
    <row r="1257">
      <c r="A1257" t="inlineStr">
        <is>
          <t>MTR-IOS-1256</t>
        </is>
      </c>
      <c r="B1257" t="inlineStr">
        <is>
          <t>Wedding</t>
        </is>
      </c>
      <c r="C1257" t="inlineStr">
        <is>
          <t>EXACT</t>
        </is>
      </c>
      <c r="D1257" t="inlineStr">
        <is>
          <t>IOS Aarav</t>
        </is>
      </c>
      <c r="E1257" s="16" t="n">
        <v>1285.64</v>
      </c>
      <c r="F1257" s="16" t="n">
        <v>428.12</v>
      </c>
      <c r="G1257" s="17" t="n"/>
      <c r="H1257" s="16" t="n">
        <v>857.52</v>
      </c>
      <c r="I1257" s="16" t="n">
        <v>0</v>
      </c>
    </row>
    <row r="1258">
      <c r="A1258" t="inlineStr">
        <is>
          <t>MTR-IOS-1256</t>
        </is>
      </c>
      <c r="B1258" t="inlineStr">
        <is>
          <t>Wedding</t>
        </is>
      </c>
      <c r="C1258" t="inlineStr">
        <is>
          <t>EXACT</t>
        </is>
      </c>
      <c r="D1258" t="inlineStr">
        <is>
          <t>IOS Meera</t>
        </is>
      </c>
      <c r="E1258" s="16" t="n">
        <v>0</v>
      </c>
      <c r="F1258" s="16" t="n">
        <v>429.4</v>
      </c>
      <c r="G1258" s="17" t="n"/>
      <c r="H1258" s="16" t="n">
        <v>-429.4</v>
      </c>
      <c r="I1258" s="16" t="n">
        <v>0</v>
      </c>
    </row>
    <row r="1259">
      <c r="A1259" t="inlineStr">
        <is>
          <t>MTR-IOS-1259</t>
        </is>
      </c>
      <c r="B1259" t="inlineStr">
        <is>
          <t>Wedding</t>
        </is>
      </c>
      <c r="C1259" t="inlineStr">
        <is>
          <t>SHARES</t>
        </is>
      </c>
      <c r="D1259" t="inlineStr">
        <is>
          <t>IOS Owner</t>
        </is>
      </c>
      <c r="E1259" s="16" t="n">
        <v>0</v>
      </c>
      <c r="F1259" s="16" t="n">
        <v>4675.48</v>
      </c>
      <c r="G1259" s="17" t="n"/>
      <c r="H1259" s="16" t="n">
        <v>-4675.48</v>
      </c>
      <c r="I1259" s="16" t="n">
        <v>0</v>
      </c>
    </row>
    <row r="1260">
      <c r="A1260" t="inlineStr">
        <is>
          <t>MTR-IOS-1259</t>
        </is>
      </c>
      <c r="B1260" t="inlineStr">
        <is>
          <t>Wedding</t>
        </is>
      </c>
      <c r="C1260" t="inlineStr">
        <is>
          <t>SHARES</t>
        </is>
      </c>
      <c r="D1260" t="inlineStr">
        <is>
          <t>IOS Aarav</t>
        </is>
      </c>
      <c r="E1260" s="16" t="n">
        <v>0</v>
      </c>
      <c r="F1260" s="16" t="n">
        <v>3116.98</v>
      </c>
      <c r="G1260" s="17" t="n"/>
      <c r="H1260" s="16" t="n">
        <v>-3116.98</v>
      </c>
      <c r="I1260" s="16" t="n">
        <v>0</v>
      </c>
    </row>
    <row r="1261">
      <c r="A1261" t="inlineStr">
        <is>
          <t>MTR-IOS-1259</t>
        </is>
      </c>
      <c r="B1261" t="inlineStr">
        <is>
          <t>Wedding</t>
        </is>
      </c>
      <c r="C1261" t="inlineStr">
        <is>
          <t>SHARES</t>
        </is>
      </c>
      <c r="D1261" t="inlineStr">
        <is>
          <t>IOS Meera</t>
        </is>
      </c>
      <c r="E1261" s="16" t="n">
        <v>9350.950000000001</v>
      </c>
      <c r="F1261" s="16" t="n">
        <v>1558.49</v>
      </c>
      <c r="G1261" s="17" t="n"/>
      <c r="H1261" s="16" t="n">
        <v>7792.46</v>
      </c>
      <c r="I1261" s="16" t="n">
        <v>0</v>
      </c>
    </row>
    <row r="1262">
      <c r="A1262" t="inlineStr">
        <is>
          <t>MTR-IOS-1262</t>
        </is>
      </c>
      <c r="B1262" t="inlineStr">
        <is>
          <t>Office Outing</t>
        </is>
      </c>
      <c r="C1262" t="inlineStr">
        <is>
          <t>EQUAL</t>
        </is>
      </c>
      <c r="D1262" t="inlineStr">
        <is>
          <t>IOS Owner</t>
        </is>
      </c>
      <c r="E1262" s="16" t="n">
        <v>21957.13</v>
      </c>
      <c r="F1262" s="16" t="n">
        <v>7319.04</v>
      </c>
      <c r="G1262" s="17" t="n"/>
      <c r="H1262" s="16" t="n">
        <v>14638.09</v>
      </c>
      <c r="I1262" s="16" t="n">
        <v>0</v>
      </c>
    </row>
    <row r="1263">
      <c r="A1263" t="inlineStr">
        <is>
          <t>MTR-IOS-1262</t>
        </is>
      </c>
      <c r="B1263" t="inlineStr">
        <is>
          <t>Office Outing</t>
        </is>
      </c>
      <c r="C1263" t="inlineStr">
        <is>
          <t>EQUAL</t>
        </is>
      </c>
      <c r="D1263" t="inlineStr">
        <is>
          <t>IOS Aarav</t>
        </is>
      </c>
      <c r="E1263" s="16" t="n">
        <v>0</v>
      </c>
      <c r="F1263" s="16" t="n">
        <v>7319.04</v>
      </c>
      <c r="G1263" s="17" t="n"/>
      <c r="H1263" s="16" t="n">
        <v>-7319.04</v>
      </c>
      <c r="I1263" s="16" t="n">
        <v>0</v>
      </c>
    </row>
    <row r="1264">
      <c r="A1264" t="inlineStr">
        <is>
          <t>MTR-IOS-1262</t>
        </is>
      </c>
      <c r="B1264" t="inlineStr">
        <is>
          <t>Office Outing</t>
        </is>
      </c>
      <c r="C1264" t="inlineStr">
        <is>
          <t>EQUAL</t>
        </is>
      </c>
      <c r="D1264" t="inlineStr">
        <is>
          <t>IOS Meera</t>
        </is>
      </c>
      <c r="E1264" s="16" t="n">
        <v>0</v>
      </c>
      <c r="F1264" s="16" t="n">
        <v>7319.05</v>
      </c>
      <c r="G1264" s="17" t="n"/>
      <c r="H1264" s="16" t="n">
        <v>-7319.05</v>
      </c>
      <c r="I1264" s="16" t="n">
        <v>0</v>
      </c>
    </row>
    <row r="1265">
      <c r="A1265" t="inlineStr">
        <is>
          <t>MTR-IOS-1265</t>
        </is>
      </c>
      <c r="B1265" t="inlineStr">
        <is>
          <t>Office Outing</t>
        </is>
      </c>
      <c r="C1265" t="inlineStr">
        <is>
          <t>PERCENTAGE</t>
        </is>
      </c>
      <c r="D1265" t="inlineStr">
        <is>
          <t>IOS Owner</t>
        </is>
      </c>
      <c r="E1265" s="16" t="n">
        <v>0</v>
      </c>
      <c r="F1265" s="16" t="n">
        <v>8177.72</v>
      </c>
      <c r="G1265" s="17" t="n">
        <v>50</v>
      </c>
      <c r="H1265" s="16" t="n">
        <v>-8177.72</v>
      </c>
      <c r="I1265" s="16" t="n">
        <v>0</v>
      </c>
    </row>
    <row r="1266">
      <c r="A1266" t="inlineStr">
        <is>
          <t>MTR-IOS-1265</t>
        </is>
      </c>
      <c r="B1266" t="inlineStr">
        <is>
          <t>Office Outing</t>
        </is>
      </c>
      <c r="C1266" t="inlineStr">
        <is>
          <t>PERCENTAGE</t>
        </is>
      </c>
      <c r="D1266" t="inlineStr">
        <is>
          <t>IOS Aarav</t>
        </is>
      </c>
      <c r="E1266" s="16" t="n">
        <v>16355.43</v>
      </c>
      <c r="F1266" s="16" t="n">
        <v>4906.63</v>
      </c>
      <c r="G1266" s="17" t="n">
        <v>30</v>
      </c>
      <c r="H1266" s="16" t="n">
        <v>11448.8</v>
      </c>
      <c r="I1266" s="16" t="n">
        <v>0</v>
      </c>
    </row>
    <row r="1267">
      <c r="A1267" t="inlineStr">
        <is>
          <t>MTR-IOS-1265</t>
        </is>
      </c>
      <c r="B1267" t="inlineStr">
        <is>
          <t>Office Outing</t>
        </is>
      </c>
      <c r="C1267" t="inlineStr">
        <is>
          <t>PERCENTAGE</t>
        </is>
      </c>
      <c r="D1267" t="inlineStr">
        <is>
          <t>IOS Meera</t>
        </is>
      </c>
      <c r="E1267" s="16" t="n">
        <v>0</v>
      </c>
      <c r="F1267" s="16" t="n">
        <v>3271.08</v>
      </c>
      <c r="G1267" s="17" t="n">
        <v>20</v>
      </c>
      <c r="H1267" s="16" t="n">
        <v>-3271.08</v>
      </c>
      <c r="I1267" s="16" t="n">
        <v>0</v>
      </c>
    </row>
    <row r="1268">
      <c r="A1268" t="inlineStr">
        <is>
          <t>MTR-IOS-1268</t>
        </is>
      </c>
      <c r="B1268" t="inlineStr">
        <is>
          <t>Office Outing</t>
        </is>
      </c>
      <c r="C1268" t="inlineStr">
        <is>
          <t>EXACT</t>
        </is>
      </c>
      <c r="D1268" t="inlineStr">
        <is>
          <t>IOS Owner</t>
        </is>
      </c>
      <c r="E1268" s="16" t="n">
        <v>0</v>
      </c>
      <c r="F1268" s="16" t="n">
        <v>7851.97</v>
      </c>
      <c r="G1268" s="17" t="n"/>
      <c r="H1268" s="16" t="n">
        <v>-7851.97</v>
      </c>
      <c r="I1268" s="16" t="n">
        <v>0</v>
      </c>
    </row>
    <row r="1269">
      <c r="A1269" t="inlineStr">
        <is>
          <t>MTR-IOS-1268</t>
        </is>
      </c>
      <c r="B1269" t="inlineStr">
        <is>
          <t>Office Outing</t>
        </is>
      </c>
      <c r="C1269" t="inlineStr">
        <is>
          <t>EXACT</t>
        </is>
      </c>
      <c r="D1269" t="inlineStr">
        <is>
          <t>IOS Aarav</t>
        </is>
      </c>
      <c r="E1269" s="16" t="n">
        <v>0</v>
      </c>
      <c r="F1269" s="16" t="n">
        <v>7851.97</v>
      </c>
      <c r="G1269" s="17" t="n"/>
      <c r="H1269" s="16" t="n">
        <v>-7851.97</v>
      </c>
      <c r="I1269" s="16" t="n">
        <v>0</v>
      </c>
    </row>
    <row r="1270">
      <c r="A1270" t="inlineStr">
        <is>
          <t>MTR-IOS-1268</t>
        </is>
      </c>
      <c r="B1270" t="inlineStr">
        <is>
          <t>Office Outing</t>
        </is>
      </c>
      <c r="C1270" t="inlineStr">
        <is>
          <t>EXACT</t>
        </is>
      </c>
      <c r="D1270" t="inlineStr">
        <is>
          <t>IOS Meera</t>
        </is>
      </c>
      <c r="E1270" s="16" t="n">
        <v>23579.49</v>
      </c>
      <c r="F1270" s="16" t="n">
        <v>7875.55</v>
      </c>
      <c r="G1270" s="17" t="n"/>
      <c r="H1270" s="16" t="n">
        <v>15703.94</v>
      </c>
      <c r="I1270" s="16" t="n">
        <v>0</v>
      </c>
    </row>
    <row r="1271">
      <c r="A1271" t="inlineStr">
        <is>
          <t>MTR-IOS-1271</t>
        </is>
      </c>
      <c r="B1271" t="inlineStr">
        <is>
          <t>Office Outing</t>
        </is>
      </c>
      <c r="C1271" t="inlineStr">
        <is>
          <t>SHARES</t>
        </is>
      </c>
      <c r="D1271" t="inlineStr">
        <is>
          <t>IOS Owner</t>
        </is>
      </c>
      <c r="E1271" s="16" t="n">
        <v>3440.83</v>
      </c>
      <c r="F1271" s="16" t="n">
        <v>1720.42</v>
      </c>
      <c r="G1271" s="17" t="n"/>
      <c r="H1271" s="16" t="n">
        <v>1720.41</v>
      </c>
      <c r="I1271" s="16" t="n">
        <v>0</v>
      </c>
    </row>
    <row r="1272">
      <c r="A1272" t="inlineStr">
        <is>
          <t>MTR-IOS-1271</t>
        </is>
      </c>
      <c r="B1272" t="inlineStr">
        <is>
          <t>Office Outing</t>
        </is>
      </c>
      <c r="C1272" t="inlineStr">
        <is>
          <t>SHARES</t>
        </is>
      </c>
      <c r="D1272" t="inlineStr">
        <is>
          <t>IOS Aarav</t>
        </is>
      </c>
      <c r="E1272" s="16" t="n">
        <v>0</v>
      </c>
      <c r="F1272" s="16" t="n">
        <v>1146.94</v>
      </c>
      <c r="G1272" s="17" t="n"/>
      <c r="H1272" s="16" t="n">
        <v>-1146.94</v>
      </c>
      <c r="I1272" s="16" t="n">
        <v>0</v>
      </c>
    </row>
    <row r="1273">
      <c r="A1273" t="inlineStr">
        <is>
          <t>MTR-IOS-1271</t>
        </is>
      </c>
      <c r="B1273" t="inlineStr">
        <is>
          <t>Office Outing</t>
        </is>
      </c>
      <c r="C1273" t="inlineStr">
        <is>
          <t>SHARES</t>
        </is>
      </c>
      <c r="D1273" t="inlineStr">
        <is>
          <t>IOS Meera</t>
        </is>
      </c>
      <c r="E1273" s="16" t="n">
        <v>0</v>
      </c>
      <c r="F1273" s="16" t="n">
        <v>573.47</v>
      </c>
      <c r="G1273" s="17" t="n"/>
      <c r="H1273" s="16" t="n">
        <v>-573.47</v>
      </c>
      <c r="I1273" s="16" t="n">
        <v>0</v>
      </c>
    </row>
    <row r="1274">
      <c r="A1274" t="inlineStr">
        <is>
          <t>MTR-IOS-1274</t>
        </is>
      </c>
      <c r="B1274" t="inlineStr">
        <is>
          <t>Office Outing</t>
        </is>
      </c>
      <c r="C1274" t="inlineStr">
        <is>
          <t>EQUAL</t>
        </is>
      </c>
      <c r="D1274" t="inlineStr">
        <is>
          <t>IOS Owner</t>
        </is>
      </c>
      <c r="E1274" s="16" t="n">
        <v>0</v>
      </c>
      <c r="F1274" s="16" t="n">
        <v>6505.45</v>
      </c>
      <c r="G1274" s="17" t="n"/>
      <c r="H1274" s="16" t="n">
        <v>-6505.45</v>
      </c>
      <c r="I1274" s="16" t="n">
        <v>0</v>
      </c>
    </row>
    <row r="1275">
      <c r="A1275" t="inlineStr">
        <is>
          <t>MTR-IOS-1274</t>
        </is>
      </c>
      <c r="B1275" t="inlineStr">
        <is>
          <t>Office Outing</t>
        </is>
      </c>
      <c r="C1275" t="inlineStr">
        <is>
          <t>EQUAL</t>
        </is>
      </c>
      <c r="D1275" t="inlineStr">
        <is>
          <t>IOS Aarav</t>
        </is>
      </c>
      <c r="E1275" s="16" t="n">
        <v>19516.35</v>
      </c>
      <c r="F1275" s="16" t="n">
        <v>6505.45</v>
      </c>
      <c r="G1275" s="17" t="n"/>
      <c r="H1275" s="16" t="n">
        <v>13010.9</v>
      </c>
      <c r="I1275" s="16" t="n">
        <v>0</v>
      </c>
    </row>
    <row r="1276">
      <c r="A1276" t="inlineStr">
        <is>
          <t>MTR-IOS-1274</t>
        </is>
      </c>
      <c r="B1276" t="inlineStr">
        <is>
          <t>Office Outing</t>
        </is>
      </c>
      <c r="C1276" t="inlineStr">
        <is>
          <t>EQUAL</t>
        </is>
      </c>
      <c r="D1276" t="inlineStr">
        <is>
          <t>IOS Meera</t>
        </is>
      </c>
      <c r="E1276" s="16" t="n">
        <v>0</v>
      </c>
      <c r="F1276" s="16" t="n">
        <v>6505.45</v>
      </c>
      <c r="G1276" s="17" t="n"/>
      <c r="H1276" s="16" t="n">
        <v>-6505.45</v>
      </c>
      <c r="I1276" s="16" t="n">
        <v>0</v>
      </c>
    </row>
    <row r="1277">
      <c r="A1277" t="inlineStr">
        <is>
          <t>MTR-IOS-1277</t>
        </is>
      </c>
      <c r="B1277" t="inlineStr">
        <is>
          <t>House Party</t>
        </is>
      </c>
      <c r="C1277" t="inlineStr">
        <is>
          <t>PERCENTAGE</t>
        </is>
      </c>
      <c r="D1277" t="inlineStr">
        <is>
          <t>IOS Owner</t>
        </is>
      </c>
      <c r="E1277" s="16" t="n">
        <v>0</v>
      </c>
      <c r="F1277" s="16" t="n">
        <v>7603.77</v>
      </c>
      <c r="G1277" s="17" t="n">
        <v>50</v>
      </c>
      <c r="H1277" s="16" t="n">
        <v>-7603.77</v>
      </c>
      <c r="I1277" s="16" t="n">
        <v>0</v>
      </c>
    </row>
    <row r="1278">
      <c r="A1278" t="inlineStr">
        <is>
          <t>MTR-IOS-1277</t>
        </is>
      </c>
      <c r="B1278" t="inlineStr">
        <is>
          <t>House Party</t>
        </is>
      </c>
      <c r="C1278" t="inlineStr">
        <is>
          <t>PERCENTAGE</t>
        </is>
      </c>
      <c r="D1278" t="inlineStr">
        <is>
          <t>IOS Aarav</t>
        </is>
      </c>
      <c r="E1278" s="16" t="n">
        <v>0</v>
      </c>
      <c r="F1278" s="16" t="n">
        <v>4562.26</v>
      </c>
      <c r="G1278" s="17" t="n">
        <v>30</v>
      </c>
      <c r="H1278" s="16" t="n">
        <v>-4562.26</v>
      </c>
      <c r="I1278" s="16" t="n">
        <v>0</v>
      </c>
    </row>
    <row r="1279">
      <c r="A1279" t="inlineStr">
        <is>
          <t>MTR-IOS-1277</t>
        </is>
      </c>
      <c r="B1279" t="inlineStr">
        <is>
          <t>House Party</t>
        </is>
      </c>
      <c r="C1279" t="inlineStr">
        <is>
          <t>PERCENTAGE</t>
        </is>
      </c>
      <c r="D1279" t="inlineStr">
        <is>
          <t>IOS Meera</t>
        </is>
      </c>
      <c r="E1279" s="16" t="n">
        <v>15207.54</v>
      </c>
      <c r="F1279" s="16" t="n">
        <v>3041.51</v>
      </c>
      <c r="G1279" s="17" t="n">
        <v>20</v>
      </c>
      <c r="H1279" s="16" t="n">
        <v>12166.03</v>
      </c>
      <c r="I1279" s="16" t="n">
        <v>0</v>
      </c>
    </row>
    <row r="1280">
      <c r="A1280" t="inlineStr">
        <is>
          <t>MTR-IOS-1280</t>
        </is>
      </c>
      <c r="B1280" t="inlineStr">
        <is>
          <t>House Party</t>
        </is>
      </c>
      <c r="C1280" t="inlineStr">
        <is>
          <t>EXACT</t>
        </is>
      </c>
      <c r="D1280" t="inlineStr">
        <is>
          <t>IOS Owner</t>
        </is>
      </c>
      <c r="E1280" s="16" t="n">
        <v>22153.48</v>
      </c>
      <c r="F1280" s="16" t="n">
        <v>7377.11</v>
      </c>
      <c r="G1280" s="17" t="n"/>
      <c r="H1280" s="16" t="n">
        <v>14776.37</v>
      </c>
      <c r="I1280" s="16" t="n">
        <v>0</v>
      </c>
    </row>
    <row r="1281">
      <c r="A1281" t="inlineStr">
        <is>
          <t>MTR-IOS-1280</t>
        </is>
      </c>
      <c r="B1281" t="inlineStr">
        <is>
          <t>House Party</t>
        </is>
      </c>
      <c r="C1281" t="inlineStr">
        <is>
          <t>EXACT</t>
        </is>
      </c>
      <c r="D1281" t="inlineStr">
        <is>
          <t>IOS Aarav</t>
        </is>
      </c>
      <c r="E1281" s="16" t="n">
        <v>0</v>
      </c>
      <c r="F1281" s="16" t="n">
        <v>7377.11</v>
      </c>
      <c r="G1281" s="17" t="n"/>
      <c r="H1281" s="16" t="n">
        <v>-7377.11</v>
      </c>
      <c r="I1281" s="16" t="n">
        <v>0</v>
      </c>
    </row>
    <row r="1282">
      <c r="A1282" t="inlineStr">
        <is>
          <t>MTR-IOS-1280</t>
        </is>
      </c>
      <c r="B1282" t="inlineStr">
        <is>
          <t>House Party</t>
        </is>
      </c>
      <c r="C1282" t="inlineStr">
        <is>
          <t>EXACT</t>
        </is>
      </c>
      <c r="D1282" t="inlineStr">
        <is>
          <t>IOS Meera</t>
        </is>
      </c>
      <c r="E1282" s="16" t="n">
        <v>0</v>
      </c>
      <c r="F1282" s="16" t="n">
        <v>7399.26</v>
      </c>
      <c r="G1282" s="17" t="n"/>
      <c r="H1282" s="16" t="n">
        <v>-7399.26</v>
      </c>
      <c r="I1282" s="16" t="n">
        <v>0</v>
      </c>
    </row>
    <row r="1283">
      <c r="A1283" t="inlineStr">
        <is>
          <t>MTR-IOS-1283</t>
        </is>
      </c>
      <c r="B1283" t="inlineStr">
        <is>
          <t>House Party</t>
        </is>
      </c>
      <c r="C1283" t="inlineStr">
        <is>
          <t>SHARES</t>
        </is>
      </c>
      <c r="D1283" t="inlineStr">
        <is>
          <t>IOS Owner</t>
        </is>
      </c>
      <c r="E1283" s="16" t="n">
        <v>0</v>
      </c>
      <c r="F1283" s="16" t="n">
        <v>1511.75</v>
      </c>
      <c r="G1283" s="17" t="n"/>
      <c r="H1283" s="16" t="n">
        <v>-1511.75</v>
      </c>
      <c r="I1283" s="16" t="n">
        <v>0</v>
      </c>
    </row>
    <row r="1284">
      <c r="A1284" t="inlineStr">
        <is>
          <t>MTR-IOS-1283</t>
        </is>
      </c>
      <c r="B1284" t="inlineStr">
        <is>
          <t>House Party</t>
        </is>
      </c>
      <c r="C1284" t="inlineStr">
        <is>
          <t>SHARES</t>
        </is>
      </c>
      <c r="D1284" t="inlineStr">
        <is>
          <t>IOS Aarav</t>
        </is>
      </c>
      <c r="E1284" s="16" t="n">
        <v>3023.49</v>
      </c>
      <c r="F1284" s="16" t="n">
        <v>1007.83</v>
      </c>
      <c r="G1284" s="17" t="n"/>
      <c r="H1284" s="16" t="n">
        <v>2015.66</v>
      </c>
      <c r="I1284" s="16" t="n">
        <v>0</v>
      </c>
    </row>
    <row r="1285">
      <c r="A1285" t="inlineStr">
        <is>
          <t>MTR-IOS-1283</t>
        </is>
      </c>
      <c r="B1285" t="inlineStr">
        <is>
          <t>House Party</t>
        </is>
      </c>
      <c r="C1285" t="inlineStr">
        <is>
          <t>SHARES</t>
        </is>
      </c>
      <c r="D1285" t="inlineStr">
        <is>
          <t>IOS Meera</t>
        </is>
      </c>
      <c r="E1285" s="16" t="n">
        <v>0</v>
      </c>
      <c r="F1285" s="16" t="n">
        <v>503.91</v>
      </c>
      <c r="G1285" s="17" t="n"/>
      <c r="H1285" s="16" t="n">
        <v>-503.91</v>
      </c>
      <c r="I1285" s="16" t="n">
        <v>0</v>
      </c>
    </row>
    <row r="1286">
      <c r="A1286" t="inlineStr">
        <is>
          <t>MTR-IOS-1286</t>
        </is>
      </c>
      <c r="B1286" t="inlineStr">
        <is>
          <t>House Party</t>
        </is>
      </c>
      <c r="C1286" t="inlineStr">
        <is>
          <t>EQUAL</t>
        </is>
      </c>
      <c r="D1286" t="inlineStr">
        <is>
          <t>IOS Owner</t>
        </is>
      </c>
      <c r="E1286" s="16" t="n">
        <v>0</v>
      </c>
      <c r="F1286" s="16" t="n">
        <v>1085.07</v>
      </c>
      <c r="G1286" s="17" t="n"/>
      <c r="H1286" s="16" t="n">
        <v>-1085.07</v>
      </c>
      <c r="I1286" s="16" t="n">
        <v>0</v>
      </c>
    </row>
    <row r="1287">
      <c r="A1287" t="inlineStr">
        <is>
          <t>MTR-IOS-1286</t>
        </is>
      </c>
      <c r="B1287" t="inlineStr">
        <is>
          <t>House Party</t>
        </is>
      </c>
      <c r="C1287" t="inlineStr">
        <is>
          <t>EQUAL</t>
        </is>
      </c>
      <c r="D1287" t="inlineStr">
        <is>
          <t>IOS Aarav</t>
        </is>
      </c>
      <c r="E1287" s="16" t="n">
        <v>0</v>
      </c>
      <c r="F1287" s="16" t="n">
        <v>1085.07</v>
      </c>
      <c r="G1287" s="17" t="n"/>
      <c r="H1287" s="16" t="n">
        <v>-1085.07</v>
      </c>
      <c r="I1287" s="16" t="n">
        <v>0</v>
      </c>
    </row>
    <row r="1288">
      <c r="A1288" t="inlineStr">
        <is>
          <t>MTR-IOS-1286</t>
        </is>
      </c>
      <c r="B1288" t="inlineStr">
        <is>
          <t>House Party</t>
        </is>
      </c>
      <c r="C1288" t="inlineStr">
        <is>
          <t>EQUAL</t>
        </is>
      </c>
      <c r="D1288" t="inlineStr">
        <is>
          <t>IOS Meera</t>
        </is>
      </c>
      <c r="E1288" s="16" t="n">
        <v>3255.2</v>
      </c>
      <c r="F1288" s="16" t="n">
        <v>1085.06</v>
      </c>
      <c r="G1288" s="17" t="n"/>
      <c r="H1288" s="16" t="n">
        <v>2170.14</v>
      </c>
      <c r="I1288" s="16" t="n">
        <v>0</v>
      </c>
    </row>
    <row r="1289">
      <c r="A1289" t="inlineStr">
        <is>
          <t>MTR-IOS-1289</t>
        </is>
      </c>
      <c r="B1289" t="inlineStr">
        <is>
          <t>House Party</t>
        </is>
      </c>
      <c r="C1289" t="inlineStr">
        <is>
          <t>PERCENTAGE</t>
        </is>
      </c>
      <c r="D1289" t="inlineStr">
        <is>
          <t>IOS Owner</t>
        </is>
      </c>
      <c r="E1289" s="16" t="n">
        <v>3122.31</v>
      </c>
      <c r="F1289" s="16" t="n">
        <v>1561.16</v>
      </c>
      <c r="G1289" s="17" t="n">
        <v>50</v>
      </c>
      <c r="H1289" s="16" t="n">
        <v>1561.15</v>
      </c>
      <c r="I1289" s="16" t="n">
        <v>0</v>
      </c>
    </row>
    <row r="1290">
      <c r="A1290" t="inlineStr">
        <is>
          <t>MTR-IOS-1289</t>
        </is>
      </c>
      <c r="B1290" t="inlineStr">
        <is>
          <t>House Party</t>
        </is>
      </c>
      <c r="C1290" t="inlineStr">
        <is>
          <t>PERCENTAGE</t>
        </is>
      </c>
      <c r="D1290" t="inlineStr">
        <is>
          <t>IOS Aarav</t>
        </is>
      </c>
      <c r="E1290" s="16" t="n">
        <v>0</v>
      </c>
      <c r="F1290" s="16" t="n">
        <v>936.6900000000001</v>
      </c>
      <c r="G1290" s="17" t="n">
        <v>30</v>
      </c>
      <c r="H1290" s="16" t="n">
        <v>-936.6900000000001</v>
      </c>
      <c r="I1290" s="16" t="n">
        <v>0</v>
      </c>
    </row>
    <row r="1291">
      <c r="A1291" t="inlineStr">
        <is>
          <t>MTR-IOS-1289</t>
        </is>
      </c>
      <c r="B1291" t="inlineStr">
        <is>
          <t>House Party</t>
        </is>
      </c>
      <c r="C1291" t="inlineStr">
        <is>
          <t>PERCENTAGE</t>
        </is>
      </c>
      <c r="D1291" t="inlineStr">
        <is>
          <t>IOS Meera</t>
        </is>
      </c>
      <c r="E1291" s="16" t="n">
        <v>0</v>
      </c>
      <c r="F1291" s="16" t="n">
        <v>624.46</v>
      </c>
      <c r="G1291" s="17" t="n">
        <v>20</v>
      </c>
      <c r="H1291" s="16" t="n">
        <v>-624.46</v>
      </c>
      <c r="I1291" s="16" t="n">
        <v>0</v>
      </c>
    </row>
    <row r="1292">
      <c r="A1292" t="inlineStr">
        <is>
          <t>MTR-IOS-1292</t>
        </is>
      </c>
      <c r="B1292" t="inlineStr">
        <is>
          <t>Gift Pool</t>
        </is>
      </c>
      <c r="C1292" t="inlineStr">
        <is>
          <t>EXACT</t>
        </is>
      </c>
      <c r="D1292" t="inlineStr">
        <is>
          <t>IOS Owner</t>
        </is>
      </c>
      <c r="E1292" s="16" t="n">
        <v>0</v>
      </c>
      <c r="F1292" s="16" t="n">
        <v>4530.62</v>
      </c>
      <c r="G1292" s="17" t="n"/>
      <c r="H1292" s="16" t="n">
        <v>-4530.62</v>
      </c>
      <c r="I1292" s="16" t="n">
        <v>0</v>
      </c>
    </row>
    <row r="1293">
      <c r="A1293" t="inlineStr">
        <is>
          <t>MTR-IOS-1292</t>
        </is>
      </c>
      <c r="B1293" t="inlineStr">
        <is>
          <t>Gift Pool</t>
        </is>
      </c>
      <c r="C1293" t="inlineStr">
        <is>
          <t>EXACT</t>
        </is>
      </c>
      <c r="D1293" t="inlineStr">
        <is>
          <t>IOS Aarav</t>
        </is>
      </c>
      <c r="E1293" s="16" t="n">
        <v>13605.46</v>
      </c>
      <c r="F1293" s="16" t="n">
        <v>4530.62</v>
      </c>
      <c r="G1293" s="17" t="n"/>
      <c r="H1293" s="16" t="n">
        <v>9074.84</v>
      </c>
      <c r="I1293" s="16" t="n">
        <v>0</v>
      </c>
    </row>
    <row r="1294">
      <c r="A1294" t="inlineStr">
        <is>
          <t>MTR-IOS-1292</t>
        </is>
      </c>
      <c r="B1294" t="inlineStr">
        <is>
          <t>Gift Pool</t>
        </is>
      </c>
      <c r="C1294" t="inlineStr">
        <is>
          <t>EXACT</t>
        </is>
      </c>
      <c r="D1294" t="inlineStr">
        <is>
          <t>IOS Meera</t>
        </is>
      </c>
      <c r="E1294" s="16" t="n">
        <v>0</v>
      </c>
      <c r="F1294" s="16" t="n">
        <v>4544.22</v>
      </c>
      <c r="G1294" s="17" t="n"/>
      <c r="H1294" s="16" t="n">
        <v>-4544.22</v>
      </c>
      <c r="I1294" s="16" t="n">
        <v>0</v>
      </c>
    </row>
    <row r="1295">
      <c r="A1295" t="inlineStr">
        <is>
          <t>MTR-IOS-1295</t>
        </is>
      </c>
      <c r="B1295" t="inlineStr">
        <is>
          <t>Gift Pool</t>
        </is>
      </c>
      <c r="C1295" t="inlineStr">
        <is>
          <t>SHARES</t>
        </is>
      </c>
      <c r="D1295" t="inlineStr">
        <is>
          <t>IOS Owner</t>
        </is>
      </c>
      <c r="E1295" s="16" t="n">
        <v>0</v>
      </c>
      <c r="F1295" s="16" t="n">
        <v>5000</v>
      </c>
      <c r="G1295" s="17" t="n"/>
      <c r="H1295" s="16" t="n">
        <v>-5000</v>
      </c>
      <c r="I1295" s="16" t="n">
        <v>0</v>
      </c>
    </row>
    <row r="1296">
      <c r="A1296" t="inlineStr">
        <is>
          <t>MTR-IOS-1295</t>
        </is>
      </c>
      <c r="B1296" t="inlineStr">
        <is>
          <t>Gift Pool</t>
        </is>
      </c>
      <c r="C1296" t="inlineStr">
        <is>
          <t>SHARES</t>
        </is>
      </c>
      <c r="D1296" t="inlineStr">
        <is>
          <t>IOS Aarav</t>
        </is>
      </c>
      <c r="E1296" s="16" t="n">
        <v>0</v>
      </c>
      <c r="F1296" s="16" t="n">
        <v>3333.33</v>
      </c>
      <c r="G1296" s="17" t="n"/>
      <c r="H1296" s="16" t="n">
        <v>-3333.33</v>
      </c>
      <c r="I1296" s="16" t="n">
        <v>0</v>
      </c>
    </row>
    <row r="1297">
      <c r="A1297" t="inlineStr">
        <is>
          <t>MTR-IOS-1295</t>
        </is>
      </c>
      <c r="B1297" t="inlineStr">
        <is>
          <t>Gift Pool</t>
        </is>
      </c>
      <c r="C1297" t="inlineStr">
        <is>
          <t>SHARES</t>
        </is>
      </c>
      <c r="D1297" t="inlineStr">
        <is>
          <t>IOS Meera</t>
        </is>
      </c>
      <c r="E1297" s="16" t="n">
        <v>10000</v>
      </c>
      <c r="F1297" s="16" t="n">
        <v>1666.67</v>
      </c>
      <c r="G1297" s="17" t="n"/>
      <c r="H1297" s="16" t="n">
        <v>8333.33</v>
      </c>
      <c r="I1297" s="16" t="n">
        <v>0</v>
      </c>
    </row>
    <row r="1298">
      <c r="A1298" t="inlineStr">
        <is>
          <t>MTR-IOS-1298</t>
        </is>
      </c>
      <c r="B1298" t="inlineStr">
        <is>
          <t>Gift Pool</t>
        </is>
      </c>
      <c r="C1298" t="inlineStr">
        <is>
          <t>EQUAL</t>
        </is>
      </c>
      <c r="D1298" t="inlineStr">
        <is>
          <t>IOS Owner</t>
        </is>
      </c>
      <c r="E1298" s="16" t="n">
        <v>4532.23</v>
      </c>
      <c r="F1298" s="16" t="n">
        <v>1510.74</v>
      </c>
      <c r="G1298" s="17" t="n"/>
      <c r="H1298" s="16" t="n">
        <v>3021.49</v>
      </c>
      <c r="I1298" s="16" t="n">
        <v>0</v>
      </c>
    </row>
    <row r="1299">
      <c r="A1299" t="inlineStr">
        <is>
          <t>MTR-IOS-1298</t>
        </is>
      </c>
      <c r="B1299" t="inlineStr">
        <is>
          <t>Gift Pool</t>
        </is>
      </c>
      <c r="C1299" t="inlineStr">
        <is>
          <t>EQUAL</t>
        </is>
      </c>
      <c r="D1299" t="inlineStr">
        <is>
          <t>IOS Aarav</t>
        </is>
      </c>
      <c r="E1299" s="16" t="n">
        <v>0</v>
      </c>
      <c r="F1299" s="16" t="n">
        <v>1510.74</v>
      </c>
      <c r="G1299" s="17" t="n"/>
      <c r="H1299" s="16" t="n">
        <v>-1510.74</v>
      </c>
      <c r="I1299" s="16" t="n">
        <v>0</v>
      </c>
    </row>
    <row r="1300">
      <c r="A1300" t="inlineStr">
        <is>
          <t>MTR-IOS-1298</t>
        </is>
      </c>
      <c r="B1300" t="inlineStr">
        <is>
          <t>Gift Pool</t>
        </is>
      </c>
      <c r="C1300" t="inlineStr">
        <is>
          <t>EQUAL</t>
        </is>
      </c>
      <c r="D1300" t="inlineStr">
        <is>
          <t>IOS Meera</t>
        </is>
      </c>
      <c r="E1300" s="16" t="n">
        <v>0</v>
      </c>
      <c r="F1300" s="16" t="n">
        <v>1510.75</v>
      </c>
      <c r="G1300" s="17" t="n"/>
      <c r="H1300" s="16" t="n">
        <v>-1510.75</v>
      </c>
      <c r="I1300" s="16" t="n">
        <v>0</v>
      </c>
    </row>
    <row r="1301">
      <c r="A1301" t="inlineStr">
        <is>
          <t>MTR-IOS-1301</t>
        </is>
      </c>
      <c r="B1301" t="inlineStr">
        <is>
          <t>Gift Pool</t>
        </is>
      </c>
      <c r="C1301" t="inlineStr">
        <is>
          <t>PERCENTAGE</t>
        </is>
      </c>
      <c r="D1301" t="inlineStr">
        <is>
          <t>IOS Owner</t>
        </is>
      </c>
      <c r="E1301" s="16" t="n">
        <v>0</v>
      </c>
      <c r="F1301" s="16" t="n">
        <v>11799.72</v>
      </c>
      <c r="G1301" s="17" t="n">
        <v>50</v>
      </c>
      <c r="H1301" s="16" t="n">
        <v>-11799.72</v>
      </c>
      <c r="I1301" s="16" t="n">
        <v>0</v>
      </c>
    </row>
    <row r="1302">
      <c r="A1302" t="inlineStr">
        <is>
          <t>MTR-IOS-1301</t>
        </is>
      </c>
      <c r="B1302" t="inlineStr">
        <is>
          <t>Gift Pool</t>
        </is>
      </c>
      <c r="C1302" t="inlineStr">
        <is>
          <t>PERCENTAGE</t>
        </is>
      </c>
      <c r="D1302" t="inlineStr">
        <is>
          <t>IOS Aarav</t>
        </is>
      </c>
      <c r="E1302" s="16" t="n">
        <v>23599.44</v>
      </c>
      <c r="F1302" s="16" t="n">
        <v>7079.83</v>
      </c>
      <c r="G1302" s="17" t="n">
        <v>30</v>
      </c>
      <c r="H1302" s="16" t="n">
        <v>16519.61</v>
      </c>
      <c r="I1302" s="16" t="n">
        <v>0</v>
      </c>
    </row>
    <row r="1303">
      <c r="A1303" t="inlineStr">
        <is>
          <t>MTR-IOS-1301</t>
        </is>
      </c>
      <c r="B1303" t="inlineStr">
        <is>
          <t>Gift Pool</t>
        </is>
      </c>
      <c r="C1303" t="inlineStr">
        <is>
          <t>PERCENTAGE</t>
        </is>
      </c>
      <c r="D1303" t="inlineStr">
        <is>
          <t>IOS Meera</t>
        </is>
      </c>
      <c r="E1303" s="16" t="n">
        <v>0</v>
      </c>
      <c r="F1303" s="16" t="n">
        <v>4719.89</v>
      </c>
      <c r="G1303" s="17" t="n">
        <v>20</v>
      </c>
      <c r="H1303" s="16" t="n">
        <v>-4719.89</v>
      </c>
      <c r="I1303" s="16" t="n">
        <v>0</v>
      </c>
    </row>
    <row r="1304">
      <c r="A1304" t="inlineStr">
        <is>
          <t>MTR-IOS-1304</t>
        </is>
      </c>
      <c r="B1304" t="inlineStr">
        <is>
          <t>Purchase</t>
        </is>
      </c>
      <c r="C1304" t="inlineStr">
        <is>
          <t>EXACT</t>
        </is>
      </c>
      <c r="D1304" t="inlineStr">
        <is>
          <t>IOS Owner</t>
        </is>
      </c>
      <c r="E1304" s="16" t="n">
        <v>0</v>
      </c>
      <c r="F1304" s="16" t="n">
        <v>6953.02</v>
      </c>
      <c r="G1304" s="17" t="n"/>
      <c r="H1304" s="16" t="n">
        <v>-6953.02</v>
      </c>
      <c r="I1304" s="16" t="n">
        <v>0</v>
      </c>
    </row>
    <row r="1305">
      <c r="A1305" t="inlineStr">
        <is>
          <t>MTR-IOS-1304</t>
        </is>
      </c>
      <c r="B1305" t="inlineStr">
        <is>
          <t>Purchase</t>
        </is>
      </c>
      <c r="C1305" t="inlineStr">
        <is>
          <t>EXACT</t>
        </is>
      </c>
      <c r="D1305" t="inlineStr">
        <is>
          <t>IOS Aarav</t>
        </is>
      </c>
      <c r="E1305" s="16" t="n">
        <v>0</v>
      </c>
      <c r="F1305" s="16" t="n">
        <v>6953.02</v>
      </c>
      <c r="G1305" s="17" t="n"/>
      <c r="H1305" s="16" t="n">
        <v>-6953.02</v>
      </c>
      <c r="I1305" s="16" t="n">
        <v>0</v>
      </c>
    </row>
    <row r="1306">
      <c r="A1306" t="inlineStr">
        <is>
          <t>MTR-IOS-1304</t>
        </is>
      </c>
      <c r="B1306" t="inlineStr">
        <is>
          <t>Purchase</t>
        </is>
      </c>
      <c r="C1306" t="inlineStr">
        <is>
          <t>EXACT</t>
        </is>
      </c>
      <c r="D1306" t="inlineStr">
        <is>
          <t>IOS Meera</t>
        </is>
      </c>
      <c r="E1306" s="16" t="n">
        <v>20879.95</v>
      </c>
      <c r="F1306" s="16" t="n">
        <v>6973.91</v>
      </c>
      <c r="G1306" s="17" t="n"/>
      <c r="H1306" s="16" t="n">
        <v>13906.04</v>
      </c>
      <c r="I1306" s="16" t="n">
        <v>0</v>
      </c>
    </row>
    <row r="1307">
      <c r="A1307" t="inlineStr">
        <is>
          <t>MTR-IOS-1307</t>
        </is>
      </c>
      <c r="B1307" t="inlineStr">
        <is>
          <t>Purchase</t>
        </is>
      </c>
      <c r="C1307" t="inlineStr">
        <is>
          <t>SHARES</t>
        </is>
      </c>
      <c r="D1307" t="inlineStr">
        <is>
          <t>IOS Owner</t>
        </is>
      </c>
      <c r="E1307" s="16" t="n">
        <v>8425.84</v>
      </c>
      <c r="F1307" s="16" t="n">
        <v>4212.92</v>
      </c>
      <c r="G1307" s="17" t="n"/>
      <c r="H1307" s="16" t="n">
        <v>4212.92</v>
      </c>
      <c r="I1307" s="16" t="n">
        <v>0</v>
      </c>
    </row>
    <row r="1308">
      <c r="A1308" t="inlineStr">
        <is>
          <t>MTR-IOS-1307</t>
        </is>
      </c>
      <c r="B1308" t="inlineStr">
        <is>
          <t>Purchase</t>
        </is>
      </c>
      <c r="C1308" t="inlineStr">
        <is>
          <t>SHARES</t>
        </is>
      </c>
      <c r="D1308" t="inlineStr">
        <is>
          <t>IOS Aarav</t>
        </is>
      </c>
      <c r="E1308" s="16" t="n">
        <v>0</v>
      </c>
      <c r="F1308" s="16" t="n">
        <v>2808.61</v>
      </c>
      <c r="G1308" s="17" t="n"/>
      <c r="H1308" s="16" t="n">
        <v>-2808.61</v>
      </c>
      <c r="I1308" s="16" t="n">
        <v>0</v>
      </c>
    </row>
    <row r="1309">
      <c r="A1309" t="inlineStr">
        <is>
          <t>MTR-IOS-1307</t>
        </is>
      </c>
      <c r="B1309" t="inlineStr">
        <is>
          <t>Purchase</t>
        </is>
      </c>
      <c r="C1309" t="inlineStr">
        <is>
          <t>SHARES</t>
        </is>
      </c>
      <c r="D1309" t="inlineStr">
        <is>
          <t>IOS Meera</t>
        </is>
      </c>
      <c r="E1309" s="16" t="n">
        <v>0</v>
      </c>
      <c r="F1309" s="16" t="n">
        <v>1404.31</v>
      </c>
      <c r="G1309" s="17" t="n"/>
      <c r="H1309" s="16" t="n">
        <v>-1404.31</v>
      </c>
      <c r="I1309" s="16" t="n">
        <v>0</v>
      </c>
    </row>
    <row r="1310">
      <c r="A1310" t="inlineStr">
        <is>
          <t>MTR-IOS-1310</t>
        </is>
      </c>
      <c r="B1310" t="inlineStr">
        <is>
          <t>Purchase</t>
        </is>
      </c>
      <c r="C1310" t="inlineStr">
        <is>
          <t>EQUAL</t>
        </is>
      </c>
      <c r="D1310" t="inlineStr">
        <is>
          <t>IOS Owner</t>
        </is>
      </c>
      <c r="E1310" s="16" t="n">
        <v>0</v>
      </c>
      <c r="F1310" s="16" t="n">
        <v>1050.43</v>
      </c>
      <c r="G1310" s="17" t="n"/>
      <c r="H1310" s="16" t="n">
        <v>-1050.43</v>
      </c>
      <c r="I1310" s="16" t="n">
        <v>0</v>
      </c>
    </row>
    <row r="1311">
      <c r="A1311" t="inlineStr">
        <is>
          <t>MTR-IOS-1310</t>
        </is>
      </c>
      <c r="B1311" t="inlineStr">
        <is>
          <t>Purchase</t>
        </is>
      </c>
      <c r="C1311" t="inlineStr">
        <is>
          <t>EQUAL</t>
        </is>
      </c>
      <c r="D1311" t="inlineStr">
        <is>
          <t>IOS Aarav</t>
        </is>
      </c>
      <c r="E1311" s="16" t="n">
        <v>3151.29</v>
      </c>
      <c r="F1311" s="16" t="n">
        <v>1050.43</v>
      </c>
      <c r="G1311" s="17" t="n"/>
      <c r="H1311" s="16" t="n">
        <v>2100.86</v>
      </c>
      <c r="I1311" s="16" t="n">
        <v>0</v>
      </c>
    </row>
    <row r="1312">
      <c r="A1312" t="inlineStr">
        <is>
          <t>MTR-IOS-1310</t>
        </is>
      </c>
      <c r="B1312" t="inlineStr">
        <is>
          <t>Purchase</t>
        </is>
      </c>
      <c r="C1312" t="inlineStr">
        <is>
          <t>EQUAL</t>
        </is>
      </c>
      <c r="D1312" t="inlineStr">
        <is>
          <t>IOS Meera</t>
        </is>
      </c>
      <c r="E1312" s="16" t="n">
        <v>0</v>
      </c>
      <c r="F1312" s="16" t="n">
        <v>1050.43</v>
      </c>
      <c r="G1312" s="17" t="n"/>
      <c r="H1312" s="16" t="n">
        <v>-1050.43</v>
      </c>
      <c r="I1312" s="16" t="n">
        <v>0</v>
      </c>
    </row>
    <row r="1313">
      <c r="A1313" t="inlineStr">
        <is>
          <t>MTR-IOS-1313</t>
        </is>
      </c>
      <c r="B1313" t="inlineStr">
        <is>
          <t>Purchase</t>
        </is>
      </c>
      <c r="C1313" t="inlineStr">
        <is>
          <t>PERCENTAGE</t>
        </is>
      </c>
      <c r="D1313" t="inlineStr">
        <is>
          <t>IOS Owner</t>
        </is>
      </c>
      <c r="E1313" s="16" t="n">
        <v>0</v>
      </c>
      <c r="F1313" s="16" t="n">
        <v>7137.95</v>
      </c>
      <c r="G1313" s="17" t="n">
        <v>50</v>
      </c>
      <c r="H1313" s="16" t="n">
        <v>-7137.95</v>
      </c>
      <c r="I1313" s="16" t="n">
        <v>0</v>
      </c>
    </row>
    <row r="1314">
      <c r="A1314" t="inlineStr">
        <is>
          <t>MTR-IOS-1313</t>
        </is>
      </c>
      <c r="B1314" t="inlineStr">
        <is>
          <t>Purchase</t>
        </is>
      </c>
      <c r="C1314" t="inlineStr">
        <is>
          <t>PERCENTAGE</t>
        </is>
      </c>
      <c r="D1314" t="inlineStr">
        <is>
          <t>IOS Aarav</t>
        </is>
      </c>
      <c r="E1314" s="16" t="n">
        <v>0</v>
      </c>
      <c r="F1314" s="16" t="n">
        <v>4282.77</v>
      </c>
      <c r="G1314" s="17" t="n">
        <v>30</v>
      </c>
      <c r="H1314" s="16" t="n">
        <v>-4282.77</v>
      </c>
      <c r="I1314" s="16" t="n">
        <v>0</v>
      </c>
    </row>
    <row r="1315">
      <c r="A1315" t="inlineStr">
        <is>
          <t>MTR-IOS-1313</t>
        </is>
      </c>
      <c r="B1315" t="inlineStr">
        <is>
          <t>Purchase</t>
        </is>
      </c>
      <c r="C1315" t="inlineStr">
        <is>
          <t>PERCENTAGE</t>
        </is>
      </c>
      <c r="D1315" t="inlineStr">
        <is>
          <t>IOS Meera</t>
        </is>
      </c>
      <c r="E1315" s="16" t="n">
        <v>14275.9</v>
      </c>
      <c r="F1315" s="16" t="n">
        <v>2855.18</v>
      </c>
      <c r="G1315" s="17" t="n">
        <v>20</v>
      </c>
      <c r="H1315" s="16" t="n">
        <v>11420.72</v>
      </c>
      <c r="I1315" s="16" t="n">
        <v>0</v>
      </c>
    </row>
    <row r="1316">
      <c r="A1316" t="inlineStr">
        <is>
          <t>MTR-IOS-1316</t>
        </is>
      </c>
      <c r="B1316" t="inlineStr">
        <is>
          <t>Assets</t>
        </is>
      </c>
      <c r="C1316" t="inlineStr">
        <is>
          <t>EXACT</t>
        </is>
      </c>
      <c r="D1316" t="inlineStr">
        <is>
          <t>IOS Owner</t>
        </is>
      </c>
      <c r="E1316" s="16" t="n">
        <v>9786.200000000001</v>
      </c>
      <c r="F1316" s="16" t="n">
        <v>3258.8</v>
      </c>
      <c r="G1316" s="17" t="n"/>
      <c r="H1316" s="16" t="n">
        <v>6527.4</v>
      </c>
      <c r="I1316" s="16" t="n">
        <v>0</v>
      </c>
    </row>
    <row r="1317">
      <c r="A1317" t="inlineStr">
        <is>
          <t>MTR-IOS-1316</t>
        </is>
      </c>
      <c r="B1317" t="inlineStr">
        <is>
          <t>Assets</t>
        </is>
      </c>
      <c r="C1317" t="inlineStr">
        <is>
          <t>EXACT</t>
        </is>
      </c>
      <c r="D1317" t="inlineStr">
        <is>
          <t>IOS Aarav</t>
        </is>
      </c>
      <c r="E1317" s="16" t="n">
        <v>0</v>
      </c>
      <c r="F1317" s="16" t="n">
        <v>3258.8</v>
      </c>
      <c r="G1317" s="17" t="n"/>
      <c r="H1317" s="16" t="n">
        <v>-3258.8</v>
      </c>
      <c r="I1317" s="16" t="n">
        <v>0</v>
      </c>
    </row>
    <row r="1318">
      <c r="A1318" t="inlineStr">
        <is>
          <t>MTR-IOS-1316</t>
        </is>
      </c>
      <c r="B1318" t="inlineStr">
        <is>
          <t>Assets</t>
        </is>
      </c>
      <c r="C1318" t="inlineStr">
        <is>
          <t>EXACT</t>
        </is>
      </c>
      <c r="D1318" t="inlineStr">
        <is>
          <t>IOS Meera</t>
        </is>
      </c>
      <c r="E1318" s="16" t="n">
        <v>0</v>
      </c>
      <c r="F1318" s="16" t="n">
        <v>3268.6</v>
      </c>
      <c r="G1318" s="17" t="n"/>
      <c r="H1318" s="16" t="n">
        <v>-3268.6</v>
      </c>
      <c r="I1318" s="16" t="n">
        <v>0</v>
      </c>
    </row>
    <row r="1319">
      <c r="A1319" t="inlineStr">
        <is>
          <t>MTR-IOS-1319</t>
        </is>
      </c>
      <c r="B1319" t="inlineStr">
        <is>
          <t>Assets</t>
        </is>
      </c>
      <c r="C1319" t="inlineStr">
        <is>
          <t>SHARES</t>
        </is>
      </c>
      <c r="D1319" t="inlineStr">
        <is>
          <t>IOS Owner</t>
        </is>
      </c>
      <c r="E1319" s="16" t="n">
        <v>0</v>
      </c>
      <c r="F1319" s="16" t="n">
        <v>4680.39</v>
      </c>
      <c r="G1319" s="17" t="n"/>
      <c r="H1319" s="16" t="n">
        <v>-4680.39</v>
      </c>
      <c r="I1319" s="16" t="n">
        <v>0</v>
      </c>
    </row>
    <row r="1320">
      <c r="A1320" t="inlineStr">
        <is>
          <t>MTR-IOS-1319</t>
        </is>
      </c>
      <c r="B1320" t="inlineStr">
        <is>
          <t>Assets</t>
        </is>
      </c>
      <c r="C1320" t="inlineStr">
        <is>
          <t>SHARES</t>
        </is>
      </c>
      <c r="D1320" t="inlineStr">
        <is>
          <t>IOS Aarav</t>
        </is>
      </c>
      <c r="E1320" s="16" t="n">
        <v>9360.780000000001</v>
      </c>
      <c r="F1320" s="16" t="n">
        <v>3120.26</v>
      </c>
      <c r="G1320" s="17" t="n"/>
      <c r="H1320" s="16" t="n">
        <v>6240.52</v>
      </c>
      <c r="I1320" s="16" t="n">
        <v>0</v>
      </c>
    </row>
    <row r="1321">
      <c r="A1321" t="inlineStr">
        <is>
          <t>MTR-IOS-1319</t>
        </is>
      </c>
      <c r="B1321" t="inlineStr">
        <is>
          <t>Assets</t>
        </is>
      </c>
      <c r="C1321" t="inlineStr">
        <is>
          <t>SHARES</t>
        </is>
      </c>
      <c r="D1321" t="inlineStr">
        <is>
          <t>IOS Meera</t>
        </is>
      </c>
      <c r="E1321" s="16" t="n">
        <v>0</v>
      </c>
      <c r="F1321" s="16" t="n">
        <v>1560.13</v>
      </c>
      <c r="G1321" s="17" t="n"/>
      <c r="H1321" s="16" t="n">
        <v>-1560.13</v>
      </c>
      <c r="I1321" s="16" t="n">
        <v>0</v>
      </c>
    </row>
    <row r="1322">
      <c r="A1322" t="inlineStr">
        <is>
          <t>MTR-IOS-1322</t>
        </is>
      </c>
      <c r="B1322" t="inlineStr">
        <is>
          <t>Assets</t>
        </is>
      </c>
      <c r="C1322" t="inlineStr">
        <is>
          <t>EQUAL</t>
        </is>
      </c>
      <c r="D1322" t="inlineStr">
        <is>
          <t>IOS Owner</t>
        </is>
      </c>
      <c r="E1322" s="16" t="n">
        <v>0</v>
      </c>
      <c r="F1322" s="16" t="n">
        <v>6831.27</v>
      </c>
      <c r="G1322" s="17" t="n"/>
      <c r="H1322" s="16" t="n">
        <v>-6831.27</v>
      </c>
      <c r="I1322" s="16" t="n">
        <v>0</v>
      </c>
    </row>
    <row r="1323">
      <c r="A1323" t="inlineStr">
        <is>
          <t>MTR-IOS-1322</t>
        </is>
      </c>
      <c r="B1323" t="inlineStr">
        <is>
          <t>Assets</t>
        </is>
      </c>
      <c r="C1323" t="inlineStr">
        <is>
          <t>EQUAL</t>
        </is>
      </c>
      <c r="D1323" t="inlineStr">
        <is>
          <t>IOS Aarav</t>
        </is>
      </c>
      <c r="E1323" s="16" t="n">
        <v>0</v>
      </c>
      <c r="F1323" s="16" t="n">
        <v>6831.27</v>
      </c>
      <c r="G1323" s="17" t="n"/>
      <c r="H1323" s="16" t="n">
        <v>-6831.27</v>
      </c>
      <c r="I1323" s="16" t="n">
        <v>0</v>
      </c>
    </row>
    <row r="1324">
      <c r="A1324" t="inlineStr">
        <is>
          <t>MTR-IOS-1322</t>
        </is>
      </c>
      <c r="B1324" t="inlineStr">
        <is>
          <t>Assets</t>
        </is>
      </c>
      <c r="C1324" t="inlineStr">
        <is>
          <t>EQUAL</t>
        </is>
      </c>
      <c r="D1324" t="inlineStr">
        <is>
          <t>IOS Meera</t>
        </is>
      </c>
      <c r="E1324" s="16" t="n">
        <v>20493.82</v>
      </c>
      <c r="F1324" s="16" t="n">
        <v>6831.28</v>
      </c>
      <c r="G1324" s="17" t="n"/>
      <c r="H1324" s="16" t="n">
        <v>13662.54</v>
      </c>
      <c r="I1324" s="16" t="n">
        <v>0</v>
      </c>
    </row>
    <row r="1325">
      <c r="A1325" t="inlineStr">
        <is>
          <t>MTR-IOS-1325</t>
        </is>
      </c>
      <c r="B1325" t="inlineStr">
        <is>
          <t>Assets</t>
        </is>
      </c>
      <c r="C1325" t="inlineStr">
        <is>
          <t>PERCENTAGE</t>
        </is>
      </c>
      <c r="D1325" t="inlineStr">
        <is>
          <t>IOS Owner</t>
        </is>
      </c>
      <c r="E1325" s="16" t="n">
        <v>20239.06</v>
      </c>
      <c r="F1325" s="16" t="n">
        <v>10119.53</v>
      </c>
      <c r="G1325" s="17" t="n">
        <v>50</v>
      </c>
      <c r="H1325" s="16" t="n">
        <v>10119.53</v>
      </c>
      <c r="I1325" s="16" t="n">
        <v>0</v>
      </c>
    </row>
    <row r="1326">
      <c r="A1326" t="inlineStr">
        <is>
          <t>MTR-IOS-1325</t>
        </is>
      </c>
      <c r="B1326" t="inlineStr">
        <is>
          <t>Assets</t>
        </is>
      </c>
      <c r="C1326" t="inlineStr">
        <is>
          <t>PERCENTAGE</t>
        </is>
      </c>
      <c r="D1326" t="inlineStr">
        <is>
          <t>IOS Aarav</t>
        </is>
      </c>
      <c r="E1326" s="16" t="n">
        <v>0</v>
      </c>
      <c r="F1326" s="16" t="n">
        <v>6071.72</v>
      </c>
      <c r="G1326" s="17" t="n">
        <v>30</v>
      </c>
      <c r="H1326" s="16" t="n">
        <v>-6071.72</v>
      </c>
      <c r="I1326" s="16" t="n">
        <v>0</v>
      </c>
    </row>
    <row r="1327">
      <c r="A1327" t="inlineStr">
        <is>
          <t>MTR-IOS-1325</t>
        </is>
      </c>
      <c r="B1327" t="inlineStr">
        <is>
          <t>Assets</t>
        </is>
      </c>
      <c r="C1327" t="inlineStr">
        <is>
          <t>PERCENTAGE</t>
        </is>
      </c>
      <c r="D1327" t="inlineStr">
        <is>
          <t>IOS Meera</t>
        </is>
      </c>
      <c r="E1327" s="16" t="n">
        <v>0</v>
      </c>
      <c r="F1327" s="16" t="n">
        <v>4047.81</v>
      </c>
      <c r="G1327" s="17" t="n">
        <v>20</v>
      </c>
      <c r="H1327" s="16" t="n">
        <v>-4047.81</v>
      </c>
      <c r="I1327" s="16" t="n">
        <v>0</v>
      </c>
    </row>
    <row r="1328">
      <c r="A1328" t="inlineStr">
        <is>
          <t>MTR-IOS-1328</t>
        </is>
      </c>
      <c r="B1328" t="inlineStr">
        <is>
          <t>Assets</t>
        </is>
      </c>
      <c r="C1328" t="inlineStr">
        <is>
          <t>EXACT</t>
        </is>
      </c>
      <c r="D1328" t="inlineStr">
        <is>
          <t>IOS Owner</t>
        </is>
      </c>
      <c r="E1328" s="16" t="n">
        <v>0</v>
      </c>
      <c r="F1328" s="16" t="n">
        <v>4438.22</v>
      </c>
      <c r="G1328" s="17" t="n"/>
      <c r="H1328" s="16" t="n">
        <v>-4438.22</v>
      </c>
      <c r="I1328" s="16" t="n">
        <v>0</v>
      </c>
    </row>
    <row r="1329">
      <c r="A1329" t="inlineStr">
        <is>
          <t>MTR-IOS-1328</t>
        </is>
      </c>
      <c r="B1329" t="inlineStr">
        <is>
          <t>Assets</t>
        </is>
      </c>
      <c r="C1329" t="inlineStr">
        <is>
          <t>EXACT</t>
        </is>
      </c>
      <c r="D1329" t="inlineStr">
        <is>
          <t>IOS Aarav</t>
        </is>
      </c>
      <c r="E1329" s="16" t="n">
        <v>13327.98</v>
      </c>
      <c r="F1329" s="16" t="n">
        <v>4438.22</v>
      </c>
      <c r="G1329" s="17" t="n"/>
      <c r="H1329" s="16" t="n">
        <v>8889.76</v>
      </c>
      <c r="I1329" s="16" t="n">
        <v>0</v>
      </c>
    </row>
    <row r="1330">
      <c r="A1330" t="inlineStr">
        <is>
          <t>MTR-IOS-1328</t>
        </is>
      </c>
      <c r="B1330" t="inlineStr">
        <is>
          <t>Assets</t>
        </is>
      </c>
      <c r="C1330" t="inlineStr">
        <is>
          <t>EXACT</t>
        </is>
      </c>
      <c r="D1330" t="inlineStr">
        <is>
          <t>IOS Meera</t>
        </is>
      </c>
      <c r="E1330" s="16" t="n">
        <v>0</v>
      </c>
      <c r="F1330" s="16" t="n">
        <v>4451.54</v>
      </c>
      <c r="G1330" s="17" t="n"/>
      <c r="H1330" s="16" t="n">
        <v>-4451.54</v>
      </c>
      <c r="I1330" s="16" t="n">
        <v>0</v>
      </c>
    </row>
    <row r="1331">
      <c r="A1331" t="inlineStr">
        <is>
          <t>MTR-IOS-1331</t>
        </is>
      </c>
      <c r="B1331" t="inlineStr">
        <is>
          <t>Custom Purchase</t>
        </is>
      </c>
      <c r="C1331" t="inlineStr">
        <is>
          <t>SHARES</t>
        </is>
      </c>
      <c r="D1331" t="inlineStr">
        <is>
          <t>IOS Owner</t>
        </is>
      </c>
      <c r="E1331" s="16" t="n">
        <v>0</v>
      </c>
      <c r="F1331" s="16" t="n">
        <v>3270.11</v>
      </c>
      <c r="G1331" s="17" t="n"/>
      <c r="H1331" s="16" t="n">
        <v>-3270.11</v>
      </c>
      <c r="I1331" s="16" t="n">
        <v>0</v>
      </c>
    </row>
    <row r="1332">
      <c r="A1332" t="inlineStr">
        <is>
          <t>MTR-IOS-1331</t>
        </is>
      </c>
      <c r="B1332" t="inlineStr">
        <is>
          <t>Custom Purchase</t>
        </is>
      </c>
      <c r="C1332" t="inlineStr">
        <is>
          <t>SHARES</t>
        </is>
      </c>
      <c r="D1332" t="inlineStr">
        <is>
          <t>IOS Aarav</t>
        </is>
      </c>
      <c r="E1332" s="16" t="n">
        <v>0</v>
      </c>
      <c r="F1332" s="16" t="n">
        <v>2180.07</v>
      </c>
      <c r="G1332" s="17" t="n"/>
      <c r="H1332" s="16" t="n">
        <v>-2180.07</v>
      </c>
      <c r="I1332" s="16" t="n">
        <v>0</v>
      </c>
    </row>
    <row r="1333">
      <c r="A1333" t="inlineStr">
        <is>
          <t>MTR-IOS-1331</t>
        </is>
      </c>
      <c r="B1333" t="inlineStr">
        <is>
          <t>Custom Purchase</t>
        </is>
      </c>
      <c r="C1333" t="inlineStr">
        <is>
          <t>SHARES</t>
        </is>
      </c>
      <c r="D1333" t="inlineStr">
        <is>
          <t>IOS Meera</t>
        </is>
      </c>
      <c r="E1333" s="16" t="n">
        <v>6540.22</v>
      </c>
      <c r="F1333" s="16" t="n">
        <v>1090.04</v>
      </c>
      <c r="G1333" s="17" t="n"/>
      <c r="H1333" s="16" t="n">
        <v>5450.18</v>
      </c>
      <c r="I1333" s="16" t="n">
        <v>0</v>
      </c>
    </row>
    <row r="1334">
      <c r="A1334" t="inlineStr">
        <is>
          <t>MTR-IOS-1334</t>
        </is>
      </c>
      <c r="B1334" t="inlineStr">
        <is>
          <t>Custom Purchase</t>
        </is>
      </c>
      <c r="C1334" t="inlineStr">
        <is>
          <t>EQUAL</t>
        </is>
      </c>
      <c r="D1334" t="inlineStr">
        <is>
          <t>IOS Owner</t>
        </is>
      </c>
      <c r="E1334" s="16" t="n">
        <v>26733.84</v>
      </c>
      <c r="F1334" s="16" t="n">
        <v>8911.280000000001</v>
      </c>
      <c r="G1334" s="17" t="n"/>
      <c r="H1334" s="16" t="n">
        <v>17822.56</v>
      </c>
      <c r="I1334" s="16" t="n">
        <v>0</v>
      </c>
    </row>
    <row r="1335">
      <c r="A1335" t="inlineStr">
        <is>
          <t>MTR-IOS-1334</t>
        </is>
      </c>
      <c r="B1335" t="inlineStr">
        <is>
          <t>Custom Purchase</t>
        </is>
      </c>
      <c r="C1335" t="inlineStr">
        <is>
          <t>EQUAL</t>
        </is>
      </c>
      <c r="D1335" t="inlineStr">
        <is>
          <t>IOS Aarav</t>
        </is>
      </c>
      <c r="E1335" s="16" t="n">
        <v>0</v>
      </c>
      <c r="F1335" s="16" t="n">
        <v>8911.280000000001</v>
      </c>
      <c r="G1335" s="17" t="n"/>
      <c r="H1335" s="16" t="n">
        <v>-8911.280000000001</v>
      </c>
      <c r="I1335" s="16" t="n">
        <v>0</v>
      </c>
    </row>
    <row r="1336">
      <c r="A1336" t="inlineStr">
        <is>
          <t>MTR-IOS-1334</t>
        </is>
      </c>
      <c r="B1336" t="inlineStr">
        <is>
          <t>Custom Purchase</t>
        </is>
      </c>
      <c r="C1336" t="inlineStr">
        <is>
          <t>EQUAL</t>
        </is>
      </c>
      <c r="D1336" t="inlineStr">
        <is>
          <t>IOS Meera</t>
        </is>
      </c>
      <c r="E1336" s="16" t="n">
        <v>0</v>
      </c>
      <c r="F1336" s="16" t="n">
        <v>8911.280000000001</v>
      </c>
      <c r="G1336" s="17" t="n"/>
      <c r="H1336" s="16" t="n">
        <v>-8911.280000000001</v>
      </c>
      <c r="I1336" s="16" t="n">
        <v>0</v>
      </c>
    </row>
    <row r="1337">
      <c r="A1337" t="inlineStr">
        <is>
          <t>MTR-IOS-1337</t>
        </is>
      </c>
      <c r="B1337" t="inlineStr">
        <is>
          <t>Flatmates</t>
        </is>
      </c>
      <c r="C1337" t="inlineStr">
        <is>
          <t>PERCENTAGE</t>
        </is>
      </c>
      <c r="D1337" t="inlineStr">
        <is>
          <t>IOS Owner</t>
        </is>
      </c>
      <c r="E1337" s="16" t="n">
        <v>0</v>
      </c>
      <c r="F1337" s="16" t="n">
        <v>11373.91</v>
      </c>
      <c r="G1337" s="17" t="n">
        <v>50</v>
      </c>
      <c r="H1337" s="16" t="n">
        <v>-11373.91</v>
      </c>
      <c r="I1337" s="16" t="n">
        <v>0</v>
      </c>
    </row>
    <row r="1338">
      <c r="A1338" t="inlineStr">
        <is>
          <t>MTR-IOS-1337</t>
        </is>
      </c>
      <c r="B1338" t="inlineStr">
        <is>
          <t>Flatmates</t>
        </is>
      </c>
      <c r="C1338" t="inlineStr">
        <is>
          <t>PERCENTAGE</t>
        </is>
      </c>
      <c r="D1338" t="inlineStr">
        <is>
          <t>IOS Aarav</t>
        </is>
      </c>
      <c r="E1338" s="16" t="n">
        <v>22747.82</v>
      </c>
      <c r="F1338" s="16" t="n">
        <v>6824.35</v>
      </c>
      <c r="G1338" s="17" t="n">
        <v>30</v>
      </c>
      <c r="H1338" s="16" t="n">
        <v>15923.47</v>
      </c>
      <c r="I1338" s="16" t="n">
        <v>0</v>
      </c>
    </row>
    <row r="1339">
      <c r="A1339" t="inlineStr">
        <is>
          <t>MTR-IOS-1337</t>
        </is>
      </c>
      <c r="B1339" t="inlineStr">
        <is>
          <t>Flatmates</t>
        </is>
      </c>
      <c r="C1339" t="inlineStr">
        <is>
          <t>PERCENTAGE</t>
        </is>
      </c>
      <c r="D1339" t="inlineStr">
        <is>
          <t>IOS Meera</t>
        </is>
      </c>
      <c r="E1339" s="16" t="n">
        <v>0</v>
      </c>
      <c r="F1339" s="16" t="n">
        <v>4549.56</v>
      </c>
      <c r="G1339" s="17" t="n">
        <v>20</v>
      </c>
      <c r="H1339" s="16" t="n">
        <v>-4549.56</v>
      </c>
      <c r="I1339" s="16" t="n">
        <v>0</v>
      </c>
    </row>
    <row r="1340">
      <c r="A1340" t="inlineStr">
        <is>
          <t>MTR-IOS-1340</t>
        </is>
      </c>
      <c r="B1340" t="inlineStr">
        <is>
          <t>Flatmates</t>
        </is>
      </c>
      <c r="C1340" t="inlineStr">
        <is>
          <t>EXACT</t>
        </is>
      </c>
      <c r="D1340" t="inlineStr">
        <is>
          <t>IOS Owner</t>
        </is>
      </c>
      <c r="E1340" s="16" t="n">
        <v>0</v>
      </c>
      <c r="F1340" s="16" t="n">
        <v>3196.98</v>
      </c>
      <c r="G1340" s="17" t="n"/>
      <c r="H1340" s="16" t="n">
        <v>-3196.98</v>
      </c>
      <c r="I1340" s="16" t="n">
        <v>0</v>
      </c>
    </row>
    <row r="1341">
      <c r="A1341" t="inlineStr">
        <is>
          <t>MTR-IOS-1340</t>
        </is>
      </c>
      <c r="B1341" t="inlineStr">
        <is>
          <t>Flatmates</t>
        </is>
      </c>
      <c r="C1341" t="inlineStr">
        <is>
          <t>EXACT</t>
        </is>
      </c>
      <c r="D1341" t="inlineStr">
        <is>
          <t>IOS Aarav</t>
        </is>
      </c>
      <c r="E1341" s="16" t="n">
        <v>0</v>
      </c>
      <c r="F1341" s="16" t="n">
        <v>3196.98</v>
      </c>
      <c r="G1341" s="17" t="n"/>
      <c r="H1341" s="16" t="n">
        <v>-3196.98</v>
      </c>
      <c r="I1341" s="16" t="n">
        <v>0</v>
      </c>
    </row>
    <row r="1342">
      <c r="A1342" t="inlineStr">
        <is>
          <t>MTR-IOS-1340</t>
        </is>
      </c>
      <c r="B1342" t="inlineStr">
        <is>
          <t>Flatmates</t>
        </is>
      </c>
      <c r="C1342" t="inlineStr">
        <is>
          <t>EXACT</t>
        </is>
      </c>
      <c r="D1342" t="inlineStr">
        <is>
          <t>IOS Meera</t>
        </is>
      </c>
      <c r="E1342" s="16" t="n">
        <v>9600.530000000001</v>
      </c>
      <c r="F1342" s="16" t="n">
        <v>3206.57</v>
      </c>
      <c r="G1342" s="17" t="n"/>
      <c r="H1342" s="16" t="n">
        <v>6393.96</v>
      </c>
      <c r="I1342" s="16" t="n">
        <v>0</v>
      </c>
    </row>
    <row r="1343">
      <c r="A1343" t="inlineStr">
        <is>
          <t>MTR-IOS-1343</t>
        </is>
      </c>
      <c r="B1343" t="inlineStr">
        <is>
          <t>Flatmates</t>
        </is>
      </c>
      <c r="C1343" t="inlineStr">
        <is>
          <t>SHARES</t>
        </is>
      </c>
      <c r="D1343" t="inlineStr">
        <is>
          <t>IOS Owner</t>
        </is>
      </c>
      <c r="E1343" s="16" t="n">
        <v>17672.09</v>
      </c>
      <c r="F1343" s="16" t="n">
        <v>8836.049999999999</v>
      </c>
      <c r="G1343" s="17" t="n"/>
      <c r="H1343" s="16" t="n">
        <v>8836.040000000001</v>
      </c>
      <c r="I1343" s="16" t="n">
        <v>0</v>
      </c>
    </row>
    <row r="1344">
      <c r="A1344" t="inlineStr">
        <is>
          <t>MTR-IOS-1343</t>
        </is>
      </c>
      <c r="B1344" t="inlineStr">
        <is>
          <t>Flatmates</t>
        </is>
      </c>
      <c r="C1344" t="inlineStr">
        <is>
          <t>SHARES</t>
        </is>
      </c>
      <c r="D1344" t="inlineStr">
        <is>
          <t>IOS Aarav</t>
        </is>
      </c>
      <c r="E1344" s="16" t="n">
        <v>0</v>
      </c>
      <c r="F1344" s="16" t="n">
        <v>5890.7</v>
      </c>
      <c r="G1344" s="17" t="n"/>
      <c r="H1344" s="16" t="n">
        <v>-5890.7</v>
      </c>
      <c r="I1344" s="16" t="n">
        <v>0</v>
      </c>
    </row>
    <row r="1345">
      <c r="A1345" t="inlineStr">
        <is>
          <t>MTR-IOS-1343</t>
        </is>
      </c>
      <c r="B1345" t="inlineStr">
        <is>
          <t>Flatmates</t>
        </is>
      </c>
      <c r="C1345" t="inlineStr">
        <is>
          <t>SHARES</t>
        </is>
      </c>
      <c r="D1345" t="inlineStr">
        <is>
          <t>IOS Meera</t>
        </is>
      </c>
      <c r="E1345" s="16" t="n">
        <v>0</v>
      </c>
      <c r="F1345" s="16" t="n">
        <v>2945.34</v>
      </c>
      <c r="G1345" s="17" t="n"/>
      <c r="H1345" s="16" t="n">
        <v>-2945.34</v>
      </c>
      <c r="I1345" s="16" t="n">
        <v>0</v>
      </c>
    </row>
    <row r="1346">
      <c r="A1346" t="inlineStr">
        <is>
          <t>MTR-IOS-1346</t>
        </is>
      </c>
      <c r="B1346" t="inlineStr">
        <is>
          <t>Flatmates</t>
        </is>
      </c>
      <c r="C1346" t="inlineStr">
        <is>
          <t>EQUAL</t>
        </is>
      </c>
      <c r="D1346" t="inlineStr">
        <is>
          <t>IOS Owner</t>
        </is>
      </c>
      <c r="E1346" s="16" t="n">
        <v>0</v>
      </c>
      <c r="F1346" s="16" t="n">
        <v>8218.08</v>
      </c>
      <c r="G1346" s="17" t="n"/>
      <c r="H1346" s="16" t="n">
        <v>-8218.08</v>
      </c>
      <c r="I1346" s="16" t="n">
        <v>0</v>
      </c>
    </row>
    <row r="1347">
      <c r="A1347" t="inlineStr">
        <is>
          <t>MTR-IOS-1346</t>
        </is>
      </c>
      <c r="B1347" t="inlineStr">
        <is>
          <t>Flatmates</t>
        </is>
      </c>
      <c r="C1347" t="inlineStr">
        <is>
          <t>EQUAL</t>
        </is>
      </c>
      <c r="D1347" t="inlineStr">
        <is>
          <t>IOS Aarav</t>
        </is>
      </c>
      <c r="E1347" s="16" t="n">
        <v>24654.24</v>
      </c>
      <c r="F1347" s="16" t="n">
        <v>8218.08</v>
      </c>
      <c r="G1347" s="17" t="n"/>
      <c r="H1347" s="16" t="n">
        <v>16436.16</v>
      </c>
      <c r="I1347" s="16" t="n">
        <v>0</v>
      </c>
    </row>
    <row r="1348">
      <c r="A1348" t="inlineStr">
        <is>
          <t>MTR-IOS-1346</t>
        </is>
      </c>
      <c r="B1348" t="inlineStr">
        <is>
          <t>Flatmates</t>
        </is>
      </c>
      <c r="C1348" t="inlineStr">
        <is>
          <t>EQUAL</t>
        </is>
      </c>
      <c r="D1348" t="inlineStr">
        <is>
          <t>IOS Meera</t>
        </is>
      </c>
      <c r="E1348" s="16" t="n">
        <v>0</v>
      </c>
      <c r="F1348" s="16" t="n">
        <v>8218.08</v>
      </c>
      <c r="G1348" s="17" t="n"/>
      <c r="H1348" s="16" t="n">
        <v>-8218.08</v>
      </c>
      <c r="I1348" s="16" t="n">
        <v>0</v>
      </c>
    </row>
    <row r="1349">
      <c r="A1349" t="inlineStr">
        <is>
          <t>MTR-IOS-1349</t>
        </is>
      </c>
      <c r="B1349" t="inlineStr">
        <is>
          <t>Flatmates</t>
        </is>
      </c>
      <c r="C1349" t="inlineStr">
        <is>
          <t>PERCENTAGE</t>
        </is>
      </c>
      <c r="D1349" t="inlineStr">
        <is>
          <t>IOS Owner</t>
        </is>
      </c>
      <c r="E1349" s="16" t="n">
        <v>0</v>
      </c>
      <c r="F1349" s="16" t="n">
        <v>10441.26</v>
      </c>
      <c r="G1349" s="17" t="n">
        <v>50</v>
      </c>
      <c r="H1349" s="16" t="n">
        <v>-10441.26</v>
      </c>
      <c r="I1349" s="16" t="n">
        <v>0</v>
      </c>
    </row>
    <row r="1350">
      <c r="A1350" t="inlineStr">
        <is>
          <t>MTR-IOS-1349</t>
        </is>
      </c>
      <c r="B1350" t="inlineStr">
        <is>
          <t>Flatmates</t>
        </is>
      </c>
      <c r="C1350" t="inlineStr">
        <is>
          <t>PERCENTAGE</t>
        </is>
      </c>
      <c r="D1350" t="inlineStr">
        <is>
          <t>IOS Aarav</t>
        </is>
      </c>
      <c r="E1350" s="16" t="n">
        <v>0</v>
      </c>
      <c r="F1350" s="16" t="n">
        <v>6264.75</v>
      </c>
      <c r="G1350" s="17" t="n">
        <v>30</v>
      </c>
      <c r="H1350" s="16" t="n">
        <v>-6264.75</v>
      </c>
      <c r="I1350" s="16" t="n">
        <v>0</v>
      </c>
    </row>
    <row r="1351">
      <c r="A1351" t="inlineStr">
        <is>
          <t>MTR-IOS-1349</t>
        </is>
      </c>
      <c r="B1351" t="inlineStr">
        <is>
          <t>Flatmates</t>
        </is>
      </c>
      <c r="C1351" t="inlineStr">
        <is>
          <t>PERCENTAGE</t>
        </is>
      </c>
      <c r="D1351" t="inlineStr">
        <is>
          <t>IOS Meera</t>
        </is>
      </c>
      <c r="E1351" s="16" t="n">
        <v>20882.51</v>
      </c>
      <c r="F1351" s="16" t="n">
        <v>4176.5</v>
      </c>
      <c r="G1351" s="17" t="n">
        <v>20</v>
      </c>
      <c r="H1351" s="16" t="n">
        <v>16706.01</v>
      </c>
      <c r="I1351" s="16" t="n">
        <v>0</v>
      </c>
    </row>
    <row r="1352">
      <c r="A1352" t="inlineStr">
        <is>
          <t>MTR-IOS-1352</t>
        </is>
      </c>
      <c r="B1352" t="inlineStr">
        <is>
          <t>Flatmates</t>
        </is>
      </c>
      <c r="C1352" t="inlineStr">
        <is>
          <t>EXACT</t>
        </is>
      </c>
      <c r="D1352" t="inlineStr">
        <is>
          <t>IOS Owner</t>
        </is>
      </c>
      <c r="E1352" s="16" t="n">
        <v>22704.5</v>
      </c>
      <c r="F1352" s="16" t="n">
        <v>7560.6</v>
      </c>
      <c r="G1352" s="17" t="n"/>
      <c r="H1352" s="16" t="n">
        <v>15143.9</v>
      </c>
      <c r="I1352" s="16" t="n">
        <v>0</v>
      </c>
    </row>
    <row r="1353">
      <c r="A1353" t="inlineStr">
        <is>
          <t>MTR-IOS-1352</t>
        </is>
      </c>
      <c r="B1353" t="inlineStr">
        <is>
          <t>Flatmates</t>
        </is>
      </c>
      <c r="C1353" t="inlineStr">
        <is>
          <t>EXACT</t>
        </is>
      </c>
      <c r="D1353" t="inlineStr">
        <is>
          <t>IOS Aarav</t>
        </is>
      </c>
      <c r="E1353" s="16" t="n">
        <v>0</v>
      </c>
      <c r="F1353" s="16" t="n">
        <v>7560.6</v>
      </c>
      <c r="G1353" s="17" t="n"/>
      <c r="H1353" s="16" t="n">
        <v>-7560.6</v>
      </c>
      <c r="I1353" s="16" t="n">
        <v>0</v>
      </c>
    </row>
    <row r="1354">
      <c r="A1354" t="inlineStr">
        <is>
          <t>MTR-IOS-1352</t>
        </is>
      </c>
      <c r="B1354" t="inlineStr">
        <is>
          <t>Flatmates</t>
        </is>
      </c>
      <c r="C1354" t="inlineStr">
        <is>
          <t>EXACT</t>
        </is>
      </c>
      <c r="D1354" t="inlineStr">
        <is>
          <t>IOS Meera</t>
        </is>
      </c>
      <c r="E1354" s="16" t="n">
        <v>0</v>
      </c>
      <c r="F1354" s="16" t="n">
        <v>7583.3</v>
      </c>
      <c r="G1354" s="17" t="n"/>
      <c r="H1354" s="16" t="n">
        <v>-7583.3</v>
      </c>
      <c r="I1354" s="16" t="n">
        <v>0</v>
      </c>
    </row>
    <row r="1355">
      <c r="A1355" t="inlineStr">
        <is>
          <t>MTR-IOS-1355</t>
        </is>
      </c>
      <c r="B1355" t="inlineStr">
        <is>
          <t>Shared Living</t>
        </is>
      </c>
      <c r="C1355" t="inlineStr">
        <is>
          <t>SHARES</t>
        </is>
      </c>
      <c r="D1355" t="inlineStr">
        <is>
          <t>IOS Owner</t>
        </is>
      </c>
      <c r="E1355" s="16" t="n">
        <v>0</v>
      </c>
      <c r="F1355" s="16" t="n">
        <v>8616.389999999999</v>
      </c>
      <c r="G1355" s="17" t="n"/>
      <c r="H1355" s="16" t="n">
        <v>-8616.389999999999</v>
      </c>
      <c r="I1355" s="16" t="n">
        <v>0</v>
      </c>
    </row>
    <row r="1356">
      <c r="A1356" t="inlineStr">
        <is>
          <t>MTR-IOS-1355</t>
        </is>
      </c>
      <c r="B1356" t="inlineStr">
        <is>
          <t>Shared Living</t>
        </is>
      </c>
      <c r="C1356" t="inlineStr">
        <is>
          <t>SHARES</t>
        </is>
      </c>
      <c r="D1356" t="inlineStr">
        <is>
          <t>IOS Aarav</t>
        </is>
      </c>
      <c r="E1356" s="16" t="n">
        <v>17232.77</v>
      </c>
      <c r="F1356" s="16" t="n">
        <v>5744.26</v>
      </c>
      <c r="G1356" s="17" t="n"/>
      <c r="H1356" s="16" t="n">
        <v>11488.51</v>
      </c>
      <c r="I1356" s="16" t="n">
        <v>0</v>
      </c>
    </row>
    <row r="1357">
      <c r="A1357" t="inlineStr">
        <is>
          <t>MTR-IOS-1355</t>
        </is>
      </c>
      <c r="B1357" t="inlineStr">
        <is>
          <t>Shared Living</t>
        </is>
      </c>
      <c r="C1357" t="inlineStr">
        <is>
          <t>SHARES</t>
        </is>
      </c>
      <c r="D1357" t="inlineStr">
        <is>
          <t>IOS Meera</t>
        </is>
      </c>
      <c r="E1357" s="16" t="n">
        <v>0</v>
      </c>
      <c r="F1357" s="16" t="n">
        <v>2872.12</v>
      </c>
      <c r="G1357" s="17" t="n"/>
      <c r="H1357" s="16" t="n">
        <v>-2872.12</v>
      </c>
      <c r="I1357" s="16" t="n">
        <v>0</v>
      </c>
    </row>
    <row r="1358">
      <c r="A1358" t="inlineStr">
        <is>
          <t>MTR-IOS-1358</t>
        </is>
      </c>
      <c r="B1358" t="inlineStr">
        <is>
          <t>Shared Living</t>
        </is>
      </c>
      <c r="C1358" t="inlineStr">
        <is>
          <t>EQUAL</t>
        </is>
      </c>
      <c r="D1358" t="inlineStr">
        <is>
          <t>IOS Owner</t>
        </is>
      </c>
      <c r="E1358" s="16" t="n">
        <v>0</v>
      </c>
      <c r="F1358" s="16" t="n">
        <v>3274.18</v>
      </c>
      <c r="G1358" s="17" t="n"/>
      <c r="H1358" s="16" t="n">
        <v>-3274.18</v>
      </c>
      <c r="I1358" s="16" t="n">
        <v>0</v>
      </c>
    </row>
    <row r="1359">
      <c r="A1359" t="inlineStr">
        <is>
          <t>MTR-IOS-1358</t>
        </is>
      </c>
      <c r="B1359" t="inlineStr">
        <is>
          <t>Shared Living</t>
        </is>
      </c>
      <c r="C1359" t="inlineStr">
        <is>
          <t>EQUAL</t>
        </is>
      </c>
      <c r="D1359" t="inlineStr">
        <is>
          <t>IOS Aarav</t>
        </is>
      </c>
      <c r="E1359" s="16" t="n">
        <v>0</v>
      </c>
      <c r="F1359" s="16" t="n">
        <v>3274.18</v>
      </c>
      <c r="G1359" s="17" t="n"/>
      <c r="H1359" s="16" t="n">
        <v>-3274.18</v>
      </c>
      <c r="I1359" s="16" t="n">
        <v>0</v>
      </c>
    </row>
    <row r="1360">
      <c r="A1360" t="inlineStr">
        <is>
          <t>MTR-IOS-1358</t>
        </is>
      </c>
      <c r="B1360" t="inlineStr">
        <is>
          <t>Shared Living</t>
        </is>
      </c>
      <c r="C1360" t="inlineStr">
        <is>
          <t>EQUAL</t>
        </is>
      </c>
      <c r="D1360" t="inlineStr">
        <is>
          <t>IOS Meera</t>
        </is>
      </c>
      <c r="E1360" s="16" t="n">
        <v>9822.549999999999</v>
      </c>
      <c r="F1360" s="16" t="n">
        <v>3274.19</v>
      </c>
      <c r="G1360" s="17" t="n"/>
      <c r="H1360" s="16" t="n">
        <v>6548.36</v>
      </c>
      <c r="I1360" s="16" t="n">
        <v>0</v>
      </c>
    </row>
    <row r="1361">
      <c r="A1361" t="inlineStr">
        <is>
          <t>MTR-IOS-1361</t>
        </is>
      </c>
      <c r="B1361" t="inlineStr">
        <is>
          <t>Shared Living</t>
        </is>
      </c>
      <c r="C1361" t="inlineStr">
        <is>
          <t>PERCENTAGE</t>
        </is>
      </c>
      <c r="D1361" t="inlineStr">
        <is>
          <t>IOS Owner</t>
        </is>
      </c>
      <c r="E1361" s="16" t="n">
        <v>146.12</v>
      </c>
      <c r="F1361" s="16" t="n">
        <v>73.06</v>
      </c>
      <c r="G1361" s="17" t="n">
        <v>50</v>
      </c>
      <c r="H1361" s="16" t="n">
        <v>73.06</v>
      </c>
      <c r="I1361" s="16" t="n">
        <v>0</v>
      </c>
    </row>
    <row r="1362">
      <c r="A1362" t="inlineStr">
        <is>
          <t>MTR-IOS-1361</t>
        </is>
      </c>
      <c r="B1362" t="inlineStr">
        <is>
          <t>Shared Living</t>
        </is>
      </c>
      <c r="C1362" t="inlineStr">
        <is>
          <t>PERCENTAGE</t>
        </is>
      </c>
      <c r="D1362" t="inlineStr">
        <is>
          <t>IOS Aarav</t>
        </is>
      </c>
      <c r="E1362" s="16" t="n">
        <v>0</v>
      </c>
      <c r="F1362" s="16" t="n">
        <v>43.84</v>
      </c>
      <c r="G1362" s="17" t="n">
        <v>30</v>
      </c>
      <c r="H1362" s="16" t="n">
        <v>-43.84</v>
      </c>
      <c r="I1362" s="16" t="n">
        <v>0</v>
      </c>
    </row>
    <row r="1363">
      <c r="A1363" t="inlineStr">
        <is>
          <t>MTR-IOS-1361</t>
        </is>
      </c>
      <c r="B1363" t="inlineStr">
        <is>
          <t>Shared Living</t>
        </is>
      </c>
      <c r="C1363" t="inlineStr">
        <is>
          <t>PERCENTAGE</t>
        </is>
      </c>
      <c r="D1363" t="inlineStr">
        <is>
          <t>IOS Meera</t>
        </is>
      </c>
      <c r="E1363" s="16" t="n">
        <v>0</v>
      </c>
      <c r="F1363" s="16" t="n">
        <v>29.22</v>
      </c>
      <c r="G1363" s="17" t="n">
        <v>20</v>
      </c>
      <c r="H1363" s="16" t="n">
        <v>-29.22</v>
      </c>
      <c r="I1363" s="16" t="n">
        <v>0</v>
      </c>
    </row>
    <row r="1364">
      <c r="A1364" t="inlineStr">
        <is>
          <t>MTR-IOS-1364</t>
        </is>
      </c>
      <c r="B1364" t="inlineStr">
        <is>
          <t>Shared Living</t>
        </is>
      </c>
      <c r="C1364" t="inlineStr">
        <is>
          <t>EXACT</t>
        </is>
      </c>
      <c r="D1364" t="inlineStr">
        <is>
          <t>IOS Owner</t>
        </is>
      </c>
      <c r="E1364" s="16" t="n">
        <v>0</v>
      </c>
      <c r="F1364" s="16" t="n">
        <v>7920.08</v>
      </c>
      <c r="G1364" s="17" t="n"/>
      <c r="H1364" s="16" t="n">
        <v>-7920.08</v>
      </c>
      <c r="I1364" s="16" t="n">
        <v>0</v>
      </c>
    </row>
    <row r="1365">
      <c r="A1365" t="inlineStr">
        <is>
          <t>MTR-IOS-1364</t>
        </is>
      </c>
      <c r="B1365" t="inlineStr">
        <is>
          <t>Shared Living</t>
        </is>
      </c>
      <c r="C1365" t="inlineStr">
        <is>
          <t>EXACT</t>
        </is>
      </c>
      <c r="D1365" t="inlineStr">
        <is>
          <t>IOS Aarav</t>
        </is>
      </c>
      <c r="E1365" s="16" t="n">
        <v>23784.02</v>
      </c>
      <c r="F1365" s="16" t="n">
        <v>7920.08</v>
      </c>
      <c r="G1365" s="17" t="n"/>
      <c r="H1365" s="16" t="n">
        <v>15863.94</v>
      </c>
      <c r="I1365" s="16" t="n">
        <v>0</v>
      </c>
    </row>
    <row r="1366">
      <c r="A1366" t="inlineStr">
        <is>
          <t>MTR-IOS-1364</t>
        </is>
      </c>
      <c r="B1366" t="inlineStr">
        <is>
          <t>Shared Living</t>
        </is>
      </c>
      <c r="C1366" t="inlineStr">
        <is>
          <t>EXACT</t>
        </is>
      </c>
      <c r="D1366" t="inlineStr">
        <is>
          <t>IOS Meera</t>
        </is>
      </c>
      <c r="E1366" s="16" t="n">
        <v>0</v>
      </c>
      <c r="F1366" s="16" t="n">
        <v>7943.86</v>
      </c>
      <c r="G1366" s="17" t="n"/>
      <c r="H1366" s="16" t="n">
        <v>-7943.86</v>
      </c>
      <c r="I1366" s="16" t="n">
        <v>0</v>
      </c>
    </row>
    <row r="1367">
      <c r="A1367" t="inlineStr">
        <is>
          <t>MTR-IOS-1367</t>
        </is>
      </c>
      <c r="B1367" t="inlineStr">
        <is>
          <t>Shared Living</t>
        </is>
      </c>
      <c r="C1367" t="inlineStr">
        <is>
          <t>SHARES</t>
        </is>
      </c>
      <c r="D1367" t="inlineStr">
        <is>
          <t>IOS Owner</t>
        </is>
      </c>
      <c r="E1367" s="16" t="n">
        <v>0</v>
      </c>
      <c r="F1367" s="16" t="n">
        <v>7947.16</v>
      </c>
      <c r="G1367" s="17" t="n"/>
      <c r="H1367" s="16" t="n">
        <v>-7947.16</v>
      </c>
      <c r="I1367" s="16" t="n">
        <v>0</v>
      </c>
    </row>
    <row r="1368">
      <c r="A1368" t="inlineStr">
        <is>
          <t>MTR-IOS-1367</t>
        </is>
      </c>
      <c r="B1368" t="inlineStr">
        <is>
          <t>Shared Living</t>
        </is>
      </c>
      <c r="C1368" t="inlineStr">
        <is>
          <t>SHARES</t>
        </is>
      </c>
      <c r="D1368" t="inlineStr">
        <is>
          <t>IOS Aarav</t>
        </is>
      </c>
      <c r="E1368" s="16" t="n">
        <v>0</v>
      </c>
      <c r="F1368" s="16" t="n">
        <v>5298.11</v>
      </c>
      <c r="G1368" s="17" t="n"/>
      <c r="H1368" s="16" t="n">
        <v>-5298.11</v>
      </c>
      <c r="I1368" s="16" t="n">
        <v>0</v>
      </c>
    </row>
    <row r="1369">
      <c r="A1369" t="inlineStr">
        <is>
          <t>MTR-IOS-1367</t>
        </is>
      </c>
      <c r="B1369" t="inlineStr">
        <is>
          <t>Shared Living</t>
        </is>
      </c>
      <c r="C1369" t="inlineStr">
        <is>
          <t>SHARES</t>
        </is>
      </c>
      <c r="D1369" t="inlineStr">
        <is>
          <t>IOS Meera</t>
        </is>
      </c>
      <c r="E1369" s="16" t="n">
        <v>15894.32</v>
      </c>
      <c r="F1369" s="16" t="n">
        <v>2649.05</v>
      </c>
      <c r="G1369" s="17" t="n"/>
      <c r="H1369" s="16" t="n">
        <v>13245.27</v>
      </c>
      <c r="I1369" s="16" t="n">
        <v>0</v>
      </c>
    </row>
    <row r="1370">
      <c r="A1370" t="inlineStr">
        <is>
          <t>MTR-IOS-1370</t>
        </is>
      </c>
      <c r="B1370" t="inlineStr">
        <is>
          <t>Family Household</t>
        </is>
      </c>
      <c r="C1370" t="inlineStr">
        <is>
          <t>EQUAL</t>
        </is>
      </c>
      <c r="D1370" t="inlineStr">
        <is>
          <t>IOS Owner</t>
        </is>
      </c>
      <c r="E1370" s="16" t="n">
        <v>18371.46</v>
      </c>
      <c r="F1370" s="16" t="n">
        <v>6123.82</v>
      </c>
      <c r="G1370" s="17" t="n"/>
      <c r="H1370" s="16" t="n">
        <v>12247.64</v>
      </c>
      <c r="I1370" s="16" t="n">
        <v>0</v>
      </c>
    </row>
    <row r="1371">
      <c r="A1371" t="inlineStr">
        <is>
          <t>MTR-IOS-1370</t>
        </is>
      </c>
      <c r="B1371" t="inlineStr">
        <is>
          <t>Family Household</t>
        </is>
      </c>
      <c r="C1371" t="inlineStr">
        <is>
          <t>EQUAL</t>
        </is>
      </c>
      <c r="D1371" t="inlineStr">
        <is>
          <t>IOS Aarav</t>
        </is>
      </c>
      <c r="E1371" s="16" t="n">
        <v>0</v>
      </c>
      <c r="F1371" s="16" t="n">
        <v>6123.82</v>
      </c>
      <c r="G1371" s="17" t="n"/>
      <c r="H1371" s="16" t="n">
        <v>-6123.82</v>
      </c>
      <c r="I1371" s="16" t="n">
        <v>0</v>
      </c>
    </row>
    <row r="1372">
      <c r="A1372" t="inlineStr">
        <is>
          <t>MTR-IOS-1370</t>
        </is>
      </c>
      <c r="B1372" t="inlineStr">
        <is>
          <t>Family Household</t>
        </is>
      </c>
      <c r="C1372" t="inlineStr">
        <is>
          <t>EQUAL</t>
        </is>
      </c>
      <c r="D1372" t="inlineStr">
        <is>
          <t>IOS Meera</t>
        </is>
      </c>
      <c r="E1372" s="16" t="n">
        <v>0</v>
      </c>
      <c r="F1372" s="16" t="n">
        <v>6123.82</v>
      </c>
      <c r="G1372" s="17" t="n"/>
      <c r="H1372" s="16" t="n">
        <v>-6123.82</v>
      </c>
      <c r="I1372" s="16" t="n">
        <v>0</v>
      </c>
    </row>
    <row r="1373">
      <c r="A1373" t="inlineStr">
        <is>
          <t>MTR-IOS-1373</t>
        </is>
      </c>
      <c r="B1373" t="inlineStr">
        <is>
          <t>Family Household</t>
        </is>
      </c>
      <c r="C1373" t="inlineStr">
        <is>
          <t>PERCENTAGE</t>
        </is>
      </c>
      <c r="D1373" t="inlineStr">
        <is>
          <t>IOS Owner</t>
        </is>
      </c>
      <c r="E1373" s="16" t="n">
        <v>0</v>
      </c>
      <c r="F1373" s="16" t="n">
        <v>1147.95</v>
      </c>
      <c r="G1373" s="17" t="n">
        <v>50</v>
      </c>
      <c r="H1373" s="16" t="n">
        <v>-1147.95</v>
      </c>
      <c r="I1373" s="16" t="n">
        <v>0</v>
      </c>
    </row>
    <row r="1374">
      <c r="A1374" t="inlineStr">
        <is>
          <t>MTR-IOS-1373</t>
        </is>
      </c>
      <c r="B1374" t="inlineStr">
        <is>
          <t>Family Household</t>
        </is>
      </c>
      <c r="C1374" t="inlineStr">
        <is>
          <t>PERCENTAGE</t>
        </is>
      </c>
      <c r="D1374" t="inlineStr">
        <is>
          <t>IOS Aarav</t>
        </is>
      </c>
      <c r="E1374" s="16" t="n">
        <v>2295.9</v>
      </c>
      <c r="F1374" s="16" t="n">
        <v>688.77</v>
      </c>
      <c r="G1374" s="17" t="n">
        <v>30</v>
      </c>
      <c r="H1374" s="16" t="n">
        <v>1607.13</v>
      </c>
      <c r="I1374" s="16" t="n">
        <v>0</v>
      </c>
    </row>
    <row r="1375">
      <c r="A1375" t="inlineStr">
        <is>
          <t>MTR-IOS-1373</t>
        </is>
      </c>
      <c r="B1375" t="inlineStr">
        <is>
          <t>Family Household</t>
        </is>
      </c>
      <c r="C1375" t="inlineStr">
        <is>
          <t>PERCENTAGE</t>
        </is>
      </c>
      <c r="D1375" t="inlineStr">
        <is>
          <t>IOS Meera</t>
        </is>
      </c>
      <c r="E1375" s="16" t="n">
        <v>0</v>
      </c>
      <c r="F1375" s="16" t="n">
        <v>459.18</v>
      </c>
      <c r="G1375" s="17" t="n">
        <v>20</v>
      </c>
      <c r="H1375" s="16" t="n">
        <v>-459.18</v>
      </c>
      <c r="I1375" s="16" t="n">
        <v>0</v>
      </c>
    </row>
    <row r="1376">
      <c r="A1376" t="inlineStr">
        <is>
          <t>MTR-IOS-1376</t>
        </is>
      </c>
      <c r="B1376" t="inlineStr">
        <is>
          <t>Family Household</t>
        </is>
      </c>
      <c r="C1376" t="inlineStr">
        <is>
          <t>EXACT</t>
        </is>
      </c>
      <c r="D1376" t="inlineStr">
        <is>
          <t>IOS Owner</t>
        </is>
      </c>
      <c r="E1376" s="16" t="n">
        <v>0</v>
      </c>
      <c r="F1376" s="16" t="n">
        <v>86.3</v>
      </c>
      <c r="G1376" s="17" t="n"/>
      <c r="H1376" s="16" t="n">
        <v>-86.3</v>
      </c>
      <c r="I1376" s="16" t="n">
        <v>0</v>
      </c>
    </row>
    <row r="1377">
      <c r="A1377" t="inlineStr">
        <is>
          <t>MTR-IOS-1376</t>
        </is>
      </c>
      <c r="B1377" t="inlineStr">
        <is>
          <t>Family Household</t>
        </is>
      </c>
      <c r="C1377" t="inlineStr">
        <is>
          <t>EXACT</t>
        </is>
      </c>
      <c r="D1377" t="inlineStr">
        <is>
          <t>IOS Aarav</t>
        </is>
      </c>
      <c r="E1377" s="16" t="n">
        <v>0</v>
      </c>
      <c r="F1377" s="16" t="n">
        <v>86.3</v>
      </c>
      <c r="G1377" s="17" t="n"/>
      <c r="H1377" s="16" t="n">
        <v>-86.3</v>
      </c>
      <c r="I1377" s="16" t="n">
        <v>0</v>
      </c>
    </row>
    <row r="1378">
      <c r="A1378" t="inlineStr">
        <is>
          <t>MTR-IOS-1376</t>
        </is>
      </c>
      <c r="B1378" t="inlineStr">
        <is>
          <t>Family Household</t>
        </is>
      </c>
      <c r="C1378" t="inlineStr">
        <is>
          <t>EXACT</t>
        </is>
      </c>
      <c r="D1378" t="inlineStr">
        <is>
          <t>IOS Meera</t>
        </is>
      </c>
      <c r="E1378" s="16" t="n">
        <v>259.15</v>
      </c>
      <c r="F1378" s="16" t="n">
        <v>86.55</v>
      </c>
      <c r="G1378" s="17" t="n"/>
      <c r="H1378" s="16" t="n">
        <v>172.6</v>
      </c>
      <c r="I1378" s="16" t="n">
        <v>0</v>
      </c>
    </row>
    <row r="1379">
      <c r="A1379" t="inlineStr">
        <is>
          <t>MTR-IOS-1379</t>
        </is>
      </c>
      <c r="B1379" t="inlineStr">
        <is>
          <t>Family Household</t>
        </is>
      </c>
      <c r="C1379" t="inlineStr">
        <is>
          <t>SHARES</t>
        </is>
      </c>
      <c r="D1379" t="inlineStr">
        <is>
          <t>IOS Owner</t>
        </is>
      </c>
      <c r="E1379" s="16" t="n">
        <v>3885.47</v>
      </c>
      <c r="F1379" s="16" t="n">
        <v>1942.74</v>
      </c>
      <c r="G1379" s="17" t="n"/>
      <c r="H1379" s="16" t="n">
        <v>1942.73</v>
      </c>
      <c r="I1379" s="16" t="n">
        <v>0</v>
      </c>
    </row>
    <row r="1380">
      <c r="A1380" t="inlineStr">
        <is>
          <t>MTR-IOS-1379</t>
        </is>
      </c>
      <c r="B1380" t="inlineStr">
        <is>
          <t>Family Household</t>
        </is>
      </c>
      <c r="C1380" t="inlineStr">
        <is>
          <t>SHARES</t>
        </is>
      </c>
      <c r="D1380" t="inlineStr">
        <is>
          <t>IOS Aarav</t>
        </is>
      </c>
      <c r="E1380" s="16" t="n">
        <v>0</v>
      </c>
      <c r="F1380" s="16" t="n">
        <v>1295.16</v>
      </c>
      <c r="G1380" s="17" t="n"/>
      <c r="H1380" s="16" t="n">
        <v>-1295.16</v>
      </c>
      <c r="I1380" s="16" t="n">
        <v>0</v>
      </c>
    </row>
    <row r="1381">
      <c r="A1381" t="inlineStr">
        <is>
          <t>MTR-IOS-1379</t>
        </is>
      </c>
      <c r="B1381" t="inlineStr">
        <is>
          <t>Family Household</t>
        </is>
      </c>
      <c r="C1381" t="inlineStr">
        <is>
          <t>SHARES</t>
        </is>
      </c>
      <c r="D1381" t="inlineStr">
        <is>
          <t>IOS Meera</t>
        </is>
      </c>
      <c r="E1381" s="16" t="n">
        <v>0</v>
      </c>
      <c r="F1381" s="16" t="n">
        <v>647.5700000000001</v>
      </c>
      <c r="G1381" s="17" t="n"/>
      <c r="H1381" s="16" t="n">
        <v>-647.5700000000001</v>
      </c>
      <c r="I1381" s="16" t="n">
        <v>0</v>
      </c>
    </row>
    <row r="1382">
      <c r="A1382" t="inlineStr">
        <is>
          <t>MTR-IOS-1382</t>
        </is>
      </c>
      <c r="B1382" t="inlineStr">
        <is>
          <t>Family Household</t>
        </is>
      </c>
      <c r="C1382" t="inlineStr">
        <is>
          <t>EQUAL</t>
        </is>
      </c>
      <c r="D1382" t="inlineStr">
        <is>
          <t>IOS Owner</t>
        </is>
      </c>
      <c r="E1382" s="16" t="n">
        <v>0</v>
      </c>
      <c r="F1382" s="16" t="n">
        <v>3128.57</v>
      </c>
      <c r="G1382" s="17" t="n"/>
      <c r="H1382" s="16" t="n">
        <v>-3128.57</v>
      </c>
      <c r="I1382" s="16" t="n">
        <v>0</v>
      </c>
    </row>
    <row r="1383">
      <c r="A1383" t="inlineStr">
        <is>
          <t>MTR-IOS-1382</t>
        </is>
      </c>
      <c r="B1383" t="inlineStr">
        <is>
          <t>Family Household</t>
        </is>
      </c>
      <c r="C1383" t="inlineStr">
        <is>
          <t>EQUAL</t>
        </is>
      </c>
      <c r="D1383" t="inlineStr">
        <is>
          <t>IOS Aarav</t>
        </is>
      </c>
      <c r="E1383" s="16" t="n">
        <v>9385.700000000001</v>
      </c>
      <c r="F1383" s="16" t="n">
        <v>3128.57</v>
      </c>
      <c r="G1383" s="17" t="n"/>
      <c r="H1383" s="16" t="n">
        <v>6257.13</v>
      </c>
      <c r="I1383" s="16" t="n">
        <v>0</v>
      </c>
    </row>
    <row r="1384">
      <c r="A1384" t="inlineStr">
        <is>
          <t>MTR-IOS-1382</t>
        </is>
      </c>
      <c r="B1384" t="inlineStr">
        <is>
          <t>Family Household</t>
        </is>
      </c>
      <c r="C1384" t="inlineStr">
        <is>
          <t>EQUAL</t>
        </is>
      </c>
      <c r="D1384" t="inlineStr">
        <is>
          <t>IOS Meera</t>
        </is>
      </c>
      <c r="E1384" s="16" t="n">
        <v>0</v>
      </c>
      <c r="F1384" s="16" t="n">
        <v>3128.56</v>
      </c>
      <c r="G1384" s="17" t="n"/>
      <c r="H1384" s="16" t="n">
        <v>-3128.56</v>
      </c>
      <c r="I1384" s="16" t="n">
        <v>0</v>
      </c>
    </row>
    <row r="1385">
      <c r="A1385" t="inlineStr">
        <is>
          <t>MTR-IOS-1385</t>
        </is>
      </c>
      <c r="B1385" t="inlineStr">
        <is>
          <t>Family Household</t>
        </is>
      </c>
      <c r="C1385" t="inlineStr">
        <is>
          <t>PERCENTAGE</t>
        </is>
      </c>
      <c r="D1385" t="inlineStr">
        <is>
          <t>IOS Owner</t>
        </is>
      </c>
      <c r="E1385" s="16" t="n">
        <v>0</v>
      </c>
      <c r="F1385" s="16" t="n">
        <v>11914.07</v>
      </c>
      <c r="G1385" s="17" t="n">
        <v>50</v>
      </c>
      <c r="H1385" s="16" t="n">
        <v>-11914.07</v>
      </c>
      <c r="I1385" s="16" t="n">
        <v>0</v>
      </c>
    </row>
    <row r="1386">
      <c r="A1386" t="inlineStr">
        <is>
          <t>MTR-IOS-1385</t>
        </is>
      </c>
      <c r="B1386" t="inlineStr">
        <is>
          <t>Family Household</t>
        </is>
      </c>
      <c r="C1386" t="inlineStr">
        <is>
          <t>PERCENTAGE</t>
        </is>
      </c>
      <c r="D1386" t="inlineStr">
        <is>
          <t>IOS Aarav</t>
        </is>
      </c>
      <c r="E1386" s="16" t="n">
        <v>0</v>
      </c>
      <c r="F1386" s="16" t="n">
        <v>7148.44</v>
      </c>
      <c r="G1386" s="17" t="n">
        <v>30</v>
      </c>
      <c r="H1386" s="16" t="n">
        <v>-7148.44</v>
      </c>
      <c r="I1386" s="16" t="n">
        <v>0</v>
      </c>
    </row>
    <row r="1387">
      <c r="A1387" t="inlineStr">
        <is>
          <t>MTR-IOS-1385</t>
        </is>
      </c>
      <c r="B1387" t="inlineStr">
        <is>
          <t>Family Household</t>
        </is>
      </c>
      <c r="C1387" t="inlineStr">
        <is>
          <t>PERCENTAGE</t>
        </is>
      </c>
      <c r="D1387" t="inlineStr">
        <is>
          <t>IOS Meera</t>
        </is>
      </c>
      <c r="E1387" s="16" t="n">
        <v>23828.13</v>
      </c>
      <c r="F1387" s="16" t="n">
        <v>4765.62</v>
      </c>
      <c r="G1387" s="17" t="n">
        <v>20</v>
      </c>
      <c r="H1387" s="16" t="n">
        <v>19062.51</v>
      </c>
      <c r="I1387" s="16" t="n">
        <v>0</v>
      </c>
    </row>
    <row r="1388">
      <c r="A1388" t="inlineStr">
        <is>
          <t>MTR-IOS-1388</t>
        </is>
      </c>
      <c r="B1388" t="inlineStr">
        <is>
          <t>Custom Living</t>
        </is>
      </c>
      <c r="C1388" t="inlineStr">
        <is>
          <t>EXACT</t>
        </is>
      </c>
      <c r="D1388" t="inlineStr">
        <is>
          <t>IOS Owner</t>
        </is>
      </c>
      <c r="E1388" s="16" t="n">
        <v>14767.16</v>
      </c>
      <c r="F1388" s="16" t="n">
        <v>4917.46</v>
      </c>
      <c r="G1388" s="17" t="n"/>
      <c r="H1388" s="16" t="n">
        <v>9849.700000000001</v>
      </c>
      <c r="I1388" s="16" t="n">
        <v>0</v>
      </c>
    </row>
    <row r="1389">
      <c r="A1389" t="inlineStr">
        <is>
          <t>MTR-IOS-1388</t>
        </is>
      </c>
      <c r="B1389" t="inlineStr">
        <is>
          <t>Custom Living</t>
        </is>
      </c>
      <c r="C1389" t="inlineStr">
        <is>
          <t>EXACT</t>
        </is>
      </c>
      <c r="D1389" t="inlineStr">
        <is>
          <t>IOS Aarav</t>
        </is>
      </c>
      <c r="E1389" s="16" t="n">
        <v>0</v>
      </c>
      <c r="F1389" s="16" t="n">
        <v>4917.46</v>
      </c>
      <c r="G1389" s="17" t="n"/>
      <c r="H1389" s="16" t="n">
        <v>-4917.46</v>
      </c>
      <c r="I1389" s="16" t="n">
        <v>0</v>
      </c>
    </row>
    <row r="1390">
      <c r="A1390" t="inlineStr">
        <is>
          <t>MTR-IOS-1388</t>
        </is>
      </c>
      <c r="B1390" t="inlineStr">
        <is>
          <t>Custom Living</t>
        </is>
      </c>
      <c r="C1390" t="inlineStr">
        <is>
          <t>EXACT</t>
        </is>
      </c>
      <c r="D1390" t="inlineStr">
        <is>
          <t>IOS Meera</t>
        </is>
      </c>
      <c r="E1390" s="16" t="n">
        <v>0</v>
      </c>
      <c r="F1390" s="16" t="n">
        <v>4932.24</v>
      </c>
      <c r="G1390" s="17" t="n"/>
      <c r="H1390" s="16" t="n">
        <v>-4932.24</v>
      </c>
      <c r="I1390" s="16" t="n">
        <v>0</v>
      </c>
    </row>
    <row r="1391">
      <c r="A1391" t="inlineStr">
        <is>
          <t>MTR-IOS-1391</t>
        </is>
      </c>
      <c r="B1391" t="inlineStr">
        <is>
          <t>Custom Living</t>
        </is>
      </c>
      <c r="C1391" t="inlineStr">
        <is>
          <t>SHARES</t>
        </is>
      </c>
      <c r="D1391" t="inlineStr">
        <is>
          <t>IOS Owner</t>
        </is>
      </c>
      <c r="E1391" s="16" t="n">
        <v>0</v>
      </c>
      <c r="F1391" s="16" t="n">
        <v>9345.24</v>
      </c>
      <c r="G1391" s="17" t="n"/>
      <c r="H1391" s="16" t="n">
        <v>-9345.24</v>
      </c>
      <c r="I1391" s="16" t="n">
        <v>0</v>
      </c>
    </row>
    <row r="1392">
      <c r="A1392" t="inlineStr">
        <is>
          <t>MTR-IOS-1391</t>
        </is>
      </c>
      <c r="B1392" t="inlineStr">
        <is>
          <t>Custom Living</t>
        </is>
      </c>
      <c r="C1392" t="inlineStr">
        <is>
          <t>SHARES</t>
        </is>
      </c>
      <c r="D1392" t="inlineStr">
        <is>
          <t>IOS Aarav</t>
        </is>
      </c>
      <c r="E1392" s="16" t="n">
        <v>18690.48</v>
      </c>
      <c r="F1392" s="16" t="n">
        <v>6230.16</v>
      </c>
      <c r="G1392" s="17" t="n"/>
      <c r="H1392" s="16" t="n">
        <v>12460.32</v>
      </c>
      <c r="I1392" s="16" t="n">
        <v>0</v>
      </c>
    </row>
    <row r="1393">
      <c r="A1393" t="inlineStr">
        <is>
          <t>MTR-IOS-1391</t>
        </is>
      </c>
      <c r="B1393" t="inlineStr">
        <is>
          <t>Custom Living</t>
        </is>
      </c>
      <c r="C1393" t="inlineStr">
        <is>
          <t>SHARES</t>
        </is>
      </c>
      <c r="D1393" t="inlineStr">
        <is>
          <t>IOS Meera</t>
        </is>
      </c>
      <c r="E1393" s="16" t="n">
        <v>0</v>
      </c>
      <c r="F1393" s="16" t="n">
        <v>3115.08</v>
      </c>
      <c r="G1393" s="17" t="n"/>
      <c r="H1393" s="16" t="n">
        <v>-3115.08</v>
      </c>
      <c r="I1393" s="16" t="n">
        <v>0</v>
      </c>
    </row>
    <row r="1394">
      <c r="A1394" t="inlineStr">
        <is>
          <t>MTR-IOS-1394</t>
        </is>
      </c>
      <c r="B1394" t="inlineStr">
        <is>
          <t>Trip</t>
        </is>
      </c>
      <c r="C1394" t="inlineStr">
        <is>
          <t>EQUAL</t>
        </is>
      </c>
      <c r="D1394" t="inlineStr">
        <is>
          <t>IOS Owner</t>
        </is>
      </c>
      <c r="E1394" s="16" t="n">
        <v>0</v>
      </c>
      <c r="F1394" s="16" t="n">
        <v>787.76</v>
      </c>
      <c r="G1394" s="17" t="n"/>
      <c r="H1394" s="16" t="n">
        <v>-787.76</v>
      </c>
      <c r="I1394" s="16" t="n">
        <v>0</v>
      </c>
    </row>
    <row r="1395">
      <c r="A1395" t="inlineStr">
        <is>
          <t>MTR-IOS-1394</t>
        </is>
      </c>
      <c r="B1395" t="inlineStr">
        <is>
          <t>Trip</t>
        </is>
      </c>
      <c r="C1395" t="inlineStr">
        <is>
          <t>EQUAL</t>
        </is>
      </c>
      <c r="D1395" t="inlineStr">
        <is>
          <t>IOS Aarav</t>
        </is>
      </c>
      <c r="E1395" s="16" t="n">
        <v>0</v>
      </c>
      <c r="F1395" s="16" t="n">
        <v>787.76</v>
      </c>
      <c r="G1395" s="17" t="n"/>
      <c r="H1395" s="16" t="n">
        <v>-787.76</v>
      </c>
      <c r="I1395" s="16" t="n">
        <v>0</v>
      </c>
    </row>
    <row r="1396">
      <c r="A1396" t="inlineStr">
        <is>
          <t>MTR-IOS-1394</t>
        </is>
      </c>
      <c r="B1396" t="inlineStr">
        <is>
          <t>Trip</t>
        </is>
      </c>
      <c r="C1396" t="inlineStr">
        <is>
          <t>EQUAL</t>
        </is>
      </c>
      <c r="D1396" t="inlineStr">
        <is>
          <t>IOS Meera</t>
        </is>
      </c>
      <c r="E1396" s="16" t="n">
        <v>2363.29</v>
      </c>
      <c r="F1396" s="16" t="n">
        <v>787.77</v>
      </c>
      <c r="G1396" s="17" t="n"/>
      <c r="H1396" s="16" t="n">
        <v>1575.52</v>
      </c>
      <c r="I1396" s="16" t="n">
        <v>0</v>
      </c>
    </row>
    <row r="1397">
      <c r="A1397" t="inlineStr">
        <is>
          <t>MTR-IOS-1397</t>
        </is>
      </c>
      <c r="B1397" t="inlineStr">
        <is>
          <t>Trip</t>
        </is>
      </c>
      <c r="C1397" t="inlineStr">
        <is>
          <t>PERCENTAGE</t>
        </is>
      </c>
      <c r="D1397" t="inlineStr">
        <is>
          <t>IOS Owner</t>
        </is>
      </c>
      <c r="E1397" s="16" t="n">
        <v>10519.81</v>
      </c>
      <c r="F1397" s="16" t="n">
        <v>5259.91</v>
      </c>
      <c r="G1397" s="17" t="n">
        <v>50</v>
      </c>
      <c r="H1397" s="16" t="n">
        <v>5259.9</v>
      </c>
      <c r="I1397" s="16" t="n">
        <v>0</v>
      </c>
    </row>
    <row r="1398">
      <c r="A1398" t="inlineStr">
        <is>
          <t>MTR-IOS-1397</t>
        </is>
      </c>
      <c r="B1398" t="inlineStr">
        <is>
          <t>Trip</t>
        </is>
      </c>
      <c r="C1398" t="inlineStr">
        <is>
          <t>PERCENTAGE</t>
        </is>
      </c>
      <c r="D1398" t="inlineStr">
        <is>
          <t>IOS Aarav</t>
        </is>
      </c>
      <c r="E1398" s="16" t="n">
        <v>0</v>
      </c>
      <c r="F1398" s="16" t="n">
        <v>3155.94</v>
      </c>
      <c r="G1398" s="17" t="n">
        <v>30</v>
      </c>
      <c r="H1398" s="16" t="n">
        <v>-3155.94</v>
      </c>
      <c r="I1398" s="16" t="n">
        <v>0</v>
      </c>
    </row>
    <row r="1399">
      <c r="A1399" t="inlineStr">
        <is>
          <t>MTR-IOS-1397</t>
        </is>
      </c>
      <c r="B1399" t="inlineStr">
        <is>
          <t>Trip</t>
        </is>
      </c>
      <c r="C1399" t="inlineStr">
        <is>
          <t>PERCENTAGE</t>
        </is>
      </c>
      <c r="D1399" t="inlineStr">
        <is>
          <t>IOS Meera</t>
        </is>
      </c>
      <c r="E1399" s="16" t="n">
        <v>0</v>
      </c>
      <c r="F1399" s="16" t="n">
        <v>2103.96</v>
      </c>
      <c r="G1399" s="17" t="n">
        <v>20</v>
      </c>
      <c r="H1399" s="16" t="n">
        <v>-2103.96</v>
      </c>
      <c r="I1399" s="16" t="n">
        <v>0</v>
      </c>
    </row>
    <row r="1400">
      <c r="A1400" t="inlineStr">
        <is>
          <t>MTR-IOS-1400</t>
        </is>
      </c>
      <c r="B1400" t="inlineStr">
        <is>
          <t>Trip</t>
        </is>
      </c>
      <c r="C1400" t="inlineStr">
        <is>
          <t>EXACT</t>
        </is>
      </c>
      <c r="D1400" t="inlineStr">
        <is>
          <t>IOS Owner</t>
        </is>
      </c>
      <c r="E1400" s="16" t="n">
        <v>0</v>
      </c>
      <c r="F1400" s="16" t="n">
        <v>971.71</v>
      </c>
      <c r="G1400" s="17" t="n"/>
      <c r="H1400" s="16" t="n">
        <v>-971.71</v>
      </c>
      <c r="I1400" s="16" t="n">
        <v>0</v>
      </c>
    </row>
    <row r="1401">
      <c r="A1401" t="inlineStr">
        <is>
          <t>MTR-IOS-1400</t>
        </is>
      </c>
      <c r="B1401" t="inlineStr">
        <is>
          <t>Trip</t>
        </is>
      </c>
      <c r="C1401" t="inlineStr">
        <is>
          <t>EXACT</t>
        </is>
      </c>
      <c r="D1401" t="inlineStr">
        <is>
          <t>IOS Aarav</t>
        </is>
      </c>
      <c r="E1401" s="16" t="n">
        <v>2918.05</v>
      </c>
      <c r="F1401" s="16" t="n">
        <v>971.71</v>
      </c>
      <c r="G1401" s="17" t="n"/>
      <c r="H1401" s="16" t="n">
        <v>1946.34</v>
      </c>
      <c r="I1401" s="16" t="n">
        <v>0</v>
      </c>
    </row>
    <row r="1402">
      <c r="A1402" t="inlineStr">
        <is>
          <t>MTR-IOS-1400</t>
        </is>
      </c>
      <c r="B1402" t="inlineStr">
        <is>
          <t>Trip</t>
        </is>
      </c>
      <c r="C1402" t="inlineStr">
        <is>
          <t>EXACT</t>
        </is>
      </c>
      <c r="D1402" t="inlineStr">
        <is>
          <t>IOS Meera</t>
        </is>
      </c>
      <c r="E1402" s="16" t="n">
        <v>0</v>
      </c>
      <c r="F1402" s="16" t="n">
        <v>974.63</v>
      </c>
      <c r="G1402" s="17" t="n"/>
      <c r="H1402" s="16" t="n">
        <v>-974.63</v>
      </c>
      <c r="I1402" s="16" t="n">
        <v>0</v>
      </c>
    </row>
    <row r="1403">
      <c r="A1403" t="inlineStr">
        <is>
          <t>MTR-IOS-1403</t>
        </is>
      </c>
      <c r="B1403" t="inlineStr">
        <is>
          <t>Trip</t>
        </is>
      </c>
      <c r="C1403" t="inlineStr">
        <is>
          <t>SHARES</t>
        </is>
      </c>
      <c r="D1403" t="inlineStr">
        <is>
          <t>IOS Owner</t>
        </is>
      </c>
      <c r="E1403" s="16" t="n">
        <v>0</v>
      </c>
      <c r="F1403" s="16" t="n">
        <v>13472.49</v>
      </c>
      <c r="G1403" s="17" t="n"/>
      <c r="H1403" s="16" t="n">
        <v>-13472.49</v>
      </c>
      <c r="I1403" s="16" t="n">
        <v>0</v>
      </c>
    </row>
    <row r="1404">
      <c r="A1404" t="inlineStr">
        <is>
          <t>MTR-IOS-1403</t>
        </is>
      </c>
      <c r="B1404" t="inlineStr">
        <is>
          <t>Trip</t>
        </is>
      </c>
      <c r="C1404" t="inlineStr">
        <is>
          <t>SHARES</t>
        </is>
      </c>
      <c r="D1404" t="inlineStr">
        <is>
          <t>IOS Aarav</t>
        </is>
      </c>
      <c r="E1404" s="16" t="n">
        <v>0</v>
      </c>
      <c r="F1404" s="16" t="n">
        <v>8981.66</v>
      </c>
      <c r="G1404" s="17" t="n"/>
      <c r="H1404" s="16" t="n">
        <v>-8981.66</v>
      </c>
      <c r="I1404" s="16" t="n">
        <v>0</v>
      </c>
    </row>
    <row r="1405">
      <c r="A1405" t="inlineStr">
        <is>
          <t>MTR-IOS-1403</t>
        </is>
      </c>
      <c r="B1405" t="inlineStr">
        <is>
          <t>Trip</t>
        </is>
      </c>
      <c r="C1405" t="inlineStr">
        <is>
          <t>SHARES</t>
        </is>
      </c>
      <c r="D1405" t="inlineStr">
        <is>
          <t>IOS Meera</t>
        </is>
      </c>
      <c r="E1405" s="16" t="n">
        <v>26944.97</v>
      </c>
      <c r="F1405" s="16" t="n">
        <v>4490.82</v>
      </c>
      <c r="G1405" s="17" t="n"/>
      <c r="H1405" s="16" t="n">
        <v>22454.15</v>
      </c>
      <c r="I1405" s="16" t="n">
        <v>0</v>
      </c>
    </row>
    <row r="1406">
      <c r="A1406" t="inlineStr">
        <is>
          <t>MTR-IOS-1406</t>
        </is>
      </c>
      <c r="B1406" t="inlineStr">
        <is>
          <t>Trip</t>
        </is>
      </c>
      <c r="C1406" t="inlineStr">
        <is>
          <t>EQUAL</t>
        </is>
      </c>
      <c r="D1406" t="inlineStr">
        <is>
          <t>IOS Owner</t>
        </is>
      </c>
      <c r="E1406" s="16" t="n">
        <v>99.98999999999999</v>
      </c>
      <c r="F1406" s="16" t="n">
        <v>33.33</v>
      </c>
      <c r="G1406" s="17" t="n"/>
      <c r="H1406" s="16" t="n">
        <v>66.66</v>
      </c>
      <c r="I1406" s="16" t="n">
        <v>0</v>
      </c>
    </row>
    <row r="1407">
      <c r="A1407" t="inlineStr">
        <is>
          <t>MTR-IOS-1406</t>
        </is>
      </c>
      <c r="B1407" t="inlineStr">
        <is>
          <t>Trip</t>
        </is>
      </c>
      <c r="C1407" t="inlineStr">
        <is>
          <t>EQUAL</t>
        </is>
      </c>
      <c r="D1407" t="inlineStr">
        <is>
          <t>IOS Aarav</t>
        </is>
      </c>
      <c r="E1407" s="16" t="n">
        <v>0</v>
      </c>
      <c r="F1407" s="16" t="n">
        <v>33.33</v>
      </c>
      <c r="G1407" s="17" t="n"/>
      <c r="H1407" s="16" t="n">
        <v>-33.33</v>
      </c>
      <c r="I1407" s="16" t="n">
        <v>0</v>
      </c>
    </row>
    <row r="1408">
      <c r="A1408" t="inlineStr">
        <is>
          <t>MTR-IOS-1406</t>
        </is>
      </c>
      <c r="B1408" t="inlineStr">
        <is>
          <t>Trip</t>
        </is>
      </c>
      <c r="C1408" t="inlineStr">
        <is>
          <t>EQUAL</t>
        </is>
      </c>
      <c r="D1408" t="inlineStr">
        <is>
          <t>IOS Meera</t>
        </is>
      </c>
      <c r="E1408" s="16" t="n">
        <v>0</v>
      </c>
      <c r="F1408" s="16" t="n">
        <v>33.33</v>
      </c>
      <c r="G1408" s="17" t="n"/>
      <c r="H1408" s="16" t="n">
        <v>-33.33</v>
      </c>
      <c r="I1408" s="16" t="n">
        <v>0</v>
      </c>
    </row>
    <row r="1409">
      <c r="A1409" t="inlineStr">
        <is>
          <t>MTR-IOS-1409</t>
        </is>
      </c>
      <c r="B1409" t="inlineStr">
        <is>
          <t>Trip</t>
        </is>
      </c>
      <c r="C1409" t="inlineStr">
        <is>
          <t>PERCENTAGE</t>
        </is>
      </c>
      <c r="D1409" t="inlineStr">
        <is>
          <t>IOS Owner</t>
        </is>
      </c>
      <c r="E1409" s="16" t="n">
        <v>0</v>
      </c>
      <c r="F1409" s="16" t="n">
        <v>13131.96</v>
      </c>
      <c r="G1409" s="17" t="n">
        <v>50</v>
      </c>
      <c r="H1409" s="16" t="n">
        <v>-13131.96</v>
      </c>
      <c r="I1409" s="16" t="n">
        <v>0</v>
      </c>
    </row>
    <row r="1410">
      <c r="A1410" t="inlineStr">
        <is>
          <t>MTR-IOS-1409</t>
        </is>
      </c>
      <c r="B1410" t="inlineStr">
        <is>
          <t>Trip</t>
        </is>
      </c>
      <c r="C1410" t="inlineStr">
        <is>
          <t>PERCENTAGE</t>
        </is>
      </c>
      <c r="D1410" t="inlineStr">
        <is>
          <t>IOS Aarav</t>
        </is>
      </c>
      <c r="E1410" s="16" t="n">
        <v>26263.92</v>
      </c>
      <c r="F1410" s="16" t="n">
        <v>7879.18</v>
      </c>
      <c r="G1410" s="17" t="n">
        <v>30</v>
      </c>
      <c r="H1410" s="16" t="n">
        <v>18384.74</v>
      </c>
      <c r="I1410" s="16" t="n">
        <v>0</v>
      </c>
    </row>
    <row r="1411">
      <c r="A1411" t="inlineStr">
        <is>
          <t>MTR-IOS-1409</t>
        </is>
      </c>
      <c r="B1411" t="inlineStr">
        <is>
          <t>Trip</t>
        </is>
      </c>
      <c r="C1411" t="inlineStr">
        <is>
          <t>PERCENTAGE</t>
        </is>
      </c>
      <c r="D1411" t="inlineStr">
        <is>
          <t>IOS Meera</t>
        </is>
      </c>
      <c r="E1411" s="16" t="n">
        <v>0</v>
      </c>
      <c r="F1411" s="16" t="n">
        <v>5252.78</v>
      </c>
      <c r="G1411" s="17" t="n">
        <v>20</v>
      </c>
      <c r="H1411" s="16" t="n">
        <v>-5252.78</v>
      </c>
      <c r="I1411" s="16" t="n">
        <v>0</v>
      </c>
    </row>
    <row r="1412">
      <c r="A1412" t="inlineStr">
        <is>
          <t>MTR-IOS-1412</t>
        </is>
      </c>
      <c r="B1412" t="inlineStr">
        <is>
          <t>Trip</t>
        </is>
      </c>
      <c r="C1412" t="inlineStr">
        <is>
          <t>EXACT</t>
        </is>
      </c>
      <c r="D1412" t="inlineStr">
        <is>
          <t>IOS Owner</t>
        </is>
      </c>
      <c r="E1412" s="16" t="n">
        <v>0</v>
      </c>
      <c r="F1412" s="16" t="n">
        <v>2194.71</v>
      </c>
      <c r="G1412" s="17" t="n"/>
      <c r="H1412" s="16" t="n">
        <v>-2194.71</v>
      </c>
      <c r="I1412" s="16" t="n">
        <v>0</v>
      </c>
    </row>
    <row r="1413">
      <c r="A1413" t="inlineStr">
        <is>
          <t>MTR-IOS-1412</t>
        </is>
      </c>
      <c r="B1413" t="inlineStr">
        <is>
          <t>Trip</t>
        </is>
      </c>
      <c r="C1413" t="inlineStr">
        <is>
          <t>EXACT</t>
        </is>
      </c>
      <c r="D1413" t="inlineStr">
        <is>
          <t>IOS Aarav</t>
        </is>
      </c>
      <c r="E1413" s="16" t="n">
        <v>0</v>
      </c>
      <c r="F1413" s="16" t="n">
        <v>2194.71</v>
      </c>
      <c r="G1413" s="17" t="n"/>
      <c r="H1413" s="16" t="n">
        <v>-2194.71</v>
      </c>
      <c r="I1413" s="16" t="n">
        <v>0</v>
      </c>
    </row>
    <row r="1414">
      <c r="A1414" t="inlineStr">
        <is>
          <t>MTR-IOS-1412</t>
        </is>
      </c>
      <c r="B1414" t="inlineStr">
        <is>
          <t>Trip</t>
        </is>
      </c>
      <c r="C1414" t="inlineStr">
        <is>
          <t>EXACT</t>
        </is>
      </c>
      <c r="D1414" t="inlineStr">
        <is>
          <t>IOS Meera</t>
        </is>
      </c>
      <c r="E1414" s="16" t="n">
        <v>6590.71</v>
      </c>
      <c r="F1414" s="16" t="n">
        <v>2201.29</v>
      </c>
      <c r="G1414" s="17" t="n"/>
      <c r="H1414" s="16" t="n">
        <v>4389.42</v>
      </c>
      <c r="I1414" s="16" t="n">
        <v>0</v>
      </c>
    </row>
    <row r="1415">
      <c r="A1415" t="inlineStr">
        <is>
          <t>MTR-IOS-1415</t>
        </is>
      </c>
      <c r="B1415" t="inlineStr">
        <is>
          <t>Wedding</t>
        </is>
      </c>
      <c r="C1415" t="inlineStr">
        <is>
          <t>SHARES</t>
        </is>
      </c>
      <c r="D1415" t="inlineStr">
        <is>
          <t>IOS Owner</t>
        </is>
      </c>
      <c r="E1415" s="16" t="n">
        <v>10941.78</v>
      </c>
      <c r="F1415" s="16" t="n">
        <v>5470.89</v>
      </c>
      <c r="G1415" s="17" t="n"/>
      <c r="H1415" s="16" t="n">
        <v>5470.89</v>
      </c>
      <c r="I1415" s="16" t="n">
        <v>0</v>
      </c>
    </row>
    <row r="1416">
      <c r="A1416" t="inlineStr">
        <is>
          <t>MTR-IOS-1415</t>
        </is>
      </c>
      <c r="B1416" t="inlineStr">
        <is>
          <t>Wedding</t>
        </is>
      </c>
      <c r="C1416" t="inlineStr">
        <is>
          <t>SHARES</t>
        </is>
      </c>
      <c r="D1416" t="inlineStr">
        <is>
          <t>IOS Aarav</t>
        </is>
      </c>
      <c r="E1416" s="16" t="n">
        <v>0</v>
      </c>
      <c r="F1416" s="16" t="n">
        <v>3647.26</v>
      </c>
      <c r="G1416" s="17" t="n"/>
      <c r="H1416" s="16" t="n">
        <v>-3647.26</v>
      </c>
      <c r="I1416" s="16" t="n">
        <v>0</v>
      </c>
    </row>
    <row r="1417">
      <c r="A1417" t="inlineStr">
        <is>
          <t>MTR-IOS-1415</t>
        </is>
      </c>
      <c r="B1417" t="inlineStr">
        <is>
          <t>Wedding</t>
        </is>
      </c>
      <c r="C1417" t="inlineStr">
        <is>
          <t>SHARES</t>
        </is>
      </c>
      <c r="D1417" t="inlineStr">
        <is>
          <t>IOS Meera</t>
        </is>
      </c>
      <c r="E1417" s="16" t="n">
        <v>0</v>
      </c>
      <c r="F1417" s="16" t="n">
        <v>1823.63</v>
      </c>
      <c r="G1417" s="17" t="n"/>
      <c r="H1417" s="16" t="n">
        <v>-1823.63</v>
      </c>
      <c r="I1417" s="16" t="n">
        <v>0</v>
      </c>
    </row>
    <row r="1418">
      <c r="A1418" t="inlineStr">
        <is>
          <t>MTR-IOS-1418</t>
        </is>
      </c>
      <c r="B1418" t="inlineStr">
        <is>
          <t>Wedding</t>
        </is>
      </c>
      <c r="C1418" t="inlineStr">
        <is>
          <t>EQUAL</t>
        </is>
      </c>
      <c r="D1418" t="inlineStr">
        <is>
          <t>IOS Owner</t>
        </is>
      </c>
      <c r="E1418" s="16" t="n">
        <v>0</v>
      </c>
      <c r="F1418" s="16" t="n">
        <v>6995.23</v>
      </c>
      <c r="G1418" s="17" t="n"/>
      <c r="H1418" s="16" t="n">
        <v>-6995.23</v>
      </c>
      <c r="I1418" s="16" t="n">
        <v>0</v>
      </c>
    </row>
    <row r="1419">
      <c r="A1419" t="inlineStr">
        <is>
          <t>MTR-IOS-1418</t>
        </is>
      </c>
      <c r="B1419" t="inlineStr">
        <is>
          <t>Wedding</t>
        </is>
      </c>
      <c r="C1419" t="inlineStr">
        <is>
          <t>EQUAL</t>
        </is>
      </c>
      <c r="D1419" t="inlineStr">
        <is>
          <t>IOS Aarav</t>
        </is>
      </c>
      <c r="E1419" s="16" t="n">
        <v>20985.69</v>
      </c>
      <c r="F1419" s="16" t="n">
        <v>6995.23</v>
      </c>
      <c r="G1419" s="17" t="n"/>
      <c r="H1419" s="16" t="n">
        <v>13990.46</v>
      </c>
      <c r="I1419" s="16" t="n">
        <v>0</v>
      </c>
    </row>
    <row r="1420">
      <c r="A1420" t="inlineStr">
        <is>
          <t>MTR-IOS-1418</t>
        </is>
      </c>
      <c r="B1420" t="inlineStr">
        <is>
          <t>Wedding</t>
        </is>
      </c>
      <c r="C1420" t="inlineStr">
        <is>
          <t>EQUAL</t>
        </is>
      </c>
      <c r="D1420" t="inlineStr">
        <is>
          <t>IOS Meera</t>
        </is>
      </c>
      <c r="E1420" s="16" t="n">
        <v>0</v>
      </c>
      <c r="F1420" s="16" t="n">
        <v>6995.23</v>
      </c>
      <c r="G1420" s="17" t="n"/>
      <c r="H1420" s="16" t="n">
        <v>-6995.23</v>
      </c>
      <c r="I1420" s="16" t="n">
        <v>0</v>
      </c>
    </row>
    <row r="1421">
      <c r="A1421" t="inlineStr">
        <is>
          <t>MTR-IOS-1421</t>
        </is>
      </c>
      <c r="B1421" t="inlineStr">
        <is>
          <t>Wedding</t>
        </is>
      </c>
      <c r="C1421" t="inlineStr">
        <is>
          <t>PERCENTAGE</t>
        </is>
      </c>
      <c r="D1421" t="inlineStr">
        <is>
          <t>IOS Owner</t>
        </is>
      </c>
      <c r="E1421" s="16" t="n">
        <v>0</v>
      </c>
      <c r="F1421" s="16" t="n">
        <v>7070.47</v>
      </c>
      <c r="G1421" s="17" t="n">
        <v>50</v>
      </c>
      <c r="H1421" s="16" t="n">
        <v>-7070.47</v>
      </c>
      <c r="I1421" s="16" t="n">
        <v>0</v>
      </c>
    </row>
    <row r="1422">
      <c r="A1422" t="inlineStr">
        <is>
          <t>MTR-IOS-1421</t>
        </is>
      </c>
      <c r="B1422" t="inlineStr">
        <is>
          <t>Wedding</t>
        </is>
      </c>
      <c r="C1422" t="inlineStr">
        <is>
          <t>PERCENTAGE</t>
        </is>
      </c>
      <c r="D1422" t="inlineStr">
        <is>
          <t>IOS Aarav</t>
        </is>
      </c>
      <c r="E1422" s="16" t="n">
        <v>0</v>
      </c>
      <c r="F1422" s="16" t="n">
        <v>4242.28</v>
      </c>
      <c r="G1422" s="17" t="n">
        <v>30</v>
      </c>
      <c r="H1422" s="16" t="n">
        <v>-4242.28</v>
      </c>
      <c r="I1422" s="16" t="n">
        <v>0</v>
      </c>
    </row>
    <row r="1423">
      <c r="A1423" t="inlineStr">
        <is>
          <t>MTR-IOS-1421</t>
        </is>
      </c>
      <c r="B1423" t="inlineStr">
        <is>
          <t>Wedding</t>
        </is>
      </c>
      <c r="C1423" t="inlineStr">
        <is>
          <t>PERCENTAGE</t>
        </is>
      </c>
      <c r="D1423" t="inlineStr">
        <is>
          <t>IOS Meera</t>
        </is>
      </c>
      <c r="E1423" s="16" t="n">
        <v>14140.94</v>
      </c>
      <c r="F1423" s="16" t="n">
        <v>2828.19</v>
      </c>
      <c r="G1423" s="17" t="n">
        <v>20</v>
      </c>
      <c r="H1423" s="16" t="n">
        <v>11312.75</v>
      </c>
      <c r="I1423" s="16" t="n">
        <v>0</v>
      </c>
    </row>
    <row r="1424">
      <c r="A1424" t="inlineStr">
        <is>
          <t>MTR-IOS-1424</t>
        </is>
      </c>
      <c r="B1424" t="inlineStr">
        <is>
          <t>Wedding</t>
        </is>
      </c>
      <c r="C1424" t="inlineStr">
        <is>
          <t>EXACT</t>
        </is>
      </c>
      <c r="D1424" t="inlineStr">
        <is>
          <t>IOS Owner</t>
        </is>
      </c>
      <c r="E1424" s="16" t="n">
        <v>15808.58</v>
      </c>
      <c r="F1424" s="16" t="n">
        <v>5264.26</v>
      </c>
      <c r="G1424" s="17" t="n"/>
      <c r="H1424" s="16" t="n">
        <v>10544.32</v>
      </c>
      <c r="I1424" s="16" t="n">
        <v>0</v>
      </c>
    </row>
    <row r="1425">
      <c r="A1425" t="inlineStr">
        <is>
          <t>MTR-IOS-1424</t>
        </is>
      </c>
      <c r="B1425" t="inlineStr">
        <is>
          <t>Wedding</t>
        </is>
      </c>
      <c r="C1425" t="inlineStr">
        <is>
          <t>EXACT</t>
        </is>
      </c>
      <c r="D1425" t="inlineStr">
        <is>
          <t>IOS Aarav</t>
        </is>
      </c>
      <c r="E1425" s="16" t="n">
        <v>0</v>
      </c>
      <c r="F1425" s="16" t="n">
        <v>5264.26</v>
      </c>
      <c r="G1425" s="17" t="n"/>
      <c r="H1425" s="16" t="n">
        <v>-5264.26</v>
      </c>
      <c r="I1425" s="16" t="n">
        <v>0</v>
      </c>
    </row>
    <row r="1426">
      <c r="A1426" t="inlineStr">
        <is>
          <t>MTR-IOS-1424</t>
        </is>
      </c>
      <c r="B1426" t="inlineStr">
        <is>
          <t>Wedding</t>
        </is>
      </c>
      <c r="C1426" t="inlineStr">
        <is>
          <t>EXACT</t>
        </is>
      </c>
      <c r="D1426" t="inlineStr">
        <is>
          <t>IOS Meera</t>
        </is>
      </c>
      <c r="E1426" s="16" t="n">
        <v>0</v>
      </c>
      <c r="F1426" s="16" t="n">
        <v>5280.06</v>
      </c>
      <c r="G1426" s="17" t="n"/>
      <c r="H1426" s="16" t="n">
        <v>-5280.06</v>
      </c>
      <c r="I1426" s="16" t="n">
        <v>0</v>
      </c>
    </row>
    <row r="1427">
      <c r="A1427" t="inlineStr">
        <is>
          <t>MTR-IOS-1427</t>
        </is>
      </c>
      <c r="B1427" t="inlineStr">
        <is>
          <t>Wedding</t>
        </is>
      </c>
      <c r="C1427" t="inlineStr">
        <is>
          <t>SHARES</t>
        </is>
      </c>
      <c r="D1427" t="inlineStr">
        <is>
          <t>IOS Owner</t>
        </is>
      </c>
      <c r="E1427" s="16" t="n">
        <v>0</v>
      </c>
      <c r="F1427" s="16" t="n">
        <v>5009.12</v>
      </c>
      <c r="G1427" s="17" t="n"/>
      <c r="H1427" s="16" t="n">
        <v>-5009.12</v>
      </c>
      <c r="I1427" s="16" t="n">
        <v>0</v>
      </c>
    </row>
    <row r="1428">
      <c r="A1428" t="inlineStr">
        <is>
          <t>MTR-IOS-1427</t>
        </is>
      </c>
      <c r="B1428" t="inlineStr">
        <is>
          <t>Wedding</t>
        </is>
      </c>
      <c r="C1428" t="inlineStr">
        <is>
          <t>SHARES</t>
        </is>
      </c>
      <c r="D1428" t="inlineStr">
        <is>
          <t>IOS Aarav</t>
        </is>
      </c>
      <c r="E1428" s="16" t="n">
        <v>10018.24</v>
      </c>
      <c r="F1428" s="16" t="n">
        <v>3339.41</v>
      </c>
      <c r="G1428" s="17" t="n"/>
      <c r="H1428" s="16" t="n">
        <v>6678.83</v>
      </c>
      <c r="I1428" s="16" t="n">
        <v>0</v>
      </c>
    </row>
    <row r="1429">
      <c r="A1429" t="inlineStr">
        <is>
          <t>MTR-IOS-1427</t>
        </is>
      </c>
      <c r="B1429" t="inlineStr">
        <is>
          <t>Wedding</t>
        </is>
      </c>
      <c r="C1429" t="inlineStr">
        <is>
          <t>SHARES</t>
        </is>
      </c>
      <c r="D1429" t="inlineStr">
        <is>
          <t>IOS Meera</t>
        </is>
      </c>
      <c r="E1429" s="16" t="n">
        <v>0</v>
      </c>
      <c r="F1429" s="16" t="n">
        <v>1669.71</v>
      </c>
      <c r="G1429" s="17" t="n"/>
      <c r="H1429" s="16" t="n">
        <v>-1669.71</v>
      </c>
      <c r="I1429" s="16" t="n">
        <v>0</v>
      </c>
    </row>
    <row r="1430">
      <c r="A1430" t="inlineStr">
        <is>
          <t>MTR-IOS-1430</t>
        </is>
      </c>
      <c r="B1430" t="inlineStr">
        <is>
          <t>Wedding</t>
        </is>
      </c>
      <c r="C1430" t="inlineStr">
        <is>
          <t>EQUAL</t>
        </is>
      </c>
      <c r="D1430" t="inlineStr">
        <is>
          <t>IOS Owner</t>
        </is>
      </c>
      <c r="E1430" s="16" t="n">
        <v>0</v>
      </c>
      <c r="F1430" s="16" t="n">
        <v>8498.52</v>
      </c>
      <c r="G1430" s="17" t="n"/>
      <c r="H1430" s="16" t="n">
        <v>-8498.52</v>
      </c>
      <c r="I1430" s="16" t="n">
        <v>0</v>
      </c>
    </row>
    <row r="1431">
      <c r="A1431" t="inlineStr">
        <is>
          <t>MTR-IOS-1430</t>
        </is>
      </c>
      <c r="B1431" t="inlineStr">
        <is>
          <t>Wedding</t>
        </is>
      </c>
      <c r="C1431" t="inlineStr">
        <is>
          <t>EQUAL</t>
        </is>
      </c>
      <c r="D1431" t="inlineStr">
        <is>
          <t>IOS Aarav</t>
        </is>
      </c>
      <c r="E1431" s="16" t="n">
        <v>0</v>
      </c>
      <c r="F1431" s="16" t="n">
        <v>8498.52</v>
      </c>
      <c r="G1431" s="17" t="n"/>
      <c r="H1431" s="16" t="n">
        <v>-8498.52</v>
      </c>
      <c r="I1431" s="16" t="n">
        <v>0</v>
      </c>
    </row>
    <row r="1432">
      <c r="A1432" t="inlineStr">
        <is>
          <t>MTR-IOS-1430</t>
        </is>
      </c>
      <c r="B1432" t="inlineStr">
        <is>
          <t>Wedding</t>
        </is>
      </c>
      <c r="C1432" t="inlineStr">
        <is>
          <t>EQUAL</t>
        </is>
      </c>
      <c r="D1432" t="inlineStr">
        <is>
          <t>IOS Meera</t>
        </is>
      </c>
      <c r="E1432" s="16" t="n">
        <v>25495.56</v>
      </c>
      <c r="F1432" s="16" t="n">
        <v>8498.52</v>
      </c>
      <c r="G1432" s="17" t="n"/>
      <c r="H1432" s="16" t="n">
        <v>16997.04</v>
      </c>
      <c r="I1432" s="16" t="n">
        <v>0</v>
      </c>
    </row>
    <row r="1433">
      <c r="A1433" t="inlineStr">
        <is>
          <t>MTR-IOS-1433</t>
        </is>
      </c>
      <c r="B1433" t="inlineStr">
        <is>
          <t>Wedding</t>
        </is>
      </c>
      <c r="C1433" t="inlineStr">
        <is>
          <t>PERCENTAGE</t>
        </is>
      </c>
      <c r="D1433" t="inlineStr">
        <is>
          <t>IOS Owner</t>
        </is>
      </c>
      <c r="E1433" s="16" t="n">
        <v>18890.95</v>
      </c>
      <c r="F1433" s="16" t="n">
        <v>9445.48</v>
      </c>
      <c r="G1433" s="17" t="n">
        <v>50</v>
      </c>
      <c r="H1433" s="16" t="n">
        <v>9445.469999999999</v>
      </c>
      <c r="I1433" s="16" t="n">
        <v>0</v>
      </c>
    </row>
    <row r="1434">
      <c r="A1434" t="inlineStr">
        <is>
          <t>MTR-IOS-1433</t>
        </is>
      </c>
      <c r="B1434" t="inlineStr">
        <is>
          <t>Wedding</t>
        </is>
      </c>
      <c r="C1434" t="inlineStr">
        <is>
          <t>PERCENTAGE</t>
        </is>
      </c>
      <c r="D1434" t="inlineStr">
        <is>
          <t>IOS Aarav</t>
        </is>
      </c>
      <c r="E1434" s="16" t="n">
        <v>0</v>
      </c>
      <c r="F1434" s="16" t="n">
        <v>5667.29</v>
      </c>
      <c r="G1434" s="17" t="n">
        <v>30</v>
      </c>
      <c r="H1434" s="16" t="n">
        <v>-5667.29</v>
      </c>
      <c r="I1434" s="16" t="n">
        <v>0</v>
      </c>
    </row>
    <row r="1435">
      <c r="A1435" t="inlineStr">
        <is>
          <t>MTR-IOS-1433</t>
        </is>
      </c>
      <c r="B1435" t="inlineStr">
        <is>
          <t>Wedding</t>
        </is>
      </c>
      <c r="C1435" t="inlineStr">
        <is>
          <t>PERCENTAGE</t>
        </is>
      </c>
      <c r="D1435" t="inlineStr">
        <is>
          <t>IOS Meera</t>
        </is>
      </c>
      <c r="E1435" s="16" t="n">
        <v>0</v>
      </c>
      <c r="F1435" s="16" t="n">
        <v>3778.18</v>
      </c>
      <c r="G1435" s="17" t="n">
        <v>20</v>
      </c>
      <c r="H1435" s="16" t="n">
        <v>-3778.18</v>
      </c>
      <c r="I1435" s="16" t="n">
        <v>0</v>
      </c>
    </row>
    <row r="1436">
      <c r="A1436" t="inlineStr">
        <is>
          <t>MTR-IOS-1436</t>
        </is>
      </c>
      <c r="B1436" t="inlineStr">
        <is>
          <t>Office Outing</t>
        </is>
      </c>
      <c r="C1436" t="inlineStr">
        <is>
          <t>EXACT</t>
        </is>
      </c>
      <c r="D1436" t="inlineStr">
        <is>
          <t>IOS Owner</t>
        </is>
      </c>
      <c r="E1436" s="16" t="n">
        <v>0</v>
      </c>
      <c r="F1436" s="16" t="n">
        <v>2545.4</v>
      </c>
      <c r="G1436" s="17" t="n"/>
      <c r="H1436" s="16" t="n">
        <v>-2545.4</v>
      </c>
      <c r="I1436" s="16" t="n">
        <v>0</v>
      </c>
    </row>
    <row r="1437">
      <c r="A1437" t="inlineStr">
        <is>
          <t>MTR-IOS-1436</t>
        </is>
      </c>
      <c r="B1437" t="inlineStr">
        <is>
          <t>Office Outing</t>
        </is>
      </c>
      <c r="C1437" t="inlineStr">
        <is>
          <t>EXACT</t>
        </is>
      </c>
      <c r="D1437" t="inlineStr">
        <is>
          <t>IOS Aarav</t>
        </is>
      </c>
      <c r="E1437" s="16" t="n">
        <v>7643.85</v>
      </c>
      <c r="F1437" s="16" t="n">
        <v>2545.4</v>
      </c>
      <c r="G1437" s="17" t="n"/>
      <c r="H1437" s="16" t="n">
        <v>5098.45</v>
      </c>
      <c r="I1437" s="16" t="n">
        <v>0</v>
      </c>
    </row>
    <row r="1438">
      <c r="A1438" t="inlineStr">
        <is>
          <t>MTR-IOS-1436</t>
        </is>
      </c>
      <c r="B1438" t="inlineStr">
        <is>
          <t>Office Outing</t>
        </is>
      </c>
      <c r="C1438" t="inlineStr">
        <is>
          <t>EXACT</t>
        </is>
      </c>
      <c r="D1438" t="inlineStr">
        <is>
          <t>IOS Meera</t>
        </is>
      </c>
      <c r="E1438" s="16" t="n">
        <v>0</v>
      </c>
      <c r="F1438" s="16" t="n">
        <v>2553.05</v>
      </c>
      <c r="G1438" s="17" t="n"/>
      <c r="H1438" s="16" t="n">
        <v>-2553.05</v>
      </c>
      <c r="I1438" s="16" t="n">
        <v>0</v>
      </c>
    </row>
    <row r="1439">
      <c r="A1439" t="inlineStr">
        <is>
          <t>MTR-IOS-1439</t>
        </is>
      </c>
      <c r="B1439" t="inlineStr">
        <is>
          <t>Office Outing</t>
        </is>
      </c>
      <c r="C1439" t="inlineStr">
        <is>
          <t>SHARES</t>
        </is>
      </c>
      <c r="D1439" t="inlineStr">
        <is>
          <t>IOS Owner</t>
        </is>
      </c>
      <c r="E1439" s="16" t="n">
        <v>0</v>
      </c>
      <c r="F1439" s="16" t="n">
        <v>10710.54</v>
      </c>
      <c r="G1439" s="17" t="n"/>
      <c r="H1439" s="16" t="n">
        <v>-10710.54</v>
      </c>
      <c r="I1439" s="16" t="n">
        <v>0</v>
      </c>
    </row>
    <row r="1440">
      <c r="A1440" t="inlineStr">
        <is>
          <t>MTR-IOS-1439</t>
        </is>
      </c>
      <c r="B1440" t="inlineStr">
        <is>
          <t>Office Outing</t>
        </is>
      </c>
      <c r="C1440" t="inlineStr">
        <is>
          <t>SHARES</t>
        </is>
      </c>
      <c r="D1440" t="inlineStr">
        <is>
          <t>IOS Aarav</t>
        </is>
      </c>
      <c r="E1440" s="16" t="n">
        <v>0</v>
      </c>
      <c r="F1440" s="16" t="n">
        <v>7140.36</v>
      </c>
      <c r="G1440" s="17" t="n"/>
      <c r="H1440" s="16" t="n">
        <v>-7140.36</v>
      </c>
      <c r="I1440" s="16" t="n">
        <v>0</v>
      </c>
    </row>
    <row r="1441">
      <c r="A1441" t="inlineStr">
        <is>
          <t>MTR-IOS-1439</t>
        </is>
      </c>
      <c r="B1441" t="inlineStr">
        <is>
          <t>Office Outing</t>
        </is>
      </c>
      <c r="C1441" t="inlineStr">
        <is>
          <t>SHARES</t>
        </is>
      </c>
      <c r="D1441" t="inlineStr">
        <is>
          <t>IOS Meera</t>
        </is>
      </c>
      <c r="E1441" s="16" t="n">
        <v>21421.08</v>
      </c>
      <c r="F1441" s="16" t="n">
        <v>3570.18</v>
      </c>
      <c r="G1441" s="17" t="n"/>
      <c r="H1441" s="16" t="n">
        <v>17850.9</v>
      </c>
      <c r="I1441" s="16" t="n">
        <v>0</v>
      </c>
    </row>
    <row r="1442">
      <c r="A1442" t="inlineStr">
        <is>
          <t>MTR-IOS-1442</t>
        </is>
      </c>
      <c r="B1442" t="inlineStr">
        <is>
          <t>Office Outing</t>
        </is>
      </c>
      <c r="C1442" t="inlineStr">
        <is>
          <t>EQUAL</t>
        </is>
      </c>
      <c r="D1442" t="inlineStr">
        <is>
          <t>IOS Owner</t>
        </is>
      </c>
      <c r="E1442" s="16" t="n">
        <v>8052.1</v>
      </c>
      <c r="F1442" s="16" t="n">
        <v>2684.03</v>
      </c>
      <c r="G1442" s="17" t="n"/>
      <c r="H1442" s="16" t="n">
        <v>5368.07</v>
      </c>
      <c r="I1442" s="16" t="n">
        <v>0</v>
      </c>
    </row>
    <row r="1443">
      <c r="A1443" t="inlineStr">
        <is>
          <t>MTR-IOS-1442</t>
        </is>
      </c>
      <c r="B1443" t="inlineStr">
        <is>
          <t>Office Outing</t>
        </is>
      </c>
      <c r="C1443" t="inlineStr">
        <is>
          <t>EQUAL</t>
        </is>
      </c>
      <c r="D1443" t="inlineStr">
        <is>
          <t>IOS Aarav</t>
        </is>
      </c>
      <c r="E1443" s="16" t="n">
        <v>0</v>
      </c>
      <c r="F1443" s="16" t="n">
        <v>2684.03</v>
      </c>
      <c r="G1443" s="17" t="n"/>
      <c r="H1443" s="16" t="n">
        <v>-2684.03</v>
      </c>
      <c r="I1443" s="16" t="n">
        <v>0</v>
      </c>
    </row>
    <row r="1444">
      <c r="A1444" t="inlineStr">
        <is>
          <t>MTR-IOS-1442</t>
        </is>
      </c>
      <c r="B1444" t="inlineStr">
        <is>
          <t>Office Outing</t>
        </is>
      </c>
      <c r="C1444" t="inlineStr">
        <is>
          <t>EQUAL</t>
        </is>
      </c>
      <c r="D1444" t="inlineStr">
        <is>
          <t>IOS Meera</t>
        </is>
      </c>
      <c r="E1444" s="16" t="n">
        <v>0</v>
      </c>
      <c r="F1444" s="16" t="n">
        <v>2684.04</v>
      </c>
      <c r="G1444" s="17" t="n"/>
      <c r="H1444" s="16" t="n">
        <v>-2684.04</v>
      </c>
      <c r="I1444" s="16" t="n">
        <v>0</v>
      </c>
    </row>
    <row r="1445">
      <c r="A1445" t="inlineStr">
        <is>
          <t>MTR-IOS-1445</t>
        </is>
      </c>
      <c r="B1445" t="inlineStr">
        <is>
          <t>Office Outing</t>
        </is>
      </c>
      <c r="C1445" t="inlineStr">
        <is>
          <t>PERCENTAGE</t>
        </is>
      </c>
      <c r="D1445" t="inlineStr">
        <is>
          <t>IOS Owner</t>
        </is>
      </c>
      <c r="E1445" s="16" t="n">
        <v>0</v>
      </c>
      <c r="F1445" s="16" t="n">
        <v>12411.47</v>
      </c>
      <c r="G1445" s="17" t="n">
        <v>50</v>
      </c>
      <c r="H1445" s="16" t="n">
        <v>-12411.47</v>
      </c>
      <c r="I1445" s="16" t="n">
        <v>0</v>
      </c>
    </row>
    <row r="1446">
      <c r="A1446" t="inlineStr">
        <is>
          <t>MTR-IOS-1445</t>
        </is>
      </c>
      <c r="B1446" t="inlineStr">
        <is>
          <t>Office Outing</t>
        </is>
      </c>
      <c r="C1446" t="inlineStr">
        <is>
          <t>PERCENTAGE</t>
        </is>
      </c>
      <c r="D1446" t="inlineStr">
        <is>
          <t>IOS Aarav</t>
        </is>
      </c>
      <c r="E1446" s="16" t="n">
        <v>24822.94</v>
      </c>
      <c r="F1446" s="16" t="n">
        <v>7446.88</v>
      </c>
      <c r="G1446" s="17" t="n">
        <v>30</v>
      </c>
      <c r="H1446" s="16" t="n">
        <v>17376.06</v>
      </c>
      <c r="I1446" s="16" t="n">
        <v>0</v>
      </c>
    </row>
    <row r="1447">
      <c r="A1447" t="inlineStr">
        <is>
          <t>MTR-IOS-1445</t>
        </is>
      </c>
      <c r="B1447" t="inlineStr">
        <is>
          <t>Office Outing</t>
        </is>
      </c>
      <c r="C1447" t="inlineStr">
        <is>
          <t>PERCENTAGE</t>
        </is>
      </c>
      <c r="D1447" t="inlineStr">
        <is>
          <t>IOS Meera</t>
        </is>
      </c>
      <c r="E1447" s="16" t="n">
        <v>0</v>
      </c>
      <c r="F1447" s="16" t="n">
        <v>4964.59</v>
      </c>
      <c r="G1447" s="17" t="n">
        <v>20</v>
      </c>
      <c r="H1447" s="16" t="n">
        <v>-4964.59</v>
      </c>
      <c r="I1447" s="16" t="n">
        <v>0</v>
      </c>
    </row>
    <row r="1448">
      <c r="A1448" t="inlineStr">
        <is>
          <t>MTR-IOS-1448</t>
        </is>
      </c>
      <c r="B1448" t="inlineStr">
        <is>
          <t>Office Outing</t>
        </is>
      </c>
      <c r="C1448" t="inlineStr">
        <is>
          <t>EXACT</t>
        </is>
      </c>
      <c r="D1448" t="inlineStr">
        <is>
          <t>IOS Owner</t>
        </is>
      </c>
      <c r="E1448" s="16" t="n">
        <v>0</v>
      </c>
      <c r="F1448" s="16" t="n">
        <v>6041.36</v>
      </c>
      <c r="G1448" s="17" t="n"/>
      <c r="H1448" s="16" t="n">
        <v>-6041.36</v>
      </c>
      <c r="I1448" s="16" t="n">
        <v>0</v>
      </c>
    </row>
    <row r="1449">
      <c r="A1449" t="inlineStr">
        <is>
          <t>MTR-IOS-1448</t>
        </is>
      </c>
      <c r="B1449" t="inlineStr">
        <is>
          <t>Office Outing</t>
        </is>
      </c>
      <c r="C1449" t="inlineStr">
        <is>
          <t>EXACT</t>
        </is>
      </c>
      <c r="D1449" t="inlineStr">
        <is>
          <t>IOS Aarav</t>
        </is>
      </c>
      <c r="E1449" s="16" t="n">
        <v>0</v>
      </c>
      <c r="F1449" s="16" t="n">
        <v>6041.36</v>
      </c>
      <c r="G1449" s="17" t="n"/>
      <c r="H1449" s="16" t="n">
        <v>-6041.36</v>
      </c>
      <c r="I1449" s="16" t="n">
        <v>0</v>
      </c>
    </row>
    <row r="1450">
      <c r="A1450" t="inlineStr">
        <is>
          <t>MTR-IOS-1448</t>
        </is>
      </c>
      <c r="B1450" t="inlineStr">
        <is>
          <t>Office Outing</t>
        </is>
      </c>
      <c r="C1450" t="inlineStr">
        <is>
          <t>EXACT</t>
        </is>
      </c>
      <c r="D1450" t="inlineStr">
        <is>
          <t>IOS Meera</t>
        </is>
      </c>
      <c r="E1450" s="16" t="n">
        <v>18142.22</v>
      </c>
      <c r="F1450" s="16" t="n">
        <v>6059.5</v>
      </c>
      <c r="G1450" s="17" t="n"/>
      <c r="H1450" s="16" t="n">
        <v>12082.72</v>
      </c>
      <c r="I1450" s="16" t="n">
        <v>0</v>
      </c>
    </row>
    <row r="1451">
      <c r="A1451" t="inlineStr">
        <is>
          <t>MTR-IOS-1451</t>
        </is>
      </c>
      <c r="B1451" t="inlineStr">
        <is>
          <t>House Party</t>
        </is>
      </c>
      <c r="C1451" t="inlineStr">
        <is>
          <t>SHARES</t>
        </is>
      </c>
      <c r="D1451" t="inlineStr">
        <is>
          <t>IOS Owner</t>
        </is>
      </c>
      <c r="E1451" s="16" t="n">
        <v>9443.41</v>
      </c>
      <c r="F1451" s="16" t="n">
        <v>4721.71</v>
      </c>
      <c r="G1451" s="17" t="n"/>
      <c r="H1451" s="16" t="n">
        <v>4721.7</v>
      </c>
      <c r="I1451" s="16" t="n">
        <v>0</v>
      </c>
    </row>
    <row r="1452">
      <c r="A1452" t="inlineStr">
        <is>
          <t>MTR-IOS-1451</t>
        </is>
      </c>
      <c r="B1452" t="inlineStr">
        <is>
          <t>House Party</t>
        </is>
      </c>
      <c r="C1452" t="inlineStr">
        <is>
          <t>SHARES</t>
        </is>
      </c>
      <c r="D1452" t="inlineStr">
        <is>
          <t>IOS Aarav</t>
        </is>
      </c>
      <c r="E1452" s="16" t="n">
        <v>0</v>
      </c>
      <c r="F1452" s="16" t="n">
        <v>3147.8</v>
      </c>
      <c r="G1452" s="17" t="n"/>
      <c r="H1452" s="16" t="n">
        <v>-3147.8</v>
      </c>
      <c r="I1452" s="16" t="n">
        <v>0</v>
      </c>
    </row>
    <row r="1453">
      <c r="A1453" t="inlineStr">
        <is>
          <t>MTR-IOS-1451</t>
        </is>
      </c>
      <c r="B1453" t="inlineStr">
        <is>
          <t>House Party</t>
        </is>
      </c>
      <c r="C1453" t="inlineStr">
        <is>
          <t>SHARES</t>
        </is>
      </c>
      <c r="D1453" t="inlineStr">
        <is>
          <t>IOS Meera</t>
        </is>
      </c>
      <c r="E1453" s="16" t="n">
        <v>0</v>
      </c>
      <c r="F1453" s="16" t="n">
        <v>1573.9</v>
      </c>
      <c r="G1453" s="17" t="n"/>
      <c r="H1453" s="16" t="n">
        <v>-1573.9</v>
      </c>
      <c r="I1453" s="16" t="n">
        <v>0</v>
      </c>
    </row>
    <row r="1454">
      <c r="A1454" t="inlineStr">
        <is>
          <t>MTR-IOS-1454</t>
        </is>
      </c>
      <c r="B1454" t="inlineStr">
        <is>
          <t>House Party</t>
        </is>
      </c>
      <c r="C1454" t="inlineStr">
        <is>
          <t>EQUAL</t>
        </is>
      </c>
      <c r="D1454" t="inlineStr">
        <is>
          <t>IOS Owner</t>
        </is>
      </c>
      <c r="E1454" s="16" t="n">
        <v>0</v>
      </c>
      <c r="F1454" s="16" t="n">
        <v>1352.67</v>
      </c>
      <c r="G1454" s="17" t="n"/>
      <c r="H1454" s="16" t="n">
        <v>-1352.67</v>
      </c>
      <c r="I1454" s="16" t="n">
        <v>0</v>
      </c>
    </row>
    <row r="1455">
      <c r="A1455" t="inlineStr">
        <is>
          <t>MTR-IOS-1454</t>
        </is>
      </c>
      <c r="B1455" t="inlineStr">
        <is>
          <t>House Party</t>
        </is>
      </c>
      <c r="C1455" t="inlineStr">
        <is>
          <t>EQUAL</t>
        </is>
      </c>
      <c r="D1455" t="inlineStr">
        <is>
          <t>IOS Aarav</t>
        </is>
      </c>
      <c r="E1455" s="16" t="n">
        <v>4058.01</v>
      </c>
      <c r="F1455" s="16" t="n">
        <v>1352.67</v>
      </c>
      <c r="G1455" s="17" t="n"/>
      <c r="H1455" s="16" t="n">
        <v>2705.34</v>
      </c>
      <c r="I1455" s="16" t="n">
        <v>0</v>
      </c>
    </row>
    <row r="1456">
      <c r="A1456" t="inlineStr">
        <is>
          <t>MTR-IOS-1454</t>
        </is>
      </c>
      <c r="B1456" t="inlineStr">
        <is>
          <t>House Party</t>
        </is>
      </c>
      <c r="C1456" t="inlineStr">
        <is>
          <t>EQUAL</t>
        </is>
      </c>
      <c r="D1456" t="inlineStr">
        <is>
          <t>IOS Meera</t>
        </is>
      </c>
      <c r="E1456" s="16" t="n">
        <v>0</v>
      </c>
      <c r="F1456" s="16" t="n">
        <v>1352.67</v>
      </c>
      <c r="G1456" s="17" t="n"/>
      <c r="H1456" s="16" t="n">
        <v>-1352.67</v>
      </c>
      <c r="I1456" s="16" t="n">
        <v>0</v>
      </c>
    </row>
    <row r="1457">
      <c r="A1457" t="inlineStr">
        <is>
          <t>MTR-IOS-1457</t>
        </is>
      </c>
      <c r="B1457" t="inlineStr">
        <is>
          <t>House Party</t>
        </is>
      </c>
      <c r="C1457" t="inlineStr">
        <is>
          <t>PERCENTAGE</t>
        </is>
      </c>
      <c r="D1457" t="inlineStr">
        <is>
          <t>IOS Owner</t>
        </is>
      </c>
      <c r="E1457" s="16" t="n">
        <v>0</v>
      </c>
      <c r="F1457" s="16" t="n">
        <v>2961.43</v>
      </c>
      <c r="G1457" s="17" t="n">
        <v>50</v>
      </c>
      <c r="H1457" s="16" t="n">
        <v>-2961.43</v>
      </c>
      <c r="I1457" s="16" t="n">
        <v>0</v>
      </c>
    </row>
    <row r="1458">
      <c r="A1458" t="inlineStr">
        <is>
          <t>MTR-IOS-1457</t>
        </is>
      </c>
      <c r="B1458" t="inlineStr">
        <is>
          <t>House Party</t>
        </is>
      </c>
      <c r="C1458" t="inlineStr">
        <is>
          <t>PERCENTAGE</t>
        </is>
      </c>
      <c r="D1458" t="inlineStr">
        <is>
          <t>IOS Aarav</t>
        </is>
      </c>
      <c r="E1458" s="16" t="n">
        <v>0</v>
      </c>
      <c r="F1458" s="16" t="n">
        <v>1776.86</v>
      </c>
      <c r="G1458" s="17" t="n">
        <v>30</v>
      </c>
      <c r="H1458" s="16" t="n">
        <v>-1776.86</v>
      </c>
      <c r="I1458" s="16" t="n">
        <v>0</v>
      </c>
    </row>
    <row r="1459">
      <c r="A1459" t="inlineStr">
        <is>
          <t>MTR-IOS-1457</t>
        </is>
      </c>
      <c r="B1459" t="inlineStr">
        <is>
          <t>House Party</t>
        </is>
      </c>
      <c r="C1459" t="inlineStr">
        <is>
          <t>PERCENTAGE</t>
        </is>
      </c>
      <c r="D1459" t="inlineStr">
        <is>
          <t>IOS Meera</t>
        </is>
      </c>
      <c r="E1459" s="16" t="n">
        <v>5922.86</v>
      </c>
      <c r="F1459" s="16" t="n">
        <v>1184.57</v>
      </c>
      <c r="G1459" s="17" t="n">
        <v>20</v>
      </c>
      <c r="H1459" s="16" t="n">
        <v>4738.29</v>
      </c>
      <c r="I1459" s="16" t="n">
        <v>0</v>
      </c>
    </row>
    <row r="1460">
      <c r="A1460" t="inlineStr">
        <is>
          <t>MTR-IOS-1460</t>
        </is>
      </c>
      <c r="B1460" t="inlineStr">
        <is>
          <t>House Party</t>
        </is>
      </c>
      <c r="C1460" t="inlineStr">
        <is>
          <t>EXACT</t>
        </is>
      </c>
      <c r="D1460" t="inlineStr">
        <is>
          <t>IOS Owner</t>
        </is>
      </c>
      <c r="E1460" s="16" t="n">
        <v>10616.17</v>
      </c>
      <c r="F1460" s="16" t="n">
        <v>3535.18</v>
      </c>
      <c r="G1460" s="17" t="n"/>
      <c r="H1460" s="16" t="n">
        <v>7080.99</v>
      </c>
      <c r="I1460" s="16" t="n">
        <v>0</v>
      </c>
    </row>
    <row r="1461">
      <c r="A1461" t="inlineStr">
        <is>
          <t>MTR-IOS-1460</t>
        </is>
      </c>
      <c r="B1461" t="inlineStr">
        <is>
          <t>House Party</t>
        </is>
      </c>
      <c r="C1461" t="inlineStr">
        <is>
          <t>EXACT</t>
        </is>
      </c>
      <c r="D1461" t="inlineStr">
        <is>
          <t>IOS Aarav</t>
        </is>
      </c>
      <c r="E1461" s="16" t="n">
        <v>0</v>
      </c>
      <c r="F1461" s="16" t="n">
        <v>3535.18</v>
      </c>
      <c r="G1461" s="17" t="n"/>
      <c r="H1461" s="16" t="n">
        <v>-3535.18</v>
      </c>
      <c r="I1461" s="16" t="n">
        <v>0</v>
      </c>
    </row>
    <row r="1462">
      <c r="A1462" t="inlineStr">
        <is>
          <t>MTR-IOS-1460</t>
        </is>
      </c>
      <c r="B1462" t="inlineStr">
        <is>
          <t>House Party</t>
        </is>
      </c>
      <c r="C1462" t="inlineStr">
        <is>
          <t>EXACT</t>
        </is>
      </c>
      <c r="D1462" t="inlineStr">
        <is>
          <t>IOS Meera</t>
        </is>
      </c>
      <c r="E1462" s="16" t="n">
        <v>0</v>
      </c>
      <c r="F1462" s="16" t="n">
        <v>3545.81</v>
      </c>
      <c r="G1462" s="17" t="n"/>
      <c r="H1462" s="16" t="n">
        <v>-3545.81</v>
      </c>
      <c r="I1462" s="16" t="n">
        <v>0</v>
      </c>
    </row>
    <row r="1463">
      <c r="A1463" t="inlineStr">
        <is>
          <t>MTR-IOS-1463</t>
        </is>
      </c>
      <c r="B1463" t="inlineStr">
        <is>
          <t>House Party</t>
        </is>
      </c>
      <c r="C1463" t="inlineStr">
        <is>
          <t>SHARES</t>
        </is>
      </c>
      <c r="D1463" t="inlineStr">
        <is>
          <t>IOS Owner</t>
        </is>
      </c>
      <c r="E1463" s="16" t="n">
        <v>0</v>
      </c>
      <c r="F1463" s="16" t="n">
        <v>13081.45</v>
      </c>
      <c r="G1463" s="17" t="n"/>
      <c r="H1463" s="16" t="n">
        <v>-13081.45</v>
      </c>
      <c r="I1463" s="16" t="n">
        <v>0</v>
      </c>
    </row>
    <row r="1464">
      <c r="A1464" t="inlineStr">
        <is>
          <t>MTR-IOS-1463</t>
        </is>
      </c>
      <c r="B1464" t="inlineStr">
        <is>
          <t>House Party</t>
        </is>
      </c>
      <c r="C1464" t="inlineStr">
        <is>
          <t>SHARES</t>
        </is>
      </c>
      <c r="D1464" t="inlineStr">
        <is>
          <t>IOS Aarav</t>
        </is>
      </c>
      <c r="E1464" s="16" t="n">
        <v>26162.9</v>
      </c>
      <c r="F1464" s="16" t="n">
        <v>8720.969999999999</v>
      </c>
      <c r="G1464" s="17" t="n"/>
      <c r="H1464" s="16" t="n">
        <v>17441.93</v>
      </c>
      <c r="I1464" s="16" t="n">
        <v>0</v>
      </c>
    </row>
    <row r="1465">
      <c r="A1465" t="inlineStr">
        <is>
          <t>MTR-IOS-1463</t>
        </is>
      </c>
      <c r="B1465" t="inlineStr">
        <is>
          <t>House Party</t>
        </is>
      </c>
      <c r="C1465" t="inlineStr">
        <is>
          <t>SHARES</t>
        </is>
      </c>
      <c r="D1465" t="inlineStr">
        <is>
          <t>IOS Meera</t>
        </is>
      </c>
      <c r="E1465" s="16" t="n">
        <v>0</v>
      </c>
      <c r="F1465" s="16" t="n">
        <v>4360.48</v>
      </c>
      <c r="G1465" s="17" t="n"/>
      <c r="H1465" s="16" t="n">
        <v>-4360.48</v>
      </c>
      <c r="I1465" s="16" t="n">
        <v>0</v>
      </c>
    </row>
    <row r="1466">
      <c r="A1466" t="inlineStr">
        <is>
          <t>MTR-IOS-1466</t>
        </is>
      </c>
      <c r="B1466" t="inlineStr">
        <is>
          <t>Gift Pool</t>
        </is>
      </c>
      <c r="C1466" t="inlineStr">
        <is>
          <t>EQUAL</t>
        </is>
      </c>
      <c r="D1466" t="inlineStr">
        <is>
          <t>IOS Owner</t>
        </is>
      </c>
      <c r="E1466" s="16" t="n">
        <v>0</v>
      </c>
      <c r="F1466" s="16" t="n">
        <v>1658.77</v>
      </c>
      <c r="G1466" s="17" t="n"/>
      <c r="H1466" s="16" t="n">
        <v>-1658.77</v>
      </c>
      <c r="I1466" s="16" t="n">
        <v>0</v>
      </c>
    </row>
    <row r="1467">
      <c r="A1467" t="inlineStr">
        <is>
          <t>MTR-IOS-1466</t>
        </is>
      </c>
      <c r="B1467" t="inlineStr">
        <is>
          <t>Gift Pool</t>
        </is>
      </c>
      <c r="C1467" t="inlineStr">
        <is>
          <t>EQUAL</t>
        </is>
      </c>
      <c r="D1467" t="inlineStr">
        <is>
          <t>IOS Aarav</t>
        </is>
      </c>
      <c r="E1467" s="16" t="n">
        <v>0</v>
      </c>
      <c r="F1467" s="16" t="n">
        <v>1658.77</v>
      </c>
      <c r="G1467" s="17" t="n"/>
      <c r="H1467" s="16" t="n">
        <v>-1658.77</v>
      </c>
      <c r="I1467" s="16" t="n">
        <v>0</v>
      </c>
    </row>
    <row r="1468">
      <c r="A1468" t="inlineStr">
        <is>
          <t>MTR-IOS-1466</t>
        </is>
      </c>
      <c r="B1468" t="inlineStr">
        <is>
          <t>Gift Pool</t>
        </is>
      </c>
      <c r="C1468" t="inlineStr">
        <is>
          <t>EQUAL</t>
        </is>
      </c>
      <c r="D1468" t="inlineStr">
        <is>
          <t>IOS Meera</t>
        </is>
      </c>
      <c r="E1468" s="16" t="n">
        <v>4976.32</v>
      </c>
      <c r="F1468" s="16" t="n">
        <v>1658.78</v>
      </c>
      <c r="G1468" s="17" t="n"/>
      <c r="H1468" s="16" t="n">
        <v>3317.54</v>
      </c>
      <c r="I1468" s="16" t="n">
        <v>0</v>
      </c>
    </row>
    <row r="1469">
      <c r="A1469" t="inlineStr">
        <is>
          <t>MTR-IOS-1469</t>
        </is>
      </c>
      <c r="B1469" t="inlineStr">
        <is>
          <t>Gift Pool</t>
        </is>
      </c>
      <c r="C1469" t="inlineStr">
        <is>
          <t>PERCENTAGE</t>
        </is>
      </c>
      <c r="D1469" t="inlineStr">
        <is>
          <t>IOS Owner</t>
        </is>
      </c>
      <c r="E1469" s="16" t="n">
        <v>4001.08</v>
      </c>
      <c r="F1469" s="16" t="n">
        <v>2000.54</v>
      </c>
      <c r="G1469" s="17" t="n">
        <v>50</v>
      </c>
      <c r="H1469" s="16" t="n">
        <v>2000.54</v>
      </c>
      <c r="I1469" s="16" t="n">
        <v>0</v>
      </c>
    </row>
    <row r="1470">
      <c r="A1470" t="inlineStr">
        <is>
          <t>MTR-IOS-1469</t>
        </is>
      </c>
      <c r="B1470" t="inlineStr">
        <is>
          <t>Gift Pool</t>
        </is>
      </c>
      <c r="C1470" t="inlineStr">
        <is>
          <t>PERCENTAGE</t>
        </is>
      </c>
      <c r="D1470" t="inlineStr">
        <is>
          <t>IOS Aarav</t>
        </is>
      </c>
      <c r="E1470" s="16" t="n">
        <v>0</v>
      </c>
      <c r="F1470" s="16" t="n">
        <v>1200.32</v>
      </c>
      <c r="G1470" s="17" t="n">
        <v>30</v>
      </c>
      <c r="H1470" s="16" t="n">
        <v>-1200.32</v>
      </c>
      <c r="I1470" s="16" t="n">
        <v>0</v>
      </c>
    </row>
    <row r="1471">
      <c r="A1471" t="inlineStr">
        <is>
          <t>MTR-IOS-1469</t>
        </is>
      </c>
      <c r="B1471" t="inlineStr">
        <is>
          <t>Gift Pool</t>
        </is>
      </c>
      <c r="C1471" t="inlineStr">
        <is>
          <t>PERCENTAGE</t>
        </is>
      </c>
      <c r="D1471" t="inlineStr">
        <is>
          <t>IOS Meera</t>
        </is>
      </c>
      <c r="E1471" s="16" t="n">
        <v>0</v>
      </c>
      <c r="F1471" s="16" t="n">
        <v>800.22</v>
      </c>
      <c r="G1471" s="17" t="n">
        <v>20</v>
      </c>
      <c r="H1471" s="16" t="n">
        <v>-800.22</v>
      </c>
      <c r="I1471" s="16" t="n">
        <v>0</v>
      </c>
    </row>
    <row r="1472">
      <c r="A1472" t="inlineStr">
        <is>
          <t>MTR-IOS-1472</t>
        </is>
      </c>
      <c r="B1472" t="inlineStr">
        <is>
          <t>Gift Pool</t>
        </is>
      </c>
      <c r="C1472" t="inlineStr">
        <is>
          <t>EXACT</t>
        </is>
      </c>
      <c r="D1472" t="inlineStr">
        <is>
          <t>IOS Owner</t>
        </is>
      </c>
      <c r="E1472" s="16" t="n">
        <v>0</v>
      </c>
      <c r="F1472" s="16" t="n">
        <v>215.09</v>
      </c>
      <c r="G1472" s="17" t="n"/>
      <c r="H1472" s="16" t="n">
        <v>-215.09</v>
      </c>
      <c r="I1472" s="16" t="n">
        <v>0</v>
      </c>
    </row>
    <row r="1473">
      <c r="A1473" t="inlineStr">
        <is>
          <t>MTR-IOS-1472</t>
        </is>
      </c>
      <c r="B1473" t="inlineStr">
        <is>
          <t>Gift Pool</t>
        </is>
      </c>
      <c r="C1473" t="inlineStr">
        <is>
          <t>EXACT</t>
        </is>
      </c>
      <c r="D1473" t="inlineStr">
        <is>
          <t>IOS Aarav</t>
        </is>
      </c>
      <c r="E1473" s="16" t="n">
        <v>645.9299999999999</v>
      </c>
      <c r="F1473" s="16" t="n">
        <v>215.09</v>
      </c>
      <c r="G1473" s="17" t="n"/>
      <c r="H1473" s="16" t="n">
        <v>430.84</v>
      </c>
      <c r="I1473" s="16" t="n">
        <v>0</v>
      </c>
    </row>
    <row r="1474">
      <c r="A1474" t="inlineStr">
        <is>
          <t>MTR-IOS-1472</t>
        </is>
      </c>
      <c r="B1474" t="inlineStr">
        <is>
          <t>Gift Pool</t>
        </is>
      </c>
      <c r="C1474" t="inlineStr">
        <is>
          <t>EXACT</t>
        </is>
      </c>
      <c r="D1474" t="inlineStr">
        <is>
          <t>IOS Meera</t>
        </is>
      </c>
      <c r="E1474" s="16" t="n">
        <v>0</v>
      </c>
      <c r="F1474" s="16" t="n">
        <v>215.75</v>
      </c>
      <c r="G1474" s="17" t="n"/>
      <c r="H1474" s="16" t="n">
        <v>-215.75</v>
      </c>
      <c r="I1474" s="16" t="n">
        <v>0</v>
      </c>
    </row>
    <row r="1475">
      <c r="A1475" t="inlineStr">
        <is>
          <t>MTR-IOS-1475</t>
        </is>
      </c>
      <c r="B1475" t="inlineStr">
        <is>
          <t>Gift Pool</t>
        </is>
      </c>
      <c r="C1475" t="inlineStr">
        <is>
          <t>SHARES</t>
        </is>
      </c>
      <c r="D1475" t="inlineStr">
        <is>
          <t>IOS Owner</t>
        </is>
      </c>
      <c r="E1475" s="16" t="n">
        <v>0</v>
      </c>
      <c r="F1475" s="16" t="n">
        <v>9532.76</v>
      </c>
      <c r="G1475" s="17" t="n"/>
      <c r="H1475" s="16" t="n">
        <v>-9532.76</v>
      </c>
      <c r="I1475" s="16" t="n">
        <v>0</v>
      </c>
    </row>
    <row r="1476">
      <c r="A1476" t="inlineStr">
        <is>
          <t>MTR-IOS-1475</t>
        </is>
      </c>
      <c r="B1476" t="inlineStr">
        <is>
          <t>Gift Pool</t>
        </is>
      </c>
      <c r="C1476" t="inlineStr">
        <is>
          <t>SHARES</t>
        </is>
      </c>
      <c r="D1476" t="inlineStr">
        <is>
          <t>IOS Aarav</t>
        </is>
      </c>
      <c r="E1476" s="16" t="n">
        <v>0</v>
      </c>
      <c r="F1476" s="16" t="n">
        <v>6355.17</v>
      </c>
      <c r="G1476" s="17" t="n"/>
      <c r="H1476" s="16" t="n">
        <v>-6355.17</v>
      </c>
      <c r="I1476" s="16" t="n">
        <v>0</v>
      </c>
    </row>
    <row r="1477">
      <c r="A1477" t="inlineStr">
        <is>
          <t>MTR-IOS-1475</t>
        </is>
      </c>
      <c r="B1477" t="inlineStr">
        <is>
          <t>Gift Pool</t>
        </is>
      </c>
      <c r="C1477" t="inlineStr">
        <is>
          <t>SHARES</t>
        </is>
      </c>
      <c r="D1477" t="inlineStr">
        <is>
          <t>IOS Meera</t>
        </is>
      </c>
      <c r="E1477" s="16" t="n">
        <v>19065.51</v>
      </c>
      <c r="F1477" s="16" t="n">
        <v>3177.58</v>
      </c>
      <c r="G1477" s="17" t="n"/>
      <c r="H1477" s="16" t="n">
        <v>15887.93</v>
      </c>
      <c r="I1477" s="16" t="n">
        <v>0</v>
      </c>
    </row>
    <row r="1478">
      <c r="A1478" t="inlineStr">
        <is>
          <t>MTR-IOS-1478</t>
        </is>
      </c>
      <c r="B1478" t="inlineStr">
        <is>
          <t>Purchase</t>
        </is>
      </c>
      <c r="C1478" t="inlineStr">
        <is>
          <t>EQUAL</t>
        </is>
      </c>
      <c r="D1478" t="inlineStr">
        <is>
          <t>IOS Owner</t>
        </is>
      </c>
      <c r="E1478" s="16" t="n">
        <v>16573.81</v>
      </c>
      <c r="F1478" s="16" t="n">
        <v>5524.6</v>
      </c>
      <c r="G1478" s="17" t="n"/>
      <c r="H1478" s="16" t="n">
        <v>11049.21</v>
      </c>
      <c r="I1478" s="16" t="n">
        <v>0</v>
      </c>
    </row>
    <row r="1479">
      <c r="A1479" t="inlineStr">
        <is>
          <t>MTR-IOS-1478</t>
        </is>
      </c>
      <c r="B1479" t="inlineStr">
        <is>
          <t>Purchase</t>
        </is>
      </c>
      <c r="C1479" t="inlineStr">
        <is>
          <t>EQUAL</t>
        </is>
      </c>
      <c r="D1479" t="inlineStr">
        <is>
          <t>IOS Aarav</t>
        </is>
      </c>
      <c r="E1479" s="16" t="n">
        <v>0</v>
      </c>
      <c r="F1479" s="16" t="n">
        <v>5524.6</v>
      </c>
      <c r="G1479" s="17" t="n"/>
      <c r="H1479" s="16" t="n">
        <v>-5524.6</v>
      </c>
      <c r="I1479" s="16" t="n">
        <v>0</v>
      </c>
    </row>
    <row r="1480">
      <c r="A1480" t="inlineStr">
        <is>
          <t>MTR-IOS-1478</t>
        </is>
      </c>
      <c r="B1480" t="inlineStr">
        <is>
          <t>Purchase</t>
        </is>
      </c>
      <c r="C1480" t="inlineStr">
        <is>
          <t>EQUAL</t>
        </is>
      </c>
      <c r="D1480" t="inlineStr">
        <is>
          <t>IOS Meera</t>
        </is>
      </c>
      <c r="E1480" s="16" t="n">
        <v>0</v>
      </c>
      <c r="F1480" s="16" t="n">
        <v>5524.61</v>
      </c>
      <c r="G1480" s="17" t="n"/>
      <c r="H1480" s="16" t="n">
        <v>-5524.61</v>
      </c>
      <c r="I1480" s="16" t="n">
        <v>0</v>
      </c>
    </row>
    <row r="1481">
      <c r="A1481" t="inlineStr">
        <is>
          <t>MTR-IOS-1481</t>
        </is>
      </c>
      <c r="B1481" t="inlineStr">
        <is>
          <t>Purchase</t>
        </is>
      </c>
      <c r="C1481" t="inlineStr">
        <is>
          <t>PERCENTAGE</t>
        </is>
      </c>
      <c r="D1481" t="inlineStr">
        <is>
          <t>IOS Owner</t>
        </is>
      </c>
      <c r="E1481" s="16" t="n">
        <v>0</v>
      </c>
      <c r="F1481" s="16" t="n">
        <v>1246.23</v>
      </c>
      <c r="G1481" s="17" t="n">
        <v>50</v>
      </c>
      <c r="H1481" s="16" t="n">
        <v>-1246.23</v>
      </c>
      <c r="I1481" s="16" t="n">
        <v>0</v>
      </c>
    </row>
    <row r="1482">
      <c r="A1482" t="inlineStr">
        <is>
          <t>MTR-IOS-1481</t>
        </is>
      </c>
      <c r="B1482" t="inlineStr">
        <is>
          <t>Purchase</t>
        </is>
      </c>
      <c r="C1482" t="inlineStr">
        <is>
          <t>PERCENTAGE</t>
        </is>
      </c>
      <c r="D1482" t="inlineStr">
        <is>
          <t>IOS Aarav</t>
        </is>
      </c>
      <c r="E1482" s="16" t="n">
        <v>2492.46</v>
      </c>
      <c r="F1482" s="16" t="n">
        <v>747.74</v>
      </c>
      <c r="G1482" s="17" t="n">
        <v>30</v>
      </c>
      <c r="H1482" s="16" t="n">
        <v>1744.72</v>
      </c>
      <c r="I1482" s="16" t="n">
        <v>0</v>
      </c>
    </row>
    <row r="1483">
      <c r="A1483" t="inlineStr">
        <is>
          <t>MTR-IOS-1481</t>
        </is>
      </c>
      <c r="B1483" t="inlineStr">
        <is>
          <t>Purchase</t>
        </is>
      </c>
      <c r="C1483" t="inlineStr">
        <is>
          <t>PERCENTAGE</t>
        </is>
      </c>
      <c r="D1483" t="inlineStr">
        <is>
          <t>IOS Meera</t>
        </is>
      </c>
      <c r="E1483" s="16" t="n">
        <v>0</v>
      </c>
      <c r="F1483" s="16" t="n">
        <v>498.49</v>
      </c>
      <c r="G1483" s="17" t="n">
        <v>20</v>
      </c>
      <c r="H1483" s="16" t="n">
        <v>-498.49</v>
      </c>
      <c r="I1483" s="16" t="n">
        <v>0</v>
      </c>
    </row>
    <row r="1484">
      <c r="A1484" t="inlineStr">
        <is>
          <t>MTR-IOS-1484</t>
        </is>
      </c>
      <c r="B1484" t="inlineStr">
        <is>
          <t>Purchase</t>
        </is>
      </c>
      <c r="C1484" t="inlineStr">
        <is>
          <t>EXACT</t>
        </is>
      </c>
      <c r="D1484" t="inlineStr">
        <is>
          <t>IOS Owner</t>
        </is>
      </c>
      <c r="E1484" s="16" t="n">
        <v>0</v>
      </c>
      <c r="F1484" s="16" t="n">
        <v>7122.87</v>
      </c>
      <c r="G1484" s="17" t="n"/>
      <c r="H1484" s="16" t="n">
        <v>-7122.87</v>
      </c>
      <c r="I1484" s="16" t="n">
        <v>0</v>
      </c>
    </row>
    <row r="1485">
      <c r="A1485" t="inlineStr">
        <is>
          <t>MTR-IOS-1484</t>
        </is>
      </c>
      <c r="B1485" t="inlineStr">
        <is>
          <t>Purchase</t>
        </is>
      </c>
      <c r="C1485" t="inlineStr">
        <is>
          <t>EXACT</t>
        </is>
      </c>
      <c r="D1485" t="inlineStr">
        <is>
          <t>IOS Aarav</t>
        </is>
      </c>
      <c r="E1485" s="16" t="n">
        <v>0</v>
      </c>
      <c r="F1485" s="16" t="n">
        <v>7122.87</v>
      </c>
      <c r="G1485" s="17" t="n"/>
      <c r="H1485" s="16" t="n">
        <v>-7122.87</v>
      </c>
      <c r="I1485" s="16" t="n">
        <v>0</v>
      </c>
    </row>
    <row r="1486">
      <c r="A1486" t="inlineStr">
        <is>
          <t>MTR-IOS-1484</t>
        </is>
      </c>
      <c r="B1486" t="inlineStr">
        <is>
          <t>Purchase</t>
        </is>
      </c>
      <c r="C1486" t="inlineStr">
        <is>
          <t>EXACT</t>
        </is>
      </c>
      <c r="D1486" t="inlineStr">
        <is>
          <t>IOS Meera</t>
        </is>
      </c>
      <c r="E1486" s="16" t="n">
        <v>21390.01</v>
      </c>
      <c r="F1486" s="16" t="n">
        <v>7144.27</v>
      </c>
      <c r="G1486" s="17" t="n"/>
      <c r="H1486" s="16" t="n">
        <v>14245.74</v>
      </c>
      <c r="I1486" s="16" t="n">
        <v>0</v>
      </c>
    </row>
    <row r="1487">
      <c r="A1487" t="inlineStr">
        <is>
          <t>MTR-IOS-1487</t>
        </is>
      </c>
      <c r="B1487" t="inlineStr">
        <is>
          <t>Purchase</t>
        </is>
      </c>
      <c r="C1487" t="inlineStr">
        <is>
          <t>SHARES</t>
        </is>
      </c>
      <c r="D1487" t="inlineStr">
        <is>
          <t>IOS Owner</t>
        </is>
      </c>
      <c r="E1487" s="16" t="n">
        <v>25297.25</v>
      </c>
      <c r="F1487" s="16" t="n">
        <v>12648.63</v>
      </c>
      <c r="G1487" s="17" t="n"/>
      <c r="H1487" s="16" t="n">
        <v>12648.62</v>
      </c>
      <c r="I1487" s="16" t="n">
        <v>0</v>
      </c>
    </row>
    <row r="1488">
      <c r="A1488" t="inlineStr">
        <is>
          <t>MTR-IOS-1487</t>
        </is>
      </c>
      <c r="B1488" t="inlineStr">
        <is>
          <t>Purchase</t>
        </is>
      </c>
      <c r="C1488" t="inlineStr">
        <is>
          <t>SHARES</t>
        </is>
      </c>
      <c r="D1488" t="inlineStr">
        <is>
          <t>IOS Aarav</t>
        </is>
      </c>
      <c r="E1488" s="16" t="n">
        <v>0</v>
      </c>
      <c r="F1488" s="16" t="n">
        <v>8432.42</v>
      </c>
      <c r="G1488" s="17" t="n"/>
      <c r="H1488" s="16" t="n">
        <v>-8432.42</v>
      </c>
      <c r="I1488" s="16" t="n">
        <v>0</v>
      </c>
    </row>
    <row r="1489">
      <c r="A1489" t="inlineStr">
        <is>
          <t>MTR-IOS-1487</t>
        </is>
      </c>
      <c r="B1489" t="inlineStr">
        <is>
          <t>Purchase</t>
        </is>
      </c>
      <c r="C1489" t="inlineStr">
        <is>
          <t>SHARES</t>
        </is>
      </c>
      <c r="D1489" t="inlineStr">
        <is>
          <t>IOS Meera</t>
        </is>
      </c>
      <c r="E1489" s="16" t="n">
        <v>0</v>
      </c>
      <c r="F1489" s="16" t="n">
        <v>4216.2</v>
      </c>
      <c r="G1489" s="17" t="n"/>
      <c r="H1489" s="16" t="n">
        <v>-4216.2</v>
      </c>
      <c r="I1489" s="16" t="n">
        <v>0</v>
      </c>
    </row>
    <row r="1490">
      <c r="A1490" t="inlineStr">
        <is>
          <t>MTR-IOS-1490</t>
        </is>
      </c>
      <c r="B1490" t="inlineStr">
        <is>
          <t>Assets</t>
        </is>
      </c>
      <c r="C1490" t="inlineStr">
        <is>
          <t>EQUAL</t>
        </is>
      </c>
      <c r="D1490" t="inlineStr">
        <is>
          <t>IOS Owner</t>
        </is>
      </c>
      <c r="E1490" s="16" t="n">
        <v>0</v>
      </c>
      <c r="F1490" s="16" t="n">
        <v>5983.79</v>
      </c>
      <c r="G1490" s="17" t="n"/>
      <c r="H1490" s="16" t="n">
        <v>-5983.79</v>
      </c>
      <c r="I1490" s="16" t="n">
        <v>0</v>
      </c>
    </row>
    <row r="1491">
      <c r="A1491" t="inlineStr">
        <is>
          <t>MTR-IOS-1490</t>
        </is>
      </c>
      <c r="B1491" t="inlineStr">
        <is>
          <t>Assets</t>
        </is>
      </c>
      <c r="C1491" t="inlineStr">
        <is>
          <t>EQUAL</t>
        </is>
      </c>
      <c r="D1491" t="inlineStr">
        <is>
          <t>IOS Aarav</t>
        </is>
      </c>
      <c r="E1491" s="16" t="n">
        <v>17951.38</v>
      </c>
      <c r="F1491" s="16" t="n">
        <v>5983.79</v>
      </c>
      <c r="G1491" s="17" t="n"/>
      <c r="H1491" s="16" t="n">
        <v>11967.59</v>
      </c>
      <c r="I1491" s="16" t="n">
        <v>0</v>
      </c>
    </row>
    <row r="1492">
      <c r="A1492" t="inlineStr">
        <is>
          <t>MTR-IOS-1490</t>
        </is>
      </c>
      <c r="B1492" t="inlineStr">
        <is>
          <t>Assets</t>
        </is>
      </c>
      <c r="C1492" t="inlineStr">
        <is>
          <t>EQUAL</t>
        </is>
      </c>
      <c r="D1492" t="inlineStr">
        <is>
          <t>IOS Meera</t>
        </is>
      </c>
      <c r="E1492" s="16" t="n">
        <v>0</v>
      </c>
      <c r="F1492" s="16" t="n">
        <v>5983.8</v>
      </c>
      <c r="G1492" s="17" t="n"/>
      <c r="H1492" s="16" t="n">
        <v>-5983.8</v>
      </c>
      <c r="I1492" s="16" t="n">
        <v>0</v>
      </c>
    </row>
    <row r="1493">
      <c r="A1493" t="inlineStr">
        <is>
          <t>MTR-IOS-1493</t>
        </is>
      </c>
      <c r="B1493" t="inlineStr">
        <is>
          <t>Assets</t>
        </is>
      </c>
      <c r="C1493" t="inlineStr">
        <is>
          <t>PERCENTAGE</t>
        </is>
      </c>
      <c r="D1493" t="inlineStr">
        <is>
          <t>IOS Owner</t>
        </is>
      </c>
      <c r="E1493" s="16" t="n">
        <v>0</v>
      </c>
      <c r="F1493" s="16" t="n">
        <v>9896.129999999999</v>
      </c>
      <c r="G1493" s="17" t="n">
        <v>50</v>
      </c>
      <c r="H1493" s="16" t="n">
        <v>-9896.129999999999</v>
      </c>
      <c r="I1493" s="16" t="n">
        <v>0</v>
      </c>
    </row>
    <row r="1494">
      <c r="A1494" t="inlineStr">
        <is>
          <t>MTR-IOS-1493</t>
        </is>
      </c>
      <c r="B1494" t="inlineStr">
        <is>
          <t>Assets</t>
        </is>
      </c>
      <c r="C1494" t="inlineStr">
        <is>
          <t>PERCENTAGE</t>
        </is>
      </c>
      <c r="D1494" t="inlineStr">
        <is>
          <t>IOS Aarav</t>
        </is>
      </c>
      <c r="E1494" s="16" t="n">
        <v>0</v>
      </c>
      <c r="F1494" s="16" t="n">
        <v>5937.68</v>
      </c>
      <c r="G1494" s="17" t="n">
        <v>30</v>
      </c>
      <c r="H1494" s="16" t="n">
        <v>-5937.68</v>
      </c>
      <c r="I1494" s="16" t="n">
        <v>0</v>
      </c>
    </row>
    <row r="1495">
      <c r="A1495" t="inlineStr">
        <is>
          <t>MTR-IOS-1493</t>
        </is>
      </c>
      <c r="B1495" t="inlineStr">
        <is>
          <t>Assets</t>
        </is>
      </c>
      <c r="C1495" t="inlineStr">
        <is>
          <t>PERCENTAGE</t>
        </is>
      </c>
      <c r="D1495" t="inlineStr">
        <is>
          <t>IOS Meera</t>
        </is>
      </c>
      <c r="E1495" s="16" t="n">
        <v>19792.25</v>
      </c>
      <c r="F1495" s="16" t="n">
        <v>3958.44</v>
      </c>
      <c r="G1495" s="17" t="n">
        <v>20</v>
      </c>
      <c r="H1495" s="16" t="n">
        <v>15833.81</v>
      </c>
      <c r="I1495" s="16" t="n">
        <v>0</v>
      </c>
    </row>
    <row r="1496">
      <c r="A1496" t="inlineStr">
        <is>
          <t>MTR-IOS-1496</t>
        </is>
      </c>
      <c r="B1496" t="inlineStr">
        <is>
          <t>Assets</t>
        </is>
      </c>
      <c r="C1496" t="inlineStr">
        <is>
          <t>EXACT</t>
        </is>
      </c>
      <c r="D1496" t="inlineStr">
        <is>
          <t>IOS Owner</t>
        </is>
      </c>
      <c r="E1496" s="16" t="n">
        <v>21322.32</v>
      </c>
      <c r="F1496" s="16" t="n">
        <v>7100.33</v>
      </c>
      <c r="G1496" s="17" t="n"/>
      <c r="H1496" s="16" t="n">
        <v>14221.99</v>
      </c>
      <c r="I1496" s="16" t="n">
        <v>0</v>
      </c>
    </row>
    <row r="1497">
      <c r="A1497" t="inlineStr">
        <is>
          <t>MTR-IOS-1496</t>
        </is>
      </c>
      <c r="B1497" t="inlineStr">
        <is>
          <t>Assets</t>
        </is>
      </c>
      <c r="C1497" t="inlineStr">
        <is>
          <t>EXACT</t>
        </is>
      </c>
      <c r="D1497" t="inlineStr">
        <is>
          <t>IOS Aarav</t>
        </is>
      </c>
      <c r="E1497" s="16" t="n">
        <v>0</v>
      </c>
      <c r="F1497" s="16" t="n">
        <v>7100.33</v>
      </c>
      <c r="G1497" s="17" t="n"/>
      <c r="H1497" s="16" t="n">
        <v>-7100.33</v>
      </c>
      <c r="I1497" s="16" t="n">
        <v>0</v>
      </c>
    </row>
    <row r="1498">
      <c r="A1498" t="inlineStr">
        <is>
          <t>MTR-IOS-1496</t>
        </is>
      </c>
      <c r="B1498" t="inlineStr">
        <is>
          <t>Assets</t>
        </is>
      </c>
      <c r="C1498" t="inlineStr">
        <is>
          <t>EXACT</t>
        </is>
      </c>
      <c r="D1498" t="inlineStr">
        <is>
          <t>IOS Meera</t>
        </is>
      </c>
      <c r="E1498" s="16" t="n">
        <v>0</v>
      </c>
      <c r="F1498" s="16" t="n">
        <v>7121.66</v>
      </c>
      <c r="G1498" s="17" t="n"/>
      <c r="H1498" s="16" t="n">
        <v>-7121.66</v>
      </c>
      <c r="I1498" s="16" t="n">
        <v>0</v>
      </c>
    </row>
    <row r="1499">
      <c r="A1499" t="inlineStr">
        <is>
          <t>MTR-IOS-1499</t>
        </is>
      </c>
      <c r="B1499" t="inlineStr">
        <is>
          <t>Assets</t>
        </is>
      </c>
      <c r="C1499" t="inlineStr">
        <is>
          <t>SHARES</t>
        </is>
      </c>
      <c r="D1499" t="inlineStr">
        <is>
          <t>IOS Owner</t>
        </is>
      </c>
      <c r="E1499" s="16" t="n">
        <v>0</v>
      </c>
      <c r="F1499" s="16" t="n">
        <v>12019.39</v>
      </c>
      <c r="G1499" s="17" t="n"/>
      <c r="H1499" s="16" t="n">
        <v>-12019.39</v>
      </c>
      <c r="I1499" s="16" t="n">
        <v>0</v>
      </c>
    </row>
    <row r="1500">
      <c r="A1500" t="inlineStr">
        <is>
          <t>MTR-IOS-1499</t>
        </is>
      </c>
      <c r="B1500" t="inlineStr">
        <is>
          <t>Assets</t>
        </is>
      </c>
      <c r="C1500" t="inlineStr">
        <is>
          <t>SHARES</t>
        </is>
      </c>
      <c r="D1500" t="inlineStr">
        <is>
          <t>IOS Aarav</t>
        </is>
      </c>
      <c r="E1500" s="16" t="n">
        <v>24038.77</v>
      </c>
      <c r="F1500" s="16" t="n">
        <v>8012.92</v>
      </c>
      <c r="G1500" s="17" t="n"/>
      <c r="H1500" s="16" t="n">
        <v>16025.85</v>
      </c>
      <c r="I1500" s="16" t="n">
        <v>0</v>
      </c>
    </row>
    <row r="1501">
      <c r="A1501" t="inlineStr">
        <is>
          <t>MTR-IOS-1499</t>
        </is>
      </c>
      <c r="B1501" t="inlineStr">
        <is>
          <t>Assets</t>
        </is>
      </c>
      <c r="C1501" t="inlineStr">
        <is>
          <t>SHARES</t>
        </is>
      </c>
      <c r="D1501" t="inlineStr">
        <is>
          <t>IOS Meera</t>
        </is>
      </c>
      <c r="E1501" s="16" t="n">
        <v>0</v>
      </c>
      <c r="F1501" s="16" t="n">
        <v>4006.46</v>
      </c>
      <c r="G1501" s="17" t="n"/>
      <c r="H1501" s="16" t="n">
        <v>-4006.46</v>
      </c>
      <c r="I1501" s="16" t="n">
        <v>0</v>
      </c>
    </row>
    <row r="1502">
      <c r="A1502" t="inlineStr">
        <is>
          <t>MTR-IOS-1502</t>
        </is>
      </c>
      <c r="B1502" t="inlineStr">
        <is>
          <t>Assets</t>
        </is>
      </c>
      <c r="C1502" t="inlineStr">
        <is>
          <t>EQUAL</t>
        </is>
      </c>
      <c r="D1502" t="inlineStr">
        <is>
          <t>IOS Owner</t>
        </is>
      </c>
      <c r="E1502" s="16" t="n">
        <v>0</v>
      </c>
      <c r="F1502" s="16" t="n">
        <v>5186.85</v>
      </c>
      <c r="G1502" s="17" t="n"/>
      <c r="H1502" s="16" t="n">
        <v>-5186.85</v>
      </c>
      <c r="I1502" s="16" t="n">
        <v>0</v>
      </c>
    </row>
    <row r="1503">
      <c r="A1503" t="inlineStr">
        <is>
          <t>MTR-IOS-1502</t>
        </is>
      </c>
      <c r="B1503" t="inlineStr">
        <is>
          <t>Assets</t>
        </is>
      </c>
      <c r="C1503" t="inlineStr">
        <is>
          <t>EQUAL</t>
        </is>
      </c>
      <c r="D1503" t="inlineStr">
        <is>
          <t>IOS Aarav</t>
        </is>
      </c>
      <c r="E1503" s="16" t="n">
        <v>0</v>
      </c>
      <c r="F1503" s="16" t="n">
        <v>5186.85</v>
      </c>
      <c r="G1503" s="17" t="n"/>
      <c r="H1503" s="16" t="n">
        <v>-5186.85</v>
      </c>
      <c r="I1503" s="16" t="n">
        <v>0</v>
      </c>
    </row>
    <row r="1504">
      <c r="A1504" t="inlineStr">
        <is>
          <t>MTR-IOS-1502</t>
        </is>
      </c>
      <c r="B1504" t="inlineStr">
        <is>
          <t>Assets</t>
        </is>
      </c>
      <c r="C1504" t="inlineStr">
        <is>
          <t>EQUAL</t>
        </is>
      </c>
      <c r="D1504" t="inlineStr">
        <is>
          <t>IOS Meera</t>
        </is>
      </c>
      <c r="E1504" s="16" t="n">
        <v>15560.56</v>
      </c>
      <c r="F1504" s="16" t="n">
        <v>5186.86</v>
      </c>
      <c r="G1504" s="17" t="n"/>
      <c r="H1504" s="16" t="n">
        <v>10373.7</v>
      </c>
      <c r="I1504" s="16" t="n">
        <v>0</v>
      </c>
    </row>
    <row r="1505">
      <c r="A1505" t="inlineStr">
        <is>
          <t>MTR-IOS-1505</t>
        </is>
      </c>
      <c r="B1505" t="inlineStr">
        <is>
          <t>Custom Purchase</t>
        </is>
      </c>
      <c r="C1505" t="inlineStr">
        <is>
          <t>PERCENTAGE</t>
        </is>
      </c>
      <c r="D1505" t="inlineStr">
        <is>
          <t>IOS Owner</t>
        </is>
      </c>
      <c r="E1505" s="16" t="n">
        <v>15447.87</v>
      </c>
      <c r="F1505" s="16" t="n">
        <v>7723.94</v>
      </c>
      <c r="G1505" s="17" t="n">
        <v>50</v>
      </c>
      <c r="H1505" s="16" t="n">
        <v>7723.93</v>
      </c>
      <c r="I1505" s="16" t="n">
        <v>0</v>
      </c>
    </row>
    <row r="1506">
      <c r="A1506" t="inlineStr">
        <is>
          <t>MTR-IOS-1505</t>
        </is>
      </c>
      <c r="B1506" t="inlineStr">
        <is>
          <t>Custom Purchase</t>
        </is>
      </c>
      <c r="C1506" t="inlineStr">
        <is>
          <t>PERCENTAGE</t>
        </is>
      </c>
      <c r="D1506" t="inlineStr">
        <is>
          <t>IOS Aarav</t>
        </is>
      </c>
      <c r="E1506" s="16" t="n">
        <v>0</v>
      </c>
      <c r="F1506" s="16" t="n">
        <v>4634.36</v>
      </c>
      <c r="G1506" s="17" t="n">
        <v>30</v>
      </c>
      <c r="H1506" s="16" t="n">
        <v>-4634.36</v>
      </c>
      <c r="I1506" s="16" t="n">
        <v>0</v>
      </c>
    </row>
    <row r="1507">
      <c r="A1507" t="inlineStr">
        <is>
          <t>MTR-IOS-1505</t>
        </is>
      </c>
      <c r="B1507" t="inlineStr">
        <is>
          <t>Custom Purchase</t>
        </is>
      </c>
      <c r="C1507" t="inlineStr">
        <is>
          <t>PERCENTAGE</t>
        </is>
      </c>
      <c r="D1507" t="inlineStr">
        <is>
          <t>IOS Meera</t>
        </is>
      </c>
      <c r="E1507" s="16" t="n">
        <v>0</v>
      </c>
      <c r="F1507" s="16" t="n">
        <v>3089.57</v>
      </c>
      <c r="G1507" s="17" t="n">
        <v>20</v>
      </c>
      <c r="H1507" s="16" t="n">
        <v>-3089.57</v>
      </c>
      <c r="I1507" s="16" t="n">
        <v>0</v>
      </c>
    </row>
    <row r="1508">
      <c r="A1508" t="inlineStr">
        <is>
          <t>MTR-IOS-1508</t>
        </is>
      </c>
      <c r="B1508" t="inlineStr">
        <is>
          <t>Custom Purchase</t>
        </is>
      </c>
      <c r="C1508" t="inlineStr">
        <is>
          <t>EXACT</t>
        </is>
      </c>
      <c r="D1508" t="inlineStr">
        <is>
          <t>IOS Owner</t>
        </is>
      </c>
      <c r="E1508" s="16" t="n">
        <v>0</v>
      </c>
      <c r="F1508" s="16" t="n">
        <v>1810.8</v>
      </c>
      <c r="G1508" s="17" t="n"/>
      <c r="H1508" s="16" t="n">
        <v>-1810.8</v>
      </c>
      <c r="I1508" s="16" t="n">
        <v>0</v>
      </c>
    </row>
    <row r="1509">
      <c r="A1509" t="inlineStr">
        <is>
          <t>MTR-IOS-1508</t>
        </is>
      </c>
      <c r="B1509" t="inlineStr">
        <is>
          <t>Custom Purchase</t>
        </is>
      </c>
      <c r="C1509" t="inlineStr">
        <is>
          <t>EXACT</t>
        </is>
      </c>
      <c r="D1509" t="inlineStr">
        <is>
          <t>IOS Aarav</t>
        </is>
      </c>
      <c r="E1509" s="16" t="n">
        <v>5437.85</v>
      </c>
      <c r="F1509" s="16" t="n">
        <v>1810.8</v>
      </c>
      <c r="G1509" s="17" t="n"/>
      <c r="H1509" s="16" t="n">
        <v>3627.05</v>
      </c>
      <c r="I1509" s="16" t="n">
        <v>0</v>
      </c>
    </row>
    <row r="1510">
      <c r="A1510" t="inlineStr">
        <is>
          <t>MTR-IOS-1508</t>
        </is>
      </c>
      <c r="B1510" t="inlineStr">
        <is>
          <t>Custom Purchase</t>
        </is>
      </c>
      <c r="C1510" t="inlineStr">
        <is>
          <t>EXACT</t>
        </is>
      </c>
      <c r="D1510" t="inlineStr">
        <is>
          <t>IOS Meera</t>
        </is>
      </c>
      <c r="E1510" s="16" t="n">
        <v>0</v>
      </c>
      <c r="F1510" s="16" t="n">
        <v>1816.25</v>
      </c>
      <c r="G1510" s="17" t="n"/>
      <c r="H1510" s="16" t="n">
        <v>-1816.25</v>
      </c>
      <c r="I1510" s="16" t="n">
        <v>0</v>
      </c>
    </row>
    <row r="1511">
      <c r="A1511" t="inlineStr">
        <is>
          <t>MTR-IOS-1511</t>
        </is>
      </c>
      <c r="B1511" t="inlineStr">
        <is>
          <t>Flatmates</t>
        </is>
      </c>
      <c r="C1511" t="inlineStr">
        <is>
          <t>SHARES</t>
        </is>
      </c>
      <c r="D1511" t="inlineStr">
        <is>
          <t>IOS Owner</t>
        </is>
      </c>
      <c r="E1511" s="16" t="n">
        <v>0</v>
      </c>
      <c r="F1511" s="16" t="n">
        <v>9644.860000000001</v>
      </c>
      <c r="G1511" s="17" t="n"/>
      <c r="H1511" s="16" t="n">
        <v>-9644.860000000001</v>
      </c>
      <c r="I1511" s="16" t="n">
        <v>0</v>
      </c>
    </row>
    <row r="1512">
      <c r="A1512" t="inlineStr">
        <is>
          <t>MTR-IOS-1511</t>
        </is>
      </c>
      <c r="B1512" t="inlineStr">
        <is>
          <t>Flatmates</t>
        </is>
      </c>
      <c r="C1512" t="inlineStr">
        <is>
          <t>SHARES</t>
        </is>
      </c>
      <c r="D1512" t="inlineStr">
        <is>
          <t>IOS Aarav</t>
        </is>
      </c>
      <c r="E1512" s="16" t="n">
        <v>0</v>
      </c>
      <c r="F1512" s="16" t="n">
        <v>6429.9</v>
      </c>
      <c r="G1512" s="17" t="n"/>
      <c r="H1512" s="16" t="n">
        <v>-6429.9</v>
      </c>
      <c r="I1512" s="16" t="n">
        <v>0</v>
      </c>
    </row>
    <row r="1513">
      <c r="A1513" t="inlineStr">
        <is>
          <t>MTR-IOS-1511</t>
        </is>
      </c>
      <c r="B1513" t="inlineStr">
        <is>
          <t>Flatmates</t>
        </is>
      </c>
      <c r="C1513" t="inlineStr">
        <is>
          <t>SHARES</t>
        </is>
      </c>
      <c r="D1513" t="inlineStr">
        <is>
          <t>IOS Meera</t>
        </is>
      </c>
      <c r="E1513" s="16" t="n">
        <v>19289.71</v>
      </c>
      <c r="F1513" s="16" t="n">
        <v>3214.95</v>
      </c>
      <c r="G1513" s="17" t="n"/>
      <c r="H1513" s="16" t="n">
        <v>16074.76</v>
      </c>
      <c r="I1513" s="16" t="n">
        <v>0</v>
      </c>
    </row>
    <row r="1514">
      <c r="A1514" t="inlineStr">
        <is>
          <t>MTR-IOS-1514</t>
        </is>
      </c>
      <c r="B1514" t="inlineStr">
        <is>
          <t>Flatmates</t>
        </is>
      </c>
      <c r="C1514" t="inlineStr">
        <is>
          <t>EQUAL</t>
        </is>
      </c>
      <c r="D1514" t="inlineStr">
        <is>
          <t>IOS Owner</t>
        </is>
      </c>
      <c r="E1514" s="16" t="n">
        <v>2249.01</v>
      </c>
      <c r="F1514" s="16" t="n">
        <v>749.67</v>
      </c>
      <c r="G1514" s="17" t="n"/>
      <c r="H1514" s="16" t="n">
        <v>1499.34</v>
      </c>
      <c r="I1514" s="16" t="n">
        <v>0</v>
      </c>
    </row>
    <row r="1515">
      <c r="A1515" t="inlineStr">
        <is>
          <t>MTR-IOS-1514</t>
        </is>
      </c>
      <c r="B1515" t="inlineStr">
        <is>
          <t>Flatmates</t>
        </is>
      </c>
      <c r="C1515" t="inlineStr">
        <is>
          <t>EQUAL</t>
        </is>
      </c>
      <c r="D1515" t="inlineStr">
        <is>
          <t>IOS Aarav</t>
        </is>
      </c>
      <c r="E1515" s="16" t="n">
        <v>0</v>
      </c>
      <c r="F1515" s="16" t="n">
        <v>749.67</v>
      </c>
      <c r="G1515" s="17" t="n"/>
      <c r="H1515" s="16" t="n">
        <v>-749.67</v>
      </c>
      <c r="I1515" s="16" t="n">
        <v>0</v>
      </c>
    </row>
    <row r="1516">
      <c r="A1516" t="inlineStr">
        <is>
          <t>MTR-IOS-1514</t>
        </is>
      </c>
      <c r="B1516" t="inlineStr">
        <is>
          <t>Flatmates</t>
        </is>
      </c>
      <c r="C1516" t="inlineStr">
        <is>
          <t>EQUAL</t>
        </is>
      </c>
      <c r="D1516" t="inlineStr">
        <is>
          <t>IOS Meera</t>
        </is>
      </c>
      <c r="E1516" s="16" t="n">
        <v>0</v>
      </c>
      <c r="F1516" s="16" t="n">
        <v>749.67</v>
      </c>
      <c r="G1516" s="17" t="n"/>
      <c r="H1516" s="16" t="n">
        <v>-749.67</v>
      </c>
      <c r="I1516" s="16" t="n">
        <v>0</v>
      </c>
    </row>
    <row r="1517">
      <c r="A1517" t="inlineStr">
        <is>
          <t>MTR-IOS-1517</t>
        </is>
      </c>
      <c r="B1517" t="inlineStr">
        <is>
          <t>Flatmates</t>
        </is>
      </c>
      <c r="C1517" t="inlineStr">
        <is>
          <t>PERCENTAGE</t>
        </is>
      </c>
      <c r="D1517" t="inlineStr">
        <is>
          <t>IOS Owner</t>
        </is>
      </c>
      <c r="E1517" s="16" t="n">
        <v>0</v>
      </c>
      <c r="F1517" s="16" t="n">
        <v>5000</v>
      </c>
      <c r="G1517" s="17" t="n">
        <v>50</v>
      </c>
      <c r="H1517" s="16" t="n">
        <v>-5000</v>
      </c>
      <c r="I1517" s="16" t="n">
        <v>0</v>
      </c>
    </row>
    <row r="1518">
      <c r="A1518" t="inlineStr">
        <is>
          <t>MTR-IOS-1517</t>
        </is>
      </c>
      <c r="B1518" t="inlineStr">
        <is>
          <t>Flatmates</t>
        </is>
      </c>
      <c r="C1518" t="inlineStr">
        <is>
          <t>PERCENTAGE</t>
        </is>
      </c>
      <c r="D1518" t="inlineStr">
        <is>
          <t>IOS Aarav</t>
        </is>
      </c>
      <c r="E1518" s="16" t="n">
        <v>10000</v>
      </c>
      <c r="F1518" s="16" t="n">
        <v>3000</v>
      </c>
      <c r="G1518" s="17" t="n">
        <v>30</v>
      </c>
      <c r="H1518" s="16" t="n">
        <v>7000</v>
      </c>
      <c r="I1518" s="16" t="n">
        <v>0</v>
      </c>
    </row>
    <row r="1519">
      <c r="A1519" t="inlineStr">
        <is>
          <t>MTR-IOS-1517</t>
        </is>
      </c>
      <c r="B1519" t="inlineStr">
        <is>
          <t>Flatmates</t>
        </is>
      </c>
      <c r="C1519" t="inlineStr">
        <is>
          <t>PERCENTAGE</t>
        </is>
      </c>
      <c r="D1519" t="inlineStr">
        <is>
          <t>IOS Meera</t>
        </is>
      </c>
      <c r="E1519" s="16" t="n">
        <v>0</v>
      </c>
      <c r="F1519" s="16" t="n">
        <v>2000</v>
      </c>
      <c r="G1519" s="17" t="n">
        <v>20</v>
      </c>
      <c r="H1519" s="16" t="n">
        <v>-2000</v>
      </c>
      <c r="I1519" s="16" t="n">
        <v>0</v>
      </c>
    </row>
    <row r="1520">
      <c r="A1520" t="inlineStr">
        <is>
          <t>MTR-IOS-1520</t>
        </is>
      </c>
      <c r="B1520" t="inlineStr">
        <is>
          <t>Flatmates</t>
        </is>
      </c>
      <c r="C1520" t="inlineStr">
        <is>
          <t>EXACT</t>
        </is>
      </c>
      <c r="D1520" t="inlineStr">
        <is>
          <t>IOS Owner</t>
        </is>
      </c>
      <c r="E1520" s="16" t="n">
        <v>0</v>
      </c>
      <c r="F1520" s="16" t="n">
        <v>5825.78</v>
      </c>
      <c r="G1520" s="17" t="n"/>
      <c r="H1520" s="16" t="n">
        <v>-5825.78</v>
      </c>
      <c r="I1520" s="16" t="n">
        <v>0</v>
      </c>
    </row>
    <row r="1521">
      <c r="A1521" t="inlineStr">
        <is>
          <t>MTR-IOS-1520</t>
        </is>
      </c>
      <c r="B1521" t="inlineStr">
        <is>
          <t>Flatmates</t>
        </is>
      </c>
      <c r="C1521" t="inlineStr">
        <is>
          <t>EXACT</t>
        </is>
      </c>
      <c r="D1521" t="inlineStr">
        <is>
          <t>IOS Aarav</t>
        </is>
      </c>
      <c r="E1521" s="16" t="n">
        <v>0</v>
      </c>
      <c r="F1521" s="16" t="n">
        <v>5825.78</v>
      </c>
      <c r="G1521" s="17" t="n"/>
      <c r="H1521" s="16" t="n">
        <v>-5825.78</v>
      </c>
      <c r="I1521" s="16" t="n">
        <v>0</v>
      </c>
    </row>
    <row r="1522">
      <c r="A1522" t="inlineStr">
        <is>
          <t>MTR-IOS-1520</t>
        </is>
      </c>
      <c r="B1522" t="inlineStr">
        <is>
          <t>Flatmates</t>
        </is>
      </c>
      <c r="C1522" t="inlineStr">
        <is>
          <t>EXACT</t>
        </is>
      </c>
      <c r="D1522" t="inlineStr">
        <is>
          <t>IOS Meera</t>
        </is>
      </c>
      <c r="E1522" s="16" t="n">
        <v>17494.83</v>
      </c>
      <c r="F1522" s="16" t="n">
        <v>5843.27</v>
      </c>
      <c r="G1522" s="17" t="n"/>
      <c r="H1522" s="16" t="n">
        <v>11651.56</v>
      </c>
      <c r="I1522" s="16" t="n">
        <v>0</v>
      </c>
    </row>
    <row r="1523">
      <c r="A1523" t="inlineStr">
        <is>
          <t>MTR-IOS-1523</t>
        </is>
      </c>
      <c r="B1523" t="inlineStr">
        <is>
          <t>Flatmates</t>
        </is>
      </c>
      <c r="C1523" t="inlineStr">
        <is>
          <t>SHARES</t>
        </is>
      </c>
      <c r="D1523" t="inlineStr">
        <is>
          <t>IOS Owner</t>
        </is>
      </c>
      <c r="E1523" s="16" t="n">
        <v>6263.2</v>
      </c>
      <c r="F1523" s="16" t="n">
        <v>3131.6</v>
      </c>
      <c r="G1523" s="17" t="n"/>
      <c r="H1523" s="16" t="n">
        <v>3131.6</v>
      </c>
      <c r="I1523" s="16" t="n">
        <v>0</v>
      </c>
    </row>
    <row r="1524">
      <c r="A1524" t="inlineStr">
        <is>
          <t>MTR-IOS-1523</t>
        </is>
      </c>
      <c r="B1524" t="inlineStr">
        <is>
          <t>Flatmates</t>
        </is>
      </c>
      <c r="C1524" t="inlineStr">
        <is>
          <t>SHARES</t>
        </is>
      </c>
      <c r="D1524" t="inlineStr">
        <is>
          <t>IOS Aarav</t>
        </is>
      </c>
      <c r="E1524" s="16" t="n">
        <v>0</v>
      </c>
      <c r="F1524" s="16" t="n">
        <v>2087.73</v>
      </c>
      <c r="G1524" s="17" t="n"/>
      <c r="H1524" s="16" t="n">
        <v>-2087.73</v>
      </c>
      <c r="I1524" s="16" t="n">
        <v>0</v>
      </c>
    </row>
    <row r="1525">
      <c r="A1525" t="inlineStr">
        <is>
          <t>MTR-IOS-1523</t>
        </is>
      </c>
      <c r="B1525" t="inlineStr">
        <is>
          <t>Flatmates</t>
        </is>
      </c>
      <c r="C1525" t="inlineStr">
        <is>
          <t>SHARES</t>
        </is>
      </c>
      <c r="D1525" t="inlineStr">
        <is>
          <t>IOS Meera</t>
        </is>
      </c>
      <c r="E1525" s="16" t="n">
        <v>0</v>
      </c>
      <c r="F1525" s="16" t="n">
        <v>1043.87</v>
      </c>
      <c r="G1525" s="17" t="n"/>
      <c r="H1525" s="16" t="n">
        <v>-1043.87</v>
      </c>
      <c r="I1525" s="16" t="n">
        <v>0</v>
      </c>
    </row>
    <row r="1526">
      <c r="A1526" t="inlineStr">
        <is>
          <t>MTR-IOS-1526</t>
        </is>
      </c>
      <c r="B1526" t="inlineStr">
        <is>
          <t>Flatmates</t>
        </is>
      </c>
      <c r="C1526" t="inlineStr">
        <is>
          <t>EQUAL</t>
        </is>
      </c>
      <c r="D1526" t="inlineStr">
        <is>
          <t>IOS Owner</t>
        </is>
      </c>
      <c r="E1526" s="16" t="n">
        <v>0</v>
      </c>
      <c r="F1526" s="16" t="n">
        <v>1784.26</v>
      </c>
      <c r="G1526" s="17" t="n"/>
      <c r="H1526" s="16" t="n">
        <v>-1784.26</v>
      </c>
      <c r="I1526" s="16" t="n">
        <v>0</v>
      </c>
    </row>
    <row r="1527">
      <c r="A1527" t="inlineStr">
        <is>
          <t>MTR-IOS-1526</t>
        </is>
      </c>
      <c r="B1527" t="inlineStr">
        <is>
          <t>Flatmates</t>
        </is>
      </c>
      <c r="C1527" t="inlineStr">
        <is>
          <t>EQUAL</t>
        </is>
      </c>
      <c r="D1527" t="inlineStr">
        <is>
          <t>IOS Aarav</t>
        </is>
      </c>
      <c r="E1527" s="16" t="n">
        <v>5352.78</v>
      </c>
      <c r="F1527" s="16" t="n">
        <v>1784.26</v>
      </c>
      <c r="G1527" s="17" t="n"/>
      <c r="H1527" s="16" t="n">
        <v>3568.52</v>
      </c>
      <c r="I1527" s="16" t="n">
        <v>0</v>
      </c>
    </row>
    <row r="1528">
      <c r="A1528" t="inlineStr">
        <is>
          <t>MTR-IOS-1526</t>
        </is>
      </c>
      <c r="B1528" t="inlineStr">
        <is>
          <t>Flatmates</t>
        </is>
      </c>
      <c r="C1528" t="inlineStr">
        <is>
          <t>EQUAL</t>
        </is>
      </c>
      <c r="D1528" t="inlineStr">
        <is>
          <t>IOS Meera</t>
        </is>
      </c>
      <c r="E1528" s="16" t="n">
        <v>0</v>
      </c>
      <c r="F1528" s="16" t="n">
        <v>1784.26</v>
      </c>
      <c r="G1528" s="17" t="n"/>
      <c r="H1528" s="16" t="n">
        <v>-1784.26</v>
      </c>
      <c r="I1528" s="16" t="n">
        <v>0</v>
      </c>
    </row>
    <row r="1529">
      <c r="A1529" t="inlineStr">
        <is>
          <t>MTR-IOS-1529</t>
        </is>
      </c>
      <c r="B1529" t="inlineStr">
        <is>
          <t>Shared Living</t>
        </is>
      </c>
      <c r="C1529" t="inlineStr">
        <is>
          <t>PERCENTAGE</t>
        </is>
      </c>
      <c r="D1529" t="inlineStr">
        <is>
          <t>IOS Owner</t>
        </is>
      </c>
      <c r="E1529" s="16" t="n">
        <v>0</v>
      </c>
      <c r="F1529" s="16" t="n">
        <v>10162.57</v>
      </c>
      <c r="G1529" s="17" t="n">
        <v>50</v>
      </c>
      <c r="H1529" s="16" t="n">
        <v>-10162.57</v>
      </c>
      <c r="I1529" s="16" t="n">
        <v>0</v>
      </c>
    </row>
    <row r="1530">
      <c r="A1530" t="inlineStr">
        <is>
          <t>MTR-IOS-1529</t>
        </is>
      </c>
      <c r="B1530" t="inlineStr">
        <is>
          <t>Shared Living</t>
        </is>
      </c>
      <c r="C1530" t="inlineStr">
        <is>
          <t>PERCENTAGE</t>
        </is>
      </c>
      <c r="D1530" t="inlineStr">
        <is>
          <t>IOS Aarav</t>
        </is>
      </c>
      <c r="E1530" s="16" t="n">
        <v>0</v>
      </c>
      <c r="F1530" s="16" t="n">
        <v>6097.54</v>
      </c>
      <c r="G1530" s="17" t="n">
        <v>30</v>
      </c>
      <c r="H1530" s="16" t="n">
        <v>-6097.54</v>
      </c>
      <c r="I1530" s="16" t="n">
        <v>0</v>
      </c>
    </row>
    <row r="1531">
      <c r="A1531" t="inlineStr">
        <is>
          <t>MTR-IOS-1529</t>
        </is>
      </c>
      <c r="B1531" t="inlineStr">
        <is>
          <t>Shared Living</t>
        </is>
      </c>
      <c r="C1531" t="inlineStr">
        <is>
          <t>PERCENTAGE</t>
        </is>
      </c>
      <c r="D1531" t="inlineStr">
        <is>
          <t>IOS Meera</t>
        </is>
      </c>
      <c r="E1531" s="16" t="n">
        <v>20325.13</v>
      </c>
      <c r="F1531" s="16" t="n">
        <v>4065.02</v>
      </c>
      <c r="G1531" s="17" t="n">
        <v>20</v>
      </c>
      <c r="H1531" s="16" t="n">
        <v>16260.11</v>
      </c>
      <c r="I1531" s="16" t="n">
        <v>0</v>
      </c>
    </row>
    <row r="1532">
      <c r="A1532" t="inlineStr">
        <is>
          <t>MTR-IOS-1532</t>
        </is>
      </c>
      <c r="B1532" t="inlineStr">
        <is>
          <t>Shared Living</t>
        </is>
      </c>
      <c r="C1532" t="inlineStr">
        <is>
          <t>EXACT</t>
        </is>
      </c>
      <c r="D1532" t="inlineStr">
        <is>
          <t>IOS Owner</t>
        </is>
      </c>
      <c r="E1532" s="16" t="n">
        <v>26042.82</v>
      </c>
      <c r="F1532" s="16" t="n">
        <v>8672.26</v>
      </c>
      <c r="G1532" s="17" t="n"/>
      <c r="H1532" s="16" t="n">
        <v>17370.56</v>
      </c>
      <c r="I1532" s="16" t="n">
        <v>0</v>
      </c>
    </row>
    <row r="1533">
      <c r="A1533" t="inlineStr">
        <is>
          <t>MTR-IOS-1532</t>
        </is>
      </c>
      <c r="B1533" t="inlineStr">
        <is>
          <t>Shared Living</t>
        </is>
      </c>
      <c r="C1533" t="inlineStr">
        <is>
          <t>EXACT</t>
        </is>
      </c>
      <c r="D1533" t="inlineStr">
        <is>
          <t>IOS Aarav</t>
        </is>
      </c>
      <c r="E1533" s="16" t="n">
        <v>0</v>
      </c>
      <c r="F1533" s="16" t="n">
        <v>8672.26</v>
      </c>
      <c r="G1533" s="17" t="n"/>
      <c r="H1533" s="16" t="n">
        <v>-8672.26</v>
      </c>
      <c r="I1533" s="16" t="n">
        <v>0</v>
      </c>
    </row>
    <row r="1534">
      <c r="A1534" t="inlineStr">
        <is>
          <t>MTR-IOS-1532</t>
        </is>
      </c>
      <c r="B1534" t="inlineStr">
        <is>
          <t>Shared Living</t>
        </is>
      </c>
      <c r="C1534" t="inlineStr">
        <is>
          <t>EXACT</t>
        </is>
      </c>
      <c r="D1534" t="inlineStr">
        <is>
          <t>IOS Meera</t>
        </is>
      </c>
      <c r="E1534" s="16" t="n">
        <v>0</v>
      </c>
      <c r="F1534" s="16" t="n">
        <v>8698.299999999999</v>
      </c>
      <c r="G1534" s="17" t="n"/>
      <c r="H1534" s="16" t="n">
        <v>-8698.299999999999</v>
      </c>
      <c r="I1534" s="16" t="n">
        <v>0</v>
      </c>
    </row>
    <row r="1535">
      <c r="A1535" t="inlineStr">
        <is>
          <t>MTR-IOS-1535</t>
        </is>
      </c>
      <c r="B1535" t="inlineStr">
        <is>
          <t>Shared Living</t>
        </is>
      </c>
      <c r="C1535" t="inlineStr">
        <is>
          <t>SHARES</t>
        </is>
      </c>
      <c r="D1535" t="inlineStr">
        <is>
          <t>IOS Owner</t>
        </is>
      </c>
      <c r="E1535" s="16" t="n">
        <v>0</v>
      </c>
      <c r="F1535" s="16" t="n">
        <v>12386</v>
      </c>
      <c r="G1535" s="17" t="n"/>
      <c r="H1535" s="16" t="n">
        <v>-12386</v>
      </c>
      <c r="I1535" s="16" t="n">
        <v>0</v>
      </c>
    </row>
    <row r="1536">
      <c r="A1536" t="inlineStr">
        <is>
          <t>MTR-IOS-1535</t>
        </is>
      </c>
      <c r="B1536" t="inlineStr">
        <is>
          <t>Shared Living</t>
        </is>
      </c>
      <c r="C1536" t="inlineStr">
        <is>
          <t>SHARES</t>
        </is>
      </c>
      <c r="D1536" t="inlineStr">
        <is>
          <t>IOS Aarav</t>
        </is>
      </c>
      <c r="E1536" s="16" t="n">
        <v>24772</v>
      </c>
      <c r="F1536" s="16" t="n">
        <v>8257.33</v>
      </c>
      <c r="G1536" s="17" t="n"/>
      <c r="H1536" s="16" t="n">
        <v>16514.67</v>
      </c>
      <c r="I1536" s="16" t="n">
        <v>0</v>
      </c>
    </row>
    <row r="1537">
      <c r="A1537" t="inlineStr">
        <is>
          <t>MTR-IOS-1535</t>
        </is>
      </c>
      <c r="B1537" t="inlineStr">
        <is>
          <t>Shared Living</t>
        </is>
      </c>
      <c r="C1537" t="inlineStr">
        <is>
          <t>SHARES</t>
        </is>
      </c>
      <c r="D1537" t="inlineStr">
        <is>
          <t>IOS Meera</t>
        </is>
      </c>
      <c r="E1537" s="16" t="n">
        <v>0</v>
      </c>
      <c r="F1537" s="16" t="n">
        <v>4128.67</v>
      </c>
      <c r="G1537" s="17" t="n"/>
      <c r="H1537" s="16" t="n">
        <v>-4128.67</v>
      </c>
      <c r="I1537" s="16" t="n">
        <v>0</v>
      </c>
    </row>
    <row r="1538">
      <c r="A1538" t="inlineStr">
        <is>
          <t>MTR-IOS-1538</t>
        </is>
      </c>
      <c r="B1538" t="inlineStr">
        <is>
          <t>Shared Living</t>
        </is>
      </c>
      <c r="C1538" t="inlineStr">
        <is>
          <t>EQUAL</t>
        </is>
      </c>
      <c r="D1538" t="inlineStr">
        <is>
          <t>IOS Owner</t>
        </is>
      </c>
      <c r="E1538" s="16" t="n">
        <v>0</v>
      </c>
      <c r="F1538" s="16" t="n">
        <v>1019.52</v>
      </c>
      <c r="G1538" s="17" t="n"/>
      <c r="H1538" s="16" t="n">
        <v>-1019.52</v>
      </c>
      <c r="I1538" s="16" t="n">
        <v>0</v>
      </c>
    </row>
    <row r="1539">
      <c r="A1539" t="inlineStr">
        <is>
          <t>MTR-IOS-1538</t>
        </is>
      </c>
      <c r="B1539" t="inlineStr">
        <is>
          <t>Shared Living</t>
        </is>
      </c>
      <c r="C1539" t="inlineStr">
        <is>
          <t>EQUAL</t>
        </is>
      </c>
      <c r="D1539" t="inlineStr">
        <is>
          <t>IOS Aarav</t>
        </is>
      </c>
      <c r="E1539" s="16" t="n">
        <v>0</v>
      </c>
      <c r="F1539" s="16" t="n">
        <v>1019.52</v>
      </c>
      <c r="G1539" s="17" t="n"/>
      <c r="H1539" s="16" t="n">
        <v>-1019.52</v>
      </c>
      <c r="I1539" s="16" t="n">
        <v>0</v>
      </c>
    </row>
    <row r="1540">
      <c r="A1540" t="inlineStr">
        <is>
          <t>MTR-IOS-1538</t>
        </is>
      </c>
      <c r="B1540" t="inlineStr">
        <is>
          <t>Shared Living</t>
        </is>
      </c>
      <c r="C1540" t="inlineStr">
        <is>
          <t>EQUAL</t>
        </is>
      </c>
      <c r="D1540" t="inlineStr">
        <is>
          <t>IOS Meera</t>
        </is>
      </c>
      <c r="E1540" s="16" t="n">
        <v>3058.56</v>
      </c>
      <c r="F1540" s="16" t="n">
        <v>1019.52</v>
      </c>
      <c r="G1540" s="17" t="n"/>
      <c r="H1540" s="16" t="n">
        <v>2039.04</v>
      </c>
      <c r="I1540" s="16" t="n">
        <v>0</v>
      </c>
    </row>
    <row r="1541">
      <c r="A1541" t="inlineStr">
        <is>
          <t>MTR-IOS-1541</t>
        </is>
      </c>
      <c r="B1541" t="inlineStr">
        <is>
          <t>Shared Living</t>
        </is>
      </c>
      <c r="C1541" t="inlineStr">
        <is>
          <t>PERCENTAGE</t>
        </is>
      </c>
      <c r="D1541" t="inlineStr">
        <is>
          <t>IOS Owner</t>
        </is>
      </c>
      <c r="E1541" s="16" t="n">
        <v>15071.81</v>
      </c>
      <c r="F1541" s="16" t="n">
        <v>7535.91</v>
      </c>
      <c r="G1541" s="17" t="n">
        <v>50</v>
      </c>
      <c r="H1541" s="16" t="n">
        <v>7535.9</v>
      </c>
      <c r="I1541" s="16" t="n">
        <v>0</v>
      </c>
    </row>
    <row r="1542">
      <c r="A1542" t="inlineStr">
        <is>
          <t>MTR-IOS-1541</t>
        </is>
      </c>
      <c r="B1542" t="inlineStr">
        <is>
          <t>Shared Living</t>
        </is>
      </c>
      <c r="C1542" t="inlineStr">
        <is>
          <t>PERCENTAGE</t>
        </is>
      </c>
      <c r="D1542" t="inlineStr">
        <is>
          <t>IOS Aarav</t>
        </is>
      </c>
      <c r="E1542" s="16" t="n">
        <v>0</v>
      </c>
      <c r="F1542" s="16" t="n">
        <v>4521.54</v>
      </c>
      <c r="G1542" s="17" t="n">
        <v>30</v>
      </c>
      <c r="H1542" s="16" t="n">
        <v>-4521.54</v>
      </c>
      <c r="I1542" s="16" t="n">
        <v>0</v>
      </c>
    </row>
    <row r="1543">
      <c r="A1543" t="inlineStr">
        <is>
          <t>MTR-IOS-1541</t>
        </is>
      </c>
      <c r="B1543" t="inlineStr">
        <is>
          <t>Shared Living</t>
        </is>
      </c>
      <c r="C1543" t="inlineStr">
        <is>
          <t>PERCENTAGE</t>
        </is>
      </c>
      <c r="D1543" t="inlineStr">
        <is>
          <t>IOS Meera</t>
        </is>
      </c>
      <c r="E1543" s="16" t="n">
        <v>0</v>
      </c>
      <c r="F1543" s="16" t="n">
        <v>3014.36</v>
      </c>
      <c r="G1543" s="17" t="n">
        <v>20</v>
      </c>
      <c r="H1543" s="16" t="n">
        <v>-3014.36</v>
      </c>
      <c r="I1543" s="16" t="n">
        <v>0</v>
      </c>
    </row>
    <row r="1544">
      <c r="A1544" t="inlineStr">
        <is>
          <t>MTR-IOS-1544</t>
        </is>
      </c>
      <c r="B1544" t="inlineStr">
        <is>
          <t>Family Household</t>
        </is>
      </c>
      <c r="C1544" t="inlineStr">
        <is>
          <t>EXACT</t>
        </is>
      </c>
      <c r="D1544" t="inlineStr">
        <is>
          <t>IOS Owner</t>
        </is>
      </c>
      <c r="E1544" s="16" t="n">
        <v>0</v>
      </c>
      <c r="F1544" s="16" t="n">
        <v>7491.57</v>
      </c>
      <c r="G1544" s="17" t="n"/>
      <c r="H1544" s="16" t="n">
        <v>-7491.57</v>
      </c>
      <c r="I1544" s="16" t="n">
        <v>0</v>
      </c>
    </row>
    <row r="1545">
      <c r="A1545" t="inlineStr">
        <is>
          <t>MTR-IOS-1544</t>
        </is>
      </c>
      <c r="B1545" t="inlineStr">
        <is>
          <t>Family Household</t>
        </is>
      </c>
      <c r="C1545" t="inlineStr">
        <is>
          <t>EXACT</t>
        </is>
      </c>
      <c r="D1545" t="inlineStr">
        <is>
          <t>IOS Aarav</t>
        </is>
      </c>
      <c r="E1545" s="16" t="n">
        <v>22497.21</v>
      </c>
      <c r="F1545" s="16" t="n">
        <v>7491.57</v>
      </c>
      <c r="G1545" s="17" t="n"/>
      <c r="H1545" s="16" t="n">
        <v>15005.64</v>
      </c>
      <c r="I1545" s="16" t="n">
        <v>0</v>
      </c>
    </row>
    <row r="1546">
      <c r="A1546" t="inlineStr">
        <is>
          <t>MTR-IOS-1544</t>
        </is>
      </c>
      <c r="B1546" t="inlineStr">
        <is>
          <t>Family Household</t>
        </is>
      </c>
      <c r="C1546" t="inlineStr">
        <is>
          <t>EXACT</t>
        </is>
      </c>
      <c r="D1546" t="inlineStr">
        <is>
          <t>IOS Meera</t>
        </is>
      </c>
      <c r="E1546" s="16" t="n">
        <v>0</v>
      </c>
      <c r="F1546" s="16" t="n">
        <v>7514.07</v>
      </c>
      <c r="G1546" s="17" t="n"/>
      <c r="H1546" s="16" t="n">
        <v>-7514.07</v>
      </c>
      <c r="I1546" s="16" t="n">
        <v>0</v>
      </c>
    </row>
    <row r="1547">
      <c r="A1547" t="inlineStr">
        <is>
          <t>MTR-IOS-1547</t>
        </is>
      </c>
      <c r="B1547" t="inlineStr">
        <is>
          <t>Family Household</t>
        </is>
      </c>
      <c r="C1547" t="inlineStr">
        <is>
          <t>SHARES</t>
        </is>
      </c>
      <c r="D1547" t="inlineStr">
        <is>
          <t>IOS Owner</t>
        </is>
      </c>
      <c r="E1547" s="16" t="n">
        <v>0</v>
      </c>
      <c r="F1547" s="16" t="n">
        <v>10469.31</v>
      </c>
      <c r="G1547" s="17" t="n"/>
      <c r="H1547" s="16" t="n">
        <v>-10469.31</v>
      </c>
      <c r="I1547" s="16" t="n">
        <v>0</v>
      </c>
    </row>
    <row r="1548">
      <c r="A1548" t="inlineStr">
        <is>
          <t>MTR-IOS-1547</t>
        </is>
      </c>
      <c r="B1548" t="inlineStr">
        <is>
          <t>Family Household</t>
        </is>
      </c>
      <c r="C1548" t="inlineStr">
        <is>
          <t>SHARES</t>
        </is>
      </c>
      <c r="D1548" t="inlineStr">
        <is>
          <t>IOS Aarav</t>
        </is>
      </c>
      <c r="E1548" s="16" t="n">
        <v>0</v>
      </c>
      <c r="F1548" s="16" t="n">
        <v>6979.54</v>
      </c>
      <c r="G1548" s="17" t="n"/>
      <c r="H1548" s="16" t="n">
        <v>-6979.54</v>
      </c>
      <c r="I1548" s="16" t="n">
        <v>0</v>
      </c>
    </row>
    <row r="1549">
      <c r="A1549" t="inlineStr">
        <is>
          <t>MTR-IOS-1547</t>
        </is>
      </c>
      <c r="B1549" t="inlineStr">
        <is>
          <t>Family Household</t>
        </is>
      </c>
      <c r="C1549" t="inlineStr">
        <is>
          <t>SHARES</t>
        </is>
      </c>
      <c r="D1549" t="inlineStr">
        <is>
          <t>IOS Meera</t>
        </is>
      </c>
      <c r="E1549" s="16" t="n">
        <v>20938.62</v>
      </c>
      <c r="F1549" s="16" t="n">
        <v>3489.77</v>
      </c>
      <c r="G1549" s="17" t="n"/>
      <c r="H1549" s="16" t="n">
        <v>17448.85</v>
      </c>
      <c r="I1549" s="16" t="n">
        <v>0</v>
      </c>
    </row>
    <row r="1550">
      <c r="A1550" t="inlineStr">
        <is>
          <t>MTR-IOS-1550</t>
        </is>
      </c>
      <c r="B1550" t="inlineStr">
        <is>
          <t>Family Household</t>
        </is>
      </c>
      <c r="C1550" t="inlineStr">
        <is>
          <t>EQUAL</t>
        </is>
      </c>
      <c r="D1550" t="inlineStr">
        <is>
          <t>IOS Owner</t>
        </is>
      </c>
      <c r="E1550" s="16" t="n">
        <v>22826.99</v>
      </c>
      <c r="F1550" s="16" t="n">
        <v>7609</v>
      </c>
      <c r="G1550" s="17" t="n"/>
      <c r="H1550" s="16" t="n">
        <v>15217.99</v>
      </c>
      <c r="I1550" s="16" t="n">
        <v>0</v>
      </c>
    </row>
    <row r="1551">
      <c r="A1551" t="inlineStr">
        <is>
          <t>MTR-IOS-1550</t>
        </is>
      </c>
      <c r="B1551" t="inlineStr">
        <is>
          <t>Family Household</t>
        </is>
      </c>
      <c r="C1551" t="inlineStr">
        <is>
          <t>EQUAL</t>
        </is>
      </c>
      <c r="D1551" t="inlineStr">
        <is>
          <t>IOS Aarav</t>
        </is>
      </c>
      <c r="E1551" s="16" t="n">
        <v>0</v>
      </c>
      <c r="F1551" s="16" t="n">
        <v>7609</v>
      </c>
      <c r="G1551" s="17" t="n"/>
      <c r="H1551" s="16" t="n">
        <v>-7609</v>
      </c>
      <c r="I1551" s="16" t="n">
        <v>0</v>
      </c>
    </row>
    <row r="1552">
      <c r="A1552" t="inlineStr">
        <is>
          <t>MTR-IOS-1550</t>
        </is>
      </c>
      <c r="B1552" t="inlineStr">
        <is>
          <t>Family Household</t>
        </is>
      </c>
      <c r="C1552" t="inlineStr">
        <is>
          <t>EQUAL</t>
        </is>
      </c>
      <c r="D1552" t="inlineStr">
        <is>
          <t>IOS Meera</t>
        </is>
      </c>
      <c r="E1552" s="16" t="n">
        <v>0</v>
      </c>
      <c r="F1552" s="16" t="n">
        <v>7608.99</v>
      </c>
      <c r="G1552" s="17" t="n"/>
      <c r="H1552" s="16" t="n">
        <v>-7608.99</v>
      </c>
      <c r="I1552" s="16" t="n">
        <v>0</v>
      </c>
    </row>
    <row r="1553">
      <c r="A1553" t="inlineStr">
        <is>
          <t>MTR-IOS-1553</t>
        </is>
      </c>
      <c r="B1553" t="inlineStr">
        <is>
          <t>Family Household</t>
        </is>
      </c>
      <c r="C1553" t="inlineStr">
        <is>
          <t>PERCENTAGE</t>
        </is>
      </c>
      <c r="D1553" t="inlineStr">
        <is>
          <t>IOS Owner</t>
        </is>
      </c>
      <c r="E1553" s="16" t="n">
        <v>0</v>
      </c>
      <c r="F1553" s="16" t="n">
        <v>8120.52</v>
      </c>
      <c r="G1553" s="17" t="n">
        <v>50</v>
      </c>
      <c r="H1553" s="16" t="n">
        <v>-8120.52</v>
      </c>
      <c r="I1553" s="16" t="n">
        <v>0</v>
      </c>
    </row>
    <row r="1554">
      <c r="A1554" t="inlineStr">
        <is>
          <t>MTR-IOS-1553</t>
        </is>
      </c>
      <c r="B1554" t="inlineStr">
        <is>
          <t>Family Household</t>
        </is>
      </c>
      <c r="C1554" t="inlineStr">
        <is>
          <t>PERCENTAGE</t>
        </is>
      </c>
      <c r="D1554" t="inlineStr">
        <is>
          <t>IOS Aarav</t>
        </is>
      </c>
      <c r="E1554" s="16" t="n">
        <v>16241.04</v>
      </c>
      <c r="F1554" s="16" t="n">
        <v>4872.31</v>
      </c>
      <c r="G1554" s="17" t="n">
        <v>30</v>
      </c>
      <c r="H1554" s="16" t="n">
        <v>11368.73</v>
      </c>
      <c r="I1554" s="16" t="n">
        <v>0</v>
      </c>
    </row>
    <row r="1555">
      <c r="A1555" t="inlineStr">
        <is>
          <t>MTR-IOS-1553</t>
        </is>
      </c>
      <c r="B1555" t="inlineStr">
        <is>
          <t>Family Household</t>
        </is>
      </c>
      <c r="C1555" t="inlineStr">
        <is>
          <t>PERCENTAGE</t>
        </is>
      </c>
      <c r="D1555" t="inlineStr">
        <is>
          <t>IOS Meera</t>
        </is>
      </c>
      <c r="E1555" s="16" t="n">
        <v>0</v>
      </c>
      <c r="F1555" s="16" t="n">
        <v>3248.21</v>
      </c>
      <c r="G1555" s="17" t="n">
        <v>20</v>
      </c>
      <c r="H1555" s="16" t="n">
        <v>-3248.21</v>
      </c>
      <c r="I1555" s="16" t="n">
        <v>0</v>
      </c>
    </row>
    <row r="1556">
      <c r="A1556" t="inlineStr">
        <is>
          <t>MTR-IOS-1556</t>
        </is>
      </c>
      <c r="B1556" t="inlineStr">
        <is>
          <t>Family Household</t>
        </is>
      </c>
      <c r="C1556" t="inlineStr">
        <is>
          <t>EXACT</t>
        </is>
      </c>
      <c r="D1556" t="inlineStr">
        <is>
          <t>IOS Owner</t>
        </is>
      </c>
      <c r="E1556" s="16" t="n">
        <v>0</v>
      </c>
      <c r="F1556" s="16" t="n">
        <v>6123.8</v>
      </c>
      <c r="G1556" s="17" t="n"/>
      <c r="H1556" s="16" t="n">
        <v>-6123.8</v>
      </c>
      <c r="I1556" s="16" t="n">
        <v>0</v>
      </c>
    </row>
    <row r="1557">
      <c r="A1557" t="inlineStr">
        <is>
          <t>MTR-IOS-1556</t>
        </is>
      </c>
      <c r="B1557" t="inlineStr">
        <is>
          <t>Family Household</t>
        </is>
      </c>
      <c r="C1557" t="inlineStr">
        <is>
          <t>EXACT</t>
        </is>
      </c>
      <c r="D1557" t="inlineStr">
        <is>
          <t>IOS Aarav</t>
        </is>
      </c>
      <c r="E1557" s="16" t="n">
        <v>0</v>
      </c>
      <c r="F1557" s="16" t="n">
        <v>6123.8</v>
      </c>
      <c r="G1557" s="17" t="n"/>
      <c r="H1557" s="16" t="n">
        <v>-6123.8</v>
      </c>
      <c r="I1557" s="16" t="n">
        <v>0</v>
      </c>
    </row>
    <row r="1558">
      <c r="A1558" t="inlineStr">
        <is>
          <t>MTR-IOS-1556</t>
        </is>
      </c>
      <c r="B1558" t="inlineStr">
        <is>
          <t>Family Household</t>
        </is>
      </c>
      <c r="C1558" t="inlineStr">
        <is>
          <t>EXACT</t>
        </is>
      </c>
      <c r="D1558" t="inlineStr">
        <is>
          <t>IOS Meera</t>
        </is>
      </c>
      <c r="E1558" s="16" t="n">
        <v>18389.78</v>
      </c>
      <c r="F1558" s="16" t="n">
        <v>6142.18</v>
      </c>
      <c r="G1558" s="17" t="n"/>
      <c r="H1558" s="16" t="n">
        <v>12247.6</v>
      </c>
      <c r="I1558" s="16" t="n">
        <v>0</v>
      </c>
    </row>
    <row r="1559">
      <c r="A1559" t="inlineStr">
        <is>
          <t>MTR-IOS-1559</t>
        </is>
      </c>
      <c r="B1559" t="inlineStr">
        <is>
          <t>Family Household</t>
        </is>
      </c>
      <c r="C1559" t="inlineStr">
        <is>
          <t>SHARES</t>
        </is>
      </c>
      <c r="D1559" t="inlineStr">
        <is>
          <t>IOS Owner</t>
        </is>
      </c>
      <c r="E1559" s="16" t="n">
        <v>6056.48</v>
      </c>
      <c r="F1559" s="16" t="n">
        <v>3028.24</v>
      </c>
      <c r="G1559" s="17" t="n"/>
      <c r="H1559" s="16" t="n">
        <v>3028.24</v>
      </c>
      <c r="I1559" s="16" t="n">
        <v>0</v>
      </c>
    </row>
    <row r="1560">
      <c r="A1560" t="inlineStr">
        <is>
          <t>MTR-IOS-1559</t>
        </is>
      </c>
      <c r="B1560" t="inlineStr">
        <is>
          <t>Family Household</t>
        </is>
      </c>
      <c r="C1560" t="inlineStr">
        <is>
          <t>SHARES</t>
        </is>
      </c>
      <c r="D1560" t="inlineStr">
        <is>
          <t>IOS Aarav</t>
        </is>
      </c>
      <c r="E1560" s="16" t="n">
        <v>0</v>
      </c>
      <c r="F1560" s="16" t="n">
        <v>2018.83</v>
      </c>
      <c r="G1560" s="17" t="n"/>
      <c r="H1560" s="16" t="n">
        <v>-2018.83</v>
      </c>
      <c r="I1560" s="16" t="n">
        <v>0</v>
      </c>
    </row>
    <row r="1561">
      <c r="A1561" t="inlineStr">
        <is>
          <t>MTR-IOS-1559</t>
        </is>
      </c>
      <c r="B1561" t="inlineStr">
        <is>
          <t>Family Household</t>
        </is>
      </c>
      <c r="C1561" t="inlineStr">
        <is>
          <t>SHARES</t>
        </is>
      </c>
      <c r="D1561" t="inlineStr">
        <is>
          <t>IOS Meera</t>
        </is>
      </c>
      <c r="E1561" s="16" t="n">
        <v>0</v>
      </c>
      <c r="F1561" s="16" t="n">
        <v>1009.41</v>
      </c>
      <c r="G1561" s="17" t="n"/>
      <c r="H1561" s="16" t="n">
        <v>-1009.41</v>
      </c>
      <c r="I1561" s="16" t="n">
        <v>0</v>
      </c>
    </row>
    <row r="1562">
      <c r="A1562" t="inlineStr">
        <is>
          <t>MTR-IOS-1562</t>
        </is>
      </c>
      <c r="B1562" t="inlineStr">
        <is>
          <t>Custom Living</t>
        </is>
      </c>
      <c r="C1562" t="inlineStr">
        <is>
          <t>EQUAL</t>
        </is>
      </c>
      <c r="D1562" t="inlineStr">
        <is>
          <t>IOS Owner</t>
        </is>
      </c>
      <c r="E1562" s="16" t="n">
        <v>0</v>
      </c>
      <c r="F1562" s="16" t="n">
        <v>6979.5</v>
      </c>
      <c r="G1562" s="17" t="n"/>
      <c r="H1562" s="16" t="n">
        <v>-6979.5</v>
      </c>
      <c r="I1562" s="16" t="n">
        <v>0</v>
      </c>
    </row>
    <row r="1563">
      <c r="A1563" t="inlineStr">
        <is>
          <t>MTR-IOS-1562</t>
        </is>
      </c>
      <c r="B1563" t="inlineStr">
        <is>
          <t>Custom Living</t>
        </is>
      </c>
      <c r="C1563" t="inlineStr">
        <is>
          <t>EQUAL</t>
        </is>
      </c>
      <c r="D1563" t="inlineStr">
        <is>
          <t>IOS Aarav</t>
        </is>
      </c>
      <c r="E1563" s="16" t="n">
        <v>20938.51</v>
      </c>
      <c r="F1563" s="16" t="n">
        <v>6979.5</v>
      </c>
      <c r="G1563" s="17" t="n"/>
      <c r="H1563" s="16" t="n">
        <v>13959.01</v>
      </c>
      <c r="I1563" s="16" t="n">
        <v>0</v>
      </c>
    </row>
    <row r="1564">
      <c r="A1564" t="inlineStr">
        <is>
          <t>MTR-IOS-1562</t>
        </is>
      </c>
      <c r="B1564" t="inlineStr">
        <is>
          <t>Custom Living</t>
        </is>
      </c>
      <c r="C1564" t="inlineStr">
        <is>
          <t>EQUAL</t>
        </is>
      </c>
      <c r="D1564" t="inlineStr">
        <is>
          <t>IOS Meera</t>
        </is>
      </c>
      <c r="E1564" s="16" t="n">
        <v>0</v>
      </c>
      <c r="F1564" s="16" t="n">
        <v>6979.51</v>
      </c>
      <c r="G1564" s="17" t="n"/>
      <c r="H1564" s="16" t="n">
        <v>-6979.51</v>
      </c>
      <c r="I1564" s="16" t="n">
        <v>0</v>
      </c>
    </row>
    <row r="1565">
      <c r="A1565" t="inlineStr">
        <is>
          <t>MTR-IOS-1565</t>
        </is>
      </c>
      <c r="B1565" t="inlineStr">
        <is>
          <t>Custom Living</t>
        </is>
      </c>
      <c r="C1565" t="inlineStr">
        <is>
          <t>PERCENTAGE</t>
        </is>
      </c>
      <c r="D1565" t="inlineStr">
        <is>
          <t>IOS Owner</t>
        </is>
      </c>
      <c r="E1565" s="16" t="n">
        <v>0</v>
      </c>
      <c r="F1565" s="16" t="n">
        <v>3511.57</v>
      </c>
      <c r="G1565" s="17" t="n">
        <v>50</v>
      </c>
      <c r="H1565" s="16" t="n">
        <v>-3511.57</v>
      </c>
      <c r="I1565" s="16" t="n">
        <v>0</v>
      </c>
    </row>
    <row r="1566">
      <c r="A1566" t="inlineStr">
        <is>
          <t>MTR-IOS-1565</t>
        </is>
      </c>
      <c r="B1566" t="inlineStr">
        <is>
          <t>Custom Living</t>
        </is>
      </c>
      <c r="C1566" t="inlineStr">
        <is>
          <t>PERCENTAGE</t>
        </is>
      </c>
      <c r="D1566" t="inlineStr">
        <is>
          <t>IOS Aarav</t>
        </is>
      </c>
      <c r="E1566" s="16" t="n">
        <v>0</v>
      </c>
      <c r="F1566" s="16" t="n">
        <v>2106.94</v>
      </c>
      <c r="G1566" s="17" t="n">
        <v>30</v>
      </c>
      <c r="H1566" s="16" t="n">
        <v>-2106.94</v>
      </c>
      <c r="I1566" s="16" t="n">
        <v>0</v>
      </c>
    </row>
    <row r="1567">
      <c r="A1567" t="inlineStr">
        <is>
          <t>MTR-IOS-1565</t>
        </is>
      </c>
      <c r="B1567" t="inlineStr">
        <is>
          <t>Custom Living</t>
        </is>
      </c>
      <c r="C1567" t="inlineStr">
        <is>
          <t>PERCENTAGE</t>
        </is>
      </c>
      <c r="D1567" t="inlineStr">
        <is>
          <t>IOS Meera</t>
        </is>
      </c>
      <c r="E1567" s="16" t="n">
        <v>7023.14</v>
      </c>
      <c r="F1567" s="16" t="n">
        <v>1404.63</v>
      </c>
      <c r="G1567" s="17" t="n">
        <v>20</v>
      </c>
      <c r="H1567" s="16" t="n">
        <v>5618.51</v>
      </c>
      <c r="I1567" s="16" t="n">
        <v>0</v>
      </c>
    </row>
    <row r="1568">
      <c r="A1568" t="inlineStr">
        <is>
          <t>MTR-IOS-1568</t>
        </is>
      </c>
      <c r="B1568" t="inlineStr">
        <is>
          <t>Trip</t>
        </is>
      </c>
      <c r="C1568" t="inlineStr">
        <is>
          <t>EXACT</t>
        </is>
      </c>
      <c r="D1568" t="inlineStr">
        <is>
          <t>IOS Owner</t>
        </is>
      </c>
      <c r="E1568" s="16" t="n">
        <v>18855.94</v>
      </c>
      <c r="F1568" s="16" t="n">
        <v>6279.03</v>
      </c>
      <c r="G1568" s="17" t="n"/>
      <c r="H1568" s="16" t="n">
        <v>12576.91</v>
      </c>
      <c r="I1568" s="16" t="n">
        <v>0</v>
      </c>
    </row>
    <row r="1569">
      <c r="A1569" t="inlineStr">
        <is>
          <t>MTR-IOS-1568</t>
        </is>
      </c>
      <c r="B1569" t="inlineStr">
        <is>
          <t>Trip</t>
        </is>
      </c>
      <c r="C1569" t="inlineStr">
        <is>
          <t>EXACT</t>
        </is>
      </c>
      <c r="D1569" t="inlineStr">
        <is>
          <t>IOS Aarav</t>
        </is>
      </c>
      <c r="E1569" s="16" t="n">
        <v>0</v>
      </c>
      <c r="F1569" s="16" t="n">
        <v>6279.03</v>
      </c>
      <c r="G1569" s="17" t="n"/>
      <c r="H1569" s="16" t="n">
        <v>-6279.03</v>
      </c>
      <c r="I1569" s="16" t="n">
        <v>0</v>
      </c>
    </row>
    <row r="1570">
      <c r="A1570" t="inlineStr">
        <is>
          <t>MTR-IOS-1568</t>
        </is>
      </c>
      <c r="B1570" t="inlineStr">
        <is>
          <t>Trip</t>
        </is>
      </c>
      <c r="C1570" t="inlineStr">
        <is>
          <t>EXACT</t>
        </is>
      </c>
      <c r="D1570" t="inlineStr">
        <is>
          <t>IOS Meera</t>
        </is>
      </c>
      <c r="E1570" s="16" t="n">
        <v>0</v>
      </c>
      <c r="F1570" s="16" t="n">
        <v>6297.88</v>
      </c>
      <c r="G1570" s="17" t="n"/>
      <c r="H1570" s="16" t="n">
        <v>-6297.88</v>
      </c>
      <c r="I1570" s="16" t="n">
        <v>0</v>
      </c>
    </row>
    <row r="1571">
      <c r="A1571" t="inlineStr">
        <is>
          <t>MTR-IOS-1571</t>
        </is>
      </c>
      <c r="B1571" t="inlineStr">
        <is>
          <t>Trip</t>
        </is>
      </c>
      <c r="C1571" t="inlineStr">
        <is>
          <t>SHARES</t>
        </is>
      </c>
      <c r="D1571" t="inlineStr">
        <is>
          <t>IOS Owner</t>
        </is>
      </c>
      <c r="E1571" s="16" t="n">
        <v>0</v>
      </c>
      <c r="F1571" s="16" t="n">
        <v>11709.59</v>
      </c>
      <c r="G1571" s="17" t="n"/>
      <c r="H1571" s="16" t="n">
        <v>-11709.59</v>
      </c>
      <c r="I1571" s="16" t="n">
        <v>0</v>
      </c>
    </row>
    <row r="1572">
      <c r="A1572" t="inlineStr">
        <is>
          <t>MTR-IOS-1571</t>
        </is>
      </c>
      <c r="B1572" t="inlineStr">
        <is>
          <t>Trip</t>
        </is>
      </c>
      <c r="C1572" t="inlineStr">
        <is>
          <t>SHARES</t>
        </is>
      </c>
      <c r="D1572" t="inlineStr">
        <is>
          <t>IOS Aarav</t>
        </is>
      </c>
      <c r="E1572" s="16" t="n">
        <v>23419.17</v>
      </c>
      <c r="F1572" s="16" t="n">
        <v>7806.39</v>
      </c>
      <c r="G1572" s="17" t="n"/>
      <c r="H1572" s="16" t="n">
        <v>15612.78</v>
      </c>
      <c r="I1572" s="16" t="n">
        <v>0</v>
      </c>
    </row>
    <row r="1573">
      <c r="A1573" t="inlineStr">
        <is>
          <t>MTR-IOS-1571</t>
        </is>
      </c>
      <c r="B1573" t="inlineStr">
        <is>
          <t>Trip</t>
        </is>
      </c>
      <c r="C1573" t="inlineStr">
        <is>
          <t>SHARES</t>
        </is>
      </c>
      <c r="D1573" t="inlineStr">
        <is>
          <t>IOS Meera</t>
        </is>
      </c>
      <c r="E1573" s="16" t="n">
        <v>0</v>
      </c>
      <c r="F1573" s="16" t="n">
        <v>3903.19</v>
      </c>
      <c r="G1573" s="17" t="n"/>
      <c r="H1573" s="16" t="n">
        <v>-3903.19</v>
      </c>
      <c r="I1573" s="16" t="n">
        <v>0</v>
      </c>
    </row>
    <row r="1574">
      <c r="A1574" t="inlineStr">
        <is>
          <t>MTR-IOS-1574</t>
        </is>
      </c>
      <c r="B1574" t="inlineStr">
        <is>
          <t>Trip</t>
        </is>
      </c>
      <c r="C1574" t="inlineStr">
        <is>
          <t>EQUAL</t>
        </is>
      </c>
      <c r="D1574" t="inlineStr">
        <is>
          <t>IOS Owner</t>
        </is>
      </c>
      <c r="E1574" s="16" t="n">
        <v>0</v>
      </c>
      <c r="F1574" s="16" t="n">
        <v>6126.42</v>
      </c>
      <c r="G1574" s="17" t="n"/>
      <c r="H1574" s="16" t="n">
        <v>-6126.42</v>
      </c>
      <c r="I1574" s="16" t="n">
        <v>0</v>
      </c>
    </row>
    <row r="1575">
      <c r="A1575" t="inlineStr">
        <is>
          <t>MTR-IOS-1574</t>
        </is>
      </c>
      <c r="B1575" t="inlineStr">
        <is>
          <t>Trip</t>
        </is>
      </c>
      <c r="C1575" t="inlineStr">
        <is>
          <t>EQUAL</t>
        </is>
      </c>
      <c r="D1575" t="inlineStr">
        <is>
          <t>IOS Aarav</t>
        </is>
      </c>
      <c r="E1575" s="16" t="n">
        <v>0</v>
      </c>
      <c r="F1575" s="16" t="n">
        <v>6126.42</v>
      </c>
      <c r="G1575" s="17" t="n"/>
      <c r="H1575" s="16" t="n">
        <v>-6126.42</v>
      </c>
      <c r="I1575" s="16" t="n">
        <v>0</v>
      </c>
    </row>
    <row r="1576">
      <c r="A1576" t="inlineStr">
        <is>
          <t>MTR-IOS-1574</t>
        </is>
      </c>
      <c r="B1576" t="inlineStr">
        <is>
          <t>Trip</t>
        </is>
      </c>
      <c r="C1576" t="inlineStr">
        <is>
          <t>EQUAL</t>
        </is>
      </c>
      <c r="D1576" t="inlineStr">
        <is>
          <t>IOS Meera</t>
        </is>
      </c>
      <c r="E1576" s="16" t="n">
        <v>18379.27</v>
      </c>
      <c r="F1576" s="16" t="n">
        <v>6126.43</v>
      </c>
      <c r="G1576" s="17" t="n"/>
      <c r="H1576" s="16" t="n">
        <v>12252.84</v>
      </c>
      <c r="I1576" s="16" t="n">
        <v>0</v>
      </c>
    </row>
    <row r="1577">
      <c r="A1577" t="inlineStr">
        <is>
          <t>MTR-IOS-1577</t>
        </is>
      </c>
      <c r="B1577" t="inlineStr">
        <is>
          <t>Trip</t>
        </is>
      </c>
      <c r="C1577" t="inlineStr">
        <is>
          <t>PERCENTAGE</t>
        </is>
      </c>
      <c r="D1577" t="inlineStr">
        <is>
          <t>IOS Owner</t>
        </is>
      </c>
      <c r="E1577" s="16" t="n">
        <v>16331.59</v>
      </c>
      <c r="F1577" s="16" t="n">
        <v>8165.8</v>
      </c>
      <c r="G1577" s="17" t="n">
        <v>50</v>
      </c>
      <c r="H1577" s="16" t="n">
        <v>8165.79</v>
      </c>
      <c r="I1577" s="16" t="n">
        <v>0</v>
      </c>
    </row>
    <row r="1578">
      <c r="A1578" t="inlineStr">
        <is>
          <t>MTR-IOS-1577</t>
        </is>
      </c>
      <c r="B1578" t="inlineStr">
        <is>
          <t>Trip</t>
        </is>
      </c>
      <c r="C1578" t="inlineStr">
        <is>
          <t>PERCENTAGE</t>
        </is>
      </c>
      <c r="D1578" t="inlineStr">
        <is>
          <t>IOS Aarav</t>
        </is>
      </c>
      <c r="E1578" s="16" t="n">
        <v>0</v>
      </c>
      <c r="F1578" s="16" t="n">
        <v>4899.48</v>
      </c>
      <c r="G1578" s="17" t="n">
        <v>30</v>
      </c>
      <c r="H1578" s="16" t="n">
        <v>-4899.48</v>
      </c>
      <c r="I1578" s="16" t="n">
        <v>0</v>
      </c>
    </row>
    <row r="1579">
      <c r="A1579" t="inlineStr">
        <is>
          <t>MTR-IOS-1577</t>
        </is>
      </c>
      <c r="B1579" t="inlineStr">
        <is>
          <t>Trip</t>
        </is>
      </c>
      <c r="C1579" t="inlineStr">
        <is>
          <t>PERCENTAGE</t>
        </is>
      </c>
      <c r="D1579" t="inlineStr">
        <is>
          <t>IOS Meera</t>
        </is>
      </c>
      <c r="E1579" s="16" t="n">
        <v>0</v>
      </c>
      <c r="F1579" s="16" t="n">
        <v>3266.31</v>
      </c>
      <c r="G1579" s="17" t="n">
        <v>20</v>
      </c>
      <c r="H1579" s="16" t="n">
        <v>-3266.31</v>
      </c>
      <c r="I1579" s="16" t="n">
        <v>0</v>
      </c>
    </row>
    <row r="1580">
      <c r="A1580" t="inlineStr">
        <is>
          <t>MTR-IOS-1580</t>
        </is>
      </c>
      <c r="B1580" t="inlineStr">
        <is>
          <t>Trip</t>
        </is>
      </c>
      <c r="C1580" t="inlineStr">
        <is>
          <t>EXACT</t>
        </is>
      </c>
      <c r="D1580" t="inlineStr">
        <is>
          <t>IOS Owner</t>
        </is>
      </c>
      <c r="E1580" s="16" t="n">
        <v>0</v>
      </c>
      <c r="F1580" s="16" t="n">
        <v>816.59</v>
      </c>
      <c r="G1580" s="17" t="n"/>
      <c r="H1580" s="16" t="n">
        <v>-816.59</v>
      </c>
      <c r="I1580" s="16" t="n">
        <v>0</v>
      </c>
    </row>
    <row r="1581">
      <c r="A1581" t="inlineStr">
        <is>
          <t>MTR-IOS-1580</t>
        </is>
      </c>
      <c r="B1581" t="inlineStr">
        <is>
          <t>Trip</t>
        </is>
      </c>
      <c r="C1581" t="inlineStr">
        <is>
          <t>EXACT</t>
        </is>
      </c>
      <c r="D1581" t="inlineStr">
        <is>
          <t>IOS Aarav</t>
        </is>
      </c>
      <c r="E1581" s="16" t="n">
        <v>2452.23</v>
      </c>
      <c r="F1581" s="16" t="n">
        <v>816.59</v>
      </c>
      <c r="G1581" s="17" t="n"/>
      <c r="H1581" s="16" t="n">
        <v>1635.64</v>
      </c>
      <c r="I1581" s="16" t="n">
        <v>0</v>
      </c>
    </row>
    <row r="1582">
      <c r="A1582" t="inlineStr">
        <is>
          <t>MTR-IOS-1580</t>
        </is>
      </c>
      <c r="B1582" t="inlineStr">
        <is>
          <t>Trip</t>
        </is>
      </c>
      <c r="C1582" t="inlineStr">
        <is>
          <t>EXACT</t>
        </is>
      </c>
      <c r="D1582" t="inlineStr">
        <is>
          <t>IOS Meera</t>
        </is>
      </c>
      <c r="E1582" s="16" t="n">
        <v>0</v>
      </c>
      <c r="F1582" s="16" t="n">
        <v>819.05</v>
      </c>
      <c r="G1582" s="17" t="n"/>
      <c r="H1582" s="16" t="n">
        <v>-819.05</v>
      </c>
      <c r="I1582" s="16" t="n">
        <v>0</v>
      </c>
    </row>
    <row r="1583">
      <c r="A1583" t="inlineStr">
        <is>
          <t>MTR-IOS-1583</t>
        </is>
      </c>
      <c r="B1583" t="inlineStr">
        <is>
          <t>Trip</t>
        </is>
      </c>
      <c r="C1583" t="inlineStr">
        <is>
          <t>SHARES</t>
        </is>
      </c>
      <c r="D1583" t="inlineStr">
        <is>
          <t>IOS Owner</t>
        </is>
      </c>
      <c r="E1583" s="16" t="n">
        <v>0</v>
      </c>
      <c r="F1583" s="16" t="n">
        <v>6727.78</v>
      </c>
      <c r="G1583" s="17" t="n"/>
      <c r="H1583" s="16" t="n">
        <v>-6727.78</v>
      </c>
      <c r="I1583" s="16" t="n">
        <v>0</v>
      </c>
    </row>
    <row r="1584">
      <c r="A1584" t="inlineStr">
        <is>
          <t>MTR-IOS-1583</t>
        </is>
      </c>
      <c r="B1584" t="inlineStr">
        <is>
          <t>Trip</t>
        </is>
      </c>
      <c r="C1584" t="inlineStr">
        <is>
          <t>SHARES</t>
        </is>
      </c>
      <c r="D1584" t="inlineStr">
        <is>
          <t>IOS Aarav</t>
        </is>
      </c>
      <c r="E1584" s="16" t="n">
        <v>0</v>
      </c>
      <c r="F1584" s="16" t="n">
        <v>4485.19</v>
      </c>
      <c r="G1584" s="17" t="n"/>
      <c r="H1584" s="16" t="n">
        <v>-4485.19</v>
      </c>
      <c r="I1584" s="16" t="n">
        <v>0</v>
      </c>
    </row>
    <row r="1585">
      <c r="A1585" t="inlineStr">
        <is>
          <t>MTR-IOS-1583</t>
        </is>
      </c>
      <c r="B1585" t="inlineStr">
        <is>
          <t>Trip</t>
        </is>
      </c>
      <c r="C1585" t="inlineStr">
        <is>
          <t>SHARES</t>
        </is>
      </c>
      <c r="D1585" t="inlineStr">
        <is>
          <t>IOS Meera</t>
        </is>
      </c>
      <c r="E1585" s="16" t="n">
        <v>13455.56</v>
      </c>
      <c r="F1585" s="16" t="n">
        <v>2242.59</v>
      </c>
      <c r="G1585" s="17" t="n"/>
      <c r="H1585" s="16" t="n">
        <v>11212.97</v>
      </c>
      <c r="I1585" s="16" t="n">
        <v>0</v>
      </c>
    </row>
    <row r="1586">
      <c r="A1586" t="inlineStr">
        <is>
          <t>MTR-IOS-1586</t>
        </is>
      </c>
      <c r="B1586" t="inlineStr">
        <is>
          <t>Trip</t>
        </is>
      </c>
      <c r="C1586" t="inlineStr">
        <is>
          <t>EQUAL</t>
        </is>
      </c>
      <c r="D1586" t="inlineStr">
        <is>
          <t>IOS Owner</t>
        </is>
      </c>
      <c r="E1586" s="16" t="n">
        <v>21798.18</v>
      </c>
      <c r="F1586" s="16" t="n">
        <v>7266.06</v>
      </c>
      <c r="G1586" s="17" t="n"/>
      <c r="H1586" s="16" t="n">
        <v>14532.12</v>
      </c>
      <c r="I1586" s="16" t="n">
        <v>0</v>
      </c>
    </row>
    <row r="1587">
      <c r="A1587" t="inlineStr">
        <is>
          <t>MTR-IOS-1586</t>
        </is>
      </c>
      <c r="B1587" t="inlineStr">
        <is>
          <t>Trip</t>
        </is>
      </c>
      <c r="C1587" t="inlineStr">
        <is>
          <t>EQUAL</t>
        </is>
      </c>
      <c r="D1587" t="inlineStr">
        <is>
          <t>IOS Aarav</t>
        </is>
      </c>
      <c r="E1587" s="16" t="n">
        <v>0</v>
      </c>
      <c r="F1587" s="16" t="n">
        <v>7266.06</v>
      </c>
      <c r="G1587" s="17" t="n"/>
      <c r="H1587" s="16" t="n">
        <v>-7266.06</v>
      </c>
      <c r="I1587" s="16" t="n">
        <v>0</v>
      </c>
    </row>
    <row r="1588">
      <c r="A1588" t="inlineStr">
        <is>
          <t>MTR-IOS-1586</t>
        </is>
      </c>
      <c r="B1588" t="inlineStr">
        <is>
          <t>Trip</t>
        </is>
      </c>
      <c r="C1588" t="inlineStr">
        <is>
          <t>EQUAL</t>
        </is>
      </c>
      <c r="D1588" t="inlineStr">
        <is>
          <t>IOS Meera</t>
        </is>
      </c>
      <c r="E1588" s="16" t="n">
        <v>0</v>
      </c>
      <c r="F1588" s="16" t="n">
        <v>7266.06</v>
      </c>
      <c r="G1588" s="17" t="n"/>
      <c r="H1588" s="16" t="n">
        <v>-7266.06</v>
      </c>
      <c r="I1588" s="16" t="n">
        <v>0</v>
      </c>
    </row>
    <row r="1589">
      <c r="A1589" t="inlineStr">
        <is>
          <t>MTR-IOS-1589</t>
        </is>
      </c>
      <c r="B1589" t="inlineStr">
        <is>
          <t>Wedding</t>
        </is>
      </c>
      <c r="C1589" t="inlineStr">
        <is>
          <t>PERCENTAGE</t>
        </is>
      </c>
      <c r="D1589" t="inlineStr">
        <is>
          <t>IOS Owner</t>
        </is>
      </c>
      <c r="E1589" s="16" t="n">
        <v>0</v>
      </c>
      <c r="F1589" s="16" t="n">
        <v>2481.28</v>
      </c>
      <c r="G1589" s="17" t="n">
        <v>50</v>
      </c>
      <c r="H1589" s="16" t="n">
        <v>-2481.28</v>
      </c>
      <c r="I1589" s="16" t="n">
        <v>0</v>
      </c>
    </row>
    <row r="1590">
      <c r="A1590" t="inlineStr">
        <is>
          <t>MTR-IOS-1589</t>
        </is>
      </c>
      <c r="B1590" t="inlineStr">
        <is>
          <t>Wedding</t>
        </is>
      </c>
      <c r="C1590" t="inlineStr">
        <is>
          <t>PERCENTAGE</t>
        </is>
      </c>
      <c r="D1590" t="inlineStr">
        <is>
          <t>IOS Aarav</t>
        </is>
      </c>
      <c r="E1590" s="16" t="n">
        <v>4962.56</v>
      </c>
      <c r="F1590" s="16" t="n">
        <v>1488.77</v>
      </c>
      <c r="G1590" s="17" t="n">
        <v>30</v>
      </c>
      <c r="H1590" s="16" t="n">
        <v>3473.79</v>
      </c>
      <c r="I1590" s="16" t="n">
        <v>0</v>
      </c>
    </row>
    <row r="1591">
      <c r="A1591" t="inlineStr">
        <is>
          <t>MTR-IOS-1589</t>
        </is>
      </c>
      <c r="B1591" t="inlineStr">
        <is>
          <t>Wedding</t>
        </is>
      </c>
      <c r="C1591" t="inlineStr">
        <is>
          <t>PERCENTAGE</t>
        </is>
      </c>
      <c r="D1591" t="inlineStr">
        <is>
          <t>IOS Meera</t>
        </is>
      </c>
      <c r="E1591" s="16" t="n">
        <v>0</v>
      </c>
      <c r="F1591" s="16" t="n">
        <v>992.51</v>
      </c>
      <c r="G1591" s="17" t="n">
        <v>20</v>
      </c>
      <c r="H1591" s="16" t="n">
        <v>-992.51</v>
      </c>
      <c r="I1591" s="16" t="n">
        <v>0</v>
      </c>
    </row>
    <row r="1592">
      <c r="A1592" t="inlineStr">
        <is>
          <t>MTR-IOS-1592</t>
        </is>
      </c>
      <c r="B1592" t="inlineStr">
        <is>
          <t>Wedding</t>
        </is>
      </c>
      <c r="C1592" t="inlineStr">
        <is>
          <t>EXACT</t>
        </is>
      </c>
      <c r="D1592" t="inlineStr">
        <is>
          <t>IOS Owner</t>
        </is>
      </c>
      <c r="E1592" s="16" t="n">
        <v>0</v>
      </c>
      <c r="F1592" s="16" t="n">
        <v>7720.66</v>
      </c>
      <c r="G1592" s="17" t="n"/>
      <c r="H1592" s="16" t="n">
        <v>-7720.66</v>
      </c>
      <c r="I1592" s="16" t="n">
        <v>0</v>
      </c>
    </row>
    <row r="1593">
      <c r="A1593" t="inlineStr">
        <is>
          <t>MTR-IOS-1592</t>
        </is>
      </c>
      <c r="B1593" t="inlineStr">
        <is>
          <t>Wedding</t>
        </is>
      </c>
      <c r="C1593" t="inlineStr">
        <is>
          <t>EXACT</t>
        </is>
      </c>
      <c r="D1593" t="inlineStr">
        <is>
          <t>IOS Aarav</t>
        </is>
      </c>
      <c r="E1593" s="16" t="n">
        <v>0</v>
      </c>
      <c r="F1593" s="16" t="n">
        <v>7720.66</v>
      </c>
      <c r="G1593" s="17" t="n"/>
      <c r="H1593" s="16" t="n">
        <v>-7720.66</v>
      </c>
      <c r="I1593" s="16" t="n">
        <v>0</v>
      </c>
    </row>
    <row r="1594">
      <c r="A1594" t="inlineStr">
        <is>
          <t>MTR-IOS-1592</t>
        </is>
      </c>
      <c r="B1594" t="inlineStr">
        <is>
          <t>Wedding</t>
        </is>
      </c>
      <c r="C1594" t="inlineStr">
        <is>
          <t>EXACT</t>
        </is>
      </c>
      <c r="D1594" t="inlineStr">
        <is>
          <t>IOS Meera</t>
        </is>
      </c>
      <c r="E1594" s="16" t="n">
        <v>23185.18</v>
      </c>
      <c r="F1594" s="16" t="n">
        <v>7743.86</v>
      </c>
      <c r="G1594" s="17" t="n"/>
      <c r="H1594" s="16" t="n">
        <v>15441.32</v>
      </c>
      <c r="I1594" s="16" t="n">
        <v>0</v>
      </c>
    </row>
    <row r="1595">
      <c r="A1595" t="inlineStr">
        <is>
          <t>MTR-IOS-1595</t>
        </is>
      </c>
      <c r="B1595" t="inlineStr">
        <is>
          <t>Wedding</t>
        </is>
      </c>
      <c r="C1595" t="inlineStr">
        <is>
          <t>SHARES</t>
        </is>
      </c>
      <c r="D1595" t="inlineStr">
        <is>
          <t>IOS Owner</t>
        </is>
      </c>
      <c r="E1595" s="16" t="n">
        <v>13200.09</v>
      </c>
      <c r="F1595" s="16" t="n">
        <v>6600.05</v>
      </c>
      <c r="G1595" s="17" t="n"/>
      <c r="H1595" s="16" t="n">
        <v>6600.04</v>
      </c>
      <c r="I1595" s="16" t="n">
        <v>0</v>
      </c>
    </row>
    <row r="1596">
      <c r="A1596" t="inlineStr">
        <is>
          <t>MTR-IOS-1595</t>
        </is>
      </c>
      <c r="B1596" t="inlineStr">
        <is>
          <t>Wedding</t>
        </is>
      </c>
      <c r="C1596" t="inlineStr">
        <is>
          <t>SHARES</t>
        </is>
      </c>
      <c r="D1596" t="inlineStr">
        <is>
          <t>IOS Aarav</t>
        </is>
      </c>
      <c r="E1596" s="16" t="n">
        <v>0</v>
      </c>
      <c r="F1596" s="16" t="n">
        <v>4400.03</v>
      </c>
      <c r="G1596" s="17" t="n"/>
      <c r="H1596" s="16" t="n">
        <v>-4400.03</v>
      </c>
      <c r="I1596" s="16" t="n">
        <v>0</v>
      </c>
    </row>
    <row r="1597">
      <c r="A1597" t="inlineStr">
        <is>
          <t>MTR-IOS-1595</t>
        </is>
      </c>
      <c r="B1597" t="inlineStr">
        <is>
          <t>Wedding</t>
        </is>
      </c>
      <c r="C1597" t="inlineStr">
        <is>
          <t>SHARES</t>
        </is>
      </c>
      <c r="D1597" t="inlineStr">
        <is>
          <t>IOS Meera</t>
        </is>
      </c>
      <c r="E1597" s="16" t="n">
        <v>0</v>
      </c>
      <c r="F1597" s="16" t="n">
        <v>2200.01</v>
      </c>
      <c r="G1597" s="17" t="n"/>
      <c r="H1597" s="16" t="n">
        <v>-2200.01</v>
      </c>
      <c r="I1597" s="16" t="n">
        <v>0</v>
      </c>
    </row>
    <row r="1598">
      <c r="A1598" t="inlineStr">
        <is>
          <t>MTR-IOS-1598</t>
        </is>
      </c>
      <c r="B1598" t="inlineStr">
        <is>
          <t>Wedding</t>
        </is>
      </c>
      <c r="C1598" t="inlineStr">
        <is>
          <t>EQUAL</t>
        </is>
      </c>
      <c r="D1598" t="inlineStr">
        <is>
          <t>IOS Owner</t>
        </is>
      </c>
      <c r="E1598" s="16" t="n">
        <v>0</v>
      </c>
      <c r="F1598" s="16" t="n">
        <v>6162.62</v>
      </c>
      <c r="G1598" s="17" t="n"/>
      <c r="H1598" s="16" t="n">
        <v>-6162.62</v>
      </c>
      <c r="I1598" s="16" t="n">
        <v>0</v>
      </c>
    </row>
    <row r="1599">
      <c r="A1599" t="inlineStr">
        <is>
          <t>MTR-IOS-1598</t>
        </is>
      </c>
      <c r="B1599" t="inlineStr">
        <is>
          <t>Wedding</t>
        </is>
      </c>
      <c r="C1599" t="inlineStr">
        <is>
          <t>EQUAL</t>
        </is>
      </c>
      <c r="D1599" t="inlineStr">
        <is>
          <t>IOS Aarav</t>
        </is>
      </c>
      <c r="E1599" s="16" t="n">
        <v>18487.85</v>
      </c>
      <c r="F1599" s="16" t="n">
        <v>6162.62</v>
      </c>
      <c r="G1599" s="17" t="n"/>
      <c r="H1599" s="16" t="n">
        <v>12325.23</v>
      </c>
      <c r="I1599" s="16" t="n">
        <v>0</v>
      </c>
    </row>
    <row r="1600">
      <c r="A1600" t="inlineStr">
        <is>
          <t>MTR-IOS-1598</t>
        </is>
      </c>
      <c r="B1600" t="inlineStr">
        <is>
          <t>Wedding</t>
        </is>
      </c>
      <c r="C1600" t="inlineStr">
        <is>
          <t>EQUAL</t>
        </is>
      </c>
      <c r="D1600" t="inlineStr">
        <is>
          <t>IOS Meera</t>
        </is>
      </c>
      <c r="E1600" s="16" t="n">
        <v>0</v>
      </c>
      <c r="F1600" s="16" t="n">
        <v>6162.61</v>
      </c>
      <c r="G1600" s="17" t="n"/>
      <c r="H1600" s="16" t="n">
        <v>-6162.61</v>
      </c>
      <c r="I1600" s="16" t="n">
        <v>0</v>
      </c>
    </row>
    <row r="1601">
      <c r="A1601" t="inlineStr">
        <is>
          <t>MTR-IOS-1601</t>
        </is>
      </c>
      <c r="B1601" t="inlineStr">
        <is>
          <t>Wedding</t>
        </is>
      </c>
      <c r="C1601" t="inlineStr">
        <is>
          <t>PERCENTAGE</t>
        </is>
      </c>
      <c r="D1601" t="inlineStr">
        <is>
          <t>IOS Owner</t>
        </is>
      </c>
      <c r="E1601" s="16" t="n">
        <v>0</v>
      </c>
      <c r="F1601" s="16" t="n">
        <v>7153.23</v>
      </c>
      <c r="G1601" s="17" t="n">
        <v>50</v>
      </c>
      <c r="H1601" s="16" t="n">
        <v>-7153.23</v>
      </c>
      <c r="I1601" s="16" t="n">
        <v>0</v>
      </c>
    </row>
    <row r="1602">
      <c r="A1602" t="inlineStr">
        <is>
          <t>MTR-IOS-1601</t>
        </is>
      </c>
      <c r="B1602" t="inlineStr">
        <is>
          <t>Wedding</t>
        </is>
      </c>
      <c r="C1602" t="inlineStr">
        <is>
          <t>PERCENTAGE</t>
        </is>
      </c>
      <c r="D1602" t="inlineStr">
        <is>
          <t>IOS Aarav</t>
        </is>
      </c>
      <c r="E1602" s="16" t="n">
        <v>0</v>
      </c>
      <c r="F1602" s="16" t="n">
        <v>4291.94</v>
      </c>
      <c r="G1602" s="17" t="n">
        <v>30</v>
      </c>
      <c r="H1602" s="16" t="n">
        <v>-4291.94</v>
      </c>
      <c r="I1602" s="16" t="n">
        <v>0</v>
      </c>
    </row>
    <row r="1603">
      <c r="A1603" t="inlineStr">
        <is>
          <t>MTR-IOS-1601</t>
        </is>
      </c>
      <c r="B1603" t="inlineStr">
        <is>
          <t>Wedding</t>
        </is>
      </c>
      <c r="C1603" t="inlineStr">
        <is>
          <t>PERCENTAGE</t>
        </is>
      </c>
      <c r="D1603" t="inlineStr">
        <is>
          <t>IOS Meera</t>
        </is>
      </c>
      <c r="E1603" s="16" t="n">
        <v>14306.45</v>
      </c>
      <c r="F1603" s="16" t="n">
        <v>2861.28</v>
      </c>
      <c r="G1603" s="17" t="n">
        <v>20</v>
      </c>
      <c r="H1603" s="16" t="n">
        <v>11445.17</v>
      </c>
      <c r="I1603" s="16" t="n">
        <v>0</v>
      </c>
    </row>
    <row r="1604">
      <c r="A1604" t="inlineStr">
        <is>
          <t>MTR-IOS-1604</t>
        </is>
      </c>
      <c r="B1604" t="inlineStr">
        <is>
          <t>Wedding</t>
        </is>
      </c>
      <c r="C1604" t="inlineStr">
        <is>
          <t>EXACT</t>
        </is>
      </c>
      <c r="D1604" t="inlineStr">
        <is>
          <t>IOS Owner</t>
        </is>
      </c>
      <c r="E1604" s="16" t="n">
        <v>5433.13</v>
      </c>
      <c r="F1604" s="16" t="n">
        <v>1809.23</v>
      </c>
      <c r="G1604" s="17" t="n"/>
      <c r="H1604" s="16" t="n">
        <v>3623.9</v>
      </c>
      <c r="I1604" s="16" t="n">
        <v>0</v>
      </c>
    </row>
    <row r="1605">
      <c r="A1605" t="inlineStr">
        <is>
          <t>MTR-IOS-1604</t>
        </is>
      </c>
      <c r="B1605" t="inlineStr">
        <is>
          <t>Wedding</t>
        </is>
      </c>
      <c r="C1605" t="inlineStr">
        <is>
          <t>EXACT</t>
        </is>
      </c>
      <c r="D1605" t="inlineStr">
        <is>
          <t>IOS Aarav</t>
        </is>
      </c>
      <c r="E1605" s="16" t="n">
        <v>0</v>
      </c>
      <c r="F1605" s="16" t="n">
        <v>1809.23</v>
      </c>
      <c r="G1605" s="17" t="n"/>
      <c r="H1605" s="16" t="n">
        <v>-1809.23</v>
      </c>
      <c r="I1605" s="16" t="n">
        <v>0</v>
      </c>
    </row>
    <row r="1606">
      <c r="A1606" t="inlineStr">
        <is>
          <t>MTR-IOS-1604</t>
        </is>
      </c>
      <c r="B1606" t="inlineStr">
        <is>
          <t>Wedding</t>
        </is>
      </c>
      <c r="C1606" t="inlineStr">
        <is>
          <t>EXACT</t>
        </is>
      </c>
      <c r="D1606" t="inlineStr">
        <is>
          <t>IOS Meera</t>
        </is>
      </c>
      <c r="E1606" s="16" t="n">
        <v>0</v>
      </c>
      <c r="F1606" s="16" t="n">
        <v>1814.67</v>
      </c>
      <c r="G1606" s="17" t="n"/>
      <c r="H1606" s="16" t="n">
        <v>-1814.67</v>
      </c>
      <c r="I1606" s="16" t="n">
        <v>0</v>
      </c>
    </row>
    <row r="1607">
      <c r="A1607" t="inlineStr">
        <is>
          <t>MTR-IOS-1607</t>
        </is>
      </c>
      <c r="B1607" t="inlineStr">
        <is>
          <t>Wedding</t>
        </is>
      </c>
      <c r="C1607" t="inlineStr">
        <is>
          <t>SHARES</t>
        </is>
      </c>
      <c r="D1607" t="inlineStr">
        <is>
          <t>IOS Owner</t>
        </is>
      </c>
      <c r="E1607" s="16" t="n">
        <v>0</v>
      </c>
      <c r="F1607" s="16" t="n">
        <v>5442.36</v>
      </c>
      <c r="G1607" s="17" t="n"/>
      <c r="H1607" s="16" t="n">
        <v>-5442.36</v>
      </c>
      <c r="I1607" s="16" t="n">
        <v>0</v>
      </c>
    </row>
    <row r="1608">
      <c r="A1608" t="inlineStr">
        <is>
          <t>MTR-IOS-1607</t>
        </is>
      </c>
      <c r="B1608" t="inlineStr">
        <is>
          <t>Wedding</t>
        </is>
      </c>
      <c r="C1608" t="inlineStr">
        <is>
          <t>SHARES</t>
        </is>
      </c>
      <c r="D1608" t="inlineStr">
        <is>
          <t>IOS Aarav</t>
        </is>
      </c>
      <c r="E1608" s="16" t="n">
        <v>10884.72</v>
      </c>
      <c r="F1608" s="16" t="n">
        <v>3628.24</v>
      </c>
      <c r="G1608" s="17" t="n"/>
      <c r="H1608" s="16" t="n">
        <v>7256.48</v>
      </c>
      <c r="I1608" s="16" t="n">
        <v>0</v>
      </c>
    </row>
    <row r="1609">
      <c r="A1609" t="inlineStr">
        <is>
          <t>MTR-IOS-1607</t>
        </is>
      </c>
      <c r="B1609" t="inlineStr">
        <is>
          <t>Wedding</t>
        </is>
      </c>
      <c r="C1609" t="inlineStr">
        <is>
          <t>SHARES</t>
        </is>
      </c>
      <c r="D1609" t="inlineStr">
        <is>
          <t>IOS Meera</t>
        </is>
      </c>
      <c r="E1609" s="16" t="n">
        <v>0</v>
      </c>
      <c r="F1609" s="16" t="n">
        <v>1814.12</v>
      </c>
      <c r="G1609" s="17" t="n"/>
      <c r="H1609" s="16" t="n">
        <v>-1814.12</v>
      </c>
      <c r="I1609" s="16" t="n">
        <v>0</v>
      </c>
    </row>
    <row r="1610">
      <c r="A1610" t="inlineStr">
        <is>
          <t>MTR-IOS-1610</t>
        </is>
      </c>
      <c r="B1610" t="inlineStr">
        <is>
          <t>Office Outing</t>
        </is>
      </c>
      <c r="C1610" t="inlineStr">
        <is>
          <t>EQUAL</t>
        </is>
      </c>
      <c r="D1610" t="inlineStr">
        <is>
          <t>IOS Owner</t>
        </is>
      </c>
      <c r="E1610" s="16" t="n">
        <v>0</v>
      </c>
      <c r="F1610" s="16" t="n">
        <v>6814.54</v>
      </c>
      <c r="G1610" s="17" t="n"/>
      <c r="H1610" s="16" t="n">
        <v>-6814.54</v>
      </c>
      <c r="I1610" s="16" t="n">
        <v>0</v>
      </c>
    </row>
    <row r="1611">
      <c r="A1611" t="inlineStr">
        <is>
          <t>MTR-IOS-1610</t>
        </is>
      </c>
      <c r="B1611" t="inlineStr">
        <is>
          <t>Office Outing</t>
        </is>
      </c>
      <c r="C1611" t="inlineStr">
        <is>
          <t>EQUAL</t>
        </is>
      </c>
      <c r="D1611" t="inlineStr">
        <is>
          <t>IOS Aarav</t>
        </is>
      </c>
      <c r="E1611" s="16" t="n">
        <v>0</v>
      </c>
      <c r="F1611" s="16" t="n">
        <v>6814.54</v>
      </c>
      <c r="G1611" s="17" t="n"/>
      <c r="H1611" s="16" t="n">
        <v>-6814.54</v>
      </c>
      <c r="I1611" s="16" t="n">
        <v>0</v>
      </c>
    </row>
    <row r="1612">
      <c r="A1612" t="inlineStr">
        <is>
          <t>MTR-IOS-1610</t>
        </is>
      </c>
      <c r="B1612" t="inlineStr">
        <is>
          <t>Office Outing</t>
        </is>
      </c>
      <c r="C1612" t="inlineStr">
        <is>
          <t>EQUAL</t>
        </is>
      </c>
      <c r="D1612" t="inlineStr">
        <is>
          <t>IOS Meera</t>
        </is>
      </c>
      <c r="E1612" s="16" t="n">
        <v>20443.62</v>
      </c>
      <c r="F1612" s="16" t="n">
        <v>6814.54</v>
      </c>
      <c r="G1612" s="17" t="n"/>
      <c r="H1612" s="16" t="n">
        <v>13629.08</v>
      </c>
      <c r="I1612" s="16" t="n">
        <v>0</v>
      </c>
    </row>
    <row r="1613">
      <c r="A1613" t="inlineStr">
        <is>
          <t>MTR-IOS-1613</t>
        </is>
      </c>
      <c r="B1613" t="inlineStr">
        <is>
          <t>Office Outing</t>
        </is>
      </c>
      <c r="C1613" t="inlineStr">
        <is>
          <t>PERCENTAGE</t>
        </is>
      </c>
      <c r="D1613" t="inlineStr">
        <is>
          <t>IOS Owner</t>
        </is>
      </c>
      <c r="E1613" s="16" t="n">
        <v>21464.89</v>
      </c>
      <c r="F1613" s="16" t="n">
        <v>10732.45</v>
      </c>
      <c r="G1613" s="17" t="n">
        <v>50</v>
      </c>
      <c r="H1613" s="16" t="n">
        <v>10732.44</v>
      </c>
      <c r="I1613" s="16" t="n">
        <v>0</v>
      </c>
    </row>
    <row r="1614">
      <c r="A1614" t="inlineStr">
        <is>
          <t>MTR-IOS-1613</t>
        </is>
      </c>
      <c r="B1614" t="inlineStr">
        <is>
          <t>Office Outing</t>
        </is>
      </c>
      <c r="C1614" t="inlineStr">
        <is>
          <t>PERCENTAGE</t>
        </is>
      </c>
      <c r="D1614" t="inlineStr">
        <is>
          <t>IOS Aarav</t>
        </is>
      </c>
      <c r="E1614" s="16" t="n">
        <v>0</v>
      </c>
      <c r="F1614" s="16" t="n">
        <v>6439.47</v>
      </c>
      <c r="G1614" s="17" t="n">
        <v>30</v>
      </c>
      <c r="H1614" s="16" t="n">
        <v>-6439.47</v>
      </c>
      <c r="I1614" s="16" t="n">
        <v>0</v>
      </c>
    </row>
    <row r="1615">
      <c r="A1615" t="inlineStr">
        <is>
          <t>MTR-IOS-1613</t>
        </is>
      </c>
      <c r="B1615" t="inlineStr">
        <is>
          <t>Office Outing</t>
        </is>
      </c>
      <c r="C1615" t="inlineStr">
        <is>
          <t>PERCENTAGE</t>
        </is>
      </c>
      <c r="D1615" t="inlineStr">
        <is>
          <t>IOS Meera</t>
        </is>
      </c>
      <c r="E1615" s="16" t="n">
        <v>0</v>
      </c>
      <c r="F1615" s="16" t="n">
        <v>4292.97</v>
      </c>
      <c r="G1615" s="17" t="n">
        <v>20</v>
      </c>
      <c r="H1615" s="16" t="n">
        <v>-4292.97</v>
      </c>
      <c r="I1615" s="16" t="n">
        <v>0</v>
      </c>
    </row>
    <row r="1616">
      <c r="A1616" t="inlineStr">
        <is>
          <t>MTR-IOS-1616</t>
        </is>
      </c>
      <c r="B1616" t="inlineStr">
        <is>
          <t>Office Outing</t>
        </is>
      </c>
      <c r="C1616" t="inlineStr">
        <is>
          <t>EXACT</t>
        </is>
      </c>
      <c r="D1616" t="inlineStr">
        <is>
          <t>IOS Owner</t>
        </is>
      </c>
      <c r="E1616" s="16" t="n">
        <v>0</v>
      </c>
      <c r="F1616" s="16" t="n">
        <v>7433.11</v>
      </c>
      <c r="G1616" s="17" t="n"/>
      <c r="H1616" s="16" t="n">
        <v>-7433.11</v>
      </c>
      <c r="I1616" s="16" t="n">
        <v>0</v>
      </c>
    </row>
    <row r="1617">
      <c r="A1617" t="inlineStr">
        <is>
          <t>MTR-IOS-1616</t>
        </is>
      </c>
      <c r="B1617" t="inlineStr">
        <is>
          <t>Office Outing</t>
        </is>
      </c>
      <c r="C1617" t="inlineStr">
        <is>
          <t>EXACT</t>
        </is>
      </c>
      <c r="D1617" t="inlineStr">
        <is>
          <t>IOS Aarav</t>
        </is>
      </c>
      <c r="E1617" s="16" t="n">
        <v>22321.64</v>
      </c>
      <c r="F1617" s="16" t="n">
        <v>7433.11</v>
      </c>
      <c r="G1617" s="17" t="n"/>
      <c r="H1617" s="16" t="n">
        <v>14888.53</v>
      </c>
      <c r="I1617" s="16" t="n">
        <v>0</v>
      </c>
    </row>
    <row r="1618">
      <c r="A1618" t="inlineStr">
        <is>
          <t>MTR-IOS-1616</t>
        </is>
      </c>
      <c r="B1618" t="inlineStr">
        <is>
          <t>Office Outing</t>
        </is>
      </c>
      <c r="C1618" t="inlineStr">
        <is>
          <t>EXACT</t>
        </is>
      </c>
      <c r="D1618" t="inlineStr">
        <is>
          <t>IOS Meera</t>
        </is>
      </c>
      <c r="E1618" s="16" t="n">
        <v>0</v>
      </c>
      <c r="F1618" s="16" t="n">
        <v>7455.42</v>
      </c>
      <c r="G1618" s="17" t="n"/>
      <c r="H1618" s="16" t="n">
        <v>-7455.42</v>
      </c>
      <c r="I1618" s="16" t="n">
        <v>0</v>
      </c>
    </row>
    <row r="1619">
      <c r="A1619" t="inlineStr">
        <is>
          <t>MTR-IOS-1619</t>
        </is>
      </c>
      <c r="B1619" t="inlineStr">
        <is>
          <t>Office Outing</t>
        </is>
      </c>
      <c r="C1619" t="inlineStr">
        <is>
          <t>SHARES</t>
        </is>
      </c>
      <c r="D1619" t="inlineStr">
        <is>
          <t>IOS Owner</t>
        </is>
      </c>
      <c r="E1619" s="16" t="n">
        <v>0</v>
      </c>
      <c r="F1619" s="16" t="n">
        <v>12953.08</v>
      </c>
      <c r="G1619" s="17" t="n"/>
      <c r="H1619" s="16" t="n">
        <v>-12953.08</v>
      </c>
      <c r="I1619" s="16" t="n">
        <v>0</v>
      </c>
    </row>
    <row r="1620">
      <c r="A1620" t="inlineStr">
        <is>
          <t>MTR-IOS-1619</t>
        </is>
      </c>
      <c r="B1620" t="inlineStr">
        <is>
          <t>Office Outing</t>
        </is>
      </c>
      <c r="C1620" t="inlineStr">
        <is>
          <t>SHARES</t>
        </is>
      </c>
      <c r="D1620" t="inlineStr">
        <is>
          <t>IOS Aarav</t>
        </is>
      </c>
      <c r="E1620" s="16" t="n">
        <v>0</v>
      </c>
      <c r="F1620" s="16" t="n">
        <v>8635.389999999999</v>
      </c>
      <c r="G1620" s="17" t="n"/>
      <c r="H1620" s="16" t="n">
        <v>-8635.389999999999</v>
      </c>
      <c r="I1620" s="16" t="n">
        <v>0</v>
      </c>
    </row>
    <row r="1621">
      <c r="A1621" t="inlineStr">
        <is>
          <t>MTR-IOS-1619</t>
        </is>
      </c>
      <c r="B1621" t="inlineStr">
        <is>
          <t>Office Outing</t>
        </is>
      </c>
      <c r="C1621" t="inlineStr">
        <is>
          <t>SHARES</t>
        </is>
      </c>
      <c r="D1621" t="inlineStr">
        <is>
          <t>IOS Meera</t>
        </is>
      </c>
      <c r="E1621" s="16" t="n">
        <v>25906.16</v>
      </c>
      <c r="F1621" s="16" t="n">
        <v>4317.69</v>
      </c>
      <c r="G1621" s="17" t="n"/>
      <c r="H1621" s="16" t="n">
        <v>21588.47</v>
      </c>
      <c r="I1621" s="16" t="n">
        <v>0</v>
      </c>
    </row>
    <row r="1622">
      <c r="A1622" t="inlineStr">
        <is>
          <t>MTR-IOS-1622</t>
        </is>
      </c>
      <c r="B1622" t="inlineStr">
        <is>
          <t>Office Outing</t>
        </is>
      </c>
      <c r="C1622" t="inlineStr">
        <is>
          <t>EQUAL</t>
        </is>
      </c>
      <c r="D1622" t="inlineStr">
        <is>
          <t>IOS Owner</t>
        </is>
      </c>
      <c r="E1622" s="16" t="n">
        <v>22398.34</v>
      </c>
      <c r="F1622" s="16" t="n">
        <v>7466.11</v>
      </c>
      <c r="G1622" s="17" t="n"/>
      <c r="H1622" s="16" t="n">
        <v>14932.23</v>
      </c>
      <c r="I1622" s="16" t="n">
        <v>0</v>
      </c>
    </row>
    <row r="1623">
      <c r="A1623" t="inlineStr">
        <is>
          <t>MTR-IOS-1622</t>
        </is>
      </c>
      <c r="B1623" t="inlineStr">
        <is>
          <t>Office Outing</t>
        </is>
      </c>
      <c r="C1623" t="inlineStr">
        <is>
          <t>EQUAL</t>
        </is>
      </c>
      <c r="D1623" t="inlineStr">
        <is>
          <t>IOS Aarav</t>
        </is>
      </c>
      <c r="E1623" s="16" t="n">
        <v>0</v>
      </c>
      <c r="F1623" s="16" t="n">
        <v>7466.11</v>
      </c>
      <c r="G1623" s="17" t="n"/>
      <c r="H1623" s="16" t="n">
        <v>-7466.11</v>
      </c>
      <c r="I1623" s="16" t="n">
        <v>0</v>
      </c>
    </row>
    <row r="1624">
      <c r="A1624" t="inlineStr">
        <is>
          <t>MTR-IOS-1622</t>
        </is>
      </c>
      <c r="B1624" t="inlineStr">
        <is>
          <t>Office Outing</t>
        </is>
      </c>
      <c r="C1624" t="inlineStr">
        <is>
          <t>EQUAL</t>
        </is>
      </c>
      <c r="D1624" t="inlineStr">
        <is>
          <t>IOS Meera</t>
        </is>
      </c>
      <c r="E1624" s="16" t="n">
        <v>0</v>
      </c>
      <c r="F1624" s="16" t="n">
        <v>7466.12</v>
      </c>
      <c r="G1624" s="17" t="n"/>
      <c r="H1624" s="16" t="n">
        <v>-7466.12</v>
      </c>
      <c r="I1624" s="16" t="n">
        <v>0</v>
      </c>
    </row>
    <row r="1625">
      <c r="A1625" t="inlineStr">
        <is>
          <t>MTR-IOS-1625</t>
        </is>
      </c>
      <c r="B1625" t="inlineStr">
        <is>
          <t>House Party</t>
        </is>
      </c>
      <c r="C1625" t="inlineStr">
        <is>
          <t>PERCENTAGE</t>
        </is>
      </c>
      <c r="D1625" t="inlineStr">
        <is>
          <t>IOS Owner</t>
        </is>
      </c>
      <c r="E1625" s="16" t="n">
        <v>0</v>
      </c>
      <c r="F1625" s="16" t="n">
        <v>6519.94</v>
      </c>
      <c r="G1625" s="17" t="n">
        <v>50</v>
      </c>
      <c r="H1625" s="16" t="n">
        <v>-6519.94</v>
      </c>
      <c r="I1625" s="16" t="n">
        <v>0</v>
      </c>
    </row>
    <row r="1626">
      <c r="A1626" t="inlineStr">
        <is>
          <t>MTR-IOS-1625</t>
        </is>
      </c>
      <c r="B1626" t="inlineStr">
        <is>
          <t>House Party</t>
        </is>
      </c>
      <c r="C1626" t="inlineStr">
        <is>
          <t>PERCENTAGE</t>
        </is>
      </c>
      <c r="D1626" t="inlineStr">
        <is>
          <t>IOS Aarav</t>
        </is>
      </c>
      <c r="E1626" s="16" t="n">
        <v>13039.88</v>
      </c>
      <c r="F1626" s="16" t="n">
        <v>3911.96</v>
      </c>
      <c r="G1626" s="17" t="n">
        <v>30</v>
      </c>
      <c r="H1626" s="16" t="n">
        <v>9127.92</v>
      </c>
      <c r="I1626" s="16" t="n">
        <v>0</v>
      </c>
    </row>
    <row r="1627">
      <c r="A1627" t="inlineStr">
        <is>
          <t>MTR-IOS-1625</t>
        </is>
      </c>
      <c r="B1627" t="inlineStr">
        <is>
          <t>House Party</t>
        </is>
      </c>
      <c r="C1627" t="inlineStr">
        <is>
          <t>PERCENTAGE</t>
        </is>
      </c>
      <c r="D1627" t="inlineStr">
        <is>
          <t>IOS Meera</t>
        </is>
      </c>
      <c r="E1627" s="16" t="n">
        <v>0</v>
      </c>
      <c r="F1627" s="16" t="n">
        <v>2607.98</v>
      </c>
      <c r="G1627" s="17" t="n">
        <v>20</v>
      </c>
      <c r="H1627" s="16" t="n">
        <v>-2607.98</v>
      </c>
      <c r="I1627" s="16" t="n">
        <v>0</v>
      </c>
    </row>
    <row r="1628">
      <c r="A1628" t="inlineStr">
        <is>
          <t>MTR-IOS-1628</t>
        </is>
      </c>
      <c r="B1628" t="inlineStr">
        <is>
          <t>House Party</t>
        </is>
      </c>
      <c r="C1628" t="inlineStr">
        <is>
          <t>EXACT</t>
        </is>
      </c>
      <c r="D1628" t="inlineStr">
        <is>
          <t>IOS Owner</t>
        </is>
      </c>
      <c r="E1628" s="16" t="n">
        <v>0</v>
      </c>
      <c r="F1628" s="16" t="n">
        <v>33.3</v>
      </c>
      <c r="G1628" s="17" t="n"/>
      <c r="H1628" s="16" t="n">
        <v>-33.3</v>
      </c>
      <c r="I1628" s="16" t="n">
        <v>0</v>
      </c>
    </row>
    <row r="1629">
      <c r="A1629" t="inlineStr">
        <is>
          <t>MTR-IOS-1628</t>
        </is>
      </c>
      <c r="B1629" t="inlineStr">
        <is>
          <t>House Party</t>
        </is>
      </c>
      <c r="C1629" t="inlineStr">
        <is>
          <t>EXACT</t>
        </is>
      </c>
      <c r="D1629" t="inlineStr">
        <is>
          <t>IOS Aarav</t>
        </is>
      </c>
      <c r="E1629" s="16" t="n">
        <v>0</v>
      </c>
      <c r="F1629" s="16" t="n">
        <v>33.3</v>
      </c>
      <c r="G1629" s="17" t="n"/>
      <c r="H1629" s="16" t="n">
        <v>-33.3</v>
      </c>
      <c r="I1629" s="16" t="n">
        <v>0</v>
      </c>
    </row>
    <row r="1630">
      <c r="A1630" t="inlineStr">
        <is>
          <t>MTR-IOS-1628</t>
        </is>
      </c>
      <c r="B1630" t="inlineStr">
        <is>
          <t>House Party</t>
        </is>
      </c>
      <c r="C1630" t="inlineStr">
        <is>
          <t>EXACT</t>
        </is>
      </c>
      <c r="D1630" t="inlineStr">
        <is>
          <t>IOS Meera</t>
        </is>
      </c>
      <c r="E1630" s="16" t="n">
        <v>99.98999999999999</v>
      </c>
      <c r="F1630" s="16" t="n">
        <v>33.39</v>
      </c>
      <c r="G1630" s="17" t="n"/>
      <c r="H1630" s="16" t="n">
        <v>66.59999999999999</v>
      </c>
      <c r="I1630" s="16" t="n">
        <v>0</v>
      </c>
    </row>
    <row r="1631">
      <c r="A1631" t="inlineStr">
        <is>
          <t>MTR-IOS-1631</t>
        </is>
      </c>
      <c r="B1631" t="inlineStr">
        <is>
          <t>House Party</t>
        </is>
      </c>
      <c r="C1631" t="inlineStr">
        <is>
          <t>SHARES</t>
        </is>
      </c>
      <c r="D1631" t="inlineStr">
        <is>
          <t>IOS Owner</t>
        </is>
      </c>
      <c r="E1631" s="16" t="n">
        <v>24086.98</v>
      </c>
      <c r="F1631" s="16" t="n">
        <v>12043.49</v>
      </c>
      <c r="G1631" s="17" t="n"/>
      <c r="H1631" s="16" t="n">
        <v>12043.49</v>
      </c>
      <c r="I1631" s="16" t="n">
        <v>0</v>
      </c>
    </row>
    <row r="1632">
      <c r="A1632" t="inlineStr">
        <is>
          <t>MTR-IOS-1631</t>
        </is>
      </c>
      <c r="B1632" t="inlineStr">
        <is>
          <t>House Party</t>
        </is>
      </c>
      <c r="C1632" t="inlineStr">
        <is>
          <t>SHARES</t>
        </is>
      </c>
      <c r="D1632" t="inlineStr">
        <is>
          <t>IOS Aarav</t>
        </is>
      </c>
      <c r="E1632" s="16" t="n">
        <v>0</v>
      </c>
      <c r="F1632" s="16" t="n">
        <v>8028.99</v>
      </c>
      <c r="G1632" s="17" t="n"/>
      <c r="H1632" s="16" t="n">
        <v>-8028.99</v>
      </c>
      <c r="I1632" s="16" t="n">
        <v>0</v>
      </c>
    </row>
    <row r="1633">
      <c r="A1633" t="inlineStr">
        <is>
          <t>MTR-IOS-1631</t>
        </is>
      </c>
      <c r="B1633" t="inlineStr">
        <is>
          <t>House Party</t>
        </is>
      </c>
      <c r="C1633" t="inlineStr">
        <is>
          <t>SHARES</t>
        </is>
      </c>
      <c r="D1633" t="inlineStr">
        <is>
          <t>IOS Meera</t>
        </is>
      </c>
      <c r="E1633" s="16" t="n">
        <v>0</v>
      </c>
      <c r="F1633" s="16" t="n">
        <v>4014.5</v>
      </c>
      <c r="G1633" s="17" t="n"/>
      <c r="H1633" s="16" t="n">
        <v>-4014.5</v>
      </c>
      <c r="I1633" s="16" t="n">
        <v>0</v>
      </c>
    </row>
    <row r="1634">
      <c r="A1634" t="inlineStr">
        <is>
          <t>MTR-IOS-1634</t>
        </is>
      </c>
      <c r="B1634" t="inlineStr">
        <is>
          <t>House Party</t>
        </is>
      </c>
      <c r="C1634" t="inlineStr">
        <is>
          <t>EQUAL</t>
        </is>
      </c>
      <c r="D1634" t="inlineStr">
        <is>
          <t>IOS Owner</t>
        </is>
      </c>
      <c r="E1634" s="16" t="n">
        <v>0</v>
      </c>
      <c r="F1634" s="16" t="n">
        <v>6930.39</v>
      </c>
      <c r="G1634" s="17" t="n"/>
      <c r="H1634" s="16" t="n">
        <v>-6930.39</v>
      </c>
      <c r="I1634" s="16" t="n">
        <v>0</v>
      </c>
    </row>
    <row r="1635">
      <c r="A1635" t="inlineStr">
        <is>
          <t>MTR-IOS-1634</t>
        </is>
      </c>
      <c r="B1635" t="inlineStr">
        <is>
          <t>House Party</t>
        </is>
      </c>
      <c r="C1635" t="inlineStr">
        <is>
          <t>EQUAL</t>
        </is>
      </c>
      <c r="D1635" t="inlineStr">
        <is>
          <t>IOS Aarav</t>
        </is>
      </c>
      <c r="E1635" s="16" t="n">
        <v>20791.16</v>
      </c>
      <c r="F1635" s="16" t="n">
        <v>6930.39</v>
      </c>
      <c r="G1635" s="17" t="n"/>
      <c r="H1635" s="16" t="n">
        <v>13860.77</v>
      </c>
      <c r="I1635" s="16" t="n">
        <v>0</v>
      </c>
    </row>
    <row r="1636">
      <c r="A1636" t="inlineStr">
        <is>
          <t>MTR-IOS-1634</t>
        </is>
      </c>
      <c r="B1636" t="inlineStr">
        <is>
          <t>House Party</t>
        </is>
      </c>
      <c r="C1636" t="inlineStr">
        <is>
          <t>EQUAL</t>
        </is>
      </c>
      <c r="D1636" t="inlineStr">
        <is>
          <t>IOS Meera</t>
        </is>
      </c>
      <c r="E1636" s="16" t="n">
        <v>0</v>
      </c>
      <c r="F1636" s="16" t="n">
        <v>6930.38</v>
      </c>
      <c r="G1636" s="17" t="n"/>
      <c r="H1636" s="16" t="n">
        <v>-6930.38</v>
      </c>
      <c r="I1636" s="16" t="n">
        <v>0</v>
      </c>
    </row>
    <row r="1637">
      <c r="A1637" t="inlineStr">
        <is>
          <t>MTR-IOS-1637</t>
        </is>
      </c>
      <c r="B1637" t="inlineStr">
        <is>
          <t>House Party</t>
        </is>
      </c>
      <c r="C1637" t="inlineStr">
        <is>
          <t>PERCENTAGE</t>
        </is>
      </c>
      <c r="D1637" t="inlineStr">
        <is>
          <t>IOS Owner</t>
        </is>
      </c>
      <c r="E1637" s="16" t="n">
        <v>0</v>
      </c>
      <c r="F1637" s="16" t="n">
        <v>8142.03</v>
      </c>
      <c r="G1637" s="17" t="n">
        <v>50</v>
      </c>
      <c r="H1637" s="16" t="n">
        <v>-8142.03</v>
      </c>
      <c r="I1637" s="16" t="n">
        <v>0</v>
      </c>
    </row>
    <row r="1638">
      <c r="A1638" t="inlineStr">
        <is>
          <t>MTR-IOS-1637</t>
        </is>
      </c>
      <c r="B1638" t="inlineStr">
        <is>
          <t>House Party</t>
        </is>
      </c>
      <c r="C1638" t="inlineStr">
        <is>
          <t>PERCENTAGE</t>
        </is>
      </c>
      <c r="D1638" t="inlineStr">
        <is>
          <t>IOS Aarav</t>
        </is>
      </c>
      <c r="E1638" s="16" t="n">
        <v>0</v>
      </c>
      <c r="F1638" s="16" t="n">
        <v>4885.22</v>
      </c>
      <c r="G1638" s="17" t="n">
        <v>30</v>
      </c>
      <c r="H1638" s="16" t="n">
        <v>-4885.22</v>
      </c>
      <c r="I1638" s="16" t="n">
        <v>0</v>
      </c>
    </row>
    <row r="1639">
      <c r="A1639" t="inlineStr">
        <is>
          <t>MTR-IOS-1637</t>
        </is>
      </c>
      <c r="B1639" t="inlineStr">
        <is>
          <t>House Party</t>
        </is>
      </c>
      <c r="C1639" t="inlineStr">
        <is>
          <t>PERCENTAGE</t>
        </is>
      </c>
      <c r="D1639" t="inlineStr">
        <is>
          <t>IOS Meera</t>
        </is>
      </c>
      <c r="E1639" s="16" t="n">
        <v>16284.05</v>
      </c>
      <c r="F1639" s="16" t="n">
        <v>3256.8</v>
      </c>
      <c r="G1639" s="17" t="n">
        <v>20</v>
      </c>
      <c r="H1639" s="16" t="n">
        <v>13027.25</v>
      </c>
      <c r="I1639" s="16" t="n">
        <v>0</v>
      </c>
    </row>
    <row r="1640">
      <c r="A1640" t="inlineStr">
        <is>
          <t>MTR-IOS-1640</t>
        </is>
      </c>
      <c r="B1640" t="inlineStr">
        <is>
          <t>Gift Pool</t>
        </is>
      </c>
      <c r="C1640" t="inlineStr">
        <is>
          <t>EXACT</t>
        </is>
      </c>
      <c r="D1640" t="inlineStr">
        <is>
          <t>IOS Owner</t>
        </is>
      </c>
      <c r="E1640" s="16" t="n">
        <v>19280.27</v>
      </c>
      <c r="F1640" s="16" t="n">
        <v>6420.33</v>
      </c>
      <c r="G1640" s="17" t="n"/>
      <c r="H1640" s="16" t="n">
        <v>12859.94</v>
      </c>
      <c r="I1640" s="16" t="n">
        <v>0</v>
      </c>
    </row>
    <row r="1641">
      <c r="A1641" t="inlineStr">
        <is>
          <t>MTR-IOS-1640</t>
        </is>
      </c>
      <c r="B1641" t="inlineStr">
        <is>
          <t>Gift Pool</t>
        </is>
      </c>
      <c r="C1641" t="inlineStr">
        <is>
          <t>EXACT</t>
        </is>
      </c>
      <c r="D1641" t="inlineStr">
        <is>
          <t>IOS Aarav</t>
        </is>
      </c>
      <c r="E1641" s="16" t="n">
        <v>0</v>
      </c>
      <c r="F1641" s="16" t="n">
        <v>6420.33</v>
      </c>
      <c r="G1641" s="17" t="n"/>
      <c r="H1641" s="16" t="n">
        <v>-6420.33</v>
      </c>
      <c r="I1641" s="16" t="n">
        <v>0</v>
      </c>
    </row>
    <row r="1642">
      <c r="A1642" t="inlineStr">
        <is>
          <t>MTR-IOS-1640</t>
        </is>
      </c>
      <c r="B1642" t="inlineStr">
        <is>
          <t>Gift Pool</t>
        </is>
      </c>
      <c r="C1642" t="inlineStr">
        <is>
          <t>EXACT</t>
        </is>
      </c>
      <c r="D1642" t="inlineStr">
        <is>
          <t>IOS Meera</t>
        </is>
      </c>
      <c r="E1642" s="16" t="n">
        <v>0</v>
      </c>
      <c r="F1642" s="16" t="n">
        <v>6439.61</v>
      </c>
      <c r="G1642" s="17" t="n"/>
      <c r="H1642" s="16" t="n">
        <v>-6439.61</v>
      </c>
      <c r="I1642" s="16" t="n">
        <v>0</v>
      </c>
    </row>
    <row r="1643">
      <c r="A1643" t="inlineStr">
        <is>
          <t>MTR-IOS-1643</t>
        </is>
      </c>
      <c r="B1643" t="inlineStr">
        <is>
          <t>Gift Pool</t>
        </is>
      </c>
      <c r="C1643" t="inlineStr">
        <is>
          <t>SHARES</t>
        </is>
      </c>
      <c r="D1643" t="inlineStr">
        <is>
          <t>IOS Owner</t>
        </is>
      </c>
      <c r="E1643" s="16" t="n">
        <v>0</v>
      </c>
      <c r="F1643" s="16" t="n">
        <v>532.8200000000001</v>
      </c>
      <c r="G1643" s="17" t="n"/>
      <c r="H1643" s="16" t="n">
        <v>-532.8200000000001</v>
      </c>
      <c r="I1643" s="16" t="n">
        <v>0</v>
      </c>
    </row>
    <row r="1644">
      <c r="A1644" t="inlineStr">
        <is>
          <t>MTR-IOS-1643</t>
        </is>
      </c>
      <c r="B1644" t="inlineStr">
        <is>
          <t>Gift Pool</t>
        </is>
      </c>
      <c r="C1644" t="inlineStr">
        <is>
          <t>SHARES</t>
        </is>
      </c>
      <c r="D1644" t="inlineStr">
        <is>
          <t>IOS Aarav</t>
        </is>
      </c>
      <c r="E1644" s="16" t="n">
        <v>1065.63</v>
      </c>
      <c r="F1644" s="16" t="n">
        <v>355.21</v>
      </c>
      <c r="G1644" s="17" t="n"/>
      <c r="H1644" s="16" t="n">
        <v>710.42</v>
      </c>
      <c r="I1644" s="16" t="n">
        <v>0</v>
      </c>
    </row>
    <row r="1645">
      <c r="A1645" t="inlineStr">
        <is>
          <t>MTR-IOS-1643</t>
        </is>
      </c>
      <c r="B1645" t="inlineStr">
        <is>
          <t>Gift Pool</t>
        </is>
      </c>
      <c r="C1645" t="inlineStr">
        <is>
          <t>SHARES</t>
        </is>
      </c>
      <c r="D1645" t="inlineStr">
        <is>
          <t>IOS Meera</t>
        </is>
      </c>
      <c r="E1645" s="16" t="n">
        <v>0</v>
      </c>
      <c r="F1645" s="16" t="n">
        <v>177.6</v>
      </c>
      <c r="G1645" s="17" t="n"/>
      <c r="H1645" s="16" t="n">
        <v>-177.6</v>
      </c>
      <c r="I1645" s="16" t="n">
        <v>0</v>
      </c>
    </row>
    <row r="1646">
      <c r="A1646" t="inlineStr">
        <is>
          <t>MTR-IOS-1646</t>
        </is>
      </c>
      <c r="B1646" t="inlineStr">
        <is>
          <t>Gift Pool</t>
        </is>
      </c>
      <c r="C1646" t="inlineStr">
        <is>
          <t>EQUAL</t>
        </is>
      </c>
      <c r="D1646" t="inlineStr">
        <is>
          <t>IOS Owner</t>
        </is>
      </c>
      <c r="E1646" s="16" t="n">
        <v>0</v>
      </c>
      <c r="F1646" s="16" t="n">
        <v>5271.83</v>
      </c>
      <c r="G1646" s="17" t="n"/>
      <c r="H1646" s="16" t="n">
        <v>-5271.83</v>
      </c>
      <c r="I1646" s="16" t="n">
        <v>0</v>
      </c>
    </row>
    <row r="1647">
      <c r="A1647" t="inlineStr">
        <is>
          <t>MTR-IOS-1646</t>
        </is>
      </c>
      <c r="B1647" t="inlineStr">
        <is>
          <t>Gift Pool</t>
        </is>
      </c>
      <c r="C1647" t="inlineStr">
        <is>
          <t>EQUAL</t>
        </is>
      </c>
      <c r="D1647" t="inlineStr">
        <is>
          <t>IOS Aarav</t>
        </is>
      </c>
      <c r="E1647" s="16" t="n">
        <v>0</v>
      </c>
      <c r="F1647" s="16" t="n">
        <v>5271.83</v>
      </c>
      <c r="G1647" s="17" t="n"/>
      <c r="H1647" s="16" t="n">
        <v>-5271.83</v>
      </c>
      <c r="I1647" s="16" t="n">
        <v>0</v>
      </c>
    </row>
    <row r="1648">
      <c r="A1648" t="inlineStr">
        <is>
          <t>MTR-IOS-1646</t>
        </is>
      </c>
      <c r="B1648" t="inlineStr">
        <is>
          <t>Gift Pool</t>
        </is>
      </c>
      <c r="C1648" t="inlineStr">
        <is>
          <t>EQUAL</t>
        </is>
      </c>
      <c r="D1648" t="inlineStr">
        <is>
          <t>IOS Meera</t>
        </is>
      </c>
      <c r="E1648" s="16" t="n">
        <v>15815.5</v>
      </c>
      <c r="F1648" s="16" t="n">
        <v>5271.84</v>
      </c>
      <c r="G1648" s="17" t="n"/>
      <c r="H1648" s="16" t="n">
        <v>10543.66</v>
      </c>
      <c r="I1648" s="16" t="n">
        <v>0</v>
      </c>
    </row>
    <row r="1649">
      <c r="A1649" t="inlineStr">
        <is>
          <t>MTR-IOS-1649</t>
        </is>
      </c>
      <c r="B1649" t="inlineStr">
        <is>
          <t>Gift Pool</t>
        </is>
      </c>
      <c r="C1649" t="inlineStr">
        <is>
          <t>PERCENTAGE</t>
        </is>
      </c>
      <c r="D1649" t="inlineStr">
        <is>
          <t>IOS Owner</t>
        </is>
      </c>
      <c r="E1649" s="16" t="n">
        <v>13329.01</v>
      </c>
      <c r="F1649" s="16" t="n">
        <v>6664.51</v>
      </c>
      <c r="G1649" s="17" t="n">
        <v>50</v>
      </c>
      <c r="H1649" s="16" t="n">
        <v>6664.5</v>
      </c>
      <c r="I1649" s="16" t="n">
        <v>0</v>
      </c>
    </row>
    <row r="1650">
      <c r="A1650" t="inlineStr">
        <is>
          <t>MTR-IOS-1649</t>
        </is>
      </c>
      <c r="B1650" t="inlineStr">
        <is>
          <t>Gift Pool</t>
        </is>
      </c>
      <c r="C1650" t="inlineStr">
        <is>
          <t>PERCENTAGE</t>
        </is>
      </c>
      <c r="D1650" t="inlineStr">
        <is>
          <t>IOS Aarav</t>
        </is>
      </c>
      <c r="E1650" s="16" t="n">
        <v>0</v>
      </c>
      <c r="F1650" s="16" t="n">
        <v>3998.7</v>
      </c>
      <c r="G1650" s="17" t="n">
        <v>30</v>
      </c>
      <c r="H1650" s="16" t="n">
        <v>-3998.7</v>
      </c>
      <c r="I1650" s="16" t="n">
        <v>0</v>
      </c>
    </row>
    <row r="1651">
      <c r="A1651" t="inlineStr">
        <is>
          <t>MTR-IOS-1649</t>
        </is>
      </c>
      <c r="B1651" t="inlineStr">
        <is>
          <t>Gift Pool</t>
        </is>
      </c>
      <c r="C1651" t="inlineStr">
        <is>
          <t>PERCENTAGE</t>
        </is>
      </c>
      <c r="D1651" t="inlineStr">
        <is>
          <t>IOS Meera</t>
        </is>
      </c>
      <c r="E1651" s="16" t="n">
        <v>0</v>
      </c>
      <c r="F1651" s="16" t="n">
        <v>2665.8</v>
      </c>
      <c r="G1651" s="17" t="n">
        <v>20</v>
      </c>
      <c r="H1651" s="16" t="n">
        <v>-2665.8</v>
      </c>
      <c r="I1651" s="16" t="n">
        <v>0</v>
      </c>
    </row>
    <row r="1652">
      <c r="A1652" t="inlineStr">
        <is>
          <t>MTR-IOS-1652</t>
        </is>
      </c>
      <c r="B1652" t="inlineStr">
        <is>
          <t>Purchase</t>
        </is>
      </c>
      <c r="C1652" t="inlineStr">
        <is>
          <t>EXACT</t>
        </is>
      </c>
      <c r="D1652" t="inlineStr">
        <is>
          <t>IOS Owner</t>
        </is>
      </c>
      <c r="E1652" s="16" t="n">
        <v>0</v>
      </c>
      <c r="F1652" s="16" t="n">
        <v>7636.67</v>
      </c>
      <c r="G1652" s="17" t="n"/>
      <c r="H1652" s="16" t="n">
        <v>-7636.67</v>
      </c>
      <c r="I1652" s="16" t="n">
        <v>0</v>
      </c>
    </row>
    <row r="1653">
      <c r="A1653" t="inlineStr">
        <is>
          <t>MTR-IOS-1652</t>
        </is>
      </c>
      <c r="B1653" t="inlineStr">
        <is>
          <t>Purchase</t>
        </is>
      </c>
      <c r="C1653" t="inlineStr">
        <is>
          <t>EXACT</t>
        </is>
      </c>
      <c r="D1653" t="inlineStr">
        <is>
          <t>IOS Aarav</t>
        </is>
      </c>
      <c r="E1653" s="16" t="n">
        <v>22932.93</v>
      </c>
      <c r="F1653" s="16" t="n">
        <v>7636.67</v>
      </c>
      <c r="G1653" s="17" t="n"/>
      <c r="H1653" s="16" t="n">
        <v>15296.26</v>
      </c>
      <c r="I1653" s="16" t="n">
        <v>0</v>
      </c>
    </row>
    <row r="1654">
      <c r="A1654" t="inlineStr">
        <is>
          <t>MTR-IOS-1652</t>
        </is>
      </c>
      <c r="B1654" t="inlineStr">
        <is>
          <t>Purchase</t>
        </is>
      </c>
      <c r="C1654" t="inlineStr">
        <is>
          <t>EXACT</t>
        </is>
      </c>
      <c r="D1654" t="inlineStr">
        <is>
          <t>IOS Meera</t>
        </is>
      </c>
      <c r="E1654" s="16" t="n">
        <v>0</v>
      </c>
      <c r="F1654" s="16" t="n">
        <v>7659.59</v>
      </c>
      <c r="G1654" s="17" t="n"/>
      <c r="H1654" s="16" t="n">
        <v>-7659.59</v>
      </c>
      <c r="I1654" s="16" t="n">
        <v>0</v>
      </c>
    </row>
    <row r="1655">
      <c r="A1655" t="inlineStr">
        <is>
          <t>MTR-IOS-1655</t>
        </is>
      </c>
      <c r="B1655" t="inlineStr">
        <is>
          <t>Purchase</t>
        </is>
      </c>
      <c r="C1655" t="inlineStr">
        <is>
          <t>SHARES</t>
        </is>
      </c>
      <c r="D1655" t="inlineStr">
        <is>
          <t>IOS Owner</t>
        </is>
      </c>
      <c r="E1655" s="16" t="n">
        <v>0</v>
      </c>
      <c r="F1655" s="16" t="n">
        <v>4671.79</v>
      </c>
      <c r="G1655" s="17" t="n"/>
      <c r="H1655" s="16" t="n">
        <v>-4671.79</v>
      </c>
      <c r="I1655" s="16" t="n">
        <v>0</v>
      </c>
    </row>
    <row r="1656">
      <c r="A1656" t="inlineStr">
        <is>
          <t>MTR-IOS-1655</t>
        </is>
      </c>
      <c r="B1656" t="inlineStr">
        <is>
          <t>Purchase</t>
        </is>
      </c>
      <c r="C1656" t="inlineStr">
        <is>
          <t>SHARES</t>
        </is>
      </c>
      <c r="D1656" t="inlineStr">
        <is>
          <t>IOS Aarav</t>
        </is>
      </c>
      <c r="E1656" s="16" t="n">
        <v>0</v>
      </c>
      <c r="F1656" s="16" t="n">
        <v>3114.52</v>
      </c>
      <c r="G1656" s="17" t="n"/>
      <c r="H1656" s="16" t="n">
        <v>-3114.52</v>
      </c>
      <c r="I1656" s="16" t="n">
        <v>0</v>
      </c>
    </row>
    <row r="1657">
      <c r="A1657" t="inlineStr">
        <is>
          <t>MTR-IOS-1655</t>
        </is>
      </c>
      <c r="B1657" t="inlineStr">
        <is>
          <t>Purchase</t>
        </is>
      </c>
      <c r="C1657" t="inlineStr">
        <is>
          <t>SHARES</t>
        </is>
      </c>
      <c r="D1657" t="inlineStr">
        <is>
          <t>IOS Meera</t>
        </is>
      </c>
      <c r="E1657" s="16" t="n">
        <v>9343.57</v>
      </c>
      <c r="F1657" s="16" t="n">
        <v>1557.26</v>
      </c>
      <c r="G1657" s="17" t="n"/>
      <c r="H1657" s="16" t="n">
        <v>7786.31</v>
      </c>
      <c r="I1657" s="16" t="n">
        <v>0</v>
      </c>
    </row>
    <row r="1658">
      <c r="A1658" t="inlineStr">
        <is>
          <t>MTR-IOS-1658</t>
        </is>
      </c>
      <c r="B1658" t="inlineStr">
        <is>
          <t>Purchase</t>
        </is>
      </c>
      <c r="C1658" t="inlineStr">
        <is>
          <t>EQUAL</t>
        </is>
      </c>
      <c r="D1658" t="inlineStr">
        <is>
          <t>IOS Owner</t>
        </is>
      </c>
      <c r="E1658" s="16" t="n">
        <v>13900.64</v>
      </c>
      <c r="F1658" s="16" t="n">
        <v>4633.55</v>
      </c>
      <c r="G1658" s="17" t="n"/>
      <c r="H1658" s="16" t="n">
        <v>9267.09</v>
      </c>
      <c r="I1658" s="16" t="n">
        <v>0</v>
      </c>
    </row>
    <row r="1659">
      <c r="A1659" t="inlineStr">
        <is>
          <t>MTR-IOS-1658</t>
        </is>
      </c>
      <c r="B1659" t="inlineStr">
        <is>
          <t>Purchase</t>
        </is>
      </c>
      <c r="C1659" t="inlineStr">
        <is>
          <t>EQUAL</t>
        </is>
      </c>
      <c r="D1659" t="inlineStr">
        <is>
          <t>IOS Aarav</t>
        </is>
      </c>
      <c r="E1659" s="16" t="n">
        <v>0</v>
      </c>
      <c r="F1659" s="16" t="n">
        <v>4633.55</v>
      </c>
      <c r="G1659" s="17" t="n"/>
      <c r="H1659" s="16" t="n">
        <v>-4633.55</v>
      </c>
      <c r="I1659" s="16" t="n">
        <v>0</v>
      </c>
    </row>
    <row r="1660">
      <c r="A1660" t="inlineStr">
        <is>
          <t>MTR-IOS-1658</t>
        </is>
      </c>
      <c r="B1660" t="inlineStr">
        <is>
          <t>Purchase</t>
        </is>
      </c>
      <c r="C1660" t="inlineStr">
        <is>
          <t>EQUAL</t>
        </is>
      </c>
      <c r="D1660" t="inlineStr">
        <is>
          <t>IOS Meera</t>
        </is>
      </c>
      <c r="E1660" s="16" t="n">
        <v>0</v>
      </c>
      <c r="F1660" s="16" t="n">
        <v>4633.54</v>
      </c>
      <c r="G1660" s="17" t="n"/>
      <c r="H1660" s="16" t="n">
        <v>-4633.54</v>
      </c>
      <c r="I1660" s="16" t="n">
        <v>0</v>
      </c>
    </row>
    <row r="1661">
      <c r="A1661" t="inlineStr">
        <is>
          <t>MTR-IOS-1661</t>
        </is>
      </c>
      <c r="B1661" t="inlineStr">
        <is>
          <t>Purchase</t>
        </is>
      </c>
      <c r="C1661" t="inlineStr">
        <is>
          <t>PERCENTAGE</t>
        </is>
      </c>
      <c r="D1661" t="inlineStr">
        <is>
          <t>IOS Owner</t>
        </is>
      </c>
      <c r="E1661" s="16" t="n">
        <v>0</v>
      </c>
      <c r="F1661" s="16" t="n">
        <v>9537.040000000001</v>
      </c>
      <c r="G1661" s="17" t="n">
        <v>50</v>
      </c>
      <c r="H1661" s="16" t="n">
        <v>-9537.040000000001</v>
      </c>
      <c r="I1661" s="16" t="n">
        <v>0</v>
      </c>
    </row>
    <row r="1662">
      <c r="A1662" t="inlineStr">
        <is>
          <t>MTR-IOS-1661</t>
        </is>
      </c>
      <c r="B1662" t="inlineStr">
        <is>
          <t>Purchase</t>
        </is>
      </c>
      <c r="C1662" t="inlineStr">
        <is>
          <t>PERCENTAGE</t>
        </is>
      </c>
      <c r="D1662" t="inlineStr">
        <is>
          <t>IOS Aarav</t>
        </is>
      </c>
      <c r="E1662" s="16" t="n">
        <v>19074.07</v>
      </c>
      <c r="F1662" s="16" t="n">
        <v>5722.22</v>
      </c>
      <c r="G1662" s="17" t="n">
        <v>30</v>
      </c>
      <c r="H1662" s="16" t="n">
        <v>13351.85</v>
      </c>
      <c r="I1662" s="16" t="n">
        <v>0</v>
      </c>
    </row>
    <row r="1663">
      <c r="A1663" t="inlineStr">
        <is>
          <t>MTR-IOS-1661</t>
        </is>
      </c>
      <c r="B1663" t="inlineStr">
        <is>
          <t>Purchase</t>
        </is>
      </c>
      <c r="C1663" t="inlineStr">
        <is>
          <t>PERCENTAGE</t>
        </is>
      </c>
      <c r="D1663" t="inlineStr">
        <is>
          <t>IOS Meera</t>
        </is>
      </c>
      <c r="E1663" s="16" t="n">
        <v>0</v>
      </c>
      <c r="F1663" s="16" t="n">
        <v>3814.81</v>
      </c>
      <c r="G1663" s="17" t="n">
        <v>20</v>
      </c>
      <c r="H1663" s="16" t="n">
        <v>-3814.81</v>
      </c>
      <c r="I1663" s="16" t="n">
        <v>0</v>
      </c>
    </row>
    <row r="1664">
      <c r="A1664" t="inlineStr">
        <is>
          <t>MTR-IOS-1664</t>
        </is>
      </c>
      <c r="B1664" t="inlineStr">
        <is>
          <t>Assets</t>
        </is>
      </c>
      <c r="C1664" t="inlineStr">
        <is>
          <t>EXACT</t>
        </is>
      </c>
      <c r="D1664" t="inlineStr">
        <is>
          <t>IOS Owner</t>
        </is>
      </c>
      <c r="E1664" s="16" t="n">
        <v>0</v>
      </c>
      <c r="F1664" s="16" t="n">
        <v>7662.36</v>
      </c>
      <c r="G1664" s="17" t="n"/>
      <c r="H1664" s="16" t="n">
        <v>-7662.36</v>
      </c>
      <c r="I1664" s="16" t="n">
        <v>0</v>
      </c>
    </row>
    <row r="1665">
      <c r="A1665" t="inlineStr">
        <is>
          <t>MTR-IOS-1664</t>
        </is>
      </c>
      <c r="B1665" t="inlineStr">
        <is>
          <t>Assets</t>
        </is>
      </c>
      <c r="C1665" t="inlineStr">
        <is>
          <t>EXACT</t>
        </is>
      </c>
      <c r="D1665" t="inlineStr">
        <is>
          <t>IOS Aarav</t>
        </is>
      </c>
      <c r="E1665" s="16" t="n">
        <v>0</v>
      </c>
      <c r="F1665" s="16" t="n">
        <v>7662.36</v>
      </c>
      <c r="G1665" s="17" t="n"/>
      <c r="H1665" s="16" t="n">
        <v>-7662.36</v>
      </c>
      <c r="I1665" s="16" t="n">
        <v>0</v>
      </c>
    </row>
    <row r="1666">
      <c r="A1666" t="inlineStr">
        <is>
          <t>MTR-IOS-1664</t>
        </is>
      </c>
      <c r="B1666" t="inlineStr">
        <is>
          <t>Assets</t>
        </is>
      </c>
      <c r="C1666" t="inlineStr">
        <is>
          <t>EXACT</t>
        </is>
      </c>
      <c r="D1666" t="inlineStr">
        <is>
          <t>IOS Meera</t>
        </is>
      </c>
      <c r="E1666" s="16" t="n">
        <v>23010.09</v>
      </c>
      <c r="F1666" s="16" t="n">
        <v>7685.37</v>
      </c>
      <c r="G1666" s="17" t="n"/>
      <c r="H1666" s="16" t="n">
        <v>15324.72</v>
      </c>
      <c r="I1666" s="16" t="n">
        <v>0</v>
      </c>
    </row>
    <row r="1667">
      <c r="A1667" t="inlineStr">
        <is>
          <t>MTR-IOS-1667</t>
        </is>
      </c>
      <c r="B1667" t="inlineStr">
        <is>
          <t>Assets</t>
        </is>
      </c>
      <c r="C1667" t="inlineStr">
        <is>
          <t>SHARES</t>
        </is>
      </c>
      <c r="D1667" t="inlineStr">
        <is>
          <t>IOS Owner</t>
        </is>
      </c>
      <c r="E1667" s="16" t="n">
        <v>10282.26</v>
      </c>
      <c r="F1667" s="16" t="n">
        <v>5141.13</v>
      </c>
      <c r="G1667" s="17" t="n"/>
      <c r="H1667" s="16" t="n">
        <v>5141.13</v>
      </c>
      <c r="I1667" s="16" t="n">
        <v>0</v>
      </c>
    </row>
    <row r="1668">
      <c r="A1668" t="inlineStr">
        <is>
          <t>MTR-IOS-1667</t>
        </is>
      </c>
      <c r="B1668" t="inlineStr">
        <is>
          <t>Assets</t>
        </is>
      </c>
      <c r="C1668" t="inlineStr">
        <is>
          <t>SHARES</t>
        </is>
      </c>
      <c r="D1668" t="inlineStr">
        <is>
          <t>IOS Aarav</t>
        </is>
      </c>
      <c r="E1668" s="16" t="n">
        <v>0</v>
      </c>
      <c r="F1668" s="16" t="n">
        <v>3427.42</v>
      </c>
      <c r="G1668" s="17" t="n"/>
      <c r="H1668" s="16" t="n">
        <v>-3427.42</v>
      </c>
      <c r="I1668" s="16" t="n">
        <v>0</v>
      </c>
    </row>
    <row r="1669">
      <c r="A1669" t="inlineStr">
        <is>
          <t>MTR-IOS-1667</t>
        </is>
      </c>
      <c r="B1669" t="inlineStr">
        <is>
          <t>Assets</t>
        </is>
      </c>
      <c r="C1669" t="inlineStr">
        <is>
          <t>SHARES</t>
        </is>
      </c>
      <c r="D1669" t="inlineStr">
        <is>
          <t>IOS Meera</t>
        </is>
      </c>
      <c r="E1669" s="16" t="n">
        <v>0</v>
      </c>
      <c r="F1669" s="16" t="n">
        <v>1713.71</v>
      </c>
      <c r="G1669" s="17" t="n"/>
      <c r="H1669" s="16" t="n">
        <v>-1713.71</v>
      </c>
      <c r="I1669" s="16" t="n">
        <v>0</v>
      </c>
    </row>
    <row r="1670">
      <c r="A1670" t="inlineStr">
        <is>
          <t>MTR-IOS-1670</t>
        </is>
      </c>
      <c r="B1670" t="inlineStr">
        <is>
          <t>Assets</t>
        </is>
      </c>
      <c r="C1670" t="inlineStr">
        <is>
          <t>EQUAL</t>
        </is>
      </c>
      <c r="D1670" t="inlineStr">
        <is>
          <t>IOS Owner</t>
        </is>
      </c>
      <c r="E1670" s="16" t="n">
        <v>0</v>
      </c>
      <c r="F1670" s="16" t="n">
        <v>7894.63</v>
      </c>
      <c r="G1670" s="17" t="n"/>
      <c r="H1670" s="16" t="n">
        <v>-7894.63</v>
      </c>
      <c r="I1670" s="16" t="n">
        <v>0</v>
      </c>
    </row>
    <row r="1671">
      <c r="A1671" t="inlineStr">
        <is>
          <t>MTR-IOS-1670</t>
        </is>
      </c>
      <c r="B1671" t="inlineStr">
        <is>
          <t>Assets</t>
        </is>
      </c>
      <c r="C1671" t="inlineStr">
        <is>
          <t>EQUAL</t>
        </is>
      </c>
      <c r="D1671" t="inlineStr">
        <is>
          <t>IOS Aarav</t>
        </is>
      </c>
      <c r="E1671" s="16" t="n">
        <v>23683.88</v>
      </c>
      <c r="F1671" s="16" t="n">
        <v>7894.63</v>
      </c>
      <c r="G1671" s="17" t="n"/>
      <c r="H1671" s="16" t="n">
        <v>15789.25</v>
      </c>
      <c r="I1671" s="16" t="n">
        <v>0</v>
      </c>
    </row>
    <row r="1672">
      <c r="A1672" t="inlineStr">
        <is>
          <t>MTR-IOS-1670</t>
        </is>
      </c>
      <c r="B1672" t="inlineStr">
        <is>
          <t>Assets</t>
        </is>
      </c>
      <c r="C1672" t="inlineStr">
        <is>
          <t>EQUAL</t>
        </is>
      </c>
      <c r="D1672" t="inlineStr">
        <is>
          <t>IOS Meera</t>
        </is>
      </c>
      <c r="E1672" s="16" t="n">
        <v>0</v>
      </c>
      <c r="F1672" s="16" t="n">
        <v>7894.62</v>
      </c>
      <c r="G1672" s="17" t="n"/>
      <c r="H1672" s="16" t="n">
        <v>-7894.62</v>
      </c>
      <c r="I1672" s="16" t="n">
        <v>0</v>
      </c>
    </row>
    <row r="1673">
      <c r="A1673" t="inlineStr">
        <is>
          <t>MTR-IOS-1673</t>
        </is>
      </c>
      <c r="B1673" t="inlineStr">
        <is>
          <t>Assets</t>
        </is>
      </c>
      <c r="C1673" t="inlineStr">
        <is>
          <t>PERCENTAGE</t>
        </is>
      </c>
      <c r="D1673" t="inlineStr">
        <is>
          <t>IOS Owner</t>
        </is>
      </c>
      <c r="E1673" s="16" t="n">
        <v>0</v>
      </c>
      <c r="F1673" s="16" t="n">
        <v>11889</v>
      </c>
      <c r="G1673" s="17" t="n">
        <v>50</v>
      </c>
      <c r="H1673" s="16" t="n">
        <v>-11889</v>
      </c>
      <c r="I1673" s="16" t="n">
        <v>0</v>
      </c>
    </row>
    <row r="1674">
      <c r="A1674" t="inlineStr">
        <is>
          <t>MTR-IOS-1673</t>
        </is>
      </c>
      <c r="B1674" t="inlineStr">
        <is>
          <t>Assets</t>
        </is>
      </c>
      <c r="C1674" t="inlineStr">
        <is>
          <t>PERCENTAGE</t>
        </is>
      </c>
      <c r="D1674" t="inlineStr">
        <is>
          <t>IOS Aarav</t>
        </is>
      </c>
      <c r="E1674" s="16" t="n">
        <v>0</v>
      </c>
      <c r="F1674" s="16" t="n">
        <v>7133.4</v>
      </c>
      <c r="G1674" s="17" t="n">
        <v>30</v>
      </c>
      <c r="H1674" s="16" t="n">
        <v>-7133.4</v>
      </c>
      <c r="I1674" s="16" t="n">
        <v>0</v>
      </c>
    </row>
    <row r="1675">
      <c r="A1675" t="inlineStr">
        <is>
          <t>MTR-IOS-1673</t>
        </is>
      </c>
      <c r="B1675" t="inlineStr">
        <is>
          <t>Assets</t>
        </is>
      </c>
      <c r="C1675" t="inlineStr">
        <is>
          <t>PERCENTAGE</t>
        </is>
      </c>
      <c r="D1675" t="inlineStr">
        <is>
          <t>IOS Meera</t>
        </is>
      </c>
      <c r="E1675" s="16" t="n">
        <v>23777.99</v>
      </c>
      <c r="F1675" s="16" t="n">
        <v>4755.59</v>
      </c>
      <c r="G1675" s="17" t="n">
        <v>20</v>
      </c>
      <c r="H1675" s="16" t="n">
        <v>19022.4</v>
      </c>
      <c r="I1675" s="16" t="n">
        <v>0</v>
      </c>
    </row>
    <row r="1676">
      <c r="A1676" t="inlineStr">
        <is>
          <t>MTR-IOS-1676</t>
        </is>
      </c>
      <c r="B1676" t="inlineStr">
        <is>
          <t>Assets</t>
        </is>
      </c>
      <c r="C1676" t="inlineStr">
        <is>
          <t>EXACT</t>
        </is>
      </c>
      <c r="D1676" t="inlineStr">
        <is>
          <t>IOS Owner</t>
        </is>
      </c>
      <c r="E1676" s="16" t="n">
        <v>16087.03</v>
      </c>
      <c r="F1676" s="16" t="n">
        <v>5356.98</v>
      </c>
      <c r="G1676" s="17" t="n"/>
      <c r="H1676" s="16" t="n">
        <v>10730.05</v>
      </c>
      <c r="I1676" s="16" t="n">
        <v>0</v>
      </c>
    </row>
    <row r="1677">
      <c r="A1677" t="inlineStr">
        <is>
          <t>MTR-IOS-1676</t>
        </is>
      </c>
      <c r="B1677" t="inlineStr">
        <is>
          <t>Assets</t>
        </is>
      </c>
      <c r="C1677" t="inlineStr">
        <is>
          <t>EXACT</t>
        </is>
      </c>
      <c r="D1677" t="inlineStr">
        <is>
          <t>IOS Aarav</t>
        </is>
      </c>
      <c r="E1677" s="16" t="n">
        <v>0</v>
      </c>
      <c r="F1677" s="16" t="n">
        <v>5356.98</v>
      </c>
      <c r="G1677" s="17" t="n"/>
      <c r="H1677" s="16" t="n">
        <v>-5356.98</v>
      </c>
      <c r="I1677" s="16" t="n">
        <v>0</v>
      </c>
    </row>
    <row r="1678">
      <c r="A1678" t="inlineStr">
        <is>
          <t>MTR-IOS-1676</t>
        </is>
      </c>
      <c r="B1678" t="inlineStr">
        <is>
          <t>Assets</t>
        </is>
      </c>
      <c r="C1678" t="inlineStr">
        <is>
          <t>EXACT</t>
        </is>
      </c>
      <c r="D1678" t="inlineStr">
        <is>
          <t>IOS Meera</t>
        </is>
      </c>
      <c r="E1678" s="16" t="n">
        <v>0</v>
      </c>
      <c r="F1678" s="16" t="n">
        <v>5373.07</v>
      </c>
      <c r="G1678" s="17" t="n"/>
      <c r="H1678" s="16" t="n">
        <v>-5373.07</v>
      </c>
      <c r="I1678" s="16" t="n">
        <v>0</v>
      </c>
    </row>
    <row r="1679">
      <c r="A1679" t="inlineStr">
        <is>
          <t>MTR-IOS-1679</t>
        </is>
      </c>
      <c r="B1679" t="inlineStr">
        <is>
          <t>Custom Purchase</t>
        </is>
      </c>
      <c r="C1679" t="inlineStr">
        <is>
          <t>SHARES</t>
        </is>
      </c>
      <c r="D1679" t="inlineStr">
        <is>
          <t>IOS Owner</t>
        </is>
      </c>
      <c r="E1679" s="16" t="n">
        <v>0</v>
      </c>
      <c r="F1679" s="16" t="n">
        <v>5500.4</v>
      </c>
      <c r="G1679" s="17" t="n"/>
      <c r="H1679" s="16" t="n">
        <v>-5500.4</v>
      </c>
      <c r="I1679" s="16" t="n">
        <v>0</v>
      </c>
    </row>
    <row r="1680">
      <c r="A1680" t="inlineStr">
        <is>
          <t>MTR-IOS-1679</t>
        </is>
      </c>
      <c r="B1680" t="inlineStr">
        <is>
          <t>Custom Purchase</t>
        </is>
      </c>
      <c r="C1680" t="inlineStr">
        <is>
          <t>SHARES</t>
        </is>
      </c>
      <c r="D1680" t="inlineStr">
        <is>
          <t>IOS Aarav</t>
        </is>
      </c>
      <c r="E1680" s="16" t="n">
        <v>11000.8</v>
      </c>
      <c r="F1680" s="16" t="n">
        <v>3666.93</v>
      </c>
      <c r="G1680" s="17" t="n"/>
      <c r="H1680" s="16" t="n">
        <v>7333.87</v>
      </c>
      <c r="I1680" s="16" t="n">
        <v>0</v>
      </c>
    </row>
    <row r="1681">
      <c r="A1681" t="inlineStr">
        <is>
          <t>MTR-IOS-1679</t>
        </is>
      </c>
      <c r="B1681" t="inlineStr">
        <is>
          <t>Custom Purchase</t>
        </is>
      </c>
      <c r="C1681" t="inlineStr">
        <is>
          <t>SHARES</t>
        </is>
      </c>
      <c r="D1681" t="inlineStr">
        <is>
          <t>IOS Meera</t>
        </is>
      </c>
      <c r="E1681" s="16" t="n">
        <v>0</v>
      </c>
      <c r="F1681" s="16" t="n">
        <v>1833.47</v>
      </c>
      <c r="G1681" s="17" t="n"/>
      <c r="H1681" s="16" t="n">
        <v>-1833.47</v>
      </c>
      <c r="I1681" s="16" t="n">
        <v>0</v>
      </c>
    </row>
    <row r="1682">
      <c r="A1682" t="inlineStr">
        <is>
          <t>MTR-IOS-1682</t>
        </is>
      </c>
      <c r="B1682" t="inlineStr">
        <is>
          <t>Custom Purchase</t>
        </is>
      </c>
      <c r="C1682" t="inlineStr">
        <is>
          <t>EQUAL</t>
        </is>
      </c>
      <c r="D1682" t="inlineStr">
        <is>
          <t>IOS Owner</t>
        </is>
      </c>
      <c r="E1682" s="16" t="n">
        <v>0</v>
      </c>
      <c r="F1682" s="16" t="n">
        <v>6725.73</v>
      </c>
      <c r="G1682" s="17" t="n"/>
      <c r="H1682" s="16" t="n">
        <v>-6725.73</v>
      </c>
      <c r="I1682" s="16" t="n">
        <v>0</v>
      </c>
    </row>
    <row r="1683">
      <c r="A1683" t="inlineStr">
        <is>
          <t>MTR-IOS-1682</t>
        </is>
      </c>
      <c r="B1683" t="inlineStr">
        <is>
          <t>Custom Purchase</t>
        </is>
      </c>
      <c r="C1683" t="inlineStr">
        <is>
          <t>EQUAL</t>
        </is>
      </c>
      <c r="D1683" t="inlineStr">
        <is>
          <t>IOS Aarav</t>
        </is>
      </c>
      <c r="E1683" s="16" t="n">
        <v>0</v>
      </c>
      <c r="F1683" s="16" t="n">
        <v>6725.73</v>
      </c>
      <c r="G1683" s="17" t="n"/>
      <c r="H1683" s="16" t="n">
        <v>-6725.73</v>
      </c>
      <c r="I1683" s="16" t="n">
        <v>0</v>
      </c>
    </row>
    <row r="1684">
      <c r="A1684" t="inlineStr">
        <is>
          <t>MTR-IOS-1682</t>
        </is>
      </c>
      <c r="B1684" t="inlineStr">
        <is>
          <t>Custom Purchase</t>
        </is>
      </c>
      <c r="C1684" t="inlineStr">
        <is>
          <t>EQUAL</t>
        </is>
      </c>
      <c r="D1684" t="inlineStr">
        <is>
          <t>IOS Meera</t>
        </is>
      </c>
      <c r="E1684" s="16" t="n">
        <v>20177.18</v>
      </c>
      <c r="F1684" s="16" t="n">
        <v>6725.72</v>
      </c>
      <c r="G1684" s="17" t="n"/>
      <c r="H1684" s="16" t="n">
        <v>13451.46</v>
      </c>
      <c r="I1684" s="16" t="n">
        <v>0</v>
      </c>
    </row>
    <row r="1685">
      <c r="A1685" t="inlineStr">
        <is>
          <t>MTR-IOS-1685</t>
        </is>
      </c>
      <c r="B1685" t="inlineStr">
        <is>
          <t>Flatmates</t>
        </is>
      </c>
      <c r="C1685" t="inlineStr">
        <is>
          <t>PERCENTAGE</t>
        </is>
      </c>
      <c r="D1685" t="inlineStr">
        <is>
          <t>IOS Owner</t>
        </is>
      </c>
      <c r="E1685" s="16" t="n">
        <v>26914.08</v>
      </c>
      <c r="F1685" s="16" t="n">
        <v>13457.04</v>
      </c>
      <c r="G1685" s="17" t="n">
        <v>50</v>
      </c>
      <c r="H1685" s="16" t="n">
        <v>13457.04</v>
      </c>
      <c r="I1685" s="16" t="n">
        <v>0</v>
      </c>
    </row>
    <row r="1686">
      <c r="A1686" t="inlineStr">
        <is>
          <t>MTR-IOS-1685</t>
        </is>
      </c>
      <c r="B1686" t="inlineStr">
        <is>
          <t>Flatmates</t>
        </is>
      </c>
      <c r="C1686" t="inlineStr">
        <is>
          <t>PERCENTAGE</t>
        </is>
      </c>
      <c r="D1686" t="inlineStr">
        <is>
          <t>IOS Aarav</t>
        </is>
      </c>
      <c r="E1686" s="16" t="n">
        <v>0</v>
      </c>
      <c r="F1686" s="16" t="n">
        <v>8074.22</v>
      </c>
      <c r="G1686" s="17" t="n">
        <v>30</v>
      </c>
      <c r="H1686" s="16" t="n">
        <v>-8074.22</v>
      </c>
      <c r="I1686" s="16" t="n">
        <v>0</v>
      </c>
    </row>
    <row r="1687">
      <c r="A1687" t="inlineStr">
        <is>
          <t>MTR-IOS-1685</t>
        </is>
      </c>
      <c r="B1687" t="inlineStr">
        <is>
          <t>Flatmates</t>
        </is>
      </c>
      <c r="C1687" t="inlineStr">
        <is>
          <t>PERCENTAGE</t>
        </is>
      </c>
      <c r="D1687" t="inlineStr">
        <is>
          <t>IOS Meera</t>
        </is>
      </c>
      <c r="E1687" s="16" t="n">
        <v>0</v>
      </c>
      <c r="F1687" s="16" t="n">
        <v>5382.82</v>
      </c>
      <c r="G1687" s="17" t="n">
        <v>20</v>
      </c>
      <c r="H1687" s="16" t="n">
        <v>-5382.82</v>
      </c>
      <c r="I1687" s="16" t="n">
        <v>0</v>
      </c>
    </row>
    <row r="1688">
      <c r="A1688" t="inlineStr">
        <is>
          <t>MTR-IOS-1688</t>
        </is>
      </c>
      <c r="B1688" t="inlineStr">
        <is>
          <t>Flatmates</t>
        </is>
      </c>
      <c r="C1688" t="inlineStr">
        <is>
          <t>EXACT</t>
        </is>
      </c>
      <c r="D1688" t="inlineStr">
        <is>
          <t>IOS Owner</t>
        </is>
      </c>
      <c r="E1688" s="16" t="n">
        <v>0</v>
      </c>
      <c r="F1688" s="16" t="n">
        <v>8869.219999999999</v>
      </c>
      <c r="G1688" s="17" t="n"/>
      <c r="H1688" s="16" t="n">
        <v>-8869.219999999999</v>
      </c>
      <c r="I1688" s="16" t="n">
        <v>0</v>
      </c>
    </row>
    <row r="1689">
      <c r="A1689" t="inlineStr">
        <is>
          <t>MTR-IOS-1688</t>
        </is>
      </c>
      <c r="B1689" t="inlineStr">
        <is>
          <t>Flatmates</t>
        </is>
      </c>
      <c r="C1689" t="inlineStr">
        <is>
          <t>EXACT</t>
        </is>
      </c>
      <c r="D1689" t="inlineStr">
        <is>
          <t>IOS Aarav</t>
        </is>
      </c>
      <c r="E1689" s="16" t="n">
        <v>26634.28</v>
      </c>
      <c r="F1689" s="16" t="n">
        <v>8869.219999999999</v>
      </c>
      <c r="G1689" s="17" t="n"/>
      <c r="H1689" s="16" t="n">
        <v>17765.06</v>
      </c>
      <c r="I1689" s="16" t="n">
        <v>0</v>
      </c>
    </row>
    <row r="1690">
      <c r="A1690" t="inlineStr">
        <is>
          <t>MTR-IOS-1688</t>
        </is>
      </c>
      <c r="B1690" t="inlineStr">
        <is>
          <t>Flatmates</t>
        </is>
      </c>
      <c r="C1690" t="inlineStr">
        <is>
          <t>EXACT</t>
        </is>
      </c>
      <c r="D1690" t="inlineStr">
        <is>
          <t>IOS Meera</t>
        </is>
      </c>
      <c r="E1690" s="16" t="n">
        <v>0</v>
      </c>
      <c r="F1690" s="16" t="n">
        <v>8895.84</v>
      </c>
      <c r="G1690" s="17" t="n"/>
      <c r="H1690" s="16" t="n">
        <v>-8895.84</v>
      </c>
      <c r="I1690" s="16" t="n">
        <v>0</v>
      </c>
    </row>
    <row r="1691">
      <c r="A1691" t="inlineStr">
        <is>
          <t>MTR-IOS-1691</t>
        </is>
      </c>
      <c r="B1691" t="inlineStr">
        <is>
          <t>Flatmates</t>
        </is>
      </c>
      <c r="C1691" t="inlineStr">
        <is>
          <t>SHARES</t>
        </is>
      </c>
      <c r="D1691" t="inlineStr">
        <is>
          <t>IOS Owner</t>
        </is>
      </c>
      <c r="E1691" s="16" t="n">
        <v>0</v>
      </c>
      <c r="F1691" s="16" t="n">
        <v>3933.87</v>
      </c>
      <c r="G1691" s="17" t="n"/>
      <c r="H1691" s="16" t="n">
        <v>-3933.87</v>
      </c>
      <c r="I1691" s="16" t="n">
        <v>0</v>
      </c>
    </row>
    <row r="1692">
      <c r="A1692" t="inlineStr">
        <is>
          <t>MTR-IOS-1691</t>
        </is>
      </c>
      <c r="B1692" t="inlineStr">
        <is>
          <t>Flatmates</t>
        </is>
      </c>
      <c r="C1692" t="inlineStr">
        <is>
          <t>SHARES</t>
        </is>
      </c>
      <c r="D1692" t="inlineStr">
        <is>
          <t>IOS Aarav</t>
        </is>
      </c>
      <c r="E1692" s="16" t="n">
        <v>0</v>
      </c>
      <c r="F1692" s="16" t="n">
        <v>2622.58</v>
      </c>
      <c r="G1692" s="17" t="n"/>
      <c r="H1692" s="16" t="n">
        <v>-2622.58</v>
      </c>
      <c r="I1692" s="16" t="n">
        <v>0</v>
      </c>
    </row>
    <row r="1693">
      <c r="A1693" t="inlineStr">
        <is>
          <t>MTR-IOS-1691</t>
        </is>
      </c>
      <c r="B1693" t="inlineStr">
        <is>
          <t>Flatmates</t>
        </is>
      </c>
      <c r="C1693" t="inlineStr">
        <is>
          <t>SHARES</t>
        </is>
      </c>
      <c r="D1693" t="inlineStr">
        <is>
          <t>IOS Meera</t>
        </is>
      </c>
      <c r="E1693" s="16" t="n">
        <v>7867.74</v>
      </c>
      <c r="F1693" s="16" t="n">
        <v>1311.29</v>
      </c>
      <c r="G1693" s="17" t="n"/>
      <c r="H1693" s="16" t="n">
        <v>6556.45</v>
      </c>
      <c r="I1693" s="16" t="n">
        <v>0</v>
      </c>
    </row>
    <row r="1694">
      <c r="A1694" t="inlineStr">
        <is>
          <t>MTR-IOS-1694</t>
        </is>
      </c>
      <c r="B1694" t="inlineStr">
        <is>
          <t>Flatmates</t>
        </is>
      </c>
      <c r="C1694" t="inlineStr">
        <is>
          <t>EQUAL</t>
        </is>
      </c>
      <c r="D1694" t="inlineStr">
        <is>
          <t>IOS Owner</t>
        </is>
      </c>
      <c r="E1694" s="16" t="n">
        <v>5200.74</v>
      </c>
      <c r="F1694" s="16" t="n">
        <v>1733.58</v>
      </c>
      <c r="G1694" s="17" t="n"/>
      <c r="H1694" s="16" t="n">
        <v>3467.16</v>
      </c>
      <c r="I1694" s="16" t="n">
        <v>0</v>
      </c>
    </row>
    <row r="1695">
      <c r="A1695" t="inlineStr">
        <is>
          <t>MTR-IOS-1694</t>
        </is>
      </c>
      <c r="B1695" t="inlineStr">
        <is>
          <t>Flatmates</t>
        </is>
      </c>
      <c r="C1695" t="inlineStr">
        <is>
          <t>EQUAL</t>
        </is>
      </c>
      <c r="D1695" t="inlineStr">
        <is>
          <t>IOS Aarav</t>
        </is>
      </c>
      <c r="E1695" s="16" t="n">
        <v>0</v>
      </c>
      <c r="F1695" s="16" t="n">
        <v>1733.58</v>
      </c>
      <c r="G1695" s="17" t="n"/>
      <c r="H1695" s="16" t="n">
        <v>-1733.58</v>
      </c>
      <c r="I1695" s="16" t="n">
        <v>0</v>
      </c>
    </row>
    <row r="1696">
      <c r="A1696" t="inlineStr">
        <is>
          <t>MTR-IOS-1694</t>
        </is>
      </c>
      <c r="B1696" t="inlineStr">
        <is>
          <t>Flatmates</t>
        </is>
      </c>
      <c r="C1696" t="inlineStr">
        <is>
          <t>EQUAL</t>
        </is>
      </c>
      <c r="D1696" t="inlineStr">
        <is>
          <t>IOS Meera</t>
        </is>
      </c>
      <c r="E1696" s="16" t="n">
        <v>0</v>
      </c>
      <c r="F1696" s="16" t="n">
        <v>1733.58</v>
      </c>
      <c r="G1696" s="17" t="n"/>
      <c r="H1696" s="16" t="n">
        <v>-1733.58</v>
      </c>
      <c r="I1696" s="16" t="n">
        <v>0</v>
      </c>
    </row>
    <row r="1697">
      <c r="A1697" t="inlineStr">
        <is>
          <t>MTR-IOS-1697</t>
        </is>
      </c>
      <c r="B1697" t="inlineStr">
        <is>
          <t>Flatmates</t>
        </is>
      </c>
      <c r="C1697" t="inlineStr">
        <is>
          <t>PERCENTAGE</t>
        </is>
      </c>
      <c r="D1697" t="inlineStr">
        <is>
          <t>IOS Owner</t>
        </is>
      </c>
      <c r="E1697" s="16" t="n">
        <v>0</v>
      </c>
      <c r="F1697" s="16" t="n">
        <v>1134.55</v>
      </c>
      <c r="G1697" s="17" t="n">
        <v>50</v>
      </c>
      <c r="H1697" s="16" t="n">
        <v>-1134.55</v>
      </c>
      <c r="I1697" s="16" t="n">
        <v>0</v>
      </c>
    </row>
    <row r="1698">
      <c r="A1698" t="inlineStr">
        <is>
          <t>MTR-IOS-1697</t>
        </is>
      </c>
      <c r="B1698" t="inlineStr">
        <is>
          <t>Flatmates</t>
        </is>
      </c>
      <c r="C1698" t="inlineStr">
        <is>
          <t>PERCENTAGE</t>
        </is>
      </c>
      <c r="D1698" t="inlineStr">
        <is>
          <t>IOS Aarav</t>
        </is>
      </c>
      <c r="E1698" s="16" t="n">
        <v>2269.1</v>
      </c>
      <c r="F1698" s="16" t="n">
        <v>680.73</v>
      </c>
      <c r="G1698" s="17" t="n">
        <v>30</v>
      </c>
      <c r="H1698" s="16" t="n">
        <v>1588.37</v>
      </c>
      <c r="I1698" s="16" t="n">
        <v>0</v>
      </c>
    </row>
    <row r="1699">
      <c r="A1699" t="inlineStr">
        <is>
          <t>MTR-IOS-1697</t>
        </is>
      </c>
      <c r="B1699" t="inlineStr">
        <is>
          <t>Flatmates</t>
        </is>
      </c>
      <c r="C1699" t="inlineStr">
        <is>
          <t>PERCENTAGE</t>
        </is>
      </c>
      <c r="D1699" t="inlineStr">
        <is>
          <t>IOS Meera</t>
        </is>
      </c>
      <c r="E1699" s="16" t="n">
        <v>0</v>
      </c>
      <c r="F1699" s="16" t="n">
        <v>453.82</v>
      </c>
      <c r="G1699" s="17" t="n">
        <v>20</v>
      </c>
      <c r="H1699" s="16" t="n">
        <v>-453.82</v>
      </c>
      <c r="I1699" s="16" t="n">
        <v>0</v>
      </c>
    </row>
    <row r="1700">
      <c r="A1700" t="inlineStr">
        <is>
          <t>MTR-IOS-1700</t>
        </is>
      </c>
      <c r="B1700" t="inlineStr">
        <is>
          <t>Flatmates</t>
        </is>
      </c>
      <c r="C1700" t="inlineStr">
        <is>
          <t>EXACT</t>
        </is>
      </c>
      <c r="D1700" t="inlineStr">
        <is>
          <t>IOS Owner</t>
        </is>
      </c>
      <c r="E1700" s="16" t="n">
        <v>0</v>
      </c>
      <c r="F1700" s="16" t="n">
        <v>5220.22</v>
      </c>
      <c r="G1700" s="17" t="n"/>
      <c r="H1700" s="16" t="n">
        <v>-5220.22</v>
      </c>
      <c r="I1700" s="16" t="n">
        <v>0</v>
      </c>
    </row>
    <row r="1701">
      <c r="A1701" t="inlineStr">
        <is>
          <t>MTR-IOS-1700</t>
        </is>
      </c>
      <c r="B1701" t="inlineStr">
        <is>
          <t>Flatmates</t>
        </is>
      </c>
      <c r="C1701" t="inlineStr">
        <is>
          <t>EXACT</t>
        </is>
      </c>
      <c r="D1701" t="inlineStr">
        <is>
          <t>IOS Aarav</t>
        </is>
      </c>
      <c r="E1701" s="16" t="n">
        <v>0</v>
      </c>
      <c r="F1701" s="16" t="n">
        <v>5220.22</v>
      </c>
      <c r="G1701" s="17" t="n"/>
      <c r="H1701" s="16" t="n">
        <v>-5220.22</v>
      </c>
      <c r="I1701" s="16" t="n">
        <v>0</v>
      </c>
    </row>
    <row r="1702">
      <c r="A1702" t="inlineStr">
        <is>
          <t>MTR-IOS-1700</t>
        </is>
      </c>
      <c r="B1702" t="inlineStr">
        <is>
          <t>Flatmates</t>
        </is>
      </c>
      <c r="C1702" t="inlineStr">
        <is>
          <t>EXACT</t>
        </is>
      </c>
      <c r="D1702" t="inlineStr">
        <is>
          <t>IOS Meera</t>
        </is>
      </c>
      <c r="E1702" s="16" t="n">
        <v>15676.34</v>
      </c>
      <c r="F1702" s="16" t="n">
        <v>5235.9</v>
      </c>
      <c r="G1702" s="17" t="n"/>
      <c r="H1702" s="16" t="n">
        <v>10440.44</v>
      </c>
      <c r="I1702" s="16" t="n">
        <v>0</v>
      </c>
    </row>
    <row r="1703">
      <c r="A1703" t="inlineStr">
        <is>
          <t>MTR-IOS-1703</t>
        </is>
      </c>
      <c r="B1703" t="inlineStr">
        <is>
          <t>Shared Living</t>
        </is>
      </c>
      <c r="C1703" t="inlineStr">
        <is>
          <t>SHARES</t>
        </is>
      </c>
      <c r="D1703" t="inlineStr">
        <is>
          <t>IOS Owner</t>
        </is>
      </c>
      <c r="E1703" s="16" t="n">
        <v>20869.27</v>
      </c>
      <c r="F1703" s="16" t="n">
        <v>10434.64</v>
      </c>
      <c r="G1703" s="17" t="n"/>
      <c r="H1703" s="16" t="n">
        <v>10434.63</v>
      </c>
      <c r="I1703" s="16" t="n">
        <v>0</v>
      </c>
    </row>
    <row r="1704">
      <c r="A1704" t="inlineStr">
        <is>
          <t>MTR-IOS-1703</t>
        </is>
      </c>
      <c r="B1704" t="inlineStr">
        <is>
          <t>Shared Living</t>
        </is>
      </c>
      <c r="C1704" t="inlineStr">
        <is>
          <t>SHARES</t>
        </is>
      </c>
      <c r="D1704" t="inlineStr">
        <is>
          <t>IOS Aarav</t>
        </is>
      </c>
      <c r="E1704" s="16" t="n">
        <v>0</v>
      </c>
      <c r="F1704" s="16" t="n">
        <v>6956.42</v>
      </c>
      <c r="G1704" s="17" t="n"/>
      <c r="H1704" s="16" t="n">
        <v>-6956.42</v>
      </c>
      <c r="I1704" s="16" t="n">
        <v>0</v>
      </c>
    </row>
    <row r="1705">
      <c r="A1705" t="inlineStr">
        <is>
          <t>MTR-IOS-1703</t>
        </is>
      </c>
      <c r="B1705" t="inlineStr">
        <is>
          <t>Shared Living</t>
        </is>
      </c>
      <c r="C1705" t="inlineStr">
        <is>
          <t>SHARES</t>
        </is>
      </c>
      <c r="D1705" t="inlineStr">
        <is>
          <t>IOS Meera</t>
        </is>
      </c>
      <c r="E1705" s="16" t="n">
        <v>0</v>
      </c>
      <c r="F1705" s="16" t="n">
        <v>3478.21</v>
      </c>
      <c r="G1705" s="17" t="n"/>
      <c r="H1705" s="16" t="n">
        <v>-3478.21</v>
      </c>
      <c r="I1705" s="16" t="n">
        <v>0</v>
      </c>
    </row>
    <row r="1706">
      <c r="A1706" t="inlineStr">
        <is>
          <t>MTR-IOS-1706</t>
        </is>
      </c>
      <c r="B1706" t="inlineStr">
        <is>
          <t>Shared Living</t>
        </is>
      </c>
      <c r="C1706" t="inlineStr">
        <is>
          <t>EQUAL</t>
        </is>
      </c>
      <c r="D1706" t="inlineStr">
        <is>
          <t>IOS Owner</t>
        </is>
      </c>
      <c r="E1706" s="16" t="n">
        <v>0</v>
      </c>
      <c r="F1706" s="16" t="n">
        <v>8551.83</v>
      </c>
      <c r="G1706" s="17" t="n"/>
      <c r="H1706" s="16" t="n">
        <v>-8551.83</v>
      </c>
      <c r="I1706" s="16" t="n">
        <v>0</v>
      </c>
    </row>
    <row r="1707">
      <c r="A1707" t="inlineStr">
        <is>
          <t>MTR-IOS-1706</t>
        </is>
      </c>
      <c r="B1707" t="inlineStr">
        <is>
          <t>Shared Living</t>
        </is>
      </c>
      <c r="C1707" t="inlineStr">
        <is>
          <t>EQUAL</t>
        </is>
      </c>
      <c r="D1707" t="inlineStr">
        <is>
          <t>IOS Aarav</t>
        </is>
      </c>
      <c r="E1707" s="16" t="n">
        <v>25655.5</v>
      </c>
      <c r="F1707" s="16" t="n">
        <v>8551.83</v>
      </c>
      <c r="G1707" s="17" t="n"/>
      <c r="H1707" s="16" t="n">
        <v>17103.67</v>
      </c>
      <c r="I1707" s="16" t="n">
        <v>0</v>
      </c>
    </row>
    <row r="1708">
      <c r="A1708" t="inlineStr">
        <is>
          <t>MTR-IOS-1706</t>
        </is>
      </c>
      <c r="B1708" t="inlineStr">
        <is>
          <t>Shared Living</t>
        </is>
      </c>
      <c r="C1708" t="inlineStr">
        <is>
          <t>EQUAL</t>
        </is>
      </c>
      <c r="D1708" t="inlineStr">
        <is>
          <t>IOS Meera</t>
        </is>
      </c>
      <c r="E1708" s="16" t="n">
        <v>0</v>
      </c>
      <c r="F1708" s="16" t="n">
        <v>8551.84</v>
      </c>
      <c r="G1708" s="17" t="n"/>
      <c r="H1708" s="16" t="n">
        <v>-8551.84</v>
      </c>
      <c r="I1708" s="16" t="n">
        <v>0</v>
      </c>
    </row>
    <row r="1709">
      <c r="A1709" t="inlineStr">
        <is>
          <t>MTR-IOS-1709</t>
        </is>
      </c>
      <c r="B1709" t="inlineStr">
        <is>
          <t>Shared Living</t>
        </is>
      </c>
      <c r="C1709" t="inlineStr">
        <is>
          <t>PERCENTAGE</t>
        </is>
      </c>
      <c r="D1709" t="inlineStr">
        <is>
          <t>IOS Owner</t>
        </is>
      </c>
      <c r="E1709" s="16" t="n">
        <v>0</v>
      </c>
      <c r="F1709" s="16" t="n">
        <v>9208.280000000001</v>
      </c>
      <c r="G1709" s="17" t="n">
        <v>50</v>
      </c>
      <c r="H1709" s="16" t="n">
        <v>-9208.280000000001</v>
      </c>
      <c r="I1709" s="16" t="n">
        <v>0</v>
      </c>
    </row>
    <row r="1710">
      <c r="A1710" t="inlineStr">
        <is>
          <t>MTR-IOS-1709</t>
        </is>
      </c>
      <c r="B1710" t="inlineStr">
        <is>
          <t>Shared Living</t>
        </is>
      </c>
      <c r="C1710" t="inlineStr">
        <is>
          <t>PERCENTAGE</t>
        </is>
      </c>
      <c r="D1710" t="inlineStr">
        <is>
          <t>IOS Aarav</t>
        </is>
      </c>
      <c r="E1710" s="16" t="n">
        <v>0</v>
      </c>
      <c r="F1710" s="16" t="n">
        <v>5524.97</v>
      </c>
      <c r="G1710" s="17" t="n">
        <v>30</v>
      </c>
      <c r="H1710" s="16" t="n">
        <v>-5524.97</v>
      </c>
      <c r="I1710" s="16" t="n">
        <v>0</v>
      </c>
    </row>
    <row r="1711">
      <c r="A1711" t="inlineStr">
        <is>
          <t>MTR-IOS-1709</t>
        </is>
      </c>
      <c r="B1711" t="inlineStr">
        <is>
          <t>Shared Living</t>
        </is>
      </c>
      <c r="C1711" t="inlineStr">
        <is>
          <t>PERCENTAGE</t>
        </is>
      </c>
      <c r="D1711" t="inlineStr">
        <is>
          <t>IOS Meera</t>
        </is>
      </c>
      <c r="E1711" s="16" t="n">
        <v>18416.55</v>
      </c>
      <c r="F1711" s="16" t="n">
        <v>3683.3</v>
      </c>
      <c r="G1711" s="17" t="n">
        <v>20</v>
      </c>
      <c r="H1711" s="16" t="n">
        <v>14733.25</v>
      </c>
      <c r="I1711" s="16" t="n">
        <v>0</v>
      </c>
    </row>
    <row r="1712">
      <c r="A1712" t="inlineStr">
        <is>
          <t>MTR-IOS-1712</t>
        </is>
      </c>
      <c r="B1712" t="inlineStr">
        <is>
          <t>Shared Living</t>
        </is>
      </c>
      <c r="C1712" t="inlineStr">
        <is>
          <t>EXACT</t>
        </is>
      </c>
      <c r="D1712" t="inlineStr">
        <is>
          <t>IOS Owner</t>
        </is>
      </c>
      <c r="E1712" s="16" t="n">
        <v>7595.74</v>
      </c>
      <c r="F1712" s="16" t="n">
        <v>2529.38</v>
      </c>
      <c r="G1712" s="17" t="n"/>
      <c r="H1712" s="16" t="n">
        <v>5066.36</v>
      </c>
      <c r="I1712" s="16" t="n">
        <v>0</v>
      </c>
    </row>
    <row r="1713">
      <c r="A1713" t="inlineStr">
        <is>
          <t>MTR-IOS-1712</t>
        </is>
      </c>
      <c r="B1713" t="inlineStr">
        <is>
          <t>Shared Living</t>
        </is>
      </c>
      <c r="C1713" t="inlineStr">
        <is>
          <t>EXACT</t>
        </is>
      </c>
      <c r="D1713" t="inlineStr">
        <is>
          <t>IOS Aarav</t>
        </is>
      </c>
      <c r="E1713" s="16" t="n">
        <v>0</v>
      </c>
      <c r="F1713" s="16" t="n">
        <v>2529.38</v>
      </c>
      <c r="G1713" s="17" t="n"/>
      <c r="H1713" s="16" t="n">
        <v>-2529.38</v>
      </c>
      <c r="I1713" s="16" t="n">
        <v>0</v>
      </c>
    </row>
    <row r="1714">
      <c r="A1714" t="inlineStr">
        <is>
          <t>MTR-IOS-1712</t>
        </is>
      </c>
      <c r="B1714" t="inlineStr">
        <is>
          <t>Shared Living</t>
        </is>
      </c>
      <c r="C1714" t="inlineStr">
        <is>
          <t>EXACT</t>
        </is>
      </c>
      <c r="D1714" t="inlineStr">
        <is>
          <t>IOS Meera</t>
        </is>
      </c>
      <c r="E1714" s="16" t="n">
        <v>0</v>
      </c>
      <c r="F1714" s="16" t="n">
        <v>2536.98</v>
      </c>
      <c r="G1714" s="17" t="n"/>
      <c r="H1714" s="16" t="n">
        <v>-2536.98</v>
      </c>
      <c r="I1714" s="16" t="n">
        <v>0</v>
      </c>
    </row>
    <row r="1715">
      <c r="A1715" t="inlineStr">
        <is>
          <t>MTR-IOS-1715</t>
        </is>
      </c>
      <c r="B1715" t="inlineStr">
        <is>
          <t>Shared Living</t>
        </is>
      </c>
      <c r="C1715" t="inlineStr">
        <is>
          <t>SHARES</t>
        </is>
      </c>
      <c r="D1715" t="inlineStr">
        <is>
          <t>IOS Owner</t>
        </is>
      </c>
      <c r="E1715" s="16" t="n">
        <v>0</v>
      </c>
      <c r="F1715" s="16" t="n">
        <v>12855.62</v>
      </c>
      <c r="G1715" s="17" t="n"/>
      <c r="H1715" s="16" t="n">
        <v>-12855.62</v>
      </c>
      <c r="I1715" s="16" t="n">
        <v>0</v>
      </c>
    </row>
    <row r="1716">
      <c r="A1716" t="inlineStr">
        <is>
          <t>MTR-IOS-1715</t>
        </is>
      </c>
      <c r="B1716" t="inlineStr">
        <is>
          <t>Shared Living</t>
        </is>
      </c>
      <c r="C1716" t="inlineStr">
        <is>
          <t>SHARES</t>
        </is>
      </c>
      <c r="D1716" t="inlineStr">
        <is>
          <t>IOS Aarav</t>
        </is>
      </c>
      <c r="E1716" s="16" t="n">
        <v>25711.24</v>
      </c>
      <c r="F1716" s="16" t="n">
        <v>8570.41</v>
      </c>
      <c r="G1716" s="17" t="n"/>
      <c r="H1716" s="16" t="n">
        <v>17140.83</v>
      </c>
      <c r="I1716" s="16" t="n">
        <v>0</v>
      </c>
    </row>
    <row r="1717">
      <c r="A1717" t="inlineStr">
        <is>
          <t>MTR-IOS-1715</t>
        </is>
      </c>
      <c r="B1717" t="inlineStr">
        <is>
          <t>Shared Living</t>
        </is>
      </c>
      <c r="C1717" t="inlineStr">
        <is>
          <t>SHARES</t>
        </is>
      </c>
      <c r="D1717" t="inlineStr">
        <is>
          <t>IOS Meera</t>
        </is>
      </c>
      <c r="E1717" s="16" t="n">
        <v>0</v>
      </c>
      <c r="F1717" s="16" t="n">
        <v>4285.21</v>
      </c>
      <c r="G1717" s="17" t="n"/>
      <c r="H1717" s="16" t="n">
        <v>-4285.21</v>
      </c>
      <c r="I1717" s="16" t="n">
        <v>0</v>
      </c>
    </row>
    <row r="1718">
      <c r="A1718" t="inlineStr">
        <is>
          <t>MTR-IOS-1718</t>
        </is>
      </c>
      <c r="B1718" t="inlineStr">
        <is>
          <t>Family Household</t>
        </is>
      </c>
      <c r="C1718" t="inlineStr">
        <is>
          <t>EQUAL</t>
        </is>
      </c>
      <c r="D1718" t="inlineStr">
        <is>
          <t>IOS Owner</t>
        </is>
      </c>
      <c r="E1718" s="16" t="n">
        <v>0</v>
      </c>
      <c r="F1718" s="16" t="n">
        <v>7341.53</v>
      </c>
      <c r="G1718" s="17" t="n"/>
      <c r="H1718" s="16" t="n">
        <v>-7341.53</v>
      </c>
      <c r="I1718" s="16" t="n">
        <v>0</v>
      </c>
    </row>
    <row r="1719">
      <c r="A1719" t="inlineStr">
        <is>
          <t>MTR-IOS-1718</t>
        </is>
      </c>
      <c r="B1719" t="inlineStr">
        <is>
          <t>Family Household</t>
        </is>
      </c>
      <c r="C1719" t="inlineStr">
        <is>
          <t>EQUAL</t>
        </is>
      </c>
      <c r="D1719" t="inlineStr">
        <is>
          <t>IOS Aarav</t>
        </is>
      </c>
      <c r="E1719" s="16" t="n">
        <v>0</v>
      </c>
      <c r="F1719" s="16" t="n">
        <v>7341.53</v>
      </c>
      <c r="G1719" s="17" t="n"/>
      <c r="H1719" s="16" t="n">
        <v>-7341.53</v>
      </c>
      <c r="I1719" s="16" t="n">
        <v>0</v>
      </c>
    </row>
    <row r="1720">
      <c r="A1720" t="inlineStr">
        <is>
          <t>MTR-IOS-1718</t>
        </is>
      </c>
      <c r="B1720" t="inlineStr">
        <is>
          <t>Family Household</t>
        </is>
      </c>
      <c r="C1720" t="inlineStr">
        <is>
          <t>EQUAL</t>
        </is>
      </c>
      <c r="D1720" t="inlineStr">
        <is>
          <t>IOS Meera</t>
        </is>
      </c>
      <c r="E1720" s="16" t="n">
        <v>22024.59</v>
      </c>
      <c r="F1720" s="16" t="n">
        <v>7341.53</v>
      </c>
      <c r="G1720" s="17" t="n"/>
      <c r="H1720" s="16" t="n">
        <v>14683.06</v>
      </c>
      <c r="I1720" s="16" t="n">
        <v>0</v>
      </c>
    </row>
    <row r="1721">
      <c r="A1721" t="inlineStr">
        <is>
          <t>MTR-IOS-1721</t>
        </is>
      </c>
      <c r="B1721" t="inlineStr">
        <is>
          <t>Family Household</t>
        </is>
      </c>
      <c r="C1721" t="inlineStr">
        <is>
          <t>PERCENTAGE</t>
        </is>
      </c>
      <c r="D1721" t="inlineStr">
        <is>
          <t>IOS Owner</t>
        </is>
      </c>
      <c r="E1721" s="16" t="n">
        <v>8715.26</v>
      </c>
      <c r="F1721" s="16" t="n">
        <v>4357.63</v>
      </c>
      <c r="G1721" s="17" t="n">
        <v>50</v>
      </c>
      <c r="H1721" s="16" t="n">
        <v>4357.63</v>
      </c>
      <c r="I1721" s="16" t="n">
        <v>0</v>
      </c>
    </row>
    <row r="1722">
      <c r="A1722" t="inlineStr">
        <is>
          <t>MTR-IOS-1721</t>
        </is>
      </c>
      <c r="B1722" t="inlineStr">
        <is>
          <t>Family Household</t>
        </is>
      </c>
      <c r="C1722" t="inlineStr">
        <is>
          <t>PERCENTAGE</t>
        </is>
      </c>
      <c r="D1722" t="inlineStr">
        <is>
          <t>IOS Aarav</t>
        </is>
      </c>
      <c r="E1722" s="16" t="n">
        <v>0</v>
      </c>
      <c r="F1722" s="16" t="n">
        <v>2614.58</v>
      </c>
      <c r="G1722" s="17" t="n">
        <v>30</v>
      </c>
      <c r="H1722" s="16" t="n">
        <v>-2614.58</v>
      </c>
      <c r="I1722" s="16" t="n">
        <v>0</v>
      </c>
    </row>
    <row r="1723">
      <c r="A1723" t="inlineStr">
        <is>
          <t>MTR-IOS-1721</t>
        </is>
      </c>
      <c r="B1723" t="inlineStr">
        <is>
          <t>Family Household</t>
        </is>
      </c>
      <c r="C1723" t="inlineStr">
        <is>
          <t>PERCENTAGE</t>
        </is>
      </c>
      <c r="D1723" t="inlineStr">
        <is>
          <t>IOS Meera</t>
        </is>
      </c>
      <c r="E1723" s="16" t="n">
        <v>0</v>
      </c>
      <c r="F1723" s="16" t="n">
        <v>1743.05</v>
      </c>
      <c r="G1723" s="17" t="n">
        <v>20</v>
      </c>
      <c r="H1723" s="16" t="n">
        <v>-1743.05</v>
      </c>
      <c r="I1723" s="16" t="n">
        <v>0</v>
      </c>
    </row>
    <row r="1724">
      <c r="A1724" t="inlineStr">
        <is>
          <t>MTR-IOS-1724</t>
        </is>
      </c>
      <c r="B1724" t="inlineStr">
        <is>
          <t>Family Household</t>
        </is>
      </c>
      <c r="C1724" t="inlineStr">
        <is>
          <t>EXACT</t>
        </is>
      </c>
      <c r="D1724" t="inlineStr">
        <is>
          <t>IOS Owner</t>
        </is>
      </c>
      <c r="E1724" s="16" t="n">
        <v>0</v>
      </c>
      <c r="F1724" s="16" t="n">
        <v>8578.639999999999</v>
      </c>
      <c r="G1724" s="17" t="n"/>
      <c r="H1724" s="16" t="n">
        <v>-8578.639999999999</v>
      </c>
      <c r="I1724" s="16" t="n">
        <v>0</v>
      </c>
    </row>
    <row r="1725">
      <c r="A1725" t="inlineStr">
        <is>
          <t>MTR-IOS-1724</t>
        </is>
      </c>
      <c r="B1725" t="inlineStr">
        <is>
          <t>Family Household</t>
        </is>
      </c>
      <c r="C1725" t="inlineStr">
        <is>
          <t>EXACT</t>
        </is>
      </c>
      <c r="D1725" t="inlineStr">
        <is>
          <t>IOS Aarav</t>
        </is>
      </c>
      <c r="E1725" s="16" t="n">
        <v>25761.67</v>
      </c>
      <c r="F1725" s="16" t="n">
        <v>8578.639999999999</v>
      </c>
      <c r="G1725" s="17" t="n"/>
      <c r="H1725" s="16" t="n">
        <v>17183.03</v>
      </c>
      <c r="I1725" s="16" t="n">
        <v>0</v>
      </c>
    </row>
    <row r="1726">
      <c r="A1726" t="inlineStr">
        <is>
          <t>MTR-IOS-1724</t>
        </is>
      </c>
      <c r="B1726" t="inlineStr">
        <is>
          <t>Family Household</t>
        </is>
      </c>
      <c r="C1726" t="inlineStr">
        <is>
          <t>EXACT</t>
        </is>
      </c>
      <c r="D1726" t="inlineStr">
        <is>
          <t>IOS Meera</t>
        </is>
      </c>
      <c r="E1726" s="16" t="n">
        <v>0</v>
      </c>
      <c r="F1726" s="16" t="n">
        <v>8604.389999999999</v>
      </c>
      <c r="G1726" s="17" t="n"/>
      <c r="H1726" s="16" t="n">
        <v>-8604.389999999999</v>
      </c>
      <c r="I1726" s="16" t="n">
        <v>0</v>
      </c>
    </row>
    <row r="1727">
      <c r="A1727" t="inlineStr">
        <is>
          <t>MTR-IOS-1727</t>
        </is>
      </c>
      <c r="B1727" t="inlineStr">
        <is>
          <t>Family Household</t>
        </is>
      </c>
      <c r="C1727" t="inlineStr">
        <is>
          <t>SHARES</t>
        </is>
      </c>
      <c r="D1727" t="inlineStr">
        <is>
          <t>IOS Owner</t>
        </is>
      </c>
      <c r="E1727" s="16" t="n">
        <v>0</v>
      </c>
      <c r="F1727" s="16" t="n">
        <v>4725.5</v>
      </c>
      <c r="G1727" s="17" t="n"/>
      <c r="H1727" s="16" t="n">
        <v>-4725.5</v>
      </c>
      <c r="I1727" s="16" t="n">
        <v>0</v>
      </c>
    </row>
    <row r="1728">
      <c r="A1728" t="inlineStr">
        <is>
          <t>MTR-IOS-1727</t>
        </is>
      </c>
      <c r="B1728" t="inlineStr">
        <is>
          <t>Family Household</t>
        </is>
      </c>
      <c r="C1728" t="inlineStr">
        <is>
          <t>SHARES</t>
        </is>
      </c>
      <c r="D1728" t="inlineStr">
        <is>
          <t>IOS Aarav</t>
        </is>
      </c>
      <c r="E1728" s="16" t="n">
        <v>0</v>
      </c>
      <c r="F1728" s="16" t="n">
        <v>3150.33</v>
      </c>
      <c r="G1728" s="17" t="n"/>
      <c r="H1728" s="16" t="n">
        <v>-3150.33</v>
      </c>
      <c r="I1728" s="16" t="n">
        <v>0</v>
      </c>
    </row>
    <row r="1729">
      <c r="A1729" t="inlineStr">
        <is>
          <t>MTR-IOS-1727</t>
        </is>
      </c>
      <c r="B1729" t="inlineStr">
        <is>
          <t>Family Household</t>
        </is>
      </c>
      <c r="C1729" t="inlineStr">
        <is>
          <t>SHARES</t>
        </is>
      </c>
      <c r="D1729" t="inlineStr">
        <is>
          <t>IOS Meera</t>
        </is>
      </c>
      <c r="E1729" s="16" t="n">
        <v>9451</v>
      </c>
      <c r="F1729" s="16" t="n">
        <v>1575.17</v>
      </c>
      <c r="G1729" s="17" t="n"/>
      <c r="H1729" s="16" t="n">
        <v>7875.83</v>
      </c>
      <c r="I1729" s="16" t="n">
        <v>0</v>
      </c>
    </row>
    <row r="1730">
      <c r="A1730" t="inlineStr">
        <is>
          <t>MTR-IOS-1730</t>
        </is>
      </c>
      <c r="B1730" t="inlineStr">
        <is>
          <t>Family Household</t>
        </is>
      </c>
      <c r="C1730" t="inlineStr">
        <is>
          <t>EQUAL</t>
        </is>
      </c>
      <c r="D1730" t="inlineStr">
        <is>
          <t>IOS Owner</t>
        </is>
      </c>
      <c r="E1730" s="16" t="n">
        <v>11400.18</v>
      </c>
      <c r="F1730" s="16" t="n">
        <v>3800.06</v>
      </c>
      <c r="G1730" s="17" t="n"/>
      <c r="H1730" s="16" t="n">
        <v>7600.12</v>
      </c>
      <c r="I1730" s="16" t="n">
        <v>0</v>
      </c>
    </row>
    <row r="1731">
      <c r="A1731" t="inlineStr">
        <is>
          <t>MTR-IOS-1730</t>
        </is>
      </c>
      <c r="B1731" t="inlineStr">
        <is>
          <t>Family Household</t>
        </is>
      </c>
      <c r="C1731" t="inlineStr">
        <is>
          <t>EQUAL</t>
        </is>
      </c>
      <c r="D1731" t="inlineStr">
        <is>
          <t>IOS Aarav</t>
        </is>
      </c>
      <c r="E1731" s="16" t="n">
        <v>0</v>
      </c>
      <c r="F1731" s="16" t="n">
        <v>3800.06</v>
      </c>
      <c r="G1731" s="17" t="n"/>
      <c r="H1731" s="16" t="n">
        <v>-3800.06</v>
      </c>
      <c r="I1731" s="16" t="n">
        <v>0</v>
      </c>
    </row>
    <row r="1732">
      <c r="A1732" t="inlineStr">
        <is>
          <t>MTR-IOS-1730</t>
        </is>
      </c>
      <c r="B1732" t="inlineStr">
        <is>
          <t>Family Household</t>
        </is>
      </c>
      <c r="C1732" t="inlineStr">
        <is>
          <t>EQUAL</t>
        </is>
      </c>
      <c r="D1732" t="inlineStr">
        <is>
          <t>IOS Meera</t>
        </is>
      </c>
      <c r="E1732" s="16" t="n">
        <v>0</v>
      </c>
      <c r="F1732" s="16" t="n">
        <v>3800.06</v>
      </c>
      <c r="G1732" s="17" t="n"/>
      <c r="H1732" s="16" t="n">
        <v>-3800.06</v>
      </c>
      <c r="I1732" s="16" t="n">
        <v>0</v>
      </c>
    </row>
    <row r="1733">
      <c r="A1733" t="inlineStr">
        <is>
          <t>MTR-IOS-1733</t>
        </is>
      </c>
      <c r="B1733" t="inlineStr">
        <is>
          <t>Family Household</t>
        </is>
      </c>
      <c r="C1733" t="inlineStr">
        <is>
          <t>PERCENTAGE</t>
        </is>
      </c>
      <c r="D1733" t="inlineStr">
        <is>
          <t>IOS Owner</t>
        </is>
      </c>
      <c r="E1733" s="16" t="n">
        <v>0</v>
      </c>
      <c r="F1733" s="16" t="n">
        <v>4131.31</v>
      </c>
      <c r="G1733" s="17" t="n">
        <v>50</v>
      </c>
      <c r="H1733" s="16" t="n">
        <v>-4131.31</v>
      </c>
      <c r="I1733" s="16" t="n">
        <v>0</v>
      </c>
    </row>
    <row r="1734">
      <c r="A1734" t="inlineStr">
        <is>
          <t>MTR-IOS-1733</t>
        </is>
      </c>
      <c r="B1734" t="inlineStr">
        <is>
          <t>Family Household</t>
        </is>
      </c>
      <c r="C1734" t="inlineStr">
        <is>
          <t>PERCENTAGE</t>
        </is>
      </c>
      <c r="D1734" t="inlineStr">
        <is>
          <t>IOS Aarav</t>
        </is>
      </c>
      <c r="E1734" s="16" t="n">
        <v>8262.620000000001</v>
      </c>
      <c r="F1734" s="16" t="n">
        <v>2478.79</v>
      </c>
      <c r="G1734" s="17" t="n">
        <v>30</v>
      </c>
      <c r="H1734" s="16" t="n">
        <v>5783.83</v>
      </c>
      <c r="I1734" s="16" t="n">
        <v>0</v>
      </c>
    </row>
    <row r="1735">
      <c r="A1735" t="inlineStr">
        <is>
          <t>MTR-IOS-1733</t>
        </is>
      </c>
      <c r="B1735" t="inlineStr">
        <is>
          <t>Family Household</t>
        </is>
      </c>
      <c r="C1735" t="inlineStr">
        <is>
          <t>PERCENTAGE</t>
        </is>
      </c>
      <c r="D1735" t="inlineStr">
        <is>
          <t>IOS Meera</t>
        </is>
      </c>
      <c r="E1735" s="16" t="n">
        <v>0</v>
      </c>
      <c r="F1735" s="16" t="n">
        <v>1652.52</v>
      </c>
      <c r="G1735" s="17" t="n">
        <v>20</v>
      </c>
      <c r="H1735" s="16" t="n">
        <v>-1652.52</v>
      </c>
      <c r="I1735" s="16" t="n">
        <v>0</v>
      </c>
    </row>
    <row r="1736">
      <c r="A1736" t="inlineStr">
        <is>
          <t>MTR-IOS-1736</t>
        </is>
      </c>
      <c r="B1736" t="inlineStr">
        <is>
          <t>Custom Living</t>
        </is>
      </c>
      <c r="C1736" t="inlineStr">
        <is>
          <t>EXACT</t>
        </is>
      </c>
      <c r="D1736" t="inlineStr">
        <is>
          <t>IOS Owner</t>
        </is>
      </c>
      <c r="E1736" s="16" t="n">
        <v>0</v>
      </c>
      <c r="F1736" s="16" t="n">
        <v>1479.36</v>
      </c>
      <c r="G1736" s="17" t="n"/>
      <c r="H1736" s="16" t="n">
        <v>-1479.36</v>
      </c>
      <c r="I1736" s="16" t="n">
        <v>0</v>
      </c>
    </row>
    <row r="1737">
      <c r="A1737" t="inlineStr">
        <is>
          <t>MTR-IOS-1736</t>
        </is>
      </c>
      <c r="B1737" t="inlineStr">
        <is>
          <t>Custom Living</t>
        </is>
      </c>
      <c r="C1737" t="inlineStr">
        <is>
          <t>EXACT</t>
        </is>
      </c>
      <c r="D1737" t="inlineStr">
        <is>
          <t>IOS Aarav</t>
        </is>
      </c>
      <c r="E1737" s="16" t="n">
        <v>0</v>
      </c>
      <c r="F1737" s="16" t="n">
        <v>1479.36</v>
      </c>
      <c r="G1737" s="17" t="n"/>
      <c r="H1737" s="16" t="n">
        <v>-1479.36</v>
      </c>
      <c r="I1737" s="16" t="n">
        <v>0</v>
      </c>
    </row>
    <row r="1738">
      <c r="A1738" t="inlineStr">
        <is>
          <t>MTR-IOS-1736</t>
        </is>
      </c>
      <c r="B1738" t="inlineStr">
        <is>
          <t>Custom Living</t>
        </is>
      </c>
      <c r="C1738" t="inlineStr">
        <is>
          <t>EXACT</t>
        </is>
      </c>
      <c r="D1738" t="inlineStr">
        <is>
          <t>IOS Meera</t>
        </is>
      </c>
      <c r="E1738" s="16" t="n">
        <v>4442.53</v>
      </c>
      <c r="F1738" s="16" t="n">
        <v>1483.81</v>
      </c>
      <c r="G1738" s="17" t="n"/>
      <c r="H1738" s="16" t="n">
        <v>2958.72</v>
      </c>
      <c r="I1738" s="16" t="n">
        <v>0</v>
      </c>
    </row>
    <row r="1739">
      <c r="A1739" t="inlineStr">
        <is>
          <t>MTR-IOS-1739</t>
        </is>
      </c>
      <c r="B1739" t="inlineStr">
        <is>
          <t>Custom Living</t>
        </is>
      </c>
      <c r="C1739" t="inlineStr">
        <is>
          <t>SHARES</t>
        </is>
      </c>
      <c r="D1739" t="inlineStr">
        <is>
          <t>IOS Owner</t>
        </is>
      </c>
      <c r="E1739" s="16" t="n">
        <v>10000</v>
      </c>
      <c r="F1739" s="16" t="n">
        <v>5000</v>
      </c>
      <c r="G1739" s="17" t="n"/>
      <c r="H1739" s="16" t="n">
        <v>5000</v>
      </c>
      <c r="I1739" s="16" t="n">
        <v>0</v>
      </c>
    </row>
    <row r="1740">
      <c r="A1740" t="inlineStr">
        <is>
          <t>MTR-IOS-1739</t>
        </is>
      </c>
      <c r="B1740" t="inlineStr">
        <is>
          <t>Custom Living</t>
        </is>
      </c>
      <c r="C1740" t="inlineStr">
        <is>
          <t>SHARES</t>
        </is>
      </c>
      <c r="D1740" t="inlineStr">
        <is>
          <t>IOS Aarav</t>
        </is>
      </c>
      <c r="E1740" s="16" t="n">
        <v>0</v>
      </c>
      <c r="F1740" s="16" t="n">
        <v>3333.33</v>
      </c>
      <c r="G1740" s="17" t="n"/>
      <c r="H1740" s="16" t="n">
        <v>-3333.33</v>
      </c>
      <c r="I1740" s="16" t="n">
        <v>0</v>
      </c>
    </row>
    <row r="1741">
      <c r="A1741" t="inlineStr">
        <is>
          <t>MTR-IOS-1739</t>
        </is>
      </c>
      <c r="B1741" t="inlineStr">
        <is>
          <t>Custom Living</t>
        </is>
      </c>
      <c r="C1741" t="inlineStr">
        <is>
          <t>SHARES</t>
        </is>
      </c>
      <c r="D1741" t="inlineStr">
        <is>
          <t>IOS Meera</t>
        </is>
      </c>
      <c r="E1741" s="16" t="n">
        <v>0</v>
      </c>
      <c r="F1741" s="16" t="n">
        <v>1666.67</v>
      </c>
      <c r="G1741" s="17" t="n"/>
      <c r="H1741" s="16" t="n">
        <v>-1666.67</v>
      </c>
      <c r="I1741" s="16" t="n">
        <v>0</v>
      </c>
    </row>
    <row r="1742">
      <c r="A1742" t="inlineStr">
        <is>
          <t>MTR-IOS-1742</t>
        </is>
      </c>
      <c r="B1742" t="inlineStr">
        <is>
          <t>Trip</t>
        </is>
      </c>
      <c r="C1742" t="inlineStr">
        <is>
          <t>EQUAL</t>
        </is>
      </c>
      <c r="D1742" t="inlineStr">
        <is>
          <t>IOS Owner</t>
        </is>
      </c>
      <c r="E1742" s="16" t="n">
        <v>0</v>
      </c>
      <c r="F1742" s="16" t="n">
        <v>5748.13</v>
      </c>
      <c r="G1742" s="17" t="n"/>
      <c r="H1742" s="16" t="n">
        <v>-5748.13</v>
      </c>
      <c r="I1742" s="16" t="n">
        <v>0</v>
      </c>
    </row>
    <row r="1743">
      <c r="A1743" t="inlineStr">
        <is>
          <t>MTR-IOS-1742</t>
        </is>
      </c>
      <c r="B1743" t="inlineStr">
        <is>
          <t>Trip</t>
        </is>
      </c>
      <c r="C1743" t="inlineStr">
        <is>
          <t>EQUAL</t>
        </is>
      </c>
      <c r="D1743" t="inlineStr">
        <is>
          <t>IOS Aarav</t>
        </is>
      </c>
      <c r="E1743" s="16" t="n">
        <v>17244.38</v>
      </c>
      <c r="F1743" s="16" t="n">
        <v>5748.13</v>
      </c>
      <c r="G1743" s="17" t="n"/>
      <c r="H1743" s="16" t="n">
        <v>11496.25</v>
      </c>
      <c r="I1743" s="16" t="n">
        <v>0</v>
      </c>
    </row>
    <row r="1744">
      <c r="A1744" t="inlineStr">
        <is>
          <t>MTR-IOS-1742</t>
        </is>
      </c>
      <c r="B1744" t="inlineStr">
        <is>
          <t>Trip</t>
        </is>
      </c>
      <c r="C1744" t="inlineStr">
        <is>
          <t>EQUAL</t>
        </is>
      </c>
      <c r="D1744" t="inlineStr">
        <is>
          <t>IOS Meera</t>
        </is>
      </c>
      <c r="E1744" s="16" t="n">
        <v>0</v>
      </c>
      <c r="F1744" s="16" t="n">
        <v>5748.12</v>
      </c>
      <c r="G1744" s="17" t="n"/>
      <c r="H1744" s="16" t="n">
        <v>-5748.12</v>
      </c>
      <c r="I1744" s="16" t="n">
        <v>0</v>
      </c>
    </row>
    <row r="1745">
      <c r="A1745" t="inlineStr">
        <is>
          <t>MTR-IOS-1745</t>
        </is>
      </c>
      <c r="B1745" t="inlineStr">
        <is>
          <t>Trip</t>
        </is>
      </c>
      <c r="C1745" t="inlineStr">
        <is>
          <t>PERCENTAGE</t>
        </is>
      </c>
      <c r="D1745" t="inlineStr">
        <is>
          <t>IOS Owner</t>
        </is>
      </c>
      <c r="E1745" s="16" t="n">
        <v>0</v>
      </c>
      <c r="F1745" s="16" t="n">
        <v>10358.02</v>
      </c>
      <c r="G1745" s="17" t="n">
        <v>50</v>
      </c>
      <c r="H1745" s="16" t="n">
        <v>-10358.02</v>
      </c>
      <c r="I1745" s="16" t="n">
        <v>0</v>
      </c>
    </row>
    <row r="1746">
      <c r="A1746" t="inlineStr">
        <is>
          <t>MTR-IOS-1745</t>
        </is>
      </c>
      <c r="B1746" t="inlineStr">
        <is>
          <t>Trip</t>
        </is>
      </c>
      <c r="C1746" t="inlineStr">
        <is>
          <t>PERCENTAGE</t>
        </is>
      </c>
      <c r="D1746" t="inlineStr">
        <is>
          <t>IOS Aarav</t>
        </is>
      </c>
      <c r="E1746" s="16" t="n">
        <v>0</v>
      </c>
      <c r="F1746" s="16" t="n">
        <v>6214.81</v>
      </c>
      <c r="G1746" s="17" t="n">
        <v>30</v>
      </c>
      <c r="H1746" s="16" t="n">
        <v>-6214.81</v>
      </c>
      <c r="I1746" s="16" t="n">
        <v>0</v>
      </c>
    </row>
    <row r="1747">
      <c r="A1747" t="inlineStr">
        <is>
          <t>MTR-IOS-1745</t>
        </is>
      </c>
      <c r="B1747" t="inlineStr">
        <is>
          <t>Trip</t>
        </is>
      </c>
      <c r="C1747" t="inlineStr">
        <is>
          <t>PERCENTAGE</t>
        </is>
      </c>
      <c r="D1747" t="inlineStr">
        <is>
          <t>IOS Meera</t>
        </is>
      </c>
      <c r="E1747" s="16" t="n">
        <v>20716.03</v>
      </c>
      <c r="F1747" s="16" t="n">
        <v>4143.2</v>
      </c>
      <c r="G1747" s="17" t="n">
        <v>20</v>
      </c>
      <c r="H1747" s="16" t="n">
        <v>16572.83</v>
      </c>
      <c r="I1747" s="16" t="n">
        <v>0</v>
      </c>
    </row>
    <row r="1748">
      <c r="A1748" t="inlineStr">
        <is>
          <t>MTR-IOS-1748</t>
        </is>
      </c>
      <c r="B1748" t="inlineStr">
        <is>
          <t>Trip</t>
        </is>
      </c>
      <c r="C1748" t="inlineStr">
        <is>
          <t>EXACT</t>
        </is>
      </c>
      <c r="D1748" t="inlineStr">
        <is>
          <t>IOS Owner</t>
        </is>
      </c>
      <c r="E1748" s="16" t="n">
        <v>4722.27</v>
      </c>
      <c r="F1748" s="16" t="n">
        <v>1572.52</v>
      </c>
      <c r="G1748" s="17" t="n"/>
      <c r="H1748" s="16" t="n">
        <v>3149.75</v>
      </c>
      <c r="I1748" s="16" t="n">
        <v>0</v>
      </c>
    </row>
    <row r="1749">
      <c r="A1749" t="inlineStr">
        <is>
          <t>MTR-IOS-1748</t>
        </is>
      </c>
      <c r="B1749" t="inlineStr">
        <is>
          <t>Trip</t>
        </is>
      </c>
      <c r="C1749" t="inlineStr">
        <is>
          <t>EXACT</t>
        </is>
      </c>
      <c r="D1749" t="inlineStr">
        <is>
          <t>IOS Aarav</t>
        </is>
      </c>
      <c r="E1749" s="16" t="n">
        <v>0</v>
      </c>
      <c r="F1749" s="16" t="n">
        <v>1572.52</v>
      </c>
      <c r="G1749" s="17" t="n"/>
      <c r="H1749" s="16" t="n">
        <v>-1572.52</v>
      </c>
      <c r="I1749" s="16" t="n">
        <v>0</v>
      </c>
    </row>
    <row r="1750">
      <c r="A1750" t="inlineStr">
        <is>
          <t>MTR-IOS-1748</t>
        </is>
      </c>
      <c r="B1750" t="inlineStr">
        <is>
          <t>Trip</t>
        </is>
      </c>
      <c r="C1750" t="inlineStr">
        <is>
          <t>EXACT</t>
        </is>
      </c>
      <c r="D1750" t="inlineStr">
        <is>
          <t>IOS Meera</t>
        </is>
      </c>
      <c r="E1750" s="16" t="n">
        <v>0</v>
      </c>
      <c r="F1750" s="16" t="n">
        <v>1577.23</v>
      </c>
      <c r="G1750" s="17" t="n"/>
      <c r="H1750" s="16" t="n">
        <v>-1577.23</v>
      </c>
      <c r="I1750" s="16" t="n">
        <v>0</v>
      </c>
    </row>
    <row r="1751">
      <c r="A1751" t="inlineStr">
        <is>
          <t>MTR-IOS-1751</t>
        </is>
      </c>
      <c r="B1751" t="inlineStr">
        <is>
          <t>Trip</t>
        </is>
      </c>
      <c r="C1751" t="inlineStr">
        <is>
          <t>SHARES</t>
        </is>
      </c>
      <c r="D1751" t="inlineStr">
        <is>
          <t>IOS Owner</t>
        </is>
      </c>
      <c r="E1751" s="16" t="n">
        <v>0</v>
      </c>
      <c r="F1751" s="16" t="n">
        <v>3680.14</v>
      </c>
      <c r="G1751" s="17" t="n"/>
      <c r="H1751" s="16" t="n">
        <v>-3680.14</v>
      </c>
      <c r="I1751" s="16" t="n">
        <v>0</v>
      </c>
    </row>
    <row r="1752">
      <c r="A1752" t="inlineStr">
        <is>
          <t>MTR-IOS-1751</t>
        </is>
      </c>
      <c r="B1752" t="inlineStr">
        <is>
          <t>Trip</t>
        </is>
      </c>
      <c r="C1752" t="inlineStr">
        <is>
          <t>SHARES</t>
        </is>
      </c>
      <c r="D1752" t="inlineStr">
        <is>
          <t>IOS Aarav</t>
        </is>
      </c>
      <c r="E1752" s="16" t="n">
        <v>7360.27</v>
      </c>
      <c r="F1752" s="16" t="n">
        <v>2453.42</v>
      </c>
      <c r="G1752" s="17" t="n"/>
      <c r="H1752" s="16" t="n">
        <v>4906.85</v>
      </c>
      <c r="I1752" s="16" t="n">
        <v>0</v>
      </c>
    </row>
    <row r="1753">
      <c r="A1753" t="inlineStr">
        <is>
          <t>MTR-IOS-1751</t>
        </is>
      </c>
      <c r="B1753" t="inlineStr">
        <is>
          <t>Trip</t>
        </is>
      </c>
      <c r="C1753" t="inlineStr">
        <is>
          <t>SHARES</t>
        </is>
      </c>
      <c r="D1753" t="inlineStr">
        <is>
          <t>IOS Meera</t>
        </is>
      </c>
      <c r="E1753" s="16" t="n">
        <v>0</v>
      </c>
      <c r="F1753" s="16" t="n">
        <v>1226.71</v>
      </c>
      <c r="G1753" s="17" t="n"/>
      <c r="H1753" s="16" t="n">
        <v>-1226.71</v>
      </c>
      <c r="I1753" s="16" t="n">
        <v>0</v>
      </c>
    </row>
    <row r="1754">
      <c r="A1754" t="inlineStr">
        <is>
          <t>MTR-IOS-1754</t>
        </is>
      </c>
      <c r="B1754" t="inlineStr">
        <is>
          <t>Trip</t>
        </is>
      </c>
      <c r="C1754" t="inlineStr">
        <is>
          <t>EQUAL</t>
        </is>
      </c>
      <c r="D1754" t="inlineStr">
        <is>
          <t>IOS Owner</t>
        </is>
      </c>
      <c r="E1754" s="16" t="n">
        <v>0</v>
      </c>
      <c r="F1754" s="16" t="n">
        <v>3827.87</v>
      </c>
      <c r="G1754" s="17" t="n"/>
      <c r="H1754" s="16" t="n">
        <v>-3827.87</v>
      </c>
      <c r="I1754" s="16" t="n">
        <v>0</v>
      </c>
    </row>
    <row r="1755">
      <c r="A1755" t="inlineStr">
        <is>
          <t>MTR-IOS-1754</t>
        </is>
      </c>
      <c r="B1755" t="inlineStr">
        <is>
          <t>Trip</t>
        </is>
      </c>
      <c r="C1755" t="inlineStr">
        <is>
          <t>EQUAL</t>
        </is>
      </c>
      <c r="D1755" t="inlineStr">
        <is>
          <t>IOS Aarav</t>
        </is>
      </c>
      <c r="E1755" s="16" t="n">
        <v>0</v>
      </c>
      <c r="F1755" s="16" t="n">
        <v>3827.87</v>
      </c>
      <c r="G1755" s="17" t="n"/>
      <c r="H1755" s="16" t="n">
        <v>-3827.87</v>
      </c>
      <c r="I1755" s="16" t="n">
        <v>0</v>
      </c>
    </row>
    <row r="1756">
      <c r="A1756" t="inlineStr">
        <is>
          <t>MTR-IOS-1754</t>
        </is>
      </c>
      <c r="B1756" t="inlineStr">
        <is>
          <t>Trip</t>
        </is>
      </c>
      <c r="C1756" t="inlineStr">
        <is>
          <t>EQUAL</t>
        </is>
      </c>
      <c r="D1756" t="inlineStr">
        <is>
          <t>IOS Meera</t>
        </is>
      </c>
      <c r="E1756" s="16" t="n">
        <v>11483.6</v>
      </c>
      <c r="F1756" s="16" t="n">
        <v>3827.86</v>
      </c>
      <c r="G1756" s="17" t="n"/>
      <c r="H1756" s="16" t="n">
        <v>7655.74</v>
      </c>
      <c r="I1756" s="16" t="n">
        <v>0</v>
      </c>
    </row>
    <row r="1757">
      <c r="A1757" t="inlineStr">
        <is>
          <t>MTR-IOS-1757</t>
        </is>
      </c>
      <c r="B1757" t="inlineStr">
        <is>
          <t>Trip</t>
        </is>
      </c>
      <c r="C1757" t="inlineStr">
        <is>
          <t>PERCENTAGE</t>
        </is>
      </c>
      <c r="D1757" t="inlineStr">
        <is>
          <t>IOS Owner</t>
        </is>
      </c>
      <c r="E1757" s="16" t="n">
        <v>19552.66</v>
      </c>
      <c r="F1757" s="16" t="n">
        <v>9776.33</v>
      </c>
      <c r="G1757" s="17" t="n">
        <v>50</v>
      </c>
      <c r="H1757" s="16" t="n">
        <v>9776.33</v>
      </c>
      <c r="I1757" s="16" t="n">
        <v>0</v>
      </c>
    </row>
    <row r="1758">
      <c r="A1758" t="inlineStr">
        <is>
          <t>MTR-IOS-1757</t>
        </is>
      </c>
      <c r="B1758" t="inlineStr">
        <is>
          <t>Trip</t>
        </is>
      </c>
      <c r="C1758" t="inlineStr">
        <is>
          <t>PERCENTAGE</t>
        </is>
      </c>
      <c r="D1758" t="inlineStr">
        <is>
          <t>IOS Aarav</t>
        </is>
      </c>
      <c r="E1758" s="16" t="n">
        <v>0</v>
      </c>
      <c r="F1758" s="16" t="n">
        <v>5865.8</v>
      </c>
      <c r="G1758" s="17" t="n">
        <v>30</v>
      </c>
      <c r="H1758" s="16" t="n">
        <v>-5865.8</v>
      </c>
      <c r="I1758" s="16" t="n">
        <v>0</v>
      </c>
    </row>
    <row r="1759">
      <c r="A1759" t="inlineStr">
        <is>
          <t>MTR-IOS-1757</t>
        </is>
      </c>
      <c r="B1759" t="inlineStr">
        <is>
          <t>Trip</t>
        </is>
      </c>
      <c r="C1759" t="inlineStr">
        <is>
          <t>PERCENTAGE</t>
        </is>
      </c>
      <c r="D1759" t="inlineStr">
        <is>
          <t>IOS Meera</t>
        </is>
      </c>
      <c r="E1759" s="16" t="n">
        <v>0</v>
      </c>
      <c r="F1759" s="16" t="n">
        <v>3910.53</v>
      </c>
      <c r="G1759" s="17" t="n">
        <v>20</v>
      </c>
      <c r="H1759" s="16" t="n">
        <v>-3910.53</v>
      </c>
      <c r="I1759" s="16" t="n">
        <v>0</v>
      </c>
    </row>
    <row r="1760">
      <c r="A1760" t="inlineStr">
        <is>
          <t>MTR-IOS-1760</t>
        </is>
      </c>
      <c r="B1760" t="inlineStr">
        <is>
          <t>Trip</t>
        </is>
      </c>
      <c r="C1760" t="inlineStr">
        <is>
          <t>EXACT</t>
        </is>
      </c>
      <c r="D1760" t="inlineStr">
        <is>
          <t>IOS Owner</t>
        </is>
      </c>
      <c r="E1760" s="16" t="n">
        <v>0</v>
      </c>
      <c r="F1760" s="16" t="n">
        <v>2842.16</v>
      </c>
      <c r="G1760" s="17" t="n"/>
      <c r="H1760" s="16" t="n">
        <v>-2842.16</v>
      </c>
      <c r="I1760" s="16" t="n">
        <v>0</v>
      </c>
    </row>
    <row r="1761">
      <c r="A1761" t="inlineStr">
        <is>
          <t>MTR-IOS-1760</t>
        </is>
      </c>
      <c r="B1761" t="inlineStr">
        <is>
          <t>Trip</t>
        </is>
      </c>
      <c r="C1761" t="inlineStr">
        <is>
          <t>EXACT</t>
        </is>
      </c>
      <c r="D1761" t="inlineStr">
        <is>
          <t>IOS Aarav</t>
        </is>
      </c>
      <c r="E1761" s="16" t="n">
        <v>8535</v>
      </c>
      <c r="F1761" s="16" t="n">
        <v>2842.16</v>
      </c>
      <c r="G1761" s="17" t="n"/>
      <c r="H1761" s="16" t="n">
        <v>5692.84</v>
      </c>
      <c r="I1761" s="16" t="n">
        <v>0</v>
      </c>
    </row>
    <row r="1762">
      <c r="A1762" t="inlineStr">
        <is>
          <t>MTR-IOS-1760</t>
        </is>
      </c>
      <c r="B1762" t="inlineStr">
        <is>
          <t>Trip</t>
        </is>
      </c>
      <c r="C1762" t="inlineStr">
        <is>
          <t>EXACT</t>
        </is>
      </c>
      <c r="D1762" t="inlineStr">
        <is>
          <t>IOS Meera</t>
        </is>
      </c>
      <c r="E1762" s="16" t="n">
        <v>0</v>
      </c>
      <c r="F1762" s="16" t="n">
        <v>2850.68</v>
      </c>
      <c r="G1762" s="17" t="n"/>
      <c r="H1762" s="16" t="n">
        <v>-2850.68</v>
      </c>
      <c r="I1762" s="16" t="n">
        <v>0</v>
      </c>
    </row>
    <row r="1763">
      <c r="A1763" t="inlineStr">
        <is>
          <t>MTR-IOS-1763</t>
        </is>
      </c>
      <c r="B1763" t="inlineStr">
        <is>
          <t>Wedding</t>
        </is>
      </c>
      <c r="C1763" t="inlineStr">
        <is>
          <t>SHARES</t>
        </is>
      </c>
      <c r="D1763" t="inlineStr">
        <is>
          <t>IOS Owner</t>
        </is>
      </c>
      <c r="E1763" s="16" t="n">
        <v>0</v>
      </c>
      <c r="F1763" s="16" t="n">
        <v>2298.29</v>
      </c>
      <c r="G1763" s="17" t="n"/>
      <c r="H1763" s="16" t="n">
        <v>-2298.29</v>
      </c>
      <c r="I1763" s="16" t="n">
        <v>0</v>
      </c>
    </row>
    <row r="1764">
      <c r="A1764" t="inlineStr">
        <is>
          <t>MTR-IOS-1763</t>
        </is>
      </c>
      <c r="B1764" t="inlineStr">
        <is>
          <t>Wedding</t>
        </is>
      </c>
      <c r="C1764" t="inlineStr">
        <is>
          <t>SHARES</t>
        </is>
      </c>
      <c r="D1764" t="inlineStr">
        <is>
          <t>IOS Aarav</t>
        </is>
      </c>
      <c r="E1764" s="16" t="n">
        <v>0</v>
      </c>
      <c r="F1764" s="16" t="n">
        <v>1532.19</v>
      </c>
      <c r="G1764" s="17" t="n"/>
      <c r="H1764" s="16" t="n">
        <v>-1532.19</v>
      </c>
      <c r="I1764" s="16" t="n">
        <v>0</v>
      </c>
    </row>
    <row r="1765">
      <c r="A1765" t="inlineStr">
        <is>
          <t>MTR-IOS-1763</t>
        </is>
      </c>
      <c r="B1765" t="inlineStr">
        <is>
          <t>Wedding</t>
        </is>
      </c>
      <c r="C1765" t="inlineStr">
        <is>
          <t>SHARES</t>
        </is>
      </c>
      <c r="D1765" t="inlineStr">
        <is>
          <t>IOS Meera</t>
        </is>
      </c>
      <c r="E1765" s="16" t="n">
        <v>4596.58</v>
      </c>
      <c r="F1765" s="16" t="n">
        <v>766.1</v>
      </c>
      <c r="G1765" s="17" t="n"/>
      <c r="H1765" s="16" t="n">
        <v>3830.48</v>
      </c>
      <c r="I1765" s="16" t="n">
        <v>0</v>
      </c>
    </row>
    <row r="1766">
      <c r="A1766" t="inlineStr">
        <is>
          <t>MTR-IOS-1766</t>
        </is>
      </c>
      <c r="B1766" t="inlineStr">
        <is>
          <t>Wedding</t>
        </is>
      </c>
      <c r="C1766" t="inlineStr">
        <is>
          <t>EQUAL</t>
        </is>
      </c>
      <c r="D1766" t="inlineStr">
        <is>
          <t>IOS Owner</t>
        </is>
      </c>
      <c r="E1766" s="16" t="n">
        <v>19937.51</v>
      </c>
      <c r="F1766" s="16" t="n">
        <v>6645.84</v>
      </c>
      <c r="G1766" s="17" t="n"/>
      <c r="H1766" s="16" t="n">
        <v>13291.67</v>
      </c>
      <c r="I1766" s="16" t="n">
        <v>0</v>
      </c>
    </row>
    <row r="1767">
      <c r="A1767" t="inlineStr">
        <is>
          <t>MTR-IOS-1766</t>
        </is>
      </c>
      <c r="B1767" t="inlineStr">
        <is>
          <t>Wedding</t>
        </is>
      </c>
      <c r="C1767" t="inlineStr">
        <is>
          <t>EQUAL</t>
        </is>
      </c>
      <c r="D1767" t="inlineStr">
        <is>
          <t>IOS Aarav</t>
        </is>
      </c>
      <c r="E1767" s="16" t="n">
        <v>0</v>
      </c>
      <c r="F1767" s="16" t="n">
        <v>6645.84</v>
      </c>
      <c r="G1767" s="17" t="n"/>
      <c r="H1767" s="16" t="n">
        <v>-6645.84</v>
      </c>
      <c r="I1767" s="16" t="n">
        <v>0</v>
      </c>
    </row>
    <row r="1768">
      <c r="A1768" t="inlineStr">
        <is>
          <t>MTR-IOS-1766</t>
        </is>
      </c>
      <c r="B1768" t="inlineStr">
        <is>
          <t>Wedding</t>
        </is>
      </c>
      <c r="C1768" t="inlineStr">
        <is>
          <t>EQUAL</t>
        </is>
      </c>
      <c r="D1768" t="inlineStr">
        <is>
          <t>IOS Meera</t>
        </is>
      </c>
      <c r="E1768" s="16" t="n">
        <v>0</v>
      </c>
      <c r="F1768" s="16" t="n">
        <v>6645.83</v>
      </c>
      <c r="G1768" s="17" t="n"/>
      <c r="H1768" s="16" t="n">
        <v>-6645.83</v>
      </c>
      <c r="I1768" s="16" t="n">
        <v>0</v>
      </c>
    </row>
    <row r="1769">
      <c r="A1769" t="inlineStr">
        <is>
          <t>MTR-IOS-1769</t>
        </is>
      </c>
      <c r="B1769" t="inlineStr">
        <is>
          <t>Wedding</t>
        </is>
      </c>
      <c r="C1769" t="inlineStr">
        <is>
          <t>PERCENTAGE</t>
        </is>
      </c>
      <c r="D1769" t="inlineStr">
        <is>
          <t>IOS Owner</t>
        </is>
      </c>
      <c r="E1769" s="16" t="n">
        <v>0</v>
      </c>
      <c r="F1769" s="16" t="n">
        <v>5262.29</v>
      </c>
      <c r="G1769" s="17" t="n">
        <v>50</v>
      </c>
      <c r="H1769" s="16" t="n">
        <v>-5262.29</v>
      </c>
      <c r="I1769" s="16" t="n">
        <v>0</v>
      </c>
    </row>
    <row r="1770">
      <c r="A1770" t="inlineStr">
        <is>
          <t>MTR-IOS-1769</t>
        </is>
      </c>
      <c r="B1770" t="inlineStr">
        <is>
          <t>Wedding</t>
        </is>
      </c>
      <c r="C1770" t="inlineStr">
        <is>
          <t>PERCENTAGE</t>
        </is>
      </c>
      <c r="D1770" t="inlineStr">
        <is>
          <t>IOS Aarav</t>
        </is>
      </c>
      <c r="E1770" s="16" t="n">
        <v>10524.58</v>
      </c>
      <c r="F1770" s="16" t="n">
        <v>3157.37</v>
      </c>
      <c r="G1770" s="17" t="n">
        <v>30</v>
      </c>
      <c r="H1770" s="16" t="n">
        <v>7367.21</v>
      </c>
      <c r="I1770" s="16" t="n">
        <v>0</v>
      </c>
    </row>
    <row r="1771">
      <c r="A1771" t="inlineStr">
        <is>
          <t>MTR-IOS-1769</t>
        </is>
      </c>
      <c r="B1771" t="inlineStr">
        <is>
          <t>Wedding</t>
        </is>
      </c>
      <c r="C1771" t="inlineStr">
        <is>
          <t>PERCENTAGE</t>
        </is>
      </c>
      <c r="D1771" t="inlineStr">
        <is>
          <t>IOS Meera</t>
        </is>
      </c>
      <c r="E1771" s="16" t="n">
        <v>0</v>
      </c>
      <c r="F1771" s="16" t="n">
        <v>2104.92</v>
      </c>
      <c r="G1771" s="17" t="n">
        <v>20</v>
      </c>
      <c r="H1771" s="16" t="n">
        <v>-2104.92</v>
      </c>
      <c r="I1771" s="16" t="n">
        <v>0</v>
      </c>
    </row>
    <row r="1772">
      <c r="A1772" t="inlineStr">
        <is>
          <t>MTR-IOS-1772</t>
        </is>
      </c>
      <c r="B1772" t="inlineStr">
        <is>
          <t>Wedding</t>
        </is>
      </c>
      <c r="C1772" t="inlineStr">
        <is>
          <t>EXACT</t>
        </is>
      </c>
      <c r="D1772" t="inlineStr">
        <is>
          <t>IOS Owner</t>
        </is>
      </c>
      <c r="E1772" s="16" t="n">
        <v>0</v>
      </c>
      <c r="F1772" s="16" t="n">
        <v>5010.65</v>
      </c>
      <c r="G1772" s="17" t="n"/>
      <c r="H1772" s="16" t="n">
        <v>-5010.65</v>
      </c>
      <c r="I1772" s="16" t="n">
        <v>0</v>
      </c>
    </row>
    <row r="1773">
      <c r="A1773" t="inlineStr">
        <is>
          <t>MTR-IOS-1772</t>
        </is>
      </c>
      <c r="B1773" t="inlineStr">
        <is>
          <t>Wedding</t>
        </is>
      </c>
      <c r="C1773" t="inlineStr">
        <is>
          <t>EXACT</t>
        </is>
      </c>
      <c r="D1773" t="inlineStr">
        <is>
          <t>IOS Aarav</t>
        </is>
      </c>
      <c r="E1773" s="16" t="n">
        <v>0</v>
      </c>
      <c r="F1773" s="16" t="n">
        <v>5010.65</v>
      </c>
      <c r="G1773" s="17" t="n"/>
      <c r="H1773" s="16" t="n">
        <v>-5010.65</v>
      </c>
      <c r="I1773" s="16" t="n">
        <v>0</v>
      </c>
    </row>
    <row r="1774">
      <c r="A1774" t="inlineStr">
        <is>
          <t>MTR-IOS-1772</t>
        </is>
      </c>
      <c r="B1774" t="inlineStr">
        <is>
          <t>Wedding</t>
        </is>
      </c>
      <c r="C1774" t="inlineStr">
        <is>
          <t>EXACT</t>
        </is>
      </c>
      <c r="D1774" t="inlineStr">
        <is>
          <t>IOS Meera</t>
        </is>
      </c>
      <c r="E1774" s="16" t="n">
        <v>15046.99</v>
      </c>
      <c r="F1774" s="16" t="n">
        <v>5025.69</v>
      </c>
      <c r="G1774" s="17" t="n"/>
      <c r="H1774" s="16" t="n">
        <v>10021.3</v>
      </c>
      <c r="I1774" s="16" t="n">
        <v>0</v>
      </c>
    </row>
    <row r="1775">
      <c r="A1775" t="inlineStr">
        <is>
          <t>MTR-IOS-1775</t>
        </is>
      </c>
      <c r="B1775" t="inlineStr">
        <is>
          <t>Wedding</t>
        </is>
      </c>
      <c r="C1775" t="inlineStr">
        <is>
          <t>SHARES</t>
        </is>
      </c>
      <c r="D1775" t="inlineStr">
        <is>
          <t>IOS Owner</t>
        </is>
      </c>
      <c r="E1775" s="16" t="n">
        <v>10519.09</v>
      </c>
      <c r="F1775" s="16" t="n">
        <v>5259.55</v>
      </c>
      <c r="G1775" s="17" t="n"/>
      <c r="H1775" s="16" t="n">
        <v>5259.54</v>
      </c>
      <c r="I1775" s="16" t="n">
        <v>0</v>
      </c>
    </row>
    <row r="1776">
      <c r="A1776" t="inlineStr">
        <is>
          <t>MTR-IOS-1775</t>
        </is>
      </c>
      <c r="B1776" t="inlineStr">
        <is>
          <t>Wedding</t>
        </is>
      </c>
      <c r="C1776" t="inlineStr">
        <is>
          <t>SHARES</t>
        </is>
      </c>
      <c r="D1776" t="inlineStr">
        <is>
          <t>IOS Aarav</t>
        </is>
      </c>
      <c r="E1776" s="16" t="n">
        <v>0</v>
      </c>
      <c r="F1776" s="16" t="n">
        <v>3506.36</v>
      </c>
      <c r="G1776" s="17" t="n"/>
      <c r="H1776" s="16" t="n">
        <v>-3506.36</v>
      </c>
      <c r="I1776" s="16" t="n">
        <v>0</v>
      </c>
    </row>
    <row r="1777">
      <c r="A1777" t="inlineStr">
        <is>
          <t>MTR-IOS-1775</t>
        </is>
      </c>
      <c r="B1777" t="inlineStr">
        <is>
          <t>Wedding</t>
        </is>
      </c>
      <c r="C1777" t="inlineStr">
        <is>
          <t>SHARES</t>
        </is>
      </c>
      <c r="D1777" t="inlineStr">
        <is>
          <t>IOS Meera</t>
        </is>
      </c>
      <c r="E1777" s="16" t="n">
        <v>0</v>
      </c>
      <c r="F1777" s="16" t="n">
        <v>1753.18</v>
      </c>
      <c r="G1777" s="17" t="n"/>
      <c r="H1777" s="16" t="n">
        <v>-1753.18</v>
      </c>
      <c r="I1777" s="16" t="n">
        <v>0</v>
      </c>
    </row>
    <row r="1778">
      <c r="A1778" t="inlineStr">
        <is>
          <t>MTR-IOS-1778</t>
        </is>
      </c>
      <c r="B1778" t="inlineStr">
        <is>
          <t>Wedding</t>
        </is>
      </c>
      <c r="C1778" t="inlineStr">
        <is>
          <t>EQUAL</t>
        </is>
      </c>
      <c r="D1778" t="inlineStr">
        <is>
          <t>IOS Owner</t>
        </is>
      </c>
      <c r="E1778" s="16" t="n">
        <v>0</v>
      </c>
      <c r="F1778" s="16" t="n">
        <v>2114.52</v>
      </c>
      <c r="G1778" s="17" t="n"/>
      <c r="H1778" s="16" t="n">
        <v>-2114.52</v>
      </c>
      <c r="I1778" s="16" t="n">
        <v>0</v>
      </c>
    </row>
    <row r="1779">
      <c r="A1779" t="inlineStr">
        <is>
          <t>MTR-IOS-1778</t>
        </is>
      </c>
      <c r="B1779" t="inlineStr">
        <is>
          <t>Wedding</t>
        </is>
      </c>
      <c r="C1779" t="inlineStr">
        <is>
          <t>EQUAL</t>
        </is>
      </c>
      <c r="D1779" t="inlineStr">
        <is>
          <t>IOS Aarav</t>
        </is>
      </c>
      <c r="E1779" s="16" t="n">
        <v>6343.55</v>
      </c>
      <c r="F1779" s="16" t="n">
        <v>2114.52</v>
      </c>
      <c r="G1779" s="17" t="n"/>
      <c r="H1779" s="16" t="n">
        <v>4229.03</v>
      </c>
      <c r="I1779" s="16" t="n">
        <v>0</v>
      </c>
    </row>
    <row r="1780">
      <c r="A1780" t="inlineStr">
        <is>
          <t>MTR-IOS-1778</t>
        </is>
      </c>
      <c r="B1780" t="inlineStr">
        <is>
          <t>Wedding</t>
        </is>
      </c>
      <c r="C1780" t="inlineStr">
        <is>
          <t>EQUAL</t>
        </is>
      </c>
      <c r="D1780" t="inlineStr">
        <is>
          <t>IOS Meera</t>
        </is>
      </c>
      <c r="E1780" s="16" t="n">
        <v>0</v>
      </c>
      <c r="F1780" s="16" t="n">
        <v>2114.51</v>
      </c>
      <c r="G1780" s="17" t="n"/>
      <c r="H1780" s="16" t="n">
        <v>-2114.51</v>
      </c>
      <c r="I1780" s="16" t="n">
        <v>0</v>
      </c>
    </row>
    <row r="1781">
      <c r="A1781" t="inlineStr">
        <is>
          <t>MTR-IOS-1781</t>
        </is>
      </c>
      <c r="B1781" t="inlineStr">
        <is>
          <t>Wedding</t>
        </is>
      </c>
      <c r="C1781" t="inlineStr">
        <is>
          <t>PERCENTAGE</t>
        </is>
      </c>
      <c r="D1781" t="inlineStr">
        <is>
          <t>IOS Owner</t>
        </is>
      </c>
      <c r="E1781" s="16" t="n">
        <v>0</v>
      </c>
      <c r="F1781" s="16" t="n">
        <v>5577.74</v>
      </c>
      <c r="G1781" s="17" t="n">
        <v>50</v>
      </c>
      <c r="H1781" s="16" t="n">
        <v>-5577.74</v>
      </c>
      <c r="I1781" s="16" t="n">
        <v>0</v>
      </c>
    </row>
    <row r="1782">
      <c r="A1782" t="inlineStr">
        <is>
          <t>MTR-IOS-1781</t>
        </is>
      </c>
      <c r="B1782" t="inlineStr">
        <is>
          <t>Wedding</t>
        </is>
      </c>
      <c r="C1782" t="inlineStr">
        <is>
          <t>PERCENTAGE</t>
        </is>
      </c>
      <c r="D1782" t="inlineStr">
        <is>
          <t>IOS Aarav</t>
        </is>
      </c>
      <c r="E1782" s="16" t="n">
        <v>0</v>
      </c>
      <c r="F1782" s="16" t="n">
        <v>3346.64</v>
      </c>
      <c r="G1782" s="17" t="n">
        <v>30</v>
      </c>
      <c r="H1782" s="16" t="n">
        <v>-3346.64</v>
      </c>
      <c r="I1782" s="16" t="n">
        <v>0</v>
      </c>
    </row>
    <row r="1783">
      <c r="A1783" t="inlineStr">
        <is>
          <t>MTR-IOS-1781</t>
        </is>
      </c>
      <c r="B1783" t="inlineStr">
        <is>
          <t>Wedding</t>
        </is>
      </c>
      <c r="C1783" t="inlineStr">
        <is>
          <t>PERCENTAGE</t>
        </is>
      </c>
      <c r="D1783" t="inlineStr">
        <is>
          <t>IOS Meera</t>
        </is>
      </c>
      <c r="E1783" s="16" t="n">
        <v>11155.48</v>
      </c>
      <c r="F1783" s="16" t="n">
        <v>2231.1</v>
      </c>
      <c r="G1783" s="17" t="n">
        <v>20</v>
      </c>
      <c r="H1783" s="16" t="n">
        <v>8924.379999999999</v>
      </c>
      <c r="I1783" s="16" t="n">
        <v>0</v>
      </c>
    </row>
    <row r="1784">
      <c r="A1784" t="inlineStr">
        <is>
          <t>MTR-IOS-1784</t>
        </is>
      </c>
      <c r="B1784" t="inlineStr">
        <is>
          <t>Office Outing</t>
        </is>
      </c>
      <c r="C1784" t="inlineStr">
        <is>
          <t>EXACT</t>
        </is>
      </c>
      <c r="D1784" t="inlineStr">
        <is>
          <t>IOS Owner</t>
        </is>
      </c>
      <c r="E1784" s="16" t="n">
        <v>4386.48</v>
      </c>
      <c r="F1784" s="16" t="n">
        <v>1460.7</v>
      </c>
      <c r="G1784" s="17" t="n"/>
      <c r="H1784" s="16" t="n">
        <v>2925.78</v>
      </c>
      <c r="I1784" s="16" t="n">
        <v>0</v>
      </c>
    </row>
    <row r="1785">
      <c r="A1785" t="inlineStr">
        <is>
          <t>MTR-IOS-1784</t>
        </is>
      </c>
      <c r="B1785" t="inlineStr">
        <is>
          <t>Office Outing</t>
        </is>
      </c>
      <c r="C1785" t="inlineStr">
        <is>
          <t>EXACT</t>
        </is>
      </c>
      <c r="D1785" t="inlineStr">
        <is>
          <t>IOS Aarav</t>
        </is>
      </c>
      <c r="E1785" s="16" t="n">
        <v>0</v>
      </c>
      <c r="F1785" s="16" t="n">
        <v>1460.7</v>
      </c>
      <c r="G1785" s="17" t="n"/>
      <c r="H1785" s="16" t="n">
        <v>-1460.7</v>
      </c>
      <c r="I1785" s="16" t="n">
        <v>0</v>
      </c>
    </row>
    <row r="1786">
      <c r="A1786" t="inlineStr">
        <is>
          <t>MTR-IOS-1784</t>
        </is>
      </c>
      <c r="B1786" t="inlineStr">
        <is>
          <t>Office Outing</t>
        </is>
      </c>
      <c r="C1786" t="inlineStr">
        <is>
          <t>EXACT</t>
        </is>
      </c>
      <c r="D1786" t="inlineStr">
        <is>
          <t>IOS Meera</t>
        </is>
      </c>
      <c r="E1786" s="16" t="n">
        <v>0</v>
      </c>
      <c r="F1786" s="16" t="n">
        <v>1465.08</v>
      </c>
      <c r="G1786" s="17" t="n"/>
      <c r="H1786" s="16" t="n">
        <v>-1465.08</v>
      </c>
      <c r="I1786" s="16" t="n">
        <v>0</v>
      </c>
    </row>
    <row r="1787">
      <c r="A1787" t="inlineStr">
        <is>
          <t>MTR-IOS-1787</t>
        </is>
      </c>
      <c r="B1787" t="inlineStr">
        <is>
          <t>Office Outing</t>
        </is>
      </c>
      <c r="C1787" t="inlineStr">
        <is>
          <t>SHARES</t>
        </is>
      </c>
      <c r="D1787" t="inlineStr">
        <is>
          <t>IOS Owner</t>
        </is>
      </c>
      <c r="E1787" s="16" t="n">
        <v>0</v>
      </c>
      <c r="F1787" s="16" t="n">
        <v>1405.58</v>
      </c>
      <c r="G1787" s="17" t="n"/>
      <c r="H1787" s="16" t="n">
        <v>-1405.58</v>
      </c>
      <c r="I1787" s="16" t="n">
        <v>0</v>
      </c>
    </row>
    <row r="1788">
      <c r="A1788" t="inlineStr">
        <is>
          <t>MTR-IOS-1787</t>
        </is>
      </c>
      <c r="B1788" t="inlineStr">
        <is>
          <t>Office Outing</t>
        </is>
      </c>
      <c r="C1788" t="inlineStr">
        <is>
          <t>SHARES</t>
        </is>
      </c>
      <c r="D1788" t="inlineStr">
        <is>
          <t>IOS Aarav</t>
        </is>
      </c>
      <c r="E1788" s="16" t="n">
        <v>2811.16</v>
      </c>
      <c r="F1788" s="16" t="n">
        <v>937.05</v>
      </c>
      <c r="G1788" s="17" t="n"/>
      <c r="H1788" s="16" t="n">
        <v>1874.11</v>
      </c>
      <c r="I1788" s="16" t="n">
        <v>0</v>
      </c>
    </row>
    <row r="1789">
      <c r="A1789" t="inlineStr">
        <is>
          <t>MTR-IOS-1787</t>
        </is>
      </c>
      <c r="B1789" t="inlineStr">
        <is>
          <t>Office Outing</t>
        </is>
      </c>
      <c r="C1789" t="inlineStr">
        <is>
          <t>SHARES</t>
        </is>
      </c>
      <c r="D1789" t="inlineStr">
        <is>
          <t>IOS Meera</t>
        </is>
      </c>
      <c r="E1789" s="16" t="n">
        <v>0</v>
      </c>
      <c r="F1789" s="16" t="n">
        <v>468.53</v>
      </c>
      <c r="G1789" s="17" t="n"/>
      <c r="H1789" s="16" t="n">
        <v>-468.53</v>
      </c>
      <c r="I1789" s="16" t="n">
        <v>0</v>
      </c>
    </row>
    <row r="1790">
      <c r="A1790" t="inlineStr">
        <is>
          <t>MTR-IOS-1790</t>
        </is>
      </c>
      <c r="B1790" t="inlineStr">
        <is>
          <t>Office Outing</t>
        </is>
      </c>
      <c r="C1790" t="inlineStr">
        <is>
          <t>EQUAL</t>
        </is>
      </c>
      <c r="D1790" t="inlineStr">
        <is>
          <t>IOS Owner</t>
        </is>
      </c>
      <c r="E1790" s="16" t="n">
        <v>0</v>
      </c>
      <c r="F1790" s="16" t="n">
        <v>3303.94</v>
      </c>
      <c r="G1790" s="17" t="n"/>
      <c r="H1790" s="16" t="n">
        <v>-3303.94</v>
      </c>
      <c r="I1790" s="16" t="n">
        <v>0</v>
      </c>
    </row>
    <row r="1791">
      <c r="A1791" t="inlineStr">
        <is>
          <t>MTR-IOS-1790</t>
        </is>
      </c>
      <c r="B1791" t="inlineStr">
        <is>
          <t>Office Outing</t>
        </is>
      </c>
      <c r="C1791" t="inlineStr">
        <is>
          <t>EQUAL</t>
        </is>
      </c>
      <c r="D1791" t="inlineStr">
        <is>
          <t>IOS Aarav</t>
        </is>
      </c>
      <c r="E1791" s="16" t="n">
        <v>0</v>
      </c>
      <c r="F1791" s="16" t="n">
        <v>3303.94</v>
      </c>
      <c r="G1791" s="17" t="n"/>
      <c r="H1791" s="16" t="n">
        <v>-3303.94</v>
      </c>
      <c r="I1791" s="16" t="n">
        <v>0</v>
      </c>
    </row>
    <row r="1792">
      <c r="A1792" t="inlineStr">
        <is>
          <t>MTR-IOS-1790</t>
        </is>
      </c>
      <c r="B1792" t="inlineStr">
        <is>
          <t>Office Outing</t>
        </is>
      </c>
      <c r="C1792" t="inlineStr">
        <is>
          <t>EQUAL</t>
        </is>
      </c>
      <c r="D1792" t="inlineStr">
        <is>
          <t>IOS Meera</t>
        </is>
      </c>
      <c r="E1792" s="16" t="n">
        <v>9911.83</v>
      </c>
      <c r="F1792" s="16" t="n">
        <v>3303.95</v>
      </c>
      <c r="G1792" s="17" t="n"/>
      <c r="H1792" s="16" t="n">
        <v>6607.88</v>
      </c>
      <c r="I1792" s="16" t="n">
        <v>0</v>
      </c>
    </row>
    <row r="1793">
      <c r="A1793" t="inlineStr">
        <is>
          <t>MTR-IOS-1793</t>
        </is>
      </c>
      <c r="B1793" t="inlineStr">
        <is>
          <t>Office Outing</t>
        </is>
      </c>
      <c r="C1793" t="inlineStr">
        <is>
          <t>PERCENTAGE</t>
        </is>
      </c>
      <c r="D1793" t="inlineStr">
        <is>
          <t>IOS Owner</t>
        </is>
      </c>
      <c r="E1793" s="16" t="n">
        <v>10877.1</v>
      </c>
      <c r="F1793" s="16" t="n">
        <v>5438.55</v>
      </c>
      <c r="G1793" s="17" t="n">
        <v>50</v>
      </c>
      <c r="H1793" s="16" t="n">
        <v>5438.55</v>
      </c>
      <c r="I1793" s="16" t="n">
        <v>0</v>
      </c>
    </row>
    <row r="1794">
      <c r="A1794" t="inlineStr">
        <is>
          <t>MTR-IOS-1793</t>
        </is>
      </c>
      <c r="B1794" t="inlineStr">
        <is>
          <t>Office Outing</t>
        </is>
      </c>
      <c r="C1794" t="inlineStr">
        <is>
          <t>PERCENTAGE</t>
        </is>
      </c>
      <c r="D1794" t="inlineStr">
        <is>
          <t>IOS Aarav</t>
        </is>
      </c>
      <c r="E1794" s="16" t="n">
        <v>0</v>
      </c>
      <c r="F1794" s="16" t="n">
        <v>3263.13</v>
      </c>
      <c r="G1794" s="17" t="n">
        <v>30</v>
      </c>
      <c r="H1794" s="16" t="n">
        <v>-3263.13</v>
      </c>
      <c r="I1794" s="16" t="n">
        <v>0</v>
      </c>
    </row>
    <row r="1795">
      <c r="A1795" t="inlineStr">
        <is>
          <t>MTR-IOS-1793</t>
        </is>
      </c>
      <c r="B1795" t="inlineStr">
        <is>
          <t>Office Outing</t>
        </is>
      </c>
      <c r="C1795" t="inlineStr">
        <is>
          <t>PERCENTAGE</t>
        </is>
      </c>
      <c r="D1795" t="inlineStr">
        <is>
          <t>IOS Meera</t>
        </is>
      </c>
      <c r="E1795" s="16" t="n">
        <v>0</v>
      </c>
      <c r="F1795" s="16" t="n">
        <v>2175.42</v>
      </c>
      <c r="G1795" s="17" t="n">
        <v>20</v>
      </c>
      <c r="H1795" s="16" t="n">
        <v>-2175.42</v>
      </c>
      <c r="I1795" s="16" t="n">
        <v>0</v>
      </c>
    </row>
    <row r="1796">
      <c r="A1796" t="inlineStr">
        <is>
          <t>MTR-IOS-1796</t>
        </is>
      </c>
      <c r="B1796" t="inlineStr">
        <is>
          <t>Office Outing</t>
        </is>
      </c>
      <c r="C1796" t="inlineStr">
        <is>
          <t>EXACT</t>
        </is>
      </c>
      <c r="D1796" t="inlineStr">
        <is>
          <t>IOS Owner</t>
        </is>
      </c>
      <c r="E1796" s="16" t="n">
        <v>0</v>
      </c>
      <c r="F1796" s="16" t="n">
        <v>1896.19</v>
      </c>
      <c r="G1796" s="17" t="n"/>
      <c r="H1796" s="16" t="n">
        <v>-1896.19</v>
      </c>
      <c r="I1796" s="16" t="n">
        <v>0</v>
      </c>
    </row>
    <row r="1797">
      <c r="A1797" t="inlineStr">
        <is>
          <t>MTR-IOS-1796</t>
        </is>
      </c>
      <c r="B1797" t="inlineStr">
        <is>
          <t>Office Outing</t>
        </is>
      </c>
      <c r="C1797" t="inlineStr">
        <is>
          <t>EXACT</t>
        </is>
      </c>
      <c r="D1797" t="inlineStr">
        <is>
          <t>IOS Aarav</t>
        </is>
      </c>
      <c r="E1797" s="16" t="n">
        <v>5694.27</v>
      </c>
      <c r="F1797" s="16" t="n">
        <v>1896.19</v>
      </c>
      <c r="G1797" s="17" t="n"/>
      <c r="H1797" s="16" t="n">
        <v>3798.08</v>
      </c>
      <c r="I1797" s="16" t="n">
        <v>0</v>
      </c>
    </row>
    <row r="1798">
      <c r="A1798" t="inlineStr">
        <is>
          <t>MTR-IOS-1796</t>
        </is>
      </c>
      <c r="B1798" t="inlineStr">
        <is>
          <t>Office Outing</t>
        </is>
      </c>
      <c r="C1798" t="inlineStr">
        <is>
          <t>EXACT</t>
        </is>
      </c>
      <c r="D1798" t="inlineStr">
        <is>
          <t>IOS Meera</t>
        </is>
      </c>
      <c r="E1798" s="16" t="n">
        <v>0</v>
      </c>
      <c r="F1798" s="16" t="n">
        <v>1901.89</v>
      </c>
      <c r="G1798" s="17" t="n"/>
      <c r="H1798" s="16" t="n">
        <v>-1901.89</v>
      </c>
      <c r="I1798" s="16" t="n">
        <v>0</v>
      </c>
    </row>
    <row r="1799">
      <c r="A1799" t="inlineStr">
        <is>
          <t>MTR-IOS-1799</t>
        </is>
      </c>
      <c r="B1799" t="inlineStr">
        <is>
          <t>House Party</t>
        </is>
      </c>
      <c r="C1799" t="inlineStr">
        <is>
          <t>SHARES</t>
        </is>
      </c>
      <c r="D1799" t="inlineStr">
        <is>
          <t>IOS Owner</t>
        </is>
      </c>
      <c r="E1799" s="16" t="n">
        <v>0</v>
      </c>
      <c r="F1799" s="16" t="n">
        <v>11503.13</v>
      </c>
      <c r="G1799" s="17" t="n"/>
      <c r="H1799" s="16" t="n">
        <v>-11503.13</v>
      </c>
      <c r="I1799" s="16" t="n">
        <v>0</v>
      </c>
    </row>
    <row r="1800">
      <c r="A1800" t="inlineStr">
        <is>
          <t>MTR-IOS-1799</t>
        </is>
      </c>
      <c r="B1800" t="inlineStr">
        <is>
          <t>House Party</t>
        </is>
      </c>
      <c r="C1800" t="inlineStr">
        <is>
          <t>SHARES</t>
        </is>
      </c>
      <c r="D1800" t="inlineStr">
        <is>
          <t>IOS Aarav</t>
        </is>
      </c>
      <c r="E1800" s="16" t="n">
        <v>0</v>
      </c>
      <c r="F1800" s="16" t="n">
        <v>7668.75</v>
      </c>
      <c r="G1800" s="17" t="n"/>
      <c r="H1800" s="16" t="n">
        <v>-7668.75</v>
      </c>
      <c r="I1800" s="16" t="n">
        <v>0</v>
      </c>
    </row>
    <row r="1801">
      <c r="A1801" t="inlineStr">
        <is>
          <t>MTR-IOS-1799</t>
        </is>
      </c>
      <c r="B1801" t="inlineStr">
        <is>
          <t>House Party</t>
        </is>
      </c>
      <c r="C1801" t="inlineStr">
        <is>
          <t>SHARES</t>
        </is>
      </c>
      <c r="D1801" t="inlineStr">
        <is>
          <t>IOS Meera</t>
        </is>
      </c>
      <c r="E1801" s="16" t="n">
        <v>23006.26</v>
      </c>
      <c r="F1801" s="16" t="n">
        <v>3834.38</v>
      </c>
      <c r="G1801" s="17" t="n"/>
      <c r="H1801" s="16" t="n">
        <v>19171.88</v>
      </c>
      <c r="I1801" s="16" t="n">
        <v>0</v>
      </c>
    </row>
    <row r="1802">
      <c r="A1802" t="inlineStr">
        <is>
          <t>MTR-IOS-1802</t>
        </is>
      </c>
      <c r="B1802" t="inlineStr">
        <is>
          <t>House Party</t>
        </is>
      </c>
      <c r="C1802" t="inlineStr">
        <is>
          <t>EQUAL</t>
        </is>
      </c>
      <c r="D1802" t="inlineStr">
        <is>
          <t>IOS Owner</t>
        </is>
      </c>
      <c r="E1802" s="16" t="n">
        <v>18870.76</v>
      </c>
      <c r="F1802" s="16" t="n">
        <v>6290.25</v>
      </c>
      <c r="G1802" s="17" t="n"/>
      <c r="H1802" s="16" t="n">
        <v>12580.51</v>
      </c>
      <c r="I1802" s="16" t="n">
        <v>0</v>
      </c>
    </row>
    <row r="1803">
      <c r="A1803" t="inlineStr">
        <is>
          <t>MTR-IOS-1802</t>
        </is>
      </c>
      <c r="B1803" t="inlineStr">
        <is>
          <t>House Party</t>
        </is>
      </c>
      <c r="C1803" t="inlineStr">
        <is>
          <t>EQUAL</t>
        </is>
      </c>
      <c r="D1803" t="inlineStr">
        <is>
          <t>IOS Aarav</t>
        </is>
      </c>
      <c r="E1803" s="16" t="n">
        <v>0</v>
      </c>
      <c r="F1803" s="16" t="n">
        <v>6290.25</v>
      </c>
      <c r="G1803" s="17" t="n"/>
      <c r="H1803" s="16" t="n">
        <v>-6290.25</v>
      </c>
      <c r="I1803" s="16" t="n">
        <v>0</v>
      </c>
    </row>
    <row r="1804">
      <c r="A1804" t="inlineStr">
        <is>
          <t>MTR-IOS-1802</t>
        </is>
      </c>
      <c r="B1804" t="inlineStr">
        <is>
          <t>House Party</t>
        </is>
      </c>
      <c r="C1804" t="inlineStr">
        <is>
          <t>EQUAL</t>
        </is>
      </c>
      <c r="D1804" t="inlineStr">
        <is>
          <t>IOS Meera</t>
        </is>
      </c>
      <c r="E1804" s="16" t="n">
        <v>0</v>
      </c>
      <c r="F1804" s="16" t="n">
        <v>6290.26</v>
      </c>
      <c r="G1804" s="17" t="n"/>
      <c r="H1804" s="16" t="n">
        <v>-6290.26</v>
      </c>
      <c r="I1804" s="16" t="n">
        <v>0</v>
      </c>
    </row>
    <row r="1805">
      <c r="A1805" t="inlineStr">
        <is>
          <t>MTR-IOS-1805</t>
        </is>
      </c>
      <c r="B1805" t="inlineStr">
        <is>
          <t>House Party</t>
        </is>
      </c>
      <c r="C1805" t="inlineStr">
        <is>
          <t>PERCENTAGE</t>
        </is>
      </c>
      <c r="D1805" t="inlineStr">
        <is>
          <t>IOS Owner</t>
        </is>
      </c>
      <c r="E1805" s="16" t="n">
        <v>0</v>
      </c>
      <c r="F1805" s="16" t="n">
        <v>3597.64</v>
      </c>
      <c r="G1805" s="17" t="n">
        <v>50</v>
      </c>
      <c r="H1805" s="16" t="n">
        <v>-3597.64</v>
      </c>
      <c r="I1805" s="16" t="n">
        <v>0</v>
      </c>
    </row>
    <row r="1806">
      <c r="A1806" t="inlineStr">
        <is>
          <t>MTR-IOS-1805</t>
        </is>
      </c>
      <c r="B1806" t="inlineStr">
        <is>
          <t>House Party</t>
        </is>
      </c>
      <c r="C1806" t="inlineStr">
        <is>
          <t>PERCENTAGE</t>
        </is>
      </c>
      <c r="D1806" t="inlineStr">
        <is>
          <t>IOS Aarav</t>
        </is>
      </c>
      <c r="E1806" s="16" t="n">
        <v>7195.27</v>
      </c>
      <c r="F1806" s="16" t="n">
        <v>2158.58</v>
      </c>
      <c r="G1806" s="17" t="n">
        <v>30</v>
      </c>
      <c r="H1806" s="16" t="n">
        <v>5036.69</v>
      </c>
      <c r="I1806" s="16" t="n">
        <v>0</v>
      </c>
    </row>
    <row r="1807">
      <c r="A1807" t="inlineStr">
        <is>
          <t>MTR-IOS-1805</t>
        </is>
      </c>
      <c r="B1807" t="inlineStr">
        <is>
          <t>House Party</t>
        </is>
      </c>
      <c r="C1807" t="inlineStr">
        <is>
          <t>PERCENTAGE</t>
        </is>
      </c>
      <c r="D1807" t="inlineStr">
        <is>
          <t>IOS Meera</t>
        </is>
      </c>
      <c r="E1807" s="16" t="n">
        <v>0</v>
      </c>
      <c r="F1807" s="16" t="n">
        <v>1439.05</v>
      </c>
      <c r="G1807" s="17" t="n">
        <v>20</v>
      </c>
      <c r="H1807" s="16" t="n">
        <v>-1439.05</v>
      </c>
      <c r="I1807" s="16" t="n">
        <v>0</v>
      </c>
    </row>
    <row r="1808">
      <c r="A1808" t="inlineStr">
        <is>
          <t>MTR-IOS-1808</t>
        </is>
      </c>
      <c r="B1808" t="inlineStr">
        <is>
          <t>House Party</t>
        </is>
      </c>
      <c r="C1808" t="inlineStr">
        <is>
          <t>EXACT</t>
        </is>
      </c>
      <c r="D1808" t="inlineStr">
        <is>
          <t>IOS Owner</t>
        </is>
      </c>
      <c r="E1808" s="16" t="n">
        <v>0</v>
      </c>
      <c r="F1808" s="16" t="n">
        <v>1215.31</v>
      </c>
      <c r="G1808" s="17" t="n"/>
      <c r="H1808" s="16" t="n">
        <v>-1215.31</v>
      </c>
      <c r="I1808" s="16" t="n">
        <v>0</v>
      </c>
    </row>
    <row r="1809">
      <c r="A1809" t="inlineStr">
        <is>
          <t>MTR-IOS-1808</t>
        </is>
      </c>
      <c r="B1809" t="inlineStr">
        <is>
          <t>House Party</t>
        </is>
      </c>
      <c r="C1809" t="inlineStr">
        <is>
          <t>EXACT</t>
        </is>
      </c>
      <c r="D1809" t="inlineStr">
        <is>
          <t>IOS Aarav</t>
        </is>
      </c>
      <c r="E1809" s="16" t="n">
        <v>0</v>
      </c>
      <c r="F1809" s="16" t="n">
        <v>1215.31</v>
      </c>
      <c r="G1809" s="17" t="n"/>
      <c r="H1809" s="16" t="n">
        <v>-1215.31</v>
      </c>
      <c r="I1809" s="16" t="n">
        <v>0</v>
      </c>
    </row>
    <row r="1810">
      <c r="A1810" t="inlineStr">
        <is>
          <t>MTR-IOS-1808</t>
        </is>
      </c>
      <c r="B1810" t="inlineStr">
        <is>
          <t>House Party</t>
        </is>
      </c>
      <c r="C1810" t="inlineStr">
        <is>
          <t>EXACT</t>
        </is>
      </c>
      <c r="D1810" t="inlineStr">
        <is>
          <t>IOS Meera</t>
        </is>
      </c>
      <c r="E1810" s="16" t="n">
        <v>3649.58</v>
      </c>
      <c r="F1810" s="16" t="n">
        <v>1218.96</v>
      </c>
      <c r="G1810" s="17" t="n"/>
      <c r="H1810" s="16" t="n">
        <v>2430.62</v>
      </c>
      <c r="I1810" s="16" t="n">
        <v>0</v>
      </c>
    </row>
    <row r="1811">
      <c r="A1811" t="inlineStr">
        <is>
          <t>MTR-IOS-1811</t>
        </is>
      </c>
      <c r="B1811" t="inlineStr">
        <is>
          <t>House Party</t>
        </is>
      </c>
      <c r="C1811" t="inlineStr">
        <is>
          <t>SHARES</t>
        </is>
      </c>
      <c r="D1811" t="inlineStr">
        <is>
          <t>IOS Owner</t>
        </is>
      </c>
      <c r="E1811" s="16" t="n">
        <v>420.17</v>
      </c>
      <c r="F1811" s="16" t="n">
        <v>210.09</v>
      </c>
      <c r="G1811" s="17" t="n"/>
      <c r="H1811" s="16" t="n">
        <v>210.08</v>
      </c>
      <c r="I1811" s="16" t="n">
        <v>0</v>
      </c>
    </row>
    <row r="1812">
      <c r="A1812" t="inlineStr">
        <is>
          <t>MTR-IOS-1811</t>
        </is>
      </c>
      <c r="B1812" t="inlineStr">
        <is>
          <t>House Party</t>
        </is>
      </c>
      <c r="C1812" t="inlineStr">
        <is>
          <t>SHARES</t>
        </is>
      </c>
      <c r="D1812" t="inlineStr">
        <is>
          <t>IOS Aarav</t>
        </is>
      </c>
      <c r="E1812" s="16" t="n">
        <v>0</v>
      </c>
      <c r="F1812" s="16" t="n">
        <v>140.06</v>
      </c>
      <c r="G1812" s="17" t="n"/>
      <c r="H1812" s="16" t="n">
        <v>-140.06</v>
      </c>
      <c r="I1812" s="16" t="n">
        <v>0</v>
      </c>
    </row>
    <row r="1813">
      <c r="A1813" t="inlineStr">
        <is>
          <t>MTR-IOS-1811</t>
        </is>
      </c>
      <c r="B1813" t="inlineStr">
        <is>
          <t>House Party</t>
        </is>
      </c>
      <c r="C1813" t="inlineStr">
        <is>
          <t>SHARES</t>
        </is>
      </c>
      <c r="D1813" t="inlineStr">
        <is>
          <t>IOS Meera</t>
        </is>
      </c>
      <c r="E1813" s="16" t="n">
        <v>0</v>
      </c>
      <c r="F1813" s="16" t="n">
        <v>70.02</v>
      </c>
      <c r="G1813" s="17" t="n"/>
      <c r="H1813" s="16" t="n">
        <v>-70.02</v>
      </c>
      <c r="I1813" s="16" t="n">
        <v>0</v>
      </c>
    </row>
    <row r="1814">
      <c r="A1814" t="inlineStr">
        <is>
          <t>MTR-IOS-1814</t>
        </is>
      </c>
      <c r="B1814" t="inlineStr">
        <is>
          <t>Gift Pool</t>
        </is>
      </c>
      <c r="C1814" t="inlineStr">
        <is>
          <t>EQUAL</t>
        </is>
      </c>
      <c r="D1814" t="inlineStr">
        <is>
          <t>IOS Owner</t>
        </is>
      </c>
      <c r="E1814" s="16" t="n">
        <v>0</v>
      </c>
      <c r="F1814" s="16" t="n">
        <v>3083.26</v>
      </c>
      <c r="G1814" s="17" t="n"/>
      <c r="H1814" s="16" t="n">
        <v>-3083.26</v>
      </c>
      <c r="I1814" s="16" t="n">
        <v>0</v>
      </c>
    </row>
    <row r="1815">
      <c r="A1815" t="inlineStr">
        <is>
          <t>MTR-IOS-1814</t>
        </is>
      </c>
      <c r="B1815" t="inlineStr">
        <is>
          <t>Gift Pool</t>
        </is>
      </c>
      <c r="C1815" t="inlineStr">
        <is>
          <t>EQUAL</t>
        </is>
      </c>
      <c r="D1815" t="inlineStr">
        <is>
          <t>IOS Aarav</t>
        </is>
      </c>
      <c r="E1815" s="16" t="n">
        <v>9249.780000000001</v>
      </c>
      <c r="F1815" s="16" t="n">
        <v>3083.26</v>
      </c>
      <c r="G1815" s="17" t="n"/>
      <c r="H1815" s="16" t="n">
        <v>6166.52</v>
      </c>
      <c r="I1815" s="16" t="n">
        <v>0</v>
      </c>
    </row>
    <row r="1816">
      <c r="A1816" t="inlineStr">
        <is>
          <t>MTR-IOS-1814</t>
        </is>
      </c>
      <c r="B1816" t="inlineStr">
        <is>
          <t>Gift Pool</t>
        </is>
      </c>
      <c r="C1816" t="inlineStr">
        <is>
          <t>EQUAL</t>
        </is>
      </c>
      <c r="D1816" t="inlineStr">
        <is>
          <t>IOS Meera</t>
        </is>
      </c>
      <c r="E1816" s="16" t="n">
        <v>0</v>
      </c>
      <c r="F1816" s="16" t="n">
        <v>3083.26</v>
      </c>
      <c r="G1816" s="17" t="n"/>
      <c r="H1816" s="16" t="n">
        <v>-3083.26</v>
      </c>
      <c r="I1816" s="16" t="n">
        <v>0</v>
      </c>
    </row>
    <row r="1817">
      <c r="A1817" t="inlineStr">
        <is>
          <t>MTR-IOS-1817</t>
        </is>
      </c>
      <c r="B1817" t="inlineStr">
        <is>
          <t>Gift Pool</t>
        </is>
      </c>
      <c r="C1817" t="inlineStr">
        <is>
          <t>PERCENTAGE</t>
        </is>
      </c>
      <c r="D1817" t="inlineStr">
        <is>
          <t>IOS Owner</t>
        </is>
      </c>
      <c r="E1817" s="16" t="n">
        <v>0</v>
      </c>
      <c r="F1817" s="16" t="n">
        <v>11759.7</v>
      </c>
      <c r="G1817" s="17" t="n">
        <v>50</v>
      </c>
      <c r="H1817" s="16" t="n">
        <v>-11759.7</v>
      </c>
      <c r="I1817" s="16" t="n">
        <v>0</v>
      </c>
    </row>
    <row r="1818">
      <c r="A1818" t="inlineStr">
        <is>
          <t>MTR-IOS-1817</t>
        </is>
      </c>
      <c r="B1818" t="inlineStr">
        <is>
          <t>Gift Pool</t>
        </is>
      </c>
      <c r="C1818" t="inlineStr">
        <is>
          <t>PERCENTAGE</t>
        </is>
      </c>
      <c r="D1818" t="inlineStr">
        <is>
          <t>IOS Aarav</t>
        </is>
      </c>
      <c r="E1818" s="16" t="n">
        <v>0</v>
      </c>
      <c r="F1818" s="16" t="n">
        <v>7055.82</v>
      </c>
      <c r="G1818" s="17" t="n">
        <v>30</v>
      </c>
      <c r="H1818" s="16" t="n">
        <v>-7055.82</v>
      </c>
      <c r="I1818" s="16" t="n">
        <v>0</v>
      </c>
    </row>
    <row r="1819">
      <c r="A1819" t="inlineStr">
        <is>
          <t>MTR-IOS-1817</t>
        </is>
      </c>
      <c r="B1819" t="inlineStr">
        <is>
          <t>Gift Pool</t>
        </is>
      </c>
      <c r="C1819" t="inlineStr">
        <is>
          <t>PERCENTAGE</t>
        </is>
      </c>
      <c r="D1819" t="inlineStr">
        <is>
          <t>IOS Meera</t>
        </is>
      </c>
      <c r="E1819" s="16" t="n">
        <v>23519.39</v>
      </c>
      <c r="F1819" s="16" t="n">
        <v>4703.87</v>
      </c>
      <c r="G1819" s="17" t="n">
        <v>20</v>
      </c>
      <c r="H1819" s="16" t="n">
        <v>18815.52</v>
      </c>
      <c r="I1819" s="16" t="n">
        <v>0</v>
      </c>
    </row>
    <row r="1820">
      <c r="A1820" t="inlineStr">
        <is>
          <t>MTR-IOS-1820</t>
        </is>
      </c>
      <c r="B1820" t="inlineStr">
        <is>
          <t>Gift Pool</t>
        </is>
      </c>
      <c r="C1820" t="inlineStr">
        <is>
          <t>EXACT</t>
        </is>
      </c>
      <c r="D1820" t="inlineStr">
        <is>
          <t>IOS Owner</t>
        </is>
      </c>
      <c r="E1820" s="16" t="n">
        <v>23524.32</v>
      </c>
      <c r="F1820" s="16" t="n">
        <v>7833.6</v>
      </c>
      <c r="G1820" s="17" t="n"/>
      <c r="H1820" s="16" t="n">
        <v>15690.72</v>
      </c>
      <c r="I1820" s="16" t="n">
        <v>0</v>
      </c>
    </row>
    <row r="1821">
      <c r="A1821" t="inlineStr">
        <is>
          <t>MTR-IOS-1820</t>
        </is>
      </c>
      <c r="B1821" t="inlineStr">
        <is>
          <t>Gift Pool</t>
        </is>
      </c>
      <c r="C1821" t="inlineStr">
        <is>
          <t>EXACT</t>
        </is>
      </c>
      <c r="D1821" t="inlineStr">
        <is>
          <t>IOS Aarav</t>
        </is>
      </c>
      <c r="E1821" s="16" t="n">
        <v>0</v>
      </c>
      <c r="F1821" s="16" t="n">
        <v>7833.6</v>
      </c>
      <c r="G1821" s="17" t="n"/>
      <c r="H1821" s="16" t="n">
        <v>-7833.6</v>
      </c>
      <c r="I1821" s="16" t="n">
        <v>0</v>
      </c>
    </row>
    <row r="1822">
      <c r="A1822" t="inlineStr">
        <is>
          <t>MTR-IOS-1820</t>
        </is>
      </c>
      <c r="B1822" t="inlineStr">
        <is>
          <t>Gift Pool</t>
        </is>
      </c>
      <c r="C1822" t="inlineStr">
        <is>
          <t>EXACT</t>
        </is>
      </c>
      <c r="D1822" t="inlineStr">
        <is>
          <t>IOS Meera</t>
        </is>
      </c>
      <c r="E1822" s="16" t="n">
        <v>0</v>
      </c>
      <c r="F1822" s="16" t="n">
        <v>7857.12</v>
      </c>
      <c r="G1822" s="17" t="n"/>
      <c r="H1822" s="16" t="n">
        <v>-7857.12</v>
      </c>
      <c r="I1822" s="16" t="n">
        <v>0</v>
      </c>
    </row>
    <row r="1823">
      <c r="A1823" t="inlineStr">
        <is>
          <t>MTR-IOS-1823</t>
        </is>
      </c>
      <c r="B1823" t="inlineStr">
        <is>
          <t>Gift Pool</t>
        </is>
      </c>
      <c r="C1823" t="inlineStr">
        <is>
          <t>SHARES</t>
        </is>
      </c>
      <c r="D1823" t="inlineStr">
        <is>
          <t>IOS Owner</t>
        </is>
      </c>
      <c r="E1823" s="16" t="n">
        <v>0</v>
      </c>
      <c r="F1823" s="16" t="n">
        <v>10657.2</v>
      </c>
      <c r="G1823" s="17" t="n"/>
      <c r="H1823" s="16" t="n">
        <v>-10657.2</v>
      </c>
      <c r="I1823" s="16" t="n">
        <v>0</v>
      </c>
    </row>
    <row r="1824">
      <c r="A1824" t="inlineStr">
        <is>
          <t>MTR-IOS-1823</t>
        </is>
      </c>
      <c r="B1824" t="inlineStr">
        <is>
          <t>Gift Pool</t>
        </is>
      </c>
      <c r="C1824" t="inlineStr">
        <is>
          <t>SHARES</t>
        </is>
      </c>
      <c r="D1824" t="inlineStr">
        <is>
          <t>IOS Aarav</t>
        </is>
      </c>
      <c r="E1824" s="16" t="n">
        <v>21314.4</v>
      </c>
      <c r="F1824" s="16" t="n">
        <v>7104.8</v>
      </c>
      <c r="G1824" s="17" t="n"/>
      <c r="H1824" s="16" t="n">
        <v>14209.6</v>
      </c>
      <c r="I1824" s="16" t="n">
        <v>0</v>
      </c>
    </row>
    <row r="1825">
      <c r="A1825" t="inlineStr">
        <is>
          <t>MTR-IOS-1823</t>
        </is>
      </c>
      <c r="B1825" t="inlineStr">
        <is>
          <t>Gift Pool</t>
        </is>
      </c>
      <c r="C1825" t="inlineStr">
        <is>
          <t>SHARES</t>
        </is>
      </c>
      <c r="D1825" t="inlineStr">
        <is>
          <t>IOS Meera</t>
        </is>
      </c>
      <c r="E1825" s="16" t="n">
        <v>0</v>
      </c>
      <c r="F1825" s="16" t="n">
        <v>3552.4</v>
      </c>
      <c r="G1825" s="17" t="n"/>
      <c r="H1825" s="16" t="n">
        <v>-3552.4</v>
      </c>
      <c r="I1825" s="16" t="n">
        <v>0</v>
      </c>
    </row>
    <row r="1826">
      <c r="A1826" t="inlineStr">
        <is>
          <t>MTR-IOS-1826</t>
        </is>
      </c>
      <c r="B1826" t="inlineStr">
        <is>
          <t>Purchase</t>
        </is>
      </c>
      <c r="C1826" t="inlineStr">
        <is>
          <t>EQUAL</t>
        </is>
      </c>
      <c r="D1826" t="inlineStr">
        <is>
          <t>IOS Owner</t>
        </is>
      </c>
      <c r="E1826" s="16" t="n">
        <v>0</v>
      </c>
      <c r="F1826" s="16" t="n">
        <v>8793.26</v>
      </c>
      <c r="G1826" s="17" t="n"/>
      <c r="H1826" s="16" t="n">
        <v>-8793.26</v>
      </c>
      <c r="I1826" s="16" t="n">
        <v>0</v>
      </c>
    </row>
    <row r="1827">
      <c r="A1827" t="inlineStr">
        <is>
          <t>MTR-IOS-1826</t>
        </is>
      </c>
      <c r="B1827" t="inlineStr">
        <is>
          <t>Purchase</t>
        </is>
      </c>
      <c r="C1827" t="inlineStr">
        <is>
          <t>EQUAL</t>
        </is>
      </c>
      <c r="D1827" t="inlineStr">
        <is>
          <t>IOS Aarav</t>
        </is>
      </c>
      <c r="E1827" s="16" t="n">
        <v>0</v>
      </c>
      <c r="F1827" s="16" t="n">
        <v>8793.26</v>
      </c>
      <c r="G1827" s="17" t="n"/>
      <c r="H1827" s="16" t="n">
        <v>-8793.26</v>
      </c>
      <c r="I1827" s="16" t="n">
        <v>0</v>
      </c>
    </row>
    <row r="1828">
      <c r="A1828" t="inlineStr">
        <is>
          <t>MTR-IOS-1826</t>
        </is>
      </c>
      <c r="B1828" t="inlineStr">
        <is>
          <t>Purchase</t>
        </is>
      </c>
      <c r="C1828" t="inlineStr">
        <is>
          <t>EQUAL</t>
        </is>
      </c>
      <c r="D1828" t="inlineStr">
        <is>
          <t>IOS Meera</t>
        </is>
      </c>
      <c r="E1828" s="16" t="n">
        <v>26379.77</v>
      </c>
      <c r="F1828" s="16" t="n">
        <v>8793.25</v>
      </c>
      <c r="G1828" s="17" t="n"/>
      <c r="H1828" s="16" t="n">
        <v>17586.52</v>
      </c>
      <c r="I1828" s="16" t="n">
        <v>0</v>
      </c>
    </row>
    <row r="1829">
      <c r="A1829" t="inlineStr">
        <is>
          <t>MTR-IOS-1829</t>
        </is>
      </c>
      <c r="B1829" t="inlineStr">
        <is>
          <t>Purchase</t>
        </is>
      </c>
      <c r="C1829" t="inlineStr">
        <is>
          <t>PERCENTAGE</t>
        </is>
      </c>
      <c r="D1829" t="inlineStr">
        <is>
          <t>IOS Owner</t>
        </is>
      </c>
      <c r="E1829" s="16" t="n">
        <v>21427.39</v>
      </c>
      <c r="F1829" s="16" t="n">
        <v>10713.7</v>
      </c>
      <c r="G1829" s="17" t="n">
        <v>50</v>
      </c>
      <c r="H1829" s="16" t="n">
        <v>10713.69</v>
      </c>
      <c r="I1829" s="16" t="n">
        <v>0</v>
      </c>
    </row>
    <row r="1830">
      <c r="A1830" t="inlineStr">
        <is>
          <t>MTR-IOS-1829</t>
        </is>
      </c>
      <c r="B1830" t="inlineStr">
        <is>
          <t>Purchase</t>
        </is>
      </c>
      <c r="C1830" t="inlineStr">
        <is>
          <t>PERCENTAGE</t>
        </is>
      </c>
      <c r="D1830" t="inlineStr">
        <is>
          <t>IOS Aarav</t>
        </is>
      </c>
      <c r="E1830" s="16" t="n">
        <v>0</v>
      </c>
      <c r="F1830" s="16" t="n">
        <v>6428.22</v>
      </c>
      <c r="G1830" s="17" t="n">
        <v>30</v>
      </c>
      <c r="H1830" s="16" t="n">
        <v>-6428.22</v>
      </c>
      <c r="I1830" s="16" t="n">
        <v>0</v>
      </c>
    </row>
    <row r="1831">
      <c r="A1831" t="inlineStr">
        <is>
          <t>MTR-IOS-1829</t>
        </is>
      </c>
      <c r="B1831" t="inlineStr">
        <is>
          <t>Purchase</t>
        </is>
      </c>
      <c r="C1831" t="inlineStr">
        <is>
          <t>PERCENTAGE</t>
        </is>
      </c>
      <c r="D1831" t="inlineStr">
        <is>
          <t>IOS Meera</t>
        </is>
      </c>
      <c r="E1831" s="16" t="n">
        <v>0</v>
      </c>
      <c r="F1831" s="16" t="n">
        <v>4285.47</v>
      </c>
      <c r="G1831" s="17" t="n">
        <v>20</v>
      </c>
      <c r="H1831" s="16" t="n">
        <v>-4285.47</v>
      </c>
      <c r="I1831" s="16" t="n">
        <v>0</v>
      </c>
    </row>
    <row r="1832">
      <c r="A1832" t="inlineStr">
        <is>
          <t>MTR-IOS-1832</t>
        </is>
      </c>
      <c r="B1832" t="inlineStr">
        <is>
          <t>Purchase</t>
        </is>
      </c>
      <c r="C1832" t="inlineStr">
        <is>
          <t>EXACT</t>
        </is>
      </c>
      <c r="D1832" t="inlineStr">
        <is>
          <t>IOS Owner</t>
        </is>
      </c>
      <c r="E1832" s="16" t="n">
        <v>0</v>
      </c>
      <c r="F1832" s="16" t="n">
        <v>3395.81</v>
      </c>
      <c r="G1832" s="17" t="n"/>
      <c r="H1832" s="16" t="n">
        <v>-3395.81</v>
      </c>
      <c r="I1832" s="16" t="n">
        <v>0</v>
      </c>
    </row>
    <row r="1833">
      <c r="A1833" t="inlineStr">
        <is>
          <t>MTR-IOS-1832</t>
        </is>
      </c>
      <c r="B1833" t="inlineStr">
        <is>
          <t>Purchase</t>
        </is>
      </c>
      <c r="C1833" t="inlineStr">
        <is>
          <t>EXACT</t>
        </is>
      </c>
      <c r="D1833" t="inlineStr">
        <is>
          <t>IOS Aarav</t>
        </is>
      </c>
      <c r="E1833" s="16" t="n">
        <v>10197.64</v>
      </c>
      <c r="F1833" s="16" t="n">
        <v>3395.81</v>
      </c>
      <c r="G1833" s="17" t="n"/>
      <c r="H1833" s="16" t="n">
        <v>6801.83</v>
      </c>
      <c r="I1833" s="16" t="n">
        <v>0</v>
      </c>
    </row>
    <row r="1834">
      <c r="A1834" t="inlineStr">
        <is>
          <t>MTR-IOS-1832</t>
        </is>
      </c>
      <c r="B1834" t="inlineStr">
        <is>
          <t>Purchase</t>
        </is>
      </c>
      <c r="C1834" t="inlineStr">
        <is>
          <t>EXACT</t>
        </is>
      </c>
      <c r="D1834" t="inlineStr">
        <is>
          <t>IOS Meera</t>
        </is>
      </c>
      <c r="E1834" s="16" t="n">
        <v>0</v>
      </c>
      <c r="F1834" s="16" t="n">
        <v>3406.02</v>
      </c>
      <c r="G1834" s="17" t="n"/>
      <c r="H1834" s="16" t="n">
        <v>-3406.02</v>
      </c>
      <c r="I1834" s="16" t="n">
        <v>0</v>
      </c>
    </row>
    <row r="1835">
      <c r="A1835" t="inlineStr">
        <is>
          <t>MTR-IOS-1835</t>
        </is>
      </c>
      <c r="B1835" t="inlineStr">
        <is>
          <t>Purchase</t>
        </is>
      </c>
      <c r="C1835" t="inlineStr">
        <is>
          <t>SHARES</t>
        </is>
      </c>
      <c r="D1835" t="inlineStr">
        <is>
          <t>IOS Owner</t>
        </is>
      </c>
      <c r="E1835" s="16" t="n">
        <v>0</v>
      </c>
      <c r="F1835" s="16" t="n">
        <v>5267.58</v>
      </c>
      <c r="G1835" s="17" t="n"/>
      <c r="H1835" s="16" t="n">
        <v>-5267.58</v>
      </c>
      <c r="I1835" s="16" t="n">
        <v>0</v>
      </c>
    </row>
    <row r="1836">
      <c r="A1836" t="inlineStr">
        <is>
          <t>MTR-IOS-1835</t>
        </is>
      </c>
      <c r="B1836" t="inlineStr">
        <is>
          <t>Purchase</t>
        </is>
      </c>
      <c r="C1836" t="inlineStr">
        <is>
          <t>SHARES</t>
        </is>
      </c>
      <c r="D1836" t="inlineStr">
        <is>
          <t>IOS Aarav</t>
        </is>
      </c>
      <c r="E1836" s="16" t="n">
        <v>0</v>
      </c>
      <c r="F1836" s="16" t="n">
        <v>3511.72</v>
      </c>
      <c r="G1836" s="17" t="n"/>
      <c r="H1836" s="16" t="n">
        <v>-3511.72</v>
      </c>
      <c r="I1836" s="16" t="n">
        <v>0</v>
      </c>
    </row>
    <row r="1837">
      <c r="A1837" t="inlineStr">
        <is>
          <t>MTR-IOS-1835</t>
        </is>
      </c>
      <c r="B1837" t="inlineStr">
        <is>
          <t>Purchase</t>
        </is>
      </c>
      <c r="C1837" t="inlineStr">
        <is>
          <t>SHARES</t>
        </is>
      </c>
      <c r="D1837" t="inlineStr">
        <is>
          <t>IOS Meera</t>
        </is>
      </c>
      <c r="E1837" s="16" t="n">
        <v>10535.16</v>
      </c>
      <c r="F1837" s="16" t="n">
        <v>1755.86</v>
      </c>
      <c r="G1837" s="17" t="n"/>
      <c r="H1837" s="16" t="n">
        <v>8779.299999999999</v>
      </c>
      <c r="I1837" s="16" t="n">
        <v>0</v>
      </c>
    </row>
    <row r="1838">
      <c r="A1838" t="inlineStr">
        <is>
          <t>MTR-IOS-1838</t>
        </is>
      </c>
      <c r="B1838" t="inlineStr">
        <is>
          <t>Assets</t>
        </is>
      </c>
      <c r="C1838" t="inlineStr">
        <is>
          <t>EQUAL</t>
        </is>
      </c>
      <c r="D1838" t="inlineStr">
        <is>
          <t>IOS Owner</t>
        </is>
      </c>
      <c r="E1838" s="16" t="n">
        <v>16870.07</v>
      </c>
      <c r="F1838" s="16" t="n">
        <v>5623.36</v>
      </c>
      <c r="G1838" s="17" t="n"/>
      <c r="H1838" s="16" t="n">
        <v>11246.71</v>
      </c>
      <c r="I1838" s="16" t="n">
        <v>0</v>
      </c>
    </row>
    <row r="1839">
      <c r="A1839" t="inlineStr">
        <is>
          <t>MTR-IOS-1838</t>
        </is>
      </c>
      <c r="B1839" t="inlineStr">
        <is>
          <t>Assets</t>
        </is>
      </c>
      <c r="C1839" t="inlineStr">
        <is>
          <t>EQUAL</t>
        </is>
      </c>
      <c r="D1839" t="inlineStr">
        <is>
          <t>IOS Aarav</t>
        </is>
      </c>
      <c r="E1839" s="16" t="n">
        <v>0</v>
      </c>
      <c r="F1839" s="16" t="n">
        <v>5623.36</v>
      </c>
      <c r="G1839" s="17" t="n"/>
      <c r="H1839" s="16" t="n">
        <v>-5623.36</v>
      </c>
      <c r="I1839" s="16" t="n">
        <v>0</v>
      </c>
    </row>
    <row r="1840">
      <c r="A1840" t="inlineStr">
        <is>
          <t>MTR-IOS-1838</t>
        </is>
      </c>
      <c r="B1840" t="inlineStr">
        <is>
          <t>Assets</t>
        </is>
      </c>
      <c r="C1840" t="inlineStr">
        <is>
          <t>EQUAL</t>
        </is>
      </c>
      <c r="D1840" t="inlineStr">
        <is>
          <t>IOS Meera</t>
        </is>
      </c>
      <c r="E1840" s="16" t="n">
        <v>0</v>
      </c>
      <c r="F1840" s="16" t="n">
        <v>5623.35</v>
      </c>
      <c r="G1840" s="17" t="n"/>
      <c r="H1840" s="16" t="n">
        <v>-5623.35</v>
      </c>
      <c r="I1840" s="16" t="n">
        <v>0</v>
      </c>
    </row>
    <row r="1841">
      <c r="A1841" t="inlineStr">
        <is>
          <t>MTR-IOS-1841</t>
        </is>
      </c>
      <c r="B1841" t="inlineStr">
        <is>
          <t>Assets</t>
        </is>
      </c>
      <c r="C1841" t="inlineStr">
        <is>
          <t>PERCENTAGE</t>
        </is>
      </c>
      <c r="D1841" t="inlineStr">
        <is>
          <t>IOS Owner</t>
        </is>
      </c>
      <c r="E1841" s="16" t="n">
        <v>0</v>
      </c>
      <c r="F1841" s="16" t="n">
        <v>11995.27</v>
      </c>
      <c r="G1841" s="17" t="n">
        <v>50</v>
      </c>
      <c r="H1841" s="16" t="n">
        <v>-11995.27</v>
      </c>
      <c r="I1841" s="16" t="n">
        <v>0</v>
      </c>
    </row>
    <row r="1842">
      <c r="A1842" t="inlineStr">
        <is>
          <t>MTR-IOS-1841</t>
        </is>
      </c>
      <c r="B1842" t="inlineStr">
        <is>
          <t>Assets</t>
        </is>
      </c>
      <c r="C1842" t="inlineStr">
        <is>
          <t>PERCENTAGE</t>
        </is>
      </c>
      <c r="D1842" t="inlineStr">
        <is>
          <t>IOS Aarav</t>
        </is>
      </c>
      <c r="E1842" s="16" t="n">
        <v>23990.53</v>
      </c>
      <c r="F1842" s="16" t="n">
        <v>7197.16</v>
      </c>
      <c r="G1842" s="17" t="n">
        <v>30</v>
      </c>
      <c r="H1842" s="16" t="n">
        <v>16793.37</v>
      </c>
      <c r="I1842" s="16" t="n">
        <v>0</v>
      </c>
    </row>
    <row r="1843">
      <c r="A1843" t="inlineStr">
        <is>
          <t>MTR-IOS-1841</t>
        </is>
      </c>
      <c r="B1843" t="inlineStr">
        <is>
          <t>Assets</t>
        </is>
      </c>
      <c r="C1843" t="inlineStr">
        <is>
          <t>PERCENTAGE</t>
        </is>
      </c>
      <c r="D1843" t="inlineStr">
        <is>
          <t>IOS Meera</t>
        </is>
      </c>
      <c r="E1843" s="16" t="n">
        <v>0</v>
      </c>
      <c r="F1843" s="16" t="n">
        <v>4798.1</v>
      </c>
      <c r="G1843" s="17" t="n">
        <v>20</v>
      </c>
      <c r="H1843" s="16" t="n">
        <v>-4798.1</v>
      </c>
      <c r="I1843" s="16" t="n">
        <v>0</v>
      </c>
    </row>
    <row r="1844">
      <c r="A1844" t="inlineStr">
        <is>
          <t>MTR-IOS-1844</t>
        </is>
      </c>
      <c r="B1844" t="inlineStr">
        <is>
          <t>Assets</t>
        </is>
      </c>
      <c r="C1844" t="inlineStr">
        <is>
          <t>EXACT</t>
        </is>
      </c>
      <c r="D1844" t="inlineStr">
        <is>
          <t>IOS Owner</t>
        </is>
      </c>
      <c r="E1844" s="16" t="n">
        <v>0</v>
      </c>
      <c r="F1844" s="16" t="n">
        <v>4528.89</v>
      </c>
      <c r="G1844" s="17" t="n"/>
      <c r="H1844" s="16" t="n">
        <v>-4528.89</v>
      </c>
      <c r="I1844" s="16" t="n">
        <v>0</v>
      </c>
    </row>
    <row r="1845">
      <c r="A1845" t="inlineStr">
        <is>
          <t>MTR-IOS-1844</t>
        </is>
      </c>
      <c r="B1845" t="inlineStr">
        <is>
          <t>Assets</t>
        </is>
      </c>
      <c r="C1845" t="inlineStr">
        <is>
          <t>EXACT</t>
        </is>
      </c>
      <c r="D1845" t="inlineStr">
        <is>
          <t>IOS Aarav</t>
        </is>
      </c>
      <c r="E1845" s="16" t="n">
        <v>0</v>
      </c>
      <c r="F1845" s="16" t="n">
        <v>4528.89</v>
      </c>
      <c r="G1845" s="17" t="n"/>
      <c r="H1845" s="16" t="n">
        <v>-4528.89</v>
      </c>
      <c r="I1845" s="16" t="n">
        <v>0</v>
      </c>
    </row>
    <row r="1846">
      <c r="A1846" t="inlineStr">
        <is>
          <t>MTR-IOS-1844</t>
        </is>
      </c>
      <c r="B1846" t="inlineStr">
        <is>
          <t>Assets</t>
        </is>
      </c>
      <c r="C1846" t="inlineStr">
        <is>
          <t>EXACT</t>
        </is>
      </c>
      <c r="D1846" t="inlineStr">
        <is>
          <t>IOS Meera</t>
        </is>
      </c>
      <c r="E1846" s="16" t="n">
        <v>13600.27</v>
      </c>
      <c r="F1846" s="16" t="n">
        <v>4542.49</v>
      </c>
      <c r="G1846" s="17" t="n"/>
      <c r="H1846" s="16" t="n">
        <v>9057.780000000001</v>
      </c>
      <c r="I1846" s="16" t="n">
        <v>0</v>
      </c>
    </row>
    <row r="1847">
      <c r="A1847" t="inlineStr">
        <is>
          <t>MTR-IOS-1847</t>
        </is>
      </c>
      <c r="B1847" t="inlineStr">
        <is>
          <t>Assets</t>
        </is>
      </c>
      <c r="C1847" t="inlineStr">
        <is>
          <t>SHARES</t>
        </is>
      </c>
      <c r="D1847" t="inlineStr">
        <is>
          <t>IOS Owner</t>
        </is>
      </c>
      <c r="E1847" s="16" t="n">
        <v>7518.8</v>
      </c>
      <c r="F1847" s="16" t="n">
        <v>3759.4</v>
      </c>
      <c r="G1847" s="17" t="n"/>
      <c r="H1847" s="16" t="n">
        <v>3759.4</v>
      </c>
      <c r="I1847" s="16" t="n">
        <v>0</v>
      </c>
    </row>
    <row r="1848">
      <c r="A1848" t="inlineStr">
        <is>
          <t>MTR-IOS-1847</t>
        </is>
      </c>
      <c r="B1848" t="inlineStr">
        <is>
          <t>Assets</t>
        </is>
      </c>
      <c r="C1848" t="inlineStr">
        <is>
          <t>SHARES</t>
        </is>
      </c>
      <c r="D1848" t="inlineStr">
        <is>
          <t>IOS Aarav</t>
        </is>
      </c>
      <c r="E1848" s="16" t="n">
        <v>0</v>
      </c>
      <c r="F1848" s="16" t="n">
        <v>2506.27</v>
      </c>
      <c r="G1848" s="17" t="n"/>
      <c r="H1848" s="16" t="n">
        <v>-2506.27</v>
      </c>
      <c r="I1848" s="16" t="n">
        <v>0</v>
      </c>
    </row>
    <row r="1849">
      <c r="A1849" t="inlineStr">
        <is>
          <t>MTR-IOS-1847</t>
        </is>
      </c>
      <c r="B1849" t="inlineStr">
        <is>
          <t>Assets</t>
        </is>
      </c>
      <c r="C1849" t="inlineStr">
        <is>
          <t>SHARES</t>
        </is>
      </c>
      <c r="D1849" t="inlineStr">
        <is>
          <t>IOS Meera</t>
        </is>
      </c>
      <c r="E1849" s="16" t="n">
        <v>0</v>
      </c>
      <c r="F1849" s="16" t="n">
        <v>1253.13</v>
      </c>
      <c r="G1849" s="17" t="n"/>
      <c r="H1849" s="16" t="n">
        <v>-1253.13</v>
      </c>
      <c r="I1849" s="16" t="n">
        <v>0</v>
      </c>
    </row>
    <row r="1850">
      <c r="A1850" t="inlineStr">
        <is>
          <t>MTR-IOS-1850</t>
        </is>
      </c>
      <c r="B1850" t="inlineStr">
        <is>
          <t>Assets</t>
        </is>
      </c>
      <c r="C1850" t="inlineStr">
        <is>
          <t>EQUAL</t>
        </is>
      </c>
      <c r="D1850" t="inlineStr">
        <is>
          <t>IOS Owner</t>
        </is>
      </c>
      <c r="E1850" s="16" t="n">
        <v>0</v>
      </c>
      <c r="F1850" s="16" t="n">
        <v>33.33</v>
      </c>
      <c r="G1850" s="17" t="n"/>
      <c r="H1850" s="16" t="n">
        <v>-33.33</v>
      </c>
      <c r="I1850" s="16" t="n">
        <v>0</v>
      </c>
    </row>
    <row r="1851">
      <c r="A1851" t="inlineStr">
        <is>
          <t>MTR-IOS-1850</t>
        </is>
      </c>
      <c r="B1851" t="inlineStr">
        <is>
          <t>Assets</t>
        </is>
      </c>
      <c r="C1851" t="inlineStr">
        <is>
          <t>EQUAL</t>
        </is>
      </c>
      <c r="D1851" t="inlineStr">
        <is>
          <t>IOS Aarav</t>
        </is>
      </c>
      <c r="E1851" s="16" t="n">
        <v>99.98999999999999</v>
      </c>
      <c r="F1851" s="16" t="n">
        <v>33.33</v>
      </c>
      <c r="G1851" s="17" t="n"/>
      <c r="H1851" s="16" t="n">
        <v>66.66</v>
      </c>
      <c r="I1851" s="16" t="n">
        <v>0</v>
      </c>
    </row>
    <row r="1852">
      <c r="A1852" t="inlineStr">
        <is>
          <t>MTR-IOS-1850</t>
        </is>
      </c>
      <c r="B1852" t="inlineStr">
        <is>
          <t>Assets</t>
        </is>
      </c>
      <c r="C1852" t="inlineStr">
        <is>
          <t>EQUAL</t>
        </is>
      </c>
      <c r="D1852" t="inlineStr">
        <is>
          <t>IOS Meera</t>
        </is>
      </c>
      <c r="E1852" s="16" t="n">
        <v>0</v>
      </c>
      <c r="F1852" s="16" t="n">
        <v>33.33</v>
      </c>
      <c r="G1852" s="17" t="n"/>
      <c r="H1852" s="16" t="n">
        <v>-33.33</v>
      </c>
      <c r="I1852" s="16" t="n">
        <v>0</v>
      </c>
    </row>
    <row r="1853">
      <c r="A1853" t="inlineStr">
        <is>
          <t>MTR-IOS-1853</t>
        </is>
      </c>
      <c r="B1853" t="inlineStr">
        <is>
          <t>Custom Purchase</t>
        </is>
      </c>
      <c r="C1853" t="inlineStr">
        <is>
          <t>PERCENTAGE</t>
        </is>
      </c>
      <c r="D1853" t="inlineStr">
        <is>
          <t>IOS Owner</t>
        </is>
      </c>
      <c r="E1853" s="16" t="n">
        <v>0</v>
      </c>
      <c r="F1853" s="16" t="n">
        <v>8678.75</v>
      </c>
      <c r="G1853" s="17" t="n">
        <v>50</v>
      </c>
      <c r="H1853" s="16" t="n">
        <v>-8678.75</v>
      </c>
      <c r="I1853" s="16" t="n">
        <v>0</v>
      </c>
    </row>
    <row r="1854">
      <c r="A1854" t="inlineStr">
        <is>
          <t>MTR-IOS-1853</t>
        </is>
      </c>
      <c r="B1854" t="inlineStr">
        <is>
          <t>Custom Purchase</t>
        </is>
      </c>
      <c r="C1854" t="inlineStr">
        <is>
          <t>PERCENTAGE</t>
        </is>
      </c>
      <c r="D1854" t="inlineStr">
        <is>
          <t>IOS Aarav</t>
        </is>
      </c>
      <c r="E1854" s="16" t="n">
        <v>0</v>
      </c>
      <c r="F1854" s="16" t="n">
        <v>5207.25</v>
      </c>
      <c r="G1854" s="17" t="n">
        <v>30</v>
      </c>
      <c r="H1854" s="16" t="n">
        <v>-5207.25</v>
      </c>
      <c r="I1854" s="16" t="n">
        <v>0</v>
      </c>
    </row>
    <row r="1855">
      <c r="A1855" t="inlineStr">
        <is>
          <t>MTR-IOS-1853</t>
        </is>
      </c>
      <c r="B1855" t="inlineStr">
        <is>
          <t>Custom Purchase</t>
        </is>
      </c>
      <c r="C1855" t="inlineStr">
        <is>
          <t>PERCENTAGE</t>
        </is>
      </c>
      <c r="D1855" t="inlineStr">
        <is>
          <t>IOS Meera</t>
        </is>
      </c>
      <c r="E1855" s="16" t="n">
        <v>17357.49</v>
      </c>
      <c r="F1855" s="16" t="n">
        <v>3471.49</v>
      </c>
      <c r="G1855" s="17" t="n">
        <v>20</v>
      </c>
      <c r="H1855" s="16" t="n">
        <v>13886</v>
      </c>
      <c r="I1855" s="16" t="n">
        <v>0</v>
      </c>
    </row>
    <row r="1856">
      <c r="A1856" t="inlineStr">
        <is>
          <t>MTR-IOS-1856</t>
        </is>
      </c>
      <c r="B1856" t="inlineStr">
        <is>
          <t>Custom Purchase</t>
        </is>
      </c>
      <c r="C1856" t="inlineStr">
        <is>
          <t>EXACT</t>
        </is>
      </c>
      <c r="D1856" t="inlineStr">
        <is>
          <t>IOS Owner</t>
        </is>
      </c>
      <c r="E1856" s="16" t="n">
        <v>17258.15</v>
      </c>
      <c r="F1856" s="16" t="n">
        <v>5746.96</v>
      </c>
      <c r="G1856" s="17" t="n"/>
      <c r="H1856" s="16" t="n">
        <v>11511.19</v>
      </c>
      <c r="I1856" s="16" t="n">
        <v>0</v>
      </c>
    </row>
    <row r="1857">
      <c r="A1857" t="inlineStr">
        <is>
          <t>MTR-IOS-1856</t>
        </is>
      </c>
      <c r="B1857" t="inlineStr">
        <is>
          <t>Custom Purchase</t>
        </is>
      </c>
      <c r="C1857" t="inlineStr">
        <is>
          <t>EXACT</t>
        </is>
      </c>
      <c r="D1857" t="inlineStr">
        <is>
          <t>IOS Aarav</t>
        </is>
      </c>
      <c r="E1857" s="16" t="n">
        <v>0</v>
      </c>
      <c r="F1857" s="16" t="n">
        <v>5746.96</v>
      </c>
      <c r="G1857" s="17" t="n"/>
      <c r="H1857" s="16" t="n">
        <v>-5746.96</v>
      </c>
      <c r="I1857" s="16" t="n">
        <v>0</v>
      </c>
    </row>
    <row r="1858">
      <c r="A1858" t="inlineStr">
        <is>
          <t>MTR-IOS-1856</t>
        </is>
      </c>
      <c r="B1858" t="inlineStr">
        <is>
          <t>Custom Purchase</t>
        </is>
      </c>
      <c r="C1858" t="inlineStr">
        <is>
          <t>EXACT</t>
        </is>
      </c>
      <c r="D1858" t="inlineStr">
        <is>
          <t>IOS Meera</t>
        </is>
      </c>
      <c r="E1858" s="16" t="n">
        <v>0</v>
      </c>
      <c r="F1858" s="16" t="n">
        <v>5764.23</v>
      </c>
      <c r="G1858" s="17" t="n"/>
      <c r="H1858" s="16" t="n">
        <v>-5764.23</v>
      </c>
      <c r="I1858" s="16" t="n">
        <v>0</v>
      </c>
    </row>
    <row r="1859">
      <c r="A1859" t="inlineStr">
        <is>
          <t>MTR-IOS-1859</t>
        </is>
      </c>
      <c r="B1859" t="inlineStr">
        <is>
          <t>Flatmates</t>
        </is>
      </c>
      <c r="C1859" t="inlineStr">
        <is>
          <t>SHARES</t>
        </is>
      </c>
      <c r="D1859" t="inlineStr">
        <is>
          <t>IOS Owner</t>
        </is>
      </c>
      <c r="E1859" s="16" t="n">
        <v>0</v>
      </c>
      <c r="F1859" s="16" t="n">
        <v>12005.05</v>
      </c>
      <c r="G1859" s="17" t="n"/>
      <c r="H1859" s="16" t="n">
        <v>-12005.05</v>
      </c>
      <c r="I1859" s="16" t="n">
        <v>0</v>
      </c>
    </row>
    <row r="1860">
      <c r="A1860" t="inlineStr">
        <is>
          <t>MTR-IOS-1859</t>
        </is>
      </c>
      <c r="B1860" t="inlineStr">
        <is>
          <t>Flatmates</t>
        </is>
      </c>
      <c r="C1860" t="inlineStr">
        <is>
          <t>SHARES</t>
        </is>
      </c>
      <c r="D1860" t="inlineStr">
        <is>
          <t>IOS Aarav</t>
        </is>
      </c>
      <c r="E1860" s="16" t="n">
        <v>24010.1</v>
      </c>
      <c r="F1860" s="16" t="n">
        <v>8003.37</v>
      </c>
      <c r="G1860" s="17" t="n"/>
      <c r="H1860" s="16" t="n">
        <v>16006.73</v>
      </c>
      <c r="I1860" s="16" t="n">
        <v>0</v>
      </c>
    </row>
    <row r="1861">
      <c r="A1861" t="inlineStr">
        <is>
          <t>MTR-IOS-1859</t>
        </is>
      </c>
      <c r="B1861" t="inlineStr">
        <is>
          <t>Flatmates</t>
        </is>
      </c>
      <c r="C1861" t="inlineStr">
        <is>
          <t>SHARES</t>
        </is>
      </c>
      <c r="D1861" t="inlineStr">
        <is>
          <t>IOS Meera</t>
        </is>
      </c>
      <c r="E1861" s="16" t="n">
        <v>0</v>
      </c>
      <c r="F1861" s="16" t="n">
        <v>4001.68</v>
      </c>
      <c r="G1861" s="17" t="n"/>
      <c r="H1861" s="16" t="n">
        <v>-4001.68</v>
      </c>
      <c r="I1861" s="16" t="n">
        <v>0</v>
      </c>
    </row>
    <row r="1862">
      <c r="A1862" t="inlineStr">
        <is>
          <t>MTR-IOS-1862</t>
        </is>
      </c>
      <c r="B1862" t="inlineStr">
        <is>
          <t>Flatmates</t>
        </is>
      </c>
      <c r="C1862" t="inlineStr">
        <is>
          <t>EQUAL</t>
        </is>
      </c>
      <c r="D1862" t="inlineStr">
        <is>
          <t>IOS Owner</t>
        </is>
      </c>
      <c r="E1862" s="16" t="n">
        <v>0</v>
      </c>
      <c r="F1862" s="16" t="n">
        <v>1115.95</v>
      </c>
      <c r="G1862" s="17" t="n"/>
      <c r="H1862" s="16" t="n">
        <v>-1115.95</v>
      </c>
      <c r="I1862" s="16" t="n">
        <v>0</v>
      </c>
    </row>
    <row r="1863">
      <c r="A1863" t="inlineStr">
        <is>
          <t>MTR-IOS-1862</t>
        </is>
      </c>
      <c r="B1863" t="inlineStr">
        <is>
          <t>Flatmates</t>
        </is>
      </c>
      <c r="C1863" t="inlineStr">
        <is>
          <t>EQUAL</t>
        </is>
      </c>
      <c r="D1863" t="inlineStr">
        <is>
          <t>IOS Aarav</t>
        </is>
      </c>
      <c r="E1863" s="16" t="n">
        <v>0</v>
      </c>
      <c r="F1863" s="16" t="n">
        <v>1115.95</v>
      </c>
      <c r="G1863" s="17" t="n"/>
      <c r="H1863" s="16" t="n">
        <v>-1115.95</v>
      </c>
      <c r="I1863" s="16" t="n">
        <v>0</v>
      </c>
    </row>
    <row r="1864">
      <c r="A1864" t="inlineStr">
        <is>
          <t>MTR-IOS-1862</t>
        </is>
      </c>
      <c r="B1864" t="inlineStr">
        <is>
          <t>Flatmates</t>
        </is>
      </c>
      <c r="C1864" t="inlineStr">
        <is>
          <t>EQUAL</t>
        </is>
      </c>
      <c r="D1864" t="inlineStr">
        <is>
          <t>IOS Meera</t>
        </is>
      </c>
      <c r="E1864" s="16" t="n">
        <v>3347.85</v>
      </c>
      <c r="F1864" s="16" t="n">
        <v>1115.95</v>
      </c>
      <c r="G1864" s="17" t="n"/>
      <c r="H1864" s="16" t="n">
        <v>2231.9</v>
      </c>
      <c r="I1864" s="16" t="n">
        <v>0</v>
      </c>
    </row>
    <row r="1865">
      <c r="A1865" t="inlineStr">
        <is>
          <t>MTR-IOS-1865</t>
        </is>
      </c>
      <c r="B1865" t="inlineStr">
        <is>
          <t>Flatmates</t>
        </is>
      </c>
      <c r="C1865" t="inlineStr">
        <is>
          <t>PERCENTAGE</t>
        </is>
      </c>
      <c r="D1865" t="inlineStr">
        <is>
          <t>IOS Owner</t>
        </is>
      </c>
      <c r="E1865" s="16" t="n">
        <v>20409.32</v>
      </c>
      <c r="F1865" s="16" t="n">
        <v>10204.66</v>
      </c>
      <c r="G1865" s="17" t="n">
        <v>50</v>
      </c>
      <c r="H1865" s="16" t="n">
        <v>10204.66</v>
      </c>
      <c r="I1865" s="16" t="n">
        <v>0</v>
      </c>
    </row>
    <row r="1866">
      <c r="A1866" t="inlineStr">
        <is>
          <t>MTR-IOS-1865</t>
        </is>
      </c>
      <c r="B1866" t="inlineStr">
        <is>
          <t>Flatmates</t>
        </is>
      </c>
      <c r="C1866" t="inlineStr">
        <is>
          <t>PERCENTAGE</t>
        </is>
      </c>
      <c r="D1866" t="inlineStr">
        <is>
          <t>IOS Aarav</t>
        </is>
      </c>
      <c r="E1866" s="16" t="n">
        <v>0</v>
      </c>
      <c r="F1866" s="16" t="n">
        <v>6122.8</v>
      </c>
      <c r="G1866" s="17" t="n">
        <v>30</v>
      </c>
      <c r="H1866" s="16" t="n">
        <v>-6122.8</v>
      </c>
      <c r="I1866" s="16" t="n">
        <v>0</v>
      </c>
    </row>
    <row r="1867">
      <c r="A1867" t="inlineStr">
        <is>
          <t>MTR-IOS-1865</t>
        </is>
      </c>
      <c r="B1867" t="inlineStr">
        <is>
          <t>Flatmates</t>
        </is>
      </c>
      <c r="C1867" t="inlineStr">
        <is>
          <t>PERCENTAGE</t>
        </is>
      </c>
      <c r="D1867" t="inlineStr">
        <is>
          <t>IOS Meera</t>
        </is>
      </c>
      <c r="E1867" s="16" t="n">
        <v>0</v>
      </c>
      <c r="F1867" s="16" t="n">
        <v>4081.86</v>
      </c>
      <c r="G1867" s="17" t="n">
        <v>20</v>
      </c>
      <c r="H1867" s="16" t="n">
        <v>-4081.86</v>
      </c>
      <c r="I1867" s="16" t="n">
        <v>0</v>
      </c>
    </row>
    <row r="1868">
      <c r="A1868" t="inlineStr">
        <is>
          <t>MTR-IOS-1868</t>
        </is>
      </c>
      <c r="B1868" t="inlineStr">
        <is>
          <t>Flatmates</t>
        </is>
      </c>
      <c r="C1868" t="inlineStr">
        <is>
          <t>EXACT</t>
        </is>
      </c>
      <c r="D1868" t="inlineStr">
        <is>
          <t>IOS Owner</t>
        </is>
      </c>
      <c r="E1868" s="16" t="n">
        <v>0</v>
      </c>
      <c r="F1868" s="16" t="n">
        <v>6115.48</v>
      </c>
      <c r="G1868" s="17" t="n"/>
      <c r="H1868" s="16" t="n">
        <v>-6115.48</v>
      </c>
      <c r="I1868" s="16" t="n">
        <v>0</v>
      </c>
    </row>
    <row r="1869">
      <c r="A1869" t="inlineStr">
        <is>
          <t>MTR-IOS-1868</t>
        </is>
      </c>
      <c r="B1869" t="inlineStr">
        <is>
          <t>Flatmates</t>
        </is>
      </c>
      <c r="C1869" t="inlineStr">
        <is>
          <t>EXACT</t>
        </is>
      </c>
      <c r="D1869" t="inlineStr">
        <is>
          <t>IOS Aarav</t>
        </is>
      </c>
      <c r="E1869" s="16" t="n">
        <v>18364.79</v>
      </c>
      <c r="F1869" s="16" t="n">
        <v>6115.48</v>
      </c>
      <c r="G1869" s="17" t="n"/>
      <c r="H1869" s="16" t="n">
        <v>12249.31</v>
      </c>
      <c r="I1869" s="16" t="n">
        <v>0</v>
      </c>
    </row>
    <row r="1870">
      <c r="A1870" t="inlineStr">
        <is>
          <t>MTR-IOS-1868</t>
        </is>
      </c>
      <c r="B1870" t="inlineStr">
        <is>
          <t>Flatmates</t>
        </is>
      </c>
      <c r="C1870" t="inlineStr">
        <is>
          <t>EXACT</t>
        </is>
      </c>
      <c r="D1870" t="inlineStr">
        <is>
          <t>IOS Meera</t>
        </is>
      </c>
      <c r="E1870" s="16" t="n">
        <v>0</v>
      </c>
      <c r="F1870" s="16" t="n">
        <v>6133.83</v>
      </c>
      <c r="G1870" s="17" t="n"/>
      <c r="H1870" s="16" t="n">
        <v>-6133.83</v>
      </c>
      <c r="I1870" s="16" t="n">
        <v>0</v>
      </c>
    </row>
    <row r="1871">
      <c r="A1871" t="inlineStr">
        <is>
          <t>MTR-IOS-1871</t>
        </is>
      </c>
      <c r="B1871" t="inlineStr">
        <is>
          <t>Flatmates</t>
        </is>
      </c>
      <c r="C1871" t="inlineStr">
        <is>
          <t>SHARES</t>
        </is>
      </c>
      <c r="D1871" t="inlineStr">
        <is>
          <t>IOS Owner</t>
        </is>
      </c>
      <c r="E1871" s="16" t="n">
        <v>0</v>
      </c>
      <c r="F1871" s="16" t="n">
        <v>4064.6</v>
      </c>
      <c r="G1871" s="17" t="n"/>
      <c r="H1871" s="16" t="n">
        <v>-4064.6</v>
      </c>
      <c r="I1871" s="16" t="n">
        <v>0</v>
      </c>
    </row>
    <row r="1872">
      <c r="A1872" t="inlineStr">
        <is>
          <t>MTR-IOS-1871</t>
        </is>
      </c>
      <c r="B1872" t="inlineStr">
        <is>
          <t>Flatmates</t>
        </is>
      </c>
      <c r="C1872" t="inlineStr">
        <is>
          <t>SHARES</t>
        </is>
      </c>
      <c r="D1872" t="inlineStr">
        <is>
          <t>IOS Aarav</t>
        </is>
      </c>
      <c r="E1872" s="16" t="n">
        <v>0</v>
      </c>
      <c r="F1872" s="16" t="n">
        <v>2709.73</v>
      </c>
      <c r="G1872" s="17" t="n"/>
      <c r="H1872" s="16" t="n">
        <v>-2709.73</v>
      </c>
      <c r="I1872" s="16" t="n">
        <v>0</v>
      </c>
    </row>
    <row r="1873">
      <c r="A1873" t="inlineStr">
        <is>
          <t>MTR-IOS-1871</t>
        </is>
      </c>
      <c r="B1873" t="inlineStr">
        <is>
          <t>Flatmates</t>
        </is>
      </c>
      <c r="C1873" t="inlineStr">
        <is>
          <t>SHARES</t>
        </is>
      </c>
      <c r="D1873" t="inlineStr">
        <is>
          <t>IOS Meera</t>
        </is>
      </c>
      <c r="E1873" s="16" t="n">
        <v>8129.2</v>
      </c>
      <c r="F1873" s="16" t="n">
        <v>1354.87</v>
      </c>
      <c r="G1873" s="17" t="n"/>
      <c r="H1873" s="16" t="n">
        <v>6774.33</v>
      </c>
      <c r="I1873" s="16" t="n">
        <v>0</v>
      </c>
    </row>
    <row r="1874">
      <c r="A1874" t="inlineStr">
        <is>
          <t>MTR-IOS-1874</t>
        </is>
      </c>
      <c r="B1874" t="inlineStr">
        <is>
          <t>Flatmates</t>
        </is>
      </c>
      <c r="C1874" t="inlineStr">
        <is>
          <t>EQUAL</t>
        </is>
      </c>
      <c r="D1874" t="inlineStr">
        <is>
          <t>IOS Owner</t>
        </is>
      </c>
      <c r="E1874" s="16" t="n">
        <v>6879.19</v>
      </c>
      <c r="F1874" s="16" t="n">
        <v>2293.06</v>
      </c>
      <c r="G1874" s="17" t="n"/>
      <c r="H1874" s="16" t="n">
        <v>4586.13</v>
      </c>
      <c r="I1874" s="16" t="n">
        <v>0</v>
      </c>
    </row>
    <row r="1875">
      <c r="A1875" t="inlineStr">
        <is>
          <t>MTR-IOS-1874</t>
        </is>
      </c>
      <c r="B1875" t="inlineStr">
        <is>
          <t>Flatmates</t>
        </is>
      </c>
      <c r="C1875" t="inlineStr">
        <is>
          <t>EQUAL</t>
        </is>
      </c>
      <c r="D1875" t="inlineStr">
        <is>
          <t>IOS Aarav</t>
        </is>
      </c>
      <c r="E1875" s="16" t="n">
        <v>0</v>
      </c>
      <c r="F1875" s="16" t="n">
        <v>2293.06</v>
      </c>
      <c r="G1875" s="17" t="n"/>
      <c r="H1875" s="16" t="n">
        <v>-2293.06</v>
      </c>
      <c r="I1875" s="16" t="n">
        <v>0</v>
      </c>
    </row>
    <row r="1876">
      <c r="A1876" t="inlineStr">
        <is>
          <t>MTR-IOS-1874</t>
        </is>
      </c>
      <c r="B1876" t="inlineStr">
        <is>
          <t>Flatmates</t>
        </is>
      </c>
      <c r="C1876" t="inlineStr">
        <is>
          <t>EQUAL</t>
        </is>
      </c>
      <c r="D1876" t="inlineStr">
        <is>
          <t>IOS Meera</t>
        </is>
      </c>
      <c r="E1876" s="16" t="n">
        <v>0</v>
      </c>
      <c r="F1876" s="16" t="n">
        <v>2293.07</v>
      </c>
      <c r="G1876" s="17" t="n"/>
      <c r="H1876" s="16" t="n">
        <v>-2293.07</v>
      </c>
      <c r="I1876" s="16" t="n">
        <v>0</v>
      </c>
    </row>
    <row r="1877">
      <c r="A1877" t="inlineStr">
        <is>
          <t>MTR-IOS-1877</t>
        </is>
      </c>
      <c r="B1877" t="inlineStr">
        <is>
          <t>Shared Living</t>
        </is>
      </c>
      <c r="C1877" t="inlineStr">
        <is>
          <t>PERCENTAGE</t>
        </is>
      </c>
      <c r="D1877" t="inlineStr">
        <is>
          <t>IOS Owner</t>
        </is>
      </c>
      <c r="E1877" s="16" t="n">
        <v>0</v>
      </c>
      <c r="F1877" s="16" t="n">
        <v>8310.940000000001</v>
      </c>
      <c r="G1877" s="17" t="n">
        <v>50</v>
      </c>
      <c r="H1877" s="16" t="n">
        <v>-8310.940000000001</v>
      </c>
      <c r="I1877" s="16" t="n">
        <v>0</v>
      </c>
    </row>
    <row r="1878">
      <c r="A1878" t="inlineStr">
        <is>
          <t>MTR-IOS-1877</t>
        </is>
      </c>
      <c r="B1878" t="inlineStr">
        <is>
          <t>Shared Living</t>
        </is>
      </c>
      <c r="C1878" t="inlineStr">
        <is>
          <t>PERCENTAGE</t>
        </is>
      </c>
      <c r="D1878" t="inlineStr">
        <is>
          <t>IOS Aarav</t>
        </is>
      </c>
      <c r="E1878" s="16" t="n">
        <v>16621.87</v>
      </c>
      <c r="F1878" s="16" t="n">
        <v>4986.56</v>
      </c>
      <c r="G1878" s="17" t="n">
        <v>30</v>
      </c>
      <c r="H1878" s="16" t="n">
        <v>11635.31</v>
      </c>
      <c r="I1878" s="16" t="n">
        <v>0</v>
      </c>
    </row>
    <row r="1879">
      <c r="A1879" t="inlineStr">
        <is>
          <t>MTR-IOS-1877</t>
        </is>
      </c>
      <c r="B1879" t="inlineStr">
        <is>
          <t>Shared Living</t>
        </is>
      </c>
      <c r="C1879" t="inlineStr">
        <is>
          <t>PERCENTAGE</t>
        </is>
      </c>
      <c r="D1879" t="inlineStr">
        <is>
          <t>IOS Meera</t>
        </is>
      </c>
      <c r="E1879" s="16" t="n">
        <v>0</v>
      </c>
      <c r="F1879" s="16" t="n">
        <v>3324.37</v>
      </c>
      <c r="G1879" s="17" t="n">
        <v>20</v>
      </c>
      <c r="H1879" s="16" t="n">
        <v>-3324.37</v>
      </c>
      <c r="I1879" s="16" t="n">
        <v>0</v>
      </c>
    </row>
    <row r="1880">
      <c r="A1880" t="inlineStr">
        <is>
          <t>MTR-IOS-1880</t>
        </is>
      </c>
      <c r="B1880" t="inlineStr">
        <is>
          <t>Shared Living</t>
        </is>
      </c>
      <c r="C1880" t="inlineStr">
        <is>
          <t>EXACT</t>
        </is>
      </c>
      <c r="D1880" t="inlineStr">
        <is>
          <t>IOS Owner</t>
        </is>
      </c>
      <c r="E1880" s="16" t="n">
        <v>0</v>
      </c>
      <c r="F1880" s="16" t="n">
        <v>6221.38</v>
      </c>
      <c r="G1880" s="17" t="n"/>
      <c r="H1880" s="16" t="n">
        <v>-6221.38</v>
      </c>
      <c r="I1880" s="16" t="n">
        <v>0</v>
      </c>
    </row>
    <row r="1881">
      <c r="A1881" t="inlineStr">
        <is>
          <t>MTR-IOS-1880</t>
        </is>
      </c>
      <c r="B1881" t="inlineStr">
        <is>
          <t>Shared Living</t>
        </is>
      </c>
      <c r="C1881" t="inlineStr">
        <is>
          <t>EXACT</t>
        </is>
      </c>
      <c r="D1881" t="inlineStr">
        <is>
          <t>IOS Aarav</t>
        </is>
      </c>
      <c r="E1881" s="16" t="n">
        <v>0</v>
      </c>
      <c r="F1881" s="16" t="n">
        <v>6221.38</v>
      </c>
      <c r="G1881" s="17" t="n"/>
      <c r="H1881" s="16" t="n">
        <v>-6221.38</v>
      </c>
      <c r="I1881" s="16" t="n">
        <v>0</v>
      </c>
    </row>
    <row r="1882">
      <c r="A1882" t="inlineStr">
        <is>
          <t>MTR-IOS-1880</t>
        </is>
      </c>
      <c r="B1882" t="inlineStr">
        <is>
          <t>Shared Living</t>
        </is>
      </c>
      <c r="C1882" t="inlineStr">
        <is>
          <t>EXACT</t>
        </is>
      </c>
      <c r="D1882" t="inlineStr">
        <is>
          <t>IOS Meera</t>
        </is>
      </c>
      <c r="E1882" s="16" t="n">
        <v>18682.82</v>
      </c>
      <c r="F1882" s="16" t="n">
        <v>6240.06</v>
      </c>
      <c r="G1882" s="17" t="n"/>
      <c r="H1882" s="16" t="n">
        <v>12442.76</v>
      </c>
      <c r="I1882" s="16" t="n">
        <v>0</v>
      </c>
    </row>
    <row r="1883">
      <c r="A1883" t="inlineStr">
        <is>
          <t>MTR-IOS-1883</t>
        </is>
      </c>
      <c r="B1883" t="inlineStr">
        <is>
          <t>Shared Living</t>
        </is>
      </c>
      <c r="C1883" t="inlineStr">
        <is>
          <t>SHARES</t>
        </is>
      </c>
      <c r="D1883" t="inlineStr">
        <is>
          <t>IOS Owner</t>
        </is>
      </c>
      <c r="E1883" s="16" t="n">
        <v>17075.27</v>
      </c>
      <c r="F1883" s="16" t="n">
        <v>8537.639999999999</v>
      </c>
      <c r="G1883" s="17" t="n"/>
      <c r="H1883" s="16" t="n">
        <v>8537.629999999999</v>
      </c>
      <c r="I1883" s="16" t="n">
        <v>0</v>
      </c>
    </row>
    <row r="1884">
      <c r="A1884" t="inlineStr">
        <is>
          <t>MTR-IOS-1883</t>
        </is>
      </c>
      <c r="B1884" t="inlineStr">
        <is>
          <t>Shared Living</t>
        </is>
      </c>
      <c r="C1884" t="inlineStr">
        <is>
          <t>SHARES</t>
        </is>
      </c>
      <c r="D1884" t="inlineStr">
        <is>
          <t>IOS Aarav</t>
        </is>
      </c>
      <c r="E1884" s="16" t="n">
        <v>0</v>
      </c>
      <c r="F1884" s="16" t="n">
        <v>5691.76</v>
      </c>
      <c r="G1884" s="17" t="n"/>
      <c r="H1884" s="16" t="n">
        <v>-5691.76</v>
      </c>
      <c r="I1884" s="16" t="n">
        <v>0</v>
      </c>
    </row>
    <row r="1885">
      <c r="A1885" t="inlineStr">
        <is>
          <t>MTR-IOS-1883</t>
        </is>
      </c>
      <c r="B1885" t="inlineStr">
        <is>
          <t>Shared Living</t>
        </is>
      </c>
      <c r="C1885" t="inlineStr">
        <is>
          <t>SHARES</t>
        </is>
      </c>
      <c r="D1885" t="inlineStr">
        <is>
          <t>IOS Meera</t>
        </is>
      </c>
      <c r="E1885" s="16" t="n">
        <v>0</v>
      </c>
      <c r="F1885" s="16" t="n">
        <v>2845.87</v>
      </c>
      <c r="G1885" s="17" t="n"/>
      <c r="H1885" s="16" t="n">
        <v>-2845.87</v>
      </c>
      <c r="I1885" s="16" t="n">
        <v>0</v>
      </c>
    </row>
    <row r="1886">
      <c r="A1886" t="inlineStr">
        <is>
          <t>MTR-IOS-1886</t>
        </is>
      </c>
      <c r="B1886" t="inlineStr">
        <is>
          <t>Shared Living</t>
        </is>
      </c>
      <c r="C1886" t="inlineStr">
        <is>
          <t>EQUAL</t>
        </is>
      </c>
      <c r="D1886" t="inlineStr">
        <is>
          <t>IOS Owner</t>
        </is>
      </c>
      <c r="E1886" s="16" t="n">
        <v>0</v>
      </c>
      <c r="F1886" s="16" t="n">
        <v>4609.93</v>
      </c>
      <c r="G1886" s="17" t="n"/>
      <c r="H1886" s="16" t="n">
        <v>-4609.93</v>
      </c>
      <c r="I1886" s="16" t="n">
        <v>0</v>
      </c>
    </row>
    <row r="1887">
      <c r="A1887" t="inlineStr">
        <is>
          <t>MTR-IOS-1886</t>
        </is>
      </c>
      <c r="B1887" t="inlineStr">
        <is>
          <t>Shared Living</t>
        </is>
      </c>
      <c r="C1887" t="inlineStr">
        <is>
          <t>EQUAL</t>
        </is>
      </c>
      <c r="D1887" t="inlineStr">
        <is>
          <t>IOS Aarav</t>
        </is>
      </c>
      <c r="E1887" s="16" t="n">
        <v>13829.79</v>
      </c>
      <c r="F1887" s="16" t="n">
        <v>4609.93</v>
      </c>
      <c r="G1887" s="17" t="n"/>
      <c r="H1887" s="16" t="n">
        <v>9219.860000000001</v>
      </c>
      <c r="I1887" s="16" t="n">
        <v>0</v>
      </c>
    </row>
    <row r="1888">
      <c r="A1888" t="inlineStr">
        <is>
          <t>MTR-IOS-1886</t>
        </is>
      </c>
      <c r="B1888" t="inlineStr">
        <is>
          <t>Shared Living</t>
        </is>
      </c>
      <c r="C1888" t="inlineStr">
        <is>
          <t>EQUAL</t>
        </is>
      </c>
      <c r="D1888" t="inlineStr">
        <is>
          <t>IOS Meera</t>
        </is>
      </c>
      <c r="E1888" s="16" t="n">
        <v>0</v>
      </c>
      <c r="F1888" s="16" t="n">
        <v>4609.93</v>
      </c>
      <c r="G1888" s="17" t="n"/>
      <c r="H1888" s="16" t="n">
        <v>-4609.93</v>
      </c>
      <c r="I1888" s="16" t="n">
        <v>0</v>
      </c>
    </row>
    <row r="1889">
      <c r="A1889" t="inlineStr">
        <is>
          <t>MTR-IOS-1889</t>
        </is>
      </c>
      <c r="B1889" t="inlineStr">
        <is>
          <t>Shared Living</t>
        </is>
      </c>
      <c r="C1889" t="inlineStr">
        <is>
          <t>PERCENTAGE</t>
        </is>
      </c>
      <c r="D1889" t="inlineStr">
        <is>
          <t>IOS Owner</t>
        </is>
      </c>
      <c r="E1889" s="16" t="n">
        <v>0</v>
      </c>
      <c r="F1889" s="16" t="n">
        <v>11914.52</v>
      </c>
      <c r="G1889" s="17" t="n">
        <v>50</v>
      </c>
      <c r="H1889" s="16" t="n">
        <v>-11914.52</v>
      </c>
      <c r="I1889" s="16" t="n">
        <v>0</v>
      </c>
    </row>
    <row r="1890">
      <c r="A1890" t="inlineStr">
        <is>
          <t>MTR-IOS-1889</t>
        </is>
      </c>
      <c r="B1890" t="inlineStr">
        <is>
          <t>Shared Living</t>
        </is>
      </c>
      <c r="C1890" t="inlineStr">
        <is>
          <t>PERCENTAGE</t>
        </is>
      </c>
      <c r="D1890" t="inlineStr">
        <is>
          <t>IOS Aarav</t>
        </is>
      </c>
      <c r="E1890" s="16" t="n">
        <v>0</v>
      </c>
      <c r="F1890" s="16" t="n">
        <v>7148.71</v>
      </c>
      <c r="G1890" s="17" t="n">
        <v>30</v>
      </c>
      <c r="H1890" s="16" t="n">
        <v>-7148.71</v>
      </c>
      <c r="I1890" s="16" t="n">
        <v>0</v>
      </c>
    </row>
    <row r="1891">
      <c r="A1891" t="inlineStr">
        <is>
          <t>MTR-IOS-1889</t>
        </is>
      </c>
      <c r="B1891" t="inlineStr">
        <is>
          <t>Shared Living</t>
        </is>
      </c>
      <c r="C1891" t="inlineStr">
        <is>
          <t>PERCENTAGE</t>
        </is>
      </c>
      <c r="D1891" t="inlineStr">
        <is>
          <t>IOS Meera</t>
        </is>
      </c>
      <c r="E1891" s="16" t="n">
        <v>23829.03</v>
      </c>
      <c r="F1891" s="16" t="n">
        <v>4765.8</v>
      </c>
      <c r="G1891" s="17" t="n">
        <v>20</v>
      </c>
      <c r="H1891" s="16" t="n">
        <v>19063.23</v>
      </c>
      <c r="I1891" s="16" t="n">
        <v>0</v>
      </c>
    </row>
    <row r="1892">
      <c r="A1892" t="inlineStr">
        <is>
          <t>MTR-IOS-1892</t>
        </is>
      </c>
      <c r="B1892" t="inlineStr">
        <is>
          <t>Family Household</t>
        </is>
      </c>
      <c r="C1892" t="inlineStr">
        <is>
          <t>EXACT</t>
        </is>
      </c>
      <c r="D1892" t="inlineStr">
        <is>
          <t>IOS Owner</t>
        </is>
      </c>
      <c r="E1892" s="16" t="n">
        <v>16523.12</v>
      </c>
      <c r="F1892" s="16" t="n">
        <v>5502.2</v>
      </c>
      <c r="G1892" s="17" t="n"/>
      <c r="H1892" s="16" t="n">
        <v>11020.92</v>
      </c>
      <c r="I1892" s="16" t="n">
        <v>0</v>
      </c>
    </row>
    <row r="1893">
      <c r="A1893" t="inlineStr">
        <is>
          <t>MTR-IOS-1892</t>
        </is>
      </c>
      <c r="B1893" t="inlineStr">
        <is>
          <t>Family Household</t>
        </is>
      </c>
      <c r="C1893" t="inlineStr">
        <is>
          <t>EXACT</t>
        </is>
      </c>
      <c r="D1893" t="inlineStr">
        <is>
          <t>IOS Aarav</t>
        </is>
      </c>
      <c r="E1893" s="16" t="n">
        <v>0</v>
      </c>
      <c r="F1893" s="16" t="n">
        <v>5502.2</v>
      </c>
      <c r="G1893" s="17" t="n"/>
      <c r="H1893" s="16" t="n">
        <v>-5502.2</v>
      </c>
      <c r="I1893" s="16" t="n">
        <v>0</v>
      </c>
    </row>
    <row r="1894">
      <c r="A1894" t="inlineStr">
        <is>
          <t>MTR-IOS-1892</t>
        </is>
      </c>
      <c r="B1894" t="inlineStr">
        <is>
          <t>Family Household</t>
        </is>
      </c>
      <c r="C1894" t="inlineStr">
        <is>
          <t>EXACT</t>
        </is>
      </c>
      <c r="D1894" t="inlineStr">
        <is>
          <t>IOS Meera</t>
        </is>
      </c>
      <c r="E1894" s="16" t="n">
        <v>0</v>
      </c>
      <c r="F1894" s="16" t="n">
        <v>5518.72</v>
      </c>
      <c r="G1894" s="17" t="n"/>
      <c r="H1894" s="16" t="n">
        <v>-5518.72</v>
      </c>
      <c r="I1894" s="16" t="n">
        <v>0</v>
      </c>
    </row>
    <row r="1895">
      <c r="A1895" t="inlineStr">
        <is>
          <t>MTR-IOS-1895</t>
        </is>
      </c>
      <c r="B1895" t="inlineStr">
        <is>
          <t>Family Household</t>
        </is>
      </c>
      <c r="C1895" t="inlineStr">
        <is>
          <t>SHARES</t>
        </is>
      </c>
      <c r="D1895" t="inlineStr">
        <is>
          <t>IOS Owner</t>
        </is>
      </c>
      <c r="E1895" s="16" t="n">
        <v>0</v>
      </c>
      <c r="F1895" s="16" t="n">
        <v>209.72</v>
      </c>
      <c r="G1895" s="17" t="n"/>
      <c r="H1895" s="16" t="n">
        <v>-209.72</v>
      </c>
      <c r="I1895" s="16" t="n">
        <v>0</v>
      </c>
    </row>
    <row r="1896">
      <c r="A1896" t="inlineStr">
        <is>
          <t>MTR-IOS-1895</t>
        </is>
      </c>
      <c r="B1896" t="inlineStr">
        <is>
          <t>Family Household</t>
        </is>
      </c>
      <c r="C1896" t="inlineStr">
        <is>
          <t>SHARES</t>
        </is>
      </c>
      <c r="D1896" t="inlineStr">
        <is>
          <t>IOS Aarav</t>
        </is>
      </c>
      <c r="E1896" s="16" t="n">
        <v>419.43</v>
      </c>
      <c r="F1896" s="16" t="n">
        <v>139.81</v>
      </c>
      <c r="G1896" s="17" t="n"/>
      <c r="H1896" s="16" t="n">
        <v>279.62</v>
      </c>
      <c r="I1896" s="16" t="n">
        <v>0</v>
      </c>
    </row>
    <row r="1897">
      <c r="A1897" t="inlineStr">
        <is>
          <t>MTR-IOS-1895</t>
        </is>
      </c>
      <c r="B1897" t="inlineStr">
        <is>
          <t>Family Household</t>
        </is>
      </c>
      <c r="C1897" t="inlineStr">
        <is>
          <t>SHARES</t>
        </is>
      </c>
      <c r="D1897" t="inlineStr">
        <is>
          <t>IOS Meera</t>
        </is>
      </c>
      <c r="E1897" s="16" t="n">
        <v>0</v>
      </c>
      <c r="F1897" s="16" t="n">
        <v>69.90000000000001</v>
      </c>
      <c r="G1897" s="17" t="n"/>
      <c r="H1897" s="16" t="n">
        <v>-69.90000000000001</v>
      </c>
      <c r="I1897" s="16" t="n">
        <v>0</v>
      </c>
    </row>
    <row r="1898">
      <c r="A1898" t="inlineStr">
        <is>
          <t>MTR-IOS-1898</t>
        </is>
      </c>
      <c r="B1898" t="inlineStr">
        <is>
          <t>Family Household</t>
        </is>
      </c>
      <c r="C1898" t="inlineStr">
        <is>
          <t>EQUAL</t>
        </is>
      </c>
      <c r="D1898" t="inlineStr">
        <is>
          <t>IOS Owner</t>
        </is>
      </c>
      <c r="E1898" s="16" t="n">
        <v>0</v>
      </c>
      <c r="F1898" s="16" t="n">
        <v>6737.64</v>
      </c>
      <c r="G1898" s="17" t="n"/>
      <c r="H1898" s="16" t="n">
        <v>-6737.64</v>
      </c>
      <c r="I1898" s="16" t="n">
        <v>0</v>
      </c>
    </row>
    <row r="1899">
      <c r="A1899" t="inlineStr">
        <is>
          <t>MTR-IOS-1898</t>
        </is>
      </c>
      <c r="B1899" t="inlineStr">
        <is>
          <t>Family Household</t>
        </is>
      </c>
      <c r="C1899" t="inlineStr">
        <is>
          <t>EQUAL</t>
        </is>
      </c>
      <c r="D1899" t="inlineStr">
        <is>
          <t>IOS Aarav</t>
        </is>
      </c>
      <c r="E1899" s="16" t="n">
        <v>0</v>
      </c>
      <c r="F1899" s="16" t="n">
        <v>6737.64</v>
      </c>
      <c r="G1899" s="17" t="n"/>
      <c r="H1899" s="16" t="n">
        <v>-6737.64</v>
      </c>
      <c r="I1899" s="16" t="n">
        <v>0</v>
      </c>
    </row>
    <row r="1900">
      <c r="A1900" t="inlineStr">
        <is>
          <t>MTR-IOS-1898</t>
        </is>
      </c>
      <c r="B1900" t="inlineStr">
        <is>
          <t>Family Household</t>
        </is>
      </c>
      <c r="C1900" t="inlineStr">
        <is>
          <t>EQUAL</t>
        </is>
      </c>
      <c r="D1900" t="inlineStr">
        <is>
          <t>IOS Meera</t>
        </is>
      </c>
      <c r="E1900" s="16" t="n">
        <v>20212.91</v>
      </c>
      <c r="F1900" s="16" t="n">
        <v>6737.63</v>
      </c>
      <c r="G1900" s="17" t="n"/>
      <c r="H1900" s="16" t="n">
        <v>13475.28</v>
      </c>
      <c r="I1900" s="16" t="n">
        <v>0</v>
      </c>
    </row>
    <row r="1901">
      <c r="A1901" t="inlineStr">
        <is>
          <t>MTR-IOS-1901</t>
        </is>
      </c>
      <c r="B1901" t="inlineStr">
        <is>
          <t>Family Household</t>
        </is>
      </c>
      <c r="C1901" t="inlineStr">
        <is>
          <t>PERCENTAGE</t>
        </is>
      </c>
      <c r="D1901" t="inlineStr">
        <is>
          <t>IOS Owner</t>
        </is>
      </c>
      <c r="E1901" s="16" t="n">
        <v>1085.07</v>
      </c>
      <c r="F1901" s="16" t="n">
        <v>542.54</v>
      </c>
      <c r="G1901" s="17" t="n">
        <v>50</v>
      </c>
      <c r="H1901" s="16" t="n">
        <v>542.53</v>
      </c>
      <c r="I1901" s="16" t="n">
        <v>0</v>
      </c>
    </row>
    <row r="1902">
      <c r="A1902" t="inlineStr">
        <is>
          <t>MTR-IOS-1901</t>
        </is>
      </c>
      <c r="B1902" t="inlineStr">
        <is>
          <t>Family Household</t>
        </is>
      </c>
      <c r="C1902" t="inlineStr">
        <is>
          <t>PERCENTAGE</t>
        </is>
      </c>
      <c r="D1902" t="inlineStr">
        <is>
          <t>IOS Aarav</t>
        </is>
      </c>
      <c r="E1902" s="16" t="n">
        <v>0</v>
      </c>
      <c r="F1902" s="16" t="n">
        <v>325.52</v>
      </c>
      <c r="G1902" s="17" t="n">
        <v>30</v>
      </c>
      <c r="H1902" s="16" t="n">
        <v>-325.52</v>
      </c>
      <c r="I1902" s="16" t="n">
        <v>0</v>
      </c>
    </row>
    <row r="1903">
      <c r="A1903" t="inlineStr">
        <is>
          <t>MTR-IOS-1901</t>
        </is>
      </c>
      <c r="B1903" t="inlineStr">
        <is>
          <t>Family Household</t>
        </is>
      </c>
      <c r="C1903" t="inlineStr">
        <is>
          <t>PERCENTAGE</t>
        </is>
      </c>
      <c r="D1903" t="inlineStr">
        <is>
          <t>IOS Meera</t>
        </is>
      </c>
      <c r="E1903" s="16" t="n">
        <v>0</v>
      </c>
      <c r="F1903" s="16" t="n">
        <v>217.01</v>
      </c>
      <c r="G1903" s="17" t="n">
        <v>20</v>
      </c>
      <c r="H1903" s="16" t="n">
        <v>-217.01</v>
      </c>
      <c r="I1903" s="16" t="n">
        <v>0</v>
      </c>
    </row>
    <row r="1904">
      <c r="A1904" t="inlineStr">
        <is>
          <t>MTR-IOS-1904</t>
        </is>
      </c>
      <c r="B1904" t="inlineStr">
        <is>
          <t>Family Household</t>
        </is>
      </c>
      <c r="C1904" t="inlineStr">
        <is>
          <t>EXACT</t>
        </is>
      </c>
      <c r="D1904" t="inlineStr">
        <is>
          <t>IOS Owner</t>
        </is>
      </c>
      <c r="E1904" s="16" t="n">
        <v>0</v>
      </c>
      <c r="F1904" s="16" t="n">
        <v>7854.18</v>
      </c>
      <c r="G1904" s="17" t="n"/>
      <c r="H1904" s="16" t="n">
        <v>-7854.18</v>
      </c>
      <c r="I1904" s="16" t="n">
        <v>0</v>
      </c>
    </row>
    <row r="1905">
      <c r="A1905" t="inlineStr">
        <is>
          <t>MTR-IOS-1904</t>
        </is>
      </c>
      <c r="B1905" t="inlineStr">
        <is>
          <t>Family Household</t>
        </is>
      </c>
      <c r="C1905" t="inlineStr">
        <is>
          <t>EXACT</t>
        </is>
      </c>
      <c r="D1905" t="inlineStr">
        <is>
          <t>IOS Aarav</t>
        </is>
      </c>
      <c r="E1905" s="16" t="n">
        <v>23586.14</v>
      </c>
      <c r="F1905" s="16" t="n">
        <v>7854.18</v>
      </c>
      <c r="G1905" s="17" t="n"/>
      <c r="H1905" s="16" t="n">
        <v>15731.96</v>
      </c>
      <c r="I1905" s="16" t="n">
        <v>0</v>
      </c>
    </row>
    <row r="1906">
      <c r="A1906" t="inlineStr">
        <is>
          <t>MTR-IOS-1904</t>
        </is>
      </c>
      <c r="B1906" t="inlineStr">
        <is>
          <t>Family Household</t>
        </is>
      </c>
      <c r="C1906" t="inlineStr">
        <is>
          <t>EXACT</t>
        </is>
      </c>
      <c r="D1906" t="inlineStr">
        <is>
          <t>IOS Meera</t>
        </is>
      </c>
      <c r="E1906" s="16" t="n">
        <v>0</v>
      </c>
      <c r="F1906" s="16" t="n">
        <v>7877.78</v>
      </c>
      <c r="G1906" s="17" t="n"/>
      <c r="H1906" s="16" t="n">
        <v>-7877.78</v>
      </c>
      <c r="I1906" s="16" t="n">
        <v>0</v>
      </c>
    </row>
    <row r="1907">
      <c r="A1907" t="inlineStr">
        <is>
          <t>MTR-IOS-1907</t>
        </is>
      </c>
      <c r="B1907" t="inlineStr">
        <is>
          <t>Family Household</t>
        </is>
      </c>
      <c r="C1907" t="inlineStr">
        <is>
          <t>SHARES</t>
        </is>
      </c>
      <c r="D1907" t="inlineStr">
        <is>
          <t>IOS Owner</t>
        </is>
      </c>
      <c r="E1907" s="16" t="n">
        <v>0</v>
      </c>
      <c r="F1907" s="16" t="n">
        <v>3607.61</v>
      </c>
      <c r="G1907" s="17" t="n"/>
      <c r="H1907" s="16" t="n">
        <v>-3607.61</v>
      </c>
      <c r="I1907" s="16" t="n">
        <v>0</v>
      </c>
    </row>
    <row r="1908">
      <c r="A1908" t="inlineStr">
        <is>
          <t>MTR-IOS-1907</t>
        </is>
      </c>
      <c r="B1908" t="inlineStr">
        <is>
          <t>Family Household</t>
        </is>
      </c>
      <c r="C1908" t="inlineStr">
        <is>
          <t>SHARES</t>
        </is>
      </c>
      <c r="D1908" t="inlineStr">
        <is>
          <t>IOS Aarav</t>
        </is>
      </c>
      <c r="E1908" s="16" t="n">
        <v>0</v>
      </c>
      <c r="F1908" s="16" t="n">
        <v>2405.07</v>
      </c>
      <c r="G1908" s="17" t="n"/>
      <c r="H1908" s="16" t="n">
        <v>-2405.07</v>
      </c>
      <c r="I1908" s="16" t="n">
        <v>0</v>
      </c>
    </row>
    <row r="1909">
      <c r="A1909" t="inlineStr">
        <is>
          <t>MTR-IOS-1907</t>
        </is>
      </c>
      <c r="B1909" t="inlineStr">
        <is>
          <t>Family Household</t>
        </is>
      </c>
      <c r="C1909" t="inlineStr">
        <is>
          <t>SHARES</t>
        </is>
      </c>
      <c r="D1909" t="inlineStr">
        <is>
          <t>IOS Meera</t>
        </is>
      </c>
      <c r="E1909" s="16" t="n">
        <v>7215.22</v>
      </c>
      <c r="F1909" s="16" t="n">
        <v>1202.54</v>
      </c>
      <c r="G1909" s="17" t="n"/>
      <c r="H1909" s="16" t="n">
        <v>6012.68</v>
      </c>
      <c r="I1909" s="16" t="n">
        <v>0</v>
      </c>
    </row>
    <row r="1910">
      <c r="A1910" t="inlineStr">
        <is>
          <t>MTR-IOS-1910</t>
        </is>
      </c>
      <c r="B1910" t="inlineStr">
        <is>
          <t>Custom Living</t>
        </is>
      </c>
      <c r="C1910" t="inlineStr">
        <is>
          <t>EQUAL</t>
        </is>
      </c>
      <c r="D1910" t="inlineStr">
        <is>
          <t>IOS Owner</t>
        </is>
      </c>
      <c r="E1910" s="16" t="n">
        <v>3571.88</v>
      </c>
      <c r="F1910" s="16" t="n">
        <v>1190.63</v>
      </c>
      <c r="G1910" s="17" t="n"/>
      <c r="H1910" s="16" t="n">
        <v>2381.25</v>
      </c>
      <c r="I1910" s="16" t="n">
        <v>0</v>
      </c>
    </row>
    <row r="1911">
      <c r="A1911" t="inlineStr">
        <is>
          <t>MTR-IOS-1910</t>
        </is>
      </c>
      <c r="B1911" t="inlineStr">
        <is>
          <t>Custom Living</t>
        </is>
      </c>
      <c r="C1911" t="inlineStr">
        <is>
          <t>EQUAL</t>
        </is>
      </c>
      <c r="D1911" t="inlineStr">
        <is>
          <t>IOS Aarav</t>
        </is>
      </c>
      <c r="E1911" s="16" t="n">
        <v>0</v>
      </c>
      <c r="F1911" s="16" t="n">
        <v>1190.63</v>
      </c>
      <c r="G1911" s="17" t="n"/>
      <c r="H1911" s="16" t="n">
        <v>-1190.63</v>
      </c>
      <c r="I1911" s="16" t="n">
        <v>0</v>
      </c>
    </row>
    <row r="1912">
      <c r="A1912" t="inlineStr">
        <is>
          <t>MTR-IOS-1910</t>
        </is>
      </c>
      <c r="B1912" t="inlineStr">
        <is>
          <t>Custom Living</t>
        </is>
      </c>
      <c r="C1912" t="inlineStr">
        <is>
          <t>EQUAL</t>
        </is>
      </c>
      <c r="D1912" t="inlineStr">
        <is>
          <t>IOS Meera</t>
        </is>
      </c>
      <c r="E1912" s="16" t="n">
        <v>0</v>
      </c>
      <c r="F1912" s="16" t="n">
        <v>1190.62</v>
      </c>
      <c r="G1912" s="17" t="n"/>
      <c r="H1912" s="16" t="n">
        <v>-1190.62</v>
      </c>
      <c r="I1912" s="16" t="n">
        <v>0</v>
      </c>
    </row>
    <row r="1913">
      <c r="A1913" t="inlineStr">
        <is>
          <t>MTR-IOS-1913</t>
        </is>
      </c>
      <c r="B1913" t="inlineStr">
        <is>
          <t>Custom Living</t>
        </is>
      </c>
      <c r="C1913" t="inlineStr">
        <is>
          <t>PERCENTAGE</t>
        </is>
      </c>
      <c r="D1913" t="inlineStr">
        <is>
          <t>IOS Owner</t>
        </is>
      </c>
      <c r="E1913" s="16" t="n">
        <v>0</v>
      </c>
      <c r="F1913" s="16" t="n">
        <v>9612.4</v>
      </c>
      <c r="G1913" s="17" t="n">
        <v>50</v>
      </c>
      <c r="H1913" s="16" t="n">
        <v>-9612.4</v>
      </c>
      <c r="I1913" s="16" t="n">
        <v>0</v>
      </c>
    </row>
    <row r="1914">
      <c r="A1914" t="inlineStr">
        <is>
          <t>MTR-IOS-1913</t>
        </is>
      </c>
      <c r="B1914" t="inlineStr">
        <is>
          <t>Custom Living</t>
        </is>
      </c>
      <c r="C1914" t="inlineStr">
        <is>
          <t>PERCENTAGE</t>
        </is>
      </c>
      <c r="D1914" t="inlineStr">
        <is>
          <t>IOS Aarav</t>
        </is>
      </c>
      <c r="E1914" s="16" t="n">
        <v>19224.8</v>
      </c>
      <c r="F1914" s="16" t="n">
        <v>5767.44</v>
      </c>
      <c r="G1914" s="17" t="n">
        <v>30</v>
      </c>
      <c r="H1914" s="16" t="n">
        <v>13457.36</v>
      </c>
      <c r="I1914" s="16" t="n">
        <v>0</v>
      </c>
    </row>
    <row r="1915">
      <c r="A1915" t="inlineStr">
        <is>
          <t>MTR-IOS-1913</t>
        </is>
      </c>
      <c r="B1915" t="inlineStr">
        <is>
          <t>Custom Living</t>
        </is>
      </c>
      <c r="C1915" t="inlineStr">
        <is>
          <t>PERCENTAGE</t>
        </is>
      </c>
      <c r="D1915" t="inlineStr">
        <is>
          <t>IOS Meera</t>
        </is>
      </c>
      <c r="E1915" s="16" t="n">
        <v>0</v>
      </c>
      <c r="F1915" s="16" t="n">
        <v>3844.96</v>
      </c>
      <c r="G1915" s="17" t="n">
        <v>20</v>
      </c>
      <c r="H1915" s="16" t="n">
        <v>-3844.96</v>
      </c>
      <c r="I1915" s="16" t="n">
        <v>0</v>
      </c>
    </row>
    <row r="1916">
      <c r="A1916" t="inlineStr">
        <is>
          <t>MTR-IOS-1916</t>
        </is>
      </c>
      <c r="B1916" t="inlineStr">
        <is>
          <t>Trip</t>
        </is>
      </c>
      <c r="C1916" t="inlineStr">
        <is>
          <t>EXACT</t>
        </is>
      </c>
      <c r="D1916" t="inlineStr">
        <is>
          <t>IOS Owner</t>
        </is>
      </c>
      <c r="E1916" s="16" t="n">
        <v>0</v>
      </c>
      <c r="F1916" s="16" t="n">
        <v>4031.22</v>
      </c>
      <c r="G1916" s="17" t="n"/>
      <c r="H1916" s="16" t="n">
        <v>-4031.22</v>
      </c>
      <c r="I1916" s="16" t="n">
        <v>0</v>
      </c>
    </row>
    <row r="1917">
      <c r="A1917" t="inlineStr">
        <is>
          <t>MTR-IOS-1916</t>
        </is>
      </c>
      <c r="B1917" t="inlineStr">
        <is>
          <t>Trip</t>
        </is>
      </c>
      <c r="C1917" t="inlineStr">
        <is>
          <t>EXACT</t>
        </is>
      </c>
      <c r="D1917" t="inlineStr">
        <is>
          <t>IOS Aarav</t>
        </is>
      </c>
      <c r="E1917" s="16" t="n">
        <v>0</v>
      </c>
      <c r="F1917" s="16" t="n">
        <v>4031.22</v>
      </c>
      <c r="G1917" s="17" t="n"/>
      <c r="H1917" s="16" t="n">
        <v>-4031.22</v>
      </c>
      <c r="I1917" s="16" t="n">
        <v>0</v>
      </c>
    </row>
    <row r="1918">
      <c r="A1918" t="inlineStr">
        <is>
          <t>MTR-IOS-1916</t>
        </is>
      </c>
      <c r="B1918" t="inlineStr">
        <is>
          <t>Trip</t>
        </is>
      </c>
      <c r="C1918" t="inlineStr">
        <is>
          <t>EXACT</t>
        </is>
      </c>
      <c r="D1918" t="inlineStr">
        <is>
          <t>IOS Meera</t>
        </is>
      </c>
      <c r="E1918" s="16" t="n">
        <v>12105.77</v>
      </c>
      <c r="F1918" s="16" t="n">
        <v>4043.33</v>
      </c>
      <c r="G1918" s="17" t="n"/>
      <c r="H1918" s="16" t="n">
        <v>8062.44</v>
      </c>
      <c r="I1918" s="16" t="n">
        <v>0</v>
      </c>
    </row>
    <row r="1919">
      <c r="A1919" t="inlineStr">
        <is>
          <t>MTR-IOS-1919</t>
        </is>
      </c>
      <c r="B1919" t="inlineStr">
        <is>
          <t>Trip</t>
        </is>
      </c>
      <c r="C1919" t="inlineStr">
        <is>
          <t>SHARES</t>
        </is>
      </c>
      <c r="D1919" t="inlineStr">
        <is>
          <t>IOS Owner</t>
        </is>
      </c>
      <c r="E1919" s="16" t="n">
        <v>17476.5</v>
      </c>
      <c r="F1919" s="16" t="n">
        <v>8738.25</v>
      </c>
      <c r="G1919" s="17" t="n"/>
      <c r="H1919" s="16" t="n">
        <v>8738.25</v>
      </c>
      <c r="I1919" s="16" t="n">
        <v>0</v>
      </c>
    </row>
    <row r="1920">
      <c r="A1920" t="inlineStr">
        <is>
          <t>MTR-IOS-1919</t>
        </is>
      </c>
      <c r="B1920" t="inlineStr">
        <is>
          <t>Trip</t>
        </is>
      </c>
      <c r="C1920" t="inlineStr">
        <is>
          <t>SHARES</t>
        </is>
      </c>
      <c r="D1920" t="inlineStr">
        <is>
          <t>IOS Aarav</t>
        </is>
      </c>
      <c r="E1920" s="16" t="n">
        <v>0</v>
      </c>
      <c r="F1920" s="16" t="n">
        <v>5825.5</v>
      </c>
      <c r="G1920" s="17" t="n"/>
      <c r="H1920" s="16" t="n">
        <v>-5825.5</v>
      </c>
      <c r="I1920" s="16" t="n">
        <v>0</v>
      </c>
    </row>
    <row r="1921">
      <c r="A1921" t="inlineStr">
        <is>
          <t>MTR-IOS-1919</t>
        </is>
      </c>
      <c r="B1921" t="inlineStr">
        <is>
          <t>Trip</t>
        </is>
      </c>
      <c r="C1921" t="inlineStr">
        <is>
          <t>SHARES</t>
        </is>
      </c>
      <c r="D1921" t="inlineStr">
        <is>
          <t>IOS Meera</t>
        </is>
      </c>
      <c r="E1921" s="16" t="n">
        <v>0</v>
      </c>
      <c r="F1921" s="16" t="n">
        <v>2912.75</v>
      </c>
      <c r="G1921" s="17" t="n"/>
      <c r="H1921" s="16" t="n">
        <v>-2912.75</v>
      </c>
      <c r="I1921" s="16" t="n">
        <v>0</v>
      </c>
    </row>
    <row r="1922">
      <c r="A1922" t="inlineStr">
        <is>
          <t>MTR-IOS-1922</t>
        </is>
      </c>
      <c r="B1922" t="inlineStr">
        <is>
          <t>Trip</t>
        </is>
      </c>
      <c r="C1922" t="inlineStr">
        <is>
          <t>EQUAL</t>
        </is>
      </c>
      <c r="D1922" t="inlineStr">
        <is>
          <t>IOS Owner</t>
        </is>
      </c>
      <c r="E1922" s="16" t="n">
        <v>0</v>
      </c>
      <c r="F1922" s="16" t="n">
        <v>5951.46</v>
      </c>
      <c r="G1922" s="17" t="n"/>
      <c r="H1922" s="16" t="n">
        <v>-5951.46</v>
      </c>
      <c r="I1922" s="16" t="n">
        <v>0</v>
      </c>
    </row>
    <row r="1923">
      <c r="A1923" t="inlineStr">
        <is>
          <t>MTR-IOS-1922</t>
        </is>
      </c>
      <c r="B1923" t="inlineStr">
        <is>
          <t>Trip</t>
        </is>
      </c>
      <c r="C1923" t="inlineStr">
        <is>
          <t>EQUAL</t>
        </is>
      </c>
      <c r="D1923" t="inlineStr">
        <is>
          <t>IOS Aarav</t>
        </is>
      </c>
      <c r="E1923" s="16" t="n">
        <v>17854.37</v>
      </c>
      <c r="F1923" s="16" t="n">
        <v>5951.46</v>
      </c>
      <c r="G1923" s="17" t="n"/>
      <c r="H1923" s="16" t="n">
        <v>11902.91</v>
      </c>
      <c r="I1923" s="16" t="n">
        <v>0</v>
      </c>
    </row>
    <row r="1924">
      <c r="A1924" t="inlineStr">
        <is>
          <t>MTR-IOS-1922</t>
        </is>
      </c>
      <c r="B1924" t="inlineStr">
        <is>
          <t>Trip</t>
        </is>
      </c>
      <c r="C1924" t="inlineStr">
        <is>
          <t>EQUAL</t>
        </is>
      </c>
      <c r="D1924" t="inlineStr">
        <is>
          <t>IOS Meera</t>
        </is>
      </c>
      <c r="E1924" s="16" t="n">
        <v>0</v>
      </c>
      <c r="F1924" s="16" t="n">
        <v>5951.45</v>
      </c>
      <c r="G1924" s="17" t="n"/>
      <c r="H1924" s="16" t="n">
        <v>-5951.45</v>
      </c>
      <c r="I1924" s="16" t="n">
        <v>0</v>
      </c>
    </row>
    <row r="1925">
      <c r="A1925" t="inlineStr">
        <is>
          <t>MTR-IOS-1925</t>
        </is>
      </c>
      <c r="B1925" t="inlineStr">
        <is>
          <t>Trip</t>
        </is>
      </c>
      <c r="C1925" t="inlineStr">
        <is>
          <t>PERCENTAGE</t>
        </is>
      </c>
      <c r="D1925" t="inlineStr">
        <is>
          <t>IOS Owner</t>
        </is>
      </c>
      <c r="E1925" s="16" t="n">
        <v>0</v>
      </c>
      <c r="F1925" s="16" t="n">
        <v>6045.45</v>
      </c>
      <c r="G1925" s="17" t="n">
        <v>50</v>
      </c>
      <c r="H1925" s="16" t="n">
        <v>-6045.45</v>
      </c>
      <c r="I1925" s="16" t="n">
        <v>0</v>
      </c>
    </row>
    <row r="1926">
      <c r="A1926" t="inlineStr">
        <is>
          <t>MTR-IOS-1925</t>
        </is>
      </c>
      <c r="B1926" t="inlineStr">
        <is>
          <t>Trip</t>
        </is>
      </c>
      <c r="C1926" t="inlineStr">
        <is>
          <t>PERCENTAGE</t>
        </is>
      </c>
      <c r="D1926" t="inlineStr">
        <is>
          <t>IOS Aarav</t>
        </is>
      </c>
      <c r="E1926" s="16" t="n">
        <v>0</v>
      </c>
      <c r="F1926" s="16" t="n">
        <v>3627.27</v>
      </c>
      <c r="G1926" s="17" t="n">
        <v>30</v>
      </c>
      <c r="H1926" s="16" t="n">
        <v>-3627.27</v>
      </c>
      <c r="I1926" s="16" t="n">
        <v>0</v>
      </c>
    </row>
    <row r="1927">
      <c r="A1927" t="inlineStr">
        <is>
          <t>MTR-IOS-1925</t>
        </is>
      </c>
      <c r="B1927" t="inlineStr">
        <is>
          <t>Trip</t>
        </is>
      </c>
      <c r="C1927" t="inlineStr">
        <is>
          <t>PERCENTAGE</t>
        </is>
      </c>
      <c r="D1927" t="inlineStr">
        <is>
          <t>IOS Meera</t>
        </is>
      </c>
      <c r="E1927" s="16" t="n">
        <v>12090.89</v>
      </c>
      <c r="F1927" s="16" t="n">
        <v>2418.17</v>
      </c>
      <c r="G1927" s="17" t="n">
        <v>20</v>
      </c>
      <c r="H1927" s="16" t="n">
        <v>9672.719999999999</v>
      </c>
      <c r="I1927" s="16" t="n">
        <v>0</v>
      </c>
    </row>
    <row r="1928">
      <c r="A1928" t="inlineStr">
        <is>
          <t>MTR-IOS-1928</t>
        </is>
      </c>
      <c r="B1928" t="inlineStr">
        <is>
          <t>Trip</t>
        </is>
      </c>
      <c r="C1928" t="inlineStr">
        <is>
          <t>EXACT</t>
        </is>
      </c>
      <c r="D1928" t="inlineStr">
        <is>
          <t>IOS Owner</t>
        </is>
      </c>
      <c r="E1928" s="16" t="n">
        <v>134.18</v>
      </c>
      <c r="F1928" s="16" t="n">
        <v>44.68</v>
      </c>
      <c r="G1928" s="17" t="n"/>
      <c r="H1928" s="16" t="n">
        <v>89.5</v>
      </c>
      <c r="I1928" s="16" t="n">
        <v>0</v>
      </c>
    </row>
    <row r="1929">
      <c r="A1929" t="inlineStr">
        <is>
          <t>MTR-IOS-1928</t>
        </is>
      </c>
      <c r="B1929" t="inlineStr">
        <is>
          <t>Trip</t>
        </is>
      </c>
      <c r="C1929" t="inlineStr">
        <is>
          <t>EXACT</t>
        </is>
      </c>
      <c r="D1929" t="inlineStr">
        <is>
          <t>IOS Aarav</t>
        </is>
      </c>
      <c r="E1929" s="16" t="n">
        <v>0</v>
      </c>
      <c r="F1929" s="16" t="n">
        <v>44.68</v>
      </c>
      <c r="G1929" s="17" t="n"/>
      <c r="H1929" s="16" t="n">
        <v>-44.68</v>
      </c>
      <c r="I1929" s="16" t="n">
        <v>0</v>
      </c>
    </row>
    <row r="1930">
      <c r="A1930" t="inlineStr">
        <is>
          <t>MTR-IOS-1928</t>
        </is>
      </c>
      <c r="B1930" t="inlineStr">
        <is>
          <t>Trip</t>
        </is>
      </c>
      <c r="C1930" t="inlineStr">
        <is>
          <t>EXACT</t>
        </is>
      </c>
      <c r="D1930" t="inlineStr">
        <is>
          <t>IOS Meera</t>
        </is>
      </c>
      <c r="E1930" s="16" t="n">
        <v>0</v>
      </c>
      <c r="F1930" s="16" t="n">
        <v>44.82</v>
      </c>
      <c r="G1930" s="17" t="n"/>
      <c r="H1930" s="16" t="n">
        <v>-44.82</v>
      </c>
      <c r="I1930" s="16" t="n">
        <v>0</v>
      </c>
    </row>
    <row r="1931">
      <c r="A1931" t="inlineStr">
        <is>
          <t>MTR-IOS-1931</t>
        </is>
      </c>
      <c r="B1931" t="inlineStr">
        <is>
          <t>Trip</t>
        </is>
      </c>
      <c r="C1931" t="inlineStr">
        <is>
          <t>SHARES</t>
        </is>
      </c>
      <c r="D1931" t="inlineStr">
        <is>
          <t>IOS Owner</t>
        </is>
      </c>
      <c r="E1931" s="16" t="n">
        <v>0</v>
      </c>
      <c r="F1931" s="16" t="n">
        <v>2477.78</v>
      </c>
      <c r="G1931" s="17" t="n"/>
      <c r="H1931" s="16" t="n">
        <v>-2477.78</v>
      </c>
      <c r="I1931" s="16" t="n">
        <v>0</v>
      </c>
    </row>
    <row r="1932">
      <c r="A1932" t="inlineStr">
        <is>
          <t>MTR-IOS-1931</t>
        </is>
      </c>
      <c r="B1932" t="inlineStr">
        <is>
          <t>Trip</t>
        </is>
      </c>
      <c r="C1932" t="inlineStr">
        <is>
          <t>SHARES</t>
        </is>
      </c>
      <c r="D1932" t="inlineStr">
        <is>
          <t>IOS Aarav</t>
        </is>
      </c>
      <c r="E1932" s="16" t="n">
        <v>4955.56</v>
      </c>
      <c r="F1932" s="16" t="n">
        <v>1651.85</v>
      </c>
      <c r="G1932" s="17" t="n"/>
      <c r="H1932" s="16" t="n">
        <v>3303.71</v>
      </c>
      <c r="I1932" s="16" t="n">
        <v>0</v>
      </c>
    </row>
    <row r="1933">
      <c r="A1933" t="inlineStr">
        <is>
          <t>MTR-IOS-1931</t>
        </is>
      </c>
      <c r="B1933" t="inlineStr">
        <is>
          <t>Trip</t>
        </is>
      </c>
      <c r="C1933" t="inlineStr">
        <is>
          <t>SHARES</t>
        </is>
      </c>
      <c r="D1933" t="inlineStr">
        <is>
          <t>IOS Meera</t>
        </is>
      </c>
      <c r="E1933" s="16" t="n">
        <v>0</v>
      </c>
      <c r="F1933" s="16" t="n">
        <v>825.9299999999999</v>
      </c>
      <c r="G1933" s="17" t="n"/>
      <c r="H1933" s="16" t="n">
        <v>-825.9299999999999</v>
      </c>
      <c r="I1933" s="16" t="n">
        <v>0</v>
      </c>
    </row>
    <row r="1934">
      <c r="A1934" t="inlineStr">
        <is>
          <t>MTR-IOS-1934</t>
        </is>
      </c>
      <c r="B1934" t="inlineStr">
        <is>
          <t>Trip</t>
        </is>
      </c>
      <c r="C1934" t="inlineStr">
        <is>
          <t>EQUAL</t>
        </is>
      </c>
      <c r="D1934" t="inlineStr">
        <is>
          <t>IOS Owner</t>
        </is>
      </c>
      <c r="E1934" s="16" t="n">
        <v>0</v>
      </c>
      <c r="F1934" s="16" t="n">
        <v>4856.24</v>
      </c>
      <c r="G1934" s="17" t="n"/>
      <c r="H1934" s="16" t="n">
        <v>-4856.24</v>
      </c>
      <c r="I1934" s="16" t="n">
        <v>0</v>
      </c>
    </row>
    <row r="1935">
      <c r="A1935" t="inlineStr">
        <is>
          <t>MTR-IOS-1934</t>
        </is>
      </c>
      <c r="B1935" t="inlineStr">
        <is>
          <t>Trip</t>
        </is>
      </c>
      <c r="C1935" t="inlineStr">
        <is>
          <t>EQUAL</t>
        </is>
      </c>
      <c r="D1935" t="inlineStr">
        <is>
          <t>IOS Aarav</t>
        </is>
      </c>
      <c r="E1935" s="16" t="n">
        <v>0</v>
      </c>
      <c r="F1935" s="16" t="n">
        <v>4856.24</v>
      </c>
      <c r="G1935" s="17" t="n"/>
      <c r="H1935" s="16" t="n">
        <v>-4856.24</v>
      </c>
      <c r="I1935" s="16" t="n">
        <v>0</v>
      </c>
    </row>
    <row r="1936">
      <c r="A1936" t="inlineStr">
        <is>
          <t>MTR-IOS-1934</t>
        </is>
      </c>
      <c r="B1936" t="inlineStr">
        <is>
          <t>Trip</t>
        </is>
      </c>
      <c r="C1936" t="inlineStr">
        <is>
          <t>EQUAL</t>
        </is>
      </c>
      <c r="D1936" t="inlineStr">
        <is>
          <t>IOS Meera</t>
        </is>
      </c>
      <c r="E1936" s="16" t="n">
        <v>14568.73</v>
      </c>
      <c r="F1936" s="16" t="n">
        <v>4856.25</v>
      </c>
      <c r="G1936" s="17" t="n"/>
      <c r="H1936" s="16" t="n">
        <v>9712.48</v>
      </c>
      <c r="I1936" s="16" t="n">
        <v>0</v>
      </c>
    </row>
    <row r="1937">
      <c r="A1937" t="inlineStr">
        <is>
          <t>MTR-IOS-1937</t>
        </is>
      </c>
      <c r="B1937" t="inlineStr">
        <is>
          <t>Wedding</t>
        </is>
      </c>
      <c r="C1937" t="inlineStr">
        <is>
          <t>PERCENTAGE</t>
        </is>
      </c>
      <c r="D1937" t="inlineStr">
        <is>
          <t>IOS Owner</t>
        </is>
      </c>
      <c r="E1937" s="16" t="n">
        <v>15466.79</v>
      </c>
      <c r="F1937" s="16" t="n">
        <v>7733.4</v>
      </c>
      <c r="G1937" s="17" t="n">
        <v>50</v>
      </c>
      <c r="H1937" s="16" t="n">
        <v>7733.39</v>
      </c>
      <c r="I1937" s="16" t="n">
        <v>0</v>
      </c>
    </row>
    <row r="1938">
      <c r="A1938" t="inlineStr">
        <is>
          <t>MTR-IOS-1937</t>
        </is>
      </c>
      <c r="B1938" t="inlineStr">
        <is>
          <t>Wedding</t>
        </is>
      </c>
      <c r="C1938" t="inlineStr">
        <is>
          <t>PERCENTAGE</t>
        </is>
      </c>
      <c r="D1938" t="inlineStr">
        <is>
          <t>IOS Aarav</t>
        </is>
      </c>
      <c r="E1938" s="16" t="n">
        <v>0</v>
      </c>
      <c r="F1938" s="16" t="n">
        <v>4640.04</v>
      </c>
      <c r="G1938" s="17" t="n">
        <v>30</v>
      </c>
      <c r="H1938" s="16" t="n">
        <v>-4640.04</v>
      </c>
      <c r="I1938" s="16" t="n">
        <v>0</v>
      </c>
    </row>
    <row r="1939">
      <c r="A1939" t="inlineStr">
        <is>
          <t>MTR-IOS-1937</t>
        </is>
      </c>
      <c r="B1939" t="inlineStr">
        <is>
          <t>Wedding</t>
        </is>
      </c>
      <c r="C1939" t="inlineStr">
        <is>
          <t>PERCENTAGE</t>
        </is>
      </c>
      <c r="D1939" t="inlineStr">
        <is>
          <t>IOS Meera</t>
        </is>
      </c>
      <c r="E1939" s="16" t="n">
        <v>0</v>
      </c>
      <c r="F1939" s="16" t="n">
        <v>3093.35</v>
      </c>
      <c r="G1939" s="17" t="n">
        <v>20</v>
      </c>
      <c r="H1939" s="16" t="n">
        <v>-3093.35</v>
      </c>
      <c r="I1939" s="16" t="n">
        <v>0</v>
      </c>
    </row>
    <row r="1940">
      <c r="A1940" t="inlineStr">
        <is>
          <t>MTR-IOS-1940</t>
        </is>
      </c>
      <c r="B1940" t="inlineStr">
        <is>
          <t>Wedding</t>
        </is>
      </c>
      <c r="C1940" t="inlineStr">
        <is>
          <t>EXACT</t>
        </is>
      </c>
      <c r="D1940" t="inlineStr">
        <is>
          <t>IOS Owner</t>
        </is>
      </c>
      <c r="E1940" s="16" t="n">
        <v>0</v>
      </c>
      <c r="F1940" s="16" t="n">
        <v>2427.48</v>
      </c>
      <c r="G1940" s="17" t="n"/>
      <c r="H1940" s="16" t="n">
        <v>-2427.48</v>
      </c>
      <c r="I1940" s="16" t="n">
        <v>0</v>
      </c>
    </row>
    <row r="1941">
      <c r="A1941" t="inlineStr">
        <is>
          <t>MTR-IOS-1940</t>
        </is>
      </c>
      <c r="B1941" t="inlineStr">
        <is>
          <t>Wedding</t>
        </is>
      </c>
      <c r="C1941" t="inlineStr">
        <is>
          <t>EXACT</t>
        </is>
      </c>
      <c r="D1941" t="inlineStr">
        <is>
          <t>IOS Aarav</t>
        </is>
      </c>
      <c r="E1941" s="16" t="n">
        <v>7289.73</v>
      </c>
      <c r="F1941" s="16" t="n">
        <v>2427.48</v>
      </c>
      <c r="G1941" s="17" t="n"/>
      <c r="H1941" s="16" t="n">
        <v>4862.25</v>
      </c>
      <c r="I1941" s="16" t="n">
        <v>0</v>
      </c>
    </row>
    <row r="1942">
      <c r="A1942" t="inlineStr">
        <is>
          <t>MTR-IOS-1940</t>
        </is>
      </c>
      <c r="B1942" t="inlineStr">
        <is>
          <t>Wedding</t>
        </is>
      </c>
      <c r="C1942" t="inlineStr">
        <is>
          <t>EXACT</t>
        </is>
      </c>
      <c r="D1942" t="inlineStr">
        <is>
          <t>IOS Meera</t>
        </is>
      </c>
      <c r="E1942" s="16" t="n">
        <v>0</v>
      </c>
      <c r="F1942" s="16" t="n">
        <v>2434.77</v>
      </c>
      <c r="G1942" s="17" t="n"/>
      <c r="H1942" s="16" t="n">
        <v>-2434.77</v>
      </c>
      <c r="I1942" s="16" t="n">
        <v>0</v>
      </c>
    </row>
    <row r="1943">
      <c r="A1943" t="inlineStr">
        <is>
          <t>MTR-IOS-1943</t>
        </is>
      </c>
      <c r="B1943" t="inlineStr">
        <is>
          <t>Wedding</t>
        </is>
      </c>
      <c r="C1943" t="inlineStr">
        <is>
          <t>SHARES</t>
        </is>
      </c>
      <c r="D1943" t="inlineStr">
        <is>
          <t>IOS Owner</t>
        </is>
      </c>
      <c r="E1943" s="16" t="n">
        <v>0</v>
      </c>
      <c r="F1943" s="16" t="n">
        <v>11786.67</v>
      </c>
      <c r="G1943" s="17" t="n"/>
      <c r="H1943" s="16" t="n">
        <v>-11786.67</v>
      </c>
      <c r="I1943" s="16" t="n">
        <v>0</v>
      </c>
    </row>
    <row r="1944">
      <c r="A1944" t="inlineStr">
        <is>
          <t>MTR-IOS-1943</t>
        </is>
      </c>
      <c r="B1944" t="inlineStr">
        <is>
          <t>Wedding</t>
        </is>
      </c>
      <c r="C1944" t="inlineStr">
        <is>
          <t>SHARES</t>
        </is>
      </c>
      <c r="D1944" t="inlineStr">
        <is>
          <t>IOS Aarav</t>
        </is>
      </c>
      <c r="E1944" s="16" t="n">
        <v>0</v>
      </c>
      <c r="F1944" s="16" t="n">
        <v>7857.78</v>
      </c>
      <c r="G1944" s="17" t="n"/>
      <c r="H1944" s="16" t="n">
        <v>-7857.78</v>
      </c>
      <c r="I1944" s="16" t="n">
        <v>0</v>
      </c>
    </row>
    <row r="1945">
      <c r="A1945" t="inlineStr">
        <is>
          <t>MTR-IOS-1943</t>
        </is>
      </c>
      <c r="B1945" t="inlineStr">
        <is>
          <t>Wedding</t>
        </is>
      </c>
      <c r="C1945" t="inlineStr">
        <is>
          <t>SHARES</t>
        </is>
      </c>
      <c r="D1945" t="inlineStr">
        <is>
          <t>IOS Meera</t>
        </is>
      </c>
      <c r="E1945" s="16" t="n">
        <v>23573.33</v>
      </c>
      <c r="F1945" s="16" t="n">
        <v>3928.88</v>
      </c>
      <c r="G1945" s="17" t="n"/>
      <c r="H1945" s="16" t="n">
        <v>19644.45</v>
      </c>
      <c r="I1945" s="16" t="n">
        <v>0</v>
      </c>
    </row>
    <row r="1946">
      <c r="A1946" t="inlineStr">
        <is>
          <t>MTR-IOS-1946</t>
        </is>
      </c>
      <c r="B1946" t="inlineStr">
        <is>
          <t>Wedding</t>
        </is>
      </c>
      <c r="C1946" t="inlineStr">
        <is>
          <t>EQUAL</t>
        </is>
      </c>
      <c r="D1946" t="inlineStr">
        <is>
          <t>IOS Owner</t>
        </is>
      </c>
      <c r="E1946" s="16" t="n">
        <v>23061.14</v>
      </c>
      <c r="F1946" s="16" t="n">
        <v>7687.05</v>
      </c>
      <c r="G1946" s="17" t="n"/>
      <c r="H1946" s="16" t="n">
        <v>15374.09</v>
      </c>
      <c r="I1946" s="16" t="n">
        <v>0</v>
      </c>
    </row>
    <row r="1947">
      <c r="A1947" t="inlineStr">
        <is>
          <t>MTR-IOS-1946</t>
        </is>
      </c>
      <c r="B1947" t="inlineStr">
        <is>
          <t>Wedding</t>
        </is>
      </c>
      <c r="C1947" t="inlineStr">
        <is>
          <t>EQUAL</t>
        </is>
      </c>
      <c r="D1947" t="inlineStr">
        <is>
          <t>IOS Aarav</t>
        </is>
      </c>
      <c r="E1947" s="16" t="n">
        <v>0</v>
      </c>
      <c r="F1947" s="16" t="n">
        <v>7687.05</v>
      </c>
      <c r="G1947" s="17" t="n"/>
      <c r="H1947" s="16" t="n">
        <v>-7687.05</v>
      </c>
      <c r="I1947" s="16" t="n">
        <v>0</v>
      </c>
    </row>
    <row r="1948">
      <c r="A1948" t="inlineStr">
        <is>
          <t>MTR-IOS-1946</t>
        </is>
      </c>
      <c r="B1948" t="inlineStr">
        <is>
          <t>Wedding</t>
        </is>
      </c>
      <c r="C1948" t="inlineStr">
        <is>
          <t>EQUAL</t>
        </is>
      </c>
      <c r="D1948" t="inlineStr">
        <is>
          <t>IOS Meera</t>
        </is>
      </c>
      <c r="E1948" s="16" t="n">
        <v>0</v>
      </c>
      <c r="F1948" s="16" t="n">
        <v>7687.04</v>
      </c>
      <c r="G1948" s="17" t="n"/>
      <c r="H1948" s="16" t="n">
        <v>-7687.04</v>
      </c>
      <c r="I1948" s="16" t="n">
        <v>0</v>
      </c>
    </row>
    <row r="1949">
      <c r="A1949" t="inlineStr">
        <is>
          <t>MTR-IOS-1949</t>
        </is>
      </c>
      <c r="B1949" t="inlineStr">
        <is>
          <t>Wedding</t>
        </is>
      </c>
      <c r="C1949" t="inlineStr">
        <is>
          <t>PERCENTAGE</t>
        </is>
      </c>
      <c r="D1949" t="inlineStr">
        <is>
          <t>IOS Owner</t>
        </is>
      </c>
      <c r="E1949" s="16" t="n">
        <v>0</v>
      </c>
      <c r="F1949" s="16" t="n">
        <v>7116.28</v>
      </c>
      <c r="G1949" s="17" t="n">
        <v>50</v>
      </c>
      <c r="H1949" s="16" t="n">
        <v>-7116.28</v>
      </c>
      <c r="I1949" s="16" t="n">
        <v>0</v>
      </c>
    </row>
    <row r="1950">
      <c r="A1950" t="inlineStr">
        <is>
          <t>MTR-IOS-1949</t>
        </is>
      </c>
      <c r="B1950" t="inlineStr">
        <is>
          <t>Wedding</t>
        </is>
      </c>
      <c r="C1950" t="inlineStr">
        <is>
          <t>PERCENTAGE</t>
        </is>
      </c>
      <c r="D1950" t="inlineStr">
        <is>
          <t>IOS Aarav</t>
        </is>
      </c>
      <c r="E1950" s="16" t="n">
        <v>14232.56</v>
      </c>
      <c r="F1950" s="16" t="n">
        <v>4269.77</v>
      </c>
      <c r="G1950" s="17" t="n">
        <v>30</v>
      </c>
      <c r="H1950" s="16" t="n">
        <v>9962.790000000001</v>
      </c>
      <c r="I1950" s="16" t="n">
        <v>0</v>
      </c>
    </row>
    <row r="1951">
      <c r="A1951" t="inlineStr">
        <is>
          <t>MTR-IOS-1949</t>
        </is>
      </c>
      <c r="B1951" t="inlineStr">
        <is>
          <t>Wedding</t>
        </is>
      </c>
      <c r="C1951" t="inlineStr">
        <is>
          <t>PERCENTAGE</t>
        </is>
      </c>
      <c r="D1951" t="inlineStr">
        <is>
          <t>IOS Meera</t>
        </is>
      </c>
      <c r="E1951" s="16" t="n">
        <v>0</v>
      </c>
      <c r="F1951" s="16" t="n">
        <v>2846.51</v>
      </c>
      <c r="G1951" s="17" t="n">
        <v>20</v>
      </c>
      <c r="H1951" s="16" t="n">
        <v>-2846.51</v>
      </c>
      <c r="I1951" s="16" t="n">
        <v>0</v>
      </c>
    </row>
    <row r="1952">
      <c r="A1952" t="inlineStr">
        <is>
          <t>MTR-IOS-1952</t>
        </is>
      </c>
      <c r="B1952" t="inlineStr">
        <is>
          <t>Wedding</t>
        </is>
      </c>
      <c r="C1952" t="inlineStr">
        <is>
          <t>EXACT</t>
        </is>
      </c>
      <c r="D1952" t="inlineStr">
        <is>
          <t>IOS Owner</t>
        </is>
      </c>
      <c r="E1952" s="16" t="n">
        <v>0</v>
      </c>
      <c r="F1952" s="16" t="n">
        <v>6357.44</v>
      </c>
      <c r="G1952" s="17" t="n"/>
      <c r="H1952" s="16" t="n">
        <v>-6357.44</v>
      </c>
      <c r="I1952" s="16" t="n">
        <v>0</v>
      </c>
    </row>
    <row r="1953">
      <c r="A1953" t="inlineStr">
        <is>
          <t>MTR-IOS-1952</t>
        </is>
      </c>
      <c r="B1953" t="inlineStr">
        <is>
          <t>Wedding</t>
        </is>
      </c>
      <c r="C1953" t="inlineStr">
        <is>
          <t>EXACT</t>
        </is>
      </c>
      <c r="D1953" t="inlineStr">
        <is>
          <t>IOS Aarav</t>
        </is>
      </c>
      <c r="E1953" s="16" t="n">
        <v>0</v>
      </c>
      <c r="F1953" s="16" t="n">
        <v>6357.44</v>
      </c>
      <c r="G1953" s="17" t="n"/>
      <c r="H1953" s="16" t="n">
        <v>-6357.44</v>
      </c>
      <c r="I1953" s="16" t="n">
        <v>0</v>
      </c>
    </row>
    <row r="1954">
      <c r="A1954" t="inlineStr">
        <is>
          <t>MTR-IOS-1952</t>
        </is>
      </c>
      <c r="B1954" t="inlineStr">
        <is>
          <t>Wedding</t>
        </is>
      </c>
      <c r="C1954" t="inlineStr">
        <is>
          <t>EXACT</t>
        </is>
      </c>
      <c r="D1954" t="inlineStr">
        <is>
          <t>IOS Meera</t>
        </is>
      </c>
      <c r="E1954" s="16" t="n">
        <v>19091.41</v>
      </c>
      <c r="F1954" s="16" t="n">
        <v>6376.53</v>
      </c>
      <c r="G1954" s="17" t="n"/>
      <c r="H1954" s="16" t="n">
        <v>12714.88</v>
      </c>
      <c r="I1954" s="16" t="n">
        <v>0</v>
      </c>
    </row>
    <row r="1955">
      <c r="A1955" t="inlineStr">
        <is>
          <t>MTR-IOS-1955</t>
        </is>
      </c>
      <c r="B1955" t="inlineStr">
        <is>
          <t>Wedding</t>
        </is>
      </c>
      <c r="C1955" t="inlineStr">
        <is>
          <t>SHARES</t>
        </is>
      </c>
      <c r="D1955" t="inlineStr">
        <is>
          <t>IOS Owner</t>
        </is>
      </c>
      <c r="E1955" s="16" t="n">
        <v>16099.75</v>
      </c>
      <c r="F1955" s="16" t="n">
        <v>8049.88</v>
      </c>
      <c r="G1955" s="17" t="n"/>
      <c r="H1955" s="16" t="n">
        <v>8049.87</v>
      </c>
      <c r="I1955" s="16" t="n">
        <v>0</v>
      </c>
    </row>
    <row r="1956">
      <c r="A1956" t="inlineStr">
        <is>
          <t>MTR-IOS-1955</t>
        </is>
      </c>
      <c r="B1956" t="inlineStr">
        <is>
          <t>Wedding</t>
        </is>
      </c>
      <c r="C1956" t="inlineStr">
        <is>
          <t>SHARES</t>
        </is>
      </c>
      <c r="D1956" t="inlineStr">
        <is>
          <t>IOS Aarav</t>
        </is>
      </c>
      <c r="E1956" s="16" t="n">
        <v>0</v>
      </c>
      <c r="F1956" s="16" t="n">
        <v>5366.58</v>
      </c>
      <c r="G1956" s="17" t="n"/>
      <c r="H1956" s="16" t="n">
        <v>-5366.58</v>
      </c>
      <c r="I1956" s="16" t="n">
        <v>0</v>
      </c>
    </row>
    <row r="1957">
      <c r="A1957" t="inlineStr">
        <is>
          <t>MTR-IOS-1955</t>
        </is>
      </c>
      <c r="B1957" t="inlineStr">
        <is>
          <t>Wedding</t>
        </is>
      </c>
      <c r="C1957" t="inlineStr">
        <is>
          <t>SHARES</t>
        </is>
      </c>
      <c r="D1957" t="inlineStr">
        <is>
          <t>IOS Meera</t>
        </is>
      </c>
      <c r="E1957" s="16" t="n">
        <v>0</v>
      </c>
      <c r="F1957" s="16" t="n">
        <v>2683.29</v>
      </c>
      <c r="G1957" s="17" t="n"/>
      <c r="H1957" s="16" t="n">
        <v>-2683.29</v>
      </c>
      <c r="I1957" s="16" t="n">
        <v>0</v>
      </c>
    </row>
    <row r="1958">
      <c r="A1958" t="inlineStr">
        <is>
          <t>MTR-IOS-1958</t>
        </is>
      </c>
      <c r="B1958" t="inlineStr">
        <is>
          <t>Office Outing</t>
        </is>
      </c>
      <c r="C1958" t="inlineStr">
        <is>
          <t>EQUAL</t>
        </is>
      </c>
      <c r="D1958" t="inlineStr">
        <is>
          <t>IOS Owner</t>
        </is>
      </c>
      <c r="E1958" s="16" t="n">
        <v>0</v>
      </c>
      <c r="F1958" s="16" t="n">
        <v>528.11</v>
      </c>
      <c r="G1958" s="17" t="n"/>
      <c r="H1958" s="16" t="n">
        <v>-528.11</v>
      </c>
      <c r="I1958" s="16" t="n">
        <v>0</v>
      </c>
    </row>
    <row r="1959">
      <c r="A1959" t="inlineStr">
        <is>
          <t>MTR-IOS-1958</t>
        </is>
      </c>
      <c r="B1959" t="inlineStr">
        <is>
          <t>Office Outing</t>
        </is>
      </c>
      <c r="C1959" t="inlineStr">
        <is>
          <t>EQUAL</t>
        </is>
      </c>
      <c r="D1959" t="inlineStr">
        <is>
          <t>IOS Aarav</t>
        </is>
      </c>
      <c r="E1959" s="16" t="n">
        <v>1584.34</v>
      </c>
      <c r="F1959" s="16" t="n">
        <v>528.11</v>
      </c>
      <c r="G1959" s="17" t="n"/>
      <c r="H1959" s="16" t="n">
        <v>1056.23</v>
      </c>
      <c r="I1959" s="16" t="n">
        <v>0</v>
      </c>
    </row>
    <row r="1960">
      <c r="A1960" t="inlineStr">
        <is>
          <t>MTR-IOS-1958</t>
        </is>
      </c>
      <c r="B1960" t="inlineStr">
        <is>
          <t>Office Outing</t>
        </is>
      </c>
      <c r="C1960" t="inlineStr">
        <is>
          <t>EQUAL</t>
        </is>
      </c>
      <c r="D1960" t="inlineStr">
        <is>
          <t>IOS Meera</t>
        </is>
      </c>
      <c r="E1960" s="16" t="n">
        <v>0</v>
      </c>
      <c r="F1960" s="16" t="n">
        <v>528.12</v>
      </c>
      <c r="G1960" s="17" t="n"/>
      <c r="H1960" s="16" t="n">
        <v>-528.12</v>
      </c>
      <c r="I1960" s="16" t="n">
        <v>0</v>
      </c>
    </row>
    <row r="1961">
      <c r="A1961" t="inlineStr">
        <is>
          <t>MTR-IOS-1961</t>
        </is>
      </c>
      <c r="B1961" t="inlineStr">
        <is>
          <t>Office Outing</t>
        </is>
      </c>
      <c r="C1961" t="inlineStr">
        <is>
          <t>PERCENTAGE</t>
        </is>
      </c>
      <c r="D1961" t="inlineStr">
        <is>
          <t>IOS Owner</t>
        </is>
      </c>
      <c r="E1961" s="16" t="n">
        <v>0</v>
      </c>
      <c r="F1961" s="16" t="n">
        <v>5000</v>
      </c>
      <c r="G1961" s="17" t="n">
        <v>50</v>
      </c>
      <c r="H1961" s="16" t="n">
        <v>-5000</v>
      </c>
      <c r="I1961" s="16" t="n">
        <v>0</v>
      </c>
    </row>
    <row r="1962">
      <c r="A1962" t="inlineStr">
        <is>
          <t>MTR-IOS-1961</t>
        </is>
      </c>
      <c r="B1962" t="inlineStr">
        <is>
          <t>Office Outing</t>
        </is>
      </c>
      <c r="C1962" t="inlineStr">
        <is>
          <t>PERCENTAGE</t>
        </is>
      </c>
      <c r="D1962" t="inlineStr">
        <is>
          <t>IOS Aarav</t>
        </is>
      </c>
      <c r="E1962" s="16" t="n">
        <v>0</v>
      </c>
      <c r="F1962" s="16" t="n">
        <v>3000</v>
      </c>
      <c r="G1962" s="17" t="n">
        <v>30</v>
      </c>
      <c r="H1962" s="16" t="n">
        <v>-3000</v>
      </c>
      <c r="I1962" s="16" t="n">
        <v>0</v>
      </c>
    </row>
    <row r="1963">
      <c r="A1963" t="inlineStr">
        <is>
          <t>MTR-IOS-1961</t>
        </is>
      </c>
      <c r="B1963" t="inlineStr">
        <is>
          <t>Office Outing</t>
        </is>
      </c>
      <c r="C1963" t="inlineStr">
        <is>
          <t>PERCENTAGE</t>
        </is>
      </c>
      <c r="D1963" t="inlineStr">
        <is>
          <t>IOS Meera</t>
        </is>
      </c>
      <c r="E1963" s="16" t="n">
        <v>10000</v>
      </c>
      <c r="F1963" s="16" t="n">
        <v>2000</v>
      </c>
      <c r="G1963" s="17" t="n">
        <v>20</v>
      </c>
      <c r="H1963" s="16" t="n">
        <v>8000</v>
      </c>
      <c r="I1963" s="16" t="n">
        <v>0</v>
      </c>
    </row>
    <row r="1964">
      <c r="A1964" t="inlineStr">
        <is>
          <t>MTR-IOS-1964</t>
        </is>
      </c>
      <c r="B1964" t="inlineStr">
        <is>
          <t>Office Outing</t>
        </is>
      </c>
      <c r="C1964" t="inlineStr">
        <is>
          <t>EXACT</t>
        </is>
      </c>
      <c r="D1964" t="inlineStr">
        <is>
          <t>IOS Owner</t>
        </is>
      </c>
      <c r="E1964" s="16" t="n">
        <v>2010.14</v>
      </c>
      <c r="F1964" s="16" t="n">
        <v>669.38</v>
      </c>
      <c r="G1964" s="17" t="n"/>
      <c r="H1964" s="16" t="n">
        <v>1340.76</v>
      </c>
      <c r="I1964" s="16" t="n">
        <v>0</v>
      </c>
    </row>
    <row r="1965">
      <c r="A1965" t="inlineStr">
        <is>
          <t>MTR-IOS-1964</t>
        </is>
      </c>
      <c r="B1965" t="inlineStr">
        <is>
          <t>Office Outing</t>
        </is>
      </c>
      <c r="C1965" t="inlineStr">
        <is>
          <t>EXACT</t>
        </is>
      </c>
      <c r="D1965" t="inlineStr">
        <is>
          <t>IOS Aarav</t>
        </is>
      </c>
      <c r="E1965" s="16" t="n">
        <v>0</v>
      </c>
      <c r="F1965" s="16" t="n">
        <v>669.38</v>
      </c>
      <c r="G1965" s="17" t="n"/>
      <c r="H1965" s="16" t="n">
        <v>-669.38</v>
      </c>
      <c r="I1965" s="16" t="n">
        <v>0</v>
      </c>
    </row>
    <row r="1966">
      <c r="A1966" t="inlineStr">
        <is>
          <t>MTR-IOS-1964</t>
        </is>
      </c>
      <c r="B1966" t="inlineStr">
        <is>
          <t>Office Outing</t>
        </is>
      </c>
      <c r="C1966" t="inlineStr">
        <is>
          <t>EXACT</t>
        </is>
      </c>
      <c r="D1966" t="inlineStr">
        <is>
          <t>IOS Meera</t>
        </is>
      </c>
      <c r="E1966" s="16" t="n">
        <v>0</v>
      </c>
      <c r="F1966" s="16" t="n">
        <v>671.38</v>
      </c>
      <c r="G1966" s="17" t="n"/>
      <c r="H1966" s="16" t="n">
        <v>-671.38</v>
      </c>
      <c r="I1966" s="16" t="n">
        <v>0</v>
      </c>
    </row>
    <row r="1967">
      <c r="A1967" t="inlineStr">
        <is>
          <t>MTR-IOS-1967</t>
        </is>
      </c>
      <c r="B1967" t="inlineStr">
        <is>
          <t>Office Outing</t>
        </is>
      </c>
      <c r="C1967" t="inlineStr">
        <is>
          <t>SHARES</t>
        </is>
      </c>
      <c r="D1967" t="inlineStr">
        <is>
          <t>IOS Owner</t>
        </is>
      </c>
      <c r="E1967" s="16" t="n">
        <v>0</v>
      </c>
      <c r="F1967" s="16" t="n">
        <v>10280.04</v>
      </c>
      <c r="G1967" s="17" t="n"/>
      <c r="H1967" s="16" t="n">
        <v>-10280.04</v>
      </c>
      <c r="I1967" s="16" t="n">
        <v>0</v>
      </c>
    </row>
    <row r="1968">
      <c r="A1968" t="inlineStr">
        <is>
          <t>MTR-IOS-1967</t>
        </is>
      </c>
      <c r="B1968" t="inlineStr">
        <is>
          <t>Office Outing</t>
        </is>
      </c>
      <c r="C1968" t="inlineStr">
        <is>
          <t>SHARES</t>
        </is>
      </c>
      <c r="D1968" t="inlineStr">
        <is>
          <t>IOS Aarav</t>
        </is>
      </c>
      <c r="E1968" s="16" t="n">
        <v>20560.07</v>
      </c>
      <c r="F1968" s="16" t="n">
        <v>6853.36</v>
      </c>
      <c r="G1968" s="17" t="n"/>
      <c r="H1968" s="16" t="n">
        <v>13706.71</v>
      </c>
      <c r="I1968" s="16" t="n">
        <v>0</v>
      </c>
    </row>
    <row r="1969">
      <c r="A1969" t="inlineStr">
        <is>
          <t>MTR-IOS-1967</t>
        </is>
      </c>
      <c r="B1969" t="inlineStr">
        <is>
          <t>Office Outing</t>
        </is>
      </c>
      <c r="C1969" t="inlineStr">
        <is>
          <t>SHARES</t>
        </is>
      </c>
      <c r="D1969" t="inlineStr">
        <is>
          <t>IOS Meera</t>
        </is>
      </c>
      <c r="E1969" s="16" t="n">
        <v>0</v>
      </c>
      <c r="F1969" s="16" t="n">
        <v>3426.67</v>
      </c>
      <c r="G1969" s="17" t="n"/>
      <c r="H1969" s="16" t="n">
        <v>-3426.67</v>
      </c>
      <c r="I1969" s="16" t="n">
        <v>0</v>
      </c>
    </row>
    <row r="1970">
      <c r="A1970" t="inlineStr">
        <is>
          <t>MTR-IOS-1970</t>
        </is>
      </c>
      <c r="B1970" t="inlineStr">
        <is>
          <t>Office Outing</t>
        </is>
      </c>
      <c r="C1970" t="inlineStr">
        <is>
          <t>EQUAL</t>
        </is>
      </c>
      <c r="D1970" t="inlineStr">
        <is>
          <t>IOS Owner</t>
        </is>
      </c>
      <c r="E1970" s="16" t="n">
        <v>0</v>
      </c>
      <c r="F1970" s="16" t="n">
        <v>7590.94</v>
      </c>
      <c r="G1970" s="17" t="n"/>
      <c r="H1970" s="16" t="n">
        <v>-7590.94</v>
      </c>
      <c r="I1970" s="16" t="n">
        <v>0</v>
      </c>
    </row>
    <row r="1971">
      <c r="A1971" t="inlineStr">
        <is>
          <t>MTR-IOS-1970</t>
        </is>
      </c>
      <c r="B1971" t="inlineStr">
        <is>
          <t>Office Outing</t>
        </is>
      </c>
      <c r="C1971" t="inlineStr">
        <is>
          <t>EQUAL</t>
        </is>
      </c>
      <c r="D1971" t="inlineStr">
        <is>
          <t>IOS Aarav</t>
        </is>
      </c>
      <c r="E1971" s="16" t="n">
        <v>0</v>
      </c>
      <c r="F1971" s="16" t="n">
        <v>7590.94</v>
      </c>
      <c r="G1971" s="17" t="n"/>
      <c r="H1971" s="16" t="n">
        <v>-7590.94</v>
      </c>
      <c r="I1971" s="16" t="n">
        <v>0</v>
      </c>
    </row>
    <row r="1972">
      <c r="A1972" t="inlineStr">
        <is>
          <t>MTR-IOS-1970</t>
        </is>
      </c>
      <c r="B1972" t="inlineStr">
        <is>
          <t>Office Outing</t>
        </is>
      </c>
      <c r="C1972" t="inlineStr">
        <is>
          <t>EQUAL</t>
        </is>
      </c>
      <c r="D1972" t="inlineStr">
        <is>
          <t>IOS Meera</t>
        </is>
      </c>
      <c r="E1972" s="16" t="n">
        <v>22772.83</v>
      </c>
      <c r="F1972" s="16" t="n">
        <v>7590.95</v>
      </c>
      <c r="G1972" s="17" t="n"/>
      <c r="H1972" s="16" t="n">
        <v>15181.88</v>
      </c>
      <c r="I1972" s="16" t="n">
        <v>0</v>
      </c>
    </row>
    <row r="1973">
      <c r="A1973" t="inlineStr">
        <is>
          <t>MTR-IOS-1973</t>
        </is>
      </c>
      <c r="B1973" t="inlineStr">
        <is>
          <t>House Party</t>
        </is>
      </c>
      <c r="C1973" t="inlineStr">
        <is>
          <t>PERCENTAGE</t>
        </is>
      </c>
      <c r="D1973" t="inlineStr">
        <is>
          <t>IOS Owner</t>
        </is>
      </c>
      <c r="E1973" s="16" t="n">
        <v>22397.76</v>
      </c>
      <c r="F1973" s="16" t="n">
        <v>11198.88</v>
      </c>
      <c r="G1973" s="17" t="n">
        <v>50</v>
      </c>
      <c r="H1973" s="16" t="n">
        <v>11198.88</v>
      </c>
      <c r="I1973" s="16" t="n">
        <v>0</v>
      </c>
    </row>
    <row r="1974">
      <c r="A1974" t="inlineStr">
        <is>
          <t>MTR-IOS-1973</t>
        </is>
      </c>
      <c r="B1974" t="inlineStr">
        <is>
          <t>House Party</t>
        </is>
      </c>
      <c r="C1974" t="inlineStr">
        <is>
          <t>PERCENTAGE</t>
        </is>
      </c>
      <c r="D1974" t="inlineStr">
        <is>
          <t>IOS Aarav</t>
        </is>
      </c>
      <c r="E1974" s="16" t="n">
        <v>0</v>
      </c>
      <c r="F1974" s="16" t="n">
        <v>6719.33</v>
      </c>
      <c r="G1974" s="17" t="n">
        <v>30</v>
      </c>
      <c r="H1974" s="16" t="n">
        <v>-6719.33</v>
      </c>
      <c r="I1974" s="16" t="n">
        <v>0</v>
      </c>
    </row>
    <row r="1975">
      <c r="A1975" t="inlineStr">
        <is>
          <t>MTR-IOS-1973</t>
        </is>
      </c>
      <c r="B1975" t="inlineStr">
        <is>
          <t>House Party</t>
        </is>
      </c>
      <c r="C1975" t="inlineStr">
        <is>
          <t>PERCENTAGE</t>
        </is>
      </c>
      <c r="D1975" t="inlineStr">
        <is>
          <t>IOS Meera</t>
        </is>
      </c>
      <c r="E1975" s="16" t="n">
        <v>0</v>
      </c>
      <c r="F1975" s="16" t="n">
        <v>4479.55</v>
      </c>
      <c r="G1975" s="17" t="n">
        <v>20</v>
      </c>
      <c r="H1975" s="16" t="n">
        <v>-4479.55</v>
      </c>
      <c r="I1975" s="16" t="n">
        <v>0</v>
      </c>
    </row>
    <row r="1976">
      <c r="A1976" t="inlineStr">
        <is>
          <t>MTR-IOS-1976</t>
        </is>
      </c>
      <c r="B1976" t="inlineStr">
        <is>
          <t>House Party</t>
        </is>
      </c>
      <c r="C1976" t="inlineStr">
        <is>
          <t>EXACT</t>
        </is>
      </c>
      <c r="D1976" t="inlineStr">
        <is>
          <t>IOS Owner</t>
        </is>
      </c>
      <c r="E1976" s="16" t="n">
        <v>0</v>
      </c>
      <c r="F1976" s="16" t="n">
        <v>5780.36</v>
      </c>
      <c r="G1976" s="17" t="n"/>
      <c r="H1976" s="16" t="n">
        <v>-5780.36</v>
      </c>
      <c r="I1976" s="16" t="n">
        <v>0</v>
      </c>
    </row>
    <row r="1977">
      <c r="A1977" t="inlineStr">
        <is>
          <t>MTR-IOS-1976</t>
        </is>
      </c>
      <c r="B1977" t="inlineStr">
        <is>
          <t>House Party</t>
        </is>
      </c>
      <c r="C1977" t="inlineStr">
        <is>
          <t>EXACT</t>
        </is>
      </c>
      <c r="D1977" t="inlineStr">
        <is>
          <t>IOS Aarav</t>
        </is>
      </c>
      <c r="E1977" s="16" t="n">
        <v>17358.45</v>
      </c>
      <c r="F1977" s="16" t="n">
        <v>5780.36</v>
      </c>
      <c r="G1977" s="17" t="n"/>
      <c r="H1977" s="16" t="n">
        <v>11578.09</v>
      </c>
      <c r="I1977" s="16" t="n">
        <v>0</v>
      </c>
    </row>
    <row r="1978">
      <c r="A1978" t="inlineStr">
        <is>
          <t>MTR-IOS-1976</t>
        </is>
      </c>
      <c r="B1978" t="inlineStr">
        <is>
          <t>House Party</t>
        </is>
      </c>
      <c r="C1978" t="inlineStr">
        <is>
          <t>EXACT</t>
        </is>
      </c>
      <c r="D1978" t="inlineStr">
        <is>
          <t>IOS Meera</t>
        </is>
      </c>
      <c r="E1978" s="16" t="n">
        <v>0</v>
      </c>
      <c r="F1978" s="16" t="n">
        <v>5797.73</v>
      </c>
      <c r="G1978" s="17" t="n"/>
      <c r="H1978" s="16" t="n">
        <v>-5797.73</v>
      </c>
      <c r="I1978" s="16" t="n">
        <v>0</v>
      </c>
    </row>
    <row r="1979">
      <c r="A1979" t="inlineStr">
        <is>
          <t>MTR-IOS-1979</t>
        </is>
      </c>
      <c r="B1979" t="inlineStr">
        <is>
          <t>House Party</t>
        </is>
      </c>
      <c r="C1979" t="inlineStr">
        <is>
          <t>SHARES</t>
        </is>
      </c>
      <c r="D1979" t="inlineStr">
        <is>
          <t>IOS Owner</t>
        </is>
      </c>
      <c r="E1979" s="16" t="n">
        <v>0</v>
      </c>
      <c r="F1979" s="16" t="n">
        <v>1083.05</v>
      </c>
      <c r="G1979" s="17" t="n"/>
      <c r="H1979" s="16" t="n">
        <v>-1083.05</v>
      </c>
      <c r="I1979" s="16" t="n">
        <v>0</v>
      </c>
    </row>
    <row r="1980">
      <c r="A1980" t="inlineStr">
        <is>
          <t>MTR-IOS-1979</t>
        </is>
      </c>
      <c r="B1980" t="inlineStr">
        <is>
          <t>House Party</t>
        </is>
      </c>
      <c r="C1980" t="inlineStr">
        <is>
          <t>SHARES</t>
        </is>
      </c>
      <c r="D1980" t="inlineStr">
        <is>
          <t>IOS Aarav</t>
        </is>
      </c>
      <c r="E1980" s="16" t="n">
        <v>0</v>
      </c>
      <c r="F1980" s="16" t="n">
        <v>722.03</v>
      </c>
      <c r="G1980" s="17" t="n"/>
      <c r="H1980" s="16" t="n">
        <v>-722.03</v>
      </c>
      <c r="I1980" s="16" t="n">
        <v>0</v>
      </c>
    </row>
    <row r="1981">
      <c r="A1981" t="inlineStr">
        <is>
          <t>MTR-IOS-1979</t>
        </is>
      </c>
      <c r="B1981" t="inlineStr">
        <is>
          <t>House Party</t>
        </is>
      </c>
      <c r="C1981" t="inlineStr">
        <is>
          <t>SHARES</t>
        </is>
      </c>
      <c r="D1981" t="inlineStr">
        <is>
          <t>IOS Meera</t>
        </is>
      </c>
      <c r="E1981" s="16" t="n">
        <v>2166.09</v>
      </c>
      <c r="F1981" s="16" t="n">
        <v>361.01</v>
      </c>
      <c r="G1981" s="17" t="n"/>
      <c r="H1981" s="16" t="n">
        <v>1805.08</v>
      </c>
      <c r="I1981" s="16" t="n">
        <v>0</v>
      </c>
    </row>
    <row r="1982">
      <c r="A1982" t="inlineStr">
        <is>
          <t>MTR-IOS-1982</t>
        </is>
      </c>
      <c r="B1982" t="inlineStr">
        <is>
          <t>House Party</t>
        </is>
      </c>
      <c r="C1982" t="inlineStr">
        <is>
          <t>EQUAL</t>
        </is>
      </c>
      <c r="D1982" t="inlineStr">
        <is>
          <t>IOS Owner</t>
        </is>
      </c>
      <c r="E1982" s="16" t="n">
        <v>19418.6</v>
      </c>
      <c r="F1982" s="16" t="n">
        <v>6472.87</v>
      </c>
      <c r="G1982" s="17" t="n"/>
      <c r="H1982" s="16" t="n">
        <v>12945.73</v>
      </c>
      <c r="I1982" s="16" t="n">
        <v>0</v>
      </c>
    </row>
    <row r="1983">
      <c r="A1983" t="inlineStr">
        <is>
          <t>MTR-IOS-1982</t>
        </is>
      </c>
      <c r="B1983" t="inlineStr">
        <is>
          <t>House Party</t>
        </is>
      </c>
      <c r="C1983" t="inlineStr">
        <is>
          <t>EQUAL</t>
        </is>
      </c>
      <c r="D1983" t="inlineStr">
        <is>
          <t>IOS Aarav</t>
        </is>
      </c>
      <c r="E1983" s="16" t="n">
        <v>0</v>
      </c>
      <c r="F1983" s="16" t="n">
        <v>6472.87</v>
      </c>
      <c r="G1983" s="17" t="n"/>
      <c r="H1983" s="16" t="n">
        <v>-6472.87</v>
      </c>
      <c r="I1983" s="16" t="n">
        <v>0</v>
      </c>
    </row>
    <row r="1984">
      <c r="A1984" t="inlineStr">
        <is>
          <t>MTR-IOS-1982</t>
        </is>
      </c>
      <c r="B1984" t="inlineStr">
        <is>
          <t>House Party</t>
        </is>
      </c>
      <c r="C1984" t="inlineStr">
        <is>
          <t>EQUAL</t>
        </is>
      </c>
      <c r="D1984" t="inlineStr">
        <is>
          <t>IOS Meera</t>
        </is>
      </c>
      <c r="E1984" s="16" t="n">
        <v>0</v>
      </c>
      <c r="F1984" s="16" t="n">
        <v>6472.86</v>
      </c>
      <c r="G1984" s="17" t="n"/>
      <c r="H1984" s="16" t="n">
        <v>-6472.86</v>
      </c>
      <c r="I1984" s="16" t="n">
        <v>0</v>
      </c>
    </row>
    <row r="1985">
      <c r="A1985" t="inlineStr">
        <is>
          <t>MTR-IOS-1985</t>
        </is>
      </c>
      <c r="B1985" t="inlineStr">
        <is>
          <t>House Party</t>
        </is>
      </c>
      <c r="C1985" t="inlineStr">
        <is>
          <t>PERCENTAGE</t>
        </is>
      </c>
      <c r="D1985" t="inlineStr">
        <is>
          <t>IOS Owner</t>
        </is>
      </c>
      <c r="E1985" s="16" t="n">
        <v>0</v>
      </c>
      <c r="F1985" s="16" t="n">
        <v>3656.24</v>
      </c>
      <c r="G1985" s="17" t="n">
        <v>50</v>
      </c>
      <c r="H1985" s="16" t="n">
        <v>-3656.24</v>
      </c>
      <c r="I1985" s="16" t="n">
        <v>0</v>
      </c>
    </row>
    <row r="1986">
      <c r="A1986" t="inlineStr">
        <is>
          <t>MTR-IOS-1985</t>
        </is>
      </c>
      <c r="B1986" t="inlineStr">
        <is>
          <t>House Party</t>
        </is>
      </c>
      <c r="C1986" t="inlineStr">
        <is>
          <t>PERCENTAGE</t>
        </is>
      </c>
      <c r="D1986" t="inlineStr">
        <is>
          <t>IOS Aarav</t>
        </is>
      </c>
      <c r="E1986" s="16" t="n">
        <v>7312.48</v>
      </c>
      <c r="F1986" s="16" t="n">
        <v>2193.74</v>
      </c>
      <c r="G1986" s="17" t="n">
        <v>30</v>
      </c>
      <c r="H1986" s="16" t="n">
        <v>5118.74</v>
      </c>
      <c r="I1986" s="16" t="n">
        <v>0</v>
      </c>
    </row>
    <row r="1987">
      <c r="A1987" t="inlineStr">
        <is>
          <t>MTR-IOS-1985</t>
        </is>
      </c>
      <c r="B1987" t="inlineStr">
        <is>
          <t>House Party</t>
        </is>
      </c>
      <c r="C1987" t="inlineStr">
        <is>
          <t>PERCENTAGE</t>
        </is>
      </c>
      <c r="D1987" t="inlineStr">
        <is>
          <t>IOS Meera</t>
        </is>
      </c>
      <c r="E1987" s="16" t="n">
        <v>0</v>
      </c>
      <c r="F1987" s="16" t="n">
        <v>1462.5</v>
      </c>
      <c r="G1987" s="17" t="n">
        <v>20</v>
      </c>
      <c r="H1987" s="16" t="n">
        <v>-1462.5</v>
      </c>
      <c r="I1987" s="16" t="n">
        <v>0</v>
      </c>
    </row>
    <row r="1988">
      <c r="A1988" t="inlineStr">
        <is>
          <t>MTR-IOS-1988</t>
        </is>
      </c>
      <c r="B1988" t="inlineStr">
        <is>
          <t>Gift Pool</t>
        </is>
      </c>
      <c r="C1988" t="inlineStr">
        <is>
          <t>EXACT</t>
        </is>
      </c>
      <c r="D1988" t="inlineStr">
        <is>
          <t>IOS Owner</t>
        </is>
      </c>
      <c r="E1988" s="16" t="n">
        <v>0</v>
      </c>
      <c r="F1988" s="16" t="n">
        <v>2454.36</v>
      </c>
      <c r="G1988" s="17" t="n"/>
      <c r="H1988" s="16" t="n">
        <v>-2454.36</v>
      </c>
      <c r="I1988" s="16" t="n">
        <v>0</v>
      </c>
    </row>
    <row r="1989">
      <c r="A1989" t="inlineStr">
        <is>
          <t>MTR-IOS-1988</t>
        </is>
      </c>
      <c r="B1989" t="inlineStr">
        <is>
          <t>Gift Pool</t>
        </is>
      </c>
      <c r="C1989" t="inlineStr">
        <is>
          <t>EXACT</t>
        </is>
      </c>
      <c r="D1989" t="inlineStr">
        <is>
          <t>IOS Aarav</t>
        </is>
      </c>
      <c r="E1989" s="16" t="n">
        <v>0</v>
      </c>
      <c r="F1989" s="16" t="n">
        <v>2454.36</v>
      </c>
      <c r="G1989" s="17" t="n"/>
      <c r="H1989" s="16" t="n">
        <v>-2454.36</v>
      </c>
      <c r="I1989" s="16" t="n">
        <v>0</v>
      </c>
    </row>
    <row r="1990">
      <c r="A1990" t="inlineStr">
        <is>
          <t>MTR-IOS-1988</t>
        </is>
      </c>
      <c r="B1990" t="inlineStr">
        <is>
          <t>Gift Pool</t>
        </is>
      </c>
      <c r="C1990" t="inlineStr">
        <is>
          <t>EXACT</t>
        </is>
      </c>
      <c r="D1990" t="inlineStr">
        <is>
          <t>IOS Meera</t>
        </is>
      </c>
      <c r="E1990" s="16" t="n">
        <v>7370.46</v>
      </c>
      <c r="F1990" s="16" t="n">
        <v>2461.74</v>
      </c>
      <c r="G1990" s="17" t="n"/>
      <c r="H1990" s="16" t="n">
        <v>4908.72</v>
      </c>
      <c r="I1990" s="16" t="n">
        <v>0</v>
      </c>
    </row>
    <row r="1991">
      <c r="A1991" t="inlineStr">
        <is>
          <t>MTR-IOS-1991</t>
        </is>
      </c>
      <c r="B1991" t="inlineStr">
        <is>
          <t>Gift Pool</t>
        </is>
      </c>
      <c r="C1991" t="inlineStr">
        <is>
          <t>SHARES</t>
        </is>
      </c>
      <c r="D1991" t="inlineStr">
        <is>
          <t>IOS Owner</t>
        </is>
      </c>
      <c r="E1991" s="16" t="n">
        <v>14124.49</v>
      </c>
      <c r="F1991" s="16" t="n">
        <v>7062.25</v>
      </c>
      <c r="G1991" s="17" t="n"/>
      <c r="H1991" s="16" t="n">
        <v>7062.24</v>
      </c>
      <c r="I1991" s="16" t="n">
        <v>0</v>
      </c>
    </row>
    <row r="1992">
      <c r="A1992" t="inlineStr">
        <is>
          <t>MTR-IOS-1991</t>
        </is>
      </c>
      <c r="B1992" t="inlineStr">
        <is>
          <t>Gift Pool</t>
        </is>
      </c>
      <c r="C1992" t="inlineStr">
        <is>
          <t>SHARES</t>
        </is>
      </c>
      <c r="D1992" t="inlineStr">
        <is>
          <t>IOS Aarav</t>
        </is>
      </c>
      <c r="E1992" s="16" t="n">
        <v>0</v>
      </c>
      <c r="F1992" s="16" t="n">
        <v>4708.16</v>
      </c>
      <c r="G1992" s="17" t="n"/>
      <c r="H1992" s="16" t="n">
        <v>-4708.16</v>
      </c>
      <c r="I1992" s="16" t="n">
        <v>0</v>
      </c>
    </row>
    <row r="1993">
      <c r="A1993" t="inlineStr">
        <is>
          <t>MTR-IOS-1991</t>
        </is>
      </c>
      <c r="B1993" t="inlineStr">
        <is>
          <t>Gift Pool</t>
        </is>
      </c>
      <c r="C1993" t="inlineStr">
        <is>
          <t>SHARES</t>
        </is>
      </c>
      <c r="D1993" t="inlineStr">
        <is>
          <t>IOS Meera</t>
        </is>
      </c>
      <c r="E1993" s="16" t="n">
        <v>0</v>
      </c>
      <c r="F1993" s="16" t="n">
        <v>2354.08</v>
      </c>
      <c r="G1993" s="17" t="n"/>
      <c r="H1993" s="16" t="n">
        <v>-2354.08</v>
      </c>
      <c r="I1993" s="16" t="n">
        <v>0</v>
      </c>
    </row>
    <row r="1994">
      <c r="A1994" t="inlineStr">
        <is>
          <t>MTR-IOS-1994</t>
        </is>
      </c>
      <c r="B1994" t="inlineStr">
        <is>
          <t>Gift Pool</t>
        </is>
      </c>
      <c r="C1994" t="inlineStr">
        <is>
          <t>EQUAL</t>
        </is>
      </c>
      <c r="D1994" t="inlineStr">
        <is>
          <t>IOS Owner</t>
        </is>
      </c>
      <c r="E1994" s="16" t="n">
        <v>0</v>
      </c>
      <c r="F1994" s="16" t="n">
        <v>887.17</v>
      </c>
      <c r="G1994" s="17" t="n"/>
      <c r="H1994" s="16" t="n">
        <v>-887.17</v>
      </c>
      <c r="I1994" s="16" t="n">
        <v>0</v>
      </c>
    </row>
    <row r="1995">
      <c r="A1995" t="inlineStr">
        <is>
          <t>MTR-IOS-1994</t>
        </is>
      </c>
      <c r="B1995" t="inlineStr">
        <is>
          <t>Gift Pool</t>
        </is>
      </c>
      <c r="C1995" t="inlineStr">
        <is>
          <t>EQUAL</t>
        </is>
      </c>
      <c r="D1995" t="inlineStr">
        <is>
          <t>IOS Aarav</t>
        </is>
      </c>
      <c r="E1995" s="16" t="n">
        <v>2661.52</v>
      </c>
      <c r="F1995" s="16" t="n">
        <v>887.17</v>
      </c>
      <c r="G1995" s="17" t="n"/>
      <c r="H1995" s="16" t="n">
        <v>1774.35</v>
      </c>
      <c r="I1995" s="16" t="n">
        <v>0</v>
      </c>
    </row>
    <row r="1996">
      <c r="A1996" t="inlineStr">
        <is>
          <t>MTR-IOS-1994</t>
        </is>
      </c>
      <c r="B1996" t="inlineStr">
        <is>
          <t>Gift Pool</t>
        </is>
      </c>
      <c r="C1996" t="inlineStr">
        <is>
          <t>EQUAL</t>
        </is>
      </c>
      <c r="D1996" t="inlineStr">
        <is>
          <t>IOS Meera</t>
        </is>
      </c>
      <c r="E1996" s="16" t="n">
        <v>0</v>
      </c>
      <c r="F1996" s="16" t="n">
        <v>887.1799999999999</v>
      </c>
      <c r="G1996" s="17" t="n"/>
      <c r="H1996" s="16" t="n">
        <v>-887.1799999999999</v>
      </c>
      <c r="I1996" s="16" t="n">
        <v>0</v>
      </c>
    </row>
    <row r="1997">
      <c r="A1997" t="inlineStr">
        <is>
          <t>MTR-IOS-1997</t>
        </is>
      </c>
      <c r="B1997" t="inlineStr">
        <is>
          <t>Gift Pool</t>
        </is>
      </c>
      <c r="C1997" t="inlineStr">
        <is>
          <t>PERCENTAGE</t>
        </is>
      </c>
      <c r="D1997" t="inlineStr">
        <is>
          <t>IOS Owner</t>
        </is>
      </c>
      <c r="E1997" s="16" t="n">
        <v>0</v>
      </c>
      <c r="F1997" s="16" t="n">
        <v>1296.63</v>
      </c>
      <c r="G1997" s="17" t="n">
        <v>50</v>
      </c>
      <c r="H1997" s="16" t="n">
        <v>-1296.63</v>
      </c>
      <c r="I1997" s="16" t="n">
        <v>0</v>
      </c>
    </row>
    <row r="1998">
      <c r="A1998" t="inlineStr">
        <is>
          <t>MTR-IOS-1997</t>
        </is>
      </c>
      <c r="B1998" t="inlineStr">
        <is>
          <t>Gift Pool</t>
        </is>
      </c>
      <c r="C1998" t="inlineStr">
        <is>
          <t>PERCENTAGE</t>
        </is>
      </c>
      <c r="D1998" t="inlineStr">
        <is>
          <t>IOS Aarav</t>
        </is>
      </c>
      <c r="E1998" s="16" t="n">
        <v>0</v>
      </c>
      <c r="F1998" s="16" t="n">
        <v>777.98</v>
      </c>
      <c r="G1998" s="17" t="n">
        <v>30</v>
      </c>
      <c r="H1998" s="16" t="n">
        <v>-777.98</v>
      </c>
      <c r="I1998" s="16" t="n">
        <v>0</v>
      </c>
    </row>
    <row r="1999">
      <c r="A1999" t="inlineStr">
        <is>
          <t>MTR-IOS-1997</t>
        </is>
      </c>
      <c r="B1999" t="inlineStr">
        <is>
          <t>Gift Pool</t>
        </is>
      </c>
      <c r="C1999" t="inlineStr">
        <is>
          <t>PERCENTAGE</t>
        </is>
      </c>
      <c r="D1999" t="inlineStr">
        <is>
          <t>IOS Meera</t>
        </is>
      </c>
      <c r="E1999" s="16" t="n">
        <v>2593.25</v>
      </c>
      <c r="F1999" s="16" t="n">
        <v>518.64</v>
      </c>
      <c r="G1999" s="17" t="n">
        <v>20</v>
      </c>
      <c r="H1999" s="16" t="n">
        <v>2074.61</v>
      </c>
      <c r="I1999" s="16" t="n">
        <v>0</v>
      </c>
    </row>
    <row r="2000">
      <c r="A2000" t="inlineStr">
        <is>
          <t>MTR-IOS-2000</t>
        </is>
      </c>
      <c r="B2000" t="inlineStr">
        <is>
          <t>Purchase</t>
        </is>
      </c>
      <c r="C2000" t="inlineStr">
        <is>
          <t>EXACT</t>
        </is>
      </c>
      <c r="D2000" t="inlineStr">
        <is>
          <t>IOS Owner</t>
        </is>
      </c>
      <c r="E2000" s="16" t="n">
        <v>13877.26</v>
      </c>
      <c r="F2000" s="16" t="n">
        <v>4621.13</v>
      </c>
      <c r="G2000" s="17" t="n"/>
      <c r="H2000" s="16" t="n">
        <v>9256.129999999999</v>
      </c>
      <c r="I2000" s="16" t="n">
        <v>0</v>
      </c>
    </row>
    <row r="2001">
      <c r="A2001" t="inlineStr">
        <is>
          <t>MTR-IOS-2000</t>
        </is>
      </c>
      <c r="B2001" t="inlineStr">
        <is>
          <t>Purchase</t>
        </is>
      </c>
      <c r="C2001" t="inlineStr">
        <is>
          <t>EXACT</t>
        </is>
      </c>
      <c r="D2001" t="inlineStr">
        <is>
          <t>IOS Aarav</t>
        </is>
      </c>
      <c r="E2001" s="16" t="n">
        <v>0</v>
      </c>
      <c r="F2001" s="16" t="n">
        <v>4621.13</v>
      </c>
      <c r="G2001" s="17" t="n"/>
      <c r="H2001" s="16" t="n">
        <v>-4621.13</v>
      </c>
      <c r="I2001" s="16" t="n">
        <v>0</v>
      </c>
    </row>
    <row r="2002">
      <c r="A2002" t="inlineStr">
        <is>
          <t>MTR-IOS-2000</t>
        </is>
      </c>
      <c r="B2002" t="inlineStr">
        <is>
          <t>Purchase</t>
        </is>
      </c>
      <c r="C2002" t="inlineStr">
        <is>
          <t>EXACT</t>
        </is>
      </c>
      <c r="D2002" t="inlineStr">
        <is>
          <t>IOS Meera</t>
        </is>
      </c>
      <c r="E2002" s="16" t="n">
        <v>0</v>
      </c>
      <c r="F2002" s="16" t="n">
        <v>4635</v>
      </c>
      <c r="G2002" s="17" t="n"/>
      <c r="H2002" s="16" t="n">
        <v>-4635</v>
      </c>
      <c r="I2002" s="16" t="n">
        <v>0</v>
      </c>
    </row>
    <row r="2003">
      <c r="A2003" t="inlineStr">
        <is>
          <t>MTR-IOS-2003</t>
        </is>
      </c>
      <c r="B2003" t="inlineStr">
        <is>
          <t>Purchase</t>
        </is>
      </c>
      <c r="C2003" t="inlineStr">
        <is>
          <t>SHARES</t>
        </is>
      </c>
      <c r="D2003" t="inlineStr">
        <is>
          <t>IOS Owner</t>
        </is>
      </c>
      <c r="E2003" s="16" t="n">
        <v>0</v>
      </c>
      <c r="F2003" s="16" t="n">
        <v>1815.38</v>
      </c>
      <c r="G2003" s="17" t="n"/>
      <c r="H2003" s="16" t="n">
        <v>-1815.38</v>
      </c>
      <c r="I2003" s="16" t="n">
        <v>0</v>
      </c>
    </row>
    <row r="2004">
      <c r="A2004" t="inlineStr">
        <is>
          <t>MTR-IOS-2003</t>
        </is>
      </c>
      <c r="B2004" t="inlineStr">
        <is>
          <t>Purchase</t>
        </is>
      </c>
      <c r="C2004" t="inlineStr">
        <is>
          <t>SHARES</t>
        </is>
      </c>
      <c r="D2004" t="inlineStr">
        <is>
          <t>IOS Aarav</t>
        </is>
      </c>
      <c r="E2004" s="16" t="n">
        <v>3630.76</v>
      </c>
      <c r="F2004" s="16" t="n">
        <v>1210.25</v>
      </c>
      <c r="G2004" s="17" t="n"/>
      <c r="H2004" s="16" t="n">
        <v>2420.51</v>
      </c>
      <c r="I2004" s="16" t="n">
        <v>0</v>
      </c>
    </row>
    <row r="2005">
      <c r="A2005" t="inlineStr">
        <is>
          <t>MTR-IOS-2003</t>
        </is>
      </c>
      <c r="B2005" t="inlineStr">
        <is>
          <t>Purchase</t>
        </is>
      </c>
      <c r="C2005" t="inlineStr">
        <is>
          <t>SHARES</t>
        </is>
      </c>
      <c r="D2005" t="inlineStr">
        <is>
          <t>IOS Meera</t>
        </is>
      </c>
      <c r="E2005" s="16" t="n">
        <v>0</v>
      </c>
      <c r="F2005" s="16" t="n">
        <v>605.13</v>
      </c>
      <c r="G2005" s="17" t="n"/>
      <c r="H2005" s="16" t="n">
        <v>-605.13</v>
      </c>
      <c r="I2005" s="16" t="n">
        <v>0</v>
      </c>
    </row>
    <row r="2006">
      <c r="A2006" t="inlineStr">
        <is>
          <t>MTR-IOS-2006</t>
        </is>
      </c>
      <c r="B2006" t="inlineStr">
        <is>
          <t>Purchase</t>
        </is>
      </c>
      <c r="C2006" t="inlineStr">
        <is>
          <t>EQUAL</t>
        </is>
      </c>
      <c r="D2006" t="inlineStr">
        <is>
          <t>IOS Owner</t>
        </is>
      </c>
      <c r="E2006" s="16" t="n">
        <v>0</v>
      </c>
      <c r="F2006" s="16" t="n">
        <v>8607.48</v>
      </c>
      <c r="G2006" s="17" t="n"/>
      <c r="H2006" s="16" t="n">
        <v>-8607.48</v>
      </c>
      <c r="I2006" s="16" t="n">
        <v>0</v>
      </c>
    </row>
    <row r="2007">
      <c r="A2007" t="inlineStr">
        <is>
          <t>MTR-IOS-2006</t>
        </is>
      </c>
      <c r="B2007" t="inlineStr">
        <is>
          <t>Purchase</t>
        </is>
      </c>
      <c r="C2007" t="inlineStr">
        <is>
          <t>EQUAL</t>
        </is>
      </c>
      <c r="D2007" t="inlineStr">
        <is>
          <t>IOS Aarav</t>
        </is>
      </c>
      <c r="E2007" s="16" t="n">
        <v>0</v>
      </c>
      <c r="F2007" s="16" t="n">
        <v>8607.48</v>
      </c>
      <c r="G2007" s="17" t="n"/>
      <c r="H2007" s="16" t="n">
        <v>-8607.48</v>
      </c>
      <c r="I2007" s="16" t="n">
        <v>0</v>
      </c>
    </row>
    <row r="2008">
      <c r="A2008" t="inlineStr">
        <is>
          <t>MTR-IOS-2006</t>
        </is>
      </c>
      <c r="B2008" t="inlineStr">
        <is>
          <t>Purchase</t>
        </is>
      </c>
      <c r="C2008" t="inlineStr">
        <is>
          <t>EQUAL</t>
        </is>
      </c>
      <c r="D2008" t="inlineStr">
        <is>
          <t>IOS Meera</t>
        </is>
      </c>
      <c r="E2008" s="16" t="n">
        <v>25822.45</v>
      </c>
      <c r="F2008" s="16" t="n">
        <v>8607.49</v>
      </c>
      <c r="G2008" s="17" t="n"/>
      <c r="H2008" s="16" t="n">
        <v>17214.96</v>
      </c>
      <c r="I2008" s="16" t="n">
        <v>0</v>
      </c>
    </row>
    <row r="2009">
      <c r="A2009" t="inlineStr">
        <is>
          <t>MTR-IOS-2009</t>
        </is>
      </c>
      <c r="B2009" t="inlineStr">
        <is>
          <t>Purchase</t>
        </is>
      </c>
      <c r="C2009" t="inlineStr">
        <is>
          <t>PERCENTAGE</t>
        </is>
      </c>
      <c r="D2009" t="inlineStr">
        <is>
          <t>IOS Owner</t>
        </is>
      </c>
      <c r="E2009" s="16" t="n">
        <v>6808.39</v>
      </c>
      <c r="F2009" s="16" t="n">
        <v>3404.2</v>
      </c>
      <c r="G2009" s="17" t="n">
        <v>50</v>
      </c>
      <c r="H2009" s="16" t="n">
        <v>3404.19</v>
      </c>
      <c r="I2009" s="16" t="n">
        <v>0</v>
      </c>
    </row>
    <row r="2010">
      <c r="A2010" t="inlineStr">
        <is>
          <t>MTR-IOS-2009</t>
        </is>
      </c>
      <c r="B2010" t="inlineStr">
        <is>
          <t>Purchase</t>
        </is>
      </c>
      <c r="C2010" t="inlineStr">
        <is>
          <t>PERCENTAGE</t>
        </is>
      </c>
      <c r="D2010" t="inlineStr">
        <is>
          <t>IOS Aarav</t>
        </is>
      </c>
      <c r="E2010" s="16" t="n">
        <v>0</v>
      </c>
      <c r="F2010" s="16" t="n">
        <v>2042.52</v>
      </c>
      <c r="G2010" s="17" t="n">
        <v>30</v>
      </c>
      <c r="H2010" s="16" t="n">
        <v>-2042.52</v>
      </c>
      <c r="I2010" s="16" t="n">
        <v>0</v>
      </c>
    </row>
    <row r="2011">
      <c r="A2011" t="inlineStr">
        <is>
          <t>MTR-IOS-2009</t>
        </is>
      </c>
      <c r="B2011" t="inlineStr">
        <is>
          <t>Purchase</t>
        </is>
      </c>
      <c r="C2011" t="inlineStr">
        <is>
          <t>PERCENTAGE</t>
        </is>
      </c>
      <c r="D2011" t="inlineStr">
        <is>
          <t>IOS Meera</t>
        </is>
      </c>
      <c r="E2011" s="16" t="n">
        <v>0</v>
      </c>
      <c r="F2011" s="16" t="n">
        <v>1361.67</v>
      </c>
      <c r="G2011" s="17" t="n">
        <v>20</v>
      </c>
      <c r="H2011" s="16" t="n">
        <v>-1361.67</v>
      </c>
      <c r="I2011" s="16" t="n">
        <v>0</v>
      </c>
    </row>
    <row r="2012">
      <c r="A2012" t="inlineStr">
        <is>
          <t>MTR-IOS-2012</t>
        </is>
      </c>
      <c r="B2012" t="inlineStr">
        <is>
          <t>Assets</t>
        </is>
      </c>
      <c r="C2012" t="inlineStr">
        <is>
          <t>EXACT</t>
        </is>
      </c>
      <c r="D2012" t="inlineStr">
        <is>
          <t>IOS Owner</t>
        </is>
      </c>
      <c r="E2012" s="16" t="n">
        <v>0</v>
      </c>
      <c r="F2012" s="16" t="n">
        <v>5762.01</v>
      </c>
      <c r="G2012" s="17" t="n"/>
      <c r="H2012" s="16" t="n">
        <v>-5762.01</v>
      </c>
      <c r="I2012" s="16" t="n">
        <v>0</v>
      </c>
    </row>
    <row r="2013">
      <c r="A2013" t="inlineStr">
        <is>
          <t>MTR-IOS-2012</t>
        </is>
      </c>
      <c r="B2013" t="inlineStr">
        <is>
          <t>Assets</t>
        </is>
      </c>
      <c r="C2013" t="inlineStr">
        <is>
          <t>EXACT</t>
        </is>
      </c>
      <c r="D2013" t="inlineStr">
        <is>
          <t>IOS Aarav</t>
        </is>
      </c>
      <c r="E2013" s="16" t="n">
        <v>17303.32</v>
      </c>
      <c r="F2013" s="16" t="n">
        <v>5762.01</v>
      </c>
      <c r="G2013" s="17" t="n"/>
      <c r="H2013" s="16" t="n">
        <v>11541.31</v>
      </c>
      <c r="I2013" s="16" t="n">
        <v>0</v>
      </c>
    </row>
    <row r="2014">
      <c r="A2014" t="inlineStr">
        <is>
          <t>MTR-IOS-2012</t>
        </is>
      </c>
      <c r="B2014" t="inlineStr">
        <is>
          <t>Assets</t>
        </is>
      </c>
      <c r="C2014" t="inlineStr">
        <is>
          <t>EXACT</t>
        </is>
      </c>
      <c r="D2014" t="inlineStr">
        <is>
          <t>IOS Meera</t>
        </is>
      </c>
      <c r="E2014" s="16" t="n">
        <v>0</v>
      </c>
      <c r="F2014" s="16" t="n">
        <v>5779.3</v>
      </c>
      <c r="G2014" s="17" t="n"/>
      <c r="H2014" s="16" t="n">
        <v>-5779.3</v>
      </c>
      <c r="I2014" s="16" t="n">
        <v>0</v>
      </c>
    </row>
    <row r="2015">
      <c r="A2015" t="inlineStr">
        <is>
          <t>MTR-IOS-2015</t>
        </is>
      </c>
      <c r="B2015" t="inlineStr">
        <is>
          <t>Assets</t>
        </is>
      </c>
      <c r="C2015" t="inlineStr">
        <is>
          <t>SHARES</t>
        </is>
      </c>
      <c r="D2015" t="inlineStr">
        <is>
          <t>IOS Owner</t>
        </is>
      </c>
      <c r="E2015" s="16" t="n">
        <v>0</v>
      </c>
      <c r="F2015" s="16" t="n">
        <v>3488.8</v>
      </c>
      <c r="G2015" s="17" t="n"/>
      <c r="H2015" s="16" t="n">
        <v>-3488.8</v>
      </c>
      <c r="I2015" s="16" t="n">
        <v>0</v>
      </c>
    </row>
    <row r="2016">
      <c r="A2016" t="inlineStr">
        <is>
          <t>MTR-IOS-2015</t>
        </is>
      </c>
      <c r="B2016" t="inlineStr">
        <is>
          <t>Assets</t>
        </is>
      </c>
      <c r="C2016" t="inlineStr">
        <is>
          <t>SHARES</t>
        </is>
      </c>
      <c r="D2016" t="inlineStr">
        <is>
          <t>IOS Aarav</t>
        </is>
      </c>
      <c r="E2016" s="16" t="n">
        <v>0</v>
      </c>
      <c r="F2016" s="16" t="n">
        <v>2325.86</v>
      </c>
      <c r="G2016" s="17" t="n"/>
      <c r="H2016" s="16" t="n">
        <v>-2325.86</v>
      </c>
      <c r="I2016" s="16" t="n">
        <v>0</v>
      </c>
    </row>
    <row r="2017">
      <c r="A2017" t="inlineStr">
        <is>
          <t>MTR-IOS-2015</t>
        </is>
      </c>
      <c r="B2017" t="inlineStr">
        <is>
          <t>Assets</t>
        </is>
      </c>
      <c r="C2017" t="inlineStr">
        <is>
          <t>SHARES</t>
        </is>
      </c>
      <c r="D2017" t="inlineStr">
        <is>
          <t>IOS Meera</t>
        </is>
      </c>
      <c r="E2017" s="16" t="n">
        <v>6977.59</v>
      </c>
      <c r="F2017" s="16" t="n">
        <v>1162.93</v>
      </c>
      <c r="G2017" s="17" t="n"/>
      <c r="H2017" s="16" t="n">
        <v>5814.66</v>
      </c>
      <c r="I2017" s="16" t="n">
        <v>0</v>
      </c>
    </row>
    <row r="2018">
      <c r="A2018" t="inlineStr">
        <is>
          <t>MTR-IOS-2018</t>
        </is>
      </c>
      <c r="B2018" t="inlineStr">
        <is>
          <t>Assets</t>
        </is>
      </c>
      <c r="C2018" t="inlineStr">
        <is>
          <t>EQUAL</t>
        </is>
      </c>
      <c r="D2018" t="inlineStr">
        <is>
          <t>IOS Owner</t>
        </is>
      </c>
      <c r="E2018" s="16" t="n">
        <v>15893.49</v>
      </c>
      <c r="F2018" s="16" t="n">
        <v>5297.83</v>
      </c>
      <c r="G2018" s="17" t="n"/>
      <c r="H2018" s="16" t="n">
        <v>10595.66</v>
      </c>
      <c r="I2018" s="16" t="n">
        <v>0</v>
      </c>
    </row>
    <row r="2019">
      <c r="A2019" t="inlineStr">
        <is>
          <t>MTR-IOS-2018</t>
        </is>
      </c>
      <c r="B2019" t="inlineStr">
        <is>
          <t>Assets</t>
        </is>
      </c>
      <c r="C2019" t="inlineStr">
        <is>
          <t>EQUAL</t>
        </is>
      </c>
      <c r="D2019" t="inlineStr">
        <is>
          <t>IOS Aarav</t>
        </is>
      </c>
      <c r="E2019" s="16" t="n">
        <v>0</v>
      </c>
      <c r="F2019" s="16" t="n">
        <v>5297.83</v>
      </c>
      <c r="G2019" s="17" t="n"/>
      <c r="H2019" s="16" t="n">
        <v>-5297.83</v>
      </c>
      <c r="I2019" s="16" t="n">
        <v>0</v>
      </c>
    </row>
    <row r="2020">
      <c r="A2020" t="inlineStr">
        <is>
          <t>MTR-IOS-2018</t>
        </is>
      </c>
      <c r="B2020" t="inlineStr">
        <is>
          <t>Assets</t>
        </is>
      </c>
      <c r="C2020" t="inlineStr">
        <is>
          <t>EQUAL</t>
        </is>
      </c>
      <c r="D2020" t="inlineStr">
        <is>
          <t>IOS Meera</t>
        </is>
      </c>
      <c r="E2020" s="16" t="n">
        <v>0</v>
      </c>
      <c r="F2020" s="16" t="n">
        <v>5297.83</v>
      </c>
      <c r="G2020" s="17" t="n"/>
      <c r="H2020" s="16" t="n">
        <v>-5297.83</v>
      </c>
      <c r="I2020" s="16" t="n">
        <v>0</v>
      </c>
    </row>
    <row r="2021">
      <c r="A2021" t="inlineStr">
        <is>
          <t>MTR-IOS-2021</t>
        </is>
      </c>
      <c r="B2021" t="inlineStr">
        <is>
          <t>Assets</t>
        </is>
      </c>
      <c r="C2021" t="inlineStr">
        <is>
          <t>PERCENTAGE</t>
        </is>
      </c>
      <c r="D2021" t="inlineStr">
        <is>
          <t>IOS Owner</t>
        </is>
      </c>
      <c r="E2021" s="16" t="n">
        <v>0</v>
      </c>
      <c r="F2021" s="16" t="n">
        <v>4718.13</v>
      </c>
      <c r="G2021" s="17" t="n">
        <v>50</v>
      </c>
      <c r="H2021" s="16" t="n">
        <v>-4718.13</v>
      </c>
      <c r="I2021" s="16" t="n">
        <v>0</v>
      </c>
    </row>
    <row r="2022">
      <c r="A2022" t="inlineStr">
        <is>
          <t>MTR-IOS-2021</t>
        </is>
      </c>
      <c r="B2022" t="inlineStr">
        <is>
          <t>Assets</t>
        </is>
      </c>
      <c r="C2022" t="inlineStr">
        <is>
          <t>PERCENTAGE</t>
        </is>
      </c>
      <c r="D2022" t="inlineStr">
        <is>
          <t>IOS Aarav</t>
        </is>
      </c>
      <c r="E2022" s="16" t="n">
        <v>9436.26</v>
      </c>
      <c r="F2022" s="16" t="n">
        <v>2830.88</v>
      </c>
      <c r="G2022" s="17" t="n">
        <v>30</v>
      </c>
      <c r="H2022" s="16" t="n">
        <v>6605.38</v>
      </c>
      <c r="I2022" s="16" t="n">
        <v>0</v>
      </c>
    </row>
    <row r="2023">
      <c r="A2023" t="inlineStr">
        <is>
          <t>MTR-IOS-2021</t>
        </is>
      </c>
      <c r="B2023" t="inlineStr">
        <is>
          <t>Assets</t>
        </is>
      </c>
      <c r="C2023" t="inlineStr">
        <is>
          <t>PERCENTAGE</t>
        </is>
      </c>
      <c r="D2023" t="inlineStr">
        <is>
          <t>IOS Meera</t>
        </is>
      </c>
      <c r="E2023" s="16" t="n">
        <v>0</v>
      </c>
      <c r="F2023" s="16" t="n">
        <v>1887.25</v>
      </c>
      <c r="G2023" s="17" t="n">
        <v>20</v>
      </c>
      <c r="H2023" s="16" t="n">
        <v>-1887.25</v>
      </c>
      <c r="I2023" s="16" t="n">
        <v>0</v>
      </c>
    </row>
    <row r="2024">
      <c r="A2024" t="inlineStr">
        <is>
          <t>MTR-IOS-2024</t>
        </is>
      </c>
      <c r="B2024" t="inlineStr">
        <is>
          <t>Assets</t>
        </is>
      </c>
      <c r="C2024" t="inlineStr">
        <is>
          <t>EXACT</t>
        </is>
      </c>
      <c r="D2024" t="inlineStr">
        <is>
          <t>IOS Owner</t>
        </is>
      </c>
      <c r="E2024" s="16" t="n">
        <v>0</v>
      </c>
      <c r="F2024" s="16" t="n">
        <v>3992.81</v>
      </c>
      <c r="G2024" s="17" t="n"/>
      <c r="H2024" s="16" t="n">
        <v>-3992.81</v>
      </c>
      <c r="I2024" s="16" t="n">
        <v>0</v>
      </c>
    </row>
    <row r="2025">
      <c r="A2025" t="inlineStr">
        <is>
          <t>MTR-IOS-2024</t>
        </is>
      </c>
      <c r="B2025" t="inlineStr">
        <is>
          <t>Assets</t>
        </is>
      </c>
      <c r="C2025" t="inlineStr">
        <is>
          <t>EXACT</t>
        </is>
      </c>
      <c r="D2025" t="inlineStr">
        <is>
          <t>IOS Aarav</t>
        </is>
      </c>
      <c r="E2025" s="16" t="n">
        <v>0</v>
      </c>
      <c r="F2025" s="16" t="n">
        <v>3992.81</v>
      </c>
      <c r="G2025" s="17" t="n"/>
      <c r="H2025" s="16" t="n">
        <v>-3992.81</v>
      </c>
      <c r="I2025" s="16" t="n">
        <v>0</v>
      </c>
    </row>
    <row r="2026">
      <c r="A2026" t="inlineStr">
        <is>
          <t>MTR-IOS-2024</t>
        </is>
      </c>
      <c r="B2026" t="inlineStr">
        <is>
          <t>Assets</t>
        </is>
      </c>
      <c r="C2026" t="inlineStr">
        <is>
          <t>EXACT</t>
        </is>
      </c>
      <c r="D2026" t="inlineStr">
        <is>
          <t>IOS Meera</t>
        </is>
      </c>
      <c r="E2026" s="16" t="n">
        <v>11990.41</v>
      </c>
      <c r="F2026" s="16" t="n">
        <v>4004.79</v>
      </c>
      <c r="G2026" s="17" t="n"/>
      <c r="H2026" s="16" t="n">
        <v>7985.62</v>
      </c>
      <c r="I2026" s="16" t="n">
        <v>0</v>
      </c>
    </row>
    <row r="2027">
      <c r="A2027" t="inlineStr">
        <is>
          <t>MTR-IOS-2027</t>
        </is>
      </c>
      <c r="B2027" t="inlineStr">
        <is>
          <t>Custom Purchase</t>
        </is>
      </c>
      <c r="C2027" t="inlineStr">
        <is>
          <t>SHARES</t>
        </is>
      </c>
      <c r="D2027" t="inlineStr">
        <is>
          <t>IOS Owner</t>
        </is>
      </c>
      <c r="E2027" s="16" t="n">
        <v>7059.72</v>
      </c>
      <c r="F2027" s="16" t="n">
        <v>3529.86</v>
      </c>
      <c r="G2027" s="17" t="n"/>
      <c r="H2027" s="16" t="n">
        <v>3529.86</v>
      </c>
      <c r="I2027" s="16" t="n">
        <v>0</v>
      </c>
    </row>
    <row r="2028">
      <c r="A2028" t="inlineStr">
        <is>
          <t>MTR-IOS-2027</t>
        </is>
      </c>
      <c r="B2028" t="inlineStr">
        <is>
          <t>Custom Purchase</t>
        </is>
      </c>
      <c r="C2028" t="inlineStr">
        <is>
          <t>SHARES</t>
        </is>
      </c>
      <c r="D2028" t="inlineStr">
        <is>
          <t>IOS Aarav</t>
        </is>
      </c>
      <c r="E2028" s="16" t="n">
        <v>0</v>
      </c>
      <c r="F2028" s="16" t="n">
        <v>2353.24</v>
      </c>
      <c r="G2028" s="17" t="n"/>
      <c r="H2028" s="16" t="n">
        <v>-2353.24</v>
      </c>
      <c r="I2028" s="16" t="n">
        <v>0</v>
      </c>
    </row>
    <row r="2029">
      <c r="A2029" t="inlineStr">
        <is>
          <t>MTR-IOS-2027</t>
        </is>
      </c>
      <c r="B2029" t="inlineStr">
        <is>
          <t>Custom Purchase</t>
        </is>
      </c>
      <c r="C2029" t="inlineStr">
        <is>
          <t>SHARES</t>
        </is>
      </c>
      <c r="D2029" t="inlineStr">
        <is>
          <t>IOS Meera</t>
        </is>
      </c>
      <c r="E2029" s="16" t="n">
        <v>0</v>
      </c>
      <c r="F2029" s="16" t="n">
        <v>1176.62</v>
      </c>
      <c r="G2029" s="17" t="n"/>
      <c r="H2029" s="16" t="n">
        <v>-1176.62</v>
      </c>
      <c r="I2029" s="16" t="n">
        <v>0</v>
      </c>
    </row>
    <row r="2030">
      <c r="A2030" t="inlineStr">
        <is>
          <t>MTR-IOS-2030</t>
        </is>
      </c>
      <c r="B2030" t="inlineStr">
        <is>
          <t>Custom Purchase</t>
        </is>
      </c>
      <c r="C2030" t="inlineStr">
        <is>
          <t>EQUAL</t>
        </is>
      </c>
      <c r="D2030" t="inlineStr">
        <is>
          <t>IOS Owner</t>
        </is>
      </c>
      <c r="E2030" s="16" t="n">
        <v>0</v>
      </c>
      <c r="F2030" s="16" t="n">
        <v>1179.86</v>
      </c>
      <c r="G2030" s="17" t="n"/>
      <c r="H2030" s="16" t="n">
        <v>-1179.86</v>
      </c>
      <c r="I2030" s="16" t="n">
        <v>0</v>
      </c>
    </row>
    <row r="2031">
      <c r="A2031" t="inlineStr">
        <is>
          <t>MTR-IOS-2030</t>
        </is>
      </c>
      <c r="B2031" t="inlineStr">
        <is>
          <t>Custom Purchase</t>
        </is>
      </c>
      <c r="C2031" t="inlineStr">
        <is>
          <t>EQUAL</t>
        </is>
      </c>
      <c r="D2031" t="inlineStr">
        <is>
          <t>IOS Aarav</t>
        </is>
      </c>
      <c r="E2031" s="16" t="n">
        <v>3539.58</v>
      </c>
      <c r="F2031" s="16" t="n">
        <v>1179.86</v>
      </c>
      <c r="G2031" s="17" t="n"/>
      <c r="H2031" s="16" t="n">
        <v>2359.72</v>
      </c>
      <c r="I2031" s="16" t="n">
        <v>0</v>
      </c>
    </row>
    <row r="2032">
      <c r="A2032" t="inlineStr">
        <is>
          <t>MTR-IOS-2030</t>
        </is>
      </c>
      <c r="B2032" t="inlineStr">
        <is>
          <t>Custom Purchase</t>
        </is>
      </c>
      <c r="C2032" t="inlineStr">
        <is>
          <t>EQUAL</t>
        </is>
      </c>
      <c r="D2032" t="inlineStr">
        <is>
          <t>IOS Meera</t>
        </is>
      </c>
      <c r="E2032" s="16" t="n">
        <v>0</v>
      </c>
      <c r="F2032" s="16" t="n">
        <v>1179.86</v>
      </c>
      <c r="G2032" s="17" t="n"/>
      <c r="H2032" s="16" t="n">
        <v>-1179.86</v>
      </c>
      <c r="I2032" s="16" t="n">
        <v>0</v>
      </c>
    </row>
    <row r="2033">
      <c r="A2033" t="inlineStr">
        <is>
          <t>MTR-IOS-2033</t>
        </is>
      </c>
      <c r="B2033" t="inlineStr">
        <is>
          <t>Flatmates</t>
        </is>
      </c>
      <c r="C2033" t="inlineStr">
        <is>
          <t>PERCENTAGE</t>
        </is>
      </c>
      <c r="D2033" t="inlineStr">
        <is>
          <t>IOS Owner</t>
        </is>
      </c>
      <c r="E2033" s="16" t="n">
        <v>0</v>
      </c>
      <c r="F2033" s="16" t="n">
        <v>13043.57</v>
      </c>
      <c r="G2033" s="17" t="n">
        <v>50</v>
      </c>
      <c r="H2033" s="16" t="n">
        <v>-13043.57</v>
      </c>
      <c r="I2033" s="16" t="n">
        <v>0</v>
      </c>
    </row>
    <row r="2034">
      <c r="A2034" t="inlineStr">
        <is>
          <t>MTR-IOS-2033</t>
        </is>
      </c>
      <c r="B2034" t="inlineStr">
        <is>
          <t>Flatmates</t>
        </is>
      </c>
      <c r="C2034" t="inlineStr">
        <is>
          <t>PERCENTAGE</t>
        </is>
      </c>
      <c r="D2034" t="inlineStr">
        <is>
          <t>IOS Aarav</t>
        </is>
      </c>
      <c r="E2034" s="16" t="n">
        <v>0</v>
      </c>
      <c r="F2034" s="16" t="n">
        <v>7826.14</v>
      </c>
      <c r="G2034" s="17" t="n">
        <v>30</v>
      </c>
      <c r="H2034" s="16" t="n">
        <v>-7826.14</v>
      </c>
      <c r="I2034" s="16" t="n">
        <v>0</v>
      </c>
    </row>
    <row r="2035">
      <c r="A2035" t="inlineStr">
        <is>
          <t>MTR-IOS-2033</t>
        </is>
      </c>
      <c r="B2035" t="inlineStr">
        <is>
          <t>Flatmates</t>
        </is>
      </c>
      <c r="C2035" t="inlineStr">
        <is>
          <t>PERCENTAGE</t>
        </is>
      </c>
      <c r="D2035" t="inlineStr">
        <is>
          <t>IOS Meera</t>
        </is>
      </c>
      <c r="E2035" s="16" t="n">
        <v>26087.13</v>
      </c>
      <c r="F2035" s="16" t="n">
        <v>5217.42</v>
      </c>
      <c r="G2035" s="17" t="n">
        <v>20</v>
      </c>
      <c r="H2035" s="16" t="n">
        <v>20869.71</v>
      </c>
      <c r="I2035" s="16" t="n">
        <v>0</v>
      </c>
    </row>
    <row r="2036">
      <c r="A2036" t="inlineStr">
        <is>
          <t>MTR-IOS-2036</t>
        </is>
      </c>
      <c r="B2036" t="inlineStr">
        <is>
          <t>Flatmates</t>
        </is>
      </c>
      <c r="C2036" t="inlineStr">
        <is>
          <t>EXACT</t>
        </is>
      </c>
      <c r="D2036" t="inlineStr">
        <is>
          <t>IOS Owner</t>
        </is>
      </c>
      <c r="E2036" s="16" t="n">
        <v>13101.08</v>
      </c>
      <c r="F2036" s="16" t="n">
        <v>4362.66</v>
      </c>
      <c r="G2036" s="17" t="n"/>
      <c r="H2036" s="16" t="n">
        <v>8738.42</v>
      </c>
      <c r="I2036" s="16" t="n">
        <v>0</v>
      </c>
    </row>
    <row r="2037">
      <c r="A2037" t="inlineStr">
        <is>
          <t>MTR-IOS-2036</t>
        </is>
      </c>
      <c r="B2037" t="inlineStr">
        <is>
          <t>Flatmates</t>
        </is>
      </c>
      <c r="C2037" t="inlineStr">
        <is>
          <t>EXACT</t>
        </is>
      </c>
      <c r="D2037" t="inlineStr">
        <is>
          <t>IOS Aarav</t>
        </is>
      </c>
      <c r="E2037" s="16" t="n">
        <v>0</v>
      </c>
      <c r="F2037" s="16" t="n">
        <v>4362.66</v>
      </c>
      <c r="G2037" s="17" t="n"/>
      <c r="H2037" s="16" t="n">
        <v>-4362.66</v>
      </c>
      <c r="I2037" s="16" t="n">
        <v>0</v>
      </c>
    </row>
    <row r="2038">
      <c r="A2038" t="inlineStr">
        <is>
          <t>MTR-IOS-2036</t>
        </is>
      </c>
      <c r="B2038" t="inlineStr">
        <is>
          <t>Flatmates</t>
        </is>
      </c>
      <c r="C2038" t="inlineStr">
        <is>
          <t>EXACT</t>
        </is>
      </c>
      <c r="D2038" t="inlineStr">
        <is>
          <t>IOS Meera</t>
        </is>
      </c>
      <c r="E2038" s="16" t="n">
        <v>0</v>
      </c>
      <c r="F2038" s="16" t="n">
        <v>4375.76</v>
      </c>
      <c r="G2038" s="17" t="n"/>
      <c r="H2038" s="16" t="n">
        <v>-4375.76</v>
      </c>
      <c r="I2038" s="16" t="n">
        <v>0</v>
      </c>
    </row>
    <row r="2039">
      <c r="A2039" t="inlineStr">
        <is>
          <t>MTR-IOS-2039</t>
        </is>
      </c>
      <c r="B2039" t="inlineStr">
        <is>
          <t>Flatmates</t>
        </is>
      </c>
      <c r="C2039" t="inlineStr">
        <is>
          <t>SHARES</t>
        </is>
      </c>
      <c r="D2039" t="inlineStr">
        <is>
          <t>IOS Owner</t>
        </is>
      </c>
      <c r="E2039" s="16" t="n">
        <v>0</v>
      </c>
      <c r="F2039" s="16" t="n">
        <v>7595.22</v>
      </c>
      <c r="G2039" s="17" t="n"/>
      <c r="H2039" s="16" t="n">
        <v>-7595.22</v>
      </c>
      <c r="I2039" s="16" t="n">
        <v>0</v>
      </c>
    </row>
    <row r="2040">
      <c r="A2040" t="inlineStr">
        <is>
          <t>MTR-IOS-2039</t>
        </is>
      </c>
      <c r="B2040" t="inlineStr">
        <is>
          <t>Flatmates</t>
        </is>
      </c>
      <c r="C2040" t="inlineStr">
        <is>
          <t>SHARES</t>
        </is>
      </c>
      <c r="D2040" t="inlineStr">
        <is>
          <t>IOS Aarav</t>
        </is>
      </c>
      <c r="E2040" s="16" t="n">
        <v>15190.44</v>
      </c>
      <c r="F2040" s="16" t="n">
        <v>5063.48</v>
      </c>
      <c r="G2040" s="17" t="n"/>
      <c r="H2040" s="16" t="n">
        <v>10126.96</v>
      </c>
      <c r="I2040" s="16" t="n">
        <v>0</v>
      </c>
    </row>
    <row r="2041">
      <c r="A2041" t="inlineStr">
        <is>
          <t>MTR-IOS-2039</t>
        </is>
      </c>
      <c r="B2041" t="inlineStr">
        <is>
          <t>Flatmates</t>
        </is>
      </c>
      <c r="C2041" t="inlineStr">
        <is>
          <t>SHARES</t>
        </is>
      </c>
      <c r="D2041" t="inlineStr">
        <is>
          <t>IOS Meera</t>
        </is>
      </c>
      <c r="E2041" s="16" t="n">
        <v>0</v>
      </c>
      <c r="F2041" s="16" t="n">
        <v>2531.74</v>
      </c>
      <c r="G2041" s="17" t="n"/>
      <c r="H2041" s="16" t="n">
        <v>-2531.74</v>
      </c>
      <c r="I2041" s="16" t="n">
        <v>0</v>
      </c>
    </row>
    <row r="2042">
      <c r="A2042" t="inlineStr">
        <is>
          <t>MTR-IOS-2042</t>
        </is>
      </c>
      <c r="B2042" t="inlineStr">
        <is>
          <t>Flatmates</t>
        </is>
      </c>
      <c r="C2042" t="inlineStr">
        <is>
          <t>EQUAL</t>
        </is>
      </c>
      <c r="D2042" t="inlineStr">
        <is>
          <t>IOS Owner</t>
        </is>
      </c>
      <c r="E2042" s="16" t="n">
        <v>0</v>
      </c>
      <c r="F2042" s="16" t="n">
        <v>1284.04</v>
      </c>
      <c r="G2042" s="17" t="n"/>
      <c r="H2042" s="16" t="n">
        <v>-1284.04</v>
      </c>
      <c r="I2042" s="16" t="n">
        <v>0</v>
      </c>
    </row>
    <row r="2043">
      <c r="A2043" t="inlineStr">
        <is>
          <t>MTR-IOS-2042</t>
        </is>
      </c>
      <c r="B2043" t="inlineStr">
        <is>
          <t>Flatmates</t>
        </is>
      </c>
      <c r="C2043" t="inlineStr">
        <is>
          <t>EQUAL</t>
        </is>
      </c>
      <c r="D2043" t="inlineStr">
        <is>
          <t>IOS Aarav</t>
        </is>
      </c>
      <c r="E2043" s="16" t="n">
        <v>0</v>
      </c>
      <c r="F2043" s="16" t="n">
        <v>1284.04</v>
      </c>
      <c r="G2043" s="17" t="n"/>
      <c r="H2043" s="16" t="n">
        <v>-1284.04</v>
      </c>
      <c r="I2043" s="16" t="n">
        <v>0</v>
      </c>
    </row>
    <row r="2044">
      <c r="A2044" t="inlineStr">
        <is>
          <t>MTR-IOS-2042</t>
        </is>
      </c>
      <c r="B2044" t="inlineStr">
        <is>
          <t>Flatmates</t>
        </is>
      </c>
      <c r="C2044" t="inlineStr">
        <is>
          <t>EQUAL</t>
        </is>
      </c>
      <c r="D2044" t="inlineStr">
        <is>
          <t>IOS Meera</t>
        </is>
      </c>
      <c r="E2044" s="16" t="n">
        <v>3852.12</v>
      </c>
      <c r="F2044" s="16" t="n">
        <v>1284.04</v>
      </c>
      <c r="G2044" s="17" t="n"/>
      <c r="H2044" s="16" t="n">
        <v>2568.08</v>
      </c>
      <c r="I2044" s="16" t="n">
        <v>0</v>
      </c>
    </row>
    <row r="2045">
      <c r="A2045" t="inlineStr">
        <is>
          <t>MTR-IOS-2045</t>
        </is>
      </c>
      <c r="B2045" t="inlineStr">
        <is>
          <t>Flatmates</t>
        </is>
      </c>
      <c r="C2045" t="inlineStr">
        <is>
          <t>PERCENTAGE</t>
        </is>
      </c>
      <c r="D2045" t="inlineStr">
        <is>
          <t>IOS Owner</t>
        </is>
      </c>
      <c r="E2045" s="16" t="n">
        <v>10528.44</v>
      </c>
      <c r="F2045" s="16" t="n">
        <v>5264.22</v>
      </c>
      <c r="G2045" s="17" t="n">
        <v>50</v>
      </c>
      <c r="H2045" s="16" t="n">
        <v>5264.22</v>
      </c>
      <c r="I2045" s="16" t="n">
        <v>0</v>
      </c>
    </row>
    <row r="2046">
      <c r="A2046" t="inlineStr">
        <is>
          <t>MTR-IOS-2045</t>
        </is>
      </c>
      <c r="B2046" t="inlineStr">
        <is>
          <t>Flatmates</t>
        </is>
      </c>
      <c r="C2046" t="inlineStr">
        <is>
          <t>PERCENTAGE</t>
        </is>
      </c>
      <c r="D2046" t="inlineStr">
        <is>
          <t>IOS Aarav</t>
        </is>
      </c>
      <c r="E2046" s="16" t="n">
        <v>0</v>
      </c>
      <c r="F2046" s="16" t="n">
        <v>3158.53</v>
      </c>
      <c r="G2046" s="17" t="n">
        <v>30</v>
      </c>
      <c r="H2046" s="16" t="n">
        <v>-3158.53</v>
      </c>
      <c r="I2046" s="16" t="n">
        <v>0</v>
      </c>
    </row>
    <row r="2047">
      <c r="A2047" t="inlineStr">
        <is>
          <t>MTR-IOS-2045</t>
        </is>
      </c>
      <c r="B2047" t="inlineStr">
        <is>
          <t>Flatmates</t>
        </is>
      </c>
      <c r="C2047" t="inlineStr">
        <is>
          <t>PERCENTAGE</t>
        </is>
      </c>
      <c r="D2047" t="inlineStr">
        <is>
          <t>IOS Meera</t>
        </is>
      </c>
      <c r="E2047" s="16" t="n">
        <v>0</v>
      </c>
      <c r="F2047" s="16" t="n">
        <v>2105.69</v>
      </c>
      <c r="G2047" s="17" t="n">
        <v>20</v>
      </c>
      <c r="H2047" s="16" t="n">
        <v>-2105.69</v>
      </c>
      <c r="I2047" s="16" t="n">
        <v>0</v>
      </c>
    </row>
    <row r="2048">
      <c r="A2048" t="inlineStr">
        <is>
          <t>MTR-IOS-2048</t>
        </is>
      </c>
      <c r="B2048" t="inlineStr">
        <is>
          <t>Flatmates</t>
        </is>
      </c>
      <c r="C2048" t="inlineStr">
        <is>
          <t>EXACT</t>
        </is>
      </c>
      <c r="D2048" t="inlineStr">
        <is>
          <t>IOS Owner</t>
        </is>
      </c>
      <c r="E2048" s="16" t="n">
        <v>0</v>
      </c>
      <c r="F2048" s="16" t="n">
        <v>4528.89</v>
      </c>
      <c r="G2048" s="17" t="n"/>
      <c r="H2048" s="16" t="n">
        <v>-4528.89</v>
      </c>
      <c r="I2048" s="16" t="n">
        <v>0</v>
      </c>
    </row>
    <row r="2049">
      <c r="A2049" t="inlineStr">
        <is>
          <t>MTR-IOS-2048</t>
        </is>
      </c>
      <c r="B2049" t="inlineStr">
        <is>
          <t>Flatmates</t>
        </is>
      </c>
      <c r="C2049" t="inlineStr">
        <is>
          <t>EXACT</t>
        </is>
      </c>
      <c r="D2049" t="inlineStr">
        <is>
          <t>IOS Aarav</t>
        </is>
      </c>
      <c r="E2049" s="16" t="n">
        <v>13600.28</v>
      </c>
      <c r="F2049" s="16" t="n">
        <v>4528.89</v>
      </c>
      <c r="G2049" s="17" t="n"/>
      <c r="H2049" s="16" t="n">
        <v>9071.389999999999</v>
      </c>
      <c r="I2049" s="16" t="n">
        <v>0</v>
      </c>
    </row>
    <row r="2050">
      <c r="A2050" t="inlineStr">
        <is>
          <t>MTR-IOS-2048</t>
        </is>
      </c>
      <c r="B2050" t="inlineStr">
        <is>
          <t>Flatmates</t>
        </is>
      </c>
      <c r="C2050" t="inlineStr">
        <is>
          <t>EXACT</t>
        </is>
      </c>
      <c r="D2050" t="inlineStr">
        <is>
          <t>IOS Meera</t>
        </is>
      </c>
      <c r="E2050" s="16" t="n">
        <v>0</v>
      </c>
      <c r="F2050" s="16" t="n">
        <v>4542.5</v>
      </c>
      <c r="G2050" s="17" t="n"/>
      <c r="H2050" s="16" t="n">
        <v>-4542.5</v>
      </c>
      <c r="I2050" s="16" t="n">
        <v>0</v>
      </c>
    </row>
    <row r="2051">
      <c r="A2051" t="inlineStr">
        <is>
          <t>MTR-IOS-2051</t>
        </is>
      </c>
      <c r="B2051" t="inlineStr">
        <is>
          <t>Shared Living</t>
        </is>
      </c>
      <c r="C2051" t="inlineStr">
        <is>
          <t>SHARES</t>
        </is>
      </c>
      <c r="D2051" t="inlineStr">
        <is>
          <t>IOS Owner</t>
        </is>
      </c>
      <c r="E2051" s="16" t="n">
        <v>0</v>
      </c>
      <c r="F2051" s="16" t="n">
        <v>11386.22</v>
      </c>
      <c r="G2051" s="17" t="n"/>
      <c r="H2051" s="16" t="n">
        <v>-11386.22</v>
      </c>
      <c r="I2051" s="16" t="n">
        <v>0</v>
      </c>
    </row>
    <row r="2052">
      <c r="A2052" t="inlineStr">
        <is>
          <t>MTR-IOS-2051</t>
        </is>
      </c>
      <c r="B2052" t="inlineStr">
        <is>
          <t>Shared Living</t>
        </is>
      </c>
      <c r="C2052" t="inlineStr">
        <is>
          <t>SHARES</t>
        </is>
      </c>
      <c r="D2052" t="inlineStr">
        <is>
          <t>IOS Aarav</t>
        </is>
      </c>
      <c r="E2052" s="16" t="n">
        <v>0</v>
      </c>
      <c r="F2052" s="16" t="n">
        <v>7590.81</v>
      </c>
      <c r="G2052" s="17" t="n"/>
      <c r="H2052" s="16" t="n">
        <v>-7590.81</v>
      </c>
      <c r="I2052" s="16" t="n">
        <v>0</v>
      </c>
    </row>
    <row r="2053">
      <c r="A2053" t="inlineStr">
        <is>
          <t>MTR-IOS-2051</t>
        </is>
      </c>
      <c r="B2053" t="inlineStr">
        <is>
          <t>Shared Living</t>
        </is>
      </c>
      <c r="C2053" t="inlineStr">
        <is>
          <t>SHARES</t>
        </is>
      </c>
      <c r="D2053" t="inlineStr">
        <is>
          <t>IOS Meera</t>
        </is>
      </c>
      <c r="E2053" s="16" t="n">
        <v>22772.43</v>
      </c>
      <c r="F2053" s="16" t="n">
        <v>3795.4</v>
      </c>
      <c r="G2053" s="17" t="n"/>
      <c r="H2053" s="16" t="n">
        <v>18977.03</v>
      </c>
      <c r="I2053" s="16" t="n">
        <v>0</v>
      </c>
    </row>
    <row r="2054">
      <c r="A2054" t="inlineStr">
        <is>
          <t>MTR-IOS-2054</t>
        </is>
      </c>
      <c r="B2054" t="inlineStr">
        <is>
          <t>Shared Living</t>
        </is>
      </c>
      <c r="C2054" t="inlineStr">
        <is>
          <t>EQUAL</t>
        </is>
      </c>
      <c r="D2054" t="inlineStr">
        <is>
          <t>IOS Owner</t>
        </is>
      </c>
      <c r="E2054" s="16" t="n">
        <v>6095.17</v>
      </c>
      <c r="F2054" s="16" t="n">
        <v>2031.72</v>
      </c>
      <c r="G2054" s="17" t="n"/>
      <c r="H2054" s="16" t="n">
        <v>4063.45</v>
      </c>
      <c r="I2054" s="16" t="n">
        <v>0</v>
      </c>
    </row>
    <row r="2055">
      <c r="A2055" t="inlineStr">
        <is>
          <t>MTR-IOS-2054</t>
        </is>
      </c>
      <c r="B2055" t="inlineStr">
        <is>
          <t>Shared Living</t>
        </is>
      </c>
      <c r="C2055" t="inlineStr">
        <is>
          <t>EQUAL</t>
        </is>
      </c>
      <c r="D2055" t="inlineStr">
        <is>
          <t>IOS Aarav</t>
        </is>
      </c>
      <c r="E2055" s="16" t="n">
        <v>0</v>
      </c>
      <c r="F2055" s="16" t="n">
        <v>2031.72</v>
      </c>
      <c r="G2055" s="17" t="n"/>
      <c r="H2055" s="16" t="n">
        <v>-2031.72</v>
      </c>
      <c r="I2055" s="16" t="n">
        <v>0</v>
      </c>
    </row>
    <row r="2056">
      <c r="A2056" t="inlineStr">
        <is>
          <t>MTR-IOS-2054</t>
        </is>
      </c>
      <c r="B2056" t="inlineStr">
        <is>
          <t>Shared Living</t>
        </is>
      </c>
      <c r="C2056" t="inlineStr">
        <is>
          <t>EQUAL</t>
        </is>
      </c>
      <c r="D2056" t="inlineStr">
        <is>
          <t>IOS Meera</t>
        </is>
      </c>
      <c r="E2056" s="16" t="n">
        <v>0</v>
      </c>
      <c r="F2056" s="16" t="n">
        <v>2031.73</v>
      </c>
      <c r="G2056" s="17" t="n"/>
      <c r="H2056" s="16" t="n">
        <v>-2031.73</v>
      </c>
      <c r="I2056" s="16" t="n">
        <v>0</v>
      </c>
    </row>
    <row r="2057">
      <c r="A2057" t="inlineStr">
        <is>
          <t>MTR-IOS-2057</t>
        </is>
      </c>
      <c r="B2057" t="inlineStr">
        <is>
          <t>Shared Living</t>
        </is>
      </c>
      <c r="C2057" t="inlineStr">
        <is>
          <t>PERCENTAGE</t>
        </is>
      </c>
      <c r="D2057" t="inlineStr">
        <is>
          <t>IOS Owner</t>
        </is>
      </c>
      <c r="E2057" s="16" t="n">
        <v>0</v>
      </c>
      <c r="F2057" s="16" t="n">
        <v>1637.94</v>
      </c>
      <c r="G2057" s="17" t="n">
        <v>50</v>
      </c>
      <c r="H2057" s="16" t="n">
        <v>-1637.94</v>
      </c>
      <c r="I2057" s="16" t="n">
        <v>0</v>
      </c>
    </row>
    <row r="2058">
      <c r="A2058" t="inlineStr">
        <is>
          <t>MTR-IOS-2057</t>
        </is>
      </c>
      <c r="B2058" t="inlineStr">
        <is>
          <t>Shared Living</t>
        </is>
      </c>
      <c r="C2058" t="inlineStr">
        <is>
          <t>PERCENTAGE</t>
        </is>
      </c>
      <c r="D2058" t="inlineStr">
        <is>
          <t>IOS Aarav</t>
        </is>
      </c>
      <c r="E2058" s="16" t="n">
        <v>3275.88</v>
      </c>
      <c r="F2058" s="16" t="n">
        <v>982.76</v>
      </c>
      <c r="G2058" s="17" t="n">
        <v>30</v>
      </c>
      <c r="H2058" s="16" t="n">
        <v>2293.12</v>
      </c>
      <c r="I2058" s="16" t="n">
        <v>0</v>
      </c>
    </row>
    <row r="2059">
      <c r="A2059" t="inlineStr">
        <is>
          <t>MTR-IOS-2057</t>
        </is>
      </c>
      <c r="B2059" t="inlineStr">
        <is>
          <t>Shared Living</t>
        </is>
      </c>
      <c r="C2059" t="inlineStr">
        <is>
          <t>PERCENTAGE</t>
        </is>
      </c>
      <c r="D2059" t="inlineStr">
        <is>
          <t>IOS Meera</t>
        </is>
      </c>
      <c r="E2059" s="16" t="n">
        <v>0</v>
      </c>
      <c r="F2059" s="16" t="n">
        <v>655.1799999999999</v>
      </c>
      <c r="G2059" s="17" t="n">
        <v>20</v>
      </c>
      <c r="H2059" s="16" t="n">
        <v>-655.1799999999999</v>
      </c>
      <c r="I2059" s="16" t="n">
        <v>0</v>
      </c>
    </row>
    <row r="2060">
      <c r="A2060" t="inlineStr">
        <is>
          <t>MTR-IOS-2060</t>
        </is>
      </c>
      <c r="B2060" t="inlineStr">
        <is>
          <t>Shared Living</t>
        </is>
      </c>
      <c r="C2060" t="inlineStr">
        <is>
          <t>EXACT</t>
        </is>
      </c>
      <c r="D2060" t="inlineStr">
        <is>
          <t>IOS Owner</t>
        </is>
      </c>
      <c r="E2060" s="16" t="n">
        <v>0</v>
      </c>
      <c r="F2060" s="16" t="n">
        <v>878.34</v>
      </c>
      <c r="G2060" s="17" t="n"/>
      <c r="H2060" s="16" t="n">
        <v>-878.34</v>
      </c>
      <c r="I2060" s="16" t="n">
        <v>0</v>
      </c>
    </row>
    <row r="2061">
      <c r="A2061" t="inlineStr">
        <is>
          <t>MTR-IOS-2060</t>
        </is>
      </c>
      <c r="B2061" t="inlineStr">
        <is>
          <t>Shared Living</t>
        </is>
      </c>
      <c r="C2061" t="inlineStr">
        <is>
          <t>EXACT</t>
        </is>
      </c>
      <c r="D2061" t="inlineStr">
        <is>
          <t>IOS Aarav</t>
        </is>
      </c>
      <c r="E2061" s="16" t="n">
        <v>0</v>
      </c>
      <c r="F2061" s="16" t="n">
        <v>878.34</v>
      </c>
      <c r="G2061" s="17" t="n"/>
      <c r="H2061" s="16" t="n">
        <v>-878.34</v>
      </c>
      <c r="I2061" s="16" t="n">
        <v>0</v>
      </c>
    </row>
    <row r="2062">
      <c r="A2062" t="inlineStr">
        <is>
          <t>MTR-IOS-2060</t>
        </is>
      </c>
      <c r="B2062" t="inlineStr">
        <is>
          <t>Shared Living</t>
        </is>
      </c>
      <c r="C2062" t="inlineStr">
        <is>
          <t>EXACT</t>
        </is>
      </c>
      <c r="D2062" t="inlineStr">
        <is>
          <t>IOS Meera</t>
        </is>
      </c>
      <c r="E2062" s="16" t="n">
        <v>2637.65</v>
      </c>
      <c r="F2062" s="16" t="n">
        <v>880.97</v>
      </c>
      <c r="G2062" s="17" t="n"/>
      <c r="H2062" s="16" t="n">
        <v>1756.68</v>
      </c>
      <c r="I2062" s="16" t="n">
        <v>0</v>
      </c>
    </row>
    <row r="2063">
      <c r="A2063" t="inlineStr">
        <is>
          <t>MTR-IOS-2063</t>
        </is>
      </c>
      <c r="B2063" t="inlineStr">
        <is>
          <t>Shared Living</t>
        </is>
      </c>
      <c r="C2063" t="inlineStr">
        <is>
          <t>SHARES</t>
        </is>
      </c>
      <c r="D2063" t="inlineStr">
        <is>
          <t>IOS Owner</t>
        </is>
      </c>
      <c r="E2063" s="16" t="n">
        <v>4785.65</v>
      </c>
      <c r="F2063" s="16" t="n">
        <v>2392.83</v>
      </c>
      <c r="G2063" s="17" t="n"/>
      <c r="H2063" s="16" t="n">
        <v>2392.82</v>
      </c>
      <c r="I2063" s="16" t="n">
        <v>0</v>
      </c>
    </row>
    <row r="2064">
      <c r="A2064" t="inlineStr">
        <is>
          <t>MTR-IOS-2063</t>
        </is>
      </c>
      <c r="B2064" t="inlineStr">
        <is>
          <t>Shared Living</t>
        </is>
      </c>
      <c r="C2064" t="inlineStr">
        <is>
          <t>SHARES</t>
        </is>
      </c>
      <c r="D2064" t="inlineStr">
        <is>
          <t>IOS Aarav</t>
        </is>
      </c>
      <c r="E2064" s="16" t="n">
        <v>0</v>
      </c>
      <c r="F2064" s="16" t="n">
        <v>1595.22</v>
      </c>
      <c r="G2064" s="17" t="n"/>
      <c r="H2064" s="16" t="n">
        <v>-1595.22</v>
      </c>
      <c r="I2064" s="16" t="n">
        <v>0</v>
      </c>
    </row>
    <row r="2065">
      <c r="A2065" t="inlineStr">
        <is>
          <t>MTR-IOS-2063</t>
        </is>
      </c>
      <c r="B2065" t="inlineStr">
        <is>
          <t>Shared Living</t>
        </is>
      </c>
      <c r="C2065" t="inlineStr">
        <is>
          <t>SHARES</t>
        </is>
      </c>
      <c r="D2065" t="inlineStr">
        <is>
          <t>IOS Meera</t>
        </is>
      </c>
      <c r="E2065" s="16" t="n">
        <v>0</v>
      </c>
      <c r="F2065" s="16" t="n">
        <v>797.6</v>
      </c>
      <c r="G2065" s="17" t="n"/>
      <c r="H2065" s="16" t="n">
        <v>-797.6</v>
      </c>
      <c r="I2065" s="16" t="n">
        <v>0</v>
      </c>
    </row>
    <row r="2066">
      <c r="A2066" t="inlineStr">
        <is>
          <t>MTR-IOS-2066</t>
        </is>
      </c>
      <c r="B2066" t="inlineStr">
        <is>
          <t>Family Household</t>
        </is>
      </c>
      <c r="C2066" t="inlineStr">
        <is>
          <t>EQUAL</t>
        </is>
      </c>
      <c r="D2066" t="inlineStr">
        <is>
          <t>IOS Owner</t>
        </is>
      </c>
      <c r="E2066" s="16" t="n">
        <v>0</v>
      </c>
      <c r="F2066" s="16" t="n">
        <v>4785.95</v>
      </c>
      <c r="G2066" s="17" t="n"/>
      <c r="H2066" s="16" t="n">
        <v>-4785.95</v>
      </c>
      <c r="I2066" s="16" t="n">
        <v>0</v>
      </c>
    </row>
    <row r="2067">
      <c r="A2067" t="inlineStr">
        <is>
          <t>MTR-IOS-2066</t>
        </is>
      </c>
      <c r="B2067" t="inlineStr">
        <is>
          <t>Family Household</t>
        </is>
      </c>
      <c r="C2067" t="inlineStr">
        <is>
          <t>EQUAL</t>
        </is>
      </c>
      <c r="D2067" t="inlineStr">
        <is>
          <t>IOS Aarav</t>
        </is>
      </c>
      <c r="E2067" s="16" t="n">
        <v>14357.86</v>
      </c>
      <c r="F2067" s="16" t="n">
        <v>4785.95</v>
      </c>
      <c r="G2067" s="17" t="n"/>
      <c r="H2067" s="16" t="n">
        <v>9571.91</v>
      </c>
      <c r="I2067" s="16" t="n">
        <v>0</v>
      </c>
    </row>
    <row r="2068">
      <c r="A2068" t="inlineStr">
        <is>
          <t>MTR-IOS-2066</t>
        </is>
      </c>
      <c r="B2068" t="inlineStr">
        <is>
          <t>Family Household</t>
        </is>
      </c>
      <c r="C2068" t="inlineStr">
        <is>
          <t>EQUAL</t>
        </is>
      </c>
      <c r="D2068" t="inlineStr">
        <is>
          <t>IOS Meera</t>
        </is>
      </c>
      <c r="E2068" s="16" t="n">
        <v>0</v>
      </c>
      <c r="F2068" s="16" t="n">
        <v>4785.96</v>
      </c>
      <c r="G2068" s="17" t="n"/>
      <c r="H2068" s="16" t="n">
        <v>-4785.96</v>
      </c>
      <c r="I2068" s="16" t="n">
        <v>0</v>
      </c>
    </row>
    <row r="2069">
      <c r="A2069" t="inlineStr">
        <is>
          <t>MTR-IOS-2069</t>
        </is>
      </c>
      <c r="B2069" t="inlineStr">
        <is>
          <t>Family Household</t>
        </is>
      </c>
      <c r="C2069" t="inlineStr">
        <is>
          <t>PERCENTAGE</t>
        </is>
      </c>
      <c r="D2069" t="inlineStr">
        <is>
          <t>IOS Owner</t>
        </is>
      </c>
      <c r="E2069" s="16" t="n">
        <v>0</v>
      </c>
      <c r="F2069" s="16" t="n">
        <v>4500.96</v>
      </c>
      <c r="G2069" s="17" t="n">
        <v>50</v>
      </c>
      <c r="H2069" s="16" t="n">
        <v>-4500.96</v>
      </c>
      <c r="I2069" s="16" t="n">
        <v>0</v>
      </c>
    </row>
    <row r="2070">
      <c r="A2070" t="inlineStr">
        <is>
          <t>MTR-IOS-2069</t>
        </is>
      </c>
      <c r="B2070" t="inlineStr">
        <is>
          <t>Family Household</t>
        </is>
      </c>
      <c r="C2070" t="inlineStr">
        <is>
          <t>PERCENTAGE</t>
        </is>
      </c>
      <c r="D2070" t="inlineStr">
        <is>
          <t>IOS Aarav</t>
        </is>
      </c>
      <c r="E2070" s="16" t="n">
        <v>0</v>
      </c>
      <c r="F2070" s="16" t="n">
        <v>2700.57</v>
      </c>
      <c r="G2070" s="17" t="n">
        <v>30</v>
      </c>
      <c r="H2070" s="16" t="n">
        <v>-2700.57</v>
      </c>
      <c r="I2070" s="16" t="n">
        <v>0</v>
      </c>
    </row>
    <row r="2071">
      <c r="A2071" t="inlineStr">
        <is>
          <t>MTR-IOS-2069</t>
        </is>
      </c>
      <c r="B2071" t="inlineStr">
        <is>
          <t>Family Household</t>
        </is>
      </c>
      <c r="C2071" t="inlineStr">
        <is>
          <t>PERCENTAGE</t>
        </is>
      </c>
      <c r="D2071" t="inlineStr">
        <is>
          <t>IOS Meera</t>
        </is>
      </c>
      <c r="E2071" s="16" t="n">
        <v>9001.91</v>
      </c>
      <c r="F2071" s="16" t="n">
        <v>1800.38</v>
      </c>
      <c r="G2071" s="17" t="n">
        <v>20</v>
      </c>
      <c r="H2071" s="16" t="n">
        <v>7201.53</v>
      </c>
      <c r="I2071" s="16" t="n">
        <v>0</v>
      </c>
    </row>
    <row r="2072">
      <c r="A2072" t="inlineStr">
        <is>
          <t>MTR-IOS-2072</t>
        </is>
      </c>
      <c r="B2072" t="inlineStr">
        <is>
          <t>Family Household</t>
        </is>
      </c>
      <c r="C2072" t="inlineStr">
        <is>
          <t>EXACT</t>
        </is>
      </c>
      <c r="D2072" t="inlineStr">
        <is>
          <t>IOS Owner</t>
        </is>
      </c>
      <c r="E2072" s="16" t="n">
        <v>99.98999999999999</v>
      </c>
      <c r="F2072" s="16" t="n">
        <v>33.3</v>
      </c>
      <c r="G2072" s="17" t="n"/>
      <c r="H2072" s="16" t="n">
        <v>66.69</v>
      </c>
      <c r="I2072" s="16" t="n">
        <v>0</v>
      </c>
    </row>
    <row r="2073">
      <c r="A2073" t="inlineStr">
        <is>
          <t>MTR-IOS-2072</t>
        </is>
      </c>
      <c r="B2073" t="inlineStr">
        <is>
          <t>Family Household</t>
        </is>
      </c>
      <c r="C2073" t="inlineStr">
        <is>
          <t>EXACT</t>
        </is>
      </c>
      <c r="D2073" t="inlineStr">
        <is>
          <t>IOS Aarav</t>
        </is>
      </c>
      <c r="E2073" s="16" t="n">
        <v>0</v>
      </c>
      <c r="F2073" s="16" t="n">
        <v>33.3</v>
      </c>
      <c r="G2073" s="17" t="n"/>
      <c r="H2073" s="16" t="n">
        <v>-33.3</v>
      </c>
      <c r="I2073" s="16" t="n">
        <v>0</v>
      </c>
    </row>
    <row r="2074">
      <c r="A2074" t="inlineStr">
        <is>
          <t>MTR-IOS-2072</t>
        </is>
      </c>
      <c r="B2074" t="inlineStr">
        <is>
          <t>Family Household</t>
        </is>
      </c>
      <c r="C2074" t="inlineStr">
        <is>
          <t>EXACT</t>
        </is>
      </c>
      <c r="D2074" t="inlineStr">
        <is>
          <t>IOS Meera</t>
        </is>
      </c>
      <c r="E2074" s="16" t="n">
        <v>0</v>
      </c>
      <c r="F2074" s="16" t="n">
        <v>33.39</v>
      </c>
      <c r="G2074" s="17" t="n"/>
      <c r="H2074" s="16" t="n">
        <v>-33.39</v>
      </c>
      <c r="I2074" s="16" t="n">
        <v>0</v>
      </c>
    </row>
    <row r="2075">
      <c r="A2075" t="inlineStr">
        <is>
          <t>MTR-IOS-2075</t>
        </is>
      </c>
      <c r="B2075" t="inlineStr">
        <is>
          <t>Family Household</t>
        </is>
      </c>
      <c r="C2075" t="inlineStr">
        <is>
          <t>SHARES</t>
        </is>
      </c>
      <c r="D2075" t="inlineStr">
        <is>
          <t>IOS Owner</t>
        </is>
      </c>
      <c r="E2075" s="16" t="n">
        <v>0</v>
      </c>
      <c r="F2075" s="16" t="n">
        <v>4009.06</v>
      </c>
      <c r="G2075" s="17" t="n"/>
      <c r="H2075" s="16" t="n">
        <v>-4009.06</v>
      </c>
      <c r="I2075" s="16" t="n">
        <v>0</v>
      </c>
    </row>
    <row r="2076">
      <c r="A2076" t="inlineStr">
        <is>
          <t>MTR-IOS-2075</t>
        </is>
      </c>
      <c r="B2076" t="inlineStr">
        <is>
          <t>Family Household</t>
        </is>
      </c>
      <c r="C2076" t="inlineStr">
        <is>
          <t>SHARES</t>
        </is>
      </c>
      <c r="D2076" t="inlineStr">
        <is>
          <t>IOS Aarav</t>
        </is>
      </c>
      <c r="E2076" s="16" t="n">
        <v>8018.12</v>
      </c>
      <c r="F2076" s="16" t="n">
        <v>2672.71</v>
      </c>
      <c r="G2076" s="17" t="n"/>
      <c r="H2076" s="16" t="n">
        <v>5345.41</v>
      </c>
      <c r="I2076" s="16" t="n">
        <v>0</v>
      </c>
    </row>
    <row r="2077">
      <c r="A2077" t="inlineStr">
        <is>
          <t>MTR-IOS-2075</t>
        </is>
      </c>
      <c r="B2077" t="inlineStr">
        <is>
          <t>Family Household</t>
        </is>
      </c>
      <c r="C2077" t="inlineStr">
        <is>
          <t>SHARES</t>
        </is>
      </c>
      <c r="D2077" t="inlineStr">
        <is>
          <t>IOS Meera</t>
        </is>
      </c>
      <c r="E2077" s="16" t="n">
        <v>0</v>
      </c>
      <c r="F2077" s="16" t="n">
        <v>1336.35</v>
      </c>
      <c r="G2077" s="17" t="n"/>
      <c r="H2077" s="16" t="n">
        <v>-1336.35</v>
      </c>
      <c r="I2077" s="16" t="n">
        <v>0</v>
      </c>
    </row>
    <row r="2078">
      <c r="A2078" t="inlineStr">
        <is>
          <t>MTR-IOS-2078</t>
        </is>
      </c>
      <c r="B2078" t="inlineStr">
        <is>
          <t>Family Household</t>
        </is>
      </c>
      <c r="C2078" t="inlineStr">
        <is>
          <t>EQUAL</t>
        </is>
      </c>
      <c r="D2078" t="inlineStr">
        <is>
          <t>IOS Owner</t>
        </is>
      </c>
      <c r="E2078" s="16" t="n">
        <v>0</v>
      </c>
      <c r="F2078" s="16" t="n">
        <v>6667.99</v>
      </c>
      <c r="G2078" s="17" t="n"/>
      <c r="H2078" s="16" t="n">
        <v>-6667.99</v>
      </c>
      <c r="I2078" s="16" t="n">
        <v>0</v>
      </c>
    </row>
    <row r="2079">
      <c r="A2079" t="inlineStr">
        <is>
          <t>MTR-IOS-2078</t>
        </is>
      </c>
      <c r="B2079" t="inlineStr">
        <is>
          <t>Family Household</t>
        </is>
      </c>
      <c r="C2079" t="inlineStr">
        <is>
          <t>EQUAL</t>
        </is>
      </c>
      <c r="D2079" t="inlineStr">
        <is>
          <t>IOS Aarav</t>
        </is>
      </c>
      <c r="E2079" s="16" t="n">
        <v>0</v>
      </c>
      <c r="F2079" s="16" t="n">
        <v>6667.99</v>
      </c>
      <c r="G2079" s="17" t="n"/>
      <c r="H2079" s="16" t="n">
        <v>-6667.99</v>
      </c>
      <c r="I2079" s="16" t="n">
        <v>0</v>
      </c>
    </row>
    <row r="2080">
      <c r="A2080" t="inlineStr">
        <is>
          <t>MTR-IOS-2078</t>
        </is>
      </c>
      <c r="B2080" t="inlineStr">
        <is>
          <t>Family Household</t>
        </is>
      </c>
      <c r="C2080" t="inlineStr">
        <is>
          <t>EQUAL</t>
        </is>
      </c>
      <c r="D2080" t="inlineStr">
        <is>
          <t>IOS Meera</t>
        </is>
      </c>
      <c r="E2080" s="16" t="n">
        <v>20003.98</v>
      </c>
      <c r="F2080" s="16" t="n">
        <v>6668</v>
      </c>
      <c r="G2080" s="17" t="n"/>
      <c r="H2080" s="16" t="n">
        <v>13335.98</v>
      </c>
      <c r="I2080" s="16" t="n">
        <v>0</v>
      </c>
    </row>
    <row r="2081">
      <c r="A2081" t="inlineStr">
        <is>
          <t>MTR-IOS-2081</t>
        </is>
      </c>
      <c r="B2081" t="inlineStr">
        <is>
          <t>Family Household</t>
        </is>
      </c>
      <c r="C2081" t="inlineStr">
        <is>
          <t>PERCENTAGE</t>
        </is>
      </c>
      <c r="D2081" t="inlineStr">
        <is>
          <t>IOS Owner</t>
        </is>
      </c>
      <c r="E2081" s="16" t="n">
        <v>26923.31</v>
      </c>
      <c r="F2081" s="16" t="n">
        <v>13461.66</v>
      </c>
      <c r="G2081" s="17" t="n">
        <v>50</v>
      </c>
      <c r="H2081" s="16" t="n">
        <v>13461.65</v>
      </c>
      <c r="I2081" s="16" t="n">
        <v>0</v>
      </c>
    </row>
    <row r="2082">
      <c r="A2082" t="inlineStr">
        <is>
          <t>MTR-IOS-2081</t>
        </is>
      </c>
      <c r="B2082" t="inlineStr">
        <is>
          <t>Family Household</t>
        </is>
      </c>
      <c r="C2082" t="inlineStr">
        <is>
          <t>PERCENTAGE</t>
        </is>
      </c>
      <c r="D2082" t="inlineStr">
        <is>
          <t>IOS Aarav</t>
        </is>
      </c>
      <c r="E2082" s="16" t="n">
        <v>0</v>
      </c>
      <c r="F2082" s="16" t="n">
        <v>8076.99</v>
      </c>
      <c r="G2082" s="17" t="n">
        <v>30</v>
      </c>
      <c r="H2082" s="16" t="n">
        <v>-8076.99</v>
      </c>
      <c r="I2082" s="16" t="n">
        <v>0</v>
      </c>
    </row>
    <row r="2083">
      <c r="A2083" t="inlineStr">
        <is>
          <t>MTR-IOS-2081</t>
        </is>
      </c>
      <c r="B2083" t="inlineStr">
        <is>
          <t>Family Household</t>
        </is>
      </c>
      <c r="C2083" t="inlineStr">
        <is>
          <t>PERCENTAGE</t>
        </is>
      </c>
      <c r="D2083" t="inlineStr">
        <is>
          <t>IOS Meera</t>
        </is>
      </c>
      <c r="E2083" s="16" t="n">
        <v>0</v>
      </c>
      <c r="F2083" s="16" t="n">
        <v>5384.66</v>
      </c>
      <c r="G2083" s="17" t="n">
        <v>20</v>
      </c>
      <c r="H2083" s="16" t="n">
        <v>-5384.66</v>
      </c>
      <c r="I2083" s="16" t="n">
        <v>0</v>
      </c>
    </row>
    <row r="2084">
      <c r="A2084" t="inlineStr">
        <is>
          <t>MTR-IOS-2084</t>
        </is>
      </c>
      <c r="B2084" t="inlineStr">
        <is>
          <t>Custom Living</t>
        </is>
      </c>
      <c r="C2084" t="inlineStr">
        <is>
          <t>EXACT</t>
        </is>
      </c>
      <c r="D2084" t="inlineStr">
        <is>
          <t>IOS Owner</t>
        </is>
      </c>
      <c r="E2084" s="16" t="n">
        <v>0</v>
      </c>
      <c r="F2084" s="16" t="n">
        <v>8024.09</v>
      </c>
      <c r="G2084" s="17" t="n"/>
      <c r="H2084" s="16" t="n">
        <v>-8024.09</v>
      </c>
      <c r="I2084" s="16" t="n">
        <v>0</v>
      </c>
    </row>
    <row r="2085">
      <c r="A2085" t="inlineStr">
        <is>
          <t>MTR-IOS-2084</t>
        </is>
      </c>
      <c r="B2085" t="inlineStr">
        <is>
          <t>Custom Living</t>
        </is>
      </c>
      <c r="C2085" t="inlineStr">
        <is>
          <t>EXACT</t>
        </is>
      </c>
      <c r="D2085" t="inlineStr">
        <is>
          <t>IOS Aarav</t>
        </is>
      </c>
      <c r="E2085" s="16" t="n">
        <v>24096.38</v>
      </c>
      <c r="F2085" s="16" t="n">
        <v>8024.09</v>
      </c>
      <c r="G2085" s="17" t="n"/>
      <c r="H2085" s="16" t="n">
        <v>16072.29</v>
      </c>
      <c r="I2085" s="16" t="n">
        <v>0</v>
      </c>
    </row>
    <row r="2086">
      <c r="A2086" t="inlineStr">
        <is>
          <t>MTR-IOS-2084</t>
        </is>
      </c>
      <c r="B2086" t="inlineStr">
        <is>
          <t>Custom Living</t>
        </is>
      </c>
      <c r="C2086" t="inlineStr">
        <is>
          <t>EXACT</t>
        </is>
      </c>
      <c r="D2086" t="inlineStr">
        <is>
          <t>IOS Meera</t>
        </is>
      </c>
      <c r="E2086" s="16" t="n">
        <v>0</v>
      </c>
      <c r="F2086" s="16" t="n">
        <v>8048.2</v>
      </c>
      <c r="G2086" s="17" t="n"/>
      <c r="H2086" s="16" t="n">
        <v>-8048.2</v>
      </c>
      <c r="I2086" s="16" t="n">
        <v>0</v>
      </c>
    </row>
    <row r="2087">
      <c r="A2087" t="inlineStr">
        <is>
          <t>MTR-IOS-2087</t>
        </is>
      </c>
      <c r="B2087" t="inlineStr">
        <is>
          <t>Custom Living</t>
        </is>
      </c>
      <c r="C2087" t="inlineStr">
        <is>
          <t>SHARES</t>
        </is>
      </c>
      <c r="D2087" t="inlineStr">
        <is>
          <t>IOS Owner</t>
        </is>
      </c>
      <c r="E2087" s="16" t="n">
        <v>0</v>
      </c>
      <c r="F2087" s="16" t="n">
        <v>8688.52</v>
      </c>
      <c r="G2087" s="17" t="n"/>
      <c r="H2087" s="16" t="n">
        <v>-8688.52</v>
      </c>
      <c r="I2087" s="16" t="n">
        <v>0</v>
      </c>
    </row>
    <row r="2088">
      <c r="A2088" t="inlineStr">
        <is>
          <t>MTR-IOS-2087</t>
        </is>
      </c>
      <c r="B2088" t="inlineStr">
        <is>
          <t>Custom Living</t>
        </is>
      </c>
      <c r="C2088" t="inlineStr">
        <is>
          <t>SHARES</t>
        </is>
      </c>
      <c r="D2088" t="inlineStr">
        <is>
          <t>IOS Aarav</t>
        </is>
      </c>
      <c r="E2088" s="16" t="n">
        <v>0</v>
      </c>
      <c r="F2088" s="16" t="n">
        <v>5792.35</v>
      </c>
      <c r="G2088" s="17" t="n"/>
      <c r="H2088" s="16" t="n">
        <v>-5792.35</v>
      </c>
      <c r="I2088" s="16" t="n">
        <v>0</v>
      </c>
    </row>
    <row r="2089">
      <c r="A2089" t="inlineStr">
        <is>
          <t>MTR-IOS-2087</t>
        </is>
      </c>
      <c r="B2089" t="inlineStr">
        <is>
          <t>Custom Living</t>
        </is>
      </c>
      <c r="C2089" t="inlineStr">
        <is>
          <t>SHARES</t>
        </is>
      </c>
      <c r="D2089" t="inlineStr">
        <is>
          <t>IOS Meera</t>
        </is>
      </c>
      <c r="E2089" s="16" t="n">
        <v>17377.04</v>
      </c>
      <c r="F2089" s="16" t="n">
        <v>2896.17</v>
      </c>
      <c r="G2089" s="17" t="n"/>
      <c r="H2089" s="16" t="n">
        <v>14480.87</v>
      </c>
      <c r="I2089" s="16" t="n">
        <v>0</v>
      </c>
    </row>
    <row r="2090">
      <c r="A2090" t="inlineStr">
        <is>
          <t>MTR-IOS-2090</t>
        </is>
      </c>
      <c r="B2090" t="inlineStr">
        <is>
          <t>Trip</t>
        </is>
      </c>
      <c r="C2090" t="inlineStr">
        <is>
          <t>EQUAL</t>
        </is>
      </c>
      <c r="D2090" t="inlineStr">
        <is>
          <t>IOS Owner</t>
        </is>
      </c>
      <c r="E2090" s="16" t="n">
        <v>1603.17</v>
      </c>
      <c r="F2090" s="16" t="n">
        <v>534.39</v>
      </c>
      <c r="G2090" s="17" t="n"/>
      <c r="H2090" s="16" t="n">
        <v>1068.78</v>
      </c>
      <c r="I2090" s="16" t="n">
        <v>0</v>
      </c>
    </row>
    <row r="2091">
      <c r="A2091" t="inlineStr">
        <is>
          <t>MTR-IOS-2090</t>
        </is>
      </c>
      <c r="B2091" t="inlineStr">
        <is>
          <t>Trip</t>
        </is>
      </c>
      <c r="C2091" t="inlineStr">
        <is>
          <t>EQUAL</t>
        </is>
      </c>
      <c r="D2091" t="inlineStr">
        <is>
          <t>IOS Aarav</t>
        </is>
      </c>
      <c r="E2091" s="16" t="n">
        <v>0</v>
      </c>
      <c r="F2091" s="16" t="n">
        <v>534.39</v>
      </c>
      <c r="G2091" s="17" t="n"/>
      <c r="H2091" s="16" t="n">
        <v>-534.39</v>
      </c>
      <c r="I2091" s="16" t="n">
        <v>0</v>
      </c>
    </row>
    <row r="2092">
      <c r="A2092" t="inlineStr">
        <is>
          <t>MTR-IOS-2090</t>
        </is>
      </c>
      <c r="B2092" t="inlineStr">
        <is>
          <t>Trip</t>
        </is>
      </c>
      <c r="C2092" t="inlineStr">
        <is>
          <t>EQUAL</t>
        </is>
      </c>
      <c r="D2092" t="inlineStr">
        <is>
          <t>IOS Meera</t>
        </is>
      </c>
      <c r="E2092" s="16" t="n">
        <v>0</v>
      </c>
      <c r="F2092" s="16" t="n">
        <v>534.39</v>
      </c>
      <c r="G2092" s="17" t="n"/>
      <c r="H2092" s="16" t="n">
        <v>-534.39</v>
      </c>
      <c r="I2092" s="16" t="n">
        <v>0</v>
      </c>
    </row>
    <row r="2093">
      <c r="A2093" t="inlineStr">
        <is>
          <t>MTR-IOS-2093</t>
        </is>
      </c>
      <c r="B2093" t="inlineStr">
        <is>
          <t>Trip</t>
        </is>
      </c>
      <c r="C2093" t="inlineStr">
        <is>
          <t>PERCENTAGE</t>
        </is>
      </c>
      <c r="D2093" t="inlineStr">
        <is>
          <t>IOS Owner</t>
        </is>
      </c>
      <c r="E2093" s="16" t="n">
        <v>0</v>
      </c>
      <c r="F2093" s="16" t="n">
        <v>10743.95</v>
      </c>
      <c r="G2093" s="17" t="n">
        <v>50</v>
      </c>
      <c r="H2093" s="16" t="n">
        <v>-10743.95</v>
      </c>
      <c r="I2093" s="16" t="n">
        <v>0</v>
      </c>
    </row>
    <row r="2094">
      <c r="A2094" t="inlineStr">
        <is>
          <t>MTR-IOS-2093</t>
        </is>
      </c>
      <c r="B2094" t="inlineStr">
        <is>
          <t>Trip</t>
        </is>
      </c>
      <c r="C2094" t="inlineStr">
        <is>
          <t>PERCENTAGE</t>
        </is>
      </c>
      <c r="D2094" t="inlineStr">
        <is>
          <t>IOS Aarav</t>
        </is>
      </c>
      <c r="E2094" s="16" t="n">
        <v>21487.89</v>
      </c>
      <c r="F2094" s="16" t="n">
        <v>6446.37</v>
      </c>
      <c r="G2094" s="17" t="n">
        <v>30</v>
      </c>
      <c r="H2094" s="16" t="n">
        <v>15041.52</v>
      </c>
      <c r="I2094" s="16" t="n">
        <v>0</v>
      </c>
    </row>
    <row r="2095">
      <c r="A2095" t="inlineStr">
        <is>
          <t>MTR-IOS-2093</t>
        </is>
      </c>
      <c r="B2095" t="inlineStr">
        <is>
          <t>Trip</t>
        </is>
      </c>
      <c r="C2095" t="inlineStr">
        <is>
          <t>PERCENTAGE</t>
        </is>
      </c>
      <c r="D2095" t="inlineStr">
        <is>
          <t>IOS Meera</t>
        </is>
      </c>
      <c r="E2095" s="16" t="n">
        <v>0</v>
      </c>
      <c r="F2095" s="16" t="n">
        <v>4297.57</v>
      </c>
      <c r="G2095" s="17" t="n">
        <v>20</v>
      </c>
      <c r="H2095" s="16" t="n">
        <v>-4297.57</v>
      </c>
      <c r="I2095" s="16" t="n">
        <v>0</v>
      </c>
    </row>
    <row r="2096">
      <c r="A2096" t="inlineStr">
        <is>
          <t>MTR-IOS-2096</t>
        </is>
      </c>
      <c r="B2096" t="inlineStr">
        <is>
          <t>Trip</t>
        </is>
      </c>
      <c r="C2096" t="inlineStr">
        <is>
          <t>EXACT</t>
        </is>
      </c>
      <c r="D2096" t="inlineStr">
        <is>
          <t>IOS Owner</t>
        </is>
      </c>
      <c r="E2096" s="16" t="n">
        <v>0</v>
      </c>
      <c r="F2096" s="16" t="n">
        <v>4041.16</v>
      </c>
      <c r="G2096" s="17" t="n"/>
      <c r="H2096" s="16" t="n">
        <v>-4041.16</v>
      </c>
      <c r="I2096" s="16" t="n">
        <v>0</v>
      </c>
    </row>
    <row r="2097">
      <c r="A2097" t="inlineStr">
        <is>
          <t>MTR-IOS-2096</t>
        </is>
      </c>
      <c r="B2097" t="inlineStr">
        <is>
          <t>Trip</t>
        </is>
      </c>
      <c r="C2097" t="inlineStr">
        <is>
          <t>EXACT</t>
        </is>
      </c>
      <c r="D2097" t="inlineStr">
        <is>
          <t>IOS Aarav</t>
        </is>
      </c>
      <c r="E2097" s="16" t="n">
        <v>0</v>
      </c>
      <c r="F2097" s="16" t="n">
        <v>4041.16</v>
      </c>
      <c r="G2097" s="17" t="n"/>
      <c r="H2097" s="16" t="n">
        <v>-4041.16</v>
      </c>
      <c r="I2097" s="16" t="n">
        <v>0</v>
      </c>
    </row>
    <row r="2098">
      <c r="A2098" t="inlineStr">
        <is>
          <t>MTR-IOS-2096</t>
        </is>
      </c>
      <c r="B2098" t="inlineStr">
        <is>
          <t>Trip</t>
        </is>
      </c>
      <c r="C2098" t="inlineStr">
        <is>
          <t>EXACT</t>
        </is>
      </c>
      <c r="D2098" t="inlineStr">
        <is>
          <t>IOS Meera</t>
        </is>
      </c>
      <c r="E2098" s="16" t="n">
        <v>12135.63</v>
      </c>
      <c r="F2098" s="16" t="n">
        <v>4053.31</v>
      </c>
      <c r="G2098" s="17" t="n"/>
      <c r="H2098" s="16" t="n">
        <v>8082.32</v>
      </c>
      <c r="I2098" s="16" t="n">
        <v>0</v>
      </c>
    </row>
    <row r="2099">
      <c r="A2099" t="inlineStr">
        <is>
          <t>MTR-IOS-2099</t>
        </is>
      </c>
      <c r="B2099" t="inlineStr">
        <is>
          <t>Trip</t>
        </is>
      </c>
      <c r="C2099" t="inlineStr">
        <is>
          <t>SHARES</t>
        </is>
      </c>
      <c r="D2099" t="inlineStr">
        <is>
          <t>IOS Owner</t>
        </is>
      </c>
      <c r="E2099" s="16" t="n">
        <v>14596.29</v>
      </c>
      <c r="F2099" s="16" t="n">
        <v>7298.15</v>
      </c>
      <c r="G2099" s="17" t="n"/>
      <c r="H2099" s="16" t="n">
        <v>7298.14</v>
      </c>
      <c r="I2099" s="16" t="n">
        <v>0</v>
      </c>
    </row>
    <row r="2100">
      <c r="A2100" t="inlineStr">
        <is>
          <t>MTR-IOS-2099</t>
        </is>
      </c>
      <c r="B2100" t="inlineStr">
        <is>
          <t>Trip</t>
        </is>
      </c>
      <c r="C2100" t="inlineStr">
        <is>
          <t>SHARES</t>
        </is>
      </c>
      <c r="D2100" t="inlineStr">
        <is>
          <t>IOS Aarav</t>
        </is>
      </c>
      <c r="E2100" s="16" t="n">
        <v>0</v>
      </c>
      <c r="F2100" s="16" t="n">
        <v>4865.43</v>
      </c>
      <c r="G2100" s="17" t="n"/>
      <c r="H2100" s="16" t="n">
        <v>-4865.43</v>
      </c>
      <c r="I2100" s="16" t="n">
        <v>0</v>
      </c>
    </row>
    <row r="2101">
      <c r="A2101" t="inlineStr">
        <is>
          <t>MTR-IOS-2099</t>
        </is>
      </c>
      <c r="B2101" t="inlineStr">
        <is>
          <t>Trip</t>
        </is>
      </c>
      <c r="C2101" t="inlineStr">
        <is>
          <t>SHARES</t>
        </is>
      </c>
      <c r="D2101" t="inlineStr">
        <is>
          <t>IOS Meera</t>
        </is>
      </c>
      <c r="E2101" s="16" t="n">
        <v>0</v>
      </c>
      <c r="F2101" s="16" t="n">
        <v>2432.71</v>
      </c>
      <c r="G2101" s="17" t="n"/>
      <c r="H2101" s="16" t="n">
        <v>-2432.71</v>
      </c>
      <c r="I2101" s="16" t="n">
        <v>0</v>
      </c>
    </row>
    <row r="2102">
      <c r="A2102" t="inlineStr">
        <is>
          <t>MTR-IOS-2102</t>
        </is>
      </c>
      <c r="B2102" t="inlineStr">
        <is>
          <t>Trip</t>
        </is>
      </c>
      <c r="C2102" t="inlineStr">
        <is>
          <t>EQUAL</t>
        </is>
      </c>
      <c r="D2102" t="inlineStr">
        <is>
          <t>IOS Owner</t>
        </is>
      </c>
      <c r="E2102" s="16" t="n">
        <v>0</v>
      </c>
      <c r="F2102" s="16" t="n">
        <v>636.74</v>
      </c>
      <c r="G2102" s="17" t="n"/>
      <c r="H2102" s="16" t="n">
        <v>-636.74</v>
      </c>
      <c r="I2102" s="16" t="n">
        <v>0</v>
      </c>
    </row>
    <row r="2103">
      <c r="A2103" t="inlineStr">
        <is>
          <t>MTR-IOS-2102</t>
        </is>
      </c>
      <c r="B2103" t="inlineStr">
        <is>
          <t>Trip</t>
        </is>
      </c>
      <c r="C2103" t="inlineStr">
        <is>
          <t>EQUAL</t>
        </is>
      </c>
      <c r="D2103" t="inlineStr">
        <is>
          <t>IOS Aarav</t>
        </is>
      </c>
      <c r="E2103" s="16" t="n">
        <v>1910.22</v>
      </c>
      <c r="F2103" s="16" t="n">
        <v>636.74</v>
      </c>
      <c r="G2103" s="17" t="n"/>
      <c r="H2103" s="16" t="n">
        <v>1273.48</v>
      </c>
      <c r="I2103" s="16" t="n">
        <v>0</v>
      </c>
    </row>
    <row r="2104">
      <c r="A2104" t="inlineStr">
        <is>
          <t>MTR-IOS-2102</t>
        </is>
      </c>
      <c r="B2104" t="inlineStr">
        <is>
          <t>Trip</t>
        </is>
      </c>
      <c r="C2104" t="inlineStr">
        <is>
          <t>EQUAL</t>
        </is>
      </c>
      <c r="D2104" t="inlineStr">
        <is>
          <t>IOS Meera</t>
        </is>
      </c>
      <c r="E2104" s="16" t="n">
        <v>0</v>
      </c>
      <c r="F2104" s="16" t="n">
        <v>636.74</v>
      </c>
      <c r="G2104" s="17" t="n"/>
      <c r="H2104" s="16" t="n">
        <v>-636.74</v>
      </c>
      <c r="I2104" s="16" t="n">
        <v>0</v>
      </c>
    </row>
    <row r="2105">
      <c r="A2105" t="inlineStr">
        <is>
          <t>MTR-IOS-2105</t>
        </is>
      </c>
      <c r="B2105" t="inlineStr">
        <is>
          <t>Trip</t>
        </is>
      </c>
      <c r="C2105" t="inlineStr">
        <is>
          <t>PERCENTAGE</t>
        </is>
      </c>
      <c r="D2105" t="inlineStr">
        <is>
          <t>IOS Owner</t>
        </is>
      </c>
      <c r="E2105" s="16" t="n">
        <v>0</v>
      </c>
      <c r="F2105" s="16" t="n">
        <v>10979.61</v>
      </c>
      <c r="G2105" s="17" t="n">
        <v>50</v>
      </c>
      <c r="H2105" s="16" t="n">
        <v>-10979.61</v>
      </c>
      <c r="I2105" s="16" t="n">
        <v>0</v>
      </c>
    </row>
    <row r="2106">
      <c r="A2106" t="inlineStr">
        <is>
          <t>MTR-IOS-2105</t>
        </is>
      </c>
      <c r="B2106" t="inlineStr">
        <is>
          <t>Trip</t>
        </is>
      </c>
      <c r="C2106" t="inlineStr">
        <is>
          <t>PERCENTAGE</t>
        </is>
      </c>
      <c r="D2106" t="inlineStr">
        <is>
          <t>IOS Aarav</t>
        </is>
      </c>
      <c r="E2106" s="16" t="n">
        <v>0</v>
      </c>
      <c r="F2106" s="16" t="n">
        <v>6587.76</v>
      </c>
      <c r="G2106" s="17" t="n">
        <v>30</v>
      </c>
      <c r="H2106" s="16" t="n">
        <v>-6587.76</v>
      </c>
      <c r="I2106" s="16" t="n">
        <v>0</v>
      </c>
    </row>
    <row r="2107">
      <c r="A2107" t="inlineStr">
        <is>
          <t>MTR-IOS-2105</t>
        </is>
      </c>
      <c r="B2107" t="inlineStr">
        <is>
          <t>Trip</t>
        </is>
      </c>
      <c r="C2107" t="inlineStr">
        <is>
          <t>PERCENTAGE</t>
        </is>
      </c>
      <c r="D2107" t="inlineStr">
        <is>
          <t>IOS Meera</t>
        </is>
      </c>
      <c r="E2107" s="16" t="n">
        <v>21959.21</v>
      </c>
      <c r="F2107" s="16" t="n">
        <v>4391.84</v>
      </c>
      <c r="G2107" s="17" t="n">
        <v>20</v>
      </c>
      <c r="H2107" s="16" t="n">
        <v>17567.37</v>
      </c>
      <c r="I2107" s="16" t="n">
        <v>0</v>
      </c>
    </row>
    <row r="2108">
      <c r="A2108" t="inlineStr">
        <is>
          <t>MTR-IOS-2108</t>
        </is>
      </c>
      <c r="B2108" t="inlineStr">
        <is>
          <t>Trip</t>
        </is>
      </c>
      <c r="C2108" t="inlineStr">
        <is>
          <t>EXACT</t>
        </is>
      </c>
      <c r="D2108" t="inlineStr">
        <is>
          <t>IOS Owner</t>
        </is>
      </c>
      <c r="E2108" s="16" t="n">
        <v>26398.3</v>
      </c>
      <c r="F2108" s="16" t="n">
        <v>8790.629999999999</v>
      </c>
      <c r="G2108" s="17" t="n"/>
      <c r="H2108" s="16" t="n">
        <v>17607.67</v>
      </c>
      <c r="I2108" s="16" t="n">
        <v>0</v>
      </c>
    </row>
    <row r="2109">
      <c r="A2109" t="inlineStr">
        <is>
          <t>MTR-IOS-2108</t>
        </is>
      </c>
      <c r="B2109" t="inlineStr">
        <is>
          <t>Trip</t>
        </is>
      </c>
      <c r="C2109" t="inlineStr">
        <is>
          <t>EXACT</t>
        </is>
      </c>
      <c r="D2109" t="inlineStr">
        <is>
          <t>IOS Aarav</t>
        </is>
      </c>
      <c r="E2109" s="16" t="n">
        <v>0</v>
      </c>
      <c r="F2109" s="16" t="n">
        <v>8790.629999999999</v>
      </c>
      <c r="G2109" s="17" t="n"/>
      <c r="H2109" s="16" t="n">
        <v>-8790.629999999999</v>
      </c>
      <c r="I2109" s="16" t="n">
        <v>0</v>
      </c>
    </row>
    <row r="2110">
      <c r="A2110" t="inlineStr">
        <is>
          <t>MTR-IOS-2108</t>
        </is>
      </c>
      <c r="B2110" t="inlineStr">
        <is>
          <t>Trip</t>
        </is>
      </c>
      <c r="C2110" t="inlineStr">
        <is>
          <t>EXACT</t>
        </is>
      </c>
      <c r="D2110" t="inlineStr">
        <is>
          <t>IOS Meera</t>
        </is>
      </c>
      <c r="E2110" s="16" t="n">
        <v>0</v>
      </c>
      <c r="F2110" s="16" t="n">
        <v>8817.040000000001</v>
      </c>
      <c r="G2110" s="17" t="n"/>
      <c r="H2110" s="16" t="n">
        <v>-8817.040000000001</v>
      </c>
      <c r="I2110" s="16" t="n">
        <v>0</v>
      </c>
    </row>
    <row r="2111">
      <c r="A2111" t="inlineStr">
        <is>
          <t>MTR-IOS-2111</t>
        </is>
      </c>
      <c r="B2111" t="inlineStr">
        <is>
          <t>Wedding</t>
        </is>
      </c>
      <c r="C2111" t="inlineStr">
        <is>
          <t>SHARES</t>
        </is>
      </c>
      <c r="D2111" t="inlineStr">
        <is>
          <t>IOS Owner</t>
        </is>
      </c>
      <c r="E2111" s="16" t="n">
        <v>0</v>
      </c>
      <c r="F2111" s="16" t="n">
        <v>612.17</v>
      </c>
      <c r="G2111" s="17" t="n"/>
      <c r="H2111" s="16" t="n">
        <v>-612.17</v>
      </c>
      <c r="I2111" s="16" t="n">
        <v>0</v>
      </c>
    </row>
    <row r="2112">
      <c r="A2112" t="inlineStr">
        <is>
          <t>MTR-IOS-2111</t>
        </is>
      </c>
      <c r="B2112" t="inlineStr">
        <is>
          <t>Wedding</t>
        </is>
      </c>
      <c r="C2112" t="inlineStr">
        <is>
          <t>SHARES</t>
        </is>
      </c>
      <c r="D2112" t="inlineStr">
        <is>
          <t>IOS Aarav</t>
        </is>
      </c>
      <c r="E2112" s="16" t="n">
        <v>1224.33</v>
      </c>
      <c r="F2112" s="16" t="n">
        <v>408.11</v>
      </c>
      <c r="G2112" s="17" t="n"/>
      <c r="H2112" s="16" t="n">
        <v>816.22</v>
      </c>
      <c r="I2112" s="16" t="n">
        <v>0</v>
      </c>
    </row>
    <row r="2113">
      <c r="A2113" t="inlineStr">
        <is>
          <t>MTR-IOS-2111</t>
        </is>
      </c>
      <c r="B2113" t="inlineStr">
        <is>
          <t>Wedding</t>
        </is>
      </c>
      <c r="C2113" t="inlineStr">
        <is>
          <t>SHARES</t>
        </is>
      </c>
      <c r="D2113" t="inlineStr">
        <is>
          <t>IOS Meera</t>
        </is>
      </c>
      <c r="E2113" s="16" t="n">
        <v>0</v>
      </c>
      <c r="F2113" s="16" t="n">
        <v>204.05</v>
      </c>
      <c r="G2113" s="17" t="n"/>
      <c r="H2113" s="16" t="n">
        <v>-204.05</v>
      </c>
      <c r="I2113" s="16" t="n">
        <v>0</v>
      </c>
    </row>
    <row r="2114">
      <c r="A2114" t="inlineStr">
        <is>
          <t>MTR-IOS-2114</t>
        </is>
      </c>
      <c r="B2114" t="inlineStr">
        <is>
          <t>Wedding</t>
        </is>
      </c>
      <c r="C2114" t="inlineStr">
        <is>
          <t>EQUAL</t>
        </is>
      </c>
      <c r="D2114" t="inlineStr">
        <is>
          <t>IOS Owner</t>
        </is>
      </c>
      <c r="E2114" s="16" t="n">
        <v>0</v>
      </c>
      <c r="F2114" s="16" t="n">
        <v>5320.48</v>
      </c>
      <c r="G2114" s="17" t="n"/>
      <c r="H2114" s="16" t="n">
        <v>-5320.48</v>
      </c>
      <c r="I2114" s="16" t="n">
        <v>0</v>
      </c>
    </row>
    <row r="2115">
      <c r="A2115" t="inlineStr">
        <is>
          <t>MTR-IOS-2114</t>
        </is>
      </c>
      <c r="B2115" t="inlineStr">
        <is>
          <t>Wedding</t>
        </is>
      </c>
      <c r="C2115" t="inlineStr">
        <is>
          <t>EQUAL</t>
        </is>
      </c>
      <c r="D2115" t="inlineStr">
        <is>
          <t>IOS Aarav</t>
        </is>
      </c>
      <c r="E2115" s="16" t="n">
        <v>0</v>
      </c>
      <c r="F2115" s="16" t="n">
        <v>5320.48</v>
      </c>
      <c r="G2115" s="17" t="n"/>
      <c r="H2115" s="16" t="n">
        <v>-5320.48</v>
      </c>
      <c r="I2115" s="16" t="n">
        <v>0</v>
      </c>
    </row>
    <row r="2116">
      <c r="A2116" t="inlineStr">
        <is>
          <t>MTR-IOS-2114</t>
        </is>
      </c>
      <c r="B2116" t="inlineStr">
        <is>
          <t>Wedding</t>
        </is>
      </c>
      <c r="C2116" t="inlineStr">
        <is>
          <t>EQUAL</t>
        </is>
      </c>
      <c r="D2116" t="inlineStr">
        <is>
          <t>IOS Meera</t>
        </is>
      </c>
      <c r="E2116" s="16" t="n">
        <v>15961.44</v>
      </c>
      <c r="F2116" s="16" t="n">
        <v>5320.48</v>
      </c>
      <c r="G2116" s="17" t="n"/>
      <c r="H2116" s="16" t="n">
        <v>10640.96</v>
      </c>
      <c r="I2116" s="16" t="n">
        <v>0</v>
      </c>
    </row>
    <row r="2117">
      <c r="A2117" t="inlineStr">
        <is>
          <t>MTR-IOS-2117</t>
        </is>
      </c>
      <c r="B2117" t="inlineStr">
        <is>
          <t>Wedding</t>
        </is>
      </c>
      <c r="C2117" t="inlineStr">
        <is>
          <t>PERCENTAGE</t>
        </is>
      </c>
      <c r="D2117" t="inlineStr">
        <is>
          <t>IOS Owner</t>
        </is>
      </c>
      <c r="E2117" s="16" t="n">
        <v>17636.07</v>
      </c>
      <c r="F2117" s="16" t="n">
        <v>8818.040000000001</v>
      </c>
      <c r="G2117" s="17" t="n">
        <v>50</v>
      </c>
      <c r="H2117" s="16" t="n">
        <v>8818.030000000001</v>
      </c>
      <c r="I2117" s="16" t="n">
        <v>0</v>
      </c>
    </row>
    <row r="2118">
      <c r="A2118" t="inlineStr">
        <is>
          <t>MTR-IOS-2117</t>
        </is>
      </c>
      <c r="B2118" t="inlineStr">
        <is>
          <t>Wedding</t>
        </is>
      </c>
      <c r="C2118" t="inlineStr">
        <is>
          <t>PERCENTAGE</t>
        </is>
      </c>
      <c r="D2118" t="inlineStr">
        <is>
          <t>IOS Aarav</t>
        </is>
      </c>
      <c r="E2118" s="16" t="n">
        <v>0</v>
      </c>
      <c r="F2118" s="16" t="n">
        <v>5290.82</v>
      </c>
      <c r="G2118" s="17" t="n">
        <v>30</v>
      </c>
      <c r="H2118" s="16" t="n">
        <v>-5290.82</v>
      </c>
      <c r="I2118" s="16" t="n">
        <v>0</v>
      </c>
    </row>
    <row r="2119">
      <c r="A2119" t="inlineStr">
        <is>
          <t>MTR-IOS-2117</t>
        </is>
      </c>
      <c r="B2119" t="inlineStr">
        <is>
          <t>Wedding</t>
        </is>
      </c>
      <c r="C2119" t="inlineStr">
        <is>
          <t>PERCENTAGE</t>
        </is>
      </c>
      <c r="D2119" t="inlineStr">
        <is>
          <t>IOS Meera</t>
        </is>
      </c>
      <c r="E2119" s="16" t="n">
        <v>0</v>
      </c>
      <c r="F2119" s="16" t="n">
        <v>3527.21</v>
      </c>
      <c r="G2119" s="17" t="n">
        <v>20</v>
      </c>
      <c r="H2119" s="16" t="n">
        <v>-3527.21</v>
      </c>
      <c r="I2119" s="16" t="n">
        <v>0</v>
      </c>
    </row>
    <row r="2120">
      <c r="A2120" t="inlineStr">
        <is>
          <t>MTR-IOS-2120</t>
        </is>
      </c>
      <c r="B2120" t="inlineStr">
        <is>
          <t>Wedding</t>
        </is>
      </c>
      <c r="C2120" t="inlineStr">
        <is>
          <t>EXACT</t>
        </is>
      </c>
      <c r="D2120" t="inlineStr">
        <is>
          <t>IOS Owner</t>
        </is>
      </c>
      <c r="E2120" s="16" t="n">
        <v>0</v>
      </c>
      <c r="F2120" s="16" t="n">
        <v>6575.92</v>
      </c>
      <c r="G2120" s="17" t="n"/>
      <c r="H2120" s="16" t="n">
        <v>-6575.92</v>
      </c>
      <c r="I2120" s="16" t="n">
        <v>0</v>
      </c>
    </row>
    <row r="2121">
      <c r="A2121" t="inlineStr">
        <is>
          <t>MTR-IOS-2120</t>
        </is>
      </c>
      <c r="B2121" t="inlineStr">
        <is>
          <t>Wedding</t>
        </is>
      </c>
      <c r="C2121" t="inlineStr">
        <is>
          <t>EXACT</t>
        </is>
      </c>
      <c r="D2121" t="inlineStr">
        <is>
          <t>IOS Aarav</t>
        </is>
      </c>
      <c r="E2121" s="16" t="n">
        <v>19747.52</v>
      </c>
      <c r="F2121" s="16" t="n">
        <v>6575.92</v>
      </c>
      <c r="G2121" s="17" t="n"/>
      <c r="H2121" s="16" t="n">
        <v>13171.6</v>
      </c>
      <c r="I2121" s="16" t="n">
        <v>0</v>
      </c>
    </row>
    <row r="2122">
      <c r="A2122" t="inlineStr">
        <is>
          <t>MTR-IOS-2120</t>
        </is>
      </c>
      <c r="B2122" t="inlineStr">
        <is>
          <t>Wedding</t>
        </is>
      </c>
      <c r="C2122" t="inlineStr">
        <is>
          <t>EXACT</t>
        </is>
      </c>
      <c r="D2122" t="inlineStr">
        <is>
          <t>IOS Meera</t>
        </is>
      </c>
      <c r="E2122" s="16" t="n">
        <v>0</v>
      </c>
      <c r="F2122" s="16" t="n">
        <v>6595.68</v>
      </c>
      <c r="G2122" s="17" t="n"/>
      <c r="H2122" s="16" t="n">
        <v>-6595.68</v>
      </c>
      <c r="I2122" s="16" t="n">
        <v>0</v>
      </c>
    </row>
    <row r="2123">
      <c r="A2123" t="inlineStr">
        <is>
          <t>MTR-IOS-2123</t>
        </is>
      </c>
      <c r="B2123" t="inlineStr">
        <is>
          <t>Wedding</t>
        </is>
      </c>
      <c r="C2123" t="inlineStr">
        <is>
          <t>SHARES</t>
        </is>
      </c>
      <c r="D2123" t="inlineStr">
        <is>
          <t>IOS Owner</t>
        </is>
      </c>
      <c r="E2123" s="16" t="n">
        <v>0</v>
      </c>
      <c r="F2123" s="16" t="n">
        <v>13159.18</v>
      </c>
      <c r="G2123" s="17" t="n"/>
      <c r="H2123" s="16" t="n">
        <v>-13159.18</v>
      </c>
      <c r="I2123" s="16" t="n">
        <v>0</v>
      </c>
    </row>
    <row r="2124">
      <c r="A2124" t="inlineStr">
        <is>
          <t>MTR-IOS-2123</t>
        </is>
      </c>
      <c r="B2124" t="inlineStr">
        <is>
          <t>Wedding</t>
        </is>
      </c>
      <c r="C2124" t="inlineStr">
        <is>
          <t>SHARES</t>
        </is>
      </c>
      <c r="D2124" t="inlineStr">
        <is>
          <t>IOS Aarav</t>
        </is>
      </c>
      <c r="E2124" s="16" t="n">
        <v>0</v>
      </c>
      <c r="F2124" s="16" t="n">
        <v>8772.790000000001</v>
      </c>
      <c r="G2124" s="17" t="n"/>
      <c r="H2124" s="16" t="n">
        <v>-8772.790000000001</v>
      </c>
      <c r="I2124" s="16" t="n">
        <v>0</v>
      </c>
    </row>
    <row r="2125">
      <c r="A2125" t="inlineStr">
        <is>
          <t>MTR-IOS-2123</t>
        </is>
      </c>
      <c r="B2125" t="inlineStr">
        <is>
          <t>Wedding</t>
        </is>
      </c>
      <c r="C2125" t="inlineStr">
        <is>
          <t>SHARES</t>
        </is>
      </c>
      <c r="D2125" t="inlineStr">
        <is>
          <t>IOS Meera</t>
        </is>
      </c>
      <c r="E2125" s="16" t="n">
        <v>26318.36</v>
      </c>
      <c r="F2125" s="16" t="n">
        <v>4386.39</v>
      </c>
      <c r="G2125" s="17" t="n"/>
      <c r="H2125" s="16" t="n">
        <v>21931.97</v>
      </c>
      <c r="I2125" s="16" t="n">
        <v>0</v>
      </c>
    </row>
    <row r="2126">
      <c r="A2126" t="inlineStr">
        <is>
          <t>MTR-IOS-2126</t>
        </is>
      </c>
      <c r="B2126" t="inlineStr">
        <is>
          <t>Wedding</t>
        </is>
      </c>
      <c r="C2126" t="inlineStr">
        <is>
          <t>EQUAL</t>
        </is>
      </c>
      <c r="D2126" t="inlineStr">
        <is>
          <t>IOS Owner</t>
        </is>
      </c>
      <c r="E2126" s="16" t="n">
        <v>16683.61</v>
      </c>
      <c r="F2126" s="16" t="n">
        <v>5561.2</v>
      </c>
      <c r="G2126" s="17" t="n"/>
      <c r="H2126" s="16" t="n">
        <v>11122.41</v>
      </c>
      <c r="I2126" s="16" t="n">
        <v>0</v>
      </c>
    </row>
    <row r="2127">
      <c r="A2127" t="inlineStr">
        <is>
          <t>MTR-IOS-2126</t>
        </is>
      </c>
      <c r="B2127" t="inlineStr">
        <is>
          <t>Wedding</t>
        </is>
      </c>
      <c r="C2127" t="inlineStr">
        <is>
          <t>EQUAL</t>
        </is>
      </c>
      <c r="D2127" t="inlineStr">
        <is>
          <t>IOS Aarav</t>
        </is>
      </c>
      <c r="E2127" s="16" t="n">
        <v>0</v>
      </c>
      <c r="F2127" s="16" t="n">
        <v>5561.2</v>
      </c>
      <c r="G2127" s="17" t="n"/>
      <c r="H2127" s="16" t="n">
        <v>-5561.2</v>
      </c>
      <c r="I2127" s="16" t="n">
        <v>0</v>
      </c>
    </row>
    <row r="2128">
      <c r="A2128" t="inlineStr">
        <is>
          <t>MTR-IOS-2126</t>
        </is>
      </c>
      <c r="B2128" t="inlineStr">
        <is>
          <t>Wedding</t>
        </is>
      </c>
      <c r="C2128" t="inlineStr">
        <is>
          <t>EQUAL</t>
        </is>
      </c>
      <c r="D2128" t="inlineStr">
        <is>
          <t>IOS Meera</t>
        </is>
      </c>
      <c r="E2128" s="16" t="n">
        <v>0</v>
      </c>
      <c r="F2128" s="16" t="n">
        <v>5561.21</v>
      </c>
      <c r="G2128" s="17" t="n"/>
      <c r="H2128" s="16" t="n">
        <v>-5561.21</v>
      </c>
      <c r="I2128" s="16" t="n">
        <v>0</v>
      </c>
    </row>
    <row r="2129">
      <c r="A2129" t="inlineStr">
        <is>
          <t>MTR-IOS-2129</t>
        </is>
      </c>
      <c r="B2129" t="inlineStr">
        <is>
          <t>Wedding</t>
        </is>
      </c>
      <c r="C2129" t="inlineStr">
        <is>
          <t>PERCENTAGE</t>
        </is>
      </c>
      <c r="D2129" t="inlineStr">
        <is>
          <t>IOS Owner</t>
        </is>
      </c>
      <c r="E2129" s="16" t="n">
        <v>0</v>
      </c>
      <c r="F2129" s="16" t="n">
        <v>9060.040000000001</v>
      </c>
      <c r="G2129" s="17" t="n">
        <v>50</v>
      </c>
      <c r="H2129" s="16" t="n">
        <v>-9060.040000000001</v>
      </c>
      <c r="I2129" s="16" t="n">
        <v>0</v>
      </c>
    </row>
    <row r="2130">
      <c r="A2130" t="inlineStr">
        <is>
          <t>MTR-IOS-2129</t>
        </is>
      </c>
      <c r="B2130" t="inlineStr">
        <is>
          <t>Wedding</t>
        </is>
      </c>
      <c r="C2130" t="inlineStr">
        <is>
          <t>PERCENTAGE</t>
        </is>
      </c>
      <c r="D2130" t="inlineStr">
        <is>
          <t>IOS Aarav</t>
        </is>
      </c>
      <c r="E2130" s="16" t="n">
        <v>18120.07</v>
      </c>
      <c r="F2130" s="16" t="n">
        <v>5436.02</v>
      </c>
      <c r="G2130" s="17" t="n">
        <v>30</v>
      </c>
      <c r="H2130" s="16" t="n">
        <v>12684.05</v>
      </c>
      <c r="I2130" s="16" t="n">
        <v>0</v>
      </c>
    </row>
    <row r="2131">
      <c r="A2131" t="inlineStr">
        <is>
          <t>MTR-IOS-2129</t>
        </is>
      </c>
      <c r="B2131" t="inlineStr">
        <is>
          <t>Wedding</t>
        </is>
      </c>
      <c r="C2131" t="inlineStr">
        <is>
          <t>PERCENTAGE</t>
        </is>
      </c>
      <c r="D2131" t="inlineStr">
        <is>
          <t>IOS Meera</t>
        </is>
      </c>
      <c r="E2131" s="16" t="n">
        <v>0</v>
      </c>
      <c r="F2131" s="16" t="n">
        <v>3624.01</v>
      </c>
      <c r="G2131" s="17" t="n">
        <v>20</v>
      </c>
      <c r="H2131" s="16" t="n">
        <v>-3624.01</v>
      </c>
      <c r="I2131" s="16" t="n">
        <v>0</v>
      </c>
    </row>
    <row r="2132">
      <c r="A2132" t="inlineStr">
        <is>
          <t>MTR-IOS-2132</t>
        </is>
      </c>
      <c r="B2132" t="inlineStr">
        <is>
          <t>Office Outing</t>
        </is>
      </c>
      <c r="C2132" t="inlineStr">
        <is>
          <t>EXACT</t>
        </is>
      </c>
      <c r="D2132" t="inlineStr">
        <is>
          <t>IOS Owner</t>
        </is>
      </c>
      <c r="E2132" s="16" t="n">
        <v>0</v>
      </c>
      <c r="F2132" s="16" t="n">
        <v>7406.52</v>
      </c>
      <c r="G2132" s="17" t="n"/>
      <c r="H2132" s="16" t="n">
        <v>-7406.52</v>
      </c>
      <c r="I2132" s="16" t="n">
        <v>0</v>
      </c>
    </row>
    <row r="2133">
      <c r="A2133" t="inlineStr">
        <is>
          <t>MTR-IOS-2132</t>
        </is>
      </c>
      <c r="B2133" t="inlineStr">
        <is>
          <t>Office Outing</t>
        </is>
      </c>
      <c r="C2133" t="inlineStr">
        <is>
          <t>EXACT</t>
        </is>
      </c>
      <c r="D2133" t="inlineStr">
        <is>
          <t>IOS Aarav</t>
        </is>
      </c>
      <c r="E2133" s="16" t="n">
        <v>0</v>
      </c>
      <c r="F2133" s="16" t="n">
        <v>7406.52</v>
      </c>
      <c r="G2133" s="17" t="n"/>
      <c r="H2133" s="16" t="n">
        <v>-7406.52</v>
      </c>
      <c r="I2133" s="16" t="n">
        <v>0</v>
      </c>
    </row>
    <row r="2134">
      <c r="A2134" t="inlineStr">
        <is>
          <t>MTR-IOS-2132</t>
        </is>
      </c>
      <c r="B2134" t="inlineStr">
        <is>
          <t>Office Outing</t>
        </is>
      </c>
      <c r="C2134" t="inlineStr">
        <is>
          <t>EXACT</t>
        </is>
      </c>
      <c r="D2134" t="inlineStr">
        <is>
          <t>IOS Meera</t>
        </is>
      </c>
      <c r="E2134" s="16" t="n">
        <v>22241.8</v>
      </c>
      <c r="F2134" s="16" t="n">
        <v>7428.76</v>
      </c>
      <c r="G2134" s="17" t="n"/>
      <c r="H2134" s="16" t="n">
        <v>14813.04</v>
      </c>
      <c r="I2134" s="16" t="n">
        <v>0</v>
      </c>
    </row>
    <row r="2135">
      <c r="A2135" t="inlineStr">
        <is>
          <t>MTR-IOS-2135</t>
        </is>
      </c>
      <c r="B2135" t="inlineStr">
        <is>
          <t>Office Outing</t>
        </is>
      </c>
      <c r="C2135" t="inlineStr">
        <is>
          <t>SHARES</t>
        </is>
      </c>
      <c r="D2135" t="inlineStr">
        <is>
          <t>IOS Owner</t>
        </is>
      </c>
      <c r="E2135" s="16" t="n">
        <v>6944.63</v>
      </c>
      <c r="F2135" s="16" t="n">
        <v>3472.32</v>
      </c>
      <c r="G2135" s="17" t="n"/>
      <c r="H2135" s="16" t="n">
        <v>3472.31</v>
      </c>
      <c r="I2135" s="16" t="n">
        <v>0</v>
      </c>
    </row>
    <row r="2136">
      <c r="A2136" t="inlineStr">
        <is>
          <t>MTR-IOS-2135</t>
        </is>
      </c>
      <c r="B2136" t="inlineStr">
        <is>
          <t>Office Outing</t>
        </is>
      </c>
      <c r="C2136" t="inlineStr">
        <is>
          <t>SHARES</t>
        </is>
      </c>
      <c r="D2136" t="inlineStr">
        <is>
          <t>IOS Aarav</t>
        </is>
      </c>
      <c r="E2136" s="16" t="n">
        <v>0</v>
      </c>
      <c r="F2136" s="16" t="n">
        <v>2314.88</v>
      </c>
      <c r="G2136" s="17" t="n"/>
      <c r="H2136" s="16" t="n">
        <v>-2314.88</v>
      </c>
      <c r="I2136" s="16" t="n">
        <v>0</v>
      </c>
    </row>
    <row r="2137">
      <c r="A2137" t="inlineStr">
        <is>
          <t>MTR-IOS-2135</t>
        </is>
      </c>
      <c r="B2137" t="inlineStr">
        <is>
          <t>Office Outing</t>
        </is>
      </c>
      <c r="C2137" t="inlineStr">
        <is>
          <t>SHARES</t>
        </is>
      </c>
      <c r="D2137" t="inlineStr">
        <is>
          <t>IOS Meera</t>
        </is>
      </c>
      <c r="E2137" s="16" t="n">
        <v>0</v>
      </c>
      <c r="F2137" s="16" t="n">
        <v>1157.43</v>
      </c>
      <c r="G2137" s="17" t="n"/>
      <c r="H2137" s="16" t="n">
        <v>-1157.43</v>
      </c>
      <c r="I2137" s="16" t="n">
        <v>0</v>
      </c>
    </row>
    <row r="2138">
      <c r="A2138" t="inlineStr">
        <is>
          <t>MTR-IOS-2138</t>
        </is>
      </c>
      <c r="B2138" t="inlineStr">
        <is>
          <t>Office Outing</t>
        </is>
      </c>
      <c r="C2138" t="inlineStr">
        <is>
          <t>EQUAL</t>
        </is>
      </c>
      <c r="D2138" t="inlineStr">
        <is>
          <t>IOS Owner</t>
        </is>
      </c>
      <c r="E2138" s="16" t="n">
        <v>0</v>
      </c>
      <c r="F2138" s="16" t="n">
        <v>6467.92</v>
      </c>
      <c r="G2138" s="17" t="n"/>
      <c r="H2138" s="16" t="n">
        <v>-6467.92</v>
      </c>
      <c r="I2138" s="16" t="n">
        <v>0</v>
      </c>
    </row>
    <row r="2139">
      <c r="A2139" t="inlineStr">
        <is>
          <t>MTR-IOS-2138</t>
        </is>
      </c>
      <c r="B2139" t="inlineStr">
        <is>
          <t>Office Outing</t>
        </is>
      </c>
      <c r="C2139" t="inlineStr">
        <is>
          <t>EQUAL</t>
        </is>
      </c>
      <c r="D2139" t="inlineStr">
        <is>
          <t>IOS Aarav</t>
        </is>
      </c>
      <c r="E2139" s="16" t="n">
        <v>19403.76</v>
      </c>
      <c r="F2139" s="16" t="n">
        <v>6467.92</v>
      </c>
      <c r="G2139" s="17" t="n"/>
      <c r="H2139" s="16" t="n">
        <v>12935.84</v>
      </c>
      <c r="I2139" s="16" t="n">
        <v>0</v>
      </c>
    </row>
    <row r="2140">
      <c r="A2140" t="inlineStr">
        <is>
          <t>MTR-IOS-2138</t>
        </is>
      </c>
      <c r="B2140" t="inlineStr">
        <is>
          <t>Office Outing</t>
        </is>
      </c>
      <c r="C2140" t="inlineStr">
        <is>
          <t>EQUAL</t>
        </is>
      </c>
      <c r="D2140" t="inlineStr">
        <is>
          <t>IOS Meera</t>
        </is>
      </c>
      <c r="E2140" s="16" t="n">
        <v>0</v>
      </c>
      <c r="F2140" s="16" t="n">
        <v>6467.92</v>
      </c>
      <c r="G2140" s="17" t="n"/>
      <c r="H2140" s="16" t="n">
        <v>-6467.92</v>
      </c>
      <c r="I2140" s="16" t="n">
        <v>0</v>
      </c>
    </row>
    <row r="2141">
      <c r="A2141" t="inlineStr">
        <is>
          <t>MTR-IOS-2141</t>
        </is>
      </c>
      <c r="B2141" t="inlineStr">
        <is>
          <t>Office Outing</t>
        </is>
      </c>
      <c r="C2141" t="inlineStr">
        <is>
          <t>PERCENTAGE</t>
        </is>
      </c>
      <c r="D2141" t="inlineStr">
        <is>
          <t>IOS Owner</t>
        </is>
      </c>
      <c r="E2141" s="16" t="n">
        <v>0</v>
      </c>
      <c r="F2141" s="16" t="n">
        <v>13049.19</v>
      </c>
      <c r="G2141" s="17" t="n">
        <v>50</v>
      </c>
      <c r="H2141" s="16" t="n">
        <v>-13049.19</v>
      </c>
      <c r="I2141" s="16" t="n">
        <v>0</v>
      </c>
    </row>
    <row r="2142">
      <c r="A2142" t="inlineStr">
        <is>
          <t>MTR-IOS-2141</t>
        </is>
      </c>
      <c r="B2142" t="inlineStr">
        <is>
          <t>Office Outing</t>
        </is>
      </c>
      <c r="C2142" t="inlineStr">
        <is>
          <t>PERCENTAGE</t>
        </is>
      </c>
      <c r="D2142" t="inlineStr">
        <is>
          <t>IOS Aarav</t>
        </is>
      </c>
      <c r="E2142" s="16" t="n">
        <v>0</v>
      </c>
      <c r="F2142" s="16" t="n">
        <v>7829.51</v>
      </c>
      <c r="G2142" s="17" t="n">
        <v>30</v>
      </c>
      <c r="H2142" s="16" t="n">
        <v>-7829.51</v>
      </c>
      <c r="I2142" s="16" t="n">
        <v>0</v>
      </c>
    </row>
    <row r="2143">
      <c r="A2143" t="inlineStr">
        <is>
          <t>MTR-IOS-2141</t>
        </is>
      </c>
      <c r="B2143" t="inlineStr">
        <is>
          <t>Office Outing</t>
        </is>
      </c>
      <c r="C2143" t="inlineStr">
        <is>
          <t>PERCENTAGE</t>
        </is>
      </c>
      <c r="D2143" t="inlineStr">
        <is>
          <t>IOS Meera</t>
        </is>
      </c>
      <c r="E2143" s="16" t="n">
        <v>26098.37</v>
      </c>
      <c r="F2143" s="16" t="n">
        <v>5219.67</v>
      </c>
      <c r="G2143" s="17" t="n">
        <v>20</v>
      </c>
      <c r="H2143" s="16" t="n">
        <v>20878.7</v>
      </c>
      <c r="I2143" s="16" t="n">
        <v>0</v>
      </c>
    </row>
    <row r="2144">
      <c r="A2144" t="inlineStr">
        <is>
          <t>MTR-IOS-2144</t>
        </is>
      </c>
      <c r="B2144" t="inlineStr">
        <is>
          <t>Office Outing</t>
        </is>
      </c>
      <c r="C2144" t="inlineStr">
        <is>
          <t>EXACT</t>
        </is>
      </c>
      <c r="D2144" t="inlineStr">
        <is>
          <t>IOS Owner</t>
        </is>
      </c>
      <c r="E2144" s="16" t="n">
        <v>10807.79</v>
      </c>
      <c r="F2144" s="16" t="n">
        <v>3598.99</v>
      </c>
      <c r="G2144" s="17" t="n"/>
      <c r="H2144" s="16" t="n">
        <v>7208.8</v>
      </c>
      <c r="I2144" s="16" t="n">
        <v>0</v>
      </c>
    </row>
    <row r="2145">
      <c r="A2145" t="inlineStr">
        <is>
          <t>MTR-IOS-2144</t>
        </is>
      </c>
      <c r="B2145" t="inlineStr">
        <is>
          <t>Office Outing</t>
        </is>
      </c>
      <c r="C2145" t="inlineStr">
        <is>
          <t>EXACT</t>
        </is>
      </c>
      <c r="D2145" t="inlineStr">
        <is>
          <t>IOS Aarav</t>
        </is>
      </c>
      <c r="E2145" s="16" t="n">
        <v>0</v>
      </c>
      <c r="F2145" s="16" t="n">
        <v>3598.99</v>
      </c>
      <c r="G2145" s="17" t="n"/>
      <c r="H2145" s="16" t="n">
        <v>-3598.99</v>
      </c>
      <c r="I2145" s="16" t="n">
        <v>0</v>
      </c>
    </row>
    <row r="2146">
      <c r="A2146" t="inlineStr">
        <is>
          <t>MTR-IOS-2144</t>
        </is>
      </c>
      <c r="B2146" t="inlineStr">
        <is>
          <t>Office Outing</t>
        </is>
      </c>
      <c r="C2146" t="inlineStr">
        <is>
          <t>EXACT</t>
        </is>
      </c>
      <c r="D2146" t="inlineStr">
        <is>
          <t>IOS Meera</t>
        </is>
      </c>
      <c r="E2146" s="16" t="n">
        <v>0</v>
      </c>
      <c r="F2146" s="16" t="n">
        <v>3609.81</v>
      </c>
      <c r="G2146" s="17" t="n"/>
      <c r="H2146" s="16" t="n">
        <v>-3609.81</v>
      </c>
      <c r="I2146" s="16" t="n">
        <v>0</v>
      </c>
    </row>
    <row r="2147">
      <c r="A2147" t="inlineStr">
        <is>
          <t>MTR-IOS-2147</t>
        </is>
      </c>
      <c r="B2147" t="inlineStr">
        <is>
          <t>House Party</t>
        </is>
      </c>
      <c r="C2147" t="inlineStr">
        <is>
          <t>SHARES</t>
        </is>
      </c>
      <c r="D2147" t="inlineStr">
        <is>
          <t>IOS Owner</t>
        </is>
      </c>
      <c r="E2147" s="16" t="n">
        <v>0</v>
      </c>
      <c r="F2147" s="16" t="n">
        <v>11295.14</v>
      </c>
      <c r="G2147" s="17" t="n"/>
      <c r="H2147" s="16" t="n">
        <v>-11295.14</v>
      </c>
      <c r="I2147" s="16" t="n">
        <v>0</v>
      </c>
    </row>
    <row r="2148">
      <c r="A2148" t="inlineStr">
        <is>
          <t>MTR-IOS-2147</t>
        </is>
      </c>
      <c r="B2148" t="inlineStr">
        <is>
          <t>House Party</t>
        </is>
      </c>
      <c r="C2148" t="inlineStr">
        <is>
          <t>SHARES</t>
        </is>
      </c>
      <c r="D2148" t="inlineStr">
        <is>
          <t>IOS Aarav</t>
        </is>
      </c>
      <c r="E2148" s="16" t="n">
        <v>22590.27</v>
      </c>
      <c r="F2148" s="16" t="n">
        <v>7530.09</v>
      </c>
      <c r="G2148" s="17" t="n"/>
      <c r="H2148" s="16" t="n">
        <v>15060.18</v>
      </c>
      <c r="I2148" s="16" t="n">
        <v>0</v>
      </c>
    </row>
    <row r="2149">
      <c r="A2149" t="inlineStr">
        <is>
          <t>MTR-IOS-2147</t>
        </is>
      </c>
      <c r="B2149" t="inlineStr">
        <is>
          <t>House Party</t>
        </is>
      </c>
      <c r="C2149" t="inlineStr">
        <is>
          <t>SHARES</t>
        </is>
      </c>
      <c r="D2149" t="inlineStr">
        <is>
          <t>IOS Meera</t>
        </is>
      </c>
      <c r="E2149" s="16" t="n">
        <v>0</v>
      </c>
      <c r="F2149" s="16" t="n">
        <v>3765.04</v>
      </c>
      <c r="G2149" s="17" t="n"/>
      <c r="H2149" s="16" t="n">
        <v>-3765.04</v>
      </c>
      <c r="I2149" s="16" t="n">
        <v>0</v>
      </c>
    </row>
    <row r="2150">
      <c r="A2150" t="inlineStr">
        <is>
          <t>MTR-IOS-2150</t>
        </is>
      </c>
      <c r="B2150" t="inlineStr">
        <is>
          <t>House Party</t>
        </is>
      </c>
      <c r="C2150" t="inlineStr">
        <is>
          <t>EQUAL</t>
        </is>
      </c>
      <c r="D2150" t="inlineStr">
        <is>
          <t>IOS Owner</t>
        </is>
      </c>
      <c r="E2150" s="16" t="n">
        <v>0</v>
      </c>
      <c r="F2150" s="16" t="n">
        <v>6196.45</v>
      </c>
      <c r="G2150" s="17" t="n"/>
      <c r="H2150" s="16" t="n">
        <v>-6196.45</v>
      </c>
      <c r="I2150" s="16" t="n">
        <v>0</v>
      </c>
    </row>
    <row r="2151">
      <c r="A2151" t="inlineStr">
        <is>
          <t>MTR-IOS-2150</t>
        </is>
      </c>
      <c r="B2151" t="inlineStr">
        <is>
          <t>House Party</t>
        </is>
      </c>
      <c r="C2151" t="inlineStr">
        <is>
          <t>EQUAL</t>
        </is>
      </c>
      <c r="D2151" t="inlineStr">
        <is>
          <t>IOS Aarav</t>
        </is>
      </c>
      <c r="E2151" s="16" t="n">
        <v>0</v>
      </c>
      <c r="F2151" s="16" t="n">
        <v>6196.45</v>
      </c>
      <c r="G2151" s="17" t="n"/>
      <c r="H2151" s="16" t="n">
        <v>-6196.45</v>
      </c>
      <c r="I2151" s="16" t="n">
        <v>0</v>
      </c>
    </row>
    <row r="2152">
      <c r="A2152" t="inlineStr">
        <is>
          <t>MTR-IOS-2150</t>
        </is>
      </c>
      <c r="B2152" t="inlineStr">
        <is>
          <t>House Party</t>
        </is>
      </c>
      <c r="C2152" t="inlineStr">
        <is>
          <t>EQUAL</t>
        </is>
      </c>
      <c r="D2152" t="inlineStr">
        <is>
          <t>IOS Meera</t>
        </is>
      </c>
      <c r="E2152" s="16" t="n">
        <v>18589.34</v>
      </c>
      <c r="F2152" s="16" t="n">
        <v>6196.44</v>
      </c>
      <c r="G2152" s="17" t="n"/>
      <c r="H2152" s="16" t="n">
        <v>12392.9</v>
      </c>
      <c r="I2152" s="16" t="n">
        <v>0</v>
      </c>
    </row>
    <row r="2153">
      <c r="A2153" t="inlineStr">
        <is>
          <t>MTR-IOS-2153</t>
        </is>
      </c>
      <c r="B2153" t="inlineStr">
        <is>
          <t>House Party</t>
        </is>
      </c>
      <c r="C2153" t="inlineStr">
        <is>
          <t>PERCENTAGE</t>
        </is>
      </c>
      <c r="D2153" t="inlineStr">
        <is>
          <t>IOS Owner</t>
        </is>
      </c>
      <c r="E2153" s="16" t="n">
        <v>7566.29</v>
      </c>
      <c r="F2153" s="16" t="n">
        <v>3783.15</v>
      </c>
      <c r="G2153" s="17" t="n">
        <v>50</v>
      </c>
      <c r="H2153" s="16" t="n">
        <v>3783.14</v>
      </c>
      <c r="I2153" s="16" t="n">
        <v>0</v>
      </c>
    </row>
    <row r="2154">
      <c r="A2154" t="inlineStr">
        <is>
          <t>MTR-IOS-2153</t>
        </is>
      </c>
      <c r="B2154" t="inlineStr">
        <is>
          <t>House Party</t>
        </is>
      </c>
      <c r="C2154" t="inlineStr">
        <is>
          <t>PERCENTAGE</t>
        </is>
      </c>
      <c r="D2154" t="inlineStr">
        <is>
          <t>IOS Aarav</t>
        </is>
      </c>
      <c r="E2154" s="16" t="n">
        <v>0</v>
      </c>
      <c r="F2154" s="16" t="n">
        <v>2269.89</v>
      </c>
      <c r="G2154" s="17" t="n">
        <v>30</v>
      </c>
      <c r="H2154" s="16" t="n">
        <v>-2269.89</v>
      </c>
      <c r="I2154" s="16" t="n">
        <v>0</v>
      </c>
    </row>
    <row r="2155">
      <c r="A2155" t="inlineStr">
        <is>
          <t>MTR-IOS-2153</t>
        </is>
      </c>
      <c r="B2155" t="inlineStr">
        <is>
          <t>House Party</t>
        </is>
      </c>
      <c r="C2155" t="inlineStr">
        <is>
          <t>PERCENTAGE</t>
        </is>
      </c>
      <c r="D2155" t="inlineStr">
        <is>
          <t>IOS Meera</t>
        </is>
      </c>
      <c r="E2155" s="16" t="n">
        <v>0</v>
      </c>
      <c r="F2155" s="16" t="n">
        <v>1513.25</v>
      </c>
      <c r="G2155" s="17" t="n">
        <v>20</v>
      </c>
      <c r="H2155" s="16" t="n">
        <v>-1513.25</v>
      </c>
      <c r="I2155" s="16" t="n">
        <v>0</v>
      </c>
    </row>
    <row r="2156">
      <c r="A2156" t="inlineStr">
        <is>
          <t>MTR-IOS-2156</t>
        </is>
      </c>
      <c r="B2156" t="inlineStr">
        <is>
          <t>House Party</t>
        </is>
      </c>
      <c r="C2156" t="inlineStr">
        <is>
          <t>EXACT</t>
        </is>
      </c>
      <c r="D2156" t="inlineStr">
        <is>
          <t>IOS Owner</t>
        </is>
      </c>
      <c r="E2156" s="16" t="n">
        <v>0</v>
      </c>
      <c r="F2156" s="16" t="n">
        <v>6774.27</v>
      </c>
      <c r="G2156" s="17" t="n"/>
      <c r="H2156" s="16" t="n">
        <v>-6774.27</v>
      </c>
      <c r="I2156" s="16" t="n">
        <v>0</v>
      </c>
    </row>
    <row r="2157">
      <c r="A2157" t="inlineStr">
        <is>
          <t>MTR-IOS-2156</t>
        </is>
      </c>
      <c r="B2157" t="inlineStr">
        <is>
          <t>House Party</t>
        </is>
      </c>
      <c r="C2157" t="inlineStr">
        <is>
          <t>EXACT</t>
        </is>
      </c>
      <c r="D2157" t="inlineStr">
        <is>
          <t>IOS Aarav</t>
        </is>
      </c>
      <c r="E2157" s="16" t="n">
        <v>20343.15</v>
      </c>
      <c r="F2157" s="16" t="n">
        <v>6774.27</v>
      </c>
      <c r="G2157" s="17" t="n"/>
      <c r="H2157" s="16" t="n">
        <v>13568.88</v>
      </c>
      <c r="I2157" s="16" t="n">
        <v>0</v>
      </c>
    </row>
    <row r="2158">
      <c r="A2158" t="inlineStr">
        <is>
          <t>MTR-IOS-2156</t>
        </is>
      </c>
      <c r="B2158" t="inlineStr">
        <is>
          <t>House Party</t>
        </is>
      </c>
      <c r="C2158" t="inlineStr">
        <is>
          <t>EXACT</t>
        </is>
      </c>
      <c r="D2158" t="inlineStr">
        <is>
          <t>IOS Meera</t>
        </is>
      </c>
      <c r="E2158" s="16" t="n">
        <v>0</v>
      </c>
      <c r="F2158" s="16" t="n">
        <v>6794.61</v>
      </c>
      <c r="G2158" s="17" t="n"/>
      <c r="H2158" s="16" t="n">
        <v>-6794.61</v>
      </c>
      <c r="I2158" s="16" t="n">
        <v>0</v>
      </c>
    </row>
    <row r="2159">
      <c r="A2159" t="inlineStr">
        <is>
          <t>MTR-IOS-2159</t>
        </is>
      </c>
      <c r="B2159" t="inlineStr">
        <is>
          <t>House Party</t>
        </is>
      </c>
      <c r="C2159" t="inlineStr">
        <is>
          <t>SHARES</t>
        </is>
      </c>
      <c r="D2159" t="inlineStr">
        <is>
          <t>IOS Owner</t>
        </is>
      </c>
      <c r="E2159" s="16" t="n">
        <v>0</v>
      </c>
      <c r="F2159" s="16" t="n">
        <v>9871.860000000001</v>
      </c>
      <c r="G2159" s="17" t="n"/>
      <c r="H2159" s="16" t="n">
        <v>-9871.860000000001</v>
      </c>
      <c r="I2159" s="16" t="n">
        <v>0</v>
      </c>
    </row>
    <row r="2160">
      <c r="A2160" t="inlineStr">
        <is>
          <t>MTR-IOS-2159</t>
        </is>
      </c>
      <c r="B2160" t="inlineStr">
        <is>
          <t>House Party</t>
        </is>
      </c>
      <c r="C2160" t="inlineStr">
        <is>
          <t>SHARES</t>
        </is>
      </c>
      <c r="D2160" t="inlineStr">
        <is>
          <t>IOS Aarav</t>
        </is>
      </c>
      <c r="E2160" s="16" t="n">
        <v>0</v>
      </c>
      <c r="F2160" s="16" t="n">
        <v>6581.24</v>
      </c>
      <c r="G2160" s="17" t="n"/>
      <c r="H2160" s="16" t="n">
        <v>-6581.24</v>
      </c>
      <c r="I2160" s="16" t="n">
        <v>0</v>
      </c>
    </row>
    <row r="2161">
      <c r="A2161" t="inlineStr">
        <is>
          <t>MTR-IOS-2159</t>
        </is>
      </c>
      <c r="B2161" t="inlineStr">
        <is>
          <t>House Party</t>
        </is>
      </c>
      <c r="C2161" t="inlineStr">
        <is>
          <t>SHARES</t>
        </is>
      </c>
      <c r="D2161" t="inlineStr">
        <is>
          <t>IOS Meera</t>
        </is>
      </c>
      <c r="E2161" s="16" t="n">
        <v>19743.71</v>
      </c>
      <c r="F2161" s="16" t="n">
        <v>3290.61</v>
      </c>
      <c r="G2161" s="17" t="n"/>
      <c r="H2161" s="16" t="n">
        <v>16453.1</v>
      </c>
      <c r="I2161" s="16" t="n">
        <v>0</v>
      </c>
    </row>
    <row r="2162">
      <c r="A2162" t="inlineStr">
        <is>
          <t>MTR-IOS-2162</t>
        </is>
      </c>
      <c r="B2162" t="inlineStr">
        <is>
          <t>Gift Pool</t>
        </is>
      </c>
      <c r="C2162" t="inlineStr">
        <is>
          <t>EQUAL</t>
        </is>
      </c>
      <c r="D2162" t="inlineStr">
        <is>
          <t>IOS Owner</t>
        </is>
      </c>
      <c r="E2162" s="16" t="n">
        <v>25631.33</v>
      </c>
      <c r="F2162" s="16" t="n">
        <v>8543.780000000001</v>
      </c>
      <c r="G2162" s="17" t="n"/>
      <c r="H2162" s="16" t="n">
        <v>17087.55</v>
      </c>
      <c r="I2162" s="16" t="n">
        <v>0</v>
      </c>
    </row>
    <row r="2163">
      <c r="A2163" t="inlineStr">
        <is>
          <t>MTR-IOS-2162</t>
        </is>
      </c>
      <c r="B2163" t="inlineStr">
        <is>
          <t>Gift Pool</t>
        </is>
      </c>
      <c r="C2163" t="inlineStr">
        <is>
          <t>EQUAL</t>
        </is>
      </c>
      <c r="D2163" t="inlineStr">
        <is>
          <t>IOS Aarav</t>
        </is>
      </c>
      <c r="E2163" s="16" t="n">
        <v>0</v>
      </c>
      <c r="F2163" s="16" t="n">
        <v>8543.780000000001</v>
      </c>
      <c r="G2163" s="17" t="n"/>
      <c r="H2163" s="16" t="n">
        <v>-8543.780000000001</v>
      </c>
      <c r="I2163" s="16" t="n">
        <v>0</v>
      </c>
    </row>
    <row r="2164">
      <c r="A2164" t="inlineStr">
        <is>
          <t>MTR-IOS-2162</t>
        </is>
      </c>
      <c r="B2164" t="inlineStr">
        <is>
          <t>Gift Pool</t>
        </is>
      </c>
      <c r="C2164" t="inlineStr">
        <is>
          <t>EQUAL</t>
        </is>
      </c>
      <c r="D2164" t="inlineStr">
        <is>
          <t>IOS Meera</t>
        </is>
      </c>
      <c r="E2164" s="16" t="n">
        <v>0</v>
      </c>
      <c r="F2164" s="16" t="n">
        <v>8543.77</v>
      </c>
      <c r="G2164" s="17" t="n"/>
      <c r="H2164" s="16" t="n">
        <v>-8543.77</v>
      </c>
      <c r="I2164" s="16" t="n">
        <v>0</v>
      </c>
    </row>
    <row r="2165">
      <c r="A2165" t="inlineStr">
        <is>
          <t>MTR-IOS-2165</t>
        </is>
      </c>
      <c r="B2165" t="inlineStr">
        <is>
          <t>Gift Pool</t>
        </is>
      </c>
      <c r="C2165" t="inlineStr">
        <is>
          <t>PERCENTAGE</t>
        </is>
      </c>
      <c r="D2165" t="inlineStr">
        <is>
          <t>IOS Owner</t>
        </is>
      </c>
      <c r="E2165" s="16" t="n">
        <v>0</v>
      </c>
      <c r="F2165" s="16" t="n">
        <v>2327.23</v>
      </c>
      <c r="G2165" s="17" t="n">
        <v>50</v>
      </c>
      <c r="H2165" s="16" t="n">
        <v>-2327.23</v>
      </c>
      <c r="I2165" s="16" t="n">
        <v>0</v>
      </c>
    </row>
    <row r="2166">
      <c r="A2166" t="inlineStr">
        <is>
          <t>MTR-IOS-2165</t>
        </is>
      </c>
      <c r="B2166" t="inlineStr">
        <is>
          <t>Gift Pool</t>
        </is>
      </c>
      <c r="C2166" t="inlineStr">
        <is>
          <t>PERCENTAGE</t>
        </is>
      </c>
      <c r="D2166" t="inlineStr">
        <is>
          <t>IOS Aarav</t>
        </is>
      </c>
      <c r="E2166" s="16" t="n">
        <v>4654.46</v>
      </c>
      <c r="F2166" s="16" t="n">
        <v>1396.34</v>
      </c>
      <c r="G2166" s="17" t="n">
        <v>30</v>
      </c>
      <c r="H2166" s="16" t="n">
        <v>3258.12</v>
      </c>
      <c r="I2166" s="16" t="n">
        <v>0</v>
      </c>
    </row>
    <row r="2167">
      <c r="A2167" t="inlineStr">
        <is>
          <t>MTR-IOS-2165</t>
        </is>
      </c>
      <c r="B2167" t="inlineStr">
        <is>
          <t>Gift Pool</t>
        </is>
      </c>
      <c r="C2167" t="inlineStr">
        <is>
          <t>PERCENTAGE</t>
        </is>
      </c>
      <c r="D2167" t="inlineStr">
        <is>
          <t>IOS Meera</t>
        </is>
      </c>
      <c r="E2167" s="16" t="n">
        <v>0</v>
      </c>
      <c r="F2167" s="16" t="n">
        <v>930.89</v>
      </c>
      <c r="G2167" s="17" t="n">
        <v>20</v>
      </c>
      <c r="H2167" s="16" t="n">
        <v>-930.89</v>
      </c>
      <c r="I2167" s="16" t="n">
        <v>0</v>
      </c>
    </row>
    <row r="2168">
      <c r="A2168" t="inlineStr">
        <is>
          <t>MTR-IOS-2168</t>
        </is>
      </c>
      <c r="B2168" t="inlineStr">
        <is>
          <t>Gift Pool</t>
        </is>
      </c>
      <c r="C2168" t="inlineStr">
        <is>
          <t>EXACT</t>
        </is>
      </c>
      <c r="D2168" t="inlineStr">
        <is>
          <t>IOS Owner</t>
        </is>
      </c>
      <c r="E2168" s="16" t="n">
        <v>0</v>
      </c>
      <c r="F2168" s="16" t="n">
        <v>35.22</v>
      </c>
      <c r="G2168" s="17" t="n"/>
      <c r="H2168" s="16" t="n">
        <v>-35.22</v>
      </c>
      <c r="I2168" s="16" t="n">
        <v>0</v>
      </c>
    </row>
    <row r="2169">
      <c r="A2169" t="inlineStr">
        <is>
          <t>MTR-IOS-2168</t>
        </is>
      </c>
      <c r="B2169" t="inlineStr">
        <is>
          <t>Gift Pool</t>
        </is>
      </c>
      <c r="C2169" t="inlineStr">
        <is>
          <t>EXACT</t>
        </is>
      </c>
      <c r="D2169" t="inlineStr">
        <is>
          <t>IOS Aarav</t>
        </is>
      </c>
      <c r="E2169" s="16" t="n">
        <v>0</v>
      </c>
      <c r="F2169" s="16" t="n">
        <v>35.22</v>
      </c>
      <c r="G2169" s="17" t="n"/>
      <c r="H2169" s="16" t="n">
        <v>-35.22</v>
      </c>
      <c r="I2169" s="16" t="n">
        <v>0</v>
      </c>
    </row>
    <row r="2170">
      <c r="A2170" t="inlineStr">
        <is>
          <t>MTR-IOS-2168</t>
        </is>
      </c>
      <c r="B2170" t="inlineStr">
        <is>
          <t>Gift Pool</t>
        </is>
      </c>
      <c r="C2170" t="inlineStr">
        <is>
          <t>EXACT</t>
        </is>
      </c>
      <c r="D2170" t="inlineStr">
        <is>
          <t>IOS Meera</t>
        </is>
      </c>
      <c r="E2170" s="16" t="n">
        <v>105.78</v>
      </c>
      <c r="F2170" s="16" t="n">
        <v>35.34</v>
      </c>
      <c r="G2170" s="17" t="n"/>
      <c r="H2170" s="16" t="n">
        <v>70.44</v>
      </c>
      <c r="I2170" s="16" t="n">
        <v>0</v>
      </c>
    </row>
    <row r="2171">
      <c r="A2171" t="inlineStr">
        <is>
          <t>MTR-IOS-2171</t>
        </is>
      </c>
      <c r="B2171" t="inlineStr">
        <is>
          <t>Gift Pool</t>
        </is>
      </c>
      <c r="C2171" t="inlineStr">
        <is>
          <t>SHARES</t>
        </is>
      </c>
      <c r="D2171" t="inlineStr">
        <is>
          <t>IOS Owner</t>
        </is>
      </c>
      <c r="E2171" s="16" t="n">
        <v>23623.64</v>
      </c>
      <c r="F2171" s="16" t="n">
        <v>11811.82</v>
      </c>
      <c r="G2171" s="17" t="n"/>
      <c r="H2171" s="16" t="n">
        <v>11811.82</v>
      </c>
      <c r="I2171" s="16" t="n">
        <v>0</v>
      </c>
    </row>
    <row r="2172">
      <c r="A2172" t="inlineStr">
        <is>
          <t>MTR-IOS-2171</t>
        </is>
      </c>
      <c r="B2172" t="inlineStr">
        <is>
          <t>Gift Pool</t>
        </is>
      </c>
      <c r="C2172" t="inlineStr">
        <is>
          <t>SHARES</t>
        </is>
      </c>
      <c r="D2172" t="inlineStr">
        <is>
          <t>IOS Aarav</t>
        </is>
      </c>
      <c r="E2172" s="16" t="n">
        <v>0</v>
      </c>
      <c r="F2172" s="16" t="n">
        <v>7874.55</v>
      </c>
      <c r="G2172" s="17" t="n"/>
      <c r="H2172" s="16" t="n">
        <v>-7874.55</v>
      </c>
      <c r="I2172" s="16" t="n">
        <v>0</v>
      </c>
    </row>
    <row r="2173">
      <c r="A2173" t="inlineStr">
        <is>
          <t>MTR-IOS-2171</t>
        </is>
      </c>
      <c r="B2173" t="inlineStr">
        <is>
          <t>Gift Pool</t>
        </is>
      </c>
      <c r="C2173" t="inlineStr">
        <is>
          <t>SHARES</t>
        </is>
      </c>
      <c r="D2173" t="inlineStr">
        <is>
          <t>IOS Meera</t>
        </is>
      </c>
      <c r="E2173" s="16" t="n">
        <v>0</v>
      </c>
      <c r="F2173" s="16" t="n">
        <v>3937.27</v>
      </c>
      <c r="G2173" s="17" t="n"/>
      <c r="H2173" s="16" t="n">
        <v>-3937.27</v>
      </c>
      <c r="I2173" s="16" t="n">
        <v>0</v>
      </c>
    </row>
    <row r="2174">
      <c r="A2174" t="inlineStr">
        <is>
          <t>MTR-IOS-2174</t>
        </is>
      </c>
      <c r="B2174" t="inlineStr">
        <is>
          <t>Purchase</t>
        </is>
      </c>
      <c r="C2174" t="inlineStr">
        <is>
          <t>EQUAL</t>
        </is>
      </c>
      <c r="D2174" t="inlineStr">
        <is>
          <t>IOS Owner</t>
        </is>
      </c>
      <c r="E2174" s="16" t="n">
        <v>0</v>
      </c>
      <c r="F2174" s="16" t="n">
        <v>6302.33</v>
      </c>
      <c r="G2174" s="17" t="n"/>
      <c r="H2174" s="16" t="n">
        <v>-6302.33</v>
      </c>
      <c r="I2174" s="16" t="n">
        <v>0</v>
      </c>
    </row>
    <row r="2175">
      <c r="A2175" t="inlineStr">
        <is>
          <t>MTR-IOS-2174</t>
        </is>
      </c>
      <c r="B2175" t="inlineStr">
        <is>
          <t>Purchase</t>
        </is>
      </c>
      <c r="C2175" t="inlineStr">
        <is>
          <t>EQUAL</t>
        </is>
      </c>
      <c r="D2175" t="inlineStr">
        <is>
          <t>IOS Aarav</t>
        </is>
      </c>
      <c r="E2175" s="16" t="n">
        <v>18906.99</v>
      </c>
      <c r="F2175" s="16" t="n">
        <v>6302.33</v>
      </c>
      <c r="G2175" s="17" t="n"/>
      <c r="H2175" s="16" t="n">
        <v>12604.66</v>
      </c>
      <c r="I2175" s="16" t="n">
        <v>0</v>
      </c>
    </row>
    <row r="2176">
      <c r="A2176" t="inlineStr">
        <is>
          <t>MTR-IOS-2174</t>
        </is>
      </c>
      <c r="B2176" t="inlineStr">
        <is>
          <t>Purchase</t>
        </is>
      </c>
      <c r="C2176" t="inlineStr">
        <is>
          <t>EQUAL</t>
        </is>
      </c>
      <c r="D2176" t="inlineStr">
        <is>
          <t>IOS Meera</t>
        </is>
      </c>
      <c r="E2176" s="16" t="n">
        <v>0</v>
      </c>
      <c r="F2176" s="16" t="n">
        <v>6302.33</v>
      </c>
      <c r="G2176" s="17" t="n"/>
      <c r="H2176" s="16" t="n">
        <v>-6302.33</v>
      </c>
      <c r="I2176" s="16" t="n">
        <v>0</v>
      </c>
    </row>
    <row r="2177">
      <c r="A2177" t="inlineStr">
        <is>
          <t>MTR-IOS-2177</t>
        </is>
      </c>
      <c r="B2177" t="inlineStr">
        <is>
          <t>Purchase</t>
        </is>
      </c>
      <c r="C2177" t="inlineStr">
        <is>
          <t>PERCENTAGE</t>
        </is>
      </c>
      <c r="D2177" t="inlineStr">
        <is>
          <t>IOS Owner</t>
        </is>
      </c>
      <c r="E2177" s="16" t="n">
        <v>0</v>
      </c>
      <c r="F2177" s="16" t="n">
        <v>3370.66</v>
      </c>
      <c r="G2177" s="17" t="n">
        <v>50</v>
      </c>
      <c r="H2177" s="16" t="n">
        <v>-3370.66</v>
      </c>
      <c r="I2177" s="16" t="n">
        <v>0</v>
      </c>
    </row>
    <row r="2178">
      <c r="A2178" t="inlineStr">
        <is>
          <t>MTR-IOS-2177</t>
        </is>
      </c>
      <c r="B2178" t="inlineStr">
        <is>
          <t>Purchase</t>
        </is>
      </c>
      <c r="C2178" t="inlineStr">
        <is>
          <t>PERCENTAGE</t>
        </is>
      </c>
      <c r="D2178" t="inlineStr">
        <is>
          <t>IOS Aarav</t>
        </is>
      </c>
      <c r="E2178" s="16" t="n">
        <v>0</v>
      </c>
      <c r="F2178" s="16" t="n">
        <v>2022.4</v>
      </c>
      <c r="G2178" s="17" t="n">
        <v>30</v>
      </c>
      <c r="H2178" s="16" t="n">
        <v>-2022.4</v>
      </c>
      <c r="I2178" s="16" t="n">
        <v>0</v>
      </c>
    </row>
    <row r="2179">
      <c r="A2179" t="inlineStr">
        <is>
          <t>MTR-IOS-2177</t>
        </is>
      </c>
      <c r="B2179" t="inlineStr">
        <is>
          <t>Purchase</t>
        </is>
      </c>
      <c r="C2179" t="inlineStr">
        <is>
          <t>PERCENTAGE</t>
        </is>
      </c>
      <c r="D2179" t="inlineStr">
        <is>
          <t>IOS Meera</t>
        </is>
      </c>
      <c r="E2179" s="16" t="n">
        <v>6741.32</v>
      </c>
      <c r="F2179" s="16" t="n">
        <v>1348.26</v>
      </c>
      <c r="G2179" s="17" t="n">
        <v>20</v>
      </c>
      <c r="H2179" s="16" t="n">
        <v>5393.06</v>
      </c>
      <c r="I2179" s="16" t="n">
        <v>0</v>
      </c>
    </row>
    <row r="2180">
      <c r="A2180" t="inlineStr">
        <is>
          <t>MTR-IOS-2180</t>
        </is>
      </c>
      <c r="B2180" t="inlineStr">
        <is>
          <t>Purchase</t>
        </is>
      </c>
      <c r="C2180" t="inlineStr">
        <is>
          <t>EXACT</t>
        </is>
      </c>
      <c r="D2180" t="inlineStr">
        <is>
          <t>IOS Owner</t>
        </is>
      </c>
      <c r="E2180" s="16" t="n">
        <v>752.41</v>
      </c>
      <c r="F2180" s="16" t="n">
        <v>250.55</v>
      </c>
      <c r="G2180" s="17" t="n"/>
      <c r="H2180" s="16" t="n">
        <v>501.86</v>
      </c>
      <c r="I2180" s="16" t="n">
        <v>0</v>
      </c>
    </row>
    <row r="2181">
      <c r="A2181" t="inlineStr">
        <is>
          <t>MTR-IOS-2180</t>
        </is>
      </c>
      <c r="B2181" t="inlineStr">
        <is>
          <t>Purchase</t>
        </is>
      </c>
      <c r="C2181" t="inlineStr">
        <is>
          <t>EXACT</t>
        </is>
      </c>
      <c r="D2181" t="inlineStr">
        <is>
          <t>IOS Aarav</t>
        </is>
      </c>
      <c r="E2181" s="16" t="n">
        <v>0</v>
      </c>
      <c r="F2181" s="16" t="n">
        <v>250.55</v>
      </c>
      <c r="G2181" s="17" t="n"/>
      <c r="H2181" s="16" t="n">
        <v>-250.55</v>
      </c>
      <c r="I2181" s="16" t="n">
        <v>0</v>
      </c>
    </row>
    <row r="2182">
      <c r="A2182" t="inlineStr">
        <is>
          <t>MTR-IOS-2180</t>
        </is>
      </c>
      <c r="B2182" t="inlineStr">
        <is>
          <t>Purchase</t>
        </is>
      </c>
      <c r="C2182" t="inlineStr">
        <is>
          <t>EXACT</t>
        </is>
      </c>
      <c r="D2182" t="inlineStr">
        <is>
          <t>IOS Meera</t>
        </is>
      </c>
      <c r="E2182" s="16" t="n">
        <v>0</v>
      </c>
      <c r="F2182" s="16" t="n">
        <v>251.31</v>
      </c>
      <c r="G2182" s="17" t="n"/>
      <c r="H2182" s="16" t="n">
        <v>-251.31</v>
      </c>
      <c r="I2182" s="16" t="n">
        <v>0</v>
      </c>
    </row>
    <row r="2183">
      <c r="A2183" t="inlineStr">
        <is>
          <t>MTR-IOS-2183</t>
        </is>
      </c>
      <c r="B2183" t="inlineStr">
        <is>
          <t>Purchase</t>
        </is>
      </c>
      <c r="C2183" t="inlineStr">
        <is>
          <t>SHARES</t>
        </is>
      </c>
      <c r="D2183" t="inlineStr">
        <is>
          <t>IOS Owner</t>
        </is>
      </c>
      <c r="E2183" s="16" t="n">
        <v>0</v>
      </c>
      <c r="F2183" s="16" t="n">
        <v>5000</v>
      </c>
      <c r="G2183" s="17" t="n"/>
      <c r="H2183" s="16" t="n">
        <v>-5000</v>
      </c>
      <c r="I2183" s="16" t="n">
        <v>0</v>
      </c>
    </row>
    <row r="2184">
      <c r="A2184" t="inlineStr">
        <is>
          <t>MTR-IOS-2183</t>
        </is>
      </c>
      <c r="B2184" t="inlineStr">
        <is>
          <t>Purchase</t>
        </is>
      </c>
      <c r="C2184" t="inlineStr">
        <is>
          <t>SHARES</t>
        </is>
      </c>
      <c r="D2184" t="inlineStr">
        <is>
          <t>IOS Aarav</t>
        </is>
      </c>
      <c r="E2184" s="16" t="n">
        <v>10000</v>
      </c>
      <c r="F2184" s="16" t="n">
        <v>3333.33</v>
      </c>
      <c r="G2184" s="17" t="n"/>
      <c r="H2184" s="16" t="n">
        <v>6666.67</v>
      </c>
      <c r="I2184" s="16" t="n">
        <v>0</v>
      </c>
    </row>
    <row r="2185">
      <c r="A2185" t="inlineStr">
        <is>
          <t>MTR-IOS-2183</t>
        </is>
      </c>
      <c r="B2185" t="inlineStr">
        <is>
          <t>Purchase</t>
        </is>
      </c>
      <c r="C2185" t="inlineStr">
        <is>
          <t>SHARES</t>
        </is>
      </c>
      <c r="D2185" t="inlineStr">
        <is>
          <t>IOS Meera</t>
        </is>
      </c>
      <c r="E2185" s="16" t="n">
        <v>0</v>
      </c>
      <c r="F2185" s="16" t="n">
        <v>1666.67</v>
      </c>
      <c r="G2185" s="17" t="n"/>
      <c r="H2185" s="16" t="n">
        <v>-1666.67</v>
      </c>
      <c r="I2185" s="16" t="n">
        <v>0</v>
      </c>
    </row>
    <row r="2186">
      <c r="A2186" t="inlineStr">
        <is>
          <t>MTR-IOS-2186</t>
        </is>
      </c>
      <c r="B2186" t="inlineStr">
        <is>
          <t>Assets</t>
        </is>
      </c>
      <c r="C2186" t="inlineStr">
        <is>
          <t>EQUAL</t>
        </is>
      </c>
      <c r="D2186" t="inlineStr">
        <is>
          <t>IOS Owner</t>
        </is>
      </c>
      <c r="E2186" s="16" t="n">
        <v>0</v>
      </c>
      <c r="F2186" s="16" t="n">
        <v>43.7</v>
      </c>
      <c r="G2186" s="17" t="n"/>
      <c r="H2186" s="16" t="n">
        <v>-43.7</v>
      </c>
      <c r="I2186" s="16" t="n">
        <v>0</v>
      </c>
    </row>
    <row r="2187">
      <c r="A2187" t="inlineStr">
        <is>
          <t>MTR-IOS-2186</t>
        </is>
      </c>
      <c r="B2187" t="inlineStr">
        <is>
          <t>Assets</t>
        </is>
      </c>
      <c r="C2187" t="inlineStr">
        <is>
          <t>EQUAL</t>
        </is>
      </c>
      <c r="D2187" t="inlineStr">
        <is>
          <t>IOS Aarav</t>
        </is>
      </c>
      <c r="E2187" s="16" t="n">
        <v>0</v>
      </c>
      <c r="F2187" s="16" t="n">
        <v>43.7</v>
      </c>
      <c r="G2187" s="17" t="n"/>
      <c r="H2187" s="16" t="n">
        <v>-43.7</v>
      </c>
      <c r="I2187" s="16" t="n">
        <v>0</v>
      </c>
    </row>
    <row r="2188">
      <c r="A2188" t="inlineStr">
        <is>
          <t>MTR-IOS-2186</t>
        </is>
      </c>
      <c r="B2188" t="inlineStr">
        <is>
          <t>Assets</t>
        </is>
      </c>
      <c r="C2188" t="inlineStr">
        <is>
          <t>EQUAL</t>
        </is>
      </c>
      <c r="D2188" t="inlineStr">
        <is>
          <t>IOS Meera</t>
        </is>
      </c>
      <c r="E2188" s="16" t="n">
        <v>131.1</v>
      </c>
      <c r="F2188" s="16" t="n">
        <v>43.7</v>
      </c>
      <c r="G2188" s="17" t="n"/>
      <c r="H2188" s="16" t="n">
        <v>87.40000000000001</v>
      </c>
      <c r="I2188" s="16" t="n">
        <v>0</v>
      </c>
    </row>
    <row r="2189">
      <c r="A2189" t="inlineStr">
        <is>
          <t>MTR-IOS-2189</t>
        </is>
      </c>
      <c r="B2189" t="inlineStr">
        <is>
          <t>Assets</t>
        </is>
      </c>
      <c r="C2189" t="inlineStr">
        <is>
          <t>PERCENTAGE</t>
        </is>
      </c>
      <c r="D2189" t="inlineStr">
        <is>
          <t>IOS Owner</t>
        </is>
      </c>
      <c r="E2189" s="16" t="n">
        <v>14475.33</v>
      </c>
      <c r="F2189" s="16" t="n">
        <v>7237.67</v>
      </c>
      <c r="G2189" s="17" t="n">
        <v>50</v>
      </c>
      <c r="H2189" s="16" t="n">
        <v>7237.66</v>
      </c>
      <c r="I2189" s="16" t="n">
        <v>0</v>
      </c>
    </row>
    <row r="2190">
      <c r="A2190" t="inlineStr">
        <is>
          <t>MTR-IOS-2189</t>
        </is>
      </c>
      <c r="B2190" t="inlineStr">
        <is>
          <t>Assets</t>
        </is>
      </c>
      <c r="C2190" t="inlineStr">
        <is>
          <t>PERCENTAGE</t>
        </is>
      </c>
      <c r="D2190" t="inlineStr">
        <is>
          <t>IOS Aarav</t>
        </is>
      </c>
      <c r="E2190" s="16" t="n">
        <v>0</v>
      </c>
      <c r="F2190" s="16" t="n">
        <v>4342.6</v>
      </c>
      <c r="G2190" s="17" t="n">
        <v>30</v>
      </c>
      <c r="H2190" s="16" t="n">
        <v>-4342.6</v>
      </c>
      <c r="I2190" s="16" t="n">
        <v>0</v>
      </c>
    </row>
    <row r="2191">
      <c r="A2191" t="inlineStr">
        <is>
          <t>MTR-IOS-2189</t>
        </is>
      </c>
      <c r="B2191" t="inlineStr">
        <is>
          <t>Assets</t>
        </is>
      </c>
      <c r="C2191" t="inlineStr">
        <is>
          <t>PERCENTAGE</t>
        </is>
      </c>
      <c r="D2191" t="inlineStr">
        <is>
          <t>IOS Meera</t>
        </is>
      </c>
      <c r="E2191" s="16" t="n">
        <v>0</v>
      </c>
      <c r="F2191" s="16" t="n">
        <v>2895.06</v>
      </c>
      <c r="G2191" s="17" t="n">
        <v>20</v>
      </c>
      <c r="H2191" s="16" t="n">
        <v>-2895.06</v>
      </c>
      <c r="I2191" s="16" t="n">
        <v>0</v>
      </c>
    </row>
    <row r="2192">
      <c r="A2192" t="inlineStr">
        <is>
          <t>MTR-IOS-2192</t>
        </is>
      </c>
      <c r="B2192" t="inlineStr">
        <is>
          <t>Assets</t>
        </is>
      </c>
      <c r="C2192" t="inlineStr">
        <is>
          <t>EXACT</t>
        </is>
      </c>
      <c r="D2192" t="inlineStr">
        <is>
          <t>IOS Owner</t>
        </is>
      </c>
      <c r="E2192" s="16" t="n">
        <v>0</v>
      </c>
      <c r="F2192" s="16" t="n">
        <v>510.94</v>
      </c>
      <c r="G2192" s="17" t="n"/>
      <c r="H2192" s="16" t="n">
        <v>-510.94</v>
      </c>
      <c r="I2192" s="16" t="n">
        <v>0</v>
      </c>
    </row>
    <row r="2193">
      <c r="A2193" t="inlineStr">
        <is>
          <t>MTR-IOS-2192</t>
        </is>
      </c>
      <c r="B2193" t="inlineStr">
        <is>
          <t>Assets</t>
        </is>
      </c>
      <c r="C2193" t="inlineStr">
        <is>
          <t>EXACT</t>
        </is>
      </c>
      <c r="D2193" t="inlineStr">
        <is>
          <t>IOS Aarav</t>
        </is>
      </c>
      <c r="E2193" s="16" t="n">
        <v>1534.34</v>
      </c>
      <c r="F2193" s="16" t="n">
        <v>510.94</v>
      </c>
      <c r="G2193" s="17" t="n"/>
      <c r="H2193" s="16" t="n">
        <v>1023.4</v>
      </c>
      <c r="I2193" s="16" t="n">
        <v>0</v>
      </c>
    </row>
    <row r="2194">
      <c r="A2194" t="inlineStr">
        <is>
          <t>MTR-IOS-2192</t>
        </is>
      </c>
      <c r="B2194" t="inlineStr">
        <is>
          <t>Assets</t>
        </is>
      </c>
      <c r="C2194" t="inlineStr">
        <is>
          <t>EXACT</t>
        </is>
      </c>
      <c r="D2194" t="inlineStr">
        <is>
          <t>IOS Meera</t>
        </is>
      </c>
      <c r="E2194" s="16" t="n">
        <v>0</v>
      </c>
      <c r="F2194" s="16" t="n">
        <v>512.46</v>
      </c>
      <c r="G2194" s="17" t="n"/>
      <c r="H2194" s="16" t="n">
        <v>-512.46</v>
      </c>
      <c r="I2194" s="16" t="n">
        <v>0</v>
      </c>
    </row>
    <row r="2195">
      <c r="A2195" t="inlineStr">
        <is>
          <t>MTR-IOS-2195</t>
        </is>
      </c>
      <c r="B2195" t="inlineStr">
        <is>
          <t>Assets</t>
        </is>
      </c>
      <c r="C2195" t="inlineStr">
        <is>
          <t>SHARES</t>
        </is>
      </c>
      <c r="D2195" t="inlineStr">
        <is>
          <t>IOS Owner</t>
        </is>
      </c>
      <c r="E2195" s="16" t="n">
        <v>0</v>
      </c>
      <c r="F2195" s="16" t="n">
        <v>4052.14</v>
      </c>
      <c r="G2195" s="17" t="n"/>
      <c r="H2195" s="16" t="n">
        <v>-4052.14</v>
      </c>
      <c r="I2195" s="16" t="n">
        <v>0</v>
      </c>
    </row>
    <row r="2196">
      <c r="A2196" t="inlineStr">
        <is>
          <t>MTR-IOS-2195</t>
        </is>
      </c>
      <c r="B2196" t="inlineStr">
        <is>
          <t>Assets</t>
        </is>
      </c>
      <c r="C2196" t="inlineStr">
        <is>
          <t>SHARES</t>
        </is>
      </c>
      <c r="D2196" t="inlineStr">
        <is>
          <t>IOS Aarav</t>
        </is>
      </c>
      <c r="E2196" s="16" t="n">
        <v>0</v>
      </c>
      <c r="F2196" s="16" t="n">
        <v>2701.42</v>
      </c>
      <c r="G2196" s="17" t="n"/>
      <c r="H2196" s="16" t="n">
        <v>-2701.42</v>
      </c>
      <c r="I2196" s="16" t="n">
        <v>0</v>
      </c>
    </row>
    <row r="2197">
      <c r="A2197" t="inlineStr">
        <is>
          <t>MTR-IOS-2195</t>
        </is>
      </c>
      <c r="B2197" t="inlineStr">
        <is>
          <t>Assets</t>
        </is>
      </c>
      <c r="C2197" t="inlineStr">
        <is>
          <t>SHARES</t>
        </is>
      </c>
      <c r="D2197" t="inlineStr">
        <is>
          <t>IOS Meera</t>
        </is>
      </c>
      <c r="E2197" s="16" t="n">
        <v>8104.27</v>
      </c>
      <c r="F2197" s="16" t="n">
        <v>1350.71</v>
      </c>
      <c r="G2197" s="17" t="n"/>
      <c r="H2197" s="16" t="n">
        <v>6753.56</v>
      </c>
      <c r="I2197" s="16" t="n">
        <v>0</v>
      </c>
    </row>
    <row r="2198">
      <c r="A2198" t="inlineStr">
        <is>
          <t>MTR-IOS-2198</t>
        </is>
      </c>
      <c r="B2198" t="inlineStr">
        <is>
          <t>Assets</t>
        </is>
      </c>
      <c r="C2198" t="inlineStr">
        <is>
          <t>EQUAL</t>
        </is>
      </c>
      <c r="D2198" t="inlineStr">
        <is>
          <t>IOS Owner</t>
        </is>
      </c>
      <c r="E2198" s="16" t="n">
        <v>5267.78</v>
      </c>
      <c r="F2198" s="16" t="n">
        <v>1755.93</v>
      </c>
      <c r="G2198" s="17" t="n"/>
      <c r="H2198" s="16" t="n">
        <v>3511.85</v>
      </c>
      <c r="I2198" s="16" t="n">
        <v>0</v>
      </c>
    </row>
    <row r="2199">
      <c r="A2199" t="inlineStr">
        <is>
          <t>MTR-IOS-2198</t>
        </is>
      </c>
      <c r="B2199" t="inlineStr">
        <is>
          <t>Assets</t>
        </is>
      </c>
      <c r="C2199" t="inlineStr">
        <is>
          <t>EQUAL</t>
        </is>
      </c>
      <c r="D2199" t="inlineStr">
        <is>
          <t>IOS Aarav</t>
        </is>
      </c>
      <c r="E2199" s="16" t="n">
        <v>0</v>
      </c>
      <c r="F2199" s="16" t="n">
        <v>1755.93</v>
      </c>
      <c r="G2199" s="17" t="n"/>
      <c r="H2199" s="16" t="n">
        <v>-1755.93</v>
      </c>
      <c r="I2199" s="16" t="n">
        <v>0</v>
      </c>
    </row>
    <row r="2200">
      <c r="A2200" t="inlineStr">
        <is>
          <t>MTR-IOS-2198</t>
        </is>
      </c>
      <c r="B2200" t="inlineStr">
        <is>
          <t>Assets</t>
        </is>
      </c>
      <c r="C2200" t="inlineStr">
        <is>
          <t>EQUAL</t>
        </is>
      </c>
      <c r="D2200" t="inlineStr">
        <is>
          <t>IOS Meera</t>
        </is>
      </c>
      <c r="E2200" s="16" t="n">
        <v>0</v>
      </c>
      <c r="F2200" s="16" t="n">
        <v>1755.92</v>
      </c>
      <c r="G2200" s="17" t="n"/>
      <c r="H2200" s="16" t="n">
        <v>-1755.92</v>
      </c>
      <c r="I2200" s="16" t="n">
        <v>0</v>
      </c>
    </row>
    <row r="2201">
      <c r="A2201" t="inlineStr">
        <is>
          <t>MTR-IOS-2201</t>
        </is>
      </c>
      <c r="B2201" t="inlineStr">
        <is>
          <t>Custom Purchase</t>
        </is>
      </c>
      <c r="C2201" t="inlineStr">
        <is>
          <t>PERCENTAGE</t>
        </is>
      </c>
      <c r="D2201" t="inlineStr">
        <is>
          <t>IOS Owner</t>
        </is>
      </c>
      <c r="E2201" s="16" t="n">
        <v>0</v>
      </c>
      <c r="F2201" s="16" t="n">
        <v>6762.03</v>
      </c>
      <c r="G2201" s="17" t="n">
        <v>50</v>
      </c>
      <c r="H2201" s="16" t="n">
        <v>-6762.03</v>
      </c>
      <c r="I2201" s="16" t="n">
        <v>0</v>
      </c>
    </row>
    <row r="2202">
      <c r="A2202" t="inlineStr">
        <is>
          <t>MTR-IOS-2201</t>
        </is>
      </c>
      <c r="B2202" t="inlineStr">
        <is>
          <t>Custom Purchase</t>
        </is>
      </c>
      <c r="C2202" t="inlineStr">
        <is>
          <t>PERCENTAGE</t>
        </is>
      </c>
      <c r="D2202" t="inlineStr">
        <is>
          <t>IOS Aarav</t>
        </is>
      </c>
      <c r="E2202" s="16" t="n">
        <v>13524.05</v>
      </c>
      <c r="F2202" s="16" t="n">
        <v>4057.22</v>
      </c>
      <c r="G2202" s="17" t="n">
        <v>30</v>
      </c>
      <c r="H2202" s="16" t="n">
        <v>9466.83</v>
      </c>
      <c r="I2202" s="16" t="n">
        <v>0</v>
      </c>
    </row>
    <row r="2203">
      <c r="A2203" t="inlineStr">
        <is>
          <t>MTR-IOS-2201</t>
        </is>
      </c>
      <c r="B2203" t="inlineStr">
        <is>
          <t>Custom Purchase</t>
        </is>
      </c>
      <c r="C2203" t="inlineStr">
        <is>
          <t>PERCENTAGE</t>
        </is>
      </c>
      <c r="D2203" t="inlineStr">
        <is>
          <t>IOS Meera</t>
        </is>
      </c>
      <c r="E2203" s="16" t="n">
        <v>0</v>
      </c>
      <c r="F2203" s="16" t="n">
        <v>2704.8</v>
      </c>
      <c r="G2203" s="17" t="n">
        <v>20</v>
      </c>
      <c r="H2203" s="16" t="n">
        <v>-2704.8</v>
      </c>
      <c r="I2203" s="16" t="n">
        <v>0</v>
      </c>
    </row>
    <row r="2204">
      <c r="A2204" t="inlineStr">
        <is>
          <t>MTR-IOS-2204</t>
        </is>
      </c>
      <c r="B2204" t="inlineStr">
        <is>
          <t>Custom Purchase</t>
        </is>
      </c>
      <c r="C2204" t="inlineStr">
        <is>
          <t>EXACT</t>
        </is>
      </c>
      <c r="D2204" t="inlineStr">
        <is>
          <t>IOS Owner</t>
        </is>
      </c>
      <c r="E2204" s="16" t="n">
        <v>0</v>
      </c>
      <c r="F2204" s="16" t="n">
        <v>4888.65</v>
      </c>
      <c r="G2204" s="17" t="n"/>
      <c r="H2204" s="16" t="n">
        <v>-4888.65</v>
      </c>
      <c r="I2204" s="16" t="n">
        <v>0</v>
      </c>
    </row>
    <row r="2205">
      <c r="A2205" t="inlineStr">
        <is>
          <t>MTR-IOS-2204</t>
        </is>
      </c>
      <c r="B2205" t="inlineStr">
        <is>
          <t>Custom Purchase</t>
        </is>
      </c>
      <c r="C2205" t="inlineStr">
        <is>
          <t>EXACT</t>
        </is>
      </c>
      <c r="D2205" t="inlineStr">
        <is>
          <t>IOS Aarav</t>
        </is>
      </c>
      <c r="E2205" s="16" t="n">
        <v>0</v>
      </c>
      <c r="F2205" s="16" t="n">
        <v>4888.65</v>
      </c>
      <c r="G2205" s="17" t="n"/>
      <c r="H2205" s="16" t="n">
        <v>-4888.65</v>
      </c>
      <c r="I2205" s="16" t="n">
        <v>0</v>
      </c>
    </row>
    <row r="2206">
      <c r="A2206" t="inlineStr">
        <is>
          <t>MTR-IOS-2204</t>
        </is>
      </c>
      <c r="B2206" t="inlineStr">
        <is>
          <t>Custom Purchase</t>
        </is>
      </c>
      <c r="C2206" t="inlineStr">
        <is>
          <t>EXACT</t>
        </is>
      </c>
      <c r="D2206" t="inlineStr">
        <is>
          <t>IOS Meera</t>
        </is>
      </c>
      <c r="E2206" s="16" t="n">
        <v>14680.63</v>
      </c>
      <c r="F2206" s="16" t="n">
        <v>4903.33</v>
      </c>
      <c r="G2206" s="17" t="n"/>
      <c r="H2206" s="16" t="n">
        <v>9777.299999999999</v>
      </c>
      <c r="I2206" s="16" t="n">
        <v>0</v>
      </c>
    </row>
    <row r="2207">
      <c r="A2207" t="inlineStr">
        <is>
          <t>MTR-IOS-2207</t>
        </is>
      </c>
      <c r="B2207" t="inlineStr">
        <is>
          <t>Flatmates</t>
        </is>
      </c>
      <c r="C2207" t="inlineStr">
        <is>
          <t>SHARES</t>
        </is>
      </c>
      <c r="D2207" t="inlineStr">
        <is>
          <t>IOS Owner</t>
        </is>
      </c>
      <c r="E2207" s="16" t="n">
        <v>2006.72</v>
      </c>
      <c r="F2207" s="16" t="n">
        <v>1003.36</v>
      </c>
      <c r="G2207" s="17" t="n"/>
      <c r="H2207" s="16" t="n">
        <v>1003.36</v>
      </c>
      <c r="I2207" s="16" t="n">
        <v>0</v>
      </c>
    </row>
    <row r="2208">
      <c r="A2208" t="inlineStr">
        <is>
          <t>MTR-IOS-2207</t>
        </is>
      </c>
      <c r="B2208" t="inlineStr">
        <is>
          <t>Flatmates</t>
        </is>
      </c>
      <c r="C2208" t="inlineStr">
        <is>
          <t>SHARES</t>
        </is>
      </c>
      <c r="D2208" t="inlineStr">
        <is>
          <t>IOS Aarav</t>
        </is>
      </c>
      <c r="E2208" s="16" t="n">
        <v>0</v>
      </c>
      <c r="F2208" s="16" t="n">
        <v>668.91</v>
      </c>
      <c r="G2208" s="17" t="n"/>
      <c r="H2208" s="16" t="n">
        <v>-668.91</v>
      </c>
      <c r="I2208" s="16" t="n">
        <v>0</v>
      </c>
    </row>
    <row r="2209">
      <c r="A2209" t="inlineStr">
        <is>
          <t>MTR-IOS-2207</t>
        </is>
      </c>
      <c r="B2209" t="inlineStr">
        <is>
          <t>Flatmates</t>
        </is>
      </c>
      <c r="C2209" t="inlineStr">
        <is>
          <t>SHARES</t>
        </is>
      </c>
      <c r="D2209" t="inlineStr">
        <is>
          <t>IOS Meera</t>
        </is>
      </c>
      <c r="E2209" s="16" t="n">
        <v>0</v>
      </c>
      <c r="F2209" s="16" t="n">
        <v>334.45</v>
      </c>
      <c r="G2209" s="17" t="n"/>
      <c r="H2209" s="16" t="n">
        <v>-334.45</v>
      </c>
      <c r="I2209" s="16" t="n">
        <v>0</v>
      </c>
    </row>
    <row r="2210">
      <c r="A2210" t="inlineStr">
        <is>
          <t>MTR-IOS-2210</t>
        </is>
      </c>
      <c r="B2210" t="inlineStr">
        <is>
          <t>Flatmates</t>
        </is>
      </c>
      <c r="C2210" t="inlineStr">
        <is>
          <t>EQUAL</t>
        </is>
      </c>
      <c r="D2210" t="inlineStr">
        <is>
          <t>IOS Owner</t>
        </is>
      </c>
      <c r="E2210" s="16" t="n">
        <v>0</v>
      </c>
      <c r="F2210" s="16" t="n">
        <v>3773.93</v>
      </c>
      <c r="G2210" s="17" t="n"/>
      <c r="H2210" s="16" t="n">
        <v>-3773.93</v>
      </c>
      <c r="I2210" s="16" t="n">
        <v>0</v>
      </c>
    </row>
    <row r="2211">
      <c r="A2211" t="inlineStr">
        <is>
          <t>MTR-IOS-2210</t>
        </is>
      </c>
      <c r="B2211" t="inlineStr">
        <is>
          <t>Flatmates</t>
        </is>
      </c>
      <c r="C2211" t="inlineStr">
        <is>
          <t>EQUAL</t>
        </is>
      </c>
      <c r="D2211" t="inlineStr">
        <is>
          <t>IOS Aarav</t>
        </is>
      </c>
      <c r="E2211" s="16" t="n">
        <v>11321.78</v>
      </c>
      <c r="F2211" s="16" t="n">
        <v>3773.93</v>
      </c>
      <c r="G2211" s="17" t="n"/>
      <c r="H2211" s="16" t="n">
        <v>7547.85</v>
      </c>
      <c r="I2211" s="16" t="n">
        <v>0</v>
      </c>
    </row>
    <row r="2212">
      <c r="A2212" t="inlineStr">
        <is>
          <t>MTR-IOS-2210</t>
        </is>
      </c>
      <c r="B2212" t="inlineStr">
        <is>
          <t>Flatmates</t>
        </is>
      </c>
      <c r="C2212" t="inlineStr">
        <is>
          <t>EQUAL</t>
        </is>
      </c>
      <c r="D2212" t="inlineStr">
        <is>
          <t>IOS Meera</t>
        </is>
      </c>
      <c r="E2212" s="16" t="n">
        <v>0</v>
      </c>
      <c r="F2212" s="16" t="n">
        <v>3773.92</v>
      </c>
      <c r="G2212" s="17" t="n"/>
      <c r="H2212" s="16" t="n">
        <v>-3773.92</v>
      </c>
      <c r="I2212" s="16" t="n">
        <v>0</v>
      </c>
    </row>
    <row r="2213">
      <c r="A2213" t="inlineStr">
        <is>
          <t>MTR-IOS-2213</t>
        </is>
      </c>
      <c r="B2213" t="inlineStr">
        <is>
          <t>Flatmates</t>
        </is>
      </c>
      <c r="C2213" t="inlineStr">
        <is>
          <t>PERCENTAGE</t>
        </is>
      </c>
      <c r="D2213" t="inlineStr">
        <is>
          <t>IOS Owner</t>
        </is>
      </c>
      <c r="E2213" s="16" t="n">
        <v>0</v>
      </c>
      <c r="F2213" s="16" t="n">
        <v>6308.6</v>
      </c>
      <c r="G2213" s="17" t="n">
        <v>50</v>
      </c>
      <c r="H2213" s="16" t="n">
        <v>-6308.6</v>
      </c>
      <c r="I2213" s="16" t="n">
        <v>0</v>
      </c>
    </row>
    <row r="2214">
      <c r="A2214" t="inlineStr">
        <is>
          <t>MTR-IOS-2213</t>
        </is>
      </c>
      <c r="B2214" t="inlineStr">
        <is>
          <t>Flatmates</t>
        </is>
      </c>
      <c r="C2214" t="inlineStr">
        <is>
          <t>PERCENTAGE</t>
        </is>
      </c>
      <c r="D2214" t="inlineStr">
        <is>
          <t>IOS Aarav</t>
        </is>
      </c>
      <c r="E2214" s="16" t="n">
        <v>0</v>
      </c>
      <c r="F2214" s="16" t="n">
        <v>3785.16</v>
      </c>
      <c r="G2214" s="17" t="n">
        <v>30</v>
      </c>
      <c r="H2214" s="16" t="n">
        <v>-3785.16</v>
      </c>
      <c r="I2214" s="16" t="n">
        <v>0</v>
      </c>
    </row>
    <row r="2215">
      <c r="A2215" t="inlineStr">
        <is>
          <t>MTR-IOS-2213</t>
        </is>
      </c>
      <c r="B2215" t="inlineStr">
        <is>
          <t>Flatmates</t>
        </is>
      </c>
      <c r="C2215" t="inlineStr">
        <is>
          <t>PERCENTAGE</t>
        </is>
      </c>
      <c r="D2215" t="inlineStr">
        <is>
          <t>IOS Meera</t>
        </is>
      </c>
      <c r="E2215" s="16" t="n">
        <v>12617.19</v>
      </c>
      <c r="F2215" s="16" t="n">
        <v>2523.43</v>
      </c>
      <c r="G2215" s="17" t="n">
        <v>20</v>
      </c>
      <c r="H2215" s="16" t="n">
        <v>10093.76</v>
      </c>
      <c r="I2215" s="16" t="n">
        <v>0</v>
      </c>
    </row>
    <row r="2216">
      <c r="A2216" t="inlineStr">
        <is>
          <t>MTR-IOS-2216</t>
        </is>
      </c>
      <c r="B2216" t="inlineStr">
        <is>
          <t>Flatmates</t>
        </is>
      </c>
      <c r="C2216" t="inlineStr">
        <is>
          <t>EXACT</t>
        </is>
      </c>
      <c r="D2216" t="inlineStr">
        <is>
          <t>IOS Owner</t>
        </is>
      </c>
      <c r="E2216" s="16" t="n">
        <v>16842.15</v>
      </c>
      <c r="F2216" s="16" t="n">
        <v>5608.44</v>
      </c>
      <c r="G2216" s="17" t="n"/>
      <c r="H2216" s="16" t="n">
        <v>11233.71</v>
      </c>
      <c r="I2216" s="16" t="n">
        <v>0</v>
      </c>
    </row>
    <row r="2217">
      <c r="A2217" t="inlineStr">
        <is>
          <t>MTR-IOS-2216</t>
        </is>
      </c>
      <c r="B2217" t="inlineStr">
        <is>
          <t>Flatmates</t>
        </is>
      </c>
      <c r="C2217" t="inlineStr">
        <is>
          <t>EXACT</t>
        </is>
      </c>
      <c r="D2217" t="inlineStr">
        <is>
          <t>IOS Aarav</t>
        </is>
      </c>
      <c r="E2217" s="16" t="n">
        <v>0</v>
      </c>
      <c r="F2217" s="16" t="n">
        <v>5608.44</v>
      </c>
      <c r="G2217" s="17" t="n"/>
      <c r="H2217" s="16" t="n">
        <v>-5608.44</v>
      </c>
      <c r="I2217" s="16" t="n">
        <v>0</v>
      </c>
    </row>
    <row r="2218">
      <c r="A2218" t="inlineStr">
        <is>
          <t>MTR-IOS-2216</t>
        </is>
      </c>
      <c r="B2218" t="inlineStr">
        <is>
          <t>Flatmates</t>
        </is>
      </c>
      <c r="C2218" t="inlineStr">
        <is>
          <t>EXACT</t>
        </is>
      </c>
      <c r="D2218" t="inlineStr">
        <is>
          <t>IOS Meera</t>
        </is>
      </c>
      <c r="E2218" s="16" t="n">
        <v>0</v>
      </c>
      <c r="F2218" s="16" t="n">
        <v>5625.27</v>
      </c>
      <c r="G2218" s="17" t="n"/>
      <c r="H2218" s="16" t="n">
        <v>-5625.27</v>
      </c>
      <c r="I2218" s="16" t="n">
        <v>0</v>
      </c>
    </row>
    <row r="2219">
      <c r="A2219" t="inlineStr">
        <is>
          <t>MTR-IOS-2219</t>
        </is>
      </c>
      <c r="B2219" t="inlineStr">
        <is>
          <t>Flatmates</t>
        </is>
      </c>
      <c r="C2219" t="inlineStr">
        <is>
          <t>SHARES</t>
        </is>
      </c>
      <c r="D2219" t="inlineStr">
        <is>
          <t>IOS Owner</t>
        </is>
      </c>
      <c r="E2219" s="16" t="n">
        <v>0</v>
      </c>
      <c r="F2219" s="16" t="n">
        <v>8582.559999999999</v>
      </c>
      <c r="G2219" s="17" t="n"/>
      <c r="H2219" s="16" t="n">
        <v>-8582.559999999999</v>
      </c>
      <c r="I2219" s="16" t="n">
        <v>0</v>
      </c>
    </row>
    <row r="2220">
      <c r="A2220" t="inlineStr">
        <is>
          <t>MTR-IOS-2219</t>
        </is>
      </c>
      <c r="B2220" t="inlineStr">
        <is>
          <t>Flatmates</t>
        </is>
      </c>
      <c r="C2220" t="inlineStr">
        <is>
          <t>SHARES</t>
        </is>
      </c>
      <c r="D2220" t="inlineStr">
        <is>
          <t>IOS Aarav</t>
        </is>
      </c>
      <c r="E2220" s="16" t="n">
        <v>17165.12</v>
      </c>
      <c r="F2220" s="16" t="n">
        <v>5721.71</v>
      </c>
      <c r="G2220" s="17" t="n"/>
      <c r="H2220" s="16" t="n">
        <v>11443.41</v>
      </c>
      <c r="I2220" s="16" t="n">
        <v>0</v>
      </c>
    </row>
    <row r="2221">
      <c r="A2221" t="inlineStr">
        <is>
          <t>MTR-IOS-2219</t>
        </is>
      </c>
      <c r="B2221" t="inlineStr">
        <is>
          <t>Flatmates</t>
        </is>
      </c>
      <c r="C2221" t="inlineStr">
        <is>
          <t>SHARES</t>
        </is>
      </c>
      <c r="D2221" t="inlineStr">
        <is>
          <t>IOS Meera</t>
        </is>
      </c>
      <c r="E2221" s="16" t="n">
        <v>0</v>
      </c>
      <c r="F2221" s="16" t="n">
        <v>2860.85</v>
      </c>
      <c r="G2221" s="17" t="n"/>
      <c r="H2221" s="16" t="n">
        <v>-2860.85</v>
      </c>
      <c r="I2221" s="16" t="n">
        <v>0</v>
      </c>
    </row>
    <row r="2222">
      <c r="A2222" t="inlineStr">
        <is>
          <t>MTR-IOS-2222</t>
        </is>
      </c>
      <c r="B2222" t="inlineStr">
        <is>
          <t>Flatmates</t>
        </is>
      </c>
      <c r="C2222" t="inlineStr">
        <is>
          <t>EQUAL</t>
        </is>
      </c>
      <c r="D2222" t="inlineStr">
        <is>
          <t>IOS Owner</t>
        </is>
      </c>
      <c r="E2222" s="16" t="n">
        <v>0</v>
      </c>
      <c r="F2222" s="16" t="n">
        <v>8854.129999999999</v>
      </c>
      <c r="G2222" s="17" t="n"/>
      <c r="H2222" s="16" t="n">
        <v>-8854.129999999999</v>
      </c>
      <c r="I2222" s="16" t="n">
        <v>0</v>
      </c>
    </row>
    <row r="2223">
      <c r="A2223" t="inlineStr">
        <is>
          <t>MTR-IOS-2222</t>
        </is>
      </c>
      <c r="B2223" t="inlineStr">
        <is>
          <t>Flatmates</t>
        </is>
      </c>
      <c r="C2223" t="inlineStr">
        <is>
          <t>EQUAL</t>
        </is>
      </c>
      <c r="D2223" t="inlineStr">
        <is>
          <t>IOS Aarav</t>
        </is>
      </c>
      <c r="E2223" s="16" t="n">
        <v>0</v>
      </c>
      <c r="F2223" s="16" t="n">
        <v>8854.129999999999</v>
      </c>
      <c r="G2223" s="17" t="n"/>
      <c r="H2223" s="16" t="n">
        <v>-8854.129999999999</v>
      </c>
      <c r="I2223" s="16" t="n">
        <v>0</v>
      </c>
    </row>
    <row r="2224">
      <c r="A2224" t="inlineStr">
        <is>
          <t>MTR-IOS-2222</t>
        </is>
      </c>
      <c r="B2224" t="inlineStr">
        <is>
          <t>Flatmates</t>
        </is>
      </c>
      <c r="C2224" t="inlineStr">
        <is>
          <t>EQUAL</t>
        </is>
      </c>
      <c r="D2224" t="inlineStr">
        <is>
          <t>IOS Meera</t>
        </is>
      </c>
      <c r="E2224" s="16" t="n">
        <v>26562.4</v>
      </c>
      <c r="F2224" s="16" t="n">
        <v>8854.139999999999</v>
      </c>
      <c r="G2224" s="17" t="n"/>
      <c r="H2224" s="16" t="n">
        <v>17708.26</v>
      </c>
      <c r="I2224" s="16" t="n">
        <v>0</v>
      </c>
    </row>
    <row r="2225">
      <c r="A2225" t="inlineStr">
        <is>
          <t>MTR-IOS-2225</t>
        </is>
      </c>
      <c r="B2225" t="inlineStr">
        <is>
          <t>Shared Living</t>
        </is>
      </c>
      <c r="C2225" t="inlineStr">
        <is>
          <t>PERCENTAGE</t>
        </is>
      </c>
      <c r="D2225" t="inlineStr">
        <is>
          <t>IOS Owner</t>
        </is>
      </c>
      <c r="E2225" s="16" t="n">
        <v>3681.9</v>
      </c>
      <c r="F2225" s="16" t="n">
        <v>1840.95</v>
      </c>
      <c r="G2225" s="17" t="n">
        <v>50</v>
      </c>
      <c r="H2225" s="16" t="n">
        <v>1840.95</v>
      </c>
      <c r="I2225" s="16" t="n">
        <v>0</v>
      </c>
    </row>
    <row r="2226">
      <c r="A2226" t="inlineStr">
        <is>
          <t>MTR-IOS-2225</t>
        </is>
      </c>
      <c r="B2226" t="inlineStr">
        <is>
          <t>Shared Living</t>
        </is>
      </c>
      <c r="C2226" t="inlineStr">
        <is>
          <t>PERCENTAGE</t>
        </is>
      </c>
      <c r="D2226" t="inlineStr">
        <is>
          <t>IOS Aarav</t>
        </is>
      </c>
      <c r="E2226" s="16" t="n">
        <v>0</v>
      </c>
      <c r="F2226" s="16" t="n">
        <v>1104.57</v>
      </c>
      <c r="G2226" s="17" t="n">
        <v>30</v>
      </c>
      <c r="H2226" s="16" t="n">
        <v>-1104.57</v>
      </c>
      <c r="I2226" s="16" t="n">
        <v>0</v>
      </c>
    </row>
    <row r="2227">
      <c r="A2227" t="inlineStr">
        <is>
          <t>MTR-IOS-2225</t>
        </is>
      </c>
      <c r="B2227" t="inlineStr">
        <is>
          <t>Shared Living</t>
        </is>
      </c>
      <c r="C2227" t="inlineStr">
        <is>
          <t>PERCENTAGE</t>
        </is>
      </c>
      <c r="D2227" t="inlineStr">
        <is>
          <t>IOS Meera</t>
        </is>
      </c>
      <c r="E2227" s="16" t="n">
        <v>0</v>
      </c>
      <c r="F2227" s="16" t="n">
        <v>736.38</v>
      </c>
      <c r="G2227" s="17" t="n">
        <v>20</v>
      </c>
      <c r="H2227" s="16" t="n">
        <v>-736.38</v>
      </c>
      <c r="I2227" s="16" t="n">
        <v>0</v>
      </c>
    </row>
    <row r="2228">
      <c r="A2228" t="inlineStr">
        <is>
          <t>MTR-IOS-2228</t>
        </is>
      </c>
      <c r="B2228" t="inlineStr">
        <is>
          <t>Shared Living</t>
        </is>
      </c>
      <c r="C2228" t="inlineStr">
        <is>
          <t>EXACT</t>
        </is>
      </c>
      <c r="D2228" t="inlineStr">
        <is>
          <t>IOS Owner</t>
        </is>
      </c>
      <c r="E2228" s="16" t="n">
        <v>0</v>
      </c>
      <c r="F2228" s="16" t="n">
        <v>3768.84</v>
      </c>
      <c r="G2228" s="17" t="n"/>
      <c r="H2228" s="16" t="n">
        <v>-3768.84</v>
      </c>
      <c r="I2228" s="16" t="n">
        <v>0</v>
      </c>
    </row>
    <row r="2229">
      <c r="A2229" t="inlineStr">
        <is>
          <t>MTR-IOS-2228</t>
        </is>
      </c>
      <c r="B2229" t="inlineStr">
        <is>
          <t>Shared Living</t>
        </is>
      </c>
      <c r="C2229" t="inlineStr">
        <is>
          <t>EXACT</t>
        </is>
      </c>
      <c r="D2229" t="inlineStr">
        <is>
          <t>IOS Aarav</t>
        </is>
      </c>
      <c r="E2229" s="16" t="n">
        <v>11317.84</v>
      </c>
      <c r="F2229" s="16" t="n">
        <v>3768.84</v>
      </c>
      <c r="G2229" s="17" t="n"/>
      <c r="H2229" s="16" t="n">
        <v>7549</v>
      </c>
      <c r="I2229" s="16" t="n">
        <v>0</v>
      </c>
    </row>
    <row r="2230">
      <c r="A2230" t="inlineStr">
        <is>
          <t>MTR-IOS-2228</t>
        </is>
      </c>
      <c r="B2230" t="inlineStr">
        <is>
          <t>Shared Living</t>
        </is>
      </c>
      <c r="C2230" t="inlineStr">
        <is>
          <t>EXACT</t>
        </is>
      </c>
      <c r="D2230" t="inlineStr">
        <is>
          <t>IOS Meera</t>
        </is>
      </c>
      <c r="E2230" s="16" t="n">
        <v>0</v>
      </c>
      <c r="F2230" s="16" t="n">
        <v>3780.16</v>
      </c>
      <c r="G2230" s="17" t="n"/>
      <c r="H2230" s="16" t="n">
        <v>-3780.16</v>
      </c>
      <c r="I2230" s="16" t="n">
        <v>0</v>
      </c>
    </row>
    <row r="2231">
      <c r="A2231" t="inlineStr">
        <is>
          <t>MTR-IOS-2231</t>
        </is>
      </c>
      <c r="B2231" t="inlineStr">
        <is>
          <t>Shared Living</t>
        </is>
      </c>
      <c r="C2231" t="inlineStr">
        <is>
          <t>SHARES</t>
        </is>
      </c>
      <c r="D2231" t="inlineStr">
        <is>
          <t>IOS Owner</t>
        </is>
      </c>
      <c r="E2231" s="16" t="n">
        <v>0</v>
      </c>
      <c r="F2231" s="16" t="n">
        <v>11740.92</v>
      </c>
      <c r="G2231" s="17" t="n"/>
      <c r="H2231" s="16" t="n">
        <v>-11740.92</v>
      </c>
      <c r="I2231" s="16" t="n">
        <v>0</v>
      </c>
    </row>
    <row r="2232">
      <c r="A2232" t="inlineStr">
        <is>
          <t>MTR-IOS-2231</t>
        </is>
      </c>
      <c r="B2232" t="inlineStr">
        <is>
          <t>Shared Living</t>
        </is>
      </c>
      <c r="C2232" t="inlineStr">
        <is>
          <t>SHARES</t>
        </is>
      </c>
      <c r="D2232" t="inlineStr">
        <is>
          <t>IOS Aarav</t>
        </is>
      </c>
      <c r="E2232" s="16" t="n">
        <v>0</v>
      </c>
      <c r="F2232" s="16" t="n">
        <v>7827.28</v>
      </c>
      <c r="G2232" s="17" t="n"/>
      <c r="H2232" s="16" t="n">
        <v>-7827.28</v>
      </c>
      <c r="I2232" s="16" t="n">
        <v>0</v>
      </c>
    </row>
    <row r="2233">
      <c r="A2233" t="inlineStr">
        <is>
          <t>MTR-IOS-2231</t>
        </is>
      </c>
      <c r="B2233" t="inlineStr">
        <is>
          <t>Shared Living</t>
        </is>
      </c>
      <c r="C2233" t="inlineStr">
        <is>
          <t>SHARES</t>
        </is>
      </c>
      <c r="D2233" t="inlineStr">
        <is>
          <t>IOS Meera</t>
        </is>
      </c>
      <c r="E2233" s="16" t="n">
        <v>23481.83</v>
      </c>
      <c r="F2233" s="16" t="n">
        <v>3913.63</v>
      </c>
      <c r="G2233" s="17" t="n"/>
      <c r="H2233" s="16" t="n">
        <v>19568.2</v>
      </c>
      <c r="I2233" s="16" t="n">
        <v>0</v>
      </c>
    </row>
    <row r="2234">
      <c r="A2234" t="inlineStr">
        <is>
          <t>MTR-IOS-2234</t>
        </is>
      </c>
      <c r="B2234" t="inlineStr">
        <is>
          <t>Shared Living</t>
        </is>
      </c>
      <c r="C2234" t="inlineStr">
        <is>
          <t>EQUAL</t>
        </is>
      </c>
      <c r="D2234" t="inlineStr">
        <is>
          <t>IOS Owner</t>
        </is>
      </c>
      <c r="E2234" s="16" t="n">
        <v>13047.37</v>
      </c>
      <c r="F2234" s="16" t="n">
        <v>4349.12</v>
      </c>
      <c r="G2234" s="17" t="n"/>
      <c r="H2234" s="16" t="n">
        <v>8698.25</v>
      </c>
      <c r="I2234" s="16" t="n">
        <v>0</v>
      </c>
    </row>
    <row r="2235">
      <c r="A2235" t="inlineStr">
        <is>
          <t>MTR-IOS-2234</t>
        </is>
      </c>
      <c r="B2235" t="inlineStr">
        <is>
          <t>Shared Living</t>
        </is>
      </c>
      <c r="C2235" t="inlineStr">
        <is>
          <t>EQUAL</t>
        </is>
      </c>
      <c r="D2235" t="inlineStr">
        <is>
          <t>IOS Aarav</t>
        </is>
      </c>
      <c r="E2235" s="16" t="n">
        <v>0</v>
      </c>
      <c r="F2235" s="16" t="n">
        <v>4349.12</v>
      </c>
      <c r="G2235" s="17" t="n"/>
      <c r="H2235" s="16" t="n">
        <v>-4349.12</v>
      </c>
      <c r="I2235" s="16" t="n">
        <v>0</v>
      </c>
    </row>
    <row r="2236">
      <c r="A2236" t="inlineStr">
        <is>
          <t>MTR-IOS-2234</t>
        </is>
      </c>
      <c r="B2236" t="inlineStr">
        <is>
          <t>Shared Living</t>
        </is>
      </c>
      <c r="C2236" t="inlineStr">
        <is>
          <t>EQUAL</t>
        </is>
      </c>
      <c r="D2236" t="inlineStr">
        <is>
          <t>IOS Meera</t>
        </is>
      </c>
      <c r="E2236" s="16" t="n">
        <v>0</v>
      </c>
      <c r="F2236" s="16" t="n">
        <v>4349.13</v>
      </c>
      <c r="G2236" s="17" t="n"/>
      <c r="H2236" s="16" t="n">
        <v>-4349.13</v>
      </c>
      <c r="I2236" s="16" t="n">
        <v>0</v>
      </c>
    </row>
    <row r="2237">
      <c r="A2237" t="inlineStr">
        <is>
          <t>MTR-IOS-2237</t>
        </is>
      </c>
      <c r="B2237" t="inlineStr">
        <is>
          <t>Shared Living</t>
        </is>
      </c>
      <c r="C2237" t="inlineStr">
        <is>
          <t>PERCENTAGE</t>
        </is>
      </c>
      <c r="D2237" t="inlineStr">
        <is>
          <t>IOS Owner</t>
        </is>
      </c>
      <c r="E2237" s="16" t="n">
        <v>0</v>
      </c>
      <c r="F2237" s="16" t="n">
        <v>2297.9</v>
      </c>
      <c r="G2237" s="17" t="n">
        <v>50</v>
      </c>
      <c r="H2237" s="16" t="n">
        <v>-2297.9</v>
      </c>
      <c r="I2237" s="16" t="n">
        <v>0</v>
      </c>
    </row>
    <row r="2238">
      <c r="A2238" t="inlineStr">
        <is>
          <t>MTR-IOS-2237</t>
        </is>
      </c>
      <c r="B2238" t="inlineStr">
        <is>
          <t>Shared Living</t>
        </is>
      </c>
      <c r="C2238" t="inlineStr">
        <is>
          <t>PERCENTAGE</t>
        </is>
      </c>
      <c r="D2238" t="inlineStr">
        <is>
          <t>IOS Aarav</t>
        </is>
      </c>
      <c r="E2238" s="16" t="n">
        <v>4595.79</v>
      </c>
      <c r="F2238" s="16" t="n">
        <v>1378.74</v>
      </c>
      <c r="G2238" s="17" t="n">
        <v>30</v>
      </c>
      <c r="H2238" s="16" t="n">
        <v>3217.05</v>
      </c>
      <c r="I2238" s="16" t="n">
        <v>0</v>
      </c>
    </row>
    <row r="2239">
      <c r="A2239" t="inlineStr">
        <is>
          <t>MTR-IOS-2237</t>
        </is>
      </c>
      <c r="B2239" t="inlineStr">
        <is>
          <t>Shared Living</t>
        </is>
      </c>
      <c r="C2239" t="inlineStr">
        <is>
          <t>PERCENTAGE</t>
        </is>
      </c>
      <c r="D2239" t="inlineStr">
        <is>
          <t>IOS Meera</t>
        </is>
      </c>
      <c r="E2239" s="16" t="n">
        <v>0</v>
      </c>
      <c r="F2239" s="16" t="n">
        <v>919.15</v>
      </c>
      <c r="G2239" s="17" t="n">
        <v>20</v>
      </c>
      <c r="H2239" s="16" t="n">
        <v>-919.15</v>
      </c>
      <c r="I2239" s="16" t="n">
        <v>0</v>
      </c>
    </row>
    <row r="2240">
      <c r="A2240" t="inlineStr">
        <is>
          <t>MTR-IOS-2240</t>
        </is>
      </c>
      <c r="B2240" t="inlineStr">
        <is>
          <t>Family Household</t>
        </is>
      </c>
      <c r="C2240" t="inlineStr">
        <is>
          <t>EXACT</t>
        </is>
      </c>
      <c r="D2240" t="inlineStr">
        <is>
          <t>IOS Owner</t>
        </is>
      </c>
      <c r="E2240" s="16" t="n">
        <v>0</v>
      </c>
      <c r="F2240" s="16" t="n">
        <v>2493.73</v>
      </c>
      <c r="G2240" s="17" t="n"/>
      <c r="H2240" s="16" t="n">
        <v>-2493.73</v>
      </c>
      <c r="I2240" s="16" t="n">
        <v>0</v>
      </c>
    </row>
    <row r="2241">
      <c r="A2241" t="inlineStr">
        <is>
          <t>MTR-IOS-2240</t>
        </is>
      </c>
      <c r="B2241" t="inlineStr">
        <is>
          <t>Family Household</t>
        </is>
      </c>
      <c r="C2241" t="inlineStr">
        <is>
          <t>EXACT</t>
        </is>
      </c>
      <c r="D2241" t="inlineStr">
        <is>
          <t>IOS Aarav</t>
        </is>
      </c>
      <c r="E2241" s="16" t="n">
        <v>0</v>
      </c>
      <c r="F2241" s="16" t="n">
        <v>2493.73</v>
      </c>
      <c r="G2241" s="17" t="n"/>
      <c r="H2241" s="16" t="n">
        <v>-2493.73</v>
      </c>
      <c r="I2241" s="16" t="n">
        <v>0</v>
      </c>
    </row>
    <row r="2242">
      <c r="A2242" t="inlineStr">
        <is>
          <t>MTR-IOS-2240</t>
        </is>
      </c>
      <c r="B2242" t="inlineStr">
        <is>
          <t>Family Household</t>
        </is>
      </c>
      <c r="C2242" t="inlineStr">
        <is>
          <t>EXACT</t>
        </is>
      </c>
      <c r="D2242" t="inlineStr">
        <is>
          <t>IOS Meera</t>
        </is>
      </c>
      <c r="E2242" s="16" t="n">
        <v>7488.69</v>
      </c>
      <c r="F2242" s="16" t="n">
        <v>2501.23</v>
      </c>
      <c r="G2242" s="17" t="n"/>
      <c r="H2242" s="16" t="n">
        <v>4987.46</v>
      </c>
      <c r="I2242" s="16" t="n">
        <v>0</v>
      </c>
    </row>
    <row r="2243">
      <c r="A2243" t="inlineStr">
        <is>
          <t>MTR-IOS-2243</t>
        </is>
      </c>
      <c r="B2243" t="inlineStr">
        <is>
          <t>Family Household</t>
        </is>
      </c>
      <c r="C2243" t="inlineStr">
        <is>
          <t>SHARES</t>
        </is>
      </c>
      <c r="D2243" t="inlineStr">
        <is>
          <t>IOS Owner</t>
        </is>
      </c>
      <c r="E2243" s="16" t="n">
        <v>3102.36</v>
      </c>
      <c r="F2243" s="16" t="n">
        <v>1551.18</v>
      </c>
      <c r="G2243" s="17" t="n"/>
      <c r="H2243" s="16" t="n">
        <v>1551.18</v>
      </c>
      <c r="I2243" s="16" t="n">
        <v>0</v>
      </c>
    </row>
    <row r="2244">
      <c r="A2244" t="inlineStr">
        <is>
          <t>MTR-IOS-2243</t>
        </is>
      </c>
      <c r="B2244" t="inlineStr">
        <is>
          <t>Family Household</t>
        </is>
      </c>
      <c r="C2244" t="inlineStr">
        <is>
          <t>SHARES</t>
        </is>
      </c>
      <c r="D2244" t="inlineStr">
        <is>
          <t>IOS Aarav</t>
        </is>
      </c>
      <c r="E2244" s="16" t="n">
        <v>0</v>
      </c>
      <c r="F2244" s="16" t="n">
        <v>1034.12</v>
      </c>
      <c r="G2244" s="17" t="n"/>
      <c r="H2244" s="16" t="n">
        <v>-1034.12</v>
      </c>
      <c r="I2244" s="16" t="n">
        <v>0</v>
      </c>
    </row>
    <row r="2245">
      <c r="A2245" t="inlineStr">
        <is>
          <t>MTR-IOS-2243</t>
        </is>
      </c>
      <c r="B2245" t="inlineStr">
        <is>
          <t>Family Household</t>
        </is>
      </c>
      <c r="C2245" t="inlineStr">
        <is>
          <t>SHARES</t>
        </is>
      </c>
      <c r="D2245" t="inlineStr">
        <is>
          <t>IOS Meera</t>
        </is>
      </c>
      <c r="E2245" s="16" t="n">
        <v>0</v>
      </c>
      <c r="F2245" s="16" t="n">
        <v>517.0599999999999</v>
      </c>
      <c r="G2245" s="17" t="n"/>
      <c r="H2245" s="16" t="n">
        <v>-517.0599999999999</v>
      </c>
      <c r="I2245" s="16" t="n">
        <v>0</v>
      </c>
    </row>
    <row r="2246">
      <c r="A2246" t="inlineStr">
        <is>
          <t>MTR-IOS-2246</t>
        </is>
      </c>
      <c r="B2246" t="inlineStr">
        <is>
          <t>Family Household</t>
        </is>
      </c>
      <c r="C2246" t="inlineStr">
        <is>
          <t>EQUAL</t>
        </is>
      </c>
      <c r="D2246" t="inlineStr">
        <is>
          <t>IOS Owner</t>
        </is>
      </c>
      <c r="E2246" s="16" t="n">
        <v>0</v>
      </c>
      <c r="F2246" s="16" t="n">
        <v>2834.94</v>
      </c>
      <c r="G2246" s="17" t="n"/>
      <c r="H2246" s="16" t="n">
        <v>-2834.94</v>
      </c>
      <c r="I2246" s="16" t="n">
        <v>0</v>
      </c>
    </row>
    <row r="2247">
      <c r="A2247" t="inlineStr">
        <is>
          <t>MTR-IOS-2246</t>
        </is>
      </c>
      <c r="B2247" t="inlineStr">
        <is>
          <t>Family Household</t>
        </is>
      </c>
      <c r="C2247" t="inlineStr">
        <is>
          <t>EQUAL</t>
        </is>
      </c>
      <c r="D2247" t="inlineStr">
        <is>
          <t>IOS Aarav</t>
        </is>
      </c>
      <c r="E2247" s="16" t="n">
        <v>8504.809999999999</v>
      </c>
      <c r="F2247" s="16" t="n">
        <v>2834.94</v>
      </c>
      <c r="G2247" s="17" t="n"/>
      <c r="H2247" s="16" t="n">
        <v>5669.87</v>
      </c>
      <c r="I2247" s="16" t="n">
        <v>0</v>
      </c>
    </row>
    <row r="2248">
      <c r="A2248" t="inlineStr">
        <is>
          <t>MTR-IOS-2246</t>
        </is>
      </c>
      <c r="B2248" t="inlineStr">
        <is>
          <t>Family Household</t>
        </is>
      </c>
      <c r="C2248" t="inlineStr">
        <is>
          <t>EQUAL</t>
        </is>
      </c>
      <c r="D2248" t="inlineStr">
        <is>
          <t>IOS Meera</t>
        </is>
      </c>
      <c r="E2248" s="16" t="n">
        <v>0</v>
      </c>
      <c r="F2248" s="16" t="n">
        <v>2834.93</v>
      </c>
      <c r="G2248" s="17" t="n"/>
      <c r="H2248" s="16" t="n">
        <v>-2834.93</v>
      </c>
      <c r="I2248" s="16" t="n">
        <v>0</v>
      </c>
    </row>
    <row r="2249">
      <c r="A2249" t="inlineStr">
        <is>
          <t>MTR-IOS-2249</t>
        </is>
      </c>
      <c r="B2249" t="inlineStr">
        <is>
          <t>Family Household</t>
        </is>
      </c>
      <c r="C2249" t="inlineStr">
        <is>
          <t>PERCENTAGE</t>
        </is>
      </c>
      <c r="D2249" t="inlineStr">
        <is>
          <t>IOS Owner</t>
        </is>
      </c>
      <c r="E2249" s="16" t="n">
        <v>0</v>
      </c>
      <c r="F2249" s="16" t="n">
        <v>9649.41</v>
      </c>
      <c r="G2249" s="17" t="n">
        <v>50</v>
      </c>
      <c r="H2249" s="16" t="n">
        <v>-9649.41</v>
      </c>
      <c r="I2249" s="16" t="n">
        <v>0</v>
      </c>
    </row>
    <row r="2250">
      <c r="A2250" t="inlineStr">
        <is>
          <t>MTR-IOS-2249</t>
        </is>
      </c>
      <c r="B2250" t="inlineStr">
        <is>
          <t>Family Household</t>
        </is>
      </c>
      <c r="C2250" t="inlineStr">
        <is>
          <t>PERCENTAGE</t>
        </is>
      </c>
      <c r="D2250" t="inlineStr">
        <is>
          <t>IOS Aarav</t>
        </is>
      </c>
      <c r="E2250" s="16" t="n">
        <v>0</v>
      </c>
      <c r="F2250" s="16" t="n">
        <v>5789.65</v>
      </c>
      <c r="G2250" s="17" t="n">
        <v>30</v>
      </c>
      <c r="H2250" s="16" t="n">
        <v>-5789.65</v>
      </c>
      <c r="I2250" s="16" t="n">
        <v>0</v>
      </c>
    </row>
    <row r="2251">
      <c r="A2251" t="inlineStr">
        <is>
          <t>MTR-IOS-2249</t>
        </is>
      </c>
      <c r="B2251" t="inlineStr">
        <is>
          <t>Family Household</t>
        </is>
      </c>
      <c r="C2251" t="inlineStr">
        <is>
          <t>PERCENTAGE</t>
        </is>
      </c>
      <c r="D2251" t="inlineStr">
        <is>
          <t>IOS Meera</t>
        </is>
      </c>
      <c r="E2251" s="16" t="n">
        <v>19298.82</v>
      </c>
      <c r="F2251" s="16" t="n">
        <v>3859.76</v>
      </c>
      <c r="G2251" s="17" t="n">
        <v>20</v>
      </c>
      <c r="H2251" s="16" t="n">
        <v>15439.06</v>
      </c>
      <c r="I2251" s="16" t="n">
        <v>0</v>
      </c>
    </row>
    <row r="2252">
      <c r="A2252" t="inlineStr">
        <is>
          <t>MTR-IOS-2252</t>
        </is>
      </c>
      <c r="B2252" t="inlineStr">
        <is>
          <t>Family Household</t>
        </is>
      </c>
      <c r="C2252" t="inlineStr">
        <is>
          <t>EXACT</t>
        </is>
      </c>
      <c r="D2252" t="inlineStr">
        <is>
          <t>IOS Owner</t>
        </is>
      </c>
      <c r="E2252" s="16" t="n">
        <v>15415.05</v>
      </c>
      <c r="F2252" s="16" t="n">
        <v>5133.21</v>
      </c>
      <c r="G2252" s="17" t="n"/>
      <c r="H2252" s="16" t="n">
        <v>10281.84</v>
      </c>
      <c r="I2252" s="16" t="n">
        <v>0</v>
      </c>
    </row>
    <row r="2253">
      <c r="A2253" t="inlineStr">
        <is>
          <t>MTR-IOS-2252</t>
        </is>
      </c>
      <c r="B2253" t="inlineStr">
        <is>
          <t>Family Household</t>
        </is>
      </c>
      <c r="C2253" t="inlineStr">
        <is>
          <t>EXACT</t>
        </is>
      </c>
      <c r="D2253" t="inlineStr">
        <is>
          <t>IOS Aarav</t>
        </is>
      </c>
      <c r="E2253" s="16" t="n">
        <v>0</v>
      </c>
      <c r="F2253" s="16" t="n">
        <v>5133.21</v>
      </c>
      <c r="G2253" s="17" t="n"/>
      <c r="H2253" s="16" t="n">
        <v>-5133.21</v>
      </c>
      <c r="I2253" s="16" t="n">
        <v>0</v>
      </c>
    </row>
    <row r="2254">
      <c r="A2254" t="inlineStr">
        <is>
          <t>MTR-IOS-2252</t>
        </is>
      </c>
      <c r="B2254" t="inlineStr">
        <is>
          <t>Family Household</t>
        </is>
      </c>
      <c r="C2254" t="inlineStr">
        <is>
          <t>EXACT</t>
        </is>
      </c>
      <c r="D2254" t="inlineStr">
        <is>
          <t>IOS Meera</t>
        </is>
      </c>
      <c r="E2254" s="16" t="n">
        <v>0</v>
      </c>
      <c r="F2254" s="16" t="n">
        <v>5148.63</v>
      </c>
      <c r="G2254" s="17" t="n"/>
      <c r="H2254" s="16" t="n">
        <v>-5148.63</v>
      </c>
      <c r="I2254" s="16" t="n">
        <v>0</v>
      </c>
    </row>
    <row r="2255">
      <c r="A2255" t="inlineStr">
        <is>
          <t>MTR-IOS-2255</t>
        </is>
      </c>
      <c r="B2255" t="inlineStr">
        <is>
          <t>Family Household</t>
        </is>
      </c>
      <c r="C2255" t="inlineStr">
        <is>
          <t>SHARES</t>
        </is>
      </c>
      <c r="D2255" t="inlineStr">
        <is>
          <t>IOS Owner</t>
        </is>
      </c>
      <c r="E2255" s="16" t="n">
        <v>0</v>
      </c>
      <c r="F2255" s="16" t="n">
        <v>82.88</v>
      </c>
      <c r="G2255" s="17" t="n"/>
      <c r="H2255" s="16" t="n">
        <v>-82.88</v>
      </c>
      <c r="I2255" s="16" t="n">
        <v>0</v>
      </c>
    </row>
    <row r="2256">
      <c r="A2256" t="inlineStr">
        <is>
          <t>MTR-IOS-2255</t>
        </is>
      </c>
      <c r="B2256" t="inlineStr">
        <is>
          <t>Family Household</t>
        </is>
      </c>
      <c r="C2256" t="inlineStr">
        <is>
          <t>SHARES</t>
        </is>
      </c>
      <c r="D2256" t="inlineStr">
        <is>
          <t>IOS Aarav</t>
        </is>
      </c>
      <c r="E2256" s="16" t="n">
        <v>165.75</v>
      </c>
      <c r="F2256" s="16" t="n">
        <v>55.25</v>
      </c>
      <c r="G2256" s="17" t="n"/>
      <c r="H2256" s="16" t="n">
        <v>110.5</v>
      </c>
      <c r="I2256" s="16" t="n">
        <v>0</v>
      </c>
    </row>
    <row r="2257">
      <c r="A2257" t="inlineStr">
        <is>
          <t>MTR-IOS-2255</t>
        </is>
      </c>
      <c r="B2257" t="inlineStr">
        <is>
          <t>Family Household</t>
        </is>
      </c>
      <c r="C2257" t="inlineStr">
        <is>
          <t>SHARES</t>
        </is>
      </c>
      <c r="D2257" t="inlineStr">
        <is>
          <t>IOS Meera</t>
        </is>
      </c>
      <c r="E2257" s="16" t="n">
        <v>0</v>
      </c>
      <c r="F2257" s="16" t="n">
        <v>27.62</v>
      </c>
      <c r="G2257" s="17" t="n"/>
      <c r="H2257" s="16" t="n">
        <v>-27.62</v>
      </c>
      <c r="I2257" s="16" t="n">
        <v>0</v>
      </c>
    </row>
    <row r="2258">
      <c r="A2258" t="inlineStr">
        <is>
          <t>MTR-IOS-2258</t>
        </is>
      </c>
      <c r="B2258" t="inlineStr">
        <is>
          <t>Custom Living</t>
        </is>
      </c>
      <c r="C2258" t="inlineStr">
        <is>
          <t>EQUAL</t>
        </is>
      </c>
      <c r="D2258" t="inlineStr">
        <is>
          <t>IOS Owner</t>
        </is>
      </c>
      <c r="E2258" s="16" t="n">
        <v>0</v>
      </c>
      <c r="F2258" s="16" t="n">
        <v>3121.99</v>
      </c>
      <c r="G2258" s="17" t="n"/>
      <c r="H2258" s="16" t="n">
        <v>-3121.99</v>
      </c>
      <c r="I2258" s="16" t="n">
        <v>0</v>
      </c>
    </row>
    <row r="2259">
      <c r="A2259" t="inlineStr">
        <is>
          <t>MTR-IOS-2258</t>
        </is>
      </c>
      <c r="B2259" t="inlineStr">
        <is>
          <t>Custom Living</t>
        </is>
      </c>
      <c r="C2259" t="inlineStr">
        <is>
          <t>EQUAL</t>
        </is>
      </c>
      <c r="D2259" t="inlineStr">
        <is>
          <t>IOS Aarav</t>
        </is>
      </c>
      <c r="E2259" s="16" t="n">
        <v>0</v>
      </c>
      <c r="F2259" s="16" t="n">
        <v>3121.99</v>
      </c>
      <c r="G2259" s="17" t="n"/>
      <c r="H2259" s="16" t="n">
        <v>-3121.99</v>
      </c>
      <c r="I2259" s="16" t="n">
        <v>0</v>
      </c>
    </row>
    <row r="2260">
      <c r="A2260" t="inlineStr">
        <is>
          <t>MTR-IOS-2258</t>
        </is>
      </c>
      <c r="B2260" t="inlineStr">
        <is>
          <t>Custom Living</t>
        </is>
      </c>
      <c r="C2260" t="inlineStr">
        <is>
          <t>EQUAL</t>
        </is>
      </c>
      <c r="D2260" t="inlineStr">
        <is>
          <t>IOS Meera</t>
        </is>
      </c>
      <c r="E2260" s="16" t="n">
        <v>9365.959999999999</v>
      </c>
      <c r="F2260" s="16" t="n">
        <v>3121.98</v>
      </c>
      <c r="G2260" s="17" t="n"/>
      <c r="H2260" s="16" t="n">
        <v>6243.98</v>
      </c>
      <c r="I2260" s="16" t="n">
        <v>0</v>
      </c>
    </row>
    <row r="2261">
      <c r="A2261" t="inlineStr">
        <is>
          <t>MTR-IOS-2261</t>
        </is>
      </c>
      <c r="B2261" t="inlineStr">
        <is>
          <t>Custom Living</t>
        </is>
      </c>
      <c r="C2261" t="inlineStr">
        <is>
          <t>PERCENTAGE</t>
        </is>
      </c>
      <c r="D2261" t="inlineStr">
        <is>
          <t>IOS Owner</t>
        </is>
      </c>
      <c r="E2261" s="16" t="n">
        <v>25411.55</v>
      </c>
      <c r="F2261" s="16" t="n">
        <v>12705.78</v>
      </c>
      <c r="G2261" s="17" t="n">
        <v>50</v>
      </c>
      <c r="H2261" s="16" t="n">
        <v>12705.77</v>
      </c>
      <c r="I2261" s="16" t="n">
        <v>0</v>
      </c>
    </row>
    <row r="2262">
      <c r="A2262" t="inlineStr">
        <is>
          <t>MTR-IOS-2261</t>
        </is>
      </c>
      <c r="B2262" t="inlineStr">
        <is>
          <t>Custom Living</t>
        </is>
      </c>
      <c r="C2262" t="inlineStr">
        <is>
          <t>PERCENTAGE</t>
        </is>
      </c>
      <c r="D2262" t="inlineStr">
        <is>
          <t>IOS Aarav</t>
        </is>
      </c>
      <c r="E2262" s="16" t="n">
        <v>0</v>
      </c>
      <c r="F2262" s="16" t="n">
        <v>7623.47</v>
      </c>
      <c r="G2262" s="17" t="n">
        <v>30</v>
      </c>
      <c r="H2262" s="16" t="n">
        <v>-7623.47</v>
      </c>
      <c r="I2262" s="16" t="n">
        <v>0</v>
      </c>
    </row>
    <row r="2263">
      <c r="A2263" t="inlineStr">
        <is>
          <t>MTR-IOS-2261</t>
        </is>
      </c>
      <c r="B2263" t="inlineStr">
        <is>
          <t>Custom Living</t>
        </is>
      </c>
      <c r="C2263" t="inlineStr">
        <is>
          <t>PERCENTAGE</t>
        </is>
      </c>
      <c r="D2263" t="inlineStr">
        <is>
          <t>IOS Meera</t>
        </is>
      </c>
      <c r="E2263" s="16" t="n">
        <v>0</v>
      </c>
      <c r="F2263" s="16" t="n">
        <v>5082.3</v>
      </c>
      <c r="G2263" s="17" t="n">
        <v>20</v>
      </c>
      <c r="H2263" s="16" t="n">
        <v>-5082.3</v>
      </c>
      <c r="I2263" s="16" t="n">
        <v>0</v>
      </c>
    </row>
    <row r="2264">
      <c r="A2264" t="inlineStr">
        <is>
          <t>MTR-IOS-2264</t>
        </is>
      </c>
      <c r="B2264" t="inlineStr">
        <is>
          <t>Trip</t>
        </is>
      </c>
      <c r="C2264" t="inlineStr">
        <is>
          <t>EXACT</t>
        </is>
      </c>
      <c r="D2264" t="inlineStr">
        <is>
          <t>IOS Owner</t>
        </is>
      </c>
      <c r="E2264" s="16" t="n">
        <v>0</v>
      </c>
      <c r="F2264" s="16" t="n">
        <v>6275.13</v>
      </c>
      <c r="G2264" s="17" t="n"/>
      <c r="H2264" s="16" t="n">
        <v>-6275.13</v>
      </c>
      <c r="I2264" s="16" t="n">
        <v>0</v>
      </c>
    </row>
    <row r="2265">
      <c r="A2265" t="inlineStr">
        <is>
          <t>MTR-IOS-2264</t>
        </is>
      </c>
      <c r="B2265" t="inlineStr">
        <is>
          <t>Trip</t>
        </is>
      </c>
      <c r="C2265" t="inlineStr">
        <is>
          <t>EXACT</t>
        </is>
      </c>
      <c r="D2265" t="inlineStr">
        <is>
          <t>IOS Aarav</t>
        </is>
      </c>
      <c r="E2265" s="16" t="n">
        <v>18844.24</v>
      </c>
      <c r="F2265" s="16" t="n">
        <v>6275.13</v>
      </c>
      <c r="G2265" s="17" t="n"/>
      <c r="H2265" s="16" t="n">
        <v>12569.11</v>
      </c>
      <c r="I2265" s="16" t="n">
        <v>0</v>
      </c>
    </row>
    <row r="2266">
      <c r="A2266" t="inlineStr">
        <is>
          <t>MTR-IOS-2264</t>
        </is>
      </c>
      <c r="B2266" t="inlineStr">
        <is>
          <t>Trip</t>
        </is>
      </c>
      <c r="C2266" t="inlineStr">
        <is>
          <t>EXACT</t>
        </is>
      </c>
      <c r="D2266" t="inlineStr">
        <is>
          <t>IOS Meera</t>
        </is>
      </c>
      <c r="E2266" s="16" t="n">
        <v>0</v>
      </c>
      <c r="F2266" s="16" t="n">
        <v>6293.98</v>
      </c>
      <c r="G2266" s="17" t="n"/>
      <c r="H2266" s="16" t="n">
        <v>-6293.98</v>
      </c>
      <c r="I2266" s="16" t="n">
        <v>0</v>
      </c>
    </row>
    <row r="2267">
      <c r="A2267" t="inlineStr">
        <is>
          <t>MTR-IOS-2267</t>
        </is>
      </c>
      <c r="B2267" t="inlineStr">
        <is>
          <t>Trip</t>
        </is>
      </c>
      <c r="C2267" t="inlineStr">
        <is>
          <t>SHARES</t>
        </is>
      </c>
      <c r="D2267" t="inlineStr">
        <is>
          <t>IOS Owner</t>
        </is>
      </c>
      <c r="E2267" s="16" t="n">
        <v>0</v>
      </c>
      <c r="F2267" s="16" t="n">
        <v>5543.76</v>
      </c>
      <c r="G2267" s="17" t="n"/>
      <c r="H2267" s="16" t="n">
        <v>-5543.76</v>
      </c>
      <c r="I2267" s="16" t="n">
        <v>0</v>
      </c>
    </row>
    <row r="2268">
      <c r="A2268" t="inlineStr">
        <is>
          <t>MTR-IOS-2267</t>
        </is>
      </c>
      <c r="B2268" t="inlineStr">
        <is>
          <t>Trip</t>
        </is>
      </c>
      <c r="C2268" t="inlineStr">
        <is>
          <t>SHARES</t>
        </is>
      </c>
      <c r="D2268" t="inlineStr">
        <is>
          <t>IOS Aarav</t>
        </is>
      </c>
      <c r="E2268" s="16" t="n">
        <v>0</v>
      </c>
      <c r="F2268" s="16" t="n">
        <v>3695.84</v>
      </c>
      <c r="G2268" s="17" t="n"/>
      <c r="H2268" s="16" t="n">
        <v>-3695.84</v>
      </c>
      <c r="I2268" s="16" t="n">
        <v>0</v>
      </c>
    </row>
    <row r="2269">
      <c r="A2269" t="inlineStr">
        <is>
          <t>MTR-IOS-2267</t>
        </is>
      </c>
      <c r="B2269" t="inlineStr">
        <is>
          <t>Trip</t>
        </is>
      </c>
      <c r="C2269" t="inlineStr">
        <is>
          <t>SHARES</t>
        </is>
      </c>
      <c r="D2269" t="inlineStr">
        <is>
          <t>IOS Meera</t>
        </is>
      </c>
      <c r="E2269" s="16" t="n">
        <v>11087.51</v>
      </c>
      <c r="F2269" s="16" t="n">
        <v>1847.91</v>
      </c>
      <c r="G2269" s="17" t="n"/>
      <c r="H2269" s="16" t="n">
        <v>9239.6</v>
      </c>
      <c r="I2269" s="16" t="n">
        <v>0</v>
      </c>
    </row>
    <row r="2270">
      <c r="A2270" t="inlineStr">
        <is>
          <t>MTR-IOS-2270</t>
        </is>
      </c>
      <c r="B2270" t="inlineStr">
        <is>
          <t>Trip</t>
        </is>
      </c>
      <c r="C2270" t="inlineStr">
        <is>
          <t>EQUAL</t>
        </is>
      </c>
      <c r="D2270" t="inlineStr">
        <is>
          <t>IOS Owner</t>
        </is>
      </c>
      <c r="E2270" s="16" t="n">
        <v>2382.8</v>
      </c>
      <c r="F2270" s="16" t="n">
        <v>794.27</v>
      </c>
      <c r="G2270" s="17" t="n"/>
      <c r="H2270" s="16" t="n">
        <v>1588.53</v>
      </c>
      <c r="I2270" s="16" t="n">
        <v>0</v>
      </c>
    </row>
    <row r="2271">
      <c r="A2271" t="inlineStr">
        <is>
          <t>MTR-IOS-2270</t>
        </is>
      </c>
      <c r="B2271" t="inlineStr">
        <is>
          <t>Trip</t>
        </is>
      </c>
      <c r="C2271" t="inlineStr">
        <is>
          <t>EQUAL</t>
        </is>
      </c>
      <c r="D2271" t="inlineStr">
        <is>
          <t>IOS Aarav</t>
        </is>
      </c>
      <c r="E2271" s="16" t="n">
        <v>0</v>
      </c>
      <c r="F2271" s="16" t="n">
        <v>794.27</v>
      </c>
      <c r="G2271" s="17" t="n"/>
      <c r="H2271" s="16" t="n">
        <v>-794.27</v>
      </c>
      <c r="I2271" s="16" t="n">
        <v>0</v>
      </c>
    </row>
    <row r="2272">
      <c r="A2272" t="inlineStr">
        <is>
          <t>MTR-IOS-2270</t>
        </is>
      </c>
      <c r="B2272" t="inlineStr">
        <is>
          <t>Trip</t>
        </is>
      </c>
      <c r="C2272" t="inlineStr">
        <is>
          <t>EQUAL</t>
        </is>
      </c>
      <c r="D2272" t="inlineStr">
        <is>
          <t>IOS Meera</t>
        </is>
      </c>
      <c r="E2272" s="16" t="n">
        <v>0</v>
      </c>
      <c r="F2272" s="16" t="n">
        <v>794.26</v>
      </c>
      <c r="G2272" s="17" t="n"/>
      <c r="H2272" s="16" t="n">
        <v>-794.26</v>
      </c>
      <c r="I2272" s="16" t="n">
        <v>0</v>
      </c>
    </row>
    <row r="2273">
      <c r="A2273" t="inlineStr">
        <is>
          <t>MTR-IOS-2273</t>
        </is>
      </c>
      <c r="B2273" t="inlineStr">
        <is>
          <t>Trip</t>
        </is>
      </c>
      <c r="C2273" t="inlineStr">
        <is>
          <t>PERCENTAGE</t>
        </is>
      </c>
      <c r="D2273" t="inlineStr">
        <is>
          <t>IOS Owner</t>
        </is>
      </c>
      <c r="E2273" s="16" t="n">
        <v>0</v>
      </c>
      <c r="F2273" s="16" t="n">
        <v>8419.17</v>
      </c>
      <c r="G2273" s="17" t="n">
        <v>50</v>
      </c>
      <c r="H2273" s="16" t="n">
        <v>-8419.17</v>
      </c>
      <c r="I2273" s="16" t="n">
        <v>0</v>
      </c>
    </row>
    <row r="2274">
      <c r="A2274" t="inlineStr">
        <is>
          <t>MTR-IOS-2273</t>
        </is>
      </c>
      <c r="B2274" t="inlineStr">
        <is>
          <t>Trip</t>
        </is>
      </c>
      <c r="C2274" t="inlineStr">
        <is>
          <t>PERCENTAGE</t>
        </is>
      </c>
      <c r="D2274" t="inlineStr">
        <is>
          <t>IOS Aarav</t>
        </is>
      </c>
      <c r="E2274" s="16" t="n">
        <v>16838.33</v>
      </c>
      <c r="F2274" s="16" t="n">
        <v>5051.5</v>
      </c>
      <c r="G2274" s="17" t="n">
        <v>30</v>
      </c>
      <c r="H2274" s="16" t="n">
        <v>11786.83</v>
      </c>
      <c r="I2274" s="16" t="n">
        <v>0</v>
      </c>
    </row>
    <row r="2275">
      <c r="A2275" t="inlineStr">
        <is>
          <t>MTR-IOS-2273</t>
        </is>
      </c>
      <c r="B2275" t="inlineStr">
        <is>
          <t>Trip</t>
        </is>
      </c>
      <c r="C2275" t="inlineStr">
        <is>
          <t>PERCENTAGE</t>
        </is>
      </c>
      <c r="D2275" t="inlineStr">
        <is>
          <t>IOS Meera</t>
        </is>
      </c>
      <c r="E2275" s="16" t="n">
        <v>0</v>
      </c>
      <c r="F2275" s="16" t="n">
        <v>3367.66</v>
      </c>
      <c r="G2275" s="17" t="n">
        <v>20</v>
      </c>
      <c r="H2275" s="16" t="n">
        <v>-3367.66</v>
      </c>
      <c r="I2275" s="16" t="n">
        <v>0</v>
      </c>
    </row>
    <row r="2276">
      <c r="A2276" t="inlineStr">
        <is>
          <t>MTR-IOS-2276</t>
        </is>
      </c>
      <c r="B2276" t="inlineStr">
        <is>
          <t>Trip</t>
        </is>
      </c>
      <c r="C2276" t="inlineStr">
        <is>
          <t>EXACT</t>
        </is>
      </c>
      <c r="D2276" t="inlineStr">
        <is>
          <t>IOS Owner</t>
        </is>
      </c>
      <c r="E2276" s="16" t="n">
        <v>0</v>
      </c>
      <c r="F2276" s="16" t="n">
        <v>1142.7</v>
      </c>
      <c r="G2276" s="17" t="n"/>
      <c r="H2276" s="16" t="n">
        <v>-1142.7</v>
      </c>
      <c r="I2276" s="16" t="n">
        <v>0</v>
      </c>
    </row>
    <row r="2277">
      <c r="A2277" t="inlineStr">
        <is>
          <t>MTR-IOS-2276</t>
        </is>
      </c>
      <c r="B2277" t="inlineStr">
        <is>
          <t>Trip</t>
        </is>
      </c>
      <c r="C2277" t="inlineStr">
        <is>
          <t>EXACT</t>
        </is>
      </c>
      <c r="D2277" t="inlineStr">
        <is>
          <t>IOS Aarav</t>
        </is>
      </c>
      <c r="E2277" s="16" t="n">
        <v>0</v>
      </c>
      <c r="F2277" s="16" t="n">
        <v>1142.7</v>
      </c>
      <c r="G2277" s="17" t="n"/>
      <c r="H2277" s="16" t="n">
        <v>-1142.7</v>
      </c>
      <c r="I2277" s="16" t="n">
        <v>0</v>
      </c>
    </row>
    <row r="2278">
      <c r="A2278" t="inlineStr">
        <is>
          <t>MTR-IOS-2276</t>
        </is>
      </c>
      <c r="B2278" t="inlineStr">
        <is>
          <t>Trip</t>
        </is>
      </c>
      <c r="C2278" t="inlineStr">
        <is>
          <t>EXACT</t>
        </is>
      </c>
      <c r="D2278" t="inlineStr">
        <is>
          <t>IOS Meera</t>
        </is>
      </c>
      <c r="E2278" s="16" t="n">
        <v>3431.53</v>
      </c>
      <c r="F2278" s="16" t="n">
        <v>1146.13</v>
      </c>
      <c r="G2278" s="17" t="n"/>
      <c r="H2278" s="16" t="n">
        <v>2285.4</v>
      </c>
      <c r="I2278" s="16" t="n">
        <v>0</v>
      </c>
    </row>
    <row r="2279">
      <c r="A2279" t="inlineStr">
        <is>
          <t>MTR-IOS-2279</t>
        </is>
      </c>
      <c r="B2279" t="inlineStr">
        <is>
          <t>Trip</t>
        </is>
      </c>
      <c r="C2279" t="inlineStr">
        <is>
          <t>SHARES</t>
        </is>
      </c>
      <c r="D2279" t="inlineStr">
        <is>
          <t>IOS Owner</t>
        </is>
      </c>
      <c r="E2279" s="16" t="n">
        <v>21926.81</v>
      </c>
      <c r="F2279" s="16" t="n">
        <v>10963.41</v>
      </c>
      <c r="G2279" s="17" t="n"/>
      <c r="H2279" s="16" t="n">
        <v>10963.4</v>
      </c>
      <c r="I2279" s="16" t="n">
        <v>0</v>
      </c>
    </row>
    <row r="2280">
      <c r="A2280" t="inlineStr">
        <is>
          <t>MTR-IOS-2279</t>
        </is>
      </c>
      <c r="B2280" t="inlineStr">
        <is>
          <t>Trip</t>
        </is>
      </c>
      <c r="C2280" t="inlineStr">
        <is>
          <t>SHARES</t>
        </is>
      </c>
      <c r="D2280" t="inlineStr">
        <is>
          <t>IOS Aarav</t>
        </is>
      </c>
      <c r="E2280" s="16" t="n">
        <v>0</v>
      </c>
      <c r="F2280" s="16" t="n">
        <v>7308.94</v>
      </c>
      <c r="G2280" s="17" t="n"/>
      <c r="H2280" s="16" t="n">
        <v>-7308.94</v>
      </c>
      <c r="I2280" s="16" t="n">
        <v>0</v>
      </c>
    </row>
    <row r="2281">
      <c r="A2281" t="inlineStr">
        <is>
          <t>MTR-IOS-2279</t>
        </is>
      </c>
      <c r="B2281" t="inlineStr">
        <is>
          <t>Trip</t>
        </is>
      </c>
      <c r="C2281" t="inlineStr">
        <is>
          <t>SHARES</t>
        </is>
      </c>
      <c r="D2281" t="inlineStr">
        <is>
          <t>IOS Meera</t>
        </is>
      </c>
      <c r="E2281" s="16" t="n">
        <v>0</v>
      </c>
      <c r="F2281" s="16" t="n">
        <v>3654.46</v>
      </c>
      <c r="G2281" s="17" t="n"/>
      <c r="H2281" s="16" t="n">
        <v>-3654.46</v>
      </c>
      <c r="I2281" s="16" t="n">
        <v>0</v>
      </c>
    </row>
    <row r="2282">
      <c r="A2282" t="inlineStr">
        <is>
          <t>MTR-IOS-2282</t>
        </is>
      </c>
      <c r="B2282" t="inlineStr">
        <is>
          <t>Trip</t>
        </is>
      </c>
      <c r="C2282" t="inlineStr">
        <is>
          <t>EQUAL</t>
        </is>
      </c>
      <c r="D2282" t="inlineStr">
        <is>
          <t>IOS Owner</t>
        </is>
      </c>
      <c r="E2282" s="16" t="n">
        <v>0</v>
      </c>
      <c r="F2282" s="16" t="n">
        <v>2836.04</v>
      </c>
      <c r="G2282" s="17" t="n"/>
      <c r="H2282" s="16" t="n">
        <v>-2836.04</v>
      </c>
      <c r="I2282" s="16" t="n">
        <v>0</v>
      </c>
    </row>
    <row r="2283">
      <c r="A2283" t="inlineStr">
        <is>
          <t>MTR-IOS-2282</t>
        </is>
      </c>
      <c r="B2283" t="inlineStr">
        <is>
          <t>Trip</t>
        </is>
      </c>
      <c r="C2283" t="inlineStr">
        <is>
          <t>EQUAL</t>
        </is>
      </c>
      <c r="D2283" t="inlineStr">
        <is>
          <t>IOS Aarav</t>
        </is>
      </c>
      <c r="E2283" s="16" t="n">
        <v>8508.129999999999</v>
      </c>
      <c r="F2283" s="16" t="n">
        <v>2836.04</v>
      </c>
      <c r="G2283" s="17" t="n"/>
      <c r="H2283" s="16" t="n">
        <v>5672.09</v>
      </c>
      <c r="I2283" s="16" t="n">
        <v>0</v>
      </c>
    </row>
    <row r="2284">
      <c r="A2284" t="inlineStr">
        <is>
          <t>MTR-IOS-2282</t>
        </is>
      </c>
      <c r="B2284" t="inlineStr">
        <is>
          <t>Trip</t>
        </is>
      </c>
      <c r="C2284" t="inlineStr">
        <is>
          <t>EQUAL</t>
        </is>
      </c>
      <c r="D2284" t="inlineStr">
        <is>
          <t>IOS Meera</t>
        </is>
      </c>
      <c r="E2284" s="16" t="n">
        <v>0</v>
      </c>
      <c r="F2284" s="16" t="n">
        <v>2836.05</v>
      </c>
      <c r="G2284" s="17" t="n"/>
      <c r="H2284" s="16" t="n">
        <v>-2836.05</v>
      </c>
      <c r="I2284" s="16" t="n">
        <v>0</v>
      </c>
    </row>
    <row r="2285">
      <c r="A2285" t="inlineStr">
        <is>
          <t>MTR-IOS-2285</t>
        </is>
      </c>
      <c r="B2285" t="inlineStr">
        <is>
          <t>Wedding</t>
        </is>
      </c>
      <c r="C2285" t="inlineStr">
        <is>
          <t>PERCENTAGE</t>
        </is>
      </c>
      <c r="D2285" t="inlineStr">
        <is>
          <t>IOS Owner</t>
        </is>
      </c>
      <c r="E2285" s="16" t="n">
        <v>0</v>
      </c>
      <c r="F2285" s="16" t="n">
        <v>9342.940000000001</v>
      </c>
      <c r="G2285" s="17" t="n">
        <v>50</v>
      </c>
      <c r="H2285" s="16" t="n">
        <v>-9342.940000000001</v>
      </c>
      <c r="I2285" s="16" t="n">
        <v>0</v>
      </c>
    </row>
    <row r="2286">
      <c r="A2286" t="inlineStr">
        <is>
          <t>MTR-IOS-2285</t>
        </is>
      </c>
      <c r="B2286" t="inlineStr">
        <is>
          <t>Wedding</t>
        </is>
      </c>
      <c r="C2286" t="inlineStr">
        <is>
          <t>PERCENTAGE</t>
        </is>
      </c>
      <c r="D2286" t="inlineStr">
        <is>
          <t>IOS Aarav</t>
        </is>
      </c>
      <c r="E2286" s="16" t="n">
        <v>0</v>
      </c>
      <c r="F2286" s="16" t="n">
        <v>5605.76</v>
      </c>
      <c r="G2286" s="17" t="n">
        <v>30</v>
      </c>
      <c r="H2286" s="16" t="n">
        <v>-5605.76</v>
      </c>
      <c r="I2286" s="16" t="n">
        <v>0</v>
      </c>
    </row>
    <row r="2287">
      <c r="A2287" t="inlineStr">
        <is>
          <t>MTR-IOS-2285</t>
        </is>
      </c>
      <c r="B2287" t="inlineStr">
        <is>
          <t>Wedding</t>
        </is>
      </c>
      <c r="C2287" t="inlineStr">
        <is>
          <t>PERCENTAGE</t>
        </is>
      </c>
      <c r="D2287" t="inlineStr">
        <is>
          <t>IOS Meera</t>
        </is>
      </c>
      <c r="E2287" s="16" t="n">
        <v>18685.87</v>
      </c>
      <c r="F2287" s="16" t="n">
        <v>3737.17</v>
      </c>
      <c r="G2287" s="17" t="n">
        <v>20</v>
      </c>
      <c r="H2287" s="16" t="n">
        <v>14948.7</v>
      </c>
      <c r="I2287" s="16" t="n">
        <v>0</v>
      </c>
    </row>
    <row r="2288">
      <c r="A2288" t="inlineStr">
        <is>
          <t>MTR-IOS-2288</t>
        </is>
      </c>
      <c r="B2288" t="inlineStr">
        <is>
          <t>Wedding</t>
        </is>
      </c>
      <c r="C2288" t="inlineStr">
        <is>
          <t>EXACT</t>
        </is>
      </c>
      <c r="D2288" t="inlineStr">
        <is>
          <t>IOS Owner</t>
        </is>
      </c>
      <c r="E2288" s="16" t="n">
        <v>5001.39</v>
      </c>
      <c r="F2288" s="16" t="n">
        <v>1665.46</v>
      </c>
      <c r="G2288" s="17" t="n"/>
      <c r="H2288" s="16" t="n">
        <v>3335.93</v>
      </c>
      <c r="I2288" s="16" t="n">
        <v>0</v>
      </c>
    </row>
    <row r="2289">
      <c r="A2289" t="inlineStr">
        <is>
          <t>MTR-IOS-2288</t>
        </is>
      </c>
      <c r="B2289" t="inlineStr">
        <is>
          <t>Wedding</t>
        </is>
      </c>
      <c r="C2289" t="inlineStr">
        <is>
          <t>EXACT</t>
        </is>
      </c>
      <c r="D2289" t="inlineStr">
        <is>
          <t>IOS Aarav</t>
        </is>
      </c>
      <c r="E2289" s="16" t="n">
        <v>0</v>
      </c>
      <c r="F2289" s="16" t="n">
        <v>1665.46</v>
      </c>
      <c r="G2289" s="17" t="n"/>
      <c r="H2289" s="16" t="n">
        <v>-1665.46</v>
      </c>
      <c r="I2289" s="16" t="n">
        <v>0</v>
      </c>
    </row>
    <row r="2290">
      <c r="A2290" t="inlineStr">
        <is>
          <t>MTR-IOS-2288</t>
        </is>
      </c>
      <c r="B2290" t="inlineStr">
        <is>
          <t>Wedding</t>
        </is>
      </c>
      <c r="C2290" t="inlineStr">
        <is>
          <t>EXACT</t>
        </is>
      </c>
      <c r="D2290" t="inlineStr">
        <is>
          <t>IOS Meera</t>
        </is>
      </c>
      <c r="E2290" s="16" t="n">
        <v>0</v>
      </c>
      <c r="F2290" s="16" t="n">
        <v>1670.47</v>
      </c>
      <c r="G2290" s="17" t="n"/>
      <c r="H2290" s="16" t="n">
        <v>-1670.47</v>
      </c>
      <c r="I2290" s="16" t="n">
        <v>0</v>
      </c>
    </row>
    <row r="2291">
      <c r="A2291" t="inlineStr">
        <is>
          <t>MTR-IOS-2291</t>
        </is>
      </c>
      <c r="B2291" t="inlineStr">
        <is>
          <t>Wedding</t>
        </is>
      </c>
      <c r="C2291" t="inlineStr">
        <is>
          <t>SHARES</t>
        </is>
      </c>
      <c r="D2291" t="inlineStr">
        <is>
          <t>IOS Owner</t>
        </is>
      </c>
      <c r="E2291" s="16" t="n">
        <v>0</v>
      </c>
      <c r="F2291" s="16" t="n">
        <v>7998.86</v>
      </c>
      <c r="G2291" s="17" t="n"/>
      <c r="H2291" s="16" t="n">
        <v>-7998.86</v>
      </c>
      <c r="I2291" s="16" t="n">
        <v>0</v>
      </c>
    </row>
    <row r="2292">
      <c r="A2292" t="inlineStr">
        <is>
          <t>MTR-IOS-2291</t>
        </is>
      </c>
      <c r="B2292" t="inlineStr">
        <is>
          <t>Wedding</t>
        </is>
      </c>
      <c r="C2292" t="inlineStr">
        <is>
          <t>SHARES</t>
        </is>
      </c>
      <c r="D2292" t="inlineStr">
        <is>
          <t>IOS Aarav</t>
        </is>
      </c>
      <c r="E2292" s="16" t="n">
        <v>15997.71</v>
      </c>
      <c r="F2292" s="16" t="n">
        <v>5332.57</v>
      </c>
      <c r="G2292" s="17" t="n"/>
      <c r="H2292" s="16" t="n">
        <v>10665.14</v>
      </c>
      <c r="I2292" s="16" t="n">
        <v>0</v>
      </c>
    </row>
    <row r="2293">
      <c r="A2293" t="inlineStr">
        <is>
          <t>MTR-IOS-2291</t>
        </is>
      </c>
      <c r="B2293" t="inlineStr">
        <is>
          <t>Wedding</t>
        </is>
      </c>
      <c r="C2293" t="inlineStr">
        <is>
          <t>SHARES</t>
        </is>
      </c>
      <c r="D2293" t="inlineStr">
        <is>
          <t>IOS Meera</t>
        </is>
      </c>
      <c r="E2293" s="16" t="n">
        <v>0</v>
      </c>
      <c r="F2293" s="16" t="n">
        <v>2666.28</v>
      </c>
      <c r="G2293" s="17" t="n"/>
      <c r="H2293" s="16" t="n">
        <v>-2666.28</v>
      </c>
      <c r="I2293" s="16" t="n">
        <v>0</v>
      </c>
    </row>
    <row r="2294">
      <c r="A2294" t="inlineStr">
        <is>
          <t>MTR-IOS-2294</t>
        </is>
      </c>
      <c r="B2294" t="inlineStr">
        <is>
          <t>Wedding</t>
        </is>
      </c>
      <c r="C2294" t="inlineStr">
        <is>
          <t>EQUAL</t>
        </is>
      </c>
      <c r="D2294" t="inlineStr">
        <is>
          <t>IOS Owner</t>
        </is>
      </c>
      <c r="E2294" s="16" t="n">
        <v>0</v>
      </c>
      <c r="F2294" s="16" t="n">
        <v>33.33</v>
      </c>
      <c r="G2294" s="17" t="n"/>
      <c r="H2294" s="16" t="n">
        <v>-33.33</v>
      </c>
      <c r="I2294" s="16" t="n">
        <v>0</v>
      </c>
    </row>
    <row r="2295">
      <c r="A2295" t="inlineStr">
        <is>
          <t>MTR-IOS-2294</t>
        </is>
      </c>
      <c r="B2295" t="inlineStr">
        <is>
          <t>Wedding</t>
        </is>
      </c>
      <c r="C2295" t="inlineStr">
        <is>
          <t>EQUAL</t>
        </is>
      </c>
      <c r="D2295" t="inlineStr">
        <is>
          <t>IOS Aarav</t>
        </is>
      </c>
      <c r="E2295" s="16" t="n">
        <v>0</v>
      </c>
      <c r="F2295" s="16" t="n">
        <v>33.33</v>
      </c>
      <c r="G2295" s="17" t="n"/>
      <c r="H2295" s="16" t="n">
        <v>-33.33</v>
      </c>
      <c r="I2295" s="16" t="n">
        <v>0</v>
      </c>
    </row>
    <row r="2296">
      <c r="A2296" t="inlineStr">
        <is>
          <t>MTR-IOS-2294</t>
        </is>
      </c>
      <c r="B2296" t="inlineStr">
        <is>
          <t>Wedding</t>
        </is>
      </c>
      <c r="C2296" t="inlineStr">
        <is>
          <t>EQUAL</t>
        </is>
      </c>
      <c r="D2296" t="inlineStr">
        <is>
          <t>IOS Meera</t>
        </is>
      </c>
      <c r="E2296" s="16" t="n">
        <v>99.98999999999999</v>
      </c>
      <c r="F2296" s="16" t="n">
        <v>33.33</v>
      </c>
      <c r="G2296" s="17" t="n"/>
      <c r="H2296" s="16" t="n">
        <v>66.66</v>
      </c>
      <c r="I2296" s="16" t="n">
        <v>0</v>
      </c>
    </row>
    <row r="2297">
      <c r="A2297" t="inlineStr">
        <is>
          <t>MTR-IOS-2297</t>
        </is>
      </c>
      <c r="B2297" t="inlineStr">
        <is>
          <t>Wedding</t>
        </is>
      </c>
      <c r="C2297" t="inlineStr">
        <is>
          <t>PERCENTAGE</t>
        </is>
      </c>
      <c r="D2297" t="inlineStr">
        <is>
          <t>IOS Owner</t>
        </is>
      </c>
      <c r="E2297" s="16" t="n">
        <v>3299.52</v>
      </c>
      <c r="F2297" s="16" t="n">
        <v>1649.76</v>
      </c>
      <c r="G2297" s="17" t="n">
        <v>50</v>
      </c>
      <c r="H2297" s="16" t="n">
        <v>1649.76</v>
      </c>
      <c r="I2297" s="16" t="n">
        <v>0</v>
      </c>
    </row>
    <row r="2298">
      <c r="A2298" t="inlineStr">
        <is>
          <t>MTR-IOS-2297</t>
        </is>
      </c>
      <c r="B2298" t="inlineStr">
        <is>
          <t>Wedding</t>
        </is>
      </c>
      <c r="C2298" t="inlineStr">
        <is>
          <t>PERCENTAGE</t>
        </is>
      </c>
      <c r="D2298" t="inlineStr">
        <is>
          <t>IOS Aarav</t>
        </is>
      </c>
      <c r="E2298" s="16" t="n">
        <v>0</v>
      </c>
      <c r="F2298" s="16" t="n">
        <v>989.86</v>
      </c>
      <c r="G2298" s="17" t="n">
        <v>30</v>
      </c>
      <c r="H2298" s="16" t="n">
        <v>-989.86</v>
      </c>
      <c r="I2298" s="16" t="n">
        <v>0</v>
      </c>
    </row>
    <row r="2299">
      <c r="A2299" t="inlineStr">
        <is>
          <t>MTR-IOS-2297</t>
        </is>
      </c>
      <c r="B2299" t="inlineStr">
        <is>
          <t>Wedding</t>
        </is>
      </c>
      <c r="C2299" t="inlineStr">
        <is>
          <t>PERCENTAGE</t>
        </is>
      </c>
      <c r="D2299" t="inlineStr">
        <is>
          <t>IOS Meera</t>
        </is>
      </c>
      <c r="E2299" s="16" t="n">
        <v>0</v>
      </c>
      <c r="F2299" s="16" t="n">
        <v>659.9</v>
      </c>
      <c r="G2299" s="17" t="n">
        <v>20</v>
      </c>
      <c r="H2299" s="16" t="n">
        <v>-659.9</v>
      </c>
      <c r="I2299" s="16" t="n">
        <v>0</v>
      </c>
    </row>
    <row r="2300">
      <c r="A2300" t="inlineStr">
        <is>
          <t>MTR-IOS-2300</t>
        </is>
      </c>
      <c r="B2300" t="inlineStr">
        <is>
          <t>Wedding</t>
        </is>
      </c>
      <c r="C2300" t="inlineStr">
        <is>
          <t>EXACT</t>
        </is>
      </c>
      <c r="D2300" t="inlineStr">
        <is>
          <t>IOS Owner</t>
        </is>
      </c>
      <c r="E2300" s="16" t="n">
        <v>0</v>
      </c>
      <c r="F2300" s="16" t="n">
        <v>2470.45</v>
      </c>
      <c r="G2300" s="17" t="n"/>
      <c r="H2300" s="16" t="n">
        <v>-2470.45</v>
      </c>
      <c r="I2300" s="16" t="n">
        <v>0</v>
      </c>
    </row>
    <row r="2301">
      <c r="A2301" t="inlineStr">
        <is>
          <t>MTR-IOS-2300</t>
        </is>
      </c>
      <c r="B2301" t="inlineStr">
        <is>
          <t>Wedding</t>
        </is>
      </c>
      <c r="C2301" t="inlineStr">
        <is>
          <t>EXACT</t>
        </is>
      </c>
      <c r="D2301" t="inlineStr">
        <is>
          <t>IOS Aarav</t>
        </is>
      </c>
      <c r="E2301" s="16" t="n">
        <v>7418.78</v>
      </c>
      <c r="F2301" s="16" t="n">
        <v>2470.45</v>
      </c>
      <c r="G2301" s="17" t="n"/>
      <c r="H2301" s="16" t="n">
        <v>4948.33</v>
      </c>
      <c r="I2301" s="16" t="n">
        <v>0</v>
      </c>
    </row>
    <row r="2302">
      <c r="A2302" t="inlineStr">
        <is>
          <t>MTR-IOS-2300</t>
        </is>
      </c>
      <c r="B2302" t="inlineStr">
        <is>
          <t>Wedding</t>
        </is>
      </c>
      <c r="C2302" t="inlineStr">
        <is>
          <t>EXACT</t>
        </is>
      </c>
      <c r="D2302" t="inlineStr">
        <is>
          <t>IOS Meera</t>
        </is>
      </c>
      <c r="E2302" s="16" t="n">
        <v>0</v>
      </c>
      <c r="F2302" s="16" t="n">
        <v>2477.88</v>
      </c>
      <c r="G2302" s="17" t="n"/>
      <c r="H2302" s="16" t="n">
        <v>-2477.88</v>
      </c>
      <c r="I2302" s="16" t="n">
        <v>0</v>
      </c>
    </row>
    <row r="2303">
      <c r="A2303" t="inlineStr">
        <is>
          <t>MTR-IOS-2303</t>
        </is>
      </c>
      <c r="B2303" t="inlineStr">
        <is>
          <t>Wedding</t>
        </is>
      </c>
      <c r="C2303" t="inlineStr">
        <is>
          <t>SHARES</t>
        </is>
      </c>
      <c r="D2303" t="inlineStr">
        <is>
          <t>IOS Owner</t>
        </is>
      </c>
      <c r="E2303" s="16" t="n">
        <v>0</v>
      </c>
      <c r="F2303" s="16" t="n">
        <v>9433.93</v>
      </c>
      <c r="G2303" s="17" t="n"/>
      <c r="H2303" s="16" t="n">
        <v>-9433.93</v>
      </c>
      <c r="I2303" s="16" t="n">
        <v>0</v>
      </c>
    </row>
    <row r="2304">
      <c r="A2304" t="inlineStr">
        <is>
          <t>MTR-IOS-2303</t>
        </is>
      </c>
      <c r="B2304" t="inlineStr">
        <is>
          <t>Wedding</t>
        </is>
      </c>
      <c r="C2304" t="inlineStr">
        <is>
          <t>SHARES</t>
        </is>
      </c>
      <c r="D2304" t="inlineStr">
        <is>
          <t>IOS Aarav</t>
        </is>
      </c>
      <c r="E2304" s="16" t="n">
        <v>0</v>
      </c>
      <c r="F2304" s="16" t="n">
        <v>6289.28</v>
      </c>
      <c r="G2304" s="17" t="n"/>
      <c r="H2304" s="16" t="n">
        <v>-6289.28</v>
      </c>
      <c r="I2304" s="16" t="n">
        <v>0</v>
      </c>
    </row>
    <row r="2305">
      <c r="A2305" t="inlineStr">
        <is>
          <t>MTR-IOS-2303</t>
        </is>
      </c>
      <c r="B2305" t="inlineStr">
        <is>
          <t>Wedding</t>
        </is>
      </c>
      <c r="C2305" t="inlineStr">
        <is>
          <t>SHARES</t>
        </is>
      </c>
      <c r="D2305" t="inlineStr">
        <is>
          <t>IOS Meera</t>
        </is>
      </c>
      <c r="E2305" s="16" t="n">
        <v>18867.85</v>
      </c>
      <c r="F2305" s="16" t="n">
        <v>3144.64</v>
      </c>
      <c r="G2305" s="17" t="n"/>
      <c r="H2305" s="16" t="n">
        <v>15723.21</v>
      </c>
      <c r="I2305" s="16" t="n">
        <v>0</v>
      </c>
    </row>
    <row r="2306">
      <c r="A2306" t="inlineStr">
        <is>
          <t>MTR-IOS-2306</t>
        </is>
      </c>
      <c r="B2306" t="inlineStr">
        <is>
          <t>Office Outing</t>
        </is>
      </c>
      <c r="C2306" t="inlineStr">
        <is>
          <t>EQUAL</t>
        </is>
      </c>
      <c r="D2306" t="inlineStr">
        <is>
          <t>IOS Owner</t>
        </is>
      </c>
      <c r="E2306" s="16" t="n">
        <v>4565.88</v>
      </c>
      <c r="F2306" s="16" t="n">
        <v>1521.96</v>
      </c>
      <c r="G2306" s="17" t="n"/>
      <c r="H2306" s="16" t="n">
        <v>3043.92</v>
      </c>
      <c r="I2306" s="16" t="n">
        <v>0</v>
      </c>
    </row>
    <row r="2307">
      <c r="A2307" t="inlineStr">
        <is>
          <t>MTR-IOS-2306</t>
        </is>
      </c>
      <c r="B2307" t="inlineStr">
        <is>
          <t>Office Outing</t>
        </is>
      </c>
      <c r="C2307" t="inlineStr">
        <is>
          <t>EQUAL</t>
        </is>
      </c>
      <c r="D2307" t="inlineStr">
        <is>
          <t>IOS Aarav</t>
        </is>
      </c>
      <c r="E2307" s="16" t="n">
        <v>0</v>
      </c>
      <c r="F2307" s="16" t="n">
        <v>1521.96</v>
      </c>
      <c r="G2307" s="17" t="n"/>
      <c r="H2307" s="16" t="n">
        <v>-1521.96</v>
      </c>
      <c r="I2307" s="16" t="n">
        <v>0</v>
      </c>
    </row>
    <row r="2308">
      <c r="A2308" t="inlineStr">
        <is>
          <t>MTR-IOS-2306</t>
        </is>
      </c>
      <c r="B2308" t="inlineStr">
        <is>
          <t>Office Outing</t>
        </is>
      </c>
      <c r="C2308" t="inlineStr">
        <is>
          <t>EQUAL</t>
        </is>
      </c>
      <c r="D2308" t="inlineStr">
        <is>
          <t>IOS Meera</t>
        </is>
      </c>
      <c r="E2308" s="16" t="n">
        <v>0</v>
      </c>
      <c r="F2308" s="16" t="n">
        <v>1521.96</v>
      </c>
      <c r="G2308" s="17" t="n"/>
      <c r="H2308" s="16" t="n">
        <v>-1521.96</v>
      </c>
      <c r="I2308" s="16" t="n">
        <v>0</v>
      </c>
    </row>
    <row r="2309">
      <c r="A2309" t="inlineStr">
        <is>
          <t>MTR-IOS-2309</t>
        </is>
      </c>
      <c r="B2309" t="inlineStr">
        <is>
          <t>Office Outing</t>
        </is>
      </c>
      <c r="C2309" t="inlineStr">
        <is>
          <t>PERCENTAGE</t>
        </is>
      </c>
      <c r="D2309" t="inlineStr">
        <is>
          <t>IOS Owner</t>
        </is>
      </c>
      <c r="E2309" s="16" t="n">
        <v>0</v>
      </c>
      <c r="F2309" s="16" t="n">
        <v>10174.65</v>
      </c>
      <c r="G2309" s="17" t="n">
        <v>50</v>
      </c>
      <c r="H2309" s="16" t="n">
        <v>-10174.65</v>
      </c>
      <c r="I2309" s="16" t="n">
        <v>0</v>
      </c>
    </row>
    <row r="2310">
      <c r="A2310" t="inlineStr">
        <is>
          <t>MTR-IOS-2309</t>
        </is>
      </c>
      <c r="B2310" t="inlineStr">
        <is>
          <t>Office Outing</t>
        </is>
      </c>
      <c r="C2310" t="inlineStr">
        <is>
          <t>PERCENTAGE</t>
        </is>
      </c>
      <c r="D2310" t="inlineStr">
        <is>
          <t>IOS Aarav</t>
        </is>
      </c>
      <c r="E2310" s="16" t="n">
        <v>20349.3</v>
      </c>
      <c r="F2310" s="16" t="n">
        <v>6104.79</v>
      </c>
      <c r="G2310" s="17" t="n">
        <v>30</v>
      </c>
      <c r="H2310" s="16" t="n">
        <v>14244.51</v>
      </c>
      <c r="I2310" s="16" t="n">
        <v>0</v>
      </c>
    </row>
    <row r="2311">
      <c r="A2311" t="inlineStr">
        <is>
          <t>MTR-IOS-2309</t>
        </is>
      </c>
      <c r="B2311" t="inlineStr">
        <is>
          <t>Office Outing</t>
        </is>
      </c>
      <c r="C2311" t="inlineStr">
        <is>
          <t>PERCENTAGE</t>
        </is>
      </c>
      <c r="D2311" t="inlineStr">
        <is>
          <t>IOS Meera</t>
        </is>
      </c>
      <c r="E2311" s="16" t="n">
        <v>0</v>
      </c>
      <c r="F2311" s="16" t="n">
        <v>4069.86</v>
      </c>
      <c r="G2311" s="17" t="n">
        <v>20</v>
      </c>
      <c r="H2311" s="16" t="n">
        <v>-4069.86</v>
      </c>
      <c r="I2311" s="16" t="n">
        <v>0</v>
      </c>
    </row>
    <row r="2312">
      <c r="A2312" t="inlineStr">
        <is>
          <t>MTR-IOS-2312</t>
        </is>
      </c>
      <c r="B2312" t="inlineStr">
        <is>
          <t>Office Outing</t>
        </is>
      </c>
      <c r="C2312" t="inlineStr">
        <is>
          <t>EXACT</t>
        </is>
      </c>
      <c r="D2312" t="inlineStr">
        <is>
          <t>IOS Owner</t>
        </is>
      </c>
      <c r="E2312" s="16" t="n">
        <v>0</v>
      </c>
      <c r="F2312" s="16" t="n">
        <v>1680.02</v>
      </c>
      <c r="G2312" s="17" t="n"/>
      <c r="H2312" s="16" t="n">
        <v>-1680.02</v>
      </c>
      <c r="I2312" s="16" t="n">
        <v>0</v>
      </c>
    </row>
    <row r="2313">
      <c r="A2313" t="inlineStr">
        <is>
          <t>MTR-IOS-2312</t>
        </is>
      </c>
      <c r="B2313" t="inlineStr">
        <is>
          <t>Office Outing</t>
        </is>
      </c>
      <c r="C2313" t="inlineStr">
        <is>
          <t>EXACT</t>
        </is>
      </c>
      <c r="D2313" t="inlineStr">
        <is>
          <t>IOS Aarav</t>
        </is>
      </c>
      <c r="E2313" s="16" t="n">
        <v>0</v>
      </c>
      <c r="F2313" s="16" t="n">
        <v>1680.02</v>
      </c>
      <c r="G2313" s="17" t="n"/>
      <c r="H2313" s="16" t="n">
        <v>-1680.02</v>
      </c>
      <c r="I2313" s="16" t="n">
        <v>0</v>
      </c>
    </row>
    <row r="2314">
      <c r="A2314" t="inlineStr">
        <is>
          <t>MTR-IOS-2312</t>
        </is>
      </c>
      <c r="B2314" t="inlineStr">
        <is>
          <t>Office Outing</t>
        </is>
      </c>
      <c r="C2314" t="inlineStr">
        <is>
          <t>EXACT</t>
        </is>
      </c>
      <c r="D2314" t="inlineStr">
        <is>
          <t>IOS Meera</t>
        </is>
      </c>
      <c r="E2314" s="16" t="n">
        <v>5045.1</v>
      </c>
      <c r="F2314" s="16" t="n">
        <v>1685.06</v>
      </c>
      <c r="G2314" s="17" t="n"/>
      <c r="H2314" s="16" t="n">
        <v>3360.04</v>
      </c>
      <c r="I2314" s="16" t="n">
        <v>0</v>
      </c>
    </row>
    <row r="2315">
      <c r="A2315" t="inlineStr">
        <is>
          <t>MTR-IOS-2315</t>
        </is>
      </c>
      <c r="B2315" t="inlineStr">
        <is>
          <t>Office Outing</t>
        </is>
      </c>
      <c r="C2315" t="inlineStr">
        <is>
          <t>SHARES</t>
        </is>
      </c>
      <c r="D2315" t="inlineStr">
        <is>
          <t>IOS Owner</t>
        </is>
      </c>
      <c r="E2315" s="16" t="n">
        <v>19692.96</v>
      </c>
      <c r="F2315" s="16" t="n">
        <v>9846.48</v>
      </c>
      <c r="G2315" s="17" t="n"/>
      <c r="H2315" s="16" t="n">
        <v>9846.48</v>
      </c>
      <c r="I2315" s="16" t="n">
        <v>0</v>
      </c>
    </row>
    <row r="2316">
      <c r="A2316" t="inlineStr">
        <is>
          <t>MTR-IOS-2315</t>
        </is>
      </c>
      <c r="B2316" t="inlineStr">
        <is>
          <t>Office Outing</t>
        </is>
      </c>
      <c r="C2316" t="inlineStr">
        <is>
          <t>SHARES</t>
        </is>
      </c>
      <c r="D2316" t="inlineStr">
        <is>
          <t>IOS Aarav</t>
        </is>
      </c>
      <c r="E2316" s="16" t="n">
        <v>0</v>
      </c>
      <c r="F2316" s="16" t="n">
        <v>6564.32</v>
      </c>
      <c r="G2316" s="17" t="n"/>
      <c r="H2316" s="16" t="n">
        <v>-6564.32</v>
      </c>
      <c r="I2316" s="16" t="n">
        <v>0</v>
      </c>
    </row>
    <row r="2317">
      <c r="A2317" t="inlineStr">
        <is>
          <t>MTR-IOS-2315</t>
        </is>
      </c>
      <c r="B2317" t="inlineStr">
        <is>
          <t>Office Outing</t>
        </is>
      </c>
      <c r="C2317" t="inlineStr">
        <is>
          <t>SHARES</t>
        </is>
      </c>
      <c r="D2317" t="inlineStr">
        <is>
          <t>IOS Meera</t>
        </is>
      </c>
      <c r="E2317" s="16" t="n">
        <v>0</v>
      </c>
      <c r="F2317" s="16" t="n">
        <v>3282.16</v>
      </c>
      <c r="G2317" s="17" t="n"/>
      <c r="H2317" s="16" t="n">
        <v>-3282.16</v>
      </c>
      <c r="I2317" s="16" t="n">
        <v>0</v>
      </c>
    </row>
    <row r="2318">
      <c r="A2318" t="inlineStr">
        <is>
          <t>MTR-IOS-2318</t>
        </is>
      </c>
      <c r="B2318" t="inlineStr">
        <is>
          <t>Office Outing</t>
        </is>
      </c>
      <c r="C2318" t="inlineStr">
        <is>
          <t>EQUAL</t>
        </is>
      </c>
      <c r="D2318" t="inlineStr">
        <is>
          <t>IOS Owner</t>
        </is>
      </c>
      <c r="E2318" s="16" t="n">
        <v>0</v>
      </c>
      <c r="F2318" s="16" t="n">
        <v>8423.73</v>
      </c>
      <c r="G2318" s="17" t="n"/>
      <c r="H2318" s="16" t="n">
        <v>-8423.73</v>
      </c>
      <c r="I2318" s="16" t="n">
        <v>0</v>
      </c>
    </row>
    <row r="2319">
      <c r="A2319" t="inlineStr">
        <is>
          <t>MTR-IOS-2318</t>
        </is>
      </c>
      <c r="B2319" t="inlineStr">
        <is>
          <t>Office Outing</t>
        </is>
      </c>
      <c r="C2319" t="inlineStr">
        <is>
          <t>EQUAL</t>
        </is>
      </c>
      <c r="D2319" t="inlineStr">
        <is>
          <t>IOS Aarav</t>
        </is>
      </c>
      <c r="E2319" s="16" t="n">
        <v>25271.2</v>
      </c>
      <c r="F2319" s="16" t="n">
        <v>8423.73</v>
      </c>
      <c r="G2319" s="17" t="n"/>
      <c r="H2319" s="16" t="n">
        <v>16847.47</v>
      </c>
      <c r="I2319" s="16" t="n">
        <v>0</v>
      </c>
    </row>
    <row r="2320">
      <c r="A2320" t="inlineStr">
        <is>
          <t>MTR-IOS-2318</t>
        </is>
      </c>
      <c r="B2320" t="inlineStr">
        <is>
          <t>Office Outing</t>
        </is>
      </c>
      <c r="C2320" t="inlineStr">
        <is>
          <t>EQUAL</t>
        </is>
      </c>
      <c r="D2320" t="inlineStr">
        <is>
          <t>IOS Meera</t>
        </is>
      </c>
      <c r="E2320" s="16" t="n">
        <v>0</v>
      </c>
      <c r="F2320" s="16" t="n">
        <v>8423.74</v>
      </c>
      <c r="G2320" s="17" t="n"/>
      <c r="H2320" s="16" t="n">
        <v>-8423.74</v>
      </c>
      <c r="I2320" s="16" t="n">
        <v>0</v>
      </c>
    </row>
    <row r="2321">
      <c r="A2321" t="inlineStr">
        <is>
          <t>MTR-IOS-2321</t>
        </is>
      </c>
      <c r="B2321" t="inlineStr">
        <is>
          <t>House Party</t>
        </is>
      </c>
      <c r="C2321" t="inlineStr">
        <is>
          <t>PERCENTAGE</t>
        </is>
      </c>
      <c r="D2321" t="inlineStr">
        <is>
          <t>IOS Owner</t>
        </is>
      </c>
      <c r="E2321" s="16" t="n">
        <v>0</v>
      </c>
      <c r="F2321" s="16" t="n">
        <v>9653.139999999999</v>
      </c>
      <c r="G2321" s="17" t="n">
        <v>50</v>
      </c>
      <c r="H2321" s="16" t="n">
        <v>-9653.139999999999</v>
      </c>
      <c r="I2321" s="16" t="n">
        <v>0</v>
      </c>
    </row>
    <row r="2322">
      <c r="A2322" t="inlineStr">
        <is>
          <t>MTR-IOS-2321</t>
        </is>
      </c>
      <c r="B2322" t="inlineStr">
        <is>
          <t>House Party</t>
        </is>
      </c>
      <c r="C2322" t="inlineStr">
        <is>
          <t>PERCENTAGE</t>
        </is>
      </c>
      <c r="D2322" t="inlineStr">
        <is>
          <t>IOS Aarav</t>
        </is>
      </c>
      <c r="E2322" s="16" t="n">
        <v>0</v>
      </c>
      <c r="F2322" s="16" t="n">
        <v>5791.88</v>
      </c>
      <c r="G2322" s="17" t="n">
        <v>30</v>
      </c>
      <c r="H2322" s="16" t="n">
        <v>-5791.88</v>
      </c>
      <c r="I2322" s="16" t="n">
        <v>0</v>
      </c>
    </row>
    <row r="2323">
      <c r="A2323" t="inlineStr">
        <is>
          <t>MTR-IOS-2321</t>
        </is>
      </c>
      <c r="B2323" t="inlineStr">
        <is>
          <t>House Party</t>
        </is>
      </c>
      <c r="C2323" t="inlineStr">
        <is>
          <t>PERCENTAGE</t>
        </is>
      </c>
      <c r="D2323" t="inlineStr">
        <is>
          <t>IOS Meera</t>
        </is>
      </c>
      <c r="E2323" s="16" t="n">
        <v>19306.27</v>
      </c>
      <c r="F2323" s="16" t="n">
        <v>3861.25</v>
      </c>
      <c r="G2323" s="17" t="n">
        <v>20</v>
      </c>
      <c r="H2323" s="16" t="n">
        <v>15445.02</v>
      </c>
      <c r="I2323" s="16" t="n">
        <v>0</v>
      </c>
    </row>
    <row r="2324">
      <c r="A2324" t="inlineStr">
        <is>
          <t>MTR-IOS-2324</t>
        </is>
      </c>
      <c r="B2324" t="inlineStr">
        <is>
          <t>House Party</t>
        </is>
      </c>
      <c r="C2324" t="inlineStr">
        <is>
          <t>EXACT</t>
        </is>
      </c>
      <c r="D2324" t="inlineStr">
        <is>
          <t>IOS Owner</t>
        </is>
      </c>
      <c r="E2324" s="16" t="n">
        <v>4362.77</v>
      </c>
      <c r="F2324" s="16" t="n">
        <v>1452.8</v>
      </c>
      <c r="G2324" s="17" t="n"/>
      <c r="H2324" s="16" t="n">
        <v>2909.97</v>
      </c>
      <c r="I2324" s="16" t="n">
        <v>0</v>
      </c>
    </row>
    <row r="2325">
      <c r="A2325" t="inlineStr">
        <is>
          <t>MTR-IOS-2324</t>
        </is>
      </c>
      <c r="B2325" t="inlineStr">
        <is>
          <t>House Party</t>
        </is>
      </c>
      <c r="C2325" t="inlineStr">
        <is>
          <t>EXACT</t>
        </is>
      </c>
      <c r="D2325" t="inlineStr">
        <is>
          <t>IOS Aarav</t>
        </is>
      </c>
      <c r="E2325" s="16" t="n">
        <v>0</v>
      </c>
      <c r="F2325" s="16" t="n">
        <v>1452.8</v>
      </c>
      <c r="G2325" s="17" t="n"/>
      <c r="H2325" s="16" t="n">
        <v>-1452.8</v>
      </c>
      <c r="I2325" s="16" t="n">
        <v>0</v>
      </c>
    </row>
    <row r="2326">
      <c r="A2326" t="inlineStr">
        <is>
          <t>MTR-IOS-2324</t>
        </is>
      </c>
      <c r="B2326" t="inlineStr">
        <is>
          <t>House Party</t>
        </is>
      </c>
      <c r="C2326" t="inlineStr">
        <is>
          <t>EXACT</t>
        </is>
      </c>
      <c r="D2326" t="inlineStr">
        <is>
          <t>IOS Meera</t>
        </is>
      </c>
      <c r="E2326" s="16" t="n">
        <v>0</v>
      </c>
      <c r="F2326" s="16" t="n">
        <v>1457.17</v>
      </c>
      <c r="G2326" s="17" t="n"/>
      <c r="H2326" s="16" t="n">
        <v>-1457.17</v>
      </c>
      <c r="I2326" s="16" t="n">
        <v>0</v>
      </c>
    </row>
    <row r="2327">
      <c r="A2327" t="inlineStr">
        <is>
          <t>MTR-IOS-2327</t>
        </is>
      </c>
      <c r="B2327" t="inlineStr">
        <is>
          <t>House Party</t>
        </is>
      </c>
      <c r="C2327" t="inlineStr">
        <is>
          <t>SHARES</t>
        </is>
      </c>
      <c r="D2327" t="inlineStr">
        <is>
          <t>IOS Owner</t>
        </is>
      </c>
      <c r="E2327" s="16" t="n">
        <v>0</v>
      </c>
      <c r="F2327" s="16" t="n">
        <v>8562.82</v>
      </c>
      <c r="G2327" s="17" t="n"/>
      <c r="H2327" s="16" t="n">
        <v>-8562.82</v>
      </c>
      <c r="I2327" s="16" t="n">
        <v>0</v>
      </c>
    </row>
    <row r="2328">
      <c r="A2328" t="inlineStr">
        <is>
          <t>MTR-IOS-2327</t>
        </is>
      </c>
      <c r="B2328" t="inlineStr">
        <is>
          <t>House Party</t>
        </is>
      </c>
      <c r="C2328" t="inlineStr">
        <is>
          <t>SHARES</t>
        </is>
      </c>
      <c r="D2328" t="inlineStr">
        <is>
          <t>IOS Aarav</t>
        </is>
      </c>
      <c r="E2328" s="16" t="n">
        <v>17125.64</v>
      </c>
      <c r="F2328" s="16" t="n">
        <v>5708.55</v>
      </c>
      <c r="G2328" s="17" t="n"/>
      <c r="H2328" s="16" t="n">
        <v>11417.09</v>
      </c>
      <c r="I2328" s="16" t="n">
        <v>0</v>
      </c>
    </row>
    <row r="2329">
      <c r="A2329" t="inlineStr">
        <is>
          <t>MTR-IOS-2327</t>
        </is>
      </c>
      <c r="B2329" t="inlineStr">
        <is>
          <t>House Party</t>
        </is>
      </c>
      <c r="C2329" t="inlineStr">
        <is>
          <t>SHARES</t>
        </is>
      </c>
      <c r="D2329" t="inlineStr">
        <is>
          <t>IOS Meera</t>
        </is>
      </c>
      <c r="E2329" s="16" t="n">
        <v>0</v>
      </c>
      <c r="F2329" s="16" t="n">
        <v>2854.27</v>
      </c>
      <c r="G2329" s="17" t="n"/>
      <c r="H2329" s="16" t="n">
        <v>-2854.27</v>
      </c>
      <c r="I2329" s="16" t="n">
        <v>0</v>
      </c>
    </row>
    <row r="2330">
      <c r="A2330" t="inlineStr">
        <is>
          <t>MTR-IOS-2330</t>
        </is>
      </c>
      <c r="B2330" t="inlineStr">
        <is>
          <t>House Party</t>
        </is>
      </c>
      <c r="C2330" t="inlineStr">
        <is>
          <t>EQUAL</t>
        </is>
      </c>
      <c r="D2330" t="inlineStr">
        <is>
          <t>IOS Owner</t>
        </is>
      </c>
      <c r="E2330" s="16" t="n">
        <v>0</v>
      </c>
      <c r="F2330" s="16" t="n">
        <v>1853.74</v>
      </c>
      <c r="G2330" s="17" t="n"/>
      <c r="H2330" s="16" t="n">
        <v>-1853.74</v>
      </c>
      <c r="I2330" s="16" t="n">
        <v>0</v>
      </c>
    </row>
    <row r="2331">
      <c r="A2331" t="inlineStr">
        <is>
          <t>MTR-IOS-2330</t>
        </is>
      </c>
      <c r="B2331" t="inlineStr">
        <is>
          <t>House Party</t>
        </is>
      </c>
      <c r="C2331" t="inlineStr">
        <is>
          <t>EQUAL</t>
        </is>
      </c>
      <c r="D2331" t="inlineStr">
        <is>
          <t>IOS Aarav</t>
        </is>
      </c>
      <c r="E2331" s="16" t="n">
        <v>0</v>
      </c>
      <c r="F2331" s="16" t="n">
        <v>1853.74</v>
      </c>
      <c r="G2331" s="17" t="n"/>
      <c r="H2331" s="16" t="n">
        <v>-1853.74</v>
      </c>
      <c r="I2331" s="16" t="n">
        <v>0</v>
      </c>
    </row>
    <row r="2332">
      <c r="A2332" t="inlineStr">
        <is>
          <t>MTR-IOS-2330</t>
        </is>
      </c>
      <c r="B2332" t="inlineStr">
        <is>
          <t>House Party</t>
        </is>
      </c>
      <c r="C2332" t="inlineStr">
        <is>
          <t>EQUAL</t>
        </is>
      </c>
      <c r="D2332" t="inlineStr">
        <is>
          <t>IOS Meera</t>
        </is>
      </c>
      <c r="E2332" s="16" t="n">
        <v>5561.21</v>
      </c>
      <c r="F2332" s="16" t="n">
        <v>1853.73</v>
      </c>
      <c r="G2332" s="17" t="n"/>
      <c r="H2332" s="16" t="n">
        <v>3707.48</v>
      </c>
      <c r="I2332" s="16" t="n">
        <v>0</v>
      </c>
    </row>
    <row r="2333">
      <c r="A2333" t="inlineStr">
        <is>
          <t>MTR-IOS-2333</t>
        </is>
      </c>
      <c r="B2333" t="inlineStr">
        <is>
          <t>House Party</t>
        </is>
      </c>
      <c r="C2333" t="inlineStr">
        <is>
          <t>PERCENTAGE</t>
        </is>
      </c>
      <c r="D2333" t="inlineStr">
        <is>
          <t>IOS Owner</t>
        </is>
      </c>
      <c r="E2333" s="16" t="n">
        <v>11258.53</v>
      </c>
      <c r="F2333" s="16" t="n">
        <v>5629.27</v>
      </c>
      <c r="G2333" s="17" t="n">
        <v>50</v>
      </c>
      <c r="H2333" s="16" t="n">
        <v>5629.26</v>
      </c>
      <c r="I2333" s="16" t="n">
        <v>0</v>
      </c>
    </row>
    <row r="2334">
      <c r="A2334" t="inlineStr">
        <is>
          <t>MTR-IOS-2333</t>
        </is>
      </c>
      <c r="B2334" t="inlineStr">
        <is>
          <t>House Party</t>
        </is>
      </c>
      <c r="C2334" t="inlineStr">
        <is>
          <t>PERCENTAGE</t>
        </is>
      </c>
      <c r="D2334" t="inlineStr">
        <is>
          <t>IOS Aarav</t>
        </is>
      </c>
      <c r="E2334" s="16" t="n">
        <v>0</v>
      </c>
      <c r="F2334" s="16" t="n">
        <v>3377.56</v>
      </c>
      <c r="G2334" s="17" t="n">
        <v>30</v>
      </c>
      <c r="H2334" s="16" t="n">
        <v>-3377.56</v>
      </c>
      <c r="I2334" s="16" t="n">
        <v>0</v>
      </c>
    </row>
    <row r="2335">
      <c r="A2335" t="inlineStr">
        <is>
          <t>MTR-IOS-2333</t>
        </is>
      </c>
      <c r="B2335" t="inlineStr">
        <is>
          <t>House Party</t>
        </is>
      </c>
      <c r="C2335" t="inlineStr">
        <is>
          <t>PERCENTAGE</t>
        </is>
      </c>
      <c r="D2335" t="inlineStr">
        <is>
          <t>IOS Meera</t>
        </is>
      </c>
      <c r="E2335" s="16" t="n">
        <v>0</v>
      </c>
      <c r="F2335" s="16" t="n">
        <v>2251.7</v>
      </c>
      <c r="G2335" s="17" t="n">
        <v>20</v>
      </c>
      <c r="H2335" s="16" t="n">
        <v>-2251.7</v>
      </c>
      <c r="I2335" s="16" t="n">
        <v>0</v>
      </c>
    </row>
    <row r="2336">
      <c r="A2336" t="inlineStr">
        <is>
          <t>MTR-IOS-2336</t>
        </is>
      </c>
      <c r="B2336" t="inlineStr">
        <is>
          <t>Gift Pool</t>
        </is>
      </c>
      <c r="C2336" t="inlineStr">
        <is>
          <t>EXACT</t>
        </is>
      </c>
      <c r="D2336" t="inlineStr">
        <is>
          <t>IOS Owner</t>
        </is>
      </c>
      <c r="E2336" s="16" t="n">
        <v>0</v>
      </c>
      <c r="F2336" s="16" t="n">
        <v>235.64</v>
      </c>
      <c r="G2336" s="17" t="n"/>
      <c r="H2336" s="16" t="n">
        <v>-235.64</v>
      </c>
      <c r="I2336" s="16" t="n">
        <v>0</v>
      </c>
    </row>
    <row r="2337">
      <c r="A2337" t="inlineStr">
        <is>
          <t>MTR-IOS-2336</t>
        </is>
      </c>
      <c r="B2337" t="inlineStr">
        <is>
          <t>Gift Pool</t>
        </is>
      </c>
      <c r="C2337" t="inlineStr">
        <is>
          <t>EXACT</t>
        </is>
      </c>
      <c r="D2337" t="inlineStr">
        <is>
          <t>IOS Aarav</t>
        </is>
      </c>
      <c r="E2337" s="16" t="n">
        <v>707.63</v>
      </c>
      <c r="F2337" s="16" t="n">
        <v>235.64</v>
      </c>
      <c r="G2337" s="17" t="n"/>
      <c r="H2337" s="16" t="n">
        <v>471.99</v>
      </c>
      <c r="I2337" s="16" t="n">
        <v>0</v>
      </c>
    </row>
    <row r="2338">
      <c r="A2338" t="inlineStr">
        <is>
          <t>MTR-IOS-2336</t>
        </is>
      </c>
      <c r="B2338" t="inlineStr">
        <is>
          <t>Gift Pool</t>
        </is>
      </c>
      <c r="C2338" t="inlineStr">
        <is>
          <t>EXACT</t>
        </is>
      </c>
      <c r="D2338" t="inlineStr">
        <is>
          <t>IOS Meera</t>
        </is>
      </c>
      <c r="E2338" s="16" t="n">
        <v>0</v>
      </c>
      <c r="F2338" s="16" t="n">
        <v>236.35</v>
      </c>
      <c r="G2338" s="17" t="n"/>
      <c r="H2338" s="16" t="n">
        <v>-236.35</v>
      </c>
      <c r="I2338" s="16" t="n">
        <v>0</v>
      </c>
    </row>
    <row r="2339">
      <c r="A2339" t="inlineStr">
        <is>
          <t>MTR-IOS-2339</t>
        </is>
      </c>
      <c r="B2339" t="inlineStr">
        <is>
          <t>Gift Pool</t>
        </is>
      </c>
      <c r="C2339" t="inlineStr">
        <is>
          <t>SHARES</t>
        </is>
      </c>
      <c r="D2339" t="inlineStr">
        <is>
          <t>IOS Owner</t>
        </is>
      </c>
      <c r="E2339" s="16" t="n">
        <v>0</v>
      </c>
      <c r="F2339" s="16" t="n">
        <v>4344.69</v>
      </c>
      <c r="G2339" s="17" t="n"/>
      <c r="H2339" s="16" t="n">
        <v>-4344.69</v>
      </c>
      <c r="I2339" s="16" t="n">
        <v>0</v>
      </c>
    </row>
    <row r="2340">
      <c r="A2340" t="inlineStr">
        <is>
          <t>MTR-IOS-2339</t>
        </is>
      </c>
      <c r="B2340" t="inlineStr">
        <is>
          <t>Gift Pool</t>
        </is>
      </c>
      <c r="C2340" t="inlineStr">
        <is>
          <t>SHARES</t>
        </is>
      </c>
      <c r="D2340" t="inlineStr">
        <is>
          <t>IOS Aarav</t>
        </is>
      </c>
      <c r="E2340" s="16" t="n">
        <v>0</v>
      </c>
      <c r="F2340" s="16" t="n">
        <v>2896.46</v>
      </c>
      <c r="G2340" s="17" t="n"/>
      <c r="H2340" s="16" t="n">
        <v>-2896.46</v>
      </c>
      <c r="I2340" s="16" t="n">
        <v>0</v>
      </c>
    </row>
    <row r="2341">
      <c r="A2341" t="inlineStr">
        <is>
          <t>MTR-IOS-2339</t>
        </is>
      </c>
      <c r="B2341" t="inlineStr">
        <is>
          <t>Gift Pool</t>
        </is>
      </c>
      <c r="C2341" t="inlineStr">
        <is>
          <t>SHARES</t>
        </is>
      </c>
      <c r="D2341" t="inlineStr">
        <is>
          <t>IOS Meera</t>
        </is>
      </c>
      <c r="E2341" s="16" t="n">
        <v>8689.379999999999</v>
      </c>
      <c r="F2341" s="16" t="n">
        <v>1448.23</v>
      </c>
      <c r="G2341" s="17" t="n"/>
      <c r="H2341" s="16" t="n">
        <v>7241.15</v>
      </c>
      <c r="I2341" s="16" t="n">
        <v>0</v>
      </c>
    </row>
    <row r="2342">
      <c r="A2342" t="inlineStr">
        <is>
          <t>MTR-IOS-2342</t>
        </is>
      </c>
      <c r="B2342" t="inlineStr">
        <is>
          <t>Gift Pool</t>
        </is>
      </c>
      <c r="C2342" t="inlineStr">
        <is>
          <t>EQUAL</t>
        </is>
      </c>
      <c r="D2342" t="inlineStr">
        <is>
          <t>IOS Owner</t>
        </is>
      </c>
      <c r="E2342" s="16" t="n">
        <v>15191.17</v>
      </c>
      <c r="F2342" s="16" t="n">
        <v>5063.72</v>
      </c>
      <c r="G2342" s="17" t="n"/>
      <c r="H2342" s="16" t="n">
        <v>10127.45</v>
      </c>
      <c r="I2342" s="16" t="n">
        <v>0</v>
      </c>
    </row>
    <row r="2343">
      <c r="A2343" t="inlineStr">
        <is>
          <t>MTR-IOS-2342</t>
        </is>
      </c>
      <c r="B2343" t="inlineStr">
        <is>
          <t>Gift Pool</t>
        </is>
      </c>
      <c r="C2343" t="inlineStr">
        <is>
          <t>EQUAL</t>
        </is>
      </c>
      <c r="D2343" t="inlineStr">
        <is>
          <t>IOS Aarav</t>
        </is>
      </c>
      <c r="E2343" s="16" t="n">
        <v>0</v>
      </c>
      <c r="F2343" s="16" t="n">
        <v>5063.72</v>
      </c>
      <c r="G2343" s="17" t="n"/>
      <c r="H2343" s="16" t="n">
        <v>-5063.72</v>
      </c>
      <c r="I2343" s="16" t="n">
        <v>0</v>
      </c>
    </row>
    <row r="2344">
      <c r="A2344" t="inlineStr">
        <is>
          <t>MTR-IOS-2342</t>
        </is>
      </c>
      <c r="B2344" t="inlineStr">
        <is>
          <t>Gift Pool</t>
        </is>
      </c>
      <c r="C2344" t="inlineStr">
        <is>
          <t>EQUAL</t>
        </is>
      </c>
      <c r="D2344" t="inlineStr">
        <is>
          <t>IOS Meera</t>
        </is>
      </c>
      <c r="E2344" s="16" t="n">
        <v>0</v>
      </c>
      <c r="F2344" s="16" t="n">
        <v>5063.73</v>
      </c>
      <c r="G2344" s="17" t="n"/>
      <c r="H2344" s="16" t="n">
        <v>-5063.73</v>
      </c>
      <c r="I2344" s="16" t="n">
        <v>0</v>
      </c>
    </row>
    <row r="2345">
      <c r="A2345" t="inlineStr">
        <is>
          <t>MTR-IOS-2345</t>
        </is>
      </c>
      <c r="B2345" t="inlineStr">
        <is>
          <t>Gift Pool</t>
        </is>
      </c>
      <c r="C2345" t="inlineStr">
        <is>
          <t>PERCENTAGE</t>
        </is>
      </c>
      <c r="D2345" t="inlineStr">
        <is>
          <t>IOS Owner</t>
        </is>
      </c>
      <c r="E2345" s="16" t="n">
        <v>0</v>
      </c>
      <c r="F2345" s="16" t="n">
        <v>9521.549999999999</v>
      </c>
      <c r="G2345" s="17" t="n">
        <v>50</v>
      </c>
      <c r="H2345" s="16" t="n">
        <v>-9521.549999999999</v>
      </c>
      <c r="I2345" s="16" t="n">
        <v>0</v>
      </c>
    </row>
    <row r="2346">
      <c r="A2346" t="inlineStr">
        <is>
          <t>MTR-IOS-2345</t>
        </is>
      </c>
      <c r="B2346" t="inlineStr">
        <is>
          <t>Gift Pool</t>
        </is>
      </c>
      <c r="C2346" t="inlineStr">
        <is>
          <t>PERCENTAGE</t>
        </is>
      </c>
      <c r="D2346" t="inlineStr">
        <is>
          <t>IOS Aarav</t>
        </is>
      </c>
      <c r="E2346" s="16" t="n">
        <v>19043.09</v>
      </c>
      <c r="F2346" s="16" t="n">
        <v>5712.93</v>
      </c>
      <c r="G2346" s="17" t="n">
        <v>30</v>
      </c>
      <c r="H2346" s="16" t="n">
        <v>13330.16</v>
      </c>
      <c r="I2346" s="16" t="n">
        <v>0</v>
      </c>
    </row>
    <row r="2347">
      <c r="A2347" t="inlineStr">
        <is>
          <t>MTR-IOS-2345</t>
        </is>
      </c>
      <c r="B2347" t="inlineStr">
        <is>
          <t>Gift Pool</t>
        </is>
      </c>
      <c r="C2347" t="inlineStr">
        <is>
          <t>PERCENTAGE</t>
        </is>
      </c>
      <c r="D2347" t="inlineStr">
        <is>
          <t>IOS Meera</t>
        </is>
      </c>
      <c r="E2347" s="16" t="n">
        <v>0</v>
      </c>
      <c r="F2347" s="16" t="n">
        <v>3808.61</v>
      </c>
      <c r="G2347" s="17" t="n">
        <v>20</v>
      </c>
      <c r="H2347" s="16" t="n">
        <v>-3808.61</v>
      </c>
      <c r="I2347" s="16" t="n">
        <v>0</v>
      </c>
    </row>
    <row r="2348">
      <c r="A2348" t="inlineStr">
        <is>
          <t>MTR-IOS-2348</t>
        </is>
      </c>
      <c r="B2348" t="inlineStr">
        <is>
          <t>Purchase</t>
        </is>
      </c>
      <c r="C2348" t="inlineStr">
        <is>
          <t>EXACT</t>
        </is>
      </c>
      <c r="D2348" t="inlineStr">
        <is>
          <t>IOS Owner</t>
        </is>
      </c>
      <c r="E2348" s="16" t="n">
        <v>0</v>
      </c>
      <c r="F2348" s="16" t="n">
        <v>7759.14</v>
      </c>
      <c r="G2348" s="17" t="n"/>
      <c r="H2348" s="16" t="n">
        <v>-7759.14</v>
      </c>
      <c r="I2348" s="16" t="n">
        <v>0</v>
      </c>
    </row>
    <row r="2349">
      <c r="A2349" t="inlineStr">
        <is>
          <t>MTR-IOS-2348</t>
        </is>
      </c>
      <c r="B2349" t="inlineStr">
        <is>
          <t>Purchase</t>
        </is>
      </c>
      <c r="C2349" t="inlineStr">
        <is>
          <t>EXACT</t>
        </is>
      </c>
      <c r="D2349" t="inlineStr">
        <is>
          <t>IOS Aarav</t>
        </is>
      </c>
      <c r="E2349" s="16" t="n">
        <v>0</v>
      </c>
      <c r="F2349" s="16" t="n">
        <v>7759.14</v>
      </c>
      <c r="G2349" s="17" t="n"/>
      <c r="H2349" s="16" t="n">
        <v>-7759.14</v>
      </c>
      <c r="I2349" s="16" t="n">
        <v>0</v>
      </c>
    </row>
    <row r="2350">
      <c r="A2350" t="inlineStr">
        <is>
          <t>MTR-IOS-2348</t>
        </is>
      </c>
      <c r="B2350" t="inlineStr">
        <is>
          <t>Purchase</t>
        </is>
      </c>
      <c r="C2350" t="inlineStr">
        <is>
          <t>EXACT</t>
        </is>
      </c>
      <c r="D2350" t="inlineStr">
        <is>
          <t>IOS Meera</t>
        </is>
      </c>
      <c r="E2350" s="16" t="n">
        <v>23300.71</v>
      </c>
      <c r="F2350" s="16" t="n">
        <v>7782.43</v>
      </c>
      <c r="G2350" s="17" t="n"/>
      <c r="H2350" s="16" t="n">
        <v>15518.28</v>
      </c>
      <c r="I2350" s="16" t="n">
        <v>0</v>
      </c>
    </row>
    <row r="2351">
      <c r="A2351" t="inlineStr">
        <is>
          <t>MTR-IOS-2351</t>
        </is>
      </c>
      <c r="B2351" t="inlineStr">
        <is>
          <t>Purchase</t>
        </is>
      </c>
      <c r="C2351" t="inlineStr">
        <is>
          <t>SHARES</t>
        </is>
      </c>
      <c r="D2351" t="inlineStr">
        <is>
          <t>IOS Owner</t>
        </is>
      </c>
      <c r="E2351" s="16" t="n">
        <v>14874.32</v>
      </c>
      <c r="F2351" s="16" t="n">
        <v>7437.16</v>
      </c>
      <c r="G2351" s="17" t="n"/>
      <c r="H2351" s="16" t="n">
        <v>7437.16</v>
      </c>
      <c r="I2351" s="16" t="n">
        <v>0</v>
      </c>
    </row>
    <row r="2352">
      <c r="A2352" t="inlineStr">
        <is>
          <t>MTR-IOS-2351</t>
        </is>
      </c>
      <c r="B2352" t="inlineStr">
        <is>
          <t>Purchase</t>
        </is>
      </c>
      <c r="C2352" t="inlineStr">
        <is>
          <t>SHARES</t>
        </is>
      </c>
      <c r="D2352" t="inlineStr">
        <is>
          <t>IOS Aarav</t>
        </is>
      </c>
      <c r="E2352" s="16" t="n">
        <v>0</v>
      </c>
      <c r="F2352" s="16" t="n">
        <v>4958.11</v>
      </c>
      <c r="G2352" s="17" t="n"/>
      <c r="H2352" s="16" t="n">
        <v>-4958.11</v>
      </c>
      <c r="I2352" s="16" t="n">
        <v>0</v>
      </c>
    </row>
    <row r="2353">
      <c r="A2353" t="inlineStr">
        <is>
          <t>MTR-IOS-2351</t>
        </is>
      </c>
      <c r="B2353" t="inlineStr">
        <is>
          <t>Purchase</t>
        </is>
      </c>
      <c r="C2353" t="inlineStr">
        <is>
          <t>SHARES</t>
        </is>
      </c>
      <c r="D2353" t="inlineStr">
        <is>
          <t>IOS Meera</t>
        </is>
      </c>
      <c r="E2353" s="16" t="n">
        <v>0</v>
      </c>
      <c r="F2353" s="16" t="n">
        <v>2479.05</v>
      </c>
      <c r="G2353" s="17" t="n"/>
      <c r="H2353" s="16" t="n">
        <v>-2479.05</v>
      </c>
      <c r="I2353" s="16" t="n">
        <v>0</v>
      </c>
    </row>
    <row r="2354">
      <c r="A2354" t="inlineStr">
        <is>
          <t>MTR-IOS-2354</t>
        </is>
      </c>
      <c r="B2354" t="inlineStr">
        <is>
          <t>Purchase</t>
        </is>
      </c>
      <c r="C2354" t="inlineStr">
        <is>
          <t>EQUAL</t>
        </is>
      </c>
      <c r="D2354" t="inlineStr">
        <is>
          <t>IOS Owner</t>
        </is>
      </c>
      <c r="E2354" s="16" t="n">
        <v>0</v>
      </c>
      <c r="F2354" s="16" t="n">
        <v>3666.99</v>
      </c>
      <c r="G2354" s="17" t="n"/>
      <c r="H2354" s="16" t="n">
        <v>-3666.99</v>
      </c>
      <c r="I2354" s="16" t="n">
        <v>0</v>
      </c>
    </row>
    <row r="2355">
      <c r="A2355" t="inlineStr">
        <is>
          <t>MTR-IOS-2354</t>
        </is>
      </c>
      <c r="B2355" t="inlineStr">
        <is>
          <t>Purchase</t>
        </is>
      </c>
      <c r="C2355" t="inlineStr">
        <is>
          <t>EQUAL</t>
        </is>
      </c>
      <c r="D2355" t="inlineStr">
        <is>
          <t>IOS Aarav</t>
        </is>
      </c>
      <c r="E2355" s="16" t="n">
        <v>11000.97</v>
      </c>
      <c r="F2355" s="16" t="n">
        <v>3666.99</v>
      </c>
      <c r="G2355" s="17" t="n"/>
      <c r="H2355" s="16" t="n">
        <v>7333.98</v>
      </c>
      <c r="I2355" s="16" t="n">
        <v>0</v>
      </c>
    </row>
    <row r="2356">
      <c r="A2356" t="inlineStr">
        <is>
          <t>MTR-IOS-2354</t>
        </is>
      </c>
      <c r="B2356" t="inlineStr">
        <is>
          <t>Purchase</t>
        </is>
      </c>
      <c r="C2356" t="inlineStr">
        <is>
          <t>EQUAL</t>
        </is>
      </c>
      <c r="D2356" t="inlineStr">
        <is>
          <t>IOS Meera</t>
        </is>
      </c>
      <c r="E2356" s="16" t="n">
        <v>0</v>
      </c>
      <c r="F2356" s="16" t="n">
        <v>3666.99</v>
      </c>
      <c r="G2356" s="17" t="n"/>
      <c r="H2356" s="16" t="n">
        <v>-3666.99</v>
      </c>
      <c r="I2356" s="16" t="n">
        <v>0</v>
      </c>
    </row>
    <row r="2357">
      <c r="A2357" t="inlineStr">
        <is>
          <t>MTR-IOS-2357</t>
        </is>
      </c>
      <c r="B2357" t="inlineStr">
        <is>
          <t>Purchase</t>
        </is>
      </c>
      <c r="C2357" t="inlineStr">
        <is>
          <t>PERCENTAGE</t>
        </is>
      </c>
      <c r="D2357" t="inlineStr">
        <is>
          <t>IOS Owner</t>
        </is>
      </c>
      <c r="E2357" s="16" t="n">
        <v>0</v>
      </c>
      <c r="F2357" s="16" t="n">
        <v>9581.209999999999</v>
      </c>
      <c r="G2357" s="17" t="n">
        <v>50</v>
      </c>
      <c r="H2357" s="16" t="n">
        <v>-9581.209999999999</v>
      </c>
      <c r="I2357" s="16" t="n">
        <v>0</v>
      </c>
    </row>
    <row r="2358">
      <c r="A2358" t="inlineStr">
        <is>
          <t>MTR-IOS-2357</t>
        </is>
      </c>
      <c r="B2358" t="inlineStr">
        <is>
          <t>Purchase</t>
        </is>
      </c>
      <c r="C2358" t="inlineStr">
        <is>
          <t>PERCENTAGE</t>
        </is>
      </c>
      <c r="D2358" t="inlineStr">
        <is>
          <t>IOS Aarav</t>
        </is>
      </c>
      <c r="E2358" s="16" t="n">
        <v>0</v>
      </c>
      <c r="F2358" s="16" t="n">
        <v>5748.73</v>
      </c>
      <c r="G2358" s="17" t="n">
        <v>30</v>
      </c>
      <c r="H2358" s="16" t="n">
        <v>-5748.73</v>
      </c>
      <c r="I2358" s="16" t="n">
        <v>0</v>
      </c>
    </row>
    <row r="2359">
      <c r="A2359" t="inlineStr">
        <is>
          <t>MTR-IOS-2357</t>
        </is>
      </c>
      <c r="B2359" t="inlineStr">
        <is>
          <t>Purchase</t>
        </is>
      </c>
      <c r="C2359" t="inlineStr">
        <is>
          <t>PERCENTAGE</t>
        </is>
      </c>
      <c r="D2359" t="inlineStr">
        <is>
          <t>IOS Meera</t>
        </is>
      </c>
      <c r="E2359" s="16" t="n">
        <v>19162.42</v>
      </c>
      <c r="F2359" s="16" t="n">
        <v>3832.48</v>
      </c>
      <c r="G2359" s="17" t="n">
        <v>20</v>
      </c>
      <c r="H2359" s="16" t="n">
        <v>15329.94</v>
      </c>
      <c r="I2359" s="16" t="n">
        <v>0</v>
      </c>
    </row>
    <row r="2360">
      <c r="A2360" t="inlineStr">
        <is>
          <t>MTR-IOS-2360</t>
        </is>
      </c>
      <c r="B2360" t="inlineStr">
        <is>
          <t>Assets</t>
        </is>
      </c>
      <c r="C2360" t="inlineStr">
        <is>
          <t>EXACT</t>
        </is>
      </c>
      <c r="D2360" t="inlineStr">
        <is>
          <t>IOS Owner</t>
        </is>
      </c>
      <c r="E2360" s="16" t="n">
        <v>4143.44</v>
      </c>
      <c r="F2360" s="16" t="n">
        <v>1379.77</v>
      </c>
      <c r="G2360" s="17" t="n"/>
      <c r="H2360" s="16" t="n">
        <v>2763.67</v>
      </c>
      <c r="I2360" s="16" t="n">
        <v>0</v>
      </c>
    </row>
    <row r="2361">
      <c r="A2361" t="inlineStr">
        <is>
          <t>MTR-IOS-2360</t>
        </is>
      </c>
      <c r="B2361" t="inlineStr">
        <is>
          <t>Assets</t>
        </is>
      </c>
      <c r="C2361" t="inlineStr">
        <is>
          <t>EXACT</t>
        </is>
      </c>
      <c r="D2361" t="inlineStr">
        <is>
          <t>IOS Aarav</t>
        </is>
      </c>
      <c r="E2361" s="16" t="n">
        <v>0</v>
      </c>
      <c r="F2361" s="16" t="n">
        <v>1379.77</v>
      </c>
      <c r="G2361" s="17" t="n"/>
      <c r="H2361" s="16" t="n">
        <v>-1379.77</v>
      </c>
      <c r="I2361" s="16" t="n">
        <v>0</v>
      </c>
    </row>
    <row r="2362">
      <c r="A2362" t="inlineStr">
        <is>
          <t>MTR-IOS-2360</t>
        </is>
      </c>
      <c r="B2362" t="inlineStr">
        <is>
          <t>Assets</t>
        </is>
      </c>
      <c r="C2362" t="inlineStr">
        <is>
          <t>EXACT</t>
        </is>
      </c>
      <c r="D2362" t="inlineStr">
        <is>
          <t>IOS Meera</t>
        </is>
      </c>
      <c r="E2362" s="16" t="n">
        <v>0</v>
      </c>
      <c r="F2362" s="16" t="n">
        <v>1383.9</v>
      </c>
      <c r="G2362" s="17" t="n"/>
      <c r="H2362" s="16" t="n">
        <v>-1383.9</v>
      </c>
      <c r="I2362" s="16" t="n">
        <v>0</v>
      </c>
    </row>
    <row r="2363">
      <c r="A2363" t="inlineStr">
        <is>
          <t>MTR-IOS-2363</t>
        </is>
      </c>
      <c r="B2363" t="inlineStr">
        <is>
          <t>Assets</t>
        </is>
      </c>
      <c r="C2363" t="inlineStr">
        <is>
          <t>SHARES</t>
        </is>
      </c>
      <c r="D2363" t="inlineStr">
        <is>
          <t>IOS Owner</t>
        </is>
      </c>
      <c r="E2363" s="16" t="n">
        <v>0</v>
      </c>
      <c r="F2363" s="16" t="n">
        <v>8911.43</v>
      </c>
      <c r="G2363" s="17" t="n"/>
      <c r="H2363" s="16" t="n">
        <v>-8911.43</v>
      </c>
      <c r="I2363" s="16" t="n">
        <v>0</v>
      </c>
    </row>
    <row r="2364">
      <c r="A2364" t="inlineStr">
        <is>
          <t>MTR-IOS-2363</t>
        </is>
      </c>
      <c r="B2364" t="inlineStr">
        <is>
          <t>Assets</t>
        </is>
      </c>
      <c r="C2364" t="inlineStr">
        <is>
          <t>SHARES</t>
        </is>
      </c>
      <c r="D2364" t="inlineStr">
        <is>
          <t>IOS Aarav</t>
        </is>
      </c>
      <c r="E2364" s="16" t="n">
        <v>17822.86</v>
      </c>
      <c r="F2364" s="16" t="n">
        <v>5940.95</v>
      </c>
      <c r="G2364" s="17" t="n"/>
      <c r="H2364" s="16" t="n">
        <v>11881.91</v>
      </c>
      <c r="I2364" s="16" t="n">
        <v>0</v>
      </c>
    </row>
    <row r="2365">
      <c r="A2365" t="inlineStr">
        <is>
          <t>MTR-IOS-2363</t>
        </is>
      </c>
      <c r="B2365" t="inlineStr">
        <is>
          <t>Assets</t>
        </is>
      </c>
      <c r="C2365" t="inlineStr">
        <is>
          <t>SHARES</t>
        </is>
      </c>
      <c r="D2365" t="inlineStr">
        <is>
          <t>IOS Meera</t>
        </is>
      </c>
      <c r="E2365" s="16" t="n">
        <v>0</v>
      </c>
      <c r="F2365" s="16" t="n">
        <v>2970.48</v>
      </c>
      <c r="G2365" s="17" t="n"/>
      <c r="H2365" s="16" t="n">
        <v>-2970.48</v>
      </c>
      <c r="I2365" s="16" t="n">
        <v>0</v>
      </c>
    </row>
    <row r="2366">
      <c r="A2366" t="inlineStr">
        <is>
          <t>MTR-IOS-2366</t>
        </is>
      </c>
      <c r="B2366" t="inlineStr">
        <is>
          <t>Assets</t>
        </is>
      </c>
      <c r="C2366" t="inlineStr">
        <is>
          <t>EQUAL</t>
        </is>
      </c>
      <c r="D2366" t="inlineStr">
        <is>
          <t>IOS Owner</t>
        </is>
      </c>
      <c r="E2366" s="16" t="n">
        <v>0</v>
      </c>
      <c r="F2366" s="16" t="n">
        <v>1382.94</v>
      </c>
      <c r="G2366" s="17" t="n"/>
      <c r="H2366" s="16" t="n">
        <v>-1382.94</v>
      </c>
      <c r="I2366" s="16" t="n">
        <v>0</v>
      </c>
    </row>
    <row r="2367">
      <c r="A2367" t="inlineStr">
        <is>
          <t>MTR-IOS-2366</t>
        </is>
      </c>
      <c r="B2367" t="inlineStr">
        <is>
          <t>Assets</t>
        </is>
      </c>
      <c r="C2367" t="inlineStr">
        <is>
          <t>EQUAL</t>
        </is>
      </c>
      <c r="D2367" t="inlineStr">
        <is>
          <t>IOS Aarav</t>
        </is>
      </c>
      <c r="E2367" s="16" t="n">
        <v>0</v>
      </c>
      <c r="F2367" s="16" t="n">
        <v>1382.94</v>
      </c>
      <c r="G2367" s="17" t="n"/>
      <c r="H2367" s="16" t="n">
        <v>-1382.94</v>
      </c>
      <c r="I2367" s="16" t="n">
        <v>0</v>
      </c>
    </row>
    <row r="2368">
      <c r="A2368" t="inlineStr">
        <is>
          <t>MTR-IOS-2366</t>
        </is>
      </c>
      <c r="B2368" t="inlineStr">
        <is>
          <t>Assets</t>
        </is>
      </c>
      <c r="C2368" t="inlineStr">
        <is>
          <t>EQUAL</t>
        </is>
      </c>
      <c r="D2368" t="inlineStr">
        <is>
          <t>IOS Meera</t>
        </is>
      </c>
      <c r="E2368" s="16" t="n">
        <v>4148.82</v>
      </c>
      <c r="F2368" s="16" t="n">
        <v>1382.94</v>
      </c>
      <c r="G2368" s="17" t="n"/>
      <c r="H2368" s="16" t="n">
        <v>2765.88</v>
      </c>
      <c r="I2368" s="16" t="n">
        <v>0</v>
      </c>
    </row>
    <row r="2369">
      <c r="A2369" t="inlineStr">
        <is>
          <t>MTR-IOS-2369</t>
        </is>
      </c>
      <c r="B2369" t="inlineStr">
        <is>
          <t>Assets</t>
        </is>
      </c>
      <c r="C2369" t="inlineStr">
        <is>
          <t>PERCENTAGE</t>
        </is>
      </c>
      <c r="D2369" t="inlineStr">
        <is>
          <t>IOS Owner</t>
        </is>
      </c>
      <c r="E2369" s="16" t="n">
        <v>24466.51</v>
      </c>
      <c r="F2369" s="16" t="n">
        <v>12233.26</v>
      </c>
      <c r="G2369" s="17" t="n">
        <v>50</v>
      </c>
      <c r="H2369" s="16" t="n">
        <v>12233.25</v>
      </c>
      <c r="I2369" s="16" t="n">
        <v>0</v>
      </c>
    </row>
    <row r="2370">
      <c r="A2370" t="inlineStr">
        <is>
          <t>MTR-IOS-2369</t>
        </is>
      </c>
      <c r="B2370" t="inlineStr">
        <is>
          <t>Assets</t>
        </is>
      </c>
      <c r="C2370" t="inlineStr">
        <is>
          <t>PERCENTAGE</t>
        </is>
      </c>
      <c r="D2370" t="inlineStr">
        <is>
          <t>IOS Aarav</t>
        </is>
      </c>
      <c r="E2370" s="16" t="n">
        <v>0</v>
      </c>
      <c r="F2370" s="16" t="n">
        <v>7339.95</v>
      </c>
      <c r="G2370" s="17" t="n">
        <v>30</v>
      </c>
      <c r="H2370" s="16" t="n">
        <v>-7339.95</v>
      </c>
      <c r="I2370" s="16" t="n">
        <v>0</v>
      </c>
    </row>
    <row r="2371">
      <c r="A2371" t="inlineStr">
        <is>
          <t>MTR-IOS-2369</t>
        </is>
      </c>
      <c r="B2371" t="inlineStr">
        <is>
          <t>Assets</t>
        </is>
      </c>
      <c r="C2371" t="inlineStr">
        <is>
          <t>PERCENTAGE</t>
        </is>
      </c>
      <c r="D2371" t="inlineStr">
        <is>
          <t>IOS Meera</t>
        </is>
      </c>
      <c r="E2371" s="16" t="n">
        <v>0</v>
      </c>
      <c r="F2371" s="16" t="n">
        <v>4893.3</v>
      </c>
      <c r="G2371" s="17" t="n">
        <v>20</v>
      </c>
      <c r="H2371" s="16" t="n">
        <v>-4893.3</v>
      </c>
      <c r="I2371" s="16" t="n">
        <v>0</v>
      </c>
    </row>
    <row r="2372">
      <c r="A2372" t="inlineStr">
        <is>
          <t>MTR-IOS-2372</t>
        </is>
      </c>
      <c r="B2372" t="inlineStr">
        <is>
          <t>Assets</t>
        </is>
      </c>
      <c r="C2372" t="inlineStr">
        <is>
          <t>EXACT</t>
        </is>
      </c>
      <c r="D2372" t="inlineStr">
        <is>
          <t>IOS Owner</t>
        </is>
      </c>
      <c r="E2372" s="16" t="n">
        <v>0</v>
      </c>
      <c r="F2372" s="16" t="n">
        <v>374.36</v>
      </c>
      <c r="G2372" s="17" t="n"/>
      <c r="H2372" s="16" t="n">
        <v>-374.36</v>
      </c>
      <c r="I2372" s="16" t="n">
        <v>0</v>
      </c>
    </row>
    <row r="2373">
      <c r="A2373" t="inlineStr">
        <is>
          <t>MTR-IOS-2372</t>
        </is>
      </c>
      <c r="B2373" t="inlineStr">
        <is>
          <t>Assets</t>
        </is>
      </c>
      <c r="C2373" t="inlineStr">
        <is>
          <t>EXACT</t>
        </is>
      </c>
      <c r="D2373" t="inlineStr">
        <is>
          <t>IOS Aarav</t>
        </is>
      </c>
      <c r="E2373" s="16" t="n">
        <v>1124.2</v>
      </c>
      <c r="F2373" s="16" t="n">
        <v>374.36</v>
      </c>
      <c r="G2373" s="17" t="n"/>
      <c r="H2373" s="16" t="n">
        <v>749.84</v>
      </c>
      <c r="I2373" s="16" t="n">
        <v>0</v>
      </c>
    </row>
    <row r="2374">
      <c r="A2374" t="inlineStr">
        <is>
          <t>MTR-IOS-2372</t>
        </is>
      </c>
      <c r="B2374" t="inlineStr">
        <is>
          <t>Assets</t>
        </is>
      </c>
      <c r="C2374" t="inlineStr">
        <is>
          <t>EXACT</t>
        </is>
      </c>
      <c r="D2374" t="inlineStr">
        <is>
          <t>IOS Meera</t>
        </is>
      </c>
      <c r="E2374" s="16" t="n">
        <v>0</v>
      </c>
      <c r="F2374" s="16" t="n">
        <v>375.48</v>
      </c>
      <c r="G2374" s="17" t="n"/>
      <c r="H2374" s="16" t="n">
        <v>-375.48</v>
      </c>
      <c r="I2374" s="16" t="n">
        <v>0</v>
      </c>
    </row>
    <row r="2375">
      <c r="A2375" t="inlineStr">
        <is>
          <t>MTR-IOS-2375</t>
        </is>
      </c>
      <c r="B2375" t="inlineStr">
        <is>
          <t>Custom Purchase</t>
        </is>
      </c>
      <c r="C2375" t="inlineStr">
        <is>
          <t>SHARES</t>
        </is>
      </c>
      <c r="D2375" t="inlineStr">
        <is>
          <t>IOS Owner</t>
        </is>
      </c>
      <c r="E2375" s="16" t="n">
        <v>0</v>
      </c>
      <c r="F2375" s="16" t="n">
        <v>12650.42</v>
      </c>
      <c r="G2375" s="17" t="n"/>
      <c r="H2375" s="16" t="n">
        <v>-12650.42</v>
      </c>
      <c r="I2375" s="16" t="n">
        <v>0</v>
      </c>
    </row>
    <row r="2376">
      <c r="A2376" t="inlineStr">
        <is>
          <t>MTR-IOS-2375</t>
        </is>
      </c>
      <c r="B2376" t="inlineStr">
        <is>
          <t>Custom Purchase</t>
        </is>
      </c>
      <c r="C2376" t="inlineStr">
        <is>
          <t>SHARES</t>
        </is>
      </c>
      <c r="D2376" t="inlineStr">
        <is>
          <t>IOS Aarav</t>
        </is>
      </c>
      <c r="E2376" s="16" t="n">
        <v>0</v>
      </c>
      <c r="F2376" s="16" t="n">
        <v>8433.610000000001</v>
      </c>
      <c r="G2376" s="17" t="n"/>
      <c r="H2376" s="16" t="n">
        <v>-8433.610000000001</v>
      </c>
      <c r="I2376" s="16" t="n">
        <v>0</v>
      </c>
    </row>
    <row r="2377">
      <c r="A2377" t="inlineStr">
        <is>
          <t>MTR-IOS-2375</t>
        </is>
      </c>
      <c r="B2377" t="inlineStr">
        <is>
          <t>Custom Purchase</t>
        </is>
      </c>
      <c r="C2377" t="inlineStr">
        <is>
          <t>SHARES</t>
        </is>
      </c>
      <c r="D2377" t="inlineStr">
        <is>
          <t>IOS Meera</t>
        </is>
      </c>
      <c r="E2377" s="16" t="n">
        <v>25300.84</v>
      </c>
      <c r="F2377" s="16" t="n">
        <v>4216.81</v>
      </c>
      <c r="G2377" s="17" t="n"/>
      <c r="H2377" s="16" t="n">
        <v>21084.03</v>
      </c>
      <c r="I2377" s="16" t="n">
        <v>0</v>
      </c>
    </row>
    <row r="2378">
      <c r="A2378" t="inlineStr">
        <is>
          <t>MTR-IOS-2378</t>
        </is>
      </c>
      <c r="B2378" t="inlineStr">
        <is>
          <t>Custom Purchase</t>
        </is>
      </c>
      <c r="C2378" t="inlineStr">
        <is>
          <t>EQUAL</t>
        </is>
      </c>
      <c r="D2378" t="inlineStr">
        <is>
          <t>IOS Owner</t>
        </is>
      </c>
      <c r="E2378" s="16" t="n">
        <v>12420.63</v>
      </c>
      <c r="F2378" s="16" t="n">
        <v>4140.21</v>
      </c>
      <c r="G2378" s="17" t="n"/>
      <c r="H2378" s="16" t="n">
        <v>8280.42</v>
      </c>
      <c r="I2378" s="16" t="n">
        <v>0</v>
      </c>
    </row>
    <row r="2379">
      <c r="A2379" t="inlineStr">
        <is>
          <t>MTR-IOS-2378</t>
        </is>
      </c>
      <c r="B2379" t="inlineStr">
        <is>
          <t>Custom Purchase</t>
        </is>
      </c>
      <c r="C2379" t="inlineStr">
        <is>
          <t>EQUAL</t>
        </is>
      </c>
      <c r="D2379" t="inlineStr">
        <is>
          <t>IOS Aarav</t>
        </is>
      </c>
      <c r="E2379" s="16" t="n">
        <v>0</v>
      </c>
      <c r="F2379" s="16" t="n">
        <v>4140.21</v>
      </c>
      <c r="G2379" s="17" t="n"/>
      <c r="H2379" s="16" t="n">
        <v>-4140.21</v>
      </c>
      <c r="I2379" s="16" t="n">
        <v>0</v>
      </c>
    </row>
    <row r="2380">
      <c r="A2380" t="inlineStr">
        <is>
          <t>MTR-IOS-2378</t>
        </is>
      </c>
      <c r="B2380" t="inlineStr">
        <is>
          <t>Custom Purchase</t>
        </is>
      </c>
      <c r="C2380" t="inlineStr">
        <is>
          <t>EQUAL</t>
        </is>
      </c>
      <c r="D2380" t="inlineStr">
        <is>
          <t>IOS Meera</t>
        </is>
      </c>
      <c r="E2380" s="16" t="n">
        <v>0</v>
      </c>
      <c r="F2380" s="16" t="n">
        <v>4140.21</v>
      </c>
      <c r="G2380" s="17" t="n"/>
      <c r="H2380" s="16" t="n">
        <v>-4140.21</v>
      </c>
      <c r="I2380" s="16" t="n">
        <v>0</v>
      </c>
    </row>
    <row r="2381">
      <c r="A2381" t="inlineStr">
        <is>
          <t>MTR-IOS-2381</t>
        </is>
      </c>
      <c r="B2381" t="inlineStr">
        <is>
          <t>Flatmates</t>
        </is>
      </c>
      <c r="C2381" t="inlineStr">
        <is>
          <t>PERCENTAGE</t>
        </is>
      </c>
      <c r="D2381" t="inlineStr">
        <is>
          <t>IOS Owner</t>
        </is>
      </c>
      <c r="E2381" s="16" t="n">
        <v>0</v>
      </c>
      <c r="F2381" s="16" t="n">
        <v>10018.26</v>
      </c>
      <c r="G2381" s="17" t="n">
        <v>50</v>
      </c>
      <c r="H2381" s="16" t="n">
        <v>-10018.26</v>
      </c>
      <c r="I2381" s="16" t="n">
        <v>0</v>
      </c>
    </row>
    <row r="2382">
      <c r="A2382" t="inlineStr">
        <is>
          <t>MTR-IOS-2381</t>
        </is>
      </c>
      <c r="B2382" t="inlineStr">
        <is>
          <t>Flatmates</t>
        </is>
      </c>
      <c r="C2382" t="inlineStr">
        <is>
          <t>PERCENTAGE</t>
        </is>
      </c>
      <c r="D2382" t="inlineStr">
        <is>
          <t>IOS Aarav</t>
        </is>
      </c>
      <c r="E2382" s="16" t="n">
        <v>20036.52</v>
      </c>
      <c r="F2382" s="16" t="n">
        <v>6010.96</v>
      </c>
      <c r="G2382" s="17" t="n">
        <v>30</v>
      </c>
      <c r="H2382" s="16" t="n">
        <v>14025.56</v>
      </c>
      <c r="I2382" s="16" t="n">
        <v>0</v>
      </c>
    </row>
    <row r="2383">
      <c r="A2383" t="inlineStr">
        <is>
          <t>MTR-IOS-2381</t>
        </is>
      </c>
      <c r="B2383" t="inlineStr">
        <is>
          <t>Flatmates</t>
        </is>
      </c>
      <c r="C2383" t="inlineStr">
        <is>
          <t>PERCENTAGE</t>
        </is>
      </c>
      <c r="D2383" t="inlineStr">
        <is>
          <t>IOS Meera</t>
        </is>
      </c>
      <c r="E2383" s="16" t="n">
        <v>0</v>
      </c>
      <c r="F2383" s="16" t="n">
        <v>4007.3</v>
      </c>
      <c r="G2383" s="17" t="n">
        <v>20</v>
      </c>
      <c r="H2383" s="16" t="n">
        <v>-4007.3</v>
      </c>
      <c r="I2383" s="16" t="n">
        <v>0</v>
      </c>
    </row>
    <row r="2384">
      <c r="A2384" t="inlineStr">
        <is>
          <t>MTR-IOS-2384</t>
        </is>
      </c>
      <c r="B2384" t="inlineStr">
        <is>
          <t>Flatmates</t>
        </is>
      </c>
      <c r="C2384" t="inlineStr">
        <is>
          <t>EXACT</t>
        </is>
      </c>
      <c r="D2384" t="inlineStr">
        <is>
          <t>IOS Owner</t>
        </is>
      </c>
      <c r="E2384" s="16" t="n">
        <v>0</v>
      </c>
      <c r="F2384" s="16" t="n">
        <v>5307.49</v>
      </c>
      <c r="G2384" s="17" t="n"/>
      <c r="H2384" s="16" t="n">
        <v>-5307.49</v>
      </c>
      <c r="I2384" s="16" t="n">
        <v>0</v>
      </c>
    </row>
    <row r="2385">
      <c r="A2385" t="inlineStr">
        <is>
          <t>MTR-IOS-2384</t>
        </is>
      </c>
      <c r="B2385" t="inlineStr">
        <is>
          <t>Flatmates</t>
        </is>
      </c>
      <c r="C2385" t="inlineStr">
        <is>
          <t>EXACT</t>
        </is>
      </c>
      <c r="D2385" t="inlineStr">
        <is>
          <t>IOS Aarav</t>
        </is>
      </c>
      <c r="E2385" s="16" t="n">
        <v>0</v>
      </c>
      <c r="F2385" s="16" t="n">
        <v>5307.49</v>
      </c>
      <c r="G2385" s="17" t="n"/>
      <c r="H2385" s="16" t="n">
        <v>-5307.49</v>
      </c>
      <c r="I2385" s="16" t="n">
        <v>0</v>
      </c>
    </row>
    <row r="2386">
      <c r="A2386" t="inlineStr">
        <is>
          <t>MTR-IOS-2384</t>
        </is>
      </c>
      <c r="B2386" t="inlineStr">
        <is>
          <t>Flatmates</t>
        </is>
      </c>
      <c r="C2386" t="inlineStr">
        <is>
          <t>EXACT</t>
        </is>
      </c>
      <c r="D2386" t="inlineStr">
        <is>
          <t>IOS Meera</t>
        </is>
      </c>
      <c r="E2386" s="16" t="n">
        <v>15938.4</v>
      </c>
      <c r="F2386" s="16" t="n">
        <v>5323.42</v>
      </c>
      <c r="G2386" s="17" t="n"/>
      <c r="H2386" s="16" t="n">
        <v>10614.98</v>
      </c>
      <c r="I2386" s="16" t="n">
        <v>0</v>
      </c>
    </row>
    <row r="2387">
      <c r="A2387" t="inlineStr">
        <is>
          <t>MTR-IOS-2387</t>
        </is>
      </c>
      <c r="B2387" t="inlineStr">
        <is>
          <t>Flatmates</t>
        </is>
      </c>
      <c r="C2387" t="inlineStr">
        <is>
          <t>SHARES</t>
        </is>
      </c>
      <c r="D2387" t="inlineStr">
        <is>
          <t>IOS Owner</t>
        </is>
      </c>
      <c r="E2387" s="16" t="n">
        <v>2008.72</v>
      </c>
      <c r="F2387" s="16" t="n">
        <v>1004.36</v>
      </c>
      <c r="G2387" s="17" t="n"/>
      <c r="H2387" s="16" t="n">
        <v>1004.36</v>
      </c>
      <c r="I2387" s="16" t="n">
        <v>0</v>
      </c>
    </row>
    <row r="2388">
      <c r="A2388" t="inlineStr">
        <is>
          <t>MTR-IOS-2387</t>
        </is>
      </c>
      <c r="B2388" t="inlineStr">
        <is>
          <t>Flatmates</t>
        </is>
      </c>
      <c r="C2388" t="inlineStr">
        <is>
          <t>SHARES</t>
        </is>
      </c>
      <c r="D2388" t="inlineStr">
        <is>
          <t>IOS Aarav</t>
        </is>
      </c>
      <c r="E2388" s="16" t="n">
        <v>0</v>
      </c>
      <c r="F2388" s="16" t="n">
        <v>669.5700000000001</v>
      </c>
      <c r="G2388" s="17" t="n"/>
      <c r="H2388" s="16" t="n">
        <v>-669.5700000000001</v>
      </c>
      <c r="I2388" s="16" t="n">
        <v>0</v>
      </c>
    </row>
    <row r="2389">
      <c r="A2389" t="inlineStr">
        <is>
          <t>MTR-IOS-2387</t>
        </is>
      </c>
      <c r="B2389" t="inlineStr">
        <is>
          <t>Flatmates</t>
        </is>
      </c>
      <c r="C2389" t="inlineStr">
        <is>
          <t>SHARES</t>
        </is>
      </c>
      <c r="D2389" t="inlineStr">
        <is>
          <t>IOS Meera</t>
        </is>
      </c>
      <c r="E2389" s="16" t="n">
        <v>0</v>
      </c>
      <c r="F2389" s="16" t="n">
        <v>334.79</v>
      </c>
      <c r="G2389" s="17" t="n"/>
      <c r="H2389" s="16" t="n">
        <v>-334.79</v>
      </c>
      <c r="I2389" s="16" t="n">
        <v>0</v>
      </c>
    </row>
    <row r="2390">
      <c r="A2390" t="inlineStr">
        <is>
          <t>MTR-IOS-2390</t>
        </is>
      </c>
      <c r="B2390" t="inlineStr">
        <is>
          <t>Flatmates</t>
        </is>
      </c>
      <c r="C2390" t="inlineStr">
        <is>
          <t>EQUAL</t>
        </is>
      </c>
      <c r="D2390" t="inlineStr">
        <is>
          <t>IOS Owner</t>
        </is>
      </c>
      <c r="E2390" s="16" t="n">
        <v>0</v>
      </c>
      <c r="F2390" s="16" t="n">
        <v>5586.53</v>
      </c>
      <c r="G2390" s="17" t="n"/>
      <c r="H2390" s="16" t="n">
        <v>-5586.53</v>
      </c>
      <c r="I2390" s="16" t="n">
        <v>0</v>
      </c>
    </row>
    <row r="2391">
      <c r="A2391" t="inlineStr">
        <is>
          <t>MTR-IOS-2390</t>
        </is>
      </c>
      <c r="B2391" t="inlineStr">
        <is>
          <t>Flatmates</t>
        </is>
      </c>
      <c r="C2391" t="inlineStr">
        <is>
          <t>EQUAL</t>
        </is>
      </c>
      <c r="D2391" t="inlineStr">
        <is>
          <t>IOS Aarav</t>
        </is>
      </c>
      <c r="E2391" s="16" t="n">
        <v>16759.59</v>
      </c>
      <c r="F2391" s="16" t="n">
        <v>5586.53</v>
      </c>
      <c r="G2391" s="17" t="n"/>
      <c r="H2391" s="16" t="n">
        <v>11173.06</v>
      </c>
      <c r="I2391" s="16" t="n">
        <v>0</v>
      </c>
    </row>
    <row r="2392">
      <c r="A2392" t="inlineStr">
        <is>
          <t>MTR-IOS-2390</t>
        </is>
      </c>
      <c r="B2392" t="inlineStr">
        <is>
          <t>Flatmates</t>
        </is>
      </c>
      <c r="C2392" t="inlineStr">
        <is>
          <t>EQUAL</t>
        </is>
      </c>
      <c r="D2392" t="inlineStr">
        <is>
          <t>IOS Meera</t>
        </is>
      </c>
      <c r="E2392" s="16" t="n">
        <v>0</v>
      </c>
      <c r="F2392" s="16" t="n">
        <v>5586.53</v>
      </c>
      <c r="G2392" s="17" t="n"/>
      <c r="H2392" s="16" t="n">
        <v>-5586.53</v>
      </c>
      <c r="I2392" s="16" t="n">
        <v>0</v>
      </c>
    </row>
    <row r="2393">
      <c r="A2393" t="inlineStr">
        <is>
          <t>MTR-IOS-2393</t>
        </is>
      </c>
      <c r="B2393" t="inlineStr">
        <is>
          <t>Flatmates</t>
        </is>
      </c>
      <c r="C2393" t="inlineStr">
        <is>
          <t>PERCENTAGE</t>
        </is>
      </c>
      <c r="D2393" t="inlineStr">
        <is>
          <t>IOS Owner</t>
        </is>
      </c>
      <c r="E2393" s="16" t="n">
        <v>0</v>
      </c>
      <c r="F2393" s="16" t="n">
        <v>6447.92</v>
      </c>
      <c r="G2393" s="17" t="n">
        <v>50</v>
      </c>
      <c r="H2393" s="16" t="n">
        <v>-6447.92</v>
      </c>
      <c r="I2393" s="16" t="n">
        <v>0</v>
      </c>
    </row>
    <row r="2394">
      <c r="A2394" t="inlineStr">
        <is>
          <t>MTR-IOS-2393</t>
        </is>
      </c>
      <c r="B2394" t="inlineStr">
        <is>
          <t>Flatmates</t>
        </is>
      </c>
      <c r="C2394" t="inlineStr">
        <is>
          <t>PERCENTAGE</t>
        </is>
      </c>
      <c r="D2394" t="inlineStr">
        <is>
          <t>IOS Aarav</t>
        </is>
      </c>
      <c r="E2394" s="16" t="n">
        <v>0</v>
      </c>
      <c r="F2394" s="16" t="n">
        <v>3868.75</v>
      </c>
      <c r="G2394" s="17" t="n">
        <v>30</v>
      </c>
      <c r="H2394" s="16" t="n">
        <v>-3868.75</v>
      </c>
      <c r="I2394" s="16" t="n">
        <v>0</v>
      </c>
    </row>
    <row r="2395">
      <c r="A2395" t="inlineStr">
        <is>
          <t>MTR-IOS-2393</t>
        </is>
      </c>
      <c r="B2395" t="inlineStr">
        <is>
          <t>Flatmates</t>
        </is>
      </c>
      <c r="C2395" t="inlineStr">
        <is>
          <t>PERCENTAGE</t>
        </is>
      </c>
      <c r="D2395" t="inlineStr">
        <is>
          <t>IOS Meera</t>
        </is>
      </c>
      <c r="E2395" s="16" t="n">
        <v>12895.83</v>
      </c>
      <c r="F2395" s="16" t="n">
        <v>2579.16</v>
      </c>
      <c r="G2395" s="17" t="n">
        <v>20</v>
      </c>
      <c r="H2395" s="16" t="n">
        <v>10316.67</v>
      </c>
      <c r="I2395" s="16" t="n">
        <v>0</v>
      </c>
    </row>
    <row r="2396">
      <c r="A2396" t="inlineStr">
        <is>
          <t>MTR-IOS-2396</t>
        </is>
      </c>
      <c r="B2396" t="inlineStr">
        <is>
          <t>Flatmates</t>
        </is>
      </c>
      <c r="C2396" t="inlineStr">
        <is>
          <t>EXACT</t>
        </is>
      </c>
      <c r="D2396" t="inlineStr">
        <is>
          <t>IOS Owner</t>
        </is>
      </c>
      <c r="E2396" s="16" t="n">
        <v>16594.55</v>
      </c>
      <c r="F2396" s="16" t="n">
        <v>5525.99</v>
      </c>
      <c r="G2396" s="17" t="n"/>
      <c r="H2396" s="16" t="n">
        <v>11068.56</v>
      </c>
      <c r="I2396" s="16" t="n">
        <v>0</v>
      </c>
    </row>
    <row r="2397">
      <c r="A2397" t="inlineStr">
        <is>
          <t>MTR-IOS-2396</t>
        </is>
      </c>
      <c r="B2397" t="inlineStr">
        <is>
          <t>Flatmates</t>
        </is>
      </c>
      <c r="C2397" t="inlineStr">
        <is>
          <t>EXACT</t>
        </is>
      </c>
      <c r="D2397" t="inlineStr">
        <is>
          <t>IOS Aarav</t>
        </is>
      </c>
      <c r="E2397" s="16" t="n">
        <v>0</v>
      </c>
      <c r="F2397" s="16" t="n">
        <v>5525.99</v>
      </c>
      <c r="G2397" s="17" t="n"/>
      <c r="H2397" s="16" t="n">
        <v>-5525.99</v>
      </c>
      <c r="I2397" s="16" t="n">
        <v>0</v>
      </c>
    </row>
    <row r="2398">
      <c r="A2398" t="inlineStr">
        <is>
          <t>MTR-IOS-2396</t>
        </is>
      </c>
      <c r="B2398" t="inlineStr">
        <is>
          <t>Flatmates</t>
        </is>
      </c>
      <c r="C2398" t="inlineStr">
        <is>
          <t>EXACT</t>
        </is>
      </c>
      <c r="D2398" t="inlineStr">
        <is>
          <t>IOS Meera</t>
        </is>
      </c>
      <c r="E2398" s="16" t="n">
        <v>0</v>
      </c>
      <c r="F2398" s="16" t="n">
        <v>5542.57</v>
      </c>
      <c r="G2398" s="17" t="n"/>
      <c r="H2398" s="16" t="n">
        <v>-5542.57</v>
      </c>
      <c r="I2398" s="16" t="n">
        <v>0</v>
      </c>
    </row>
    <row r="2399">
      <c r="A2399" t="inlineStr">
        <is>
          <t>MTR-IOS-2399</t>
        </is>
      </c>
      <c r="B2399" t="inlineStr">
        <is>
          <t>Shared Living</t>
        </is>
      </c>
      <c r="C2399" t="inlineStr">
        <is>
          <t>SHARES</t>
        </is>
      </c>
      <c r="D2399" t="inlineStr">
        <is>
          <t>IOS Owner</t>
        </is>
      </c>
      <c r="E2399" s="16" t="n">
        <v>0</v>
      </c>
      <c r="F2399" s="16" t="n">
        <v>1554.78</v>
      </c>
      <c r="G2399" s="17" t="n"/>
      <c r="H2399" s="16" t="n">
        <v>-1554.78</v>
      </c>
      <c r="I2399" s="16" t="n">
        <v>0</v>
      </c>
    </row>
    <row r="2400">
      <c r="A2400" t="inlineStr">
        <is>
          <t>MTR-IOS-2399</t>
        </is>
      </c>
      <c r="B2400" t="inlineStr">
        <is>
          <t>Shared Living</t>
        </is>
      </c>
      <c r="C2400" t="inlineStr">
        <is>
          <t>SHARES</t>
        </is>
      </c>
      <c r="D2400" t="inlineStr">
        <is>
          <t>IOS Aarav</t>
        </is>
      </c>
      <c r="E2400" s="16" t="n">
        <v>3109.56</v>
      </c>
      <c r="F2400" s="16" t="n">
        <v>1036.52</v>
      </c>
      <c r="G2400" s="17" t="n"/>
      <c r="H2400" s="16" t="n">
        <v>2073.04</v>
      </c>
      <c r="I2400" s="16" t="n">
        <v>0</v>
      </c>
    </row>
    <row r="2401">
      <c r="A2401" t="inlineStr">
        <is>
          <t>MTR-IOS-2399</t>
        </is>
      </c>
      <c r="B2401" t="inlineStr">
        <is>
          <t>Shared Living</t>
        </is>
      </c>
      <c r="C2401" t="inlineStr">
        <is>
          <t>SHARES</t>
        </is>
      </c>
      <c r="D2401" t="inlineStr">
        <is>
          <t>IOS Meera</t>
        </is>
      </c>
      <c r="E2401" s="16" t="n">
        <v>0</v>
      </c>
      <c r="F2401" s="16" t="n">
        <v>518.26</v>
      </c>
      <c r="G2401" s="17" t="n"/>
      <c r="H2401" s="16" t="n">
        <v>-518.26</v>
      </c>
      <c r="I2401" s="16" t="n">
        <v>0</v>
      </c>
    </row>
    <row r="2402">
      <c r="A2402" t="inlineStr">
        <is>
          <t>MTR-IOS-2402</t>
        </is>
      </c>
      <c r="B2402" t="inlineStr">
        <is>
          <t>Shared Living</t>
        </is>
      </c>
      <c r="C2402" t="inlineStr">
        <is>
          <t>EQUAL</t>
        </is>
      </c>
      <c r="D2402" t="inlineStr">
        <is>
          <t>IOS Owner</t>
        </is>
      </c>
      <c r="E2402" s="16" t="n">
        <v>0</v>
      </c>
      <c r="F2402" s="16" t="n">
        <v>1843.22</v>
      </c>
      <c r="G2402" s="17" t="n"/>
      <c r="H2402" s="16" t="n">
        <v>-1843.22</v>
      </c>
      <c r="I2402" s="16" t="n">
        <v>0</v>
      </c>
    </row>
    <row r="2403">
      <c r="A2403" t="inlineStr">
        <is>
          <t>MTR-IOS-2402</t>
        </is>
      </c>
      <c r="B2403" t="inlineStr">
        <is>
          <t>Shared Living</t>
        </is>
      </c>
      <c r="C2403" t="inlineStr">
        <is>
          <t>EQUAL</t>
        </is>
      </c>
      <c r="D2403" t="inlineStr">
        <is>
          <t>IOS Aarav</t>
        </is>
      </c>
      <c r="E2403" s="16" t="n">
        <v>0</v>
      </c>
      <c r="F2403" s="16" t="n">
        <v>1843.22</v>
      </c>
      <c r="G2403" s="17" t="n"/>
      <c r="H2403" s="16" t="n">
        <v>-1843.22</v>
      </c>
      <c r="I2403" s="16" t="n">
        <v>0</v>
      </c>
    </row>
    <row r="2404">
      <c r="A2404" t="inlineStr">
        <is>
          <t>MTR-IOS-2402</t>
        </is>
      </c>
      <c r="B2404" t="inlineStr">
        <is>
          <t>Shared Living</t>
        </is>
      </c>
      <c r="C2404" t="inlineStr">
        <is>
          <t>EQUAL</t>
        </is>
      </c>
      <c r="D2404" t="inlineStr">
        <is>
          <t>IOS Meera</t>
        </is>
      </c>
      <c r="E2404" s="16" t="n">
        <v>5529.66</v>
      </c>
      <c r="F2404" s="16" t="n">
        <v>1843.22</v>
      </c>
      <c r="G2404" s="17" t="n"/>
      <c r="H2404" s="16" t="n">
        <v>3686.44</v>
      </c>
      <c r="I2404" s="16" t="n">
        <v>0</v>
      </c>
    </row>
    <row r="2405">
      <c r="A2405" t="inlineStr">
        <is>
          <t>MTR-IOS-2405</t>
        </is>
      </c>
      <c r="B2405" t="inlineStr">
        <is>
          <t>Shared Living</t>
        </is>
      </c>
      <c r="C2405" t="inlineStr">
        <is>
          <t>PERCENTAGE</t>
        </is>
      </c>
      <c r="D2405" t="inlineStr">
        <is>
          <t>IOS Owner</t>
        </is>
      </c>
      <c r="E2405" s="16" t="n">
        <v>10000</v>
      </c>
      <c r="F2405" s="16" t="n">
        <v>5000</v>
      </c>
      <c r="G2405" s="17" t="n">
        <v>50</v>
      </c>
      <c r="H2405" s="16" t="n">
        <v>5000</v>
      </c>
      <c r="I2405" s="16" t="n">
        <v>0</v>
      </c>
    </row>
    <row r="2406">
      <c r="A2406" t="inlineStr">
        <is>
          <t>MTR-IOS-2405</t>
        </is>
      </c>
      <c r="B2406" t="inlineStr">
        <is>
          <t>Shared Living</t>
        </is>
      </c>
      <c r="C2406" t="inlineStr">
        <is>
          <t>PERCENTAGE</t>
        </is>
      </c>
      <c r="D2406" t="inlineStr">
        <is>
          <t>IOS Aarav</t>
        </is>
      </c>
      <c r="E2406" s="16" t="n">
        <v>0</v>
      </c>
      <c r="F2406" s="16" t="n">
        <v>3000</v>
      </c>
      <c r="G2406" s="17" t="n">
        <v>30</v>
      </c>
      <c r="H2406" s="16" t="n">
        <v>-3000</v>
      </c>
      <c r="I2406" s="16" t="n">
        <v>0</v>
      </c>
    </row>
    <row r="2407">
      <c r="A2407" t="inlineStr">
        <is>
          <t>MTR-IOS-2405</t>
        </is>
      </c>
      <c r="B2407" t="inlineStr">
        <is>
          <t>Shared Living</t>
        </is>
      </c>
      <c r="C2407" t="inlineStr">
        <is>
          <t>PERCENTAGE</t>
        </is>
      </c>
      <c r="D2407" t="inlineStr">
        <is>
          <t>IOS Meera</t>
        </is>
      </c>
      <c r="E2407" s="16" t="n">
        <v>0</v>
      </c>
      <c r="F2407" s="16" t="n">
        <v>2000</v>
      </c>
      <c r="G2407" s="17" t="n">
        <v>20</v>
      </c>
      <c r="H2407" s="16" t="n">
        <v>-2000</v>
      </c>
      <c r="I2407" s="16" t="n">
        <v>0</v>
      </c>
    </row>
    <row r="2408">
      <c r="A2408" t="inlineStr">
        <is>
          <t>MTR-IOS-2408</t>
        </is>
      </c>
      <c r="B2408" t="inlineStr">
        <is>
          <t>Shared Living</t>
        </is>
      </c>
      <c r="C2408" t="inlineStr">
        <is>
          <t>EXACT</t>
        </is>
      </c>
      <c r="D2408" t="inlineStr">
        <is>
          <t>IOS Owner</t>
        </is>
      </c>
      <c r="E2408" s="16" t="n">
        <v>0</v>
      </c>
      <c r="F2408" s="16" t="n">
        <v>930.1900000000001</v>
      </c>
      <c r="G2408" s="17" t="n"/>
      <c r="H2408" s="16" t="n">
        <v>-930.1900000000001</v>
      </c>
      <c r="I2408" s="16" t="n">
        <v>0</v>
      </c>
    </row>
    <row r="2409">
      <c r="A2409" t="inlineStr">
        <is>
          <t>MTR-IOS-2408</t>
        </is>
      </c>
      <c r="B2409" t="inlineStr">
        <is>
          <t>Shared Living</t>
        </is>
      </c>
      <c r="C2409" t="inlineStr">
        <is>
          <t>EXACT</t>
        </is>
      </c>
      <c r="D2409" t="inlineStr">
        <is>
          <t>IOS Aarav</t>
        </is>
      </c>
      <c r="E2409" s="16" t="n">
        <v>2793.37</v>
      </c>
      <c r="F2409" s="16" t="n">
        <v>930.1900000000001</v>
      </c>
      <c r="G2409" s="17" t="n"/>
      <c r="H2409" s="16" t="n">
        <v>1863.18</v>
      </c>
      <c r="I2409" s="16" t="n">
        <v>0</v>
      </c>
    </row>
    <row r="2410">
      <c r="A2410" t="inlineStr">
        <is>
          <t>MTR-IOS-2408</t>
        </is>
      </c>
      <c r="B2410" t="inlineStr">
        <is>
          <t>Shared Living</t>
        </is>
      </c>
      <c r="C2410" t="inlineStr">
        <is>
          <t>EXACT</t>
        </is>
      </c>
      <c r="D2410" t="inlineStr">
        <is>
          <t>IOS Meera</t>
        </is>
      </c>
      <c r="E2410" s="16" t="n">
        <v>0</v>
      </c>
      <c r="F2410" s="16" t="n">
        <v>932.99</v>
      </c>
      <c r="G2410" s="17" t="n"/>
      <c r="H2410" s="16" t="n">
        <v>-932.99</v>
      </c>
      <c r="I2410" s="16" t="n">
        <v>0</v>
      </c>
    </row>
    <row r="2411">
      <c r="A2411" t="inlineStr">
        <is>
          <t>MTR-IOS-2411</t>
        </is>
      </c>
      <c r="B2411" t="inlineStr">
        <is>
          <t>Shared Living</t>
        </is>
      </c>
      <c r="C2411" t="inlineStr">
        <is>
          <t>SHARES</t>
        </is>
      </c>
      <c r="D2411" t="inlineStr">
        <is>
          <t>IOS Owner</t>
        </is>
      </c>
      <c r="E2411" s="16" t="n">
        <v>0</v>
      </c>
      <c r="F2411" s="16" t="n">
        <v>874.04</v>
      </c>
      <c r="G2411" s="17" t="n"/>
      <c r="H2411" s="16" t="n">
        <v>-874.04</v>
      </c>
      <c r="I2411" s="16" t="n">
        <v>0</v>
      </c>
    </row>
    <row r="2412">
      <c r="A2412" t="inlineStr">
        <is>
          <t>MTR-IOS-2411</t>
        </is>
      </c>
      <c r="B2412" t="inlineStr">
        <is>
          <t>Shared Living</t>
        </is>
      </c>
      <c r="C2412" t="inlineStr">
        <is>
          <t>SHARES</t>
        </is>
      </c>
      <c r="D2412" t="inlineStr">
        <is>
          <t>IOS Aarav</t>
        </is>
      </c>
      <c r="E2412" s="16" t="n">
        <v>0</v>
      </c>
      <c r="F2412" s="16" t="n">
        <v>582.6900000000001</v>
      </c>
      <c r="G2412" s="17" t="n"/>
      <c r="H2412" s="16" t="n">
        <v>-582.6900000000001</v>
      </c>
      <c r="I2412" s="16" t="n">
        <v>0</v>
      </c>
    </row>
    <row r="2413">
      <c r="A2413" t="inlineStr">
        <is>
          <t>MTR-IOS-2411</t>
        </is>
      </c>
      <c r="B2413" t="inlineStr">
        <is>
          <t>Shared Living</t>
        </is>
      </c>
      <c r="C2413" t="inlineStr">
        <is>
          <t>SHARES</t>
        </is>
      </c>
      <c r="D2413" t="inlineStr">
        <is>
          <t>IOS Meera</t>
        </is>
      </c>
      <c r="E2413" s="16" t="n">
        <v>1748.08</v>
      </c>
      <c r="F2413" s="16" t="n">
        <v>291.35</v>
      </c>
      <c r="G2413" s="17" t="n"/>
      <c r="H2413" s="16" t="n">
        <v>1456.73</v>
      </c>
      <c r="I2413" s="16" t="n">
        <v>0</v>
      </c>
    </row>
    <row r="2414">
      <c r="A2414" t="inlineStr">
        <is>
          <t>MTR-IOS-2414</t>
        </is>
      </c>
      <c r="B2414" t="inlineStr">
        <is>
          <t>Family Household</t>
        </is>
      </c>
      <c r="C2414" t="inlineStr">
        <is>
          <t>EQUAL</t>
        </is>
      </c>
      <c r="D2414" t="inlineStr">
        <is>
          <t>IOS Owner</t>
        </is>
      </c>
      <c r="E2414" s="16" t="n">
        <v>23010.5</v>
      </c>
      <c r="F2414" s="16" t="n">
        <v>7670.17</v>
      </c>
      <c r="G2414" s="17" t="n"/>
      <c r="H2414" s="16" t="n">
        <v>15340.33</v>
      </c>
      <c r="I2414" s="16" t="n">
        <v>0</v>
      </c>
    </row>
    <row r="2415">
      <c r="A2415" t="inlineStr">
        <is>
          <t>MTR-IOS-2414</t>
        </is>
      </c>
      <c r="B2415" t="inlineStr">
        <is>
          <t>Family Household</t>
        </is>
      </c>
      <c r="C2415" t="inlineStr">
        <is>
          <t>EQUAL</t>
        </is>
      </c>
      <c r="D2415" t="inlineStr">
        <is>
          <t>IOS Aarav</t>
        </is>
      </c>
      <c r="E2415" s="16" t="n">
        <v>0</v>
      </c>
      <c r="F2415" s="16" t="n">
        <v>7670.17</v>
      </c>
      <c r="G2415" s="17" t="n"/>
      <c r="H2415" s="16" t="n">
        <v>-7670.17</v>
      </c>
      <c r="I2415" s="16" t="n">
        <v>0</v>
      </c>
    </row>
    <row r="2416">
      <c r="A2416" t="inlineStr">
        <is>
          <t>MTR-IOS-2414</t>
        </is>
      </c>
      <c r="B2416" t="inlineStr">
        <is>
          <t>Family Household</t>
        </is>
      </c>
      <c r="C2416" t="inlineStr">
        <is>
          <t>EQUAL</t>
        </is>
      </c>
      <c r="D2416" t="inlineStr">
        <is>
          <t>IOS Meera</t>
        </is>
      </c>
      <c r="E2416" s="16" t="n">
        <v>0</v>
      </c>
      <c r="F2416" s="16" t="n">
        <v>7670.16</v>
      </c>
      <c r="G2416" s="17" t="n"/>
      <c r="H2416" s="16" t="n">
        <v>-7670.16</v>
      </c>
      <c r="I2416" s="16" t="n">
        <v>0</v>
      </c>
    </row>
    <row r="2417">
      <c r="A2417" t="inlineStr">
        <is>
          <t>MTR-IOS-2417</t>
        </is>
      </c>
      <c r="B2417" t="inlineStr">
        <is>
          <t>Family Household</t>
        </is>
      </c>
      <c r="C2417" t="inlineStr">
        <is>
          <t>PERCENTAGE</t>
        </is>
      </c>
      <c r="D2417" t="inlineStr">
        <is>
          <t>IOS Owner</t>
        </is>
      </c>
      <c r="E2417" s="16" t="n">
        <v>0</v>
      </c>
      <c r="F2417" s="16" t="n">
        <v>5286.38</v>
      </c>
      <c r="G2417" s="17" t="n">
        <v>50</v>
      </c>
      <c r="H2417" s="16" t="n">
        <v>-5286.38</v>
      </c>
      <c r="I2417" s="16" t="n">
        <v>0</v>
      </c>
    </row>
    <row r="2418">
      <c r="A2418" t="inlineStr">
        <is>
          <t>MTR-IOS-2417</t>
        </is>
      </c>
      <c r="B2418" t="inlineStr">
        <is>
          <t>Family Household</t>
        </is>
      </c>
      <c r="C2418" t="inlineStr">
        <is>
          <t>PERCENTAGE</t>
        </is>
      </c>
      <c r="D2418" t="inlineStr">
        <is>
          <t>IOS Aarav</t>
        </is>
      </c>
      <c r="E2418" s="16" t="n">
        <v>10572.75</v>
      </c>
      <c r="F2418" s="16" t="n">
        <v>3171.83</v>
      </c>
      <c r="G2418" s="17" t="n">
        <v>30</v>
      </c>
      <c r="H2418" s="16" t="n">
        <v>7400.92</v>
      </c>
      <c r="I2418" s="16" t="n">
        <v>0</v>
      </c>
    </row>
    <row r="2419">
      <c r="A2419" t="inlineStr">
        <is>
          <t>MTR-IOS-2417</t>
        </is>
      </c>
      <c r="B2419" t="inlineStr">
        <is>
          <t>Family Household</t>
        </is>
      </c>
      <c r="C2419" t="inlineStr">
        <is>
          <t>PERCENTAGE</t>
        </is>
      </c>
      <c r="D2419" t="inlineStr">
        <is>
          <t>IOS Meera</t>
        </is>
      </c>
      <c r="E2419" s="16" t="n">
        <v>0</v>
      </c>
      <c r="F2419" s="16" t="n">
        <v>2114.54</v>
      </c>
      <c r="G2419" s="17" t="n">
        <v>20</v>
      </c>
      <c r="H2419" s="16" t="n">
        <v>-2114.54</v>
      </c>
      <c r="I2419" s="16" t="n">
        <v>0</v>
      </c>
    </row>
    <row r="2420">
      <c r="A2420" t="inlineStr">
        <is>
          <t>MTR-IOS-2420</t>
        </is>
      </c>
      <c r="B2420" t="inlineStr">
        <is>
          <t>Family Household</t>
        </is>
      </c>
      <c r="C2420" t="inlineStr">
        <is>
          <t>EXACT</t>
        </is>
      </c>
      <c r="D2420" t="inlineStr">
        <is>
          <t>IOS Owner</t>
        </is>
      </c>
      <c r="E2420" s="16" t="n">
        <v>0</v>
      </c>
      <c r="F2420" s="16" t="n">
        <v>1722.22</v>
      </c>
      <c r="G2420" s="17" t="n"/>
      <c r="H2420" s="16" t="n">
        <v>-1722.22</v>
      </c>
      <c r="I2420" s="16" t="n">
        <v>0</v>
      </c>
    </row>
    <row r="2421">
      <c r="A2421" t="inlineStr">
        <is>
          <t>MTR-IOS-2420</t>
        </is>
      </c>
      <c r="B2421" t="inlineStr">
        <is>
          <t>Family Household</t>
        </is>
      </c>
      <c r="C2421" t="inlineStr">
        <is>
          <t>EXACT</t>
        </is>
      </c>
      <c r="D2421" t="inlineStr">
        <is>
          <t>IOS Aarav</t>
        </is>
      </c>
      <c r="E2421" s="16" t="n">
        <v>0</v>
      </c>
      <c r="F2421" s="16" t="n">
        <v>1722.22</v>
      </c>
      <c r="G2421" s="17" t="n"/>
      <c r="H2421" s="16" t="n">
        <v>-1722.22</v>
      </c>
      <c r="I2421" s="16" t="n">
        <v>0</v>
      </c>
    </row>
    <row r="2422">
      <c r="A2422" t="inlineStr">
        <is>
          <t>MTR-IOS-2420</t>
        </is>
      </c>
      <c r="B2422" t="inlineStr">
        <is>
          <t>Family Household</t>
        </is>
      </c>
      <c r="C2422" t="inlineStr">
        <is>
          <t>EXACT</t>
        </is>
      </c>
      <c r="D2422" t="inlineStr">
        <is>
          <t>IOS Meera</t>
        </is>
      </c>
      <c r="E2422" s="16" t="n">
        <v>5171.84</v>
      </c>
      <c r="F2422" s="16" t="n">
        <v>1727.4</v>
      </c>
      <c r="G2422" s="17" t="n"/>
      <c r="H2422" s="16" t="n">
        <v>3444.44</v>
      </c>
      <c r="I2422" s="16" t="n">
        <v>0</v>
      </c>
    </row>
    <row r="2423">
      <c r="A2423" t="inlineStr">
        <is>
          <t>MTR-IOS-2423</t>
        </is>
      </c>
      <c r="B2423" t="inlineStr">
        <is>
          <t>Family Household</t>
        </is>
      </c>
      <c r="C2423" t="inlineStr">
        <is>
          <t>SHARES</t>
        </is>
      </c>
      <c r="D2423" t="inlineStr">
        <is>
          <t>IOS Owner</t>
        </is>
      </c>
      <c r="E2423" s="16" t="n">
        <v>3973.85</v>
      </c>
      <c r="F2423" s="16" t="n">
        <v>1986.93</v>
      </c>
      <c r="G2423" s="17" t="n"/>
      <c r="H2423" s="16" t="n">
        <v>1986.92</v>
      </c>
      <c r="I2423" s="16" t="n">
        <v>0</v>
      </c>
    </row>
    <row r="2424">
      <c r="A2424" t="inlineStr">
        <is>
          <t>MTR-IOS-2423</t>
        </is>
      </c>
      <c r="B2424" t="inlineStr">
        <is>
          <t>Family Household</t>
        </is>
      </c>
      <c r="C2424" t="inlineStr">
        <is>
          <t>SHARES</t>
        </is>
      </c>
      <c r="D2424" t="inlineStr">
        <is>
          <t>IOS Aarav</t>
        </is>
      </c>
      <c r="E2424" s="16" t="n">
        <v>0</v>
      </c>
      <c r="F2424" s="16" t="n">
        <v>1324.62</v>
      </c>
      <c r="G2424" s="17" t="n"/>
      <c r="H2424" s="16" t="n">
        <v>-1324.62</v>
      </c>
      <c r="I2424" s="16" t="n">
        <v>0</v>
      </c>
    </row>
    <row r="2425">
      <c r="A2425" t="inlineStr">
        <is>
          <t>MTR-IOS-2423</t>
        </is>
      </c>
      <c r="B2425" t="inlineStr">
        <is>
          <t>Family Household</t>
        </is>
      </c>
      <c r="C2425" t="inlineStr">
        <is>
          <t>SHARES</t>
        </is>
      </c>
      <c r="D2425" t="inlineStr">
        <is>
          <t>IOS Meera</t>
        </is>
      </c>
      <c r="E2425" s="16" t="n">
        <v>0</v>
      </c>
      <c r="F2425" s="16" t="n">
        <v>662.3</v>
      </c>
      <c r="G2425" s="17" t="n"/>
      <c r="H2425" s="16" t="n">
        <v>-662.3</v>
      </c>
      <c r="I2425" s="16" t="n">
        <v>0</v>
      </c>
    </row>
    <row r="2426">
      <c r="A2426" t="inlineStr">
        <is>
          <t>MTR-IOS-2426</t>
        </is>
      </c>
      <c r="B2426" t="inlineStr">
        <is>
          <t>Family Household</t>
        </is>
      </c>
      <c r="C2426" t="inlineStr">
        <is>
          <t>EQUAL</t>
        </is>
      </c>
      <c r="D2426" t="inlineStr">
        <is>
          <t>IOS Owner</t>
        </is>
      </c>
      <c r="E2426" s="16" t="n">
        <v>0</v>
      </c>
      <c r="F2426" s="16" t="n">
        <v>2443.39</v>
      </c>
      <c r="G2426" s="17" t="n"/>
      <c r="H2426" s="16" t="n">
        <v>-2443.39</v>
      </c>
      <c r="I2426" s="16" t="n">
        <v>0</v>
      </c>
    </row>
    <row r="2427">
      <c r="A2427" t="inlineStr">
        <is>
          <t>MTR-IOS-2426</t>
        </is>
      </c>
      <c r="B2427" t="inlineStr">
        <is>
          <t>Family Household</t>
        </is>
      </c>
      <c r="C2427" t="inlineStr">
        <is>
          <t>EQUAL</t>
        </is>
      </c>
      <c r="D2427" t="inlineStr">
        <is>
          <t>IOS Aarav</t>
        </is>
      </c>
      <c r="E2427" s="16" t="n">
        <v>7330.18</v>
      </c>
      <c r="F2427" s="16" t="n">
        <v>2443.39</v>
      </c>
      <c r="G2427" s="17" t="n"/>
      <c r="H2427" s="16" t="n">
        <v>4886.79</v>
      </c>
      <c r="I2427" s="16" t="n">
        <v>0</v>
      </c>
    </row>
    <row r="2428">
      <c r="A2428" t="inlineStr">
        <is>
          <t>MTR-IOS-2426</t>
        </is>
      </c>
      <c r="B2428" t="inlineStr">
        <is>
          <t>Family Household</t>
        </is>
      </c>
      <c r="C2428" t="inlineStr">
        <is>
          <t>EQUAL</t>
        </is>
      </c>
      <c r="D2428" t="inlineStr">
        <is>
          <t>IOS Meera</t>
        </is>
      </c>
      <c r="E2428" s="16" t="n">
        <v>0</v>
      </c>
      <c r="F2428" s="16" t="n">
        <v>2443.4</v>
      </c>
      <c r="G2428" s="17" t="n"/>
      <c r="H2428" s="16" t="n">
        <v>-2443.4</v>
      </c>
      <c r="I2428" s="16" t="n">
        <v>0</v>
      </c>
    </row>
    <row r="2429">
      <c r="A2429" t="inlineStr">
        <is>
          <t>MTR-IOS-2429</t>
        </is>
      </c>
      <c r="B2429" t="inlineStr">
        <is>
          <t>Family Household</t>
        </is>
      </c>
      <c r="C2429" t="inlineStr">
        <is>
          <t>PERCENTAGE</t>
        </is>
      </c>
      <c r="D2429" t="inlineStr">
        <is>
          <t>IOS Owner</t>
        </is>
      </c>
      <c r="E2429" s="16" t="n">
        <v>0</v>
      </c>
      <c r="F2429" s="16" t="n">
        <v>7886.96</v>
      </c>
      <c r="G2429" s="17" t="n">
        <v>50</v>
      </c>
      <c r="H2429" s="16" t="n">
        <v>-7886.96</v>
      </c>
      <c r="I2429" s="16" t="n">
        <v>0</v>
      </c>
    </row>
    <row r="2430">
      <c r="A2430" t="inlineStr">
        <is>
          <t>MTR-IOS-2429</t>
        </is>
      </c>
      <c r="B2430" t="inlineStr">
        <is>
          <t>Family Household</t>
        </is>
      </c>
      <c r="C2430" t="inlineStr">
        <is>
          <t>PERCENTAGE</t>
        </is>
      </c>
      <c r="D2430" t="inlineStr">
        <is>
          <t>IOS Aarav</t>
        </is>
      </c>
      <c r="E2430" s="16" t="n">
        <v>0</v>
      </c>
      <c r="F2430" s="16" t="n">
        <v>4732.17</v>
      </c>
      <c r="G2430" s="17" t="n">
        <v>30</v>
      </c>
      <c r="H2430" s="16" t="n">
        <v>-4732.17</v>
      </c>
      <c r="I2430" s="16" t="n">
        <v>0</v>
      </c>
    </row>
    <row r="2431">
      <c r="A2431" t="inlineStr">
        <is>
          <t>MTR-IOS-2429</t>
        </is>
      </c>
      <c r="B2431" t="inlineStr">
        <is>
          <t>Family Household</t>
        </is>
      </c>
      <c r="C2431" t="inlineStr">
        <is>
          <t>PERCENTAGE</t>
        </is>
      </c>
      <c r="D2431" t="inlineStr">
        <is>
          <t>IOS Meera</t>
        </is>
      </c>
      <c r="E2431" s="16" t="n">
        <v>15773.91</v>
      </c>
      <c r="F2431" s="16" t="n">
        <v>3154.78</v>
      </c>
      <c r="G2431" s="17" t="n">
        <v>20</v>
      </c>
      <c r="H2431" s="16" t="n">
        <v>12619.13</v>
      </c>
      <c r="I2431" s="16" t="n">
        <v>0</v>
      </c>
    </row>
    <row r="2432">
      <c r="A2432" t="inlineStr">
        <is>
          <t>MTR-IOS-2432</t>
        </is>
      </c>
      <c r="B2432" t="inlineStr">
        <is>
          <t>Custom Living</t>
        </is>
      </c>
      <c r="C2432" t="inlineStr">
        <is>
          <t>EXACT</t>
        </is>
      </c>
      <c r="D2432" t="inlineStr">
        <is>
          <t>IOS Owner</t>
        </is>
      </c>
      <c r="E2432" s="16" t="n">
        <v>20364.28</v>
      </c>
      <c r="F2432" s="16" t="n">
        <v>6781.31</v>
      </c>
      <c r="G2432" s="17" t="n"/>
      <c r="H2432" s="16" t="n">
        <v>13582.97</v>
      </c>
      <c r="I2432" s="16" t="n">
        <v>0</v>
      </c>
    </row>
    <row r="2433">
      <c r="A2433" t="inlineStr">
        <is>
          <t>MTR-IOS-2432</t>
        </is>
      </c>
      <c r="B2433" t="inlineStr">
        <is>
          <t>Custom Living</t>
        </is>
      </c>
      <c r="C2433" t="inlineStr">
        <is>
          <t>EXACT</t>
        </is>
      </c>
      <c r="D2433" t="inlineStr">
        <is>
          <t>IOS Aarav</t>
        </is>
      </c>
      <c r="E2433" s="16" t="n">
        <v>0</v>
      </c>
      <c r="F2433" s="16" t="n">
        <v>6781.31</v>
      </c>
      <c r="G2433" s="17" t="n"/>
      <c r="H2433" s="16" t="n">
        <v>-6781.31</v>
      </c>
      <c r="I2433" s="16" t="n">
        <v>0</v>
      </c>
    </row>
    <row r="2434">
      <c r="A2434" t="inlineStr">
        <is>
          <t>MTR-IOS-2432</t>
        </is>
      </c>
      <c r="B2434" t="inlineStr">
        <is>
          <t>Custom Living</t>
        </is>
      </c>
      <c r="C2434" t="inlineStr">
        <is>
          <t>EXACT</t>
        </is>
      </c>
      <c r="D2434" t="inlineStr">
        <is>
          <t>IOS Meera</t>
        </is>
      </c>
      <c r="E2434" s="16" t="n">
        <v>0</v>
      </c>
      <c r="F2434" s="16" t="n">
        <v>6801.66</v>
      </c>
      <c r="G2434" s="17" t="n"/>
      <c r="H2434" s="16" t="n">
        <v>-6801.66</v>
      </c>
      <c r="I2434" s="16" t="n">
        <v>0</v>
      </c>
    </row>
    <row r="2435">
      <c r="A2435" t="inlineStr">
        <is>
          <t>MTR-IOS-2435</t>
        </is>
      </c>
      <c r="B2435" t="inlineStr">
        <is>
          <t>Custom Living</t>
        </is>
      </c>
      <c r="C2435" t="inlineStr">
        <is>
          <t>SHARES</t>
        </is>
      </c>
      <c r="D2435" t="inlineStr">
        <is>
          <t>IOS Owner</t>
        </is>
      </c>
      <c r="E2435" s="16" t="n">
        <v>0</v>
      </c>
      <c r="F2435" s="16" t="n">
        <v>5642.24</v>
      </c>
      <c r="G2435" s="17" t="n"/>
      <c r="H2435" s="16" t="n">
        <v>-5642.24</v>
      </c>
      <c r="I2435" s="16" t="n">
        <v>0</v>
      </c>
    </row>
    <row r="2436">
      <c r="A2436" t="inlineStr">
        <is>
          <t>MTR-IOS-2435</t>
        </is>
      </c>
      <c r="B2436" t="inlineStr">
        <is>
          <t>Custom Living</t>
        </is>
      </c>
      <c r="C2436" t="inlineStr">
        <is>
          <t>SHARES</t>
        </is>
      </c>
      <c r="D2436" t="inlineStr">
        <is>
          <t>IOS Aarav</t>
        </is>
      </c>
      <c r="E2436" s="16" t="n">
        <v>11284.48</v>
      </c>
      <c r="F2436" s="16" t="n">
        <v>3761.49</v>
      </c>
      <c r="G2436" s="17" t="n"/>
      <c r="H2436" s="16" t="n">
        <v>7522.99</v>
      </c>
      <c r="I2436" s="16" t="n">
        <v>0</v>
      </c>
    </row>
    <row r="2437">
      <c r="A2437" t="inlineStr">
        <is>
          <t>MTR-IOS-2435</t>
        </is>
      </c>
      <c r="B2437" t="inlineStr">
        <is>
          <t>Custom Living</t>
        </is>
      </c>
      <c r="C2437" t="inlineStr">
        <is>
          <t>SHARES</t>
        </is>
      </c>
      <c r="D2437" t="inlineStr">
        <is>
          <t>IOS Meera</t>
        </is>
      </c>
      <c r="E2437" s="16" t="n">
        <v>0</v>
      </c>
      <c r="F2437" s="16" t="n">
        <v>1880.75</v>
      </c>
      <c r="G2437" s="17" t="n"/>
      <c r="H2437" s="16" t="n">
        <v>-1880.75</v>
      </c>
      <c r="I2437" s="16" t="n">
        <v>0</v>
      </c>
    </row>
    <row r="2438">
      <c r="A2438" t="inlineStr">
        <is>
          <t>MTR-IOS-2438</t>
        </is>
      </c>
      <c r="B2438" t="inlineStr">
        <is>
          <t>Trip</t>
        </is>
      </c>
      <c r="C2438" t="inlineStr">
        <is>
          <t>EQUAL</t>
        </is>
      </c>
      <c r="D2438" t="inlineStr">
        <is>
          <t>IOS Owner</t>
        </is>
      </c>
      <c r="E2438" s="16" t="n">
        <v>0</v>
      </c>
      <c r="F2438" s="16" t="n">
        <v>209.75</v>
      </c>
      <c r="G2438" s="17" t="n"/>
      <c r="H2438" s="16" t="n">
        <v>-209.75</v>
      </c>
      <c r="I2438" s="16" t="n">
        <v>0</v>
      </c>
    </row>
    <row r="2439">
      <c r="A2439" t="inlineStr">
        <is>
          <t>MTR-IOS-2438</t>
        </is>
      </c>
      <c r="B2439" t="inlineStr">
        <is>
          <t>Trip</t>
        </is>
      </c>
      <c r="C2439" t="inlineStr">
        <is>
          <t>EQUAL</t>
        </is>
      </c>
      <c r="D2439" t="inlineStr">
        <is>
          <t>IOS Aarav</t>
        </is>
      </c>
      <c r="E2439" s="16" t="n">
        <v>0</v>
      </c>
      <c r="F2439" s="16" t="n">
        <v>209.75</v>
      </c>
      <c r="G2439" s="17" t="n"/>
      <c r="H2439" s="16" t="n">
        <v>-209.75</v>
      </c>
      <c r="I2439" s="16" t="n">
        <v>0</v>
      </c>
    </row>
    <row r="2440">
      <c r="A2440" t="inlineStr">
        <is>
          <t>MTR-IOS-2438</t>
        </is>
      </c>
      <c r="B2440" t="inlineStr">
        <is>
          <t>Trip</t>
        </is>
      </c>
      <c r="C2440" t="inlineStr">
        <is>
          <t>EQUAL</t>
        </is>
      </c>
      <c r="D2440" t="inlineStr">
        <is>
          <t>IOS Meera</t>
        </is>
      </c>
      <c r="E2440" s="16" t="n">
        <v>629.24</v>
      </c>
      <c r="F2440" s="16" t="n">
        <v>209.74</v>
      </c>
      <c r="G2440" s="17" t="n"/>
      <c r="H2440" s="16" t="n">
        <v>419.5</v>
      </c>
      <c r="I2440" s="16" t="n">
        <v>0</v>
      </c>
    </row>
    <row r="2441">
      <c r="A2441" t="inlineStr">
        <is>
          <t>MTR-IOS-2441</t>
        </is>
      </c>
      <c r="B2441" t="inlineStr">
        <is>
          <t>Trip</t>
        </is>
      </c>
      <c r="C2441" t="inlineStr">
        <is>
          <t>PERCENTAGE</t>
        </is>
      </c>
      <c r="D2441" t="inlineStr">
        <is>
          <t>IOS Owner</t>
        </is>
      </c>
      <c r="E2441" s="16" t="n">
        <v>23783.79</v>
      </c>
      <c r="F2441" s="16" t="n">
        <v>11891.9</v>
      </c>
      <c r="G2441" s="17" t="n">
        <v>50</v>
      </c>
      <c r="H2441" s="16" t="n">
        <v>11891.89</v>
      </c>
      <c r="I2441" s="16" t="n">
        <v>0</v>
      </c>
    </row>
    <row r="2442">
      <c r="A2442" t="inlineStr">
        <is>
          <t>MTR-IOS-2441</t>
        </is>
      </c>
      <c r="B2442" t="inlineStr">
        <is>
          <t>Trip</t>
        </is>
      </c>
      <c r="C2442" t="inlineStr">
        <is>
          <t>PERCENTAGE</t>
        </is>
      </c>
      <c r="D2442" t="inlineStr">
        <is>
          <t>IOS Aarav</t>
        </is>
      </c>
      <c r="E2442" s="16" t="n">
        <v>0</v>
      </c>
      <c r="F2442" s="16" t="n">
        <v>7135.14</v>
      </c>
      <c r="G2442" s="17" t="n">
        <v>30</v>
      </c>
      <c r="H2442" s="16" t="n">
        <v>-7135.14</v>
      </c>
      <c r="I2442" s="16" t="n">
        <v>0</v>
      </c>
    </row>
    <row r="2443">
      <c r="A2443" t="inlineStr">
        <is>
          <t>MTR-IOS-2441</t>
        </is>
      </c>
      <c r="B2443" t="inlineStr">
        <is>
          <t>Trip</t>
        </is>
      </c>
      <c r="C2443" t="inlineStr">
        <is>
          <t>PERCENTAGE</t>
        </is>
      </c>
      <c r="D2443" t="inlineStr">
        <is>
          <t>IOS Meera</t>
        </is>
      </c>
      <c r="E2443" s="16" t="n">
        <v>0</v>
      </c>
      <c r="F2443" s="16" t="n">
        <v>4756.75</v>
      </c>
      <c r="G2443" s="17" t="n">
        <v>20</v>
      </c>
      <c r="H2443" s="16" t="n">
        <v>-4756.75</v>
      </c>
      <c r="I2443" s="16" t="n">
        <v>0</v>
      </c>
    </row>
    <row r="2444">
      <c r="A2444" t="inlineStr">
        <is>
          <t>MTR-IOS-2444</t>
        </is>
      </c>
      <c r="B2444" t="inlineStr">
        <is>
          <t>Trip</t>
        </is>
      </c>
      <c r="C2444" t="inlineStr">
        <is>
          <t>EXACT</t>
        </is>
      </c>
      <c r="D2444" t="inlineStr">
        <is>
          <t>IOS Owner</t>
        </is>
      </c>
      <c r="E2444" s="16" t="n">
        <v>0</v>
      </c>
      <c r="F2444" s="16" t="n">
        <v>2925.9</v>
      </c>
      <c r="G2444" s="17" t="n"/>
      <c r="H2444" s="16" t="n">
        <v>-2925.9</v>
      </c>
      <c r="I2444" s="16" t="n">
        <v>0</v>
      </c>
    </row>
    <row r="2445">
      <c r="A2445" t="inlineStr">
        <is>
          <t>MTR-IOS-2444</t>
        </is>
      </c>
      <c r="B2445" t="inlineStr">
        <is>
          <t>Trip</t>
        </is>
      </c>
      <c r="C2445" t="inlineStr">
        <is>
          <t>EXACT</t>
        </is>
      </c>
      <c r="D2445" t="inlineStr">
        <is>
          <t>IOS Aarav</t>
        </is>
      </c>
      <c r="E2445" s="16" t="n">
        <v>8786.5</v>
      </c>
      <c r="F2445" s="16" t="n">
        <v>2925.9</v>
      </c>
      <c r="G2445" s="17" t="n"/>
      <c r="H2445" s="16" t="n">
        <v>5860.6</v>
      </c>
      <c r="I2445" s="16" t="n">
        <v>0</v>
      </c>
    </row>
    <row r="2446">
      <c r="A2446" t="inlineStr">
        <is>
          <t>MTR-IOS-2444</t>
        </is>
      </c>
      <c r="B2446" t="inlineStr">
        <is>
          <t>Trip</t>
        </is>
      </c>
      <c r="C2446" t="inlineStr">
        <is>
          <t>EXACT</t>
        </is>
      </c>
      <c r="D2446" t="inlineStr">
        <is>
          <t>IOS Meera</t>
        </is>
      </c>
      <c r="E2446" s="16" t="n">
        <v>0</v>
      </c>
      <c r="F2446" s="16" t="n">
        <v>2934.7</v>
      </c>
      <c r="G2446" s="17" t="n"/>
      <c r="H2446" s="16" t="n">
        <v>-2934.7</v>
      </c>
      <c r="I2446" s="16" t="n">
        <v>0</v>
      </c>
    </row>
    <row r="2447">
      <c r="A2447" t="inlineStr">
        <is>
          <t>MTR-IOS-2447</t>
        </is>
      </c>
      <c r="B2447" t="inlineStr">
        <is>
          <t>Trip</t>
        </is>
      </c>
      <c r="C2447" t="inlineStr">
        <is>
          <t>SHARES</t>
        </is>
      </c>
      <c r="D2447" t="inlineStr">
        <is>
          <t>IOS Owner</t>
        </is>
      </c>
      <c r="E2447" s="16" t="n">
        <v>0</v>
      </c>
      <c r="F2447" s="16" t="n">
        <v>13341.7</v>
      </c>
      <c r="G2447" s="17" t="n"/>
      <c r="H2447" s="16" t="n">
        <v>-13341.7</v>
      </c>
      <c r="I2447" s="16" t="n">
        <v>0</v>
      </c>
    </row>
    <row r="2448">
      <c r="A2448" t="inlineStr">
        <is>
          <t>MTR-IOS-2447</t>
        </is>
      </c>
      <c r="B2448" t="inlineStr">
        <is>
          <t>Trip</t>
        </is>
      </c>
      <c r="C2448" t="inlineStr">
        <is>
          <t>SHARES</t>
        </is>
      </c>
      <c r="D2448" t="inlineStr">
        <is>
          <t>IOS Aarav</t>
        </is>
      </c>
      <c r="E2448" s="16" t="n">
        <v>0</v>
      </c>
      <c r="F2448" s="16" t="n">
        <v>8894.459999999999</v>
      </c>
      <c r="G2448" s="17" t="n"/>
      <c r="H2448" s="16" t="n">
        <v>-8894.459999999999</v>
      </c>
      <c r="I2448" s="16" t="n">
        <v>0</v>
      </c>
    </row>
    <row r="2449">
      <c r="A2449" t="inlineStr">
        <is>
          <t>MTR-IOS-2447</t>
        </is>
      </c>
      <c r="B2449" t="inlineStr">
        <is>
          <t>Trip</t>
        </is>
      </c>
      <c r="C2449" t="inlineStr">
        <is>
          <t>SHARES</t>
        </is>
      </c>
      <c r="D2449" t="inlineStr">
        <is>
          <t>IOS Meera</t>
        </is>
      </c>
      <c r="E2449" s="16" t="n">
        <v>26683.39</v>
      </c>
      <c r="F2449" s="16" t="n">
        <v>4447.23</v>
      </c>
      <c r="G2449" s="17" t="n"/>
      <c r="H2449" s="16" t="n">
        <v>22236.16</v>
      </c>
      <c r="I2449" s="16" t="n">
        <v>0</v>
      </c>
    </row>
    <row r="2450">
      <c r="A2450" t="inlineStr">
        <is>
          <t>MTR-IOS-2450</t>
        </is>
      </c>
      <c r="B2450" t="inlineStr">
        <is>
          <t>Trip</t>
        </is>
      </c>
      <c r="C2450" t="inlineStr">
        <is>
          <t>EQUAL</t>
        </is>
      </c>
      <c r="D2450" t="inlineStr">
        <is>
          <t>IOS Owner</t>
        </is>
      </c>
      <c r="E2450" s="16" t="n">
        <v>26235.92</v>
      </c>
      <c r="F2450" s="16" t="n">
        <v>8745.309999999999</v>
      </c>
      <c r="G2450" s="17" t="n"/>
      <c r="H2450" s="16" t="n">
        <v>17490.61</v>
      </c>
      <c r="I2450" s="16" t="n">
        <v>0</v>
      </c>
    </row>
    <row r="2451">
      <c r="A2451" t="inlineStr">
        <is>
          <t>MTR-IOS-2450</t>
        </is>
      </c>
      <c r="B2451" t="inlineStr">
        <is>
          <t>Trip</t>
        </is>
      </c>
      <c r="C2451" t="inlineStr">
        <is>
          <t>EQUAL</t>
        </is>
      </c>
      <c r="D2451" t="inlineStr">
        <is>
          <t>IOS Aarav</t>
        </is>
      </c>
      <c r="E2451" s="16" t="n">
        <v>0</v>
      </c>
      <c r="F2451" s="16" t="n">
        <v>8745.309999999999</v>
      </c>
      <c r="G2451" s="17" t="n"/>
      <c r="H2451" s="16" t="n">
        <v>-8745.309999999999</v>
      </c>
      <c r="I2451" s="16" t="n">
        <v>0</v>
      </c>
    </row>
    <row r="2452">
      <c r="A2452" t="inlineStr">
        <is>
          <t>MTR-IOS-2450</t>
        </is>
      </c>
      <c r="B2452" t="inlineStr">
        <is>
          <t>Trip</t>
        </is>
      </c>
      <c r="C2452" t="inlineStr">
        <is>
          <t>EQUAL</t>
        </is>
      </c>
      <c r="D2452" t="inlineStr">
        <is>
          <t>IOS Meera</t>
        </is>
      </c>
      <c r="E2452" s="16" t="n">
        <v>0</v>
      </c>
      <c r="F2452" s="16" t="n">
        <v>8745.299999999999</v>
      </c>
      <c r="G2452" s="17" t="n"/>
      <c r="H2452" s="16" t="n">
        <v>-8745.299999999999</v>
      </c>
      <c r="I2452" s="16" t="n">
        <v>0</v>
      </c>
    </row>
    <row r="2453">
      <c r="A2453" t="inlineStr">
        <is>
          <t>MTR-IOS-2453</t>
        </is>
      </c>
      <c r="B2453" t="inlineStr">
        <is>
          <t>Trip</t>
        </is>
      </c>
      <c r="C2453" t="inlineStr">
        <is>
          <t>PERCENTAGE</t>
        </is>
      </c>
      <c r="D2453" t="inlineStr">
        <is>
          <t>IOS Owner</t>
        </is>
      </c>
      <c r="E2453" s="16" t="n">
        <v>0</v>
      </c>
      <c r="F2453" s="16" t="n">
        <v>11828.01</v>
      </c>
      <c r="G2453" s="17" t="n">
        <v>50</v>
      </c>
      <c r="H2453" s="16" t="n">
        <v>-11828.01</v>
      </c>
      <c r="I2453" s="16" t="n">
        <v>0</v>
      </c>
    </row>
    <row r="2454">
      <c r="A2454" t="inlineStr">
        <is>
          <t>MTR-IOS-2453</t>
        </is>
      </c>
      <c r="B2454" t="inlineStr">
        <is>
          <t>Trip</t>
        </is>
      </c>
      <c r="C2454" t="inlineStr">
        <is>
          <t>PERCENTAGE</t>
        </is>
      </c>
      <c r="D2454" t="inlineStr">
        <is>
          <t>IOS Aarav</t>
        </is>
      </c>
      <c r="E2454" s="16" t="n">
        <v>23656.02</v>
      </c>
      <c r="F2454" s="16" t="n">
        <v>7096.81</v>
      </c>
      <c r="G2454" s="17" t="n">
        <v>30</v>
      </c>
      <c r="H2454" s="16" t="n">
        <v>16559.21</v>
      </c>
      <c r="I2454" s="16" t="n">
        <v>0</v>
      </c>
    </row>
    <row r="2455">
      <c r="A2455" t="inlineStr">
        <is>
          <t>MTR-IOS-2453</t>
        </is>
      </c>
      <c r="B2455" t="inlineStr">
        <is>
          <t>Trip</t>
        </is>
      </c>
      <c r="C2455" t="inlineStr">
        <is>
          <t>PERCENTAGE</t>
        </is>
      </c>
      <c r="D2455" t="inlineStr">
        <is>
          <t>IOS Meera</t>
        </is>
      </c>
      <c r="E2455" s="16" t="n">
        <v>0</v>
      </c>
      <c r="F2455" s="16" t="n">
        <v>4731.2</v>
      </c>
      <c r="G2455" s="17" t="n">
        <v>20</v>
      </c>
      <c r="H2455" s="16" t="n">
        <v>-4731.2</v>
      </c>
      <c r="I2455" s="16" t="n">
        <v>0</v>
      </c>
    </row>
    <row r="2456">
      <c r="A2456" t="inlineStr">
        <is>
          <t>MTR-IOS-2456</t>
        </is>
      </c>
      <c r="B2456" t="inlineStr">
        <is>
          <t>Trip</t>
        </is>
      </c>
      <c r="C2456" t="inlineStr">
        <is>
          <t>EXACT</t>
        </is>
      </c>
      <c r="D2456" t="inlineStr">
        <is>
          <t>IOS Owner</t>
        </is>
      </c>
      <c r="E2456" s="16" t="n">
        <v>0</v>
      </c>
      <c r="F2456" s="16" t="n">
        <v>4966.95</v>
      </c>
      <c r="G2456" s="17" t="n"/>
      <c r="H2456" s="16" t="n">
        <v>-4966.95</v>
      </c>
      <c r="I2456" s="16" t="n">
        <v>0</v>
      </c>
    </row>
    <row r="2457">
      <c r="A2457" t="inlineStr">
        <is>
          <t>MTR-IOS-2456</t>
        </is>
      </c>
      <c r="B2457" t="inlineStr">
        <is>
          <t>Trip</t>
        </is>
      </c>
      <c r="C2457" t="inlineStr">
        <is>
          <t>EXACT</t>
        </is>
      </c>
      <c r="D2457" t="inlineStr">
        <is>
          <t>IOS Aarav</t>
        </is>
      </c>
      <c r="E2457" s="16" t="n">
        <v>0</v>
      </c>
      <c r="F2457" s="16" t="n">
        <v>4966.95</v>
      </c>
      <c r="G2457" s="17" t="n"/>
      <c r="H2457" s="16" t="n">
        <v>-4966.95</v>
      </c>
      <c r="I2457" s="16" t="n">
        <v>0</v>
      </c>
    </row>
    <row r="2458">
      <c r="A2458" t="inlineStr">
        <is>
          <t>MTR-IOS-2456</t>
        </is>
      </c>
      <c r="B2458" t="inlineStr">
        <is>
          <t>Trip</t>
        </is>
      </c>
      <c r="C2458" t="inlineStr">
        <is>
          <t>EXACT</t>
        </is>
      </c>
      <c r="D2458" t="inlineStr">
        <is>
          <t>IOS Meera</t>
        </is>
      </c>
      <c r="E2458" s="16" t="n">
        <v>14915.78</v>
      </c>
      <c r="F2458" s="16" t="n">
        <v>4981.88</v>
      </c>
      <c r="G2458" s="17" t="n"/>
      <c r="H2458" s="16" t="n">
        <v>9933.9</v>
      </c>
      <c r="I2458" s="16" t="n">
        <v>0</v>
      </c>
    </row>
    <row r="2459">
      <c r="A2459" t="inlineStr">
        <is>
          <t>MTR-IOS-2459</t>
        </is>
      </c>
      <c r="B2459" t="inlineStr">
        <is>
          <t>Wedding</t>
        </is>
      </c>
      <c r="C2459" t="inlineStr">
        <is>
          <t>SHARES</t>
        </is>
      </c>
      <c r="D2459" t="inlineStr">
        <is>
          <t>IOS Owner</t>
        </is>
      </c>
      <c r="E2459" s="16" t="n">
        <v>11649.9</v>
      </c>
      <c r="F2459" s="16" t="n">
        <v>5824.95</v>
      </c>
      <c r="G2459" s="17" t="n"/>
      <c r="H2459" s="16" t="n">
        <v>5824.95</v>
      </c>
      <c r="I2459" s="16" t="n">
        <v>0</v>
      </c>
    </row>
    <row r="2460">
      <c r="A2460" t="inlineStr">
        <is>
          <t>MTR-IOS-2459</t>
        </is>
      </c>
      <c r="B2460" t="inlineStr">
        <is>
          <t>Wedding</t>
        </is>
      </c>
      <c r="C2460" t="inlineStr">
        <is>
          <t>SHARES</t>
        </is>
      </c>
      <c r="D2460" t="inlineStr">
        <is>
          <t>IOS Aarav</t>
        </is>
      </c>
      <c r="E2460" s="16" t="n">
        <v>0</v>
      </c>
      <c r="F2460" s="16" t="n">
        <v>3883.3</v>
      </c>
      <c r="G2460" s="17" t="n"/>
      <c r="H2460" s="16" t="n">
        <v>-3883.3</v>
      </c>
      <c r="I2460" s="16" t="n">
        <v>0</v>
      </c>
    </row>
    <row r="2461">
      <c r="A2461" t="inlineStr">
        <is>
          <t>MTR-IOS-2459</t>
        </is>
      </c>
      <c r="B2461" t="inlineStr">
        <is>
          <t>Wedding</t>
        </is>
      </c>
      <c r="C2461" t="inlineStr">
        <is>
          <t>SHARES</t>
        </is>
      </c>
      <c r="D2461" t="inlineStr">
        <is>
          <t>IOS Meera</t>
        </is>
      </c>
      <c r="E2461" s="16" t="n">
        <v>0</v>
      </c>
      <c r="F2461" s="16" t="n">
        <v>1941.65</v>
      </c>
      <c r="G2461" s="17" t="n"/>
      <c r="H2461" s="16" t="n">
        <v>-1941.65</v>
      </c>
      <c r="I2461" s="16" t="n">
        <v>0</v>
      </c>
    </row>
    <row r="2462">
      <c r="A2462" t="inlineStr">
        <is>
          <t>MTR-IOS-2462</t>
        </is>
      </c>
      <c r="B2462" t="inlineStr">
        <is>
          <t>Wedding</t>
        </is>
      </c>
      <c r="C2462" t="inlineStr">
        <is>
          <t>EQUAL</t>
        </is>
      </c>
      <c r="D2462" t="inlineStr">
        <is>
          <t>IOS Owner</t>
        </is>
      </c>
      <c r="E2462" s="16" t="n">
        <v>0</v>
      </c>
      <c r="F2462" s="16" t="n">
        <v>7890.21</v>
      </c>
      <c r="G2462" s="17" t="n"/>
      <c r="H2462" s="16" t="n">
        <v>-7890.21</v>
      </c>
      <c r="I2462" s="16" t="n">
        <v>0</v>
      </c>
    </row>
    <row r="2463">
      <c r="A2463" t="inlineStr">
        <is>
          <t>MTR-IOS-2462</t>
        </is>
      </c>
      <c r="B2463" t="inlineStr">
        <is>
          <t>Wedding</t>
        </is>
      </c>
      <c r="C2463" t="inlineStr">
        <is>
          <t>EQUAL</t>
        </is>
      </c>
      <c r="D2463" t="inlineStr">
        <is>
          <t>IOS Aarav</t>
        </is>
      </c>
      <c r="E2463" s="16" t="n">
        <v>23670.62</v>
      </c>
      <c r="F2463" s="16" t="n">
        <v>7890.21</v>
      </c>
      <c r="G2463" s="17" t="n"/>
      <c r="H2463" s="16" t="n">
        <v>15780.41</v>
      </c>
      <c r="I2463" s="16" t="n">
        <v>0</v>
      </c>
    </row>
    <row r="2464">
      <c r="A2464" t="inlineStr">
        <is>
          <t>MTR-IOS-2462</t>
        </is>
      </c>
      <c r="B2464" t="inlineStr">
        <is>
          <t>Wedding</t>
        </is>
      </c>
      <c r="C2464" t="inlineStr">
        <is>
          <t>EQUAL</t>
        </is>
      </c>
      <c r="D2464" t="inlineStr">
        <is>
          <t>IOS Meera</t>
        </is>
      </c>
      <c r="E2464" s="16" t="n">
        <v>0</v>
      </c>
      <c r="F2464" s="16" t="n">
        <v>7890.2</v>
      </c>
      <c r="G2464" s="17" t="n"/>
      <c r="H2464" s="16" t="n">
        <v>-7890.2</v>
      </c>
      <c r="I2464" s="16" t="n">
        <v>0</v>
      </c>
    </row>
    <row r="2465">
      <c r="A2465" t="inlineStr">
        <is>
          <t>MTR-IOS-2465</t>
        </is>
      </c>
      <c r="B2465" t="inlineStr">
        <is>
          <t>Wedding</t>
        </is>
      </c>
      <c r="C2465" t="inlineStr">
        <is>
          <t>PERCENTAGE</t>
        </is>
      </c>
      <c r="D2465" t="inlineStr">
        <is>
          <t>IOS Owner</t>
        </is>
      </c>
      <c r="E2465" s="16" t="n">
        <v>0</v>
      </c>
      <c r="F2465" s="16" t="n">
        <v>479.85</v>
      </c>
      <c r="G2465" s="17" t="n">
        <v>50</v>
      </c>
      <c r="H2465" s="16" t="n">
        <v>-479.85</v>
      </c>
      <c r="I2465" s="16" t="n">
        <v>0</v>
      </c>
    </row>
    <row r="2466">
      <c r="A2466" t="inlineStr">
        <is>
          <t>MTR-IOS-2465</t>
        </is>
      </c>
      <c r="B2466" t="inlineStr">
        <is>
          <t>Wedding</t>
        </is>
      </c>
      <c r="C2466" t="inlineStr">
        <is>
          <t>PERCENTAGE</t>
        </is>
      </c>
      <c r="D2466" t="inlineStr">
        <is>
          <t>IOS Aarav</t>
        </is>
      </c>
      <c r="E2466" s="16" t="n">
        <v>0</v>
      </c>
      <c r="F2466" s="16" t="n">
        <v>287.91</v>
      </c>
      <c r="G2466" s="17" t="n">
        <v>30</v>
      </c>
      <c r="H2466" s="16" t="n">
        <v>-287.91</v>
      </c>
      <c r="I2466" s="16" t="n">
        <v>0</v>
      </c>
    </row>
    <row r="2467">
      <c r="A2467" t="inlineStr">
        <is>
          <t>MTR-IOS-2465</t>
        </is>
      </c>
      <c r="B2467" t="inlineStr">
        <is>
          <t>Wedding</t>
        </is>
      </c>
      <c r="C2467" t="inlineStr">
        <is>
          <t>PERCENTAGE</t>
        </is>
      </c>
      <c r="D2467" t="inlineStr">
        <is>
          <t>IOS Meera</t>
        </is>
      </c>
      <c r="E2467" s="16" t="n">
        <v>959.6900000000001</v>
      </c>
      <c r="F2467" s="16" t="n">
        <v>191.93</v>
      </c>
      <c r="G2467" s="17" t="n">
        <v>20</v>
      </c>
      <c r="H2467" s="16" t="n">
        <v>767.76</v>
      </c>
      <c r="I2467" s="16" t="n">
        <v>0</v>
      </c>
    </row>
    <row r="2468">
      <c r="A2468" t="inlineStr">
        <is>
          <t>MTR-IOS-2468</t>
        </is>
      </c>
      <c r="B2468" t="inlineStr">
        <is>
          <t>Wedding</t>
        </is>
      </c>
      <c r="C2468" t="inlineStr">
        <is>
          <t>EXACT</t>
        </is>
      </c>
      <c r="D2468" t="inlineStr">
        <is>
          <t>IOS Owner</t>
        </is>
      </c>
      <c r="E2468" s="16" t="n">
        <v>19887.6</v>
      </c>
      <c r="F2468" s="16" t="n">
        <v>6622.57</v>
      </c>
      <c r="G2468" s="17" t="n"/>
      <c r="H2468" s="16" t="n">
        <v>13265.03</v>
      </c>
      <c r="I2468" s="16" t="n">
        <v>0</v>
      </c>
    </row>
    <row r="2469">
      <c r="A2469" t="inlineStr">
        <is>
          <t>MTR-IOS-2468</t>
        </is>
      </c>
      <c r="B2469" t="inlineStr">
        <is>
          <t>Wedding</t>
        </is>
      </c>
      <c r="C2469" t="inlineStr">
        <is>
          <t>EXACT</t>
        </is>
      </c>
      <c r="D2469" t="inlineStr">
        <is>
          <t>IOS Aarav</t>
        </is>
      </c>
      <c r="E2469" s="16" t="n">
        <v>0</v>
      </c>
      <c r="F2469" s="16" t="n">
        <v>6622.57</v>
      </c>
      <c r="G2469" s="17" t="n"/>
      <c r="H2469" s="16" t="n">
        <v>-6622.57</v>
      </c>
      <c r="I2469" s="16" t="n">
        <v>0</v>
      </c>
    </row>
    <row r="2470">
      <c r="A2470" t="inlineStr">
        <is>
          <t>MTR-IOS-2468</t>
        </is>
      </c>
      <c r="B2470" t="inlineStr">
        <is>
          <t>Wedding</t>
        </is>
      </c>
      <c r="C2470" t="inlineStr">
        <is>
          <t>EXACT</t>
        </is>
      </c>
      <c r="D2470" t="inlineStr">
        <is>
          <t>IOS Meera</t>
        </is>
      </c>
      <c r="E2470" s="16" t="n">
        <v>0</v>
      </c>
      <c r="F2470" s="16" t="n">
        <v>6642.46</v>
      </c>
      <c r="G2470" s="17" t="n"/>
      <c r="H2470" s="16" t="n">
        <v>-6642.46</v>
      </c>
      <c r="I2470" s="16" t="n">
        <v>0</v>
      </c>
    </row>
    <row r="2471">
      <c r="A2471" t="inlineStr">
        <is>
          <t>MTR-IOS-2471</t>
        </is>
      </c>
      <c r="B2471" t="inlineStr">
        <is>
          <t>Wedding</t>
        </is>
      </c>
      <c r="C2471" t="inlineStr">
        <is>
          <t>SHARES</t>
        </is>
      </c>
      <c r="D2471" t="inlineStr">
        <is>
          <t>IOS Owner</t>
        </is>
      </c>
      <c r="E2471" s="16" t="n">
        <v>0</v>
      </c>
      <c r="F2471" s="16" t="n">
        <v>8929.860000000001</v>
      </c>
      <c r="G2471" s="17" t="n"/>
      <c r="H2471" s="16" t="n">
        <v>-8929.860000000001</v>
      </c>
      <c r="I2471" s="16" t="n">
        <v>0</v>
      </c>
    </row>
    <row r="2472">
      <c r="A2472" t="inlineStr">
        <is>
          <t>MTR-IOS-2471</t>
        </is>
      </c>
      <c r="B2472" t="inlineStr">
        <is>
          <t>Wedding</t>
        </is>
      </c>
      <c r="C2472" t="inlineStr">
        <is>
          <t>SHARES</t>
        </is>
      </c>
      <c r="D2472" t="inlineStr">
        <is>
          <t>IOS Aarav</t>
        </is>
      </c>
      <c r="E2472" s="16" t="n">
        <v>17859.72</v>
      </c>
      <c r="F2472" s="16" t="n">
        <v>5953.24</v>
      </c>
      <c r="G2472" s="17" t="n"/>
      <c r="H2472" s="16" t="n">
        <v>11906.48</v>
      </c>
      <c r="I2472" s="16" t="n">
        <v>0</v>
      </c>
    </row>
    <row r="2473">
      <c r="A2473" t="inlineStr">
        <is>
          <t>MTR-IOS-2471</t>
        </is>
      </c>
      <c r="B2473" t="inlineStr">
        <is>
          <t>Wedding</t>
        </is>
      </c>
      <c r="C2473" t="inlineStr">
        <is>
          <t>SHARES</t>
        </is>
      </c>
      <c r="D2473" t="inlineStr">
        <is>
          <t>IOS Meera</t>
        </is>
      </c>
      <c r="E2473" s="16" t="n">
        <v>0</v>
      </c>
      <c r="F2473" s="16" t="n">
        <v>2976.62</v>
      </c>
      <c r="G2473" s="17" t="n"/>
      <c r="H2473" s="16" t="n">
        <v>-2976.62</v>
      </c>
      <c r="I2473" s="16" t="n">
        <v>0</v>
      </c>
    </row>
    <row r="2474">
      <c r="A2474" t="inlineStr">
        <is>
          <t>MTR-IOS-2474</t>
        </is>
      </c>
      <c r="B2474" t="inlineStr">
        <is>
          <t>Wedding</t>
        </is>
      </c>
      <c r="C2474" t="inlineStr">
        <is>
          <t>EQUAL</t>
        </is>
      </c>
      <c r="D2474" t="inlineStr">
        <is>
          <t>IOS Owner</t>
        </is>
      </c>
      <c r="E2474" s="16" t="n">
        <v>0</v>
      </c>
      <c r="F2474" s="16" t="n">
        <v>1917.54</v>
      </c>
      <c r="G2474" s="17" t="n"/>
      <c r="H2474" s="16" t="n">
        <v>-1917.54</v>
      </c>
      <c r="I2474" s="16" t="n">
        <v>0</v>
      </c>
    </row>
    <row r="2475">
      <c r="A2475" t="inlineStr">
        <is>
          <t>MTR-IOS-2474</t>
        </is>
      </c>
      <c r="B2475" t="inlineStr">
        <is>
          <t>Wedding</t>
        </is>
      </c>
      <c r="C2475" t="inlineStr">
        <is>
          <t>EQUAL</t>
        </is>
      </c>
      <c r="D2475" t="inlineStr">
        <is>
          <t>IOS Aarav</t>
        </is>
      </c>
      <c r="E2475" s="16" t="n">
        <v>0</v>
      </c>
      <c r="F2475" s="16" t="n">
        <v>1917.54</v>
      </c>
      <c r="G2475" s="17" t="n"/>
      <c r="H2475" s="16" t="n">
        <v>-1917.54</v>
      </c>
      <c r="I2475" s="16" t="n">
        <v>0</v>
      </c>
    </row>
    <row r="2476">
      <c r="A2476" t="inlineStr">
        <is>
          <t>MTR-IOS-2474</t>
        </is>
      </c>
      <c r="B2476" t="inlineStr">
        <is>
          <t>Wedding</t>
        </is>
      </c>
      <c r="C2476" t="inlineStr">
        <is>
          <t>EQUAL</t>
        </is>
      </c>
      <c r="D2476" t="inlineStr">
        <is>
          <t>IOS Meera</t>
        </is>
      </c>
      <c r="E2476" s="16" t="n">
        <v>5752.63</v>
      </c>
      <c r="F2476" s="16" t="n">
        <v>1917.55</v>
      </c>
      <c r="G2476" s="17" t="n"/>
      <c r="H2476" s="16" t="n">
        <v>3835.08</v>
      </c>
      <c r="I2476" s="16" t="n">
        <v>0</v>
      </c>
    </row>
    <row r="2477">
      <c r="A2477" t="inlineStr">
        <is>
          <t>MTR-IOS-2477</t>
        </is>
      </c>
      <c r="B2477" t="inlineStr">
        <is>
          <t>Wedding</t>
        </is>
      </c>
      <c r="C2477" t="inlineStr">
        <is>
          <t>PERCENTAGE</t>
        </is>
      </c>
      <c r="D2477" t="inlineStr">
        <is>
          <t>IOS Owner</t>
        </is>
      </c>
      <c r="E2477" s="16" t="n">
        <v>654.03</v>
      </c>
      <c r="F2477" s="16" t="n">
        <v>327.02</v>
      </c>
      <c r="G2477" s="17" t="n">
        <v>50</v>
      </c>
      <c r="H2477" s="16" t="n">
        <v>327.01</v>
      </c>
      <c r="I2477" s="16" t="n">
        <v>0</v>
      </c>
    </row>
    <row r="2478">
      <c r="A2478" t="inlineStr">
        <is>
          <t>MTR-IOS-2477</t>
        </is>
      </c>
      <c r="B2478" t="inlineStr">
        <is>
          <t>Wedding</t>
        </is>
      </c>
      <c r="C2478" t="inlineStr">
        <is>
          <t>PERCENTAGE</t>
        </is>
      </c>
      <c r="D2478" t="inlineStr">
        <is>
          <t>IOS Aarav</t>
        </is>
      </c>
      <c r="E2478" s="16" t="n">
        <v>0</v>
      </c>
      <c r="F2478" s="16" t="n">
        <v>196.21</v>
      </c>
      <c r="G2478" s="17" t="n">
        <v>30</v>
      </c>
      <c r="H2478" s="16" t="n">
        <v>-196.21</v>
      </c>
      <c r="I2478" s="16" t="n">
        <v>0</v>
      </c>
    </row>
    <row r="2479">
      <c r="A2479" t="inlineStr">
        <is>
          <t>MTR-IOS-2477</t>
        </is>
      </c>
      <c r="B2479" t="inlineStr">
        <is>
          <t>Wedding</t>
        </is>
      </c>
      <c r="C2479" t="inlineStr">
        <is>
          <t>PERCENTAGE</t>
        </is>
      </c>
      <c r="D2479" t="inlineStr">
        <is>
          <t>IOS Meera</t>
        </is>
      </c>
      <c r="E2479" s="16" t="n">
        <v>0</v>
      </c>
      <c r="F2479" s="16" t="n">
        <v>130.8</v>
      </c>
      <c r="G2479" s="17" t="n">
        <v>20</v>
      </c>
      <c r="H2479" s="16" t="n">
        <v>-130.8</v>
      </c>
      <c r="I2479" s="16" t="n">
        <v>0</v>
      </c>
    </row>
    <row r="2480">
      <c r="A2480" t="inlineStr">
        <is>
          <t>MTR-IOS-2480</t>
        </is>
      </c>
      <c r="B2480" t="inlineStr">
        <is>
          <t>Office Outing</t>
        </is>
      </c>
      <c r="C2480" t="inlineStr">
        <is>
          <t>EXACT</t>
        </is>
      </c>
      <c r="D2480" t="inlineStr">
        <is>
          <t>IOS Owner</t>
        </is>
      </c>
      <c r="E2480" s="16" t="n">
        <v>0</v>
      </c>
      <c r="F2480" s="16" t="n">
        <v>6662.28</v>
      </c>
      <c r="G2480" s="17" t="n"/>
      <c r="H2480" s="16" t="n">
        <v>-6662.28</v>
      </c>
      <c r="I2480" s="16" t="n">
        <v>0</v>
      </c>
    </row>
    <row r="2481">
      <c r="A2481" t="inlineStr">
        <is>
          <t>MTR-IOS-2480</t>
        </is>
      </c>
      <c r="B2481" t="inlineStr">
        <is>
          <t>Office Outing</t>
        </is>
      </c>
      <c r="C2481" t="inlineStr">
        <is>
          <t>EXACT</t>
        </is>
      </c>
      <c r="D2481" t="inlineStr">
        <is>
          <t>IOS Aarav</t>
        </is>
      </c>
      <c r="E2481" s="16" t="n">
        <v>20006.86</v>
      </c>
      <c r="F2481" s="16" t="n">
        <v>6662.28</v>
      </c>
      <c r="G2481" s="17" t="n"/>
      <c r="H2481" s="16" t="n">
        <v>13344.58</v>
      </c>
      <c r="I2481" s="16" t="n">
        <v>0</v>
      </c>
    </row>
    <row r="2482">
      <c r="A2482" t="inlineStr">
        <is>
          <t>MTR-IOS-2480</t>
        </is>
      </c>
      <c r="B2482" t="inlineStr">
        <is>
          <t>Office Outing</t>
        </is>
      </c>
      <c r="C2482" t="inlineStr">
        <is>
          <t>EXACT</t>
        </is>
      </c>
      <c r="D2482" t="inlineStr">
        <is>
          <t>IOS Meera</t>
        </is>
      </c>
      <c r="E2482" s="16" t="n">
        <v>0</v>
      </c>
      <c r="F2482" s="16" t="n">
        <v>6682.3</v>
      </c>
      <c r="G2482" s="17" t="n"/>
      <c r="H2482" s="16" t="n">
        <v>-6682.3</v>
      </c>
      <c r="I2482" s="16" t="n">
        <v>0</v>
      </c>
    </row>
    <row r="2483">
      <c r="A2483" t="inlineStr">
        <is>
          <t>MTR-IOS-2483</t>
        </is>
      </c>
      <c r="B2483" t="inlineStr">
        <is>
          <t>Office Outing</t>
        </is>
      </c>
      <c r="C2483" t="inlineStr">
        <is>
          <t>SHARES</t>
        </is>
      </c>
      <c r="D2483" t="inlineStr">
        <is>
          <t>IOS Owner</t>
        </is>
      </c>
      <c r="E2483" s="16" t="n">
        <v>0</v>
      </c>
      <c r="F2483" s="16" t="n">
        <v>13324.04</v>
      </c>
      <c r="G2483" s="17" t="n"/>
      <c r="H2483" s="16" t="n">
        <v>-13324.04</v>
      </c>
      <c r="I2483" s="16" t="n">
        <v>0</v>
      </c>
    </row>
    <row r="2484">
      <c r="A2484" t="inlineStr">
        <is>
          <t>MTR-IOS-2483</t>
        </is>
      </c>
      <c r="B2484" t="inlineStr">
        <is>
          <t>Office Outing</t>
        </is>
      </c>
      <c r="C2484" t="inlineStr">
        <is>
          <t>SHARES</t>
        </is>
      </c>
      <c r="D2484" t="inlineStr">
        <is>
          <t>IOS Aarav</t>
        </is>
      </c>
      <c r="E2484" s="16" t="n">
        <v>0</v>
      </c>
      <c r="F2484" s="16" t="n">
        <v>8882.690000000001</v>
      </c>
      <c r="G2484" s="17" t="n"/>
      <c r="H2484" s="16" t="n">
        <v>-8882.690000000001</v>
      </c>
      <c r="I2484" s="16" t="n">
        <v>0</v>
      </c>
    </row>
    <row r="2485">
      <c r="A2485" t="inlineStr">
        <is>
          <t>MTR-IOS-2483</t>
        </is>
      </c>
      <c r="B2485" t="inlineStr">
        <is>
          <t>Office Outing</t>
        </is>
      </c>
      <c r="C2485" t="inlineStr">
        <is>
          <t>SHARES</t>
        </is>
      </c>
      <c r="D2485" t="inlineStr">
        <is>
          <t>IOS Meera</t>
        </is>
      </c>
      <c r="E2485" s="16" t="n">
        <v>26648.08</v>
      </c>
      <c r="F2485" s="16" t="n">
        <v>4441.35</v>
      </c>
      <c r="G2485" s="17" t="n"/>
      <c r="H2485" s="16" t="n">
        <v>22206.73</v>
      </c>
      <c r="I2485" s="16" t="n">
        <v>0</v>
      </c>
    </row>
    <row r="2486">
      <c r="A2486" t="inlineStr">
        <is>
          <t>MTR-IOS-2486</t>
        </is>
      </c>
      <c r="B2486" t="inlineStr">
        <is>
          <t>Office Outing</t>
        </is>
      </c>
      <c r="C2486" t="inlineStr">
        <is>
          <t>EQUAL</t>
        </is>
      </c>
      <c r="D2486" t="inlineStr">
        <is>
          <t>IOS Owner</t>
        </is>
      </c>
      <c r="E2486" s="16" t="n">
        <v>362.11</v>
      </c>
      <c r="F2486" s="16" t="n">
        <v>120.7</v>
      </c>
      <c r="G2486" s="17" t="n"/>
      <c r="H2486" s="16" t="n">
        <v>241.41</v>
      </c>
      <c r="I2486" s="16" t="n">
        <v>0</v>
      </c>
    </row>
    <row r="2487">
      <c r="A2487" t="inlineStr">
        <is>
          <t>MTR-IOS-2486</t>
        </is>
      </c>
      <c r="B2487" t="inlineStr">
        <is>
          <t>Office Outing</t>
        </is>
      </c>
      <c r="C2487" t="inlineStr">
        <is>
          <t>EQUAL</t>
        </is>
      </c>
      <c r="D2487" t="inlineStr">
        <is>
          <t>IOS Aarav</t>
        </is>
      </c>
      <c r="E2487" s="16" t="n">
        <v>0</v>
      </c>
      <c r="F2487" s="16" t="n">
        <v>120.7</v>
      </c>
      <c r="G2487" s="17" t="n"/>
      <c r="H2487" s="16" t="n">
        <v>-120.7</v>
      </c>
      <c r="I2487" s="16" t="n">
        <v>0</v>
      </c>
    </row>
    <row r="2488">
      <c r="A2488" t="inlineStr">
        <is>
          <t>MTR-IOS-2486</t>
        </is>
      </c>
      <c r="B2488" t="inlineStr">
        <is>
          <t>Office Outing</t>
        </is>
      </c>
      <c r="C2488" t="inlineStr">
        <is>
          <t>EQUAL</t>
        </is>
      </c>
      <c r="D2488" t="inlineStr">
        <is>
          <t>IOS Meera</t>
        </is>
      </c>
      <c r="E2488" s="16" t="n">
        <v>0</v>
      </c>
      <c r="F2488" s="16" t="n">
        <v>120.71</v>
      </c>
      <c r="G2488" s="17" t="n"/>
      <c r="H2488" s="16" t="n">
        <v>-120.71</v>
      </c>
      <c r="I2488" s="16" t="n">
        <v>0</v>
      </c>
    </row>
    <row r="2489">
      <c r="A2489" t="inlineStr">
        <is>
          <t>MTR-IOS-2489</t>
        </is>
      </c>
      <c r="B2489" t="inlineStr">
        <is>
          <t>Office Outing</t>
        </is>
      </c>
      <c r="C2489" t="inlineStr">
        <is>
          <t>PERCENTAGE</t>
        </is>
      </c>
      <c r="D2489" t="inlineStr">
        <is>
          <t>IOS Owner</t>
        </is>
      </c>
      <c r="E2489" s="16" t="n">
        <v>0</v>
      </c>
      <c r="F2489" s="16" t="n">
        <v>6575.22</v>
      </c>
      <c r="G2489" s="17" t="n">
        <v>50</v>
      </c>
      <c r="H2489" s="16" t="n">
        <v>-6575.22</v>
      </c>
      <c r="I2489" s="16" t="n">
        <v>0</v>
      </c>
    </row>
    <row r="2490">
      <c r="A2490" t="inlineStr">
        <is>
          <t>MTR-IOS-2489</t>
        </is>
      </c>
      <c r="B2490" t="inlineStr">
        <is>
          <t>Office Outing</t>
        </is>
      </c>
      <c r="C2490" t="inlineStr">
        <is>
          <t>PERCENTAGE</t>
        </is>
      </c>
      <c r="D2490" t="inlineStr">
        <is>
          <t>IOS Aarav</t>
        </is>
      </c>
      <c r="E2490" s="16" t="n">
        <v>13150.44</v>
      </c>
      <c r="F2490" s="16" t="n">
        <v>3945.13</v>
      </c>
      <c r="G2490" s="17" t="n">
        <v>30</v>
      </c>
      <c r="H2490" s="16" t="n">
        <v>9205.309999999999</v>
      </c>
      <c r="I2490" s="16" t="n">
        <v>0</v>
      </c>
    </row>
    <row r="2491">
      <c r="A2491" t="inlineStr">
        <is>
          <t>MTR-IOS-2489</t>
        </is>
      </c>
      <c r="B2491" t="inlineStr">
        <is>
          <t>Office Outing</t>
        </is>
      </c>
      <c r="C2491" t="inlineStr">
        <is>
          <t>PERCENTAGE</t>
        </is>
      </c>
      <c r="D2491" t="inlineStr">
        <is>
          <t>IOS Meera</t>
        </is>
      </c>
      <c r="E2491" s="16" t="n">
        <v>0</v>
      </c>
      <c r="F2491" s="16" t="n">
        <v>2630.09</v>
      </c>
      <c r="G2491" s="17" t="n">
        <v>20</v>
      </c>
      <c r="H2491" s="16" t="n">
        <v>-2630.09</v>
      </c>
      <c r="I2491" s="16" t="n">
        <v>0</v>
      </c>
    </row>
    <row r="2492">
      <c r="A2492" t="inlineStr">
        <is>
          <t>MTR-IOS-2492</t>
        </is>
      </c>
      <c r="B2492" t="inlineStr">
        <is>
          <t>Office Outing</t>
        </is>
      </c>
      <c r="C2492" t="inlineStr">
        <is>
          <t>EXACT</t>
        </is>
      </c>
      <c r="D2492" t="inlineStr">
        <is>
          <t>IOS Owner</t>
        </is>
      </c>
      <c r="E2492" s="16" t="n">
        <v>0</v>
      </c>
      <c r="F2492" s="16" t="n">
        <v>3213.08</v>
      </c>
      <c r="G2492" s="17" t="n"/>
      <c r="H2492" s="16" t="n">
        <v>-3213.08</v>
      </c>
      <c r="I2492" s="16" t="n">
        <v>0</v>
      </c>
    </row>
    <row r="2493">
      <c r="A2493" t="inlineStr">
        <is>
          <t>MTR-IOS-2492</t>
        </is>
      </c>
      <c r="B2493" t="inlineStr">
        <is>
          <t>Office Outing</t>
        </is>
      </c>
      <c r="C2493" t="inlineStr">
        <is>
          <t>EXACT</t>
        </is>
      </c>
      <c r="D2493" t="inlineStr">
        <is>
          <t>IOS Aarav</t>
        </is>
      </c>
      <c r="E2493" s="16" t="n">
        <v>0</v>
      </c>
      <c r="F2493" s="16" t="n">
        <v>3213.08</v>
      </c>
      <c r="G2493" s="17" t="n"/>
      <c r="H2493" s="16" t="n">
        <v>-3213.08</v>
      </c>
      <c r="I2493" s="16" t="n">
        <v>0</v>
      </c>
    </row>
    <row r="2494">
      <c r="A2494" t="inlineStr">
        <is>
          <t>MTR-IOS-2492</t>
        </is>
      </c>
      <c r="B2494" t="inlineStr">
        <is>
          <t>Office Outing</t>
        </is>
      </c>
      <c r="C2494" t="inlineStr">
        <is>
          <t>EXACT</t>
        </is>
      </c>
      <c r="D2494" t="inlineStr">
        <is>
          <t>IOS Meera</t>
        </is>
      </c>
      <c r="E2494" s="16" t="n">
        <v>9648.879999999999</v>
      </c>
      <c r="F2494" s="16" t="n">
        <v>3222.72</v>
      </c>
      <c r="G2494" s="17" t="n"/>
      <c r="H2494" s="16" t="n">
        <v>6426.16</v>
      </c>
      <c r="I2494" s="16" t="n">
        <v>0</v>
      </c>
    </row>
    <row r="2495">
      <c r="A2495" t="inlineStr">
        <is>
          <t>MTR-IOS-2495</t>
        </is>
      </c>
      <c r="B2495" t="inlineStr">
        <is>
          <t>House Party</t>
        </is>
      </c>
      <c r="C2495" t="inlineStr">
        <is>
          <t>SHARES</t>
        </is>
      </c>
      <c r="D2495" t="inlineStr">
        <is>
          <t>IOS Owner</t>
        </is>
      </c>
      <c r="E2495" s="16" t="n">
        <v>1090.82</v>
      </c>
      <c r="F2495" s="16" t="n">
        <v>545.41</v>
      </c>
      <c r="G2495" s="17" t="n"/>
      <c r="H2495" s="16" t="n">
        <v>545.41</v>
      </c>
      <c r="I2495" s="16" t="n">
        <v>0</v>
      </c>
    </row>
    <row r="2496">
      <c r="A2496" t="inlineStr">
        <is>
          <t>MTR-IOS-2495</t>
        </is>
      </c>
      <c r="B2496" t="inlineStr">
        <is>
          <t>House Party</t>
        </is>
      </c>
      <c r="C2496" t="inlineStr">
        <is>
          <t>SHARES</t>
        </is>
      </c>
      <c r="D2496" t="inlineStr">
        <is>
          <t>IOS Aarav</t>
        </is>
      </c>
      <c r="E2496" s="16" t="n">
        <v>0</v>
      </c>
      <c r="F2496" s="16" t="n">
        <v>363.61</v>
      </c>
      <c r="G2496" s="17" t="n"/>
      <c r="H2496" s="16" t="n">
        <v>-363.61</v>
      </c>
      <c r="I2496" s="16" t="n">
        <v>0</v>
      </c>
    </row>
    <row r="2497">
      <c r="A2497" t="inlineStr">
        <is>
          <t>MTR-IOS-2495</t>
        </is>
      </c>
      <c r="B2497" t="inlineStr">
        <is>
          <t>House Party</t>
        </is>
      </c>
      <c r="C2497" t="inlineStr">
        <is>
          <t>SHARES</t>
        </is>
      </c>
      <c r="D2497" t="inlineStr">
        <is>
          <t>IOS Meera</t>
        </is>
      </c>
      <c r="E2497" s="16" t="n">
        <v>0</v>
      </c>
      <c r="F2497" s="16" t="n">
        <v>181.8</v>
      </c>
      <c r="G2497" s="17" t="n"/>
      <c r="H2497" s="16" t="n">
        <v>-181.8</v>
      </c>
      <c r="I2497" s="16" t="n">
        <v>0</v>
      </c>
    </row>
    <row r="2498">
      <c r="A2498" t="inlineStr">
        <is>
          <t>MTR-IOS-2498</t>
        </is>
      </c>
      <c r="B2498" t="inlineStr">
        <is>
          <t>House Party</t>
        </is>
      </c>
      <c r="C2498" t="inlineStr">
        <is>
          <t>EQUAL</t>
        </is>
      </c>
      <c r="D2498" t="inlineStr">
        <is>
          <t>IOS Owner</t>
        </is>
      </c>
      <c r="E2498" s="16" t="n">
        <v>0</v>
      </c>
      <c r="F2498" s="16" t="n">
        <v>2404.83</v>
      </c>
      <c r="G2498" s="17" t="n"/>
      <c r="H2498" s="16" t="n">
        <v>-2404.83</v>
      </c>
      <c r="I2498" s="16" t="n">
        <v>0</v>
      </c>
    </row>
    <row r="2499">
      <c r="A2499" t="inlineStr">
        <is>
          <t>MTR-IOS-2498</t>
        </is>
      </c>
      <c r="B2499" t="inlineStr">
        <is>
          <t>House Party</t>
        </is>
      </c>
      <c r="C2499" t="inlineStr">
        <is>
          <t>EQUAL</t>
        </is>
      </c>
      <c r="D2499" t="inlineStr">
        <is>
          <t>IOS Aarav</t>
        </is>
      </c>
      <c r="E2499" s="16" t="n">
        <v>7214.48</v>
      </c>
      <c r="F2499" s="16" t="n">
        <v>2404.83</v>
      </c>
      <c r="G2499" s="17" t="n"/>
      <c r="H2499" s="16" t="n">
        <v>4809.65</v>
      </c>
      <c r="I2499" s="16" t="n">
        <v>0</v>
      </c>
    </row>
    <row r="2500">
      <c r="A2500" t="inlineStr">
        <is>
          <t>MTR-IOS-2498</t>
        </is>
      </c>
      <c r="B2500" t="inlineStr">
        <is>
          <t>House Party</t>
        </is>
      </c>
      <c r="C2500" t="inlineStr">
        <is>
          <t>EQUAL</t>
        </is>
      </c>
      <c r="D2500" t="inlineStr">
        <is>
          <t>IOS Meera</t>
        </is>
      </c>
      <c r="E2500" s="16" t="n">
        <v>0</v>
      </c>
      <c r="F2500" s="16" t="n">
        <v>2404.82</v>
      </c>
      <c r="G2500" s="17" t="n"/>
      <c r="H2500" s="16" t="n">
        <v>-2404.82</v>
      </c>
      <c r="I2500" s="16" t="n">
        <v>0</v>
      </c>
    </row>
    <row r="2501">
      <c r="A2501" t="inlineStr">
        <is>
          <t>MTR-IOS-2501</t>
        </is>
      </c>
      <c r="B2501" t="inlineStr">
        <is>
          <t>House Party</t>
        </is>
      </c>
      <c r="C2501" t="inlineStr">
        <is>
          <t>PERCENTAGE</t>
        </is>
      </c>
      <c r="D2501" t="inlineStr">
        <is>
          <t>IOS Owner</t>
        </is>
      </c>
      <c r="E2501" s="16" t="n">
        <v>0</v>
      </c>
      <c r="F2501" s="16" t="n">
        <v>403.81</v>
      </c>
      <c r="G2501" s="17" t="n">
        <v>50</v>
      </c>
      <c r="H2501" s="16" t="n">
        <v>-403.81</v>
      </c>
      <c r="I2501" s="16" t="n">
        <v>0</v>
      </c>
    </row>
    <row r="2502">
      <c r="A2502" t="inlineStr">
        <is>
          <t>MTR-IOS-2501</t>
        </is>
      </c>
      <c r="B2502" t="inlineStr">
        <is>
          <t>House Party</t>
        </is>
      </c>
      <c r="C2502" t="inlineStr">
        <is>
          <t>PERCENTAGE</t>
        </is>
      </c>
      <c r="D2502" t="inlineStr">
        <is>
          <t>IOS Aarav</t>
        </is>
      </c>
      <c r="E2502" s="16" t="n">
        <v>0</v>
      </c>
      <c r="F2502" s="16" t="n">
        <v>242.28</v>
      </c>
      <c r="G2502" s="17" t="n">
        <v>30</v>
      </c>
      <c r="H2502" s="16" t="n">
        <v>-242.28</v>
      </c>
      <c r="I2502" s="16" t="n">
        <v>0</v>
      </c>
    </row>
    <row r="2503">
      <c r="A2503" t="inlineStr">
        <is>
          <t>MTR-IOS-2501</t>
        </is>
      </c>
      <c r="B2503" t="inlineStr">
        <is>
          <t>House Party</t>
        </is>
      </c>
      <c r="C2503" t="inlineStr">
        <is>
          <t>PERCENTAGE</t>
        </is>
      </c>
      <c r="D2503" t="inlineStr">
        <is>
          <t>IOS Meera</t>
        </is>
      </c>
      <c r="E2503" s="16" t="n">
        <v>807.61</v>
      </c>
      <c r="F2503" s="16" t="n">
        <v>161.52</v>
      </c>
      <c r="G2503" s="17" t="n">
        <v>20</v>
      </c>
      <c r="H2503" s="16" t="n">
        <v>646.09</v>
      </c>
      <c r="I2503" s="16" t="n">
        <v>0</v>
      </c>
    </row>
    <row r="2504">
      <c r="A2504" t="inlineStr">
        <is>
          <t>MTR-IOS-2504</t>
        </is>
      </c>
      <c r="B2504" t="inlineStr">
        <is>
          <t>House Party</t>
        </is>
      </c>
      <c r="C2504" t="inlineStr">
        <is>
          <t>EXACT</t>
        </is>
      </c>
      <c r="D2504" t="inlineStr">
        <is>
          <t>IOS Owner</t>
        </is>
      </c>
      <c r="E2504" s="16" t="n">
        <v>22687.27</v>
      </c>
      <c r="F2504" s="16" t="n">
        <v>7554.86</v>
      </c>
      <c r="G2504" s="17" t="n"/>
      <c r="H2504" s="16" t="n">
        <v>15132.41</v>
      </c>
      <c r="I2504" s="16" t="n">
        <v>0</v>
      </c>
    </row>
    <row r="2505">
      <c r="A2505" t="inlineStr">
        <is>
          <t>MTR-IOS-2504</t>
        </is>
      </c>
      <c r="B2505" t="inlineStr">
        <is>
          <t>House Party</t>
        </is>
      </c>
      <c r="C2505" t="inlineStr">
        <is>
          <t>EXACT</t>
        </is>
      </c>
      <c r="D2505" t="inlineStr">
        <is>
          <t>IOS Aarav</t>
        </is>
      </c>
      <c r="E2505" s="16" t="n">
        <v>0</v>
      </c>
      <c r="F2505" s="16" t="n">
        <v>7554.86</v>
      </c>
      <c r="G2505" s="17" t="n"/>
      <c r="H2505" s="16" t="n">
        <v>-7554.86</v>
      </c>
      <c r="I2505" s="16" t="n">
        <v>0</v>
      </c>
    </row>
    <row r="2506">
      <c r="A2506" t="inlineStr">
        <is>
          <t>MTR-IOS-2504</t>
        </is>
      </c>
      <c r="B2506" t="inlineStr">
        <is>
          <t>House Party</t>
        </is>
      </c>
      <c r="C2506" t="inlineStr">
        <is>
          <t>EXACT</t>
        </is>
      </c>
      <c r="D2506" t="inlineStr">
        <is>
          <t>IOS Meera</t>
        </is>
      </c>
      <c r="E2506" s="16" t="n">
        <v>0</v>
      </c>
      <c r="F2506" s="16" t="n">
        <v>7577.55</v>
      </c>
      <c r="G2506" s="17" t="n"/>
      <c r="H2506" s="16" t="n">
        <v>-7577.55</v>
      </c>
      <c r="I2506" s="16" t="n">
        <v>0</v>
      </c>
    </row>
    <row r="2507">
      <c r="A2507" t="inlineStr">
        <is>
          <t>MTR-IOS-2507</t>
        </is>
      </c>
      <c r="B2507" t="inlineStr">
        <is>
          <t>House Party</t>
        </is>
      </c>
      <c r="C2507" t="inlineStr">
        <is>
          <t>SHARES</t>
        </is>
      </c>
      <c r="D2507" t="inlineStr">
        <is>
          <t>IOS Owner</t>
        </is>
      </c>
      <c r="E2507" s="16" t="n">
        <v>0</v>
      </c>
      <c r="F2507" s="16" t="n">
        <v>13125.24</v>
      </c>
      <c r="G2507" s="17" t="n"/>
      <c r="H2507" s="16" t="n">
        <v>-13125.24</v>
      </c>
      <c r="I2507" s="16" t="n">
        <v>0</v>
      </c>
    </row>
    <row r="2508">
      <c r="A2508" t="inlineStr">
        <is>
          <t>MTR-IOS-2507</t>
        </is>
      </c>
      <c r="B2508" t="inlineStr">
        <is>
          <t>House Party</t>
        </is>
      </c>
      <c r="C2508" t="inlineStr">
        <is>
          <t>SHARES</t>
        </is>
      </c>
      <c r="D2508" t="inlineStr">
        <is>
          <t>IOS Aarav</t>
        </is>
      </c>
      <c r="E2508" s="16" t="n">
        <v>26250.48</v>
      </c>
      <c r="F2508" s="16" t="n">
        <v>8750.16</v>
      </c>
      <c r="G2508" s="17" t="n"/>
      <c r="H2508" s="16" t="n">
        <v>17500.32</v>
      </c>
      <c r="I2508" s="16" t="n">
        <v>0</v>
      </c>
    </row>
    <row r="2509">
      <c r="A2509" t="inlineStr">
        <is>
          <t>MTR-IOS-2507</t>
        </is>
      </c>
      <c r="B2509" t="inlineStr">
        <is>
          <t>House Party</t>
        </is>
      </c>
      <c r="C2509" t="inlineStr">
        <is>
          <t>SHARES</t>
        </is>
      </c>
      <c r="D2509" t="inlineStr">
        <is>
          <t>IOS Meera</t>
        </is>
      </c>
      <c r="E2509" s="16" t="n">
        <v>0</v>
      </c>
      <c r="F2509" s="16" t="n">
        <v>4375.08</v>
      </c>
      <c r="G2509" s="17" t="n"/>
      <c r="H2509" s="16" t="n">
        <v>-4375.08</v>
      </c>
      <c r="I2509" s="16" t="n">
        <v>0</v>
      </c>
    </row>
    <row r="2510">
      <c r="A2510" t="inlineStr">
        <is>
          <t>MTR-IOS-2510</t>
        </is>
      </c>
      <c r="B2510" t="inlineStr">
        <is>
          <t>Gift Pool</t>
        </is>
      </c>
      <c r="C2510" t="inlineStr">
        <is>
          <t>EQUAL</t>
        </is>
      </c>
      <c r="D2510" t="inlineStr">
        <is>
          <t>IOS Owner</t>
        </is>
      </c>
      <c r="E2510" s="16" t="n">
        <v>0</v>
      </c>
      <c r="F2510" s="16" t="n">
        <v>8659.120000000001</v>
      </c>
      <c r="G2510" s="17" t="n"/>
      <c r="H2510" s="16" t="n">
        <v>-8659.120000000001</v>
      </c>
      <c r="I2510" s="16" t="n">
        <v>0</v>
      </c>
    </row>
    <row r="2511">
      <c r="A2511" t="inlineStr">
        <is>
          <t>MTR-IOS-2510</t>
        </is>
      </c>
      <c r="B2511" t="inlineStr">
        <is>
          <t>Gift Pool</t>
        </is>
      </c>
      <c r="C2511" t="inlineStr">
        <is>
          <t>EQUAL</t>
        </is>
      </c>
      <c r="D2511" t="inlineStr">
        <is>
          <t>IOS Aarav</t>
        </is>
      </c>
      <c r="E2511" s="16" t="n">
        <v>0</v>
      </c>
      <c r="F2511" s="16" t="n">
        <v>8659.120000000001</v>
      </c>
      <c r="G2511" s="17" t="n"/>
      <c r="H2511" s="16" t="n">
        <v>-8659.120000000001</v>
      </c>
      <c r="I2511" s="16" t="n">
        <v>0</v>
      </c>
    </row>
    <row r="2512">
      <c r="A2512" t="inlineStr">
        <is>
          <t>MTR-IOS-2510</t>
        </is>
      </c>
      <c r="B2512" t="inlineStr">
        <is>
          <t>Gift Pool</t>
        </is>
      </c>
      <c r="C2512" t="inlineStr">
        <is>
          <t>EQUAL</t>
        </is>
      </c>
      <c r="D2512" t="inlineStr">
        <is>
          <t>IOS Meera</t>
        </is>
      </c>
      <c r="E2512" s="16" t="n">
        <v>25977.37</v>
      </c>
      <c r="F2512" s="16" t="n">
        <v>8659.129999999999</v>
      </c>
      <c r="G2512" s="17" t="n"/>
      <c r="H2512" s="16" t="n">
        <v>17318.24</v>
      </c>
      <c r="I2512" s="16" t="n">
        <v>0</v>
      </c>
    </row>
    <row r="2513">
      <c r="A2513" t="inlineStr">
        <is>
          <t>MTR-IOS-2513</t>
        </is>
      </c>
      <c r="B2513" t="inlineStr">
        <is>
          <t>Gift Pool</t>
        </is>
      </c>
      <c r="C2513" t="inlineStr">
        <is>
          <t>PERCENTAGE</t>
        </is>
      </c>
      <c r="D2513" t="inlineStr">
        <is>
          <t>IOS Owner</t>
        </is>
      </c>
      <c r="E2513" s="16" t="n">
        <v>13659.13</v>
      </c>
      <c r="F2513" s="16" t="n">
        <v>6829.57</v>
      </c>
      <c r="G2513" s="17" t="n">
        <v>50</v>
      </c>
      <c r="H2513" s="16" t="n">
        <v>6829.56</v>
      </c>
      <c r="I2513" s="16" t="n">
        <v>0</v>
      </c>
    </row>
    <row r="2514">
      <c r="A2514" t="inlineStr">
        <is>
          <t>MTR-IOS-2513</t>
        </is>
      </c>
      <c r="B2514" t="inlineStr">
        <is>
          <t>Gift Pool</t>
        </is>
      </c>
      <c r="C2514" t="inlineStr">
        <is>
          <t>PERCENTAGE</t>
        </is>
      </c>
      <c r="D2514" t="inlineStr">
        <is>
          <t>IOS Aarav</t>
        </is>
      </c>
      <c r="E2514" s="16" t="n">
        <v>0</v>
      </c>
      <c r="F2514" s="16" t="n">
        <v>4097.74</v>
      </c>
      <c r="G2514" s="17" t="n">
        <v>30</v>
      </c>
      <c r="H2514" s="16" t="n">
        <v>-4097.74</v>
      </c>
      <c r="I2514" s="16" t="n">
        <v>0</v>
      </c>
    </row>
    <row r="2515">
      <c r="A2515" t="inlineStr">
        <is>
          <t>MTR-IOS-2513</t>
        </is>
      </c>
      <c r="B2515" t="inlineStr">
        <is>
          <t>Gift Pool</t>
        </is>
      </c>
      <c r="C2515" t="inlineStr">
        <is>
          <t>PERCENTAGE</t>
        </is>
      </c>
      <c r="D2515" t="inlineStr">
        <is>
          <t>IOS Meera</t>
        </is>
      </c>
      <c r="E2515" s="16" t="n">
        <v>0</v>
      </c>
      <c r="F2515" s="16" t="n">
        <v>2731.82</v>
      </c>
      <c r="G2515" s="17" t="n">
        <v>20</v>
      </c>
      <c r="H2515" s="16" t="n">
        <v>-2731.82</v>
      </c>
      <c r="I2515" s="16" t="n">
        <v>0</v>
      </c>
    </row>
    <row r="2516">
      <c r="A2516" t="inlineStr">
        <is>
          <t>MTR-IOS-2516</t>
        </is>
      </c>
      <c r="B2516" t="inlineStr">
        <is>
          <t>Gift Pool</t>
        </is>
      </c>
      <c r="C2516" t="inlineStr">
        <is>
          <t>EXACT</t>
        </is>
      </c>
      <c r="D2516" t="inlineStr">
        <is>
          <t>IOS Owner</t>
        </is>
      </c>
      <c r="E2516" s="16" t="n">
        <v>0</v>
      </c>
      <c r="F2516" s="16" t="n">
        <v>33.3</v>
      </c>
      <c r="G2516" s="17" t="n"/>
      <c r="H2516" s="16" t="n">
        <v>-33.3</v>
      </c>
      <c r="I2516" s="16" t="n">
        <v>0</v>
      </c>
    </row>
    <row r="2517">
      <c r="A2517" t="inlineStr">
        <is>
          <t>MTR-IOS-2516</t>
        </is>
      </c>
      <c r="B2517" t="inlineStr">
        <is>
          <t>Gift Pool</t>
        </is>
      </c>
      <c r="C2517" t="inlineStr">
        <is>
          <t>EXACT</t>
        </is>
      </c>
      <c r="D2517" t="inlineStr">
        <is>
          <t>IOS Aarav</t>
        </is>
      </c>
      <c r="E2517" s="16" t="n">
        <v>99.98999999999999</v>
      </c>
      <c r="F2517" s="16" t="n">
        <v>33.3</v>
      </c>
      <c r="G2517" s="17" t="n"/>
      <c r="H2517" s="16" t="n">
        <v>66.69</v>
      </c>
      <c r="I2517" s="16" t="n">
        <v>0</v>
      </c>
    </row>
    <row r="2518">
      <c r="A2518" t="inlineStr">
        <is>
          <t>MTR-IOS-2516</t>
        </is>
      </c>
      <c r="B2518" t="inlineStr">
        <is>
          <t>Gift Pool</t>
        </is>
      </c>
      <c r="C2518" t="inlineStr">
        <is>
          <t>EXACT</t>
        </is>
      </c>
      <c r="D2518" t="inlineStr">
        <is>
          <t>IOS Meera</t>
        </is>
      </c>
      <c r="E2518" s="16" t="n">
        <v>0</v>
      </c>
      <c r="F2518" s="16" t="n">
        <v>33.39</v>
      </c>
      <c r="G2518" s="17" t="n"/>
      <c r="H2518" s="16" t="n">
        <v>-33.39</v>
      </c>
      <c r="I2518" s="16" t="n">
        <v>0</v>
      </c>
    </row>
    <row r="2519">
      <c r="A2519" t="inlineStr">
        <is>
          <t>MTR-IOS-2519</t>
        </is>
      </c>
      <c r="B2519" t="inlineStr">
        <is>
          <t>Gift Pool</t>
        </is>
      </c>
      <c r="C2519" t="inlineStr">
        <is>
          <t>SHARES</t>
        </is>
      </c>
      <c r="D2519" t="inlineStr">
        <is>
          <t>IOS Owner</t>
        </is>
      </c>
      <c r="E2519" s="16" t="n">
        <v>0</v>
      </c>
      <c r="F2519" s="16" t="n">
        <v>12037.24</v>
      </c>
      <c r="G2519" s="17" t="n"/>
      <c r="H2519" s="16" t="n">
        <v>-12037.24</v>
      </c>
      <c r="I2519" s="16" t="n">
        <v>0</v>
      </c>
    </row>
    <row r="2520">
      <c r="A2520" t="inlineStr">
        <is>
          <t>MTR-IOS-2519</t>
        </is>
      </c>
      <c r="B2520" t="inlineStr">
        <is>
          <t>Gift Pool</t>
        </is>
      </c>
      <c r="C2520" t="inlineStr">
        <is>
          <t>SHARES</t>
        </is>
      </c>
      <c r="D2520" t="inlineStr">
        <is>
          <t>IOS Aarav</t>
        </is>
      </c>
      <c r="E2520" s="16" t="n">
        <v>0</v>
      </c>
      <c r="F2520" s="16" t="n">
        <v>8024.83</v>
      </c>
      <c r="G2520" s="17" t="n"/>
      <c r="H2520" s="16" t="n">
        <v>-8024.83</v>
      </c>
      <c r="I2520" s="16" t="n">
        <v>0</v>
      </c>
    </row>
    <row r="2521">
      <c r="A2521" t="inlineStr">
        <is>
          <t>MTR-IOS-2519</t>
        </is>
      </c>
      <c r="B2521" t="inlineStr">
        <is>
          <t>Gift Pool</t>
        </is>
      </c>
      <c r="C2521" t="inlineStr">
        <is>
          <t>SHARES</t>
        </is>
      </c>
      <c r="D2521" t="inlineStr">
        <is>
          <t>IOS Meera</t>
        </is>
      </c>
      <c r="E2521" s="16" t="n">
        <v>24074.48</v>
      </c>
      <c r="F2521" s="16" t="n">
        <v>4012.41</v>
      </c>
      <c r="G2521" s="17" t="n"/>
      <c r="H2521" s="16" t="n">
        <v>20062.07</v>
      </c>
      <c r="I2521" s="16" t="n">
        <v>0</v>
      </c>
    </row>
    <row r="2522">
      <c r="A2522" t="inlineStr">
        <is>
          <t>MTR-IOS-2522</t>
        </is>
      </c>
      <c r="B2522" t="inlineStr">
        <is>
          <t>Purchase</t>
        </is>
      </c>
      <c r="C2522" t="inlineStr">
        <is>
          <t>EQUAL</t>
        </is>
      </c>
      <c r="D2522" t="inlineStr">
        <is>
          <t>IOS Owner</t>
        </is>
      </c>
      <c r="E2522" s="16" t="n">
        <v>14184.94</v>
      </c>
      <c r="F2522" s="16" t="n">
        <v>4728.31</v>
      </c>
      <c r="G2522" s="17" t="n"/>
      <c r="H2522" s="16" t="n">
        <v>9456.629999999999</v>
      </c>
      <c r="I2522" s="16" t="n">
        <v>0</v>
      </c>
    </row>
    <row r="2523">
      <c r="A2523" t="inlineStr">
        <is>
          <t>MTR-IOS-2522</t>
        </is>
      </c>
      <c r="B2523" t="inlineStr">
        <is>
          <t>Purchase</t>
        </is>
      </c>
      <c r="C2523" t="inlineStr">
        <is>
          <t>EQUAL</t>
        </is>
      </c>
      <c r="D2523" t="inlineStr">
        <is>
          <t>IOS Aarav</t>
        </is>
      </c>
      <c r="E2523" s="16" t="n">
        <v>0</v>
      </c>
      <c r="F2523" s="16" t="n">
        <v>4728.31</v>
      </c>
      <c r="G2523" s="17" t="n"/>
      <c r="H2523" s="16" t="n">
        <v>-4728.31</v>
      </c>
      <c r="I2523" s="16" t="n">
        <v>0</v>
      </c>
    </row>
    <row r="2524">
      <c r="A2524" t="inlineStr">
        <is>
          <t>MTR-IOS-2522</t>
        </is>
      </c>
      <c r="B2524" t="inlineStr">
        <is>
          <t>Purchase</t>
        </is>
      </c>
      <c r="C2524" t="inlineStr">
        <is>
          <t>EQUAL</t>
        </is>
      </c>
      <c r="D2524" t="inlineStr">
        <is>
          <t>IOS Meera</t>
        </is>
      </c>
      <c r="E2524" s="16" t="n">
        <v>0</v>
      </c>
      <c r="F2524" s="16" t="n">
        <v>4728.32</v>
      </c>
      <c r="G2524" s="17" t="n"/>
      <c r="H2524" s="16" t="n">
        <v>-4728.32</v>
      </c>
      <c r="I2524" s="16" t="n">
        <v>0</v>
      </c>
    </row>
    <row r="2525">
      <c r="A2525" t="inlineStr">
        <is>
          <t>MTR-IOS-2525</t>
        </is>
      </c>
      <c r="B2525" t="inlineStr">
        <is>
          <t>Purchase</t>
        </is>
      </c>
      <c r="C2525" t="inlineStr">
        <is>
          <t>PERCENTAGE</t>
        </is>
      </c>
      <c r="D2525" t="inlineStr">
        <is>
          <t>IOS Owner</t>
        </is>
      </c>
      <c r="E2525" s="16" t="n">
        <v>0</v>
      </c>
      <c r="F2525" s="16" t="n">
        <v>11067.34</v>
      </c>
      <c r="G2525" s="17" t="n">
        <v>50</v>
      </c>
      <c r="H2525" s="16" t="n">
        <v>-11067.34</v>
      </c>
      <c r="I2525" s="16" t="n">
        <v>0</v>
      </c>
    </row>
    <row r="2526">
      <c r="A2526" t="inlineStr">
        <is>
          <t>MTR-IOS-2525</t>
        </is>
      </c>
      <c r="B2526" t="inlineStr">
        <is>
          <t>Purchase</t>
        </is>
      </c>
      <c r="C2526" t="inlineStr">
        <is>
          <t>PERCENTAGE</t>
        </is>
      </c>
      <c r="D2526" t="inlineStr">
        <is>
          <t>IOS Aarav</t>
        </is>
      </c>
      <c r="E2526" s="16" t="n">
        <v>22134.68</v>
      </c>
      <c r="F2526" s="16" t="n">
        <v>6640.4</v>
      </c>
      <c r="G2526" s="17" t="n">
        <v>30</v>
      </c>
      <c r="H2526" s="16" t="n">
        <v>15494.28</v>
      </c>
      <c r="I2526" s="16" t="n">
        <v>0</v>
      </c>
    </row>
    <row r="2527">
      <c r="A2527" t="inlineStr">
        <is>
          <t>MTR-IOS-2525</t>
        </is>
      </c>
      <c r="B2527" t="inlineStr">
        <is>
          <t>Purchase</t>
        </is>
      </c>
      <c r="C2527" t="inlineStr">
        <is>
          <t>PERCENTAGE</t>
        </is>
      </c>
      <c r="D2527" t="inlineStr">
        <is>
          <t>IOS Meera</t>
        </is>
      </c>
      <c r="E2527" s="16" t="n">
        <v>0</v>
      </c>
      <c r="F2527" s="16" t="n">
        <v>4426.94</v>
      </c>
      <c r="G2527" s="17" t="n">
        <v>20</v>
      </c>
      <c r="H2527" s="16" t="n">
        <v>-4426.94</v>
      </c>
      <c r="I2527" s="16" t="n">
        <v>0</v>
      </c>
    </row>
    <row r="2528">
      <c r="A2528" t="inlineStr">
        <is>
          <t>MTR-IOS-2528</t>
        </is>
      </c>
      <c r="B2528" t="inlineStr">
        <is>
          <t>Purchase</t>
        </is>
      </c>
      <c r="C2528" t="inlineStr">
        <is>
          <t>EXACT</t>
        </is>
      </c>
      <c r="D2528" t="inlineStr">
        <is>
          <t>IOS Owner</t>
        </is>
      </c>
      <c r="E2528" s="16" t="n">
        <v>0</v>
      </c>
      <c r="F2528" s="16" t="n">
        <v>262.95</v>
      </c>
      <c r="G2528" s="17" t="n"/>
      <c r="H2528" s="16" t="n">
        <v>-262.95</v>
      </c>
      <c r="I2528" s="16" t="n">
        <v>0</v>
      </c>
    </row>
    <row r="2529">
      <c r="A2529" t="inlineStr">
        <is>
          <t>MTR-IOS-2528</t>
        </is>
      </c>
      <c r="B2529" t="inlineStr">
        <is>
          <t>Purchase</t>
        </is>
      </c>
      <c r="C2529" t="inlineStr">
        <is>
          <t>EXACT</t>
        </is>
      </c>
      <c r="D2529" t="inlineStr">
        <is>
          <t>IOS Aarav</t>
        </is>
      </c>
      <c r="E2529" s="16" t="n">
        <v>0</v>
      </c>
      <c r="F2529" s="16" t="n">
        <v>262.95</v>
      </c>
      <c r="G2529" s="17" t="n"/>
      <c r="H2529" s="16" t="n">
        <v>-262.95</v>
      </c>
      <c r="I2529" s="16" t="n">
        <v>0</v>
      </c>
    </row>
    <row r="2530">
      <c r="A2530" t="inlineStr">
        <is>
          <t>MTR-IOS-2528</t>
        </is>
      </c>
      <c r="B2530" t="inlineStr">
        <is>
          <t>Purchase</t>
        </is>
      </c>
      <c r="C2530" t="inlineStr">
        <is>
          <t>EXACT</t>
        </is>
      </c>
      <c r="D2530" t="inlineStr">
        <is>
          <t>IOS Meera</t>
        </is>
      </c>
      <c r="E2530" s="16" t="n">
        <v>789.65</v>
      </c>
      <c r="F2530" s="16" t="n">
        <v>263.75</v>
      </c>
      <c r="G2530" s="17" t="n"/>
      <c r="H2530" s="16" t="n">
        <v>525.9</v>
      </c>
      <c r="I2530" s="16" t="n">
        <v>0</v>
      </c>
    </row>
    <row r="2531">
      <c r="A2531" t="inlineStr">
        <is>
          <t>MTR-IOS-2531</t>
        </is>
      </c>
      <c r="B2531" t="inlineStr">
        <is>
          <t>Purchase</t>
        </is>
      </c>
      <c r="C2531" t="inlineStr">
        <is>
          <t>SHARES</t>
        </is>
      </c>
      <c r="D2531" t="inlineStr">
        <is>
          <t>IOS Owner</t>
        </is>
      </c>
      <c r="E2531" s="16" t="n">
        <v>10636.98</v>
      </c>
      <c r="F2531" s="16" t="n">
        <v>5318.49</v>
      </c>
      <c r="G2531" s="17" t="n"/>
      <c r="H2531" s="16" t="n">
        <v>5318.49</v>
      </c>
      <c r="I2531" s="16" t="n">
        <v>0</v>
      </c>
    </row>
    <row r="2532">
      <c r="A2532" t="inlineStr">
        <is>
          <t>MTR-IOS-2531</t>
        </is>
      </c>
      <c r="B2532" t="inlineStr">
        <is>
          <t>Purchase</t>
        </is>
      </c>
      <c r="C2532" t="inlineStr">
        <is>
          <t>SHARES</t>
        </is>
      </c>
      <c r="D2532" t="inlineStr">
        <is>
          <t>IOS Aarav</t>
        </is>
      </c>
      <c r="E2532" s="16" t="n">
        <v>0</v>
      </c>
      <c r="F2532" s="16" t="n">
        <v>3545.66</v>
      </c>
      <c r="G2532" s="17" t="n"/>
      <c r="H2532" s="16" t="n">
        <v>-3545.66</v>
      </c>
      <c r="I2532" s="16" t="n">
        <v>0</v>
      </c>
    </row>
    <row r="2533">
      <c r="A2533" t="inlineStr">
        <is>
          <t>MTR-IOS-2531</t>
        </is>
      </c>
      <c r="B2533" t="inlineStr">
        <is>
          <t>Purchase</t>
        </is>
      </c>
      <c r="C2533" t="inlineStr">
        <is>
          <t>SHARES</t>
        </is>
      </c>
      <c r="D2533" t="inlineStr">
        <is>
          <t>IOS Meera</t>
        </is>
      </c>
      <c r="E2533" s="16" t="n">
        <v>0</v>
      </c>
      <c r="F2533" s="16" t="n">
        <v>1772.83</v>
      </c>
      <c r="G2533" s="17" t="n"/>
      <c r="H2533" s="16" t="n">
        <v>-1772.83</v>
      </c>
      <c r="I2533" s="16" t="n">
        <v>0</v>
      </c>
    </row>
    <row r="2534">
      <c r="A2534" t="inlineStr">
        <is>
          <t>MTR-IOS-2534</t>
        </is>
      </c>
      <c r="B2534" t="inlineStr">
        <is>
          <t>Assets</t>
        </is>
      </c>
      <c r="C2534" t="inlineStr">
        <is>
          <t>EQUAL</t>
        </is>
      </c>
      <c r="D2534" t="inlineStr">
        <is>
          <t>IOS Owner</t>
        </is>
      </c>
      <c r="E2534" s="16" t="n">
        <v>0</v>
      </c>
      <c r="F2534" s="16" t="n">
        <v>8066.4</v>
      </c>
      <c r="G2534" s="17" t="n"/>
      <c r="H2534" s="16" t="n">
        <v>-8066.4</v>
      </c>
      <c r="I2534" s="16" t="n">
        <v>0</v>
      </c>
    </row>
    <row r="2535">
      <c r="A2535" t="inlineStr">
        <is>
          <t>MTR-IOS-2534</t>
        </is>
      </c>
      <c r="B2535" t="inlineStr">
        <is>
          <t>Assets</t>
        </is>
      </c>
      <c r="C2535" t="inlineStr">
        <is>
          <t>EQUAL</t>
        </is>
      </c>
      <c r="D2535" t="inlineStr">
        <is>
          <t>IOS Aarav</t>
        </is>
      </c>
      <c r="E2535" s="16" t="n">
        <v>24199.2</v>
      </c>
      <c r="F2535" s="16" t="n">
        <v>8066.4</v>
      </c>
      <c r="G2535" s="17" t="n"/>
      <c r="H2535" s="16" t="n">
        <v>16132.8</v>
      </c>
      <c r="I2535" s="16" t="n">
        <v>0</v>
      </c>
    </row>
    <row r="2536">
      <c r="A2536" t="inlineStr">
        <is>
          <t>MTR-IOS-2534</t>
        </is>
      </c>
      <c r="B2536" t="inlineStr">
        <is>
          <t>Assets</t>
        </is>
      </c>
      <c r="C2536" t="inlineStr">
        <is>
          <t>EQUAL</t>
        </is>
      </c>
      <c r="D2536" t="inlineStr">
        <is>
          <t>IOS Meera</t>
        </is>
      </c>
      <c r="E2536" s="16" t="n">
        <v>0</v>
      </c>
      <c r="F2536" s="16" t="n">
        <v>8066.4</v>
      </c>
      <c r="G2536" s="17" t="n"/>
      <c r="H2536" s="16" t="n">
        <v>-8066.4</v>
      </c>
      <c r="I2536" s="16" t="n">
        <v>0</v>
      </c>
    </row>
    <row r="2537">
      <c r="A2537" t="inlineStr">
        <is>
          <t>MTR-IOS-2537</t>
        </is>
      </c>
      <c r="B2537" t="inlineStr">
        <is>
          <t>Assets</t>
        </is>
      </c>
      <c r="C2537" t="inlineStr">
        <is>
          <t>PERCENTAGE</t>
        </is>
      </c>
      <c r="D2537" t="inlineStr">
        <is>
          <t>IOS Owner</t>
        </is>
      </c>
      <c r="E2537" s="16" t="n">
        <v>0</v>
      </c>
      <c r="F2537" s="16" t="n">
        <v>7613.49</v>
      </c>
      <c r="G2537" s="17" t="n">
        <v>50</v>
      </c>
      <c r="H2537" s="16" t="n">
        <v>-7613.49</v>
      </c>
      <c r="I2537" s="16" t="n">
        <v>0</v>
      </c>
    </row>
    <row r="2538">
      <c r="A2538" t="inlineStr">
        <is>
          <t>MTR-IOS-2537</t>
        </is>
      </c>
      <c r="B2538" t="inlineStr">
        <is>
          <t>Assets</t>
        </is>
      </c>
      <c r="C2538" t="inlineStr">
        <is>
          <t>PERCENTAGE</t>
        </is>
      </c>
      <c r="D2538" t="inlineStr">
        <is>
          <t>IOS Aarav</t>
        </is>
      </c>
      <c r="E2538" s="16" t="n">
        <v>0</v>
      </c>
      <c r="F2538" s="16" t="n">
        <v>4568.09</v>
      </c>
      <c r="G2538" s="17" t="n">
        <v>30</v>
      </c>
      <c r="H2538" s="16" t="n">
        <v>-4568.09</v>
      </c>
      <c r="I2538" s="16" t="n">
        <v>0</v>
      </c>
    </row>
    <row r="2539">
      <c r="A2539" t="inlineStr">
        <is>
          <t>MTR-IOS-2537</t>
        </is>
      </c>
      <c r="B2539" t="inlineStr">
        <is>
          <t>Assets</t>
        </is>
      </c>
      <c r="C2539" t="inlineStr">
        <is>
          <t>PERCENTAGE</t>
        </is>
      </c>
      <c r="D2539" t="inlineStr">
        <is>
          <t>IOS Meera</t>
        </is>
      </c>
      <c r="E2539" s="16" t="n">
        <v>15226.97</v>
      </c>
      <c r="F2539" s="16" t="n">
        <v>3045.39</v>
      </c>
      <c r="G2539" s="17" t="n">
        <v>20</v>
      </c>
      <c r="H2539" s="16" t="n">
        <v>12181.58</v>
      </c>
      <c r="I2539" s="16" t="n">
        <v>0</v>
      </c>
    </row>
    <row r="2540">
      <c r="A2540" t="inlineStr">
        <is>
          <t>MTR-IOS-2540</t>
        </is>
      </c>
      <c r="B2540" t="inlineStr">
        <is>
          <t>Assets</t>
        </is>
      </c>
      <c r="C2540" t="inlineStr">
        <is>
          <t>EXACT</t>
        </is>
      </c>
      <c r="D2540" t="inlineStr">
        <is>
          <t>IOS Owner</t>
        </is>
      </c>
      <c r="E2540" s="16" t="n">
        <v>695.47</v>
      </c>
      <c r="F2540" s="16" t="n">
        <v>231.59</v>
      </c>
      <c r="G2540" s="17" t="n"/>
      <c r="H2540" s="16" t="n">
        <v>463.88</v>
      </c>
      <c r="I2540" s="16" t="n">
        <v>0</v>
      </c>
    </row>
    <row r="2541">
      <c r="A2541" t="inlineStr">
        <is>
          <t>MTR-IOS-2540</t>
        </is>
      </c>
      <c r="B2541" t="inlineStr">
        <is>
          <t>Assets</t>
        </is>
      </c>
      <c r="C2541" t="inlineStr">
        <is>
          <t>EXACT</t>
        </is>
      </c>
      <c r="D2541" t="inlineStr">
        <is>
          <t>IOS Aarav</t>
        </is>
      </c>
      <c r="E2541" s="16" t="n">
        <v>0</v>
      </c>
      <c r="F2541" s="16" t="n">
        <v>231.59</v>
      </c>
      <c r="G2541" s="17" t="n"/>
      <c r="H2541" s="16" t="n">
        <v>-231.59</v>
      </c>
      <c r="I2541" s="16" t="n">
        <v>0</v>
      </c>
    </row>
    <row r="2542">
      <c r="A2542" t="inlineStr">
        <is>
          <t>MTR-IOS-2540</t>
        </is>
      </c>
      <c r="B2542" t="inlineStr">
        <is>
          <t>Assets</t>
        </is>
      </c>
      <c r="C2542" t="inlineStr">
        <is>
          <t>EXACT</t>
        </is>
      </c>
      <c r="D2542" t="inlineStr">
        <is>
          <t>IOS Meera</t>
        </is>
      </c>
      <c r="E2542" s="16" t="n">
        <v>0</v>
      </c>
      <c r="F2542" s="16" t="n">
        <v>232.29</v>
      </c>
      <c r="G2542" s="17" t="n"/>
      <c r="H2542" s="16" t="n">
        <v>-232.29</v>
      </c>
      <c r="I2542" s="16" t="n">
        <v>0</v>
      </c>
    </row>
    <row r="2543">
      <c r="A2543" t="inlineStr">
        <is>
          <t>MTR-IOS-2543</t>
        </is>
      </c>
      <c r="B2543" t="inlineStr">
        <is>
          <t>Assets</t>
        </is>
      </c>
      <c r="C2543" t="inlineStr">
        <is>
          <t>SHARES</t>
        </is>
      </c>
      <c r="D2543" t="inlineStr">
        <is>
          <t>IOS Owner</t>
        </is>
      </c>
      <c r="E2543" s="16" t="n">
        <v>0</v>
      </c>
      <c r="F2543" s="16" t="n">
        <v>10368.48</v>
      </c>
      <c r="G2543" s="17" t="n"/>
      <c r="H2543" s="16" t="n">
        <v>-10368.48</v>
      </c>
      <c r="I2543" s="16" t="n">
        <v>0</v>
      </c>
    </row>
    <row r="2544">
      <c r="A2544" t="inlineStr">
        <is>
          <t>MTR-IOS-2543</t>
        </is>
      </c>
      <c r="B2544" t="inlineStr">
        <is>
          <t>Assets</t>
        </is>
      </c>
      <c r="C2544" t="inlineStr">
        <is>
          <t>SHARES</t>
        </is>
      </c>
      <c r="D2544" t="inlineStr">
        <is>
          <t>IOS Aarav</t>
        </is>
      </c>
      <c r="E2544" s="16" t="n">
        <v>20736.95</v>
      </c>
      <c r="F2544" s="16" t="n">
        <v>6912.32</v>
      </c>
      <c r="G2544" s="17" t="n"/>
      <c r="H2544" s="16" t="n">
        <v>13824.63</v>
      </c>
      <c r="I2544" s="16" t="n">
        <v>0</v>
      </c>
    </row>
    <row r="2545">
      <c r="A2545" t="inlineStr">
        <is>
          <t>MTR-IOS-2543</t>
        </is>
      </c>
      <c r="B2545" t="inlineStr">
        <is>
          <t>Assets</t>
        </is>
      </c>
      <c r="C2545" t="inlineStr">
        <is>
          <t>SHARES</t>
        </is>
      </c>
      <c r="D2545" t="inlineStr">
        <is>
          <t>IOS Meera</t>
        </is>
      </c>
      <c r="E2545" s="16" t="n">
        <v>0</v>
      </c>
      <c r="F2545" s="16" t="n">
        <v>3456.15</v>
      </c>
      <c r="G2545" s="17" t="n"/>
      <c r="H2545" s="16" t="n">
        <v>-3456.15</v>
      </c>
      <c r="I2545" s="16" t="n">
        <v>0</v>
      </c>
    </row>
    <row r="2546">
      <c r="A2546" t="inlineStr">
        <is>
          <t>MTR-IOS-2546</t>
        </is>
      </c>
      <c r="B2546" t="inlineStr">
        <is>
          <t>Assets</t>
        </is>
      </c>
      <c r="C2546" t="inlineStr">
        <is>
          <t>EQUAL</t>
        </is>
      </c>
      <c r="D2546" t="inlineStr">
        <is>
          <t>IOS Owner</t>
        </is>
      </c>
      <c r="E2546" s="16" t="n">
        <v>0</v>
      </c>
      <c r="F2546" s="16" t="n">
        <v>6384.85</v>
      </c>
      <c r="G2546" s="17" t="n"/>
      <c r="H2546" s="16" t="n">
        <v>-6384.85</v>
      </c>
      <c r="I2546" s="16" t="n">
        <v>0</v>
      </c>
    </row>
    <row r="2547">
      <c r="A2547" t="inlineStr">
        <is>
          <t>MTR-IOS-2546</t>
        </is>
      </c>
      <c r="B2547" t="inlineStr">
        <is>
          <t>Assets</t>
        </is>
      </c>
      <c r="C2547" t="inlineStr">
        <is>
          <t>EQUAL</t>
        </is>
      </c>
      <c r="D2547" t="inlineStr">
        <is>
          <t>IOS Aarav</t>
        </is>
      </c>
      <c r="E2547" s="16" t="n">
        <v>0</v>
      </c>
      <c r="F2547" s="16" t="n">
        <v>6384.85</v>
      </c>
      <c r="G2547" s="17" t="n"/>
      <c r="H2547" s="16" t="n">
        <v>-6384.85</v>
      </c>
      <c r="I2547" s="16" t="n">
        <v>0</v>
      </c>
    </row>
    <row r="2548">
      <c r="A2548" t="inlineStr">
        <is>
          <t>MTR-IOS-2546</t>
        </is>
      </c>
      <c r="B2548" t="inlineStr">
        <is>
          <t>Assets</t>
        </is>
      </c>
      <c r="C2548" t="inlineStr">
        <is>
          <t>EQUAL</t>
        </is>
      </c>
      <c r="D2548" t="inlineStr">
        <is>
          <t>IOS Meera</t>
        </is>
      </c>
      <c r="E2548" s="16" t="n">
        <v>19154.54</v>
      </c>
      <c r="F2548" s="16" t="n">
        <v>6384.84</v>
      </c>
      <c r="G2548" s="17" t="n"/>
      <c r="H2548" s="16" t="n">
        <v>12769.7</v>
      </c>
      <c r="I2548" s="16" t="n">
        <v>0</v>
      </c>
    </row>
    <row r="2549">
      <c r="A2549" t="inlineStr">
        <is>
          <t>MTR-IOS-2549</t>
        </is>
      </c>
      <c r="B2549" t="inlineStr">
        <is>
          <t>Custom Purchase</t>
        </is>
      </c>
      <c r="C2549" t="inlineStr">
        <is>
          <t>PERCENTAGE</t>
        </is>
      </c>
      <c r="D2549" t="inlineStr">
        <is>
          <t>IOS Owner</t>
        </is>
      </c>
      <c r="E2549" s="16" t="n">
        <v>21739.38</v>
      </c>
      <c r="F2549" s="16" t="n">
        <v>10869.69</v>
      </c>
      <c r="G2549" s="17" t="n">
        <v>50</v>
      </c>
      <c r="H2549" s="16" t="n">
        <v>10869.69</v>
      </c>
      <c r="I2549" s="16" t="n">
        <v>0</v>
      </c>
    </row>
    <row r="2550">
      <c r="A2550" t="inlineStr">
        <is>
          <t>MTR-IOS-2549</t>
        </is>
      </c>
      <c r="B2550" t="inlineStr">
        <is>
          <t>Custom Purchase</t>
        </is>
      </c>
      <c r="C2550" t="inlineStr">
        <is>
          <t>PERCENTAGE</t>
        </is>
      </c>
      <c r="D2550" t="inlineStr">
        <is>
          <t>IOS Aarav</t>
        </is>
      </c>
      <c r="E2550" s="16" t="n">
        <v>0</v>
      </c>
      <c r="F2550" s="16" t="n">
        <v>6521.81</v>
      </c>
      <c r="G2550" s="17" t="n">
        <v>30</v>
      </c>
      <c r="H2550" s="16" t="n">
        <v>-6521.81</v>
      </c>
      <c r="I2550" s="16" t="n">
        <v>0</v>
      </c>
    </row>
    <row r="2551">
      <c r="A2551" t="inlineStr">
        <is>
          <t>MTR-IOS-2549</t>
        </is>
      </c>
      <c r="B2551" t="inlineStr">
        <is>
          <t>Custom Purchase</t>
        </is>
      </c>
      <c r="C2551" t="inlineStr">
        <is>
          <t>PERCENTAGE</t>
        </is>
      </c>
      <c r="D2551" t="inlineStr">
        <is>
          <t>IOS Meera</t>
        </is>
      </c>
      <c r="E2551" s="16" t="n">
        <v>0</v>
      </c>
      <c r="F2551" s="16" t="n">
        <v>4347.88</v>
      </c>
      <c r="G2551" s="17" t="n">
        <v>20</v>
      </c>
      <c r="H2551" s="16" t="n">
        <v>-4347.88</v>
      </c>
      <c r="I2551" s="16" t="n">
        <v>0</v>
      </c>
    </row>
    <row r="2552">
      <c r="A2552" t="inlineStr">
        <is>
          <t>MTR-IOS-2552</t>
        </is>
      </c>
      <c r="B2552" t="inlineStr">
        <is>
          <t>Custom Purchase</t>
        </is>
      </c>
      <c r="C2552" t="inlineStr">
        <is>
          <t>EXACT</t>
        </is>
      </c>
      <c r="D2552" t="inlineStr">
        <is>
          <t>IOS Owner</t>
        </is>
      </c>
      <c r="E2552" s="16" t="n">
        <v>0</v>
      </c>
      <c r="F2552" s="16" t="n">
        <v>5822.46</v>
      </c>
      <c r="G2552" s="17" t="n"/>
      <c r="H2552" s="16" t="n">
        <v>-5822.46</v>
      </c>
      <c r="I2552" s="16" t="n">
        <v>0</v>
      </c>
    </row>
    <row r="2553">
      <c r="A2553" t="inlineStr">
        <is>
          <t>MTR-IOS-2552</t>
        </is>
      </c>
      <c r="B2553" t="inlineStr">
        <is>
          <t>Custom Purchase</t>
        </is>
      </c>
      <c r="C2553" t="inlineStr">
        <is>
          <t>EXACT</t>
        </is>
      </c>
      <c r="D2553" t="inlineStr">
        <is>
          <t>IOS Aarav</t>
        </is>
      </c>
      <c r="E2553" s="16" t="n">
        <v>17484.85</v>
      </c>
      <c r="F2553" s="16" t="n">
        <v>5822.46</v>
      </c>
      <c r="G2553" s="17" t="n"/>
      <c r="H2553" s="16" t="n">
        <v>11662.39</v>
      </c>
      <c r="I2553" s="16" t="n">
        <v>0</v>
      </c>
    </row>
    <row r="2554">
      <c r="A2554" t="inlineStr">
        <is>
          <t>MTR-IOS-2552</t>
        </is>
      </c>
      <c r="B2554" t="inlineStr">
        <is>
          <t>Custom Purchase</t>
        </is>
      </c>
      <c r="C2554" t="inlineStr">
        <is>
          <t>EXACT</t>
        </is>
      </c>
      <c r="D2554" t="inlineStr">
        <is>
          <t>IOS Meera</t>
        </is>
      </c>
      <c r="E2554" s="16" t="n">
        <v>0</v>
      </c>
      <c r="F2554" s="16" t="n">
        <v>5839.93</v>
      </c>
      <c r="G2554" s="17" t="n"/>
      <c r="H2554" s="16" t="n">
        <v>-5839.93</v>
      </c>
      <c r="I2554" s="16" t="n">
        <v>0</v>
      </c>
    </row>
    <row r="2555">
      <c r="A2555" t="inlineStr">
        <is>
          <t>MTR-IOS-2555</t>
        </is>
      </c>
      <c r="B2555" t="inlineStr">
        <is>
          <t>Flatmates</t>
        </is>
      </c>
      <c r="C2555" t="inlineStr">
        <is>
          <t>SHARES</t>
        </is>
      </c>
      <c r="D2555" t="inlineStr">
        <is>
          <t>IOS Owner</t>
        </is>
      </c>
      <c r="E2555" s="16" t="n">
        <v>0</v>
      </c>
      <c r="F2555" s="16" t="n">
        <v>9848.83</v>
      </c>
      <c r="G2555" s="17" t="n"/>
      <c r="H2555" s="16" t="n">
        <v>-9848.83</v>
      </c>
      <c r="I2555" s="16" t="n">
        <v>0</v>
      </c>
    </row>
    <row r="2556">
      <c r="A2556" t="inlineStr">
        <is>
          <t>MTR-IOS-2555</t>
        </is>
      </c>
      <c r="B2556" t="inlineStr">
        <is>
          <t>Flatmates</t>
        </is>
      </c>
      <c r="C2556" t="inlineStr">
        <is>
          <t>SHARES</t>
        </is>
      </c>
      <c r="D2556" t="inlineStr">
        <is>
          <t>IOS Aarav</t>
        </is>
      </c>
      <c r="E2556" s="16" t="n">
        <v>0</v>
      </c>
      <c r="F2556" s="16" t="n">
        <v>6565.89</v>
      </c>
      <c r="G2556" s="17" t="n"/>
      <c r="H2556" s="16" t="n">
        <v>-6565.89</v>
      </c>
      <c r="I2556" s="16" t="n">
        <v>0</v>
      </c>
    </row>
    <row r="2557">
      <c r="A2557" t="inlineStr">
        <is>
          <t>MTR-IOS-2555</t>
        </is>
      </c>
      <c r="B2557" t="inlineStr">
        <is>
          <t>Flatmates</t>
        </is>
      </c>
      <c r="C2557" t="inlineStr">
        <is>
          <t>SHARES</t>
        </is>
      </c>
      <c r="D2557" t="inlineStr">
        <is>
          <t>IOS Meera</t>
        </is>
      </c>
      <c r="E2557" s="16" t="n">
        <v>19697.66</v>
      </c>
      <c r="F2557" s="16" t="n">
        <v>3282.94</v>
      </c>
      <c r="G2557" s="17" t="n"/>
      <c r="H2557" s="16" t="n">
        <v>16414.72</v>
      </c>
      <c r="I2557" s="16" t="n">
        <v>0</v>
      </c>
    </row>
    <row r="2558">
      <c r="A2558" t="inlineStr">
        <is>
          <t>MTR-IOS-2558</t>
        </is>
      </c>
      <c r="B2558" t="inlineStr">
        <is>
          <t>Flatmates</t>
        </is>
      </c>
      <c r="C2558" t="inlineStr">
        <is>
          <t>EQUAL</t>
        </is>
      </c>
      <c r="D2558" t="inlineStr">
        <is>
          <t>IOS Owner</t>
        </is>
      </c>
      <c r="E2558" s="16" t="n">
        <v>3806.71</v>
      </c>
      <c r="F2558" s="16" t="n">
        <v>1268.9</v>
      </c>
      <c r="G2558" s="17" t="n"/>
      <c r="H2558" s="16" t="n">
        <v>2537.81</v>
      </c>
      <c r="I2558" s="16" t="n">
        <v>0</v>
      </c>
    </row>
    <row r="2559">
      <c r="A2559" t="inlineStr">
        <is>
          <t>MTR-IOS-2558</t>
        </is>
      </c>
      <c r="B2559" t="inlineStr">
        <is>
          <t>Flatmates</t>
        </is>
      </c>
      <c r="C2559" t="inlineStr">
        <is>
          <t>EQUAL</t>
        </is>
      </c>
      <c r="D2559" t="inlineStr">
        <is>
          <t>IOS Aarav</t>
        </is>
      </c>
      <c r="E2559" s="16" t="n">
        <v>0</v>
      </c>
      <c r="F2559" s="16" t="n">
        <v>1268.9</v>
      </c>
      <c r="G2559" s="17" t="n"/>
      <c r="H2559" s="16" t="n">
        <v>-1268.9</v>
      </c>
      <c r="I2559" s="16" t="n">
        <v>0</v>
      </c>
    </row>
    <row r="2560">
      <c r="A2560" t="inlineStr">
        <is>
          <t>MTR-IOS-2558</t>
        </is>
      </c>
      <c r="B2560" t="inlineStr">
        <is>
          <t>Flatmates</t>
        </is>
      </c>
      <c r="C2560" t="inlineStr">
        <is>
          <t>EQUAL</t>
        </is>
      </c>
      <c r="D2560" t="inlineStr">
        <is>
          <t>IOS Meera</t>
        </is>
      </c>
      <c r="E2560" s="16" t="n">
        <v>0</v>
      </c>
      <c r="F2560" s="16" t="n">
        <v>1268.91</v>
      </c>
      <c r="G2560" s="17" t="n"/>
      <c r="H2560" s="16" t="n">
        <v>-1268.91</v>
      </c>
      <c r="I2560" s="16" t="n">
        <v>0</v>
      </c>
    </row>
    <row r="2561">
      <c r="A2561" t="inlineStr">
        <is>
          <t>MTR-IOS-2561</t>
        </is>
      </c>
      <c r="B2561" t="inlineStr">
        <is>
          <t>Flatmates</t>
        </is>
      </c>
      <c r="C2561" t="inlineStr">
        <is>
          <t>PERCENTAGE</t>
        </is>
      </c>
      <c r="D2561" t="inlineStr">
        <is>
          <t>IOS Owner</t>
        </is>
      </c>
      <c r="E2561" s="16" t="n">
        <v>0</v>
      </c>
      <c r="F2561" s="16" t="n">
        <v>11003.04</v>
      </c>
      <c r="G2561" s="17" t="n">
        <v>50</v>
      </c>
      <c r="H2561" s="16" t="n">
        <v>-11003.04</v>
      </c>
      <c r="I2561" s="16" t="n">
        <v>0</v>
      </c>
    </row>
    <row r="2562">
      <c r="A2562" t="inlineStr">
        <is>
          <t>MTR-IOS-2561</t>
        </is>
      </c>
      <c r="B2562" t="inlineStr">
        <is>
          <t>Flatmates</t>
        </is>
      </c>
      <c r="C2562" t="inlineStr">
        <is>
          <t>PERCENTAGE</t>
        </is>
      </c>
      <c r="D2562" t="inlineStr">
        <is>
          <t>IOS Aarav</t>
        </is>
      </c>
      <c r="E2562" s="16" t="n">
        <v>22006.07</v>
      </c>
      <c r="F2562" s="16" t="n">
        <v>6601.82</v>
      </c>
      <c r="G2562" s="17" t="n">
        <v>30</v>
      </c>
      <c r="H2562" s="16" t="n">
        <v>15404.25</v>
      </c>
      <c r="I2562" s="16" t="n">
        <v>0</v>
      </c>
    </row>
    <row r="2563">
      <c r="A2563" t="inlineStr">
        <is>
          <t>MTR-IOS-2561</t>
        </is>
      </c>
      <c r="B2563" t="inlineStr">
        <is>
          <t>Flatmates</t>
        </is>
      </c>
      <c r="C2563" t="inlineStr">
        <is>
          <t>PERCENTAGE</t>
        </is>
      </c>
      <c r="D2563" t="inlineStr">
        <is>
          <t>IOS Meera</t>
        </is>
      </c>
      <c r="E2563" s="16" t="n">
        <v>0</v>
      </c>
      <c r="F2563" s="16" t="n">
        <v>4401.21</v>
      </c>
      <c r="G2563" s="17" t="n">
        <v>20</v>
      </c>
      <c r="H2563" s="16" t="n">
        <v>-4401.21</v>
      </c>
      <c r="I2563" s="16" t="n">
        <v>0</v>
      </c>
    </row>
    <row r="2564">
      <c r="A2564" t="inlineStr">
        <is>
          <t>MTR-IOS-2564</t>
        </is>
      </c>
      <c r="B2564" t="inlineStr">
        <is>
          <t>Flatmates</t>
        </is>
      </c>
      <c r="C2564" t="inlineStr">
        <is>
          <t>EXACT</t>
        </is>
      </c>
      <c r="D2564" t="inlineStr">
        <is>
          <t>IOS Owner</t>
        </is>
      </c>
      <c r="E2564" s="16" t="n">
        <v>0</v>
      </c>
      <c r="F2564" s="16" t="n">
        <v>5232.52</v>
      </c>
      <c r="G2564" s="17" t="n"/>
      <c r="H2564" s="16" t="n">
        <v>-5232.52</v>
      </c>
      <c r="I2564" s="16" t="n">
        <v>0</v>
      </c>
    </row>
    <row r="2565">
      <c r="A2565" t="inlineStr">
        <is>
          <t>MTR-IOS-2564</t>
        </is>
      </c>
      <c r="B2565" t="inlineStr">
        <is>
          <t>Flatmates</t>
        </is>
      </c>
      <c r="C2565" t="inlineStr">
        <is>
          <t>EXACT</t>
        </is>
      </c>
      <c r="D2565" t="inlineStr">
        <is>
          <t>IOS Aarav</t>
        </is>
      </c>
      <c r="E2565" s="16" t="n">
        <v>0</v>
      </c>
      <c r="F2565" s="16" t="n">
        <v>5232.52</v>
      </c>
      <c r="G2565" s="17" t="n"/>
      <c r="H2565" s="16" t="n">
        <v>-5232.52</v>
      </c>
      <c r="I2565" s="16" t="n">
        <v>0</v>
      </c>
    </row>
    <row r="2566">
      <c r="A2566" t="inlineStr">
        <is>
          <t>MTR-IOS-2564</t>
        </is>
      </c>
      <c r="B2566" t="inlineStr">
        <is>
          <t>Flatmates</t>
        </is>
      </c>
      <c r="C2566" t="inlineStr">
        <is>
          <t>EXACT</t>
        </is>
      </c>
      <c r="D2566" t="inlineStr">
        <is>
          <t>IOS Meera</t>
        </is>
      </c>
      <c r="E2566" s="16" t="n">
        <v>15713.27</v>
      </c>
      <c r="F2566" s="16" t="n">
        <v>5248.23</v>
      </c>
      <c r="G2566" s="17" t="n"/>
      <c r="H2566" s="16" t="n">
        <v>10465.04</v>
      </c>
      <c r="I2566" s="16" t="n">
        <v>0</v>
      </c>
    </row>
    <row r="2567">
      <c r="A2567" t="inlineStr">
        <is>
          <t>MTR-IOS-2567</t>
        </is>
      </c>
      <c r="B2567" t="inlineStr">
        <is>
          <t>Flatmates</t>
        </is>
      </c>
      <c r="C2567" t="inlineStr">
        <is>
          <t>SHARES</t>
        </is>
      </c>
      <c r="D2567" t="inlineStr">
        <is>
          <t>IOS Owner</t>
        </is>
      </c>
      <c r="E2567" s="16" t="n">
        <v>24829.37</v>
      </c>
      <c r="F2567" s="16" t="n">
        <v>12414.69</v>
      </c>
      <c r="G2567" s="17" t="n"/>
      <c r="H2567" s="16" t="n">
        <v>12414.68</v>
      </c>
      <c r="I2567" s="16" t="n">
        <v>0</v>
      </c>
    </row>
    <row r="2568">
      <c r="A2568" t="inlineStr">
        <is>
          <t>MTR-IOS-2567</t>
        </is>
      </c>
      <c r="B2568" t="inlineStr">
        <is>
          <t>Flatmates</t>
        </is>
      </c>
      <c r="C2568" t="inlineStr">
        <is>
          <t>SHARES</t>
        </is>
      </c>
      <c r="D2568" t="inlineStr">
        <is>
          <t>IOS Aarav</t>
        </is>
      </c>
      <c r="E2568" s="16" t="n">
        <v>0</v>
      </c>
      <c r="F2568" s="16" t="n">
        <v>8276.459999999999</v>
      </c>
      <c r="G2568" s="17" t="n"/>
      <c r="H2568" s="16" t="n">
        <v>-8276.459999999999</v>
      </c>
      <c r="I2568" s="16" t="n">
        <v>0</v>
      </c>
    </row>
    <row r="2569">
      <c r="A2569" t="inlineStr">
        <is>
          <t>MTR-IOS-2567</t>
        </is>
      </c>
      <c r="B2569" t="inlineStr">
        <is>
          <t>Flatmates</t>
        </is>
      </c>
      <c r="C2569" t="inlineStr">
        <is>
          <t>SHARES</t>
        </is>
      </c>
      <c r="D2569" t="inlineStr">
        <is>
          <t>IOS Meera</t>
        </is>
      </c>
      <c r="E2569" s="16" t="n">
        <v>0</v>
      </c>
      <c r="F2569" s="16" t="n">
        <v>4138.22</v>
      </c>
      <c r="G2569" s="17" t="n"/>
      <c r="H2569" s="16" t="n">
        <v>-4138.22</v>
      </c>
      <c r="I2569" s="16" t="n">
        <v>0</v>
      </c>
    </row>
    <row r="2570">
      <c r="A2570" t="inlineStr">
        <is>
          <t>MTR-IOS-2570</t>
        </is>
      </c>
      <c r="B2570" t="inlineStr">
        <is>
          <t>Flatmates</t>
        </is>
      </c>
      <c r="C2570" t="inlineStr">
        <is>
          <t>EQUAL</t>
        </is>
      </c>
      <c r="D2570" t="inlineStr">
        <is>
          <t>IOS Owner</t>
        </is>
      </c>
      <c r="E2570" s="16" t="n">
        <v>0</v>
      </c>
      <c r="F2570" s="16" t="n">
        <v>7170.88</v>
      </c>
      <c r="G2570" s="17" t="n"/>
      <c r="H2570" s="16" t="n">
        <v>-7170.88</v>
      </c>
      <c r="I2570" s="16" t="n">
        <v>0</v>
      </c>
    </row>
    <row r="2571">
      <c r="A2571" t="inlineStr">
        <is>
          <t>MTR-IOS-2570</t>
        </is>
      </c>
      <c r="B2571" t="inlineStr">
        <is>
          <t>Flatmates</t>
        </is>
      </c>
      <c r="C2571" t="inlineStr">
        <is>
          <t>EQUAL</t>
        </is>
      </c>
      <c r="D2571" t="inlineStr">
        <is>
          <t>IOS Aarav</t>
        </is>
      </c>
      <c r="E2571" s="16" t="n">
        <v>21512.65</v>
      </c>
      <c r="F2571" s="16" t="n">
        <v>7170.88</v>
      </c>
      <c r="G2571" s="17" t="n"/>
      <c r="H2571" s="16" t="n">
        <v>14341.77</v>
      </c>
      <c r="I2571" s="16" t="n">
        <v>0</v>
      </c>
    </row>
    <row r="2572">
      <c r="A2572" t="inlineStr">
        <is>
          <t>MTR-IOS-2570</t>
        </is>
      </c>
      <c r="B2572" t="inlineStr">
        <is>
          <t>Flatmates</t>
        </is>
      </c>
      <c r="C2572" t="inlineStr">
        <is>
          <t>EQUAL</t>
        </is>
      </c>
      <c r="D2572" t="inlineStr">
        <is>
          <t>IOS Meera</t>
        </is>
      </c>
      <c r="E2572" s="16" t="n">
        <v>0</v>
      </c>
      <c r="F2572" s="16" t="n">
        <v>7170.89</v>
      </c>
      <c r="G2572" s="17" t="n"/>
      <c r="H2572" s="16" t="n">
        <v>-7170.89</v>
      </c>
      <c r="I2572" s="16" t="n">
        <v>0</v>
      </c>
    </row>
    <row r="2573">
      <c r="A2573" t="inlineStr">
        <is>
          <t>MTR-IOS-2573</t>
        </is>
      </c>
      <c r="B2573" t="inlineStr">
        <is>
          <t>Shared Living</t>
        </is>
      </c>
      <c r="C2573" t="inlineStr">
        <is>
          <t>PERCENTAGE</t>
        </is>
      </c>
      <c r="D2573" t="inlineStr">
        <is>
          <t>IOS Owner</t>
        </is>
      </c>
      <c r="E2573" s="16" t="n">
        <v>0</v>
      </c>
      <c r="F2573" s="16" t="n">
        <v>2131.41</v>
      </c>
      <c r="G2573" s="17" t="n">
        <v>50</v>
      </c>
      <c r="H2573" s="16" t="n">
        <v>-2131.41</v>
      </c>
      <c r="I2573" s="16" t="n">
        <v>0</v>
      </c>
    </row>
    <row r="2574">
      <c r="A2574" t="inlineStr">
        <is>
          <t>MTR-IOS-2573</t>
        </is>
      </c>
      <c r="B2574" t="inlineStr">
        <is>
          <t>Shared Living</t>
        </is>
      </c>
      <c r="C2574" t="inlineStr">
        <is>
          <t>PERCENTAGE</t>
        </is>
      </c>
      <c r="D2574" t="inlineStr">
        <is>
          <t>IOS Aarav</t>
        </is>
      </c>
      <c r="E2574" s="16" t="n">
        <v>0</v>
      </c>
      <c r="F2574" s="16" t="n">
        <v>1278.85</v>
      </c>
      <c r="G2574" s="17" t="n">
        <v>30</v>
      </c>
      <c r="H2574" s="16" t="n">
        <v>-1278.85</v>
      </c>
      <c r="I2574" s="16" t="n">
        <v>0</v>
      </c>
    </row>
    <row r="2575">
      <c r="A2575" t="inlineStr">
        <is>
          <t>MTR-IOS-2573</t>
        </is>
      </c>
      <c r="B2575" t="inlineStr">
        <is>
          <t>Shared Living</t>
        </is>
      </c>
      <c r="C2575" t="inlineStr">
        <is>
          <t>PERCENTAGE</t>
        </is>
      </c>
      <c r="D2575" t="inlineStr">
        <is>
          <t>IOS Meera</t>
        </is>
      </c>
      <c r="E2575" s="16" t="n">
        <v>4262.82</v>
      </c>
      <c r="F2575" s="16" t="n">
        <v>852.5599999999999</v>
      </c>
      <c r="G2575" s="17" t="n">
        <v>20</v>
      </c>
      <c r="H2575" s="16" t="n">
        <v>3410.26</v>
      </c>
      <c r="I2575" s="16" t="n">
        <v>0</v>
      </c>
    </row>
    <row r="2576">
      <c r="A2576" t="inlineStr">
        <is>
          <t>MTR-IOS-2576</t>
        </is>
      </c>
      <c r="B2576" t="inlineStr">
        <is>
          <t>Shared Living</t>
        </is>
      </c>
      <c r="C2576" t="inlineStr">
        <is>
          <t>EXACT</t>
        </is>
      </c>
      <c r="D2576" t="inlineStr">
        <is>
          <t>IOS Owner</t>
        </is>
      </c>
      <c r="E2576" s="16" t="n">
        <v>12296.71</v>
      </c>
      <c r="F2576" s="16" t="n">
        <v>4094.8</v>
      </c>
      <c r="G2576" s="17" t="n"/>
      <c r="H2576" s="16" t="n">
        <v>8201.91</v>
      </c>
      <c r="I2576" s="16" t="n">
        <v>0</v>
      </c>
    </row>
    <row r="2577">
      <c r="A2577" t="inlineStr">
        <is>
          <t>MTR-IOS-2576</t>
        </is>
      </c>
      <c r="B2577" t="inlineStr">
        <is>
          <t>Shared Living</t>
        </is>
      </c>
      <c r="C2577" t="inlineStr">
        <is>
          <t>EXACT</t>
        </is>
      </c>
      <c r="D2577" t="inlineStr">
        <is>
          <t>IOS Aarav</t>
        </is>
      </c>
      <c r="E2577" s="16" t="n">
        <v>0</v>
      </c>
      <c r="F2577" s="16" t="n">
        <v>4094.8</v>
      </c>
      <c r="G2577" s="17" t="n"/>
      <c r="H2577" s="16" t="n">
        <v>-4094.8</v>
      </c>
      <c r="I2577" s="16" t="n">
        <v>0</v>
      </c>
    </row>
    <row r="2578">
      <c r="A2578" t="inlineStr">
        <is>
          <t>MTR-IOS-2576</t>
        </is>
      </c>
      <c r="B2578" t="inlineStr">
        <is>
          <t>Shared Living</t>
        </is>
      </c>
      <c r="C2578" t="inlineStr">
        <is>
          <t>EXACT</t>
        </is>
      </c>
      <c r="D2578" t="inlineStr">
        <is>
          <t>IOS Meera</t>
        </is>
      </c>
      <c r="E2578" s="16" t="n">
        <v>0</v>
      </c>
      <c r="F2578" s="16" t="n">
        <v>4107.11</v>
      </c>
      <c r="G2578" s="17" t="n"/>
      <c r="H2578" s="16" t="n">
        <v>-4107.11</v>
      </c>
      <c r="I2578" s="16" t="n">
        <v>0</v>
      </c>
    </row>
    <row r="2579">
      <c r="A2579" t="inlineStr">
        <is>
          <t>MTR-IOS-2579</t>
        </is>
      </c>
      <c r="B2579" t="inlineStr">
        <is>
          <t>Shared Living</t>
        </is>
      </c>
      <c r="C2579" t="inlineStr">
        <is>
          <t>SHARES</t>
        </is>
      </c>
      <c r="D2579" t="inlineStr">
        <is>
          <t>IOS Owner</t>
        </is>
      </c>
      <c r="E2579" s="16" t="n">
        <v>0</v>
      </c>
      <c r="F2579" s="16" t="n">
        <v>4259.15</v>
      </c>
      <c r="G2579" s="17" t="n"/>
      <c r="H2579" s="16" t="n">
        <v>-4259.15</v>
      </c>
      <c r="I2579" s="16" t="n">
        <v>0</v>
      </c>
    </row>
    <row r="2580">
      <c r="A2580" t="inlineStr">
        <is>
          <t>MTR-IOS-2579</t>
        </is>
      </c>
      <c r="B2580" t="inlineStr">
        <is>
          <t>Shared Living</t>
        </is>
      </c>
      <c r="C2580" t="inlineStr">
        <is>
          <t>SHARES</t>
        </is>
      </c>
      <c r="D2580" t="inlineStr">
        <is>
          <t>IOS Aarav</t>
        </is>
      </c>
      <c r="E2580" s="16" t="n">
        <v>8518.299999999999</v>
      </c>
      <c r="F2580" s="16" t="n">
        <v>2839.43</v>
      </c>
      <c r="G2580" s="17" t="n"/>
      <c r="H2580" s="16" t="n">
        <v>5678.87</v>
      </c>
      <c r="I2580" s="16" t="n">
        <v>0</v>
      </c>
    </row>
    <row r="2581">
      <c r="A2581" t="inlineStr">
        <is>
          <t>MTR-IOS-2579</t>
        </is>
      </c>
      <c r="B2581" t="inlineStr">
        <is>
          <t>Shared Living</t>
        </is>
      </c>
      <c r="C2581" t="inlineStr">
        <is>
          <t>SHARES</t>
        </is>
      </c>
      <c r="D2581" t="inlineStr">
        <is>
          <t>IOS Meera</t>
        </is>
      </c>
      <c r="E2581" s="16" t="n">
        <v>0</v>
      </c>
      <c r="F2581" s="16" t="n">
        <v>1419.72</v>
      </c>
      <c r="G2581" s="17" t="n"/>
      <c r="H2581" s="16" t="n">
        <v>-1419.72</v>
      </c>
      <c r="I2581" s="16" t="n">
        <v>0</v>
      </c>
    </row>
    <row r="2582">
      <c r="A2582" t="inlineStr">
        <is>
          <t>MTR-IOS-2582</t>
        </is>
      </c>
      <c r="B2582" t="inlineStr">
        <is>
          <t>Shared Living</t>
        </is>
      </c>
      <c r="C2582" t="inlineStr">
        <is>
          <t>EQUAL</t>
        </is>
      </c>
      <c r="D2582" t="inlineStr">
        <is>
          <t>IOS Owner</t>
        </is>
      </c>
      <c r="E2582" s="16" t="n">
        <v>0</v>
      </c>
      <c r="F2582" s="16" t="n">
        <v>865.39</v>
      </c>
      <c r="G2582" s="17" t="n"/>
      <c r="H2582" s="16" t="n">
        <v>-865.39</v>
      </c>
      <c r="I2582" s="16" t="n">
        <v>0</v>
      </c>
    </row>
    <row r="2583">
      <c r="A2583" t="inlineStr">
        <is>
          <t>MTR-IOS-2582</t>
        </is>
      </c>
      <c r="B2583" t="inlineStr">
        <is>
          <t>Shared Living</t>
        </is>
      </c>
      <c r="C2583" t="inlineStr">
        <is>
          <t>EQUAL</t>
        </is>
      </c>
      <c r="D2583" t="inlineStr">
        <is>
          <t>IOS Aarav</t>
        </is>
      </c>
      <c r="E2583" s="16" t="n">
        <v>0</v>
      </c>
      <c r="F2583" s="16" t="n">
        <v>865.39</v>
      </c>
      <c r="G2583" s="17" t="n"/>
      <c r="H2583" s="16" t="n">
        <v>-865.39</v>
      </c>
      <c r="I2583" s="16" t="n">
        <v>0</v>
      </c>
    </row>
    <row r="2584">
      <c r="A2584" t="inlineStr">
        <is>
          <t>MTR-IOS-2582</t>
        </is>
      </c>
      <c r="B2584" t="inlineStr">
        <is>
          <t>Shared Living</t>
        </is>
      </c>
      <c r="C2584" t="inlineStr">
        <is>
          <t>EQUAL</t>
        </is>
      </c>
      <c r="D2584" t="inlineStr">
        <is>
          <t>IOS Meera</t>
        </is>
      </c>
      <c r="E2584" s="16" t="n">
        <v>2596.18</v>
      </c>
      <c r="F2584" s="16" t="n">
        <v>865.4</v>
      </c>
      <c r="G2584" s="17" t="n"/>
      <c r="H2584" s="16" t="n">
        <v>1730.78</v>
      </c>
      <c r="I2584" s="16" t="n">
        <v>0</v>
      </c>
    </row>
    <row r="2585">
      <c r="A2585" t="inlineStr">
        <is>
          <t>MTR-IOS-2585</t>
        </is>
      </c>
      <c r="B2585" t="inlineStr">
        <is>
          <t>Shared Living</t>
        </is>
      </c>
      <c r="C2585" t="inlineStr">
        <is>
          <t>PERCENTAGE</t>
        </is>
      </c>
      <c r="D2585" t="inlineStr">
        <is>
          <t>IOS Owner</t>
        </is>
      </c>
      <c r="E2585" s="16" t="n">
        <v>20821.38</v>
      </c>
      <c r="F2585" s="16" t="n">
        <v>10410.69</v>
      </c>
      <c r="G2585" s="17" t="n">
        <v>50</v>
      </c>
      <c r="H2585" s="16" t="n">
        <v>10410.69</v>
      </c>
      <c r="I2585" s="16" t="n">
        <v>0</v>
      </c>
    </row>
    <row r="2586">
      <c r="A2586" t="inlineStr">
        <is>
          <t>MTR-IOS-2585</t>
        </is>
      </c>
      <c r="B2586" t="inlineStr">
        <is>
          <t>Shared Living</t>
        </is>
      </c>
      <c r="C2586" t="inlineStr">
        <is>
          <t>PERCENTAGE</t>
        </is>
      </c>
      <c r="D2586" t="inlineStr">
        <is>
          <t>IOS Aarav</t>
        </is>
      </c>
      <c r="E2586" s="16" t="n">
        <v>0</v>
      </c>
      <c r="F2586" s="16" t="n">
        <v>6246.41</v>
      </c>
      <c r="G2586" s="17" t="n">
        <v>30</v>
      </c>
      <c r="H2586" s="16" t="n">
        <v>-6246.41</v>
      </c>
      <c r="I2586" s="16" t="n">
        <v>0</v>
      </c>
    </row>
    <row r="2587">
      <c r="A2587" t="inlineStr">
        <is>
          <t>MTR-IOS-2585</t>
        </is>
      </c>
      <c r="B2587" t="inlineStr">
        <is>
          <t>Shared Living</t>
        </is>
      </c>
      <c r="C2587" t="inlineStr">
        <is>
          <t>PERCENTAGE</t>
        </is>
      </c>
      <c r="D2587" t="inlineStr">
        <is>
          <t>IOS Meera</t>
        </is>
      </c>
      <c r="E2587" s="16" t="n">
        <v>0</v>
      </c>
      <c r="F2587" s="16" t="n">
        <v>4164.28</v>
      </c>
      <c r="G2587" s="17" t="n">
        <v>20</v>
      </c>
      <c r="H2587" s="16" t="n">
        <v>-4164.28</v>
      </c>
      <c r="I2587" s="16" t="n">
        <v>0</v>
      </c>
    </row>
    <row r="2588">
      <c r="A2588" t="inlineStr">
        <is>
          <t>MTR-IOS-2588</t>
        </is>
      </c>
      <c r="B2588" t="inlineStr">
        <is>
          <t>Family Household</t>
        </is>
      </c>
      <c r="C2588" t="inlineStr">
        <is>
          <t>EXACT</t>
        </is>
      </c>
      <c r="D2588" t="inlineStr">
        <is>
          <t>IOS Owner</t>
        </is>
      </c>
      <c r="E2588" s="16" t="n">
        <v>0</v>
      </c>
      <c r="F2588" s="16" t="n">
        <v>5839.67</v>
      </c>
      <c r="G2588" s="17" t="n"/>
      <c r="H2588" s="16" t="n">
        <v>-5839.67</v>
      </c>
      <c r="I2588" s="16" t="n">
        <v>0</v>
      </c>
    </row>
    <row r="2589">
      <c r="A2589" t="inlineStr">
        <is>
          <t>MTR-IOS-2588</t>
        </is>
      </c>
      <c r="B2589" t="inlineStr">
        <is>
          <t>Family Household</t>
        </is>
      </c>
      <c r="C2589" t="inlineStr">
        <is>
          <t>EXACT</t>
        </is>
      </c>
      <c r="D2589" t="inlineStr">
        <is>
          <t>IOS Aarav</t>
        </is>
      </c>
      <c r="E2589" s="16" t="n">
        <v>17536.55</v>
      </c>
      <c r="F2589" s="16" t="n">
        <v>5839.67</v>
      </c>
      <c r="G2589" s="17" t="n"/>
      <c r="H2589" s="16" t="n">
        <v>11696.88</v>
      </c>
      <c r="I2589" s="16" t="n">
        <v>0</v>
      </c>
    </row>
    <row r="2590">
      <c r="A2590" t="inlineStr">
        <is>
          <t>MTR-IOS-2588</t>
        </is>
      </c>
      <c r="B2590" t="inlineStr">
        <is>
          <t>Family Household</t>
        </is>
      </c>
      <c r="C2590" t="inlineStr">
        <is>
          <t>EXACT</t>
        </is>
      </c>
      <c r="D2590" t="inlineStr">
        <is>
          <t>IOS Meera</t>
        </is>
      </c>
      <c r="E2590" s="16" t="n">
        <v>0</v>
      </c>
      <c r="F2590" s="16" t="n">
        <v>5857.21</v>
      </c>
      <c r="G2590" s="17" t="n"/>
      <c r="H2590" s="16" t="n">
        <v>-5857.21</v>
      </c>
      <c r="I2590" s="16" t="n">
        <v>0</v>
      </c>
    </row>
    <row r="2591">
      <c r="A2591" t="inlineStr">
        <is>
          <t>MTR-IOS-2591</t>
        </is>
      </c>
      <c r="B2591" t="inlineStr">
        <is>
          <t>Family Household</t>
        </is>
      </c>
      <c r="C2591" t="inlineStr">
        <is>
          <t>SHARES</t>
        </is>
      </c>
      <c r="D2591" t="inlineStr">
        <is>
          <t>IOS Owner</t>
        </is>
      </c>
      <c r="E2591" s="16" t="n">
        <v>0</v>
      </c>
      <c r="F2591" s="16" t="n">
        <v>5526.68</v>
      </c>
      <c r="G2591" s="17" t="n"/>
      <c r="H2591" s="16" t="n">
        <v>-5526.68</v>
      </c>
      <c r="I2591" s="16" t="n">
        <v>0</v>
      </c>
    </row>
    <row r="2592">
      <c r="A2592" t="inlineStr">
        <is>
          <t>MTR-IOS-2591</t>
        </is>
      </c>
      <c r="B2592" t="inlineStr">
        <is>
          <t>Family Household</t>
        </is>
      </c>
      <c r="C2592" t="inlineStr">
        <is>
          <t>SHARES</t>
        </is>
      </c>
      <c r="D2592" t="inlineStr">
        <is>
          <t>IOS Aarav</t>
        </is>
      </c>
      <c r="E2592" s="16" t="n">
        <v>0</v>
      </c>
      <c r="F2592" s="16" t="n">
        <v>3684.45</v>
      </c>
      <c r="G2592" s="17" t="n"/>
      <c r="H2592" s="16" t="n">
        <v>-3684.45</v>
      </c>
      <c r="I2592" s="16" t="n">
        <v>0</v>
      </c>
    </row>
    <row r="2593">
      <c r="A2593" t="inlineStr">
        <is>
          <t>MTR-IOS-2591</t>
        </is>
      </c>
      <c r="B2593" t="inlineStr">
        <is>
          <t>Family Household</t>
        </is>
      </c>
      <c r="C2593" t="inlineStr">
        <is>
          <t>SHARES</t>
        </is>
      </c>
      <c r="D2593" t="inlineStr">
        <is>
          <t>IOS Meera</t>
        </is>
      </c>
      <c r="E2593" s="16" t="n">
        <v>11053.35</v>
      </c>
      <c r="F2593" s="16" t="n">
        <v>1842.22</v>
      </c>
      <c r="G2593" s="17" t="n"/>
      <c r="H2593" s="16" t="n">
        <v>9211.129999999999</v>
      </c>
      <c r="I2593" s="16" t="n">
        <v>0</v>
      </c>
    </row>
    <row r="2594">
      <c r="A2594" t="inlineStr">
        <is>
          <t>MTR-IOS-2594</t>
        </is>
      </c>
      <c r="B2594" t="inlineStr">
        <is>
          <t>Family Household</t>
        </is>
      </c>
      <c r="C2594" t="inlineStr">
        <is>
          <t>EQUAL</t>
        </is>
      </c>
      <c r="D2594" t="inlineStr">
        <is>
          <t>IOS Owner</t>
        </is>
      </c>
      <c r="E2594" s="16" t="n">
        <v>25469.31</v>
      </c>
      <c r="F2594" s="16" t="n">
        <v>8489.77</v>
      </c>
      <c r="G2594" s="17" t="n"/>
      <c r="H2594" s="16" t="n">
        <v>16979.54</v>
      </c>
      <c r="I2594" s="16" t="n">
        <v>0</v>
      </c>
    </row>
    <row r="2595">
      <c r="A2595" t="inlineStr">
        <is>
          <t>MTR-IOS-2594</t>
        </is>
      </c>
      <c r="B2595" t="inlineStr">
        <is>
          <t>Family Household</t>
        </is>
      </c>
      <c r="C2595" t="inlineStr">
        <is>
          <t>EQUAL</t>
        </is>
      </c>
      <c r="D2595" t="inlineStr">
        <is>
          <t>IOS Aarav</t>
        </is>
      </c>
      <c r="E2595" s="16" t="n">
        <v>0</v>
      </c>
      <c r="F2595" s="16" t="n">
        <v>8489.77</v>
      </c>
      <c r="G2595" s="17" t="n"/>
      <c r="H2595" s="16" t="n">
        <v>-8489.77</v>
      </c>
      <c r="I2595" s="16" t="n">
        <v>0</v>
      </c>
    </row>
    <row r="2596">
      <c r="A2596" t="inlineStr">
        <is>
          <t>MTR-IOS-2594</t>
        </is>
      </c>
      <c r="B2596" t="inlineStr">
        <is>
          <t>Family Household</t>
        </is>
      </c>
      <c r="C2596" t="inlineStr">
        <is>
          <t>EQUAL</t>
        </is>
      </c>
      <c r="D2596" t="inlineStr">
        <is>
          <t>IOS Meera</t>
        </is>
      </c>
      <c r="E2596" s="16" t="n">
        <v>0</v>
      </c>
      <c r="F2596" s="16" t="n">
        <v>8489.77</v>
      </c>
      <c r="G2596" s="17" t="n"/>
      <c r="H2596" s="16" t="n">
        <v>-8489.77</v>
      </c>
      <c r="I2596" s="16" t="n">
        <v>0</v>
      </c>
    </row>
    <row r="2597">
      <c r="A2597" t="inlineStr">
        <is>
          <t>MTR-IOS-2597</t>
        </is>
      </c>
      <c r="B2597" t="inlineStr">
        <is>
          <t>Family Household</t>
        </is>
      </c>
      <c r="C2597" t="inlineStr">
        <is>
          <t>PERCENTAGE</t>
        </is>
      </c>
      <c r="D2597" t="inlineStr">
        <is>
          <t>IOS Owner</t>
        </is>
      </c>
      <c r="E2597" s="16" t="n">
        <v>0</v>
      </c>
      <c r="F2597" s="16" t="n">
        <v>9227.969999999999</v>
      </c>
      <c r="G2597" s="17" t="n">
        <v>50</v>
      </c>
      <c r="H2597" s="16" t="n">
        <v>-9227.969999999999</v>
      </c>
      <c r="I2597" s="16" t="n">
        <v>0</v>
      </c>
    </row>
    <row r="2598">
      <c r="A2598" t="inlineStr">
        <is>
          <t>MTR-IOS-2597</t>
        </is>
      </c>
      <c r="B2598" t="inlineStr">
        <is>
          <t>Family Household</t>
        </is>
      </c>
      <c r="C2598" t="inlineStr">
        <is>
          <t>PERCENTAGE</t>
        </is>
      </c>
      <c r="D2598" t="inlineStr">
        <is>
          <t>IOS Aarav</t>
        </is>
      </c>
      <c r="E2598" s="16" t="n">
        <v>18455.93</v>
      </c>
      <c r="F2598" s="16" t="n">
        <v>5536.78</v>
      </c>
      <c r="G2598" s="17" t="n">
        <v>30</v>
      </c>
      <c r="H2598" s="16" t="n">
        <v>12919.15</v>
      </c>
      <c r="I2598" s="16" t="n">
        <v>0</v>
      </c>
    </row>
    <row r="2599">
      <c r="A2599" t="inlineStr">
        <is>
          <t>MTR-IOS-2597</t>
        </is>
      </c>
      <c r="B2599" t="inlineStr">
        <is>
          <t>Family Household</t>
        </is>
      </c>
      <c r="C2599" t="inlineStr">
        <is>
          <t>PERCENTAGE</t>
        </is>
      </c>
      <c r="D2599" t="inlineStr">
        <is>
          <t>IOS Meera</t>
        </is>
      </c>
      <c r="E2599" s="16" t="n">
        <v>0</v>
      </c>
      <c r="F2599" s="16" t="n">
        <v>3691.18</v>
      </c>
      <c r="G2599" s="17" t="n">
        <v>20</v>
      </c>
      <c r="H2599" s="16" t="n">
        <v>-3691.18</v>
      </c>
      <c r="I2599" s="16" t="n">
        <v>0</v>
      </c>
    </row>
    <row r="2600">
      <c r="A2600" t="inlineStr">
        <is>
          <t>MTR-IOS-2600</t>
        </is>
      </c>
      <c r="B2600" t="inlineStr">
        <is>
          <t>Family Household</t>
        </is>
      </c>
      <c r="C2600" t="inlineStr">
        <is>
          <t>EXACT</t>
        </is>
      </c>
      <c r="D2600" t="inlineStr">
        <is>
          <t>IOS Owner</t>
        </is>
      </c>
      <c r="E2600" s="16" t="n">
        <v>0</v>
      </c>
      <c r="F2600" s="16" t="n">
        <v>2313.63</v>
      </c>
      <c r="G2600" s="17" t="n"/>
      <c r="H2600" s="16" t="n">
        <v>-2313.63</v>
      </c>
      <c r="I2600" s="16" t="n">
        <v>0</v>
      </c>
    </row>
    <row r="2601">
      <c r="A2601" t="inlineStr">
        <is>
          <t>MTR-IOS-2600</t>
        </is>
      </c>
      <c r="B2601" t="inlineStr">
        <is>
          <t>Family Household</t>
        </is>
      </c>
      <c r="C2601" t="inlineStr">
        <is>
          <t>EXACT</t>
        </is>
      </c>
      <c r="D2601" t="inlineStr">
        <is>
          <t>IOS Aarav</t>
        </is>
      </c>
      <c r="E2601" s="16" t="n">
        <v>0</v>
      </c>
      <c r="F2601" s="16" t="n">
        <v>2313.63</v>
      </c>
      <c r="G2601" s="17" t="n"/>
      <c r="H2601" s="16" t="n">
        <v>-2313.63</v>
      </c>
      <c r="I2601" s="16" t="n">
        <v>0</v>
      </c>
    </row>
    <row r="2602">
      <c r="A2602" t="inlineStr">
        <is>
          <t>MTR-IOS-2600</t>
        </is>
      </c>
      <c r="B2602" t="inlineStr">
        <is>
          <t>Family Household</t>
        </is>
      </c>
      <c r="C2602" t="inlineStr">
        <is>
          <t>EXACT</t>
        </is>
      </c>
      <c r="D2602" t="inlineStr">
        <is>
          <t>IOS Meera</t>
        </is>
      </c>
      <c r="E2602" s="16" t="n">
        <v>6947.85</v>
      </c>
      <c r="F2602" s="16" t="n">
        <v>2320.59</v>
      </c>
      <c r="G2602" s="17" t="n"/>
      <c r="H2602" s="16" t="n">
        <v>4627.26</v>
      </c>
      <c r="I2602" s="16" t="n">
        <v>0</v>
      </c>
    </row>
    <row r="2603">
      <c r="A2603" t="inlineStr">
        <is>
          <t>MTR-IOS-2603</t>
        </is>
      </c>
      <c r="B2603" t="inlineStr">
        <is>
          <t>Family Household</t>
        </is>
      </c>
      <c r="C2603" t="inlineStr">
        <is>
          <t>SHARES</t>
        </is>
      </c>
      <c r="D2603" t="inlineStr">
        <is>
          <t>IOS Owner</t>
        </is>
      </c>
      <c r="E2603" s="16" t="n">
        <v>11586.76</v>
      </c>
      <c r="F2603" s="16" t="n">
        <v>5793.38</v>
      </c>
      <c r="G2603" s="17" t="n"/>
      <c r="H2603" s="16" t="n">
        <v>5793.38</v>
      </c>
      <c r="I2603" s="16" t="n">
        <v>0</v>
      </c>
    </row>
    <row r="2604">
      <c r="A2604" t="inlineStr">
        <is>
          <t>MTR-IOS-2603</t>
        </is>
      </c>
      <c r="B2604" t="inlineStr">
        <is>
          <t>Family Household</t>
        </is>
      </c>
      <c r="C2604" t="inlineStr">
        <is>
          <t>SHARES</t>
        </is>
      </c>
      <c r="D2604" t="inlineStr">
        <is>
          <t>IOS Aarav</t>
        </is>
      </c>
      <c r="E2604" s="16" t="n">
        <v>0</v>
      </c>
      <c r="F2604" s="16" t="n">
        <v>3862.25</v>
      </c>
      <c r="G2604" s="17" t="n"/>
      <c r="H2604" s="16" t="n">
        <v>-3862.25</v>
      </c>
      <c r="I2604" s="16" t="n">
        <v>0</v>
      </c>
    </row>
    <row r="2605">
      <c r="A2605" t="inlineStr">
        <is>
          <t>MTR-IOS-2603</t>
        </is>
      </c>
      <c r="B2605" t="inlineStr">
        <is>
          <t>Family Household</t>
        </is>
      </c>
      <c r="C2605" t="inlineStr">
        <is>
          <t>SHARES</t>
        </is>
      </c>
      <c r="D2605" t="inlineStr">
        <is>
          <t>IOS Meera</t>
        </is>
      </c>
      <c r="E2605" s="16" t="n">
        <v>0</v>
      </c>
      <c r="F2605" s="16" t="n">
        <v>1931.13</v>
      </c>
      <c r="G2605" s="17" t="n"/>
      <c r="H2605" s="16" t="n">
        <v>-1931.13</v>
      </c>
      <c r="I2605" s="16" t="n">
        <v>0</v>
      </c>
    </row>
    <row r="2606">
      <c r="A2606" t="inlineStr">
        <is>
          <t>MTR-IOS-2606</t>
        </is>
      </c>
      <c r="B2606" t="inlineStr">
        <is>
          <t>Custom Living</t>
        </is>
      </c>
      <c r="C2606" t="inlineStr">
        <is>
          <t>EQUAL</t>
        </is>
      </c>
      <c r="D2606" t="inlineStr">
        <is>
          <t>IOS Owner</t>
        </is>
      </c>
      <c r="E2606" s="16" t="n">
        <v>0</v>
      </c>
      <c r="F2606" s="16" t="n">
        <v>4407.98</v>
      </c>
      <c r="G2606" s="17" t="n"/>
      <c r="H2606" s="16" t="n">
        <v>-4407.98</v>
      </c>
      <c r="I2606" s="16" t="n">
        <v>0</v>
      </c>
    </row>
    <row r="2607">
      <c r="A2607" t="inlineStr">
        <is>
          <t>MTR-IOS-2606</t>
        </is>
      </c>
      <c r="B2607" t="inlineStr">
        <is>
          <t>Custom Living</t>
        </is>
      </c>
      <c r="C2607" t="inlineStr">
        <is>
          <t>EQUAL</t>
        </is>
      </c>
      <c r="D2607" t="inlineStr">
        <is>
          <t>IOS Aarav</t>
        </is>
      </c>
      <c r="E2607" s="16" t="n">
        <v>13223.93</v>
      </c>
      <c r="F2607" s="16" t="n">
        <v>4407.98</v>
      </c>
      <c r="G2607" s="17" t="n"/>
      <c r="H2607" s="16" t="n">
        <v>8815.950000000001</v>
      </c>
      <c r="I2607" s="16" t="n">
        <v>0</v>
      </c>
    </row>
    <row r="2608">
      <c r="A2608" t="inlineStr">
        <is>
          <t>MTR-IOS-2606</t>
        </is>
      </c>
      <c r="B2608" t="inlineStr">
        <is>
          <t>Custom Living</t>
        </is>
      </c>
      <c r="C2608" t="inlineStr">
        <is>
          <t>EQUAL</t>
        </is>
      </c>
      <c r="D2608" t="inlineStr">
        <is>
          <t>IOS Meera</t>
        </is>
      </c>
      <c r="E2608" s="16" t="n">
        <v>0</v>
      </c>
      <c r="F2608" s="16" t="n">
        <v>4407.97</v>
      </c>
      <c r="G2608" s="17" t="n"/>
      <c r="H2608" s="16" t="n">
        <v>-4407.97</v>
      </c>
      <c r="I2608" s="16" t="n">
        <v>0</v>
      </c>
    </row>
    <row r="2609">
      <c r="A2609" t="inlineStr">
        <is>
          <t>MTR-IOS-2609</t>
        </is>
      </c>
      <c r="B2609" t="inlineStr">
        <is>
          <t>Custom Living</t>
        </is>
      </c>
      <c r="C2609" t="inlineStr">
        <is>
          <t>PERCENTAGE</t>
        </is>
      </c>
      <c r="D2609" t="inlineStr">
        <is>
          <t>IOS Owner</t>
        </is>
      </c>
      <c r="E2609" s="16" t="n">
        <v>0</v>
      </c>
      <c r="F2609" s="16" t="n">
        <v>2359.29</v>
      </c>
      <c r="G2609" s="17" t="n">
        <v>50</v>
      </c>
      <c r="H2609" s="16" t="n">
        <v>-2359.29</v>
      </c>
      <c r="I2609" s="16" t="n">
        <v>0</v>
      </c>
    </row>
    <row r="2610">
      <c r="A2610" t="inlineStr">
        <is>
          <t>MTR-IOS-2609</t>
        </is>
      </c>
      <c r="B2610" t="inlineStr">
        <is>
          <t>Custom Living</t>
        </is>
      </c>
      <c r="C2610" t="inlineStr">
        <is>
          <t>PERCENTAGE</t>
        </is>
      </c>
      <c r="D2610" t="inlineStr">
        <is>
          <t>IOS Aarav</t>
        </is>
      </c>
      <c r="E2610" s="16" t="n">
        <v>0</v>
      </c>
      <c r="F2610" s="16" t="n">
        <v>1415.57</v>
      </c>
      <c r="G2610" s="17" t="n">
        <v>30</v>
      </c>
      <c r="H2610" s="16" t="n">
        <v>-1415.57</v>
      </c>
      <c r="I2610" s="16" t="n">
        <v>0</v>
      </c>
    </row>
    <row r="2611">
      <c r="A2611" t="inlineStr">
        <is>
          <t>MTR-IOS-2609</t>
        </is>
      </c>
      <c r="B2611" t="inlineStr">
        <is>
          <t>Custom Living</t>
        </is>
      </c>
      <c r="C2611" t="inlineStr">
        <is>
          <t>PERCENTAGE</t>
        </is>
      </c>
      <c r="D2611" t="inlineStr">
        <is>
          <t>IOS Meera</t>
        </is>
      </c>
      <c r="E2611" s="16" t="n">
        <v>4718.58</v>
      </c>
      <c r="F2611" s="16" t="n">
        <v>943.72</v>
      </c>
      <c r="G2611" s="17" t="n">
        <v>20</v>
      </c>
      <c r="H2611" s="16" t="n">
        <v>3774.86</v>
      </c>
      <c r="I2611" s="16" t="n">
        <v>0</v>
      </c>
    </row>
    <row r="2612">
      <c r="A2612" t="inlineStr">
        <is>
          <t>MTR-IOS-2612</t>
        </is>
      </c>
      <c r="B2612" t="inlineStr">
        <is>
          <t>Trip</t>
        </is>
      </c>
      <c r="C2612" t="inlineStr">
        <is>
          <t>EXACT</t>
        </is>
      </c>
      <c r="D2612" t="inlineStr">
        <is>
          <t>IOS Owner</t>
        </is>
      </c>
      <c r="E2612" s="16" t="n">
        <v>15724.66</v>
      </c>
      <c r="F2612" s="16" t="n">
        <v>5236.31</v>
      </c>
      <c r="G2612" s="17" t="n"/>
      <c r="H2612" s="16" t="n">
        <v>10488.35</v>
      </c>
      <c r="I2612" s="16" t="n">
        <v>0</v>
      </c>
    </row>
    <row r="2613">
      <c r="A2613" t="inlineStr">
        <is>
          <t>MTR-IOS-2612</t>
        </is>
      </c>
      <c r="B2613" t="inlineStr">
        <is>
          <t>Trip</t>
        </is>
      </c>
      <c r="C2613" t="inlineStr">
        <is>
          <t>EXACT</t>
        </is>
      </c>
      <c r="D2613" t="inlineStr">
        <is>
          <t>IOS Aarav</t>
        </is>
      </c>
      <c r="E2613" s="16" t="n">
        <v>0</v>
      </c>
      <c r="F2613" s="16" t="n">
        <v>5236.31</v>
      </c>
      <c r="G2613" s="17" t="n"/>
      <c r="H2613" s="16" t="n">
        <v>-5236.31</v>
      </c>
      <c r="I2613" s="16" t="n">
        <v>0</v>
      </c>
    </row>
    <row r="2614">
      <c r="A2614" t="inlineStr">
        <is>
          <t>MTR-IOS-2612</t>
        </is>
      </c>
      <c r="B2614" t="inlineStr">
        <is>
          <t>Trip</t>
        </is>
      </c>
      <c r="C2614" t="inlineStr">
        <is>
          <t>EXACT</t>
        </is>
      </c>
      <c r="D2614" t="inlineStr">
        <is>
          <t>IOS Meera</t>
        </is>
      </c>
      <c r="E2614" s="16" t="n">
        <v>0</v>
      </c>
      <c r="F2614" s="16" t="n">
        <v>5252.04</v>
      </c>
      <c r="G2614" s="17" t="n"/>
      <c r="H2614" s="16" t="n">
        <v>-5252.04</v>
      </c>
      <c r="I2614" s="16" t="n">
        <v>0</v>
      </c>
    </row>
    <row r="2615">
      <c r="A2615" t="inlineStr">
        <is>
          <t>MTR-IOS-2615</t>
        </is>
      </c>
      <c r="B2615" t="inlineStr">
        <is>
          <t>Trip</t>
        </is>
      </c>
      <c r="C2615" t="inlineStr">
        <is>
          <t>SHARES</t>
        </is>
      </c>
      <c r="D2615" t="inlineStr">
        <is>
          <t>IOS Owner</t>
        </is>
      </c>
      <c r="E2615" s="16" t="n">
        <v>0</v>
      </c>
      <c r="F2615" s="16" t="n">
        <v>2711.85</v>
      </c>
      <c r="G2615" s="17" t="n"/>
      <c r="H2615" s="16" t="n">
        <v>-2711.85</v>
      </c>
      <c r="I2615" s="16" t="n">
        <v>0</v>
      </c>
    </row>
    <row r="2616">
      <c r="A2616" t="inlineStr">
        <is>
          <t>MTR-IOS-2615</t>
        </is>
      </c>
      <c r="B2616" t="inlineStr">
        <is>
          <t>Trip</t>
        </is>
      </c>
      <c r="C2616" t="inlineStr">
        <is>
          <t>SHARES</t>
        </is>
      </c>
      <c r="D2616" t="inlineStr">
        <is>
          <t>IOS Aarav</t>
        </is>
      </c>
      <c r="E2616" s="16" t="n">
        <v>5423.7</v>
      </c>
      <c r="F2616" s="16" t="n">
        <v>1807.9</v>
      </c>
      <c r="G2616" s="17" t="n"/>
      <c r="H2616" s="16" t="n">
        <v>3615.8</v>
      </c>
      <c r="I2616" s="16" t="n">
        <v>0</v>
      </c>
    </row>
    <row r="2617">
      <c r="A2617" t="inlineStr">
        <is>
          <t>MTR-IOS-2615</t>
        </is>
      </c>
      <c r="B2617" t="inlineStr">
        <is>
          <t>Trip</t>
        </is>
      </c>
      <c r="C2617" t="inlineStr">
        <is>
          <t>SHARES</t>
        </is>
      </c>
      <c r="D2617" t="inlineStr">
        <is>
          <t>IOS Meera</t>
        </is>
      </c>
      <c r="E2617" s="16" t="n">
        <v>0</v>
      </c>
      <c r="F2617" s="16" t="n">
        <v>903.95</v>
      </c>
      <c r="G2617" s="17" t="n"/>
      <c r="H2617" s="16" t="n">
        <v>-903.95</v>
      </c>
      <c r="I2617" s="16" t="n">
        <v>0</v>
      </c>
    </row>
    <row r="2618">
      <c r="A2618" t="inlineStr">
        <is>
          <t>MTR-IOS-2618</t>
        </is>
      </c>
      <c r="B2618" t="inlineStr">
        <is>
          <t>Trip</t>
        </is>
      </c>
      <c r="C2618" t="inlineStr">
        <is>
          <t>EQUAL</t>
        </is>
      </c>
      <c r="D2618" t="inlineStr">
        <is>
          <t>IOS Owner</t>
        </is>
      </c>
      <c r="E2618" s="16" t="n">
        <v>0</v>
      </c>
      <c r="F2618" s="16" t="n">
        <v>2740.34</v>
      </c>
      <c r="G2618" s="17" t="n"/>
      <c r="H2618" s="16" t="n">
        <v>-2740.34</v>
      </c>
      <c r="I2618" s="16" t="n">
        <v>0</v>
      </c>
    </row>
    <row r="2619">
      <c r="A2619" t="inlineStr">
        <is>
          <t>MTR-IOS-2618</t>
        </is>
      </c>
      <c r="B2619" t="inlineStr">
        <is>
          <t>Trip</t>
        </is>
      </c>
      <c r="C2619" t="inlineStr">
        <is>
          <t>EQUAL</t>
        </is>
      </c>
      <c r="D2619" t="inlineStr">
        <is>
          <t>IOS Aarav</t>
        </is>
      </c>
      <c r="E2619" s="16" t="n">
        <v>0</v>
      </c>
      <c r="F2619" s="16" t="n">
        <v>2740.34</v>
      </c>
      <c r="G2619" s="17" t="n"/>
      <c r="H2619" s="16" t="n">
        <v>-2740.34</v>
      </c>
      <c r="I2619" s="16" t="n">
        <v>0</v>
      </c>
    </row>
    <row r="2620">
      <c r="A2620" t="inlineStr">
        <is>
          <t>MTR-IOS-2618</t>
        </is>
      </c>
      <c r="B2620" t="inlineStr">
        <is>
          <t>Trip</t>
        </is>
      </c>
      <c r="C2620" t="inlineStr">
        <is>
          <t>EQUAL</t>
        </is>
      </c>
      <c r="D2620" t="inlineStr">
        <is>
          <t>IOS Meera</t>
        </is>
      </c>
      <c r="E2620" s="16" t="n">
        <v>8221.030000000001</v>
      </c>
      <c r="F2620" s="16" t="n">
        <v>2740.35</v>
      </c>
      <c r="G2620" s="17" t="n"/>
      <c r="H2620" s="16" t="n">
        <v>5480.68</v>
      </c>
      <c r="I2620" s="16" t="n">
        <v>0</v>
      </c>
    </row>
    <row r="2621">
      <c r="A2621" t="inlineStr">
        <is>
          <t>MTR-IOS-2621</t>
        </is>
      </c>
      <c r="B2621" t="inlineStr">
        <is>
          <t>Trip</t>
        </is>
      </c>
      <c r="C2621" t="inlineStr">
        <is>
          <t>PERCENTAGE</t>
        </is>
      </c>
      <c r="D2621" t="inlineStr">
        <is>
          <t>IOS Owner</t>
        </is>
      </c>
      <c r="E2621" s="16" t="n">
        <v>25279.74</v>
      </c>
      <c r="F2621" s="16" t="n">
        <v>12639.87</v>
      </c>
      <c r="G2621" s="17" t="n">
        <v>50</v>
      </c>
      <c r="H2621" s="16" t="n">
        <v>12639.87</v>
      </c>
      <c r="I2621" s="16" t="n">
        <v>0</v>
      </c>
    </row>
    <row r="2622">
      <c r="A2622" t="inlineStr">
        <is>
          <t>MTR-IOS-2621</t>
        </is>
      </c>
      <c r="B2622" t="inlineStr">
        <is>
          <t>Trip</t>
        </is>
      </c>
      <c r="C2622" t="inlineStr">
        <is>
          <t>PERCENTAGE</t>
        </is>
      </c>
      <c r="D2622" t="inlineStr">
        <is>
          <t>IOS Aarav</t>
        </is>
      </c>
      <c r="E2622" s="16" t="n">
        <v>0</v>
      </c>
      <c r="F2622" s="16" t="n">
        <v>7583.92</v>
      </c>
      <c r="G2622" s="17" t="n">
        <v>30</v>
      </c>
      <c r="H2622" s="16" t="n">
        <v>-7583.92</v>
      </c>
      <c r="I2622" s="16" t="n">
        <v>0</v>
      </c>
    </row>
    <row r="2623">
      <c r="A2623" t="inlineStr">
        <is>
          <t>MTR-IOS-2621</t>
        </is>
      </c>
      <c r="B2623" t="inlineStr">
        <is>
          <t>Trip</t>
        </is>
      </c>
      <c r="C2623" t="inlineStr">
        <is>
          <t>PERCENTAGE</t>
        </is>
      </c>
      <c r="D2623" t="inlineStr">
        <is>
          <t>IOS Meera</t>
        </is>
      </c>
      <c r="E2623" s="16" t="n">
        <v>0</v>
      </c>
      <c r="F2623" s="16" t="n">
        <v>5055.95</v>
      </c>
      <c r="G2623" s="17" t="n">
        <v>20</v>
      </c>
      <c r="H2623" s="16" t="n">
        <v>-5055.95</v>
      </c>
      <c r="I2623" s="16" t="n">
        <v>0</v>
      </c>
    </row>
    <row r="2624">
      <c r="A2624" t="inlineStr">
        <is>
          <t>MTR-IOS-2624</t>
        </is>
      </c>
      <c r="B2624" t="inlineStr">
        <is>
          <t>Trip</t>
        </is>
      </c>
      <c r="C2624" t="inlineStr">
        <is>
          <t>EXACT</t>
        </is>
      </c>
      <c r="D2624" t="inlineStr">
        <is>
          <t>IOS Owner</t>
        </is>
      </c>
      <c r="E2624" s="16" t="n">
        <v>0</v>
      </c>
      <c r="F2624" s="16" t="n">
        <v>3862.52</v>
      </c>
      <c r="G2624" s="17" t="n"/>
      <c r="H2624" s="16" t="n">
        <v>-3862.52</v>
      </c>
      <c r="I2624" s="16" t="n">
        <v>0</v>
      </c>
    </row>
    <row r="2625">
      <c r="A2625" t="inlineStr">
        <is>
          <t>MTR-IOS-2624</t>
        </is>
      </c>
      <c r="B2625" t="inlineStr">
        <is>
          <t>Trip</t>
        </is>
      </c>
      <c r="C2625" t="inlineStr">
        <is>
          <t>EXACT</t>
        </is>
      </c>
      <c r="D2625" t="inlineStr">
        <is>
          <t>IOS Aarav</t>
        </is>
      </c>
      <c r="E2625" s="16" t="n">
        <v>11599.16</v>
      </c>
      <c r="F2625" s="16" t="n">
        <v>3862.52</v>
      </c>
      <c r="G2625" s="17" t="n"/>
      <c r="H2625" s="16" t="n">
        <v>7736.64</v>
      </c>
      <c r="I2625" s="16" t="n">
        <v>0</v>
      </c>
    </row>
    <row r="2626">
      <c r="A2626" t="inlineStr">
        <is>
          <t>MTR-IOS-2624</t>
        </is>
      </c>
      <c r="B2626" t="inlineStr">
        <is>
          <t>Trip</t>
        </is>
      </c>
      <c r="C2626" t="inlineStr">
        <is>
          <t>EXACT</t>
        </is>
      </c>
      <c r="D2626" t="inlineStr">
        <is>
          <t>IOS Meera</t>
        </is>
      </c>
      <c r="E2626" s="16" t="n">
        <v>0</v>
      </c>
      <c r="F2626" s="16" t="n">
        <v>3874.12</v>
      </c>
      <c r="G2626" s="17" t="n"/>
      <c r="H2626" s="16" t="n">
        <v>-3874.12</v>
      </c>
      <c r="I2626" s="16" t="n">
        <v>0</v>
      </c>
    </row>
    <row r="2627">
      <c r="A2627" t="inlineStr">
        <is>
          <t>MTR-IOS-2627</t>
        </is>
      </c>
      <c r="B2627" t="inlineStr">
        <is>
          <t>Trip</t>
        </is>
      </c>
      <c r="C2627" t="inlineStr">
        <is>
          <t>SHARES</t>
        </is>
      </c>
      <c r="D2627" t="inlineStr">
        <is>
          <t>IOS Owner</t>
        </is>
      </c>
      <c r="E2627" s="16" t="n">
        <v>0</v>
      </c>
      <c r="F2627" s="16" t="n">
        <v>5000</v>
      </c>
      <c r="G2627" s="17" t="n"/>
      <c r="H2627" s="16" t="n">
        <v>-5000</v>
      </c>
      <c r="I2627" s="16" t="n">
        <v>0</v>
      </c>
    </row>
    <row r="2628">
      <c r="A2628" t="inlineStr">
        <is>
          <t>MTR-IOS-2627</t>
        </is>
      </c>
      <c r="B2628" t="inlineStr">
        <is>
          <t>Trip</t>
        </is>
      </c>
      <c r="C2628" t="inlineStr">
        <is>
          <t>SHARES</t>
        </is>
      </c>
      <c r="D2628" t="inlineStr">
        <is>
          <t>IOS Aarav</t>
        </is>
      </c>
      <c r="E2628" s="16" t="n">
        <v>0</v>
      </c>
      <c r="F2628" s="16" t="n">
        <v>3333.33</v>
      </c>
      <c r="G2628" s="17" t="n"/>
      <c r="H2628" s="16" t="n">
        <v>-3333.33</v>
      </c>
      <c r="I2628" s="16" t="n">
        <v>0</v>
      </c>
    </row>
    <row r="2629">
      <c r="A2629" t="inlineStr">
        <is>
          <t>MTR-IOS-2627</t>
        </is>
      </c>
      <c r="B2629" t="inlineStr">
        <is>
          <t>Trip</t>
        </is>
      </c>
      <c r="C2629" t="inlineStr">
        <is>
          <t>SHARES</t>
        </is>
      </c>
      <c r="D2629" t="inlineStr">
        <is>
          <t>IOS Meera</t>
        </is>
      </c>
      <c r="E2629" s="16" t="n">
        <v>10000</v>
      </c>
      <c r="F2629" s="16" t="n">
        <v>1666.67</v>
      </c>
      <c r="G2629" s="17" t="n"/>
      <c r="H2629" s="16" t="n">
        <v>8333.33</v>
      </c>
      <c r="I2629" s="16" t="n">
        <v>0</v>
      </c>
    </row>
    <row r="2630">
      <c r="A2630" t="inlineStr">
        <is>
          <t>MTR-IOS-2630</t>
        </is>
      </c>
      <c r="B2630" t="inlineStr">
        <is>
          <t>Trip</t>
        </is>
      </c>
      <c r="C2630" t="inlineStr">
        <is>
          <t>EQUAL</t>
        </is>
      </c>
      <c r="D2630" t="inlineStr">
        <is>
          <t>IOS Owner</t>
        </is>
      </c>
      <c r="E2630" s="16" t="n">
        <v>18372.68</v>
      </c>
      <c r="F2630" s="16" t="n">
        <v>6124.23</v>
      </c>
      <c r="G2630" s="17" t="n"/>
      <c r="H2630" s="16" t="n">
        <v>12248.45</v>
      </c>
      <c r="I2630" s="16" t="n">
        <v>0</v>
      </c>
    </row>
    <row r="2631">
      <c r="A2631" t="inlineStr">
        <is>
          <t>MTR-IOS-2630</t>
        </is>
      </c>
      <c r="B2631" t="inlineStr">
        <is>
          <t>Trip</t>
        </is>
      </c>
      <c r="C2631" t="inlineStr">
        <is>
          <t>EQUAL</t>
        </is>
      </c>
      <c r="D2631" t="inlineStr">
        <is>
          <t>IOS Aarav</t>
        </is>
      </c>
      <c r="E2631" s="16" t="n">
        <v>0</v>
      </c>
      <c r="F2631" s="16" t="n">
        <v>6124.23</v>
      </c>
      <c r="G2631" s="17" t="n"/>
      <c r="H2631" s="16" t="n">
        <v>-6124.23</v>
      </c>
      <c r="I2631" s="16" t="n">
        <v>0</v>
      </c>
    </row>
    <row r="2632">
      <c r="A2632" t="inlineStr">
        <is>
          <t>MTR-IOS-2630</t>
        </is>
      </c>
      <c r="B2632" t="inlineStr">
        <is>
          <t>Trip</t>
        </is>
      </c>
      <c r="C2632" t="inlineStr">
        <is>
          <t>EQUAL</t>
        </is>
      </c>
      <c r="D2632" t="inlineStr">
        <is>
          <t>IOS Meera</t>
        </is>
      </c>
      <c r="E2632" s="16" t="n">
        <v>0</v>
      </c>
      <c r="F2632" s="16" t="n">
        <v>6124.22</v>
      </c>
      <c r="G2632" s="17" t="n"/>
      <c r="H2632" s="16" t="n">
        <v>-6124.22</v>
      </c>
      <c r="I2632" s="16" t="n">
        <v>0</v>
      </c>
    </row>
    <row r="2633">
      <c r="A2633" t="inlineStr">
        <is>
          <t>MTR-IOS-2633</t>
        </is>
      </c>
      <c r="B2633" t="inlineStr">
        <is>
          <t>Wedding</t>
        </is>
      </c>
      <c r="C2633" t="inlineStr">
        <is>
          <t>PERCENTAGE</t>
        </is>
      </c>
      <c r="D2633" t="inlineStr">
        <is>
          <t>IOS Owner</t>
        </is>
      </c>
      <c r="E2633" s="16" t="n">
        <v>0</v>
      </c>
      <c r="F2633" s="16" t="n">
        <v>11770.59</v>
      </c>
      <c r="G2633" s="17" t="n">
        <v>50</v>
      </c>
      <c r="H2633" s="16" t="n">
        <v>-11770.59</v>
      </c>
      <c r="I2633" s="16" t="n">
        <v>0</v>
      </c>
    </row>
    <row r="2634">
      <c r="A2634" t="inlineStr">
        <is>
          <t>MTR-IOS-2633</t>
        </is>
      </c>
      <c r="B2634" t="inlineStr">
        <is>
          <t>Wedding</t>
        </is>
      </c>
      <c r="C2634" t="inlineStr">
        <is>
          <t>PERCENTAGE</t>
        </is>
      </c>
      <c r="D2634" t="inlineStr">
        <is>
          <t>IOS Aarav</t>
        </is>
      </c>
      <c r="E2634" s="16" t="n">
        <v>23541.18</v>
      </c>
      <c r="F2634" s="16" t="n">
        <v>7062.35</v>
      </c>
      <c r="G2634" s="17" t="n">
        <v>30</v>
      </c>
      <c r="H2634" s="16" t="n">
        <v>16478.83</v>
      </c>
      <c r="I2634" s="16" t="n">
        <v>0</v>
      </c>
    </row>
    <row r="2635">
      <c r="A2635" t="inlineStr">
        <is>
          <t>MTR-IOS-2633</t>
        </is>
      </c>
      <c r="B2635" t="inlineStr">
        <is>
          <t>Wedding</t>
        </is>
      </c>
      <c r="C2635" t="inlineStr">
        <is>
          <t>PERCENTAGE</t>
        </is>
      </c>
      <c r="D2635" t="inlineStr">
        <is>
          <t>IOS Meera</t>
        </is>
      </c>
      <c r="E2635" s="16" t="n">
        <v>0</v>
      </c>
      <c r="F2635" s="16" t="n">
        <v>4708.24</v>
      </c>
      <c r="G2635" s="17" t="n">
        <v>20</v>
      </c>
      <c r="H2635" s="16" t="n">
        <v>-4708.24</v>
      </c>
      <c r="I2635" s="16" t="n">
        <v>0</v>
      </c>
    </row>
    <row r="2636">
      <c r="A2636" t="inlineStr">
        <is>
          <t>MTR-IOS-2636</t>
        </is>
      </c>
      <c r="B2636" t="inlineStr">
        <is>
          <t>Wedding</t>
        </is>
      </c>
      <c r="C2636" t="inlineStr">
        <is>
          <t>EXACT</t>
        </is>
      </c>
      <c r="D2636" t="inlineStr">
        <is>
          <t>IOS Owner</t>
        </is>
      </c>
      <c r="E2636" s="16" t="n">
        <v>0</v>
      </c>
      <c r="F2636" s="16" t="n">
        <v>1821.98</v>
      </c>
      <c r="G2636" s="17" t="n"/>
      <c r="H2636" s="16" t="n">
        <v>-1821.98</v>
      </c>
      <c r="I2636" s="16" t="n">
        <v>0</v>
      </c>
    </row>
    <row r="2637">
      <c r="A2637" t="inlineStr">
        <is>
          <t>MTR-IOS-2636</t>
        </is>
      </c>
      <c r="B2637" t="inlineStr">
        <is>
          <t>Wedding</t>
        </is>
      </c>
      <c r="C2637" t="inlineStr">
        <is>
          <t>EXACT</t>
        </is>
      </c>
      <c r="D2637" t="inlineStr">
        <is>
          <t>IOS Aarav</t>
        </is>
      </c>
      <c r="E2637" s="16" t="n">
        <v>0</v>
      </c>
      <c r="F2637" s="16" t="n">
        <v>1821.98</v>
      </c>
      <c r="G2637" s="17" t="n"/>
      <c r="H2637" s="16" t="n">
        <v>-1821.98</v>
      </c>
      <c r="I2637" s="16" t="n">
        <v>0</v>
      </c>
    </row>
    <row r="2638">
      <c r="A2638" t="inlineStr">
        <is>
          <t>MTR-IOS-2636</t>
        </is>
      </c>
      <c r="B2638" t="inlineStr">
        <is>
          <t>Wedding</t>
        </is>
      </c>
      <c r="C2638" t="inlineStr">
        <is>
          <t>EXACT</t>
        </is>
      </c>
      <c r="D2638" t="inlineStr">
        <is>
          <t>IOS Meera</t>
        </is>
      </c>
      <c r="E2638" s="16" t="n">
        <v>5471.42</v>
      </c>
      <c r="F2638" s="16" t="n">
        <v>1827.46</v>
      </c>
      <c r="G2638" s="17" t="n"/>
      <c r="H2638" s="16" t="n">
        <v>3643.96</v>
      </c>
      <c r="I2638" s="16" t="n">
        <v>0</v>
      </c>
    </row>
    <row r="2639">
      <c r="A2639" t="inlineStr">
        <is>
          <t>MTR-IOS-2639</t>
        </is>
      </c>
      <c r="B2639" t="inlineStr">
        <is>
          <t>Wedding</t>
        </is>
      </c>
      <c r="C2639" t="inlineStr">
        <is>
          <t>SHARES</t>
        </is>
      </c>
      <c r="D2639" t="inlineStr">
        <is>
          <t>IOS Owner</t>
        </is>
      </c>
      <c r="E2639" s="16" t="n">
        <v>20803.67</v>
      </c>
      <c r="F2639" s="16" t="n">
        <v>10401.84</v>
      </c>
      <c r="G2639" s="17" t="n"/>
      <c r="H2639" s="16" t="n">
        <v>10401.83</v>
      </c>
      <c r="I2639" s="16" t="n">
        <v>0</v>
      </c>
    </row>
    <row r="2640">
      <c r="A2640" t="inlineStr">
        <is>
          <t>MTR-IOS-2639</t>
        </is>
      </c>
      <c r="B2640" t="inlineStr">
        <is>
          <t>Wedding</t>
        </is>
      </c>
      <c r="C2640" t="inlineStr">
        <is>
          <t>SHARES</t>
        </is>
      </c>
      <c r="D2640" t="inlineStr">
        <is>
          <t>IOS Aarav</t>
        </is>
      </c>
      <c r="E2640" s="16" t="n">
        <v>0</v>
      </c>
      <c r="F2640" s="16" t="n">
        <v>6934.56</v>
      </c>
      <c r="G2640" s="17" t="n"/>
      <c r="H2640" s="16" t="n">
        <v>-6934.56</v>
      </c>
      <c r="I2640" s="16" t="n">
        <v>0</v>
      </c>
    </row>
    <row r="2641">
      <c r="A2641" t="inlineStr">
        <is>
          <t>MTR-IOS-2639</t>
        </is>
      </c>
      <c r="B2641" t="inlineStr">
        <is>
          <t>Wedding</t>
        </is>
      </c>
      <c r="C2641" t="inlineStr">
        <is>
          <t>SHARES</t>
        </is>
      </c>
      <c r="D2641" t="inlineStr">
        <is>
          <t>IOS Meera</t>
        </is>
      </c>
      <c r="E2641" s="16" t="n">
        <v>0</v>
      </c>
      <c r="F2641" s="16" t="n">
        <v>3467.27</v>
      </c>
      <c r="G2641" s="17" t="n"/>
      <c r="H2641" s="16" t="n">
        <v>-3467.27</v>
      </c>
      <c r="I2641" s="16" t="n">
        <v>0</v>
      </c>
    </row>
    <row r="2642">
      <c r="A2642" t="inlineStr">
        <is>
          <t>MTR-IOS-2642</t>
        </is>
      </c>
      <c r="B2642" t="inlineStr">
        <is>
          <t>Wedding</t>
        </is>
      </c>
      <c r="C2642" t="inlineStr">
        <is>
          <t>EQUAL</t>
        </is>
      </c>
      <c r="D2642" t="inlineStr">
        <is>
          <t>IOS Owner</t>
        </is>
      </c>
      <c r="E2642" s="16" t="n">
        <v>0</v>
      </c>
      <c r="F2642" s="16" t="n">
        <v>4481.25</v>
      </c>
      <c r="G2642" s="17" t="n"/>
      <c r="H2642" s="16" t="n">
        <v>-4481.25</v>
      </c>
      <c r="I2642" s="16" t="n">
        <v>0</v>
      </c>
    </row>
    <row r="2643">
      <c r="A2643" t="inlineStr">
        <is>
          <t>MTR-IOS-2642</t>
        </is>
      </c>
      <c r="B2643" t="inlineStr">
        <is>
          <t>Wedding</t>
        </is>
      </c>
      <c r="C2643" t="inlineStr">
        <is>
          <t>EQUAL</t>
        </is>
      </c>
      <c r="D2643" t="inlineStr">
        <is>
          <t>IOS Aarav</t>
        </is>
      </c>
      <c r="E2643" s="16" t="n">
        <v>13443.76</v>
      </c>
      <c r="F2643" s="16" t="n">
        <v>4481.25</v>
      </c>
      <c r="G2643" s="17" t="n"/>
      <c r="H2643" s="16" t="n">
        <v>8962.51</v>
      </c>
      <c r="I2643" s="16" t="n">
        <v>0</v>
      </c>
    </row>
    <row r="2644">
      <c r="A2644" t="inlineStr">
        <is>
          <t>MTR-IOS-2642</t>
        </is>
      </c>
      <c r="B2644" t="inlineStr">
        <is>
          <t>Wedding</t>
        </is>
      </c>
      <c r="C2644" t="inlineStr">
        <is>
          <t>EQUAL</t>
        </is>
      </c>
      <c r="D2644" t="inlineStr">
        <is>
          <t>IOS Meera</t>
        </is>
      </c>
      <c r="E2644" s="16" t="n">
        <v>0</v>
      </c>
      <c r="F2644" s="16" t="n">
        <v>4481.26</v>
      </c>
      <c r="G2644" s="17" t="n"/>
      <c r="H2644" s="16" t="n">
        <v>-4481.26</v>
      </c>
      <c r="I2644" s="16" t="n">
        <v>0</v>
      </c>
    </row>
    <row r="2645">
      <c r="A2645" t="inlineStr">
        <is>
          <t>MTR-IOS-2645</t>
        </is>
      </c>
      <c r="B2645" t="inlineStr">
        <is>
          <t>Wedding</t>
        </is>
      </c>
      <c r="C2645" t="inlineStr">
        <is>
          <t>PERCENTAGE</t>
        </is>
      </c>
      <c r="D2645" t="inlineStr">
        <is>
          <t>IOS Owner</t>
        </is>
      </c>
      <c r="E2645" s="16" t="n">
        <v>0</v>
      </c>
      <c r="F2645" s="16" t="n">
        <v>9061.65</v>
      </c>
      <c r="G2645" s="17" t="n">
        <v>50</v>
      </c>
      <c r="H2645" s="16" t="n">
        <v>-9061.65</v>
      </c>
      <c r="I2645" s="16" t="n">
        <v>0</v>
      </c>
    </row>
    <row r="2646">
      <c r="A2646" t="inlineStr">
        <is>
          <t>MTR-IOS-2645</t>
        </is>
      </c>
      <c r="B2646" t="inlineStr">
        <is>
          <t>Wedding</t>
        </is>
      </c>
      <c r="C2646" t="inlineStr">
        <is>
          <t>PERCENTAGE</t>
        </is>
      </c>
      <c r="D2646" t="inlineStr">
        <is>
          <t>IOS Aarav</t>
        </is>
      </c>
      <c r="E2646" s="16" t="n">
        <v>0</v>
      </c>
      <c r="F2646" s="16" t="n">
        <v>5436.99</v>
      </c>
      <c r="G2646" s="17" t="n">
        <v>30</v>
      </c>
      <c r="H2646" s="16" t="n">
        <v>-5436.99</v>
      </c>
      <c r="I2646" s="16" t="n">
        <v>0</v>
      </c>
    </row>
    <row r="2647">
      <c r="A2647" t="inlineStr">
        <is>
          <t>MTR-IOS-2645</t>
        </is>
      </c>
      <c r="B2647" t="inlineStr">
        <is>
          <t>Wedding</t>
        </is>
      </c>
      <c r="C2647" t="inlineStr">
        <is>
          <t>PERCENTAGE</t>
        </is>
      </c>
      <c r="D2647" t="inlineStr">
        <is>
          <t>IOS Meera</t>
        </is>
      </c>
      <c r="E2647" s="16" t="n">
        <v>18123.29</v>
      </c>
      <c r="F2647" s="16" t="n">
        <v>3624.65</v>
      </c>
      <c r="G2647" s="17" t="n">
        <v>20</v>
      </c>
      <c r="H2647" s="16" t="n">
        <v>14498.64</v>
      </c>
      <c r="I2647" s="16" t="n">
        <v>0</v>
      </c>
    </row>
    <row r="2648">
      <c r="A2648" t="inlineStr">
        <is>
          <t>MTR-IOS-2648</t>
        </is>
      </c>
      <c r="B2648" t="inlineStr">
        <is>
          <t>Wedding</t>
        </is>
      </c>
      <c r="C2648" t="inlineStr">
        <is>
          <t>EXACT</t>
        </is>
      </c>
      <c r="D2648" t="inlineStr">
        <is>
          <t>IOS Owner</t>
        </is>
      </c>
      <c r="E2648" s="16" t="n">
        <v>14925.25</v>
      </c>
      <c r="F2648" s="16" t="n">
        <v>4970.11</v>
      </c>
      <c r="G2648" s="17" t="n"/>
      <c r="H2648" s="16" t="n">
        <v>9955.139999999999</v>
      </c>
      <c r="I2648" s="16" t="n">
        <v>0</v>
      </c>
    </row>
    <row r="2649">
      <c r="A2649" t="inlineStr">
        <is>
          <t>MTR-IOS-2648</t>
        </is>
      </c>
      <c r="B2649" t="inlineStr">
        <is>
          <t>Wedding</t>
        </is>
      </c>
      <c r="C2649" t="inlineStr">
        <is>
          <t>EXACT</t>
        </is>
      </c>
      <c r="D2649" t="inlineStr">
        <is>
          <t>IOS Aarav</t>
        </is>
      </c>
      <c r="E2649" s="16" t="n">
        <v>0</v>
      </c>
      <c r="F2649" s="16" t="n">
        <v>4970.11</v>
      </c>
      <c r="G2649" s="17" t="n"/>
      <c r="H2649" s="16" t="n">
        <v>-4970.11</v>
      </c>
      <c r="I2649" s="16" t="n">
        <v>0</v>
      </c>
    </row>
    <row r="2650">
      <c r="A2650" t="inlineStr">
        <is>
          <t>MTR-IOS-2648</t>
        </is>
      </c>
      <c r="B2650" t="inlineStr">
        <is>
          <t>Wedding</t>
        </is>
      </c>
      <c r="C2650" t="inlineStr">
        <is>
          <t>EXACT</t>
        </is>
      </c>
      <c r="D2650" t="inlineStr">
        <is>
          <t>IOS Meera</t>
        </is>
      </c>
      <c r="E2650" s="16" t="n">
        <v>0</v>
      </c>
      <c r="F2650" s="16" t="n">
        <v>4985.03</v>
      </c>
      <c r="G2650" s="17" t="n"/>
      <c r="H2650" s="16" t="n">
        <v>-4985.03</v>
      </c>
      <c r="I2650" s="16" t="n">
        <v>0</v>
      </c>
    </row>
    <row r="2651">
      <c r="A2651" t="inlineStr">
        <is>
          <t>MTR-IOS-2651</t>
        </is>
      </c>
      <c r="B2651" t="inlineStr">
        <is>
          <t>Wedding</t>
        </is>
      </c>
      <c r="C2651" t="inlineStr">
        <is>
          <t>SHARES</t>
        </is>
      </c>
      <c r="D2651" t="inlineStr">
        <is>
          <t>IOS Owner</t>
        </is>
      </c>
      <c r="E2651" s="16" t="n">
        <v>0</v>
      </c>
      <c r="F2651" s="16" t="n">
        <v>4967.85</v>
      </c>
      <c r="G2651" s="17" t="n"/>
      <c r="H2651" s="16" t="n">
        <v>-4967.85</v>
      </c>
      <c r="I2651" s="16" t="n">
        <v>0</v>
      </c>
    </row>
    <row r="2652">
      <c r="A2652" t="inlineStr">
        <is>
          <t>MTR-IOS-2651</t>
        </is>
      </c>
      <c r="B2652" t="inlineStr">
        <is>
          <t>Wedding</t>
        </is>
      </c>
      <c r="C2652" t="inlineStr">
        <is>
          <t>SHARES</t>
        </is>
      </c>
      <c r="D2652" t="inlineStr">
        <is>
          <t>IOS Aarav</t>
        </is>
      </c>
      <c r="E2652" s="16" t="n">
        <v>9935.690000000001</v>
      </c>
      <c r="F2652" s="16" t="n">
        <v>3311.9</v>
      </c>
      <c r="G2652" s="17" t="n"/>
      <c r="H2652" s="16" t="n">
        <v>6623.79</v>
      </c>
      <c r="I2652" s="16" t="n">
        <v>0</v>
      </c>
    </row>
    <row r="2653">
      <c r="A2653" t="inlineStr">
        <is>
          <t>MTR-IOS-2651</t>
        </is>
      </c>
      <c r="B2653" t="inlineStr">
        <is>
          <t>Wedding</t>
        </is>
      </c>
      <c r="C2653" t="inlineStr">
        <is>
          <t>SHARES</t>
        </is>
      </c>
      <c r="D2653" t="inlineStr">
        <is>
          <t>IOS Meera</t>
        </is>
      </c>
      <c r="E2653" s="16" t="n">
        <v>0</v>
      </c>
      <c r="F2653" s="16" t="n">
        <v>1655.94</v>
      </c>
      <c r="G2653" s="17" t="n"/>
      <c r="H2653" s="16" t="n">
        <v>-1655.94</v>
      </c>
      <c r="I2653" s="16" t="n">
        <v>0</v>
      </c>
    </row>
    <row r="2654">
      <c r="A2654" t="inlineStr">
        <is>
          <t>MTR-IOS-2654</t>
        </is>
      </c>
      <c r="B2654" t="inlineStr">
        <is>
          <t>Office Outing</t>
        </is>
      </c>
      <c r="C2654" t="inlineStr">
        <is>
          <t>EQUAL</t>
        </is>
      </c>
      <c r="D2654" t="inlineStr">
        <is>
          <t>IOS Owner</t>
        </is>
      </c>
      <c r="E2654" s="16" t="n">
        <v>0</v>
      </c>
      <c r="F2654" s="16" t="n">
        <v>8852.059999999999</v>
      </c>
      <c r="G2654" s="17" t="n"/>
      <c r="H2654" s="16" t="n">
        <v>-8852.059999999999</v>
      </c>
      <c r="I2654" s="16" t="n">
        <v>0</v>
      </c>
    </row>
    <row r="2655">
      <c r="A2655" t="inlineStr">
        <is>
          <t>MTR-IOS-2654</t>
        </is>
      </c>
      <c r="B2655" t="inlineStr">
        <is>
          <t>Office Outing</t>
        </is>
      </c>
      <c r="C2655" t="inlineStr">
        <is>
          <t>EQUAL</t>
        </is>
      </c>
      <c r="D2655" t="inlineStr">
        <is>
          <t>IOS Aarav</t>
        </is>
      </c>
      <c r="E2655" s="16" t="n">
        <v>0</v>
      </c>
      <c r="F2655" s="16" t="n">
        <v>8852.059999999999</v>
      </c>
      <c r="G2655" s="17" t="n"/>
      <c r="H2655" s="16" t="n">
        <v>-8852.059999999999</v>
      </c>
      <c r="I2655" s="16" t="n">
        <v>0</v>
      </c>
    </row>
    <row r="2656">
      <c r="A2656" t="inlineStr">
        <is>
          <t>MTR-IOS-2654</t>
        </is>
      </c>
      <c r="B2656" t="inlineStr">
        <is>
          <t>Office Outing</t>
        </is>
      </c>
      <c r="C2656" t="inlineStr">
        <is>
          <t>EQUAL</t>
        </is>
      </c>
      <c r="D2656" t="inlineStr">
        <is>
          <t>IOS Meera</t>
        </is>
      </c>
      <c r="E2656" s="16" t="n">
        <v>26556.17</v>
      </c>
      <c r="F2656" s="16" t="n">
        <v>8852.049999999999</v>
      </c>
      <c r="G2656" s="17" t="n"/>
      <c r="H2656" s="16" t="n">
        <v>17704.12</v>
      </c>
      <c r="I2656" s="16" t="n">
        <v>0</v>
      </c>
    </row>
    <row r="2657">
      <c r="A2657" t="inlineStr">
        <is>
          <t>MTR-IOS-2657</t>
        </is>
      </c>
      <c r="B2657" t="inlineStr">
        <is>
          <t>Office Outing</t>
        </is>
      </c>
      <c r="C2657" t="inlineStr">
        <is>
          <t>PERCENTAGE</t>
        </is>
      </c>
      <c r="D2657" t="inlineStr">
        <is>
          <t>IOS Owner</t>
        </is>
      </c>
      <c r="E2657" s="16" t="n">
        <v>623.61</v>
      </c>
      <c r="F2657" s="16" t="n">
        <v>311.81</v>
      </c>
      <c r="G2657" s="17" t="n">
        <v>50</v>
      </c>
      <c r="H2657" s="16" t="n">
        <v>311.8</v>
      </c>
      <c r="I2657" s="16" t="n">
        <v>0</v>
      </c>
    </row>
    <row r="2658">
      <c r="A2658" t="inlineStr">
        <is>
          <t>MTR-IOS-2657</t>
        </is>
      </c>
      <c r="B2658" t="inlineStr">
        <is>
          <t>Office Outing</t>
        </is>
      </c>
      <c r="C2658" t="inlineStr">
        <is>
          <t>PERCENTAGE</t>
        </is>
      </c>
      <c r="D2658" t="inlineStr">
        <is>
          <t>IOS Aarav</t>
        </is>
      </c>
      <c r="E2658" s="16" t="n">
        <v>0</v>
      </c>
      <c r="F2658" s="16" t="n">
        <v>187.08</v>
      </c>
      <c r="G2658" s="17" t="n">
        <v>30</v>
      </c>
      <c r="H2658" s="16" t="n">
        <v>-187.08</v>
      </c>
      <c r="I2658" s="16" t="n">
        <v>0</v>
      </c>
    </row>
    <row r="2659">
      <c r="A2659" t="inlineStr">
        <is>
          <t>MTR-IOS-2657</t>
        </is>
      </c>
      <c r="B2659" t="inlineStr">
        <is>
          <t>Office Outing</t>
        </is>
      </c>
      <c r="C2659" t="inlineStr">
        <is>
          <t>PERCENTAGE</t>
        </is>
      </c>
      <c r="D2659" t="inlineStr">
        <is>
          <t>IOS Meera</t>
        </is>
      </c>
      <c r="E2659" s="16" t="n">
        <v>0</v>
      </c>
      <c r="F2659" s="16" t="n">
        <v>124.72</v>
      </c>
      <c r="G2659" s="17" t="n">
        <v>20</v>
      </c>
      <c r="H2659" s="16" t="n">
        <v>-124.72</v>
      </c>
      <c r="I2659" s="16" t="n">
        <v>0</v>
      </c>
    </row>
    <row r="2660">
      <c r="A2660" t="inlineStr">
        <is>
          <t>MTR-IOS-2660</t>
        </is>
      </c>
      <c r="B2660" t="inlineStr">
        <is>
          <t>Office Outing</t>
        </is>
      </c>
      <c r="C2660" t="inlineStr">
        <is>
          <t>EXACT</t>
        </is>
      </c>
      <c r="D2660" t="inlineStr">
        <is>
          <t>IOS Owner</t>
        </is>
      </c>
      <c r="E2660" s="16" t="n">
        <v>0</v>
      </c>
      <c r="F2660" s="16" t="n">
        <v>4516.92</v>
      </c>
      <c r="G2660" s="17" t="n"/>
      <c r="H2660" s="16" t="n">
        <v>-4516.92</v>
      </c>
      <c r="I2660" s="16" t="n">
        <v>0</v>
      </c>
    </row>
    <row r="2661">
      <c r="A2661" t="inlineStr">
        <is>
          <t>MTR-IOS-2660</t>
        </is>
      </c>
      <c r="B2661" t="inlineStr">
        <is>
          <t>Office Outing</t>
        </is>
      </c>
      <c r="C2661" t="inlineStr">
        <is>
          <t>EXACT</t>
        </is>
      </c>
      <c r="D2661" t="inlineStr">
        <is>
          <t>IOS Aarav</t>
        </is>
      </c>
      <c r="E2661" s="16" t="n">
        <v>13564.32</v>
      </c>
      <c r="F2661" s="16" t="n">
        <v>4516.92</v>
      </c>
      <c r="G2661" s="17" t="n"/>
      <c r="H2661" s="16" t="n">
        <v>9047.4</v>
      </c>
      <c r="I2661" s="16" t="n">
        <v>0</v>
      </c>
    </row>
    <row r="2662">
      <c r="A2662" t="inlineStr">
        <is>
          <t>MTR-IOS-2660</t>
        </is>
      </c>
      <c r="B2662" t="inlineStr">
        <is>
          <t>Office Outing</t>
        </is>
      </c>
      <c r="C2662" t="inlineStr">
        <is>
          <t>EXACT</t>
        </is>
      </c>
      <c r="D2662" t="inlineStr">
        <is>
          <t>IOS Meera</t>
        </is>
      </c>
      <c r="E2662" s="16" t="n">
        <v>0</v>
      </c>
      <c r="F2662" s="16" t="n">
        <v>4530.48</v>
      </c>
      <c r="G2662" s="17" t="n"/>
      <c r="H2662" s="16" t="n">
        <v>-4530.48</v>
      </c>
      <c r="I2662" s="16" t="n">
        <v>0</v>
      </c>
    </row>
    <row r="2663">
      <c r="A2663" t="inlineStr">
        <is>
          <t>MTR-IOS-2663</t>
        </is>
      </c>
      <c r="B2663" t="inlineStr">
        <is>
          <t>Office Outing</t>
        </is>
      </c>
      <c r="C2663" t="inlineStr">
        <is>
          <t>SHARES</t>
        </is>
      </c>
      <c r="D2663" t="inlineStr">
        <is>
          <t>IOS Owner</t>
        </is>
      </c>
      <c r="E2663" s="16" t="n">
        <v>0</v>
      </c>
      <c r="F2663" s="16" t="n">
        <v>4879.38</v>
      </c>
      <c r="G2663" s="17" t="n"/>
      <c r="H2663" s="16" t="n">
        <v>-4879.38</v>
      </c>
      <c r="I2663" s="16" t="n">
        <v>0</v>
      </c>
    </row>
    <row r="2664">
      <c r="A2664" t="inlineStr">
        <is>
          <t>MTR-IOS-2663</t>
        </is>
      </c>
      <c r="B2664" t="inlineStr">
        <is>
          <t>Office Outing</t>
        </is>
      </c>
      <c r="C2664" t="inlineStr">
        <is>
          <t>SHARES</t>
        </is>
      </c>
      <c r="D2664" t="inlineStr">
        <is>
          <t>IOS Aarav</t>
        </is>
      </c>
      <c r="E2664" s="16" t="n">
        <v>0</v>
      </c>
      <c r="F2664" s="16" t="n">
        <v>3252.92</v>
      </c>
      <c r="G2664" s="17" t="n"/>
      <c r="H2664" s="16" t="n">
        <v>-3252.92</v>
      </c>
      <c r="I2664" s="16" t="n">
        <v>0</v>
      </c>
    </row>
    <row r="2665">
      <c r="A2665" t="inlineStr">
        <is>
          <t>MTR-IOS-2663</t>
        </is>
      </c>
      <c r="B2665" t="inlineStr">
        <is>
          <t>Office Outing</t>
        </is>
      </c>
      <c r="C2665" t="inlineStr">
        <is>
          <t>SHARES</t>
        </is>
      </c>
      <c r="D2665" t="inlineStr">
        <is>
          <t>IOS Meera</t>
        </is>
      </c>
      <c r="E2665" s="16" t="n">
        <v>9758.76</v>
      </c>
      <c r="F2665" s="16" t="n">
        <v>1626.46</v>
      </c>
      <c r="G2665" s="17" t="n"/>
      <c r="H2665" s="16" t="n">
        <v>8132.3</v>
      </c>
      <c r="I2665" s="16" t="n">
        <v>0</v>
      </c>
    </row>
    <row r="2666">
      <c r="A2666" t="inlineStr">
        <is>
          <t>MTR-IOS-2666</t>
        </is>
      </c>
      <c r="B2666" t="inlineStr">
        <is>
          <t>Office Outing</t>
        </is>
      </c>
      <c r="C2666" t="inlineStr">
        <is>
          <t>EQUAL</t>
        </is>
      </c>
      <c r="D2666" t="inlineStr">
        <is>
          <t>IOS Owner</t>
        </is>
      </c>
      <c r="E2666" s="16" t="n">
        <v>25894.31</v>
      </c>
      <c r="F2666" s="16" t="n">
        <v>8631.440000000001</v>
      </c>
      <c r="G2666" s="17" t="n"/>
      <c r="H2666" s="16" t="n">
        <v>17262.87</v>
      </c>
      <c r="I2666" s="16" t="n">
        <v>0</v>
      </c>
    </row>
    <row r="2667">
      <c r="A2667" t="inlineStr">
        <is>
          <t>MTR-IOS-2666</t>
        </is>
      </c>
      <c r="B2667" t="inlineStr">
        <is>
          <t>Office Outing</t>
        </is>
      </c>
      <c r="C2667" t="inlineStr">
        <is>
          <t>EQUAL</t>
        </is>
      </c>
      <c r="D2667" t="inlineStr">
        <is>
          <t>IOS Aarav</t>
        </is>
      </c>
      <c r="E2667" s="16" t="n">
        <v>0</v>
      </c>
      <c r="F2667" s="16" t="n">
        <v>8631.440000000001</v>
      </c>
      <c r="G2667" s="17" t="n"/>
      <c r="H2667" s="16" t="n">
        <v>-8631.440000000001</v>
      </c>
      <c r="I2667" s="16" t="n">
        <v>0</v>
      </c>
    </row>
    <row r="2668">
      <c r="A2668" t="inlineStr">
        <is>
          <t>MTR-IOS-2666</t>
        </is>
      </c>
      <c r="B2668" t="inlineStr">
        <is>
          <t>Office Outing</t>
        </is>
      </c>
      <c r="C2668" t="inlineStr">
        <is>
          <t>EQUAL</t>
        </is>
      </c>
      <c r="D2668" t="inlineStr">
        <is>
          <t>IOS Meera</t>
        </is>
      </c>
      <c r="E2668" s="16" t="n">
        <v>0</v>
      </c>
      <c r="F2668" s="16" t="n">
        <v>8631.43</v>
      </c>
      <c r="G2668" s="17" t="n"/>
      <c r="H2668" s="16" t="n">
        <v>-8631.43</v>
      </c>
      <c r="I2668" s="16" t="n">
        <v>0</v>
      </c>
    </row>
    <row r="2669">
      <c r="A2669" t="inlineStr">
        <is>
          <t>MTR-IOS-2669</t>
        </is>
      </c>
      <c r="B2669" t="inlineStr">
        <is>
          <t>House Party</t>
        </is>
      </c>
      <c r="C2669" t="inlineStr">
        <is>
          <t>PERCENTAGE</t>
        </is>
      </c>
      <c r="D2669" t="inlineStr">
        <is>
          <t>IOS Owner</t>
        </is>
      </c>
      <c r="E2669" s="16" t="n">
        <v>0</v>
      </c>
      <c r="F2669" s="16" t="n">
        <v>900.67</v>
      </c>
      <c r="G2669" s="17" t="n">
        <v>50</v>
      </c>
      <c r="H2669" s="16" t="n">
        <v>-900.67</v>
      </c>
      <c r="I2669" s="16" t="n">
        <v>0</v>
      </c>
    </row>
    <row r="2670">
      <c r="A2670" t="inlineStr">
        <is>
          <t>MTR-IOS-2669</t>
        </is>
      </c>
      <c r="B2670" t="inlineStr">
        <is>
          <t>House Party</t>
        </is>
      </c>
      <c r="C2670" t="inlineStr">
        <is>
          <t>PERCENTAGE</t>
        </is>
      </c>
      <c r="D2670" t="inlineStr">
        <is>
          <t>IOS Aarav</t>
        </is>
      </c>
      <c r="E2670" s="16" t="n">
        <v>1801.33</v>
      </c>
      <c r="F2670" s="16" t="n">
        <v>540.4</v>
      </c>
      <c r="G2670" s="17" t="n">
        <v>30</v>
      </c>
      <c r="H2670" s="16" t="n">
        <v>1260.93</v>
      </c>
      <c r="I2670" s="16" t="n">
        <v>0</v>
      </c>
    </row>
    <row r="2671">
      <c r="A2671" t="inlineStr">
        <is>
          <t>MTR-IOS-2669</t>
        </is>
      </c>
      <c r="B2671" t="inlineStr">
        <is>
          <t>House Party</t>
        </is>
      </c>
      <c r="C2671" t="inlineStr">
        <is>
          <t>PERCENTAGE</t>
        </is>
      </c>
      <c r="D2671" t="inlineStr">
        <is>
          <t>IOS Meera</t>
        </is>
      </c>
      <c r="E2671" s="16" t="n">
        <v>0</v>
      </c>
      <c r="F2671" s="16" t="n">
        <v>360.26</v>
      </c>
      <c r="G2671" s="17" t="n">
        <v>20</v>
      </c>
      <c r="H2671" s="16" t="n">
        <v>-360.26</v>
      </c>
      <c r="I2671" s="16" t="n">
        <v>0</v>
      </c>
    </row>
    <row r="2672">
      <c r="A2672" t="inlineStr">
        <is>
          <t>MTR-IOS-2672</t>
        </is>
      </c>
      <c r="B2672" t="inlineStr">
        <is>
          <t>House Party</t>
        </is>
      </c>
      <c r="C2672" t="inlineStr">
        <is>
          <t>EXACT</t>
        </is>
      </c>
      <c r="D2672" t="inlineStr">
        <is>
          <t>IOS Owner</t>
        </is>
      </c>
      <c r="E2672" s="16" t="n">
        <v>0</v>
      </c>
      <c r="F2672" s="16" t="n">
        <v>5721.99</v>
      </c>
      <c r="G2672" s="17" t="n"/>
      <c r="H2672" s="16" t="n">
        <v>-5721.99</v>
      </c>
      <c r="I2672" s="16" t="n">
        <v>0</v>
      </c>
    </row>
    <row r="2673">
      <c r="A2673" t="inlineStr">
        <is>
          <t>MTR-IOS-2672</t>
        </is>
      </c>
      <c r="B2673" t="inlineStr">
        <is>
          <t>House Party</t>
        </is>
      </c>
      <c r="C2673" t="inlineStr">
        <is>
          <t>EXACT</t>
        </is>
      </c>
      <c r="D2673" t="inlineStr">
        <is>
          <t>IOS Aarav</t>
        </is>
      </c>
      <c r="E2673" s="16" t="n">
        <v>0</v>
      </c>
      <c r="F2673" s="16" t="n">
        <v>5721.99</v>
      </c>
      <c r="G2673" s="17" t="n"/>
      <c r="H2673" s="16" t="n">
        <v>-5721.99</v>
      </c>
      <c r="I2673" s="16" t="n">
        <v>0</v>
      </c>
    </row>
    <row r="2674">
      <c r="A2674" t="inlineStr">
        <is>
          <t>MTR-IOS-2672</t>
        </is>
      </c>
      <c r="B2674" t="inlineStr">
        <is>
          <t>House Party</t>
        </is>
      </c>
      <c r="C2674" t="inlineStr">
        <is>
          <t>EXACT</t>
        </is>
      </c>
      <c r="D2674" t="inlineStr">
        <is>
          <t>IOS Meera</t>
        </is>
      </c>
      <c r="E2674" s="16" t="n">
        <v>17183.14</v>
      </c>
      <c r="F2674" s="16" t="n">
        <v>5739.16</v>
      </c>
      <c r="G2674" s="17" t="n"/>
      <c r="H2674" s="16" t="n">
        <v>11443.98</v>
      </c>
      <c r="I2674" s="16" t="n">
        <v>0</v>
      </c>
    </row>
    <row r="2675">
      <c r="A2675" t="inlineStr">
        <is>
          <t>MTR-IOS-2675</t>
        </is>
      </c>
      <c r="B2675" t="inlineStr">
        <is>
          <t>House Party</t>
        </is>
      </c>
      <c r="C2675" t="inlineStr">
        <is>
          <t>SHARES</t>
        </is>
      </c>
      <c r="D2675" t="inlineStr">
        <is>
          <t>IOS Owner</t>
        </is>
      </c>
      <c r="E2675" s="16" t="n">
        <v>5355.77</v>
      </c>
      <c r="F2675" s="16" t="n">
        <v>2677.89</v>
      </c>
      <c r="G2675" s="17" t="n"/>
      <c r="H2675" s="16" t="n">
        <v>2677.88</v>
      </c>
      <c r="I2675" s="16" t="n">
        <v>0</v>
      </c>
    </row>
    <row r="2676">
      <c r="A2676" t="inlineStr">
        <is>
          <t>MTR-IOS-2675</t>
        </is>
      </c>
      <c r="B2676" t="inlineStr">
        <is>
          <t>House Party</t>
        </is>
      </c>
      <c r="C2676" t="inlineStr">
        <is>
          <t>SHARES</t>
        </is>
      </c>
      <c r="D2676" t="inlineStr">
        <is>
          <t>IOS Aarav</t>
        </is>
      </c>
      <c r="E2676" s="16" t="n">
        <v>0</v>
      </c>
      <c r="F2676" s="16" t="n">
        <v>1785.26</v>
      </c>
      <c r="G2676" s="17" t="n"/>
      <c r="H2676" s="16" t="n">
        <v>-1785.26</v>
      </c>
      <c r="I2676" s="16" t="n">
        <v>0</v>
      </c>
    </row>
    <row r="2677">
      <c r="A2677" t="inlineStr">
        <is>
          <t>MTR-IOS-2675</t>
        </is>
      </c>
      <c r="B2677" t="inlineStr">
        <is>
          <t>House Party</t>
        </is>
      </c>
      <c r="C2677" t="inlineStr">
        <is>
          <t>SHARES</t>
        </is>
      </c>
      <c r="D2677" t="inlineStr">
        <is>
          <t>IOS Meera</t>
        </is>
      </c>
      <c r="E2677" s="16" t="n">
        <v>0</v>
      </c>
      <c r="F2677" s="16" t="n">
        <v>892.62</v>
      </c>
      <c r="G2677" s="17" t="n"/>
      <c r="H2677" s="16" t="n">
        <v>-892.62</v>
      </c>
      <c r="I2677" s="16" t="n">
        <v>0</v>
      </c>
    </row>
    <row r="2678">
      <c r="A2678" t="inlineStr">
        <is>
          <t>MTR-IOS-2678</t>
        </is>
      </c>
      <c r="B2678" t="inlineStr">
        <is>
          <t>House Party</t>
        </is>
      </c>
      <c r="C2678" t="inlineStr">
        <is>
          <t>EQUAL</t>
        </is>
      </c>
      <c r="D2678" t="inlineStr">
        <is>
          <t>IOS Owner</t>
        </is>
      </c>
      <c r="E2678" s="16" t="n">
        <v>0</v>
      </c>
      <c r="F2678" s="16" t="n">
        <v>550.79</v>
      </c>
      <c r="G2678" s="17" t="n"/>
      <c r="H2678" s="16" t="n">
        <v>-550.79</v>
      </c>
      <c r="I2678" s="16" t="n">
        <v>0</v>
      </c>
    </row>
    <row r="2679">
      <c r="A2679" t="inlineStr">
        <is>
          <t>MTR-IOS-2678</t>
        </is>
      </c>
      <c r="B2679" t="inlineStr">
        <is>
          <t>House Party</t>
        </is>
      </c>
      <c r="C2679" t="inlineStr">
        <is>
          <t>EQUAL</t>
        </is>
      </c>
      <c r="D2679" t="inlineStr">
        <is>
          <t>IOS Aarav</t>
        </is>
      </c>
      <c r="E2679" s="16" t="n">
        <v>1652.37</v>
      </c>
      <c r="F2679" s="16" t="n">
        <v>550.79</v>
      </c>
      <c r="G2679" s="17" t="n"/>
      <c r="H2679" s="16" t="n">
        <v>1101.58</v>
      </c>
      <c r="I2679" s="16" t="n">
        <v>0</v>
      </c>
    </row>
    <row r="2680">
      <c r="A2680" t="inlineStr">
        <is>
          <t>MTR-IOS-2678</t>
        </is>
      </c>
      <c r="B2680" t="inlineStr">
        <is>
          <t>House Party</t>
        </is>
      </c>
      <c r="C2680" t="inlineStr">
        <is>
          <t>EQUAL</t>
        </is>
      </c>
      <c r="D2680" t="inlineStr">
        <is>
          <t>IOS Meera</t>
        </is>
      </c>
      <c r="E2680" s="16" t="n">
        <v>0</v>
      </c>
      <c r="F2680" s="16" t="n">
        <v>550.79</v>
      </c>
      <c r="G2680" s="17" t="n"/>
      <c r="H2680" s="16" t="n">
        <v>-550.79</v>
      </c>
      <c r="I2680" s="16" t="n">
        <v>0</v>
      </c>
    </row>
    <row r="2681">
      <c r="A2681" t="inlineStr">
        <is>
          <t>MTR-IOS-2681</t>
        </is>
      </c>
      <c r="B2681" t="inlineStr">
        <is>
          <t>House Party</t>
        </is>
      </c>
      <c r="C2681" t="inlineStr">
        <is>
          <t>PERCENTAGE</t>
        </is>
      </c>
      <c r="D2681" t="inlineStr">
        <is>
          <t>IOS Owner</t>
        </is>
      </c>
      <c r="E2681" s="16" t="n">
        <v>0</v>
      </c>
      <c r="F2681" s="16" t="n">
        <v>13371.5</v>
      </c>
      <c r="G2681" s="17" t="n">
        <v>50</v>
      </c>
      <c r="H2681" s="16" t="n">
        <v>-13371.5</v>
      </c>
      <c r="I2681" s="16" t="n">
        <v>0</v>
      </c>
    </row>
    <row r="2682">
      <c r="A2682" t="inlineStr">
        <is>
          <t>MTR-IOS-2681</t>
        </is>
      </c>
      <c r="B2682" t="inlineStr">
        <is>
          <t>House Party</t>
        </is>
      </c>
      <c r="C2682" t="inlineStr">
        <is>
          <t>PERCENTAGE</t>
        </is>
      </c>
      <c r="D2682" t="inlineStr">
        <is>
          <t>IOS Aarav</t>
        </is>
      </c>
      <c r="E2682" s="16" t="n">
        <v>0</v>
      </c>
      <c r="F2682" s="16" t="n">
        <v>8022.9</v>
      </c>
      <c r="G2682" s="17" t="n">
        <v>30</v>
      </c>
      <c r="H2682" s="16" t="n">
        <v>-8022.9</v>
      </c>
      <c r="I2682" s="16" t="n">
        <v>0</v>
      </c>
    </row>
    <row r="2683">
      <c r="A2683" t="inlineStr">
        <is>
          <t>MTR-IOS-2681</t>
        </is>
      </c>
      <c r="B2683" t="inlineStr">
        <is>
          <t>House Party</t>
        </is>
      </c>
      <c r="C2683" t="inlineStr">
        <is>
          <t>PERCENTAGE</t>
        </is>
      </c>
      <c r="D2683" t="inlineStr">
        <is>
          <t>IOS Meera</t>
        </is>
      </c>
      <c r="E2683" s="16" t="n">
        <v>26743</v>
      </c>
      <c r="F2683" s="16" t="n">
        <v>5348.6</v>
      </c>
      <c r="G2683" s="17" t="n">
        <v>20</v>
      </c>
      <c r="H2683" s="16" t="n">
        <v>21394.4</v>
      </c>
      <c r="I2683" s="16" t="n">
        <v>0</v>
      </c>
    </row>
    <row r="2684">
      <c r="A2684" t="inlineStr">
        <is>
          <t>MTR-IOS-2684</t>
        </is>
      </c>
      <c r="B2684" t="inlineStr">
        <is>
          <t>Gift Pool</t>
        </is>
      </c>
      <c r="C2684" t="inlineStr">
        <is>
          <t>EXACT</t>
        </is>
      </c>
      <c r="D2684" t="inlineStr">
        <is>
          <t>IOS Owner</t>
        </is>
      </c>
      <c r="E2684" s="16" t="n">
        <v>8610.059999999999</v>
      </c>
      <c r="F2684" s="16" t="n">
        <v>2867.15</v>
      </c>
      <c r="G2684" s="17" t="n"/>
      <c r="H2684" s="16" t="n">
        <v>5742.91</v>
      </c>
      <c r="I2684" s="16" t="n">
        <v>0</v>
      </c>
    </row>
    <row r="2685">
      <c r="A2685" t="inlineStr">
        <is>
          <t>MTR-IOS-2684</t>
        </is>
      </c>
      <c r="B2685" t="inlineStr">
        <is>
          <t>Gift Pool</t>
        </is>
      </c>
      <c r="C2685" t="inlineStr">
        <is>
          <t>EXACT</t>
        </is>
      </c>
      <c r="D2685" t="inlineStr">
        <is>
          <t>IOS Aarav</t>
        </is>
      </c>
      <c r="E2685" s="16" t="n">
        <v>0</v>
      </c>
      <c r="F2685" s="16" t="n">
        <v>2867.15</v>
      </c>
      <c r="G2685" s="17" t="n"/>
      <c r="H2685" s="16" t="n">
        <v>-2867.15</v>
      </c>
      <c r="I2685" s="16" t="n">
        <v>0</v>
      </c>
    </row>
    <row r="2686">
      <c r="A2686" t="inlineStr">
        <is>
          <t>MTR-IOS-2684</t>
        </is>
      </c>
      <c r="B2686" t="inlineStr">
        <is>
          <t>Gift Pool</t>
        </is>
      </c>
      <c r="C2686" t="inlineStr">
        <is>
          <t>EXACT</t>
        </is>
      </c>
      <c r="D2686" t="inlineStr">
        <is>
          <t>IOS Meera</t>
        </is>
      </c>
      <c r="E2686" s="16" t="n">
        <v>0</v>
      </c>
      <c r="F2686" s="16" t="n">
        <v>2875.76</v>
      </c>
      <c r="G2686" s="17" t="n"/>
      <c r="H2686" s="16" t="n">
        <v>-2875.76</v>
      </c>
      <c r="I2686" s="16" t="n">
        <v>0</v>
      </c>
    </row>
    <row r="2687">
      <c r="A2687" t="inlineStr">
        <is>
          <t>MTR-IOS-2687</t>
        </is>
      </c>
      <c r="B2687" t="inlineStr">
        <is>
          <t>Gift Pool</t>
        </is>
      </c>
      <c r="C2687" t="inlineStr">
        <is>
          <t>SHARES</t>
        </is>
      </c>
      <c r="D2687" t="inlineStr">
        <is>
          <t>IOS Owner</t>
        </is>
      </c>
      <c r="E2687" s="16" t="n">
        <v>0</v>
      </c>
      <c r="F2687" s="16" t="n">
        <v>935.13</v>
      </c>
      <c r="G2687" s="17" t="n"/>
      <c r="H2687" s="16" t="n">
        <v>-935.13</v>
      </c>
      <c r="I2687" s="16" t="n">
        <v>0</v>
      </c>
    </row>
    <row r="2688">
      <c r="A2688" t="inlineStr">
        <is>
          <t>MTR-IOS-2687</t>
        </is>
      </c>
      <c r="B2688" t="inlineStr">
        <is>
          <t>Gift Pool</t>
        </is>
      </c>
      <c r="C2688" t="inlineStr">
        <is>
          <t>SHARES</t>
        </is>
      </c>
      <c r="D2688" t="inlineStr">
        <is>
          <t>IOS Aarav</t>
        </is>
      </c>
      <c r="E2688" s="16" t="n">
        <v>1870.25</v>
      </c>
      <c r="F2688" s="16" t="n">
        <v>623.42</v>
      </c>
      <c r="G2688" s="17" t="n"/>
      <c r="H2688" s="16" t="n">
        <v>1246.83</v>
      </c>
      <c r="I2688" s="16" t="n">
        <v>0</v>
      </c>
    </row>
    <row r="2689">
      <c r="A2689" t="inlineStr">
        <is>
          <t>MTR-IOS-2687</t>
        </is>
      </c>
      <c r="B2689" t="inlineStr">
        <is>
          <t>Gift Pool</t>
        </is>
      </c>
      <c r="C2689" t="inlineStr">
        <is>
          <t>SHARES</t>
        </is>
      </c>
      <c r="D2689" t="inlineStr">
        <is>
          <t>IOS Meera</t>
        </is>
      </c>
      <c r="E2689" s="16" t="n">
        <v>0</v>
      </c>
      <c r="F2689" s="16" t="n">
        <v>311.7</v>
      </c>
      <c r="G2689" s="17" t="n"/>
      <c r="H2689" s="16" t="n">
        <v>-311.7</v>
      </c>
      <c r="I2689" s="16" t="n">
        <v>0</v>
      </c>
    </row>
    <row r="2690">
      <c r="A2690" t="inlineStr">
        <is>
          <t>MTR-IOS-2690</t>
        </is>
      </c>
      <c r="B2690" t="inlineStr">
        <is>
          <t>Gift Pool</t>
        </is>
      </c>
      <c r="C2690" t="inlineStr">
        <is>
          <t>EQUAL</t>
        </is>
      </c>
      <c r="D2690" t="inlineStr">
        <is>
          <t>IOS Owner</t>
        </is>
      </c>
      <c r="E2690" s="16" t="n">
        <v>0</v>
      </c>
      <c r="F2690" s="16" t="n">
        <v>4319.56</v>
      </c>
      <c r="G2690" s="17" t="n"/>
      <c r="H2690" s="16" t="n">
        <v>-4319.56</v>
      </c>
      <c r="I2690" s="16" t="n">
        <v>0</v>
      </c>
    </row>
    <row r="2691">
      <c r="A2691" t="inlineStr">
        <is>
          <t>MTR-IOS-2690</t>
        </is>
      </c>
      <c r="B2691" t="inlineStr">
        <is>
          <t>Gift Pool</t>
        </is>
      </c>
      <c r="C2691" t="inlineStr">
        <is>
          <t>EQUAL</t>
        </is>
      </c>
      <c r="D2691" t="inlineStr">
        <is>
          <t>IOS Aarav</t>
        </is>
      </c>
      <c r="E2691" s="16" t="n">
        <v>0</v>
      </c>
      <c r="F2691" s="16" t="n">
        <v>4319.56</v>
      </c>
      <c r="G2691" s="17" t="n"/>
      <c r="H2691" s="16" t="n">
        <v>-4319.56</v>
      </c>
      <c r="I2691" s="16" t="n">
        <v>0</v>
      </c>
    </row>
    <row r="2692">
      <c r="A2692" t="inlineStr">
        <is>
          <t>MTR-IOS-2690</t>
        </is>
      </c>
      <c r="B2692" t="inlineStr">
        <is>
          <t>Gift Pool</t>
        </is>
      </c>
      <c r="C2692" t="inlineStr">
        <is>
          <t>EQUAL</t>
        </is>
      </c>
      <c r="D2692" t="inlineStr">
        <is>
          <t>IOS Meera</t>
        </is>
      </c>
      <c r="E2692" s="16" t="n">
        <v>12958.68</v>
      </c>
      <c r="F2692" s="16" t="n">
        <v>4319.56</v>
      </c>
      <c r="G2692" s="17" t="n"/>
      <c r="H2692" s="16" t="n">
        <v>8639.120000000001</v>
      </c>
      <c r="I2692" s="16" t="n">
        <v>0</v>
      </c>
    </row>
    <row r="2693">
      <c r="A2693" t="inlineStr">
        <is>
          <t>MTR-IOS-2693</t>
        </is>
      </c>
      <c r="B2693" t="inlineStr">
        <is>
          <t>Gift Pool</t>
        </is>
      </c>
      <c r="C2693" t="inlineStr">
        <is>
          <t>PERCENTAGE</t>
        </is>
      </c>
      <c r="D2693" t="inlineStr">
        <is>
          <t>IOS Owner</t>
        </is>
      </c>
      <c r="E2693" s="16" t="n">
        <v>12568.28</v>
      </c>
      <c r="F2693" s="16" t="n">
        <v>6284.14</v>
      </c>
      <c r="G2693" s="17" t="n">
        <v>50</v>
      </c>
      <c r="H2693" s="16" t="n">
        <v>6284.14</v>
      </c>
      <c r="I2693" s="16" t="n">
        <v>0</v>
      </c>
    </row>
    <row r="2694">
      <c r="A2694" t="inlineStr">
        <is>
          <t>MTR-IOS-2693</t>
        </is>
      </c>
      <c r="B2694" t="inlineStr">
        <is>
          <t>Gift Pool</t>
        </is>
      </c>
      <c r="C2694" t="inlineStr">
        <is>
          <t>PERCENTAGE</t>
        </is>
      </c>
      <c r="D2694" t="inlineStr">
        <is>
          <t>IOS Aarav</t>
        </is>
      </c>
      <c r="E2694" s="16" t="n">
        <v>0</v>
      </c>
      <c r="F2694" s="16" t="n">
        <v>3770.48</v>
      </c>
      <c r="G2694" s="17" t="n">
        <v>30</v>
      </c>
      <c r="H2694" s="16" t="n">
        <v>-3770.48</v>
      </c>
      <c r="I2694" s="16" t="n">
        <v>0</v>
      </c>
    </row>
    <row r="2695">
      <c r="A2695" t="inlineStr">
        <is>
          <t>MTR-IOS-2693</t>
        </is>
      </c>
      <c r="B2695" t="inlineStr">
        <is>
          <t>Gift Pool</t>
        </is>
      </c>
      <c r="C2695" t="inlineStr">
        <is>
          <t>PERCENTAGE</t>
        </is>
      </c>
      <c r="D2695" t="inlineStr">
        <is>
          <t>IOS Meera</t>
        </is>
      </c>
      <c r="E2695" s="16" t="n">
        <v>0</v>
      </c>
      <c r="F2695" s="16" t="n">
        <v>2513.66</v>
      </c>
      <c r="G2695" s="17" t="n">
        <v>20</v>
      </c>
      <c r="H2695" s="16" t="n">
        <v>-2513.66</v>
      </c>
      <c r="I2695" s="16" t="n">
        <v>0</v>
      </c>
    </row>
    <row r="2696">
      <c r="A2696" t="inlineStr">
        <is>
          <t>MTR-IOS-2696</t>
        </is>
      </c>
      <c r="B2696" t="inlineStr">
        <is>
          <t>Purchase</t>
        </is>
      </c>
      <c r="C2696" t="inlineStr">
        <is>
          <t>EXACT</t>
        </is>
      </c>
      <c r="D2696" t="inlineStr">
        <is>
          <t>IOS Owner</t>
        </is>
      </c>
      <c r="E2696" s="16" t="n">
        <v>0</v>
      </c>
      <c r="F2696" s="16" t="n">
        <v>398.79</v>
      </c>
      <c r="G2696" s="17" t="n"/>
      <c r="H2696" s="16" t="n">
        <v>-398.79</v>
      </c>
      <c r="I2696" s="16" t="n">
        <v>0</v>
      </c>
    </row>
    <row r="2697">
      <c r="A2697" t="inlineStr">
        <is>
          <t>MTR-IOS-2696</t>
        </is>
      </c>
      <c r="B2697" t="inlineStr">
        <is>
          <t>Purchase</t>
        </is>
      </c>
      <c r="C2697" t="inlineStr">
        <is>
          <t>EXACT</t>
        </is>
      </c>
      <c r="D2697" t="inlineStr">
        <is>
          <t>IOS Aarav</t>
        </is>
      </c>
      <c r="E2697" s="16" t="n">
        <v>1197.57</v>
      </c>
      <c r="F2697" s="16" t="n">
        <v>398.79</v>
      </c>
      <c r="G2697" s="17" t="n"/>
      <c r="H2697" s="16" t="n">
        <v>798.78</v>
      </c>
      <c r="I2697" s="16" t="n">
        <v>0</v>
      </c>
    </row>
    <row r="2698">
      <c r="A2698" t="inlineStr">
        <is>
          <t>MTR-IOS-2696</t>
        </is>
      </c>
      <c r="B2698" t="inlineStr">
        <is>
          <t>Purchase</t>
        </is>
      </c>
      <c r="C2698" t="inlineStr">
        <is>
          <t>EXACT</t>
        </is>
      </c>
      <c r="D2698" t="inlineStr">
        <is>
          <t>IOS Meera</t>
        </is>
      </c>
      <c r="E2698" s="16" t="n">
        <v>0</v>
      </c>
      <c r="F2698" s="16" t="n">
        <v>399.99</v>
      </c>
      <c r="G2698" s="17" t="n"/>
      <c r="H2698" s="16" t="n">
        <v>-399.99</v>
      </c>
      <c r="I2698" s="16" t="n">
        <v>0</v>
      </c>
    </row>
    <row r="2699">
      <c r="A2699" t="inlineStr">
        <is>
          <t>MTR-IOS-2699</t>
        </is>
      </c>
      <c r="B2699" t="inlineStr">
        <is>
          <t>Purchase</t>
        </is>
      </c>
      <c r="C2699" t="inlineStr">
        <is>
          <t>SHARES</t>
        </is>
      </c>
      <c r="D2699" t="inlineStr">
        <is>
          <t>IOS Owner</t>
        </is>
      </c>
      <c r="E2699" s="16" t="n">
        <v>0</v>
      </c>
      <c r="F2699" s="16" t="n">
        <v>10952.79</v>
      </c>
      <c r="G2699" s="17" t="n"/>
      <c r="H2699" s="16" t="n">
        <v>-10952.79</v>
      </c>
      <c r="I2699" s="16" t="n">
        <v>0</v>
      </c>
    </row>
    <row r="2700">
      <c r="A2700" t="inlineStr">
        <is>
          <t>MTR-IOS-2699</t>
        </is>
      </c>
      <c r="B2700" t="inlineStr">
        <is>
          <t>Purchase</t>
        </is>
      </c>
      <c r="C2700" t="inlineStr">
        <is>
          <t>SHARES</t>
        </is>
      </c>
      <c r="D2700" t="inlineStr">
        <is>
          <t>IOS Aarav</t>
        </is>
      </c>
      <c r="E2700" s="16" t="n">
        <v>0</v>
      </c>
      <c r="F2700" s="16" t="n">
        <v>7301.86</v>
      </c>
      <c r="G2700" s="17" t="n"/>
      <c r="H2700" s="16" t="n">
        <v>-7301.86</v>
      </c>
      <c r="I2700" s="16" t="n">
        <v>0</v>
      </c>
    </row>
    <row r="2701">
      <c r="A2701" t="inlineStr">
        <is>
          <t>MTR-IOS-2699</t>
        </is>
      </c>
      <c r="B2701" t="inlineStr">
        <is>
          <t>Purchase</t>
        </is>
      </c>
      <c r="C2701" t="inlineStr">
        <is>
          <t>SHARES</t>
        </is>
      </c>
      <c r="D2701" t="inlineStr">
        <is>
          <t>IOS Meera</t>
        </is>
      </c>
      <c r="E2701" s="16" t="n">
        <v>21905.58</v>
      </c>
      <c r="F2701" s="16" t="n">
        <v>3650.93</v>
      </c>
      <c r="G2701" s="17" t="n"/>
      <c r="H2701" s="16" t="n">
        <v>18254.65</v>
      </c>
      <c r="I2701" s="16" t="n">
        <v>0</v>
      </c>
    </row>
    <row r="2702">
      <c r="A2702" t="inlineStr">
        <is>
          <t>MTR-IOS-2702</t>
        </is>
      </c>
      <c r="B2702" t="inlineStr">
        <is>
          <t>Purchase</t>
        </is>
      </c>
      <c r="C2702" t="inlineStr">
        <is>
          <t>EQUAL</t>
        </is>
      </c>
      <c r="D2702" t="inlineStr">
        <is>
          <t>IOS Owner</t>
        </is>
      </c>
      <c r="E2702" s="16" t="n">
        <v>23431.49</v>
      </c>
      <c r="F2702" s="16" t="n">
        <v>7810.5</v>
      </c>
      <c r="G2702" s="17" t="n"/>
      <c r="H2702" s="16" t="n">
        <v>15620.99</v>
      </c>
      <c r="I2702" s="16" t="n">
        <v>0</v>
      </c>
    </row>
    <row r="2703">
      <c r="A2703" t="inlineStr">
        <is>
          <t>MTR-IOS-2702</t>
        </is>
      </c>
      <c r="B2703" t="inlineStr">
        <is>
          <t>Purchase</t>
        </is>
      </c>
      <c r="C2703" t="inlineStr">
        <is>
          <t>EQUAL</t>
        </is>
      </c>
      <c r="D2703" t="inlineStr">
        <is>
          <t>IOS Aarav</t>
        </is>
      </c>
      <c r="E2703" s="16" t="n">
        <v>0</v>
      </c>
      <c r="F2703" s="16" t="n">
        <v>7810.5</v>
      </c>
      <c r="G2703" s="17" t="n"/>
      <c r="H2703" s="16" t="n">
        <v>-7810.5</v>
      </c>
      <c r="I2703" s="16" t="n">
        <v>0</v>
      </c>
    </row>
    <row r="2704">
      <c r="A2704" t="inlineStr">
        <is>
          <t>MTR-IOS-2702</t>
        </is>
      </c>
      <c r="B2704" t="inlineStr">
        <is>
          <t>Purchase</t>
        </is>
      </c>
      <c r="C2704" t="inlineStr">
        <is>
          <t>EQUAL</t>
        </is>
      </c>
      <c r="D2704" t="inlineStr">
        <is>
          <t>IOS Meera</t>
        </is>
      </c>
      <c r="E2704" s="16" t="n">
        <v>0</v>
      </c>
      <c r="F2704" s="16" t="n">
        <v>7810.49</v>
      </c>
      <c r="G2704" s="17" t="n"/>
      <c r="H2704" s="16" t="n">
        <v>-7810.49</v>
      </c>
      <c r="I2704" s="16" t="n">
        <v>0</v>
      </c>
    </row>
    <row r="2705">
      <c r="A2705" t="inlineStr">
        <is>
          <t>MTR-IOS-2705</t>
        </is>
      </c>
      <c r="B2705" t="inlineStr">
        <is>
          <t>Purchase</t>
        </is>
      </c>
      <c r="C2705" t="inlineStr">
        <is>
          <t>PERCENTAGE</t>
        </is>
      </c>
      <c r="D2705" t="inlineStr">
        <is>
          <t>IOS Owner</t>
        </is>
      </c>
      <c r="E2705" s="16" t="n">
        <v>0</v>
      </c>
      <c r="F2705" s="16" t="n">
        <v>11626.94</v>
      </c>
      <c r="G2705" s="17" t="n">
        <v>50</v>
      </c>
      <c r="H2705" s="16" t="n">
        <v>-11626.94</v>
      </c>
      <c r="I2705" s="16" t="n">
        <v>0</v>
      </c>
    </row>
    <row r="2706">
      <c r="A2706" t="inlineStr">
        <is>
          <t>MTR-IOS-2705</t>
        </is>
      </c>
      <c r="B2706" t="inlineStr">
        <is>
          <t>Purchase</t>
        </is>
      </c>
      <c r="C2706" t="inlineStr">
        <is>
          <t>PERCENTAGE</t>
        </is>
      </c>
      <c r="D2706" t="inlineStr">
        <is>
          <t>IOS Aarav</t>
        </is>
      </c>
      <c r="E2706" s="16" t="n">
        <v>23253.88</v>
      </c>
      <c r="F2706" s="16" t="n">
        <v>6976.16</v>
      </c>
      <c r="G2706" s="17" t="n">
        <v>30</v>
      </c>
      <c r="H2706" s="16" t="n">
        <v>16277.72</v>
      </c>
      <c r="I2706" s="16" t="n">
        <v>0</v>
      </c>
    </row>
    <row r="2707">
      <c r="A2707" t="inlineStr">
        <is>
          <t>MTR-IOS-2705</t>
        </is>
      </c>
      <c r="B2707" t="inlineStr">
        <is>
          <t>Purchase</t>
        </is>
      </c>
      <c r="C2707" t="inlineStr">
        <is>
          <t>PERCENTAGE</t>
        </is>
      </c>
      <c r="D2707" t="inlineStr">
        <is>
          <t>IOS Meera</t>
        </is>
      </c>
      <c r="E2707" s="16" t="n">
        <v>0</v>
      </c>
      <c r="F2707" s="16" t="n">
        <v>4650.78</v>
      </c>
      <c r="G2707" s="17" t="n">
        <v>20</v>
      </c>
      <c r="H2707" s="16" t="n">
        <v>-4650.78</v>
      </c>
      <c r="I2707" s="16" t="n">
        <v>0</v>
      </c>
    </row>
    <row r="2708">
      <c r="A2708" t="inlineStr">
        <is>
          <t>MTR-IOS-2708</t>
        </is>
      </c>
      <c r="B2708" t="inlineStr">
        <is>
          <t>Assets</t>
        </is>
      </c>
      <c r="C2708" t="inlineStr">
        <is>
          <t>EXACT</t>
        </is>
      </c>
      <c r="D2708" t="inlineStr">
        <is>
          <t>IOS Owner</t>
        </is>
      </c>
      <c r="E2708" s="16" t="n">
        <v>0</v>
      </c>
      <c r="F2708" s="16" t="n">
        <v>1190.94</v>
      </c>
      <c r="G2708" s="17" t="n"/>
      <c r="H2708" s="16" t="n">
        <v>-1190.94</v>
      </c>
      <c r="I2708" s="16" t="n">
        <v>0</v>
      </c>
    </row>
    <row r="2709">
      <c r="A2709" t="inlineStr">
        <is>
          <t>MTR-IOS-2708</t>
        </is>
      </c>
      <c r="B2709" t="inlineStr">
        <is>
          <t>Assets</t>
        </is>
      </c>
      <c r="C2709" t="inlineStr">
        <is>
          <t>EXACT</t>
        </is>
      </c>
      <c r="D2709" t="inlineStr">
        <is>
          <t>IOS Aarav</t>
        </is>
      </c>
      <c r="E2709" s="16" t="n">
        <v>0</v>
      </c>
      <c r="F2709" s="16" t="n">
        <v>1190.94</v>
      </c>
      <c r="G2709" s="17" t="n"/>
      <c r="H2709" s="16" t="n">
        <v>-1190.94</v>
      </c>
      <c r="I2709" s="16" t="n">
        <v>0</v>
      </c>
    </row>
    <row r="2710">
      <c r="A2710" t="inlineStr">
        <is>
          <t>MTR-IOS-2708</t>
        </is>
      </c>
      <c r="B2710" t="inlineStr">
        <is>
          <t>Assets</t>
        </is>
      </c>
      <c r="C2710" t="inlineStr">
        <is>
          <t>EXACT</t>
        </is>
      </c>
      <c r="D2710" t="inlineStr">
        <is>
          <t>IOS Meera</t>
        </is>
      </c>
      <c r="E2710" s="16" t="n">
        <v>3576.41</v>
      </c>
      <c r="F2710" s="16" t="n">
        <v>1194.53</v>
      </c>
      <c r="G2710" s="17" t="n"/>
      <c r="H2710" s="16" t="n">
        <v>2381.88</v>
      </c>
      <c r="I2710" s="16" t="n">
        <v>0</v>
      </c>
    </row>
    <row r="2711">
      <c r="A2711" t="inlineStr">
        <is>
          <t>MTR-IOS-2711</t>
        </is>
      </c>
      <c r="B2711" t="inlineStr">
        <is>
          <t>Assets</t>
        </is>
      </c>
      <c r="C2711" t="inlineStr">
        <is>
          <t>SHARES</t>
        </is>
      </c>
      <c r="D2711" t="inlineStr">
        <is>
          <t>IOS Owner</t>
        </is>
      </c>
      <c r="E2711" s="16" t="n">
        <v>23726.31</v>
      </c>
      <c r="F2711" s="16" t="n">
        <v>11863.16</v>
      </c>
      <c r="G2711" s="17" t="n"/>
      <c r="H2711" s="16" t="n">
        <v>11863.15</v>
      </c>
      <c r="I2711" s="16" t="n">
        <v>0</v>
      </c>
    </row>
    <row r="2712">
      <c r="A2712" t="inlineStr">
        <is>
          <t>MTR-IOS-2711</t>
        </is>
      </c>
      <c r="B2712" t="inlineStr">
        <is>
          <t>Assets</t>
        </is>
      </c>
      <c r="C2712" t="inlineStr">
        <is>
          <t>SHARES</t>
        </is>
      </c>
      <c r="D2712" t="inlineStr">
        <is>
          <t>IOS Aarav</t>
        </is>
      </c>
      <c r="E2712" s="16" t="n">
        <v>0</v>
      </c>
      <c r="F2712" s="16" t="n">
        <v>7908.77</v>
      </c>
      <c r="G2712" s="17" t="n"/>
      <c r="H2712" s="16" t="n">
        <v>-7908.77</v>
      </c>
      <c r="I2712" s="16" t="n">
        <v>0</v>
      </c>
    </row>
    <row r="2713">
      <c r="A2713" t="inlineStr">
        <is>
          <t>MTR-IOS-2711</t>
        </is>
      </c>
      <c r="B2713" t="inlineStr">
        <is>
          <t>Assets</t>
        </is>
      </c>
      <c r="C2713" t="inlineStr">
        <is>
          <t>SHARES</t>
        </is>
      </c>
      <c r="D2713" t="inlineStr">
        <is>
          <t>IOS Meera</t>
        </is>
      </c>
      <c r="E2713" s="16" t="n">
        <v>0</v>
      </c>
      <c r="F2713" s="16" t="n">
        <v>3954.38</v>
      </c>
      <c r="G2713" s="17" t="n"/>
      <c r="H2713" s="16" t="n">
        <v>-3954.38</v>
      </c>
      <c r="I2713" s="16" t="n">
        <v>0</v>
      </c>
    </row>
    <row r="2714">
      <c r="A2714" t="inlineStr">
        <is>
          <t>MTR-IOS-2714</t>
        </is>
      </c>
      <c r="B2714" t="inlineStr">
        <is>
          <t>Assets</t>
        </is>
      </c>
      <c r="C2714" t="inlineStr">
        <is>
          <t>EQUAL</t>
        </is>
      </c>
      <c r="D2714" t="inlineStr">
        <is>
          <t>IOS Owner</t>
        </is>
      </c>
      <c r="E2714" s="16" t="n">
        <v>0</v>
      </c>
      <c r="F2714" s="16" t="n">
        <v>1455.95</v>
      </c>
      <c r="G2714" s="17" t="n"/>
      <c r="H2714" s="16" t="n">
        <v>-1455.95</v>
      </c>
      <c r="I2714" s="16" t="n">
        <v>0</v>
      </c>
    </row>
    <row r="2715">
      <c r="A2715" t="inlineStr">
        <is>
          <t>MTR-IOS-2714</t>
        </is>
      </c>
      <c r="B2715" t="inlineStr">
        <is>
          <t>Assets</t>
        </is>
      </c>
      <c r="C2715" t="inlineStr">
        <is>
          <t>EQUAL</t>
        </is>
      </c>
      <c r="D2715" t="inlineStr">
        <is>
          <t>IOS Aarav</t>
        </is>
      </c>
      <c r="E2715" s="16" t="n">
        <v>4367.84</v>
      </c>
      <c r="F2715" s="16" t="n">
        <v>1455.95</v>
      </c>
      <c r="G2715" s="17" t="n"/>
      <c r="H2715" s="16" t="n">
        <v>2911.89</v>
      </c>
      <c r="I2715" s="16" t="n">
        <v>0</v>
      </c>
    </row>
    <row r="2716">
      <c r="A2716" t="inlineStr">
        <is>
          <t>MTR-IOS-2714</t>
        </is>
      </c>
      <c r="B2716" t="inlineStr">
        <is>
          <t>Assets</t>
        </is>
      </c>
      <c r="C2716" t="inlineStr">
        <is>
          <t>EQUAL</t>
        </is>
      </c>
      <c r="D2716" t="inlineStr">
        <is>
          <t>IOS Meera</t>
        </is>
      </c>
      <c r="E2716" s="16" t="n">
        <v>0</v>
      </c>
      <c r="F2716" s="16" t="n">
        <v>1455.94</v>
      </c>
      <c r="G2716" s="17" t="n"/>
      <c r="H2716" s="16" t="n">
        <v>-1455.94</v>
      </c>
      <c r="I2716" s="16" t="n">
        <v>0</v>
      </c>
    </row>
    <row r="2717">
      <c r="A2717" t="inlineStr">
        <is>
          <t>MTR-IOS-2717</t>
        </is>
      </c>
      <c r="B2717" t="inlineStr">
        <is>
          <t>Assets</t>
        </is>
      </c>
      <c r="C2717" t="inlineStr">
        <is>
          <t>PERCENTAGE</t>
        </is>
      </c>
      <c r="D2717" t="inlineStr">
        <is>
          <t>IOS Owner</t>
        </is>
      </c>
      <c r="E2717" s="16" t="n">
        <v>0</v>
      </c>
      <c r="F2717" s="16" t="n">
        <v>10488.28</v>
      </c>
      <c r="G2717" s="17" t="n">
        <v>50</v>
      </c>
      <c r="H2717" s="16" t="n">
        <v>-10488.28</v>
      </c>
      <c r="I2717" s="16" t="n">
        <v>0</v>
      </c>
    </row>
    <row r="2718">
      <c r="A2718" t="inlineStr">
        <is>
          <t>MTR-IOS-2717</t>
        </is>
      </c>
      <c r="B2718" t="inlineStr">
        <is>
          <t>Assets</t>
        </is>
      </c>
      <c r="C2718" t="inlineStr">
        <is>
          <t>PERCENTAGE</t>
        </is>
      </c>
      <c r="D2718" t="inlineStr">
        <is>
          <t>IOS Aarav</t>
        </is>
      </c>
      <c r="E2718" s="16" t="n">
        <v>0</v>
      </c>
      <c r="F2718" s="16" t="n">
        <v>6292.97</v>
      </c>
      <c r="G2718" s="17" t="n">
        <v>30</v>
      </c>
      <c r="H2718" s="16" t="n">
        <v>-6292.97</v>
      </c>
      <c r="I2718" s="16" t="n">
        <v>0</v>
      </c>
    </row>
    <row r="2719">
      <c r="A2719" t="inlineStr">
        <is>
          <t>MTR-IOS-2717</t>
        </is>
      </c>
      <c r="B2719" t="inlineStr">
        <is>
          <t>Assets</t>
        </is>
      </c>
      <c r="C2719" t="inlineStr">
        <is>
          <t>PERCENTAGE</t>
        </is>
      </c>
      <c r="D2719" t="inlineStr">
        <is>
          <t>IOS Meera</t>
        </is>
      </c>
      <c r="E2719" s="16" t="n">
        <v>20976.55</v>
      </c>
      <c r="F2719" s="16" t="n">
        <v>4195.3</v>
      </c>
      <c r="G2719" s="17" t="n">
        <v>20</v>
      </c>
      <c r="H2719" s="16" t="n">
        <v>16781.25</v>
      </c>
      <c r="I2719" s="16" t="n">
        <v>0</v>
      </c>
    </row>
    <row r="2720">
      <c r="A2720" t="inlineStr">
        <is>
          <t>MTR-IOS-2720</t>
        </is>
      </c>
      <c r="B2720" t="inlineStr">
        <is>
          <t>Assets</t>
        </is>
      </c>
      <c r="C2720" t="inlineStr">
        <is>
          <t>EXACT</t>
        </is>
      </c>
      <c r="D2720" t="inlineStr">
        <is>
          <t>IOS Owner</t>
        </is>
      </c>
      <c r="E2720" s="16" t="n">
        <v>16264.76</v>
      </c>
      <c r="F2720" s="16" t="n">
        <v>5416.17</v>
      </c>
      <c r="G2720" s="17" t="n"/>
      <c r="H2720" s="16" t="n">
        <v>10848.59</v>
      </c>
      <c r="I2720" s="16" t="n">
        <v>0</v>
      </c>
    </row>
    <row r="2721">
      <c r="A2721" t="inlineStr">
        <is>
          <t>MTR-IOS-2720</t>
        </is>
      </c>
      <c r="B2721" t="inlineStr">
        <is>
          <t>Assets</t>
        </is>
      </c>
      <c r="C2721" t="inlineStr">
        <is>
          <t>EXACT</t>
        </is>
      </c>
      <c r="D2721" t="inlineStr">
        <is>
          <t>IOS Aarav</t>
        </is>
      </c>
      <c r="E2721" s="16" t="n">
        <v>0</v>
      </c>
      <c r="F2721" s="16" t="n">
        <v>5416.17</v>
      </c>
      <c r="G2721" s="17" t="n"/>
      <c r="H2721" s="16" t="n">
        <v>-5416.17</v>
      </c>
      <c r="I2721" s="16" t="n">
        <v>0</v>
      </c>
    </row>
    <row r="2722">
      <c r="A2722" t="inlineStr">
        <is>
          <t>MTR-IOS-2720</t>
        </is>
      </c>
      <c r="B2722" t="inlineStr">
        <is>
          <t>Assets</t>
        </is>
      </c>
      <c r="C2722" t="inlineStr">
        <is>
          <t>EXACT</t>
        </is>
      </c>
      <c r="D2722" t="inlineStr">
        <is>
          <t>IOS Meera</t>
        </is>
      </c>
      <c r="E2722" s="16" t="n">
        <v>0</v>
      </c>
      <c r="F2722" s="16" t="n">
        <v>5432.42</v>
      </c>
      <c r="G2722" s="17" t="n"/>
      <c r="H2722" s="16" t="n">
        <v>-5432.42</v>
      </c>
      <c r="I2722" s="16" t="n">
        <v>0</v>
      </c>
    </row>
    <row r="2723">
      <c r="A2723" t="inlineStr">
        <is>
          <t>MTR-IOS-2723</t>
        </is>
      </c>
      <c r="B2723" t="inlineStr">
        <is>
          <t>Custom Purchase</t>
        </is>
      </c>
      <c r="C2723" t="inlineStr">
        <is>
          <t>SHARES</t>
        </is>
      </c>
      <c r="D2723" t="inlineStr">
        <is>
          <t>IOS Owner</t>
        </is>
      </c>
      <c r="E2723" s="16" t="n">
        <v>0</v>
      </c>
      <c r="F2723" s="16" t="n">
        <v>3581.76</v>
      </c>
      <c r="G2723" s="17" t="n"/>
      <c r="H2723" s="16" t="n">
        <v>-3581.76</v>
      </c>
      <c r="I2723" s="16" t="n">
        <v>0</v>
      </c>
    </row>
    <row r="2724">
      <c r="A2724" t="inlineStr">
        <is>
          <t>MTR-IOS-2723</t>
        </is>
      </c>
      <c r="B2724" t="inlineStr">
        <is>
          <t>Custom Purchase</t>
        </is>
      </c>
      <c r="C2724" t="inlineStr">
        <is>
          <t>SHARES</t>
        </is>
      </c>
      <c r="D2724" t="inlineStr">
        <is>
          <t>IOS Aarav</t>
        </is>
      </c>
      <c r="E2724" s="16" t="n">
        <v>7163.52</v>
      </c>
      <c r="F2724" s="16" t="n">
        <v>2387.84</v>
      </c>
      <c r="G2724" s="17" t="n"/>
      <c r="H2724" s="16" t="n">
        <v>4775.68</v>
      </c>
      <c r="I2724" s="16" t="n">
        <v>0</v>
      </c>
    </row>
    <row r="2725">
      <c r="A2725" t="inlineStr">
        <is>
          <t>MTR-IOS-2723</t>
        </is>
      </c>
      <c r="B2725" t="inlineStr">
        <is>
          <t>Custom Purchase</t>
        </is>
      </c>
      <c r="C2725" t="inlineStr">
        <is>
          <t>SHARES</t>
        </is>
      </c>
      <c r="D2725" t="inlineStr">
        <is>
          <t>IOS Meera</t>
        </is>
      </c>
      <c r="E2725" s="16" t="n">
        <v>0</v>
      </c>
      <c r="F2725" s="16" t="n">
        <v>1193.92</v>
      </c>
      <c r="G2725" s="17" t="n"/>
      <c r="H2725" s="16" t="n">
        <v>-1193.92</v>
      </c>
      <c r="I2725" s="16" t="n">
        <v>0</v>
      </c>
    </row>
    <row r="2726">
      <c r="A2726" t="inlineStr">
        <is>
          <t>MTR-IOS-2726</t>
        </is>
      </c>
      <c r="B2726" t="inlineStr">
        <is>
          <t>Custom Purchase</t>
        </is>
      </c>
      <c r="C2726" t="inlineStr">
        <is>
          <t>EQUAL</t>
        </is>
      </c>
      <c r="D2726" t="inlineStr">
        <is>
          <t>IOS Owner</t>
        </is>
      </c>
      <c r="E2726" s="16" t="n">
        <v>0</v>
      </c>
      <c r="F2726" s="16" t="n">
        <v>5658.75</v>
      </c>
      <c r="G2726" s="17" t="n"/>
      <c r="H2726" s="16" t="n">
        <v>-5658.75</v>
      </c>
      <c r="I2726" s="16" t="n">
        <v>0</v>
      </c>
    </row>
    <row r="2727">
      <c r="A2727" t="inlineStr">
        <is>
          <t>MTR-IOS-2726</t>
        </is>
      </c>
      <c r="B2727" t="inlineStr">
        <is>
          <t>Custom Purchase</t>
        </is>
      </c>
      <c r="C2727" t="inlineStr">
        <is>
          <t>EQUAL</t>
        </is>
      </c>
      <c r="D2727" t="inlineStr">
        <is>
          <t>IOS Aarav</t>
        </is>
      </c>
      <c r="E2727" s="16" t="n">
        <v>0</v>
      </c>
      <c r="F2727" s="16" t="n">
        <v>5658.75</v>
      </c>
      <c r="G2727" s="17" t="n"/>
      <c r="H2727" s="16" t="n">
        <v>-5658.75</v>
      </c>
      <c r="I2727" s="16" t="n">
        <v>0</v>
      </c>
    </row>
    <row r="2728">
      <c r="A2728" t="inlineStr">
        <is>
          <t>MTR-IOS-2726</t>
        </is>
      </c>
      <c r="B2728" t="inlineStr">
        <is>
          <t>Custom Purchase</t>
        </is>
      </c>
      <c r="C2728" t="inlineStr">
        <is>
          <t>EQUAL</t>
        </is>
      </c>
      <c r="D2728" t="inlineStr">
        <is>
          <t>IOS Meera</t>
        </is>
      </c>
      <c r="E2728" s="16" t="n">
        <v>16976.24</v>
      </c>
      <c r="F2728" s="16" t="n">
        <v>5658.74</v>
      </c>
      <c r="G2728" s="17" t="n"/>
      <c r="H2728" s="16" t="n">
        <v>11317.5</v>
      </c>
      <c r="I2728" s="16" t="n">
        <v>0</v>
      </c>
    </row>
    <row r="2729">
      <c r="A2729" t="inlineStr">
        <is>
          <t>MTR-IOS-2729</t>
        </is>
      </c>
      <c r="B2729" t="inlineStr">
        <is>
          <t>Flatmates</t>
        </is>
      </c>
      <c r="C2729" t="inlineStr">
        <is>
          <t>PERCENTAGE</t>
        </is>
      </c>
      <c r="D2729" t="inlineStr">
        <is>
          <t>IOS Owner</t>
        </is>
      </c>
      <c r="E2729" s="16" t="n">
        <v>24181.51</v>
      </c>
      <c r="F2729" s="16" t="n">
        <v>12090.76</v>
      </c>
      <c r="G2729" s="17" t="n">
        <v>50</v>
      </c>
      <c r="H2729" s="16" t="n">
        <v>12090.75</v>
      </c>
      <c r="I2729" s="16" t="n">
        <v>0</v>
      </c>
    </row>
    <row r="2730">
      <c r="A2730" t="inlineStr">
        <is>
          <t>MTR-IOS-2729</t>
        </is>
      </c>
      <c r="B2730" t="inlineStr">
        <is>
          <t>Flatmates</t>
        </is>
      </c>
      <c r="C2730" t="inlineStr">
        <is>
          <t>PERCENTAGE</t>
        </is>
      </c>
      <c r="D2730" t="inlineStr">
        <is>
          <t>IOS Aarav</t>
        </is>
      </c>
      <c r="E2730" s="16" t="n">
        <v>0</v>
      </c>
      <c r="F2730" s="16" t="n">
        <v>7254.45</v>
      </c>
      <c r="G2730" s="17" t="n">
        <v>30</v>
      </c>
      <c r="H2730" s="16" t="n">
        <v>-7254.45</v>
      </c>
      <c r="I2730" s="16" t="n">
        <v>0</v>
      </c>
    </row>
    <row r="2731">
      <c r="A2731" t="inlineStr">
        <is>
          <t>MTR-IOS-2729</t>
        </is>
      </c>
      <c r="B2731" t="inlineStr">
        <is>
          <t>Flatmates</t>
        </is>
      </c>
      <c r="C2731" t="inlineStr">
        <is>
          <t>PERCENTAGE</t>
        </is>
      </c>
      <c r="D2731" t="inlineStr">
        <is>
          <t>IOS Meera</t>
        </is>
      </c>
      <c r="E2731" s="16" t="n">
        <v>0</v>
      </c>
      <c r="F2731" s="16" t="n">
        <v>4836.3</v>
      </c>
      <c r="G2731" s="17" t="n">
        <v>20</v>
      </c>
      <c r="H2731" s="16" t="n">
        <v>-4836.3</v>
      </c>
      <c r="I2731" s="16" t="n">
        <v>0</v>
      </c>
    </row>
    <row r="2732">
      <c r="A2732" t="inlineStr">
        <is>
          <t>MTR-IOS-2732</t>
        </is>
      </c>
      <c r="B2732" t="inlineStr">
        <is>
          <t>Flatmates</t>
        </is>
      </c>
      <c r="C2732" t="inlineStr">
        <is>
          <t>EXACT</t>
        </is>
      </c>
      <c r="D2732" t="inlineStr">
        <is>
          <t>IOS Owner</t>
        </is>
      </c>
      <c r="E2732" s="16" t="n">
        <v>0</v>
      </c>
      <c r="F2732" s="16" t="n">
        <v>253.83</v>
      </c>
      <c r="G2732" s="17" t="n"/>
      <c r="H2732" s="16" t="n">
        <v>-253.83</v>
      </c>
      <c r="I2732" s="16" t="n">
        <v>0</v>
      </c>
    </row>
    <row r="2733">
      <c r="A2733" t="inlineStr">
        <is>
          <t>MTR-IOS-2732</t>
        </is>
      </c>
      <c r="B2733" t="inlineStr">
        <is>
          <t>Flatmates</t>
        </is>
      </c>
      <c r="C2733" t="inlineStr">
        <is>
          <t>EXACT</t>
        </is>
      </c>
      <c r="D2733" t="inlineStr">
        <is>
          <t>IOS Aarav</t>
        </is>
      </c>
      <c r="E2733" s="16" t="n">
        <v>762.25</v>
      </c>
      <c r="F2733" s="16" t="n">
        <v>253.83</v>
      </c>
      <c r="G2733" s="17" t="n"/>
      <c r="H2733" s="16" t="n">
        <v>508.42</v>
      </c>
      <c r="I2733" s="16" t="n">
        <v>0</v>
      </c>
    </row>
    <row r="2734">
      <c r="A2734" t="inlineStr">
        <is>
          <t>MTR-IOS-2732</t>
        </is>
      </c>
      <c r="B2734" t="inlineStr">
        <is>
          <t>Flatmates</t>
        </is>
      </c>
      <c r="C2734" t="inlineStr">
        <is>
          <t>EXACT</t>
        </is>
      </c>
      <c r="D2734" t="inlineStr">
        <is>
          <t>IOS Meera</t>
        </is>
      </c>
      <c r="E2734" s="16" t="n">
        <v>0</v>
      </c>
      <c r="F2734" s="16" t="n">
        <v>254.59</v>
      </c>
      <c r="G2734" s="17" t="n"/>
      <c r="H2734" s="16" t="n">
        <v>-254.59</v>
      </c>
      <c r="I2734" s="16" t="n">
        <v>0</v>
      </c>
    </row>
    <row r="2735">
      <c r="A2735" t="inlineStr">
        <is>
          <t>MTR-IOS-2735</t>
        </is>
      </c>
      <c r="B2735" t="inlineStr">
        <is>
          <t>Flatmates</t>
        </is>
      </c>
      <c r="C2735" t="inlineStr">
        <is>
          <t>SHARES</t>
        </is>
      </c>
      <c r="D2735" t="inlineStr">
        <is>
          <t>IOS Owner</t>
        </is>
      </c>
      <c r="E2735" s="16" t="n">
        <v>0</v>
      </c>
      <c r="F2735" s="16" t="n">
        <v>4102.52</v>
      </c>
      <c r="G2735" s="17" t="n"/>
      <c r="H2735" s="16" t="n">
        <v>-4102.52</v>
      </c>
      <c r="I2735" s="16" t="n">
        <v>0</v>
      </c>
    </row>
    <row r="2736">
      <c r="A2736" t="inlineStr">
        <is>
          <t>MTR-IOS-2735</t>
        </is>
      </c>
      <c r="B2736" t="inlineStr">
        <is>
          <t>Flatmates</t>
        </is>
      </c>
      <c r="C2736" t="inlineStr">
        <is>
          <t>SHARES</t>
        </is>
      </c>
      <c r="D2736" t="inlineStr">
        <is>
          <t>IOS Aarav</t>
        </is>
      </c>
      <c r="E2736" s="16" t="n">
        <v>0</v>
      </c>
      <c r="F2736" s="16" t="n">
        <v>2735.01</v>
      </c>
      <c r="G2736" s="17" t="n"/>
      <c r="H2736" s="16" t="n">
        <v>-2735.01</v>
      </c>
      <c r="I2736" s="16" t="n">
        <v>0</v>
      </c>
    </row>
    <row r="2737">
      <c r="A2737" t="inlineStr">
        <is>
          <t>MTR-IOS-2735</t>
        </is>
      </c>
      <c r="B2737" t="inlineStr">
        <is>
          <t>Flatmates</t>
        </is>
      </c>
      <c r="C2737" t="inlineStr">
        <is>
          <t>SHARES</t>
        </is>
      </c>
      <c r="D2737" t="inlineStr">
        <is>
          <t>IOS Meera</t>
        </is>
      </c>
      <c r="E2737" s="16" t="n">
        <v>8205.040000000001</v>
      </c>
      <c r="F2737" s="16" t="n">
        <v>1367.51</v>
      </c>
      <c r="G2737" s="17" t="n"/>
      <c r="H2737" s="16" t="n">
        <v>6837.53</v>
      </c>
      <c r="I2737" s="16" t="n">
        <v>0</v>
      </c>
    </row>
    <row r="2738">
      <c r="A2738" t="inlineStr">
        <is>
          <t>MTR-IOS-2738</t>
        </is>
      </c>
      <c r="B2738" t="inlineStr">
        <is>
          <t>Flatmates</t>
        </is>
      </c>
      <c r="C2738" t="inlineStr">
        <is>
          <t>EQUAL</t>
        </is>
      </c>
      <c r="D2738" t="inlineStr">
        <is>
          <t>IOS Owner</t>
        </is>
      </c>
      <c r="E2738" s="16" t="n">
        <v>99.98999999999999</v>
      </c>
      <c r="F2738" s="16" t="n">
        <v>33.33</v>
      </c>
      <c r="G2738" s="17" t="n"/>
      <c r="H2738" s="16" t="n">
        <v>66.66</v>
      </c>
      <c r="I2738" s="16" t="n">
        <v>0</v>
      </c>
    </row>
    <row r="2739">
      <c r="A2739" t="inlineStr">
        <is>
          <t>MTR-IOS-2738</t>
        </is>
      </c>
      <c r="B2739" t="inlineStr">
        <is>
          <t>Flatmates</t>
        </is>
      </c>
      <c r="C2739" t="inlineStr">
        <is>
          <t>EQUAL</t>
        </is>
      </c>
      <c r="D2739" t="inlineStr">
        <is>
          <t>IOS Aarav</t>
        </is>
      </c>
      <c r="E2739" s="16" t="n">
        <v>0</v>
      </c>
      <c r="F2739" s="16" t="n">
        <v>33.33</v>
      </c>
      <c r="G2739" s="17" t="n"/>
      <c r="H2739" s="16" t="n">
        <v>-33.33</v>
      </c>
      <c r="I2739" s="16" t="n">
        <v>0</v>
      </c>
    </row>
    <row r="2740">
      <c r="A2740" t="inlineStr">
        <is>
          <t>MTR-IOS-2738</t>
        </is>
      </c>
      <c r="B2740" t="inlineStr">
        <is>
          <t>Flatmates</t>
        </is>
      </c>
      <c r="C2740" t="inlineStr">
        <is>
          <t>EQUAL</t>
        </is>
      </c>
      <c r="D2740" t="inlineStr">
        <is>
          <t>IOS Meera</t>
        </is>
      </c>
      <c r="E2740" s="16" t="n">
        <v>0</v>
      </c>
      <c r="F2740" s="16" t="n">
        <v>33.33</v>
      </c>
      <c r="G2740" s="17" t="n"/>
      <c r="H2740" s="16" t="n">
        <v>-33.33</v>
      </c>
      <c r="I2740" s="16" t="n">
        <v>0</v>
      </c>
    </row>
    <row r="2741">
      <c r="A2741" t="inlineStr">
        <is>
          <t>MTR-IOS-2741</t>
        </is>
      </c>
      <c r="B2741" t="inlineStr">
        <is>
          <t>Flatmates</t>
        </is>
      </c>
      <c r="C2741" t="inlineStr">
        <is>
          <t>PERCENTAGE</t>
        </is>
      </c>
      <c r="D2741" t="inlineStr">
        <is>
          <t>IOS Owner</t>
        </is>
      </c>
      <c r="E2741" s="16" t="n">
        <v>0</v>
      </c>
      <c r="F2741" s="16" t="n">
        <v>3924.68</v>
      </c>
      <c r="G2741" s="17" t="n">
        <v>50</v>
      </c>
      <c r="H2741" s="16" t="n">
        <v>-3924.68</v>
      </c>
      <c r="I2741" s="16" t="n">
        <v>0</v>
      </c>
    </row>
    <row r="2742">
      <c r="A2742" t="inlineStr">
        <is>
          <t>MTR-IOS-2741</t>
        </is>
      </c>
      <c r="B2742" t="inlineStr">
        <is>
          <t>Flatmates</t>
        </is>
      </c>
      <c r="C2742" t="inlineStr">
        <is>
          <t>PERCENTAGE</t>
        </is>
      </c>
      <c r="D2742" t="inlineStr">
        <is>
          <t>IOS Aarav</t>
        </is>
      </c>
      <c r="E2742" s="16" t="n">
        <v>7849.35</v>
      </c>
      <c r="F2742" s="16" t="n">
        <v>2354.81</v>
      </c>
      <c r="G2742" s="17" t="n">
        <v>30</v>
      </c>
      <c r="H2742" s="16" t="n">
        <v>5494.54</v>
      </c>
      <c r="I2742" s="16" t="n">
        <v>0</v>
      </c>
    </row>
    <row r="2743">
      <c r="A2743" t="inlineStr">
        <is>
          <t>MTR-IOS-2741</t>
        </is>
      </c>
      <c r="B2743" t="inlineStr">
        <is>
          <t>Flatmates</t>
        </is>
      </c>
      <c r="C2743" t="inlineStr">
        <is>
          <t>PERCENTAGE</t>
        </is>
      </c>
      <c r="D2743" t="inlineStr">
        <is>
          <t>IOS Meera</t>
        </is>
      </c>
      <c r="E2743" s="16" t="n">
        <v>0</v>
      </c>
      <c r="F2743" s="16" t="n">
        <v>1569.86</v>
      </c>
      <c r="G2743" s="17" t="n">
        <v>20</v>
      </c>
      <c r="H2743" s="16" t="n">
        <v>-1569.86</v>
      </c>
      <c r="I2743" s="16" t="n">
        <v>0</v>
      </c>
    </row>
    <row r="2744">
      <c r="A2744" t="inlineStr">
        <is>
          <t>MTR-IOS-2744</t>
        </is>
      </c>
      <c r="B2744" t="inlineStr">
        <is>
          <t>Flatmates</t>
        </is>
      </c>
      <c r="C2744" t="inlineStr">
        <is>
          <t>EXACT</t>
        </is>
      </c>
      <c r="D2744" t="inlineStr">
        <is>
          <t>IOS Owner</t>
        </is>
      </c>
      <c r="E2744" s="16" t="n">
        <v>0</v>
      </c>
      <c r="F2744" s="16" t="n">
        <v>1158.74</v>
      </c>
      <c r="G2744" s="17" t="n"/>
      <c r="H2744" s="16" t="n">
        <v>-1158.74</v>
      </c>
      <c r="I2744" s="16" t="n">
        <v>0</v>
      </c>
    </row>
    <row r="2745">
      <c r="A2745" t="inlineStr">
        <is>
          <t>MTR-IOS-2744</t>
        </is>
      </c>
      <c r="B2745" t="inlineStr">
        <is>
          <t>Flatmates</t>
        </is>
      </c>
      <c r="C2745" t="inlineStr">
        <is>
          <t>EXACT</t>
        </is>
      </c>
      <c r="D2745" t="inlineStr">
        <is>
          <t>IOS Aarav</t>
        </is>
      </c>
      <c r="E2745" s="16" t="n">
        <v>0</v>
      </c>
      <c r="F2745" s="16" t="n">
        <v>1158.74</v>
      </c>
      <c r="G2745" s="17" t="n"/>
      <c r="H2745" s="16" t="n">
        <v>-1158.74</v>
      </c>
      <c r="I2745" s="16" t="n">
        <v>0</v>
      </c>
    </row>
    <row r="2746">
      <c r="A2746" t="inlineStr">
        <is>
          <t>MTR-IOS-2744</t>
        </is>
      </c>
      <c r="B2746" t="inlineStr">
        <is>
          <t>Flatmates</t>
        </is>
      </c>
      <c r="C2746" t="inlineStr">
        <is>
          <t>EXACT</t>
        </is>
      </c>
      <c r="D2746" t="inlineStr">
        <is>
          <t>IOS Meera</t>
        </is>
      </c>
      <c r="E2746" s="16" t="n">
        <v>3479.7</v>
      </c>
      <c r="F2746" s="16" t="n">
        <v>1162.22</v>
      </c>
      <c r="G2746" s="17" t="n"/>
      <c r="H2746" s="16" t="n">
        <v>2317.48</v>
      </c>
      <c r="I2746" s="16" t="n">
        <v>0</v>
      </c>
    </row>
    <row r="2747">
      <c r="A2747" t="inlineStr">
        <is>
          <t>MTR-IOS-2747</t>
        </is>
      </c>
      <c r="B2747" t="inlineStr">
        <is>
          <t>Shared Living</t>
        </is>
      </c>
      <c r="C2747" t="inlineStr">
        <is>
          <t>SHARES</t>
        </is>
      </c>
      <c r="D2747" t="inlineStr">
        <is>
          <t>IOS Owner</t>
        </is>
      </c>
      <c r="E2747" s="16" t="n">
        <v>26313.06</v>
      </c>
      <c r="F2747" s="16" t="n">
        <v>13156.53</v>
      </c>
      <c r="G2747" s="17" t="n"/>
      <c r="H2747" s="16" t="n">
        <v>13156.53</v>
      </c>
      <c r="I2747" s="16" t="n">
        <v>0</v>
      </c>
    </row>
    <row r="2748">
      <c r="A2748" t="inlineStr">
        <is>
          <t>MTR-IOS-2747</t>
        </is>
      </c>
      <c r="B2748" t="inlineStr">
        <is>
          <t>Shared Living</t>
        </is>
      </c>
      <c r="C2748" t="inlineStr">
        <is>
          <t>SHARES</t>
        </is>
      </c>
      <c r="D2748" t="inlineStr">
        <is>
          <t>IOS Aarav</t>
        </is>
      </c>
      <c r="E2748" s="16" t="n">
        <v>0</v>
      </c>
      <c r="F2748" s="16" t="n">
        <v>8771.02</v>
      </c>
      <c r="G2748" s="17" t="n"/>
      <c r="H2748" s="16" t="n">
        <v>-8771.02</v>
      </c>
      <c r="I2748" s="16" t="n">
        <v>0</v>
      </c>
    </row>
    <row r="2749">
      <c r="A2749" t="inlineStr">
        <is>
          <t>MTR-IOS-2747</t>
        </is>
      </c>
      <c r="B2749" t="inlineStr">
        <is>
          <t>Shared Living</t>
        </is>
      </c>
      <c r="C2749" t="inlineStr">
        <is>
          <t>SHARES</t>
        </is>
      </c>
      <c r="D2749" t="inlineStr">
        <is>
          <t>IOS Meera</t>
        </is>
      </c>
      <c r="E2749" s="16" t="n">
        <v>0</v>
      </c>
      <c r="F2749" s="16" t="n">
        <v>4385.51</v>
      </c>
      <c r="G2749" s="17" t="n"/>
      <c r="H2749" s="16" t="n">
        <v>-4385.51</v>
      </c>
      <c r="I2749" s="16" t="n">
        <v>0</v>
      </c>
    </row>
    <row r="2750">
      <c r="A2750" t="inlineStr">
        <is>
          <t>MTR-IOS-2750</t>
        </is>
      </c>
      <c r="B2750" t="inlineStr">
        <is>
          <t>Shared Living</t>
        </is>
      </c>
      <c r="C2750" t="inlineStr">
        <is>
          <t>EQUAL</t>
        </is>
      </c>
      <c r="D2750" t="inlineStr">
        <is>
          <t>IOS Owner</t>
        </is>
      </c>
      <c r="E2750" s="16" t="n">
        <v>0</v>
      </c>
      <c r="F2750" s="16" t="n">
        <v>6678.55</v>
      </c>
      <c r="G2750" s="17" t="n"/>
      <c r="H2750" s="16" t="n">
        <v>-6678.55</v>
      </c>
      <c r="I2750" s="16" t="n">
        <v>0</v>
      </c>
    </row>
    <row r="2751">
      <c r="A2751" t="inlineStr">
        <is>
          <t>MTR-IOS-2750</t>
        </is>
      </c>
      <c r="B2751" t="inlineStr">
        <is>
          <t>Shared Living</t>
        </is>
      </c>
      <c r="C2751" t="inlineStr">
        <is>
          <t>EQUAL</t>
        </is>
      </c>
      <c r="D2751" t="inlineStr">
        <is>
          <t>IOS Aarav</t>
        </is>
      </c>
      <c r="E2751" s="16" t="n">
        <v>20035.65</v>
      </c>
      <c r="F2751" s="16" t="n">
        <v>6678.55</v>
      </c>
      <c r="G2751" s="17" t="n"/>
      <c r="H2751" s="16" t="n">
        <v>13357.1</v>
      </c>
      <c r="I2751" s="16" t="n">
        <v>0</v>
      </c>
    </row>
    <row r="2752">
      <c r="A2752" t="inlineStr">
        <is>
          <t>MTR-IOS-2750</t>
        </is>
      </c>
      <c r="B2752" t="inlineStr">
        <is>
          <t>Shared Living</t>
        </is>
      </c>
      <c r="C2752" t="inlineStr">
        <is>
          <t>EQUAL</t>
        </is>
      </c>
      <c r="D2752" t="inlineStr">
        <is>
          <t>IOS Meera</t>
        </is>
      </c>
      <c r="E2752" s="16" t="n">
        <v>0</v>
      </c>
      <c r="F2752" s="16" t="n">
        <v>6678.55</v>
      </c>
      <c r="G2752" s="17" t="n"/>
      <c r="H2752" s="16" t="n">
        <v>-6678.55</v>
      </c>
      <c r="I2752" s="16" t="n">
        <v>0</v>
      </c>
    </row>
    <row r="2753">
      <c r="A2753" t="inlineStr">
        <is>
          <t>MTR-IOS-2753</t>
        </is>
      </c>
      <c r="B2753" t="inlineStr">
        <is>
          <t>Shared Living</t>
        </is>
      </c>
      <c r="C2753" t="inlineStr">
        <is>
          <t>PERCENTAGE</t>
        </is>
      </c>
      <c r="D2753" t="inlineStr">
        <is>
          <t>IOS Owner</t>
        </is>
      </c>
      <c r="E2753" s="16" t="n">
        <v>0</v>
      </c>
      <c r="F2753" s="16" t="n">
        <v>1884.55</v>
      </c>
      <c r="G2753" s="17" t="n">
        <v>50</v>
      </c>
      <c r="H2753" s="16" t="n">
        <v>-1884.55</v>
      </c>
      <c r="I2753" s="16" t="n">
        <v>0</v>
      </c>
    </row>
    <row r="2754">
      <c r="A2754" t="inlineStr">
        <is>
          <t>MTR-IOS-2753</t>
        </is>
      </c>
      <c r="B2754" t="inlineStr">
        <is>
          <t>Shared Living</t>
        </is>
      </c>
      <c r="C2754" t="inlineStr">
        <is>
          <t>PERCENTAGE</t>
        </is>
      </c>
      <c r="D2754" t="inlineStr">
        <is>
          <t>IOS Aarav</t>
        </is>
      </c>
      <c r="E2754" s="16" t="n">
        <v>0</v>
      </c>
      <c r="F2754" s="16" t="n">
        <v>1130.73</v>
      </c>
      <c r="G2754" s="17" t="n">
        <v>30</v>
      </c>
      <c r="H2754" s="16" t="n">
        <v>-1130.73</v>
      </c>
      <c r="I2754" s="16" t="n">
        <v>0</v>
      </c>
    </row>
    <row r="2755">
      <c r="A2755" t="inlineStr">
        <is>
          <t>MTR-IOS-2753</t>
        </is>
      </c>
      <c r="B2755" t="inlineStr">
        <is>
          <t>Shared Living</t>
        </is>
      </c>
      <c r="C2755" t="inlineStr">
        <is>
          <t>PERCENTAGE</t>
        </is>
      </c>
      <c r="D2755" t="inlineStr">
        <is>
          <t>IOS Meera</t>
        </is>
      </c>
      <c r="E2755" s="16" t="n">
        <v>3769.1</v>
      </c>
      <c r="F2755" s="16" t="n">
        <v>753.8200000000001</v>
      </c>
      <c r="G2755" s="17" t="n">
        <v>20</v>
      </c>
      <c r="H2755" s="16" t="n">
        <v>3015.28</v>
      </c>
      <c r="I2755" s="16" t="n">
        <v>0</v>
      </c>
    </row>
    <row r="2756">
      <c r="A2756" t="inlineStr">
        <is>
          <t>MTR-IOS-2756</t>
        </is>
      </c>
      <c r="B2756" t="inlineStr">
        <is>
          <t>Shared Living</t>
        </is>
      </c>
      <c r="C2756" t="inlineStr">
        <is>
          <t>EXACT</t>
        </is>
      </c>
      <c r="D2756" t="inlineStr">
        <is>
          <t>IOS Owner</t>
        </is>
      </c>
      <c r="E2756" s="16" t="n">
        <v>7137.5</v>
      </c>
      <c r="F2756" s="16" t="n">
        <v>2376.79</v>
      </c>
      <c r="G2756" s="17" t="n"/>
      <c r="H2756" s="16" t="n">
        <v>4760.71</v>
      </c>
      <c r="I2756" s="16" t="n">
        <v>0</v>
      </c>
    </row>
    <row r="2757">
      <c r="A2757" t="inlineStr">
        <is>
          <t>MTR-IOS-2756</t>
        </is>
      </c>
      <c r="B2757" t="inlineStr">
        <is>
          <t>Shared Living</t>
        </is>
      </c>
      <c r="C2757" t="inlineStr">
        <is>
          <t>EXACT</t>
        </is>
      </c>
      <c r="D2757" t="inlineStr">
        <is>
          <t>IOS Aarav</t>
        </is>
      </c>
      <c r="E2757" s="16" t="n">
        <v>0</v>
      </c>
      <c r="F2757" s="16" t="n">
        <v>2376.79</v>
      </c>
      <c r="G2757" s="17" t="n"/>
      <c r="H2757" s="16" t="n">
        <v>-2376.79</v>
      </c>
      <c r="I2757" s="16" t="n">
        <v>0</v>
      </c>
    </row>
    <row r="2758">
      <c r="A2758" t="inlineStr">
        <is>
          <t>MTR-IOS-2756</t>
        </is>
      </c>
      <c r="B2758" t="inlineStr">
        <is>
          <t>Shared Living</t>
        </is>
      </c>
      <c r="C2758" t="inlineStr">
        <is>
          <t>EXACT</t>
        </is>
      </c>
      <c r="D2758" t="inlineStr">
        <is>
          <t>IOS Meera</t>
        </is>
      </c>
      <c r="E2758" s="16" t="n">
        <v>0</v>
      </c>
      <c r="F2758" s="16" t="n">
        <v>2383.92</v>
      </c>
      <c r="G2758" s="17" t="n"/>
      <c r="H2758" s="16" t="n">
        <v>-2383.92</v>
      </c>
      <c r="I2758" s="16" t="n">
        <v>0</v>
      </c>
    </row>
    <row r="2759">
      <c r="A2759" t="inlineStr">
        <is>
          <t>MTR-IOS-2759</t>
        </is>
      </c>
      <c r="B2759" t="inlineStr">
        <is>
          <t>Shared Living</t>
        </is>
      </c>
      <c r="C2759" t="inlineStr">
        <is>
          <t>SHARES</t>
        </is>
      </c>
      <c r="D2759" t="inlineStr">
        <is>
          <t>IOS Owner</t>
        </is>
      </c>
      <c r="E2759" s="16" t="n">
        <v>0</v>
      </c>
      <c r="F2759" s="16" t="n">
        <v>10907.12</v>
      </c>
      <c r="G2759" s="17" t="n"/>
      <c r="H2759" s="16" t="n">
        <v>-10907.12</v>
      </c>
      <c r="I2759" s="16" t="n">
        <v>0</v>
      </c>
    </row>
    <row r="2760">
      <c r="A2760" t="inlineStr">
        <is>
          <t>MTR-IOS-2759</t>
        </is>
      </c>
      <c r="B2760" t="inlineStr">
        <is>
          <t>Shared Living</t>
        </is>
      </c>
      <c r="C2760" t="inlineStr">
        <is>
          <t>SHARES</t>
        </is>
      </c>
      <c r="D2760" t="inlineStr">
        <is>
          <t>IOS Aarav</t>
        </is>
      </c>
      <c r="E2760" s="16" t="n">
        <v>21814.23</v>
      </c>
      <c r="F2760" s="16" t="n">
        <v>7271.41</v>
      </c>
      <c r="G2760" s="17" t="n"/>
      <c r="H2760" s="16" t="n">
        <v>14542.82</v>
      </c>
      <c r="I2760" s="16" t="n">
        <v>0</v>
      </c>
    </row>
    <row r="2761">
      <c r="A2761" t="inlineStr">
        <is>
          <t>MTR-IOS-2759</t>
        </is>
      </c>
      <c r="B2761" t="inlineStr">
        <is>
          <t>Shared Living</t>
        </is>
      </c>
      <c r="C2761" t="inlineStr">
        <is>
          <t>SHARES</t>
        </is>
      </c>
      <c r="D2761" t="inlineStr">
        <is>
          <t>IOS Meera</t>
        </is>
      </c>
      <c r="E2761" s="16" t="n">
        <v>0</v>
      </c>
      <c r="F2761" s="16" t="n">
        <v>3635.7</v>
      </c>
      <c r="G2761" s="17" t="n"/>
      <c r="H2761" s="16" t="n">
        <v>-3635.7</v>
      </c>
      <c r="I2761" s="16" t="n">
        <v>0</v>
      </c>
    </row>
    <row r="2762">
      <c r="A2762" t="inlineStr">
        <is>
          <t>MTR-IOS-2762</t>
        </is>
      </c>
      <c r="B2762" t="inlineStr">
        <is>
          <t>Family Household</t>
        </is>
      </c>
      <c r="C2762" t="inlineStr">
        <is>
          <t>EQUAL</t>
        </is>
      </c>
      <c r="D2762" t="inlineStr">
        <is>
          <t>IOS Owner</t>
        </is>
      </c>
      <c r="E2762" s="16" t="n">
        <v>0</v>
      </c>
      <c r="F2762" s="16" t="n">
        <v>2035.95</v>
      </c>
      <c r="G2762" s="17" t="n"/>
      <c r="H2762" s="16" t="n">
        <v>-2035.95</v>
      </c>
      <c r="I2762" s="16" t="n">
        <v>0</v>
      </c>
    </row>
    <row r="2763">
      <c r="A2763" t="inlineStr">
        <is>
          <t>MTR-IOS-2762</t>
        </is>
      </c>
      <c r="B2763" t="inlineStr">
        <is>
          <t>Family Household</t>
        </is>
      </c>
      <c r="C2763" t="inlineStr">
        <is>
          <t>EQUAL</t>
        </is>
      </c>
      <c r="D2763" t="inlineStr">
        <is>
          <t>IOS Aarav</t>
        </is>
      </c>
      <c r="E2763" s="16" t="n">
        <v>0</v>
      </c>
      <c r="F2763" s="16" t="n">
        <v>2035.95</v>
      </c>
      <c r="G2763" s="17" t="n"/>
      <c r="H2763" s="16" t="n">
        <v>-2035.95</v>
      </c>
      <c r="I2763" s="16" t="n">
        <v>0</v>
      </c>
    </row>
    <row r="2764">
      <c r="A2764" t="inlineStr">
        <is>
          <t>MTR-IOS-2762</t>
        </is>
      </c>
      <c r="B2764" t="inlineStr">
        <is>
          <t>Family Household</t>
        </is>
      </c>
      <c r="C2764" t="inlineStr">
        <is>
          <t>EQUAL</t>
        </is>
      </c>
      <c r="D2764" t="inlineStr">
        <is>
          <t>IOS Meera</t>
        </is>
      </c>
      <c r="E2764" s="16" t="n">
        <v>6107.85</v>
      </c>
      <c r="F2764" s="16" t="n">
        <v>2035.95</v>
      </c>
      <c r="G2764" s="17" t="n"/>
      <c r="H2764" s="16" t="n">
        <v>4071.9</v>
      </c>
      <c r="I2764" s="16" t="n">
        <v>0</v>
      </c>
    </row>
    <row r="2765">
      <c r="A2765" t="inlineStr">
        <is>
          <t>MTR-IOS-2765</t>
        </is>
      </c>
      <c r="B2765" t="inlineStr">
        <is>
          <t>Family Household</t>
        </is>
      </c>
      <c r="C2765" t="inlineStr">
        <is>
          <t>PERCENTAGE</t>
        </is>
      </c>
      <c r="D2765" t="inlineStr">
        <is>
          <t>IOS Owner</t>
        </is>
      </c>
      <c r="E2765" s="16" t="n">
        <v>7363.24</v>
      </c>
      <c r="F2765" s="16" t="n">
        <v>3681.62</v>
      </c>
      <c r="G2765" s="17" t="n">
        <v>50</v>
      </c>
      <c r="H2765" s="16" t="n">
        <v>3681.62</v>
      </c>
      <c r="I2765" s="16" t="n">
        <v>0</v>
      </c>
    </row>
    <row r="2766">
      <c r="A2766" t="inlineStr">
        <is>
          <t>MTR-IOS-2765</t>
        </is>
      </c>
      <c r="B2766" t="inlineStr">
        <is>
          <t>Family Household</t>
        </is>
      </c>
      <c r="C2766" t="inlineStr">
        <is>
          <t>PERCENTAGE</t>
        </is>
      </c>
      <c r="D2766" t="inlineStr">
        <is>
          <t>IOS Aarav</t>
        </is>
      </c>
      <c r="E2766" s="16" t="n">
        <v>0</v>
      </c>
      <c r="F2766" s="16" t="n">
        <v>2208.97</v>
      </c>
      <c r="G2766" s="17" t="n">
        <v>30</v>
      </c>
      <c r="H2766" s="16" t="n">
        <v>-2208.97</v>
      </c>
      <c r="I2766" s="16" t="n">
        <v>0</v>
      </c>
    </row>
    <row r="2767">
      <c r="A2767" t="inlineStr">
        <is>
          <t>MTR-IOS-2765</t>
        </is>
      </c>
      <c r="B2767" t="inlineStr">
        <is>
          <t>Family Household</t>
        </is>
      </c>
      <c r="C2767" t="inlineStr">
        <is>
          <t>PERCENTAGE</t>
        </is>
      </c>
      <c r="D2767" t="inlineStr">
        <is>
          <t>IOS Meera</t>
        </is>
      </c>
      <c r="E2767" s="16" t="n">
        <v>0</v>
      </c>
      <c r="F2767" s="16" t="n">
        <v>1472.65</v>
      </c>
      <c r="G2767" s="17" t="n">
        <v>20</v>
      </c>
      <c r="H2767" s="16" t="n">
        <v>-1472.65</v>
      </c>
      <c r="I2767" s="16" t="n">
        <v>0</v>
      </c>
    </row>
    <row r="2768">
      <c r="A2768" t="inlineStr">
        <is>
          <t>MTR-IOS-2768</t>
        </is>
      </c>
      <c r="B2768" t="inlineStr">
        <is>
          <t>Family Household</t>
        </is>
      </c>
      <c r="C2768" t="inlineStr">
        <is>
          <t>EXACT</t>
        </is>
      </c>
      <c r="D2768" t="inlineStr">
        <is>
          <t>IOS Owner</t>
        </is>
      </c>
      <c r="E2768" s="16" t="n">
        <v>0</v>
      </c>
      <c r="F2768" s="16" t="n">
        <v>6164.18</v>
      </c>
      <c r="G2768" s="17" t="n"/>
      <c r="H2768" s="16" t="n">
        <v>-6164.18</v>
      </c>
      <c r="I2768" s="16" t="n">
        <v>0</v>
      </c>
    </row>
    <row r="2769">
      <c r="A2769" t="inlineStr">
        <is>
          <t>MTR-IOS-2768</t>
        </is>
      </c>
      <c r="B2769" t="inlineStr">
        <is>
          <t>Family Household</t>
        </is>
      </c>
      <c r="C2769" t="inlineStr">
        <is>
          <t>EXACT</t>
        </is>
      </c>
      <c r="D2769" t="inlineStr">
        <is>
          <t>IOS Aarav</t>
        </is>
      </c>
      <c r="E2769" s="16" t="n">
        <v>18511.04</v>
      </c>
      <c r="F2769" s="16" t="n">
        <v>6164.18</v>
      </c>
      <c r="G2769" s="17" t="n"/>
      <c r="H2769" s="16" t="n">
        <v>12346.86</v>
      </c>
      <c r="I2769" s="16" t="n">
        <v>0</v>
      </c>
    </row>
    <row r="2770">
      <c r="A2770" t="inlineStr">
        <is>
          <t>MTR-IOS-2768</t>
        </is>
      </c>
      <c r="B2770" t="inlineStr">
        <is>
          <t>Family Household</t>
        </is>
      </c>
      <c r="C2770" t="inlineStr">
        <is>
          <t>EXACT</t>
        </is>
      </c>
      <c r="D2770" t="inlineStr">
        <is>
          <t>IOS Meera</t>
        </is>
      </c>
      <c r="E2770" s="16" t="n">
        <v>0</v>
      </c>
      <c r="F2770" s="16" t="n">
        <v>6182.68</v>
      </c>
      <c r="G2770" s="17" t="n"/>
      <c r="H2770" s="16" t="n">
        <v>-6182.68</v>
      </c>
      <c r="I2770" s="16" t="n">
        <v>0</v>
      </c>
    </row>
    <row r="2771">
      <c r="A2771" t="inlineStr">
        <is>
          <t>MTR-IOS-2771</t>
        </is>
      </c>
      <c r="B2771" t="inlineStr">
        <is>
          <t>Family Household</t>
        </is>
      </c>
      <c r="C2771" t="inlineStr">
        <is>
          <t>SHARES</t>
        </is>
      </c>
      <c r="D2771" t="inlineStr">
        <is>
          <t>IOS Owner</t>
        </is>
      </c>
      <c r="E2771" s="16" t="n">
        <v>0</v>
      </c>
      <c r="F2771" s="16" t="n">
        <v>2693.61</v>
      </c>
      <c r="G2771" s="17" t="n"/>
      <c r="H2771" s="16" t="n">
        <v>-2693.61</v>
      </c>
      <c r="I2771" s="16" t="n">
        <v>0</v>
      </c>
    </row>
    <row r="2772">
      <c r="A2772" t="inlineStr">
        <is>
          <t>MTR-IOS-2771</t>
        </is>
      </c>
      <c r="B2772" t="inlineStr">
        <is>
          <t>Family Household</t>
        </is>
      </c>
      <c r="C2772" t="inlineStr">
        <is>
          <t>SHARES</t>
        </is>
      </c>
      <c r="D2772" t="inlineStr">
        <is>
          <t>IOS Aarav</t>
        </is>
      </c>
      <c r="E2772" s="16" t="n">
        <v>0</v>
      </c>
      <c r="F2772" s="16" t="n">
        <v>1795.74</v>
      </c>
      <c r="G2772" s="17" t="n"/>
      <c r="H2772" s="16" t="n">
        <v>-1795.74</v>
      </c>
      <c r="I2772" s="16" t="n">
        <v>0</v>
      </c>
    </row>
    <row r="2773">
      <c r="A2773" t="inlineStr">
        <is>
          <t>MTR-IOS-2771</t>
        </is>
      </c>
      <c r="B2773" t="inlineStr">
        <is>
          <t>Family Household</t>
        </is>
      </c>
      <c r="C2773" t="inlineStr">
        <is>
          <t>SHARES</t>
        </is>
      </c>
      <c r="D2773" t="inlineStr">
        <is>
          <t>IOS Meera</t>
        </is>
      </c>
      <c r="E2773" s="16" t="n">
        <v>5387.21</v>
      </c>
      <c r="F2773" s="16" t="n">
        <v>897.86</v>
      </c>
      <c r="G2773" s="17" t="n"/>
      <c r="H2773" s="16" t="n">
        <v>4489.35</v>
      </c>
      <c r="I2773" s="16" t="n">
        <v>0</v>
      </c>
    </row>
    <row r="2774">
      <c r="A2774" t="inlineStr">
        <is>
          <t>MTR-IOS-2774</t>
        </is>
      </c>
      <c r="B2774" t="inlineStr">
        <is>
          <t>Family Household</t>
        </is>
      </c>
      <c r="C2774" t="inlineStr">
        <is>
          <t>EQUAL</t>
        </is>
      </c>
      <c r="D2774" t="inlineStr">
        <is>
          <t>IOS Owner</t>
        </is>
      </c>
      <c r="E2774" s="16" t="n">
        <v>1238.9</v>
      </c>
      <c r="F2774" s="16" t="n">
        <v>412.97</v>
      </c>
      <c r="G2774" s="17" t="n"/>
      <c r="H2774" s="16" t="n">
        <v>825.9299999999999</v>
      </c>
      <c r="I2774" s="16" t="n">
        <v>0</v>
      </c>
    </row>
    <row r="2775">
      <c r="A2775" t="inlineStr">
        <is>
          <t>MTR-IOS-2774</t>
        </is>
      </c>
      <c r="B2775" t="inlineStr">
        <is>
          <t>Family Household</t>
        </is>
      </c>
      <c r="C2775" t="inlineStr">
        <is>
          <t>EQUAL</t>
        </is>
      </c>
      <c r="D2775" t="inlineStr">
        <is>
          <t>IOS Aarav</t>
        </is>
      </c>
      <c r="E2775" s="16" t="n">
        <v>0</v>
      </c>
      <c r="F2775" s="16" t="n">
        <v>412.97</v>
      </c>
      <c r="G2775" s="17" t="n"/>
      <c r="H2775" s="16" t="n">
        <v>-412.97</v>
      </c>
      <c r="I2775" s="16" t="n">
        <v>0</v>
      </c>
    </row>
    <row r="2776">
      <c r="A2776" t="inlineStr">
        <is>
          <t>MTR-IOS-2774</t>
        </is>
      </c>
      <c r="B2776" t="inlineStr">
        <is>
          <t>Family Household</t>
        </is>
      </c>
      <c r="C2776" t="inlineStr">
        <is>
          <t>EQUAL</t>
        </is>
      </c>
      <c r="D2776" t="inlineStr">
        <is>
          <t>IOS Meera</t>
        </is>
      </c>
      <c r="E2776" s="16" t="n">
        <v>0</v>
      </c>
      <c r="F2776" s="16" t="n">
        <v>412.96</v>
      </c>
      <c r="G2776" s="17" t="n"/>
      <c r="H2776" s="16" t="n">
        <v>-412.96</v>
      </c>
      <c r="I2776" s="16" t="n">
        <v>0</v>
      </c>
    </row>
    <row r="2777">
      <c r="A2777" t="inlineStr">
        <is>
          <t>MTR-IOS-2777</t>
        </is>
      </c>
      <c r="B2777" t="inlineStr">
        <is>
          <t>Family Household</t>
        </is>
      </c>
      <c r="C2777" t="inlineStr">
        <is>
          <t>PERCENTAGE</t>
        </is>
      </c>
      <c r="D2777" t="inlineStr">
        <is>
          <t>IOS Owner</t>
        </is>
      </c>
      <c r="E2777" s="16" t="n">
        <v>0</v>
      </c>
      <c r="F2777" s="16" t="n">
        <v>4587.12</v>
      </c>
      <c r="G2777" s="17" t="n">
        <v>50</v>
      </c>
      <c r="H2777" s="16" t="n">
        <v>-4587.12</v>
      </c>
      <c r="I2777" s="16" t="n">
        <v>0</v>
      </c>
    </row>
    <row r="2778">
      <c r="A2778" t="inlineStr">
        <is>
          <t>MTR-IOS-2777</t>
        </is>
      </c>
      <c r="B2778" t="inlineStr">
        <is>
          <t>Family Household</t>
        </is>
      </c>
      <c r="C2778" t="inlineStr">
        <is>
          <t>PERCENTAGE</t>
        </is>
      </c>
      <c r="D2778" t="inlineStr">
        <is>
          <t>IOS Aarav</t>
        </is>
      </c>
      <c r="E2778" s="16" t="n">
        <v>9174.24</v>
      </c>
      <c r="F2778" s="16" t="n">
        <v>2752.27</v>
      </c>
      <c r="G2778" s="17" t="n">
        <v>30</v>
      </c>
      <c r="H2778" s="16" t="n">
        <v>6421.97</v>
      </c>
      <c r="I2778" s="16" t="n">
        <v>0</v>
      </c>
    </row>
    <row r="2779">
      <c r="A2779" t="inlineStr">
        <is>
          <t>MTR-IOS-2777</t>
        </is>
      </c>
      <c r="B2779" t="inlineStr">
        <is>
          <t>Family Household</t>
        </is>
      </c>
      <c r="C2779" t="inlineStr">
        <is>
          <t>PERCENTAGE</t>
        </is>
      </c>
      <c r="D2779" t="inlineStr">
        <is>
          <t>IOS Meera</t>
        </is>
      </c>
      <c r="E2779" s="16" t="n">
        <v>0</v>
      </c>
      <c r="F2779" s="16" t="n">
        <v>1834.85</v>
      </c>
      <c r="G2779" s="17" t="n">
        <v>20</v>
      </c>
      <c r="H2779" s="16" t="n">
        <v>-1834.85</v>
      </c>
      <c r="I2779" s="16" t="n">
        <v>0</v>
      </c>
    </row>
    <row r="2780">
      <c r="A2780" t="inlineStr">
        <is>
          <t>MTR-IOS-2780</t>
        </is>
      </c>
      <c r="B2780" t="inlineStr">
        <is>
          <t>Custom Living</t>
        </is>
      </c>
      <c r="C2780" t="inlineStr">
        <is>
          <t>EXACT</t>
        </is>
      </c>
      <c r="D2780" t="inlineStr">
        <is>
          <t>IOS Owner</t>
        </is>
      </c>
      <c r="E2780" s="16" t="n">
        <v>0</v>
      </c>
      <c r="F2780" s="16" t="n">
        <v>1051.76</v>
      </c>
      <c r="G2780" s="17" t="n"/>
      <c r="H2780" s="16" t="n">
        <v>-1051.76</v>
      </c>
      <c r="I2780" s="16" t="n">
        <v>0</v>
      </c>
    </row>
    <row r="2781">
      <c r="A2781" t="inlineStr">
        <is>
          <t>MTR-IOS-2780</t>
        </is>
      </c>
      <c r="B2781" t="inlineStr">
        <is>
          <t>Custom Living</t>
        </is>
      </c>
      <c r="C2781" t="inlineStr">
        <is>
          <t>EXACT</t>
        </is>
      </c>
      <c r="D2781" t="inlineStr">
        <is>
          <t>IOS Aarav</t>
        </is>
      </c>
      <c r="E2781" s="16" t="n">
        <v>0</v>
      </c>
      <c r="F2781" s="16" t="n">
        <v>1051.76</v>
      </c>
      <c r="G2781" s="17" t="n"/>
      <c r="H2781" s="16" t="n">
        <v>-1051.76</v>
      </c>
      <c r="I2781" s="16" t="n">
        <v>0</v>
      </c>
    </row>
    <row r="2782">
      <c r="A2782" t="inlineStr">
        <is>
          <t>MTR-IOS-2780</t>
        </is>
      </c>
      <c r="B2782" t="inlineStr">
        <is>
          <t>Custom Living</t>
        </is>
      </c>
      <c r="C2782" t="inlineStr">
        <is>
          <t>EXACT</t>
        </is>
      </c>
      <c r="D2782" t="inlineStr">
        <is>
          <t>IOS Meera</t>
        </is>
      </c>
      <c r="E2782" s="16" t="n">
        <v>3158.43</v>
      </c>
      <c r="F2782" s="16" t="n">
        <v>1054.91</v>
      </c>
      <c r="G2782" s="17" t="n"/>
      <c r="H2782" s="16" t="n">
        <v>2103.52</v>
      </c>
      <c r="I2782" s="16" t="n">
        <v>0</v>
      </c>
    </row>
    <row r="2783">
      <c r="A2783" t="inlineStr">
        <is>
          <t>MTR-IOS-2783</t>
        </is>
      </c>
      <c r="B2783" t="inlineStr">
        <is>
          <t>Custom Living</t>
        </is>
      </c>
      <c r="C2783" t="inlineStr">
        <is>
          <t>SHARES</t>
        </is>
      </c>
      <c r="D2783" t="inlineStr">
        <is>
          <t>IOS Owner</t>
        </is>
      </c>
      <c r="E2783" s="16" t="n">
        <v>11948.93</v>
      </c>
      <c r="F2783" s="16" t="n">
        <v>5974.47</v>
      </c>
      <c r="G2783" s="17" t="n"/>
      <c r="H2783" s="16" t="n">
        <v>5974.46</v>
      </c>
      <c r="I2783" s="16" t="n">
        <v>0</v>
      </c>
    </row>
    <row r="2784">
      <c r="A2784" t="inlineStr">
        <is>
          <t>MTR-IOS-2783</t>
        </is>
      </c>
      <c r="B2784" t="inlineStr">
        <is>
          <t>Custom Living</t>
        </is>
      </c>
      <c r="C2784" t="inlineStr">
        <is>
          <t>SHARES</t>
        </is>
      </c>
      <c r="D2784" t="inlineStr">
        <is>
          <t>IOS Aarav</t>
        </is>
      </c>
      <c r="E2784" s="16" t="n">
        <v>0</v>
      </c>
      <c r="F2784" s="16" t="n">
        <v>3982.98</v>
      </c>
      <c r="G2784" s="17" t="n"/>
      <c r="H2784" s="16" t="n">
        <v>-3982.98</v>
      </c>
      <c r="I2784" s="16" t="n">
        <v>0</v>
      </c>
    </row>
    <row r="2785">
      <c r="A2785" t="inlineStr">
        <is>
          <t>MTR-IOS-2783</t>
        </is>
      </c>
      <c r="B2785" t="inlineStr">
        <is>
          <t>Custom Living</t>
        </is>
      </c>
      <c r="C2785" t="inlineStr">
        <is>
          <t>SHARES</t>
        </is>
      </c>
      <c r="D2785" t="inlineStr">
        <is>
          <t>IOS Meera</t>
        </is>
      </c>
      <c r="E2785" s="16" t="n">
        <v>0</v>
      </c>
      <c r="F2785" s="16" t="n">
        <v>1991.48</v>
      </c>
      <c r="G2785" s="17" t="n"/>
      <c r="H2785" s="16" t="n">
        <v>-1991.48</v>
      </c>
      <c r="I2785" s="16" t="n">
        <v>0</v>
      </c>
    </row>
    <row r="2786">
      <c r="A2786" t="inlineStr">
        <is>
          <t>MTR-IOS-2786</t>
        </is>
      </c>
      <c r="B2786" t="inlineStr">
        <is>
          <t>Trip</t>
        </is>
      </c>
      <c r="C2786" t="inlineStr">
        <is>
          <t>EQUAL</t>
        </is>
      </c>
      <c r="D2786" t="inlineStr">
        <is>
          <t>IOS Owner</t>
        </is>
      </c>
      <c r="E2786" s="16" t="n">
        <v>0</v>
      </c>
      <c r="F2786" s="16" t="n">
        <v>1558.48</v>
      </c>
      <c r="G2786" s="17" t="n"/>
      <c r="H2786" s="16" t="n">
        <v>-1558.48</v>
      </c>
      <c r="I2786" s="16" t="n">
        <v>0</v>
      </c>
    </row>
    <row r="2787">
      <c r="A2787" t="inlineStr">
        <is>
          <t>MTR-IOS-2786</t>
        </is>
      </c>
      <c r="B2787" t="inlineStr">
        <is>
          <t>Trip</t>
        </is>
      </c>
      <c r="C2787" t="inlineStr">
        <is>
          <t>EQUAL</t>
        </is>
      </c>
      <c r="D2787" t="inlineStr">
        <is>
          <t>IOS Aarav</t>
        </is>
      </c>
      <c r="E2787" s="16" t="n">
        <v>4675.44</v>
      </c>
      <c r="F2787" s="16" t="n">
        <v>1558.48</v>
      </c>
      <c r="G2787" s="17" t="n"/>
      <c r="H2787" s="16" t="n">
        <v>3116.96</v>
      </c>
      <c r="I2787" s="16" t="n">
        <v>0</v>
      </c>
    </row>
    <row r="2788">
      <c r="A2788" t="inlineStr">
        <is>
          <t>MTR-IOS-2786</t>
        </is>
      </c>
      <c r="B2788" t="inlineStr">
        <is>
          <t>Trip</t>
        </is>
      </c>
      <c r="C2788" t="inlineStr">
        <is>
          <t>EQUAL</t>
        </is>
      </c>
      <c r="D2788" t="inlineStr">
        <is>
          <t>IOS Meera</t>
        </is>
      </c>
      <c r="E2788" s="16" t="n">
        <v>0</v>
      </c>
      <c r="F2788" s="16" t="n">
        <v>1558.48</v>
      </c>
      <c r="G2788" s="17" t="n"/>
      <c r="H2788" s="16" t="n">
        <v>-1558.48</v>
      </c>
      <c r="I2788" s="16" t="n">
        <v>0</v>
      </c>
    </row>
    <row r="2789">
      <c r="A2789" t="inlineStr">
        <is>
          <t>MTR-IOS-2789</t>
        </is>
      </c>
      <c r="B2789" t="inlineStr">
        <is>
          <t>Trip</t>
        </is>
      </c>
      <c r="C2789" t="inlineStr">
        <is>
          <t>PERCENTAGE</t>
        </is>
      </c>
      <c r="D2789" t="inlineStr">
        <is>
          <t>IOS Owner</t>
        </is>
      </c>
      <c r="E2789" s="16" t="n">
        <v>0</v>
      </c>
      <c r="F2789" s="16" t="n">
        <v>2536.66</v>
      </c>
      <c r="G2789" s="17" t="n">
        <v>50</v>
      </c>
      <c r="H2789" s="16" t="n">
        <v>-2536.66</v>
      </c>
      <c r="I2789" s="16" t="n">
        <v>0</v>
      </c>
    </row>
    <row r="2790">
      <c r="A2790" t="inlineStr">
        <is>
          <t>MTR-IOS-2789</t>
        </is>
      </c>
      <c r="B2790" t="inlineStr">
        <is>
          <t>Trip</t>
        </is>
      </c>
      <c r="C2790" t="inlineStr">
        <is>
          <t>PERCENTAGE</t>
        </is>
      </c>
      <c r="D2790" t="inlineStr">
        <is>
          <t>IOS Aarav</t>
        </is>
      </c>
      <c r="E2790" s="16" t="n">
        <v>0</v>
      </c>
      <c r="F2790" s="16" t="n">
        <v>1521.99</v>
      </c>
      <c r="G2790" s="17" t="n">
        <v>30</v>
      </c>
      <c r="H2790" s="16" t="n">
        <v>-1521.99</v>
      </c>
      <c r="I2790" s="16" t="n">
        <v>0</v>
      </c>
    </row>
    <row r="2791">
      <c r="A2791" t="inlineStr">
        <is>
          <t>MTR-IOS-2789</t>
        </is>
      </c>
      <c r="B2791" t="inlineStr">
        <is>
          <t>Trip</t>
        </is>
      </c>
      <c r="C2791" t="inlineStr">
        <is>
          <t>PERCENTAGE</t>
        </is>
      </c>
      <c r="D2791" t="inlineStr">
        <is>
          <t>IOS Meera</t>
        </is>
      </c>
      <c r="E2791" s="16" t="n">
        <v>5073.31</v>
      </c>
      <c r="F2791" s="16" t="n">
        <v>1014.66</v>
      </c>
      <c r="G2791" s="17" t="n">
        <v>20</v>
      </c>
      <c r="H2791" s="16" t="n">
        <v>4058.65</v>
      </c>
      <c r="I2791" s="16" t="n">
        <v>0</v>
      </c>
    </row>
    <row r="2792">
      <c r="A2792" t="inlineStr">
        <is>
          <t>MTR-IOS-2792</t>
        </is>
      </c>
      <c r="B2792" t="inlineStr">
        <is>
          <t>Trip</t>
        </is>
      </c>
      <c r="C2792" t="inlineStr">
        <is>
          <t>EXACT</t>
        </is>
      </c>
      <c r="D2792" t="inlineStr">
        <is>
          <t>IOS Owner</t>
        </is>
      </c>
      <c r="E2792" s="16" t="n">
        <v>6576.42</v>
      </c>
      <c r="F2792" s="16" t="n">
        <v>2189.95</v>
      </c>
      <c r="G2792" s="17" t="n"/>
      <c r="H2792" s="16" t="n">
        <v>4386.47</v>
      </c>
      <c r="I2792" s="16" t="n">
        <v>0</v>
      </c>
    </row>
    <row r="2793">
      <c r="A2793" t="inlineStr">
        <is>
          <t>MTR-IOS-2792</t>
        </is>
      </c>
      <c r="B2793" t="inlineStr">
        <is>
          <t>Trip</t>
        </is>
      </c>
      <c r="C2793" t="inlineStr">
        <is>
          <t>EXACT</t>
        </is>
      </c>
      <c r="D2793" t="inlineStr">
        <is>
          <t>IOS Aarav</t>
        </is>
      </c>
      <c r="E2793" s="16" t="n">
        <v>0</v>
      </c>
      <c r="F2793" s="16" t="n">
        <v>2189.95</v>
      </c>
      <c r="G2793" s="17" t="n"/>
      <c r="H2793" s="16" t="n">
        <v>-2189.95</v>
      </c>
      <c r="I2793" s="16" t="n">
        <v>0</v>
      </c>
    </row>
    <row r="2794">
      <c r="A2794" t="inlineStr">
        <is>
          <t>MTR-IOS-2792</t>
        </is>
      </c>
      <c r="B2794" t="inlineStr">
        <is>
          <t>Trip</t>
        </is>
      </c>
      <c r="C2794" t="inlineStr">
        <is>
          <t>EXACT</t>
        </is>
      </c>
      <c r="D2794" t="inlineStr">
        <is>
          <t>IOS Meera</t>
        </is>
      </c>
      <c r="E2794" s="16" t="n">
        <v>0</v>
      </c>
      <c r="F2794" s="16" t="n">
        <v>2196.52</v>
      </c>
      <c r="G2794" s="17" t="n"/>
      <c r="H2794" s="16" t="n">
        <v>-2196.52</v>
      </c>
      <c r="I2794" s="16" t="n">
        <v>0</v>
      </c>
    </row>
    <row r="2795">
      <c r="A2795" t="inlineStr">
        <is>
          <t>MTR-IOS-2795</t>
        </is>
      </c>
      <c r="B2795" t="inlineStr">
        <is>
          <t>Trip</t>
        </is>
      </c>
      <c r="C2795" t="inlineStr">
        <is>
          <t>SHARES</t>
        </is>
      </c>
      <c r="D2795" t="inlineStr">
        <is>
          <t>IOS Owner</t>
        </is>
      </c>
      <c r="E2795" s="16" t="n">
        <v>0</v>
      </c>
      <c r="F2795" s="16" t="n">
        <v>11394.44</v>
      </c>
      <c r="G2795" s="17" t="n"/>
      <c r="H2795" s="16" t="n">
        <v>-11394.44</v>
      </c>
      <c r="I2795" s="16" t="n">
        <v>0</v>
      </c>
    </row>
    <row r="2796">
      <c r="A2796" t="inlineStr">
        <is>
          <t>MTR-IOS-2795</t>
        </is>
      </c>
      <c r="B2796" t="inlineStr">
        <is>
          <t>Trip</t>
        </is>
      </c>
      <c r="C2796" t="inlineStr">
        <is>
          <t>SHARES</t>
        </is>
      </c>
      <c r="D2796" t="inlineStr">
        <is>
          <t>IOS Aarav</t>
        </is>
      </c>
      <c r="E2796" s="16" t="n">
        <v>22788.88</v>
      </c>
      <c r="F2796" s="16" t="n">
        <v>7596.29</v>
      </c>
      <c r="G2796" s="17" t="n"/>
      <c r="H2796" s="16" t="n">
        <v>15192.59</v>
      </c>
      <c r="I2796" s="16" t="n">
        <v>0</v>
      </c>
    </row>
    <row r="2797">
      <c r="A2797" t="inlineStr">
        <is>
          <t>MTR-IOS-2795</t>
        </is>
      </c>
      <c r="B2797" t="inlineStr">
        <is>
          <t>Trip</t>
        </is>
      </c>
      <c r="C2797" t="inlineStr">
        <is>
          <t>SHARES</t>
        </is>
      </c>
      <c r="D2797" t="inlineStr">
        <is>
          <t>IOS Meera</t>
        </is>
      </c>
      <c r="E2797" s="16" t="n">
        <v>0</v>
      </c>
      <c r="F2797" s="16" t="n">
        <v>3798.15</v>
      </c>
      <c r="G2797" s="17" t="n"/>
      <c r="H2797" s="16" t="n">
        <v>-3798.15</v>
      </c>
      <c r="I2797" s="16" t="n">
        <v>0</v>
      </c>
    </row>
    <row r="2798">
      <c r="A2798" t="inlineStr">
        <is>
          <t>MTR-IOS-2798</t>
        </is>
      </c>
      <c r="B2798" t="inlineStr">
        <is>
          <t>Trip</t>
        </is>
      </c>
      <c r="C2798" t="inlineStr">
        <is>
          <t>EQUAL</t>
        </is>
      </c>
      <c r="D2798" t="inlineStr">
        <is>
          <t>IOS Owner</t>
        </is>
      </c>
      <c r="E2798" s="16" t="n">
        <v>0</v>
      </c>
      <c r="F2798" s="16" t="n">
        <v>3823.93</v>
      </c>
      <c r="G2798" s="17" t="n"/>
      <c r="H2798" s="16" t="n">
        <v>-3823.93</v>
      </c>
      <c r="I2798" s="16" t="n">
        <v>0</v>
      </c>
    </row>
    <row r="2799">
      <c r="A2799" t="inlineStr">
        <is>
          <t>MTR-IOS-2798</t>
        </is>
      </c>
      <c r="B2799" t="inlineStr">
        <is>
          <t>Trip</t>
        </is>
      </c>
      <c r="C2799" t="inlineStr">
        <is>
          <t>EQUAL</t>
        </is>
      </c>
      <c r="D2799" t="inlineStr">
        <is>
          <t>IOS Aarav</t>
        </is>
      </c>
      <c r="E2799" s="16" t="n">
        <v>0</v>
      </c>
      <c r="F2799" s="16" t="n">
        <v>3823.93</v>
      </c>
      <c r="G2799" s="17" t="n"/>
      <c r="H2799" s="16" t="n">
        <v>-3823.93</v>
      </c>
      <c r="I2799" s="16" t="n">
        <v>0</v>
      </c>
    </row>
    <row r="2800">
      <c r="A2800" t="inlineStr">
        <is>
          <t>MTR-IOS-2798</t>
        </is>
      </c>
      <c r="B2800" t="inlineStr">
        <is>
          <t>Trip</t>
        </is>
      </c>
      <c r="C2800" t="inlineStr">
        <is>
          <t>EQUAL</t>
        </is>
      </c>
      <c r="D2800" t="inlineStr">
        <is>
          <t>IOS Meera</t>
        </is>
      </c>
      <c r="E2800" s="16" t="n">
        <v>11471.79</v>
      </c>
      <c r="F2800" s="16" t="n">
        <v>3823.93</v>
      </c>
      <c r="G2800" s="17" t="n"/>
      <c r="H2800" s="16" t="n">
        <v>7647.86</v>
      </c>
      <c r="I2800" s="16" t="n">
        <v>0</v>
      </c>
    </row>
    <row r="2801">
      <c r="A2801" t="inlineStr">
        <is>
          <t>MTR-IOS-2801</t>
        </is>
      </c>
      <c r="B2801" t="inlineStr">
        <is>
          <t>Trip</t>
        </is>
      </c>
      <c r="C2801" t="inlineStr">
        <is>
          <t>PERCENTAGE</t>
        </is>
      </c>
      <c r="D2801" t="inlineStr">
        <is>
          <t>IOS Owner</t>
        </is>
      </c>
      <c r="E2801" s="16" t="n">
        <v>14416.29</v>
      </c>
      <c r="F2801" s="16" t="n">
        <v>7208.15</v>
      </c>
      <c r="G2801" s="17" t="n">
        <v>50</v>
      </c>
      <c r="H2801" s="16" t="n">
        <v>7208.14</v>
      </c>
      <c r="I2801" s="16" t="n">
        <v>0</v>
      </c>
    </row>
    <row r="2802">
      <c r="A2802" t="inlineStr">
        <is>
          <t>MTR-IOS-2801</t>
        </is>
      </c>
      <c r="B2802" t="inlineStr">
        <is>
          <t>Trip</t>
        </is>
      </c>
      <c r="C2802" t="inlineStr">
        <is>
          <t>PERCENTAGE</t>
        </is>
      </c>
      <c r="D2802" t="inlineStr">
        <is>
          <t>IOS Aarav</t>
        </is>
      </c>
      <c r="E2802" s="16" t="n">
        <v>0</v>
      </c>
      <c r="F2802" s="16" t="n">
        <v>4324.89</v>
      </c>
      <c r="G2802" s="17" t="n">
        <v>30</v>
      </c>
      <c r="H2802" s="16" t="n">
        <v>-4324.89</v>
      </c>
      <c r="I2802" s="16" t="n">
        <v>0</v>
      </c>
    </row>
    <row r="2803">
      <c r="A2803" t="inlineStr">
        <is>
          <t>MTR-IOS-2801</t>
        </is>
      </c>
      <c r="B2803" t="inlineStr">
        <is>
          <t>Trip</t>
        </is>
      </c>
      <c r="C2803" t="inlineStr">
        <is>
          <t>PERCENTAGE</t>
        </is>
      </c>
      <c r="D2803" t="inlineStr">
        <is>
          <t>IOS Meera</t>
        </is>
      </c>
      <c r="E2803" s="16" t="n">
        <v>0</v>
      </c>
      <c r="F2803" s="16" t="n">
        <v>2883.25</v>
      </c>
      <c r="G2803" s="17" t="n">
        <v>20</v>
      </c>
      <c r="H2803" s="16" t="n">
        <v>-2883.25</v>
      </c>
      <c r="I2803" s="16" t="n">
        <v>0</v>
      </c>
    </row>
    <row r="2804">
      <c r="A2804" t="inlineStr">
        <is>
          <t>MTR-IOS-2804</t>
        </is>
      </c>
      <c r="B2804" t="inlineStr">
        <is>
          <t>Trip</t>
        </is>
      </c>
      <c r="C2804" t="inlineStr">
        <is>
          <t>EXACT</t>
        </is>
      </c>
      <c r="D2804" t="inlineStr">
        <is>
          <t>IOS Owner</t>
        </is>
      </c>
      <c r="E2804" s="16" t="n">
        <v>0</v>
      </c>
      <c r="F2804" s="16" t="n">
        <v>8814.709999999999</v>
      </c>
      <c r="G2804" s="17" t="n"/>
      <c r="H2804" s="16" t="n">
        <v>-8814.709999999999</v>
      </c>
      <c r="I2804" s="16" t="n">
        <v>0</v>
      </c>
    </row>
    <row r="2805">
      <c r="A2805" t="inlineStr">
        <is>
          <t>MTR-IOS-2804</t>
        </is>
      </c>
      <c r="B2805" t="inlineStr">
        <is>
          <t>Trip</t>
        </is>
      </c>
      <c r="C2805" t="inlineStr">
        <is>
          <t>EXACT</t>
        </is>
      </c>
      <c r="D2805" t="inlineStr">
        <is>
          <t>IOS Aarav</t>
        </is>
      </c>
      <c r="E2805" s="16" t="n">
        <v>26470.61</v>
      </c>
      <c r="F2805" s="16" t="n">
        <v>8814.709999999999</v>
      </c>
      <c r="G2805" s="17" t="n"/>
      <c r="H2805" s="16" t="n">
        <v>17655.9</v>
      </c>
      <c r="I2805" s="16" t="n">
        <v>0</v>
      </c>
    </row>
    <row r="2806">
      <c r="A2806" t="inlineStr">
        <is>
          <t>MTR-IOS-2804</t>
        </is>
      </c>
      <c r="B2806" t="inlineStr">
        <is>
          <t>Trip</t>
        </is>
      </c>
      <c r="C2806" t="inlineStr">
        <is>
          <t>EXACT</t>
        </is>
      </c>
      <c r="D2806" t="inlineStr">
        <is>
          <t>IOS Meera</t>
        </is>
      </c>
      <c r="E2806" s="16" t="n">
        <v>0</v>
      </c>
      <c r="F2806" s="16" t="n">
        <v>8841.190000000001</v>
      </c>
      <c r="G2806" s="17" t="n"/>
      <c r="H2806" s="16" t="n">
        <v>-8841.190000000001</v>
      </c>
      <c r="I2806" s="16" t="n">
        <v>0</v>
      </c>
    </row>
    <row r="2807">
      <c r="A2807" t="inlineStr">
        <is>
          <t>MTR-IOS-2807</t>
        </is>
      </c>
      <c r="B2807" t="inlineStr">
        <is>
          <t>Wedding</t>
        </is>
      </c>
      <c r="C2807" t="inlineStr">
        <is>
          <t>SHARES</t>
        </is>
      </c>
      <c r="D2807" t="inlineStr">
        <is>
          <t>IOS Owner</t>
        </is>
      </c>
      <c r="E2807" s="16" t="n">
        <v>0</v>
      </c>
      <c r="F2807" s="16" t="n">
        <v>6535.39</v>
      </c>
      <c r="G2807" s="17" t="n"/>
      <c r="H2807" s="16" t="n">
        <v>-6535.39</v>
      </c>
      <c r="I2807" s="16" t="n">
        <v>0</v>
      </c>
    </row>
    <row r="2808">
      <c r="A2808" t="inlineStr">
        <is>
          <t>MTR-IOS-2807</t>
        </is>
      </c>
      <c r="B2808" t="inlineStr">
        <is>
          <t>Wedding</t>
        </is>
      </c>
      <c r="C2808" t="inlineStr">
        <is>
          <t>SHARES</t>
        </is>
      </c>
      <c r="D2808" t="inlineStr">
        <is>
          <t>IOS Aarav</t>
        </is>
      </c>
      <c r="E2808" s="16" t="n">
        <v>0</v>
      </c>
      <c r="F2808" s="16" t="n">
        <v>4356.93</v>
      </c>
      <c r="G2808" s="17" t="n"/>
      <c r="H2808" s="16" t="n">
        <v>-4356.93</v>
      </c>
      <c r="I2808" s="16" t="n">
        <v>0</v>
      </c>
    </row>
    <row r="2809">
      <c r="A2809" t="inlineStr">
        <is>
          <t>MTR-IOS-2807</t>
        </is>
      </c>
      <c r="B2809" t="inlineStr">
        <is>
          <t>Wedding</t>
        </is>
      </c>
      <c r="C2809" t="inlineStr">
        <is>
          <t>SHARES</t>
        </is>
      </c>
      <c r="D2809" t="inlineStr">
        <is>
          <t>IOS Meera</t>
        </is>
      </c>
      <c r="E2809" s="16" t="n">
        <v>13070.78</v>
      </c>
      <c r="F2809" s="16" t="n">
        <v>2178.46</v>
      </c>
      <c r="G2809" s="17" t="n"/>
      <c r="H2809" s="16" t="n">
        <v>10892.32</v>
      </c>
      <c r="I2809" s="16" t="n">
        <v>0</v>
      </c>
    </row>
    <row r="2810">
      <c r="A2810" t="inlineStr">
        <is>
          <t>MTR-IOS-2810</t>
        </is>
      </c>
      <c r="B2810" t="inlineStr">
        <is>
          <t>Wedding</t>
        </is>
      </c>
      <c r="C2810" t="inlineStr">
        <is>
          <t>EQUAL</t>
        </is>
      </c>
      <c r="D2810" t="inlineStr">
        <is>
          <t>IOS Owner</t>
        </is>
      </c>
      <c r="E2810" s="16" t="n">
        <v>7790.9</v>
      </c>
      <c r="F2810" s="16" t="n">
        <v>2596.97</v>
      </c>
      <c r="G2810" s="17" t="n"/>
      <c r="H2810" s="16" t="n">
        <v>5193.93</v>
      </c>
      <c r="I2810" s="16" t="n">
        <v>0</v>
      </c>
    </row>
    <row r="2811">
      <c r="A2811" t="inlineStr">
        <is>
          <t>MTR-IOS-2810</t>
        </is>
      </c>
      <c r="B2811" t="inlineStr">
        <is>
          <t>Wedding</t>
        </is>
      </c>
      <c r="C2811" t="inlineStr">
        <is>
          <t>EQUAL</t>
        </is>
      </c>
      <c r="D2811" t="inlineStr">
        <is>
          <t>IOS Aarav</t>
        </is>
      </c>
      <c r="E2811" s="16" t="n">
        <v>0</v>
      </c>
      <c r="F2811" s="16" t="n">
        <v>2596.97</v>
      </c>
      <c r="G2811" s="17" t="n"/>
      <c r="H2811" s="16" t="n">
        <v>-2596.97</v>
      </c>
      <c r="I2811" s="16" t="n">
        <v>0</v>
      </c>
    </row>
    <row r="2812">
      <c r="A2812" t="inlineStr">
        <is>
          <t>MTR-IOS-2810</t>
        </is>
      </c>
      <c r="B2812" t="inlineStr">
        <is>
          <t>Wedding</t>
        </is>
      </c>
      <c r="C2812" t="inlineStr">
        <is>
          <t>EQUAL</t>
        </is>
      </c>
      <c r="D2812" t="inlineStr">
        <is>
          <t>IOS Meera</t>
        </is>
      </c>
      <c r="E2812" s="16" t="n">
        <v>0</v>
      </c>
      <c r="F2812" s="16" t="n">
        <v>2596.96</v>
      </c>
      <c r="G2812" s="17" t="n"/>
      <c r="H2812" s="16" t="n">
        <v>-2596.96</v>
      </c>
      <c r="I2812" s="16" t="n">
        <v>0</v>
      </c>
    </row>
    <row r="2813">
      <c r="A2813" t="inlineStr">
        <is>
          <t>MTR-IOS-2813</t>
        </is>
      </c>
      <c r="B2813" t="inlineStr">
        <is>
          <t>Wedding</t>
        </is>
      </c>
      <c r="C2813" t="inlineStr">
        <is>
          <t>PERCENTAGE</t>
        </is>
      </c>
      <c r="D2813" t="inlineStr">
        <is>
          <t>IOS Owner</t>
        </is>
      </c>
      <c r="E2813" s="16" t="n">
        <v>0</v>
      </c>
      <c r="F2813" s="16" t="n">
        <v>4919.89</v>
      </c>
      <c r="G2813" s="17" t="n">
        <v>50</v>
      </c>
      <c r="H2813" s="16" t="n">
        <v>-4919.89</v>
      </c>
      <c r="I2813" s="16" t="n">
        <v>0</v>
      </c>
    </row>
    <row r="2814">
      <c r="A2814" t="inlineStr">
        <is>
          <t>MTR-IOS-2813</t>
        </is>
      </c>
      <c r="B2814" t="inlineStr">
        <is>
          <t>Wedding</t>
        </is>
      </c>
      <c r="C2814" t="inlineStr">
        <is>
          <t>PERCENTAGE</t>
        </is>
      </c>
      <c r="D2814" t="inlineStr">
        <is>
          <t>IOS Aarav</t>
        </is>
      </c>
      <c r="E2814" s="16" t="n">
        <v>9839.77</v>
      </c>
      <c r="F2814" s="16" t="n">
        <v>2951.93</v>
      </c>
      <c r="G2814" s="17" t="n">
        <v>30</v>
      </c>
      <c r="H2814" s="16" t="n">
        <v>6887.84</v>
      </c>
      <c r="I2814" s="16" t="n">
        <v>0</v>
      </c>
    </row>
    <row r="2815">
      <c r="A2815" t="inlineStr">
        <is>
          <t>MTR-IOS-2813</t>
        </is>
      </c>
      <c r="B2815" t="inlineStr">
        <is>
          <t>Wedding</t>
        </is>
      </c>
      <c r="C2815" t="inlineStr">
        <is>
          <t>PERCENTAGE</t>
        </is>
      </c>
      <c r="D2815" t="inlineStr">
        <is>
          <t>IOS Meera</t>
        </is>
      </c>
      <c r="E2815" s="16" t="n">
        <v>0</v>
      </c>
      <c r="F2815" s="16" t="n">
        <v>1967.95</v>
      </c>
      <c r="G2815" s="17" t="n">
        <v>20</v>
      </c>
      <c r="H2815" s="16" t="n">
        <v>-1967.95</v>
      </c>
      <c r="I2815" s="16" t="n">
        <v>0</v>
      </c>
    </row>
    <row r="2816">
      <c r="A2816" t="inlineStr">
        <is>
          <t>MTR-IOS-2816</t>
        </is>
      </c>
      <c r="B2816" t="inlineStr">
        <is>
          <t>Wedding</t>
        </is>
      </c>
      <c r="C2816" t="inlineStr">
        <is>
          <t>EXACT</t>
        </is>
      </c>
      <c r="D2816" t="inlineStr">
        <is>
          <t>IOS Owner</t>
        </is>
      </c>
      <c r="E2816" s="16" t="n">
        <v>0</v>
      </c>
      <c r="F2816" s="16" t="n">
        <v>685.6</v>
      </c>
      <c r="G2816" s="17" t="n"/>
      <c r="H2816" s="16" t="n">
        <v>-685.6</v>
      </c>
      <c r="I2816" s="16" t="n">
        <v>0</v>
      </c>
    </row>
    <row r="2817">
      <c r="A2817" t="inlineStr">
        <is>
          <t>MTR-IOS-2816</t>
        </is>
      </c>
      <c r="B2817" t="inlineStr">
        <is>
          <t>Wedding</t>
        </is>
      </c>
      <c r="C2817" t="inlineStr">
        <is>
          <t>EXACT</t>
        </is>
      </c>
      <c r="D2817" t="inlineStr">
        <is>
          <t>IOS Aarav</t>
        </is>
      </c>
      <c r="E2817" s="16" t="n">
        <v>0</v>
      </c>
      <c r="F2817" s="16" t="n">
        <v>685.6</v>
      </c>
      <c r="G2817" s="17" t="n"/>
      <c r="H2817" s="16" t="n">
        <v>-685.6</v>
      </c>
      <c r="I2817" s="16" t="n">
        <v>0</v>
      </c>
    </row>
    <row r="2818">
      <c r="A2818" t="inlineStr">
        <is>
          <t>MTR-IOS-2816</t>
        </is>
      </c>
      <c r="B2818" t="inlineStr">
        <is>
          <t>Wedding</t>
        </is>
      </c>
      <c r="C2818" t="inlineStr">
        <is>
          <t>EXACT</t>
        </is>
      </c>
      <c r="D2818" t="inlineStr">
        <is>
          <t>IOS Meera</t>
        </is>
      </c>
      <c r="E2818" s="16" t="n">
        <v>2058.85</v>
      </c>
      <c r="F2818" s="16" t="n">
        <v>687.65</v>
      </c>
      <c r="G2818" s="17" t="n"/>
      <c r="H2818" s="16" t="n">
        <v>1371.2</v>
      </c>
      <c r="I2818" s="16" t="n">
        <v>0</v>
      </c>
    </row>
    <row r="2819">
      <c r="A2819" t="inlineStr">
        <is>
          <t>MTR-IOS-2819</t>
        </is>
      </c>
      <c r="B2819" t="inlineStr">
        <is>
          <t>Wedding</t>
        </is>
      </c>
      <c r="C2819" t="inlineStr">
        <is>
          <t>SHARES</t>
        </is>
      </c>
      <c r="D2819" t="inlineStr">
        <is>
          <t>IOS Owner</t>
        </is>
      </c>
      <c r="E2819" s="16" t="n">
        <v>23753.89</v>
      </c>
      <c r="F2819" s="16" t="n">
        <v>11876.95</v>
      </c>
      <c r="G2819" s="17" t="n"/>
      <c r="H2819" s="16" t="n">
        <v>11876.94</v>
      </c>
      <c r="I2819" s="16" t="n">
        <v>0</v>
      </c>
    </row>
    <row r="2820">
      <c r="A2820" t="inlineStr">
        <is>
          <t>MTR-IOS-2819</t>
        </is>
      </c>
      <c r="B2820" t="inlineStr">
        <is>
          <t>Wedding</t>
        </is>
      </c>
      <c r="C2820" t="inlineStr">
        <is>
          <t>SHARES</t>
        </is>
      </c>
      <c r="D2820" t="inlineStr">
        <is>
          <t>IOS Aarav</t>
        </is>
      </c>
      <c r="E2820" s="16" t="n">
        <v>0</v>
      </c>
      <c r="F2820" s="16" t="n">
        <v>7917.96</v>
      </c>
      <c r="G2820" s="17" t="n"/>
      <c r="H2820" s="16" t="n">
        <v>-7917.96</v>
      </c>
      <c r="I2820" s="16" t="n">
        <v>0</v>
      </c>
    </row>
    <row r="2821">
      <c r="A2821" t="inlineStr">
        <is>
          <t>MTR-IOS-2819</t>
        </is>
      </c>
      <c r="B2821" t="inlineStr">
        <is>
          <t>Wedding</t>
        </is>
      </c>
      <c r="C2821" t="inlineStr">
        <is>
          <t>SHARES</t>
        </is>
      </c>
      <c r="D2821" t="inlineStr">
        <is>
          <t>IOS Meera</t>
        </is>
      </c>
      <c r="E2821" s="16" t="n">
        <v>0</v>
      </c>
      <c r="F2821" s="16" t="n">
        <v>3958.98</v>
      </c>
      <c r="G2821" s="17" t="n"/>
      <c r="H2821" s="16" t="n">
        <v>-3958.98</v>
      </c>
      <c r="I2821" s="16" t="n">
        <v>0</v>
      </c>
    </row>
    <row r="2822">
      <c r="A2822" t="inlineStr">
        <is>
          <t>MTR-IOS-2822</t>
        </is>
      </c>
      <c r="B2822" t="inlineStr">
        <is>
          <t>Wedding</t>
        </is>
      </c>
      <c r="C2822" t="inlineStr">
        <is>
          <t>EQUAL</t>
        </is>
      </c>
      <c r="D2822" t="inlineStr">
        <is>
          <t>IOS Owner</t>
        </is>
      </c>
      <c r="E2822" s="16" t="n">
        <v>0</v>
      </c>
      <c r="F2822" s="16" t="n">
        <v>4007.34</v>
      </c>
      <c r="G2822" s="17" t="n"/>
      <c r="H2822" s="16" t="n">
        <v>-4007.34</v>
      </c>
      <c r="I2822" s="16" t="n">
        <v>0</v>
      </c>
    </row>
    <row r="2823">
      <c r="A2823" t="inlineStr">
        <is>
          <t>MTR-IOS-2822</t>
        </is>
      </c>
      <c r="B2823" t="inlineStr">
        <is>
          <t>Wedding</t>
        </is>
      </c>
      <c r="C2823" t="inlineStr">
        <is>
          <t>EQUAL</t>
        </is>
      </c>
      <c r="D2823" t="inlineStr">
        <is>
          <t>IOS Aarav</t>
        </is>
      </c>
      <c r="E2823" s="16" t="n">
        <v>12022.01</v>
      </c>
      <c r="F2823" s="16" t="n">
        <v>4007.34</v>
      </c>
      <c r="G2823" s="17" t="n"/>
      <c r="H2823" s="16" t="n">
        <v>8014.67</v>
      </c>
      <c r="I2823" s="16" t="n">
        <v>0</v>
      </c>
    </row>
    <row r="2824">
      <c r="A2824" t="inlineStr">
        <is>
          <t>MTR-IOS-2822</t>
        </is>
      </c>
      <c r="B2824" t="inlineStr">
        <is>
          <t>Wedding</t>
        </is>
      </c>
      <c r="C2824" t="inlineStr">
        <is>
          <t>EQUAL</t>
        </is>
      </c>
      <c r="D2824" t="inlineStr">
        <is>
          <t>IOS Meera</t>
        </is>
      </c>
      <c r="E2824" s="16" t="n">
        <v>0</v>
      </c>
      <c r="F2824" s="16" t="n">
        <v>4007.33</v>
      </c>
      <c r="G2824" s="17" t="n"/>
      <c r="H2824" s="16" t="n">
        <v>-4007.33</v>
      </c>
      <c r="I2824" s="16" t="n">
        <v>0</v>
      </c>
    </row>
    <row r="2825">
      <c r="A2825" t="inlineStr">
        <is>
          <t>MTR-IOS-2825</t>
        </is>
      </c>
      <c r="B2825" t="inlineStr">
        <is>
          <t>Wedding</t>
        </is>
      </c>
      <c r="C2825" t="inlineStr">
        <is>
          <t>PERCENTAGE</t>
        </is>
      </c>
      <c r="D2825" t="inlineStr">
        <is>
          <t>IOS Owner</t>
        </is>
      </c>
      <c r="E2825" s="16" t="n">
        <v>0</v>
      </c>
      <c r="F2825" s="16" t="n">
        <v>12318.58</v>
      </c>
      <c r="G2825" s="17" t="n">
        <v>50</v>
      </c>
      <c r="H2825" s="16" t="n">
        <v>-12318.58</v>
      </c>
      <c r="I2825" s="16" t="n">
        <v>0</v>
      </c>
    </row>
    <row r="2826">
      <c r="A2826" t="inlineStr">
        <is>
          <t>MTR-IOS-2825</t>
        </is>
      </c>
      <c r="B2826" t="inlineStr">
        <is>
          <t>Wedding</t>
        </is>
      </c>
      <c r="C2826" t="inlineStr">
        <is>
          <t>PERCENTAGE</t>
        </is>
      </c>
      <c r="D2826" t="inlineStr">
        <is>
          <t>IOS Aarav</t>
        </is>
      </c>
      <c r="E2826" s="16" t="n">
        <v>0</v>
      </c>
      <c r="F2826" s="16" t="n">
        <v>7391.15</v>
      </c>
      <c r="G2826" s="17" t="n">
        <v>30</v>
      </c>
      <c r="H2826" s="16" t="n">
        <v>-7391.15</v>
      </c>
      <c r="I2826" s="16" t="n">
        <v>0</v>
      </c>
    </row>
    <row r="2827">
      <c r="A2827" t="inlineStr">
        <is>
          <t>MTR-IOS-2825</t>
        </is>
      </c>
      <c r="B2827" t="inlineStr">
        <is>
          <t>Wedding</t>
        </is>
      </c>
      <c r="C2827" t="inlineStr">
        <is>
          <t>PERCENTAGE</t>
        </is>
      </c>
      <c r="D2827" t="inlineStr">
        <is>
          <t>IOS Meera</t>
        </is>
      </c>
      <c r="E2827" s="16" t="n">
        <v>24637.16</v>
      </c>
      <c r="F2827" s="16" t="n">
        <v>4927.43</v>
      </c>
      <c r="G2827" s="17" t="n">
        <v>20</v>
      </c>
      <c r="H2827" s="16" t="n">
        <v>19709.73</v>
      </c>
      <c r="I2827" s="16" t="n">
        <v>0</v>
      </c>
    </row>
    <row r="2828">
      <c r="A2828" t="inlineStr">
        <is>
          <t>MTR-IOS-2828</t>
        </is>
      </c>
      <c r="B2828" t="inlineStr">
        <is>
          <t>Office Outing</t>
        </is>
      </c>
      <c r="C2828" t="inlineStr">
        <is>
          <t>EXACT</t>
        </is>
      </c>
      <c r="D2828" t="inlineStr">
        <is>
          <t>IOS Owner</t>
        </is>
      </c>
      <c r="E2828" s="16" t="n">
        <v>9889.25</v>
      </c>
      <c r="F2828" s="16" t="n">
        <v>3293.12</v>
      </c>
      <c r="G2828" s="17" t="n"/>
      <c r="H2828" s="16" t="n">
        <v>6596.13</v>
      </c>
      <c r="I2828" s="16" t="n">
        <v>0</v>
      </c>
    </row>
    <row r="2829">
      <c r="A2829" t="inlineStr">
        <is>
          <t>MTR-IOS-2828</t>
        </is>
      </c>
      <c r="B2829" t="inlineStr">
        <is>
          <t>Office Outing</t>
        </is>
      </c>
      <c r="C2829" t="inlineStr">
        <is>
          <t>EXACT</t>
        </is>
      </c>
      <c r="D2829" t="inlineStr">
        <is>
          <t>IOS Aarav</t>
        </is>
      </c>
      <c r="E2829" s="16" t="n">
        <v>0</v>
      </c>
      <c r="F2829" s="16" t="n">
        <v>3293.12</v>
      </c>
      <c r="G2829" s="17" t="n"/>
      <c r="H2829" s="16" t="n">
        <v>-3293.12</v>
      </c>
      <c r="I2829" s="16" t="n">
        <v>0</v>
      </c>
    </row>
    <row r="2830">
      <c r="A2830" t="inlineStr">
        <is>
          <t>MTR-IOS-2828</t>
        </is>
      </c>
      <c r="B2830" t="inlineStr">
        <is>
          <t>Office Outing</t>
        </is>
      </c>
      <c r="C2830" t="inlineStr">
        <is>
          <t>EXACT</t>
        </is>
      </c>
      <c r="D2830" t="inlineStr">
        <is>
          <t>IOS Meera</t>
        </is>
      </c>
      <c r="E2830" s="16" t="n">
        <v>0</v>
      </c>
      <c r="F2830" s="16" t="n">
        <v>3303.01</v>
      </c>
      <c r="G2830" s="17" t="n"/>
      <c r="H2830" s="16" t="n">
        <v>-3303.01</v>
      </c>
      <c r="I2830" s="16" t="n">
        <v>0</v>
      </c>
    </row>
    <row r="2831">
      <c r="A2831" t="inlineStr">
        <is>
          <t>MTR-IOS-2831</t>
        </is>
      </c>
      <c r="B2831" t="inlineStr">
        <is>
          <t>Office Outing</t>
        </is>
      </c>
      <c r="C2831" t="inlineStr">
        <is>
          <t>SHARES</t>
        </is>
      </c>
      <c r="D2831" t="inlineStr">
        <is>
          <t>IOS Owner</t>
        </is>
      </c>
      <c r="E2831" s="16" t="n">
        <v>0</v>
      </c>
      <c r="F2831" s="16" t="n">
        <v>12793.43</v>
      </c>
      <c r="G2831" s="17" t="n"/>
      <c r="H2831" s="16" t="n">
        <v>-12793.43</v>
      </c>
      <c r="I2831" s="16" t="n">
        <v>0</v>
      </c>
    </row>
    <row r="2832">
      <c r="A2832" t="inlineStr">
        <is>
          <t>MTR-IOS-2831</t>
        </is>
      </c>
      <c r="B2832" t="inlineStr">
        <is>
          <t>Office Outing</t>
        </is>
      </c>
      <c r="C2832" t="inlineStr">
        <is>
          <t>SHARES</t>
        </is>
      </c>
      <c r="D2832" t="inlineStr">
        <is>
          <t>IOS Aarav</t>
        </is>
      </c>
      <c r="E2832" s="16" t="n">
        <v>25586.85</v>
      </c>
      <c r="F2832" s="16" t="n">
        <v>8528.950000000001</v>
      </c>
      <c r="G2832" s="17" t="n"/>
      <c r="H2832" s="16" t="n">
        <v>17057.9</v>
      </c>
      <c r="I2832" s="16" t="n">
        <v>0</v>
      </c>
    </row>
    <row r="2833">
      <c r="A2833" t="inlineStr">
        <is>
          <t>MTR-IOS-2831</t>
        </is>
      </c>
      <c r="B2833" t="inlineStr">
        <is>
          <t>Office Outing</t>
        </is>
      </c>
      <c r="C2833" t="inlineStr">
        <is>
          <t>SHARES</t>
        </is>
      </c>
      <c r="D2833" t="inlineStr">
        <is>
          <t>IOS Meera</t>
        </is>
      </c>
      <c r="E2833" s="16" t="n">
        <v>0</v>
      </c>
      <c r="F2833" s="16" t="n">
        <v>4264.47</v>
      </c>
      <c r="G2833" s="17" t="n"/>
      <c r="H2833" s="16" t="n">
        <v>-4264.47</v>
      </c>
      <c r="I2833" s="16" t="n">
        <v>0</v>
      </c>
    </row>
    <row r="2834">
      <c r="A2834" t="inlineStr">
        <is>
          <t>MTR-IOS-2834</t>
        </is>
      </c>
      <c r="B2834" t="inlineStr">
        <is>
          <t>Office Outing</t>
        </is>
      </c>
      <c r="C2834" t="inlineStr">
        <is>
          <t>EQUAL</t>
        </is>
      </c>
      <c r="D2834" t="inlineStr">
        <is>
          <t>IOS Owner</t>
        </is>
      </c>
      <c r="E2834" s="16" t="n">
        <v>0</v>
      </c>
      <c r="F2834" s="16" t="n">
        <v>6677.58</v>
      </c>
      <c r="G2834" s="17" t="n"/>
      <c r="H2834" s="16" t="n">
        <v>-6677.58</v>
      </c>
      <c r="I2834" s="16" t="n">
        <v>0</v>
      </c>
    </row>
    <row r="2835">
      <c r="A2835" t="inlineStr">
        <is>
          <t>MTR-IOS-2834</t>
        </is>
      </c>
      <c r="B2835" t="inlineStr">
        <is>
          <t>Office Outing</t>
        </is>
      </c>
      <c r="C2835" t="inlineStr">
        <is>
          <t>EQUAL</t>
        </is>
      </c>
      <c r="D2835" t="inlineStr">
        <is>
          <t>IOS Aarav</t>
        </is>
      </c>
      <c r="E2835" s="16" t="n">
        <v>0</v>
      </c>
      <c r="F2835" s="16" t="n">
        <v>6677.58</v>
      </c>
      <c r="G2835" s="17" t="n"/>
      <c r="H2835" s="16" t="n">
        <v>-6677.58</v>
      </c>
      <c r="I2835" s="16" t="n">
        <v>0</v>
      </c>
    </row>
    <row r="2836">
      <c r="A2836" t="inlineStr">
        <is>
          <t>MTR-IOS-2834</t>
        </is>
      </c>
      <c r="B2836" t="inlineStr">
        <is>
          <t>Office Outing</t>
        </is>
      </c>
      <c r="C2836" t="inlineStr">
        <is>
          <t>EQUAL</t>
        </is>
      </c>
      <c r="D2836" t="inlineStr">
        <is>
          <t>IOS Meera</t>
        </is>
      </c>
      <c r="E2836" s="16" t="n">
        <v>20032.75</v>
      </c>
      <c r="F2836" s="16" t="n">
        <v>6677.59</v>
      </c>
      <c r="G2836" s="17" t="n"/>
      <c r="H2836" s="16" t="n">
        <v>13355.16</v>
      </c>
      <c r="I2836" s="16" t="n">
        <v>0</v>
      </c>
    </row>
    <row r="2837">
      <c r="A2837" t="inlineStr">
        <is>
          <t>MTR-IOS-2837</t>
        </is>
      </c>
      <c r="B2837" t="inlineStr">
        <is>
          <t>Office Outing</t>
        </is>
      </c>
      <c r="C2837" t="inlineStr">
        <is>
          <t>PERCENTAGE</t>
        </is>
      </c>
      <c r="D2837" t="inlineStr">
        <is>
          <t>IOS Owner</t>
        </is>
      </c>
      <c r="E2837" s="16" t="n">
        <v>3184.56</v>
      </c>
      <c r="F2837" s="16" t="n">
        <v>1592.28</v>
      </c>
      <c r="G2837" s="17" t="n">
        <v>50</v>
      </c>
      <c r="H2837" s="16" t="n">
        <v>1592.28</v>
      </c>
      <c r="I2837" s="16" t="n">
        <v>0</v>
      </c>
    </row>
    <row r="2838">
      <c r="A2838" t="inlineStr">
        <is>
          <t>MTR-IOS-2837</t>
        </is>
      </c>
      <c r="B2838" t="inlineStr">
        <is>
          <t>Office Outing</t>
        </is>
      </c>
      <c r="C2838" t="inlineStr">
        <is>
          <t>PERCENTAGE</t>
        </is>
      </c>
      <c r="D2838" t="inlineStr">
        <is>
          <t>IOS Aarav</t>
        </is>
      </c>
      <c r="E2838" s="16" t="n">
        <v>0</v>
      </c>
      <c r="F2838" s="16" t="n">
        <v>955.37</v>
      </c>
      <c r="G2838" s="17" t="n">
        <v>30</v>
      </c>
      <c r="H2838" s="16" t="n">
        <v>-955.37</v>
      </c>
      <c r="I2838" s="16" t="n">
        <v>0</v>
      </c>
    </row>
    <row r="2839">
      <c r="A2839" t="inlineStr">
        <is>
          <t>MTR-IOS-2837</t>
        </is>
      </c>
      <c r="B2839" t="inlineStr">
        <is>
          <t>Office Outing</t>
        </is>
      </c>
      <c r="C2839" t="inlineStr">
        <is>
          <t>PERCENTAGE</t>
        </is>
      </c>
      <c r="D2839" t="inlineStr">
        <is>
          <t>IOS Meera</t>
        </is>
      </c>
      <c r="E2839" s="16" t="n">
        <v>0</v>
      </c>
      <c r="F2839" s="16" t="n">
        <v>636.91</v>
      </c>
      <c r="G2839" s="17" t="n">
        <v>20</v>
      </c>
      <c r="H2839" s="16" t="n">
        <v>-636.91</v>
      </c>
      <c r="I2839" s="16" t="n">
        <v>0</v>
      </c>
    </row>
    <row r="2840">
      <c r="A2840" t="inlineStr">
        <is>
          <t>MTR-IOS-2840</t>
        </is>
      </c>
      <c r="B2840" t="inlineStr">
        <is>
          <t>Office Outing</t>
        </is>
      </c>
      <c r="C2840" t="inlineStr">
        <is>
          <t>EXACT</t>
        </is>
      </c>
      <c r="D2840" t="inlineStr">
        <is>
          <t>IOS Owner</t>
        </is>
      </c>
      <c r="E2840" s="16" t="n">
        <v>0</v>
      </c>
      <c r="F2840" s="16" t="n">
        <v>8860.16</v>
      </c>
      <c r="G2840" s="17" t="n"/>
      <c r="H2840" s="16" t="n">
        <v>-8860.16</v>
      </c>
      <c r="I2840" s="16" t="n">
        <v>0</v>
      </c>
    </row>
    <row r="2841">
      <c r="A2841" t="inlineStr">
        <is>
          <t>MTR-IOS-2840</t>
        </is>
      </c>
      <c r="B2841" t="inlineStr">
        <is>
          <t>Office Outing</t>
        </is>
      </c>
      <c r="C2841" t="inlineStr">
        <is>
          <t>EXACT</t>
        </is>
      </c>
      <c r="D2841" t="inlineStr">
        <is>
          <t>IOS Aarav</t>
        </is>
      </c>
      <c r="E2841" s="16" t="n">
        <v>26607.08</v>
      </c>
      <c r="F2841" s="16" t="n">
        <v>8860.16</v>
      </c>
      <c r="G2841" s="17" t="n"/>
      <c r="H2841" s="16" t="n">
        <v>17746.92</v>
      </c>
      <c r="I2841" s="16" t="n">
        <v>0</v>
      </c>
    </row>
    <row r="2842">
      <c r="A2842" t="inlineStr">
        <is>
          <t>MTR-IOS-2840</t>
        </is>
      </c>
      <c r="B2842" t="inlineStr">
        <is>
          <t>Office Outing</t>
        </is>
      </c>
      <c r="C2842" t="inlineStr">
        <is>
          <t>EXACT</t>
        </is>
      </c>
      <c r="D2842" t="inlineStr">
        <is>
          <t>IOS Meera</t>
        </is>
      </c>
      <c r="E2842" s="16" t="n">
        <v>0</v>
      </c>
      <c r="F2842" s="16" t="n">
        <v>8886.76</v>
      </c>
      <c r="G2842" s="17" t="n"/>
      <c r="H2842" s="16" t="n">
        <v>-8886.76</v>
      </c>
      <c r="I2842" s="16" t="n">
        <v>0</v>
      </c>
    </row>
    <row r="2843">
      <c r="A2843" t="inlineStr">
        <is>
          <t>MTR-IOS-2843</t>
        </is>
      </c>
      <c r="B2843" t="inlineStr">
        <is>
          <t>House Party</t>
        </is>
      </c>
      <c r="C2843" t="inlineStr">
        <is>
          <t>SHARES</t>
        </is>
      </c>
      <c r="D2843" t="inlineStr">
        <is>
          <t>IOS Owner</t>
        </is>
      </c>
      <c r="E2843" s="16" t="n">
        <v>0</v>
      </c>
      <c r="F2843" s="16" t="n">
        <v>5714.53</v>
      </c>
      <c r="G2843" s="17" t="n"/>
      <c r="H2843" s="16" t="n">
        <v>-5714.53</v>
      </c>
      <c r="I2843" s="16" t="n">
        <v>0</v>
      </c>
    </row>
    <row r="2844">
      <c r="A2844" t="inlineStr">
        <is>
          <t>MTR-IOS-2843</t>
        </is>
      </c>
      <c r="B2844" t="inlineStr">
        <is>
          <t>House Party</t>
        </is>
      </c>
      <c r="C2844" t="inlineStr">
        <is>
          <t>SHARES</t>
        </is>
      </c>
      <c r="D2844" t="inlineStr">
        <is>
          <t>IOS Aarav</t>
        </is>
      </c>
      <c r="E2844" s="16" t="n">
        <v>0</v>
      </c>
      <c r="F2844" s="16" t="n">
        <v>3809.69</v>
      </c>
      <c r="G2844" s="17" t="n"/>
      <c r="H2844" s="16" t="n">
        <v>-3809.69</v>
      </c>
      <c r="I2844" s="16" t="n">
        <v>0</v>
      </c>
    </row>
    <row r="2845">
      <c r="A2845" t="inlineStr">
        <is>
          <t>MTR-IOS-2843</t>
        </is>
      </c>
      <c r="B2845" t="inlineStr">
        <is>
          <t>House Party</t>
        </is>
      </c>
      <c r="C2845" t="inlineStr">
        <is>
          <t>SHARES</t>
        </is>
      </c>
      <c r="D2845" t="inlineStr">
        <is>
          <t>IOS Meera</t>
        </is>
      </c>
      <c r="E2845" s="16" t="n">
        <v>11429.06</v>
      </c>
      <c r="F2845" s="16" t="n">
        <v>1904.84</v>
      </c>
      <c r="G2845" s="17" t="n"/>
      <c r="H2845" s="16" t="n">
        <v>9524.219999999999</v>
      </c>
      <c r="I2845" s="16" t="n">
        <v>0</v>
      </c>
    </row>
    <row r="2846">
      <c r="A2846" t="inlineStr">
        <is>
          <t>MTR-IOS-2846</t>
        </is>
      </c>
      <c r="B2846" t="inlineStr">
        <is>
          <t>House Party</t>
        </is>
      </c>
      <c r="C2846" t="inlineStr">
        <is>
          <t>EQUAL</t>
        </is>
      </c>
      <c r="D2846" t="inlineStr">
        <is>
          <t>IOS Owner</t>
        </is>
      </c>
      <c r="E2846" s="16" t="n">
        <v>9939.24</v>
      </c>
      <c r="F2846" s="16" t="n">
        <v>3313.08</v>
      </c>
      <c r="G2846" s="17" t="n"/>
      <c r="H2846" s="16" t="n">
        <v>6626.16</v>
      </c>
      <c r="I2846" s="16" t="n">
        <v>0</v>
      </c>
    </row>
    <row r="2847">
      <c r="A2847" t="inlineStr">
        <is>
          <t>MTR-IOS-2846</t>
        </is>
      </c>
      <c r="B2847" t="inlineStr">
        <is>
          <t>House Party</t>
        </is>
      </c>
      <c r="C2847" t="inlineStr">
        <is>
          <t>EQUAL</t>
        </is>
      </c>
      <c r="D2847" t="inlineStr">
        <is>
          <t>IOS Aarav</t>
        </is>
      </c>
      <c r="E2847" s="16" t="n">
        <v>0</v>
      </c>
      <c r="F2847" s="16" t="n">
        <v>3313.08</v>
      </c>
      <c r="G2847" s="17" t="n"/>
      <c r="H2847" s="16" t="n">
        <v>-3313.08</v>
      </c>
      <c r="I2847" s="16" t="n">
        <v>0</v>
      </c>
    </row>
    <row r="2848">
      <c r="A2848" t="inlineStr">
        <is>
          <t>MTR-IOS-2846</t>
        </is>
      </c>
      <c r="B2848" t="inlineStr">
        <is>
          <t>House Party</t>
        </is>
      </c>
      <c r="C2848" t="inlineStr">
        <is>
          <t>EQUAL</t>
        </is>
      </c>
      <c r="D2848" t="inlineStr">
        <is>
          <t>IOS Meera</t>
        </is>
      </c>
      <c r="E2848" s="16" t="n">
        <v>0</v>
      </c>
      <c r="F2848" s="16" t="n">
        <v>3313.08</v>
      </c>
      <c r="G2848" s="17" t="n"/>
      <c r="H2848" s="16" t="n">
        <v>-3313.08</v>
      </c>
      <c r="I2848" s="16" t="n">
        <v>0</v>
      </c>
    </row>
    <row r="2849">
      <c r="A2849" t="inlineStr">
        <is>
          <t>MTR-IOS-2849</t>
        </is>
      </c>
      <c r="B2849" t="inlineStr">
        <is>
          <t>House Party</t>
        </is>
      </c>
      <c r="C2849" t="inlineStr">
        <is>
          <t>PERCENTAGE</t>
        </is>
      </c>
      <c r="D2849" t="inlineStr">
        <is>
          <t>IOS Owner</t>
        </is>
      </c>
      <c r="E2849" s="16" t="n">
        <v>0</v>
      </c>
      <c r="F2849" s="16" t="n">
        <v>5000</v>
      </c>
      <c r="G2849" s="17" t="n">
        <v>50</v>
      </c>
      <c r="H2849" s="16" t="n">
        <v>-5000</v>
      </c>
      <c r="I2849" s="16" t="n">
        <v>0</v>
      </c>
    </row>
    <row r="2850">
      <c r="A2850" t="inlineStr">
        <is>
          <t>MTR-IOS-2849</t>
        </is>
      </c>
      <c r="B2850" t="inlineStr">
        <is>
          <t>House Party</t>
        </is>
      </c>
      <c r="C2850" t="inlineStr">
        <is>
          <t>PERCENTAGE</t>
        </is>
      </c>
      <c r="D2850" t="inlineStr">
        <is>
          <t>IOS Aarav</t>
        </is>
      </c>
      <c r="E2850" s="16" t="n">
        <v>10000</v>
      </c>
      <c r="F2850" s="16" t="n">
        <v>3000</v>
      </c>
      <c r="G2850" s="17" t="n">
        <v>30</v>
      </c>
      <c r="H2850" s="16" t="n">
        <v>7000</v>
      </c>
      <c r="I2850" s="16" t="n">
        <v>0</v>
      </c>
    </row>
    <row r="2851">
      <c r="A2851" t="inlineStr">
        <is>
          <t>MTR-IOS-2849</t>
        </is>
      </c>
      <c r="B2851" t="inlineStr">
        <is>
          <t>House Party</t>
        </is>
      </c>
      <c r="C2851" t="inlineStr">
        <is>
          <t>PERCENTAGE</t>
        </is>
      </c>
      <c r="D2851" t="inlineStr">
        <is>
          <t>IOS Meera</t>
        </is>
      </c>
      <c r="E2851" s="16" t="n">
        <v>0</v>
      </c>
      <c r="F2851" s="16" t="n">
        <v>2000</v>
      </c>
      <c r="G2851" s="17" t="n">
        <v>20</v>
      </c>
      <c r="H2851" s="16" t="n">
        <v>-2000</v>
      </c>
      <c r="I2851" s="16" t="n">
        <v>0</v>
      </c>
    </row>
    <row r="2852">
      <c r="A2852" t="inlineStr">
        <is>
          <t>MTR-IOS-2852</t>
        </is>
      </c>
      <c r="B2852" t="inlineStr">
        <is>
          <t>House Party</t>
        </is>
      </c>
      <c r="C2852" t="inlineStr">
        <is>
          <t>EXACT</t>
        </is>
      </c>
      <c r="D2852" t="inlineStr">
        <is>
          <t>IOS Owner</t>
        </is>
      </c>
      <c r="E2852" s="16" t="n">
        <v>0</v>
      </c>
      <c r="F2852" s="16" t="n">
        <v>1503.73</v>
      </c>
      <c r="G2852" s="17" t="n"/>
      <c r="H2852" s="16" t="n">
        <v>-1503.73</v>
      </c>
      <c r="I2852" s="16" t="n">
        <v>0</v>
      </c>
    </row>
    <row r="2853">
      <c r="A2853" t="inlineStr">
        <is>
          <t>MTR-IOS-2852</t>
        </is>
      </c>
      <c r="B2853" t="inlineStr">
        <is>
          <t>House Party</t>
        </is>
      </c>
      <c r="C2853" t="inlineStr">
        <is>
          <t>EXACT</t>
        </is>
      </c>
      <c r="D2853" t="inlineStr">
        <is>
          <t>IOS Aarav</t>
        </is>
      </c>
      <c r="E2853" s="16" t="n">
        <v>0</v>
      </c>
      <c r="F2853" s="16" t="n">
        <v>1503.73</v>
      </c>
      <c r="G2853" s="17" t="n"/>
      <c r="H2853" s="16" t="n">
        <v>-1503.73</v>
      </c>
      <c r="I2853" s="16" t="n">
        <v>0</v>
      </c>
    </row>
    <row r="2854">
      <c r="A2854" t="inlineStr">
        <is>
          <t>MTR-IOS-2852</t>
        </is>
      </c>
      <c r="B2854" t="inlineStr">
        <is>
          <t>House Party</t>
        </is>
      </c>
      <c r="C2854" t="inlineStr">
        <is>
          <t>EXACT</t>
        </is>
      </c>
      <c r="D2854" t="inlineStr">
        <is>
          <t>IOS Meera</t>
        </is>
      </c>
      <c r="E2854" s="16" t="n">
        <v>4515.72</v>
      </c>
      <c r="F2854" s="16" t="n">
        <v>1508.26</v>
      </c>
      <c r="G2854" s="17" t="n"/>
      <c r="H2854" s="16" t="n">
        <v>3007.46</v>
      </c>
      <c r="I2854" s="16" t="n">
        <v>0</v>
      </c>
    </row>
    <row r="2855">
      <c r="A2855" t="inlineStr">
        <is>
          <t>MTR-IOS-2855</t>
        </is>
      </c>
      <c r="B2855" t="inlineStr">
        <is>
          <t>House Party</t>
        </is>
      </c>
      <c r="C2855" t="inlineStr">
        <is>
          <t>SHARES</t>
        </is>
      </c>
      <c r="D2855" t="inlineStr">
        <is>
          <t>IOS Owner</t>
        </is>
      </c>
      <c r="E2855" s="16" t="n">
        <v>25072.38</v>
      </c>
      <c r="F2855" s="16" t="n">
        <v>12536.19</v>
      </c>
      <c r="G2855" s="17" t="n"/>
      <c r="H2855" s="16" t="n">
        <v>12536.19</v>
      </c>
      <c r="I2855" s="16" t="n">
        <v>0</v>
      </c>
    </row>
    <row r="2856">
      <c r="A2856" t="inlineStr">
        <is>
          <t>MTR-IOS-2855</t>
        </is>
      </c>
      <c r="B2856" t="inlineStr">
        <is>
          <t>House Party</t>
        </is>
      </c>
      <c r="C2856" t="inlineStr">
        <is>
          <t>SHARES</t>
        </is>
      </c>
      <c r="D2856" t="inlineStr">
        <is>
          <t>IOS Aarav</t>
        </is>
      </c>
      <c r="E2856" s="16" t="n">
        <v>0</v>
      </c>
      <c r="F2856" s="16" t="n">
        <v>8357.459999999999</v>
      </c>
      <c r="G2856" s="17" t="n"/>
      <c r="H2856" s="16" t="n">
        <v>-8357.459999999999</v>
      </c>
      <c r="I2856" s="16" t="n">
        <v>0</v>
      </c>
    </row>
    <row r="2857">
      <c r="A2857" t="inlineStr">
        <is>
          <t>MTR-IOS-2855</t>
        </is>
      </c>
      <c r="B2857" t="inlineStr">
        <is>
          <t>House Party</t>
        </is>
      </c>
      <c r="C2857" t="inlineStr">
        <is>
          <t>SHARES</t>
        </is>
      </c>
      <c r="D2857" t="inlineStr">
        <is>
          <t>IOS Meera</t>
        </is>
      </c>
      <c r="E2857" s="16" t="n">
        <v>0</v>
      </c>
      <c r="F2857" s="16" t="n">
        <v>4178.73</v>
      </c>
      <c r="G2857" s="17" t="n"/>
      <c r="H2857" s="16" t="n">
        <v>-4178.73</v>
      </c>
      <c r="I2857" s="16" t="n">
        <v>0</v>
      </c>
    </row>
    <row r="2858">
      <c r="A2858" t="inlineStr">
        <is>
          <t>MTR-IOS-2858</t>
        </is>
      </c>
      <c r="B2858" t="inlineStr">
        <is>
          <t>Gift Pool</t>
        </is>
      </c>
      <c r="C2858" t="inlineStr">
        <is>
          <t>EQUAL</t>
        </is>
      </c>
      <c r="D2858" t="inlineStr">
        <is>
          <t>IOS Owner</t>
        </is>
      </c>
      <c r="E2858" s="16" t="n">
        <v>0</v>
      </c>
      <c r="F2858" s="16" t="n">
        <v>6967.87</v>
      </c>
      <c r="G2858" s="17" t="n"/>
      <c r="H2858" s="16" t="n">
        <v>-6967.87</v>
      </c>
      <c r="I2858" s="16" t="n">
        <v>0</v>
      </c>
    </row>
    <row r="2859">
      <c r="A2859" t="inlineStr">
        <is>
          <t>MTR-IOS-2858</t>
        </is>
      </c>
      <c r="B2859" t="inlineStr">
        <is>
          <t>Gift Pool</t>
        </is>
      </c>
      <c r="C2859" t="inlineStr">
        <is>
          <t>EQUAL</t>
        </is>
      </c>
      <c r="D2859" t="inlineStr">
        <is>
          <t>IOS Aarav</t>
        </is>
      </c>
      <c r="E2859" s="16" t="n">
        <v>20903.62</v>
      </c>
      <c r="F2859" s="16" t="n">
        <v>6967.87</v>
      </c>
      <c r="G2859" s="17" t="n"/>
      <c r="H2859" s="16" t="n">
        <v>13935.75</v>
      </c>
      <c r="I2859" s="16" t="n">
        <v>0</v>
      </c>
    </row>
    <row r="2860">
      <c r="A2860" t="inlineStr">
        <is>
          <t>MTR-IOS-2858</t>
        </is>
      </c>
      <c r="B2860" t="inlineStr">
        <is>
          <t>Gift Pool</t>
        </is>
      </c>
      <c r="C2860" t="inlineStr">
        <is>
          <t>EQUAL</t>
        </is>
      </c>
      <c r="D2860" t="inlineStr">
        <is>
          <t>IOS Meera</t>
        </is>
      </c>
      <c r="E2860" s="16" t="n">
        <v>0</v>
      </c>
      <c r="F2860" s="16" t="n">
        <v>6967.88</v>
      </c>
      <c r="G2860" s="17" t="n"/>
      <c r="H2860" s="16" t="n">
        <v>-6967.88</v>
      </c>
      <c r="I2860" s="16" t="n">
        <v>0</v>
      </c>
    </row>
    <row r="2861">
      <c r="A2861" t="inlineStr">
        <is>
          <t>MTR-IOS-2861</t>
        </is>
      </c>
      <c r="B2861" t="inlineStr">
        <is>
          <t>Gift Pool</t>
        </is>
      </c>
      <c r="C2861" t="inlineStr">
        <is>
          <t>PERCENTAGE</t>
        </is>
      </c>
      <c r="D2861" t="inlineStr">
        <is>
          <t>IOS Owner</t>
        </is>
      </c>
      <c r="E2861" s="16" t="n">
        <v>0</v>
      </c>
      <c r="F2861" s="16" t="n">
        <v>11999.89</v>
      </c>
      <c r="G2861" s="17" t="n">
        <v>50</v>
      </c>
      <c r="H2861" s="16" t="n">
        <v>-11999.89</v>
      </c>
      <c r="I2861" s="16" t="n">
        <v>0</v>
      </c>
    </row>
    <row r="2862">
      <c r="A2862" t="inlineStr">
        <is>
          <t>MTR-IOS-2861</t>
        </is>
      </c>
      <c r="B2862" t="inlineStr">
        <is>
          <t>Gift Pool</t>
        </is>
      </c>
      <c r="C2862" t="inlineStr">
        <is>
          <t>PERCENTAGE</t>
        </is>
      </c>
      <c r="D2862" t="inlineStr">
        <is>
          <t>IOS Aarav</t>
        </is>
      </c>
      <c r="E2862" s="16" t="n">
        <v>0</v>
      </c>
      <c r="F2862" s="16" t="n">
        <v>7199.93</v>
      </c>
      <c r="G2862" s="17" t="n">
        <v>30</v>
      </c>
      <c r="H2862" s="16" t="n">
        <v>-7199.93</v>
      </c>
      <c r="I2862" s="16" t="n">
        <v>0</v>
      </c>
    </row>
    <row r="2863">
      <c r="A2863" t="inlineStr">
        <is>
          <t>MTR-IOS-2861</t>
        </is>
      </c>
      <c r="B2863" t="inlineStr">
        <is>
          <t>Gift Pool</t>
        </is>
      </c>
      <c r="C2863" t="inlineStr">
        <is>
          <t>PERCENTAGE</t>
        </is>
      </c>
      <c r="D2863" t="inlineStr">
        <is>
          <t>IOS Meera</t>
        </is>
      </c>
      <c r="E2863" s="16" t="n">
        <v>23999.78</v>
      </c>
      <c r="F2863" s="16" t="n">
        <v>4799.96</v>
      </c>
      <c r="G2863" s="17" t="n">
        <v>20</v>
      </c>
      <c r="H2863" s="16" t="n">
        <v>19199.82</v>
      </c>
      <c r="I2863" s="16" t="n">
        <v>0</v>
      </c>
    </row>
    <row r="2864">
      <c r="A2864" t="inlineStr">
        <is>
          <t>MTR-IOS-2864</t>
        </is>
      </c>
      <c r="B2864" t="inlineStr">
        <is>
          <t>Gift Pool</t>
        </is>
      </c>
      <c r="C2864" t="inlineStr">
        <is>
          <t>EXACT</t>
        </is>
      </c>
      <c r="D2864" t="inlineStr">
        <is>
          <t>IOS Owner</t>
        </is>
      </c>
      <c r="E2864" s="16" t="n">
        <v>12944.84</v>
      </c>
      <c r="F2864" s="16" t="n">
        <v>4310.63</v>
      </c>
      <c r="G2864" s="17" t="n"/>
      <c r="H2864" s="16" t="n">
        <v>8634.209999999999</v>
      </c>
      <c r="I2864" s="16" t="n">
        <v>0</v>
      </c>
    </row>
    <row r="2865">
      <c r="A2865" t="inlineStr">
        <is>
          <t>MTR-IOS-2864</t>
        </is>
      </c>
      <c r="B2865" t="inlineStr">
        <is>
          <t>Gift Pool</t>
        </is>
      </c>
      <c r="C2865" t="inlineStr">
        <is>
          <t>EXACT</t>
        </is>
      </c>
      <c r="D2865" t="inlineStr">
        <is>
          <t>IOS Aarav</t>
        </is>
      </c>
      <c r="E2865" s="16" t="n">
        <v>0</v>
      </c>
      <c r="F2865" s="16" t="n">
        <v>4310.63</v>
      </c>
      <c r="G2865" s="17" t="n"/>
      <c r="H2865" s="16" t="n">
        <v>-4310.63</v>
      </c>
      <c r="I2865" s="16" t="n">
        <v>0</v>
      </c>
    </row>
    <row r="2866">
      <c r="A2866" t="inlineStr">
        <is>
          <t>MTR-IOS-2864</t>
        </is>
      </c>
      <c r="B2866" t="inlineStr">
        <is>
          <t>Gift Pool</t>
        </is>
      </c>
      <c r="C2866" t="inlineStr">
        <is>
          <t>EXACT</t>
        </is>
      </c>
      <c r="D2866" t="inlineStr">
        <is>
          <t>IOS Meera</t>
        </is>
      </c>
      <c r="E2866" s="16" t="n">
        <v>0</v>
      </c>
      <c r="F2866" s="16" t="n">
        <v>4323.58</v>
      </c>
      <c r="G2866" s="17" t="n"/>
      <c r="H2866" s="16" t="n">
        <v>-4323.58</v>
      </c>
      <c r="I2866" s="16" t="n">
        <v>0</v>
      </c>
    </row>
    <row r="2867">
      <c r="A2867" t="inlineStr">
        <is>
          <t>MTR-IOS-2867</t>
        </is>
      </c>
      <c r="B2867" t="inlineStr">
        <is>
          <t>Gift Pool</t>
        </is>
      </c>
      <c r="C2867" t="inlineStr">
        <is>
          <t>SHARES</t>
        </is>
      </c>
      <c r="D2867" t="inlineStr">
        <is>
          <t>IOS Owner</t>
        </is>
      </c>
      <c r="E2867" s="16" t="n">
        <v>0</v>
      </c>
      <c r="F2867" s="16" t="n">
        <v>5784.69</v>
      </c>
      <c r="G2867" s="17" t="n"/>
      <c r="H2867" s="16" t="n">
        <v>-5784.69</v>
      </c>
      <c r="I2867" s="16" t="n">
        <v>0</v>
      </c>
    </row>
    <row r="2868">
      <c r="A2868" t="inlineStr">
        <is>
          <t>MTR-IOS-2867</t>
        </is>
      </c>
      <c r="B2868" t="inlineStr">
        <is>
          <t>Gift Pool</t>
        </is>
      </c>
      <c r="C2868" t="inlineStr">
        <is>
          <t>SHARES</t>
        </is>
      </c>
      <c r="D2868" t="inlineStr">
        <is>
          <t>IOS Aarav</t>
        </is>
      </c>
      <c r="E2868" s="16" t="n">
        <v>11569.38</v>
      </c>
      <c r="F2868" s="16" t="n">
        <v>3856.46</v>
      </c>
      <c r="G2868" s="17" t="n"/>
      <c r="H2868" s="16" t="n">
        <v>7712.92</v>
      </c>
      <c r="I2868" s="16" t="n">
        <v>0</v>
      </c>
    </row>
    <row r="2869">
      <c r="A2869" t="inlineStr">
        <is>
          <t>MTR-IOS-2867</t>
        </is>
      </c>
      <c r="B2869" t="inlineStr">
        <is>
          <t>Gift Pool</t>
        </is>
      </c>
      <c r="C2869" t="inlineStr">
        <is>
          <t>SHARES</t>
        </is>
      </c>
      <c r="D2869" t="inlineStr">
        <is>
          <t>IOS Meera</t>
        </is>
      </c>
      <c r="E2869" s="16" t="n">
        <v>0</v>
      </c>
      <c r="F2869" s="16" t="n">
        <v>1928.23</v>
      </c>
      <c r="G2869" s="17" t="n"/>
      <c r="H2869" s="16" t="n">
        <v>-1928.23</v>
      </c>
      <c r="I2869" s="16" t="n">
        <v>0</v>
      </c>
    </row>
    <row r="2870">
      <c r="A2870" t="inlineStr">
        <is>
          <t>MTR-IOS-2870</t>
        </is>
      </c>
      <c r="B2870" t="inlineStr">
        <is>
          <t>Purchase</t>
        </is>
      </c>
      <c r="C2870" t="inlineStr">
        <is>
          <t>EQUAL</t>
        </is>
      </c>
      <c r="D2870" t="inlineStr">
        <is>
          <t>IOS Owner</t>
        </is>
      </c>
      <c r="E2870" s="16" t="n">
        <v>0</v>
      </c>
      <c r="F2870" s="16" t="n">
        <v>8779.92</v>
      </c>
      <c r="G2870" s="17" t="n"/>
      <c r="H2870" s="16" t="n">
        <v>-8779.92</v>
      </c>
      <c r="I2870" s="16" t="n">
        <v>0</v>
      </c>
    </row>
    <row r="2871">
      <c r="A2871" t="inlineStr">
        <is>
          <t>MTR-IOS-2870</t>
        </is>
      </c>
      <c r="B2871" t="inlineStr">
        <is>
          <t>Purchase</t>
        </is>
      </c>
      <c r="C2871" t="inlineStr">
        <is>
          <t>EQUAL</t>
        </is>
      </c>
      <c r="D2871" t="inlineStr">
        <is>
          <t>IOS Aarav</t>
        </is>
      </c>
      <c r="E2871" s="16" t="n">
        <v>0</v>
      </c>
      <c r="F2871" s="16" t="n">
        <v>8779.92</v>
      </c>
      <c r="G2871" s="17" t="n"/>
      <c r="H2871" s="16" t="n">
        <v>-8779.92</v>
      </c>
      <c r="I2871" s="16" t="n">
        <v>0</v>
      </c>
    </row>
    <row r="2872">
      <c r="A2872" t="inlineStr">
        <is>
          <t>MTR-IOS-2870</t>
        </is>
      </c>
      <c r="B2872" t="inlineStr">
        <is>
          <t>Purchase</t>
        </is>
      </c>
      <c r="C2872" t="inlineStr">
        <is>
          <t>EQUAL</t>
        </is>
      </c>
      <c r="D2872" t="inlineStr">
        <is>
          <t>IOS Meera</t>
        </is>
      </c>
      <c r="E2872" s="16" t="n">
        <v>26339.76</v>
      </c>
      <c r="F2872" s="16" t="n">
        <v>8779.92</v>
      </c>
      <c r="G2872" s="17" t="n"/>
      <c r="H2872" s="16" t="n">
        <v>17559.84</v>
      </c>
      <c r="I2872" s="16" t="n">
        <v>0</v>
      </c>
    </row>
    <row r="2873">
      <c r="A2873" t="inlineStr">
        <is>
          <t>MTR-IOS-2873</t>
        </is>
      </c>
      <c r="B2873" t="inlineStr">
        <is>
          <t>Purchase</t>
        </is>
      </c>
      <c r="C2873" t="inlineStr">
        <is>
          <t>PERCENTAGE</t>
        </is>
      </c>
      <c r="D2873" t="inlineStr">
        <is>
          <t>IOS Owner</t>
        </is>
      </c>
      <c r="E2873" s="16" t="n">
        <v>7917.48</v>
      </c>
      <c r="F2873" s="16" t="n">
        <v>3958.74</v>
      </c>
      <c r="G2873" s="17" t="n">
        <v>50</v>
      </c>
      <c r="H2873" s="16" t="n">
        <v>3958.74</v>
      </c>
      <c r="I2873" s="16" t="n">
        <v>0</v>
      </c>
    </row>
    <row r="2874">
      <c r="A2874" t="inlineStr">
        <is>
          <t>MTR-IOS-2873</t>
        </is>
      </c>
      <c r="B2874" t="inlineStr">
        <is>
          <t>Purchase</t>
        </is>
      </c>
      <c r="C2874" t="inlineStr">
        <is>
          <t>PERCENTAGE</t>
        </is>
      </c>
      <c r="D2874" t="inlineStr">
        <is>
          <t>IOS Aarav</t>
        </is>
      </c>
      <c r="E2874" s="16" t="n">
        <v>0</v>
      </c>
      <c r="F2874" s="16" t="n">
        <v>2375.24</v>
      </c>
      <c r="G2874" s="17" t="n">
        <v>30</v>
      </c>
      <c r="H2874" s="16" t="n">
        <v>-2375.24</v>
      </c>
      <c r="I2874" s="16" t="n">
        <v>0</v>
      </c>
    </row>
    <row r="2875">
      <c r="A2875" t="inlineStr">
        <is>
          <t>MTR-IOS-2873</t>
        </is>
      </c>
      <c r="B2875" t="inlineStr">
        <is>
          <t>Purchase</t>
        </is>
      </c>
      <c r="C2875" t="inlineStr">
        <is>
          <t>PERCENTAGE</t>
        </is>
      </c>
      <c r="D2875" t="inlineStr">
        <is>
          <t>IOS Meera</t>
        </is>
      </c>
      <c r="E2875" s="16" t="n">
        <v>0</v>
      </c>
      <c r="F2875" s="16" t="n">
        <v>1583.5</v>
      </c>
      <c r="G2875" s="17" t="n">
        <v>20</v>
      </c>
      <c r="H2875" s="16" t="n">
        <v>-1583.5</v>
      </c>
      <c r="I2875" s="16" t="n">
        <v>0</v>
      </c>
    </row>
    <row r="2876">
      <c r="A2876" t="inlineStr">
        <is>
          <t>MTR-IOS-2876</t>
        </is>
      </c>
      <c r="B2876" t="inlineStr">
        <is>
          <t>Purchase</t>
        </is>
      </c>
      <c r="C2876" t="inlineStr">
        <is>
          <t>EXACT</t>
        </is>
      </c>
      <c r="D2876" t="inlineStr">
        <is>
          <t>IOS Owner</t>
        </is>
      </c>
      <c r="E2876" s="16" t="n">
        <v>0</v>
      </c>
      <c r="F2876" s="16" t="n">
        <v>6465.79</v>
      </c>
      <c r="G2876" s="17" t="n"/>
      <c r="H2876" s="16" t="n">
        <v>-6465.79</v>
      </c>
      <c r="I2876" s="16" t="n">
        <v>0</v>
      </c>
    </row>
    <row r="2877">
      <c r="A2877" t="inlineStr">
        <is>
          <t>MTR-IOS-2876</t>
        </is>
      </c>
      <c r="B2877" t="inlineStr">
        <is>
          <t>Purchase</t>
        </is>
      </c>
      <c r="C2877" t="inlineStr">
        <is>
          <t>EXACT</t>
        </is>
      </c>
      <c r="D2877" t="inlineStr">
        <is>
          <t>IOS Aarav</t>
        </is>
      </c>
      <c r="E2877" s="16" t="n">
        <v>19416.8</v>
      </c>
      <c r="F2877" s="16" t="n">
        <v>6465.79</v>
      </c>
      <c r="G2877" s="17" t="n"/>
      <c r="H2877" s="16" t="n">
        <v>12951.01</v>
      </c>
      <c r="I2877" s="16" t="n">
        <v>0</v>
      </c>
    </row>
    <row r="2878">
      <c r="A2878" t="inlineStr">
        <is>
          <t>MTR-IOS-2876</t>
        </is>
      </c>
      <c r="B2878" t="inlineStr">
        <is>
          <t>Purchase</t>
        </is>
      </c>
      <c r="C2878" t="inlineStr">
        <is>
          <t>EXACT</t>
        </is>
      </c>
      <c r="D2878" t="inlineStr">
        <is>
          <t>IOS Meera</t>
        </is>
      </c>
      <c r="E2878" s="16" t="n">
        <v>0</v>
      </c>
      <c r="F2878" s="16" t="n">
        <v>6485.22</v>
      </c>
      <c r="G2878" s="17" t="n"/>
      <c r="H2878" s="16" t="n">
        <v>-6485.22</v>
      </c>
      <c r="I2878" s="16" t="n">
        <v>0</v>
      </c>
    </row>
    <row r="2879">
      <c r="A2879" t="inlineStr">
        <is>
          <t>MTR-IOS-2879</t>
        </is>
      </c>
      <c r="B2879" t="inlineStr">
        <is>
          <t>Purchase</t>
        </is>
      </c>
      <c r="C2879" t="inlineStr">
        <is>
          <t>SHARES</t>
        </is>
      </c>
      <c r="D2879" t="inlineStr">
        <is>
          <t>IOS Owner</t>
        </is>
      </c>
      <c r="E2879" s="16" t="n">
        <v>0</v>
      </c>
      <c r="F2879" s="16" t="n">
        <v>3764.74</v>
      </c>
      <c r="G2879" s="17" t="n"/>
      <c r="H2879" s="16" t="n">
        <v>-3764.74</v>
      </c>
      <c r="I2879" s="16" t="n">
        <v>0</v>
      </c>
    </row>
    <row r="2880">
      <c r="A2880" t="inlineStr">
        <is>
          <t>MTR-IOS-2879</t>
        </is>
      </c>
      <c r="B2880" t="inlineStr">
        <is>
          <t>Purchase</t>
        </is>
      </c>
      <c r="C2880" t="inlineStr">
        <is>
          <t>SHARES</t>
        </is>
      </c>
      <c r="D2880" t="inlineStr">
        <is>
          <t>IOS Aarav</t>
        </is>
      </c>
      <c r="E2880" s="16" t="n">
        <v>0</v>
      </c>
      <c r="F2880" s="16" t="n">
        <v>2509.82</v>
      </c>
      <c r="G2880" s="17" t="n"/>
      <c r="H2880" s="16" t="n">
        <v>-2509.82</v>
      </c>
      <c r="I2880" s="16" t="n">
        <v>0</v>
      </c>
    </row>
    <row r="2881">
      <c r="A2881" t="inlineStr">
        <is>
          <t>MTR-IOS-2879</t>
        </is>
      </c>
      <c r="B2881" t="inlineStr">
        <is>
          <t>Purchase</t>
        </is>
      </c>
      <c r="C2881" t="inlineStr">
        <is>
          <t>SHARES</t>
        </is>
      </c>
      <c r="D2881" t="inlineStr">
        <is>
          <t>IOS Meera</t>
        </is>
      </c>
      <c r="E2881" s="16" t="n">
        <v>7529.47</v>
      </c>
      <c r="F2881" s="16" t="n">
        <v>1254.91</v>
      </c>
      <c r="G2881" s="17" t="n"/>
      <c r="H2881" s="16" t="n">
        <v>6274.56</v>
      </c>
      <c r="I2881" s="16" t="n">
        <v>0</v>
      </c>
    </row>
    <row r="2882">
      <c r="A2882" t="inlineStr">
        <is>
          <t>MTR-IOS-2882</t>
        </is>
      </c>
      <c r="B2882" t="inlineStr">
        <is>
          <t>Assets</t>
        </is>
      </c>
      <c r="C2882" t="inlineStr">
        <is>
          <t>EQUAL</t>
        </is>
      </c>
      <c r="D2882" t="inlineStr">
        <is>
          <t>IOS Owner</t>
        </is>
      </c>
      <c r="E2882" s="16" t="n">
        <v>8027.55</v>
      </c>
      <c r="F2882" s="16" t="n">
        <v>2675.85</v>
      </c>
      <c r="G2882" s="17" t="n"/>
      <c r="H2882" s="16" t="n">
        <v>5351.7</v>
      </c>
      <c r="I2882" s="16" t="n">
        <v>0</v>
      </c>
    </row>
    <row r="2883">
      <c r="A2883" t="inlineStr">
        <is>
          <t>MTR-IOS-2882</t>
        </is>
      </c>
      <c r="B2883" t="inlineStr">
        <is>
          <t>Assets</t>
        </is>
      </c>
      <c r="C2883" t="inlineStr">
        <is>
          <t>EQUAL</t>
        </is>
      </c>
      <c r="D2883" t="inlineStr">
        <is>
          <t>IOS Aarav</t>
        </is>
      </c>
      <c r="E2883" s="16" t="n">
        <v>0</v>
      </c>
      <c r="F2883" s="16" t="n">
        <v>2675.85</v>
      </c>
      <c r="G2883" s="17" t="n"/>
      <c r="H2883" s="16" t="n">
        <v>-2675.85</v>
      </c>
      <c r="I2883" s="16" t="n">
        <v>0</v>
      </c>
    </row>
    <row r="2884">
      <c r="A2884" t="inlineStr">
        <is>
          <t>MTR-IOS-2882</t>
        </is>
      </c>
      <c r="B2884" t="inlineStr">
        <is>
          <t>Assets</t>
        </is>
      </c>
      <c r="C2884" t="inlineStr">
        <is>
          <t>EQUAL</t>
        </is>
      </c>
      <c r="D2884" t="inlineStr">
        <is>
          <t>IOS Meera</t>
        </is>
      </c>
      <c r="E2884" s="16" t="n">
        <v>0</v>
      </c>
      <c r="F2884" s="16" t="n">
        <v>2675.85</v>
      </c>
      <c r="G2884" s="17" t="n"/>
      <c r="H2884" s="16" t="n">
        <v>-2675.85</v>
      </c>
      <c r="I2884" s="16" t="n">
        <v>0</v>
      </c>
    </row>
    <row r="2885">
      <c r="A2885" t="inlineStr">
        <is>
          <t>MTR-IOS-2885</t>
        </is>
      </c>
      <c r="B2885" t="inlineStr">
        <is>
          <t>Assets</t>
        </is>
      </c>
      <c r="C2885" t="inlineStr">
        <is>
          <t>PERCENTAGE</t>
        </is>
      </c>
      <c r="D2885" t="inlineStr">
        <is>
          <t>IOS Owner</t>
        </is>
      </c>
      <c r="E2885" s="16" t="n">
        <v>0</v>
      </c>
      <c r="F2885" s="16" t="n">
        <v>2693.11</v>
      </c>
      <c r="G2885" s="17" t="n">
        <v>50</v>
      </c>
      <c r="H2885" s="16" t="n">
        <v>-2693.11</v>
      </c>
      <c r="I2885" s="16" t="n">
        <v>0</v>
      </c>
    </row>
    <row r="2886">
      <c r="A2886" t="inlineStr">
        <is>
          <t>MTR-IOS-2885</t>
        </is>
      </c>
      <c r="B2886" t="inlineStr">
        <is>
          <t>Assets</t>
        </is>
      </c>
      <c r="C2886" t="inlineStr">
        <is>
          <t>PERCENTAGE</t>
        </is>
      </c>
      <c r="D2886" t="inlineStr">
        <is>
          <t>IOS Aarav</t>
        </is>
      </c>
      <c r="E2886" s="16" t="n">
        <v>5386.22</v>
      </c>
      <c r="F2886" s="16" t="n">
        <v>1615.87</v>
      </c>
      <c r="G2886" s="17" t="n">
        <v>30</v>
      </c>
      <c r="H2886" s="16" t="n">
        <v>3770.35</v>
      </c>
      <c r="I2886" s="16" t="n">
        <v>0</v>
      </c>
    </row>
    <row r="2887">
      <c r="A2887" t="inlineStr">
        <is>
          <t>MTR-IOS-2885</t>
        </is>
      </c>
      <c r="B2887" t="inlineStr">
        <is>
          <t>Assets</t>
        </is>
      </c>
      <c r="C2887" t="inlineStr">
        <is>
          <t>PERCENTAGE</t>
        </is>
      </c>
      <c r="D2887" t="inlineStr">
        <is>
          <t>IOS Meera</t>
        </is>
      </c>
      <c r="E2887" s="16" t="n">
        <v>0</v>
      </c>
      <c r="F2887" s="16" t="n">
        <v>1077.24</v>
      </c>
      <c r="G2887" s="17" t="n">
        <v>20</v>
      </c>
      <c r="H2887" s="16" t="n">
        <v>-1077.24</v>
      </c>
      <c r="I2887" s="16" t="n">
        <v>0</v>
      </c>
    </row>
    <row r="2888">
      <c r="A2888" t="inlineStr">
        <is>
          <t>MTR-IOS-2888</t>
        </is>
      </c>
      <c r="B2888" t="inlineStr">
        <is>
          <t>Assets</t>
        </is>
      </c>
      <c r="C2888" t="inlineStr">
        <is>
          <t>EXACT</t>
        </is>
      </c>
      <c r="D2888" t="inlineStr">
        <is>
          <t>IOS Owner</t>
        </is>
      </c>
      <c r="E2888" s="16" t="n">
        <v>0</v>
      </c>
      <c r="F2888" s="16" t="n">
        <v>494.62</v>
      </c>
      <c r="G2888" s="17" t="n"/>
      <c r="H2888" s="16" t="n">
        <v>-494.62</v>
      </c>
      <c r="I2888" s="16" t="n">
        <v>0</v>
      </c>
    </row>
    <row r="2889">
      <c r="A2889" t="inlineStr">
        <is>
          <t>MTR-IOS-2888</t>
        </is>
      </c>
      <c r="B2889" t="inlineStr">
        <is>
          <t>Assets</t>
        </is>
      </c>
      <c r="C2889" t="inlineStr">
        <is>
          <t>EXACT</t>
        </is>
      </c>
      <c r="D2889" t="inlineStr">
        <is>
          <t>IOS Aarav</t>
        </is>
      </c>
      <c r="E2889" s="16" t="n">
        <v>0</v>
      </c>
      <c r="F2889" s="16" t="n">
        <v>494.62</v>
      </c>
      <c r="G2889" s="17" t="n"/>
      <c r="H2889" s="16" t="n">
        <v>-494.62</v>
      </c>
      <c r="I2889" s="16" t="n">
        <v>0</v>
      </c>
    </row>
    <row r="2890">
      <c r="A2890" t="inlineStr">
        <is>
          <t>MTR-IOS-2888</t>
        </is>
      </c>
      <c r="B2890" t="inlineStr">
        <is>
          <t>Assets</t>
        </is>
      </c>
      <c r="C2890" t="inlineStr">
        <is>
          <t>EXACT</t>
        </is>
      </c>
      <c r="D2890" t="inlineStr">
        <is>
          <t>IOS Meera</t>
        </is>
      </c>
      <c r="E2890" s="16" t="n">
        <v>1485.34</v>
      </c>
      <c r="F2890" s="16" t="n">
        <v>496.1</v>
      </c>
      <c r="G2890" s="17" t="n"/>
      <c r="H2890" s="16" t="n">
        <v>989.24</v>
      </c>
      <c r="I2890" s="16" t="n">
        <v>0</v>
      </c>
    </row>
    <row r="2891">
      <c r="A2891" t="inlineStr">
        <is>
          <t>MTR-IOS-2891</t>
        </is>
      </c>
      <c r="B2891" t="inlineStr">
        <is>
          <t>Assets</t>
        </is>
      </c>
      <c r="C2891" t="inlineStr">
        <is>
          <t>SHARES</t>
        </is>
      </c>
      <c r="D2891" t="inlineStr">
        <is>
          <t>IOS Owner</t>
        </is>
      </c>
      <c r="E2891" s="16" t="n">
        <v>19079.31</v>
      </c>
      <c r="F2891" s="16" t="n">
        <v>9539.66</v>
      </c>
      <c r="G2891" s="17" t="n"/>
      <c r="H2891" s="16" t="n">
        <v>9539.65</v>
      </c>
      <c r="I2891" s="16" t="n">
        <v>0</v>
      </c>
    </row>
    <row r="2892">
      <c r="A2892" t="inlineStr">
        <is>
          <t>MTR-IOS-2891</t>
        </is>
      </c>
      <c r="B2892" t="inlineStr">
        <is>
          <t>Assets</t>
        </is>
      </c>
      <c r="C2892" t="inlineStr">
        <is>
          <t>SHARES</t>
        </is>
      </c>
      <c r="D2892" t="inlineStr">
        <is>
          <t>IOS Aarav</t>
        </is>
      </c>
      <c r="E2892" s="16" t="n">
        <v>0</v>
      </c>
      <c r="F2892" s="16" t="n">
        <v>6359.77</v>
      </c>
      <c r="G2892" s="17" t="n"/>
      <c r="H2892" s="16" t="n">
        <v>-6359.77</v>
      </c>
      <c r="I2892" s="16" t="n">
        <v>0</v>
      </c>
    </row>
    <row r="2893">
      <c r="A2893" t="inlineStr">
        <is>
          <t>MTR-IOS-2891</t>
        </is>
      </c>
      <c r="B2893" t="inlineStr">
        <is>
          <t>Assets</t>
        </is>
      </c>
      <c r="C2893" t="inlineStr">
        <is>
          <t>SHARES</t>
        </is>
      </c>
      <c r="D2893" t="inlineStr">
        <is>
          <t>IOS Meera</t>
        </is>
      </c>
      <c r="E2893" s="16" t="n">
        <v>0</v>
      </c>
      <c r="F2893" s="16" t="n">
        <v>3179.88</v>
      </c>
      <c r="G2893" s="17" t="n"/>
      <c r="H2893" s="16" t="n">
        <v>-3179.88</v>
      </c>
      <c r="I2893" s="16" t="n">
        <v>0</v>
      </c>
    </row>
    <row r="2894">
      <c r="A2894" t="inlineStr">
        <is>
          <t>MTR-IOS-2894</t>
        </is>
      </c>
      <c r="B2894" t="inlineStr">
        <is>
          <t>Assets</t>
        </is>
      </c>
      <c r="C2894" t="inlineStr">
        <is>
          <t>EQUAL</t>
        </is>
      </c>
      <c r="D2894" t="inlineStr">
        <is>
          <t>IOS Owner</t>
        </is>
      </c>
      <c r="E2894" s="16" t="n">
        <v>0</v>
      </c>
      <c r="F2894" s="16" t="n">
        <v>459.86</v>
      </c>
      <c r="G2894" s="17" t="n"/>
      <c r="H2894" s="16" t="n">
        <v>-459.86</v>
      </c>
      <c r="I2894" s="16" t="n">
        <v>0</v>
      </c>
    </row>
    <row r="2895">
      <c r="A2895" t="inlineStr">
        <is>
          <t>MTR-IOS-2894</t>
        </is>
      </c>
      <c r="B2895" t="inlineStr">
        <is>
          <t>Assets</t>
        </is>
      </c>
      <c r="C2895" t="inlineStr">
        <is>
          <t>EQUAL</t>
        </is>
      </c>
      <c r="D2895" t="inlineStr">
        <is>
          <t>IOS Aarav</t>
        </is>
      </c>
      <c r="E2895" s="16" t="n">
        <v>1379.58</v>
      </c>
      <c r="F2895" s="16" t="n">
        <v>459.86</v>
      </c>
      <c r="G2895" s="17" t="n"/>
      <c r="H2895" s="16" t="n">
        <v>919.72</v>
      </c>
      <c r="I2895" s="16" t="n">
        <v>0</v>
      </c>
    </row>
    <row r="2896">
      <c r="A2896" t="inlineStr">
        <is>
          <t>MTR-IOS-2894</t>
        </is>
      </c>
      <c r="B2896" t="inlineStr">
        <is>
          <t>Assets</t>
        </is>
      </c>
      <c r="C2896" t="inlineStr">
        <is>
          <t>EQUAL</t>
        </is>
      </c>
      <c r="D2896" t="inlineStr">
        <is>
          <t>IOS Meera</t>
        </is>
      </c>
      <c r="E2896" s="16" t="n">
        <v>0</v>
      </c>
      <c r="F2896" s="16" t="n">
        <v>459.86</v>
      </c>
      <c r="G2896" s="17" t="n"/>
      <c r="H2896" s="16" t="n">
        <v>-459.86</v>
      </c>
      <c r="I2896" s="16" t="n">
        <v>0</v>
      </c>
    </row>
    <row r="2897">
      <c r="A2897" t="inlineStr">
        <is>
          <t>MTR-IOS-2897</t>
        </is>
      </c>
      <c r="B2897" t="inlineStr">
        <is>
          <t>Custom Purchase</t>
        </is>
      </c>
      <c r="C2897" t="inlineStr">
        <is>
          <t>PERCENTAGE</t>
        </is>
      </c>
      <c r="D2897" t="inlineStr">
        <is>
          <t>IOS Owner</t>
        </is>
      </c>
      <c r="E2897" s="16" t="n">
        <v>0</v>
      </c>
      <c r="F2897" s="16" t="n">
        <v>7530.53</v>
      </c>
      <c r="G2897" s="17" t="n">
        <v>50</v>
      </c>
      <c r="H2897" s="16" t="n">
        <v>-7530.53</v>
      </c>
      <c r="I2897" s="16" t="n">
        <v>0</v>
      </c>
    </row>
    <row r="2898">
      <c r="A2898" t="inlineStr">
        <is>
          <t>MTR-IOS-2897</t>
        </is>
      </c>
      <c r="B2898" t="inlineStr">
        <is>
          <t>Custom Purchase</t>
        </is>
      </c>
      <c r="C2898" t="inlineStr">
        <is>
          <t>PERCENTAGE</t>
        </is>
      </c>
      <c r="D2898" t="inlineStr">
        <is>
          <t>IOS Aarav</t>
        </is>
      </c>
      <c r="E2898" s="16" t="n">
        <v>0</v>
      </c>
      <c r="F2898" s="16" t="n">
        <v>4518.32</v>
      </c>
      <c r="G2898" s="17" t="n">
        <v>30</v>
      </c>
      <c r="H2898" s="16" t="n">
        <v>-4518.32</v>
      </c>
      <c r="I2898" s="16" t="n">
        <v>0</v>
      </c>
    </row>
    <row r="2899">
      <c r="A2899" t="inlineStr">
        <is>
          <t>MTR-IOS-2897</t>
        </is>
      </c>
      <c r="B2899" t="inlineStr">
        <is>
          <t>Custom Purchase</t>
        </is>
      </c>
      <c r="C2899" t="inlineStr">
        <is>
          <t>PERCENTAGE</t>
        </is>
      </c>
      <c r="D2899" t="inlineStr">
        <is>
          <t>IOS Meera</t>
        </is>
      </c>
      <c r="E2899" s="16" t="n">
        <v>15061.06</v>
      </c>
      <c r="F2899" s="16" t="n">
        <v>3012.21</v>
      </c>
      <c r="G2899" s="17" t="n">
        <v>20</v>
      </c>
      <c r="H2899" s="16" t="n">
        <v>12048.85</v>
      </c>
      <c r="I2899" s="16" t="n">
        <v>0</v>
      </c>
    </row>
    <row r="2900">
      <c r="A2900" t="inlineStr">
        <is>
          <t>MTR-IOS-2900</t>
        </is>
      </c>
      <c r="B2900" t="inlineStr">
        <is>
          <t>Custom Purchase</t>
        </is>
      </c>
      <c r="C2900" t="inlineStr">
        <is>
          <t>EXACT</t>
        </is>
      </c>
      <c r="D2900" t="inlineStr">
        <is>
          <t>IOS Owner</t>
        </is>
      </c>
      <c r="E2900" s="16" t="n">
        <v>12523.4</v>
      </c>
      <c r="F2900" s="16" t="n">
        <v>4170.29</v>
      </c>
      <c r="G2900" s="17" t="n"/>
      <c r="H2900" s="16" t="n">
        <v>8353.110000000001</v>
      </c>
      <c r="I2900" s="16" t="n">
        <v>0</v>
      </c>
    </row>
    <row r="2901">
      <c r="A2901" t="inlineStr">
        <is>
          <t>MTR-IOS-2900</t>
        </is>
      </c>
      <c r="B2901" t="inlineStr">
        <is>
          <t>Custom Purchase</t>
        </is>
      </c>
      <c r="C2901" t="inlineStr">
        <is>
          <t>EXACT</t>
        </is>
      </c>
      <c r="D2901" t="inlineStr">
        <is>
          <t>IOS Aarav</t>
        </is>
      </c>
      <c r="E2901" s="16" t="n">
        <v>0</v>
      </c>
      <c r="F2901" s="16" t="n">
        <v>4170.29</v>
      </c>
      <c r="G2901" s="17" t="n"/>
      <c r="H2901" s="16" t="n">
        <v>-4170.29</v>
      </c>
      <c r="I2901" s="16" t="n">
        <v>0</v>
      </c>
    </row>
    <row r="2902">
      <c r="A2902" t="inlineStr">
        <is>
          <t>MTR-IOS-2900</t>
        </is>
      </c>
      <c r="B2902" t="inlineStr">
        <is>
          <t>Custom Purchase</t>
        </is>
      </c>
      <c r="C2902" t="inlineStr">
        <is>
          <t>EXACT</t>
        </is>
      </c>
      <c r="D2902" t="inlineStr">
        <is>
          <t>IOS Meera</t>
        </is>
      </c>
      <c r="E2902" s="16" t="n">
        <v>0</v>
      </c>
      <c r="F2902" s="16" t="n">
        <v>4182.82</v>
      </c>
      <c r="G2902" s="17" t="n"/>
      <c r="H2902" s="16" t="n">
        <v>-4182.82</v>
      </c>
      <c r="I2902" s="16" t="n">
        <v>0</v>
      </c>
    </row>
    <row r="2903">
      <c r="A2903" t="inlineStr">
        <is>
          <t>MTR-IOS-2903</t>
        </is>
      </c>
      <c r="B2903" t="inlineStr">
        <is>
          <t>Flatmates</t>
        </is>
      </c>
      <c r="C2903" t="inlineStr">
        <is>
          <t>SHARES</t>
        </is>
      </c>
      <c r="D2903" t="inlineStr">
        <is>
          <t>IOS Owner</t>
        </is>
      </c>
      <c r="E2903" s="16" t="n">
        <v>0</v>
      </c>
      <c r="F2903" s="16" t="n">
        <v>7370.44</v>
      </c>
      <c r="G2903" s="17" t="n"/>
      <c r="H2903" s="16" t="n">
        <v>-7370.44</v>
      </c>
      <c r="I2903" s="16" t="n">
        <v>0</v>
      </c>
    </row>
    <row r="2904">
      <c r="A2904" t="inlineStr">
        <is>
          <t>MTR-IOS-2903</t>
        </is>
      </c>
      <c r="B2904" t="inlineStr">
        <is>
          <t>Flatmates</t>
        </is>
      </c>
      <c r="C2904" t="inlineStr">
        <is>
          <t>SHARES</t>
        </is>
      </c>
      <c r="D2904" t="inlineStr">
        <is>
          <t>IOS Aarav</t>
        </is>
      </c>
      <c r="E2904" s="16" t="n">
        <v>14740.87</v>
      </c>
      <c r="F2904" s="16" t="n">
        <v>4913.62</v>
      </c>
      <c r="G2904" s="17" t="n"/>
      <c r="H2904" s="16" t="n">
        <v>9827.25</v>
      </c>
      <c r="I2904" s="16" t="n">
        <v>0</v>
      </c>
    </row>
    <row r="2905">
      <c r="A2905" t="inlineStr">
        <is>
          <t>MTR-IOS-2903</t>
        </is>
      </c>
      <c r="B2905" t="inlineStr">
        <is>
          <t>Flatmates</t>
        </is>
      </c>
      <c r="C2905" t="inlineStr">
        <is>
          <t>SHARES</t>
        </is>
      </c>
      <c r="D2905" t="inlineStr">
        <is>
          <t>IOS Meera</t>
        </is>
      </c>
      <c r="E2905" s="16" t="n">
        <v>0</v>
      </c>
      <c r="F2905" s="16" t="n">
        <v>2456.81</v>
      </c>
      <c r="G2905" s="17" t="n"/>
      <c r="H2905" s="16" t="n">
        <v>-2456.81</v>
      </c>
      <c r="I2905" s="16" t="n">
        <v>0</v>
      </c>
    </row>
    <row r="2906">
      <c r="A2906" t="inlineStr">
        <is>
          <t>MTR-IOS-2906</t>
        </is>
      </c>
      <c r="B2906" t="inlineStr">
        <is>
          <t>Flatmates</t>
        </is>
      </c>
      <c r="C2906" t="inlineStr">
        <is>
          <t>EQUAL</t>
        </is>
      </c>
      <c r="D2906" t="inlineStr">
        <is>
          <t>IOS Owner</t>
        </is>
      </c>
      <c r="E2906" s="16" t="n">
        <v>0</v>
      </c>
      <c r="F2906" s="16" t="n">
        <v>1588.56</v>
      </c>
      <c r="G2906" s="17" t="n"/>
      <c r="H2906" s="16" t="n">
        <v>-1588.56</v>
      </c>
      <c r="I2906" s="16" t="n">
        <v>0</v>
      </c>
    </row>
    <row r="2907">
      <c r="A2907" t="inlineStr">
        <is>
          <t>MTR-IOS-2906</t>
        </is>
      </c>
      <c r="B2907" t="inlineStr">
        <is>
          <t>Flatmates</t>
        </is>
      </c>
      <c r="C2907" t="inlineStr">
        <is>
          <t>EQUAL</t>
        </is>
      </c>
      <c r="D2907" t="inlineStr">
        <is>
          <t>IOS Aarav</t>
        </is>
      </c>
      <c r="E2907" s="16" t="n">
        <v>0</v>
      </c>
      <c r="F2907" s="16" t="n">
        <v>1588.56</v>
      </c>
      <c r="G2907" s="17" t="n"/>
      <c r="H2907" s="16" t="n">
        <v>-1588.56</v>
      </c>
      <c r="I2907" s="16" t="n">
        <v>0</v>
      </c>
    </row>
    <row r="2908">
      <c r="A2908" t="inlineStr">
        <is>
          <t>MTR-IOS-2906</t>
        </is>
      </c>
      <c r="B2908" t="inlineStr">
        <is>
          <t>Flatmates</t>
        </is>
      </c>
      <c r="C2908" t="inlineStr">
        <is>
          <t>EQUAL</t>
        </is>
      </c>
      <c r="D2908" t="inlineStr">
        <is>
          <t>IOS Meera</t>
        </is>
      </c>
      <c r="E2908" s="16" t="n">
        <v>4765.67</v>
      </c>
      <c r="F2908" s="16" t="n">
        <v>1588.55</v>
      </c>
      <c r="G2908" s="17" t="n"/>
      <c r="H2908" s="16" t="n">
        <v>3177.12</v>
      </c>
      <c r="I2908" s="16" t="n">
        <v>0</v>
      </c>
    </row>
    <row r="2909">
      <c r="A2909" t="inlineStr">
        <is>
          <t>MTR-IOS-2909</t>
        </is>
      </c>
      <c r="B2909" t="inlineStr">
        <is>
          <t>Flatmates</t>
        </is>
      </c>
      <c r="C2909" t="inlineStr">
        <is>
          <t>PERCENTAGE</t>
        </is>
      </c>
      <c r="D2909" t="inlineStr">
        <is>
          <t>IOS Owner</t>
        </is>
      </c>
      <c r="E2909" s="16" t="n">
        <v>7273.29</v>
      </c>
      <c r="F2909" s="16" t="n">
        <v>3636.65</v>
      </c>
      <c r="G2909" s="17" t="n">
        <v>50</v>
      </c>
      <c r="H2909" s="16" t="n">
        <v>3636.64</v>
      </c>
      <c r="I2909" s="16" t="n">
        <v>0</v>
      </c>
    </row>
    <row r="2910">
      <c r="A2910" t="inlineStr">
        <is>
          <t>MTR-IOS-2909</t>
        </is>
      </c>
      <c r="B2910" t="inlineStr">
        <is>
          <t>Flatmates</t>
        </is>
      </c>
      <c r="C2910" t="inlineStr">
        <is>
          <t>PERCENTAGE</t>
        </is>
      </c>
      <c r="D2910" t="inlineStr">
        <is>
          <t>IOS Aarav</t>
        </is>
      </c>
      <c r="E2910" s="16" t="n">
        <v>0</v>
      </c>
      <c r="F2910" s="16" t="n">
        <v>2181.99</v>
      </c>
      <c r="G2910" s="17" t="n">
        <v>30</v>
      </c>
      <c r="H2910" s="16" t="n">
        <v>-2181.99</v>
      </c>
      <c r="I2910" s="16" t="n">
        <v>0</v>
      </c>
    </row>
    <row r="2911">
      <c r="A2911" t="inlineStr">
        <is>
          <t>MTR-IOS-2909</t>
        </is>
      </c>
      <c r="B2911" t="inlineStr">
        <is>
          <t>Flatmates</t>
        </is>
      </c>
      <c r="C2911" t="inlineStr">
        <is>
          <t>PERCENTAGE</t>
        </is>
      </c>
      <c r="D2911" t="inlineStr">
        <is>
          <t>IOS Meera</t>
        </is>
      </c>
      <c r="E2911" s="16" t="n">
        <v>0</v>
      </c>
      <c r="F2911" s="16" t="n">
        <v>1454.65</v>
      </c>
      <c r="G2911" s="17" t="n">
        <v>20</v>
      </c>
      <c r="H2911" s="16" t="n">
        <v>-1454.65</v>
      </c>
      <c r="I2911" s="16" t="n">
        <v>0</v>
      </c>
    </row>
    <row r="2912">
      <c r="A2912" t="inlineStr">
        <is>
          <t>MTR-IOS-2912</t>
        </is>
      </c>
      <c r="B2912" t="inlineStr">
        <is>
          <t>Flatmates</t>
        </is>
      </c>
      <c r="C2912" t="inlineStr">
        <is>
          <t>EXACT</t>
        </is>
      </c>
      <c r="D2912" t="inlineStr">
        <is>
          <t>IOS Owner</t>
        </is>
      </c>
      <c r="E2912" s="16" t="n">
        <v>0</v>
      </c>
      <c r="F2912" s="16" t="n">
        <v>8260.709999999999</v>
      </c>
      <c r="G2912" s="17" t="n"/>
      <c r="H2912" s="16" t="n">
        <v>-8260.709999999999</v>
      </c>
      <c r="I2912" s="16" t="n">
        <v>0</v>
      </c>
    </row>
    <row r="2913">
      <c r="A2913" t="inlineStr">
        <is>
          <t>MTR-IOS-2912</t>
        </is>
      </c>
      <c r="B2913" t="inlineStr">
        <is>
          <t>Flatmates</t>
        </is>
      </c>
      <c r="C2913" t="inlineStr">
        <is>
          <t>EXACT</t>
        </is>
      </c>
      <c r="D2913" t="inlineStr">
        <is>
          <t>IOS Aarav</t>
        </is>
      </c>
      <c r="E2913" s="16" t="n">
        <v>24806.95</v>
      </c>
      <c r="F2913" s="16" t="n">
        <v>8260.709999999999</v>
      </c>
      <c r="G2913" s="17" t="n"/>
      <c r="H2913" s="16" t="n">
        <v>16546.24</v>
      </c>
      <c r="I2913" s="16" t="n">
        <v>0</v>
      </c>
    </row>
    <row r="2914">
      <c r="A2914" t="inlineStr">
        <is>
          <t>MTR-IOS-2912</t>
        </is>
      </c>
      <c r="B2914" t="inlineStr">
        <is>
          <t>Flatmates</t>
        </is>
      </c>
      <c r="C2914" t="inlineStr">
        <is>
          <t>EXACT</t>
        </is>
      </c>
      <c r="D2914" t="inlineStr">
        <is>
          <t>IOS Meera</t>
        </is>
      </c>
      <c r="E2914" s="16" t="n">
        <v>0</v>
      </c>
      <c r="F2914" s="16" t="n">
        <v>8285.530000000001</v>
      </c>
      <c r="G2914" s="17" t="n"/>
      <c r="H2914" s="16" t="n">
        <v>-8285.530000000001</v>
      </c>
      <c r="I2914" s="16" t="n">
        <v>0</v>
      </c>
    </row>
    <row r="2915">
      <c r="A2915" t="inlineStr">
        <is>
          <t>MTR-IOS-2915</t>
        </is>
      </c>
      <c r="B2915" t="inlineStr">
        <is>
          <t>Flatmates</t>
        </is>
      </c>
      <c r="C2915" t="inlineStr">
        <is>
          <t>SHARES</t>
        </is>
      </c>
      <c r="D2915" t="inlineStr">
        <is>
          <t>IOS Owner</t>
        </is>
      </c>
      <c r="E2915" s="16" t="n">
        <v>0</v>
      </c>
      <c r="F2915" s="16" t="n">
        <v>6965.29</v>
      </c>
      <c r="G2915" s="17" t="n"/>
      <c r="H2915" s="16" t="n">
        <v>-6965.29</v>
      </c>
      <c r="I2915" s="16" t="n">
        <v>0</v>
      </c>
    </row>
    <row r="2916">
      <c r="A2916" t="inlineStr">
        <is>
          <t>MTR-IOS-2915</t>
        </is>
      </c>
      <c r="B2916" t="inlineStr">
        <is>
          <t>Flatmates</t>
        </is>
      </c>
      <c r="C2916" t="inlineStr">
        <is>
          <t>SHARES</t>
        </is>
      </c>
      <c r="D2916" t="inlineStr">
        <is>
          <t>IOS Aarav</t>
        </is>
      </c>
      <c r="E2916" s="16" t="n">
        <v>0</v>
      </c>
      <c r="F2916" s="16" t="n">
        <v>4643.52</v>
      </c>
      <c r="G2916" s="17" t="n"/>
      <c r="H2916" s="16" t="n">
        <v>-4643.52</v>
      </c>
      <c r="I2916" s="16" t="n">
        <v>0</v>
      </c>
    </row>
    <row r="2917">
      <c r="A2917" t="inlineStr">
        <is>
          <t>MTR-IOS-2915</t>
        </is>
      </c>
      <c r="B2917" t="inlineStr">
        <is>
          <t>Flatmates</t>
        </is>
      </c>
      <c r="C2917" t="inlineStr">
        <is>
          <t>SHARES</t>
        </is>
      </c>
      <c r="D2917" t="inlineStr">
        <is>
          <t>IOS Meera</t>
        </is>
      </c>
      <c r="E2917" s="16" t="n">
        <v>13930.57</v>
      </c>
      <c r="F2917" s="16" t="n">
        <v>2321.76</v>
      </c>
      <c r="G2917" s="17" t="n"/>
      <c r="H2917" s="16" t="n">
        <v>11608.81</v>
      </c>
      <c r="I2917" s="16" t="n">
        <v>0</v>
      </c>
    </row>
    <row r="2918">
      <c r="A2918" t="inlineStr">
        <is>
          <t>MTR-IOS-2918</t>
        </is>
      </c>
      <c r="B2918" t="inlineStr">
        <is>
          <t>Flatmates</t>
        </is>
      </c>
      <c r="C2918" t="inlineStr">
        <is>
          <t>EQUAL</t>
        </is>
      </c>
      <c r="D2918" t="inlineStr">
        <is>
          <t>IOS Owner</t>
        </is>
      </c>
      <c r="E2918" s="16" t="n">
        <v>14912.06</v>
      </c>
      <c r="F2918" s="16" t="n">
        <v>4970.69</v>
      </c>
      <c r="G2918" s="17" t="n"/>
      <c r="H2918" s="16" t="n">
        <v>9941.370000000001</v>
      </c>
      <c r="I2918" s="16" t="n">
        <v>0</v>
      </c>
    </row>
    <row r="2919">
      <c r="A2919" t="inlineStr">
        <is>
          <t>MTR-IOS-2918</t>
        </is>
      </c>
      <c r="B2919" t="inlineStr">
        <is>
          <t>Flatmates</t>
        </is>
      </c>
      <c r="C2919" t="inlineStr">
        <is>
          <t>EQUAL</t>
        </is>
      </c>
      <c r="D2919" t="inlineStr">
        <is>
          <t>IOS Aarav</t>
        </is>
      </c>
      <c r="E2919" s="16" t="n">
        <v>0</v>
      </c>
      <c r="F2919" s="16" t="n">
        <v>4970.69</v>
      </c>
      <c r="G2919" s="17" t="n"/>
      <c r="H2919" s="16" t="n">
        <v>-4970.69</v>
      </c>
      <c r="I2919" s="16" t="n">
        <v>0</v>
      </c>
    </row>
    <row r="2920">
      <c r="A2920" t="inlineStr">
        <is>
          <t>MTR-IOS-2918</t>
        </is>
      </c>
      <c r="B2920" t="inlineStr">
        <is>
          <t>Flatmates</t>
        </is>
      </c>
      <c r="C2920" t="inlineStr">
        <is>
          <t>EQUAL</t>
        </is>
      </c>
      <c r="D2920" t="inlineStr">
        <is>
          <t>IOS Meera</t>
        </is>
      </c>
      <c r="E2920" s="16" t="n">
        <v>0</v>
      </c>
      <c r="F2920" s="16" t="n">
        <v>4970.68</v>
      </c>
      <c r="G2920" s="17" t="n"/>
      <c r="H2920" s="16" t="n">
        <v>-4970.68</v>
      </c>
      <c r="I2920" s="16" t="n">
        <v>0</v>
      </c>
    </row>
    <row r="2921">
      <c r="A2921" t="inlineStr">
        <is>
          <t>MTR-IOS-2921</t>
        </is>
      </c>
      <c r="B2921" t="inlineStr">
        <is>
          <t>Shared Living</t>
        </is>
      </c>
      <c r="C2921" t="inlineStr">
        <is>
          <t>PERCENTAGE</t>
        </is>
      </c>
      <c r="D2921" t="inlineStr">
        <is>
          <t>IOS Owner</t>
        </is>
      </c>
      <c r="E2921" s="16" t="n">
        <v>0</v>
      </c>
      <c r="F2921" s="16" t="n">
        <v>3542.02</v>
      </c>
      <c r="G2921" s="17" t="n">
        <v>50</v>
      </c>
      <c r="H2921" s="16" t="n">
        <v>-3542.02</v>
      </c>
      <c r="I2921" s="16" t="n">
        <v>0</v>
      </c>
    </row>
    <row r="2922">
      <c r="A2922" t="inlineStr">
        <is>
          <t>MTR-IOS-2921</t>
        </is>
      </c>
      <c r="B2922" t="inlineStr">
        <is>
          <t>Shared Living</t>
        </is>
      </c>
      <c r="C2922" t="inlineStr">
        <is>
          <t>PERCENTAGE</t>
        </is>
      </c>
      <c r="D2922" t="inlineStr">
        <is>
          <t>IOS Aarav</t>
        </is>
      </c>
      <c r="E2922" s="16" t="n">
        <v>7084.03</v>
      </c>
      <c r="F2922" s="16" t="n">
        <v>2125.21</v>
      </c>
      <c r="G2922" s="17" t="n">
        <v>30</v>
      </c>
      <c r="H2922" s="16" t="n">
        <v>4958.82</v>
      </c>
      <c r="I2922" s="16" t="n">
        <v>0</v>
      </c>
    </row>
    <row r="2923">
      <c r="A2923" t="inlineStr">
        <is>
          <t>MTR-IOS-2921</t>
        </is>
      </c>
      <c r="B2923" t="inlineStr">
        <is>
          <t>Shared Living</t>
        </is>
      </c>
      <c r="C2923" t="inlineStr">
        <is>
          <t>PERCENTAGE</t>
        </is>
      </c>
      <c r="D2923" t="inlineStr">
        <is>
          <t>IOS Meera</t>
        </is>
      </c>
      <c r="E2923" s="16" t="n">
        <v>0</v>
      </c>
      <c r="F2923" s="16" t="n">
        <v>1416.8</v>
      </c>
      <c r="G2923" s="17" t="n">
        <v>20</v>
      </c>
      <c r="H2923" s="16" t="n">
        <v>-1416.8</v>
      </c>
      <c r="I2923" s="16" t="n">
        <v>0</v>
      </c>
    </row>
    <row r="2924">
      <c r="A2924" t="inlineStr">
        <is>
          <t>MTR-IOS-2924</t>
        </is>
      </c>
      <c r="B2924" t="inlineStr">
        <is>
          <t>Shared Living</t>
        </is>
      </c>
      <c r="C2924" t="inlineStr">
        <is>
          <t>EXACT</t>
        </is>
      </c>
      <c r="D2924" t="inlineStr">
        <is>
          <t>IOS Owner</t>
        </is>
      </c>
      <c r="E2924" s="16" t="n">
        <v>0</v>
      </c>
      <c r="F2924" s="16" t="n">
        <v>4658.26</v>
      </c>
      <c r="G2924" s="17" t="n"/>
      <c r="H2924" s="16" t="n">
        <v>-4658.26</v>
      </c>
      <c r="I2924" s="16" t="n">
        <v>0</v>
      </c>
    </row>
    <row r="2925">
      <c r="A2925" t="inlineStr">
        <is>
          <t>MTR-IOS-2924</t>
        </is>
      </c>
      <c r="B2925" t="inlineStr">
        <is>
          <t>Shared Living</t>
        </is>
      </c>
      <c r="C2925" t="inlineStr">
        <is>
          <t>EXACT</t>
        </is>
      </c>
      <c r="D2925" t="inlineStr">
        <is>
          <t>IOS Aarav</t>
        </is>
      </c>
      <c r="E2925" s="16" t="n">
        <v>0</v>
      </c>
      <c r="F2925" s="16" t="n">
        <v>4658.26</v>
      </c>
      <c r="G2925" s="17" t="n"/>
      <c r="H2925" s="16" t="n">
        <v>-4658.26</v>
      </c>
      <c r="I2925" s="16" t="n">
        <v>0</v>
      </c>
    </row>
    <row r="2926">
      <c r="A2926" t="inlineStr">
        <is>
          <t>MTR-IOS-2924</t>
        </is>
      </c>
      <c r="B2926" t="inlineStr">
        <is>
          <t>Shared Living</t>
        </is>
      </c>
      <c r="C2926" t="inlineStr">
        <is>
          <t>EXACT</t>
        </is>
      </c>
      <c r="D2926" t="inlineStr">
        <is>
          <t>IOS Meera</t>
        </is>
      </c>
      <c r="E2926" s="16" t="n">
        <v>13988.77</v>
      </c>
      <c r="F2926" s="16" t="n">
        <v>4672.25</v>
      </c>
      <c r="G2926" s="17" t="n"/>
      <c r="H2926" s="16" t="n">
        <v>9316.52</v>
      </c>
      <c r="I2926" s="16" t="n">
        <v>0</v>
      </c>
    </row>
    <row r="2927">
      <c r="A2927" t="inlineStr">
        <is>
          <t>MTR-IOS-2927</t>
        </is>
      </c>
      <c r="B2927" t="inlineStr">
        <is>
          <t>Shared Living</t>
        </is>
      </c>
      <c r="C2927" t="inlineStr">
        <is>
          <t>SHARES</t>
        </is>
      </c>
      <c r="D2927" t="inlineStr">
        <is>
          <t>IOS Owner</t>
        </is>
      </c>
      <c r="E2927" s="16" t="n">
        <v>19586.77</v>
      </c>
      <c r="F2927" s="16" t="n">
        <v>9793.389999999999</v>
      </c>
      <c r="G2927" s="17" t="n"/>
      <c r="H2927" s="16" t="n">
        <v>9793.379999999999</v>
      </c>
      <c r="I2927" s="16" t="n">
        <v>0</v>
      </c>
    </row>
    <row r="2928">
      <c r="A2928" t="inlineStr">
        <is>
          <t>MTR-IOS-2927</t>
        </is>
      </c>
      <c r="B2928" t="inlineStr">
        <is>
          <t>Shared Living</t>
        </is>
      </c>
      <c r="C2928" t="inlineStr">
        <is>
          <t>SHARES</t>
        </is>
      </c>
      <c r="D2928" t="inlineStr">
        <is>
          <t>IOS Aarav</t>
        </is>
      </c>
      <c r="E2928" s="16" t="n">
        <v>0</v>
      </c>
      <c r="F2928" s="16" t="n">
        <v>6528.92</v>
      </c>
      <c r="G2928" s="17" t="n"/>
      <c r="H2928" s="16" t="n">
        <v>-6528.92</v>
      </c>
      <c r="I2928" s="16" t="n">
        <v>0</v>
      </c>
    </row>
    <row r="2929">
      <c r="A2929" t="inlineStr">
        <is>
          <t>MTR-IOS-2927</t>
        </is>
      </c>
      <c r="B2929" t="inlineStr">
        <is>
          <t>Shared Living</t>
        </is>
      </c>
      <c r="C2929" t="inlineStr">
        <is>
          <t>SHARES</t>
        </is>
      </c>
      <c r="D2929" t="inlineStr">
        <is>
          <t>IOS Meera</t>
        </is>
      </c>
      <c r="E2929" s="16" t="n">
        <v>0</v>
      </c>
      <c r="F2929" s="16" t="n">
        <v>3264.46</v>
      </c>
      <c r="G2929" s="17" t="n"/>
      <c r="H2929" s="16" t="n">
        <v>-3264.46</v>
      </c>
      <c r="I2929" s="16" t="n">
        <v>0</v>
      </c>
    </row>
    <row r="2930">
      <c r="A2930" t="inlineStr">
        <is>
          <t>MTR-IOS-2930</t>
        </is>
      </c>
      <c r="B2930" t="inlineStr">
        <is>
          <t>Shared Living</t>
        </is>
      </c>
      <c r="C2930" t="inlineStr">
        <is>
          <t>EQUAL</t>
        </is>
      </c>
      <c r="D2930" t="inlineStr">
        <is>
          <t>IOS Owner</t>
        </is>
      </c>
      <c r="E2930" s="16" t="n">
        <v>0</v>
      </c>
      <c r="F2930" s="16" t="n">
        <v>4607.66</v>
      </c>
      <c r="G2930" s="17" t="n"/>
      <c r="H2930" s="16" t="n">
        <v>-4607.66</v>
      </c>
      <c r="I2930" s="16" t="n">
        <v>0</v>
      </c>
    </row>
    <row r="2931">
      <c r="A2931" t="inlineStr">
        <is>
          <t>MTR-IOS-2930</t>
        </is>
      </c>
      <c r="B2931" t="inlineStr">
        <is>
          <t>Shared Living</t>
        </is>
      </c>
      <c r="C2931" t="inlineStr">
        <is>
          <t>EQUAL</t>
        </is>
      </c>
      <c r="D2931" t="inlineStr">
        <is>
          <t>IOS Aarav</t>
        </is>
      </c>
      <c r="E2931" s="16" t="n">
        <v>13822.97</v>
      </c>
      <c r="F2931" s="16" t="n">
        <v>4607.66</v>
      </c>
      <c r="G2931" s="17" t="n"/>
      <c r="H2931" s="16" t="n">
        <v>9215.309999999999</v>
      </c>
      <c r="I2931" s="16" t="n">
        <v>0</v>
      </c>
    </row>
    <row r="2932">
      <c r="A2932" t="inlineStr">
        <is>
          <t>MTR-IOS-2930</t>
        </is>
      </c>
      <c r="B2932" t="inlineStr">
        <is>
          <t>Shared Living</t>
        </is>
      </c>
      <c r="C2932" t="inlineStr">
        <is>
          <t>EQUAL</t>
        </is>
      </c>
      <c r="D2932" t="inlineStr">
        <is>
          <t>IOS Meera</t>
        </is>
      </c>
      <c r="E2932" s="16" t="n">
        <v>0</v>
      </c>
      <c r="F2932" s="16" t="n">
        <v>4607.65</v>
      </c>
      <c r="G2932" s="17" t="n"/>
      <c r="H2932" s="16" t="n">
        <v>-4607.65</v>
      </c>
      <c r="I2932" s="16" t="n">
        <v>0</v>
      </c>
    </row>
    <row r="2933">
      <c r="A2933" t="inlineStr">
        <is>
          <t>MTR-IOS-2933</t>
        </is>
      </c>
      <c r="B2933" t="inlineStr">
        <is>
          <t>Shared Living</t>
        </is>
      </c>
      <c r="C2933" t="inlineStr">
        <is>
          <t>PERCENTAGE</t>
        </is>
      </c>
      <c r="D2933" t="inlineStr">
        <is>
          <t>IOS Owner</t>
        </is>
      </c>
      <c r="E2933" s="16" t="n">
        <v>0</v>
      </c>
      <c r="F2933" s="16" t="n">
        <v>12636.09</v>
      </c>
      <c r="G2933" s="17" t="n">
        <v>50</v>
      </c>
      <c r="H2933" s="16" t="n">
        <v>-12636.09</v>
      </c>
      <c r="I2933" s="16" t="n">
        <v>0</v>
      </c>
    </row>
    <row r="2934">
      <c r="A2934" t="inlineStr">
        <is>
          <t>MTR-IOS-2933</t>
        </is>
      </c>
      <c r="B2934" t="inlineStr">
        <is>
          <t>Shared Living</t>
        </is>
      </c>
      <c r="C2934" t="inlineStr">
        <is>
          <t>PERCENTAGE</t>
        </is>
      </c>
      <c r="D2934" t="inlineStr">
        <is>
          <t>IOS Aarav</t>
        </is>
      </c>
      <c r="E2934" s="16" t="n">
        <v>0</v>
      </c>
      <c r="F2934" s="16" t="n">
        <v>7581.65</v>
      </c>
      <c r="G2934" s="17" t="n">
        <v>30</v>
      </c>
      <c r="H2934" s="16" t="n">
        <v>-7581.65</v>
      </c>
      <c r="I2934" s="16" t="n">
        <v>0</v>
      </c>
    </row>
    <row r="2935">
      <c r="A2935" t="inlineStr">
        <is>
          <t>MTR-IOS-2933</t>
        </is>
      </c>
      <c r="B2935" t="inlineStr">
        <is>
          <t>Shared Living</t>
        </is>
      </c>
      <c r="C2935" t="inlineStr">
        <is>
          <t>PERCENTAGE</t>
        </is>
      </c>
      <c r="D2935" t="inlineStr">
        <is>
          <t>IOS Meera</t>
        </is>
      </c>
      <c r="E2935" s="16" t="n">
        <v>25272.17</v>
      </c>
      <c r="F2935" s="16" t="n">
        <v>5054.43</v>
      </c>
      <c r="G2935" s="17" t="n">
        <v>20</v>
      </c>
      <c r="H2935" s="16" t="n">
        <v>20217.74</v>
      </c>
      <c r="I2935" s="16" t="n">
        <v>0</v>
      </c>
    </row>
    <row r="2936">
      <c r="A2936" t="inlineStr">
        <is>
          <t>MTR-IOS-2936</t>
        </is>
      </c>
      <c r="B2936" t="inlineStr">
        <is>
          <t>Family Household</t>
        </is>
      </c>
      <c r="C2936" t="inlineStr">
        <is>
          <t>EXACT</t>
        </is>
      </c>
      <c r="D2936" t="inlineStr">
        <is>
          <t>IOS Owner</t>
        </is>
      </c>
      <c r="E2936" s="16" t="n">
        <v>17633.34</v>
      </c>
      <c r="F2936" s="16" t="n">
        <v>5871.9</v>
      </c>
      <c r="G2936" s="17" t="n"/>
      <c r="H2936" s="16" t="n">
        <v>11761.44</v>
      </c>
      <c r="I2936" s="16" t="n">
        <v>0</v>
      </c>
    </row>
    <row r="2937">
      <c r="A2937" t="inlineStr">
        <is>
          <t>MTR-IOS-2936</t>
        </is>
      </c>
      <c r="B2937" t="inlineStr">
        <is>
          <t>Family Household</t>
        </is>
      </c>
      <c r="C2937" t="inlineStr">
        <is>
          <t>EXACT</t>
        </is>
      </c>
      <c r="D2937" t="inlineStr">
        <is>
          <t>IOS Aarav</t>
        </is>
      </c>
      <c r="E2937" s="16" t="n">
        <v>0</v>
      </c>
      <c r="F2937" s="16" t="n">
        <v>5871.9</v>
      </c>
      <c r="G2937" s="17" t="n"/>
      <c r="H2937" s="16" t="n">
        <v>-5871.9</v>
      </c>
      <c r="I2937" s="16" t="n">
        <v>0</v>
      </c>
    </row>
    <row r="2938">
      <c r="A2938" t="inlineStr">
        <is>
          <t>MTR-IOS-2936</t>
        </is>
      </c>
      <c r="B2938" t="inlineStr">
        <is>
          <t>Family Household</t>
        </is>
      </c>
      <c r="C2938" t="inlineStr">
        <is>
          <t>EXACT</t>
        </is>
      </c>
      <c r="D2938" t="inlineStr">
        <is>
          <t>IOS Meera</t>
        </is>
      </c>
      <c r="E2938" s="16" t="n">
        <v>0</v>
      </c>
      <c r="F2938" s="16" t="n">
        <v>5889.54</v>
      </c>
      <c r="G2938" s="17" t="n"/>
      <c r="H2938" s="16" t="n">
        <v>-5889.54</v>
      </c>
      <c r="I2938" s="16" t="n">
        <v>0</v>
      </c>
    </row>
    <row r="2939">
      <c r="A2939" t="inlineStr">
        <is>
          <t>MTR-IOS-2939</t>
        </is>
      </c>
      <c r="B2939" t="inlineStr">
        <is>
          <t>Family Household</t>
        </is>
      </c>
      <c r="C2939" t="inlineStr">
        <is>
          <t>SHARES</t>
        </is>
      </c>
      <c r="D2939" t="inlineStr">
        <is>
          <t>IOS Owner</t>
        </is>
      </c>
      <c r="E2939" s="16" t="n">
        <v>0</v>
      </c>
      <c r="F2939" s="16" t="n">
        <v>11689.2</v>
      </c>
      <c r="G2939" s="17" t="n"/>
      <c r="H2939" s="16" t="n">
        <v>-11689.2</v>
      </c>
      <c r="I2939" s="16" t="n">
        <v>0</v>
      </c>
    </row>
    <row r="2940">
      <c r="A2940" t="inlineStr">
        <is>
          <t>MTR-IOS-2939</t>
        </is>
      </c>
      <c r="B2940" t="inlineStr">
        <is>
          <t>Family Household</t>
        </is>
      </c>
      <c r="C2940" t="inlineStr">
        <is>
          <t>SHARES</t>
        </is>
      </c>
      <c r="D2940" t="inlineStr">
        <is>
          <t>IOS Aarav</t>
        </is>
      </c>
      <c r="E2940" s="16" t="n">
        <v>23378.39</v>
      </c>
      <c r="F2940" s="16" t="n">
        <v>7792.8</v>
      </c>
      <c r="G2940" s="17" t="n"/>
      <c r="H2940" s="16" t="n">
        <v>15585.59</v>
      </c>
      <c r="I2940" s="16" t="n">
        <v>0</v>
      </c>
    </row>
    <row r="2941">
      <c r="A2941" t="inlineStr">
        <is>
          <t>MTR-IOS-2939</t>
        </is>
      </c>
      <c r="B2941" t="inlineStr">
        <is>
          <t>Family Household</t>
        </is>
      </c>
      <c r="C2941" t="inlineStr">
        <is>
          <t>SHARES</t>
        </is>
      </c>
      <c r="D2941" t="inlineStr">
        <is>
          <t>IOS Meera</t>
        </is>
      </c>
      <c r="E2941" s="16" t="n">
        <v>0</v>
      </c>
      <c r="F2941" s="16" t="n">
        <v>3896.39</v>
      </c>
      <c r="G2941" s="17" t="n"/>
      <c r="H2941" s="16" t="n">
        <v>-3896.39</v>
      </c>
      <c r="I2941" s="16" t="n">
        <v>0</v>
      </c>
    </row>
    <row r="2942">
      <c r="A2942" t="inlineStr">
        <is>
          <t>MTR-IOS-2942</t>
        </is>
      </c>
      <c r="B2942" t="inlineStr">
        <is>
          <t>Family Household</t>
        </is>
      </c>
      <c r="C2942" t="inlineStr">
        <is>
          <t>EQUAL</t>
        </is>
      </c>
      <c r="D2942" t="inlineStr">
        <is>
          <t>IOS Owner</t>
        </is>
      </c>
      <c r="E2942" s="16" t="n">
        <v>0</v>
      </c>
      <c r="F2942" s="16" t="n">
        <v>3714.81</v>
      </c>
      <c r="G2942" s="17" t="n"/>
      <c r="H2942" s="16" t="n">
        <v>-3714.81</v>
      </c>
      <c r="I2942" s="16" t="n">
        <v>0</v>
      </c>
    </row>
    <row r="2943">
      <c r="A2943" t="inlineStr">
        <is>
          <t>MTR-IOS-2942</t>
        </is>
      </c>
      <c r="B2943" t="inlineStr">
        <is>
          <t>Family Household</t>
        </is>
      </c>
      <c r="C2943" t="inlineStr">
        <is>
          <t>EQUAL</t>
        </is>
      </c>
      <c r="D2943" t="inlineStr">
        <is>
          <t>IOS Aarav</t>
        </is>
      </c>
      <c r="E2943" s="16" t="n">
        <v>0</v>
      </c>
      <c r="F2943" s="16" t="n">
        <v>3714.81</v>
      </c>
      <c r="G2943" s="17" t="n"/>
      <c r="H2943" s="16" t="n">
        <v>-3714.81</v>
      </c>
      <c r="I2943" s="16" t="n">
        <v>0</v>
      </c>
    </row>
    <row r="2944">
      <c r="A2944" t="inlineStr">
        <is>
          <t>MTR-IOS-2942</t>
        </is>
      </c>
      <c r="B2944" t="inlineStr">
        <is>
          <t>Family Household</t>
        </is>
      </c>
      <c r="C2944" t="inlineStr">
        <is>
          <t>EQUAL</t>
        </is>
      </c>
      <c r="D2944" t="inlineStr">
        <is>
          <t>IOS Meera</t>
        </is>
      </c>
      <c r="E2944" s="16" t="n">
        <v>11144.44</v>
      </c>
      <c r="F2944" s="16" t="n">
        <v>3714.82</v>
      </c>
      <c r="G2944" s="17" t="n"/>
      <c r="H2944" s="16" t="n">
        <v>7429.62</v>
      </c>
      <c r="I2944" s="16" t="n">
        <v>0</v>
      </c>
    </row>
    <row r="2945">
      <c r="A2945" t="inlineStr">
        <is>
          <t>MTR-IOS-2945</t>
        </is>
      </c>
      <c r="B2945" t="inlineStr">
        <is>
          <t>Family Household</t>
        </is>
      </c>
      <c r="C2945" t="inlineStr">
        <is>
          <t>PERCENTAGE</t>
        </is>
      </c>
      <c r="D2945" t="inlineStr">
        <is>
          <t>IOS Owner</t>
        </is>
      </c>
      <c r="E2945" s="16" t="n">
        <v>26283</v>
      </c>
      <c r="F2945" s="16" t="n">
        <v>13141.5</v>
      </c>
      <c r="G2945" s="17" t="n">
        <v>50</v>
      </c>
      <c r="H2945" s="16" t="n">
        <v>13141.5</v>
      </c>
      <c r="I2945" s="16" t="n">
        <v>0</v>
      </c>
    </row>
    <row r="2946">
      <c r="A2946" t="inlineStr">
        <is>
          <t>MTR-IOS-2945</t>
        </is>
      </c>
      <c r="B2946" t="inlineStr">
        <is>
          <t>Family Household</t>
        </is>
      </c>
      <c r="C2946" t="inlineStr">
        <is>
          <t>PERCENTAGE</t>
        </is>
      </c>
      <c r="D2946" t="inlineStr">
        <is>
          <t>IOS Aarav</t>
        </is>
      </c>
      <c r="E2946" s="16" t="n">
        <v>0</v>
      </c>
      <c r="F2946" s="16" t="n">
        <v>7884.9</v>
      </c>
      <c r="G2946" s="17" t="n">
        <v>30</v>
      </c>
      <c r="H2946" s="16" t="n">
        <v>-7884.9</v>
      </c>
      <c r="I2946" s="16" t="n">
        <v>0</v>
      </c>
    </row>
    <row r="2947">
      <c r="A2947" t="inlineStr">
        <is>
          <t>MTR-IOS-2945</t>
        </is>
      </c>
      <c r="B2947" t="inlineStr">
        <is>
          <t>Family Household</t>
        </is>
      </c>
      <c r="C2947" t="inlineStr">
        <is>
          <t>PERCENTAGE</t>
        </is>
      </c>
      <c r="D2947" t="inlineStr">
        <is>
          <t>IOS Meera</t>
        </is>
      </c>
      <c r="E2947" s="16" t="n">
        <v>0</v>
      </c>
      <c r="F2947" s="16" t="n">
        <v>5256.6</v>
      </c>
      <c r="G2947" s="17" t="n">
        <v>20</v>
      </c>
      <c r="H2947" s="16" t="n">
        <v>-5256.6</v>
      </c>
      <c r="I2947" s="16" t="n">
        <v>0</v>
      </c>
    </row>
    <row r="2948">
      <c r="A2948" t="inlineStr">
        <is>
          <t>MTR-IOS-2948</t>
        </is>
      </c>
      <c r="B2948" t="inlineStr">
        <is>
          <t>Family Household</t>
        </is>
      </c>
      <c r="C2948" t="inlineStr">
        <is>
          <t>EXACT</t>
        </is>
      </c>
      <c r="D2948" t="inlineStr">
        <is>
          <t>IOS Owner</t>
        </is>
      </c>
      <c r="E2948" s="16" t="n">
        <v>0</v>
      </c>
      <c r="F2948" s="16" t="n">
        <v>2156.33</v>
      </c>
      <c r="G2948" s="17" t="n"/>
      <c r="H2948" s="16" t="n">
        <v>-2156.33</v>
      </c>
      <c r="I2948" s="16" t="n">
        <v>0</v>
      </c>
    </row>
    <row r="2949">
      <c r="A2949" t="inlineStr">
        <is>
          <t>MTR-IOS-2948</t>
        </is>
      </c>
      <c r="B2949" t="inlineStr">
        <is>
          <t>Family Household</t>
        </is>
      </c>
      <c r="C2949" t="inlineStr">
        <is>
          <t>EXACT</t>
        </is>
      </c>
      <c r="D2949" t="inlineStr">
        <is>
          <t>IOS Aarav</t>
        </is>
      </c>
      <c r="E2949" s="16" t="n">
        <v>6475.47</v>
      </c>
      <c r="F2949" s="16" t="n">
        <v>2156.33</v>
      </c>
      <c r="G2949" s="17" t="n"/>
      <c r="H2949" s="16" t="n">
        <v>4319.14</v>
      </c>
      <c r="I2949" s="16" t="n">
        <v>0</v>
      </c>
    </row>
    <row r="2950">
      <c r="A2950" t="inlineStr">
        <is>
          <t>MTR-IOS-2948</t>
        </is>
      </c>
      <c r="B2950" t="inlineStr">
        <is>
          <t>Family Household</t>
        </is>
      </c>
      <c r="C2950" t="inlineStr">
        <is>
          <t>EXACT</t>
        </is>
      </c>
      <c r="D2950" t="inlineStr">
        <is>
          <t>IOS Meera</t>
        </is>
      </c>
      <c r="E2950" s="16" t="n">
        <v>0</v>
      </c>
      <c r="F2950" s="16" t="n">
        <v>2162.81</v>
      </c>
      <c r="G2950" s="17" t="n"/>
      <c r="H2950" s="16" t="n">
        <v>-2162.81</v>
      </c>
      <c r="I2950" s="16" t="n">
        <v>0</v>
      </c>
    </row>
    <row r="2951">
      <c r="A2951" t="inlineStr">
        <is>
          <t>MTR-IOS-2951</t>
        </is>
      </c>
      <c r="B2951" t="inlineStr">
        <is>
          <t>Family Household</t>
        </is>
      </c>
      <c r="C2951" t="inlineStr">
        <is>
          <t>SHARES</t>
        </is>
      </c>
      <c r="D2951" t="inlineStr">
        <is>
          <t>IOS Owner</t>
        </is>
      </c>
      <c r="E2951" s="16" t="n">
        <v>0</v>
      </c>
      <c r="F2951" s="16" t="n">
        <v>7688.38</v>
      </c>
      <c r="G2951" s="17" t="n"/>
      <c r="H2951" s="16" t="n">
        <v>-7688.38</v>
      </c>
      <c r="I2951" s="16" t="n">
        <v>0</v>
      </c>
    </row>
    <row r="2952">
      <c r="A2952" t="inlineStr">
        <is>
          <t>MTR-IOS-2951</t>
        </is>
      </c>
      <c r="B2952" t="inlineStr">
        <is>
          <t>Family Household</t>
        </is>
      </c>
      <c r="C2952" t="inlineStr">
        <is>
          <t>SHARES</t>
        </is>
      </c>
      <c r="D2952" t="inlineStr">
        <is>
          <t>IOS Aarav</t>
        </is>
      </c>
      <c r="E2952" s="16" t="n">
        <v>0</v>
      </c>
      <c r="F2952" s="16" t="n">
        <v>5125.59</v>
      </c>
      <c r="G2952" s="17" t="n"/>
      <c r="H2952" s="16" t="n">
        <v>-5125.59</v>
      </c>
      <c r="I2952" s="16" t="n">
        <v>0</v>
      </c>
    </row>
    <row r="2953">
      <c r="A2953" t="inlineStr">
        <is>
          <t>MTR-IOS-2951</t>
        </is>
      </c>
      <c r="B2953" t="inlineStr">
        <is>
          <t>Family Household</t>
        </is>
      </c>
      <c r="C2953" t="inlineStr">
        <is>
          <t>SHARES</t>
        </is>
      </c>
      <c r="D2953" t="inlineStr">
        <is>
          <t>IOS Meera</t>
        </is>
      </c>
      <c r="E2953" s="16" t="n">
        <v>15376.76</v>
      </c>
      <c r="F2953" s="16" t="n">
        <v>2562.79</v>
      </c>
      <c r="G2953" s="17" t="n"/>
      <c r="H2953" s="16" t="n">
        <v>12813.97</v>
      </c>
      <c r="I2953" s="16" t="n">
        <v>0</v>
      </c>
    </row>
    <row r="2954">
      <c r="A2954" t="inlineStr">
        <is>
          <t>MTR-IOS-2954</t>
        </is>
      </c>
      <c r="B2954" t="inlineStr">
        <is>
          <t>Custom Living</t>
        </is>
      </c>
      <c r="C2954" t="inlineStr">
        <is>
          <t>EQUAL</t>
        </is>
      </c>
      <c r="D2954" t="inlineStr">
        <is>
          <t>IOS Owner</t>
        </is>
      </c>
      <c r="E2954" s="16" t="n">
        <v>10689.41</v>
      </c>
      <c r="F2954" s="16" t="n">
        <v>3563.14</v>
      </c>
      <c r="G2954" s="17" t="n"/>
      <c r="H2954" s="16" t="n">
        <v>7126.27</v>
      </c>
      <c r="I2954" s="16" t="n">
        <v>0</v>
      </c>
    </row>
    <row r="2955">
      <c r="A2955" t="inlineStr">
        <is>
          <t>MTR-IOS-2954</t>
        </is>
      </c>
      <c r="B2955" t="inlineStr">
        <is>
          <t>Custom Living</t>
        </is>
      </c>
      <c r="C2955" t="inlineStr">
        <is>
          <t>EQUAL</t>
        </is>
      </c>
      <c r="D2955" t="inlineStr">
        <is>
          <t>IOS Aarav</t>
        </is>
      </c>
      <c r="E2955" s="16" t="n">
        <v>0</v>
      </c>
      <c r="F2955" s="16" t="n">
        <v>3563.14</v>
      </c>
      <c r="G2955" s="17" t="n"/>
      <c r="H2955" s="16" t="n">
        <v>-3563.14</v>
      </c>
      <c r="I2955" s="16" t="n">
        <v>0</v>
      </c>
    </row>
    <row r="2956">
      <c r="A2956" t="inlineStr">
        <is>
          <t>MTR-IOS-2954</t>
        </is>
      </c>
      <c r="B2956" t="inlineStr">
        <is>
          <t>Custom Living</t>
        </is>
      </c>
      <c r="C2956" t="inlineStr">
        <is>
          <t>EQUAL</t>
        </is>
      </c>
      <c r="D2956" t="inlineStr">
        <is>
          <t>IOS Meera</t>
        </is>
      </c>
      <c r="E2956" s="16" t="n">
        <v>0</v>
      </c>
      <c r="F2956" s="16" t="n">
        <v>3563.13</v>
      </c>
      <c r="G2956" s="17" t="n"/>
      <c r="H2956" s="16" t="n">
        <v>-3563.13</v>
      </c>
      <c r="I2956" s="16" t="n">
        <v>0</v>
      </c>
    </row>
    <row r="2957">
      <c r="A2957" t="inlineStr">
        <is>
          <t>MTR-IOS-2957</t>
        </is>
      </c>
      <c r="B2957" t="inlineStr">
        <is>
          <t>Custom Living</t>
        </is>
      </c>
      <c r="C2957" t="inlineStr">
        <is>
          <t>PERCENTAGE</t>
        </is>
      </c>
      <c r="D2957" t="inlineStr">
        <is>
          <t>IOS Owner</t>
        </is>
      </c>
      <c r="E2957" s="16" t="n">
        <v>0</v>
      </c>
      <c r="F2957" s="16" t="n">
        <v>9168.709999999999</v>
      </c>
      <c r="G2957" s="17" t="n">
        <v>50</v>
      </c>
      <c r="H2957" s="16" t="n">
        <v>-9168.709999999999</v>
      </c>
      <c r="I2957" s="16" t="n">
        <v>0</v>
      </c>
    </row>
    <row r="2958">
      <c r="A2958" t="inlineStr">
        <is>
          <t>MTR-IOS-2957</t>
        </is>
      </c>
      <c r="B2958" t="inlineStr">
        <is>
          <t>Custom Living</t>
        </is>
      </c>
      <c r="C2958" t="inlineStr">
        <is>
          <t>PERCENTAGE</t>
        </is>
      </c>
      <c r="D2958" t="inlineStr">
        <is>
          <t>IOS Aarav</t>
        </is>
      </c>
      <c r="E2958" s="16" t="n">
        <v>18337.42</v>
      </c>
      <c r="F2958" s="16" t="n">
        <v>5501.23</v>
      </c>
      <c r="G2958" s="17" t="n">
        <v>30</v>
      </c>
      <c r="H2958" s="16" t="n">
        <v>12836.19</v>
      </c>
      <c r="I2958" s="16" t="n">
        <v>0</v>
      </c>
    </row>
    <row r="2959">
      <c r="A2959" t="inlineStr">
        <is>
          <t>MTR-IOS-2957</t>
        </is>
      </c>
      <c r="B2959" t="inlineStr">
        <is>
          <t>Custom Living</t>
        </is>
      </c>
      <c r="C2959" t="inlineStr">
        <is>
          <t>PERCENTAGE</t>
        </is>
      </c>
      <c r="D2959" t="inlineStr">
        <is>
          <t>IOS Meera</t>
        </is>
      </c>
      <c r="E2959" s="16" t="n">
        <v>0</v>
      </c>
      <c r="F2959" s="16" t="n">
        <v>3667.48</v>
      </c>
      <c r="G2959" s="17" t="n">
        <v>20</v>
      </c>
      <c r="H2959" s="16" t="n">
        <v>-3667.48</v>
      </c>
      <c r="I2959" s="16" t="n">
        <v>0</v>
      </c>
    </row>
    <row r="2960">
      <c r="A2960" t="inlineStr">
        <is>
          <t>MTR-IOS-2960</t>
        </is>
      </c>
      <c r="B2960" t="inlineStr">
        <is>
          <t>Trip</t>
        </is>
      </c>
      <c r="C2960" t="inlineStr">
        <is>
          <t>EXACT</t>
        </is>
      </c>
      <c r="D2960" t="inlineStr">
        <is>
          <t>IOS Owner</t>
        </is>
      </c>
      <c r="E2960" s="16" t="n">
        <v>0</v>
      </c>
      <c r="F2960" s="16" t="n">
        <v>33.3</v>
      </c>
      <c r="G2960" s="17" t="n"/>
      <c r="H2960" s="16" t="n">
        <v>-33.3</v>
      </c>
      <c r="I2960" s="16" t="n">
        <v>0</v>
      </c>
    </row>
    <row r="2961">
      <c r="A2961" t="inlineStr">
        <is>
          <t>MTR-IOS-2960</t>
        </is>
      </c>
      <c r="B2961" t="inlineStr">
        <is>
          <t>Trip</t>
        </is>
      </c>
      <c r="C2961" t="inlineStr">
        <is>
          <t>EXACT</t>
        </is>
      </c>
      <c r="D2961" t="inlineStr">
        <is>
          <t>IOS Aarav</t>
        </is>
      </c>
      <c r="E2961" s="16" t="n">
        <v>0</v>
      </c>
      <c r="F2961" s="16" t="n">
        <v>33.3</v>
      </c>
      <c r="G2961" s="17" t="n"/>
      <c r="H2961" s="16" t="n">
        <v>-33.3</v>
      </c>
      <c r="I2961" s="16" t="n">
        <v>0</v>
      </c>
    </row>
    <row r="2962">
      <c r="A2962" t="inlineStr">
        <is>
          <t>MTR-IOS-2960</t>
        </is>
      </c>
      <c r="B2962" t="inlineStr">
        <is>
          <t>Trip</t>
        </is>
      </c>
      <c r="C2962" t="inlineStr">
        <is>
          <t>EXACT</t>
        </is>
      </c>
      <c r="D2962" t="inlineStr">
        <is>
          <t>IOS Meera</t>
        </is>
      </c>
      <c r="E2962" s="16" t="n">
        <v>99.98999999999999</v>
      </c>
      <c r="F2962" s="16" t="n">
        <v>33.39</v>
      </c>
      <c r="G2962" s="17" t="n"/>
      <c r="H2962" s="16" t="n">
        <v>66.59999999999999</v>
      </c>
      <c r="I2962" s="16" t="n">
        <v>0</v>
      </c>
    </row>
    <row r="2963">
      <c r="A2963" t="inlineStr">
        <is>
          <t>MTR-IOS-2963</t>
        </is>
      </c>
      <c r="B2963" t="inlineStr">
        <is>
          <t>Trip</t>
        </is>
      </c>
      <c r="C2963" t="inlineStr">
        <is>
          <t>SHARES</t>
        </is>
      </c>
      <c r="D2963" t="inlineStr">
        <is>
          <t>IOS Owner</t>
        </is>
      </c>
      <c r="E2963" s="16" t="n">
        <v>25559.06</v>
      </c>
      <c r="F2963" s="16" t="n">
        <v>12779.53</v>
      </c>
      <c r="G2963" s="17" t="n"/>
      <c r="H2963" s="16" t="n">
        <v>12779.53</v>
      </c>
      <c r="I2963" s="16" t="n">
        <v>0</v>
      </c>
    </row>
    <row r="2964">
      <c r="A2964" t="inlineStr">
        <is>
          <t>MTR-IOS-2963</t>
        </is>
      </c>
      <c r="B2964" t="inlineStr">
        <is>
          <t>Trip</t>
        </is>
      </c>
      <c r="C2964" t="inlineStr">
        <is>
          <t>SHARES</t>
        </is>
      </c>
      <c r="D2964" t="inlineStr">
        <is>
          <t>IOS Aarav</t>
        </is>
      </c>
      <c r="E2964" s="16" t="n">
        <v>0</v>
      </c>
      <c r="F2964" s="16" t="n">
        <v>8519.690000000001</v>
      </c>
      <c r="G2964" s="17" t="n"/>
      <c r="H2964" s="16" t="n">
        <v>-8519.690000000001</v>
      </c>
      <c r="I2964" s="16" t="n">
        <v>0</v>
      </c>
    </row>
    <row r="2965">
      <c r="A2965" t="inlineStr">
        <is>
          <t>MTR-IOS-2963</t>
        </is>
      </c>
      <c r="B2965" t="inlineStr">
        <is>
          <t>Trip</t>
        </is>
      </c>
      <c r="C2965" t="inlineStr">
        <is>
          <t>SHARES</t>
        </is>
      </c>
      <c r="D2965" t="inlineStr">
        <is>
          <t>IOS Meera</t>
        </is>
      </c>
      <c r="E2965" s="16" t="n">
        <v>0</v>
      </c>
      <c r="F2965" s="16" t="n">
        <v>4259.84</v>
      </c>
      <c r="G2965" s="17" t="n"/>
      <c r="H2965" s="16" t="n">
        <v>-4259.84</v>
      </c>
      <c r="I2965" s="16" t="n">
        <v>0</v>
      </c>
    </row>
    <row r="2966">
      <c r="A2966" t="inlineStr">
        <is>
          <t>MTR-IOS-2966</t>
        </is>
      </c>
      <c r="B2966" t="inlineStr">
        <is>
          <t>Trip</t>
        </is>
      </c>
      <c r="C2966" t="inlineStr">
        <is>
          <t>EQUAL</t>
        </is>
      </c>
      <c r="D2966" t="inlineStr">
        <is>
          <t>IOS Owner</t>
        </is>
      </c>
      <c r="E2966" s="16" t="n">
        <v>0</v>
      </c>
      <c r="F2966" s="16" t="n">
        <v>447.32</v>
      </c>
      <c r="G2966" s="17" t="n"/>
      <c r="H2966" s="16" t="n">
        <v>-447.32</v>
      </c>
      <c r="I2966" s="16" t="n">
        <v>0</v>
      </c>
    </row>
    <row r="2967">
      <c r="A2967" t="inlineStr">
        <is>
          <t>MTR-IOS-2966</t>
        </is>
      </c>
      <c r="B2967" t="inlineStr">
        <is>
          <t>Trip</t>
        </is>
      </c>
      <c r="C2967" t="inlineStr">
        <is>
          <t>EQUAL</t>
        </is>
      </c>
      <c r="D2967" t="inlineStr">
        <is>
          <t>IOS Aarav</t>
        </is>
      </c>
      <c r="E2967" s="16" t="n">
        <v>1341.96</v>
      </c>
      <c r="F2967" s="16" t="n">
        <v>447.32</v>
      </c>
      <c r="G2967" s="17" t="n"/>
      <c r="H2967" s="16" t="n">
        <v>894.64</v>
      </c>
      <c r="I2967" s="16" t="n">
        <v>0</v>
      </c>
    </row>
    <row r="2968">
      <c r="A2968" t="inlineStr">
        <is>
          <t>MTR-IOS-2966</t>
        </is>
      </c>
      <c r="B2968" t="inlineStr">
        <is>
          <t>Trip</t>
        </is>
      </c>
      <c r="C2968" t="inlineStr">
        <is>
          <t>EQUAL</t>
        </is>
      </c>
      <c r="D2968" t="inlineStr">
        <is>
          <t>IOS Meera</t>
        </is>
      </c>
      <c r="E2968" s="16" t="n">
        <v>0</v>
      </c>
      <c r="F2968" s="16" t="n">
        <v>447.32</v>
      </c>
      <c r="G2968" s="17" t="n"/>
      <c r="H2968" s="16" t="n">
        <v>-447.32</v>
      </c>
      <c r="I2968" s="16" t="n">
        <v>0</v>
      </c>
    </row>
    <row r="2969">
      <c r="A2969" t="inlineStr">
        <is>
          <t>MTR-IOS-2969</t>
        </is>
      </c>
      <c r="B2969" t="inlineStr">
        <is>
          <t>Trip</t>
        </is>
      </c>
      <c r="C2969" t="inlineStr">
        <is>
          <t>PERCENTAGE</t>
        </is>
      </c>
      <c r="D2969" t="inlineStr">
        <is>
          <t>IOS Owner</t>
        </is>
      </c>
      <c r="E2969" s="16" t="n">
        <v>0</v>
      </c>
      <c r="F2969" s="16" t="n">
        <v>5404.26</v>
      </c>
      <c r="G2969" s="17" t="n">
        <v>50</v>
      </c>
      <c r="H2969" s="16" t="n">
        <v>-5404.26</v>
      </c>
      <c r="I2969" s="16" t="n">
        <v>0</v>
      </c>
    </row>
    <row r="2970">
      <c r="A2970" t="inlineStr">
        <is>
          <t>MTR-IOS-2969</t>
        </is>
      </c>
      <c r="B2970" t="inlineStr">
        <is>
          <t>Trip</t>
        </is>
      </c>
      <c r="C2970" t="inlineStr">
        <is>
          <t>PERCENTAGE</t>
        </is>
      </c>
      <c r="D2970" t="inlineStr">
        <is>
          <t>IOS Aarav</t>
        </is>
      </c>
      <c r="E2970" s="16" t="n">
        <v>0</v>
      </c>
      <c r="F2970" s="16" t="n">
        <v>3242.55</v>
      </c>
      <c r="G2970" s="17" t="n">
        <v>30</v>
      </c>
      <c r="H2970" s="16" t="n">
        <v>-3242.55</v>
      </c>
      <c r="I2970" s="16" t="n">
        <v>0</v>
      </c>
    </row>
    <row r="2971">
      <c r="A2971" t="inlineStr">
        <is>
          <t>MTR-IOS-2969</t>
        </is>
      </c>
      <c r="B2971" t="inlineStr">
        <is>
          <t>Trip</t>
        </is>
      </c>
      <c r="C2971" t="inlineStr">
        <is>
          <t>PERCENTAGE</t>
        </is>
      </c>
      <c r="D2971" t="inlineStr">
        <is>
          <t>IOS Meera</t>
        </is>
      </c>
      <c r="E2971" s="16" t="n">
        <v>10808.51</v>
      </c>
      <c r="F2971" s="16" t="n">
        <v>2161.7</v>
      </c>
      <c r="G2971" s="17" t="n">
        <v>20</v>
      </c>
      <c r="H2971" s="16" t="n">
        <v>8646.809999999999</v>
      </c>
      <c r="I2971" s="16" t="n">
        <v>0</v>
      </c>
    </row>
    <row r="2972">
      <c r="A2972" t="inlineStr">
        <is>
          <t>MTR-IOS-2972</t>
        </is>
      </c>
      <c r="B2972" t="inlineStr">
        <is>
          <t>Trip</t>
        </is>
      </c>
      <c r="C2972" t="inlineStr">
        <is>
          <t>EXACT</t>
        </is>
      </c>
      <c r="D2972" t="inlineStr">
        <is>
          <t>IOS Owner</t>
        </is>
      </c>
      <c r="E2972" s="16" t="n">
        <v>20260.15</v>
      </c>
      <c r="F2972" s="16" t="n">
        <v>6746.63</v>
      </c>
      <c r="G2972" s="17" t="n"/>
      <c r="H2972" s="16" t="n">
        <v>13513.52</v>
      </c>
      <c r="I2972" s="16" t="n">
        <v>0</v>
      </c>
    </row>
    <row r="2973">
      <c r="A2973" t="inlineStr">
        <is>
          <t>MTR-IOS-2972</t>
        </is>
      </c>
      <c r="B2973" t="inlineStr">
        <is>
          <t>Trip</t>
        </is>
      </c>
      <c r="C2973" t="inlineStr">
        <is>
          <t>EXACT</t>
        </is>
      </c>
      <c r="D2973" t="inlineStr">
        <is>
          <t>IOS Aarav</t>
        </is>
      </c>
      <c r="E2973" s="16" t="n">
        <v>0</v>
      </c>
      <c r="F2973" s="16" t="n">
        <v>6746.63</v>
      </c>
      <c r="G2973" s="17" t="n"/>
      <c r="H2973" s="16" t="n">
        <v>-6746.63</v>
      </c>
      <c r="I2973" s="16" t="n">
        <v>0</v>
      </c>
    </row>
    <row r="2974">
      <c r="A2974" t="inlineStr">
        <is>
          <t>MTR-IOS-2972</t>
        </is>
      </c>
      <c r="B2974" t="inlineStr">
        <is>
          <t>Trip</t>
        </is>
      </c>
      <c r="C2974" t="inlineStr">
        <is>
          <t>EXACT</t>
        </is>
      </c>
      <c r="D2974" t="inlineStr">
        <is>
          <t>IOS Meera</t>
        </is>
      </c>
      <c r="E2974" s="16" t="n">
        <v>0</v>
      </c>
      <c r="F2974" s="16" t="n">
        <v>6766.89</v>
      </c>
      <c r="G2974" s="17" t="n"/>
      <c r="H2974" s="16" t="n">
        <v>-6766.89</v>
      </c>
      <c r="I2974" s="16" t="n">
        <v>0</v>
      </c>
    </row>
    <row r="2975">
      <c r="A2975" t="inlineStr">
        <is>
          <t>MTR-IOS-2975</t>
        </is>
      </c>
      <c r="B2975" t="inlineStr">
        <is>
          <t>Trip</t>
        </is>
      </c>
      <c r="C2975" t="inlineStr">
        <is>
          <t>SHARES</t>
        </is>
      </c>
      <c r="D2975" t="inlineStr">
        <is>
          <t>IOS Owner</t>
        </is>
      </c>
      <c r="E2975" s="16" t="n">
        <v>0</v>
      </c>
      <c r="F2975" s="16" t="n">
        <v>7592.87</v>
      </c>
      <c r="G2975" s="17" t="n"/>
      <c r="H2975" s="16" t="n">
        <v>-7592.87</v>
      </c>
      <c r="I2975" s="16" t="n">
        <v>0</v>
      </c>
    </row>
    <row r="2976">
      <c r="A2976" t="inlineStr">
        <is>
          <t>MTR-IOS-2975</t>
        </is>
      </c>
      <c r="B2976" t="inlineStr">
        <is>
          <t>Trip</t>
        </is>
      </c>
      <c r="C2976" t="inlineStr">
        <is>
          <t>SHARES</t>
        </is>
      </c>
      <c r="D2976" t="inlineStr">
        <is>
          <t>IOS Aarav</t>
        </is>
      </c>
      <c r="E2976" s="16" t="n">
        <v>15185.74</v>
      </c>
      <c r="F2976" s="16" t="n">
        <v>5061.91</v>
      </c>
      <c r="G2976" s="17" t="n"/>
      <c r="H2976" s="16" t="n">
        <v>10123.83</v>
      </c>
      <c r="I2976" s="16" t="n">
        <v>0</v>
      </c>
    </row>
    <row r="2977">
      <c r="A2977" t="inlineStr">
        <is>
          <t>MTR-IOS-2975</t>
        </is>
      </c>
      <c r="B2977" t="inlineStr">
        <is>
          <t>Trip</t>
        </is>
      </c>
      <c r="C2977" t="inlineStr">
        <is>
          <t>SHARES</t>
        </is>
      </c>
      <c r="D2977" t="inlineStr">
        <is>
          <t>IOS Meera</t>
        </is>
      </c>
      <c r="E2977" s="16" t="n">
        <v>0</v>
      </c>
      <c r="F2977" s="16" t="n">
        <v>2530.96</v>
      </c>
      <c r="G2977" s="17" t="n"/>
      <c r="H2977" s="16" t="n">
        <v>-2530.96</v>
      </c>
      <c r="I2977" s="16" t="n">
        <v>0</v>
      </c>
    </row>
    <row r="2978">
      <c r="A2978" t="inlineStr">
        <is>
          <t>MTR-IOS-2978</t>
        </is>
      </c>
      <c r="B2978" t="inlineStr">
        <is>
          <t>Trip</t>
        </is>
      </c>
      <c r="C2978" t="inlineStr">
        <is>
          <t>EQUAL</t>
        </is>
      </c>
      <c r="D2978" t="inlineStr">
        <is>
          <t>IOS Owner</t>
        </is>
      </c>
      <c r="E2978" s="16" t="n">
        <v>0</v>
      </c>
      <c r="F2978" s="16" t="n">
        <v>6001.5</v>
      </c>
      <c r="G2978" s="17" t="n"/>
      <c r="H2978" s="16" t="n">
        <v>-6001.5</v>
      </c>
      <c r="I2978" s="16" t="n">
        <v>0</v>
      </c>
    </row>
    <row r="2979">
      <c r="A2979" t="inlineStr">
        <is>
          <t>MTR-IOS-2978</t>
        </is>
      </c>
      <c r="B2979" t="inlineStr">
        <is>
          <t>Trip</t>
        </is>
      </c>
      <c r="C2979" t="inlineStr">
        <is>
          <t>EQUAL</t>
        </is>
      </c>
      <c r="D2979" t="inlineStr">
        <is>
          <t>IOS Aarav</t>
        </is>
      </c>
      <c r="E2979" s="16" t="n">
        <v>0</v>
      </c>
      <c r="F2979" s="16" t="n">
        <v>6001.5</v>
      </c>
      <c r="G2979" s="17" t="n"/>
      <c r="H2979" s="16" t="n">
        <v>-6001.5</v>
      </c>
      <c r="I2979" s="16" t="n">
        <v>0</v>
      </c>
    </row>
    <row r="2980">
      <c r="A2980" t="inlineStr">
        <is>
          <t>MTR-IOS-2978</t>
        </is>
      </c>
      <c r="B2980" t="inlineStr">
        <is>
          <t>Trip</t>
        </is>
      </c>
      <c r="C2980" t="inlineStr">
        <is>
          <t>EQUAL</t>
        </is>
      </c>
      <c r="D2980" t="inlineStr">
        <is>
          <t>IOS Meera</t>
        </is>
      </c>
      <c r="E2980" s="16" t="n">
        <v>18004.49</v>
      </c>
      <c r="F2980" s="16" t="n">
        <v>6001.49</v>
      </c>
      <c r="G2980" s="17" t="n"/>
      <c r="H2980" s="16" t="n">
        <v>12003</v>
      </c>
      <c r="I2980" s="16" t="n">
        <v>0</v>
      </c>
    </row>
    <row r="2981">
      <c r="A2981" t="inlineStr">
        <is>
          <t>MTR-IOS-2981</t>
        </is>
      </c>
      <c r="B2981" t="inlineStr">
        <is>
          <t>Wedding</t>
        </is>
      </c>
      <c r="C2981" t="inlineStr">
        <is>
          <t>PERCENTAGE</t>
        </is>
      </c>
      <c r="D2981" t="inlineStr">
        <is>
          <t>IOS Owner</t>
        </is>
      </c>
      <c r="E2981" s="16" t="n">
        <v>9628.24</v>
      </c>
      <c r="F2981" s="16" t="n">
        <v>4814.12</v>
      </c>
      <c r="G2981" s="17" t="n">
        <v>50</v>
      </c>
      <c r="H2981" s="16" t="n">
        <v>4814.12</v>
      </c>
      <c r="I2981" s="16" t="n">
        <v>0</v>
      </c>
    </row>
    <row r="2982">
      <c r="A2982" t="inlineStr">
        <is>
          <t>MTR-IOS-2981</t>
        </is>
      </c>
      <c r="B2982" t="inlineStr">
        <is>
          <t>Wedding</t>
        </is>
      </c>
      <c r="C2982" t="inlineStr">
        <is>
          <t>PERCENTAGE</t>
        </is>
      </c>
      <c r="D2982" t="inlineStr">
        <is>
          <t>IOS Aarav</t>
        </is>
      </c>
      <c r="E2982" s="16" t="n">
        <v>0</v>
      </c>
      <c r="F2982" s="16" t="n">
        <v>2888.47</v>
      </c>
      <c r="G2982" s="17" t="n">
        <v>30</v>
      </c>
      <c r="H2982" s="16" t="n">
        <v>-2888.47</v>
      </c>
      <c r="I2982" s="16" t="n">
        <v>0</v>
      </c>
    </row>
    <row r="2983">
      <c r="A2983" t="inlineStr">
        <is>
          <t>MTR-IOS-2981</t>
        </is>
      </c>
      <c r="B2983" t="inlineStr">
        <is>
          <t>Wedding</t>
        </is>
      </c>
      <c r="C2983" t="inlineStr">
        <is>
          <t>PERCENTAGE</t>
        </is>
      </c>
      <c r="D2983" t="inlineStr">
        <is>
          <t>IOS Meera</t>
        </is>
      </c>
      <c r="E2983" s="16" t="n">
        <v>0</v>
      </c>
      <c r="F2983" s="16" t="n">
        <v>1925.65</v>
      </c>
      <c r="G2983" s="17" t="n">
        <v>20</v>
      </c>
      <c r="H2983" s="16" t="n">
        <v>-1925.65</v>
      </c>
      <c r="I2983" s="16" t="n">
        <v>0</v>
      </c>
    </row>
    <row r="2984">
      <c r="A2984" t="inlineStr">
        <is>
          <t>MTR-IOS-2984</t>
        </is>
      </c>
      <c r="B2984" t="inlineStr">
        <is>
          <t>Wedding</t>
        </is>
      </c>
      <c r="C2984" t="inlineStr">
        <is>
          <t>EXACT</t>
        </is>
      </c>
      <c r="D2984" t="inlineStr">
        <is>
          <t>IOS Owner</t>
        </is>
      </c>
      <c r="E2984" s="16" t="n">
        <v>0</v>
      </c>
      <c r="F2984" s="16" t="n">
        <v>2220.17</v>
      </c>
      <c r="G2984" s="17" t="n"/>
      <c r="H2984" s="16" t="n">
        <v>-2220.17</v>
      </c>
      <c r="I2984" s="16" t="n">
        <v>0</v>
      </c>
    </row>
    <row r="2985">
      <c r="A2985" t="inlineStr">
        <is>
          <t>MTR-IOS-2984</t>
        </is>
      </c>
      <c r="B2985" t="inlineStr">
        <is>
          <t>Wedding</t>
        </is>
      </c>
      <c r="C2985" t="inlineStr">
        <is>
          <t>EXACT</t>
        </is>
      </c>
      <c r="D2985" t="inlineStr">
        <is>
          <t>IOS Aarav</t>
        </is>
      </c>
      <c r="E2985" s="16" t="n">
        <v>6667.19</v>
      </c>
      <c r="F2985" s="16" t="n">
        <v>2220.17</v>
      </c>
      <c r="G2985" s="17" t="n"/>
      <c r="H2985" s="16" t="n">
        <v>4447.02</v>
      </c>
      <c r="I2985" s="16" t="n">
        <v>0</v>
      </c>
    </row>
    <row r="2986">
      <c r="A2986" t="inlineStr">
        <is>
          <t>MTR-IOS-2984</t>
        </is>
      </c>
      <c r="B2986" t="inlineStr">
        <is>
          <t>Wedding</t>
        </is>
      </c>
      <c r="C2986" t="inlineStr">
        <is>
          <t>EXACT</t>
        </is>
      </c>
      <c r="D2986" t="inlineStr">
        <is>
          <t>IOS Meera</t>
        </is>
      </c>
      <c r="E2986" s="16" t="n">
        <v>0</v>
      </c>
      <c r="F2986" s="16" t="n">
        <v>2226.85</v>
      </c>
      <c r="G2986" s="17" t="n"/>
      <c r="H2986" s="16" t="n">
        <v>-2226.85</v>
      </c>
      <c r="I2986" s="16" t="n">
        <v>0</v>
      </c>
    </row>
    <row r="2987">
      <c r="A2987" t="inlineStr">
        <is>
          <t>MTR-IOS-2987</t>
        </is>
      </c>
      <c r="B2987" t="inlineStr">
        <is>
          <t>Wedding</t>
        </is>
      </c>
      <c r="C2987" t="inlineStr">
        <is>
          <t>SHARES</t>
        </is>
      </c>
      <c r="D2987" t="inlineStr">
        <is>
          <t>IOS Owner</t>
        </is>
      </c>
      <c r="E2987" s="16" t="n">
        <v>0</v>
      </c>
      <c r="F2987" s="16" t="n">
        <v>4071.58</v>
      </c>
      <c r="G2987" s="17" t="n"/>
      <c r="H2987" s="16" t="n">
        <v>-4071.58</v>
      </c>
      <c r="I2987" s="16" t="n">
        <v>0</v>
      </c>
    </row>
    <row r="2988">
      <c r="A2988" t="inlineStr">
        <is>
          <t>MTR-IOS-2987</t>
        </is>
      </c>
      <c r="B2988" t="inlineStr">
        <is>
          <t>Wedding</t>
        </is>
      </c>
      <c r="C2988" t="inlineStr">
        <is>
          <t>SHARES</t>
        </is>
      </c>
      <c r="D2988" t="inlineStr">
        <is>
          <t>IOS Aarav</t>
        </is>
      </c>
      <c r="E2988" s="16" t="n">
        <v>0</v>
      </c>
      <c r="F2988" s="16" t="n">
        <v>2714.38</v>
      </c>
      <c r="G2988" s="17" t="n"/>
      <c r="H2988" s="16" t="n">
        <v>-2714.38</v>
      </c>
      <c r="I2988" s="16" t="n">
        <v>0</v>
      </c>
    </row>
    <row r="2989">
      <c r="A2989" t="inlineStr">
        <is>
          <t>MTR-IOS-2987</t>
        </is>
      </c>
      <c r="B2989" t="inlineStr">
        <is>
          <t>Wedding</t>
        </is>
      </c>
      <c r="C2989" t="inlineStr">
        <is>
          <t>SHARES</t>
        </is>
      </c>
      <c r="D2989" t="inlineStr">
        <is>
          <t>IOS Meera</t>
        </is>
      </c>
      <c r="E2989" s="16" t="n">
        <v>8143.15</v>
      </c>
      <c r="F2989" s="16" t="n">
        <v>1357.19</v>
      </c>
      <c r="G2989" s="17" t="n"/>
      <c r="H2989" s="16" t="n">
        <v>6785.96</v>
      </c>
      <c r="I2989" s="16" t="n">
        <v>0</v>
      </c>
    </row>
    <row r="2990">
      <c r="A2990" t="inlineStr">
        <is>
          <t>MTR-IOS-2990</t>
        </is>
      </c>
      <c r="B2990" t="inlineStr">
        <is>
          <t>Wedding</t>
        </is>
      </c>
      <c r="C2990" t="inlineStr">
        <is>
          <t>EQUAL</t>
        </is>
      </c>
      <c r="D2990" t="inlineStr">
        <is>
          <t>IOS Owner</t>
        </is>
      </c>
      <c r="E2990" s="16" t="n">
        <v>21300.8</v>
      </c>
      <c r="F2990" s="16" t="n">
        <v>7100.27</v>
      </c>
      <c r="G2990" s="17" t="n"/>
      <c r="H2990" s="16" t="n">
        <v>14200.53</v>
      </c>
      <c r="I2990" s="16" t="n">
        <v>0</v>
      </c>
    </row>
    <row r="2991">
      <c r="A2991" t="inlineStr">
        <is>
          <t>MTR-IOS-2990</t>
        </is>
      </c>
      <c r="B2991" t="inlineStr">
        <is>
          <t>Wedding</t>
        </is>
      </c>
      <c r="C2991" t="inlineStr">
        <is>
          <t>EQUAL</t>
        </is>
      </c>
      <c r="D2991" t="inlineStr">
        <is>
          <t>IOS Aarav</t>
        </is>
      </c>
      <c r="E2991" s="16" t="n">
        <v>0</v>
      </c>
      <c r="F2991" s="16" t="n">
        <v>7100.27</v>
      </c>
      <c r="G2991" s="17" t="n"/>
      <c r="H2991" s="16" t="n">
        <v>-7100.27</v>
      </c>
      <c r="I2991" s="16" t="n">
        <v>0</v>
      </c>
    </row>
    <row r="2992">
      <c r="A2992" t="inlineStr">
        <is>
          <t>MTR-IOS-2990</t>
        </is>
      </c>
      <c r="B2992" t="inlineStr">
        <is>
          <t>Wedding</t>
        </is>
      </c>
      <c r="C2992" t="inlineStr">
        <is>
          <t>EQUAL</t>
        </is>
      </c>
      <c r="D2992" t="inlineStr">
        <is>
          <t>IOS Meera</t>
        </is>
      </c>
      <c r="E2992" s="16" t="n">
        <v>0</v>
      </c>
      <c r="F2992" s="16" t="n">
        <v>7100.26</v>
      </c>
      <c r="G2992" s="17" t="n"/>
      <c r="H2992" s="16" t="n">
        <v>-7100.26</v>
      </c>
      <c r="I2992" s="16" t="n">
        <v>0</v>
      </c>
    </row>
    <row r="2993">
      <c r="A2993" t="inlineStr">
        <is>
          <t>MTR-IOS-2993</t>
        </is>
      </c>
      <c r="B2993" t="inlineStr">
        <is>
          <t>Wedding</t>
        </is>
      </c>
      <c r="C2993" t="inlineStr">
        <is>
          <t>PERCENTAGE</t>
        </is>
      </c>
      <c r="D2993" t="inlineStr">
        <is>
          <t>IOS Owner</t>
        </is>
      </c>
      <c r="E2993" s="16" t="n">
        <v>0</v>
      </c>
      <c r="F2993" s="16" t="n">
        <v>4265.69</v>
      </c>
      <c r="G2993" s="17" t="n">
        <v>50</v>
      </c>
      <c r="H2993" s="16" t="n">
        <v>-4265.69</v>
      </c>
      <c r="I2993" s="16" t="n">
        <v>0</v>
      </c>
    </row>
    <row r="2994">
      <c r="A2994" t="inlineStr">
        <is>
          <t>MTR-IOS-2993</t>
        </is>
      </c>
      <c r="B2994" t="inlineStr">
        <is>
          <t>Wedding</t>
        </is>
      </c>
      <c r="C2994" t="inlineStr">
        <is>
          <t>PERCENTAGE</t>
        </is>
      </c>
      <c r="D2994" t="inlineStr">
        <is>
          <t>IOS Aarav</t>
        </is>
      </c>
      <c r="E2994" s="16" t="n">
        <v>8531.379999999999</v>
      </c>
      <c r="F2994" s="16" t="n">
        <v>2559.41</v>
      </c>
      <c r="G2994" s="17" t="n">
        <v>30</v>
      </c>
      <c r="H2994" s="16" t="n">
        <v>5971.97</v>
      </c>
      <c r="I2994" s="16" t="n">
        <v>0</v>
      </c>
    </row>
    <row r="2995">
      <c r="A2995" t="inlineStr">
        <is>
          <t>MTR-IOS-2993</t>
        </is>
      </c>
      <c r="B2995" t="inlineStr">
        <is>
          <t>Wedding</t>
        </is>
      </c>
      <c r="C2995" t="inlineStr">
        <is>
          <t>PERCENTAGE</t>
        </is>
      </c>
      <c r="D2995" t="inlineStr">
        <is>
          <t>IOS Meera</t>
        </is>
      </c>
      <c r="E2995" s="16" t="n">
        <v>0</v>
      </c>
      <c r="F2995" s="16" t="n">
        <v>1706.28</v>
      </c>
      <c r="G2995" s="17" t="n">
        <v>20</v>
      </c>
      <c r="H2995" s="16" t="n">
        <v>-1706.28</v>
      </c>
      <c r="I2995" s="16" t="n">
        <v>0</v>
      </c>
    </row>
    <row r="2996">
      <c r="A2996" t="inlineStr">
        <is>
          <t>MTR-IOS-2996</t>
        </is>
      </c>
      <c r="B2996" t="inlineStr">
        <is>
          <t>Wedding</t>
        </is>
      </c>
      <c r="C2996" t="inlineStr">
        <is>
          <t>EXACT</t>
        </is>
      </c>
      <c r="D2996" t="inlineStr">
        <is>
          <t>IOS Owner</t>
        </is>
      </c>
      <c r="E2996" s="16" t="n">
        <v>0</v>
      </c>
      <c r="F2996" s="16" t="n">
        <v>3335.19</v>
      </c>
      <c r="G2996" s="17" t="n"/>
      <c r="H2996" s="16" t="n">
        <v>-3335.19</v>
      </c>
      <c r="I2996" s="16" t="n">
        <v>0</v>
      </c>
    </row>
    <row r="2997">
      <c r="A2997" t="inlineStr">
        <is>
          <t>MTR-IOS-2996</t>
        </is>
      </c>
      <c r="B2997" t="inlineStr">
        <is>
          <t>Wedding</t>
        </is>
      </c>
      <c r="C2997" t="inlineStr">
        <is>
          <t>EXACT</t>
        </is>
      </c>
      <c r="D2997" t="inlineStr">
        <is>
          <t>IOS Aarav</t>
        </is>
      </c>
      <c r="E2997" s="16" t="n">
        <v>0</v>
      </c>
      <c r="F2997" s="16" t="n">
        <v>3335.19</v>
      </c>
      <c r="G2997" s="17" t="n"/>
      <c r="H2997" s="16" t="n">
        <v>-3335.19</v>
      </c>
      <c r="I2997" s="16" t="n">
        <v>0</v>
      </c>
    </row>
    <row r="2998">
      <c r="A2998" t="inlineStr">
        <is>
          <t>MTR-IOS-2996</t>
        </is>
      </c>
      <c r="B2998" t="inlineStr">
        <is>
          <t>Wedding</t>
        </is>
      </c>
      <c r="C2998" t="inlineStr">
        <is>
          <t>EXACT</t>
        </is>
      </c>
      <c r="D2998" t="inlineStr">
        <is>
          <t>IOS Meera</t>
        </is>
      </c>
      <c r="E2998" s="16" t="n">
        <v>10015.58</v>
      </c>
      <c r="F2998" s="16" t="n">
        <v>3345.2</v>
      </c>
      <c r="G2998" s="17" t="n"/>
      <c r="H2998" s="16" t="n">
        <v>6670.38</v>
      </c>
      <c r="I2998" s="16" t="n">
        <v>0</v>
      </c>
    </row>
    <row r="2999">
      <c r="A2999" t="inlineStr">
        <is>
          <t>MTR-IOS-2999</t>
        </is>
      </c>
      <c r="B2999" t="inlineStr">
        <is>
          <t>Wedding</t>
        </is>
      </c>
      <c r="C2999" t="inlineStr">
        <is>
          <t>SHARES</t>
        </is>
      </c>
      <c r="D2999" t="inlineStr">
        <is>
          <t>IOS Owner</t>
        </is>
      </c>
      <c r="E2999" s="16" t="n">
        <v>3846.99</v>
      </c>
      <c r="F2999" s="16" t="n">
        <v>1923.5</v>
      </c>
      <c r="G2999" s="17" t="n"/>
      <c r="H2999" s="16" t="n">
        <v>1923.49</v>
      </c>
      <c r="I2999" s="16" t="n">
        <v>0</v>
      </c>
    </row>
    <row r="3000">
      <c r="A3000" t="inlineStr">
        <is>
          <t>MTR-IOS-2999</t>
        </is>
      </c>
      <c r="B3000" t="inlineStr">
        <is>
          <t>Wedding</t>
        </is>
      </c>
      <c r="C3000" t="inlineStr">
        <is>
          <t>SHARES</t>
        </is>
      </c>
      <c r="D3000" t="inlineStr">
        <is>
          <t>IOS Aarav</t>
        </is>
      </c>
      <c r="E3000" s="16" t="n">
        <v>0</v>
      </c>
      <c r="F3000" s="16" t="n">
        <v>1282.33</v>
      </c>
      <c r="G3000" s="17" t="n"/>
      <c r="H3000" s="16" t="n">
        <v>-1282.33</v>
      </c>
      <c r="I3000" s="16" t="n">
        <v>0</v>
      </c>
    </row>
    <row r="3001">
      <c r="A3001" t="inlineStr">
        <is>
          <t>MTR-IOS-2999</t>
        </is>
      </c>
      <c r="B3001" t="inlineStr">
        <is>
          <t>Wedding</t>
        </is>
      </c>
      <c r="C3001" t="inlineStr">
        <is>
          <t>SHARES</t>
        </is>
      </c>
      <c r="D3001" t="inlineStr">
        <is>
          <t>IOS Meera</t>
        </is>
      </c>
      <c r="E3001" s="16" t="n">
        <v>0</v>
      </c>
      <c r="F3001" s="16" t="n">
        <v>641.16</v>
      </c>
      <c r="G3001" s="17" t="n"/>
      <c r="H3001" s="16" t="n">
        <v>-641.16</v>
      </c>
      <c r="I3001" s="16" t="n">
        <v>0</v>
      </c>
    </row>
    <row r="3002">
      <c r="A3002" t="inlineStr">
        <is>
          <t>MTR-IOS-3002</t>
        </is>
      </c>
      <c r="B3002" t="inlineStr">
        <is>
          <t>Office Outing</t>
        </is>
      </c>
      <c r="C3002" t="inlineStr">
        <is>
          <t>EQUAL</t>
        </is>
      </c>
      <c r="D3002" t="inlineStr">
        <is>
          <t>IOS Owner</t>
        </is>
      </c>
      <c r="E3002" s="16" t="n">
        <v>0</v>
      </c>
      <c r="F3002" s="16" t="n">
        <v>4861.54</v>
      </c>
      <c r="G3002" s="17" t="n"/>
      <c r="H3002" s="16" t="n">
        <v>-4861.54</v>
      </c>
      <c r="I3002" s="16" t="n">
        <v>0</v>
      </c>
    </row>
    <row r="3003">
      <c r="A3003" t="inlineStr">
        <is>
          <t>MTR-IOS-3002</t>
        </is>
      </c>
      <c r="B3003" t="inlineStr">
        <is>
          <t>Office Outing</t>
        </is>
      </c>
      <c r="C3003" t="inlineStr">
        <is>
          <t>EQUAL</t>
        </is>
      </c>
      <c r="D3003" t="inlineStr">
        <is>
          <t>IOS Aarav</t>
        </is>
      </c>
      <c r="E3003" s="16" t="n">
        <v>14584.62</v>
      </c>
      <c r="F3003" s="16" t="n">
        <v>4861.54</v>
      </c>
      <c r="G3003" s="17" t="n"/>
      <c r="H3003" s="16" t="n">
        <v>9723.08</v>
      </c>
      <c r="I3003" s="16" t="n">
        <v>0</v>
      </c>
    </row>
    <row r="3004">
      <c r="A3004" t="inlineStr">
        <is>
          <t>MTR-IOS-3002</t>
        </is>
      </c>
      <c r="B3004" t="inlineStr">
        <is>
          <t>Office Outing</t>
        </is>
      </c>
      <c r="C3004" t="inlineStr">
        <is>
          <t>EQUAL</t>
        </is>
      </c>
      <c r="D3004" t="inlineStr">
        <is>
          <t>IOS Meera</t>
        </is>
      </c>
      <c r="E3004" s="16" t="n">
        <v>0</v>
      </c>
      <c r="F3004" s="16" t="n">
        <v>4861.54</v>
      </c>
      <c r="G3004" s="17" t="n"/>
      <c r="H3004" s="16" t="n">
        <v>-4861.54</v>
      </c>
      <c r="I3004" s="16" t="n">
        <v>0</v>
      </c>
    </row>
    <row r="3005">
      <c r="A3005" t="inlineStr">
        <is>
          <t>MTR-IOS-3005</t>
        </is>
      </c>
      <c r="B3005" t="inlineStr">
        <is>
          <t>Office Outing</t>
        </is>
      </c>
      <c r="C3005" t="inlineStr">
        <is>
          <t>PERCENTAGE</t>
        </is>
      </c>
      <c r="D3005" t="inlineStr">
        <is>
          <t>IOS Owner</t>
        </is>
      </c>
      <c r="E3005" s="16" t="n">
        <v>0</v>
      </c>
      <c r="F3005" s="16" t="n">
        <v>2880.52</v>
      </c>
      <c r="G3005" s="17" t="n">
        <v>50</v>
      </c>
      <c r="H3005" s="16" t="n">
        <v>-2880.52</v>
      </c>
      <c r="I3005" s="16" t="n">
        <v>0</v>
      </c>
    </row>
    <row r="3006">
      <c r="A3006" t="inlineStr">
        <is>
          <t>MTR-IOS-3005</t>
        </is>
      </c>
      <c r="B3006" t="inlineStr">
        <is>
          <t>Office Outing</t>
        </is>
      </c>
      <c r="C3006" t="inlineStr">
        <is>
          <t>PERCENTAGE</t>
        </is>
      </c>
      <c r="D3006" t="inlineStr">
        <is>
          <t>IOS Aarav</t>
        </is>
      </c>
      <c r="E3006" s="16" t="n">
        <v>0</v>
      </c>
      <c r="F3006" s="16" t="n">
        <v>1728.31</v>
      </c>
      <c r="G3006" s="17" t="n">
        <v>30</v>
      </c>
      <c r="H3006" s="16" t="n">
        <v>-1728.31</v>
      </c>
      <c r="I3006" s="16" t="n">
        <v>0</v>
      </c>
    </row>
    <row r="3007">
      <c r="A3007" t="inlineStr">
        <is>
          <t>MTR-IOS-3005</t>
        </is>
      </c>
      <c r="B3007" t="inlineStr">
        <is>
          <t>Office Outing</t>
        </is>
      </c>
      <c r="C3007" t="inlineStr">
        <is>
          <t>PERCENTAGE</t>
        </is>
      </c>
      <c r="D3007" t="inlineStr">
        <is>
          <t>IOS Meera</t>
        </is>
      </c>
      <c r="E3007" s="16" t="n">
        <v>5761.03</v>
      </c>
      <c r="F3007" s="16" t="n">
        <v>1152.2</v>
      </c>
      <c r="G3007" s="17" t="n">
        <v>20</v>
      </c>
      <c r="H3007" s="16" t="n">
        <v>4608.83</v>
      </c>
      <c r="I3007" s="16" t="n">
        <v>0</v>
      </c>
    </row>
    <row r="3008">
      <c r="A3008" t="inlineStr">
        <is>
          <t>MTR-IOS-3008</t>
        </is>
      </c>
      <c r="B3008" t="inlineStr">
        <is>
          <t>Office Outing</t>
        </is>
      </c>
      <c r="C3008" t="inlineStr">
        <is>
          <t>EXACT</t>
        </is>
      </c>
      <c r="D3008" t="inlineStr">
        <is>
          <t>IOS Owner</t>
        </is>
      </c>
      <c r="E3008" s="16" t="n">
        <v>6972.76</v>
      </c>
      <c r="F3008" s="16" t="n">
        <v>2321.93</v>
      </c>
      <c r="G3008" s="17" t="n"/>
      <c r="H3008" s="16" t="n">
        <v>4650.83</v>
      </c>
      <c r="I3008" s="16" t="n">
        <v>0</v>
      </c>
    </row>
    <row r="3009">
      <c r="A3009" t="inlineStr">
        <is>
          <t>MTR-IOS-3008</t>
        </is>
      </c>
      <c r="B3009" t="inlineStr">
        <is>
          <t>Office Outing</t>
        </is>
      </c>
      <c r="C3009" t="inlineStr">
        <is>
          <t>EXACT</t>
        </is>
      </c>
      <c r="D3009" t="inlineStr">
        <is>
          <t>IOS Aarav</t>
        </is>
      </c>
      <c r="E3009" s="16" t="n">
        <v>0</v>
      </c>
      <c r="F3009" s="16" t="n">
        <v>2321.93</v>
      </c>
      <c r="G3009" s="17" t="n"/>
      <c r="H3009" s="16" t="n">
        <v>-2321.93</v>
      </c>
      <c r="I3009" s="16" t="n">
        <v>0</v>
      </c>
    </row>
    <row r="3010">
      <c r="A3010" t="inlineStr">
        <is>
          <t>MTR-IOS-3008</t>
        </is>
      </c>
      <c r="B3010" t="inlineStr">
        <is>
          <t>Office Outing</t>
        </is>
      </c>
      <c r="C3010" t="inlineStr">
        <is>
          <t>EXACT</t>
        </is>
      </c>
      <c r="D3010" t="inlineStr">
        <is>
          <t>IOS Meera</t>
        </is>
      </c>
      <c r="E3010" s="16" t="n">
        <v>0</v>
      </c>
      <c r="F3010" s="16" t="n">
        <v>2328.9</v>
      </c>
      <c r="G3010" s="17" t="n"/>
      <c r="H3010" s="16" t="n">
        <v>-2328.9</v>
      </c>
      <c r="I3010" s="16" t="n">
        <v>0</v>
      </c>
    </row>
    <row r="3011">
      <c r="A3011" t="inlineStr">
        <is>
          <t>MTR-IOS-3011</t>
        </is>
      </c>
      <c r="B3011" t="inlineStr">
        <is>
          <t>Office Outing</t>
        </is>
      </c>
      <c r="C3011" t="inlineStr">
        <is>
          <t>SHARES</t>
        </is>
      </c>
      <c r="D3011" t="inlineStr">
        <is>
          <t>IOS Owner</t>
        </is>
      </c>
      <c r="E3011" s="16" t="n">
        <v>0</v>
      </c>
      <c r="F3011" s="16" t="n">
        <v>1853.22</v>
      </c>
      <c r="G3011" s="17" t="n"/>
      <c r="H3011" s="16" t="n">
        <v>-1853.22</v>
      </c>
      <c r="I3011" s="16" t="n">
        <v>0</v>
      </c>
    </row>
    <row r="3012">
      <c r="A3012" t="inlineStr">
        <is>
          <t>MTR-IOS-3011</t>
        </is>
      </c>
      <c r="B3012" t="inlineStr">
        <is>
          <t>Office Outing</t>
        </is>
      </c>
      <c r="C3012" t="inlineStr">
        <is>
          <t>SHARES</t>
        </is>
      </c>
      <c r="D3012" t="inlineStr">
        <is>
          <t>IOS Aarav</t>
        </is>
      </c>
      <c r="E3012" s="16" t="n">
        <v>3706.44</v>
      </c>
      <c r="F3012" s="16" t="n">
        <v>1235.48</v>
      </c>
      <c r="G3012" s="17" t="n"/>
      <c r="H3012" s="16" t="n">
        <v>2470.96</v>
      </c>
      <c r="I3012" s="16" t="n">
        <v>0</v>
      </c>
    </row>
    <row r="3013">
      <c r="A3013" t="inlineStr">
        <is>
          <t>MTR-IOS-3011</t>
        </is>
      </c>
      <c r="B3013" t="inlineStr">
        <is>
          <t>Office Outing</t>
        </is>
      </c>
      <c r="C3013" t="inlineStr">
        <is>
          <t>SHARES</t>
        </is>
      </c>
      <c r="D3013" t="inlineStr">
        <is>
          <t>IOS Meera</t>
        </is>
      </c>
      <c r="E3013" s="16" t="n">
        <v>0</v>
      </c>
      <c r="F3013" s="16" t="n">
        <v>617.74</v>
      </c>
      <c r="G3013" s="17" t="n"/>
      <c r="H3013" s="16" t="n">
        <v>-617.74</v>
      </c>
      <c r="I3013" s="16" t="n">
        <v>0</v>
      </c>
    </row>
    <row r="3014">
      <c r="A3014" t="inlineStr">
        <is>
          <t>MTR-IOS-3014</t>
        </is>
      </c>
      <c r="B3014" t="inlineStr">
        <is>
          <t>Office Outing</t>
        </is>
      </c>
      <c r="C3014" t="inlineStr">
        <is>
          <t>EQUAL</t>
        </is>
      </c>
      <c r="D3014" t="inlineStr">
        <is>
          <t>IOS Owner</t>
        </is>
      </c>
      <c r="E3014" s="16" t="n">
        <v>0</v>
      </c>
      <c r="F3014" s="16" t="n">
        <v>6689.21</v>
      </c>
      <c r="G3014" s="17" t="n"/>
      <c r="H3014" s="16" t="n">
        <v>-6689.21</v>
      </c>
      <c r="I3014" s="16" t="n">
        <v>0</v>
      </c>
    </row>
    <row r="3015">
      <c r="A3015" t="inlineStr">
        <is>
          <t>MTR-IOS-3014</t>
        </is>
      </c>
      <c r="B3015" t="inlineStr">
        <is>
          <t>Office Outing</t>
        </is>
      </c>
      <c r="C3015" t="inlineStr">
        <is>
          <t>EQUAL</t>
        </is>
      </c>
      <c r="D3015" t="inlineStr">
        <is>
          <t>IOS Aarav</t>
        </is>
      </c>
      <c r="E3015" s="16" t="n">
        <v>0</v>
      </c>
      <c r="F3015" s="16" t="n">
        <v>6689.21</v>
      </c>
      <c r="G3015" s="17" t="n"/>
      <c r="H3015" s="16" t="n">
        <v>-6689.21</v>
      </c>
      <c r="I3015" s="16" t="n">
        <v>0</v>
      </c>
    </row>
    <row r="3016">
      <c r="A3016" t="inlineStr">
        <is>
          <t>MTR-IOS-3014</t>
        </is>
      </c>
      <c r="B3016" t="inlineStr">
        <is>
          <t>Office Outing</t>
        </is>
      </c>
      <c r="C3016" t="inlineStr">
        <is>
          <t>EQUAL</t>
        </is>
      </c>
      <c r="D3016" t="inlineStr">
        <is>
          <t>IOS Meera</t>
        </is>
      </c>
      <c r="E3016" s="16" t="n">
        <v>20067.63</v>
      </c>
      <c r="F3016" s="16" t="n">
        <v>6689.21</v>
      </c>
      <c r="G3016" s="17" t="n"/>
      <c r="H3016" s="16" t="n">
        <v>13378.42</v>
      </c>
      <c r="I3016" s="16" t="n">
        <v>0</v>
      </c>
    </row>
    <row r="3017">
      <c r="A3017" t="inlineStr">
        <is>
          <t>MTR-IOS-3017</t>
        </is>
      </c>
      <c r="B3017" t="inlineStr">
        <is>
          <t>House Party</t>
        </is>
      </c>
      <c r="C3017" t="inlineStr">
        <is>
          <t>PERCENTAGE</t>
        </is>
      </c>
      <c r="D3017" t="inlineStr">
        <is>
          <t>IOS Owner</t>
        </is>
      </c>
      <c r="E3017" s="16" t="n">
        <v>19741.47</v>
      </c>
      <c r="F3017" s="16" t="n">
        <v>9870.74</v>
      </c>
      <c r="G3017" s="17" t="n">
        <v>50</v>
      </c>
      <c r="H3017" s="16" t="n">
        <v>9870.73</v>
      </c>
      <c r="I3017" s="16" t="n">
        <v>0</v>
      </c>
    </row>
    <row r="3018">
      <c r="A3018" t="inlineStr">
        <is>
          <t>MTR-IOS-3017</t>
        </is>
      </c>
      <c r="B3018" t="inlineStr">
        <is>
          <t>House Party</t>
        </is>
      </c>
      <c r="C3018" t="inlineStr">
        <is>
          <t>PERCENTAGE</t>
        </is>
      </c>
      <c r="D3018" t="inlineStr">
        <is>
          <t>IOS Aarav</t>
        </is>
      </c>
      <c r="E3018" s="16" t="n">
        <v>0</v>
      </c>
      <c r="F3018" s="16" t="n">
        <v>5922.44</v>
      </c>
      <c r="G3018" s="17" t="n">
        <v>30</v>
      </c>
      <c r="H3018" s="16" t="n">
        <v>-5922.44</v>
      </c>
      <c r="I3018" s="16" t="n">
        <v>0</v>
      </c>
    </row>
    <row r="3019">
      <c r="A3019" t="inlineStr">
        <is>
          <t>MTR-IOS-3017</t>
        </is>
      </c>
      <c r="B3019" t="inlineStr">
        <is>
          <t>House Party</t>
        </is>
      </c>
      <c r="C3019" t="inlineStr">
        <is>
          <t>PERCENTAGE</t>
        </is>
      </c>
      <c r="D3019" t="inlineStr">
        <is>
          <t>IOS Meera</t>
        </is>
      </c>
      <c r="E3019" s="16" t="n">
        <v>0</v>
      </c>
      <c r="F3019" s="16" t="n">
        <v>3948.29</v>
      </c>
      <c r="G3019" s="17" t="n">
        <v>20</v>
      </c>
      <c r="H3019" s="16" t="n">
        <v>-3948.29</v>
      </c>
      <c r="I3019" s="16" t="n">
        <v>0</v>
      </c>
    </row>
    <row r="3020">
      <c r="A3020" t="inlineStr">
        <is>
          <t>MTR-IOS-3020</t>
        </is>
      </c>
      <c r="B3020" t="inlineStr">
        <is>
          <t>House Party</t>
        </is>
      </c>
      <c r="C3020" t="inlineStr">
        <is>
          <t>EXACT</t>
        </is>
      </c>
      <c r="D3020" t="inlineStr">
        <is>
          <t>IOS Owner</t>
        </is>
      </c>
      <c r="E3020" s="16" t="n">
        <v>0</v>
      </c>
      <c r="F3020" s="16" t="n">
        <v>7725.6</v>
      </c>
      <c r="G3020" s="17" t="n"/>
      <c r="H3020" s="16" t="n">
        <v>-7725.6</v>
      </c>
      <c r="I3020" s="16" t="n">
        <v>0</v>
      </c>
    </row>
    <row r="3021">
      <c r="A3021" t="inlineStr">
        <is>
          <t>MTR-IOS-3020</t>
        </is>
      </c>
      <c r="B3021" t="inlineStr">
        <is>
          <t>House Party</t>
        </is>
      </c>
      <c r="C3021" t="inlineStr">
        <is>
          <t>EXACT</t>
        </is>
      </c>
      <c r="D3021" t="inlineStr">
        <is>
          <t>IOS Aarav</t>
        </is>
      </c>
      <c r="E3021" s="16" t="n">
        <v>23200</v>
      </c>
      <c r="F3021" s="16" t="n">
        <v>7725.6</v>
      </c>
      <c r="G3021" s="17" t="n"/>
      <c r="H3021" s="16" t="n">
        <v>15474.4</v>
      </c>
      <c r="I3021" s="16" t="n">
        <v>0</v>
      </c>
    </row>
    <row r="3022">
      <c r="A3022" t="inlineStr">
        <is>
          <t>MTR-IOS-3020</t>
        </is>
      </c>
      <c r="B3022" t="inlineStr">
        <is>
          <t>House Party</t>
        </is>
      </c>
      <c r="C3022" t="inlineStr">
        <is>
          <t>EXACT</t>
        </is>
      </c>
      <c r="D3022" t="inlineStr">
        <is>
          <t>IOS Meera</t>
        </is>
      </c>
      <c r="E3022" s="16" t="n">
        <v>0</v>
      </c>
      <c r="F3022" s="16" t="n">
        <v>7748.8</v>
      </c>
      <c r="G3022" s="17" t="n"/>
      <c r="H3022" s="16" t="n">
        <v>-7748.8</v>
      </c>
      <c r="I3022" s="16" t="n">
        <v>0</v>
      </c>
    </row>
    <row r="3023">
      <c r="A3023" t="inlineStr">
        <is>
          <t>MTR-IOS-3023</t>
        </is>
      </c>
      <c r="B3023" t="inlineStr">
        <is>
          <t>House Party</t>
        </is>
      </c>
      <c r="C3023" t="inlineStr">
        <is>
          <t>SHARES</t>
        </is>
      </c>
      <c r="D3023" t="inlineStr">
        <is>
          <t>IOS Owner</t>
        </is>
      </c>
      <c r="E3023" s="16" t="n">
        <v>0</v>
      </c>
      <c r="F3023" s="16" t="n">
        <v>6199.32</v>
      </c>
      <c r="G3023" s="17" t="n"/>
      <c r="H3023" s="16" t="n">
        <v>-6199.32</v>
      </c>
      <c r="I3023" s="16" t="n">
        <v>0</v>
      </c>
    </row>
    <row r="3024">
      <c r="A3024" t="inlineStr">
        <is>
          <t>MTR-IOS-3023</t>
        </is>
      </c>
      <c r="B3024" t="inlineStr">
        <is>
          <t>House Party</t>
        </is>
      </c>
      <c r="C3024" t="inlineStr">
        <is>
          <t>SHARES</t>
        </is>
      </c>
      <c r="D3024" t="inlineStr">
        <is>
          <t>IOS Aarav</t>
        </is>
      </c>
      <c r="E3024" s="16" t="n">
        <v>0</v>
      </c>
      <c r="F3024" s="16" t="n">
        <v>4132.88</v>
      </c>
      <c r="G3024" s="17" t="n"/>
      <c r="H3024" s="16" t="n">
        <v>-4132.88</v>
      </c>
      <c r="I3024" s="16" t="n">
        <v>0</v>
      </c>
    </row>
    <row r="3025">
      <c r="A3025" t="inlineStr">
        <is>
          <t>MTR-IOS-3023</t>
        </is>
      </c>
      <c r="B3025" t="inlineStr">
        <is>
          <t>House Party</t>
        </is>
      </c>
      <c r="C3025" t="inlineStr">
        <is>
          <t>SHARES</t>
        </is>
      </c>
      <c r="D3025" t="inlineStr">
        <is>
          <t>IOS Meera</t>
        </is>
      </c>
      <c r="E3025" s="16" t="n">
        <v>12398.63</v>
      </c>
      <c r="F3025" s="16" t="n">
        <v>2066.43</v>
      </c>
      <c r="G3025" s="17" t="n"/>
      <c r="H3025" s="16" t="n">
        <v>10332.2</v>
      </c>
      <c r="I3025" s="16" t="n">
        <v>0</v>
      </c>
    </row>
    <row r="3026">
      <c r="A3026" t="inlineStr">
        <is>
          <t>MTR-IOS-3026</t>
        </is>
      </c>
      <c r="B3026" t="inlineStr">
        <is>
          <t>House Party</t>
        </is>
      </c>
      <c r="C3026" t="inlineStr">
        <is>
          <t>EQUAL</t>
        </is>
      </c>
      <c r="D3026" t="inlineStr">
        <is>
          <t>IOS Owner</t>
        </is>
      </c>
      <c r="E3026" s="16" t="n">
        <v>5125.02</v>
      </c>
      <c r="F3026" s="16" t="n">
        <v>1708.34</v>
      </c>
      <c r="G3026" s="17" t="n"/>
      <c r="H3026" s="16" t="n">
        <v>3416.68</v>
      </c>
      <c r="I3026" s="16" t="n">
        <v>0</v>
      </c>
    </row>
    <row r="3027">
      <c r="A3027" t="inlineStr">
        <is>
          <t>MTR-IOS-3026</t>
        </is>
      </c>
      <c r="B3027" t="inlineStr">
        <is>
          <t>House Party</t>
        </is>
      </c>
      <c r="C3027" t="inlineStr">
        <is>
          <t>EQUAL</t>
        </is>
      </c>
      <c r="D3027" t="inlineStr">
        <is>
          <t>IOS Aarav</t>
        </is>
      </c>
      <c r="E3027" s="16" t="n">
        <v>0</v>
      </c>
      <c r="F3027" s="16" t="n">
        <v>1708.34</v>
      </c>
      <c r="G3027" s="17" t="n"/>
      <c r="H3027" s="16" t="n">
        <v>-1708.34</v>
      </c>
      <c r="I3027" s="16" t="n">
        <v>0</v>
      </c>
    </row>
    <row r="3028">
      <c r="A3028" t="inlineStr">
        <is>
          <t>MTR-IOS-3026</t>
        </is>
      </c>
      <c r="B3028" t="inlineStr">
        <is>
          <t>House Party</t>
        </is>
      </c>
      <c r="C3028" t="inlineStr">
        <is>
          <t>EQUAL</t>
        </is>
      </c>
      <c r="D3028" t="inlineStr">
        <is>
          <t>IOS Meera</t>
        </is>
      </c>
      <c r="E3028" s="16" t="n">
        <v>0</v>
      </c>
      <c r="F3028" s="16" t="n">
        <v>1708.34</v>
      </c>
      <c r="G3028" s="17" t="n"/>
      <c r="H3028" s="16" t="n">
        <v>-1708.34</v>
      </c>
      <c r="I3028" s="16" t="n">
        <v>0</v>
      </c>
    </row>
    <row r="3029">
      <c r="A3029" t="inlineStr">
        <is>
          <t>MTR-IOS-3029</t>
        </is>
      </c>
      <c r="B3029" t="inlineStr">
        <is>
          <t>House Party</t>
        </is>
      </c>
      <c r="C3029" t="inlineStr">
        <is>
          <t>PERCENTAGE</t>
        </is>
      </c>
      <c r="D3029" t="inlineStr">
        <is>
          <t>IOS Owner</t>
        </is>
      </c>
      <c r="E3029" s="16" t="n">
        <v>0</v>
      </c>
      <c r="F3029" s="16" t="n">
        <v>13068.1</v>
      </c>
      <c r="G3029" s="17" t="n">
        <v>50</v>
      </c>
      <c r="H3029" s="16" t="n">
        <v>-13068.1</v>
      </c>
      <c r="I3029" s="16" t="n">
        <v>0</v>
      </c>
    </row>
    <row r="3030">
      <c r="A3030" t="inlineStr">
        <is>
          <t>MTR-IOS-3029</t>
        </is>
      </c>
      <c r="B3030" t="inlineStr">
        <is>
          <t>House Party</t>
        </is>
      </c>
      <c r="C3030" t="inlineStr">
        <is>
          <t>PERCENTAGE</t>
        </is>
      </c>
      <c r="D3030" t="inlineStr">
        <is>
          <t>IOS Aarav</t>
        </is>
      </c>
      <c r="E3030" s="16" t="n">
        <v>26136.19</v>
      </c>
      <c r="F3030" s="16" t="n">
        <v>7840.86</v>
      </c>
      <c r="G3030" s="17" t="n">
        <v>30</v>
      </c>
      <c r="H3030" s="16" t="n">
        <v>18295.33</v>
      </c>
      <c r="I3030" s="16" t="n">
        <v>0</v>
      </c>
    </row>
    <row r="3031">
      <c r="A3031" t="inlineStr">
        <is>
          <t>MTR-IOS-3029</t>
        </is>
      </c>
      <c r="B3031" t="inlineStr">
        <is>
          <t>House Party</t>
        </is>
      </c>
      <c r="C3031" t="inlineStr">
        <is>
          <t>PERCENTAGE</t>
        </is>
      </c>
      <c r="D3031" t="inlineStr">
        <is>
          <t>IOS Meera</t>
        </is>
      </c>
      <c r="E3031" s="16" t="n">
        <v>0</v>
      </c>
      <c r="F3031" s="16" t="n">
        <v>5227.23</v>
      </c>
      <c r="G3031" s="17" t="n">
        <v>20</v>
      </c>
      <c r="H3031" s="16" t="n">
        <v>-5227.23</v>
      </c>
      <c r="I3031" s="16" t="n">
        <v>0</v>
      </c>
    </row>
    <row r="3032">
      <c r="A3032" t="inlineStr">
        <is>
          <t>MTR-IOS-3032</t>
        </is>
      </c>
      <c r="B3032" t="inlineStr">
        <is>
          <t>Gift Pool</t>
        </is>
      </c>
      <c r="C3032" t="inlineStr">
        <is>
          <t>EXACT</t>
        </is>
      </c>
      <c r="D3032" t="inlineStr">
        <is>
          <t>IOS Owner</t>
        </is>
      </c>
      <c r="E3032" s="16" t="n">
        <v>0</v>
      </c>
      <c r="F3032" s="16" t="n">
        <v>5881.88</v>
      </c>
      <c r="G3032" s="17" t="n"/>
      <c r="H3032" s="16" t="n">
        <v>-5881.88</v>
      </c>
      <c r="I3032" s="16" t="n">
        <v>0</v>
      </c>
    </row>
    <row r="3033">
      <c r="A3033" t="inlineStr">
        <is>
          <t>MTR-IOS-3032</t>
        </is>
      </c>
      <c r="B3033" t="inlineStr">
        <is>
          <t>Gift Pool</t>
        </is>
      </c>
      <c r="C3033" t="inlineStr">
        <is>
          <t>EXACT</t>
        </is>
      </c>
      <c r="D3033" t="inlineStr">
        <is>
          <t>IOS Aarav</t>
        </is>
      </c>
      <c r="E3033" s="16" t="n">
        <v>0</v>
      </c>
      <c r="F3033" s="16" t="n">
        <v>5881.88</v>
      </c>
      <c r="G3033" s="17" t="n"/>
      <c r="H3033" s="16" t="n">
        <v>-5881.88</v>
      </c>
      <c r="I3033" s="16" t="n">
        <v>0</v>
      </c>
    </row>
    <row r="3034">
      <c r="A3034" t="inlineStr">
        <is>
          <t>MTR-IOS-3032</t>
        </is>
      </c>
      <c r="B3034" t="inlineStr">
        <is>
          <t>Gift Pool</t>
        </is>
      </c>
      <c r="C3034" t="inlineStr">
        <is>
          <t>EXACT</t>
        </is>
      </c>
      <c r="D3034" t="inlineStr">
        <is>
          <t>IOS Meera</t>
        </is>
      </c>
      <c r="E3034" s="16" t="n">
        <v>17663.31</v>
      </c>
      <c r="F3034" s="16" t="n">
        <v>5899.55</v>
      </c>
      <c r="G3034" s="17" t="n"/>
      <c r="H3034" s="16" t="n">
        <v>11763.76</v>
      </c>
      <c r="I3034" s="16" t="n">
        <v>0</v>
      </c>
    </row>
    <row r="3035">
      <c r="A3035" t="inlineStr">
        <is>
          <t>MTR-IOS-3035</t>
        </is>
      </c>
      <c r="B3035" t="inlineStr">
        <is>
          <t>Gift Pool</t>
        </is>
      </c>
      <c r="C3035" t="inlineStr">
        <is>
          <t>SHARES</t>
        </is>
      </c>
      <c r="D3035" t="inlineStr">
        <is>
          <t>IOS Owner</t>
        </is>
      </c>
      <c r="E3035" s="16" t="n">
        <v>11280.85</v>
      </c>
      <c r="F3035" s="16" t="n">
        <v>5640.43</v>
      </c>
      <c r="G3035" s="17" t="n"/>
      <c r="H3035" s="16" t="n">
        <v>5640.42</v>
      </c>
      <c r="I3035" s="16" t="n">
        <v>0</v>
      </c>
    </row>
    <row r="3036">
      <c r="A3036" t="inlineStr">
        <is>
          <t>MTR-IOS-3035</t>
        </is>
      </c>
      <c r="B3036" t="inlineStr">
        <is>
          <t>Gift Pool</t>
        </is>
      </c>
      <c r="C3036" t="inlineStr">
        <is>
          <t>SHARES</t>
        </is>
      </c>
      <c r="D3036" t="inlineStr">
        <is>
          <t>IOS Aarav</t>
        </is>
      </c>
      <c r="E3036" s="16" t="n">
        <v>0</v>
      </c>
      <c r="F3036" s="16" t="n">
        <v>3760.28</v>
      </c>
      <c r="G3036" s="17" t="n"/>
      <c r="H3036" s="16" t="n">
        <v>-3760.28</v>
      </c>
      <c r="I3036" s="16" t="n">
        <v>0</v>
      </c>
    </row>
    <row r="3037">
      <c r="A3037" t="inlineStr">
        <is>
          <t>MTR-IOS-3035</t>
        </is>
      </c>
      <c r="B3037" t="inlineStr">
        <is>
          <t>Gift Pool</t>
        </is>
      </c>
      <c r="C3037" t="inlineStr">
        <is>
          <t>SHARES</t>
        </is>
      </c>
      <c r="D3037" t="inlineStr">
        <is>
          <t>IOS Meera</t>
        </is>
      </c>
      <c r="E3037" s="16" t="n">
        <v>0</v>
      </c>
      <c r="F3037" s="16" t="n">
        <v>1880.14</v>
      </c>
      <c r="G3037" s="17" t="n"/>
      <c r="H3037" s="16" t="n">
        <v>-1880.14</v>
      </c>
      <c r="I3037" s="16" t="n">
        <v>0</v>
      </c>
    </row>
    <row r="3038">
      <c r="A3038" t="inlineStr">
        <is>
          <t>MTR-IOS-3038</t>
        </is>
      </c>
      <c r="B3038" t="inlineStr">
        <is>
          <t>Gift Pool</t>
        </is>
      </c>
      <c r="C3038" t="inlineStr">
        <is>
          <t>EQUAL</t>
        </is>
      </c>
      <c r="D3038" t="inlineStr">
        <is>
          <t>IOS Owner</t>
        </is>
      </c>
      <c r="E3038" s="16" t="n">
        <v>0</v>
      </c>
      <c r="F3038" s="16" t="n">
        <v>2676.31</v>
      </c>
      <c r="G3038" s="17" t="n"/>
      <c r="H3038" s="16" t="n">
        <v>-2676.31</v>
      </c>
      <c r="I3038" s="16" t="n">
        <v>0</v>
      </c>
    </row>
    <row r="3039">
      <c r="A3039" t="inlineStr">
        <is>
          <t>MTR-IOS-3038</t>
        </is>
      </c>
      <c r="B3039" t="inlineStr">
        <is>
          <t>Gift Pool</t>
        </is>
      </c>
      <c r="C3039" t="inlineStr">
        <is>
          <t>EQUAL</t>
        </is>
      </c>
      <c r="D3039" t="inlineStr">
        <is>
          <t>IOS Aarav</t>
        </is>
      </c>
      <c r="E3039" s="16" t="n">
        <v>8028.92</v>
      </c>
      <c r="F3039" s="16" t="n">
        <v>2676.31</v>
      </c>
      <c r="G3039" s="17" t="n"/>
      <c r="H3039" s="16" t="n">
        <v>5352.61</v>
      </c>
      <c r="I3039" s="16" t="n">
        <v>0</v>
      </c>
    </row>
    <row r="3040">
      <c r="A3040" t="inlineStr">
        <is>
          <t>MTR-IOS-3038</t>
        </is>
      </c>
      <c r="B3040" t="inlineStr">
        <is>
          <t>Gift Pool</t>
        </is>
      </c>
      <c r="C3040" t="inlineStr">
        <is>
          <t>EQUAL</t>
        </is>
      </c>
      <c r="D3040" t="inlineStr">
        <is>
          <t>IOS Meera</t>
        </is>
      </c>
      <c r="E3040" s="16" t="n">
        <v>0</v>
      </c>
      <c r="F3040" s="16" t="n">
        <v>2676.3</v>
      </c>
      <c r="G3040" s="17" t="n"/>
      <c r="H3040" s="16" t="n">
        <v>-2676.3</v>
      </c>
      <c r="I3040" s="16" t="n">
        <v>0</v>
      </c>
    </row>
    <row r="3041">
      <c r="A3041" t="inlineStr">
        <is>
          <t>MTR-IOS-3041</t>
        </is>
      </c>
      <c r="B3041" t="inlineStr">
        <is>
          <t>Gift Pool</t>
        </is>
      </c>
      <c r="C3041" t="inlineStr">
        <is>
          <t>PERCENTAGE</t>
        </is>
      </c>
      <c r="D3041" t="inlineStr">
        <is>
          <t>IOS Owner</t>
        </is>
      </c>
      <c r="E3041" s="16" t="n">
        <v>0</v>
      </c>
      <c r="F3041" s="16" t="n">
        <v>12417.74</v>
      </c>
      <c r="G3041" s="17" t="n">
        <v>50</v>
      </c>
      <c r="H3041" s="16" t="n">
        <v>-12417.74</v>
      </c>
      <c r="I3041" s="16" t="n">
        <v>0</v>
      </c>
    </row>
    <row r="3042">
      <c r="A3042" t="inlineStr">
        <is>
          <t>MTR-IOS-3041</t>
        </is>
      </c>
      <c r="B3042" t="inlineStr">
        <is>
          <t>Gift Pool</t>
        </is>
      </c>
      <c r="C3042" t="inlineStr">
        <is>
          <t>PERCENTAGE</t>
        </is>
      </c>
      <c r="D3042" t="inlineStr">
        <is>
          <t>IOS Aarav</t>
        </is>
      </c>
      <c r="E3042" s="16" t="n">
        <v>0</v>
      </c>
      <c r="F3042" s="16" t="n">
        <v>7450.64</v>
      </c>
      <c r="G3042" s="17" t="n">
        <v>30</v>
      </c>
      <c r="H3042" s="16" t="n">
        <v>-7450.64</v>
      </c>
      <c r="I3042" s="16" t="n">
        <v>0</v>
      </c>
    </row>
    <row r="3043">
      <c r="A3043" t="inlineStr">
        <is>
          <t>MTR-IOS-3041</t>
        </is>
      </c>
      <c r="B3043" t="inlineStr">
        <is>
          <t>Gift Pool</t>
        </is>
      </c>
      <c r="C3043" t="inlineStr">
        <is>
          <t>PERCENTAGE</t>
        </is>
      </c>
      <c r="D3043" t="inlineStr">
        <is>
          <t>IOS Meera</t>
        </is>
      </c>
      <c r="E3043" s="16" t="n">
        <v>24835.47</v>
      </c>
      <c r="F3043" s="16" t="n">
        <v>4967.09</v>
      </c>
      <c r="G3043" s="17" t="n">
        <v>20</v>
      </c>
      <c r="H3043" s="16" t="n">
        <v>19868.38</v>
      </c>
      <c r="I3043" s="16" t="n">
        <v>0</v>
      </c>
    </row>
    <row r="3044">
      <c r="A3044" t="inlineStr">
        <is>
          <t>MTR-IOS-3044</t>
        </is>
      </c>
      <c r="B3044" t="inlineStr">
        <is>
          <t>Purchase</t>
        </is>
      </c>
      <c r="C3044" t="inlineStr">
        <is>
          <t>EXACT</t>
        </is>
      </c>
      <c r="D3044" t="inlineStr">
        <is>
          <t>IOS Owner</t>
        </is>
      </c>
      <c r="E3044" s="16" t="n">
        <v>20407.15</v>
      </c>
      <c r="F3044" s="16" t="n">
        <v>6795.58</v>
      </c>
      <c r="G3044" s="17" t="n"/>
      <c r="H3044" s="16" t="n">
        <v>13611.57</v>
      </c>
      <c r="I3044" s="16" t="n">
        <v>0</v>
      </c>
    </row>
    <row r="3045">
      <c r="A3045" t="inlineStr">
        <is>
          <t>MTR-IOS-3044</t>
        </is>
      </c>
      <c r="B3045" t="inlineStr">
        <is>
          <t>Purchase</t>
        </is>
      </c>
      <c r="C3045" t="inlineStr">
        <is>
          <t>EXACT</t>
        </is>
      </c>
      <c r="D3045" t="inlineStr">
        <is>
          <t>IOS Aarav</t>
        </is>
      </c>
      <c r="E3045" s="16" t="n">
        <v>0</v>
      </c>
      <c r="F3045" s="16" t="n">
        <v>6795.58</v>
      </c>
      <c r="G3045" s="17" t="n"/>
      <c r="H3045" s="16" t="n">
        <v>-6795.58</v>
      </c>
      <c r="I3045" s="16" t="n">
        <v>0</v>
      </c>
    </row>
    <row r="3046">
      <c r="A3046" t="inlineStr">
        <is>
          <t>MTR-IOS-3044</t>
        </is>
      </c>
      <c r="B3046" t="inlineStr">
        <is>
          <t>Purchase</t>
        </is>
      </c>
      <c r="C3046" t="inlineStr">
        <is>
          <t>EXACT</t>
        </is>
      </c>
      <c r="D3046" t="inlineStr">
        <is>
          <t>IOS Meera</t>
        </is>
      </c>
      <c r="E3046" s="16" t="n">
        <v>0</v>
      </c>
      <c r="F3046" s="16" t="n">
        <v>6815.99</v>
      </c>
      <c r="G3046" s="17" t="n"/>
      <c r="H3046" s="16" t="n">
        <v>-6815.99</v>
      </c>
      <c r="I3046" s="16" t="n">
        <v>0</v>
      </c>
    </row>
    <row r="3047">
      <c r="A3047" t="inlineStr">
        <is>
          <t>MTR-IOS-3047</t>
        </is>
      </c>
      <c r="B3047" t="inlineStr">
        <is>
          <t>Purchase</t>
        </is>
      </c>
      <c r="C3047" t="inlineStr">
        <is>
          <t>SHARES</t>
        </is>
      </c>
      <c r="D3047" t="inlineStr">
        <is>
          <t>IOS Owner</t>
        </is>
      </c>
      <c r="E3047" s="16" t="n">
        <v>0</v>
      </c>
      <c r="F3047" s="16" t="n">
        <v>4553.14</v>
      </c>
      <c r="G3047" s="17" t="n"/>
      <c r="H3047" s="16" t="n">
        <v>-4553.14</v>
      </c>
      <c r="I3047" s="16" t="n">
        <v>0</v>
      </c>
    </row>
    <row r="3048">
      <c r="A3048" t="inlineStr">
        <is>
          <t>MTR-IOS-3047</t>
        </is>
      </c>
      <c r="B3048" t="inlineStr">
        <is>
          <t>Purchase</t>
        </is>
      </c>
      <c r="C3048" t="inlineStr">
        <is>
          <t>SHARES</t>
        </is>
      </c>
      <c r="D3048" t="inlineStr">
        <is>
          <t>IOS Aarav</t>
        </is>
      </c>
      <c r="E3048" s="16" t="n">
        <v>9106.280000000001</v>
      </c>
      <c r="F3048" s="16" t="n">
        <v>3035.43</v>
      </c>
      <c r="G3048" s="17" t="n"/>
      <c r="H3048" s="16" t="n">
        <v>6070.85</v>
      </c>
      <c r="I3048" s="16" t="n">
        <v>0</v>
      </c>
    </row>
    <row r="3049">
      <c r="A3049" t="inlineStr">
        <is>
          <t>MTR-IOS-3047</t>
        </is>
      </c>
      <c r="B3049" t="inlineStr">
        <is>
          <t>Purchase</t>
        </is>
      </c>
      <c r="C3049" t="inlineStr">
        <is>
          <t>SHARES</t>
        </is>
      </c>
      <c r="D3049" t="inlineStr">
        <is>
          <t>IOS Meera</t>
        </is>
      </c>
      <c r="E3049" s="16" t="n">
        <v>0</v>
      </c>
      <c r="F3049" s="16" t="n">
        <v>1517.71</v>
      </c>
      <c r="G3049" s="17" t="n"/>
      <c r="H3049" s="16" t="n">
        <v>-1517.71</v>
      </c>
      <c r="I3049" s="16" t="n">
        <v>0</v>
      </c>
    </row>
    <row r="3050">
      <c r="A3050" t="inlineStr">
        <is>
          <t>MTR-IOS-3050</t>
        </is>
      </c>
      <c r="B3050" t="inlineStr">
        <is>
          <t>Purchase</t>
        </is>
      </c>
      <c r="C3050" t="inlineStr">
        <is>
          <t>EQUAL</t>
        </is>
      </c>
      <c r="D3050" t="inlineStr">
        <is>
          <t>IOS Owner</t>
        </is>
      </c>
      <c r="E3050" s="16" t="n">
        <v>0</v>
      </c>
      <c r="F3050" s="16" t="n">
        <v>4352.39</v>
      </c>
      <c r="G3050" s="17" t="n"/>
      <c r="H3050" s="16" t="n">
        <v>-4352.39</v>
      </c>
      <c r="I3050" s="16" t="n">
        <v>0</v>
      </c>
    </row>
    <row r="3051">
      <c r="A3051" t="inlineStr">
        <is>
          <t>MTR-IOS-3050</t>
        </is>
      </c>
      <c r="B3051" t="inlineStr">
        <is>
          <t>Purchase</t>
        </is>
      </c>
      <c r="C3051" t="inlineStr">
        <is>
          <t>EQUAL</t>
        </is>
      </c>
      <c r="D3051" t="inlineStr">
        <is>
          <t>IOS Aarav</t>
        </is>
      </c>
      <c r="E3051" s="16" t="n">
        <v>0</v>
      </c>
      <c r="F3051" s="16" t="n">
        <v>4352.39</v>
      </c>
      <c r="G3051" s="17" t="n"/>
      <c r="H3051" s="16" t="n">
        <v>-4352.39</v>
      </c>
      <c r="I3051" s="16" t="n">
        <v>0</v>
      </c>
    </row>
    <row r="3052">
      <c r="A3052" t="inlineStr">
        <is>
          <t>MTR-IOS-3050</t>
        </is>
      </c>
      <c r="B3052" t="inlineStr">
        <is>
          <t>Purchase</t>
        </is>
      </c>
      <c r="C3052" t="inlineStr">
        <is>
          <t>EQUAL</t>
        </is>
      </c>
      <c r="D3052" t="inlineStr">
        <is>
          <t>IOS Meera</t>
        </is>
      </c>
      <c r="E3052" s="16" t="n">
        <v>13057.16</v>
      </c>
      <c r="F3052" s="16" t="n">
        <v>4352.38</v>
      </c>
      <c r="G3052" s="17" t="n"/>
      <c r="H3052" s="16" t="n">
        <v>8704.780000000001</v>
      </c>
      <c r="I3052" s="16" t="n">
        <v>0</v>
      </c>
    </row>
    <row r="3053">
      <c r="A3053" t="inlineStr">
        <is>
          <t>MTR-IOS-3053</t>
        </is>
      </c>
      <c r="B3053" t="inlineStr">
        <is>
          <t>Purchase</t>
        </is>
      </c>
      <c r="C3053" t="inlineStr">
        <is>
          <t>PERCENTAGE</t>
        </is>
      </c>
      <c r="D3053" t="inlineStr">
        <is>
          <t>IOS Owner</t>
        </is>
      </c>
      <c r="E3053" s="16" t="n">
        <v>5555.98</v>
      </c>
      <c r="F3053" s="16" t="n">
        <v>2777.99</v>
      </c>
      <c r="G3053" s="17" t="n">
        <v>50</v>
      </c>
      <c r="H3053" s="16" t="n">
        <v>2777.99</v>
      </c>
      <c r="I3053" s="16" t="n">
        <v>0</v>
      </c>
    </row>
    <row r="3054">
      <c r="A3054" t="inlineStr">
        <is>
          <t>MTR-IOS-3053</t>
        </is>
      </c>
      <c r="B3054" t="inlineStr">
        <is>
          <t>Purchase</t>
        </is>
      </c>
      <c r="C3054" t="inlineStr">
        <is>
          <t>PERCENTAGE</t>
        </is>
      </c>
      <c r="D3054" t="inlineStr">
        <is>
          <t>IOS Aarav</t>
        </is>
      </c>
      <c r="E3054" s="16" t="n">
        <v>0</v>
      </c>
      <c r="F3054" s="16" t="n">
        <v>1666.79</v>
      </c>
      <c r="G3054" s="17" t="n">
        <v>30</v>
      </c>
      <c r="H3054" s="16" t="n">
        <v>-1666.79</v>
      </c>
      <c r="I3054" s="16" t="n">
        <v>0</v>
      </c>
    </row>
    <row r="3055">
      <c r="A3055" t="inlineStr">
        <is>
          <t>MTR-IOS-3053</t>
        </is>
      </c>
      <c r="B3055" t="inlineStr">
        <is>
          <t>Purchase</t>
        </is>
      </c>
      <c r="C3055" t="inlineStr">
        <is>
          <t>PERCENTAGE</t>
        </is>
      </c>
      <c r="D3055" t="inlineStr">
        <is>
          <t>IOS Meera</t>
        </is>
      </c>
      <c r="E3055" s="16" t="n">
        <v>0</v>
      </c>
      <c r="F3055" s="16" t="n">
        <v>1111.2</v>
      </c>
      <c r="G3055" s="17" t="n">
        <v>20</v>
      </c>
      <c r="H3055" s="16" t="n">
        <v>-1111.2</v>
      </c>
      <c r="I3055" s="16" t="n">
        <v>0</v>
      </c>
    </row>
    <row r="3056">
      <c r="A3056" t="inlineStr">
        <is>
          <t>MTR-IOS-3056</t>
        </is>
      </c>
      <c r="B3056" t="inlineStr">
        <is>
          <t>Assets</t>
        </is>
      </c>
      <c r="C3056" t="inlineStr">
        <is>
          <t>EXACT</t>
        </is>
      </c>
      <c r="D3056" t="inlineStr">
        <is>
          <t>IOS Owner</t>
        </is>
      </c>
      <c r="E3056" s="16" t="n">
        <v>0</v>
      </c>
      <c r="F3056" s="16" t="n">
        <v>198.06</v>
      </c>
      <c r="G3056" s="17" t="n"/>
      <c r="H3056" s="16" t="n">
        <v>-198.06</v>
      </c>
      <c r="I3056" s="16" t="n">
        <v>0</v>
      </c>
    </row>
    <row r="3057">
      <c r="A3057" t="inlineStr">
        <is>
          <t>MTR-IOS-3056</t>
        </is>
      </c>
      <c r="B3057" t="inlineStr">
        <is>
          <t>Assets</t>
        </is>
      </c>
      <c r="C3057" t="inlineStr">
        <is>
          <t>EXACT</t>
        </is>
      </c>
      <c r="D3057" t="inlineStr">
        <is>
          <t>IOS Aarav</t>
        </is>
      </c>
      <c r="E3057" s="16" t="n">
        <v>594.76</v>
      </c>
      <c r="F3057" s="16" t="n">
        <v>198.06</v>
      </c>
      <c r="G3057" s="17" t="n"/>
      <c r="H3057" s="16" t="n">
        <v>396.7</v>
      </c>
      <c r="I3057" s="16" t="n">
        <v>0</v>
      </c>
    </row>
    <row r="3058">
      <c r="A3058" t="inlineStr">
        <is>
          <t>MTR-IOS-3056</t>
        </is>
      </c>
      <c r="B3058" t="inlineStr">
        <is>
          <t>Assets</t>
        </is>
      </c>
      <c r="C3058" t="inlineStr">
        <is>
          <t>EXACT</t>
        </is>
      </c>
      <c r="D3058" t="inlineStr">
        <is>
          <t>IOS Meera</t>
        </is>
      </c>
      <c r="E3058" s="16" t="n">
        <v>0</v>
      </c>
      <c r="F3058" s="16" t="n">
        <v>198.64</v>
      </c>
      <c r="G3058" s="17" t="n"/>
      <c r="H3058" s="16" t="n">
        <v>-198.64</v>
      </c>
      <c r="I3058" s="16" t="n">
        <v>0</v>
      </c>
    </row>
    <row r="3059">
      <c r="A3059" t="inlineStr">
        <is>
          <t>MTR-IOS-3059</t>
        </is>
      </c>
      <c r="B3059" t="inlineStr">
        <is>
          <t>Assets</t>
        </is>
      </c>
      <c r="C3059" t="inlineStr">
        <is>
          <t>SHARES</t>
        </is>
      </c>
      <c r="D3059" t="inlineStr">
        <is>
          <t>IOS Owner</t>
        </is>
      </c>
      <c r="E3059" s="16" t="n">
        <v>0</v>
      </c>
      <c r="F3059" s="16" t="n">
        <v>8981.74</v>
      </c>
      <c r="G3059" s="17" t="n"/>
      <c r="H3059" s="16" t="n">
        <v>-8981.74</v>
      </c>
      <c r="I3059" s="16" t="n">
        <v>0</v>
      </c>
    </row>
    <row r="3060">
      <c r="A3060" t="inlineStr">
        <is>
          <t>MTR-IOS-3059</t>
        </is>
      </c>
      <c r="B3060" t="inlineStr">
        <is>
          <t>Assets</t>
        </is>
      </c>
      <c r="C3060" t="inlineStr">
        <is>
          <t>SHARES</t>
        </is>
      </c>
      <c r="D3060" t="inlineStr">
        <is>
          <t>IOS Aarav</t>
        </is>
      </c>
      <c r="E3060" s="16" t="n">
        <v>0</v>
      </c>
      <c r="F3060" s="16" t="n">
        <v>5987.82</v>
      </c>
      <c r="G3060" s="17" t="n"/>
      <c r="H3060" s="16" t="n">
        <v>-5987.82</v>
      </c>
      <c r="I3060" s="16" t="n">
        <v>0</v>
      </c>
    </row>
    <row r="3061">
      <c r="A3061" t="inlineStr">
        <is>
          <t>MTR-IOS-3059</t>
        </is>
      </c>
      <c r="B3061" t="inlineStr">
        <is>
          <t>Assets</t>
        </is>
      </c>
      <c r="C3061" t="inlineStr">
        <is>
          <t>SHARES</t>
        </is>
      </c>
      <c r="D3061" t="inlineStr">
        <is>
          <t>IOS Meera</t>
        </is>
      </c>
      <c r="E3061" s="16" t="n">
        <v>17963.47</v>
      </c>
      <c r="F3061" s="16" t="n">
        <v>2993.91</v>
      </c>
      <c r="G3061" s="17" t="n"/>
      <c r="H3061" s="16" t="n">
        <v>14969.56</v>
      </c>
      <c r="I3061" s="16" t="n">
        <v>0</v>
      </c>
    </row>
    <row r="3062">
      <c r="A3062" t="inlineStr">
        <is>
          <t>MTR-IOS-3062</t>
        </is>
      </c>
      <c r="B3062" t="inlineStr">
        <is>
          <t>Assets</t>
        </is>
      </c>
      <c r="C3062" t="inlineStr">
        <is>
          <t>EQUAL</t>
        </is>
      </c>
      <c r="D3062" t="inlineStr">
        <is>
          <t>IOS Owner</t>
        </is>
      </c>
      <c r="E3062" s="16" t="n">
        <v>14999.74</v>
      </c>
      <c r="F3062" s="16" t="n">
        <v>4999.91</v>
      </c>
      <c r="G3062" s="17" t="n"/>
      <c r="H3062" s="16" t="n">
        <v>9999.83</v>
      </c>
      <c r="I3062" s="16" t="n">
        <v>0</v>
      </c>
    </row>
    <row r="3063">
      <c r="A3063" t="inlineStr">
        <is>
          <t>MTR-IOS-3062</t>
        </is>
      </c>
      <c r="B3063" t="inlineStr">
        <is>
          <t>Assets</t>
        </is>
      </c>
      <c r="C3063" t="inlineStr">
        <is>
          <t>EQUAL</t>
        </is>
      </c>
      <c r="D3063" t="inlineStr">
        <is>
          <t>IOS Aarav</t>
        </is>
      </c>
      <c r="E3063" s="16" t="n">
        <v>0</v>
      </c>
      <c r="F3063" s="16" t="n">
        <v>4999.91</v>
      </c>
      <c r="G3063" s="17" t="n"/>
      <c r="H3063" s="16" t="n">
        <v>-4999.91</v>
      </c>
      <c r="I3063" s="16" t="n">
        <v>0</v>
      </c>
    </row>
    <row r="3064">
      <c r="A3064" t="inlineStr">
        <is>
          <t>MTR-IOS-3062</t>
        </is>
      </c>
      <c r="B3064" t="inlineStr">
        <is>
          <t>Assets</t>
        </is>
      </c>
      <c r="C3064" t="inlineStr">
        <is>
          <t>EQUAL</t>
        </is>
      </c>
      <c r="D3064" t="inlineStr">
        <is>
          <t>IOS Meera</t>
        </is>
      </c>
      <c r="E3064" s="16" t="n">
        <v>0</v>
      </c>
      <c r="F3064" s="16" t="n">
        <v>4999.92</v>
      </c>
      <c r="G3064" s="17" t="n"/>
      <c r="H3064" s="16" t="n">
        <v>-4999.92</v>
      </c>
      <c r="I3064" s="16" t="n">
        <v>0</v>
      </c>
    </row>
    <row r="3065">
      <c r="A3065" t="inlineStr">
        <is>
          <t>MTR-IOS-3065</t>
        </is>
      </c>
      <c r="B3065" t="inlineStr">
        <is>
          <t>Assets</t>
        </is>
      </c>
      <c r="C3065" t="inlineStr">
        <is>
          <t>PERCENTAGE</t>
        </is>
      </c>
      <c r="D3065" t="inlineStr">
        <is>
          <t>IOS Owner</t>
        </is>
      </c>
      <c r="E3065" s="16" t="n">
        <v>0</v>
      </c>
      <c r="F3065" s="16" t="n">
        <v>3922.36</v>
      </c>
      <c r="G3065" s="17" t="n">
        <v>50</v>
      </c>
      <c r="H3065" s="16" t="n">
        <v>-3922.36</v>
      </c>
      <c r="I3065" s="16" t="n">
        <v>0</v>
      </c>
    </row>
    <row r="3066">
      <c r="A3066" t="inlineStr">
        <is>
          <t>MTR-IOS-3065</t>
        </is>
      </c>
      <c r="B3066" t="inlineStr">
        <is>
          <t>Assets</t>
        </is>
      </c>
      <c r="C3066" t="inlineStr">
        <is>
          <t>PERCENTAGE</t>
        </is>
      </c>
      <c r="D3066" t="inlineStr">
        <is>
          <t>IOS Aarav</t>
        </is>
      </c>
      <c r="E3066" s="16" t="n">
        <v>7844.71</v>
      </c>
      <c r="F3066" s="16" t="n">
        <v>2353.41</v>
      </c>
      <c r="G3066" s="17" t="n">
        <v>30</v>
      </c>
      <c r="H3066" s="16" t="n">
        <v>5491.3</v>
      </c>
      <c r="I3066" s="16" t="n">
        <v>0</v>
      </c>
    </row>
    <row r="3067">
      <c r="A3067" t="inlineStr">
        <is>
          <t>MTR-IOS-3065</t>
        </is>
      </c>
      <c r="B3067" t="inlineStr">
        <is>
          <t>Assets</t>
        </is>
      </c>
      <c r="C3067" t="inlineStr">
        <is>
          <t>PERCENTAGE</t>
        </is>
      </c>
      <c r="D3067" t="inlineStr">
        <is>
          <t>IOS Meera</t>
        </is>
      </c>
      <c r="E3067" s="16" t="n">
        <v>0</v>
      </c>
      <c r="F3067" s="16" t="n">
        <v>1568.94</v>
      </c>
      <c r="G3067" s="17" t="n">
        <v>20</v>
      </c>
      <c r="H3067" s="16" t="n">
        <v>-1568.94</v>
      </c>
      <c r="I3067" s="16" t="n">
        <v>0</v>
      </c>
    </row>
    <row r="3068">
      <c r="A3068" t="inlineStr">
        <is>
          <t>MTR-IOS-3068</t>
        </is>
      </c>
      <c r="B3068" t="inlineStr">
        <is>
          <t>Assets</t>
        </is>
      </c>
      <c r="C3068" t="inlineStr">
        <is>
          <t>EXACT</t>
        </is>
      </c>
      <c r="D3068" t="inlineStr">
        <is>
          <t>IOS Owner</t>
        </is>
      </c>
      <c r="E3068" s="16" t="n">
        <v>0</v>
      </c>
      <c r="F3068" s="16" t="n">
        <v>5622.83</v>
      </c>
      <c r="G3068" s="17" t="n"/>
      <c r="H3068" s="16" t="n">
        <v>-5622.83</v>
      </c>
      <c r="I3068" s="16" t="n">
        <v>0</v>
      </c>
    </row>
    <row r="3069">
      <c r="A3069" t="inlineStr">
        <is>
          <t>MTR-IOS-3068</t>
        </is>
      </c>
      <c r="B3069" t="inlineStr">
        <is>
          <t>Assets</t>
        </is>
      </c>
      <c r="C3069" t="inlineStr">
        <is>
          <t>EXACT</t>
        </is>
      </c>
      <c r="D3069" t="inlineStr">
        <is>
          <t>IOS Aarav</t>
        </is>
      </c>
      <c r="E3069" s="16" t="n">
        <v>0</v>
      </c>
      <c r="F3069" s="16" t="n">
        <v>5622.83</v>
      </c>
      <c r="G3069" s="17" t="n"/>
      <c r="H3069" s="16" t="n">
        <v>-5622.83</v>
      </c>
      <c r="I3069" s="16" t="n">
        <v>0</v>
      </c>
    </row>
    <row r="3070">
      <c r="A3070" t="inlineStr">
        <is>
          <t>MTR-IOS-3068</t>
        </is>
      </c>
      <c r="B3070" t="inlineStr">
        <is>
          <t>Assets</t>
        </is>
      </c>
      <c r="C3070" t="inlineStr">
        <is>
          <t>EXACT</t>
        </is>
      </c>
      <c r="D3070" t="inlineStr">
        <is>
          <t>IOS Meera</t>
        </is>
      </c>
      <c r="E3070" s="16" t="n">
        <v>16885.37</v>
      </c>
      <c r="F3070" s="16" t="n">
        <v>5639.71</v>
      </c>
      <c r="G3070" s="17" t="n"/>
      <c r="H3070" s="16" t="n">
        <v>11245.66</v>
      </c>
      <c r="I3070" s="16" t="n">
        <v>0</v>
      </c>
    </row>
    <row r="3071">
      <c r="A3071" t="inlineStr">
        <is>
          <t>MTR-IOS-3071</t>
        </is>
      </c>
      <c r="B3071" t="inlineStr">
        <is>
          <t>Custom Purchase</t>
        </is>
      </c>
      <c r="C3071" t="inlineStr">
        <is>
          <t>SHARES</t>
        </is>
      </c>
      <c r="D3071" t="inlineStr">
        <is>
          <t>IOS Owner</t>
        </is>
      </c>
      <c r="E3071" s="16" t="n">
        <v>10000</v>
      </c>
      <c r="F3071" s="16" t="n">
        <v>5000</v>
      </c>
      <c r="G3071" s="17" t="n"/>
      <c r="H3071" s="16" t="n">
        <v>5000</v>
      </c>
      <c r="I3071" s="16" t="n">
        <v>0</v>
      </c>
    </row>
    <row r="3072">
      <c r="A3072" t="inlineStr">
        <is>
          <t>MTR-IOS-3071</t>
        </is>
      </c>
      <c r="B3072" t="inlineStr">
        <is>
          <t>Custom Purchase</t>
        </is>
      </c>
      <c r="C3072" t="inlineStr">
        <is>
          <t>SHARES</t>
        </is>
      </c>
      <c r="D3072" t="inlineStr">
        <is>
          <t>IOS Aarav</t>
        </is>
      </c>
      <c r="E3072" s="16" t="n">
        <v>0</v>
      </c>
      <c r="F3072" s="16" t="n">
        <v>3333.33</v>
      </c>
      <c r="G3072" s="17" t="n"/>
      <c r="H3072" s="16" t="n">
        <v>-3333.33</v>
      </c>
      <c r="I3072" s="16" t="n">
        <v>0</v>
      </c>
    </row>
    <row r="3073">
      <c r="A3073" t="inlineStr">
        <is>
          <t>MTR-IOS-3071</t>
        </is>
      </c>
      <c r="B3073" t="inlineStr">
        <is>
          <t>Custom Purchase</t>
        </is>
      </c>
      <c r="C3073" t="inlineStr">
        <is>
          <t>SHARES</t>
        </is>
      </c>
      <c r="D3073" t="inlineStr">
        <is>
          <t>IOS Meera</t>
        </is>
      </c>
      <c r="E3073" s="16" t="n">
        <v>0</v>
      </c>
      <c r="F3073" s="16" t="n">
        <v>1666.67</v>
      </c>
      <c r="G3073" s="17" t="n"/>
      <c r="H3073" s="16" t="n">
        <v>-1666.67</v>
      </c>
      <c r="I3073" s="16" t="n">
        <v>0</v>
      </c>
    </row>
    <row r="3074">
      <c r="A3074" t="inlineStr">
        <is>
          <t>MTR-IOS-3074</t>
        </is>
      </c>
      <c r="B3074" t="inlineStr">
        <is>
          <t>Custom Purchase</t>
        </is>
      </c>
      <c r="C3074" t="inlineStr">
        <is>
          <t>EQUAL</t>
        </is>
      </c>
      <c r="D3074" t="inlineStr">
        <is>
          <t>IOS Owner</t>
        </is>
      </c>
      <c r="E3074" s="16" t="n">
        <v>0</v>
      </c>
      <c r="F3074" s="16" t="n">
        <v>5512.49</v>
      </c>
      <c r="G3074" s="17" t="n"/>
      <c r="H3074" s="16" t="n">
        <v>-5512.49</v>
      </c>
      <c r="I3074" s="16" t="n">
        <v>0</v>
      </c>
    </row>
    <row r="3075">
      <c r="A3075" t="inlineStr">
        <is>
          <t>MTR-IOS-3074</t>
        </is>
      </c>
      <c r="B3075" t="inlineStr">
        <is>
          <t>Custom Purchase</t>
        </is>
      </c>
      <c r="C3075" t="inlineStr">
        <is>
          <t>EQUAL</t>
        </is>
      </c>
      <c r="D3075" t="inlineStr">
        <is>
          <t>IOS Aarav</t>
        </is>
      </c>
      <c r="E3075" s="16" t="n">
        <v>16537.47</v>
      </c>
      <c r="F3075" s="16" t="n">
        <v>5512.49</v>
      </c>
      <c r="G3075" s="17" t="n"/>
      <c r="H3075" s="16" t="n">
        <v>11024.98</v>
      </c>
      <c r="I3075" s="16" t="n">
        <v>0</v>
      </c>
    </row>
    <row r="3076">
      <c r="A3076" t="inlineStr">
        <is>
          <t>MTR-IOS-3074</t>
        </is>
      </c>
      <c r="B3076" t="inlineStr">
        <is>
          <t>Custom Purchase</t>
        </is>
      </c>
      <c r="C3076" t="inlineStr">
        <is>
          <t>EQUAL</t>
        </is>
      </c>
      <c r="D3076" t="inlineStr">
        <is>
          <t>IOS Meera</t>
        </is>
      </c>
      <c r="E3076" s="16" t="n">
        <v>0</v>
      </c>
      <c r="F3076" s="16" t="n">
        <v>5512.49</v>
      </c>
      <c r="G3076" s="17" t="n"/>
      <c r="H3076" s="16" t="n">
        <v>-5512.49</v>
      </c>
      <c r="I3076" s="16" t="n">
        <v>0</v>
      </c>
    </row>
    <row r="3077">
      <c r="A3077" t="inlineStr">
        <is>
          <t>MTR-IOS-3077</t>
        </is>
      </c>
      <c r="B3077" t="inlineStr">
        <is>
          <t>Flatmates</t>
        </is>
      </c>
      <c r="C3077" t="inlineStr">
        <is>
          <t>PERCENTAGE</t>
        </is>
      </c>
      <c r="D3077" t="inlineStr">
        <is>
          <t>IOS Owner</t>
        </is>
      </c>
      <c r="E3077" s="16" t="n">
        <v>0</v>
      </c>
      <c r="F3077" s="16" t="n">
        <v>1477.94</v>
      </c>
      <c r="G3077" s="17" t="n">
        <v>50</v>
      </c>
      <c r="H3077" s="16" t="n">
        <v>-1477.94</v>
      </c>
      <c r="I3077" s="16" t="n">
        <v>0</v>
      </c>
    </row>
    <row r="3078">
      <c r="A3078" t="inlineStr">
        <is>
          <t>MTR-IOS-3077</t>
        </is>
      </c>
      <c r="B3078" t="inlineStr">
        <is>
          <t>Flatmates</t>
        </is>
      </c>
      <c r="C3078" t="inlineStr">
        <is>
          <t>PERCENTAGE</t>
        </is>
      </c>
      <c r="D3078" t="inlineStr">
        <is>
          <t>IOS Aarav</t>
        </is>
      </c>
      <c r="E3078" s="16" t="n">
        <v>0</v>
      </c>
      <c r="F3078" s="16" t="n">
        <v>886.76</v>
      </c>
      <c r="G3078" s="17" t="n">
        <v>30</v>
      </c>
      <c r="H3078" s="16" t="n">
        <v>-886.76</v>
      </c>
      <c r="I3078" s="16" t="n">
        <v>0</v>
      </c>
    </row>
    <row r="3079">
      <c r="A3079" t="inlineStr">
        <is>
          <t>MTR-IOS-3077</t>
        </is>
      </c>
      <c r="B3079" t="inlineStr">
        <is>
          <t>Flatmates</t>
        </is>
      </c>
      <c r="C3079" t="inlineStr">
        <is>
          <t>PERCENTAGE</t>
        </is>
      </c>
      <c r="D3079" t="inlineStr">
        <is>
          <t>IOS Meera</t>
        </is>
      </c>
      <c r="E3079" s="16" t="n">
        <v>2955.88</v>
      </c>
      <c r="F3079" s="16" t="n">
        <v>591.1799999999999</v>
      </c>
      <c r="G3079" s="17" t="n">
        <v>20</v>
      </c>
      <c r="H3079" s="16" t="n">
        <v>2364.7</v>
      </c>
      <c r="I3079" s="16" t="n">
        <v>0</v>
      </c>
    </row>
    <row r="3080">
      <c r="A3080" t="inlineStr">
        <is>
          <t>MTR-IOS-3080</t>
        </is>
      </c>
      <c r="B3080" t="inlineStr">
        <is>
          <t>Flatmates</t>
        </is>
      </c>
      <c r="C3080" t="inlineStr">
        <is>
          <t>EXACT</t>
        </is>
      </c>
      <c r="D3080" t="inlineStr">
        <is>
          <t>IOS Owner</t>
        </is>
      </c>
      <c r="E3080" s="16" t="n">
        <v>20099.22</v>
      </c>
      <c r="F3080" s="16" t="n">
        <v>6693.04</v>
      </c>
      <c r="G3080" s="17" t="n"/>
      <c r="H3080" s="16" t="n">
        <v>13406.18</v>
      </c>
      <c r="I3080" s="16" t="n">
        <v>0</v>
      </c>
    </row>
    <row r="3081">
      <c r="A3081" t="inlineStr">
        <is>
          <t>MTR-IOS-3080</t>
        </is>
      </c>
      <c r="B3081" t="inlineStr">
        <is>
          <t>Flatmates</t>
        </is>
      </c>
      <c r="C3081" t="inlineStr">
        <is>
          <t>EXACT</t>
        </is>
      </c>
      <c r="D3081" t="inlineStr">
        <is>
          <t>IOS Aarav</t>
        </is>
      </c>
      <c r="E3081" s="16" t="n">
        <v>0</v>
      </c>
      <c r="F3081" s="16" t="n">
        <v>6693.04</v>
      </c>
      <c r="G3081" s="17" t="n"/>
      <c r="H3081" s="16" t="n">
        <v>-6693.04</v>
      </c>
      <c r="I3081" s="16" t="n">
        <v>0</v>
      </c>
    </row>
    <row r="3082">
      <c r="A3082" t="inlineStr">
        <is>
          <t>MTR-IOS-3080</t>
        </is>
      </c>
      <c r="B3082" t="inlineStr">
        <is>
          <t>Flatmates</t>
        </is>
      </c>
      <c r="C3082" t="inlineStr">
        <is>
          <t>EXACT</t>
        </is>
      </c>
      <c r="D3082" t="inlineStr">
        <is>
          <t>IOS Meera</t>
        </is>
      </c>
      <c r="E3082" s="16" t="n">
        <v>0</v>
      </c>
      <c r="F3082" s="16" t="n">
        <v>6713.14</v>
      </c>
      <c r="G3082" s="17" t="n"/>
      <c r="H3082" s="16" t="n">
        <v>-6713.14</v>
      </c>
      <c r="I3082" s="16" t="n">
        <v>0</v>
      </c>
    </row>
    <row r="3083">
      <c r="A3083" t="inlineStr">
        <is>
          <t>MTR-IOS-3083</t>
        </is>
      </c>
      <c r="B3083" t="inlineStr">
        <is>
          <t>Flatmates</t>
        </is>
      </c>
      <c r="C3083" t="inlineStr">
        <is>
          <t>SHARES</t>
        </is>
      </c>
      <c r="D3083" t="inlineStr">
        <is>
          <t>IOS Owner</t>
        </is>
      </c>
      <c r="E3083" s="16" t="n">
        <v>0</v>
      </c>
      <c r="F3083" s="16" t="n">
        <v>9057.690000000001</v>
      </c>
      <c r="G3083" s="17" t="n"/>
      <c r="H3083" s="16" t="n">
        <v>-9057.690000000001</v>
      </c>
      <c r="I3083" s="16" t="n">
        <v>0</v>
      </c>
    </row>
    <row r="3084">
      <c r="A3084" t="inlineStr">
        <is>
          <t>MTR-IOS-3083</t>
        </is>
      </c>
      <c r="B3084" t="inlineStr">
        <is>
          <t>Flatmates</t>
        </is>
      </c>
      <c r="C3084" t="inlineStr">
        <is>
          <t>SHARES</t>
        </is>
      </c>
      <c r="D3084" t="inlineStr">
        <is>
          <t>IOS Aarav</t>
        </is>
      </c>
      <c r="E3084" s="16" t="n">
        <v>18115.37</v>
      </c>
      <c r="F3084" s="16" t="n">
        <v>6038.46</v>
      </c>
      <c r="G3084" s="17" t="n"/>
      <c r="H3084" s="16" t="n">
        <v>12076.91</v>
      </c>
      <c r="I3084" s="16" t="n">
        <v>0</v>
      </c>
    </row>
    <row r="3085">
      <c r="A3085" t="inlineStr">
        <is>
          <t>MTR-IOS-3083</t>
        </is>
      </c>
      <c r="B3085" t="inlineStr">
        <is>
          <t>Flatmates</t>
        </is>
      </c>
      <c r="C3085" t="inlineStr">
        <is>
          <t>SHARES</t>
        </is>
      </c>
      <c r="D3085" t="inlineStr">
        <is>
          <t>IOS Meera</t>
        </is>
      </c>
      <c r="E3085" s="16" t="n">
        <v>0</v>
      </c>
      <c r="F3085" s="16" t="n">
        <v>3019.22</v>
      </c>
      <c r="G3085" s="17" t="n"/>
      <c r="H3085" s="16" t="n">
        <v>-3019.22</v>
      </c>
      <c r="I3085" s="16" t="n">
        <v>0</v>
      </c>
    </row>
    <row r="3086">
      <c r="A3086" t="inlineStr">
        <is>
          <t>MTR-IOS-3086</t>
        </is>
      </c>
      <c r="B3086" t="inlineStr">
        <is>
          <t>Flatmates</t>
        </is>
      </c>
      <c r="C3086" t="inlineStr">
        <is>
          <t>EQUAL</t>
        </is>
      </c>
      <c r="D3086" t="inlineStr">
        <is>
          <t>IOS Owner</t>
        </is>
      </c>
      <c r="E3086" s="16" t="n">
        <v>0</v>
      </c>
      <c r="F3086" s="16" t="n">
        <v>2122.98</v>
      </c>
      <c r="G3086" s="17" t="n"/>
      <c r="H3086" s="16" t="n">
        <v>-2122.98</v>
      </c>
      <c r="I3086" s="16" t="n">
        <v>0</v>
      </c>
    </row>
    <row r="3087">
      <c r="A3087" t="inlineStr">
        <is>
          <t>MTR-IOS-3086</t>
        </is>
      </c>
      <c r="B3087" t="inlineStr">
        <is>
          <t>Flatmates</t>
        </is>
      </c>
      <c r="C3087" t="inlineStr">
        <is>
          <t>EQUAL</t>
        </is>
      </c>
      <c r="D3087" t="inlineStr">
        <is>
          <t>IOS Aarav</t>
        </is>
      </c>
      <c r="E3087" s="16" t="n">
        <v>0</v>
      </c>
      <c r="F3087" s="16" t="n">
        <v>2122.98</v>
      </c>
      <c r="G3087" s="17" t="n"/>
      <c r="H3087" s="16" t="n">
        <v>-2122.98</v>
      </c>
      <c r="I3087" s="16" t="n">
        <v>0</v>
      </c>
    </row>
    <row r="3088">
      <c r="A3088" t="inlineStr">
        <is>
          <t>MTR-IOS-3086</t>
        </is>
      </c>
      <c r="B3088" t="inlineStr">
        <is>
          <t>Flatmates</t>
        </is>
      </c>
      <c r="C3088" t="inlineStr">
        <is>
          <t>EQUAL</t>
        </is>
      </c>
      <c r="D3088" t="inlineStr">
        <is>
          <t>IOS Meera</t>
        </is>
      </c>
      <c r="E3088" s="16" t="n">
        <v>6368.95</v>
      </c>
      <c r="F3088" s="16" t="n">
        <v>2122.99</v>
      </c>
      <c r="G3088" s="17" t="n"/>
      <c r="H3088" s="16" t="n">
        <v>4245.96</v>
      </c>
      <c r="I3088" s="16" t="n">
        <v>0</v>
      </c>
    </row>
    <row r="3089">
      <c r="A3089" t="inlineStr">
        <is>
          <t>MTR-IOS-3089</t>
        </is>
      </c>
      <c r="B3089" t="inlineStr">
        <is>
          <t>Flatmates</t>
        </is>
      </c>
      <c r="C3089" t="inlineStr">
        <is>
          <t>PERCENTAGE</t>
        </is>
      </c>
      <c r="D3089" t="inlineStr">
        <is>
          <t>IOS Owner</t>
        </is>
      </c>
      <c r="E3089" s="16" t="n">
        <v>26483.92</v>
      </c>
      <c r="F3089" s="16" t="n">
        <v>13241.96</v>
      </c>
      <c r="G3089" s="17" t="n">
        <v>50</v>
      </c>
      <c r="H3089" s="16" t="n">
        <v>13241.96</v>
      </c>
      <c r="I3089" s="16" t="n">
        <v>0</v>
      </c>
    </row>
    <row r="3090">
      <c r="A3090" t="inlineStr">
        <is>
          <t>MTR-IOS-3089</t>
        </is>
      </c>
      <c r="B3090" t="inlineStr">
        <is>
          <t>Flatmates</t>
        </is>
      </c>
      <c r="C3090" t="inlineStr">
        <is>
          <t>PERCENTAGE</t>
        </is>
      </c>
      <c r="D3090" t="inlineStr">
        <is>
          <t>IOS Aarav</t>
        </is>
      </c>
      <c r="E3090" s="16" t="n">
        <v>0</v>
      </c>
      <c r="F3090" s="16" t="n">
        <v>7945.18</v>
      </c>
      <c r="G3090" s="17" t="n">
        <v>30</v>
      </c>
      <c r="H3090" s="16" t="n">
        <v>-7945.18</v>
      </c>
      <c r="I3090" s="16" t="n">
        <v>0</v>
      </c>
    </row>
    <row r="3091">
      <c r="A3091" t="inlineStr">
        <is>
          <t>MTR-IOS-3089</t>
        </is>
      </c>
      <c r="B3091" t="inlineStr">
        <is>
          <t>Flatmates</t>
        </is>
      </c>
      <c r="C3091" t="inlineStr">
        <is>
          <t>PERCENTAGE</t>
        </is>
      </c>
      <c r="D3091" t="inlineStr">
        <is>
          <t>IOS Meera</t>
        </is>
      </c>
      <c r="E3091" s="16" t="n">
        <v>0</v>
      </c>
      <c r="F3091" s="16" t="n">
        <v>5296.78</v>
      </c>
      <c r="G3091" s="17" t="n">
        <v>20</v>
      </c>
      <c r="H3091" s="16" t="n">
        <v>-5296.78</v>
      </c>
      <c r="I3091" s="16" t="n">
        <v>0</v>
      </c>
    </row>
    <row r="3092">
      <c r="A3092" t="inlineStr">
        <is>
          <t>MTR-IOS-3092</t>
        </is>
      </c>
      <c r="B3092" t="inlineStr">
        <is>
          <t>Flatmates</t>
        </is>
      </c>
      <c r="C3092" t="inlineStr">
        <is>
          <t>EXACT</t>
        </is>
      </c>
      <c r="D3092" t="inlineStr">
        <is>
          <t>IOS Owner</t>
        </is>
      </c>
      <c r="E3092" s="16" t="n">
        <v>0</v>
      </c>
      <c r="F3092" s="16" t="n">
        <v>484.92</v>
      </c>
      <c r="G3092" s="17" t="n"/>
      <c r="H3092" s="16" t="n">
        <v>-484.92</v>
      </c>
      <c r="I3092" s="16" t="n">
        <v>0</v>
      </c>
    </row>
    <row r="3093">
      <c r="A3093" t="inlineStr">
        <is>
          <t>MTR-IOS-3092</t>
        </is>
      </c>
      <c r="B3093" t="inlineStr">
        <is>
          <t>Flatmates</t>
        </is>
      </c>
      <c r="C3093" t="inlineStr">
        <is>
          <t>EXACT</t>
        </is>
      </c>
      <c r="D3093" t="inlineStr">
        <is>
          <t>IOS Aarav</t>
        </is>
      </c>
      <c r="E3093" s="16" t="n">
        <v>1456.23</v>
      </c>
      <c r="F3093" s="16" t="n">
        <v>484.92</v>
      </c>
      <c r="G3093" s="17" t="n"/>
      <c r="H3093" s="16" t="n">
        <v>971.3099999999999</v>
      </c>
      <c r="I3093" s="16" t="n">
        <v>0</v>
      </c>
    </row>
    <row r="3094">
      <c r="A3094" t="inlineStr">
        <is>
          <t>MTR-IOS-3092</t>
        </is>
      </c>
      <c r="B3094" t="inlineStr">
        <is>
          <t>Flatmates</t>
        </is>
      </c>
      <c r="C3094" t="inlineStr">
        <is>
          <t>EXACT</t>
        </is>
      </c>
      <c r="D3094" t="inlineStr">
        <is>
          <t>IOS Meera</t>
        </is>
      </c>
      <c r="E3094" s="16" t="n">
        <v>0</v>
      </c>
      <c r="F3094" s="16" t="n">
        <v>486.39</v>
      </c>
      <c r="G3094" s="17" t="n"/>
      <c r="H3094" s="16" t="n">
        <v>-486.39</v>
      </c>
      <c r="I3094" s="16" t="n">
        <v>0</v>
      </c>
    </row>
    <row r="3095">
      <c r="A3095" t="inlineStr">
        <is>
          <t>MTR-IOS-3095</t>
        </is>
      </c>
      <c r="B3095" t="inlineStr">
        <is>
          <t>Shared Living</t>
        </is>
      </c>
      <c r="C3095" t="inlineStr">
        <is>
          <t>SHARES</t>
        </is>
      </c>
      <c r="D3095" t="inlineStr">
        <is>
          <t>IOS Owner</t>
        </is>
      </c>
      <c r="E3095" s="16" t="n">
        <v>0</v>
      </c>
      <c r="F3095" s="16" t="n">
        <v>3733.37</v>
      </c>
      <c r="G3095" s="17" t="n"/>
      <c r="H3095" s="16" t="n">
        <v>-3733.37</v>
      </c>
      <c r="I3095" s="16" t="n">
        <v>0</v>
      </c>
    </row>
    <row r="3096">
      <c r="A3096" t="inlineStr">
        <is>
          <t>MTR-IOS-3095</t>
        </is>
      </c>
      <c r="B3096" t="inlineStr">
        <is>
          <t>Shared Living</t>
        </is>
      </c>
      <c r="C3096" t="inlineStr">
        <is>
          <t>SHARES</t>
        </is>
      </c>
      <c r="D3096" t="inlineStr">
        <is>
          <t>IOS Aarav</t>
        </is>
      </c>
      <c r="E3096" s="16" t="n">
        <v>0</v>
      </c>
      <c r="F3096" s="16" t="n">
        <v>2488.91</v>
      </c>
      <c r="G3096" s="17" t="n"/>
      <c r="H3096" s="16" t="n">
        <v>-2488.91</v>
      </c>
      <c r="I3096" s="16" t="n">
        <v>0</v>
      </c>
    </row>
    <row r="3097">
      <c r="A3097" t="inlineStr">
        <is>
          <t>MTR-IOS-3095</t>
        </is>
      </c>
      <c r="B3097" t="inlineStr">
        <is>
          <t>Shared Living</t>
        </is>
      </c>
      <c r="C3097" t="inlineStr">
        <is>
          <t>SHARES</t>
        </is>
      </c>
      <c r="D3097" t="inlineStr">
        <is>
          <t>IOS Meera</t>
        </is>
      </c>
      <c r="E3097" s="16" t="n">
        <v>7466.73</v>
      </c>
      <c r="F3097" s="16" t="n">
        <v>1244.45</v>
      </c>
      <c r="G3097" s="17" t="n"/>
      <c r="H3097" s="16" t="n">
        <v>6222.28</v>
      </c>
      <c r="I3097" s="16" t="n">
        <v>0</v>
      </c>
    </row>
    <row r="3098">
      <c r="A3098" t="inlineStr">
        <is>
          <t>MTR-IOS-3098</t>
        </is>
      </c>
      <c r="B3098" t="inlineStr">
        <is>
          <t>Shared Living</t>
        </is>
      </c>
      <c r="C3098" t="inlineStr">
        <is>
          <t>EQUAL</t>
        </is>
      </c>
      <c r="D3098" t="inlineStr">
        <is>
          <t>IOS Owner</t>
        </is>
      </c>
      <c r="E3098" s="16" t="n">
        <v>17933.77</v>
      </c>
      <c r="F3098" s="16" t="n">
        <v>5977.92</v>
      </c>
      <c r="G3098" s="17" t="n"/>
      <c r="H3098" s="16" t="n">
        <v>11955.85</v>
      </c>
      <c r="I3098" s="16" t="n">
        <v>0</v>
      </c>
    </row>
    <row r="3099">
      <c r="A3099" t="inlineStr">
        <is>
          <t>MTR-IOS-3098</t>
        </is>
      </c>
      <c r="B3099" t="inlineStr">
        <is>
          <t>Shared Living</t>
        </is>
      </c>
      <c r="C3099" t="inlineStr">
        <is>
          <t>EQUAL</t>
        </is>
      </c>
      <c r="D3099" t="inlineStr">
        <is>
          <t>IOS Aarav</t>
        </is>
      </c>
      <c r="E3099" s="16" t="n">
        <v>0</v>
      </c>
      <c r="F3099" s="16" t="n">
        <v>5977.92</v>
      </c>
      <c r="G3099" s="17" t="n"/>
      <c r="H3099" s="16" t="n">
        <v>-5977.92</v>
      </c>
      <c r="I3099" s="16" t="n">
        <v>0</v>
      </c>
    </row>
    <row r="3100">
      <c r="A3100" t="inlineStr">
        <is>
          <t>MTR-IOS-3098</t>
        </is>
      </c>
      <c r="B3100" t="inlineStr">
        <is>
          <t>Shared Living</t>
        </is>
      </c>
      <c r="C3100" t="inlineStr">
        <is>
          <t>EQUAL</t>
        </is>
      </c>
      <c r="D3100" t="inlineStr">
        <is>
          <t>IOS Meera</t>
        </is>
      </c>
      <c r="E3100" s="16" t="n">
        <v>0</v>
      </c>
      <c r="F3100" s="16" t="n">
        <v>5977.93</v>
      </c>
      <c r="G3100" s="17" t="n"/>
      <c r="H3100" s="16" t="n">
        <v>-5977.93</v>
      </c>
      <c r="I3100" s="16" t="n">
        <v>0</v>
      </c>
    </row>
    <row r="3101">
      <c r="A3101" t="inlineStr">
        <is>
          <t>MTR-IOS-3101</t>
        </is>
      </c>
      <c r="B3101" t="inlineStr">
        <is>
          <t>Shared Living</t>
        </is>
      </c>
      <c r="C3101" t="inlineStr">
        <is>
          <t>PERCENTAGE</t>
        </is>
      </c>
      <c r="D3101" t="inlineStr">
        <is>
          <t>IOS Owner</t>
        </is>
      </c>
      <c r="E3101" s="16" t="n">
        <v>0</v>
      </c>
      <c r="F3101" s="16" t="n">
        <v>10009.42</v>
      </c>
      <c r="G3101" s="17" t="n">
        <v>50</v>
      </c>
      <c r="H3101" s="16" t="n">
        <v>-10009.42</v>
      </c>
      <c r="I3101" s="16" t="n">
        <v>0</v>
      </c>
    </row>
    <row r="3102">
      <c r="A3102" t="inlineStr">
        <is>
          <t>MTR-IOS-3101</t>
        </is>
      </c>
      <c r="B3102" t="inlineStr">
        <is>
          <t>Shared Living</t>
        </is>
      </c>
      <c r="C3102" t="inlineStr">
        <is>
          <t>PERCENTAGE</t>
        </is>
      </c>
      <c r="D3102" t="inlineStr">
        <is>
          <t>IOS Aarav</t>
        </is>
      </c>
      <c r="E3102" s="16" t="n">
        <v>20018.83</v>
      </c>
      <c r="F3102" s="16" t="n">
        <v>6005.65</v>
      </c>
      <c r="G3102" s="17" t="n">
        <v>30</v>
      </c>
      <c r="H3102" s="16" t="n">
        <v>14013.18</v>
      </c>
      <c r="I3102" s="16" t="n">
        <v>0</v>
      </c>
    </row>
    <row r="3103">
      <c r="A3103" t="inlineStr">
        <is>
          <t>MTR-IOS-3101</t>
        </is>
      </c>
      <c r="B3103" t="inlineStr">
        <is>
          <t>Shared Living</t>
        </is>
      </c>
      <c r="C3103" t="inlineStr">
        <is>
          <t>PERCENTAGE</t>
        </is>
      </c>
      <c r="D3103" t="inlineStr">
        <is>
          <t>IOS Meera</t>
        </is>
      </c>
      <c r="E3103" s="16" t="n">
        <v>0</v>
      </c>
      <c r="F3103" s="16" t="n">
        <v>4003.76</v>
      </c>
      <c r="G3103" s="17" t="n">
        <v>20</v>
      </c>
      <c r="H3103" s="16" t="n">
        <v>-4003.76</v>
      </c>
      <c r="I3103" s="16" t="n">
        <v>0</v>
      </c>
    </row>
    <row r="3104">
      <c r="A3104" t="inlineStr">
        <is>
          <t>MTR-IOS-3104</t>
        </is>
      </c>
      <c r="B3104" t="inlineStr">
        <is>
          <t>Shared Living</t>
        </is>
      </c>
      <c r="C3104" t="inlineStr">
        <is>
          <t>EXACT</t>
        </is>
      </c>
      <c r="D3104" t="inlineStr">
        <is>
          <t>IOS Owner</t>
        </is>
      </c>
      <c r="E3104" s="16" t="n">
        <v>0</v>
      </c>
      <c r="F3104" s="16" t="n">
        <v>4503.19</v>
      </c>
      <c r="G3104" s="17" t="n"/>
      <c r="H3104" s="16" t="n">
        <v>-4503.19</v>
      </c>
      <c r="I3104" s="16" t="n">
        <v>0</v>
      </c>
    </row>
    <row r="3105">
      <c r="A3105" t="inlineStr">
        <is>
          <t>MTR-IOS-3104</t>
        </is>
      </c>
      <c r="B3105" t="inlineStr">
        <is>
          <t>Shared Living</t>
        </is>
      </c>
      <c r="C3105" t="inlineStr">
        <is>
          <t>EXACT</t>
        </is>
      </c>
      <c r="D3105" t="inlineStr">
        <is>
          <t>IOS Aarav</t>
        </is>
      </c>
      <c r="E3105" s="16" t="n">
        <v>0</v>
      </c>
      <c r="F3105" s="16" t="n">
        <v>4503.19</v>
      </c>
      <c r="G3105" s="17" t="n"/>
      <c r="H3105" s="16" t="n">
        <v>-4503.19</v>
      </c>
      <c r="I3105" s="16" t="n">
        <v>0</v>
      </c>
    </row>
    <row r="3106">
      <c r="A3106" t="inlineStr">
        <is>
          <t>MTR-IOS-3104</t>
        </is>
      </c>
      <c r="B3106" t="inlineStr">
        <is>
          <t>Shared Living</t>
        </is>
      </c>
      <c r="C3106" t="inlineStr">
        <is>
          <t>EXACT</t>
        </is>
      </c>
      <c r="D3106" t="inlineStr">
        <is>
          <t>IOS Meera</t>
        </is>
      </c>
      <c r="E3106" s="16" t="n">
        <v>13523.09</v>
      </c>
      <c r="F3106" s="16" t="n">
        <v>4516.71</v>
      </c>
      <c r="G3106" s="17" t="n"/>
      <c r="H3106" s="16" t="n">
        <v>9006.379999999999</v>
      </c>
      <c r="I3106" s="16" t="n">
        <v>0</v>
      </c>
    </row>
    <row r="3107">
      <c r="A3107" t="inlineStr">
        <is>
          <t>MTR-IOS-3107</t>
        </is>
      </c>
      <c r="B3107" t="inlineStr">
        <is>
          <t>Shared Living</t>
        </is>
      </c>
      <c r="C3107" t="inlineStr">
        <is>
          <t>SHARES</t>
        </is>
      </c>
      <c r="D3107" t="inlineStr">
        <is>
          <t>IOS Owner</t>
        </is>
      </c>
      <c r="E3107" s="16" t="n">
        <v>17307.1</v>
      </c>
      <c r="F3107" s="16" t="n">
        <v>8653.549999999999</v>
      </c>
      <c r="G3107" s="17" t="n"/>
      <c r="H3107" s="16" t="n">
        <v>8653.549999999999</v>
      </c>
      <c r="I3107" s="16" t="n">
        <v>0</v>
      </c>
    </row>
    <row r="3108">
      <c r="A3108" t="inlineStr">
        <is>
          <t>MTR-IOS-3107</t>
        </is>
      </c>
      <c r="B3108" t="inlineStr">
        <is>
          <t>Shared Living</t>
        </is>
      </c>
      <c r="C3108" t="inlineStr">
        <is>
          <t>SHARES</t>
        </is>
      </c>
      <c r="D3108" t="inlineStr">
        <is>
          <t>IOS Aarav</t>
        </is>
      </c>
      <c r="E3108" s="16" t="n">
        <v>0</v>
      </c>
      <c r="F3108" s="16" t="n">
        <v>5769.03</v>
      </c>
      <c r="G3108" s="17" t="n"/>
      <c r="H3108" s="16" t="n">
        <v>-5769.03</v>
      </c>
      <c r="I3108" s="16" t="n">
        <v>0</v>
      </c>
    </row>
    <row r="3109">
      <c r="A3109" t="inlineStr">
        <is>
          <t>MTR-IOS-3107</t>
        </is>
      </c>
      <c r="B3109" t="inlineStr">
        <is>
          <t>Shared Living</t>
        </is>
      </c>
      <c r="C3109" t="inlineStr">
        <is>
          <t>SHARES</t>
        </is>
      </c>
      <c r="D3109" t="inlineStr">
        <is>
          <t>IOS Meera</t>
        </is>
      </c>
      <c r="E3109" s="16" t="n">
        <v>0</v>
      </c>
      <c r="F3109" s="16" t="n">
        <v>2884.52</v>
      </c>
      <c r="G3109" s="17" t="n"/>
      <c r="H3109" s="16" t="n">
        <v>-2884.52</v>
      </c>
      <c r="I3109" s="16" t="n">
        <v>0</v>
      </c>
    </row>
    <row r="3110">
      <c r="A3110" t="inlineStr">
        <is>
          <t>MTR-IOS-3110</t>
        </is>
      </c>
      <c r="B3110" t="inlineStr">
        <is>
          <t>Family Household</t>
        </is>
      </c>
      <c r="C3110" t="inlineStr">
        <is>
          <t>EQUAL</t>
        </is>
      </c>
      <c r="D3110" t="inlineStr">
        <is>
          <t>IOS Owner</t>
        </is>
      </c>
      <c r="E3110" s="16" t="n">
        <v>0</v>
      </c>
      <c r="F3110" s="16" t="n">
        <v>8824.4</v>
      </c>
      <c r="G3110" s="17" t="n"/>
      <c r="H3110" s="16" t="n">
        <v>-8824.4</v>
      </c>
      <c r="I3110" s="16" t="n">
        <v>0</v>
      </c>
    </row>
    <row r="3111">
      <c r="A3111" t="inlineStr">
        <is>
          <t>MTR-IOS-3110</t>
        </is>
      </c>
      <c r="B3111" t="inlineStr">
        <is>
          <t>Family Household</t>
        </is>
      </c>
      <c r="C3111" t="inlineStr">
        <is>
          <t>EQUAL</t>
        </is>
      </c>
      <c r="D3111" t="inlineStr">
        <is>
          <t>IOS Aarav</t>
        </is>
      </c>
      <c r="E3111" s="16" t="n">
        <v>26473.19</v>
      </c>
      <c r="F3111" s="16" t="n">
        <v>8824.4</v>
      </c>
      <c r="G3111" s="17" t="n"/>
      <c r="H3111" s="16" t="n">
        <v>17648.79</v>
      </c>
      <c r="I3111" s="16" t="n">
        <v>0</v>
      </c>
    </row>
    <row r="3112">
      <c r="A3112" t="inlineStr">
        <is>
          <t>MTR-IOS-3110</t>
        </is>
      </c>
      <c r="B3112" t="inlineStr">
        <is>
          <t>Family Household</t>
        </is>
      </c>
      <c r="C3112" t="inlineStr">
        <is>
          <t>EQUAL</t>
        </is>
      </c>
      <c r="D3112" t="inlineStr">
        <is>
          <t>IOS Meera</t>
        </is>
      </c>
      <c r="E3112" s="16" t="n">
        <v>0</v>
      </c>
      <c r="F3112" s="16" t="n">
        <v>8824.389999999999</v>
      </c>
      <c r="G3112" s="17" t="n"/>
      <c r="H3112" s="16" t="n">
        <v>-8824.389999999999</v>
      </c>
      <c r="I3112" s="16" t="n">
        <v>0</v>
      </c>
    </row>
    <row r="3113">
      <c r="A3113" t="inlineStr">
        <is>
          <t>MTR-IOS-3113</t>
        </is>
      </c>
      <c r="B3113" t="inlineStr">
        <is>
          <t>Family Household</t>
        </is>
      </c>
      <c r="C3113" t="inlineStr">
        <is>
          <t>PERCENTAGE</t>
        </is>
      </c>
      <c r="D3113" t="inlineStr">
        <is>
          <t>IOS Owner</t>
        </is>
      </c>
      <c r="E3113" s="16" t="n">
        <v>0</v>
      </c>
      <c r="F3113" s="16" t="n">
        <v>1429.66</v>
      </c>
      <c r="G3113" s="17" t="n">
        <v>50</v>
      </c>
      <c r="H3113" s="16" t="n">
        <v>-1429.66</v>
      </c>
      <c r="I3113" s="16" t="n">
        <v>0</v>
      </c>
    </row>
    <row r="3114">
      <c r="A3114" t="inlineStr">
        <is>
          <t>MTR-IOS-3113</t>
        </is>
      </c>
      <c r="B3114" t="inlineStr">
        <is>
          <t>Family Household</t>
        </is>
      </c>
      <c r="C3114" t="inlineStr">
        <is>
          <t>PERCENTAGE</t>
        </is>
      </c>
      <c r="D3114" t="inlineStr">
        <is>
          <t>IOS Aarav</t>
        </is>
      </c>
      <c r="E3114" s="16" t="n">
        <v>0</v>
      </c>
      <c r="F3114" s="16" t="n">
        <v>857.8</v>
      </c>
      <c r="G3114" s="17" t="n">
        <v>30</v>
      </c>
      <c r="H3114" s="16" t="n">
        <v>-857.8</v>
      </c>
      <c r="I3114" s="16" t="n">
        <v>0</v>
      </c>
    </row>
    <row r="3115">
      <c r="A3115" t="inlineStr">
        <is>
          <t>MTR-IOS-3113</t>
        </is>
      </c>
      <c r="B3115" t="inlineStr">
        <is>
          <t>Family Household</t>
        </is>
      </c>
      <c r="C3115" t="inlineStr">
        <is>
          <t>PERCENTAGE</t>
        </is>
      </c>
      <c r="D3115" t="inlineStr">
        <is>
          <t>IOS Meera</t>
        </is>
      </c>
      <c r="E3115" s="16" t="n">
        <v>2859.32</v>
      </c>
      <c r="F3115" s="16" t="n">
        <v>571.86</v>
      </c>
      <c r="G3115" s="17" t="n">
        <v>20</v>
      </c>
      <c r="H3115" s="16" t="n">
        <v>2287.46</v>
      </c>
      <c r="I3115" s="16" t="n">
        <v>0</v>
      </c>
    </row>
    <row r="3116">
      <c r="A3116" t="inlineStr">
        <is>
          <t>MTR-IOS-3116</t>
        </is>
      </c>
      <c r="B3116" t="inlineStr">
        <is>
          <t>Family Household</t>
        </is>
      </c>
      <c r="C3116" t="inlineStr">
        <is>
          <t>EXACT</t>
        </is>
      </c>
      <c r="D3116" t="inlineStr">
        <is>
          <t>IOS Owner</t>
        </is>
      </c>
      <c r="E3116" s="16" t="n">
        <v>19687.75</v>
      </c>
      <c r="F3116" s="16" t="n">
        <v>6556.02</v>
      </c>
      <c r="G3116" s="17" t="n"/>
      <c r="H3116" s="16" t="n">
        <v>13131.73</v>
      </c>
      <c r="I3116" s="16" t="n">
        <v>0</v>
      </c>
    </row>
    <row r="3117">
      <c r="A3117" t="inlineStr">
        <is>
          <t>MTR-IOS-3116</t>
        </is>
      </c>
      <c r="B3117" t="inlineStr">
        <is>
          <t>Family Household</t>
        </is>
      </c>
      <c r="C3117" t="inlineStr">
        <is>
          <t>EXACT</t>
        </is>
      </c>
      <c r="D3117" t="inlineStr">
        <is>
          <t>IOS Aarav</t>
        </is>
      </c>
      <c r="E3117" s="16" t="n">
        <v>0</v>
      </c>
      <c r="F3117" s="16" t="n">
        <v>6556.02</v>
      </c>
      <c r="G3117" s="17" t="n"/>
      <c r="H3117" s="16" t="n">
        <v>-6556.02</v>
      </c>
      <c r="I3117" s="16" t="n">
        <v>0</v>
      </c>
    </row>
    <row r="3118">
      <c r="A3118" t="inlineStr">
        <is>
          <t>MTR-IOS-3116</t>
        </is>
      </c>
      <c r="B3118" t="inlineStr">
        <is>
          <t>Family Household</t>
        </is>
      </c>
      <c r="C3118" t="inlineStr">
        <is>
          <t>EXACT</t>
        </is>
      </c>
      <c r="D3118" t="inlineStr">
        <is>
          <t>IOS Meera</t>
        </is>
      </c>
      <c r="E3118" s="16" t="n">
        <v>0</v>
      </c>
      <c r="F3118" s="16" t="n">
        <v>6575.71</v>
      </c>
      <c r="G3118" s="17" t="n"/>
      <c r="H3118" s="16" t="n">
        <v>-6575.71</v>
      </c>
      <c r="I3118" s="16" t="n">
        <v>0</v>
      </c>
    </row>
    <row r="3119">
      <c r="A3119" t="inlineStr">
        <is>
          <t>MTR-IOS-3119</t>
        </is>
      </c>
      <c r="B3119" t="inlineStr">
        <is>
          <t>Family Household</t>
        </is>
      </c>
      <c r="C3119" t="inlineStr">
        <is>
          <t>SHARES</t>
        </is>
      </c>
      <c r="D3119" t="inlineStr">
        <is>
          <t>IOS Owner</t>
        </is>
      </c>
      <c r="E3119" s="16" t="n">
        <v>0</v>
      </c>
      <c r="F3119" s="16" t="n">
        <v>7043.61</v>
      </c>
      <c r="G3119" s="17" t="n"/>
      <c r="H3119" s="16" t="n">
        <v>-7043.61</v>
      </c>
      <c r="I3119" s="16" t="n">
        <v>0</v>
      </c>
    </row>
    <row r="3120">
      <c r="A3120" t="inlineStr">
        <is>
          <t>MTR-IOS-3119</t>
        </is>
      </c>
      <c r="B3120" t="inlineStr">
        <is>
          <t>Family Household</t>
        </is>
      </c>
      <c r="C3120" t="inlineStr">
        <is>
          <t>SHARES</t>
        </is>
      </c>
      <c r="D3120" t="inlineStr">
        <is>
          <t>IOS Aarav</t>
        </is>
      </c>
      <c r="E3120" s="16" t="n">
        <v>14087.21</v>
      </c>
      <c r="F3120" s="16" t="n">
        <v>4695.74</v>
      </c>
      <c r="G3120" s="17" t="n"/>
      <c r="H3120" s="16" t="n">
        <v>9391.469999999999</v>
      </c>
      <c r="I3120" s="16" t="n">
        <v>0</v>
      </c>
    </row>
    <row r="3121">
      <c r="A3121" t="inlineStr">
        <is>
          <t>MTR-IOS-3119</t>
        </is>
      </c>
      <c r="B3121" t="inlineStr">
        <is>
          <t>Family Household</t>
        </is>
      </c>
      <c r="C3121" t="inlineStr">
        <is>
          <t>SHARES</t>
        </is>
      </c>
      <c r="D3121" t="inlineStr">
        <is>
          <t>IOS Meera</t>
        </is>
      </c>
      <c r="E3121" s="16" t="n">
        <v>0</v>
      </c>
      <c r="F3121" s="16" t="n">
        <v>2347.86</v>
      </c>
      <c r="G3121" s="17" t="n"/>
      <c r="H3121" s="16" t="n">
        <v>-2347.86</v>
      </c>
      <c r="I3121" s="16" t="n">
        <v>0</v>
      </c>
    </row>
    <row r="3122">
      <c r="A3122" t="inlineStr">
        <is>
          <t>MTR-IOS-3122</t>
        </is>
      </c>
      <c r="B3122" t="inlineStr">
        <is>
          <t>Family Household</t>
        </is>
      </c>
      <c r="C3122" t="inlineStr">
        <is>
          <t>EQUAL</t>
        </is>
      </c>
      <c r="D3122" t="inlineStr">
        <is>
          <t>IOS Owner</t>
        </is>
      </c>
      <c r="E3122" s="16" t="n">
        <v>0</v>
      </c>
      <c r="F3122" s="16" t="n">
        <v>2982.7</v>
      </c>
      <c r="G3122" s="17" t="n"/>
      <c r="H3122" s="16" t="n">
        <v>-2982.7</v>
      </c>
      <c r="I3122" s="16" t="n">
        <v>0</v>
      </c>
    </row>
    <row r="3123">
      <c r="A3123" t="inlineStr">
        <is>
          <t>MTR-IOS-3122</t>
        </is>
      </c>
      <c r="B3123" t="inlineStr">
        <is>
          <t>Family Household</t>
        </is>
      </c>
      <c r="C3123" t="inlineStr">
        <is>
          <t>EQUAL</t>
        </is>
      </c>
      <c r="D3123" t="inlineStr">
        <is>
          <t>IOS Aarav</t>
        </is>
      </c>
      <c r="E3123" s="16" t="n">
        <v>0</v>
      </c>
      <c r="F3123" s="16" t="n">
        <v>2982.7</v>
      </c>
      <c r="G3123" s="17" t="n"/>
      <c r="H3123" s="16" t="n">
        <v>-2982.7</v>
      </c>
      <c r="I3123" s="16" t="n">
        <v>0</v>
      </c>
    </row>
    <row r="3124">
      <c r="A3124" t="inlineStr">
        <is>
          <t>MTR-IOS-3122</t>
        </is>
      </c>
      <c r="B3124" t="inlineStr">
        <is>
          <t>Family Household</t>
        </is>
      </c>
      <c r="C3124" t="inlineStr">
        <is>
          <t>EQUAL</t>
        </is>
      </c>
      <c r="D3124" t="inlineStr">
        <is>
          <t>IOS Meera</t>
        </is>
      </c>
      <c r="E3124" s="16" t="n">
        <v>8948.110000000001</v>
      </c>
      <c r="F3124" s="16" t="n">
        <v>2982.71</v>
      </c>
      <c r="G3124" s="17" t="n"/>
      <c r="H3124" s="16" t="n">
        <v>5965.4</v>
      </c>
      <c r="I3124" s="16" t="n">
        <v>0</v>
      </c>
    </row>
    <row r="3125">
      <c r="A3125" t="inlineStr">
        <is>
          <t>MTR-IOS-3125</t>
        </is>
      </c>
      <c r="B3125" t="inlineStr">
        <is>
          <t>Family Household</t>
        </is>
      </c>
      <c r="C3125" t="inlineStr">
        <is>
          <t>PERCENTAGE</t>
        </is>
      </c>
      <c r="D3125" t="inlineStr">
        <is>
          <t>IOS Owner</t>
        </is>
      </c>
      <c r="E3125" s="16" t="n">
        <v>8412.700000000001</v>
      </c>
      <c r="F3125" s="16" t="n">
        <v>4206.35</v>
      </c>
      <c r="G3125" s="17" t="n">
        <v>50</v>
      </c>
      <c r="H3125" s="16" t="n">
        <v>4206.35</v>
      </c>
      <c r="I3125" s="16" t="n">
        <v>0</v>
      </c>
    </row>
    <row r="3126">
      <c r="A3126" t="inlineStr">
        <is>
          <t>MTR-IOS-3125</t>
        </is>
      </c>
      <c r="B3126" t="inlineStr">
        <is>
          <t>Family Household</t>
        </is>
      </c>
      <c r="C3126" t="inlineStr">
        <is>
          <t>PERCENTAGE</t>
        </is>
      </c>
      <c r="D3126" t="inlineStr">
        <is>
          <t>IOS Aarav</t>
        </is>
      </c>
      <c r="E3126" s="16" t="n">
        <v>0</v>
      </c>
      <c r="F3126" s="16" t="n">
        <v>2523.81</v>
      </c>
      <c r="G3126" s="17" t="n">
        <v>30</v>
      </c>
      <c r="H3126" s="16" t="n">
        <v>-2523.81</v>
      </c>
      <c r="I3126" s="16" t="n">
        <v>0</v>
      </c>
    </row>
    <row r="3127">
      <c r="A3127" t="inlineStr">
        <is>
          <t>MTR-IOS-3125</t>
        </is>
      </c>
      <c r="B3127" t="inlineStr">
        <is>
          <t>Family Household</t>
        </is>
      </c>
      <c r="C3127" t="inlineStr">
        <is>
          <t>PERCENTAGE</t>
        </is>
      </c>
      <c r="D3127" t="inlineStr">
        <is>
          <t>IOS Meera</t>
        </is>
      </c>
      <c r="E3127" s="16" t="n">
        <v>0</v>
      </c>
      <c r="F3127" s="16" t="n">
        <v>1682.54</v>
      </c>
      <c r="G3127" s="17" t="n">
        <v>20</v>
      </c>
      <c r="H3127" s="16" t="n">
        <v>-1682.54</v>
      </c>
      <c r="I3127" s="16" t="n">
        <v>0</v>
      </c>
    </row>
    <row r="3128">
      <c r="A3128" t="inlineStr">
        <is>
          <t>MTR-IOS-3128</t>
        </is>
      </c>
      <c r="B3128" t="inlineStr">
        <is>
          <t>Custom Living</t>
        </is>
      </c>
      <c r="C3128" t="inlineStr">
        <is>
          <t>EXACT</t>
        </is>
      </c>
      <c r="D3128" t="inlineStr">
        <is>
          <t>IOS Owner</t>
        </is>
      </c>
      <c r="E3128" s="16" t="n">
        <v>0</v>
      </c>
      <c r="F3128" s="16" t="n">
        <v>3073.36</v>
      </c>
      <c r="G3128" s="17" t="n"/>
      <c r="H3128" s="16" t="n">
        <v>-3073.36</v>
      </c>
      <c r="I3128" s="16" t="n">
        <v>0</v>
      </c>
    </row>
    <row r="3129">
      <c r="A3129" t="inlineStr">
        <is>
          <t>MTR-IOS-3128</t>
        </is>
      </c>
      <c r="B3129" t="inlineStr">
        <is>
          <t>Custom Living</t>
        </is>
      </c>
      <c r="C3129" t="inlineStr">
        <is>
          <t>EXACT</t>
        </is>
      </c>
      <c r="D3129" t="inlineStr">
        <is>
          <t>IOS Aarav</t>
        </is>
      </c>
      <c r="E3129" s="16" t="n">
        <v>9229.32</v>
      </c>
      <c r="F3129" s="16" t="n">
        <v>3073.36</v>
      </c>
      <c r="G3129" s="17" t="n"/>
      <c r="H3129" s="16" t="n">
        <v>6155.96</v>
      </c>
      <c r="I3129" s="16" t="n">
        <v>0</v>
      </c>
    </row>
    <row r="3130">
      <c r="A3130" t="inlineStr">
        <is>
          <t>MTR-IOS-3128</t>
        </is>
      </c>
      <c r="B3130" t="inlineStr">
        <is>
          <t>Custom Living</t>
        </is>
      </c>
      <c r="C3130" t="inlineStr">
        <is>
          <t>EXACT</t>
        </is>
      </c>
      <c r="D3130" t="inlineStr">
        <is>
          <t>IOS Meera</t>
        </is>
      </c>
      <c r="E3130" s="16" t="n">
        <v>0</v>
      </c>
      <c r="F3130" s="16" t="n">
        <v>3082.6</v>
      </c>
      <c r="G3130" s="17" t="n"/>
      <c r="H3130" s="16" t="n">
        <v>-3082.6</v>
      </c>
      <c r="I3130" s="16" t="n">
        <v>0</v>
      </c>
    </row>
    <row r="3131">
      <c r="A3131" t="inlineStr">
        <is>
          <t>MTR-IOS-3131</t>
        </is>
      </c>
      <c r="B3131" t="inlineStr">
        <is>
          <t>Custom Living</t>
        </is>
      </c>
      <c r="C3131" t="inlineStr">
        <is>
          <t>SHARES</t>
        </is>
      </c>
      <c r="D3131" t="inlineStr">
        <is>
          <t>IOS Owner</t>
        </is>
      </c>
      <c r="E3131" s="16" t="n">
        <v>0</v>
      </c>
      <c r="F3131" s="16" t="n">
        <v>12163.91</v>
      </c>
      <c r="G3131" s="17" t="n"/>
      <c r="H3131" s="16" t="n">
        <v>-12163.91</v>
      </c>
      <c r="I3131" s="16" t="n">
        <v>0</v>
      </c>
    </row>
    <row r="3132">
      <c r="A3132" t="inlineStr">
        <is>
          <t>MTR-IOS-3131</t>
        </is>
      </c>
      <c r="B3132" t="inlineStr">
        <is>
          <t>Custom Living</t>
        </is>
      </c>
      <c r="C3132" t="inlineStr">
        <is>
          <t>SHARES</t>
        </is>
      </c>
      <c r="D3132" t="inlineStr">
        <is>
          <t>IOS Aarav</t>
        </is>
      </c>
      <c r="E3132" s="16" t="n">
        <v>0</v>
      </c>
      <c r="F3132" s="16" t="n">
        <v>8109.27</v>
      </c>
      <c r="G3132" s="17" t="n"/>
      <c r="H3132" s="16" t="n">
        <v>-8109.27</v>
      </c>
      <c r="I3132" s="16" t="n">
        <v>0</v>
      </c>
    </row>
    <row r="3133">
      <c r="A3133" t="inlineStr">
        <is>
          <t>MTR-IOS-3131</t>
        </is>
      </c>
      <c r="B3133" t="inlineStr">
        <is>
          <t>Custom Living</t>
        </is>
      </c>
      <c r="C3133" t="inlineStr">
        <is>
          <t>SHARES</t>
        </is>
      </c>
      <c r="D3133" t="inlineStr">
        <is>
          <t>IOS Meera</t>
        </is>
      </c>
      <c r="E3133" s="16" t="n">
        <v>24327.82</v>
      </c>
      <c r="F3133" s="16" t="n">
        <v>4054.64</v>
      </c>
      <c r="G3133" s="17" t="n"/>
      <c r="H3133" s="16" t="n">
        <v>20273.18</v>
      </c>
      <c r="I3133" s="16" t="n">
        <v>0</v>
      </c>
    </row>
    <row r="3134">
      <c r="A3134" t="inlineStr">
        <is>
          <t>MTR-IOS-3134</t>
        </is>
      </c>
      <c r="B3134" t="inlineStr">
        <is>
          <t>Trip</t>
        </is>
      </c>
      <c r="C3134" t="inlineStr">
        <is>
          <t>EQUAL</t>
        </is>
      </c>
      <c r="D3134" t="inlineStr">
        <is>
          <t>IOS Owner</t>
        </is>
      </c>
      <c r="E3134" s="16" t="n">
        <v>13916.29</v>
      </c>
      <c r="F3134" s="16" t="n">
        <v>4638.76</v>
      </c>
      <c r="G3134" s="17" t="n"/>
      <c r="H3134" s="16" t="n">
        <v>9277.530000000001</v>
      </c>
      <c r="I3134" s="16" t="n">
        <v>0</v>
      </c>
    </row>
    <row r="3135">
      <c r="A3135" t="inlineStr">
        <is>
          <t>MTR-IOS-3134</t>
        </is>
      </c>
      <c r="B3135" t="inlineStr">
        <is>
          <t>Trip</t>
        </is>
      </c>
      <c r="C3135" t="inlineStr">
        <is>
          <t>EQUAL</t>
        </is>
      </c>
      <c r="D3135" t="inlineStr">
        <is>
          <t>IOS Aarav</t>
        </is>
      </c>
      <c r="E3135" s="16" t="n">
        <v>0</v>
      </c>
      <c r="F3135" s="16" t="n">
        <v>4638.76</v>
      </c>
      <c r="G3135" s="17" t="n"/>
      <c r="H3135" s="16" t="n">
        <v>-4638.76</v>
      </c>
      <c r="I3135" s="16" t="n">
        <v>0</v>
      </c>
    </row>
    <row r="3136">
      <c r="A3136" t="inlineStr">
        <is>
          <t>MTR-IOS-3134</t>
        </is>
      </c>
      <c r="B3136" t="inlineStr">
        <is>
          <t>Trip</t>
        </is>
      </c>
      <c r="C3136" t="inlineStr">
        <is>
          <t>EQUAL</t>
        </is>
      </c>
      <c r="D3136" t="inlineStr">
        <is>
          <t>IOS Meera</t>
        </is>
      </c>
      <c r="E3136" s="16" t="n">
        <v>0</v>
      </c>
      <c r="F3136" s="16" t="n">
        <v>4638.77</v>
      </c>
      <c r="G3136" s="17" t="n"/>
      <c r="H3136" s="16" t="n">
        <v>-4638.77</v>
      </c>
      <c r="I3136" s="16" t="n">
        <v>0</v>
      </c>
    </row>
    <row r="3137">
      <c r="A3137" t="inlineStr">
        <is>
          <t>MTR-IOS-3137</t>
        </is>
      </c>
      <c r="B3137" t="inlineStr">
        <is>
          <t>Trip</t>
        </is>
      </c>
      <c r="C3137" t="inlineStr">
        <is>
          <t>PERCENTAGE</t>
        </is>
      </c>
      <c r="D3137" t="inlineStr">
        <is>
          <t>IOS Owner</t>
        </is>
      </c>
      <c r="E3137" s="16" t="n">
        <v>0</v>
      </c>
      <c r="F3137" s="16" t="n">
        <v>8829.9</v>
      </c>
      <c r="G3137" s="17" t="n">
        <v>50</v>
      </c>
      <c r="H3137" s="16" t="n">
        <v>-8829.9</v>
      </c>
      <c r="I3137" s="16" t="n">
        <v>0</v>
      </c>
    </row>
    <row r="3138">
      <c r="A3138" t="inlineStr">
        <is>
          <t>MTR-IOS-3137</t>
        </is>
      </c>
      <c r="B3138" t="inlineStr">
        <is>
          <t>Trip</t>
        </is>
      </c>
      <c r="C3138" t="inlineStr">
        <is>
          <t>PERCENTAGE</t>
        </is>
      </c>
      <c r="D3138" t="inlineStr">
        <is>
          <t>IOS Aarav</t>
        </is>
      </c>
      <c r="E3138" s="16" t="n">
        <v>17659.79</v>
      </c>
      <c r="F3138" s="16" t="n">
        <v>5297.94</v>
      </c>
      <c r="G3138" s="17" t="n">
        <v>30</v>
      </c>
      <c r="H3138" s="16" t="n">
        <v>12361.85</v>
      </c>
      <c r="I3138" s="16" t="n">
        <v>0</v>
      </c>
    </row>
    <row r="3139">
      <c r="A3139" t="inlineStr">
        <is>
          <t>MTR-IOS-3137</t>
        </is>
      </c>
      <c r="B3139" t="inlineStr">
        <is>
          <t>Trip</t>
        </is>
      </c>
      <c r="C3139" t="inlineStr">
        <is>
          <t>PERCENTAGE</t>
        </is>
      </c>
      <c r="D3139" t="inlineStr">
        <is>
          <t>IOS Meera</t>
        </is>
      </c>
      <c r="E3139" s="16" t="n">
        <v>0</v>
      </c>
      <c r="F3139" s="16" t="n">
        <v>3531.95</v>
      </c>
      <c r="G3139" s="17" t="n">
        <v>20</v>
      </c>
      <c r="H3139" s="16" t="n">
        <v>-3531.95</v>
      </c>
      <c r="I3139" s="16" t="n">
        <v>0</v>
      </c>
    </row>
    <row r="3140">
      <c r="A3140" t="inlineStr">
        <is>
          <t>MTR-IOS-3140</t>
        </is>
      </c>
      <c r="B3140" t="inlineStr">
        <is>
          <t>Trip</t>
        </is>
      </c>
      <c r="C3140" t="inlineStr">
        <is>
          <t>EXACT</t>
        </is>
      </c>
      <c r="D3140" t="inlineStr">
        <is>
          <t>IOS Owner</t>
        </is>
      </c>
      <c r="E3140" s="16" t="n">
        <v>0</v>
      </c>
      <c r="F3140" s="16" t="n">
        <v>6974.35</v>
      </c>
      <c r="G3140" s="17" t="n"/>
      <c r="H3140" s="16" t="n">
        <v>-6974.35</v>
      </c>
      <c r="I3140" s="16" t="n">
        <v>0</v>
      </c>
    </row>
    <row r="3141">
      <c r="A3141" t="inlineStr">
        <is>
          <t>MTR-IOS-3140</t>
        </is>
      </c>
      <c r="B3141" t="inlineStr">
        <is>
          <t>Trip</t>
        </is>
      </c>
      <c r="C3141" t="inlineStr">
        <is>
          <t>EXACT</t>
        </is>
      </c>
      <c r="D3141" t="inlineStr">
        <is>
          <t>IOS Aarav</t>
        </is>
      </c>
      <c r="E3141" s="16" t="n">
        <v>0</v>
      </c>
      <c r="F3141" s="16" t="n">
        <v>6974.35</v>
      </c>
      <c r="G3141" s="17" t="n"/>
      <c r="H3141" s="16" t="n">
        <v>-6974.35</v>
      </c>
      <c r="I3141" s="16" t="n">
        <v>0</v>
      </c>
    </row>
    <row r="3142">
      <c r="A3142" t="inlineStr">
        <is>
          <t>MTR-IOS-3140</t>
        </is>
      </c>
      <c r="B3142" t="inlineStr">
        <is>
          <t>Trip</t>
        </is>
      </c>
      <c r="C3142" t="inlineStr">
        <is>
          <t>EXACT</t>
        </is>
      </c>
      <c r="D3142" t="inlineStr">
        <is>
          <t>IOS Meera</t>
        </is>
      </c>
      <c r="E3142" s="16" t="n">
        <v>20944</v>
      </c>
      <c r="F3142" s="16" t="n">
        <v>6995.3</v>
      </c>
      <c r="G3142" s="17" t="n"/>
      <c r="H3142" s="16" t="n">
        <v>13948.7</v>
      </c>
      <c r="I3142" s="16" t="n">
        <v>0</v>
      </c>
    </row>
    <row r="3143">
      <c r="A3143" t="inlineStr">
        <is>
          <t>MTR-IOS-3143</t>
        </is>
      </c>
      <c r="B3143" t="inlineStr">
        <is>
          <t>Trip</t>
        </is>
      </c>
      <c r="C3143" t="inlineStr">
        <is>
          <t>SHARES</t>
        </is>
      </c>
      <c r="D3143" t="inlineStr">
        <is>
          <t>IOS Owner</t>
        </is>
      </c>
      <c r="E3143" s="16" t="n">
        <v>22009.06</v>
      </c>
      <c r="F3143" s="16" t="n">
        <v>11004.53</v>
      </c>
      <c r="G3143" s="17" t="n"/>
      <c r="H3143" s="16" t="n">
        <v>11004.53</v>
      </c>
      <c r="I3143" s="16" t="n">
        <v>0</v>
      </c>
    </row>
    <row r="3144">
      <c r="A3144" t="inlineStr">
        <is>
          <t>MTR-IOS-3143</t>
        </is>
      </c>
      <c r="B3144" t="inlineStr">
        <is>
          <t>Trip</t>
        </is>
      </c>
      <c r="C3144" t="inlineStr">
        <is>
          <t>SHARES</t>
        </is>
      </c>
      <c r="D3144" t="inlineStr">
        <is>
          <t>IOS Aarav</t>
        </is>
      </c>
      <c r="E3144" s="16" t="n">
        <v>0</v>
      </c>
      <c r="F3144" s="16" t="n">
        <v>7336.35</v>
      </c>
      <c r="G3144" s="17" t="n"/>
      <c r="H3144" s="16" t="n">
        <v>-7336.35</v>
      </c>
      <c r="I3144" s="16" t="n">
        <v>0</v>
      </c>
    </row>
    <row r="3145">
      <c r="A3145" t="inlineStr">
        <is>
          <t>MTR-IOS-3143</t>
        </is>
      </c>
      <c r="B3145" t="inlineStr">
        <is>
          <t>Trip</t>
        </is>
      </c>
      <c r="C3145" t="inlineStr">
        <is>
          <t>SHARES</t>
        </is>
      </c>
      <c r="D3145" t="inlineStr">
        <is>
          <t>IOS Meera</t>
        </is>
      </c>
      <c r="E3145" s="16" t="n">
        <v>0</v>
      </c>
      <c r="F3145" s="16" t="n">
        <v>3668.18</v>
      </c>
      <c r="G3145" s="17" t="n"/>
      <c r="H3145" s="16" t="n">
        <v>-3668.18</v>
      </c>
      <c r="I3145" s="16" t="n">
        <v>0</v>
      </c>
    </row>
    <row r="3146">
      <c r="A3146" t="inlineStr">
        <is>
          <t>MTR-IOS-3146</t>
        </is>
      </c>
      <c r="B3146" t="inlineStr">
        <is>
          <t>Trip</t>
        </is>
      </c>
      <c r="C3146" t="inlineStr">
        <is>
          <t>EQUAL</t>
        </is>
      </c>
      <c r="D3146" t="inlineStr">
        <is>
          <t>IOS Owner</t>
        </is>
      </c>
      <c r="E3146" s="16" t="n">
        <v>0</v>
      </c>
      <c r="F3146" s="16" t="n">
        <v>2548.19</v>
      </c>
      <c r="G3146" s="17" t="n"/>
      <c r="H3146" s="16" t="n">
        <v>-2548.19</v>
      </c>
      <c r="I3146" s="16" t="n">
        <v>0</v>
      </c>
    </row>
    <row r="3147">
      <c r="A3147" t="inlineStr">
        <is>
          <t>MTR-IOS-3146</t>
        </is>
      </c>
      <c r="B3147" t="inlineStr">
        <is>
          <t>Trip</t>
        </is>
      </c>
      <c r="C3147" t="inlineStr">
        <is>
          <t>EQUAL</t>
        </is>
      </c>
      <c r="D3147" t="inlineStr">
        <is>
          <t>IOS Aarav</t>
        </is>
      </c>
      <c r="E3147" s="16" t="n">
        <v>7644.58</v>
      </c>
      <c r="F3147" s="16" t="n">
        <v>2548.19</v>
      </c>
      <c r="G3147" s="17" t="n"/>
      <c r="H3147" s="16" t="n">
        <v>5096.39</v>
      </c>
      <c r="I3147" s="16" t="n">
        <v>0</v>
      </c>
    </row>
    <row r="3148">
      <c r="A3148" t="inlineStr">
        <is>
          <t>MTR-IOS-3146</t>
        </is>
      </c>
      <c r="B3148" t="inlineStr">
        <is>
          <t>Trip</t>
        </is>
      </c>
      <c r="C3148" t="inlineStr">
        <is>
          <t>EQUAL</t>
        </is>
      </c>
      <c r="D3148" t="inlineStr">
        <is>
          <t>IOS Meera</t>
        </is>
      </c>
      <c r="E3148" s="16" t="n">
        <v>0</v>
      </c>
      <c r="F3148" s="16" t="n">
        <v>2548.2</v>
      </c>
      <c r="G3148" s="17" t="n"/>
      <c r="H3148" s="16" t="n">
        <v>-2548.2</v>
      </c>
      <c r="I3148" s="16" t="n">
        <v>0</v>
      </c>
    </row>
    <row r="3149">
      <c r="A3149" t="inlineStr">
        <is>
          <t>MTR-IOS-3149</t>
        </is>
      </c>
      <c r="B3149" t="inlineStr">
        <is>
          <t>Trip</t>
        </is>
      </c>
      <c r="C3149" t="inlineStr">
        <is>
          <t>PERCENTAGE</t>
        </is>
      </c>
      <c r="D3149" t="inlineStr">
        <is>
          <t>IOS Owner</t>
        </is>
      </c>
      <c r="E3149" s="16" t="n">
        <v>0</v>
      </c>
      <c r="F3149" s="16" t="n">
        <v>8662.030000000001</v>
      </c>
      <c r="G3149" s="17" t="n">
        <v>50</v>
      </c>
      <c r="H3149" s="16" t="n">
        <v>-8662.030000000001</v>
      </c>
      <c r="I3149" s="16" t="n">
        <v>0</v>
      </c>
    </row>
    <row r="3150">
      <c r="A3150" t="inlineStr">
        <is>
          <t>MTR-IOS-3149</t>
        </is>
      </c>
      <c r="B3150" t="inlineStr">
        <is>
          <t>Trip</t>
        </is>
      </c>
      <c r="C3150" t="inlineStr">
        <is>
          <t>PERCENTAGE</t>
        </is>
      </c>
      <c r="D3150" t="inlineStr">
        <is>
          <t>IOS Aarav</t>
        </is>
      </c>
      <c r="E3150" s="16" t="n">
        <v>0</v>
      </c>
      <c r="F3150" s="16" t="n">
        <v>5197.22</v>
      </c>
      <c r="G3150" s="17" t="n">
        <v>30</v>
      </c>
      <c r="H3150" s="16" t="n">
        <v>-5197.22</v>
      </c>
      <c r="I3150" s="16" t="n">
        <v>0</v>
      </c>
    </row>
    <row r="3151">
      <c r="A3151" t="inlineStr">
        <is>
          <t>MTR-IOS-3149</t>
        </is>
      </c>
      <c r="B3151" t="inlineStr">
        <is>
          <t>Trip</t>
        </is>
      </c>
      <c r="C3151" t="inlineStr">
        <is>
          <t>PERCENTAGE</t>
        </is>
      </c>
      <c r="D3151" t="inlineStr">
        <is>
          <t>IOS Meera</t>
        </is>
      </c>
      <c r="E3151" s="16" t="n">
        <v>17324.05</v>
      </c>
      <c r="F3151" s="16" t="n">
        <v>3464.8</v>
      </c>
      <c r="G3151" s="17" t="n">
        <v>20</v>
      </c>
      <c r="H3151" s="16" t="n">
        <v>13859.25</v>
      </c>
      <c r="I3151" s="16" t="n">
        <v>0</v>
      </c>
    </row>
    <row r="3152">
      <c r="A3152" t="inlineStr">
        <is>
          <t>MTR-IOS-3152</t>
        </is>
      </c>
      <c r="B3152" t="inlineStr">
        <is>
          <t>Trip</t>
        </is>
      </c>
      <c r="C3152" t="inlineStr">
        <is>
          <t>EXACT</t>
        </is>
      </c>
      <c r="D3152" t="inlineStr">
        <is>
          <t>IOS Owner</t>
        </is>
      </c>
      <c r="E3152" s="16" t="n">
        <v>18992.33</v>
      </c>
      <c r="F3152" s="16" t="n">
        <v>6324.45</v>
      </c>
      <c r="G3152" s="17" t="n"/>
      <c r="H3152" s="16" t="n">
        <v>12667.88</v>
      </c>
      <c r="I3152" s="16" t="n">
        <v>0</v>
      </c>
    </row>
    <row r="3153">
      <c r="A3153" t="inlineStr">
        <is>
          <t>MTR-IOS-3152</t>
        </is>
      </c>
      <c r="B3153" t="inlineStr">
        <is>
          <t>Trip</t>
        </is>
      </c>
      <c r="C3153" t="inlineStr">
        <is>
          <t>EXACT</t>
        </is>
      </c>
      <c r="D3153" t="inlineStr">
        <is>
          <t>IOS Aarav</t>
        </is>
      </c>
      <c r="E3153" s="16" t="n">
        <v>0</v>
      </c>
      <c r="F3153" s="16" t="n">
        <v>6324.45</v>
      </c>
      <c r="G3153" s="17" t="n"/>
      <c r="H3153" s="16" t="n">
        <v>-6324.45</v>
      </c>
      <c r="I3153" s="16" t="n">
        <v>0</v>
      </c>
    </row>
    <row r="3154">
      <c r="A3154" t="inlineStr">
        <is>
          <t>MTR-IOS-3152</t>
        </is>
      </c>
      <c r="B3154" t="inlineStr">
        <is>
          <t>Trip</t>
        </is>
      </c>
      <c r="C3154" t="inlineStr">
        <is>
          <t>EXACT</t>
        </is>
      </c>
      <c r="D3154" t="inlineStr">
        <is>
          <t>IOS Meera</t>
        </is>
      </c>
      <c r="E3154" s="16" t="n">
        <v>0</v>
      </c>
      <c r="F3154" s="16" t="n">
        <v>6343.43</v>
      </c>
      <c r="G3154" s="17" t="n"/>
      <c r="H3154" s="16" t="n">
        <v>-6343.43</v>
      </c>
      <c r="I3154" s="16" t="n">
        <v>0</v>
      </c>
    </row>
    <row r="3155">
      <c r="A3155" t="inlineStr">
        <is>
          <t>MTR-IOS-3155</t>
        </is>
      </c>
      <c r="B3155" t="inlineStr">
        <is>
          <t>Wedding</t>
        </is>
      </c>
      <c r="C3155" t="inlineStr">
        <is>
          <t>SHARES</t>
        </is>
      </c>
      <c r="D3155" t="inlineStr">
        <is>
          <t>IOS Owner</t>
        </is>
      </c>
      <c r="E3155" s="16" t="n">
        <v>0</v>
      </c>
      <c r="F3155" s="16" t="n">
        <v>7893.22</v>
      </c>
      <c r="G3155" s="17" t="n"/>
      <c r="H3155" s="16" t="n">
        <v>-7893.22</v>
      </c>
      <c r="I3155" s="16" t="n">
        <v>0</v>
      </c>
    </row>
    <row r="3156">
      <c r="A3156" t="inlineStr">
        <is>
          <t>MTR-IOS-3155</t>
        </is>
      </c>
      <c r="B3156" t="inlineStr">
        <is>
          <t>Wedding</t>
        </is>
      </c>
      <c r="C3156" t="inlineStr">
        <is>
          <t>SHARES</t>
        </is>
      </c>
      <c r="D3156" t="inlineStr">
        <is>
          <t>IOS Aarav</t>
        </is>
      </c>
      <c r="E3156" s="16" t="n">
        <v>15786.43</v>
      </c>
      <c r="F3156" s="16" t="n">
        <v>5262.14</v>
      </c>
      <c r="G3156" s="17" t="n"/>
      <c r="H3156" s="16" t="n">
        <v>10524.29</v>
      </c>
      <c r="I3156" s="16" t="n">
        <v>0</v>
      </c>
    </row>
    <row r="3157">
      <c r="A3157" t="inlineStr">
        <is>
          <t>MTR-IOS-3155</t>
        </is>
      </c>
      <c r="B3157" t="inlineStr">
        <is>
          <t>Wedding</t>
        </is>
      </c>
      <c r="C3157" t="inlineStr">
        <is>
          <t>SHARES</t>
        </is>
      </c>
      <c r="D3157" t="inlineStr">
        <is>
          <t>IOS Meera</t>
        </is>
      </c>
      <c r="E3157" s="16" t="n">
        <v>0</v>
      </c>
      <c r="F3157" s="16" t="n">
        <v>2631.07</v>
      </c>
      <c r="G3157" s="17" t="n"/>
      <c r="H3157" s="16" t="n">
        <v>-2631.07</v>
      </c>
      <c r="I3157" s="16" t="n">
        <v>0</v>
      </c>
    </row>
    <row r="3158">
      <c r="A3158" t="inlineStr">
        <is>
          <t>MTR-IOS-3158</t>
        </is>
      </c>
      <c r="B3158" t="inlineStr">
        <is>
          <t>Wedding</t>
        </is>
      </c>
      <c r="C3158" t="inlineStr">
        <is>
          <t>EQUAL</t>
        </is>
      </c>
      <c r="D3158" t="inlineStr">
        <is>
          <t>IOS Owner</t>
        </is>
      </c>
      <c r="E3158" s="16" t="n">
        <v>0</v>
      </c>
      <c r="F3158" s="16" t="n">
        <v>8766.040000000001</v>
      </c>
      <c r="G3158" s="17" t="n"/>
      <c r="H3158" s="16" t="n">
        <v>-8766.040000000001</v>
      </c>
      <c r="I3158" s="16" t="n">
        <v>0</v>
      </c>
    </row>
    <row r="3159">
      <c r="A3159" t="inlineStr">
        <is>
          <t>MTR-IOS-3158</t>
        </is>
      </c>
      <c r="B3159" t="inlineStr">
        <is>
          <t>Wedding</t>
        </is>
      </c>
      <c r="C3159" t="inlineStr">
        <is>
          <t>EQUAL</t>
        </is>
      </c>
      <c r="D3159" t="inlineStr">
        <is>
          <t>IOS Aarav</t>
        </is>
      </c>
      <c r="E3159" s="16" t="n">
        <v>0</v>
      </c>
      <c r="F3159" s="16" t="n">
        <v>8766.040000000001</v>
      </c>
      <c r="G3159" s="17" t="n"/>
      <c r="H3159" s="16" t="n">
        <v>-8766.040000000001</v>
      </c>
      <c r="I3159" s="16" t="n">
        <v>0</v>
      </c>
    </row>
    <row r="3160">
      <c r="A3160" t="inlineStr">
        <is>
          <t>MTR-IOS-3158</t>
        </is>
      </c>
      <c r="B3160" t="inlineStr">
        <is>
          <t>Wedding</t>
        </is>
      </c>
      <c r="C3160" t="inlineStr">
        <is>
          <t>EQUAL</t>
        </is>
      </c>
      <c r="D3160" t="inlineStr">
        <is>
          <t>IOS Meera</t>
        </is>
      </c>
      <c r="E3160" s="16" t="n">
        <v>26298.11</v>
      </c>
      <c r="F3160" s="16" t="n">
        <v>8766.030000000001</v>
      </c>
      <c r="G3160" s="17" t="n"/>
      <c r="H3160" s="16" t="n">
        <v>17532.08</v>
      </c>
      <c r="I3160" s="16" t="n">
        <v>0</v>
      </c>
    </row>
    <row r="3161">
      <c r="A3161" t="inlineStr">
        <is>
          <t>MTR-IOS-3161</t>
        </is>
      </c>
      <c r="B3161" t="inlineStr">
        <is>
          <t>Wedding</t>
        </is>
      </c>
      <c r="C3161" t="inlineStr">
        <is>
          <t>PERCENTAGE</t>
        </is>
      </c>
      <c r="D3161" t="inlineStr">
        <is>
          <t>IOS Owner</t>
        </is>
      </c>
      <c r="E3161" s="16" t="n">
        <v>7155.03</v>
      </c>
      <c r="F3161" s="16" t="n">
        <v>3577.52</v>
      </c>
      <c r="G3161" s="17" t="n">
        <v>50</v>
      </c>
      <c r="H3161" s="16" t="n">
        <v>3577.51</v>
      </c>
      <c r="I3161" s="16" t="n">
        <v>0</v>
      </c>
    </row>
    <row r="3162">
      <c r="A3162" t="inlineStr">
        <is>
          <t>MTR-IOS-3161</t>
        </is>
      </c>
      <c r="B3162" t="inlineStr">
        <is>
          <t>Wedding</t>
        </is>
      </c>
      <c r="C3162" t="inlineStr">
        <is>
          <t>PERCENTAGE</t>
        </is>
      </c>
      <c r="D3162" t="inlineStr">
        <is>
          <t>IOS Aarav</t>
        </is>
      </c>
      <c r="E3162" s="16" t="n">
        <v>0</v>
      </c>
      <c r="F3162" s="16" t="n">
        <v>2146.51</v>
      </c>
      <c r="G3162" s="17" t="n">
        <v>30</v>
      </c>
      <c r="H3162" s="16" t="n">
        <v>-2146.51</v>
      </c>
      <c r="I3162" s="16" t="n">
        <v>0</v>
      </c>
    </row>
    <row r="3163">
      <c r="A3163" t="inlineStr">
        <is>
          <t>MTR-IOS-3161</t>
        </is>
      </c>
      <c r="B3163" t="inlineStr">
        <is>
          <t>Wedding</t>
        </is>
      </c>
      <c r="C3163" t="inlineStr">
        <is>
          <t>PERCENTAGE</t>
        </is>
      </c>
      <c r="D3163" t="inlineStr">
        <is>
          <t>IOS Meera</t>
        </is>
      </c>
      <c r="E3163" s="16" t="n">
        <v>0</v>
      </c>
      <c r="F3163" s="16" t="n">
        <v>1431</v>
      </c>
      <c r="G3163" s="17" t="n">
        <v>20</v>
      </c>
      <c r="H3163" s="16" t="n">
        <v>-1431</v>
      </c>
      <c r="I3163" s="16" t="n">
        <v>0</v>
      </c>
    </row>
    <row r="3164">
      <c r="A3164" t="inlineStr">
        <is>
          <t>MTR-IOS-3164</t>
        </is>
      </c>
      <c r="B3164" t="inlineStr">
        <is>
          <t>Wedding</t>
        </is>
      </c>
      <c r="C3164" t="inlineStr">
        <is>
          <t>EXACT</t>
        </is>
      </c>
      <c r="D3164" t="inlineStr">
        <is>
          <t>IOS Owner</t>
        </is>
      </c>
      <c r="E3164" s="16" t="n">
        <v>0</v>
      </c>
      <c r="F3164" s="16" t="n">
        <v>7488.76</v>
      </c>
      <c r="G3164" s="17" t="n"/>
      <c r="H3164" s="16" t="n">
        <v>-7488.76</v>
      </c>
      <c r="I3164" s="16" t="n">
        <v>0</v>
      </c>
    </row>
    <row r="3165">
      <c r="A3165" t="inlineStr">
        <is>
          <t>MTR-IOS-3164</t>
        </is>
      </c>
      <c r="B3165" t="inlineStr">
        <is>
          <t>Wedding</t>
        </is>
      </c>
      <c r="C3165" t="inlineStr">
        <is>
          <t>EXACT</t>
        </is>
      </c>
      <c r="D3165" t="inlineStr">
        <is>
          <t>IOS Aarav</t>
        </is>
      </c>
      <c r="E3165" s="16" t="n">
        <v>22488.78</v>
      </c>
      <c r="F3165" s="16" t="n">
        <v>7488.76</v>
      </c>
      <c r="G3165" s="17" t="n"/>
      <c r="H3165" s="16" t="n">
        <v>15000.02</v>
      </c>
      <c r="I3165" s="16" t="n">
        <v>0</v>
      </c>
    </row>
    <row r="3166">
      <c r="A3166" t="inlineStr">
        <is>
          <t>MTR-IOS-3164</t>
        </is>
      </c>
      <c r="B3166" t="inlineStr">
        <is>
          <t>Wedding</t>
        </is>
      </c>
      <c r="C3166" t="inlineStr">
        <is>
          <t>EXACT</t>
        </is>
      </c>
      <c r="D3166" t="inlineStr">
        <is>
          <t>IOS Meera</t>
        </is>
      </c>
      <c r="E3166" s="16" t="n">
        <v>0</v>
      </c>
      <c r="F3166" s="16" t="n">
        <v>7511.26</v>
      </c>
      <c r="G3166" s="17" t="n"/>
      <c r="H3166" s="16" t="n">
        <v>-7511.26</v>
      </c>
      <c r="I3166" s="16" t="n">
        <v>0</v>
      </c>
    </row>
    <row r="3167">
      <c r="A3167" t="inlineStr">
        <is>
          <t>MTR-IOS-3167</t>
        </is>
      </c>
      <c r="B3167" t="inlineStr">
        <is>
          <t>Wedding</t>
        </is>
      </c>
      <c r="C3167" t="inlineStr">
        <is>
          <t>SHARES</t>
        </is>
      </c>
      <c r="D3167" t="inlineStr">
        <is>
          <t>IOS Owner</t>
        </is>
      </c>
      <c r="E3167" s="16" t="n">
        <v>0</v>
      </c>
      <c r="F3167" s="16" t="n">
        <v>5808.78</v>
      </c>
      <c r="G3167" s="17" t="n"/>
      <c r="H3167" s="16" t="n">
        <v>-5808.78</v>
      </c>
      <c r="I3167" s="16" t="n">
        <v>0</v>
      </c>
    </row>
    <row r="3168">
      <c r="A3168" t="inlineStr">
        <is>
          <t>MTR-IOS-3167</t>
        </is>
      </c>
      <c r="B3168" t="inlineStr">
        <is>
          <t>Wedding</t>
        </is>
      </c>
      <c r="C3168" t="inlineStr">
        <is>
          <t>SHARES</t>
        </is>
      </c>
      <c r="D3168" t="inlineStr">
        <is>
          <t>IOS Aarav</t>
        </is>
      </c>
      <c r="E3168" s="16" t="n">
        <v>0</v>
      </c>
      <c r="F3168" s="16" t="n">
        <v>3872.52</v>
      </c>
      <c r="G3168" s="17" t="n"/>
      <c r="H3168" s="16" t="n">
        <v>-3872.52</v>
      </c>
      <c r="I3168" s="16" t="n">
        <v>0</v>
      </c>
    </row>
    <row r="3169">
      <c r="A3169" t="inlineStr">
        <is>
          <t>MTR-IOS-3167</t>
        </is>
      </c>
      <c r="B3169" t="inlineStr">
        <is>
          <t>Wedding</t>
        </is>
      </c>
      <c r="C3169" t="inlineStr">
        <is>
          <t>SHARES</t>
        </is>
      </c>
      <c r="D3169" t="inlineStr">
        <is>
          <t>IOS Meera</t>
        </is>
      </c>
      <c r="E3169" s="16" t="n">
        <v>11617.56</v>
      </c>
      <c r="F3169" s="16" t="n">
        <v>1936.26</v>
      </c>
      <c r="G3169" s="17" t="n"/>
      <c r="H3169" s="16" t="n">
        <v>9681.299999999999</v>
      </c>
      <c r="I3169" s="16" t="n">
        <v>0</v>
      </c>
    </row>
    <row r="3170">
      <c r="A3170" t="inlineStr">
        <is>
          <t>MTR-IOS-3170</t>
        </is>
      </c>
      <c r="B3170" t="inlineStr">
        <is>
          <t>Wedding</t>
        </is>
      </c>
      <c r="C3170" t="inlineStr">
        <is>
          <t>EQUAL</t>
        </is>
      </c>
      <c r="D3170" t="inlineStr">
        <is>
          <t>IOS Owner</t>
        </is>
      </c>
      <c r="E3170" s="16" t="n">
        <v>296.62</v>
      </c>
      <c r="F3170" s="16" t="n">
        <v>98.87</v>
      </c>
      <c r="G3170" s="17" t="n"/>
      <c r="H3170" s="16" t="n">
        <v>197.75</v>
      </c>
      <c r="I3170" s="16" t="n">
        <v>0</v>
      </c>
    </row>
    <row r="3171">
      <c r="A3171" t="inlineStr">
        <is>
          <t>MTR-IOS-3170</t>
        </is>
      </c>
      <c r="B3171" t="inlineStr">
        <is>
          <t>Wedding</t>
        </is>
      </c>
      <c r="C3171" t="inlineStr">
        <is>
          <t>EQUAL</t>
        </is>
      </c>
      <c r="D3171" t="inlineStr">
        <is>
          <t>IOS Aarav</t>
        </is>
      </c>
      <c r="E3171" s="16" t="n">
        <v>0</v>
      </c>
      <c r="F3171" s="16" t="n">
        <v>98.87</v>
      </c>
      <c r="G3171" s="17" t="n"/>
      <c r="H3171" s="16" t="n">
        <v>-98.87</v>
      </c>
      <c r="I3171" s="16" t="n">
        <v>0</v>
      </c>
    </row>
    <row r="3172">
      <c r="A3172" t="inlineStr">
        <is>
          <t>MTR-IOS-3170</t>
        </is>
      </c>
      <c r="B3172" t="inlineStr">
        <is>
          <t>Wedding</t>
        </is>
      </c>
      <c r="C3172" t="inlineStr">
        <is>
          <t>EQUAL</t>
        </is>
      </c>
      <c r="D3172" t="inlineStr">
        <is>
          <t>IOS Meera</t>
        </is>
      </c>
      <c r="E3172" s="16" t="n">
        <v>0</v>
      </c>
      <c r="F3172" s="16" t="n">
        <v>98.88</v>
      </c>
      <c r="G3172" s="17" t="n"/>
      <c r="H3172" s="16" t="n">
        <v>-98.88</v>
      </c>
      <c r="I3172" s="16" t="n">
        <v>0</v>
      </c>
    </row>
    <row r="3173">
      <c r="A3173" t="inlineStr">
        <is>
          <t>MTR-IOS-3173</t>
        </is>
      </c>
      <c r="B3173" t="inlineStr">
        <is>
          <t>Wedding</t>
        </is>
      </c>
      <c r="C3173" t="inlineStr">
        <is>
          <t>PERCENTAGE</t>
        </is>
      </c>
      <c r="D3173" t="inlineStr">
        <is>
          <t>IOS Owner</t>
        </is>
      </c>
      <c r="E3173" s="16" t="n">
        <v>0</v>
      </c>
      <c r="F3173" s="16" t="n">
        <v>9132.389999999999</v>
      </c>
      <c r="G3173" s="17" t="n">
        <v>50</v>
      </c>
      <c r="H3173" s="16" t="n">
        <v>-9132.389999999999</v>
      </c>
      <c r="I3173" s="16" t="n">
        <v>0</v>
      </c>
    </row>
    <row r="3174">
      <c r="A3174" t="inlineStr">
        <is>
          <t>MTR-IOS-3173</t>
        </is>
      </c>
      <c r="B3174" t="inlineStr">
        <is>
          <t>Wedding</t>
        </is>
      </c>
      <c r="C3174" t="inlineStr">
        <is>
          <t>PERCENTAGE</t>
        </is>
      </c>
      <c r="D3174" t="inlineStr">
        <is>
          <t>IOS Aarav</t>
        </is>
      </c>
      <c r="E3174" s="16" t="n">
        <v>18264.78</v>
      </c>
      <c r="F3174" s="16" t="n">
        <v>5479.43</v>
      </c>
      <c r="G3174" s="17" t="n">
        <v>30</v>
      </c>
      <c r="H3174" s="16" t="n">
        <v>12785.35</v>
      </c>
      <c r="I3174" s="16" t="n">
        <v>0</v>
      </c>
    </row>
    <row r="3175">
      <c r="A3175" t="inlineStr">
        <is>
          <t>MTR-IOS-3173</t>
        </is>
      </c>
      <c r="B3175" t="inlineStr">
        <is>
          <t>Wedding</t>
        </is>
      </c>
      <c r="C3175" t="inlineStr">
        <is>
          <t>PERCENTAGE</t>
        </is>
      </c>
      <c r="D3175" t="inlineStr">
        <is>
          <t>IOS Meera</t>
        </is>
      </c>
      <c r="E3175" s="16" t="n">
        <v>0</v>
      </c>
      <c r="F3175" s="16" t="n">
        <v>3652.96</v>
      </c>
      <c r="G3175" s="17" t="n">
        <v>20</v>
      </c>
      <c r="H3175" s="16" t="n">
        <v>-3652.96</v>
      </c>
      <c r="I3175" s="16" t="n">
        <v>0</v>
      </c>
    </row>
    <row r="3176">
      <c r="A3176" t="inlineStr">
        <is>
          <t>MTR-IOS-3176</t>
        </is>
      </c>
      <c r="B3176" t="inlineStr">
        <is>
          <t>Office Outing</t>
        </is>
      </c>
      <c r="C3176" t="inlineStr">
        <is>
          <t>EXACT</t>
        </is>
      </c>
      <c r="D3176" t="inlineStr">
        <is>
          <t>IOS Owner</t>
        </is>
      </c>
      <c r="E3176" s="16" t="n">
        <v>0</v>
      </c>
      <c r="F3176" s="16" t="n">
        <v>7040.17</v>
      </c>
      <c r="G3176" s="17" t="n"/>
      <c r="H3176" s="16" t="n">
        <v>-7040.17</v>
      </c>
      <c r="I3176" s="16" t="n">
        <v>0</v>
      </c>
    </row>
    <row r="3177">
      <c r="A3177" t="inlineStr">
        <is>
          <t>MTR-IOS-3176</t>
        </is>
      </c>
      <c r="B3177" t="inlineStr">
        <is>
          <t>Office Outing</t>
        </is>
      </c>
      <c r="C3177" t="inlineStr">
        <is>
          <t>EXACT</t>
        </is>
      </c>
      <c r="D3177" t="inlineStr">
        <is>
          <t>IOS Aarav</t>
        </is>
      </c>
      <c r="E3177" s="16" t="n">
        <v>0</v>
      </c>
      <c r="F3177" s="16" t="n">
        <v>7040.17</v>
      </c>
      <c r="G3177" s="17" t="n"/>
      <c r="H3177" s="16" t="n">
        <v>-7040.17</v>
      </c>
      <c r="I3177" s="16" t="n">
        <v>0</v>
      </c>
    </row>
    <row r="3178">
      <c r="A3178" t="inlineStr">
        <is>
          <t>MTR-IOS-3176</t>
        </is>
      </c>
      <c r="B3178" t="inlineStr">
        <is>
          <t>Office Outing</t>
        </is>
      </c>
      <c r="C3178" t="inlineStr">
        <is>
          <t>EXACT</t>
        </is>
      </c>
      <c r="D3178" t="inlineStr">
        <is>
          <t>IOS Meera</t>
        </is>
      </c>
      <c r="E3178" s="16" t="n">
        <v>21141.64</v>
      </c>
      <c r="F3178" s="16" t="n">
        <v>7061.3</v>
      </c>
      <c r="G3178" s="17" t="n"/>
      <c r="H3178" s="16" t="n">
        <v>14080.34</v>
      </c>
      <c r="I3178" s="16" t="n">
        <v>0</v>
      </c>
    </row>
    <row r="3179">
      <c r="A3179" t="inlineStr">
        <is>
          <t>MTR-IOS-3179</t>
        </is>
      </c>
      <c r="B3179" t="inlineStr">
        <is>
          <t>Office Outing</t>
        </is>
      </c>
      <c r="C3179" t="inlineStr">
        <is>
          <t>SHARES</t>
        </is>
      </c>
      <c r="D3179" t="inlineStr">
        <is>
          <t>IOS Owner</t>
        </is>
      </c>
      <c r="E3179" s="16" t="n">
        <v>13956.68</v>
      </c>
      <c r="F3179" s="16" t="n">
        <v>6978.34</v>
      </c>
      <c r="G3179" s="17" t="n"/>
      <c r="H3179" s="16" t="n">
        <v>6978.34</v>
      </c>
      <c r="I3179" s="16" t="n">
        <v>0</v>
      </c>
    </row>
    <row r="3180">
      <c r="A3180" t="inlineStr">
        <is>
          <t>MTR-IOS-3179</t>
        </is>
      </c>
      <c r="B3180" t="inlineStr">
        <is>
          <t>Office Outing</t>
        </is>
      </c>
      <c r="C3180" t="inlineStr">
        <is>
          <t>SHARES</t>
        </is>
      </c>
      <c r="D3180" t="inlineStr">
        <is>
          <t>IOS Aarav</t>
        </is>
      </c>
      <c r="E3180" s="16" t="n">
        <v>0</v>
      </c>
      <c r="F3180" s="16" t="n">
        <v>4652.23</v>
      </c>
      <c r="G3180" s="17" t="n"/>
      <c r="H3180" s="16" t="n">
        <v>-4652.23</v>
      </c>
      <c r="I3180" s="16" t="n">
        <v>0</v>
      </c>
    </row>
    <row r="3181">
      <c r="A3181" t="inlineStr">
        <is>
          <t>MTR-IOS-3179</t>
        </is>
      </c>
      <c r="B3181" t="inlineStr">
        <is>
          <t>Office Outing</t>
        </is>
      </c>
      <c r="C3181" t="inlineStr">
        <is>
          <t>SHARES</t>
        </is>
      </c>
      <c r="D3181" t="inlineStr">
        <is>
          <t>IOS Meera</t>
        </is>
      </c>
      <c r="E3181" s="16" t="n">
        <v>0</v>
      </c>
      <c r="F3181" s="16" t="n">
        <v>2326.11</v>
      </c>
      <c r="G3181" s="17" t="n"/>
      <c r="H3181" s="16" t="n">
        <v>-2326.11</v>
      </c>
      <c r="I3181" s="16" t="n">
        <v>0</v>
      </c>
    </row>
    <row r="3182">
      <c r="A3182" t="inlineStr">
        <is>
          <t>MTR-IOS-3182</t>
        </is>
      </c>
      <c r="B3182" t="inlineStr">
        <is>
          <t>Office Outing</t>
        </is>
      </c>
      <c r="C3182" t="inlineStr">
        <is>
          <t>EQUAL</t>
        </is>
      </c>
      <c r="D3182" t="inlineStr">
        <is>
          <t>IOS Owner</t>
        </is>
      </c>
      <c r="E3182" s="16" t="n">
        <v>0</v>
      </c>
      <c r="F3182" s="16" t="n">
        <v>33.33</v>
      </c>
      <c r="G3182" s="17" t="n"/>
      <c r="H3182" s="16" t="n">
        <v>-33.33</v>
      </c>
      <c r="I3182" s="16" t="n">
        <v>0</v>
      </c>
    </row>
    <row r="3183">
      <c r="A3183" t="inlineStr">
        <is>
          <t>MTR-IOS-3182</t>
        </is>
      </c>
      <c r="B3183" t="inlineStr">
        <is>
          <t>Office Outing</t>
        </is>
      </c>
      <c r="C3183" t="inlineStr">
        <is>
          <t>EQUAL</t>
        </is>
      </c>
      <c r="D3183" t="inlineStr">
        <is>
          <t>IOS Aarav</t>
        </is>
      </c>
      <c r="E3183" s="16" t="n">
        <v>99.98999999999999</v>
      </c>
      <c r="F3183" s="16" t="n">
        <v>33.33</v>
      </c>
      <c r="G3183" s="17" t="n"/>
      <c r="H3183" s="16" t="n">
        <v>66.66</v>
      </c>
      <c r="I3183" s="16" t="n">
        <v>0</v>
      </c>
    </row>
    <row r="3184">
      <c r="A3184" t="inlineStr">
        <is>
          <t>MTR-IOS-3182</t>
        </is>
      </c>
      <c r="B3184" t="inlineStr">
        <is>
          <t>Office Outing</t>
        </is>
      </c>
      <c r="C3184" t="inlineStr">
        <is>
          <t>EQUAL</t>
        </is>
      </c>
      <c r="D3184" t="inlineStr">
        <is>
          <t>IOS Meera</t>
        </is>
      </c>
      <c r="E3184" s="16" t="n">
        <v>0</v>
      </c>
      <c r="F3184" s="16" t="n">
        <v>33.33</v>
      </c>
      <c r="G3184" s="17" t="n"/>
      <c r="H3184" s="16" t="n">
        <v>-33.33</v>
      </c>
      <c r="I3184" s="16" t="n">
        <v>0</v>
      </c>
    </row>
    <row r="3185">
      <c r="A3185" t="inlineStr">
        <is>
          <t>MTR-IOS-3185</t>
        </is>
      </c>
      <c r="B3185" t="inlineStr">
        <is>
          <t>Office Outing</t>
        </is>
      </c>
      <c r="C3185" t="inlineStr">
        <is>
          <t>PERCENTAGE</t>
        </is>
      </c>
      <c r="D3185" t="inlineStr">
        <is>
          <t>IOS Owner</t>
        </is>
      </c>
      <c r="E3185" s="16" t="n">
        <v>0</v>
      </c>
      <c r="F3185" s="16" t="n">
        <v>951.66</v>
      </c>
      <c r="G3185" s="17" t="n">
        <v>50</v>
      </c>
      <c r="H3185" s="16" t="n">
        <v>-951.66</v>
      </c>
      <c r="I3185" s="16" t="n">
        <v>0</v>
      </c>
    </row>
    <row r="3186">
      <c r="A3186" t="inlineStr">
        <is>
          <t>MTR-IOS-3185</t>
        </is>
      </c>
      <c r="B3186" t="inlineStr">
        <is>
          <t>Office Outing</t>
        </is>
      </c>
      <c r="C3186" t="inlineStr">
        <is>
          <t>PERCENTAGE</t>
        </is>
      </c>
      <c r="D3186" t="inlineStr">
        <is>
          <t>IOS Aarav</t>
        </is>
      </c>
      <c r="E3186" s="16" t="n">
        <v>0</v>
      </c>
      <c r="F3186" s="16" t="n">
        <v>570.99</v>
      </c>
      <c r="G3186" s="17" t="n">
        <v>30</v>
      </c>
      <c r="H3186" s="16" t="n">
        <v>-570.99</v>
      </c>
      <c r="I3186" s="16" t="n">
        <v>0</v>
      </c>
    </row>
    <row r="3187">
      <c r="A3187" t="inlineStr">
        <is>
          <t>MTR-IOS-3185</t>
        </is>
      </c>
      <c r="B3187" t="inlineStr">
        <is>
          <t>Office Outing</t>
        </is>
      </c>
      <c r="C3187" t="inlineStr">
        <is>
          <t>PERCENTAGE</t>
        </is>
      </c>
      <c r="D3187" t="inlineStr">
        <is>
          <t>IOS Meera</t>
        </is>
      </c>
      <c r="E3187" s="16" t="n">
        <v>1903.31</v>
      </c>
      <c r="F3187" s="16" t="n">
        <v>380.66</v>
      </c>
      <c r="G3187" s="17" t="n">
        <v>20</v>
      </c>
      <c r="H3187" s="16" t="n">
        <v>1522.65</v>
      </c>
      <c r="I3187" s="16" t="n">
        <v>0</v>
      </c>
    </row>
    <row r="3188">
      <c r="A3188" t="inlineStr">
        <is>
          <t>MTR-IOS-3188</t>
        </is>
      </c>
      <c r="B3188" t="inlineStr">
        <is>
          <t>Office Outing</t>
        </is>
      </c>
      <c r="C3188" t="inlineStr">
        <is>
          <t>EXACT</t>
        </is>
      </c>
      <c r="D3188" t="inlineStr">
        <is>
          <t>IOS Owner</t>
        </is>
      </c>
      <c r="E3188" s="16" t="n">
        <v>11598.29</v>
      </c>
      <c r="F3188" s="16" t="n">
        <v>3862.23</v>
      </c>
      <c r="G3188" s="17" t="n"/>
      <c r="H3188" s="16" t="n">
        <v>7736.06</v>
      </c>
      <c r="I3188" s="16" t="n">
        <v>0</v>
      </c>
    </row>
    <row r="3189">
      <c r="A3189" t="inlineStr">
        <is>
          <t>MTR-IOS-3188</t>
        </is>
      </c>
      <c r="B3189" t="inlineStr">
        <is>
          <t>Office Outing</t>
        </is>
      </c>
      <c r="C3189" t="inlineStr">
        <is>
          <t>EXACT</t>
        </is>
      </c>
      <c r="D3189" t="inlineStr">
        <is>
          <t>IOS Aarav</t>
        </is>
      </c>
      <c r="E3189" s="16" t="n">
        <v>0</v>
      </c>
      <c r="F3189" s="16" t="n">
        <v>3862.23</v>
      </c>
      <c r="G3189" s="17" t="n"/>
      <c r="H3189" s="16" t="n">
        <v>-3862.23</v>
      </c>
      <c r="I3189" s="16" t="n">
        <v>0</v>
      </c>
    </row>
    <row r="3190">
      <c r="A3190" t="inlineStr">
        <is>
          <t>MTR-IOS-3188</t>
        </is>
      </c>
      <c r="B3190" t="inlineStr">
        <is>
          <t>Office Outing</t>
        </is>
      </c>
      <c r="C3190" t="inlineStr">
        <is>
          <t>EXACT</t>
        </is>
      </c>
      <c r="D3190" t="inlineStr">
        <is>
          <t>IOS Meera</t>
        </is>
      </c>
      <c r="E3190" s="16" t="n">
        <v>0</v>
      </c>
      <c r="F3190" s="16" t="n">
        <v>3873.83</v>
      </c>
      <c r="G3190" s="17" t="n"/>
      <c r="H3190" s="16" t="n">
        <v>-3873.83</v>
      </c>
      <c r="I3190" s="16" t="n">
        <v>0</v>
      </c>
    </row>
    <row r="3191">
      <c r="A3191" t="inlineStr">
        <is>
          <t>MTR-IOS-3191</t>
        </is>
      </c>
      <c r="B3191" t="inlineStr">
        <is>
          <t>House Party</t>
        </is>
      </c>
      <c r="C3191" t="inlineStr">
        <is>
          <t>SHARES</t>
        </is>
      </c>
      <c r="D3191" t="inlineStr">
        <is>
          <t>IOS Owner</t>
        </is>
      </c>
      <c r="E3191" s="16" t="n">
        <v>0</v>
      </c>
      <c r="F3191" s="16" t="n">
        <v>9463.879999999999</v>
      </c>
      <c r="G3191" s="17" t="n"/>
      <c r="H3191" s="16" t="n">
        <v>-9463.879999999999</v>
      </c>
      <c r="I3191" s="16" t="n">
        <v>0</v>
      </c>
    </row>
    <row r="3192">
      <c r="A3192" t="inlineStr">
        <is>
          <t>MTR-IOS-3191</t>
        </is>
      </c>
      <c r="B3192" t="inlineStr">
        <is>
          <t>House Party</t>
        </is>
      </c>
      <c r="C3192" t="inlineStr">
        <is>
          <t>SHARES</t>
        </is>
      </c>
      <c r="D3192" t="inlineStr">
        <is>
          <t>IOS Aarav</t>
        </is>
      </c>
      <c r="E3192" s="16" t="n">
        <v>18927.75</v>
      </c>
      <c r="F3192" s="16" t="n">
        <v>6309.25</v>
      </c>
      <c r="G3192" s="17" t="n"/>
      <c r="H3192" s="16" t="n">
        <v>12618.5</v>
      </c>
      <c r="I3192" s="16" t="n">
        <v>0</v>
      </c>
    </row>
    <row r="3193">
      <c r="A3193" t="inlineStr">
        <is>
          <t>MTR-IOS-3191</t>
        </is>
      </c>
      <c r="B3193" t="inlineStr">
        <is>
          <t>House Party</t>
        </is>
      </c>
      <c r="C3193" t="inlineStr">
        <is>
          <t>SHARES</t>
        </is>
      </c>
      <c r="D3193" t="inlineStr">
        <is>
          <t>IOS Meera</t>
        </is>
      </c>
      <c r="E3193" s="16" t="n">
        <v>0</v>
      </c>
      <c r="F3193" s="16" t="n">
        <v>3154.62</v>
      </c>
      <c r="G3193" s="17" t="n"/>
      <c r="H3193" s="16" t="n">
        <v>-3154.62</v>
      </c>
      <c r="I3193" s="16" t="n">
        <v>0</v>
      </c>
    </row>
    <row r="3194">
      <c r="A3194" t="inlineStr">
        <is>
          <t>MTR-IOS-3194</t>
        </is>
      </c>
      <c r="B3194" t="inlineStr">
        <is>
          <t>House Party</t>
        </is>
      </c>
      <c r="C3194" t="inlineStr">
        <is>
          <t>EQUAL</t>
        </is>
      </c>
      <c r="D3194" t="inlineStr">
        <is>
          <t>IOS Owner</t>
        </is>
      </c>
      <c r="E3194" s="16" t="n">
        <v>0</v>
      </c>
      <c r="F3194" s="16" t="n">
        <v>3491.29</v>
      </c>
      <c r="G3194" s="17" t="n"/>
      <c r="H3194" s="16" t="n">
        <v>-3491.29</v>
      </c>
      <c r="I3194" s="16" t="n">
        <v>0</v>
      </c>
    </row>
    <row r="3195">
      <c r="A3195" t="inlineStr">
        <is>
          <t>MTR-IOS-3194</t>
        </is>
      </c>
      <c r="B3195" t="inlineStr">
        <is>
          <t>House Party</t>
        </is>
      </c>
      <c r="C3195" t="inlineStr">
        <is>
          <t>EQUAL</t>
        </is>
      </c>
      <c r="D3195" t="inlineStr">
        <is>
          <t>IOS Aarav</t>
        </is>
      </c>
      <c r="E3195" s="16" t="n">
        <v>0</v>
      </c>
      <c r="F3195" s="16" t="n">
        <v>3491.29</v>
      </c>
      <c r="G3195" s="17" t="n"/>
      <c r="H3195" s="16" t="n">
        <v>-3491.29</v>
      </c>
      <c r="I3195" s="16" t="n">
        <v>0</v>
      </c>
    </row>
    <row r="3196">
      <c r="A3196" t="inlineStr">
        <is>
          <t>MTR-IOS-3194</t>
        </is>
      </c>
      <c r="B3196" t="inlineStr">
        <is>
          <t>House Party</t>
        </is>
      </c>
      <c r="C3196" t="inlineStr">
        <is>
          <t>EQUAL</t>
        </is>
      </c>
      <c r="D3196" t="inlineStr">
        <is>
          <t>IOS Meera</t>
        </is>
      </c>
      <c r="E3196" s="16" t="n">
        <v>10473.87</v>
      </c>
      <c r="F3196" s="16" t="n">
        <v>3491.29</v>
      </c>
      <c r="G3196" s="17" t="n"/>
      <c r="H3196" s="16" t="n">
        <v>6982.58</v>
      </c>
      <c r="I3196" s="16" t="n">
        <v>0</v>
      </c>
    </row>
    <row r="3197">
      <c r="A3197" t="inlineStr">
        <is>
          <t>MTR-IOS-3197</t>
        </is>
      </c>
      <c r="B3197" t="inlineStr">
        <is>
          <t>House Party</t>
        </is>
      </c>
      <c r="C3197" t="inlineStr">
        <is>
          <t>PERCENTAGE</t>
        </is>
      </c>
      <c r="D3197" t="inlineStr">
        <is>
          <t>IOS Owner</t>
        </is>
      </c>
      <c r="E3197" s="16" t="n">
        <v>20535.35</v>
      </c>
      <c r="F3197" s="16" t="n">
        <v>10267.68</v>
      </c>
      <c r="G3197" s="17" t="n">
        <v>50</v>
      </c>
      <c r="H3197" s="16" t="n">
        <v>10267.67</v>
      </c>
      <c r="I3197" s="16" t="n">
        <v>0</v>
      </c>
    </row>
    <row r="3198">
      <c r="A3198" t="inlineStr">
        <is>
          <t>MTR-IOS-3197</t>
        </is>
      </c>
      <c r="B3198" t="inlineStr">
        <is>
          <t>House Party</t>
        </is>
      </c>
      <c r="C3198" t="inlineStr">
        <is>
          <t>PERCENTAGE</t>
        </is>
      </c>
      <c r="D3198" t="inlineStr">
        <is>
          <t>IOS Aarav</t>
        </is>
      </c>
      <c r="E3198" s="16" t="n">
        <v>0</v>
      </c>
      <c r="F3198" s="16" t="n">
        <v>6160.61</v>
      </c>
      <c r="G3198" s="17" t="n">
        <v>30</v>
      </c>
      <c r="H3198" s="16" t="n">
        <v>-6160.61</v>
      </c>
      <c r="I3198" s="16" t="n">
        <v>0</v>
      </c>
    </row>
    <row r="3199">
      <c r="A3199" t="inlineStr">
        <is>
          <t>MTR-IOS-3197</t>
        </is>
      </c>
      <c r="B3199" t="inlineStr">
        <is>
          <t>House Party</t>
        </is>
      </c>
      <c r="C3199" t="inlineStr">
        <is>
          <t>PERCENTAGE</t>
        </is>
      </c>
      <c r="D3199" t="inlineStr">
        <is>
          <t>IOS Meera</t>
        </is>
      </c>
      <c r="E3199" s="16" t="n">
        <v>0</v>
      </c>
      <c r="F3199" s="16" t="n">
        <v>4107.06</v>
      </c>
      <c r="G3199" s="17" t="n">
        <v>20</v>
      </c>
      <c r="H3199" s="16" t="n">
        <v>-4107.06</v>
      </c>
      <c r="I3199" s="16" t="n">
        <v>0</v>
      </c>
    </row>
    <row r="3200">
      <c r="A3200" t="inlineStr">
        <is>
          <t>MTR-IOS-3200</t>
        </is>
      </c>
      <c r="B3200" t="inlineStr">
        <is>
          <t>House Party</t>
        </is>
      </c>
      <c r="C3200" t="inlineStr">
        <is>
          <t>EXACT</t>
        </is>
      </c>
      <c r="D3200" t="inlineStr">
        <is>
          <t>IOS Owner</t>
        </is>
      </c>
      <c r="E3200" s="16" t="n">
        <v>0</v>
      </c>
      <c r="F3200" s="16" t="n">
        <v>8097.72</v>
      </c>
      <c r="G3200" s="17" t="n"/>
      <c r="H3200" s="16" t="n">
        <v>-8097.72</v>
      </c>
      <c r="I3200" s="16" t="n">
        <v>0</v>
      </c>
    </row>
    <row r="3201">
      <c r="A3201" t="inlineStr">
        <is>
          <t>MTR-IOS-3200</t>
        </is>
      </c>
      <c r="B3201" t="inlineStr">
        <is>
          <t>House Party</t>
        </is>
      </c>
      <c r="C3201" t="inlineStr">
        <is>
          <t>EXACT</t>
        </is>
      </c>
      <c r="D3201" t="inlineStr">
        <is>
          <t>IOS Aarav</t>
        </is>
      </c>
      <c r="E3201" s="16" t="n">
        <v>24317.49</v>
      </c>
      <c r="F3201" s="16" t="n">
        <v>8097.72</v>
      </c>
      <c r="G3201" s="17" t="n"/>
      <c r="H3201" s="16" t="n">
        <v>16219.77</v>
      </c>
      <c r="I3201" s="16" t="n">
        <v>0</v>
      </c>
    </row>
    <row r="3202">
      <c r="A3202" t="inlineStr">
        <is>
          <t>MTR-IOS-3200</t>
        </is>
      </c>
      <c r="B3202" t="inlineStr">
        <is>
          <t>House Party</t>
        </is>
      </c>
      <c r="C3202" t="inlineStr">
        <is>
          <t>EXACT</t>
        </is>
      </c>
      <c r="D3202" t="inlineStr">
        <is>
          <t>IOS Meera</t>
        </is>
      </c>
      <c r="E3202" s="16" t="n">
        <v>0</v>
      </c>
      <c r="F3202" s="16" t="n">
        <v>8122.05</v>
      </c>
      <c r="G3202" s="17" t="n"/>
      <c r="H3202" s="16" t="n">
        <v>-8122.05</v>
      </c>
      <c r="I3202" s="16" t="n">
        <v>0</v>
      </c>
    </row>
    <row r="3203">
      <c r="A3203" t="inlineStr">
        <is>
          <t>MTR-IOS-3203</t>
        </is>
      </c>
      <c r="B3203" t="inlineStr">
        <is>
          <t>House Party</t>
        </is>
      </c>
      <c r="C3203" t="inlineStr">
        <is>
          <t>SHARES</t>
        </is>
      </c>
      <c r="D3203" t="inlineStr">
        <is>
          <t>IOS Owner</t>
        </is>
      </c>
      <c r="E3203" s="16" t="n">
        <v>0</v>
      </c>
      <c r="F3203" s="16" t="n">
        <v>11921.8</v>
      </c>
      <c r="G3203" s="17" t="n"/>
      <c r="H3203" s="16" t="n">
        <v>-11921.8</v>
      </c>
      <c r="I3203" s="16" t="n">
        <v>0</v>
      </c>
    </row>
    <row r="3204">
      <c r="A3204" t="inlineStr">
        <is>
          <t>MTR-IOS-3203</t>
        </is>
      </c>
      <c r="B3204" t="inlineStr">
        <is>
          <t>House Party</t>
        </is>
      </c>
      <c r="C3204" t="inlineStr">
        <is>
          <t>SHARES</t>
        </is>
      </c>
      <c r="D3204" t="inlineStr">
        <is>
          <t>IOS Aarav</t>
        </is>
      </c>
      <c r="E3204" s="16" t="n">
        <v>0</v>
      </c>
      <c r="F3204" s="16" t="n">
        <v>7947.87</v>
      </c>
      <c r="G3204" s="17" t="n"/>
      <c r="H3204" s="16" t="n">
        <v>-7947.87</v>
      </c>
      <c r="I3204" s="16" t="n">
        <v>0</v>
      </c>
    </row>
    <row r="3205">
      <c r="A3205" t="inlineStr">
        <is>
          <t>MTR-IOS-3203</t>
        </is>
      </c>
      <c r="B3205" t="inlineStr">
        <is>
          <t>House Party</t>
        </is>
      </c>
      <c r="C3205" t="inlineStr">
        <is>
          <t>SHARES</t>
        </is>
      </c>
      <c r="D3205" t="inlineStr">
        <is>
          <t>IOS Meera</t>
        </is>
      </c>
      <c r="E3205" s="16" t="n">
        <v>23843.6</v>
      </c>
      <c r="F3205" s="16" t="n">
        <v>3973.93</v>
      </c>
      <c r="G3205" s="17" t="n"/>
      <c r="H3205" s="16" t="n">
        <v>19869.67</v>
      </c>
      <c r="I3205" s="16" t="n">
        <v>0</v>
      </c>
    </row>
    <row r="3206">
      <c r="A3206" t="inlineStr">
        <is>
          <t>MTR-IOS-3206</t>
        </is>
      </c>
      <c r="B3206" t="inlineStr">
        <is>
          <t>Gift Pool</t>
        </is>
      </c>
      <c r="C3206" t="inlineStr">
        <is>
          <t>EQUAL</t>
        </is>
      </c>
      <c r="D3206" t="inlineStr">
        <is>
          <t>IOS Owner</t>
        </is>
      </c>
      <c r="E3206" s="16" t="n">
        <v>4792.7</v>
      </c>
      <c r="F3206" s="16" t="n">
        <v>1597.57</v>
      </c>
      <c r="G3206" s="17" t="n"/>
      <c r="H3206" s="16" t="n">
        <v>3195.13</v>
      </c>
      <c r="I3206" s="16" t="n">
        <v>0</v>
      </c>
    </row>
    <row r="3207">
      <c r="A3207" t="inlineStr">
        <is>
          <t>MTR-IOS-3206</t>
        </is>
      </c>
      <c r="B3207" t="inlineStr">
        <is>
          <t>Gift Pool</t>
        </is>
      </c>
      <c r="C3207" t="inlineStr">
        <is>
          <t>EQUAL</t>
        </is>
      </c>
      <c r="D3207" t="inlineStr">
        <is>
          <t>IOS Aarav</t>
        </is>
      </c>
      <c r="E3207" s="16" t="n">
        <v>0</v>
      </c>
      <c r="F3207" s="16" t="n">
        <v>1597.57</v>
      </c>
      <c r="G3207" s="17" t="n"/>
      <c r="H3207" s="16" t="n">
        <v>-1597.57</v>
      </c>
      <c r="I3207" s="16" t="n">
        <v>0</v>
      </c>
    </row>
    <row r="3208">
      <c r="A3208" t="inlineStr">
        <is>
          <t>MTR-IOS-3206</t>
        </is>
      </c>
      <c r="B3208" t="inlineStr">
        <is>
          <t>Gift Pool</t>
        </is>
      </c>
      <c r="C3208" t="inlineStr">
        <is>
          <t>EQUAL</t>
        </is>
      </c>
      <c r="D3208" t="inlineStr">
        <is>
          <t>IOS Meera</t>
        </is>
      </c>
      <c r="E3208" s="16" t="n">
        <v>0</v>
      </c>
      <c r="F3208" s="16" t="n">
        <v>1597.56</v>
      </c>
      <c r="G3208" s="17" t="n"/>
      <c r="H3208" s="16" t="n">
        <v>-1597.56</v>
      </c>
      <c r="I3208" s="16" t="n">
        <v>0</v>
      </c>
    </row>
    <row r="3209">
      <c r="A3209" t="inlineStr">
        <is>
          <t>MTR-IOS-3209</t>
        </is>
      </c>
      <c r="B3209" t="inlineStr">
        <is>
          <t>Gift Pool</t>
        </is>
      </c>
      <c r="C3209" t="inlineStr">
        <is>
          <t>PERCENTAGE</t>
        </is>
      </c>
      <c r="D3209" t="inlineStr">
        <is>
          <t>IOS Owner</t>
        </is>
      </c>
      <c r="E3209" s="16" t="n">
        <v>0</v>
      </c>
      <c r="F3209" s="16" t="n">
        <v>8313.450000000001</v>
      </c>
      <c r="G3209" s="17" t="n">
        <v>50</v>
      </c>
      <c r="H3209" s="16" t="n">
        <v>-8313.450000000001</v>
      </c>
      <c r="I3209" s="16" t="n">
        <v>0</v>
      </c>
    </row>
    <row r="3210">
      <c r="A3210" t="inlineStr">
        <is>
          <t>MTR-IOS-3209</t>
        </is>
      </c>
      <c r="B3210" t="inlineStr">
        <is>
          <t>Gift Pool</t>
        </is>
      </c>
      <c r="C3210" t="inlineStr">
        <is>
          <t>PERCENTAGE</t>
        </is>
      </c>
      <c r="D3210" t="inlineStr">
        <is>
          <t>IOS Aarav</t>
        </is>
      </c>
      <c r="E3210" s="16" t="n">
        <v>16626.89</v>
      </c>
      <c r="F3210" s="16" t="n">
        <v>4988.07</v>
      </c>
      <c r="G3210" s="17" t="n">
        <v>30</v>
      </c>
      <c r="H3210" s="16" t="n">
        <v>11638.82</v>
      </c>
      <c r="I3210" s="16" t="n">
        <v>0</v>
      </c>
    </row>
    <row r="3211">
      <c r="A3211" t="inlineStr">
        <is>
          <t>MTR-IOS-3209</t>
        </is>
      </c>
      <c r="B3211" t="inlineStr">
        <is>
          <t>Gift Pool</t>
        </is>
      </c>
      <c r="C3211" t="inlineStr">
        <is>
          <t>PERCENTAGE</t>
        </is>
      </c>
      <c r="D3211" t="inlineStr">
        <is>
          <t>IOS Meera</t>
        </is>
      </c>
      <c r="E3211" s="16" t="n">
        <v>0</v>
      </c>
      <c r="F3211" s="16" t="n">
        <v>3325.37</v>
      </c>
      <c r="G3211" s="17" t="n">
        <v>20</v>
      </c>
      <c r="H3211" s="16" t="n">
        <v>-3325.37</v>
      </c>
      <c r="I3211" s="16" t="n">
        <v>0</v>
      </c>
    </row>
    <row r="3212">
      <c r="A3212" t="inlineStr">
        <is>
          <t>MTR-IOS-3212</t>
        </is>
      </c>
      <c r="B3212" t="inlineStr">
        <is>
          <t>Gift Pool</t>
        </is>
      </c>
      <c r="C3212" t="inlineStr">
        <is>
          <t>EXACT</t>
        </is>
      </c>
      <c r="D3212" t="inlineStr">
        <is>
          <t>IOS Owner</t>
        </is>
      </c>
      <c r="E3212" s="16" t="n">
        <v>0</v>
      </c>
      <c r="F3212" s="16" t="n">
        <v>7522.61</v>
      </c>
      <c r="G3212" s="17" t="n"/>
      <c r="H3212" s="16" t="n">
        <v>-7522.61</v>
      </c>
      <c r="I3212" s="16" t="n">
        <v>0</v>
      </c>
    </row>
    <row r="3213">
      <c r="A3213" t="inlineStr">
        <is>
          <t>MTR-IOS-3212</t>
        </is>
      </c>
      <c r="B3213" t="inlineStr">
        <is>
          <t>Gift Pool</t>
        </is>
      </c>
      <c r="C3213" t="inlineStr">
        <is>
          <t>EXACT</t>
        </is>
      </c>
      <c r="D3213" t="inlineStr">
        <is>
          <t>IOS Aarav</t>
        </is>
      </c>
      <c r="E3213" s="16" t="n">
        <v>0</v>
      </c>
      <c r="F3213" s="16" t="n">
        <v>7522.61</v>
      </c>
      <c r="G3213" s="17" t="n"/>
      <c r="H3213" s="16" t="n">
        <v>-7522.61</v>
      </c>
      <c r="I3213" s="16" t="n">
        <v>0</v>
      </c>
    </row>
    <row r="3214">
      <c r="A3214" t="inlineStr">
        <is>
          <t>MTR-IOS-3212</t>
        </is>
      </c>
      <c r="B3214" t="inlineStr">
        <is>
          <t>Gift Pool</t>
        </is>
      </c>
      <c r="C3214" t="inlineStr">
        <is>
          <t>EXACT</t>
        </is>
      </c>
      <c r="D3214" t="inlineStr">
        <is>
          <t>IOS Meera</t>
        </is>
      </c>
      <c r="E3214" s="16" t="n">
        <v>22590.41</v>
      </c>
      <c r="F3214" s="16" t="n">
        <v>7545.19</v>
      </c>
      <c r="G3214" s="17" t="n"/>
      <c r="H3214" s="16" t="n">
        <v>15045.22</v>
      </c>
      <c r="I3214" s="16" t="n">
        <v>0</v>
      </c>
    </row>
    <row r="3215">
      <c r="A3215" t="inlineStr">
        <is>
          <t>MTR-IOS-3215</t>
        </is>
      </c>
      <c r="B3215" t="inlineStr">
        <is>
          <t>Gift Pool</t>
        </is>
      </c>
      <c r="C3215" t="inlineStr">
        <is>
          <t>SHARES</t>
        </is>
      </c>
      <c r="D3215" t="inlineStr">
        <is>
          <t>IOS Owner</t>
        </is>
      </c>
      <c r="E3215" s="16" t="n">
        <v>20957.05</v>
      </c>
      <c r="F3215" s="16" t="n">
        <v>10478.53</v>
      </c>
      <c r="G3215" s="17" t="n"/>
      <c r="H3215" s="16" t="n">
        <v>10478.52</v>
      </c>
      <c r="I3215" s="16" t="n">
        <v>0</v>
      </c>
    </row>
    <row r="3216">
      <c r="A3216" t="inlineStr">
        <is>
          <t>MTR-IOS-3215</t>
        </is>
      </c>
      <c r="B3216" t="inlineStr">
        <is>
          <t>Gift Pool</t>
        </is>
      </c>
      <c r="C3216" t="inlineStr">
        <is>
          <t>SHARES</t>
        </is>
      </c>
      <c r="D3216" t="inlineStr">
        <is>
          <t>IOS Aarav</t>
        </is>
      </c>
      <c r="E3216" s="16" t="n">
        <v>0</v>
      </c>
      <c r="F3216" s="16" t="n">
        <v>6985.68</v>
      </c>
      <c r="G3216" s="17" t="n"/>
      <c r="H3216" s="16" t="n">
        <v>-6985.68</v>
      </c>
      <c r="I3216" s="16" t="n">
        <v>0</v>
      </c>
    </row>
    <row r="3217">
      <c r="A3217" t="inlineStr">
        <is>
          <t>MTR-IOS-3215</t>
        </is>
      </c>
      <c r="B3217" t="inlineStr">
        <is>
          <t>Gift Pool</t>
        </is>
      </c>
      <c r="C3217" t="inlineStr">
        <is>
          <t>SHARES</t>
        </is>
      </c>
      <c r="D3217" t="inlineStr">
        <is>
          <t>IOS Meera</t>
        </is>
      </c>
      <c r="E3217" s="16" t="n">
        <v>0</v>
      </c>
      <c r="F3217" s="16" t="n">
        <v>3492.84</v>
      </c>
      <c r="G3217" s="17" t="n"/>
      <c r="H3217" s="16" t="n">
        <v>-3492.84</v>
      </c>
      <c r="I3217" s="16" t="n">
        <v>0</v>
      </c>
    </row>
    <row r="3218">
      <c r="A3218" t="inlineStr">
        <is>
          <t>MTR-IOS-3218</t>
        </is>
      </c>
      <c r="B3218" t="inlineStr">
        <is>
          <t>Purchase</t>
        </is>
      </c>
      <c r="C3218" t="inlineStr">
        <is>
          <t>EQUAL</t>
        </is>
      </c>
      <c r="D3218" t="inlineStr">
        <is>
          <t>IOS Owner</t>
        </is>
      </c>
      <c r="E3218" s="16" t="n">
        <v>0</v>
      </c>
      <c r="F3218" s="16" t="n">
        <v>5760.13</v>
      </c>
      <c r="G3218" s="17" t="n"/>
      <c r="H3218" s="16" t="n">
        <v>-5760.13</v>
      </c>
      <c r="I3218" s="16" t="n">
        <v>0</v>
      </c>
    </row>
    <row r="3219">
      <c r="A3219" t="inlineStr">
        <is>
          <t>MTR-IOS-3218</t>
        </is>
      </c>
      <c r="B3219" t="inlineStr">
        <is>
          <t>Purchase</t>
        </is>
      </c>
      <c r="C3219" t="inlineStr">
        <is>
          <t>EQUAL</t>
        </is>
      </c>
      <c r="D3219" t="inlineStr">
        <is>
          <t>IOS Aarav</t>
        </is>
      </c>
      <c r="E3219" s="16" t="n">
        <v>17280.4</v>
      </c>
      <c r="F3219" s="16" t="n">
        <v>5760.13</v>
      </c>
      <c r="G3219" s="17" t="n"/>
      <c r="H3219" s="16" t="n">
        <v>11520.27</v>
      </c>
      <c r="I3219" s="16" t="n">
        <v>0</v>
      </c>
    </row>
    <row r="3220">
      <c r="A3220" t="inlineStr">
        <is>
          <t>MTR-IOS-3218</t>
        </is>
      </c>
      <c r="B3220" t="inlineStr">
        <is>
          <t>Purchase</t>
        </is>
      </c>
      <c r="C3220" t="inlineStr">
        <is>
          <t>EQUAL</t>
        </is>
      </c>
      <c r="D3220" t="inlineStr">
        <is>
          <t>IOS Meera</t>
        </is>
      </c>
      <c r="E3220" s="16" t="n">
        <v>0</v>
      </c>
      <c r="F3220" s="16" t="n">
        <v>5760.14</v>
      </c>
      <c r="G3220" s="17" t="n"/>
      <c r="H3220" s="16" t="n">
        <v>-5760.14</v>
      </c>
      <c r="I3220" s="16" t="n">
        <v>0</v>
      </c>
    </row>
    <row r="3221">
      <c r="A3221" t="inlineStr">
        <is>
          <t>MTR-IOS-3221</t>
        </is>
      </c>
      <c r="B3221" t="inlineStr">
        <is>
          <t>Purchase</t>
        </is>
      </c>
      <c r="C3221" t="inlineStr">
        <is>
          <t>PERCENTAGE</t>
        </is>
      </c>
      <c r="D3221" t="inlineStr">
        <is>
          <t>IOS Owner</t>
        </is>
      </c>
      <c r="E3221" s="16" t="n">
        <v>0</v>
      </c>
      <c r="F3221" s="16" t="n">
        <v>8119.73</v>
      </c>
      <c r="G3221" s="17" t="n">
        <v>50</v>
      </c>
      <c r="H3221" s="16" t="n">
        <v>-8119.73</v>
      </c>
      <c r="I3221" s="16" t="n">
        <v>0</v>
      </c>
    </row>
    <row r="3222">
      <c r="A3222" t="inlineStr">
        <is>
          <t>MTR-IOS-3221</t>
        </is>
      </c>
      <c r="B3222" t="inlineStr">
        <is>
          <t>Purchase</t>
        </is>
      </c>
      <c r="C3222" t="inlineStr">
        <is>
          <t>PERCENTAGE</t>
        </is>
      </c>
      <c r="D3222" t="inlineStr">
        <is>
          <t>IOS Aarav</t>
        </is>
      </c>
      <c r="E3222" s="16" t="n">
        <v>0</v>
      </c>
      <c r="F3222" s="16" t="n">
        <v>4871.84</v>
      </c>
      <c r="G3222" s="17" t="n">
        <v>30</v>
      </c>
      <c r="H3222" s="16" t="n">
        <v>-4871.84</v>
      </c>
      <c r="I3222" s="16" t="n">
        <v>0</v>
      </c>
    </row>
    <row r="3223">
      <c r="A3223" t="inlineStr">
        <is>
          <t>MTR-IOS-3221</t>
        </is>
      </c>
      <c r="B3223" t="inlineStr">
        <is>
          <t>Purchase</t>
        </is>
      </c>
      <c r="C3223" t="inlineStr">
        <is>
          <t>PERCENTAGE</t>
        </is>
      </c>
      <c r="D3223" t="inlineStr">
        <is>
          <t>IOS Meera</t>
        </is>
      </c>
      <c r="E3223" s="16" t="n">
        <v>16239.46</v>
      </c>
      <c r="F3223" s="16" t="n">
        <v>3247.89</v>
      </c>
      <c r="G3223" s="17" t="n">
        <v>20</v>
      </c>
      <c r="H3223" s="16" t="n">
        <v>12991.57</v>
      </c>
      <c r="I3223" s="16" t="n">
        <v>0</v>
      </c>
    </row>
    <row r="3224">
      <c r="A3224" t="inlineStr">
        <is>
          <t>MTR-IOS-3224</t>
        </is>
      </c>
      <c r="B3224" t="inlineStr">
        <is>
          <t>Purchase</t>
        </is>
      </c>
      <c r="C3224" t="inlineStr">
        <is>
          <t>EXACT</t>
        </is>
      </c>
      <c r="D3224" t="inlineStr">
        <is>
          <t>IOS Owner</t>
        </is>
      </c>
      <c r="E3224" s="16" t="n">
        <v>23040.55</v>
      </c>
      <c r="F3224" s="16" t="n">
        <v>7672.5</v>
      </c>
      <c r="G3224" s="17" t="n"/>
      <c r="H3224" s="16" t="n">
        <v>15368.05</v>
      </c>
      <c r="I3224" s="16" t="n">
        <v>0</v>
      </c>
    </row>
    <row r="3225">
      <c r="A3225" t="inlineStr">
        <is>
          <t>MTR-IOS-3224</t>
        </is>
      </c>
      <c r="B3225" t="inlineStr">
        <is>
          <t>Purchase</t>
        </is>
      </c>
      <c r="C3225" t="inlineStr">
        <is>
          <t>EXACT</t>
        </is>
      </c>
      <c r="D3225" t="inlineStr">
        <is>
          <t>IOS Aarav</t>
        </is>
      </c>
      <c r="E3225" s="16" t="n">
        <v>0</v>
      </c>
      <c r="F3225" s="16" t="n">
        <v>7672.5</v>
      </c>
      <c r="G3225" s="17" t="n"/>
      <c r="H3225" s="16" t="n">
        <v>-7672.5</v>
      </c>
      <c r="I3225" s="16" t="n">
        <v>0</v>
      </c>
    </row>
    <row r="3226">
      <c r="A3226" t="inlineStr">
        <is>
          <t>MTR-IOS-3224</t>
        </is>
      </c>
      <c r="B3226" t="inlineStr">
        <is>
          <t>Purchase</t>
        </is>
      </c>
      <c r="C3226" t="inlineStr">
        <is>
          <t>EXACT</t>
        </is>
      </c>
      <c r="D3226" t="inlineStr">
        <is>
          <t>IOS Meera</t>
        </is>
      </c>
      <c r="E3226" s="16" t="n">
        <v>0</v>
      </c>
      <c r="F3226" s="16" t="n">
        <v>7695.55</v>
      </c>
      <c r="G3226" s="17" t="n"/>
      <c r="H3226" s="16" t="n">
        <v>-7695.55</v>
      </c>
      <c r="I3226" s="16" t="n">
        <v>0</v>
      </c>
    </row>
    <row r="3227">
      <c r="A3227" t="inlineStr">
        <is>
          <t>MTR-IOS-3227</t>
        </is>
      </c>
      <c r="B3227" t="inlineStr">
        <is>
          <t>Purchase</t>
        </is>
      </c>
      <c r="C3227" t="inlineStr">
        <is>
          <t>SHARES</t>
        </is>
      </c>
      <c r="D3227" t="inlineStr">
        <is>
          <t>IOS Owner</t>
        </is>
      </c>
      <c r="E3227" s="16" t="n">
        <v>0</v>
      </c>
      <c r="F3227" s="16" t="n">
        <v>7033.29</v>
      </c>
      <c r="G3227" s="17" t="n"/>
      <c r="H3227" s="16" t="n">
        <v>-7033.29</v>
      </c>
      <c r="I3227" s="16" t="n">
        <v>0</v>
      </c>
    </row>
    <row r="3228">
      <c r="A3228" t="inlineStr">
        <is>
          <t>MTR-IOS-3227</t>
        </is>
      </c>
      <c r="B3228" t="inlineStr">
        <is>
          <t>Purchase</t>
        </is>
      </c>
      <c r="C3228" t="inlineStr">
        <is>
          <t>SHARES</t>
        </is>
      </c>
      <c r="D3228" t="inlineStr">
        <is>
          <t>IOS Aarav</t>
        </is>
      </c>
      <c r="E3228" s="16" t="n">
        <v>14066.58</v>
      </c>
      <c r="F3228" s="16" t="n">
        <v>4688.86</v>
      </c>
      <c r="G3228" s="17" t="n"/>
      <c r="H3228" s="16" t="n">
        <v>9377.719999999999</v>
      </c>
      <c r="I3228" s="16" t="n">
        <v>0</v>
      </c>
    </row>
    <row r="3229">
      <c r="A3229" t="inlineStr">
        <is>
          <t>MTR-IOS-3227</t>
        </is>
      </c>
      <c r="B3229" t="inlineStr">
        <is>
          <t>Purchase</t>
        </is>
      </c>
      <c r="C3229" t="inlineStr">
        <is>
          <t>SHARES</t>
        </is>
      </c>
      <c r="D3229" t="inlineStr">
        <is>
          <t>IOS Meera</t>
        </is>
      </c>
      <c r="E3229" s="16" t="n">
        <v>0</v>
      </c>
      <c r="F3229" s="16" t="n">
        <v>2344.43</v>
      </c>
      <c r="G3229" s="17" t="n"/>
      <c r="H3229" s="16" t="n">
        <v>-2344.43</v>
      </c>
      <c r="I3229" s="16" t="n">
        <v>0</v>
      </c>
    </row>
    <row r="3230">
      <c r="A3230" t="inlineStr">
        <is>
          <t>MTR-IOS-3230</t>
        </is>
      </c>
      <c r="B3230" t="inlineStr">
        <is>
          <t>Assets</t>
        </is>
      </c>
      <c r="C3230" t="inlineStr">
        <is>
          <t>EQUAL</t>
        </is>
      </c>
      <c r="D3230" t="inlineStr">
        <is>
          <t>IOS Owner</t>
        </is>
      </c>
      <c r="E3230" s="16" t="n">
        <v>0</v>
      </c>
      <c r="F3230" s="16" t="n">
        <v>2623.52</v>
      </c>
      <c r="G3230" s="17" t="n"/>
      <c r="H3230" s="16" t="n">
        <v>-2623.52</v>
      </c>
      <c r="I3230" s="16" t="n">
        <v>0</v>
      </c>
    </row>
    <row r="3231">
      <c r="A3231" t="inlineStr">
        <is>
          <t>MTR-IOS-3230</t>
        </is>
      </c>
      <c r="B3231" t="inlineStr">
        <is>
          <t>Assets</t>
        </is>
      </c>
      <c r="C3231" t="inlineStr">
        <is>
          <t>EQUAL</t>
        </is>
      </c>
      <c r="D3231" t="inlineStr">
        <is>
          <t>IOS Aarav</t>
        </is>
      </c>
      <c r="E3231" s="16" t="n">
        <v>0</v>
      </c>
      <c r="F3231" s="16" t="n">
        <v>2623.52</v>
      </c>
      <c r="G3231" s="17" t="n"/>
      <c r="H3231" s="16" t="n">
        <v>-2623.52</v>
      </c>
      <c r="I3231" s="16" t="n">
        <v>0</v>
      </c>
    </row>
    <row r="3232">
      <c r="A3232" t="inlineStr">
        <is>
          <t>MTR-IOS-3230</t>
        </is>
      </c>
      <c r="B3232" t="inlineStr">
        <is>
          <t>Assets</t>
        </is>
      </c>
      <c r="C3232" t="inlineStr">
        <is>
          <t>EQUAL</t>
        </is>
      </c>
      <c r="D3232" t="inlineStr">
        <is>
          <t>IOS Meera</t>
        </is>
      </c>
      <c r="E3232" s="16" t="n">
        <v>7870.56</v>
      </c>
      <c r="F3232" s="16" t="n">
        <v>2623.52</v>
      </c>
      <c r="G3232" s="17" t="n"/>
      <c r="H3232" s="16" t="n">
        <v>5247.04</v>
      </c>
      <c r="I3232" s="16" t="n">
        <v>0</v>
      </c>
    </row>
    <row r="3233">
      <c r="A3233" t="inlineStr">
        <is>
          <t>MTR-IOS-3233</t>
        </is>
      </c>
      <c r="B3233" t="inlineStr">
        <is>
          <t>Assets</t>
        </is>
      </c>
      <c r="C3233" t="inlineStr">
        <is>
          <t>PERCENTAGE</t>
        </is>
      </c>
      <c r="D3233" t="inlineStr">
        <is>
          <t>IOS Owner</t>
        </is>
      </c>
      <c r="E3233" s="16" t="n">
        <v>25660.35</v>
      </c>
      <c r="F3233" s="16" t="n">
        <v>12830.18</v>
      </c>
      <c r="G3233" s="17" t="n">
        <v>50</v>
      </c>
      <c r="H3233" s="16" t="n">
        <v>12830.17</v>
      </c>
      <c r="I3233" s="16" t="n">
        <v>0</v>
      </c>
    </row>
    <row r="3234">
      <c r="A3234" t="inlineStr">
        <is>
          <t>MTR-IOS-3233</t>
        </is>
      </c>
      <c r="B3234" t="inlineStr">
        <is>
          <t>Assets</t>
        </is>
      </c>
      <c r="C3234" t="inlineStr">
        <is>
          <t>PERCENTAGE</t>
        </is>
      </c>
      <c r="D3234" t="inlineStr">
        <is>
          <t>IOS Aarav</t>
        </is>
      </c>
      <c r="E3234" s="16" t="n">
        <v>0</v>
      </c>
      <c r="F3234" s="16" t="n">
        <v>7698.11</v>
      </c>
      <c r="G3234" s="17" t="n">
        <v>30</v>
      </c>
      <c r="H3234" s="16" t="n">
        <v>-7698.11</v>
      </c>
      <c r="I3234" s="16" t="n">
        <v>0</v>
      </c>
    </row>
    <row r="3235">
      <c r="A3235" t="inlineStr">
        <is>
          <t>MTR-IOS-3233</t>
        </is>
      </c>
      <c r="B3235" t="inlineStr">
        <is>
          <t>Assets</t>
        </is>
      </c>
      <c r="C3235" t="inlineStr">
        <is>
          <t>PERCENTAGE</t>
        </is>
      </c>
      <c r="D3235" t="inlineStr">
        <is>
          <t>IOS Meera</t>
        </is>
      </c>
      <c r="E3235" s="16" t="n">
        <v>0</v>
      </c>
      <c r="F3235" s="16" t="n">
        <v>5132.06</v>
      </c>
      <c r="G3235" s="17" t="n">
        <v>20</v>
      </c>
      <c r="H3235" s="16" t="n">
        <v>-5132.06</v>
      </c>
      <c r="I3235" s="16" t="n">
        <v>0</v>
      </c>
    </row>
    <row r="3236">
      <c r="A3236" t="inlineStr">
        <is>
          <t>MTR-IOS-3236</t>
        </is>
      </c>
      <c r="B3236" t="inlineStr">
        <is>
          <t>Assets</t>
        </is>
      </c>
      <c r="C3236" t="inlineStr">
        <is>
          <t>EXACT</t>
        </is>
      </c>
      <c r="D3236" t="inlineStr">
        <is>
          <t>IOS Owner</t>
        </is>
      </c>
      <c r="E3236" s="16" t="n">
        <v>0</v>
      </c>
      <c r="F3236" s="16" t="n">
        <v>4153.85</v>
      </c>
      <c r="G3236" s="17" t="n"/>
      <c r="H3236" s="16" t="n">
        <v>-4153.85</v>
      </c>
      <c r="I3236" s="16" t="n">
        <v>0</v>
      </c>
    </row>
    <row r="3237">
      <c r="A3237" t="inlineStr">
        <is>
          <t>MTR-IOS-3236</t>
        </is>
      </c>
      <c r="B3237" t="inlineStr">
        <is>
          <t>Assets</t>
        </is>
      </c>
      <c r="C3237" t="inlineStr">
        <is>
          <t>EXACT</t>
        </is>
      </c>
      <c r="D3237" t="inlineStr">
        <is>
          <t>IOS Aarav</t>
        </is>
      </c>
      <c r="E3237" s="16" t="n">
        <v>12474.01</v>
      </c>
      <c r="F3237" s="16" t="n">
        <v>4153.85</v>
      </c>
      <c r="G3237" s="17" t="n"/>
      <c r="H3237" s="16" t="n">
        <v>8320.16</v>
      </c>
      <c r="I3237" s="16" t="n">
        <v>0</v>
      </c>
    </row>
    <row r="3238">
      <c r="A3238" t="inlineStr">
        <is>
          <t>MTR-IOS-3236</t>
        </is>
      </c>
      <c r="B3238" t="inlineStr">
        <is>
          <t>Assets</t>
        </is>
      </c>
      <c r="C3238" t="inlineStr">
        <is>
          <t>EXACT</t>
        </is>
      </c>
      <c r="D3238" t="inlineStr">
        <is>
          <t>IOS Meera</t>
        </is>
      </c>
      <c r="E3238" s="16" t="n">
        <v>0</v>
      </c>
      <c r="F3238" s="16" t="n">
        <v>4166.31</v>
      </c>
      <c r="G3238" s="17" t="n"/>
      <c r="H3238" s="16" t="n">
        <v>-4166.31</v>
      </c>
      <c r="I3238" s="16" t="n">
        <v>0</v>
      </c>
    </row>
    <row r="3239">
      <c r="A3239" t="inlineStr">
        <is>
          <t>MTR-IOS-3239</t>
        </is>
      </c>
      <c r="B3239" t="inlineStr">
        <is>
          <t>Assets</t>
        </is>
      </c>
      <c r="C3239" t="inlineStr">
        <is>
          <t>SHARES</t>
        </is>
      </c>
      <c r="D3239" t="inlineStr">
        <is>
          <t>IOS Owner</t>
        </is>
      </c>
      <c r="E3239" s="16" t="n">
        <v>0</v>
      </c>
      <c r="F3239" s="16" t="n">
        <v>3475.53</v>
      </c>
      <c r="G3239" s="17" t="n"/>
      <c r="H3239" s="16" t="n">
        <v>-3475.53</v>
      </c>
      <c r="I3239" s="16" t="n">
        <v>0</v>
      </c>
    </row>
    <row r="3240">
      <c r="A3240" t="inlineStr">
        <is>
          <t>MTR-IOS-3239</t>
        </is>
      </c>
      <c r="B3240" t="inlineStr">
        <is>
          <t>Assets</t>
        </is>
      </c>
      <c r="C3240" t="inlineStr">
        <is>
          <t>SHARES</t>
        </is>
      </c>
      <c r="D3240" t="inlineStr">
        <is>
          <t>IOS Aarav</t>
        </is>
      </c>
      <c r="E3240" s="16" t="n">
        <v>0</v>
      </c>
      <c r="F3240" s="16" t="n">
        <v>2317.02</v>
      </c>
      <c r="G3240" s="17" t="n"/>
      <c r="H3240" s="16" t="n">
        <v>-2317.02</v>
      </c>
      <c r="I3240" s="16" t="n">
        <v>0</v>
      </c>
    </row>
    <row r="3241">
      <c r="A3241" t="inlineStr">
        <is>
          <t>MTR-IOS-3239</t>
        </is>
      </c>
      <c r="B3241" t="inlineStr">
        <is>
          <t>Assets</t>
        </is>
      </c>
      <c r="C3241" t="inlineStr">
        <is>
          <t>SHARES</t>
        </is>
      </c>
      <c r="D3241" t="inlineStr">
        <is>
          <t>IOS Meera</t>
        </is>
      </c>
      <c r="E3241" s="16" t="n">
        <v>6951.05</v>
      </c>
      <c r="F3241" s="16" t="n">
        <v>1158.5</v>
      </c>
      <c r="G3241" s="17" t="n"/>
      <c r="H3241" s="16" t="n">
        <v>5792.55</v>
      </c>
      <c r="I3241" s="16" t="n">
        <v>0</v>
      </c>
    </row>
    <row r="3242">
      <c r="A3242" t="inlineStr">
        <is>
          <t>MTR-IOS-3242</t>
        </is>
      </c>
      <c r="B3242" t="inlineStr">
        <is>
          <t>Assets</t>
        </is>
      </c>
      <c r="C3242" t="inlineStr">
        <is>
          <t>EQUAL</t>
        </is>
      </c>
      <c r="D3242" t="inlineStr">
        <is>
          <t>IOS Owner</t>
        </is>
      </c>
      <c r="E3242" s="16" t="n">
        <v>3861.79</v>
      </c>
      <c r="F3242" s="16" t="n">
        <v>1287.26</v>
      </c>
      <c r="G3242" s="17" t="n"/>
      <c r="H3242" s="16" t="n">
        <v>2574.53</v>
      </c>
      <c r="I3242" s="16" t="n">
        <v>0</v>
      </c>
    </row>
    <row r="3243">
      <c r="A3243" t="inlineStr">
        <is>
          <t>MTR-IOS-3242</t>
        </is>
      </c>
      <c r="B3243" t="inlineStr">
        <is>
          <t>Assets</t>
        </is>
      </c>
      <c r="C3243" t="inlineStr">
        <is>
          <t>EQUAL</t>
        </is>
      </c>
      <c r="D3243" t="inlineStr">
        <is>
          <t>IOS Aarav</t>
        </is>
      </c>
      <c r="E3243" s="16" t="n">
        <v>0</v>
      </c>
      <c r="F3243" s="16" t="n">
        <v>1287.26</v>
      </c>
      <c r="G3243" s="17" t="n"/>
      <c r="H3243" s="16" t="n">
        <v>-1287.26</v>
      </c>
      <c r="I3243" s="16" t="n">
        <v>0</v>
      </c>
    </row>
    <row r="3244">
      <c r="A3244" t="inlineStr">
        <is>
          <t>MTR-IOS-3242</t>
        </is>
      </c>
      <c r="B3244" t="inlineStr">
        <is>
          <t>Assets</t>
        </is>
      </c>
      <c r="C3244" t="inlineStr">
        <is>
          <t>EQUAL</t>
        </is>
      </c>
      <c r="D3244" t="inlineStr">
        <is>
          <t>IOS Meera</t>
        </is>
      </c>
      <c r="E3244" s="16" t="n">
        <v>0</v>
      </c>
      <c r="F3244" s="16" t="n">
        <v>1287.27</v>
      </c>
      <c r="G3244" s="17" t="n"/>
      <c r="H3244" s="16" t="n">
        <v>-1287.27</v>
      </c>
      <c r="I3244" s="16" t="n">
        <v>0</v>
      </c>
    </row>
    <row r="3245">
      <c r="A3245" t="inlineStr">
        <is>
          <t>MTR-IOS-3245</t>
        </is>
      </c>
      <c r="B3245" t="inlineStr">
        <is>
          <t>Custom Purchase</t>
        </is>
      </c>
      <c r="C3245" t="inlineStr">
        <is>
          <t>PERCENTAGE</t>
        </is>
      </c>
      <c r="D3245" t="inlineStr">
        <is>
          <t>IOS Owner</t>
        </is>
      </c>
      <c r="E3245" s="16" t="n">
        <v>0</v>
      </c>
      <c r="F3245" s="16" t="n">
        <v>4091.82</v>
      </c>
      <c r="G3245" s="17" t="n">
        <v>50</v>
      </c>
      <c r="H3245" s="16" t="n">
        <v>-4091.82</v>
      </c>
      <c r="I3245" s="16" t="n">
        <v>0</v>
      </c>
    </row>
    <row r="3246">
      <c r="A3246" t="inlineStr">
        <is>
          <t>MTR-IOS-3245</t>
        </is>
      </c>
      <c r="B3246" t="inlineStr">
        <is>
          <t>Custom Purchase</t>
        </is>
      </c>
      <c r="C3246" t="inlineStr">
        <is>
          <t>PERCENTAGE</t>
        </is>
      </c>
      <c r="D3246" t="inlineStr">
        <is>
          <t>IOS Aarav</t>
        </is>
      </c>
      <c r="E3246" s="16" t="n">
        <v>8183.63</v>
      </c>
      <c r="F3246" s="16" t="n">
        <v>2455.09</v>
      </c>
      <c r="G3246" s="17" t="n">
        <v>30</v>
      </c>
      <c r="H3246" s="16" t="n">
        <v>5728.54</v>
      </c>
      <c r="I3246" s="16" t="n">
        <v>0</v>
      </c>
    </row>
    <row r="3247">
      <c r="A3247" t="inlineStr">
        <is>
          <t>MTR-IOS-3245</t>
        </is>
      </c>
      <c r="B3247" t="inlineStr">
        <is>
          <t>Custom Purchase</t>
        </is>
      </c>
      <c r="C3247" t="inlineStr">
        <is>
          <t>PERCENTAGE</t>
        </is>
      </c>
      <c r="D3247" t="inlineStr">
        <is>
          <t>IOS Meera</t>
        </is>
      </c>
      <c r="E3247" s="16" t="n">
        <v>0</v>
      </c>
      <c r="F3247" s="16" t="n">
        <v>1636.72</v>
      </c>
      <c r="G3247" s="17" t="n">
        <v>20</v>
      </c>
      <c r="H3247" s="16" t="n">
        <v>-1636.72</v>
      </c>
      <c r="I3247" s="16" t="n">
        <v>0</v>
      </c>
    </row>
    <row r="3248">
      <c r="A3248" t="inlineStr">
        <is>
          <t>MTR-IOS-3248</t>
        </is>
      </c>
      <c r="B3248" t="inlineStr">
        <is>
          <t>Custom Purchase</t>
        </is>
      </c>
      <c r="C3248" t="inlineStr">
        <is>
          <t>EXACT</t>
        </is>
      </c>
      <c r="D3248" t="inlineStr">
        <is>
          <t>IOS Owner</t>
        </is>
      </c>
      <c r="E3248" s="16" t="n">
        <v>0</v>
      </c>
      <c r="F3248" s="16" t="n">
        <v>6120.26</v>
      </c>
      <c r="G3248" s="17" t="n"/>
      <c r="H3248" s="16" t="n">
        <v>-6120.26</v>
      </c>
      <c r="I3248" s="16" t="n">
        <v>0</v>
      </c>
    </row>
    <row r="3249">
      <c r="A3249" t="inlineStr">
        <is>
          <t>MTR-IOS-3248</t>
        </is>
      </c>
      <c r="B3249" t="inlineStr">
        <is>
          <t>Custom Purchase</t>
        </is>
      </c>
      <c r="C3249" t="inlineStr">
        <is>
          <t>EXACT</t>
        </is>
      </c>
      <c r="D3249" t="inlineStr">
        <is>
          <t>IOS Aarav</t>
        </is>
      </c>
      <c r="E3249" s="16" t="n">
        <v>0</v>
      </c>
      <c r="F3249" s="16" t="n">
        <v>6120.26</v>
      </c>
      <c r="G3249" s="17" t="n"/>
      <c r="H3249" s="16" t="n">
        <v>-6120.26</v>
      </c>
      <c r="I3249" s="16" t="n">
        <v>0</v>
      </c>
    </row>
    <row r="3250">
      <c r="A3250" t="inlineStr">
        <is>
          <t>MTR-IOS-3248</t>
        </is>
      </c>
      <c r="B3250" t="inlineStr">
        <is>
          <t>Custom Purchase</t>
        </is>
      </c>
      <c r="C3250" t="inlineStr">
        <is>
          <t>EXACT</t>
        </is>
      </c>
      <c r="D3250" t="inlineStr">
        <is>
          <t>IOS Meera</t>
        </is>
      </c>
      <c r="E3250" s="16" t="n">
        <v>18379.16</v>
      </c>
      <c r="F3250" s="16" t="n">
        <v>6138.64</v>
      </c>
      <c r="G3250" s="17" t="n"/>
      <c r="H3250" s="16" t="n">
        <v>12240.52</v>
      </c>
      <c r="I3250" s="16" t="n">
        <v>0</v>
      </c>
    </row>
    <row r="3251">
      <c r="A3251" t="inlineStr">
        <is>
          <t>MTR-IOS-3251</t>
        </is>
      </c>
      <c r="B3251" t="inlineStr">
        <is>
          <t>Flatmates</t>
        </is>
      </c>
      <c r="C3251" t="inlineStr">
        <is>
          <t>SHARES</t>
        </is>
      </c>
      <c r="D3251" t="inlineStr">
        <is>
          <t>IOS Owner</t>
        </is>
      </c>
      <c r="E3251" s="16" t="n">
        <v>6311.45</v>
      </c>
      <c r="F3251" s="16" t="n">
        <v>3155.73</v>
      </c>
      <c r="G3251" s="17" t="n"/>
      <c r="H3251" s="16" t="n">
        <v>3155.72</v>
      </c>
      <c r="I3251" s="16" t="n">
        <v>0</v>
      </c>
    </row>
    <row r="3252">
      <c r="A3252" t="inlineStr">
        <is>
          <t>MTR-IOS-3251</t>
        </is>
      </c>
      <c r="B3252" t="inlineStr">
        <is>
          <t>Flatmates</t>
        </is>
      </c>
      <c r="C3252" t="inlineStr">
        <is>
          <t>SHARES</t>
        </is>
      </c>
      <c r="D3252" t="inlineStr">
        <is>
          <t>IOS Aarav</t>
        </is>
      </c>
      <c r="E3252" s="16" t="n">
        <v>0</v>
      </c>
      <c r="F3252" s="16" t="n">
        <v>2103.82</v>
      </c>
      <c r="G3252" s="17" t="n"/>
      <c r="H3252" s="16" t="n">
        <v>-2103.82</v>
      </c>
      <c r="I3252" s="16" t="n">
        <v>0</v>
      </c>
    </row>
    <row r="3253">
      <c r="A3253" t="inlineStr">
        <is>
          <t>MTR-IOS-3251</t>
        </is>
      </c>
      <c r="B3253" t="inlineStr">
        <is>
          <t>Flatmates</t>
        </is>
      </c>
      <c r="C3253" t="inlineStr">
        <is>
          <t>SHARES</t>
        </is>
      </c>
      <c r="D3253" t="inlineStr">
        <is>
          <t>IOS Meera</t>
        </is>
      </c>
      <c r="E3253" s="16" t="n">
        <v>0</v>
      </c>
      <c r="F3253" s="16" t="n">
        <v>1051.9</v>
      </c>
      <c r="G3253" s="17" t="n"/>
      <c r="H3253" s="16" t="n">
        <v>-1051.9</v>
      </c>
      <c r="I3253" s="16" t="n">
        <v>0</v>
      </c>
    </row>
    <row r="3254">
      <c r="A3254" t="inlineStr">
        <is>
          <t>MTR-IOS-3254</t>
        </is>
      </c>
      <c r="B3254" t="inlineStr">
        <is>
          <t>Flatmates</t>
        </is>
      </c>
      <c r="C3254" t="inlineStr">
        <is>
          <t>EQUAL</t>
        </is>
      </c>
      <c r="D3254" t="inlineStr">
        <is>
          <t>IOS Owner</t>
        </is>
      </c>
      <c r="E3254" s="16" t="n">
        <v>0</v>
      </c>
      <c r="F3254" s="16" t="n">
        <v>4383.53</v>
      </c>
      <c r="G3254" s="17" t="n"/>
      <c r="H3254" s="16" t="n">
        <v>-4383.53</v>
      </c>
      <c r="I3254" s="16" t="n">
        <v>0</v>
      </c>
    </row>
    <row r="3255">
      <c r="A3255" t="inlineStr">
        <is>
          <t>MTR-IOS-3254</t>
        </is>
      </c>
      <c r="B3255" t="inlineStr">
        <is>
          <t>Flatmates</t>
        </is>
      </c>
      <c r="C3255" t="inlineStr">
        <is>
          <t>EQUAL</t>
        </is>
      </c>
      <c r="D3255" t="inlineStr">
        <is>
          <t>IOS Aarav</t>
        </is>
      </c>
      <c r="E3255" s="16" t="n">
        <v>13150.58</v>
      </c>
      <c r="F3255" s="16" t="n">
        <v>4383.53</v>
      </c>
      <c r="G3255" s="17" t="n"/>
      <c r="H3255" s="16" t="n">
        <v>8767.049999999999</v>
      </c>
      <c r="I3255" s="16" t="n">
        <v>0</v>
      </c>
    </row>
    <row r="3256">
      <c r="A3256" t="inlineStr">
        <is>
          <t>MTR-IOS-3254</t>
        </is>
      </c>
      <c r="B3256" t="inlineStr">
        <is>
          <t>Flatmates</t>
        </is>
      </c>
      <c r="C3256" t="inlineStr">
        <is>
          <t>EQUAL</t>
        </is>
      </c>
      <c r="D3256" t="inlineStr">
        <is>
          <t>IOS Meera</t>
        </is>
      </c>
      <c r="E3256" s="16" t="n">
        <v>0</v>
      </c>
      <c r="F3256" s="16" t="n">
        <v>4383.52</v>
      </c>
      <c r="G3256" s="17" t="n"/>
      <c r="H3256" s="16" t="n">
        <v>-4383.52</v>
      </c>
      <c r="I3256" s="16" t="n">
        <v>0</v>
      </c>
    </row>
    <row r="3257">
      <c r="A3257" t="inlineStr">
        <is>
          <t>MTR-IOS-3257</t>
        </is>
      </c>
      <c r="B3257" t="inlineStr">
        <is>
          <t>Flatmates</t>
        </is>
      </c>
      <c r="C3257" t="inlineStr">
        <is>
          <t>PERCENTAGE</t>
        </is>
      </c>
      <c r="D3257" t="inlineStr">
        <is>
          <t>IOS Owner</t>
        </is>
      </c>
      <c r="E3257" s="16" t="n">
        <v>0</v>
      </c>
      <c r="F3257" s="16" t="n">
        <v>11327.04</v>
      </c>
      <c r="G3257" s="17" t="n">
        <v>50</v>
      </c>
      <c r="H3257" s="16" t="n">
        <v>-11327.04</v>
      </c>
      <c r="I3257" s="16" t="n">
        <v>0</v>
      </c>
    </row>
    <row r="3258">
      <c r="A3258" t="inlineStr">
        <is>
          <t>MTR-IOS-3257</t>
        </is>
      </c>
      <c r="B3258" t="inlineStr">
        <is>
          <t>Flatmates</t>
        </is>
      </c>
      <c r="C3258" t="inlineStr">
        <is>
          <t>PERCENTAGE</t>
        </is>
      </c>
      <c r="D3258" t="inlineStr">
        <is>
          <t>IOS Aarav</t>
        </is>
      </c>
      <c r="E3258" s="16" t="n">
        <v>0</v>
      </c>
      <c r="F3258" s="16" t="n">
        <v>6796.22</v>
      </c>
      <c r="G3258" s="17" t="n">
        <v>30</v>
      </c>
      <c r="H3258" s="16" t="n">
        <v>-6796.22</v>
      </c>
      <c r="I3258" s="16" t="n">
        <v>0</v>
      </c>
    </row>
    <row r="3259">
      <c r="A3259" t="inlineStr">
        <is>
          <t>MTR-IOS-3257</t>
        </is>
      </c>
      <c r="B3259" t="inlineStr">
        <is>
          <t>Flatmates</t>
        </is>
      </c>
      <c r="C3259" t="inlineStr">
        <is>
          <t>PERCENTAGE</t>
        </is>
      </c>
      <c r="D3259" t="inlineStr">
        <is>
          <t>IOS Meera</t>
        </is>
      </c>
      <c r="E3259" s="16" t="n">
        <v>22654.07</v>
      </c>
      <c r="F3259" s="16" t="n">
        <v>4530.81</v>
      </c>
      <c r="G3259" s="17" t="n">
        <v>20</v>
      </c>
      <c r="H3259" s="16" t="n">
        <v>18123.26</v>
      </c>
      <c r="I3259" s="16" t="n">
        <v>0</v>
      </c>
    </row>
    <row r="3260">
      <c r="A3260" t="inlineStr">
        <is>
          <t>MTR-IOS-3260</t>
        </is>
      </c>
      <c r="B3260" t="inlineStr">
        <is>
          <t>Flatmates</t>
        </is>
      </c>
      <c r="C3260" t="inlineStr">
        <is>
          <t>EXACT</t>
        </is>
      </c>
      <c r="D3260" t="inlineStr">
        <is>
          <t>IOS Owner</t>
        </is>
      </c>
      <c r="E3260" s="16" t="n">
        <v>18442.98</v>
      </c>
      <c r="F3260" s="16" t="n">
        <v>6141.51</v>
      </c>
      <c r="G3260" s="17" t="n"/>
      <c r="H3260" s="16" t="n">
        <v>12301.47</v>
      </c>
      <c r="I3260" s="16" t="n">
        <v>0</v>
      </c>
    </row>
    <row r="3261">
      <c r="A3261" t="inlineStr">
        <is>
          <t>MTR-IOS-3260</t>
        </is>
      </c>
      <c r="B3261" t="inlineStr">
        <is>
          <t>Flatmates</t>
        </is>
      </c>
      <c r="C3261" t="inlineStr">
        <is>
          <t>EXACT</t>
        </is>
      </c>
      <c r="D3261" t="inlineStr">
        <is>
          <t>IOS Aarav</t>
        </is>
      </c>
      <c r="E3261" s="16" t="n">
        <v>0</v>
      </c>
      <c r="F3261" s="16" t="n">
        <v>6141.51</v>
      </c>
      <c r="G3261" s="17" t="n"/>
      <c r="H3261" s="16" t="n">
        <v>-6141.51</v>
      </c>
      <c r="I3261" s="16" t="n">
        <v>0</v>
      </c>
    </row>
    <row r="3262">
      <c r="A3262" t="inlineStr">
        <is>
          <t>MTR-IOS-3260</t>
        </is>
      </c>
      <c r="B3262" t="inlineStr">
        <is>
          <t>Flatmates</t>
        </is>
      </c>
      <c r="C3262" t="inlineStr">
        <is>
          <t>EXACT</t>
        </is>
      </c>
      <c r="D3262" t="inlineStr">
        <is>
          <t>IOS Meera</t>
        </is>
      </c>
      <c r="E3262" s="16" t="n">
        <v>0</v>
      </c>
      <c r="F3262" s="16" t="n">
        <v>6159.96</v>
      </c>
      <c r="G3262" s="17" t="n"/>
      <c r="H3262" s="16" t="n">
        <v>-6159.96</v>
      </c>
      <c r="I3262" s="16" t="n">
        <v>0</v>
      </c>
    </row>
    <row r="3263">
      <c r="A3263" t="inlineStr">
        <is>
          <t>MTR-IOS-3263</t>
        </is>
      </c>
      <c r="B3263" t="inlineStr">
        <is>
          <t>Flatmates</t>
        </is>
      </c>
      <c r="C3263" t="inlineStr">
        <is>
          <t>SHARES</t>
        </is>
      </c>
      <c r="D3263" t="inlineStr">
        <is>
          <t>IOS Owner</t>
        </is>
      </c>
      <c r="E3263" s="16" t="n">
        <v>0</v>
      </c>
      <c r="F3263" s="16" t="n">
        <v>12343.65</v>
      </c>
      <c r="G3263" s="17" t="n"/>
      <c r="H3263" s="16" t="n">
        <v>-12343.65</v>
      </c>
      <c r="I3263" s="16" t="n">
        <v>0</v>
      </c>
    </row>
    <row r="3264">
      <c r="A3264" t="inlineStr">
        <is>
          <t>MTR-IOS-3263</t>
        </is>
      </c>
      <c r="B3264" t="inlineStr">
        <is>
          <t>Flatmates</t>
        </is>
      </c>
      <c r="C3264" t="inlineStr">
        <is>
          <t>SHARES</t>
        </is>
      </c>
      <c r="D3264" t="inlineStr">
        <is>
          <t>IOS Aarav</t>
        </is>
      </c>
      <c r="E3264" s="16" t="n">
        <v>24687.29</v>
      </c>
      <c r="F3264" s="16" t="n">
        <v>8229.1</v>
      </c>
      <c r="G3264" s="17" t="n"/>
      <c r="H3264" s="16" t="n">
        <v>16458.19</v>
      </c>
      <c r="I3264" s="16" t="n">
        <v>0</v>
      </c>
    </row>
    <row r="3265">
      <c r="A3265" t="inlineStr">
        <is>
          <t>MTR-IOS-3263</t>
        </is>
      </c>
      <c r="B3265" t="inlineStr">
        <is>
          <t>Flatmates</t>
        </is>
      </c>
      <c r="C3265" t="inlineStr">
        <is>
          <t>SHARES</t>
        </is>
      </c>
      <c r="D3265" t="inlineStr">
        <is>
          <t>IOS Meera</t>
        </is>
      </c>
      <c r="E3265" s="16" t="n">
        <v>0</v>
      </c>
      <c r="F3265" s="16" t="n">
        <v>4114.54</v>
      </c>
      <c r="G3265" s="17" t="n"/>
      <c r="H3265" s="16" t="n">
        <v>-4114.54</v>
      </c>
      <c r="I3265" s="16" t="n">
        <v>0</v>
      </c>
    </row>
    <row r="3266">
      <c r="A3266" t="inlineStr">
        <is>
          <t>MTR-IOS-3266</t>
        </is>
      </c>
      <c r="B3266" t="inlineStr">
        <is>
          <t>Flatmates</t>
        </is>
      </c>
      <c r="C3266" t="inlineStr">
        <is>
          <t>EQUAL</t>
        </is>
      </c>
      <c r="D3266" t="inlineStr">
        <is>
          <t>IOS Owner</t>
        </is>
      </c>
      <c r="E3266" s="16" t="n">
        <v>0</v>
      </c>
      <c r="F3266" s="16" t="n">
        <v>8213.280000000001</v>
      </c>
      <c r="G3266" s="17" t="n"/>
      <c r="H3266" s="16" t="n">
        <v>-8213.280000000001</v>
      </c>
      <c r="I3266" s="16" t="n">
        <v>0</v>
      </c>
    </row>
    <row r="3267">
      <c r="A3267" t="inlineStr">
        <is>
          <t>MTR-IOS-3266</t>
        </is>
      </c>
      <c r="B3267" t="inlineStr">
        <is>
          <t>Flatmates</t>
        </is>
      </c>
      <c r="C3267" t="inlineStr">
        <is>
          <t>EQUAL</t>
        </is>
      </c>
      <c r="D3267" t="inlineStr">
        <is>
          <t>IOS Aarav</t>
        </is>
      </c>
      <c r="E3267" s="16" t="n">
        <v>0</v>
      </c>
      <c r="F3267" s="16" t="n">
        <v>8213.280000000001</v>
      </c>
      <c r="G3267" s="17" t="n"/>
      <c r="H3267" s="16" t="n">
        <v>-8213.280000000001</v>
      </c>
      <c r="I3267" s="16" t="n">
        <v>0</v>
      </c>
    </row>
    <row r="3268">
      <c r="A3268" t="inlineStr">
        <is>
          <t>MTR-IOS-3266</t>
        </is>
      </c>
      <c r="B3268" t="inlineStr">
        <is>
          <t>Flatmates</t>
        </is>
      </c>
      <c r="C3268" t="inlineStr">
        <is>
          <t>EQUAL</t>
        </is>
      </c>
      <c r="D3268" t="inlineStr">
        <is>
          <t>IOS Meera</t>
        </is>
      </c>
      <c r="E3268" s="16" t="n">
        <v>24639.83</v>
      </c>
      <c r="F3268" s="16" t="n">
        <v>8213.27</v>
      </c>
      <c r="G3268" s="17" t="n"/>
      <c r="H3268" s="16" t="n">
        <v>16426.56</v>
      </c>
      <c r="I3268" s="16" t="n">
        <v>0</v>
      </c>
    </row>
    <row r="3269">
      <c r="A3269" t="inlineStr">
        <is>
          <t>MTR-IOS-3269</t>
        </is>
      </c>
      <c r="B3269" t="inlineStr">
        <is>
          <t>Shared Living</t>
        </is>
      </c>
      <c r="C3269" t="inlineStr">
        <is>
          <t>PERCENTAGE</t>
        </is>
      </c>
      <c r="D3269" t="inlineStr">
        <is>
          <t>IOS Owner</t>
        </is>
      </c>
      <c r="E3269" s="16" t="n">
        <v>12304.03</v>
      </c>
      <c r="F3269" s="16" t="n">
        <v>6152.02</v>
      </c>
      <c r="G3269" s="17" t="n">
        <v>50</v>
      </c>
      <c r="H3269" s="16" t="n">
        <v>6152.01</v>
      </c>
      <c r="I3269" s="16" t="n">
        <v>0</v>
      </c>
    </row>
    <row r="3270">
      <c r="A3270" t="inlineStr">
        <is>
          <t>MTR-IOS-3269</t>
        </is>
      </c>
      <c r="B3270" t="inlineStr">
        <is>
          <t>Shared Living</t>
        </is>
      </c>
      <c r="C3270" t="inlineStr">
        <is>
          <t>PERCENTAGE</t>
        </is>
      </c>
      <c r="D3270" t="inlineStr">
        <is>
          <t>IOS Aarav</t>
        </is>
      </c>
      <c r="E3270" s="16" t="n">
        <v>0</v>
      </c>
      <c r="F3270" s="16" t="n">
        <v>3691.21</v>
      </c>
      <c r="G3270" s="17" t="n">
        <v>30</v>
      </c>
      <c r="H3270" s="16" t="n">
        <v>-3691.21</v>
      </c>
      <c r="I3270" s="16" t="n">
        <v>0</v>
      </c>
    </row>
    <row r="3271">
      <c r="A3271" t="inlineStr">
        <is>
          <t>MTR-IOS-3269</t>
        </is>
      </c>
      <c r="B3271" t="inlineStr">
        <is>
          <t>Shared Living</t>
        </is>
      </c>
      <c r="C3271" t="inlineStr">
        <is>
          <t>PERCENTAGE</t>
        </is>
      </c>
      <c r="D3271" t="inlineStr">
        <is>
          <t>IOS Meera</t>
        </is>
      </c>
      <c r="E3271" s="16" t="n">
        <v>0</v>
      </c>
      <c r="F3271" s="16" t="n">
        <v>2460.8</v>
      </c>
      <c r="G3271" s="17" t="n">
        <v>20</v>
      </c>
      <c r="H3271" s="16" t="n">
        <v>-2460.8</v>
      </c>
      <c r="I3271" s="16" t="n">
        <v>0</v>
      </c>
    </row>
    <row r="3272">
      <c r="A3272" t="inlineStr">
        <is>
          <t>MTR-IOS-3272</t>
        </is>
      </c>
      <c r="B3272" t="inlineStr">
        <is>
          <t>Shared Living</t>
        </is>
      </c>
      <c r="C3272" t="inlineStr">
        <is>
          <t>EXACT</t>
        </is>
      </c>
      <c r="D3272" t="inlineStr">
        <is>
          <t>IOS Owner</t>
        </is>
      </c>
      <c r="E3272" s="16" t="n">
        <v>0</v>
      </c>
      <c r="F3272" s="16" t="n">
        <v>4818.88</v>
      </c>
      <c r="G3272" s="17" t="n"/>
      <c r="H3272" s="16" t="n">
        <v>-4818.88</v>
      </c>
      <c r="I3272" s="16" t="n">
        <v>0</v>
      </c>
    </row>
    <row r="3273">
      <c r="A3273" t="inlineStr">
        <is>
          <t>MTR-IOS-3272</t>
        </is>
      </c>
      <c r="B3273" t="inlineStr">
        <is>
          <t>Shared Living</t>
        </is>
      </c>
      <c r="C3273" t="inlineStr">
        <is>
          <t>EXACT</t>
        </is>
      </c>
      <c r="D3273" t="inlineStr">
        <is>
          <t>IOS Aarav</t>
        </is>
      </c>
      <c r="E3273" s="16" t="n">
        <v>14471.12</v>
      </c>
      <c r="F3273" s="16" t="n">
        <v>4818.88</v>
      </c>
      <c r="G3273" s="17" t="n"/>
      <c r="H3273" s="16" t="n">
        <v>9652.24</v>
      </c>
      <c r="I3273" s="16" t="n">
        <v>0</v>
      </c>
    </row>
    <row r="3274">
      <c r="A3274" t="inlineStr">
        <is>
          <t>MTR-IOS-3272</t>
        </is>
      </c>
      <c r="B3274" t="inlineStr">
        <is>
          <t>Shared Living</t>
        </is>
      </c>
      <c r="C3274" t="inlineStr">
        <is>
          <t>EXACT</t>
        </is>
      </c>
      <c r="D3274" t="inlineStr">
        <is>
          <t>IOS Meera</t>
        </is>
      </c>
      <c r="E3274" s="16" t="n">
        <v>0</v>
      </c>
      <c r="F3274" s="16" t="n">
        <v>4833.36</v>
      </c>
      <c r="G3274" s="17" t="n"/>
      <c r="H3274" s="16" t="n">
        <v>-4833.36</v>
      </c>
      <c r="I3274" s="16" t="n">
        <v>0</v>
      </c>
    </row>
    <row r="3275">
      <c r="A3275" t="inlineStr">
        <is>
          <t>MTR-IOS-3275</t>
        </is>
      </c>
      <c r="B3275" t="inlineStr">
        <is>
          <t>Shared Living</t>
        </is>
      </c>
      <c r="C3275" t="inlineStr">
        <is>
          <t>SHARES</t>
        </is>
      </c>
      <c r="D3275" t="inlineStr">
        <is>
          <t>IOS Owner</t>
        </is>
      </c>
      <c r="E3275" s="16" t="n">
        <v>0</v>
      </c>
      <c r="F3275" s="16" t="n">
        <v>12277.24</v>
      </c>
      <c r="G3275" s="17" t="n"/>
      <c r="H3275" s="16" t="n">
        <v>-12277.24</v>
      </c>
      <c r="I3275" s="16" t="n">
        <v>0</v>
      </c>
    </row>
    <row r="3276">
      <c r="A3276" t="inlineStr">
        <is>
          <t>MTR-IOS-3275</t>
        </is>
      </c>
      <c r="B3276" t="inlineStr">
        <is>
          <t>Shared Living</t>
        </is>
      </c>
      <c r="C3276" t="inlineStr">
        <is>
          <t>SHARES</t>
        </is>
      </c>
      <c r="D3276" t="inlineStr">
        <is>
          <t>IOS Aarav</t>
        </is>
      </c>
      <c r="E3276" s="16" t="n">
        <v>0</v>
      </c>
      <c r="F3276" s="16" t="n">
        <v>8184.82</v>
      </c>
      <c r="G3276" s="17" t="n"/>
      <c r="H3276" s="16" t="n">
        <v>-8184.82</v>
      </c>
      <c r="I3276" s="16" t="n">
        <v>0</v>
      </c>
    </row>
    <row r="3277">
      <c r="A3277" t="inlineStr">
        <is>
          <t>MTR-IOS-3275</t>
        </is>
      </c>
      <c r="B3277" t="inlineStr">
        <is>
          <t>Shared Living</t>
        </is>
      </c>
      <c r="C3277" t="inlineStr">
        <is>
          <t>SHARES</t>
        </is>
      </c>
      <c r="D3277" t="inlineStr">
        <is>
          <t>IOS Meera</t>
        </is>
      </c>
      <c r="E3277" s="16" t="n">
        <v>24554.47</v>
      </c>
      <c r="F3277" s="16" t="n">
        <v>4092.41</v>
      </c>
      <c r="G3277" s="17" t="n"/>
      <c r="H3277" s="16" t="n">
        <v>20462.06</v>
      </c>
      <c r="I3277" s="16" t="n">
        <v>0</v>
      </c>
    </row>
    <row r="3278">
      <c r="A3278" t="inlineStr">
        <is>
          <t>MTR-IOS-3278</t>
        </is>
      </c>
      <c r="B3278" t="inlineStr">
        <is>
          <t>Shared Living</t>
        </is>
      </c>
      <c r="C3278" t="inlineStr">
        <is>
          <t>EQUAL</t>
        </is>
      </c>
      <c r="D3278" t="inlineStr">
        <is>
          <t>IOS Owner</t>
        </is>
      </c>
      <c r="E3278" s="16" t="n">
        <v>5425.95</v>
      </c>
      <c r="F3278" s="16" t="n">
        <v>1808.65</v>
      </c>
      <c r="G3278" s="17" t="n"/>
      <c r="H3278" s="16" t="n">
        <v>3617.3</v>
      </c>
      <c r="I3278" s="16" t="n">
        <v>0</v>
      </c>
    </row>
    <row r="3279">
      <c r="A3279" t="inlineStr">
        <is>
          <t>MTR-IOS-3278</t>
        </is>
      </c>
      <c r="B3279" t="inlineStr">
        <is>
          <t>Shared Living</t>
        </is>
      </c>
      <c r="C3279" t="inlineStr">
        <is>
          <t>EQUAL</t>
        </is>
      </c>
      <c r="D3279" t="inlineStr">
        <is>
          <t>IOS Aarav</t>
        </is>
      </c>
      <c r="E3279" s="16" t="n">
        <v>0</v>
      </c>
      <c r="F3279" s="16" t="n">
        <v>1808.65</v>
      </c>
      <c r="G3279" s="17" t="n"/>
      <c r="H3279" s="16" t="n">
        <v>-1808.65</v>
      </c>
      <c r="I3279" s="16" t="n">
        <v>0</v>
      </c>
    </row>
    <row r="3280">
      <c r="A3280" t="inlineStr">
        <is>
          <t>MTR-IOS-3278</t>
        </is>
      </c>
      <c r="B3280" t="inlineStr">
        <is>
          <t>Shared Living</t>
        </is>
      </c>
      <c r="C3280" t="inlineStr">
        <is>
          <t>EQUAL</t>
        </is>
      </c>
      <c r="D3280" t="inlineStr">
        <is>
          <t>IOS Meera</t>
        </is>
      </c>
      <c r="E3280" s="16" t="n">
        <v>0</v>
      </c>
      <c r="F3280" s="16" t="n">
        <v>1808.65</v>
      </c>
      <c r="G3280" s="17" t="n"/>
      <c r="H3280" s="16" t="n">
        <v>-1808.65</v>
      </c>
      <c r="I3280" s="16" t="n">
        <v>0</v>
      </c>
    </row>
    <row r="3281">
      <c r="A3281" t="inlineStr">
        <is>
          <t>MTR-IOS-3281</t>
        </is>
      </c>
      <c r="B3281" t="inlineStr">
        <is>
          <t>Shared Living</t>
        </is>
      </c>
      <c r="C3281" t="inlineStr">
        <is>
          <t>PERCENTAGE</t>
        </is>
      </c>
      <c r="D3281" t="inlineStr">
        <is>
          <t>IOS Owner</t>
        </is>
      </c>
      <c r="E3281" s="16" t="n">
        <v>0</v>
      </c>
      <c r="F3281" s="16" t="n">
        <v>7646.29</v>
      </c>
      <c r="G3281" s="17" t="n">
        <v>50</v>
      </c>
      <c r="H3281" s="16" t="n">
        <v>-7646.29</v>
      </c>
      <c r="I3281" s="16" t="n">
        <v>0</v>
      </c>
    </row>
    <row r="3282">
      <c r="A3282" t="inlineStr">
        <is>
          <t>MTR-IOS-3281</t>
        </is>
      </c>
      <c r="B3282" t="inlineStr">
        <is>
          <t>Shared Living</t>
        </is>
      </c>
      <c r="C3282" t="inlineStr">
        <is>
          <t>PERCENTAGE</t>
        </is>
      </c>
      <c r="D3282" t="inlineStr">
        <is>
          <t>IOS Aarav</t>
        </is>
      </c>
      <c r="E3282" s="16" t="n">
        <v>15292.58</v>
      </c>
      <c r="F3282" s="16" t="n">
        <v>4587.77</v>
      </c>
      <c r="G3282" s="17" t="n">
        <v>30</v>
      </c>
      <c r="H3282" s="16" t="n">
        <v>10704.81</v>
      </c>
      <c r="I3282" s="16" t="n">
        <v>0</v>
      </c>
    </row>
    <row r="3283">
      <c r="A3283" t="inlineStr">
        <is>
          <t>MTR-IOS-3281</t>
        </is>
      </c>
      <c r="B3283" t="inlineStr">
        <is>
          <t>Shared Living</t>
        </is>
      </c>
      <c r="C3283" t="inlineStr">
        <is>
          <t>PERCENTAGE</t>
        </is>
      </c>
      <c r="D3283" t="inlineStr">
        <is>
          <t>IOS Meera</t>
        </is>
      </c>
      <c r="E3283" s="16" t="n">
        <v>0</v>
      </c>
      <c r="F3283" s="16" t="n">
        <v>3058.52</v>
      </c>
      <c r="G3283" s="17" t="n">
        <v>20</v>
      </c>
      <c r="H3283" s="16" t="n">
        <v>-3058.52</v>
      </c>
      <c r="I3283" s="16" t="n">
        <v>0</v>
      </c>
    </row>
    <row r="3284">
      <c r="A3284" t="inlineStr">
        <is>
          <t>MTR-IOS-3284</t>
        </is>
      </c>
      <c r="B3284" t="inlineStr">
        <is>
          <t>Family Household</t>
        </is>
      </c>
      <c r="C3284" t="inlineStr">
        <is>
          <t>EXACT</t>
        </is>
      </c>
      <c r="D3284" t="inlineStr">
        <is>
          <t>IOS Owner</t>
        </is>
      </c>
      <c r="E3284" s="16" t="n">
        <v>0</v>
      </c>
      <c r="F3284" s="16" t="n">
        <v>6458.54</v>
      </c>
      <c r="G3284" s="17" t="n"/>
      <c r="H3284" s="16" t="n">
        <v>-6458.54</v>
      </c>
      <c r="I3284" s="16" t="n">
        <v>0</v>
      </c>
    </row>
    <row r="3285">
      <c r="A3285" t="inlineStr">
        <is>
          <t>MTR-IOS-3284</t>
        </is>
      </c>
      <c r="B3285" t="inlineStr">
        <is>
          <t>Family Household</t>
        </is>
      </c>
      <c r="C3285" t="inlineStr">
        <is>
          <t>EXACT</t>
        </is>
      </c>
      <c r="D3285" t="inlineStr">
        <is>
          <t>IOS Aarav</t>
        </is>
      </c>
      <c r="E3285" s="16" t="n">
        <v>0</v>
      </c>
      <c r="F3285" s="16" t="n">
        <v>6458.54</v>
      </c>
      <c r="G3285" s="17" t="n"/>
      <c r="H3285" s="16" t="n">
        <v>-6458.54</v>
      </c>
      <c r="I3285" s="16" t="n">
        <v>0</v>
      </c>
    </row>
    <row r="3286">
      <c r="A3286" t="inlineStr">
        <is>
          <t>MTR-IOS-3284</t>
        </is>
      </c>
      <c r="B3286" t="inlineStr">
        <is>
          <t>Family Household</t>
        </is>
      </c>
      <c r="C3286" t="inlineStr">
        <is>
          <t>EXACT</t>
        </is>
      </c>
      <c r="D3286" t="inlineStr">
        <is>
          <t>IOS Meera</t>
        </is>
      </c>
      <c r="E3286" s="16" t="n">
        <v>19395.02</v>
      </c>
      <c r="F3286" s="16" t="n">
        <v>6477.94</v>
      </c>
      <c r="G3286" s="17" t="n"/>
      <c r="H3286" s="16" t="n">
        <v>12917.08</v>
      </c>
      <c r="I3286" s="16" t="n">
        <v>0</v>
      </c>
    </row>
    <row r="3287">
      <c r="A3287" t="inlineStr">
        <is>
          <t>MTR-IOS-3287</t>
        </is>
      </c>
      <c r="B3287" t="inlineStr">
        <is>
          <t>Family Household</t>
        </is>
      </c>
      <c r="C3287" t="inlineStr">
        <is>
          <t>SHARES</t>
        </is>
      </c>
      <c r="D3287" t="inlineStr">
        <is>
          <t>IOS Owner</t>
        </is>
      </c>
      <c r="E3287" s="16" t="n">
        <v>17910.75</v>
      </c>
      <c r="F3287" s="16" t="n">
        <v>8955.379999999999</v>
      </c>
      <c r="G3287" s="17" t="n"/>
      <c r="H3287" s="16" t="n">
        <v>8955.370000000001</v>
      </c>
      <c r="I3287" s="16" t="n">
        <v>0</v>
      </c>
    </row>
    <row r="3288">
      <c r="A3288" t="inlineStr">
        <is>
          <t>MTR-IOS-3287</t>
        </is>
      </c>
      <c r="B3288" t="inlineStr">
        <is>
          <t>Family Household</t>
        </is>
      </c>
      <c r="C3288" t="inlineStr">
        <is>
          <t>SHARES</t>
        </is>
      </c>
      <c r="D3288" t="inlineStr">
        <is>
          <t>IOS Aarav</t>
        </is>
      </c>
      <c r="E3288" s="16" t="n">
        <v>0</v>
      </c>
      <c r="F3288" s="16" t="n">
        <v>5970.25</v>
      </c>
      <c r="G3288" s="17" t="n"/>
      <c r="H3288" s="16" t="n">
        <v>-5970.25</v>
      </c>
      <c r="I3288" s="16" t="n">
        <v>0</v>
      </c>
    </row>
    <row r="3289">
      <c r="A3289" t="inlineStr">
        <is>
          <t>MTR-IOS-3287</t>
        </is>
      </c>
      <c r="B3289" t="inlineStr">
        <is>
          <t>Family Household</t>
        </is>
      </c>
      <c r="C3289" t="inlineStr">
        <is>
          <t>SHARES</t>
        </is>
      </c>
      <c r="D3289" t="inlineStr">
        <is>
          <t>IOS Meera</t>
        </is>
      </c>
      <c r="E3289" s="16" t="n">
        <v>0</v>
      </c>
      <c r="F3289" s="16" t="n">
        <v>2985.12</v>
      </c>
      <c r="G3289" s="17" t="n"/>
      <c r="H3289" s="16" t="n">
        <v>-2985.12</v>
      </c>
      <c r="I3289" s="16" t="n">
        <v>0</v>
      </c>
    </row>
    <row r="3290">
      <c r="A3290" t="inlineStr">
        <is>
          <t>MTR-IOS-3290</t>
        </is>
      </c>
      <c r="B3290" t="inlineStr">
        <is>
          <t>Family Household</t>
        </is>
      </c>
      <c r="C3290" t="inlineStr">
        <is>
          <t>EQUAL</t>
        </is>
      </c>
      <c r="D3290" t="inlineStr">
        <is>
          <t>IOS Owner</t>
        </is>
      </c>
      <c r="E3290" s="16" t="n">
        <v>0</v>
      </c>
      <c r="F3290" s="16" t="n">
        <v>6956.19</v>
      </c>
      <c r="G3290" s="17" t="n"/>
      <c r="H3290" s="16" t="n">
        <v>-6956.19</v>
      </c>
      <c r="I3290" s="16" t="n">
        <v>0</v>
      </c>
    </row>
    <row r="3291">
      <c r="A3291" t="inlineStr">
        <is>
          <t>MTR-IOS-3290</t>
        </is>
      </c>
      <c r="B3291" t="inlineStr">
        <is>
          <t>Family Household</t>
        </is>
      </c>
      <c r="C3291" t="inlineStr">
        <is>
          <t>EQUAL</t>
        </is>
      </c>
      <c r="D3291" t="inlineStr">
        <is>
          <t>IOS Aarav</t>
        </is>
      </c>
      <c r="E3291" s="16" t="n">
        <v>20868.58</v>
      </c>
      <c r="F3291" s="16" t="n">
        <v>6956.19</v>
      </c>
      <c r="G3291" s="17" t="n"/>
      <c r="H3291" s="16" t="n">
        <v>13912.39</v>
      </c>
      <c r="I3291" s="16" t="n">
        <v>0</v>
      </c>
    </row>
    <row r="3292">
      <c r="A3292" t="inlineStr">
        <is>
          <t>MTR-IOS-3290</t>
        </is>
      </c>
      <c r="B3292" t="inlineStr">
        <is>
          <t>Family Household</t>
        </is>
      </c>
      <c r="C3292" t="inlineStr">
        <is>
          <t>EQUAL</t>
        </is>
      </c>
      <c r="D3292" t="inlineStr">
        <is>
          <t>IOS Meera</t>
        </is>
      </c>
      <c r="E3292" s="16" t="n">
        <v>0</v>
      </c>
      <c r="F3292" s="16" t="n">
        <v>6956.2</v>
      </c>
      <c r="G3292" s="17" t="n"/>
      <c r="H3292" s="16" t="n">
        <v>-6956.2</v>
      </c>
      <c r="I3292" s="16" t="n">
        <v>0</v>
      </c>
    </row>
    <row r="3293">
      <c r="A3293" t="inlineStr">
        <is>
          <t>MTR-IOS-3293</t>
        </is>
      </c>
      <c r="B3293" t="inlineStr">
        <is>
          <t>Family Household</t>
        </is>
      </c>
      <c r="C3293" t="inlineStr">
        <is>
          <t>PERCENTAGE</t>
        </is>
      </c>
      <c r="D3293" t="inlineStr">
        <is>
          <t>IOS Owner</t>
        </is>
      </c>
      <c r="E3293" s="16" t="n">
        <v>0</v>
      </c>
      <c r="F3293" s="16" t="n">
        <v>5000</v>
      </c>
      <c r="G3293" s="17" t="n">
        <v>50</v>
      </c>
      <c r="H3293" s="16" t="n">
        <v>-5000</v>
      </c>
      <c r="I3293" s="16" t="n">
        <v>0</v>
      </c>
    </row>
    <row r="3294">
      <c r="A3294" t="inlineStr">
        <is>
          <t>MTR-IOS-3293</t>
        </is>
      </c>
      <c r="B3294" t="inlineStr">
        <is>
          <t>Family Household</t>
        </is>
      </c>
      <c r="C3294" t="inlineStr">
        <is>
          <t>PERCENTAGE</t>
        </is>
      </c>
      <c r="D3294" t="inlineStr">
        <is>
          <t>IOS Aarav</t>
        </is>
      </c>
      <c r="E3294" s="16" t="n">
        <v>0</v>
      </c>
      <c r="F3294" s="16" t="n">
        <v>3000</v>
      </c>
      <c r="G3294" s="17" t="n">
        <v>30</v>
      </c>
      <c r="H3294" s="16" t="n">
        <v>-3000</v>
      </c>
      <c r="I3294" s="16" t="n">
        <v>0</v>
      </c>
    </row>
    <row r="3295">
      <c r="A3295" t="inlineStr">
        <is>
          <t>MTR-IOS-3293</t>
        </is>
      </c>
      <c r="B3295" t="inlineStr">
        <is>
          <t>Family Household</t>
        </is>
      </c>
      <c r="C3295" t="inlineStr">
        <is>
          <t>PERCENTAGE</t>
        </is>
      </c>
      <c r="D3295" t="inlineStr">
        <is>
          <t>IOS Meera</t>
        </is>
      </c>
      <c r="E3295" s="16" t="n">
        <v>10000</v>
      </c>
      <c r="F3295" s="16" t="n">
        <v>2000</v>
      </c>
      <c r="G3295" s="17" t="n">
        <v>20</v>
      </c>
      <c r="H3295" s="16" t="n">
        <v>8000</v>
      </c>
      <c r="I3295" s="16" t="n">
        <v>0</v>
      </c>
    </row>
    <row r="3296">
      <c r="A3296" t="inlineStr">
        <is>
          <t>MTR-IOS-3296</t>
        </is>
      </c>
      <c r="B3296" t="inlineStr">
        <is>
          <t>Family Household</t>
        </is>
      </c>
      <c r="C3296" t="inlineStr">
        <is>
          <t>EXACT</t>
        </is>
      </c>
      <c r="D3296" t="inlineStr">
        <is>
          <t>IOS Owner</t>
        </is>
      </c>
      <c r="E3296" s="16" t="n">
        <v>3562.26</v>
      </c>
      <c r="F3296" s="16" t="n">
        <v>1186.23</v>
      </c>
      <c r="G3296" s="17" t="n"/>
      <c r="H3296" s="16" t="n">
        <v>2376.03</v>
      </c>
      <c r="I3296" s="16" t="n">
        <v>0</v>
      </c>
    </row>
    <row r="3297">
      <c r="A3297" t="inlineStr">
        <is>
          <t>MTR-IOS-3296</t>
        </is>
      </c>
      <c r="B3297" t="inlineStr">
        <is>
          <t>Family Household</t>
        </is>
      </c>
      <c r="C3297" t="inlineStr">
        <is>
          <t>EXACT</t>
        </is>
      </c>
      <c r="D3297" t="inlineStr">
        <is>
          <t>IOS Aarav</t>
        </is>
      </c>
      <c r="E3297" s="16" t="n">
        <v>0</v>
      </c>
      <c r="F3297" s="16" t="n">
        <v>1186.23</v>
      </c>
      <c r="G3297" s="17" t="n"/>
      <c r="H3297" s="16" t="n">
        <v>-1186.23</v>
      </c>
      <c r="I3297" s="16" t="n">
        <v>0</v>
      </c>
    </row>
    <row r="3298">
      <c r="A3298" t="inlineStr">
        <is>
          <t>MTR-IOS-3296</t>
        </is>
      </c>
      <c r="B3298" t="inlineStr">
        <is>
          <t>Family Household</t>
        </is>
      </c>
      <c r="C3298" t="inlineStr">
        <is>
          <t>EXACT</t>
        </is>
      </c>
      <c r="D3298" t="inlineStr">
        <is>
          <t>IOS Meera</t>
        </is>
      </c>
      <c r="E3298" s="16" t="n">
        <v>0</v>
      </c>
      <c r="F3298" s="16" t="n">
        <v>1189.8</v>
      </c>
      <c r="G3298" s="17" t="n"/>
      <c r="H3298" s="16" t="n">
        <v>-1189.8</v>
      </c>
      <c r="I3298" s="16" t="n">
        <v>0</v>
      </c>
    </row>
    <row r="3299">
      <c r="A3299" t="inlineStr">
        <is>
          <t>MTR-IOS-3299</t>
        </is>
      </c>
      <c r="B3299" t="inlineStr">
        <is>
          <t>Family Household</t>
        </is>
      </c>
      <c r="C3299" t="inlineStr">
        <is>
          <t>SHARES</t>
        </is>
      </c>
      <c r="D3299" t="inlineStr">
        <is>
          <t>IOS Owner</t>
        </is>
      </c>
      <c r="E3299" s="16" t="n">
        <v>0</v>
      </c>
      <c r="F3299" s="16" t="n">
        <v>2875.32</v>
      </c>
      <c r="G3299" s="17" t="n"/>
      <c r="H3299" s="16" t="n">
        <v>-2875.32</v>
      </c>
      <c r="I3299" s="16" t="n">
        <v>0</v>
      </c>
    </row>
    <row r="3300">
      <c r="A3300" t="inlineStr">
        <is>
          <t>MTR-IOS-3299</t>
        </is>
      </c>
      <c r="B3300" t="inlineStr">
        <is>
          <t>Family Household</t>
        </is>
      </c>
      <c r="C3300" t="inlineStr">
        <is>
          <t>SHARES</t>
        </is>
      </c>
      <c r="D3300" t="inlineStr">
        <is>
          <t>IOS Aarav</t>
        </is>
      </c>
      <c r="E3300" s="16" t="n">
        <v>5750.63</v>
      </c>
      <c r="F3300" s="16" t="n">
        <v>1916.88</v>
      </c>
      <c r="G3300" s="17" t="n"/>
      <c r="H3300" s="16" t="n">
        <v>3833.75</v>
      </c>
      <c r="I3300" s="16" t="n">
        <v>0</v>
      </c>
    </row>
    <row r="3301">
      <c r="A3301" t="inlineStr">
        <is>
          <t>MTR-IOS-3299</t>
        </is>
      </c>
      <c r="B3301" t="inlineStr">
        <is>
          <t>Family Household</t>
        </is>
      </c>
      <c r="C3301" t="inlineStr">
        <is>
          <t>SHARES</t>
        </is>
      </c>
      <c r="D3301" t="inlineStr">
        <is>
          <t>IOS Meera</t>
        </is>
      </c>
      <c r="E3301" s="16" t="n">
        <v>0</v>
      </c>
      <c r="F3301" s="16" t="n">
        <v>958.4299999999999</v>
      </c>
      <c r="G3301" s="17" t="n"/>
      <c r="H3301" s="16" t="n">
        <v>-958.4299999999999</v>
      </c>
      <c r="I3301" s="16" t="n">
        <v>0</v>
      </c>
    </row>
    <row r="3302">
      <c r="A3302" t="inlineStr">
        <is>
          <t>MTR-IOS-3302</t>
        </is>
      </c>
      <c r="B3302" t="inlineStr">
        <is>
          <t>Custom Living</t>
        </is>
      </c>
      <c r="C3302" t="inlineStr">
        <is>
          <t>EQUAL</t>
        </is>
      </c>
      <c r="D3302" t="inlineStr">
        <is>
          <t>IOS Owner</t>
        </is>
      </c>
      <c r="E3302" s="16" t="n">
        <v>0</v>
      </c>
      <c r="F3302" s="16" t="n">
        <v>2861.57</v>
      </c>
      <c r="G3302" s="17" t="n"/>
      <c r="H3302" s="16" t="n">
        <v>-2861.57</v>
      </c>
      <c r="I3302" s="16" t="n">
        <v>0</v>
      </c>
    </row>
    <row r="3303">
      <c r="A3303" t="inlineStr">
        <is>
          <t>MTR-IOS-3302</t>
        </is>
      </c>
      <c r="B3303" t="inlineStr">
        <is>
          <t>Custom Living</t>
        </is>
      </c>
      <c r="C3303" t="inlineStr">
        <is>
          <t>EQUAL</t>
        </is>
      </c>
      <c r="D3303" t="inlineStr">
        <is>
          <t>IOS Aarav</t>
        </is>
      </c>
      <c r="E3303" s="16" t="n">
        <v>0</v>
      </c>
      <c r="F3303" s="16" t="n">
        <v>2861.57</v>
      </c>
      <c r="G3303" s="17" t="n"/>
      <c r="H3303" s="16" t="n">
        <v>-2861.57</v>
      </c>
      <c r="I3303" s="16" t="n">
        <v>0</v>
      </c>
    </row>
    <row r="3304">
      <c r="A3304" t="inlineStr">
        <is>
          <t>MTR-IOS-3302</t>
        </is>
      </c>
      <c r="B3304" t="inlineStr">
        <is>
          <t>Custom Living</t>
        </is>
      </c>
      <c r="C3304" t="inlineStr">
        <is>
          <t>EQUAL</t>
        </is>
      </c>
      <c r="D3304" t="inlineStr">
        <is>
          <t>IOS Meera</t>
        </is>
      </c>
      <c r="E3304" s="16" t="n">
        <v>8584.709999999999</v>
      </c>
      <c r="F3304" s="16" t="n">
        <v>2861.57</v>
      </c>
      <c r="G3304" s="17" t="n"/>
      <c r="H3304" s="16" t="n">
        <v>5723.14</v>
      </c>
      <c r="I3304" s="16" t="n">
        <v>0</v>
      </c>
    </row>
    <row r="3305">
      <c r="A3305" t="inlineStr">
        <is>
          <t>MTR-IOS-3305</t>
        </is>
      </c>
      <c r="B3305" t="inlineStr">
        <is>
          <t>Custom Living</t>
        </is>
      </c>
      <c r="C3305" t="inlineStr">
        <is>
          <t>PERCENTAGE</t>
        </is>
      </c>
      <c r="D3305" t="inlineStr">
        <is>
          <t>IOS Owner</t>
        </is>
      </c>
      <c r="E3305" s="16" t="n">
        <v>7655.86</v>
      </c>
      <c r="F3305" s="16" t="n">
        <v>3827.93</v>
      </c>
      <c r="G3305" s="17" t="n">
        <v>50</v>
      </c>
      <c r="H3305" s="16" t="n">
        <v>3827.93</v>
      </c>
      <c r="I3305" s="16" t="n">
        <v>0</v>
      </c>
    </row>
    <row r="3306">
      <c r="A3306" t="inlineStr">
        <is>
          <t>MTR-IOS-3305</t>
        </is>
      </c>
      <c r="B3306" t="inlineStr">
        <is>
          <t>Custom Living</t>
        </is>
      </c>
      <c r="C3306" t="inlineStr">
        <is>
          <t>PERCENTAGE</t>
        </is>
      </c>
      <c r="D3306" t="inlineStr">
        <is>
          <t>IOS Aarav</t>
        </is>
      </c>
      <c r="E3306" s="16" t="n">
        <v>0</v>
      </c>
      <c r="F3306" s="16" t="n">
        <v>2296.76</v>
      </c>
      <c r="G3306" s="17" t="n">
        <v>30</v>
      </c>
      <c r="H3306" s="16" t="n">
        <v>-2296.76</v>
      </c>
      <c r="I3306" s="16" t="n">
        <v>0</v>
      </c>
    </row>
    <row r="3307">
      <c r="A3307" t="inlineStr">
        <is>
          <t>MTR-IOS-3305</t>
        </is>
      </c>
      <c r="B3307" t="inlineStr">
        <is>
          <t>Custom Living</t>
        </is>
      </c>
      <c r="C3307" t="inlineStr">
        <is>
          <t>PERCENTAGE</t>
        </is>
      </c>
      <c r="D3307" t="inlineStr">
        <is>
          <t>IOS Meera</t>
        </is>
      </c>
      <c r="E3307" s="16" t="n">
        <v>0</v>
      </c>
      <c r="F3307" s="16" t="n">
        <v>1531.17</v>
      </c>
      <c r="G3307" s="17" t="n">
        <v>20</v>
      </c>
      <c r="H3307" s="16" t="n">
        <v>-1531.17</v>
      </c>
      <c r="I3307" s="16" t="n">
        <v>0</v>
      </c>
    </row>
    <row r="3308">
      <c r="A3308" t="inlineStr">
        <is>
          <t>MTR-IOS-3308</t>
        </is>
      </c>
      <c r="B3308" t="inlineStr">
        <is>
          <t>Trip</t>
        </is>
      </c>
      <c r="C3308" t="inlineStr">
        <is>
          <t>EXACT</t>
        </is>
      </c>
      <c r="D3308" t="inlineStr">
        <is>
          <t>IOS Owner</t>
        </is>
      </c>
      <c r="E3308" s="16" t="n">
        <v>0</v>
      </c>
      <c r="F3308" s="16" t="n">
        <v>6311.17</v>
      </c>
      <c r="G3308" s="17" t="n"/>
      <c r="H3308" s="16" t="n">
        <v>-6311.17</v>
      </c>
      <c r="I3308" s="16" t="n">
        <v>0</v>
      </c>
    </row>
    <row r="3309">
      <c r="A3309" t="inlineStr">
        <is>
          <t>MTR-IOS-3308</t>
        </is>
      </c>
      <c r="B3309" t="inlineStr">
        <is>
          <t>Trip</t>
        </is>
      </c>
      <c r="C3309" t="inlineStr">
        <is>
          <t>EXACT</t>
        </is>
      </c>
      <c r="D3309" t="inlineStr">
        <is>
          <t>IOS Aarav</t>
        </is>
      </c>
      <c r="E3309" s="16" t="n">
        <v>18952.46</v>
      </c>
      <c r="F3309" s="16" t="n">
        <v>6311.17</v>
      </c>
      <c r="G3309" s="17" t="n"/>
      <c r="H3309" s="16" t="n">
        <v>12641.29</v>
      </c>
      <c r="I3309" s="16" t="n">
        <v>0</v>
      </c>
    </row>
    <row r="3310">
      <c r="A3310" t="inlineStr">
        <is>
          <t>MTR-IOS-3308</t>
        </is>
      </c>
      <c r="B3310" t="inlineStr">
        <is>
          <t>Trip</t>
        </is>
      </c>
      <c r="C3310" t="inlineStr">
        <is>
          <t>EXACT</t>
        </is>
      </c>
      <c r="D3310" t="inlineStr">
        <is>
          <t>IOS Meera</t>
        </is>
      </c>
      <c r="E3310" s="16" t="n">
        <v>0</v>
      </c>
      <c r="F3310" s="16" t="n">
        <v>6330.12</v>
      </c>
      <c r="G3310" s="17" t="n"/>
      <c r="H3310" s="16" t="n">
        <v>-6330.12</v>
      </c>
      <c r="I3310" s="16" t="n">
        <v>0</v>
      </c>
    </row>
    <row r="3311">
      <c r="A3311" t="inlineStr">
        <is>
          <t>MTR-IOS-3311</t>
        </is>
      </c>
      <c r="B3311" t="inlineStr">
        <is>
          <t>Trip</t>
        </is>
      </c>
      <c r="C3311" t="inlineStr">
        <is>
          <t>SHARES</t>
        </is>
      </c>
      <c r="D3311" t="inlineStr">
        <is>
          <t>IOS Owner</t>
        </is>
      </c>
      <c r="E3311" s="16" t="n">
        <v>0</v>
      </c>
      <c r="F3311" s="16" t="n">
        <v>12895.48</v>
      </c>
      <c r="G3311" s="17" t="n"/>
      <c r="H3311" s="16" t="n">
        <v>-12895.48</v>
      </c>
      <c r="I3311" s="16" t="n">
        <v>0</v>
      </c>
    </row>
    <row r="3312">
      <c r="A3312" t="inlineStr">
        <is>
          <t>MTR-IOS-3311</t>
        </is>
      </c>
      <c r="B3312" t="inlineStr">
        <is>
          <t>Trip</t>
        </is>
      </c>
      <c r="C3312" t="inlineStr">
        <is>
          <t>SHARES</t>
        </is>
      </c>
      <c r="D3312" t="inlineStr">
        <is>
          <t>IOS Aarav</t>
        </is>
      </c>
      <c r="E3312" s="16" t="n">
        <v>0</v>
      </c>
      <c r="F3312" s="16" t="n">
        <v>8596.98</v>
      </c>
      <c r="G3312" s="17" t="n"/>
      <c r="H3312" s="16" t="n">
        <v>-8596.98</v>
      </c>
      <c r="I3312" s="16" t="n">
        <v>0</v>
      </c>
    </row>
    <row r="3313">
      <c r="A3313" t="inlineStr">
        <is>
          <t>MTR-IOS-3311</t>
        </is>
      </c>
      <c r="B3313" t="inlineStr">
        <is>
          <t>Trip</t>
        </is>
      </c>
      <c r="C3313" t="inlineStr">
        <is>
          <t>SHARES</t>
        </is>
      </c>
      <c r="D3313" t="inlineStr">
        <is>
          <t>IOS Meera</t>
        </is>
      </c>
      <c r="E3313" s="16" t="n">
        <v>25790.95</v>
      </c>
      <c r="F3313" s="16" t="n">
        <v>4298.49</v>
      </c>
      <c r="G3313" s="17" t="n"/>
      <c r="H3313" s="16" t="n">
        <v>21492.46</v>
      </c>
      <c r="I3313" s="16" t="n">
        <v>0</v>
      </c>
    </row>
    <row r="3314">
      <c r="A3314" t="inlineStr">
        <is>
          <t>MTR-IOS-3314</t>
        </is>
      </c>
      <c r="B3314" t="inlineStr">
        <is>
          <t>Trip</t>
        </is>
      </c>
      <c r="C3314" t="inlineStr">
        <is>
          <t>EQUAL</t>
        </is>
      </c>
      <c r="D3314" t="inlineStr">
        <is>
          <t>IOS Owner</t>
        </is>
      </c>
      <c r="E3314" s="16" t="n">
        <v>6806.4</v>
      </c>
      <c r="F3314" s="16" t="n">
        <v>2268.8</v>
      </c>
      <c r="G3314" s="17" t="n"/>
      <c r="H3314" s="16" t="n">
        <v>4537.6</v>
      </c>
      <c r="I3314" s="16" t="n">
        <v>0</v>
      </c>
    </row>
    <row r="3315">
      <c r="A3315" t="inlineStr">
        <is>
          <t>MTR-IOS-3314</t>
        </is>
      </c>
      <c r="B3315" t="inlineStr">
        <is>
          <t>Trip</t>
        </is>
      </c>
      <c r="C3315" t="inlineStr">
        <is>
          <t>EQUAL</t>
        </is>
      </c>
      <c r="D3315" t="inlineStr">
        <is>
          <t>IOS Aarav</t>
        </is>
      </c>
      <c r="E3315" s="16" t="n">
        <v>0</v>
      </c>
      <c r="F3315" s="16" t="n">
        <v>2268.8</v>
      </c>
      <c r="G3315" s="17" t="n"/>
      <c r="H3315" s="16" t="n">
        <v>-2268.8</v>
      </c>
      <c r="I3315" s="16" t="n">
        <v>0</v>
      </c>
    </row>
    <row r="3316">
      <c r="A3316" t="inlineStr">
        <is>
          <t>MTR-IOS-3314</t>
        </is>
      </c>
      <c r="B3316" t="inlineStr">
        <is>
          <t>Trip</t>
        </is>
      </c>
      <c r="C3316" t="inlineStr">
        <is>
          <t>EQUAL</t>
        </is>
      </c>
      <c r="D3316" t="inlineStr">
        <is>
          <t>IOS Meera</t>
        </is>
      </c>
      <c r="E3316" s="16" t="n">
        <v>0</v>
      </c>
      <c r="F3316" s="16" t="n">
        <v>2268.8</v>
      </c>
      <c r="G3316" s="17" t="n"/>
      <c r="H3316" s="16" t="n">
        <v>-2268.8</v>
      </c>
      <c r="I3316" s="16" t="n">
        <v>0</v>
      </c>
    </row>
    <row r="3317">
      <c r="A3317" t="inlineStr">
        <is>
          <t>MTR-IOS-3317</t>
        </is>
      </c>
      <c r="B3317" t="inlineStr">
        <is>
          <t>Trip</t>
        </is>
      </c>
      <c r="C3317" t="inlineStr">
        <is>
          <t>PERCENTAGE</t>
        </is>
      </c>
      <c r="D3317" t="inlineStr">
        <is>
          <t>IOS Owner</t>
        </is>
      </c>
      <c r="E3317" s="16" t="n">
        <v>0</v>
      </c>
      <c r="F3317" s="16" t="n">
        <v>96.52</v>
      </c>
      <c r="G3317" s="17" t="n">
        <v>50</v>
      </c>
      <c r="H3317" s="16" t="n">
        <v>-96.52</v>
      </c>
      <c r="I3317" s="16" t="n">
        <v>0</v>
      </c>
    </row>
    <row r="3318">
      <c r="A3318" t="inlineStr">
        <is>
          <t>MTR-IOS-3317</t>
        </is>
      </c>
      <c r="B3318" t="inlineStr">
        <is>
          <t>Trip</t>
        </is>
      </c>
      <c r="C3318" t="inlineStr">
        <is>
          <t>PERCENTAGE</t>
        </is>
      </c>
      <c r="D3318" t="inlineStr">
        <is>
          <t>IOS Aarav</t>
        </is>
      </c>
      <c r="E3318" s="16" t="n">
        <v>193.04</v>
      </c>
      <c r="F3318" s="16" t="n">
        <v>57.91</v>
      </c>
      <c r="G3318" s="17" t="n">
        <v>30</v>
      </c>
      <c r="H3318" s="16" t="n">
        <v>135.13</v>
      </c>
      <c r="I3318" s="16" t="n">
        <v>0</v>
      </c>
    </row>
    <row r="3319">
      <c r="A3319" t="inlineStr">
        <is>
          <t>MTR-IOS-3317</t>
        </is>
      </c>
      <c r="B3319" t="inlineStr">
        <is>
          <t>Trip</t>
        </is>
      </c>
      <c r="C3319" t="inlineStr">
        <is>
          <t>PERCENTAGE</t>
        </is>
      </c>
      <c r="D3319" t="inlineStr">
        <is>
          <t>IOS Meera</t>
        </is>
      </c>
      <c r="E3319" s="16" t="n">
        <v>0</v>
      </c>
      <c r="F3319" s="16" t="n">
        <v>38.61</v>
      </c>
      <c r="G3319" s="17" t="n">
        <v>20</v>
      </c>
      <c r="H3319" s="16" t="n">
        <v>-38.61</v>
      </c>
      <c r="I3319" s="16" t="n">
        <v>0</v>
      </c>
    </row>
    <row r="3320">
      <c r="A3320" t="inlineStr">
        <is>
          <t>MTR-IOS-3320</t>
        </is>
      </c>
      <c r="B3320" t="inlineStr">
        <is>
          <t>Trip</t>
        </is>
      </c>
      <c r="C3320" t="inlineStr">
        <is>
          <t>EXACT</t>
        </is>
      </c>
      <c r="D3320" t="inlineStr">
        <is>
          <t>IOS Owner</t>
        </is>
      </c>
      <c r="E3320" s="16" t="n">
        <v>0</v>
      </c>
      <c r="F3320" s="16" t="n">
        <v>5625.23</v>
      </c>
      <c r="G3320" s="17" t="n"/>
      <c r="H3320" s="16" t="n">
        <v>-5625.23</v>
      </c>
      <c r="I3320" s="16" t="n">
        <v>0</v>
      </c>
    </row>
    <row r="3321">
      <c r="A3321" t="inlineStr">
        <is>
          <t>MTR-IOS-3320</t>
        </is>
      </c>
      <c r="B3321" t="inlineStr">
        <is>
          <t>Trip</t>
        </is>
      </c>
      <c r="C3321" t="inlineStr">
        <is>
          <t>EXACT</t>
        </is>
      </c>
      <c r="D3321" t="inlineStr">
        <is>
          <t>IOS Aarav</t>
        </is>
      </c>
      <c r="E3321" s="16" t="n">
        <v>0</v>
      </c>
      <c r="F3321" s="16" t="n">
        <v>5625.23</v>
      </c>
      <c r="G3321" s="17" t="n"/>
      <c r="H3321" s="16" t="n">
        <v>-5625.23</v>
      </c>
      <c r="I3321" s="16" t="n">
        <v>0</v>
      </c>
    </row>
    <row r="3322">
      <c r="A3322" t="inlineStr">
        <is>
          <t>MTR-IOS-3320</t>
        </is>
      </c>
      <c r="B3322" t="inlineStr">
        <is>
          <t>Trip</t>
        </is>
      </c>
      <c r="C3322" t="inlineStr">
        <is>
          <t>EXACT</t>
        </is>
      </c>
      <c r="D3322" t="inlineStr">
        <is>
          <t>IOS Meera</t>
        </is>
      </c>
      <c r="E3322" s="16" t="n">
        <v>16892.57</v>
      </c>
      <c r="F3322" s="16" t="n">
        <v>5642.11</v>
      </c>
      <c r="G3322" s="17" t="n"/>
      <c r="H3322" s="16" t="n">
        <v>11250.46</v>
      </c>
      <c r="I3322" s="16" t="n">
        <v>0</v>
      </c>
    </row>
    <row r="3323">
      <c r="A3323" t="inlineStr">
        <is>
          <t>MTR-IOS-3323</t>
        </is>
      </c>
      <c r="B3323" t="inlineStr">
        <is>
          <t>Trip</t>
        </is>
      </c>
      <c r="C3323" t="inlineStr">
        <is>
          <t>SHARES</t>
        </is>
      </c>
      <c r="D3323" t="inlineStr">
        <is>
          <t>IOS Owner</t>
        </is>
      </c>
      <c r="E3323" s="16" t="n">
        <v>12860.28</v>
      </c>
      <c r="F3323" s="16" t="n">
        <v>6430.14</v>
      </c>
      <c r="G3323" s="17" t="n"/>
      <c r="H3323" s="16" t="n">
        <v>6430.14</v>
      </c>
      <c r="I3323" s="16" t="n">
        <v>0</v>
      </c>
    </row>
    <row r="3324">
      <c r="A3324" t="inlineStr">
        <is>
          <t>MTR-IOS-3323</t>
        </is>
      </c>
      <c r="B3324" t="inlineStr">
        <is>
          <t>Trip</t>
        </is>
      </c>
      <c r="C3324" t="inlineStr">
        <is>
          <t>SHARES</t>
        </is>
      </c>
      <c r="D3324" t="inlineStr">
        <is>
          <t>IOS Aarav</t>
        </is>
      </c>
      <c r="E3324" s="16" t="n">
        <v>0</v>
      </c>
      <c r="F3324" s="16" t="n">
        <v>4286.76</v>
      </c>
      <c r="G3324" s="17" t="n"/>
      <c r="H3324" s="16" t="n">
        <v>-4286.76</v>
      </c>
      <c r="I3324" s="16" t="n">
        <v>0</v>
      </c>
    </row>
    <row r="3325">
      <c r="A3325" t="inlineStr">
        <is>
          <t>MTR-IOS-3323</t>
        </is>
      </c>
      <c r="B3325" t="inlineStr">
        <is>
          <t>Trip</t>
        </is>
      </c>
      <c r="C3325" t="inlineStr">
        <is>
          <t>SHARES</t>
        </is>
      </c>
      <c r="D3325" t="inlineStr">
        <is>
          <t>IOS Meera</t>
        </is>
      </c>
      <c r="E3325" s="16" t="n">
        <v>0</v>
      </c>
      <c r="F3325" s="16" t="n">
        <v>2143.38</v>
      </c>
      <c r="G3325" s="17" t="n"/>
      <c r="H3325" s="16" t="n">
        <v>-2143.38</v>
      </c>
      <c r="I3325" s="16" t="n">
        <v>0</v>
      </c>
    </row>
    <row r="3326">
      <c r="A3326" t="inlineStr">
        <is>
          <t>MTR-IOS-3326</t>
        </is>
      </c>
      <c r="B3326" t="inlineStr">
        <is>
          <t>Trip</t>
        </is>
      </c>
      <c r="C3326" t="inlineStr">
        <is>
          <t>EQUAL</t>
        </is>
      </c>
      <c r="D3326" t="inlineStr">
        <is>
          <t>IOS Owner</t>
        </is>
      </c>
      <c r="E3326" s="16" t="n">
        <v>0</v>
      </c>
      <c r="F3326" s="16" t="n">
        <v>6846.65</v>
      </c>
      <c r="G3326" s="17" t="n"/>
      <c r="H3326" s="16" t="n">
        <v>-6846.65</v>
      </c>
      <c r="I3326" s="16" t="n">
        <v>0</v>
      </c>
    </row>
    <row r="3327">
      <c r="A3327" t="inlineStr">
        <is>
          <t>MTR-IOS-3326</t>
        </is>
      </c>
      <c r="B3327" t="inlineStr">
        <is>
          <t>Trip</t>
        </is>
      </c>
      <c r="C3327" t="inlineStr">
        <is>
          <t>EQUAL</t>
        </is>
      </c>
      <c r="D3327" t="inlineStr">
        <is>
          <t>IOS Aarav</t>
        </is>
      </c>
      <c r="E3327" s="16" t="n">
        <v>20539.94</v>
      </c>
      <c r="F3327" s="16" t="n">
        <v>6846.65</v>
      </c>
      <c r="G3327" s="17" t="n"/>
      <c r="H3327" s="16" t="n">
        <v>13693.29</v>
      </c>
      <c r="I3327" s="16" t="n">
        <v>0</v>
      </c>
    </row>
    <row r="3328">
      <c r="A3328" t="inlineStr">
        <is>
          <t>MTR-IOS-3326</t>
        </is>
      </c>
      <c r="B3328" t="inlineStr">
        <is>
          <t>Trip</t>
        </is>
      </c>
      <c r="C3328" t="inlineStr">
        <is>
          <t>EQUAL</t>
        </is>
      </c>
      <c r="D3328" t="inlineStr">
        <is>
          <t>IOS Meera</t>
        </is>
      </c>
      <c r="E3328" s="16" t="n">
        <v>0</v>
      </c>
      <c r="F3328" s="16" t="n">
        <v>6846.64</v>
      </c>
      <c r="G3328" s="17" t="n"/>
      <c r="H3328" s="16" t="n">
        <v>-6846.64</v>
      </c>
      <c r="I3328" s="16" t="n">
        <v>0</v>
      </c>
    </row>
    <row r="3329">
      <c r="A3329" t="inlineStr">
        <is>
          <t>MTR-IOS-3329</t>
        </is>
      </c>
      <c r="B3329" t="inlineStr">
        <is>
          <t>Wedding</t>
        </is>
      </c>
      <c r="C3329" t="inlineStr">
        <is>
          <t>PERCENTAGE</t>
        </is>
      </c>
      <c r="D3329" t="inlineStr">
        <is>
          <t>IOS Owner</t>
        </is>
      </c>
      <c r="E3329" s="16" t="n">
        <v>0</v>
      </c>
      <c r="F3329" s="16" t="n">
        <v>3786.25</v>
      </c>
      <c r="G3329" s="17" t="n">
        <v>50</v>
      </c>
      <c r="H3329" s="16" t="n">
        <v>-3786.25</v>
      </c>
      <c r="I3329" s="16" t="n">
        <v>0</v>
      </c>
    </row>
    <row r="3330">
      <c r="A3330" t="inlineStr">
        <is>
          <t>MTR-IOS-3329</t>
        </is>
      </c>
      <c r="B3330" t="inlineStr">
        <is>
          <t>Wedding</t>
        </is>
      </c>
      <c r="C3330" t="inlineStr">
        <is>
          <t>PERCENTAGE</t>
        </is>
      </c>
      <c r="D3330" t="inlineStr">
        <is>
          <t>IOS Aarav</t>
        </is>
      </c>
      <c r="E3330" s="16" t="n">
        <v>0</v>
      </c>
      <c r="F3330" s="16" t="n">
        <v>2271.75</v>
      </c>
      <c r="G3330" s="17" t="n">
        <v>30</v>
      </c>
      <c r="H3330" s="16" t="n">
        <v>-2271.75</v>
      </c>
      <c r="I3330" s="16" t="n">
        <v>0</v>
      </c>
    </row>
    <row r="3331">
      <c r="A3331" t="inlineStr">
        <is>
          <t>MTR-IOS-3329</t>
        </is>
      </c>
      <c r="B3331" t="inlineStr">
        <is>
          <t>Wedding</t>
        </is>
      </c>
      <c r="C3331" t="inlineStr">
        <is>
          <t>PERCENTAGE</t>
        </is>
      </c>
      <c r="D3331" t="inlineStr">
        <is>
          <t>IOS Meera</t>
        </is>
      </c>
      <c r="E3331" s="16" t="n">
        <v>7572.49</v>
      </c>
      <c r="F3331" s="16" t="n">
        <v>1514.49</v>
      </c>
      <c r="G3331" s="17" t="n">
        <v>20</v>
      </c>
      <c r="H3331" s="16" t="n">
        <v>6058</v>
      </c>
      <c r="I3331" s="16" t="n">
        <v>0</v>
      </c>
    </row>
    <row r="3332">
      <c r="A3332" t="inlineStr">
        <is>
          <t>MTR-IOS-3332</t>
        </is>
      </c>
      <c r="B3332" t="inlineStr">
        <is>
          <t>Wedding</t>
        </is>
      </c>
      <c r="C3332" t="inlineStr">
        <is>
          <t>EXACT</t>
        </is>
      </c>
      <c r="D3332" t="inlineStr">
        <is>
          <t>IOS Owner</t>
        </is>
      </c>
      <c r="E3332" s="16" t="n">
        <v>12417.84</v>
      </c>
      <c r="F3332" s="16" t="n">
        <v>4135.14</v>
      </c>
      <c r="G3332" s="17" t="n"/>
      <c r="H3332" s="16" t="n">
        <v>8282.700000000001</v>
      </c>
      <c r="I3332" s="16" t="n">
        <v>0</v>
      </c>
    </row>
    <row r="3333">
      <c r="A3333" t="inlineStr">
        <is>
          <t>MTR-IOS-3332</t>
        </is>
      </c>
      <c r="B3333" t="inlineStr">
        <is>
          <t>Wedding</t>
        </is>
      </c>
      <c r="C3333" t="inlineStr">
        <is>
          <t>EXACT</t>
        </is>
      </c>
      <c r="D3333" t="inlineStr">
        <is>
          <t>IOS Aarav</t>
        </is>
      </c>
      <c r="E3333" s="16" t="n">
        <v>0</v>
      </c>
      <c r="F3333" s="16" t="n">
        <v>4135.14</v>
      </c>
      <c r="G3333" s="17" t="n"/>
      <c r="H3333" s="16" t="n">
        <v>-4135.14</v>
      </c>
      <c r="I3333" s="16" t="n">
        <v>0</v>
      </c>
    </row>
    <row r="3334">
      <c r="A3334" t="inlineStr">
        <is>
          <t>MTR-IOS-3332</t>
        </is>
      </c>
      <c r="B3334" t="inlineStr">
        <is>
          <t>Wedding</t>
        </is>
      </c>
      <c r="C3334" t="inlineStr">
        <is>
          <t>EXACT</t>
        </is>
      </c>
      <c r="D3334" t="inlineStr">
        <is>
          <t>IOS Meera</t>
        </is>
      </c>
      <c r="E3334" s="16" t="n">
        <v>0</v>
      </c>
      <c r="F3334" s="16" t="n">
        <v>4147.56</v>
      </c>
      <c r="G3334" s="17" t="n"/>
      <c r="H3334" s="16" t="n">
        <v>-4147.56</v>
      </c>
      <c r="I3334" s="16" t="n">
        <v>0</v>
      </c>
    </row>
    <row r="3335">
      <c r="A3335" t="inlineStr">
        <is>
          <t>MTR-IOS-3335</t>
        </is>
      </c>
      <c r="B3335" t="inlineStr">
        <is>
          <t>Wedding</t>
        </is>
      </c>
      <c r="C3335" t="inlineStr">
        <is>
          <t>SHARES</t>
        </is>
      </c>
      <c r="D3335" t="inlineStr">
        <is>
          <t>IOS Owner</t>
        </is>
      </c>
      <c r="E3335" s="16" t="n">
        <v>0</v>
      </c>
      <c r="F3335" s="16" t="n">
        <v>6280.26</v>
      </c>
      <c r="G3335" s="17" t="n"/>
      <c r="H3335" s="16" t="n">
        <v>-6280.26</v>
      </c>
      <c r="I3335" s="16" t="n">
        <v>0</v>
      </c>
    </row>
    <row r="3336">
      <c r="A3336" t="inlineStr">
        <is>
          <t>MTR-IOS-3335</t>
        </is>
      </c>
      <c r="B3336" t="inlineStr">
        <is>
          <t>Wedding</t>
        </is>
      </c>
      <c r="C3336" t="inlineStr">
        <is>
          <t>SHARES</t>
        </is>
      </c>
      <c r="D3336" t="inlineStr">
        <is>
          <t>IOS Aarav</t>
        </is>
      </c>
      <c r="E3336" s="16" t="n">
        <v>12560.52</v>
      </c>
      <c r="F3336" s="16" t="n">
        <v>4186.84</v>
      </c>
      <c r="G3336" s="17" t="n"/>
      <c r="H3336" s="16" t="n">
        <v>8373.68</v>
      </c>
      <c r="I3336" s="16" t="n">
        <v>0</v>
      </c>
    </row>
    <row r="3337">
      <c r="A3337" t="inlineStr">
        <is>
          <t>MTR-IOS-3335</t>
        </is>
      </c>
      <c r="B3337" t="inlineStr">
        <is>
          <t>Wedding</t>
        </is>
      </c>
      <c r="C3337" t="inlineStr">
        <is>
          <t>SHARES</t>
        </is>
      </c>
      <c r="D3337" t="inlineStr">
        <is>
          <t>IOS Meera</t>
        </is>
      </c>
      <c r="E3337" s="16" t="n">
        <v>0</v>
      </c>
      <c r="F3337" s="16" t="n">
        <v>2093.42</v>
      </c>
      <c r="G3337" s="17" t="n"/>
      <c r="H3337" s="16" t="n">
        <v>-2093.42</v>
      </c>
      <c r="I3337" s="16" t="n">
        <v>0</v>
      </c>
    </row>
    <row r="3338">
      <c r="A3338" t="inlineStr">
        <is>
          <t>MTR-IOS-3338</t>
        </is>
      </c>
      <c r="B3338" t="inlineStr">
        <is>
          <t>Wedding</t>
        </is>
      </c>
      <c r="C3338" t="inlineStr">
        <is>
          <t>EQUAL</t>
        </is>
      </c>
      <c r="D3338" t="inlineStr">
        <is>
          <t>IOS Owner</t>
        </is>
      </c>
      <c r="E3338" s="16" t="n">
        <v>0</v>
      </c>
      <c r="F3338" s="16" t="n">
        <v>2348.41</v>
      </c>
      <c r="G3338" s="17" t="n"/>
      <c r="H3338" s="16" t="n">
        <v>-2348.41</v>
      </c>
      <c r="I3338" s="16" t="n">
        <v>0</v>
      </c>
    </row>
    <row r="3339">
      <c r="A3339" t="inlineStr">
        <is>
          <t>MTR-IOS-3338</t>
        </is>
      </c>
      <c r="B3339" t="inlineStr">
        <is>
          <t>Wedding</t>
        </is>
      </c>
      <c r="C3339" t="inlineStr">
        <is>
          <t>EQUAL</t>
        </is>
      </c>
      <c r="D3339" t="inlineStr">
        <is>
          <t>IOS Aarav</t>
        </is>
      </c>
      <c r="E3339" s="16" t="n">
        <v>0</v>
      </c>
      <c r="F3339" s="16" t="n">
        <v>2348.41</v>
      </c>
      <c r="G3339" s="17" t="n"/>
      <c r="H3339" s="16" t="n">
        <v>-2348.41</v>
      </c>
      <c r="I3339" s="16" t="n">
        <v>0</v>
      </c>
    </row>
    <row r="3340">
      <c r="A3340" t="inlineStr">
        <is>
          <t>MTR-IOS-3338</t>
        </is>
      </c>
      <c r="B3340" t="inlineStr">
        <is>
          <t>Wedding</t>
        </is>
      </c>
      <c r="C3340" t="inlineStr">
        <is>
          <t>EQUAL</t>
        </is>
      </c>
      <c r="D3340" t="inlineStr">
        <is>
          <t>IOS Meera</t>
        </is>
      </c>
      <c r="E3340" s="16" t="n">
        <v>7045.22</v>
      </c>
      <c r="F3340" s="16" t="n">
        <v>2348.4</v>
      </c>
      <c r="G3340" s="17" t="n"/>
      <c r="H3340" s="16" t="n">
        <v>4696.82</v>
      </c>
      <c r="I3340" s="16" t="n">
        <v>0</v>
      </c>
    </row>
    <row r="3341">
      <c r="A3341" t="inlineStr">
        <is>
          <t>MTR-IOS-3341</t>
        </is>
      </c>
      <c r="B3341" t="inlineStr">
        <is>
          <t>Wedding</t>
        </is>
      </c>
      <c r="C3341" t="inlineStr">
        <is>
          <t>PERCENTAGE</t>
        </is>
      </c>
      <c r="D3341" t="inlineStr">
        <is>
          <t>IOS Owner</t>
        </is>
      </c>
      <c r="E3341" s="16" t="n">
        <v>23950.51</v>
      </c>
      <c r="F3341" s="16" t="n">
        <v>11975.26</v>
      </c>
      <c r="G3341" s="17" t="n">
        <v>50</v>
      </c>
      <c r="H3341" s="16" t="n">
        <v>11975.25</v>
      </c>
      <c r="I3341" s="16" t="n">
        <v>0</v>
      </c>
    </row>
    <row r="3342">
      <c r="A3342" t="inlineStr">
        <is>
          <t>MTR-IOS-3341</t>
        </is>
      </c>
      <c r="B3342" t="inlineStr">
        <is>
          <t>Wedding</t>
        </is>
      </c>
      <c r="C3342" t="inlineStr">
        <is>
          <t>PERCENTAGE</t>
        </is>
      </c>
      <c r="D3342" t="inlineStr">
        <is>
          <t>IOS Aarav</t>
        </is>
      </c>
      <c r="E3342" s="16" t="n">
        <v>0</v>
      </c>
      <c r="F3342" s="16" t="n">
        <v>7185.15</v>
      </c>
      <c r="G3342" s="17" t="n">
        <v>30</v>
      </c>
      <c r="H3342" s="16" t="n">
        <v>-7185.15</v>
      </c>
      <c r="I3342" s="16" t="n">
        <v>0</v>
      </c>
    </row>
    <row r="3343">
      <c r="A3343" t="inlineStr">
        <is>
          <t>MTR-IOS-3341</t>
        </is>
      </c>
      <c r="B3343" t="inlineStr">
        <is>
          <t>Wedding</t>
        </is>
      </c>
      <c r="C3343" t="inlineStr">
        <is>
          <t>PERCENTAGE</t>
        </is>
      </c>
      <c r="D3343" t="inlineStr">
        <is>
          <t>IOS Meera</t>
        </is>
      </c>
      <c r="E3343" s="16" t="n">
        <v>0</v>
      </c>
      <c r="F3343" s="16" t="n">
        <v>4790.1</v>
      </c>
      <c r="G3343" s="17" t="n">
        <v>20</v>
      </c>
      <c r="H3343" s="16" t="n">
        <v>-4790.1</v>
      </c>
      <c r="I3343" s="16" t="n">
        <v>0</v>
      </c>
    </row>
    <row r="3344">
      <c r="A3344" t="inlineStr">
        <is>
          <t>MTR-IOS-3344</t>
        </is>
      </c>
      <c r="B3344" t="inlineStr">
        <is>
          <t>Wedding</t>
        </is>
      </c>
      <c r="C3344" t="inlineStr">
        <is>
          <t>EXACT</t>
        </is>
      </c>
      <c r="D3344" t="inlineStr">
        <is>
          <t>IOS Owner</t>
        </is>
      </c>
      <c r="E3344" s="16" t="n">
        <v>0</v>
      </c>
      <c r="F3344" s="16" t="n">
        <v>7548.97</v>
      </c>
      <c r="G3344" s="17" t="n"/>
      <c r="H3344" s="16" t="n">
        <v>-7548.97</v>
      </c>
      <c r="I3344" s="16" t="n">
        <v>0</v>
      </c>
    </row>
    <row r="3345">
      <c r="A3345" t="inlineStr">
        <is>
          <t>MTR-IOS-3344</t>
        </is>
      </c>
      <c r="B3345" t="inlineStr">
        <is>
          <t>Wedding</t>
        </is>
      </c>
      <c r="C3345" t="inlineStr">
        <is>
          <t>EXACT</t>
        </is>
      </c>
      <c r="D3345" t="inlineStr">
        <is>
          <t>IOS Aarav</t>
        </is>
      </c>
      <c r="E3345" s="16" t="n">
        <v>22669.57</v>
      </c>
      <c r="F3345" s="16" t="n">
        <v>7548.97</v>
      </c>
      <c r="G3345" s="17" t="n"/>
      <c r="H3345" s="16" t="n">
        <v>15120.6</v>
      </c>
      <c r="I3345" s="16" t="n">
        <v>0</v>
      </c>
    </row>
    <row r="3346">
      <c r="A3346" t="inlineStr">
        <is>
          <t>MTR-IOS-3344</t>
        </is>
      </c>
      <c r="B3346" t="inlineStr">
        <is>
          <t>Wedding</t>
        </is>
      </c>
      <c r="C3346" t="inlineStr">
        <is>
          <t>EXACT</t>
        </is>
      </c>
      <c r="D3346" t="inlineStr">
        <is>
          <t>IOS Meera</t>
        </is>
      </c>
      <c r="E3346" s="16" t="n">
        <v>0</v>
      </c>
      <c r="F3346" s="16" t="n">
        <v>7571.63</v>
      </c>
      <c r="G3346" s="17" t="n"/>
      <c r="H3346" s="16" t="n">
        <v>-7571.63</v>
      </c>
      <c r="I3346" s="16" t="n">
        <v>0</v>
      </c>
    </row>
    <row r="3347">
      <c r="A3347" t="inlineStr">
        <is>
          <t>MTR-IOS-3347</t>
        </is>
      </c>
      <c r="B3347" t="inlineStr">
        <is>
          <t>Wedding</t>
        </is>
      </c>
      <c r="C3347" t="inlineStr">
        <is>
          <t>SHARES</t>
        </is>
      </c>
      <c r="D3347" t="inlineStr">
        <is>
          <t>IOS Owner</t>
        </is>
      </c>
      <c r="E3347" s="16" t="n">
        <v>0</v>
      </c>
      <c r="F3347" s="16" t="n">
        <v>6075.92</v>
      </c>
      <c r="G3347" s="17" t="n"/>
      <c r="H3347" s="16" t="n">
        <v>-6075.92</v>
      </c>
      <c r="I3347" s="16" t="n">
        <v>0</v>
      </c>
    </row>
    <row r="3348">
      <c r="A3348" t="inlineStr">
        <is>
          <t>MTR-IOS-3347</t>
        </is>
      </c>
      <c r="B3348" t="inlineStr">
        <is>
          <t>Wedding</t>
        </is>
      </c>
      <c r="C3348" t="inlineStr">
        <is>
          <t>SHARES</t>
        </is>
      </c>
      <c r="D3348" t="inlineStr">
        <is>
          <t>IOS Aarav</t>
        </is>
      </c>
      <c r="E3348" s="16" t="n">
        <v>0</v>
      </c>
      <c r="F3348" s="16" t="n">
        <v>4050.61</v>
      </c>
      <c r="G3348" s="17" t="n"/>
      <c r="H3348" s="16" t="n">
        <v>-4050.61</v>
      </c>
      <c r="I3348" s="16" t="n">
        <v>0</v>
      </c>
    </row>
    <row r="3349">
      <c r="A3349" t="inlineStr">
        <is>
          <t>MTR-IOS-3347</t>
        </is>
      </c>
      <c r="B3349" t="inlineStr">
        <is>
          <t>Wedding</t>
        </is>
      </c>
      <c r="C3349" t="inlineStr">
        <is>
          <t>SHARES</t>
        </is>
      </c>
      <c r="D3349" t="inlineStr">
        <is>
          <t>IOS Meera</t>
        </is>
      </c>
      <c r="E3349" s="16" t="n">
        <v>12151.84</v>
      </c>
      <c r="F3349" s="16" t="n">
        <v>2025.31</v>
      </c>
      <c r="G3349" s="17" t="n"/>
      <c r="H3349" s="16" t="n">
        <v>10126.53</v>
      </c>
      <c r="I3349" s="16" t="n">
        <v>0</v>
      </c>
    </row>
    <row r="3350">
      <c r="A3350" t="inlineStr">
        <is>
          <t>MTR-IOS-3350</t>
        </is>
      </c>
      <c r="B3350" t="inlineStr">
        <is>
          <t>Office Outing</t>
        </is>
      </c>
      <c r="C3350" t="inlineStr">
        <is>
          <t>EQUAL</t>
        </is>
      </c>
      <c r="D3350" t="inlineStr">
        <is>
          <t>IOS Owner</t>
        </is>
      </c>
      <c r="E3350" s="16" t="n">
        <v>20681.09</v>
      </c>
      <c r="F3350" s="16" t="n">
        <v>6893.7</v>
      </c>
      <c r="G3350" s="17" t="n"/>
      <c r="H3350" s="16" t="n">
        <v>13787.39</v>
      </c>
      <c r="I3350" s="16" t="n">
        <v>0</v>
      </c>
    </row>
    <row r="3351">
      <c r="A3351" t="inlineStr">
        <is>
          <t>MTR-IOS-3350</t>
        </is>
      </c>
      <c r="B3351" t="inlineStr">
        <is>
          <t>Office Outing</t>
        </is>
      </c>
      <c r="C3351" t="inlineStr">
        <is>
          <t>EQUAL</t>
        </is>
      </c>
      <c r="D3351" t="inlineStr">
        <is>
          <t>IOS Aarav</t>
        </is>
      </c>
      <c r="E3351" s="16" t="n">
        <v>0</v>
      </c>
      <c r="F3351" s="16" t="n">
        <v>6893.7</v>
      </c>
      <c r="G3351" s="17" t="n"/>
      <c r="H3351" s="16" t="n">
        <v>-6893.7</v>
      </c>
      <c r="I3351" s="16" t="n">
        <v>0</v>
      </c>
    </row>
    <row r="3352">
      <c r="A3352" t="inlineStr">
        <is>
          <t>MTR-IOS-3350</t>
        </is>
      </c>
      <c r="B3352" t="inlineStr">
        <is>
          <t>Office Outing</t>
        </is>
      </c>
      <c r="C3352" t="inlineStr">
        <is>
          <t>EQUAL</t>
        </is>
      </c>
      <c r="D3352" t="inlineStr">
        <is>
          <t>IOS Meera</t>
        </is>
      </c>
      <c r="E3352" s="16" t="n">
        <v>0</v>
      </c>
      <c r="F3352" s="16" t="n">
        <v>6893.69</v>
      </c>
      <c r="G3352" s="17" t="n"/>
      <c r="H3352" s="16" t="n">
        <v>-6893.69</v>
      </c>
      <c r="I3352" s="16" t="n">
        <v>0</v>
      </c>
    </row>
    <row r="3353">
      <c r="A3353" t="inlineStr">
        <is>
          <t>MTR-IOS-3353</t>
        </is>
      </c>
      <c r="B3353" t="inlineStr">
        <is>
          <t>Office Outing</t>
        </is>
      </c>
      <c r="C3353" t="inlineStr">
        <is>
          <t>PERCENTAGE</t>
        </is>
      </c>
      <c r="D3353" t="inlineStr">
        <is>
          <t>IOS Owner</t>
        </is>
      </c>
      <c r="E3353" s="16" t="n">
        <v>0</v>
      </c>
      <c r="F3353" s="16" t="n">
        <v>9066.360000000001</v>
      </c>
      <c r="G3353" s="17" t="n">
        <v>50</v>
      </c>
      <c r="H3353" s="16" t="n">
        <v>-9066.360000000001</v>
      </c>
      <c r="I3353" s="16" t="n">
        <v>0</v>
      </c>
    </row>
    <row r="3354">
      <c r="A3354" t="inlineStr">
        <is>
          <t>MTR-IOS-3353</t>
        </is>
      </c>
      <c r="B3354" t="inlineStr">
        <is>
          <t>Office Outing</t>
        </is>
      </c>
      <c r="C3354" t="inlineStr">
        <is>
          <t>PERCENTAGE</t>
        </is>
      </c>
      <c r="D3354" t="inlineStr">
        <is>
          <t>IOS Aarav</t>
        </is>
      </c>
      <c r="E3354" s="16" t="n">
        <v>18132.72</v>
      </c>
      <c r="F3354" s="16" t="n">
        <v>5439.82</v>
      </c>
      <c r="G3354" s="17" t="n">
        <v>30</v>
      </c>
      <c r="H3354" s="16" t="n">
        <v>12692.9</v>
      </c>
      <c r="I3354" s="16" t="n">
        <v>0</v>
      </c>
    </row>
    <row r="3355">
      <c r="A3355" t="inlineStr">
        <is>
          <t>MTR-IOS-3353</t>
        </is>
      </c>
      <c r="B3355" t="inlineStr">
        <is>
          <t>Office Outing</t>
        </is>
      </c>
      <c r="C3355" t="inlineStr">
        <is>
          <t>PERCENTAGE</t>
        </is>
      </c>
      <c r="D3355" t="inlineStr">
        <is>
          <t>IOS Meera</t>
        </is>
      </c>
      <c r="E3355" s="16" t="n">
        <v>0</v>
      </c>
      <c r="F3355" s="16" t="n">
        <v>3626.54</v>
      </c>
      <c r="G3355" s="17" t="n">
        <v>20</v>
      </c>
      <c r="H3355" s="16" t="n">
        <v>-3626.54</v>
      </c>
      <c r="I3355" s="16" t="n">
        <v>0</v>
      </c>
    </row>
    <row r="3356">
      <c r="A3356" t="inlineStr">
        <is>
          <t>MTR-IOS-3356</t>
        </is>
      </c>
      <c r="B3356" t="inlineStr">
        <is>
          <t>Office Outing</t>
        </is>
      </c>
      <c r="C3356" t="inlineStr">
        <is>
          <t>EXACT</t>
        </is>
      </c>
      <c r="D3356" t="inlineStr">
        <is>
          <t>IOS Owner</t>
        </is>
      </c>
      <c r="E3356" s="16" t="n">
        <v>0</v>
      </c>
      <c r="F3356" s="16" t="n">
        <v>5370.98</v>
      </c>
      <c r="G3356" s="17" t="n"/>
      <c r="H3356" s="16" t="n">
        <v>-5370.98</v>
      </c>
      <c r="I3356" s="16" t="n">
        <v>0</v>
      </c>
    </row>
    <row r="3357">
      <c r="A3357" t="inlineStr">
        <is>
          <t>MTR-IOS-3356</t>
        </is>
      </c>
      <c r="B3357" t="inlineStr">
        <is>
          <t>Office Outing</t>
        </is>
      </c>
      <c r="C3357" t="inlineStr">
        <is>
          <t>EXACT</t>
        </is>
      </c>
      <c r="D3357" t="inlineStr">
        <is>
          <t>IOS Aarav</t>
        </is>
      </c>
      <c r="E3357" s="16" t="n">
        <v>0</v>
      </c>
      <c r="F3357" s="16" t="n">
        <v>5370.98</v>
      </c>
      <c r="G3357" s="17" t="n"/>
      <c r="H3357" s="16" t="n">
        <v>-5370.98</v>
      </c>
      <c r="I3357" s="16" t="n">
        <v>0</v>
      </c>
    </row>
    <row r="3358">
      <c r="A3358" t="inlineStr">
        <is>
          <t>MTR-IOS-3356</t>
        </is>
      </c>
      <c r="B3358" t="inlineStr">
        <is>
          <t>Office Outing</t>
        </is>
      </c>
      <c r="C3358" t="inlineStr">
        <is>
          <t>EXACT</t>
        </is>
      </c>
      <c r="D3358" t="inlineStr">
        <is>
          <t>IOS Meera</t>
        </is>
      </c>
      <c r="E3358" s="16" t="n">
        <v>16129.08</v>
      </c>
      <c r="F3358" s="16" t="n">
        <v>5387.12</v>
      </c>
      <c r="G3358" s="17" t="n"/>
      <c r="H3358" s="16" t="n">
        <v>10741.96</v>
      </c>
      <c r="I3358" s="16" t="n">
        <v>0</v>
      </c>
    </row>
    <row r="3359">
      <c r="A3359" t="inlineStr">
        <is>
          <t>MTR-IOS-3359</t>
        </is>
      </c>
      <c r="B3359" t="inlineStr">
        <is>
          <t>Office Outing</t>
        </is>
      </c>
      <c r="C3359" t="inlineStr">
        <is>
          <t>SHARES</t>
        </is>
      </c>
      <c r="D3359" t="inlineStr">
        <is>
          <t>IOS Owner</t>
        </is>
      </c>
      <c r="E3359" s="16" t="n">
        <v>17110</v>
      </c>
      <c r="F3359" s="16" t="n">
        <v>8555</v>
      </c>
      <c r="G3359" s="17" t="n"/>
      <c r="H3359" s="16" t="n">
        <v>8555</v>
      </c>
      <c r="I3359" s="16" t="n">
        <v>0</v>
      </c>
    </row>
    <row r="3360">
      <c r="A3360" t="inlineStr">
        <is>
          <t>MTR-IOS-3359</t>
        </is>
      </c>
      <c r="B3360" t="inlineStr">
        <is>
          <t>Office Outing</t>
        </is>
      </c>
      <c r="C3360" t="inlineStr">
        <is>
          <t>SHARES</t>
        </is>
      </c>
      <c r="D3360" t="inlineStr">
        <is>
          <t>IOS Aarav</t>
        </is>
      </c>
      <c r="E3360" s="16" t="n">
        <v>0</v>
      </c>
      <c r="F3360" s="16" t="n">
        <v>5703.33</v>
      </c>
      <c r="G3360" s="17" t="n"/>
      <c r="H3360" s="16" t="n">
        <v>-5703.33</v>
      </c>
      <c r="I3360" s="16" t="n">
        <v>0</v>
      </c>
    </row>
    <row r="3361">
      <c r="A3361" t="inlineStr">
        <is>
          <t>MTR-IOS-3359</t>
        </is>
      </c>
      <c r="B3361" t="inlineStr">
        <is>
          <t>Office Outing</t>
        </is>
      </c>
      <c r="C3361" t="inlineStr">
        <is>
          <t>SHARES</t>
        </is>
      </c>
      <c r="D3361" t="inlineStr">
        <is>
          <t>IOS Meera</t>
        </is>
      </c>
      <c r="E3361" s="16" t="n">
        <v>0</v>
      </c>
      <c r="F3361" s="16" t="n">
        <v>2851.67</v>
      </c>
      <c r="G3361" s="17" t="n"/>
      <c r="H3361" s="16" t="n">
        <v>-2851.67</v>
      </c>
      <c r="I3361" s="16" t="n">
        <v>0</v>
      </c>
    </row>
    <row r="3362">
      <c r="A3362" t="inlineStr">
        <is>
          <t>MTR-IOS-3362</t>
        </is>
      </c>
      <c r="B3362" t="inlineStr">
        <is>
          <t>Office Outing</t>
        </is>
      </c>
      <c r="C3362" t="inlineStr">
        <is>
          <t>EQUAL</t>
        </is>
      </c>
      <c r="D3362" t="inlineStr">
        <is>
          <t>IOS Owner</t>
        </is>
      </c>
      <c r="E3362" s="16" t="n">
        <v>0</v>
      </c>
      <c r="F3362" s="16" t="n">
        <v>5412.42</v>
      </c>
      <c r="G3362" s="17" t="n"/>
      <c r="H3362" s="16" t="n">
        <v>-5412.42</v>
      </c>
      <c r="I3362" s="16" t="n">
        <v>0</v>
      </c>
    </row>
    <row r="3363">
      <c r="A3363" t="inlineStr">
        <is>
          <t>MTR-IOS-3362</t>
        </is>
      </c>
      <c r="B3363" t="inlineStr">
        <is>
          <t>Office Outing</t>
        </is>
      </c>
      <c r="C3363" t="inlineStr">
        <is>
          <t>EQUAL</t>
        </is>
      </c>
      <c r="D3363" t="inlineStr">
        <is>
          <t>IOS Aarav</t>
        </is>
      </c>
      <c r="E3363" s="16" t="n">
        <v>16237.25</v>
      </c>
      <c r="F3363" s="16" t="n">
        <v>5412.42</v>
      </c>
      <c r="G3363" s="17" t="n"/>
      <c r="H3363" s="16" t="n">
        <v>10824.83</v>
      </c>
      <c r="I3363" s="16" t="n">
        <v>0</v>
      </c>
    </row>
    <row r="3364">
      <c r="A3364" t="inlineStr">
        <is>
          <t>MTR-IOS-3362</t>
        </is>
      </c>
      <c r="B3364" t="inlineStr">
        <is>
          <t>Office Outing</t>
        </is>
      </c>
      <c r="C3364" t="inlineStr">
        <is>
          <t>EQUAL</t>
        </is>
      </c>
      <c r="D3364" t="inlineStr">
        <is>
          <t>IOS Meera</t>
        </is>
      </c>
      <c r="E3364" s="16" t="n">
        <v>0</v>
      </c>
      <c r="F3364" s="16" t="n">
        <v>5412.41</v>
      </c>
      <c r="G3364" s="17" t="n"/>
      <c r="H3364" s="16" t="n">
        <v>-5412.41</v>
      </c>
      <c r="I3364" s="16" t="n">
        <v>0</v>
      </c>
    </row>
    <row r="3365">
      <c r="A3365" t="inlineStr">
        <is>
          <t>MTR-IOS-3365</t>
        </is>
      </c>
      <c r="B3365" t="inlineStr">
        <is>
          <t>House Party</t>
        </is>
      </c>
      <c r="C3365" t="inlineStr">
        <is>
          <t>PERCENTAGE</t>
        </is>
      </c>
      <c r="D3365" t="inlineStr">
        <is>
          <t>IOS Owner</t>
        </is>
      </c>
      <c r="E3365" s="16" t="n">
        <v>0</v>
      </c>
      <c r="F3365" s="16" t="n">
        <v>11965.98</v>
      </c>
      <c r="G3365" s="17" t="n">
        <v>50</v>
      </c>
      <c r="H3365" s="16" t="n">
        <v>-11965.98</v>
      </c>
      <c r="I3365" s="16" t="n">
        <v>0</v>
      </c>
    </row>
    <row r="3366">
      <c r="A3366" t="inlineStr">
        <is>
          <t>MTR-IOS-3365</t>
        </is>
      </c>
      <c r="B3366" t="inlineStr">
        <is>
          <t>House Party</t>
        </is>
      </c>
      <c r="C3366" t="inlineStr">
        <is>
          <t>PERCENTAGE</t>
        </is>
      </c>
      <c r="D3366" t="inlineStr">
        <is>
          <t>IOS Aarav</t>
        </is>
      </c>
      <c r="E3366" s="16" t="n">
        <v>0</v>
      </c>
      <c r="F3366" s="16" t="n">
        <v>7179.59</v>
      </c>
      <c r="G3366" s="17" t="n">
        <v>30</v>
      </c>
      <c r="H3366" s="16" t="n">
        <v>-7179.59</v>
      </c>
      <c r="I3366" s="16" t="n">
        <v>0</v>
      </c>
    </row>
    <row r="3367">
      <c r="A3367" t="inlineStr">
        <is>
          <t>MTR-IOS-3365</t>
        </is>
      </c>
      <c r="B3367" t="inlineStr">
        <is>
          <t>House Party</t>
        </is>
      </c>
      <c r="C3367" t="inlineStr">
        <is>
          <t>PERCENTAGE</t>
        </is>
      </c>
      <c r="D3367" t="inlineStr">
        <is>
          <t>IOS Meera</t>
        </is>
      </c>
      <c r="E3367" s="16" t="n">
        <v>23931.95</v>
      </c>
      <c r="F3367" s="16" t="n">
        <v>4786.38</v>
      </c>
      <c r="G3367" s="17" t="n">
        <v>20</v>
      </c>
      <c r="H3367" s="16" t="n">
        <v>19145.57</v>
      </c>
      <c r="I3367" s="16" t="n">
        <v>0</v>
      </c>
    </row>
    <row r="3368">
      <c r="A3368" t="inlineStr">
        <is>
          <t>MTR-IOS-3368</t>
        </is>
      </c>
      <c r="B3368" t="inlineStr">
        <is>
          <t>House Party</t>
        </is>
      </c>
      <c r="C3368" t="inlineStr">
        <is>
          <t>EXACT</t>
        </is>
      </c>
      <c r="D3368" t="inlineStr">
        <is>
          <t>IOS Owner</t>
        </is>
      </c>
      <c r="E3368" s="16" t="n">
        <v>18062.79</v>
      </c>
      <c r="F3368" s="16" t="n">
        <v>6014.91</v>
      </c>
      <c r="G3368" s="17" t="n"/>
      <c r="H3368" s="16" t="n">
        <v>12047.88</v>
      </c>
      <c r="I3368" s="16" t="n">
        <v>0</v>
      </c>
    </row>
    <row r="3369">
      <c r="A3369" t="inlineStr">
        <is>
          <t>MTR-IOS-3368</t>
        </is>
      </c>
      <c r="B3369" t="inlineStr">
        <is>
          <t>House Party</t>
        </is>
      </c>
      <c r="C3369" t="inlineStr">
        <is>
          <t>EXACT</t>
        </is>
      </c>
      <c r="D3369" t="inlineStr">
        <is>
          <t>IOS Aarav</t>
        </is>
      </c>
      <c r="E3369" s="16" t="n">
        <v>0</v>
      </c>
      <c r="F3369" s="16" t="n">
        <v>6014.91</v>
      </c>
      <c r="G3369" s="17" t="n"/>
      <c r="H3369" s="16" t="n">
        <v>-6014.91</v>
      </c>
      <c r="I3369" s="16" t="n">
        <v>0</v>
      </c>
    </row>
    <row r="3370">
      <c r="A3370" t="inlineStr">
        <is>
          <t>MTR-IOS-3368</t>
        </is>
      </c>
      <c r="B3370" t="inlineStr">
        <is>
          <t>House Party</t>
        </is>
      </c>
      <c r="C3370" t="inlineStr">
        <is>
          <t>EXACT</t>
        </is>
      </c>
      <c r="D3370" t="inlineStr">
        <is>
          <t>IOS Meera</t>
        </is>
      </c>
      <c r="E3370" s="16" t="n">
        <v>0</v>
      </c>
      <c r="F3370" s="16" t="n">
        <v>6032.97</v>
      </c>
      <c r="G3370" s="17" t="n"/>
      <c r="H3370" s="16" t="n">
        <v>-6032.97</v>
      </c>
      <c r="I3370" s="16" t="n">
        <v>0</v>
      </c>
    </row>
    <row r="3371">
      <c r="A3371" t="inlineStr">
        <is>
          <t>MTR-IOS-3371</t>
        </is>
      </c>
      <c r="B3371" t="inlineStr">
        <is>
          <t>House Party</t>
        </is>
      </c>
      <c r="C3371" t="inlineStr">
        <is>
          <t>SHARES</t>
        </is>
      </c>
      <c r="D3371" t="inlineStr">
        <is>
          <t>IOS Owner</t>
        </is>
      </c>
      <c r="E3371" s="16" t="n">
        <v>0</v>
      </c>
      <c r="F3371" s="16" t="n">
        <v>2984.87</v>
      </c>
      <c r="G3371" s="17" t="n"/>
      <c r="H3371" s="16" t="n">
        <v>-2984.87</v>
      </c>
      <c r="I3371" s="16" t="n">
        <v>0</v>
      </c>
    </row>
    <row r="3372">
      <c r="A3372" t="inlineStr">
        <is>
          <t>MTR-IOS-3371</t>
        </is>
      </c>
      <c r="B3372" t="inlineStr">
        <is>
          <t>House Party</t>
        </is>
      </c>
      <c r="C3372" t="inlineStr">
        <is>
          <t>SHARES</t>
        </is>
      </c>
      <c r="D3372" t="inlineStr">
        <is>
          <t>IOS Aarav</t>
        </is>
      </c>
      <c r="E3372" s="16" t="n">
        <v>5969.74</v>
      </c>
      <c r="F3372" s="16" t="n">
        <v>1989.91</v>
      </c>
      <c r="G3372" s="17" t="n"/>
      <c r="H3372" s="16" t="n">
        <v>3979.83</v>
      </c>
      <c r="I3372" s="16" t="n">
        <v>0</v>
      </c>
    </row>
    <row r="3373">
      <c r="A3373" t="inlineStr">
        <is>
          <t>MTR-IOS-3371</t>
        </is>
      </c>
      <c r="B3373" t="inlineStr">
        <is>
          <t>House Party</t>
        </is>
      </c>
      <c r="C3373" t="inlineStr">
        <is>
          <t>SHARES</t>
        </is>
      </c>
      <c r="D3373" t="inlineStr">
        <is>
          <t>IOS Meera</t>
        </is>
      </c>
      <c r="E3373" s="16" t="n">
        <v>0</v>
      </c>
      <c r="F3373" s="16" t="n">
        <v>994.96</v>
      </c>
      <c r="G3373" s="17" t="n"/>
      <c r="H3373" s="16" t="n">
        <v>-994.96</v>
      </c>
      <c r="I3373" s="16" t="n">
        <v>0</v>
      </c>
    </row>
    <row r="3374">
      <c r="A3374" t="inlineStr">
        <is>
          <t>MTR-IOS-3374</t>
        </is>
      </c>
      <c r="B3374" t="inlineStr">
        <is>
          <t>House Party</t>
        </is>
      </c>
      <c r="C3374" t="inlineStr">
        <is>
          <t>EQUAL</t>
        </is>
      </c>
      <c r="D3374" t="inlineStr">
        <is>
          <t>IOS Owner</t>
        </is>
      </c>
      <c r="E3374" s="16" t="n">
        <v>0</v>
      </c>
      <c r="F3374" s="16" t="n">
        <v>5172.46</v>
      </c>
      <c r="G3374" s="17" t="n"/>
      <c r="H3374" s="16" t="n">
        <v>-5172.46</v>
      </c>
      <c r="I3374" s="16" t="n">
        <v>0</v>
      </c>
    </row>
    <row r="3375">
      <c r="A3375" t="inlineStr">
        <is>
          <t>MTR-IOS-3374</t>
        </is>
      </c>
      <c r="B3375" t="inlineStr">
        <is>
          <t>House Party</t>
        </is>
      </c>
      <c r="C3375" t="inlineStr">
        <is>
          <t>EQUAL</t>
        </is>
      </c>
      <c r="D3375" t="inlineStr">
        <is>
          <t>IOS Aarav</t>
        </is>
      </c>
      <c r="E3375" s="16" t="n">
        <v>0</v>
      </c>
      <c r="F3375" s="16" t="n">
        <v>5172.46</v>
      </c>
      <c r="G3375" s="17" t="n"/>
      <c r="H3375" s="16" t="n">
        <v>-5172.46</v>
      </c>
      <c r="I3375" s="16" t="n">
        <v>0</v>
      </c>
    </row>
    <row r="3376">
      <c r="A3376" t="inlineStr">
        <is>
          <t>MTR-IOS-3374</t>
        </is>
      </c>
      <c r="B3376" t="inlineStr">
        <is>
          <t>House Party</t>
        </is>
      </c>
      <c r="C3376" t="inlineStr">
        <is>
          <t>EQUAL</t>
        </is>
      </c>
      <c r="D3376" t="inlineStr">
        <is>
          <t>IOS Meera</t>
        </is>
      </c>
      <c r="E3376" s="16" t="n">
        <v>15517.37</v>
      </c>
      <c r="F3376" s="16" t="n">
        <v>5172.45</v>
      </c>
      <c r="G3376" s="17" t="n"/>
      <c r="H3376" s="16" t="n">
        <v>10344.92</v>
      </c>
      <c r="I3376" s="16" t="n">
        <v>0</v>
      </c>
    </row>
    <row r="3377">
      <c r="A3377" t="inlineStr">
        <is>
          <t>MTR-IOS-3377</t>
        </is>
      </c>
      <c r="B3377" t="inlineStr">
        <is>
          <t>House Party</t>
        </is>
      </c>
      <c r="C3377" t="inlineStr">
        <is>
          <t>PERCENTAGE</t>
        </is>
      </c>
      <c r="D3377" t="inlineStr">
        <is>
          <t>IOS Owner</t>
        </is>
      </c>
      <c r="E3377" s="16" t="n">
        <v>835.61</v>
      </c>
      <c r="F3377" s="16" t="n">
        <v>417.81</v>
      </c>
      <c r="G3377" s="17" t="n">
        <v>50</v>
      </c>
      <c r="H3377" s="16" t="n">
        <v>417.8</v>
      </c>
      <c r="I3377" s="16" t="n">
        <v>0</v>
      </c>
    </row>
    <row r="3378">
      <c r="A3378" t="inlineStr">
        <is>
          <t>MTR-IOS-3377</t>
        </is>
      </c>
      <c r="B3378" t="inlineStr">
        <is>
          <t>House Party</t>
        </is>
      </c>
      <c r="C3378" t="inlineStr">
        <is>
          <t>PERCENTAGE</t>
        </is>
      </c>
      <c r="D3378" t="inlineStr">
        <is>
          <t>IOS Aarav</t>
        </is>
      </c>
      <c r="E3378" s="16" t="n">
        <v>0</v>
      </c>
      <c r="F3378" s="16" t="n">
        <v>250.68</v>
      </c>
      <c r="G3378" s="17" t="n">
        <v>30</v>
      </c>
      <c r="H3378" s="16" t="n">
        <v>-250.68</v>
      </c>
      <c r="I3378" s="16" t="n">
        <v>0</v>
      </c>
    </row>
    <row r="3379">
      <c r="A3379" t="inlineStr">
        <is>
          <t>MTR-IOS-3377</t>
        </is>
      </c>
      <c r="B3379" t="inlineStr">
        <is>
          <t>House Party</t>
        </is>
      </c>
      <c r="C3379" t="inlineStr">
        <is>
          <t>PERCENTAGE</t>
        </is>
      </c>
      <c r="D3379" t="inlineStr">
        <is>
          <t>IOS Meera</t>
        </is>
      </c>
      <c r="E3379" s="16" t="n">
        <v>0</v>
      </c>
      <c r="F3379" s="16" t="n">
        <v>167.12</v>
      </c>
      <c r="G3379" s="17" t="n">
        <v>20</v>
      </c>
      <c r="H3379" s="16" t="n">
        <v>-167.12</v>
      </c>
      <c r="I3379" s="16" t="n">
        <v>0</v>
      </c>
    </row>
    <row r="3380">
      <c r="A3380" t="inlineStr">
        <is>
          <t>MTR-IOS-3380</t>
        </is>
      </c>
      <c r="B3380" t="inlineStr">
        <is>
          <t>Gift Pool</t>
        </is>
      </c>
      <c r="C3380" t="inlineStr">
        <is>
          <t>EXACT</t>
        </is>
      </c>
      <c r="D3380" t="inlineStr">
        <is>
          <t>IOS Owner</t>
        </is>
      </c>
      <c r="E3380" s="16" t="n">
        <v>0</v>
      </c>
      <c r="F3380" s="16" t="n">
        <v>7579.52</v>
      </c>
      <c r="G3380" s="17" t="n"/>
      <c r="H3380" s="16" t="n">
        <v>-7579.52</v>
      </c>
      <c r="I3380" s="16" t="n">
        <v>0</v>
      </c>
    </row>
    <row r="3381">
      <c r="A3381" t="inlineStr">
        <is>
          <t>MTR-IOS-3380</t>
        </is>
      </c>
      <c r="B3381" t="inlineStr">
        <is>
          <t>Gift Pool</t>
        </is>
      </c>
      <c r="C3381" t="inlineStr">
        <is>
          <t>EXACT</t>
        </is>
      </c>
      <c r="D3381" t="inlineStr">
        <is>
          <t>IOS Aarav</t>
        </is>
      </c>
      <c r="E3381" s="16" t="n">
        <v>22761.31</v>
      </c>
      <c r="F3381" s="16" t="n">
        <v>7579.52</v>
      </c>
      <c r="G3381" s="17" t="n"/>
      <c r="H3381" s="16" t="n">
        <v>15181.79</v>
      </c>
      <c r="I3381" s="16" t="n">
        <v>0</v>
      </c>
    </row>
    <row r="3382">
      <c r="A3382" t="inlineStr">
        <is>
          <t>MTR-IOS-3380</t>
        </is>
      </c>
      <c r="B3382" t="inlineStr">
        <is>
          <t>Gift Pool</t>
        </is>
      </c>
      <c r="C3382" t="inlineStr">
        <is>
          <t>EXACT</t>
        </is>
      </c>
      <c r="D3382" t="inlineStr">
        <is>
          <t>IOS Meera</t>
        </is>
      </c>
      <c r="E3382" s="16" t="n">
        <v>0</v>
      </c>
      <c r="F3382" s="16" t="n">
        <v>7602.27</v>
      </c>
      <c r="G3382" s="17" t="n"/>
      <c r="H3382" s="16" t="n">
        <v>-7602.27</v>
      </c>
      <c r="I3382" s="16" t="n">
        <v>0</v>
      </c>
    </row>
    <row r="3383">
      <c r="A3383" t="inlineStr">
        <is>
          <t>MTR-IOS-3383</t>
        </is>
      </c>
      <c r="B3383" t="inlineStr">
        <is>
          <t>Gift Pool</t>
        </is>
      </c>
      <c r="C3383" t="inlineStr">
        <is>
          <t>SHARES</t>
        </is>
      </c>
      <c r="D3383" t="inlineStr">
        <is>
          <t>IOS Owner</t>
        </is>
      </c>
      <c r="E3383" s="16" t="n">
        <v>0</v>
      </c>
      <c r="F3383" s="16" t="n">
        <v>212.15</v>
      </c>
      <c r="G3383" s="17" t="n"/>
      <c r="H3383" s="16" t="n">
        <v>-212.15</v>
      </c>
      <c r="I3383" s="16" t="n">
        <v>0</v>
      </c>
    </row>
    <row r="3384">
      <c r="A3384" t="inlineStr">
        <is>
          <t>MTR-IOS-3383</t>
        </is>
      </c>
      <c r="B3384" t="inlineStr">
        <is>
          <t>Gift Pool</t>
        </is>
      </c>
      <c r="C3384" t="inlineStr">
        <is>
          <t>SHARES</t>
        </is>
      </c>
      <c r="D3384" t="inlineStr">
        <is>
          <t>IOS Aarav</t>
        </is>
      </c>
      <c r="E3384" s="16" t="n">
        <v>0</v>
      </c>
      <c r="F3384" s="16" t="n">
        <v>141.43</v>
      </c>
      <c r="G3384" s="17" t="n"/>
      <c r="H3384" s="16" t="n">
        <v>-141.43</v>
      </c>
      <c r="I3384" s="16" t="n">
        <v>0</v>
      </c>
    </row>
    <row r="3385">
      <c r="A3385" t="inlineStr">
        <is>
          <t>MTR-IOS-3383</t>
        </is>
      </c>
      <c r="B3385" t="inlineStr">
        <is>
          <t>Gift Pool</t>
        </is>
      </c>
      <c r="C3385" t="inlineStr">
        <is>
          <t>SHARES</t>
        </is>
      </c>
      <c r="D3385" t="inlineStr">
        <is>
          <t>IOS Meera</t>
        </is>
      </c>
      <c r="E3385" s="16" t="n">
        <v>424.3</v>
      </c>
      <c r="F3385" s="16" t="n">
        <v>70.72</v>
      </c>
      <c r="G3385" s="17" t="n"/>
      <c r="H3385" s="16" t="n">
        <v>353.58</v>
      </c>
      <c r="I3385" s="16" t="n">
        <v>0</v>
      </c>
    </row>
    <row r="3386">
      <c r="A3386" t="inlineStr">
        <is>
          <t>MTR-IOS-3386</t>
        </is>
      </c>
      <c r="B3386" t="inlineStr">
        <is>
          <t>Gift Pool</t>
        </is>
      </c>
      <c r="C3386" t="inlineStr">
        <is>
          <t>EQUAL</t>
        </is>
      </c>
      <c r="D3386" t="inlineStr">
        <is>
          <t>IOS Owner</t>
        </is>
      </c>
      <c r="E3386" s="16" t="n">
        <v>4952.77</v>
      </c>
      <c r="F3386" s="16" t="n">
        <v>1650.92</v>
      </c>
      <c r="G3386" s="17" t="n"/>
      <c r="H3386" s="16" t="n">
        <v>3301.85</v>
      </c>
      <c r="I3386" s="16" t="n">
        <v>0</v>
      </c>
    </row>
    <row r="3387">
      <c r="A3387" t="inlineStr">
        <is>
          <t>MTR-IOS-3386</t>
        </is>
      </c>
      <c r="B3387" t="inlineStr">
        <is>
          <t>Gift Pool</t>
        </is>
      </c>
      <c r="C3387" t="inlineStr">
        <is>
          <t>EQUAL</t>
        </is>
      </c>
      <c r="D3387" t="inlineStr">
        <is>
          <t>IOS Aarav</t>
        </is>
      </c>
      <c r="E3387" s="16" t="n">
        <v>0</v>
      </c>
      <c r="F3387" s="16" t="n">
        <v>1650.92</v>
      </c>
      <c r="G3387" s="17" t="n"/>
      <c r="H3387" s="16" t="n">
        <v>-1650.92</v>
      </c>
      <c r="I3387" s="16" t="n">
        <v>0</v>
      </c>
    </row>
    <row r="3388">
      <c r="A3388" t="inlineStr">
        <is>
          <t>MTR-IOS-3386</t>
        </is>
      </c>
      <c r="B3388" t="inlineStr">
        <is>
          <t>Gift Pool</t>
        </is>
      </c>
      <c r="C3388" t="inlineStr">
        <is>
          <t>EQUAL</t>
        </is>
      </c>
      <c r="D3388" t="inlineStr">
        <is>
          <t>IOS Meera</t>
        </is>
      </c>
      <c r="E3388" s="16" t="n">
        <v>0</v>
      </c>
      <c r="F3388" s="16" t="n">
        <v>1650.93</v>
      </c>
      <c r="G3388" s="17" t="n"/>
      <c r="H3388" s="16" t="n">
        <v>-1650.93</v>
      </c>
      <c r="I3388" s="16" t="n">
        <v>0</v>
      </c>
    </row>
    <row r="3389">
      <c r="A3389" t="inlineStr">
        <is>
          <t>MTR-IOS-3389</t>
        </is>
      </c>
      <c r="B3389" t="inlineStr">
        <is>
          <t>Gift Pool</t>
        </is>
      </c>
      <c r="C3389" t="inlineStr">
        <is>
          <t>PERCENTAGE</t>
        </is>
      </c>
      <c r="D3389" t="inlineStr">
        <is>
          <t>IOS Owner</t>
        </is>
      </c>
      <c r="E3389" s="16" t="n">
        <v>0</v>
      </c>
      <c r="F3389" s="16" t="n">
        <v>7375.74</v>
      </c>
      <c r="G3389" s="17" t="n">
        <v>50</v>
      </c>
      <c r="H3389" s="16" t="n">
        <v>-7375.74</v>
      </c>
      <c r="I3389" s="16" t="n">
        <v>0</v>
      </c>
    </row>
    <row r="3390">
      <c r="A3390" t="inlineStr">
        <is>
          <t>MTR-IOS-3389</t>
        </is>
      </c>
      <c r="B3390" t="inlineStr">
        <is>
          <t>Gift Pool</t>
        </is>
      </c>
      <c r="C3390" t="inlineStr">
        <is>
          <t>PERCENTAGE</t>
        </is>
      </c>
      <c r="D3390" t="inlineStr">
        <is>
          <t>IOS Aarav</t>
        </is>
      </c>
      <c r="E3390" s="16" t="n">
        <v>14751.47</v>
      </c>
      <c r="F3390" s="16" t="n">
        <v>4425.44</v>
      </c>
      <c r="G3390" s="17" t="n">
        <v>30</v>
      </c>
      <c r="H3390" s="16" t="n">
        <v>10326.03</v>
      </c>
      <c r="I3390" s="16" t="n">
        <v>0</v>
      </c>
    </row>
    <row r="3391">
      <c r="A3391" t="inlineStr">
        <is>
          <t>MTR-IOS-3389</t>
        </is>
      </c>
      <c r="B3391" t="inlineStr">
        <is>
          <t>Gift Pool</t>
        </is>
      </c>
      <c r="C3391" t="inlineStr">
        <is>
          <t>PERCENTAGE</t>
        </is>
      </c>
      <c r="D3391" t="inlineStr">
        <is>
          <t>IOS Meera</t>
        </is>
      </c>
      <c r="E3391" s="16" t="n">
        <v>0</v>
      </c>
      <c r="F3391" s="16" t="n">
        <v>2950.29</v>
      </c>
      <c r="G3391" s="17" t="n">
        <v>20</v>
      </c>
      <c r="H3391" s="16" t="n">
        <v>-2950.29</v>
      </c>
      <c r="I3391" s="16" t="n">
        <v>0</v>
      </c>
    </row>
    <row r="3392">
      <c r="A3392" t="inlineStr">
        <is>
          <t>MTR-IOS-3392</t>
        </is>
      </c>
      <c r="B3392" t="inlineStr">
        <is>
          <t>Purchase</t>
        </is>
      </c>
      <c r="C3392" t="inlineStr">
        <is>
          <t>EXACT</t>
        </is>
      </c>
      <c r="D3392" t="inlineStr">
        <is>
          <t>IOS Owner</t>
        </is>
      </c>
      <c r="E3392" s="16" t="n">
        <v>0</v>
      </c>
      <c r="F3392" s="16" t="n">
        <v>1368.2</v>
      </c>
      <c r="G3392" s="17" t="n"/>
      <c r="H3392" s="16" t="n">
        <v>-1368.2</v>
      </c>
      <c r="I3392" s="16" t="n">
        <v>0</v>
      </c>
    </row>
    <row r="3393">
      <c r="A3393" t="inlineStr">
        <is>
          <t>MTR-IOS-3392</t>
        </is>
      </c>
      <c r="B3393" t="inlineStr">
        <is>
          <t>Purchase</t>
        </is>
      </c>
      <c r="C3393" t="inlineStr">
        <is>
          <t>EXACT</t>
        </is>
      </c>
      <c r="D3393" t="inlineStr">
        <is>
          <t>IOS Aarav</t>
        </is>
      </c>
      <c r="E3393" s="16" t="n">
        <v>0</v>
      </c>
      <c r="F3393" s="16" t="n">
        <v>1368.2</v>
      </c>
      <c r="G3393" s="17" t="n"/>
      <c r="H3393" s="16" t="n">
        <v>-1368.2</v>
      </c>
      <c r="I3393" s="16" t="n">
        <v>0</v>
      </c>
    </row>
    <row r="3394">
      <c r="A3394" t="inlineStr">
        <is>
          <t>MTR-IOS-3392</t>
        </is>
      </c>
      <c r="B3394" t="inlineStr">
        <is>
          <t>Purchase</t>
        </is>
      </c>
      <c r="C3394" t="inlineStr">
        <is>
          <t>EXACT</t>
        </is>
      </c>
      <c r="D3394" t="inlineStr">
        <is>
          <t>IOS Meera</t>
        </is>
      </c>
      <c r="E3394" s="16" t="n">
        <v>4108.7</v>
      </c>
      <c r="F3394" s="16" t="n">
        <v>1372.3</v>
      </c>
      <c r="G3394" s="17" t="n"/>
      <c r="H3394" s="16" t="n">
        <v>2736.4</v>
      </c>
      <c r="I3394" s="16" t="n">
        <v>0</v>
      </c>
    </row>
    <row r="3395">
      <c r="A3395" t="inlineStr">
        <is>
          <t>MTR-IOS-3395</t>
        </is>
      </c>
      <c r="B3395" t="inlineStr">
        <is>
          <t>Purchase</t>
        </is>
      </c>
      <c r="C3395" t="inlineStr">
        <is>
          <t>SHARES</t>
        </is>
      </c>
      <c r="D3395" t="inlineStr">
        <is>
          <t>IOS Owner</t>
        </is>
      </c>
      <c r="E3395" s="16" t="n">
        <v>516.4400000000001</v>
      </c>
      <c r="F3395" s="16" t="n">
        <v>258.22</v>
      </c>
      <c r="G3395" s="17" t="n"/>
      <c r="H3395" s="16" t="n">
        <v>258.22</v>
      </c>
      <c r="I3395" s="16" t="n">
        <v>0</v>
      </c>
    </row>
    <row r="3396">
      <c r="A3396" t="inlineStr">
        <is>
          <t>MTR-IOS-3395</t>
        </is>
      </c>
      <c r="B3396" t="inlineStr">
        <is>
          <t>Purchase</t>
        </is>
      </c>
      <c r="C3396" t="inlineStr">
        <is>
          <t>SHARES</t>
        </is>
      </c>
      <c r="D3396" t="inlineStr">
        <is>
          <t>IOS Aarav</t>
        </is>
      </c>
      <c r="E3396" s="16" t="n">
        <v>0</v>
      </c>
      <c r="F3396" s="16" t="n">
        <v>172.15</v>
      </c>
      <c r="G3396" s="17" t="n"/>
      <c r="H3396" s="16" t="n">
        <v>-172.15</v>
      </c>
      <c r="I3396" s="16" t="n">
        <v>0</v>
      </c>
    </row>
    <row r="3397">
      <c r="A3397" t="inlineStr">
        <is>
          <t>MTR-IOS-3395</t>
        </is>
      </c>
      <c r="B3397" t="inlineStr">
        <is>
          <t>Purchase</t>
        </is>
      </c>
      <c r="C3397" t="inlineStr">
        <is>
          <t>SHARES</t>
        </is>
      </c>
      <c r="D3397" t="inlineStr">
        <is>
          <t>IOS Meera</t>
        </is>
      </c>
      <c r="E3397" s="16" t="n">
        <v>0</v>
      </c>
      <c r="F3397" s="16" t="n">
        <v>86.06999999999999</v>
      </c>
      <c r="G3397" s="17" t="n"/>
      <c r="H3397" s="16" t="n">
        <v>-86.06999999999999</v>
      </c>
      <c r="I3397" s="16" t="n">
        <v>0</v>
      </c>
    </row>
    <row r="3398">
      <c r="A3398" t="inlineStr">
        <is>
          <t>MTR-IOS-3398</t>
        </is>
      </c>
      <c r="B3398" t="inlineStr">
        <is>
          <t>Purchase</t>
        </is>
      </c>
      <c r="C3398" t="inlineStr">
        <is>
          <t>EQUAL</t>
        </is>
      </c>
      <c r="D3398" t="inlineStr">
        <is>
          <t>IOS Owner</t>
        </is>
      </c>
      <c r="E3398" s="16" t="n">
        <v>0</v>
      </c>
      <c r="F3398" s="16" t="n">
        <v>5639.41</v>
      </c>
      <c r="G3398" s="17" t="n"/>
      <c r="H3398" s="16" t="n">
        <v>-5639.41</v>
      </c>
      <c r="I3398" s="16" t="n">
        <v>0</v>
      </c>
    </row>
    <row r="3399">
      <c r="A3399" t="inlineStr">
        <is>
          <t>MTR-IOS-3398</t>
        </is>
      </c>
      <c r="B3399" t="inlineStr">
        <is>
          <t>Purchase</t>
        </is>
      </c>
      <c r="C3399" t="inlineStr">
        <is>
          <t>EQUAL</t>
        </is>
      </c>
      <c r="D3399" t="inlineStr">
        <is>
          <t>IOS Aarav</t>
        </is>
      </c>
      <c r="E3399" s="16" t="n">
        <v>16918.22</v>
      </c>
      <c r="F3399" s="16" t="n">
        <v>5639.41</v>
      </c>
      <c r="G3399" s="17" t="n"/>
      <c r="H3399" s="16" t="n">
        <v>11278.81</v>
      </c>
      <c r="I3399" s="16" t="n">
        <v>0</v>
      </c>
    </row>
    <row r="3400">
      <c r="A3400" t="inlineStr">
        <is>
          <t>MTR-IOS-3398</t>
        </is>
      </c>
      <c r="B3400" t="inlineStr">
        <is>
          <t>Purchase</t>
        </is>
      </c>
      <c r="C3400" t="inlineStr">
        <is>
          <t>EQUAL</t>
        </is>
      </c>
      <c r="D3400" t="inlineStr">
        <is>
          <t>IOS Meera</t>
        </is>
      </c>
      <c r="E3400" s="16" t="n">
        <v>0</v>
      </c>
      <c r="F3400" s="16" t="n">
        <v>5639.4</v>
      </c>
      <c r="G3400" s="17" t="n"/>
      <c r="H3400" s="16" t="n">
        <v>-5639.4</v>
      </c>
      <c r="I3400" s="16" t="n">
        <v>0</v>
      </c>
    </row>
    <row r="3401">
      <c r="A3401" t="inlineStr">
        <is>
          <t>MTR-IOS-3401</t>
        </is>
      </c>
      <c r="B3401" t="inlineStr">
        <is>
          <t>Purchase</t>
        </is>
      </c>
      <c r="C3401" t="inlineStr">
        <is>
          <t>PERCENTAGE</t>
        </is>
      </c>
      <c r="D3401" t="inlineStr">
        <is>
          <t>IOS Owner</t>
        </is>
      </c>
      <c r="E3401" s="16" t="n">
        <v>0</v>
      </c>
      <c r="F3401" s="16" t="n">
        <v>780.47</v>
      </c>
      <c r="G3401" s="17" t="n">
        <v>50</v>
      </c>
      <c r="H3401" s="16" t="n">
        <v>-780.47</v>
      </c>
      <c r="I3401" s="16" t="n">
        <v>0</v>
      </c>
    </row>
    <row r="3402">
      <c r="A3402" t="inlineStr">
        <is>
          <t>MTR-IOS-3401</t>
        </is>
      </c>
      <c r="B3402" t="inlineStr">
        <is>
          <t>Purchase</t>
        </is>
      </c>
      <c r="C3402" t="inlineStr">
        <is>
          <t>PERCENTAGE</t>
        </is>
      </c>
      <c r="D3402" t="inlineStr">
        <is>
          <t>IOS Aarav</t>
        </is>
      </c>
      <c r="E3402" s="16" t="n">
        <v>0</v>
      </c>
      <c r="F3402" s="16" t="n">
        <v>468.28</v>
      </c>
      <c r="G3402" s="17" t="n">
        <v>30</v>
      </c>
      <c r="H3402" s="16" t="n">
        <v>-468.28</v>
      </c>
      <c r="I3402" s="16" t="n">
        <v>0</v>
      </c>
    </row>
    <row r="3403">
      <c r="A3403" t="inlineStr">
        <is>
          <t>MTR-IOS-3401</t>
        </is>
      </c>
      <c r="B3403" t="inlineStr">
        <is>
          <t>Purchase</t>
        </is>
      </c>
      <c r="C3403" t="inlineStr">
        <is>
          <t>PERCENTAGE</t>
        </is>
      </c>
      <c r="D3403" t="inlineStr">
        <is>
          <t>IOS Meera</t>
        </is>
      </c>
      <c r="E3403" s="16" t="n">
        <v>1560.93</v>
      </c>
      <c r="F3403" s="16" t="n">
        <v>312.18</v>
      </c>
      <c r="G3403" s="17" t="n">
        <v>20</v>
      </c>
      <c r="H3403" s="16" t="n">
        <v>1248.75</v>
      </c>
      <c r="I3403" s="16" t="n">
        <v>0</v>
      </c>
    </row>
    <row r="3404">
      <c r="A3404" t="inlineStr">
        <is>
          <t>MTR-IOS-3404</t>
        </is>
      </c>
      <c r="B3404" t="inlineStr">
        <is>
          <t>Assets</t>
        </is>
      </c>
      <c r="C3404" t="inlineStr">
        <is>
          <t>EXACT</t>
        </is>
      </c>
      <c r="D3404" t="inlineStr">
        <is>
          <t>IOS Owner</t>
        </is>
      </c>
      <c r="E3404" s="16" t="n">
        <v>99.98999999999999</v>
      </c>
      <c r="F3404" s="16" t="n">
        <v>33.3</v>
      </c>
      <c r="G3404" s="17" t="n"/>
      <c r="H3404" s="16" t="n">
        <v>66.69</v>
      </c>
      <c r="I3404" s="16" t="n">
        <v>0</v>
      </c>
    </row>
    <row r="3405">
      <c r="A3405" t="inlineStr">
        <is>
          <t>MTR-IOS-3404</t>
        </is>
      </c>
      <c r="B3405" t="inlineStr">
        <is>
          <t>Assets</t>
        </is>
      </c>
      <c r="C3405" t="inlineStr">
        <is>
          <t>EXACT</t>
        </is>
      </c>
      <c r="D3405" t="inlineStr">
        <is>
          <t>IOS Aarav</t>
        </is>
      </c>
      <c r="E3405" s="16" t="n">
        <v>0</v>
      </c>
      <c r="F3405" s="16" t="n">
        <v>33.3</v>
      </c>
      <c r="G3405" s="17" t="n"/>
      <c r="H3405" s="16" t="n">
        <v>-33.3</v>
      </c>
      <c r="I3405" s="16" t="n">
        <v>0</v>
      </c>
    </row>
    <row r="3406">
      <c r="A3406" t="inlineStr">
        <is>
          <t>MTR-IOS-3404</t>
        </is>
      </c>
      <c r="B3406" t="inlineStr">
        <is>
          <t>Assets</t>
        </is>
      </c>
      <c r="C3406" t="inlineStr">
        <is>
          <t>EXACT</t>
        </is>
      </c>
      <c r="D3406" t="inlineStr">
        <is>
          <t>IOS Meera</t>
        </is>
      </c>
      <c r="E3406" s="16" t="n">
        <v>0</v>
      </c>
      <c r="F3406" s="16" t="n">
        <v>33.39</v>
      </c>
      <c r="G3406" s="17" t="n"/>
      <c r="H3406" s="16" t="n">
        <v>-33.39</v>
      </c>
      <c r="I3406" s="16" t="n">
        <v>0</v>
      </c>
    </row>
    <row r="3407">
      <c r="A3407" t="inlineStr">
        <is>
          <t>MTR-IOS-3407</t>
        </is>
      </c>
      <c r="B3407" t="inlineStr">
        <is>
          <t>Assets</t>
        </is>
      </c>
      <c r="C3407" t="inlineStr">
        <is>
          <t>SHARES</t>
        </is>
      </c>
      <c r="D3407" t="inlineStr">
        <is>
          <t>IOS Owner</t>
        </is>
      </c>
      <c r="E3407" s="16" t="n">
        <v>0</v>
      </c>
      <c r="F3407" s="16" t="n">
        <v>11585.71</v>
      </c>
      <c r="G3407" s="17" t="n"/>
      <c r="H3407" s="16" t="n">
        <v>-11585.71</v>
      </c>
      <c r="I3407" s="16" t="n">
        <v>0</v>
      </c>
    </row>
    <row r="3408">
      <c r="A3408" t="inlineStr">
        <is>
          <t>MTR-IOS-3407</t>
        </is>
      </c>
      <c r="B3408" t="inlineStr">
        <is>
          <t>Assets</t>
        </is>
      </c>
      <c r="C3408" t="inlineStr">
        <is>
          <t>SHARES</t>
        </is>
      </c>
      <c r="D3408" t="inlineStr">
        <is>
          <t>IOS Aarav</t>
        </is>
      </c>
      <c r="E3408" s="16" t="n">
        <v>23171.42</v>
      </c>
      <c r="F3408" s="16" t="n">
        <v>7723.81</v>
      </c>
      <c r="G3408" s="17" t="n"/>
      <c r="H3408" s="16" t="n">
        <v>15447.61</v>
      </c>
      <c r="I3408" s="16" t="n">
        <v>0</v>
      </c>
    </row>
    <row r="3409">
      <c r="A3409" t="inlineStr">
        <is>
          <t>MTR-IOS-3407</t>
        </is>
      </c>
      <c r="B3409" t="inlineStr">
        <is>
          <t>Assets</t>
        </is>
      </c>
      <c r="C3409" t="inlineStr">
        <is>
          <t>SHARES</t>
        </is>
      </c>
      <c r="D3409" t="inlineStr">
        <is>
          <t>IOS Meera</t>
        </is>
      </c>
      <c r="E3409" s="16" t="n">
        <v>0</v>
      </c>
      <c r="F3409" s="16" t="n">
        <v>3861.9</v>
      </c>
      <c r="G3409" s="17" t="n"/>
      <c r="H3409" s="16" t="n">
        <v>-3861.9</v>
      </c>
      <c r="I3409" s="16" t="n">
        <v>0</v>
      </c>
    </row>
    <row r="3410">
      <c r="A3410" t="inlineStr">
        <is>
          <t>MTR-IOS-3410</t>
        </is>
      </c>
      <c r="B3410" t="inlineStr">
        <is>
          <t>Assets</t>
        </is>
      </c>
      <c r="C3410" t="inlineStr">
        <is>
          <t>EQUAL</t>
        </is>
      </c>
      <c r="D3410" t="inlineStr">
        <is>
          <t>IOS Owner</t>
        </is>
      </c>
      <c r="E3410" s="16" t="n">
        <v>0</v>
      </c>
      <c r="F3410" s="16" t="n">
        <v>2425.82</v>
      </c>
      <c r="G3410" s="17" t="n"/>
      <c r="H3410" s="16" t="n">
        <v>-2425.82</v>
      </c>
      <c r="I3410" s="16" t="n">
        <v>0</v>
      </c>
    </row>
    <row r="3411">
      <c r="A3411" t="inlineStr">
        <is>
          <t>MTR-IOS-3410</t>
        </is>
      </c>
      <c r="B3411" t="inlineStr">
        <is>
          <t>Assets</t>
        </is>
      </c>
      <c r="C3411" t="inlineStr">
        <is>
          <t>EQUAL</t>
        </is>
      </c>
      <c r="D3411" t="inlineStr">
        <is>
          <t>IOS Aarav</t>
        </is>
      </c>
      <c r="E3411" s="16" t="n">
        <v>0</v>
      </c>
      <c r="F3411" s="16" t="n">
        <v>2425.82</v>
      </c>
      <c r="G3411" s="17" t="n"/>
      <c r="H3411" s="16" t="n">
        <v>-2425.82</v>
      </c>
      <c r="I3411" s="16" t="n">
        <v>0</v>
      </c>
    </row>
    <row r="3412">
      <c r="A3412" t="inlineStr">
        <is>
          <t>MTR-IOS-3410</t>
        </is>
      </c>
      <c r="B3412" t="inlineStr">
        <is>
          <t>Assets</t>
        </is>
      </c>
      <c r="C3412" t="inlineStr">
        <is>
          <t>EQUAL</t>
        </is>
      </c>
      <c r="D3412" t="inlineStr">
        <is>
          <t>IOS Meera</t>
        </is>
      </c>
      <c r="E3412" s="16" t="n">
        <v>7277.45</v>
      </c>
      <c r="F3412" s="16" t="n">
        <v>2425.81</v>
      </c>
      <c r="G3412" s="17" t="n"/>
      <c r="H3412" s="16" t="n">
        <v>4851.64</v>
      </c>
      <c r="I3412" s="16" t="n">
        <v>0</v>
      </c>
    </row>
    <row r="3413">
      <c r="A3413" t="inlineStr">
        <is>
          <t>MTR-IOS-3413</t>
        </is>
      </c>
      <c r="B3413" t="inlineStr">
        <is>
          <t>Assets</t>
        </is>
      </c>
      <c r="C3413" t="inlineStr">
        <is>
          <t>PERCENTAGE</t>
        </is>
      </c>
      <c r="D3413" t="inlineStr">
        <is>
          <t>IOS Owner</t>
        </is>
      </c>
      <c r="E3413" s="16" t="n">
        <v>19750.05</v>
      </c>
      <c r="F3413" s="16" t="n">
        <v>9875.030000000001</v>
      </c>
      <c r="G3413" s="17" t="n">
        <v>50</v>
      </c>
      <c r="H3413" s="16" t="n">
        <v>9875.02</v>
      </c>
      <c r="I3413" s="16" t="n">
        <v>0</v>
      </c>
    </row>
    <row r="3414">
      <c r="A3414" t="inlineStr">
        <is>
          <t>MTR-IOS-3413</t>
        </is>
      </c>
      <c r="B3414" t="inlineStr">
        <is>
          <t>Assets</t>
        </is>
      </c>
      <c r="C3414" t="inlineStr">
        <is>
          <t>PERCENTAGE</t>
        </is>
      </c>
      <c r="D3414" t="inlineStr">
        <is>
          <t>IOS Aarav</t>
        </is>
      </c>
      <c r="E3414" s="16" t="n">
        <v>0</v>
      </c>
      <c r="F3414" s="16" t="n">
        <v>5925.02</v>
      </c>
      <c r="G3414" s="17" t="n">
        <v>30</v>
      </c>
      <c r="H3414" s="16" t="n">
        <v>-5925.02</v>
      </c>
      <c r="I3414" s="16" t="n">
        <v>0</v>
      </c>
    </row>
    <row r="3415">
      <c r="A3415" t="inlineStr">
        <is>
          <t>MTR-IOS-3413</t>
        </is>
      </c>
      <c r="B3415" t="inlineStr">
        <is>
          <t>Assets</t>
        </is>
      </c>
      <c r="C3415" t="inlineStr">
        <is>
          <t>PERCENTAGE</t>
        </is>
      </c>
      <c r="D3415" t="inlineStr">
        <is>
          <t>IOS Meera</t>
        </is>
      </c>
      <c r="E3415" s="16" t="n">
        <v>0</v>
      </c>
      <c r="F3415" s="16" t="n">
        <v>3950</v>
      </c>
      <c r="G3415" s="17" t="n">
        <v>20</v>
      </c>
      <c r="H3415" s="16" t="n">
        <v>-3950</v>
      </c>
      <c r="I3415" s="16" t="n">
        <v>0</v>
      </c>
    </row>
    <row r="3416">
      <c r="A3416" t="inlineStr">
        <is>
          <t>MTR-IOS-3416</t>
        </is>
      </c>
      <c r="B3416" t="inlineStr">
        <is>
          <t>Assets</t>
        </is>
      </c>
      <c r="C3416" t="inlineStr">
        <is>
          <t>EXACT</t>
        </is>
      </c>
      <c r="D3416" t="inlineStr">
        <is>
          <t>IOS Owner</t>
        </is>
      </c>
      <c r="E3416" s="16" t="n">
        <v>0</v>
      </c>
      <c r="F3416" s="16" t="n">
        <v>1832.93</v>
      </c>
      <c r="G3416" s="17" t="n"/>
      <c r="H3416" s="16" t="n">
        <v>-1832.93</v>
      </c>
      <c r="I3416" s="16" t="n">
        <v>0</v>
      </c>
    </row>
    <row r="3417">
      <c r="A3417" t="inlineStr">
        <is>
          <t>MTR-IOS-3416</t>
        </is>
      </c>
      <c r="B3417" t="inlineStr">
        <is>
          <t>Assets</t>
        </is>
      </c>
      <c r="C3417" t="inlineStr">
        <is>
          <t>EXACT</t>
        </is>
      </c>
      <c r="D3417" t="inlineStr">
        <is>
          <t>IOS Aarav</t>
        </is>
      </c>
      <c r="E3417" s="16" t="n">
        <v>5504.28</v>
      </c>
      <c r="F3417" s="16" t="n">
        <v>1832.93</v>
      </c>
      <c r="G3417" s="17" t="n"/>
      <c r="H3417" s="16" t="n">
        <v>3671.35</v>
      </c>
      <c r="I3417" s="16" t="n">
        <v>0</v>
      </c>
    </row>
    <row r="3418">
      <c r="A3418" t="inlineStr">
        <is>
          <t>MTR-IOS-3416</t>
        </is>
      </c>
      <c r="B3418" t="inlineStr">
        <is>
          <t>Assets</t>
        </is>
      </c>
      <c r="C3418" t="inlineStr">
        <is>
          <t>EXACT</t>
        </is>
      </c>
      <c r="D3418" t="inlineStr">
        <is>
          <t>IOS Meera</t>
        </is>
      </c>
      <c r="E3418" s="16" t="n">
        <v>0</v>
      </c>
      <c r="F3418" s="16" t="n">
        <v>1838.42</v>
      </c>
      <c r="G3418" s="17" t="n"/>
      <c r="H3418" s="16" t="n">
        <v>-1838.42</v>
      </c>
      <c r="I3418" s="16" t="n">
        <v>0</v>
      </c>
    </row>
    <row r="3419">
      <c r="A3419" t="inlineStr">
        <is>
          <t>MTR-IOS-3419</t>
        </is>
      </c>
      <c r="B3419" t="inlineStr">
        <is>
          <t>Custom Purchase</t>
        </is>
      </c>
      <c r="C3419" t="inlineStr">
        <is>
          <t>SHARES</t>
        </is>
      </c>
      <c r="D3419" t="inlineStr">
        <is>
          <t>IOS Owner</t>
        </is>
      </c>
      <c r="E3419" s="16" t="n">
        <v>0</v>
      </c>
      <c r="F3419" s="16" t="n">
        <v>353.61</v>
      </c>
      <c r="G3419" s="17" t="n"/>
      <c r="H3419" s="16" t="n">
        <v>-353.61</v>
      </c>
      <c r="I3419" s="16" t="n">
        <v>0</v>
      </c>
    </row>
    <row r="3420">
      <c r="A3420" t="inlineStr">
        <is>
          <t>MTR-IOS-3419</t>
        </is>
      </c>
      <c r="B3420" t="inlineStr">
        <is>
          <t>Custom Purchase</t>
        </is>
      </c>
      <c r="C3420" t="inlineStr">
        <is>
          <t>SHARES</t>
        </is>
      </c>
      <c r="D3420" t="inlineStr">
        <is>
          <t>IOS Aarav</t>
        </is>
      </c>
      <c r="E3420" s="16" t="n">
        <v>0</v>
      </c>
      <c r="F3420" s="16" t="n">
        <v>235.74</v>
      </c>
      <c r="G3420" s="17" t="n"/>
      <c r="H3420" s="16" t="n">
        <v>-235.74</v>
      </c>
      <c r="I3420" s="16" t="n">
        <v>0</v>
      </c>
    </row>
    <row r="3421">
      <c r="A3421" t="inlineStr">
        <is>
          <t>MTR-IOS-3419</t>
        </is>
      </c>
      <c r="B3421" t="inlineStr">
        <is>
          <t>Custom Purchase</t>
        </is>
      </c>
      <c r="C3421" t="inlineStr">
        <is>
          <t>SHARES</t>
        </is>
      </c>
      <c r="D3421" t="inlineStr">
        <is>
          <t>IOS Meera</t>
        </is>
      </c>
      <c r="E3421" s="16" t="n">
        <v>707.22</v>
      </c>
      <c r="F3421" s="16" t="n">
        <v>117.87</v>
      </c>
      <c r="G3421" s="17" t="n"/>
      <c r="H3421" s="16" t="n">
        <v>589.35</v>
      </c>
      <c r="I3421" s="16" t="n">
        <v>0</v>
      </c>
    </row>
    <row r="3422">
      <c r="A3422" t="inlineStr">
        <is>
          <t>MTR-IOS-3422</t>
        </is>
      </c>
      <c r="B3422" t="inlineStr">
        <is>
          <t>Custom Purchase</t>
        </is>
      </c>
      <c r="C3422" t="inlineStr">
        <is>
          <t>EQUAL</t>
        </is>
      </c>
      <c r="D3422" t="inlineStr">
        <is>
          <t>IOS Owner</t>
        </is>
      </c>
      <c r="E3422" s="16" t="n">
        <v>11791.72</v>
      </c>
      <c r="F3422" s="16" t="n">
        <v>3930.57</v>
      </c>
      <c r="G3422" s="17" t="n"/>
      <c r="H3422" s="16" t="n">
        <v>7861.15</v>
      </c>
      <c r="I3422" s="16" t="n">
        <v>0</v>
      </c>
    </row>
    <row r="3423">
      <c r="A3423" t="inlineStr">
        <is>
          <t>MTR-IOS-3422</t>
        </is>
      </c>
      <c r="B3423" t="inlineStr">
        <is>
          <t>Custom Purchase</t>
        </is>
      </c>
      <c r="C3423" t="inlineStr">
        <is>
          <t>EQUAL</t>
        </is>
      </c>
      <c r="D3423" t="inlineStr">
        <is>
          <t>IOS Aarav</t>
        </is>
      </c>
      <c r="E3423" s="16" t="n">
        <v>0</v>
      </c>
      <c r="F3423" s="16" t="n">
        <v>3930.57</v>
      </c>
      <c r="G3423" s="17" t="n"/>
      <c r="H3423" s="16" t="n">
        <v>-3930.57</v>
      </c>
      <c r="I3423" s="16" t="n">
        <v>0</v>
      </c>
    </row>
    <row r="3424">
      <c r="A3424" t="inlineStr">
        <is>
          <t>MTR-IOS-3422</t>
        </is>
      </c>
      <c r="B3424" t="inlineStr">
        <is>
          <t>Custom Purchase</t>
        </is>
      </c>
      <c r="C3424" t="inlineStr">
        <is>
          <t>EQUAL</t>
        </is>
      </c>
      <c r="D3424" t="inlineStr">
        <is>
          <t>IOS Meera</t>
        </is>
      </c>
      <c r="E3424" s="16" t="n">
        <v>0</v>
      </c>
      <c r="F3424" s="16" t="n">
        <v>3930.58</v>
      </c>
      <c r="G3424" s="17" t="n"/>
      <c r="H3424" s="16" t="n">
        <v>-3930.58</v>
      </c>
      <c r="I3424" s="16" t="n">
        <v>0</v>
      </c>
    </row>
    <row r="3425">
      <c r="A3425" t="inlineStr">
        <is>
          <t>MTR-IOS-3425</t>
        </is>
      </c>
      <c r="B3425" t="inlineStr">
        <is>
          <t>Flatmates</t>
        </is>
      </c>
      <c r="C3425" t="inlineStr">
        <is>
          <t>PERCENTAGE</t>
        </is>
      </c>
      <c r="D3425" t="inlineStr">
        <is>
          <t>IOS Owner</t>
        </is>
      </c>
      <c r="E3425" s="16" t="n">
        <v>0</v>
      </c>
      <c r="F3425" s="16" t="n">
        <v>12772.75</v>
      </c>
      <c r="G3425" s="17" t="n">
        <v>50</v>
      </c>
      <c r="H3425" s="16" t="n">
        <v>-12772.75</v>
      </c>
      <c r="I3425" s="16" t="n">
        <v>0</v>
      </c>
    </row>
    <row r="3426">
      <c r="A3426" t="inlineStr">
        <is>
          <t>MTR-IOS-3425</t>
        </is>
      </c>
      <c r="B3426" t="inlineStr">
        <is>
          <t>Flatmates</t>
        </is>
      </c>
      <c r="C3426" t="inlineStr">
        <is>
          <t>PERCENTAGE</t>
        </is>
      </c>
      <c r="D3426" t="inlineStr">
        <is>
          <t>IOS Aarav</t>
        </is>
      </c>
      <c r="E3426" s="16" t="n">
        <v>25545.49</v>
      </c>
      <c r="F3426" s="16" t="n">
        <v>7663.65</v>
      </c>
      <c r="G3426" s="17" t="n">
        <v>30</v>
      </c>
      <c r="H3426" s="16" t="n">
        <v>17881.84</v>
      </c>
      <c r="I3426" s="16" t="n">
        <v>0</v>
      </c>
    </row>
    <row r="3427">
      <c r="A3427" t="inlineStr">
        <is>
          <t>MTR-IOS-3425</t>
        </is>
      </c>
      <c r="B3427" t="inlineStr">
        <is>
          <t>Flatmates</t>
        </is>
      </c>
      <c r="C3427" t="inlineStr">
        <is>
          <t>PERCENTAGE</t>
        </is>
      </c>
      <c r="D3427" t="inlineStr">
        <is>
          <t>IOS Meera</t>
        </is>
      </c>
      <c r="E3427" s="16" t="n">
        <v>0</v>
      </c>
      <c r="F3427" s="16" t="n">
        <v>5109.09</v>
      </c>
      <c r="G3427" s="17" t="n">
        <v>20</v>
      </c>
      <c r="H3427" s="16" t="n">
        <v>-5109.09</v>
      </c>
      <c r="I3427" s="16" t="n">
        <v>0</v>
      </c>
    </row>
    <row r="3428">
      <c r="A3428" t="inlineStr">
        <is>
          <t>MTR-IOS-3428</t>
        </is>
      </c>
      <c r="B3428" t="inlineStr">
        <is>
          <t>Flatmates</t>
        </is>
      </c>
      <c r="C3428" t="inlineStr">
        <is>
          <t>EXACT</t>
        </is>
      </c>
      <c r="D3428" t="inlineStr">
        <is>
          <t>IOS Owner</t>
        </is>
      </c>
      <c r="E3428" s="16" t="n">
        <v>0</v>
      </c>
      <c r="F3428" s="16" t="n">
        <v>6244.07</v>
      </c>
      <c r="G3428" s="17" t="n"/>
      <c r="H3428" s="16" t="n">
        <v>-6244.07</v>
      </c>
      <c r="I3428" s="16" t="n">
        <v>0</v>
      </c>
    </row>
    <row r="3429">
      <c r="A3429" t="inlineStr">
        <is>
          <t>MTR-IOS-3428</t>
        </is>
      </c>
      <c r="B3429" t="inlineStr">
        <is>
          <t>Flatmates</t>
        </is>
      </c>
      <c r="C3429" t="inlineStr">
        <is>
          <t>EXACT</t>
        </is>
      </c>
      <c r="D3429" t="inlineStr">
        <is>
          <t>IOS Aarav</t>
        </is>
      </c>
      <c r="E3429" s="16" t="n">
        <v>0</v>
      </c>
      <c r="F3429" s="16" t="n">
        <v>6244.07</v>
      </c>
      <c r="G3429" s="17" t="n"/>
      <c r="H3429" s="16" t="n">
        <v>-6244.07</v>
      </c>
      <c r="I3429" s="16" t="n">
        <v>0</v>
      </c>
    </row>
    <row r="3430">
      <c r="A3430" t="inlineStr">
        <is>
          <t>MTR-IOS-3428</t>
        </is>
      </c>
      <c r="B3430" t="inlineStr">
        <is>
          <t>Flatmates</t>
        </is>
      </c>
      <c r="C3430" t="inlineStr">
        <is>
          <t>EXACT</t>
        </is>
      </c>
      <c r="D3430" t="inlineStr">
        <is>
          <t>IOS Meera</t>
        </is>
      </c>
      <c r="E3430" s="16" t="n">
        <v>18750.95</v>
      </c>
      <c r="F3430" s="16" t="n">
        <v>6262.81</v>
      </c>
      <c r="G3430" s="17" t="n"/>
      <c r="H3430" s="16" t="n">
        <v>12488.14</v>
      </c>
      <c r="I3430" s="16" t="n">
        <v>0</v>
      </c>
    </row>
    <row r="3431">
      <c r="A3431" t="inlineStr">
        <is>
          <t>MTR-IOS-3431</t>
        </is>
      </c>
      <c r="B3431" t="inlineStr">
        <is>
          <t>Flatmates</t>
        </is>
      </c>
      <c r="C3431" t="inlineStr">
        <is>
          <t>SHARES</t>
        </is>
      </c>
      <c r="D3431" t="inlineStr">
        <is>
          <t>IOS Owner</t>
        </is>
      </c>
      <c r="E3431" s="16" t="n">
        <v>6456.44</v>
      </c>
      <c r="F3431" s="16" t="n">
        <v>3228.22</v>
      </c>
      <c r="G3431" s="17" t="n"/>
      <c r="H3431" s="16" t="n">
        <v>3228.22</v>
      </c>
      <c r="I3431" s="16" t="n">
        <v>0</v>
      </c>
    </row>
    <row r="3432">
      <c r="A3432" t="inlineStr">
        <is>
          <t>MTR-IOS-3431</t>
        </is>
      </c>
      <c r="B3432" t="inlineStr">
        <is>
          <t>Flatmates</t>
        </is>
      </c>
      <c r="C3432" t="inlineStr">
        <is>
          <t>SHARES</t>
        </is>
      </c>
      <c r="D3432" t="inlineStr">
        <is>
          <t>IOS Aarav</t>
        </is>
      </c>
      <c r="E3432" s="16" t="n">
        <v>0</v>
      </c>
      <c r="F3432" s="16" t="n">
        <v>2152.15</v>
      </c>
      <c r="G3432" s="17" t="n"/>
      <c r="H3432" s="16" t="n">
        <v>-2152.15</v>
      </c>
      <c r="I3432" s="16" t="n">
        <v>0</v>
      </c>
    </row>
    <row r="3433">
      <c r="A3433" t="inlineStr">
        <is>
          <t>MTR-IOS-3431</t>
        </is>
      </c>
      <c r="B3433" t="inlineStr">
        <is>
          <t>Flatmates</t>
        </is>
      </c>
      <c r="C3433" t="inlineStr">
        <is>
          <t>SHARES</t>
        </is>
      </c>
      <c r="D3433" t="inlineStr">
        <is>
          <t>IOS Meera</t>
        </is>
      </c>
      <c r="E3433" s="16" t="n">
        <v>0</v>
      </c>
      <c r="F3433" s="16" t="n">
        <v>1076.07</v>
      </c>
      <c r="G3433" s="17" t="n"/>
      <c r="H3433" s="16" t="n">
        <v>-1076.07</v>
      </c>
      <c r="I3433" s="16" t="n">
        <v>0</v>
      </c>
    </row>
    <row r="3434">
      <c r="A3434" t="inlineStr">
        <is>
          <t>MTR-IOS-3434</t>
        </is>
      </c>
      <c r="B3434" t="inlineStr">
        <is>
          <t>Flatmates</t>
        </is>
      </c>
      <c r="C3434" t="inlineStr">
        <is>
          <t>EQUAL</t>
        </is>
      </c>
      <c r="D3434" t="inlineStr">
        <is>
          <t>IOS Owner</t>
        </is>
      </c>
      <c r="E3434" s="16" t="n">
        <v>0</v>
      </c>
      <c r="F3434" s="16" t="n">
        <v>2159.33</v>
      </c>
      <c r="G3434" s="17" t="n"/>
      <c r="H3434" s="16" t="n">
        <v>-2159.33</v>
      </c>
      <c r="I3434" s="16" t="n">
        <v>0</v>
      </c>
    </row>
    <row r="3435">
      <c r="A3435" t="inlineStr">
        <is>
          <t>MTR-IOS-3434</t>
        </is>
      </c>
      <c r="B3435" t="inlineStr">
        <is>
          <t>Flatmates</t>
        </is>
      </c>
      <c r="C3435" t="inlineStr">
        <is>
          <t>EQUAL</t>
        </is>
      </c>
      <c r="D3435" t="inlineStr">
        <is>
          <t>IOS Aarav</t>
        </is>
      </c>
      <c r="E3435" s="16" t="n">
        <v>6478</v>
      </c>
      <c r="F3435" s="16" t="n">
        <v>2159.33</v>
      </c>
      <c r="G3435" s="17" t="n"/>
      <c r="H3435" s="16" t="n">
        <v>4318.67</v>
      </c>
      <c r="I3435" s="16" t="n">
        <v>0</v>
      </c>
    </row>
    <row r="3436">
      <c r="A3436" t="inlineStr">
        <is>
          <t>MTR-IOS-3434</t>
        </is>
      </c>
      <c r="B3436" t="inlineStr">
        <is>
          <t>Flatmates</t>
        </is>
      </c>
      <c r="C3436" t="inlineStr">
        <is>
          <t>EQUAL</t>
        </is>
      </c>
      <c r="D3436" t="inlineStr">
        <is>
          <t>IOS Meera</t>
        </is>
      </c>
      <c r="E3436" s="16" t="n">
        <v>0</v>
      </c>
      <c r="F3436" s="16" t="n">
        <v>2159.34</v>
      </c>
      <c r="G3436" s="17" t="n"/>
      <c r="H3436" s="16" t="n">
        <v>-2159.34</v>
      </c>
      <c r="I3436" s="16" t="n">
        <v>0</v>
      </c>
    </row>
    <row r="3437">
      <c r="A3437" t="inlineStr">
        <is>
          <t>MTR-IOS-3437</t>
        </is>
      </c>
      <c r="B3437" t="inlineStr">
        <is>
          <t>Flatmates</t>
        </is>
      </c>
      <c r="C3437" t="inlineStr">
        <is>
          <t>PERCENTAGE</t>
        </is>
      </c>
      <c r="D3437" t="inlineStr">
        <is>
          <t>IOS Owner</t>
        </is>
      </c>
      <c r="E3437" s="16" t="n">
        <v>0</v>
      </c>
      <c r="F3437" s="16" t="n">
        <v>8729.629999999999</v>
      </c>
      <c r="G3437" s="17" t="n">
        <v>50</v>
      </c>
      <c r="H3437" s="16" t="n">
        <v>-8729.629999999999</v>
      </c>
      <c r="I3437" s="16" t="n">
        <v>0</v>
      </c>
    </row>
    <row r="3438">
      <c r="A3438" t="inlineStr">
        <is>
          <t>MTR-IOS-3437</t>
        </is>
      </c>
      <c r="B3438" t="inlineStr">
        <is>
          <t>Flatmates</t>
        </is>
      </c>
      <c r="C3438" t="inlineStr">
        <is>
          <t>PERCENTAGE</t>
        </is>
      </c>
      <c r="D3438" t="inlineStr">
        <is>
          <t>IOS Aarav</t>
        </is>
      </c>
      <c r="E3438" s="16" t="n">
        <v>0</v>
      </c>
      <c r="F3438" s="16" t="n">
        <v>5237.78</v>
      </c>
      <c r="G3438" s="17" t="n">
        <v>30</v>
      </c>
      <c r="H3438" s="16" t="n">
        <v>-5237.78</v>
      </c>
      <c r="I3438" s="16" t="n">
        <v>0</v>
      </c>
    </row>
    <row r="3439">
      <c r="A3439" t="inlineStr">
        <is>
          <t>MTR-IOS-3437</t>
        </is>
      </c>
      <c r="B3439" t="inlineStr">
        <is>
          <t>Flatmates</t>
        </is>
      </c>
      <c r="C3439" t="inlineStr">
        <is>
          <t>PERCENTAGE</t>
        </is>
      </c>
      <c r="D3439" t="inlineStr">
        <is>
          <t>IOS Meera</t>
        </is>
      </c>
      <c r="E3439" s="16" t="n">
        <v>17459.25</v>
      </c>
      <c r="F3439" s="16" t="n">
        <v>3491.84</v>
      </c>
      <c r="G3439" s="17" t="n">
        <v>20</v>
      </c>
      <c r="H3439" s="16" t="n">
        <v>13967.41</v>
      </c>
      <c r="I3439" s="16" t="n">
        <v>0</v>
      </c>
    </row>
    <row r="3440">
      <c r="A3440" t="inlineStr">
        <is>
          <t>MTR-IOS-3440</t>
        </is>
      </c>
      <c r="B3440" t="inlineStr">
        <is>
          <t>Flatmates</t>
        </is>
      </c>
      <c r="C3440" t="inlineStr">
        <is>
          <t>EXACT</t>
        </is>
      </c>
      <c r="D3440" t="inlineStr">
        <is>
          <t>IOS Owner</t>
        </is>
      </c>
      <c r="E3440" s="16" t="n">
        <v>4303.07</v>
      </c>
      <c r="F3440" s="16" t="n">
        <v>1432.92</v>
      </c>
      <c r="G3440" s="17" t="n"/>
      <c r="H3440" s="16" t="n">
        <v>2870.15</v>
      </c>
      <c r="I3440" s="16" t="n">
        <v>0</v>
      </c>
    </row>
    <row r="3441">
      <c r="A3441" t="inlineStr">
        <is>
          <t>MTR-IOS-3440</t>
        </is>
      </c>
      <c r="B3441" t="inlineStr">
        <is>
          <t>Flatmates</t>
        </is>
      </c>
      <c r="C3441" t="inlineStr">
        <is>
          <t>EXACT</t>
        </is>
      </c>
      <c r="D3441" t="inlineStr">
        <is>
          <t>IOS Aarav</t>
        </is>
      </c>
      <c r="E3441" s="16" t="n">
        <v>0</v>
      </c>
      <c r="F3441" s="16" t="n">
        <v>1432.92</v>
      </c>
      <c r="G3441" s="17" t="n"/>
      <c r="H3441" s="16" t="n">
        <v>-1432.92</v>
      </c>
      <c r="I3441" s="16" t="n">
        <v>0</v>
      </c>
    </row>
    <row r="3442">
      <c r="A3442" t="inlineStr">
        <is>
          <t>MTR-IOS-3440</t>
        </is>
      </c>
      <c r="B3442" t="inlineStr">
        <is>
          <t>Flatmates</t>
        </is>
      </c>
      <c r="C3442" t="inlineStr">
        <is>
          <t>EXACT</t>
        </is>
      </c>
      <c r="D3442" t="inlineStr">
        <is>
          <t>IOS Meera</t>
        </is>
      </c>
      <c r="E3442" s="16" t="n">
        <v>0</v>
      </c>
      <c r="F3442" s="16" t="n">
        <v>1437.23</v>
      </c>
      <c r="G3442" s="17" t="n"/>
      <c r="H3442" s="16" t="n">
        <v>-1437.23</v>
      </c>
      <c r="I3442" s="16" t="n">
        <v>0</v>
      </c>
    </row>
    <row r="3443">
      <c r="A3443" t="inlineStr">
        <is>
          <t>MTR-IOS-3443</t>
        </is>
      </c>
      <c r="B3443" t="inlineStr">
        <is>
          <t>Shared Living</t>
        </is>
      </c>
      <c r="C3443" t="inlineStr">
        <is>
          <t>SHARES</t>
        </is>
      </c>
      <c r="D3443" t="inlineStr">
        <is>
          <t>IOS Owner</t>
        </is>
      </c>
      <c r="E3443" s="16" t="n">
        <v>0</v>
      </c>
      <c r="F3443" s="16" t="n">
        <v>13206.78</v>
      </c>
      <c r="G3443" s="17" t="n"/>
      <c r="H3443" s="16" t="n">
        <v>-13206.78</v>
      </c>
      <c r="I3443" s="16" t="n">
        <v>0</v>
      </c>
    </row>
    <row r="3444">
      <c r="A3444" t="inlineStr">
        <is>
          <t>MTR-IOS-3443</t>
        </is>
      </c>
      <c r="B3444" t="inlineStr">
        <is>
          <t>Shared Living</t>
        </is>
      </c>
      <c r="C3444" t="inlineStr">
        <is>
          <t>SHARES</t>
        </is>
      </c>
      <c r="D3444" t="inlineStr">
        <is>
          <t>IOS Aarav</t>
        </is>
      </c>
      <c r="E3444" s="16" t="n">
        <v>26413.55</v>
      </c>
      <c r="F3444" s="16" t="n">
        <v>8804.52</v>
      </c>
      <c r="G3444" s="17" t="n"/>
      <c r="H3444" s="16" t="n">
        <v>17609.03</v>
      </c>
      <c r="I3444" s="16" t="n">
        <v>0</v>
      </c>
    </row>
    <row r="3445">
      <c r="A3445" t="inlineStr">
        <is>
          <t>MTR-IOS-3443</t>
        </is>
      </c>
      <c r="B3445" t="inlineStr">
        <is>
          <t>Shared Living</t>
        </is>
      </c>
      <c r="C3445" t="inlineStr">
        <is>
          <t>SHARES</t>
        </is>
      </c>
      <c r="D3445" t="inlineStr">
        <is>
          <t>IOS Meera</t>
        </is>
      </c>
      <c r="E3445" s="16" t="n">
        <v>0</v>
      </c>
      <c r="F3445" s="16" t="n">
        <v>4402.25</v>
      </c>
      <c r="G3445" s="17" t="n"/>
      <c r="H3445" s="16" t="n">
        <v>-4402.25</v>
      </c>
      <c r="I3445" s="16" t="n">
        <v>0</v>
      </c>
    </row>
    <row r="3446">
      <c r="A3446" t="inlineStr">
        <is>
          <t>MTR-IOS-3446</t>
        </is>
      </c>
      <c r="B3446" t="inlineStr">
        <is>
          <t>Shared Living</t>
        </is>
      </c>
      <c r="C3446" t="inlineStr">
        <is>
          <t>EQUAL</t>
        </is>
      </c>
      <c r="D3446" t="inlineStr">
        <is>
          <t>IOS Owner</t>
        </is>
      </c>
      <c r="E3446" s="16" t="n">
        <v>0</v>
      </c>
      <c r="F3446" s="16" t="n">
        <v>3724.27</v>
      </c>
      <c r="G3446" s="17" t="n"/>
      <c r="H3446" s="16" t="n">
        <v>-3724.27</v>
      </c>
      <c r="I3446" s="16" t="n">
        <v>0</v>
      </c>
    </row>
    <row r="3447">
      <c r="A3447" t="inlineStr">
        <is>
          <t>MTR-IOS-3446</t>
        </is>
      </c>
      <c r="B3447" t="inlineStr">
        <is>
          <t>Shared Living</t>
        </is>
      </c>
      <c r="C3447" t="inlineStr">
        <is>
          <t>EQUAL</t>
        </is>
      </c>
      <c r="D3447" t="inlineStr">
        <is>
          <t>IOS Aarav</t>
        </is>
      </c>
      <c r="E3447" s="16" t="n">
        <v>0</v>
      </c>
      <c r="F3447" s="16" t="n">
        <v>3724.27</v>
      </c>
      <c r="G3447" s="17" t="n"/>
      <c r="H3447" s="16" t="n">
        <v>-3724.27</v>
      </c>
      <c r="I3447" s="16" t="n">
        <v>0</v>
      </c>
    </row>
    <row r="3448">
      <c r="A3448" t="inlineStr">
        <is>
          <t>MTR-IOS-3446</t>
        </is>
      </c>
      <c r="B3448" t="inlineStr">
        <is>
          <t>Shared Living</t>
        </is>
      </c>
      <c r="C3448" t="inlineStr">
        <is>
          <t>EQUAL</t>
        </is>
      </c>
      <c r="D3448" t="inlineStr">
        <is>
          <t>IOS Meera</t>
        </is>
      </c>
      <c r="E3448" s="16" t="n">
        <v>11172.82</v>
      </c>
      <c r="F3448" s="16" t="n">
        <v>3724.28</v>
      </c>
      <c r="G3448" s="17" t="n"/>
      <c r="H3448" s="16" t="n">
        <v>7448.54</v>
      </c>
      <c r="I3448" s="16" t="n">
        <v>0</v>
      </c>
    </row>
    <row r="3449">
      <c r="A3449" t="inlineStr">
        <is>
          <t>MTR-IOS-3449</t>
        </is>
      </c>
      <c r="B3449" t="inlineStr">
        <is>
          <t>Shared Living</t>
        </is>
      </c>
      <c r="C3449" t="inlineStr">
        <is>
          <t>PERCENTAGE</t>
        </is>
      </c>
      <c r="D3449" t="inlineStr">
        <is>
          <t>IOS Owner</t>
        </is>
      </c>
      <c r="E3449" s="16" t="n">
        <v>1319.78</v>
      </c>
      <c r="F3449" s="16" t="n">
        <v>659.89</v>
      </c>
      <c r="G3449" s="17" t="n">
        <v>50</v>
      </c>
      <c r="H3449" s="16" t="n">
        <v>659.89</v>
      </c>
      <c r="I3449" s="16" t="n">
        <v>0</v>
      </c>
    </row>
    <row r="3450">
      <c r="A3450" t="inlineStr">
        <is>
          <t>MTR-IOS-3449</t>
        </is>
      </c>
      <c r="B3450" t="inlineStr">
        <is>
          <t>Shared Living</t>
        </is>
      </c>
      <c r="C3450" t="inlineStr">
        <is>
          <t>PERCENTAGE</t>
        </is>
      </c>
      <c r="D3450" t="inlineStr">
        <is>
          <t>IOS Aarav</t>
        </is>
      </c>
      <c r="E3450" s="16" t="n">
        <v>0</v>
      </c>
      <c r="F3450" s="16" t="n">
        <v>395.93</v>
      </c>
      <c r="G3450" s="17" t="n">
        <v>30</v>
      </c>
      <c r="H3450" s="16" t="n">
        <v>-395.93</v>
      </c>
      <c r="I3450" s="16" t="n">
        <v>0</v>
      </c>
    </row>
    <row r="3451">
      <c r="A3451" t="inlineStr">
        <is>
          <t>MTR-IOS-3449</t>
        </is>
      </c>
      <c r="B3451" t="inlineStr">
        <is>
          <t>Shared Living</t>
        </is>
      </c>
      <c r="C3451" t="inlineStr">
        <is>
          <t>PERCENTAGE</t>
        </is>
      </c>
      <c r="D3451" t="inlineStr">
        <is>
          <t>IOS Meera</t>
        </is>
      </c>
      <c r="E3451" s="16" t="n">
        <v>0</v>
      </c>
      <c r="F3451" s="16" t="n">
        <v>263.96</v>
      </c>
      <c r="G3451" s="17" t="n">
        <v>20</v>
      </c>
      <c r="H3451" s="16" t="n">
        <v>-263.96</v>
      </c>
      <c r="I3451" s="16" t="n">
        <v>0</v>
      </c>
    </row>
    <row r="3452">
      <c r="A3452" t="inlineStr">
        <is>
          <t>MTR-IOS-3452</t>
        </is>
      </c>
      <c r="B3452" t="inlineStr">
        <is>
          <t>Shared Living</t>
        </is>
      </c>
      <c r="C3452" t="inlineStr">
        <is>
          <t>EXACT</t>
        </is>
      </c>
      <c r="D3452" t="inlineStr">
        <is>
          <t>IOS Owner</t>
        </is>
      </c>
      <c r="E3452" s="16" t="n">
        <v>0</v>
      </c>
      <c r="F3452" s="16" t="n">
        <v>1918.77</v>
      </c>
      <c r="G3452" s="17" t="n"/>
      <c r="H3452" s="16" t="n">
        <v>-1918.77</v>
      </c>
      <c r="I3452" s="16" t="n">
        <v>0</v>
      </c>
    </row>
    <row r="3453">
      <c r="A3453" t="inlineStr">
        <is>
          <t>MTR-IOS-3452</t>
        </is>
      </c>
      <c r="B3453" t="inlineStr">
        <is>
          <t>Shared Living</t>
        </is>
      </c>
      <c r="C3453" t="inlineStr">
        <is>
          <t>EXACT</t>
        </is>
      </c>
      <c r="D3453" t="inlineStr">
        <is>
          <t>IOS Aarav</t>
        </is>
      </c>
      <c r="E3453" s="16" t="n">
        <v>5762.07</v>
      </c>
      <c r="F3453" s="16" t="n">
        <v>1918.77</v>
      </c>
      <c r="G3453" s="17" t="n"/>
      <c r="H3453" s="16" t="n">
        <v>3843.3</v>
      </c>
      <c r="I3453" s="16" t="n">
        <v>0</v>
      </c>
    </row>
    <row r="3454">
      <c r="A3454" t="inlineStr">
        <is>
          <t>MTR-IOS-3452</t>
        </is>
      </c>
      <c r="B3454" t="inlineStr">
        <is>
          <t>Shared Living</t>
        </is>
      </c>
      <c r="C3454" t="inlineStr">
        <is>
          <t>EXACT</t>
        </is>
      </c>
      <c r="D3454" t="inlineStr">
        <is>
          <t>IOS Meera</t>
        </is>
      </c>
      <c r="E3454" s="16" t="n">
        <v>0</v>
      </c>
      <c r="F3454" s="16" t="n">
        <v>1924.53</v>
      </c>
      <c r="G3454" s="17" t="n"/>
      <c r="H3454" s="16" t="n">
        <v>-1924.53</v>
      </c>
      <c r="I3454" s="16" t="n">
        <v>0</v>
      </c>
    </row>
    <row r="3455">
      <c r="A3455" t="inlineStr">
        <is>
          <t>MTR-IOS-3455</t>
        </is>
      </c>
      <c r="B3455" t="inlineStr">
        <is>
          <t>Shared Living</t>
        </is>
      </c>
      <c r="C3455" t="inlineStr">
        <is>
          <t>SHARES</t>
        </is>
      </c>
      <c r="D3455" t="inlineStr">
        <is>
          <t>IOS Owner</t>
        </is>
      </c>
      <c r="E3455" s="16" t="n">
        <v>0</v>
      </c>
      <c r="F3455" s="16" t="n">
        <v>2123.02</v>
      </c>
      <c r="G3455" s="17" t="n"/>
      <c r="H3455" s="16" t="n">
        <v>-2123.02</v>
      </c>
      <c r="I3455" s="16" t="n">
        <v>0</v>
      </c>
    </row>
    <row r="3456">
      <c r="A3456" t="inlineStr">
        <is>
          <t>MTR-IOS-3455</t>
        </is>
      </c>
      <c r="B3456" t="inlineStr">
        <is>
          <t>Shared Living</t>
        </is>
      </c>
      <c r="C3456" t="inlineStr">
        <is>
          <t>SHARES</t>
        </is>
      </c>
      <c r="D3456" t="inlineStr">
        <is>
          <t>IOS Aarav</t>
        </is>
      </c>
      <c r="E3456" s="16" t="n">
        <v>0</v>
      </c>
      <c r="F3456" s="16" t="n">
        <v>1415.35</v>
      </c>
      <c r="G3456" s="17" t="n"/>
      <c r="H3456" s="16" t="n">
        <v>-1415.35</v>
      </c>
      <c r="I3456" s="16" t="n">
        <v>0</v>
      </c>
    </row>
    <row r="3457">
      <c r="A3457" t="inlineStr">
        <is>
          <t>MTR-IOS-3455</t>
        </is>
      </c>
      <c r="B3457" t="inlineStr">
        <is>
          <t>Shared Living</t>
        </is>
      </c>
      <c r="C3457" t="inlineStr">
        <is>
          <t>SHARES</t>
        </is>
      </c>
      <c r="D3457" t="inlineStr">
        <is>
          <t>IOS Meera</t>
        </is>
      </c>
      <c r="E3457" s="16" t="n">
        <v>4246.04</v>
      </c>
      <c r="F3457" s="16" t="n">
        <v>707.67</v>
      </c>
      <c r="G3457" s="17" t="n"/>
      <c r="H3457" s="16" t="n">
        <v>3538.37</v>
      </c>
      <c r="I3457" s="16" t="n">
        <v>0</v>
      </c>
    </row>
    <row r="3458">
      <c r="A3458" t="inlineStr">
        <is>
          <t>MTR-IOS-3458</t>
        </is>
      </c>
      <c r="B3458" t="inlineStr">
        <is>
          <t>Family Household</t>
        </is>
      </c>
      <c r="C3458" t="inlineStr">
        <is>
          <t>EQUAL</t>
        </is>
      </c>
      <c r="D3458" t="inlineStr">
        <is>
          <t>IOS Owner</t>
        </is>
      </c>
      <c r="E3458" s="16" t="n">
        <v>22984.5</v>
      </c>
      <c r="F3458" s="16" t="n">
        <v>7661.5</v>
      </c>
      <c r="G3458" s="17" t="n"/>
      <c r="H3458" s="16" t="n">
        <v>15323</v>
      </c>
      <c r="I3458" s="16" t="n">
        <v>0</v>
      </c>
    </row>
    <row r="3459">
      <c r="A3459" t="inlineStr">
        <is>
          <t>MTR-IOS-3458</t>
        </is>
      </c>
      <c r="B3459" t="inlineStr">
        <is>
          <t>Family Household</t>
        </is>
      </c>
      <c r="C3459" t="inlineStr">
        <is>
          <t>EQUAL</t>
        </is>
      </c>
      <c r="D3459" t="inlineStr">
        <is>
          <t>IOS Aarav</t>
        </is>
      </c>
      <c r="E3459" s="16" t="n">
        <v>0</v>
      </c>
      <c r="F3459" s="16" t="n">
        <v>7661.5</v>
      </c>
      <c r="G3459" s="17" t="n"/>
      <c r="H3459" s="16" t="n">
        <v>-7661.5</v>
      </c>
      <c r="I3459" s="16" t="n">
        <v>0</v>
      </c>
    </row>
    <row r="3460">
      <c r="A3460" t="inlineStr">
        <is>
          <t>MTR-IOS-3458</t>
        </is>
      </c>
      <c r="B3460" t="inlineStr">
        <is>
          <t>Family Household</t>
        </is>
      </c>
      <c r="C3460" t="inlineStr">
        <is>
          <t>EQUAL</t>
        </is>
      </c>
      <c r="D3460" t="inlineStr">
        <is>
          <t>IOS Meera</t>
        </is>
      </c>
      <c r="E3460" s="16" t="n">
        <v>0</v>
      </c>
      <c r="F3460" s="16" t="n">
        <v>7661.5</v>
      </c>
      <c r="G3460" s="17" t="n"/>
      <c r="H3460" s="16" t="n">
        <v>-7661.5</v>
      </c>
      <c r="I3460" s="16" t="n">
        <v>0</v>
      </c>
    </row>
    <row r="3461">
      <c r="A3461" t="inlineStr">
        <is>
          <t>MTR-IOS-3461</t>
        </is>
      </c>
      <c r="B3461" t="inlineStr">
        <is>
          <t>Family Household</t>
        </is>
      </c>
      <c r="C3461" t="inlineStr">
        <is>
          <t>PERCENTAGE</t>
        </is>
      </c>
      <c r="D3461" t="inlineStr">
        <is>
          <t>IOS Owner</t>
        </is>
      </c>
      <c r="E3461" s="16" t="n">
        <v>0</v>
      </c>
      <c r="F3461" s="16" t="n">
        <v>4690.28</v>
      </c>
      <c r="G3461" s="17" t="n">
        <v>50</v>
      </c>
      <c r="H3461" s="16" t="n">
        <v>-4690.28</v>
      </c>
      <c r="I3461" s="16" t="n">
        <v>0</v>
      </c>
    </row>
    <row r="3462">
      <c r="A3462" t="inlineStr">
        <is>
          <t>MTR-IOS-3461</t>
        </is>
      </c>
      <c r="B3462" t="inlineStr">
        <is>
          <t>Family Household</t>
        </is>
      </c>
      <c r="C3462" t="inlineStr">
        <is>
          <t>PERCENTAGE</t>
        </is>
      </c>
      <c r="D3462" t="inlineStr">
        <is>
          <t>IOS Aarav</t>
        </is>
      </c>
      <c r="E3462" s="16" t="n">
        <v>9380.559999999999</v>
      </c>
      <c r="F3462" s="16" t="n">
        <v>2814.17</v>
      </c>
      <c r="G3462" s="17" t="n">
        <v>30</v>
      </c>
      <c r="H3462" s="16" t="n">
        <v>6566.39</v>
      </c>
      <c r="I3462" s="16" t="n">
        <v>0</v>
      </c>
    </row>
    <row r="3463">
      <c r="A3463" t="inlineStr">
        <is>
          <t>MTR-IOS-3461</t>
        </is>
      </c>
      <c r="B3463" t="inlineStr">
        <is>
          <t>Family Household</t>
        </is>
      </c>
      <c r="C3463" t="inlineStr">
        <is>
          <t>PERCENTAGE</t>
        </is>
      </c>
      <c r="D3463" t="inlineStr">
        <is>
          <t>IOS Meera</t>
        </is>
      </c>
      <c r="E3463" s="16" t="n">
        <v>0</v>
      </c>
      <c r="F3463" s="16" t="n">
        <v>1876.11</v>
      </c>
      <c r="G3463" s="17" t="n">
        <v>20</v>
      </c>
      <c r="H3463" s="16" t="n">
        <v>-1876.11</v>
      </c>
      <c r="I3463" s="16" t="n">
        <v>0</v>
      </c>
    </row>
    <row r="3464">
      <c r="A3464" t="inlineStr">
        <is>
          <t>MTR-IOS-3464</t>
        </is>
      </c>
      <c r="B3464" t="inlineStr">
        <is>
          <t>Family Household</t>
        </is>
      </c>
      <c r="C3464" t="inlineStr">
        <is>
          <t>EXACT</t>
        </is>
      </c>
      <c r="D3464" t="inlineStr">
        <is>
          <t>IOS Owner</t>
        </is>
      </c>
      <c r="E3464" s="16" t="n">
        <v>0</v>
      </c>
      <c r="F3464" s="16" t="n">
        <v>6677.35</v>
      </c>
      <c r="G3464" s="17" t="n"/>
      <c r="H3464" s="16" t="n">
        <v>-6677.35</v>
      </c>
      <c r="I3464" s="16" t="n">
        <v>0</v>
      </c>
    </row>
    <row r="3465">
      <c r="A3465" t="inlineStr">
        <is>
          <t>MTR-IOS-3464</t>
        </is>
      </c>
      <c r="B3465" t="inlineStr">
        <is>
          <t>Family Household</t>
        </is>
      </c>
      <c r="C3465" t="inlineStr">
        <is>
          <t>EXACT</t>
        </is>
      </c>
      <c r="D3465" t="inlineStr">
        <is>
          <t>IOS Aarav</t>
        </is>
      </c>
      <c r="E3465" s="16" t="n">
        <v>0</v>
      </c>
      <c r="F3465" s="16" t="n">
        <v>6677.35</v>
      </c>
      <c r="G3465" s="17" t="n"/>
      <c r="H3465" s="16" t="n">
        <v>-6677.35</v>
      </c>
      <c r="I3465" s="16" t="n">
        <v>0</v>
      </c>
    </row>
    <row r="3466">
      <c r="A3466" t="inlineStr">
        <is>
          <t>MTR-IOS-3464</t>
        </is>
      </c>
      <c r="B3466" t="inlineStr">
        <is>
          <t>Family Household</t>
        </is>
      </c>
      <c r="C3466" t="inlineStr">
        <is>
          <t>EXACT</t>
        </is>
      </c>
      <c r="D3466" t="inlineStr">
        <is>
          <t>IOS Meera</t>
        </is>
      </c>
      <c r="E3466" s="16" t="n">
        <v>20052.1</v>
      </c>
      <c r="F3466" s="16" t="n">
        <v>6697.4</v>
      </c>
      <c r="G3466" s="17" t="n"/>
      <c r="H3466" s="16" t="n">
        <v>13354.7</v>
      </c>
      <c r="I3466" s="16" t="n">
        <v>0</v>
      </c>
    </row>
    <row r="3467">
      <c r="A3467" t="inlineStr">
        <is>
          <t>MTR-IOS-3467</t>
        </is>
      </c>
      <c r="B3467" t="inlineStr">
        <is>
          <t>Family Household</t>
        </is>
      </c>
      <c r="C3467" t="inlineStr">
        <is>
          <t>SHARES</t>
        </is>
      </c>
      <c r="D3467" t="inlineStr">
        <is>
          <t>IOS Owner</t>
        </is>
      </c>
      <c r="E3467" s="16" t="n">
        <v>9702.92</v>
      </c>
      <c r="F3467" s="16" t="n">
        <v>4851.46</v>
      </c>
      <c r="G3467" s="17" t="n"/>
      <c r="H3467" s="16" t="n">
        <v>4851.46</v>
      </c>
      <c r="I3467" s="16" t="n">
        <v>0</v>
      </c>
    </row>
    <row r="3468">
      <c r="A3468" t="inlineStr">
        <is>
          <t>MTR-IOS-3467</t>
        </is>
      </c>
      <c r="B3468" t="inlineStr">
        <is>
          <t>Family Household</t>
        </is>
      </c>
      <c r="C3468" t="inlineStr">
        <is>
          <t>SHARES</t>
        </is>
      </c>
      <c r="D3468" t="inlineStr">
        <is>
          <t>IOS Aarav</t>
        </is>
      </c>
      <c r="E3468" s="16" t="n">
        <v>0</v>
      </c>
      <c r="F3468" s="16" t="n">
        <v>3234.31</v>
      </c>
      <c r="G3468" s="17" t="n"/>
      <c r="H3468" s="16" t="n">
        <v>-3234.31</v>
      </c>
      <c r="I3468" s="16" t="n">
        <v>0</v>
      </c>
    </row>
    <row r="3469">
      <c r="A3469" t="inlineStr">
        <is>
          <t>MTR-IOS-3467</t>
        </is>
      </c>
      <c r="B3469" t="inlineStr">
        <is>
          <t>Family Household</t>
        </is>
      </c>
      <c r="C3469" t="inlineStr">
        <is>
          <t>SHARES</t>
        </is>
      </c>
      <c r="D3469" t="inlineStr">
        <is>
          <t>IOS Meera</t>
        </is>
      </c>
      <c r="E3469" s="16" t="n">
        <v>0</v>
      </c>
      <c r="F3469" s="16" t="n">
        <v>1617.15</v>
      </c>
      <c r="G3469" s="17" t="n"/>
      <c r="H3469" s="16" t="n">
        <v>-1617.15</v>
      </c>
      <c r="I3469" s="16" t="n">
        <v>0</v>
      </c>
    </row>
    <row r="3470">
      <c r="A3470" t="inlineStr">
        <is>
          <t>MTR-IOS-3470</t>
        </is>
      </c>
      <c r="B3470" t="inlineStr">
        <is>
          <t>Family Household</t>
        </is>
      </c>
      <c r="C3470" t="inlineStr">
        <is>
          <t>EQUAL</t>
        </is>
      </c>
      <c r="D3470" t="inlineStr">
        <is>
          <t>IOS Owner</t>
        </is>
      </c>
      <c r="E3470" s="16" t="n">
        <v>0</v>
      </c>
      <c r="F3470" s="16" t="n">
        <v>6188.87</v>
      </c>
      <c r="G3470" s="17" t="n"/>
      <c r="H3470" s="16" t="n">
        <v>-6188.87</v>
      </c>
      <c r="I3470" s="16" t="n">
        <v>0</v>
      </c>
    </row>
    <row r="3471">
      <c r="A3471" t="inlineStr">
        <is>
          <t>MTR-IOS-3470</t>
        </is>
      </c>
      <c r="B3471" t="inlineStr">
        <is>
          <t>Family Household</t>
        </is>
      </c>
      <c r="C3471" t="inlineStr">
        <is>
          <t>EQUAL</t>
        </is>
      </c>
      <c r="D3471" t="inlineStr">
        <is>
          <t>IOS Aarav</t>
        </is>
      </c>
      <c r="E3471" s="16" t="n">
        <v>18566.61</v>
      </c>
      <c r="F3471" s="16" t="n">
        <v>6188.87</v>
      </c>
      <c r="G3471" s="17" t="n"/>
      <c r="H3471" s="16" t="n">
        <v>12377.74</v>
      </c>
      <c r="I3471" s="16" t="n">
        <v>0</v>
      </c>
    </row>
    <row r="3472">
      <c r="A3472" t="inlineStr">
        <is>
          <t>MTR-IOS-3470</t>
        </is>
      </c>
      <c r="B3472" t="inlineStr">
        <is>
          <t>Family Household</t>
        </is>
      </c>
      <c r="C3472" t="inlineStr">
        <is>
          <t>EQUAL</t>
        </is>
      </c>
      <c r="D3472" t="inlineStr">
        <is>
          <t>IOS Meera</t>
        </is>
      </c>
      <c r="E3472" s="16" t="n">
        <v>0</v>
      </c>
      <c r="F3472" s="16" t="n">
        <v>6188.87</v>
      </c>
      <c r="G3472" s="17" t="n"/>
      <c r="H3472" s="16" t="n">
        <v>-6188.87</v>
      </c>
      <c r="I3472" s="16" t="n">
        <v>0</v>
      </c>
    </row>
    <row r="3473">
      <c r="A3473" t="inlineStr">
        <is>
          <t>MTR-IOS-3473</t>
        </is>
      </c>
      <c r="B3473" t="inlineStr">
        <is>
          <t>Family Household</t>
        </is>
      </c>
      <c r="C3473" t="inlineStr">
        <is>
          <t>PERCENTAGE</t>
        </is>
      </c>
      <c r="D3473" t="inlineStr">
        <is>
          <t>IOS Owner</t>
        </is>
      </c>
      <c r="E3473" s="16" t="n">
        <v>0</v>
      </c>
      <c r="F3473" s="16" t="n">
        <v>10789.46</v>
      </c>
      <c r="G3473" s="17" t="n">
        <v>50</v>
      </c>
      <c r="H3473" s="16" t="n">
        <v>-10789.46</v>
      </c>
      <c r="I3473" s="16" t="n">
        <v>0</v>
      </c>
    </row>
    <row r="3474">
      <c r="A3474" t="inlineStr">
        <is>
          <t>MTR-IOS-3473</t>
        </is>
      </c>
      <c r="B3474" t="inlineStr">
        <is>
          <t>Family Household</t>
        </is>
      </c>
      <c r="C3474" t="inlineStr">
        <is>
          <t>PERCENTAGE</t>
        </is>
      </c>
      <c r="D3474" t="inlineStr">
        <is>
          <t>IOS Aarav</t>
        </is>
      </c>
      <c r="E3474" s="16" t="n">
        <v>0</v>
      </c>
      <c r="F3474" s="16" t="n">
        <v>6473.67</v>
      </c>
      <c r="G3474" s="17" t="n">
        <v>30</v>
      </c>
      <c r="H3474" s="16" t="n">
        <v>-6473.67</v>
      </c>
      <c r="I3474" s="16" t="n">
        <v>0</v>
      </c>
    </row>
    <row r="3475">
      <c r="A3475" t="inlineStr">
        <is>
          <t>MTR-IOS-3473</t>
        </is>
      </c>
      <c r="B3475" t="inlineStr">
        <is>
          <t>Family Household</t>
        </is>
      </c>
      <c r="C3475" t="inlineStr">
        <is>
          <t>PERCENTAGE</t>
        </is>
      </c>
      <c r="D3475" t="inlineStr">
        <is>
          <t>IOS Meera</t>
        </is>
      </c>
      <c r="E3475" s="16" t="n">
        <v>21578.91</v>
      </c>
      <c r="F3475" s="16" t="n">
        <v>4315.78</v>
      </c>
      <c r="G3475" s="17" t="n">
        <v>20</v>
      </c>
      <c r="H3475" s="16" t="n">
        <v>17263.13</v>
      </c>
      <c r="I3475" s="16" t="n">
        <v>0</v>
      </c>
    </row>
    <row r="3476">
      <c r="A3476" t="inlineStr">
        <is>
          <t>MTR-IOS-3476</t>
        </is>
      </c>
      <c r="B3476" t="inlineStr">
        <is>
          <t>Custom Living</t>
        </is>
      </c>
      <c r="C3476" t="inlineStr">
        <is>
          <t>EXACT</t>
        </is>
      </c>
      <c r="D3476" t="inlineStr">
        <is>
          <t>IOS Owner</t>
        </is>
      </c>
      <c r="E3476" s="16" t="n">
        <v>26647.12</v>
      </c>
      <c r="F3476" s="16" t="n">
        <v>8873.49</v>
      </c>
      <c r="G3476" s="17" t="n"/>
      <c r="H3476" s="16" t="n">
        <v>17773.63</v>
      </c>
      <c r="I3476" s="16" t="n">
        <v>0</v>
      </c>
    </row>
    <row r="3477">
      <c r="A3477" t="inlineStr">
        <is>
          <t>MTR-IOS-3476</t>
        </is>
      </c>
      <c r="B3477" t="inlineStr">
        <is>
          <t>Custom Living</t>
        </is>
      </c>
      <c r="C3477" t="inlineStr">
        <is>
          <t>EXACT</t>
        </is>
      </c>
      <c r="D3477" t="inlineStr">
        <is>
          <t>IOS Aarav</t>
        </is>
      </c>
      <c r="E3477" s="16" t="n">
        <v>0</v>
      </c>
      <c r="F3477" s="16" t="n">
        <v>8873.49</v>
      </c>
      <c r="G3477" s="17" t="n"/>
      <c r="H3477" s="16" t="n">
        <v>-8873.49</v>
      </c>
      <c r="I3477" s="16" t="n">
        <v>0</v>
      </c>
    </row>
    <row r="3478">
      <c r="A3478" t="inlineStr">
        <is>
          <t>MTR-IOS-3476</t>
        </is>
      </c>
      <c r="B3478" t="inlineStr">
        <is>
          <t>Custom Living</t>
        </is>
      </c>
      <c r="C3478" t="inlineStr">
        <is>
          <t>EXACT</t>
        </is>
      </c>
      <c r="D3478" t="inlineStr">
        <is>
          <t>IOS Meera</t>
        </is>
      </c>
      <c r="E3478" s="16" t="n">
        <v>0</v>
      </c>
      <c r="F3478" s="16" t="n">
        <v>8900.139999999999</v>
      </c>
      <c r="G3478" s="17" t="n"/>
      <c r="H3478" s="16" t="n">
        <v>-8900.139999999999</v>
      </c>
      <c r="I3478" s="16" t="n">
        <v>0</v>
      </c>
    </row>
    <row r="3479">
      <c r="A3479" t="inlineStr">
        <is>
          <t>MTR-IOS-3479</t>
        </is>
      </c>
      <c r="B3479" t="inlineStr">
        <is>
          <t>Custom Living</t>
        </is>
      </c>
      <c r="C3479" t="inlineStr">
        <is>
          <t>SHARES</t>
        </is>
      </c>
      <c r="D3479" t="inlineStr">
        <is>
          <t>IOS Owner</t>
        </is>
      </c>
      <c r="E3479" s="16" t="n">
        <v>0</v>
      </c>
      <c r="F3479" s="16" t="n">
        <v>7861.16</v>
      </c>
      <c r="G3479" s="17" t="n"/>
      <c r="H3479" s="16" t="n">
        <v>-7861.16</v>
      </c>
      <c r="I3479" s="16" t="n">
        <v>0</v>
      </c>
    </row>
    <row r="3480">
      <c r="A3480" t="inlineStr">
        <is>
          <t>MTR-IOS-3479</t>
        </is>
      </c>
      <c r="B3480" t="inlineStr">
        <is>
          <t>Custom Living</t>
        </is>
      </c>
      <c r="C3480" t="inlineStr">
        <is>
          <t>SHARES</t>
        </is>
      </c>
      <c r="D3480" t="inlineStr">
        <is>
          <t>IOS Aarav</t>
        </is>
      </c>
      <c r="E3480" s="16" t="n">
        <v>15722.32</v>
      </c>
      <c r="F3480" s="16" t="n">
        <v>5240.77</v>
      </c>
      <c r="G3480" s="17" t="n"/>
      <c r="H3480" s="16" t="n">
        <v>10481.55</v>
      </c>
      <c r="I3480" s="16" t="n">
        <v>0</v>
      </c>
    </row>
    <row r="3481">
      <c r="A3481" t="inlineStr">
        <is>
          <t>MTR-IOS-3479</t>
        </is>
      </c>
      <c r="B3481" t="inlineStr">
        <is>
          <t>Custom Living</t>
        </is>
      </c>
      <c r="C3481" t="inlineStr">
        <is>
          <t>SHARES</t>
        </is>
      </c>
      <c r="D3481" t="inlineStr">
        <is>
          <t>IOS Meera</t>
        </is>
      </c>
      <c r="E3481" s="16" t="n">
        <v>0</v>
      </c>
      <c r="F3481" s="16" t="n">
        <v>2620.39</v>
      </c>
      <c r="G3481" s="17" t="n"/>
      <c r="H3481" s="16" t="n">
        <v>-2620.39</v>
      </c>
      <c r="I3481" s="16" t="n">
        <v>0</v>
      </c>
    </row>
    <row r="3482">
      <c r="A3482" t="inlineStr">
        <is>
          <t>MTR-IOS-3482</t>
        </is>
      </c>
      <c r="B3482" t="inlineStr">
        <is>
          <t>Trip</t>
        </is>
      </c>
      <c r="C3482" t="inlineStr">
        <is>
          <t>EQUAL</t>
        </is>
      </c>
      <c r="D3482" t="inlineStr">
        <is>
          <t>IOS Owner</t>
        </is>
      </c>
      <c r="E3482" s="16" t="n">
        <v>0</v>
      </c>
      <c r="F3482" s="16" t="n">
        <v>1058.7</v>
      </c>
      <c r="G3482" s="17" t="n"/>
      <c r="H3482" s="16" t="n">
        <v>-1058.7</v>
      </c>
      <c r="I3482" s="16" t="n">
        <v>0</v>
      </c>
    </row>
    <row r="3483">
      <c r="A3483" t="inlineStr">
        <is>
          <t>MTR-IOS-3482</t>
        </is>
      </c>
      <c r="B3483" t="inlineStr">
        <is>
          <t>Trip</t>
        </is>
      </c>
      <c r="C3483" t="inlineStr">
        <is>
          <t>EQUAL</t>
        </is>
      </c>
      <c r="D3483" t="inlineStr">
        <is>
          <t>IOS Aarav</t>
        </is>
      </c>
      <c r="E3483" s="16" t="n">
        <v>0</v>
      </c>
      <c r="F3483" s="16" t="n">
        <v>1058.7</v>
      </c>
      <c r="G3483" s="17" t="n"/>
      <c r="H3483" s="16" t="n">
        <v>-1058.7</v>
      </c>
      <c r="I3483" s="16" t="n">
        <v>0</v>
      </c>
    </row>
    <row r="3484">
      <c r="A3484" t="inlineStr">
        <is>
          <t>MTR-IOS-3482</t>
        </is>
      </c>
      <c r="B3484" t="inlineStr">
        <is>
          <t>Trip</t>
        </is>
      </c>
      <c r="C3484" t="inlineStr">
        <is>
          <t>EQUAL</t>
        </is>
      </c>
      <c r="D3484" t="inlineStr">
        <is>
          <t>IOS Meera</t>
        </is>
      </c>
      <c r="E3484" s="16" t="n">
        <v>3176.09</v>
      </c>
      <c r="F3484" s="16" t="n">
        <v>1058.69</v>
      </c>
      <c r="G3484" s="17" t="n"/>
      <c r="H3484" s="16" t="n">
        <v>2117.4</v>
      </c>
      <c r="I3484" s="16" t="n">
        <v>0</v>
      </c>
    </row>
    <row r="3485">
      <c r="A3485" t="inlineStr">
        <is>
          <t>MTR-IOS-3485</t>
        </is>
      </c>
      <c r="B3485" t="inlineStr">
        <is>
          <t>Trip</t>
        </is>
      </c>
      <c r="C3485" t="inlineStr">
        <is>
          <t>PERCENTAGE</t>
        </is>
      </c>
      <c r="D3485" t="inlineStr">
        <is>
          <t>IOS Owner</t>
        </is>
      </c>
      <c r="E3485" s="16" t="n">
        <v>24752.73</v>
      </c>
      <c r="F3485" s="16" t="n">
        <v>12376.37</v>
      </c>
      <c r="G3485" s="17" t="n">
        <v>50</v>
      </c>
      <c r="H3485" s="16" t="n">
        <v>12376.36</v>
      </c>
      <c r="I3485" s="16" t="n">
        <v>0</v>
      </c>
    </row>
    <row r="3486">
      <c r="A3486" t="inlineStr">
        <is>
          <t>MTR-IOS-3485</t>
        </is>
      </c>
      <c r="B3486" t="inlineStr">
        <is>
          <t>Trip</t>
        </is>
      </c>
      <c r="C3486" t="inlineStr">
        <is>
          <t>PERCENTAGE</t>
        </is>
      </c>
      <c r="D3486" t="inlineStr">
        <is>
          <t>IOS Aarav</t>
        </is>
      </c>
      <c r="E3486" s="16" t="n">
        <v>0</v>
      </c>
      <c r="F3486" s="16" t="n">
        <v>7425.82</v>
      </c>
      <c r="G3486" s="17" t="n">
        <v>30</v>
      </c>
      <c r="H3486" s="16" t="n">
        <v>-7425.82</v>
      </c>
      <c r="I3486" s="16" t="n">
        <v>0</v>
      </c>
    </row>
    <row r="3487">
      <c r="A3487" t="inlineStr">
        <is>
          <t>MTR-IOS-3485</t>
        </is>
      </c>
      <c r="B3487" t="inlineStr">
        <is>
          <t>Trip</t>
        </is>
      </c>
      <c r="C3487" t="inlineStr">
        <is>
          <t>PERCENTAGE</t>
        </is>
      </c>
      <c r="D3487" t="inlineStr">
        <is>
          <t>IOS Meera</t>
        </is>
      </c>
      <c r="E3487" s="16" t="n">
        <v>0</v>
      </c>
      <c r="F3487" s="16" t="n">
        <v>4950.54</v>
      </c>
      <c r="G3487" s="17" t="n">
        <v>20</v>
      </c>
      <c r="H3487" s="16" t="n">
        <v>-4950.54</v>
      </c>
      <c r="I3487" s="16" t="n">
        <v>0</v>
      </c>
    </row>
    <row r="3488">
      <c r="A3488" t="inlineStr">
        <is>
          <t>MTR-IOS-3488</t>
        </is>
      </c>
      <c r="B3488" t="inlineStr">
        <is>
          <t>Trip</t>
        </is>
      </c>
      <c r="C3488" t="inlineStr">
        <is>
          <t>EXACT</t>
        </is>
      </c>
      <c r="D3488" t="inlineStr">
        <is>
          <t>IOS Owner</t>
        </is>
      </c>
      <c r="E3488" s="16" t="n">
        <v>0</v>
      </c>
      <c r="F3488" s="16" t="n">
        <v>2455.44</v>
      </c>
      <c r="G3488" s="17" t="n"/>
      <c r="H3488" s="16" t="n">
        <v>-2455.44</v>
      </c>
      <c r="I3488" s="16" t="n">
        <v>0</v>
      </c>
    </row>
    <row r="3489">
      <c r="A3489" t="inlineStr">
        <is>
          <t>MTR-IOS-3488</t>
        </is>
      </c>
      <c r="B3489" t="inlineStr">
        <is>
          <t>Trip</t>
        </is>
      </c>
      <c r="C3489" t="inlineStr">
        <is>
          <t>EXACT</t>
        </is>
      </c>
      <c r="D3489" t="inlineStr">
        <is>
          <t>IOS Aarav</t>
        </is>
      </c>
      <c r="E3489" s="16" t="n">
        <v>7373.69</v>
      </c>
      <c r="F3489" s="16" t="n">
        <v>2455.44</v>
      </c>
      <c r="G3489" s="17" t="n"/>
      <c r="H3489" s="16" t="n">
        <v>4918.25</v>
      </c>
      <c r="I3489" s="16" t="n">
        <v>0</v>
      </c>
    </row>
    <row r="3490">
      <c r="A3490" t="inlineStr">
        <is>
          <t>MTR-IOS-3488</t>
        </is>
      </c>
      <c r="B3490" t="inlineStr">
        <is>
          <t>Trip</t>
        </is>
      </c>
      <c r="C3490" t="inlineStr">
        <is>
          <t>EXACT</t>
        </is>
      </c>
      <c r="D3490" t="inlineStr">
        <is>
          <t>IOS Meera</t>
        </is>
      </c>
      <c r="E3490" s="16" t="n">
        <v>0</v>
      </c>
      <c r="F3490" s="16" t="n">
        <v>2462.81</v>
      </c>
      <c r="G3490" s="17" t="n"/>
      <c r="H3490" s="16" t="n">
        <v>-2462.81</v>
      </c>
      <c r="I3490" s="16" t="n">
        <v>0</v>
      </c>
    </row>
    <row r="3491">
      <c r="A3491" t="inlineStr">
        <is>
          <t>MTR-IOS-3491</t>
        </is>
      </c>
      <c r="B3491" t="inlineStr">
        <is>
          <t>Trip</t>
        </is>
      </c>
      <c r="C3491" t="inlineStr">
        <is>
          <t>SHARES</t>
        </is>
      </c>
      <c r="D3491" t="inlineStr">
        <is>
          <t>IOS Owner</t>
        </is>
      </c>
      <c r="E3491" s="16" t="n">
        <v>0</v>
      </c>
      <c r="F3491" s="16" t="n">
        <v>8118.68</v>
      </c>
      <c r="G3491" s="17" t="n"/>
      <c r="H3491" s="16" t="n">
        <v>-8118.68</v>
      </c>
      <c r="I3491" s="16" t="n">
        <v>0</v>
      </c>
    </row>
    <row r="3492">
      <c r="A3492" t="inlineStr">
        <is>
          <t>MTR-IOS-3491</t>
        </is>
      </c>
      <c r="B3492" t="inlineStr">
        <is>
          <t>Trip</t>
        </is>
      </c>
      <c r="C3492" t="inlineStr">
        <is>
          <t>SHARES</t>
        </is>
      </c>
      <c r="D3492" t="inlineStr">
        <is>
          <t>IOS Aarav</t>
        </is>
      </c>
      <c r="E3492" s="16" t="n">
        <v>0</v>
      </c>
      <c r="F3492" s="16" t="n">
        <v>5412.45</v>
      </c>
      <c r="G3492" s="17" t="n"/>
      <c r="H3492" s="16" t="n">
        <v>-5412.45</v>
      </c>
      <c r="I3492" s="16" t="n">
        <v>0</v>
      </c>
    </row>
    <row r="3493">
      <c r="A3493" t="inlineStr">
        <is>
          <t>MTR-IOS-3491</t>
        </is>
      </c>
      <c r="B3493" t="inlineStr">
        <is>
          <t>Trip</t>
        </is>
      </c>
      <c r="C3493" t="inlineStr">
        <is>
          <t>SHARES</t>
        </is>
      </c>
      <c r="D3493" t="inlineStr">
        <is>
          <t>IOS Meera</t>
        </is>
      </c>
      <c r="E3493" s="16" t="n">
        <v>16237.35</v>
      </c>
      <c r="F3493" s="16" t="n">
        <v>2706.22</v>
      </c>
      <c r="G3493" s="17" t="n"/>
      <c r="H3493" s="16" t="n">
        <v>13531.13</v>
      </c>
      <c r="I3493" s="16" t="n">
        <v>0</v>
      </c>
    </row>
    <row r="3494">
      <c r="A3494" t="inlineStr">
        <is>
          <t>MTR-IOS-3494</t>
        </is>
      </c>
      <c r="B3494" t="inlineStr">
        <is>
          <t>Trip</t>
        </is>
      </c>
      <c r="C3494" t="inlineStr">
        <is>
          <t>EQUAL</t>
        </is>
      </c>
      <c r="D3494" t="inlineStr">
        <is>
          <t>IOS Owner</t>
        </is>
      </c>
      <c r="E3494" s="16" t="n">
        <v>7757.42</v>
      </c>
      <c r="F3494" s="16" t="n">
        <v>2585.81</v>
      </c>
      <c r="G3494" s="17" t="n"/>
      <c r="H3494" s="16" t="n">
        <v>5171.61</v>
      </c>
      <c r="I3494" s="16" t="n">
        <v>0</v>
      </c>
    </row>
    <row r="3495">
      <c r="A3495" t="inlineStr">
        <is>
          <t>MTR-IOS-3494</t>
        </is>
      </c>
      <c r="B3495" t="inlineStr">
        <is>
          <t>Trip</t>
        </is>
      </c>
      <c r="C3495" t="inlineStr">
        <is>
          <t>EQUAL</t>
        </is>
      </c>
      <c r="D3495" t="inlineStr">
        <is>
          <t>IOS Aarav</t>
        </is>
      </c>
      <c r="E3495" s="16" t="n">
        <v>0</v>
      </c>
      <c r="F3495" s="16" t="n">
        <v>2585.81</v>
      </c>
      <c r="G3495" s="17" t="n"/>
      <c r="H3495" s="16" t="n">
        <v>-2585.81</v>
      </c>
      <c r="I3495" s="16" t="n">
        <v>0</v>
      </c>
    </row>
    <row r="3496">
      <c r="A3496" t="inlineStr">
        <is>
          <t>MTR-IOS-3494</t>
        </is>
      </c>
      <c r="B3496" t="inlineStr">
        <is>
          <t>Trip</t>
        </is>
      </c>
      <c r="C3496" t="inlineStr">
        <is>
          <t>EQUAL</t>
        </is>
      </c>
      <c r="D3496" t="inlineStr">
        <is>
          <t>IOS Meera</t>
        </is>
      </c>
      <c r="E3496" s="16" t="n">
        <v>0</v>
      </c>
      <c r="F3496" s="16" t="n">
        <v>2585.8</v>
      </c>
      <c r="G3496" s="17" t="n"/>
      <c r="H3496" s="16" t="n">
        <v>-2585.8</v>
      </c>
      <c r="I3496" s="16" t="n">
        <v>0</v>
      </c>
    </row>
    <row r="3497">
      <c r="A3497" t="inlineStr">
        <is>
          <t>MTR-IOS-3497</t>
        </is>
      </c>
      <c r="B3497" t="inlineStr">
        <is>
          <t>Trip</t>
        </is>
      </c>
      <c r="C3497" t="inlineStr">
        <is>
          <t>PERCENTAGE</t>
        </is>
      </c>
      <c r="D3497" t="inlineStr">
        <is>
          <t>IOS Owner</t>
        </is>
      </c>
      <c r="E3497" s="16" t="n">
        <v>0</v>
      </c>
      <c r="F3497" s="16" t="n">
        <v>5371.34</v>
      </c>
      <c r="G3497" s="17" t="n">
        <v>50</v>
      </c>
      <c r="H3497" s="16" t="n">
        <v>-5371.34</v>
      </c>
      <c r="I3497" s="16" t="n">
        <v>0</v>
      </c>
    </row>
    <row r="3498">
      <c r="A3498" t="inlineStr">
        <is>
          <t>MTR-IOS-3497</t>
        </is>
      </c>
      <c r="B3498" t="inlineStr">
        <is>
          <t>Trip</t>
        </is>
      </c>
      <c r="C3498" t="inlineStr">
        <is>
          <t>PERCENTAGE</t>
        </is>
      </c>
      <c r="D3498" t="inlineStr">
        <is>
          <t>IOS Aarav</t>
        </is>
      </c>
      <c r="E3498" s="16" t="n">
        <v>10742.68</v>
      </c>
      <c r="F3498" s="16" t="n">
        <v>3222.8</v>
      </c>
      <c r="G3498" s="17" t="n">
        <v>30</v>
      </c>
      <c r="H3498" s="16" t="n">
        <v>7519.88</v>
      </c>
      <c r="I3498" s="16" t="n">
        <v>0</v>
      </c>
    </row>
    <row r="3499">
      <c r="A3499" t="inlineStr">
        <is>
          <t>MTR-IOS-3497</t>
        </is>
      </c>
      <c r="B3499" t="inlineStr">
        <is>
          <t>Trip</t>
        </is>
      </c>
      <c r="C3499" t="inlineStr">
        <is>
          <t>PERCENTAGE</t>
        </is>
      </c>
      <c r="D3499" t="inlineStr">
        <is>
          <t>IOS Meera</t>
        </is>
      </c>
      <c r="E3499" s="16" t="n">
        <v>0</v>
      </c>
      <c r="F3499" s="16" t="n">
        <v>2148.54</v>
      </c>
      <c r="G3499" s="17" t="n">
        <v>20</v>
      </c>
      <c r="H3499" s="16" t="n">
        <v>-2148.54</v>
      </c>
      <c r="I3499" s="16" t="n">
        <v>0</v>
      </c>
    </row>
    <row r="3500">
      <c r="A3500" t="inlineStr">
        <is>
          <t>MTR-IOS-3500</t>
        </is>
      </c>
      <c r="B3500" t="inlineStr">
        <is>
          <t>Trip</t>
        </is>
      </c>
      <c r="C3500" t="inlineStr">
        <is>
          <t>EXACT</t>
        </is>
      </c>
      <c r="D3500" t="inlineStr">
        <is>
          <t>IOS Owner</t>
        </is>
      </c>
      <c r="E3500" s="16" t="n">
        <v>0</v>
      </c>
      <c r="F3500" s="16" t="n">
        <v>7313.6</v>
      </c>
      <c r="G3500" s="17" t="n"/>
      <c r="H3500" s="16" t="n">
        <v>-7313.6</v>
      </c>
      <c r="I3500" s="16" t="n">
        <v>0</v>
      </c>
    </row>
    <row r="3501">
      <c r="A3501" t="inlineStr">
        <is>
          <t>MTR-IOS-3500</t>
        </is>
      </c>
      <c r="B3501" t="inlineStr">
        <is>
          <t>Trip</t>
        </is>
      </c>
      <c r="C3501" t="inlineStr">
        <is>
          <t>EXACT</t>
        </is>
      </c>
      <c r="D3501" t="inlineStr">
        <is>
          <t>IOS Aarav</t>
        </is>
      </c>
      <c r="E3501" s="16" t="n">
        <v>0</v>
      </c>
      <c r="F3501" s="16" t="n">
        <v>7313.6</v>
      </c>
      <c r="G3501" s="17" t="n"/>
      <c r="H3501" s="16" t="n">
        <v>-7313.6</v>
      </c>
      <c r="I3501" s="16" t="n">
        <v>0</v>
      </c>
    </row>
    <row r="3502">
      <c r="A3502" t="inlineStr">
        <is>
          <t>MTR-IOS-3500</t>
        </is>
      </c>
      <c r="B3502" t="inlineStr">
        <is>
          <t>Trip</t>
        </is>
      </c>
      <c r="C3502" t="inlineStr">
        <is>
          <t>EXACT</t>
        </is>
      </c>
      <c r="D3502" t="inlineStr">
        <is>
          <t>IOS Meera</t>
        </is>
      </c>
      <c r="E3502" s="16" t="n">
        <v>21962.77</v>
      </c>
      <c r="F3502" s="16" t="n">
        <v>7335.57</v>
      </c>
      <c r="G3502" s="17" t="n"/>
      <c r="H3502" s="16" t="n">
        <v>14627.2</v>
      </c>
      <c r="I3502" s="16" t="n">
        <v>0</v>
      </c>
    </row>
  </sheetData>
  <autoFilter ref="A1:I35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4" customWidth="1" min="4" max="4"/>
    <col width="17" customWidth="1" min="5" max="5"/>
    <col width="23" customWidth="1" min="6" max="6"/>
    <col width="20" customWidth="1" min="7" max="7"/>
    <col width="24" customWidth="1" min="8" max="8"/>
    <col width="18" customWidth="1" min="9" max="9"/>
    <col width="15" customWidth="1" min="10" max="10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Quick_Add</t>
        </is>
      </c>
      <c r="E1" s="4" t="inlineStr">
        <is>
          <t>Expected_Count</t>
        </is>
      </c>
      <c r="F1" s="4" t="inlineStr">
        <is>
          <t>Expected_Gross_Amount</t>
        </is>
      </c>
      <c r="G1" s="4" t="inlineStr">
        <is>
          <t>Expected_Positive</t>
        </is>
      </c>
      <c r="H1" s="4" t="inlineStr">
        <is>
          <t>Expected_Expense_Absolute</t>
        </is>
      </c>
      <c r="I1" s="4" t="inlineStr">
        <is>
          <t>Expected_Net</t>
        </is>
      </c>
      <c r="J1" s="4" t="inlineStr">
        <is>
          <t>Count_Check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 t="inlineStr">
        <is>
          <t>Groceries</t>
        </is>
      </c>
      <c r="E2">
        <f>COUNTIFS(Transactions!$C:$C,A2,Transactions!$D:$D,B2,Transactions!$E:$E,C2,Transactions!$F:$F,D2)</f>
        <v/>
      </c>
      <c r="F2" s="9">
        <f>SUMIFS(Transactions!$K:$K,Transactions!$C:$C,A2,Transactions!$D:$D,B2,Transactions!$E:$E,C2,Transactions!$F:$F,D2)</f>
        <v/>
      </c>
      <c r="G2" s="9">
        <f>SUMIFS(Transactions!$M:$M,Transactions!$C:$C,A2,Transactions!$D:$D,B2,Transactions!$E:$E,C2,Transactions!$F:$F,D2,Transactions!$M:$M,"&gt;0")</f>
        <v/>
      </c>
      <c r="H2" s="9">
        <f>-SUMIFS(Transactions!$M:$M,Transactions!$C:$C,A2,Transactions!$D:$D,B2,Transactions!$E:$E,C2,Transactions!$F:$F,D2,Transactions!$M:$M,"&lt;0")</f>
        <v/>
      </c>
      <c r="I2" s="9">
        <f>SUMIFS(Transactions!$M:$M,Transactions!$C:$C,A2,Transactions!$D:$D,B2,Transactions!$E:$E,C2,Transactions!$F:$F,D2)</f>
        <v/>
      </c>
      <c r="J2">
        <f>IF(E2&gt;0,"PASS","FAIL")</f>
        <v/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Life Operations</t>
        </is>
      </c>
      <c r="D3" t="inlineStr">
        <is>
          <t>Rent</t>
        </is>
      </c>
      <c r="E3">
        <f>COUNTIFS(Transactions!$C:$C,A3,Transactions!$D:$D,B3,Transactions!$E:$E,C3,Transactions!$F:$F,D3)</f>
        <v/>
      </c>
      <c r="F3" s="9">
        <f>SUMIFS(Transactions!$K:$K,Transactions!$C:$C,A3,Transactions!$D:$D,B3,Transactions!$E:$E,C3,Transactions!$F:$F,D3)</f>
        <v/>
      </c>
      <c r="G3" s="9">
        <f>SUMIFS(Transactions!$M:$M,Transactions!$C:$C,A3,Transactions!$D:$D,B3,Transactions!$E:$E,C3,Transactions!$F:$F,D3,Transactions!$M:$M,"&gt;0")</f>
        <v/>
      </c>
      <c r="H3" s="9">
        <f>-SUMIFS(Transactions!$M:$M,Transactions!$C:$C,A3,Transactions!$D:$D,B3,Transactions!$E:$E,C3,Transactions!$F:$F,D3,Transactions!$M:$M,"&lt;0")</f>
        <v/>
      </c>
      <c r="I3" s="9">
        <f>SUMIFS(Transactions!$M:$M,Transactions!$C:$C,A3,Transactions!$D:$D,B3,Transactions!$E:$E,C3,Transactions!$F:$F,D3)</f>
        <v/>
      </c>
      <c r="J3">
        <f>IF(E3&gt;0,"PASS","FAIL")</f>
        <v/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 Operations</t>
        </is>
      </c>
      <c r="D4" t="inlineStr">
        <is>
          <t>Bills</t>
        </is>
      </c>
      <c r="E4">
        <f>COUNTIFS(Transactions!$C:$C,A4,Transactions!$D:$D,B4,Transactions!$E:$E,C4,Transactions!$F:$F,D4)</f>
        <v/>
      </c>
      <c r="F4" s="9">
        <f>SUMIFS(Transactions!$K:$K,Transactions!$C:$C,A4,Transactions!$D:$D,B4,Transactions!$E:$E,C4,Transactions!$F:$F,D4)</f>
        <v/>
      </c>
      <c r="G4" s="9">
        <f>SUMIFS(Transactions!$M:$M,Transactions!$C:$C,A4,Transactions!$D:$D,B4,Transactions!$E:$E,C4,Transactions!$F:$F,D4,Transactions!$M:$M,"&gt;0")</f>
        <v/>
      </c>
      <c r="H4" s="9">
        <f>-SUMIFS(Transactions!$M:$M,Transactions!$C:$C,A4,Transactions!$D:$D,B4,Transactions!$E:$E,C4,Transactions!$F:$F,D4,Transactions!$M:$M,"&lt;0")</f>
        <v/>
      </c>
      <c r="I4" s="9">
        <f>SUMIFS(Transactions!$M:$M,Transactions!$C:$C,A4,Transactions!$D:$D,B4,Transactions!$E:$E,C4,Transactions!$F:$F,D4)</f>
        <v/>
      </c>
      <c r="J4">
        <f>IF(E4&gt;0,"PASS","FAIL")</f>
        <v/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Life Operations</t>
        </is>
      </c>
      <c r="D5" t="inlineStr">
        <is>
          <t>Transport</t>
        </is>
      </c>
      <c r="E5">
        <f>COUNTIFS(Transactions!$C:$C,A5,Transactions!$D:$D,B5,Transactions!$E:$E,C5,Transactions!$F:$F,D5)</f>
        <v/>
      </c>
      <c r="F5" s="9">
        <f>SUMIFS(Transactions!$K:$K,Transactions!$C:$C,A5,Transactions!$D:$D,B5,Transactions!$E:$E,C5,Transactions!$F:$F,D5)</f>
        <v/>
      </c>
      <c r="G5" s="9">
        <f>SUMIFS(Transactions!$M:$M,Transactions!$C:$C,A5,Transactions!$D:$D,B5,Transactions!$E:$E,C5,Transactions!$F:$F,D5,Transactions!$M:$M,"&gt;0")</f>
        <v/>
      </c>
      <c r="H5" s="9">
        <f>-SUMIFS(Transactions!$M:$M,Transactions!$C:$C,A5,Transactions!$D:$D,B5,Transactions!$E:$E,C5,Transactions!$F:$F,D5,Transactions!$M:$M,"&lt;0")</f>
        <v/>
      </c>
      <c r="I5" s="9">
        <f>SUMIFS(Transactions!$M:$M,Transactions!$C:$C,A5,Transactions!$D:$D,B5,Transactions!$E:$E,C5,Transactions!$F:$F,D5)</f>
        <v/>
      </c>
      <c r="J5">
        <f>IF(E5&gt;0,"PASS","FAIL")</f>
        <v/>
      </c>
    </row>
    <row r="6">
      <c r="A6" t="inlineStr">
        <is>
          <t>Personal</t>
        </is>
      </c>
      <c r="B6" t="inlineStr">
        <is>
          <t>Personal</t>
        </is>
      </c>
      <c r="C6" t="inlineStr">
        <is>
          <t>Life Operations</t>
        </is>
      </c>
      <c r="D6" t="inlineStr">
        <is>
          <t>Healthcare</t>
        </is>
      </c>
      <c r="E6">
        <f>COUNTIFS(Transactions!$C:$C,A6,Transactions!$D:$D,B6,Transactions!$E:$E,C6,Transactions!$F:$F,D6)</f>
        <v/>
      </c>
      <c r="F6" s="9">
        <f>SUMIFS(Transactions!$K:$K,Transactions!$C:$C,A6,Transactions!$D:$D,B6,Transactions!$E:$E,C6,Transactions!$F:$F,D6)</f>
        <v/>
      </c>
      <c r="G6" s="9">
        <f>SUMIFS(Transactions!$M:$M,Transactions!$C:$C,A6,Transactions!$D:$D,B6,Transactions!$E:$E,C6,Transactions!$F:$F,D6,Transactions!$M:$M,"&gt;0")</f>
        <v/>
      </c>
      <c r="H6" s="9">
        <f>-SUMIFS(Transactions!$M:$M,Transactions!$C:$C,A6,Transactions!$D:$D,B6,Transactions!$E:$E,C6,Transactions!$F:$F,D6,Transactions!$M:$M,"&lt;0")</f>
        <v/>
      </c>
      <c r="I6" s="9">
        <f>SUMIFS(Transactions!$M:$M,Transactions!$C:$C,A6,Transactions!$D:$D,B6,Transactions!$E:$E,C6,Transactions!$F:$F,D6)</f>
        <v/>
      </c>
      <c r="J6">
        <f>IF(E6&gt;0,"PASS","FAIL")</f>
        <v/>
      </c>
    </row>
    <row r="7">
      <c r="A7" t="inlineStr">
        <is>
          <t>Personal</t>
        </is>
      </c>
      <c r="B7" t="inlineStr">
        <is>
          <t>Personal</t>
        </is>
      </c>
      <c r="C7" t="inlineStr">
        <is>
          <t>Life Operations</t>
        </is>
      </c>
      <c r="D7" t="inlineStr">
        <is>
          <t>Subscriptions</t>
        </is>
      </c>
      <c r="E7">
        <f>COUNTIFS(Transactions!$C:$C,A7,Transactions!$D:$D,B7,Transactions!$E:$E,C7,Transactions!$F:$F,D7)</f>
        <v/>
      </c>
      <c r="F7" s="9">
        <f>SUMIFS(Transactions!$K:$K,Transactions!$C:$C,A7,Transactions!$D:$D,B7,Transactions!$E:$E,C7,Transactions!$F:$F,D7)</f>
        <v/>
      </c>
      <c r="G7" s="9">
        <f>SUMIFS(Transactions!$M:$M,Transactions!$C:$C,A7,Transactions!$D:$D,B7,Transactions!$E:$E,C7,Transactions!$F:$F,D7,Transactions!$M:$M,"&gt;0")</f>
        <v/>
      </c>
      <c r="H7" s="9">
        <f>-SUMIFS(Transactions!$M:$M,Transactions!$C:$C,A7,Transactions!$D:$D,B7,Transactions!$E:$E,C7,Transactions!$F:$F,D7,Transactions!$M:$M,"&lt;0")</f>
        <v/>
      </c>
      <c r="I7" s="9">
        <f>SUMIFS(Transactions!$M:$M,Transactions!$C:$C,A7,Transactions!$D:$D,B7,Transactions!$E:$E,C7,Transactions!$F:$F,D7)</f>
        <v/>
      </c>
      <c r="J7">
        <f>IF(E7&gt;0,"PASS","FAIL")</f>
        <v/>
      </c>
    </row>
    <row r="8">
      <c r="A8" t="inlineStr">
        <is>
          <t>Personal</t>
        </is>
      </c>
      <c r="B8" t="inlineStr">
        <is>
          <t>Personal</t>
        </is>
      </c>
      <c r="C8" t="inlineStr">
        <is>
          <t>Life Operations</t>
        </is>
      </c>
      <c r="D8" t="inlineStr">
        <is>
          <t>Repairs</t>
        </is>
      </c>
      <c r="E8">
        <f>COUNTIFS(Transactions!$C:$C,A8,Transactions!$D:$D,B8,Transactions!$E:$E,C8,Transactions!$F:$F,D8)</f>
        <v/>
      </c>
      <c r="F8" s="9">
        <f>SUMIFS(Transactions!$K:$K,Transactions!$C:$C,A8,Transactions!$D:$D,B8,Transactions!$E:$E,C8,Transactions!$F:$F,D8)</f>
        <v/>
      </c>
      <c r="G8" s="9">
        <f>SUMIFS(Transactions!$M:$M,Transactions!$C:$C,A8,Transactions!$D:$D,B8,Transactions!$E:$E,C8,Transactions!$F:$F,D8,Transactions!$M:$M,"&gt;0")</f>
        <v/>
      </c>
      <c r="H8" s="9">
        <f>-SUMIFS(Transactions!$M:$M,Transactions!$C:$C,A8,Transactions!$D:$D,B8,Transactions!$E:$E,C8,Transactions!$F:$F,D8,Transactions!$M:$M,"&lt;0")</f>
        <v/>
      </c>
      <c r="I8" s="9">
        <f>SUMIFS(Transactions!$M:$M,Transactions!$C:$C,A8,Transactions!$D:$D,B8,Transactions!$E:$E,C8,Transactions!$F:$F,D8)</f>
        <v/>
      </c>
      <c r="J8">
        <f>IF(E8&gt;0,"PASS","FAIL")</f>
        <v/>
      </c>
    </row>
    <row r="9">
      <c r="A9" t="inlineStr">
        <is>
          <t>Personal</t>
        </is>
      </c>
      <c r="B9" t="inlineStr">
        <is>
          <t>Personal</t>
        </is>
      </c>
      <c r="C9" t="inlineStr">
        <is>
          <t>Future Building</t>
        </is>
      </c>
      <c r="D9" t="inlineStr">
        <is>
          <t>Savings</t>
        </is>
      </c>
      <c r="E9">
        <f>COUNTIFS(Transactions!$C:$C,A9,Transactions!$D:$D,B9,Transactions!$E:$E,C9,Transactions!$F:$F,D9)</f>
        <v/>
      </c>
      <c r="F9" s="9">
        <f>SUMIFS(Transactions!$K:$K,Transactions!$C:$C,A9,Transactions!$D:$D,B9,Transactions!$E:$E,C9,Transactions!$F:$F,D9)</f>
        <v/>
      </c>
      <c r="G9" s="9">
        <f>SUMIFS(Transactions!$M:$M,Transactions!$C:$C,A9,Transactions!$D:$D,B9,Transactions!$E:$E,C9,Transactions!$F:$F,D9,Transactions!$M:$M,"&gt;0")</f>
        <v/>
      </c>
      <c r="H9" s="9">
        <f>-SUMIFS(Transactions!$M:$M,Transactions!$C:$C,A9,Transactions!$D:$D,B9,Transactions!$E:$E,C9,Transactions!$F:$F,D9,Transactions!$M:$M,"&lt;0")</f>
        <v/>
      </c>
      <c r="I9" s="9">
        <f>SUMIFS(Transactions!$M:$M,Transactions!$C:$C,A9,Transactions!$D:$D,B9,Transactions!$E:$E,C9,Transactions!$F:$F,D9)</f>
        <v/>
      </c>
      <c r="J9">
        <f>IF(E9&gt;0,"PASS","FAIL")</f>
        <v/>
      </c>
    </row>
    <row r="10">
      <c r="A10" t="inlineStr">
        <is>
          <t>Personal</t>
        </is>
      </c>
      <c r="B10" t="inlineStr">
        <is>
          <t>Personal</t>
        </is>
      </c>
      <c r="C10" t="inlineStr">
        <is>
          <t>Future Building</t>
        </is>
      </c>
      <c r="D10" t="inlineStr">
        <is>
          <t>Emergency Fund</t>
        </is>
      </c>
      <c r="E10">
        <f>COUNTIFS(Transactions!$C:$C,A10,Transactions!$D:$D,B10,Transactions!$E:$E,C10,Transactions!$F:$F,D10)</f>
        <v/>
      </c>
      <c r="F10" s="9">
        <f>SUMIFS(Transactions!$K:$K,Transactions!$C:$C,A10,Transactions!$D:$D,B10,Transactions!$E:$E,C10,Transactions!$F:$F,D10)</f>
        <v/>
      </c>
      <c r="G10" s="9">
        <f>SUMIFS(Transactions!$M:$M,Transactions!$C:$C,A10,Transactions!$D:$D,B10,Transactions!$E:$E,C10,Transactions!$F:$F,D10,Transactions!$M:$M,"&gt;0")</f>
        <v/>
      </c>
      <c r="H10" s="9">
        <f>-SUMIFS(Transactions!$M:$M,Transactions!$C:$C,A10,Transactions!$D:$D,B10,Transactions!$E:$E,C10,Transactions!$F:$F,D10,Transactions!$M:$M,"&lt;0")</f>
        <v/>
      </c>
      <c r="I10" s="9">
        <f>SUMIFS(Transactions!$M:$M,Transactions!$C:$C,A10,Transactions!$D:$D,B10,Transactions!$E:$E,C10,Transactions!$F:$F,D10)</f>
        <v/>
      </c>
      <c r="J10">
        <f>IF(E10&gt;0,"PASS","FAIL")</f>
        <v/>
      </c>
    </row>
    <row r="11">
      <c r="A11" t="inlineStr">
        <is>
          <t>Personal</t>
        </is>
      </c>
      <c r="B11" t="inlineStr">
        <is>
          <t>Personal</t>
        </is>
      </c>
      <c r="C11" t="inlineStr">
        <is>
          <t>Future Building</t>
        </is>
      </c>
      <c r="D11" t="inlineStr">
        <is>
          <t>Investments</t>
        </is>
      </c>
      <c r="E11">
        <f>COUNTIFS(Transactions!$C:$C,A11,Transactions!$D:$D,B11,Transactions!$E:$E,C11,Transactions!$F:$F,D11)</f>
        <v/>
      </c>
      <c r="F11" s="9">
        <f>SUMIFS(Transactions!$K:$K,Transactions!$C:$C,A11,Transactions!$D:$D,B11,Transactions!$E:$E,C11,Transactions!$F:$F,D11)</f>
        <v/>
      </c>
      <c r="G11" s="9">
        <f>SUMIFS(Transactions!$M:$M,Transactions!$C:$C,A11,Transactions!$D:$D,B11,Transactions!$E:$E,C11,Transactions!$F:$F,D11,Transactions!$M:$M,"&gt;0")</f>
        <v/>
      </c>
      <c r="H11" s="9">
        <f>-SUMIFS(Transactions!$M:$M,Transactions!$C:$C,A11,Transactions!$D:$D,B11,Transactions!$E:$E,C11,Transactions!$F:$F,D11,Transactions!$M:$M,"&lt;0")</f>
        <v/>
      </c>
      <c r="I11" s="9">
        <f>SUMIFS(Transactions!$M:$M,Transactions!$C:$C,A11,Transactions!$D:$D,B11,Transactions!$E:$E,C11,Transactions!$F:$F,D11)</f>
        <v/>
      </c>
      <c r="J11">
        <f>IF(E11&gt;0,"PASS","FAIL")</f>
        <v/>
      </c>
    </row>
    <row r="12">
      <c r="A12" t="inlineStr">
        <is>
          <t>Personal</t>
        </is>
      </c>
      <c r="B12" t="inlineStr">
        <is>
          <t>Personal</t>
        </is>
      </c>
      <c r="C12" t="inlineStr">
        <is>
          <t>Future Building</t>
        </is>
      </c>
      <c r="D12" t="inlineStr">
        <is>
          <t>Education</t>
        </is>
      </c>
      <c r="E12">
        <f>COUNTIFS(Transactions!$C:$C,A12,Transactions!$D:$D,B12,Transactions!$E:$E,C12,Transactions!$F:$F,D12)</f>
        <v/>
      </c>
      <c r="F12" s="9">
        <f>SUMIFS(Transactions!$K:$K,Transactions!$C:$C,A12,Transactions!$D:$D,B12,Transactions!$E:$E,C12,Transactions!$F:$F,D12)</f>
        <v/>
      </c>
      <c r="G12" s="9">
        <f>SUMIFS(Transactions!$M:$M,Transactions!$C:$C,A12,Transactions!$D:$D,B12,Transactions!$E:$E,C12,Transactions!$F:$F,D12,Transactions!$M:$M,"&gt;0")</f>
        <v/>
      </c>
      <c r="H12" s="9">
        <f>-SUMIFS(Transactions!$M:$M,Transactions!$C:$C,A12,Transactions!$D:$D,B12,Transactions!$E:$E,C12,Transactions!$F:$F,D12,Transactions!$M:$M,"&lt;0")</f>
        <v/>
      </c>
      <c r="I12" s="9">
        <f>SUMIFS(Transactions!$M:$M,Transactions!$C:$C,A12,Transactions!$D:$D,B12,Transactions!$E:$E,C12,Transactions!$F:$F,D12)</f>
        <v/>
      </c>
      <c r="J12">
        <f>IF(E12&gt;0,"PASS","FAIL")</f>
        <v/>
      </c>
    </row>
    <row r="13">
      <c r="A13" t="inlineStr">
        <is>
          <t>Personal</t>
        </is>
      </c>
      <c r="B13" t="inlineStr">
        <is>
          <t>Personal</t>
        </is>
      </c>
      <c r="C13" t="inlineStr">
        <is>
          <t>Future Building</t>
        </is>
      </c>
      <c r="D13" t="inlineStr">
        <is>
          <t>Goal Contribution</t>
        </is>
      </c>
      <c r="E13">
        <f>COUNTIFS(Transactions!$C:$C,A13,Transactions!$D:$D,B13,Transactions!$E:$E,C13,Transactions!$F:$F,D13)</f>
        <v/>
      </c>
      <c r="F13" s="9">
        <f>SUMIFS(Transactions!$K:$K,Transactions!$C:$C,A13,Transactions!$D:$D,B13,Transactions!$E:$E,C13,Transactions!$F:$F,D13)</f>
        <v/>
      </c>
      <c r="G13" s="9">
        <f>SUMIFS(Transactions!$M:$M,Transactions!$C:$C,A13,Transactions!$D:$D,B13,Transactions!$E:$E,C13,Transactions!$F:$F,D13,Transactions!$M:$M,"&gt;0")</f>
        <v/>
      </c>
      <c r="H13" s="9">
        <f>-SUMIFS(Transactions!$M:$M,Transactions!$C:$C,A13,Transactions!$D:$D,B13,Transactions!$E:$E,C13,Transactions!$F:$F,D13,Transactions!$M:$M,"&lt;0")</f>
        <v/>
      </c>
      <c r="I13" s="9">
        <f>SUMIFS(Transactions!$M:$M,Transactions!$C:$C,A13,Transactions!$D:$D,B13,Transactions!$E:$E,C13,Transactions!$F:$F,D13)</f>
        <v/>
      </c>
      <c r="J13">
        <f>IF(E13&gt;0,"PASS","FAIL")</f>
        <v/>
      </c>
    </row>
    <row r="14">
      <c r="A14" t="inlineStr">
        <is>
          <t>Personal</t>
        </is>
      </c>
      <c r="B14" t="inlineStr">
        <is>
          <t>Personal</t>
        </is>
      </c>
      <c r="C14" t="inlineStr">
        <is>
          <t>Lifestyle</t>
        </is>
      </c>
      <c r="D14" t="inlineStr">
        <is>
          <t>Dining</t>
        </is>
      </c>
      <c r="E14">
        <f>COUNTIFS(Transactions!$C:$C,A14,Transactions!$D:$D,B14,Transactions!$E:$E,C14,Transactions!$F:$F,D14)</f>
        <v/>
      </c>
      <c r="F14" s="9">
        <f>SUMIFS(Transactions!$K:$K,Transactions!$C:$C,A14,Transactions!$D:$D,B14,Transactions!$E:$E,C14,Transactions!$F:$F,D14)</f>
        <v/>
      </c>
      <c r="G14" s="9">
        <f>SUMIFS(Transactions!$M:$M,Transactions!$C:$C,A14,Transactions!$D:$D,B14,Transactions!$E:$E,C14,Transactions!$F:$F,D14,Transactions!$M:$M,"&gt;0")</f>
        <v/>
      </c>
      <c r="H14" s="9">
        <f>-SUMIFS(Transactions!$M:$M,Transactions!$C:$C,A14,Transactions!$D:$D,B14,Transactions!$E:$E,C14,Transactions!$F:$F,D14,Transactions!$M:$M,"&lt;0")</f>
        <v/>
      </c>
      <c r="I14" s="9">
        <f>SUMIFS(Transactions!$M:$M,Transactions!$C:$C,A14,Transactions!$D:$D,B14,Transactions!$E:$E,C14,Transactions!$F:$F,D14)</f>
        <v/>
      </c>
      <c r="J14">
        <f>IF(E14&gt;0,"PASS","FAIL")</f>
        <v/>
      </c>
    </row>
    <row r="15">
      <c r="A15" t="inlineStr">
        <is>
          <t>Personal</t>
        </is>
      </c>
      <c r="B15" t="inlineStr">
        <is>
          <t>Personal</t>
        </is>
      </c>
      <c r="C15" t="inlineStr">
        <is>
          <t>Lifestyle</t>
        </is>
      </c>
      <c r="D15" t="inlineStr">
        <is>
          <t>Shopping</t>
        </is>
      </c>
      <c r="E15">
        <f>COUNTIFS(Transactions!$C:$C,A15,Transactions!$D:$D,B15,Transactions!$E:$E,C15,Transactions!$F:$F,D15)</f>
        <v/>
      </c>
      <c r="F15" s="9">
        <f>SUMIFS(Transactions!$K:$K,Transactions!$C:$C,A15,Transactions!$D:$D,B15,Transactions!$E:$E,C15,Transactions!$F:$F,D15)</f>
        <v/>
      </c>
      <c r="G15" s="9">
        <f>SUMIFS(Transactions!$M:$M,Transactions!$C:$C,A15,Transactions!$D:$D,B15,Transactions!$E:$E,C15,Transactions!$F:$F,D15,Transactions!$M:$M,"&gt;0")</f>
        <v/>
      </c>
      <c r="H15" s="9">
        <f>-SUMIFS(Transactions!$M:$M,Transactions!$C:$C,A15,Transactions!$D:$D,B15,Transactions!$E:$E,C15,Transactions!$F:$F,D15,Transactions!$M:$M,"&lt;0")</f>
        <v/>
      </c>
      <c r="I15" s="9">
        <f>SUMIFS(Transactions!$M:$M,Transactions!$C:$C,A15,Transactions!$D:$D,B15,Transactions!$E:$E,C15,Transactions!$F:$F,D15)</f>
        <v/>
      </c>
      <c r="J15">
        <f>IF(E15&gt;0,"PASS","FAIL")</f>
        <v/>
      </c>
    </row>
    <row r="16">
      <c r="A16" t="inlineStr">
        <is>
          <t>Personal</t>
        </is>
      </c>
      <c r="B16" t="inlineStr">
        <is>
          <t>Personal</t>
        </is>
      </c>
      <c r="C16" t="inlineStr">
        <is>
          <t>Lifestyle</t>
        </is>
      </c>
      <c r="D16" t="inlineStr">
        <is>
          <t>Entertainment</t>
        </is>
      </c>
      <c r="E16">
        <f>COUNTIFS(Transactions!$C:$C,A16,Transactions!$D:$D,B16,Transactions!$E:$E,C16,Transactions!$F:$F,D16)</f>
        <v/>
      </c>
      <c r="F16" s="9">
        <f>SUMIFS(Transactions!$K:$K,Transactions!$C:$C,A16,Transactions!$D:$D,B16,Transactions!$E:$E,C16,Transactions!$F:$F,D16)</f>
        <v/>
      </c>
      <c r="G16" s="9">
        <f>SUMIFS(Transactions!$M:$M,Transactions!$C:$C,A16,Transactions!$D:$D,B16,Transactions!$E:$E,C16,Transactions!$F:$F,D16,Transactions!$M:$M,"&gt;0")</f>
        <v/>
      </c>
      <c r="H16" s="9">
        <f>-SUMIFS(Transactions!$M:$M,Transactions!$C:$C,A16,Transactions!$D:$D,B16,Transactions!$E:$E,C16,Transactions!$F:$F,D16,Transactions!$M:$M,"&lt;0")</f>
        <v/>
      </c>
      <c r="I16" s="9">
        <f>SUMIFS(Transactions!$M:$M,Transactions!$C:$C,A16,Transactions!$D:$D,B16,Transactions!$E:$E,C16,Transactions!$F:$F,D16)</f>
        <v/>
      </c>
      <c r="J16">
        <f>IF(E16&gt;0,"PASS","FAIL")</f>
        <v/>
      </c>
    </row>
    <row r="17">
      <c r="A17" t="inlineStr">
        <is>
          <t>Personal</t>
        </is>
      </c>
      <c r="B17" t="inlineStr">
        <is>
          <t>Personal</t>
        </is>
      </c>
      <c r="C17" t="inlineStr">
        <is>
          <t>Lifestyle</t>
        </is>
      </c>
      <c r="D17" t="inlineStr">
        <is>
          <t>Travel</t>
        </is>
      </c>
      <c r="E17">
        <f>COUNTIFS(Transactions!$C:$C,A17,Transactions!$D:$D,B17,Transactions!$E:$E,C17,Transactions!$F:$F,D17)</f>
        <v/>
      </c>
      <c r="F17" s="9">
        <f>SUMIFS(Transactions!$K:$K,Transactions!$C:$C,A17,Transactions!$D:$D,B17,Transactions!$E:$E,C17,Transactions!$F:$F,D17)</f>
        <v/>
      </c>
      <c r="G17" s="9">
        <f>SUMIFS(Transactions!$M:$M,Transactions!$C:$C,A17,Transactions!$D:$D,B17,Transactions!$E:$E,C17,Transactions!$F:$F,D17,Transactions!$M:$M,"&gt;0")</f>
        <v/>
      </c>
      <c r="H17" s="9">
        <f>-SUMIFS(Transactions!$M:$M,Transactions!$C:$C,A17,Transactions!$D:$D,B17,Transactions!$E:$E,C17,Transactions!$F:$F,D17,Transactions!$M:$M,"&lt;0")</f>
        <v/>
      </c>
      <c r="I17" s="9">
        <f>SUMIFS(Transactions!$M:$M,Transactions!$C:$C,A17,Transactions!$D:$D,B17,Transactions!$E:$E,C17,Transactions!$F:$F,D17)</f>
        <v/>
      </c>
      <c r="J17">
        <f>IF(E17&gt;0,"PASS","FAIL")</f>
        <v/>
      </c>
    </row>
    <row r="18">
      <c r="A18" t="inlineStr">
        <is>
          <t>Personal</t>
        </is>
      </c>
      <c r="B18" t="inlineStr">
        <is>
          <t>Personal</t>
        </is>
      </c>
      <c r="C18" t="inlineStr">
        <is>
          <t>Lifestyle</t>
        </is>
      </c>
      <c r="D18" t="inlineStr">
        <is>
          <t>Fitness</t>
        </is>
      </c>
      <c r="E18">
        <f>COUNTIFS(Transactions!$C:$C,A18,Transactions!$D:$D,B18,Transactions!$E:$E,C18,Transactions!$F:$F,D18)</f>
        <v/>
      </c>
      <c r="F18" s="9">
        <f>SUMIFS(Transactions!$K:$K,Transactions!$C:$C,A18,Transactions!$D:$D,B18,Transactions!$E:$E,C18,Transactions!$F:$F,D18)</f>
        <v/>
      </c>
      <c r="G18" s="9">
        <f>SUMIFS(Transactions!$M:$M,Transactions!$C:$C,A18,Transactions!$D:$D,B18,Transactions!$E:$E,C18,Transactions!$F:$F,D18,Transactions!$M:$M,"&gt;0")</f>
        <v/>
      </c>
      <c r="H18" s="9">
        <f>-SUMIFS(Transactions!$M:$M,Transactions!$C:$C,A18,Transactions!$D:$D,B18,Transactions!$E:$E,C18,Transactions!$F:$F,D18,Transactions!$M:$M,"&lt;0")</f>
        <v/>
      </c>
      <c r="I18" s="9">
        <f>SUMIFS(Transactions!$M:$M,Transactions!$C:$C,A18,Transactions!$D:$D,B18,Transactions!$E:$E,C18,Transactions!$F:$F,D18)</f>
        <v/>
      </c>
      <c r="J18">
        <f>IF(E18&gt;0,"PASS","FAIL")</f>
        <v/>
      </c>
    </row>
    <row r="19">
      <c r="A19" t="inlineStr">
        <is>
          <t>Personal</t>
        </is>
      </c>
      <c r="B19" t="inlineStr">
        <is>
          <t>Personal</t>
        </is>
      </c>
      <c r="C19" t="inlineStr">
        <is>
          <t>Lifestyle</t>
        </is>
      </c>
      <c r="D19" t="inlineStr">
        <is>
          <t>Hobbies</t>
        </is>
      </c>
      <c r="E19">
        <f>COUNTIFS(Transactions!$C:$C,A19,Transactions!$D:$D,B19,Transactions!$E:$E,C19,Transactions!$F:$F,D19)</f>
        <v/>
      </c>
      <c r="F19" s="9">
        <f>SUMIFS(Transactions!$K:$K,Transactions!$C:$C,A19,Transactions!$D:$D,B19,Transactions!$E:$E,C19,Transactions!$F:$F,D19)</f>
        <v/>
      </c>
      <c r="G19" s="9">
        <f>SUMIFS(Transactions!$M:$M,Transactions!$C:$C,A19,Transactions!$D:$D,B19,Transactions!$E:$E,C19,Transactions!$F:$F,D19,Transactions!$M:$M,"&gt;0")</f>
        <v/>
      </c>
      <c r="H19" s="9">
        <f>-SUMIFS(Transactions!$M:$M,Transactions!$C:$C,A19,Transactions!$D:$D,B19,Transactions!$E:$E,C19,Transactions!$F:$F,D19,Transactions!$M:$M,"&lt;0")</f>
        <v/>
      </c>
      <c r="I19" s="9">
        <f>SUMIFS(Transactions!$M:$M,Transactions!$C:$C,A19,Transactions!$D:$D,B19,Transactions!$E:$E,C19,Transactions!$F:$F,D19)</f>
        <v/>
      </c>
      <c r="J19">
        <f>IF(E19&gt;0,"PASS","FAIL")</f>
        <v/>
      </c>
    </row>
    <row r="20">
      <c r="A20" t="inlineStr">
        <is>
          <t>Personal</t>
        </is>
      </c>
      <c r="B20" t="inlineStr">
        <is>
          <t>Personal</t>
        </is>
      </c>
      <c r="C20" t="inlineStr">
        <is>
          <t>Relationships</t>
        </is>
      </c>
      <c r="D20" t="inlineStr">
        <is>
          <t>Gifts</t>
        </is>
      </c>
      <c r="E20">
        <f>COUNTIFS(Transactions!$C:$C,A20,Transactions!$D:$D,B20,Transactions!$E:$E,C20,Transactions!$F:$F,D20)</f>
        <v/>
      </c>
      <c r="F20" s="9">
        <f>SUMIFS(Transactions!$K:$K,Transactions!$C:$C,A20,Transactions!$D:$D,B20,Transactions!$E:$E,C20,Transactions!$F:$F,D20)</f>
        <v/>
      </c>
      <c r="G20" s="9">
        <f>SUMIFS(Transactions!$M:$M,Transactions!$C:$C,A20,Transactions!$D:$D,B20,Transactions!$E:$E,C20,Transactions!$F:$F,D20,Transactions!$M:$M,"&gt;0")</f>
        <v/>
      </c>
      <c r="H20" s="9">
        <f>-SUMIFS(Transactions!$M:$M,Transactions!$C:$C,A20,Transactions!$D:$D,B20,Transactions!$E:$E,C20,Transactions!$F:$F,D20,Transactions!$M:$M,"&lt;0")</f>
        <v/>
      </c>
      <c r="I20" s="9">
        <f>SUMIFS(Transactions!$M:$M,Transactions!$C:$C,A20,Transactions!$D:$D,B20,Transactions!$E:$E,C20,Transactions!$F:$F,D20)</f>
        <v/>
      </c>
      <c r="J20">
        <f>IF(E20&gt;0,"PASS","FAIL")</f>
        <v/>
      </c>
    </row>
    <row r="21">
      <c r="A21" t="inlineStr">
        <is>
          <t>Personal</t>
        </is>
      </c>
      <c r="B21" t="inlineStr">
        <is>
          <t>Personal</t>
        </is>
      </c>
      <c r="C21" t="inlineStr">
        <is>
          <t>Relationships</t>
        </is>
      </c>
      <c r="D21" t="inlineStr">
        <is>
          <t>Dates</t>
        </is>
      </c>
      <c r="E21">
        <f>COUNTIFS(Transactions!$C:$C,A21,Transactions!$D:$D,B21,Transactions!$E:$E,C21,Transactions!$F:$F,D21)</f>
        <v/>
      </c>
      <c r="F21" s="9">
        <f>SUMIFS(Transactions!$K:$K,Transactions!$C:$C,A21,Transactions!$D:$D,B21,Transactions!$E:$E,C21,Transactions!$F:$F,D21)</f>
        <v/>
      </c>
      <c r="G21" s="9">
        <f>SUMIFS(Transactions!$M:$M,Transactions!$C:$C,A21,Transactions!$D:$D,B21,Transactions!$E:$E,C21,Transactions!$F:$F,D21,Transactions!$M:$M,"&gt;0")</f>
        <v/>
      </c>
      <c r="H21" s="9">
        <f>-SUMIFS(Transactions!$M:$M,Transactions!$C:$C,A21,Transactions!$D:$D,B21,Transactions!$E:$E,C21,Transactions!$F:$F,D21,Transactions!$M:$M,"&lt;0")</f>
        <v/>
      </c>
      <c r="I21" s="9">
        <f>SUMIFS(Transactions!$M:$M,Transactions!$C:$C,A21,Transactions!$D:$D,B21,Transactions!$E:$E,C21,Transactions!$F:$F,D21)</f>
        <v/>
      </c>
      <c r="J21">
        <f>IF(E21&gt;0,"PASS","FAIL")</f>
        <v/>
      </c>
    </row>
    <row r="22">
      <c r="A22" t="inlineStr">
        <is>
          <t>Personal</t>
        </is>
      </c>
      <c r="B22" t="inlineStr">
        <is>
          <t>Personal</t>
        </is>
      </c>
      <c r="C22" t="inlineStr">
        <is>
          <t>Relationships</t>
        </is>
      </c>
      <c r="D22" t="inlineStr">
        <is>
          <t>Family</t>
        </is>
      </c>
      <c r="E22">
        <f>COUNTIFS(Transactions!$C:$C,A22,Transactions!$D:$D,B22,Transactions!$E:$E,C22,Transactions!$F:$F,D22)</f>
        <v/>
      </c>
      <c r="F22" s="9">
        <f>SUMIFS(Transactions!$K:$K,Transactions!$C:$C,A22,Transactions!$D:$D,B22,Transactions!$E:$E,C22,Transactions!$F:$F,D22)</f>
        <v/>
      </c>
      <c r="G22" s="9">
        <f>SUMIFS(Transactions!$M:$M,Transactions!$C:$C,A22,Transactions!$D:$D,B22,Transactions!$E:$E,C22,Transactions!$F:$F,D22,Transactions!$M:$M,"&gt;0")</f>
        <v/>
      </c>
      <c r="H22" s="9">
        <f>-SUMIFS(Transactions!$M:$M,Transactions!$C:$C,A22,Transactions!$D:$D,B22,Transactions!$E:$E,C22,Transactions!$F:$F,D22,Transactions!$M:$M,"&lt;0")</f>
        <v/>
      </c>
      <c r="I22" s="9">
        <f>SUMIFS(Transactions!$M:$M,Transactions!$C:$C,A22,Transactions!$D:$D,B22,Transactions!$E:$E,C22,Transactions!$F:$F,D22)</f>
        <v/>
      </c>
      <c r="J22">
        <f>IF(E22&gt;0,"PASS","FAIL")</f>
        <v/>
      </c>
    </row>
    <row r="23">
      <c r="A23" t="inlineStr">
        <is>
          <t>Personal</t>
        </is>
      </c>
      <c r="B23" t="inlineStr">
        <is>
          <t>Personal</t>
        </is>
      </c>
      <c r="C23" t="inlineStr">
        <is>
          <t>Relationships</t>
        </is>
      </c>
      <c r="D23" t="inlineStr">
        <is>
          <t>Friends</t>
        </is>
      </c>
      <c r="E23">
        <f>COUNTIFS(Transactions!$C:$C,A23,Transactions!$D:$D,B23,Transactions!$E:$E,C23,Transactions!$F:$F,D23)</f>
        <v/>
      </c>
      <c r="F23" s="9">
        <f>SUMIFS(Transactions!$K:$K,Transactions!$C:$C,A23,Transactions!$D:$D,B23,Transactions!$E:$E,C23,Transactions!$F:$F,D23)</f>
        <v/>
      </c>
      <c r="G23" s="9">
        <f>SUMIFS(Transactions!$M:$M,Transactions!$C:$C,A23,Transactions!$D:$D,B23,Transactions!$E:$E,C23,Transactions!$F:$F,D23,Transactions!$M:$M,"&gt;0")</f>
        <v/>
      </c>
      <c r="H23" s="9">
        <f>-SUMIFS(Transactions!$M:$M,Transactions!$C:$C,A23,Transactions!$D:$D,B23,Transactions!$E:$E,C23,Transactions!$F:$F,D23,Transactions!$M:$M,"&lt;0")</f>
        <v/>
      </c>
      <c r="I23" s="9">
        <f>SUMIFS(Transactions!$M:$M,Transactions!$C:$C,A23,Transactions!$D:$D,B23,Transactions!$E:$E,C23,Transactions!$F:$F,D23)</f>
        <v/>
      </c>
      <c r="J23">
        <f>IF(E23&gt;0,"PASS","FAIL")</f>
        <v/>
      </c>
    </row>
    <row r="24">
      <c r="A24" t="inlineStr">
        <is>
          <t>Personal</t>
        </is>
      </c>
      <c r="B24" t="inlineStr">
        <is>
          <t>Personal</t>
        </is>
      </c>
      <c r="C24" t="inlineStr">
        <is>
          <t>Relationships</t>
        </is>
      </c>
      <c r="D24" t="inlineStr">
        <is>
          <t>Celebrations</t>
        </is>
      </c>
      <c r="E24">
        <f>COUNTIFS(Transactions!$C:$C,A24,Transactions!$D:$D,B24,Transactions!$E:$E,C24,Transactions!$F:$F,D24)</f>
        <v/>
      </c>
      <c r="F24" s="9">
        <f>SUMIFS(Transactions!$K:$K,Transactions!$C:$C,A24,Transactions!$D:$D,B24,Transactions!$E:$E,C24,Transactions!$F:$F,D24)</f>
        <v/>
      </c>
      <c r="G24" s="9">
        <f>SUMIFS(Transactions!$M:$M,Transactions!$C:$C,A24,Transactions!$D:$D,B24,Transactions!$E:$E,C24,Transactions!$F:$F,D24,Transactions!$M:$M,"&gt;0")</f>
        <v/>
      </c>
      <c r="H24" s="9">
        <f>-SUMIFS(Transactions!$M:$M,Transactions!$C:$C,A24,Transactions!$D:$D,B24,Transactions!$E:$E,C24,Transactions!$F:$F,D24,Transactions!$M:$M,"&lt;0")</f>
        <v/>
      </c>
      <c r="I24" s="9">
        <f>SUMIFS(Transactions!$M:$M,Transactions!$C:$C,A24,Transactions!$D:$D,B24,Transactions!$E:$E,C24,Transactions!$F:$F,D24)</f>
        <v/>
      </c>
      <c r="J24">
        <f>IF(E24&gt;0,"PASS","FAIL")</f>
        <v/>
      </c>
    </row>
    <row r="25">
      <c r="A25" t="inlineStr">
        <is>
          <t>Group</t>
        </is>
      </c>
      <c r="B25" t="inlineStr">
        <is>
          <t>Shared Experience</t>
        </is>
      </c>
      <c r="C25" t="inlineStr">
        <is>
          <t>Trip</t>
        </is>
      </c>
      <c r="D25" t="inlineStr">
        <is>
          <t>Travel</t>
        </is>
      </c>
      <c r="E25">
        <f>COUNTIFS(Transactions!$C:$C,A25,Transactions!$D:$D,B25,Transactions!$E:$E,C25,Transactions!$F:$F,D25)</f>
        <v/>
      </c>
      <c r="F25" s="9">
        <f>SUMIFS(Transactions!$K:$K,Transactions!$C:$C,A25,Transactions!$D:$D,B25,Transactions!$E:$E,C25,Transactions!$F:$F,D25)</f>
        <v/>
      </c>
      <c r="G25" s="9">
        <f>SUMIFS(Transactions!$M:$M,Transactions!$C:$C,A25,Transactions!$D:$D,B25,Transactions!$E:$E,C25,Transactions!$F:$F,D25,Transactions!$M:$M,"&gt;0")</f>
        <v/>
      </c>
      <c r="H25" s="9">
        <f>-SUMIFS(Transactions!$M:$M,Transactions!$C:$C,A25,Transactions!$D:$D,B25,Transactions!$E:$E,C25,Transactions!$F:$F,D25,Transactions!$M:$M,"&lt;0")</f>
        <v/>
      </c>
      <c r="I25" s="9">
        <f>SUMIFS(Transactions!$M:$M,Transactions!$C:$C,A25,Transactions!$D:$D,B25,Transactions!$E:$E,C25,Transactions!$F:$F,D25)</f>
        <v/>
      </c>
      <c r="J25">
        <f>IF(E25&gt;0,"PASS","FAIL")</f>
        <v/>
      </c>
    </row>
    <row r="26">
      <c r="A26" t="inlineStr">
        <is>
          <t>Group</t>
        </is>
      </c>
      <c r="B26" t="inlineStr">
        <is>
          <t>Shared Experience</t>
        </is>
      </c>
      <c r="C26" t="inlineStr">
        <is>
          <t>Trip</t>
        </is>
      </c>
      <c r="D26" t="inlineStr">
        <is>
          <t>Stay</t>
        </is>
      </c>
      <c r="E26">
        <f>COUNTIFS(Transactions!$C:$C,A26,Transactions!$D:$D,B26,Transactions!$E:$E,C26,Transactions!$F:$F,D26)</f>
        <v/>
      </c>
      <c r="F26" s="9">
        <f>SUMIFS(Transactions!$K:$K,Transactions!$C:$C,A26,Transactions!$D:$D,B26,Transactions!$E:$E,C26,Transactions!$F:$F,D26)</f>
        <v/>
      </c>
      <c r="G26" s="9">
        <f>SUMIFS(Transactions!$M:$M,Transactions!$C:$C,A26,Transactions!$D:$D,B26,Transactions!$E:$E,C26,Transactions!$F:$F,D26,Transactions!$M:$M,"&gt;0")</f>
        <v/>
      </c>
      <c r="H26" s="9">
        <f>-SUMIFS(Transactions!$M:$M,Transactions!$C:$C,A26,Transactions!$D:$D,B26,Transactions!$E:$E,C26,Transactions!$F:$F,D26,Transactions!$M:$M,"&lt;0")</f>
        <v/>
      </c>
      <c r="I26" s="9">
        <f>SUMIFS(Transactions!$M:$M,Transactions!$C:$C,A26,Transactions!$D:$D,B26,Transactions!$E:$E,C26,Transactions!$F:$F,D26)</f>
        <v/>
      </c>
      <c r="J26">
        <f>IF(E26&gt;0,"PASS","FAIL")</f>
        <v/>
      </c>
    </row>
    <row r="27">
      <c r="A27" t="inlineStr">
        <is>
          <t>Group</t>
        </is>
      </c>
      <c r="B27" t="inlineStr">
        <is>
          <t>Shared Experience</t>
        </is>
      </c>
      <c r="C27" t="inlineStr">
        <is>
          <t>Trip</t>
        </is>
      </c>
      <c r="D27" t="inlineStr">
        <is>
          <t>Food</t>
        </is>
      </c>
      <c r="E27">
        <f>COUNTIFS(Transactions!$C:$C,A27,Transactions!$D:$D,B27,Transactions!$E:$E,C27,Transactions!$F:$F,D27)</f>
        <v/>
      </c>
      <c r="F27" s="9">
        <f>SUMIFS(Transactions!$K:$K,Transactions!$C:$C,A27,Transactions!$D:$D,B27,Transactions!$E:$E,C27,Transactions!$F:$F,D27)</f>
        <v/>
      </c>
      <c r="G27" s="9">
        <f>SUMIFS(Transactions!$M:$M,Transactions!$C:$C,A27,Transactions!$D:$D,B27,Transactions!$E:$E,C27,Transactions!$F:$F,D27,Transactions!$M:$M,"&gt;0")</f>
        <v/>
      </c>
      <c r="H27" s="9">
        <f>-SUMIFS(Transactions!$M:$M,Transactions!$C:$C,A27,Transactions!$D:$D,B27,Transactions!$E:$E,C27,Transactions!$F:$F,D27,Transactions!$M:$M,"&lt;0")</f>
        <v/>
      </c>
      <c r="I27" s="9">
        <f>SUMIFS(Transactions!$M:$M,Transactions!$C:$C,A27,Transactions!$D:$D,B27,Transactions!$E:$E,C27,Transactions!$F:$F,D27)</f>
        <v/>
      </c>
      <c r="J27">
        <f>IF(E27&gt;0,"PASS","FAIL")</f>
        <v/>
      </c>
    </row>
    <row r="28">
      <c r="A28" t="inlineStr">
        <is>
          <t>Group</t>
        </is>
      </c>
      <c r="B28" t="inlineStr">
        <is>
          <t>Shared Experience</t>
        </is>
      </c>
      <c r="C28" t="inlineStr">
        <is>
          <t>Trip</t>
        </is>
      </c>
      <c r="D28" t="inlineStr">
        <is>
          <t>Local Transport</t>
        </is>
      </c>
      <c r="E28">
        <f>COUNTIFS(Transactions!$C:$C,A28,Transactions!$D:$D,B28,Transactions!$E:$E,C28,Transactions!$F:$F,D28)</f>
        <v/>
      </c>
      <c r="F28" s="9">
        <f>SUMIFS(Transactions!$K:$K,Transactions!$C:$C,A28,Transactions!$D:$D,B28,Transactions!$E:$E,C28,Transactions!$F:$F,D28)</f>
        <v/>
      </c>
      <c r="G28" s="9">
        <f>SUMIFS(Transactions!$M:$M,Transactions!$C:$C,A28,Transactions!$D:$D,B28,Transactions!$E:$E,C28,Transactions!$F:$F,D28,Transactions!$M:$M,"&gt;0")</f>
        <v/>
      </c>
      <c r="H28" s="9">
        <f>-SUMIFS(Transactions!$M:$M,Transactions!$C:$C,A28,Transactions!$D:$D,B28,Transactions!$E:$E,C28,Transactions!$F:$F,D28,Transactions!$M:$M,"&lt;0")</f>
        <v/>
      </c>
      <c r="I28" s="9">
        <f>SUMIFS(Transactions!$M:$M,Transactions!$C:$C,A28,Transactions!$D:$D,B28,Transactions!$E:$E,C28,Transactions!$F:$F,D28)</f>
        <v/>
      </c>
      <c r="J28">
        <f>IF(E28&gt;0,"PASS","FAIL")</f>
        <v/>
      </c>
    </row>
    <row r="29">
      <c r="A29" t="inlineStr">
        <is>
          <t>Group</t>
        </is>
      </c>
      <c r="B29" t="inlineStr">
        <is>
          <t>Shared Experience</t>
        </is>
      </c>
      <c r="C29" t="inlineStr">
        <is>
          <t>Trip</t>
        </is>
      </c>
      <c r="D29" t="inlineStr">
        <is>
          <t>Activities</t>
        </is>
      </c>
      <c r="E29">
        <f>COUNTIFS(Transactions!$C:$C,A29,Transactions!$D:$D,B29,Transactions!$E:$E,C29,Transactions!$F:$F,D29)</f>
        <v/>
      </c>
      <c r="F29" s="9">
        <f>SUMIFS(Transactions!$K:$K,Transactions!$C:$C,A29,Transactions!$D:$D,B29,Transactions!$E:$E,C29,Transactions!$F:$F,D29)</f>
        <v/>
      </c>
      <c r="G29" s="9">
        <f>SUMIFS(Transactions!$M:$M,Transactions!$C:$C,A29,Transactions!$D:$D,B29,Transactions!$E:$E,C29,Transactions!$F:$F,D29,Transactions!$M:$M,"&gt;0")</f>
        <v/>
      </c>
      <c r="H29" s="9">
        <f>-SUMIFS(Transactions!$M:$M,Transactions!$C:$C,A29,Transactions!$D:$D,B29,Transactions!$E:$E,C29,Transactions!$F:$F,D29,Transactions!$M:$M,"&lt;0")</f>
        <v/>
      </c>
      <c r="I29" s="9">
        <f>SUMIFS(Transactions!$M:$M,Transactions!$C:$C,A29,Transactions!$D:$D,B29,Transactions!$E:$E,C29,Transactions!$F:$F,D29)</f>
        <v/>
      </c>
      <c r="J29">
        <f>IF(E29&gt;0,"PASS","FAIL")</f>
        <v/>
      </c>
    </row>
    <row r="30">
      <c r="A30" t="inlineStr">
        <is>
          <t>Group</t>
        </is>
      </c>
      <c r="B30" t="inlineStr">
        <is>
          <t>Shared Experience</t>
        </is>
      </c>
      <c r="C30" t="inlineStr">
        <is>
          <t>Trip</t>
        </is>
      </c>
      <c r="D30" t="inlineStr">
        <is>
          <t>Shopping</t>
        </is>
      </c>
      <c r="E30">
        <f>COUNTIFS(Transactions!$C:$C,A30,Transactions!$D:$D,B30,Transactions!$E:$E,C30,Transactions!$F:$F,D30)</f>
        <v/>
      </c>
      <c r="F30" s="9">
        <f>SUMIFS(Transactions!$K:$K,Transactions!$C:$C,A30,Transactions!$D:$D,B30,Transactions!$E:$E,C30,Transactions!$F:$F,D30)</f>
        <v/>
      </c>
      <c r="G30" s="9">
        <f>SUMIFS(Transactions!$M:$M,Transactions!$C:$C,A30,Transactions!$D:$D,B30,Transactions!$E:$E,C30,Transactions!$F:$F,D30,Transactions!$M:$M,"&gt;0")</f>
        <v/>
      </c>
      <c r="H30" s="9">
        <f>-SUMIFS(Transactions!$M:$M,Transactions!$C:$C,A30,Transactions!$D:$D,B30,Transactions!$E:$E,C30,Transactions!$F:$F,D30,Transactions!$M:$M,"&lt;0")</f>
        <v/>
      </c>
      <c r="I30" s="9">
        <f>SUMIFS(Transactions!$M:$M,Transactions!$C:$C,A30,Transactions!$D:$D,B30,Transactions!$E:$E,C30,Transactions!$F:$F,D30)</f>
        <v/>
      </c>
      <c r="J30">
        <f>IF(E30&gt;0,"PASS","FAIL")</f>
        <v/>
      </c>
    </row>
    <row r="31">
      <c r="A31" t="inlineStr">
        <is>
          <t>Group</t>
        </is>
      </c>
      <c r="B31" t="inlineStr">
        <is>
          <t>Shared Experience</t>
        </is>
      </c>
      <c r="C31" t="inlineStr">
        <is>
          <t>Trip</t>
        </is>
      </c>
      <c r="D31" t="inlineStr">
        <is>
          <t>Other</t>
        </is>
      </c>
      <c r="E31">
        <f>COUNTIFS(Transactions!$C:$C,A31,Transactions!$D:$D,B31,Transactions!$E:$E,C31,Transactions!$F:$F,D31)</f>
        <v/>
      </c>
      <c r="F31" s="9">
        <f>SUMIFS(Transactions!$K:$K,Transactions!$C:$C,A31,Transactions!$D:$D,B31,Transactions!$E:$E,C31,Transactions!$F:$F,D31)</f>
        <v/>
      </c>
      <c r="G31" s="9">
        <f>SUMIFS(Transactions!$M:$M,Transactions!$C:$C,A31,Transactions!$D:$D,B31,Transactions!$E:$E,C31,Transactions!$F:$F,D31,Transactions!$M:$M,"&gt;0")</f>
        <v/>
      </c>
      <c r="H31" s="9">
        <f>-SUMIFS(Transactions!$M:$M,Transactions!$C:$C,A31,Transactions!$D:$D,B31,Transactions!$E:$E,C31,Transactions!$F:$F,D31,Transactions!$M:$M,"&lt;0")</f>
        <v/>
      </c>
      <c r="I31" s="9">
        <f>SUMIFS(Transactions!$M:$M,Transactions!$C:$C,A31,Transactions!$D:$D,B31,Transactions!$E:$E,C31,Transactions!$F:$F,D31)</f>
        <v/>
      </c>
      <c r="J31">
        <f>IF(E31&gt;0,"PASS","FAIL")</f>
        <v/>
      </c>
    </row>
    <row r="32">
      <c r="A32" t="inlineStr">
        <is>
          <t>Group</t>
        </is>
      </c>
      <c r="B32" t="inlineStr">
        <is>
          <t>Shared Experience</t>
        </is>
      </c>
      <c r="C32" t="inlineStr">
        <is>
          <t>Wedding</t>
        </is>
      </c>
      <c r="D32" t="inlineStr">
        <is>
          <t>Venue</t>
        </is>
      </c>
      <c r="E32">
        <f>COUNTIFS(Transactions!$C:$C,A32,Transactions!$D:$D,B32,Transactions!$E:$E,C32,Transactions!$F:$F,D32)</f>
        <v/>
      </c>
      <c r="F32" s="9">
        <f>SUMIFS(Transactions!$K:$K,Transactions!$C:$C,A32,Transactions!$D:$D,B32,Transactions!$E:$E,C32,Transactions!$F:$F,D32)</f>
        <v/>
      </c>
      <c r="G32" s="9">
        <f>SUMIFS(Transactions!$M:$M,Transactions!$C:$C,A32,Transactions!$D:$D,B32,Transactions!$E:$E,C32,Transactions!$F:$F,D32,Transactions!$M:$M,"&gt;0")</f>
        <v/>
      </c>
      <c r="H32" s="9">
        <f>-SUMIFS(Transactions!$M:$M,Transactions!$C:$C,A32,Transactions!$D:$D,B32,Transactions!$E:$E,C32,Transactions!$F:$F,D32,Transactions!$M:$M,"&lt;0")</f>
        <v/>
      </c>
      <c r="I32" s="9">
        <f>SUMIFS(Transactions!$M:$M,Transactions!$C:$C,A32,Transactions!$D:$D,B32,Transactions!$E:$E,C32,Transactions!$F:$F,D32)</f>
        <v/>
      </c>
      <c r="J32">
        <f>IF(E32&gt;0,"PASS","FAIL")</f>
        <v/>
      </c>
    </row>
    <row r="33">
      <c r="A33" t="inlineStr">
        <is>
          <t>Group</t>
        </is>
      </c>
      <c r="B33" t="inlineStr">
        <is>
          <t>Shared Experience</t>
        </is>
      </c>
      <c r="C33" t="inlineStr">
        <is>
          <t>Wedding</t>
        </is>
      </c>
      <c r="D33" t="inlineStr">
        <is>
          <t>Catering</t>
        </is>
      </c>
      <c r="E33">
        <f>COUNTIFS(Transactions!$C:$C,A33,Transactions!$D:$D,B33,Transactions!$E:$E,C33,Transactions!$F:$F,D33)</f>
        <v/>
      </c>
      <c r="F33" s="9">
        <f>SUMIFS(Transactions!$K:$K,Transactions!$C:$C,A33,Transactions!$D:$D,B33,Transactions!$E:$E,C33,Transactions!$F:$F,D33)</f>
        <v/>
      </c>
      <c r="G33" s="9">
        <f>SUMIFS(Transactions!$M:$M,Transactions!$C:$C,A33,Transactions!$D:$D,B33,Transactions!$E:$E,C33,Transactions!$F:$F,D33,Transactions!$M:$M,"&gt;0")</f>
        <v/>
      </c>
      <c r="H33" s="9">
        <f>-SUMIFS(Transactions!$M:$M,Transactions!$C:$C,A33,Transactions!$D:$D,B33,Transactions!$E:$E,C33,Transactions!$F:$F,D33,Transactions!$M:$M,"&lt;0")</f>
        <v/>
      </c>
      <c r="I33" s="9">
        <f>SUMIFS(Transactions!$M:$M,Transactions!$C:$C,A33,Transactions!$D:$D,B33,Transactions!$E:$E,C33,Transactions!$F:$F,D33)</f>
        <v/>
      </c>
      <c r="J33">
        <f>IF(E33&gt;0,"PASS","FAIL")</f>
        <v/>
      </c>
    </row>
    <row r="34">
      <c r="A34" t="inlineStr">
        <is>
          <t>Group</t>
        </is>
      </c>
      <c r="B34" t="inlineStr">
        <is>
          <t>Shared Experience</t>
        </is>
      </c>
      <c r="C34" t="inlineStr">
        <is>
          <t>Wedding</t>
        </is>
      </c>
      <c r="D34" t="inlineStr">
        <is>
          <t>Decor</t>
        </is>
      </c>
      <c r="E34">
        <f>COUNTIFS(Transactions!$C:$C,A34,Transactions!$D:$D,B34,Transactions!$E:$E,C34,Transactions!$F:$F,D34)</f>
        <v/>
      </c>
      <c r="F34" s="9">
        <f>SUMIFS(Transactions!$K:$K,Transactions!$C:$C,A34,Transactions!$D:$D,B34,Transactions!$E:$E,C34,Transactions!$F:$F,D34)</f>
        <v/>
      </c>
      <c r="G34" s="9">
        <f>SUMIFS(Transactions!$M:$M,Transactions!$C:$C,A34,Transactions!$D:$D,B34,Transactions!$E:$E,C34,Transactions!$F:$F,D34,Transactions!$M:$M,"&gt;0")</f>
        <v/>
      </c>
      <c r="H34" s="9">
        <f>-SUMIFS(Transactions!$M:$M,Transactions!$C:$C,A34,Transactions!$D:$D,B34,Transactions!$E:$E,C34,Transactions!$F:$F,D34,Transactions!$M:$M,"&lt;0")</f>
        <v/>
      </c>
      <c r="I34" s="9">
        <f>SUMIFS(Transactions!$M:$M,Transactions!$C:$C,A34,Transactions!$D:$D,B34,Transactions!$E:$E,C34,Transactions!$F:$F,D34)</f>
        <v/>
      </c>
      <c r="J34">
        <f>IF(E34&gt;0,"PASS","FAIL")</f>
        <v/>
      </c>
    </row>
    <row r="35">
      <c r="A35" t="inlineStr">
        <is>
          <t>Group</t>
        </is>
      </c>
      <c r="B35" t="inlineStr">
        <is>
          <t>Shared Experience</t>
        </is>
      </c>
      <c r="C35" t="inlineStr">
        <is>
          <t>Wedding</t>
        </is>
      </c>
      <c r="D35" t="inlineStr">
        <is>
          <t>Travel</t>
        </is>
      </c>
      <c r="E35">
        <f>COUNTIFS(Transactions!$C:$C,A35,Transactions!$D:$D,B35,Transactions!$E:$E,C35,Transactions!$F:$F,D35)</f>
        <v/>
      </c>
      <c r="F35" s="9">
        <f>SUMIFS(Transactions!$K:$K,Transactions!$C:$C,A35,Transactions!$D:$D,B35,Transactions!$E:$E,C35,Transactions!$F:$F,D35)</f>
        <v/>
      </c>
      <c r="G35" s="9">
        <f>SUMIFS(Transactions!$M:$M,Transactions!$C:$C,A35,Transactions!$D:$D,B35,Transactions!$E:$E,C35,Transactions!$F:$F,D35,Transactions!$M:$M,"&gt;0")</f>
        <v/>
      </c>
      <c r="H35" s="9">
        <f>-SUMIFS(Transactions!$M:$M,Transactions!$C:$C,A35,Transactions!$D:$D,B35,Transactions!$E:$E,C35,Transactions!$F:$F,D35,Transactions!$M:$M,"&lt;0")</f>
        <v/>
      </c>
      <c r="I35" s="9">
        <f>SUMIFS(Transactions!$M:$M,Transactions!$C:$C,A35,Transactions!$D:$D,B35,Transactions!$E:$E,C35,Transactions!$F:$F,D35)</f>
        <v/>
      </c>
      <c r="J35">
        <f>IF(E35&gt;0,"PASS","FAIL")</f>
        <v/>
      </c>
    </row>
    <row r="36">
      <c r="A36" t="inlineStr">
        <is>
          <t>Group</t>
        </is>
      </c>
      <c r="B36" t="inlineStr">
        <is>
          <t>Shared Experience</t>
        </is>
      </c>
      <c r="C36" t="inlineStr">
        <is>
          <t>Wedding</t>
        </is>
      </c>
      <c r="D36" t="inlineStr">
        <is>
          <t>Gifts</t>
        </is>
      </c>
      <c r="E36">
        <f>COUNTIFS(Transactions!$C:$C,A36,Transactions!$D:$D,B36,Transactions!$E:$E,C36,Transactions!$F:$F,D36)</f>
        <v/>
      </c>
      <c r="F36" s="9">
        <f>SUMIFS(Transactions!$K:$K,Transactions!$C:$C,A36,Transactions!$D:$D,B36,Transactions!$E:$E,C36,Transactions!$F:$F,D36)</f>
        <v/>
      </c>
      <c r="G36" s="9">
        <f>SUMIFS(Transactions!$M:$M,Transactions!$C:$C,A36,Transactions!$D:$D,B36,Transactions!$E:$E,C36,Transactions!$F:$F,D36,Transactions!$M:$M,"&gt;0")</f>
        <v/>
      </c>
      <c r="H36" s="9">
        <f>-SUMIFS(Transactions!$M:$M,Transactions!$C:$C,A36,Transactions!$D:$D,B36,Transactions!$E:$E,C36,Transactions!$F:$F,D36,Transactions!$M:$M,"&lt;0")</f>
        <v/>
      </c>
      <c r="I36" s="9">
        <f>SUMIFS(Transactions!$M:$M,Transactions!$C:$C,A36,Transactions!$D:$D,B36,Transactions!$E:$E,C36,Transactions!$F:$F,D36)</f>
        <v/>
      </c>
      <c r="J36">
        <f>IF(E36&gt;0,"PASS","FAIL")</f>
        <v/>
      </c>
    </row>
    <row r="37">
      <c r="A37" t="inlineStr">
        <is>
          <t>Group</t>
        </is>
      </c>
      <c r="B37" t="inlineStr">
        <is>
          <t>Shared Experience</t>
        </is>
      </c>
      <c r="C37" t="inlineStr">
        <is>
          <t>Wedding</t>
        </is>
      </c>
      <c r="D37" t="inlineStr">
        <is>
          <t>Photography</t>
        </is>
      </c>
      <c r="E37">
        <f>COUNTIFS(Transactions!$C:$C,A37,Transactions!$D:$D,B37,Transactions!$E:$E,C37,Transactions!$F:$F,D37)</f>
        <v/>
      </c>
      <c r="F37" s="9">
        <f>SUMIFS(Transactions!$K:$K,Transactions!$C:$C,A37,Transactions!$D:$D,B37,Transactions!$E:$E,C37,Transactions!$F:$F,D37)</f>
        <v/>
      </c>
      <c r="G37" s="9">
        <f>SUMIFS(Transactions!$M:$M,Transactions!$C:$C,A37,Transactions!$D:$D,B37,Transactions!$E:$E,C37,Transactions!$F:$F,D37,Transactions!$M:$M,"&gt;0")</f>
        <v/>
      </c>
      <c r="H37" s="9">
        <f>-SUMIFS(Transactions!$M:$M,Transactions!$C:$C,A37,Transactions!$D:$D,B37,Transactions!$E:$E,C37,Transactions!$F:$F,D37,Transactions!$M:$M,"&lt;0")</f>
        <v/>
      </c>
      <c r="I37" s="9">
        <f>SUMIFS(Transactions!$M:$M,Transactions!$C:$C,A37,Transactions!$D:$D,B37,Transactions!$E:$E,C37,Transactions!$F:$F,D37)</f>
        <v/>
      </c>
      <c r="J37">
        <f>IF(E37&gt;0,"PASS","FAIL")</f>
        <v/>
      </c>
    </row>
    <row r="38">
      <c r="A38" t="inlineStr">
        <is>
          <t>Group</t>
        </is>
      </c>
      <c r="B38" t="inlineStr">
        <is>
          <t>Shared Experience</t>
        </is>
      </c>
      <c r="C38" t="inlineStr">
        <is>
          <t>Wedding</t>
        </is>
      </c>
      <c r="D38" t="inlineStr">
        <is>
          <t>Other</t>
        </is>
      </c>
      <c r="E38">
        <f>COUNTIFS(Transactions!$C:$C,A38,Transactions!$D:$D,B38,Transactions!$E:$E,C38,Transactions!$F:$F,D38)</f>
        <v/>
      </c>
      <c r="F38" s="9">
        <f>SUMIFS(Transactions!$K:$K,Transactions!$C:$C,A38,Transactions!$D:$D,B38,Transactions!$E:$E,C38,Transactions!$F:$F,D38)</f>
        <v/>
      </c>
      <c r="G38" s="9">
        <f>SUMIFS(Transactions!$M:$M,Transactions!$C:$C,A38,Transactions!$D:$D,B38,Transactions!$E:$E,C38,Transactions!$F:$F,D38,Transactions!$M:$M,"&gt;0")</f>
        <v/>
      </c>
      <c r="H38" s="9">
        <f>-SUMIFS(Transactions!$M:$M,Transactions!$C:$C,A38,Transactions!$D:$D,B38,Transactions!$E:$E,C38,Transactions!$F:$F,D38,Transactions!$M:$M,"&lt;0")</f>
        <v/>
      </c>
      <c r="I38" s="9">
        <f>SUMIFS(Transactions!$M:$M,Transactions!$C:$C,A38,Transactions!$D:$D,B38,Transactions!$E:$E,C38,Transactions!$F:$F,D38)</f>
        <v/>
      </c>
      <c r="J38">
        <f>IF(E38&gt;0,"PASS","FAIL")</f>
        <v/>
      </c>
    </row>
    <row r="39">
      <c r="A39" t="inlineStr">
        <is>
          <t>Group</t>
        </is>
      </c>
      <c r="B39" t="inlineStr">
        <is>
          <t>Shared Experience</t>
        </is>
      </c>
      <c r="C39" t="inlineStr">
        <is>
          <t>Office Outing</t>
        </is>
      </c>
      <c r="D39" t="inlineStr">
        <is>
          <t>Food</t>
        </is>
      </c>
      <c r="E39">
        <f>COUNTIFS(Transactions!$C:$C,A39,Transactions!$D:$D,B39,Transactions!$E:$E,C39,Transactions!$F:$F,D39)</f>
        <v/>
      </c>
      <c r="F39" s="9">
        <f>SUMIFS(Transactions!$K:$K,Transactions!$C:$C,A39,Transactions!$D:$D,B39,Transactions!$E:$E,C39,Transactions!$F:$F,D39)</f>
        <v/>
      </c>
      <c r="G39" s="9">
        <f>SUMIFS(Transactions!$M:$M,Transactions!$C:$C,A39,Transactions!$D:$D,B39,Transactions!$E:$E,C39,Transactions!$F:$F,D39,Transactions!$M:$M,"&gt;0")</f>
        <v/>
      </c>
      <c r="H39" s="9">
        <f>-SUMIFS(Transactions!$M:$M,Transactions!$C:$C,A39,Transactions!$D:$D,B39,Transactions!$E:$E,C39,Transactions!$F:$F,D39,Transactions!$M:$M,"&lt;0")</f>
        <v/>
      </c>
      <c r="I39" s="9">
        <f>SUMIFS(Transactions!$M:$M,Transactions!$C:$C,A39,Transactions!$D:$D,B39,Transactions!$E:$E,C39,Transactions!$F:$F,D39)</f>
        <v/>
      </c>
      <c r="J39">
        <f>IF(E39&gt;0,"PASS","FAIL")</f>
        <v/>
      </c>
    </row>
    <row r="40">
      <c r="A40" t="inlineStr">
        <is>
          <t>Group</t>
        </is>
      </c>
      <c r="B40" t="inlineStr">
        <is>
          <t>Shared Experience</t>
        </is>
      </c>
      <c r="C40" t="inlineStr">
        <is>
          <t>Office Outing</t>
        </is>
      </c>
      <c r="D40" t="inlineStr">
        <is>
          <t>Travel</t>
        </is>
      </c>
      <c r="E40">
        <f>COUNTIFS(Transactions!$C:$C,A40,Transactions!$D:$D,B40,Transactions!$E:$E,C40,Transactions!$F:$F,D40)</f>
        <v/>
      </c>
      <c r="F40" s="9">
        <f>SUMIFS(Transactions!$K:$K,Transactions!$C:$C,A40,Transactions!$D:$D,B40,Transactions!$E:$E,C40,Transactions!$F:$F,D40)</f>
        <v/>
      </c>
      <c r="G40" s="9">
        <f>SUMIFS(Transactions!$M:$M,Transactions!$C:$C,A40,Transactions!$D:$D,B40,Transactions!$E:$E,C40,Transactions!$F:$F,D40,Transactions!$M:$M,"&gt;0")</f>
        <v/>
      </c>
      <c r="H40" s="9">
        <f>-SUMIFS(Transactions!$M:$M,Transactions!$C:$C,A40,Transactions!$D:$D,B40,Transactions!$E:$E,C40,Transactions!$F:$F,D40,Transactions!$M:$M,"&lt;0")</f>
        <v/>
      </c>
      <c r="I40" s="9">
        <f>SUMIFS(Transactions!$M:$M,Transactions!$C:$C,A40,Transactions!$D:$D,B40,Transactions!$E:$E,C40,Transactions!$F:$F,D40)</f>
        <v/>
      </c>
      <c r="J40">
        <f>IF(E40&gt;0,"PASS","FAIL")</f>
        <v/>
      </c>
    </row>
    <row r="41">
      <c r="A41" t="inlineStr">
        <is>
          <t>Group</t>
        </is>
      </c>
      <c r="B41" t="inlineStr">
        <is>
          <t>Shared Experience</t>
        </is>
      </c>
      <c r="C41" t="inlineStr">
        <is>
          <t>Office Outing</t>
        </is>
      </c>
      <c r="D41" t="inlineStr">
        <is>
          <t>Activities</t>
        </is>
      </c>
      <c r="E41">
        <f>COUNTIFS(Transactions!$C:$C,A41,Transactions!$D:$D,B41,Transactions!$E:$E,C41,Transactions!$F:$F,D41)</f>
        <v/>
      </c>
      <c r="F41" s="9">
        <f>SUMIFS(Transactions!$K:$K,Transactions!$C:$C,A41,Transactions!$D:$D,B41,Transactions!$E:$E,C41,Transactions!$F:$F,D41)</f>
        <v/>
      </c>
      <c r="G41" s="9">
        <f>SUMIFS(Transactions!$M:$M,Transactions!$C:$C,A41,Transactions!$D:$D,B41,Transactions!$E:$E,C41,Transactions!$F:$F,D41,Transactions!$M:$M,"&gt;0")</f>
        <v/>
      </c>
      <c r="H41" s="9">
        <f>-SUMIFS(Transactions!$M:$M,Transactions!$C:$C,A41,Transactions!$D:$D,B41,Transactions!$E:$E,C41,Transactions!$F:$F,D41,Transactions!$M:$M,"&lt;0")</f>
        <v/>
      </c>
      <c r="I41" s="9">
        <f>SUMIFS(Transactions!$M:$M,Transactions!$C:$C,A41,Transactions!$D:$D,B41,Transactions!$E:$E,C41,Transactions!$F:$F,D41)</f>
        <v/>
      </c>
      <c r="J41">
        <f>IF(E41&gt;0,"PASS","FAIL")</f>
        <v/>
      </c>
    </row>
    <row r="42">
      <c r="A42" t="inlineStr">
        <is>
          <t>Group</t>
        </is>
      </c>
      <c r="B42" t="inlineStr">
        <is>
          <t>Shared Experience</t>
        </is>
      </c>
      <c r="C42" t="inlineStr">
        <is>
          <t>Office Outing</t>
        </is>
      </c>
      <c r="D42" t="inlineStr">
        <is>
          <t>Venue</t>
        </is>
      </c>
      <c r="E42">
        <f>COUNTIFS(Transactions!$C:$C,A42,Transactions!$D:$D,B42,Transactions!$E:$E,C42,Transactions!$F:$F,D42)</f>
        <v/>
      </c>
      <c r="F42" s="9">
        <f>SUMIFS(Transactions!$K:$K,Transactions!$C:$C,A42,Transactions!$D:$D,B42,Transactions!$E:$E,C42,Transactions!$F:$F,D42)</f>
        <v/>
      </c>
      <c r="G42" s="9">
        <f>SUMIFS(Transactions!$M:$M,Transactions!$C:$C,A42,Transactions!$D:$D,B42,Transactions!$E:$E,C42,Transactions!$F:$F,D42,Transactions!$M:$M,"&gt;0")</f>
        <v/>
      </c>
      <c r="H42" s="9">
        <f>-SUMIFS(Transactions!$M:$M,Transactions!$C:$C,A42,Transactions!$D:$D,B42,Transactions!$E:$E,C42,Transactions!$F:$F,D42,Transactions!$M:$M,"&lt;0")</f>
        <v/>
      </c>
      <c r="I42" s="9">
        <f>SUMIFS(Transactions!$M:$M,Transactions!$C:$C,A42,Transactions!$D:$D,B42,Transactions!$E:$E,C42,Transactions!$F:$F,D42)</f>
        <v/>
      </c>
      <c r="J42">
        <f>IF(E42&gt;0,"PASS","FAIL")</f>
        <v/>
      </c>
    </row>
    <row r="43">
      <c r="A43" t="inlineStr">
        <is>
          <t>Group</t>
        </is>
      </c>
      <c r="B43" t="inlineStr">
        <is>
          <t>Shared Experience</t>
        </is>
      </c>
      <c r="C43" t="inlineStr">
        <is>
          <t>Office Outing</t>
        </is>
      </c>
      <c r="D43" t="inlineStr">
        <is>
          <t>Other</t>
        </is>
      </c>
      <c r="E43">
        <f>COUNTIFS(Transactions!$C:$C,A43,Transactions!$D:$D,B43,Transactions!$E:$E,C43,Transactions!$F:$F,D43)</f>
        <v/>
      </c>
      <c r="F43" s="9">
        <f>SUMIFS(Transactions!$K:$K,Transactions!$C:$C,A43,Transactions!$D:$D,B43,Transactions!$E:$E,C43,Transactions!$F:$F,D43)</f>
        <v/>
      </c>
      <c r="G43" s="9">
        <f>SUMIFS(Transactions!$M:$M,Transactions!$C:$C,A43,Transactions!$D:$D,B43,Transactions!$E:$E,C43,Transactions!$F:$F,D43,Transactions!$M:$M,"&gt;0")</f>
        <v/>
      </c>
      <c r="H43" s="9">
        <f>-SUMIFS(Transactions!$M:$M,Transactions!$C:$C,A43,Transactions!$D:$D,B43,Transactions!$E:$E,C43,Transactions!$F:$F,D43,Transactions!$M:$M,"&lt;0")</f>
        <v/>
      </c>
      <c r="I43" s="9">
        <f>SUMIFS(Transactions!$M:$M,Transactions!$C:$C,A43,Transactions!$D:$D,B43,Transactions!$E:$E,C43,Transactions!$F:$F,D43)</f>
        <v/>
      </c>
      <c r="J43">
        <f>IF(E43&gt;0,"PASS","FAIL")</f>
        <v/>
      </c>
    </row>
    <row r="44">
      <c r="A44" t="inlineStr">
        <is>
          <t>Group</t>
        </is>
      </c>
      <c r="B44" t="inlineStr">
        <is>
          <t>Shared Experience</t>
        </is>
      </c>
      <c r="C44" t="inlineStr">
        <is>
          <t>House Party</t>
        </is>
      </c>
      <c r="D44" t="inlineStr">
        <is>
          <t>Food</t>
        </is>
      </c>
      <c r="E44">
        <f>COUNTIFS(Transactions!$C:$C,A44,Transactions!$D:$D,B44,Transactions!$E:$E,C44,Transactions!$F:$F,D44)</f>
        <v/>
      </c>
      <c r="F44" s="9">
        <f>SUMIFS(Transactions!$K:$K,Transactions!$C:$C,A44,Transactions!$D:$D,B44,Transactions!$E:$E,C44,Transactions!$F:$F,D44)</f>
        <v/>
      </c>
      <c r="G44" s="9">
        <f>SUMIFS(Transactions!$M:$M,Transactions!$C:$C,A44,Transactions!$D:$D,B44,Transactions!$E:$E,C44,Transactions!$F:$F,D44,Transactions!$M:$M,"&gt;0")</f>
        <v/>
      </c>
      <c r="H44" s="9">
        <f>-SUMIFS(Transactions!$M:$M,Transactions!$C:$C,A44,Transactions!$D:$D,B44,Transactions!$E:$E,C44,Transactions!$F:$F,D44,Transactions!$M:$M,"&lt;0")</f>
        <v/>
      </c>
      <c r="I44" s="9">
        <f>SUMIFS(Transactions!$M:$M,Transactions!$C:$C,A44,Transactions!$D:$D,B44,Transactions!$E:$E,C44,Transactions!$F:$F,D44)</f>
        <v/>
      </c>
      <c r="J44">
        <f>IF(E44&gt;0,"PASS","FAIL")</f>
        <v/>
      </c>
    </row>
    <row r="45">
      <c r="A45" t="inlineStr">
        <is>
          <t>Group</t>
        </is>
      </c>
      <c r="B45" t="inlineStr">
        <is>
          <t>Shared Experience</t>
        </is>
      </c>
      <c r="C45" t="inlineStr">
        <is>
          <t>House Party</t>
        </is>
      </c>
      <c r="D45" t="inlineStr">
        <is>
          <t>Drinks</t>
        </is>
      </c>
      <c r="E45">
        <f>COUNTIFS(Transactions!$C:$C,A45,Transactions!$D:$D,B45,Transactions!$E:$E,C45,Transactions!$F:$F,D45)</f>
        <v/>
      </c>
      <c r="F45" s="9">
        <f>SUMIFS(Transactions!$K:$K,Transactions!$C:$C,A45,Transactions!$D:$D,B45,Transactions!$E:$E,C45,Transactions!$F:$F,D45)</f>
        <v/>
      </c>
      <c r="G45" s="9">
        <f>SUMIFS(Transactions!$M:$M,Transactions!$C:$C,A45,Transactions!$D:$D,B45,Transactions!$E:$E,C45,Transactions!$F:$F,D45,Transactions!$M:$M,"&gt;0")</f>
        <v/>
      </c>
      <c r="H45" s="9">
        <f>-SUMIFS(Transactions!$M:$M,Transactions!$C:$C,A45,Transactions!$D:$D,B45,Transactions!$E:$E,C45,Transactions!$F:$F,D45,Transactions!$M:$M,"&lt;0")</f>
        <v/>
      </c>
      <c r="I45" s="9">
        <f>SUMIFS(Transactions!$M:$M,Transactions!$C:$C,A45,Transactions!$D:$D,B45,Transactions!$E:$E,C45,Transactions!$F:$F,D45)</f>
        <v/>
      </c>
      <c r="J45">
        <f>IF(E45&gt;0,"PASS","FAIL")</f>
        <v/>
      </c>
    </row>
    <row r="46">
      <c r="A46" t="inlineStr">
        <is>
          <t>Group</t>
        </is>
      </c>
      <c r="B46" t="inlineStr">
        <is>
          <t>Shared Experience</t>
        </is>
      </c>
      <c r="C46" t="inlineStr">
        <is>
          <t>House Party</t>
        </is>
      </c>
      <c r="D46" t="inlineStr">
        <is>
          <t>Decor</t>
        </is>
      </c>
      <c r="E46">
        <f>COUNTIFS(Transactions!$C:$C,A46,Transactions!$D:$D,B46,Transactions!$E:$E,C46,Transactions!$F:$F,D46)</f>
        <v/>
      </c>
      <c r="F46" s="9">
        <f>SUMIFS(Transactions!$K:$K,Transactions!$C:$C,A46,Transactions!$D:$D,B46,Transactions!$E:$E,C46,Transactions!$F:$F,D46)</f>
        <v/>
      </c>
      <c r="G46" s="9">
        <f>SUMIFS(Transactions!$M:$M,Transactions!$C:$C,A46,Transactions!$D:$D,B46,Transactions!$E:$E,C46,Transactions!$F:$F,D46,Transactions!$M:$M,"&gt;0")</f>
        <v/>
      </c>
      <c r="H46" s="9">
        <f>-SUMIFS(Transactions!$M:$M,Transactions!$C:$C,A46,Transactions!$D:$D,B46,Transactions!$E:$E,C46,Transactions!$F:$F,D46,Transactions!$M:$M,"&lt;0")</f>
        <v/>
      </c>
      <c r="I46" s="9">
        <f>SUMIFS(Transactions!$M:$M,Transactions!$C:$C,A46,Transactions!$D:$D,B46,Transactions!$E:$E,C46,Transactions!$F:$F,D46)</f>
        <v/>
      </c>
      <c r="J46">
        <f>IF(E46&gt;0,"PASS","FAIL")</f>
        <v/>
      </c>
    </row>
    <row r="47">
      <c r="A47" t="inlineStr">
        <is>
          <t>Group</t>
        </is>
      </c>
      <c r="B47" t="inlineStr">
        <is>
          <t>Shared Experience</t>
        </is>
      </c>
      <c r="C47" t="inlineStr">
        <is>
          <t>House Party</t>
        </is>
      </c>
      <c r="D47" t="inlineStr">
        <is>
          <t>Supplies</t>
        </is>
      </c>
      <c r="E47">
        <f>COUNTIFS(Transactions!$C:$C,A47,Transactions!$D:$D,B47,Transactions!$E:$E,C47,Transactions!$F:$F,D47)</f>
        <v/>
      </c>
      <c r="F47" s="9">
        <f>SUMIFS(Transactions!$K:$K,Transactions!$C:$C,A47,Transactions!$D:$D,B47,Transactions!$E:$E,C47,Transactions!$F:$F,D47)</f>
        <v/>
      </c>
      <c r="G47" s="9">
        <f>SUMIFS(Transactions!$M:$M,Transactions!$C:$C,A47,Transactions!$D:$D,B47,Transactions!$E:$E,C47,Transactions!$F:$F,D47,Transactions!$M:$M,"&gt;0")</f>
        <v/>
      </c>
      <c r="H47" s="9">
        <f>-SUMIFS(Transactions!$M:$M,Transactions!$C:$C,A47,Transactions!$D:$D,B47,Transactions!$E:$E,C47,Transactions!$F:$F,D47,Transactions!$M:$M,"&lt;0")</f>
        <v/>
      </c>
      <c r="I47" s="9">
        <f>SUMIFS(Transactions!$M:$M,Transactions!$C:$C,A47,Transactions!$D:$D,B47,Transactions!$E:$E,C47,Transactions!$F:$F,D47)</f>
        <v/>
      </c>
      <c r="J47">
        <f>IF(E47&gt;0,"PASS","FAIL")</f>
        <v/>
      </c>
    </row>
    <row r="48">
      <c r="A48" t="inlineStr">
        <is>
          <t>Group</t>
        </is>
      </c>
      <c r="B48" t="inlineStr">
        <is>
          <t>Shared Experience</t>
        </is>
      </c>
      <c r="C48" t="inlineStr">
        <is>
          <t>House Party</t>
        </is>
      </c>
      <c r="D48" t="inlineStr">
        <is>
          <t>Other</t>
        </is>
      </c>
      <c r="E48">
        <f>COUNTIFS(Transactions!$C:$C,A48,Transactions!$D:$D,B48,Transactions!$E:$E,C48,Transactions!$F:$F,D48)</f>
        <v/>
      </c>
      <c r="F48" s="9">
        <f>SUMIFS(Transactions!$K:$K,Transactions!$C:$C,A48,Transactions!$D:$D,B48,Transactions!$E:$E,C48,Transactions!$F:$F,D48)</f>
        <v/>
      </c>
      <c r="G48" s="9">
        <f>SUMIFS(Transactions!$M:$M,Transactions!$C:$C,A48,Transactions!$D:$D,B48,Transactions!$E:$E,C48,Transactions!$F:$F,D48,Transactions!$M:$M,"&gt;0")</f>
        <v/>
      </c>
      <c r="H48" s="9">
        <f>-SUMIFS(Transactions!$M:$M,Transactions!$C:$C,A48,Transactions!$D:$D,B48,Transactions!$E:$E,C48,Transactions!$F:$F,D48,Transactions!$M:$M,"&lt;0")</f>
        <v/>
      </c>
      <c r="I48" s="9">
        <f>SUMIFS(Transactions!$M:$M,Transactions!$C:$C,A48,Transactions!$D:$D,B48,Transactions!$E:$E,C48,Transactions!$F:$F,D48)</f>
        <v/>
      </c>
      <c r="J48">
        <f>IF(E48&gt;0,"PASS","FAIL")</f>
        <v/>
      </c>
    </row>
    <row r="49">
      <c r="A49" t="inlineStr">
        <is>
          <t>Group</t>
        </is>
      </c>
      <c r="B49" t="inlineStr">
        <is>
          <t>Shared Purchase</t>
        </is>
      </c>
      <c r="C49" t="inlineStr">
        <is>
          <t>Gift Pool</t>
        </is>
      </c>
      <c r="D49" t="inlineStr">
        <is>
          <t>Contribution</t>
        </is>
      </c>
      <c r="E49">
        <f>COUNTIFS(Transactions!$C:$C,A49,Transactions!$D:$D,B49,Transactions!$E:$E,C49,Transactions!$F:$F,D49)</f>
        <v/>
      </c>
      <c r="F49" s="9">
        <f>SUMIFS(Transactions!$K:$K,Transactions!$C:$C,A49,Transactions!$D:$D,B49,Transactions!$E:$E,C49,Transactions!$F:$F,D49)</f>
        <v/>
      </c>
      <c r="G49" s="9">
        <f>SUMIFS(Transactions!$M:$M,Transactions!$C:$C,A49,Transactions!$D:$D,B49,Transactions!$E:$E,C49,Transactions!$F:$F,D49,Transactions!$M:$M,"&gt;0")</f>
        <v/>
      </c>
      <c r="H49" s="9">
        <f>-SUMIFS(Transactions!$M:$M,Transactions!$C:$C,A49,Transactions!$D:$D,B49,Transactions!$E:$E,C49,Transactions!$F:$F,D49,Transactions!$M:$M,"&lt;0")</f>
        <v/>
      </c>
      <c r="I49" s="9">
        <f>SUMIFS(Transactions!$M:$M,Transactions!$C:$C,A49,Transactions!$D:$D,B49,Transactions!$E:$E,C49,Transactions!$F:$F,D49)</f>
        <v/>
      </c>
      <c r="J49">
        <f>IF(E49&gt;0,"PASS","FAIL")</f>
        <v/>
      </c>
    </row>
    <row r="50">
      <c r="A50" t="inlineStr">
        <is>
          <t>Group</t>
        </is>
      </c>
      <c r="B50" t="inlineStr">
        <is>
          <t>Shared Purchase</t>
        </is>
      </c>
      <c r="C50" t="inlineStr">
        <is>
          <t>Gift Pool</t>
        </is>
      </c>
      <c r="D50" t="inlineStr">
        <is>
          <t>Gift Purchase</t>
        </is>
      </c>
      <c r="E50">
        <f>COUNTIFS(Transactions!$C:$C,A50,Transactions!$D:$D,B50,Transactions!$E:$E,C50,Transactions!$F:$F,D50)</f>
        <v/>
      </c>
      <c r="F50" s="9">
        <f>SUMIFS(Transactions!$K:$K,Transactions!$C:$C,A50,Transactions!$D:$D,B50,Transactions!$E:$E,C50,Transactions!$F:$F,D50)</f>
        <v/>
      </c>
      <c r="G50" s="9">
        <f>SUMIFS(Transactions!$M:$M,Transactions!$C:$C,A50,Transactions!$D:$D,B50,Transactions!$E:$E,C50,Transactions!$F:$F,D50,Transactions!$M:$M,"&gt;0")</f>
        <v/>
      </c>
      <c r="H50" s="9">
        <f>-SUMIFS(Transactions!$M:$M,Transactions!$C:$C,A50,Transactions!$D:$D,B50,Transactions!$E:$E,C50,Transactions!$F:$F,D50,Transactions!$M:$M,"&lt;0")</f>
        <v/>
      </c>
      <c r="I50" s="9">
        <f>SUMIFS(Transactions!$M:$M,Transactions!$C:$C,A50,Transactions!$D:$D,B50,Transactions!$E:$E,C50,Transactions!$F:$F,D50)</f>
        <v/>
      </c>
      <c r="J50">
        <f>IF(E50&gt;0,"PASS","FAIL")</f>
        <v/>
      </c>
    </row>
    <row r="51">
      <c r="A51" t="inlineStr">
        <is>
          <t>Group</t>
        </is>
      </c>
      <c r="B51" t="inlineStr">
        <is>
          <t>Shared Purchase</t>
        </is>
      </c>
      <c r="C51" t="inlineStr">
        <is>
          <t>Gift Pool</t>
        </is>
      </c>
      <c r="D51" t="inlineStr">
        <is>
          <t>Delivery</t>
        </is>
      </c>
      <c r="E51">
        <f>COUNTIFS(Transactions!$C:$C,A51,Transactions!$D:$D,B51,Transactions!$E:$E,C51,Transactions!$F:$F,D51)</f>
        <v/>
      </c>
      <c r="F51" s="9">
        <f>SUMIFS(Transactions!$K:$K,Transactions!$C:$C,A51,Transactions!$D:$D,B51,Transactions!$E:$E,C51,Transactions!$F:$F,D51)</f>
        <v/>
      </c>
      <c r="G51" s="9">
        <f>SUMIFS(Transactions!$M:$M,Transactions!$C:$C,A51,Transactions!$D:$D,B51,Transactions!$E:$E,C51,Transactions!$F:$F,D51,Transactions!$M:$M,"&gt;0")</f>
        <v/>
      </c>
      <c r="H51" s="9">
        <f>-SUMIFS(Transactions!$M:$M,Transactions!$C:$C,A51,Transactions!$D:$D,B51,Transactions!$E:$E,C51,Transactions!$F:$F,D51,Transactions!$M:$M,"&lt;0")</f>
        <v/>
      </c>
      <c r="I51" s="9">
        <f>SUMIFS(Transactions!$M:$M,Transactions!$C:$C,A51,Transactions!$D:$D,B51,Transactions!$E:$E,C51,Transactions!$F:$F,D51)</f>
        <v/>
      </c>
      <c r="J51">
        <f>IF(E51&gt;0,"PASS","FAIL")</f>
        <v/>
      </c>
    </row>
    <row r="52">
      <c r="A52" t="inlineStr">
        <is>
          <t>Group</t>
        </is>
      </c>
      <c r="B52" t="inlineStr">
        <is>
          <t>Shared Purchase</t>
        </is>
      </c>
      <c r="C52" t="inlineStr">
        <is>
          <t>Gift Pool</t>
        </is>
      </c>
      <c r="D52" t="inlineStr">
        <is>
          <t>Other</t>
        </is>
      </c>
      <c r="E52">
        <f>COUNTIFS(Transactions!$C:$C,A52,Transactions!$D:$D,B52,Transactions!$E:$E,C52,Transactions!$F:$F,D52)</f>
        <v/>
      </c>
      <c r="F52" s="9">
        <f>SUMIFS(Transactions!$K:$K,Transactions!$C:$C,A52,Transactions!$D:$D,B52,Transactions!$E:$E,C52,Transactions!$F:$F,D52)</f>
        <v/>
      </c>
      <c r="G52" s="9">
        <f>SUMIFS(Transactions!$M:$M,Transactions!$C:$C,A52,Transactions!$D:$D,B52,Transactions!$E:$E,C52,Transactions!$F:$F,D52,Transactions!$M:$M,"&gt;0")</f>
        <v/>
      </c>
      <c r="H52" s="9">
        <f>-SUMIFS(Transactions!$M:$M,Transactions!$C:$C,A52,Transactions!$D:$D,B52,Transactions!$E:$E,C52,Transactions!$F:$F,D52,Transactions!$M:$M,"&lt;0")</f>
        <v/>
      </c>
      <c r="I52" s="9">
        <f>SUMIFS(Transactions!$M:$M,Transactions!$C:$C,A52,Transactions!$D:$D,B52,Transactions!$E:$E,C52,Transactions!$F:$F,D52)</f>
        <v/>
      </c>
      <c r="J52">
        <f>IF(E52&gt;0,"PASS","FAIL")</f>
        <v/>
      </c>
    </row>
    <row r="53">
      <c r="A53" t="inlineStr">
        <is>
          <t>Group</t>
        </is>
      </c>
      <c r="B53" t="inlineStr">
        <is>
          <t>Shared Purchase</t>
        </is>
      </c>
      <c r="C53" t="inlineStr">
        <is>
          <t>Purchase</t>
        </is>
      </c>
      <c r="D53" t="inlineStr">
        <is>
          <t>Item</t>
        </is>
      </c>
      <c r="E53">
        <f>COUNTIFS(Transactions!$C:$C,A53,Transactions!$D:$D,B53,Transactions!$E:$E,C53,Transactions!$F:$F,D53)</f>
        <v/>
      </c>
      <c r="F53" s="9">
        <f>SUMIFS(Transactions!$K:$K,Transactions!$C:$C,A53,Transactions!$D:$D,B53,Transactions!$E:$E,C53,Transactions!$F:$F,D53)</f>
        <v/>
      </c>
      <c r="G53" s="9">
        <f>SUMIFS(Transactions!$M:$M,Transactions!$C:$C,A53,Transactions!$D:$D,B53,Transactions!$E:$E,C53,Transactions!$F:$F,D53,Transactions!$M:$M,"&gt;0")</f>
        <v/>
      </c>
      <c r="H53" s="9">
        <f>-SUMIFS(Transactions!$M:$M,Transactions!$C:$C,A53,Transactions!$D:$D,B53,Transactions!$E:$E,C53,Transactions!$F:$F,D53,Transactions!$M:$M,"&lt;0")</f>
        <v/>
      </c>
      <c r="I53" s="9">
        <f>SUMIFS(Transactions!$M:$M,Transactions!$C:$C,A53,Transactions!$D:$D,B53,Transactions!$E:$E,C53,Transactions!$F:$F,D53)</f>
        <v/>
      </c>
      <c r="J53">
        <f>IF(E53&gt;0,"PASS","FAIL")</f>
        <v/>
      </c>
    </row>
    <row r="54">
      <c r="A54" t="inlineStr">
        <is>
          <t>Group</t>
        </is>
      </c>
      <c r="B54" t="inlineStr">
        <is>
          <t>Shared Purchase</t>
        </is>
      </c>
      <c r="C54" t="inlineStr">
        <is>
          <t>Purchase</t>
        </is>
      </c>
      <c r="D54" t="inlineStr">
        <is>
          <t>Shipping</t>
        </is>
      </c>
      <c r="E54">
        <f>COUNTIFS(Transactions!$C:$C,A54,Transactions!$D:$D,B54,Transactions!$E:$E,C54,Transactions!$F:$F,D54)</f>
        <v/>
      </c>
      <c r="F54" s="9">
        <f>SUMIFS(Transactions!$K:$K,Transactions!$C:$C,A54,Transactions!$D:$D,B54,Transactions!$E:$E,C54,Transactions!$F:$F,D54)</f>
        <v/>
      </c>
      <c r="G54" s="9">
        <f>SUMIFS(Transactions!$M:$M,Transactions!$C:$C,A54,Transactions!$D:$D,B54,Transactions!$E:$E,C54,Transactions!$F:$F,D54,Transactions!$M:$M,"&gt;0")</f>
        <v/>
      </c>
      <c r="H54" s="9">
        <f>-SUMIFS(Transactions!$M:$M,Transactions!$C:$C,A54,Transactions!$D:$D,B54,Transactions!$E:$E,C54,Transactions!$F:$F,D54,Transactions!$M:$M,"&lt;0")</f>
        <v/>
      </c>
      <c r="I54" s="9">
        <f>SUMIFS(Transactions!$M:$M,Transactions!$C:$C,A54,Transactions!$D:$D,B54,Transactions!$E:$E,C54,Transactions!$F:$F,D54)</f>
        <v/>
      </c>
      <c r="J54">
        <f>IF(E54&gt;0,"PASS","FAIL")</f>
        <v/>
      </c>
    </row>
    <row r="55">
      <c r="A55" t="inlineStr">
        <is>
          <t>Group</t>
        </is>
      </c>
      <c r="B55" t="inlineStr">
        <is>
          <t>Shared Purchase</t>
        </is>
      </c>
      <c r="C55" t="inlineStr">
        <is>
          <t>Purchase</t>
        </is>
      </c>
      <c r="D55" t="inlineStr">
        <is>
          <t>Tax</t>
        </is>
      </c>
      <c r="E55">
        <f>COUNTIFS(Transactions!$C:$C,A55,Transactions!$D:$D,B55,Transactions!$E:$E,C55,Transactions!$F:$F,D55)</f>
        <v/>
      </c>
      <c r="F55" s="9">
        <f>SUMIFS(Transactions!$K:$K,Transactions!$C:$C,A55,Transactions!$D:$D,B55,Transactions!$E:$E,C55,Transactions!$F:$F,D55)</f>
        <v/>
      </c>
      <c r="G55" s="9">
        <f>SUMIFS(Transactions!$M:$M,Transactions!$C:$C,A55,Transactions!$D:$D,B55,Transactions!$E:$E,C55,Transactions!$F:$F,D55,Transactions!$M:$M,"&gt;0")</f>
        <v/>
      </c>
      <c r="H55" s="9">
        <f>-SUMIFS(Transactions!$M:$M,Transactions!$C:$C,A55,Transactions!$D:$D,B55,Transactions!$E:$E,C55,Transactions!$F:$F,D55,Transactions!$M:$M,"&lt;0")</f>
        <v/>
      </c>
      <c r="I55" s="9">
        <f>SUMIFS(Transactions!$M:$M,Transactions!$C:$C,A55,Transactions!$D:$D,B55,Transactions!$E:$E,C55,Transactions!$F:$F,D55)</f>
        <v/>
      </c>
      <c r="J55">
        <f>IF(E55&gt;0,"PASS","FAIL")</f>
        <v/>
      </c>
    </row>
    <row r="56">
      <c r="A56" t="inlineStr">
        <is>
          <t>Group</t>
        </is>
      </c>
      <c r="B56" t="inlineStr">
        <is>
          <t>Shared Purchase</t>
        </is>
      </c>
      <c r="C56" t="inlineStr">
        <is>
          <t>Purchase</t>
        </is>
      </c>
      <c r="D56" t="inlineStr">
        <is>
          <t>Other</t>
        </is>
      </c>
      <c r="E56">
        <f>COUNTIFS(Transactions!$C:$C,A56,Transactions!$D:$D,B56,Transactions!$E:$E,C56,Transactions!$F:$F,D56)</f>
        <v/>
      </c>
      <c r="F56" s="9">
        <f>SUMIFS(Transactions!$K:$K,Transactions!$C:$C,A56,Transactions!$D:$D,B56,Transactions!$E:$E,C56,Transactions!$F:$F,D56)</f>
        <v/>
      </c>
      <c r="G56" s="9">
        <f>SUMIFS(Transactions!$M:$M,Transactions!$C:$C,A56,Transactions!$D:$D,B56,Transactions!$E:$E,C56,Transactions!$F:$F,D56,Transactions!$M:$M,"&gt;0")</f>
        <v/>
      </c>
      <c r="H56" s="9">
        <f>-SUMIFS(Transactions!$M:$M,Transactions!$C:$C,A56,Transactions!$D:$D,B56,Transactions!$E:$E,C56,Transactions!$F:$F,D56,Transactions!$M:$M,"&lt;0")</f>
        <v/>
      </c>
      <c r="I56" s="9">
        <f>SUMIFS(Transactions!$M:$M,Transactions!$C:$C,A56,Transactions!$D:$D,B56,Transactions!$E:$E,C56,Transactions!$F:$F,D56)</f>
        <v/>
      </c>
      <c r="J56">
        <f>IF(E56&gt;0,"PASS","FAIL")</f>
        <v/>
      </c>
    </row>
    <row r="57">
      <c r="A57" t="inlineStr">
        <is>
          <t>Group</t>
        </is>
      </c>
      <c r="B57" t="inlineStr">
        <is>
          <t>Shared Purchase</t>
        </is>
      </c>
      <c r="C57" t="inlineStr">
        <is>
          <t>Assets</t>
        </is>
      </c>
      <c r="D57" t="inlineStr">
        <is>
          <t>Purchase</t>
        </is>
      </c>
      <c r="E57">
        <f>COUNTIFS(Transactions!$C:$C,A57,Transactions!$D:$D,B57,Transactions!$E:$E,C57,Transactions!$F:$F,D57)</f>
        <v/>
      </c>
      <c r="F57" s="9">
        <f>SUMIFS(Transactions!$K:$K,Transactions!$C:$C,A57,Transactions!$D:$D,B57,Transactions!$E:$E,C57,Transactions!$F:$F,D57)</f>
        <v/>
      </c>
      <c r="G57" s="9">
        <f>SUMIFS(Transactions!$M:$M,Transactions!$C:$C,A57,Transactions!$D:$D,B57,Transactions!$E:$E,C57,Transactions!$F:$F,D57,Transactions!$M:$M,"&gt;0")</f>
        <v/>
      </c>
      <c r="H57" s="9">
        <f>-SUMIFS(Transactions!$M:$M,Transactions!$C:$C,A57,Transactions!$D:$D,B57,Transactions!$E:$E,C57,Transactions!$F:$F,D57,Transactions!$M:$M,"&lt;0")</f>
        <v/>
      </c>
      <c r="I57" s="9">
        <f>SUMIFS(Transactions!$M:$M,Transactions!$C:$C,A57,Transactions!$D:$D,B57,Transactions!$E:$E,C57,Transactions!$F:$F,D57)</f>
        <v/>
      </c>
      <c r="J57">
        <f>IF(E57&gt;0,"PASS","FAIL")</f>
        <v/>
      </c>
    </row>
    <row r="58">
      <c r="A58" t="inlineStr">
        <is>
          <t>Group</t>
        </is>
      </c>
      <c r="B58" t="inlineStr">
        <is>
          <t>Shared Purchase</t>
        </is>
      </c>
      <c r="C58" t="inlineStr">
        <is>
          <t>Assets</t>
        </is>
      </c>
      <c r="D58" t="inlineStr">
        <is>
          <t>Maintenance</t>
        </is>
      </c>
      <c r="E58">
        <f>COUNTIFS(Transactions!$C:$C,A58,Transactions!$D:$D,B58,Transactions!$E:$E,C58,Transactions!$F:$F,D58)</f>
        <v/>
      </c>
      <c r="F58" s="9">
        <f>SUMIFS(Transactions!$K:$K,Transactions!$C:$C,A58,Transactions!$D:$D,B58,Transactions!$E:$E,C58,Transactions!$F:$F,D58)</f>
        <v/>
      </c>
      <c r="G58" s="9">
        <f>SUMIFS(Transactions!$M:$M,Transactions!$C:$C,A58,Transactions!$D:$D,B58,Transactions!$E:$E,C58,Transactions!$F:$F,D58,Transactions!$M:$M,"&gt;0")</f>
        <v/>
      </c>
      <c r="H58" s="9">
        <f>-SUMIFS(Transactions!$M:$M,Transactions!$C:$C,A58,Transactions!$D:$D,B58,Transactions!$E:$E,C58,Transactions!$F:$F,D58,Transactions!$M:$M,"&lt;0")</f>
        <v/>
      </c>
      <c r="I58" s="9">
        <f>SUMIFS(Transactions!$M:$M,Transactions!$C:$C,A58,Transactions!$D:$D,B58,Transactions!$E:$E,C58,Transactions!$F:$F,D58)</f>
        <v/>
      </c>
      <c r="J58">
        <f>IF(E58&gt;0,"PASS","FAIL")</f>
        <v/>
      </c>
    </row>
    <row r="59">
      <c r="A59" t="inlineStr">
        <is>
          <t>Group</t>
        </is>
      </c>
      <c r="B59" t="inlineStr">
        <is>
          <t>Shared Purchase</t>
        </is>
      </c>
      <c r="C59" t="inlineStr">
        <is>
          <t>Assets</t>
        </is>
      </c>
      <c r="D59" t="inlineStr">
        <is>
          <t>Repair</t>
        </is>
      </c>
      <c r="E59">
        <f>COUNTIFS(Transactions!$C:$C,A59,Transactions!$D:$D,B59,Transactions!$E:$E,C59,Transactions!$F:$F,D59)</f>
        <v/>
      </c>
      <c r="F59" s="9">
        <f>SUMIFS(Transactions!$K:$K,Transactions!$C:$C,A59,Transactions!$D:$D,B59,Transactions!$E:$E,C59,Transactions!$F:$F,D59)</f>
        <v/>
      </c>
      <c r="G59" s="9">
        <f>SUMIFS(Transactions!$M:$M,Transactions!$C:$C,A59,Transactions!$D:$D,B59,Transactions!$E:$E,C59,Transactions!$F:$F,D59,Transactions!$M:$M,"&gt;0")</f>
        <v/>
      </c>
      <c r="H59" s="9">
        <f>-SUMIFS(Transactions!$M:$M,Transactions!$C:$C,A59,Transactions!$D:$D,B59,Transactions!$E:$E,C59,Transactions!$F:$F,D59,Transactions!$M:$M,"&lt;0")</f>
        <v/>
      </c>
      <c r="I59" s="9">
        <f>SUMIFS(Transactions!$M:$M,Transactions!$C:$C,A59,Transactions!$D:$D,B59,Transactions!$E:$E,C59,Transactions!$F:$F,D59)</f>
        <v/>
      </c>
      <c r="J59">
        <f>IF(E59&gt;0,"PASS","FAIL")</f>
        <v/>
      </c>
    </row>
    <row r="60">
      <c r="A60" t="inlineStr">
        <is>
          <t>Group</t>
        </is>
      </c>
      <c r="B60" t="inlineStr">
        <is>
          <t>Shared Purchase</t>
        </is>
      </c>
      <c r="C60" t="inlineStr">
        <is>
          <t>Assets</t>
        </is>
      </c>
      <c r="D60" t="inlineStr">
        <is>
          <t>Insurance</t>
        </is>
      </c>
      <c r="E60">
        <f>COUNTIFS(Transactions!$C:$C,A60,Transactions!$D:$D,B60,Transactions!$E:$E,C60,Transactions!$F:$F,D60)</f>
        <v/>
      </c>
      <c r="F60" s="9">
        <f>SUMIFS(Transactions!$K:$K,Transactions!$C:$C,A60,Transactions!$D:$D,B60,Transactions!$E:$E,C60,Transactions!$F:$F,D60)</f>
        <v/>
      </c>
      <c r="G60" s="9">
        <f>SUMIFS(Transactions!$M:$M,Transactions!$C:$C,A60,Transactions!$D:$D,B60,Transactions!$E:$E,C60,Transactions!$F:$F,D60,Transactions!$M:$M,"&gt;0")</f>
        <v/>
      </c>
      <c r="H60" s="9">
        <f>-SUMIFS(Transactions!$M:$M,Transactions!$C:$C,A60,Transactions!$D:$D,B60,Transactions!$E:$E,C60,Transactions!$F:$F,D60,Transactions!$M:$M,"&lt;0")</f>
        <v/>
      </c>
      <c r="I60" s="9">
        <f>SUMIFS(Transactions!$M:$M,Transactions!$C:$C,A60,Transactions!$D:$D,B60,Transactions!$E:$E,C60,Transactions!$F:$F,D60)</f>
        <v/>
      </c>
      <c r="J60">
        <f>IF(E60&gt;0,"PASS","FAIL")</f>
        <v/>
      </c>
    </row>
    <row r="61">
      <c r="A61" t="inlineStr">
        <is>
          <t>Group</t>
        </is>
      </c>
      <c r="B61" t="inlineStr">
        <is>
          <t>Shared Purchase</t>
        </is>
      </c>
      <c r="C61" t="inlineStr">
        <is>
          <t>Assets</t>
        </is>
      </c>
      <c r="D61" t="inlineStr">
        <is>
          <t>Other</t>
        </is>
      </c>
      <c r="E61">
        <f>COUNTIFS(Transactions!$C:$C,A61,Transactions!$D:$D,B61,Transactions!$E:$E,C61,Transactions!$F:$F,D61)</f>
        <v/>
      </c>
      <c r="F61" s="9">
        <f>SUMIFS(Transactions!$K:$K,Transactions!$C:$C,A61,Transactions!$D:$D,B61,Transactions!$E:$E,C61,Transactions!$F:$F,D61)</f>
        <v/>
      </c>
      <c r="G61" s="9">
        <f>SUMIFS(Transactions!$M:$M,Transactions!$C:$C,A61,Transactions!$D:$D,B61,Transactions!$E:$E,C61,Transactions!$F:$F,D61,Transactions!$M:$M,"&gt;0")</f>
        <v/>
      </c>
      <c r="H61" s="9">
        <f>-SUMIFS(Transactions!$M:$M,Transactions!$C:$C,A61,Transactions!$D:$D,B61,Transactions!$E:$E,C61,Transactions!$F:$F,D61,Transactions!$M:$M,"&lt;0")</f>
        <v/>
      </c>
      <c r="I61" s="9">
        <f>SUMIFS(Transactions!$M:$M,Transactions!$C:$C,A61,Transactions!$D:$D,B61,Transactions!$E:$E,C61,Transactions!$F:$F,D61)</f>
        <v/>
      </c>
      <c r="J61">
        <f>IF(E61&gt;0,"PASS","FAIL")</f>
        <v/>
      </c>
    </row>
    <row r="62">
      <c r="A62" t="inlineStr">
        <is>
          <t>Group</t>
        </is>
      </c>
      <c r="B62" t="inlineStr">
        <is>
          <t>Shared Purchase</t>
        </is>
      </c>
      <c r="C62" t="inlineStr">
        <is>
          <t>Custom Purchase</t>
        </is>
      </c>
      <c r="D62" t="inlineStr">
        <is>
          <t>Custom Expense</t>
        </is>
      </c>
      <c r="E62">
        <f>COUNTIFS(Transactions!$C:$C,A62,Transactions!$D:$D,B62,Transactions!$E:$E,C62,Transactions!$F:$F,D62)</f>
        <v/>
      </c>
      <c r="F62" s="9">
        <f>SUMIFS(Transactions!$K:$K,Transactions!$C:$C,A62,Transactions!$D:$D,B62,Transactions!$E:$E,C62,Transactions!$F:$F,D62)</f>
        <v/>
      </c>
      <c r="G62" s="9">
        <f>SUMIFS(Transactions!$M:$M,Transactions!$C:$C,A62,Transactions!$D:$D,B62,Transactions!$E:$E,C62,Transactions!$F:$F,D62,Transactions!$M:$M,"&gt;0")</f>
        <v/>
      </c>
      <c r="H62" s="9">
        <f>-SUMIFS(Transactions!$M:$M,Transactions!$C:$C,A62,Transactions!$D:$D,B62,Transactions!$E:$E,C62,Transactions!$F:$F,D62,Transactions!$M:$M,"&lt;0")</f>
        <v/>
      </c>
      <c r="I62" s="9">
        <f>SUMIFS(Transactions!$M:$M,Transactions!$C:$C,A62,Transactions!$D:$D,B62,Transactions!$E:$E,C62,Transactions!$F:$F,D62)</f>
        <v/>
      </c>
      <c r="J62">
        <f>IF(E62&gt;0,"PASS","FAIL")</f>
        <v/>
      </c>
    </row>
    <row r="63">
      <c r="A63" t="inlineStr">
        <is>
          <t>Group</t>
        </is>
      </c>
      <c r="B63" t="inlineStr">
        <is>
          <t>Shared Purchase</t>
        </is>
      </c>
      <c r="C63" t="inlineStr">
        <is>
          <t>Custom Purchase</t>
        </is>
      </c>
      <c r="D63" t="inlineStr">
        <is>
          <t>Custom Contribution</t>
        </is>
      </c>
      <c r="E63">
        <f>COUNTIFS(Transactions!$C:$C,A63,Transactions!$D:$D,B63,Transactions!$E:$E,C63,Transactions!$F:$F,D63)</f>
        <v/>
      </c>
      <c r="F63" s="9">
        <f>SUMIFS(Transactions!$K:$K,Transactions!$C:$C,A63,Transactions!$D:$D,B63,Transactions!$E:$E,C63,Transactions!$F:$F,D63)</f>
        <v/>
      </c>
      <c r="G63" s="9">
        <f>SUMIFS(Transactions!$M:$M,Transactions!$C:$C,A63,Transactions!$D:$D,B63,Transactions!$E:$E,C63,Transactions!$F:$F,D63,Transactions!$M:$M,"&gt;0")</f>
        <v/>
      </c>
      <c r="H63" s="9">
        <f>-SUMIFS(Transactions!$M:$M,Transactions!$C:$C,A63,Transactions!$D:$D,B63,Transactions!$E:$E,C63,Transactions!$F:$F,D63,Transactions!$M:$M,"&lt;0")</f>
        <v/>
      </c>
      <c r="I63" s="9">
        <f>SUMIFS(Transactions!$M:$M,Transactions!$C:$C,A63,Transactions!$D:$D,B63,Transactions!$E:$E,C63,Transactions!$F:$F,D63)</f>
        <v/>
      </c>
      <c r="J63">
        <f>IF(E63&gt;0,"PASS","FAIL")</f>
        <v/>
      </c>
    </row>
    <row r="64">
      <c r="A64" t="inlineStr">
        <is>
          <t>Group</t>
        </is>
      </c>
      <c r="B64" t="inlineStr">
        <is>
          <t>Shared Living</t>
        </is>
      </c>
      <c r="C64" t="inlineStr">
        <is>
          <t>Flatmates</t>
        </is>
      </c>
      <c r="D64" t="inlineStr">
        <is>
          <t>Rent</t>
        </is>
      </c>
      <c r="E64">
        <f>COUNTIFS(Transactions!$C:$C,A64,Transactions!$D:$D,B64,Transactions!$E:$E,C64,Transactions!$F:$F,D64)</f>
        <v/>
      </c>
      <c r="F64" s="9">
        <f>SUMIFS(Transactions!$K:$K,Transactions!$C:$C,A64,Transactions!$D:$D,B64,Transactions!$E:$E,C64,Transactions!$F:$F,D64)</f>
        <v/>
      </c>
      <c r="G64" s="9">
        <f>SUMIFS(Transactions!$M:$M,Transactions!$C:$C,A64,Transactions!$D:$D,B64,Transactions!$E:$E,C64,Transactions!$F:$F,D64,Transactions!$M:$M,"&gt;0")</f>
        <v/>
      </c>
      <c r="H64" s="9">
        <f>-SUMIFS(Transactions!$M:$M,Transactions!$C:$C,A64,Transactions!$D:$D,B64,Transactions!$E:$E,C64,Transactions!$F:$F,D64,Transactions!$M:$M,"&lt;0")</f>
        <v/>
      </c>
      <c r="I64" s="9">
        <f>SUMIFS(Transactions!$M:$M,Transactions!$C:$C,A64,Transactions!$D:$D,B64,Transactions!$E:$E,C64,Transactions!$F:$F,D64)</f>
        <v/>
      </c>
      <c r="J64">
        <f>IF(E64&gt;0,"PASS","FAIL")</f>
        <v/>
      </c>
    </row>
    <row r="65">
      <c r="A65" t="inlineStr">
        <is>
          <t>Group</t>
        </is>
      </c>
      <c r="B65" t="inlineStr">
        <is>
          <t>Shared Living</t>
        </is>
      </c>
      <c r="C65" t="inlineStr">
        <is>
          <t>Flatmates</t>
        </is>
      </c>
      <c r="D65" t="inlineStr">
        <is>
          <t>Utilities</t>
        </is>
      </c>
      <c r="E65">
        <f>COUNTIFS(Transactions!$C:$C,A65,Transactions!$D:$D,B65,Transactions!$E:$E,C65,Transactions!$F:$F,D65)</f>
        <v/>
      </c>
      <c r="F65" s="9">
        <f>SUMIFS(Transactions!$K:$K,Transactions!$C:$C,A65,Transactions!$D:$D,B65,Transactions!$E:$E,C65,Transactions!$F:$F,D65)</f>
        <v/>
      </c>
      <c r="G65" s="9">
        <f>SUMIFS(Transactions!$M:$M,Transactions!$C:$C,A65,Transactions!$D:$D,B65,Transactions!$E:$E,C65,Transactions!$F:$F,D65,Transactions!$M:$M,"&gt;0")</f>
        <v/>
      </c>
      <c r="H65" s="9">
        <f>-SUMIFS(Transactions!$M:$M,Transactions!$C:$C,A65,Transactions!$D:$D,B65,Transactions!$E:$E,C65,Transactions!$F:$F,D65,Transactions!$M:$M,"&lt;0")</f>
        <v/>
      </c>
      <c r="I65" s="9">
        <f>SUMIFS(Transactions!$M:$M,Transactions!$C:$C,A65,Transactions!$D:$D,B65,Transactions!$E:$E,C65,Transactions!$F:$F,D65)</f>
        <v/>
      </c>
      <c r="J65">
        <f>IF(E65&gt;0,"PASS","FAIL")</f>
        <v/>
      </c>
    </row>
    <row r="66">
      <c r="A66" t="inlineStr">
        <is>
          <t>Group</t>
        </is>
      </c>
      <c r="B66" t="inlineStr">
        <is>
          <t>Shared Living</t>
        </is>
      </c>
      <c r="C66" t="inlineStr">
        <is>
          <t>Flatmates</t>
        </is>
      </c>
      <c r="D66" t="inlineStr">
        <is>
          <t>Groceries</t>
        </is>
      </c>
      <c r="E66">
        <f>COUNTIFS(Transactions!$C:$C,A66,Transactions!$D:$D,B66,Transactions!$E:$E,C66,Transactions!$F:$F,D66)</f>
        <v/>
      </c>
      <c r="F66" s="9">
        <f>SUMIFS(Transactions!$K:$K,Transactions!$C:$C,A66,Transactions!$D:$D,B66,Transactions!$E:$E,C66,Transactions!$F:$F,D66)</f>
        <v/>
      </c>
      <c r="G66" s="9">
        <f>SUMIFS(Transactions!$M:$M,Transactions!$C:$C,A66,Transactions!$D:$D,B66,Transactions!$E:$E,C66,Transactions!$F:$F,D66,Transactions!$M:$M,"&gt;0")</f>
        <v/>
      </c>
      <c r="H66" s="9">
        <f>-SUMIFS(Transactions!$M:$M,Transactions!$C:$C,A66,Transactions!$D:$D,B66,Transactions!$E:$E,C66,Transactions!$F:$F,D66,Transactions!$M:$M,"&lt;0")</f>
        <v/>
      </c>
      <c r="I66" s="9">
        <f>SUMIFS(Transactions!$M:$M,Transactions!$C:$C,A66,Transactions!$D:$D,B66,Transactions!$E:$E,C66,Transactions!$F:$F,D66)</f>
        <v/>
      </c>
      <c r="J66">
        <f>IF(E66&gt;0,"PASS","FAIL")</f>
        <v/>
      </c>
    </row>
    <row r="67">
      <c r="A67" t="inlineStr">
        <is>
          <t>Group</t>
        </is>
      </c>
      <c r="B67" t="inlineStr">
        <is>
          <t>Shared Living</t>
        </is>
      </c>
      <c r="C67" t="inlineStr">
        <is>
          <t>Flatmates</t>
        </is>
      </c>
      <c r="D67" t="inlineStr">
        <is>
          <t>Internet</t>
        </is>
      </c>
      <c r="E67">
        <f>COUNTIFS(Transactions!$C:$C,A67,Transactions!$D:$D,B67,Transactions!$E:$E,C67,Transactions!$F:$F,D67)</f>
        <v/>
      </c>
      <c r="F67" s="9">
        <f>SUMIFS(Transactions!$K:$K,Transactions!$C:$C,A67,Transactions!$D:$D,B67,Transactions!$E:$E,C67,Transactions!$F:$F,D67)</f>
        <v/>
      </c>
      <c r="G67" s="9">
        <f>SUMIFS(Transactions!$M:$M,Transactions!$C:$C,A67,Transactions!$D:$D,B67,Transactions!$E:$E,C67,Transactions!$F:$F,D67,Transactions!$M:$M,"&gt;0")</f>
        <v/>
      </c>
      <c r="H67" s="9">
        <f>-SUMIFS(Transactions!$M:$M,Transactions!$C:$C,A67,Transactions!$D:$D,B67,Transactions!$E:$E,C67,Transactions!$F:$F,D67,Transactions!$M:$M,"&lt;0")</f>
        <v/>
      </c>
      <c r="I67" s="9">
        <f>SUMIFS(Transactions!$M:$M,Transactions!$C:$C,A67,Transactions!$D:$D,B67,Transactions!$E:$E,C67,Transactions!$F:$F,D67)</f>
        <v/>
      </c>
      <c r="J67">
        <f>IF(E67&gt;0,"PASS","FAIL")</f>
        <v/>
      </c>
    </row>
    <row r="68">
      <c r="A68" t="inlineStr">
        <is>
          <t>Group</t>
        </is>
      </c>
      <c r="B68" t="inlineStr">
        <is>
          <t>Shared Living</t>
        </is>
      </c>
      <c r="C68" t="inlineStr">
        <is>
          <t>Flatmates</t>
        </is>
      </c>
      <c r="D68" t="inlineStr">
        <is>
          <t>House Supplies</t>
        </is>
      </c>
      <c r="E68">
        <f>COUNTIFS(Transactions!$C:$C,A68,Transactions!$D:$D,B68,Transactions!$E:$E,C68,Transactions!$F:$F,D68)</f>
        <v/>
      </c>
      <c r="F68" s="9">
        <f>SUMIFS(Transactions!$K:$K,Transactions!$C:$C,A68,Transactions!$D:$D,B68,Transactions!$E:$E,C68,Transactions!$F:$F,D68)</f>
        <v/>
      </c>
      <c r="G68" s="9">
        <f>SUMIFS(Transactions!$M:$M,Transactions!$C:$C,A68,Transactions!$D:$D,B68,Transactions!$E:$E,C68,Transactions!$F:$F,D68,Transactions!$M:$M,"&gt;0")</f>
        <v/>
      </c>
      <c r="H68" s="9">
        <f>-SUMIFS(Transactions!$M:$M,Transactions!$C:$C,A68,Transactions!$D:$D,B68,Transactions!$E:$E,C68,Transactions!$F:$F,D68,Transactions!$M:$M,"&lt;0")</f>
        <v/>
      </c>
      <c r="I68" s="9">
        <f>SUMIFS(Transactions!$M:$M,Transactions!$C:$C,A68,Transactions!$D:$D,B68,Transactions!$E:$E,C68,Transactions!$F:$F,D68)</f>
        <v/>
      </c>
      <c r="J68">
        <f>IF(E68&gt;0,"PASS","FAIL")</f>
        <v/>
      </c>
    </row>
    <row r="69">
      <c r="A69" t="inlineStr">
        <is>
          <t>Group</t>
        </is>
      </c>
      <c r="B69" t="inlineStr">
        <is>
          <t>Shared Living</t>
        </is>
      </c>
      <c r="C69" t="inlineStr">
        <is>
          <t>Flatmates</t>
        </is>
      </c>
      <c r="D69" t="inlineStr">
        <is>
          <t>Repairs</t>
        </is>
      </c>
      <c r="E69">
        <f>COUNTIFS(Transactions!$C:$C,A69,Transactions!$D:$D,B69,Transactions!$E:$E,C69,Transactions!$F:$F,D69)</f>
        <v/>
      </c>
      <c r="F69" s="9">
        <f>SUMIFS(Transactions!$K:$K,Transactions!$C:$C,A69,Transactions!$D:$D,B69,Transactions!$E:$E,C69,Transactions!$F:$F,D69)</f>
        <v/>
      </c>
      <c r="G69" s="9">
        <f>SUMIFS(Transactions!$M:$M,Transactions!$C:$C,A69,Transactions!$D:$D,B69,Transactions!$E:$E,C69,Transactions!$F:$F,D69,Transactions!$M:$M,"&gt;0")</f>
        <v/>
      </c>
      <c r="H69" s="9">
        <f>-SUMIFS(Transactions!$M:$M,Transactions!$C:$C,A69,Transactions!$D:$D,B69,Transactions!$E:$E,C69,Transactions!$F:$F,D69,Transactions!$M:$M,"&lt;0")</f>
        <v/>
      </c>
      <c r="I69" s="9">
        <f>SUMIFS(Transactions!$M:$M,Transactions!$C:$C,A69,Transactions!$D:$D,B69,Transactions!$E:$E,C69,Transactions!$F:$F,D69)</f>
        <v/>
      </c>
      <c r="J69">
        <f>IF(E69&gt;0,"PASS","FAIL")</f>
        <v/>
      </c>
    </row>
    <row r="70">
      <c r="A70" t="inlineStr">
        <is>
          <t>Group</t>
        </is>
      </c>
      <c r="B70" t="inlineStr">
        <is>
          <t>Shared Living</t>
        </is>
      </c>
      <c r="C70" t="inlineStr">
        <is>
          <t>Shared Living</t>
        </is>
      </c>
      <c r="D70" t="inlineStr">
        <is>
          <t>Rent</t>
        </is>
      </c>
      <c r="E70">
        <f>COUNTIFS(Transactions!$C:$C,A70,Transactions!$D:$D,B70,Transactions!$E:$E,C70,Transactions!$F:$F,D70)</f>
        <v/>
      </c>
      <c r="F70" s="9">
        <f>SUMIFS(Transactions!$K:$K,Transactions!$C:$C,A70,Transactions!$D:$D,B70,Transactions!$E:$E,C70,Transactions!$F:$F,D70)</f>
        <v/>
      </c>
      <c r="G70" s="9">
        <f>SUMIFS(Transactions!$M:$M,Transactions!$C:$C,A70,Transactions!$D:$D,B70,Transactions!$E:$E,C70,Transactions!$F:$F,D70,Transactions!$M:$M,"&gt;0")</f>
        <v/>
      </c>
      <c r="H70" s="9">
        <f>-SUMIFS(Transactions!$M:$M,Transactions!$C:$C,A70,Transactions!$D:$D,B70,Transactions!$E:$E,C70,Transactions!$F:$F,D70,Transactions!$M:$M,"&lt;0")</f>
        <v/>
      </c>
      <c r="I70" s="9">
        <f>SUMIFS(Transactions!$M:$M,Transactions!$C:$C,A70,Transactions!$D:$D,B70,Transactions!$E:$E,C70,Transactions!$F:$F,D70)</f>
        <v/>
      </c>
      <c r="J70">
        <f>IF(E70&gt;0,"PASS","FAIL")</f>
        <v/>
      </c>
    </row>
    <row r="71">
      <c r="A71" t="inlineStr">
        <is>
          <t>Group</t>
        </is>
      </c>
      <c r="B71" t="inlineStr">
        <is>
          <t>Shared Living</t>
        </is>
      </c>
      <c r="C71" t="inlineStr">
        <is>
          <t>Shared Living</t>
        </is>
      </c>
      <c r="D71" t="inlineStr">
        <is>
          <t>Utilities</t>
        </is>
      </c>
      <c r="E71">
        <f>COUNTIFS(Transactions!$C:$C,A71,Transactions!$D:$D,B71,Transactions!$E:$E,C71,Transactions!$F:$F,D71)</f>
        <v/>
      </c>
      <c r="F71" s="9">
        <f>SUMIFS(Transactions!$K:$K,Transactions!$C:$C,A71,Transactions!$D:$D,B71,Transactions!$E:$E,C71,Transactions!$F:$F,D71)</f>
        <v/>
      </c>
      <c r="G71" s="9">
        <f>SUMIFS(Transactions!$M:$M,Transactions!$C:$C,A71,Transactions!$D:$D,B71,Transactions!$E:$E,C71,Transactions!$F:$F,D71,Transactions!$M:$M,"&gt;0")</f>
        <v/>
      </c>
      <c r="H71" s="9">
        <f>-SUMIFS(Transactions!$M:$M,Transactions!$C:$C,A71,Transactions!$D:$D,B71,Transactions!$E:$E,C71,Transactions!$F:$F,D71,Transactions!$M:$M,"&lt;0")</f>
        <v/>
      </c>
      <c r="I71" s="9">
        <f>SUMIFS(Transactions!$M:$M,Transactions!$C:$C,A71,Transactions!$D:$D,B71,Transactions!$E:$E,C71,Transactions!$F:$F,D71)</f>
        <v/>
      </c>
      <c r="J71">
        <f>IF(E71&gt;0,"PASS","FAIL")</f>
        <v/>
      </c>
    </row>
    <row r="72">
      <c r="A72" t="inlineStr">
        <is>
          <t>Group</t>
        </is>
      </c>
      <c r="B72" t="inlineStr">
        <is>
          <t>Shared Living</t>
        </is>
      </c>
      <c r="C72" t="inlineStr">
        <is>
          <t>Shared Living</t>
        </is>
      </c>
      <c r="D72" t="inlineStr">
        <is>
          <t>Groceries</t>
        </is>
      </c>
      <c r="E72">
        <f>COUNTIFS(Transactions!$C:$C,A72,Transactions!$D:$D,B72,Transactions!$E:$E,C72,Transactions!$F:$F,D72)</f>
        <v/>
      </c>
      <c r="F72" s="9">
        <f>SUMIFS(Transactions!$K:$K,Transactions!$C:$C,A72,Transactions!$D:$D,B72,Transactions!$E:$E,C72,Transactions!$F:$F,D72)</f>
        <v/>
      </c>
      <c r="G72" s="9">
        <f>SUMIFS(Transactions!$M:$M,Transactions!$C:$C,A72,Transactions!$D:$D,B72,Transactions!$E:$E,C72,Transactions!$F:$F,D72,Transactions!$M:$M,"&gt;0")</f>
        <v/>
      </c>
      <c r="H72" s="9">
        <f>-SUMIFS(Transactions!$M:$M,Transactions!$C:$C,A72,Transactions!$D:$D,B72,Transactions!$E:$E,C72,Transactions!$F:$F,D72,Transactions!$M:$M,"&lt;0")</f>
        <v/>
      </c>
      <c r="I72" s="9">
        <f>SUMIFS(Transactions!$M:$M,Transactions!$C:$C,A72,Transactions!$D:$D,B72,Transactions!$E:$E,C72,Transactions!$F:$F,D72)</f>
        <v/>
      </c>
      <c r="J72">
        <f>IF(E72&gt;0,"PASS","FAIL")</f>
        <v/>
      </c>
    </row>
    <row r="73">
      <c r="A73" t="inlineStr">
        <is>
          <t>Group</t>
        </is>
      </c>
      <c r="B73" t="inlineStr">
        <is>
          <t>Shared Living</t>
        </is>
      </c>
      <c r="C73" t="inlineStr">
        <is>
          <t>Shared Living</t>
        </is>
      </c>
      <c r="D73" t="inlineStr">
        <is>
          <t>Maintenance</t>
        </is>
      </c>
      <c r="E73">
        <f>COUNTIFS(Transactions!$C:$C,A73,Transactions!$D:$D,B73,Transactions!$E:$E,C73,Transactions!$F:$F,D73)</f>
        <v/>
      </c>
      <c r="F73" s="9">
        <f>SUMIFS(Transactions!$K:$K,Transactions!$C:$C,A73,Transactions!$D:$D,B73,Transactions!$E:$E,C73,Transactions!$F:$F,D73)</f>
        <v/>
      </c>
      <c r="G73" s="9">
        <f>SUMIFS(Transactions!$M:$M,Transactions!$C:$C,A73,Transactions!$D:$D,B73,Transactions!$E:$E,C73,Transactions!$F:$F,D73,Transactions!$M:$M,"&gt;0")</f>
        <v/>
      </c>
      <c r="H73" s="9">
        <f>-SUMIFS(Transactions!$M:$M,Transactions!$C:$C,A73,Transactions!$D:$D,B73,Transactions!$E:$E,C73,Transactions!$F:$F,D73,Transactions!$M:$M,"&lt;0")</f>
        <v/>
      </c>
      <c r="I73" s="9">
        <f>SUMIFS(Transactions!$M:$M,Transactions!$C:$C,A73,Transactions!$D:$D,B73,Transactions!$E:$E,C73,Transactions!$F:$F,D73)</f>
        <v/>
      </c>
      <c r="J73">
        <f>IF(E73&gt;0,"PASS","FAIL")</f>
        <v/>
      </c>
    </row>
    <row r="74">
      <c r="A74" t="inlineStr">
        <is>
          <t>Group</t>
        </is>
      </c>
      <c r="B74" t="inlineStr">
        <is>
          <t>Shared Living</t>
        </is>
      </c>
      <c r="C74" t="inlineStr">
        <is>
          <t>Shared Living</t>
        </is>
      </c>
      <c r="D74" t="inlineStr">
        <is>
          <t>Other</t>
        </is>
      </c>
      <c r="E74">
        <f>COUNTIFS(Transactions!$C:$C,A74,Transactions!$D:$D,B74,Transactions!$E:$E,C74,Transactions!$F:$F,D74)</f>
        <v/>
      </c>
      <c r="F74" s="9">
        <f>SUMIFS(Transactions!$K:$K,Transactions!$C:$C,A74,Transactions!$D:$D,B74,Transactions!$E:$E,C74,Transactions!$F:$F,D74)</f>
        <v/>
      </c>
      <c r="G74" s="9">
        <f>SUMIFS(Transactions!$M:$M,Transactions!$C:$C,A74,Transactions!$D:$D,B74,Transactions!$E:$E,C74,Transactions!$F:$F,D74,Transactions!$M:$M,"&gt;0")</f>
        <v/>
      </c>
      <c r="H74" s="9">
        <f>-SUMIFS(Transactions!$M:$M,Transactions!$C:$C,A74,Transactions!$D:$D,B74,Transactions!$E:$E,C74,Transactions!$F:$F,D74,Transactions!$M:$M,"&lt;0")</f>
        <v/>
      </c>
      <c r="I74" s="9">
        <f>SUMIFS(Transactions!$M:$M,Transactions!$C:$C,A74,Transactions!$D:$D,B74,Transactions!$E:$E,C74,Transactions!$F:$F,D74)</f>
        <v/>
      </c>
      <c r="J74">
        <f>IF(E74&gt;0,"PASS","FAIL")</f>
        <v/>
      </c>
    </row>
    <row r="75">
      <c r="A75" t="inlineStr">
        <is>
          <t>Group</t>
        </is>
      </c>
      <c r="B75" t="inlineStr">
        <is>
          <t>Shared Living</t>
        </is>
      </c>
      <c r="C75" t="inlineStr">
        <is>
          <t>Family Household</t>
        </is>
      </c>
      <c r="D75" t="inlineStr">
        <is>
          <t>Groceries</t>
        </is>
      </c>
      <c r="E75">
        <f>COUNTIFS(Transactions!$C:$C,A75,Transactions!$D:$D,B75,Transactions!$E:$E,C75,Transactions!$F:$F,D75)</f>
        <v/>
      </c>
      <c r="F75" s="9">
        <f>SUMIFS(Transactions!$K:$K,Transactions!$C:$C,A75,Transactions!$D:$D,B75,Transactions!$E:$E,C75,Transactions!$F:$F,D75)</f>
        <v/>
      </c>
      <c r="G75" s="9">
        <f>SUMIFS(Transactions!$M:$M,Transactions!$C:$C,A75,Transactions!$D:$D,B75,Transactions!$E:$E,C75,Transactions!$F:$F,D75,Transactions!$M:$M,"&gt;0")</f>
        <v/>
      </c>
      <c r="H75" s="9">
        <f>-SUMIFS(Transactions!$M:$M,Transactions!$C:$C,A75,Transactions!$D:$D,B75,Transactions!$E:$E,C75,Transactions!$F:$F,D75,Transactions!$M:$M,"&lt;0")</f>
        <v/>
      </c>
      <c r="I75" s="9">
        <f>SUMIFS(Transactions!$M:$M,Transactions!$C:$C,A75,Transactions!$D:$D,B75,Transactions!$E:$E,C75,Transactions!$F:$F,D75)</f>
        <v/>
      </c>
      <c r="J75">
        <f>IF(E75&gt;0,"PASS","FAIL")</f>
        <v/>
      </c>
    </row>
    <row r="76">
      <c r="A76" t="inlineStr">
        <is>
          <t>Group</t>
        </is>
      </c>
      <c r="B76" t="inlineStr">
        <is>
          <t>Shared Living</t>
        </is>
      </c>
      <c r="C76" t="inlineStr">
        <is>
          <t>Family Household</t>
        </is>
      </c>
      <c r="D76" t="inlineStr">
        <is>
          <t>Bills</t>
        </is>
      </c>
      <c r="E76">
        <f>COUNTIFS(Transactions!$C:$C,A76,Transactions!$D:$D,B76,Transactions!$E:$E,C76,Transactions!$F:$F,D76)</f>
        <v/>
      </c>
      <c r="F76" s="9">
        <f>SUMIFS(Transactions!$K:$K,Transactions!$C:$C,A76,Transactions!$D:$D,B76,Transactions!$E:$E,C76,Transactions!$F:$F,D76)</f>
        <v/>
      </c>
      <c r="G76" s="9">
        <f>SUMIFS(Transactions!$M:$M,Transactions!$C:$C,A76,Transactions!$D:$D,B76,Transactions!$E:$E,C76,Transactions!$F:$F,D76,Transactions!$M:$M,"&gt;0")</f>
        <v/>
      </c>
      <c r="H76" s="9">
        <f>-SUMIFS(Transactions!$M:$M,Transactions!$C:$C,A76,Transactions!$D:$D,B76,Transactions!$E:$E,C76,Transactions!$F:$F,D76,Transactions!$M:$M,"&lt;0")</f>
        <v/>
      </c>
      <c r="I76" s="9">
        <f>SUMIFS(Transactions!$M:$M,Transactions!$C:$C,A76,Transactions!$D:$D,B76,Transactions!$E:$E,C76,Transactions!$F:$F,D76)</f>
        <v/>
      </c>
      <c r="J76">
        <f>IF(E76&gt;0,"PASS","FAIL")</f>
        <v/>
      </c>
    </row>
    <row r="77">
      <c r="A77" t="inlineStr">
        <is>
          <t>Group</t>
        </is>
      </c>
      <c r="B77" t="inlineStr">
        <is>
          <t>Shared Living</t>
        </is>
      </c>
      <c r="C77" t="inlineStr">
        <is>
          <t>Family Household</t>
        </is>
      </c>
      <c r="D77" t="inlineStr">
        <is>
          <t>School</t>
        </is>
      </c>
      <c r="E77">
        <f>COUNTIFS(Transactions!$C:$C,A77,Transactions!$D:$D,B77,Transactions!$E:$E,C77,Transactions!$F:$F,D77)</f>
        <v/>
      </c>
      <c r="F77" s="9">
        <f>SUMIFS(Transactions!$K:$K,Transactions!$C:$C,A77,Transactions!$D:$D,B77,Transactions!$E:$E,C77,Transactions!$F:$F,D77)</f>
        <v/>
      </c>
      <c r="G77" s="9">
        <f>SUMIFS(Transactions!$M:$M,Transactions!$C:$C,A77,Transactions!$D:$D,B77,Transactions!$E:$E,C77,Transactions!$F:$F,D77,Transactions!$M:$M,"&gt;0")</f>
        <v/>
      </c>
      <c r="H77" s="9">
        <f>-SUMIFS(Transactions!$M:$M,Transactions!$C:$C,A77,Transactions!$D:$D,B77,Transactions!$E:$E,C77,Transactions!$F:$F,D77,Transactions!$M:$M,"&lt;0")</f>
        <v/>
      </c>
      <c r="I77" s="9">
        <f>SUMIFS(Transactions!$M:$M,Transactions!$C:$C,A77,Transactions!$D:$D,B77,Transactions!$E:$E,C77,Transactions!$F:$F,D77)</f>
        <v/>
      </c>
      <c r="J77">
        <f>IF(E77&gt;0,"PASS","FAIL")</f>
        <v/>
      </c>
    </row>
    <row r="78">
      <c r="A78" t="inlineStr">
        <is>
          <t>Group</t>
        </is>
      </c>
      <c r="B78" t="inlineStr">
        <is>
          <t>Shared Living</t>
        </is>
      </c>
      <c r="C78" t="inlineStr">
        <is>
          <t>Family Household</t>
        </is>
      </c>
      <c r="D78" t="inlineStr">
        <is>
          <t>Healthcare</t>
        </is>
      </c>
      <c r="E78">
        <f>COUNTIFS(Transactions!$C:$C,A78,Transactions!$D:$D,B78,Transactions!$E:$E,C78,Transactions!$F:$F,D78)</f>
        <v/>
      </c>
      <c r="F78" s="9">
        <f>SUMIFS(Transactions!$K:$K,Transactions!$C:$C,A78,Transactions!$D:$D,B78,Transactions!$E:$E,C78,Transactions!$F:$F,D78)</f>
        <v/>
      </c>
      <c r="G78" s="9">
        <f>SUMIFS(Transactions!$M:$M,Transactions!$C:$C,A78,Transactions!$D:$D,B78,Transactions!$E:$E,C78,Transactions!$F:$F,D78,Transactions!$M:$M,"&gt;0")</f>
        <v/>
      </c>
      <c r="H78" s="9">
        <f>-SUMIFS(Transactions!$M:$M,Transactions!$C:$C,A78,Transactions!$D:$D,B78,Transactions!$E:$E,C78,Transactions!$F:$F,D78,Transactions!$M:$M,"&lt;0")</f>
        <v/>
      </c>
      <c r="I78" s="9">
        <f>SUMIFS(Transactions!$M:$M,Transactions!$C:$C,A78,Transactions!$D:$D,B78,Transactions!$E:$E,C78,Transactions!$F:$F,D78)</f>
        <v/>
      </c>
      <c r="J78">
        <f>IF(E78&gt;0,"PASS","FAIL")</f>
        <v/>
      </c>
    </row>
    <row r="79">
      <c r="A79" t="inlineStr">
        <is>
          <t>Group</t>
        </is>
      </c>
      <c r="B79" t="inlineStr">
        <is>
          <t>Shared Living</t>
        </is>
      </c>
      <c r="C79" t="inlineStr">
        <is>
          <t>Family Household</t>
        </is>
      </c>
      <c r="D79" t="inlineStr">
        <is>
          <t>Home</t>
        </is>
      </c>
      <c r="E79">
        <f>COUNTIFS(Transactions!$C:$C,A79,Transactions!$D:$D,B79,Transactions!$E:$E,C79,Transactions!$F:$F,D79)</f>
        <v/>
      </c>
      <c r="F79" s="9">
        <f>SUMIFS(Transactions!$K:$K,Transactions!$C:$C,A79,Transactions!$D:$D,B79,Transactions!$E:$E,C79,Transactions!$F:$F,D79)</f>
        <v/>
      </c>
      <c r="G79" s="9">
        <f>SUMIFS(Transactions!$M:$M,Transactions!$C:$C,A79,Transactions!$D:$D,B79,Transactions!$E:$E,C79,Transactions!$F:$F,D79,Transactions!$M:$M,"&gt;0")</f>
        <v/>
      </c>
      <c r="H79" s="9">
        <f>-SUMIFS(Transactions!$M:$M,Transactions!$C:$C,A79,Transactions!$D:$D,B79,Transactions!$E:$E,C79,Transactions!$F:$F,D79,Transactions!$M:$M,"&lt;0")</f>
        <v/>
      </c>
      <c r="I79" s="9">
        <f>SUMIFS(Transactions!$M:$M,Transactions!$C:$C,A79,Transactions!$D:$D,B79,Transactions!$E:$E,C79,Transactions!$F:$F,D79)</f>
        <v/>
      </c>
      <c r="J79">
        <f>IF(E79&gt;0,"PASS","FAIL")</f>
        <v/>
      </c>
    </row>
    <row r="80">
      <c r="A80" t="inlineStr">
        <is>
          <t>Group</t>
        </is>
      </c>
      <c r="B80" t="inlineStr">
        <is>
          <t>Shared Living</t>
        </is>
      </c>
      <c r="C80" t="inlineStr">
        <is>
          <t>Family Household</t>
        </is>
      </c>
      <c r="D80" t="inlineStr">
        <is>
          <t>Other</t>
        </is>
      </c>
      <c r="E80">
        <f>COUNTIFS(Transactions!$C:$C,A80,Transactions!$D:$D,B80,Transactions!$E:$E,C80,Transactions!$F:$F,D80)</f>
        <v/>
      </c>
      <c r="F80" s="9">
        <f>SUMIFS(Transactions!$K:$K,Transactions!$C:$C,A80,Transactions!$D:$D,B80,Transactions!$E:$E,C80,Transactions!$F:$F,D80)</f>
        <v/>
      </c>
      <c r="G80" s="9">
        <f>SUMIFS(Transactions!$M:$M,Transactions!$C:$C,A80,Transactions!$D:$D,B80,Transactions!$E:$E,C80,Transactions!$F:$F,D80,Transactions!$M:$M,"&gt;0")</f>
        <v/>
      </c>
      <c r="H80" s="9">
        <f>-SUMIFS(Transactions!$M:$M,Transactions!$C:$C,A80,Transactions!$D:$D,B80,Transactions!$E:$E,C80,Transactions!$F:$F,D80,Transactions!$M:$M,"&lt;0")</f>
        <v/>
      </c>
      <c r="I80" s="9">
        <f>SUMIFS(Transactions!$M:$M,Transactions!$C:$C,A80,Transactions!$D:$D,B80,Transactions!$E:$E,C80,Transactions!$F:$F,D80)</f>
        <v/>
      </c>
      <c r="J80">
        <f>IF(E80&gt;0,"PASS","FAIL")</f>
        <v/>
      </c>
    </row>
    <row r="81">
      <c r="A81" t="inlineStr">
        <is>
          <t>Group</t>
        </is>
      </c>
      <c r="B81" t="inlineStr">
        <is>
          <t>Shared Living</t>
        </is>
      </c>
      <c r="C81" t="inlineStr">
        <is>
          <t>Custom Living</t>
        </is>
      </c>
      <c r="D81" t="inlineStr">
        <is>
          <t>Custom Expense</t>
        </is>
      </c>
      <c r="E81">
        <f>COUNTIFS(Transactions!$C:$C,A81,Transactions!$D:$D,B81,Transactions!$E:$E,C81,Transactions!$F:$F,D81)</f>
        <v/>
      </c>
      <c r="F81" s="9">
        <f>SUMIFS(Transactions!$K:$K,Transactions!$C:$C,A81,Transactions!$D:$D,B81,Transactions!$E:$E,C81,Transactions!$F:$F,D81)</f>
        <v/>
      </c>
      <c r="G81" s="9">
        <f>SUMIFS(Transactions!$M:$M,Transactions!$C:$C,A81,Transactions!$D:$D,B81,Transactions!$E:$E,C81,Transactions!$F:$F,D81,Transactions!$M:$M,"&gt;0")</f>
        <v/>
      </c>
      <c r="H81" s="9">
        <f>-SUMIFS(Transactions!$M:$M,Transactions!$C:$C,A81,Transactions!$D:$D,B81,Transactions!$E:$E,C81,Transactions!$F:$F,D81,Transactions!$M:$M,"&lt;0")</f>
        <v/>
      </c>
      <c r="I81" s="9">
        <f>SUMIFS(Transactions!$M:$M,Transactions!$C:$C,A81,Transactions!$D:$D,B81,Transactions!$E:$E,C81,Transactions!$F:$F,D81)</f>
        <v/>
      </c>
      <c r="J81">
        <f>IF(E81&gt;0,"PASS","FAIL")</f>
        <v/>
      </c>
    </row>
    <row r="82">
      <c r="A82" t="inlineStr">
        <is>
          <t>Group</t>
        </is>
      </c>
      <c r="B82" t="inlineStr">
        <is>
          <t>Shared Living</t>
        </is>
      </c>
      <c r="C82" t="inlineStr">
        <is>
          <t>Custom Living</t>
        </is>
      </c>
      <c r="D82" t="inlineStr">
        <is>
          <t>Custom Contribution</t>
        </is>
      </c>
      <c r="E82">
        <f>COUNTIFS(Transactions!$C:$C,A82,Transactions!$D:$D,B82,Transactions!$E:$E,C82,Transactions!$F:$F,D82)</f>
        <v/>
      </c>
      <c r="F82" s="9">
        <f>SUMIFS(Transactions!$K:$K,Transactions!$C:$C,A82,Transactions!$D:$D,B82,Transactions!$E:$E,C82,Transactions!$F:$F,D82)</f>
        <v/>
      </c>
      <c r="G82" s="9">
        <f>SUMIFS(Transactions!$M:$M,Transactions!$C:$C,A82,Transactions!$D:$D,B82,Transactions!$E:$E,C82,Transactions!$F:$F,D82,Transactions!$M:$M,"&gt;0")</f>
        <v/>
      </c>
      <c r="H82" s="9">
        <f>-SUMIFS(Transactions!$M:$M,Transactions!$C:$C,A82,Transactions!$D:$D,B82,Transactions!$E:$E,C82,Transactions!$F:$F,D82,Transactions!$M:$M,"&lt;0")</f>
        <v/>
      </c>
      <c r="I82" s="9">
        <f>SUMIFS(Transactions!$M:$M,Transactions!$C:$C,A82,Transactions!$D:$D,B82,Transactions!$E:$E,C82,Transactions!$F:$F,D82)</f>
        <v/>
      </c>
      <c r="J82">
        <f>IF(E82&gt;0,"PASS","FAIL")</f>
        <v/>
      </c>
    </row>
    <row r="83">
      <c r="A83" t="inlineStr">
        <is>
          <t>Business</t>
        </is>
      </c>
      <c r="B83" t="inlineStr">
        <is>
          <t>Business</t>
        </is>
      </c>
      <c r="C83" t="inlineStr">
        <is>
          <t>Team Operations</t>
        </is>
      </c>
      <c r="D83" t="inlineStr">
        <is>
          <t>Payroll</t>
        </is>
      </c>
      <c r="E83">
        <f>COUNTIFS(Transactions!$C:$C,A83,Transactions!$D:$D,B83,Transactions!$E:$E,C83,Transactions!$F:$F,D83)</f>
        <v/>
      </c>
      <c r="F83" s="9">
        <f>SUMIFS(Transactions!$K:$K,Transactions!$C:$C,A83,Transactions!$D:$D,B83,Transactions!$E:$E,C83,Transactions!$F:$F,D83)</f>
        <v/>
      </c>
      <c r="G83" s="9">
        <f>SUMIFS(Transactions!$M:$M,Transactions!$C:$C,A83,Transactions!$D:$D,B83,Transactions!$E:$E,C83,Transactions!$F:$F,D83,Transactions!$M:$M,"&gt;0")</f>
        <v/>
      </c>
      <c r="H83" s="9">
        <f>-SUMIFS(Transactions!$M:$M,Transactions!$C:$C,A83,Transactions!$D:$D,B83,Transactions!$E:$E,C83,Transactions!$F:$F,D83,Transactions!$M:$M,"&lt;0")</f>
        <v/>
      </c>
      <c r="I83" s="9">
        <f>SUMIFS(Transactions!$M:$M,Transactions!$C:$C,A83,Transactions!$D:$D,B83,Transactions!$E:$E,C83,Transactions!$F:$F,D83)</f>
        <v/>
      </c>
      <c r="J83">
        <f>IF(E83&gt;0,"PASS","FAIL")</f>
        <v/>
      </c>
    </row>
    <row r="84">
      <c r="A84" t="inlineStr">
        <is>
          <t>Business</t>
        </is>
      </c>
      <c r="B84" t="inlineStr">
        <is>
          <t>Business</t>
        </is>
      </c>
      <c r="C84" t="inlineStr">
        <is>
          <t>Team Operations</t>
        </is>
      </c>
      <c r="D84" t="inlineStr">
        <is>
          <t>Contractor</t>
        </is>
      </c>
      <c r="E84">
        <f>COUNTIFS(Transactions!$C:$C,A84,Transactions!$D:$D,B84,Transactions!$E:$E,C84,Transactions!$F:$F,D84)</f>
        <v/>
      </c>
      <c r="F84" s="9">
        <f>SUMIFS(Transactions!$K:$K,Transactions!$C:$C,A84,Transactions!$D:$D,B84,Transactions!$E:$E,C84,Transactions!$F:$F,D84)</f>
        <v/>
      </c>
      <c r="G84" s="9">
        <f>SUMIFS(Transactions!$M:$M,Transactions!$C:$C,A84,Transactions!$D:$D,B84,Transactions!$E:$E,C84,Transactions!$F:$F,D84,Transactions!$M:$M,"&gt;0")</f>
        <v/>
      </c>
      <c r="H84" s="9">
        <f>-SUMIFS(Transactions!$M:$M,Transactions!$C:$C,A84,Transactions!$D:$D,B84,Transactions!$E:$E,C84,Transactions!$F:$F,D84,Transactions!$M:$M,"&lt;0")</f>
        <v/>
      </c>
      <c r="I84" s="9">
        <f>SUMIFS(Transactions!$M:$M,Transactions!$C:$C,A84,Transactions!$D:$D,B84,Transactions!$E:$E,C84,Transactions!$F:$F,D84)</f>
        <v/>
      </c>
      <c r="J84">
        <f>IF(E84&gt;0,"PASS","FAIL")</f>
        <v/>
      </c>
    </row>
    <row r="85">
      <c r="A85" t="inlineStr">
        <is>
          <t>Business</t>
        </is>
      </c>
      <c r="B85" t="inlineStr">
        <is>
          <t>Business</t>
        </is>
      </c>
      <c r="C85" t="inlineStr">
        <is>
          <t>Team Operations</t>
        </is>
      </c>
      <c r="D85" t="inlineStr">
        <is>
          <t>Hiring</t>
        </is>
      </c>
      <c r="E85">
        <f>COUNTIFS(Transactions!$C:$C,A85,Transactions!$D:$D,B85,Transactions!$E:$E,C85,Transactions!$F:$F,D85)</f>
        <v/>
      </c>
      <c r="F85" s="9">
        <f>SUMIFS(Transactions!$K:$K,Transactions!$C:$C,A85,Transactions!$D:$D,B85,Transactions!$E:$E,C85,Transactions!$F:$F,D85)</f>
        <v/>
      </c>
      <c r="G85" s="9">
        <f>SUMIFS(Transactions!$M:$M,Transactions!$C:$C,A85,Transactions!$D:$D,B85,Transactions!$E:$E,C85,Transactions!$F:$F,D85,Transactions!$M:$M,"&gt;0")</f>
        <v/>
      </c>
      <c r="H85" s="9">
        <f>-SUMIFS(Transactions!$M:$M,Transactions!$C:$C,A85,Transactions!$D:$D,B85,Transactions!$E:$E,C85,Transactions!$F:$F,D85,Transactions!$M:$M,"&lt;0")</f>
        <v/>
      </c>
      <c r="I85" s="9">
        <f>SUMIFS(Transactions!$M:$M,Transactions!$C:$C,A85,Transactions!$D:$D,B85,Transactions!$E:$E,C85,Transactions!$F:$F,D85)</f>
        <v/>
      </c>
      <c r="J85">
        <f>IF(E85&gt;0,"PASS","FAIL")</f>
        <v/>
      </c>
    </row>
    <row r="86">
      <c r="A86" t="inlineStr">
        <is>
          <t>Business</t>
        </is>
      </c>
      <c r="B86" t="inlineStr">
        <is>
          <t>Business</t>
        </is>
      </c>
      <c r="C86" t="inlineStr">
        <is>
          <t>Team Operations</t>
        </is>
      </c>
      <c r="D86" t="inlineStr">
        <is>
          <t>Team Meal</t>
        </is>
      </c>
      <c r="E86">
        <f>COUNTIFS(Transactions!$C:$C,A86,Transactions!$D:$D,B86,Transactions!$E:$E,C86,Transactions!$F:$F,D86)</f>
        <v/>
      </c>
      <c r="F86" s="9">
        <f>SUMIFS(Transactions!$K:$K,Transactions!$C:$C,A86,Transactions!$D:$D,B86,Transactions!$E:$E,C86,Transactions!$F:$F,D86)</f>
        <v/>
      </c>
      <c r="G86" s="9">
        <f>SUMIFS(Transactions!$M:$M,Transactions!$C:$C,A86,Transactions!$D:$D,B86,Transactions!$E:$E,C86,Transactions!$F:$F,D86,Transactions!$M:$M,"&gt;0")</f>
        <v/>
      </c>
      <c r="H86" s="9">
        <f>-SUMIFS(Transactions!$M:$M,Transactions!$C:$C,A86,Transactions!$D:$D,B86,Transactions!$E:$E,C86,Transactions!$F:$F,D86,Transactions!$M:$M,"&lt;0")</f>
        <v/>
      </c>
      <c r="I86" s="9">
        <f>SUMIFS(Transactions!$M:$M,Transactions!$C:$C,A86,Transactions!$D:$D,B86,Transactions!$E:$E,C86,Transactions!$F:$F,D86)</f>
        <v/>
      </c>
      <c r="J86">
        <f>IF(E86&gt;0,"PASS","FAIL")</f>
        <v/>
      </c>
    </row>
    <row r="87">
      <c r="A87" t="inlineStr">
        <is>
          <t>Business</t>
        </is>
      </c>
      <c r="B87" t="inlineStr">
        <is>
          <t>Business</t>
        </is>
      </c>
      <c r="C87" t="inlineStr">
        <is>
          <t>Team Operations</t>
        </is>
      </c>
      <c r="D87" t="inlineStr">
        <is>
          <t>Travel</t>
        </is>
      </c>
      <c r="E87">
        <f>COUNTIFS(Transactions!$C:$C,A87,Transactions!$D:$D,B87,Transactions!$E:$E,C87,Transactions!$F:$F,D87)</f>
        <v/>
      </c>
      <c r="F87" s="9">
        <f>SUMIFS(Transactions!$K:$K,Transactions!$C:$C,A87,Transactions!$D:$D,B87,Transactions!$E:$E,C87,Transactions!$F:$F,D87)</f>
        <v/>
      </c>
      <c r="G87" s="9">
        <f>SUMIFS(Transactions!$M:$M,Transactions!$C:$C,A87,Transactions!$D:$D,B87,Transactions!$E:$E,C87,Transactions!$F:$F,D87,Transactions!$M:$M,"&gt;0")</f>
        <v/>
      </c>
      <c r="H87" s="9">
        <f>-SUMIFS(Transactions!$M:$M,Transactions!$C:$C,A87,Transactions!$D:$D,B87,Transactions!$E:$E,C87,Transactions!$F:$F,D87,Transactions!$M:$M,"&lt;0")</f>
        <v/>
      </c>
      <c r="I87" s="9">
        <f>SUMIFS(Transactions!$M:$M,Transactions!$C:$C,A87,Transactions!$D:$D,B87,Transactions!$E:$E,C87,Transactions!$F:$F,D87)</f>
        <v/>
      </c>
      <c r="J87">
        <f>IF(E87&gt;0,"PASS","FAIL")</f>
        <v/>
      </c>
    </row>
    <row r="88">
      <c r="A88" t="inlineStr">
        <is>
          <t>Business</t>
        </is>
      </c>
      <c r="B88" t="inlineStr">
        <is>
          <t>Business</t>
        </is>
      </c>
      <c r="C88" t="inlineStr">
        <is>
          <t>Team Operations</t>
        </is>
      </c>
      <c r="D88" t="inlineStr">
        <is>
          <t>Training</t>
        </is>
      </c>
      <c r="E88">
        <f>COUNTIFS(Transactions!$C:$C,A88,Transactions!$D:$D,B88,Transactions!$E:$E,C88,Transactions!$F:$F,D88)</f>
        <v/>
      </c>
      <c r="F88" s="9">
        <f>SUMIFS(Transactions!$K:$K,Transactions!$C:$C,A88,Transactions!$D:$D,B88,Transactions!$E:$E,C88,Transactions!$F:$F,D88)</f>
        <v/>
      </c>
      <c r="G88" s="9">
        <f>SUMIFS(Transactions!$M:$M,Transactions!$C:$C,A88,Transactions!$D:$D,B88,Transactions!$E:$E,C88,Transactions!$F:$F,D88,Transactions!$M:$M,"&gt;0")</f>
        <v/>
      </c>
      <c r="H88" s="9">
        <f>-SUMIFS(Transactions!$M:$M,Transactions!$C:$C,A88,Transactions!$D:$D,B88,Transactions!$E:$E,C88,Transactions!$F:$F,D88,Transactions!$M:$M,"&lt;0")</f>
        <v/>
      </c>
      <c r="I88" s="9">
        <f>SUMIFS(Transactions!$M:$M,Transactions!$C:$C,A88,Transactions!$D:$D,B88,Transactions!$E:$E,C88,Transactions!$F:$F,D88)</f>
        <v/>
      </c>
      <c r="J88">
        <f>IF(E88&gt;0,"PASS","FAIL")</f>
        <v/>
      </c>
    </row>
    <row r="89">
      <c r="A89" t="inlineStr">
        <is>
          <t>Business</t>
        </is>
      </c>
      <c r="B89" t="inlineStr">
        <is>
          <t>Business</t>
        </is>
      </c>
      <c r="C89" t="inlineStr">
        <is>
          <t>Team Operations</t>
        </is>
      </c>
      <c r="D89" t="inlineStr">
        <is>
          <t>Tools</t>
        </is>
      </c>
      <c r="E89">
        <f>COUNTIFS(Transactions!$C:$C,A89,Transactions!$D:$D,B89,Transactions!$E:$E,C89,Transactions!$F:$F,D89)</f>
        <v/>
      </c>
      <c r="F89" s="9">
        <f>SUMIFS(Transactions!$K:$K,Transactions!$C:$C,A89,Transactions!$D:$D,B89,Transactions!$E:$E,C89,Transactions!$F:$F,D89)</f>
        <v/>
      </c>
      <c r="G89" s="9">
        <f>SUMIFS(Transactions!$M:$M,Transactions!$C:$C,A89,Transactions!$D:$D,B89,Transactions!$E:$E,C89,Transactions!$F:$F,D89,Transactions!$M:$M,"&gt;0")</f>
        <v/>
      </c>
      <c r="H89" s="9">
        <f>-SUMIFS(Transactions!$M:$M,Transactions!$C:$C,A89,Transactions!$D:$D,B89,Transactions!$E:$E,C89,Transactions!$F:$F,D89,Transactions!$M:$M,"&lt;0")</f>
        <v/>
      </c>
      <c r="I89" s="9">
        <f>SUMIFS(Transactions!$M:$M,Transactions!$C:$C,A89,Transactions!$D:$D,B89,Transactions!$E:$E,C89,Transactions!$F:$F,D89)</f>
        <v/>
      </c>
      <c r="J89">
        <f>IF(E89&gt;0,"PASS","FAIL")</f>
        <v/>
      </c>
    </row>
    <row r="90">
      <c r="A90" t="inlineStr">
        <is>
          <t>Business</t>
        </is>
      </c>
      <c r="B90" t="inlineStr">
        <is>
          <t>Business</t>
        </is>
      </c>
      <c r="C90" t="inlineStr">
        <is>
          <t>Business Runway</t>
        </is>
      </c>
      <c r="D90" t="inlineStr">
        <is>
          <t>Funding</t>
        </is>
      </c>
      <c r="E90">
        <f>COUNTIFS(Transactions!$C:$C,A90,Transactions!$D:$D,B90,Transactions!$E:$E,C90,Transactions!$F:$F,D90)</f>
        <v/>
      </c>
      <c r="F90" s="9">
        <f>SUMIFS(Transactions!$K:$K,Transactions!$C:$C,A90,Transactions!$D:$D,B90,Transactions!$E:$E,C90,Transactions!$F:$F,D90)</f>
        <v/>
      </c>
      <c r="G90" s="9">
        <f>SUMIFS(Transactions!$M:$M,Transactions!$C:$C,A90,Transactions!$D:$D,B90,Transactions!$E:$E,C90,Transactions!$F:$F,D90,Transactions!$M:$M,"&gt;0")</f>
        <v/>
      </c>
      <c r="H90" s="9">
        <f>-SUMIFS(Transactions!$M:$M,Transactions!$C:$C,A90,Transactions!$D:$D,B90,Transactions!$E:$E,C90,Transactions!$F:$F,D90,Transactions!$M:$M,"&lt;0")</f>
        <v/>
      </c>
      <c r="I90" s="9">
        <f>SUMIFS(Transactions!$M:$M,Transactions!$C:$C,A90,Transactions!$D:$D,B90,Transactions!$E:$E,C90,Transactions!$F:$F,D90)</f>
        <v/>
      </c>
      <c r="J90">
        <f>IF(E90&gt;0,"PASS","FAIL")</f>
        <v/>
      </c>
    </row>
    <row r="91">
      <c r="A91" t="inlineStr">
        <is>
          <t>Business</t>
        </is>
      </c>
      <c r="B91" t="inlineStr">
        <is>
          <t>Business</t>
        </is>
      </c>
      <c r="C91" t="inlineStr">
        <is>
          <t>Business Runway</t>
        </is>
      </c>
      <c r="D91" t="inlineStr">
        <is>
          <t>Revenue</t>
        </is>
      </c>
      <c r="E91">
        <f>COUNTIFS(Transactions!$C:$C,A91,Transactions!$D:$D,B91,Transactions!$E:$E,C91,Transactions!$F:$F,D91)</f>
        <v/>
      </c>
      <c r="F91" s="9">
        <f>SUMIFS(Transactions!$K:$K,Transactions!$C:$C,A91,Transactions!$D:$D,B91,Transactions!$E:$E,C91,Transactions!$F:$F,D91)</f>
        <v/>
      </c>
      <c r="G91" s="9">
        <f>SUMIFS(Transactions!$M:$M,Transactions!$C:$C,A91,Transactions!$D:$D,B91,Transactions!$E:$E,C91,Transactions!$F:$F,D91,Transactions!$M:$M,"&gt;0")</f>
        <v/>
      </c>
      <c r="H91" s="9">
        <f>-SUMIFS(Transactions!$M:$M,Transactions!$C:$C,A91,Transactions!$D:$D,B91,Transactions!$E:$E,C91,Transactions!$F:$F,D91,Transactions!$M:$M,"&lt;0")</f>
        <v/>
      </c>
      <c r="I91" s="9">
        <f>SUMIFS(Transactions!$M:$M,Transactions!$C:$C,A91,Transactions!$D:$D,B91,Transactions!$E:$E,C91,Transactions!$F:$F,D91)</f>
        <v/>
      </c>
      <c r="J91">
        <f>IF(E91&gt;0,"PASS","FAIL")</f>
        <v/>
      </c>
    </row>
    <row r="92">
      <c r="A92" t="inlineStr">
        <is>
          <t>Business</t>
        </is>
      </c>
      <c r="B92" t="inlineStr">
        <is>
          <t>Business</t>
        </is>
      </c>
      <c r="C92" t="inlineStr">
        <is>
          <t>Business Runway</t>
        </is>
      </c>
      <c r="D92" t="inlineStr">
        <is>
          <t>Burn</t>
        </is>
      </c>
      <c r="E92">
        <f>COUNTIFS(Transactions!$C:$C,A92,Transactions!$D:$D,B92,Transactions!$E:$E,C92,Transactions!$F:$F,D92)</f>
        <v/>
      </c>
      <c r="F92" s="9">
        <f>SUMIFS(Transactions!$K:$K,Transactions!$C:$C,A92,Transactions!$D:$D,B92,Transactions!$E:$E,C92,Transactions!$F:$F,D92)</f>
        <v/>
      </c>
      <c r="G92" s="9">
        <f>SUMIFS(Transactions!$M:$M,Transactions!$C:$C,A92,Transactions!$D:$D,B92,Transactions!$E:$E,C92,Transactions!$F:$F,D92,Transactions!$M:$M,"&gt;0")</f>
        <v/>
      </c>
      <c r="H92" s="9">
        <f>-SUMIFS(Transactions!$M:$M,Transactions!$C:$C,A92,Transactions!$D:$D,B92,Transactions!$E:$E,C92,Transactions!$F:$F,D92,Transactions!$M:$M,"&lt;0")</f>
        <v/>
      </c>
      <c r="I92" s="9">
        <f>SUMIFS(Transactions!$M:$M,Transactions!$C:$C,A92,Transactions!$D:$D,B92,Transactions!$E:$E,C92,Transactions!$F:$F,D92)</f>
        <v/>
      </c>
      <c r="J92">
        <f>IF(E92&gt;0,"PASS","FAIL")</f>
        <v/>
      </c>
    </row>
    <row r="93">
      <c r="A93" t="inlineStr">
        <is>
          <t>Business</t>
        </is>
      </c>
      <c r="B93" t="inlineStr">
        <is>
          <t>Business</t>
        </is>
      </c>
      <c r="C93" t="inlineStr">
        <is>
          <t>Business Runway</t>
        </is>
      </c>
      <c r="D93" t="inlineStr">
        <is>
          <t>Reserve</t>
        </is>
      </c>
      <c r="E93">
        <f>COUNTIFS(Transactions!$C:$C,A93,Transactions!$D:$D,B93,Transactions!$E:$E,C93,Transactions!$F:$F,D93)</f>
        <v/>
      </c>
      <c r="F93" s="9">
        <f>SUMIFS(Transactions!$K:$K,Transactions!$C:$C,A93,Transactions!$D:$D,B93,Transactions!$E:$E,C93,Transactions!$F:$F,D93)</f>
        <v/>
      </c>
      <c r="G93" s="9">
        <f>SUMIFS(Transactions!$M:$M,Transactions!$C:$C,A93,Transactions!$D:$D,B93,Transactions!$E:$E,C93,Transactions!$F:$F,D93,Transactions!$M:$M,"&gt;0")</f>
        <v/>
      </c>
      <c r="H93" s="9">
        <f>-SUMIFS(Transactions!$M:$M,Transactions!$C:$C,A93,Transactions!$D:$D,B93,Transactions!$E:$E,C93,Transactions!$F:$F,D93,Transactions!$M:$M,"&lt;0")</f>
        <v/>
      </c>
      <c r="I93" s="9">
        <f>SUMIFS(Transactions!$M:$M,Transactions!$C:$C,A93,Transactions!$D:$D,B93,Transactions!$E:$E,C93,Transactions!$F:$F,D93)</f>
        <v/>
      </c>
      <c r="J93">
        <f>IF(E93&gt;0,"PASS","FAIL")</f>
        <v/>
      </c>
    </row>
    <row r="94">
      <c r="A94" t="inlineStr">
        <is>
          <t>Business</t>
        </is>
      </c>
      <c r="B94" t="inlineStr">
        <is>
          <t>Business</t>
        </is>
      </c>
      <c r="C94" t="inlineStr">
        <is>
          <t>Business Runway</t>
        </is>
      </c>
      <c r="D94" t="inlineStr">
        <is>
          <t>Loan</t>
        </is>
      </c>
      <c r="E94">
        <f>COUNTIFS(Transactions!$C:$C,A94,Transactions!$D:$D,B94,Transactions!$E:$E,C94,Transactions!$F:$F,D94)</f>
        <v/>
      </c>
      <c r="F94" s="9">
        <f>SUMIFS(Transactions!$K:$K,Transactions!$C:$C,A94,Transactions!$D:$D,B94,Transactions!$E:$E,C94,Transactions!$F:$F,D94)</f>
        <v/>
      </c>
      <c r="G94" s="9">
        <f>SUMIFS(Transactions!$M:$M,Transactions!$C:$C,A94,Transactions!$D:$D,B94,Transactions!$E:$E,C94,Transactions!$F:$F,D94,Transactions!$M:$M,"&gt;0")</f>
        <v/>
      </c>
      <c r="H94" s="9">
        <f>-SUMIFS(Transactions!$M:$M,Transactions!$C:$C,A94,Transactions!$D:$D,B94,Transactions!$E:$E,C94,Transactions!$F:$F,D94,Transactions!$M:$M,"&lt;0")</f>
        <v/>
      </c>
      <c r="I94" s="9">
        <f>SUMIFS(Transactions!$M:$M,Transactions!$C:$C,A94,Transactions!$D:$D,B94,Transactions!$E:$E,C94,Transactions!$F:$F,D94)</f>
        <v/>
      </c>
      <c r="J94">
        <f>IF(E94&gt;0,"PASS","FAIL")</f>
        <v/>
      </c>
    </row>
    <row r="95">
      <c r="A95" t="inlineStr">
        <is>
          <t>Business</t>
        </is>
      </c>
      <c r="B95" t="inlineStr">
        <is>
          <t>Business</t>
        </is>
      </c>
      <c r="C95" t="inlineStr">
        <is>
          <t>Business Runway</t>
        </is>
      </c>
      <c r="D95" t="inlineStr">
        <is>
          <t>Investment</t>
        </is>
      </c>
      <c r="E95">
        <f>COUNTIFS(Transactions!$C:$C,A95,Transactions!$D:$D,B95,Transactions!$E:$E,C95,Transactions!$F:$F,D95)</f>
        <v/>
      </c>
      <c r="F95" s="9">
        <f>SUMIFS(Transactions!$K:$K,Transactions!$C:$C,A95,Transactions!$D:$D,B95,Transactions!$E:$E,C95,Transactions!$F:$F,D95)</f>
        <v/>
      </c>
      <c r="G95" s="9">
        <f>SUMIFS(Transactions!$M:$M,Transactions!$C:$C,A95,Transactions!$D:$D,B95,Transactions!$E:$E,C95,Transactions!$F:$F,D95,Transactions!$M:$M,"&gt;0")</f>
        <v/>
      </c>
      <c r="H95" s="9">
        <f>-SUMIFS(Transactions!$M:$M,Transactions!$C:$C,A95,Transactions!$D:$D,B95,Transactions!$E:$E,C95,Transactions!$F:$F,D95,Transactions!$M:$M,"&lt;0")</f>
        <v/>
      </c>
      <c r="I95" s="9">
        <f>SUMIFS(Transactions!$M:$M,Transactions!$C:$C,A95,Transactions!$D:$D,B95,Transactions!$E:$E,C95,Transactions!$F:$F,D95)</f>
        <v/>
      </c>
      <c r="J95">
        <f>IF(E95&gt;0,"PASS","FAIL")</f>
        <v/>
      </c>
    </row>
    <row r="96">
      <c r="A96" t="inlineStr">
        <is>
          <t>Business</t>
        </is>
      </c>
      <c r="B96" t="inlineStr">
        <is>
          <t>Business</t>
        </is>
      </c>
      <c r="C96" t="inlineStr">
        <is>
          <t>Business Operations</t>
        </is>
      </c>
      <c r="D96" t="inlineStr">
        <is>
          <t>Software</t>
        </is>
      </c>
      <c r="E96">
        <f>COUNTIFS(Transactions!$C:$C,A96,Transactions!$D:$D,B96,Transactions!$E:$E,C96,Transactions!$F:$F,D96)</f>
        <v/>
      </c>
      <c r="F96" s="9">
        <f>SUMIFS(Transactions!$K:$K,Transactions!$C:$C,A96,Transactions!$D:$D,B96,Transactions!$E:$E,C96,Transactions!$F:$F,D96)</f>
        <v/>
      </c>
      <c r="G96" s="9">
        <f>SUMIFS(Transactions!$M:$M,Transactions!$C:$C,A96,Transactions!$D:$D,B96,Transactions!$E:$E,C96,Transactions!$F:$F,D96,Transactions!$M:$M,"&gt;0")</f>
        <v/>
      </c>
      <c r="H96" s="9">
        <f>-SUMIFS(Transactions!$M:$M,Transactions!$C:$C,A96,Transactions!$D:$D,B96,Transactions!$E:$E,C96,Transactions!$F:$F,D96,Transactions!$M:$M,"&lt;0")</f>
        <v/>
      </c>
      <c r="I96" s="9">
        <f>SUMIFS(Transactions!$M:$M,Transactions!$C:$C,A96,Transactions!$D:$D,B96,Transactions!$E:$E,C96,Transactions!$F:$F,D96)</f>
        <v/>
      </c>
      <c r="J96">
        <f>IF(E96&gt;0,"PASS","FAIL")</f>
        <v/>
      </c>
    </row>
    <row r="97">
      <c r="A97" t="inlineStr">
        <is>
          <t>Business</t>
        </is>
      </c>
      <c r="B97" t="inlineStr">
        <is>
          <t>Business</t>
        </is>
      </c>
      <c r="C97" t="inlineStr">
        <is>
          <t>Business Operations</t>
        </is>
      </c>
      <c r="D97" t="inlineStr">
        <is>
          <t>Rent</t>
        </is>
      </c>
      <c r="E97">
        <f>COUNTIFS(Transactions!$C:$C,A97,Transactions!$D:$D,B97,Transactions!$E:$E,C97,Transactions!$F:$F,D97)</f>
        <v/>
      </c>
      <c r="F97" s="9">
        <f>SUMIFS(Transactions!$K:$K,Transactions!$C:$C,A97,Transactions!$D:$D,B97,Transactions!$E:$E,C97,Transactions!$F:$F,D97)</f>
        <v/>
      </c>
      <c r="G97" s="9">
        <f>SUMIFS(Transactions!$M:$M,Transactions!$C:$C,A97,Transactions!$D:$D,B97,Transactions!$E:$E,C97,Transactions!$F:$F,D97,Transactions!$M:$M,"&gt;0")</f>
        <v/>
      </c>
      <c r="H97" s="9">
        <f>-SUMIFS(Transactions!$M:$M,Transactions!$C:$C,A97,Transactions!$D:$D,B97,Transactions!$E:$E,C97,Transactions!$F:$F,D97,Transactions!$M:$M,"&lt;0")</f>
        <v/>
      </c>
      <c r="I97" s="9">
        <f>SUMIFS(Transactions!$M:$M,Transactions!$C:$C,A97,Transactions!$D:$D,B97,Transactions!$E:$E,C97,Transactions!$F:$F,D97)</f>
        <v/>
      </c>
      <c r="J97">
        <f>IF(E97&gt;0,"PASS","FAIL")</f>
        <v/>
      </c>
    </row>
    <row r="98">
      <c r="A98" t="inlineStr">
        <is>
          <t>Business</t>
        </is>
      </c>
      <c r="B98" t="inlineStr">
        <is>
          <t>Business</t>
        </is>
      </c>
      <c r="C98" t="inlineStr">
        <is>
          <t>Business Operations</t>
        </is>
      </c>
      <c r="D98" t="inlineStr">
        <is>
          <t>Marketing</t>
        </is>
      </c>
      <c r="E98">
        <f>COUNTIFS(Transactions!$C:$C,A98,Transactions!$D:$D,B98,Transactions!$E:$E,C98,Transactions!$F:$F,D98)</f>
        <v/>
      </c>
      <c r="F98" s="9">
        <f>SUMIFS(Transactions!$K:$K,Transactions!$C:$C,A98,Transactions!$D:$D,B98,Transactions!$E:$E,C98,Transactions!$F:$F,D98)</f>
        <v/>
      </c>
      <c r="G98" s="9">
        <f>SUMIFS(Transactions!$M:$M,Transactions!$C:$C,A98,Transactions!$D:$D,B98,Transactions!$E:$E,C98,Transactions!$F:$F,D98,Transactions!$M:$M,"&gt;0")</f>
        <v/>
      </c>
      <c r="H98" s="9">
        <f>-SUMIFS(Transactions!$M:$M,Transactions!$C:$C,A98,Transactions!$D:$D,B98,Transactions!$E:$E,C98,Transactions!$F:$F,D98,Transactions!$M:$M,"&lt;0")</f>
        <v/>
      </c>
      <c r="I98" s="9">
        <f>SUMIFS(Transactions!$M:$M,Transactions!$C:$C,A98,Transactions!$D:$D,B98,Transactions!$E:$E,C98,Transactions!$F:$F,D98)</f>
        <v/>
      </c>
      <c r="J98">
        <f>IF(E98&gt;0,"PASS","FAIL")</f>
        <v/>
      </c>
    </row>
    <row r="99">
      <c r="A99" t="inlineStr">
        <is>
          <t>Business</t>
        </is>
      </c>
      <c r="B99" t="inlineStr">
        <is>
          <t>Business</t>
        </is>
      </c>
      <c r="C99" t="inlineStr">
        <is>
          <t>Business Operations</t>
        </is>
      </c>
      <c r="D99" t="inlineStr">
        <is>
          <t>Legal</t>
        </is>
      </c>
      <c r="E99">
        <f>COUNTIFS(Transactions!$C:$C,A99,Transactions!$D:$D,B99,Transactions!$E:$E,C99,Transactions!$F:$F,D99)</f>
        <v/>
      </c>
      <c r="F99" s="9">
        <f>SUMIFS(Transactions!$K:$K,Transactions!$C:$C,A99,Transactions!$D:$D,B99,Transactions!$E:$E,C99,Transactions!$F:$F,D99)</f>
        <v/>
      </c>
      <c r="G99" s="9">
        <f>SUMIFS(Transactions!$M:$M,Transactions!$C:$C,A99,Transactions!$D:$D,B99,Transactions!$E:$E,C99,Transactions!$F:$F,D99,Transactions!$M:$M,"&gt;0")</f>
        <v/>
      </c>
      <c r="H99" s="9">
        <f>-SUMIFS(Transactions!$M:$M,Transactions!$C:$C,A99,Transactions!$D:$D,B99,Transactions!$E:$E,C99,Transactions!$F:$F,D99,Transactions!$M:$M,"&lt;0")</f>
        <v/>
      </c>
      <c r="I99" s="9">
        <f>SUMIFS(Transactions!$M:$M,Transactions!$C:$C,A99,Transactions!$D:$D,B99,Transactions!$E:$E,C99,Transactions!$F:$F,D99)</f>
        <v/>
      </c>
      <c r="J99">
        <f>IF(E99&gt;0,"PASS","FAIL")</f>
        <v/>
      </c>
    </row>
    <row r="100">
      <c r="A100" t="inlineStr">
        <is>
          <t>Business</t>
        </is>
      </c>
      <c r="B100" t="inlineStr">
        <is>
          <t>Business</t>
        </is>
      </c>
      <c r="C100" t="inlineStr">
        <is>
          <t>Business Operations</t>
        </is>
      </c>
      <c r="D100" t="inlineStr">
        <is>
          <t>Accounting</t>
        </is>
      </c>
      <c r="E100">
        <f>COUNTIFS(Transactions!$C:$C,A100,Transactions!$D:$D,B100,Transactions!$E:$E,C100,Transactions!$F:$F,D100)</f>
        <v/>
      </c>
      <c r="F100" s="9">
        <f>SUMIFS(Transactions!$K:$K,Transactions!$C:$C,A100,Transactions!$D:$D,B100,Transactions!$E:$E,C100,Transactions!$F:$F,D100)</f>
        <v/>
      </c>
      <c r="G100" s="9">
        <f>SUMIFS(Transactions!$M:$M,Transactions!$C:$C,A100,Transactions!$D:$D,B100,Transactions!$E:$E,C100,Transactions!$F:$F,D100,Transactions!$M:$M,"&gt;0")</f>
        <v/>
      </c>
      <c r="H100" s="9">
        <f>-SUMIFS(Transactions!$M:$M,Transactions!$C:$C,A100,Transactions!$D:$D,B100,Transactions!$E:$E,C100,Transactions!$F:$F,D100,Transactions!$M:$M,"&lt;0")</f>
        <v/>
      </c>
      <c r="I100" s="9">
        <f>SUMIFS(Transactions!$M:$M,Transactions!$C:$C,A100,Transactions!$D:$D,B100,Transactions!$E:$E,C100,Transactions!$F:$F,D100)</f>
        <v/>
      </c>
      <c r="J100">
        <f>IF(E100&gt;0,"PASS","FAIL")</f>
        <v/>
      </c>
    </row>
    <row r="101">
      <c r="A101" t="inlineStr">
        <is>
          <t>Business</t>
        </is>
      </c>
      <c r="B101" t="inlineStr">
        <is>
          <t>Business</t>
        </is>
      </c>
      <c r="C101" t="inlineStr">
        <is>
          <t>Business Operations</t>
        </is>
      </c>
      <c r="D101" t="inlineStr">
        <is>
          <t>Equipment</t>
        </is>
      </c>
      <c r="E101">
        <f>COUNTIFS(Transactions!$C:$C,A101,Transactions!$D:$D,B101,Transactions!$E:$E,C101,Transactions!$F:$F,D101)</f>
        <v/>
      </c>
      <c r="F101" s="9">
        <f>SUMIFS(Transactions!$K:$K,Transactions!$C:$C,A101,Transactions!$D:$D,B101,Transactions!$E:$E,C101,Transactions!$F:$F,D101)</f>
        <v/>
      </c>
      <c r="G101" s="9">
        <f>SUMIFS(Transactions!$M:$M,Transactions!$C:$C,A101,Transactions!$D:$D,B101,Transactions!$E:$E,C101,Transactions!$F:$F,D101,Transactions!$M:$M,"&gt;0")</f>
        <v/>
      </c>
      <c r="H101" s="9">
        <f>-SUMIFS(Transactions!$M:$M,Transactions!$C:$C,A101,Transactions!$D:$D,B101,Transactions!$E:$E,C101,Transactions!$F:$F,D101,Transactions!$M:$M,"&lt;0")</f>
        <v/>
      </c>
      <c r="I101" s="9">
        <f>SUMIFS(Transactions!$M:$M,Transactions!$C:$C,A101,Transactions!$D:$D,B101,Transactions!$E:$E,C101,Transactions!$F:$F,D101)</f>
        <v/>
      </c>
      <c r="J101">
        <f>IF(E101&gt;0,"PASS","FAIL")</f>
        <v/>
      </c>
    </row>
    <row r="102">
      <c r="A102" t="inlineStr">
        <is>
          <t>Business</t>
        </is>
      </c>
      <c r="B102" t="inlineStr">
        <is>
          <t>Business</t>
        </is>
      </c>
      <c r="C102" t="inlineStr">
        <is>
          <t>Business Operations</t>
        </is>
      </c>
      <c r="D102" t="inlineStr">
        <is>
          <t>Vendor</t>
        </is>
      </c>
      <c r="E102">
        <f>COUNTIFS(Transactions!$C:$C,A102,Transactions!$D:$D,B102,Transactions!$E:$E,C102,Transactions!$F:$F,D102)</f>
        <v/>
      </c>
      <c r="F102" s="9">
        <f>SUMIFS(Transactions!$K:$K,Transactions!$C:$C,A102,Transactions!$D:$D,B102,Transactions!$E:$E,C102,Transactions!$F:$F,D102)</f>
        <v/>
      </c>
      <c r="G102" s="9">
        <f>SUMIFS(Transactions!$M:$M,Transactions!$C:$C,A102,Transactions!$D:$D,B102,Transactions!$E:$E,C102,Transactions!$F:$F,D102,Transactions!$M:$M,"&gt;0")</f>
        <v/>
      </c>
      <c r="H102" s="9">
        <f>-SUMIFS(Transactions!$M:$M,Transactions!$C:$C,A102,Transactions!$D:$D,B102,Transactions!$E:$E,C102,Transactions!$F:$F,D102,Transactions!$M:$M,"&lt;0")</f>
        <v/>
      </c>
      <c r="I102" s="9">
        <f>SUMIFS(Transactions!$M:$M,Transactions!$C:$C,A102,Transactions!$D:$D,B102,Transactions!$E:$E,C102,Transactions!$F:$F,D102)</f>
        <v/>
      </c>
      <c r="J102">
        <f>IF(E102&gt;0,"PASS","FAIL")</f>
        <v/>
      </c>
    </row>
    <row r="103">
      <c r="A103" t="inlineStr">
        <is>
          <t>Business</t>
        </is>
      </c>
      <c r="B103" t="inlineStr">
        <is>
          <t>Business</t>
        </is>
      </c>
      <c r="C103" t="inlineStr">
        <is>
          <t>Business Operations</t>
        </is>
      </c>
      <c r="D103" t="inlineStr">
        <is>
          <t>Tax</t>
        </is>
      </c>
      <c r="E103">
        <f>COUNTIFS(Transactions!$C:$C,A103,Transactions!$D:$D,B103,Transactions!$E:$E,C103,Transactions!$F:$F,D103)</f>
        <v/>
      </c>
      <c r="F103" s="9">
        <f>SUMIFS(Transactions!$K:$K,Transactions!$C:$C,A103,Transactions!$D:$D,B103,Transactions!$E:$E,C103,Transactions!$F:$F,D103)</f>
        <v/>
      </c>
      <c r="G103" s="9">
        <f>SUMIFS(Transactions!$M:$M,Transactions!$C:$C,A103,Transactions!$D:$D,B103,Transactions!$E:$E,C103,Transactions!$F:$F,D103,Transactions!$M:$M,"&gt;0")</f>
        <v/>
      </c>
      <c r="H103" s="9">
        <f>-SUMIFS(Transactions!$M:$M,Transactions!$C:$C,A103,Transactions!$D:$D,B103,Transactions!$E:$E,C103,Transactions!$F:$F,D103,Transactions!$M:$M,"&lt;0")</f>
        <v/>
      </c>
      <c r="I103" s="9">
        <f>SUMIFS(Transactions!$M:$M,Transactions!$C:$C,A103,Transactions!$D:$D,B103,Transactions!$E:$E,C103,Transactions!$F:$F,D103)</f>
        <v/>
      </c>
      <c r="J103">
        <f>IF(E103&gt;0,"PASS","FAIL")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7" customWidth="1" min="4" max="4"/>
    <col width="15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3" customWidth="1" min="14" max="14"/>
    <col width="38" customWidth="1" min="15" max="15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Expected_Count</t>
        </is>
      </c>
      <c r="E1" s="4" t="inlineStr">
        <is>
          <t>Actual_Count</t>
        </is>
      </c>
      <c r="F1" s="4" t="inlineStr">
        <is>
          <t>Count_Variance</t>
        </is>
      </c>
      <c r="G1" s="4" t="inlineStr">
        <is>
          <t>Expected_Gross</t>
        </is>
      </c>
      <c r="H1" s="4" t="inlineStr">
        <is>
          <t>Actual_Gross</t>
        </is>
      </c>
      <c r="I1" s="4" t="inlineStr">
        <is>
          <t>Gross_Variance</t>
        </is>
      </c>
      <c r="J1" s="4" t="inlineStr">
        <is>
          <t>Expected_Net</t>
        </is>
      </c>
      <c r="K1" s="4" t="inlineStr">
        <is>
          <t>Actual_Net</t>
        </is>
      </c>
      <c r="L1" s="4" t="inlineStr">
        <is>
          <t>Net_Variance</t>
        </is>
      </c>
      <c r="M1" s="4" t="inlineStr">
        <is>
          <t>Tolerance</t>
        </is>
      </c>
      <c r="N1" s="4" t="inlineStr">
        <is>
          <t>Result</t>
        </is>
      </c>
      <c r="O1" s="4" t="inlineStr">
        <is>
          <t>Notes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>
        <f>COUNTIFS(Transactions!$C:$C,A2,Transactions!$D:$D,B2,Transactions!$E:$E,C2)</f>
        <v/>
      </c>
      <c r="F2">
        <f>IF(E2="","",E2-D2)</f>
        <v/>
      </c>
      <c r="G2" s="9">
        <f>SUMIFS(Transactions!$K:$K,Transactions!$C:$C,A2,Transactions!$D:$D,B2,Transactions!$E:$E,C2)</f>
        <v/>
      </c>
      <c r="H2" s="9" t="inlineStr"/>
      <c r="I2" s="9">
        <f>IF(H2="","",H2-G2)</f>
        <v/>
      </c>
      <c r="J2" s="9">
        <f>SUMIFS(Transactions!$M:$M,Transactions!$C:$C,A2,Transactions!$D:$D,B2,Transactions!$E:$E,C2)</f>
        <v/>
      </c>
      <c r="K2" s="9" t="inlineStr"/>
      <c r="L2" s="9">
        <f>IF(K2="","",K2-J2)</f>
        <v/>
      </c>
      <c r="M2" s="9">
        <f>Config!$B$8</f>
        <v/>
      </c>
      <c r="N2">
        <f>IF(OR(E2="",H2="",K2=""),"PENDING",IF(AND(F2=0,ABS(I2)&lt;=M2,ABS(L2)&lt;=M2),"PASS","FAIL"))</f>
        <v/>
      </c>
      <c r="O2" t="inlineStr">
        <is>
          <t>Paste actual values from API/UI/export</t>
        </is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Future Building</t>
        </is>
      </c>
      <c r="D3">
        <f>COUNTIFS(Transactions!$C:$C,A3,Transactions!$D:$D,B3,Transactions!$E:$E,C3)</f>
        <v/>
      </c>
      <c r="F3">
        <f>IF(E3="","",E3-D3)</f>
        <v/>
      </c>
      <c r="G3" s="9">
        <f>SUMIFS(Transactions!$K:$K,Transactions!$C:$C,A3,Transactions!$D:$D,B3,Transactions!$E:$E,C3)</f>
        <v/>
      </c>
      <c r="H3" s="9" t="inlineStr"/>
      <c r="I3" s="9">
        <f>IF(H3="","",H3-G3)</f>
        <v/>
      </c>
      <c r="J3" s="9">
        <f>SUMIFS(Transactions!$M:$M,Transactions!$C:$C,A3,Transactions!$D:$D,B3,Transactions!$E:$E,C3)</f>
        <v/>
      </c>
      <c r="K3" s="9" t="inlineStr"/>
      <c r="L3" s="9">
        <f>IF(K3="","",K3-J3)</f>
        <v/>
      </c>
      <c r="M3" s="9">
        <f>Config!$B$8</f>
        <v/>
      </c>
      <c r="N3">
        <f>IF(OR(E3="",H3="",K3=""),"PENDING",IF(AND(F3=0,ABS(I3)&lt;=M3,ABS(L3)&lt;=M3),"PASS","FAIL"))</f>
        <v/>
      </c>
      <c r="O3" t="inlineStr">
        <is>
          <t>Paste actual values from API/UI/export</t>
        </is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Lifestyle</t>
        </is>
      </c>
      <c r="D4">
        <f>COUNTIFS(Transactions!$C:$C,A4,Transactions!$D:$D,B4,Transactions!$E:$E,C4)</f>
        <v/>
      </c>
      <c r="F4">
        <f>IF(E4="","",E4-D4)</f>
        <v/>
      </c>
      <c r="G4" s="9">
        <f>SUMIFS(Transactions!$K:$K,Transactions!$C:$C,A4,Transactions!$D:$D,B4,Transactions!$E:$E,C4)</f>
        <v/>
      </c>
      <c r="H4" s="9" t="inlineStr"/>
      <c r="I4" s="9">
        <f>IF(H4="","",H4-G4)</f>
        <v/>
      </c>
      <c r="J4" s="9">
        <f>SUMIFS(Transactions!$M:$M,Transactions!$C:$C,A4,Transactions!$D:$D,B4,Transactions!$E:$E,C4)</f>
        <v/>
      </c>
      <c r="K4" s="9" t="inlineStr"/>
      <c r="L4" s="9">
        <f>IF(K4="","",K4-J4)</f>
        <v/>
      </c>
      <c r="M4" s="9">
        <f>Config!$B$8</f>
        <v/>
      </c>
      <c r="N4">
        <f>IF(OR(E4="",H4="",K4=""),"PENDING",IF(AND(F4=0,ABS(I4)&lt;=M4,ABS(L4)&lt;=M4),"PASS","FAIL"))</f>
        <v/>
      </c>
      <c r="O4" t="inlineStr">
        <is>
          <t>Paste actual values from API/UI/export</t>
        </is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Relationships</t>
        </is>
      </c>
      <c r="D5">
        <f>COUNTIFS(Transactions!$C:$C,A5,Transactions!$D:$D,B5,Transactions!$E:$E,C5)</f>
        <v/>
      </c>
      <c r="F5">
        <f>IF(E5="","",E5-D5)</f>
        <v/>
      </c>
      <c r="G5" s="9">
        <f>SUMIFS(Transactions!$K:$K,Transactions!$C:$C,A5,Transactions!$D:$D,B5,Transactions!$E:$E,C5)</f>
        <v/>
      </c>
      <c r="H5" s="9" t="inlineStr"/>
      <c r="I5" s="9">
        <f>IF(H5="","",H5-G5)</f>
        <v/>
      </c>
      <c r="J5" s="9">
        <f>SUMIFS(Transactions!$M:$M,Transactions!$C:$C,A5,Transactions!$D:$D,B5,Transactions!$E:$E,C5)</f>
        <v/>
      </c>
      <c r="K5" s="9" t="inlineStr"/>
      <c r="L5" s="9">
        <f>IF(K5="","",K5-J5)</f>
        <v/>
      </c>
      <c r="M5" s="9">
        <f>Config!$B$8</f>
        <v/>
      </c>
      <c r="N5">
        <f>IF(OR(E5="",H5="",K5=""),"PENDING",IF(AND(F5=0,ABS(I5)&lt;=M5,ABS(L5)&lt;=M5),"PASS","FAIL"))</f>
        <v/>
      </c>
      <c r="O5" t="inlineStr">
        <is>
          <t>Paste actual values from API/UI/export</t>
        </is>
      </c>
    </row>
    <row r="6">
      <c r="A6" t="inlineStr">
        <is>
          <t>Group</t>
        </is>
      </c>
      <c r="B6" t="inlineStr">
        <is>
          <t>Shared Experience</t>
        </is>
      </c>
      <c r="C6" t="inlineStr">
        <is>
          <t>Trip</t>
        </is>
      </c>
      <c r="D6">
        <f>COUNTIFS(Transactions!$C:$C,A6,Transactions!$D:$D,B6,Transactions!$E:$E,C6)</f>
        <v/>
      </c>
      <c r="F6">
        <f>IF(E6="","",E6-D6)</f>
        <v/>
      </c>
      <c r="G6" s="9">
        <f>SUMIFS(Transactions!$K:$K,Transactions!$C:$C,A6,Transactions!$D:$D,B6,Transactions!$E:$E,C6)</f>
        <v/>
      </c>
      <c r="H6" s="9" t="inlineStr"/>
      <c r="I6" s="9">
        <f>IF(H6="","",H6-G6)</f>
        <v/>
      </c>
      <c r="J6" s="9">
        <f>SUMIFS(Transactions!$M:$M,Transactions!$C:$C,A6,Transactions!$D:$D,B6,Transactions!$E:$E,C6)</f>
        <v/>
      </c>
      <c r="K6" s="9" t="inlineStr"/>
      <c r="L6" s="9">
        <f>IF(K6="","",K6-J6)</f>
        <v/>
      </c>
      <c r="M6" s="9">
        <f>Config!$B$8</f>
        <v/>
      </c>
      <c r="N6">
        <f>IF(OR(E6="",H6="",K6=""),"PENDING",IF(AND(F6=0,ABS(I6)&lt;=M6,ABS(L6)&lt;=M6),"PASS","FAIL"))</f>
        <v/>
      </c>
      <c r="O6" t="inlineStr">
        <is>
          <t>Paste actual values from API/UI/export</t>
        </is>
      </c>
    </row>
    <row r="7">
      <c r="A7" t="inlineStr">
        <is>
          <t>Group</t>
        </is>
      </c>
      <c r="B7" t="inlineStr">
        <is>
          <t>Shared Experience</t>
        </is>
      </c>
      <c r="C7" t="inlineStr">
        <is>
          <t>Wedding</t>
        </is>
      </c>
      <c r="D7">
        <f>COUNTIFS(Transactions!$C:$C,A7,Transactions!$D:$D,B7,Transactions!$E:$E,C7)</f>
        <v/>
      </c>
      <c r="F7">
        <f>IF(E7="","",E7-D7)</f>
        <v/>
      </c>
      <c r="G7" s="9">
        <f>SUMIFS(Transactions!$K:$K,Transactions!$C:$C,A7,Transactions!$D:$D,B7,Transactions!$E:$E,C7)</f>
        <v/>
      </c>
      <c r="H7" s="9" t="inlineStr"/>
      <c r="I7" s="9">
        <f>IF(H7="","",H7-G7)</f>
        <v/>
      </c>
      <c r="J7" s="9">
        <f>SUMIFS(Transactions!$M:$M,Transactions!$C:$C,A7,Transactions!$D:$D,B7,Transactions!$E:$E,C7)</f>
        <v/>
      </c>
      <c r="K7" s="9" t="inlineStr"/>
      <c r="L7" s="9">
        <f>IF(K7="","",K7-J7)</f>
        <v/>
      </c>
      <c r="M7" s="9">
        <f>Config!$B$8</f>
        <v/>
      </c>
      <c r="N7">
        <f>IF(OR(E7="",H7="",K7=""),"PENDING",IF(AND(F7=0,ABS(I7)&lt;=M7,ABS(L7)&lt;=M7),"PASS","FAIL"))</f>
        <v/>
      </c>
      <c r="O7" t="inlineStr">
        <is>
          <t>Paste actual values from API/UI/export</t>
        </is>
      </c>
    </row>
    <row r="8">
      <c r="A8" t="inlineStr">
        <is>
          <t>Group</t>
        </is>
      </c>
      <c r="B8" t="inlineStr">
        <is>
          <t>Shared Experience</t>
        </is>
      </c>
      <c r="C8" t="inlineStr">
        <is>
          <t>Office Outing</t>
        </is>
      </c>
      <c r="D8">
        <f>COUNTIFS(Transactions!$C:$C,A8,Transactions!$D:$D,B8,Transactions!$E:$E,C8)</f>
        <v/>
      </c>
      <c r="F8">
        <f>IF(E8="","",E8-D8)</f>
        <v/>
      </c>
      <c r="G8" s="9">
        <f>SUMIFS(Transactions!$K:$K,Transactions!$C:$C,A8,Transactions!$D:$D,B8,Transactions!$E:$E,C8)</f>
        <v/>
      </c>
      <c r="H8" s="9" t="inlineStr"/>
      <c r="I8" s="9">
        <f>IF(H8="","",H8-G8)</f>
        <v/>
      </c>
      <c r="J8" s="9">
        <f>SUMIFS(Transactions!$M:$M,Transactions!$C:$C,A8,Transactions!$D:$D,B8,Transactions!$E:$E,C8)</f>
        <v/>
      </c>
      <c r="K8" s="9" t="inlineStr"/>
      <c r="L8" s="9">
        <f>IF(K8="","",K8-J8)</f>
        <v/>
      </c>
      <c r="M8" s="9">
        <f>Config!$B$8</f>
        <v/>
      </c>
      <c r="N8">
        <f>IF(OR(E8="",H8="",K8=""),"PENDING",IF(AND(F8=0,ABS(I8)&lt;=M8,ABS(L8)&lt;=M8),"PASS","FAIL"))</f>
        <v/>
      </c>
      <c r="O8" t="inlineStr">
        <is>
          <t>Paste actual values from API/UI/export</t>
        </is>
      </c>
    </row>
    <row r="9">
      <c r="A9" t="inlineStr">
        <is>
          <t>Group</t>
        </is>
      </c>
      <c r="B9" t="inlineStr">
        <is>
          <t>Shared Experience</t>
        </is>
      </c>
      <c r="C9" t="inlineStr">
        <is>
          <t>House Party</t>
        </is>
      </c>
      <c r="D9">
        <f>COUNTIFS(Transactions!$C:$C,A9,Transactions!$D:$D,B9,Transactions!$E:$E,C9)</f>
        <v/>
      </c>
      <c r="F9">
        <f>IF(E9="","",E9-D9)</f>
        <v/>
      </c>
      <c r="G9" s="9">
        <f>SUMIFS(Transactions!$K:$K,Transactions!$C:$C,A9,Transactions!$D:$D,B9,Transactions!$E:$E,C9)</f>
        <v/>
      </c>
      <c r="H9" s="9" t="inlineStr"/>
      <c r="I9" s="9">
        <f>IF(H9="","",H9-G9)</f>
        <v/>
      </c>
      <c r="J9" s="9">
        <f>SUMIFS(Transactions!$M:$M,Transactions!$C:$C,A9,Transactions!$D:$D,B9,Transactions!$E:$E,C9)</f>
        <v/>
      </c>
      <c r="K9" s="9" t="inlineStr"/>
      <c r="L9" s="9">
        <f>IF(K9="","",K9-J9)</f>
        <v/>
      </c>
      <c r="M9" s="9">
        <f>Config!$B$8</f>
        <v/>
      </c>
      <c r="N9">
        <f>IF(OR(E9="",H9="",K9=""),"PENDING",IF(AND(F9=0,ABS(I9)&lt;=M9,ABS(L9)&lt;=M9),"PASS","FAIL"))</f>
        <v/>
      </c>
      <c r="O9" t="inlineStr">
        <is>
          <t>Paste actual values from API/UI/export</t>
        </is>
      </c>
    </row>
    <row r="10">
      <c r="A10" t="inlineStr">
        <is>
          <t>Group</t>
        </is>
      </c>
      <c r="B10" t="inlineStr">
        <is>
          <t>Shared Purchase</t>
        </is>
      </c>
      <c r="C10" t="inlineStr">
        <is>
          <t>Gift Pool</t>
        </is>
      </c>
      <c r="D10">
        <f>COUNTIFS(Transactions!$C:$C,A10,Transactions!$D:$D,B10,Transactions!$E:$E,C10)</f>
        <v/>
      </c>
      <c r="F10">
        <f>IF(E10="","",E10-D10)</f>
        <v/>
      </c>
      <c r="G10" s="9">
        <f>SUMIFS(Transactions!$K:$K,Transactions!$C:$C,A10,Transactions!$D:$D,B10,Transactions!$E:$E,C10)</f>
        <v/>
      </c>
      <c r="H10" s="9" t="inlineStr"/>
      <c r="I10" s="9">
        <f>IF(H10="","",H10-G10)</f>
        <v/>
      </c>
      <c r="J10" s="9">
        <f>SUMIFS(Transactions!$M:$M,Transactions!$C:$C,A10,Transactions!$D:$D,B10,Transactions!$E:$E,C10)</f>
        <v/>
      </c>
      <c r="K10" s="9" t="inlineStr"/>
      <c r="L10" s="9">
        <f>IF(K10="","",K10-J10)</f>
        <v/>
      </c>
      <c r="M10" s="9">
        <f>Config!$B$8</f>
        <v/>
      </c>
      <c r="N10">
        <f>IF(OR(E10="",H10="",K10=""),"PENDING",IF(AND(F10=0,ABS(I10)&lt;=M10,ABS(L10)&lt;=M10),"PASS","FAIL"))</f>
        <v/>
      </c>
      <c r="O10" t="inlineStr">
        <is>
          <t>Paste actual values from API/UI/export</t>
        </is>
      </c>
    </row>
    <row r="11">
      <c r="A11" t="inlineStr">
        <is>
          <t>Group</t>
        </is>
      </c>
      <c r="B11" t="inlineStr">
        <is>
          <t>Shared Purchase</t>
        </is>
      </c>
      <c r="C11" t="inlineStr">
        <is>
          <t>Purchase</t>
        </is>
      </c>
      <c r="D11">
        <f>COUNTIFS(Transactions!$C:$C,A11,Transactions!$D:$D,B11,Transactions!$E:$E,C11)</f>
        <v/>
      </c>
      <c r="F11">
        <f>IF(E11="","",E11-D11)</f>
        <v/>
      </c>
      <c r="G11" s="9">
        <f>SUMIFS(Transactions!$K:$K,Transactions!$C:$C,A11,Transactions!$D:$D,B11,Transactions!$E:$E,C11)</f>
        <v/>
      </c>
      <c r="H11" s="9" t="inlineStr"/>
      <c r="I11" s="9">
        <f>IF(H11="","",H11-G11)</f>
        <v/>
      </c>
      <c r="J11" s="9">
        <f>SUMIFS(Transactions!$M:$M,Transactions!$C:$C,A11,Transactions!$D:$D,B11,Transactions!$E:$E,C11)</f>
        <v/>
      </c>
      <c r="K11" s="9" t="inlineStr"/>
      <c r="L11" s="9">
        <f>IF(K11="","",K11-J11)</f>
        <v/>
      </c>
      <c r="M11" s="9">
        <f>Config!$B$8</f>
        <v/>
      </c>
      <c r="N11">
        <f>IF(OR(E11="",H11="",K11=""),"PENDING",IF(AND(F11=0,ABS(I11)&lt;=M11,ABS(L11)&lt;=M11),"PASS","FAIL"))</f>
        <v/>
      </c>
      <c r="O11" t="inlineStr">
        <is>
          <t>Paste actual values from API/UI/export</t>
        </is>
      </c>
    </row>
    <row r="12">
      <c r="A12" t="inlineStr">
        <is>
          <t>Group</t>
        </is>
      </c>
      <c r="B12" t="inlineStr">
        <is>
          <t>Shared Purchase</t>
        </is>
      </c>
      <c r="C12" t="inlineStr">
        <is>
          <t>Assets</t>
        </is>
      </c>
      <c r="D12">
        <f>COUNTIFS(Transactions!$C:$C,A12,Transactions!$D:$D,B12,Transactions!$E:$E,C12)</f>
        <v/>
      </c>
      <c r="F12">
        <f>IF(E12="","",E12-D12)</f>
        <v/>
      </c>
      <c r="G12" s="9">
        <f>SUMIFS(Transactions!$K:$K,Transactions!$C:$C,A12,Transactions!$D:$D,B12,Transactions!$E:$E,C12)</f>
        <v/>
      </c>
      <c r="H12" s="9" t="inlineStr"/>
      <c r="I12" s="9">
        <f>IF(H12="","",H12-G12)</f>
        <v/>
      </c>
      <c r="J12" s="9">
        <f>SUMIFS(Transactions!$M:$M,Transactions!$C:$C,A12,Transactions!$D:$D,B12,Transactions!$E:$E,C12)</f>
        <v/>
      </c>
      <c r="K12" s="9" t="inlineStr"/>
      <c r="L12" s="9">
        <f>IF(K12="","",K12-J12)</f>
        <v/>
      </c>
      <c r="M12" s="9">
        <f>Config!$B$8</f>
        <v/>
      </c>
      <c r="N12">
        <f>IF(OR(E12="",H12="",K12=""),"PENDING",IF(AND(F12=0,ABS(I12)&lt;=M12,ABS(L12)&lt;=M12),"PASS","FAIL"))</f>
        <v/>
      </c>
      <c r="O12" t="inlineStr">
        <is>
          <t>Paste actual values from API/UI/export</t>
        </is>
      </c>
    </row>
    <row r="13">
      <c r="A13" t="inlineStr">
        <is>
          <t>Group</t>
        </is>
      </c>
      <c r="B13" t="inlineStr">
        <is>
          <t>Shared Purchase</t>
        </is>
      </c>
      <c r="C13" t="inlineStr">
        <is>
          <t>Custom Purchase</t>
        </is>
      </c>
      <c r="D13">
        <f>COUNTIFS(Transactions!$C:$C,A13,Transactions!$D:$D,B13,Transactions!$E:$E,C13)</f>
        <v/>
      </c>
      <c r="F13">
        <f>IF(E13="","",E13-D13)</f>
        <v/>
      </c>
      <c r="G13" s="9">
        <f>SUMIFS(Transactions!$K:$K,Transactions!$C:$C,A13,Transactions!$D:$D,B13,Transactions!$E:$E,C13)</f>
        <v/>
      </c>
      <c r="H13" s="9" t="inlineStr"/>
      <c r="I13" s="9">
        <f>IF(H13="","",H13-G13)</f>
        <v/>
      </c>
      <c r="J13" s="9">
        <f>SUMIFS(Transactions!$M:$M,Transactions!$C:$C,A13,Transactions!$D:$D,B13,Transactions!$E:$E,C13)</f>
        <v/>
      </c>
      <c r="K13" s="9" t="inlineStr"/>
      <c r="L13" s="9">
        <f>IF(K13="","",K13-J13)</f>
        <v/>
      </c>
      <c r="M13" s="9">
        <f>Config!$B$8</f>
        <v/>
      </c>
      <c r="N13">
        <f>IF(OR(E13="",H13="",K13=""),"PENDING",IF(AND(F13=0,ABS(I13)&lt;=M13,ABS(L13)&lt;=M13),"PASS","FAIL"))</f>
        <v/>
      </c>
      <c r="O13" t="inlineStr">
        <is>
          <t>Paste actual values from API/UI/export</t>
        </is>
      </c>
    </row>
    <row r="14">
      <c r="A14" t="inlineStr">
        <is>
          <t>Group</t>
        </is>
      </c>
      <c r="B14" t="inlineStr">
        <is>
          <t>Shared Living</t>
        </is>
      </c>
      <c r="C14" t="inlineStr">
        <is>
          <t>Flatmates</t>
        </is>
      </c>
      <c r="D14">
        <f>COUNTIFS(Transactions!$C:$C,A14,Transactions!$D:$D,B14,Transactions!$E:$E,C14)</f>
        <v/>
      </c>
      <c r="F14">
        <f>IF(E14="","",E14-D14)</f>
        <v/>
      </c>
      <c r="G14" s="9">
        <f>SUMIFS(Transactions!$K:$K,Transactions!$C:$C,A14,Transactions!$D:$D,B14,Transactions!$E:$E,C14)</f>
        <v/>
      </c>
      <c r="H14" s="9" t="inlineStr"/>
      <c r="I14" s="9">
        <f>IF(H14="","",H14-G14)</f>
        <v/>
      </c>
      <c r="J14" s="9">
        <f>SUMIFS(Transactions!$M:$M,Transactions!$C:$C,A14,Transactions!$D:$D,B14,Transactions!$E:$E,C14)</f>
        <v/>
      </c>
      <c r="K14" s="9" t="inlineStr"/>
      <c r="L14" s="9">
        <f>IF(K14="","",K14-J14)</f>
        <v/>
      </c>
      <c r="M14" s="9">
        <f>Config!$B$8</f>
        <v/>
      </c>
      <c r="N14">
        <f>IF(OR(E14="",H14="",K14=""),"PENDING",IF(AND(F14=0,ABS(I14)&lt;=M14,ABS(L14)&lt;=M14),"PASS","FAIL"))</f>
        <v/>
      </c>
      <c r="O14" t="inlineStr">
        <is>
          <t>Paste actual values from API/UI/export</t>
        </is>
      </c>
    </row>
    <row r="15">
      <c r="A15" t="inlineStr">
        <is>
          <t>Group</t>
        </is>
      </c>
      <c r="B15" t="inlineStr">
        <is>
          <t>Shared Living</t>
        </is>
      </c>
      <c r="C15" t="inlineStr">
        <is>
          <t>Shared Living</t>
        </is>
      </c>
      <c r="D15">
        <f>COUNTIFS(Transactions!$C:$C,A15,Transactions!$D:$D,B15,Transactions!$E:$E,C15)</f>
        <v/>
      </c>
      <c r="F15">
        <f>IF(E15="","",E15-D15)</f>
        <v/>
      </c>
      <c r="G15" s="9">
        <f>SUMIFS(Transactions!$K:$K,Transactions!$C:$C,A15,Transactions!$D:$D,B15,Transactions!$E:$E,C15)</f>
        <v/>
      </c>
      <c r="H15" s="9" t="inlineStr"/>
      <c r="I15" s="9">
        <f>IF(H15="","",H15-G15)</f>
        <v/>
      </c>
      <c r="J15" s="9">
        <f>SUMIFS(Transactions!$M:$M,Transactions!$C:$C,A15,Transactions!$D:$D,B15,Transactions!$E:$E,C15)</f>
        <v/>
      </c>
      <c r="K15" s="9" t="inlineStr"/>
      <c r="L15" s="9">
        <f>IF(K15="","",K15-J15)</f>
        <v/>
      </c>
      <c r="M15" s="9">
        <f>Config!$B$8</f>
        <v/>
      </c>
      <c r="N15">
        <f>IF(OR(E15="",H15="",K15=""),"PENDING",IF(AND(F15=0,ABS(I15)&lt;=M15,ABS(L15)&lt;=M15),"PASS","FAIL"))</f>
        <v/>
      </c>
      <c r="O15" t="inlineStr">
        <is>
          <t>Paste actual values from API/UI/export</t>
        </is>
      </c>
    </row>
    <row r="16">
      <c r="A16" t="inlineStr">
        <is>
          <t>Group</t>
        </is>
      </c>
      <c r="B16" t="inlineStr">
        <is>
          <t>Shared Living</t>
        </is>
      </c>
      <c r="C16" t="inlineStr">
        <is>
          <t>Family Household</t>
        </is>
      </c>
      <c r="D16">
        <f>COUNTIFS(Transactions!$C:$C,A16,Transactions!$D:$D,B16,Transactions!$E:$E,C16)</f>
        <v/>
      </c>
      <c r="F16">
        <f>IF(E16="","",E16-D16)</f>
        <v/>
      </c>
      <c r="G16" s="9">
        <f>SUMIFS(Transactions!$K:$K,Transactions!$C:$C,A16,Transactions!$D:$D,B16,Transactions!$E:$E,C16)</f>
        <v/>
      </c>
      <c r="H16" s="9" t="inlineStr"/>
      <c r="I16" s="9">
        <f>IF(H16="","",H16-G16)</f>
        <v/>
      </c>
      <c r="J16" s="9">
        <f>SUMIFS(Transactions!$M:$M,Transactions!$C:$C,A16,Transactions!$D:$D,B16,Transactions!$E:$E,C16)</f>
        <v/>
      </c>
      <c r="K16" s="9" t="inlineStr"/>
      <c r="L16" s="9">
        <f>IF(K16="","",K16-J16)</f>
        <v/>
      </c>
      <c r="M16" s="9">
        <f>Config!$B$8</f>
        <v/>
      </c>
      <c r="N16">
        <f>IF(OR(E16="",H16="",K16=""),"PENDING",IF(AND(F16=0,ABS(I16)&lt;=M16,ABS(L16)&lt;=M16),"PASS","FAIL"))</f>
        <v/>
      </c>
      <c r="O16" t="inlineStr">
        <is>
          <t>Paste actual values from API/UI/export</t>
        </is>
      </c>
    </row>
    <row r="17">
      <c r="A17" t="inlineStr">
        <is>
          <t>Group</t>
        </is>
      </c>
      <c r="B17" t="inlineStr">
        <is>
          <t>Shared Living</t>
        </is>
      </c>
      <c r="C17" t="inlineStr">
        <is>
          <t>Custom Living</t>
        </is>
      </c>
      <c r="D17">
        <f>COUNTIFS(Transactions!$C:$C,A17,Transactions!$D:$D,B17,Transactions!$E:$E,C17)</f>
        <v/>
      </c>
      <c r="F17">
        <f>IF(E17="","",E17-D17)</f>
        <v/>
      </c>
      <c r="G17" s="9">
        <f>SUMIFS(Transactions!$K:$K,Transactions!$C:$C,A17,Transactions!$D:$D,B17,Transactions!$E:$E,C17)</f>
        <v/>
      </c>
      <c r="H17" s="9" t="inlineStr"/>
      <c r="I17" s="9">
        <f>IF(H17="","",H17-G17)</f>
        <v/>
      </c>
      <c r="J17" s="9">
        <f>SUMIFS(Transactions!$M:$M,Transactions!$C:$C,A17,Transactions!$D:$D,B17,Transactions!$E:$E,C17)</f>
        <v/>
      </c>
      <c r="K17" s="9" t="inlineStr"/>
      <c r="L17" s="9">
        <f>IF(K17="","",K17-J17)</f>
        <v/>
      </c>
      <c r="M17" s="9">
        <f>Config!$B$8</f>
        <v/>
      </c>
      <c r="N17">
        <f>IF(OR(E17="",H17="",K17=""),"PENDING",IF(AND(F17=0,ABS(I17)&lt;=M17,ABS(L17)&lt;=M17),"PASS","FAIL"))</f>
        <v/>
      </c>
      <c r="O17" t="inlineStr">
        <is>
          <t>Paste actual values from API/UI/export</t>
        </is>
      </c>
    </row>
    <row r="18">
      <c r="A18" t="inlineStr">
        <is>
          <t>Business</t>
        </is>
      </c>
      <c r="B18" t="inlineStr">
        <is>
          <t>Business</t>
        </is>
      </c>
      <c r="C18" t="inlineStr">
        <is>
          <t>Team Operations</t>
        </is>
      </c>
      <c r="D18">
        <f>COUNTIFS(Transactions!$C:$C,A18,Transactions!$D:$D,B18,Transactions!$E:$E,C18)</f>
        <v/>
      </c>
      <c r="F18">
        <f>IF(E18="","",E18-D18)</f>
        <v/>
      </c>
      <c r="G18" s="9">
        <f>SUMIFS(Transactions!$K:$K,Transactions!$C:$C,A18,Transactions!$D:$D,B18,Transactions!$E:$E,C18)</f>
        <v/>
      </c>
      <c r="H18" s="9" t="inlineStr"/>
      <c r="I18" s="9">
        <f>IF(H18="","",H18-G18)</f>
        <v/>
      </c>
      <c r="J18" s="9">
        <f>SUMIFS(Transactions!$M:$M,Transactions!$C:$C,A18,Transactions!$D:$D,B18,Transactions!$E:$E,C18)</f>
        <v/>
      </c>
      <c r="K18" s="9" t="inlineStr"/>
      <c r="L18" s="9">
        <f>IF(K18="","",K18-J18)</f>
        <v/>
      </c>
      <c r="M18" s="9">
        <f>Config!$B$8</f>
        <v/>
      </c>
      <c r="N18">
        <f>IF(OR(E18="",H18="",K18=""),"PENDING",IF(AND(F18=0,ABS(I18)&lt;=M18,ABS(L18)&lt;=M18),"PASS","FAIL"))</f>
        <v/>
      </c>
      <c r="O18" t="inlineStr">
        <is>
          <t>Paste actual values from API/UI/export</t>
        </is>
      </c>
    </row>
    <row r="19">
      <c r="A19" t="inlineStr">
        <is>
          <t>Business</t>
        </is>
      </c>
      <c r="B19" t="inlineStr">
        <is>
          <t>Business</t>
        </is>
      </c>
      <c r="C19" t="inlineStr">
        <is>
          <t>Business Runway</t>
        </is>
      </c>
      <c r="D19">
        <f>COUNTIFS(Transactions!$C:$C,A19,Transactions!$D:$D,B19,Transactions!$E:$E,C19)</f>
        <v/>
      </c>
      <c r="F19">
        <f>IF(E19="","",E19-D19)</f>
        <v/>
      </c>
      <c r="G19" s="9">
        <f>SUMIFS(Transactions!$K:$K,Transactions!$C:$C,A19,Transactions!$D:$D,B19,Transactions!$E:$E,C19)</f>
        <v/>
      </c>
      <c r="H19" s="9" t="inlineStr"/>
      <c r="I19" s="9">
        <f>IF(H19="","",H19-G19)</f>
        <v/>
      </c>
      <c r="J19" s="9">
        <f>SUMIFS(Transactions!$M:$M,Transactions!$C:$C,A19,Transactions!$D:$D,B19,Transactions!$E:$E,C19)</f>
        <v/>
      </c>
      <c r="K19" s="9" t="inlineStr"/>
      <c r="L19" s="9">
        <f>IF(K19="","",K19-J19)</f>
        <v/>
      </c>
      <c r="M19" s="9">
        <f>Config!$B$8</f>
        <v/>
      </c>
      <c r="N19">
        <f>IF(OR(E19="",H19="",K19=""),"PENDING",IF(AND(F19=0,ABS(I19)&lt;=M19,ABS(L19)&lt;=M19),"PASS","FAIL"))</f>
        <v/>
      </c>
      <c r="O19" t="inlineStr">
        <is>
          <t>Paste actual values from API/UI/export</t>
        </is>
      </c>
    </row>
    <row r="20">
      <c r="A20" t="inlineStr">
        <is>
          <t>Business</t>
        </is>
      </c>
      <c r="B20" t="inlineStr">
        <is>
          <t>Business</t>
        </is>
      </c>
      <c r="C20" t="inlineStr">
        <is>
          <t>Business Operations</t>
        </is>
      </c>
      <c r="D20">
        <f>COUNTIFS(Transactions!$C:$C,A20,Transactions!$D:$D,B20,Transactions!$E:$E,C20)</f>
        <v/>
      </c>
      <c r="F20">
        <f>IF(E20="","",E20-D20)</f>
        <v/>
      </c>
      <c r="G20" s="9">
        <f>SUMIFS(Transactions!$K:$K,Transactions!$C:$C,A20,Transactions!$D:$D,B20,Transactions!$E:$E,C20)</f>
        <v/>
      </c>
      <c r="H20" s="9" t="inlineStr"/>
      <c r="I20" s="9">
        <f>IF(H20="","",H20-G20)</f>
        <v/>
      </c>
      <c r="J20" s="9">
        <f>SUMIFS(Transactions!$M:$M,Transactions!$C:$C,A20,Transactions!$D:$D,B20,Transactions!$E:$E,C20)</f>
        <v/>
      </c>
      <c r="K20" s="9" t="inlineStr"/>
      <c r="L20" s="9">
        <f>IF(K20="","",K20-J20)</f>
        <v/>
      </c>
      <c r="M20" s="9">
        <f>Config!$B$8</f>
        <v/>
      </c>
      <c r="N20">
        <f>IF(OR(E20="",H20="",K20=""),"PENDING",IF(AND(F20=0,ABS(I20)&lt;=M20,ABS(L20)&lt;=M20),"PASS","FAIL"))</f>
        <v/>
      </c>
      <c r="O20" t="inlineStr">
        <is>
          <t>Paste actual values from API/UI/export</t>
        </is>
      </c>
    </row>
  </sheetData>
  <conditionalFormatting sqref="N2:N20">
    <cfRule type="cellIs" priority="1" operator="equal" dxfId="1">
      <formula>"PASS"</formula>
    </cfRule>
    <cfRule type="cellIs" priority="2" operator="equal" dxfId="2">
      <formula>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0" customWidth="1" min="5" max="5"/>
    <col width="22" customWidth="1" min="6" max="6"/>
    <col width="22" customWidth="1" min="7" max="7"/>
    <col width="58" customWidth="1" min="8" max="8"/>
    <col width="14" customWidth="1" min="9" max="9"/>
    <col width="55" customWidth="1" min="10" max="10"/>
    <col width="15" customWidth="1" min="11" max="11"/>
    <col width="18" customWidth="1" min="12" max="12"/>
    <col width="18" customWidth="1" min="13" max="13"/>
    <col width="14" customWidth="1" min="14" max="14"/>
    <col width="20" customWidth="1" min="15" max="15"/>
    <col width="13" customWidth="1" min="16" max="16"/>
    <col width="22" customWidth="1" min="17" max="17"/>
    <col width="36" customWidth="1" min="18" max="18"/>
  </cols>
  <sheetData>
    <row r="1" ht="30" customHeight="1">
      <c r="A1" s="4" t="inlineStr">
        <is>
          <t>Sequence</t>
        </is>
      </c>
      <c r="B1" s="4" t="inlineStr">
        <is>
          <t>Txn_ID</t>
        </is>
      </c>
      <c r="C1" s="4" t="inlineStr">
        <is>
          <t>Device</t>
        </is>
      </c>
      <c r="D1" s="4" t="inlineStr">
        <is>
          <t>Mode</t>
        </is>
      </c>
      <c r="E1" s="4" t="inlineStr">
        <is>
          <t>Family</t>
        </is>
      </c>
      <c r="F1" s="4" t="inlineStr">
        <is>
          <t>Moment</t>
        </is>
      </c>
      <c r="G1" s="4" t="inlineStr">
        <is>
          <t>Quick_Add</t>
        </is>
      </c>
      <c r="H1" s="4" t="inlineStr">
        <is>
          <t>UI_Path</t>
        </is>
      </c>
      <c r="I1" s="4" t="inlineStr">
        <is>
          <t>Amount</t>
        </is>
      </c>
      <c r="J1" s="4" t="inlineStr">
        <is>
          <t>Expected_Assertion</t>
        </is>
      </c>
      <c r="K1" s="4" t="inlineStr">
        <is>
          <t>Run_Status</t>
        </is>
      </c>
      <c r="L1" s="4" t="inlineStr">
        <is>
          <t>UI_Duration_ms</t>
        </is>
      </c>
      <c r="M1" s="4" t="inlineStr">
        <is>
          <t>API_Duration_ms</t>
        </is>
      </c>
      <c r="N1" s="4" t="inlineStr">
        <is>
          <t>HTTP_Status</t>
        </is>
      </c>
      <c r="O1" s="4" t="inlineStr">
        <is>
          <t>Backend_Txn_ID</t>
        </is>
      </c>
      <c r="P1" s="4" t="inlineStr">
        <is>
          <t>Retry_Count</t>
        </is>
      </c>
      <c r="Q1" s="4" t="inlineStr">
        <is>
          <t>Observed_Count_After</t>
        </is>
      </c>
      <c r="R1" s="4" t="inlineStr">
        <is>
          <t>Notes</t>
        </is>
      </c>
    </row>
    <row r="2">
      <c r="A2" t="n">
        <v>1</v>
      </c>
      <c r="B2" t="inlineStr">
        <is>
          <t>MTR-IOS-0001</t>
        </is>
      </c>
      <c r="C2" t="inlineStr">
        <is>
          <t>iPhone</t>
        </is>
      </c>
      <c r="D2" t="inlineStr">
        <is>
          <t>Personal</t>
        </is>
      </c>
      <c r="E2" t="inlineStr">
        <is>
          <t>Personal</t>
        </is>
      </c>
      <c r="F2" t="inlineStr">
        <is>
          <t>Life Operations</t>
        </is>
      </c>
      <c r="G2" t="inlineStr">
        <is>
          <t>Groceries</t>
        </is>
      </c>
      <c r="H2" t="inlineStr">
        <is>
          <t>Personal &gt; Life Operations &gt; Quick Add &gt; Groceries</t>
        </is>
      </c>
      <c r="I2" s="18" t="n">
        <v>14066.5</v>
      </c>
      <c r="J2" t="inlineStr">
        <is>
          <t>Created MTR-IOS-0001 and correlation note visible in Activity/Pulse</t>
        </is>
      </c>
      <c r="K2" t="inlineStr">
        <is>
          <t>NOT_RUN</t>
        </is>
      </c>
      <c r="P2" t="n">
        <v>0</v>
      </c>
      <c r="Q2" t="n">
        <v>1</v>
      </c>
    </row>
    <row r="3">
      <c r="A3" t="n">
        <v>2</v>
      </c>
      <c r="B3" t="inlineStr">
        <is>
          <t>MTR-IOS-0002</t>
        </is>
      </c>
      <c r="C3" t="inlineStr">
        <is>
          <t>iPhone</t>
        </is>
      </c>
      <c r="D3" t="inlineStr">
        <is>
          <t>Group</t>
        </is>
      </c>
      <c r="E3" t="inlineStr">
        <is>
          <t>Shared Experience</t>
        </is>
      </c>
      <c r="F3" t="inlineStr">
        <is>
          <t>Trip</t>
        </is>
      </c>
      <c r="G3" t="inlineStr">
        <is>
          <t>Travel</t>
        </is>
      </c>
      <c r="H3" t="inlineStr">
        <is>
          <t>Group &gt; Trip &gt; Quick Add &gt; Travel</t>
        </is>
      </c>
      <c r="I3" s="18" t="n">
        <v>26868.32</v>
      </c>
      <c r="J3" t="inlineStr">
        <is>
          <t>Created MTR-IOS-0002 and correlation note visible in Activity/Pulse</t>
        </is>
      </c>
      <c r="K3" t="inlineStr">
        <is>
          <t>NOT_RUN</t>
        </is>
      </c>
      <c r="P3" t="n">
        <v>0</v>
      </c>
      <c r="Q3" t="n">
        <v>2</v>
      </c>
    </row>
    <row r="4">
      <c r="A4" t="n">
        <v>3</v>
      </c>
      <c r="B4" t="inlineStr">
        <is>
          <t>MTR-IOS-0003</t>
        </is>
      </c>
      <c r="C4" t="inlineStr">
        <is>
          <t>iPhone</t>
        </is>
      </c>
      <c r="D4" t="inlineStr">
        <is>
          <t>Business</t>
        </is>
      </c>
      <c r="E4" t="inlineStr">
        <is>
          <t>Business</t>
        </is>
      </c>
      <c r="F4" t="inlineStr">
        <is>
          <t>Team Operations</t>
        </is>
      </c>
      <c r="G4" t="inlineStr">
        <is>
          <t>Payroll</t>
        </is>
      </c>
      <c r="H4" t="inlineStr">
        <is>
          <t>Business &gt; Team Operations &gt; Quick Add &gt; Payroll</t>
        </is>
      </c>
      <c r="I4" s="18" t="n">
        <v>57453.63</v>
      </c>
      <c r="J4" t="inlineStr">
        <is>
          <t>Created MTR-IOS-0003 and correlation note visible in Activity/Pulse</t>
        </is>
      </c>
      <c r="K4" t="inlineStr">
        <is>
          <t>NOT_RUN</t>
        </is>
      </c>
      <c r="P4" t="n">
        <v>0</v>
      </c>
      <c r="Q4" t="n">
        <v>3</v>
      </c>
    </row>
    <row r="5">
      <c r="A5" t="n">
        <v>4</v>
      </c>
      <c r="B5" t="inlineStr">
        <is>
          <t>MTR-IOS-0004</t>
        </is>
      </c>
      <c r="C5" t="inlineStr">
        <is>
          <t>iPhone</t>
        </is>
      </c>
      <c r="D5" t="inlineStr">
        <is>
          <t>Personal</t>
        </is>
      </c>
      <c r="E5" t="inlineStr">
        <is>
          <t>Personal</t>
        </is>
      </c>
      <c r="F5" t="inlineStr">
        <is>
          <t>Life Operations</t>
        </is>
      </c>
      <c r="G5" t="inlineStr">
        <is>
          <t>Rent</t>
        </is>
      </c>
      <c r="H5" t="inlineStr">
        <is>
          <t>Personal &gt; Life Operations &gt; Quick Add &gt; Rent</t>
        </is>
      </c>
      <c r="I5" s="18" t="n">
        <v>2414.9</v>
      </c>
      <c r="J5" t="inlineStr">
        <is>
          <t>Created MTR-IOS-0004 and correlation note visible in Activity/Pulse</t>
        </is>
      </c>
      <c r="K5" t="inlineStr">
        <is>
          <t>NOT_RUN</t>
        </is>
      </c>
      <c r="P5" t="n">
        <v>0</v>
      </c>
      <c r="Q5" t="n">
        <v>4</v>
      </c>
    </row>
    <row r="6">
      <c r="A6" t="n">
        <v>5</v>
      </c>
      <c r="B6" t="inlineStr">
        <is>
          <t>MTR-IOS-0005</t>
        </is>
      </c>
      <c r="C6" t="inlineStr">
        <is>
          <t>iPhone</t>
        </is>
      </c>
      <c r="D6" t="inlineStr">
        <is>
          <t>Group</t>
        </is>
      </c>
      <c r="E6" t="inlineStr">
        <is>
          <t>Shared Experience</t>
        </is>
      </c>
      <c r="F6" t="inlineStr">
        <is>
          <t>Trip</t>
        </is>
      </c>
      <c r="G6" t="inlineStr">
        <is>
          <t>Stay</t>
        </is>
      </c>
      <c r="H6" t="inlineStr">
        <is>
          <t>Group &gt; Trip &gt; Quick Add &gt; Stay</t>
        </is>
      </c>
      <c r="I6" s="18" t="n">
        <v>18351.21</v>
      </c>
      <c r="J6" t="inlineStr">
        <is>
          <t>Created MTR-IOS-0005 and correlation note visible in Activity/Pulse</t>
        </is>
      </c>
      <c r="K6" t="inlineStr">
        <is>
          <t>NOT_RUN</t>
        </is>
      </c>
      <c r="P6" t="n">
        <v>0</v>
      </c>
      <c r="Q6" t="n">
        <v>5</v>
      </c>
    </row>
    <row r="7">
      <c r="A7" t="n">
        <v>6</v>
      </c>
      <c r="B7" t="inlineStr">
        <is>
          <t>MTR-IOS-0006</t>
        </is>
      </c>
      <c r="C7" t="inlineStr">
        <is>
          <t>iPhone</t>
        </is>
      </c>
      <c r="D7" t="inlineStr">
        <is>
          <t>Business</t>
        </is>
      </c>
      <c r="E7" t="inlineStr">
        <is>
          <t>Business</t>
        </is>
      </c>
      <c r="F7" t="inlineStr">
        <is>
          <t>Team Operations</t>
        </is>
      </c>
      <c r="G7" t="inlineStr">
        <is>
          <t>Contractor</t>
        </is>
      </c>
      <c r="H7" t="inlineStr">
        <is>
          <t>Business &gt; Team Operations &gt; Quick Add &gt; Contractor</t>
        </is>
      </c>
      <c r="I7" s="18" t="n">
        <v>109737.08</v>
      </c>
      <c r="J7" t="inlineStr">
        <is>
          <t>Created MTR-IOS-0006 and correlation note visible in Activity/Pulse</t>
        </is>
      </c>
      <c r="K7" t="inlineStr">
        <is>
          <t>NOT_RUN</t>
        </is>
      </c>
      <c r="P7" t="n">
        <v>0</v>
      </c>
      <c r="Q7" t="n">
        <v>6</v>
      </c>
    </row>
    <row r="8">
      <c r="A8" t="n">
        <v>7</v>
      </c>
      <c r="B8" t="inlineStr">
        <is>
          <t>MTR-IOS-0007</t>
        </is>
      </c>
      <c r="C8" t="inlineStr">
        <is>
          <t>iPhone</t>
        </is>
      </c>
      <c r="D8" t="inlineStr">
        <is>
          <t>Personal</t>
        </is>
      </c>
      <c r="E8" t="inlineStr">
        <is>
          <t>Personal</t>
        </is>
      </c>
      <c r="F8" t="inlineStr">
        <is>
          <t>Life Operations</t>
        </is>
      </c>
      <c r="G8" t="inlineStr">
        <is>
          <t>Bills</t>
        </is>
      </c>
      <c r="H8" t="inlineStr">
        <is>
          <t>Personal &gt; Life Operations &gt; Quick Add &gt; Bills</t>
        </is>
      </c>
      <c r="I8" s="18" t="n">
        <v>7285.65</v>
      </c>
      <c r="J8" t="inlineStr">
        <is>
          <t>Created MTR-IOS-0007 and correlation note visible in Activity/Pulse</t>
        </is>
      </c>
      <c r="K8" t="inlineStr">
        <is>
          <t>NOT_RUN</t>
        </is>
      </c>
      <c r="P8" t="n">
        <v>0</v>
      </c>
      <c r="Q8" t="n">
        <v>7</v>
      </c>
    </row>
    <row r="9">
      <c r="A9" t="n">
        <v>8</v>
      </c>
      <c r="B9" t="inlineStr">
        <is>
          <t>MTR-IOS-0008</t>
        </is>
      </c>
      <c r="C9" t="inlineStr">
        <is>
          <t>iPhone</t>
        </is>
      </c>
      <c r="D9" t="inlineStr">
        <is>
          <t>Group</t>
        </is>
      </c>
      <c r="E9" t="inlineStr">
        <is>
          <t>Shared Experience</t>
        </is>
      </c>
      <c r="F9" t="inlineStr">
        <is>
          <t>Trip</t>
        </is>
      </c>
      <c r="G9" t="inlineStr">
        <is>
          <t>Food</t>
        </is>
      </c>
      <c r="H9" t="inlineStr">
        <is>
          <t>Group &gt; Trip &gt; Quick Add &gt; Food</t>
        </is>
      </c>
      <c r="I9" s="18" t="n">
        <v>25422.15</v>
      </c>
      <c r="J9" t="inlineStr">
        <is>
          <t>Created MTR-IOS-0008 and correlation note visible in Activity/Pulse</t>
        </is>
      </c>
      <c r="K9" t="inlineStr">
        <is>
          <t>NOT_RUN</t>
        </is>
      </c>
      <c r="P9" t="n">
        <v>0</v>
      </c>
      <c r="Q9" t="n">
        <v>8</v>
      </c>
    </row>
    <row r="10">
      <c r="A10" t="n">
        <v>9</v>
      </c>
      <c r="B10" t="inlineStr">
        <is>
          <t>MTR-IOS-0009</t>
        </is>
      </c>
      <c r="C10" t="inlineStr">
        <is>
          <t>iPhone</t>
        </is>
      </c>
      <c r="D10" t="inlineStr">
        <is>
          <t>Business</t>
        </is>
      </c>
      <c r="E10" t="inlineStr">
        <is>
          <t>Business</t>
        </is>
      </c>
      <c r="F10" t="inlineStr">
        <is>
          <t>Team Operations</t>
        </is>
      </c>
      <c r="G10" t="inlineStr">
        <is>
          <t>Hiring</t>
        </is>
      </c>
      <c r="H10" t="inlineStr">
        <is>
          <t>Business &gt; Team Operations &gt; Quick Add &gt; Hiring</t>
        </is>
      </c>
      <c r="I10" s="18" t="n">
        <v>142974.65</v>
      </c>
      <c r="J10" t="inlineStr">
        <is>
          <t>Created MTR-IOS-0009 and correlation note visible in Activity/Pulse</t>
        </is>
      </c>
      <c r="K10" t="inlineStr">
        <is>
          <t>NOT_RUN</t>
        </is>
      </c>
      <c r="P10" t="n">
        <v>0</v>
      </c>
      <c r="Q10" t="n">
        <v>9</v>
      </c>
    </row>
    <row r="11">
      <c r="A11" t="n">
        <v>10</v>
      </c>
      <c r="B11" t="inlineStr">
        <is>
          <t>MTR-IOS-0010</t>
        </is>
      </c>
      <c r="C11" t="inlineStr">
        <is>
          <t>iPhone</t>
        </is>
      </c>
      <c r="D11" t="inlineStr">
        <is>
          <t>Personal</t>
        </is>
      </c>
      <c r="E11" t="inlineStr">
        <is>
          <t>Personal</t>
        </is>
      </c>
      <c r="F11" t="inlineStr">
        <is>
          <t>Life Operations</t>
        </is>
      </c>
      <c r="G11" t="inlineStr">
        <is>
          <t>Transport</t>
        </is>
      </c>
      <c r="H11" t="inlineStr">
        <is>
          <t>Personal &gt; Life Operations &gt; Quick Add &gt; Transport</t>
        </is>
      </c>
      <c r="I11" s="18" t="n">
        <v>13838.38</v>
      </c>
      <c r="J11" t="inlineStr">
        <is>
          <t>Created MTR-IOS-0010 and correlation note visible in Activity/Pulse</t>
        </is>
      </c>
      <c r="K11" t="inlineStr">
        <is>
          <t>NOT_RUN</t>
        </is>
      </c>
      <c r="P11" t="n">
        <v>0</v>
      </c>
      <c r="Q11" t="n">
        <v>10</v>
      </c>
    </row>
    <row r="12">
      <c r="A12" t="n">
        <v>11</v>
      </c>
      <c r="B12" t="inlineStr">
        <is>
          <t>MTR-IOS-0011</t>
        </is>
      </c>
      <c r="C12" t="inlineStr">
        <is>
          <t>iPhone</t>
        </is>
      </c>
      <c r="D12" t="inlineStr">
        <is>
          <t>Group</t>
        </is>
      </c>
      <c r="E12" t="inlineStr">
        <is>
          <t>Shared Experience</t>
        </is>
      </c>
      <c r="F12" t="inlineStr">
        <is>
          <t>Trip</t>
        </is>
      </c>
      <c r="G12" t="inlineStr">
        <is>
          <t>Local Transport</t>
        </is>
      </c>
      <c r="H12" t="inlineStr">
        <is>
          <t>Group &gt; Trip &gt; Quick Add &gt; Local Transport</t>
        </is>
      </c>
      <c r="I12" s="18" t="n">
        <v>20814.45</v>
      </c>
      <c r="J12" t="inlineStr">
        <is>
          <t>Created MTR-IOS-0011 and correlation note visible in Activity/Pulse</t>
        </is>
      </c>
      <c r="K12" t="inlineStr">
        <is>
          <t>NOT_RUN</t>
        </is>
      </c>
      <c r="P12" t="n">
        <v>0</v>
      </c>
      <c r="Q12" t="n">
        <v>11</v>
      </c>
    </row>
    <row r="13">
      <c r="A13" t="n">
        <v>12</v>
      </c>
      <c r="B13" t="inlineStr">
        <is>
          <t>MTR-IOS-0012</t>
        </is>
      </c>
      <c r="C13" t="inlineStr">
        <is>
          <t>iPhone</t>
        </is>
      </c>
      <c r="D13" t="inlineStr">
        <is>
          <t>Business</t>
        </is>
      </c>
      <c r="E13" t="inlineStr">
        <is>
          <t>Business</t>
        </is>
      </c>
      <c r="F13" t="inlineStr">
        <is>
          <t>Team Operations</t>
        </is>
      </c>
      <c r="G13" t="inlineStr">
        <is>
          <t>Team Meal</t>
        </is>
      </c>
      <c r="H13" t="inlineStr">
        <is>
          <t>Business &gt; Team Operations &gt; Quick Add &gt; Team Meal</t>
        </is>
      </c>
      <c r="I13" s="18" t="n">
        <v>153816.21</v>
      </c>
      <c r="J13" t="inlineStr">
        <is>
          <t>Created MTR-IOS-0012 and correlation note visible in Activity/Pulse</t>
        </is>
      </c>
      <c r="K13" t="inlineStr">
        <is>
          <t>NOT_RUN</t>
        </is>
      </c>
      <c r="P13" t="n">
        <v>0</v>
      </c>
      <c r="Q13" t="n">
        <v>12</v>
      </c>
    </row>
    <row r="14">
      <c r="A14" t="n">
        <v>13</v>
      </c>
      <c r="B14" t="inlineStr">
        <is>
          <t>MTR-IOS-0013</t>
        </is>
      </c>
      <c r="C14" t="inlineStr">
        <is>
          <t>iPhone</t>
        </is>
      </c>
      <c r="D14" t="inlineStr">
        <is>
          <t>Personal</t>
        </is>
      </c>
      <c r="E14" t="inlineStr">
        <is>
          <t>Personal</t>
        </is>
      </c>
      <c r="F14" t="inlineStr">
        <is>
          <t>Life Operations</t>
        </is>
      </c>
      <c r="G14" t="inlineStr">
        <is>
          <t>Healthcare</t>
        </is>
      </c>
      <c r="H14" t="inlineStr">
        <is>
          <t>Personal &gt; Life Operations &gt; Quick Add &gt; Healthcare</t>
        </is>
      </c>
      <c r="I14" s="18" t="n">
        <v>12883.33</v>
      </c>
      <c r="J14" t="inlineStr">
        <is>
          <t>Created MTR-IOS-0013 and correlation note visible in Activity/Pulse</t>
        </is>
      </c>
      <c r="K14" t="inlineStr">
        <is>
          <t>NOT_RUN</t>
        </is>
      </c>
      <c r="P14" t="n">
        <v>0</v>
      </c>
      <c r="Q14" t="n">
        <v>13</v>
      </c>
    </row>
    <row r="15">
      <c r="A15" t="n">
        <v>14</v>
      </c>
      <c r="B15" t="inlineStr">
        <is>
          <t>MTR-IOS-0014</t>
        </is>
      </c>
      <c r="C15" t="inlineStr">
        <is>
          <t>iPhone</t>
        </is>
      </c>
      <c r="D15" t="inlineStr">
        <is>
          <t>Group</t>
        </is>
      </c>
      <c r="E15" t="inlineStr">
        <is>
          <t>Shared Experience</t>
        </is>
      </c>
      <c r="F15" t="inlineStr">
        <is>
          <t>Trip</t>
        </is>
      </c>
      <c r="G15" t="inlineStr">
        <is>
          <t>Activities</t>
        </is>
      </c>
      <c r="H15" t="inlineStr">
        <is>
          <t>Group &gt; Trip &gt; Quick Add &gt; Activities</t>
        </is>
      </c>
      <c r="I15" s="18" t="n">
        <v>8585.780000000001</v>
      </c>
      <c r="J15" t="inlineStr">
        <is>
          <t>Created MTR-IOS-0014 and correlation note visible in Activity/Pulse</t>
        </is>
      </c>
      <c r="K15" t="inlineStr">
        <is>
          <t>NOT_RUN</t>
        </is>
      </c>
      <c r="P15" t="n">
        <v>0</v>
      </c>
      <c r="Q15" t="n">
        <v>14</v>
      </c>
    </row>
    <row r="16">
      <c r="A16" t="n">
        <v>15</v>
      </c>
      <c r="B16" t="inlineStr">
        <is>
          <t>MTR-IOS-0015</t>
        </is>
      </c>
      <c r="C16" t="inlineStr">
        <is>
          <t>iPhone</t>
        </is>
      </c>
      <c r="D16" t="inlineStr">
        <is>
          <t>Business</t>
        </is>
      </c>
      <c r="E16" t="inlineStr">
        <is>
          <t>Business</t>
        </is>
      </c>
      <c r="F16" t="inlineStr">
        <is>
          <t>Team Operations</t>
        </is>
      </c>
      <c r="G16" t="inlineStr">
        <is>
          <t>Travel</t>
        </is>
      </c>
      <c r="H16" t="inlineStr">
        <is>
          <t>Business &gt; Team Operations &gt; Quick Add &gt; Travel</t>
        </is>
      </c>
      <c r="I16" s="18" t="n">
        <v>126238.94</v>
      </c>
      <c r="J16" t="inlineStr">
        <is>
          <t>Created MTR-IOS-0015 and correlation note visible in Activity/Pulse</t>
        </is>
      </c>
      <c r="K16" t="inlineStr">
        <is>
          <t>NOT_RUN</t>
        </is>
      </c>
      <c r="P16" t="n">
        <v>0</v>
      </c>
      <c r="Q16" t="n">
        <v>15</v>
      </c>
    </row>
    <row r="17">
      <c r="A17" t="n">
        <v>16</v>
      </c>
      <c r="B17" t="inlineStr">
        <is>
          <t>MTR-IOS-0016</t>
        </is>
      </c>
      <c r="C17" t="inlineStr">
        <is>
          <t>iPhone</t>
        </is>
      </c>
      <c r="D17" t="inlineStr">
        <is>
          <t>Personal</t>
        </is>
      </c>
      <c r="E17" t="inlineStr">
        <is>
          <t>Personal</t>
        </is>
      </c>
      <c r="F17" t="inlineStr">
        <is>
          <t>Life Operations</t>
        </is>
      </c>
      <c r="G17" t="inlineStr">
        <is>
          <t>Subscriptions</t>
        </is>
      </c>
      <c r="H17" t="inlineStr">
        <is>
          <t>Personal &gt; Life Operations &gt; Quick Add &gt; Subscriptions</t>
        </is>
      </c>
      <c r="I17" s="18" t="n">
        <v>12564.33</v>
      </c>
      <c r="J17" t="inlineStr">
        <is>
          <t>Created MTR-IOS-0016 and correlation note visible in Activity/Pulse</t>
        </is>
      </c>
      <c r="K17" t="inlineStr">
        <is>
          <t>NOT_RUN</t>
        </is>
      </c>
      <c r="P17" t="n">
        <v>0</v>
      </c>
      <c r="Q17" t="n">
        <v>16</v>
      </c>
    </row>
    <row r="18">
      <c r="A18" t="n">
        <v>17</v>
      </c>
      <c r="B18" t="inlineStr">
        <is>
          <t>MTR-IOS-0017</t>
        </is>
      </c>
      <c r="C18" t="inlineStr">
        <is>
          <t>iPhone</t>
        </is>
      </c>
      <c r="D18" t="inlineStr">
        <is>
          <t>Group</t>
        </is>
      </c>
      <c r="E18" t="inlineStr">
        <is>
          <t>Shared Experience</t>
        </is>
      </c>
      <c r="F18" t="inlineStr">
        <is>
          <t>Trip</t>
        </is>
      </c>
      <c r="G18" t="inlineStr">
        <is>
          <t>Shopping</t>
        </is>
      </c>
      <c r="H18" t="inlineStr">
        <is>
          <t>Group &gt; Trip &gt; Quick Add &gt; Shopping</t>
        </is>
      </c>
      <c r="I18" s="18" t="n">
        <v>14891.49</v>
      </c>
      <c r="J18" t="inlineStr">
        <is>
          <t>Created MTR-IOS-0017 and correlation note visible in Activity/Pulse</t>
        </is>
      </c>
      <c r="K18" t="inlineStr">
        <is>
          <t>NOT_RUN</t>
        </is>
      </c>
      <c r="P18" t="n">
        <v>0</v>
      </c>
      <c r="Q18" t="n">
        <v>17</v>
      </c>
    </row>
    <row r="19">
      <c r="A19" t="n">
        <v>18</v>
      </c>
      <c r="B19" t="inlineStr">
        <is>
          <t>MTR-IOS-0018</t>
        </is>
      </c>
      <c r="C19" t="inlineStr">
        <is>
          <t>iPhone</t>
        </is>
      </c>
      <c r="D19" t="inlineStr">
        <is>
          <t>Business</t>
        </is>
      </c>
      <c r="E19" t="inlineStr">
        <is>
          <t>Business</t>
        </is>
      </c>
      <c r="F19" t="inlineStr">
        <is>
          <t>Team Operations</t>
        </is>
      </c>
      <c r="G19" t="inlineStr">
        <is>
          <t>Training</t>
        </is>
      </c>
      <c r="H19" t="inlineStr">
        <is>
          <t>Business &gt; Team Operations &gt; Quick Add &gt; Training</t>
        </is>
      </c>
      <c r="I19" s="18" t="n">
        <v>77896.48</v>
      </c>
      <c r="J19" t="inlineStr">
        <is>
          <t>Created MTR-IOS-0018 and correlation note visible in Activity/Pulse</t>
        </is>
      </c>
      <c r="K19" t="inlineStr">
        <is>
          <t>NOT_RUN</t>
        </is>
      </c>
      <c r="P19" t="n">
        <v>0</v>
      </c>
      <c r="Q19" t="n">
        <v>18</v>
      </c>
    </row>
    <row r="20">
      <c r="A20" t="n">
        <v>19</v>
      </c>
      <c r="B20" t="inlineStr">
        <is>
          <t>MTR-IOS-0019</t>
        </is>
      </c>
      <c r="C20" t="inlineStr">
        <is>
          <t>iPhone</t>
        </is>
      </c>
      <c r="D20" t="inlineStr">
        <is>
          <t>Personal</t>
        </is>
      </c>
      <c r="E20" t="inlineStr">
        <is>
          <t>Personal</t>
        </is>
      </c>
      <c r="F20" t="inlineStr">
        <is>
          <t>Life Operations</t>
        </is>
      </c>
      <c r="G20" t="inlineStr">
        <is>
          <t>Repairs</t>
        </is>
      </c>
      <c r="H20" t="inlineStr">
        <is>
          <t>Personal &gt; Life Operations &gt; Quick Add &gt; Repairs</t>
        </is>
      </c>
      <c r="I20" s="18" t="n">
        <v>17848.59</v>
      </c>
      <c r="J20" t="inlineStr">
        <is>
          <t>Created MTR-IOS-0019 and correlation note visible in Activity/Pulse</t>
        </is>
      </c>
      <c r="K20" t="inlineStr">
        <is>
          <t>NOT_RUN</t>
        </is>
      </c>
      <c r="P20" t="n">
        <v>0</v>
      </c>
      <c r="Q20" t="n">
        <v>19</v>
      </c>
    </row>
    <row r="21">
      <c r="A21" t="n">
        <v>20</v>
      </c>
      <c r="B21" t="inlineStr">
        <is>
          <t>MTR-IOS-0020</t>
        </is>
      </c>
      <c r="C21" t="inlineStr">
        <is>
          <t>iPhone</t>
        </is>
      </c>
      <c r="D21" t="inlineStr">
        <is>
          <t>Group</t>
        </is>
      </c>
      <c r="E21" t="inlineStr">
        <is>
          <t>Shared Experience</t>
        </is>
      </c>
      <c r="F21" t="inlineStr">
        <is>
          <t>Trip</t>
        </is>
      </c>
      <c r="G21" t="inlineStr">
        <is>
          <t>Other</t>
        </is>
      </c>
      <c r="H21" t="inlineStr">
        <is>
          <t>Group &gt; Trip &gt; Quick Add &gt; Other</t>
        </is>
      </c>
      <c r="I21" s="18" t="n">
        <v>16125.67</v>
      </c>
      <c r="J21" t="inlineStr">
        <is>
          <t>Created MTR-IOS-0020 and correlation note visible in Activity/Pulse</t>
        </is>
      </c>
      <c r="K21" t="inlineStr">
        <is>
          <t>NOT_RUN</t>
        </is>
      </c>
      <c r="P21" t="n">
        <v>0</v>
      </c>
      <c r="Q21" t="n">
        <v>20</v>
      </c>
    </row>
    <row r="22">
      <c r="A22" t="n">
        <v>21</v>
      </c>
      <c r="B22" t="inlineStr">
        <is>
          <t>MTR-IOS-0021</t>
        </is>
      </c>
      <c r="C22" t="inlineStr">
        <is>
          <t>iPhone</t>
        </is>
      </c>
      <c r="D22" t="inlineStr">
        <is>
          <t>Business</t>
        </is>
      </c>
      <c r="E22" t="inlineStr">
        <is>
          <t>Business</t>
        </is>
      </c>
      <c r="F22" t="inlineStr">
        <is>
          <t>Team Operations</t>
        </is>
      </c>
      <c r="G22" t="inlineStr">
        <is>
          <t>Tools</t>
        </is>
      </c>
      <c r="H22" t="inlineStr">
        <is>
          <t>Business &gt; Team Operations &gt; Quick Add &gt; Tools</t>
        </is>
      </c>
      <c r="I22" s="18" t="n">
        <v>135446.27</v>
      </c>
      <c r="J22" t="inlineStr">
        <is>
          <t>Created MTR-IOS-0021 and correlation note visible in Activity/Pulse</t>
        </is>
      </c>
      <c r="K22" t="inlineStr">
        <is>
          <t>NOT_RUN</t>
        </is>
      </c>
      <c r="P22" t="n">
        <v>0</v>
      </c>
      <c r="Q22" t="n">
        <v>21</v>
      </c>
    </row>
    <row r="23">
      <c r="A23" t="n">
        <v>22</v>
      </c>
      <c r="B23" t="inlineStr">
        <is>
          <t>MTR-IOS-0022</t>
        </is>
      </c>
      <c r="C23" t="inlineStr">
        <is>
          <t>iPhone</t>
        </is>
      </c>
      <c r="D23" t="inlineStr">
        <is>
          <t>Personal</t>
        </is>
      </c>
      <c r="E23" t="inlineStr">
        <is>
          <t>Personal</t>
        </is>
      </c>
      <c r="F23" t="inlineStr">
        <is>
          <t>Future Building</t>
        </is>
      </c>
      <c r="G23" t="inlineStr">
        <is>
          <t>Savings</t>
        </is>
      </c>
      <c r="H23" t="inlineStr">
        <is>
          <t>Personal &gt; Future Building &gt; Quick Add &gt; Savings</t>
        </is>
      </c>
      <c r="I23" s="18" t="n">
        <v>16827.67</v>
      </c>
      <c r="J23" t="inlineStr">
        <is>
          <t>Created MTR-IOS-0022 and correlation note visible in Activity/Pulse</t>
        </is>
      </c>
      <c r="K23" t="inlineStr">
        <is>
          <t>NOT_RUN</t>
        </is>
      </c>
      <c r="P23" t="n">
        <v>0</v>
      </c>
      <c r="Q23" t="n">
        <v>22</v>
      </c>
    </row>
    <row r="24">
      <c r="A24" t="n">
        <v>23</v>
      </c>
      <c r="B24" t="inlineStr">
        <is>
          <t>MTR-IOS-0023</t>
        </is>
      </c>
      <c r="C24" t="inlineStr">
        <is>
          <t>iPhone</t>
        </is>
      </c>
      <c r="D24" t="inlineStr">
        <is>
          <t>Group</t>
        </is>
      </c>
      <c r="E24" t="inlineStr">
        <is>
          <t>Shared Experience</t>
        </is>
      </c>
      <c r="F24" t="inlineStr">
        <is>
          <t>Wedding</t>
        </is>
      </c>
      <c r="G24" t="inlineStr">
        <is>
          <t>Venue</t>
        </is>
      </c>
      <c r="H24" t="inlineStr">
        <is>
          <t>Group &gt; Wedding &gt; Quick Add &gt; Venue</t>
        </is>
      </c>
      <c r="I24" s="18" t="n">
        <v>24925.16</v>
      </c>
      <c r="J24" t="inlineStr">
        <is>
          <t>Created MTR-IOS-0023 and correlation note visible in Activity/Pulse</t>
        </is>
      </c>
      <c r="K24" t="inlineStr">
        <is>
          <t>NOT_RUN</t>
        </is>
      </c>
      <c r="P24" t="n">
        <v>0</v>
      </c>
      <c r="Q24" t="n">
        <v>23</v>
      </c>
    </row>
    <row r="25">
      <c r="A25" t="n">
        <v>24</v>
      </c>
      <c r="B25" t="inlineStr">
        <is>
          <t>MTR-IOS-0024</t>
        </is>
      </c>
      <c r="C25" t="inlineStr">
        <is>
          <t>iPhone</t>
        </is>
      </c>
      <c r="D25" t="inlineStr">
        <is>
          <t>Business</t>
        </is>
      </c>
      <c r="E25" t="inlineStr">
        <is>
          <t>Business</t>
        </is>
      </c>
      <c r="F25" t="inlineStr">
        <is>
          <t>Business Runway</t>
        </is>
      </c>
      <c r="G25" t="inlineStr">
        <is>
          <t>Funding</t>
        </is>
      </c>
      <c r="H25" t="inlineStr">
        <is>
          <t>Business &gt; Business Runway &gt; Quick Add &gt; Funding</t>
        </is>
      </c>
      <c r="I25" s="18" t="n">
        <v>121141.46</v>
      </c>
      <c r="J25" t="inlineStr">
        <is>
          <t>Created MTR-IOS-0024 and correlation note visible in Activity/Pulse</t>
        </is>
      </c>
      <c r="K25" t="inlineStr">
        <is>
          <t>NOT_RUN</t>
        </is>
      </c>
      <c r="P25" t="n">
        <v>0</v>
      </c>
      <c r="Q25" t="n">
        <v>24</v>
      </c>
    </row>
    <row r="26">
      <c r="A26" t="n">
        <v>25</v>
      </c>
      <c r="B26" t="inlineStr">
        <is>
          <t>MTR-IOS-0025</t>
        </is>
      </c>
      <c r="C26" t="inlineStr">
        <is>
          <t>iPhone</t>
        </is>
      </c>
      <c r="D26" t="inlineStr">
        <is>
          <t>Personal</t>
        </is>
      </c>
      <c r="E26" t="inlineStr">
        <is>
          <t>Personal</t>
        </is>
      </c>
      <c r="F26" t="inlineStr">
        <is>
          <t>Future Building</t>
        </is>
      </c>
      <c r="G26" t="inlineStr">
        <is>
          <t>Emergency Fund</t>
        </is>
      </c>
      <c r="H26" t="inlineStr">
        <is>
          <t>Personal &gt; Future Building &gt; Quick Add &gt; Emergency Fund</t>
        </is>
      </c>
      <c r="I26" s="18" t="n">
        <v>4005.71</v>
      </c>
      <c r="J26" t="inlineStr">
        <is>
          <t>Created MTR-IOS-0025 and correlation note visible in Activity/Pulse</t>
        </is>
      </c>
      <c r="K26" t="inlineStr">
        <is>
          <t>NOT_RUN</t>
        </is>
      </c>
      <c r="P26" t="n">
        <v>0</v>
      </c>
      <c r="Q26" t="n">
        <v>25</v>
      </c>
    </row>
    <row r="27">
      <c r="A27" t="n">
        <v>26</v>
      </c>
      <c r="B27" t="inlineStr">
        <is>
          <t>MTR-IOS-0026</t>
        </is>
      </c>
      <c r="C27" t="inlineStr">
        <is>
          <t>iPhone</t>
        </is>
      </c>
      <c r="D27" t="inlineStr">
        <is>
          <t>Group</t>
        </is>
      </c>
      <c r="E27" t="inlineStr">
        <is>
          <t>Shared Experience</t>
        </is>
      </c>
      <c r="F27" t="inlineStr">
        <is>
          <t>Wedding</t>
        </is>
      </c>
      <c r="G27" t="inlineStr">
        <is>
          <t>Catering</t>
        </is>
      </c>
      <c r="H27" t="inlineStr">
        <is>
          <t>Group &gt; Wedding &gt; Quick Add &gt; Catering</t>
        </is>
      </c>
      <c r="I27" s="18" t="n">
        <v>19704.71</v>
      </c>
      <c r="J27" t="inlineStr">
        <is>
          <t>Created MTR-IOS-0026 and correlation note visible in Activity/Pulse</t>
        </is>
      </c>
      <c r="K27" t="inlineStr">
        <is>
          <t>NOT_RUN</t>
        </is>
      </c>
      <c r="P27" t="n">
        <v>0</v>
      </c>
      <c r="Q27" t="n">
        <v>26</v>
      </c>
    </row>
    <row r="28">
      <c r="A28" t="n">
        <v>27</v>
      </c>
      <c r="B28" t="inlineStr">
        <is>
          <t>MTR-IOS-0027</t>
        </is>
      </c>
      <c r="C28" t="inlineStr">
        <is>
          <t>iPhone</t>
        </is>
      </c>
      <c r="D28" t="inlineStr">
        <is>
          <t>Business</t>
        </is>
      </c>
      <c r="E28" t="inlineStr">
        <is>
          <t>Business</t>
        </is>
      </c>
      <c r="F28" t="inlineStr">
        <is>
          <t>Business Runway</t>
        </is>
      </c>
      <c r="G28" t="inlineStr">
        <is>
          <t>Revenue</t>
        </is>
      </c>
      <c r="H28" t="inlineStr">
        <is>
          <t>Business &gt; Business Runway &gt; Quick Add &gt; Revenue</t>
        </is>
      </c>
      <c r="I28" s="18" t="n">
        <v>144069.9</v>
      </c>
      <c r="J28" t="inlineStr">
        <is>
          <t>Created MTR-IOS-0027 and correlation note visible in Activity/Pulse</t>
        </is>
      </c>
      <c r="K28" t="inlineStr">
        <is>
          <t>NOT_RUN</t>
        </is>
      </c>
      <c r="P28" t="n">
        <v>0</v>
      </c>
      <c r="Q28" t="n">
        <v>27</v>
      </c>
    </row>
    <row r="29">
      <c r="A29" t="n">
        <v>28</v>
      </c>
      <c r="B29" t="inlineStr">
        <is>
          <t>MTR-IOS-0028</t>
        </is>
      </c>
      <c r="C29" t="inlineStr">
        <is>
          <t>iPhone</t>
        </is>
      </c>
      <c r="D29" t="inlineStr">
        <is>
          <t>Personal</t>
        </is>
      </c>
      <c r="E29" t="inlineStr">
        <is>
          <t>Personal</t>
        </is>
      </c>
      <c r="F29" t="inlineStr">
        <is>
          <t>Future Building</t>
        </is>
      </c>
      <c r="G29" t="inlineStr">
        <is>
          <t>Investments</t>
        </is>
      </c>
      <c r="H29" t="inlineStr">
        <is>
          <t>Personal &gt; Future Building &gt; Quick Add &gt; Investments</t>
        </is>
      </c>
      <c r="I29" s="18" t="n">
        <v>4161.04</v>
      </c>
      <c r="J29" t="inlineStr">
        <is>
          <t>Created MTR-IOS-0028 and correlation note visible in Activity/Pulse</t>
        </is>
      </c>
      <c r="K29" t="inlineStr">
        <is>
          <t>NOT_RUN</t>
        </is>
      </c>
      <c r="P29" t="n">
        <v>0</v>
      </c>
      <c r="Q29" t="n">
        <v>28</v>
      </c>
    </row>
    <row r="30">
      <c r="A30" t="n">
        <v>29</v>
      </c>
      <c r="B30" t="inlineStr">
        <is>
          <t>MTR-IOS-0029</t>
        </is>
      </c>
      <c r="C30" t="inlineStr">
        <is>
          <t>iPhone</t>
        </is>
      </c>
      <c r="D30" t="inlineStr">
        <is>
          <t>Group</t>
        </is>
      </c>
      <c r="E30" t="inlineStr">
        <is>
          <t>Shared Experience</t>
        </is>
      </c>
      <c r="F30" t="inlineStr">
        <is>
          <t>Wedding</t>
        </is>
      </c>
      <c r="G30" t="inlineStr">
        <is>
          <t>Decor</t>
        </is>
      </c>
      <c r="H30" t="inlineStr">
        <is>
          <t>Group &gt; Wedding &gt; Quick Add &gt; Decor</t>
        </is>
      </c>
      <c r="I30" s="18" t="n">
        <v>15620.75</v>
      </c>
      <c r="J30" t="inlineStr">
        <is>
          <t>Created MTR-IOS-0029 and correlation note visible in Activity/Pulse</t>
        </is>
      </c>
      <c r="K30" t="inlineStr">
        <is>
          <t>NOT_RUN</t>
        </is>
      </c>
      <c r="P30" t="n">
        <v>0</v>
      </c>
      <c r="Q30" t="n">
        <v>29</v>
      </c>
    </row>
    <row r="31">
      <c r="A31" t="n">
        <v>30</v>
      </c>
      <c r="B31" t="inlineStr">
        <is>
          <t>MTR-IOS-0030</t>
        </is>
      </c>
      <c r="C31" t="inlineStr">
        <is>
          <t>iPhone</t>
        </is>
      </c>
      <c r="D31" t="inlineStr">
        <is>
          <t>Business</t>
        </is>
      </c>
      <c r="E31" t="inlineStr">
        <is>
          <t>Business</t>
        </is>
      </c>
      <c r="F31" t="inlineStr">
        <is>
          <t>Business Runway</t>
        </is>
      </c>
      <c r="G31" t="inlineStr">
        <is>
          <t>Burn</t>
        </is>
      </c>
      <c r="H31" t="inlineStr">
        <is>
          <t>Business &gt; Business Runway &gt; Quick Add &gt; Burn</t>
        </is>
      </c>
      <c r="I31" s="18" t="n">
        <v>142385.1</v>
      </c>
      <c r="J31" t="inlineStr">
        <is>
          <t>Created MTR-IOS-0030 and correlation note visible in Activity/Pulse</t>
        </is>
      </c>
      <c r="K31" t="inlineStr">
        <is>
          <t>NOT_RUN</t>
        </is>
      </c>
      <c r="P31" t="n">
        <v>0</v>
      </c>
      <c r="Q31" t="n">
        <v>30</v>
      </c>
    </row>
    <row r="32">
      <c r="A32" t="n">
        <v>31</v>
      </c>
      <c r="B32" t="inlineStr">
        <is>
          <t>MTR-IOS-0031</t>
        </is>
      </c>
      <c r="C32" t="inlineStr">
        <is>
          <t>iPhone</t>
        </is>
      </c>
      <c r="D32" t="inlineStr">
        <is>
          <t>Personal</t>
        </is>
      </c>
      <c r="E32" t="inlineStr">
        <is>
          <t>Personal</t>
        </is>
      </c>
      <c r="F32" t="inlineStr">
        <is>
          <t>Future Building</t>
        </is>
      </c>
      <c r="G32" t="inlineStr">
        <is>
          <t>Education</t>
        </is>
      </c>
      <c r="H32" t="inlineStr">
        <is>
          <t>Personal &gt; Future Building &gt; Quick Add &gt; Education</t>
        </is>
      </c>
      <c r="I32" s="18" t="n">
        <v>6294.62</v>
      </c>
      <c r="J32" t="inlineStr">
        <is>
          <t>Created MTR-IOS-0031 and correlation note visible in Activity/Pulse</t>
        </is>
      </c>
      <c r="K32" t="inlineStr">
        <is>
          <t>NOT_RUN</t>
        </is>
      </c>
      <c r="P32" t="n">
        <v>0</v>
      </c>
      <c r="Q32" t="n">
        <v>31</v>
      </c>
    </row>
    <row r="33">
      <c r="A33" t="n">
        <v>32</v>
      </c>
      <c r="B33" t="inlineStr">
        <is>
          <t>MTR-IOS-0032</t>
        </is>
      </c>
      <c r="C33" t="inlineStr">
        <is>
          <t>iPhone</t>
        </is>
      </c>
      <c r="D33" t="inlineStr">
        <is>
          <t>Group</t>
        </is>
      </c>
      <c r="E33" t="inlineStr">
        <is>
          <t>Shared Experience</t>
        </is>
      </c>
      <c r="F33" t="inlineStr">
        <is>
          <t>Wedding</t>
        </is>
      </c>
      <c r="G33" t="inlineStr">
        <is>
          <t>Travel</t>
        </is>
      </c>
      <c r="H33" t="inlineStr">
        <is>
          <t>Group &gt; Wedding &gt; Quick Add &gt; Travel</t>
        </is>
      </c>
      <c r="I33" s="18" t="n">
        <v>16472.62</v>
      </c>
      <c r="J33" t="inlineStr">
        <is>
          <t>Created MTR-IOS-0032 and correlation note visible in Activity/Pulse</t>
        </is>
      </c>
      <c r="K33" t="inlineStr">
        <is>
          <t>NOT_RUN</t>
        </is>
      </c>
      <c r="P33" t="n">
        <v>0</v>
      </c>
      <c r="Q33" t="n">
        <v>32</v>
      </c>
    </row>
    <row r="34">
      <c r="A34" t="n">
        <v>33</v>
      </c>
      <c r="B34" t="inlineStr">
        <is>
          <t>MTR-IOS-0033</t>
        </is>
      </c>
      <c r="C34" t="inlineStr">
        <is>
          <t>iPhone</t>
        </is>
      </c>
      <c r="D34" t="inlineStr">
        <is>
          <t>Business</t>
        </is>
      </c>
      <c r="E34" t="inlineStr">
        <is>
          <t>Business</t>
        </is>
      </c>
      <c r="F34" t="inlineStr">
        <is>
          <t>Business Runway</t>
        </is>
      </c>
      <c r="G34" t="inlineStr">
        <is>
          <t>Reserve</t>
        </is>
      </c>
      <c r="H34" t="inlineStr">
        <is>
          <t>Business &gt; Business Runway &gt; Quick Add &gt; Reserve</t>
        </is>
      </c>
      <c r="I34" s="18" t="n">
        <v>827.54</v>
      </c>
      <c r="J34" t="inlineStr">
        <is>
          <t>Created MTR-IOS-0033 and correlation note visible in Activity/Pulse</t>
        </is>
      </c>
      <c r="K34" t="inlineStr">
        <is>
          <t>NOT_RUN</t>
        </is>
      </c>
      <c r="P34" t="n">
        <v>0</v>
      </c>
      <c r="Q34" t="n">
        <v>33</v>
      </c>
    </row>
    <row r="35">
      <c r="A35" t="n">
        <v>34</v>
      </c>
      <c r="B35" t="inlineStr">
        <is>
          <t>MTR-IOS-0034</t>
        </is>
      </c>
      <c r="C35" t="inlineStr">
        <is>
          <t>iPhone</t>
        </is>
      </c>
      <c r="D35" t="inlineStr">
        <is>
          <t>Personal</t>
        </is>
      </c>
      <c r="E35" t="inlineStr">
        <is>
          <t>Personal</t>
        </is>
      </c>
      <c r="F35" t="inlineStr">
        <is>
          <t>Future Building</t>
        </is>
      </c>
      <c r="G35" t="inlineStr">
        <is>
          <t>Goal Contribution</t>
        </is>
      </c>
      <c r="H35" t="inlineStr">
        <is>
          <t>Personal &gt; Future Building &gt; Quick Add &gt; Goal Contribution</t>
        </is>
      </c>
      <c r="I35" s="18" t="n">
        <v>10116.79</v>
      </c>
      <c r="J35" t="inlineStr">
        <is>
          <t>Created MTR-IOS-0034 and correlation note visible in Activity/Pulse</t>
        </is>
      </c>
      <c r="K35" t="inlineStr">
        <is>
          <t>NOT_RUN</t>
        </is>
      </c>
      <c r="P35" t="n">
        <v>0</v>
      </c>
      <c r="Q35" t="n">
        <v>34</v>
      </c>
    </row>
    <row r="36">
      <c r="A36" t="n">
        <v>35</v>
      </c>
      <c r="B36" t="inlineStr">
        <is>
          <t>MTR-IOS-0035</t>
        </is>
      </c>
      <c r="C36" t="inlineStr">
        <is>
          <t>iPhone</t>
        </is>
      </c>
      <c r="D36" t="inlineStr">
        <is>
          <t>Group</t>
        </is>
      </c>
      <c r="E36" t="inlineStr">
        <is>
          <t>Shared Experience</t>
        </is>
      </c>
      <c r="F36" t="inlineStr">
        <is>
          <t>Wedding</t>
        </is>
      </c>
      <c r="G36" t="inlineStr">
        <is>
          <t>Gifts</t>
        </is>
      </c>
      <c r="H36" t="inlineStr">
        <is>
          <t>Group &gt; Wedding &gt; Quick Add &gt; Gifts</t>
        </is>
      </c>
      <c r="I36" s="18" t="n">
        <v>18821.96</v>
      </c>
      <c r="J36" t="inlineStr">
        <is>
          <t>Created MTR-IOS-0035 and correlation note visible in Activity/Pulse</t>
        </is>
      </c>
      <c r="K36" t="inlineStr">
        <is>
          <t>NOT_RUN</t>
        </is>
      </c>
      <c r="P36" t="n">
        <v>0</v>
      </c>
      <c r="Q36" t="n">
        <v>35</v>
      </c>
    </row>
    <row r="37">
      <c r="A37" t="n">
        <v>36</v>
      </c>
      <c r="B37" t="inlineStr">
        <is>
          <t>MTR-IOS-0036</t>
        </is>
      </c>
      <c r="C37" t="inlineStr">
        <is>
          <t>iPhone</t>
        </is>
      </c>
      <c r="D37" t="inlineStr">
        <is>
          <t>Business</t>
        </is>
      </c>
      <c r="E37" t="inlineStr">
        <is>
          <t>Business</t>
        </is>
      </c>
      <c r="F37" t="inlineStr">
        <is>
          <t>Business Runway</t>
        </is>
      </c>
      <c r="G37" t="inlineStr">
        <is>
          <t>Loan</t>
        </is>
      </c>
      <c r="H37" t="inlineStr">
        <is>
          <t>Business &gt; Business Runway &gt; Quick Add &gt; Loan</t>
        </is>
      </c>
      <c r="I37" s="18" t="n">
        <v>122441.2</v>
      </c>
      <c r="J37" t="inlineStr">
        <is>
          <t>Created MTR-IOS-0036 and correlation note visible in Activity/Pulse</t>
        </is>
      </c>
      <c r="K37" t="inlineStr">
        <is>
          <t>NOT_RUN</t>
        </is>
      </c>
      <c r="P37" t="n">
        <v>0</v>
      </c>
      <c r="Q37" t="n">
        <v>36</v>
      </c>
    </row>
    <row r="38">
      <c r="A38" t="n">
        <v>37</v>
      </c>
      <c r="B38" t="inlineStr">
        <is>
          <t>MTR-IOS-0037</t>
        </is>
      </c>
      <c r="C38" t="inlineStr">
        <is>
          <t>iPhone</t>
        </is>
      </c>
      <c r="D38" t="inlineStr">
        <is>
          <t>Personal</t>
        </is>
      </c>
      <c r="E38" t="inlineStr">
        <is>
          <t>Personal</t>
        </is>
      </c>
      <c r="F38" t="inlineStr">
        <is>
          <t>Lifestyle</t>
        </is>
      </c>
      <c r="G38" t="inlineStr">
        <is>
          <t>Dining</t>
        </is>
      </c>
      <c r="H38" t="inlineStr">
        <is>
          <t>Personal &gt; Lifestyle &gt; Quick Add &gt; Dining</t>
        </is>
      </c>
      <c r="I38" s="18" t="n">
        <v>1</v>
      </c>
      <c r="J38" t="inlineStr">
        <is>
          <t>Created MTR-IOS-0037 and correlation note visible in Activity/Pulse</t>
        </is>
      </c>
      <c r="K38" t="inlineStr">
        <is>
          <t>NOT_RUN</t>
        </is>
      </c>
      <c r="P38" t="n">
        <v>0</v>
      </c>
      <c r="Q38" t="n">
        <v>37</v>
      </c>
    </row>
    <row r="39">
      <c r="A39" t="n">
        <v>38</v>
      </c>
      <c r="B39" t="inlineStr">
        <is>
          <t>MTR-IOS-0038</t>
        </is>
      </c>
      <c r="C39" t="inlineStr">
        <is>
          <t>iPhone</t>
        </is>
      </c>
      <c r="D39" t="inlineStr">
        <is>
          <t>Group</t>
        </is>
      </c>
      <c r="E39" t="inlineStr">
        <is>
          <t>Shared Experience</t>
        </is>
      </c>
      <c r="F39" t="inlineStr">
        <is>
          <t>Wedding</t>
        </is>
      </c>
      <c r="G39" t="inlineStr">
        <is>
          <t>Photography</t>
        </is>
      </c>
      <c r="H39" t="inlineStr">
        <is>
          <t>Group &gt; Wedding &gt; Quick Add &gt; Photography</t>
        </is>
      </c>
      <c r="I39" s="18" t="n">
        <v>6824.65</v>
      </c>
      <c r="J39" t="inlineStr">
        <is>
          <t>Created MTR-IOS-0038 and correlation note visible in Activity/Pulse</t>
        </is>
      </c>
      <c r="K39" t="inlineStr">
        <is>
          <t>NOT_RUN</t>
        </is>
      </c>
      <c r="P39" t="n">
        <v>0</v>
      </c>
      <c r="Q39" t="n">
        <v>38</v>
      </c>
    </row>
    <row r="40">
      <c r="A40" t="n">
        <v>39</v>
      </c>
      <c r="B40" t="inlineStr">
        <is>
          <t>MTR-IOS-0039</t>
        </is>
      </c>
      <c r="C40" t="inlineStr">
        <is>
          <t>iPhone</t>
        </is>
      </c>
      <c r="D40" t="inlineStr">
        <is>
          <t>Business</t>
        </is>
      </c>
      <c r="E40" t="inlineStr">
        <is>
          <t>Business</t>
        </is>
      </c>
      <c r="F40" t="inlineStr">
        <is>
          <t>Business Runway</t>
        </is>
      </c>
      <c r="G40" t="inlineStr">
        <is>
          <t>Investment</t>
        </is>
      </c>
      <c r="H40" t="inlineStr">
        <is>
          <t>Business &gt; Business Runway &gt; Quick Add &gt; Investment</t>
        </is>
      </c>
      <c r="I40" s="18" t="n">
        <v>161177.11</v>
      </c>
      <c r="J40" t="inlineStr">
        <is>
          <t>Created MTR-IOS-0039 and correlation note visible in Activity/Pulse</t>
        </is>
      </c>
      <c r="K40" t="inlineStr">
        <is>
          <t>NOT_RUN</t>
        </is>
      </c>
      <c r="P40" t="n">
        <v>0</v>
      </c>
      <c r="Q40" t="n">
        <v>39</v>
      </c>
    </row>
    <row r="41">
      <c r="A41" t="n">
        <v>40</v>
      </c>
      <c r="B41" t="inlineStr">
        <is>
          <t>MTR-IOS-0040</t>
        </is>
      </c>
      <c r="C41" t="inlineStr">
        <is>
          <t>iPhone</t>
        </is>
      </c>
      <c r="D41" t="inlineStr">
        <is>
          <t>Personal</t>
        </is>
      </c>
      <c r="E41" t="inlineStr">
        <is>
          <t>Personal</t>
        </is>
      </c>
      <c r="F41" t="inlineStr">
        <is>
          <t>Lifestyle</t>
        </is>
      </c>
      <c r="G41" t="inlineStr">
        <is>
          <t>Shopping</t>
        </is>
      </c>
      <c r="H41" t="inlineStr">
        <is>
          <t>Personal &gt; Lifestyle &gt; Quick Add &gt; Shopping</t>
        </is>
      </c>
      <c r="I41" s="18" t="n">
        <v>8933.08</v>
      </c>
      <c r="J41" t="inlineStr">
        <is>
          <t>Created MTR-IOS-0040 and correlation note visible in Activity/Pulse</t>
        </is>
      </c>
      <c r="K41" t="inlineStr">
        <is>
          <t>NOT_RUN</t>
        </is>
      </c>
      <c r="P41" t="n">
        <v>0</v>
      </c>
      <c r="Q41" t="n">
        <v>40</v>
      </c>
    </row>
    <row r="42">
      <c r="A42" t="n">
        <v>41</v>
      </c>
      <c r="B42" t="inlineStr">
        <is>
          <t>MTR-IOS-0041</t>
        </is>
      </c>
      <c r="C42" t="inlineStr">
        <is>
          <t>iPhone</t>
        </is>
      </c>
      <c r="D42" t="inlineStr">
        <is>
          <t>Group</t>
        </is>
      </c>
      <c r="E42" t="inlineStr">
        <is>
          <t>Shared Experience</t>
        </is>
      </c>
      <c r="F42" t="inlineStr">
        <is>
          <t>Wedding</t>
        </is>
      </c>
      <c r="G42" t="inlineStr">
        <is>
          <t>Other</t>
        </is>
      </c>
      <c r="H42" t="inlineStr">
        <is>
          <t>Group &gt; Wedding &gt; Quick Add &gt; Other</t>
        </is>
      </c>
      <c r="I42" s="18" t="n">
        <v>18392.39</v>
      </c>
      <c r="J42" t="inlineStr">
        <is>
          <t>Created MTR-IOS-0041 and correlation note visible in Activity/Pulse</t>
        </is>
      </c>
      <c r="K42" t="inlineStr">
        <is>
          <t>NOT_RUN</t>
        </is>
      </c>
      <c r="P42" t="n">
        <v>0</v>
      </c>
      <c r="Q42" t="n">
        <v>41</v>
      </c>
    </row>
    <row r="43">
      <c r="A43" t="n">
        <v>42</v>
      </c>
      <c r="B43" t="inlineStr">
        <is>
          <t>MTR-IOS-0042</t>
        </is>
      </c>
      <c r="C43" t="inlineStr">
        <is>
          <t>iPhone</t>
        </is>
      </c>
      <c r="D43" t="inlineStr">
        <is>
          <t>Business</t>
        </is>
      </c>
      <c r="E43" t="inlineStr">
        <is>
          <t>Business</t>
        </is>
      </c>
      <c r="F43" t="inlineStr">
        <is>
          <t>Business Operations</t>
        </is>
      </c>
      <c r="G43" t="inlineStr">
        <is>
          <t>Software</t>
        </is>
      </c>
      <c r="H43" t="inlineStr">
        <is>
          <t>Business &gt; Business Operations &gt; Quick Add &gt; Software</t>
        </is>
      </c>
      <c r="I43" s="18" t="n">
        <v>31212.26</v>
      </c>
      <c r="J43" t="inlineStr">
        <is>
          <t>Created MTR-IOS-0042 and correlation note visible in Activity/Pulse</t>
        </is>
      </c>
      <c r="K43" t="inlineStr">
        <is>
          <t>NOT_RUN</t>
        </is>
      </c>
      <c r="P43" t="n">
        <v>0</v>
      </c>
      <c r="Q43" t="n">
        <v>42</v>
      </c>
    </row>
    <row r="44">
      <c r="A44" t="n">
        <v>43</v>
      </c>
      <c r="B44" t="inlineStr">
        <is>
          <t>MTR-IOS-0043</t>
        </is>
      </c>
      <c r="C44" t="inlineStr">
        <is>
          <t>iPhone</t>
        </is>
      </c>
      <c r="D44" t="inlineStr">
        <is>
          <t>Personal</t>
        </is>
      </c>
      <c r="E44" t="inlineStr">
        <is>
          <t>Personal</t>
        </is>
      </c>
      <c r="F44" t="inlineStr">
        <is>
          <t>Lifestyle</t>
        </is>
      </c>
      <c r="G44" t="inlineStr">
        <is>
          <t>Entertainment</t>
        </is>
      </c>
      <c r="H44" t="inlineStr">
        <is>
          <t>Personal &gt; Lifestyle &gt; Quick Add &gt; Entertainment</t>
        </is>
      </c>
      <c r="I44" s="18" t="n">
        <v>3405.74</v>
      </c>
      <c r="J44" t="inlineStr">
        <is>
          <t>Created MTR-IOS-0043 and correlation note visible in Activity/Pulse</t>
        </is>
      </c>
      <c r="K44" t="inlineStr">
        <is>
          <t>NOT_RUN</t>
        </is>
      </c>
      <c r="P44" t="n">
        <v>0</v>
      </c>
      <c r="Q44" t="n">
        <v>43</v>
      </c>
    </row>
    <row r="45">
      <c r="A45" t="n">
        <v>44</v>
      </c>
      <c r="B45" t="inlineStr">
        <is>
          <t>MTR-IOS-0044</t>
        </is>
      </c>
      <c r="C45" t="inlineStr">
        <is>
          <t>iPhone</t>
        </is>
      </c>
      <c r="D45" t="inlineStr">
        <is>
          <t>Group</t>
        </is>
      </c>
      <c r="E45" t="inlineStr">
        <is>
          <t>Shared Experience</t>
        </is>
      </c>
      <c r="F45" t="inlineStr">
        <is>
          <t>Office Outing</t>
        </is>
      </c>
      <c r="G45" t="inlineStr">
        <is>
          <t>Food</t>
        </is>
      </c>
      <c r="H45" t="inlineStr">
        <is>
          <t>Group &gt; Office Outing &gt; Quick Add &gt; Food</t>
        </is>
      </c>
      <c r="I45" s="18" t="n">
        <v>24075.67</v>
      </c>
      <c r="J45" t="inlineStr">
        <is>
          <t>Created MTR-IOS-0044 and correlation note visible in Activity/Pulse</t>
        </is>
      </c>
      <c r="K45" t="inlineStr">
        <is>
          <t>NOT_RUN</t>
        </is>
      </c>
      <c r="P45" t="n">
        <v>0</v>
      </c>
      <c r="Q45" t="n">
        <v>44</v>
      </c>
    </row>
    <row r="46">
      <c r="A46" t="n">
        <v>45</v>
      </c>
      <c r="B46" t="inlineStr">
        <is>
          <t>MTR-IOS-0045</t>
        </is>
      </c>
      <c r="C46" t="inlineStr">
        <is>
          <t>iPhone</t>
        </is>
      </c>
      <c r="D46" t="inlineStr">
        <is>
          <t>Business</t>
        </is>
      </c>
      <c r="E46" t="inlineStr">
        <is>
          <t>Business</t>
        </is>
      </c>
      <c r="F46" t="inlineStr">
        <is>
          <t>Business Operations</t>
        </is>
      </c>
      <c r="G46" t="inlineStr">
        <is>
          <t>Rent</t>
        </is>
      </c>
      <c r="H46" t="inlineStr">
        <is>
          <t>Business &gt; Business Operations &gt; Quick Add &gt; Rent</t>
        </is>
      </c>
      <c r="I46" s="18" t="n">
        <v>115020.15</v>
      </c>
      <c r="J46" t="inlineStr">
        <is>
          <t>Created MTR-IOS-0045 and correlation note visible in Activity/Pulse</t>
        </is>
      </c>
      <c r="K46" t="inlineStr">
        <is>
          <t>NOT_RUN</t>
        </is>
      </c>
      <c r="P46" t="n">
        <v>0</v>
      </c>
      <c r="Q46" t="n">
        <v>45</v>
      </c>
    </row>
    <row r="47">
      <c r="A47" t="n">
        <v>46</v>
      </c>
      <c r="B47" t="inlineStr">
        <is>
          <t>MTR-IOS-0046</t>
        </is>
      </c>
      <c r="C47" t="inlineStr">
        <is>
          <t>iPhone</t>
        </is>
      </c>
      <c r="D47" t="inlineStr">
        <is>
          <t>Personal</t>
        </is>
      </c>
      <c r="E47" t="inlineStr">
        <is>
          <t>Personal</t>
        </is>
      </c>
      <c r="F47" t="inlineStr">
        <is>
          <t>Lifestyle</t>
        </is>
      </c>
      <c r="G47" t="inlineStr">
        <is>
          <t>Travel</t>
        </is>
      </c>
      <c r="H47" t="inlineStr">
        <is>
          <t>Personal &gt; Lifestyle &gt; Quick Add &gt; Travel</t>
        </is>
      </c>
      <c r="I47" s="18" t="n">
        <v>2690.2</v>
      </c>
      <c r="J47" t="inlineStr">
        <is>
          <t>Created MTR-IOS-0046 and correlation note visible in Activity/Pulse</t>
        </is>
      </c>
      <c r="K47" t="inlineStr">
        <is>
          <t>NOT_RUN</t>
        </is>
      </c>
      <c r="P47" t="n">
        <v>0</v>
      </c>
      <c r="Q47" t="n">
        <v>46</v>
      </c>
    </row>
    <row r="48">
      <c r="A48" t="n">
        <v>47</v>
      </c>
      <c r="B48" t="inlineStr">
        <is>
          <t>MTR-IOS-0047</t>
        </is>
      </c>
      <c r="C48" t="inlineStr">
        <is>
          <t>iPhone</t>
        </is>
      </c>
      <c r="D48" t="inlineStr">
        <is>
          <t>Group</t>
        </is>
      </c>
      <c r="E48" t="inlineStr">
        <is>
          <t>Shared Experience</t>
        </is>
      </c>
      <c r="F48" t="inlineStr">
        <is>
          <t>Office Outing</t>
        </is>
      </c>
      <c r="G48" t="inlineStr">
        <is>
          <t>Travel</t>
        </is>
      </c>
      <c r="H48" t="inlineStr">
        <is>
          <t>Group &gt; Office Outing &gt; Quick Add &gt; Travel</t>
        </is>
      </c>
      <c r="I48" s="18" t="n">
        <v>26939.54</v>
      </c>
      <c r="J48" t="inlineStr">
        <is>
          <t>Created MTR-IOS-0047 and correlation note visible in Activity/Pulse</t>
        </is>
      </c>
      <c r="K48" t="inlineStr">
        <is>
          <t>NOT_RUN</t>
        </is>
      </c>
      <c r="P48" t="n">
        <v>0</v>
      </c>
      <c r="Q48" t="n">
        <v>47</v>
      </c>
    </row>
    <row r="49">
      <c r="A49" t="n">
        <v>48</v>
      </c>
      <c r="B49" t="inlineStr">
        <is>
          <t>MTR-IOS-0048</t>
        </is>
      </c>
      <c r="C49" t="inlineStr">
        <is>
          <t>iPhone</t>
        </is>
      </c>
      <c r="D49" t="inlineStr">
        <is>
          <t>Business</t>
        </is>
      </c>
      <c r="E49" t="inlineStr">
        <is>
          <t>Business</t>
        </is>
      </c>
      <c r="F49" t="inlineStr">
        <is>
          <t>Business Operations</t>
        </is>
      </c>
      <c r="G49" t="inlineStr">
        <is>
          <t>Marketing</t>
        </is>
      </c>
      <c r="H49" t="inlineStr">
        <is>
          <t>Business &gt; Business Operations &gt; Quick Add &gt; Marketing</t>
        </is>
      </c>
      <c r="I49" s="18" t="n">
        <v>13101.49</v>
      </c>
      <c r="J49" t="inlineStr">
        <is>
          <t>Created MTR-IOS-0048 and correlation note visible in Activity/Pulse</t>
        </is>
      </c>
      <c r="K49" t="inlineStr">
        <is>
          <t>NOT_RUN</t>
        </is>
      </c>
      <c r="P49" t="n">
        <v>0</v>
      </c>
      <c r="Q49" t="n">
        <v>48</v>
      </c>
    </row>
    <row r="50">
      <c r="A50" t="n">
        <v>49</v>
      </c>
      <c r="B50" t="inlineStr">
        <is>
          <t>MTR-IOS-0049</t>
        </is>
      </c>
      <c r="C50" t="inlineStr">
        <is>
          <t>iPhone</t>
        </is>
      </c>
      <c r="D50" t="inlineStr">
        <is>
          <t>Personal</t>
        </is>
      </c>
      <c r="E50" t="inlineStr">
        <is>
          <t>Personal</t>
        </is>
      </c>
      <c r="F50" t="inlineStr">
        <is>
          <t>Lifestyle</t>
        </is>
      </c>
      <c r="G50" t="inlineStr">
        <is>
          <t>Fitness</t>
        </is>
      </c>
      <c r="H50" t="inlineStr">
        <is>
          <t>Personal &gt; Lifestyle &gt; Quick Add &gt; Fitness</t>
        </is>
      </c>
      <c r="I50" s="18" t="n">
        <v>11242.4</v>
      </c>
      <c r="J50" t="inlineStr">
        <is>
          <t>Created MTR-IOS-0049 and correlation note visible in Activity/Pulse</t>
        </is>
      </c>
      <c r="K50" t="inlineStr">
        <is>
          <t>NOT_RUN</t>
        </is>
      </c>
      <c r="P50" t="n">
        <v>0</v>
      </c>
      <c r="Q50" t="n">
        <v>49</v>
      </c>
    </row>
    <row r="51">
      <c r="A51" t="n">
        <v>50</v>
      </c>
      <c r="B51" t="inlineStr">
        <is>
          <t>MTR-IOS-0050</t>
        </is>
      </c>
      <c r="C51" t="inlineStr">
        <is>
          <t>iPhone</t>
        </is>
      </c>
      <c r="D51" t="inlineStr">
        <is>
          <t>Group</t>
        </is>
      </c>
      <c r="E51" t="inlineStr">
        <is>
          <t>Shared Experience</t>
        </is>
      </c>
      <c r="F51" t="inlineStr">
        <is>
          <t>Office Outing</t>
        </is>
      </c>
      <c r="G51" t="inlineStr">
        <is>
          <t>Activities</t>
        </is>
      </c>
      <c r="H51" t="inlineStr">
        <is>
          <t>Group &gt; Office Outing &gt; Quick Add &gt; Activities</t>
        </is>
      </c>
      <c r="I51" s="18" t="n">
        <v>23929.09</v>
      </c>
      <c r="J51" t="inlineStr">
        <is>
          <t>Created MTR-IOS-0050 and correlation note visible in Activity/Pulse</t>
        </is>
      </c>
      <c r="K51" t="inlineStr">
        <is>
          <t>NOT_RUN</t>
        </is>
      </c>
      <c r="P51" t="n">
        <v>0</v>
      </c>
      <c r="Q51" t="n">
        <v>50</v>
      </c>
    </row>
    <row r="52">
      <c r="A52" t="n">
        <v>51</v>
      </c>
      <c r="B52" t="inlineStr">
        <is>
          <t>MTR-IOS-0051</t>
        </is>
      </c>
      <c r="C52" t="inlineStr">
        <is>
          <t>iPhone</t>
        </is>
      </c>
      <c r="D52" t="inlineStr">
        <is>
          <t>Business</t>
        </is>
      </c>
      <c r="E52" t="inlineStr">
        <is>
          <t>Business</t>
        </is>
      </c>
      <c r="F52" t="inlineStr">
        <is>
          <t>Business Operations</t>
        </is>
      </c>
      <c r="G52" t="inlineStr">
        <is>
          <t>Legal</t>
        </is>
      </c>
      <c r="H52" t="inlineStr">
        <is>
          <t>Business &gt; Business Operations &gt; Quick Add &gt; Legal</t>
        </is>
      </c>
      <c r="I52" s="18" t="n">
        <v>129560.87</v>
      </c>
      <c r="J52" t="inlineStr">
        <is>
          <t>Created MTR-IOS-0051 and correlation note visible in Activity/Pulse</t>
        </is>
      </c>
      <c r="K52" t="inlineStr">
        <is>
          <t>NOT_RUN</t>
        </is>
      </c>
      <c r="P52" t="n">
        <v>0</v>
      </c>
      <c r="Q52" t="n">
        <v>51</v>
      </c>
    </row>
    <row r="53">
      <c r="A53" t="n">
        <v>52</v>
      </c>
      <c r="B53" t="inlineStr">
        <is>
          <t>MTR-IOS-0052</t>
        </is>
      </c>
      <c r="C53" t="inlineStr">
        <is>
          <t>iPhone</t>
        </is>
      </c>
      <c r="D53" t="inlineStr">
        <is>
          <t>Personal</t>
        </is>
      </c>
      <c r="E53" t="inlineStr">
        <is>
          <t>Personal</t>
        </is>
      </c>
      <c r="F53" t="inlineStr">
        <is>
          <t>Lifestyle</t>
        </is>
      </c>
      <c r="G53" t="inlineStr">
        <is>
          <t>Hobbies</t>
        </is>
      </c>
      <c r="H53" t="inlineStr">
        <is>
          <t>Personal &gt; Lifestyle &gt; Quick Add &gt; Hobbies</t>
        </is>
      </c>
      <c r="I53" s="18" t="n">
        <v>12569.92</v>
      </c>
      <c r="J53" t="inlineStr">
        <is>
          <t>Created MTR-IOS-0052 and correlation note visible in Activity/Pulse</t>
        </is>
      </c>
      <c r="K53" t="inlineStr">
        <is>
          <t>NOT_RUN</t>
        </is>
      </c>
      <c r="P53" t="n">
        <v>0</v>
      </c>
      <c r="Q53" t="n">
        <v>52</v>
      </c>
    </row>
    <row r="54">
      <c r="A54" t="n">
        <v>53</v>
      </c>
      <c r="B54" t="inlineStr">
        <is>
          <t>MTR-IOS-0053</t>
        </is>
      </c>
      <c r="C54" t="inlineStr">
        <is>
          <t>iPhone</t>
        </is>
      </c>
      <c r="D54" t="inlineStr">
        <is>
          <t>Group</t>
        </is>
      </c>
      <c r="E54" t="inlineStr">
        <is>
          <t>Shared Experience</t>
        </is>
      </c>
      <c r="F54" t="inlineStr">
        <is>
          <t>Office Outing</t>
        </is>
      </c>
      <c r="G54" t="inlineStr">
        <is>
          <t>Venue</t>
        </is>
      </c>
      <c r="H54" t="inlineStr">
        <is>
          <t>Group &gt; Office Outing &gt; Quick Add &gt; Venue</t>
        </is>
      </c>
      <c r="I54" s="18" t="n">
        <v>4138</v>
      </c>
      <c r="J54" t="inlineStr">
        <is>
          <t>Created MTR-IOS-0053 and correlation note visible in Activity/Pulse</t>
        </is>
      </c>
      <c r="K54" t="inlineStr">
        <is>
          <t>NOT_RUN</t>
        </is>
      </c>
      <c r="P54" t="n">
        <v>0</v>
      </c>
      <c r="Q54" t="n">
        <v>53</v>
      </c>
    </row>
    <row r="55">
      <c r="A55" t="n">
        <v>54</v>
      </c>
      <c r="B55" t="inlineStr">
        <is>
          <t>MTR-IOS-0054</t>
        </is>
      </c>
      <c r="C55" t="inlineStr">
        <is>
          <t>iPhone</t>
        </is>
      </c>
      <c r="D55" t="inlineStr">
        <is>
          <t>Business</t>
        </is>
      </c>
      <c r="E55" t="inlineStr">
        <is>
          <t>Business</t>
        </is>
      </c>
      <c r="F55" t="inlineStr">
        <is>
          <t>Business Operations</t>
        </is>
      </c>
      <c r="G55" t="inlineStr">
        <is>
          <t>Accounting</t>
        </is>
      </c>
      <c r="H55" t="inlineStr">
        <is>
          <t>Business &gt; Business Operations &gt; Quick Add &gt; Accounting</t>
        </is>
      </c>
      <c r="I55" s="18" t="n">
        <v>56575.85</v>
      </c>
      <c r="J55" t="inlineStr">
        <is>
          <t>Created MTR-IOS-0054 and correlation note visible in Activity/Pulse</t>
        </is>
      </c>
      <c r="K55" t="inlineStr">
        <is>
          <t>NOT_RUN</t>
        </is>
      </c>
      <c r="P55" t="n">
        <v>0</v>
      </c>
      <c r="Q55" t="n">
        <v>54</v>
      </c>
    </row>
    <row r="56">
      <c r="A56" t="n">
        <v>55</v>
      </c>
      <c r="B56" t="inlineStr">
        <is>
          <t>MTR-IOS-0055</t>
        </is>
      </c>
      <c r="C56" t="inlineStr">
        <is>
          <t>iPhone</t>
        </is>
      </c>
      <c r="D56" t="inlineStr">
        <is>
          <t>Personal</t>
        </is>
      </c>
      <c r="E56" t="inlineStr">
        <is>
          <t>Personal</t>
        </is>
      </c>
      <c r="F56" t="inlineStr">
        <is>
          <t>Relationships</t>
        </is>
      </c>
      <c r="G56" t="inlineStr">
        <is>
          <t>Gifts</t>
        </is>
      </c>
      <c r="H56" t="inlineStr">
        <is>
          <t>Personal &gt; Relationships &gt; Quick Add &gt; Gifts</t>
        </is>
      </c>
      <c r="I56" s="18" t="n">
        <v>11894.24</v>
      </c>
      <c r="J56" t="inlineStr">
        <is>
          <t>Created MTR-IOS-0055 and correlation note visible in Activity/Pulse</t>
        </is>
      </c>
      <c r="K56" t="inlineStr">
        <is>
          <t>NOT_RUN</t>
        </is>
      </c>
      <c r="P56" t="n">
        <v>0</v>
      </c>
      <c r="Q56" t="n">
        <v>55</v>
      </c>
    </row>
    <row r="57">
      <c r="A57" t="n">
        <v>56</v>
      </c>
      <c r="B57" t="inlineStr">
        <is>
          <t>MTR-IOS-0056</t>
        </is>
      </c>
      <c r="C57" t="inlineStr">
        <is>
          <t>iPhone</t>
        </is>
      </c>
      <c r="D57" t="inlineStr">
        <is>
          <t>Group</t>
        </is>
      </c>
      <c r="E57" t="inlineStr">
        <is>
          <t>Shared Experience</t>
        </is>
      </c>
      <c r="F57" t="inlineStr">
        <is>
          <t>Office Outing</t>
        </is>
      </c>
      <c r="G57" t="inlineStr">
        <is>
          <t>Other</t>
        </is>
      </c>
      <c r="H57" t="inlineStr">
        <is>
          <t>Group &gt; Office Outing &gt; Quick Add &gt; Other</t>
        </is>
      </c>
      <c r="I57" s="18" t="n">
        <v>2675.67</v>
      </c>
      <c r="J57" t="inlineStr">
        <is>
          <t>Created MTR-IOS-0056 and correlation note visible in Activity/Pulse</t>
        </is>
      </c>
      <c r="K57" t="inlineStr">
        <is>
          <t>NOT_RUN</t>
        </is>
      </c>
      <c r="P57" t="n">
        <v>0</v>
      </c>
      <c r="Q57" t="n">
        <v>56</v>
      </c>
    </row>
    <row r="58">
      <c r="A58" t="n">
        <v>57</v>
      </c>
      <c r="B58" t="inlineStr">
        <is>
          <t>MTR-IOS-0057</t>
        </is>
      </c>
      <c r="C58" t="inlineStr">
        <is>
          <t>iPhone</t>
        </is>
      </c>
      <c r="D58" t="inlineStr">
        <is>
          <t>Business</t>
        </is>
      </c>
      <c r="E58" t="inlineStr">
        <is>
          <t>Business</t>
        </is>
      </c>
      <c r="F58" t="inlineStr">
        <is>
          <t>Business Operations</t>
        </is>
      </c>
      <c r="G58" t="inlineStr">
        <is>
          <t>Equipment</t>
        </is>
      </c>
      <c r="H58" t="inlineStr">
        <is>
          <t>Business &gt; Business Operations &gt; Quick Add &gt; Equipment</t>
        </is>
      </c>
      <c r="I58" s="18" t="n">
        <v>133277.16</v>
      </c>
      <c r="J58" t="inlineStr">
        <is>
          <t>Created MTR-IOS-0057 and correlation note visible in Activity/Pulse</t>
        </is>
      </c>
      <c r="K58" t="inlineStr">
        <is>
          <t>NOT_RUN</t>
        </is>
      </c>
      <c r="P58" t="n">
        <v>0</v>
      </c>
      <c r="Q58" t="n">
        <v>57</v>
      </c>
    </row>
    <row r="59">
      <c r="A59" t="n">
        <v>58</v>
      </c>
      <c r="B59" t="inlineStr">
        <is>
          <t>MTR-IOS-0058</t>
        </is>
      </c>
      <c r="C59" t="inlineStr">
        <is>
          <t>iPhone</t>
        </is>
      </c>
      <c r="D59" t="inlineStr">
        <is>
          <t>Personal</t>
        </is>
      </c>
      <c r="E59" t="inlineStr">
        <is>
          <t>Personal</t>
        </is>
      </c>
      <c r="F59" t="inlineStr">
        <is>
          <t>Relationships</t>
        </is>
      </c>
      <c r="G59" t="inlineStr">
        <is>
          <t>Dates</t>
        </is>
      </c>
      <c r="H59" t="inlineStr">
        <is>
          <t>Personal &gt; Relationships &gt; Quick Add &gt; Dates</t>
        </is>
      </c>
      <c r="I59" s="18" t="n">
        <v>9526.280000000001</v>
      </c>
      <c r="J59" t="inlineStr">
        <is>
          <t>Created MTR-IOS-0058 and correlation note visible in Activity/Pulse</t>
        </is>
      </c>
      <c r="K59" t="inlineStr">
        <is>
          <t>NOT_RUN</t>
        </is>
      </c>
      <c r="P59" t="n">
        <v>0</v>
      </c>
      <c r="Q59" t="n">
        <v>58</v>
      </c>
    </row>
    <row r="60">
      <c r="A60" t="n">
        <v>59</v>
      </c>
      <c r="B60" t="inlineStr">
        <is>
          <t>MTR-IOS-0059</t>
        </is>
      </c>
      <c r="C60" t="inlineStr">
        <is>
          <t>iPhone</t>
        </is>
      </c>
      <c r="D60" t="inlineStr">
        <is>
          <t>Group</t>
        </is>
      </c>
      <c r="E60" t="inlineStr">
        <is>
          <t>Shared Experience</t>
        </is>
      </c>
      <c r="F60" t="inlineStr">
        <is>
          <t>House Party</t>
        </is>
      </c>
      <c r="G60" t="inlineStr">
        <is>
          <t>Food</t>
        </is>
      </c>
      <c r="H60" t="inlineStr">
        <is>
          <t>Group &gt; House Party &gt; Quick Add &gt; Food</t>
        </is>
      </c>
      <c r="I60" s="18" t="n">
        <v>645.28</v>
      </c>
      <c r="J60" t="inlineStr">
        <is>
          <t>Created MTR-IOS-0059 and correlation note visible in Activity/Pulse</t>
        </is>
      </c>
      <c r="K60" t="inlineStr">
        <is>
          <t>NOT_RUN</t>
        </is>
      </c>
      <c r="P60" t="n">
        <v>0</v>
      </c>
      <c r="Q60" t="n">
        <v>59</v>
      </c>
    </row>
    <row r="61">
      <c r="A61" t="n">
        <v>60</v>
      </c>
      <c r="B61" t="inlineStr">
        <is>
          <t>MTR-IOS-0060</t>
        </is>
      </c>
      <c r="C61" t="inlineStr">
        <is>
          <t>iPhone</t>
        </is>
      </c>
      <c r="D61" t="inlineStr">
        <is>
          <t>Business</t>
        </is>
      </c>
      <c r="E61" t="inlineStr">
        <is>
          <t>Business</t>
        </is>
      </c>
      <c r="F61" t="inlineStr">
        <is>
          <t>Business Operations</t>
        </is>
      </c>
      <c r="G61" t="inlineStr">
        <is>
          <t>Vendor</t>
        </is>
      </c>
      <c r="H61" t="inlineStr">
        <is>
          <t>Business &gt; Business Operations &gt; Quick Add &gt; Vendor</t>
        </is>
      </c>
      <c r="I61" s="18" t="n">
        <v>56257.61</v>
      </c>
      <c r="J61" t="inlineStr">
        <is>
          <t>Created MTR-IOS-0060 and correlation note visible in Activity/Pulse</t>
        </is>
      </c>
      <c r="K61" t="inlineStr">
        <is>
          <t>NOT_RUN</t>
        </is>
      </c>
      <c r="P61" t="n">
        <v>0</v>
      </c>
      <c r="Q61" t="n">
        <v>60</v>
      </c>
    </row>
    <row r="62">
      <c r="A62" t="n">
        <v>61</v>
      </c>
      <c r="B62" t="inlineStr">
        <is>
          <t>MTR-IOS-0061</t>
        </is>
      </c>
      <c r="C62" t="inlineStr">
        <is>
          <t>iPhone</t>
        </is>
      </c>
      <c r="D62" t="inlineStr">
        <is>
          <t>Personal</t>
        </is>
      </c>
      <c r="E62" t="inlineStr">
        <is>
          <t>Personal</t>
        </is>
      </c>
      <c r="F62" t="inlineStr">
        <is>
          <t>Relationships</t>
        </is>
      </c>
      <c r="G62" t="inlineStr">
        <is>
          <t>Family</t>
        </is>
      </c>
      <c r="H62" t="inlineStr">
        <is>
          <t>Personal &gt; Relationships &gt; Quick Add &gt; Family</t>
        </is>
      </c>
      <c r="I62" s="18" t="n">
        <v>15808.23</v>
      </c>
      <c r="J62" t="inlineStr">
        <is>
          <t>Created MTR-IOS-0061 and correlation note visible in Activity/Pulse</t>
        </is>
      </c>
      <c r="K62" t="inlineStr">
        <is>
          <t>NOT_RUN</t>
        </is>
      </c>
      <c r="P62" t="n">
        <v>0</v>
      </c>
      <c r="Q62" t="n">
        <v>61</v>
      </c>
    </row>
    <row r="63">
      <c r="A63" t="n">
        <v>62</v>
      </c>
      <c r="B63" t="inlineStr">
        <is>
          <t>MTR-IOS-0062</t>
        </is>
      </c>
      <c r="C63" t="inlineStr">
        <is>
          <t>iPhone</t>
        </is>
      </c>
      <c r="D63" t="inlineStr">
        <is>
          <t>Group</t>
        </is>
      </c>
      <c r="E63" t="inlineStr">
        <is>
          <t>Shared Experience</t>
        </is>
      </c>
      <c r="F63" t="inlineStr">
        <is>
          <t>House Party</t>
        </is>
      </c>
      <c r="G63" t="inlineStr">
        <is>
          <t>Drinks</t>
        </is>
      </c>
      <c r="H63" t="inlineStr">
        <is>
          <t>Group &gt; House Party &gt; Quick Add &gt; Drinks</t>
        </is>
      </c>
      <c r="I63" s="18" t="n">
        <v>16257.19</v>
      </c>
      <c r="J63" t="inlineStr">
        <is>
          <t>Created MTR-IOS-0062 and correlation note visible in Activity/Pulse</t>
        </is>
      </c>
      <c r="K63" t="inlineStr">
        <is>
          <t>NOT_RUN</t>
        </is>
      </c>
      <c r="P63" t="n">
        <v>0</v>
      </c>
      <c r="Q63" t="n">
        <v>62</v>
      </c>
    </row>
    <row r="64">
      <c r="A64" t="n">
        <v>63</v>
      </c>
      <c r="B64" t="inlineStr">
        <is>
          <t>MTR-IOS-0063</t>
        </is>
      </c>
      <c r="C64" t="inlineStr">
        <is>
          <t>iPhone</t>
        </is>
      </c>
      <c r="D64" t="inlineStr">
        <is>
          <t>Business</t>
        </is>
      </c>
      <c r="E64" t="inlineStr">
        <is>
          <t>Business</t>
        </is>
      </c>
      <c r="F64" t="inlineStr">
        <is>
          <t>Business Operations</t>
        </is>
      </c>
      <c r="G64" t="inlineStr">
        <is>
          <t>Tax</t>
        </is>
      </c>
      <c r="H64" t="inlineStr">
        <is>
          <t>Business &gt; Business Operations &gt; Quick Add &gt; Tax</t>
        </is>
      </c>
      <c r="I64" s="18" t="n">
        <v>139365.36</v>
      </c>
      <c r="J64" t="inlineStr">
        <is>
          <t>Created MTR-IOS-0063 and correlation note visible in Activity/Pulse</t>
        </is>
      </c>
      <c r="K64" t="inlineStr">
        <is>
          <t>NOT_RUN</t>
        </is>
      </c>
      <c r="P64" t="n">
        <v>0</v>
      </c>
      <c r="Q64" t="n">
        <v>63</v>
      </c>
    </row>
    <row r="65">
      <c r="A65" t="n">
        <v>64</v>
      </c>
      <c r="B65" t="inlineStr">
        <is>
          <t>MTR-IOS-0064</t>
        </is>
      </c>
      <c r="C65" t="inlineStr">
        <is>
          <t>iPhone</t>
        </is>
      </c>
      <c r="D65" t="inlineStr">
        <is>
          <t>Personal</t>
        </is>
      </c>
      <c r="E65" t="inlineStr">
        <is>
          <t>Personal</t>
        </is>
      </c>
      <c r="F65" t="inlineStr">
        <is>
          <t>Relationships</t>
        </is>
      </c>
      <c r="G65" t="inlineStr">
        <is>
          <t>Friends</t>
        </is>
      </c>
      <c r="H65" t="inlineStr">
        <is>
          <t>Personal &gt; Relationships &gt; Quick Add &gt; Friends</t>
        </is>
      </c>
      <c r="I65" s="18" t="n">
        <v>14580.17</v>
      </c>
      <c r="J65" t="inlineStr">
        <is>
          <t>Created MTR-IOS-0064 and correlation note visible in Activity/Pulse</t>
        </is>
      </c>
      <c r="K65" t="inlineStr">
        <is>
          <t>NOT_RUN</t>
        </is>
      </c>
      <c r="P65" t="n">
        <v>0</v>
      </c>
      <c r="Q65" t="n">
        <v>64</v>
      </c>
    </row>
    <row r="66">
      <c r="A66" t="n">
        <v>65</v>
      </c>
      <c r="B66" t="inlineStr">
        <is>
          <t>MTR-IOS-0065</t>
        </is>
      </c>
      <c r="C66" t="inlineStr">
        <is>
          <t>iPhone</t>
        </is>
      </c>
      <c r="D66" t="inlineStr">
        <is>
          <t>Group</t>
        </is>
      </c>
      <c r="E66" t="inlineStr">
        <is>
          <t>Shared Experience</t>
        </is>
      </c>
      <c r="F66" t="inlineStr">
        <is>
          <t>House Party</t>
        </is>
      </c>
      <c r="G66" t="inlineStr">
        <is>
          <t>Decor</t>
        </is>
      </c>
      <c r="H66" t="inlineStr">
        <is>
          <t>Group &gt; House Party &gt; Quick Add &gt; Decor</t>
        </is>
      </c>
      <c r="I66" s="18" t="n">
        <v>6500.81</v>
      </c>
      <c r="J66" t="inlineStr">
        <is>
          <t>Created MTR-IOS-0065 and correlation note visible in Activity/Pulse</t>
        </is>
      </c>
      <c r="K66" t="inlineStr">
        <is>
          <t>NOT_RUN</t>
        </is>
      </c>
      <c r="P66" t="n">
        <v>0</v>
      </c>
      <c r="Q66" t="n">
        <v>65</v>
      </c>
    </row>
    <row r="67">
      <c r="A67" t="n">
        <v>66</v>
      </c>
      <c r="B67" t="inlineStr">
        <is>
          <t>MTR-IOS-0066</t>
        </is>
      </c>
      <c r="C67" t="inlineStr">
        <is>
          <t>iPhone</t>
        </is>
      </c>
      <c r="D67" t="inlineStr">
        <is>
          <t>Business</t>
        </is>
      </c>
      <c r="E67" t="inlineStr">
        <is>
          <t>Business</t>
        </is>
      </c>
      <c r="F67" t="inlineStr">
        <is>
          <t>Team Operations</t>
        </is>
      </c>
      <c r="G67" t="inlineStr">
        <is>
          <t>Payroll</t>
        </is>
      </c>
      <c r="H67" t="inlineStr">
        <is>
          <t>Business &gt; Team Operations &gt; Quick Add &gt; Payroll</t>
        </is>
      </c>
      <c r="I67" s="18" t="n">
        <v>113953.26</v>
      </c>
      <c r="J67" t="inlineStr">
        <is>
          <t>Created MTR-IOS-0066 and correlation note visible in Activity/Pulse</t>
        </is>
      </c>
      <c r="K67" t="inlineStr">
        <is>
          <t>NOT_RUN</t>
        </is>
      </c>
      <c r="P67" t="n">
        <v>0</v>
      </c>
      <c r="Q67" t="n">
        <v>66</v>
      </c>
    </row>
    <row r="68">
      <c r="A68" t="n">
        <v>67</v>
      </c>
      <c r="B68" t="inlineStr">
        <is>
          <t>MTR-IOS-0067</t>
        </is>
      </c>
      <c r="C68" t="inlineStr">
        <is>
          <t>iPhone</t>
        </is>
      </c>
      <c r="D68" t="inlineStr">
        <is>
          <t>Personal</t>
        </is>
      </c>
      <c r="E68" t="inlineStr">
        <is>
          <t>Personal</t>
        </is>
      </c>
      <c r="F68" t="inlineStr">
        <is>
          <t>Relationships</t>
        </is>
      </c>
      <c r="G68" t="inlineStr">
        <is>
          <t>Celebrations</t>
        </is>
      </c>
      <c r="H68" t="inlineStr">
        <is>
          <t>Personal &gt; Relationships &gt; Quick Add &gt; Celebrations</t>
        </is>
      </c>
      <c r="I68" s="18" t="n">
        <v>9094.309999999999</v>
      </c>
      <c r="J68" t="inlineStr">
        <is>
          <t>Created MTR-IOS-0067 and correlation note visible in Activity/Pulse</t>
        </is>
      </c>
      <c r="K68" t="inlineStr">
        <is>
          <t>NOT_RUN</t>
        </is>
      </c>
      <c r="P68" t="n">
        <v>0</v>
      </c>
      <c r="Q68" t="n">
        <v>67</v>
      </c>
    </row>
    <row r="69">
      <c r="A69" t="n">
        <v>68</v>
      </c>
      <c r="B69" t="inlineStr">
        <is>
          <t>MTR-IOS-0068</t>
        </is>
      </c>
      <c r="C69" t="inlineStr">
        <is>
          <t>iPhone</t>
        </is>
      </c>
      <c r="D69" t="inlineStr">
        <is>
          <t>Group</t>
        </is>
      </c>
      <c r="E69" t="inlineStr">
        <is>
          <t>Shared Experience</t>
        </is>
      </c>
      <c r="F69" t="inlineStr">
        <is>
          <t>House Party</t>
        </is>
      </c>
      <c r="G69" t="inlineStr">
        <is>
          <t>Supplies</t>
        </is>
      </c>
      <c r="H69" t="inlineStr">
        <is>
          <t>Group &gt; House Party &gt; Quick Add &gt; Supplies</t>
        </is>
      </c>
      <c r="I69" s="18" t="n">
        <v>12595.83</v>
      </c>
      <c r="J69" t="inlineStr">
        <is>
          <t>Created MTR-IOS-0068 and correlation note visible in Activity/Pulse</t>
        </is>
      </c>
      <c r="K69" t="inlineStr">
        <is>
          <t>NOT_RUN</t>
        </is>
      </c>
      <c r="P69" t="n">
        <v>0</v>
      </c>
      <c r="Q69" t="n">
        <v>68</v>
      </c>
    </row>
    <row r="70">
      <c r="A70" t="n">
        <v>69</v>
      </c>
      <c r="B70" t="inlineStr">
        <is>
          <t>MTR-IOS-0069</t>
        </is>
      </c>
      <c r="C70" t="inlineStr">
        <is>
          <t>iPhone</t>
        </is>
      </c>
      <c r="D70" t="inlineStr">
        <is>
          <t>Business</t>
        </is>
      </c>
      <c r="E70" t="inlineStr">
        <is>
          <t>Business</t>
        </is>
      </c>
      <c r="F70" t="inlineStr">
        <is>
          <t>Team Operations</t>
        </is>
      </c>
      <c r="G70" t="inlineStr">
        <is>
          <t>Contractor</t>
        </is>
      </c>
      <c r="H70" t="inlineStr">
        <is>
          <t>Business &gt; Team Operations &gt; Quick Add &gt; Contractor</t>
        </is>
      </c>
      <c r="I70" s="18" t="n">
        <v>136731.74</v>
      </c>
      <c r="J70" t="inlineStr">
        <is>
          <t>Created MTR-IOS-0069 and correlation note visible in Activity/Pulse</t>
        </is>
      </c>
      <c r="K70" t="inlineStr">
        <is>
          <t>NOT_RUN</t>
        </is>
      </c>
      <c r="P70" t="n">
        <v>0</v>
      </c>
      <c r="Q70" t="n">
        <v>69</v>
      </c>
    </row>
    <row r="71">
      <c r="A71" t="n">
        <v>70</v>
      </c>
      <c r="B71" t="inlineStr">
        <is>
          <t>MTR-IOS-0070</t>
        </is>
      </c>
      <c r="C71" t="inlineStr">
        <is>
          <t>iPhone</t>
        </is>
      </c>
      <c r="D71" t="inlineStr">
        <is>
          <t>Personal</t>
        </is>
      </c>
      <c r="E71" t="inlineStr">
        <is>
          <t>Personal</t>
        </is>
      </c>
      <c r="F71" t="inlineStr">
        <is>
          <t>Life Operations</t>
        </is>
      </c>
      <c r="G71" t="inlineStr">
        <is>
          <t>Groceries</t>
        </is>
      </c>
      <c r="H71" t="inlineStr">
        <is>
          <t>Personal &gt; Life Operations &gt; Quick Add &gt; Groceries</t>
        </is>
      </c>
      <c r="I71" s="18" t="n">
        <v>1050.87</v>
      </c>
      <c r="J71" t="inlineStr">
        <is>
          <t>Created MTR-IOS-0070 and correlation note visible in Activity/Pulse</t>
        </is>
      </c>
      <c r="K71" t="inlineStr">
        <is>
          <t>NOT_RUN</t>
        </is>
      </c>
      <c r="P71" t="n">
        <v>0</v>
      </c>
      <c r="Q71" t="n">
        <v>70</v>
      </c>
    </row>
    <row r="72">
      <c r="A72" t="n">
        <v>71</v>
      </c>
      <c r="B72" t="inlineStr">
        <is>
          <t>MTR-IOS-0071</t>
        </is>
      </c>
      <c r="C72" t="inlineStr">
        <is>
          <t>iPhone</t>
        </is>
      </c>
      <c r="D72" t="inlineStr">
        <is>
          <t>Group</t>
        </is>
      </c>
      <c r="E72" t="inlineStr">
        <is>
          <t>Shared Experience</t>
        </is>
      </c>
      <c r="F72" t="inlineStr">
        <is>
          <t>House Party</t>
        </is>
      </c>
      <c r="G72" t="inlineStr">
        <is>
          <t>Other</t>
        </is>
      </c>
      <c r="H72" t="inlineStr">
        <is>
          <t>Group &gt; House Party &gt; Quick Add &gt; Other</t>
        </is>
      </c>
      <c r="I72" s="18" t="n">
        <v>22932.1</v>
      </c>
      <c r="J72" t="inlineStr">
        <is>
          <t>Created MTR-IOS-0071 and correlation note visible in Activity/Pulse</t>
        </is>
      </c>
      <c r="K72" t="inlineStr">
        <is>
          <t>NOT_RUN</t>
        </is>
      </c>
      <c r="P72" t="n">
        <v>0</v>
      </c>
      <c r="Q72" t="n">
        <v>71</v>
      </c>
    </row>
    <row r="73">
      <c r="A73" t="n">
        <v>72</v>
      </c>
      <c r="B73" t="inlineStr">
        <is>
          <t>MTR-IOS-0072</t>
        </is>
      </c>
      <c r="C73" t="inlineStr">
        <is>
          <t>iPhone</t>
        </is>
      </c>
      <c r="D73" t="inlineStr">
        <is>
          <t>Business</t>
        </is>
      </c>
      <c r="E73" t="inlineStr">
        <is>
          <t>Business</t>
        </is>
      </c>
      <c r="F73" t="inlineStr">
        <is>
          <t>Team Operations</t>
        </is>
      </c>
      <c r="G73" t="inlineStr">
        <is>
          <t>Hiring</t>
        </is>
      </c>
      <c r="H73" t="inlineStr">
        <is>
          <t>Business &gt; Team Operations &gt; Quick Add &gt; Hiring</t>
        </is>
      </c>
      <c r="I73" s="18" t="n">
        <v>101440.72</v>
      </c>
      <c r="J73" t="inlineStr">
        <is>
          <t>Created MTR-IOS-0072 and correlation note visible in Activity/Pulse</t>
        </is>
      </c>
      <c r="K73" t="inlineStr">
        <is>
          <t>NOT_RUN</t>
        </is>
      </c>
      <c r="P73" t="n">
        <v>0</v>
      </c>
      <c r="Q73" t="n">
        <v>72</v>
      </c>
    </row>
    <row r="74">
      <c r="A74" t="n">
        <v>73</v>
      </c>
      <c r="B74" t="inlineStr">
        <is>
          <t>MTR-IOS-0073</t>
        </is>
      </c>
      <c r="C74" t="inlineStr">
        <is>
          <t>iPhone</t>
        </is>
      </c>
      <c r="D74" t="inlineStr">
        <is>
          <t>Personal</t>
        </is>
      </c>
      <c r="E74" t="inlineStr">
        <is>
          <t>Personal</t>
        </is>
      </c>
      <c r="F74" t="inlineStr">
        <is>
          <t>Life Operations</t>
        </is>
      </c>
      <c r="G74" t="inlineStr">
        <is>
          <t>Rent</t>
        </is>
      </c>
      <c r="H74" t="inlineStr">
        <is>
          <t>Personal &gt; Life Operations &gt; Quick Add &gt; Rent</t>
        </is>
      </c>
      <c r="I74" s="18" t="n">
        <v>2637.28</v>
      </c>
      <c r="J74" t="inlineStr">
        <is>
          <t>Created MTR-IOS-0073 and correlation note visible in Activity/Pulse</t>
        </is>
      </c>
      <c r="K74" t="inlineStr">
        <is>
          <t>NOT_RUN</t>
        </is>
      </c>
      <c r="P74" t="n">
        <v>0</v>
      </c>
      <c r="Q74" t="n">
        <v>73</v>
      </c>
    </row>
    <row r="75">
      <c r="A75" t="n">
        <v>74</v>
      </c>
      <c r="B75" t="inlineStr">
        <is>
          <t>MTR-IOS-0074</t>
        </is>
      </c>
      <c r="C75" t="inlineStr">
        <is>
          <t>iPhone</t>
        </is>
      </c>
      <c r="D75" t="inlineStr">
        <is>
          <t>Group</t>
        </is>
      </c>
      <c r="E75" t="inlineStr">
        <is>
          <t>Shared Purchase</t>
        </is>
      </c>
      <c r="F75" t="inlineStr">
        <is>
          <t>Gift Pool</t>
        </is>
      </c>
      <c r="G75" t="inlineStr">
        <is>
          <t>Contribution</t>
        </is>
      </c>
      <c r="H75" t="inlineStr">
        <is>
          <t>Group &gt; Gift Pool &gt; Quick Add &gt; Contribution</t>
        </is>
      </c>
      <c r="I75" s="18" t="n">
        <v>99.98999999999999</v>
      </c>
      <c r="J75" t="inlineStr">
        <is>
          <t>Created MTR-IOS-0074 and correlation note visible in Activity/Pulse</t>
        </is>
      </c>
      <c r="K75" t="inlineStr">
        <is>
          <t>NOT_RUN</t>
        </is>
      </c>
      <c r="P75" t="n">
        <v>0</v>
      </c>
      <c r="Q75" t="n">
        <v>74</v>
      </c>
    </row>
    <row r="76">
      <c r="A76" t="n">
        <v>75</v>
      </c>
      <c r="B76" t="inlineStr">
        <is>
          <t>MTR-IOS-0075</t>
        </is>
      </c>
      <c r="C76" t="inlineStr">
        <is>
          <t>iPhone</t>
        </is>
      </c>
      <c r="D76" t="inlineStr">
        <is>
          <t>Business</t>
        </is>
      </c>
      <c r="E76" t="inlineStr">
        <is>
          <t>Business</t>
        </is>
      </c>
      <c r="F76" t="inlineStr">
        <is>
          <t>Team Operations</t>
        </is>
      </c>
      <c r="G76" t="inlineStr">
        <is>
          <t>Team Meal</t>
        </is>
      </c>
      <c r="H76" t="inlineStr">
        <is>
          <t>Business &gt; Team Operations &gt; Quick Add &gt; Team Meal</t>
        </is>
      </c>
      <c r="I76" s="18" t="n">
        <v>31526.73</v>
      </c>
      <c r="J76" t="inlineStr">
        <is>
          <t>Created MTR-IOS-0075 and correlation note visible in Activity/Pulse</t>
        </is>
      </c>
      <c r="K76" t="inlineStr">
        <is>
          <t>NOT_RUN</t>
        </is>
      </c>
      <c r="P76" t="n">
        <v>0</v>
      </c>
      <c r="Q76" t="n">
        <v>75</v>
      </c>
    </row>
    <row r="77">
      <c r="A77" t="n">
        <v>76</v>
      </c>
      <c r="B77" t="inlineStr">
        <is>
          <t>MTR-IOS-0076</t>
        </is>
      </c>
      <c r="C77" t="inlineStr">
        <is>
          <t>iPhone</t>
        </is>
      </c>
      <c r="D77" t="inlineStr">
        <is>
          <t>Personal</t>
        </is>
      </c>
      <c r="E77" t="inlineStr">
        <is>
          <t>Personal</t>
        </is>
      </c>
      <c r="F77" t="inlineStr">
        <is>
          <t>Life Operations</t>
        </is>
      </c>
      <c r="G77" t="inlineStr">
        <is>
          <t>Bills</t>
        </is>
      </c>
      <c r="H77" t="inlineStr">
        <is>
          <t>Personal &gt; Life Operations &gt; Quick Add &gt; Bills</t>
        </is>
      </c>
      <c r="I77" s="18" t="n">
        <v>12479.77</v>
      </c>
      <c r="J77" t="inlineStr">
        <is>
          <t>Created MTR-IOS-0076 and correlation note visible in Activity/Pulse</t>
        </is>
      </c>
      <c r="K77" t="inlineStr">
        <is>
          <t>NOT_RUN</t>
        </is>
      </c>
      <c r="P77" t="n">
        <v>0</v>
      </c>
      <c r="Q77" t="n">
        <v>76</v>
      </c>
    </row>
    <row r="78">
      <c r="A78" t="n">
        <v>77</v>
      </c>
      <c r="B78" t="inlineStr">
        <is>
          <t>MTR-IOS-0077</t>
        </is>
      </c>
      <c r="C78" t="inlineStr">
        <is>
          <t>iPhone</t>
        </is>
      </c>
      <c r="D78" t="inlineStr">
        <is>
          <t>Group</t>
        </is>
      </c>
      <c r="E78" t="inlineStr">
        <is>
          <t>Shared Purchase</t>
        </is>
      </c>
      <c r="F78" t="inlineStr">
        <is>
          <t>Gift Pool</t>
        </is>
      </c>
      <c r="G78" t="inlineStr">
        <is>
          <t>Gift Purchase</t>
        </is>
      </c>
      <c r="H78" t="inlineStr">
        <is>
          <t>Group &gt; Gift Pool &gt; Quick Add &gt; Gift Purchase</t>
        </is>
      </c>
      <c r="I78" s="18" t="n">
        <v>10652.95</v>
      </c>
      <c r="J78" t="inlineStr">
        <is>
          <t>Created MTR-IOS-0077 and correlation note visible in Activity/Pulse</t>
        </is>
      </c>
      <c r="K78" t="inlineStr">
        <is>
          <t>NOT_RUN</t>
        </is>
      </c>
      <c r="P78" t="n">
        <v>0</v>
      </c>
      <c r="Q78" t="n">
        <v>77</v>
      </c>
    </row>
    <row r="79">
      <c r="A79" t="n">
        <v>78</v>
      </c>
      <c r="B79" t="inlineStr">
        <is>
          <t>MTR-IOS-0078</t>
        </is>
      </c>
      <c r="C79" t="inlineStr">
        <is>
          <t>iPhone</t>
        </is>
      </c>
      <c r="D79" t="inlineStr">
        <is>
          <t>Business</t>
        </is>
      </c>
      <c r="E79" t="inlineStr">
        <is>
          <t>Business</t>
        </is>
      </c>
      <c r="F79" t="inlineStr">
        <is>
          <t>Team Operations</t>
        </is>
      </c>
      <c r="G79" t="inlineStr">
        <is>
          <t>Travel</t>
        </is>
      </c>
      <c r="H79" t="inlineStr">
        <is>
          <t>Business &gt; Team Operations &gt; Quick Add &gt; Travel</t>
        </is>
      </c>
      <c r="I79" s="18" t="n">
        <v>122605.77</v>
      </c>
      <c r="J79" t="inlineStr">
        <is>
          <t>Created MTR-IOS-0078 and correlation note visible in Activity/Pulse</t>
        </is>
      </c>
      <c r="K79" t="inlineStr">
        <is>
          <t>NOT_RUN</t>
        </is>
      </c>
      <c r="P79" t="n">
        <v>0</v>
      </c>
      <c r="Q79" t="n">
        <v>78</v>
      </c>
    </row>
    <row r="80">
      <c r="A80" t="n">
        <v>79</v>
      </c>
      <c r="B80" t="inlineStr">
        <is>
          <t>MTR-IOS-0079</t>
        </is>
      </c>
      <c r="C80" t="inlineStr">
        <is>
          <t>iPhone</t>
        </is>
      </c>
      <c r="D80" t="inlineStr">
        <is>
          <t>Personal</t>
        </is>
      </c>
      <c r="E80" t="inlineStr">
        <is>
          <t>Personal</t>
        </is>
      </c>
      <c r="F80" t="inlineStr">
        <is>
          <t>Life Operations</t>
        </is>
      </c>
      <c r="G80" t="inlineStr">
        <is>
          <t>Transport</t>
        </is>
      </c>
      <c r="H80" t="inlineStr">
        <is>
          <t>Personal &gt; Life Operations &gt; Quick Add &gt; Transport</t>
        </is>
      </c>
      <c r="I80" s="18" t="n">
        <v>7262.27</v>
      </c>
      <c r="J80" t="inlineStr">
        <is>
          <t>Created MTR-IOS-0079 and correlation note visible in Activity/Pulse</t>
        </is>
      </c>
      <c r="K80" t="inlineStr">
        <is>
          <t>NOT_RUN</t>
        </is>
      </c>
      <c r="P80" t="n">
        <v>0</v>
      </c>
      <c r="Q80" t="n">
        <v>79</v>
      </c>
    </row>
    <row r="81">
      <c r="A81" t="n">
        <v>80</v>
      </c>
      <c r="B81" t="inlineStr">
        <is>
          <t>MTR-IOS-0080</t>
        </is>
      </c>
      <c r="C81" t="inlineStr">
        <is>
          <t>iPhone</t>
        </is>
      </c>
      <c r="D81" t="inlineStr">
        <is>
          <t>Group</t>
        </is>
      </c>
      <c r="E81" t="inlineStr">
        <is>
          <t>Shared Purchase</t>
        </is>
      </c>
      <c r="F81" t="inlineStr">
        <is>
          <t>Gift Pool</t>
        </is>
      </c>
      <c r="G81" t="inlineStr">
        <is>
          <t>Delivery</t>
        </is>
      </c>
      <c r="H81" t="inlineStr">
        <is>
          <t>Group &gt; Gift Pool &gt; Quick Add &gt; Delivery</t>
        </is>
      </c>
      <c r="I81" s="18" t="n">
        <v>5391.57</v>
      </c>
      <c r="J81" t="inlineStr">
        <is>
          <t>Created MTR-IOS-0080 and correlation note visible in Activity/Pulse</t>
        </is>
      </c>
      <c r="K81" t="inlineStr">
        <is>
          <t>NOT_RUN</t>
        </is>
      </c>
      <c r="P81" t="n">
        <v>0</v>
      </c>
      <c r="Q81" t="n">
        <v>80</v>
      </c>
    </row>
    <row r="82">
      <c r="A82" t="n">
        <v>81</v>
      </c>
      <c r="B82" t="inlineStr">
        <is>
          <t>MTR-IOS-0081</t>
        </is>
      </c>
      <c r="C82" t="inlineStr">
        <is>
          <t>iPhone</t>
        </is>
      </c>
      <c r="D82" t="inlineStr">
        <is>
          <t>Business</t>
        </is>
      </c>
      <c r="E82" t="inlineStr">
        <is>
          <t>Business</t>
        </is>
      </c>
      <c r="F82" t="inlineStr">
        <is>
          <t>Team Operations</t>
        </is>
      </c>
      <c r="G82" t="inlineStr">
        <is>
          <t>Training</t>
        </is>
      </c>
      <c r="H82" t="inlineStr">
        <is>
          <t>Business &gt; Team Operations &gt; Quick Add &gt; Training</t>
        </is>
      </c>
      <c r="I82" s="18" t="n">
        <v>91592.45</v>
      </c>
      <c r="J82" t="inlineStr">
        <is>
          <t>Created MTR-IOS-0081 and correlation note visible in Activity/Pulse</t>
        </is>
      </c>
      <c r="K82" t="inlineStr">
        <is>
          <t>NOT_RUN</t>
        </is>
      </c>
      <c r="P82" t="n">
        <v>0</v>
      </c>
      <c r="Q82" t="n">
        <v>81</v>
      </c>
    </row>
    <row r="83">
      <c r="A83" t="n">
        <v>82</v>
      </c>
      <c r="B83" t="inlineStr">
        <is>
          <t>MTR-IOS-0082</t>
        </is>
      </c>
      <c r="C83" t="inlineStr">
        <is>
          <t>iPhone</t>
        </is>
      </c>
      <c r="D83" t="inlineStr">
        <is>
          <t>Personal</t>
        </is>
      </c>
      <c r="E83" t="inlineStr">
        <is>
          <t>Personal</t>
        </is>
      </c>
      <c r="F83" t="inlineStr">
        <is>
          <t>Life Operations</t>
        </is>
      </c>
      <c r="G83" t="inlineStr">
        <is>
          <t>Healthcare</t>
        </is>
      </c>
      <c r="H83" t="inlineStr">
        <is>
          <t>Personal &gt; Life Operations &gt; Quick Add &gt; Healthcare</t>
        </is>
      </c>
      <c r="I83" s="18" t="n">
        <v>16572.13</v>
      </c>
      <c r="J83" t="inlineStr">
        <is>
          <t>Created MTR-IOS-0082 and correlation note visible in Activity/Pulse</t>
        </is>
      </c>
      <c r="K83" t="inlineStr">
        <is>
          <t>NOT_RUN</t>
        </is>
      </c>
      <c r="P83" t="n">
        <v>0</v>
      </c>
      <c r="Q83" t="n">
        <v>82</v>
      </c>
    </row>
    <row r="84">
      <c r="A84" t="n">
        <v>83</v>
      </c>
      <c r="B84" t="inlineStr">
        <is>
          <t>MTR-IOS-0083</t>
        </is>
      </c>
      <c r="C84" t="inlineStr">
        <is>
          <t>iPhone</t>
        </is>
      </c>
      <c r="D84" t="inlineStr">
        <is>
          <t>Group</t>
        </is>
      </c>
      <c r="E84" t="inlineStr">
        <is>
          <t>Shared Purchase</t>
        </is>
      </c>
      <c r="F84" t="inlineStr">
        <is>
          <t>Gift Pool</t>
        </is>
      </c>
      <c r="G84" t="inlineStr">
        <is>
          <t>Other</t>
        </is>
      </c>
      <c r="H84" t="inlineStr">
        <is>
          <t>Group &gt; Gift Pool &gt; Quick Add &gt; Other</t>
        </is>
      </c>
      <c r="I84" s="18" t="n">
        <v>22439.56</v>
      </c>
      <c r="J84" t="inlineStr">
        <is>
          <t>Created MTR-IOS-0083 and correlation note visible in Activity/Pulse</t>
        </is>
      </c>
      <c r="K84" t="inlineStr">
        <is>
          <t>NOT_RUN</t>
        </is>
      </c>
      <c r="P84" t="n">
        <v>0</v>
      </c>
      <c r="Q84" t="n">
        <v>83</v>
      </c>
    </row>
    <row r="85">
      <c r="A85" t="n">
        <v>84</v>
      </c>
      <c r="B85" t="inlineStr">
        <is>
          <t>MTR-IOS-0084</t>
        </is>
      </c>
      <c r="C85" t="inlineStr">
        <is>
          <t>iPhone</t>
        </is>
      </c>
      <c r="D85" t="inlineStr">
        <is>
          <t>Business</t>
        </is>
      </c>
      <c r="E85" t="inlineStr">
        <is>
          <t>Business</t>
        </is>
      </c>
      <c r="F85" t="inlineStr">
        <is>
          <t>Team Operations</t>
        </is>
      </c>
      <c r="G85" t="inlineStr">
        <is>
          <t>Tools</t>
        </is>
      </c>
      <c r="H85" t="inlineStr">
        <is>
          <t>Business &gt; Team Operations &gt; Quick Add &gt; Tools</t>
        </is>
      </c>
      <c r="I85" s="18" t="n">
        <v>28921.75</v>
      </c>
      <c r="J85" t="inlineStr">
        <is>
          <t>Created MTR-IOS-0084 and correlation note visible in Activity/Pulse</t>
        </is>
      </c>
      <c r="K85" t="inlineStr">
        <is>
          <t>NOT_RUN</t>
        </is>
      </c>
      <c r="P85" t="n">
        <v>0</v>
      </c>
      <c r="Q85" t="n">
        <v>84</v>
      </c>
    </row>
    <row r="86">
      <c r="A86" t="n">
        <v>85</v>
      </c>
      <c r="B86" t="inlineStr">
        <is>
          <t>MTR-IOS-0085</t>
        </is>
      </c>
      <c r="C86" t="inlineStr">
        <is>
          <t>iPhone</t>
        </is>
      </c>
      <c r="D86" t="inlineStr">
        <is>
          <t>Personal</t>
        </is>
      </c>
      <c r="E86" t="inlineStr">
        <is>
          <t>Personal</t>
        </is>
      </c>
      <c r="F86" t="inlineStr">
        <is>
          <t>Life Operations</t>
        </is>
      </c>
      <c r="G86" t="inlineStr">
        <is>
          <t>Subscriptions</t>
        </is>
      </c>
      <c r="H86" t="inlineStr">
        <is>
          <t>Personal &gt; Life Operations &gt; Quick Add &gt; Subscriptions</t>
        </is>
      </c>
      <c r="I86" s="18" t="n">
        <v>888.95</v>
      </c>
      <c r="J86" t="inlineStr">
        <is>
          <t>Created MTR-IOS-0085 and correlation note visible in Activity/Pulse</t>
        </is>
      </c>
      <c r="K86" t="inlineStr">
        <is>
          <t>NOT_RUN</t>
        </is>
      </c>
      <c r="P86" t="n">
        <v>0</v>
      </c>
      <c r="Q86" t="n">
        <v>85</v>
      </c>
    </row>
    <row r="87">
      <c r="A87" t="n">
        <v>86</v>
      </c>
      <c r="B87" t="inlineStr">
        <is>
          <t>MTR-IOS-0086</t>
        </is>
      </c>
      <c r="C87" t="inlineStr">
        <is>
          <t>iPhone</t>
        </is>
      </c>
      <c r="D87" t="inlineStr">
        <is>
          <t>Group</t>
        </is>
      </c>
      <c r="E87" t="inlineStr">
        <is>
          <t>Shared Purchase</t>
        </is>
      </c>
      <c r="F87" t="inlineStr">
        <is>
          <t>Purchase</t>
        </is>
      </c>
      <c r="G87" t="inlineStr">
        <is>
          <t>Item</t>
        </is>
      </c>
      <c r="H87" t="inlineStr">
        <is>
          <t>Group &gt; Purchase &gt; Quick Add &gt; Item</t>
        </is>
      </c>
      <c r="I87" s="18" t="n">
        <v>1987.64</v>
      </c>
      <c r="J87" t="inlineStr">
        <is>
          <t>Created MTR-IOS-0086 and correlation note visible in Activity/Pulse</t>
        </is>
      </c>
      <c r="K87" t="inlineStr">
        <is>
          <t>NOT_RUN</t>
        </is>
      </c>
      <c r="P87" t="n">
        <v>0</v>
      </c>
      <c r="Q87" t="n">
        <v>86</v>
      </c>
    </row>
    <row r="88">
      <c r="A88" t="n">
        <v>87</v>
      </c>
      <c r="B88" t="inlineStr">
        <is>
          <t>MTR-IOS-0087</t>
        </is>
      </c>
      <c r="C88" t="inlineStr">
        <is>
          <t>iPhone</t>
        </is>
      </c>
      <c r="D88" t="inlineStr">
        <is>
          <t>Business</t>
        </is>
      </c>
      <c r="E88" t="inlineStr">
        <is>
          <t>Business</t>
        </is>
      </c>
      <c r="F88" t="inlineStr">
        <is>
          <t>Business Runway</t>
        </is>
      </c>
      <c r="G88" t="inlineStr">
        <is>
          <t>Funding</t>
        </is>
      </c>
      <c r="H88" t="inlineStr">
        <is>
          <t>Business &gt; Business Runway &gt; Quick Add &gt; Funding</t>
        </is>
      </c>
      <c r="I88" s="18" t="n">
        <v>106112.85</v>
      </c>
      <c r="J88" t="inlineStr">
        <is>
          <t>Created MTR-IOS-0087 and correlation note visible in Activity/Pulse</t>
        </is>
      </c>
      <c r="K88" t="inlineStr">
        <is>
          <t>NOT_RUN</t>
        </is>
      </c>
      <c r="P88" t="n">
        <v>0</v>
      </c>
      <c r="Q88" t="n">
        <v>87</v>
      </c>
    </row>
    <row r="89">
      <c r="A89" t="n">
        <v>88</v>
      </c>
      <c r="B89" t="inlineStr">
        <is>
          <t>MTR-IOS-0088</t>
        </is>
      </c>
      <c r="C89" t="inlineStr">
        <is>
          <t>iPhone</t>
        </is>
      </c>
      <c r="D89" t="inlineStr">
        <is>
          <t>Personal</t>
        </is>
      </c>
      <c r="E89" t="inlineStr">
        <is>
          <t>Personal</t>
        </is>
      </c>
      <c r="F89" t="inlineStr">
        <is>
          <t>Life Operations</t>
        </is>
      </c>
      <c r="G89" t="inlineStr">
        <is>
          <t>Repairs</t>
        </is>
      </c>
      <c r="H89" t="inlineStr">
        <is>
          <t>Personal &gt; Life Operations &gt; Quick Add &gt; Repairs</t>
        </is>
      </c>
      <c r="I89" s="18" t="n">
        <v>508.87</v>
      </c>
      <c r="J89" t="inlineStr">
        <is>
          <t>Created MTR-IOS-0088 and correlation note visible in Activity/Pulse</t>
        </is>
      </c>
      <c r="K89" t="inlineStr">
        <is>
          <t>NOT_RUN</t>
        </is>
      </c>
      <c r="P89" t="n">
        <v>0</v>
      </c>
      <c r="Q89" t="n">
        <v>88</v>
      </c>
    </row>
    <row r="90">
      <c r="A90" t="n">
        <v>89</v>
      </c>
      <c r="B90" t="inlineStr">
        <is>
          <t>MTR-IOS-0089</t>
        </is>
      </c>
      <c r="C90" t="inlineStr">
        <is>
          <t>iPhone</t>
        </is>
      </c>
      <c r="D90" t="inlineStr">
        <is>
          <t>Group</t>
        </is>
      </c>
      <c r="E90" t="inlineStr">
        <is>
          <t>Shared Purchase</t>
        </is>
      </c>
      <c r="F90" t="inlineStr">
        <is>
          <t>Purchase</t>
        </is>
      </c>
      <c r="G90" t="inlineStr">
        <is>
          <t>Shipping</t>
        </is>
      </c>
      <c r="H90" t="inlineStr">
        <is>
          <t>Group &gt; Purchase &gt; Quick Add &gt; Shipping</t>
        </is>
      </c>
      <c r="I90" s="18" t="n">
        <v>8397.299999999999</v>
      </c>
      <c r="J90" t="inlineStr">
        <is>
          <t>Created MTR-IOS-0089 and correlation note visible in Activity/Pulse</t>
        </is>
      </c>
      <c r="K90" t="inlineStr">
        <is>
          <t>NOT_RUN</t>
        </is>
      </c>
      <c r="P90" t="n">
        <v>0</v>
      </c>
      <c r="Q90" t="n">
        <v>89</v>
      </c>
    </row>
    <row r="91">
      <c r="A91" t="n">
        <v>90</v>
      </c>
      <c r="B91" t="inlineStr">
        <is>
          <t>MTR-IOS-0090</t>
        </is>
      </c>
      <c r="C91" t="inlineStr">
        <is>
          <t>iPhone</t>
        </is>
      </c>
      <c r="D91" t="inlineStr">
        <is>
          <t>Business</t>
        </is>
      </c>
      <c r="E91" t="inlineStr">
        <is>
          <t>Business</t>
        </is>
      </c>
      <c r="F91" t="inlineStr">
        <is>
          <t>Business Runway</t>
        </is>
      </c>
      <c r="G91" t="inlineStr">
        <is>
          <t>Revenue</t>
        </is>
      </c>
      <c r="H91" t="inlineStr">
        <is>
          <t>Business &gt; Business Runway &gt; Quick Add &gt; Revenue</t>
        </is>
      </c>
      <c r="I91" s="18" t="n">
        <v>164732.5</v>
      </c>
      <c r="J91" t="inlineStr">
        <is>
          <t>Created MTR-IOS-0090 and correlation note visible in Activity/Pulse</t>
        </is>
      </c>
      <c r="K91" t="inlineStr">
        <is>
          <t>NOT_RUN</t>
        </is>
      </c>
      <c r="P91" t="n">
        <v>0</v>
      </c>
      <c r="Q91" t="n">
        <v>90</v>
      </c>
    </row>
    <row r="92">
      <c r="A92" t="n">
        <v>91</v>
      </c>
      <c r="B92" t="inlineStr">
        <is>
          <t>MTR-IOS-0091</t>
        </is>
      </c>
      <c r="C92" t="inlineStr">
        <is>
          <t>iPhone</t>
        </is>
      </c>
      <c r="D92" t="inlineStr">
        <is>
          <t>Personal</t>
        </is>
      </c>
      <c r="E92" t="inlineStr">
        <is>
          <t>Personal</t>
        </is>
      </c>
      <c r="F92" t="inlineStr">
        <is>
          <t>Future Building</t>
        </is>
      </c>
      <c r="G92" t="inlineStr">
        <is>
          <t>Savings</t>
        </is>
      </c>
      <c r="H92" t="inlineStr">
        <is>
          <t>Personal &gt; Future Building &gt; Quick Add &gt; Savings</t>
        </is>
      </c>
      <c r="I92" s="18" t="n">
        <v>1047.28</v>
      </c>
      <c r="J92" t="inlineStr">
        <is>
          <t>Created MTR-IOS-0091 and correlation note visible in Activity/Pulse</t>
        </is>
      </c>
      <c r="K92" t="inlineStr">
        <is>
          <t>NOT_RUN</t>
        </is>
      </c>
      <c r="P92" t="n">
        <v>0</v>
      </c>
      <c r="Q92" t="n">
        <v>91</v>
      </c>
    </row>
    <row r="93">
      <c r="A93" t="n">
        <v>92</v>
      </c>
      <c r="B93" t="inlineStr">
        <is>
          <t>MTR-IOS-0092</t>
        </is>
      </c>
      <c r="C93" t="inlineStr">
        <is>
          <t>iPhone</t>
        </is>
      </c>
      <c r="D93" t="inlineStr">
        <is>
          <t>Group</t>
        </is>
      </c>
      <c r="E93" t="inlineStr">
        <is>
          <t>Shared Purchase</t>
        </is>
      </c>
      <c r="F93" t="inlineStr">
        <is>
          <t>Purchase</t>
        </is>
      </c>
      <c r="G93" t="inlineStr">
        <is>
          <t>Tax</t>
        </is>
      </c>
      <c r="H93" t="inlineStr">
        <is>
          <t>Group &gt; Purchase &gt; Quick Add &gt; Tax</t>
        </is>
      </c>
      <c r="I93" s="18" t="n">
        <v>22954.16</v>
      </c>
      <c r="J93" t="inlineStr">
        <is>
          <t>Created MTR-IOS-0092 and correlation note visible in Activity/Pulse</t>
        </is>
      </c>
      <c r="K93" t="inlineStr">
        <is>
          <t>NOT_RUN</t>
        </is>
      </c>
      <c r="P93" t="n">
        <v>0</v>
      </c>
      <c r="Q93" t="n">
        <v>92</v>
      </c>
    </row>
    <row r="94">
      <c r="A94" t="n">
        <v>93</v>
      </c>
      <c r="B94" t="inlineStr">
        <is>
          <t>MTR-IOS-0093</t>
        </is>
      </c>
      <c r="C94" t="inlineStr">
        <is>
          <t>iPhone</t>
        </is>
      </c>
      <c r="D94" t="inlineStr">
        <is>
          <t>Business</t>
        </is>
      </c>
      <c r="E94" t="inlineStr">
        <is>
          <t>Business</t>
        </is>
      </c>
      <c r="F94" t="inlineStr">
        <is>
          <t>Business Runway</t>
        </is>
      </c>
      <c r="G94" t="inlineStr">
        <is>
          <t>Burn</t>
        </is>
      </c>
      <c r="H94" t="inlineStr">
        <is>
          <t>Business &gt; Business Runway &gt; Quick Add &gt; Burn</t>
        </is>
      </c>
      <c r="I94" s="18" t="n">
        <v>87834.75</v>
      </c>
      <c r="J94" t="inlineStr">
        <is>
          <t>Created MTR-IOS-0093 and correlation note visible in Activity/Pulse</t>
        </is>
      </c>
      <c r="K94" t="inlineStr">
        <is>
          <t>NOT_RUN</t>
        </is>
      </c>
      <c r="P94" t="n">
        <v>0</v>
      </c>
      <c r="Q94" t="n">
        <v>93</v>
      </c>
    </row>
    <row r="95">
      <c r="A95" t="n">
        <v>94</v>
      </c>
      <c r="B95" t="inlineStr">
        <is>
          <t>MTR-IOS-0094</t>
        </is>
      </c>
      <c r="C95" t="inlineStr">
        <is>
          <t>iPhone</t>
        </is>
      </c>
      <c r="D95" t="inlineStr">
        <is>
          <t>Personal</t>
        </is>
      </c>
      <c r="E95" t="inlineStr">
        <is>
          <t>Personal</t>
        </is>
      </c>
      <c r="F95" t="inlineStr">
        <is>
          <t>Future Building</t>
        </is>
      </c>
      <c r="G95" t="inlineStr">
        <is>
          <t>Emergency Fund</t>
        </is>
      </c>
      <c r="H95" t="inlineStr">
        <is>
          <t>Personal &gt; Future Building &gt; Quick Add &gt; Emergency Fund</t>
        </is>
      </c>
      <c r="I95" s="18" t="n">
        <v>16467.85</v>
      </c>
      <c r="J95" t="inlineStr">
        <is>
          <t>Created MTR-IOS-0094 and correlation note visible in Activity/Pulse</t>
        </is>
      </c>
      <c r="K95" t="inlineStr">
        <is>
          <t>NOT_RUN</t>
        </is>
      </c>
      <c r="P95" t="n">
        <v>0</v>
      </c>
      <c r="Q95" t="n">
        <v>94</v>
      </c>
    </row>
    <row r="96">
      <c r="A96" t="n">
        <v>95</v>
      </c>
      <c r="B96" t="inlineStr">
        <is>
          <t>MTR-IOS-0095</t>
        </is>
      </c>
      <c r="C96" t="inlineStr">
        <is>
          <t>iPhone</t>
        </is>
      </c>
      <c r="D96" t="inlineStr">
        <is>
          <t>Group</t>
        </is>
      </c>
      <c r="E96" t="inlineStr">
        <is>
          <t>Shared Purchase</t>
        </is>
      </c>
      <c r="F96" t="inlineStr">
        <is>
          <t>Purchase</t>
        </is>
      </c>
      <c r="G96" t="inlineStr">
        <is>
          <t>Other</t>
        </is>
      </c>
      <c r="H96" t="inlineStr">
        <is>
          <t>Group &gt; Purchase &gt; Quick Add &gt; Other</t>
        </is>
      </c>
      <c r="I96" s="18" t="n">
        <v>25633.17</v>
      </c>
      <c r="J96" t="inlineStr">
        <is>
          <t>Created MTR-IOS-0095 and correlation note visible in Activity/Pulse</t>
        </is>
      </c>
      <c r="K96" t="inlineStr">
        <is>
          <t>NOT_RUN</t>
        </is>
      </c>
      <c r="P96" t="n">
        <v>0</v>
      </c>
      <c r="Q96" t="n">
        <v>95</v>
      </c>
    </row>
    <row r="97">
      <c r="A97" t="n">
        <v>96</v>
      </c>
      <c r="B97" t="inlineStr">
        <is>
          <t>MTR-IOS-0096</t>
        </is>
      </c>
      <c r="C97" t="inlineStr">
        <is>
          <t>iPhone</t>
        </is>
      </c>
      <c r="D97" t="inlineStr">
        <is>
          <t>Business</t>
        </is>
      </c>
      <c r="E97" t="inlineStr">
        <is>
          <t>Business</t>
        </is>
      </c>
      <c r="F97" t="inlineStr">
        <is>
          <t>Business Runway</t>
        </is>
      </c>
      <c r="G97" t="inlineStr">
        <is>
          <t>Reserve</t>
        </is>
      </c>
      <c r="H97" t="inlineStr">
        <is>
          <t>Business &gt; Business Runway &gt; Quick Add &gt; Reserve</t>
        </is>
      </c>
      <c r="I97" s="18" t="n">
        <v>91780.94</v>
      </c>
      <c r="J97" t="inlineStr">
        <is>
          <t>Created MTR-IOS-0096 and correlation note visible in Activity/Pulse</t>
        </is>
      </c>
      <c r="K97" t="inlineStr">
        <is>
          <t>NOT_RUN</t>
        </is>
      </c>
      <c r="P97" t="n">
        <v>0</v>
      </c>
      <c r="Q97" t="n">
        <v>96</v>
      </c>
    </row>
    <row r="98">
      <c r="A98" t="n">
        <v>97</v>
      </c>
      <c r="B98" t="inlineStr">
        <is>
          <t>MTR-IOS-0097</t>
        </is>
      </c>
      <c r="C98" t="inlineStr">
        <is>
          <t>iPhone</t>
        </is>
      </c>
      <c r="D98" t="inlineStr">
        <is>
          <t>Personal</t>
        </is>
      </c>
      <c r="E98" t="inlineStr">
        <is>
          <t>Personal</t>
        </is>
      </c>
      <c r="F98" t="inlineStr">
        <is>
          <t>Future Building</t>
        </is>
      </c>
      <c r="G98" t="inlineStr">
        <is>
          <t>Investments</t>
        </is>
      </c>
      <c r="H98" t="inlineStr">
        <is>
          <t>Personal &gt; Future Building &gt; Quick Add &gt; Investments</t>
        </is>
      </c>
      <c r="I98" s="18" t="n">
        <v>14426.24</v>
      </c>
      <c r="J98" t="inlineStr">
        <is>
          <t>Created MTR-IOS-0097 and correlation note visible in Activity/Pulse</t>
        </is>
      </c>
      <c r="K98" t="inlineStr">
        <is>
          <t>NOT_RUN</t>
        </is>
      </c>
      <c r="P98" t="n">
        <v>0</v>
      </c>
      <c r="Q98" t="n">
        <v>97</v>
      </c>
    </row>
    <row r="99">
      <c r="A99" t="n">
        <v>98</v>
      </c>
      <c r="B99" t="inlineStr">
        <is>
          <t>MTR-IOS-0098</t>
        </is>
      </c>
      <c r="C99" t="inlineStr">
        <is>
          <t>iPhone</t>
        </is>
      </c>
      <c r="D99" t="inlineStr">
        <is>
          <t>Group</t>
        </is>
      </c>
      <c r="E99" t="inlineStr">
        <is>
          <t>Shared Purchase</t>
        </is>
      </c>
      <c r="F99" t="inlineStr">
        <is>
          <t>Assets</t>
        </is>
      </c>
      <c r="G99" t="inlineStr">
        <is>
          <t>Purchase</t>
        </is>
      </c>
      <c r="H99" t="inlineStr">
        <is>
          <t>Group &gt; Assets &gt; Quick Add &gt; Purchase</t>
        </is>
      </c>
      <c r="I99" s="18" t="n">
        <v>20917.42</v>
      </c>
      <c r="J99" t="inlineStr">
        <is>
          <t>Created MTR-IOS-0098 and correlation note visible in Activity/Pulse</t>
        </is>
      </c>
      <c r="K99" t="inlineStr">
        <is>
          <t>NOT_RUN</t>
        </is>
      </c>
      <c r="P99" t="n">
        <v>0</v>
      </c>
      <c r="Q99" t="n">
        <v>98</v>
      </c>
    </row>
    <row r="100">
      <c r="A100" t="n">
        <v>99</v>
      </c>
      <c r="B100" t="inlineStr">
        <is>
          <t>MTR-IOS-0099</t>
        </is>
      </c>
      <c r="C100" t="inlineStr">
        <is>
          <t>iPhone</t>
        </is>
      </c>
      <c r="D100" t="inlineStr">
        <is>
          <t>Business</t>
        </is>
      </c>
      <c r="E100" t="inlineStr">
        <is>
          <t>Business</t>
        </is>
      </c>
      <c r="F100" t="inlineStr">
        <is>
          <t>Business Runway</t>
        </is>
      </c>
      <c r="G100" t="inlineStr">
        <is>
          <t>Loan</t>
        </is>
      </c>
      <c r="H100" t="inlineStr">
        <is>
          <t>Business &gt; Business Runway &gt; Quick Add &gt; Loan</t>
        </is>
      </c>
      <c r="I100" s="18" t="n">
        <v>9873.35</v>
      </c>
      <c r="J100" t="inlineStr">
        <is>
          <t>Created MTR-IOS-0099 and correlation note visible in Activity/Pulse</t>
        </is>
      </c>
      <c r="K100" t="inlineStr">
        <is>
          <t>NOT_RUN</t>
        </is>
      </c>
      <c r="P100" t="n">
        <v>0</v>
      </c>
      <c r="Q100" t="n">
        <v>99</v>
      </c>
    </row>
    <row r="101">
      <c r="A101" t="n">
        <v>100</v>
      </c>
      <c r="B101" t="inlineStr">
        <is>
          <t>MTR-IOS-0100</t>
        </is>
      </c>
      <c r="C101" t="inlineStr">
        <is>
          <t>iPhone</t>
        </is>
      </c>
      <c r="D101" t="inlineStr">
        <is>
          <t>Personal</t>
        </is>
      </c>
      <c r="E101" t="inlineStr">
        <is>
          <t>Personal</t>
        </is>
      </c>
      <c r="F101" t="inlineStr">
        <is>
          <t>Future Building</t>
        </is>
      </c>
      <c r="G101" t="inlineStr">
        <is>
          <t>Education</t>
        </is>
      </c>
      <c r="H101" t="inlineStr">
        <is>
          <t>Personal &gt; Future Building &gt; Quick Add &gt; Education</t>
        </is>
      </c>
      <c r="I101" s="18" t="n">
        <v>16161.79</v>
      </c>
      <c r="J101" t="inlineStr">
        <is>
          <t>Created MTR-IOS-0100 and correlation note visible in Activity/Pulse</t>
        </is>
      </c>
      <c r="K101" t="inlineStr">
        <is>
          <t>NOT_RUN</t>
        </is>
      </c>
      <c r="P101" t="n">
        <v>0</v>
      </c>
      <c r="Q101" t="n">
        <v>100</v>
      </c>
    </row>
    <row r="102">
      <c r="A102" t="n">
        <v>101</v>
      </c>
      <c r="B102" t="inlineStr">
        <is>
          <t>MTR-IOS-0101</t>
        </is>
      </c>
      <c r="C102" t="inlineStr">
        <is>
          <t>iPhone</t>
        </is>
      </c>
      <c r="D102" t="inlineStr">
        <is>
          <t>Group</t>
        </is>
      </c>
      <c r="E102" t="inlineStr">
        <is>
          <t>Shared Purchase</t>
        </is>
      </c>
      <c r="F102" t="inlineStr">
        <is>
          <t>Assets</t>
        </is>
      </c>
      <c r="G102" t="inlineStr">
        <is>
          <t>Maintenance</t>
        </is>
      </c>
      <c r="H102" t="inlineStr">
        <is>
          <t>Group &gt; Assets &gt; Quick Add &gt; Maintenance</t>
        </is>
      </c>
      <c r="I102" s="18" t="n">
        <v>21681.29</v>
      </c>
      <c r="J102" t="inlineStr">
        <is>
          <t>Created MTR-IOS-0101 and correlation note visible in Activity/Pulse</t>
        </is>
      </c>
      <c r="K102" t="inlineStr">
        <is>
          <t>NOT_RUN</t>
        </is>
      </c>
      <c r="P102" t="n">
        <v>0</v>
      </c>
      <c r="Q102" t="n">
        <v>101</v>
      </c>
    </row>
    <row r="103">
      <c r="A103" t="n">
        <v>102</v>
      </c>
      <c r="B103" t="inlineStr">
        <is>
          <t>MTR-IOS-0102</t>
        </is>
      </c>
      <c r="C103" t="inlineStr">
        <is>
          <t>iPhone</t>
        </is>
      </c>
      <c r="D103" t="inlineStr">
        <is>
          <t>Business</t>
        </is>
      </c>
      <c r="E103" t="inlineStr">
        <is>
          <t>Business</t>
        </is>
      </c>
      <c r="F103" t="inlineStr">
        <is>
          <t>Business Runway</t>
        </is>
      </c>
      <c r="G103" t="inlineStr">
        <is>
          <t>Investment</t>
        </is>
      </c>
      <c r="H103" t="inlineStr">
        <is>
          <t>Business &gt; Business Runway &gt; Quick Add &gt; Investment</t>
        </is>
      </c>
      <c r="I103" s="18" t="n">
        <v>148459.45</v>
      </c>
      <c r="J103" t="inlineStr">
        <is>
          <t>Created MTR-IOS-0102 and correlation note visible in Activity/Pulse</t>
        </is>
      </c>
      <c r="K103" t="inlineStr">
        <is>
          <t>NOT_RUN</t>
        </is>
      </c>
      <c r="P103" t="n">
        <v>0</v>
      </c>
      <c r="Q103" t="n">
        <v>102</v>
      </c>
    </row>
    <row r="104">
      <c r="A104" t="n">
        <v>103</v>
      </c>
      <c r="B104" t="inlineStr">
        <is>
          <t>MTR-IOS-0103</t>
        </is>
      </c>
      <c r="C104" t="inlineStr">
        <is>
          <t>iPhone</t>
        </is>
      </c>
      <c r="D104" t="inlineStr">
        <is>
          <t>Personal</t>
        </is>
      </c>
      <c r="E104" t="inlineStr">
        <is>
          <t>Personal</t>
        </is>
      </c>
      <c r="F104" t="inlineStr">
        <is>
          <t>Future Building</t>
        </is>
      </c>
      <c r="G104" t="inlineStr">
        <is>
          <t>Goal Contribution</t>
        </is>
      </c>
      <c r="H104" t="inlineStr">
        <is>
          <t>Personal &gt; Future Building &gt; Quick Add &gt; Goal Contribution</t>
        </is>
      </c>
      <c r="I104" s="18" t="n">
        <v>13732.74</v>
      </c>
      <c r="J104" t="inlineStr">
        <is>
          <t>Created MTR-IOS-0103 and correlation note visible in Activity/Pulse</t>
        </is>
      </c>
      <c r="K104" t="inlineStr">
        <is>
          <t>NOT_RUN</t>
        </is>
      </c>
      <c r="P104" t="n">
        <v>0</v>
      </c>
      <c r="Q104" t="n">
        <v>103</v>
      </c>
    </row>
    <row r="105">
      <c r="A105" t="n">
        <v>104</v>
      </c>
      <c r="B105" t="inlineStr">
        <is>
          <t>MTR-IOS-0104</t>
        </is>
      </c>
      <c r="C105" t="inlineStr">
        <is>
          <t>iPhone</t>
        </is>
      </c>
      <c r="D105" t="inlineStr">
        <is>
          <t>Group</t>
        </is>
      </c>
      <c r="E105" t="inlineStr">
        <is>
          <t>Shared Purchase</t>
        </is>
      </c>
      <c r="F105" t="inlineStr">
        <is>
          <t>Assets</t>
        </is>
      </c>
      <c r="G105" t="inlineStr">
        <is>
          <t>Repair</t>
        </is>
      </c>
      <c r="H105" t="inlineStr">
        <is>
          <t>Group &gt; Assets &gt; Quick Add &gt; Repair</t>
        </is>
      </c>
      <c r="I105" s="18" t="n">
        <v>23860.34</v>
      </c>
      <c r="J105" t="inlineStr">
        <is>
          <t>Created MTR-IOS-0104 and correlation note visible in Activity/Pulse</t>
        </is>
      </c>
      <c r="K105" t="inlineStr">
        <is>
          <t>NOT_RUN</t>
        </is>
      </c>
      <c r="P105" t="n">
        <v>0</v>
      </c>
      <c r="Q105" t="n">
        <v>104</v>
      </c>
    </row>
    <row r="106">
      <c r="A106" t="n">
        <v>105</v>
      </c>
      <c r="B106" t="inlineStr">
        <is>
          <t>MTR-IOS-0105</t>
        </is>
      </c>
      <c r="C106" t="inlineStr">
        <is>
          <t>iPhone</t>
        </is>
      </c>
      <c r="D106" t="inlineStr">
        <is>
          <t>Business</t>
        </is>
      </c>
      <c r="E106" t="inlineStr">
        <is>
          <t>Business</t>
        </is>
      </c>
      <c r="F106" t="inlineStr">
        <is>
          <t>Business Operations</t>
        </is>
      </c>
      <c r="G106" t="inlineStr">
        <is>
          <t>Software</t>
        </is>
      </c>
      <c r="H106" t="inlineStr">
        <is>
          <t>Business &gt; Business Operations &gt; Quick Add &gt; Software</t>
        </is>
      </c>
      <c r="I106" s="18" t="n">
        <v>109716.24</v>
      </c>
      <c r="J106" t="inlineStr">
        <is>
          <t>Created MTR-IOS-0105 and correlation note visible in Activity/Pulse</t>
        </is>
      </c>
      <c r="K106" t="inlineStr">
        <is>
          <t>NOT_RUN</t>
        </is>
      </c>
      <c r="P106" t="n">
        <v>0</v>
      </c>
      <c r="Q106" t="n">
        <v>105</v>
      </c>
    </row>
    <row r="107">
      <c r="A107" t="n">
        <v>106</v>
      </c>
      <c r="B107" t="inlineStr">
        <is>
          <t>MTR-IOS-0106</t>
        </is>
      </c>
      <c r="C107" t="inlineStr">
        <is>
          <t>iPhone</t>
        </is>
      </c>
      <c r="D107" t="inlineStr">
        <is>
          <t>Personal</t>
        </is>
      </c>
      <c r="E107" t="inlineStr">
        <is>
          <t>Personal</t>
        </is>
      </c>
      <c r="F107" t="inlineStr">
        <is>
          <t>Lifestyle</t>
        </is>
      </c>
      <c r="G107" t="inlineStr">
        <is>
          <t>Dining</t>
        </is>
      </c>
      <c r="H107" t="inlineStr">
        <is>
          <t>Personal &gt; Lifestyle &gt; Quick Add &gt; Dining</t>
        </is>
      </c>
      <c r="I107" s="18" t="n">
        <v>3093</v>
      </c>
      <c r="J107" t="inlineStr">
        <is>
          <t>Created MTR-IOS-0106 and correlation note visible in Activity/Pulse</t>
        </is>
      </c>
      <c r="K107" t="inlineStr">
        <is>
          <t>NOT_RUN</t>
        </is>
      </c>
      <c r="P107" t="n">
        <v>0</v>
      </c>
      <c r="Q107" t="n">
        <v>106</v>
      </c>
    </row>
    <row r="108">
      <c r="A108" t="n">
        <v>107</v>
      </c>
      <c r="B108" t="inlineStr">
        <is>
          <t>MTR-IOS-0107</t>
        </is>
      </c>
      <c r="C108" t="inlineStr">
        <is>
          <t>iPhone</t>
        </is>
      </c>
      <c r="D108" t="inlineStr">
        <is>
          <t>Group</t>
        </is>
      </c>
      <c r="E108" t="inlineStr">
        <is>
          <t>Shared Purchase</t>
        </is>
      </c>
      <c r="F108" t="inlineStr">
        <is>
          <t>Assets</t>
        </is>
      </c>
      <c r="G108" t="inlineStr">
        <is>
          <t>Insurance</t>
        </is>
      </c>
      <c r="H108" t="inlineStr">
        <is>
          <t>Group &gt; Assets &gt; Quick Add &gt; Insurance</t>
        </is>
      </c>
      <c r="I108" s="18" t="n">
        <v>16865.3</v>
      </c>
      <c r="J108" t="inlineStr">
        <is>
          <t>Created MTR-IOS-0107 and correlation note visible in Activity/Pulse</t>
        </is>
      </c>
      <c r="K108" t="inlineStr">
        <is>
          <t>NOT_RUN</t>
        </is>
      </c>
      <c r="P108" t="n">
        <v>0</v>
      </c>
      <c r="Q108" t="n">
        <v>107</v>
      </c>
    </row>
    <row r="109">
      <c r="A109" t="n">
        <v>108</v>
      </c>
      <c r="B109" t="inlineStr">
        <is>
          <t>MTR-IOS-0108</t>
        </is>
      </c>
      <c r="C109" t="inlineStr">
        <is>
          <t>iPhone</t>
        </is>
      </c>
      <c r="D109" t="inlineStr">
        <is>
          <t>Business</t>
        </is>
      </c>
      <c r="E109" t="inlineStr">
        <is>
          <t>Business</t>
        </is>
      </c>
      <c r="F109" t="inlineStr">
        <is>
          <t>Business Operations</t>
        </is>
      </c>
      <c r="G109" t="inlineStr">
        <is>
          <t>Rent</t>
        </is>
      </c>
      <c r="H109" t="inlineStr">
        <is>
          <t>Business &gt; Business Operations &gt; Quick Add &gt; Rent</t>
        </is>
      </c>
      <c r="I109" s="18" t="n">
        <v>105825.15</v>
      </c>
      <c r="J109" t="inlineStr">
        <is>
          <t>Created MTR-IOS-0108 and correlation note visible in Activity/Pulse</t>
        </is>
      </c>
      <c r="K109" t="inlineStr">
        <is>
          <t>NOT_RUN</t>
        </is>
      </c>
      <c r="P109" t="n">
        <v>0</v>
      </c>
      <c r="Q109" t="n">
        <v>108</v>
      </c>
    </row>
    <row r="110">
      <c r="A110" t="n">
        <v>109</v>
      </c>
      <c r="B110" t="inlineStr">
        <is>
          <t>MTR-IOS-0109</t>
        </is>
      </c>
      <c r="C110" t="inlineStr">
        <is>
          <t>iPhone</t>
        </is>
      </c>
      <c r="D110" t="inlineStr">
        <is>
          <t>Personal</t>
        </is>
      </c>
      <c r="E110" t="inlineStr">
        <is>
          <t>Personal</t>
        </is>
      </c>
      <c r="F110" t="inlineStr">
        <is>
          <t>Lifestyle</t>
        </is>
      </c>
      <c r="G110" t="inlineStr">
        <is>
          <t>Shopping</t>
        </is>
      </c>
      <c r="H110" t="inlineStr">
        <is>
          <t>Personal &gt; Lifestyle &gt; Quick Add &gt; Shopping</t>
        </is>
      </c>
      <c r="I110" s="18" t="n">
        <v>16207.58</v>
      </c>
      <c r="J110" t="inlineStr">
        <is>
          <t>Created MTR-IOS-0109 and correlation note visible in Activity/Pulse</t>
        </is>
      </c>
      <c r="K110" t="inlineStr">
        <is>
          <t>NOT_RUN</t>
        </is>
      </c>
      <c r="P110" t="n">
        <v>0</v>
      </c>
      <c r="Q110" t="n">
        <v>109</v>
      </c>
    </row>
    <row r="111">
      <c r="A111" t="n">
        <v>110</v>
      </c>
      <c r="B111" t="inlineStr">
        <is>
          <t>MTR-IOS-0110</t>
        </is>
      </c>
      <c r="C111" t="inlineStr">
        <is>
          <t>iPhone</t>
        </is>
      </c>
      <c r="D111" t="inlineStr">
        <is>
          <t>Group</t>
        </is>
      </c>
      <c r="E111" t="inlineStr">
        <is>
          <t>Shared Purchase</t>
        </is>
      </c>
      <c r="F111" t="inlineStr">
        <is>
          <t>Assets</t>
        </is>
      </c>
      <c r="G111" t="inlineStr">
        <is>
          <t>Other</t>
        </is>
      </c>
      <c r="H111" t="inlineStr">
        <is>
          <t>Group &gt; Assets &gt; Quick Add &gt; Other</t>
        </is>
      </c>
      <c r="I111" s="18" t="n">
        <v>2670.61</v>
      </c>
      <c r="J111" t="inlineStr">
        <is>
          <t>Created MTR-IOS-0110 and correlation note visible in Activity/Pulse</t>
        </is>
      </c>
      <c r="K111" t="inlineStr">
        <is>
          <t>NOT_RUN</t>
        </is>
      </c>
      <c r="P111" t="n">
        <v>0</v>
      </c>
      <c r="Q111" t="n">
        <v>110</v>
      </c>
    </row>
    <row r="112">
      <c r="A112" t="n">
        <v>111</v>
      </c>
      <c r="B112" t="inlineStr">
        <is>
          <t>MTR-IOS-0111</t>
        </is>
      </c>
      <c r="C112" t="inlineStr">
        <is>
          <t>iPhone</t>
        </is>
      </c>
      <c r="D112" t="inlineStr">
        <is>
          <t>Business</t>
        </is>
      </c>
      <c r="E112" t="inlineStr">
        <is>
          <t>Business</t>
        </is>
      </c>
      <c r="F112" t="inlineStr">
        <is>
          <t>Business Operations</t>
        </is>
      </c>
      <c r="G112" t="inlineStr">
        <is>
          <t>Marketing</t>
        </is>
      </c>
      <c r="H112" t="inlineStr">
        <is>
          <t>Business &gt; Business Operations &gt; Quick Add &gt; Marketing</t>
        </is>
      </c>
      <c r="I112" s="18" t="n">
        <v>100</v>
      </c>
      <c r="J112" t="inlineStr">
        <is>
          <t>Created MTR-IOS-0111 and correlation note visible in Activity/Pulse</t>
        </is>
      </c>
      <c r="K112" t="inlineStr">
        <is>
          <t>NOT_RUN</t>
        </is>
      </c>
      <c r="P112" t="n">
        <v>0</v>
      </c>
      <c r="Q112" t="n">
        <v>111</v>
      </c>
    </row>
    <row r="113">
      <c r="A113" t="n">
        <v>112</v>
      </c>
      <c r="B113" t="inlineStr">
        <is>
          <t>MTR-IOS-0112</t>
        </is>
      </c>
      <c r="C113" t="inlineStr">
        <is>
          <t>iPhone</t>
        </is>
      </c>
      <c r="D113" t="inlineStr">
        <is>
          <t>Personal</t>
        </is>
      </c>
      <c r="E113" t="inlineStr">
        <is>
          <t>Personal</t>
        </is>
      </c>
      <c r="F113" t="inlineStr">
        <is>
          <t>Lifestyle</t>
        </is>
      </c>
      <c r="G113" t="inlineStr">
        <is>
          <t>Entertainment</t>
        </is>
      </c>
      <c r="H113" t="inlineStr">
        <is>
          <t>Personal &gt; Lifestyle &gt; Quick Add &gt; Entertainment</t>
        </is>
      </c>
      <c r="I113" s="18" t="n">
        <v>14904.21</v>
      </c>
      <c r="J113" t="inlineStr">
        <is>
          <t>Created MTR-IOS-0112 and correlation note visible in Activity/Pulse</t>
        </is>
      </c>
      <c r="K113" t="inlineStr">
        <is>
          <t>NOT_RUN</t>
        </is>
      </c>
      <c r="P113" t="n">
        <v>0</v>
      </c>
      <c r="Q113" t="n">
        <v>112</v>
      </c>
    </row>
    <row r="114">
      <c r="A114" t="n">
        <v>113</v>
      </c>
      <c r="B114" t="inlineStr">
        <is>
          <t>MTR-IOS-0113</t>
        </is>
      </c>
      <c r="C114" t="inlineStr">
        <is>
          <t>iPhone</t>
        </is>
      </c>
      <c r="D114" t="inlineStr">
        <is>
          <t>Group</t>
        </is>
      </c>
      <c r="E114" t="inlineStr">
        <is>
          <t>Shared Purchase</t>
        </is>
      </c>
      <c r="F114" t="inlineStr">
        <is>
          <t>Custom Purchase</t>
        </is>
      </c>
      <c r="G114" t="inlineStr">
        <is>
          <t>Custom Expense</t>
        </is>
      </c>
      <c r="H114" t="inlineStr">
        <is>
          <t>Group &gt; Custom Purchase &gt; Quick Add &gt; Custom Expense</t>
        </is>
      </c>
      <c r="I114" s="18" t="n">
        <v>12012</v>
      </c>
      <c r="J114" t="inlineStr">
        <is>
          <t>Created MTR-IOS-0113 and correlation note visible in Activity/Pulse</t>
        </is>
      </c>
      <c r="K114" t="inlineStr">
        <is>
          <t>NOT_RUN</t>
        </is>
      </c>
      <c r="P114" t="n">
        <v>0</v>
      </c>
      <c r="Q114" t="n">
        <v>113</v>
      </c>
    </row>
    <row r="115">
      <c r="A115" t="n">
        <v>114</v>
      </c>
      <c r="B115" t="inlineStr">
        <is>
          <t>MTR-IOS-0114</t>
        </is>
      </c>
      <c r="C115" t="inlineStr">
        <is>
          <t>iPhone</t>
        </is>
      </c>
      <c r="D115" t="inlineStr">
        <is>
          <t>Business</t>
        </is>
      </c>
      <c r="E115" t="inlineStr">
        <is>
          <t>Business</t>
        </is>
      </c>
      <c r="F115" t="inlineStr">
        <is>
          <t>Business Operations</t>
        </is>
      </c>
      <c r="G115" t="inlineStr">
        <is>
          <t>Legal</t>
        </is>
      </c>
      <c r="H115" t="inlineStr">
        <is>
          <t>Business &gt; Business Operations &gt; Quick Add &gt; Legal</t>
        </is>
      </c>
      <c r="I115" s="18" t="n">
        <v>97844.99000000001</v>
      </c>
      <c r="J115" t="inlineStr">
        <is>
          <t>Created MTR-IOS-0114 and correlation note visible in Activity/Pulse</t>
        </is>
      </c>
      <c r="K115" t="inlineStr">
        <is>
          <t>NOT_RUN</t>
        </is>
      </c>
      <c r="P115" t="n">
        <v>0</v>
      </c>
      <c r="Q115" t="n">
        <v>114</v>
      </c>
    </row>
    <row r="116">
      <c r="A116" t="n">
        <v>115</v>
      </c>
      <c r="B116" t="inlineStr">
        <is>
          <t>MTR-IOS-0115</t>
        </is>
      </c>
      <c r="C116" t="inlineStr">
        <is>
          <t>iPhone</t>
        </is>
      </c>
      <c r="D116" t="inlineStr">
        <is>
          <t>Personal</t>
        </is>
      </c>
      <c r="E116" t="inlineStr">
        <is>
          <t>Personal</t>
        </is>
      </c>
      <c r="F116" t="inlineStr">
        <is>
          <t>Lifestyle</t>
        </is>
      </c>
      <c r="G116" t="inlineStr">
        <is>
          <t>Travel</t>
        </is>
      </c>
      <c r="H116" t="inlineStr">
        <is>
          <t>Personal &gt; Lifestyle &gt; Quick Add &gt; Travel</t>
        </is>
      </c>
      <c r="I116" s="18" t="n">
        <v>110.04</v>
      </c>
      <c r="J116" t="inlineStr">
        <is>
          <t>Created MTR-IOS-0115 and correlation note visible in Activity/Pulse</t>
        </is>
      </c>
      <c r="K116" t="inlineStr">
        <is>
          <t>NOT_RUN</t>
        </is>
      </c>
      <c r="P116" t="n">
        <v>0</v>
      </c>
      <c r="Q116" t="n">
        <v>115</v>
      </c>
    </row>
    <row r="117">
      <c r="A117" t="n">
        <v>116</v>
      </c>
      <c r="B117" t="inlineStr">
        <is>
          <t>MTR-IOS-0116</t>
        </is>
      </c>
      <c r="C117" t="inlineStr">
        <is>
          <t>iPhone</t>
        </is>
      </c>
      <c r="D117" t="inlineStr">
        <is>
          <t>Group</t>
        </is>
      </c>
      <c r="E117" t="inlineStr">
        <is>
          <t>Shared Purchase</t>
        </is>
      </c>
      <c r="F117" t="inlineStr">
        <is>
          <t>Custom Purchase</t>
        </is>
      </c>
      <c r="G117" t="inlineStr">
        <is>
          <t>Custom Contribution</t>
        </is>
      </c>
      <c r="H117" t="inlineStr">
        <is>
          <t>Group &gt; Custom Purchase &gt; Quick Add &gt; Custom Contribution</t>
        </is>
      </c>
      <c r="I117" s="18" t="n">
        <v>23361.36</v>
      </c>
      <c r="J117" t="inlineStr">
        <is>
          <t>Created MTR-IOS-0116 and correlation note visible in Activity/Pulse</t>
        </is>
      </c>
      <c r="K117" t="inlineStr">
        <is>
          <t>NOT_RUN</t>
        </is>
      </c>
      <c r="P117" t="n">
        <v>0</v>
      </c>
      <c r="Q117" t="n">
        <v>116</v>
      </c>
    </row>
    <row r="118">
      <c r="A118" t="n">
        <v>117</v>
      </c>
      <c r="B118" t="inlineStr">
        <is>
          <t>MTR-IOS-0117</t>
        </is>
      </c>
      <c r="C118" t="inlineStr">
        <is>
          <t>iPhone</t>
        </is>
      </c>
      <c r="D118" t="inlineStr">
        <is>
          <t>Business</t>
        </is>
      </c>
      <c r="E118" t="inlineStr">
        <is>
          <t>Business</t>
        </is>
      </c>
      <c r="F118" t="inlineStr">
        <is>
          <t>Business Operations</t>
        </is>
      </c>
      <c r="G118" t="inlineStr">
        <is>
          <t>Accounting</t>
        </is>
      </c>
      <c r="H118" t="inlineStr">
        <is>
          <t>Business &gt; Business Operations &gt; Quick Add &gt; Accounting</t>
        </is>
      </c>
      <c r="I118" s="18" t="n">
        <v>12783.36</v>
      </c>
      <c r="J118" t="inlineStr">
        <is>
          <t>Created MTR-IOS-0117 and correlation note visible in Activity/Pulse</t>
        </is>
      </c>
      <c r="K118" t="inlineStr">
        <is>
          <t>NOT_RUN</t>
        </is>
      </c>
      <c r="P118" t="n">
        <v>0</v>
      </c>
      <c r="Q118" t="n">
        <v>117</v>
      </c>
    </row>
    <row r="119">
      <c r="A119" t="n">
        <v>118</v>
      </c>
      <c r="B119" t="inlineStr">
        <is>
          <t>MTR-IOS-0118</t>
        </is>
      </c>
      <c r="C119" t="inlineStr">
        <is>
          <t>iPhone</t>
        </is>
      </c>
      <c r="D119" t="inlineStr">
        <is>
          <t>Personal</t>
        </is>
      </c>
      <c r="E119" t="inlineStr">
        <is>
          <t>Personal</t>
        </is>
      </c>
      <c r="F119" t="inlineStr">
        <is>
          <t>Lifestyle</t>
        </is>
      </c>
      <c r="G119" t="inlineStr">
        <is>
          <t>Fitness</t>
        </is>
      </c>
      <c r="H119" t="inlineStr">
        <is>
          <t>Personal &gt; Lifestyle &gt; Quick Add &gt; Fitness</t>
        </is>
      </c>
      <c r="I119" s="18" t="n">
        <v>9923.610000000001</v>
      </c>
      <c r="J119" t="inlineStr">
        <is>
          <t>Created MTR-IOS-0118 and correlation note visible in Activity/Pulse</t>
        </is>
      </c>
      <c r="K119" t="inlineStr">
        <is>
          <t>NOT_RUN</t>
        </is>
      </c>
      <c r="P119" t="n">
        <v>0</v>
      </c>
      <c r="Q119" t="n">
        <v>118</v>
      </c>
    </row>
    <row r="120">
      <c r="A120" t="n">
        <v>119</v>
      </c>
      <c r="B120" t="inlineStr">
        <is>
          <t>MTR-IOS-0119</t>
        </is>
      </c>
      <c r="C120" t="inlineStr">
        <is>
          <t>iPhone</t>
        </is>
      </c>
      <c r="D120" t="inlineStr">
        <is>
          <t>Group</t>
        </is>
      </c>
      <c r="E120" t="inlineStr">
        <is>
          <t>Shared Living</t>
        </is>
      </c>
      <c r="F120" t="inlineStr">
        <is>
          <t>Flatmates</t>
        </is>
      </c>
      <c r="G120" t="inlineStr">
        <is>
          <t>Rent</t>
        </is>
      </c>
      <c r="H120" t="inlineStr">
        <is>
          <t>Group &gt; Flatmates &gt; Quick Add &gt; Rent</t>
        </is>
      </c>
      <c r="I120" s="18" t="n">
        <v>15229.04</v>
      </c>
      <c r="J120" t="inlineStr">
        <is>
          <t>Created MTR-IOS-0119 and correlation note visible in Activity/Pulse</t>
        </is>
      </c>
      <c r="K120" t="inlineStr">
        <is>
          <t>NOT_RUN</t>
        </is>
      </c>
      <c r="P120" t="n">
        <v>0</v>
      </c>
      <c r="Q120" t="n">
        <v>119</v>
      </c>
    </row>
    <row r="121">
      <c r="A121" t="n">
        <v>120</v>
      </c>
      <c r="B121" t="inlineStr">
        <is>
          <t>MTR-IOS-0120</t>
        </is>
      </c>
      <c r="C121" t="inlineStr">
        <is>
          <t>iPhone</t>
        </is>
      </c>
      <c r="D121" t="inlineStr">
        <is>
          <t>Business</t>
        </is>
      </c>
      <c r="E121" t="inlineStr">
        <is>
          <t>Business</t>
        </is>
      </c>
      <c r="F121" t="inlineStr">
        <is>
          <t>Business Operations</t>
        </is>
      </c>
      <c r="G121" t="inlineStr">
        <is>
          <t>Equipment</t>
        </is>
      </c>
      <c r="H121" t="inlineStr">
        <is>
          <t>Business &gt; Business Operations &gt; Quick Add &gt; Equipment</t>
        </is>
      </c>
      <c r="I121" s="18" t="n">
        <v>100774.25</v>
      </c>
      <c r="J121" t="inlineStr">
        <is>
          <t>Created MTR-IOS-0120 and correlation note visible in Activity/Pulse</t>
        </is>
      </c>
      <c r="K121" t="inlineStr">
        <is>
          <t>NOT_RUN</t>
        </is>
      </c>
      <c r="P121" t="n">
        <v>0</v>
      </c>
      <c r="Q121" t="n">
        <v>120</v>
      </c>
    </row>
    <row r="122">
      <c r="A122" t="n">
        <v>121</v>
      </c>
      <c r="B122" t="inlineStr">
        <is>
          <t>MTR-IOS-0121</t>
        </is>
      </c>
      <c r="C122" t="inlineStr">
        <is>
          <t>iPhone</t>
        </is>
      </c>
      <c r="D122" t="inlineStr">
        <is>
          <t>Personal</t>
        </is>
      </c>
      <c r="E122" t="inlineStr">
        <is>
          <t>Personal</t>
        </is>
      </c>
      <c r="F122" t="inlineStr">
        <is>
          <t>Lifestyle</t>
        </is>
      </c>
      <c r="G122" t="inlineStr">
        <is>
          <t>Hobbies</t>
        </is>
      </c>
      <c r="H122" t="inlineStr">
        <is>
          <t>Personal &gt; Lifestyle &gt; Quick Add &gt; Hobbies</t>
        </is>
      </c>
      <c r="I122" s="18" t="n">
        <v>7452.91</v>
      </c>
      <c r="J122" t="inlineStr">
        <is>
          <t>Created MTR-IOS-0121 and correlation note visible in Activity/Pulse</t>
        </is>
      </c>
      <c r="K122" t="inlineStr">
        <is>
          <t>NOT_RUN</t>
        </is>
      </c>
      <c r="P122" t="n">
        <v>0</v>
      </c>
      <c r="Q122" t="n">
        <v>121</v>
      </c>
    </row>
    <row r="123">
      <c r="A123" t="n">
        <v>122</v>
      </c>
      <c r="B123" t="inlineStr">
        <is>
          <t>MTR-IOS-0122</t>
        </is>
      </c>
      <c r="C123" t="inlineStr">
        <is>
          <t>iPhone</t>
        </is>
      </c>
      <c r="D123" t="inlineStr">
        <is>
          <t>Group</t>
        </is>
      </c>
      <c r="E123" t="inlineStr">
        <is>
          <t>Shared Living</t>
        </is>
      </c>
      <c r="F123" t="inlineStr">
        <is>
          <t>Flatmates</t>
        </is>
      </c>
      <c r="G123" t="inlineStr">
        <is>
          <t>Utilities</t>
        </is>
      </c>
      <c r="H123" t="inlineStr">
        <is>
          <t>Group &gt; Flatmates &gt; Quick Add &gt; Utilities</t>
        </is>
      </c>
      <c r="I123" s="18" t="n">
        <v>4951.63</v>
      </c>
      <c r="J123" t="inlineStr">
        <is>
          <t>Created MTR-IOS-0122 and correlation note visible in Activity/Pulse</t>
        </is>
      </c>
      <c r="K123" t="inlineStr">
        <is>
          <t>NOT_RUN</t>
        </is>
      </c>
      <c r="P123" t="n">
        <v>0</v>
      </c>
      <c r="Q123" t="n">
        <v>122</v>
      </c>
    </row>
    <row r="124">
      <c r="A124" t="n">
        <v>123</v>
      </c>
      <c r="B124" t="inlineStr">
        <is>
          <t>MTR-IOS-0123</t>
        </is>
      </c>
      <c r="C124" t="inlineStr">
        <is>
          <t>iPhone</t>
        </is>
      </c>
      <c r="D124" t="inlineStr">
        <is>
          <t>Business</t>
        </is>
      </c>
      <c r="E124" t="inlineStr">
        <is>
          <t>Business</t>
        </is>
      </c>
      <c r="F124" t="inlineStr">
        <is>
          <t>Business Operations</t>
        </is>
      </c>
      <c r="G124" t="inlineStr">
        <is>
          <t>Vendor</t>
        </is>
      </c>
      <c r="H124" t="inlineStr">
        <is>
          <t>Business &gt; Business Operations &gt; Quick Add &gt; Vendor</t>
        </is>
      </c>
      <c r="I124" s="18" t="n">
        <v>95373.75</v>
      </c>
      <c r="J124" t="inlineStr">
        <is>
          <t>Created MTR-IOS-0123 and correlation note visible in Activity/Pulse</t>
        </is>
      </c>
      <c r="K124" t="inlineStr">
        <is>
          <t>NOT_RUN</t>
        </is>
      </c>
      <c r="P124" t="n">
        <v>0</v>
      </c>
      <c r="Q124" t="n">
        <v>123</v>
      </c>
    </row>
    <row r="125">
      <c r="A125" t="n">
        <v>124</v>
      </c>
      <c r="B125" t="inlineStr">
        <is>
          <t>MTR-IOS-0124</t>
        </is>
      </c>
      <c r="C125" t="inlineStr">
        <is>
          <t>iPhone</t>
        </is>
      </c>
      <c r="D125" t="inlineStr">
        <is>
          <t>Personal</t>
        </is>
      </c>
      <c r="E125" t="inlineStr">
        <is>
          <t>Personal</t>
        </is>
      </c>
      <c r="F125" t="inlineStr">
        <is>
          <t>Relationships</t>
        </is>
      </c>
      <c r="G125" t="inlineStr">
        <is>
          <t>Gifts</t>
        </is>
      </c>
      <c r="H125" t="inlineStr">
        <is>
          <t>Personal &gt; Relationships &gt; Quick Add &gt; Gifts</t>
        </is>
      </c>
      <c r="I125" s="18" t="n">
        <v>16450.12</v>
      </c>
      <c r="J125" t="inlineStr">
        <is>
          <t>Created MTR-IOS-0124 and correlation note visible in Activity/Pulse</t>
        </is>
      </c>
      <c r="K125" t="inlineStr">
        <is>
          <t>NOT_RUN</t>
        </is>
      </c>
      <c r="P125" t="n">
        <v>0</v>
      </c>
      <c r="Q125" t="n">
        <v>124</v>
      </c>
    </row>
    <row r="126">
      <c r="A126" t="n">
        <v>125</v>
      </c>
      <c r="B126" t="inlineStr">
        <is>
          <t>MTR-IOS-0125</t>
        </is>
      </c>
      <c r="C126" t="inlineStr">
        <is>
          <t>iPhone</t>
        </is>
      </c>
      <c r="D126" t="inlineStr">
        <is>
          <t>Group</t>
        </is>
      </c>
      <c r="E126" t="inlineStr">
        <is>
          <t>Shared Living</t>
        </is>
      </c>
      <c r="F126" t="inlineStr">
        <is>
          <t>Flatmates</t>
        </is>
      </c>
      <c r="G126" t="inlineStr">
        <is>
          <t>Groceries</t>
        </is>
      </c>
      <c r="H126" t="inlineStr">
        <is>
          <t>Group &gt; Flatmates &gt; Quick Add &gt; Groceries</t>
        </is>
      </c>
      <c r="I126" s="18" t="n">
        <v>6259.59</v>
      </c>
      <c r="J126" t="inlineStr">
        <is>
          <t>Created MTR-IOS-0125 and correlation note visible in Activity/Pulse</t>
        </is>
      </c>
      <c r="K126" t="inlineStr">
        <is>
          <t>NOT_RUN</t>
        </is>
      </c>
      <c r="P126" t="n">
        <v>0</v>
      </c>
      <c r="Q126" t="n">
        <v>125</v>
      </c>
    </row>
    <row r="127">
      <c r="A127" t="n">
        <v>126</v>
      </c>
      <c r="B127" t="inlineStr">
        <is>
          <t>MTR-IOS-0126</t>
        </is>
      </c>
      <c r="C127" t="inlineStr">
        <is>
          <t>iPhone</t>
        </is>
      </c>
      <c r="D127" t="inlineStr">
        <is>
          <t>Business</t>
        </is>
      </c>
      <c r="E127" t="inlineStr">
        <is>
          <t>Business</t>
        </is>
      </c>
      <c r="F127" t="inlineStr">
        <is>
          <t>Business Operations</t>
        </is>
      </c>
      <c r="G127" t="inlineStr">
        <is>
          <t>Tax</t>
        </is>
      </c>
      <c r="H127" t="inlineStr">
        <is>
          <t>Business &gt; Business Operations &gt; Quick Add &gt; Tax</t>
        </is>
      </c>
      <c r="I127" s="18" t="n">
        <v>147664.79</v>
      </c>
      <c r="J127" t="inlineStr">
        <is>
          <t>Created MTR-IOS-0126 and correlation note visible in Activity/Pulse</t>
        </is>
      </c>
      <c r="K127" t="inlineStr">
        <is>
          <t>NOT_RUN</t>
        </is>
      </c>
      <c r="P127" t="n">
        <v>0</v>
      </c>
      <c r="Q127" t="n">
        <v>126</v>
      </c>
    </row>
    <row r="128">
      <c r="A128" t="n">
        <v>127</v>
      </c>
      <c r="B128" t="inlineStr">
        <is>
          <t>MTR-IOS-0127</t>
        </is>
      </c>
      <c r="C128" t="inlineStr">
        <is>
          <t>iPhone</t>
        </is>
      </c>
      <c r="D128" t="inlineStr">
        <is>
          <t>Personal</t>
        </is>
      </c>
      <c r="E128" t="inlineStr">
        <is>
          <t>Personal</t>
        </is>
      </c>
      <c r="F128" t="inlineStr">
        <is>
          <t>Relationships</t>
        </is>
      </c>
      <c r="G128" t="inlineStr">
        <is>
          <t>Dates</t>
        </is>
      </c>
      <c r="H128" t="inlineStr">
        <is>
          <t>Personal &gt; Relationships &gt; Quick Add &gt; Dates</t>
        </is>
      </c>
      <c r="I128" s="18" t="n">
        <v>5226.1</v>
      </c>
      <c r="J128" t="inlineStr">
        <is>
          <t>Created MTR-IOS-0127 and correlation note visible in Activity/Pulse</t>
        </is>
      </c>
      <c r="K128" t="inlineStr">
        <is>
          <t>NOT_RUN</t>
        </is>
      </c>
      <c r="P128" t="n">
        <v>0</v>
      </c>
      <c r="Q128" t="n">
        <v>127</v>
      </c>
    </row>
    <row r="129">
      <c r="A129" t="n">
        <v>128</v>
      </c>
      <c r="B129" t="inlineStr">
        <is>
          <t>MTR-IOS-0128</t>
        </is>
      </c>
      <c r="C129" t="inlineStr">
        <is>
          <t>iPhone</t>
        </is>
      </c>
      <c r="D129" t="inlineStr">
        <is>
          <t>Group</t>
        </is>
      </c>
      <c r="E129" t="inlineStr">
        <is>
          <t>Shared Living</t>
        </is>
      </c>
      <c r="F129" t="inlineStr">
        <is>
          <t>Flatmates</t>
        </is>
      </c>
      <c r="G129" t="inlineStr">
        <is>
          <t>Internet</t>
        </is>
      </c>
      <c r="H129" t="inlineStr">
        <is>
          <t>Group &gt; Flatmates &gt; Quick Add &gt; Internet</t>
        </is>
      </c>
      <c r="I129" s="18" t="n">
        <v>21504.53</v>
      </c>
      <c r="J129" t="inlineStr">
        <is>
          <t>Created MTR-IOS-0128 and correlation note visible in Activity/Pulse</t>
        </is>
      </c>
      <c r="K129" t="inlineStr">
        <is>
          <t>NOT_RUN</t>
        </is>
      </c>
      <c r="P129" t="n">
        <v>0</v>
      </c>
      <c r="Q129" t="n">
        <v>128</v>
      </c>
    </row>
    <row r="130">
      <c r="A130" t="n">
        <v>129</v>
      </c>
      <c r="B130" t="inlineStr">
        <is>
          <t>MTR-IOS-0129</t>
        </is>
      </c>
      <c r="C130" t="inlineStr">
        <is>
          <t>iPhone</t>
        </is>
      </c>
      <c r="D130" t="inlineStr">
        <is>
          <t>Business</t>
        </is>
      </c>
      <c r="E130" t="inlineStr">
        <is>
          <t>Business</t>
        </is>
      </c>
      <c r="F130" t="inlineStr">
        <is>
          <t>Team Operations</t>
        </is>
      </c>
      <c r="G130" t="inlineStr">
        <is>
          <t>Payroll</t>
        </is>
      </c>
      <c r="H130" t="inlineStr">
        <is>
          <t>Business &gt; Team Operations &gt; Quick Add &gt; Payroll</t>
        </is>
      </c>
      <c r="I130" s="18" t="n">
        <v>145801.42</v>
      </c>
      <c r="J130" t="inlineStr">
        <is>
          <t>Created MTR-IOS-0129 and correlation note visible in Activity/Pulse</t>
        </is>
      </c>
      <c r="K130" t="inlineStr">
        <is>
          <t>NOT_RUN</t>
        </is>
      </c>
      <c r="P130" t="n">
        <v>0</v>
      </c>
      <c r="Q130" t="n">
        <v>129</v>
      </c>
    </row>
    <row r="131">
      <c r="A131" t="n">
        <v>130</v>
      </c>
      <c r="B131" t="inlineStr">
        <is>
          <t>MTR-IOS-0130</t>
        </is>
      </c>
      <c r="C131" t="inlineStr">
        <is>
          <t>iPhone</t>
        </is>
      </c>
      <c r="D131" t="inlineStr">
        <is>
          <t>Personal</t>
        </is>
      </c>
      <c r="E131" t="inlineStr">
        <is>
          <t>Personal</t>
        </is>
      </c>
      <c r="F131" t="inlineStr">
        <is>
          <t>Relationships</t>
        </is>
      </c>
      <c r="G131" t="inlineStr">
        <is>
          <t>Family</t>
        </is>
      </c>
      <c r="H131" t="inlineStr">
        <is>
          <t>Personal &gt; Relationships &gt; Quick Add &gt; Family</t>
        </is>
      </c>
      <c r="I131" s="18" t="n">
        <v>3511.53</v>
      </c>
      <c r="J131" t="inlineStr">
        <is>
          <t>Created MTR-IOS-0130 and correlation note visible in Activity/Pulse</t>
        </is>
      </c>
      <c r="K131" t="inlineStr">
        <is>
          <t>NOT_RUN</t>
        </is>
      </c>
      <c r="P131" t="n">
        <v>0</v>
      </c>
      <c r="Q131" t="n">
        <v>130</v>
      </c>
    </row>
    <row r="132">
      <c r="A132" t="n">
        <v>131</v>
      </c>
      <c r="B132" t="inlineStr">
        <is>
          <t>MTR-IOS-0131</t>
        </is>
      </c>
      <c r="C132" t="inlineStr">
        <is>
          <t>iPhone</t>
        </is>
      </c>
      <c r="D132" t="inlineStr">
        <is>
          <t>Group</t>
        </is>
      </c>
      <c r="E132" t="inlineStr">
        <is>
          <t>Shared Living</t>
        </is>
      </c>
      <c r="F132" t="inlineStr">
        <is>
          <t>Flatmates</t>
        </is>
      </c>
      <c r="G132" t="inlineStr">
        <is>
          <t>House Supplies</t>
        </is>
      </c>
      <c r="H132" t="inlineStr">
        <is>
          <t>Group &gt; Flatmates &gt; Quick Add &gt; House Supplies</t>
        </is>
      </c>
      <c r="I132" s="18" t="n">
        <v>20374.27</v>
      </c>
      <c r="J132" t="inlineStr">
        <is>
          <t>Created MTR-IOS-0131 and correlation note visible in Activity/Pulse</t>
        </is>
      </c>
      <c r="K132" t="inlineStr">
        <is>
          <t>NOT_RUN</t>
        </is>
      </c>
      <c r="P132" t="n">
        <v>0</v>
      </c>
      <c r="Q132" t="n">
        <v>131</v>
      </c>
    </row>
    <row r="133">
      <c r="A133" t="n">
        <v>132</v>
      </c>
      <c r="B133" t="inlineStr">
        <is>
          <t>MTR-IOS-0132</t>
        </is>
      </c>
      <c r="C133" t="inlineStr">
        <is>
          <t>iPhone</t>
        </is>
      </c>
      <c r="D133" t="inlineStr">
        <is>
          <t>Business</t>
        </is>
      </c>
      <c r="E133" t="inlineStr">
        <is>
          <t>Business</t>
        </is>
      </c>
      <c r="F133" t="inlineStr">
        <is>
          <t>Team Operations</t>
        </is>
      </c>
      <c r="G133" t="inlineStr">
        <is>
          <t>Contractor</t>
        </is>
      </c>
      <c r="H133" t="inlineStr">
        <is>
          <t>Business &gt; Team Operations &gt; Quick Add &gt; Contractor</t>
        </is>
      </c>
      <c r="I133" s="18" t="n">
        <v>50810.92</v>
      </c>
      <c r="J133" t="inlineStr">
        <is>
          <t>Created MTR-IOS-0132 and correlation note visible in Activity/Pulse</t>
        </is>
      </c>
      <c r="K133" t="inlineStr">
        <is>
          <t>NOT_RUN</t>
        </is>
      </c>
      <c r="P133" t="n">
        <v>0</v>
      </c>
      <c r="Q133" t="n">
        <v>132</v>
      </c>
    </row>
    <row r="134">
      <c r="A134" t="n">
        <v>133</v>
      </c>
      <c r="B134" t="inlineStr">
        <is>
          <t>MTR-IOS-0133</t>
        </is>
      </c>
      <c r="C134" t="inlineStr">
        <is>
          <t>iPhone</t>
        </is>
      </c>
      <c r="D134" t="inlineStr">
        <is>
          <t>Personal</t>
        </is>
      </c>
      <c r="E134" t="inlineStr">
        <is>
          <t>Personal</t>
        </is>
      </c>
      <c r="F134" t="inlineStr">
        <is>
          <t>Relationships</t>
        </is>
      </c>
      <c r="G134" t="inlineStr">
        <is>
          <t>Friends</t>
        </is>
      </c>
      <c r="H134" t="inlineStr">
        <is>
          <t>Personal &gt; Relationships &gt; Quick Add &gt; Friends</t>
        </is>
      </c>
      <c r="I134" s="18" t="n">
        <v>5211.63</v>
      </c>
      <c r="J134" t="inlineStr">
        <is>
          <t>Created MTR-IOS-0133 and correlation note visible in Activity/Pulse</t>
        </is>
      </c>
      <c r="K134" t="inlineStr">
        <is>
          <t>NOT_RUN</t>
        </is>
      </c>
      <c r="P134" t="n">
        <v>0</v>
      </c>
      <c r="Q134" t="n">
        <v>133</v>
      </c>
    </row>
    <row r="135">
      <c r="A135" t="n">
        <v>134</v>
      </c>
      <c r="B135" t="inlineStr">
        <is>
          <t>MTR-IOS-0134</t>
        </is>
      </c>
      <c r="C135" t="inlineStr">
        <is>
          <t>iPhone</t>
        </is>
      </c>
      <c r="D135" t="inlineStr">
        <is>
          <t>Group</t>
        </is>
      </c>
      <c r="E135" t="inlineStr">
        <is>
          <t>Shared Living</t>
        </is>
      </c>
      <c r="F135" t="inlineStr">
        <is>
          <t>Flatmates</t>
        </is>
      </c>
      <c r="G135" t="inlineStr">
        <is>
          <t>Repairs</t>
        </is>
      </c>
      <c r="H135" t="inlineStr">
        <is>
          <t>Group &gt; Flatmates &gt; Quick Add &gt; Repairs</t>
        </is>
      </c>
      <c r="I135" s="18" t="n">
        <v>5377.39</v>
      </c>
      <c r="J135" t="inlineStr">
        <is>
          <t>Created MTR-IOS-0134 and correlation note visible in Activity/Pulse</t>
        </is>
      </c>
      <c r="K135" t="inlineStr">
        <is>
          <t>NOT_RUN</t>
        </is>
      </c>
      <c r="P135" t="n">
        <v>0</v>
      </c>
      <c r="Q135" t="n">
        <v>134</v>
      </c>
    </row>
    <row r="136">
      <c r="A136" t="n">
        <v>135</v>
      </c>
      <c r="B136" t="inlineStr">
        <is>
          <t>MTR-IOS-0135</t>
        </is>
      </c>
      <c r="C136" t="inlineStr">
        <is>
          <t>iPhone</t>
        </is>
      </c>
      <c r="D136" t="inlineStr">
        <is>
          <t>Business</t>
        </is>
      </c>
      <c r="E136" t="inlineStr">
        <is>
          <t>Business</t>
        </is>
      </c>
      <c r="F136" t="inlineStr">
        <is>
          <t>Team Operations</t>
        </is>
      </c>
      <c r="G136" t="inlineStr">
        <is>
          <t>Hiring</t>
        </is>
      </c>
      <c r="H136" t="inlineStr">
        <is>
          <t>Business &gt; Team Operations &gt; Quick Add &gt; Hiring</t>
        </is>
      </c>
      <c r="I136" s="18" t="n">
        <v>23755.77</v>
      </c>
      <c r="J136" t="inlineStr">
        <is>
          <t>Created MTR-IOS-0135 and correlation note visible in Activity/Pulse</t>
        </is>
      </c>
      <c r="K136" t="inlineStr">
        <is>
          <t>NOT_RUN</t>
        </is>
      </c>
      <c r="P136" t="n">
        <v>0</v>
      </c>
      <c r="Q136" t="n">
        <v>135</v>
      </c>
    </row>
    <row r="137">
      <c r="A137" t="n">
        <v>136</v>
      </c>
      <c r="B137" t="inlineStr">
        <is>
          <t>MTR-IOS-0136</t>
        </is>
      </c>
      <c r="C137" t="inlineStr">
        <is>
          <t>iPhone</t>
        </is>
      </c>
      <c r="D137" t="inlineStr">
        <is>
          <t>Personal</t>
        </is>
      </c>
      <c r="E137" t="inlineStr">
        <is>
          <t>Personal</t>
        </is>
      </c>
      <c r="F137" t="inlineStr">
        <is>
          <t>Relationships</t>
        </is>
      </c>
      <c r="G137" t="inlineStr">
        <is>
          <t>Celebrations</t>
        </is>
      </c>
      <c r="H137" t="inlineStr">
        <is>
          <t>Personal &gt; Relationships &gt; Quick Add &gt; Celebrations</t>
        </is>
      </c>
      <c r="I137" s="18" t="n">
        <v>5772.26</v>
      </c>
      <c r="J137" t="inlineStr">
        <is>
          <t>Created MTR-IOS-0136 and correlation note visible in Activity/Pulse</t>
        </is>
      </c>
      <c r="K137" t="inlineStr">
        <is>
          <t>NOT_RUN</t>
        </is>
      </c>
      <c r="P137" t="n">
        <v>0</v>
      </c>
      <c r="Q137" t="n">
        <v>136</v>
      </c>
    </row>
    <row r="138">
      <c r="A138" t="n">
        <v>137</v>
      </c>
      <c r="B138" t="inlineStr">
        <is>
          <t>MTR-IOS-0137</t>
        </is>
      </c>
      <c r="C138" t="inlineStr">
        <is>
          <t>iPhone</t>
        </is>
      </c>
      <c r="D138" t="inlineStr">
        <is>
          <t>Group</t>
        </is>
      </c>
      <c r="E138" t="inlineStr">
        <is>
          <t>Shared Living</t>
        </is>
      </c>
      <c r="F138" t="inlineStr">
        <is>
          <t>Shared Living</t>
        </is>
      </c>
      <c r="G138" t="inlineStr">
        <is>
          <t>Rent</t>
        </is>
      </c>
      <c r="H138" t="inlineStr">
        <is>
          <t>Group &gt; Shared Living &gt; Quick Add &gt; Rent</t>
        </is>
      </c>
      <c r="I138" s="18" t="n">
        <v>14722.69</v>
      </c>
      <c r="J138" t="inlineStr">
        <is>
          <t>Created MTR-IOS-0137 and correlation note visible in Activity/Pulse</t>
        </is>
      </c>
      <c r="K138" t="inlineStr">
        <is>
          <t>NOT_RUN</t>
        </is>
      </c>
      <c r="P138" t="n">
        <v>0</v>
      </c>
      <c r="Q138" t="n">
        <v>137</v>
      </c>
    </row>
    <row r="139">
      <c r="A139" t="n">
        <v>138</v>
      </c>
      <c r="B139" t="inlineStr">
        <is>
          <t>MTR-IOS-0138</t>
        </is>
      </c>
      <c r="C139" t="inlineStr">
        <is>
          <t>iPhone</t>
        </is>
      </c>
      <c r="D139" t="inlineStr">
        <is>
          <t>Business</t>
        </is>
      </c>
      <c r="E139" t="inlineStr">
        <is>
          <t>Business</t>
        </is>
      </c>
      <c r="F139" t="inlineStr">
        <is>
          <t>Team Operations</t>
        </is>
      </c>
      <c r="G139" t="inlineStr">
        <is>
          <t>Team Meal</t>
        </is>
      </c>
      <c r="H139" t="inlineStr">
        <is>
          <t>Business &gt; Team Operations &gt; Quick Add &gt; Team Meal</t>
        </is>
      </c>
      <c r="I139" s="18" t="n">
        <v>111815.52</v>
      </c>
      <c r="J139" t="inlineStr">
        <is>
          <t>Created MTR-IOS-0138 and correlation note visible in Activity/Pulse</t>
        </is>
      </c>
      <c r="K139" t="inlineStr">
        <is>
          <t>NOT_RUN</t>
        </is>
      </c>
      <c r="P139" t="n">
        <v>0</v>
      </c>
      <c r="Q139" t="n">
        <v>138</v>
      </c>
    </row>
    <row r="140">
      <c r="A140" t="n">
        <v>139</v>
      </c>
      <c r="B140" t="inlineStr">
        <is>
          <t>MTR-IOS-0139</t>
        </is>
      </c>
      <c r="C140" t="inlineStr">
        <is>
          <t>iPhone</t>
        </is>
      </c>
      <c r="D140" t="inlineStr">
        <is>
          <t>Personal</t>
        </is>
      </c>
      <c r="E140" t="inlineStr">
        <is>
          <t>Personal</t>
        </is>
      </c>
      <c r="F140" t="inlineStr">
        <is>
          <t>Life Operations</t>
        </is>
      </c>
      <c r="G140" t="inlineStr">
        <is>
          <t>Groceries</t>
        </is>
      </c>
      <c r="H140" t="inlineStr">
        <is>
          <t>Personal &gt; Life Operations &gt; Quick Add &gt; Groceries</t>
        </is>
      </c>
      <c r="I140" s="18" t="n">
        <v>10801.91</v>
      </c>
      <c r="J140" t="inlineStr">
        <is>
          <t>Created MTR-IOS-0139 and correlation note visible in Activity/Pulse</t>
        </is>
      </c>
      <c r="K140" t="inlineStr">
        <is>
          <t>NOT_RUN</t>
        </is>
      </c>
      <c r="P140" t="n">
        <v>0</v>
      </c>
      <c r="Q140" t="n">
        <v>139</v>
      </c>
    </row>
    <row r="141">
      <c r="A141" t="n">
        <v>140</v>
      </c>
      <c r="B141" t="inlineStr">
        <is>
          <t>MTR-IOS-0140</t>
        </is>
      </c>
      <c r="C141" t="inlineStr">
        <is>
          <t>iPhone</t>
        </is>
      </c>
      <c r="D141" t="inlineStr">
        <is>
          <t>Group</t>
        </is>
      </c>
      <c r="E141" t="inlineStr">
        <is>
          <t>Shared Living</t>
        </is>
      </c>
      <c r="F141" t="inlineStr">
        <is>
          <t>Shared Living</t>
        </is>
      </c>
      <c r="G141" t="inlineStr">
        <is>
          <t>Utilities</t>
        </is>
      </c>
      <c r="H141" t="inlineStr">
        <is>
          <t>Group &gt; Shared Living &gt; Quick Add &gt; Utilities</t>
        </is>
      </c>
      <c r="I141" s="18" t="n">
        <v>17152.95</v>
      </c>
      <c r="J141" t="inlineStr">
        <is>
          <t>Created MTR-IOS-0140 and correlation note visible in Activity/Pulse</t>
        </is>
      </c>
      <c r="K141" t="inlineStr">
        <is>
          <t>NOT_RUN</t>
        </is>
      </c>
      <c r="P141" t="n">
        <v>0</v>
      </c>
      <c r="Q141" t="n">
        <v>140</v>
      </c>
    </row>
    <row r="142">
      <c r="A142" t="n">
        <v>141</v>
      </c>
      <c r="B142" t="inlineStr">
        <is>
          <t>MTR-IOS-0141</t>
        </is>
      </c>
      <c r="C142" t="inlineStr">
        <is>
          <t>iPhone</t>
        </is>
      </c>
      <c r="D142" t="inlineStr">
        <is>
          <t>Business</t>
        </is>
      </c>
      <c r="E142" t="inlineStr">
        <is>
          <t>Business</t>
        </is>
      </c>
      <c r="F142" t="inlineStr">
        <is>
          <t>Team Operations</t>
        </is>
      </c>
      <c r="G142" t="inlineStr">
        <is>
          <t>Travel</t>
        </is>
      </c>
      <c r="H142" t="inlineStr">
        <is>
          <t>Business &gt; Team Operations &gt; Quick Add &gt; Travel</t>
        </is>
      </c>
      <c r="I142" s="18" t="n">
        <v>65923.33</v>
      </c>
      <c r="J142" t="inlineStr">
        <is>
          <t>Created MTR-IOS-0141 and correlation note visible in Activity/Pulse</t>
        </is>
      </c>
      <c r="K142" t="inlineStr">
        <is>
          <t>NOT_RUN</t>
        </is>
      </c>
      <c r="P142" t="n">
        <v>0</v>
      </c>
      <c r="Q142" t="n">
        <v>141</v>
      </c>
    </row>
    <row r="143">
      <c r="A143" t="n">
        <v>142</v>
      </c>
      <c r="B143" t="inlineStr">
        <is>
          <t>MTR-IOS-0142</t>
        </is>
      </c>
      <c r="C143" t="inlineStr">
        <is>
          <t>iPhone</t>
        </is>
      </c>
      <c r="D143" t="inlineStr">
        <is>
          <t>Personal</t>
        </is>
      </c>
      <c r="E143" t="inlineStr">
        <is>
          <t>Personal</t>
        </is>
      </c>
      <c r="F143" t="inlineStr">
        <is>
          <t>Life Operations</t>
        </is>
      </c>
      <c r="G143" t="inlineStr">
        <is>
          <t>Rent</t>
        </is>
      </c>
      <c r="H143" t="inlineStr">
        <is>
          <t>Personal &gt; Life Operations &gt; Quick Add &gt; Rent</t>
        </is>
      </c>
      <c r="I143" s="18" t="n">
        <v>12878.9</v>
      </c>
      <c r="J143" t="inlineStr">
        <is>
          <t>Created MTR-IOS-0142 and correlation note visible in Activity/Pulse</t>
        </is>
      </c>
      <c r="K143" t="inlineStr">
        <is>
          <t>NOT_RUN</t>
        </is>
      </c>
      <c r="P143" t="n">
        <v>0</v>
      </c>
      <c r="Q143" t="n">
        <v>142</v>
      </c>
    </row>
    <row r="144">
      <c r="A144" t="n">
        <v>143</v>
      </c>
      <c r="B144" t="inlineStr">
        <is>
          <t>MTR-IOS-0143</t>
        </is>
      </c>
      <c r="C144" t="inlineStr">
        <is>
          <t>iPhone</t>
        </is>
      </c>
      <c r="D144" t="inlineStr">
        <is>
          <t>Group</t>
        </is>
      </c>
      <c r="E144" t="inlineStr">
        <is>
          <t>Shared Living</t>
        </is>
      </c>
      <c r="F144" t="inlineStr">
        <is>
          <t>Shared Living</t>
        </is>
      </c>
      <c r="G144" t="inlineStr">
        <is>
          <t>Groceries</t>
        </is>
      </c>
      <c r="H144" t="inlineStr">
        <is>
          <t>Group &gt; Shared Living &gt; Quick Add &gt; Groceries</t>
        </is>
      </c>
      <c r="I144" s="18" t="n">
        <v>23736.03</v>
      </c>
      <c r="J144" t="inlineStr">
        <is>
          <t>Created MTR-IOS-0143 and correlation note visible in Activity/Pulse</t>
        </is>
      </c>
      <c r="K144" t="inlineStr">
        <is>
          <t>NOT_RUN</t>
        </is>
      </c>
      <c r="P144" t="n">
        <v>0</v>
      </c>
      <c r="Q144" t="n">
        <v>143</v>
      </c>
    </row>
    <row r="145">
      <c r="A145" t="n">
        <v>144</v>
      </c>
      <c r="B145" t="inlineStr">
        <is>
          <t>MTR-IOS-0144</t>
        </is>
      </c>
      <c r="C145" t="inlineStr">
        <is>
          <t>iPhone</t>
        </is>
      </c>
      <c r="D145" t="inlineStr">
        <is>
          <t>Business</t>
        </is>
      </c>
      <c r="E145" t="inlineStr">
        <is>
          <t>Business</t>
        </is>
      </c>
      <c r="F145" t="inlineStr">
        <is>
          <t>Team Operations</t>
        </is>
      </c>
      <c r="G145" t="inlineStr">
        <is>
          <t>Training</t>
        </is>
      </c>
      <c r="H145" t="inlineStr">
        <is>
          <t>Business &gt; Team Operations &gt; Quick Add &gt; Training</t>
        </is>
      </c>
      <c r="I145" s="18" t="n">
        <v>146788.26</v>
      </c>
      <c r="J145" t="inlineStr">
        <is>
          <t>Created MTR-IOS-0144 and correlation note visible in Activity/Pulse</t>
        </is>
      </c>
      <c r="K145" t="inlineStr">
        <is>
          <t>NOT_RUN</t>
        </is>
      </c>
      <c r="P145" t="n">
        <v>0</v>
      </c>
      <c r="Q145" t="n">
        <v>144</v>
      </c>
    </row>
    <row r="146">
      <c r="A146" t="n">
        <v>145</v>
      </c>
      <c r="B146" t="inlineStr">
        <is>
          <t>MTR-IOS-0145</t>
        </is>
      </c>
      <c r="C146" t="inlineStr">
        <is>
          <t>iPhone</t>
        </is>
      </c>
      <c r="D146" t="inlineStr">
        <is>
          <t>Personal</t>
        </is>
      </c>
      <c r="E146" t="inlineStr">
        <is>
          <t>Personal</t>
        </is>
      </c>
      <c r="F146" t="inlineStr">
        <is>
          <t>Life Operations</t>
        </is>
      </c>
      <c r="G146" t="inlineStr">
        <is>
          <t>Bills</t>
        </is>
      </c>
      <c r="H146" t="inlineStr">
        <is>
          <t>Personal &gt; Life Operations &gt; Quick Add &gt; Bills</t>
        </is>
      </c>
      <c r="I146" s="18" t="n">
        <v>7474.05</v>
      </c>
      <c r="J146" t="inlineStr">
        <is>
          <t>Created MTR-IOS-0145 and correlation note visible in Activity/Pulse</t>
        </is>
      </c>
      <c r="K146" t="inlineStr">
        <is>
          <t>NOT_RUN</t>
        </is>
      </c>
      <c r="P146" t="n">
        <v>0</v>
      </c>
      <c r="Q146" t="n">
        <v>145</v>
      </c>
    </row>
    <row r="147">
      <c r="A147" t="n">
        <v>146</v>
      </c>
      <c r="B147" t="inlineStr">
        <is>
          <t>MTR-IOS-0146</t>
        </is>
      </c>
      <c r="C147" t="inlineStr">
        <is>
          <t>iPhone</t>
        </is>
      </c>
      <c r="D147" t="inlineStr">
        <is>
          <t>Group</t>
        </is>
      </c>
      <c r="E147" t="inlineStr">
        <is>
          <t>Shared Living</t>
        </is>
      </c>
      <c r="F147" t="inlineStr">
        <is>
          <t>Shared Living</t>
        </is>
      </c>
      <c r="G147" t="inlineStr">
        <is>
          <t>Maintenance</t>
        </is>
      </c>
      <c r="H147" t="inlineStr">
        <is>
          <t>Group &gt; Shared Living &gt; Quick Add &gt; Maintenance</t>
        </is>
      </c>
      <c r="I147" s="18" t="n">
        <v>10279</v>
      </c>
      <c r="J147" t="inlineStr">
        <is>
          <t>Created MTR-IOS-0146 and correlation note visible in Activity/Pulse</t>
        </is>
      </c>
      <c r="K147" t="inlineStr">
        <is>
          <t>NOT_RUN</t>
        </is>
      </c>
      <c r="P147" t="n">
        <v>0</v>
      </c>
      <c r="Q147" t="n">
        <v>146</v>
      </c>
    </row>
    <row r="148">
      <c r="A148" t="n">
        <v>147</v>
      </c>
      <c r="B148" t="inlineStr">
        <is>
          <t>MTR-IOS-0147</t>
        </is>
      </c>
      <c r="C148" t="inlineStr">
        <is>
          <t>iPhone</t>
        </is>
      </c>
      <c r="D148" t="inlineStr">
        <is>
          <t>Business</t>
        </is>
      </c>
      <c r="E148" t="inlineStr">
        <is>
          <t>Business</t>
        </is>
      </c>
      <c r="F148" t="inlineStr">
        <is>
          <t>Team Operations</t>
        </is>
      </c>
      <c r="G148" t="inlineStr">
        <is>
          <t>Tools</t>
        </is>
      </c>
      <c r="H148" t="inlineStr">
        <is>
          <t>Business &gt; Team Operations &gt; Quick Add &gt; Tools</t>
        </is>
      </c>
      <c r="I148" s="18" t="n">
        <v>93638.52</v>
      </c>
      <c r="J148" t="inlineStr">
        <is>
          <t>Created MTR-IOS-0147 and correlation note visible in Activity/Pulse</t>
        </is>
      </c>
      <c r="K148" t="inlineStr">
        <is>
          <t>NOT_RUN</t>
        </is>
      </c>
      <c r="P148" t="n">
        <v>0</v>
      </c>
      <c r="Q148" t="n">
        <v>147</v>
      </c>
    </row>
    <row r="149">
      <c r="A149" t="n">
        <v>148</v>
      </c>
      <c r="B149" t="inlineStr">
        <is>
          <t>MTR-IOS-0148</t>
        </is>
      </c>
      <c r="C149" t="inlineStr">
        <is>
          <t>iPhone</t>
        </is>
      </c>
      <c r="D149" t="inlineStr">
        <is>
          <t>Personal</t>
        </is>
      </c>
      <c r="E149" t="inlineStr">
        <is>
          <t>Personal</t>
        </is>
      </c>
      <c r="F149" t="inlineStr">
        <is>
          <t>Life Operations</t>
        </is>
      </c>
      <c r="G149" t="inlineStr">
        <is>
          <t>Transport</t>
        </is>
      </c>
      <c r="H149" t="inlineStr">
        <is>
          <t>Personal &gt; Life Operations &gt; Quick Add &gt; Transport</t>
        </is>
      </c>
      <c r="I149" s="18" t="n">
        <v>999.99</v>
      </c>
      <c r="J149" t="inlineStr">
        <is>
          <t>Created MTR-IOS-0148 and correlation note visible in Activity/Pulse</t>
        </is>
      </c>
      <c r="K149" t="inlineStr">
        <is>
          <t>NOT_RUN</t>
        </is>
      </c>
      <c r="P149" t="n">
        <v>0</v>
      </c>
      <c r="Q149" t="n">
        <v>148</v>
      </c>
    </row>
    <row r="150">
      <c r="A150" t="n">
        <v>149</v>
      </c>
      <c r="B150" t="inlineStr">
        <is>
          <t>MTR-IOS-0149</t>
        </is>
      </c>
      <c r="C150" t="inlineStr">
        <is>
          <t>iPhone</t>
        </is>
      </c>
      <c r="D150" t="inlineStr">
        <is>
          <t>Group</t>
        </is>
      </c>
      <c r="E150" t="inlineStr">
        <is>
          <t>Shared Living</t>
        </is>
      </c>
      <c r="F150" t="inlineStr">
        <is>
          <t>Shared Living</t>
        </is>
      </c>
      <c r="G150" t="inlineStr">
        <is>
          <t>Other</t>
        </is>
      </c>
      <c r="H150" t="inlineStr">
        <is>
          <t>Group &gt; Shared Living &gt; Quick Add &gt; Other</t>
        </is>
      </c>
      <c r="I150" s="18" t="n">
        <v>16826.75</v>
      </c>
      <c r="J150" t="inlineStr">
        <is>
          <t>Created MTR-IOS-0149 and correlation note visible in Activity/Pulse</t>
        </is>
      </c>
      <c r="K150" t="inlineStr">
        <is>
          <t>NOT_RUN</t>
        </is>
      </c>
      <c r="P150" t="n">
        <v>0</v>
      </c>
      <c r="Q150" t="n">
        <v>149</v>
      </c>
    </row>
    <row r="151">
      <c r="A151" t="n">
        <v>150</v>
      </c>
      <c r="B151" t="inlineStr">
        <is>
          <t>MTR-IOS-0150</t>
        </is>
      </c>
      <c r="C151" t="inlineStr">
        <is>
          <t>iPhone</t>
        </is>
      </c>
      <c r="D151" t="inlineStr">
        <is>
          <t>Business</t>
        </is>
      </c>
      <c r="E151" t="inlineStr">
        <is>
          <t>Business</t>
        </is>
      </c>
      <c r="F151" t="inlineStr">
        <is>
          <t>Business Runway</t>
        </is>
      </c>
      <c r="G151" t="inlineStr">
        <is>
          <t>Funding</t>
        </is>
      </c>
      <c r="H151" t="inlineStr">
        <is>
          <t>Business &gt; Business Runway &gt; Quick Add &gt; Funding</t>
        </is>
      </c>
      <c r="I151" s="18" t="n">
        <v>46466.32</v>
      </c>
      <c r="J151" t="inlineStr">
        <is>
          <t>Created MTR-IOS-0150 and correlation note visible in Activity/Pulse</t>
        </is>
      </c>
      <c r="K151" t="inlineStr">
        <is>
          <t>NOT_RUN</t>
        </is>
      </c>
      <c r="P151" t="n">
        <v>0</v>
      </c>
      <c r="Q151" t="n">
        <v>150</v>
      </c>
    </row>
    <row r="152">
      <c r="A152" t="n">
        <v>151</v>
      </c>
      <c r="B152" t="inlineStr">
        <is>
          <t>MTR-IOS-0151</t>
        </is>
      </c>
      <c r="C152" t="inlineStr">
        <is>
          <t>iPhone</t>
        </is>
      </c>
      <c r="D152" t="inlineStr">
        <is>
          <t>Personal</t>
        </is>
      </c>
      <c r="E152" t="inlineStr">
        <is>
          <t>Personal</t>
        </is>
      </c>
      <c r="F152" t="inlineStr">
        <is>
          <t>Life Operations</t>
        </is>
      </c>
      <c r="G152" t="inlineStr">
        <is>
          <t>Healthcare</t>
        </is>
      </c>
      <c r="H152" t="inlineStr">
        <is>
          <t>Personal &gt; Life Operations &gt; Quick Add &gt; Healthcare</t>
        </is>
      </c>
      <c r="I152" s="18" t="n">
        <v>10274.72</v>
      </c>
      <c r="J152" t="inlineStr">
        <is>
          <t>Created MTR-IOS-0151 and correlation note visible in Activity/Pulse</t>
        </is>
      </c>
      <c r="K152" t="inlineStr">
        <is>
          <t>NOT_RUN</t>
        </is>
      </c>
      <c r="P152" t="n">
        <v>0</v>
      </c>
      <c r="Q152" t="n">
        <v>151</v>
      </c>
    </row>
    <row r="153">
      <c r="A153" t="n">
        <v>152</v>
      </c>
      <c r="B153" t="inlineStr">
        <is>
          <t>MTR-IOS-0152</t>
        </is>
      </c>
      <c r="C153" t="inlineStr">
        <is>
          <t>iPhone</t>
        </is>
      </c>
      <c r="D153" t="inlineStr">
        <is>
          <t>Group</t>
        </is>
      </c>
      <c r="E153" t="inlineStr">
        <is>
          <t>Shared Living</t>
        </is>
      </c>
      <c r="F153" t="inlineStr">
        <is>
          <t>Family Household</t>
        </is>
      </c>
      <c r="G153" t="inlineStr">
        <is>
          <t>Groceries</t>
        </is>
      </c>
      <c r="H153" t="inlineStr">
        <is>
          <t>Group &gt; Family Household &gt; Quick Add &gt; Groceries</t>
        </is>
      </c>
      <c r="I153" s="18" t="n">
        <v>15708.48</v>
      </c>
      <c r="J153" t="inlineStr">
        <is>
          <t>Created MTR-IOS-0152 and correlation note visible in Activity/Pulse</t>
        </is>
      </c>
      <c r="K153" t="inlineStr">
        <is>
          <t>NOT_RUN</t>
        </is>
      </c>
      <c r="P153" t="n">
        <v>0</v>
      </c>
      <c r="Q153" t="n">
        <v>152</v>
      </c>
    </row>
    <row r="154">
      <c r="A154" t="n">
        <v>153</v>
      </c>
      <c r="B154" t="inlineStr">
        <is>
          <t>MTR-IOS-0153</t>
        </is>
      </c>
      <c r="C154" t="inlineStr">
        <is>
          <t>iPhone</t>
        </is>
      </c>
      <c r="D154" t="inlineStr">
        <is>
          <t>Business</t>
        </is>
      </c>
      <c r="E154" t="inlineStr">
        <is>
          <t>Business</t>
        </is>
      </c>
      <c r="F154" t="inlineStr">
        <is>
          <t>Business Runway</t>
        </is>
      </c>
      <c r="G154" t="inlineStr">
        <is>
          <t>Revenue</t>
        </is>
      </c>
      <c r="H154" t="inlineStr">
        <is>
          <t>Business &gt; Business Runway &gt; Quick Add &gt; Revenue</t>
        </is>
      </c>
      <c r="I154" s="18" t="n">
        <v>62765.08</v>
      </c>
      <c r="J154" t="inlineStr">
        <is>
          <t>Created MTR-IOS-0153 and correlation note visible in Activity/Pulse</t>
        </is>
      </c>
      <c r="K154" t="inlineStr">
        <is>
          <t>NOT_RUN</t>
        </is>
      </c>
      <c r="P154" t="n">
        <v>0</v>
      </c>
      <c r="Q154" t="n">
        <v>153</v>
      </c>
    </row>
    <row r="155">
      <c r="A155" t="n">
        <v>154</v>
      </c>
      <c r="B155" t="inlineStr">
        <is>
          <t>MTR-IOS-0154</t>
        </is>
      </c>
      <c r="C155" t="inlineStr">
        <is>
          <t>iPhone</t>
        </is>
      </c>
      <c r="D155" t="inlineStr">
        <is>
          <t>Personal</t>
        </is>
      </c>
      <c r="E155" t="inlineStr">
        <is>
          <t>Personal</t>
        </is>
      </c>
      <c r="F155" t="inlineStr">
        <is>
          <t>Life Operations</t>
        </is>
      </c>
      <c r="G155" t="inlineStr">
        <is>
          <t>Subscriptions</t>
        </is>
      </c>
      <c r="H155" t="inlineStr">
        <is>
          <t>Personal &gt; Life Operations &gt; Quick Add &gt; Subscriptions</t>
        </is>
      </c>
      <c r="I155" s="18" t="n">
        <v>6690.3</v>
      </c>
      <c r="J155" t="inlineStr">
        <is>
          <t>Created MTR-IOS-0154 and correlation note visible in Activity/Pulse</t>
        </is>
      </c>
      <c r="K155" t="inlineStr">
        <is>
          <t>NOT_RUN</t>
        </is>
      </c>
      <c r="P155" t="n">
        <v>0</v>
      </c>
      <c r="Q155" t="n">
        <v>154</v>
      </c>
    </row>
    <row r="156">
      <c r="A156" t="n">
        <v>155</v>
      </c>
      <c r="B156" t="inlineStr">
        <is>
          <t>MTR-IOS-0155</t>
        </is>
      </c>
      <c r="C156" t="inlineStr">
        <is>
          <t>iPhone</t>
        </is>
      </c>
      <c r="D156" t="inlineStr">
        <is>
          <t>Group</t>
        </is>
      </c>
      <c r="E156" t="inlineStr">
        <is>
          <t>Shared Living</t>
        </is>
      </c>
      <c r="F156" t="inlineStr">
        <is>
          <t>Family Household</t>
        </is>
      </c>
      <c r="G156" t="inlineStr">
        <is>
          <t>Bills</t>
        </is>
      </c>
      <c r="H156" t="inlineStr">
        <is>
          <t>Group &gt; Family Household &gt; Quick Add &gt; Bills</t>
        </is>
      </c>
      <c r="I156" s="18" t="n">
        <v>12976.19</v>
      </c>
      <c r="J156" t="inlineStr">
        <is>
          <t>Created MTR-IOS-0155 and correlation note visible in Activity/Pulse</t>
        </is>
      </c>
      <c r="K156" t="inlineStr">
        <is>
          <t>NOT_RUN</t>
        </is>
      </c>
      <c r="P156" t="n">
        <v>0</v>
      </c>
      <c r="Q156" t="n">
        <v>155</v>
      </c>
    </row>
    <row r="157">
      <c r="A157" t="n">
        <v>156</v>
      </c>
      <c r="B157" t="inlineStr">
        <is>
          <t>MTR-IOS-0156</t>
        </is>
      </c>
      <c r="C157" t="inlineStr">
        <is>
          <t>iPhone</t>
        </is>
      </c>
      <c r="D157" t="inlineStr">
        <is>
          <t>Business</t>
        </is>
      </c>
      <c r="E157" t="inlineStr">
        <is>
          <t>Business</t>
        </is>
      </c>
      <c r="F157" t="inlineStr">
        <is>
          <t>Business Runway</t>
        </is>
      </c>
      <c r="G157" t="inlineStr">
        <is>
          <t>Burn</t>
        </is>
      </c>
      <c r="H157" t="inlineStr">
        <is>
          <t>Business &gt; Business Runway &gt; Quick Add &gt; Burn</t>
        </is>
      </c>
      <c r="I157" s="18" t="n">
        <v>93486.41</v>
      </c>
      <c r="J157" t="inlineStr">
        <is>
          <t>Created MTR-IOS-0156 and correlation note visible in Activity/Pulse</t>
        </is>
      </c>
      <c r="K157" t="inlineStr">
        <is>
          <t>NOT_RUN</t>
        </is>
      </c>
      <c r="P157" t="n">
        <v>0</v>
      </c>
      <c r="Q157" t="n">
        <v>156</v>
      </c>
    </row>
    <row r="158">
      <c r="A158" t="n">
        <v>157</v>
      </c>
      <c r="B158" t="inlineStr">
        <is>
          <t>MTR-IOS-0157</t>
        </is>
      </c>
      <c r="C158" t="inlineStr">
        <is>
          <t>iPhone</t>
        </is>
      </c>
      <c r="D158" t="inlineStr">
        <is>
          <t>Personal</t>
        </is>
      </c>
      <c r="E158" t="inlineStr">
        <is>
          <t>Personal</t>
        </is>
      </c>
      <c r="F158" t="inlineStr">
        <is>
          <t>Life Operations</t>
        </is>
      </c>
      <c r="G158" t="inlineStr">
        <is>
          <t>Repairs</t>
        </is>
      </c>
      <c r="H158" t="inlineStr">
        <is>
          <t>Personal &gt; Life Operations &gt; Quick Add &gt; Repairs</t>
        </is>
      </c>
      <c r="I158" s="18" t="n">
        <v>10719.83</v>
      </c>
      <c r="J158" t="inlineStr">
        <is>
          <t>Created MTR-IOS-0157 and correlation note visible in Activity/Pulse</t>
        </is>
      </c>
      <c r="K158" t="inlineStr">
        <is>
          <t>NOT_RUN</t>
        </is>
      </c>
      <c r="P158" t="n">
        <v>0</v>
      </c>
      <c r="Q158" t="n">
        <v>157</v>
      </c>
    </row>
    <row r="159">
      <c r="A159" t="n">
        <v>158</v>
      </c>
      <c r="B159" t="inlineStr">
        <is>
          <t>MTR-IOS-0158</t>
        </is>
      </c>
      <c r="C159" t="inlineStr">
        <is>
          <t>iPhone</t>
        </is>
      </c>
      <c r="D159" t="inlineStr">
        <is>
          <t>Group</t>
        </is>
      </c>
      <c r="E159" t="inlineStr">
        <is>
          <t>Shared Living</t>
        </is>
      </c>
      <c r="F159" t="inlineStr">
        <is>
          <t>Family Household</t>
        </is>
      </c>
      <c r="G159" t="inlineStr">
        <is>
          <t>School</t>
        </is>
      </c>
      <c r="H159" t="inlineStr">
        <is>
          <t>Group &gt; Family Household &gt; Quick Add &gt; School</t>
        </is>
      </c>
      <c r="I159" s="18" t="n">
        <v>26260.83</v>
      </c>
      <c r="J159" t="inlineStr">
        <is>
          <t>Created MTR-IOS-0158 and correlation note visible in Activity/Pulse</t>
        </is>
      </c>
      <c r="K159" t="inlineStr">
        <is>
          <t>NOT_RUN</t>
        </is>
      </c>
      <c r="P159" t="n">
        <v>0</v>
      </c>
      <c r="Q159" t="n">
        <v>158</v>
      </c>
    </row>
    <row r="160">
      <c r="A160" t="n">
        <v>159</v>
      </c>
      <c r="B160" t="inlineStr">
        <is>
          <t>MTR-IOS-0159</t>
        </is>
      </c>
      <c r="C160" t="inlineStr">
        <is>
          <t>iPhone</t>
        </is>
      </c>
      <c r="D160" t="inlineStr">
        <is>
          <t>Business</t>
        </is>
      </c>
      <c r="E160" t="inlineStr">
        <is>
          <t>Business</t>
        </is>
      </c>
      <c r="F160" t="inlineStr">
        <is>
          <t>Business Runway</t>
        </is>
      </c>
      <c r="G160" t="inlineStr">
        <is>
          <t>Reserve</t>
        </is>
      </c>
      <c r="H160" t="inlineStr">
        <is>
          <t>Business &gt; Business Runway &gt; Quick Add &gt; Reserve</t>
        </is>
      </c>
      <c r="I160" s="18" t="n">
        <v>58015.12</v>
      </c>
      <c r="J160" t="inlineStr">
        <is>
          <t>Created MTR-IOS-0159 and correlation note visible in Activity/Pulse</t>
        </is>
      </c>
      <c r="K160" t="inlineStr">
        <is>
          <t>NOT_RUN</t>
        </is>
      </c>
      <c r="P160" t="n">
        <v>0</v>
      </c>
      <c r="Q160" t="n">
        <v>159</v>
      </c>
    </row>
    <row r="161">
      <c r="A161" t="n">
        <v>160</v>
      </c>
      <c r="B161" t="inlineStr">
        <is>
          <t>MTR-IOS-0160</t>
        </is>
      </c>
      <c r="C161" t="inlineStr">
        <is>
          <t>iPhone</t>
        </is>
      </c>
      <c r="D161" t="inlineStr">
        <is>
          <t>Personal</t>
        </is>
      </c>
      <c r="E161" t="inlineStr">
        <is>
          <t>Personal</t>
        </is>
      </c>
      <c r="F161" t="inlineStr">
        <is>
          <t>Future Building</t>
        </is>
      </c>
      <c r="G161" t="inlineStr">
        <is>
          <t>Savings</t>
        </is>
      </c>
      <c r="H161" t="inlineStr">
        <is>
          <t>Personal &gt; Future Building &gt; Quick Add &gt; Savings</t>
        </is>
      </c>
      <c r="I161" s="18" t="n">
        <v>10202.14</v>
      </c>
      <c r="J161" t="inlineStr">
        <is>
          <t>Created MTR-IOS-0160 and correlation note visible in Activity/Pulse</t>
        </is>
      </c>
      <c r="K161" t="inlineStr">
        <is>
          <t>NOT_RUN</t>
        </is>
      </c>
      <c r="P161" t="n">
        <v>0</v>
      </c>
      <c r="Q161" t="n">
        <v>160</v>
      </c>
    </row>
    <row r="162">
      <c r="A162" t="n">
        <v>161</v>
      </c>
      <c r="B162" t="inlineStr">
        <is>
          <t>MTR-IOS-0161</t>
        </is>
      </c>
      <c r="C162" t="inlineStr">
        <is>
          <t>iPhone</t>
        </is>
      </c>
      <c r="D162" t="inlineStr">
        <is>
          <t>Group</t>
        </is>
      </c>
      <c r="E162" t="inlineStr">
        <is>
          <t>Shared Living</t>
        </is>
      </c>
      <c r="F162" t="inlineStr">
        <is>
          <t>Family Household</t>
        </is>
      </c>
      <c r="G162" t="inlineStr">
        <is>
          <t>Healthcare</t>
        </is>
      </c>
      <c r="H162" t="inlineStr">
        <is>
          <t>Group &gt; Family Household &gt; Quick Add &gt; Healthcare</t>
        </is>
      </c>
      <c r="I162" s="18" t="n">
        <v>15494.7</v>
      </c>
      <c r="J162" t="inlineStr">
        <is>
          <t>Created MTR-IOS-0161 and correlation note visible in Activity/Pulse</t>
        </is>
      </c>
      <c r="K162" t="inlineStr">
        <is>
          <t>NOT_RUN</t>
        </is>
      </c>
      <c r="P162" t="n">
        <v>0</v>
      </c>
      <c r="Q162" t="n">
        <v>161</v>
      </c>
    </row>
    <row r="163">
      <c r="A163" t="n">
        <v>162</v>
      </c>
      <c r="B163" t="inlineStr">
        <is>
          <t>MTR-IOS-0162</t>
        </is>
      </c>
      <c r="C163" t="inlineStr">
        <is>
          <t>iPhone</t>
        </is>
      </c>
      <c r="D163" t="inlineStr">
        <is>
          <t>Business</t>
        </is>
      </c>
      <c r="E163" t="inlineStr">
        <is>
          <t>Business</t>
        </is>
      </c>
      <c r="F163" t="inlineStr">
        <is>
          <t>Business Runway</t>
        </is>
      </c>
      <c r="G163" t="inlineStr">
        <is>
          <t>Loan</t>
        </is>
      </c>
      <c r="H163" t="inlineStr">
        <is>
          <t>Business &gt; Business Runway &gt; Quick Add &gt; Loan</t>
        </is>
      </c>
      <c r="I163" s="18" t="n">
        <v>101981.99</v>
      </c>
      <c r="J163" t="inlineStr">
        <is>
          <t>Created MTR-IOS-0162 and correlation note visible in Activity/Pulse</t>
        </is>
      </c>
      <c r="K163" t="inlineStr">
        <is>
          <t>NOT_RUN</t>
        </is>
      </c>
      <c r="P163" t="n">
        <v>0</v>
      </c>
      <c r="Q163" t="n">
        <v>162</v>
      </c>
    </row>
    <row r="164">
      <c r="A164" t="n">
        <v>163</v>
      </c>
      <c r="B164" t="inlineStr">
        <is>
          <t>MTR-IOS-0163</t>
        </is>
      </c>
      <c r="C164" t="inlineStr">
        <is>
          <t>iPhone</t>
        </is>
      </c>
      <c r="D164" t="inlineStr">
        <is>
          <t>Personal</t>
        </is>
      </c>
      <c r="E164" t="inlineStr">
        <is>
          <t>Personal</t>
        </is>
      </c>
      <c r="F164" t="inlineStr">
        <is>
          <t>Future Building</t>
        </is>
      </c>
      <c r="G164" t="inlineStr">
        <is>
          <t>Emergency Fund</t>
        </is>
      </c>
      <c r="H164" t="inlineStr">
        <is>
          <t>Personal &gt; Future Building &gt; Quick Add &gt; Emergency Fund</t>
        </is>
      </c>
      <c r="I164" s="18" t="n">
        <v>4396.48</v>
      </c>
      <c r="J164" t="inlineStr">
        <is>
          <t>Created MTR-IOS-0163 and correlation note visible in Activity/Pulse</t>
        </is>
      </c>
      <c r="K164" t="inlineStr">
        <is>
          <t>NOT_RUN</t>
        </is>
      </c>
      <c r="P164" t="n">
        <v>0</v>
      </c>
      <c r="Q164" t="n">
        <v>163</v>
      </c>
    </row>
    <row r="165">
      <c r="A165" t="n">
        <v>164</v>
      </c>
      <c r="B165" t="inlineStr">
        <is>
          <t>MTR-IOS-0164</t>
        </is>
      </c>
      <c r="C165" t="inlineStr">
        <is>
          <t>iPhone</t>
        </is>
      </c>
      <c r="D165" t="inlineStr">
        <is>
          <t>Group</t>
        </is>
      </c>
      <c r="E165" t="inlineStr">
        <is>
          <t>Shared Living</t>
        </is>
      </c>
      <c r="F165" t="inlineStr">
        <is>
          <t>Family Household</t>
        </is>
      </c>
      <c r="G165" t="inlineStr">
        <is>
          <t>Home</t>
        </is>
      </c>
      <c r="H165" t="inlineStr">
        <is>
          <t>Group &gt; Family Household &gt; Quick Add &gt; Home</t>
        </is>
      </c>
      <c r="I165" s="18" t="n">
        <v>7216.51</v>
      </c>
      <c r="J165" t="inlineStr">
        <is>
          <t>Created MTR-IOS-0164 and correlation note visible in Activity/Pulse</t>
        </is>
      </c>
      <c r="K165" t="inlineStr">
        <is>
          <t>NOT_RUN</t>
        </is>
      </c>
      <c r="P165" t="n">
        <v>0</v>
      </c>
      <c r="Q165" t="n">
        <v>164</v>
      </c>
    </row>
    <row r="166">
      <c r="A166" t="n">
        <v>165</v>
      </c>
      <c r="B166" t="inlineStr">
        <is>
          <t>MTR-IOS-0165</t>
        </is>
      </c>
      <c r="C166" t="inlineStr">
        <is>
          <t>iPhone</t>
        </is>
      </c>
      <c r="D166" t="inlineStr">
        <is>
          <t>Business</t>
        </is>
      </c>
      <c r="E166" t="inlineStr">
        <is>
          <t>Business</t>
        </is>
      </c>
      <c r="F166" t="inlineStr">
        <is>
          <t>Business Runway</t>
        </is>
      </c>
      <c r="G166" t="inlineStr">
        <is>
          <t>Investment</t>
        </is>
      </c>
      <c r="H166" t="inlineStr">
        <is>
          <t>Business &gt; Business Runway &gt; Quick Add &gt; Investment</t>
        </is>
      </c>
      <c r="I166" s="18" t="n">
        <v>97120.67999999999</v>
      </c>
      <c r="J166" t="inlineStr">
        <is>
          <t>Created MTR-IOS-0165 and correlation note visible in Activity/Pulse</t>
        </is>
      </c>
      <c r="K166" t="inlineStr">
        <is>
          <t>NOT_RUN</t>
        </is>
      </c>
      <c r="P166" t="n">
        <v>0</v>
      </c>
      <c r="Q166" t="n">
        <v>165</v>
      </c>
    </row>
    <row r="167">
      <c r="A167" t="n">
        <v>166</v>
      </c>
      <c r="B167" t="inlineStr">
        <is>
          <t>MTR-IOS-0166</t>
        </is>
      </c>
      <c r="C167" t="inlineStr">
        <is>
          <t>iPhone</t>
        </is>
      </c>
      <c r="D167" t="inlineStr">
        <is>
          <t>Personal</t>
        </is>
      </c>
      <c r="E167" t="inlineStr">
        <is>
          <t>Personal</t>
        </is>
      </c>
      <c r="F167" t="inlineStr">
        <is>
          <t>Future Building</t>
        </is>
      </c>
      <c r="G167" t="inlineStr">
        <is>
          <t>Investments</t>
        </is>
      </c>
      <c r="H167" t="inlineStr">
        <is>
          <t>Personal &gt; Future Building &gt; Quick Add &gt; Investments</t>
        </is>
      </c>
      <c r="I167" s="18" t="n">
        <v>2055.08</v>
      </c>
      <c r="J167" t="inlineStr">
        <is>
          <t>Created MTR-IOS-0166 and correlation note visible in Activity/Pulse</t>
        </is>
      </c>
      <c r="K167" t="inlineStr">
        <is>
          <t>NOT_RUN</t>
        </is>
      </c>
      <c r="P167" t="n">
        <v>0</v>
      </c>
      <c r="Q167" t="n">
        <v>166</v>
      </c>
    </row>
    <row r="168">
      <c r="A168" t="n">
        <v>167</v>
      </c>
      <c r="B168" t="inlineStr">
        <is>
          <t>MTR-IOS-0167</t>
        </is>
      </c>
      <c r="C168" t="inlineStr">
        <is>
          <t>iPhone</t>
        </is>
      </c>
      <c r="D168" t="inlineStr">
        <is>
          <t>Group</t>
        </is>
      </c>
      <c r="E168" t="inlineStr">
        <is>
          <t>Shared Living</t>
        </is>
      </c>
      <c r="F168" t="inlineStr">
        <is>
          <t>Family Household</t>
        </is>
      </c>
      <c r="G168" t="inlineStr">
        <is>
          <t>Other</t>
        </is>
      </c>
      <c r="H168" t="inlineStr">
        <is>
          <t>Group &gt; Family Household &gt; Quick Add &gt; Other</t>
        </is>
      </c>
      <c r="I168" s="18" t="n">
        <v>5909.24</v>
      </c>
      <c r="J168" t="inlineStr">
        <is>
          <t>Created MTR-IOS-0167 and correlation note visible in Activity/Pulse</t>
        </is>
      </c>
      <c r="K168" t="inlineStr">
        <is>
          <t>NOT_RUN</t>
        </is>
      </c>
      <c r="P168" t="n">
        <v>0</v>
      </c>
      <c r="Q168" t="n">
        <v>167</v>
      </c>
    </row>
    <row r="169">
      <c r="A169" t="n">
        <v>168</v>
      </c>
      <c r="B169" t="inlineStr">
        <is>
          <t>MTR-IOS-0168</t>
        </is>
      </c>
      <c r="C169" t="inlineStr">
        <is>
          <t>iPhone</t>
        </is>
      </c>
      <c r="D169" t="inlineStr">
        <is>
          <t>Business</t>
        </is>
      </c>
      <c r="E169" t="inlineStr">
        <is>
          <t>Business</t>
        </is>
      </c>
      <c r="F169" t="inlineStr">
        <is>
          <t>Business Operations</t>
        </is>
      </c>
      <c r="G169" t="inlineStr">
        <is>
          <t>Software</t>
        </is>
      </c>
      <c r="H169" t="inlineStr">
        <is>
          <t>Business &gt; Business Operations &gt; Quick Add &gt; Software</t>
        </is>
      </c>
      <c r="I169" s="18" t="n">
        <v>67031.19</v>
      </c>
      <c r="J169" t="inlineStr">
        <is>
          <t>Created MTR-IOS-0168 and correlation note visible in Activity/Pulse</t>
        </is>
      </c>
      <c r="K169" t="inlineStr">
        <is>
          <t>NOT_RUN</t>
        </is>
      </c>
      <c r="P169" t="n">
        <v>0</v>
      </c>
      <c r="Q169" t="n">
        <v>168</v>
      </c>
    </row>
    <row r="170">
      <c r="A170" t="n">
        <v>169</v>
      </c>
      <c r="B170" t="inlineStr">
        <is>
          <t>MTR-IOS-0169</t>
        </is>
      </c>
      <c r="C170" t="inlineStr">
        <is>
          <t>iPhone</t>
        </is>
      </c>
      <c r="D170" t="inlineStr">
        <is>
          <t>Personal</t>
        </is>
      </c>
      <c r="E170" t="inlineStr">
        <is>
          <t>Personal</t>
        </is>
      </c>
      <c r="F170" t="inlineStr">
        <is>
          <t>Future Building</t>
        </is>
      </c>
      <c r="G170" t="inlineStr">
        <is>
          <t>Education</t>
        </is>
      </c>
      <c r="H170" t="inlineStr">
        <is>
          <t>Personal &gt; Future Building &gt; Quick Add &gt; Education</t>
        </is>
      </c>
      <c r="I170" s="18" t="n">
        <v>16850.8</v>
      </c>
      <c r="J170" t="inlineStr">
        <is>
          <t>Created MTR-IOS-0169 and correlation note visible in Activity/Pulse</t>
        </is>
      </c>
      <c r="K170" t="inlineStr">
        <is>
          <t>NOT_RUN</t>
        </is>
      </c>
      <c r="P170" t="n">
        <v>0</v>
      </c>
      <c r="Q170" t="n">
        <v>169</v>
      </c>
    </row>
    <row r="171">
      <c r="A171" t="n">
        <v>170</v>
      </c>
      <c r="B171" t="inlineStr">
        <is>
          <t>MTR-IOS-0170</t>
        </is>
      </c>
      <c r="C171" t="inlineStr">
        <is>
          <t>iPhone</t>
        </is>
      </c>
      <c r="D171" t="inlineStr">
        <is>
          <t>Group</t>
        </is>
      </c>
      <c r="E171" t="inlineStr">
        <is>
          <t>Shared Living</t>
        </is>
      </c>
      <c r="F171" t="inlineStr">
        <is>
          <t>Custom Living</t>
        </is>
      </c>
      <c r="G171" t="inlineStr">
        <is>
          <t>Custom Expense</t>
        </is>
      </c>
      <c r="H171" t="inlineStr">
        <is>
          <t>Group &gt; Custom Living &gt; Quick Add &gt; Custom Expense</t>
        </is>
      </c>
      <c r="I171" s="18" t="n">
        <v>6518.51</v>
      </c>
      <c r="J171" t="inlineStr">
        <is>
          <t>Created MTR-IOS-0170 and correlation note visible in Activity/Pulse</t>
        </is>
      </c>
      <c r="K171" t="inlineStr">
        <is>
          <t>NOT_RUN</t>
        </is>
      </c>
      <c r="P171" t="n">
        <v>0</v>
      </c>
      <c r="Q171" t="n">
        <v>170</v>
      </c>
    </row>
    <row r="172">
      <c r="A172" t="n">
        <v>171</v>
      </c>
      <c r="B172" t="inlineStr">
        <is>
          <t>MTR-IOS-0171</t>
        </is>
      </c>
      <c r="C172" t="inlineStr">
        <is>
          <t>iPhone</t>
        </is>
      </c>
      <c r="D172" t="inlineStr">
        <is>
          <t>Business</t>
        </is>
      </c>
      <c r="E172" t="inlineStr">
        <is>
          <t>Business</t>
        </is>
      </c>
      <c r="F172" t="inlineStr">
        <is>
          <t>Business Operations</t>
        </is>
      </c>
      <c r="G172" t="inlineStr">
        <is>
          <t>Rent</t>
        </is>
      </c>
      <c r="H172" t="inlineStr">
        <is>
          <t>Business &gt; Business Operations &gt; Quick Add &gt; Rent</t>
        </is>
      </c>
      <c r="I172" s="18" t="n">
        <v>135639.59</v>
      </c>
      <c r="J172" t="inlineStr">
        <is>
          <t>Created MTR-IOS-0171 and correlation note visible in Activity/Pulse</t>
        </is>
      </c>
      <c r="K172" t="inlineStr">
        <is>
          <t>NOT_RUN</t>
        </is>
      </c>
      <c r="P172" t="n">
        <v>0</v>
      </c>
      <c r="Q172" t="n">
        <v>171</v>
      </c>
    </row>
    <row r="173">
      <c r="A173" t="n">
        <v>172</v>
      </c>
      <c r="B173" t="inlineStr">
        <is>
          <t>MTR-IOS-0172</t>
        </is>
      </c>
      <c r="C173" t="inlineStr">
        <is>
          <t>iPhone</t>
        </is>
      </c>
      <c r="D173" t="inlineStr">
        <is>
          <t>Personal</t>
        </is>
      </c>
      <c r="E173" t="inlineStr">
        <is>
          <t>Personal</t>
        </is>
      </c>
      <c r="F173" t="inlineStr">
        <is>
          <t>Future Building</t>
        </is>
      </c>
      <c r="G173" t="inlineStr">
        <is>
          <t>Goal Contribution</t>
        </is>
      </c>
      <c r="H173" t="inlineStr">
        <is>
          <t>Personal &gt; Future Building &gt; Quick Add &gt; Goal Contribution</t>
        </is>
      </c>
      <c r="I173" s="18" t="n">
        <v>15522.76</v>
      </c>
      <c r="J173" t="inlineStr">
        <is>
          <t>Created MTR-IOS-0172 and correlation note visible in Activity/Pulse</t>
        </is>
      </c>
      <c r="K173" t="inlineStr">
        <is>
          <t>NOT_RUN</t>
        </is>
      </c>
      <c r="P173" t="n">
        <v>0</v>
      </c>
      <c r="Q173" t="n">
        <v>172</v>
      </c>
    </row>
    <row r="174">
      <c r="A174" t="n">
        <v>173</v>
      </c>
      <c r="B174" t="inlineStr">
        <is>
          <t>MTR-IOS-0173</t>
        </is>
      </c>
      <c r="C174" t="inlineStr">
        <is>
          <t>iPhone</t>
        </is>
      </c>
      <c r="D174" t="inlineStr">
        <is>
          <t>Group</t>
        </is>
      </c>
      <c r="E174" t="inlineStr">
        <is>
          <t>Shared Living</t>
        </is>
      </c>
      <c r="F174" t="inlineStr">
        <is>
          <t>Custom Living</t>
        </is>
      </c>
      <c r="G174" t="inlineStr">
        <is>
          <t>Custom Contribution</t>
        </is>
      </c>
      <c r="H174" t="inlineStr">
        <is>
          <t>Group &gt; Custom Living &gt; Quick Add &gt; Custom Contribution</t>
        </is>
      </c>
      <c r="I174" s="18" t="n">
        <v>11183.99</v>
      </c>
      <c r="J174" t="inlineStr">
        <is>
          <t>Created MTR-IOS-0173 and correlation note visible in Activity/Pulse</t>
        </is>
      </c>
      <c r="K174" t="inlineStr">
        <is>
          <t>NOT_RUN</t>
        </is>
      </c>
      <c r="P174" t="n">
        <v>0</v>
      </c>
      <c r="Q174" t="n">
        <v>173</v>
      </c>
    </row>
    <row r="175">
      <c r="A175" t="n">
        <v>174</v>
      </c>
      <c r="B175" t="inlineStr">
        <is>
          <t>MTR-IOS-0174</t>
        </is>
      </c>
      <c r="C175" t="inlineStr">
        <is>
          <t>iPhone</t>
        </is>
      </c>
      <c r="D175" t="inlineStr">
        <is>
          <t>Business</t>
        </is>
      </c>
      <c r="E175" t="inlineStr">
        <is>
          <t>Business</t>
        </is>
      </c>
      <c r="F175" t="inlineStr">
        <is>
          <t>Business Operations</t>
        </is>
      </c>
      <c r="G175" t="inlineStr">
        <is>
          <t>Marketing</t>
        </is>
      </c>
      <c r="H175" t="inlineStr">
        <is>
          <t>Business &gt; Business Operations &gt; Quick Add &gt; Marketing</t>
        </is>
      </c>
      <c r="I175" s="18" t="n">
        <v>78643.25999999999</v>
      </c>
      <c r="J175" t="inlineStr">
        <is>
          <t>Created MTR-IOS-0174 and correlation note visible in Activity/Pulse</t>
        </is>
      </c>
      <c r="K175" t="inlineStr">
        <is>
          <t>NOT_RUN</t>
        </is>
      </c>
      <c r="P175" t="n">
        <v>0</v>
      </c>
      <c r="Q175" t="n">
        <v>174</v>
      </c>
    </row>
    <row r="176">
      <c r="A176" t="n">
        <v>175</v>
      </c>
      <c r="B176" t="inlineStr">
        <is>
          <t>MTR-IOS-0175</t>
        </is>
      </c>
      <c r="C176" t="inlineStr">
        <is>
          <t>iPhone</t>
        </is>
      </c>
      <c r="D176" t="inlineStr">
        <is>
          <t>Personal</t>
        </is>
      </c>
      <c r="E176" t="inlineStr">
        <is>
          <t>Personal</t>
        </is>
      </c>
      <c r="F176" t="inlineStr">
        <is>
          <t>Lifestyle</t>
        </is>
      </c>
      <c r="G176" t="inlineStr">
        <is>
          <t>Dining</t>
        </is>
      </c>
      <c r="H176" t="inlineStr">
        <is>
          <t>Personal &gt; Lifestyle &gt; Quick Add &gt; Dining</t>
        </is>
      </c>
      <c r="I176" s="18" t="n">
        <v>7899.13</v>
      </c>
      <c r="J176" t="inlineStr">
        <is>
          <t>Created MTR-IOS-0175 and correlation note visible in Activity/Pulse</t>
        </is>
      </c>
      <c r="K176" t="inlineStr">
        <is>
          <t>NOT_RUN</t>
        </is>
      </c>
      <c r="P176" t="n">
        <v>0</v>
      </c>
      <c r="Q176" t="n">
        <v>175</v>
      </c>
    </row>
    <row r="177">
      <c r="A177" t="n">
        <v>176</v>
      </c>
      <c r="B177" t="inlineStr">
        <is>
          <t>MTR-IOS-0176</t>
        </is>
      </c>
      <c r="C177" t="inlineStr">
        <is>
          <t>iPhone</t>
        </is>
      </c>
      <c r="D177" t="inlineStr">
        <is>
          <t>Group</t>
        </is>
      </c>
      <c r="E177" t="inlineStr">
        <is>
          <t>Shared Experience</t>
        </is>
      </c>
      <c r="F177" t="inlineStr">
        <is>
          <t>Trip</t>
        </is>
      </c>
      <c r="G177" t="inlineStr">
        <is>
          <t>Travel</t>
        </is>
      </c>
      <c r="H177" t="inlineStr">
        <is>
          <t>Group &gt; Trip &gt; Quick Add &gt; Travel</t>
        </is>
      </c>
      <c r="I177" s="18" t="n">
        <v>2166.1</v>
      </c>
      <c r="J177" t="inlineStr">
        <is>
          <t>Created MTR-IOS-0176 and correlation note visible in Activity/Pulse</t>
        </is>
      </c>
      <c r="K177" t="inlineStr">
        <is>
          <t>NOT_RUN</t>
        </is>
      </c>
      <c r="P177" t="n">
        <v>0</v>
      </c>
      <c r="Q177" t="n">
        <v>176</v>
      </c>
    </row>
    <row r="178">
      <c r="A178" t="n">
        <v>177</v>
      </c>
      <c r="B178" t="inlineStr">
        <is>
          <t>MTR-IOS-0177</t>
        </is>
      </c>
      <c r="C178" t="inlineStr">
        <is>
          <t>iPhone</t>
        </is>
      </c>
      <c r="D178" t="inlineStr">
        <is>
          <t>Business</t>
        </is>
      </c>
      <c r="E178" t="inlineStr">
        <is>
          <t>Business</t>
        </is>
      </c>
      <c r="F178" t="inlineStr">
        <is>
          <t>Business Operations</t>
        </is>
      </c>
      <c r="G178" t="inlineStr">
        <is>
          <t>Legal</t>
        </is>
      </c>
      <c r="H178" t="inlineStr">
        <is>
          <t>Business &gt; Business Operations &gt; Quick Add &gt; Legal</t>
        </is>
      </c>
      <c r="I178" s="18" t="n">
        <v>61147.29</v>
      </c>
      <c r="J178" t="inlineStr">
        <is>
          <t>Created MTR-IOS-0177 and correlation note visible in Activity/Pulse</t>
        </is>
      </c>
      <c r="K178" t="inlineStr">
        <is>
          <t>NOT_RUN</t>
        </is>
      </c>
      <c r="P178" t="n">
        <v>0</v>
      </c>
      <c r="Q178" t="n">
        <v>177</v>
      </c>
    </row>
    <row r="179">
      <c r="A179" t="n">
        <v>178</v>
      </c>
      <c r="B179" t="inlineStr">
        <is>
          <t>MTR-IOS-0178</t>
        </is>
      </c>
      <c r="C179" t="inlineStr">
        <is>
          <t>iPhone</t>
        </is>
      </c>
      <c r="D179" t="inlineStr">
        <is>
          <t>Personal</t>
        </is>
      </c>
      <c r="E179" t="inlineStr">
        <is>
          <t>Personal</t>
        </is>
      </c>
      <c r="F179" t="inlineStr">
        <is>
          <t>Lifestyle</t>
        </is>
      </c>
      <c r="G179" t="inlineStr">
        <is>
          <t>Shopping</t>
        </is>
      </c>
      <c r="H179" t="inlineStr">
        <is>
          <t>Personal &gt; Lifestyle &gt; Quick Add &gt; Shopping</t>
        </is>
      </c>
      <c r="I179" s="18" t="n">
        <v>5657.47</v>
      </c>
      <c r="J179" t="inlineStr">
        <is>
          <t>Created MTR-IOS-0178 and correlation note visible in Activity/Pulse</t>
        </is>
      </c>
      <c r="K179" t="inlineStr">
        <is>
          <t>NOT_RUN</t>
        </is>
      </c>
      <c r="P179" t="n">
        <v>0</v>
      </c>
      <c r="Q179" t="n">
        <v>178</v>
      </c>
    </row>
    <row r="180">
      <c r="A180" t="n">
        <v>179</v>
      </c>
      <c r="B180" t="inlineStr">
        <is>
          <t>MTR-IOS-0179</t>
        </is>
      </c>
      <c r="C180" t="inlineStr">
        <is>
          <t>iPhone</t>
        </is>
      </c>
      <c r="D180" t="inlineStr">
        <is>
          <t>Group</t>
        </is>
      </c>
      <c r="E180" t="inlineStr">
        <is>
          <t>Shared Experience</t>
        </is>
      </c>
      <c r="F180" t="inlineStr">
        <is>
          <t>Trip</t>
        </is>
      </c>
      <c r="G180" t="inlineStr">
        <is>
          <t>Stay</t>
        </is>
      </c>
      <c r="H180" t="inlineStr">
        <is>
          <t>Group &gt; Trip &gt; Quick Add &gt; Stay</t>
        </is>
      </c>
      <c r="I180" s="18" t="n">
        <v>6603.2</v>
      </c>
      <c r="J180" t="inlineStr">
        <is>
          <t>Created MTR-IOS-0179 and correlation note visible in Activity/Pulse</t>
        </is>
      </c>
      <c r="K180" t="inlineStr">
        <is>
          <t>NOT_RUN</t>
        </is>
      </c>
      <c r="P180" t="n">
        <v>0</v>
      </c>
      <c r="Q180" t="n">
        <v>179</v>
      </c>
    </row>
    <row r="181">
      <c r="A181" t="n">
        <v>180</v>
      </c>
      <c r="B181" t="inlineStr">
        <is>
          <t>MTR-IOS-0180</t>
        </is>
      </c>
      <c r="C181" t="inlineStr">
        <is>
          <t>iPhone</t>
        </is>
      </c>
      <c r="D181" t="inlineStr">
        <is>
          <t>Business</t>
        </is>
      </c>
      <c r="E181" t="inlineStr">
        <is>
          <t>Business</t>
        </is>
      </c>
      <c r="F181" t="inlineStr">
        <is>
          <t>Business Operations</t>
        </is>
      </c>
      <c r="G181" t="inlineStr">
        <is>
          <t>Accounting</t>
        </is>
      </c>
      <c r="H181" t="inlineStr">
        <is>
          <t>Business &gt; Business Operations &gt; Quick Add &gt; Accounting</t>
        </is>
      </c>
      <c r="I181" s="18" t="n">
        <v>62879.88</v>
      </c>
      <c r="J181" t="inlineStr">
        <is>
          <t>Created MTR-IOS-0180 and correlation note visible in Activity/Pulse</t>
        </is>
      </c>
      <c r="K181" t="inlineStr">
        <is>
          <t>NOT_RUN</t>
        </is>
      </c>
      <c r="P181" t="n">
        <v>0</v>
      </c>
      <c r="Q181" t="n">
        <v>180</v>
      </c>
    </row>
    <row r="182">
      <c r="A182" t="n">
        <v>181</v>
      </c>
      <c r="B182" t="inlineStr">
        <is>
          <t>MTR-IOS-0181</t>
        </is>
      </c>
      <c r="C182" t="inlineStr">
        <is>
          <t>iPhone</t>
        </is>
      </c>
      <c r="D182" t="inlineStr">
        <is>
          <t>Personal</t>
        </is>
      </c>
      <c r="E182" t="inlineStr">
        <is>
          <t>Personal</t>
        </is>
      </c>
      <c r="F182" t="inlineStr">
        <is>
          <t>Lifestyle</t>
        </is>
      </c>
      <c r="G182" t="inlineStr">
        <is>
          <t>Entertainment</t>
        </is>
      </c>
      <c r="H182" t="inlineStr">
        <is>
          <t>Personal &gt; Lifestyle &gt; Quick Add &gt; Entertainment</t>
        </is>
      </c>
      <c r="I182" s="18" t="n">
        <v>777.25</v>
      </c>
      <c r="J182" t="inlineStr">
        <is>
          <t>Created MTR-IOS-0181 and correlation note visible in Activity/Pulse</t>
        </is>
      </c>
      <c r="K182" t="inlineStr">
        <is>
          <t>NOT_RUN</t>
        </is>
      </c>
      <c r="P182" t="n">
        <v>0</v>
      </c>
      <c r="Q182" t="n">
        <v>181</v>
      </c>
    </row>
    <row r="183">
      <c r="A183" t="n">
        <v>182</v>
      </c>
      <c r="B183" t="inlineStr">
        <is>
          <t>MTR-IOS-0182</t>
        </is>
      </c>
      <c r="C183" t="inlineStr">
        <is>
          <t>iPhone</t>
        </is>
      </c>
      <c r="D183" t="inlineStr">
        <is>
          <t>Group</t>
        </is>
      </c>
      <c r="E183" t="inlineStr">
        <is>
          <t>Shared Experience</t>
        </is>
      </c>
      <c r="F183" t="inlineStr">
        <is>
          <t>Trip</t>
        </is>
      </c>
      <c r="G183" t="inlineStr">
        <is>
          <t>Food</t>
        </is>
      </c>
      <c r="H183" t="inlineStr">
        <is>
          <t>Group &gt; Trip &gt; Quick Add &gt; Food</t>
        </is>
      </c>
      <c r="I183" s="18" t="n">
        <v>17792.66</v>
      </c>
      <c r="J183" t="inlineStr">
        <is>
          <t>Created MTR-IOS-0182 and correlation note visible in Activity/Pulse</t>
        </is>
      </c>
      <c r="K183" t="inlineStr">
        <is>
          <t>NOT_RUN</t>
        </is>
      </c>
      <c r="P183" t="n">
        <v>0</v>
      </c>
      <c r="Q183" t="n">
        <v>182</v>
      </c>
    </row>
    <row r="184">
      <c r="A184" t="n">
        <v>183</v>
      </c>
      <c r="B184" t="inlineStr">
        <is>
          <t>MTR-IOS-0183</t>
        </is>
      </c>
      <c r="C184" t="inlineStr">
        <is>
          <t>iPhone</t>
        </is>
      </c>
      <c r="D184" t="inlineStr">
        <is>
          <t>Business</t>
        </is>
      </c>
      <c r="E184" t="inlineStr">
        <is>
          <t>Business</t>
        </is>
      </c>
      <c r="F184" t="inlineStr">
        <is>
          <t>Business Operations</t>
        </is>
      </c>
      <c r="G184" t="inlineStr">
        <is>
          <t>Equipment</t>
        </is>
      </c>
      <c r="H184" t="inlineStr">
        <is>
          <t>Business &gt; Business Operations &gt; Quick Add &gt; Equipment</t>
        </is>
      </c>
      <c r="I184" s="18" t="n">
        <v>117344.54</v>
      </c>
      <c r="J184" t="inlineStr">
        <is>
          <t>Created MTR-IOS-0183 and correlation note visible in Activity/Pulse</t>
        </is>
      </c>
      <c r="K184" t="inlineStr">
        <is>
          <t>NOT_RUN</t>
        </is>
      </c>
      <c r="P184" t="n">
        <v>0</v>
      </c>
      <c r="Q184" t="n">
        <v>183</v>
      </c>
    </row>
    <row r="185">
      <c r="A185" t="n">
        <v>184</v>
      </c>
      <c r="B185" t="inlineStr">
        <is>
          <t>MTR-IOS-0184</t>
        </is>
      </c>
      <c r="C185" t="inlineStr">
        <is>
          <t>iPhone</t>
        </is>
      </c>
      <c r="D185" t="inlineStr">
        <is>
          <t>Personal</t>
        </is>
      </c>
      <c r="E185" t="inlineStr">
        <is>
          <t>Personal</t>
        </is>
      </c>
      <c r="F185" t="inlineStr">
        <is>
          <t>Lifestyle</t>
        </is>
      </c>
      <c r="G185" t="inlineStr">
        <is>
          <t>Travel</t>
        </is>
      </c>
      <c r="H185" t="inlineStr">
        <is>
          <t>Personal &gt; Lifestyle &gt; Quick Add &gt; Travel</t>
        </is>
      </c>
      <c r="I185" s="18" t="n">
        <v>10885.86</v>
      </c>
      <c r="J185" t="inlineStr">
        <is>
          <t>Created MTR-IOS-0184 and correlation note visible in Activity/Pulse</t>
        </is>
      </c>
      <c r="K185" t="inlineStr">
        <is>
          <t>NOT_RUN</t>
        </is>
      </c>
      <c r="P185" t="n">
        <v>0</v>
      </c>
      <c r="Q185" t="n">
        <v>184</v>
      </c>
    </row>
    <row r="186">
      <c r="A186" t="n">
        <v>185</v>
      </c>
      <c r="B186" t="inlineStr">
        <is>
          <t>MTR-IOS-0185</t>
        </is>
      </c>
      <c r="C186" t="inlineStr">
        <is>
          <t>iPhone</t>
        </is>
      </c>
      <c r="D186" t="inlineStr">
        <is>
          <t>Group</t>
        </is>
      </c>
      <c r="E186" t="inlineStr">
        <is>
          <t>Shared Experience</t>
        </is>
      </c>
      <c r="F186" t="inlineStr">
        <is>
          <t>Trip</t>
        </is>
      </c>
      <c r="G186" t="inlineStr">
        <is>
          <t>Local Transport</t>
        </is>
      </c>
      <c r="H186" t="inlineStr">
        <is>
          <t>Group &gt; Trip &gt; Quick Add &gt; Local Transport</t>
        </is>
      </c>
      <c r="I186" s="18" t="n">
        <v>10000</v>
      </c>
      <c r="J186" t="inlineStr">
        <is>
          <t>Created MTR-IOS-0185 and correlation note visible in Activity/Pulse</t>
        </is>
      </c>
      <c r="K186" t="inlineStr">
        <is>
          <t>NOT_RUN</t>
        </is>
      </c>
      <c r="P186" t="n">
        <v>0</v>
      </c>
      <c r="Q186" t="n">
        <v>185</v>
      </c>
    </row>
    <row r="187">
      <c r="A187" t="n">
        <v>186</v>
      </c>
      <c r="B187" t="inlineStr">
        <is>
          <t>MTR-IOS-0186</t>
        </is>
      </c>
      <c r="C187" t="inlineStr">
        <is>
          <t>iPhone</t>
        </is>
      </c>
      <c r="D187" t="inlineStr">
        <is>
          <t>Business</t>
        </is>
      </c>
      <c r="E187" t="inlineStr">
        <is>
          <t>Business</t>
        </is>
      </c>
      <c r="F187" t="inlineStr">
        <is>
          <t>Business Operations</t>
        </is>
      </c>
      <c r="G187" t="inlineStr">
        <is>
          <t>Vendor</t>
        </is>
      </c>
      <c r="H187" t="inlineStr">
        <is>
          <t>Business &gt; Business Operations &gt; Quick Add &gt; Vendor</t>
        </is>
      </c>
      <c r="I187" s="18" t="n">
        <v>68985.53</v>
      </c>
      <c r="J187" t="inlineStr">
        <is>
          <t>Created MTR-IOS-0186 and correlation note visible in Activity/Pulse</t>
        </is>
      </c>
      <c r="K187" t="inlineStr">
        <is>
          <t>NOT_RUN</t>
        </is>
      </c>
      <c r="P187" t="n">
        <v>0</v>
      </c>
      <c r="Q187" t="n">
        <v>186</v>
      </c>
    </row>
    <row r="188">
      <c r="A188" t="n">
        <v>187</v>
      </c>
      <c r="B188" t="inlineStr">
        <is>
          <t>MTR-IOS-0187</t>
        </is>
      </c>
      <c r="C188" t="inlineStr">
        <is>
          <t>iPhone</t>
        </is>
      </c>
      <c r="D188" t="inlineStr">
        <is>
          <t>Personal</t>
        </is>
      </c>
      <c r="E188" t="inlineStr">
        <is>
          <t>Personal</t>
        </is>
      </c>
      <c r="F188" t="inlineStr">
        <is>
          <t>Lifestyle</t>
        </is>
      </c>
      <c r="G188" t="inlineStr">
        <is>
          <t>Fitness</t>
        </is>
      </c>
      <c r="H188" t="inlineStr">
        <is>
          <t>Personal &gt; Lifestyle &gt; Quick Add &gt; Fitness</t>
        </is>
      </c>
      <c r="I188" s="18" t="n">
        <v>12943.32</v>
      </c>
      <c r="J188" t="inlineStr">
        <is>
          <t>Created MTR-IOS-0187 and correlation note visible in Activity/Pulse</t>
        </is>
      </c>
      <c r="K188" t="inlineStr">
        <is>
          <t>NOT_RUN</t>
        </is>
      </c>
      <c r="P188" t="n">
        <v>0</v>
      </c>
      <c r="Q188" t="n">
        <v>187</v>
      </c>
    </row>
    <row r="189">
      <c r="A189" t="n">
        <v>188</v>
      </c>
      <c r="B189" t="inlineStr">
        <is>
          <t>MTR-IOS-0188</t>
        </is>
      </c>
      <c r="C189" t="inlineStr">
        <is>
          <t>iPhone</t>
        </is>
      </c>
      <c r="D189" t="inlineStr">
        <is>
          <t>Group</t>
        </is>
      </c>
      <c r="E189" t="inlineStr">
        <is>
          <t>Shared Experience</t>
        </is>
      </c>
      <c r="F189" t="inlineStr">
        <is>
          <t>Trip</t>
        </is>
      </c>
      <c r="G189" t="inlineStr">
        <is>
          <t>Activities</t>
        </is>
      </c>
      <c r="H189" t="inlineStr">
        <is>
          <t>Group &gt; Trip &gt; Quick Add &gt; Activities</t>
        </is>
      </c>
      <c r="I189" s="18" t="n">
        <v>7309.68</v>
      </c>
      <c r="J189" t="inlineStr">
        <is>
          <t>Created MTR-IOS-0188 and correlation note visible in Activity/Pulse</t>
        </is>
      </c>
      <c r="K189" t="inlineStr">
        <is>
          <t>NOT_RUN</t>
        </is>
      </c>
      <c r="P189" t="n">
        <v>0</v>
      </c>
      <c r="Q189" t="n">
        <v>188</v>
      </c>
    </row>
    <row r="190">
      <c r="A190" t="n">
        <v>189</v>
      </c>
      <c r="B190" t="inlineStr">
        <is>
          <t>MTR-IOS-0189</t>
        </is>
      </c>
      <c r="C190" t="inlineStr">
        <is>
          <t>iPhone</t>
        </is>
      </c>
      <c r="D190" t="inlineStr">
        <is>
          <t>Business</t>
        </is>
      </c>
      <c r="E190" t="inlineStr">
        <is>
          <t>Business</t>
        </is>
      </c>
      <c r="F190" t="inlineStr">
        <is>
          <t>Business Operations</t>
        </is>
      </c>
      <c r="G190" t="inlineStr">
        <is>
          <t>Tax</t>
        </is>
      </c>
      <c r="H190" t="inlineStr">
        <is>
          <t>Business &gt; Business Operations &gt; Quick Add &gt; Tax</t>
        </is>
      </c>
      <c r="I190" s="18" t="n">
        <v>49872.54</v>
      </c>
      <c r="J190" t="inlineStr">
        <is>
          <t>Created MTR-IOS-0189 and correlation note visible in Activity/Pulse</t>
        </is>
      </c>
      <c r="K190" t="inlineStr">
        <is>
          <t>NOT_RUN</t>
        </is>
      </c>
      <c r="P190" t="n">
        <v>0</v>
      </c>
      <c r="Q190" t="n">
        <v>189</v>
      </c>
    </row>
    <row r="191">
      <c r="A191" t="n">
        <v>190</v>
      </c>
      <c r="B191" t="inlineStr">
        <is>
          <t>MTR-IOS-0190</t>
        </is>
      </c>
      <c r="C191" t="inlineStr">
        <is>
          <t>iPhone</t>
        </is>
      </c>
      <c r="D191" t="inlineStr">
        <is>
          <t>Personal</t>
        </is>
      </c>
      <c r="E191" t="inlineStr">
        <is>
          <t>Personal</t>
        </is>
      </c>
      <c r="F191" t="inlineStr">
        <is>
          <t>Lifestyle</t>
        </is>
      </c>
      <c r="G191" t="inlineStr">
        <is>
          <t>Hobbies</t>
        </is>
      </c>
      <c r="H191" t="inlineStr">
        <is>
          <t>Personal &gt; Lifestyle &gt; Quick Add &gt; Hobbies</t>
        </is>
      </c>
      <c r="I191" s="18" t="n">
        <v>11527</v>
      </c>
      <c r="J191" t="inlineStr">
        <is>
          <t>Created MTR-IOS-0190 and correlation note visible in Activity/Pulse</t>
        </is>
      </c>
      <c r="K191" t="inlineStr">
        <is>
          <t>NOT_RUN</t>
        </is>
      </c>
      <c r="P191" t="n">
        <v>0</v>
      </c>
      <c r="Q191" t="n">
        <v>190</v>
      </c>
    </row>
    <row r="192">
      <c r="A192" t="n">
        <v>191</v>
      </c>
      <c r="B192" t="inlineStr">
        <is>
          <t>MTR-IOS-0191</t>
        </is>
      </c>
      <c r="C192" t="inlineStr">
        <is>
          <t>iPhone</t>
        </is>
      </c>
      <c r="D192" t="inlineStr">
        <is>
          <t>Group</t>
        </is>
      </c>
      <c r="E192" t="inlineStr">
        <is>
          <t>Shared Experience</t>
        </is>
      </c>
      <c r="F192" t="inlineStr">
        <is>
          <t>Trip</t>
        </is>
      </c>
      <c r="G192" t="inlineStr">
        <is>
          <t>Shopping</t>
        </is>
      </c>
      <c r="H192" t="inlineStr">
        <is>
          <t>Group &gt; Trip &gt; Quick Add &gt; Shopping</t>
        </is>
      </c>
      <c r="I192" s="18" t="n">
        <v>17401.75</v>
      </c>
      <c r="J192" t="inlineStr">
        <is>
          <t>Created MTR-IOS-0191 and correlation note visible in Activity/Pulse</t>
        </is>
      </c>
      <c r="K192" t="inlineStr">
        <is>
          <t>NOT_RUN</t>
        </is>
      </c>
      <c r="P192" t="n">
        <v>0</v>
      </c>
      <c r="Q192" t="n">
        <v>191</v>
      </c>
    </row>
    <row r="193">
      <c r="A193" t="n">
        <v>192</v>
      </c>
      <c r="B193" t="inlineStr">
        <is>
          <t>MTR-IOS-0192</t>
        </is>
      </c>
      <c r="C193" t="inlineStr">
        <is>
          <t>iPhone</t>
        </is>
      </c>
      <c r="D193" t="inlineStr">
        <is>
          <t>Business</t>
        </is>
      </c>
      <c r="E193" t="inlineStr">
        <is>
          <t>Business</t>
        </is>
      </c>
      <c r="F193" t="inlineStr">
        <is>
          <t>Team Operations</t>
        </is>
      </c>
      <c r="G193" t="inlineStr">
        <is>
          <t>Payroll</t>
        </is>
      </c>
      <c r="H193" t="inlineStr">
        <is>
          <t>Business &gt; Team Operations &gt; Quick Add &gt; Payroll</t>
        </is>
      </c>
      <c r="I193" s="18" t="n">
        <v>112911.32</v>
      </c>
      <c r="J193" t="inlineStr">
        <is>
          <t>Created MTR-IOS-0192 and correlation note visible in Activity/Pulse</t>
        </is>
      </c>
      <c r="K193" t="inlineStr">
        <is>
          <t>NOT_RUN</t>
        </is>
      </c>
      <c r="P193" t="n">
        <v>0</v>
      </c>
      <c r="Q193" t="n">
        <v>192</v>
      </c>
    </row>
    <row r="194">
      <c r="A194" t="n">
        <v>193</v>
      </c>
      <c r="B194" t="inlineStr">
        <is>
          <t>MTR-IOS-0193</t>
        </is>
      </c>
      <c r="C194" t="inlineStr">
        <is>
          <t>iPhone</t>
        </is>
      </c>
      <c r="D194" t="inlineStr">
        <is>
          <t>Personal</t>
        </is>
      </c>
      <c r="E194" t="inlineStr">
        <is>
          <t>Personal</t>
        </is>
      </c>
      <c r="F194" t="inlineStr">
        <is>
          <t>Relationships</t>
        </is>
      </c>
      <c r="G194" t="inlineStr">
        <is>
          <t>Gifts</t>
        </is>
      </c>
      <c r="H194" t="inlineStr">
        <is>
          <t>Personal &gt; Relationships &gt; Quick Add &gt; Gifts</t>
        </is>
      </c>
      <c r="I194" s="18" t="n">
        <v>11696.22</v>
      </c>
      <c r="J194" t="inlineStr">
        <is>
          <t>Created MTR-IOS-0193 and correlation note visible in Activity/Pulse</t>
        </is>
      </c>
      <c r="K194" t="inlineStr">
        <is>
          <t>NOT_RUN</t>
        </is>
      </c>
      <c r="P194" t="n">
        <v>0</v>
      </c>
      <c r="Q194" t="n">
        <v>193</v>
      </c>
    </row>
    <row r="195">
      <c r="A195" t="n">
        <v>194</v>
      </c>
      <c r="B195" t="inlineStr">
        <is>
          <t>MTR-IOS-0194</t>
        </is>
      </c>
      <c r="C195" t="inlineStr">
        <is>
          <t>iPhone</t>
        </is>
      </c>
      <c r="D195" t="inlineStr">
        <is>
          <t>Group</t>
        </is>
      </c>
      <c r="E195" t="inlineStr">
        <is>
          <t>Shared Experience</t>
        </is>
      </c>
      <c r="F195" t="inlineStr">
        <is>
          <t>Trip</t>
        </is>
      </c>
      <c r="G195" t="inlineStr">
        <is>
          <t>Other</t>
        </is>
      </c>
      <c r="H195" t="inlineStr">
        <is>
          <t>Group &gt; Trip &gt; Quick Add &gt; Other</t>
        </is>
      </c>
      <c r="I195" s="18" t="n">
        <v>11110.31</v>
      </c>
      <c r="J195" t="inlineStr">
        <is>
          <t>Created MTR-IOS-0194 and correlation note visible in Activity/Pulse</t>
        </is>
      </c>
      <c r="K195" t="inlineStr">
        <is>
          <t>NOT_RUN</t>
        </is>
      </c>
      <c r="P195" t="n">
        <v>0</v>
      </c>
      <c r="Q195" t="n">
        <v>194</v>
      </c>
    </row>
    <row r="196">
      <c r="A196" t="n">
        <v>195</v>
      </c>
      <c r="B196" t="inlineStr">
        <is>
          <t>MTR-IOS-0195</t>
        </is>
      </c>
      <c r="C196" t="inlineStr">
        <is>
          <t>iPhone</t>
        </is>
      </c>
      <c r="D196" t="inlineStr">
        <is>
          <t>Business</t>
        </is>
      </c>
      <c r="E196" t="inlineStr">
        <is>
          <t>Business</t>
        </is>
      </c>
      <c r="F196" t="inlineStr">
        <is>
          <t>Team Operations</t>
        </is>
      </c>
      <c r="G196" t="inlineStr">
        <is>
          <t>Contractor</t>
        </is>
      </c>
      <c r="H196" t="inlineStr">
        <is>
          <t>Business &gt; Team Operations &gt; Quick Add &gt; Contractor</t>
        </is>
      </c>
      <c r="I196" s="18" t="n">
        <v>18718.25</v>
      </c>
      <c r="J196" t="inlineStr">
        <is>
          <t>Created MTR-IOS-0195 and correlation note visible in Activity/Pulse</t>
        </is>
      </c>
      <c r="K196" t="inlineStr">
        <is>
          <t>NOT_RUN</t>
        </is>
      </c>
      <c r="P196" t="n">
        <v>0</v>
      </c>
      <c r="Q196" t="n">
        <v>195</v>
      </c>
    </row>
    <row r="197">
      <c r="A197" t="n">
        <v>196</v>
      </c>
      <c r="B197" t="inlineStr">
        <is>
          <t>MTR-IOS-0196</t>
        </is>
      </c>
      <c r="C197" t="inlineStr">
        <is>
          <t>iPhone</t>
        </is>
      </c>
      <c r="D197" t="inlineStr">
        <is>
          <t>Personal</t>
        </is>
      </c>
      <c r="E197" t="inlineStr">
        <is>
          <t>Personal</t>
        </is>
      </c>
      <c r="F197" t="inlineStr">
        <is>
          <t>Relationships</t>
        </is>
      </c>
      <c r="G197" t="inlineStr">
        <is>
          <t>Dates</t>
        </is>
      </c>
      <c r="H197" t="inlineStr">
        <is>
          <t>Personal &gt; Relationships &gt; Quick Add &gt; Dates</t>
        </is>
      </c>
      <c r="I197" s="18" t="n">
        <v>17565</v>
      </c>
      <c r="J197" t="inlineStr">
        <is>
          <t>Created MTR-IOS-0196 and correlation note visible in Activity/Pulse</t>
        </is>
      </c>
      <c r="K197" t="inlineStr">
        <is>
          <t>NOT_RUN</t>
        </is>
      </c>
      <c r="P197" t="n">
        <v>0</v>
      </c>
      <c r="Q197" t="n">
        <v>196</v>
      </c>
    </row>
    <row r="198">
      <c r="A198" t="n">
        <v>197</v>
      </c>
      <c r="B198" t="inlineStr">
        <is>
          <t>MTR-IOS-0197</t>
        </is>
      </c>
      <c r="C198" t="inlineStr">
        <is>
          <t>iPhone</t>
        </is>
      </c>
      <c r="D198" t="inlineStr">
        <is>
          <t>Group</t>
        </is>
      </c>
      <c r="E198" t="inlineStr">
        <is>
          <t>Shared Experience</t>
        </is>
      </c>
      <c r="F198" t="inlineStr">
        <is>
          <t>Wedding</t>
        </is>
      </c>
      <c r="G198" t="inlineStr">
        <is>
          <t>Venue</t>
        </is>
      </c>
      <c r="H198" t="inlineStr">
        <is>
          <t>Group &gt; Wedding &gt; Quick Add &gt; Venue</t>
        </is>
      </c>
      <c r="I198" s="18" t="n">
        <v>3385.73</v>
      </c>
      <c r="J198" t="inlineStr">
        <is>
          <t>Created MTR-IOS-0197 and correlation note visible in Activity/Pulse</t>
        </is>
      </c>
      <c r="K198" t="inlineStr">
        <is>
          <t>NOT_RUN</t>
        </is>
      </c>
      <c r="P198" t="n">
        <v>0</v>
      </c>
      <c r="Q198" t="n">
        <v>197</v>
      </c>
    </row>
    <row r="199">
      <c r="A199" t="n">
        <v>198</v>
      </c>
      <c r="B199" t="inlineStr">
        <is>
          <t>MTR-IOS-0198</t>
        </is>
      </c>
      <c r="C199" t="inlineStr">
        <is>
          <t>iPhone</t>
        </is>
      </c>
      <c r="D199" t="inlineStr">
        <is>
          <t>Business</t>
        </is>
      </c>
      <c r="E199" t="inlineStr">
        <is>
          <t>Business</t>
        </is>
      </c>
      <c r="F199" t="inlineStr">
        <is>
          <t>Team Operations</t>
        </is>
      </c>
      <c r="G199" t="inlineStr">
        <is>
          <t>Hiring</t>
        </is>
      </c>
      <c r="H199" t="inlineStr">
        <is>
          <t>Business &gt; Team Operations &gt; Quick Add &gt; Hiring</t>
        </is>
      </c>
      <c r="I199" s="18" t="n">
        <v>65142.73</v>
      </c>
      <c r="J199" t="inlineStr">
        <is>
          <t>Created MTR-IOS-0198 and correlation note visible in Activity/Pulse</t>
        </is>
      </c>
      <c r="K199" t="inlineStr">
        <is>
          <t>NOT_RUN</t>
        </is>
      </c>
      <c r="P199" t="n">
        <v>0</v>
      </c>
      <c r="Q199" t="n">
        <v>198</v>
      </c>
    </row>
    <row r="200">
      <c r="A200" t="n">
        <v>199</v>
      </c>
      <c r="B200" t="inlineStr">
        <is>
          <t>MTR-IOS-0199</t>
        </is>
      </c>
      <c r="C200" t="inlineStr">
        <is>
          <t>iPhone</t>
        </is>
      </c>
      <c r="D200" t="inlineStr">
        <is>
          <t>Personal</t>
        </is>
      </c>
      <c r="E200" t="inlineStr">
        <is>
          <t>Personal</t>
        </is>
      </c>
      <c r="F200" t="inlineStr">
        <is>
          <t>Relationships</t>
        </is>
      </c>
      <c r="G200" t="inlineStr">
        <is>
          <t>Family</t>
        </is>
      </c>
      <c r="H200" t="inlineStr">
        <is>
          <t>Personal &gt; Relationships &gt; Quick Add &gt; Family</t>
        </is>
      </c>
      <c r="I200" s="18" t="n">
        <v>10432.68</v>
      </c>
      <c r="J200" t="inlineStr">
        <is>
          <t>Created MTR-IOS-0199 and correlation note visible in Activity/Pulse</t>
        </is>
      </c>
      <c r="K200" t="inlineStr">
        <is>
          <t>NOT_RUN</t>
        </is>
      </c>
      <c r="P200" t="n">
        <v>0</v>
      </c>
      <c r="Q200" t="n">
        <v>199</v>
      </c>
    </row>
    <row r="201">
      <c r="A201" t="n">
        <v>200</v>
      </c>
      <c r="B201" t="inlineStr">
        <is>
          <t>MTR-IOS-0200</t>
        </is>
      </c>
      <c r="C201" t="inlineStr">
        <is>
          <t>iPhone</t>
        </is>
      </c>
      <c r="D201" t="inlineStr">
        <is>
          <t>Group</t>
        </is>
      </c>
      <c r="E201" t="inlineStr">
        <is>
          <t>Shared Experience</t>
        </is>
      </c>
      <c r="F201" t="inlineStr">
        <is>
          <t>Wedding</t>
        </is>
      </c>
      <c r="G201" t="inlineStr">
        <is>
          <t>Catering</t>
        </is>
      </c>
      <c r="H201" t="inlineStr">
        <is>
          <t>Group &gt; Wedding &gt; Quick Add &gt; Catering</t>
        </is>
      </c>
      <c r="I201" s="18" t="n">
        <v>9035.43</v>
      </c>
      <c r="J201" t="inlineStr">
        <is>
          <t>Created MTR-IOS-0200 and correlation note visible in Activity/Pulse</t>
        </is>
      </c>
      <c r="K201" t="inlineStr">
        <is>
          <t>NOT_RUN</t>
        </is>
      </c>
      <c r="P201" t="n">
        <v>0</v>
      </c>
      <c r="Q201" t="n">
        <v>200</v>
      </c>
    </row>
    <row r="202">
      <c r="A202" t="n">
        <v>201</v>
      </c>
      <c r="B202" t="inlineStr">
        <is>
          <t>MTR-IOS-0201</t>
        </is>
      </c>
      <c r="C202" t="inlineStr">
        <is>
          <t>iPhone</t>
        </is>
      </c>
      <c r="D202" t="inlineStr">
        <is>
          <t>Business</t>
        </is>
      </c>
      <c r="E202" t="inlineStr">
        <is>
          <t>Business</t>
        </is>
      </c>
      <c r="F202" t="inlineStr">
        <is>
          <t>Team Operations</t>
        </is>
      </c>
      <c r="G202" t="inlineStr">
        <is>
          <t>Team Meal</t>
        </is>
      </c>
      <c r="H202" t="inlineStr">
        <is>
          <t>Business &gt; Team Operations &gt; Quick Add &gt; Team Meal</t>
        </is>
      </c>
      <c r="I202" s="18" t="n">
        <v>29009.96</v>
      </c>
      <c r="J202" t="inlineStr">
        <is>
          <t>Created MTR-IOS-0201 and correlation note visible in Activity/Pulse</t>
        </is>
      </c>
      <c r="K202" t="inlineStr">
        <is>
          <t>NOT_RUN</t>
        </is>
      </c>
      <c r="P202" t="n">
        <v>0</v>
      </c>
      <c r="Q202" t="n">
        <v>201</v>
      </c>
    </row>
    <row r="203">
      <c r="A203" t="n">
        <v>202</v>
      </c>
      <c r="B203" t="inlineStr">
        <is>
          <t>MTR-IOS-0202</t>
        </is>
      </c>
      <c r="C203" t="inlineStr">
        <is>
          <t>iPhone</t>
        </is>
      </c>
      <c r="D203" t="inlineStr">
        <is>
          <t>Personal</t>
        </is>
      </c>
      <c r="E203" t="inlineStr">
        <is>
          <t>Personal</t>
        </is>
      </c>
      <c r="F203" t="inlineStr">
        <is>
          <t>Relationships</t>
        </is>
      </c>
      <c r="G203" t="inlineStr">
        <is>
          <t>Friends</t>
        </is>
      </c>
      <c r="H203" t="inlineStr">
        <is>
          <t>Personal &gt; Relationships &gt; Quick Add &gt; Friends</t>
        </is>
      </c>
      <c r="I203" s="18" t="n">
        <v>4829.67</v>
      </c>
      <c r="J203" t="inlineStr">
        <is>
          <t>Created MTR-IOS-0202 and correlation note visible in Activity/Pulse</t>
        </is>
      </c>
      <c r="K203" t="inlineStr">
        <is>
          <t>NOT_RUN</t>
        </is>
      </c>
      <c r="P203" t="n">
        <v>0</v>
      </c>
      <c r="Q203" t="n">
        <v>202</v>
      </c>
    </row>
    <row r="204">
      <c r="A204" t="n">
        <v>203</v>
      </c>
      <c r="B204" t="inlineStr">
        <is>
          <t>MTR-IOS-0203</t>
        </is>
      </c>
      <c r="C204" t="inlineStr">
        <is>
          <t>iPhone</t>
        </is>
      </c>
      <c r="D204" t="inlineStr">
        <is>
          <t>Group</t>
        </is>
      </c>
      <c r="E204" t="inlineStr">
        <is>
          <t>Shared Experience</t>
        </is>
      </c>
      <c r="F204" t="inlineStr">
        <is>
          <t>Wedding</t>
        </is>
      </c>
      <c r="G204" t="inlineStr">
        <is>
          <t>Decor</t>
        </is>
      </c>
      <c r="H204" t="inlineStr">
        <is>
          <t>Group &gt; Wedding &gt; Quick Add &gt; Decor</t>
        </is>
      </c>
      <c r="I204" s="18" t="n">
        <v>14089.12</v>
      </c>
      <c r="J204" t="inlineStr">
        <is>
          <t>Created MTR-IOS-0203 and correlation note visible in Activity/Pulse</t>
        </is>
      </c>
      <c r="K204" t="inlineStr">
        <is>
          <t>NOT_RUN</t>
        </is>
      </c>
      <c r="P204" t="n">
        <v>0</v>
      </c>
      <c r="Q204" t="n">
        <v>203</v>
      </c>
    </row>
    <row r="205">
      <c r="A205" t="n">
        <v>204</v>
      </c>
      <c r="B205" t="inlineStr">
        <is>
          <t>MTR-IOS-0204</t>
        </is>
      </c>
      <c r="C205" t="inlineStr">
        <is>
          <t>iPhone</t>
        </is>
      </c>
      <c r="D205" t="inlineStr">
        <is>
          <t>Business</t>
        </is>
      </c>
      <c r="E205" t="inlineStr">
        <is>
          <t>Business</t>
        </is>
      </c>
      <c r="F205" t="inlineStr">
        <is>
          <t>Team Operations</t>
        </is>
      </c>
      <c r="G205" t="inlineStr">
        <is>
          <t>Travel</t>
        </is>
      </c>
      <c r="H205" t="inlineStr">
        <is>
          <t>Business &gt; Team Operations &gt; Quick Add &gt; Travel</t>
        </is>
      </c>
      <c r="I205" s="18" t="n">
        <v>141787.26</v>
      </c>
      <c r="J205" t="inlineStr">
        <is>
          <t>Created MTR-IOS-0204 and correlation note visible in Activity/Pulse</t>
        </is>
      </c>
      <c r="K205" t="inlineStr">
        <is>
          <t>NOT_RUN</t>
        </is>
      </c>
      <c r="P205" t="n">
        <v>0</v>
      </c>
      <c r="Q205" t="n">
        <v>204</v>
      </c>
    </row>
    <row r="206">
      <c r="A206" t="n">
        <v>205</v>
      </c>
      <c r="B206" t="inlineStr">
        <is>
          <t>MTR-IOS-0205</t>
        </is>
      </c>
      <c r="C206" t="inlineStr">
        <is>
          <t>iPhone</t>
        </is>
      </c>
      <c r="D206" t="inlineStr">
        <is>
          <t>Personal</t>
        </is>
      </c>
      <c r="E206" t="inlineStr">
        <is>
          <t>Personal</t>
        </is>
      </c>
      <c r="F206" t="inlineStr">
        <is>
          <t>Relationships</t>
        </is>
      </c>
      <c r="G206" t="inlineStr">
        <is>
          <t>Celebrations</t>
        </is>
      </c>
      <c r="H206" t="inlineStr">
        <is>
          <t>Personal &gt; Relationships &gt; Quick Add &gt; Celebrations</t>
        </is>
      </c>
      <c r="I206" s="18" t="n">
        <v>3977.56</v>
      </c>
      <c r="J206" t="inlineStr">
        <is>
          <t>Created MTR-IOS-0205 and correlation note visible in Activity/Pulse</t>
        </is>
      </c>
      <c r="K206" t="inlineStr">
        <is>
          <t>NOT_RUN</t>
        </is>
      </c>
      <c r="P206" t="n">
        <v>0</v>
      </c>
      <c r="Q206" t="n">
        <v>205</v>
      </c>
    </row>
    <row r="207">
      <c r="A207" t="n">
        <v>206</v>
      </c>
      <c r="B207" t="inlineStr">
        <is>
          <t>MTR-IOS-0206</t>
        </is>
      </c>
      <c r="C207" t="inlineStr">
        <is>
          <t>iPhone</t>
        </is>
      </c>
      <c r="D207" t="inlineStr">
        <is>
          <t>Group</t>
        </is>
      </c>
      <c r="E207" t="inlineStr">
        <is>
          <t>Shared Experience</t>
        </is>
      </c>
      <c r="F207" t="inlineStr">
        <is>
          <t>Wedding</t>
        </is>
      </c>
      <c r="G207" t="inlineStr">
        <is>
          <t>Travel</t>
        </is>
      </c>
      <c r="H207" t="inlineStr">
        <is>
          <t>Group &gt; Wedding &gt; Quick Add &gt; Travel</t>
        </is>
      </c>
      <c r="I207" s="18" t="n">
        <v>13925.5</v>
      </c>
      <c r="J207" t="inlineStr">
        <is>
          <t>Created MTR-IOS-0206 and correlation note visible in Activity/Pulse</t>
        </is>
      </c>
      <c r="K207" t="inlineStr">
        <is>
          <t>NOT_RUN</t>
        </is>
      </c>
      <c r="P207" t="n">
        <v>0</v>
      </c>
      <c r="Q207" t="n">
        <v>206</v>
      </c>
    </row>
    <row r="208">
      <c r="A208" t="n">
        <v>207</v>
      </c>
      <c r="B208" t="inlineStr">
        <is>
          <t>MTR-IOS-0207</t>
        </is>
      </c>
      <c r="C208" t="inlineStr">
        <is>
          <t>iPhone</t>
        </is>
      </c>
      <c r="D208" t="inlineStr">
        <is>
          <t>Business</t>
        </is>
      </c>
      <c r="E208" t="inlineStr">
        <is>
          <t>Business</t>
        </is>
      </c>
      <c r="F208" t="inlineStr">
        <is>
          <t>Team Operations</t>
        </is>
      </c>
      <c r="G208" t="inlineStr">
        <is>
          <t>Training</t>
        </is>
      </c>
      <c r="H208" t="inlineStr">
        <is>
          <t>Business &gt; Team Operations &gt; Quick Add &gt; Training</t>
        </is>
      </c>
      <c r="I208" s="18" t="n">
        <v>102659.76</v>
      </c>
      <c r="J208" t="inlineStr">
        <is>
          <t>Created MTR-IOS-0207 and correlation note visible in Activity/Pulse</t>
        </is>
      </c>
      <c r="K208" t="inlineStr">
        <is>
          <t>NOT_RUN</t>
        </is>
      </c>
      <c r="P208" t="n">
        <v>0</v>
      </c>
      <c r="Q208" t="n">
        <v>207</v>
      </c>
    </row>
    <row r="209">
      <c r="A209" t="n">
        <v>208</v>
      </c>
      <c r="B209" t="inlineStr">
        <is>
          <t>MTR-IOS-0208</t>
        </is>
      </c>
      <c r="C209" t="inlineStr">
        <is>
          <t>iPhone</t>
        </is>
      </c>
      <c r="D209" t="inlineStr">
        <is>
          <t>Personal</t>
        </is>
      </c>
      <c r="E209" t="inlineStr">
        <is>
          <t>Personal</t>
        </is>
      </c>
      <c r="F209" t="inlineStr">
        <is>
          <t>Life Operations</t>
        </is>
      </c>
      <c r="G209" t="inlineStr">
        <is>
          <t>Groceries</t>
        </is>
      </c>
      <c r="H209" t="inlineStr">
        <is>
          <t>Personal &gt; Life Operations &gt; Quick Add &gt; Groceries</t>
        </is>
      </c>
      <c r="I209" s="18" t="n">
        <v>10367.13</v>
      </c>
      <c r="J209" t="inlineStr">
        <is>
          <t>Created MTR-IOS-0208 and correlation note visible in Activity/Pulse</t>
        </is>
      </c>
      <c r="K209" t="inlineStr">
        <is>
          <t>NOT_RUN</t>
        </is>
      </c>
      <c r="P209" t="n">
        <v>0</v>
      </c>
      <c r="Q209" t="n">
        <v>208</v>
      </c>
    </row>
    <row r="210">
      <c r="A210" t="n">
        <v>209</v>
      </c>
      <c r="B210" t="inlineStr">
        <is>
          <t>MTR-IOS-0209</t>
        </is>
      </c>
      <c r="C210" t="inlineStr">
        <is>
          <t>iPhone</t>
        </is>
      </c>
      <c r="D210" t="inlineStr">
        <is>
          <t>Group</t>
        </is>
      </c>
      <c r="E210" t="inlineStr">
        <is>
          <t>Shared Experience</t>
        </is>
      </c>
      <c r="F210" t="inlineStr">
        <is>
          <t>Wedding</t>
        </is>
      </c>
      <c r="G210" t="inlineStr">
        <is>
          <t>Gifts</t>
        </is>
      </c>
      <c r="H210" t="inlineStr">
        <is>
          <t>Group &gt; Wedding &gt; Quick Add &gt; Gifts</t>
        </is>
      </c>
      <c r="I210" s="18" t="n">
        <v>26113.74</v>
      </c>
      <c r="J210" t="inlineStr">
        <is>
          <t>Created MTR-IOS-0209 and correlation note visible in Activity/Pulse</t>
        </is>
      </c>
      <c r="K210" t="inlineStr">
        <is>
          <t>NOT_RUN</t>
        </is>
      </c>
      <c r="P210" t="n">
        <v>0</v>
      </c>
      <c r="Q210" t="n">
        <v>209</v>
      </c>
    </row>
    <row r="211">
      <c r="A211" t="n">
        <v>210</v>
      </c>
      <c r="B211" t="inlineStr">
        <is>
          <t>MTR-IOS-0210</t>
        </is>
      </c>
      <c r="C211" t="inlineStr">
        <is>
          <t>iPhone</t>
        </is>
      </c>
      <c r="D211" t="inlineStr">
        <is>
          <t>Business</t>
        </is>
      </c>
      <c r="E211" t="inlineStr">
        <is>
          <t>Business</t>
        </is>
      </c>
      <c r="F211" t="inlineStr">
        <is>
          <t>Team Operations</t>
        </is>
      </c>
      <c r="G211" t="inlineStr">
        <is>
          <t>Tools</t>
        </is>
      </c>
      <c r="H211" t="inlineStr">
        <is>
          <t>Business &gt; Team Operations &gt; Quick Add &gt; Tools</t>
        </is>
      </c>
      <c r="I211" s="18" t="n">
        <v>12020.39</v>
      </c>
      <c r="J211" t="inlineStr">
        <is>
          <t>Created MTR-IOS-0210 and correlation note visible in Activity/Pulse</t>
        </is>
      </c>
      <c r="K211" t="inlineStr">
        <is>
          <t>NOT_RUN</t>
        </is>
      </c>
      <c r="P211" t="n">
        <v>0</v>
      </c>
      <c r="Q211" t="n">
        <v>210</v>
      </c>
    </row>
    <row r="212">
      <c r="A212" t="n">
        <v>211</v>
      </c>
      <c r="B212" t="inlineStr">
        <is>
          <t>MTR-IOS-0211</t>
        </is>
      </c>
      <c r="C212" t="inlineStr">
        <is>
          <t>iPhone</t>
        </is>
      </c>
      <c r="D212" t="inlineStr">
        <is>
          <t>Personal</t>
        </is>
      </c>
      <c r="E212" t="inlineStr">
        <is>
          <t>Personal</t>
        </is>
      </c>
      <c r="F212" t="inlineStr">
        <is>
          <t>Life Operations</t>
        </is>
      </c>
      <c r="G212" t="inlineStr">
        <is>
          <t>Rent</t>
        </is>
      </c>
      <c r="H212" t="inlineStr">
        <is>
          <t>Personal &gt; Life Operations &gt; Quick Add &gt; Rent</t>
        </is>
      </c>
      <c r="I212" s="18" t="n">
        <v>12789.01</v>
      </c>
      <c r="J212" t="inlineStr">
        <is>
          <t>Created MTR-IOS-0211 and correlation note visible in Activity/Pulse</t>
        </is>
      </c>
      <c r="K212" t="inlineStr">
        <is>
          <t>NOT_RUN</t>
        </is>
      </c>
      <c r="P212" t="n">
        <v>0</v>
      </c>
      <c r="Q212" t="n">
        <v>211</v>
      </c>
    </row>
    <row r="213">
      <c r="A213" t="n">
        <v>212</v>
      </c>
      <c r="B213" t="inlineStr">
        <is>
          <t>MTR-IOS-0212</t>
        </is>
      </c>
      <c r="C213" t="inlineStr">
        <is>
          <t>iPhone</t>
        </is>
      </c>
      <c r="D213" t="inlineStr">
        <is>
          <t>Group</t>
        </is>
      </c>
      <c r="E213" t="inlineStr">
        <is>
          <t>Shared Experience</t>
        </is>
      </c>
      <c r="F213" t="inlineStr">
        <is>
          <t>Wedding</t>
        </is>
      </c>
      <c r="G213" t="inlineStr">
        <is>
          <t>Photography</t>
        </is>
      </c>
      <c r="H213" t="inlineStr">
        <is>
          <t>Group &gt; Wedding &gt; Quick Add &gt; Photography</t>
        </is>
      </c>
      <c r="I213" s="18" t="n">
        <v>338.55</v>
      </c>
      <c r="J213" t="inlineStr">
        <is>
          <t>Created MTR-IOS-0212 and correlation note visible in Activity/Pulse</t>
        </is>
      </c>
      <c r="K213" t="inlineStr">
        <is>
          <t>NOT_RUN</t>
        </is>
      </c>
      <c r="P213" t="n">
        <v>0</v>
      </c>
      <c r="Q213" t="n">
        <v>212</v>
      </c>
    </row>
    <row r="214">
      <c r="A214" t="n">
        <v>213</v>
      </c>
      <c r="B214" t="inlineStr">
        <is>
          <t>MTR-IOS-0213</t>
        </is>
      </c>
      <c r="C214" t="inlineStr">
        <is>
          <t>iPhone</t>
        </is>
      </c>
      <c r="D214" t="inlineStr">
        <is>
          <t>Business</t>
        </is>
      </c>
      <c r="E214" t="inlineStr">
        <is>
          <t>Business</t>
        </is>
      </c>
      <c r="F214" t="inlineStr">
        <is>
          <t>Business Runway</t>
        </is>
      </c>
      <c r="G214" t="inlineStr">
        <is>
          <t>Funding</t>
        </is>
      </c>
      <c r="H214" t="inlineStr">
        <is>
          <t>Business &gt; Business Runway &gt; Quick Add &gt; Funding</t>
        </is>
      </c>
      <c r="I214" s="18" t="n">
        <v>150823.97</v>
      </c>
      <c r="J214" t="inlineStr">
        <is>
          <t>Created MTR-IOS-0213 and correlation note visible in Activity/Pulse</t>
        </is>
      </c>
      <c r="K214" t="inlineStr">
        <is>
          <t>NOT_RUN</t>
        </is>
      </c>
      <c r="P214" t="n">
        <v>0</v>
      </c>
      <c r="Q214" t="n">
        <v>213</v>
      </c>
    </row>
    <row r="215">
      <c r="A215" t="n">
        <v>214</v>
      </c>
      <c r="B215" t="inlineStr">
        <is>
          <t>MTR-IOS-0214</t>
        </is>
      </c>
      <c r="C215" t="inlineStr">
        <is>
          <t>iPhone</t>
        </is>
      </c>
      <c r="D215" t="inlineStr">
        <is>
          <t>Personal</t>
        </is>
      </c>
      <c r="E215" t="inlineStr">
        <is>
          <t>Personal</t>
        </is>
      </c>
      <c r="F215" t="inlineStr">
        <is>
          <t>Life Operations</t>
        </is>
      </c>
      <c r="G215" t="inlineStr">
        <is>
          <t>Bills</t>
        </is>
      </c>
      <c r="H215" t="inlineStr">
        <is>
          <t>Personal &gt; Life Operations &gt; Quick Add &gt; Bills</t>
        </is>
      </c>
      <c r="I215" s="18" t="n">
        <v>6142.84</v>
      </c>
      <c r="J215" t="inlineStr">
        <is>
          <t>Created MTR-IOS-0214 and correlation note visible in Activity/Pulse</t>
        </is>
      </c>
      <c r="K215" t="inlineStr">
        <is>
          <t>NOT_RUN</t>
        </is>
      </c>
      <c r="P215" t="n">
        <v>0</v>
      </c>
      <c r="Q215" t="n">
        <v>214</v>
      </c>
    </row>
    <row r="216">
      <c r="A216" t="n">
        <v>215</v>
      </c>
      <c r="B216" t="inlineStr">
        <is>
          <t>MTR-IOS-0215</t>
        </is>
      </c>
      <c r="C216" t="inlineStr">
        <is>
          <t>iPhone</t>
        </is>
      </c>
      <c r="D216" t="inlineStr">
        <is>
          <t>Group</t>
        </is>
      </c>
      <c r="E216" t="inlineStr">
        <is>
          <t>Shared Experience</t>
        </is>
      </c>
      <c r="F216" t="inlineStr">
        <is>
          <t>Wedding</t>
        </is>
      </c>
      <c r="G216" t="inlineStr">
        <is>
          <t>Other</t>
        </is>
      </c>
      <c r="H216" t="inlineStr">
        <is>
          <t>Group &gt; Wedding &gt; Quick Add &gt; Other</t>
        </is>
      </c>
      <c r="I216" s="18" t="n">
        <v>24110.99</v>
      </c>
      <c r="J216" t="inlineStr">
        <is>
          <t>Created MTR-IOS-0215 and correlation note visible in Activity/Pulse</t>
        </is>
      </c>
      <c r="K216" t="inlineStr">
        <is>
          <t>NOT_RUN</t>
        </is>
      </c>
      <c r="P216" t="n">
        <v>0</v>
      </c>
      <c r="Q216" t="n">
        <v>215</v>
      </c>
    </row>
    <row r="217">
      <c r="A217" t="n">
        <v>216</v>
      </c>
      <c r="B217" t="inlineStr">
        <is>
          <t>MTR-IOS-0216</t>
        </is>
      </c>
      <c r="C217" t="inlineStr">
        <is>
          <t>iPhone</t>
        </is>
      </c>
      <c r="D217" t="inlineStr">
        <is>
          <t>Business</t>
        </is>
      </c>
      <c r="E217" t="inlineStr">
        <is>
          <t>Business</t>
        </is>
      </c>
      <c r="F217" t="inlineStr">
        <is>
          <t>Business Runway</t>
        </is>
      </c>
      <c r="G217" t="inlineStr">
        <is>
          <t>Revenue</t>
        </is>
      </c>
      <c r="H217" t="inlineStr">
        <is>
          <t>Business &gt; Business Runway &gt; Quick Add &gt; Revenue</t>
        </is>
      </c>
      <c r="I217" s="18" t="n">
        <v>71822.89999999999</v>
      </c>
      <c r="J217" t="inlineStr">
        <is>
          <t>Created MTR-IOS-0216 and correlation note visible in Activity/Pulse</t>
        </is>
      </c>
      <c r="K217" t="inlineStr">
        <is>
          <t>NOT_RUN</t>
        </is>
      </c>
      <c r="P217" t="n">
        <v>0</v>
      </c>
      <c r="Q217" t="n">
        <v>216</v>
      </c>
    </row>
    <row r="218">
      <c r="A218" t="n">
        <v>217</v>
      </c>
      <c r="B218" t="inlineStr">
        <is>
          <t>MTR-IOS-0217</t>
        </is>
      </c>
      <c r="C218" t="inlineStr">
        <is>
          <t>iPhone</t>
        </is>
      </c>
      <c r="D218" t="inlineStr">
        <is>
          <t>Personal</t>
        </is>
      </c>
      <c r="E218" t="inlineStr">
        <is>
          <t>Personal</t>
        </is>
      </c>
      <c r="F218" t="inlineStr">
        <is>
          <t>Life Operations</t>
        </is>
      </c>
      <c r="G218" t="inlineStr">
        <is>
          <t>Transport</t>
        </is>
      </c>
      <c r="H218" t="inlineStr">
        <is>
          <t>Personal &gt; Life Operations &gt; Quick Add &gt; Transport</t>
        </is>
      </c>
      <c r="I218" s="18" t="n">
        <v>932.99</v>
      </c>
      <c r="J218" t="inlineStr">
        <is>
          <t>Created MTR-IOS-0217 and correlation note visible in Activity/Pulse</t>
        </is>
      </c>
      <c r="K218" t="inlineStr">
        <is>
          <t>NOT_RUN</t>
        </is>
      </c>
      <c r="P218" t="n">
        <v>0</v>
      </c>
      <c r="Q218" t="n">
        <v>217</v>
      </c>
    </row>
    <row r="219">
      <c r="A219" t="n">
        <v>218</v>
      </c>
      <c r="B219" t="inlineStr">
        <is>
          <t>MTR-IOS-0218</t>
        </is>
      </c>
      <c r="C219" t="inlineStr">
        <is>
          <t>iPhone</t>
        </is>
      </c>
      <c r="D219" t="inlineStr">
        <is>
          <t>Group</t>
        </is>
      </c>
      <c r="E219" t="inlineStr">
        <is>
          <t>Shared Experience</t>
        </is>
      </c>
      <c r="F219" t="inlineStr">
        <is>
          <t>Office Outing</t>
        </is>
      </c>
      <c r="G219" t="inlineStr">
        <is>
          <t>Food</t>
        </is>
      </c>
      <c r="H219" t="inlineStr">
        <is>
          <t>Group &gt; Office Outing &gt; Quick Add &gt; Food</t>
        </is>
      </c>
      <c r="I219" s="18" t="n">
        <v>13122.27</v>
      </c>
      <c r="J219" t="inlineStr">
        <is>
          <t>Created MTR-IOS-0218 and correlation note visible in Activity/Pulse</t>
        </is>
      </c>
      <c r="K219" t="inlineStr">
        <is>
          <t>NOT_RUN</t>
        </is>
      </c>
      <c r="P219" t="n">
        <v>0</v>
      </c>
      <c r="Q219" t="n">
        <v>218</v>
      </c>
    </row>
    <row r="220">
      <c r="A220" t="n">
        <v>219</v>
      </c>
      <c r="B220" t="inlineStr">
        <is>
          <t>MTR-IOS-0219</t>
        </is>
      </c>
      <c r="C220" t="inlineStr">
        <is>
          <t>iPhone</t>
        </is>
      </c>
      <c r="D220" t="inlineStr">
        <is>
          <t>Business</t>
        </is>
      </c>
      <c r="E220" t="inlineStr">
        <is>
          <t>Business</t>
        </is>
      </c>
      <c r="F220" t="inlineStr">
        <is>
          <t>Business Runway</t>
        </is>
      </c>
      <c r="G220" t="inlineStr">
        <is>
          <t>Burn</t>
        </is>
      </c>
      <c r="H220" t="inlineStr">
        <is>
          <t>Business &gt; Business Runway &gt; Quick Add &gt; Burn</t>
        </is>
      </c>
      <c r="I220" s="18" t="n">
        <v>36982.47</v>
      </c>
      <c r="J220" t="inlineStr">
        <is>
          <t>Created MTR-IOS-0219 and correlation note visible in Activity/Pulse</t>
        </is>
      </c>
      <c r="K220" t="inlineStr">
        <is>
          <t>NOT_RUN</t>
        </is>
      </c>
      <c r="P220" t="n">
        <v>0</v>
      </c>
      <c r="Q220" t="n">
        <v>219</v>
      </c>
    </row>
    <row r="221">
      <c r="A221" t="n">
        <v>220</v>
      </c>
      <c r="B221" t="inlineStr">
        <is>
          <t>MTR-IOS-0220</t>
        </is>
      </c>
      <c r="C221" t="inlineStr">
        <is>
          <t>iPhone</t>
        </is>
      </c>
      <c r="D221" t="inlineStr">
        <is>
          <t>Personal</t>
        </is>
      </c>
      <c r="E221" t="inlineStr">
        <is>
          <t>Personal</t>
        </is>
      </c>
      <c r="F221" t="inlineStr">
        <is>
          <t>Life Operations</t>
        </is>
      </c>
      <c r="G221" t="inlineStr">
        <is>
          <t>Healthcare</t>
        </is>
      </c>
      <c r="H221" t="inlineStr">
        <is>
          <t>Personal &gt; Life Operations &gt; Quick Add &gt; Healthcare</t>
        </is>
      </c>
      <c r="I221" s="18" t="n">
        <v>2377.65</v>
      </c>
      <c r="J221" t="inlineStr">
        <is>
          <t>Created MTR-IOS-0220 and correlation note visible in Activity/Pulse</t>
        </is>
      </c>
      <c r="K221" t="inlineStr">
        <is>
          <t>NOT_RUN</t>
        </is>
      </c>
      <c r="P221" t="n">
        <v>0</v>
      </c>
      <c r="Q221" t="n">
        <v>220</v>
      </c>
    </row>
    <row r="222">
      <c r="A222" t="n">
        <v>221</v>
      </c>
      <c r="B222" t="inlineStr">
        <is>
          <t>MTR-IOS-0221</t>
        </is>
      </c>
      <c r="C222" t="inlineStr">
        <is>
          <t>iPhone</t>
        </is>
      </c>
      <c r="D222" t="inlineStr">
        <is>
          <t>Group</t>
        </is>
      </c>
      <c r="E222" t="inlineStr">
        <is>
          <t>Shared Experience</t>
        </is>
      </c>
      <c r="F222" t="inlineStr">
        <is>
          <t>Office Outing</t>
        </is>
      </c>
      <c r="G222" t="inlineStr">
        <is>
          <t>Travel</t>
        </is>
      </c>
      <c r="H222" t="inlineStr">
        <is>
          <t>Group &gt; Office Outing &gt; Quick Add &gt; Travel</t>
        </is>
      </c>
      <c r="I222" s="18" t="n">
        <v>24244.95</v>
      </c>
      <c r="J222" t="inlineStr">
        <is>
          <t>Created MTR-IOS-0221 and correlation note visible in Activity/Pulse</t>
        </is>
      </c>
      <c r="K222" t="inlineStr">
        <is>
          <t>NOT_RUN</t>
        </is>
      </c>
      <c r="P222" t="n">
        <v>0</v>
      </c>
      <c r="Q222" t="n">
        <v>221</v>
      </c>
    </row>
    <row r="223">
      <c r="A223" t="n">
        <v>222</v>
      </c>
      <c r="B223" t="inlineStr">
        <is>
          <t>MTR-IOS-0222</t>
        </is>
      </c>
      <c r="C223" t="inlineStr">
        <is>
          <t>iPhone</t>
        </is>
      </c>
      <c r="D223" t="inlineStr">
        <is>
          <t>Business</t>
        </is>
      </c>
      <c r="E223" t="inlineStr">
        <is>
          <t>Business</t>
        </is>
      </c>
      <c r="F223" t="inlineStr">
        <is>
          <t>Business Runway</t>
        </is>
      </c>
      <c r="G223" t="inlineStr">
        <is>
          <t>Reserve</t>
        </is>
      </c>
      <c r="H223" t="inlineStr">
        <is>
          <t>Business &gt; Business Runway &gt; Quick Add &gt; Reserve</t>
        </is>
      </c>
      <c r="I223" s="18" t="n">
        <v>0.01</v>
      </c>
      <c r="J223" t="inlineStr">
        <is>
          <t>Created MTR-IOS-0222 and correlation note visible in Activity/Pulse</t>
        </is>
      </c>
      <c r="K223" t="inlineStr">
        <is>
          <t>NOT_RUN</t>
        </is>
      </c>
      <c r="P223" t="n">
        <v>0</v>
      </c>
      <c r="Q223" t="n">
        <v>222</v>
      </c>
    </row>
    <row r="224">
      <c r="A224" t="n">
        <v>223</v>
      </c>
      <c r="B224" t="inlineStr">
        <is>
          <t>MTR-IOS-0223</t>
        </is>
      </c>
      <c r="C224" t="inlineStr">
        <is>
          <t>iPhone</t>
        </is>
      </c>
      <c r="D224" t="inlineStr">
        <is>
          <t>Personal</t>
        </is>
      </c>
      <c r="E224" t="inlineStr">
        <is>
          <t>Personal</t>
        </is>
      </c>
      <c r="F224" t="inlineStr">
        <is>
          <t>Life Operations</t>
        </is>
      </c>
      <c r="G224" t="inlineStr">
        <is>
          <t>Subscriptions</t>
        </is>
      </c>
      <c r="H224" t="inlineStr">
        <is>
          <t>Personal &gt; Life Operations &gt; Quick Add &gt; Subscriptions</t>
        </is>
      </c>
      <c r="I224" s="18" t="n">
        <v>9357.82</v>
      </c>
      <c r="J224" t="inlineStr">
        <is>
          <t>Created MTR-IOS-0223 and correlation note visible in Activity/Pulse</t>
        </is>
      </c>
      <c r="K224" t="inlineStr">
        <is>
          <t>NOT_RUN</t>
        </is>
      </c>
      <c r="P224" t="n">
        <v>0</v>
      </c>
      <c r="Q224" t="n">
        <v>223</v>
      </c>
    </row>
    <row r="225">
      <c r="A225" t="n">
        <v>224</v>
      </c>
      <c r="B225" t="inlineStr">
        <is>
          <t>MTR-IOS-0224</t>
        </is>
      </c>
      <c r="C225" t="inlineStr">
        <is>
          <t>iPhone</t>
        </is>
      </c>
      <c r="D225" t="inlineStr">
        <is>
          <t>Group</t>
        </is>
      </c>
      <c r="E225" t="inlineStr">
        <is>
          <t>Shared Experience</t>
        </is>
      </c>
      <c r="F225" t="inlineStr">
        <is>
          <t>Office Outing</t>
        </is>
      </c>
      <c r="G225" t="inlineStr">
        <is>
          <t>Activities</t>
        </is>
      </c>
      <c r="H225" t="inlineStr">
        <is>
          <t>Group &gt; Office Outing &gt; Quick Add &gt; Activities</t>
        </is>
      </c>
      <c r="I225" s="18" t="n">
        <v>4140.64</v>
      </c>
      <c r="J225" t="inlineStr">
        <is>
          <t>Created MTR-IOS-0224 and correlation note visible in Activity/Pulse</t>
        </is>
      </c>
      <c r="K225" t="inlineStr">
        <is>
          <t>NOT_RUN</t>
        </is>
      </c>
      <c r="P225" t="n">
        <v>0</v>
      </c>
      <c r="Q225" t="n">
        <v>224</v>
      </c>
    </row>
    <row r="226">
      <c r="A226" t="n">
        <v>225</v>
      </c>
      <c r="B226" t="inlineStr">
        <is>
          <t>MTR-IOS-0225</t>
        </is>
      </c>
      <c r="C226" t="inlineStr">
        <is>
          <t>iPhone</t>
        </is>
      </c>
      <c r="D226" t="inlineStr">
        <is>
          <t>Business</t>
        </is>
      </c>
      <c r="E226" t="inlineStr">
        <is>
          <t>Business</t>
        </is>
      </c>
      <c r="F226" t="inlineStr">
        <is>
          <t>Business Runway</t>
        </is>
      </c>
      <c r="G226" t="inlineStr">
        <is>
          <t>Loan</t>
        </is>
      </c>
      <c r="H226" t="inlineStr">
        <is>
          <t>Business &gt; Business Runway &gt; Quick Add &gt; Loan</t>
        </is>
      </c>
      <c r="I226" s="18" t="n">
        <v>30702.93</v>
      </c>
      <c r="J226" t="inlineStr">
        <is>
          <t>Created MTR-IOS-0225 and correlation note visible in Activity/Pulse</t>
        </is>
      </c>
      <c r="K226" t="inlineStr">
        <is>
          <t>NOT_RUN</t>
        </is>
      </c>
      <c r="P226" t="n">
        <v>0</v>
      </c>
      <c r="Q226" t="n">
        <v>225</v>
      </c>
    </row>
    <row r="227">
      <c r="A227" t="n">
        <v>226</v>
      </c>
      <c r="B227" t="inlineStr">
        <is>
          <t>MTR-IOS-0226</t>
        </is>
      </c>
      <c r="C227" t="inlineStr">
        <is>
          <t>iPhone</t>
        </is>
      </c>
      <c r="D227" t="inlineStr">
        <is>
          <t>Personal</t>
        </is>
      </c>
      <c r="E227" t="inlineStr">
        <is>
          <t>Personal</t>
        </is>
      </c>
      <c r="F227" t="inlineStr">
        <is>
          <t>Life Operations</t>
        </is>
      </c>
      <c r="G227" t="inlineStr">
        <is>
          <t>Repairs</t>
        </is>
      </c>
      <c r="H227" t="inlineStr">
        <is>
          <t>Personal &gt; Life Operations &gt; Quick Add &gt; Repairs</t>
        </is>
      </c>
      <c r="I227" s="18" t="n">
        <v>4389.78</v>
      </c>
      <c r="J227" t="inlineStr">
        <is>
          <t>Created MTR-IOS-0226 and correlation note visible in Activity/Pulse</t>
        </is>
      </c>
      <c r="K227" t="inlineStr">
        <is>
          <t>NOT_RUN</t>
        </is>
      </c>
      <c r="P227" t="n">
        <v>0</v>
      </c>
      <c r="Q227" t="n">
        <v>226</v>
      </c>
    </row>
    <row r="228">
      <c r="A228" t="n">
        <v>227</v>
      </c>
      <c r="B228" t="inlineStr">
        <is>
          <t>MTR-IOS-0227</t>
        </is>
      </c>
      <c r="C228" t="inlineStr">
        <is>
          <t>iPhone</t>
        </is>
      </c>
      <c r="D228" t="inlineStr">
        <is>
          <t>Group</t>
        </is>
      </c>
      <c r="E228" t="inlineStr">
        <is>
          <t>Shared Experience</t>
        </is>
      </c>
      <c r="F228" t="inlineStr">
        <is>
          <t>Office Outing</t>
        </is>
      </c>
      <c r="G228" t="inlineStr">
        <is>
          <t>Venue</t>
        </is>
      </c>
      <c r="H228" t="inlineStr">
        <is>
          <t>Group &gt; Office Outing &gt; Quick Add &gt; Venue</t>
        </is>
      </c>
      <c r="I228" s="18" t="n">
        <v>25883.88</v>
      </c>
      <c r="J228" t="inlineStr">
        <is>
          <t>Created MTR-IOS-0227 and correlation note visible in Activity/Pulse</t>
        </is>
      </c>
      <c r="K228" t="inlineStr">
        <is>
          <t>NOT_RUN</t>
        </is>
      </c>
      <c r="P228" t="n">
        <v>0</v>
      </c>
      <c r="Q228" t="n">
        <v>227</v>
      </c>
    </row>
    <row r="229">
      <c r="A229" t="n">
        <v>228</v>
      </c>
      <c r="B229" t="inlineStr">
        <is>
          <t>MTR-IOS-0228</t>
        </is>
      </c>
      <c r="C229" t="inlineStr">
        <is>
          <t>iPhone</t>
        </is>
      </c>
      <c r="D229" t="inlineStr">
        <is>
          <t>Business</t>
        </is>
      </c>
      <c r="E229" t="inlineStr">
        <is>
          <t>Business</t>
        </is>
      </c>
      <c r="F229" t="inlineStr">
        <is>
          <t>Business Runway</t>
        </is>
      </c>
      <c r="G229" t="inlineStr">
        <is>
          <t>Investment</t>
        </is>
      </c>
      <c r="H229" t="inlineStr">
        <is>
          <t>Business &gt; Business Runway &gt; Quick Add &gt; Investment</t>
        </is>
      </c>
      <c r="I229" s="18" t="n">
        <v>5858.7</v>
      </c>
      <c r="J229" t="inlineStr">
        <is>
          <t>Created MTR-IOS-0228 and correlation note visible in Activity/Pulse</t>
        </is>
      </c>
      <c r="K229" t="inlineStr">
        <is>
          <t>NOT_RUN</t>
        </is>
      </c>
      <c r="P229" t="n">
        <v>0</v>
      </c>
      <c r="Q229" t="n">
        <v>228</v>
      </c>
    </row>
    <row r="230">
      <c r="A230" t="n">
        <v>229</v>
      </c>
      <c r="B230" t="inlineStr">
        <is>
          <t>MTR-IOS-0229</t>
        </is>
      </c>
      <c r="C230" t="inlineStr">
        <is>
          <t>iPhone</t>
        </is>
      </c>
      <c r="D230" t="inlineStr">
        <is>
          <t>Personal</t>
        </is>
      </c>
      <c r="E230" t="inlineStr">
        <is>
          <t>Personal</t>
        </is>
      </c>
      <c r="F230" t="inlineStr">
        <is>
          <t>Future Building</t>
        </is>
      </c>
      <c r="G230" t="inlineStr">
        <is>
          <t>Savings</t>
        </is>
      </c>
      <c r="H230" t="inlineStr">
        <is>
          <t>Personal &gt; Future Building &gt; Quick Add &gt; Savings</t>
        </is>
      </c>
      <c r="I230" s="18" t="n">
        <v>14106.16</v>
      </c>
      <c r="J230" t="inlineStr">
        <is>
          <t>Created MTR-IOS-0229 and correlation note visible in Activity/Pulse</t>
        </is>
      </c>
      <c r="K230" t="inlineStr">
        <is>
          <t>NOT_RUN</t>
        </is>
      </c>
      <c r="P230" t="n">
        <v>0</v>
      </c>
      <c r="Q230" t="n">
        <v>229</v>
      </c>
    </row>
    <row r="231">
      <c r="A231" t="n">
        <v>230</v>
      </c>
      <c r="B231" t="inlineStr">
        <is>
          <t>MTR-IOS-0230</t>
        </is>
      </c>
      <c r="C231" t="inlineStr">
        <is>
          <t>iPhone</t>
        </is>
      </c>
      <c r="D231" t="inlineStr">
        <is>
          <t>Group</t>
        </is>
      </c>
      <c r="E231" t="inlineStr">
        <is>
          <t>Shared Experience</t>
        </is>
      </c>
      <c r="F231" t="inlineStr">
        <is>
          <t>Office Outing</t>
        </is>
      </c>
      <c r="G231" t="inlineStr">
        <is>
          <t>Other</t>
        </is>
      </c>
      <c r="H231" t="inlineStr">
        <is>
          <t>Group &gt; Office Outing &gt; Quick Add &gt; Other</t>
        </is>
      </c>
      <c r="I231" s="18" t="n">
        <v>2122.17</v>
      </c>
      <c r="J231" t="inlineStr">
        <is>
          <t>Created MTR-IOS-0230 and correlation note visible in Activity/Pulse</t>
        </is>
      </c>
      <c r="K231" t="inlineStr">
        <is>
          <t>NOT_RUN</t>
        </is>
      </c>
      <c r="P231" t="n">
        <v>0</v>
      </c>
      <c r="Q231" t="n">
        <v>230</v>
      </c>
    </row>
    <row r="232">
      <c r="A232" t="n">
        <v>231</v>
      </c>
      <c r="B232" t="inlineStr">
        <is>
          <t>MTR-IOS-0231</t>
        </is>
      </c>
      <c r="C232" t="inlineStr">
        <is>
          <t>iPhone</t>
        </is>
      </c>
      <c r="D232" t="inlineStr">
        <is>
          <t>Business</t>
        </is>
      </c>
      <c r="E232" t="inlineStr">
        <is>
          <t>Business</t>
        </is>
      </c>
      <c r="F232" t="inlineStr">
        <is>
          <t>Business Operations</t>
        </is>
      </c>
      <c r="G232" t="inlineStr">
        <is>
          <t>Software</t>
        </is>
      </c>
      <c r="H232" t="inlineStr">
        <is>
          <t>Business &gt; Business Operations &gt; Quick Add &gt; Software</t>
        </is>
      </c>
      <c r="I232" s="18" t="n">
        <v>131467.35</v>
      </c>
      <c r="J232" t="inlineStr">
        <is>
          <t>Created MTR-IOS-0231 and correlation note visible in Activity/Pulse</t>
        </is>
      </c>
      <c r="K232" t="inlineStr">
        <is>
          <t>NOT_RUN</t>
        </is>
      </c>
      <c r="P232" t="n">
        <v>0</v>
      </c>
      <c r="Q232" t="n">
        <v>231</v>
      </c>
    </row>
    <row r="233">
      <c r="A233" t="n">
        <v>232</v>
      </c>
      <c r="B233" t="inlineStr">
        <is>
          <t>MTR-IOS-0232</t>
        </is>
      </c>
      <c r="C233" t="inlineStr">
        <is>
          <t>iPhone</t>
        </is>
      </c>
      <c r="D233" t="inlineStr">
        <is>
          <t>Personal</t>
        </is>
      </c>
      <c r="E233" t="inlineStr">
        <is>
          <t>Personal</t>
        </is>
      </c>
      <c r="F233" t="inlineStr">
        <is>
          <t>Future Building</t>
        </is>
      </c>
      <c r="G233" t="inlineStr">
        <is>
          <t>Emergency Fund</t>
        </is>
      </c>
      <c r="H233" t="inlineStr">
        <is>
          <t>Personal &gt; Future Building &gt; Quick Add &gt; Emergency Fund</t>
        </is>
      </c>
      <c r="I233" s="18" t="n">
        <v>1815.43</v>
      </c>
      <c r="J233" t="inlineStr">
        <is>
          <t>Created MTR-IOS-0232 and correlation note visible in Activity/Pulse</t>
        </is>
      </c>
      <c r="K233" t="inlineStr">
        <is>
          <t>NOT_RUN</t>
        </is>
      </c>
      <c r="P233" t="n">
        <v>0</v>
      </c>
      <c r="Q233" t="n">
        <v>232</v>
      </c>
    </row>
    <row r="234">
      <c r="A234" t="n">
        <v>233</v>
      </c>
      <c r="B234" t="inlineStr">
        <is>
          <t>MTR-IOS-0233</t>
        </is>
      </c>
      <c r="C234" t="inlineStr">
        <is>
          <t>iPhone</t>
        </is>
      </c>
      <c r="D234" t="inlineStr">
        <is>
          <t>Group</t>
        </is>
      </c>
      <c r="E234" t="inlineStr">
        <is>
          <t>Shared Experience</t>
        </is>
      </c>
      <c r="F234" t="inlineStr">
        <is>
          <t>House Party</t>
        </is>
      </c>
      <c r="G234" t="inlineStr">
        <is>
          <t>Food</t>
        </is>
      </c>
      <c r="H234" t="inlineStr">
        <is>
          <t>Group &gt; House Party &gt; Quick Add &gt; Food</t>
        </is>
      </c>
      <c r="I234" s="18" t="n">
        <v>25219.85</v>
      </c>
      <c r="J234" t="inlineStr">
        <is>
          <t>Created MTR-IOS-0233 and correlation note visible in Activity/Pulse</t>
        </is>
      </c>
      <c r="K234" t="inlineStr">
        <is>
          <t>NOT_RUN</t>
        </is>
      </c>
      <c r="P234" t="n">
        <v>0</v>
      </c>
      <c r="Q234" t="n">
        <v>233</v>
      </c>
    </row>
    <row r="235">
      <c r="A235" t="n">
        <v>234</v>
      </c>
      <c r="B235" t="inlineStr">
        <is>
          <t>MTR-IOS-0234</t>
        </is>
      </c>
      <c r="C235" t="inlineStr">
        <is>
          <t>iPhone</t>
        </is>
      </c>
      <c r="D235" t="inlineStr">
        <is>
          <t>Business</t>
        </is>
      </c>
      <c r="E235" t="inlineStr">
        <is>
          <t>Business</t>
        </is>
      </c>
      <c r="F235" t="inlineStr">
        <is>
          <t>Business Operations</t>
        </is>
      </c>
      <c r="G235" t="inlineStr">
        <is>
          <t>Rent</t>
        </is>
      </c>
      <c r="H235" t="inlineStr">
        <is>
          <t>Business &gt; Business Operations &gt; Quick Add &gt; Rent</t>
        </is>
      </c>
      <c r="I235" s="18" t="n">
        <v>145928.31</v>
      </c>
      <c r="J235" t="inlineStr">
        <is>
          <t>Created MTR-IOS-0234 and correlation note visible in Activity/Pulse</t>
        </is>
      </c>
      <c r="K235" t="inlineStr">
        <is>
          <t>NOT_RUN</t>
        </is>
      </c>
      <c r="P235" t="n">
        <v>0</v>
      </c>
      <c r="Q235" t="n">
        <v>234</v>
      </c>
    </row>
    <row r="236">
      <c r="A236" t="n">
        <v>235</v>
      </c>
      <c r="B236" t="inlineStr">
        <is>
          <t>MTR-IOS-0235</t>
        </is>
      </c>
      <c r="C236" t="inlineStr">
        <is>
          <t>iPhone</t>
        </is>
      </c>
      <c r="D236" t="inlineStr">
        <is>
          <t>Personal</t>
        </is>
      </c>
      <c r="E236" t="inlineStr">
        <is>
          <t>Personal</t>
        </is>
      </c>
      <c r="F236" t="inlineStr">
        <is>
          <t>Future Building</t>
        </is>
      </c>
      <c r="G236" t="inlineStr">
        <is>
          <t>Investments</t>
        </is>
      </c>
      <c r="H236" t="inlineStr">
        <is>
          <t>Personal &gt; Future Building &gt; Quick Add &gt; Investments</t>
        </is>
      </c>
      <c r="I236" s="18" t="n">
        <v>748.6799999999999</v>
      </c>
      <c r="J236" t="inlineStr">
        <is>
          <t>Created MTR-IOS-0235 and correlation note visible in Activity/Pulse</t>
        </is>
      </c>
      <c r="K236" t="inlineStr">
        <is>
          <t>NOT_RUN</t>
        </is>
      </c>
      <c r="P236" t="n">
        <v>0</v>
      </c>
      <c r="Q236" t="n">
        <v>235</v>
      </c>
    </row>
    <row r="237">
      <c r="A237" t="n">
        <v>236</v>
      </c>
      <c r="B237" t="inlineStr">
        <is>
          <t>MTR-IOS-0236</t>
        </is>
      </c>
      <c r="C237" t="inlineStr">
        <is>
          <t>iPhone</t>
        </is>
      </c>
      <c r="D237" t="inlineStr">
        <is>
          <t>Group</t>
        </is>
      </c>
      <c r="E237" t="inlineStr">
        <is>
          <t>Shared Experience</t>
        </is>
      </c>
      <c r="F237" t="inlineStr">
        <is>
          <t>House Party</t>
        </is>
      </c>
      <c r="G237" t="inlineStr">
        <is>
          <t>Drinks</t>
        </is>
      </c>
      <c r="H237" t="inlineStr">
        <is>
          <t>Group &gt; House Party &gt; Quick Add &gt; Drinks</t>
        </is>
      </c>
      <c r="I237" s="18" t="n">
        <v>25493.74</v>
      </c>
      <c r="J237" t="inlineStr">
        <is>
          <t>Created MTR-IOS-0236 and correlation note visible in Activity/Pulse</t>
        </is>
      </c>
      <c r="K237" t="inlineStr">
        <is>
          <t>NOT_RUN</t>
        </is>
      </c>
      <c r="P237" t="n">
        <v>0</v>
      </c>
      <c r="Q237" t="n">
        <v>236</v>
      </c>
    </row>
    <row r="238">
      <c r="A238" t="n">
        <v>237</v>
      </c>
      <c r="B238" t="inlineStr">
        <is>
          <t>MTR-IOS-0237</t>
        </is>
      </c>
      <c r="C238" t="inlineStr">
        <is>
          <t>iPhone</t>
        </is>
      </c>
      <c r="D238" t="inlineStr">
        <is>
          <t>Business</t>
        </is>
      </c>
      <c r="E238" t="inlineStr">
        <is>
          <t>Business</t>
        </is>
      </c>
      <c r="F238" t="inlineStr">
        <is>
          <t>Business Operations</t>
        </is>
      </c>
      <c r="G238" t="inlineStr">
        <is>
          <t>Marketing</t>
        </is>
      </c>
      <c r="H238" t="inlineStr">
        <is>
          <t>Business &gt; Business Operations &gt; Quick Add &gt; Marketing</t>
        </is>
      </c>
      <c r="I238" s="18" t="n">
        <v>129268.79</v>
      </c>
      <c r="J238" t="inlineStr">
        <is>
          <t>Created MTR-IOS-0237 and correlation note visible in Activity/Pulse</t>
        </is>
      </c>
      <c r="K238" t="inlineStr">
        <is>
          <t>NOT_RUN</t>
        </is>
      </c>
      <c r="P238" t="n">
        <v>0</v>
      </c>
      <c r="Q238" t="n">
        <v>237</v>
      </c>
    </row>
    <row r="239">
      <c r="A239" t="n">
        <v>238</v>
      </c>
      <c r="B239" t="inlineStr">
        <is>
          <t>MTR-IOS-0238</t>
        </is>
      </c>
      <c r="C239" t="inlineStr">
        <is>
          <t>iPhone</t>
        </is>
      </c>
      <c r="D239" t="inlineStr">
        <is>
          <t>Personal</t>
        </is>
      </c>
      <c r="E239" t="inlineStr">
        <is>
          <t>Personal</t>
        </is>
      </c>
      <c r="F239" t="inlineStr">
        <is>
          <t>Future Building</t>
        </is>
      </c>
      <c r="G239" t="inlineStr">
        <is>
          <t>Education</t>
        </is>
      </c>
      <c r="H239" t="inlineStr">
        <is>
          <t>Personal &gt; Future Building &gt; Quick Add &gt; Education</t>
        </is>
      </c>
      <c r="I239" s="18" t="n">
        <v>8900.450000000001</v>
      </c>
      <c r="J239" t="inlineStr">
        <is>
          <t>Created MTR-IOS-0238 and correlation note visible in Activity/Pulse</t>
        </is>
      </c>
      <c r="K239" t="inlineStr">
        <is>
          <t>NOT_RUN</t>
        </is>
      </c>
      <c r="P239" t="n">
        <v>0</v>
      </c>
      <c r="Q239" t="n">
        <v>238</v>
      </c>
    </row>
    <row r="240">
      <c r="A240" t="n">
        <v>239</v>
      </c>
      <c r="B240" t="inlineStr">
        <is>
          <t>MTR-IOS-0239</t>
        </is>
      </c>
      <c r="C240" t="inlineStr">
        <is>
          <t>iPhone</t>
        </is>
      </c>
      <c r="D240" t="inlineStr">
        <is>
          <t>Group</t>
        </is>
      </c>
      <c r="E240" t="inlineStr">
        <is>
          <t>Shared Experience</t>
        </is>
      </c>
      <c r="F240" t="inlineStr">
        <is>
          <t>House Party</t>
        </is>
      </c>
      <c r="G240" t="inlineStr">
        <is>
          <t>Decor</t>
        </is>
      </c>
      <c r="H240" t="inlineStr">
        <is>
          <t>Group &gt; House Party &gt; Quick Add &gt; Decor</t>
        </is>
      </c>
      <c r="I240" s="18" t="n">
        <v>3397.68</v>
      </c>
      <c r="J240" t="inlineStr">
        <is>
          <t>Created MTR-IOS-0239 and correlation note visible in Activity/Pulse</t>
        </is>
      </c>
      <c r="K240" t="inlineStr">
        <is>
          <t>NOT_RUN</t>
        </is>
      </c>
      <c r="P240" t="n">
        <v>0</v>
      </c>
      <c r="Q240" t="n">
        <v>239</v>
      </c>
    </row>
    <row r="241">
      <c r="A241" t="n">
        <v>240</v>
      </c>
      <c r="B241" t="inlineStr">
        <is>
          <t>MTR-IOS-0240</t>
        </is>
      </c>
      <c r="C241" t="inlineStr">
        <is>
          <t>iPhone</t>
        </is>
      </c>
      <c r="D241" t="inlineStr">
        <is>
          <t>Business</t>
        </is>
      </c>
      <c r="E241" t="inlineStr">
        <is>
          <t>Business</t>
        </is>
      </c>
      <c r="F241" t="inlineStr">
        <is>
          <t>Business Operations</t>
        </is>
      </c>
      <c r="G241" t="inlineStr">
        <is>
          <t>Legal</t>
        </is>
      </c>
      <c r="H241" t="inlineStr">
        <is>
          <t>Business &gt; Business Operations &gt; Quick Add &gt; Legal</t>
        </is>
      </c>
      <c r="I241" s="18" t="n">
        <v>71306.11</v>
      </c>
      <c r="J241" t="inlineStr">
        <is>
          <t>Created MTR-IOS-0240 and correlation note visible in Activity/Pulse</t>
        </is>
      </c>
      <c r="K241" t="inlineStr">
        <is>
          <t>NOT_RUN</t>
        </is>
      </c>
      <c r="P241" t="n">
        <v>0</v>
      </c>
      <c r="Q241" t="n">
        <v>240</v>
      </c>
    </row>
    <row r="242">
      <c r="A242" t="n">
        <v>241</v>
      </c>
      <c r="B242" t="inlineStr">
        <is>
          <t>MTR-IOS-0241</t>
        </is>
      </c>
      <c r="C242" t="inlineStr">
        <is>
          <t>iPhone</t>
        </is>
      </c>
      <c r="D242" t="inlineStr">
        <is>
          <t>Personal</t>
        </is>
      </c>
      <c r="E242" t="inlineStr">
        <is>
          <t>Personal</t>
        </is>
      </c>
      <c r="F242" t="inlineStr">
        <is>
          <t>Future Building</t>
        </is>
      </c>
      <c r="G242" t="inlineStr">
        <is>
          <t>Goal Contribution</t>
        </is>
      </c>
      <c r="H242" t="inlineStr">
        <is>
          <t>Personal &gt; Future Building &gt; Quick Add &gt; Goal Contribution</t>
        </is>
      </c>
      <c r="I242" s="18" t="n">
        <v>14587.95</v>
      </c>
      <c r="J242" t="inlineStr">
        <is>
          <t>Created MTR-IOS-0241 and correlation note visible in Activity/Pulse</t>
        </is>
      </c>
      <c r="K242" t="inlineStr">
        <is>
          <t>NOT_RUN</t>
        </is>
      </c>
      <c r="P242" t="n">
        <v>0</v>
      </c>
      <c r="Q242" t="n">
        <v>241</v>
      </c>
    </row>
    <row r="243">
      <c r="A243" t="n">
        <v>242</v>
      </c>
      <c r="B243" t="inlineStr">
        <is>
          <t>MTR-IOS-0242</t>
        </is>
      </c>
      <c r="C243" t="inlineStr">
        <is>
          <t>iPhone</t>
        </is>
      </c>
      <c r="D243" t="inlineStr">
        <is>
          <t>Group</t>
        </is>
      </c>
      <c r="E243" t="inlineStr">
        <is>
          <t>Shared Experience</t>
        </is>
      </c>
      <c r="F243" t="inlineStr">
        <is>
          <t>House Party</t>
        </is>
      </c>
      <c r="G243" t="inlineStr">
        <is>
          <t>Supplies</t>
        </is>
      </c>
      <c r="H243" t="inlineStr">
        <is>
          <t>Group &gt; House Party &gt; Quick Add &gt; Supplies</t>
        </is>
      </c>
      <c r="I243" s="18" t="n">
        <v>5144.52</v>
      </c>
      <c r="J243" t="inlineStr">
        <is>
          <t>Created MTR-IOS-0242 and correlation note visible in Activity/Pulse</t>
        </is>
      </c>
      <c r="K243" t="inlineStr">
        <is>
          <t>NOT_RUN</t>
        </is>
      </c>
      <c r="P243" t="n">
        <v>0</v>
      </c>
      <c r="Q243" t="n">
        <v>242</v>
      </c>
    </row>
    <row r="244">
      <c r="A244" t="n">
        <v>243</v>
      </c>
      <c r="B244" t="inlineStr">
        <is>
          <t>MTR-IOS-0243</t>
        </is>
      </c>
      <c r="C244" t="inlineStr">
        <is>
          <t>iPhone</t>
        </is>
      </c>
      <c r="D244" t="inlineStr">
        <is>
          <t>Business</t>
        </is>
      </c>
      <c r="E244" t="inlineStr">
        <is>
          <t>Business</t>
        </is>
      </c>
      <c r="F244" t="inlineStr">
        <is>
          <t>Business Operations</t>
        </is>
      </c>
      <c r="G244" t="inlineStr">
        <is>
          <t>Accounting</t>
        </is>
      </c>
      <c r="H244" t="inlineStr">
        <is>
          <t>Business &gt; Business Operations &gt; Quick Add &gt; Accounting</t>
        </is>
      </c>
      <c r="I244" s="18" t="n">
        <v>29167.01</v>
      </c>
      <c r="J244" t="inlineStr">
        <is>
          <t>Created MTR-IOS-0243 and correlation note visible in Activity/Pulse</t>
        </is>
      </c>
      <c r="K244" t="inlineStr">
        <is>
          <t>NOT_RUN</t>
        </is>
      </c>
      <c r="P244" t="n">
        <v>0</v>
      </c>
      <c r="Q244" t="n">
        <v>243</v>
      </c>
    </row>
    <row r="245">
      <c r="A245" t="n">
        <v>244</v>
      </c>
      <c r="B245" t="inlineStr">
        <is>
          <t>MTR-IOS-0244</t>
        </is>
      </c>
      <c r="C245" t="inlineStr">
        <is>
          <t>iPhone</t>
        </is>
      </c>
      <c r="D245" t="inlineStr">
        <is>
          <t>Personal</t>
        </is>
      </c>
      <c r="E245" t="inlineStr">
        <is>
          <t>Personal</t>
        </is>
      </c>
      <c r="F245" t="inlineStr">
        <is>
          <t>Lifestyle</t>
        </is>
      </c>
      <c r="G245" t="inlineStr">
        <is>
          <t>Dining</t>
        </is>
      </c>
      <c r="H245" t="inlineStr">
        <is>
          <t>Personal &gt; Lifestyle &gt; Quick Add &gt; Dining</t>
        </is>
      </c>
      <c r="I245" s="18" t="n">
        <v>6999.08</v>
      </c>
      <c r="J245" t="inlineStr">
        <is>
          <t>Created MTR-IOS-0244 and correlation note visible in Activity/Pulse</t>
        </is>
      </c>
      <c r="K245" t="inlineStr">
        <is>
          <t>NOT_RUN</t>
        </is>
      </c>
      <c r="P245" t="n">
        <v>0</v>
      </c>
      <c r="Q245" t="n">
        <v>244</v>
      </c>
    </row>
    <row r="246">
      <c r="A246" t="n">
        <v>245</v>
      </c>
      <c r="B246" t="inlineStr">
        <is>
          <t>MTR-IOS-0245</t>
        </is>
      </c>
      <c r="C246" t="inlineStr">
        <is>
          <t>iPhone</t>
        </is>
      </c>
      <c r="D246" t="inlineStr">
        <is>
          <t>Group</t>
        </is>
      </c>
      <c r="E246" t="inlineStr">
        <is>
          <t>Shared Experience</t>
        </is>
      </c>
      <c r="F246" t="inlineStr">
        <is>
          <t>House Party</t>
        </is>
      </c>
      <c r="G246" t="inlineStr">
        <is>
          <t>Other</t>
        </is>
      </c>
      <c r="H246" t="inlineStr">
        <is>
          <t>Group &gt; House Party &gt; Quick Add &gt; Other</t>
        </is>
      </c>
      <c r="I246" s="18" t="n">
        <v>26303.07</v>
      </c>
      <c r="J246" t="inlineStr">
        <is>
          <t>Created MTR-IOS-0245 and correlation note visible in Activity/Pulse</t>
        </is>
      </c>
      <c r="K246" t="inlineStr">
        <is>
          <t>NOT_RUN</t>
        </is>
      </c>
      <c r="P246" t="n">
        <v>0</v>
      </c>
      <c r="Q246" t="n">
        <v>245</v>
      </c>
    </row>
    <row r="247">
      <c r="A247" t="n">
        <v>246</v>
      </c>
      <c r="B247" t="inlineStr">
        <is>
          <t>MTR-IOS-0246</t>
        </is>
      </c>
      <c r="C247" t="inlineStr">
        <is>
          <t>iPhone</t>
        </is>
      </c>
      <c r="D247" t="inlineStr">
        <is>
          <t>Business</t>
        </is>
      </c>
      <c r="E247" t="inlineStr">
        <is>
          <t>Business</t>
        </is>
      </c>
      <c r="F247" t="inlineStr">
        <is>
          <t>Business Operations</t>
        </is>
      </c>
      <c r="G247" t="inlineStr">
        <is>
          <t>Equipment</t>
        </is>
      </c>
      <c r="H247" t="inlineStr">
        <is>
          <t>Business &gt; Business Operations &gt; Quick Add &gt; Equipment</t>
        </is>
      </c>
      <c r="I247" s="18" t="n">
        <v>36231.77</v>
      </c>
      <c r="J247" t="inlineStr">
        <is>
          <t>Created MTR-IOS-0246 and correlation note visible in Activity/Pulse</t>
        </is>
      </c>
      <c r="K247" t="inlineStr">
        <is>
          <t>NOT_RUN</t>
        </is>
      </c>
      <c r="P247" t="n">
        <v>0</v>
      </c>
      <c r="Q247" t="n">
        <v>246</v>
      </c>
    </row>
    <row r="248">
      <c r="A248" t="n">
        <v>247</v>
      </c>
      <c r="B248" t="inlineStr">
        <is>
          <t>MTR-IOS-0247</t>
        </is>
      </c>
      <c r="C248" t="inlineStr">
        <is>
          <t>iPhone</t>
        </is>
      </c>
      <c r="D248" t="inlineStr">
        <is>
          <t>Personal</t>
        </is>
      </c>
      <c r="E248" t="inlineStr">
        <is>
          <t>Personal</t>
        </is>
      </c>
      <c r="F248" t="inlineStr">
        <is>
          <t>Lifestyle</t>
        </is>
      </c>
      <c r="G248" t="inlineStr">
        <is>
          <t>Shopping</t>
        </is>
      </c>
      <c r="H248" t="inlineStr">
        <is>
          <t>Personal &gt; Lifestyle &gt; Quick Add &gt; Shopping</t>
        </is>
      </c>
      <c r="I248" s="18" t="n">
        <v>13704.06</v>
      </c>
      <c r="J248" t="inlineStr">
        <is>
          <t>Created MTR-IOS-0247 and correlation note visible in Activity/Pulse</t>
        </is>
      </c>
      <c r="K248" t="inlineStr">
        <is>
          <t>NOT_RUN</t>
        </is>
      </c>
      <c r="P248" t="n">
        <v>0</v>
      </c>
      <c r="Q248" t="n">
        <v>247</v>
      </c>
    </row>
    <row r="249">
      <c r="A249" t="n">
        <v>248</v>
      </c>
      <c r="B249" t="inlineStr">
        <is>
          <t>MTR-IOS-0248</t>
        </is>
      </c>
      <c r="C249" t="inlineStr">
        <is>
          <t>iPhone</t>
        </is>
      </c>
      <c r="D249" t="inlineStr">
        <is>
          <t>Group</t>
        </is>
      </c>
      <c r="E249" t="inlineStr">
        <is>
          <t>Shared Purchase</t>
        </is>
      </c>
      <c r="F249" t="inlineStr">
        <is>
          <t>Gift Pool</t>
        </is>
      </c>
      <c r="G249" t="inlineStr">
        <is>
          <t>Contribution</t>
        </is>
      </c>
      <c r="H249" t="inlineStr">
        <is>
          <t>Group &gt; Gift Pool &gt; Quick Add &gt; Contribution</t>
        </is>
      </c>
      <c r="I249" s="18" t="n">
        <v>3559.52</v>
      </c>
      <c r="J249" t="inlineStr">
        <is>
          <t>Created MTR-IOS-0248 and correlation note visible in Activity/Pulse</t>
        </is>
      </c>
      <c r="K249" t="inlineStr">
        <is>
          <t>NOT_RUN</t>
        </is>
      </c>
      <c r="P249" t="n">
        <v>0</v>
      </c>
      <c r="Q249" t="n">
        <v>248</v>
      </c>
    </row>
    <row r="250">
      <c r="A250" t="n">
        <v>249</v>
      </c>
      <c r="B250" t="inlineStr">
        <is>
          <t>MTR-IOS-0249</t>
        </is>
      </c>
      <c r="C250" t="inlineStr">
        <is>
          <t>iPhone</t>
        </is>
      </c>
      <c r="D250" t="inlineStr">
        <is>
          <t>Business</t>
        </is>
      </c>
      <c r="E250" t="inlineStr">
        <is>
          <t>Business</t>
        </is>
      </c>
      <c r="F250" t="inlineStr">
        <is>
          <t>Business Operations</t>
        </is>
      </c>
      <c r="G250" t="inlineStr">
        <is>
          <t>Vendor</t>
        </is>
      </c>
      <c r="H250" t="inlineStr">
        <is>
          <t>Business &gt; Business Operations &gt; Quick Add &gt; Vendor</t>
        </is>
      </c>
      <c r="I250" s="18" t="n">
        <v>3151.11</v>
      </c>
      <c r="J250" t="inlineStr">
        <is>
          <t>Created MTR-IOS-0249 and correlation note visible in Activity/Pulse</t>
        </is>
      </c>
      <c r="K250" t="inlineStr">
        <is>
          <t>NOT_RUN</t>
        </is>
      </c>
      <c r="P250" t="n">
        <v>0</v>
      </c>
      <c r="Q250" t="n">
        <v>249</v>
      </c>
    </row>
    <row r="251">
      <c r="A251" t="n">
        <v>250</v>
      </c>
      <c r="B251" t="inlineStr">
        <is>
          <t>MTR-IOS-0250</t>
        </is>
      </c>
      <c r="C251" t="inlineStr">
        <is>
          <t>iPhone</t>
        </is>
      </c>
      <c r="D251" t="inlineStr">
        <is>
          <t>Personal</t>
        </is>
      </c>
      <c r="E251" t="inlineStr">
        <is>
          <t>Personal</t>
        </is>
      </c>
      <c r="F251" t="inlineStr">
        <is>
          <t>Lifestyle</t>
        </is>
      </c>
      <c r="G251" t="inlineStr">
        <is>
          <t>Entertainment</t>
        </is>
      </c>
      <c r="H251" t="inlineStr">
        <is>
          <t>Personal &gt; Lifestyle &gt; Quick Add &gt; Entertainment</t>
        </is>
      </c>
      <c r="I251" s="18" t="n">
        <v>1549.49</v>
      </c>
      <c r="J251" t="inlineStr">
        <is>
          <t>Created MTR-IOS-0250 and correlation note visible in Activity/Pulse</t>
        </is>
      </c>
      <c r="K251" t="inlineStr">
        <is>
          <t>NOT_RUN</t>
        </is>
      </c>
      <c r="P251" t="n">
        <v>0</v>
      </c>
      <c r="Q251" t="n">
        <v>250</v>
      </c>
    </row>
    <row r="252">
      <c r="A252" t="n">
        <v>251</v>
      </c>
      <c r="B252" t="inlineStr">
        <is>
          <t>MTR-IOS-0251</t>
        </is>
      </c>
      <c r="C252" t="inlineStr">
        <is>
          <t>iPhone</t>
        </is>
      </c>
      <c r="D252" t="inlineStr">
        <is>
          <t>Group</t>
        </is>
      </c>
      <c r="E252" t="inlineStr">
        <is>
          <t>Shared Purchase</t>
        </is>
      </c>
      <c r="F252" t="inlineStr">
        <is>
          <t>Gift Pool</t>
        </is>
      </c>
      <c r="G252" t="inlineStr">
        <is>
          <t>Gift Purchase</t>
        </is>
      </c>
      <c r="H252" t="inlineStr">
        <is>
          <t>Group &gt; Gift Pool &gt; Quick Add &gt; Gift Purchase</t>
        </is>
      </c>
      <c r="I252" s="18" t="n">
        <v>5744.22</v>
      </c>
      <c r="J252" t="inlineStr">
        <is>
          <t>Created MTR-IOS-0251 and correlation note visible in Activity/Pulse</t>
        </is>
      </c>
      <c r="K252" t="inlineStr">
        <is>
          <t>NOT_RUN</t>
        </is>
      </c>
      <c r="P252" t="n">
        <v>0</v>
      </c>
      <c r="Q252" t="n">
        <v>251</v>
      </c>
    </row>
    <row r="253">
      <c r="A253" t="n">
        <v>252</v>
      </c>
      <c r="B253" t="inlineStr">
        <is>
          <t>MTR-IOS-0252</t>
        </is>
      </c>
      <c r="C253" t="inlineStr">
        <is>
          <t>iPhone</t>
        </is>
      </c>
      <c r="D253" t="inlineStr">
        <is>
          <t>Business</t>
        </is>
      </c>
      <c r="E253" t="inlineStr">
        <is>
          <t>Business</t>
        </is>
      </c>
      <c r="F253" t="inlineStr">
        <is>
          <t>Business Operations</t>
        </is>
      </c>
      <c r="G253" t="inlineStr">
        <is>
          <t>Tax</t>
        </is>
      </c>
      <c r="H253" t="inlineStr">
        <is>
          <t>Business &gt; Business Operations &gt; Quick Add &gt; Tax</t>
        </is>
      </c>
      <c r="I253" s="18" t="n">
        <v>96076.7</v>
      </c>
      <c r="J253" t="inlineStr">
        <is>
          <t>Created MTR-IOS-0252 and correlation note visible in Activity/Pulse</t>
        </is>
      </c>
      <c r="K253" t="inlineStr">
        <is>
          <t>NOT_RUN</t>
        </is>
      </c>
      <c r="P253" t="n">
        <v>0</v>
      </c>
      <c r="Q253" t="n">
        <v>252</v>
      </c>
    </row>
    <row r="254">
      <c r="A254" t="n">
        <v>253</v>
      </c>
      <c r="B254" t="inlineStr">
        <is>
          <t>MTR-IOS-0253</t>
        </is>
      </c>
      <c r="C254" t="inlineStr">
        <is>
          <t>iPhone</t>
        </is>
      </c>
      <c r="D254" t="inlineStr">
        <is>
          <t>Personal</t>
        </is>
      </c>
      <c r="E254" t="inlineStr">
        <is>
          <t>Personal</t>
        </is>
      </c>
      <c r="F254" t="inlineStr">
        <is>
          <t>Lifestyle</t>
        </is>
      </c>
      <c r="G254" t="inlineStr">
        <is>
          <t>Travel</t>
        </is>
      </c>
      <c r="H254" t="inlineStr">
        <is>
          <t>Personal &gt; Lifestyle &gt; Quick Add &gt; Travel</t>
        </is>
      </c>
      <c r="I254" s="18" t="n">
        <v>5402.08</v>
      </c>
      <c r="J254" t="inlineStr">
        <is>
          <t>Created MTR-IOS-0253 and correlation note visible in Activity/Pulse</t>
        </is>
      </c>
      <c r="K254" t="inlineStr">
        <is>
          <t>NOT_RUN</t>
        </is>
      </c>
      <c r="P254" t="n">
        <v>0</v>
      </c>
      <c r="Q254" t="n">
        <v>253</v>
      </c>
    </row>
    <row r="255">
      <c r="A255" t="n">
        <v>254</v>
      </c>
      <c r="B255" t="inlineStr">
        <is>
          <t>MTR-IOS-0254</t>
        </is>
      </c>
      <c r="C255" t="inlineStr">
        <is>
          <t>iPhone</t>
        </is>
      </c>
      <c r="D255" t="inlineStr">
        <is>
          <t>Group</t>
        </is>
      </c>
      <c r="E255" t="inlineStr">
        <is>
          <t>Shared Purchase</t>
        </is>
      </c>
      <c r="F255" t="inlineStr">
        <is>
          <t>Gift Pool</t>
        </is>
      </c>
      <c r="G255" t="inlineStr">
        <is>
          <t>Delivery</t>
        </is>
      </c>
      <c r="H255" t="inlineStr">
        <is>
          <t>Group &gt; Gift Pool &gt; Quick Add &gt; Delivery</t>
        </is>
      </c>
      <c r="I255" s="18" t="n">
        <v>19482.92</v>
      </c>
      <c r="J255" t="inlineStr">
        <is>
          <t>Created MTR-IOS-0254 and correlation note visible in Activity/Pulse</t>
        </is>
      </c>
      <c r="K255" t="inlineStr">
        <is>
          <t>NOT_RUN</t>
        </is>
      </c>
      <c r="P255" t="n">
        <v>0</v>
      </c>
      <c r="Q255" t="n">
        <v>254</v>
      </c>
    </row>
    <row r="256">
      <c r="A256" t="n">
        <v>255</v>
      </c>
      <c r="B256" t="inlineStr">
        <is>
          <t>MTR-IOS-0255</t>
        </is>
      </c>
      <c r="C256" t="inlineStr">
        <is>
          <t>iPhone</t>
        </is>
      </c>
      <c r="D256" t="inlineStr">
        <is>
          <t>Business</t>
        </is>
      </c>
      <c r="E256" t="inlineStr">
        <is>
          <t>Business</t>
        </is>
      </c>
      <c r="F256" t="inlineStr">
        <is>
          <t>Team Operations</t>
        </is>
      </c>
      <c r="G256" t="inlineStr">
        <is>
          <t>Payroll</t>
        </is>
      </c>
      <c r="H256" t="inlineStr">
        <is>
          <t>Business &gt; Team Operations &gt; Quick Add &gt; Payroll</t>
        </is>
      </c>
      <c r="I256" s="18" t="n">
        <v>116332.46</v>
      </c>
      <c r="J256" t="inlineStr">
        <is>
          <t>Created MTR-IOS-0255 and correlation note visible in Activity/Pulse</t>
        </is>
      </c>
      <c r="K256" t="inlineStr">
        <is>
          <t>NOT_RUN</t>
        </is>
      </c>
      <c r="P256" t="n">
        <v>0</v>
      </c>
      <c r="Q256" t="n">
        <v>255</v>
      </c>
    </row>
    <row r="257">
      <c r="A257" t="n">
        <v>256</v>
      </c>
      <c r="B257" t="inlineStr">
        <is>
          <t>MTR-IOS-0256</t>
        </is>
      </c>
      <c r="C257" t="inlineStr">
        <is>
          <t>iPhone</t>
        </is>
      </c>
      <c r="D257" t="inlineStr">
        <is>
          <t>Personal</t>
        </is>
      </c>
      <c r="E257" t="inlineStr">
        <is>
          <t>Personal</t>
        </is>
      </c>
      <c r="F257" t="inlineStr">
        <is>
          <t>Lifestyle</t>
        </is>
      </c>
      <c r="G257" t="inlineStr">
        <is>
          <t>Fitness</t>
        </is>
      </c>
      <c r="H257" t="inlineStr">
        <is>
          <t>Personal &gt; Lifestyle &gt; Quick Add &gt; Fitness</t>
        </is>
      </c>
      <c r="I257" s="18" t="n">
        <v>6469.28</v>
      </c>
      <c r="J257" t="inlineStr">
        <is>
          <t>Created MTR-IOS-0256 and correlation note visible in Activity/Pulse</t>
        </is>
      </c>
      <c r="K257" t="inlineStr">
        <is>
          <t>NOT_RUN</t>
        </is>
      </c>
      <c r="P257" t="n">
        <v>0</v>
      </c>
      <c r="Q257" t="n">
        <v>256</v>
      </c>
    </row>
    <row r="258">
      <c r="A258" t="n">
        <v>257</v>
      </c>
      <c r="B258" t="inlineStr">
        <is>
          <t>MTR-IOS-0257</t>
        </is>
      </c>
      <c r="C258" t="inlineStr">
        <is>
          <t>iPhone</t>
        </is>
      </c>
      <c r="D258" t="inlineStr">
        <is>
          <t>Group</t>
        </is>
      </c>
      <c r="E258" t="inlineStr">
        <is>
          <t>Shared Purchase</t>
        </is>
      </c>
      <c r="F258" t="inlineStr">
        <is>
          <t>Gift Pool</t>
        </is>
      </c>
      <c r="G258" t="inlineStr">
        <is>
          <t>Other</t>
        </is>
      </c>
      <c r="H258" t="inlineStr">
        <is>
          <t>Group &gt; Gift Pool &gt; Quick Add &gt; Other</t>
        </is>
      </c>
      <c r="I258" s="18" t="n">
        <v>14984.45</v>
      </c>
      <c r="J258" t="inlineStr">
        <is>
          <t>Created MTR-IOS-0257 and correlation note visible in Activity/Pulse</t>
        </is>
      </c>
      <c r="K258" t="inlineStr">
        <is>
          <t>NOT_RUN</t>
        </is>
      </c>
      <c r="P258" t="n">
        <v>0</v>
      </c>
      <c r="Q258" t="n">
        <v>257</v>
      </c>
    </row>
    <row r="259">
      <c r="A259" t="n">
        <v>258</v>
      </c>
      <c r="B259" t="inlineStr">
        <is>
          <t>MTR-IOS-0258</t>
        </is>
      </c>
      <c r="C259" t="inlineStr">
        <is>
          <t>iPhone</t>
        </is>
      </c>
      <c r="D259" t="inlineStr">
        <is>
          <t>Business</t>
        </is>
      </c>
      <c r="E259" t="inlineStr">
        <is>
          <t>Business</t>
        </is>
      </c>
      <c r="F259" t="inlineStr">
        <is>
          <t>Team Operations</t>
        </is>
      </c>
      <c r="G259" t="inlineStr">
        <is>
          <t>Contractor</t>
        </is>
      </c>
      <c r="H259" t="inlineStr">
        <is>
          <t>Business &gt; Team Operations &gt; Quick Add &gt; Contractor</t>
        </is>
      </c>
      <c r="I259" s="18" t="n">
        <v>18431.52</v>
      </c>
      <c r="J259" t="inlineStr">
        <is>
          <t>Created MTR-IOS-0258 and correlation note visible in Activity/Pulse</t>
        </is>
      </c>
      <c r="K259" t="inlineStr">
        <is>
          <t>NOT_RUN</t>
        </is>
      </c>
      <c r="P259" t="n">
        <v>0</v>
      </c>
      <c r="Q259" t="n">
        <v>258</v>
      </c>
    </row>
    <row r="260">
      <c r="A260" t="n">
        <v>259</v>
      </c>
      <c r="B260" t="inlineStr">
        <is>
          <t>MTR-IOS-0259</t>
        </is>
      </c>
      <c r="C260" t="inlineStr">
        <is>
          <t>iPhone</t>
        </is>
      </c>
      <c r="D260" t="inlineStr">
        <is>
          <t>Personal</t>
        </is>
      </c>
      <c r="E260" t="inlineStr">
        <is>
          <t>Personal</t>
        </is>
      </c>
      <c r="F260" t="inlineStr">
        <is>
          <t>Lifestyle</t>
        </is>
      </c>
      <c r="G260" t="inlineStr">
        <is>
          <t>Hobbies</t>
        </is>
      </c>
      <c r="H260" t="inlineStr">
        <is>
          <t>Personal &gt; Lifestyle &gt; Quick Add &gt; Hobbies</t>
        </is>
      </c>
      <c r="I260" s="18" t="n">
        <v>1</v>
      </c>
      <c r="J260" t="inlineStr">
        <is>
          <t>Created MTR-IOS-0259 and correlation note visible in Activity/Pulse</t>
        </is>
      </c>
      <c r="K260" t="inlineStr">
        <is>
          <t>NOT_RUN</t>
        </is>
      </c>
      <c r="P260" t="n">
        <v>0</v>
      </c>
      <c r="Q260" t="n">
        <v>259</v>
      </c>
    </row>
    <row r="261">
      <c r="A261" t="n">
        <v>260</v>
      </c>
      <c r="B261" t="inlineStr">
        <is>
          <t>MTR-IOS-0260</t>
        </is>
      </c>
      <c r="C261" t="inlineStr">
        <is>
          <t>iPhone</t>
        </is>
      </c>
      <c r="D261" t="inlineStr">
        <is>
          <t>Group</t>
        </is>
      </c>
      <c r="E261" t="inlineStr">
        <is>
          <t>Shared Purchase</t>
        </is>
      </c>
      <c r="F261" t="inlineStr">
        <is>
          <t>Purchase</t>
        </is>
      </c>
      <c r="G261" t="inlineStr">
        <is>
          <t>Item</t>
        </is>
      </c>
      <c r="H261" t="inlineStr">
        <is>
          <t>Group &gt; Purchase &gt; Quick Add &gt; Item</t>
        </is>
      </c>
      <c r="I261" s="18" t="n">
        <v>22552.2</v>
      </c>
      <c r="J261" t="inlineStr">
        <is>
          <t>Created MTR-IOS-0260 and correlation note visible in Activity/Pulse</t>
        </is>
      </c>
      <c r="K261" t="inlineStr">
        <is>
          <t>NOT_RUN</t>
        </is>
      </c>
      <c r="P261" t="n">
        <v>0</v>
      </c>
      <c r="Q261" t="n">
        <v>260</v>
      </c>
    </row>
    <row r="262">
      <c r="A262" t="n">
        <v>261</v>
      </c>
      <c r="B262" t="inlineStr">
        <is>
          <t>MTR-IOS-0261</t>
        </is>
      </c>
      <c r="C262" t="inlineStr">
        <is>
          <t>iPhone</t>
        </is>
      </c>
      <c r="D262" t="inlineStr">
        <is>
          <t>Business</t>
        </is>
      </c>
      <c r="E262" t="inlineStr">
        <is>
          <t>Business</t>
        </is>
      </c>
      <c r="F262" t="inlineStr">
        <is>
          <t>Team Operations</t>
        </is>
      </c>
      <c r="G262" t="inlineStr">
        <is>
          <t>Hiring</t>
        </is>
      </c>
      <c r="H262" t="inlineStr">
        <is>
          <t>Business &gt; Team Operations &gt; Quick Add &gt; Hiring</t>
        </is>
      </c>
      <c r="I262" s="18" t="n">
        <v>15938.59</v>
      </c>
      <c r="J262" t="inlineStr">
        <is>
          <t>Created MTR-IOS-0261 and correlation note visible in Activity/Pulse</t>
        </is>
      </c>
      <c r="K262" t="inlineStr">
        <is>
          <t>NOT_RUN</t>
        </is>
      </c>
      <c r="P262" t="n">
        <v>0</v>
      </c>
      <c r="Q262" t="n">
        <v>261</v>
      </c>
    </row>
    <row r="263">
      <c r="A263" t="n">
        <v>262</v>
      </c>
      <c r="B263" t="inlineStr">
        <is>
          <t>MTR-IOS-0262</t>
        </is>
      </c>
      <c r="C263" t="inlineStr">
        <is>
          <t>iPhone</t>
        </is>
      </c>
      <c r="D263" t="inlineStr">
        <is>
          <t>Personal</t>
        </is>
      </c>
      <c r="E263" t="inlineStr">
        <is>
          <t>Personal</t>
        </is>
      </c>
      <c r="F263" t="inlineStr">
        <is>
          <t>Relationships</t>
        </is>
      </c>
      <c r="G263" t="inlineStr">
        <is>
          <t>Gifts</t>
        </is>
      </c>
      <c r="H263" t="inlineStr">
        <is>
          <t>Personal &gt; Relationships &gt; Quick Add &gt; Gifts</t>
        </is>
      </c>
      <c r="I263" s="18" t="n">
        <v>506.33</v>
      </c>
      <c r="J263" t="inlineStr">
        <is>
          <t>Created MTR-IOS-0262 and correlation note visible in Activity/Pulse</t>
        </is>
      </c>
      <c r="K263" t="inlineStr">
        <is>
          <t>NOT_RUN</t>
        </is>
      </c>
      <c r="P263" t="n">
        <v>0</v>
      </c>
      <c r="Q263" t="n">
        <v>262</v>
      </c>
    </row>
    <row r="264">
      <c r="A264" t="n">
        <v>263</v>
      </c>
      <c r="B264" t="inlineStr">
        <is>
          <t>MTR-IOS-0263</t>
        </is>
      </c>
      <c r="C264" t="inlineStr">
        <is>
          <t>iPhone</t>
        </is>
      </c>
      <c r="D264" t="inlineStr">
        <is>
          <t>Group</t>
        </is>
      </c>
      <c r="E264" t="inlineStr">
        <is>
          <t>Shared Purchase</t>
        </is>
      </c>
      <c r="F264" t="inlineStr">
        <is>
          <t>Purchase</t>
        </is>
      </c>
      <c r="G264" t="inlineStr">
        <is>
          <t>Shipping</t>
        </is>
      </c>
      <c r="H264" t="inlineStr">
        <is>
          <t>Group &gt; Purchase &gt; Quick Add &gt; Shipping</t>
        </is>
      </c>
      <c r="I264" s="18" t="n">
        <v>10911.16</v>
      </c>
      <c r="J264" t="inlineStr">
        <is>
          <t>Created MTR-IOS-0263 and correlation note visible in Activity/Pulse</t>
        </is>
      </c>
      <c r="K264" t="inlineStr">
        <is>
          <t>NOT_RUN</t>
        </is>
      </c>
      <c r="P264" t="n">
        <v>0</v>
      </c>
      <c r="Q264" t="n">
        <v>263</v>
      </c>
    </row>
    <row r="265">
      <c r="A265" t="n">
        <v>264</v>
      </c>
      <c r="B265" t="inlineStr">
        <is>
          <t>MTR-IOS-0264</t>
        </is>
      </c>
      <c r="C265" t="inlineStr">
        <is>
          <t>iPhone</t>
        </is>
      </c>
      <c r="D265" t="inlineStr">
        <is>
          <t>Business</t>
        </is>
      </c>
      <c r="E265" t="inlineStr">
        <is>
          <t>Business</t>
        </is>
      </c>
      <c r="F265" t="inlineStr">
        <is>
          <t>Team Operations</t>
        </is>
      </c>
      <c r="G265" t="inlineStr">
        <is>
          <t>Team Meal</t>
        </is>
      </c>
      <c r="H265" t="inlineStr">
        <is>
          <t>Business &gt; Team Operations &gt; Quick Add &gt; Team Meal</t>
        </is>
      </c>
      <c r="I265" s="18" t="n">
        <v>33632.79</v>
      </c>
      <c r="J265" t="inlineStr">
        <is>
          <t>Created MTR-IOS-0264 and correlation note visible in Activity/Pulse</t>
        </is>
      </c>
      <c r="K265" t="inlineStr">
        <is>
          <t>NOT_RUN</t>
        </is>
      </c>
      <c r="P265" t="n">
        <v>0</v>
      </c>
      <c r="Q265" t="n">
        <v>264</v>
      </c>
    </row>
    <row r="266">
      <c r="A266" t="n">
        <v>265</v>
      </c>
      <c r="B266" t="inlineStr">
        <is>
          <t>MTR-IOS-0265</t>
        </is>
      </c>
      <c r="C266" t="inlineStr">
        <is>
          <t>iPhone</t>
        </is>
      </c>
      <c r="D266" t="inlineStr">
        <is>
          <t>Personal</t>
        </is>
      </c>
      <c r="E266" t="inlineStr">
        <is>
          <t>Personal</t>
        </is>
      </c>
      <c r="F266" t="inlineStr">
        <is>
          <t>Relationships</t>
        </is>
      </c>
      <c r="G266" t="inlineStr">
        <is>
          <t>Dates</t>
        </is>
      </c>
      <c r="H266" t="inlineStr">
        <is>
          <t>Personal &gt; Relationships &gt; Quick Add &gt; Dates</t>
        </is>
      </c>
      <c r="I266" s="18" t="n">
        <v>9511.299999999999</v>
      </c>
      <c r="J266" t="inlineStr">
        <is>
          <t>Created MTR-IOS-0265 and correlation note visible in Activity/Pulse</t>
        </is>
      </c>
      <c r="K266" t="inlineStr">
        <is>
          <t>NOT_RUN</t>
        </is>
      </c>
      <c r="P266" t="n">
        <v>0</v>
      </c>
      <c r="Q266" t="n">
        <v>265</v>
      </c>
    </row>
    <row r="267">
      <c r="A267" t="n">
        <v>266</v>
      </c>
      <c r="B267" t="inlineStr">
        <is>
          <t>MTR-IOS-0266</t>
        </is>
      </c>
      <c r="C267" t="inlineStr">
        <is>
          <t>iPhone</t>
        </is>
      </c>
      <c r="D267" t="inlineStr">
        <is>
          <t>Group</t>
        </is>
      </c>
      <c r="E267" t="inlineStr">
        <is>
          <t>Shared Purchase</t>
        </is>
      </c>
      <c r="F267" t="inlineStr">
        <is>
          <t>Purchase</t>
        </is>
      </c>
      <c r="G267" t="inlineStr">
        <is>
          <t>Tax</t>
        </is>
      </c>
      <c r="H267" t="inlineStr">
        <is>
          <t>Group &gt; Purchase &gt; Quick Add &gt; Tax</t>
        </is>
      </c>
      <c r="I267" s="18" t="n">
        <v>20835.17</v>
      </c>
      <c r="J267" t="inlineStr">
        <is>
          <t>Created MTR-IOS-0266 and correlation note visible in Activity/Pulse</t>
        </is>
      </c>
      <c r="K267" t="inlineStr">
        <is>
          <t>NOT_RUN</t>
        </is>
      </c>
      <c r="P267" t="n">
        <v>0</v>
      </c>
      <c r="Q267" t="n">
        <v>266</v>
      </c>
    </row>
    <row r="268">
      <c r="A268" t="n">
        <v>267</v>
      </c>
      <c r="B268" t="inlineStr">
        <is>
          <t>MTR-IOS-0267</t>
        </is>
      </c>
      <c r="C268" t="inlineStr">
        <is>
          <t>iPhone</t>
        </is>
      </c>
      <c r="D268" t="inlineStr">
        <is>
          <t>Business</t>
        </is>
      </c>
      <c r="E268" t="inlineStr">
        <is>
          <t>Business</t>
        </is>
      </c>
      <c r="F268" t="inlineStr">
        <is>
          <t>Team Operations</t>
        </is>
      </c>
      <c r="G268" t="inlineStr">
        <is>
          <t>Travel</t>
        </is>
      </c>
      <c r="H268" t="inlineStr">
        <is>
          <t>Business &gt; Team Operations &gt; Quick Add &gt; Travel</t>
        </is>
      </c>
      <c r="I268" s="18" t="n">
        <v>60034.72</v>
      </c>
      <c r="J268" t="inlineStr">
        <is>
          <t>Created MTR-IOS-0267 and correlation note visible in Activity/Pulse</t>
        </is>
      </c>
      <c r="K268" t="inlineStr">
        <is>
          <t>NOT_RUN</t>
        </is>
      </c>
      <c r="P268" t="n">
        <v>0</v>
      </c>
      <c r="Q268" t="n">
        <v>267</v>
      </c>
    </row>
    <row r="269">
      <c r="A269" t="n">
        <v>268</v>
      </c>
      <c r="B269" t="inlineStr">
        <is>
          <t>MTR-IOS-0268</t>
        </is>
      </c>
      <c r="C269" t="inlineStr">
        <is>
          <t>iPhone</t>
        </is>
      </c>
      <c r="D269" t="inlineStr">
        <is>
          <t>Personal</t>
        </is>
      </c>
      <c r="E269" t="inlineStr">
        <is>
          <t>Personal</t>
        </is>
      </c>
      <c r="F269" t="inlineStr">
        <is>
          <t>Relationships</t>
        </is>
      </c>
      <c r="G269" t="inlineStr">
        <is>
          <t>Family</t>
        </is>
      </c>
      <c r="H269" t="inlineStr">
        <is>
          <t>Personal &gt; Relationships &gt; Quick Add &gt; Family</t>
        </is>
      </c>
      <c r="I269" s="18" t="n">
        <v>11878.71</v>
      </c>
      <c r="J269" t="inlineStr">
        <is>
          <t>Created MTR-IOS-0268 and correlation note visible in Activity/Pulse</t>
        </is>
      </c>
      <c r="K269" t="inlineStr">
        <is>
          <t>NOT_RUN</t>
        </is>
      </c>
      <c r="P269" t="n">
        <v>0</v>
      </c>
      <c r="Q269" t="n">
        <v>268</v>
      </c>
    </row>
    <row r="270">
      <c r="A270" t="n">
        <v>269</v>
      </c>
      <c r="B270" t="inlineStr">
        <is>
          <t>MTR-IOS-0269</t>
        </is>
      </c>
      <c r="C270" t="inlineStr">
        <is>
          <t>iPhone</t>
        </is>
      </c>
      <c r="D270" t="inlineStr">
        <is>
          <t>Group</t>
        </is>
      </c>
      <c r="E270" t="inlineStr">
        <is>
          <t>Shared Purchase</t>
        </is>
      </c>
      <c r="F270" t="inlineStr">
        <is>
          <t>Purchase</t>
        </is>
      </c>
      <c r="G270" t="inlineStr">
        <is>
          <t>Other</t>
        </is>
      </c>
      <c r="H270" t="inlineStr">
        <is>
          <t>Group &gt; Purchase &gt; Quick Add &gt; Other</t>
        </is>
      </c>
      <c r="I270" s="18" t="n">
        <v>7185.47</v>
      </c>
      <c r="J270" t="inlineStr">
        <is>
          <t>Created MTR-IOS-0269 and correlation note visible in Activity/Pulse</t>
        </is>
      </c>
      <c r="K270" t="inlineStr">
        <is>
          <t>NOT_RUN</t>
        </is>
      </c>
      <c r="P270" t="n">
        <v>0</v>
      </c>
      <c r="Q270" t="n">
        <v>269</v>
      </c>
    </row>
    <row r="271">
      <c r="A271" t="n">
        <v>270</v>
      </c>
      <c r="B271" t="inlineStr">
        <is>
          <t>MTR-IOS-0270</t>
        </is>
      </c>
      <c r="C271" t="inlineStr">
        <is>
          <t>iPhone</t>
        </is>
      </c>
      <c r="D271" t="inlineStr">
        <is>
          <t>Business</t>
        </is>
      </c>
      <c r="E271" t="inlineStr">
        <is>
          <t>Business</t>
        </is>
      </c>
      <c r="F271" t="inlineStr">
        <is>
          <t>Team Operations</t>
        </is>
      </c>
      <c r="G271" t="inlineStr">
        <is>
          <t>Training</t>
        </is>
      </c>
      <c r="H271" t="inlineStr">
        <is>
          <t>Business &gt; Team Operations &gt; Quick Add &gt; Training</t>
        </is>
      </c>
      <c r="I271" s="18" t="n">
        <v>7332.04</v>
      </c>
      <c r="J271" t="inlineStr">
        <is>
          <t>Created MTR-IOS-0270 and correlation note visible in Activity/Pulse</t>
        </is>
      </c>
      <c r="K271" t="inlineStr">
        <is>
          <t>NOT_RUN</t>
        </is>
      </c>
      <c r="P271" t="n">
        <v>0</v>
      </c>
      <c r="Q271" t="n">
        <v>270</v>
      </c>
    </row>
    <row r="272">
      <c r="A272" t="n">
        <v>271</v>
      </c>
      <c r="B272" t="inlineStr">
        <is>
          <t>MTR-IOS-0271</t>
        </is>
      </c>
      <c r="C272" t="inlineStr">
        <is>
          <t>iPhone</t>
        </is>
      </c>
      <c r="D272" t="inlineStr">
        <is>
          <t>Personal</t>
        </is>
      </c>
      <c r="E272" t="inlineStr">
        <is>
          <t>Personal</t>
        </is>
      </c>
      <c r="F272" t="inlineStr">
        <is>
          <t>Relationships</t>
        </is>
      </c>
      <c r="G272" t="inlineStr">
        <is>
          <t>Friends</t>
        </is>
      </c>
      <c r="H272" t="inlineStr">
        <is>
          <t>Personal &gt; Relationships &gt; Quick Add &gt; Friends</t>
        </is>
      </c>
      <c r="I272" s="18" t="n">
        <v>4398.61</v>
      </c>
      <c r="J272" t="inlineStr">
        <is>
          <t>Created MTR-IOS-0271 and correlation note visible in Activity/Pulse</t>
        </is>
      </c>
      <c r="K272" t="inlineStr">
        <is>
          <t>NOT_RUN</t>
        </is>
      </c>
      <c r="P272" t="n">
        <v>0</v>
      </c>
      <c r="Q272" t="n">
        <v>271</v>
      </c>
    </row>
    <row r="273">
      <c r="A273" t="n">
        <v>272</v>
      </c>
      <c r="B273" t="inlineStr">
        <is>
          <t>MTR-IOS-0272</t>
        </is>
      </c>
      <c r="C273" t="inlineStr">
        <is>
          <t>iPhone</t>
        </is>
      </c>
      <c r="D273" t="inlineStr">
        <is>
          <t>Group</t>
        </is>
      </c>
      <c r="E273" t="inlineStr">
        <is>
          <t>Shared Purchase</t>
        </is>
      </c>
      <c r="F273" t="inlineStr">
        <is>
          <t>Assets</t>
        </is>
      </c>
      <c r="G273" t="inlineStr">
        <is>
          <t>Purchase</t>
        </is>
      </c>
      <c r="H273" t="inlineStr">
        <is>
          <t>Group &gt; Assets &gt; Quick Add &gt; Purchase</t>
        </is>
      </c>
      <c r="I273" s="18" t="n">
        <v>13337.69</v>
      </c>
      <c r="J273" t="inlineStr">
        <is>
          <t>Created MTR-IOS-0272 and correlation note visible in Activity/Pulse</t>
        </is>
      </c>
      <c r="K273" t="inlineStr">
        <is>
          <t>NOT_RUN</t>
        </is>
      </c>
      <c r="P273" t="n">
        <v>0</v>
      </c>
      <c r="Q273" t="n">
        <v>272</v>
      </c>
    </row>
    <row r="274">
      <c r="A274" t="n">
        <v>273</v>
      </c>
      <c r="B274" t="inlineStr">
        <is>
          <t>MTR-IOS-0273</t>
        </is>
      </c>
      <c r="C274" t="inlineStr">
        <is>
          <t>iPhone</t>
        </is>
      </c>
      <c r="D274" t="inlineStr">
        <is>
          <t>Business</t>
        </is>
      </c>
      <c r="E274" t="inlineStr">
        <is>
          <t>Business</t>
        </is>
      </c>
      <c r="F274" t="inlineStr">
        <is>
          <t>Team Operations</t>
        </is>
      </c>
      <c r="G274" t="inlineStr">
        <is>
          <t>Tools</t>
        </is>
      </c>
      <c r="H274" t="inlineStr">
        <is>
          <t>Business &gt; Team Operations &gt; Quick Add &gt; Tools</t>
        </is>
      </c>
      <c r="I274" s="18" t="n">
        <v>134438.24</v>
      </c>
      <c r="J274" t="inlineStr">
        <is>
          <t>Created MTR-IOS-0273 and correlation note visible in Activity/Pulse</t>
        </is>
      </c>
      <c r="K274" t="inlineStr">
        <is>
          <t>NOT_RUN</t>
        </is>
      </c>
      <c r="P274" t="n">
        <v>0</v>
      </c>
      <c r="Q274" t="n">
        <v>273</v>
      </c>
    </row>
    <row r="275">
      <c r="A275" t="n">
        <v>274</v>
      </c>
      <c r="B275" t="inlineStr">
        <is>
          <t>MTR-IOS-0274</t>
        </is>
      </c>
      <c r="C275" t="inlineStr">
        <is>
          <t>iPhone</t>
        </is>
      </c>
      <c r="D275" t="inlineStr">
        <is>
          <t>Personal</t>
        </is>
      </c>
      <c r="E275" t="inlineStr">
        <is>
          <t>Personal</t>
        </is>
      </c>
      <c r="F275" t="inlineStr">
        <is>
          <t>Relationships</t>
        </is>
      </c>
      <c r="G275" t="inlineStr">
        <is>
          <t>Celebrations</t>
        </is>
      </c>
      <c r="H275" t="inlineStr">
        <is>
          <t>Personal &gt; Relationships &gt; Quick Add &gt; Celebrations</t>
        </is>
      </c>
      <c r="I275" s="18" t="n">
        <v>14827.17</v>
      </c>
      <c r="J275" t="inlineStr">
        <is>
          <t>Created MTR-IOS-0274 and correlation note visible in Activity/Pulse</t>
        </is>
      </c>
      <c r="K275" t="inlineStr">
        <is>
          <t>NOT_RUN</t>
        </is>
      </c>
      <c r="P275" t="n">
        <v>0</v>
      </c>
      <c r="Q275" t="n">
        <v>274</v>
      </c>
    </row>
    <row r="276">
      <c r="A276" t="n">
        <v>275</v>
      </c>
      <c r="B276" t="inlineStr">
        <is>
          <t>MTR-IOS-0275</t>
        </is>
      </c>
      <c r="C276" t="inlineStr">
        <is>
          <t>iPhone</t>
        </is>
      </c>
      <c r="D276" t="inlineStr">
        <is>
          <t>Group</t>
        </is>
      </c>
      <c r="E276" t="inlineStr">
        <is>
          <t>Shared Purchase</t>
        </is>
      </c>
      <c r="F276" t="inlineStr">
        <is>
          <t>Assets</t>
        </is>
      </c>
      <c r="G276" t="inlineStr">
        <is>
          <t>Maintenance</t>
        </is>
      </c>
      <c r="H276" t="inlineStr">
        <is>
          <t>Group &gt; Assets &gt; Quick Add &gt; Maintenance</t>
        </is>
      </c>
      <c r="I276" s="18" t="n">
        <v>5682.01</v>
      </c>
      <c r="J276" t="inlineStr">
        <is>
          <t>Created MTR-IOS-0275 and correlation note visible in Activity/Pulse</t>
        </is>
      </c>
      <c r="K276" t="inlineStr">
        <is>
          <t>NOT_RUN</t>
        </is>
      </c>
      <c r="P276" t="n">
        <v>0</v>
      </c>
      <c r="Q276" t="n">
        <v>275</v>
      </c>
    </row>
    <row r="277">
      <c r="A277" t="n">
        <v>276</v>
      </c>
      <c r="B277" t="inlineStr">
        <is>
          <t>MTR-IOS-0276</t>
        </is>
      </c>
      <c r="C277" t="inlineStr">
        <is>
          <t>iPhone</t>
        </is>
      </c>
      <c r="D277" t="inlineStr">
        <is>
          <t>Business</t>
        </is>
      </c>
      <c r="E277" t="inlineStr">
        <is>
          <t>Business</t>
        </is>
      </c>
      <c r="F277" t="inlineStr">
        <is>
          <t>Business Runway</t>
        </is>
      </c>
      <c r="G277" t="inlineStr">
        <is>
          <t>Funding</t>
        </is>
      </c>
      <c r="H277" t="inlineStr">
        <is>
          <t>Business &gt; Business Runway &gt; Quick Add &gt; Funding</t>
        </is>
      </c>
      <c r="I277" s="18" t="n">
        <v>134066.94</v>
      </c>
      <c r="J277" t="inlineStr">
        <is>
          <t>Created MTR-IOS-0276 and correlation note visible in Activity/Pulse</t>
        </is>
      </c>
      <c r="K277" t="inlineStr">
        <is>
          <t>NOT_RUN</t>
        </is>
      </c>
      <c r="P277" t="n">
        <v>0</v>
      </c>
      <c r="Q277" t="n">
        <v>276</v>
      </c>
    </row>
    <row r="278">
      <c r="A278" t="n">
        <v>277</v>
      </c>
      <c r="B278" t="inlineStr">
        <is>
          <t>MTR-IOS-0277</t>
        </is>
      </c>
      <c r="C278" t="inlineStr">
        <is>
          <t>iPhone</t>
        </is>
      </c>
      <c r="D278" t="inlineStr">
        <is>
          <t>Personal</t>
        </is>
      </c>
      <c r="E278" t="inlineStr">
        <is>
          <t>Personal</t>
        </is>
      </c>
      <c r="F278" t="inlineStr">
        <is>
          <t>Life Operations</t>
        </is>
      </c>
      <c r="G278" t="inlineStr">
        <is>
          <t>Groceries</t>
        </is>
      </c>
      <c r="H278" t="inlineStr">
        <is>
          <t>Personal &gt; Life Operations &gt; Quick Add &gt; Groceries</t>
        </is>
      </c>
      <c r="I278" s="18" t="n">
        <v>5592.82</v>
      </c>
      <c r="J278" t="inlineStr">
        <is>
          <t>Created MTR-IOS-0277 and correlation note visible in Activity/Pulse</t>
        </is>
      </c>
      <c r="K278" t="inlineStr">
        <is>
          <t>NOT_RUN</t>
        </is>
      </c>
      <c r="P278" t="n">
        <v>0</v>
      </c>
      <c r="Q278" t="n">
        <v>277</v>
      </c>
    </row>
    <row r="279">
      <c r="A279" t="n">
        <v>278</v>
      </c>
      <c r="B279" t="inlineStr">
        <is>
          <t>MTR-IOS-0278</t>
        </is>
      </c>
      <c r="C279" t="inlineStr">
        <is>
          <t>iPhone</t>
        </is>
      </c>
      <c r="D279" t="inlineStr">
        <is>
          <t>Group</t>
        </is>
      </c>
      <c r="E279" t="inlineStr">
        <is>
          <t>Shared Purchase</t>
        </is>
      </c>
      <c r="F279" t="inlineStr">
        <is>
          <t>Assets</t>
        </is>
      </c>
      <c r="G279" t="inlineStr">
        <is>
          <t>Repair</t>
        </is>
      </c>
      <c r="H279" t="inlineStr">
        <is>
          <t>Group &gt; Assets &gt; Quick Add &gt; Repair</t>
        </is>
      </c>
      <c r="I279" s="18" t="n">
        <v>25797.51</v>
      </c>
      <c r="J279" t="inlineStr">
        <is>
          <t>Created MTR-IOS-0278 and correlation note visible in Activity/Pulse</t>
        </is>
      </c>
      <c r="K279" t="inlineStr">
        <is>
          <t>NOT_RUN</t>
        </is>
      </c>
      <c r="P279" t="n">
        <v>0</v>
      </c>
      <c r="Q279" t="n">
        <v>278</v>
      </c>
    </row>
    <row r="280">
      <c r="A280" t="n">
        <v>279</v>
      </c>
      <c r="B280" t="inlineStr">
        <is>
          <t>MTR-IOS-0279</t>
        </is>
      </c>
      <c r="C280" t="inlineStr">
        <is>
          <t>iPhone</t>
        </is>
      </c>
      <c r="D280" t="inlineStr">
        <is>
          <t>Business</t>
        </is>
      </c>
      <c r="E280" t="inlineStr">
        <is>
          <t>Business</t>
        </is>
      </c>
      <c r="F280" t="inlineStr">
        <is>
          <t>Business Runway</t>
        </is>
      </c>
      <c r="G280" t="inlineStr">
        <is>
          <t>Revenue</t>
        </is>
      </c>
      <c r="H280" t="inlineStr">
        <is>
          <t>Business &gt; Business Runway &gt; Quick Add &gt; Revenue</t>
        </is>
      </c>
      <c r="I280" s="18" t="n">
        <v>56460.54</v>
      </c>
      <c r="J280" t="inlineStr">
        <is>
          <t>Created MTR-IOS-0279 and correlation note visible in Activity/Pulse</t>
        </is>
      </c>
      <c r="K280" t="inlineStr">
        <is>
          <t>NOT_RUN</t>
        </is>
      </c>
      <c r="P280" t="n">
        <v>0</v>
      </c>
      <c r="Q280" t="n">
        <v>279</v>
      </c>
    </row>
    <row r="281">
      <c r="A281" t="n">
        <v>280</v>
      </c>
      <c r="B281" t="inlineStr">
        <is>
          <t>MTR-IOS-0280</t>
        </is>
      </c>
      <c r="C281" t="inlineStr">
        <is>
          <t>iPhone</t>
        </is>
      </c>
      <c r="D281" t="inlineStr">
        <is>
          <t>Personal</t>
        </is>
      </c>
      <c r="E281" t="inlineStr">
        <is>
          <t>Personal</t>
        </is>
      </c>
      <c r="F281" t="inlineStr">
        <is>
          <t>Life Operations</t>
        </is>
      </c>
      <c r="G281" t="inlineStr">
        <is>
          <t>Rent</t>
        </is>
      </c>
      <c r="H281" t="inlineStr">
        <is>
          <t>Personal &gt; Life Operations &gt; Quick Add &gt; Rent</t>
        </is>
      </c>
      <c r="I281" s="18" t="n">
        <v>11549.52</v>
      </c>
      <c r="J281" t="inlineStr">
        <is>
          <t>Created MTR-IOS-0280 and correlation note visible in Activity/Pulse</t>
        </is>
      </c>
      <c r="K281" t="inlineStr">
        <is>
          <t>NOT_RUN</t>
        </is>
      </c>
      <c r="P281" t="n">
        <v>0</v>
      </c>
      <c r="Q281" t="n">
        <v>280</v>
      </c>
    </row>
    <row r="282">
      <c r="A282" t="n">
        <v>281</v>
      </c>
      <c r="B282" t="inlineStr">
        <is>
          <t>MTR-IOS-0281</t>
        </is>
      </c>
      <c r="C282" t="inlineStr">
        <is>
          <t>iPhone</t>
        </is>
      </c>
      <c r="D282" t="inlineStr">
        <is>
          <t>Group</t>
        </is>
      </c>
      <c r="E282" t="inlineStr">
        <is>
          <t>Shared Purchase</t>
        </is>
      </c>
      <c r="F282" t="inlineStr">
        <is>
          <t>Assets</t>
        </is>
      </c>
      <c r="G282" t="inlineStr">
        <is>
          <t>Insurance</t>
        </is>
      </c>
      <c r="H282" t="inlineStr">
        <is>
          <t>Group &gt; Assets &gt; Quick Add &gt; Insurance</t>
        </is>
      </c>
      <c r="I282" s="18" t="n">
        <v>325.85</v>
      </c>
      <c r="J282" t="inlineStr">
        <is>
          <t>Created MTR-IOS-0281 and correlation note visible in Activity/Pulse</t>
        </is>
      </c>
      <c r="K282" t="inlineStr">
        <is>
          <t>NOT_RUN</t>
        </is>
      </c>
      <c r="P282" t="n">
        <v>0</v>
      </c>
      <c r="Q282" t="n">
        <v>281</v>
      </c>
    </row>
    <row r="283">
      <c r="A283" t="n">
        <v>282</v>
      </c>
      <c r="B283" t="inlineStr">
        <is>
          <t>MTR-IOS-0282</t>
        </is>
      </c>
      <c r="C283" t="inlineStr">
        <is>
          <t>iPhone</t>
        </is>
      </c>
      <c r="D283" t="inlineStr">
        <is>
          <t>Business</t>
        </is>
      </c>
      <c r="E283" t="inlineStr">
        <is>
          <t>Business</t>
        </is>
      </c>
      <c r="F283" t="inlineStr">
        <is>
          <t>Business Runway</t>
        </is>
      </c>
      <c r="G283" t="inlineStr">
        <is>
          <t>Burn</t>
        </is>
      </c>
      <c r="H283" t="inlineStr">
        <is>
          <t>Business &gt; Business Runway &gt; Quick Add &gt; Burn</t>
        </is>
      </c>
      <c r="I283" s="18" t="n">
        <v>110941.69</v>
      </c>
      <c r="J283" t="inlineStr">
        <is>
          <t>Created MTR-IOS-0282 and correlation note visible in Activity/Pulse</t>
        </is>
      </c>
      <c r="K283" t="inlineStr">
        <is>
          <t>NOT_RUN</t>
        </is>
      </c>
      <c r="P283" t="n">
        <v>0</v>
      </c>
      <c r="Q283" t="n">
        <v>282</v>
      </c>
    </row>
    <row r="284">
      <c r="A284" t="n">
        <v>283</v>
      </c>
      <c r="B284" t="inlineStr">
        <is>
          <t>MTR-IOS-0283</t>
        </is>
      </c>
      <c r="C284" t="inlineStr">
        <is>
          <t>iPhone</t>
        </is>
      </c>
      <c r="D284" t="inlineStr">
        <is>
          <t>Personal</t>
        </is>
      </c>
      <c r="E284" t="inlineStr">
        <is>
          <t>Personal</t>
        </is>
      </c>
      <c r="F284" t="inlineStr">
        <is>
          <t>Life Operations</t>
        </is>
      </c>
      <c r="G284" t="inlineStr">
        <is>
          <t>Bills</t>
        </is>
      </c>
      <c r="H284" t="inlineStr">
        <is>
          <t>Personal &gt; Life Operations &gt; Quick Add &gt; Bills</t>
        </is>
      </c>
      <c r="I284" s="18" t="n">
        <v>14882.51</v>
      </c>
      <c r="J284" t="inlineStr">
        <is>
          <t>Created MTR-IOS-0283 and correlation note visible in Activity/Pulse</t>
        </is>
      </c>
      <c r="K284" t="inlineStr">
        <is>
          <t>NOT_RUN</t>
        </is>
      </c>
      <c r="P284" t="n">
        <v>0</v>
      </c>
      <c r="Q284" t="n">
        <v>283</v>
      </c>
    </row>
    <row r="285">
      <c r="A285" t="n">
        <v>284</v>
      </c>
      <c r="B285" t="inlineStr">
        <is>
          <t>MTR-IOS-0284</t>
        </is>
      </c>
      <c r="C285" t="inlineStr">
        <is>
          <t>iPhone</t>
        </is>
      </c>
      <c r="D285" t="inlineStr">
        <is>
          <t>Group</t>
        </is>
      </c>
      <c r="E285" t="inlineStr">
        <is>
          <t>Shared Purchase</t>
        </is>
      </c>
      <c r="F285" t="inlineStr">
        <is>
          <t>Assets</t>
        </is>
      </c>
      <c r="G285" t="inlineStr">
        <is>
          <t>Other</t>
        </is>
      </c>
      <c r="H285" t="inlineStr">
        <is>
          <t>Group &gt; Assets &gt; Quick Add &gt; Other</t>
        </is>
      </c>
      <c r="I285" s="18" t="n">
        <v>10697.13</v>
      </c>
      <c r="J285" t="inlineStr">
        <is>
          <t>Created MTR-IOS-0284 and correlation note visible in Activity/Pulse</t>
        </is>
      </c>
      <c r="K285" t="inlineStr">
        <is>
          <t>NOT_RUN</t>
        </is>
      </c>
      <c r="P285" t="n">
        <v>0</v>
      </c>
      <c r="Q285" t="n">
        <v>284</v>
      </c>
    </row>
    <row r="286">
      <c r="A286" t="n">
        <v>285</v>
      </c>
      <c r="B286" t="inlineStr">
        <is>
          <t>MTR-IOS-0285</t>
        </is>
      </c>
      <c r="C286" t="inlineStr">
        <is>
          <t>iPhone</t>
        </is>
      </c>
      <c r="D286" t="inlineStr">
        <is>
          <t>Business</t>
        </is>
      </c>
      <c r="E286" t="inlineStr">
        <is>
          <t>Business</t>
        </is>
      </c>
      <c r="F286" t="inlineStr">
        <is>
          <t>Business Runway</t>
        </is>
      </c>
      <c r="G286" t="inlineStr">
        <is>
          <t>Reserve</t>
        </is>
      </c>
      <c r="H286" t="inlineStr">
        <is>
          <t>Business &gt; Business Runway &gt; Quick Add &gt; Reserve</t>
        </is>
      </c>
      <c r="I286" s="18" t="n">
        <v>112784.57</v>
      </c>
      <c r="J286" t="inlineStr">
        <is>
          <t>Created MTR-IOS-0285 and correlation note visible in Activity/Pulse</t>
        </is>
      </c>
      <c r="K286" t="inlineStr">
        <is>
          <t>NOT_RUN</t>
        </is>
      </c>
      <c r="P286" t="n">
        <v>0</v>
      </c>
      <c r="Q286" t="n">
        <v>285</v>
      </c>
    </row>
    <row r="287">
      <c r="A287" t="n">
        <v>286</v>
      </c>
      <c r="B287" t="inlineStr">
        <is>
          <t>MTR-IOS-0286</t>
        </is>
      </c>
      <c r="C287" t="inlineStr">
        <is>
          <t>iPhone</t>
        </is>
      </c>
      <c r="D287" t="inlineStr">
        <is>
          <t>Personal</t>
        </is>
      </c>
      <c r="E287" t="inlineStr">
        <is>
          <t>Personal</t>
        </is>
      </c>
      <c r="F287" t="inlineStr">
        <is>
          <t>Life Operations</t>
        </is>
      </c>
      <c r="G287" t="inlineStr">
        <is>
          <t>Transport</t>
        </is>
      </c>
      <c r="H287" t="inlineStr">
        <is>
          <t>Personal &gt; Life Operations &gt; Quick Add &gt; Transport</t>
        </is>
      </c>
      <c r="I287" s="18" t="n">
        <v>9729.48</v>
      </c>
      <c r="J287" t="inlineStr">
        <is>
          <t>Created MTR-IOS-0286 and correlation note visible in Activity/Pulse</t>
        </is>
      </c>
      <c r="K287" t="inlineStr">
        <is>
          <t>NOT_RUN</t>
        </is>
      </c>
      <c r="P287" t="n">
        <v>0</v>
      </c>
      <c r="Q287" t="n">
        <v>286</v>
      </c>
    </row>
    <row r="288">
      <c r="A288" t="n">
        <v>287</v>
      </c>
      <c r="B288" t="inlineStr">
        <is>
          <t>MTR-IOS-0287</t>
        </is>
      </c>
      <c r="C288" t="inlineStr">
        <is>
          <t>iPhone</t>
        </is>
      </c>
      <c r="D288" t="inlineStr">
        <is>
          <t>Group</t>
        </is>
      </c>
      <c r="E288" t="inlineStr">
        <is>
          <t>Shared Purchase</t>
        </is>
      </c>
      <c r="F288" t="inlineStr">
        <is>
          <t>Custom Purchase</t>
        </is>
      </c>
      <c r="G288" t="inlineStr">
        <is>
          <t>Custom Expense</t>
        </is>
      </c>
      <c r="H288" t="inlineStr">
        <is>
          <t>Group &gt; Custom Purchase &gt; Quick Add &gt; Custom Expense</t>
        </is>
      </c>
      <c r="I288" s="18" t="n">
        <v>21347.47</v>
      </c>
      <c r="J288" t="inlineStr">
        <is>
          <t>Created MTR-IOS-0287 and correlation note visible in Activity/Pulse</t>
        </is>
      </c>
      <c r="K288" t="inlineStr">
        <is>
          <t>NOT_RUN</t>
        </is>
      </c>
      <c r="P288" t="n">
        <v>0</v>
      </c>
      <c r="Q288" t="n">
        <v>287</v>
      </c>
    </row>
    <row r="289">
      <c r="A289" t="n">
        <v>288</v>
      </c>
      <c r="B289" t="inlineStr">
        <is>
          <t>MTR-IOS-0288</t>
        </is>
      </c>
      <c r="C289" t="inlineStr">
        <is>
          <t>iPhone</t>
        </is>
      </c>
      <c r="D289" t="inlineStr">
        <is>
          <t>Business</t>
        </is>
      </c>
      <c r="E289" t="inlineStr">
        <is>
          <t>Business</t>
        </is>
      </c>
      <c r="F289" t="inlineStr">
        <is>
          <t>Business Runway</t>
        </is>
      </c>
      <c r="G289" t="inlineStr">
        <is>
          <t>Loan</t>
        </is>
      </c>
      <c r="H289" t="inlineStr">
        <is>
          <t>Business &gt; Business Runway &gt; Quick Add &gt; Loan</t>
        </is>
      </c>
      <c r="I289" s="18" t="n">
        <v>77071.73</v>
      </c>
      <c r="J289" t="inlineStr">
        <is>
          <t>Created MTR-IOS-0288 and correlation note visible in Activity/Pulse</t>
        </is>
      </c>
      <c r="K289" t="inlineStr">
        <is>
          <t>NOT_RUN</t>
        </is>
      </c>
      <c r="P289" t="n">
        <v>0</v>
      </c>
      <c r="Q289" t="n">
        <v>288</v>
      </c>
    </row>
    <row r="290">
      <c r="A290" t="n">
        <v>289</v>
      </c>
      <c r="B290" t="inlineStr">
        <is>
          <t>MTR-IOS-0289</t>
        </is>
      </c>
      <c r="C290" t="inlineStr">
        <is>
          <t>iPhone</t>
        </is>
      </c>
      <c r="D290" t="inlineStr">
        <is>
          <t>Personal</t>
        </is>
      </c>
      <c r="E290" t="inlineStr">
        <is>
          <t>Personal</t>
        </is>
      </c>
      <c r="F290" t="inlineStr">
        <is>
          <t>Life Operations</t>
        </is>
      </c>
      <c r="G290" t="inlineStr">
        <is>
          <t>Healthcare</t>
        </is>
      </c>
      <c r="H290" t="inlineStr">
        <is>
          <t>Personal &gt; Life Operations &gt; Quick Add &gt; Healthcare</t>
        </is>
      </c>
      <c r="I290" s="18" t="n">
        <v>16085.69</v>
      </c>
      <c r="J290" t="inlineStr">
        <is>
          <t>Created MTR-IOS-0289 and correlation note visible in Activity/Pulse</t>
        </is>
      </c>
      <c r="K290" t="inlineStr">
        <is>
          <t>NOT_RUN</t>
        </is>
      </c>
      <c r="P290" t="n">
        <v>0</v>
      </c>
      <c r="Q290" t="n">
        <v>289</v>
      </c>
    </row>
    <row r="291">
      <c r="A291" t="n">
        <v>290</v>
      </c>
      <c r="B291" t="inlineStr">
        <is>
          <t>MTR-IOS-0290</t>
        </is>
      </c>
      <c r="C291" t="inlineStr">
        <is>
          <t>iPhone</t>
        </is>
      </c>
      <c r="D291" t="inlineStr">
        <is>
          <t>Group</t>
        </is>
      </c>
      <c r="E291" t="inlineStr">
        <is>
          <t>Shared Purchase</t>
        </is>
      </c>
      <c r="F291" t="inlineStr">
        <is>
          <t>Custom Purchase</t>
        </is>
      </c>
      <c r="G291" t="inlineStr">
        <is>
          <t>Custom Contribution</t>
        </is>
      </c>
      <c r="H291" t="inlineStr">
        <is>
          <t>Group &gt; Custom Purchase &gt; Quick Add &gt; Custom Contribution</t>
        </is>
      </c>
      <c r="I291" s="18" t="n">
        <v>9774.290000000001</v>
      </c>
      <c r="J291" t="inlineStr">
        <is>
          <t>Created MTR-IOS-0290 and correlation note visible in Activity/Pulse</t>
        </is>
      </c>
      <c r="K291" t="inlineStr">
        <is>
          <t>NOT_RUN</t>
        </is>
      </c>
      <c r="P291" t="n">
        <v>0</v>
      </c>
      <c r="Q291" t="n">
        <v>290</v>
      </c>
    </row>
    <row r="292">
      <c r="A292" t="n">
        <v>291</v>
      </c>
      <c r="B292" t="inlineStr">
        <is>
          <t>MTR-IOS-0291</t>
        </is>
      </c>
      <c r="C292" t="inlineStr">
        <is>
          <t>iPhone</t>
        </is>
      </c>
      <c r="D292" t="inlineStr">
        <is>
          <t>Business</t>
        </is>
      </c>
      <c r="E292" t="inlineStr">
        <is>
          <t>Business</t>
        </is>
      </c>
      <c r="F292" t="inlineStr">
        <is>
          <t>Business Runway</t>
        </is>
      </c>
      <c r="G292" t="inlineStr">
        <is>
          <t>Investment</t>
        </is>
      </c>
      <c r="H292" t="inlineStr">
        <is>
          <t>Business &gt; Business Runway &gt; Quick Add &gt; Investment</t>
        </is>
      </c>
      <c r="I292" s="18" t="n">
        <v>57205.57</v>
      </c>
      <c r="J292" t="inlineStr">
        <is>
          <t>Created MTR-IOS-0291 and correlation note visible in Activity/Pulse</t>
        </is>
      </c>
      <c r="K292" t="inlineStr">
        <is>
          <t>NOT_RUN</t>
        </is>
      </c>
      <c r="P292" t="n">
        <v>0</v>
      </c>
      <c r="Q292" t="n">
        <v>291</v>
      </c>
    </row>
    <row r="293">
      <c r="A293" t="n">
        <v>292</v>
      </c>
      <c r="B293" t="inlineStr">
        <is>
          <t>MTR-IOS-0292</t>
        </is>
      </c>
      <c r="C293" t="inlineStr">
        <is>
          <t>iPhone</t>
        </is>
      </c>
      <c r="D293" t="inlineStr">
        <is>
          <t>Personal</t>
        </is>
      </c>
      <c r="E293" t="inlineStr">
        <is>
          <t>Personal</t>
        </is>
      </c>
      <c r="F293" t="inlineStr">
        <is>
          <t>Life Operations</t>
        </is>
      </c>
      <c r="G293" t="inlineStr">
        <is>
          <t>Subscriptions</t>
        </is>
      </c>
      <c r="H293" t="inlineStr">
        <is>
          <t>Personal &gt; Life Operations &gt; Quick Add &gt; Subscriptions</t>
        </is>
      </c>
      <c r="I293" s="18" t="n">
        <v>7371.63</v>
      </c>
      <c r="J293" t="inlineStr">
        <is>
          <t>Created MTR-IOS-0292 and correlation note visible in Activity/Pulse</t>
        </is>
      </c>
      <c r="K293" t="inlineStr">
        <is>
          <t>NOT_RUN</t>
        </is>
      </c>
      <c r="P293" t="n">
        <v>0</v>
      </c>
      <c r="Q293" t="n">
        <v>292</v>
      </c>
    </row>
    <row r="294">
      <c r="A294" t="n">
        <v>293</v>
      </c>
      <c r="B294" t="inlineStr">
        <is>
          <t>MTR-IOS-0293</t>
        </is>
      </c>
      <c r="C294" t="inlineStr">
        <is>
          <t>iPhone</t>
        </is>
      </c>
      <c r="D294" t="inlineStr">
        <is>
          <t>Group</t>
        </is>
      </c>
      <c r="E294" t="inlineStr">
        <is>
          <t>Shared Living</t>
        </is>
      </c>
      <c r="F294" t="inlineStr">
        <is>
          <t>Flatmates</t>
        </is>
      </c>
      <c r="G294" t="inlineStr">
        <is>
          <t>Rent</t>
        </is>
      </c>
      <c r="H294" t="inlineStr">
        <is>
          <t>Group &gt; Flatmates &gt; Quick Add &gt; Rent</t>
        </is>
      </c>
      <c r="I294" s="18" t="n">
        <v>25125.18</v>
      </c>
      <c r="J294" t="inlineStr">
        <is>
          <t>Created MTR-IOS-0293 and correlation note visible in Activity/Pulse</t>
        </is>
      </c>
      <c r="K294" t="inlineStr">
        <is>
          <t>NOT_RUN</t>
        </is>
      </c>
      <c r="P294" t="n">
        <v>0</v>
      </c>
      <c r="Q294" t="n">
        <v>293</v>
      </c>
    </row>
    <row r="295">
      <c r="A295" t="n">
        <v>294</v>
      </c>
      <c r="B295" t="inlineStr">
        <is>
          <t>MTR-IOS-0294</t>
        </is>
      </c>
      <c r="C295" t="inlineStr">
        <is>
          <t>iPhone</t>
        </is>
      </c>
      <c r="D295" t="inlineStr">
        <is>
          <t>Business</t>
        </is>
      </c>
      <c r="E295" t="inlineStr">
        <is>
          <t>Business</t>
        </is>
      </c>
      <c r="F295" t="inlineStr">
        <is>
          <t>Business Operations</t>
        </is>
      </c>
      <c r="G295" t="inlineStr">
        <is>
          <t>Software</t>
        </is>
      </c>
      <c r="H295" t="inlineStr">
        <is>
          <t>Business &gt; Business Operations &gt; Quick Add &gt; Software</t>
        </is>
      </c>
      <c r="I295" s="18" t="n">
        <v>107467.51</v>
      </c>
      <c r="J295" t="inlineStr">
        <is>
          <t>Created MTR-IOS-0294 and correlation note visible in Activity/Pulse</t>
        </is>
      </c>
      <c r="K295" t="inlineStr">
        <is>
          <t>NOT_RUN</t>
        </is>
      </c>
      <c r="P295" t="n">
        <v>0</v>
      </c>
      <c r="Q295" t="n">
        <v>294</v>
      </c>
    </row>
    <row r="296">
      <c r="A296" t="n">
        <v>295</v>
      </c>
      <c r="B296" t="inlineStr">
        <is>
          <t>MTR-IOS-0295</t>
        </is>
      </c>
      <c r="C296" t="inlineStr">
        <is>
          <t>iPhone</t>
        </is>
      </c>
      <c r="D296" t="inlineStr">
        <is>
          <t>Personal</t>
        </is>
      </c>
      <c r="E296" t="inlineStr">
        <is>
          <t>Personal</t>
        </is>
      </c>
      <c r="F296" t="inlineStr">
        <is>
          <t>Life Operations</t>
        </is>
      </c>
      <c r="G296" t="inlineStr">
        <is>
          <t>Repairs</t>
        </is>
      </c>
      <c r="H296" t="inlineStr">
        <is>
          <t>Personal &gt; Life Operations &gt; Quick Add &gt; Repairs</t>
        </is>
      </c>
      <c r="I296" s="18" t="n">
        <v>2441.06</v>
      </c>
      <c r="J296" t="inlineStr">
        <is>
          <t>Created MTR-IOS-0295 and correlation note visible in Activity/Pulse</t>
        </is>
      </c>
      <c r="K296" t="inlineStr">
        <is>
          <t>NOT_RUN</t>
        </is>
      </c>
      <c r="P296" t="n">
        <v>0</v>
      </c>
      <c r="Q296" t="n">
        <v>295</v>
      </c>
    </row>
    <row r="297">
      <c r="A297" t="n">
        <v>296</v>
      </c>
      <c r="B297" t="inlineStr">
        <is>
          <t>MTR-IOS-0296</t>
        </is>
      </c>
      <c r="C297" t="inlineStr">
        <is>
          <t>iPhone</t>
        </is>
      </c>
      <c r="D297" t="inlineStr">
        <is>
          <t>Group</t>
        </is>
      </c>
      <c r="E297" t="inlineStr">
        <is>
          <t>Shared Living</t>
        </is>
      </c>
      <c r="F297" t="inlineStr">
        <is>
          <t>Flatmates</t>
        </is>
      </c>
      <c r="G297" t="inlineStr">
        <is>
          <t>Utilities</t>
        </is>
      </c>
      <c r="H297" t="inlineStr">
        <is>
          <t>Group &gt; Flatmates &gt; Quick Add &gt; Utilities</t>
        </is>
      </c>
      <c r="I297" s="18" t="n">
        <v>99.98999999999999</v>
      </c>
      <c r="J297" t="inlineStr">
        <is>
          <t>Created MTR-IOS-0296 and correlation note visible in Activity/Pulse</t>
        </is>
      </c>
      <c r="K297" t="inlineStr">
        <is>
          <t>NOT_RUN</t>
        </is>
      </c>
      <c r="P297" t="n">
        <v>0</v>
      </c>
      <c r="Q297" t="n">
        <v>296</v>
      </c>
    </row>
    <row r="298">
      <c r="A298" t="n">
        <v>297</v>
      </c>
      <c r="B298" t="inlineStr">
        <is>
          <t>MTR-IOS-0297</t>
        </is>
      </c>
      <c r="C298" t="inlineStr">
        <is>
          <t>iPhone</t>
        </is>
      </c>
      <c r="D298" t="inlineStr">
        <is>
          <t>Business</t>
        </is>
      </c>
      <c r="E298" t="inlineStr">
        <is>
          <t>Business</t>
        </is>
      </c>
      <c r="F298" t="inlineStr">
        <is>
          <t>Business Operations</t>
        </is>
      </c>
      <c r="G298" t="inlineStr">
        <is>
          <t>Rent</t>
        </is>
      </c>
      <c r="H298" t="inlineStr">
        <is>
          <t>Business &gt; Business Operations &gt; Quick Add &gt; Rent</t>
        </is>
      </c>
      <c r="I298" s="18" t="n">
        <v>36571.42</v>
      </c>
      <c r="J298" t="inlineStr">
        <is>
          <t>Created MTR-IOS-0297 and correlation note visible in Activity/Pulse</t>
        </is>
      </c>
      <c r="K298" t="inlineStr">
        <is>
          <t>NOT_RUN</t>
        </is>
      </c>
      <c r="P298" t="n">
        <v>0</v>
      </c>
      <c r="Q298" t="n">
        <v>297</v>
      </c>
    </row>
    <row r="299">
      <c r="A299" t="n">
        <v>298</v>
      </c>
      <c r="B299" t="inlineStr">
        <is>
          <t>MTR-IOS-0298</t>
        </is>
      </c>
      <c r="C299" t="inlineStr">
        <is>
          <t>iPhone</t>
        </is>
      </c>
      <c r="D299" t="inlineStr">
        <is>
          <t>Personal</t>
        </is>
      </c>
      <c r="E299" t="inlineStr">
        <is>
          <t>Personal</t>
        </is>
      </c>
      <c r="F299" t="inlineStr">
        <is>
          <t>Future Building</t>
        </is>
      </c>
      <c r="G299" t="inlineStr">
        <is>
          <t>Savings</t>
        </is>
      </c>
      <c r="H299" t="inlineStr">
        <is>
          <t>Personal &gt; Future Building &gt; Quick Add &gt; Savings</t>
        </is>
      </c>
      <c r="I299" s="18" t="n">
        <v>12711.96</v>
      </c>
      <c r="J299" t="inlineStr">
        <is>
          <t>Created MTR-IOS-0298 and correlation note visible in Activity/Pulse</t>
        </is>
      </c>
      <c r="K299" t="inlineStr">
        <is>
          <t>NOT_RUN</t>
        </is>
      </c>
      <c r="P299" t="n">
        <v>0</v>
      </c>
      <c r="Q299" t="n">
        <v>298</v>
      </c>
    </row>
    <row r="300">
      <c r="A300" t="n">
        <v>299</v>
      </c>
      <c r="B300" t="inlineStr">
        <is>
          <t>MTR-IOS-0299</t>
        </is>
      </c>
      <c r="C300" t="inlineStr">
        <is>
          <t>iPhone</t>
        </is>
      </c>
      <c r="D300" t="inlineStr">
        <is>
          <t>Group</t>
        </is>
      </c>
      <c r="E300" t="inlineStr">
        <is>
          <t>Shared Living</t>
        </is>
      </c>
      <c r="F300" t="inlineStr">
        <is>
          <t>Flatmates</t>
        </is>
      </c>
      <c r="G300" t="inlineStr">
        <is>
          <t>Groceries</t>
        </is>
      </c>
      <c r="H300" t="inlineStr">
        <is>
          <t>Group &gt; Flatmates &gt; Quick Add &gt; Groceries</t>
        </is>
      </c>
      <c r="I300" s="18" t="n">
        <v>18077.99</v>
      </c>
      <c r="J300" t="inlineStr">
        <is>
          <t>Created MTR-IOS-0299 and correlation note visible in Activity/Pulse</t>
        </is>
      </c>
      <c r="K300" t="inlineStr">
        <is>
          <t>NOT_RUN</t>
        </is>
      </c>
      <c r="P300" t="n">
        <v>0</v>
      </c>
      <c r="Q300" t="n">
        <v>299</v>
      </c>
    </row>
    <row r="301">
      <c r="A301" t="n">
        <v>300</v>
      </c>
      <c r="B301" t="inlineStr">
        <is>
          <t>MTR-IOS-0300</t>
        </is>
      </c>
      <c r="C301" t="inlineStr">
        <is>
          <t>iPhone</t>
        </is>
      </c>
      <c r="D301" t="inlineStr">
        <is>
          <t>Business</t>
        </is>
      </c>
      <c r="E301" t="inlineStr">
        <is>
          <t>Business</t>
        </is>
      </c>
      <c r="F301" t="inlineStr">
        <is>
          <t>Business Operations</t>
        </is>
      </c>
      <c r="G301" t="inlineStr">
        <is>
          <t>Marketing</t>
        </is>
      </c>
      <c r="H301" t="inlineStr">
        <is>
          <t>Business &gt; Business Operations &gt; Quick Add &gt; Marketing</t>
        </is>
      </c>
      <c r="I301" s="18" t="n">
        <v>33783.66</v>
      </c>
      <c r="J301" t="inlineStr">
        <is>
          <t>Created MTR-IOS-0300 and correlation note visible in Activity/Pulse</t>
        </is>
      </c>
      <c r="K301" t="inlineStr">
        <is>
          <t>NOT_RUN</t>
        </is>
      </c>
      <c r="P301" t="n">
        <v>0</v>
      </c>
      <c r="Q301" t="n">
        <v>300</v>
      </c>
    </row>
    <row r="302">
      <c r="A302" t="n">
        <v>301</v>
      </c>
      <c r="B302" t="inlineStr">
        <is>
          <t>MTR-IOS-0301</t>
        </is>
      </c>
      <c r="C302" t="inlineStr">
        <is>
          <t>iPhone</t>
        </is>
      </c>
      <c r="D302" t="inlineStr">
        <is>
          <t>Personal</t>
        </is>
      </c>
      <c r="E302" t="inlineStr">
        <is>
          <t>Personal</t>
        </is>
      </c>
      <c r="F302" t="inlineStr">
        <is>
          <t>Future Building</t>
        </is>
      </c>
      <c r="G302" t="inlineStr">
        <is>
          <t>Emergency Fund</t>
        </is>
      </c>
      <c r="H302" t="inlineStr">
        <is>
          <t>Personal &gt; Future Building &gt; Quick Add &gt; Emergency Fund</t>
        </is>
      </c>
      <c r="I302" s="18" t="n">
        <v>9488.33</v>
      </c>
      <c r="J302" t="inlineStr">
        <is>
          <t>Created MTR-IOS-0301 and correlation note visible in Activity/Pulse</t>
        </is>
      </c>
      <c r="K302" t="inlineStr">
        <is>
          <t>NOT_RUN</t>
        </is>
      </c>
      <c r="P302" t="n">
        <v>0</v>
      </c>
      <c r="Q302" t="n">
        <v>301</v>
      </c>
    </row>
    <row r="303">
      <c r="A303" t="n">
        <v>302</v>
      </c>
      <c r="B303" t="inlineStr">
        <is>
          <t>MTR-IOS-0302</t>
        </is>
      </c>
      <c r="C303" t="inlineStr">
        <is>
          <t>iPhone</t>
        </is>
      </c>
      <c r="D303" t="inlineStr">
        <is>
          <t>Group</t>
        </is>
      </c>
      <c r="E303" t="inlineStr">
        <is>
          <t>Shared Living</t>
        </is>
      </c>
      <c r="F303" t="inlineStr">
        <is>
          <t>Flatmates</t>
        </is>
      </c>
      <c r="G303" t="inlineStr">
        <is>
          <t>Internet</t>
        </is>
      </c>
      <c r="H303" t="inlineStr">
        <is>
          <t>Group &gt; Flatmates &gt; Quick Add &gt; Internet</t>
        </is>
      </c>
      <c r="I303" s="18" t="n">
        <v>308.75</v>
      </c>
      <c r="J303" t="inlineStr">
        <is>
          <t>Created MTR-IOS-0302 and correlation note visible in Activity/Pulse</t>
        </is>
      </c>
      <c r="K303" t="inlineStr">
        <is>
          <t>NOT_RUN</t>
        </is>
      </c>
      <c r="P303" t="n">
        <v>0</v>
      </c>
      <c r="Q303" t="n">
        <v>302</v>
      </c>
    </row>
    <row r="304">
      <c r="A304" t="n">
        <v>303</v>
      </c>
      <c r="B304" t="inlineStr">
        <is>
          <t>MTR-IOS-0303</t>
        </is>
      </c>
      <c r="C304" t="inlineStr">
        <is>
          <t>iPhone</t>
        </is>
      </c>
      <c r="D304" t="inlineStr">
        <is>
          <t>Business</t>
        </is>
      </c>
      <c r="E304" t="inlineStr">
        <is>
          <t>Business</t>
        </is>
      </c>
      <c r="F304" t="inlineStr">
        <is>
          <t>Business Operations</t>
        </is>
      </c>
      <c r="G304" t="inlineStr">
        <is>
          <t>Legal</t>
        </is>
      </c>
      <c r="H304" t="inlineStr">
        <is>
          <t>Business &gt; Business Operations &gt; Quick Add &gt; Legal</t>
        </is>
      </c>
      <c r="I304" s="18" t="n">
        <v>104511.21</v>
      </c>
      <c r="J304" t="inlineStr">
        <is>
          <t>Created MTR-IOS-0303 and correlation note visible in Activity/Pulse</t>
        </is>
      </c>
      <c r="K304" t="inlineStr">
        <is>
          <t>NOT_RUN</t>
        </is>
      </c>
      <c r="P304" t="n">
        <v>0</v>
      </c>
      <c r="Q304" t="n">
        <v>303</v>
      </c>
    </row>
    <row r="305">
      <c r="A305" t="n">
        <v>304</v>
      </c>
      <c r="B305" t="inlineStr">
        <is>
          <t>MTR-IOS-0304</t>
        </is>
      </c>
      <c r="C305" t="inlineStr">
        <is>
          <t>iPhone</t>
        </is>
      </c>
      <c r="D305" t="inlineStr">
        <is>
          <t>Personal</t>
        </is>
      </c>
      <c r="E305" t="inlineStr">
        <is>
          <t>Personal</t>
        </is>
      </c>
      <c r="F305" t="inlineStr">
        <is>
          <t>Future Building</t>
        </is>
      </c>
      <c r="G305" t="inlineStr">
        <is>
          <t>Investments</t>
        </is>
      </c>
      <c r="H305" t="inlineStr">
        <is>
          <t>Personal &gt; Future Building &gt; Quick Add &gt; Investments</t>
        </is>
      </c>
      <c r="I305" s="18" t="n">
        <v>2794.17</v>
      </c>
      <c r="J305" t="inlineStr">
        <is>
          <t>Created MTR-IOS-0304 and correlation note visible in Activity/Pulse</t>
        </is>
      </c>
      <c r="K305" t="inlineStr">
        <is>
          <t>NOT_RUN</t>
        </is>
      </c>
      <c r="P305" t="n">
        <v>0</v>
      </c>
      <c r="Q305" t="n">
        <v>304</v>
      </c>
    </row>
    <row r="306">
      <c r="A306" t="n">
        <v>305</v>
      </c>
      <c r="B306" t="inlineStr">
        <is>
          <t>MTR-IOS-0305</t>
        </is>
      </c>
      <c r="C306" t="inlineStr">
        <is>
          <t>iPhone</t>
        </is>
      </c>
      <c r="D306" t="inlineStr">
        <is>
          <t>Group</t>
        </is>
      </c>
      <c r="E306" t="inlineStr">
        <is>
          <t>Shared Living</t>
        </is>
      </c>
      <c r="F306" t="inlineStr">
        <is>
          <t>Flatmates</t>
        </is>
      </c>
      <c r="G306" t="inlineStr">
        <is>
          <t>House Supplies</t>
        </is>
      </c>
      <c r="H306" t="inlineStr">
        <is>
          <t>Group &gt; Flatmates &gt; Quick Add &gt; House Supplies</t>
        </is>
      </c>
      <c r="I306" s="18" t="n">
        <v>21035.19</v>
      </c>
      <c r="J306" t="inlineStr">
        <is>
          <t>Created MTR-IOS-0305 and correlation note visible in Activity/Pulse</t>
        </is>
      </c>
      <c r="K306" t="inlineStr">
        <is>
          <t>NOT_RUN</t>
        </is>
      </c>
      <c r="P306" t="n">
        <v>0</v>
      </c>
      <c r="Q306" t="n">
        <v>305</v>
      </c>
    </row>
    <row r="307">
      <c r="A307" t="n">
        <v>306</v>
      </c>
      <c r="B307" t="inlineStr">
        <is>
          <t>MTR-IOS-0306</t>
        </is>
      </c>
      <c r="C307" t="inlineStr">
        <is>
          <t>iPhone</t>
        </is>
      </c>
      <c r="D307" t="inlineStr">
        <is>
          <t>Business</t>
        </is>
      </c>
      <c r="E307" t="inlineStr">
        <is>
          <t>Business</t>
        </is>
      </c>
      <c r="F307" t="inlineStr">
        <is>
          <t>Business Operations</t>
        </is>
      </c>
      <c r="G307" t="inlineStr">
        <is>
          <t>Accounting</t>
        </is>
      </c>
      <c r="H307" t="inlineStr">
        <is>
          <t>Business &gt; Business Operations &gt; Quick Add &gt; Accounting</t>
        </is>
      </c>
      <c r="I307" s="18" t="n">
        <v>163472.03</v>
      </c>
      <c r="J307" t="inlineStr">
        <is>
          <t>Created MTR-IOS-0306 and correlation note visible in Activity/Pulse</t>
        </is>
      </c>
      <c r="K307" t="inlineStr">
        <is>
          <t>NOT_RUN</t>
        </is>
      </c>
      <c r="P307" t="n">
        <v>0</v>
      </c>
      <c r="Q307" t="n">
        <v>306</v>
      </c>
    </row>
    <row r="308">
      <c r="A308" t="n">
        <v>307</v>
      </c>
      <c r="B308" t="inlineStr">
        <is>
          <t>MTR-IOS-0307</t>
        </is>
      </c>
      <c r="C308" t="inlineStr">
        <is>
          <t>iPhone</t>
        </is>
      </c>
      <c r="D308" t="inlineStr">
        <is>
          <t>Personal</t>
        </is>
      </c>
      <c r="E308" t="inlineStr">
        <is>
          <t>Personal</t>
        </is>
      </c>
      <c r="F308" t="inlineStr">
        <is>
          <t>Future Building</t>
        </is>
      </c>
      <c r="G308" t="inlineStr">
        <is>
          <t>Education</t>
        </is>
      </c>
      <c r="H308" t="inlineStr">
        <is>
          <t>Personal &gt; Future Building &gt; Quick Add &gt; Education</t>
        </is>
      </c>
      <c r="I308" s="18" t="n">
        <v>107.59</v>
      </c>
      <c r="J308" t="inlineStr">
        <is>
          <t>Created MTR-IOS-0307 and correlation note visible in Activity/Pulse</t>
        </is>
      </c>
      <c r="K308" t="inlineStr">
        <is>
          <t>NOT_RUN</t>
        </is>
      </c>
      <c r="P308" t="n">
        <v>0</v>
      </c>
      <c r="Q308" t="n">
        <v>307</v>
      </c>
    </row>
    <row r="309">
      <c r="A309" t="n">
        <v>308</v>
      </c>
      <c r="B309" t="inlineStr">
        <is>
          <t>MTR-IOS-0308</t>
        </is>
      </c>
      <c r="C309" t="inlineStr">
        <is>
          <t>iPhone</t>
        </is>
      </c>
      <c r="D309" t="inlineStr">
        <is>
          <t>Group</t>
        </is>
      </c>
      <c r="E309" t="inlineStr">
        <is>
          <t>Shared Living</t>
        </is>
      </c>
      <c r="F309" t="inlineStr">
        <is>
          <t>Flatmates</t>
        </is>
      </c>
      <c r="G309" t="inlineStr">
        <is>
          <t>Repairs</t>
        </is>
      </c>
      <c r="H309" t="inlineStr">
        <is>
          <t>Group &gt; Flatmates &gt; Quick Add &gt; Repairs</t>
        </is>
      </c>
      <c r="I309" s="18" t="n">
        <v>8538.32</v>
      </c>
      <c r="J309" t="inlineStr">
        <is>
          <t>Created MTR-IOS-0308 and correlation note visible in Activity/Pulse</t>
        </is>
      </c>
      <c r="K309" t="inlineStr">
        <is>
          <t>NOT_RUN</t>
        </is>
      </c>
      <c r="P309" t="n">
        <v>0</v>
      </c>
      <c r="Q309" t="n">
        <v>308</v>
      </c>
    </row>
    <row r="310">
      <c r="A310" t="n">
        <v>309</v>
      </c>
      <c r="B310" t="inlineStr">
        <is>
          <t>MTR-IOS-0309</t>
        </is>
      </c>
      <c r="C310" t="inlineStr">
        <is>
          <t>iPhone</t>
        </is>
      </c>
      <c r="D310" t="inlineStr">
        <is>
          <t>Business</t>
        </is>
      </c>
      <c r="E310" t="inlineStr">
        <is>
          <t>Business</t>
        </is>
      </c>
      <c r="F310" t="inlineStr">
        <is>
          <t>Business Operations</t>
        </is>
      </c>
      <c r="G310" t="inlineStr">
        <is>
          <t>Equipment</t>
        </is>
      </c>
      <c r="H310" t="inlineStr">
        <is>
          <t>Business &gt; Business Operations &gt; Quick Add &gt; Equipment</t>
        </is>
      </c>
      <c r="I310" s="18" t="n">
        <v>164742.8</v>
      </c>
      <c r="J310" t="inlineStr">
        <is>
          <t>Created MTR-IOS-0309 and correlation note visible in Activity/Pulse</t>
        </is>
      </c>
      <c r="K310" t="inlineStr">
        <is>
          <t>NOT_RUN</t>
        </is>
      </c>
      <c r="P310" t="n">
        <v>0</v>
      </c>
      <c r="Q310" t="n">
        <v>309</v>
      </c>
    </row>
    <row r="311">
      <c r="A311" t="n">
        <v>310</v>
      </c>
      <c r="B311" t="inlineStr">
        <is>
          <t>MTR-IOS-0310</t>
        </is>
      </c>
      <c r="C311" t="inlineStr">
        <is>
          <t>iPhone</t>
        </is>
      </c>
      <c r="D311" t="inlineStr">
        <is>
          <t>Personal</t>
        </is>
      </c>
      <c r="E311" t="inlineStr">
        <is>
          <t>Personal</t>
        </is>
      </c>
      <c r="F311" t="inlineStr">
        <is>
          <t>Future Building</t>
        </is>
      </c>
      <c r="G311" t="inlineStr">
        <is>
          <t>Goal Contribution</t>
        </is>
      </c>
      <c r="H311" t="inlineStr">
        <is>
          <t>Personal &gt; Future Building &gt; Quick Add &gt; Goal Contribution</t>
        </is>
      </c>
      <c r="I311" s="18" t="n">
        <v>3276.39</v>
      </c>
      <c r="J311" t="inlineStr">
        <is>
          <t>Created MTR-IOS-0310 and correlation note visible in Activity/Pulse</t>
        </is>
      </c>
      <c r="K311" t="inlineStr">
        <is>
          <t>NOT_RUN</t>
        </is>
      </c>
      <c r="P311" t="n">
        <v>0</v>
      </c>
      <c r="Q311" t="n">
        <v>310</v>
      </c>
    </row>
    <row r="312">
      <c r="A312" t="n">
        <v>311</v>
      </c>
      <c r="B312" t="inlineStr">
        <is>
          <t>MTR-IOS-0311</t>
        </is>
      </c>
      <c r="C312" t="inlineStr">
        <is>
          <t>iPhone</t>
        </is>
      </c>
      <c r="D312" t="inlineStr">
        <is>
          <t>Group</t>
        </is>
      </c>
      <c r="E312" t="inlineStr">
        <is>
          <t>Shared Living</t>
        </is>
      </c>
      <c r="F312" t="inlineStr">
        <is>
          <t>Shared Living</t>
        </is>
      </c>
      <c r="G312" t="inlineStr">
        <is>
          <t>Rent</t>
        </is>
      </c>
      <c r="H312" t="inlineStr">
        <is>
          <t>Group &gt; Shared Living &gt; Quick Add &gt; Rent</t>
        </is>
      </c>
      <c r="I312" s="18" t="n">
        <v>15767.35</v>
      </c>
      <c r="J312" t="inlineStr">
        <is>
          <t>Created MTR-IOS-0311 and correlation note visible in Activity/Pulse</t>
        </is>
      </c>
      <c r="K312" t="inlineStr">
        <is>
          <t>NOT_RUN</t>
        </is>
      </c>
      <c r="P312" t="n">
        <v>0</v>
      </c>
      <c r="Q312" t="n">
        <v>311</v>
      </c>
    </row>
    <row r="313">
      <c r="A313" t="n">
        <v>312</v>
      </c>
      <c r="B313" t="inlineStr">
        <is>
          <t>MTR-IOS-0312</t>
        </is>
      </c>
      <c r="C313" t="inlineStr">
        <is>
          <t>iPhone</t>
        </is>
      </c>
      <c r="D313" t="inlineStr">
        <is>
          <t>Business</t>
        </is>
      </c>
      <c r="E313" t="inlineStr">
        <is>
          <t>Business</t>
        </is>
      </c>
      <c r="F313" t="inlineStr">
        <is>
          <t>Business Operations</t>
        </is>
      </c>
      <c r="G313" t="inlineStr">
        <is>
          <t>Vendor</t>
        </is>
      </c>
      <c r="H313" t="inlineStr">
        <is>
          <t>Business &gt; Business Operations &gt; Quick Add &gt; Vendor</t>
        </is>
      </c>
      <c r="I313" s="18" t="n">
        <v>160141.82</v>
      </c>
      <c r="J313" t="inlineStr">
        <is>
          <t>Created MTR-IOS-0312 and correlation note visible in Activity/Pulse</t>
        </is>
      </c>
      <c r="K313" t="inlineStr">
        <is>
          <t>NOT_RUN</t>
        </is>
      </c>
      <c r="P313" t="n">
        <v>0</v>
      </c>
      <c r="Q313" t="n">
        <v>312</v>
      </c>
    </row>
    <row r="314">
      <c r="A314" t="n">
        <v>313</v>
      </c>
      <c r="B314" t="inlineStr">
        <is>
          <t>MTR-IOS-0313</t>
        </is>
      </c>
      <c r="C314" t="inlineStr">
        <is>
          <t>iPhone</t>
        </is>
      </c>
      <c r="D314" t="inlineStr">
        <is>
          <t>Personal</t>
        </is>
      </c>
      <c r="E314" t="inlineStr">
        <is>
          <t>Personal</t>
        </is>
      </c>
      <c r="F314" t="inlineStr">
        <is>
          <t>Lifestyle</t>
        </is>
      </c>
      <c r="G314" t="inlineStr">
        <is>
          <t>Dining</t>
        </is>
      </c>
      <c r="H314" t="inlineStr">
        <is>
          <t>Personal &gt; Lifestyle &gt; Quick Add &gt; Dining</t>
        </is>
      </c>
      <c r="I314" s="18" t="n">
        <v>12783.22</v>
      </c>
      <c r="J314" t="inlineStr">
        <is>
          <t>Created MTR-IOS-0313 and correlation note visible in Activity/Pulse</t>
        </is>
      </c>
      <c r="K314" t="inlineStr">
        <is>
          <t>NOT_RUN</t>
        </is>
      </c>
      <c r="P314" t="n">
        <v>0</v>
      </c>
      <c r="Q314" t="n">
        <v>313</v>
      </c>
    </row>
    <row r="315">
      <c r="A315" t="n">
        <v>314</v>
      </c>
      <c r="B315" t="inlineStr">
        <is>
          <t>MTR-IOS-0314</t>
        </is>
      </c>
      <c r="C315" t="inlineStr">
        <is>
          <t>iPhone</t>
        </is>
      </c>
      <c r="D315" t="inlineStr">
        <is>
          <t>Group</t>
        </is>
      </c>
      <c r="E315" t="inlineStr">
        <is>
          <t>Shared Living</t>
        </is>
      </c>
      <c r="F315" t="inlineStr">
        <is>
          <t>Shared Living</t>
        </is>
      </c>
      <c r="G315" t="inlineStr">
        <is>
          <t>Utilities</t>
        </is>
      </c>
      <c r="H315" t="inlineStr">
        <is>
          <t>Group &gt; Shared Living &gt; Quick Add &gt; Utilities</t>
        </is>
      </c>
      <c r="I315" s="18" t="n">
        <v>1701.74</v>
      </c>
      <c r="J315" t="inlineStr">
        <is>
          <t>Created MTR-IOS-0314 and correlation note visible in Activity/Pulse</t>
        </is>
      </c>
      <c r="K315" t="inlineStr">
        <is>
          <t>NOT_RUN</t>
        </is>
      </c>
      <c r="P315" t="n">
        <v>0</v>
      </c>
      <c r="Q315" t="n">
        <v>314</v>
      </c>
    </row>
    <row r="316">
      <c r="A316" t="n">
        <v>315</v>
      </c>
      <c r="B316" t="inlineStr">
        <is>
          <t>MTR-IOS-0315</t>
        </is>
      </c>
      <c r="C316" t="inlineStr">
        <is>
          <t>iPhone</t>
        </is>
      </c>
      <c r="D316" t="inlineStr">
        <is>
          <t>Business</t>
        </is>
      </c>
      <c r="E316" t="inlineStr">
        <is>
          <t>Business</t>
        </is>
      </c>
      <c r="F316" t="inlineStr">
        <is>
          <t>Business Operations</t>
        </is>
      </c>
      <c r="G316" t="inlineStr">
        <is>
          <t>Tax</t>
        </is>
      </c>
      <c r="H316" t="inlineStr">
        <is>
          <t>Business &gt; Business Operations &gt; Quick Add &gt; Tax</t>
        </is>
      </c>
      <c r="I316" s="18" t="n">
        <v>137200.68</v>
      </c>
      <c r="J316" t="inlineStr">
        <is>
          <t>Created MTR-IOS-0315 and correlation note visible in Activity/Pulse</t>
        </is>
      </c>
      <c r="K316" t="inlineStr">
        <is>
          <t>NOT_RUN</t>
        </is>
      </c>
      <c r="P316" t="n">
        <v>0</v>
      </c>
      <c r="Q316" t="n">
        <v>315</v>
      </c>
    </row>
    <row r="317">
      <c r="A317" t="n">
        <v>316</v>
      </c>
      <c r="B317" t="inlineStr">
        <is>
          <t>MTR-IOS-0316</t>
        </is>
      </c>
      <c r="C317" t="inlineStr">
        <is>
          <t>iPhone</t>
        </is>
      </c>
      <c r="D317" t="inlineStr">
        <is>
          <t>Personal</t>
        </is>
      </c>
      <c r="E317" t="inlineStr">
        <is>
          <t>Personal</t>
        </is>
      </c>
      <c r="F317" t="inlineStr">
        <is>
          <t>Lifestyle</t>
        </is>
      </c>
      <c r="G317" t="inlineStr">
        <is>
          <t>Shopping</t>
        </is>
      </c>
      <c r="H317" t="inlineStr">
        <is>
          <t>Personal &gt; Lifestyle &gt; Quick Add &gt; Shopping</t>
        </is>
      </c>
      <c r="I317" s="18" t="n">
        <v>9348.82</v>
      </c>
      <c r="J317" t="inlineStr">
        <is>
          <t>Created MTR-IOS-0316 and correlation note visible in Activity/Pulse</t>
        </is>
      </c>
      <c r="K317" t="inlineStr">
        <is>
          <t>NOT_RUN</t>
        </is>
      </c>
      <c r="P317" t="n">
        <v>0</v>
      </c>
      <c r="Q317" t="n">
        <v>316</v>
      </c>
    </row>
    <row r="318">
      <c r="A318" t="n">
        <v>317</v>
      </c>
      <c r="B318" t="inlineStr">
        <is>
          <t>MTR-IOS-0317</t>
        </is>
      </c>
      <c r="C318" t="inlineStr">
        <is>
          <t>iPhone</t>
        </is>
      </c>
      <c r="D318" t="inlineStr">
        <is>
          <t>Group</t>
        </is>
      </c>
      <c r="E318" t="inlineStr">
        <is>
          <t>Shared Living</t>
        </is>
      </c>
      <c r="F318" t="inlineStr">
        <is>
          <t>Shared Living</t>
        </is>
      </c>
      <c r="G318" t="inlineStr">
        <is>
          <t>Groceries</t>
        </is>
      </c>
      <c r="H318" t="inlineStr">
        <is>
          <t>Group &gt; Shared Living &gt; Quick Add &gt; Groceries</t>
        </is>
      </c>
      <c r="I318" s="18" t="n">
        <v>4985.51</v>
      </c>
      <c r="J318" t="inlineStr">
        <is>
          <t>Created MTR-IOS-0317 and correlation note visible in Activity/Pulse</t>
        </is>
      </c>
      <c r="K318" t="inlineStr">
        <is>
          <t>NOT_RUN</t>
        </is>
      </c>
      <c r="P318" t="n">
        <v>0</v>
      </c>
      <c r="Q318" t="n">
        <v>317</v>
      </c>
    </row>
    <row r="319">
      <c r="A319" t="n">
        <v>318</v>
      </c>
      <c r="B319" t="inlineStr">
        <is>
          <t>MTR-IOS-0318</t>
        </is>
      </c>
      <c r="C319" t="inlineStr">
        <is>
          <t>iPhone</t>
        </is>
      </c>
      <c r="D319" t="inlineStr">
        <is>
          <t>Business</t>
        </is>
      </c>
      <c r="E319" t="inlineStr">
        <is>
          <t>Business</t>
        </is>
      </c>
      <c r="F319" t="inlineStr">
        <is>
          <t>Team Operations</t>
        </is>
      </c>
      <c r="G319" t="inlineStr">
        <is>
          <t>Payroll</t>
        </is>
      </c>
      <c r="H319" t="inlineStr">
        <is>
          <t>Business &gt; Team Operations &gt; Quick Add &gt; Payroll</t>
        </is>
      </c>
      <c r="I319" s="18" t="n">
        <v>19059.36</v>
      </c>
      <c r="J319" t="inlineStr">
        <is>
          <t>Created MTR-IOS-0318 and correlation note visible in Activity/Pulse</t>
        </is>
      </c>
      <c r="K319" t="inlineStr">
        <is>
          <t>NOT_RUN</t>
        </is>
      </c>
      <c r="P319" t="n">
        <v>0</v>
      </c>
      <c r="Q319" t="n">
        <v>318</v>
      </c>
    </row>
    <row r="320">
      <c r="A320" t="n">
        <v>319</v>
      </c>
      <c r="B320" t="inlineStr">
        <is>
          <t>MTR-IOS-0319</t>
        </is>
      </c>
      <c r="C320" t="inlineStr">
        <is>
          <t>iPhone</t>
        </is>
      </c>
      <c r="D320" t="inlineStr">
        <is>
          <t>Personal</t>
        </is>
      </c>
      <c r="E320" t="inlineStr">
        <is>
          <t>Personal</t>
        </is>
      </c>
      <c r="F320" t="inlineStr">
        <is>
          <t>Lifestyle</t>
        </is>
      </c>
      <c r="G320" t="inlineStr">
        <is>
          <t>Entertainment</t>
        </is>
      </c>
      <c r="H320" t="inlineStr">
        <is>
          <t>Personal &gt; Lifestyle &gt; Quick Add &gt; Entertainment</t>
        </is>
      </c>
      <c r="I320" s="18" t="n">
        <v>4961.61</v>
      </c>
      <c r="J320" t="inlineStr">
        <is>
          <t>Created MTR-IOS-0319 and correlation note visible in Activity/Pulse</t>
        </is>
      </c>
      <c r="K320" t="inlineStr">
        <is>
          <t>NOT_RUN</t>
        </is>
      </c>
      <c r="P320" t="n">
        <v>0</v>
      </c>
      <c r="Q320" t="n">
        <v>319</v>
      </c>
    </row>
    <row r="321">
      <c r="A321" t="n">
        <v>320</v>
      </c>
      <c r="B321" t="inlineStr">
        <is>
          <t>MTR-IOS-0320</t>
        </is>
      </c>
      <c r="C321" t="inlineStr">
        <is>
          <t>iPhone</t>
        </is>
      </c>
      <c r="D321" t="inlineStr">
        <is>
          <t>Group</t>
        </is>
      </c>
      <c r="E321" t="inlineStr">
        <is>
          <t>Shared Living</t>
        </is>
      </c>
      <c r="F321" t="inlineStr">
        <is>
          <t>Shared Living</t>
        </is>
      </c>
      <c r="G321" t="inlineStr">
        <is>
          <t>Maintenance</t>
        </is>
      </c>
      <c r="H321" t="inlineStr">
        <is>
          <t>Group &gt; Shared Living &gt; Quick Add &gt; Maintenance</t>
        </is>
      </c>
      <c r="I321" s="18" t="n">
        <v>5889.92</v>
      </c>
      <c r="J321" t="inlineStr">
        <is>
          <t>Created MTR-IOS-0320 and correlation note visible in Activity/Pulse</t>
        </is>
      </c>
      <c r="K321" t="inlineStr">
        <is>
          <t>NOT_RUN</t>
        </is>
      </c>
      <c r="P321" t="n">
        <v>0</v>
      </c>
      <c r="Q321" t="n">
        <v>320</v>
      </c>
    </row>
    <row r="322">
      <c r="A322" t="n">
        <v>321</v>
      </c>
      <c r="B322" t="inlineStr">
        <is>
          <t>MTR-IOS-0321</t>
        </is>
      </c>
      <c r="C322" t="inlineStr">
        <is>
          <t>iPhone</t>
        </is>
      </c>
      <c r="D322" t="inlineStr">
        <is>
          <t>Business</t>
        </is>
      </c>
      <c r="E322" t="inlineStr">
        <is>
          <t>Business</t>
        </is>
      </c>
      <c r="F322" t="inlineStr">
        <is>
          <t>Team Operations</t>
        </is>
      </c>
      <c r="G322" t="inlineStr">
        <is>
          <t>Contractor</t>
        </is>
      </c>
      <c r="H322" t="inlineStr">
        <is>
          <t>Business &gt; Team Operations &gt; Quick Add &gt; Contractor</t>
        </is>
      </c>
      <c r="I322" s="18" t="n">
        <v>48191.3</v>
      </c>
      <c r="J322" t="inlineStr">
        <is>
          <t>Created MTR-IOS-0321 and correlation note visible in Activity/Pulse</t>
        </is>
      </c>
      <c r="K322" t="inlineStr">
        <is>
          <t>NOT_RUN</t>
        </is>
      </c>
      <c r="P322" t="n">
        <v>0</v>
      </c>
      <c r="Q322" t="n">
        <v>321</v>
      </c>
    </row>
    <row r="323">
      <c r="A323" t="n">
        <v>322</v>
      </c>
      <c r="B323" t="inlineStr">
        <is>
          <t>MTR-IOS-0322</t>
        </is>
      </c>
      <c r="C323" t="inlineStr">
        <is>
          <t>iPhone</t>
        </is>
      </c>
      <c r="D323" t="inlineStr">
        <is>
          <t>Personal</t>
        </is>
      </c>
      <c r="E323" t="inlineStr">
        <is>
          <t>Personal</t>
        </is>
      </c>
      <c r="F323" t="inlineStr">
        <is>
          <t>Lifestyle</t>
        </is>
      </c>
      <c r="G323" t="inlineStr">
        <is>
          <t>Travel</t>
        </is>
      </c>
      <c r="H323" t="inlineStr">
        <is>
          <t>Personal &gt; Lifestyle &gt; Quick Add &gt; Travel</t>
        </is>
      </c>
      <c r="I323" s="18" t="n">
        <v>8717.02</v>
      </c>
      <c r="J323" t="inlineStr">
        <is>
          <t>Created MTR-IOS-0322 and correlation note visible in Activity/Pulse</t>
        </is>
      </c>
      <c r="K323" t="inlineStr">
        <is>
          <t>NOT_RUN</t>
        </is>
      </c>
      <c r="P323" t="n">
        <v>0</v>
      </c>
      <c r="Q323" t="n">
        <v>322</v>
      </c>
    </row>
    <row r="324">
      <c r="A324" t="n">
        <v>323</v>
      </c>
      <c r="B324" t="inlineStr">
        <is>
          <t>MTR-IOS-0323</t>
        </is>
      </c>
      <c r="C324" t="inlineStr">
        <is>
          <t>iPhone</t>
        </is>
      </c>
      <c r="D324" t="inlineStr">
        <is>
          <t>Group</t>
        </is>
      </c>
      <c r="E324" t="inlineStr">
        <is>
          <t>Shared Living</t>
        </is>
      </c>
      <c r="F324" t="inlineStr">
        <is>
          <t>Shared Living</t>
        </is>
      </c>
      <c r="G324" t="inlineStr">
        <is>
          <t>Other</t>
        </is>
      </c>
      <c r="H324" t="inlineStr">
        <is>
          <t>Group &gt; Shared Living &gt; Quick Add &gt; Other</t>
        </is>
      </c>
      <c r="I324" s="18" t="n">
        <v>5755.9</v>
      </c>
      <c r="J324" t="inlineStr">
        <is>
          <t>Created MTR-IOS-0323 and correlation note visible in Activity/Pulse</t>
        </is>
      </c>
      <c r="K324" t="inlineStr">
        <is>
          <t>NOT_RUN</t>
        </is>
      </c>
      <c r="P324" t="n">
        <v>0</v>
      </c>
      <c r="Q324" t="n">
        <v>323</v>
      </c>
    </row>
    <row r="325">
      <c r="A325" t="n">
        <v>324</v>
      </c>
      <c r="B325" t="inlineStr">
        <is>
          <t>MTR-IOS-0324</t>
        </is>
      </c>
      <c r="C325" t="inlineStr">
        <is>
          <t>iPhone</t>
        </is>
      </c>
      <c r="D325" t="inlineStr">
        <is>
          <t>Business</t>
        </is>
      </c>
      <c r="E325" t="inlineStr">
        <is>
          <t>Business</t>
        </is>
      </c>
      <c r="F325" t="inlineStr">
        <is>
          <t>Team Operations</t>
        </is>
      </c>
      <c r="G325" t="inlineStr">
        <is>
          <t>Hiring</t>
        </is>
      </c>
      <c r="H325" t="inlineStr">
        <is>
          <t>Business &gt; Team Operations &gt; Quick Add &gt; Hiring</t>
        </is>
      </c>
      <c r="I325" s="18" t="n">
        <v>131213.76</v>
      </c>
      <c r="J325" t="inlineStr">
        <is>
          <t>Created MTR-IOS-0324 and correlation note visible in Activity/Pulse</t>
        </is>
      </c>
      <c r="K325" t="inlineStr">
        <is>
          <t>NOT_RUN</t>
        </is>
      </c>
      <c r="P325" t="n">
        <v>0</v>
      </c>
      <c r="Q325" t="n">
        <v>324</v>
      </c>
    </row>
    <row r="326">
      <c r="A326" t="n">
        <v>325</v>
      </c>
      <c r="B326" t="inlineStr">
        <is>
          <t>MTR-IOS-0325</t>
        </is>
      </c>
      <c r="C326" t="inlineStr">
        <is>
          <t>iPhone</t>
        </is>
      </c>
      <c r="D326" t="inlineStr">
        <is>
          <t>Personal</t>
        </is>
      </c>
      <c r="E326" t="inlineStr">
        <is>
          <t>Personal</t>
        </is>
      </c>
      <c r="F326" t="inlineStr">
        <is>
          <t>Lifestyle</t>
        </is>
      </c>
      <c r="G326" t="inlineStr">
        <is>
          <t>Fitness</t>
        </is>
      </c>
      <c r="H326" t="inlineStr">
        <is>
          <t>Personal &gt; Lifestyle &gt; Quick Add &gt; Fitness</t>
        </is>
      </c>
      <c r="I326" s="18" t="n">
        <v>9077.91</v>
      </c>
      <c r="J326" t="inlineStr">
        <is>
          <t>Created MTR-IOS-0325 and correlation note visible in Activity/Pulse</t>
        </is>
      </c>
      <c r="K326" t="inlineStr">
        <is>
          <t>NOT_RUN</t>
        </is>
      </c>
      <c r="P326" t="n">
        <v>0</v>
      </c>
      <c r="Q326" t="n">
        <v>325</v>
      </c>
    </row>
    <row r="327">
      <c r="A327" t="n">
        <v>326</v>
      </c>
      <c r="B327" t="inlineStr">
        <is>
          <t>MTR-IOS-0326</t>
        </is>
      </c>
      <c r="C327" t="inlineStr">
        <is>
          <t>iPhone</t>
        </is>
      </c>
      <c r="D327" t="inlineStr">
        <is>
          <t>Group</t>
        </is>
      </c>
      <c r="E327" t="inlineStr">
        <is>
          <t>Shared Living</t>
        </is>
      </c>
      <c r="F327" t="inlineStr">
        <is>
          <t>Family Household</t>
        </is>
      </c>
      <c r="G327" t="inlineStr">
        <is>
          <t>Groceries</t>
        </is>
      </c>
      <c r="H327" t="inlineStr">
        <is>
          <t>Group &gt; Family Household &gt; Quick Add &gt; Groceries</t>
        </is>
      </c>
      <c r="I327" s="18" t="n">
        <v>295.7</v>
      </c>
      <c r="J327" t="inlineStr">
        <is>
          <t>Created MTR-IOS-0326 and correlation note visible in Activity/Pulse</t>
        </is>
      </c>
      <c r="K327" t="inlineStr">
        <is>
          <t>NOT_RUN</t>
        </is>
      </c>
      <c r="P327" t="n">
        <v>0</v>
      </c>
      <c r="Q327" t="n">
        <v>326</v>
      </c>
    </row>
    <row r="328">
      <c r="A328" t="n">
        <v>327</v>
      </c>
      <c r="B328" t="inlineStr">
        <is>
          <t>MTR-IOS-0327</t>
        </is>
      </c>
      <c r="C328" t="inlineStr">
        <is>
          <t>iPhone</t>
        </is>
      </c>
      <c r="D328" t="inlineStr">
        <is>
          <t>Business</t>
        </is>
      </c>
      <c r="E328" t="inlineStr">
        <is>
          <t>Business</t>
        </is>
      </c>
      <c r="F328" t="inlineStr">
        <is>
          <t>Team Operations</t>
        </is>
      </c>
      <c r="G328" t="inlineStr">
        <is>
          <t>Team Meal</t>
        </is>
      </c>
      <c r="H328" t="inlineStr">
        <is>
          <t>Business &gt; Team Operations &gt; Quick Add &gt; Team Meal</t>
        </is>
      </c>
      <c r="I328" s="18" t="n">
        <v>57961.3</v>
      </c>
      <c r="J328" t="inlineStr">
        <is>
          <t>Created MTR-IOS-0327 and correlation note visible in Activity/Pulse</t>
        </is>
      </c>
      <c r="K328" t="inlineStr">
        <is>
          <t>NOT_RUN</t>
        </is>
      </c>
      <c r="P328" t="n">
        <v>0</v>
      </c>
      <c r="Q328" t="n">
        <v>327</v>
      </c>
    </row>
    <row r="329">
      <c r="A329" t="n">
        <v>328</v>
      </c>
      <c r="B329" t="inlineStr">
        <is>
          <t>MTR-IOS-0328</t>
        </is>
      </c>
      <c r="C329" t="inlineStr">
        <is>
          <t>iPhone</t>
        </is>
      </c>
      <c r="D329" t="inlineStr">
        <is>
          <t>Personal</t>
        </is>
      </c>
      <c r="E329" t="inlineStr">
        <is>
          <t>Personal</t>
        </is>
      </c>
      <c r="F329" t="inlineStr">
        <is>
          <t>Lifestyle</t>
        </is>
      </c>
      <c r="G329" t="inlineStr">
        <is>
          <t>Hobbies</t>
        </is>
      </c>
      <c r="H329" t="inlineStr">
        <is>
          <t>Personal &gt; Lifestyle &gt; Quick Add &gt; Hobbies</t>
        </is>
      </c>
      <c r="I329" s="18" t="n">
        <v>1158.29</v>
      </c>
      <c r="J329" t="inlineStr">
        <is>
          <t>Created MTR-IOS-0328 and correlation note visible in Activity/Pulse</t>
        </is>
      </c>
      <c r="K329" t="inlineStr">
        <is>
          <t>NOT_RUN</t>
        </is>
      </c>
      <c r="P329" t="n">
        <v>0</v>
      </c>
      <c r="Q329" t="n">
        <v>328</v>
      </c>
    </row>
    <row r="330">
      <c r="A330" t="n">
        <v>329</v>
      </c>
      <c r="B330" t="inlineStr">
        <is>
          <t>MTR-IOS-0329</t>
        </is>
      </c>
      <c r="C330" t="inlineStr">
        <is>
          <t>iPhone</t>
        </is>
      </c>
      <c r="D330" t="inlineStr">
        <is>
          <t>Group</t>
        </is>
      </c>
      <c r="E330" t="inlineStr">
        <is>
          <t>Shared Living</t>
        </is>
      </c>
      <c r="F330" t="inlineStr">
        <is>
          <t>Family Household</t>
        </is>
      </c>
      <c r="G330" t="inlineStr">
        <is>
          <t>Bills</t>
        </is>
      </c>
      <c r="H330" t="inlineStr">
        <is>
          <t>Group &gt; Family Household &gt; Quick Add &gt; Bills</t>
        </is>
      </c>
      <c r="I330" s="18" t="n">
        <v>6671.33</v>
      </c>
      <c r="J330" t="inlineStr">
        <is>
          <t>Created MTR-IOS-0329 and correlation note visible in Activity/Pulse</t>
        </is>
      </c>
      <c r="K330" t="inlineStr">
        <is>
          <t>NOT_RUN</t>
        </is>
      </c>
      <c r="P330" t="n">
        <v>0</v>
      </c>
      <c r="Q330" t="n">
        <v>329</v>
      </c>
    </row>
    <row r="331">
      <c r="A331" t="n">
        <v>330</v>
      </c>
      <c r="B331" t="inlineStr">
        <is>
          <t>MTR-IOS-0330</t>
        </is>
      </c>
      <c r="C331" t="inlineStr">
        <is>
          <t>iPhone</t>
        </is>
      </c>
      <c r="D331" t="inlineStr">
        <is>
          <t>Business</t>
        </is>
      </c>
      <c r="E331" t="inlineStr">
        <is>
          <t>Business</t>
        </is>
      </c>
      <c r="F331" t="inlineStr">
        <is>
          <t>Team Operations</t>
        </is>
      </c>
      <c r="G331" t="inlineStr">
        <is>
          <t>Travel</t>
        </is>
      </c>
      <c r="H331" t="inlineStr">
        <is>
          <t>Business &gt; Team Operations &gt; Quick Add &gt; Travel</t>
        </is>
      </c>
      <c r="I331" s="18" t="n">
        <v>163231.59</v>
      </c>
      <c r="J331" t="inlineStr">
        <is>
          <t>Created MTR-IOS-0330 and correlation note visible in Activity/Pulse</t>
        </is>
      </c>
      <c r="K331" t="inlineStr">
        <is>
          <t>NOT_RUN</t>
        </is>
      </c>
      <c r="P331" t="n">
        <v>0</v>
      </c>
      <c r="Q331" t="n">
        <v>330</v>
      </c>
    </row>
    <row r="332">
      <c r="A332" t="n">
        <v>331</v>
      </c>
      <c r="B332" t="inlineStr">
        <is>
          <t>MTR-IOS-0331</t>
        </is>
      </c>
      <c r="C332" t="inlineStr">
        <is>
          <t>iPhone</t>
        </is>
      </c>
      <c r="D332" t="inlineStr">
        <is>
          <t>Personal</t>
        </is>
      </c>
      <c r="E332" t="inlineStr">
        <is>
          <t>Personal</t>
        </is>
      </c>
      <c r="F332" t="inlineStr">
        <is>
          <t>Relationships</t>
        </is>
      </c>
      <c r="G332" t="inlineStr">
        <is>
          <t>Gifts</t>
        </is>
      </c>
      <c r="H332" t="inlineStr">
        <is>
          <t>Personal &gt; Relationships &gt; Quick Add &gt; Gifts</t>
        </is>
      </c>
      <c r="I332" s="18" t="n">
        <v>9057.809999999999</v>
      </c>
      <c r="J332" t="inlineStr">
        <is>
          <t>Created MTR-IOS-0331 and correlation note visible in Activity/Pulse</t>
        </is>
      </c>
      <c r="K332" t="inlineStr">
        <is>
          <t>NOT_RUN</t>
        </is>
      </c>
      <c r="P332" t="n">
        <v>0</v>
      </c>
      <c r="Q332" t="n">
        <v>331</v>
      </c>
    </row>
    <row r="333">
      <c r="A333" t="n">
        <v>332</v>
      </c>
      <c r="B333" t="inlineStr">
        <is>
          <t>MTR-IOS-0332</t>
        </is>
      </c>
      <c r="C333" t="inlineStr">
        <is>
          <t>iPhone</t>
        </is>
      </c>
      <c r="D333" t="inlineStr">
        <is>
          <t>Group</t>
        </is>
      </c>
      <c r="E333" t="inlineStr">
        <is>
          <t>Shared Living</t>
        </is>
      </c>
      <c r="F333" t="inlineStr">
        <is>
          <t>Family Household</t>
        </is>
      </c>
      <c r="G333" t="inlineStr">
        <is>
          <t>School</t>
        </is>
      </c>
      <c r="H333" t="inlineStr">
        <is>
          <t>Group &gt; Family Household &gt; Quick Add &gt; School</t>
        </is>
      </c>
      <c r="I333" s="18" t="n">
        <v>1392</v>
      </c>
      <c r="J333" t="inlineStr">
        <is>
          <t>Created MTR-IOS-0332 and correlation note visible in Activity/Pulse</t>
        </is>
      </c>
      <c r="K333" t="inlineStr">
        <is>
          <t>NOT_RUN</t>
        </is>
      </c>
      <c r="P333" t="n">
        <v>0</v>
      </c>
      <c r="Q333" t="n">
        <v>332</v>
      </c>
    </row>
    <row r="334">
      <c r="A334" t="n">
        <v>333</v>
      </c>
      <c r="B334" t="inlineStr">
        <is>
          <t>MTR-IOS-0333</t>
        </is>
      </c>
      <c r="C334" t="inlineStr">
        <is>
          <t>iPhone</t>
        </is>
      </c>
      <c r="D334" t="inlineStr">
        <is>
          <t>Business</t>
        </is>
      </c>
      <c r="E334" t="inlineStr">
        <is>
          <t>Business</t>
        </is>
      </c>
      <c r="F334" t="inlineStr">
        <is>
          <t>Team Operations</t>
        </is>
      </c>
      <c r="G334" t="inlineStr">
        <is>
          <t>Training</t>
        </is>
      </c>
      <c r="H334" t="inlineStr">
        <is>
          <t>Business &gt; Team Operations &gt; Quick Add &gt; Training</t>
        </is>
      </c>
      <c r="I334" s="18" t="n">
        <v>100</v>
      </c>
      <c r="J334" t="inlineStr">
        <is>
          <t>Created MTR-IOS-0333 and correlation note visible in Activity/Pulse</t>
        </is>
      </c>
      <c r="K334" t="inlineStr">
        <is>
          <t>NOT_RUN</t>
        </is>
      </c>
      <c r="P334" t="n">
        <v>0</v>
      </c>
      <c r="Q334" t="n">
        <v>333</v>
      </c>
    </row>
    <row r="335">
      <c r="A335" t="n">
        <v>334</v>
      </c>
      <c r="B335" t="inlineStr">
        <is>
          <t>MTR-IOS-0334</t>
        </is>
      </c>
      <c r="C335" t="inlineStr">
        <is>
          <t>iPhone</t>
        </is>
      </c>
      <c r="D335" t="inlineStr">
        <is>
          <t>Personal</t>
        </is>
      </c>
      <c r="E335" t="inlineStr">
        <is>
          <t>Personal</t>
        </is>
      </c>
      <c r="F335" t="inlineStr">
        <is>
          <t>Relationships</t>
        </is>
      </c>
      <c r="G335" t="inlineStr">
        <is>
          <t>Dates</t>
        </is>
      </c>
      <c r="H335" t="inlineStr">
        <is>
          <t>Personal &gt; Relationships &gt; Quick Add &gt; Dates</t>
        </is>
      </c>
      <c r="I335" s="18" t="n">
        <v>4156.33</v>
      </c>
      <c r="J335" t="inlineStr">
        <is>
          <t>Created MTR-IOS-0334 and correlation note visible in Activity/Pulse</t>
        </is>
      </c>
      <c r="K335" t="inlineStr">
        <is>
          <t>NOT_RUN</t>
        </is>
      </c>
      <c r="P335" t="n">
        <v>0</v>
      </c>
      <c r="Q335" t="n">
        <v>334</v>
      </c>
    </row>
    <row r="336">
      <c r="A336" t="n">
        <v>335</v>
      </c>
      <c r="B336" t="inlineStr">
        <is>
          <t>MTR-IOS-0335</t>
        </is>
      </c>
      <c r="C336" t="inlineStr">
        <is>
          <t>iPhone</t>
        </is>
      </c>
      <c r="D336" t="inlineStr">
        <is>
          <t>Group</t>
        </is>
      </c>
      <c r="E336" t="inlineStr">
        <is>
          <t>Shared Living</t>
        </is>
      </c>
      <c r="F336" t="inlineStr">
        <is>
          <t>Family Household</t>
        </is>
      </c>
      <c r="G336" t="inlineStr">
        <is>
          <t>Healthcare</t>
        </is>
      </c>
      <c r="H336" t="inlineStr">
        <is>
          <t>Group &gt; Family Household &gt; Quick Add &gt; Healthcare</t>
        </is>
      </c>
      <c r="I336" s="18" t="n">
        <v>11897.85</v>
      </c>
      <c r="J336" t="inlineStr">
        <is>
          <t>Created MTR-IOS-0335 and correlation note visible in Activity/Pulse</t>
        </is>
      </c>
      <c r="K336" t="inlineStr">
        <is>
          <t>NOT_RUN</t>
        </is>
      </c>
      <c r="P336" t="n">
        <v>0</v>
      </c>
      <c r="Q336" t="n">
        <v>335</v>
      </c>
    </row>
    <row r="337">
      <c r="A337" t="n">
        <v>336</v>
      </c>
      <c r="B337" t="inlineStr">
        <is>
          <t>MTR-IOS-0336</t>
        </is>
      </c>
      <c r="C337" t="inlineStr">
        <is>
          <t>iPhone</t>
        </is>
      </c>
      <c r="D337" t="inlineStr">
        <is>
          <t>Business</t>
        </is>
      </c>
      <c r="E337" t="inlineStr">
        <is>
          <t>Business</t>
        </is>
      </c>
      <c r="F337" t="inlineStr">
        <is>
          <t>Team Operations</t>
        </is>
      </c>
      <c r="G337" t="inlineStr">
        <is>
          <t>Tools</t>
        </is>
      </c>
      <c r="H337" t="inlineStr">
        <is>
          <t>Business &gt; Team Operations &gt; Quick Add &gt; Tools</t>
        </is>
      </c>
      <c r="I337" s="18" t="n">
        <v>156108.48</v>
      </c>
      <c r="J337" t="inlineStr">
        <is>
          <t>Created MTR-IOS-0336 and correlation note visible in Activity/Pulse</t>
        </is>
      </c>
      <c r="K337" t="inlineStr">
        <is>
          <t>NOT_RUN</t>
        </is>
      </c>
      <c r="P337" t="n">
        <v>0</v>
      </c>
      <c r="Q337" t="n">
        <v>336</v>
      </c>
    </row>
    <row r="338">
      <c r="A338" t="n">
        <v>337</v>
      </c>
      <c r="B338" t="inlineStr">
        <is>
          <t>MTR-IOS-0337</t>
        </is>
      </c>
      <c r="C338" t="inlineStr">
        <is>
          <t>iPhone</t>
        </is>
      </c>
      <c r="D338" t="inlineStr">
        <is>
          <t>Personal</t>
        </is>
      </c>
      <c r="E338" t="inlineStr">
        <is>
          <t>Personal</t>
        </is>
      </c>
      <c r="F338" t="inlineStr">
        <is>
          <t>Relationships</t>
        </is>
      </c>
      <c r="G338" t="inlineStr">
        <is>
          <t>Family</t>
        </is>
      </c>
      <c r="H338" t="inlineStr">
        <is>
          <t>Personal &gt; Relationships &gt; Quick Add &gt; Family</t>
        </is>
      </c>
      <c r="I338" s="18" t="n">
        <v>12797.71</v>
      </c>
      <c r="J338" t="inlineStr">
        <is>
          <t>Created MTR-IOS-0337 and correlation note visible in Activity/Pulse</t>
        </is>
      </c>
      <c r="K338" t="inlineStr">
        <is>
          <t>NOT_RUN</t>
        </is>
      </c>
      <c r="P338" t="n">
        <v>0</v>
      </c>
      <c r="Q338" t="n">
        <v>337</v>
      </c>
    </row>
    <row r="339">
      <c r="A339" t="n">
        <v>338</v>
      </c>
      <c r="B339" t="inlineStr">
        <is>
          <t>MTR-IOS-0338</t>
        </is>
      </c>
      <c r="C339" t="inlineStr">
        <is>
          <t>iPhone</t>
        </is>
      </c>
      <c r="D339" t="inlineStr">
        <is>
          <t>Group</t>
        </is>
      </c>
      <c r="E339" t="inlineStr">
        <is>
          <t>Shared Living</t>
        </is>
      </c>
      <c r="F339" t="inlineStr">
        <is>
          <t>Family Household</t>
        </is>
      </c>
      <c r="G339" t="inlineStr">
        <is>
          <t>Home</t>
        </is>
      </c>
      <c r="H339" t="inlineStr">
        <is>
          <t>Group &gt; Family Household &gt; Quick Add &gt; Home</t>
        </is>
      </c>
      <c r="I339" s="18" t="n">
        <v>8898.84</v>
      </c>
      <c r="J339" t="inlineStr">
        <is>
          <t>Created MTR-IOS-0338 and correlation note visible in Activity/Pulse</t>
        </is>
      </c>
      <c r="K339" t="inlineStr">
        <is>
          <t>NOT_RUN</t>
        </is>
      </c>
      <c r="P339" t="n">
        <v>0</v>
      </c>
      <c r="Q339" t="n">
        <v>338</v>
      </c>
    </row>
    <row r="340">
      <c r="A340" t="n">
        <v>339</v>
      </c>
      <c r="B340" t="inlineStr">
        <is>
          <t>MTR-IOS-0339</t>
        </is>
      </c>
      <c r="C340" t="inlineStr">
        <is>
          <t>iPhone</t>
        </is>
      </c>
      <c r="D340" t="inlineStr">
        <is>
          <t>Business</t>
        </is>
      </c>
      <c r="E340" t="inlineStr">
        <is>
          <t>Business</t>
        </is>
      </c>
      <c r="F340" t="inlineStr">
        <is>
          <t>Business Runway</t>
        </is>
      </c>
      <c r="G340" t="inlineStr">
        <is>
          <t>Funding</t>
        </is>
      </c>
      <c r="H340" t="inlineStr">
        <is>
          <t>Business &gt; Business Runway &gt; Quick Add &gt; Funding</t>
        </is>
      </c>
      <c r="I340" s="18" t="n">
        <v>161396.3</v>
      </c>
      <c r="J340" t="inlineStr">
        <is>
          <t>Created MTR-IOS-0339 and correlation note visible in Activity/Pulse</t>
        </is>
      </c>
      <c r="K340" t="inlineStr">
        <is>
          <t>NOT_RUN</t>
        </is>
      </c>
      <c r="P340" t="n">
        <v>0</v>
      </c>
      <c r="Q340" t="n">
        <v>339</v>
      </c>
    </row>
    <row r="341">
      <c r="A341" t="n">
        <v>340</v>
      </c>
      <c r="B341" t="inlineStr">
        <is>
          <t>MTR-IOS-0340</t>
        </is>
      </c>
      <c r="C341" t="inlineStr">
        <is>
          <t>iPhone</t>
        </is>
      </c>
      <c r="D341" t="inlineStr">
        <is>
          <t>Personal</t>
        </is>
      </c>
      <c r="E341" t="inlineStr">
        <is>
          <t>Personal</t>
        </is>
      </c>
      <c r="F341" t="inlineStr">
        <is>
          <t>Relationships</t>
        </is>
      </c>
      <c r="G341" t="inlineStr">
        <is>
          <t>Friends</t>
        </is>
      </c>
      <c r="H341" t="inlineStr">
        <is>
          <t>Personal &gt; Relationships &gt; Quick Add &gt; Friends</t>
        </is>
      </c>
      <c r="I341" s="18" t="n">
        <v>1327.72</v>
      </c>
      <c r="J341" t="inlineStr">
        <is>
          <t>Created MTR-IOS-0340 and correlation note visible in Activity/Pulse</t>
        </is>
      </c>
      <c r="K341" t="inlineStr">
        <is>
          <t>NOT_RUN</t>
        </is>
      </c>
      <c r="P341" t="n">
        <v>0</v>
      </c>
      <c r="Q341" t="n">
        <v>340</v>
      </c>
    </row>
    <row r="342">
      <c r="A342" t="n">
        <v>341</v>
      </c>
      <c r="B342" t="inlineStr">
        <is>
          <t>MTR-IOS-0341</t>
        </is>
      </c>
      <c r="C342" t="inlineStr">
        <is>
          <t>iPhone</t>
        </is>
      </c>
      <c r="D342" t="inlineStr">
        <is>
          <t>Group</t>
        </is>
      </c>
      <c r="E342" t="inlineStr">
        <is>
          <t>Shared Living</t>
        </is>
      </c>
      <c r="F342" t="inlineStr">
        <is>
          <t>Family Household</t>
        </is>
      </c>
      <c r="G342" t="inlineStr">
        <is>
          <t>Other</t>
        </is>
      </c>
      <c r="H342" t="inlineStr">
        <is>
          <t>Group &gt; Family Household &gt; Quick Add &gt; Other</t>
        </is>
      </c>
      <c r="I342" s="18" t="n">
        <v>24254.23</v>
      </c>
      <c r="J342" t="inlineStr">
        <is>
          <t>Created MTR-IOS-0341 and correlation note visible in Activity/Pulse</t>
        </is>
      </c>
      <c r="K342" t="inlineStr">
        <is>
          <t>NOT_RUN</t>
        </is>
      </c>
      <c r="P342" t="n">
        <v>0</v>
      </c>
      <c r="Q342" t="n">
        <v>341</v>
      </c>
    </row>
    <row r="343">
      <c r="A343" t="n">
        <v>342</v>
      </c>
      <c r="B343" t="inlineStr">
        <is>
          <t>MTR-IOS-0342</t>
        </is>
      </c>
      <c r="C343" t="inlineStr">
        <is>
          <t>iPhone</t>
        </is>
      </c>
      <c r="D343" t="inlineStr">
        <is>
          <t>Business</t>
        </is>
      </c>
      <c r="E343" t="inlineStr">
        <is>
          <t>Business</t>
        </is>
      </c>
      <c r="F343" t="inlineStr">
        <is>
          <t>Business Runway</t>
        </is>
      </c>
      <c r="G343" t="inlineStr">
        <is>
          <t>Revenue</t>
        </is>
      </c>
      <c r="H343" t="inlineStr">
        <is>
          <t>Business &gt; Business Runway &gt; Quick Add &gt; Revenue</t>
        </is>
      </c>
      <c r="I343" s="18" t="n">
        <v>124440.75</v>
      </c>
      <c r="J343" t="inlineStr">
        <is>
          <t>Created MTR-IOS-0342 and correlation note visible in Activity/Pulse</t>
        </is>
      </c>
      <c r="K343" t="inlineStr">
        <is>
          <t>NOT_RUN</t>
        </is>
      </c>
      <c r="P343" t="n">
        <v>0</v>
      </c>
      <c r="Q343" t="n">
        <v>342</v>
      </c>
    </row>
    <row r="344">
      <c r="A344" t="n">
        <v>343</v>
      </c>
      <c r="B344" t="inlineStr">
        <is>
          <t>MTR-IOS-0343</t>
        </is>
      </c>
      <c r="C344" t="inlineStr">
        <is>
          <t>iPhone</t>
        </is>
      </c>
      <c r="D344" t="inlineStr">
        <is>
          <t>Personal</t>
        </is>
      </c>
      <c r="E344" t="inlineStr">
        <is>
          <t>Personal</t>
        </is>
      </c>
      <c r="F344" t="inlineStr">
        <is>
          <t>Relationships</t>
        </is>
      </c>
      <c r="G344" t="inlineStr">
        <is>
          <t>Celebrations</t>
        </is>
      </c>
      <c r="H344" t="inlineStr">
        <is>
          <t>Personal &gt; Relationships &gt; Quick Add &gt; Celebrations</t>
        </is>
      </c>
      <c r="I344" s="18" t="n">
        <v>8340.26</v>
      </c>
      <c r="J344" t="inlineStr">
        <is>
          <t>Created MTR-IOS-0343 and correlation note visible in Activity/Pulse</t>
        </is>
      </c>
      <c r="K344" t="inlineStr">
        <is>
          <t>NOT_RUN</t>
        </is>
      </c>
      <c r="P344" t="n">
        <v>0</v>
      </c>
      <c r="Q344" t="n">
        <v>343</v>
      </c>
    </row>
    <row r="345">
      <c r="A345" t="n">
        <v>344</v>
      </c>
      <c r="B345" t="inlineStr">
        <is>
          <t>MTR-IOS-0344</t>
        </is>
      </c>
      <c r="C345" t="inlineStr">
        <is>
          <t>iPhone</t>
        </is>
      </c>
      <c r="D345" t="inlineStr">
        <is>
          <t>Group</t>
        </is>
      </c>
      <c r="E345" t="inlineStr">
        <is>
          <t>Shared Living</t>
        </is>
      </c>
      <c r="F345" t="inlineStr">
        <is>
          <t>Custom Living</t>
        </is>
      </c>
      <c r="G345" t="inlineStr">
        <is>
          <t>Custom Expense</t>
        </is>
      </c>
      <c r="H345" t="inlineStr">
        <is>
          <t>Group &gt; Custom Living &gt; Quick Add &gt; Custom Expense</t>
        </is>
      </c>
      <c r="I345" s="18" t="n">
        <v>19090.95</v>
      </c>
      <c r="J345" t="inlineStr">
        <is>
          <t>Created MTR-IOS-0344 and correlation note visible in Activity/Pulse</t>
        </is>
      </c>
      <c r="K345" t="inlineStr">
        <is>
          <t>NOT_RUN</t>
        </is>
      </c>
      <c r="P345" t="n">
        <v>0</v>
      </c>
      <c r="Q345" t="n">
        <v>344</v>
      </c>
    </row>
    <row r="346">
      <c r="A346" t="n">
        <v>345</v>
      </c>
      <c r="B346" t="inlineStr">
        <is>
          <t>MTR-IOS-0345</t>
        </is>
      </c>
      <c r="C346" t="inlineStr">
        <is>
          <t>iPhone</t>
        </is>
      </c>
      <c r="D346" t="inlineStr">
        <is>
          <t>Business</t>
        </is>
      </c>
      <c r="E346" t="inlineStr">
        <is>
          <t>Business</t>
        </is>
      </c>
      <c r="F346" t="inlineStr">
        <is>
          <t>Business Runway</t>
        </is>
      </c>
      <c r="G346" t="inlineStr">
        <is>
          <t>Burn</t>
        </is>
      </c>
      <c r="H346" t="inlineStr">
        <is>
          <t>Business &gt; Business Runway &gt; Quick Add &gt; Burn</t>
        </is>
      </c>
      <c r="I346" s="18" t="n">
        <v>103311.44</v>
      </c>
      <c r="J346" t="inlineStr">
        <is>
          <t>Created MTR-IOS-0345 and correlation note visible in Activity/Pulse</t>
        </is>
      </c>
      <c r="K346" t="inlineStr">
        <is>
          <t>NOT_RUN</t>
        </is>
      </c>
      <c r="P346" t="n">
        <v>0</v>
      </c>
      <c r="Q346" t="n">
        <v>345</v>
      </c>
    </row>
    <row r="347">
      <c r="A347" t="n">
        <v>346</v>
      </c>
      <c r="B347" t="inlineStr">
        <is>
          <t>MTR-IOS-0346</t>
        </is>
      </c>
      <c r="C347" t="inlineStr">
        <is>
          <t>iPhone</t>
        </is>
      </c>
      <c r="D347" t="inlineStr">
        <is>
          <t>Personal</t>
        </is>
      </c>
      <c r="E347" t="inlineStr">
        <is>
          <t>Personal</t>
        </is>
      </c>
      <c r="F347" t="inlineStr">
        <is>
          <t>Life Operations</t>
        </is>
      </c>
      <c r="G347" t="inlineStr">
        <is>
          <t>Groceries</t>
        </is>
      </c>
      <c r="H347" t="inlineStr">
        <is>
          <t>Personal &gt; Life Operations &gt; Quick Add &gt; Groceries</t>
        </is>
      </c>
      <c r="I347" s="18" t="n">
        <v>12336.92</v>
      </c>
      <c r="J347" t="inlineStr">
        <is>
          <t>Created MTR-IOS-0346 and correlation note visible in Activity/Pulse</t>
        </is>
      </c>
      <c r="K347" t="inlineStr">
        <is>
          <t>NOT_RUN</t>
        </is>
      </c>
      <c r="P347" t="n">
        <v>0</v>
      </c>
      <c r="Q347" t="n">
        <v>346</v>
      </c>
    </row>
    <row r="348">
      <c r="A348" t="n">
        <v>347</v>
      </c>
      <c r="B348" t="inlineStr">
        <is>
          <t>MTR-IOS-0347</t>
        </is>
      </c>
      <c r="C348" t="inlineStr">
        <is>
          <t>iPhone</t>
        </is>
      </c>
      <c r="D348" t="inlineStr">
        <is>
          <t>Group</t>
        </is>
      </c>
      <c r="E348" t="inlineStr">
        <is>
          <t>Shared Living</t>
        </is>
      </c>
      <c r="F348" t="inlineStr">
        <is>
          <t>Custom Living</t>
        </is>
      </c>
      <c r="G348" t="inlineStr">
        <is>
          <t>Custom Contribution</t>
        </is>
      </c>
      <c r="H348" t="inlineStr">
        <is>
          <t>Group &gt; Custom Living &gt; Quick Add &gt; Custom Contribution</t>
        </is>
      </c>
      <c r="I348" s="18" t="n">
        <v>10821.75</v>
      </c>
      <c r="J348" t="inlineStr">
        <is>
          <t>Created MTR-IOS-0347 and correlation note visible in Activity/Pulse</t>
        </is>
      </c>
      <c r="K348" t="inlineStr">
        <is>
          <t>NOT_RUN</t>
        </is>
      </c>
      <c r="P348" t="n">
        <v>0</v>
      </c>
      <c r="Q348" t="n">
        <v>347</v>
      </c>
    </row>
    <row r="349">
      <c r="A349" t="n">
        <v>348</v>
      </c>
      <c r="B349" t="inlineStr">
        <is>
          <t>MTR-IOS-0348</t>
        </is>
      </c>
      <c r="C349" t="inlineStr">
        <is>
          <t>iPhone</t>
        </is>
      </c>
      <c r="D349" t="inlineStr">
        <is>
          <t>Business</t>
        </is>
      </c>
      <c r="E349" t="inlineStr">
        <is>
          <t>Business</t>
        </is>
      </c>
      <c r="F349" t="inlineStr">
        <is>
          <t>Business Runway</t>
        </is>
      </c>
      <c r="G349" t="inlineStr">
        <is>
          <t>Reserve</t>
        </is>
      </c>
      <c r="H349" t="inlineStr">
        <is>
          <t>Business &gt; Business Runway &gt; Quick Add &gt; Reserve</t>
        </is>
      </c>
      <c r="I349" s="18" t="n">
        <v>96515.7</v>
      </c>
      <c r="J349" t="inlineStr">
        <is>
          <t>Created MTR-IOS-0348 and correlation note visible in Activity/Pulse</t>
        </is>
      </c>
      <c r="K349" t="inlineStr">
        <is>
          <t>NOT_RUN</t>
        </is>
      </c>
      <c r="P349" t="n">
        <v>0</v>
      </c>
      <c r="Q349" t="n">
        <v>348</v>
      </c>
    </row>
    <row r="350">
      <c r="A350" t="n">
        <v>349</v>
      </c>
      <c r="B350" t="inlineStr">
        <is>
          <t>MTR-IOS-0349</t>
        </is>
      </c>
      <c r="C350" t="inlineStr">
        <is>
          <t>iPhone</t>
        </is>
      </c>
      <c r="D350" t="inlineStr">
        <is>
          <t>Personal</t>
        </is>
      </c>
      <c r="E350" t="inlineStr">
        <is>
          <t>Personal</t>
        </is>
      </c>
      <c r="F350" t="inlineStr">
        <is>
          <t>Life Operations</t>
        </is>
      </c>
      <c r="G350" t="inlineStr">
        <is>
          <t>Rent</t>
        </is>
      </c>
      <c r="H350" t="inlineStr">
        <is>
          <t>Personal &gt; Life Operations &gt; Quick Add &gt; Rent</t>
        </is>
      </c>
      <c r="I350" s="18" t="n">
        <v>8091.29</v>
      </c>
      <c r="J350" t="inlineStr">
        <is>
          <t>Created MTR-IOS-0349 and correlation note visible in Activity/Pulse</t>
        </is>
      </c>
      <c r="K350" t="inlineStr">
        <is>
          <t>NOT_RUN</t>
        </is>
      </c>
      <c r="P350" t="n">
        <v>0</v>
      </c>
      <c r="Q350" t="n">
        <v>349</v>
      </c>
    </row>
    <row r="351">
      <c r="A351" t="n">
        <v>350</v>
      </c>
      <c r="B351" t="inlineStr">
        <is>
          <t>MTR-IOS-0350</t>
        </is>
      </c>
      <c r="C351" t="inlineStr">
        <is>
          <t>iPhone</t>
        </is>
      </c>
      <c r="D351" t="inlineStr">
        <is>
          <t>Group</t>
        </is>
      </c>
      <c r="E351" t="inlineStr">
        <is>
          <t>Shared Experience</t>
        </is>
      </c>
      <c r="F351" t="inlineStr">
        <is>
          <t>Trip</t>
        </is>
      </c>
      <c r="G351" t="inlineStr">
        <is>
          <t>Travel</t>
        </is>
      </c>
      <c r="H351" t="inlineStr">
        <is>
          <t>Group &gt; Trip &gt; Quick Add &gt; Travel</t>
        </is>
      </c>
      <c r="I351" s="18" t="n">
        <v>11938.96</v>
      </c>
      <c r="J351" t="inlineStr">
        <is>
          <t>Created MTR-IOS-0350 and correlation note visible in Activity/Pulse</t>
        </is>
      </c>
      <c r="K351" t="inlineStr">
        <is>
          <t>NOT_RUN</t>
        </is>
      </c>
      <c r="P351" t="n">
        <v>0</v>
      </c>
      <c r="Q351" t="n">
        <v>350</v>
      </c>
    </row>
    <row r="352">
      <c r="A352" t="n">
        <v>351</v>
      </c>
      <c r="B352" t="inlineStr">
        <is>
          <t>MTR-IOS-0351</t>
        </is>
      </c>
      <c r="C352" t="inlineStr">
        <is>
          <t>iPhone</t>
        </is>
      </c>
      <c r="D352" t="inlineStr">
        <is>
          <t>Business</t>
        </is>
      </c>
      <c r="E352" t="inlineStr">
        <is>
          <t>Business</t>
        </is>
      </c>
      <c r="F352" t="inlineStr">
        <is>
          <t>Business Runway</t>
        </is>
      </c>
      <c r="G352" t="inlineStr">
        <is>
          <t>Loan</t>
        </is>
      </c>
      <c r="H352" t="inlineStr">
        <is>
          <t>Business &gt; Business Runway &gt; Quick Add &gt; Loan</t>
        </is>
      </c>
      <c r="I352" s="18" t="n">
        <v>37243.44</v>
      </c>
      <c r="J352" t="inlineStr">
        <is>
          <t>Created MTR-IOS-0351 and correlation note visible in Activity/Pulse</t>
        </is>
      </c>
      <c r="K352" t="inlineStr">
        <is>
          <t>NOT_RUN</t>
        </is>
      </c>
      <c r="P352" t="n">
        <v>0</v>
      </c>
      <c r="Q352" t="n">
        <v>351</v>
      </c>
    </row>
    <row r="353">
      <c r="A353" t="n">
        <v>352</v>
      </c>
      <c r="B353" t="inlineStr">
        <is>
          <t>MTR-IOS-0352</t>
        </is>
      </c>
      <c r="C353" t="inlineStr">
        <is>
          <t>iPhone</t>
        </is>
      </c>
      <c r="D353" t="inlineStr">
        <is>
          <t>Personal</t>
        </is>
      </c>
      <c r="E353" t="inlineStr">
        <is>
          <t>Personal</t>
        </is>
      </c>
      <c r="F353" t="inlineStr">
        <is>
          <t>Life Operations</t>
        </is>
      </c>
      <c r="G353" t="inlineStr">
        <is>
          <t>Bills</t>
        </is>
      </c>
      <c r="H353" t="inlineStr">
        <is>
          <t>Personal &gt; Life Operations &gt; Quick Add &gt; Bills</t>
        </is>
      </c>
      <c r="I353" s="18" t="n">
        <v>14194.84</v>
      </c>
      <c r="J353" t="inlineStr">
        <is>
          <t>Created MTR-IOS-0352 and correlation note visible in Activity/Pulse</t>
        </is>
      </c>
      <c r="K353" t="inlineStr">
        <is>
          <t>NOT_RUN</t>
        </is>
      </c>
      <c r="P353" t="n">
        <v>0</v>
      </c>
      <c r="Q353" t="n">
        <v>352</v>
      </c>
    </row>
    <row r="354">
      <c r="A354" t="n">
        <v>353</v>
      </c>
      <c r="B354" t="inlineStr">
        <is>
          <t>MTR-IOS-0353</t>
        </is>
      </c>
      <c r="C354" t="inlineStr">
        <is>
          <t>iPhone</t>
        </is>
      </c>
      <c r="D354" t="inlineStr">
        <is>
          <t>Group</t>
        </is>
      </c>
      <c r="E354" t="inlineStr">
        <is>
          <t>Shared Experience</t>
        </is>
      </c>
      <c r="F354" t="inlineStr">
        <is>
          <t>Trip</t>
        </is>
      </c>
      <c r="G354" t="inlineStr">
        <is>
          <t>Stay</t>
        </is>
      </c>
      <c r="H354" t="inlineStr">
        <is>
          <t>Group &gt; Trip &gt; Quick Add &gt; Stay</t>
        </is>
      </c>
      <c r="I354" s="18" t="n">
        <v>4462.15</v>
      </c>
      <c r="J354" t="inlineStr">
        <is>
          <t>Created MTR-IOS-0353 and correlation note visible in Activity/Pulse</t>
        </is>
      </c>
      <c r="K354" t="inlineStr">
        <is>
          <t>NOT_RUN</t>
        </is>
      </c>
      <c r="P354" t="n">
        <v>0</v>
      </c>
      <c r="Q354" t="n">
        <v>353</v>
      </c>
    </row>
    <row r="355">
      <c r="A355" t="n">
        <v>354</v>
      </c>
      <c r="B355" t="inlineStr">
        <is>
          <t>MTR-IOS-0354</t>
        </is>
      </c>
      <c r="C355" t="inlineStr">
        <is>
          <t>iPhone</t>
        </is>
      </c>
      <c r="D355" t="inlineStr">
        <is>
          <t>Business</t>
        </is>
      </c>
      <c r="E355" t="inlineStr">
        <is>
          <t>Business</t>
        </is>
      </c>
      <c r="F355" t="inlineStr">
        <is>
          <t>Business Runway</t>
        </is>
      </c>
      <c r="G355" t="inlineStr">
        <is>
          <t>Investment</t>
        </is>
      </c>
      <c r="H355" t="inlineStr">
        <is>
          <t>Business &gt; Business Runway &gt; Quick Add &gt; Investment</t>
        </is>
      </c>
      <c r="I355" s="18" t="n">
        <v>84091.09</v>
      </c>
      <c r="J355" t="inlineStr">
        <is>
          <t>Created MTR-IOS-0354 and correlation note visible in Activity/Pulse</t>
        </is>
      </c>
      <c r="K355" t="inlineStr">
        <is>
          <t>NOT_RUN</t>
        </is>
      </c>
      <c r="P355" t="n">
        <v>0</v>
      </c>
      <c r="Q355" t="n">
        <v>354</v>
      </c>
    </row>
    <row r="356">
      <c r="A356" t="n">
        <v>355</v>
      </c>
      <c r="B356" t="inlineStr">
        <is>
          <t>MTR-IOS-0355</t>
        </is>
      </c>
      <c r="C356" t="inlineStr">
        <is>
          <t>iPhone</t>
        </is>
      </c>
      <c r="D356" t="inlineStr">
        <is>
          <t>Personal</t>
        </is>
      </c>
      <c r="E356" t="inlineStr">
        <is>
          <t>Personal</t>
        </is>
      </c>
      <c r="F356" t="inlineStr">
        <is>
          <t>Life Operations</t>
        </is>
      </c>
      <c r="G356" t="inlineStr">
        <is>
          <t>Transport</t>
        </is>
      </c>
      <c r="H356" t="inlineStr">
        <is>
          <t>Personal &gt; Life Operations &gt; Quick Add &gt; Transport</t>
        </is>
      </c>
      <c r="I356" s="18" t="n">
        <v>4459.95</v>
      </c>
      <c r="J356" t="inlineStr">
        <is>
          <t>Created MTR-IOS-0355 and correlation note visible in Activity/Pulse</t>
        </is>
      </c>
      <c r="K356" t="inlineStr">
        <is>
          <t>NOT_RUN</t>
        </is>
      </c>
      <c r="P356" t="n">
        <v>0</v>
      </c>
      <c r="Q356" t="n">
        <v>355</v>
      </c>
    </row>
    <row r="357">
      <c r="A357" t="n">
        <v>356</v>
      </c>
      <c r="B357" t="inlineStr">
        <is>
          <t>MTR-IOS-0356</t>
        </is>
      </c>
      <c r="C357" t="inlineStr">
        <is>
          <t>iPhone</t>
        </is>
      </c>
      <c r="D357" t="inlineStr">
        <is>
          <t>Group</t>
        </is>
      </c>
      <c r="E357" t="inlineStr">
        <is>
          <t>Shared Experience</t>
        </is>
      </c>
      <c r="F357" t="inlineStr">
        <is>
          <t>Trip</t>
        </is>
      </c>
      <c r="G357" t="inlineStr">
        <is>
          <t>Food</t>
        </is>
      </c>
      <c r="H357" t="inlineStr">
        <is>
          <t>Group &gt; Trip &gt; Quick Add &gt; Food</t>
        </is>
      </c>
      <c r="I357" s="18" t="n">
        <v>6546</v>
      </c>
      <c r="J357" t="inlineStr">
        <is>
          <t>Created MTR-IOS-0356 and correlation note visible in Activity/Pulse</t>
        </is>
      </c>
      <c r="K357" t="inlineStr">
        <is>
          <t>NOT_RUN</t>
        </is>
      </c>
      <c r="P357" t="n">
        <v>0</v>
      </c>
      <c r="Q357" t="n">
        <v>356</v>
      </c>
    </row>
    <row r="358">
      <c r="A358" t="n">
        <v>357</v>
      </c>
      <c r="B358" t="inlineStr">
        <is>
          <t>MTR-IOS-0357</t>
        </is>
      </c>
      <c r="C358" t="inlineStr">
        <is>
          <t>iPhone</t>
        </is>
      </c>
      <c r="D358" t="inlineStr">
        <is>
          <t>Business</t>
        </is>
      </c>
      <c r="E358" t="inlineStr">
        <is>
          <t>Business</t>
        </is>
      </c>
      <c r="F358" t="inlineStr">
        <is>
          <t>Business Operations</t>
        </is>
      </c>
      <c r="G358" t="inlineStr">
        <is>
          <t>Software</t>
        </is>
      </c>
      <c r="H358" t="inlineStr">
        <is>
          <t>Business &gt; Business Operations &gt; Quick Add &gt; Software</t>
        </is>
      </c>
      <c r="I358" s="18" t="n">
        <v>164774.78</v>
      </c>
      <c r="J358" t="inlineStr">
        <is>
          <t>Created MTR-IOS-0357 and correlation note visible in Activity/Pulse</t>
        </is>
      </c>
      <c r="K358" t="inlineStr">
        <is>
          <t>NOT_RUN</t>
        </is>
      </c>
      <c r="P358" t="n">
        <v>0</v>
      </c>
      <c r="Q358" t="n">
        <v>357</v>
      </c>
    </row>
    <row r="359">
      <c r="A359" t="n">
        <v>358</v>
      </c>
      <c r="B359" t="inlineStr">
        <is>
          <t>MTR-IOS-0358</t>
        </is>
      </c>
      <c r="C359" t="inlineStr">
        <is>
          <t>iPhone</t>
        </is>
      </c>
      <c r="D359" t="inlineStr">
        <is>
          <t>Personal</t>
        </is>
      </c>
      <c r="E359" t="inlineStr">
        <is>
          <t>Personal</t>
        </is>
      </c>
      <c r="F359" t="inlineStr">
        <is>
          <t>Life Operations</t>
        </is>
      </c>
      <c r="G359" t="inlineStr">
        <is>
          <t>Healthcare</t>
        </is>
      </c>
      <c r="H359" t="inlineStr">
        <is>
          <t>Personal &gt; Life Operations &gt; Quick Add &gt; Healthcare</t>
        </is>
      </c>
      <c r="I359" s="18" t="n">
        <v>8130.87</v>
      </c>
      <c r="J359" t="inlineStr">
        <is>
          <t>Created MTR-IOS-0358 and correlation note visible in Activity/Pulse</t>
        </is>
      </c>
      <c r="K359" t="inlineStr">
        <is>
          <t>NOT_RUN</t>
        </is>
      </c>
      <c r="P359" t="n">
        <v>0</v>
      </c>
      <c r="Q359" t="n">
        <v>358</v>
      </c>
    </row>
    <row r="360">
      <c r="A360" t="n">
        <v>359</v>
      </c>
      <c r="B360" t="inlineStr">
        <is>
          <t>MTR-IOS-0359</t>
        </is>
      </c>
      <c r="C360" t="inlineStr">
        <is>
          <t>iPhone</t>
        </is>
      </c>
      <c r="D360" t="inlineStr">
        <is>
          <t>Group</t>
        </is>
      </c>
      <c r="E360" t="inlineStr">
        <is>
          <t>Shared Experience</t>
        </is>
      </c>
      <c r="F360" t="inlineStr">
        <is>
          <t>Trip</t>
        </is>
      </c>
      <c r="G360" t="inlineStr">
        <is>
          <t>Local Transport</t>
        </is>
      </c>
      <c r="H360" t="inlineStr">
        <is>
          <t>Group &gt; Trip &gt; Quick Add &gt; Local Transport</t>
        </is>
      </c>
      <c r="I360" s="18" t="n">
        <v>7770.15</v>
      </c>
      <c r="J360" t="inlineStr">
        <is>
          <t>Created MTR-IOS-0359 and correlation note visible in Activity/Pulse</t>
        </is>
      </c>
      <c r="K360" t="inlineStr">
        <is>
          <t>NOT_RUN</t>
        </is>
      </c>
      <c r="P360" t="n">
        <v>0</v>
      </c>
      <c r="Q360" t="n">
        <v>359</v>
      </c>
    </row>
    <row r="361">
      <c r="A361" t="n">
        <v>360</v>
      </c>
      <c r="B361" t="inlineStr">
        <is>
          <t>MTR-IOS-0360</t>
        </is>
      </c>
      <c r="C361" t="inlineStr">
        <is>
          <t>iPhone</t>
        </is>
      </c>
      <c r="D361" t="inlineStr">
        <is>
          <t>Business</t>
        </is>
      </c>
      <c r="E361" t="inlineStr">
        <is>
          <t>Business</t>
        </is>
      </c>
      <c r="F361" t="inlineStr">
        <is>
          <t>Business Operations</t>
        </is>
      </c>
      <c r="G361" t="inlineStr">
        <is>
          <t>Rent</t>
        </is>
      </c>
      <c r="H361" t="inlineStr">
        <is>
          <t>Business &gt; Business Operations &gt; Quick Add &gt; Rent</t>
        </is>
      </c>
      <c r="I361" s="18" t="n">
        <v>75488.28999999999</v>
      </c>
      <c r="J361" t="inlineStr">
        <is>
          <t>Created MTR-IOS-0360 and correlation note visible in Activity/Pulse</t>
        </is>
      </c>
      <c r="K361" t="inlineStr">
        <is>
          <t>NOT_RUN</t>
        </is>
      </c>
      <c r="P361" t="n">
        <v>0</v>
      </c>
      <c r="Q361" t="n">
        <v>360</v>
      </c>
    </row>
    <row r="362">
      <c r="A362" t="n">
        <v>361</v>
      </c>
      <c r="B362" t="inlineStr">
        <is>
          <t>MTR-IOS-0361</t>
        </is>
      </c>
      <c r="C362" t="inlineStr">
        <is>
          <t>iPhone</t>
        </is>
      </c>
      <c r="D362" t="inlineStr">
        <is>
          <t>Personal</t>
        </is>
      </c>
      <c r="E362" t="inlineStr">
        <is>
          <t>Personal</t>
        </is>
      </c>
      <c r="F362" t="inlineStr">
        <is>
          <t>Life Operations</t>
        </is>
      </c>
      <c r="G362" t="inlineStr">
        <is>
          <t>Subscriptions</t>
        </is>
      </c>
      <c r="H362" t="inlineStr">
        <is>
          <t>Personal &gt; Life Operations &gt; Quick Add &gt; Subscriptions</t>
        </is>
      </c>
      <c r="I362" s="18" t="n">
        <v>840.9</v>
      </c>
      <c r="J362" t="inlineStr">
        <is>
          <t>Created MTR-IOS-0361 and correlation note visible in Activity/Pulse</t>
        </is>
      </c>
      <c r="K362" t="inlineStr">
        <is>
          <t>NOT_RUN</t>
        </is>
      </c>
      <c r="P362" t="n">
        <v>0</v>
      </c>
      <c r="Q362" t="n">
        <v>361</v>
      </c>
    </row>
    <row r="363">
      <c r="A363" t="n">
        <v>362</v>
      </c>
      <c r="B363" t="inlineStr">
        <is>
          <t>MTR-IOS-0362</t>
        </is>
      </c>
      <c r="C363" t="inlineStr">
        <is>
          <t>iPhone</t>
        </is>
      </c>
      <c r="D363" t="inlineStr">
        <is>
          <t>Group</t>
        </is>
      </c>
      <c r="E363" t="inlineStr">
        <is>
          <t>Shared Experience</t>
        </is>
      </c>
      <c r="F363" t="inlineStr">
        <is>
          <t>Trip</t>
        </is>
      </c>
      <c r="G363" t="inlineStr">
        <is>
          <t>Activities</t>
        </is>
      </c>
      <c r="H363" t="inlineStr">
        <is>
          <t>Group &gt; Trip &gt; Quick Add &gt; Activities</t>
        </is>
      </c>
      <c r="I363" s="18" t="n">
        <v>13215.49</v>
      </c>
      <c r="J363" t="inlineStr">
        <is>
          <t>Created MTR-IOS-0362 and correlation note visible in Activity/Pulse</t>
        </is>
      </c>
      <c r="K363" t="inlineStr">
        <is>
          <t>NOT_RUN</t>
        </is>
      </c>
      <c r="P363" t="n">
        <v>0</v>
      </c>
      <c r="Q363" t="n">
        <v>362</v>
      </c>
    </row>
    <row r="364">
      <c r="A364" t="n">
        <v>363</v>
      </c>
      <c r="B364" t="inlineStr">
        <is>
          <t>MTR-IOS-0363</t>
        </is>
      </c>
      <c r="C364" t="inlineStr">
        <is>
          <t>iPhone</t>
        </is>
      </c>
      <c r="D364" t="inlineStr">
        <is>
          <t>Business</t>
        </is>
      </c>
      <c r="E364" t="inlineStr">
        <is>
          <t>Business</t>
        </is>
      </c>
      <c r="F364" t="inlineStr">
        <is>
          <t>Business Operations</t>
        </is>
      </c>
      <c r="G364" t="inlineStr">
        <is>
          <t>Marketing</t>
        </is>
      </c>
      <c r="H364" t="inlineStr">
        <is>
          <t>Business &gt; Business Operations &gt; Quick Add &gt; Marketing</t>
        </is>
      </c>
      <c r="I364" s="18" t="n">
        <v>147978.31</v>
      </c>
      <c r="J364" t="inlineStr">
        <is>
          <t>Created MTR-IOS-0363 and correlation note visible in Activity/Pulse</t>
        </is>
      </c>
      <c r="K364" t="inlineStr">
        <is>
          <t>NOT_RUN</t>
        </is>
      </c>
      <c r="P364" t="n">
        <v>0</v>
      </c>
      <c r="Q364" t="n">
        <v>363</v>
      </c>
    </row>
    <row r="365">
      <c r="A365" t="n">
        <v>364</v>
      </c>
      <c r="B365" t="inlineStr">
        <is>
          <t>MTR-IOS-0364</t>
        </is>
      </c>
      <c r="C365" t="inlineStr">
        <is>
          <t>iPhone</t>
        </is>
      </c>
      <c r="D365" t="inlineStr">
        <is>
          <t>Personal</t>
        </is>
      </c>
      <c r="E365" t="inlineStr">
        <is>
          <t>Personal</t>
        </is>
      </c>
      <c r="F365" t="inlineStr">
        <is>
          <t>Life Operations</t>
        </is>
      </c>
      <c r="G365" t="inlineStr">
        <is>
          <t>Repairs</t>
        </is>
      </c>
      <c r="H365" t="inlineStr">
        <is>
          <t>Personal &gt; Life Operations &gt; Quick Add &gt; Repairs</t>
        </is>
      </c>
      <c r="I365" s="18" t="n">
        <v>2120.4</v>
      </c>
      <c r="J365" t="inlineStr">
        <is>
          <t>Created MTR-IOS-0364 and correlation note visible in Activity/Pulse</t>
        </is>
      </c>
      <c r="K365" t="inlineStr">
        <is>
          <t>NOT_RUN</t>
        </is>
      </c>
      <c r="P365" t="n">
        <v>0</v>
      </c>
      <c r="Q365" t="n">
        <v>364</v>
      </c>
    </row>
    <row r="366">
      <c r="A366" t="n">
        <v>365</v>
      </c>
      <c r="B366" t="inlineStr">
        <is>
          <t>MTR-IOS-0365</t>
        </is>
      </c>
      <c r="C366" t="inlineStr">
        <is>
          <t>iPhone</t>
        </is>
      </c>
      <c r="D366" t="inlineStr">
        <is>
          <t>Group</t>
        </is>
      </c>
      <c r="E366" t="inlineStr">
        <is>
          <t>Shared Experience</t>
        </is>
      </c>
      <c r="F366" t="inlineStr">
        <is>
          <t>Trip</t>
        </is>
      </c>
      <c r="G366" t="inlineStr">
        <is>
          <t>Shopping</t>
        </is>
      </c>
      <c r="H366" t="inlineStr">
        <is>
          <t>Group &gt; Trip &gt; Quick Add &gt; Shopping</t>
        </is>
      </c>
      <c r="I366" s="18" t="n">
        <v>22196.23</v>
      </c>
      <c r="J366" t="inlineStr">
        <is>
          <t>Created MTR-IOS-0365 and correlation note visible in Activity/Pulse</t>
        </is>
      </c>
      <c r="K366" t="inlineStr">
        <is>
          <t>NOT_RUN</t>
        </is>
      </c>
      <c r="P366" t="n">
        <v>0</v>
      </c>
      <c r="Q366" t="n">
        <v>365</v>
      </c>
    </row>
    <row r="367">
      <c r="A367" t="n">
        <v>366</v>
      </c>
      <c r="B367" t="inlineStr">
        <is>
          <t>MTR-IOS-0366</t>
        </is>
      </c>
      <c r="C367" t="inlineStr">
        <is>
          <t>iPhone</t>
        </is>
      </c>
      <c r="D367" t="inlineStr">
        <is>
          <t>Business</t>
        </is>
      </c>
      <c r="E367" t="inlineStr">
        <is>
          <t>Business</t>
        </is>
      </c>
      <c r="F367" t="inlineStr">
        <is>
          <t>Business Operations</t>
        </is>
      </c>
      <c r="G367" t="inlineStr">
        <is>
          <t>Legal</t>
        </is>
      </c>
      <c r="H367" t="inlineStr">
        <is>
          <t>Business &gt; Business Operations &gt; Quick Add &gt; Legal</t>
        </is>
      </c>
      <c r="I367" s="18" t="n">
        <v>63943.45</v>
      </c>
      <c r="J367" t="inlineStr">
        <is>
          <t>Created MTR-IOS-0366 and correlation note visible in Activity/Pulse</t>
        </is>
      </c>
      <c r="K367" t="inlineStr">
        <is>
          <t>NOT_RUN</t>
        </is>
      </c>
      <c r="P367" t="n">
        <v>0</v>
      </c>
      <c r="Q367" t="n">
        <v>366</v>
      </c>
    </row>
    <row r="368">
      <c r="A368" t="n">
        <v>367</v>
      </c>
      <c r="B368" t="inlineStr">
        <is>
          <t>MTR-IOS-0367</t>
        </is>
      </c>
      <c r="C368" t="inlineStr">
        <is>
          <t>iPhone</t>
        </is>
      </c>
      <c r="D368" t="inlineStr">
        <is>
          <t>Personal</t>
        </is>
      </c>
      <c r="E368" t="inlineStr">
        <is>
          <t>Personal</t>
        </is>
      </c>
      <c r="F368" t="inlineStr">
        <is>
          <t>Future Building</t>
        </is>
      </c>
      <c r="G368" t="inlineStr">
        <is>
          <t>Savings</t>
        </is>
      </c>
      <c r="H368" t="inlineStr">
        <is>
          <t>Personal &gt; Future Building &gt; Quick Add &gt; Savings</t>
        </is>
      </c>
      <c r="I368" s="18" t="n">
        <v>2396.78</v>
      </c>
      <c r="J368" t="inlineStr">
        <is>
          <t>Created MTR-IOS-0367 and correlation note visible in Activity/Pulse</t>
        </is>
      </c>
      <c r="K368" t="inlineStr">
        <is>
          <t>NOT_RUN</t>
        </is>
      </c>
      <c r="P368" t="n">
        <v>0</v>
      </c>
      <c r="Q368" t="n">
        <v>367</v>
      </c>
    </row>
    <row r="369">
      <c r="A369" t="n">
        <v>368</v>
      </c>
      <c r="B369" t="inlineStr">
        <is>
          <t>MTR-IOS-0368</t>
        </is>
      </c>
      <c r="C369" t="inlineStr">
        <is>
          <t>iPhone</t>
        </is>
      </c>
      <c r="D369" t="inlineStr">
        <is>
          <t>Group</t>
        </is>
      </c>
      <c r="E369" t="inlineStr">
        <is>
          <t>Shared Experience</t>
        </is>
      </c>
      <c r="F369" t="inlineStr">
        <is>
          <t>Trip</t>
        </is>
      </c>
      <c r="G369" t="inlineStr">
        <is>
          <t>Other</t>
        </is>
      </c>
      <c r="H369" t="inlineStr">
        <is>
          <t>Group &gt; Trip &gt; Quick Add &gt; Other</t>
        </is>
      </c>
      <c r="I369" s="18" t="n">
        <v>24153.02</v>
      </c>
      <c r="J369" t="inlineStr">
        <is>
          <t>Created MTR-IOS-0368 and correlation note visible in Activity/Pulse</t>
        </is>
      </c>
      <c r="K369" t="inlineStr">
        <is>
          <t>NOT_RUN</t>
        </is>
      </c>
      <c r="P369" t="n">
        <v>0</v>
      </c>
      <c r="Q369" t="n">
        <v>368</v>
      </c>
    </row>
    <row r="370">
      <c r="A370" t="n">
        <v>369</v>
      </c>
      <c r="B370" t="inlineStr">
        <is>
          <t>MTR-IOS-0369</t>
        </is>
      </c>
      <c r="C370" t="inlineStr">
        <is>
          <t>iPhone</t>
        </is>
      </c>
      <c r="D370" t="inlineStr">
        <is>
          <t>Business</t>
        </is>
      </c>
      <c r="E370" t="inlineStr">
        <is>
          <t>Business</t>
        </is>
      </c>
      <c r="F370" t="inlineStr">
        <is>
          <t>Business Operations</t>
        </is>
      </c>
      <c r="G370" t="inlineStr">
        <is>
          <t>Accounting</t>
        </is>
      </c>
      <c r="H370" t="inlineStr">
        <is>
          <t>Business &gt; Business Operations &gt; Quick Add &gt; Accounting</t>
        </is>
      </c>
      <c r="I370" s="18" t="n">
        <v>126622.5</v>
      </c>
      <c r="J370" t="inlineStr">
        <is>
          <t>Created MTR-IOS-0369 and correlation note visible in Activity/Pulse</t>
        </is>
      </c>
      <c r="K370" t="inlineStr">
        <is>
          <t>NOT_RUN</t>
        </is>
      </c>
      <c r="P370" t="n">
        <v>0</v>
      </c>
      <c r="Q370" t="n">
        <v>369</v>
      </c>
    </row>
    <row r="371">
      <c r="A371" t="n">
        <v>370</v>
      </c>
      <c r="B371" t="inlineStr">
        <is>
          <t>MTR-IOS-0370</t>
        </is>
      </c>
      <c r="C371" t="inlineStr">
        <is>
          <t>iPhone</t>
        </is>
      </c>
      <c r="D371" t="inlineStr">
        <is>
          <t>Personal</t>
        </is>
      </c>
      <c r="E371" t="inlineStr">
        <is>
          <t>Personal</t>
        </is>
      </c>
      <c r="F371" t="inlineStr">
        <is>
          <t>Future Building</t>
        </is>
      </c>
      <c r="G371" t="inlineStr">
        <is>
          <t>Emergency Fund</t>
        </is>
      </c>
      <c r="H371" t="inlineStr">
        <is>
          <t>Personal &gt; Future Building &gt; Quick Add &gt; Emergency Fund</t>
        </is>
      </c>
      <c r="I371" s="18" t="n">
        <v>999.99</v>
      </c>
      <c r="J371" t="inlineStr">
        <is>
          <t>Created MTR-IOS-0370 and correlation note visible in Activity/Pulse</t>
        </is>
      </c>
      <c r="K371" t="inlineStr">
        <is>
          <t>NOT_RUN</t>
        </is>
      </c>
      <c r="P371" t="n">
        <v>0</v>
      </c>
      <c r="Q371" t="n">
        <v>370</v>
      </c>
    </row>
    <row r="372">
      <c r="A372" t="n">
        <v>371</v>
      </c>
      <c r="B372" t="inlineStr">
        <is>
          <t>MTR-IOS-0371</t>
        </is>
      </c>
      <c r="C372" t="inlineStr">
        <is>
          <t>iPhone</t>
        </is>
      </c>
      <c r="D372" t="inlineStr">
        <is>
          <t>Group</t>
        </is>
      </c>
      <c r="E372" t="inlineStr">
        <is>
          <t>Shared Experience</t>
        </is>
      </c>
      <c r="F372" t="inlineStr">
        <is>
          <t>Wedding</t>
        </is>
      </c>
      <c r="G372" t="inlineStr">
        <is>
          <t>Venue</t>
        </is>
      </c>
      <c r="H372" t="inlineStr">
        <is>
          <t>Group &gt; Wedding &gt; Quick Add &gt; Venue</t>
        </is>
      </c>
      <c r="I372" s="18" t="n">
        <v>21281.27</v>
      </c>
      <c r="J372" t="inlineStr">
        <is>
          <t>Created MTR-IOS-0371 and correlation note visible in Activity/Pulse</t>
        </is>
      </c>
      <c r="K372" t="inlineStr">
        <is>
          <t>NOT_RUN</t>
        </is>
      </c>
      <c r="P372" t="n">
        <v>0</v>
      </c>
      <c r="Q372" t="n">
        <v>371</v>
      </c>
    </row>
    <row r="373">
      <c r="A373" t="n">
        <v>372</v>
      </c>
      <c r="B373" t="inlineStr">
        <is>
          <t>MTR-IOS-0372</t>
        </is>
      </c>
      <c r="C373" t="inlineStr">
        <is>
          <t>iPhone</t>
        </is>
      </c>
      <c r="D373" t="inlineStr">
        <is>
          <t>Business</t>
        </is>
      </c>
      <c r="E373" t="inlineStr">
        <is>
          <t>Business</t>
        </is>
      </c>
      <c r="F373" t="inlineStr">
        <is>
          <t>Business Operations</t>
        </is>
      </c>
      <c r="G373" t="inlineStr">
        <is>
          <t>Equipment</t>
        </is>
      </c>
      <c r="H373" t="inlineStr">
        <is>
          <t>Business &gt; Business Operations &gt; Quick Add &gt; Equipment</t>
        </is>
      </c>
      <c r="I373" s="18" t="n">
        <v>51812.89</v>
      </c>
      <c r="J373" t="inlineStr">
        <is>
          <t>Created MTR-IOS-0372 and correlation note visible in Activity/Pulse</t>
        </is>
      </c>
      <c r="K373" t="inlineStr">
        <is>
          <t>NOT_RUN</t>
        </is>
      </c>
      <c r="P373" t="n">
        <v>0</v>
      </c>
      <c r="Q373" t="n">
        <v>372</v>
      </c>
    </row>
    <row r="374">
      <c r="A374" t="n">
        <v>373</v>
      </c>
      <c r="B374" t="inlineStr">
        <is>
          <t>MTR-IOS-0373</t>
        </is>
      </c>
      <c r="C374" t="inlineStr">
        <is>
          <t>iPhone</t>
        </is>
      </c>
      <c r="D374" t="inlineStr">
        <is>
          <t>Personal</t>
        </is>
      </c>
      <c r="E374" t="inlineStr">
        <is>
          <t>Personal</t>
        </is>
      </c>
      <c r="F374" t="inlineStr">
        <is>
          <t>Future Building</t>
        </is>
      </c>
      <c r="G374" t="inlineStr">
        <is>
          <t>Investments</t>
        </is>
      </c>
      <c r="H374" t="inlineStr">
        <is>
          <t>Personal &gt; Future Building &gt; Quick Add &gt; Investments</t>
        </is>
      </c>
      <c r="I374" s="18" t="n">
        <v>3915.81</v>
      </c>
      <c r="J374" t="inlineStr">
        <is>
          <t>Created MTR-IOS-0373 and correlation note visible in Activity/Pulse</t>
        </is>
      </c>
      <c r="K374" t="inlineStr">
        <is>
          <t>NOT_RUN</t>
        </is>
      </c>
      <c r="P374" t="n">
        <v>0</v>
      </c>
      <c r="Q374" t="n">
        <v>373</v>
      </c>
    </row>
    <row r="375">
      <c r="A375" t="n">
        <v>374</v>
      </c>
      <c r="B375" t="inlineStr">
        <is>
          <t>MTR-IOS-0374</t>
        </is>
      </c>
      <c r="C375" t="inlineStr">
        <is>
          <t>iPhone</t>
        </is>
      </c>
      <c r="D375" t="inlineStr">
        <is>
          <t>Group</t>
        </is>
      </c>
      <c r="E375" t="inlineStr">
        <is>
          <t>Shared Experience</t>
        </is>
      </c>
      <c r="F375" t="inlineStr">
        <is>
          <t>Wedding</t>
        </is>
      </c>
      <c r="G375" t="inlineStr">
        <is>
          <t>Catering</t>
        </is>
      </c>
      <c r="H375" t="inlineStr">
        <is>
          <t>Group &gt; Wedding &gt; Quick Add &gt; Catering</t>
        </is>
      </c>
      <c r="I375" s="18" t="n">
        <v>13875.58</v>
      </c>
      <c r="J375" t="inlineStr">
        <is>
          <t>Created MTR-IOS-0374 and correlation note visible in Activity/Pulse</t>
        </is>
      </c>
      <c r="K375" t="inlineStr">
        <is>
          <t>NOT_RUN</t>
        </is>
      </c>
      <c r="P375" t="n">
        <v>0</v>
      </c>
      <c r="Q375" t="n">
        <v>374</v>
      </c>
    </row>
    <row r="376">
      <c r="A376" t="n">
        <v>375</v>
      </c>
      <c r="B376" t="inlineStr">
        <is>
          <t>MTR-IOS-0375</t>
        </is>
      </c>
      <c r="C376" t="inlineStr">
        <is>
          <t>iPhone</t>
        </is>
      </c>
      <c r="D376" t="inlineStr">
        <is>
          <t>Business</t>
        </is>
      </c>
      <c r="E376" t="inlineStr">
        <is>
          <t>Business</t>
        </is>
      </c>
      <c r="F376" t="inlineStr">
        <is>
          <t>Business Operations</t>
        </is>
      </c>
      <c r="G376" t="inlineStr">
        <is>
          <t>Vendor</t>
        </is>
      </c>
      <c r="H376" t="inlineStr">
        <is>
          <t>Business &gt; Business Operations &gt; Quick Add &gt; Vendor</t>
        </is>
      </c>
      <c r="I376" s="18" t="n">
        <v>138576.85</v>
      </c>
      <c r="J376" t="inlineStr">
        <is>
          <t>Created MTR-IOS-0375 and correlation note visible in Activity/Pulse</t>
        </is>
      </c>
      <c r="K376" t="inlineStr">
        <is>
          <t>NOT_RUN</t>
        </is>
      </c>
      <c r="P376" t="n">
        <v>0</v>
      </c>
      <c r="Q376" t="n">
        <v>375</v>
      </c>
    </row>
    <row r="377">
      <c r="A377" t="n">
        <v>376</v>
      </c>
      <c r="B377" t="inlineStr">
        <is>
          <t>MTR-IOS-0376</t>
        </is>
      </c>
      <c r="C377" t="inlineStr">
        <is>
          <t>iPhone</t>
        </is>
      </c>
      <c r="D377" t="inlineStr">
        <is>
          <t>Personal</t>
        </is>
      </c>
      <c r="E377" t="inlineStr">
        <is>
          <t>Personal</t>
        </is>
      </c>
      <c r="F377" t="inlineStr">
        <is>
          <t>Future Building</t>
        </is>
      </c>
      <c r="G377" t="inlineStr">
        <is>
          <t>Education</t>
        </is>
      </c>
      <c r="H377" t="inlineStr">
        <is>
          <t>Personal &gt; Future Building &gt; Quick Add &gt; Education</t>
        </is>
      </c>
      <c r="I377" s="18" t="n">
        <v>7552.41</v>
      </c>
      <c r="J377" t="inlineStr">
        <is>
          <t>Created MTR-IOS-0376 and correlation note visible in Activity/Pulse</t>
        </is>
      </c>
      <c r="K377" t="inlineStr">
        <is>
          <t>NOT_RUN</t>
        </is>
      </c>
      <c r="P377" t="n">
        <v>0</v>
      </c>
      <c r="Q377" t="n">
        <v>376</v>
      </c>
    </row>
    <row r="378">
      <c r="A378" t="n">
        <v>377</v>
      </c>
      <c r="B378" t="inlineStr">
        <is>
          <t>MTR-IOS-0377</t>
        </is>
      </c>
      <c r="C378" t="inlineStr">
        <is>
          <t>iPhone</t>
        </is>
      </c>
      <c r="D378" t="inlineStr">
        <is>
          <t>Group</t>
        </is>
      </c>
      <c r="E378" t="inlineStr">
        <is>
          <t>Shared Experience</t>
        </is>
      </c>
      <c r="F378" t="inlineStr">
        <is>
          <t>Wedding</t>
        </is>
      </c>
      <c r="G378" t="inlineStr">
        <is>
          <t>Decor</t>
        </is>
      </c>
      <c r="H378" t="inlineStr">
        <is>
          <t>Group &gt; Wedding &gt; Quick Add &gt; Decor</t>
        </is>
      </c>
      <c r="I378" s="18" t="n">
        <v>24743.93</v>
      </c>
      <c r="J378" t="inlineStr">
        <is>
          <t>Created MTR-IOS-0377 and correlation note visible in Activity/Pulse</t>
        </is>
      </c>
      <c r="K378" t="inlineStr">
        <is>
          <t>NOT_RUN</t>
        </is>
      </c>
      <c r="P378" t="n">
        <v>0</v>
      </c>
      <c r="Q378" t="n">
        <v>377</v>
      </c>
    </row>
    <row r="379">
      <c r="A379" t="n">
        <v>378</v>
      </c>
      <c r="B379" t="inlineStr">
        <is>
          <t>MTR-IOS-0378</t>
        </is>
      </c>
      <c r="C379" t="inlineStr">
        <is>
          <t>iPhone</t>
        </is>
      </c>
      <c r="D379" t="inlineStr">
        <is>
          <t>Business</t>
        </is>
      </c>
      <c r="E379" t="inlineStr">
        <is>
          <t>Business</t>
        </is>
      </c>
      <c r="F379" t="inlineStr">
        <is>
          <t>Business Operations</t>
        </is>
      </c>
      <c r="G379" t="inlineStr">
        <is>
          <t>Tax</t>
        </is>
      </c>
      <c r="H379" t="inlineStr">
        <is>
          <t>Business &gt; Business Operations &gt; Quick Add &gt; Tax</t>
        </is>
      </c>
      <c r="I379" s="18" t="n">
        <v>4327.32</v>
      </c>
      <c r="J379" t="inlineStr">
        <is>
          <t>Created MTR-IOS-0378 and correlation note visible in Activity/Pulse</t>
        </is>
      </c>
      <c r="K379" t="inlineStr">
        <is>
          <t>NOT_RUN</t>
        </is>
      </c>
      <c r="P379" t="n">
        <v>0</v>
      </c>
      <c r="Q379" t="n">
        <v>378</v>
      </c>
    </row>
    <row r="380">
      <c r="A380" t="n">
        <v>379</v>
      </c>
      <c r="B380" t="inlineStr">
        <is>
          <t>MTR-IOS-0379</t>
        </is>
      </c>
      <c r="C380" t="inlineStr">
        <is>
          <t>iPhone</t>
        </is>
      </c>
      <c r="D380" t="inlineStr">
        <is>
          <t>Personal</t>
        </is>
      </c>
      <c r="E380" t="inlineStr">
        <is>
          <t>Personal</t>
        </is>
      </c>
      <c r="F380" t="inlineStr">
        <is>
          <t>Future Building</t>
        </is>
      </c>
      <c r="G380" t="inlineStr">
        <is>
          <t>Goal Contribution</t>
        </is>
      </c>
      <c r="H380" t="inlineStr">
        <is>
          <t>Personal &gt; Future Building &gt; Quick Add &gt; Goal Contribution</t>
        </is>
      </c>
      <c r="I380" s="18" t="n">
        <v>6526.54</v>
      </c>
      <c r="J380" t="inlineStr">
        <is>
          <t>Created MTR-IOS-0379 and correlation note visible in Activity/Pulse</t>
        </is>
      </c>
      <c r="K380" t="inlineStr">
        <is>
          <t>NOT_RUN</t>
        </is>
      </c>
      <c r="P380" t="n">
        <v>0</v>
      </c>
      <c r="Q380" t="n">
        <v>379</v>
      </c>
    </row>
    <row r="381">
      <c r="A381" t="n">
        <v>380</v>
      </c>
      <c r="B381" t="inlineStr">
        <is>
          <t>MTR-IOS-0380</t>
        </is>
      </c>
      <c r="C381" t="inlineStr">
        <is>
          <t>iPhone</t>
        </is>
      </c>
      <c r="D381" t="inlineStr">
        <is>
          <t>Group</t>
        </is>
      </c>
      <c r="E381" t="inlineStr">
        <is>
          <t>Shared Experience</t>
        </is>
      </c>
      <c r="F381" t="inlineStr">
        <is>
          <t>Wedding</t>
        </is>
      </c>
      <c r="G381" t="inlineStr">
        <is>
          <t>Travel</t>
        </is>
      </c>
      <c r="H381" t="inlineStr">
        <is>
          <t>Group &gt; Wedding &gt; Quick Add &gt; Travel</t>
        </is>
      </c>
      <c r="I381" s="18" t="n">
        <v>9606.290000000001</v>
      </c>
      <c r="J381" t="inlineStr">
        <is>
          <t>Created MTR-IOS-0380 and correlation note visible in Activity/Pulse</t>
        </is>
      </c>
      <c r="K381" t="inlineStr">
        <is>
          <t>NOT_RUN</t>
        </is>
      </c>
      <c r="P381" t="n">
        <v>0</v>
      </c>
      <c r="Q381" t="n">
        <v>380</v>
      </c>
    </row>
    <row r="382">
      <c r="A382" t="n">
        <v>381</v>
      </c>
      <c r="B382" t="inlineStr">
        <is>
          <t>MTR-IOS-0381</t>
        </is>
      </c>
      <c r="C382" t="inlineStr">
        <is>
          <t>iPhone</t>
        </is>
      </c>
      <c r="D382" t="inlineStr">
        <is>
          <t>Business</t>
        </is>
      </c>
      <c r="E382" t="inlineStr">
        <is>
          <t>Business</t>
        </is>
      </c>
      <c r="F382" t="inlineStr">
        <is>
          <t>Team Operations</t>
        </is>
      </c>
      <c r="G382" t="inlineStr">
        <is>
          <t>Payroll</t>
        </is>
      </c>
      <c r="H382" t="inlineStr">
        <is>
          <t>Business &gt; Team Operations &gt; Quick Add &gt; Payroll</t>
        </is>
      </c>
      <c r="I382" s="18" t="n">
        <v>19541.06</v>
      </c>
      <c r="J382" t="inlineStr">
        <is>
          <t>Created MTR-IOS-0381 and correlation note visible in Activity/Pulse</t>
        </is>
      </c>
      <c r="K382" t="inlineStr">
        <is>
          <t>NOT_RUN</t>
        </is>
      </c>
      <c r="P382" t="n">
        <v>0</v>
      </c>
      <c r="Q382" t="n">
        <v>381</v>
      </c>
    </row>
    <row r="383">
      <c r="A383" t="n">
        <v>382</v>
      </c>
      <c r="B383" t="inlineStr">
        <is>
          <t>MTR-IOS-0382</t>
        </is>
      </c>
      <c r="C383" t="inlineStr">
        <is>
          <t>iPhone</t>
        </is>
      </c>
      <c r="D383" t="inlineStr">
        <is>
          <t>Personal</t>
        </is>
      </c>
      <c r="E383" t="inlineStr">
        <is>
          <t>Personal</t>
        </is>
      </c>
      <c r="F383" t="inlineStr">
        <is>
          <t>Lifestyle</t>
        </is>
      </c>
      <c r="G383" t="inlineStr">
        <is>
          <t>Dining</t>
        </is>
      </c>
      <c r="H383" t="inlineStr">
        <is>
          <t>Personal &gt; Lifestyle &gt; Quick Add &gt; Dining</t>
        </is>
      </c>
      <c r="I383" s="18" t="n">
        <v>3453.89</v>
      </c>
      <c r="J383" t="inlineStr">
        <is>
          <t>Created MTR-IOS-0382 and correlation note visible in Activity/Pulse</t>
        </is>
      </c>
      <c r="K383" t="inlineStr">
        <is>
          <t>NOT_RUN</t>
        </is>
      </c>
      <c r="P383" t="n">
        <v>0</v>
      </c>
      <c r="Q383" t="n">
        <v>382</v>
      </c>
    </row>
    <row r="384">
      <c r="A384" t="n">
        <v>383</v>
      </c>
      <c r="B384" t="inlineStr">
        <is>
          <t>MTR-IOS-0383</t>
        </is>
      </c>
      <c r="C384" t="inlineStr">
        <is>
          <t>iPhone</t>
        </is>
      </c>
      <c r="D384" t="inlineStr">
        <is>
          <t>Group</t>
        </is>
      </c>
      <c r="E384" t="inlineStr">
        <is>
          <t>Shared Experience</t>
        </is>
      </c>
      <c r="F384" t="inlineStr">
        <is>
          <t>Wedding</t>
        </is>
      </c>
      <c r="G384" t="inlineStr">
        <is>
          <t>Gifts</t>
        </is>
      </c>
      <c r="H384" t="inlineStr">
        <is>
          <t>Group &gt; Wedding &gt; Quick Add &gt; Gifts</t>
        </is>
      </c>
      <c r="I384" s="18" t="n">
        <v>10181.97</v>
      </c>
      <c r="J384" t="inlineStr">
        <is>
          <t>Created MTR-IOS-0383 and correlation note visible in Activity/Pulse</t>
        </is>
      </c>
      <c r="K384" t="inlineStr">
        <is>
          <t>NOT_RUN</t>
        </is>
      </c>
      <c r="P384" t="n">
        <v>0</v>
      </c>
      <c r="Q384" t="n">
        <v>383</v>
      </c>
    </row>
    <row r="385">
      <c r="A385" t="n">
        <v>384</v>
      </c>
      <c r="B385" t="inlineStr">
        <is>
          <t>MTR-IOS-0384</t>
        </is>
      </c>
      <c r="C385" t="inlineStr">
        <is>
          <t>iPhone</t>
        </is>
      </c>
      <c r="D385" t="inlineStr">
        <is>
          <t>Business</t>
        </is>
      </c>
      <c r="E385" t="inlineStr">
        <is>
          <t>Business</t>
        </is>
      </c>
      <c r="F385" t="inlineStr">
        <is>
          <t>Team Operations</t>
        </is>
      </c>
      <c r="G385" t="inlineStr">
        <is>
          <t>Contractor</t>
        </is>
      </c>
      <c r="H385" t="inlineStr">
        <is>
          <t>Business &gt; Team Operations &gt; Quick Add &gt; Contractor</t>
        </is>
      </c>
      <c r="I385" s="18" t="n">
        <v>96904.12</v>
      </c>
      <c r="J385" t="inlineStr">
        <is>
          <t>Created MTR-IOS-0384 and correlation note visible in Activity/Pulse</t>
        </is>
      </c>
      <c r="K385" t="inlineStr">
        <is>
          <t>NOT_RUN</t>
        </is>
      </c>
      <c r="P385" t="n">
        <v>0</v>
      </c>
      <c r="Q385" t="n">
        <v>384</v>
      </c>
    </row>
    <row r="386">
      <c r="A386" t="n">
        <v>385</v>
      </c>
      <c r="B386" t="inlineStr">
        <is>
          <t>MTR-IOS-0385</t>
        </is>
      </c>
      <c r="C386" t="inlineStr">
        <is>
          <t>iPhone</t>
        </is>
      </c>
      <c r="D386" t="inlineStr">
        <is>
          <t>Personal</t>
        </is>
      </c>
      <c r="E386" t="inlineStr">
        <is>
          <t>Personal</t>
        </is>
      </c>
      <c r="F386" t="inlineStr">
        <is>
          <t>Lifestyle</t>
        </is>
      </c>
      <c r="G386" t="inlineStr">
        <is>
          <t>Shopping</t>
        </is>
      </c>
      <c r="H386" t="inlineStr">
        <is>
          <t>Personal &gt; Lifestyle &gt; Quick Add &gt; Shopping</t>
        </is>
      </c>
      <c r="I386" s="18" t="n">
        <v>17007.58</v>
      </c>
      <c r="J386" t="inlineStr">
        <is>
          <t>Created MTR-IOS-0385 and correlation note visible in Activity/Pulse</t>
        </is>
      </c>
      <c r="K386" t="inlineStr">
        <is>
          <t>NOT_RUN</t>
        </is>
      </c>
      <c r="P386" t="n">
        <v>0</v>
      </c>
      <c r="Q386" t="n">
        <v>385</v>
      </c>
    </row>
    <row r="387">
      <c r="A387" t="n">
        <v>386</v>
      </c>
      <c r="B387" t="inlineStr">
        <is>
          <t>MTR-IOS-0386</t>
        </is>
      </c>
      <c r="C387" t="inlineStr">
        <is>
          <t>iPhone</t>
        </is>
      </c>
      <c r="D387" t="inlineStr">
        <is>
          <t>Group</t>
        </is>
      </c>
      <c r="E387" t="inlineStr">
        <is>
          <t>Shared Experience</t>
        </is>
      </c>
      <c r="F387" t="inlineStr">
        <is>
          <t>Wedding</t>
        </is>
      </c>
      <c r="G387" t="inlineStr">
        <is>
          <t>Photography</t>
        </is>
      </c>
      <c r="H387" t="inlineStr">
        <is>
          <t>Group &gt; Wedding &gt; Quick Add &gt; Photography</t>
        </is>
      </c>
      <c r="I387" s="18" t="n">
        <v>8068.47</v>
      </c>
      <c r="J387" t="inlineStr">
        <is>
          <t>Created MTR-IOS-0386 and correlation note visible in Activity/Pulse</t>
        </is>
      </c>
      <c r="K387" t="inlineStr">
        <is>
          <t>NOT_RUN</t>
        </is>
      </c>
      <c r="P387" t="n">
        <v>0</v>
      </c>
      <c r="Q387" t="n">
        <v>386</v>
      </c>
    </row>
    <row r="388">
      <c r="A388" t="n">
        <v>387</v>
      </c>
      <c r="B388" t="inlineStr">
        <is>
          <t>MTR-IOS-0387</t>
        </is>
      </c>
      <c r="C388" t="inlineStr">
        <is>
          <t>iPhone</t>
        </is>
      </c>
      <c r="D388" t="inlineStr">
        <is>
          <t>Business</t>
        </is>
      </c>
      <c r="E388" t="inlineStr">
        <is>
          <t>Business</t>
        </is>
      </c>
      <c r="F388" t="inlineStr">
        <is>
          <t>Team Operations</t>
        </is>
      </c>
      <c r="G388" t="inlineStr">
        <is>
          <t>Hiring</t>
        </is>
      </c>
      <c r="H388" t="inlineStr">
        <is>
          <t>Business &gt; Team Operations &gt; Quick Add &gt; Hiring</t>
        </is>
      </c>
      <c r="I388" s="18" t="n">
        <v>27486.35</v>
      </c>
      <c r="J388" t="inlineStr">
        <is>
          <t>Created MTR-IOS-0387 and correlation note visible in Activity/Pulse</t>
        </is>
      </c>
      <c r="K388" t="inlineStr">
        <is>
          <t>NOT_RUN</t>
        </is>
      </c>
      <c r="P388" t="n">
        <v>0</v>
      </c>
      <c r="Q388" t="n">
        <v>387</v>
      </c>
    </row>
    <row r="389">
      <c r="A389" t="n">
        <v>388</v>
      </c>
      <c r="B389" t="inlineStr">
        <is>
          <t>MTR-IOS-0388</t>
        </is>
      </c>
      <c r="C389" t="inlineStr">
        <is>
          <t>iPhone</t>
        </is>
      </c>
      <c r="D389" t="inlineStr">
        <is>
          <t>Personal</t>
        </is>
      </c>
      <c r="E389" t="inlineStr">
        <is>
          <t>Personal</t>
        </is>
      </c>
      <c r="F389" t="inlineStr">
        <is>
          <t>Lifestyle</t>
        </is>
      </c>
      <c r="G389" t="inlineStr">
        <is>
          <t>Entertainment</t>
        </is>
      </c>
      <c r="H389" t="inlineStr">
        <is>
          <t>Personal &gt; Lifestyle &gt; Quick Add &gt; Entertainment</t>
        </is>
      </c>
      <c r="I389" s="18" t="n">
        <v>4242.81</v>
      </c>
      <c r="J389" t="inlineStr">
        <is>
          <t>Created MTR-IOS-0388 and correlation note visible in Activity/Pulse</t>
        </is>
      </c>
      <c r="K389" t="inlineStr">
        <is>
          <t>NOT_RUN</t>
        </is>
      </c>
      <c r="P389" t="n">
        <v>0</v>
      </c>
      <c r="Q389" t="n">
        <v>388</v>
      </c>
    </row>
    <row r="390">
      <c r="A390" t="n">
        <v>389</v>
      </c>
      <c r="B390" t="inlineStr">
        <is>
          <t>MTR-IOS-0389</t>
        </is>
      </c>
      <c r="C390" t="inlineStr">
        <is>
          <t>iPhone</t>
        </is>
      </c>
      <c r="D390" t="inlineStr">
        <is>
          <t>Group</t>
        </is>
      </c>
      <c r="E390" t="inlineStr">
        <is>
          <t>Shared Experience</t>
        </is>
      </c>
      <c r="F390" t="inlineStr">
        <is>
          <t>Wedding</t>
        </is>
      </c>
      <c r="G390" t="inlineStr">
        <is>
          <t>Other</t>
        </is>
      </c>
      <c r="H390" t="inlineStr">
        <is>
          <t>Group &gt; Wedding &gt; Quick Add &gt; Other</t>
        </is>
      </c>
      <c r="I390" s="18" t="n">
        <v>19014.31</v>
      </c>
      <c r="J390" t="inlineStr">
        <is>
          <t>Created MTR-IOS-0389 and correlation note visible in Activity/Pulse</t>
        </is>
      </c>
      <c r="K390" t="inlineStr">
        <is>
          <t>NOT_RUN</t>
        </is>
      </c>
      <c r="P390" t="n">
        <v>0</v>
      </c>
      <c r="Q390" t="n">
        <v>389</v>
      </c>
    </row>
    <row r="391">
      <c r="A391" t="n">
        <v>390</v>
      </c>
      <c r="B391" t="inlineStr">
        <is>
          <t>MTR-IOS-0390</t>
        </is>
      </c>
      <c r="C391" t="inlineStr">
        <is>
          <t>iPhone</t>
        </is>
      </c>
      <c r="D391" t="inlineStr">
        <is>
          <t>Business</t>
        </is>
      </c>
      <c r="E391" t="inlineStr">
        <is>
          <t>Business</t>
        </is>
      </c>
      <c r="F391" t="inlineStr">
        <is>
          <t>Team Operations</t>
        </is>
      </c>
      <c r="G391" t="inlineStr">
        <is>
          <t>Team Meal</t>
        </is>
      </c>
      <c r="H391" t="inlineStr">
        <is>
          <t>Business &gt; Team Operations &gt; Quick Add &gt; Team Meal</t>
        </is>
      </c>
      <c r="I391" s="18" t="n">
        <v>129614.6</v>
      </c>
      <c r="J391" t="inlineStr">
        <is>
          <t>Created MTR-IOS-0390 and correlation note visible in Activity/Pulse</t>
        </is>
      </c>
      <c r="K391" t="inlineStr">
        <is>
          <t>NOT_RUN</t>
        </is>
      </c>
      <c r="P391" t="n">
        <v>0</v>
      </c>
      <c r="Q391" t="n">
        <v>390</v>
      </c>
    </row>
    <row r="392">
      <c r="A392" t="n">
        <v>391</v>
      </c>
      <c r="B392" t="inlineStr">
        <is>
          <t>MTR-IOS-0391</t>
        </is>
      </c>
      <c r="C392" t="inlineStr">
        <is>
          <t>iPhone</t>
        </is>
      </c>
      <c r="D392" t="inlineStr">
        <is>
          <t>Personal</t>
        </is>
      </c>
      <c r="E392" t="inlineStr">
        <is>
          <t>Personal</t>
        </is>
      </c>
      <c r="F392" t="inlineStr">
        <is>
          <t>Lifestyle</t>
        </is>
      </c>
      <c r="G392" t="inlineStr">
        <is>
          <t>Travel</t>
        </is>
      </c>
      <c r="H392" t="inlineStr">
        <is>
          <t>Personal &gt; Lifestyle &gt; Quick Add &gt; Travel</t>
        </is>
      </c>
      <c r="I392" s="18" t="n">
        <v>4579.13</v>
      </c>
      <c r="J392" t="inlineStr">
        <is>
          <t>Created MTR-IOS-0391 and correlation note visible in Activity/Pulse</t>
        </is>
      </c>
      <c r="K392" t="inlineStr">
        <is>
          <t>NOT_RUN</t>
        </is>
      </c>
      <c r="P392" t="n">
        <v>0</v>
      </c>
      <c r="Q392" t="n">
        <v>391</v>
      </c>
    </row>
    <row r="393">
      <c r="A393" t="n">
        <v>392</v>
      </c>
      <c r="B393" t="inlineStr">
        <is>
          <t>MTR-IOS-0392</t>
        </is>
      </c>
      <c r="C393" t="inlineStr">
        <is>
          <t>iPhone</t>
        </is>
      </c>
      <c r="D393" t="inlineStr">
        <is>
          <t>Group</t>
        </is>
      </c>
      <c r="E393" t="inlineStr">
        <is>
          <t>Shared Experience</t>
        </is>
      </c>
      <c r="F393" t="inlineStr">
        <is>
          <t>Office Outing</t>
        </is>
      </c>
      <c r="G393" t="inlineStr">
        <is>
          <t>Food</t>
        </is>
      </c>
      <c r="H393" t="inlineStr">
        <is>
          <t>Group &gt; Office Outing &gt; Quick Add &gt; Food</t>
        </is>
      </c>
      <c r="I393" s="18" t="n">
        <v>12577.48</v>
      </c>
      <c r="J393" t="inlineStr">
        <is>
          <t>Created MTR-IOS-0392 and correlation note visible in Activity/Pulse</t>
        </is>
      </c>
      <c r="K393" t="inlineStr">
        <is>
          <t>NOT_RUN</t>
        </is>
      </c>
      <c r="P393" t="n">
        <v>0</v>
      </c>
      <c r="Q393" t="n">
        <v>392</v>
      </c>
    </row>
    <row r="394">
      <c r="A394" t="n">
        <v>393</v>
      </c>
      <c r="B394" t="inlineStr">
        <is>
          <t>MTR-IOS-0393</t>
        </is>
      </c>
      <c r="C394" t="inlineStr">
        <is>
          <t>iPhone</t>
        </is>
      </c>
      <c r="D394" t="inlineStr">
        <is>
          <t>Business</t>
        </is>
      </c>
      <c r="E394" t="inlineStr">
        <is>
          <t>Business</t>
        </is>
      </c>
      <c r="F394" t="inlineStr">
        <is>
          <t>Team Operations</t>
        </is>
      </c>
      <c r="G394" t="inlineStr">
        <is>
          <t>Travel</t>
        </is>
      </c>
      <c r="H394" t="inlineStr">
        <is>
          <t>Business &gt; Team Operations &gt; Quick Add &gt; Travel</t>
        </is>
      </c>
      <c r="I394" s="18" t="n">
        <v>65826.23</v>
      </c>
      <c r="J394" t="inlineStr">
        <is>
          <t>Created MTR-IOS-0393 and correlation note visible in Activity/Pulse</t>
        </is>
      </c>
      <c r="K394" t="inlineStr">
        <is>
          <t>NOT_RUN</t>
        </is>
      </c>
      <c r="P394" t="n">
        <v>0</v>
      </c>
      <c r="Q394" t="n">
        <v>393</v>
      </c>
    </row>
    <row r="395">
      <c r="A395" t="n">
        <v>394</v>
      </c>
      <c r="B395" t="inlineStr">
        <is>
          <t>MTR-IOS-0394</t>
        </is>
      </c>
      <c r="C395" t="inlineStr">
        <is>
          <t>iPhone</t>
        </is>
      </c>
      <c r="D395" t="inlineStr">
        <is>
          <t>Personal</t>
        </is>
      </c>
      <c r="E395" t="inlineStr">
        <is>
          <t>Personal</t>
        </is>
      </c>
      <c r="F395" t="inlineStr">
        <is>
          <t>Lifestyle</t>
        </is>
      </c>
      <c r="G395" t="inlineStr">
        <is>
          <t>Fitness</t>
        </is>
      </c>
      <c r="H395" t="inlineStr">
        <is>
          <t>Personal &gt; Lifestyle &gt; Quick Add &gt; Fitness</t>
        </is>
      </c>
      <c r="I395" s="18" t="n">
        <v>7218.02</v>
      </c>
      <c r="J395" t="inlineStr">
        <is>
          <t>Created MTR-IOS-0394 and correlation note visible in Activity/Pulse</t>
        </is>
      </c>
      <c r="K395" t="inlineStr">
        <is>
          <t>NOT_RUN</t>
        </is>
      </c>
      <c r="P395" t="n">
        <v>0</v>
      </c>
      <c r="Q395" t="n">
        <v>394</v>
      </c>
    </row>
    <row r="396">
      <c r="A396" t="n">
        <v>395</v>
      </c>
      <c r="B396" t="inlineStr">
        <is>
          <t>MTR-IOS-0395</t>
        </is>
      </c>
      <c r="C396" t="inlineStr">
        <is>
          <t>iPhone</t>
        </is>
      </c>
      <c r="D396" t="inlineStr">
        <is>
          <t>Group</t>
        </is>
      </c>
      <c r="E396" t="inlineStr">
        <is>
          <t>Shared Experience</t>
        </is>
      </c>
      <c r="F396" t="inlineStr">
        <is>
          <t>Office Outing</t>
        </is>
      </c>
      <c r="G396" t="inlineStr">
        <is>
          <t>Travel</t>
        </is>
      </c>
      <c r="H396" t="inlineStr">
        <is>
          <t>Group &gt; Office Outing &gt; Quick Add &gt; Travel</t>
        </is>
      </c>
      <c r="I396" s="18" t="n">
        <v>25683.24</v>
      </c>
      <c r="J396" t="inlineStr">
        <is>
          <t>Created MTR-IOS-0395 and correlation note visible in Activity/Pulse</t>
        </is>
      </c>
      <c r="K396" t="inlineStr">
        <is>
          <t>NOT_RUN</t>
        </is>
      </c>
      <c r="P396" t="n">
        <v>0</v>
      </c>
      <c r="Q396" t="n">
        <v>395</v>
      </c>
    </row>
    <row r="397">
      <c r="A397" t="n">
        <v>396</v>
      </c>
      <c r="B397" t="inlineStr">
        <is>
          <t>MTR-IOS-0396</t>
        </is>
      </c>
      <c r="C397" t="inlineStr">
        <is>
          <t>iPhone</t>
        </is>
      </c>
      <c r="D397" t="inlineStr">
        <is>
          <t>Business</t>
        </is>
      </c>
      <c r="E397" t="inlineStr">
        <is>
          <t>Business</t>
        </is>
      </c>
      <c r="F397" t="inlineStr">
        <is>
          <t>Team Operations</t>
        </is>
      </c>
      <c r="G397" t="inlineStr">
        <is>
          <t>Training</t>
        </is>
      </c>
      <c r="H397" t="inlineStr">
        <is>
          <t>Business &gt; Team Operations &gt; Quick Add &gt; Training</t>
        </is>
      </c>
      <c r="I397" s="18" t="n">
        <v>28188.88</v>
      </c>
      <c r="J397" t="inlineStr">
        <is>
          <t>Created MTR-IOS-0396 and correlation note visible in Activity/Pulse</t>
        </is>
      </c>
      <c r="K397" t="inlineStr">
        <is>
          <t>NOT_RUN</t>
        </is>
      </c>
      <c r="P397" t="n">
        <v>0</v>
      </c>
      <c r="Q397" t="n">
        <v>396</v>
      </c>
    </row>
    <row r="398">
      <c r="A398" t="n">
        <v>397</v>
      </c>
      <c r="B398" t="inlineStr">
        <is>
          <t>MTR-IOS-0397</t>
        </is>
      </c>
      <c r="C398" t="inlineStr">
        <is>
          <t>iPhone</t>
        </is>
      </c>
      <c r="D398" t="inlineStr">
        <is>
          <t>Personal</t>
        </is>
      </c>
      <c r="E398" t="inlineStr">
        <is>
          <t>Personal</t>
        </is>
      </c>
      <c r="F398" t="inlineStr">
        <is>
          <t>Lifestyle</t>
        </is>
      </c>
      <c r="G398" t="inlineStr">
        <is>
          <t>Hobbies</t>
        </is>
      </c>
      <c r="H398" t="inlineStr">
        <is>
          <t>Personal &gt; Lifestyle &gt; Quick Add &gt; Hobbies</t>
        </is>
      </c>
      <c r="I398" s="18" t="n">
        <v>9642.32</v>
      </c>
      <c r="J398" t="inlineStr">
        <is>
          <t>Created MTR-IOS-0397 and correlation note visible in Activity/Pulse</t>
        </is>
      </c>
      <c r="K398" t="inlineStr">
        <is>
          <t>NOT_RUN</t>
        </is>
      </c>
      <c r="P398" t="n">
        <v>0</v>
      </c>
      <c r="Q398" t="n">
        <v>397</v>
      </c>
    </row>
    <row r="399">
      <c r="A399" t="n">
        <v>398</v>
      </c>
      <c r="B399" t="inlineStr">
        <is>
          <t>MTR-IOS-0398</t>
        </is>
      </c>
      <c r="C399" t="inlineStr">
        <is>
          <t>iPhone</t>
        </is>
      </c>
      <c r="D399" t="inlineStr">
        <is>
          <t>Group</t>
        </is>
      </c>
      <c r="E399" t="inlineStr">
        <is>
          <t>Shared Experience</t>
        </is>
      </c>
      <c r="F399" t="inlineStr">
        <is>
          <t>Office Outing</t>
        </is>
      </c>
      <c r="G399" t="inlineStr">
        <is>
          <t>Activities</t>
        </is>
      </c>
      <c r="H399" t="inlineStr">
        <is>
          <t>Group &gt; Office Outing &gt; Quick Add &gt; Activities</t>
        </is>
      </c>
      <c r="I399" s="18" t="n">
        <v>13413.27</v>
      </c>
      <c r="J399" t="inlineStr">
        <is>
          <t>Created MTR-IOS-0398 and correlation note visible in Activity/Pulse</t>
        </is>
      </c>
      <c r="K399" t="inlineStr">
        <is>
          <t>NOT_RUN</t>
        </is>
      </c>
      <c r="P399" t="n">
        <v>0</v>
      </c>
      <c r="Q399" t="n">
        <v>398</v>
      </c>
    </row>
    <row r="400">
      <c r="A400" t="n">
        <v>399</v>
      </c>
      <c r="B400" t="inlineStr">
        <is>
          <t>MTR-IOS-0399</t>
        </is>
      </c>
      <c r="C400" t="inlineStr">
        <is>
          <t>iPhone</t>
        </is>
      </c>
      <c r="D400" t="inlineStr">
        <is>
          <t>Business</t>
        </is>
      </c>
      <c r="E400" t="inlineStr">
        <is>
          <t>Business</t>
        </is>
      </c>
      <c r="F400" t="inlineStr">
        <is>
          <t>Team Operations</t>
        </is>
      </c>
      <c r="G400" t="inlineStr">
        <is>
          <t>Tools</t>
        </is>
      </c>
      <c r="H400" t="inlineStr">
        <is>
          <t>Business &gt; Team Operations &gt; Quick Add &gt; Tools</t>
        </is>
      </c>
      <c r="I400" s="18" t="n">
        <v>94057.88</v>
      </c>
      <c r="J400" t="inlineStr">
        <is>
          <t>Created MTR-IOS-0399 and correlation note visible in Activity/Pulse</t>
        </is>
      </c>
      <c r="K400" t="inlineStr">
        <is>
          <t>NOT_RUN</t>
        </is>
      </c>
      <c r="P400" t="n">
        <v>0</v>
      </c>
      <c r="Q400" t="n">
        <v>399</v>
      </c>
    </row>
    <row r="401">
      <c r="A401" t="n">
        <v>400</v>
      </c>
      <c r="B401" t="inlineStr">
        <is>
          <t>MTR-IOS-0400</t>
        </is>
      </c>
      <c r="C401" t="inlineStr">
        <is>
          <t>iPhone</t>
        </is>
      </c>
      <c r="D401" t="inlineStr">
        <is>
          <t>Personal</t>
        </is>
      </c>
      <c r="E401" t="inlineStr">
        <is>
          <t>Personal</t>
        </is>
      </c>
      <c r="F401" t="inlineStr">
        <is>
          <t>Relationships</t>
        </is>
      </c>
      <c r="G401" t="inlineStr">
        <is>
          <t>Gifts</t>
        </is>
      </c>
      <c r="H401" t="inlineStr">
        <is>
          <t>Personal &gt; Relationships &gt; Quick Add &gt; Gifts</t>
        </is>
      </c>
      <c r="I401" s="18" t="n">
        <v>549.86</v>
      </c>
      <c r="J401" t="inlineStr">
        <is>
          <t>Created MTR-IOS-0400 and correlation note visible in Activity/Pulse</t>
        </is>
      </c>
      <c r="K401" t="inlineStr">
        <is>
          <t>NOT_RUN</t>
        </is>
      </c>
      <c r="P401" t="n">
        <v>0</v>
      </c>
      <c r="Q401" t="n">
        <v>400</v>
      </c>
    </row>
    <row r="402">
      <c r="A402" t="n">
        <v>401</v>
      </c>
      <c r="B402" t="inlineStr">
        <is>
          <t>MTR-IOS-0401</t>
        </is>
      </c>
      <c r="C402" t="inlineStr">
        <is>
          <t>iPhone</t>
        </is>
      </c>
      <c r="D402" t="inlineStr">
        <is>
          <t>Group</t>
        </is>
      </c>
      <c r="E402" t="inlineStr">
        <is>
          <t>Shared Experience</t>
        </is>
      </c>
      <c r="F402" t="inlineStr">
        <is>
          <t>Office Outing</t>
        </is>
      </c>
      <c r="G402" t="inlineStr">
        <is>
          <t>Venue</t>
        </is>
      </c>
      <c r="H402" t="inlineStr">
        <is>
          <t>Group &gt; Office Outing &gt; Quick Add &gt; Venue</t>
        </is>
      </c>
      <c r="I402" s="18" t="n">
        <v>21674.55</v>
      </c>
      <c r="J402" t="inlineStr">
        <is>
          <t>Created MTR-IOS-0401 and correlation note visible in Activity/Pulse</t>
        </is>
      </c>
      <c r="K402" t="inlineStr">
        <is>
          <t>NOT_RUN</t>
        </is>
      </c>
      <c r="P402" t="n">
        <v>0</v>
      </c>
      <c r="Q402" t="n">
        <v>401</v>
      </c>
    </row>
    <row r="403">
      <c r="A403" t="n">
        <v>402</v>
      </c>
      <c r="B403" t="inlineStr">
        <is>
          <t>MTR-IOS-0402</t>
        </is>
      </c>
      <c r="C403" t="inlineStr">
        <is>
          <t>iPhone</t>
        </is>
      </c>
      <c r="D403" t="inlineStr">
        <is>
          <t>Business</t>
        </is>
      </c>
      <c r="E403" t="inlineStr">
        <is>
          <t>Business</t>
        </is>
      </c>
      <c r="F403" t="inlineStr">
        <is>
          <t>Business Runway</t>
        </is>
      </c>
      <c r="G403" t="inlineStr">
        <is>
          <t>Funding</t>
        </is>
      </c>
      <c r="H403" t="inlineStr">
        <is>
          <t>Business &gt; Business Runway &gt; Quick Add &gt; Funding</t>
        </is>
      </c>
      <c r="I403" s="18" t="n">
        <v>53498.76</v>
      </c>
      <c r="J403" t="inlineStr">
        <is>
          <t>Created MTR-IOS-0402 and correlation note visible in Activity/Pulse</t>
        </is>
      </c>
      <c r="K403" t="inlineStr">
        <is>
          <t>NOT_RUN</t>
        </is>
      </c>
      <c r="P403" t="n">
        <v>0</v>
      </c>
      <c r="Q403" t="n">
        <v>402</v>
      </c>
    </row>
    <row r="404">
      <c r="A404" t="n">
        <v>403</v>
      </c>
      <c r="B404" t="inlineStr">
        <is>
          <t>MTR-IOS-0403</t>
        </is>
      </c>
      <c r="C404" t="inlineStr">
        <is>
          <t>iPhone</t>
        </is>
      </c>
      <c r="D404" t="inlineStr">
        <is>
          <t>Personal</t>
        </is>
      </c>
      <c r="E404" t="inlineStr">
        <is>
          <t>Personal</t>
        </is>
      </c>
      <c r="F404" t="inlineStr">
        <is>
          <t>Relationships</t>
        </is>
      </c>
      <c r="G404" t="inlineStr">
        <is>
          <t>Dates</t>
        </is>
      </c>
      <c r="H404" t="inlineStr">
        <is>
          <t>Personal &gt; Relationships &gt; Quick Add &gt; Dates</t>
        </is>
      </c>
      <c r="I404" s="18" t="n">
        <v>11459.56</v>
      </c>
      <c r="J404" t="inlineStr">
        <is>
          <t>Created MTR-IOS-0403 and correlation note visible in Activity/Pulse</t>
        </is>
      </c>
      <c r="K404" t="inlineStr">
        <is>
          <t>NOT_RUN</t>
        </is>
      </c>
      <c r="P404" t="n">
        <v>0</v>
      </c>
      <c r="Q404" t="n">
        <v>403</v>
      </c>
    </row>
    <row r="405">
      <c r="A405" t="n">
        <v>404</v>
      </c>
      <c r="B405" t="inlineStr">
        <is>
          <t>MTR-IOS-0404</t>
        </is>
      </c>
      <c r="C405" t="inlineStr">
        <is>
          <t>iPhone</t>
        </is>
      </c>
      <c r="D405" t="inlineStr">
        <is>
          <t>Group</t>
        </is>
      </c>
      <c r="E405" t="inlineStr">
        <is>
          <t>Shared Experience</t>
        </is>
      </c>
      <c r="F405" t="inlineStr">
        <is>
          <t>Office Outing</t>
        </is>
      </c>
      <c r="G405" t="inlineStr">
        <is>
          <t>Other</t>
        </is>
      </c>
      <c r="H405" t="inlineStr">
        <is>
          <t>Group &gt; Office Outing &gt; Quick Add &gt; Other</t>
        </is>
      </c>
      <c r="I405" s="18" t="n">
        <v>11009.01</v>
      </c>
      <c r="J405" t="inlineStr">
        <is>
          <t>Created MTR-IOS-0404 and correlation note visible in Activity/Pulse</t>
        </is>
      </c>
      <c r="K405" t="inlineStr">
        <is>
          <t>NOT_RUN</t>
        </is>
      </c>
      <c r="P405" t="n">
        <v>0</v>
      </c>
      <c r="Q405" t="n">
        <v>404</v>
      </c>
    </row>
    <row r="406">
      <c r="A406" t="n">
        <v>405</v>
      </c>
      <c r="B406" t="inlineStr">
        <is>
          <t>MTR-IOS-0405</t>
        </is>
      </c>
      <c r="C406" t="inlineStr">
        <is>
          <t>iPhone</t>
        </is>
      </c>
      <c r="D406" t="inlineStr">
        <is>
          <t>Business</t>
        </is>
      </c>
      <c r="E406" t="inlineStr">
        <is>
          <t>Business</t>
        </is>
      </c>
      <c r="F406" t="inlineStr">
        <is>
          <t>Business Runway</t>
        </is>
      </c>
      <c r="G406" t="inlineStr">
        <is>
          <t>Revenue</t>
        </is>
      </c>
      <c r="H406" t="inlineStr">
        <is>
          <t>Business &gt; Business Runway &gt; Quick Add &gt; Revenue</t>
        </is>
      </c>
      <c r="I406" s="18" t="n">
        <v>28028.26</v>
      </c>
      <c r="J406" t="inlineStr">
        <is>
          <t>Created MTR-IOS-0405 and correlation note visible in Activity/Pulse</t>
        </is>
      </c>
      <c r="K406" t="inlineStr">
        <is>
          <t>NOT_RUN</t>
        </is>
      </c>
      <c r="P406" t="n">
        <v>0</v>
      </c>
      <c r="Q406" t="n">
        <v>405</v>
      </c>
    </row>
    <row r="407">
      <c r="A407" t="n">
        <v>406</v>
      </c>
      <c r="B407" t="inlineStr">
        <is>
          <t>MTR-IOS-0406</t>
        </is>
      </c>
      <c r="C407" t="inlineStr">
        <is>
          <t>iPhone</t>
        </is>
      </c>
      <c r="D407" t="inlineStr">
        <is>
          <t>Personal</t>
        </is>
      </c>
      <c r="E407" t="inlineStr">
        <is>
          <t>Personal</t>
        </is>
      </c>
      <c r="F407" t="inlineStr">
        <is>
          <t>Relationships</t>
        </is>
      </c>
      <c r="G407" t="inlineStr">
        <is>
          <t>Family</t>
        </is>
      </c>
      <c r="H407" t="inlineStr">
        <is>
          <t>Personal &gt; Relationships &gt; Quick Add &gt; Family</t>
        </is>
      </c>
      <c r="I407" s="18" t="n">
        <v>2477.84</v>
      </c>
      <c r="J407" t="inlineStr">
        <is>
          <t>Created MTR-IOS-0406 and correlation note visible in Activity/Pulse</t>
        </is>
      </c>
      <c r="K407" t="inlineStr">
        <is>
          <t>NOT_RUN</t>
        </is>
      </c>
      <c r="P407" t="n">
        <v>0</v>
      </c>
      <c r="Q407" t="n">
        <v>406</v>
      </c>
    </row>
    <row r="408">
      <c r="A408" t="n">
        <v>407</v>
      </c>
      <c r="B408" t="inlineStr">
        <is>
          <t>MTR-IOS-0407</t>
        </is>
      </c>
      <c r="C408" t="inlineStr">
        <is>
          <t>iPhone</t>
        </is>
      </c>
      <c r="D408" t="inlineStr">
        <is>
          <t>Group</t>
        </is>
      </c>
      <c r="E408" t="inlineStr">
        <is>
          <t>Shared Experience</t>
        </is>
      </c>
      <c r="F408" t="inlineStr">
        <is>
          <t>House Party</t>
        </is>
      </c>
      <c r="G408" t="inlineStr">
        <is>
          <t>Food</t>
        </is>
      </c>
      <c r="H408" t="inlineStr">
        <is>
          <t>Group &gt; House Party &gt; Quick Add &gt; Food</t>
        </is>
      </c>
      <c r="I408" s="18" t="n">
        <v>10000</v>
      </c>
      <c r="J408" t="inlineStr">
        <is>
          <t>Created MTR-IOS-0407 and correlation note visible in Activity/Pulse</t>
        </is>
      </c>
      <c r="K408" t="inlineStr">
        <is>
          <t>NOT_RUN</t>
        </is>
      </c>
      <c r="P408" t="n">
        <v>0</v>
      </c>
      <c r="Q408" t="n">
        <v>407</v>
      </c>
    </row>
    <row r="409">
      <c r="A409" t="n">
        <v>408</v>
      </c>
      <c r="B409" t="inlineStr">
        <is>
          <t>MTR-IOS-0408</t>
        </is>
      </c>
      <c r="C409" t="inlineStr">
        <is>
          <t>iPhone</t>
        </is>
      </c>
      <c r="D409" t="inlineStr">
        <is>
          <t>Business</t>
        </is>
      </c>
      <c r="E409" t="inlineStr">
        <is>
          <t>Business</t>
        </is>
      </c>
      <c r="F409" t="inlineStr">
        <is>
          <t>Business Runway</t>
        </is>
      </c>
      <c r="G409" t="inlineStr">
        <is>
          <t>Burn</t>
        </is>
      </c>
      <c r="H409" t="inlineStr">
        <is>
          <t>Business &gt; Business Runway &gt; Quick Add &gt; Burn</t>
        </is>
      </c>
      <c r="I409" s="18" t="n">
        <v>62466.94</v>
      </c>
      <c r="J409" t="inlineStr">
        <is>
          <t>Created MTR-IOS-0408 and correlation note visible in Activity/Pulse</t>
        </is>
      </c>
      <c r="K409" t="inlineStr">
        <is>
          <t>NOT_RUN</t>
        </is>
      </c>
      <c r="P409" t="n">
        <v>0</v>
      </c>
      <c r="Q409" t="n">
        <v>408</v>
      </c>
    </row>
    <row r="410">
      <c r="A410" t="n">
        <v>409</v>
      </c>
      <c r="B410" t="inlineStr">
        <is>
          <t>MTR-IOS-0409</t>
        </is>
      </c>
      <c r="C410" t="inlineStr">
        <is>
          <t>iPhone</t>
        </is>
      </c>
      <c r="D410" t="inlineStr">
        <is>
          <t>Personal</t>
        </is>
      </c>
      <c r="E410" t="inlineStr">
        <is>
          <t>Personal</t>
        </is>
      </c>
      <c r="F410" t="inlineStr">
        <is>
          <t>Relationships</t>
        </is>
      </c>
      <c r="G410" t="inlineStr">
        <is>
          <t>Friends</t>
        </is>
      </c>
      <c r="H410" t="inlineStr">
        <is>
          <t>Personal &gt; Relationships &gt; Quick Add &gt; Friends</t>
        </is>
      </c>
      <c r="I410" s="18" t="n">
        <v>10584.4</v>
      </c>
      <c r="J410" t="inlineStr">
        <is>
          <t>Created MTR-IOS-0409 and correlation note visible in Activity/Pulse</t>
        </is>
      </c>
      <c r="K410" t="inlineStr">
        <is>
          <t>NOT_RUN</t>
        </is>
      </c>
      <c r="P410" t="n">
        <v>0</v>
      </c>
      <c r="Q410" t="n">
        <v>409</v>
      </c>
    </row>
    <row r="411">
      <c r="A411" t="n">
        <v>410</v>
      </c>
      <c r="B411" t="inlineStr">
        <is>
          <t>MTR-IOS-0410</t>
        </is>
      </c>
      <c r="C411" t="inlineStr">
        <is>
          <t>iPhone</t>
        </is>
      </c>
      <c r="D411" t="inlineStr">
        <is>
          <t>Group</t>
        </is>
      </c>
      <c r="E411" t="inlineStr">
        <is>
          <t>Shared Experience</t>
        </is>
      </c>
      <c r="F411" t="inlineStr">
        <is>
          <t>House Party</t>
        </is>
      </c>
      <c r="G411" t="inlineStr">
        <is>
          <t>Drinks</t>
        </is>
      </c>
      <c r="H411" t="inlineStr">
        <is>
          <t>Group &gt; House Party &gt; Quick Add &gt; Drinks</t>
        </is>
      </c>
      <c r="I411" s="18" t="n">
        <v>5532.72</v>
      </c>
      <c r="J411" t="inlineStr">
        <is>
          <t>Created MTR-IOS-0410 and correlation note visible in Activity/Pulse</t>
        </is>
      </c>
      <c r="K411" t="inlineStr">
        <is>
          <t>NOT_RUN</t>
        </is>
      </c>
      <c r="P411" t="n">
        <v>0</v>
      </c>
      <c r="Q411" t="n">
        <v>410</v>
      </c>
    </row>
    <row r="412">
      <c r="A412" t="n">
        <v>411</v>
      </c>
      <c r="B412" t="inlineStr">
        <is>
          <t>MTR-IOS-0411</t>
        </is>
      </c>
      <c r="C412" t="inlineStr">
        <is>
          <t>iPhone</t>
        </is>
      </c>
      <c r="D412" t="inlineStr">
        <is>
          <t>Business</t>
        </is>
      </c>
      <c r="E412" t="inlineStr">
        <is>
          <t>Business</t>
        </is>
      </c>
      <c r="F412" t="inlineStr">
        <is>
          <t>Business Runway</t>
        </is>
      </c>
      <c r="G412" t="inlineStr">
        <is>
          <t>Reserve</t>
        </is>
      </c>
      <c r="H412" t="inlineStr">
        <is>
          <t>Business &gt; Business Runway &gt; Quick Add &gt; Reserve</t>
        </is>
      </c>
      <c r="I412" s="18" t="n">
        <v>98278.75</v>
      </c>
      <c r="J412" t="inlineStr">
        <is>
          <t>Created MTR-IOS-0411 and correlation note visible in Activity/Pulse</t>
        </is>
      </c>
      <c r="K412" t="inlineStr">
        <is>
          <t>NOT_RUN</t>
        </is>
      </c>
      <c r="P412" t="n">
        <v>0</v>
      </c>
      <c r="Q412" t="n">
        <v>411</v>
      </c>
    </row>
    <row r="413">
      <c r="A413" t="n">
        <v>412</v>
      </c>
      <c r="B413" t="inlineStr">
        <is>
          <t>MTR-IOS-0412</t>
        </is>
      </c>
      <c r="C413" t="inlineStr">
        <is>
          <t>iPhone</t>
        </is>
      </c>
      <c r="D413" t="inlineStr">
        <is>
          <t>Personal</t>
        </is>
      </c>
      <c r="E413" t="inlineStr">
        <is>
          <t>Personal</t>
        </is>
      </c>
      <c r="F413" t="inlineStr">
        <is>
          <t>Relationships</t>
        </is>
      </c>
      <c r="G413" t="inlineStr">
        <is>
          <t>Celebrations</t>
        </is>
      </c>
      <c r="H413" t="inlineStr">
        <is>
          <t>Personal &gt; Relationships &gt; Quick Add &gt; Celebrations</t>
        </is>
      </c>
      <c r="I413" s="18" t="n">
        <v>17706.72</v>
      </c>
      <c r="J413" t="inlineStr">
        <is>
          <t>Created MTR-IOS-0412 and correlation note visible in Activity/Pulse</t>
        </is>
      </c>
      <c r="K413" t="inlineStr">
        <is>
          <t>NOT_RUN</t>
        </is>
      </c>
      <c r="P413" t="n">
        <v>0</v>
      </c>
      <c r="Q413" t="n">
        <v>412</v>
      </c>
    </row>
    <row r="414">
      <c r="A414" t="n">
        <v>413</v>
      </c>
      <c r="B414" t="inlineStr">
        <is>
          <t>MTR-IOS-0413</t>
        </is>
      </c>
      <c r="C414" t="inlineStr">
        <is>
          <t>iPhone</t>
        </is>
      </c>
      <c r="D414" t="inlineStr">
        <is>
          <t>Group</t>
        </is>
      </c>
      <c r="E414" t="inlineStr">
        <is>
          <t>Shared Experience</t>
        </is>
      </c>
      <c r="F414" t="inlineStr">
        <is>
          <t>House Party</t>
        </is>
      </c>
      <c r="G414" t="inlineStr">
        <is>
          <t>Decor</t>
        </is>
      </c>
      <c r="H414" t="inlineStr">
        <is>
          <t>Group &gt; House Party &gt; Quick Add &gt; Decor</t>
        </is>
      </c>
      <c r="I414" s="18" t="n">
        <v>19183.81</v>
      </c>
      <c r="J414" t="inlineStr">
        <is>
          <t>Created MTR-IOS-0413 and correlation note visible in Activity/Pulse</t>
        </is>
      </c>
      <c r="K414" t="inlineStr">
        <is>
          <t>NOT_RUN</t>
        </is>
      </c>
      <c r="P414" t="n">
        <v>0</v>
      </c>
      <c r="Q414" t="n">
        <v>413</v>
      </c>
    </row>
    <row r="415">
      <c r="A415" t="n">
        <v>414</v>
      </c>
      <c r="B415" t="inlineStr">
        <is>
          <t>MTR-IOS-0414</t>
        </is>
      </c>
      <c r="C415" t="inlineStr">
        <is>
          <t>iPhone</t>
        </is>
      </c>
      <c r="D415" t="inlineStr">
        <is>
          <t>Business</t>
        </is>
      </c>
      <c r="E415" t="inlineStr">
        <is>
          <t>Business</t>
        </is>
      </c>
      <c r="F415" t="inlineStr">
        <is>
          <t>Business Runway</t>
        </is>
      </c>
      <c r="G415" t="inlineStr">
        <is>
          <t>Loan</t>
        </is>
      </c>
      <c r="H415" t="inlineStr">
        <is>
          <t>Business &gt; Business Runway &gt; Quick Add &gt; Loan</t>
        </is>
      </c>
      <c r="I415" s="18" t="n">
        <v>47240.01</v>
      </c>
      <c r="J415" t="inlineStr">
        <is>
          <t>Created MTR-IOS-0414 and correlation note visible in Activity/Pulse</t>
        </is>
      </c>
      <c r="K415" t="inlineStr">
        <is>
          <t>NOT_RUN</t>
        </is>
      </c>
      <c r="P415" t="n">
        <v>0</v>
      </c>
      <c r="Q415" t="n">
        <v>414</v>
      </c>
    </row>
    <row r="416">
      <c r="A416" t="n">
        <v>415</v>
      </c>
      <c r="B416" t="inlineStr">
        <is>
          <t>MTR-IOS-0415</t>
        </is>
      </c>
      <c r="C416" t="inlineStr">
        <is>
          <t>iPhone</t>
        </is>
      </c>
      <c r="D416" t="inlineStr">
        <is>
          <t>Personal</t>
        </is>
      </c>
      <c r="E416" t="inlineStr">
        <is>
          <t>Personal</t>
        </is>
      </c>
      <c r="F416" t="inlineStr">
        <is>
          <t>Life Operations</t>
        </is>
      </c>
      <c r="G416" t="inlineStr">
        <is>
          <t>Groceries</t>
        </is>
      </c>
      <c r="H416" t="inlineStr">
        <is>
          <t>Personal &gt; Life Operations &gt; Quick Add &gt; Groceries</t>
        </is>
      </c>
      <c r="I416" s="18" t="n">
        <v>8213.559999999999</v>
      </c>
      <c r="J416" t="inlineStr">
        <is>
          <t>Created MTR-IOS-0415 and correlation note visible in Activity/Pulse</t>
        </is>
      </c>
      <c r="K416" t="inlineStr">
        <is>
          <t>NOT_RUN</t>
        </is>
      </c>
      <c r="P416" t="n">
        <v>0</v>
      </c>
      <c r="Q416" t="n">
        <v>415</v>
      </c>
    </row>
    <row r="417">
      <c r="A417" t="n">
        <v>416</v>
      </c>
      <c r="B417" t="inlineStr">
        <is>
          <t>MTR-IOS-0416</t>
        </is>
      </c>
      <c r="C417" t="inlineStr">
        <is>
          <t>iPhone</t>
        </is>
      </c>
      <c r="D417" t="inlineStr">
        <is>
          <t>Group</t>
        </is>
      </c>
      <c r="E417" t="inlineStr">
        <is>
          <t>Shared Experience</t>
        </is>
      </c>
      <c r="F417" t="inlineStr">
        <is>
          <t>House Party</t>
        </is>
      </c>
      <c r="G417" t="inlineStr">
        <is>
          <t>Supplies</t>
        </is>
      </c>
      <c r="H417" t="inlineStr">
        <is>
          <t>Group &gt; House Party &gt; Quick Add &gt; Supplies</t>
        </is>
      </c>
      <c r="I417" s="18" t="n">
        <v>9262.690000000001</v>
      </c>
      <c r="J417" t="inlineStr">
        <is>
          <t>Created MTR-IOS-0416 and correlation note visible in Activity/Pulse</t>
        </is>
      </c>
      <c r="K417" t="inlineStr">
        <is>
          <t>NOT_RUN</t>
        </is>
      </c>
      <c r="P417" t="n">
        <v>0</v>
      </c>
      <c r="Q417" t="n">
        <v>416</v>
      </c>
    </row>
    <row r="418">
      <c r="A418" t="n">
        <v>417</v>
      </c>
      <c r="B418" t="inlineStr">
        <is>
          <t>MTR-IOS-0417</t>
        </is>
      </c>
      <c r="C418" t="inlineStr">
        <is>
          <t>iPhone</t>
        </is>
      </c>
      <c r="D418" t="inlineStr">
        <is>
          <t>Business</t>
        </is>
      </c>
      <c r="E418" t="inlineStr">
        <is>
          <t>Business</t>
        </is>
      </c>
      <c r="F418" t="inlineStr">
        <is>
          <t>Business Runway</t>
        </is>
      </c>
      <c r="G418" t="inlineStr">
        <is>
          <t>Investment</t>
        </is>
      </c>
      <c r="H418" t="inlineStr">
        <is>
          <t>Business &gt; Business Runway &gt; Quick Add &gt; Investment</t>
        </is>
      </c>
      <c r="I418" s="18" t="n">
        <v>51130.59</v>
      </c>
      <c r="J418" t="inlineStr">
        <is>
          <t>Created MTR-IOS-0417 and correlation note visible in Activity/Pulse</t>
        </is>
      </c>
      <c r="K418" t="inlineStr">
        <is>
          <t>NOT_RUN</t>
        </is>
      </c>
      <c r="P418" t="n">
        <v>0</v>
      </c>
      <c r="Q418" t="n">
        <v>417</v>
      </c>
    </row>
    <row r="419">
      <c r="A419" t="n">
        <v>418</v>
      </c>
      <c r="B419" t="inlineStr">
        <is>
          <t>MTR-IOS-0418</t>
        </is>
      </c>
      <c r="C419" t="inlineStr">
        <is>
          <t>iPhone</t>
        </is>
      </c>
      <c r="D419" t="inlineStr">
        <is>
          <t>Personal</t>
        </is>
      </c>
      <c r="E419" t="inlineStr">
        <is>
          <t>Personal</t>
        </is>
      </c>
      <c r="F419" t="inlineStr">
        <is>
          <t>Life Operations</t>
        </is>
      </c>
      <c r="G419" t="inlineStr">
        <is>
          <t>Rent</t>
        </is>
      </c>
      <c r="H419" t="inlineStr">
        <is>
          <t>Personal &gt; Life Operations &gt; Quick Add &gt; Rent</t>
        </is>
      </c>
      <c r="I419" s="18" t="n">
        <v>30.46</v>
      </c>
      <c r="J419" t="inlineStr">
        <is>
          <t>Created MTR-IOS-0418 and correlation note visible in Activity/Pulse</t>
        </is>
      </c>
      <c r="K419" t="inlineStr">
        <is>
          <t>NOT_RUN</t>
        </is>
      </c>
      <c r="P419" t="n">
        <v>0</v>
      </c>
      <c r="Q419" t="n">
        <v>418</v>
      </c>
    </row>
    <row r="420">
      <c r="A420" t="n">
        <v>419</v>
      </c>
      <c r="B420" t="inlineStr">
        <is>
          <t>MTR-IOS-0419</t>
        </is>
      </c>
      <c r="C420" t="inlineStr">
        <is>
          <t>iPhone</t>
        </is>
      </c>
      <c r="D420" t="inlineStr">
        <is>
          <t>Group</t>
        </is>
      </c>
      <c r="E420" t="inlineStr">
        <is>
          <t>Shared Experience</t>
        </is>
      </c>
      <c r="F420" t="inlineStr">
        <is>
          <t>House Party</t>
        </is>
      </c>
      <c r="G420" t="inlineStr">
        <is>
          <t>Other</t>
        </is>
      </c>
      <c r="H420" t="inlineStr">
        <is>
          <t>Group &gt; House Party &gt; Quick Add &gt; Other</t>
        </is>
      </c>
      <c r="I420" s="18" t="n">
        <v>14544.51</v>
      </c>
      <c r="J420" t="inlineStr">
        <is>
          <t>Created MTR-IOS-0419 and correlation note visible in Activity/Pulse</t>
        </is>
      </c>
      <c r="K420" t="inlineStr">
        <is>
          <t>NOT_RUN</t>
        </is>
      </c>
      <c r="P420" t="n">
        <v>0</v>
      </c>
      <c r="Q420" t="n">
        <v>419</v>
      </c>
    </row>
    <row r="421">
      <c r="A421" t="n">
        <v>420</v>
      </c>
      <c r="B421" t="inlineStr">
        <is>
          <t>MTR-IOS-0420</t>
        </is>
      </c>
      <c r="C421" t="inlineStr">
        <is>
          <t>iPhone</t>
        </is>
      </c>
      <c r="D421" t="inlineStr">
        <is>
          <t>Business</t>
        </is>
      </c>
      <c r="E421" t="inlineStr">
        <is>
          <t>Business</t>
        </is>
      </c>
      <c r="F421" t="inlineStr">
        <is>
          <t>Business Operations</t>
        </is>
      </c>
      <c r="G421" t="inlineStr">
        <is>
          <t>Software</t>
        </is>
      </c>
      <c r="H421" t="inlineStr">
        <is>
          <t>Business &gt; Business Operations &gt; Quick Add &gt; Software</t>
        </is>
      </c>
      <c r="I421" s="18" t="n">
        <v>38092.97</v>
      </c>
      <c r="J421" t="inlineStr">
        <is>
          <t>Created MTR-IOS-0420 and correlation note visible in Activity/Pulse</t>
        </is>
      </c>
      <c r="K421" t="inlineStr">
        <is>
          <t>NOT_RUN</t>
        </is>
      </c>
      <c r="P421" t="n">
        <v>0</v>
      </c>
      <c r="Q421" t="n">
        <v>420</v>
      </c>
    </row>
    <row r="422">
      <c r="A422" t="n">
        <v>421</v>
      </c>
      <c r="B422" t="inlineStr">
        <is>
          <t>MTR-IOS-0421</t>
        </is>
      </c>
      <c r="C422" t="inlineStr">
        <is>
          <t>iPhone</t>
        </is>
      </c>
      <c r="D422" t="inlineStr">
        <is>
          <t>Personal</t>
        </is>
      </c>
      <c r="E422" t="inlineStr">
        <is>
          <t>Personal</t>
        </is>
      </c>
      <c r="F422" t="inlineStr">
        <is>
          <t>Life Operations</t>
        </is>
      </c>
      <c r="G422" t="inlineStr">
        <is>
          <t>Bills</t>
        </is>
      </c>
      <c r="H422" t="inlineStr">
        <is>
          <t>Personal &gt; Life Operations &gt; Quick Add &gt; Bills</t>
        </is>
      </c>
      <c r="I422" s="18" t="n">
        <v>4609.13</v>
      </c>
      <c r="J422" t="inlineStr">
        <is>
          <t>Created MTR-IOS-0421 and correlation note visible in Activity/Pulse</t>
        </is>
      </c>
      <c r="K422" t="inlineStr">
        <is>
          <t>NOT_RUN</t>
        </is>
      </c>
      <c r="P422" t="n">
        <v>0</v>
      </c>
      <c r="Q422" t="n">
        <v>421</v>
      </c>
    </row>
    <row r="423">
      <c r="A423" t="n">
        <v>422</v>
      </c>
      <c r="B423" t="inlineStr">
        <is>
          <t>MTR-IOS-0422</t>
        </is>
      </c>
      <c r="C423" t="inlineStr">
        <is>
          <t>iPhone</t>
        </is>
      </c>
      <c r="D423" t="inlineStr">
        <is>
          <t>Group</t>
        </is>
      </c>
      <c r="E423" t="inlineStr">
        <is>
          <t>Shared Purchase</t>
        </is>
      </c>
      <c r="F423" t="inlineStr">
        <is>
          <t>Gift Pool</t>
        </is>
      </c>
      <c r="G423" t="inlineStr">
        <is>
          <t>Contribution</t>
        </is>
      </c>
      <c r="H423" t="inlineStr">
        <is>
          <t>Group &gt; Gift Pool &gt; Quick Add &gt; Contribution</t>
        </is>
      </c>
      <c r="I423" s="18" t="n">
        <v>24561.16</v>
      </c>
      <c r="J423" t="inlineStr">
        <is>
          <t>Created MTR-IOS-0422 and correlation note visible in Activity/Pulse</t>
        </is>
      </c>
      <c r="K423" t="inlineStr">
        <is>
          <t>NOT_RUN</t>
        </is>
      </c>
      <c r="P423" t="n">
        <v>0</v>
      </c>
      <c r="Q423" t="n">
        <v>422</v>
      </c>
    </row>
    <row r="424">
      <c r="A424" t="n">
        <v>423</v>
      </c>
      <c r="B424" t="inlineStr">
        <is>
          <t>MTR-IOS-0423</t>
        </is>
      </c>
      <c r="C424" t="inlineStr">
        <is>
          <t>iPhone</t>
        </is>
      </c>
      <c r="D424" t="inlineStr">
        <is>
          <t>Business</t>
        </is>
      </c>
      <c r="E424" t="inlineStr">
        <is>
          <t>Business</t>
        </is>
      </c>
      <c r="F424" t="inlineStr">
        <is>
          <t>Business Operations</t>
        </is>
      </c>
      <c r="G424" t="inlineStr">
        <is>
          <t>Rent</t>
        </is>
      </c>
      <c r="H424" t="inlineStr">
        <is>
          <t>Business &gt; Business Operations &gt; Quick Add &gt; Rent</t>
        </is>
      </c>
      <c r="I424" s="18" t="n">
        <v>107947.76</v>
      </c>
      <c r="J424" t="inlineStr">
        <is>
          <t>Created MTR-IOS-0423 and correlation note visible in Activity/Pulse</t>
        </is>
      </c>
      <c r="K424" t="inlineStr">
        <is>
          <t>NOT_RUN</t>
        </is>
      </c>
      <c r="P424" t="n">
        <v>0</v>
      </c>
      <c r="Q424" t="n">
        <v>423</v>
      </c>
    </row>
    <row r="425">
      <c r="A425" t="n">
        <v>424</v>
      </c>
      <c r="B425" t="inlineStr">
        <is>
          <t>MTR-IOS-0424</t>
        </is>
      </c>
      <c r="C425" t="inlineStr">
        <is>
          <t>iPhone</t>
        </is>
      </c>
      <c r="D425" t="inlineStr">
        <is>
          <t>Personal</t>
        </is>
      </c>
      <c r="E425" t="inlineStr">
        <is>
          <t>Personal</t>
        </is>
      </c>
      <c r="F425" t="inlineStr">
        <is>
          <t>Life Operations</t>
        </is>
      </c>
      <c r="G425" t="inlineStr">
        <is>
          <t>Transport</t>
        </is>
      </c>
      <c r="H425" t="inlineStr">
        <is>
          <t>Personal &gt; Life Operations &gt; Quick Add &gt; Transport</t>
        </is>
      </c>
      <c r="I425" s="18" t="n">
        <v>5252.31</v>
      </c>
      <c r="J425" t="inlineStr">
        <is>
          <t>Created MTR-IOS-0424 and correlation note visible in Activity/Pulse</t>
        </is>
      </c>
      <c r="K425" t="inlineStr">
        <is>
          <t>NOT_RUN</t>
        </is>
      </c>
      <c r="P425" t="n">
        <v>0</v>
      </c>
      <c r="Q425" t="n">
        <v>424</v>
      </c>
    </row>
    <row r="426">
      <c r="A426" t="n">
        <v>425</v>
      </c>
      <c r="B426" t="inlineStr">
        <is>
          <t>MTR-IOS-0425</t>
        </is>
      </c>
      <c r="C426" t="inlineStr">
        <is>
          <t>iPhone</t>
        </is>
      </c>
      <c r="D426" t="inlineStr">
        <is>
          <t>Group</t>
        </is>
      </c>
      <c r="E426" t="inlineStr">
        <is>
          <t>Shared Purchase</t>
        </is>
      </c>
      <c r="F426" t="inlineStr">
        <is>
          <t>Gift Pool</t>
        </is>
      </c>
      <c r="G426" t="inlineStr">
        <is>
          <t>Gift Purchase</t>
        </is>
      </c>
      <c r="H426" t="inlineStr">
        <is>
          <t>Group &gt; Gift Pool &gt; Quick Add &gt; Gift Purchase</t>
        </is>
      </c>
      <c r="I426" s="18" t="n">
        <v>4434.72</v>
      </c>
      <c r="J426" t="inlineStr">
        <is>
          <t>Created MTR-IOS-0425 and correlation note visible in Activity/Pulse</t>
        </is>
      </c>
      <c r="K426" t="inlineStr">
        <is>
          <t>NOT_RUN</t>
        </is>
      </c>
      <c r="P426" t="n">
        <v>0</v>
      </c>
      <c r="Q426" t="n">
        <v>425</v>
      </c>
    </row>
    <row r="427">
      <c r="A427" t="n">
        <v>426</v>
      </c>
      <c r="B427" t="inlineStr">
        <is>
          <t>MTR-IOS-0426</t>
        </is>
      </c>
      <c r="C427" t="inlineStr">
        <is>
          <t>iPhone</t>
        </is>
      </c>
      <c r="D427" t="inlineStr">
        <is>
          <t>Business</t>
        </is>
      </c>
      <c r="E427" t="inlineStr">
        <is>
          <t>Business</t>
        </is>
      </c>
      <c r="F427" t="inlineStr">
        <is>
          <t>Business Operations</t>
        </is>
      </c>
      <c r="G427" t="inlineStr">
        <is>
          <t>Marketing</t>
        </is>
      </c>
      <c r="H427" t="inlineStr">
        <is>
          <t>Business &gt; Business Operations &gt; Quick Add &gt; Marketing</t>
        </is>
      </c>
      <c r="I427" s="18" t="n">
        <v>17986.18</v>
      </c>
      <c r="J427" t="inlineStr">
        <is>
          <t>Created MTR-IOS-0426 and correlation note visible in Activity/Pulse</t>
        </is>
      </c>
      <c r="K427" t="inlineStr">
        <is>
          <t>NOT_RUN</t>
        </is>
      </c>
      <c r="P427" t="n">
        <v>0</v>
      </c>
      <c r="Q427" t="n">
        <v>426</v>
      </c>
    </row>
    <row r="428">
      <c r="A428" t="n">
        <v>427</v>
      </c>
      <c r="B428" t="inlineStr">
        <is>
          <t>MTR-IOS-0427</t>
        </is>
      </c>
      <c r="C428" t="inlineStr">
        <is>
          <t>iPhone</t>
        </is>
      </c>
      <c r="D428" t="inlineStr">
        <is>
          <t>Personal</t>
        </is>
      </c>
      <c r="E428" t="inlineStr">
        <is>
          <t>Personal</t>
        </is>
      </c>
      <c r="F428" t="inlineStr">
        <is>
          <t>Life Operations</t>
        </is>
      </c>
      <c r="G428" t="inlineStr">
        <is>
          <t>Healthcare</t>
        </is>
      </c>
      <c r="H428" t="inlineStr">
        <is>
          <t>Personal &gt; Life Operations &gt; Quick Add &gt; Healthcare</t>
        </is>
      </c>
      <c r="I428" s="18" t="n">
        <v>11337.61</v>
      </c>
      <c r="J428" t="inlineStr">
        <is>
          <t>Created MTR-IOS-0427 and correlation note visible in Activity/Pulse</t>
        </is>
      </c>
      <c r="K428" t="inlineStr">
        <is>
          <t>NOT_RUN</t>
        </is>
      </c>
      <c r="P428" t="n">
        <v>0</v>
      </c>
      <c r="Q428" t="n">
        <v>427</v>
      </c>
    </row>
    <row r="429">
      <c r="A429" t="n">
        <v>428</v>
      </c>
      <c r="B429" t="inlineStr">
        <is>
          <t>MTR-IOS-0428</t>
        </is>
      </c>
      <c r="C429" t="inlineStr">
        <is>
          <t>iPhone</t>
        </is>
      </c>
      <c r="D429" t="inlineStr">
        <is>
          <t>Group</t>
        </is>
      </c>
      <c r="E429" t="inlineStr">
        <is>
          <t>Shared Purchase</t>
        </is>
      </c>
      <c r="F429" t="inlineStr">
        <is>
          <t>Gift Pool</t>
        </is>
      </c>
      <c r="G429" t="inlineStr">
        <is>
          <t>Delivery</t>
        </is>
      </c>
      <c r="H429" t="inlineStr">
        <is>
          <t>Group &gt; Gift Pool &gt; Quick Add &gt; Delivery</t>
        </is>
      </c>
      <c r="I429" s="18" t="n">
        <v>17199.11</v>
      </c>
      <c r="J429" t="inlineStr">
        <is>
          <t>Created MTR-IOS-0428 and correlation note visible in Activity/Pulse</t>
        </is>
      </c>
      <c r="K429" t="inlineStr">
        <is>
          <t>NOT_RUN</t>
        </is>
      </c>
      <c r="P429" t="n">
        <v>0</v>
      </c>
      <c r="Q429" t="n">
        <v>428</v>
      </c>
    </row>
    <row r="430">
      <c r="A430" t="n">
        <v>429</v>
      </c>
      <c r="B430" t="inlineStr">
        <is>
          <t>MTR-IOS-0429</t>
        </is>
      </c>
      <c r="C430" t="inlineStr">
        <is>
          <t>iPhone</t>
        </is>
      </c>
      <c r="D430" t="inlineStr">
        <is>
          <t>Business</t>
        </is>
      </c>
      <c r="E430" t="inlineStr">
        <is>
          <t>Business</t>
        </is>
      </c>
      <c r="F430" t="inlineStr">
        <is>
          <t>Business Operations</t>
        </is>
      </c>
      <c r="G430" t="inlineStr">
        <is>
          <t>Legal</t>
        </is>
      </c>
      <c r="H430" t="inlineStr">
        <is>
          <t>Business &gt; Business Operations &gt; Quick Add &gt; Legal</t>
        </is>
      </c>
      <c r="I430" s="18" t="n">
        <v>56929.33</v>
      </c>
      <c r="J430" t="inlineStr">
        <is>
          <t>Created MTR-IOS-0429 and correlation note visible in Activity/Pulse</t>
        </is>
      </c>
      <c r="K430" t="inlineStr">
        <is>
          <t>NOT_RUN</t>
        </is>
      </c>
      <c r="P430" t="n">
        <v>0</v>
      </c>
      <c r="Q430" t="n">
        <v>429</v>
      </c>
    </row>
    <row r="431">
      <c r="A431" t="n">
        <v>430</v>
      </c>
      <c r="B431" t="inlineStr">
        <is>
          <t>MTR-IOS-0430</t>
        </is>
      </c>
      <c r="C431" t="inlineStr">
        <is>
          <t>iPhone</t>
        </is>
      </c>
      <c r="D431" t="inlineStr">
        <is>
          <t>Personal</t>
        </is>
      </c>
      <c r="E431" t="inlineStr">
        <is>
          <t>Personal</t>
        </is>
      </c>
      <c r="F431" t="inlineStr">
        <is>
          <t>Life Operations</t>
        </is>
      </c>
      <c r="G431" t="inlineStr">
        <is>
          <t>Subscriptions</t>
        </is>
      </c>
      <c r="H431" t="inlineStr">
        <is>
          <t>Personal &gt; Life Operations &gt; Quick Add &gt; Subscriptions</t>
        </is>
      </c>
      <c r="I431" s="18" t="n">
        <v>10010.82</v>
      </c>
      <c r="J431" t="inlineStr">
        <is>
          <t>Created MTR-IOS-0430 and correlation note visible in Activity/Pulse</t>
        </is>
      </c>
      <c r="K431" t="inlineStr">
        <is>
          <t>NOT_RUN</t>
        </is>
      </c>
      <c r="P431" t="n">
        <v>0</v>
      </c>
      <c r="Q431" t="n">
        <v>430</v>
      </c>
    </row>
    <row r="432">
      <c r="A432" t="n">
        <v>431</v>
      </c>
      <c r="B432" t="inlineStr">
        <is>
          <t>MTR-IOS-0431</t>
        </is>
      </c>
      <c r="C432" t="inlineStr">
        <is>
          <t>iPhone</t>
        </is>
      </c>
      <c r="D432" t="inlineStr">
        <is>
          <t>Group</t>
        </is>
      </c>
      <c r="E432" t="inlineStr">
        <is>
          <t>Shared Purchase</t>
        </is>
      </c>
      <c r="F432" t="inlineStr">
        <is>
          <t>Gift Pool</t>
        </is>
      </c>
      <c r="G432" t="inlineStr">
        <is>
          <t>Other</t>
        </is>
      </c>
      <c r="H432" t="inlineStr">
        <is>
          <t>Group &gt; Gift Pool &gt; Quick Add &gt; Other</t>
        </is>
      </c>
      <c r="I432" s="18" t="n">
        <v>8805.559999999999</v>
      </c>
      <c r="J432" t="inlineStr">
        <is>
          <t>Created MTR-IOS-0431 and correlation note visible in Activity/Pulse</t>
        </is>
      </c>
      <c r="K432" t="inlineStr">
        <is>
          <t>NOT_RUN</t>
        </is>
      </c>
      <c r="P432" t="n">
        <v>0</v>
      </c>
      <c r="Q432" t="n">
        <v>431</v>
      </c>
    </row>
    <row r="433">
      <c r="A433" t="n">
        <v>432</v>
      </c>
      <c r="B433" t="inlineStr">
        <is>
          <t>MTR-IOS-0432</t>
        </is>
      </c>
      <c r="C433" t="inlineStr">
        <is>
          <t>iPhone</t>
        </is>
      </c>
      <c r="D433" t="inlineStr">
        <is>
          <t>Business</t>
        </is>
      </c>
      <c r="E433" t="inlineStr">
        <is>
          <t>Business</t>
        </is>
      </c>
      <c r="F433" t="inlineStr">
        <is>
          <t>Business Operations</t>
        </is>
      </c>
      <c r="G433" t="inlineStr">
        <is>
          <t>Accounting</t>
        </is>
      </c>
      <c r="H433" t="inlineStr">
        <is>
          <t>Business &gt; Business Operations &gt; Quick Add &gt; Accounting</t>
        </is>
      </c>
      <c r="I433" s="18" t="n">
        <v>113276.5</v>
      </c>
      <c r="J433" t="inlineStr">
        <is>
          <t>Created MTR-IOS-0432 and correlation note visible in Activity/Pulse</t>
        </is>
      </c>
      <c r="K433" t="inlineStr">
        <is>
          <t>NOT_RUN</t>
        </is>
      </c>
      <c r="P433" t="n">
        <v>0</v>
      </c>
      <c r="Q433" t="n">
        <v>432</v>
      </c>
    </row>
    <row r="434">
      <c r="A434" t="n">
        <v>433</v>
      </c>
      <c r="B434" t="inlineStr">
        <is>
          <t>MTR-IOS-0433</t>
        </is>
      </c>
      <c r="C434" t="inlineStr">
        <is>
          <t>iPhone</t>
        </is>
      </c>
      <c r="D434" t="inlineStr">
        <is>
          <t>Personal</t>
        </is>
      </c>
      <c r="E434" t="inlineStr">
        <is>
          <t>Personal</t>
        </is>
      </c>
      <c r="F434" t="inlineStr">
        <is>
          <t>Life Operations</t>
        </is>
      </c>
      <c r="G434" t="inlineStr">
        <is>
          <t>Repairs</t>
        </is>
      </c>
      <c r="H434" t="inlineStr">
        <is>
          <t>Personal &gt; Life Operations &gt; Quick Add &gt; Repairs</t>
        </is>
      </c>
      <c r="I434" s="18" t="n">
        <v>9929.879999999999</v>
      </c>
      <c r="J434" t="inlineStr">
        <is>
          <t>Created MTR-IOS-0433 and correlation note visible in Activity/Pulse</t>
        </is>
      </c>
      <c r="K434" t="inlineStr">
        <is>
          <t>NOT_RUN</t>
        </is>
      </c>
      <c r="P434" t="n">
        <v>0</v>
      </c>
      <c r="Q434" t="n">
        <v>433</v>
      </c>
    </row>
    <row r="435">
      <c r="A435" t="n">
        <v>434</v>
      </c>
      <c r="B435" t="inlineStr">
        <is>
          <t>MTR-IOS-0434</t>
        </is>
      </c>
      <c r="C435" t="inlineStr">
        <is>
          <t>iPhone</t>
        </is>
      </c>
      <c r="D435" t="inlineStr">
        <is>
          <t>Group</t>
        </is>
      </c>
      <c r="E435" t="inlineStr">
        <is>
          <t>Shared Purchase</t>
        </is>
      </c>
      <c r="F435" t="inlineStr">
        <is>
          <t>Purchase</t>
        </is>
      </c>
      <c r="G435" t="inlineStr">
        <is>
          <t>Item</t>
        </is>
      </c>
      <c r="H435" t="inlineStr">
        <is>
          <t>Group &gt; Purchase &gt; Quick Add &gt; Item</t>
        </is>
      </c>
      <c r="I435" s="18" t="n">
        <v>20412.85</v>
      </c>
      <c r="J435" t="inlineStr">
        <is>
          <t>Created MTR-IOS-0434 and correlation note visible in Activity/Pulse</t>
        </is>
      </c>
      <c r="K435" t="inlineStr">
        <is>
          <t>NOT_RUN</t>
        </is>
      </c>
      <c r="P435" t="n">
        <v>0</v>
      </c>
      <c r="Q435" t="n">
        <v>434</v>
      </c>
    </row>
    <row r="436">
      <c r="A436" t="n">
        <v>435</v>
      </c>
      <c r="B436" t="inlineStr">
        <is>
          <t>MTR-IOS-0435</t>
        </is>
      </c>
      <c r="C436" t="inlineStr">
        <is>
          <t>iPhone</t>
        </is>
      </c>
      <c r="D436" t="inlineStr">
        <is>
          <t>Business</t>
        </is>
      </c>
      <c r="E436" t="inlineStr">
        <is>
          <t>Business</t>
        </is>
      </c>
      <c r="F436" t="inlineStr">
        <is>
          <t>Business Operations</t>
        </is>
      </c>
      <c r="G436" t="inlineStr">
        <is>
          <t>Equipment</t>
        </is>
      </c>
      <c r="H436" t="inlineStr">
        <is>
          <t>Business &gt; Business Operations &gt; Quick Add &gt; Equipment</t>
        </is>
      </c>
      <c r="I436" s="18" t="n">
        <v>46800.73</v>
      </c>
      <c r="J436" t="inlineStr">
        <is>
          <t>Created MTR-IOS-0435 and correlation note visible in Activity/Pulse</t>
        </is>
      </c>
      <c r="K436" t="inlineStr">
        <is>
          <t>NOT_RUN</t>
        </is>
      </c>
      <c r="P436" t="n">
        <v>0</v>
      </c>
      <c r="Q436" t="n">
        <v>435</v>
      </c>
    </row>
    <row r="437">
      <c r="A437" t="n">
        <v>436</v>
      </c>
      <c r="B437" t="inlineStr">
        <is>
          <t>MTR-IOS-0436</t>
        </is>
      </c>
      <c r="C437" t="inlineStr">
        <is>
          <t>iPhone</t>
        </is>
      </c>
      <c r="D437" t="inlineStr">
        <is>
          <t>Personal</t>
        </is>
      </c>
      <c r="E437" t="inlineStr">
        <is>
          <t>Personal</t>
        </is>
      </c>
      <c r="F437" t="inlineStr">
        <is>
          <t>Future Building</t>
        </is>
      </c>
      <c r="G437" t="inlineStr">
        <is>
          <t>Savings</t>
        </is>
      </c>
      <c r="H437" t="inlineStr">
        <is>
          <t>Personal &gt; Future Building &gt; Quick Add &gt; Savings</t>
        </is>
      </c>
      <c r="I437" s="18" t="n">
        <v>1368.64</v>
      </c>
      <c r="J437" t="inlineStr">
        <is>
          <t>Created MTR-IOS-0436 and correlation note visible in Activity/Pulse</t>
        </is>
      </c>
      <c r="K437" t="inlineStr">
        <is>
          <t>NOT_RUN</t>
        </is>
      </c>
      <c r="P437" t="n">
        <v>0</v>
      </c>
      <c r="Q437" t="n">
        <v>436</v>
      </c>
    </row>
    <row r="438">
      <c r="A438" t="n">
        <v>437</v>
      </c>
      <c r="B438" t="inlineStr">
        <is>
          <t>MTR-IOS-0437</t>
        </is>
      </c>
      <c r="C438" t="inlineStr">
        <is>
          <t>iPhone</t>
        </is>
      </c>
      <c r="D438" t="inlineStr">
        <is>
          <t>Group</t>
        </is>
      </c>
      <c r="E438" t="inlineStr">
        <is>
          <t>Shared Purchase</t>
        </is>
      </c>
      <c r="F438" t="inlineStr">
        <is>
          <t>Purchase</t>
        </is>
      </c>
      <c r="G438" t="inlineStr">
        <is>
          <t>Shipping</t>
        </is>
      </c>
      <c r="H438" t="inlineStr">
        <is>
          <t>Group &gt; Purchase &gt; Quick Add &gt; Shipping</t>
        </is>
      </c>
      <c r="I438" s="18" t="n">
        <v>13270.79</v>
      </c>
      <c r="J438" t="inlineStr">
        <is>
          <t>Created MTR-IOS-0437 and correlation note visible in Activity/Pulse</t>
        </is>
      </c>
      <c r="K438" t="inlineStr">
        <is>
          <t>NOT_RUN</t>
        </is>
      </c>
      <c r="P438" t="n">
        <v>0</v>
      </c>
      <c r="Q438" t="n">
        <v>437</v>
      </c>
    </row>
    <row r="439">
      <c r="A439" t="n">
        <v>438</v>
      </c>
      <c r="B439" t="inlineStr">
        <is>
          <t>MTR-IOS-0438</t>
        </is>
      </c>
      <c r="C439" t="inlineStr">
        <is>
          <t>iPhone</t>
        </is>
      </c>
      <c r="D439" t="inlineStr">
        <is>
          <t>Business</t>
        </is>
      </c>
      <c r="E439" t="inlineStr">
        <is>
          <t>Business</t>
        </is>
      </c>
      <c r="F439" t="inlineStr">
        <is>
          <t>Business Operations</t>
        </is>
      </c>
      <c r="G439" t="inlineStr">
        <is>
          <t>Vendor</t>
        </is>
      </c>
      <c r="H439" t="inlineStr">
        <is>
          <t>Business &gt; Business Operations &gt; Quick Add &gt; Vendor</t>
        </is>
      </c>
      <c r="I439" s="18" t="n">
        <v>135659.13</v>
      </c>
      <c r="J439" t="inlineStr">
        <is>
          <t>Created MTR-IOS-0438 and correlation note visible in Activity/Pulse</t>
        </is>
      </c>
      <c r="K439" t="inlineStr">
        <is>
          <t>NOT_RUN</t>
        </is>
      </c>
      <c r="P439" t="n">
        <v>0</v>
      </c>
      <c r="Q439" t="n">
        <v>438</v>
      </c>
    </row>
    <row r="440">
      <c r="A440" t="n">
        <v>439</v>
      </c>
      <c r="B440" t="inlineStr">
        <is>
          <t>MTR-IOS-0439</t>
        </is>
      </c>
      <c r="C440" t="inlineStr">
        <is>
          <t>iPhone</t>
        </is>
      </c>
      <c r="D440" t="inlineStr">
        <is>
          <t>Personal</t>
        </is>
      </c>
      <c r="E440" t="inlineStr">
        <is>
          <t>Personal</t>
        </is>
      </c>
      <c r="F440" t="inlineStr">
        <is>
          <t>Future Building</t>
        </is>
      </c>
      <c r="G440" t="inlineStr">
        <is>
          <t>Emergency Fund</t>
        </is>
      </c>
      <c r="H440" t="inlineStr">
        <is>
          <t>Personal &gt; Future Building &gt; Quick Add &gt; Emergency Fund</t>
        </is>
      </c>
      <c r="I440" s="18" t="n">
        <v>10707.72</v>
      </c>
      <c r="J440" t="inlineStr">
        <is>
          <t>Created MTR-IOS-0439 and correlation note visible in Activity/Pulse</t>
        </is>
      </c>
      <c r="K440" t="inlineStr">
        <is>
          <t>NOT_RUN</t>
        </is>
      </c>
      <c r="P440" t="n">
        <v>0</v>
      </c>
      <c r="Q440" t="n">
        <v>439</v>
      </c>
    </row>
    <row r="441">
      <c r="A441" t="n">
        <v>440</v>
      </c>
      <c r="B441" t="inlineStr">
        <is>
          <t>MTR-IOS-0440</t>
        </is>
      </c>
      <c r="C441" t="inlineStr">
        <is>
          <t>iPhone</t>
        </is>
      </c>
      <c r="D441" t="inlineStr">
        <is>
          <t>Group</t>
        </is>
      </c>
      <c r="E441" t="inlineStr">
        <is>
          <t>Shared Purchase</t>
        </is>
      </c>
      <c r="F441" t="inlineStr">
        <is>
          <t>Purchase</t>
        </is>
      </c>
      <c r="G441" t="inlineStr">
        <is>
          <t>Tax</t>
        </is>
      </c>
      <c r="H441" t="inlineStr">
        <is>
          <t>Group &gt; Purchase &gt; Quick Add &gt; Tax</t>
        </is>
      </c>
      <c r="I441" s="18" t="n">
        <v>4529.41</v>
      </c>
      <c r="J441" t="inlineStr">
        <is>
          <t>Created MTR-IOS-0440 and correlation note visible in Activity/Pulse</t>
        </is>
      </c>
      <c r="K441" t="inlineStr">
        <is>
          <t>NOT_RUN</t>
        </is>
      </c>
      <c r="P441" t="n">
        <v>0</v>
      </c>
      <c r="Q441" t="n">
        <v>440</v>
      </c>
    </row>
    <row r="442">
      <c r="A442" t="n">
        <v>441</v>
      </c>
      <c r="B442" t="inlineStr">
        <is>
          <t>MTR-IOS-0441</t>
        </is>
      </c>
      <c r="C442" t="inlineStr">
        <is>
          <t>iPhone</t>
        </is>
      </c>
      <c r="D442" t="inlineStr">
        <is>
          <t>Business</t>
        </is>
      </c>
      <c r="E442" t="inlineStr">
        <is>
          <t>Business</t>
        </is>
      </c>
      <c r="F442" t="inlineStr">
        <is>
          <t>Business Operations</t>
        </is>
      </c>
      <c r="G442" t="inlineStr">
        <is>
          <t>Tax</t>
        </is>
      </c>
      <c r="H442" t="inlineStr">
        <is>
          <t>Business &gt; Business Operations &gt; Quick Add &gt; Tax</t>
        </is>
      </c>
      <c r="I442" s="18" t="n">
        <v>125690.78</v>
      </c>
      <c r="J442" t="inlineStr">
        <is>
          <t>Created MTR-IOS-0441 and correlation note visible in Activity/Pulse</t>
        </is>
      </c>
      <c r="K442" t="inlineStr">
        <is>
          <t>NOT_RUN</t>
        </is>
      </c>
      <c r="P442" t="n">
        <v>0</v>
      </c>
      <c r="Q442" t="n">
        <v>441</v>
      </c>
    </row>
    <row r="443">
      <c r="A443" t="n">
        <v>442</v>
      </c>
      <c r="B443" t="inlineStr">
        <is>
          <t>MTR-IOS-0442</t>
        </is>
      </c>
      <c r="C443" t="inlineStr">
        <is>
          <t>iPhone</t>
        </is>
      </c>
      <c r="D443" t="inlineStr">
        <is>
          <t>Personal</t>
        </is>
      </c>
      <c r="E443" t="inlineStr">
        <is>
          <t>Personal</t>
        </is>
      </c>
      <c r="F443" t="inlineStr">
        <is>
          <t>Future Building</t>
        </is>
      </c>
      <c r="G443" t="inlineStr">
        <is>
          <t>Investments</t>
        </is>
      </c>
      <c r="H443" t="inlineStr">
        <is>
          <t>Personal &gt; Future Building &gt; Quick Add &gt; Investments</t>
        </is>
      </c>
      <c r="I443" s="18" t="n">
        <v>8713.620000000001</v>
      </c>
      <c r="J443" t="inlineStr">
        <is>
          <t>Created MTR-IOS-0442 and correlation note visible in Activity/Pulse</t>
        </is>
      </c>
      <c r="K443" t="inlineStr">
        <is>
          <t>NOT_RUN</t>
        </is>
      </c>
      <c r="P443" t="n">
        <v>0</v>
      </c>
      <c r="Q443" t="n">
        <v>442</v>
      </c>
    </row>
    <row r="444">
      <c r="A444" t="n">
        <v>443</v>
      </c>
      <c r="B444" t="inlineStr">
        <is>
          <t>MTR-IOS-0443</t>
        </is>
      </c>
      <c r="C444" t="inlineStr">
        <is>
          <t>iPhone</t>
        </is>
      </c>
      <c r="D444" t="inlineStr">
        <is>
          <t>Group</t>
        </is>
      </c>
      <c r="E444" t="inlineStr">
        <is>
          <t>Shared Purchase</t>
        </is>
      </c>
      <c r="F444" t="inlineStr">
        <is>
          <t>Purchase</t>
        </is>
      </c>
      <c r="G444" t="inlineStr">
        <is>
          <t>Other</t>
        </is>
      </c>
      <c r="H444" t="inlineStr">
        <is>
          <t>Group &gt; Purchase &gt; Quick Add &gt; Other</t>
        </is>
      </c>
      <c r="I444" s="18" t="n">
        <v>4612.25</v>
      </c>
      <c r="J444" t="inlineStr">
        <is>
          <t>Created MTR-IOS-0443 and correlation note visible in Activity/Pulse</t>
        </is>
      </c>
      <c r="K444" t="inlineStr">
        <is>
          <t>NOT_RUN</t>
        </is>
      </c>
      <c r="P444" t="n">
        <v>0</v>
      </c>
      <c r="Q444" t="n">
        <v>443</v>
      </c>
    </row>
    <row r="445">
      <c r="A445" t="n">
        <v>444</v>
      </c>
      <c r="B445" t="inlineStr">
        <is>
          <t>MTR-IOS-0444</t>
        </is>
      </c>
      <c r="C445" t="inlineStr">
        <is>
          <t>iPhone</t>
        </is>
      </c>
      <c r="D445" t="inlineStr">
        <is>
          <t>Business</t>
        </is>
      </c>
      <c r="E445" t="inlineStr">
        <is>
          <t>Business</t>
        </is>
      </c>
      <c r="F445" t="inlineStr">
        <is>
          <t>Team Operations</t>
        </is>
      </c>
      <c r="G445" t="inlineStr">
        <is>
          <t>Payroll</t>
        </is>
      </c>
      <c r="H445" t="inlineStr">
        <is>
          <t>Business &gt; Team Operations &gt; Quick Add &gt; Payroll</t>
        </is>
      </c>
      <c r="I445" s="18" t="n">
        <v>0.01</v>
      </c>
      <c r="J445" t="inlineStr">
        <is>
          <t>Created MTR-IOS-0444 and correlation note visible in Activity/Pulse</t>
        </is>
      </c>
      <c r="K445" t="inlineStr">
        <is>
          <t>NOT_RUN</t>
        </is>
      </c>
      <c r="P445" t="n">
        <v>0</v>
      </c>
      <c r="Q445" t="n">
        <v>444</v>
      </c>
    </row>
    <row r="446">
      <c r="A446" t="n">
        <v>445</v>
      </c>
      <c r="B446" t="inlineStr">
        <is>
          <t>MTR-IOS-0445</t>
        </is>
      </c>
      <c r="C446" t="inlineStr">
        <is>
          <t>iPhone</t>
        </is>
      </c>
      <c r="D446" t="inlineStr">
        <is>
          <t>Personal</t>
        </is>
      </c>
      <c r="E446" t="inlineStr">
        <is>
          <t>Personal</t>
        </is>
      </c>
      <c r="F446" t="inlineStr">
        <is>
          <t>Future Building</t>
        </is>
      </c>
      <c r="G446" t="inlineStr">
        <is>
          <t>Education</t>
        </is>
      </c>
      <c r="H446" t="inlineStr">
        <is>
          <t>Personal &gt; Future Building &gt; Quick Add &gt; Education</t>
        </is>
      </c>
      <c r="I446" s="18" t="n">
        <v>7262.84</v>
      </c>
      <c r="J446" t="inlineStr">
        <is>
          <t>Created MTR-IOS-0445 and correlation note visible in Activity/Pulse</t>
        </is>
      </c>
      <c r="K446" t="inlineStr">
        <is>
          <t>NOT_RUN</t>
        </is>
      </c>
      <c r="P446" t="n">
        <v>0</v>
      </c>
      <c r="Q446" t="n">
        <v>445</v>
      </c>
    </row>
    <row r="447">
      <c r="A447" t="n">
        <v>446</v>
      </c>
      <c r="B447" t="inlineStr">
        <is>
          <t>MTR-IOS-0446</t>
        </is>
      </c>
      <c r="C447" t="inlineStr">
        <is>
          <t>iPhone</t>
        </is>
      </c>
      <c r="D447" t="inlineStr">
        <is>
          <t>Group</t>
        </is>
      </c>
      <c r="E447" t="inlineStr">
        <is>
          <t>Shared Purchase</t>
        </is>
      </c>
      <c r="F447" t="inlineStr">
        <is>
          <t>Assets</t>
        </is>
      </c>
      <c r="G447" t="inlineStr">
        <is>
          <t>Purchase</t>
        </is>
      </c>
      <c r="H447" t="inlineStr">
        <is>
          <t>Group &gt; Assets &gt; Quick Add &gt; Purchase</t>
        </is>
      </c>
      <c r="I447" s="18" t="n">
        <v>10059</v>
      </c>
      <c r="J447" t="inlineStr">
        <is>
          <t>Created MTR-IOS-0446 and correlation note visible in Activity/Pulse</t>
        </is>
      </c>
      <c r="K447" t="inlineStr">
        <is>
          <t>NOT_RUN</t>
        </is>
      </c>
      <c r="P447" t="n">
        <v>0</v>
      </c>
      <c r="Q447" t="n">
        <v>446</v>
      </c>
    </row>
    <row r="448">
      <c r="A448" t="n">
        <v>447</v>
      </c>
      <c r="B448" t="inlineStr">
        <is>
          <t>MTR-IOS-0447</t>
        </is>
      </c>
      <c r="C448" t="inlineStr">
        <is>
          <t>iPhone</t>
        </is>
      </c>
      <c r="D448" t="inlineStr">
        <is>
          <t>Business</t>
        </is>
      </c>
      <c r="E448" t="inlineStr">
        <is>
          <t>Business</t>
        </is>
      </c>
      <c r="F448" t="inlineStr">
        <is>
          <t>Team Operations</t>
        </is>
      </c>
      <c r="G448" t="inlineStr">
        <is>
          <t>Contractor</t>
        </is>
      </c>
      <c r="H448" t="inlineStr">
        <is>
          <t>Business &gt; Team Operations &gt; Quick Add &gt; Contractor</t>
        </is>
      </c>
      <c r="I448" s="18" t="n">
        <v>92859.62</v>
      </c>
      <c r="J448" t="inlineStr">
        <is>
          <t>Created MTR-IOS-0447 and correlation note visible in Activity/Pulse</t>
        </is>
      </c>
      <c r="K448" t="inlineStr">
        <is>
          <t>NOT_RUN</t>
        </is>
      </c>
      <c r="P448" t="n">
        <v>0</v>
      </c>
      <c r="Q448" t="n">
        <v>447</v>
      </c>
    </row>
    <row r="449">
      <c r="A449" t="n">
        <v>448</v>
      </c>
      <c r="B449" t="inlineStr">
        <is>
          <t>MTR-IOS-0448</t>
        </is>
      </c>
      <c r="C449" t="inlineStr">
        <is>
          <t>iPhone</t>
        </is>
      </c>
      <c r="D449" t="inlineStr">
        <is>
          <t>Personal</t>
        </is>
      </c>
      <c r="E449" t="inlineStr">
        <is>
          <t>Personal</t>
        </is>
      </c>
      <c r="F449" t="inlineStr">
        <is>
          <t>Future Building</t>
        </is>
      </c>
      <c r="G449" t="inlineStr">
        <is>
          <t>Goal Contribution</t>
        </is>
      </c>
      <c r="H449" t="inlineStr">
        <is>
          <t>Personal &gt; Future Building &gt; Quick Add &gt; Goal Contribution</t>
        </is>
      </c>
      <c r="I449" s="18" t="n">
        <v>7555.12</v>
      </c>
      <c r="J449" t="inlineStr">
        <is>
          <t>Created MTR-IOS-0448 and correlation note visible in Activity/Pulse</t>
        </is>
      </c>
      <c r="K449" t="inlineStr">
        <is>
          <t>NOT_RUN</t>
        </is>
      </c>
      <c r="P449" t="n">
        <v>0</v>
      </c>
      <c r="Q449" t="n">
        <v>448</v>
      </c>
    </row>
    <row r="450">
      <c r="A450" t="n">
        <v>449</v>
      </c>
      <c r="B450" t="inlineStr">
        <is>
          <t>MTR-IOS-0449</t>
        </is>
      </c>
      <c r="C450" t="inlineStr">
        <is>
          <t>iPhone</t>
        </is>
      </c>
      <c r="D450" t="inlineStr">
        <is>
          <t>Group</t>
        </is>
      </c>
      <c r="E450" t="inlineStr">
        <is>
          <t>Shared Purchase</t>
        </is>
      </c>
      <c r="F450" t="inlineStr">
        <is>
          <t>Assets</t>
        </is>
      </c>
      <c r="G450" t="inlineStr">
        <is>
          <t>Maintenance</t>
        </is>
      </c>
      <c r="H450" t="inlineStr">
        <is>
          <t>Group &gt; Assets &gt; Quick Add &gt; Maintenance</t>
        </is>
      </c>
      <c r="I450" s="18" t="n">
        <v>922.4</v>
      </c>
      <c r="J450" t="inlineStr">
        <is>
          <t>Created MTR-IOS-0449 and correlation note visible in Activity/Pulse</t>
        </is>
      </c>
      <c r="K450" t="inlineStr">
        <is>
          <t>NOT_RUN</t>
        </is>
      </c>
      <c r="P450" t="n">
        <v>0</v>
      </c>
      <c r="Q450" t="n">
        <v>449</v>
      </c>
    </row>
    <row r="451">
      <c r="A451" t="n">
        <v>450</v>
      </c>
      <c r="B451" t="inlineStr">
        <is>
          <t>MTR-IOS-0450</t>
        </is>
      </c>
      <c r="C451" t="inlineStr">
        <is>
          <t>iPhone</t>
        </is>
      </c>
      <c r="D451" t="inlineStr">
        <is>
          <t>Business</t>
        </is>
      </c>
      <c r="E451" t="inlineStr">
        <is>
          <t>Business</t>
        </is>
      </c>
      <c r="F451" t="inlineStr">
        <is>
          <t>Team Operations</t>
        </is>
      </c>
      <c r="G451" t="inlineStr">
        <is>
          <t>Hiring</t>
        </is>
      </c>
      <c r="H451" t="inlineStr">
        <is>
          <t>Business &gt; Team Operations &gt; Quick Add &gt; Hiring</t>
        </is>
      </c>
      <c r="I451" s="18" t="n">
        <v>37950.44</v>
      </c>
      <c r="J451" t="inlineStr">
        <is>
          <t>Created MTR-IOS-0450 and correlation note visible in Activity/Pulse</t>
        </is>
      </c>
      <c r="K451" t="inlineStr">
        <is>
          <t>NOT_RUN</t>
        </is>
      </c>
      <c r="P451" t="n">
        <v>0</v>
      </c>
      <c r="Q451" t="n">
        <v>450</v>
      </c>
    </row>
    <row r="452">
      <c r="A452" t="n">
        <v>451</v>
      </c>
      <c r="B452" t="inlineStr">
        <is>
          <t>MTR-IOS-0451</t>
        </is>
      </c>
      <c r="C452" t="inlineStr">
        <is>
          <t>iPhone</t>
        </is>
      </c>
      <c r="D452" t="inlineStr">
        <is>
          <t>Personal</t>
        </is>
      </c>
      <c r="E452" t="inlineStr">
        <is>
          <t>Personal</t>
        </is>
      </c>
      <c r="F452" t="inlineStr">
        <is>
          <t>Lifestyle</t>
        </is>
      </c>
      <c r="G452" t="inlineStr">
        <is>
          <t>Dining</t>
        </is>
      </c>
      <c r="H452" t="inlineStr">
        <is>
          <t>Personal &gt; Lifestyle &gt; Quick Add &gt; Dining</t>
        </is>
      </c>
      <c r="I452" s="18" t="n">
        <v>14994.41</v>
      </c>
      <c r="J452" t="inlineStr">
        <is>
          <t>Created MTR-IOS-0451 and correlation note visible in Activity/Pulse</t>
        </is>
      </c>
      <c r="K452" t="inlineStr">
        <is>
          <t>NOT_RUN</t>
        </is>
      </c>
      <c r="P452" t="n">
        <v>0</v>
      </c>
      <c r="Q452" t="n">
        <v>451</v>
      </c>
    </row>
    <row r="453">
      <c r="A453" t="n">
        <v>452</v>
      </c>
      <c r="B453" t="inlineStr">
        <is>
          <t>MTR-IOS-0452</t>
        </is>
      </c>
      <c r="C453" t="inlineStr">
        <is>
          <t>iPhone</t>
        </is>
      </c>
      <c r="D453" t="inlineStr">
        <is>
          <t>Group</t>
        </is>
      </c>
      <c r="E453" t="inlineStr">
        <is>
          <t>Shared Purchase</t>
        </is>
      </c>
      <c r="F453" t="inlineStr">
        <is>
          <t>Assets</t>
        </is>
      </c>
      <c r="G453" t="inlineStr">
        <is>
          <t>Repair</t>
        </is>
      </c>
      <c r="H453" t="inlineStr">
        <is>
          <t>Group &gt; Assets &gt; Quick Add &gt; Repair</t>
        </is>
      </c>
      <c r="I453" s="18" t="n">
        <v>21974.48</v>
      </c>
      <c r="J453" t="inlineStr">
        <is>
          <t>Created MTR-IOS-0452 and correlation note visible in Activity/Pulse</t>
        </is>
      </c>
      <c r="K453" t="inlineStr">
        <is>
          <t>NOT_RUN</t>
        </is>
      </c>
      <c r="P453" t="n">
        <v>0</v>
      </c>
      <c r="Q453" t="n">
        <v>452</v>
      </c>
    </row>
    <row r="454">
      <c r="A454" t="n">
        <v>453</v>
      </c>
      <c r="B454" t="inlineStr">
        <is>
          <t>MTR-IOS-0453</t>
        </is>
      </c>
      <c r="C454" t="inlineStr">
        <is>
          <t>iPhone</t>
        </is>
      </c>
      <c r="D454" t="inlineStr">
        <is>
          <t>Business</t>
        </is>
      </c>
      <c r="E454" t="inlineStr">
        <is>
          <t>Business</t>
        </is>
      </c>
      <c r="F454" t="inlineStr">
        <is>
          <t>Team Operations</t>
        </is>
      </c>
      <c r="G454" t="inlineStr">
        <is>
          <t>Team Meal</t>
        </is>
      </c>
      <c r="H454" t="inlineStr">
        <is>
          <t>Business &gt; Team Operations &gt; Quick Add &gt; Team Meal</t>
        </is>
      </c>
      <c r="I454" s="18" t="n">
        <v>46032.29</v>
      </c>
      <c r="J454" t="inlineStr">
        <is>
          <t>Created MTR-IOS-0453 and correlation note visible in Activity/Pulse</t>
        </is>
      </c>
      <c r="K454" t="inlineStr">
        <is>
          <t>NOT_RUN</t>
        </is>
      </c>
      <c r="P454" t="n">
        <v>0</v>
      </c>
      <c r="Q454" t="n">
        <v>453</v>
      </c>
    </row>
    <row r="455">
      <c r="A455" t="n">
        <v>454</v>
      </c>
      <c r="B455" t="inlineStr">
        <is>
          <t>MTR-IOS-0454</t>
        </is>
      </c>
      <c r="C455" t="inlineStr">
        <is>
          <t>iPhone</t>
        </is>
      </c>
      <c r="D455" t="inlineStr">
        <is>
          <t>Personal</t>
        </is>
      </c>
      <c r="E455" t="inlineStr">
        <is>
          <t>Personal</t>
        </is>
      </c>
      <c r="F455" t="inlineStr">
        <is>
          <t>Lifestyle</t>
        </is>
      </c>
      <c r="G455" t="inlineStr">
        <is>
          <t>Shopping</t>
        </is>
      </c>
      <c r="H455" t="inlineStr">
        <is>
          <t>Personal &gt; Lifestyle &gt; Quick Add &gt; Shopping</t>
        </is>
      </c>
      <c r="I455" s="18" t="n">
        <v>17448.33</v>
      </c>
      <c r="J455" t="inlineStr">
        <is>
          <t>Created MTR-IOS-0454 and correlation note visible in Activity/Pulse</t>
        </is>
      </c>
      <c r="K455" t="inlineStr">
        <is>
          <t>NOT_RUN</t>
        </is>
      </c>
      <c r="P455" t="n">
        <v>0</v>
      </c>
      <c r="Q455" t="n">
        <v>454</v>
      </c>
    </row>
    <row r="456">
      <c r="A456" t="n">
        <v>455</v>
      </c>
      <c r="B456" t="inlineStr">
        <is>
          <t>MTR-IOS-0455</t>
        </is>
      </c>
      <c r="C456" t="inlineStr">
        <is>
          <t>iPhone</t>
        </is>
      </c>
      <c r="D456" t="inlineStr">
        <is>
          <t>Group</t>
        </is>
      </c>
      <c r="E456" t="inlineStr">
        <is>
          <t>Shared Purchase</t>
        </is>
      </c>
      <c r="F456" t="inlineStr">
        <is>
          <t>Assets</t>
        </is>
      </c>
      <c r="G456" t="inlineStr">
        <is>
          <t>Insurance</t>
        </is>
      </c>
      <c r="H456" t="inlineStr">
        <is>
          <t>Group &gt; Assets &gt; Quick Add &gt; Insurance</t>
        </is>
      </c>
      <c r="I456" s="18" t="n">
        <v>21419.35</v>
      </c>
      <c r="J456" t="inlineStr">
        <is>
          <t>Created MTR-IOS-0455 and correlation note visible in Activity/Pulse</t>
        </is>
      </c>
      <c r="K456" t="inlineStr">
        <is>
          <t>NOT_RUN</t>
        </is>
      </c>
      <c r="P456" t="n">
        <v>0</v>
      </c>
      <c r="Q456" t="n">
        <v>455</v>
      </c>
    </row>
    <row r="457">
      <c r="A457" t="n">
        <v>456</v>
      </c>
      <c r="B457" t="inlineStr">
        <is>
          <t>MTR-IOS-0456</t>
        </is>
      </c>
      <c r="C457" t="inlineStr">
        <is>
          <t>iPhone</t>
        </is>
      </c>
      <c r="D457" t="inlineStr">
        <is>
          <t>Business</t>
        </is>
      </c>
      <c r="E457" t="inlineStr">
        <is>
          <t>Business</t>
        </is>
      </c>
      <c r="F457" t="inlineStr">
        <is>
          <t>Team Operations</t>
        </is>
      </c>
      <c r="G457" t="inlineStr">
        <is>
          <t>Travel</t>
        </is>
      </c>
      <c r="H457" t="inlineStr">
        <is>
          <t>Business &gt; Team Operations &gt; Quick Add &gt; Travel</t>
        </is>
      </c>
      <c r="I457" s="18" t="n">
        <v>100656.7</v>
      </c>
      <c r="J457" t="inlineStr">
        <is>
          <t>Created MTR-IOS-0456 and correlation note visible in Activity/Pulse</t>
        </is>
      </c>
      <c r="K457" t="inlineStr">
        <is>
          <t>NOT_RUN</t>
        </is>
      </c>
      <c r="P457" t="n">
        <v>0</v>
      </c>
      <c r="Q457" t="n">
        <v>456</v>
      </c>
    </row>
    <row r="458">
      <c r="A458" t="n">
        <v>457</v>
      </c>
      <c r="B458" t="inlineStr">
        <is>
          <t>MTR-IOS-0457</t>
        </is>
      </c>
      <c r="C458" t="inlineStr">
        <is>
          <t>iPhone</t>
        </is>
      </c>
      <c r="D458" t="inlineStr">
        <is>
          <t>Personal</t>
        </is>
      </c>
      <c r="E458" t="inlineStr">
        <is>
          <t>Personal</t>
        </is>
      </c>
      <c r="F458" t="inlineStr">
        <is>
          <t>Lifestyle</t>
        </is>
      </c>
      <c r="G458" t="inlineStr">
        <is>
          <t>Entertainment</t>
        </is>
      </c>
      <c r="H458" t="inlineStr">
        <is>
          <t>Personal &gt; Lifestyle &gt; Quick Add &gt; Entertainment</t>
        </is>
      </c>
      <c r="I458" s="18" t="n">
        <v>3389.91</v>
      </c>
      <c r="J458" t="inlineStr">
        <is>
          <t>Created MTR-IOS-0457 and correlation note visible in Activity/Pulse</t>
        </is>
      </c>
      <c r="K458" t="inlineStr">
        <is>
          <t>NOT_RUN</t>
        </is>
      </c>
      <c r="P458" t="n">
        <v>0</v>
      </c>
      <c r="Q458" t="n">
        <v>457</v>
      </c>
    </row>
    <row r="459">
      <c r="A459" t="n">
        <v>458</v>
      </c>
      <c r="B459" t="inlineStr">
        <is>
          <t>MTR-IOS-0458</t>
        </is>
      </c>
      <c r="C459" t="inlineStr">
        <is>
          <t>iPhone</t>
        </is>
      </c>
      <c r="D459" t="inlineStr">
        <is>
          <t>Group</t>
        </is>
      </c>
      <c r="E459" t="inlineStr">
        <is>
          <t>Shared Purchase</t>
        </is>
      </c>
      <c r="F459" t="inlineStr">
        <is>
          <t>Assets</t>
        </is>
      </c>
      <c r="G459" t="inlineStr">
        <is>
          <t>Other</t>
        </is>
      </c>
      <c r="H459" t="inlineStr">
        <is>
          <t>Group &gt; Assets &gt; Quick Add &gt; Other</t>
        </is>
      </c>
      <c r="I459" s="18" t="n">
        <v>26005.71</v>
      </c>
      <c r="J459" t="inlineStr">
        <is>
          <t>Created MTR-IOS-0458 and correlation note visible in Activity/Pulse</t>
        </is>
      </c>
      <c r="K459" t="inlineStr">
        <is>
          <t>NOT_RUN</t>
        </is>
      </c>
      <c r="P459" t="n">
        <v>0</v>
      </c>
      <c r="Q459" t="n">
        <v>458</v>
      </c>
    </row>
    <row r="460">
      <c r="A460" t="n">
        <v>459</v>
      </c>
      <c r="B460" t="inlineStr">
        <is>
          <t>MTR-IOS-0459</t>
        </is>
      </c>
      <c r="C460" t="inlineStr">
        <is>
          <t>iPhone</t>
        </is>
      </c>
      <c r="D460" t="inlineStr">
        <is>
          <t>Business</t>
        </is>
      </c>
      <c r="E460" t="inlineStr">
        <is>
          <t>Business</t>
        </is>
      </c>
      <c r="F460" t="inlineStr">
        <is>
          <t>Team Operations</t>
        </is>
      </c>
      <c r="G460" t="inlineStr">
        <is>
          <t>Training</t>
        </is>
      </c>
      <c r="H460" t="inlineStr">
        <is>
          <t>Business &gt; Team Operations &gt; Quick Add &gt; Training</t>
        </is>
      </c>
      <c r="I460" s="18" t="n">
        <v>40006.81</v>
      </c>
      <c r="J460" t="inlineStr">
        <is>
          <t>Created MTR-IOS-0459 and correlation note visible in Activity/Pulse</t>
        </is>
      </c>
      <c r="K460" t="inlineStr">
        <is>
          <t>NOT_RUN</t>
        </is>
      </c>
      <c r="P460" t="n">
        <v>0</v>
      </c>
      <c r="Q460" t="n">
        <v>459</v>
      </c>
    </row>
    <row r="461">
      <c r="A461" t="n">
        <v>460</v>
      </c>
      <c r="B461" t="inlineStr">
        <is>
          <t>MTR-IOS-0460</t>
        </is>
      </c>
      <c r="C461" t="inlineStr">
        <is>
          <t>iPhone</t>
        </is>
      </c>
      <c r="D461" t="inlineStr">
        <is>
          <t>Personal</t>
        </is>
      </c>
      <c r="E461" t="inlineStr">
        <is>
          <t>Personal</t>
        </is>
      </c>
      <c r="F461" t="inlineStr">
        <is>
          <t>Lifestyle</t>
        </is>
      </c>
      <c r="G461" t="inlineStr">
        <is>
          <t>Travel</t>
        </is>
      </c>
      <c r="H461" t="inlineStr">
        <is>
          <t>Personal &gt; Lifestyle &gt; Quick Add &gt; Travel</t>
        </is>
      </c>
      <c r="I461" s="18" t="n">
        <v>2116.46</v>
      </c>
      <c r="J461" t="inlineStr">
        <is>
          <t>Created MTR-IOS-0460 and correlation note visible in Activity/Pulse</t>
        </is>
      </c>
      <c r="K461" t="inlineStr">
        <is>
          <t>NOT_RUN</t>
        </is>
      </c>
      <c r="P461" t="n">
        <v>0</v>
      </c>
      <c r="Q461" t="n">
        <v>460</v>
      </c>
    </row>
    <row r="462">
      <c r="A462" t="n">
        <v>461</v>
      </c>
      <c r="B462" t="inlineStr">
        <is>
          <t>MTR-IOS-0461</t>
        </is>
      </c>
      <c r="C462" t="inlineStr">
        <is>
          <t>iPhone</t>
        </is>
      </c>
      <c r="D462" t="inlineStr">
        <is>
          <t>Group</t>
        </is>
      </c>
      <c r="E462" t="inlineStr">
        <is>
          <t>Shared Purchase</t>
        </is>
      </c>
      <c r="F462" t="inlineStr">
        <is>
          <t>Custom Purchase</t>
        </is>
      </c>
      <c r="G462" t="inlineStr">
        <is>
          <t>Custom Expense</t>
        </is>
      </c>
      <c r="H462" t="inlineStr">
        <is>
          <t>Group &gt; Custom Purchase &gt; Quick Add &gt; Custom Expense</t>
        </is>
      </c>
      <c r="I462" s="18" t="n">
        <v>21413.66</v>
      </c>
      <c r="J462" t="inlineStr">
        <is>
          <t>Created MTR-IOS-0461 and correlation note visible in Activity/Pulse</t>
        </is>
      </c>
      <c r="K462" t="inlineStr">
        <is>
          <t>NOT_RUN</t>
        </is>
      </c>
      <c r="P462" t="n">
        <v>0</v>
      </c>
      <c r="Q462" t="n">
        <v>461</v>
      </c>
    </row>
    <row r="463">
      <c r="A463" t="n">
        <v>462</v>
      </c>
      <c r="B463" t="inlineStr">
        <is>
          <t>MTR-IOS-0462</t>
        </is>
      </c>
      <c r="C463" t="inlineStr">
        <is>
          <t>iPhone</t>
        </is>
      </c>
      <c r="D463" t="inlineStr">
        <is>
          <t>Business</t>
        </is>
      </c>
      <c r="E463" t="inlineStr">
        <is>
          <t>Business</t>
        </is>
      </c>
      <c r="F463" t="inlineStr">
        <is>
          <t>Team Operations</t>
        </is>
      </c>
      <c r="G463" t="inlineStr">
        <is>
          <t>Tools</t>
        </is>
      </c>
      <c r="H463" t="inlineStr">
        <is>
          <t>Business &gt; Team Operations &gt; Quick Add &gt; Tools</t>
        </is>
      </c>
      <c r="I463" s="18" t="n">
        <v>61434.11</v>
      </c>
      <c r="J463" t="inlineStr">
        <is>
          <t>Created MTR-IOS-0462 and correlation note visible in Activity/Pulse</t>
        </is>
      </c>
      <c r="K463" t="inlineStr">
        <is>
          <t>NOT_RUN</t>
        </is>
      </c>
      <c r="P463" t="n">
        <v>0</v>
      </c>
      <c r="Q463" t="n">
        <v>462</v>
      </c>
    </row>
    <row r="464">
      <c r="A464" t="n">
        <v>463</v>
      </c>
      <c r="B464" t="inlineStr">
        <is>
          <t>MTR-IOS-0463</t>
        </is>
      </c>
      <c r="C464" t="inlineStr">
        <is>
          <t>iPhone</t>
        </is>
      </c>
      <c r="D464" t="inlineStr">
        <is>
          <t>Personal</t>
        </is>
      </c>
      <c r="E464" t="inlineStr">
        <is>
          <t>Personal</t>
        </is>
      </c>
      <c r="F464" t="inlineStr">
        <is>
          <t>Lifestyle</t>
        </is>
      </c>
      <c r="G464" t="inlineStr">
        <is>
          <t>Fitness</t>
        </is>
      </c>
      <c r="H464" t="inlineStr">
        <is>
          <t>Personal &gt; Lifestyle &gt; Quick Add &gt; Fitness</t>
        </is>
      </c>
      <c r="I464" s="18" t="n">
        <v>3379.73</v>
      </c>
      <c r="J464" t="inlineStr">
        <is>
          <t>Created MTR-IOS-0463 and correlation note visible in Activity/Pulse</t>
        </is>
      </c>
      <c r="K464" t="inlineStr">
        <is>
          <t>NOT_RUN</t>
        </is>
      </c>
      <c r="P464" t="n">
        <v>0</v>
      </c>
      <c r="Q464" t="n">
        <v>463</v>
      </c>
    </row>
    <row r="465">
      <c r="A465" t="n">
        <v>464</v>
      </c>
      <c r="B465" t="inlineStr">
        <is>
          <t>MTR-IOS-0464</t>
        </is>
      </c>
      <c r="C465" t="inlineStr">
        <is>
          <t>iPhone</t>
        </is>
      </c>
      <c r="D465" t="inlineStr">
        <is>
          <t>Group</t>
        </is>
      </c>
      <c r="E465" t="inlineStr">
        <is>
          <t>Shared Purchase</t>
        </is>
      </c>
      <c r="F465" t="inlineStr">
        <is>
          <t>Custom Purchase</t>
        </is>
      </c>
      <c r="G465" t="inlineStr">
        <is>
          <t>Custom Contribution</t>
        </is>
      </c>
      <c r="H465" t="inlineStr">
        <is>
          <t>Group &gt; Custom Purchase &gt; Quick Add &gt; Custom Contribution</t>
        </is>
      </c>
      <c r="I465" s="18" t="n">
        <v>3789.99</v>
      </c>
      <c r="J465" t="inlineStr">
        <is>
          <t>Created MTR-IOS-0464 and correlation note visible in Activity/Pulse</t>
        </is>
      </c>
      <c r="K465" t="inlineStr">
        <is>
          <t>NOT_RUN</t>
        </is>
      </c>
      <c r="P465" t="n">
        <v>0</v>
      </c>
      <c r="Q465" t="n">
        <v>464</v>
      </c>
    </row>
    <row r="466">
      <c r="A466" t="n">
        <v>465</v>
      </c>
      <c r="B466" t="inlineStr">
        <is>
          <t>MTR-IOS-0465</t>
        </is>
      </c>
      <c r="C466" t="inlineStr">
        <is>
          <t>iPhone</t>
        </is>
      </c>
      <c r="D466" t="inlineStr">
        <is>
          <t>Business</t>
        </is>
      </c>
      <c r="E466" t="inlineStr">
        <is>
          <t>Business</t>
        </is>
      </c>
      <c r="F466" t="inlineStr">
        <is>
          <t>Business Runway</t>
        </is>
      </c>
      <c r="G466" t="inlineStr">
        <is>
          <t>Funding</t>
        </is>
      </c>
      <c r="H466" t="inlineStr">
        <is>
          <t>Business &gt; Business Runway &gt; Quick Add &gt; Funding</t>
        </is>
      </c>
      <c r="I466" s="18" t="n">
        <v>160164.33</v>
      </c>
      <c r="J466" t="inlineStr">
        <is>
          <t>Created MTR-IOS-0465 and correlation note visible in Activity/Pulse</t>
        </is>
      </c>
      <c r="K466" t="inlineStr">
        <is>
          <t>NOT_RUN</t>
        </is>
      </c>
      <c r="P466" t="n">
        <v>0</v>
      </c>
      <c r="Q466" t="n">
        <v>465</v>
      </c>
    </row>
    <row r="467">
      <c r="A467" t="n">
        <v>466</v>
      </c>
      <c r="B467" t="inlineStr">
        <is>
          <t>MTR-IOS-0466</t>
        </is>
      </c>
      <c r="C467" t="inlineStr">
        <is>
          <t>iPhone</t>
        </is>
      </c>
      <c r="D467" t="inlineStr">
        <is>
          <t>Personal</t>
        </is>
      </c>
      <c r="E467" t="inlineStr">
        <is>
          <t>Personal</t>
        </is>
      </c>
      <c r="F467" t="inlineStr">
        <is>
          <t>Lifestyle</t>
        </is>
      </c>
      <c r="G467" t="inlineStr">
        <is>
          <t>Hobbies</t>
        </is>
      </c>
      <c r="H467" t="inlineStr">
        <is>
          <t>Personal &gt; Lifestyle &gt; Quick Add &gt; Hobbies</t>
        </is>
      </c>
      <c r="I467" s="18" t="n">
        <v>17330.9</v>
      </c>
      <c r="J467" t="inlineStr">
        <is>
          <t>Created MTR-IOS-0466 and correlation note visible in Activity/Pulse</t>
        </is>
      </c>
      <c r="K467" t="inlineStr">
        <is>
          <t>NOT_RUN</t>
        </is>
      </c>
      <c r="P467" t="n">
        <v>0</v>
      </c>
      <c r="Q467" t="n">
        <v>466</v>
      </c>
    </row>
    <row r="468">
      <c r="A468" t="n">
        <v>467</v>
      </c>
      <c r="B468" t="inlineStr">
        <is>
          <t>MTR-IOS-0467</t>
        </is>
      </c>
      <c r="C468" t="inlineStr">
        <is>
          <t>iPhone</t>
        </is>
      </c>
      <c r="D468" t="inlineStr">
        <is>
          <t>Group</t>
        </is>
      </c>
      <c r="E468" t="inlineStr">
        <is>
          <t>Shared Living</t>
        </is>
      </c>
      <c r="F468" t="inlineStr">
        <is>
          <t>Flatmates</t>
        </is>
      </c>
      <c r="G468" t="inlineStr">
        <is>
          <t>Rent</t>
        </is>
      </c>
      <c r="H468" t="inlineStr">
        <is>
          <t>Group &gt; Flatmates &gt; Quick Add &gt; Rent</t>
        </is>
      </c>
      <c r="I468" s="18" t="n">
        <v>7817</v>
      </c>
      <c r="J468" t="inlineStr">
        <is>
          <t>Created MTR-IOS-0467 and correlation note visible in Activity/Pulse</t>
        </is>
      </c>
      <c r="K468" t="inlineStr">
        <is>
          <t>NOT_RUN</t>
        </is>
      </c>
      <c r="P468" t="n">
        <v>0</v>
      </c>
      <c r="Q468" t="n">
        <v>467</v>
      </c>
    </row>
    <row r="469">
      <c r="A469" t="n">
        <v>468</v>
      </c>
      <c r="B469" t="inlineStr">
        <is>
          <t>MTR-IOS-0468</t>
        </is>
      </c>
      <c r="C469" t="inlineStr">
        <is>
          <t>iPhone</t>
        </is>
      </c>
      <c r="D469" t="inlineStr">
        <is>
          <t>Business</t>
        </is>
      </c>
      <c r="E469" t="inlineStr">
        <is>
          <t>Business</t>
        </is>
      </c>
      <c r="F469" t="inlineStr">
        <is>
          <t>Business Runway</t>
        </is>
      </c>
      <c r="G469" t="inlineStr">
        <is>
          <t>Revenue</t>
        </is>
      </c>
      <c r="H469" t="inlineStr">
        <is>
          <t>Business &gt; Business Runway &gt; Quick Add &gt; Revenue</t>
        </is>
      </c>
      <c r="I469" s="18" t="n">
        <v>116049.11</v>
      </c>
      <c r="J469" t="inlineStr">
        <is>
          <t>Created MTR-IOS-0468 and correlation note visible in Activity/Pulse</t>
        </is>
      </c>
      <c r="K469" t="inlineStr">
        <is>
          <t>NOT_RUN</t>
        </is>
      </c>
      <c r="P469" t="n">
        <v>0</v>
      </c>
      <c r="Q469" t="n">
        <v>468</v>
      </c>
    </row>
    <row r="470">
      <c r="A470" t="n">
        <v>469</v>
      </c>
      <c r="B470" t="inlineStr">
        <is>
          <t>MTR-IOS-0469</t>
        </is>
      </c>
      <c r="C470" t="inlineStr">
        <is>
          <t>iPhone</t>
        </is>
      </c>
      <c r="D470" t="inlineStr">
        <is>
          <t>Personal</t>
        </is>
      </c>
      <c r="E470" t="inlineStr">
        <is>
          <t>Personal</t>
        </is>
      </c>
      <c r="F470" t="inlineStr">
        <is>
          <t>Relationships</t>
        </is>
      </c>
      <c r="G470" t="inlineStr">
        <is>
          <t>Gifts</t>
        </is>
      </c>
      <c r="H470" t="inlineStr">
        <is>
          <t>Personal &gt; Relationships &gt; Quick Add &gt; Gifts</t>
        </is>
      </c>
      <c r="I470" s="18" t="n">
        <v>10765.2</v>
      </c>
      <c r="J470" t="inlineStr">
        <is>
          <t>Created MTR-IOS-0469 and correlation note visible in Activity/Pulse</t>
        </is>
      </c>
      <c r="K470" t="inlineStr">
        <is>
          <t>NOT_RUN</t>
        </is>
      </c>
      <c r="P470" t="n">
        <v>0</v>
      </c>
      <c r="Q470" t="n">
        <v>469</v>
      </c>
    </row>
    <row r="471">
      <c r="A471" t="n">
        <v>470</v>
      </c>
      <c r="B471" t="inlineStr">
        <is>
          <t>MTR-IOS-0470</t>
        </is>
      </c>
      <c r="C471" t="inlineStr">
        <is>
          <t>iPhone</t>
        </is>
      </c>
      <c r="D471" t="inlineStr">
        <is>
          <t>Group</t>
        </is>
      </c>
      <c r="E471" t="inlineStr">
        <is>
          <t>Shared Living</t>
        </is>
      </c>
      <c r="F471" t="inlineStr">
        <is>
          <t>Flatmates</t>
        </is>
      </c>
      <c r="G471" t="inlineStr">
        <is>
          <t>Utilities</t>
        </is>
      </c>
      <c r="H471" t="inlineStr">
        <is>
          <t>Group &gt; Flatmates &gt; Quick Add &gt; Utilities</t>
        </is>
      </c>
      <c r="I471" s="18" t="n">
        <v>2360.02</v>
      </c>
      <c r="J471" t="inlineStr">
        <is>
          <t>Created MTR-IOS-0470 and correlation note visible in Activity/Pulse</t>
        </is>
      </c>
      <c r="K471" t="inlineStr">
        <is>
          <t>NOT_RUN</t>
        </is>
      </c>
      <c r="P471" t="n">
        <v>0</v>
      </c>
      <c r="Q471" t="n">
        <v>470</v>
      </c>
    </row>
    <row r="472">
      <c r="A472" t="n">
        <v>471</v>
      </c>
      <c r="B472" t="inlineStr">
        <is>
          <t>MTR-IOS-0471</t>
        </is>
      </c>
      <c r="C472" t="inlineStr">
        <is>
          <t>iPhone</t>
        </is>
      </c>
      <c r="D472" t="inlineStr">
        <is>
          <t>Business</t>
        </is>
      </c>
      <c r="E472" t="inlineStr">
        <is>
          <t>Business</t>
        </is>
      </c>
      <c r="F472" t="inlineStr">
        <is>
          <t>Business Runway</t>
        </is>
      </c>
      <c r="G472" t="inlineStr">
        <is>
          <t>Burn</t>
        </is>
      </c>
      <c r="H472" t="inlineStr">
        <is>
          <t>Business &gt; Business Runway &gt; Quick Add &gt; Burn</t>
        </is>
      </c>
      <c r="I472" s="18" t="n">
        <v>147990.25</v>
      </c>
      <c r="J472" t="inlineStr">
        <is>
          <t>Created MTR-IOS-0471 and correlation note visible in Activity/Pulse</t>
        </is>
      </c>
      <c r="K472" t="inlineStr">
        <is>
          <t>NOT_RUN</t>
        </is>
      </c>
      <c r="P472" t="n">
        <v>0</v>
      </c>
      <c r="Q472" t="n">
        <v>471</v>
      </c>
    </row>
    <row r="473">
      <c r="A473" t="n">
        <v>472</v>
      </c>
      <c r="B473" t="inlineStr">
        <is>
          <t>MTR-IOS-0472</t>
        </is>
      </c>
      <c r="C473" t="inlineStr">
        <is>
          <t>iPhone</t>
        </is>
      </c>
      <c r="D473" t="inlineStr">
        <is>
          <t>Personal</t>
        </is>
      </c>
      <c r="E473" t="inlineStr">
        <is>
          <t>Personal</t>
        </is>
      </c>
      <c r="F473" t="inlineStr">
        <is>
          <t>Relationships</t>
        </is>
      </c>
      <c r="G473" t="inlineStr">
        <is>
          <t>Dates</t>
        </is>
      </c>
      <c r="H473" t="inlineStr">
        <is>
          <t>Personal &gt; Relationships &gt; Quick Add &gt; Dates</t>
        </is>
      </c>
      <c r="I473" s="18" t="n">
        <v>2079.39</v>
      </c>
      <c r="J473" t="inlineStr">
        <is>
          <t>Created MTR-IOS-0472 and correlation note visible in Activity/Pulse</t>
        </is>
      </c>
      <c r="K473" t="inlineStr">
        <is>
          <t>NOT_RUN</t>
        </is>
      </c>
      <c r="P473" t="n">
        <v>0</v>
      </c>
      <c r="Q473" t="n">
        <v>472</v>
      </c>
    </row>
    <row r="474">
      <c r="A474" t="n">
        <v>473</v>
      </c>
      <c r="B474" t="inlineStr">
        <is>
          <t>MTR-IOS-0473</t>
        </is>
      </c>
      <c r="C474" t="inlineStr">
        <is>
          <t>iPhone</t>
        </is>
      </c>
      <c r="D474" t="inlineStr">
        <is>
          <t>Group</t>
        </is>
      </c>
      <c r="E474" t="inlineStr">
        <is>
          <t>Shared Living</t>
        </is>
      </c>
      <c r="F474" t="inlineStr">
        <is>
          <t>Flatmates</t>
        </is>
      </c>
      <c r="G474" t="inlineStr">
        <is>
          <t>Groceries</t>
        </is>
      </c>
      <c r="H474" t="inlineStr">
        <is>
          <t>Group &gt; Flatmates &gt; Quick Add &gt; Groceries</t>
        </is>
      </c>
      <c r="I474" s="18" t="n">
        <v>14536.73</v>
      </c>
      <c r="J474" t="inlineStr">
        <is>
          <t>Created MTR-IOS-0473 and correlation note visible in Activity/Pulse</t>
        </is>
      </c>
      <c r="K474" t="inlineStr">
        <is>
          <t>NOT_RUN</t>
        </is>
      </c>
      <c r="P474" t="n">
        <v>0</v>
      </c>
      <c r="Q474" t="n">
        <v>473</v>
      </c>
    </row>
    <row r="475">
      <c r="A475" t="n">
        <v>474</v>
      </c>
      <c r="B475" t="inlineStr">
        <is>
          <t>MTR-IOS-0474</t>
        </is>
      </c>
      <c r="C475" t="inlineStr">
        <is>
          <t>iPhone</t>
        </is>
      </c>
      <c r="D475" t="inlineStr">
        <is>
          <t>Business</t>
        </is>
      </c>
      <c r="E475" t="inlineStr">
        <is>
          <t>Business</t>
        </is>
      </c>
      <c r="F475" t="inlineStr">
        <is>
          <t>Business Runway</t>
        </is>
      </c>
      <c r="G475" t="inlineStr">
        <is>
          <t>Reserve</t>
        </is>
      </c>
      <c r="H475" t="inlineStr">
        <is>
          <t>Business &gt; Business Runway &gt; Quick Add &gt; Reserve</t>
        </is>
      </c>
      <c r="I475" s="18" t="n">
        <v>104544.56</v>
      </c>
      <c r="J475" t="inlineStr">
        <is>
          <t>Created MTR-IOS-0474 and correlation note visible in Activity/Pulse</t>
        </is>
      </c>
      <c r="K475" t="inlineStr">
        <is>
          <t>NOT_RUN</t>
        </is>
      </c>
      <c r="P475" t="n">
        <v>0</v>
      </c>
      <c r="Q475" t="n">
        <v>474</v>
      </c>
    </row>
    <row r="476">
      <c r="A476" t="n">
        <v>475</v>
      </c>
      <c r="B476" t="inlineStr">
        <is>
          <t>MTR-IOS-0475</t>
        </is>
      </c>
      <c r="C476" t="inlineStr">
        <is>
          <t>iPhone</t>
        </is>
      </c>
      <c r="D476" t="inlineStr">
        <is>
          <t>Personal</t>
        </is>
      </c>
      <c r="E476" t="inlineStr">
        <is>
          <t>Personal</t>
        </is>
      </c>
      <c r="F476" t="inlineStr">
        <is>
          <t>Relationships</t>
        </is>
      </c>
      <c r="G476" t="inlineStr">
        <is>
          <t>Family</t>
        </is>
      </c>
      <c r="H476" t="inlineStr">
        <is>
          <t>Personal &gt; Relationships &gt; Quick Add &gt; Family</t>
        </is>
      </c>
      <c r="I476" s="18" t="n">
        <v>4389.55</v>
      </c>
      <c r="J476" t="inlineStr">
        <is>
          <t>Created MTR-IOS-0475 and correlation note visible in Activity/Pulse</t>
        </is>
      </c>
      <c r="K476" t="inlineStr">
        <is>
          <t>NOT_RUN</t>
        </is>
      </c>
      <c r="P476" t="n">
        <v>0</v>
      </c>
      <c r="Q476" t="n">
        <v>475</v>
      </c>
    </row>
    <row r="477">
      <c r="A477" t="n">
        <v>476</v>
      </c>
      <c r="B477" t="inlineStr">
        <is>
          <t>MTR-IOS-0476</t>
        </is>
      </c>
      <c r="C477" t="inlineStr">
        <is>
          <t>iPhone</t>
        </is>
      </c>
      <c r="D477" t="inlineStr">
        <is>
          <t>Group</t>
        </is>
      </c>
      <c r="E477" t="inlineStr">
        <is>
          <t>Shared Living</t>
        </is>
      </c>
      <c r="F477" t="inlineStr">
        <is>
          <t>Flatmates</t>
        </is>
      </c>
      <c r="G477" t="inlineStr">
        <is>
          <t>Internet</t>
        </is>
      </c>
      <c r="H477" t="inlineStr">
        <is>
          <t>Group &gt; Flatmates &gt; Quick Add &gt; Internet</t>
        </is>
      </c>
      <c r="I477" s="18" t="n">
        <v>6715.64</v>
      </c>
      <c r="J477" t="inlineStr">
        <is>
          <t>Created MTR-IOS-0476 and correlation note visible in Activity/Pulse</t>
        </is>
      </c>
      <c r="K477" t="inlineStr">
        <is>
          <t>NOT_RUN</t>
        </is>
      </c>
      <c r="P477" t="n">
        <v>0</v>
      </c>
      <c r="Q477" t="n">
        <v>476</v>
      </c>
    </row>
    <row r="478">
      <c r="A478" t="n">
        <v>477</v>
      </c>
      <c r="B478" t="inlineStr">
        <is>
          <t>MTR-IOS-0477</t>
        </is>
      </c>
      <c r="C478" t="inlineStr">
        <is>
          <t>iPhone</t>
        </is>
      </c>
      <c r="D478" t="inlineStr">
        <is>
          <t>Business</t>
        </is>
      </c>
      <c r="E478" t="inlineStr">
        <is>
          <t>Business</t>
        </is>
      </c>
      <c r="F478" t="inlineStr">
        <is>
          <t>Business Runway</t>
        </is>
      </c>
      <c r="G478" t="inlineStr">
        <is>
          <t>Loan</t>
        </is>
      </c>
      <c r="H478" t="inlineStr">
        <is>
          <t>Business &gt; Business Runway &gt; Quick Add &gt; Loan</t>
        </is>
      </c>
      <c r="I478" s="18" t="n">
        <v>37323.2</v>
      </c>
      <c r="J478" t="inlineStr">
        <is>
          <t>Created MTR-IOS-0477 and correlation note visible in Activity/Pulse</t>
        </is>
      </c>
      <c r="K478" t="inlineStr">
        <is>
          <t>NOT_RUN</t>
        </is>
      </c>
      <c r="P478" t="n">
        <v>0</v>
      </c>
      <c r="Q478" t="n">
        <v>477</v>
      </c>
    </row>
    <row r="479">
      <c r="A479" t="n">
        <v>478</v>
      </c>
      <c r="B479" t="inlineStr">
        <is>
          <t>MTR-IOS-0478</t>
        </is>
      </c>
      <c r="C479" t="inlineStr">
        <is>
          <t>iPhone</t>
        </is>
      </c>
      <c r="D479" t="inlineStr">
        <is>
          <t>Personal</t>
        </is>
      </c>
      <c r="E479" t="inlineStr">
        <is>
          <t>Personal</t>
        </is>
      </c>
      <c r="F479" t="inlineStr">
        <is>
          <t>Relationships</t>
        </is>
      </c>
      <c r="G479" t="inlineStr">
        <is>
          <t>Friends</t>
        </is>
      </c>
      <c r="H479" t="inlineStr">
        <is>
          <t>Personal &gt; Relationships &gt; Quick Add &gt; Friends</t>
        </is>
      </c>
      <c r="I479" s="18" t="n">
        <v>3430.69</v>
      </c>
      <c r="J479" t="inlineStr">
        <is>
          <t>Created MTR-IOS-0478 and correlation note visible in Activity/Pulse</t>
        </is>
      </c>
      <c r="K479" t="inlineStr">
        <is>
          <t>NOT_RUN</t>
        </is>
      </c>
      <c r="P479" t="n">
        <v>0</v>
      </c>
      <c r="Q479" t="n">
        <v>478</v>
      </c>
    </row>
    <row r="480">
      <c r="A480" t="n">
        <v>479</v>
      </c>
      <c r="B480" t="inlineStr">
        <is>
          <t>MTR-IOS-0479</t>
        </is>
      </c>
      <c r="C480" t="inlineStr">
        <is>
          <t>iPhone</t>
        </is>
      </c>
      <c r="D480" t="inlineStr">
        <is>
          <t>Group</t>
        </is>
      </c>
      <c r="E480" t="inlineStr">
        <is>
          <t>Shared Living</t>
        </is>
      </c>
      <c r="F480" t="inlineStr">
        <is>
          <t>Flatmates</t>
        </is>
      </c>
      <c r="G480" t="inlineStr">
        <is>
          <t>House Supplies</t>
        </is>
      </c>
      <c r="H480" t="inlineStr">
        <is>
          <t>Group &gt; Flatmates &gt; Quick Add &gt; House Supplies</t>
        </is>
      </c>
      <c r="I480" s="18" t="n">
        <v>10908.23</v>
      </c>
      <c r="J480" t="inlineStr">
        <is>
          <t>Created MTR-IOS-0479 and correlation note visible in Activity/Pulse</t>
        </is>
      </c>
      <c r="K480" t="inlineStr">
        <is>
          <t>NOT_RUN</t>
        </is>
      </c>
      <c r="P480" t="n">
        <v>0</v>
      </c>
      <c r="Q480" t="n">
        <v>479</v>
      </c>
    </row>
    <row r="481">
      <c r="A481" t="n">
        <v>480</v>
      </c>
      <c r="B481" t="inlineStr">
        <is>
          <t>MTR-IOS-0480</t>
        </is>
      </c>
      <c r="C481" t="inlineStr">
        <is>
          <t>iPhone</t>
        </is>
      </c>
      <c r="D481" t="inlineStr">
        <is>
          <t>Business</t>
        </is>
      </c>
      <c r="E481" t="inlineStr">
        <is>
          <t>Business</t>
        </is>
      </c>
      <c r="F481" t="inlineStr">
        <is>
          <t>Business Runway</t>
        </is>
      </c>
      <c r="G481" t="inlineStr">
        <is>
          <t>Investment</t>
        </is>
      </c>
      <c r="H481" t="inlineStr">
        <is>
          <t>Business &gt; Business Runway &gt; Quick Add &gt; Investment</t>
        </is>
      </c>
      <c r="I481" s="18" t="n">
        <v>2009.12</v>
      </c>
      <c r="J481" t="inlineStr">
        <is>
          <t>Created MTR-IOS-0480 and correlation note visible in Activity/Pulse</t>
        </is>
      </c>
      <c r="K481" t="inlineStr">
        <is>
          <t>NOT_RUN</t>
        </is>
      </c>
      <c r="P481" t="n">
        <v>0</v>
      </c>
      <c r="Q481" t="n">
        <v>480</v>
      </c>
    </row>
    <row r="482">
      <c r="A482" t="n">
        <v>481</v>
      </c>
      <c r="B482" t="inlineStr">
        <is>
          <t>MTR-IOS-0481</t>
        </is>
      </c>
      <c r="C482" t="inlineStr">
        <is>
          <t>iPhone</t>
        </is>
      </c>
      <c r="D482" t="inlineStr">
        <is>
          <t>Personal</t>
        </is>
      </c>
      <c r="E482" t="inlineStr">
        <is>
          <t>Personal</t>
        </is>
      </c>
      <c r="F482" t="inlineStr">
        <is>
          <t>Relationships</t>
        </is>
      </c>
      <c r="G482" t="inlineStr">
        <is>
          <t>Celebrations</t>
        </is>
      </c>
      <c r="H482" t="inlineStr">
        <is>
          <t>Personal &gt; Relationships &gt; Quick Add &gt; Celebrations</t>
        </is>
      </c>
      <c r="I482" s="18" t="n">
        <v>1</v>
      </c>
      <c r="J482" t="inlineStr">
        <is>
          <t>Created MTR-IOS-0481 and correlation note visible in Activity/Pulse</t>
        </is>
      </c>
      <c r="K482" t="inlineStr">
        <is>
          <t>NOT_RUN</t>
        </is>
      </c>
      <c r="P482" t="n">
        <v>0</v>
      </c>
      <c r="Q482" t="n">
        <v>481</v>
      </c>
    </row>
    <row r="483">
      <c r="A483" t="n">
        <v>482</v>
      </c>
      <c r="B483" t="inlineStr">
        <is>
          <t>MTR-IOS-0482</t>
        </is>
      </c>
      <c r="C483" t="inlineStr">
        <is>
          <t>iPhone</t>
        </is>
      </c>
      <c r="D483" t="inlineStr">
        <is>
          <t>Group</t>
        </is>
      </c>
      <c r="E483" t="inlineStr">
        <is>
          <t>Shared Living</t>
        </is>
      </c>
      <c r="F483" t="inlineStr">
        <is>
          <t>Flatmates</t>
        </is>
      </c>
      <c r="G483" t="inlineStr">
        <is>
          <t>Repairs</t>
        </is>
      </c>
      <c r="H483" t="inlineStr">
        <is>
          <t>Group &gt; Flatmates &gt; Quick Add &gt; Repairs</t>
        </is>
      </c>
      <c r="I483" s="18" t="n">
        <v>20617.72</v>
      </c>
      <c r="J483" t="inlineStr">
        <is>
          <t>Created MTR-IOS-0482 and correlation note visible in Activity/Pulse</t>
        </is>
      </c>
      <c r="K483" t="inlineStr">
        <is>
          <t>NOT_RUN</t>
        </is>
      </c>
      <c r="P483" t="n">
        <v>0</v>
      </c>
      <c r="Q483" t="n">
        <v>482</v>
      </c>
    </row>
    <row r="484">
      <c r="A484" t="n">
        <v>483</v>
      </c>
      <c r="B484" t="inlineStr">
        <is>
          <t>MTR-IOS-0483</t>
        </is>
      </c>
      <c r="C484" t="inlineStr">
        <is>
          <t>iPhone</t>
        </is>
      </c>
      <c r="D484" t="inlineStr">
        <is>
          <t>Business</t>
        </is>
      </c>
      <c r="E484" t="inlineStr">
        <is>
          <t>Business</t>
        </is>
      </c>
      <c r="F484" t="inlineStr">
        <is>
          <t>Business Operations</t>
        </is>
      </c>
      <c r="G484" t="inlineStr">
        <is>
          <t>Software</t>
        </is>
      </c>
      <c r="H484" t="inlineStr">
        <is>
          <t>Business &gt; Business Operations &gt; Quick Add &gt; Software</t>
        </is>
      </c>
      <c r="I484" s="18" t="n">
        <v>152674.27</v>
      </c>
      <c r="J484" t="inlineStr">
        <is>
          <t>Created MTR-IOS-0483 and correlation note visible in Activity/Pulse</t>
        </is>
      </c>
      <c r="K484" t="inlineStr">
        <is>
          <t>NOT_RUN</t>
        </is>
      </c>
      <c r="P484" t="n">
        <v>0</v>
      </c>
      <c r="Q484" t="n">
        <v>483</v>
      </c>
    </row>
    <row r="485">
      <c r="A485" t="n">
        <v>484</v>
      </c>
      <c r="B485" t="inlineStr">
        <is>
          <t>MTR-IOS-0484</t>
        </is>
      </c>
      <c r="C485" t="inlineStr">
        <is>
          <t>iPhone</t>
        </is>
      </c>
      <c r="D485" t="inlineStr">
        <is>
          <t>Personal</t>
        </is>
      </c>
      <c r="E485" t="inlineStr">
        <is>
          <t>Personal</t>
        </is>
      </c>
      <c r="F485" t="inlineStr">
        <is>
          <t>Life Operations</t>
        </is>
      </c>
      <c r="G485" t="inlineStr">
        <is>
          <t>Groceries</t>
        </is>
      </c>
      <c r="H485" t="inlineStr">
        <is>
          <t>Personal &gt; Life Operations &gt; Quick Add &gt; Groceries</t>
        </is>
      </c>
      <c r="I485" s="18" t="n">
        <v>9335.51</v>
      </c>
      <c r="J485" t="inlineStr">
        <is>
          <t>Created MTR-IOS-0484 and correlation note visible in Activity/Pulse</t>
        </is>
      </c>
      <c r="K485" t="inlineStr">
        <is>
          <t>NOT_RUN</t>
        </is>
      </c>
      <c r="P485" t="n">
        <v>0</v>
      </c>
      <c r="Q485" t="n">
        <v>484</v>
      </c>
    </row>
    <row r="486">
      <c r="A486" t="n">
        <v>485</v>
      </c>
      <c r="B486" t="inlineStr">
        <is>
          <t>MTR-IOS-0485</t>
        </is>
      </c>
      <c r="C486" t="inlineStr">
        <is>
          <t>iPhone</t>
        </is>
      </c>
      <c r="D486" t="inlineStr">
        <is>
          <t>Group</t>
        </is>
      </c>
      <c r="E486" t="inlineStr">
        <is>
          <t>Shared Living</t>
        </is>
      </c>
      <c r="F486" t="inlineStr">
        <is>
          <t>Shared Living</t>
        </is>
      </c>
      <c r="G486" t="inlineStr">
        <is>
          <t>Rent</t>
        </is>
      </c>
      <c r="H486" t="inlineStr">
        <is>
          <t>Group &gt; Shared Living &gt; Quick Add &gt; Rent</t>
        </is>
      </c>
      <c r="I486" s="18" t="n">
        <v>21822.95</v>
      </c>
      <c r="J486" t="inlineStr">
        <is>
          <t>Created MTR-IOS-0485 and correlation note visible in Activity/Pulse</t>
        </is>
      </c>
      <c r="K486" t="inlineStr">
        <is>
          <t>NOT_RUN</t>
        </is>
      </c>
      <c r="P486" t="n">
        <v>0</v>
      </c>
      <c r="Q486" t="n">
        <v>485</v>
      </c>
    </row>
    <row r="487">
      <c r="A487" t="n">
        <v>486</v>
      </c>
      <c r="B487" t="inlineStr">
        <is>
          <t>MTR-IOS-0486</t>
        </is>
      </c>
      <c r="C487" t="inlineStr">
        <is>
          <t>iPhone</t>
        </is>
      </c>
      <c r="D487" t="inlineStr">
        <is>
          <t>Business</t>
        </is>
      </c>
      <c r="E487" t="inlineStr">
        <is>
          <t>Business</t>
        </is>
      </c>
      <c r="F487" t="inlineStr">
        <is>
          <t>Business Operations</t>
        </is>
      </c>
      <c r="G487" t="inlineStr">
        <is>
          <t>Rent</t>
        </is>
      </c>
      <c r="H487" t="inlineStr">
        <is>
          <t>Business &gt; Business Operations &gt; Quick Add &gt; Rent</t>
        </is>
      </c>
      <c r="I487" s="18" t="n">
        <v>127892.09</v>
      </c>
      <c r="J487" t="inlineStr">
        <is>
          <t>Created MTR-IOS-0486 and correlation note visible in Activity/Pulse</t>
        </is>
      </c>
      <c r="K487" t="inlineStr">
        <is>
          <t>NOT_RUN</t>
        </is>
      </c>
      <c r="P487" t="n">
        <v>0</v>
      </c>
      <c r="Q487" t="n">
        <v>486</v>
      </c>
    </row>
    <row r="488">
      <c r="A488" t="n">
        <v>487</v>
      </c>
      <c r="B488" t="inlineStr">
        <is>
          <t>MTR-IOS-0487</t>
        </is>
      </c>
      <c r="C488" t="inlineStr">
        <is>
          <t>iPhone</t>
        </is>
      </c>
      <c r="D488" t="inlineStr">
        <is>
          <t>Personal</t>
        </is>
      </c>
      <c r="E488" t="inlineStr">
        <is>
          <t>Personal</t>
        </is>
      </c>
      <c r="F488" t="inlineStr">
        <is>
          <t>Life Operations</t>
        </is>
      </c>
      <c r="G488" t="inlineStr">
        <is>
          <t>Rent</t>
        </is>
      </c>
      <c r="H488" t="inlineStr">
        <is>
          <t>Personal &gt; Life Operations &gt; Quick Add &gt; Rent</t>
        </is>
      </c>
      <c r="I488" s="18" t="n">
        <v>1946.89</v>
      </c>
      <c r="J488" t="inlineStr">
        <is>
          <t>Created MTR-IOS-0487 and correlation note visible in Activity/Pulse</t>
        </is>
      </c>
      <c r="K488" t="inlineStr">
        <is>
          <t>NOT_RUN</t>
        </is>
      </c>
      <c r="P488" t="n">
        <v>0</v>
      </c>
      <c r="Q488" t="n">
        <v>487</v>
      </c>
    </row>
    <row r="489">
      <c r="A489" t="n">
        <v>488</v>
      </c>
      <c r="B489" t="inlineStr">
        <is>
          <t>MTR-IOS-0488</t>
        </is>
      </c>
      <c r="C489" t="inlineStr">
        <is>
          <t>iPhone</t>
        </is>
      </c>
      <c r="D489" t="inlineStr">
        <is>
          <t>Group</t>
        </is>
      </c>
      <c r="E489" t="inlineStr">
        <is>
          <t>Shared Living</t>
        </is>
      </c>
      <c r="F489" t="inlineStr">
        <is>
          <t>Shared Living</t>
        </is>
      </c>
      <c r="G489" t="inlineStr">
        <is>
          <t>Utilities</t>
        </is>
      </c>
      <c r="H489" t="inlineStr">
        <is>
          <t>Group &gt; Shared Living &gt; Quick Add &gt; Utilities</t>
        </is>
      </c>
      <c r="I489" s="18" t="n">
        <v>5684.17</v>
      </c>
      <c r="J489" t="inlineStr">
        <is>
          <t>Created MTR-IOS-0488 and correlation note visible in Activity/Pulse</t>
        </is>
      </c>
      <c r="K489" t="inlineStr">
        <is>
          <t>NOT_RUN</t>
        </is>
      </c>
      <c r="P489" t="n">
        <v>0</v>
      </c>
      <c r="Q489" t="n">
        <v>488</v>
      </c>
    </row>
    <row r="490">
      <c r="A490" t="n">
        <v>489</v>
      </c>
      <c r="B490" t="inlineStr">
        <is>
          <t>MTR-IOS-0489</t>
        </is>
      </c>
      <c r="C490" t="inlineStr">
        <is>
          <t>iPhone</t>
        </is>
      </c>
      <c r="D490" t="inlineStr">
        <is>
          <t>Business</t>
        </is>
      </c>
      <c r="E490" t="inlineStr">
        <is>
          <t>Business</t>
        </is>
      </c>
      <c r="F490" t="inlineStr">
        <is>
          <t>Business Operations</t>
        </is>
      </c>
      <c r="G490" t="inlineStr">
        <is>
          <t>Marketing</t>
        </is>
      </c>
      <c r="H490" t="inlineStr">
        <is>
          <t>Business &gt; Business Operations &gt; Quick Add &gt; Marketing</t>
        </is>
      </c>
      <c r="I490" s="18" t="n">
        <v>95540.03999999999</v>
      </c>
      <c r="J490" t="inlineStr">
        <is>
          <t>Created MTR-IOS-0489 and correlation note visible in Activity/Pulse</t>
        </is>
      </c>
      <c r="K490" t="inlineStr">
        <is>
          <t>NOT_RUN</t>
        </is>
      </c>
      <c r="P490" t="n">
        <v>0</v>
      </c>
      <c r="Q490" t="n">
        <v>489</v>
      </c>
    </row>
    <row r="491">
      <c r="A491" t="n">
        <v>490</v>
      </c>
      <c r="B491" t="inlineStr">
        <is>
          <t>MTR-IOS-0490</t>
        </is>
      </c>
      <c r="C491" t="inlineStr">
        <is>
          <t>iPhone</t>
        </is>
      </c>
      <c r="D491" t="inlineStr">
        <is>
          <t>Personal</t>
        </is>
      </c>
      <c r="E491" t="inlineStr">
        <is>
          <t>Personal</t>
        </is>
      </c>
      <c r="F491" t="inlineStr">
        <is>
          <t>Life Operations</t>
        </is>
      </c>
      <c r="G491" t="inlineStr">
        <is>
          <t>Bills</t>
        </is>
      </c>
      <c r="H491" t="inlineStr">
        <is>
          <t>Personal &gt; Life Operations &gt; Quick Add &gt; Bills</t>
        </is>
      </c>
      <c r="I491" s="18" t="n">
        <v>11090.5</v>
      </c>
      <c r="J491" t="inlineStr">
        <is>
          <t>Created MTR-IOS-0490 and correlation note visible in Activity/Pulse</t>
        </is>
      </c>
      <c r="K491" t="inlineStr">
        <is>
          <t>NOT_RUN</t>
        </is>
      </c>
      <c r="P491" t="n">
        <v>0</v>
      </c>
      <c r="Q491" t="n">
        <v>490</v>
      </c>
    </row>
    <row r="492">
      <c r="A492" t="n">
        <v>491</v>
      </c>
      <c r="B492" t="inlineStr">
        <is>
          <t>MTR-IOS-0491</t>
        </is>
      </c>
      <c r="C492" t="inlineStr">
        <is>
          <t>iPhone</t>
        </is>
      </c>
      <c r="D492" t="inlineStr">
        <is>
          <t>Group</t>
        </is>
      </c>
      <c r="E492" t="inlineStr">
        <is>
          <t>Shared Living</t>
        </is>
      </c>
      <c r="F492" t="inlineStr">
        <is>
          <t>Shared Living</t>
        </is>
      </c>
      <c r="G492" t="inlineStr">
        <is>
          <t>Groceries</t>
        </is>
      </c>
      <c r="H492" t="inlineStr">
        <is>
          <t>Group &gt; Shared Living &gt; Quick Add &gt; Groceries</t>
        </is>
      </c>
      <c r="I492" s="18" t="n">
        <v>17985.42</v>
      </c>
      <c r="J492" t="inlineStr">
        <is>
          <t>Created MTR-IOS-0491 and correlation note visible in Activity/Pulse</t>
        </is>
      </c>
      <c r="K492" t="inlineStr">
        <is>
          <t>NOT_RUN</t>
        </is>
      </c>
      <c r="P492" t="n">
        <v>0</v>
      </c>
      <c r="Q492" t="n">
        <v>491</v>
      </c>
    </row>
    <row r="493">
      <c r="A493" t="n">
        <v>492</v>
      </c>
      <c r="B493" t="inlineStr">
        <is>
          <t>MTR-IOS-0492</t>
        </is>
      </c>
      <c r="C493" t="inlineStr">
        <is>
          <t>iPhone</t>
        </is>
      </c>
      <c r="D493" t="inlineStr">
        <is>
          <t>Business</t>
        </is>
      </c>
      <c r="E493" t="inlineStr">
        <is>
          <t>Business</t>
        </is>
      </c>
      <c r="F493" t="inlineStr">
        <is>
          <t>Business Operations</t>
        </is>
      </c>
      <c r="G493" t="inlineStr">
        <is>
          <t>Legal</t>
        </is>
      </c>
      <c r="H493" t="inlineStr">
        <is>
          <t>Business &gt; Business Operations &gt; Quick Add &gt; Legal</t>
        </is>
      </c>
      <c r="I493" s="18" t="n">
        <v>144921.79</v>
      </c>
      <c r="J493" t="inlineStr">
        <is>
          <t>Created MTR-IOS-0492 and correlation note visible in Activity/Pulse</t>
        </is>
      </c>
      <c r="K493" t="inlineStr">
        <is>
          <t>NOT_RUN</t>
        </is>
      </c>
      <c r="P493" t="n">
        <v>0</v>
      </c>
      <c r="Q493" t="n">
        <v>492</v>
      </c>
    </row>
    <row r="494">
      <c r="A494" t="n">
        <v>493</v>
      </c>
      <c r="B494" t="inlineStr">
        <is>
          <t>MTR-IOS-0493</t>
        </is>
      </c>
      <c r="C494" t="inlineStr">
        <is>
          <t>iPhone</t>
        </is>
      </c>
      <c r="D494" t="inlineStr">
        <is>
          <t>Personal</t>
        </is>
      </c>
      <c r="E494" t="inlineStr">
        <is>
          <t>Personal</t>
        </is>
      </c>
      <c r="F494" t="inlineStr">
        <is>
          <t>Life Operations</t>
        </is>
      </c>
      <c r="G494" t="inlineStr">
        <is>
          <t>Transport</t>
        </is>
      </c>
      <c r="H494" t="inlineStr">
        <is>
          <t>Personal &gt; Life Operations &gt; Quick Add &gt; Transport</t>
        </is>
      </c>
      <c r="I494" s="18" t="n">
        <v>5940.29</v>
      </c>
      <c r="J494" t="inlineStr">
        <is>
          <t>Created MTR-IOS-0493 and correlation note visible in Activity/Pulse</t>
        </is>
      </c>
      <c r="K494" t="inlineStr">
        <is>
          <t>NOT_RUN</t>
        </is>
      </c>
      <c r="P494" t="n">
        <v>0</v>
      </c>
      <c r="Q494" t="n">
        <v>493</v>
      </c>
    </row>
    <row r="495">
      <c r="A495" t="n">
        <v>494</v>
      </c>
      <c r="B495" t="inlineStr">
        <is>
          <t>MTR-IOS-0494</t>
        </is>
      </c>
      <c r="C495" t="inlineStr">
        <is>
          <t>iPhone</t>
        </is>
      </c>
      <c r="D495" t="inlineStr">
        <is>
          <t>Group</t>
        </is>
      </c>
      <c r="E495" t="inlineStr">
        <is>
          <t>Shared Living</t>
        </is>
      </c>
      <c r="F495" t="inlineStr">
        <is>
          <t>Shared Living</t>
        </is>
      </c>
      <c r="G495" t="inlineStr">
        <is>
          <t>Maintenance</t>
        </is>
      </c>
      <c r="H495" t="inlineStr">
        <is>
          <t>Group &gt; Shared Living &gt; Quick Add &gt; Maintenance</t>
        </is>
      </c>
      <c r="I495" s="18" t="n">
        <v>10322.21</v>
      </c>
      <c r="J495" t="inlineStr">
        <is>
          <t>Created MTR-IOS-0494 and correlation note visible in Activity/Pulse</t>
        </is>
      </c>
      <c r="K495" t="inlineStr">
        <is>
          <t>NOT_RUN</t>
        </is>
      </c>
      <c r="P495" t="n">
        <v>0</v>
      </c>
      <c r="Q495" t="n">
        <v>494</v>
      </c>
    </row>
    <row r="496">
      <c r="A496" t="n">
        <v>495</v>
      </c>
      <c r="B496" t="inlineStr">
        <is>
          <t>MTR-IOS-0495</t>
        </is>
      </c>
      <c r="C496" t="inlineStr">
        <is>
          <t>iPhone</t>
        </is>
      </c>
      <c r="D496" t="inlineStr">
        <is>
          <t>Business</t>
        </is>
      </c>
      <c r="E496" t="inlineStr">
        <is>
          <t>Business</t>
        </is>
      </c>
      <c r="F496" t="inlineStr">
        <is>
          <t>Business Operations</t>
        </is>
      </c>
      <c r="G496" t="inlineStr">
        <is>
          <t>Accounting</t>
        </is>
      </c>
      <c r="H496" t="inlineStr">
        <is>
          <t>Business &gt; Business Operations &gt; Quick Add &gt; Accounting</t>
        </is>
      </c>
      <c r="I496" s="18" t="n">
        <v>104100.75</v>
      </c>
      <c r="J496" t="inlineStr">
        <is>
          <t>Created MTR-IOS-0495 and correlation note visible in Activity/Pulse</t>
        </is>
      </c>
      <c r="K496" t="inlineStr">
        <is>
          <t>NOT_RUN</t>
        </is>
      </c>
      <c r="P496" t="n">
        <v>0</v>
      </c>
      <c r="Q496" t="n">
        <v>495</v>
      </c>
    </row>
    <row r="497">
      <c r="A497" t="n">
        <v>496</v>
      </c>
      <c r="B497" t="inlineStr">
        <is>
          <t>MTR-IOS-0496</t>
        </is>
      </c>
      <c r="C497" t="inlineStr">
        <is>
          <t>iPhone</t>
        </is>
      </c>
      <c r="D497" t="inlineStr">
        <is>
          <t>Personal</t>
        </is>
      </c>
      <c r="E497" t="inlineStr">
        <is>
          <t>Personal</t>
        </is>
      </c>
      <c r="F497" t="inlineStr">
        <is>
          <t>Life Operations</t>
        </is>
      </c>
      <c r="G497" t="inlineStr">
        <is>
          <t>Healthcare</t>
        </is>
      </c>
      <c r="H497" t="inlineStr">
        <is>
          <t>Personal &gt; Life Operations &gt; Quick Add &gt; Healthcare</t>
        </is>
      </c>
      <c r="I497" s="18" t="n">
        <v>2920.77</v>
      </c>
      <c r="J497" t="inlineStr">
        <is>
          <t>Created MTR-IOS-0496 and correlation note visible in Activity/Pulse</t>
        </is>
      </c>
      <c r="K497" t="inlineStr">
        <is>
          <t>NOT_RUN</t>
        </is>
      </c>
      <c r="P497" t="n">
        <v>0</v>
      </c>
      <c r="Q497" t="n">
        <v>496</v>
      </c>
    </row>
    <row r="498">
      <c r="A498" t="n">
        <v>497</v>
      </c>
      <c r="B498" t="inlineStr">
        <is>
          <t>MTR-IOS-0497</t>
        </is>
      </c>
      <c r="C498" t="inlineStr">
        <is>
          <t>iPhone</t>
        </is>
      </c>
      <c r="D498" t="inlineStr">
        <is>
          <t>Group</t>
        </is>
      </c>
      <c r="E498" t="inlineStr">
        <is>
          <t>Shared Living</t>
        </is>
      </c>
      <c r="F498" t="inlineStr">
        <is>
          <t>Shared Living</t>
        </is>
      </c>
      <c r="G498" t="inlineStr">
        <is>
          <t>Other</t>
        </is>
      </c>
      <c r="H498" t="inlineStr">
        <is>
          <t>Group &gt; Shared Living &gt; Quick Add &gt; Other</t>
        </is>
      </c>
      <c r="I498" s="18" t="n">
        <v>24598.59</v>
      </c>
      <c r="J498" t="inlineStr">
        <is>
          <t>Created MTR-IOS-0497 and correlation note visible in Activity/Pulse</t>
        </is>
      </c>
      <c r="K498" t="inlineStr">
        <is>
          <t>NOT_RUN</t>
        </is>
      </c>
      <c r="P498" t="n">
        <v>0</v>
      </c>
      <c r="Q498" t="n">
        <v>497</v>
      </c>
    </row>
    <row r="499">
      <c r="A499" t="n">
        <v>498</v>
      </c>
      <c r="B499" t="inlineStr">
        <is>
          <t>MTR-IOS-0498</t>
        </is>
      </c>
      <c r="C499" t="inlineStr">
        <is>
          <t>iPhone</t>
        </is>
      </c>
      <c r="D499" t="inlineStr">
        <is>
          <t>Business</t>
        </is>
      </c>
      <c r="E499" t="inlineStr">
        <is>
          <t>Business</t>
        </is>
      </c>
      <c r="F499" t="inlineStr">
        <is>
          <t>Business Operations</t>
        </is>
      </c>
      <c r="G499" t="inlineStr">
        <is>
          <t>Equipment</t>
        </is>
      </c>
      <c r="H499" t="inlineStr">
        <is>
          <t>Business &gt; Business Operations &gt; Quick Add &gt; Equipment</t>
        </is>
      </c>
      <c r="I499" s="18" t="n">
        <v>88583.41</v>
      </c>
      <c r="J499" t="inlineStr">
        <is>
          <t>Created MTR-IOS-0498 and correlation note visible in Activity/Pulse</t>
        </is>
      </c>
      <c r="K499" t="inlineStr">
        <is>
          <t>NOT_RUN</t>
        </is>
      </c>
      <c r="P499" t="n">
        <v>0</v>
      </c>
      <c r="Q499" t="n">
        <v>498</v>
      </c>
    </row>
    <row r="500">
      <c r="A500" t="n">
        <v>499</v>
      </c>
      <c r="B500" t="inlineStr">
        <is>
          <t>MTR-IOS-0499</t>
        </is>
      </c>
      <c r="C500" t="inlineStr">
        <is>
          <t>iPhone</t>
        </is>
      </c>
      <c r="D500" t="inlineStr">
        <is>
          <t>Personal</t>
        </is>
      </c>
      <c r="E500" t="inlineStr">
        <is>
          <t>Personal</t>
        </is>
      </c>
      <c r="F500" t="inlineStr">
        <is>
          <t>Life Operations</t>
        </is>
      </c>
      <c r="G500" t="inlineStr">
        <is>
          <t>Subscriptions</t>
        </is>
      </c>
      <c r="H500" t="inlineStr">
        <is>
          <t>Personal &gt; Life Operations &gt; Quick Add &gt; Subscriptions</t>
        </is>
      </c>
      <c r="I500" s="18" t="n">
        <v>7948.26</v>
      </c>
      <c r="J500" t="inlineStr">
        <is>
          <t>Created MTR-IOS-0499 and correlation note visible in Activity/Pulse</t>
        </is>
      </c>
      <c r="K500" t="inlineStr">
        <is>
          <t>NOT_RUN</t>
        </is>
      </c>
      <c r="P500" t="n">
        <v>0</v>
      </c>
      <c r="Q500" t="n">
        <v>499</v>
      </c>
    </row>
    <row r="501">
      <c r="A501" t="n">
        <v>500</v>
      </c>
      <c r="B501" t="inlineStr">
        <is>
          <t>MTR-IOS-0500</t>
        </is>
      </c>
      <c r="C501" t="inlineStr">
        <is>
          <t>iPhone</t>
        </is>
      </c>
      <c r="D501" t="inlineStr">
        <is>
          <t>Group</t>
        </is>
      </c>
      <c r="E501" t="inlineStr">
        <is>
          <t>Shared Living</t>
        </is>
      </c>
      <c r="F501" t="inlineStr">
        <is>
          <t>Family Household</t>
        </is>
      </c>
      <c r="G501" t="inlineStr">
        <is>
          <t>Groceries</t>
        </is>
      </c>
      <c r="H501" t="inlineStr">
        <is>
          <t>Group &gt; Family Household &gt; Quick Add &gt; Groceries</t>
        </is>
      </c>
      <c r="I501" s="18" t="n">
        <v>6277.82</v>
      </c>
      <c r="J501" t="inlineStr">
        <is>
          <t>Created MTR-IOS-0500 and correlation note visible in Activity/Pulse</t>
        </is>
      </c>
      <c r="K501" t="inlineStr">
        <is>
          <t>NOT_RUN</t>
        </is>
      </c>
      <c r="P501" t="n">
        <v>0</v>
      </c>
      <c r="Q501" t="n">
        <v>500</v>
      </c>
    </row>
    <row r="502">
      <c r="A502" t="n">
        <v>501</v>
      </c>
      <c r="B502" t="inlineStr">
        <is>
          <t>MTR-IOS-0501</t>
        </is>
      </c>
      <c r="C502" t="inlineStr">
        <is>
          <t>iPhone</t>
        </is>
      </c>
      <c r="D502" t="inlineStr">
        <is>
          <t>Business</t>
        </is>
      </c>
      <c r="E502" t="inlineStr">
        <is>
          <t>Business</t>
        </is>
      </c>
      <c r="F502" t="inlineStr">
        <is>
          <t>Business Operations</t>
        </is>
      </c>
      <c r="G502" t="inlineStr">
        <is>
          <t>Vendor</t>
        </is>
      </c>
      <c r="H502" t="inlineStr">
        <is>
          <t>Business &gt; Business Operations &gt; Quick Add &gt; Vendor</t>
        </is>
      </c>
      <c r="I502" s="18" t="n">
        <v>149924.95</v>
      </c>
      <c r="J502" t="inlineStr">
        <is>
          <t>Created MTR-IOS-0501 and correlation note visible in Activity/Pulse</t>
        </is>
      </c>
      <c r="K502" t="inlineStr">
        <is>
          <t>NOT_RUN</t>
        </is>
      </c>
      <c r="P502" t="n">
        <v>0</v>
      </c>
      <c r="Q502" t="n">
        <v>501</v>
      </c>
    </row>
    <row r="503">
      <c r="A503" t="n">
        <v>502</v>
      </c>
      <c r="B503" t="inlineStr">
        <is>
          <t>MTR-IOS-0502</t>
        </is>
      </c>
      <c r="C503" t="inlineStr">
        <is>
          <t>iPhone</t>
        </is>
      </c>
      <c r="D503" t="inlineStr">
        <is>
          <t>Personal</t>
        </is>
      </c>
      <c r="E503" t="inlineStr">
        <is>
          <t>Personal</t>
        </is>
      </c>
      <c r="F503" t="inlineStr">
        <is>
          <t>Life Operations</t>
        </is>
      </c>
      <c r="G503" t="inlineStr">
        <is>
          <t>Repairs</t>
        </is>
      </c>
      <c r="H503" t="inlineStr">
        <is>
          <t>Personal &gt; Life Operations &gt; Quick Add &gt; Repairs</t>
        </is>
      </c>
      <c r="I503" s="18" t="n">
        <v>11762.54</v>
      </c>
      <c r="J503" t="inlineStr">
        <is>
          <t>Created MTR-IOS-0502 and correlation note visible in Activity/Pulse</t>
        </is>
      </c>
      <c r="K503" t="inlineStr">
        <is>
          <t>NOT_RUN</t>
        </is>
      </c>
      <c r="P503" t="n">
        <v>0</v>
      </c>
      <c r="Q503" t="n">
        <v>502</v>
      </c>
    </row>
    <row r="504">
      <c r="A504" t="n">
        <v>503</v>
      </c>
      <c r="B504" t="inlineStr">
        <is>
          <t>MTR-IOS-0503</t>
        </is>
      </c>
      <c r="C504" t="inlineStr">
        <is>
          <t>iPhone</t>
        </is>
      </c>
      <c r="D504" t="inlineStr">
        <is>
          <t>Group</t>
        </is>
      </c>
      <c r="E504" t="inlineStr">
        <is>
          <t>Shared Living</t>
        </is>
      </c>
      <c r="F504" t="inlineStr">
        <is>
          <t>Family Household</t>
        </is>
      </c>
      <c r="G504" t="inlineStr">
        <is>
          <t>Bills</t>
        </is>
      </c>
      <c r="H504" t="inlineStr">
        <is>
          <t>Group &gt; Family Household &gt; Quick Add &gt; Bills</t>
        </is>
      </c>
      <c r="I504" s="18" t="n">
        <v>23613.28</v>
      </c>
      <c r="J504" t="inlineStr">
        <is>
          <t>Created MTR-IOS-0503 and correlation note visible in Activity/Pulse</t>
        </is>
      </c>
      <c r="K504" t="inlineStr">
        <is>
          <t>NOT_RUN</t>
        </is>
      </c>
      <c r="P504" t="n">
        <v>0</v>
      </c>
      <c r="Q504" t="n">
        <v>503</v>
      </c>
    </row>
    <row r="505">
      <c r="A505" t="n">
        <v>504</v>
      </c>
      <c r="B505" t="inlineStr">
        <is>
          <t>MTR-IOS-0504</t>
        </is>
      </c>
      <c r="C505" t="inlineStr">
        <is>
          <t>iPhone</t>
        </is>
      </c>
      <c r="D505" t="inlineStr">
        <is>
          <t>Business</t>
        </is>
      </c>
      <c r="E505" t="inlineStr">
        <is>
          <t>Business</t>
        </is>
      </c>
      <c r="F505" t="inlineStr">
        <is>
          <t>Business Operations</t>
        </is>
      </c>
      <c r="G505" t="inlineStr">
        <is>
          <t>Tax</t>
        </is>
      </c>
      <c r="H505" t="inlineStr">
        <is>
          <t>Business &gt; Business Operations &gt; Quick Add &gt; Tax</t>
        </is>
      </c>
      <c r="I505" s="18" t="n">
        <v>16856.11</v>
      </c>
      <c r="J505" t="inlineStr">
        <is>
          <t>Created MTR-IOS-0504 and correlation note visible in Activity/Pulse</t>
        </is>
      </c>
      <c r="K505" t="inlineStr">
        <is>
          <t>NOT_RUN</t>
        </is>
      </c>
      <c r="P505" t="n">
        <v>0</v>
      </c>
      <c r="Q505" t="n">
        <v>504</v>
      </c>
    </row>
    <row r="506">
      <c r="A506" t="n">
        <v>505</v>
      </c>
      <c r="B506" t="inlineStr">
        <is>
          <t>MTR-IOS-0505</t>
        </is>
      </c>
      <c r="C506" t="inlineStr">
        <is>
          <t>iPhone</t>
        </is>
      </c>
      <c r="D506" t="inlineStr">
        <is>
          <t>Personal</t>
        </is>
      </c>
      <c r="E506" t="inlineStr">
        <is>
          <t>Personal</t>
        </is>
      </c>
      <c r="F506" t="inlineStr">
        <is>
          <t>Future Building</t>
        </is>
      </c>
      <c r="G506" t="inlineStr">
        <is>
          <t>Savings</t>
        </is>
      </c>
      <c r="H506" t="inlineStr">
        <is>
          <t>Personal &gt; Future Building &gt; Quick Add &gt; Savings</t>
        </is>
      </c>
      <c r="I506" s="18" t="n">
        <v>11123.78</v>
      </c>
      <c r="J506" t="inlineStr">
        <is>
          <t>Created MTR-IOS-0505 and correlation note visible in Activity/Pulse</t>
        </is>
      </c>
      <c r="K506" t="inlineStr">
        <is>
          <t>NOT_RUN</t>
        </is>
      </c>
      <c r="P506" t="n">
        <v>0</v>
      </c>
      <c r="Q506" t="n">
        <v>505</v>
      </c>
    </row>
    <row r="507">
      <c r="A507" t="n">
        <v>506</v>
      </c>
      <c r="B507" t="inlineStr">
        <is>
          <t>MTR-IOS-0506</t>
        </is>
      </c>
      <c r="C507" t="inlineStr">
        <is>
          <t>iPhone</t>
        </is>
      </c>
      <c r="D507" t="inlineStr">
        <is>
          <t>Group</t>
        </is>
      </c>
      <c r="E507" t="inlineStr">
        <is>
          <t>Shared Living</t>
        </is>
      </c>
      <c r="F507" t="inlineStr">
        <is>
          <t>Family Household</t>
        </is>
      </c>
      <c r="G507" t="inlineStr">
        <is>
          <t>School</t>
        </is>
      </c>
      <c r="H507" t="inlineStr">
        <is>
          <t>Group &gt; Family Household &gt; Quick Add &gt; School</t>
        </is>
      </c>
      <c r="I507" s="18" t="n">
        <v>1216.54</v>
      </c>
      <c r="J507" t="inlineStr">
        <is>
          <t>Created MTR-IOS-0506 and correlation note visible in Activity/Pulse</t>
        </is>
      </c>
      <c r="K507" t="inlineStr">
        <is>
          <t>NOT_RUN</t>
        </is>
      </c>
      <c r="P507" t="n">
        <v>0</v>
      </c>
      <c r="Q507" t="n">
        <v>506</v>
      </c>
    </row>
    <row r="508">
      <c r="A508" t="n">
        <v>507</v>
      </c>
      <c r="B508" t="inlineStr">
        <is>
          <t>MTR-IOS-0507</t>
        </is>
      </c>
      <c r="C508" t="inlineStr">
        <is>
          <t>iPhone</t>
        </is>
      </c>
      <c r="D508" t="inlineStr">
        <is>
          <t>Business</t>
        </is>
      </c>
      <c r="E508" t="inlineStr">
        <is>
          <t>Business</t>
        </is>
      </c>
      <c r="F508" t="inlineStr">
        <is>
          <t>Team Operations</t>
        </is>
      </c>
      <c r="G508" t="inlineStr">
        <is>
          <t>Payroll</t>
        </is>
      </c>
      <c r="H508" t="inlineStr">
        <is>
          <t>Business &gt; Team Operations &gt; Quick Add &gt; Payroll</t>
        </is>
      </c>
      <c r="I508" s="18" t="n">
        <v>38876.26</v>
      </c>
      <c r="J508" t="inlineStr">
        <is>
          <t>Created MTR-IOS-0507 and correlation note visible in Activity/Pulse</t>
        </is>
      </c>
      <c r="K508" t="inlineStr">
        <is>
          <t>NOT_RUN</t>
        </is>
      </c>
      <c r="P508" t="n">
        <v>0</v>
      </c>
      <c r="Q508" t="n">
        <v>507</v>
      </c>
    </row>
    <row r="509">
      <c r="A509" t="n">
        <v>508</v>
      </c>
      <c r="B509" t="inlineStr">
        <is>
          <t>MTR-IOS-0508</t>
        </is>
      </c>
      <c r="C509" t="inlineStr">
        <is>
          <t>iPhone</t>
        </is>
      </c>
      <c r="D509" t="inlineStr">
        <is>
          <t>Personal</t>
        </is>
      </c>
      <c r="E509" t="inlineStr">
        <is>
          <t>Personal</t>
        </is>
      </c>
      <c r="F509" t="inlineStr">
        <is>
          <t>Future Building</t>
        </is>
      </c>
      <c r="G509" t="inlineStr">
        <is>
          <t>Emergency Fund</t>
        </is>
      </c>
      <c r="H509" t="inlineStr">
        <is>
          <t>Personal &gt; Future Building &gt; Quick Add &gt; Emergency Fund</t>
        </is>
      </c>
      <c r="I509" s="18" t="n">
        <v>4665.94</v>
      </c>
      <c r="J509" t="inlineStr">
        <is>
          <t>Created MTR-IOS-0508 and correlation note visible in Activity/Pulse</t>
        </is>
      </c>
      <c r="K509" t="inlineStr">
        <is>
          <t>NOT_RUN</t>
        </is>
      </c>
      <c r="P509" t="n">
        <v>0</v>
      </c>
      <c r="Q509" t="n">
        <v>508</v>
      </c>
    </row>
    <row r="510">
      <c r="A510" t="n">
        <v>509</v>
      </c>
      <c r="B510" t="inlineStr">
        <is>
          <t>MTR-IOS-0509</t>
        </is>
      </c>
      <c r="C510" t="inlineStr">
        <is>
          <t>iPhone</t>
        </is>
      </c>
      <c r="D510" t="inlineStr">
        <is>
          <t>Group</t>
        </is>
      </c>
      <c r="E510" t="inlineStr">
        <is>
          <t>Shared Living</t>
        </is>
      </c>
      <c r="F510" t="inlineStr">
        <is>
          <t>Family Household</t>
        </is>
      </c>
      <c r="G510" t="inlineStr">
        <is>
          <t>Healthcare</t>
        </is>
      </c>
      <c r="H510" t="inlineStr">
        <is>
          <t>Group &gt; Family Household &gt; Quick Add &gt; Healthcare</t>
        </is>
      </c>
      <c r="I510" s="18" t="n">
        <v>5220.62</v>
      </c>
      <c r="J510" t="inlineStr">
        <is>
          <t>Created MTR-IOS-0509 and correlation note visible in Activity/Pulse</t>
        </is>
      </c>
      <c r="K510" t="inlineStr">
        <is>
          <t>NOT_RUN</t>
        </is>
      </c>
      <c r="P510" t="n">
        <v>0</v>
      </c>
      <c r="Q510" t="n">
        <v>509</v>
      </c>
    </row>
    <row r="511">
      <c r="A511" t="n">
        <v>510</v>
      </c>
      <c r="B511" t="inlineStr">
        <is>
          <t>MTR-IOS-0510</t>
        </is>
      </c>
      <c r="C511" t="inlineStr">
        <is>
          <t>iPhone</t>
        </is>
      </c>
      <c r="D511" t="inlineStr">
        <is>
          <t>Business</t>
        </is>
      </c>
      <c r="E511" t="inlineStr">
        <is>
          <t>Business</t>
        </is>
      </c>
      <c r="F511" t="inlineStr">
        <is>
          <t>Team Operations</t>
        </is>
      </c>
      <c r="G511" t="inlineStr">
        <is>
          <t>Contractor</t>
        </is>
      </c>
      <c r="H511" t="inlineStr">
        <is>
          <t>Business &gt; Team Operations &gt; Quick Add &gt; Contractor</t>
        </is>
      </c>
      <c r="I511" s="18" t="n">
        <v>104981.7</v>
      </c>
      <c r="J511" t="inlineStr">
        <is>
          <t>Created MTR-IOS-0510 and correlation note visible in Activity/Pulse</t>
        </is>
      </c>
      <c r="K511" t="inlineStr">
        <is>
          <t>NOT_RUN</t>
        </is>
      </c>
      <c r="P511" t="n">
        <v>0</v>
      </c>
      <c r="Q511" t="n">
        <v>510</v>
      </c>
    </row>
    <row r="512">
      <c r="A512" t="n">
        <v>511</v>
      </c>
      <c r="B512" t="inlineStr">
        <is>
          <t>MTR-IOS-0511</t>
        </is>
      </c>
      <c r="C512" t="inlineStr">
        <is>
          <t>iPhone</t>
        </is>
      </c>
      <c r="D512" t="inlineStr">
        <is>
          <t>Personal</t>
        </is>
      </c>
      <c r="E512" t="inlineStr">
        <is>
          <t>Personal</t>
        </is>
      </c>
      <c r="F512" t="inlineStr">
        <is>
          <t>Future Building</t>
        </is>
      </c>
      <c r="G512" t="inlineStr">
        <is>
          <t>Investments</t>
        </is>
      </c>
      <c r="H512" t="inlineStr">
        <is>
          <t>Personal &gt; Future Building &gt; Quick Add &gt; Investments</t>
        </is>
      </c>
      <c r="I512" s="18" t="n">
        <v>2402.74</v>
      </c>
      <c r="J512" t="inlineStr">
        <is>
          <t>Created MTR-IOS-0511 and correlation note visible in Activity/Pulse</t>
        </is>
      </c>
      <c r="K512" t="inlineStr">
        <is>
          <t>NOT_RUN</t>
        </is>
      </c>
      <c r="P512" t="n">
        <v>0</v>
      </c>
      <c r="Q512" t="n">
        <v>511</v>
      </c>
    </row>
    <row r="513">
      <c r="A513" t="n">
        <v>512</v>
      </c>
      <c r="B513" t="inlineStr">
        <is>
          <t>MTR-IOS-0512</t>
        </is>
      </c>
      <c r="C513" t="inlineStr">
        <is>
          <t>iPhone</t>
        </is>
      </c>
      <c r="D513" t="inlineStr">
        <is>
          <t>Group</t>
        </is>
      </c>
      <c r="E513" t="inlineStr">
        <is>
          <t>Shared Living</t>
        </is>
      </c>
      <c r="F513" t="inlineStr">
        <is>
          <t>Family Household</t>
        </is>
      </c>
      <c r="G513" t="inlineStr">
        <is>
          <t>Home</t>
        </is>
      </c>
      <c r="H513" t="inlineStr">
        <is>
          <t>Group &gt; Family Household &gt; Quick Add &gt; Home</t>
        </is>
      </c>
      <c r="I513" s="18" t="n">
        <v>951.35</v>
      </c>
      <c r="J513" t="inlineStr">
        <is>
          <t>Created MTR-IOS-0512 and correlation note visible in Activity/Pulse</t>
        </is>
      </c>
      <c r="K513" t="inlineStr">
        <is>
          <t>NOT_RUN</t>
        </is>
      </c>
      <c r="P513" t="n">
        <v>0</v>
      </c>
      <c r="Q513" t="n">
        <v>512</v>
      </c>
    </row>
    <row r="514">
      <c r="A514" t="n">
        <v>513</v>
      </c>
      <c r="B514" t="inlineStr">
        <is>
          <t>MTR-IOS-0513</t>
        </is>
      </c>
      <c r="C514" t="inlineStr">
        <is>
          <t>iPhone</t>
        </is>
      </c>
      <c r="D514" t="inlineStr">
        <is>
          <t>Business</t>
        </is>
      </c>
      <c r="E514" t="inlineStr">
        <is>
          <t>Business</t>
        </is>
      </c>
      <c r="F514" t="inlineStr">
        <is>
          <t>Team Operations</t>
        </is>
      </c>
      <c r="G514" t="inlineStr">
        <is>
          <t>Hiring</t>
        </is>
      </c>
      <c r="H514" t="inlineStr">
        <is>
          <t>Business &gt; Team Operations &gt; Quick Add &gt; Hiring</t>
        </is>
      </c>
      <c r="I514" s="18" t="n">
        <v>101116.98</v>
      </c>
      <c r="J514" t="inlineStr">
        <is>
          <t>Created MTR-IOS-0513 and correlation note visible in Activity/Pulse</t>
        </is>
      </c>
      <c r="K514" t="inlineStr">
        <is>
          <t>NOT_RUN</t>
        </is>
      </c>
      <c r="P514" t="n">
        <v>0</v>
      </c>
      <c r="Q514" t="n">
        <v>513</v>
      </c>
    </row>
    <row r="515">
      <c r="A515" t="n">
        <v>514</v>
      </c>
      <c r="B515" t="inlineStr">
        <is>
          <t>MTR-IOS-0514</t>
        </is>
      </c>
      <c r="C515" t="inlineStr">
        <is>
          <t>iPhone</t>
        </is>
      </c>
      <c r="D515" t="inlineStr">
        <is>
          <t>Personal</t>
        </is>
      </c>
      <c r="E515" t="inlineStr">
        <is>
          <t>Personal</t>
        </is>
      </c>
      <c r="F515" t="inlineStr">
        <is>
          <t>Future Building</t>
        </is>
      </c>
      <c r="G515" t="inlineStr">
        <is>
          <t>Education</t>
        </is>
      </c>
      <c r="H515" t="inlineStr">
        <is>
          <t>Personal &gt; Future Building &gt; Quick Add &gt; Education</t>
        </is>
      </c>
      <c r="I515" s="18" t="n">
        <v>17884.14</v>
      </c>
      <c r="J515" t="inlineStr">
        <is>
          <t>Created MTR-IOS-0514 and correlation note visible in Activity/Pulse</t>
        </is>
      </c>
      <c r="K515" t="inlineStr">
        <is>
          <t>NOT_RUN</t>
        </is>
      </c>
      <c r="P515" t="n">
        <v>0</v>
      </c>
      <c r="Q515" t="n">
        <v>514</v>
      </c>
    </row>
    <row r="516">
      <c r="A516" t="n">
        <v>515</v>
      </c>
      <c r="B516" t="inlineStr">
        <is>
          <t>MTR-IOS-0515</t>
        </is>
      </c>
      <c r="C516" t="inlineStr">
        <is>
          <t>iPhone</t>
        </is>
      </c>
      <c r="D516" t="inlineStr">
        <is>
          <t>Group</t>
        </is>
      </c>
      <c r="E516" t="inlineStr">
        <is>
          <t>Shared Living</t>
        </is>
      </c>
      <c r="F516" t="inlineStr">
        <is>
          <t>Family Household</t>
        </is>
      </c>
      <c r="G516" t="inlineStr">
        <is>
          <t>Other</t>
        </is>
      </c>
      <c r="H516" t="inlineStr">
        <is>
          <t>Group &gt; Family Household &gt; Quick Add &gt; Other</t>
        </is>
      </c>
      <c r="I516" s="18" t="n">
        <v>25779.67</v>
      </c>
      <c r="J516" t="inlineStr">
        <is>
          <t>Created MTR-IOS-0515 and correlation note visible in Activity/Pulse</t>
        </is>
      </c>
      <c r="K516" t="inlineStr">
        <is>
          <t>NOT_RUN</t>
        </is>
      </c>
      <c r="P516" t="n">
        <v>0</v>
      </c>
      <c r="Q516" t="n">
        <v>515</v>
      </c>
    </row>
    <row r="517">
      <c r="A517" t="n">
        <v>516</v>
      </c>
      <c r="B517" t="inlineStr">
        <is>
          <t>MTR-IOS-0516</t>
        </is>
      </c>
      <c r="C517" t="inlineStr">
        <is>
          <t>iPhone</t>
        </is>
      </c>
      <c r="D517" t="inlineStr">
        <is>
          <t>Business</t>
        </is>
      </c>
      <c r="E517" t="inlineStr">
        <is>
          <t>Business</t>
        </is>
      </c>
      <c r="F517" t="inlineStr">
        <is>
          <t>Team Operations</t>
        </is>
      </c>
      <c r="G517" t="inlineStr">
        <is>
          <t>Team Meal</t>
        </is>
      </c>
      <c r="H517" t="inlineStr">
        <is>
          <t>Business &gt; Team Operations &gt; Quick Add &gt; Team Meal</t>
        </is>
      </c>
      <c r="I517" s="18" t="n">
        <v>86653.95</v>
      </c>
      <c r="J517" t="inlineStr">
        <is>
          <t>Created MTR-IOS-0516 and correlation note visible in Activity/Pulse</t>
        </is>
      </c>
      <c r="K517" t="inlineStr">
        <is>
          <t>NOT_RUN</t>
        </is>
      </c>
      <c r="P517" t="n">
        <v>0</v>
      </c>
      <c r="Q517" t="n">
        <v>516</v>
      </c>
    </row>
    <row r="518">
      <c r="A518" t="n">
        <v>517</v>
      </c>
      <c r="B518" t="inlineStr">
        <is>
          <t>MTR-IOS-0517</t>
        </is>
      </c>
      <c r="C518" t="inlineStr">
        <is>
          <t>iPhone</t>
        </is>
      </c>
      <c r="D518" t="inlineStr">
        <is>
          <t>Personal</t>
        </is>
      </c>
      <c r="E518" t="inlineStr">
        <is>
          <t>Personal</t>
        </is>
      </c>
      <c r="F518" t="inlineStr">
        <is>
          <t>Future Building</t>
        </is>
      </c>
      <c r="G518" t="inlineStr">
        <is>
          <t>Goal Contribution</t>
        </is>
      </c>
      <c r="H518" t="inlineStr">
        <is>
          <t>Personal &gt; Future Building &gt; Quick Add &gt; Goal Contribution</t>
        </is>
      </c>
      <c r="I518" s="18" t="n">
        <v>11333.54</v>
      </c>
      <c r="J518" t="inlineStr">
        <is>
          <t>Created MTR-IOS-0517 and correlation note visible in Activity/Pulse</t>
        </is>
      </c>
      <c r="K518" t="inlineStr">
        <is>
          <t>NOT_RUN</t>
        </is>
      </c>
      <c r="P518" t="n">
        <v>0</v>
      </c>
      <c r="Q518" t="n">
        <v>517</v>
      </c>
    </row>
    <row r="519">
      <c r="A519" t="n">
        <v>518</v>
      </c>
      <c r="B519" t="inlineStr">
        <is>
          <t>MTR-IOS-0518</t>
        </is>
      </c>
      <c r="C519" t="inlineStr">
        <is>
          <t>iPhone</t>
        </is>
      </c>
      <c r="D519" t="inlineStr">
        <is>
          <t>Group</t>
        </is>
      </c>
      <c r="E519" t="inlineStr">
        <is>
          <t>Shared Living</t>
        </is>
      </c>
      <c r="F519" t="inlineStr">
        <is>
          <t>Custom Living</t>
        </is>
      </c>
      <c r="G519" t="inlineStr">
        <is>
          <t>Custom Expense</t>
        </is>
      </c>
      <c r="H519" t="inlineStr">
        <is>
          <t>Group &gt; Custom Living &gt; Quick Add &gt; Custom Expense</t>
        </is>
      </c>
      <c r="I519" s="18" t="n">
        <v>99.98999999999999</v>
      </c>
      <c r="J519" t="inlineStr">
        <is>
          <t>Created MTR-IOS-0518 and correlation note visible in Activity/Pulse</t>
        </is>
      </c>
      <c r="K519" t="inlineStr">
        <is>
          <t>NOT_RUN</t>
        </is>
      </c>
      <c r="P519" t="n">
        <v>0</v>
      </c>
      <c r="Q519" t="n">
        <v>518</v>
      </c>
    </row>
    <row r="520">
      <c r="A520" t="n">
        <v>519</v>
      </c>
      <c r="B520" t="inlineStr">
        <is>
          <t>MTR-IOS-0519</t>
        </is>
      </c>
      <c r="C520" t="inlineStr">
        <is>
          <t>iPhone</t>
        </is>
      </c>
      <c r="D520" t="inlineStr">
        <is>
          <t>Business</t>
        </is>
      </c>
      <c r="E520" t="inlineStr">
        <is>
          <t>Business</t>
        </is>
      </c>
      <c r="F520" t="inlineStr">
        <is>
          <t>Team Operations</t>
        </is>
      </c>
      <c r="G520" t="inlineStr">
        <is>
          <t>Travel</t>
        </is>
      </c>
      <c r="H520" t="inlineStr">
        <is>
          <t>Business &gt; Team Operations &gt; Quick Add &gt; Travel</t>
        </is>
      </c>
      <c r="I520" s="18" t="n">
        <v>5977.75</v>
      </c>
      <c r="J520" t="inlineStr">
        <is>
          <t>Created MTR-IOS-0519 and correlation note visible in Activity/Pulse</t>
        </is>
      </c>
      <c r="K520" t="inlineStr">
        <is>
          <t>NOT_RUN</t>
        </is>
      </c>
      <c r="P520" t="n">
        <v>0</v>
      </c>
      <c r="Q520" t="n">
        <v>519</v>
      </c>
    </row>
    <row r="521">
      <c r="A521" t="n">
        <v>520</v>
      </c>
      <c r="B521" t="inlineStr">
        <is>
          <t>MTR-IOS-0520</t>
        </is>
      </c>
      <c r="C521" t="inlineStr">
        <is>
          <t>iPhone</t>
        </is>
      </c>
      <c r="D521" t="inlineStr">
        <is>
          <t>Personal</t>
        </is>
      </c>
      <c r="E521" t="inlineStr">
        <is>
          <t>Personal</t>
        </is>
      </c>
      <c r="F521" t="inlineStr">
        <is>
          <t>Lifestyle</t>
        </is>
      </c>
      <c r="G521" t="inlineStr">
        <is>
          <t>Dining</t>
        </is>
      </c>
      <c r="H521" t="inlineStr">
        <is>
          <t>Personal &gt; Lifestyle &gt; Quick Add &gt; Dining</t>
        </is>
      </c>
      <c r="I521" s="18" t="n">
        <v>5945.99</v>
      </c>
      <c r="J521" t="inlineStr">
        <is>
          <t>Created MTR-IOS-0520 and correlation note visible in Activity/Pulse</t>
        </is>
      </c>
      <c r="K521" t="inlineStr">
        <is>
          <t>NOT_RUN</t>
        </is>
      </c>
      <c r="P521" t="n">
        <v>0</v>
      </c>
      <c r="Q521" t="n">
        <v>520</v>
      </c>
    </row>
    <row r="522">
      <c r="A522" t="n">
        <v>521</v>
      </c>
      <c r="B522" t="inlineStr">
        <is>
          <t>MTR-IOS-0521</t>
        </is>
      </c>
      <c r="C522" t="inlineStr">
        <is>
          <t>iPhone</t>
        </is>
      </c>
      <c r="D522" t="inlineStr">
        <is>
          <t>Group</t>
        </is>
      </c>
      <c r="E522" t="inlineStr">
        <is>
          <t>Shared Living</t>
        </is>
      </c>
      <c r="F522" t="inlineStr">
        <is>
          <t>Custom Living</t>
        </is>
      </c>
      <c r="G522" t="inlineStr">
        <is>
          <t>Custom Contribution</t>
        </is>
      </c>
      <c r="H522" t="inlineStr">
        <is>
          <t>Group &gt; Custom Living &gt; Quick Add &gt; Custom Contribution</t>
        </is>
      </c>
      <c r="I522" s="18" t="n">
        <v>23621.37</v>
      </c>
      <c r="J522" t="inlineStr">
        <is>
          <t>Created MTR-IOS-0521 and correlation note visible in Activity/Pulse</t>
        </is>
      </c>
      <c r="K522" t="inlineStr">
        <is>
          <t>NOT_RUN</t>
        </is>
      </c>
      <c r="P522" t="n">
        <v>0</v>
      </c>
      <c r="Q522" t="n">
        <v>521</v>
      </c>
    </row>
    <row r="523">
      <c r="A523" t="n">
        <v>522</v>
      </c>
      <c r="B523" t="inlineStr">
        <is>
          <t>MTR-IOS-0522</t>
        </is>
      </c>
      <c r="C523" t="inlineStr">
        <is>
          <t>iPhone</t>
        </is>
      </c>
      <c r="D523" t="inlineStr">
        <is>
          <t>Business</t>
        </is>
      </c>
      <c r="E523" t="inlineStr">
        <is>
          <t>Business</t>
        </is>
      </c>
      <c r="F523" t="inlineStr">
        <is>
          <t>Team Operations</t>
        </is>
      </c>
      <c r="G523" t="inlineStr">
        <is>
          <t>Training</t>
        </is>
      </c>
      <c r="H523" t="inlineStr">
        <is>
          <t>Business &gt; Team Operations &gt; Quick Add &gt; Training</t>
        </is>
      </c>
      <c r="I523" s="18" t="n">
        <v>99575.53999999999</v>
      </c>
      <c r="J523" t="inlineStr">
        <is>
          <t>Created MTR-IOS-0522 and correlation note visible in Activity/Pulse</t>
        </is>
      </c>
      <c r="K523" t="inlineStr">
        <is>
          <t>NOT_RUN</t>
        </is>
      </c>
      <c r="P523" t="n">
        <v>0</v>
      </c>
      <c r="Q523" t="n">
        <v>522</v>
      </c>
    </row>
    <row r="524">
      <c r="A524" t="n">
        <v>523</v>
      </c>
      <c r="B524" t="inlineStr">
        <is>
          <t>MTR-IOS-0523</t>
        </is>
      </c>
      <c r="C524" t="inlineStr">
        <is>
          <t>iPhone</t>
        </is>
      </c>
      <c r="D524" t="inlineStr">
        <is>
          <t>Personal</t>
        </is>
      </c>
      <c r="E524" t="inlineStr">
        <is>
          <t>Personal</t>
        </is>
      </c>
      <c r="F524" t="inlineStr">
        <is>
          <t>Lifestyle</t>
        </is>
      </c>
      <c r="G524" t="inlineStr">
        <is>
          <t>Shopping</t>
        </is>
      </c>
      <c r="H524" t="inlineStr">
        <is>
          <t>Personal &gt; Lifestyle &gt; Quick Add &gt; Shopping</t>
        </is>
      </c>
      <c r="I524" s="18" t="n">
        <v>10364.22</v>
      </c>
      <c r="J524" t="inlineStr">
        <is>
          <t>Created MTR-IOS-0523 and correlation note visible in Activity/Pulse</t>
        </is>
      </c>
      <c r="K524" t="inlineStr">
        <is>
          <t>NOT_RUN</t>
        </is>
      </c>
      <c r="P524" t="n">
        <v>0</v>
      </c>
      <c r="Q524" t="n">
        <v>523</v>
      </c>
    </row>
    <row r="525">
      <c r="A525" t="n">
        <v>524</v>
      </c>
      <c r="B525" t="inlineStr">
        <is>
          <t>MTR-IOS-0524</t>
        </is>
      </c>
      <c r="C525" t="inlineStr">
        <is>
          <t>iPhone</t>
        </is>
      </c>
      <c r="D525" t="inlineStr">
        <is>
          <t>Group</t>
        </is>
      </c>
      <c r="E525" t="inlineStr">
        <is>
          <t>Shared Experience</t>
        </is>
      </c>
      <c r="F525" t="inlineStr">
        <is>
          <t>Trip</t>
        </is>
      </c>
      <c r="G525" t="inlineStr">
        <is>
          <t>Travel</t>
        </is>
      </c>
      <c r="H525" t="inlineStr">
        <is>
          <t>Group &gt; Trip &gt; Quick Add &gt; Travel</t>
        </is>
      </c>
      <c r="I525" s="18" t="n">
        <v>18277.44</v>
      </c>
      <c r="J525" t="inlineStr">
        <is>
          <t>Created MTR-IOS-0524 and correlation note visible in Activity/Pulse</t>
        </is>
      </c>
      <c r="K525" t="inlineStr">
        <is>
          <t>NOT_RUN</t>
        </is>
      </c>
      <c r="P525" t="n">
        <v>0</v>
      </c>
      <c r="Q525" t="n">
        <v>524</v>
      </c>
    </row>
    <row r="526">
      <c r="A526" t="n">
        <v>525</v>
      </c>
      <c r="B526" t="inlineStr">
        <is>
          <t>MTR-IOS-0525</t>
        </is>
      </c>
      <c r="C526" t="inlineStr">
        <is>
          <t>iPhone</t>
        </is>
      </c>
      <c r="D526" t="inlineStr">
        <is>
          <t>Business</t>
        </is>
      </c>
      <c r="E526" t="inlineStr">
        <is>
          <t>Business</t>
        </is>
      </c>
      <c r="F526" t="inlineStr">
        <is>
          <t>Team Operations</t>
        </is>
      </c>
      <c r="G526" t="inlineStr">
        <is>
          <t>Tools</t>
        </is>
      </c>
      <c r="H526" t="inlineStr">
        <is>
          <t>Business &gt; Team Operations &gt; Quick Add &gt; Tools</t>
        </is>
      </c>
      <c r="I526" s="18" t="n">
        <v>38316.73</v>
      </c>
      <c r="J526" t="inlineStr">
        <is>
          <t>Created MTR-IOS-0525 and correlation note visible in Activity/Pulse</t>
        </is>
      </c>
      <c r="K526" t="inlineStr">
        <is>
          <t>NOT_RUN</t>
        </is>
      </c>
      <c r="P526" t="n">
        <v>0</v>
      </c>
      <c r="Q526" t="n">
        <v>525</v>
      </c>
    </row>
    <row r="527">
      <c r="A527" t="n">
        <v>526</v>
      </c>
      <c r="B527" t="inlineStr">
        <is>
          <t>MTR-IOS-0526</t>
        </is>
      </c>
      <c r="C527" t="inlineStr">
        <is>
          <t>iPhone</t>
        </is>
      </c>
      <c r="D527" t="inlineStr">
        <is>
          <t>Personal</t>
        </is>
      </c>
      <c r="E527" t="inlineStr">
        <is>
          <t>Personal</t>
        </is>
      </c>
      <c r="F527" t="inlineStr">
        <is>
          <t>Lifestyle</t>
        </is>
      </c>
      <c r="G527" t="inlineStr">
        <is>
          <t>Entertainment</t>
        </is>
      </c>
      <c r="H527" t="inlineStr">
        <is>
          <t>Personal &gt; Lifestyle &gt; Quick Add &gt; Entertainment</t>
        </is>
      </c>
      <c r="I527" s="18" t="n">
        <v>15832.88</v>
      </c>
      <c r="J527" t="inlineStr">
        <is>
          <t>Created MTR-IOS-0526 and correlation note visible in Activity/Pulse</t>
        </is>
      </c>
      <c r="K527" t="inlineStr">
        <is>
          <t>NOT_RUN</t>
        </is>
      </c>
      <c r="P527" t="n">
        <v>0</v>
      </c>
      <c r="Q527" t="n">
        <v>526</v>
      </c>
    </row>
    <row r="528">
      <c r="A528" t="n">
        <v>527</v>
      </c>
      <c r="B528" t="inlineStr">
        <is>
          <t>MTR-IOS-0527</t>
        </is>
      </c>
      <c r="C528" t="inlineStr">
        <is>
          <t>iPhone</t>
        </is>
      </c>
      <c r="D528" t="inlineStr">
        <is>
          <t>Group</t>
        </is>
      </c>
      <c r="E528" t="inlineStr">
        <is>
          <t>Shared Experience</t>
        </is>
      </c>
      <c r="F528" t="inlineStr">
        <is>
          <t>Trip</t>
        </is>
      </c>
      <c r="G528" t="inlineStr">
        <is>
          <t>Stay</t>
        </is>
      </c>
      <c r="H528" t="inlineStr">
        <is>
          <t>Group &gt; Trip &gt; Quick Add &gt; Stay</t>
        </is>
      </c>
      <c r="I528" s="18" t="n">
        <v>24059.04</v>
      </c>
      <c r="J528" t="inlineStr">
        <is>
          <t>Created MTR-IOS-0527 and correlation note visible in Activity/Pulse</t>
        </is>
      </c>
      <c r="K528" t="inlineStr">
        <is>
          <t>NOT_RUN</t>
        </is>
      </c>
      <c r="P528" t="n">
        <v>0</v>
      </c>
      <c r="Q528" t="n">
        <v>527</v>
      </c>
    </row>
    <row r="529">
      <c r="A529" t="n">
        <v>528</v>
      </c>
      <c r="B529" t="inlineStr">
        <is>
          <t>MTR-IOS-0528</t>
        </is>
      </c>
      <c r="C529" t="inlineStr">
        <is>
          <t>iPhone</t>
        </is>
      </c>
      <c r="D529" t="inlineStr">
        <is>
          <t>Business</t>
        </is>
      </c>
      <c r="E529" t="inlineStr">
        <is>
          <t>Business</t>
        </is>
      </c>
      <c r="F529" t="inlineStr">
        <is>
          <t>Business Runway</t>
        </is>
      </c>
      <c r="G529" t="inlineStr">
        <is>
          <t>Funding</t>
        </is>
      </c>
      <c r="H529" t="inlineStr">
        <is>
          <t>Business &gt; Business Runway &gt; Quick Add &gt; Funding</t>
        </is>
      </c>
      <c r="I529" s="18" t="n">
        <v>77684.67999999999</v>
      </c>
      <c r="J529" t="inlineStr">
        <is>
          <t>Created MTR-IOS-0528 and correlation note visible in Activity/Pulse</t>
        </is>
      </c>
      <c r="K529" t="inlineStr">
        <is>
          <t>NOT_RUN</t>
        </is>
      </c>
      <c r="P529" t="n">
        <v>0</v>
      </c>
      <c r="Q529" t="n">
        <v>528</v>
      </c>
    </row>
    <row r="530">
      <c r="A530" t="n">
        <v>529</v>
      </c>
      <c r="B530" t="inlineStr">
        <is>
          <t>MTR-IOS-0529</t>
        </is>
      </c>
      <c r="C530" t="inlineStr">
        <is>
          <t>iPhone</t>
        </is>
      </c>
      <c r="D530" t="inlineStr">
        <is>
          <t>Personal</t>
        </is>
      </c>
      <c r="E530" t="inlineStr">
        <is>
          <t>Personal</t>
        </is>
      </c>
      <c r="F530" t="inlineStr">
        <is>
          <t>Lifestyle</t>
        </is>
      </c>
      <c r="G530" t="inlineStr">
        <is>
          <t>Travel</t>
        </is>
      </c>
      <c r="H530" t="inlineStr">
        <is>
          <t>Personal &gt; Lifestyle &gt; Quick Add &gt; Travel</t>
        </is>
      </c>
      <c r="I530" s="18" t="n">
        <v>4856.42</v>
      </c>
      <c r="J530" t="inlineStr">
        <is>
          <t>Created MTR-IOS-0529 and correlation note visible in Activity/Pulse</t>
        </is>
      </c>
      <c r="K530" t="inlineStr">
        <is>
          <t>NOT_RUN</t>
        </is>
      </c>
      <c r="P530" t="n">
        <v>0</v>
      </c>
      <c r="Q530" t="n">
        <v>529</v>
      </c>
    </row>
    <row r="531">
      <c r="A531" t="n">
        <v>530</v>
      </c>
      <c r="B531" t="inlineStr">
        <is>
          <t>MTR-IOS-0530</t>
        </is>
      </c>
      <c r="C531" t="inlineStr">
        <is>
          <t>iPhone</t>
        </is>
      </c>
      <c r="D531" t="inlineStr">
        <is>
          <t>Group</t>
        </is>
      </c>
      <c r="E531" t="inlineStr">
        <is>
          <t>Shared Experience</t>
        </is>
      </c>
      <c r="F531" t="inlineStr">
        <is>
          <t>Trip</t>
        </is>
      </c>
      <c r="G531" t="inlineStr">
        <is>
          <t>Food</t>
        </is>
      </c>
      <c r="H531" t="inlineStr">
        <is>
          <t>Group &gt; Trip &gt; Quick Add &gt; Food</t>
        </is>
      </c>
      <c r="I531" s="18" t="n">
        <v>17464.22</v>
      </c>
      <c r="J531" t="inlineStr">
        <is>
          <t>Created MTR-IOS-0530 and correlation note visible in Activity/Pulse</t>
        </is>
      </c>
      <c r="K531" t="inlineStr">
        <is>
          <t>NOT_RUN</t>
        </is>
      </c>
      <c r="P531" t="n">
        <v>0</v>
      </c>
      <c r="Q531" t="n">
        <v>530</v>
      </c>
    </row>
    <row r="532">
      <c r="A532" t="n">
        <v>531</v>
      </c>
      <c r="B532" t="inlineStr">
        <is>
          <t>MTR-IOS-0531</t>
        </is>
      </c>
      <c r="C532" t="inlineStr">
        <is>
          <t>iPhone</t>
        </is>
      </c>
      <c r="D532" t="inlineStr">
        <is>
          <t>Business</t>
        </is>
      </c>
      <c r="E532" t="inlineStr">
        <is>
          <t>Business</t>
        </is>
      </c>
      <c r="F532" t="inlineStr">
        <is>
          <t>Business Runway</t>
        </is>
      </c>
      <c r="G532" t="inlineStr">
        <is>
          <t>Revenue</t>
        </is>
      </c>
      <c r="H532" t="inlineStr">
        <is>
          <t>Business &gt; Business Runway &gt; Quick Add &gt; Revenue</t>
        </is>
      </c>
      <c r="I532" s="18" t="n">
        <v>141141.87</v>
      </c>
      <c r="J532" t="inlineStr">
        <is>
          <t>Created MTR-IOS-0531 and correlation note visible in Activity/Pulse</t>
        </is>
      </c>
      <c r="K532" t="inlineStr">
        <is>
          <t>NOT_RUN</t>
        </is>
      </c>
      <c r="P532" t="n">
        <v>0</v>
      </c>
      <c r="Q532" t="n">
        <v>531</v>
      </c>
    </row>
    <row r="533">
      <c r="A533" t="n">
        <v>532</v>
      </c>
      <c r="B533" t="inlineStr">
        <is>
          <t>MTR-IOS-0532</t>
        </is>
      </c>
      <c r="C533" t="inlineStr">
        <is>
          <t>iPhone</t>
        </is>
      </c>
      <c r="D533" t="inlineStr">
        <is>
          <t>Personal</t>
        </is>
      </c>
      <c r="E533" t="inlineStr">
        <is>
          <t>Personal</t>
        </is>
      </c>
      <c r="F533" t="inlineStr">
        <is>
          <t>Lifestyle</t>
        </is>
      </c>
      <c r="G533" t="inlineStr">
        <is>
          <t>Fitness</t>
        </is>
      </c>
      <c r="H533" t="inlineStr">
        <is>
          <t>Personal &gt; Lifestyle &gt; Quick Add &gt; Fitness</t>
        </is>
      </c>
      <c r="I533" s="18" t="n">
        <v>14618.5</v>
      </c>
      <c r="J533" t="inlineStr">
        <is>
          <t>Created MTR-IOS-0532 and correlation note visible in Activity/Pulse</t>
        </is>
      </c>
      <c r="K533" t="inlineStr">
        <is>
          <t>NOT_RUN</t>
        </is>
      </c>
      <c r="P533" t="n">
        <v>0</v>
      </c>
      <c r="Q533" t="n">
        <v>532</v>
      </c>
    </row>
    <row r="534">
      <c r="A534" t="n">
        <v>533</v>
      </c>
      <c r="B534" t="inlineStr">
        <is>
          <t>MTR-IOS-0533</t>
        </is>
      </c>
      <c r="C534" t="inlineStr">
        <is>
          <t>iPhone</t>
        </is>
      </c>
      <c r="D534" t="inlineStr">
        <is>
          <t>Group</t>
        </is>
      </c>
      <c r="E534" t="inlineStr">
        <is>
          <t>Shared Experience</t>
        </is>
      </c>
      <c r="F534" t="inlineStr">
        <is>
          <t>Trip</t>
        </is>
      </c>
      <c r="G534" t="inlineStr">
        <is>
          <t>Local Transport</t>
        </is>
      </c>
      <c r="H534" t="inlineStr">
        <is>
          <t>Group &gt; Trip &gt; Quick Add &gt; Local Transport</t>
        </is>
      </c>
      <c r="I534" s="18" t="n">
        <v>24222.35</v>
      </c>
      <c r="J534" t="inlineStr">
        <is>
          <t>Created MTR-IOS-0533 and correlation note visible in Activity/Pulse</t>
        </is>
      </c>
      <c r="K534" t="inlineStr">
        <is>
          <t>NOT_RUN</t>
        </is>
      </c>
      <c r="P534" t="n">
        <v>0</v>
      </c>
      <c r="Q534" t="n">
        <v>533</v>
      </c>
    </row>
    <row r="535">
      <c r="A535" t="n">
        <v>534</v>
      </c>
      <c r="B535" t="inlineStr">
        <is>
          <t>MTR-IOS-0534</t>
        </is>
      </c>
      <c r="C535" t="inlineStr">
        <is>
          <t>iPhone</t>
        </is>
      </c>
      <c r="D535" t="inlineStr">
        <is>
          <t>Business</t>
        </is>
      </c>
      <c r="E535" t="inlineStr">
        <is>
          <t>Business</t>
        </is>
      </c>
      <c r="F535" t="inlineStr">
        <is>
          <t>Business Runway</t>
        </is>
      </c>
      <c r="G535" t="inlineStr">
        <is>
          <t>Burn</t>
        </is>
      </c>
      <c r="H535" t="inlineStr">
        <is>
          <t>Business &gt; Business Runway &gt; Quick Add &gt; Burn</t>
        </is>
      </c>
      <c r="I535" s="18" t="n">
        <v>108759.54</v>
      </c>
      <c r="J535" t="inlineStr">
        <is>
          <t>Created MTR-IOS-0534 and correlation note visible in Activity/Pulse</t>
        </is>
      </c>
      <c r="K535" t="inlineStr">
        <is>
          <t>NOT_RUN</t>
        </is>
      </c>
      <c r="P535" t="n">
        <v>0</v>
      </c>
      <c r="Q535" t="n">
        <v>534</v>
      </c>
    </row>
    <row r="536">
      <c r="A536" t="n">
        <v>535</v>
      </c>
      <c r="B536" t="inlineStr">
        <is>
          <t>MTR-IOS-0535</t>
        </is>
      </c>
      <c r="C536" t="inlineStr">
        <is>
          <t>iPhone</t>
        </is>
      </c>
      <c r="D536" t="inlineStr">
        <is>
          <t>Personal</t>
        </is>
      </c>
      <c r="E536" t="inlineStr">
        <is>
          <t>Personal</t>
        </is>
      </c>
      <c r="F536" t="inlineStr">
        <is>
          <t>Lifestyle</t>
        </is>
      </c>
      <c r="G536" t="inlineStr">
        <is>
          <t>Hobbies</t>
        </is>
      </c>
      <c r="H536" t="inlineStr">
        <is>
          <t>Personal &gt; Lifestyle &gt; Quick Add &gt; Hobbies</t>
        </is>
      </c>
      <c r="I536" s="18" t="n">
        <v>6478.85</v>
      </c>
      <c r="J536" t="inlineStr">
        <is>
          <t>Created MTR-IOS-0535 and correlation note visible in Activity/Pulse</t>
        </is>
      </c>
      <c r="K536" t="inlineStr">
        <is>
          <t>NOT_RUN</t>
        </is>
      </c>
      <c r="P536" t="n">
        <v>0</v>
      </c>
      <c r="Q536" t="n">
        <v>535</v>
      </c>
    </row>
    <row r="537">
      <c r="A537" t="n">
        <v>536</v>
      </c>
      <c r="B537" t="inlineStr">
        <is>
          <t>MTR-IOS-0536</t>
        </is>
      </c>
      <c r="C537" t="inlineStr">
        <is>
          <t>iPhone</t>
        </is>
      </c>
      <c r="D537" t="inlineStr">
        <is>
          <t>Group</t>
        </is>
      </c>
      <c r="E537" t="inlineStr">
        <is>
          <t>Shared Experience</t>
        </is>
      </c>
      <c r="F537" t="inlineStr">
        <is>
          <t>Trip</t>
        </is>
      </c>
      <c r="G537" t="inlineStr">
        <is>
          <t>Activities</t>
        </is>
      </c>
      <c r="H537" t="inlineStr">
        <is>
          <t>Group &gt; Trip &gt; Quick Add &gt; Activities</t>
        </is>
      </c>
      <c r="I537" s="18" t="n">
        <v>3459.16</v>
      </c>
      <c r="J537" t="inlineStr">
        <is>
          <t>Created MTR-IOS-0536 and correlation note visible in Activity/Pulse</t>
        </is>
      </c>
      <c r="K537" t="inlineStr">
        <is>
          <t>NOT_RUN</t>
        </is>
      </c>
      <c r="P537" t="n">
        <v>0</v>
      </c>
      <c r="Q537" t="n">
        <v>536</v>
      </c>
    </row>
    <row r="538">
      <c r="A538" t="n">
        <v>537</v>
      </c>
      <c r="B538" t="inlineStr">
        <is>
          <t>MTR-IOS-0537</t>
        </is>
      </c>
      <c r="C538" t="inlineStr">
        <is>
          <t>iPhone</t>
        </is>
      </c>
      <c r="D538" t="inlineStr">
        <is>
          <t>Business</t>
        </is>
      </c>
      <c r="E538" t="inlineStr">
        <is>
          <t>Business</t>
        </is>
      </c>
      <c r="F538" t="inlineStr">
        <is>
          <t>Business Runway</t>
        </is>
      </c>
      <c r="G538" t="inlineStr">
        <is>
          <t>Reserve</t>
        </is>
      </c>
      <c r="H538" t="inlineStr">
        <is>
          <t>Business &gt; Business Runway &gt; Quick Add &gt; Reserve</t>
        </is>
      </c>
      <c r="I538" s="18" t="n">
        <v>162782.23</v>
      </c>
      <c r="J538" t="inlineStr">
        <is>
          <t>Created MTR-IOS-0537 and correlation note visible in Activity/Pulse</t>
        </is>
      </c>
      <c r="K538" t="inlineStr">
        <is>
          <t>NOT_RUN</t>
        </is>
      </c>
      <c r="P538" t="n">
        <v>0</v>
      </c>
      <c r="Q538" t="n">
        <v>537</v>
      </c>
    </row>
    <row r="539">
      <c r="A539" t="n">
        <v>538</v>
      </c>
      <c r="B539" t="inlineStr">
        <is>
          <t>MTR-IOS-0538</t>
        </is>
      </c>
      <c r="C539" t="inlineStr">
        <is>
          <t>iPhone</t>
        </is>
      </c>
      <c r="D539" t="inlineStr">
        <is>
          <t>Personal</t>
        </is>
      </c>
      <c r="E539" t="inlineStr">
        <is>
          <t>Personal</t>
        </is>
      </c>
      <c r="F539" t="inlineStr">
        <is>
          <t>Relationships</t>
        </is>
      </c>
      <c r="G539" t="inlineStr">
        <is>
          <t>Gifts</t>
        </is>
      </c>
      <c r="H539" t="inlineStr">
        <is>
          <t>Personal &gt; Relationships &gt; Quick Add &gt; Gifts</t>
        </is>
      </c>
      <c r="I539" s="18" t="n">
        <v>3380.46</v>
      </c>
      <c r="J539" t="inlineStr">
        <is>
          <t>Created MTR-IOS-0538 and correlation note visible in Activity/Pulse</t>
        </is>
      </c>
      <c r="K539" t="inlineStr">
        <is>
          <t>NOT_RUN</t>
        </is>
      </c>
      <c r="P539" t="n">
        <v>0</v>
      </c>
      <c r="Q539" t="n">
        <v>538</v>
      </c>
    </row>
    <row r="540">
      <c r="A540" t="n">
        <v>539</v>
      </c>
      <c r="B540" t="inlineStr">
        <is>
          <t>MTR-IOS-0539</t>
        </is>
      </c>
      <c r="C540" t="inlineStr">
        <is>
          <t>iPhone</t>
        </is>
      </c>
      <c r="D540" t="inlineStr">
        <is>
          <t>Group</t>
        </is>
      </c>
      <c r="E540" t="inlineStr">
        <is>
          <t>Shared Experience</t>
        </is>
      </c>
      <c r="F540" t="inlineStr">
        <is>
          <t>Trip</t>
        </is>
      </c>
      <c r="G540" t="inlineStr">
        <is>
          <t>Shopping</t>
        </is>
      </c>
      <c r="H540" t="inlineStr">
        <is>
          <t>Group &gt; Trip &gt; Quick Add &gt; Shopping</t>
        </is>
      </c>
      <c r="I540" s="18" t="n">
        <v>468.24</v>
      </c>
      <c r="J540" t="inlineStr">
        <is>
          <t>Created MTR-IOS-0539 and correlation note visible in Activity/Pulse</t>
        </is>
      </c>
      <c r="K540" t="inlineStr">
        <is>
          <t>NOT_RUN</t>
        </is>
      </c>
      <c r="P540" t="n">
        <v>0</v>
      </c>
      <c r="Q540" t="n">
        <v>539</v>
      </c>
    </row>
    <row r="541">
      <c r="A541" t="n">
        <v>540</v>
      </c>
      <c r="B541" t="inlineStr">
        <is>
          <t>MTR-IOS-0540</t>
        </is>
      </c>
      <c r="C541" t="inlineStr">
        <is>
          <t>iPhone</t>
        </is>
      </c>
      <c r="D541" t="inlineStr">
        <is>
          <t>Business</t>
        </is>
      </c>
      <c r="E541" t="inlineStr">
        <is>
          <t>Business</t>
        </is>
      </c>
      <c r="F541" t="inlineStr">
        <is>
          <t>Business Runway</t>
        </is>
      </c>
      <c r="G541" t="inlineStr">
        <is>
          <t>Loan</t>
        </is>
      </c>
      <c r="H541" t="inlineStr">
        <is>
          <t>Business &gt; Business Runway &gt; Quick Add &gt; Loan</t>
        </is>
      </c>
      <c r="I541" s="18" t="n">
        <v>90761.07000000001</v>
      </c>
      <c r="J541" t="inlineStr">
        <is>
          <t>Created MTR-IOS-0540 and correlation note visible in Activity/Pulse</t>
        </is>
      </c>
      <c r="K541" t="inlineStr">
        <is>
          <t>NOT_RUN</t>
        </is>
      </c>
      <c r="P541" t="n">
        <v>0</v>
      </c>
      <c r="Q541" t="n">
        <v>540</v>
      </c>
    </row>
    <row r="542">
      <c r="A542" t="n">
        <v>541</v>
      </c>
      <c r="B542" t="inlineStr">
        <is>
          <t>MTR-IOS-0541</t>
        </is>
      </c>
      <c r="C542" t="inlineStr">
        <is>
          <t>iPhone</t>
        </is>
      </c>
      <c r="D542" t="inlineStr">
        <is>
          <t>Personal</t>
        </is>
      </c>
      <c r="E542" t="inlineStr">
        <is>
          <t>Personal</t>
        </is>
      </c>
      <c r="F542" t="inlineStr">
        <is>
          <t>Relationships</t>
        </is>
      </c>
      <c r="G542" t="inlineStr">
        <is>
          <t>Dates</t>
        </is>
      </c>
      <c r="H542" t="inlineStr">
        <is>
          <t>Personal &gt; Relationships &gt; Quick Add &gt; Dates</t>
        </is>
      </c>
      <c r="I542" s="18" t="n">
        <v>4734.81</v>
      </c>
      <c r="J542" t="inlineStr">
        <is>
          <t>Created MTR-IOS-0541 and correlation note visible in Activity/Pulse</t>
        </is>
      </c>
      <c r="K542" t="inlineStr">
        <is>
          <t>NOT_RUN</t>
        </is>
      </c>
      <c r="P542" t="n">
        <v>0</v>
      </c>
      <c r="Q542" t="n">
        <v>541</v>
      </c>
    </row>
    <row r="543">
      <c r="A543" t="n">
        <v>542</v>
      </c>
      <c r="B543" t="inlineStr">
        <is>
          <t>MTR-IOS-0542</t>
        </is>
      </c>
      <c r="C543" t="inlineStr">
        <is>
          <t>iPhone</t>
        </is>
      </c>
      <c r="D543" t="inlineStr">
        <is>
          <t>Group</t>
        </is>
      </c>
      <c r="E543" t="inlineStr">
        <is>
          <t>Shared Experience</t>
        </is>
      </c>
      <c r="F543" t="inlineStr">
        <is>
          <t>Trip</t>
        </is>
      </c>
      <c r="G543" t="inlineStr">
        <is>
          <t>Other</t>
        </is>
      </c>
      <c r="H543" t="inlineStr">
        <is>
          <t>Group &gt; Trip &gt; Quick Add &gt; Other</t>
        </is>
      </c>
      <c r="I543" s="18" t="n">
        <v>2675.69</v>
      </c>
      <c r="J543" t="inlineStr">
        <is>
          <t>Created MTR-IOS-0542 and correlation note visible in Activity/Pulse</t>
        </is>
      </c>
      <c r="K543" t="inlineStr">
        <is>
          <t>NOT_RUN</t>
        </is>
      </c>
      <c r="P543" t="n">
        <v>0</v>
      </c>
      <c r="Q543" t="n">
        <v>542</v>
      </c>
    </row>
    <row r="544">
      <c r="A544" t="n">
        <v>543</v>
      </c>
      <c r="B544" t="inlineStr">
        <is>
          <t>MTR-IOS-0543</t>
        </is>
      </c>
      <c r="C544" t="inlineStr">
        <is>
          <t>iPhone</t>
        </is>
      </c>
      <c r="D544" t="inlineStr">
        <is>
          <t>Business</t>
        </is>
      </c>
      <c r="E544" t="inlineStr">
        <is>
          <t>Business</t>
        </is>
      </c>
      <c r="F544" t="inlineStr">
        <is>
          <t>Business Runway</t>
        </is>
      </c>
      <c r="G544" t="inlineStr">
        <is>
          <t>Investment</t>
        </is>
      </c>
      <c r="H544" t="inlineStr">
        <is>
          <t>Business &gt; Business Runway &gt; Quick Add &gt; Investment</t>
        </is>
      </c>
      <c r="I544" s="18" t="n">
        <v>83981.39999999999</v>
      </c>
      <c r="J544" t="inlineStr">
        <is>
          <t>Created MTR-IOS-0543 and correlation note visible in Activity/Pulse</t>
        </is>
      </c>
      <c r="K544" t="inlineStr">
        <is>
          <t>NOT_RUN</t>
        </is>
      </c>
      <c r="P544" t="n">
        <v>0</v>
      </c>
      <c r="Q544" t="n">
        <v>543</v>
      </c>
    </row>
    <row r="545">
      <c r="A545" t="n">
        <v>544</v>
      </c>
      <c r="B545" t="inlineStr">
        <is>
          <t>MTR-IOS-0544</t>
        </is>
      </c>
      <c r="C545" t="inlineStr">
        <is>
          <t>iPhone</t>
        </is>
      </c>
      <c r="D545" t="inlineStr">
        <is>
          <t>Personal</t>
        </is>
      </c>
      <c r="E545" t="inlineStr">
        <is>
          <t>Personal</t>
        </is>
      </c>
      <c r="F545" t="inlineStr">
        <is>
          <t>Relationships</t>
        </is>
      </c>
      <c r="G545" t="inlineStr">
        <is>
          <t>Family</t>
        </is>
      </c>
      <c r="H545" t="inlineStr">
        <is>
          <t>Personal &gt; Relationships &gt; Quick Add &gt; Family</t>
        </is>
      </c>
      <c r="I545" s="18" t="n">
        <v>9469.280000000001</v>
      </c>
      <c r="J545" t="inlineStr">
        <is>
          <t>Created MTR-IOS-0544 and correlation note visible in Activity/Pulse</t>
        </is>
      </c>
      <c r="K545" t="inlineStr">
        <is>
          <t>NOT_RUN</t>
        </is>
      </c>
      <c r="P545" t="n">
        <v>0</v>
      </c>
      <c r="Q545" t="n">
        <v>544</v>
      </c>
    </row>
    <row r="546">
      <c r="A546" t="n">
        <v>545</v>
      </c>
      <c r="B546" t="inlineStr">
        <is>
          <t>MTR-IOS-0545</t>
        </is>
      </c>
      <c r="C546" t="inlineStr">
        <is>
          <t>iPhone</t>
        </is>
      </c>
      <c r="D546" t="inlineStr">
        <is>
          <t>Group</t>
        </is>
      </c>
      <c r="E546" t="inlineStr">
        <is>
          <t>Shared Experience</t>
        </is>
      </c>
      <c r="F546" t="inlineStr">
        <is>
          <t>Wedding</t>
        </is>
      </c>
      <c r="G546" t="inlineStr">
        <is>
          <t>Venue</t>
        </is>
      </c>
      <c r="H546" t="inlineStr">
        <is>
          <t>Group &gt; Wedding &gt; Quick Add &gt; Venue</t>
        </is>
      </c>
      <c r="I546" s="18" t="n">
        <v>2138.81</v>
      </c>
      <c r="J546" t="inlineStr">
        <is>
          <t>Created MTR-IOS-0545 and correlation note visible in Activity/Pulse</t>
        </is>
      </c>
      <c r="K546" t="inlineStr">
        <is>
          <t>NOT_RUN</t>
        </is>
      </c>
      <c r="P546" t="n">
        <v>0</v>
      </c>
      <c r="Q546" t="n">
        <v>545</v>
      </c>
    </row>
    <row r="547">
      <c r="A547" t="n">
        <v>546</v>
      </c>
      <c r="B547" t="inlineStr">
        <is>
          <t>MTR-IOS-0546</t>
        </is>
      </c>
      <c r="C547" t="inlineStr">
        <is>
          <t>iPhone</t>
        </is>
      </c>
      <c r="D547" t="inlineStr">
        <is>
          <t>Business</t>
        </is>
      </c>
      <c r="E547" t="inlineStr">
        <is>
          <t>Business</t>
        </is>
      </c>
      <c r="F547" t="inlineStr">
        <is>
          <t>Business Operations</t>
        </is>
      </c>
      <c r="G547" t="inlineStr">
        <is>
          <t>Software</t>
        </is>
      </c>
      <c r="H547" t="inlineStr">
        <is>
          <t>Business &gt; Business Operations &gt; Quick Add &gt; Software</t>
        </is>
      </c>
      <c r="I547" s="18" t="n">
        <v>28446.05</v>
      </c>
      <c r="J547" t="inlineStr">
        <is>
          <t>Created MTR-IOS-0546 and correlation note visible in Activity/Pulse</t>
        </is>
      </c>
      <c r="K547" t="inlineStr">
        <is>
          <t>NOT_RUN</t>
        </is>
      </c>
      <c r="P547" t="n">
        <v>0</v>
      </c>
      <c r="Q547" t="n">
        <v>546</v>
      </c>
    </row>
    <row r="548">
      <c r="A548" t="n">
        <v>547</v>
      </c>
      <c r="B548" t="inlineStr">
        <is>
          <t>MTR-IOS-0547</t>
        </is>
      </c>
      <c r="C548" t="inlineStr">
        <is>
          <t>iPhone</t>
        </is>
      </c>
      <c r="D548" t="inlineStr">
        <is>
          <t>Personal</t>
        </is>
      </c>
      <c r="E548" t="inlineStr">
        <is>
          <t>Personal</t>
        </is>
      </c>
      <c r="F548" t="inlineStr">
        <is>
          <t>Relationships</t>
        </is>
      </c>
      <c r="G548" t="inlineStr">
        <is>
          <t>Friends</t>
        </is>
      </c>
      <c r="H548" t="inlineStr">
        <is>
          <t>Personal &gt; Relationships &gt; Quick Add &gt; Friends</t>
        </is>
      </c>
      <c r="I548" s="18" t="n">
        <v>483.99</v>
      </c>
      <c r="J548" t="inlineStr">
        <is>
          <t>Created MTR-IOS-0547 and correlation note visible in Activity/Pulse</t>
        </is>
      </c>
      <c r="K548" t="inlineStr">
        <is>
          <t>NOT_RUN</t>
        </is>
      </c>
      <c r="P548" t="n">
        <v>0</v>
      </c>
      <c r="Q548" t="n">
        <v>547</v>
      </c>
    </row>
    <row r="549">
      <c r="A549" t="n">
        <v>548</v>
      </c>
      <c r="B549" t="inlineStr">
        <is>
          <t>MTR-IOS-0548</t>
        </is>
      </c>
      <c r="C549" t="inlineStr">
        <is>
          <t>iPhone</t>
        </is>
      </c>
      <c r="D549" t="inlineStr">
        <is>
          <t>Group</t>
        </is>
      </c>
      <c r="E549" t="inlineStr">
        <is>
          <t>Shared Experience</t>
        </is>
      </c>
      <c r="F549" t="inlineStr">
        <is>
          <t>Wedding</t>
        </is>
      </c>
      <c r="G549" t="inlineStr">
        <is>
          <t>Catering</t>
        </is>
      </c>
      <c r="H549" t="inlineStr">
        <is>
          <t>Group &gt; Wedding &gt; Quick Add &gt; Catering</t>
        </is>
      </c>
      <c r="I549" s="18" t="n">
        <v>384.73</v>
      </c>
      <c r="J549" t="inlineStr">
        <is>
          <t>Created MTR-IOS-0548 and correlation note visible in Activity/Pulse</t>
        </is>
      </c>
      <c r="K549" t="inlineStr">
        <is>
          <t>NOT_RUN</t>
        </is>
      </c>
      <c r="P549" t="n">
        <v>0</v>
      </c>
      <c r="Q549" t="n">
        <v>548</v>
      </c>
    </row>
    <row r="550">
      <c r="A550" t="n">
        <v>549</v>
      </c>
      <c r="B550" t="inlineStr">
        <is>
          <t>MTR-IOS-0549</t>
        </is>
      </c>
      <c r="C550" t="inlineStr">
        <is>
          <t>iPhone</t>
        </is>
      </c>
      <c r="D550" t="inlineStr">
        <is>
          <t>Business</t>
        </is>
      </c>
      <c r="E550" t="inlineStr">
        <is>
          <t>Business</t>
        </is>
      </c>
      <c r="F550" t="inlineStr">
        <is>
          <t>Business Operations</t>
        </is>
      </c>
      <c r="G550" t="inlineStr">
        <is>
          <t>Rent</t>
        </is>
      </c>
      <c r="H550" t="inlineStr">
        <is>
          <t>Business &gt; Business Operations &gt; Quick Add &gt; Rent</t>
        </is>
      </c>
      <c r="I550" s="18" t="n">
        <v>134778.36</v>
      </c>
      <c r="J550" t="inlineStr">
        <is>
          <t>Created MTR-IOS-0549 and correlation note visible in Activity/Pulse</t>
        </is>
      </c>
      <c r="K550" t="inlineStr">
        <is>
          <t>NOT_RUN</t>
        </is>
      </c>
      <c r="P550" t="n">
        <v>0</v>
      </c>
      <c r="Q550" t="n">
        <v>549</v>
      </c>
    </row>
    <row r="551">
      <c r="A551" t="n">
        <v>550</v>
      </c>
      <c r="B551" t="inlineStr">
        <is>
          <t>MTR-IOS-0550</t>
        </is>
      </c>
      <c r="C551" t="inlineStr">
        <is>
          <t>iPhone</t>
        </is>
      </c>
      <c r="D551" t="inlineStr">
        <is>
          <t>Personal</t>
        </is>
      </c>
      <c r="E551" t="inlineStr">
        <is>
          <t>Personal</t>
        </is>
      </c>
      <c r="F551" t="inlineStr">
        <is>
          <t>Relationships</t>
        </is>
      </c>
      <c r="G551" t="inlineStr">
        <is>
          <t>Celebrations</t>
        </is>
      </c>
      <c r="H551" t="inlineStr">
        <is>
          <t>Personal &gt; Relationships &gt; Quick Add &gt; Celebrations</t>
        </is>
      </c>
      <c r="I551" s="18" t="n">
        <v>5608.18</v>
      </c>
      <c r="J551" t="inlineStr">
        <is>
          <t>Created MTR-IOS-0550 and correlation note visible in Activity/Pulse</t>
        </is>
      </c>
      <c r="K551" t="inlineStr">
        <is>
          <t>NOT_RUN</t>
        </is>
      </c>
      <c r="P551" t="n">
        <v>0</v>
      </c>
      <c r="Q551" t="n">
        <v>550</v>
      </c>
    </row>
    <row r="552">
      <c r="A552" t="n">
        <v>551</v>
      </c>
      <c r="B552" t="inlineStr">
        <is>
          <t>MTR-IOS-0551</t>
        </is>
      </c>
      <c r="C552" t="inlineStr">
        <is>
          <t>iPhone</t>
        </is>
      </c>
      <c r="D552" t="inlineStr">
        <is>
          <t>Group</t>
        </is>
      </c>
      <c r="E552" t="inlineStr">
        <is>
          <t>Shared Experience</t>
        </is>
      </c>
      <c r="F552" t="inlineStr">
        <is>
          <t>Wedding</t>
        </is>
      </c>
      <c r="G552" t="inlineStr">
        <is>
          <t>Decor</t>
        </is>
      </c>
      <c r="H552" t="inlineStr">
        <is>
          <t>Group &gt; Wedding &gt; Quick Add &gt; Decor</t>
        </is>
      </c>
      <c r="I552" s="18" t="n">
        <v>25205.46</v>
      </c>
      <c r="J552" t="inlineStr">
        <is>
          <t>Created MTR-IOS-0551 and correlation note visible in Activity/Pulse</t>
        </is>
      </c>
      <c r="K552" t="inlineStr">
        <is>
          <t>NOT_RUN</t>
        </is>
      </c>
      <c r="P552" t="n">
        <v>0</v>
      </c>
      <c r="Q552" t="n">
        <v>551</v>
      </c>
    </row>
    <row r="553">
      <c r="A553" t="n">
        <v>552</v>
      </c>
      <c r="B553" t="inlineStr">
        <is>
          <t>MTR-IOS-0552</t>
        </is>
      </c>
      <c r="C553" t="inlineStr">
        <is>
          <t>iPhone</t>
        </is>
      </c>
      <c r="D553" t="inlineStr">
        <is>
          <t>Business</t>
        </is>
      </c>
      <c r="E553" t="inlineStr">
        <is>
          <t>Business</t>
        </is>
      </c>
      <c r="F553" t="inlineStr">
        <is>
          <t>Business Operations</t>
        </is>
      </c>
      <c r="G553" t="inlineStr">
        <is>
          <t>Marketing</t>
        </is>
      </c>
      <c r="H553" t="inlineStr">
        <is>
          <t>Business &gt; Business Operations &gt; Quick Add &gt; Marketing</t>
        </is>
      </c>
      <c r="I553" s="18" t="n">
        <v>64560.56</v>
      </c>
      <c r="J553" t="inlineStr">
        <is>
          <t>Created MTR-IOS-0552 and correlation note visible in Activity/Pulse</t>
        </is>
      </c>
      <c r="K553" t="inlineStr">
        <is>
          <t>NOT_RUN</t>
        </is>
      </c>
      <c r="P553" t="n">
        <v>0</v>
      </c>
      <c r="Q553" t="n">
        <v>552</v>
      </c>
    </row>
    <row r="554">
      <c r="A554" t="n">
        <v>553</v>
      </c>
      <c r="B554" t="inlineStr">
        <is>
          <t>MTR-IOS-0553</t>
        </is>
      </c>
      <c r="C554" t="inlineStr">
        <is>
          <t>iPhone</t>
        </is>
      </c>
      <c r="D554" t="inlineStr">
        <is>
          <t>Personal</t>
        </is>
      </c>
      <c r="E554" t="inlineStr">
        <is>
          <t>Personal</t>
        </is>
      </c>
      <c r="F554" t="inlineStr">
        <is>
          <t>Life Operations</t>
        </is>
      </c>
      <c r="G554" t="inlineStr">
        <is>
          <t>Groceries</t>
        </is>
      </c>
      <c r="H554" t="inlineStr">
        <is>
          <t>Personal &gt; Life Operations &gt; Quick Add &gt; Groceries</t>
        </is>
      </c>
      <c r="I554" s="18" t="n">
        <v>11336.32</v>
      </c>
      <c r="J554" t="inlineStr">
        <is>
          <t>Created MTR-IOS-0553 and correlation note visible in Activity/Pulse</t>
        </is>
      </c>
      <c r="K554" t="inlineStr">
        <is>
          <t>NOT_RUN</t>
        </is>
      </c>
      <c r="P554" t="n">
        <v>0</v>
      </c>
      <c r="Q554" t="n">
        <v>553</v>
      </c>
    </row>
    <row r="555">
      <c r="A555" t="n">
        <v>554</v>
      </c>
      <c r="B555" t="inlineStr">
        <is>
          <t>MTR-IOS-0554</t>
        </is>
      </c>
      <c r="C555" t="inlineStr">
        <is>
          <t>iPhone</t>
        </is>
      </c>
      <c r="D555" t="inlineStr">
        <is>
          <t>Group</t>
        </is>
      </c>
      <c r="E555" t="inlineStr">
        <is>
          <t>Shared Experience</t>
        </is>
      </c>
      <c r="F555" t="inlineStr">
        <is>
          <t>Wedding</t>
        </is>
      </c>
      <c r="G555" t="inlineStr">
        <is>
          <t>Travel</t>
        </is>
      </c>
      <c r="H555" t="inlineStr">
        <is>
          <t>Group &gt; Wedding &gt; Quick Add &gt; Travel</t>
        </is>
      </c>
      <c r="I555" s="18" t="n">
        <v>3297.35</v>
      </c>
      <c r="J555" t="inlineStr">
        <is>
          <t>Created MTR-IOS-0554 and correlation note visible in Activity/Pulse</t>
        </is>
      </c>
      <c r="K555" t="inlineStr">
        <is>
          <t>NOT_RUN</t>
        </is>
      </c>
      <c r="P555" t="n">
        <v>0</v>
      </c>
      <c r="Q555" t="n">
        <v>554</v>
      </c>
    </row>
    <row r="556">
      <c r="A556" t="n">
        <v>555</v>
      </c>
      <c r="B556" t="inlineStr">
        <is>
          <t>MTR-IOS-0555</t>
        </is>
      </c>
      <c r="C556" t="inlineStr">
        <is>
          <t>iPhone</t>
        </is>
      </c>
      <c r="D556" t="inlineStr">
        <is>
          <t>Business</t>
        </is>
      </c>
      <c r="E556" t="inlineStr">
        <is>
          <t>Business</t>
        </is>
      </c>
      <c r="F556" t="inlineStr">
        <is>
          <t>Business Operations</t>
        </is>
      </c>
      <c r="G556" t="inlineStr">
        <is>
          <t>Legal</t>
        </is>
      </c>
      <c r="H556" t="inlineStr">
        <is>
          <t>Business &gt; Business Operations &gt; Quick Add &gt; Legal</t>
        </is>
      </c>
      <c r="I556" s="18" t="n">
        <v>100</v>
      </c>
      <c r="J556" t="inlineStr">
        <is>
          <t>Created MTR-IOS-0555 and correlation note visible in Activity/Pulse</t>
        </is>
      </c>
      <c r="K556" t="inlineStr">
        <is>
          <t>NOT_RUN</t>
        </is>
      </c>
      <c r="P556" t="n">
        <v>0</v>
      </c>
      <c r="Q556" t="n">
        <v>555</v>
      </c>
    </row>
    <row r="557">
      <c r="A557" t="n">
        <v>556</v>
      </c>
      <c r="B557" t="inlineStr">
        <is>
          <t>MTR-IOS-0556</t>
        </is>
      </c>
      <c r="C557" t="inlineStr">
        <is>
          <t>iPhone</t>
        </is>
      </c>
      <c r="D557" t="inlineStr">
        <is>
          <t>Personal</t>
        </is>
      </c>
      <c r="E557" t="inlineStr">
        <is>
          <t>Personal</t>
        </is>
      </c>
      <c r="F557" t="inlineStr">
        <is>
          <t>Life Operations</t>
        </is>
      </c>
      <c r="G557" t="inlineStr">
        <is>
          <t>Rent</t>
        </is>
      </c>
      <c r="H557" t="inlineStr">
        <is>
          <t>Personal &gt; Life Operations &gt; Quick Add &gt; Rent</t>
        </is>
      </c>
      <c r="I557" s="18" t="n">
        <v>5502.66</v>
      </c>
      <c r="J557" t="inlineStr">
        <is>
          <t>Created MTR-IOS-0556 and correlation note visible in Activity/Pulse</t>
        </is>
      </c>
      <c r="K557" t="inlineStr">
        <is>
          <t>NOT_RUN</t>
        </is>
      </c>
      <c r="P557" t="n">
        <v>0</v>
      </c>
      <c r="Q557" t="n">
        <v>556</v>
      </c>
    </row>
    <row r="558">
      <c r="A558" t="n">
        <v>557</v>
      </c>
      <c r="B558" t="inlineStr">
        <is>
          <t>MTR-IOS-0557</t>
        </is>
      </c>
      <c r="C558" t="inlineStr">
        <is>
          <t>iPhone</t>
        </is>
      </c>
      <c r="D558" t="inlineStr">
        <is>
          <t>Group</t>
        </is>
      </c>
      <c r="E558" t="inlineStr">
        <is>
          <t>Shared Experience</t>
        </is>
      </c>
      <c r="F558" t="inlineStr">
        <is>
          <t>Wedding</t>
        </is>
      </c>
      <c r="G558" t="inlineStr">
        <is>
          <t>Gifts</t>
        </is>
      </c>
      <c r="H558" t="inlineStr">
        <is>
          <t>Group &gt; Wedding &gt; Quick Add &gt; Gifts</t>
        </is>
      </c>
      <c r="I558" s="18" t="n">
        <v>17760.78</v>
      </c>
      <c r="J558" t="inlineStr">
        <is>
          <t>Created MTR-IOS-0557 and correlation note visible in Activity/Pulse</t>
        </is>
      </c>
      <c r="K558" t="inlineStr">
        <is>
          <t>NOT_RUN</t>
        </is>
      </c>
      <c r="P558" t="n">
        <v>0</v>
      </c>
      <c r="Q558" t="n">
        <v>557</v>
      </c>
    </row>
    <row r="559">
      <c r="A559" t="n">
        <v>558</v>
      </c>
      <c r="B559" t="inlineStr">
        <is>
          <t>MTR-IOS-0558</t>
        </is>
      </c>
      <c r="C559" t="inlineStr">
        <is>
          <t>iPhone</t>
        </is>
      </c>
      <c r="D559" t="inlineStr">
        <is>
          <t>Business</t>
        </is>
      </c>
      <c r="E559" t="inlineStr">
        <is>
          <t>Business</t>
        </is>
      </c>
      <c r="F559" t="inlineStr">
        <is>
          <t>Business Operations</t>
        </is>
      </c>
      <c r="G559" t="inlineStr">
        <is>
          <t>Accounting</t>
        </is>
      </c>
      <c r="H559" t="inlineStr">
        <is>
          <t>Business &gt; Business Operations &gt; Quick Add &gt; Accounting</t>
        </is>
      </c>
      <c r="I559" s="18" t="n">
        <v>136525.6</v>
      </c>
      <c r="J559" t="inlineStr">
        <is>
          <t>Created MTR-IOS-0558 and correlation note visible in Activity/Pulse</t>
        </is>
      </c>
      <c r="K559" t="inlineStr">
        <is>
          <t>NOT_RUN</t>
        </is>
      </c>
      <c r="P559" t="n">
        <v>0</v>
      </c>
      <c r="Q559" t="n">
        <v>558</v>
      </c>
    </row>
    <row r="560">
      <c r="A560" t="n">
        <v>559</v>
      </c>
      <c r="B560" t="inlineStr">
        <is>
          <t>MTR-IOS-0559</t>
        </is>
      </c>
      <c r="C560" t="inlineStr">
        <is>
          <t>iPhone</t>
        </is>
      </c>
      <c r="D560" t="inlineStr">
        <is>
          <t>Personal</t>
        </is>
      </c>
      <c r="E560" t="inlineStr">
        <is>
          <t>Personal</t>
        </is>
      </c>
      <c r="F560" t="inlineStr">
        <is>
          <t>Life Operations</t>
        </is>
      </c>
      <c r="G560" t="inlineStr">
        <is>
          <t>Bills</t>
        </is>
      </c>
      <c r="H560" t="inlineStr">
        <is>
          <t>Personal &gt; Life Operations &gt; Quick Add &gt; Bills</t>
        </is>
      </c>
      <c r="I560" s="18" t="n">
        <v>9685.73</v>
      </c>
      <c r="J560" t="inlineStr">
        <is>
          <t>Created MTR-IOS-0559 and correlation note visible in Activity/Pulse</t>
        </is>
      </c>
      <c r="K560" t="inlineStr">
        <is>
          <t>NOT_RUN</t>
        </is>
      </c>
      <c r="P560" t="n">
        <v>0</v>
      </c>
      <c r="Q560" t="n">
        <v>559</v>
      </c>
    </row>
    <row r="561">
      <c r="A561" t="n">
        <v>560</v>
      </c>
      <c r="B561" t="inlineStr">
        <is>
          <t>MTR-IOS-0560</t>
        </is>
      </c>
      <c r="C561" t="inlineStr">
        <is>
          <t>iPhone</t>
        </is>
      </c>
      <c r="D561" t="inlineStr">
        <is>
          <t>Group</t>
        </is>
      </c>
      <c r="E561" t="inlineStr">
        <is>
          <t>Shared Experience</t>
        </is>
      </c>
      <c r="F561" t="inlineStr">
        <is>
          <t>Wedding</t>
        </is>
      </c>
      <c r="G561" t="inlineStr">
        <is>
          <t>Photography</t>
        </is>
      </c>
      <c r="H561" t="inlineStr">
        <is>
          <t>Group &gt; Wedding &gt; Quick Add &gt; Photography</t>
        </is>
      </c>
      <c r="I561" s="18" t="n">
        <v>10303.38</v>
      </c>
      <c r="J561" t="inlineStr">
        <is>
          <t>Created MTR-IOS-0560 and correlation note visible in Activity/Pulse</t>
        </is>
      </c>
      <c r="K561" t="inlineStr">
        <is>
          <t>NOT_RUN</t>
        </is>
      </c>
      <c r="P561" t="n">
        <v>0</v>
      </c>
      <c r="Q561" t="n">
        <v>560</v>
      </c>
    </row>
    <row r="562">
      <c r="A562" t="n">
        <v>561</v>
      </c>
      <c r="B562" t="inlineStr">
        <is>
          <t>MTR-IOS-0561</t>
        </is>
      </c>
      <c r="C562" t="inlineStr">
        <is>
          <t>iPhone</t>
        </is>
      </c>
      <c r="D562" t="inlineStr">
        <is>
          <t>Business</t>
        </is>
      </c>
      <c r="E562" t="inlineStr">
        <is>
          <t>Business</t>
        </is>
      </c>
      <c r="F562" t="inlineStr">
        <is>
          <t>Business Operations</t>
        </is>
      </c>
      <c r="G562" t="inlineStr">
        <is>
          <t>Equipment</t>
        </is>
      </c>
      <c r="H562" t="inlineStr">
        <is>
          <t>Business &gt; Business Operations &gt; Quick Add &gt; Equipment</t>
        </is>
      </c>
      <c r="I562" s="18" t="n">
        <v>76900.42999999999</v>
      </c>
      <c r="J562" t="inlineStr">
        <is>
          <t>Created MTR-IOS-0561 and correlation note visible in Activity/Pulse</t>
        </is>
      </c>
      <c r="K562" t="inlineStr">
        <is>
          <t>NOT_RUN</t>
        </is>
      </c>
      <c r="P562" t="n">
        <v>0</v>
      </c>
      <c r="Q562" t="n">
        <v>561</v>
      </c>
    </row>
    <row r="563">
      <c r="A563" t="n">
        <v>562</v>
      </c>
      <c r="B563" t="inlineStr">
        <is>
          <t>MTR-IOS-0562</t>
        </is>
      </c>
      <c r="C563" t="inlineStr">
        <is>
          <t>iPhone</t>
        </is>
      </c>
      <c r="D563" t="inlineStr">
        <is>
          <t>Personal</t>
        </is>
      </c>
      <c r="E563" t="inlineStr">
        <is>
          <t>Personal</t>
        </is>
      </c>
      <c r="F563" t="inlineStr">
        <is>
          <t>Life Operations</t>
        </is>
      </c>
      <c r="G563" t="inlineStr">
        <is>
          <t>Transport</t>
        </is>
      </c>
      <c r="H563" t="inlineStr">
        <is>
          <t>Personal &gt; Life Operations &gt; Quick Add &gt; Transport</t>
        </is>
      </c>
      <c r="I563" s="18" t="n">
        <v>13366.37</v>
      </c>
      <c r="J563" t="inlineStr">
        <is>
          <t>Created MTR-IOS-0562 and correlation note visible in Activity/Pulse</t>
        </is>
      </c>
      <c r="K563" t="inlineStr">
        <is>
          <t>NOT_RUN</t>
        </is>
      </c>
      <c r="P563" t="n">
        <v>0</v>
      </c>
      <c r="Q563" t="n">
        <v>562</v>
      </c>
    </row>
    <row r="564">
      <c r="A564" t="n">
        <v>563</v>
      </c>
      <c r="B564" t="inlineStr">
        <is>
          <t>MTR-IOS-0563</t>
        </is>
      </c>
      <c r="C564" t="inlineStr">
        <is>
          <t>iPhone</t>
        </is>
      </c>
      <c r="D564" t="inlineStr">
        <is>
          <t>Group</t>
        </is>
      </c>
      <c r="E564" t="inlineStr">
        <is>
          <t>Shared Experience</t>
        </is>
      </c>
      <c r="F564" t="inlineStr">
        <is>
          <t>Wedding</t>
        </is>
      </c>
      <c r="G564" t="inlineStr">
        <is>
          <t>Other</t>
        </is>
      </c>
      <c r="H564" t="inlineStr">
        <is>
          <t>Group &gt; Wedding &gt; Quick Add &gt; Other</t>
        </is>
      </c>
      <c r="I564" s="18" t="n">
        <v>18746.66</v>
      </c>
      <c r="J564" t="inlineStr">
        <is>
          <t>Created MTR-IOS-0563 and correlation note visible in Activity/Pulse</t>
        </is>
      </c>
      <c r="K564" t="inlineStr">
        <is>
          <t>NOT_RUN</t>
        </is>
      </c>
      <c r="P564" t="n">
        <v>0</v>
      </c>
      <c r="Q564" t="n">
        <v>563</v>
      </c>
    </row>
    <row r="565">
      <c r="A565" t="n">
        <v>564</v>
      </c>
      <c r="B565" t="inlineStr">
        <is>
          <t>MTR-IOS-0564</t>
        </is>
      </c>
      <c r="C565" t="inlineStr">
        <is>
          <t>iPhone</t>
        </is>
      </c>
      <c r="D565" t="inlineStr">
        <is>
          <t>Business</t>
        </is>
      </c>
      <c r="E565" t="inlineStr">
        <is>
          <t>Business</t>
        </is>
      </c>
      <c r="F565" t="inlineStr">
        <is>
          <t>Business Operations</t>
        </is>
      </c>
      <c r="G565" t="inlineStr">
        <is>
          <t>Vendor</t>
        </is>
      </c>
      <c r="H565" t="inlineStr">
        <is>
          <t>Business &gt; Business Operations &gt; Quick Add &gt; Vendor</t>
        </is>
      </c>
      <c r="I565" s="18" t="n">
        <v>5157.89</v>
      </c>
      <c r="J565" t="inlineStr">
        <is>
          <t>Created MTR-IOS-0564 and correlation note visible in Activity/Pulse</t>
        </is>
      </c>
      <c r="K565" t="inlineStr">
        <is>
          <t>NOT_RUN</t>
        </is>
      </c>
      <c r="P565" t="n">
        <v>0</v>
      </c>
      <c r="Q565" t="n">
        <v>564</v>
      </c>
    </row>
    <row r="566">
      <c r="A566" t="n">
        <v>565</v>
      </c>
      <c r="B566" t="inlineStr">
        <is>
          <t>MTR-IOS-0565</t>
        </is>
      </c>
      <c r="C566" t="inlineStr">
        <is>
          <t>iPhone</t>
        </is>
      </c>
      <c r="D566" t="inlineStr">
        <is>
          <t>Personal</t>
        </is>
      </c>
      <c r="E566" t="inlineStr">
        <is>
          <t>Personal</t>
        </is>
      </c>
      <c r="F566" t="inlineStr">
        <is>
          <t>Life Operations</t>
        </is>
      </c>
      <c r="G566" t="inlineStr">
        <is>
          <t>Healthcare</t>
        </is>
      </c>
      <c r="H566" t="inlineStr">
        <is>
          <t>Personal &gt; Life Operations &gt; Quick Add &gt; Healthcare</t>
        </is>
      </c>
      <c r="I566" s="18" t="n">
        <v>15676.53</v>
      </c>
      <c r="J566" t="inlineStr">
        <is>
          <t>Created MTR-IOS-0565 and correlation note visible in Activity/Pulse</t>
        </is>
      </c>
      <c r="K566" t="inlineStr">
        <is>
          <t>NOT_RUN</t>
        </is>
      </c>
      <c r="P566" t="n">
        <v>0</v>
      </c>
      <c r="Q566" t="n">
        <v>565</v>
      </c>
    </row>
    <row r="567">
      <c r="A567" t="n">
        <v>566</v>
      </c>
      <c r="B567" t="inlineStr">
        <is>
          <t>MTR-IOS-0566</t>
        </is>
      </c>
      <c r="C567" t="inlineStr">
        <is>
          <t>iPhone</t>
        </is>
      </c>
      <c r="D567" t="inlineStr">
        <is>
          <t>Group</t>
        </is>
      </c>
      <c r="E567" t="inlineStr">
        <is>
          <t>Shared Experience</t>
        </is>
      </c>
      <c r="F567" t="inlineStr">
        <is>
          <t>Office Outing</t>
        </is>
      </c>
      <c r="G567" t="inlineStr">
        <is>
          <t>Food</t>
        </is>
      </c>
      <c r="H567" t="inlineStr">
        <is>
          <t>Group &gt; Office Outing &gt; Quick Add &gt; Food</t>
        </is>
      </c>
      <c r="I567" s="18" t="n">
        <v>20585.49</v>
      </c>
      <c r="J567" t="inlineStr">
        <is>
          <t>Created MTR-IOS-0566 and correlation note visible in Activity/Pulse</t>
        </is>
      </c>
      <c r="K567" t="inlineStr">
        <is>
          <t>NOT_RUN</t>
        </is>
      </c>
      <c r="P567" t="n">
        <v>0</v>
      </c>
      <c r="Q567" t="n">
        <v>566</v>
      </c>
    </row>
    <row r="568">
      <c r="A568" t="n">
        <v>567</v>
      </c>
      <c r="B568" t="inlineStr">
        <is>
          <t>MTR-IOS-0567</t>
        </is>
      </c>
      <c r="C568" t="inlineStr">
        <is>
          <t>iPhone</t>
        </is>
      </c>
      <c r="D568" t="inlineStr">
        <is>
          <t>Business</t>
        </is>
      </c>
      <c r="E568" t="inlineStr">
        <is>
          <t>Business</t>
        </is>
      </c>
      <c r="F568" t="inlineStr">
        <is>
          <t>Business Operations</t>
        </is>
      </c>
      <c r="G568" t="inlineStr">
        <is>
          <t>Tax</t>
        </is>
      </c>
      <c r="H568" t="inlineStr">
        <is>
          <t>Business &gt; Business Operations &gt; Quick Add &gt; Tax</t>
        </is>
      </c>
      <c r="I568" s="18" t="n">
        <v>51587.42</v>
      </c>
      <c r="J568" t="inlineStr">
        <is>
          <t>Created MTR-IOS-0567 and correlation note visible in Activity/Pulse</t>
        </is>
      </c>
      <c r="K568" t="inlineStr">
        <is>
          <t>NOT_RUN</t>
        </is>
      </c>
      <c r="P568" t="n">
        <v>0</v>
      </c>
      <c r="Q568" t="n">
        <v>567</v>
      </c>
    </row>
    <row r="569">
      <c r="A569" t="n">
        <v>568</v>
      </c>
      <c r="B569" t="inlineStr">
        <is>
          <t>MTR-IOS-0568</t>
        </is>
      </c>
      <c r="C569" t="inlineStr">
        <is>
          <t>iPhone</t>
        </is>
      </c>
      <c r="D569" t="inlineStr">
        <is>
          <t>Personal</t>
        </is>
      </c>
      <c r="E569" t="inlineStr">
        <is>
          <t>Personal</t>
        </is>
      </c>
      <c r="F569" t="inlineStr">
        <is>
          <t>Life Operations</t>
        </is>
      </c>
      <c r="G569" t="inlineStr">
        <is>
          <t>Subscriptions</t>
        </is>
      </c>
      <c r="H569" t="inlineStr">
        <is>
          <t>Personal &gt; Life Operations &gt; Quick Add &gt; Subscriptions</t>
        </is>
      </c>
      <c r="I569" s="18" t="n">
        <v>198.23</v>
      </c>
      <c r="J569" t="inlineStr">
        <is>
          <t>Created MTR-IOS-0568 and correlation note visible in Activity/Pulse</t>
        </is>
      </c>
      <c r="K569" t="inlineStr">
        <is>
          <t>NOT_RUN</t>
        </is>
      </c>
      <c r="P569" t="n">
        <v>0</v>
      </c>
      <c r="Q569" t="n">
        <v>568</v>
      </c>
    </row>
    <row r="570">
      <c r="A570" t="n">
        <v>569</v>
      </c>
      <c r="B570" t="inlineStr">
        <is>
          <t>MTR-IOS-0569</t>
        </is>
      </c>
      <c r="C570" t="inlineStr">
        <is>
          <t>iPhone</t>
        </is>
      </c>
      <c r="D570" t="inlineStr">
        <is>
          <t>Group</t>
        </is>
      </c>
      <c r="E570" t="inlineStr">
        <is>
          <t>Shared Experience</t>
        </is>
      </c>
      <c r="F570" t="inlineStr">
        <is>
          <t>Office Outing</t>
        </is>
      </c>
      <c r="G570" t="inlineStr">
        <is>
          <t>Travel</t>
        </is>
      </c>
      <c r="H570" t="inlineStr">
        <is>
          <t>Group &gt; Office Outing &gt; Quick Add &gt; Travel</t>
        </is>
      </c>
      <c r="I570" s="18" t="n">
        <v>19065.06</v>
      </c>
      <c r="J570" t="inlineStr">
        <is>
          <t>Created MTR-IOS-0569 and correlation note visible in Activity/Pulse</t>
        </is>
      </c>
      <c r="K570" t="inlineStr">
        <is>
          <t>NOT_RUN</t>
        </is>
      </c>
      <c r="P570" t="n">
        <v>0</v>
      </c>
      <c r="Q570" t="n">
        <v>569</v>
      </c>
    </row>
    <row r="571">
      <c r="A571" t="n">
        <v>570</v>
      </c>
      <c r="B571" t="inlineStr">
        <is>
          <t>MTR-IOS-0570</t>
        </is>
      </c>
      <c r="C571" t="inlineStr">
        <is>
          <t>iPhone</t>
        </is>
      </c>
      <c r="D571" t="inlineStr">
        <is>
          <t>Business</t>
        </is>
      </c>
      <c r="E571" t="inlineStr">
        <is>
          <t>Business</t>
        </is>
      </c>
      <c r="F571" t="inlineStr">
        <is>
          <t>Team Operations</t>
        </is>
      </c>
      <c r="G571" t="inlineStr">
        <is>
          <t>Payroll</t>
        </is>
      </c>
      <c r="H571" t="inlineStr">
        <is>
          <t>Business &gt; Team Operations &gt; Quick Add &gt; Payroll</t>
        </is>
      </c>
      <c r="I571" s="18" t="n">
        <v>84539.02</v>
      </c>
      <c r="J571" t="inlineStr">
        <is>
          <t>Created MTR-IOS-0570 and correlation note visible in Activity/Pulse</t>
        </is>
      </c>
      <c r="K571" t="inlineStr">
        <is>
          <t>NOT_RUN</t>
        </is>
      </c>
      <c r="P571" t="n">
        <v>0</v>
      </c>
      <c r="Q571" t="n">
        <v>570</v>
      </c>
    </row>
    <row r="572">
      <c r="A572" t="n">
        <v>571</v>
      </c>
      <c r="B572" t="inlineStr">
        <is>
          <t>MTR-IOS-0571</t>
        </is>
      </c>
      <c r="C572" t="inlineStr">
        <is>
          <t>iPhone</t>
        </is>
      </c>
      <c r="D572" t="inlineStr">
        <is>
          <t>Personal</t>
        </is>
      </c>
      <c r="E572" t="inlineStr">
        <is>
          <t>Personal</t>
        </is>
      </c>
      <c r="F572" t="inlineStr">
        <is>
          <t>Life Operations</t>
        </is>
      </c>
      <c r="G572" t="inlineStr">
        <is>
          <t>Repairs</t>
        </is>
      </c>
      <c r="H572" t="inlineStr">
        <is>
          <t>Personal &gt; Life Operations &gt; Quick Add &gt; Repairs</t>
        </is>
      </c>
      <c r="I572" s="18" t="n">
        <v>3685.26</v>
      </c>
      <c r="J572" t="inlineStr">
        <is>
          <t>Created MTR-IOS-0571 and correlation note visible in Activity/Pulse</t>
        </is>
      </c>
      <c r="K572" t="inlineStr">
        <is>
          <t>NOT_RUN</t>
        </is>
      </c>
      <c r="P572" t="n">
        <v>0</v>
      </c>
      <c r="Q572" t="n">
        <v>571</v>
      </c>
    </row>
    <row r="573">
      <c r="A573" t="n">
        <v>572</v>
      </c>
      <c r="B573" t="inlineStr">
        <is>
          <t>MTR-IOS-0572</t>
        </is>
      </c>
      <c r="C573" t="inlineStr">
        <is>
          <t>iPhone</t>
        </is>
      </c>
      <c r="D573" t="inlineStr">
        <is>
          <t>Group</t>
        </is>
      </c>
      <c r="E573" t="inlineStr">
        <is>
          <t>Shared Experience</t>
        </is>
      </c>
      <c r="F573" t="inlineStr">
        <is>
          <t>Office Outing</t>
        </is>
      </c>
      <c r="G573" t="inlineStr">
        <is>
          <t>Activities</t>
        </is>
      </c>
      <c r="H573" t="inlineStr">
        <is>
          <t>Group &gt; Office Outing &gt; Quick Add &gt; Activities</t>
        </is>
      </c>
      <c r="I573" s="18" t="n">
        <v>9827.799999999999</v>
      </c>
      <c r="J573" t="inlineStr">
        <is>
          <t>Created MTR-IOS-0572 and correlation note visible in Activity/Pulse</t>
        </is>
      </c>
      <c r="K573" t="inlineStr">
        <is>
          <t>NOT_RUN</t>
        </is>
      </c>
      <c r="P573" t="n">
        <v>0</v>
      </c>
      <c r="Q573" t="n">
        <v>572</v>
      </c>
    </row>
    <row r="574">
      <c r="A574" t="n">
        <v>573</v>
      </c>
      <c r="B574" t="inlineStr">
        <is>
          <t>MTR-IOS-0573</t>
        </is>
      </c>
      <c r="C574" t="inlineStr">
        <is>
          <t>iPhone</t>
        </is>
      </c>
      <c r="D574" t="inlineStr">
        <is>
          <t>Business</t>
        </is>
      </c>
      <c r="E574" t="inlineStr">
        <is>
          <t>Business</t>
        </is>
      </c>
      <c r="F574" t="inlineStr">
        <is>
          <t>Team Operations</t>
        </is>
      </c>
      <c r="G574" t="inlineStr">
        <is>
          <t>Contractor</t>
        </is>
      </c>
      <c r="H574" t="inlineStr">
        <is>
          <t>Business &gt; Team Operations &gt; Quick Add &gt; Contractor</t>
        </is>
      </c>
      <c r="I574" s="18" t="n">
        <v>152796.41</v>
      </c>
      <c r="J574" t="inlineStr">
        <is>
          <t>Created MTR-IOS-0573 and correlation note visible in Activity/Pulse</t>
        </is>
      </c>
      <c r="K574" t="inlineStr">
        <is>
          <t>NOT_RUN</t>
        </is>
      </c>
      <c r="P574" t="n">
        <v>0</v>
      </c>
      <c r="Q574" t="n">
        <v>573</v>
      </c>
    </row>
    <row r="575">
      <c r="A575" t="n">
        <v>574</v>
      </c>
      <c r="B575" t="inlineStr">
        <is>
          <t>MTR-IOS-0574</t>
        </is>
      </c>
      <c r="C575" t="inlineStr">
        <is>
          <t>iPhone</t>
        </is>
      </c>
      <c r="D575" t="inlineStr">
        <is>
          <t>Personal</t>
        </is>
      </c>
      <c r="E575" t="inlineStr">
        <is>
          <t>Personal</t>
        </is>
      </c>
      <c r="F575" t="inlineStr">
        <is>
          <t>Future Building</t>
        </is>
      </c>
      <c r="G575" t="inlineStr">
        <is>
          <t>Savings</t>
        </is>
      </c>
      <c r="H575" t="inlineStr">
        <is>
          <t>Personal &gt; Future Building &gt; Quick Add &gt; Savings</t>
        </is>
      </c>
      <c r="I575" s="18" t="n">
        <v>7463.81</v>
      </c>
      <c r="J575" t="inlineStr">
        <is>
          <t>Created MTR-IOS-0574 and correlation note visible in Activity/Pulse</t>
        </is>
      </c>
      <c r="K575" t="inlineStr">
        <is>
          <t>NOT_RUN</t>
        </is>
      </c>
      <c r="P575" t="n">
        <v>0</v>
      </c>
      <c r="Q575" t="n">
        <v>574</v>
      </c>
    </row>
    <row r="576">
      <c r="A576" t="n">
        <v>575</v>
      </c>
      <c r="B576" t="inlineStr">
        <is>
          <t>MTR-IOS-0575</t>
        </is>
      </c>
      <c r="C576" t="inlineStr">
        <is>
          <t>iPhone</t>
        </is>
      </c>
      <c r="D576" t="inlineStr">
        <is>
          <t>Group</t>
        </is>
      </c>
      <c r="E576" t="inlineStr">
        <is>
          <t>Shared Experience</t>
        </is>
      </c>
      <c r="F576" t="inlineStr">
        <is>
          <t>Office Outing</t>
        </is>
      </c>
      <c r="G576" t="inlineStr">
        <is>
          <t>Venue</t>
        </is>
      </c>
      <c r="H576" t="inlineStr">
        <is>
          <t>Group &gt; Office Outing &gt; Quick Add &gt; Venue</t>
        </is>
      </c>
      <c r="I576" s="18" t="n">
        <v>84.77</v>
      </c>
      <c r="J576" t="inlineStr">
        <is>
          <t>Created MTR-IOS-0575 and correlation note visible in Activity/Pulse</t>
        </is>
      </c>
      <c r="K576" t="inlineStr">
        <is>
          <t>NOT_RUN</t>
        </is>
      </c>
      <c r="P576" t="n">
        <v>0</v>
      </c>
      <c r="Q576" t="n">
        <v>575</v>
      </c>
    </row>
    <row r="577">
      <c r="A577" t="n">
        <v>576</v>
      </c>
      <c r="B577" t="inlineStr">
        <is>
          <t>MTR-IOS-0576</t>
        </is>
      </c>
      <c r="C577" t="inlineStr">
        <is>
          <t>iPhone</t>
        </is>
      </c>
      <c r="D577" t="inlineStr">
        <is>
          <t>Business</t>
        </is>
      </c>
      <c r="E577" t="inlineStr">
        <is>
          <t>Business</t>
        </is>
      </c>
      <c r="F577" t="inlineStr">
        <is>
          <t>Team Operations</t>
        </is>
      </c>
      <c r="G577" t="inlineStr">
        <is>
          <t>Hiring</t>
        </is>
      </c>
      <c r="H577" t="inlineStr">
        <is>
          <t>Business &gt; Team Operations &gt; Quick Add &gt; Hiring</t>
        </is>
      </c>
      <c r="I577" s="18" t="n">
        <v>150848.4</v>
      </c>
      <c r="J577" t="inlineStr">
        <is>
          <t>Created MTR-IOS-0576 and correlation note visible in Activity/Pulse</t>
        </is>
      </c>
      <c r="K577" t="inlineStr">
        <is>
          <t>NOT_RUN</t>
        </is>
      </c>
      <c r="P577" t="n">
        <v>0</v>
      </c>
      <c r="Q577" t="n">
        <v>576</v>
      </c>
    </row>
    <row r="578">
      <c r="A578" t="n">
        <v>577</v>
      </c>
      <c r="B578" t="inlineStr">
        <is>
          <t>MTR-IOS-0577</t>
        </is>
      </c>
      <c r="C578" t="inlineStr">
        <is>
          <t>iPhone</t>
        </is>
      </c>
      <c r="D578" t="inlineStr">
        <is>
          <t>Personal</t>
        </is>
      </c>
      <c r="E578" t="inlineStr">
        <is>
          <t>Personal</t>
        </is>
      </c>
      <c r="F578" t="inlineStr">
        <is>
          <t>Future Building</t>
        </is>
      </c>
      <c r="G578" t="inlineStr">
        <is>
          <t>Emergency Fund</t>
        </is>
      </c>
      <c r="H578" t="inlineStr">
        <is>
          <t>Personal &gt; Future Building &gt; Quick Add &gt; Emergency Fund</t>
        </is>
      </c>
      <c r="I578" s="18" t="n">
        <v>4027.98</v>
      </c>
      <c r="J578" t="inlineStr">
        <is>
          <t>Created MTR-IOS-0577 and correlation note visible in Activity/Pulse</t>
        </is>
      </c>
      <c r="K578" t="inlineStr">
        <is>
          <t>NOT_RUN</t>
        </is>
      </c>
      <c r="P578" t="n">
        <v>0</v>
      </c>
      <c r="Q578" t="n">
        <v>577</v>
      </c>
    </row>
    <row r="579">
      <c r="A579" t="n">
        <v>578</v>
      </c>
      <c r="B579" t="inlineStr">
        <is>
          <t>MTR-IOS-0578</t>
        </is>
      </c>
      <c r="C579" t="inlineStr">
        <is>
          <t>iPhone</t>
        </is>
      </c>
      <c r="D579" t="inlineStr">
        <is>
          <t>Group</t>
        </is>
      </c>
      <c r="E579" t="inlineStr">
        <is>
          <t>Shared Experience</t>
        </is>
      </c>
      <c r="F579" t="inlineStr">
        <is>
          <t>Office Outing</t>
        </is>
      </c>
      <c r="G579" t="inlineStr">
        <is>
          <t>Other</t>
        </is>
      </c>
      <c r="H579" t="inlineStr">
        <is>
          <t>Group &gt; Office Outing &gt; Quick Add &gt; Other</t>
        </is>
      </c>
      <c r="I579" s="18" t="n">
        <v>419.29</v>
      </c>
      <c r="J579" t="inlineStr">
        <is>
          <t>Created MTR-IOS-0578 and correlation note visible in Activity/Pulse</t>
        </is>
      </c>
      <c r="K579" t="inlineStr">
        <is>
          <t>NOT_RUN</t>
        </is>
      </c>
      <c r="P579" t="n">
        <v>0</v>
      </c>
      <c r="Q579" t="n">
        <v>578</v>
      </c>
    </row>
    <row r="580">
      <c r="A580" t="n">
        <v>579</v>
      </c>
      <c r="B580" t="inlineStr">
        <is>
          <t>MTR-IOS-0579</t>
        </is>
      </c>
      <c r="C580" t="inlineStr">
        <is>
          <t>iPhone</t>
        </is>
      </c>
      <c r="D580" t="inlineStr">
        <is>
          <t>Business</t>
        </is>
      </c>
      <c r="E580" t="inlineStr">
        <is>
          <t>Business</t>
        </is>
      </c>
      <c r="F580" t="inlineStr">
        <is>
          <t>Team Operations</t>
        </is>
      </c>
      <c r="G580" t="inlineStr">
        <is>
          <t>Team Meal</t>
        </is>
      </c>
      <c r="H580" t="inlineStr">
        <is>
          <t>Business &gt; Team Operations &gt; Quick Add &gt; Team Meal</t>
        </is>
      </c>
      <c r="I580" s="18" t="n">
        <v>45744.78</v>
      </c>
      <c r="J580" t="inlineStr">
        <is>
          <t>Created MTR-IOS-0579 and correlation note visible in Activity/Pulse</t>
        </is>
      </c>
      <c r="K580" t="inlineStr">
        <is>
          <t>NOT_RUN</t>
        </is>
      </c>
      <c r="P580" t="n">
        <v>0</v>
      </c>
      <c r="Q580" t="n">
        <v>579</v>
      </c>
    </row>
    <row r="581">
      <c r="A581" t="n">
        <v>580</v>
      </c>
      <c r="B581" t="inlineStr">
        <is>
          <t>MTR-IOS-0580</t>
        </is>
      </c>
      <c r="C581" t="inlineStr">
        <is>
          <t>iPhone</t>
        </is>
      </c>
      <c r="D581" t="inlineStr">
        <is>
          <t>Personal</t>
        </is>
      </c>
      <c r="E581" t="inlineStr">
        <is>
          <t>Personal</t>
        </is>
      </c>
      <c r="F581" t="inlineStr">
        <is>
          <t>Future Building</t>
        </is>
      </c>
      <c r="G581" t="inlineStr">
        <is>
          <t>Investments</t>
        </is>
      </c>
      <c r="H581" t="inlineStr">
        <is>
          <t>Personal &gt; Future Building &gt; Quick Add &gt; Investments</t>
        </is>
      </c>
      <c r="I581" s="18" t="n">
        <v>12676.47</v>
      </c>
      <c r="J581" t="inlineStr">
        <is>
          <t>Created MTR-IOS-0580 and correlation note visible in Activity/Pulse</t>
        </is>
      </c>
      <c r="K581" t="inlineStr">
        <is>
          <t>NOT_RUN</t>
        </is>
      </c>
      <c r="P581" t="n">
        <v>0</v>
      </c>
      <c r="Q581" t="n">
        <v>580</v>
      </c>
    </row>
    <row r="582">
      <c r="A582" t="n">
        <v>581</v>
      </c>
      <c r="B582" t="inlineStr">
        <is>
          <t>MTR-IOS-0581</t>
        </is>
      </c>
      <c r="C582" t="inlineStr">
        <is>
          <t>iPhone</t>
        </is>
      </c>
      <c r="D582" t="inlineStr">
        <is>
          <t>Group</t>
        </is>
      </c>
      <c r="E582" t="inlineStr">
        <is>
          <t>Shared Experience</t>
        </is>
      </c>
      <c r="F582" t="inlineStr">
        <is>
          <t>House Party</t>
        </is>
      </c>
      <c r="G582" t="inlineStr">
        <is>
          <t>Food</t>
        </is>
      </c>
      <c r="H582" t="inlineStr">
        <is>
          <t>Group &gt; House Party &gt; Quick Add &gt; Food</t>
        </is>
      </c>
      <c r="I582" s="18" t="n">
        <v>2033.2</v>
      </c>
      <c r="J582" t="inlineStr">
        <is>
          <t>Created MTR-IOS-0581 and correlation note visible in Activity/Pulse</t>
        </is>
      </c>
      <c r="K582" t="inlineStr">
        <is>
          <t>NOT_RUN</t>
        </is>
      </c>
      <c r="P582" t="n">
        <v>0</v>
      </c>
      <c r="Q582" t="n">
        <v>581</v>
      </c>
    </row>
    <row r="583">
      <c r="A583" t="n">
        <v>582</v>
      </c>
      <c r="B583" t="inlineStr">
        <is>
          <t>MTR-IOS-0582</t>
        </is>
      </c>
      <c r="C583" t="inlineStr">
        <is>
          <t>iPhone</t>
        </is>
      </c>
      <c r="D583" t="inlineStr">
        <is>
          <t>Business</t>
        </is>
      </c>
      <c r="E583" t="inlineStr">
        <is>
          <t>Business</t>
        </is>
      </c>
      <c r="F583" t="inlineStr">
        <is>
          <t>Team Operations</t>
        </is>
      </c>
      <c r="G583" t="inlineStr">
        <is>
          <t>Travel</t>
        </is>
      </c>
      <c r="H583" t="inlineStr">
        <is>
          <t>Business &gt; Team Operations &gt; Quick Add &gt; Travel</t>
        </is>
      </c>
      <c r="I583" s="18" t="n">
        <v>58970.47</v>
      </c>
      <c r="J583" t="inlineStr">
        <is>
          <t>Created MTR-IOS-0582 and correlation note visible in Activity/Pulse</t>
        </is>
      </c>
      <c r="K583" t="inlineStr">
        <is>
          <t>NOT_RUN</t>
        </is>
      </c>
      <c r="P583" t="n">
        <v>0</v>
      </c>
      <c r="Q583" t="n">
        <v>582</v>
      </c>
    </row>
    <row r="584">
      <c r="A584" t="n">
        <v>583</v>
      </c>
      <c r="B584" t="inlineStr">
        <is>
          <t>MTR-IOS-0583</t>
        </is>
      </c>
      <c r="C584" t="inlineStr">
        <is>
          <t>iPhone</t>
        </is>
      </c>
      <c r="D584" t="inlineStr">
        <is>
          <t>Personal</t>
        </is>
      </c>
      <c r="E584" t="inlineStr">
        <is>
          <t>Personal</t>
        </is>
      </c>
      <c r="F584" t="inlineStr">
        <is>
          <t>Future Building</t>
        </is>
      </c>
      <c r="G584" t="inlineStr">
        <is>
          <t>Education</t>
        </is>
      </c>
      <c r="H584" t="inlineStr">
        <is>
          <t>Personal &gt; Future Building &gt; Quick Add &gt; Education</t>
        </is>
      </c>
      <c r="I584" s="18" t="n">
        <v>8299</v>
      </c>
      <c r="J584" t="inlineStr">
        <is>
          <t>Created MTR-IOS-0583 and correlation note visible in Activity/Pulse</t>
        </is>
      </c>
      <c r="K584" t="inlineStr">
        <is>
          <t>NOT_RUN</t>
        </is>
      </c>
      <c r="P584" t="n">
        <v>0</v>
      </c>
      <c r="Q584" t="n">
        <v>583</v>
      </c>
    </row>
    <row r="585">
      <c r="A585" t="n">
        <v>584</v>
      </c>
      <c r="B585" t="inlineStr">
        <is>
          <t>MTR-IOS-0584</t>
        </is>
      </c>
      <c r="C585" t="inlineStr">
        <is>
          <t>iPhone</t>
        </is>
      </c>
      <c r="D585" t="inlineStr">
        <is>
          <t>Group</t>
        </is>
      </c>
      <c r="E585" t="inlineStr">
        <is>
          <t>Shared Experience</t>
        </is>
      </c>
      <c r="F585" t="inlineStr">
        <is>
          <t>House Party</t>
        </is>
      </c>
      <c r="G585" t="inlineStr">
        <is>
          <t>Drinks</t>
        </is>
      </c>
      <c r="H585" t="inlineStr">
        <is>
          <t>Group &gt; House Party &gt; Quick Add &gt; Drinks</t>
        </is>
      </c>
      <c r="I585" s="18" t="n">
        <v>11477.96</v>
      </c>
      <c r="J585" t="inlineStr">
        <is>
          <t>Created MTR-IOS-0584 and correlation note visible in Activity/Pulse</t>
        </is>
      </c>
      <c r="K585" t="inlineStr">
        <is>
          <t>NOT_RUN</t>
        </is>
      </c>
      <c r="P585" t="n">
        <v>0</v>
      </c>
      <c r="Q585" t="n">
        <v>584</v>
      </c>
    </row>
    <row r="586">
      <c r="A586" t="n">
        <v>585</v>
      </c>
      <c r="B586" t="inlineStr">
        <is>
          <t>MTR-IOS-0585</t>
        </is>
      </c>
      <c r="C586" t="inlineStr">
        <is>
          <t>iPhone</t>
        </is>
      </c>
      <c r="D586" t="inlineStr">
        <is>
          <t>Business</t>
        </is>
      </c>
      <c r="E586" t="inlineStr">
        <is>
          <t>Business</t>
        </is>
      </c>
      <c r="F586" t="inlineStr">
        <is>
          <t>Team Operations</t>
        </is>
      </c>
      <c r="G586" t="inlineStr">
        <is>
          <t>Training</t>
        </is>
      </c>
      <c r="H586" t="inlineStr">
        <is>
          <t>Business &gt; Team Operations &gt; Quick Add &gt; Training</t>
        </is>
      </c>
      <c r="I586" s="18" t="n">
        <v>132351.26</v>
      </c>
      <c r="J586" t="inlineStr">
        <is>
          <t>Created MTR-IOS-0585 and correlation note visible in Activity/Pulse</t>
        </is>
      </c>
      <c r="K586" t="inlineStr">
        <is>
          <t>NOT_RUN</t>
        </is>
      </c>
      <c r="P586" t="n">
        <v>0</v>
      </c>
      <c r="Q586" t="n">
        <v>585</v>
      </c>
    </row>
    <row r="587">
      <c r="A587" t="n">
        <v>586</v>
      </c>
      <c r="B587" t="inlineStr">
        <is>
          <t>MTR-IOS-0586</t>
        </is>
      </c>
      <c r="C587" t="inlineStr">
        <is>
          <t>iPhone</t>
        </is>
      </c>
      <c r="D587" t="inlineStr">
        <is>
          <t>Personal</t>
        </is>
      </c>
      <c r="E587" t="inlineStr">
        <is>
          <t>Personal</t>
        </is>
      </c>
      <c r="F587" t="inlineStr">
        <is>
          <t>Future Building</t>
        </is>
      </c>
      <c r="G587" t="inlineStr">
        <is>
          <t>Goal Contribution</t>
        </is>
      </c>
      <c r="H587" t="inlineStr">
        <is>
          <t>Personal &gt; Future Building &gt; Quick Add &gt; Goal Contribution</t>
        </is>
      </c>
      <c r="I587" s="18" t="n">
        <v>7479.81</v>
      </c>
      <c r="J587" t="inlineStr">
        <is>
          <t>Created MTR-IOS-0586 and correlation note visible in Activity/Pulse</t>
        </is>
      </c>
      <c r="K587" t="inlineStr">
        <is>
          <t>NOT_RUN</t>
        </is>
      </c>
      <c r="P587" t="n">
        <v>0</v>
      </c>
      <c r="Q587" t="n">
        <v>586</v>
      </c>
    </row>
    <row r="588">
      <c r="A588" t="n">
        <v>587</v>
      </c>
      <c r="B588" t="inlineStr">
        <is>
          <t>MTR-IOS-0587</t>
        </is>
      </c>
      <c r="C588" t="inlineStr">
        <is>
          <t>iPhone</t>
        </is>
      </c>
      <c r="D588" t="inlineStr">
        <is>
          <t>Group</t>
        </is>
      </c>
      <c r="E588" t="inlineStr">
        <is>
          <t>Shared Experience</t>
        </is>
      </c>
      <c r="F588" t="inlineStr">
        <is>
          <t>House Party</t>
        </is>
      </c>
      <c r="G588" t="inlineStr">
        <is>
          <t>Decor</t>
        </is>
      </c>
      <c r="H588" t="inlineStr">
        <is>
          <t>Group &gt; House Party &gt; Quick Add &gt; Decor</t>
        </is>
      </c>
      <c r="I588" s="18" t="n">
        <v>21960.55</v>
      </c>
      <c r="J588" t="inlineStr">
        <is>
          <t>Created MTR-IOS-0587 and correlation note visible in Activity/Pulse</t>
        </is>
      </c>
      <c r="K588" t="inlineStr">
        <is>
          <t>NOT_RUN</t>
        </is>
      </c>
      <c r="P588" t="n">
        <v>0</v>
      </c>
      <c r="Q588" t="n">
        <v>587</v>
      </c>
    </row>
    <row r="589">
      <c r="A589" t="n">
        <v>588</v>
      </c>
      <c r="B589" t="inlineStr">
        <is>
          <t>MTR-IOS-0588</t>
        </is>
      </c>
      <c r="C589" t="inlineStr">
        <is>
          <t>iPhone</t>
        </is>
      </c>
      <c r="D589" t="inlineStr">
        <is>
          <t>Business</t>
        </is>
      </c>
      <c r="E589" t="inlineStr">
        <is>
          <t>Business</t>
        </is>
      </c>
      <c r="F589" t="inlineStr">
        <is>
          <t>Team Operations</t>
        </is>
      </c>
      <c r="G589" t="inlineStr">
        <is>
          <t>Tools</t>
        </is>
      </c>
      <c r="H589" t="inlineStr">
        <is>
          <t>Business &gt; Team Operations &gt; Quick Add &gt; Tools</t>
        </is>
      </c>
      <c r="I589" s="18" t="n">
        <v>145428.15</v>
      </c>
      <c r="J589" t="inlineStr">
        <is>
          <t>Created MTR-IOS-0588 and correlation note visible in Activity/Pulse</t>
        </is>
      </c>
      <c r="K589" t="inlineStr">
        <is>
          <t>NOT_RUN</t>
        </is>
      </c>
      <c r="P589" t="n">
        <v>0</v>
      </c>
      <c r="Q589" t="n">
        <v>588</v>
      </c>
    </row>
    <row r="590">
      <c r="A590" t="n">
        <v>589</v>
      </c>
      <c r="B590" t="inlineStr">
        <is>
          <t>MTR-IOS-0589</t>
        </is>
      </c>
      <c r="C590" t="inlineStr">
        <is>
          <t>iPhone</t>
        </is>
      </c>
      <c r="D590" t="inlineStr">
        <is>
          <t>Personal</t>
        </is>
      </c>
      <c r="E590" t="inlineStr">
        <is>
          <t>Personal</t>
        </is>
      </c>
      <c r="F590" t="inlineStr">
        <is>
          <t>Lifestyle</t>
        </is>
      </c>
      <c r="G590" t="inlineStr">
        <is>
          <t>Dining</t>
        </is>
      </c>
      <c r="H590" t="inlineStr">
        <is>
          <t>Personal &gt; Lifestyle &gt; Quick Add &gt; Dining</t>
        </is>
      </c>
      <c r="I590" s="18" t="n">
        <v>16504.03</v>
      </c>
      <c r="J590" t="inlineStr">
        <is>
          <t>Created MTR-IOS-0589 and correlation note visible in Activity/Pulse</t>
        </is>
      </c>
      <c r="K590" t="inlineStr">
        <is>
          <t>NOT_RUN</t>
        </is>
      </c>
      <c r="P590" t="n">
        <v>0</v>
      </c>
      <c r="Q590" t="n">
        <v>589</v>
      </c>
    </row>
    <row r="591">
      <c r="A591" t="n">
        <v>590</v>
      </c>
      <c r="B591" t="inlineStr">
        <is>
          <t>MTR-IOS-0590</t>
        </is>
      </c>
      <c r="C591" t="inlineStr">
        <is>
          <t>iPhone</t>
        </is>
      </c>
      <c r="D591" t="inlineStr">
        <is>
          <t>Group</t>
        </is>
      </c>
      <c r="E591" t="inlineStr">
        <is>
          <t>Shared Experience</t>
        </is>
      </c>
      <c r="F591" t="inlineStr">
        <is>
          <t>House Party</t>
        </is>
      </c>
      <c r="G591" t="inlineStr">
        <is>
          <t>Supplies</t>
        </is>
      </c>
      <c r="H591" t="inlineStr">
        <is>
          <t>Group &gt; House Party &gt; Quick Add &gt; Supplies</t>
        </is>
      </c>
      <c r="I591" s="18" t="n">
        <v>6551.22</v>
      </c>
      <c r="J591" t="inlineStr">
        <is>
          <t>Created MTR-IOS-0590 and correlation note visible in Activity/Pulse</t>
        </is>
      </c>
      <c r="K591" t="inlineStr">
        <is>
          <t>NOT_RUN</t>
        </is>
      </c>
      <c r="P591" t="n">
        <v>0</v>
      </c>
      <c r="Q591" t="n">
        <v>590</v>
      </c>
    </row>
    <row r="592">
      <c r="A592" t="n">
        <v>591</v>
      </c>
      <c r="B592" t="inlineStr">
        <is>
          <t>MTR-IOS-0591</t>
        </is>
      </c>
      <c r="C592" t="inlineStr">
        <is>
          <t>iPhone</t>
        </is>
      </c>
      <c r="D592" t="inlineStr">
        <is>
          <t>Business</t>
        </is>
      </c>
      <c r="E592" t="inlineStr">
        <is>
          <t>Business</t>
        </is>
      </c>
      <c r="F592" t="inlineStr">
        <is>
          <t>Business Runway</t>
        </is>
      </c>
      <c r="G592" t="inlineStr">
        <is>
          <t>Funding</t>
        </is>
      </c>
      <c r="H592" t="inlineStr">
        <is>
          <t>Business &gt; Business Runway &gt; Quick Add &gt; Funding</t>
        </is>
      </c>
      <c r="I592" s="18" t="n">
        <v>126911.75</v>
      </c>
      <c r="J592" t="inlineStr">
        <is>
          <t>Created MTR-IOS-0591 and correlation note visible in Activity/Pulse</t>
        </is>
      </c>
      <c r="K592" t="inlineStr">
        <is>
          <t>NOT_RUN</t>
        </is>
      </c>
      <c r="P592" t="n">
        <v>0</v>
      </c>
      <c r="Q592" t="n">
        <v>591</v>
      </c>
    </row>
    <row r="593">
      <c r="A593" t="n">
        <v>592</v>
      </c>
      <c r="B593" t="inlineStr">
        <is>
          <t>MTR-IOS-0592</t>
        </is>
      </c>
      <c r="C593" t="inlineStr">
        <is>
          <t>iPhone</t>
        </is>
      </c>
      <c r="D593" t="inlineStr">
        <is>
          <t>Personal</t>
        </is>
      </c>
      <c r="E593" t="inlineStr">
        <is>
          <t>Personal</t>
        </is>
      </c>
      <c r="F593" t="inlineStr">
        <is>
          <t>Lifestyle</t>
        </is>
      </c>
      <c r="G593" t="inlineStr">
        <is>
          <t>Shopping</t>
        </is>
      </c>
      <c r="H593" t="inlineStr">
        <is>
          <t>Personal &gt; Lifestyle &gt; Quick Add &gt; Shopping</t>
        </is>
      </c>
      <c r="I593" s="18" t="n">
        <v>999.99</v>
      </c>
      <c r="J593" t="inlineStr">
        <is>
          <t>Created MTR-IOS-0592 and correlation note visible in Activity/Pulse</t>
        </is>
      </c>
      <c r="K593" t="inlineStr">
        <is>
          <t>NOT_RUN</t>
        </is>
      </c>
      <c r="P593" t="n">
        <v>0</v>
      </c>
      <c r="Q593" t="n">
        <v>592</v>
      </c>
    </row>
    <row r="594">
      <c r="A594" t="n">
        <v>593</v>
      </c>
      <c r="B594" t="inlineStr">
        <is>
          <t>MTR-IOS-0593</t>
        </is>
      </c>
      <c r="C594" t="inlineStr">
        <is>
          <t>iPhone</t>
        </is>
      </c>
      <c r="D594" t="inlineStr">
        <is>
          <t>Group</t>
        </is>
      </c>
      <c r="E594" t="inlineStr">
        <is>
          <t>Shared Experience</t>
        </is>
      </c>
      <c r="F594" t="inlineStr">
        <is>
          <t>House Party</t>
        </is>
      </c>
      <c r="G594" t="inlineStr">
        <is>
          <t>Other</t>
        </is>
      </c>
      <c r="H594" t="inlineStr">
        <is>
          <t>Group &gt; House Party &gt; Quick Add &gt; Other</t>
        </is>
      </c>
      <c r="I594" s="18" t="n">
        <v>11102.48</v>
      </c>
      <c r="J594" t="inlineStr">
        <is>
          <t>Created MTR-IOS-0593 and correlation note visible in Activity/Pulse</t>
        </is>
      </c>
      <c r="K594" t="inlineStr">
        <is>
          <t>NOT_RUN</t>
        </is>
      </c>
      <c r="P594" t="n">
        <v>0</v>
      </c>
      <c r="Q594" t="n">
        <v>593</v>
      </c>
    </row>
    <row r="595">
      <c r="A595" t="n">
        <v>594</v>
      </c>
      <c r="B595" t="inlineStr">
        <is>
          <t>MTR-IOS-0594</t>
        </is>
      </c>
      <c r="C595" t="inlineStr">
        <is>
          <t>iPhone</t>
        </is>
      </c>
      <c r="D595" t="inlineStr">
        <is>
          <t>Business</t>
        </is>
      </c>
      <c r="E595" t="inlineStr">
        <is>
          <t>Business</t>
        </is>
      </c>
      <c r="F595" t="inlineStr">
        <is>
          <t>Business Runway</t>
        </is>
      </c>
      <c r="G595" t="inlineStr">
        <is>
          <t>Revenue</t>
        </is>
      </c>
      <c r="H595" t="inlineStr">
        <is>
          <t>Business &gt; Business Runway &gt; Quick Add &gt; Revenue</t>
        </is>
      </c>
      <c r="I595" s="18" t="n">
        <v>89244.50999999999</v>
      </c>
      <c r="J595" t="inlineStr">
        <is>
          <t>Created MTR-IOS-0594 and correlation note visible in Activity/Pulse</t>
        </is>
      </c>
      <c r="K595" t="inlineStr">
        <is>
          <t>NOT_RUN</t>
        </is>
      </c>
      <c r="P595" t="n">
        <v>0</v>
      </c>
      <c r="Q595" t="n">
        <v>594</v>
      </c>
    </row>
    <row r="596">
      <c r="A596" t="n">
        <v>595</v>
      </c>
      <c r="B596" t="inlineStr">
        <is>
          <t>MTR-IOS-0595</t>
        </is>
      </c>
      <c r="C596" t="inlineStr">
        <is>
          <t>iPhone</t>
        </is>
      </c>
      <c r="D596" t="inlineStr">
        <is>
          <t>Personal</t>
        </is>
      </c>
      <c r="E596" t="inlineStr">
        <is>
          <t>Personal</t>
        </is>
      </c>
      <c r="F596" t="inlineStr">
        <is>
          <t>Lifestyle</t>
        </is>
      </c>
      <c r="G596" t="inlineStr">
        <is>
          <t>Entertainment</t>
        </is>
      </c>
      <c r="H596" t="inlineStr">
        <is>
          <t>Personal &gt; Lifestyle &gt; Quick Add &gt; Entertainment</t>
        </is>
      </c>
      <c r="I596" s="18" t="n">
        <v>17862.21</v>
      </c>
      <c r="J596" t="inlineStr">
        <is>
          <t>Created MTR-IOS-0595 and correlation note visible in Activity/Pulse</t>
        </is>
      </c>
      <c r="K596" t="inlineStr">
        <is>
          <t>NOT_RUN</t>
        </is>
      </c>
      <c r="P596" t="n">
        <v>0</v>
      </c>
      <c r="Q596" t="n">
        <v>595</v>
      </c>
    </row>
    <row r="597">
      <c r="A597" t="n">
        <v>596</v>
      </c>
      <c r="B597" t="inlineStr">
        <is>
          <t>MTR-IOS-0596</t>
        </is>
      </c>
      <c r="C597" t="inlineStr">
        <is>
          <t>iPhone</t>
        </is>
      </c>
      <c r="D597" t="inlineStr">
        <is>
          <t>Group</t>
        </is>
      </c>
      <c r="E597" t="inlineStr">
        <is>
          <t>Shared Purchase</t>
        </is>
      </c>
      <c r="F597" t="inlineStr">
        <is>
          <t>Gift Pool</t>
        </is>
      </c>
      <c r="G597" t="inlineStr">
        <is>
          <t>Contribution</t>
        </is>
      </c>
      <c r="H597" t="inlineStr">
        <is>
          <t>Group &gt; Gift Pool &gt; Quick Add &gt; Contribution</t>
        </is>
      </c>
      <c r="I597" s="18" t="n">
        <v>1096.86</v>
      </c>
      <c r="J597" t="inlineStr">
        <is>
          <t>Created MTR-IOS-0596 and correlation note visible in Activity/Pulse</t>
        </is>
      </c>
      <c r="K597" t="inlineStr">
        <is>
          <t>NOT_RUN</t>
        </is>
      </c>
      <c r="P597" t="n">
        <v>0</v>
      </c>
      <c r="Q597" t="n">
        <v>596</v>
      </c>
    </row>
    <row r="598">
      <c r="A598" t="n">
        <v>597</v>
      </c>
      <c r="B598" t="inlineStr">
        <is>
          <t>MTR-IOS-0597</t>
        </is>
      </c>
      <c r="C598" t="inlineStr">
        <is>
          <t>iPhone</t>
        </is>
      </c>
      <c r="D598" t="inlineStr">
        <is>
          <t>Business</t>
        </is>
      </c>
      <c r="E598" t="inlineStr">
        <is>
          <t>Business</t>
        </is>
      </c>
      <c r="F598" t="inlineStr">
        <is>
          <t>Business Runway</t>
        </is>
      </c>
      <c r="G598" t="inlineStr">
        <is>
          <t>Burn</t>
        </is>
      </c>
      <c r="H598" t="inlineStr">
        <is>
          <t>Business &gt; Business Runway &gt; Quick Add &gt; Burn</t>
        </is>
      </c>
      <c r="I598" s="18" t="n">
        <v>28203.59</v>
      </c>
      <c r="J598" t="inlineStr">
        <is>
          <t>Created MTR-IOS-0597 and correlation note visible in Activity/Pulse</t>
        </is>
      </c>
      <c r="K598" t="inlineStr">
        <is>
          <t>NOT_RUN</t>
        </is>
      </c>
      <c r="P598" t="n">
        <v>0</v>
      </c>
      <c r="Q598" t="n">
        <v>597</v>
      </c>
    </row>
    <row r="599">
      <c r="A599" t="n">
        <v>598</v>
      </c>
      <c r="B599" t="inlineStr">
        <is>
          <t>MTR-IOS-0598</t>
        </is>
      </c>
      <c r="C599" t="inlineStr">
        <is>
          <t>iPhone</t>
        </is>
      </c>
      <c r="D599" t="inlineStr">
        <is>
          <t>Personal</t>
        </is>
      </c>
      <c r="E599" t="inlineStr">
        <is>
          <t>Personal</t>
        </is>
      </c>
      <c r="F599" t="inlineStr">
        <is>
          <t>Lifestyle</t>
        </is>
      </c>
      <c r="G599" t="inlineStr">
        <is>
          <t>Travel</t>
        </is>
      </c>
      <c r="H599" t="inlineStr">
        <is>
          <t>Personal &gt; Lifestyle &gt; Quick Add &gt; Travel</t>
        </is>
      </c>
      <c r="I599" s="18" t="n">
        <v>17185.3</v>
      </c>
      <c r="J599" t="inlineStr">
        <is>
          <t>Created MTR-IOS-0598 and correlation note visible in Activity/Pulse</t>
        </is>
      </c>
      <c r="K599" t="inlineStr">
        <is>
          <t>NOT_RUN</t>
        </is>
      </c>
      <c r="P599" t="n">
        <v>0</v>
      </c>
      <c r="Q599" t="n">
        <v>598</v>
      </c>
    </row>
    <row r="600">
      <c r="A600" t="n">
        <v>599</v>
      </c>
      <c r="B600" t="inlineStr">
        <is>
          <t>MTR-IOS-0599</t>
        </is>
      </c>
      <c r="C600" t="inlineStr">
        <is>
          <t>iPhone</t>
        </is>
      </c>
      <c r="D600" t="inlineStr">
        <is>
          <t>Group</t>
        </is>
      </c>
      <c r="E600" t="inlineStr">
        <is>
          <t>Shared Purchase</t>
        </is>
      </c>
      <c r="F600" t="inlineStr">
        <is>
          <t>Gift Pool</t>
        </is>
      </c>
      <c r="G600" t="inlineStr">
        <is>
          <t>Gift Purchase</t>
        </is>
      </c>
      <c r="H600" t="inlineStr">
        <is>
          <t>Group &gt; Gift Pool &gt; Quick Add &gt; Gift Purchase</t>
        </is>
      </c>
      <c r="I600" s="18" t="n">
        <v>6955.64</v>
      </c>
      <c r="J600" t="inlineStr">
        <is>
          <t>Created MTR-IOS-0599 and correlation note visible in Activity/Pulse</t>
        </is>
      </c>
      <c r="K600" t="inlineStr">
        <is>
          <t>NOT_RUN</t>
        </is>
      </c>
      <c r="P600" t="n">
        <v>0</v>
      </c>
      <c r="Q600" t="n">
        <v>599</v>
      </c>
    </row>
    <row r="601">
      <c r="A601" t="n">
        <v>600</v>
      </c>
      <c r="B601" t="inlineStr">
        <is>
          <t>MTR-IOS-0600</t>
        </is>
      </c>
      <c r="C601" t="inlineStr">
        <is>
          <t>iPhone</t>
        </is>
      </c>
      <c r="D601" t="inlineStr">
        <is>
          <t>Business</t>
        </is>
      </c>
      <c r="E601" t="inlineStr">
        <is>
          <t>Business</t>
        </is>
      </c>
      <c r="F601" t="inlineStr">
        <is>
          <t>Business Runway</t>
        </is>
      </c>
      <c r="G601" t="inlineStr">
        <is>
          <t>Reserve</t>
        </is>
      </c>
      <c r="H601" t="inlineStr">
        <is>
          <t>Business &gt; Business Runway &gt; Quick Add &gt; Reserve</t>
        </is>
      </c>
      <c r="I601" s="18" t="n">
        <v>103457.56</v>
      </c>
      <c r="J601" t="inlineStr">
        <is>
          <t>Created MTR-IOS-0600 and correlation note visible in Activity/Pulse</t>
        </is>
      </c>
      <c r="K601" t="inlineStr">
        <is>
          <t>NOT_RUN</t>
        </is>
      </c>
      <c r="P601" t="n">
        <v>0</v>
      </c>
      <c r="Q601" t="n">
        <v>600</v>
      </c>
    </row>
    <row r="602">
      <c r="A602" t="n">
        <v>601</v>
      </c>
      <c r="B602" t="inlineStr">
        <is>
          <t>MTR-IOS-0601</t>
        </is>
      </c>
      <c r="C602" t="inlineStr">
        <is>
          <t>iPhone</t>
        </is>
      </c>
      <c r="D602" t="inlineStr">
        <is>
          <t>Personal</t>
        </is>
      </c>
      <c r="E602" t="inlineStr">
        <is>
          <t>Personal</t>
        </is>
      </c>
      <c r="F602" t="inlineStr">
        <is>
          <t>Lifestyle</t>
        </is>
      </c>
      <c r="G602" t="inlineStr">
        <is>
          <t>Fitness</t>
        </is>
      </c>
      <c r="H602" t="inlineStr">
        <is>
          <t>Personal &gt; Lifestyle &gt; Quick Add &gt; Fitness</t>
        </is>
      </c>
      <c r="I602" s="18" t="n">
        <v>11481.79</v>
      </c>
      <c r="J602" t="inlineStr">
        <is>
          <t>Created MTR-IOS-0601 and correlation note visible in Activity/Pulse</t>
        </is>
      </c>
      <c r="K602" t="inlineStr">
        <is>
          <t>NOT_RUN</t>
        </is>
      </c>
      <c r="P602" t="n">
        <v>0</v>
      </c>
      <c r="Q602" t="n">
        <v>601</v>
      </c>
    </row>
    <row r="603">
      <c r="A603" t="n">
        <v>602</v>
      </c>
      <c r="B603" t="inlineStr">
        <is>
          <t>MTR-IOS-0602</t>
        </is>
      </c>
      <c r="C603" t="inlineStr">
        <is>
          <t>iPhone</t>
        </is>
      </c>
      <c r="D603" t="inlineStr">
        <is>
          <t>Group</t>
        </is>
      </c>
      <c r="E603" t="inlineStr">
        <is>
          <t>Shared Purchase</t>
        </is>
      </c>
      <c r="F603" t="inlineStr">
        <is>
          <t>Gift Pool</t>
        </is>
      </c>
      <c r="G603" t="inlineStr">
        <is>
          <t>Delivery</t>
        </is>
      </c>
      <c r="H603" t="inlineStr">
        <is>
          <t>Group &gt; Gift Pool &gt; Quick Add &gt; Delivery</t>
        </is>
      </c>
      <c r="I603" s="18" t="n">
        <v>16551.8</v>
      </c>
      <c r="J603" t="inlineStr">
        <is>
          <t>Created MTR-IOS-0602 and correlation note visible in Activity/Pulse</t>
        </is>
      </c>
      <c r="K603" t="inlineStr">
        <is>
          <t>NOT_RUN</t>
        </is>
      </c>
      <c r="P603" t="n">
        <v>0</v>
      </c>
      <c r="Q603" t="n">
        <v>602</v>
      </c>
    </row>
    <row r="604">
      <c r="A604" t="n">
        <v>603</v>
      </c>
      <c r="B604" t="inlineStr">
        <is>
          <t>MTR-IOS-0603</t>
        </is>
      </c>
      <c r="C604" t="inlineStr">
        <is>
          <t>iPhone</t>
        </is>
      </c>
      <c r="D604" t="inlineStr">
        <is>
          <t>Business</t>
        </is>
      </c>
      <c r="E604" t="inlineStr">
        <is>
          <t>Business</t>
        </is>
      </c>
      <c r="F604" t="inlineStr">
        <is>
          <t>Business Runway</t>
        </is>
      </c>
      <c r="G604" t="inlineStr">
        <is>
          <t>Loan</t>
        </is>
      </c>
      <c r="H604" t="inlineStr">
        <is>
          <t>Business &gt; Business Runway &gt; Quick Add &gt; Loan</t>
        </is>
      </c>
      <c r="I604" s="18" t="n">
        <v>26296.26</v>
      </c>
      <c r="J604" t="inlineStr">
        <is>
          <t>Created MTR-IOS-0603 and correlation note visible in Activity/Pulse</t>
        </is>
      </c>
      <c r="K604" t="inlineStr">
        <is>
          <t>NOT_RUN</t>
        </is>
      </c>
      <c r="P604" t="n">
        <v>0</v>
      </c>
      <c r="Q604" t="n">
        <v>603</v>
      </c>
    </row>
    <row r="605">
      <c r="A605" t="n">
        <v>604</v>
      </c>
      <c r="B605" t="inlineStr">
        <is>
          <t>MTR-IOS-0604</t>
        </is>
      </c>
      <c r="C605" t="inlineStr">
        <is>
          <t>iPhone</t>
        </is>
      </c>
      <c r="D605" t="inlineStr">
        <is>
          <t>Personal</t>
        </is>
      </c>
      <c r="E605" t="inlineStr">
        <is>
          <t>Personal</t>
        </is>
      </c>
      <c r="F605" t="inlineStr">
        <is>
          <t>Lifestyle</t>
        </is>
      </c>
      <c r="G605" t="inlineStr">
        <is>
          <t>Hobbies</t>
        </is>
      </c>
      <c r="H605" t="inlineStr">
        <is>
          <t>Personal &gt; Lifestyle &gt; Quick Add &gt; Hobbies</t>
        </is>
      </c>
      <c r="I605" s="18" t="n">
        <v>7591.34</v>
      </c>
      <c r="J605" t="inlineStr">
        <is>
          <t>Created MTR-IOS-0604 and correlation note visible in Activity/Pulse</t>
        </is>
      </c>
      <c r="K605" t="inlineStr">
        <is>
          <t>NOT_RUN</t>
        </is>
      </c>
      <c r="P605" t="n">
        <v>0</v>
      </c>
      <c r="Q605" t="n">
        <v>604</v>
      </c>
    </row>
    <row r="606">
      <c r="A606" t="n">
        <v>605</v>
      </c>
      <c r="B606" t="inlineStr">
        <is>
          <t>MTR-IOS-0605</t>
        </is>
      </c>
      <c r="C606" t="inlineStr">
        <is>
          <t>iPhone</t>
        </is>
      </c>
      <c r="D606" t="inlineStr">
        <is>
          <t>Group</t>
        </is>
      </c>
      <c r="E606" t="inlineStr">
        <is>
          <t>Shared Purchase</t>
        </is>
      </c>
      <c r="F606" t="inlineStr">
        <is>
          <t>Gift Pool</t>
        </is>
      </c>
      <c r="G606" t="inlineStr">
        <is>
          <t>Other</t>
        </is>
      </c>
      <c r="H606" t="inlineStr">
        <is>
          <t>Group &gt; Gift Pool &gt; Quick Add &gt; Other</t>
        </is>
      </c>
      <c r="I606" s="18" t="n">
        <v>16551.48</v>
      </c>
      <c r="J606" t="inlineStr">
        <is>
          <t>Created MTR-IOS-0605 and correlation note visible in Activity/Pulse</t>
        </is>
      </c>
      <c r="K606" t="inlineStr">
        <is>
          <t>NOT_RUN</t>
        </is>
      </c>
      <c r="P606" t="n">
        <v>0</v>
      </c>
      <c r="Q606" t="n">
        <v>605</v>
      </c>
    </row>
    <row r="607">
      <c r="A607" t="n">
        <v>606</v>
      </c>
      <c r="B607" t="inlineStr">
        <is>
          <t>MTR-IOS-0606</t>
        </is>
      </c>
      <c r="C607" t="inlineStr">
        <is>
          <t>iPhone</t>
        </is>
      </c>
      <c r="D607" t="inlineStr">
        <is>
          <t>Business</t>
        </is>
      </c>
      <c r="E607" t="inlineStr">
        <is>
          <t>Business</t>
        </is>
      </c>
      <c r="F607" t="inlineStr">
        <is>
          <t>Business Runway</t>
        </is>
      </c>
      <c r="G607" t="inlineStr">
        <is>
          <t>Investment</t>
        </is>
      </c>
      <c r="H607" t="inlineStr">
        <is>
          <t>Business &gt; Business Runway &gt; Quick Add &gt; Investment</t>
        </is>
      </c>
      <c r="I607" s="18" t="n">
        <v>95656.63</v>
      </c>
      <c r="J607" t="inlineStr">
        <is>
          <t>Created MTR-IOS-0606 and correlation note visible in Activity/Pulse</t>
        </is>
      </c>
      <c r="K607" t="inlineStr">
        <is>
          <t>NOT_RUN</t>
        </is>
      </c>
      <c r="P607" t="n">
        <v>0</v>
      </c>
      <c r="Q607" t="n">
        <v>606</v>
      </c>
    </row>
    <row r="608">
      <c r="A608" t="n">
        <v>607</v>
      </c>
      <c r="B608" t="inlineStr">
        <is>
          <t>MTR-IOS-0607</t>
        </is>
      </c>
      <c r="C608" t="inlineStr">
        <is>
          <t>iPhone</t>
        </is>
      </c>
      <c r="D608" t="inlineStr">
        <is>
          <t>Personal</t>
        </is>
      </c>
      <c r="E608" t="inlineStr">
        <is>
          <t>Personal</t>
        </is>
      </c>
      <c r="F608" t="inlineStr">
        <is>
          <t>Relationships</t>
        </is>
      </c>
      <c r="G608" t="inlineStr">
        <is>
          <t>Gifts</t>
        </is>
      </c>
      <c r="H608" t="inlineStr">
        <is>
          <t>Personal &gt; Relationships &gt; Quick Add &gt; Gifts</t>
        </is>
      </c>
      <c r="I608" s="18" t="n">
        <v>9526.709999999999</v>
      </c>
      <c r="J608" t="inlineStr">
        <is>
          <t>Created MTR-IOS-0607 and correlation note visible in Activity/Pulse</t>
        </is>
      </c>
      <c r="K608" t="inlineStr">
        <is>
          <t>NOT_RUN</t>
        </is>
      </c>
      <c r="P608" t="n">
        <v>0</v>
      </c>
      <c r="Q608" t="n">
        <v>607</v>
      </c>
    </row>
    <row r="609">
      <c r="A609" t="n">
        <v>608</v>
      </c>
      <c r="B609" t="inlineStr">
        <is>
          <t>MTR-IOS-0608</t>
        </is>
      </c>
      <c r="C609" t="inlineStr">
        <is>
          <t>iPhone</t>
        </is>
      </c>
      <c r="D609" t="inlineStr">
        <is>
          <t>Group</t>
        </is>
      </c>
      <c r="E609" t="inlineStr">
        <is>
          <t>Shared Purchase</t>
        </is>
      </c>
      <c r="F609" t="inlineStr">
        <is>
          <t>Purchase</t>
        </is>
      </c>
      <c r="G609" t="inlineStr">
        <is>
          <t>Item</t>
        </is>
      </c>
      <c r="H609" t="inlineStr">
        <is>
          <t>Group &gt; Purchase &gt; Quick Add &gt; Item</t>
        </is>
      </c>
      <c r="I609" s="18" t="n">
        <v>4168.3</v>
      </c>
      <c r="J609" t="inlineStr">
        <is>
          <t>Created MTR-IOS-0608 and correlation note visible in Activity/Pulse</t>
        </is>
      </c>
      <c r="K609" t="inlineStr">
        <is>
          <t>NOT_RUN</t>
        </is>
      </c>
      <c r="P609" t="n">
        <v>0</v>
      </c>
      <c r="Q609" t="n">
        <v>608</v>
      </c>
    </row>
    <row r="610">
      <c r="A610" t="n">
        <v>609</v>
      </c>
      <c r="B610" t="inlineStr">
        <is>
          <t>MTR-IOS-0609</t>
        </is>
      </c>
      <c r="C610" t="inlineStr">
        <is>
          <t>iPhone</t>
        </is>
      </c>
      <c r="D610" t="inlineStr">
        <is>
          <t>Business</t>
        </is>
      </c>
      <c r="E610" t="inlineStr">
        <is>
          <t>Business</t>
        </is>
      </c>
      <c r="F610" t="inlineStr">
        <is>
          <t>Business Operations</t>
        </is>
      </c>
      <c r="G610" t="inlineStr">
        <is>
          <t>Software</t>
        </is>
      </c>
      <c r="H610" t="inlineStr">
        <is>
          <t>Business &gt; Business Operations &gt; Quick Add &gt; Software</t>
        </is>
      </c>
      <c r="I610" s="18" t="n">
        <v>156650.57</v>
      </c>
      <c r="J610" t="inlineStr">
        <is>
          <t>Created MTR-IOS-0609 and correlation note visible in Activity/Pulse</t>
        </is>
      </c>
      <c r="K610" t="inlineStr">
        <is>
          <t>NOT_RUN</t>
        </is>
      </c>
      <c r="P610" t="n">
        <v>0</v>
      </c>
      <c r="Q610" t="n">
        <v>609</v>
      </c>
    </row>
    <row r="611">
      <c r="A611" t="n">
        <v>610</v>
      </c>
      <c r="B611" t="inlineStr">
        <is>
          <t>MTR-IOS-0610</t>
        </is>
      </c>
      <c r="C611" t="inlineStr">
        <is>
          <t>iPhone</t>
        </is>
      </c>
      <c r="D611" t="inlineStr">
        <is>
          <t>Personal</t>
        </is>
      </c>
      <c r="E611" t="inlineStr">
        <is>
          <t>Personal</t>
        </is>
      </c>
      <c r="F611" t="inlineStr">
        <is>
          <t>Relationships</t>
        </is>
      </c>
      <c r="G611" t="inlineStr">
        <is>
          <t>Dates</t>
        </is>
      </c>
      <c r="H611" t="inlineStr">
        <is>
          <t>Personal &gt; Relationships &gt; Quick Add &gt; Dates</t>
        </is>
      </c>
      <c r="I611" s="18" t="n">
        <v>1840.74</v>
      </c>
      <c r="J611" t="inlineStr">
        <is>
          <t>Created MTR-IOS-0610 and correlation note visible in Activity/Pulse</t>
        </is>
      </c>
      <c r="K611" t="inlineStr">
        <is>
          <t>NOT_RUN</t>
        </is>
      </c>
      <c r="P611" t="n">
        <v>0</v>
      </c>
      <c r="Q611" t="n">
        <v>610</v>
      </c>
    </row>
    <row r="612">
      <c r="A612" t="n">
        <v>611</v>
      </c>
      <c r="B612" t="inlineStr">
        <is>
          <t>MTR-IOS-0611</t>
        </is>
      </c>
      <c r="C612" t="inlineStr">
        <is>
          <t>iPhone</t>
        </is>
      </c>
      <c r="D612" t="inlineStr">
        <is>
          <t>Group</t>
        </is>
      </c>
      <c r="E612" t="inlineStr">
        <is>
          <t>Shared Purchase</t>
        </is>
      </c>
      <c r="F612" t="inlineStr">
        <is>
          <t>Purchase</t>
        </is>
      </c>
      <c r="G612" t="inlineStr">
        <is>
          <t>Shipping</t>
        </is>
      </c>
      <c r="H612" t="inlineStr">
        <is>
          <t>Group &gt; Purchase &gt; Quick Add &gt; Shipping</t>
        </is>
      </c>
      <c r="I612" s="18" t="n">
        <v>22837.72</v>
      </c>
      <c r="J612" t="inlineStr">
        <is>
          <t>Created MTR-IOS-0611 and correlation note visible in Activity/Pulse</t>
        </is>
      </c>
      <c r="K612" t="inlineStr">
        <is>
          <t>NOT_RUN</t>
        </is>
      </c>
      <c r="P612" t="n">
        <v>0</v>
      </c>
      <c r="Q612" t="n">
        <v>611</v>
      </c>
    </row>
    <row r="613">
      <c r="A613" t="n">
        <v>612</v>
      </c>
      <c r="B613" t="inlineStr">
        <is>
          <t>MTR-IOS-0612</t>
        </is>
      </c>
      <c r="C613" t="inlineStr">
        <is>
          <t>iPhone</t>
        </is>
      </c>
      <c r="D613" t="inlineStr">
        <is>
          <t>Business</t>
        </is>
      </c>
      <c r="E613" t="inlineStr">
        <is>
          <t>Business</t>
        </is>
      </c>
      <c r="F613" t="inlineStr">
        <is>
          <t>Business Operations</t>
        </is>
      </c>
      <c r="G613" t="inlineStr">
        <is>
          <t>Rent</t>
        </is>
      </c>
      <c r="H613" t="inlineStr">
        <is>
          <t>Business &gt; Business Operations &gt; Quick Add &gt; Rent</t>
        </is>
      </c>
      <c r="I613" s="18" t="n">
        <v>101478.04</v>
      </c>
      <c r="J613" t="inlineStr">
        <is>
          <t>Created MTR-IOS-0612 and correlation note visible in Activity/Pulse</t>
        </is>
      </c>
      <c r="K613" t="inlineStr">
        <is>
          <t>NOT_RUN</t>
        </is>
      </c>
      <c r="P613" t="n">
        <v>0</v>
      </c>
      <c r="Q613" t="n">
        <v>612</v>
      </c>
    </row>
    <row r="614">
      <c r="A614" t="n">
        <v>613</v>
      </c>
      <c r="B614" t="inlineStr">
        <is>
          <t>MTR-IOS-0613</t>
        </is>
      </c>
      <c r="C614" t="inlineStr">
        <is>
          <t>iPhone</t>
        </is>
      </c>
      <c r="D614" t="inlineStr">
        <is>
          <t>Personal</t>
        </is>
      </c>
      <c r="E614" t="inlineStr">
        <is>
          <t>Personal</t>
        </is>
      </c>
      <c r="F614" t="inlineStr">
        <is>
          <t>Relationships</t>
        </is>
      </c>
      <c r="G614" t="inlineStr">
        <is>
          <t>Family</t>
        </is>
      </c>
      <c r="H614" t="inlineStr">
        <is>
          <t>Personal &gt; Relationships &gt; Quick Add &gt; Family</t>
        </is>
      </c>
      <c r="I614" s="18" t="n">
        <v>10846.07</v>
      </c>
      <c r="J614" t="inlineStr">
        <is>
          <t>Created MTR-IOS-0613 and correlation note visible in Activity/Pulse</t>
        </is>
      </c>
      <c r="K614" t="inlineStr">
        <is>
          <t>NOT_RUN</t>
        </is>
      </c>
      <c r="P614" t="n">
        <v>0</v>
      </c>
      <c r="Q614" t="n">
        <v>613</v>
      </c>
    </row>
    <row r="615">
      <c r="A615" t="n">
        <v>614</v>
      </c>
      <c r="B615" t="inlineStr">
        <is>
          <t>MTR-IOS-0614</t>
        </is>
      </c>
      <c r="C615" t="inlineStr">
        <is>
          <t>iPhone</t>
        </is>
      </c>
      <c r="D615" t="inlineStr">
        <is>
          <t>Group</t>
        </is>
      </c>
      <c r="E615" t="inlineStr">
        <is>
          <t>Shared Purchase</t>
        </is>
      </c>
      <c r="F615" t="inlineStr">
        <is>
          <t>Purchase</t>
        </is>
      </c>
      <c r="G615" t="inlineStr">
        <is>
          <t>Tax</t>
        </is>
      </c>
      <c r="H615" t="inlineStr">
        <is>
          <t>Group &gt; Purchase &gt; Quick Add &gt; Tax</t>
        </is>
      </c>
      <c r="I615" s="18" t="n">
        <v>24505.96</v>
      </c>
      <c r="J615" t="inlineStr">
        <is>
          <t>Created MTR-IOS-0614 and correlation note visible in Activity/Pulse</t>
        </is>
      </c>
      <c r="K615" t="inlineStr">
        <is>
          <t>NOT_RUN</t>
        </is>
      </c>
      <c r="P615" t="n">
        <v>0</v>
      </c>
      <c r="Q615" t="n">
        <v>614</v>
      </c>
    </row>
    <row r="616">
      <c r="A616" t="n">
        <v>615</v>
      </c>
      <c r="B616" t="inlineStr">
        <is>
          <t>MTR-IOS-0615</t>
        </is>
      </c>
      <c r="C616" t="inlineStr">
        <is>
          <t>iPhone</t>
        </is>
      </c>
      <c r="D616" t="inlineStr">
        <is>
          <t>Business</t>
        </is>
      </c>
      <c r="E616" t="inlineStr">
        <is>
          <t>Business</t>
        </is>
      </c>
      <c r="F616" t="inlineStr">
        <is>
          <t>Business Operations</t>
        </is>
      </c>
      <c r="G616" t="inlineStr">
        <is>
          <t>Marketing</t>
        </is>
      </c>
      <c r="H616" t="inlineStr">
        <is>
          <t>Business &gt; Business Operations &gt; Quick Add &gt; Marketing</t>
        </is>
      </c>
      <c r="I616" s="18" t="n">
        <v>50081.47</v>
      </c>
      <c r="J616" t="inlineStr">
        <is>
          <t>Created MTR-IOS-0615 and correlation note visible in Activity/Pulse</t>
        </is>
      </c>
      <c r="K616" t="inlineStr">
        <is>
          <t>NOT_RUN</t>
        </is>
      </c>
      <c r="P616" t="n">
        <v>0</v>
      </c>
      <c r="Q616" t="n">
        <v>615</v>
      </c>
    </row>
    <row r="617">
      <c r="A617" t="n">
        <v>616</v>
      </c>
      <c r="B617" t="inlineStr">
        <is>
          <t>MTR-IOS-0616</t>
        </is>
      </c>
      <c r="C617" t="inlineStr">
        <is>
          <t>iPhone</t>
        </is>
      </c>
      <c r="D617" t="inlineStr">
        <is>
          <t>Personal</t>
        </is>
      </c>
      <c r="E617" t="inlineStr">
        <is>
          <t>Personal</t>
        </is>
      </c>
      <c r="F617" t="inlineStr">
        <is>
          <t>Relationships</t>
        </is>
      </c>
      <c r="G617" t="inlineStr">
        <is>
          <t>Friends</t>
        </is>
      </c>
      <c r="H617" t="inlineStr">
        <is>
          <t>Personal &gt; Relationships &gt; Quick Add &gt; Friends</t>
        </is>
      </c>
      <c r="I617" s="18" t="n">
        <v>1451.92</v>
      </c>
      <c r="J617" t="inlineStr">
        <is>
          <t>Created MTR-IOS-0616 and correlation note visible in Activity/Pulse</t>
        </is>
      </c>
      <c r="K617" t="inlineStr">
        <is>
          <t>NOT_RUN</t>
        </is>
      </c>
      <c r="P617" t="n">
        <v>0</v>
      </c>
      <c r="Q617" t="n">
        <v>616</v>
      </c>
    </row>
    <row r="618">
      <c r="A618" t="n">
        <v>617</v>
      </c>
      <c r="B618" t="inlineStr">
        <is>
          <t>MTR-IOS-0617</t>
        </is>
      </c>
      <c r="C618" t="inlineStr">
        <is>
          <t>iPhone</t>
        </is>
      </c>
      <c r="D618" t="inlineStr">
        <is>
          <t>Group</t>
        </is>
      </c>
      <c r="E618" t="inlineStr">
        <is>
          <t>Shared Purchase</t>
        </is>
      </c>
      <c r="F618" t="inlineStr">
        <is>
          <t>Purchase</t>
        </is>
      </c>
      <c r="G618" t="inlineStr">
        <is>
          <t>Other</t>
        </is>
      </c>
      <c r="H618" t="inlineStr">
        <is>
          <t>Group &gt; Purchase &gt; Quick Add &gt; Other</t>
        </is>
      </c>
      <c r="I618" s="18" t="n">
        <v>13391.74</v>
      </c>
      <c r="J618" t="inlineStr">
        <is>
          <t>Created MTR-IOS-0617 and correlation note visible in Activity/Pulse</t>
        </is>
      </c>
      <c r="K618" t="inlineStr">
        <is>
          <t>NOT_RUN</t>
        </is>
      </c>
      <c r="P618" t="n">
        <v>0</v>
      </c>
      <c r="Q618" t="n">
        <v>617</v>
      </c>
    </row>
    <row r="619">
      <c r="A619" t="n">
        <v>618</v>
      </c>
      <c r="B619" t="inlineStr">
        <is>
          <t>MTR-IOS-0618</t>
        </is>
      </c>
      <c r="C619" t="inlineStr">
        <is>
          <t>iPhone</t>
        </is>
      </c>
      <c r="D619" t="inlineStr">
        <is>
          <t>Business</t>
        </is>
      </c>
      <c r="E619" t="inlineStr">
        <is>
          <t>Business</t>
        </is>
      </c>
      <c r="F619" t="inlineStr">
        <is>
          <t>Business Operations</t>
        </is>
      </c>
      <c r="G619" t="inlineStr">
        <is>
          <t>Legal</t>
        </is>
      </c>
      <c r="H619" t="inlineStr">
        <is>
          <t>Business &gt; Business Operations &gt; Quick Add &gt; Legal</t>
        </is>
      </c>
      <c r="I619" s="18" t="n">
        <v>115076.85</v>
      </c>
      <c r="J619" t="inlineStr">
        <is>
          <t>Created MTR-IOS-0618 and correlation note visible in Activity/Pulse</t>
        </is>
      </c>
      <c r="K619" t="inlineStr">
        <is>
          <t>NOT_RUN</t>
        </is>
      </c>
      <c r="P619" t="n">
        <v>0</v>
      </c>
      <c r="Q619" t="n">
        <v>618</v>
      </c>
    </row>
    <row r="620">
      <c r="A620" t="n">
        <v>619</v>
      </c>
      <c r="B620" t="inlineStr">
        <is>
          <t>MTR-IOS-0619</t>
        </is>
      </c>
      <c r="C620" t="inlineStr">
        <is>
          <t>iPhone</t>
        </is>
      </c>
      <c r="D620" t="inlineStr">
        <is>
          <t>Personal</t>
        </is>
      </c>
      <c r="E620" t="inlineStr">
        <is>
          <t>Personal</t>
        </is>
      </c>
      <c r="F620" t="inlineStr">
        <is>
          <t>Relationships</t>
        </is>
      </c>
      <c r="G620" t="inlineStr">
        <is>
          <t>Celebrations</t>
        </is>
      </c>
      <c r="H620" t="inlineStr">
        <is>
          <t>Personal &gt; Relationships &gt; Quick Add &gt; Celebrations</t>
        </is>
      </c>
      <c r="I620" s="18" t="n">
        <v>7649.64</v>
      </c>
      <c r="J620" t="inlineStr">
        <is>
          <t>Created MTR-IOS-0619 and correlation note visible in Activity/Pulse</t>
        </is>
      </c>
      <c r="K620" t="inlineStr">
        <is>
          <t>NOT_RUN</t>
        </is>
      </c>
      <c r="P620" t="n">
        <v>0</v>
      </c>
      <c r="Q620" t="n">
        <v>619</v>
      </c>
    </row>
    <row r="621">
      <c r="A621" t="n">
        <v>620</v>
      </c>
      <c r="B621" t="inlineStr">
        <is>
          <t>MTR-IOS-0620</t>
        </is>
      </c>
      <c r="C621" t="inlineStr">
        <is>
          <t>iPhone</t>
        </is>
      </c>
      <c r="D621" t="inlineStr">
        <is>
          <t>Group</t>
        </is>
      </c>
      <c r="E621" t="inlineStr">
        <is>
          <t>Shared Purchase</t>
        </is>
      </c>
      <c r="F621" t="inlineStr">
        <is>
          <t>Assets</t>
        </is>
      </c>
      <c r="G621" t="inlineStr">
        <is>
          <t>Purchase</t>
        </is>
      </c>
      <c r="H621" t="inlineStr">
        <is>
          <t>Group &gt; Assets &gt; Quick Add &gt; Purchase</t>
        </is>
      </c>
      <c r="I621" s="18" t="n">
        <v>1012.42</v>
      </c>
      <c r="J621" t="inlineStr">
        <is>
          <t>Created MTR-IOS-0620 and correlation note visible in Activity/Pulse</t>
        </is>
      </c>
      <c r="K621" t="inlineStr">
        <is>
          <t>NOT_RUN</t>
        </is>
      </c>
      <c r="P621" t="n">
        <v>0</v>
      </c>
      <c r="Q621" t="n">
        <v>620</v>
      </c>
    </row>
    <row r="622">
      <c r="A622" t="n">
        <v>621</v>
      </c>
      <c r="B622" t="inlineStr">
        <is>
          <t>MTR-IOS-0621</t>
        </is>
      </c>
      <c r="C622" t="inlineStr">
        <is>
          <t>iPhone</t>
        </is>
      </c>
      <c r="D622" t="inlineStr">
        <is>
          <t>Business</t>
        </is>
      </c>
      <c r="E622" t="inlineStr">
        <is>
          <t>Business</t>
        </is>
      </c>
      <c r="F622" t="inlineStr">
        <is>
          <t>Business Operations</t>
        </is>
      </c>
      <c r="G622" t="inlineStr">
        <is>
          <t>Accounting</t>
        </is>
      </c>
      <c r="H622" t="inlineStr">
        <is>
          <t>Business &gt; Business Operations &gt; Quick Add &gt; Accounting</t>
        </is>
      </c>
      <c r="I622" s="18" t="n">
        <v>2881.94</v>
      </c>
      <c r="J622" t="inlineStr">
        <is>
          <t>Created MTR-IOS-0621 and correlation note visible in Activity/Pulse</t>
        </is>
      </c>
      <c r="K622" t="inlineStr">
        <is>
          <t>NOT_RUN</t>
        </is>
      </c>
      <c r="P622" t="n">
        <v>0</v>
      </c>
      <c r="Q622" t="n">
        <v>621</v>
      </c>
    </row>
    <row r="623">
      <c r="A623" t="n">
        <v>622</v>
      </c>
      <c r="B623" t="inlineStr">
        <is>
          <t>MTR-IOS-0622</t>
        </is>
      </c>
      <c r="C623" t="inlineStr">
        <is>
          <t>iPhone</t>
        </is>
      </c>
      <c r="D623" t="inlineStr">
        <is>
          <t>Personal</t>
        </is>
      </c>
      <c r="E623" t="inlineStr">
        <is>
          <t>Personal</t>
        </is>
      </c>
      <c r="F623" t="inlineStr">
        <is>
          <t>Life Operations</t>
        </is>
      </c>
      <c r="G623" t="inlineStr">
        <is>
          <t>Groceries</t>
        </is>
      </c>
      <c r="H623" t="inlineStr">
        <is>
          <t>Personal &gt; Life Operations &gt; Quick Add &gt; Groceries</t>
        </is>
      </c>
      <c r="I623" s="18" t="n">
        <v>16435.9</v>
      </c>
      <c r="J623" t="inlineStr">
        <is>
          <t>Created MTR-IOS-0622 and correlation note visible in Activity/Pulse</t>
        </is>
      </c>
      <c r="K623" t="inlineStr">
        <is>
          <t>NOT_RUN</t>
        </is>
      </c>
      <c r="P623" t="n">
        <v>0</v>
      </c>
      <c r="Q623" t="n">
        <v>622</v>
      </c>
    </row>
    <row r="624">
      <c r="A624" t="n">
        <v>623</v>
      </c>
      <c r="B624" t="inlineStr">
        <is>
          <t>MTR-IOS-0623</t>
        </is>
      </c>
      <c r="C624" t="inlineStr">
        <is>
          <t>iPhone</t>
        </is>
      </c>
      <c r="D624" t="inlineStr">
        <is>
          <t>Group</t>
        </is>
      </c>
      <c r="E624" t="inlineStr">
        <is>
          <t>Shared Purchase</t>
        </is>
      </c>
      <c r="F624" t="inlineStr">
        <is>
          <t>Assets</t>
        </is>
      </c>
      <c r="G624" t="inlineStr">
        <is>
          <t>Maintenance</t>
        </is>
      </c>
      <c r="H624" t="inlineStr">
        <is>
          <t>Group &gt; Assets &gt; Quick Add &gt; Maintenance</t>
        </is>
      </c>
      <c r="I624" s="18" t="n">
        <v>13034.89</v>
      </c>
      <c r="J624" t="inlineStr">
        <is>
          <t>Created MTR-IOS-0623 and correlation note visible in Activity/Pulse</t>
        </is>
      </c>
      <c r="K624" t="inlineStr">
        <is>
          <t>NOT_RUN</t>
        </is>
      </c>
      <c r="P624" t="n">
        <v>0</v>
      </c>
      <c r="Q624" t="n">
        <v>623</v>
      </c>
    </row>
    <row r="625">
      <c r="A625" t="n">
        <v>624</v>
      </c>
      <c r="B625" t="inlineStr">
        <is>
          <t>MTR-IOS-0624</t>
        </is>
      </c>
      <c r="C625" t="inlineStr">
        <is>
          <t>iPhone</t>
        </is>
      </c>
      <c r="D625" t="inlineStr">
        <is>
          <t>Business</t>
        </is>
      </c>
      <c r="E625" t="inlineStr">
        <is>
          <t>Business</t>
        </is>
      </c>
      <c r="F625" t="inlineStr">
        <is>
          <t>Business Operations</t>
        </is>
      </c>
      <c r="G625" t="inlineStr">
        <is>
          <t>Equipment</t>
        </is>
      </c>
      <c r="H625" t="inlineStr">
        <is>
          <t>Business &gt; Business Operations &gt; Quick Add &gt; Equipment</t>
        </is>
      </c>
      <c r="I625" s="18" t="n">
        <v>86576.31</v>
      </c>
      <c r="J625" t="inlineStr">
        <is>
          <t>Created MTR-IOS-0624 and correlation note visible in Activity/Pulse</t>
        </is>
      </c>
      <c r="K625" t="inlineStr">
        <is>
          <t>NOT_RUN</t>
        </is>
      </c>
      <c r="P625" t="n">
        <v>0</v>
      </c>
      <c r="Q625" t="n">
        <v>624</v>
      </c>
    </row>
    <row r="626">
      <c r="A626" t="n">
        <v>625</v>
      </c>
      <c r="B626" t="inlineStr">
        <is>
          <t>MTR-IOS-0625</t>
        </is>
      </c>
      <c r="C626" t="inlineStr">
        <is>
          <t>iPhone</t>
        </is>
      </c>
      <c r="D626" t="inlineStr">
        <is>
          <t>Personal</t>
        </is>
      </c>
      <c r="E626" t="inlineStr">
        <is>
          <t>Personal</t>
        </is>
      </c>
      <c r="F626" t="inlineStr">
        <is>
          <t>Life Operations</t>
        </is>
      </c>
      <c r="G626" t="inlineStr">
        <is>
          <t>Rent</t>
        </is>
      </c>
      <c r="H626" t="inlineStr">
        <is>
          <t>Personal &gt; Life Operations &gt; Quick Add &gt; Rent</t>
        </is>
      </c>
      <c r="I626" s="18" t="n">
        <v>13936.98</v>
      </c>
      <c r="J626" t="inlineStr">
        <is>
          <t>Created MTR-IOS-0625 and correlation note visible in Activity/Pulse</t>
        </is>
      </c>
      <c r="K626" t="inlineStr">
        <is>
          <t>NOT_RUN</t>
        </is>
      </c>
      <c r="P626" t="n">
        <v>0</v>
      </c>
      <c r="Q626" t="n">
        <v>625</v>
      </c>
    </row>
    <row r="627">
      <c r="A627" t="n">
        <v>626</v>
      </c>
      <c r="B627" t="inlineStr">
        <is>
          <t>MTR-IOS-0626</t>
        </is>
      </c>
      <c r="C627" t="inlineStr">
        <is>
          <t>iPhone</t>
        </is>
      </c>
      <c r="D627" t="inlineStr">
        <is>
          <t>Group</t>
        </is>
      </c>
      <c r="E627" t="inlineStr">
        <is>
          <t>Shared Purchase</t>
        </is>
      </c>
      <c r="F627" t="inlineStr">
        <is>
          <t>Assets</t>
        </is>
      </c>
      <c r="G627" t="inlineStr">
        <is>
          <t>Repair</t>
        </is>
      </c>
      <c r="H627" t="inlineStr">
        <is>
          <t>Group &gt; Assets &gt; Quick Add &gt; Repair</t>
        </is>
      </c>
      <c r="I627" s="18" t="n">
        <v>23283.77</v>
      </c>
      <c r="J627" t="inlineStr">
        <is>
          <t>Created MTR-IOS-0626 and correlation note visible in Activity/Pulse</t>
        </is>
      </c>
      <c r="K627" t="inlineStr">
        <is>
          <t>NOT_RUN</t>
        </is>
      </c>
      <c r="P627" t="n">
        <v>0</v>
      </c>
      <c r="Q627" t="n">
        <v>626</v>
      </c>
    </row>
    <row r="628">
      <c r="A628" t="n">
        <v>627</v>
      </c>
      <c r="B628" t="inlineStr">
        <is>
          <t>MTR-IOS-0627</t>
        </is>
      </c>
      <c r="C628" t="inlineStr">
        <is>
          <t>iPhone</t>
        </is>
      </c>
      <c r="D628" t="inlineStr">
        <is>
          <t>Business</t>
        </is>
      </c>
      <c r="E628" t="inlineStr">
        <is>
          <t>Business</t>
        </is>
      </c>
      <c r="F628" t="inlineStr">
        <is>
          <t>Business Operations</t>
        </is>
      </c>
      <c r="G628" t="inlineStr">
        <is>
          <t>Vendor</t>
        </is>
      </c>
      <c r="H628" t="inlineStr">
        <is>
          <t>Business &gt; Business Operations &gt; Quick Add &gt; Vendor</t>
        </is>
      </c>
      <c r="I628" s="18" t="n">
        <v>37462.12</v>
      </c>
      <c r="J628" t="inlineStr">
        <is>
          <t>Created MTR-IOS-0627 and correlation note visible in Activity/Pulse</t>
        </is>
      </c>
      <c r="K628" t="inlineStr">
        <is>
          <t>NOT_RUN</t>
        </is>
      </c>
      <c r="P628" t="n">
        <v>0</v>
      </c>
      <c r="Q628" t="n">
        <v>627</v>
      </c>
    </row>
    <row r="629">
      <c r="A629" t="n">
        <v>628</v>
      </c>
      <c r="B629" t="inlineStr">
        <is>
          <t>MTR-IOS-0628</t>
        </is>
      </c>
      <c r="C629" t="inlineStr">
        <is>
          <t>iPhone</t>
        </is>
      </c>
      <c r="D629" t="inlineStr">
        <is>
          <t>Personal</t>
        </is>
      </c>
      <c r="E629" t="inlineStr">
        <is>
          <t>Personal</t>
        </is>
      </c>
      <c r="F629" t="inlineStr">
        <is>
          <t>Life Operations</t>
        </is>
      </c>
      <c r="G629" t="inlineStr">
        <is>
          <t>Bills</t>
        </is>
      </c>
      <c r="H629" t="inlineStr">
        <is>
          <t>Personal &gt; Life Operations &gt; Quick Add &gt; Bills</t>
        </is>
      </c>
      <c r="I629" s="18" t="n">
        <v>13166.69</v>
      </c>
      <c r="J629" t="inlineStr">
        <is>
          <t>Created MTR-IOS-0628 and correlation note visible in Activity/Pulse</t>
        </is>
      </c>
      <c r="K629" t="inlineStr">
        <is>
          <t>NOT_RUN</t>
        </is>
      </c>
      <c r="P629" t="n">
        <v>0</v>
      </c>
      <c r="Q629" t="n">
        <v>628</v>
      </c>
    </row>
    <row r="630">
      <c r="A630" t="n">
        <v>629</v>
      </c>
      <c r="B630" t="inlineStr">
        <is>
          <t>MTR-IOS-0629</t>
        </is>
      </c>
      <c r="C630" t="inlineStr">
        <is>
          <t>iPhone</t>
        </is>
      </c>
      <c r="D630" t="inlineStr">
        <is>
          <t>Group</t>
        </is>
      </c>
      <c r="E630" t="inlineStr">
        <is>
          <t>Shared Purchase</t>
        </is>
      </c>
      <c r="F630" t="inlineStr">
        <is>
          <t>Assets</t>
        </is>
      </c>
      <c r="G630" t="inlineStr">
        <is>
          <t>Insurance</t>
        </is>
      </c>
      <c r="H630" t="inlineStr">
        <is>
          <t>Group &gt; Assets &gt; Quick Add &gt; Insurance</t>
        </is>
      </c>
      <c r="I630" s="18" t="n">
        <v>10000</v>
      </c>
      <c r="J630" t="inlineStr">
        <is>
          <t>Created MTR-IOS-0629 and correlation note visible in Activity/Pulse</t>
        </is>
      </c>
      <c r="K630" t="inlineStr">
        <is>
          <t>NOT_RUN</t>
        </is>
      </c>
      <c r="P630" t="n">
        <v>0</v>
      </c>
      <c r="Q630" t="n">
        <v>629</v>
      </c>
    </row>
    <row r="631">
      <c r="A631" t="n">
        <v>630</v>
      </c>
      <c r="B631" t="inlineStr">
        <is>
          <t>MTR-IOS-0630</t>
        </is>
      </c>
      <c r="C631" t="inlineStr">
        <is>
          <t>iPhone</t>
        </is>
      </c>
      <c r="D631" t="inlineStr">
        <is>
          <t>Business</t>
        </is>
      </c>
      <c r="E631" t="inlineStr">
        <is>
          <t>Business</t>
        </is>
      </c>
      <c r="F631" t="inlineStr">
        <is>
          <t>Business Operations</t>
        </is>
      </c>
      <c r="G631" t="inlineStr">
        <is>
          <t>Tax</t>
        </is>
      </c>
      <c r="H631" t="inlineStr">
        <is>
          <t>Business &gt; Business Operations &gt; Quick Add &gt; Tax</t>
        </is>
      </c>
      <c r="I631" s="18" t="n">
        <v>113547.7</v>
      </c>
      <c r="J631" t="inlineStr">
        <is>
          <t>Created MTR-IOS-0630 and correlation note visible in Activity/Pulse</t>
        </is>
      </c>
      <c r="K631" t="inlineStr">
        <is>
          <t>NOT_RUN</t>
        </is>
      </c>
      <c r="P631" t="n">
        <v>0</v>
      </c>
      <c r="Q631" t="n">
        <v>630</v>
      </c>
    </row>
    <row r="632">
      <c r="A632" t="n">
        <v>631</v>
      </c>
      <c r="B632" t="inlineStr">
        <is>
          <t>MTR-IOS-0631</t>
        </is>
      </c>
      <c r="C632" t="inlineStr">
        <is>
          <t>iPhone</t>
        </is>
      </c>
      <c r="D632" t="inlineStr">
        <is>
          <t>Personal</t>
        </is>
      </c>
      <c r="E632" t="inlineStr">
        <is>
          <t>Personal</t>
        </is>
      </c>
      <c r="F632" t="inlineStr">
        <is>
          <t>Life Operations</t>
        </is>
      </c>
      <c r="G632" t="inlineStr">
        <is>
          <t>Transport</t>
        </is>
      </c>
      <c r="H632" t="inlineStr">
        <is>
          <t>Personal &gt; Life Operations &gt; Quick Add &gt; Transport</t>
        </is>
      </c>
      <c r="I632" s="18" t="n">
        <v>732.91</v>
      </c>
      <c r="J632" t="inlineStr">
        <is>
          <t>Created MTR-IOS-0631 and correlation note visible in Activity/Pulse</t>
        </is>
      </c>
      <c r="K632" t="inlineStr">
        <is>
          <t>NOT_RUN</t>
        </is>
      </c>
      <c r="P632" t="n">
        <v>0</v>
      </c>
      <c r="Q632" t="n">
        <v>631</v>
      </c>
    </row>
    <row r="633">
      <c r="A633" t="n">
        <v>632</v>
      </c>
      <c r="B633" t="inlineStr">
        <is>
          <t>MTR-IOS-0632</t>
        </is>
      </c>
      <c r="C633" t="inlineStr">
        <is>
          <t>iPhone</t>
        </is>
      </c>
      <c r="D633" t="inlineStr">
        <is>
          <t>Group</t>
        </is>
      </c>
      <c r="E633" t="inlineStr">
        <is>
          <t>Shared Purchase</t>
        </is>
      </c>
      <c r="F633" t="inlineStr">
        <is>
          <t>Assets</t>
        </is>
      </c>
      <c r="G633" t="inlineStr">
        <is>
          <t>Other</t>
        </is>
      </c>
      <c r="H633" t="inlineStr">
        <is>
          <t>Group &gt; Assets &gt; Quick Add &gt; Other</t>
        </is>
      </c>
      <c r="I633" s="18" t="n">
        <v>23455.44</v>
      </c>
      <c r="J633" t="inlineStr">
        <is>
          <t>Created MTR-IOS-0632 and correlation note visible in Activity/Pulse</t>
        </is>
      </c>
      <c r="K633" t="inlineStr">
        <is>
          <t>NOT_RUN</t>
        </is>
      </c>
      <c r="P633" t="n">
        <v>0</v>
      </c>
      <c r="Q633" t="n">
        <v>632</v>
      </c>
    </row>
    <row r="634">
      <c r="A634" t="n">
        <v>633</v>
      </c>
      <c r="B634" t="inlineStr">
        <is>
          <t>MTR-IOS-0633</t>
        </is>
      </c>
      <c r="C634" t="inlineStr">
        <is>
          <t>iPhone</t>
        </is>
      </c>
      <c r="D634" t="inlineStr">
        <is>
          <t>Business</t>
        </is>
      </c>
      <c r="E634" t="inlineStr">
        <is>
          <t>Business</t>
        </is>
      </c>
      <c r="F634" t="inlineStr">
        <is>
          <t>Team Operations</t>
        </is>
      </c>
      <c r="G634" t="inlineStr">
        <is>
          <t>Payroll</t>
        </is>
      </c>
      <c r="H634" t="inlineStr">
        <is>
          <t>Business &gt; Team Operations &gt; Quick Add &gt; Payroll</t>
        </is>
      </c>
      <c r="I634" s="18" t="n">
        <v>73021.27</v>
      </c>
      <c r="J634" t="inlineStr">
        <is>
          <t>Created MTR-IOS-0633 and correlation note visible in Activity/Pulse</t>
        </is>
      </c>
      <c r="K634" t="inlineStr">
        <is>
          <t>NOT_RUN</t>
        </is>
      </c>
      <c r="P634" t="n">
        <v>0</v>
      </c>
      <c r="Q634" t="n">
        <v>633</v>
      </c>
    </row>
    <row r="635">
      <c r="A635" t="n">
        <v>634</v>
      </c>
      <c r="B635" t="inlineStr">
        <is>
          <t>MTR-IOS-0634</t>
        </is>
      </c>
      <c r="C635" t="inlineStr">
        <is>
          <t>iPhone</t>
        </is>
      </c>
      <c r="D635" t="inlineStr">
        <is>
          <t>Personal</t>
        </is>
      </c>
      <c r="E635" t="inlineStr">
        <is>
          <t>Personal</t>
        </is>
      </c>
      <c r="F635" t="inlineStr">
        <is>
          <t>Life Operations</t>
        </is>
      </c>
      <c r="G635" t="inlineStr">
        <is>
          <t>Healthcare</t>
        </is>
      </c>
      <c r="H635" t="inlineStr">
        <is>
          <t>Personal &gt; Life Operations &gt; Quick Add &gt; Healthcare</t>
        </is>
      </c>
      <c r="I635" s="18" t="n">
        <v>10600.42</v>
      </c>
      <c r="J635" t="inlineStr">
        <is>
          <t>Created MTR-IOS-0634 and correlation note visible in Activity/Pulse</t>
        </is>
      </c>
      <c r="K635" t="inlineStr">
        <is>
          <t>NOT_RUN</t>
        </is>
      </c>
      <c r="P635" t="n">
        <v>0</v>
      </c>
      <c r="Q635" t="n">
        <v>634</v>
      </c>
    </row>
    <row r="636">
      <c r="A636" t="n">
        <v>635</v>
      </c>
      <c r="B636" t="inlineStr">
        <is>
          <t>MTR-IOS-0635</t>
        </is>
      </c>
      <c r="C636" t="inlineStr">
        <is>
          <t>iPhone</t>
        </is>
      </c>
      <c r="D636" t="inlineStr">
        <is>
          <t>Group</t>
        </is>
      </c>
      <c r="E636" t="inlineStr">
        <is>
          <t>Shared Purchase</t>
        </is>
      </c>
      <c r="F636" t="inlineStr">
        <is>
          <t>Custom Purchase</t>
        </is>
      </c>
      <c r="G636" t="inlineStr">
        <is>
          <t>Custom Expense</t>
        </is>
      </c>
      <c r="H636" t="inlineStr">
        <is>
          <t>Group &gt; Custom Purchase &gt; Quick Add &gt; Custom Expense</t>
        </is>
      </c>
      <c r="I636" s="18" t="n">
        <v>21706.95</v>
      </c>
      <c r="J636" t="inlineStr">
        <is>
          <t>Created MTR-IOS-0635 and correlation note visible in Activity/Pulse</t>
        </is>
      </c>
      <c r="K636" t="inlineStr">
        <is>
          <t>NOT_RUN</t>
        </is>
      </c>
      <c r="P636" t="n">
        <v>0</v>
      </c>
      <c r="Q636" t="n">
        <v>635</v>
      </c>
    </row>
    <row r="637">
      <c r="A637" t="n">
        <v>636</v>
      </c>
      <c r="B637" t="inlineStr">
        <is>
          <t>MTR-IOS-0636</t>
        </is>
      </c>
      <c r="C637" t="inlineStr">
        <is>
          <t>iPhone</t>
        </is>
      </c>
      <c r="D637" t="inlineStr">
        <is>
          <t>Business</t>
        </is>
      </c>
      <c r="E637" t="inlineStr">
        <is>
          <t>Business</t>
        </is>
      </c>
      <c r="F637" t="inlineStr">
        <is>
          <t>Team Operations</t>
        </is>
      </c>
      <c r="G637" t="inlineStr">
        <is>
          <t>Contractor</t>
        </is>
      </c>
      <c r="H637" t="inlineStr">
        <is>
          <t>Business &gt; Team Operations &gt; Quick Add &gt; Contractor</t>
        </is>
      </c>
      <c r="I637" s="18" t="n">
        <v>158475.94</v>
      </c>
      <c r="J637" t="inlineStr">
        <is>
          <t>Created MTR-IOS-0636 and correlation note visible in Activity/Pulse</t>
        </is>
      </c>
      <c r="K637" t="inlineStr">
        <is>
          <t>NOT_RUN</t>
        </is>
      </c>
      <c r="P637" t="n">
        <v>0</v>
      </c>
      <c r="Q637" t="n">
        <v>636</v>
      </c>
    </row>
    <row r="638">
      <c r="A638" t="n">
        <v>637</v>
      </c>
      <c r="B638" t="inlineStr">
        <is>
          <t>MTR-IOS-0637</t>
        </is>
      </c>
      <c r="C638" t="inlineStr">
        <is>
          <t>iPhone</t>
        </is>
      </c>
      <c r="D638" t="inlineStr">
        <is>
          <t>Personal</t>
        </is>
      </c>
      <c r="E638" t="inlineStr">
        <is>
          <t>Personal</t>
        </is>
      </c>
      <c r="F638" t="inlineStr">
        <is>
          <t>Life Operations</t>
        </is>
      </c>
      <c r="G638" t="inlineStr">
        <is>
          <t>Subscriptions</t>
        </is>
      </c>
      <c r="H638" t="inlineStr">
        <is>
          <t>Personal &gt; Life Operations &gt; Quick Add &gt; Subscriptions</t>
        </is>
      </c>
      <c r="I638" s="18" t="n">
        <v>17186.58</v>
      </c>
      <c r="J638" t="inlineStr">
        <is>
          <t>Created MTR-IOS-0637 and correlation note visible in Activity/Pulse</t>
        </is>
      </c>
      <c r="K638" t="inlineStr">
        <is>
          <t>NOT_RUN</t>
        </is>
      </c>
      <c r="P638" t="n">
        <v>0</v>
      </c>
      <c r="Q638" t="n">
        <v>637</v>
      </c>
    </row>
    <row r="639">
      <c r="A639" t="n">
        <v>638</v>
      </c>
      <c r="B639" t="inlineStr">
        <is>
          <t>MTR-IOS-0638</t>
        </is>
      </c>
      <c r="C639" t="inlineStr">
        <is>
          <t>iPhone</t>
        </is>
      </c>
      <c r="D639" t="inlineStr">
        <is>
          <t>Group</t>
        </is>
      </c>
      <c r="E639" t="inlineStr">
        <is>
          <t>Shared Purchase</t>
        </is>
      </c>
      <c r="F639" t="inlineStr">
        <is>
          <t>Custom Purchase</t>
        </is>
      </c>
      <c r="G639" t="inlineStr">
        <is>
          <t>Custom Contribution</t>
        </is>
      </c>
      <c r="H639" t="inlineStr">
        <is>
          <t>Group &gt; Custom Purchase &gt; Quick Add &gt; Custom Contribution</t>
        </is>
      </c>
      <c r="I639" s="18" t="n">
        <v>8516.85</v>
      </c>
      <c r="J639" t="inlineStr">
        <is>
          <t>Created MTR-IOS-0638 and correlation note visible in Activity/Pulse</t>
        </is>
      </c>
      <c r="K639" t="inlineStr">
        <is>
          <t>NOT_RUN</t>
        </is>
      </c>
      <c r="P639" t="n">
        <v>0</v>
      </c>
      <c r="Q639" t="n">
        <v>638</v>
      </c>
    </row>
    <row r="640">
      <c r="A640" t="n">
        <v>639</v>
      </c>
      <c r="B640" t="inlineStr">
        <is>
          <t>MTR-IOS-0639</t>
        </is>
      </c>
      <c r="C640" t="inlineStr">
        <is>
          <t>iPhone</t>
        </is>
      </c>
      <c r="D640" t="inlineStr">
        <is>
          <t>Business</t>
        </is>
      </c>
      <c r="E640" t="inlineStr">
        <is>
          <t>Business</t>
        </is>
      </c>
      <c r="F640" t="inlineStr">
        <is>
          <t>Team Operations</t>
        </is>
      </c>
      <c r="G640" t="inlineStr">
        <is>
          <t>Hiring</t>
        </is>
      </c>
      <c r="H640" t="inlineStr">
        <is>
          <t>Business &gt; Team Operations &gt; Quick Add &gt; Hiring</t>
        </is>
      </c>
      <c r="I640" s="18" t="n">
        <v>113980.06</v>
      </c>
      <c r="J640" t="inlineStr">
        <is>
          <t>Created MTR-IOS-0639 and correlation note visible in Activity/Pulse</t>
        </is>
      </c>
      <c r="K640" t="inlineStr">
        <is>
          <t>NOT_RUN</t>
        </is>
      </c>
      <c r="P640" t="n">
        <v>0</v>
      </c>
      <c r="Q640" t="n">
        <v>639</v>
      </c>
    </row>
    <row r="641">
      <c r="A641" t="n">
        <v>640</v>
      </c>
      <c r="B641" t="inlineStr">
        <is>
          <t>MTR-IOS-0640</t>
        </is>
      </c>
      <c r="C641" t="inlineStr">
        <is>
          <t>iPhone</t>
        </is>
      </c>
      <c r="D641" t="inlineStr">
        <is>
          <t>Personal</t>
        </is>
      </c>
      <c r="E641" t="inlineStr">
        <is>
          <t>Personal</t>
        </is>
      </c>
      <c r="F641" t="inlineStr">
        <is>
          <t>Life Operations</t>
        </is>
      </c>
      <c r="G641" t="inlineStr">
        <is>
          <t>Repairs</t>
        </is>
      </c>
      <c r="H641" t="inlineStr">
        <is>
          <t>Personal &gt; Life Operations &gt; Quick Add &gt; Repairs</t>
        </is>
      </c>
      <c r="I641" s="18" t="n">
        <v>12981.26</v>
      </c>
      <c r="J641" t="inlineStr">
        <is>
          <t>Created MTR-IOS-0640 and correlation note visible in Activity/Pulse</t>
        </is>
      </c>
      <c r="K641" t="inlineStr">
        <is>
          <t>NOT_RUN</t>
        </is>
      </c>
      <c r="P641" t="n">
        <v>0</v>
      </c>
      <c r="Q641" t="n">
        <v>640</v>
      </c>
    </row>
    <row r="642">
      <c r="A642" t="n">
        <v>641</v>
      </c>
      <c r="B642" t="inlineStr">
        <is>
          <t>MTR-IOS-0641</t>
        </is>
      </c>
      <c r="C642" t="inlineStr">
        <is>
          <t>iPhone</t>
        </is>
      </c>
      <c r="D642" t="inlineStr">
        <is>
          <t>Group</t>
        </is>
      </c>
      <c r="E642" t="inlineStr">
        <is>
          <t>Shared Living</t>
        </is>
      </c>
      <c r="F642" t="inlineStr">
        <is>
          <t>Flatmates</t>
        </is>
      </c>
      <c r="G642" t="inlineStr">
        <is>
          <t>Rent</t>
        </is>
      </c>
      <c r="H642" t="inlineStr">
        <is>
          <t>Group &gt; Flatmates &gt; Quick Add &gt; Rent</t>
        </is>
      </c>
      <c r="I642" s="18" t="n">
        <v>17267.12</v>
      </c>
      <c r="J642" t="inlineStr">
        <is>
          <t>Created MTR-IOS-0641 and correlation note visible in Activity/Pulse</t>
        </is>
      </c>
      <c r="K642" t="inlineStr">
        <is>
          <t>NOT_RUN</t>
        </is>
      </c>
      <c r="P642" t="n">
        <v>0</v>
      </c>
      <c r="Q642" t="n">
        <v>641</v>
      </c>
    </row>
    <row r="643">
      <c r="A643" t="n">
        <v>642</v>
      </c>
      <c r="B643" t="inlineStr">
        <is>
          <t>MTR-IOS-0642</t>
        </is>
      </c>
      <c r="C643" t="inlineStr">
        <is>
          <t>iPhone</t>
        </is>
      </c>
      <c r="D643" t="inlineStr">
        <is>
          <t>Business</t>
        </is>
      </c>
      <c r="E643" t="inlineStr">
        <is>
          <t>Business</t>
        </is>
      </c>
      <c r="F643" t="inlineStr">
        <is>
          <t>Team Operations</t>
        </is>
      </c>
      <c r="G643" t="inlineStr">
        <is>
          <t>Team Meal</t>
        </is>
      </c>
      <c r="H643" t="inlineStr">
        <is>
          <t>Business &gt; Team Operations &gt; Quick Add &gt; Team Meal</t>
        </is>
      </c>
      <c r="I643" s="18" t="n">
        <v>39146.32</v>
      </c>
      <c r="J643" t="inlineStr">
        <is>
          <t>Created MTR-IOS-0642 and correlation note visible in Activity/Pulse</t>
        </is>
      </c>
      <c r="K643" t="inlineStr">
        <is>
          <t>NOT_RUN</t>
        </is>
      </c>
      <c r="P643" t="n">
        <v>0</v>
      </c>
      <c r="Q643" t="n">
        <v>642</v>
      </c>
    </row>
    <row r="644">
      <c r="A644" t="n">
        <v>643</v>
      </c>
      <c r="B644" t="inlineStr">
        <is>
          <t>MTR-IOS-0643</t>
        </is>
      </c>
      <c r="C644" t="inlineStr">
        <is>
          <t>iPhone</t>
        </is>
      </c>
      <c r="D644" t="inlineStr">
        <is>
          <t>Personal</t>
        </is>
      </c>
      <c r="E644" t="inlineStr">
        <is>
          <t>Personal</t>
        </is>
      </c>
      <c r="F644" t="inlineStr">
        <is>
          <t>Future Building</t>
        </is>
      </c>
      <c r="G644" t="inlineStr">
        <is>
          <t>Savings</t>
        </is>
      </c>
      <c r="H644" t="inlineStr">
        <is>
          <t>Personal &gt; Future Building &gt; Quick Add &gt; Savings</t>
        </is>
      </c>
      <c r="I644" s="18" t="n">
        <v>7255.28</v>
      </c>
      <c r="J644" t="inlineStr">
        <is>
          <t>Created MTR-IOS-0643 and correlation note visible in Activity/Pulse</t>
        </is>
      </c>
      <c r="K644" t="inlineStr">
        <is>
          <t>NOT_RUN</t>
        </is>
      </c>
      <c r="P644" t="n">
        <v>0</v>
      </c>
      <c r="Q644" t="n">
        <v>643</v>
      </c>
    </row>
    <row r="645">
      <c r="A645" t="n">
        <v>644</v>
      </c>
      <c r="B645" t="inlineStr">
        <is>
          <t>MTR-IOS-0644</t>
        </is>
      </c>
      <c r="C645" t="inlineStr">
        <is>
          <t>iPhone</t>
        </is>
      </c>
      <c r="D645" t="inlineStr">
        <is>
          <t>Group</t>
        </is>
      </c>
      <c r="E645" t="inlineStr">
        <is>
          <t>Shared Living</t>
        </is>
      </c>
      <c r="F645" t="inlineStr">
        <is>
          <t>Flatmates</t>
        </is>
      </c>
      <c r="G645" t="inlineStr">
        <is>
          <t>Utilities</t>
        </is>
      </c>
      <c r="H645" t="inlineStr">
        <is>
          <t>Group &gt; Flatmates &gt; Quick Add &gt; Utilities</t>
        </is>
      </c>
      <c r="I645" s="18" t="n">
        <v>14029.33</v>
      </c>
      <c r="J645" t="inlineStr">
        <is>
          <t>Created MTR-IOS-0644 and correlation note visible in Activity/Pulse</t>
        </is>
      </c>
      <c r="K645" t="inlineStr">
        <is>
          <t>NOT_RUN</t>
        </is>
      </c>
      <c r="P645" t="n">
        <v>0</v>
      </c>
      <c r="Q645" t="n">
        <v>644</v>
      </c>
    </row>
    <row r="646">
      <c r="A646" t="n">
        <v>645</v>
      </c>
      <c r="B646" t="inlineStr">
        <is>
          <t>MTR-IOS-0645</t>
        </is>
      </c>
      <c r="C646" t="inlineStr">
        <is>
          <t>iPhone</t>
        </is>
      </c>
      <c r="D646" t="inlineStr">
        <is>
          <t>Business</t>
        </is>
      </c>
      <c r="E646" t="inlineStr">
        <is>
          <t>Business</t>
        </is>
      </c>
      <c r="F646" t="inlineStr">
        <is>
          <t>Team Operations</t>
        </is>
      </c>
      <c r="G646" t="inlineStr">
        <is>
          <t>Travel</t>
        </is>
      </c>
      <c r="H646" t="inlineStr">
        <is>
          <t>Business &gt; Team Operations &gt; Quick Add &gt; Travel</t>
        </is>
      </c>
      <c r="I646" s="18" t="n">
        <v>110744.17</v>
      </c>
      <c r="J646" t="inlineStr">
        <is>
          <t>Created MTR-IOS-0645 and correlation note visible in Activity/Pulse</t>
        </is>
      </c>
      <c r="K646" t="inlineStr">
        <is>
          <t>NOT_RUN</t>
        </is>
      </c>
      <c r="P646" t="n">
        <v>0</v>
      </c>
      <c r="Q646" t="n">
        <v>645</v>
      </c>
    </row>
    <row r="647">
      <c r="A647" t="n">
        <v>646</v>
      </c>
      <c r="B647" t="inlineStr">
        <is>
          <t>MTR-IOS-0646</t>
        </is>
      </c>
      <c r="C647" t="inlineStr">
        <is>
          <t>iPhone</t>
        </is>
      </c>
      <c r="D647" t="inlineStr">
        <is>
          <t>Personal</t>
        </is>
      </c>
      <c r="E647" t="inlineStr">
        <is>
          <t>Personal</t>
        </is>
      </c>
      <c r="F647" t="inlineStr">
        <is>
          <t>Future Building</t>
        </is>
      </c>
      <c r="G647" t="inlineStr">
        <is>
          <t>Emergency Fund</t>
        </is>
      </c>
      <c r="H647" t="inlineStr">
        <is>
          <t>Personal &gt; Future Building &gt; Quick Add &gt; Emergency Fund</t>
        </is>
      </c>
      <c r="I647" s="18" t="n">
        <v>14330.2</v>
      </c>
      <c r="J647" t="inlineStr">
        <is>
          <t>Created MTR-IOS-0646 and correlation note visible in Activity/Pulse</t>
        </is>
      </c>
      <c r="K647" t="inlineStr">
        <is>
          <t>NOT_RUN</t>
        </is>
      </c>
      <c r="P647" t="n">
        <v>0</v>
      </c>
      <c r="Q647" t="n">
        <v>646</v>
      </c>
    </row>
    <row r="648">
      <c r="A648" t="n">
        <v>647</v>
      </c>
      <c r="B648" t="inlineStr">
        <is>
          <t>MTR-IOS-0647</t>
        </is>
      </c>
      <c r="C648" t="inlineStr">
        <is>
          <t>iPhone</t>
        </is>
      </c>
      <c r="D648" t="inlineStr">
        <is>
          <t>Group</t>
        </is>
      </c>
      <c r="E648" t="inlineStr">
        <is>
          <t>Shared Living</t>
        </is>
      </c>
      <c r="F648" t="inlineStr">
        <is>
          <t>Flatmates</t>
        </is>
      </c>
      <c r="G648" t="inlineStr">
        <is>
          <t>Groceries</t>
        </is>
      </c>
      <c r="H648" t="inlineStr">
        <is>
          <t>Group &gt; Flatmates &gt; Quick Add &gt; Groceries</t>
        </is>
      </c>
      <c r="I648" s="18" t="n">
        <v>7284.49</v>
      </c>
      <c r="J648" t="inlineStr">
        <is>
          <t>Created MTR-IOS-0647 and correlation note visible in Activity/Pulse</t>
        </is>
      </c>
      <c r="K648" t="inlineStr">
        <is>
          <t>NOT_RUN</t>
        </is>
      </c>
      <c r="P648" t="n">
        <v>0</v>
      </c>
      <c r="Q648" t="n">
        <v>647</v>
      </c>
    </row>
    <row r="649">
      <c r="A649" t="n">
        <v>648</v>
      </c>
      <c r="B649" t="inlineStr">
        <is>
          <t>MTR-IOS-0648</t>
        </is>
      </c>
      <c r="C649" t="inlineStr">
        <is>
          <t>iPhone</t>
        </is>
      </c>
      <c r="D649" t="inlineStr">
        <is>
          <t>Business</t>
        </is>
      </c>
      <c r="E649" t="inlineStr">
        <is>
          <t>Business</t>
        </is>
      </c>
      <c r="F649" t="inlineStr">
        <is>
          <t>Team Operations</t>
        </is>
      </c>
      <c r="G649" t="inlineStr">
        <is>
          <t>Training</t>
        </is>
      </c>
      <c r="H649" t="inlineStr">
        <is>
          <t>Business &gt; Team Operations &gt; Quick Add &gt; Training</t>
        </is>
      </c>
      <c r="I649" s="18" t="n">
        <v>116121.95</v>
      </c>
      <c r="J649" t="inlineStr">
        <is>
          <t>Created MTR-IOS-0648 and correlation note visible in Activity/Pulse</t>
        </is>
      </c>
      <c r="K649" t="inlineStr">
        <is>
          <t>NOT_RUN</t>
        </is>
      </c>
      <c r="P649" t="n">
        <v>0</v>
      </c>
      <c r="Q649" t="n">
        <v>648</v>
      </c>
    </row>
    <row r="650">
      <c r="A650" t="n">
        <v>649</v>
      </c>
      <c r="B650" t="inlineStr">
        <is>
          <t>MTR-IOS-0649</t>
        </is>
      </c>
      <c r="C650" t="inlineStr">
        <is>
          <t>iPhone</t>
        </is>
      </c>
      <c r="D650" t="inlineStr">
        <is>
          <t>Personal</t>
        </is>
      </c>
      <c r="E650" t="inlineStr">
        <is>
          <t>Personal</t>
        </is>
      </c>
      <c r="F650" t="inlineStr">
        <is>
          <t>Future Building</t>
        </is>
      </c>
      <c r="G650" t="inlineStr">
        <is>
          <t>Investments</t>
        </is>
      </c>
      <c r="H650" t="inlineStr">
        <is>
          <t>Personal &gt; Future Building &gt; Quick Add &gt; Investments</t>
        </is>
      </c>
      <c r="I650" s="18" t="n">
        <v>12140.13</v>
      </c>
      <c r="J650" t="inlineStr">
        <is>
          <t>Created MTR-IOS-0649 and correlation note visible in Activity/Pulse</t>
        </is>
      </c>
      <c r="K650" t="inlineStr">
        <is>
          <t>NOT_RUN</t>
        </is>
      </c>
      <c r="P650" t="n">
        <v>0</v>
      </c>
      <c r="Q650" t="n">
        <v>649</v>
      </c>
    </row>
    <row r="651">
      <c r="A651" t="n">
        <v>650</v>
      </c>
      <c r="B651" t="inlineStr">
        <is>
          <t>MTR-IOS-0650</t>
        </is>
      </c>
      <c r="C651" t="inlineStr">
        <is>
          <t>iPhone</t>
        </is>
      </c>
      <c r="D651" t="inlineStr">
        <is>
          <t>Group</t>
        </is>
      </c>
      <c r="E651" t="inlineStr">
        <is>
          <t>Shared Living</t>
        </is>
      </c>
      <c r="F651" t="inlineStr">
        <is>
          <t>Flatmates</t>
        </is>
      </c>
      <c r="G651" t="inlineStr">
        <is>
          <t>Internet</t>
        </is>
      </c>
      <c r="H651" t="inlineStr">
        <is>
          <t>Group &gt; Flatmates &gt; Quick Add &gt; Internet</t>
        </is>
      </c>
      <c r="I651" s="18" t="n">
        <v>10859.57</v>
      </c>
      <c r="J651" t="inlineStr">
        <is>
          <t>Created MTR-IOS-0650 and correlation note visible in Activity/Pulse</t>
        </is>
      </c>
      <c r="K651" t="inlineStr">
        <is>
          <t>NOT_RUN</t>
        </is>
      </c>
      <c r="P651" t="n">
        <v>0</v>
      </c>
      <c r="Q651" t="n">
        <v>650</v>
      </c>
    </row>
    <row r="652">
      <c r="A652" t="n">
        <v>651</v>
      </c>
      <c r="B652" t="inlineStr">
        <is>
          <t>MTR-IOS-0651</t>
        </is>
      </c>
      <c r="C652" t="inlineStr">
        <is>
          <t>iPhone</t>
        </is>
      </c>
      <c r="D652" t="inlineStr">
        <is>
          <t>Business</t>
        </is>
      </c>
      <c r="E652" t="inlineStr">
        <is>
          <t>Business</t>
        </is>
      </c>
      <c r="F652" t="inlineStr">
        <is>
          <t>Team Operations</t>
        </is>
      </c>
      <c r="G652" t="inlineStr">
        <is>
          <t>Tools</t>
        </is>
      </c>
      <c r="H652" t="inlineStr">
        <is>
          <t>Business &gt; Team Operations &gt; Quick Add &gt; Tools</t>
        </is>
      </c>
      <c r="I652" s="18" t="n">
        <v>77257.32000000001</v>
      </c>
      <c r="J652" t="inlineStr">
        <is>
          <t>Created MTR-IOS-0651 and correlation note visible in Activity/Pulse</t>
        </is>
      </c>
      <c r="K652" t="inlineStr">
        <is>
          <t>NOT_RUN</t>
        </is>
      </c>
      <c r="P652" t="n">
        <v>0</v>
      </c>
      <c r="Q652" t="n">
        <v>651</v>
      </c>
    </row>
    <row r="653">
      <c r="A653" t="n">
        <v>652</v>
      </c>
      <c r="B653" t="inlineStr">
        <is>
          <t>MTR-IOS-0652</t>
        </is>
      </c>
      <c r="C653" t="inlineStr">
        <is>
          <t>iPhone</t>
        </is>
      </c>
      <c r="D653" t="inlineStr">
        <is>
          <t>Personal</t>
        </is>
      </c>
      <c r="E653" t="inlineStr">
        <is>
          <t>Personal</t>
        </is>
      </c>
      <c r="F653" t="inlineStr">
        <is>
          <t>Future Building</t>
        </is>
      </c>
      <c r="G653" t="inlineStr">
        <is>
          <t>Education</t>
        </is>
      </c>
      <c r="H653" t="inlineStr">
        <is>
          <t>Personal &gt; Future Building &gt; Quick Add &gt; Education</t>
        </is>
      </c>
      <c r="I653" s="18" t="n">
        <v>10191.41</v>
      </c>
      <c r="J653" t="inlineStr">
        <is>
          <t>Created MTR-IOS-0652 and correlation note visible in Activity/Pulse</t>
        </is>
      </c>
      <c r="K653" t="inlineStr">
        <is>
          <t>NOT_RUN</t>
        </is>
      </c>
      <c r="P653" t="n">
        <v>0</v>
      </c>
      <c r="Q653" t="n">
        <v>652</v>
      </c>
    </row>
    <row r="654">
      <c r="A654" t="n">
        <v>653</v>
      </c>
      <c r="B654" t="inlineStr">
        <is>
          <t>MTR-IOS-0653</t>
        </is>
      </c>
      <c r="C654" t="inlineStr">
        <is>
          <t>iPhone</t>
        </is>
      </c>
      <c r="D654" t="inlineStr">
        <is>
          <t>Group</t>
        </is>
      </c>
      <c r="E654" t="inlineStr">
        <is>
          <t>Shared Living</t>
        </is>
      </c>
      <c r="F654" t="inlineStr">
        <is>
          <t>Flatmates</t>
        </is>
      </c>
      <c r="G654" t="inlineStr">
        <is>
          <t>House Supplies</t>
        </is>
      </c>
      <c r="H654" t="inlineStr">
        <is>
          <t>Group &gt; Flatmates &gt; Quick Add &gt; House Supplies</t>
        </is>
      </c>
      <c r="I654" s="18" t="n">
        <v>10478.53</v>
      </c>
      <c r="J654" t="inlineStr">
        <is>
          <t>Created MTR-IOS-0653 and correlation note visible in Activity/Pulse</t>
        </is>
      </c>
      <c r="K654" t="inlineStr">
        <is>
          <t>NOT_RUN</t>
        </is>
      </c>
      <c r="P654" t="n">
        <v>0</v>
      </c>
      <c r="Q654" t="n">
        <v>653</v>
      </c>
    </row>
    <row r="655">
      <c r="A655" t="n">
        <v>654</v>
      </c>
      <c r="B655" t="inlineStr">
        <is>
          <t>MTR-IOS-0654</t>
        </is>
      </c>
      <c r="C655" t="inlineStr">
        <is>
          <t>iPhone</t>
        </is>
      </c>
      <c r="D655" t="inlineStr">
        <is>
          <t>Business</t>
        </is>
      </c>
      <c r="E655" t="inlineStr">
        <is>
          <t>Business</t>
        </is>
      </c>
      <c r="F655" t="inlineStr">
        <is>
          <t>Business Runway</t>
        </is>
      </c>
      <c r="G655" t="inlineStr">
        <is>
          <t>Funding</t>
        </is>
      </c>
      <c r="H655" t="inlineStr">
        <is>
          <t>Business &gt; Business Runway &gt; Quick Add &gt; Funding</t>
        </is>
      </c>
      <c r="I655" s="18" t="n">
        <v>17416.81</v>
      </c>
      <c r="J655" t="inlineStr">
        <is>
          <t>Created MTR-IOS-0654 and correlation note visible in Activity/Pulse</t>
        </is>
      </c>
      <c r="K655" t="inlineStr">
        <is>
          <t>NOT_RUN</t>
        </is>
      </c>
      <c r="P655" t="n">
        <v>0</v>
      </c>
      <c r="Q655" t="n">
        <v>654</v>
      </c>
    </row>
    <row r="656">
      <c r="A656" t="n">
        <v>655</v>
      </c>
      <c r="B656" t="inlineStr">
        <is>
          <t>MTR-IOS-0655</t>
        </is>
      </c>
      <c r="C656" t="inlineStr">
        <is>
          <t>iPhone</t>
        </is>
      </c>
      <c r="D656" t="inlineStr">
        <is>
          <t>Personal</t>
        </is>
      </c>
      <c r="E656" t="inlineStr">
        <is>
          <t>Personal</t>
        </is>
      </c>
      <c r="F656" t="inlineStr">
        <is>
          <t>Future Building</t>
        </is>
      </c>
      <c r="G656" t="inlineStr">
        <is>
          <t>Goal Contribution</t>
        </is>
      </c>
      <c r="H656" t="inlineStr">
        <is>
          <t>Personal &gt; Future Building &gt; Quick Add &gt; Goal Contribution</t>
        </is>
      </c>
      <c r="I656" s="18" t="n">
        <v>3056.43</v>
      </c>
      <c r="J656" t="inlineStr">
        <is>
          <t>Created MTR-IOS-0655 and correlation note visible in Activity/Pulse</t>
        </is>
      </c>
      <c r="K656" t="inlineStr">
        <is>
          <t>NOT_RUN</t>
        </is>
      </c>
      <c r="P656" t="n">
        <v>0</v>
      </c>
      <c r="Q656" t="n">
        <v>655</v>
      </c>
    </row>
    <row r="657">
      <c r="A657" t="n">
        <v>656</v>
      </c>
      <c r="B657" t="inlineStr">
        <is>
          <t>MTR-IOS-0656</t>
        </is>
      </c>
      <c r="C657" t="inlineStr">
        <is>
          <t>iPhone</t>
        </is>
      </c>
      <c r="D657" t="inlineStr">
        <is>
          <t>Group</t>
        </is>
      </c>
      <c r="E657" t="inlineStr">
        <is>
          <t>Shared Living</t>
        </is>
      </c>
      <c r="F657" t="inlineStr">
        <is>
          <t>Flatmates</t>
        </is>
      </c>
      <c r="G657" t="inlineStr">
        <is>
          <t>Repairs</t>
        </is>
      </c>
      <c r="H657" t="inlineStr">
        <is>
          <t>Group &gt; Flatmates &gt; Quick Add &gt; Repairs</t>
        </is>
      </c>
      <c r="I657" s="18" t="n">
        <v>25866.47</v>
      </c>
      <c r="J657" t="inlineStr">
        <is>
          <t>Created MTR-IOS-0656 and correlation note visible in Activity/Pulse</t>
        </is>
      </c>
      <c r="K657" t="inlineStr">
        <is>
          <t>NOT_RUN</t>
        </is>
      </c>
      <c r="P657" t="n">
        <v>0</v>
      </c>
      <c r="Q657" t="n">
        <v>656</v>
      </c>
    </row>
    <row r="658">
      <c r="A658" t="n">
        <v>657</v>
      </c>
      <c r="B658" t="inlineStr">
        <is>
          <t>MTR-IOS-0657</t>
        </is>
      </c>
      <c r="C658" t="inlineStr">
        <is>
          <t>iPhone</t>
        </is>
      </c>
      <c r="D658" t="inlineStr">
        <is>
          <t>Business</t>
        </is>
      </c>
      <c r="E658" t="inlineStr">
        <is>
          <t>Business</t>
        </is>
      </c>
      <c r="F658" t="inlineStr">
        <is>
          <t>Business Runway</t>
        </is>
      </c>
      <c r="G658" t="inlineStr">
        <is>
          <t>Revenue</t>
        </is>
      </c>
      <c r="H658" t="inlineStr">
        <is>
          <t>Business &gt; Business Runway &gt; Quick Add &gt; Revenue</t>
        </is>
      </c>
      <c r="I658" s="18" t="n">
        <v>156133.13</v>
      </c>
      <c r="J658" t="inlineStr">
        <is>
          <t>Created MTR-IOS-0657 and correlation note visible in Activity/Pulse</t>
        </is>
      </c>
      <c r="K658" t="inlineStr">
        <is>
          <t>NOT_RUN</t>
        </is>
      </c>
      <c r="P658" t="n">
        <v>0</v>
      </c>
      <c r="Q658" t="n">
        <v>657</v>
      </c>
    </row>
    <row r="659">
      <c r="A659" t="n">
        <v>658</v>
      </c>
      <c r="B659" t="inlineStr">
        <is>
          <t>MTR-IOS-0658</t>
        </is>
      </c>
      <c r="C659" t="inlineStr">
        <is>
          <t>iPhone</t>
        </is>
      </c>
      <c r="D659" t="inlineStr">
        <is>
          <t>Personal</t>
        </is>
      </c>
      <c r="E659" t="inlineStr">
        <is>
          <t>Personal</t>
        </is>
      </c>
      <c r="F659" t="inlineStr">
        <is>
          <t>Lifestyle</t>
        </is>
      </c>
      <c r="G659" t="inlineStr">
        <is>
          <t>Dining</t>
        </is>
      </c>
      <c r="H659" t="inlineStr">
        <is>
          <t>Personal &gt; Lifestyle &gt; Quick Add &gt; Dining</t>
        </is>
      </c>
      <c r="I659" s="18" t="n">
        <v>16337.08</v>
      </c>
      <c r="J659" t="inlineStr">
        <is>
          <t>Created MTR-IOS-0658 and correlation note visible in Activity/Pulse</t>
        </is>
      </c>
      <c r="K659" t="inlineStr">
        <is>
          <t>NOT_RUN</t>
        </is>
      </c>
      <c r="P659" t="n">
        <v>0</v>
      </c>
      <c r="Q659" t="n">
        <v>658</v>
      </c>
    </row>
    <row r="660">
      <c r="A660" t="n">
        <v>659</v>
      </c>
      <c r="B660" t="inlineStr">
        <is>
          <t>MTR-IOS-0659</t>
        </is>
      </c>
      <c r="C660" t="inlineStr">
        <is>
          <t>iPhone</t>
        </is>
      </c>
      <c r="D660" t="inlineStr">
        <is>
          <t>Group</t>
        </is>
      </c>
      <c r="E660" t="inlineStr">
        <is>
          <t>Shared Living</t>
        </is>
      </c>
      <c r="F660" t="inlineStr">
        <is>
          <t>Shared Living</t>
        </is>
      </c>
      <c r="G660" t="inlineStr">
        <is>
          <t>Rent</t>
        </is>
      </c>
      <c r="H660" t="inlineStr">
        <is>
          <t>Group &gt; Shared Living &gt; Quick Add &gt; Rent</t>
        </is>
      </c>
      <c r="I660" s="18" t="n">
        <v>23329.24</v>
      </c>
      <c r="J660" t="inlineStr">
        <is>
          <t>Created MTR-IOS-0659 and correlation note visible in Activity/Pulse</t>
        </is>
      </c>
      <c r="K660" t="inlineStr">
        <is>
          <t>NOT_RUN</t>
        </is>
      </c>
      <c r="P660" t="n">
        <v>0</v>
      </c>
      <c r="Q660" t="n">
        <v>659</v>
      </c>
    </row>
    <row r="661">
      <c r="A661" t="n">
        <v>660</v>
      </c>
      <c r="B661" t="inlineStr">
        <is>
          <t>MTR-IOS-0660</t>
        </is>
      </c>
      <c r="C661" t="inlineStr">
        <is>
          <t>iPhone</t>
        </is>
      </c>
      <c r="D661" t="inlineStr">
        <is>
          <t>Business</t>
        </is>
      </c>
      <c r="E661" t="inlineStr">
        <is>
          <t>Business</t>
        </is>
      </c>
      <c r="F661" t="inlineStr">
        <is>
          <t>Business Runway</t>
        </is>
      </c>
      <c r="G661" t="inlineStr">
        <is>
          <t>Burn</t>
        </is>
      </c>
      <c r="H661" t="inlineStr">
        <is>
          <t>Business &gt; Business Runway &gt; Quick Add &gt; Burn</t>
        </is>
      </c>
      <c r="I661" s="18" t="n">
        <v>45200.28</v>
      </c>
      <c r="J661" t="inlineStr">
        <is>
          <t>Created MTR-IOS-0660 and correlation note visible in Activity/Pulse</t>
        </is>
      </c>
      <c r="K661" t="inlineStr">
        <is>
          <t>NOT_RUN</t>
        </is>
      </c>
      <c r="P661" t="n">
        <v>0</v>
      </c>
      <c r="Q661" t="n">
        <v>660</v>
      </c>
    </row>
    <row r="662">
      <c r="A662" t="n">
        <v>661</v>
      </c>
      <c r="B662" t="inlineStr">
        <is>
          <t>MTR-IOS-0661</t>
        </is>
      </c>
      <c r="C662" t="inlineStr">
        <is>
          <t>iPhone</t>
        </is>
      </c>
      <c r="D662" t="inlineStr">
        <is>
          <t>Personal</t>
        </is>
      </c>
      <c r="E662" t="inlineStr">
        <is>
          <t>Personal</t>
        </is>
      </c>
      <c r="F662" t="inlineStr">
        <is>
          <t>Lifestyle</t>
        </is>
      </c>
      <c r="G662" t="inlineStr">
        <is>
          <t>Shopping</t>
        </is>
      </c>
      <c r="H662" t="inlineStr">
        <is>
          <t>Personal &gt; Lifestyle &gt; Quick Add &gt; Shopping</t>
        </is>
      </c>
      <c r="I662" s="18" t="n">
        <v>2514.51</v>
      </c>
      <c r="J662" t="inlineStr">
        <is>
          <t>Created MTR-IOS-0661 and correlation note visible in Activity/Pulse</t>
        </is>
      </c>
      <c r="K662" t="inlineStr">
        <is>
          <t>NOT_RUN</t>
        </is>
      </c>
      <c r="P662" t="n">
        <v>0</v>
      </c>
      <c r="Q662" t="n">
        <v>661</v>
      </c>
    </row>
    <row r="663">
      <c r="A663" t="n">
        <v>662</v>
      </c>
      <c r="B663" t="inlineStr">
        <is>
          <t>MTR-IOS-0662</t>
        </is>
      </c>
      <c r="C663" t="inlineStr">
        <is>
          <t>iPhone</t>
        </is>
      </c>
      <c r="D663" t="inlineStr">
        <is>
          <t>Group</t>
        </is>
      </c>
      <c r="E663" t="inlineStr">
        <is>
          <t>Shared Living</t>
        </is>
      </c>
      <c r="F663" t="inlineStr">
        <is>
          <t>Shared Living</t>
        </is>
      </c>
      <c r="G663" t="inlineStr">
        <is>
          <t>Utilities</t>
        </is>
      </c>
      <c r="H663" t="inlineStr">
        <is>
          <t>Group &gt; Shared Living &gt; Quick Add &gt; Utilities</t>
        </is>
      </c>
      <c r="I663" s="18" t="n">
        <v>14423.91</v>
      </c>
      <c r="J663" t="inlineStr">
        <is>
          <t>Created MTR-IOS-0662 and correlation note visible in Activity/Pulse</t>
        </is>
      </c>
      <c r="K663" t="inlineStr">
        <is>
          <t>NOT_RUN</t>
        </is>
      </c>
      <c r="P663" t="n">
        <v>0</v>
      </c>
      <c r="Q663" t="n">
        <v>662</v>
      </c>
    </row>
    <row r="664">
      <c r="A664" t="n">
        <v>663</v>
      </c>
      <c r="B664" t="inlineStr">
        <is>
          <t>MTR-IOS-0663</t>
        </is>
      </c>
      <c r="C664" t="inlineStr">
        <is>
          <t>iPhone</t>
        </is>
      </c>
      <c r="D664" t="inlineStr">
        <is>
          <t>Business</t>
        </is>
      </c>
      <c r="E664" t="inlineStr">
        <is>
          <t>Business</t>
        </is>
      </c>
      <c r="F664" t="inlineStr">
        <is>
          <t>Business Runway</t>
        </is>
      </c>
      <c r="G664" t="inlineStr">
        <is>
          <t>Reserve</t>
        </is>
      </c>
      <c r="H664" t="inlineStr">
        <is>
          <t>Business &gt; Business Runway &gt; Quick Add &gt; Reserve</t>
        </is>
      </c>
      <c r="I664" s="18" t="n">
        <v>63590.72</v>
      </c>
      <c r="J664" t="inlineStr">
        <is>
          <t>Created MTR-IOS-0663 and correlation note visible in Activity/Pulse</t>
        </is>
      </c>
      <c r="K664" t="inlineStr">
        <is>
          <t>NOT_RUN</t>
        </is>
      </c>
      <c r="P664" t="n">
        <v>0</v>
      </c>
      <c r="Q664" t="n">
        <v>663</v>
      </c>
    </row>
    <row r="665">
      <c r="A665" t="n">
        <v>664</v>
      </c>
      <c r="B665" t="inlineStr">
        <is>
          <t>MTR-IOS-0664</t>
        </is>
      </c>
      <c r="C665" t="inlineStr">
        <is>
          <t>iPhone</t>
        </is>
      </c>
      <c r="D665" t="inlineStr">
        <is>
          <t>Personal</t>
        </is>
      </c>
      <c r="E665" t="inlineStr">
        <is>
          <t>Personal</t>
        </is>
      </c>
      <c r="F665" t="inlineStr">
        <is>
          <t>Lifestyle</t>
        </is>
      </c>
      <c r="G665" t="inlineStr">
        <is>
          <t>Entertainment</t>
        </is>
      </c>
      <c r="H665" t="inlineStr">
        <is>
          <t>Personal &gt; Lifestyle &gt; Quick Add &gt; Entertainment</t>
        </is>
      </c>
      <c r="I665" s="18" t="n">
        <v>16640.07</v>
      </c>
      <c r="J665" t="inlineStr">
        <is>
          <t>Created MTR-IOS-0664 and correlation note visible in Activity/Pulse</t>
        </is>
      </c>
      <c r="K665" t="inlineStr">
        <is>
          <t>NOT_RUN</t>
        </is>
      </c>
      <c r="P665" t="n">
        <v>0</v>
      </c>
      <c r="Q665" t="n">
        <v>664</v>
      </c>
    </row>
    <row r="666">
      <c r="A666" t="n">
        <v>665</v>
      </c>
      <c r="B666" t="inlineStr">
        <is>
          <t>MTR-IOS-0665</t>
        </is>
      </c>
      <c r="C666" t="inlineStr">
        <is>
          <t>iPhone</t>
        </is>
      </c>
      <c r="D666" t="inlineStr">
        <is>
          <t>Group</t>
        </is>
      </c>
      <c r="E666" t="inlineStr">
        <is>
          <t>Shared Living</t>
        </is>
      </c>
      <c r="F666" t="inlineStr">
        <is>
          <t>Shared Living</t>
        </is>
      </c>
      <c r="G666" t="inlineStr">
        <is>
          <t>Groceries</t>
        </is>
      </c>
      <c r="H666" t="inlineStr">
        <is>
          <t>Group &gt; Shared Living &gt; Quick Add &gt; Groceries</t>
        </is>
      </c>
      <c r="I666" s="18" t="n">
        <v>25181.9</v>
      </c>
      <c r="J666" t="inlineStr">
        <is>
          <t>Created MTR-IOS-0665 and correlation note visible in Activity/Pulse</t>
        </is>
      </c>
      <c r="K666" t="inlineStr">
        <is>
          <t>NOT_RUN</t>
        </is>
      </c>
      <c r="P666" t="n">
        <v>0</v>
      </c>
      <c r="Q666" t="n">
        <v>665</v>
      </c>
    </row>
    <row r="667">
      <c r="A667" t="n">
        <v>666</v>
      </c>
      <c r="B667" t="inlineStr">
        <is>
          <t>MTR-IOS-0666</t>
        </is>
      </c>
      <c r="C667" t="inlineStr">
        <is>
          <t>iPhone</t>
        </is>
      </c>
      <c r="D667" t="inlineStr">
        <is>
          <t>Business</t>
        </is>
      </c>
      <c r="E667" t="inlineStr">
        <is>
          <t>Business</t>
        </is>
      </c>
      <c r="F667" t="inlineStr">
        <is>
          <t>Business Runway</t>
        </is>
      </c>
      <c r="G667" t="inlineStr">
        <is>
          <t>Loan</t>
        </is>
      </c>
      <c r="H667" t="inlineStr">
        <is>
          <t>Business &gt; Business Runway &gt; Quick Add &gt; Loan</t>
        </is>
      </c>
      <c r="I667" s="18" t="n">
        <v>0.01</v>
      </c>
      <c r="J667" t="inlineStr">
        <is>
          <t>Created MTR-IOS-0666 and correlation note visible in Activity/Pulse</t>
        </is>
      </c>
      <c r="K667" t="inlineStr">
        <is>
          <t>NOT_RUN</t>
        </is>
      </c>
      <c r="P667" t="n">
        <v>0</v>
      </c>
      <c r="Q667" t="n">
        <v>666</v>
      </c>
    </row>
    <row r="668">
      <c r="A668" t="n">
        <v>667</v>
      </c>
      <c r="B668" t="inlineStr">
        <is>
          <t>MTR-IOS-0667</t>
        </is>
      </c>
      <c r="C668" t="inlineStr">
        <is>
          <t>iPhone</t>
        </is>
      </c>
      <c r="D668" t="inlineStr">
        <is>
          <t>Personal</t>
        </is>
      </c>
      <c r="E668" t="inlineStr">
        <is>
          <t>Personal</t>
        </is>
      </c>
      <c r="F668" t="inlineStr">
        <is>
          <t>Lifestyle</t>
        </is>
      </c>
      <c r="G668" t="inlineStr">
        <is>
          <t>Travel</t>
        </is>
      </c>
      <c r="H668" t="inlineStr">
        <is>
          <t>Personal &gt; Lifestyle &gt; Quick Add &gt; Travel</t>
        </is>
      </c>
      <c r="I668" s="18" t="n">
        <v>7243.96</v>
      </c>
      <c r="J668" t="inlineStr">
        <is>
          <t>Created MTR-IOS-0667 and correlation note visible in Activity/Pulse</t>
        </is>
      </c>
      <c r="K668" t="inlineStr">
        <is>
          <t>NOT_RUN</t>
        </is>
      </c>
      <c r="P668" t="n">
        <v>0</v>
      </c>
      <c r="Q668" t="n">
        <v>667</v>
      </c>
    </row>
    <row r="669">
      <c r="A669" t="n">
        <v>668</v>
      </c>
      <c r="B669" t="inlineStr">
        <is>
          <t>MTR-IOS-0668</t>
        </is>
      </c>
      <c r="C669" t="inlineStr">
        <is>
          <t>iPhone</t>
        </is>
      </c>
      <c r="D669" t="inlineStr">
        <is>
          <t>Group</t>
        </is>
      </c>
      <c r="E669" t="inlineStr">
        <is>
          <t>Shared Living</t>
        </is>
      </c>
      <c r="F669" t="inlineStr">
        <is>
          <t>Shared Living</t>
        </is>
      </c>
      <c r="G669" t="inlineStr">
        <is>
          <t>Maintenance</t>
        </is>
      </c>
      <c r="H669" t="inlineStr">
        <is>
          <t>Group &gt; Shared Living &gt; Quick Add &gt; Maintenance</t>
        </is>
      </c>
      <c r="I669" s="18" t="n">
        <v>23437.48</v>
      </c>
      <c r="J669" t="inlineStr">
        <is>
          <t>Created MTR-IOS-0668 and correlation note visible in Activity/Pulse</t>
        </is>
      </c>
      <c r="K669" t="inlineStr">
        <is>
          <t>NOT_RUN</t>
        </is>
      </c>
      <c r="P669" t="n">
        <v>0</v>
      </c>
      <c r="Q669" t="n">
        <v>668</v>
      </c>
    </row>
    <row r="670">
      <c r="A670" t="n">
        <v>669</v>
      </c>
      <c r="B670" t="inlineStr">
        <is>
          <t>MTR-IOS-0669</t>
        </is>
      </c>
      <c r="C670" t="inlineStr">
        <is>
          <t>iPhone</t>
        </is>
      </c>
      <c r="D670" t="inlineStr">
        <is>
          <t>Business</t>
        </is>
      </c>
      <c r="E670" t="inlineStr">
        <is>
          <t>Business</t>
        </is>
      </c>
      <c r="F670" t="inlineStr">
        <is>
          <t>Business Runway</t>
        </is>
      </c>
      <c r="G670" t="inlineStr">
        <is>
          <t>Investment</t>
        </is>
      </c>
      <c r="H670" t="inlineStr">
        <is>
          <t>Business &gt; Business Runway &gt; Quick Add &gt; Investment</t>
        </is>
      </c>
      <c r="I670" s="18" t="n">
        <v>105148.78</v>
      </c>
      <c r="J670" t="inlineStr">
        <is>
          <t>Created MTR-IOS-0669 and correlation note visible in Activity/Pulse</t>
        </is>
      </c>
      <c r="K670" t="inlineStr">
        <is>
          <t>NOT_RUN</t>
        </is>
      </c>
      <c r="P670" t="n">
        <v>0</v>
      </c>
      <c r="Q670" t="n">
        <v>669</v>
      </c>
    </row>
    <row r="671">
      <c r="A671" t="n">
        <v>670</v>
      </c>
      <c r="B671" t="inlineStr">
        <is>
          <t>MTR-IOS-0670</t>
        </is>
      </c>
      <c r="C671" t="inlineStr">
        <is>
          <t>iPhone</t>
        </is>
      </c>
      <c r="D671" t="inlineStr">
        <is>
          <t>Personal</t>
        </is>
      </c>
      <c r="E671" t="inlineStr">
        <is>
          <t>Personal</t>
        </is>
      </c>
      <c r="F671" t="inlineStr">
        <is>
          <t>Lifestyle</t>
        </is>
      </c>
      <c r="G671" t="inlineStr">
        <is>
          <t>Fitness</t>
        </is>
      </c>
      <c r="H671" t="inlineStr">
        <is>
          <t>Personal &gt; Lifestyle &gt; Quick Add &gt; Fitness</t>
        </is>
      </c>
      <c r="I671" s="18" t="n">
        <v>4358.27</v>
      </c>
      <c r="J671" t="inlineStr">
        <is>
          <t>Created MTR-IOS-0670 and correlation note visible in Activity/Pulse</t>
        </is>
      </c>
      <c r="K671" t="inlineStr">
        <is>
          <t>NOT_RUN</t>
        </is>
      </c>
      <c r="P671" t="n">
        <v>0</v>
      </c>
      <c r="Q671" t="n">
        <v>670</v>
      </c>
    </row>
    <row r="672">
      <c r="A672" t="n">
        <v>671</v>
      </c>
      <c r="B672" t="inlineStr">
        <is>
          <t>MTR-IOS-0671</t>
        </is>
      </c>
      <c r="C672" t="inlineStr">
        <is>
          <t>iPhone</t>
        </is>
      </c>
      <c r="D672" t="inlineStr">
        <is>
          <t>Group</t>
        </is>
      </c>
      <c r="E672" t="inlineStr">
        <is>
          <t>Shared Living</t>
        </is>
      </c>
      <c r="F672" t="inlineStr">
        <is>
          <t>Shared Living</t>
        </is>
      </c>
      <c r="G672" t="inlineStr">
        <is>
          <t>Other</t>
        </is>
      </c>
      <c r="H672" t="inlineStr">
        <is>
          <t>Group &gt; Shared Living &gt; Quick Add &gt; Other</t>
        </is>
      </c>
      <c r="I672" s="18" t="n">
        <v>14876.55</v>
      </c>
      <c r="J672" t="inlineStr">
        <is>
          <t>Created MTR-IOS-0671 and correlation note visible in Activity/Pulse</t>
        </is>
      </c>
      <c r="K672" t="inlineStr">
        <is>
          <t>NOT_RUN</t>
        </is>
      </c>
      <c r="P672" t="n">
        <v>0</v>
      </c>
      <c r="Q672" t="n">
        <v>671</v>
      </c>
    </row>
    <row r="673">
      <c r="A673" t="n">
        <v>672</v>
      </c>
      <c r="B673" t="inlineStr">
        <is>
          <t>MTR-IOS-0672</t>
        </is>
      </c>
      <c r="C673" t="inlineStr">
        <is>
          <t>iPhone</t>
        </is>
      </c>
      <c r="D673" t="inlineStr">
        <is>
          <t>Business</t>
        </is>
      </c>
      <c r="E673" t="inlineStr">
        <is>
          <t>Business</t>
        </is>
      </c>
      <c r="F673" t="inlineStr">
        <is>
          <t>Business Operations</t>
        </is>
      </c>
      <c r="G673" t="inlineStr">
        <is>
          <t>Software</t>
        </is>
      </c>
      <c r="H673" t="inlineStr">
        <is>
          <t>Business &gt; Business Operations &gt; Quick Add &gt; Software</t>
        </is>
      </c>
      <c r="I673" s="18" t="n">
        <v>79573.49000000001</v>
      </c>
      <c r="J673" t="inlineStr">
        <is>
          <t>Created MTR-IOS-0672 and correlation note visible in Activity/Pulse</t>
        </is>
      </c>
      <c r="K673" t="inlineStr">
        <is>
          <t>NOT_RUN</t>
        </is>
      </c>
      <c r="P673" t="n">
        <v>0</v>
      </c>
      <c r="Q673" t="n">
        <v>672</v>
      </c>
    </row>
    <row r="674">
      <c r="A674" t="n">
        <v>673</v>
      </c>
      <c r="B674" t="inlineStr">
        <is>
          <t>MTR-IOS-0673</t>
        </is>
      </c>
      <c r="C674" t="inlineStr">
        <is>
          <t>iPhone</t>
        </is>
      </c>
      <c r="D674" t="inlineStr">
        <is>
          <t>Personal</t>
        </is>
      </c>
      <c r="E674" t="inlineStr">
        <is>
          <t>Personal</t>
        </is>
      </c>
      <c r="F674" t="inlineStr">
        <is>
          <t>Lifestyle</t>
        </is>
      </c>
      <c r="G674" t="inlineStr">
        <is>
          <t>Hobbies</t>
        </is>
      </c>
      <c r="H674" t="inlineStr">
        <is>
          <t>Personal &gt; Lifestyle &gt; Quick Add &gt; Hobbies</t>
        </is>
      </c>
      <c r="I674" s="18" t="n">
        <v>17463.77</v>
      </c>
      <c r="J674" t="inlineStr">
        <is>
          <t>Created MTR-IOS-0673 and correlation note visible in Activity/Pulse</t>
        </is>
      </c>
      <c r="K674" t="inlineStr">
        <is>
          <t>NOT_RUN</t>
        </is>
      </c>
      <c r="P674" t="n">
        <v>0</v>
      </c>
      <c r="Q674" t="n">
        <v>673</v>
      </c>
    </row>
    <row r="675">
      <c r="A675" t="n">
        <v>674</v>
      </c>
      <c r="B675" t="inlineStr">
        <is>
          <t>MTR-IOS-0674</t>
        </is>
      </c>
      <c r="C675" t="inlineStr">
        <is>
          <t>iPhone</t>
        </is>
      </c>
      <c r="D675" t="inlineStr">
        <is>
          <t>Group</t>
        </is>
      </c>
      <c r="E675" t="inlineStr">
        <is>
          <t>Shared Living</t>
        </is>
      </c>
      <c r="F675" t="inlineStr">
        <is>
          <t>Family Household</t>
        </is>
      </c>
      <c r="G675" t="inlineStr">
        <is>
          <t>Groceries</t>
        </is>
      </c>
      <c r="H675" t="inlineStr">
        <is>
          <t>Group &gt; Family Household &gt; Quick Add &gt; Groceries</t>
        </is>
      </c>
      <c r="I675" s="18" t="n">
        <v>8750.790000000001</v>
      </c>
      <c r="J675" t="inlineStr">
        <is>
          <t>Created MTR-IOS-0674 and correlation note visible in Activity/Pulse</t>
        </is>
      </c>
      <c r="K675" t="inlineStr">
        <is>
          <t>NOT_RUN</t>
        </is>
      </c>
      <c r="P675" t="n">
        <v>0</v>
      </c>
      <c r="Q675" t="n">
        <v>674</v>
      </c>
    </row>
    <row r="676">
      <c r="A676" t="n">
        <v>675</v>
      </c>
      <c r="B676" t="inlineStr">
        <is>
          <t>MTR-IOS-0675</t>
        </is>
      </c>
      <c r="C676" t="inlineStr">
        <is>
          <t>iPhone</t>
        </is>
      </c>
      <c r="D676" t="inlineStr">
        <is>
          <t>Business</t>
        </is>
      </c>
      <c r="E676" t="inlineStr">
        <is>
          <t>Business</t>
        </is>
      </c>
      <c r="F676" t="inlineStr">
        <is>
          <t>Business Operations</t>
        </is>
      </c>
      <c r="G676" t="inlineStr">
        <is>
          <t>Rent</t>
        </is>
      </c>
      <c r="H676" t="inlineStr">
        <is>
          <t>Business &gt; Business Operations &gt; Quick Add &gt; Rent</t>
        </is>
      </c>
      <c r="I676" s="18" t="n">
        <v>90412.63</v>
      </c>
      <c r="J676" t="inlineStr">
        <is>
          <t>Created MTR-IOS-0675 and correlation note visible in Activity/Pulse</t>
        </is>
      </c>
      <c r="K676" t="inlineStr">
        <is>
          <t>NOT_RUN</t>
        </is>
      </c>
      <c r="P676" t="n">
        <v>0</v>
      </c>
      <c r="Q676" t="n">
        <v>675</v>
      </c>
    </row>
    <row r="677">
      <c r="A677" t="n">
        <v>676</v>
      </c>
      <c r="B677" t="inlineStr">
        <is>
          <t>MTR-IOS-0676</t>
        </is>
      </c>
      <c r="C677" t="inlineStr">
        <is>
          <t>iPhone</t>
        </is>
      </c>
      <c r="D677" t="inlineStr">
        <is>
          <t>Personal</t>
        </is>
      </c>
      <c r="E677" t="inlineStr">
        <is>
          <t>Personal</t>
        </is>
      </c>
      <c r="F677" t="inlineStr">
        <is>
          <t>Relationships</t>
        </is>
      </c>
      <c r="G677" t="inlineStr">
        <is>
          <t>Gifts</t>
        </is>
      </c>
      <c r="H677" t="inlineStr">
        <is>
          <t>Personal &gt; Relationships &gt; Quick Add &gt; Gifts</t>
        </is>
      </c>
      <c r="I677" s="18" t="n">
        <v>11351.96</v>
      </c>
      <c r="J677" t="inlineStr">
        <is>
          <t>Created MTR-IOS-0676 and correlation note visible in Activity/Pulse</t>
        </is>
      </c>
      <c r="K677" t="inlineStr">
        <is>
          <t>NOT_RUN</t>
        </is>
      </c>
      <c r="P677" t="n">
        <v>0</v>
      </c>
      <c r="Q677" t="n">
        <v>676</v>
      </c>
    </row>
    <row r="678">
      <c r="A678" t="n">
        <v>677</v>
      </c>
      <c r="B678" t="inlineStr">
        <is>
          <t>MTR-IOS-0677</t>
        </is>
      </c>
      <c r="C678" t="inlineStr">
        <is>
          <t>iPhone</t>
        </is>
      </c>
      <c r="D678" t="inlineStr">
        <is>
          <t>Group</t>
        </is>
      </c>
      <c r="E678" t="inlineStr">
        <is>
          <t>Shared Living</t>
        </is>
      </c>
      <c r="F678" t="inlineStr">
        <is>
          <t>Family Household</t>
        </is>
      </c>
      <c r="G678" t="inlineStr">
        <is>
          <t>Bills</t>
        </is>
      </c>
      <c r="H678" t="inlineStr">
        <is>
          <t>Group &gt; Family Household &gt; Quick Add &gt; Bills</t>
        </is>
      </c>
      <c r="I678" s="18" t="n">
        <v>18927.92</v>
      </c>
      <c r="J678" t="inlineStr">
        <is>
          <t>Created MTR-IOS-0677 and correlation note visible in Activity/Pulse</t>
        </is>
      </c>
      <c r="K678" t="inlineStr">
        <is>
          <t>NOT_RUN</t>
        </is>
      </c>
      <c r="P678" t="n">
        <v>0</v>
      </c>
      <c r="Q678" t="n">
        <v>677</v>
      </c>
    </row>
    <row r="679">
      <c r="A679" t="n">
        <v>678</v>
      </c>
      <c r="B679" t="inlineStr">
        <is>
          <t>MTR-IOS-0678</t>
        </is>
      </c>
      <c r="C679" t="inlineStr">
        <is>
          <t>iPhone</t>
        </is>
      </c>
      <c r="D679" t="inlineStr">
        <is>
          <t>Business</t>
        </is>
      </c>
      <c r="E679" t="inlineStr">
        <is>
          <t>Business</t>
        </is>
      </c>
      <c r="F679" t="inlineStr">
        <is>
          <t>Business Operations</t>
        </is>
      </c>
      <c r="G679" t="inlineStr">
        <is>
          <t>Marketing</t>
        </is>
      </c>
      <c r="H679" t="inlineStr">
        <is>
          <t>Business &gt; Business Operations &gt; Quick Add &gt; Marketing</t>
        </is>
      </c>
      <c r="I679" s="18" t="n">
        <v>106145.75</v>
      </c>
      <c r="J679" t="inlineStr">
        <is>
          <t>Created MTR-IOS-0678 and correlation note visible in Activity/Pulse</t>
        </is>
      </c>
      <c r="K679" t="inlineStr">
        <is>
          <t>NOT_RUN</t>
        </is>
      </c>
      <c r="P679" t="n">
        <v>0</v>
      </c>
      <c r="Q679" t="n">
        <v>678</v>
      </c>
    </row>
    <row r="680">
      <c r="A680" t="n">
        <v>679</v>
      </c>
      <c r="B680" t="inlineStr">
        <is>
          <t>MTR-IOS-0679</t>
        </is>
      </c>
      <c r="C680" t="inlineStr">
        <is>
          <t>iPhone</t>
        </is>
      </c>
      <c r="D680" t="inlineStr">
        <is>
          <t>Personal</t>
        </is>
      </c>
      <c r="E680" t="inlineStr">
        <is>
          <t>Personal</t>
        </is>
      </c>
      <c r="F680" t="inlineStr">
        <is>
          <t>Relationships</t>
        </is>
      </c>
      <c r="G680" t="inlineStr">
        <is>
          <t>Dates</t>
        </is>
      </c>
      <c r="H680" t="inlineStr">
        <is>
          <t>Personal &gt; Relationships &gt; Quick Add &gt; Dates</t>
        </is>
      </c>
      <c r="I680" s="18" t="n">
        <v>12471.96</v>
      </c>
      <c r="J680" t="inlineStr">
        <is>
          <t>Created MTR-IOS-0679 and correlation note visible in Activity/Pulse</t>
        </is>
      </c>
      <c r="K680" t="inlineStr">
        <is>
          <t>NOT_RUN</t>
        </is>
      </c>
      <c r="P680" t="n">
        <v>0</v>
      </c>
      <c r="Q680" t="n">
        <v>679</v>
      </c>
    </row>
    <row r="681">
      <c r="A681" t="n">
        <v>680</v>
      </c>
      <c r="B681" t="inlineStr">
        <is>
          <t>MTR-IOS-0680</t>
        </is>
      </c>
      <c r="C681" t="inlineStr">
        <is>
          <t>iPhone</t>
        </is>
      </c>
      <c r="D681" t="inlineStr">
        <is>
          <t>Group</t>
        </is>
      </c>
      <c r="E681" t="inlineStr">
        <is>
          <t>Shared Living</t>
        </is>
      </c>
      <c r="F681" t="inlineStr">
        <is>
          <t>Family Household</t>
        </is>
      </c>
      <c r="G681" t="inlineStr">
        <is>
          <t>School</t>
        </is>
      </c>
      <c r="H681" t="inlineStr">
        <is>
          <t>Group &gt; Family Household &gt; Quick Add &gt; School</t>
        </is>
      </c>
      <c r="I681" s="18" t="n">
        <v>24620.33</v>
      </c>
      <c r="J681" t="inlineStr">
        <is>
          <t>Created MTR-IOS-0680 and correlation note visible in Activity/Pulse</t>
        </is>
      </c>
      <c r="K681" t="inlineStr">
        <is>
          <t>NOT_RUN</t>
        </is>
      </c>
      <c r="P681" t="n">
        <v>0</v>
      </c>
      <c r="Q681" t="n">
        <v>680</v>
      </c>
    </row>
    <row r="682">
      <c r="A682" t="n">
        <v>681</v>
      </c>
      <c r="B682" t="inlineStr">
        <is>
          <t>MTR-IOS-0681</t>
        </is>
      </c>
      <c r="C682" t="inlineStr">
        <is>
          <t>iPhone</t>
        </is>
      </c>
      <c r="D682" t="inlineStr">
        <is>
          <t>Business</t>
        </is>
      </c>
      <c r="E682" t="inlineStr">
        <is>
          <t>Business</t>
        </is>
      </c>
      <c r="F682" t="inlineStr">
        <is>
          <t>Business Operations</t>
        </is>
      </c>
      <c r="G682" t="inlineStr">
        <is>
          <t>Legal</t>
        </is>
      </c>
      <c r="H682" t="inlineStr">
        <is>
          <t>Business &gt; Business Operations &gt; Quick Add &gt; Legal</t>
        </is>
      </c>
      <c r="I682" s="18" t="n">
        <v>66718.7</v>
      </c>
      <c r="J682" t="inlineStr">
        <is>
          <t>Created MTR-IOS-0681 and correlation note visible in Activity/Pulse</t>
        </is>
      </c>
      <c r="K682" t="inlineStr">
        <is>
          <t>NOT_RUN</t>
        </is>
      </c>
      <c r="P682" t="n">
        <v>0</v>
      </c>
      <c r="Q682" t="n">
        <v>681</v>
      </c>
    </row>
    <row r="683">
      <c r="A683" t="n">
        <v>682</v>
      </c>
      <c r="B683" t="inlineStr">
        <is>
          <t>MTR-IOS-0682</t>
        </is>
      </c>
      <c r="C683" t="inlineStr">
        <is>
          <t>iPhone</t>
        </is>
      </c>
      <c r="D683" t="inlineStr">
        <is>
          <t>Personal</t>
        </is>
      </c>
      <c r="E683" t="inlineStr">
        <is>
          <t>Personal</t>
        </is>
      </c>
      <c r="F683" t="inlineStr">
        <is>
          <t>Relationships</t>
        </is>
      </c>
      <c r="G683" t="inlineStr">
        <is>
          <t>Family</t>
        </is>
      </c>
      <c r="H683" t="inlineStr">
        <is>
          <t>Personal &gt; Relationships &gt; Quick Add &gt; Family</t>
        </is>
      </c>
      <c r="I683" s="18" t="n">
        <v>12715.36</v>
      </c>
      <c r="J683" t="inlineStr">
        <is>
          <t>Created MTR-IOS-0682 and correlation note visible in Activity/Pulse</t>
        </is>
      </c>
      <c r="K683" t="inlineStr">
        <is>
          <t>NOT_RUN</t>
        </is>
      </c>
      <c r="P683" t="n">
        <v>0</v>
      </c>
      <c r="Q683" t="n">
        <v>682</v>
      </c>
    </row>
    <row r="684">
      <c r="A684" t="n">
        <v>683</v>
      </c>
      <c r="B684" t="inlineStr">
        <is>
          <t>MTR-IOS-0683</t>
        </is>
      </c>
      <c r="C684" t="inlineStr">
        <is>
          <t>iPhone</t>
        </is>
      </c>
      <c r="D684" t="inlineStr">
        <is>
          <t>Group</t>
        </is>
      </c>
      <c r="E684" t="inlineStr">
        <is>
          <t>Shared Living</t>
        </is>
      </c>
      <c r="F684" t="inlineStr">
        <is>
          <t>Family Household</t>
        </is>
      </c>
      <c r="G684" t="inlineStr">
        <is>
          <t>Healthcare</t>
        </is>
      </c>
      <c r="H684" t="inlineStr">
        <is>
          <t>Group &gt; Family Household &gt; Quick Add &gt; Healthcare</t>
        </is>
      </c>
      <c r="I684" s="18" t="n">
        <v>14560.41</v>
      </c>
      <c r="J684" t="inlineStr">
        <is>
          <t>Created MTR-IOS-0683 and correlation note visible in Activity/Pulse</t>
        </is>
      </c>
      <c r="K684" t="inlineStr">
        <is>
          <t>NOT_RUN</t>
        </is>
      </c>
      <c r="P684" t="n">
        <v>0</v>
      </c>
      <c r="Q684" t="n">
        <v>683</v>
      </c>
    </row>
    <row r="685">
      <c r="A685" t="n">
        <v>684</v>
      </c>
      <c r="B685" t="inlineStr">
        <is>
          <t>MTR-IOS-0684</t>
        </is>
      </c>
      <c r="C685" t="inlineStr">
        <is>
          <t>iPhone</t>
        </is>
      </c>
      <c r="D685" t="inlineStr">
        <is>
          <t>Business</t>
        </is>
      </c>
      <c r="E685" t="inlineStr">
        <is>
          <t>Business</t>
        </is>
      </c>
      <c r="F685" t="inlineStr">
        <is>
          <t>Business Operations</t>
        </is>
      </c>
      <c r="G685" t="inlineStr">
        <is>
          <t>Accounting</t>
        </is>
      </c>
      <c r="H685" t="inlineStr">
        <is>
          <t>Business &gt; Business Operations &gt; Quick Add &gt; Accounting</t>
        </is>
      </c>
      <c r="I685" s="18" t="n">
        <v>45441.68</v>
      </c>
      <c r="J685" t="inlineStr">
        <is>
          <t>Created MTR-IOS-0684 and correlation note visible in Activity/Pulse</t>
        </is>
      </c>
      <c r="K685" t="inlineStr">
        <is>
          <t>NOT_RUN</t>
        </is>
      </c>
      <c r="P685" t="n">
        <v>0</v>
      </c>
      <c r="Q685" t="n">
        <v>684</v>
      </c>
    </row>
    <row r="686">
      <c r="A686" t="n">
        <v>685</v>
      </c>
      <c r="B686" t="inlineStr">
        <is>
          <t>MTR-IOS-0685</t>
        </is>
      </c>
      <c r="C686" t="inlineStr">
        <is>
          <t>iPhone</t>
        </is>
      </c>
      <c r="D686" t="inlineStr">
        <is>
          <t>Personal</t>
        </is>
      </c>
      <c r="E686" t="inlineStr">
        <is>
          <t>Personal</t>
        </is>
      </c>
      <c r="F686" t="inlineStr">
        <is>
          <t>Relationships</t>
        </is>
      </c>
      <c r="G686" t="inlineStr">
        <is>
          <t>Friends</t>
        </is>
      </c>
      <c r="H686" t="inlineStr">
        <is>
          <t>Personal &gt; Relationships &gt; Quick Add &gt; Friends</t>
        </is>
      </c>
      <c r="I686" s="18" t="n">
        <v>2768.7</v>
      </c>
      <c r="J686" t="inlineStr">
        <is>
          <t>Created MTR-IOS-0685 and correlation note visible in Activity/Pulse</t>
        </is>
      </c>
      <c r="K686" t="inlineStr">
        <is>
          <t>NOT_RUN</t>
        </is>
      </c>
      <c r="P686" t="n">
        <v>0</v>
      </c>
      <c r="Q686" t="n">
        <v>685</v>
      </c>
    </row>
    <row r="687">
      <c r="A687" t="n">
        <v>686</v>
      </c>
      <c r="B687" t="inlineStr">
        <is>
          <t>MTR-IOS-0686</t>
        </is>
      </c>
      <c r="C687" t="inlineStr">
        <is>
          <t>iPhone</t>
        </is>
      </c>
      <c r="D687" t="inlineStr">
        <is>
          <t>Group</t>
        </is>
      </c>
      <c r="E687" t="inlineStr">
        <is>
          <t>Shared Living</t>
        </is>
      </c>
      <c r="F687" t="inlineStr">
        <is>
          <t>Family Household</t>
        </is>
      </c>
      <c r="G687" t="inlineStr">
        <is>
          <t>Home</t>
        </is>
      </c>
      <c r="H687" t="inlineStr">
        <is>
          <t>Group &gt; Family Household &gt; Quick Add &gt; Home</t>
        </is>
      </c>
      <c r="I687" s="18" t="n">
        <v>16747.63</v>
      </c>
      <c r="J687" t="inlineStr">
        <is>
          <t>Created MTR-IOS-0686 and correlation note visible in Activity/Pulse</t>
        </is>
      </c>
      <c r="K687" t="inlineStr">
        <is>
          <t>NOT_RUN</t>
        </is>
      </c>
      <c r="P687" t="n">
        <v>0</v>
      </c>
      <c r="Q687" t="n">
        <v>686</v>
      </c>
    </row>
    <row r="688">
      <c r="A688" t="n">
        <v>687</v>
      </c>
      <c r="B688" t="inlineStr">
        <is>
          <t>MTR-IOS-0687</t>
        </is>
      </c>
      <c r="C688" t="inlineStr">
        <is>
          <t>iPhone</t>
        </is>
      </c>
      <c r="D688" t="inlineStr">
        <is>
          <t>Business</t>
        </is>
      </c>
      <c r="E688" t="inlineStr">
        <is>
          <t>Business</t>
        </is>
      </c>
      <c r="F688" t="inlineStr">
        <is>
          <t>Business Operations</t>
        </is>
      </c>
      <c r="G688" t="inlineStr">
        <is>
          <t>Equipment</t>
        </is>
      </c>
      <c r="H688" t="inlineStr">
        <is>
          <t>Business &gt; Business Operations &gt; Quick Add &gt; Equipment</t>
        </is>
      </c>
      <c r="I688" s="18" t="n">
        <v>156479.18</v>
      </c>
      <c r="J688" t="inlineStr">
        <is>
          <t>Created MTR-IOS-0687 and correlation note visible in Activity/Pulse</t>
        </is>
      </c>
      <c r="K688" t="inlineStr">
        <is>
          <t>NOT_RUN</t>
        </is>
      </c>
      <c r="P688" t="n">
        <v>0</v>
      </c>
      <c r="Q688" t="n">
        <v>687</v>
      </c>
    </row>
    <row r="689">
      <c r="A689" t="n">
        <v>688</v>
      </c>
      <c r="B689" t="inlineStr">
        <is>
          <t>MTR-IOS-0688</t>
        </is>
      </c>
      <c r="C689" t="inlineStr">
        <is>
          <t>iPhone</t>
        </is>
      </c>
      <c r="D689" t="inlineStr">
        <is>
          <t>Personal</t>
        </is>
      </c>
      <c r="E689" t="inlineStr">
        <is>
          <t>Personal</t>
        </is>
      </c>
      <c r="F689" t="inlineStr">
        <is>
          <t>Relationships</t>
        </is>
      </c>
      <c r="G689" t="inlineStr">
        <is>
          <t>Celebrations</t>
        </is>
      </c>
      <c r="H689" t="inlineStr">
        <is>
          <t>Personal &gt; Relationships &gt; Quick Add &gt; Celebrations</t>
        </is>
      </c>
      <c r="I689" s="18" t="n">
        <v>2924.18</v>
      </c>
      <c r="J689" t="inlineStr">
        <is>
          <t>Created MTR-IOS-0688 and correlation note visible in Activity/Pulse</t>
        </is>
      </c>
      <c r="K689" t="inlineStr">
        <is>
          <t>NOT_RUN</t>
        </is>
      </c>
      <c r="P689" t="n">
        <v>0</v>
      </c>
      <c r="Q689" t="n">
        <v>688</v>
      </c>
    </row>
    <row r="690">
      <c r="A690" t="n">
        <v>689</v>
      </c>
      <c r="B690" t="inlineStr">
        <is>
          <t>MTR-IOS-0689</t>
        </is>
      </c>
      <c r="C690" t="inlineStr">
        <is>
          <t>iPhone</t>
        </is>
      </c>
      <c r="D690" t="inlineStr">
        <is>
          <t>Group</t>
        </is>
      </c>
      <c r="E690" t="inlineStr">
        <is>
          <t>Shared Living</t>
        </is>
      </c>
      <c r="F690" t="inlineStr">
        <is>
          <t>Family Household</t>
        </is>
      </c>
      <c r="G690" t="inlineStr">
        <is>
          <t>Other</t>
        </is>
      </c>
      <c r="H690" t="inlineStr">
        <is>
          <t>Group &gt; Family Household &gt; Quick Add &gt; Other</t>
        </is>
      </c>
      <c r="I690" s="18" t="n">
        <v>4309.21</v>
      </c>
      <c r="J690" t="inlineStr">
        <is>
          <t>Created MTR-IOS-0689 and correlation note visible in Activity/Pulse</t>
        </is>
      </c>
      <c r="K690" t="inlineStr">
        <is>
          <t>NOT_RUN</t>
        </is>
      </c>
      <c r="P690" t="n">
        <v>0</v>
      </c>
      <c r="Q690" t="n">
        <v>689</v>
      </c>
    </row>
    <row r="691">
      <c r="A691" t="n">
        <v>690</v>
      </c>
      <c r="B691" t="inlineStr">
        <is>
          <t>MTR-IOS-0690</t>
        </is>
      </c>
      <c r="C691" t="inlineStr">
        <is>
          <t>iPhone</t>
        </is>
      </c>
      <c r="D691" t="inlineStr">
        <is>
          <t>Business</t>
        </is>
      </c>
      <c r="E691" t="inlineStr">
        <is>
          <t>Business</t>
        </is>
      </c>
      <c r="F691" t="inlineStr">
        <is>
          <t>Business Operations</t>
        </is>
      </c>
      <c r="G691" t="inlineStr">
        <is>
          <t>Vendor</t>
        </is>
      </c>
      <c r="H691" t="inlineStr">
        <is>
          <t>Business &gt; Business Operations &gt; Quick Add &gt; Vendor</t>
        </is>
      </c>
      <c r="I691" s="18" t="n">
        <v>54000.51</v>
      </c>
      <c r="J691" t="inlineStr">
        <is>
          <t>Created MTR-IOS-0690 and correlation note visible in Activity/Pulse</t>
        </is>
      </c>
      <c r="K691" t="inlineStr">
        <is>
          <t>NOT_RUN</t>
        </is>
      </c>
      <c r="P691" t="n">
        <v>0</v>
      </c>
      <c r="Q691" t="n">
        <v>690</v>
      </c>
    </row>
    <row r="692">
      <c r="A692" t="n">
        <v>691</v>
      </c>
      <c r="B692" t="inlineStr">
        <is>
          <t>MTR-IOS-0691</t>
        </is>
      </c>
      <c r="C692" t="inlineStr">
        <is>
          <t>iPhone</t>
        </is>
      </c>
      <c r="D692" t="inlineStr">
        <is>
          <t>Personal</t>
        </is>
      </c>
      <c r="E692" t="inlineStr">
        <is>
          <t>Personal</t>
        </is>
      </c>
      <c r="F692" t="inlineStr">
        <is>
          <t>Life Operations</t>
        </is>
      </c>
      <c r="G692" t="inlineStr">
        <is>
          <t>Groceries</t>
        </is>
      </c>
      <c r="H692" t="inlineStr">
        <is>
          <t>Personal &gt; Life Operations &gt; Quick Add &gt; Groceries</t>
        </is>
      </c>
      <c r="I692" s="18" t="n">
        <v>1047.76</v>
      </c>
      <c r="J692" t="inlineStr">
        <is>
          <t>Created MTR-IOS-0691 and correlation note visible in Activity/Pulse</t>
        </is>
      </c>
      <c r="K692" t="inlineStr">
        <is>
          <t>NOT_RUN</t>
        </is>
      </c>
      <c r="P692" t="n">
        <v>0</v>
      </c>
      <c r="Q692" t="n">
        <v>691</v>
      </c>
    </row>
    <row r="693">
      <c r="A693" t="n">
        <v>692</v>
      </c>
      <c r="B693" t="inlineStr">
        <is>
          <t>MTR-IOS-0692</t>
        </is>
      </c>
      <c r="C693" t="inlineStr">
        <is>
          <t>iPhone</t>
        </is>
      </c>
      <c r="D693" t="inlineStr">
        <is>
          <t>Group</t>
        </is>
      </c>
      <c r="E693" t="inlineStr">
        <is>
          <t>Shared Living</t>
        </is>
      </c>
      <c r="F693" t="inlineStr">
        <is>
          <t>Custom Living</t>
        </is>
      </c>
      <c r="G693" t="inlineStr">
        <is>
          <t>Custom Expense</t>
        </is>
      </c>
      <c r="H693" t="inlineStr">
        <is>
          <t>Group &gt; Custom Living &gt; Quick Add &gt; Custom Expense</t>
        </is>
      </c>
      <c r="I693" s="18" t="n">
        <v>3797.62</v>
      </c>
      <c r="J693" t="inlineStr">
        <is>
          <t>Created MTR-IOS-0692 and correlation note visible in Activity/Pulse</t>
        </is>
      </c>
      <c r="K693" t="inlineStr">
        <is>
          <t>NOT_RUN</t>
        </is>
      </c>
      <c r="P693" t="n">
        <v>0</v>
      </c>
      <c r="Q693" t="n">
        <v>692</v>
      </c>
    </row>
    <row r="694">
      <c r="A694" t="n">
        <v>693</v>
      </c>
      <c r="B694" t="inlineStr">
        <is>
          <t>MTR-IOS-0693</t>
        </is>
      </c>
      <c r="C694" t="inlineStr">
        <is>
          <t>iPhone</t>
        </is>
      </c>
      <c r="D694" t="inlineStr">
        <is>
          <t>Business</t>
        </is>
      </c>
      <c r="E694" t="inlineStr">
        <is>
          <t>Business</t>
        </is>
      </c>
      <c r="F694" t="inlineStr">
        <is>
          <t>Business Operations</t>
        </is>
      </c>
      <c r="G694" t="inlineStr">
        <is>
          <t>Tax</t>
        </is>
      </c>
      <c r="H694" t="inlineStr">
        <is>
          <t>Business &gt; Business Operations &gt; Quick Add &gt; Tax</t>
        </is>
      </c>
      <c r="I694" s="18" t="n">
        <v>103463.52</v>
      </c>
      <c r="J694" t="inlineStr">
        <is>
          <t>Created MTR-IOS-0693 and correlation note visible in Activity/Pulse</t>
        </is>
      </c>
      <c r="K694" t="inlineStr">
        <is>
          <t>NOT_RUN</t>
        </is>
      </c>
      <c r="P694" t="n">
        <v>0</v>
      </c>
      <c r="Q694" t="n">
        <v>693</v>
      </c>
    </row>
    <row r="695">
      <c r="A695" t="n">
        <v>694</v>
      </c>
      <c r="B695" t="inlineStr">
        <is>
          <t>MTR-IOS-0694</t>
        </is>
      </c>
      <c r="C695" t="inlineStr">
        <is>
          <t>iPhone</t>
        </is>
      </c>
      <c r="D695" t="inlineStr">
        <is>
          <t>Personal</t>
        </is>
      </c>
      <c r="E695" t="inlineStr">
        <is>
          <t>Personal</t>
        </is>
      </c>
      <c r="F695" t="inlineStr">
        <is>
          <t>Life Operations</t>
        </is>
      </c>
      <c r="G695" t="inlineStr">
        <is>
          <t>Rent</t>
        </is>
      </c>
      <c r="H695" t="inlineStr">
        <is>
          <t>Personal &gt; Life Operations &gt; Quick Add &gt; Rent</t>
        </is>
      </c>
      <c r="I695" s="18" t="n">
        <v>17524.19</v>
      </c>
      <c r="J695" t="inlineStr">
        <is>
          <t>Created MTR-IOS-0694 and correlation note visible in Activity/Pulse</t>
        </is>
      </c>
      <c r="K695" t="inlineStr">
        <is>
          <t>NOT_RUN</t>
        </is>
      </c>
      <c r="P695" t="n">
        <v>0</v>
      </c>
      <c r="Q695" t="n">
        <v>694</v>
      </c>
    </row>
    <row r="696">
      <c r="A696" t="n">
        <v>695</v>
      </c>
      <c r="B696" t="inlineStr">
        <is>
          <t>MTR-IOS-0695</t>
        </is>
      </c>
      <c r="C696" t="inlineStr">
        <is>
          <t>iPhone</t>
        </is>
      </c>
      <c r="D696" t="inlineStr">
        <is>
          <t>Group</t>
        </is>
      </c>
      <c r="E696" t="inlineStr">
        <is>
          <t>Shared Living</t>
        </is>
      </c>
      <c r="F696" t="inlineStr">
        <is>
          <t>Custom Living</t>
        </is>
      </c>
      <c r="G696" t="inlineStr">
        <is>
          <t>Custom Contribution</t>
        </is>
      </c>
      <c r="H696" t="inlineStr">
        <is>
          <t>Group &gt; Custom Living &gt; Quick Add &gt; Custom Contribution</t>
        </is>
      </c>
      <c r="I696" s="18" t="n">
        <v>15542.73</v>
      </c>
      <c r="J696" t="inlineStr">
        <is>
          <t>Created MTR-IOS-0695 and correlation note visible in Activity/Pulse</t>
        </is>
      </c>
      <c r="K696" t="inlineStr">
        <is>
          <t>NOT_RUN</t>
        </is>
      </c>
      <c r="P696" t="n">
        <v>0</v>
      </c>
      <c r="Q696" t="n">
        <v>695</v>
      </c>
    </row>
    <row r="697">
      <c r="A697" t="n">
        <v>696</v>
      </c>
      <c r="B697" t="inlineStr">
        <is>
          <t>MTR-IOS-0696</t>
        </is>
      </c>
      <c r="C697" t="inlineStr">
        <is>
          <t>iPhone</t>
        </is>
      </c>
      <c r="D697" t="inlineStr">
        <is>
          <t>Business</t>
        </is>
      </c>
      <c r="E697" t="inlineStr">
        <is>
          <t>Business</t>
        </is>
      </c>
      <c r="F697" t="inlineStr">
        <is>
          <t>Team Operations</t>
        </is>
      </c>
      <c r="G697" t="inlineStr">
        <is>
          <t>Payroll</t>
        </is>
      </c>
      <c r="H697" t="inlineStr">
        <is>
          <t>Business &gt; Team Operations &gt; Quick Add &gt; Payroll</t>
        </is>
      </c>
      <c r="I697" s="18" t="n">
        <v>103715.04</v>
      </c>
      <c r="J697" t="inlineStr">
        <is>
          <t>Created MTR-IOS-0696 and correlation note visible in Activity/Pulse</t>
        </is>
      </c>
      <c r="K697" t="inlineStr">
        <is>
          <t>NOT_RUN</t>
        </is>
      </c>
      <c r="P697" t="n">
        <v>0</v>
      </c>
      <c r="Q697" t="n">
        <v>696</v>
      </c>
    </row>
    <row r="698">
      <c r="A698" t="n">
        <v>697</v>
      </c>
      <c r="B698" t="inlineStr">
        <is>
          <t>MTR-IOS-0697</t>
        </is>
      </c>
      <c r="C698" t="inlineStr">
        <is>
          <t>iPhone</t>
        </is>
      </c>
      <c r="D698" t="inlineStr">
        <is>
          <t>Personal</t>
        </is>
      </c>
      <c r="E698" t="inlineStr">
        <is>
          <t>Personal</t>
        </is>
      </c>
      <c r="F698" t="inlineStr">
        <is>
          <t>Life Operations</t>
        </is>
      </c>
      <c r="G698" t="inlineStr">
        <is>
          <t>Bills</t>
        </is>
      </c>
      <c r="H698" t="inlineStr">
        <is>
          <t>Personal &gt; Life Operations &gt; Quick Add &gt; Bills</t>
        </is>
      </c>
      <c r="I698" s="18" t="n">
        <v>16131.41</v>
      </c>
      <c r="J698" t="inlineStr">
        <is>
          <t>Created MTR-IOS-0697 and correlation note visible in Activity/Pulse</t>
        </is>
      </c>
      <c r="K698" t="inlineStr">
        <is>
          <t>NOT_RUN</t>
        </is>
      </c>
      <c r="P698" t="n">
        <v>0</v>
      </c>
      <c r="Q698" t="n">
        <v>697</v>
      </c>
    </row>
    <row r="699">
      <c r="A699" t="n">
        <v>698</v>
      </c>
      <c r="B699" t="inlineStr">
        <is>
          <t>MTR-IOS-0698</t>
        </is>
      </c>
      <c r="C699" t="inlineStr">
        <is>
          <t>iPhone</t>
        </is>
      </c>
      <c r="D699" t="inlineStr">
        <is>
          <t>Group</t>
        </is>
      </c>
      <c r="E699" t="inlineStr">
        <is>
          <t>Shared Experience</t>
        </is>
      </c>
      <c r="F699" t="inlineStr">
        <is>
          <t>Trip</t>
        </is>
      </c>
      <c r="G699" t="inlineStr">
        <is>
          <t>Travel</t>
        </is>
      </c>
      <c r="H699" t="inlineStr">
        <is>
          <t>Group &gt; Trip &gt; Quick Add &gt; Travel</t>
        </is>
      </c>
      <c r="I699" s="18" t="n">
        <v>14568.64</v>
      </c>
      <c r="J699" t="inlineStr">
        <is>
          <t>Created MTR-IOS-0698 and correlation note visible in Activity/Pulse</t>
        </is>
      </c>
      <c r="K699" t="inlineStr">
        <is>
          <t>NOT_RUN</t>
        </is>
      </c>
      <c r="P699" t="n">
        <v>0</v>
      </c>
      <c r="Q699" t="n">
        <v>698</v>
      </c>
    </row>
    <row r="700">
      <c r="A700" t="n">
        <v>699</v>
      </c>
      <c r="B700" t="inlineStr">
        <is>
          <t>MTR-IOS-0699</t>
        </is>
      </c>
      <c r="C700" t="inlineStr">
        <is>
          <t>iPhone</t>
        </is>
      </c>
      <c r="D700" t="inlineStr">
        <is>
          <t>Business</t>
        </is>
      </c>
      <c r="E700" t="inlineStr">
        <is>
          <t>Business</t>
        </is>
      </c>
      <c r="F700" t="inlineStr">
        <is>
          <t>Team Operations</t>
        </is>
      </c>
      <c r="G700" t="inlineStr">
        <is>
          <t>Contractor</t>
        </is>
      </c>
      <c r="H700" t="inlineStr">
        <is>
          <t>Business &gt; Team Operations &gt; Quick Add &gt; Contractor</t>
        </is>
      </c>
      <c r="I700" s="18" t="n">
        <v>55338.53</v>
      </c>
      <c r="J700" t="inlineStr">
        <is>
          <t>Created MTR-IOS-0699 and correlation note visible in Activity/Pulse</t>
        </is>
      </c>
      <c r="K700" t="inlineStr">
        <is>
          <t>NOT_RUN</t>
        </is>
      </c>
      <c r="P700" t="n">
        <v>0</v>
      </c>
      <c r="Q700" t="n">
        <v>699</v>
      </c>
    </row>
    <row r="701">
      <c r="A701" t="n">
        <v>700</v>
      </c>
      <c r="B701" t="inlineStr">
        <is>
          <t>MTR-IOS-0700</t>
        </is>
      </c>
      <c r="C701" t="inlineStr">
        <is>
          <t>iPhone</t>
        </is>
      </c>
      <c r="D701" t="inlineStr">
        <is>
          <t>Personal</t>
        </is>
      </c>
      <c r="E701" t="inlineStr">
        <is>
          <t>Personal</t>
        </is>
      </c>
      <c r="F701" t="inlineStr">
        <is>
          <t>Life Operations</t>
        </is>
      </c>
      <c r="G701" t="inlineStr">
        <is>
          <t>Transport</t>
        </is>
      </c>
      <c r="H701" t="inlineStr">
        <is>
          <t>Personal &gt; Life Operations &gt; Quick Add &gt; Transport</t>
        </is>
      </c>
      <c r="I701" s="18" t="n">
        <v>437.1</v>
      </c>
      <c r="J701" t="inlineStr">
        <is>
          <t>Created MTR-IOS-0700 and correlation note visible in Activity/Pulse</t>
        </is>
      </c>
      <c r="K701" t="inlineStr">
        <is>
          <t>NOT_RUN</t>
        </is>
      </c>
      <c r="P701" t="n">
        <v>0</v>
      </c>
      <c r="Q701" t="n">
        <v>700</v>
      </c>
    </row>
    <row r="702">
      <c r="A702" t="n">
        <v>701</v>
      </c>
      <c r="B702" t="inlineStr">
        <is>
          <t>MTR-IOS-0701</t>
        </is>
      </c>
      <c r="C702" t="inlineStr">
        <is>
          <t>iPhone</t>
        </is>
      </c>
      <c r="D702" t="inlineStr">
        <is>
          <t>Group</t>
        </is>
      </c>
      <c r="E702" t="inlineStr">
        <is>
          <t>Shared Experience</t>
        </is>
      </c>
      <c r="F702" t="inlineStr">
        <is>
          <t>Trip</t>
        </is>
      </c>
      <c r="G702" t="inlineStr">
        <is>
          <t>Stay</t>
        </is>
      </c>
      <c r="H702" t="inlineStr">
        <is>
          <t>Group &gt; Trip &gt; Quick Add &gt; Stay</t>
        </is>
      </c>
      <c r="I702" s="18" t="n">
        <v>19775.46</v>
      </c>
      <c r="J702" t="inlineStr">
        <is>
          <t>Created MTR-IOS-0701 and correlation note visible in Activity/Pulse</t>
        </is>
      </c>
      <c r="K702" t="inlineStr">
        <is>
          <t>NOT_RUN</t>
        </is>
      </c>
      <c r="P702" t="n">
        <v>0</v>
      </c>
      <c r="Q702" t="n">
        <v>701</v>
      </c>
    </row>
    <row r="703">
      <c r="A703" t="n">
        <v>702</v>
      </c>
      <c r="B703" t="inlineStr">
        <is>
          <t>MTR-IOS-0702</t>
        </is>
      </c>
      <c r="C703" t="inlineStr">
        <is>
          <t>iPhone</t>
        </is>
      </c>
      <c r="D703" t="inlineStr">
        <is>
          <t>Business</t>
        </is>
      </c>
      <c r="E703" t="inlineStr">
        <is>
          <t>Business</t>
        </is>
      </c>
      <c r="F703" t="inlineStr">
        <is>
          <t>Team Operations</t>
        </is>
      </c>
      <c r="G703" t="inlineStr">
        <is>
          <t>Hiring</t>
        </is>
      </c>
      <c r="H703" t="inlineStr">
        <is>
          <t>Business &gt; Team Operations &gt; Quick Add &gt; Hiring</t>
        </is>
      </c>
      <c r="I703" s="18" t="n">
        <v>10190.11</v>
      </c>
      <c r="J703" t="inlineStr">
        <is>
          <t>Created MTR-IOS-0702 and correlation note visible in Activity/Pulse</t>
        </is>
      </c>
      <c r="K703" t="inlineStr">
        <is>
          <t>NOT_RUN</t>
        </is>
      </c>
      <c r="P703" t="n">
        <v>0</v>
      </c>
      <c r="Q703" t="n">
        <v>702</v>
      </c>
    </row>
    <row r="704">
      <c r="A704" t="n">
        <v>703</v>
      </c>
      <c r="B704" t="inlineStr">
        <is>
          <t>MTR-IOS-0703</t>
        </is>
      </c>
      <c r="C704" t="inlineStr">
        <is>
          <t>iPhone</t>
        </is>
      </c>
      <c r="D704" t="inlineStr">
        <is>
          <t>Personal</t>
        </is>
      </c>
      <c r="E704" t="inlineStr">
        <is>
          <t>Personal</t>
        </is>
      </c>
      <c r="F704" t="inlineStr">
        <is>
          <t>Life Operations</t>
        </is>
      </c>
      <c r="G704" t="inlineStr">
        <is>
          <t>Healthcare</t>
        </is>
      </c>
      <c r="H704" t="inlineStr">
        <is>
          <t>Personal &gt; Life Operations &gt; Quick Add &gt; Healthcare</t>
        </is>
      </c>
      <c r="I704" s="18" t="n">
        <v>1</v>
      </c>
      <c r="J704" t="inlineStr">
        <is>
          <t>Created MTR-IOS-0703 and correlation note visible in Activity/Pulse</t>
        </is>
      </c>
      <c r="K704" t="inlineStr">
        <is>
          <t>NOT_RUN</t>
        </is>
      </c>
      <c r="P704" t="n">
        <v>0</v>
      </c>
      <c r="Q704" t="n">
        <v>703</v>
      </c>
    </row>
    <row r="705">
      <c r="A705" t="n">
        <v>704</v>
      </c>
      <c r="B705" t="inlineStr">
        <is>
          <t>MTR-IOS-0704</t>
        </is>
      </c>
      <c r="C705" t="inlineStr">
        <is>
          <t>iPhone</t>
        </is>
      </c>
      <c r="D705" t="inlineStr">
        <is>
          <t>Group</t>
        </is>
      </c>
      <c r="E705" t="inlineStr">
        <is>
          <t>Shared Experience</t>
        </is>
      </c>
      <c r="F705" t="inlineStr">
        <is>
          <t>Trip</t>
        </is>
      </c>
      <c r="G705" t="inlineStr">
        <is>
          <t>Food</t>
        </is>
      </c>
      <c r="H705" t="inlineStr">
        <is>
          <t>Group &gt; Trip &gt; Quick Add &gt; Food</t>
        </is>
      </c>
      <c r="I705" s="18" t="n">
        <v>19361.31</v>
      </c>
      <c r="J705" t="inlineStr">
        <is>
          <t>Created MTR-IOS-0704 and correlation note visible in Activity/Pulse</t>
        </is>
      </c>
      <c r="K705" t="inlineStr">
        <is>
          <t>NOT_RUN</t>
        </is>
      </c>
      <c r="P705" t="n">
        <v>0</v>
      </c>
      <c r="Q705" t="n">
        <v>704</v>
      </c>
    </row>
    <row r="706">
      <c r="A706" t="n">
        <v>705</v>
      </c>
      <c r="B706" t="inlineStr">
        <is>
          <t>MTR-IOS-0705</t>
        </is>
      </c>
      <c r="C706" t="inlineStr">
        <is>
          <t>iPhone</t>
        </is>
      </c>
      <c r="D706" t="inlineStr">
        <is>
          <t>Business</t>
        </is>
      </c>
      <c r="E706" t="inlineStr">
        <is>
          <t>Business</t>
        </is>
      </c>
      <c r="F706" t="inlineStr">
        <is>
          <t>Team Operations</t>
        </is>
      </c>
      <c r="G706" t="inlineStr">
        <is>
          <t>Team Meal</t>
        </is>
      </c>
      <c r="H706" t="inlineStr">
        <is>
          <t>Business &gt; Team Operations &gt; Quick Add &gt; Team Meal</t>
        </is>
      </c>
      <c r="I706" s="18" t="n">
        <v>150844.06</v>
      </c>
      <c r="J706" t="inlineStr">
        <is>
          <t>Created MTR-IOS-0705 and correlation note visible in Activity/Pulse</t>
        </is>
      </c>
      <c r="K706" t="inlineStr">
        <is>
          <t>NOT_RUN</t>
        </is>
      </c>
      <c r="P706" t="n">
        <v>0</v>
      </c>
      <c r="Q706" t="n">
        <v>705</v>
      </c>
    </row>
    <row r="707">
      <c r="A707" t="n">
        <v>706</v>
      </c>
      <c r="B707" t="inlineStr">
        <is>
          <t>MTR-IOS-0706</t>
        </is>
      </c>
      <c r="C707" t="inlineStr">
        <is>
          <t>iPhone</t>
        </is>
      </c>
      <c r="D707" t="inlineStr">
        <is>
          <t>Personal</t>
        </is>
      </c>
      <c r="E707" t="inlineStr">
        <is>
          <t>Personal</t>
        </is>
      </c>
      <c r="F707" t="inlineStr">
        <is>
          <t>Life Operations</t>
        </is>
      </c>
      <c r="G707" t="inlineStr">
        <is>
          <t>Subscriptions</t>
        </is>
      </c>
      <c r="H707" t="inlineStr">
        <is>
          <t>Personal &gt; Life Operations &gt; Quick Add &gt; Subscriptions</t>
        </is>
      </c>
      <c r="I707" s="18" t="n">
        <v>8937.23</v>
      </c>
      <c r="J707" t="inlineStr">
        <is>
          <t>Created MTR-IOS-0706 and correlation note visible in Activity/Pulse</t>
        </is>
      </c>
      <c r="K707" t="inlineStr">
        <is>
          <t>NOT_RUN</t>
        </is>
      </c>
      <c r="P707" t="n">
        <v>0</v>
      </c>
      <c r="Q707" t="n">
        <v>706</v>
      </c>
    </row>
    <row r="708">
      <c r="A708" t="n">
        <v>707</v>
      </c>
      <c r="B708" t="inlineStr">
        <is>
          <t>MTR-IOS-0707</t>
        </is>
      </c>
      <c r="C708" t="inlineStr">
        <is>
          <t>iPhone</t>
        </is>
      </c>
      <c r="D708" t="inlineStr">
        <is>
          <t>Group</t>
        </is>
      </c>
      <c r="E708" t="inlineStr">
        <is>
          <t>Shared Experience</t>
        </is>
      </c>
      <c r="F708" t="inlineStr">
        <is>
          <t>Trip</t>
        </is>
      </c>
      <c r="G708" t="inlineStr">
        <is>
          <t>Local Transport</t>
        </is>
      </c>
      <c r="H708" t="inlineStr">
        <is>
          <t>Group &gt; Trip &gt; Quick Add &gt; Local Transport</t>
        </is>
      </c>
      <c r="I708" s="18" t="n">
        <v>4297.14</v>
      </c>
      <c r="J708" t="inlineStr">
        <is>
          <t>Created MTR-IOS-0707 and correlation note visible in Activity/Pulse</t>
        </is>
      </c>
      <c r="K708" t="inlineStr">
        <is>
          <t>NOT_RUN</t>
        </is>
      </c>
      <c r="P708" t="n">
        <v>0</v>
      </c>
      <c r="Q708" t="n">
        <v>707</v>
      </c>
    </row>
    <row r="709">
      <c r="A709" t="n">
        <v>708</v>
      </c>
      <c r="B709" t="inlineStr">
        <is>
          <t>MTR-IOS-0708</t>
        </is>
      </c>
      <c r="C709" t="inlineStr">
        <is>
          <t>iPhone</t>
        </is>
      </c>
      <c r="D709" t="inlineStr">
        <is>
          <t>Business</t>
        </is>
      </c>
      <c r="E709" t="inlineStr">
        <is>
          <t>Business</t>
        </is>
      </c>
      <c r="F709" t="inlineStr">
        <is>
          <t>Team Operations</t>
        </is>
      </c>
      <c r="G709" t="inlineStr">
        <is>
          <t>Travel</t>
        </is>
      </c>
      <c r="H709" t="inlineStr">
        <is>
          <t>Business &gt; Team Operations &gt; Quick Add &gt; Travel</t>
        </is>
      </c>
      <c r="I709" s="18" t="n">
        <v>6816</v>
      </c>
      <c r="J709" t="inlineStr">
        <is>
          <t>Created MTR-IOS-0708 and correlation note visible in Activity/Pulse</t>
        </is>
      </c>
      <c r="K709" t="inlineStr">
        <is>
          <t>NOT_RUN</t>
        </is>
      </c>
      <c r="P709" t="n">
        <v>0</v>
      </c>
      <c r="Q709" t="n">
        <v>708</v>
      </c>
    </row>
    <row r="710">
      <c r="A710" t="n">
        <v>709</v>
      </c>
      <c r="B710" t="inlineStr">
        <is>
          <t>MTR-IOS-0709</t>
        </is>
      </c>
      <c r="C710" t="inlineStr">
        <is>
          <t>iPhone</t>
        </is>
      </c>
      <c r="D710" t="inlineStr">
        <is>
          <t>Personal</t>
        </is>
      </c>
      <c r="E710" t="inlineStr">
        <is>
          <t>Personal</t>
        </is>
      </c>
      <c r="F710" t="inlineStr">
        <is>
          <t>Life Operations</t>
        </is>
      </c>
      <c r="G710" t="inlineStr">
        <is>
          <t>Repairs</t>
        </is>
      </c>
      <c r="H710" t="inlineStr">
        <is>
          <t>Personal &gt; Life Operations &gt; Quick Add &gt; Repairs</t>
        </is>
      </c>
      <c r="I710" s="18" t="n">
        <v>5359.78</v>
      </c>
      <c r="J710" t="inlineStr">
        <is>
          <t>Created MTR-IOS-0709 and correlation note visible in Activity/Pulse</t>
        </is>
      </c>
      <c r="K710" t="inlineStr">
        <is>
          <t>NOT_RUN</t>
        </is>
      </c>
      <c r="P710" t="n">
        <v>0</v>
      </c>
      <c r="Q710" t="n">
        <v>709</v>
      </c>
    </row>
    <row r="711">
      <c r="A711" t="n">
        <v>710</v>
      </c>
      <c r="B711" t="inlineStr">
        <is>
          <t>MTR-IOS-0710</t>
        </is>
      </c>
      <c r="C711" t="inlineStr">
        <is>
          <t>iPhone</t>
        </is>
      </c>
      <c r="D711" t="inlineStr">
        <is>
          <t>Group</t>
        </is>
      </c>
      <c r="E711" t="inlineStr">
        <is>
          <t>Shared Experience</t>
        </is>
      </c>
      <c r="F711" t="inlineStr">
        <is>
          <t>Trip</t>
        </is>
      </c>
      <c r="G711" t="inlineStr">
        <is>
          <t>Activities</t>
        </is>
      </c>
      <c r="H711" t="inlineStr">
        <is>
          <t>Group &gt; Trip &gt; Quick Add &gt; Activities</t>
        </is>
      </c>
      <c r="I711" s="18" t="n">
        <v>20209.87</v>
      </c>
      <c r="J711" t="inlineStr">
        <is>
          <t>Created MTR-IOS-0710 and correlation note visible in Activity/Pulse</t>
        </is>
      </c>
      <c r="K711" t="inlineStr">
        <is>
          <t>NOT_RUN</t>
        </is>
      </c>
      <c r="P711" t="n">
        <v>0</v>
      </c>
      <c r="Q711" t="n">
        <v>710</v>
      </c>
    </row>
    <row r="712">
      <c r="A712" t="n">
        <v>711</v>
      </c>
      <c r="B712" t="inlineStr">
        <is>
          <t>MTR-IOS-0711</t>
        </is>
      </c>
      <c r="C712" t="inlineStr">
        <is>
          <t>iPhone</t>
        </is>
      </c>
      <c r="D712" t="inlineStr">
        <is>
          <t>Business</t>
        </is>
      </c>
      <c r="E712" t="inlineStr">
        <is>
          <t>Business</t>
        </is>
      </c>
      <c r="F712" t="inlineStr">
        <is>
          <t>Team Operations</t>
        </is>
      </c>
      <c r="G712" t="inlineStr">
        <is>
          <t>Training</t>
        </is>
      </c>
      <c r="H712" t="inlineStr">
        <is>
          <t>Business &gt; Team Operations &gt; Quick Add &gt; Training</t>
        </is>
      </c>
      <c r="I712" s="18" t="n">
        <v>89853.31</v>
      </c>
      <c r="J712" t="inlineStr">
        <is>
          <t>Created MTR-IOS-0711 and correlation note visible in Activity/Pulse</t>
        </is>
      </c>
      <c r="K712" t="inlineStr">
        <is>
          <t>NOT_RUN</t>
        </is>
      </c>
      <c r="P712" t="n">
        <v>0</v>
      </c>
      <c r="Q712" t="n">
        <v>711</v>
      </c>
    </row>
    <row r="713">
      <c r="A713" t="n">
        <v>712</v>
      </c>
      <c r="B713" t="inlineStr">
        <is>
          <t>MTR-IOS-0712</t>
        </is>
      </c>
      <c r="C713" t="inlineStr">
        <is>
          <t>iPhone</t>
        </is>
      </c>
      <c r="D713" t="inlineStr">
        <is>
          <t>Personal</t>
        </is>
      </c>
      <c r="E713" t="inlineStr">
        <is>
          <t>Personal</t>
        </is>
      </c>
      <c r="F713" t="inlineStr">
        <is>
          <t>Future Building</t>
        </is>
      </c>
      <c r="G713" t="inlineStr">
        <is>
          <t>Savings</t>
        </is>
      </c>
      <c r="H713" t="inlineStr">
        <is>
          <t>Personal &gt; Future Building &gt; Quick Add &gt; Savings</t>
        </is>
      </c>
      <c r="I713" s="18" t="n">
        <v>16214.63</v>
      </c>
      <c r="J713" t="inlineStr">
        <is>
          <t>Created MTR-IOS-0712 and correlation note visible in Activity/Pulse</t>
        </is>
      </c>
      <c r="K713" t="inlineStr">
        <is>
          <t>NOT_RUN</t>
        </is>
      </c>
      <c r="P713" t="n">
        <v>0</v>
      </c>
      <c r="Q713" t="n">
        <v>712</v>
      </c>
    </row>
    <row r="714">
      <c r="A714" t="n">
        <v>713</v>
      </c>
      <c r="B714" t="inlineStr">
        <is>
          <t>MTR-IOS-0713</t>
        </is>
      </c>
      <c r="C714" t="inlineStr">
        <is>
          <t>iPhone</t>
        </is>
      </c>
      <c r="D714" t="inlineStr">
        <is>
          <t>Group</t>
        </is>
      </c>
      <c r="E714" t="inlineStr">
        <is>
          <t>Shared Experience</t>
        </is>
      </c>
      <c r="F714" t="inlineStr">
        <is>
          <t>Trip</t>
        </is>
      </c>
      <c r="G714" t="inlineStr">
        <is>
          <t>Shopping</t>
        </is>
      </c>
      <c r="H714" t="inlineStr">
        <is>
          <t>Group &gt; Trip &gt; Quick Add &gt; Shopping</t>
        </is>
      </c>
      <c r="I714" s="18" t="n">
        <v>19645.05</v>
      </c>
      <c r="J714" t="inlineStr">
        <is>
          <t>Created MTR-IOS-0713 and correlation note visible in Activity/Pulse</t>
        </is>
      </c>
      <c r="K714" t="inlineStr">
        <is>
          <t>NOT_RUN</t>
        </is>
      </c>
      <c r="P714" t="n">
        <v>0</v>
      </c>
      <c r="Q714" t="n">
        <v>713</v>
      </c>
    </row>
    <row r="715">
      <c r="A715" t="n">
        <v>714</v>
      </c>
      <c r="B715" t="inlineStr">
        <is>
          <t>MTR-IOS-0714</t>
        </is>
      </c>
      <c r="C715" t="inlineStr">
        <is>
          <t>iPhone</t>
        </is>
      </c>
      <c r="D715" t="inlineStr">
        <is>
          <t>Business</t>
        </is>
      </c>
      <c r="E715" t="inlineStr">
        <is>
          <t>Business</t>
        </is>
      </c>
      <c r="F715" t="inlineStr">
        <is>
          <t>Team Operations</t>
        </is>
      </c>
      <c r="G715" t="inlineStr">
        <is>
          <t>Tools</t>
        </is>
      </c>
      <c r="H715" t="inlineStr">
        <is>
          <t>Business &gt; Team Operations &gt; Quick Add &gt; Tools</t>
        </is>
      </c>
      <c r="I715" s="18" t="n">
        <v>158190.71</v>
      </c>
      <c r="J715" t="inlineStr">
        <is>
          <t>Created MTR-IOS-0714 and correlation note visible in Activity/Pulse</t>
        </is>
      </c>
      <c r="K715" t="inlineStr">
        <is>
          <t>NOT_RUN</t>
        </is>
      </c>
      <c r="P715" t="n">
        <v>0</v>
      </c>
      <c r="Q715" t="n">
        <v>714</v>
      </c>
    </row>
    <row r="716">
      <c r="A716" t="n">
        <v>715</v>
      </c>
      <c r="B716" t="inlineStr">
        <is>
          <t>MTR-IOS-0715</t>
        </is>
      </c>
      <c r="C716" t="inlineStr">
        <is>
          <t>iPhone</t>
        </is>
      </c>
      <c r="D716" t="inlineStr">
        <is>
          <t>Personal</t>
        </is>
      </c>
      <c r="E716" t="inlineStr">
        <is>
          <t>Personal</t>
        </is>
      </c>
      <c r="F716" t="inlineStr">
        <is>
          <t>Future Building</t>
        </is>
      </c>
      <c r="G716" t="inlineStr">
        <is>
          <t>Emergency Fund</t>
        </is>
      </c>
      <c r="H716" t="inlineStr">
        <is>
          <t>Personal &gt; Future Building &gt; Quick Add &gt; Emergency Fund</t>
        </is>
      </c>
      <c r="I716" s="18" t="n">
        <v>1733.85</v>
      </c>
      <c r="J716" t="inlineStr">
        <is>
          <t>Created MTR-IOS-0715 and correlation note visible in Activity/Pulse</t>
        </is>
      </c>
      <c r="K716" t="inlineStr">
        <is>
          <t>NOT_RUN</t>
        </is>
      </c>
      <c r="P716" t="n">
        <v>0</v>
      </c>
      <c r="Q716" t="n">
        <v>715</v>
      </c>
    </row>
    <row r="717">
      <c r="A717" t="n">
        <v>716</v>
      </c>
      <c r="B717" t="inlineStr">
        <is>
          <t>MTR-IOS-0716</t>
        </is>
      </c>
      <c r="C717" t="inlineStr">
        <is>
          <t>iPhone</t>
        </is>
      </c>
      <c r="D717" t="inlineStr">
        <is>
          <t>Group</t>
        </is>
      </c>
      <c r="E717" t="inlineStr">
        <is>
          <t>Shared Experience</t>
        </is>
      </c>
      <c r="F717" t="inlineStr">
        <is>
          <t>Trip</t>
        </is>
      </c>
      <c r="G717" t="inlineStr">
        <is>
          <t>Other</t>
        </is>
      </c>
      <c r="H717" t="inlineStr">
        <is>
          <t>Group &gt; Trip &gt; Quick Add &gt; Other</t>
        </is>
      </c>
      <c r="I717" s="18" t="n">
        <v>6347.16</v>
      </c>
      <c r="J717" t="inlineStr">
        <is>
          <t>Created MTR-IOS-0716 and correlation note visible in Activity/Pulse</t>
        </is>
      </c>
      <c r="K717" t="inlineStr">
        <is>
          <t>NOT_RUN</t>
        </is>
      </c>
      <c r="P717" t="n">
        <v>0</v>
      </c>
      <c r="Q717" t="n">
        <v>716</v>
      </c>
    </row>
    <row r="718">
      <c r="A718" t="n">
        <v>717</v>
      </c>
      <c r="B718" t="inlineStr">
        <is>
          <t>MTR-IOS-0717</t>
        </is>
      </c>
      <c r="C718" t="inlineStr">
        <is>
          <t>iPhone</t>
        </is>
      </c>
      <c r="D718" t="inlineStr">
        <is>
          <t>Business</t>
        </is>
      </c>
      <c r="E718" t="inlineStr">
        <is>
          <t>Business</t>
        </is>
      </c>
      <c r="F718" t="inlineStr">
        <is>
          <t>Business Runway</t>
        </is>
      </c>
      <c r="G718" t="inlineStr">
        <is>
          <t>Funding</t>
        </is>
      </c>
      <c r="H718" t="inlineStr">
        <is>
          <t>Business &gt; Business Runway &gt; Quick Add &gt; Funding</t>
        </is>
      </c>
      <c r="I718" s="18" t="n">
        <v>147493</v>
      </c>
      <c r="J718" t="inlineStr">
        <is>
          <t>Created MTR-IOS-0717 and correlation note visible in Activity/Pulse</t>
        </is>
      </c>
      <c r="K718" t="inlineStr">
        <is>
          <t>NOT_RUN</t>
        </is>
      </c>
      <c r="P718" t="n">
        <v>0</v>
      </c>
      <c r="Q718" t="n">
        <v>717</v>
      </c>
    </row>
    <row r="719">
      <c r="A719" t="n">
        <v>718</v>
      </c>
      <c r="B719" t="inlineStr">
        <is>
          <t>MTR-IOS-0718</t>
        </is>
      </c>
      <c r="C719" t="inlineStr">
        <is>
          <t>iPhone</t>
        </is>
      </c>
      <c r="D719" t="inlineStr">
        <is>
          <t>Personal</t>
        </is>
      </c>
      <c r="E719" t="inlineStr">
        <is>
          <t>Personal</t>
        </is>
      </c>
      <c r="F719" t="inlineStr">
        <is>
          <t>Future Building</t>
        </is>
      </c>
      <c r="G719" t="inlineStr">
        <is>
          <t>Investments</t>
        </is>
      </c>
      <c r="H719" t="inlineStr">
        <is>
          <t>Personal &gt; Future Building &gt; Quick Add &gt; Investments</t>
        </is>
      </c>
      <c r="I719" s="18" t="n">
        <v>6967.55</v>
      </c>
      <c r="J719" t="inlineStr">
        <is>
          <t>Created MTR-IOS-0718 and correlation note visible in Activity/Pulse</t>
        </is>
      </c>
      <c r="K719" t="inlineStr">
        <is>
          <t>NOT_RUN</t>
        </is>
      </c>
      <c r="P719" t="n">
        <v>0</v>
      </c>
      <c r="Q719" t="n">
        <v>718</v>
      </c>
    </row>
    <row r="720">
      <c r="A720" t="n">
        <v>719</v>
      </c>
      <c r="B720" t="inlineStr">
        <is>
          <t>MTR-IOS-0719</t>
        </is>
      </c>
      <c r="C720" t="inlineStr">
        <is>
          <t>iPhone</t>
        </is>
      </c>
      <c r="D720" t="inlineStr">
        <is>
          <t>Group</t>
        </is>
      </c>
      <c r="E720" t="inlineStr">
        <is>
          <t>Shared Experience</t>
        </is>
      </c>
      <c r="F720" t="inlineStr">
        <is>
          <t>Wedding</t>
        </is>
      </c>
      <c r="G720" t="inlineStr">
        <is>
          <t>Venue</t>
        </is>
      </c>
      <c r="H720" t="inlineStr">
        <is>
          <t>Group &gt; Wedding &gt; Quick Add &gt; Venue</t>
        </is>
      </c>
      <c r="I720" s="18" t="n">
        <v>21269.75</v>
      </c>
      <c r="J720" t="inlineStr">
        <is>
          <t>Created MTR-IOS-0719 and correlation note visible in Activity/Pulse</t>
        </is>
      </c>
      <c r="K720" t="inlineStr">
        <is>
          <t>NOT_RUN</t>
        </is>
      </c>
      <c r="P720" t="n">
        <v>0</v>
      </c>
      <c r="Q720" t="n">
        <v>719</v>
      </c>
    </row>
    <row r="721">
      <c r="A721" t="n">
        <v>720</v>
      </c>
      <c r="B721" t="inlineStr">
        <is>
          <t>MTR-IOS-0720</t>
        </is>
      </c>
      <c r="C721" t="inlineStr">
        <is>
          <t>iPhone</t>
        </is>
      </c>
      <c r="D721" t="inlineStr">
        <is>
          <t>Business</t>
        </is>
      </c>
      <c r="E721" t="inlineStr">
        <is>
          <t>Business</t>
        </is>
      </c>
      <c r="F721" t="inlineStr">
        <is>
          <t>Business Runway</t>
        </is>
      </c>
      <c r="G721" t="inlineStr">
        <is>
          <t>Revenue</t>
        </is>
      </c>
      <c r="H721" t="inlineStr">
        <is>
          <t>Business &gt; Business Runway &gt; Quick Add &gt; Revenue</t>
        </is>
      </c>
      <c r="I721" s="18" t="n">
        <v>8064.37</v>
      </c>
      <c r="J721" t="inlineStr">
        <is>
          <t>Created MTR-IOS-0720 and correlation note visible in Activity/Pulse</t>
        </is>
      </c>
      <c r="K721" t="inlineStr">
        <is>
          <t>NOT_RUN</t>
        </is>
      </c>
      <c r="P721" t="n">
        <v>0</v>
      </c>
      <c r="Q721" t="n">
        <v>720</v>
      </c>
    </row>
    <row r="722">
      <c r="A722" t="n">
        <v>721</v>
      </c>
      <c r="B722" t="inlineStr">
        <is>
          <t>MTR-IOS-0721</t>
        </is>
      </c>
      <c r="C722" t="inlineStr">
        <is>
          <t>iPhone</t>
        </is>
      </c>
      <c r="D722" t="inlineStr">
        <is>
          <t>Personal</t>
        </is>
      </c>
      <c r="E722" t="inlineStr">
        <is>
          <t>Personal</t>
        </is>
      </c>
      <c r="F722" t="inlineStr">
        <is>
          <t>Future Building</t>
        </is>
      </c>
      <c r="G722" t="inlineStr">
        <is>
          <t>Education</t>
        </is>
      </c>
      <c r="H722" t="inlineStr">
        <is>
          <t>Personal &gt; Future Building &gt; Quick Add &gt; Education</t>
        </is>
      </c>
      <c r="I722" s="18" t="n">
        <v>14677.29</v>
      </c>
      <c r="J722" t="inlineStr">
        <is>
          <t>Created MTR-IOS-0721 and correlation note visible in Activity/Pulse</t>
        </is>
      </c>
      <c r="K722" t="inlineStr">
        <is>
          <t>NOT_RUN</t>
        </is>
      </c>
      <c r="P722" t="n">
        <v>0</v>
      </c>
      <c r="Q722" t="n">
        <v>721</v>
      </c>
    </row>
    <row r="723">
      <c r="A723" t="n">
        <v>722</v>
      </c>
      <c r="B723" t="inlineStr">
        <is>
          <t>MTR-IOS-0722</t>
        </is>
      </c>
      <c r="C723" t="inlineStr">
        <is>
          <t>iPhone</t>
        </is>
      </c>
      <c r="D723" t="inlineStr">
        <is>
          <t>Group</t>
        </is>
      </c>
      <c r="E723" t="inlineStr">
        <is>
          <t>Shared Experience</t>
        </is>
      </c>
      <c r="F723" t="inlineStr">
        <is>
          <t>Wedding</t>
        </is>
      </c>
      <c r="G723" t="inlineStr">
        <is>
          <t>Catering</t>
        </is>
      </c>
      <c r="H723" t="inlineStr">
        <is>
          <t>Group &gt; Wedding &gt; Quick Add &gt; Catering</t>
        </is>
      </c>
      <c r="I723" s="18" t="n">
        <v>4701.97</v>
      </c>
      <c r="J723" t="inlineStr">
        <is>
          <t>Created MTR-IOS-0722 and correlation note visible in Activity/Pulse</t>
        </is>
      </c>
      <c r="K723" t="inlineStr">
        <is>
          <t>NOT_RUN</t>
        </is>
      </c>
      <c r="P723" t="n">
        <v>0</v>
      </c>
      <c r="Q723" t="n">
        <v>722</v>
      </c>
    </row>
    <row r="724">
      <c r="A724" t="n">
        <v>723</v>
      </c>
      <c r="B724" t="inlineStr">
        <is>
          <t>MTR-IOS-0723</t>
        </is>
      </c>
      <c r="C724" t="inlineStr">
        <is>
          <t>iPhone</t>
        </is>
      </c>
      <c r="D724" t="inlineStr">
        <is>
          <t>Business</t>
        </is>
      </c>
      <c r="E724" t="inlineStr">
        <is>
          <t>Business</t>
        </is>
      </c>
      <c r="F724" t="inlineStr">
        <is>
          <t>Business Runway</t>
        </is>
      </c>
      <c r="G724" t="inlineStr">
        <is>
          <t>Burn</t>
        </is>
      </c>
      <c r="H724" t="inlineStr">
        <is>
          <t>Business &gt; Business Runway &gt; Quick Add &gt; Burn</t>
        </is>
      </c>
      <c r="I724" s="18" t="n">
        <v>49946.97</v>
      </c>
      <c r="J724" t="inlineStr">
        <is>
          <t>Created MTR-IOS-0723 and correlation note visible in Activity/Pulse</t>
        </is>
      </c>
      <c r="K724" t="inlineStr">
        <is>
          <t>NOT_RUN</t>
        </is>
      </c>
      <c r="P724" t="n">
        <v>0</v>
      </c>
      <c r="Q724" t="n">
        <v>723</v>
      </c>
    </row>
    <row r="725">
      <c r="A725" t="n">
        <v>724</v>
      </c>
      <c r="B725" t="inlineStr">
        <is>
          <t>MTR-IOS-0724</t>
        </is>
      </c>
      <c r="C725" t="inlineStr">
        <is>
          <t>iPhone</t>
        </is>
      </c>
      <c r="D725" t="inlineStr">
        <is>
          <t>Personal</t>
        </is>
      </c>
      <c r="E725" t="inlineStr">
        <is>
          <t>Personal</t>
        </is>
      </c>
      <c r="F725" t="inlineStr">
        <is>
          <t>Future Building</t>
        </is>
      </c>
      <c r="G725" t="inlineStr">
        <is>
          <t>Goal Contribution</t>
        </is>
      </c>
      <c r="H725" t="inlineStr">
        <is>
          <t>Personal &gt; Future Building &gt; Quick Add &gt; Goal Contribution</t>
        </is>
      </c>
      <c r="I725" s="18" t="n">
        <v>10016.45</v>
      </c>
      <c r="J725" t="inlineStr">
        <is>
          <t>Created MTR-IOS-0724 and correlation note visible in Activity/Pulse</t>
        </is>
      </c>
      <c r="K725" t="inlineStr">
        <is>
          <t>NOT_RUN</t>
        </is>
      </c>
      <c r="P725" t="n">
        <v>0</v>
      </c>
      <c r="Q725" t="n">
        <v>724</v>
      </c>
    </row>
    <row r="726">
      <c r="A726" t="n">
        <v>725</v>
      </c>
      <c r="B726" t="inlineStr">
        <is>
          <t>MTR-IOS-0725</t>
        </is>
      </c>
      <c r="C726" t="inlineStr">
        <is>
          <t>iPhone</t>
        </is>
      </c>
      <c r="D726" t="inlineStr">
        <is>
          <t>Group</t>
        </is>
      </c>
      <c r="E726" t="inlineStr">
        <is>
          <t>Shared Experience</t>
        </is>
      </c>
      <c r="F726" t="inlineStr">
        <is>
          <t>Wedding</t>
        </is>
      </c>
      <c r="G726" t="inlineStr">
        <is>
          <t>Decor</t>
        </is>
      </c>
      <c r="H726" t="inlineStr">
        <is>
          <t>Group &gt; Wedding &gt; Quick Add &gt; Decor</t>
        </is>
      </c>
      <c r="I726" s="18" t="n">
        <v>9738.32</v>
      </c>
      <c r="J726" t="inlineStr">
        <is>
          <t>Created MTR-IOS-0725 and correlation note visible in Activity/Pulse</t>
        </is>
      </c>
      <c r="K726" t="inlineStr">
        <is>
          <t>NOT_RUN</t>
        </is>
      </c>
      <c r="P726" t="n">
        <v>0</v>
      </c>
      <c r="Q726" t="n">
        <v>725</v>
      </c>
    </row>
    <row r="727">
      <c r="A727" t="n">
        <v>726</v>
      </c>
      <c r="B727" t="inlineStr">
        <is>
          <t>MTR-IOS-0726</t>
        </is>
      </c>
      <c r="C727" t="inlineStr">
        <is>
          <t>iPhone</t>
        </is>
      </c>
      <c r="D727" t="inlineStr">
        <is>
          <t>Business</t>
        </is>
      </c>
      <c r="E727" t="inlineStr">
        <is>
          <t>Business</t>
        </is>
      </c>
      <c r="F727" t="inlineStr">
        <is>
          <t>Business Runway</t>
        </is>
      </c>
      <c r="G727" t="inlineStr">
        <is>
          <t>Reserve</t>
        </is>
      </c>
      <c r="H727" t="inlineStr">
        <is>
          <t>Business &gt; Business Runway &gt; Quick Add &gt; Reserve</t>
        </is>
      </c>
      <c r="I727" s="18" t="n">
        <v>153038.66</v>
      </c>
      <c r="J727" t="inlineStr">
        <is>
          <t>Created MTR-IOS-0726 and correlation note visible in Activity/Pulse</t>
        </is>
      </c>
      <c r="K727" t="inlineStr">
        <is>
          <t>NOT_RUN</t>
        </is>
      </c>
      <c r="P727" t="n">
        <v>0</v>
      </c>
      <c r="Q727" t="n">
        <v>726</v>
      </c>
    </row>
    <row r="728">
      <c r="A728" t="n">
        <v>727</v>
      </c>
      <c r="B728" t="inlineStr">
        <is>
          <t>MTR-IOS-0727</t>
        </is>
      </c>
      <c r="C728" t="inlineStr">
        <is>
          <t>iPhone</t>
        </is>
      </c>
      <c r="D728" t="inlineStr">
        <is>
          <t>Personal</t>
        </is>
      </c>
      <c r="E728" t="inlineStr">
        <is>
          <t>Personal</t>
        </is>
      </c>
      <c r="F728" t="inlineStr">
        <is>
          <t>Lifestyle</t>
        </is>
      </c>
      <c r="G728" t="inlineStr">
        <is>
          <t>Dining</t>
        </is>
      </c>
      <c r="H728" t="inlineStr">
        <is>
          <t>Personal &gt; Lifestyle &gt; Quick Add &gt; Dining</t>
        </is>
      </c>
      <c r="I728" s="18" t="n">
        <v>9084.07</v>
      </c>
      <c r="J728" t="inlineStr">
        <is>
          <t>Created MTR-IOS-0727 and correlation note visible in Activity/Pulse</t>
        </is>
      </c>
      <c r="K728" t="inlineStr">
        <is>
          <t>NOT_RUN</t>
        </is>
      </c>
      <c r="P728" t="n">
        <v>0</v>
      </c>
      <c r="Q728" t="n">
        <v>727</v>
      </c>
    </row>
    <row r="729">
      <c r="A729" t="n">
        <v>728</v>
      </c>
      <c r="B729" t="inlineStr">
        <is>
          <t>MTR-IOS-0728</t>
        </is>
      </c>
      <c r="C729" t="inlineStr">
        <is>
          <t>iPhone</t>
        </is>
      </c>
      <c r="D729" t="inlineStr">
        <is>
          <t>Group</t>
        </is>
      </c>
      <c r="E729" t="inlineStr">
        <is>
          <t>Shared Experience</t>
        </is>
      </c>
      <c r="F729" t="inlineStr">
        <is>
          <t>Wedding</t>
        </is>
      </c>
      <c r="G729" t="inlineStr">
        <is>
          <t>Travel</t>
        </is>
      </c>
      <c r="H729" t="inlineStr">
        <is>
          <t>Group &gt; Wedding &gt; Quick Add &gt; Travel</t>
        </is>
      </c>
      <c r="I729" s="18" t="n">
        <v>6227.89</v>
      </c>
      <c r="J729" t="inlineStr">
        <is>
          <t>Created MTR-IOS-0728 and correlation note visible in Activity/Pulse</t>
        </is>
      </c>
      <c r="K729" t="inlineStr">
        <is>
          <t>NOT_RUN</t>
        </is>
      </c>
      <c r="P729" t="n">
        <v>0</v>
      </c>
      <c r="Q729" t="n">
        <v>728</v>
      </c>
    </row>
    <row r="730">
      <c r="A730" t="n">
        <v>729</v>
      </c>
      <c r="B730" t="inlineStr">
        <is>
          <t>MTR-IOS-0729</t>
        </is>
      </c>
      <c r="C730" t="inlineStr">
        <is>
          <t>iPhone</t>
        </is>
      </c>
      <c r="D730" t="inlineStr">
        <is>
          <t>Business</t>
        </is>
      </c>
      <c r="E730" t="inlineStr">
        <is>
          <t>Business</t>
        </is>
      </c>
      <c r="F730" t="inlineStr">
        <is>
          <t>Business Runway</t>
        </is>
      </c>
      <c r="G730" t="inlineStr">
        <is>
          <t>Loan</t>
        </is>
      </c>
      <c r="H730" t="inlineStr">
        <is>
          <t>Business &gt; Business Runway &gt; Quick Add &gt; Loan</t>
        </is>
      </c>
      <c r="I730" s="18" t="n">
        <v>153951.13</v>
      </c>
      <c r="J730" t="inlineStr">
        <is>
          <t>Created MTR-IOS-0729 and correlation note visible in Activity/Pulse</t>
        </is>
      </c>
      <c r="K730" t="inlineStr">
        <is>
          <t>NOT_RUN</t>
        </is>
      </c>
      <c r="P730" t="n">
        <v>0</v>
      </c>
      <c r="Q730" t="n">
        <v>729</v>
      </c>
    </row>
    <row r="731">
      <c r="A731" t="n">
        <v>730</v>
      </c>
      <c r="B731" t="inlineStr">
        <is>
          <t>MTR-IOS-0730</t>
        </is>
      </c>
      <c r="C731" t="inlineStr">
        <is>
          <t>iPhone</t>
        </is>
      </c>
      <c r="D731" t="inlineStr">
        <is>
          <t>Personal</t>
        </is>
      </c>
      <c r="E731" t="inlineStr">
        <is>
          <t>Personal</t>
        </is>
      </c>
      <c r="F731" t="inlineStr">
        <is>
          <t>Lifestyle</t>
        </is>
      </c>
      <c r="G731" t="inlineStr">
        <is>
          <t>Shopping</t>
        </is>
      </c>
      <c r="H731" t="inlineStr">
        <is>
          <t>Personal &gt; Lifestyle &gt; Quick Add &gt; Shopping</t>
        </is>
      </c>
      <c r="I731" s="18" t="n">
        <v>17362.93</v>
      </c>
      <c r="J731" t="inlineStr">
        <is>
          <t>Created MTR-IOS-0730 and correlation note visible in Activity/Pulse</t>
        </is>
      </c>
      <c r="K731" t="inlineStr">
        <is>
          <t>NOT_RUN</t>
        </is>
      </c>
      <c r="P731" t="n">
        <v>0</v>
      </c>
      <c r="Q731" t="n">
        <v>730</v>
      </c>
    </row>
    <row r="732">
      <c r="A732" t="n">
        <v>731</v>
      </c>
      <c r="B732" t="inlineStr">
        <is>
          <t>MTR-IOS-0731</t>
        </is>
      </c>
      <c r="C732" t="inlineStr">
        <is>
          <t>iPhone</t>
        </is>
      </c>
      <c r="D732" t="inlineStr">
        <is>
          <t>Group</t>
        </is>
      </c>
      <c r="E732" t="inlineStr">
        <is>
          <t>Shared Experience</t>
        </is>
      </c>
      <c r="F732" t="inlineStr">
        <is>
          <t>Wedding</t>
        </is>
      </c>
      <c r="G732" t="inlineStr">
        <is>
          <t>Gifts</t>
        </is>
      </c>
      <c r="H732" t="inlineStr">
        <is>
          <t>Group &gt; Wedding &gt; Quick Add &gt; Gifts</t>
        </is>
      </c>
      <c r="I732" s="18" t="n">
        <v>21170.4</v>
      </c>
      <c r="J732" t="inlineStr">
        <is>
          <t>Created MTR-IOS-0731 and correlation note visible in Activity/Pulse</t>
        </is>
      </c>
      <c r="K732" t="inlineStr">
        <is>
          <t>NOT_RUN</t>
        </is>
      </c>
      <c r="P732" t="n">
        <v>0</v>
      </c>
      <c r="Q732" t="n">
        <v>731</v>
      </c>
    </row>
    <row r="733">
      <c r="A733" t="n">
        <v>732</v>
      </c>
      <c r="B733" t="inlineStr">
        <is>
          <t>MTR-IOS-0732</t>
        </is>
      </c>
      <c r="C733" t="inlineStr">
        <is>
          <t>iPhone</t>
        </is>
      </c>
      <c r="D733" t="inlineStr">
        <is>
          <t>Business</t>
        </is>
      </c>
      <c r="E733" t="inlineStr">
        <is>
          <t>Business</t>
        </is>
      </c>
      <c r="F733" t="inlineStr">
        <is>
          <t>Business Runway</t>
        </is>
      </c>
      <c r="G733" t="inlineStr">
        <is>
          <t>Investment</t>
        </is>
      </c>
      <c r="H733" t="inlineStr">
        <is>
          <t>Business &gt; Business Runway &gt; Quick Add &gt; Investment</t>
        </is>
      </c>
      <c r="I733" s="18" t="n">
        <v>97906.28999999999</v>
      </c>
      <c r="J733" t="inlineStr">
        <is>
          <t>Created MTR-IOS-0732 and correlation note visible in Activity/Pulse</t>
        </is>
      </c>
      <c r="K733" t="inlineStr">
        <is>
          <t>NOT_RUN</t>
        </is>
      </c>
      <c r="P733" t="n">
        <v>0</v>
      </c>
      <c r="Q733" t="n">
        <v>732</v>
      </c>
    </row>
    <row r="734">
      <c r="A734" t="n">
        <v>733</v>
      </c>
      <c r="B734" t="inlineStr">
        <is>
          <t>MTR-IOS-0733</t>
        </is>
      </c>
      <c r="C734" t="inlineStr">
        <is>
          <t>iPhone</t>
        </is>
      </c>
      <c r="D734" t="inlineStr">
        <is>
          <t>Personal</t>
        </is>
      </c>
      <c r="E734" t="inlineStr">
        <is>
          <t>Personal</t>
        </is>
      </c>
      <c r="F734" t="inlineStr">
        <is>
          <t>Lifestyle</t>
        </is>
      </c>
      <c r="G734" t="inlineStr">
        <is>
          <t>Entertainment</t>
        </is>
      </c>
      <c r="H734" t="inlineStr">
        <is>
          <t>Personal &gt; Lifestyle &gt; Quick Add &gt; Entertainment</t>
        </is>
      </c>
      <c r="I734" s="18" t="n">
        <v>15358.89</v>
      </c>
      <c r="J734" t="inlineStr">
        <is>
          <t>Created MTR-IOS-0733 and correlation note visible in Activity/Pulse</t>
        </is>
      </c>
      <c r="K734" t="inlineStr">
        <is>
          <t>NOT_RUN</t>
        </is>
      </c>
      <c r="P734" t="n">
        <v>0</v>
      </c>
      <c r="Q734" t="n">
        <v>733</v>
      </c>
    </row>
    <row r="735">
      <c r="A735" t="n">
        <v>734</v>
      </c>
      <c r="B735" t="inlineStr">
        <is>
          <t>MTR-IOS-0734</t>
        </is>
      </c>
      <c r="C735" t="inlineStr">
        <is>
          <t>iPhone</t>
        </is>
      </c>
      <c r="D735" t="inlineStr">
        <is>
          <t>Group</t>
        </is>
      </c>
      <c r="E735" t="inlineStr">
        <is>
          <t>Shared Experience</t>
        </is>
      </c>
      <c r="F735" t="inlineStr">
        <is>
          <t>Wedding</t>
        </is>
      </c>
      <c r="G735" t="inlineStr">
        <is>
          <t>Photography</t>
        </is>
      </c>
      <c r="H735" t="inlineStr">
        <is>
          <t>Group &gt; Wedding &gt; Quick Add &gt; Photography</t>
        </is>
      </c>
      <c r="I735" s="18" t="n">
        <v>1628.58</v>
      </c>
      <c r="J735" t="inlineStr">
        <is>
          <t>Created MTR-IOS-0734 and correlation note visible in Activity/Pulse</t>
        </is>
      </c>
      <c r="K735" t="inlineStr">
        <is>
          <t>NOT_RUN</t>
        </is>
      </c>
      <c r="P735" t="n">
        <v>0</v>
      </c>
      <c r="Q735" t="n">
        <v>734</v>
      </c>
    </row>
    <row r="736">
      <c r="A736" t="n">
        <v>735</v>
      </c>
      <c r="B736" t="inlineStr">
        <is>
          <t>MTR-IOS-0735</t>
        </is>
      </c>
      <c r="C736" t="inlineStr">
        <is>
          <t>iPhone</t>
        </is>
      </c>
      <c r="D736" t="inlineStr">
        <is>
          <t>Business</t>
        </is>
      </c>
      <c r="E736" t="inlineStr">
        <is>
          <t>Business</t>
        </is>
      </c>
      <c r="F736" t="inlineStr">
        <is>
          <t>Business Operations</t>
        </is>
      </c>
      <c r="G736" t="inlineStr">
        <is>
          <t>Software</t>
        </is>
      </c>
      <c r="H736" t="inlineStr">
        <is>
          <t>Business &gt; Business Operations &gt; Quick Add &gt; Software</t>
        </is>
      </c>
      <c r="I736" s="18" t="n">
        <v>136529.31</v>
      </c>
      <c r="J736" t="inlineStr">
        <is>
          <t>Created MTR-IOS-0735 and correlation note visible in Activity/Pulse</t>
        </is>
      </c>
      <c r="K736" t="inlineStr">
        <is>
          <t>NOT_RUN</t>
        </is>
      </c>
      <c r="P736" t="n">
        <v>0</v>
      </c>
      <c r="Q736" t="n">
        <v>735</v>
      </c>
    </row>
    <row r="737">
      <c r="A737" t="n">
        <v>736</v>
      </c>
      <c r="B737" t="inlineStr">
        <is>
          <t>MTR-IOS-0736</t>
        </is>
      </c>
      <c r="C737" t="inlineStr">
        <is>
          <t>iPhone</t>
        </is>
      </c>
      <c r="D737" t="inlineStr">
        <is>
          <t>Personal</t>
        </is>
      </c>
      <c r="E737" t="inlineStr">
        <is>
          <t>Personal</t>
        </is>
      </c>
      <c r="F737" t="inlineStr">
        <is>
          <t>Lifestyle</t>
        </is>
      </c>
      <c r="G737" t="inlineStr">
        <is>
          <t>Travel</t>
        </is>
      </c>
      <c r="H737" t="inlineStr">
        <is>
          <t>Personal &gt; Lifestyle &gt; Quick Add &gt; Travel</t>
        </is>
      </c>
      <c r="I737" s="18" t="n">
        <v>535.5700000000001</v>
      </c>
      <c r="J737" t="inlineStr">
        <is>
          <t>Created MTR-IOS-0736 and correlation note visible in Activity/Pulse</t>
        </is>
      </c>
      <c r="K737" t="inlineStr">
        <is>
          <t>NOT_RUN</t>
        </is>
      </c>
      <c r="P737" t="n">
        <v>0</v>
      </c>
      <c r="Q737" t="n">
        <v>736</v>
      </c>
    </row>
    <row r="738">
      <c r="A738" t="n">
        <v>737</v>
      </c>
      <c r="B738" t="inlineStr">
        <is>
          <t>MTR-IOS-0737</t>
        </is>
      </c>
      <c r="C738" t="inlineStr">
        <is>
          <t>iPhone</t>
        </is>
      </c>
      <c r="D738" t="inlineStr">
        <is>
          <t>Group</t>
        </is>
      </c>
      <c r="E738" t="inlineStr">
        <is>
          <t>Shared Experience</t>
        </is>
      </c>
      <c r="F738" t="inlineStr">
        <is>
          <t>Wedding</t>
        </is>
      </c>
      <c r="G738" t="inlineStr">
        <is>
          <t>Other</t>
        </is>
      </c>
      <c r="H738" t="inlineStr">
        <is>
          <t>Group &gt; Wedding &gt; Quick Add &gt; Other</t>
        </is>
      </c>
      <c r="I738" s="18" t="n">
        <v>24412.88</v>
      </c>
      <c r="J738" t="inlineStr">
        <is>
          <t>Created MTR-IOS-0737 and correlation note visible in Activity/Pulse</t>
        </is>
      </c>
      <c r="K738" t="inlineStr">
        <is>
          <t>NOT_RUN</t>
        </is>
      </c>
      <c r="P738" t="n">
        <v>0</v>
      </c>
      <c r="Q738" t="n">
        <v>737</v>
      </c>
    </row>
    <row r="739">
      <c r="A739" t="n">
        <v>738</v>
      </c>
      <c r="B739" t="inlineStr">
        <is>
          <t>MTR-IOS-0738</t>
        </is>
      </c>
      <c r="C739" t="inlineStr">
        <is>
          <t>iPhone</t>
        </is>
      </c>
      <c r="D739" t="inlineStr">
        <is>
          <t>Business</t>
        </is>
      </c>
      <c r="E739" t="inlineStr">
        <is>
          <t>Business</t>
        </is>
      </c>
      <c r="F739" t="inlineStr">
        <is>
          <t>Business Operations</t>
        </is>
      </c>
      <c r="G739" t="inlineStr">
        <is>
          <t>Rent</t>
        </is>
      </c>
      <c r="H739" t="inlineStr">
        <is>
          <t>Business &gt; Business Operations &gt; Quick Add &gt; Rent</t>
        </is>
      </c>
      <c r="I739" s="18" t="n">
        <v>160362.52</v>
      </c>
      <c r="J739" t="inlineStr">
        <is>
          <t>Created MTR-IOS-0738 and correlation note visible in Activity/Pulse</t>
        </is>
      </c>
      <c r="K739" t="inlineStr">
        <is>
          <t>NOT_RUN</t>
        </is>
      </c>
      <c r="P739" t="n">
        <v>0</v>
      </c>
      <c r="Q739" t="n">
        <v>738</v>
      </c>
    </row>
    <row r="740">
      <c r="A740" t="n">
        <v>739</v>
      </c>
      <c r="B740" t="inlineStr">
        <is>
          <t>MTR-IOS-0739</t>
        </is>
      </c>
      <c r="C740" t="inlineStr">
        <is>
          <t>iPhone</t>
        </is>
      </c>
      <c r="D740" t="inlineStr">
        <is>
          <t>Personal</t>
        </is>
      </c>
      <c r="E740" t="inlineStr">
        <is>
          <t>Personal</t>
        </is>
      </c>
      <c r="F740" t="inlineStr">
        <is>
          <t>Lifestyle</t>
        </is>
      </c>
      <c r="G740" t="inlineStr">
        <is>
          <t>Fitness</t>
        </is>
      </c>
      <c r="H740" t="inlineStr">
        <is>
          <t>Personal &gt; Lifestyle &gt; Quick Add &gt; Fitness</t>
        </is>
      </c>
      <c r="I740" s="18" t="n">
        <v>2004.96</v>
      </c>
      <c r="J740" t="inlineStr">
        <is>
          <t>Created MTR-IOS-0739 and correlation note visible in Activity/Pulse</t>
        </is>
      </c>
      <c r="K740" t="inlineStr">
        <is>
          <t>NOT_RUN</t>
        </is>
      </c>
      <c r="P740" t="n">
        <v>0</v>
      </c>
      <c r="Q740" t="n">
        <v>739</v>
      </c>
    </row>
    <row r="741">
      <c r="A741" t="n">
        <v>740</v>
      </c>
      <c r="B741" t="inlineStr">
        <is>
          <t>MTR-IOS-0740</t>
        </is>
      </c>
      <c r="C741" t="inlineStr">
        <is>
          <t>iPhone</t>
        </is>
      </c>
      <c r="D741" t="inlineStr">
        <is>
          <t>Group</t>
        </is>
      </c>
      <c r="E741" t="inlineStr">
        <is>
          <t>Shared Experience</t>
        </is>
      </c>
      <c r="F741" t="inlineStr">
        <is>
          <t>Office Outing</t>
        </is>
      </c>
      <c r="G741" t="inlineStr">
        <is>
          <t>Food</t>
        </is>
      </c>
      <c r="H741" t="inlineStr">
        <is>
          <t>Group &gt; Office Outing &gt; Quick Add &gt; Food</t>
        </is>
      </c>
      <c r="I741" s="18" t="n">
        <v>99.98999999999999</v>
      </c>
      <c r="J741" t="inlineStr">
        <is>
          <t>Created MTR-IOS-0740 and correlation note visible in Activity/Pulse</t>
        </is>
      </c>
      <c r="K741" t="inlineStr">
        <is>
          <t>NOT_RUN</t>
        </is>
      </c>
      <c r="P741" t="n">
        <v>0</v>
      </c>
      <c r="Q741" t="n">
        <v>740</v>
      </c>
    </row>
    <row r="742">
      <c r="A742" t="n">
        <v>741</v>
      </c>
      <c r="B742" t="inlineStr">
        <is>
          <t>MTR-IOS-0741</t>
        </is>
      </c>
      <c r="C742" t="inlineStr">
        <is>
          <t>iPhone</t>
        </is>
      </c>
      <c r="D742" t="inlineStr">
        <is>
          <t>Business</t>
        </is>
      </c>
      <c r="E742" t="inlineStr">
        <is>
          <t>Business</t>
        </is>
      </c>
      <c r="F742" t="inlineStr">
        <is>
          <t>Business Operations</t>
        </is>
      </c>
      <c r="G742" t="inlineStr">
        <is>
          <t>Marketing</t>
        </is>
      </c>
      <c r="H742" t="inlineStr">
        <is>
          <t>Business &gt; Business Operations &gt; Quick Add &gt; Marketing</t>
        </is>
      </c>
      <c r="I742" s="18" t="n">
        <v>135306.51</v>
      </c>
      <c r="J742" t="inlineStr">
        <is>
          <t>Created MTR-IOS-0741 and correlation note visible in Activity/Pulse</t>
        </is>
      </c>
      <c r="K742" t="inlineStr">
        <is>
          <t>NOT_RUN</t>
        </is>
      </c>
      <c r="P742" t="n">
        <v>0</v>
      </c>
      <c r="Q742" t="n">
        <v>741</v>
      </c>
    </row>
    <row r="743">
      <c r="A743" t="n">
        <v>742</v>
      </c>
      <c r="B743" t="inlineStr">
        <is>
          <t>MTR-IOS-0742</t>
        </is>
      </c>
      <c r="C743" t="inlineStr">
        <is>
          <t>iPhone</t>
        </is>
      </c>
      <c r="D743" t="inlineStr">
        <is>
          <t>Personal</t>
        </is>
      </c>
      <c r="E743" t="inlineStr">
        <is>
          <t>Personal</t>
        </is>
      </c>
      <c r="F743" t="inlineStr">
        <is>
          <t>Lifestyle</t>
        </is>
      </c>
      <c r="G743" t="inlineStr">
        <is>
          <t>Hobbies</t>
        </is>
      </c>
      <c r="H743" t="inlineStr">
        <is>
          <t>Personal &gt; Lifestyle &gt; Quick Add &gt; Hobbies</t>
        </is>
      </c>
      <c r="I743" s="18" t="n">
        <v>17468.71</v>
      </c>
      <c r="J743" t="inlineStr">
        <is>
          <t>Created MTR-IOS-0742 and correlation note visible in Activity/Pulse</t>
        </is>
      </c>
      <c r="K743" t="inlineStr">
        <is>
          <t>NOT_RUN</t>
        </is>
      </c>
      <c r="P743" t="n">
        <v>0</v>
      </c>
      <c r="Q743" t="n">
        <v>742</v>
      </c>
    </row>
    <row r="744">
      <c r="A744" t="n">
        <v>743</v>
      </c>
      <c r="B744" t="inlineStr">
        <is>
          <t>MTR-IOS-0743</t>
        </is>
      </c>
      <c r="C744" t="inlineStr">
        <is>
          <t>iPhone</t>
        </is>
      </c>
      <c r="D744" t="inlineStr">
        <is>
          <t>Group</t>
        </is>
      </c>
      <c r="E744" t="inlineStr">
        <is>
          <t>Shared Experience</t>
        </is>
      </c>
      <c r="F744" t="inlineStr">
        <is>
          <t>Office Outing</t>
        </is>
      </c>
      <c r="G744" t="inlineStr">
        <is>
          <t>Travel</t>
        </is>
      </c>
      <c r="H744" t="inlineStr">
        <is>
          <t>Group &gt; Office Outing &gt; Quick Add &gt; Travel</t>
        </is>
      </c>
      <c r="I744" s="18" t="n">
        <v>2545.06</v>
      </c>
      <c r="J744" t="inlineStr">
        <is>
          <t>Created MTR-IOS-0743 and correlation note visible in Activity/Pulse</t>
        </is>
      </c>
      <c r="K744" t="inlineStr">
        <is>
          <t>NOT_RUN</t>
        </is>
      </c>
      <c r="P744" t="n">
        <v>0</v>
      </c>
      <c r="Q744" t="n">
        <v>743</v>
      </c>
    </row>
    <row r="745">
      <c r="A745" t="n">
        <v>744</v>
      </c>
      <c r="B745" t="inlineStr">
        <is>
          <t>MTR-IOS-0744</t>
        </is>
      </c>
      <c r="C745" t="inlineStr">
        <is>
          <t>iPhone</t>
        </is>
      </c>
      <c r="D745" t="inlineStr">
        <is>
          <t>Business</t>
        </is>
      </c>
      <c r="E745" t="inlineStr">
        <is>
          <t>Business</t>
        </is>
      </c>
      <c r="F745" t="inlineStr">
        <is>
          <t>Business Operations</t>
        </is>
      </c>
      <c r="G745" t="inlineStr">
        <is>
          <t>Legal</t>
        </is>
      </c>
      <c r="H745" t="inlineStr">
        <is>
          <t>Business &gt; Business Operations &gt; Quick Add &gt; Legal</t>
        </is>
      </c>
      <c r="I745" s="18" t="n">
        <v>46733.45</v>
      </c>
      <c r="J745" t="inlineStr">
        <is>
          <t>Created MTR-IOS-0744 and correlation note visible in Activity/Pulse</t>
        </is>
      </c>
      <c r="K745" t="inlineStr">
        <is>
          <t>NOT_RUN</t>
        </is>
      </c>
      <c r="P745" t="n">
        <v>0</v>
      </c>
      <c r="Q745" t="n">
        <v>744</v>
      </c>
    </row>
    <row r="746">
      <c r="A746" t="n">
        <v>745</v>
      </c>
      <c r="B746" t="inlineStr">
        <is>
          <t>MTR-IOS-0745</t>
        </is>
      </c>
      <c r="C746" t="inlineStr">
        <is>
          <t>iPhone</t>
        </is>
      </c>
      <c r="D746" t="inlineStr">
        <is>
          <t>Personal</t>
        </is>
      </c>
      <c r="E746" t="inlineStr">
        <is>
          <t>Personal</t>
        </is>
      </c>
      <c r="F746" t="inlineStr">
        <is>
          <t>Relationships</t>
        </is>
      </c>
      <c r="G746" t="inlineStr">
        <is>
          <t>Gifts</t>
        </is>
      </c>
      <c r="H746" t="inlineStr">
        <is>
          <t>Personal &gt; Relationships &gt; Quick Add &gt; Gifts</t>
        </is>
      </c>
      <c r="I746" s="18" t="n">
        <v>11141.95</v>
      </c>
      <c r="J746" t="inlineStr">
        <is>
          <t>Created MTR-IOS-0745 and correlation note visible in Activity/Pulse</t>
        </is>
      </c>
      <c r="K746" t="inlineStr">
        <is>
          <t>NOT_RUN</t>
        </is>
      </c>
      <c r="P746" t="n">
        <v>0</v>
      </c>
      <c r="Q746" t="n">
        <v>745</v>
      </c>
    </row>
    <row r="747">
      <c r="A747" t="n">
        <v>746</v>
      </c>
      <c r="B747" t="inlineStr">
        <is>
          <t>MTR-IOS-0746</t>
        </is>
      </c>
      <c r="C747" t="inlineStr">
        <is>
          <t>iPhone</t>
        </is>
      </c>
      <c r="D747" t="inlineStr">
        <is>
          <t>Group</t>
        </is>
      </c>
      <c r="E747" t="inlineStr">
        <is>
          <t>Shared Experience</t>
        </is>
      </c>
      <c r="F747" t="inlineStr">
        <is>
          <t>Office Outing</t>
        </is>
      </c>
      <c r="G747" t="inlineStr">
        <is>
          <t>Activities</t>
        </is>
      </c>
      <c r="H747" t="inlineStr">
        <is>
          <t>Group &gt; Office Outing &gt; Quick Add &gt; Activities</t>
        </is>
      </c>
      <c r="I747" s="18" t="n">
        <v>13181.29</v>
      </c>
      <c r="J747" t="inlineStr">
        <is>
          <t>Created MTR-IOS-0746 and correlation note visible in Activity/Pulse</t>
        </is>
      </c>
      <c r="K747" t="inlineStr">
        <is>
          <t>NOT_RUN</t>
        </is>
      </c>
      <c r="P747" t="n">
        <v>0</v>
      </c>
      <c r="Q747" t="n">
        <v>746</v>
      </c>
    </row>
    <row r="748">
      <c r="A748" t="n">
        <v>747</v>
      </c>
      <c r="B748" t="inlineStr">
        <is>
          <t>MTR-IOS-0747</t>
        </is>
      </c>
      <c r="C748" t="inlineStr">
        <is>
          <t>iPhone</t>
        </is>
      </c>
      <c r="D748" t="inlineStr">
        <is>
          <t>Business</t>
        </is>
      </c>
      <c r="E748" t="inlineStr">
        <is>
          <t>Business</t>
        </is>
      </c>
      <c r="F748" t="inlineStr">
        <is>
          <t>Business Operations</t>
        </is>
      </c>
      <c r="G748" t="inlineStr">
        <is>
          <t>Accounting</t>
        </is>
      </c>
      <c r="H748" t="inlineStr">
        <is>
          <t>Business &gt; Business Operations &gt; Quick Add &gt; Accounting</t>
        </is>
      </c>
      <c r="I748" s="18" t="n">
        <v>36428.09</v>
      </c>
      <c r="J748" t="inlineStr">
        <is>
          <t>Created MTR-IOS-0747 and correlation note visible in Activity/Pulse</t>
        </is>
      </c>
      <c r="K748" t="inlineStr">
        <is>
          <t>NOT_RUN</t>
        </is>
      </c>
      <c r="P748" t="n">
        <v>0</v>
      </c>
      <c r="Q748" t="n">
        <v>747</v>
      </c>
    </row>
    <row r="749">
      <c r="A749" t="n">
        <v>748</v>
      </c>
      <c r="B749" t="inlineStr">
        <is>
          <t>MTR-IOS-0748</t>
        </is>
      </c>
      <c r="C749" t="inlineStr">
        <is>
          <t>iPhone</t>
        </is>
      </c>
      <c r="D749" t="inlineStr">
        <is>
          <t>Personal</t>
        </is>
      </c>
      <c r="E749" t="inlineStr">
        <is>
          <t>Personal</t>
        </is>
      </c>
      <c r="F749" t="inlineStr">
        <is>
          <t>Relationships</t>
        </is>
      </c>
      <c r="G749" t="inlineStr">
        <is>
          <t>Dates</t>
        </is>
      </c>
      <c r="H749" t="inlineStr">
        <is>
          <t>Personal &gt; Relationships &gt; Quick Add &gt; Dates</t>
        </is>
      </c>
      <c r="I749" s="18" t="n">
        <v>12105.01</v>
      </c>
      <c r="J749" t="inlineStr">
        <is>
          <t>Created MTR-IOS-0748 and correlation note visible in Activity/Pulse</t>
        </is>
      </c>
      <c r="K749" t="inlineStr">
        <is>
          <t>NOT_RUN</t>
        </is>
      </c>
      <c r="P749" t="n">
        <v>0</v>
      </c>
      <c r="Q749" t="n">
        <v>748</v>
      </c>
    </row>
    <row r="750">
      <c r="A750" t="n">
        <v>749</v>
      </c>
      <c r="B750" t="inlineStr">
        <is>
          <t>MTR-IOS-0749</t>
        </is>
      </c>
      <c r="C750" t="inlineStr">
        <is>
          <t>iPhone</t>
        </is>
      </c>
      <c r="D750" t="inlineStr">
        <is>
          <t>Group</t>
        </is>
      </c>
      <c r="E750" t="inlineStr">
        <is>
          <t>Shared Experience</t>
        </is>
      </c>
      <c r="F750" t="inlineStr">
        <is>
          <t>Office Outing</t>
        </is>
      </c>
      <c r="G750" t="inlineStr">
        <is>
          <t>Venue</t>
        </is>
      </c>
      <c r="H750" t="inlineStr">
        <is>
          <t>Group &gt; Office Outing &gt; Quick Add &gt; Venue</t>
        </is>
      </c>
      <c r="I750" s="18" t="n">
        <v>26012.96</v>
      </c>
      <c r="J750" t="inlineStr">
        <is>
          <t>Created MTR-IOS-0749 and correlation note visible in Activity/Pulse</t>
        </is>
      </c>
      <c r="K750" t="inlineStr">
        <is>
          <t>NOT_RUN</t>
        </is>
      </c>
      <c r="P750" t="n">
        <v>0</v>
      </c>
      <c r="Q750" t="n">
        <v>749</v>
      </c>
    </row>
    <row r="751">
      <c r="A751" t="n">
        <v>750</v>
      </c>
      <c r="B751" t="inlineStr">
        <is>
          <t>MTR-IOS-0750</t>
        </is>
      </c>
      <c r="C751" t="inlineStr">
        <is>
          <t>iPhone</t>
        </is>
      </c>
      <c r="D751" t="inlineStr">
        <is>
          <t>Business</t>
        </is>
      </c>
      <c r="E751" t="inlineStr">
        <is>
          <t>Business</t>
        </is>
      </c>
      <c r="F751" t="inlineStr">
        <is>
          <t>Business Operations</t>
        </is>
      </c>
      <c r="G751" t="inlineStr">
        <is>
          <t>Equipment</t>
        </is>
      </c>
      <c r="H751" t="inlineStr">
        <is>
          <t>Business &gt; Business Operations &gt; Quick Add &gt; Equipment</t>
        </is>
      </c>
      <c r="I751" s="18" t="n">
        <v>130801.18</v>
      </c>
      <c r="J751" t="inlineStr">
        <is>
          <t>Created MTR-IOS-0750 and correlation note visible in Activity/Pulse</t>
        </is>
      </c>
      <c r="K751" t="inlineStr">
        <is>
          <t>NOT_RUN</t>
        </is>
      </c>
      <c r="P751" t="n">
        <v>0</v>
      </c>
      <c r="Q751" t="n">
        <v>750</v>
      </c>
    </row>
    <row r="752">
      <c r="A752" t="n">
        <v>751</v>
      </c>
      <c r="B752" t="inlineStr">
        <is>
          <t>MTR-IOS-0751</t>
        </is>
      </c>
      <c r="C752" t="inlineStr">
        <is>
          <t>iPhone</t>
        </is>
      </c>
      <c r="D752" t="inlineStr">
        <is>
          <t>Personal</t>
        </is>
      </c>
      <c r="E752" t="inlineStr">
        <is>
          <t>Personal</t>
        </is>
      </c>
      <c r="F752" t="inlineStr">
        <is>
          <t>Relationships</t>
        </is>
      </c>
      <c r="G752" t="inlineStr">
        <is>
          <t>Family</t>
        </is>
      </c>
      <c r="H752" t="inlineStr">
        <is>
          <t>Personal &gt; Relationships &gt; Quick Add &gt; Family</t>
        </is>
      </c>
      <c r="I752" s="18" t="n">
        <v>13321.15</v>
      </c>
      <c r="J752" t="inlineStr">
        <is>
          <t>Created MTR-IOS-0751 and correlation note visible in Activity/Pulse</t>
        </is>
      </c>
      <c r="K752" t="inlineStr">
        <is>
          <t>NOT_RUN</t>
        </is>
      </c>
      <c r="P752" t="n">
        <v>0</v>
      </c>
      <c r="Q752" t="n">
        <v>751</v>
      </c>
    </row>
    <row r="753">
      <c r="A753" t="n">
        <v>752</v>
      </c>
      <c r="B753" t="inlineStr">
        <is>
          <t>MTR-IOS-0752</t>
        </is>
      </c>
      <c r="C753" t="inlineStr">
        <is>
          <t>iPhone</t>
        </is>
      </c>
      <c r="D753" t="inlineStr">
        <is>
          <t>Group</t>
        </is>
      </c>
      <c r="E753" t="inlineStr">
        <is>
          <t>Shared Experience</t>
        </is>
      </c>
      <c r="F753" t="inlineStr">
        <is>
          <t>Office Outing</t>
        </is>
      </c>
      <c r="G753" t="inlineStr">
        <is>
          <t>Other</t>
        </is>
      </c>
      <c r="H753" t="inlineStr">
        <is>
          <t>Group &gt; Office Outing &gt; Quick Add &gt; Other</t>
        </is>
      </c>
      <c r="I753" s="18" t="n">
        <v>20495.83</v>
      </c>
      <c r="J753" t="inlineStr">
        <is>
          <t>Created MTR-IOS-0752 and correlation note visible in Activity/Pulse</t>
        </is>
      </c>
      <c r="K753" t="inlineStr">
        <is>
          <t>NOT_RUN</t>
        </is>
      </c>
      <c r="P753" t="n">
        <v>0</v>
      </c>
      <c r="Q753" t="n">
        <v>752</v>
      </c>
    </row>
    <row r="754">
      <c r="A754" t="n">
        <v>753</v>
      </c>
      <c r="B754" t="inlineStr">
        <is>
          <t>MTR-IOS-0753</t>
        </is>
      </c>
      <c r="C754" t="inlineStr">
        <is>
          <t>iPhone</t>
        </is>
      </c>
      <c r="D754" t="inlineStr">
        <is>
          <t>Business</t>
        </is>
      </c>
      <c r="E754" t="inlineStr">
        <is>
          <t>Business</t>
        </is>
      </c>
      <c r="F754" t="inlineStr">
        <is>
          <t>Business Operations</t>
        </is>
      </c>
      <c r="G754" t="inlineStr">
        <is>
          <t>Vendor</t>
        </is>
      </c>
      <c r="H754" t="inlineStr">
        <is>
          <t>Business &gt; Business Operations &gt; Quick Add &gt; Vendor</t>
        </is>
      </c>
      <c r="I754" s="18" t="n">
        <v>88653.11</v>
      </c>
      <c r="J754" t="inlineStr">
        <is>
          <t>Created MTR-IOS-0753 and correlation note visible in Activity/Pulse</t>
        </is>
      </c>
      <c r="K754" t="inlineStr">
        <is>
          <t>NOT_RUN</t>
        </is>
      </c>
      <c r="P754" t="n">
        <v>0</v>
      </c>
      <c r="Q754" t="n">
        <v>753</v>
      </c>
    </row>
    <row r="755">
      <c r="A755" t="n">
        <v>754</v>
      </c>
      <c r="B755" t="inlineStr">
        <is>
          <t>MTR-IOS-0754</t>
        </is>
      </c>
      <c r="C755" t="inlineStr">
        <is>
          <t>iPhone</t>
        </is>
      </c>
      <c r="D755" t="inlineStr">
        <is>
          <t>Personal</t>
        </is>
      </c>
      <c r="E755" t="inlineStr">
        <is>
          <t>Personal</t>
        </is>
      </c>
      <c r="F755" t="inlineStr">
        <is>
          <t>Relationships</t>
        </is>
      </c>
      <c r="G755" t="inlineStr">
        <is>
          <t>Friends</t>
        </is>
      </c>
      <c r="H755" t="inlineStr">
        <is>
          <t>Personal &gt; Relationships &gt; Quick Add &gt; Friends</t>
        </is>
      </c>
      <c r="I755" s="18" t="n">
        <v>4424.1</v>
      </c>
      <c r="J755" t="inlineStr">
        <is>
          <t>Created MTR-IOS-0754 and correlation note visible in Activity/Pulse</t>
        </is>
      </c>
      <c r="K755" t="inlineStr">
        <is>
          <t>NOT_RUN</t>
        </is>
      </c>
      <c r="P755" t="n">
        <v>0</v>
      </c>
      <c r="Q755" t="n">
        <v>754</v>
      </c>
    </row>
    <row r="756">
      <c r="A756" t="n">
        <v>755</v>
      </c>
      <c r="B756" t="inlineStr">
        <is>
          <t>MTR-IOS-0755</t>
        </is>
      </c>
      <c r="C756" t="inlineStr">
        <is>
          <t>iPhone</t>
        </is>
      </c>
      <c r="D756" t="inlineStr">
        <is>
          <t>Group</t>
        </is>
      </c>
      <c r="E756" t="inlineStr">
        <is>
          <t>Shared Experience</t>
        </is>
      </c>
      <c r="F756" t="inlineStr">
        <is>
          <t>House Party</t>
        </is>
      </c>
      <c r="G756" t="inlineStr">
        <is>
          <t>Food</t>
        </is>
      </c>
      <c r="H756" t="inlineStr">
        <is>
          <t>Group &gt; House Party &gt; Quick Add &gt; Food</t>
        </is>
      </c>
      <c r="I756" s="18" t="n">
        <v>7797.1</v>
      </c>
      <c r="J756" t="inlineStr">
        <is>
          <t>Created MTR-IOS-0755 and correlation note visible in Activity/Pulse</t>
        </is>
      </c>
      <c r="K756" t="inlineStr">
        <is>
          <t>NOT_RUN</t>
        </is>
      </c>
      <c r="P756" t="n">
        <v>0</v>
      </c>
      <c r="Q756" t="n">
        <v>755</v>
      </c>
    </row>
    <row r="757">
      <c r="A757" t="n">
        <v>756</v>
      </c>
      <c r="B757" t="inlineStr">
        <is>
          <t>MTR-IOS-0756</t>
        </is>
      </c>
      <c r="C757" t="inlineStr">
        <is>
          <t>iPhone</t>
        </is>
      </c>
      <c r="D757" t="inlineStr">
        <is>
          <t>Business</t>
        </is>
      </c>
      <c r="E757" t="inlineStr">
        <is>
          <t>Business</t>
        </is>
      </c>
      <c r="F757" t="inlineStr">
        <is>
          <t>Business Operations</t>
        </is>
      </c>
      <c r="G757" t="inlineStr">
        <is>
          <t>Tax</t>
        </is>
      </c>
      <c r="H757" t="inlineStr">
        <is>
          <t>Business &gt; Business Operations &gt; Quick Add &gt; Tax</t>
        </is>
      </c>
      <c r="I757" s="18" t="n">
        <v>38962.46</v>
      </c>
      <c r="J757" t="inlineStr">
        <is>
          <t>Created MTR-IOS-0756 and correlation note visible in Activity/Pulse</t>
        </is>
      </c>
      <c r="K757" t="inlineStr">
        <is>
          <t>NOT_RUN</t>
        </is>
      </c>
      <c r="P757" t="n">
        <v>0</v>
      </c>
      <c r="Q757" t="n">
        <v>756</v>
      </c>
    </row>
    <row r="758">
      <c r="A758" t="n">
        <v>757</v>
      </c>
      <c r="B758" t="inlineStr">
        <is>
          <t>MTR-IOS-0757</t>
        </is>
      </c>
      <c r="C758" t="inlineStr">
        <is>
          <t>iPhone</t>
        </is>
      </c>
      <c r="D758" t="inlineStr">
        <is>
          <t>Personal</t>
        </is>
      </c>
      <c r="E758" t="inlineStr">
        <is>
          <t>Personal</t>
        </is>
      </c>
      <c r="F758" t="inlineStr">
        <is>
          <t>Relationships</t>
        </is>
      </c>
      <c r="G758" t="inlineStr">
        <is>
          <t>Celebrations</t>
        </is>
      </c>
      <c r="H758" t="inlineStr">
        <is>
          <t>Personal &gt; Relationships &gt; Quick Add &gt; Celebrations</t>
        </is>
      </c>
      <c r="I758" s="18" t="n">
        <v>3957.3</v>
      </c>
      <c r="J758" t="inlineStr">
        <is>
          <t>Created MTR-IOS-0757 and correlation note visible in Activity/Pulse</t>
        </is>
      </c>
      <c r="K758" t="inlineStr">
        <is>
          <t>NOT_RUN</t>
        </is>
      </c>
      <c r="P758" t="n">
        <v>0</v>
      </c>
      <c r="Q758" t="n">
        <v>757</v>
      </c>
    </row>
    <row r="759">
      <c r="A759" t="n">
        <v>758</v>
      </c>
      <c r="B759" t="inlineStr">
        <is>
          <t>MTR-IOS-0758</t>
        </is>
      </c>
      <c r="C759" t="inlineStr">
        <is>
          <t>iPhone</t>
        </is>
      </c>
      <c r="D759" t="inlineStr">
        <is>
          <t>Group</t>
        </is>
      </c>
      <c r="E759" t="inlineStr">
        <is>
          <t>Shared Experience</t>
        </is>
      </c>
      <c r="F759" t="inlineStr">
        <is>
          <t>House Party</t>
        </is>
      </c>
      <c r="G759" t="inlineStr">
        <is>
          <t>Drinks</t>
        </is>
      </c>
      <c r="H759" t="inlineStr">
        <is>
          <t>Group &gt; House Party &gt; Quick Add &gt; Drinks</t>
        </is>
      </c>
      <c r="I759" s="18" t="n">
        <v>6832.39</v>
      </c>
      <c r="J759" t="inlineStr">
        <is>
          <t>Created MTR-IOS-0758 and correlation note visible in Activity/Pulse</t>
        </is>
      </c>
      <c r="K759" t="inlineStr">
        <is>
          <t>NOT_RUN</t>
        </is>
      </c>
      <c r="P759" t="n">
        <v>0</v>
      </c>
      <c r="Q759" t="n">
        <v>758</v>
      </c>
    </row>
    <row r="760">
      <c r="A760" t="n">
        <v>759</v>
      </c>
      <c r="B760" t="inlineStr">
        <is>
          <t>MTR-IOS-0759</t>
        </is>
      </c>
      <c r="C760" t="inlineStr">
        <is>
          <t>iPhone</t>
        </is>
      </c>
      <c r="D760" t="inlineStr">
        <is>
          <t>Business</t>
        </is>
      </c>
      <c r="E760" t="inlineStr">
        <is>
          <t>Business</t>
        </is>
      </c>
      <c r="F760" t="inlineStr">
        <is>
          <t>Team Operations</t>
        </is>
      </c>
      <c r="G760" t="inlineStr">
        <is>
          <t>Payroll</t>
        </is>
      </c>
      <c r="H760" t="inlineStr">
        <is>
          <t>Business &gt; Team Operations &gt; Quick Add &gt; Payroll</t>
        </is>
      </c>
      <c r="I760" s="18" t="n">
        <v>20344.27</v>
      </c>
      <c r="J760" t="inlineStr">
        <is>
          <t>Created MTR-IOS-0759 and correlation note visible in Activity/Pulse</t>
        </is>
      </c>
      <c r="K760" t="inlineStr">
        <is>
          <t>NOT_RUN</t>
        </is>
      </c>
      <c r="P760" t="n">
        <v>0</v>
      </c>
      <c r="Q760" t="n">
        <v>759</v>
      </c>
    </row>
    <row r="761">
      <c r="A761" t="n">
        <v>760</v>
      </c>
      <c r="B761" t="inlineStr">
        <is>
          <t>MTR-IOS-0760</t>
        </is>
      </c>
      <c r="C761" t="inlineStr">
        <is>
          <t>iPhone</t>
        </is>
      </c>
      <c r="D761" t="inlineStr">
        <is>
          <t>Personal</t>
        </is>
      </c>
      <c r="E761" t="inlineStr">
        <is>
          <t>Personal</t>
        </is>
      </c>
      <c r="F761" t="inlineStr">
        <is>
          <t>Life Operations</t>
        </is>
      </c>
      <c r="G761" t="inlineStr">
        <is>
          <t>Groceries</t>
        </is>
      </c>
      <c r="H761" t="inlineStr">
        <is>
          <t>Personal &gt; Life Operations &gt; Quick Add &gt; Groceries</t>
        </is>
      </c>
      <c r="I761" s="18" t="n">
        <v>12032.67</v>
      </c>
      <c r="J761" t="inlineStr">
        <is>
          <t>Created MTR-IOS-0760 and correlation note visible in Activity/Pulse</t>
        </is>
      </c>
      <c r="K761" t="inlineStr">
        <is>
          <t>NOT_RUN</t>
        </is>
      </c>
      <c r="P761" t="n">
        <v>0</v>
      </c>
      <c r="Q761" t="n">
        <v>760</v>
      </c>
    </row>
    <row r="762">
      <c r="A762" t="n">
        <v>761</v>
      </c>
      <c r="B762" t="inlineStr">
        <is>
          <t>MTR-IOS-0761</t>
        </is>
      </c>
      <c r="C762" t="inlineStr">
        <is>
          <t>iPhone</t>
        </is>
      </c>
      <c r="D762" t="inlineStr">
        <is>
          <t>Group</t>
        </is>
      </c>
      <c r="E762" t="inlineStr">
        <is>
          <t>Shared Experience</t>
        </is>
      </c>
      <c r="F762" t="inlineStr">
        <is>
          <t>House Party</t>
        </is>
      </c>
      <c r="G762" t="inlineStr">
        <is>
          <t>Decor</t>
        </is>
      </c>
      <c r="H762" t="inlineStr">
        <is>
          <t>Group &gt; House Party &gt; Quick Add &gt; Decor</t>
        </is>
      </c>
      <c r="I762" s="18" t="n">
        <v>8485.51</v>
      </c>
      <c r="J762" t="inlineStr">
        <is>
          <t>Created MTR-IOS-0761 and correlation note visible in Activity/Pulse</t>
        </is>
      </c>
      <c r="K762" t="inlineStr">
        <is>
          <t>NOT_RUN</t>
        </is>
      </c>
      <c r="P762" t="n">
        <v>0</v>
      </c>
      <c r="Q762" t="n">
        <v>761</v>
      </c>
    </row>
    <row r="763">
      <c r="A763" t="n">
        <v>762</v>
      </c>
      <c r="B763" t="inlineStr">
        <is>
          <t>MTR-IOS-0762</t>
        </is>
      </c>
      <c r="C763" t="inlineStr">
        <is>
          <t>iPhone</t>
        </is>
      </c>
      <c r="D763" t="inlineStr">
        <is>
          <t>Business</t>
        </is>
      </c>
      <c r="E763" t="inlineStr">
        <is>
          <t>Business</t>
        </is>
      </c>
      <c r="F763" t="inlineStr">
        <is>
          <t>Team Operations</t>
        </is>
      </c>
      <c r="G763" t="inlineStr">
        <is>
          <t>Contractor</t>
        </is>
      </c>
      <c r="H763" t="inlineStr">
        <is>
          <t>Business &gt; Team Operations &gt; Quick Add &gt; Contractor</t>
        </is>
      </c>
      <c r="I763" s="18" t="n">
        <v>159498.48</v>
      </c>
      <c r="J763" t="inlineStr">
        <is>
          <t>Created MTR-IOS-0762 and correlation note visible in Activity/Pulse</t>
        </is>
      </c>
      <c r="K763" t="inlineStr">
        <is>
          <t>NOT_RUN</t>
        </is>
      </c>
      <c r="P763" t="n">
        <v>0</v>
      </c>
      <c r="Q763" t="n">
        <v>762</v>
      </c>
    </row>
    <row r="764">
      <c r="A764" t="n">
        <v>763</v>
      </c>
      <c r="B764" t="inlineStr">
        <is>
          <t>MTR-IOS-0763</t>
        </is>
      </c>
      <c r="C764" t="inlineStr">
        <is>
          <t>iPhone</t>
        </is>
      </c>
      <c r="D764" t="inlineStr">
        <is>
          <t>Personal</t>
        </is>
      </c>
      <c r="E764" t="inlineStr">
        <is>
          <t>Personal</t>
        </is>
      </c>
      <c r="F764" t="inlineStr">
        <is>
          <t>Life Operations</t>
        </is>
      </c>
      <c r="G764" t="inlineStr">
        <is>
          <t>Rent</t>
        </is>
      </c>
      <c r="H764" t="inlineStr">
        <is>
          <t>Personal &gt; Life Operations &gt; Quick Add &gt; Rent</t>
        </is>
      </c>
      <c r="I764" s="18" t="n">
        <v>16501.95</v>
      </c>
      <c r="J764" t="inlineStr">
        <is>
          <t>Created MTR-IOS-0763 and correlation note visible in Activity/Pulse</t>
        </is>
      </c>
      <c r="K764" t="inlineStr">
        <is>
          <t>NOT_RUN</t>
        </is>
      </c>
      <c r="P764" t="n">
        <v>0</v>
      </c>
      <c r="Q764" t="n">
        <v>763</v>
      </c>
    </row>
    <row r="765">
      <c r="A765" t="n">
        <v>764</v>
      </c>
      <c r="B765" t="inlineStr">
        <is>
          <t>MTR-IOS-0764</t>
        </is>
      </c>
      <c r="C765" t="inlineStr">
        <is>
          <t>iPhone</t>
        </is>
      </c>
      <c r="D765" t="inlineStr">
        <is>
          <t>Group</t>
        </is>
      </c>
      <c r="E765" t="inlineStr">
        <is>
          <t>Shared Experience</t>
        </is>
      </c>
      <c r="F765" t="inlineStr">
        <is>
          <t>House Party</t>
        </is>
      </c>
      <c r="G765" t="inlineStr">
        <is>
          <t>Supplies</t>
        </is>
      </c>
      <c r="H765" t="inlineStr">
        <is>
          <t>Group &gt; House Party &gt; Quick Add &gt; Supplies</t>
        </is>
      </c>
      <c r="I765" s="18" t="n">
        <v>21912.19</v>
      </c>
      <c r="J765" t="inlineStr">
        <is>
          <t>Created MTR-IOS-0764 and correlation note visible in Activity/Pulse</t>
        </is>
      </c>
      <c r="K765" t="inlineStr">
        <is>
          <t>NOT_RUN</t>
        </is>
      </c>
      <c r="P765" t="n">
        <v>0</v>
      </c>
      <c r="Q765" t="n">
        <v>764</v>
      </c>
    </row>
    <row r="766">
      <c r="A766" t="n">
        <v>765</v>
      </c>
      <c r="B766" t="inlineStr">
        <is>
          <t>MTR-IOS-0765</t>
        </is>
      </c>
      <c r="C766" t="inlineStr">
        <is>
          <t>iPhone</t>
        </is>
      </c>
      <c r="D766" t="inlineStr">
        <is>
          <t>Business</t>
        </is>
      </c>
      <c r="E766" t="inlineStr">
        <is>
          <t>Business</t>
        </is>
      </c>
      <c r="F766" t="inlineStr">
        <is>
          <t>Team Operations</t>
        </is>
      </c>
      <c r="G766" t="inlineStr">
        <is>
          <t>Hiring</t>
        </is>
      </c>
      <c r="H766" t="inlineStr">
        <is>
          <t>Business &gt; Team Operations &gt; Quick Add &gt; Hiring</t>
        </is>
      </c>
      <c r="I766" s="18" t="n">
        <v>110345.2</v>
      </c>
      <c r="J766" t="inlineStr">
        <is>
          <t>Created MTR-IOS-0765 and correlation note visible in Activity/Pulse</t>
        </is>
      </c>
      <c r="K766" t="inlineStr">
        <is>
          <t>NOT_RUN</t>
        </is>
      </c>
      <c r="P766" t="n">
        <v>0</v>
      </c>
      <c r="Q766" t="n">
        <v>765</v>
      </c>
    </row>
    <row r="767">
      <c r="A767" t="n">
        <v>766</v>
      </c>
      <c r="B767" t="inlineStr">
        <is>
          <t>MTR-IOS-0766</t>
        </is>
      </c>
      <c r="C767" t="inlineStr">
        <is>
          <t>iPhone</t>
        </is>
      </c>
      <c r="D767" t="inlineStr">
        <is>
          <t>Personal</t>
        </is>
      </c>
      <c r="E767" t="inlineStr">
        <is>
          <t>Personal</t>
        </is>
      </c>
      <c r="F767" t="inlineStr">
        <is>
          <t>Life Operations</t>
        </is>
      </c>
      <c r="G767" t="inlineStr">
        <is>
          <t>Bills</t>
        </is>
      </c>
      <c r="H767" t="inlineStr">
        <is>
          <t>Personal &gt; Life Operations &gt; Quick Add &gt; Bills</t>
        </is>
      </c>
      <c r="I767" s="18" t="n">
        <v>10565.17</v>
      </c>
      <c r="J767" t="inlineStr">
        <is>
          <t>Created MTR-IOS-0766 and correlation note visible in Activity/Pulse</t>
        </is>
      </c>
      <c r="K767" t="inlineStr">
        <is>
          <t>NOT_RUN</t>
        </is>
      </c>
      <c r="P767" t="n">
        <v>0</v>
      </c>
      <c r="Q767" t="n">
        <v>766</v>
      </c>
    </row>
    <row r="768">
      <c r="A768" t="n">
        <v>767</v>
      </c>
      <c r="B768" t="inlineStr">
        <is>
          <t>MTR-IOS-0767</t>
        </is>
      </c>
      <c r="C768" t="inlineStr">
        <is>
          <t>iPhone</t>
        </is>
      </c>
      <c r="D768" t="inlineStr">
        <is>
          <t>Group</t>
        </is>
      </c>
      <c r="E768" t="inlineStr">
        <is>
          <t>Shared Experience</t>
        </is>
      </c>
      <c r="F768" t="inlineStr">
        <is>
          <t>House Party</t>
        </is>
      </c>
      <c r="G768" t="inlineStr">
        <is>
          <t>Other</t>
        </is>
      </c>
      <c r="H768" t="inlineStr">
        <is>
          <t>Group &gt; House Party &gt; Quick Add &gt; Other</t>
        </is>
      </c>
      <c r="I768" s="18" t="n">
        <v>18929.96</v>
      </c>
      <c r="J768" t="inlineStr">
        <is>
          <t>Created MTR-IOS-0767 and correlation note visible in Activity/Pulse</t>
        </is>
      </c>
      <c r="K768" t="inlineStr">
        <is>
          <t>NOT_RUN</t>
        </is>
      </c>
      <c r="P768" t="n">
        <v>0</v>
      </c>
      <c r="Q768" t="n">
        <v>767</v>
      </c>
    </row>
    <row r="769">
      <c r="A769" t="n">
        <v>768</v>
      </c>
      <c r="B769" t="inlineStr">
        <is>
          <t>MTR-IOS-0768</t>
        </is>
      </c>
      <c r="C769" t="inlineStr">
        <is>
          <t>iPhone</t>
        </is>
      </c>
      <c r="D769" t="inlineStr">
        <is>
          <t>Business</t>
        </is>
      </c>
      <c r="E769" t="inlineStr">
        <is>
          <t>Business</t>
        </is>
      </c>
      <c r="F769" t="inlineStr">
        <is>
          <t>Team Operations</t>
        </is>
      </c>
      <c r="G769" t="inlineStr">
        <is>
          <t>Team Meal</t>
        </is>
      </c>
      <c r="H769" t="inlineStr">
        <is>
          <t>Business &gt; Team Operations &gt; Quick Add &gt; Team Meal</t>
        </is>
      </c>
      <c r="I769" s="18" t="n">
        <v>14333.34</v>
      </c>
      <c r="J769" t="inlineStr">
        <is>
          <t>Created MTR-IOS-0768 and correlation note visible in Activity/Pulse</t>
        </is>
      </c>
      <c r="K769" t="inlineStr">
        <is>
          <t>NOT_RUN</t>
        </is>
      </c>
      <c r="P769" t="n">
        <v>0</v>
      </c>
      <c r="Q769" t="n">
        <v>768</v>
      </c>
    </row>
    <row r="770">
      <c r="A770" t="n">
        <v>769</v>
      </c>
      <c r="B770" t="inlineStr">
        <is>
          <t>MTR-IOS-0769</t>
        </is>
      </c>
      <c r="C770" t="inlineStr">
        <is>
          <t>iPhone</t>
        </is>
      </c>
      <c r="D770" t="inlineStr">
        <is>
          <t>Personal</t>
        </is>
      </c>
      <c r="E770" t="inlineStr">
        <is>
          <t>Personal</t>
        </is>
      </c>
      <c r="F770" t="inlineStr">
        <is>
          <t>Life Operations</t>
        </is>
      </c>
      <c r="G770" t="inlineStr">
        <is>
          <t>Transport</t>
        </is>
      </c>
      <c r="H770" t="inlineStr">
        <is>
          <t>Personal &gt; Life Operations &gt; Quick Add &gt; Transport</t>
        </is>
      </c>
      <c r="I770" s="18" t="n">
        <v>369.1</v>
      </c>
      <c r="J770" t="inlineStr">
        <is>
          <t>Created MTR-IOS-0769 and correlation note visible in Activity/Pulse</t>
        </is>
      </c>
      <c r="K770" t="inlineStr">
        <is>
          <t>NOT_RUN</t>
        </is>
      </c>
      <c r="P770" t="n">
        <v>0</v>
      </c>
      <c r="Q770" t="n">
        <v>769</v>
      </c>
    </row>
    <row r="771">
      <c r="A771" t="n">
        <v>770</v>
      </c>
      <c r="B771" t="inlineStr">
        <is>
          <t>MTR-IOS-0770</t>
        </is>
      </c>
      <c r="C771" t="inlineStr">
        <is>
          <t>iPhone</t>
        </is>
      </c>
      <c r="D771" t="inlineStr">
        <is>
          <t>Group</t>
        </is>
      </c>
      <c r="E771" t="inlineStr">
        <is>
          <t>Shared Purchase</t>
        </is>
      </c>
      <c r="F771" t="inlineStr">
        <is>
          <t>Gift Pool</t>
        </is>
      </c>
      <c r="G771" t="inlineStr">
        <is>
          <t>Contribution</t>
        </is>
      </c>
      <c r="H771" t="inlineStr">
        <is>
          <t>Group &gt; Gift Pool &gt; Quick Add &gt; Contribution</t>
        </is>
      </c>
      <c r="I771" s="18" t="n">
        <v>10416.83</v>
      </c>
      <c r="J771" t="inlineStr">
        <is>
          <t>Created MTR-IOS-0770 and correlation note visible in Activity/Pulse</t>
        </is>
      </c>
      <c r="K771" t="inlineStr">
        <is>
          <t>NOT_RUN</t>
        </is>
      </c>
      <c r="P771" t="n">
        <v>0</v>
      </c>
      <c r="Q771" t="n">
        <v>770</v>
      </c>
    </row>
    <row r="772">
      <c r="A772" t="n">
        <v>771</v>
      </c>
      <c r="B772" t="inlineStr">
        <is>
          <t>MTR-IOS-0771</t>
        </is>
      </c>
      <c r="C772" t="inlineStr">
        <is>
          <t>iPhone</t>
        </is>
      </c>
      <c r="D772" t="inlineStr">
        <is>
          <t>Business</t>
        </is>
      </c>
      <c r="E772" t="inlineStr">
        <is>
          <t>Business</t>
        </is>
      </c>
      <c r="F772" t="inlineStr">
        <is>
          <t>Team Operations</t>
        </is>
      </c>
      <c r="G772" t="inlineStr">
        <is>
          <t>Travel</t>
        </is>
      </c>
      <c r="H772" t="inlineStr">
        <is>
          <t>Business &gt; Team Operations &gt; Quick Add &gt; Travel</t>
        </is>
      </c>
      <c r="I772" s="18" t="n">
        <v>33055.13</v>
      </c>
      <c r="J772" t="inlineStr">
        <is>
          <t>Created MTR-IOS-0771 and correlation note visible in Activity/Pulse</t>
        </is>
      </c>
      <c r="K772" t="inlineStr">
        <is>
          <t>NOT_RUN</t>
        </is>
      </c>
      <c r="P772" t="n">
        <v>0</v>
      </c>
      <c r="Q772" t="n">
        <v>771</v>
      </c>
    </row>
    <row r="773">
      <c r="A773" t="n">
        <v>772</v>
      </c>
      <c r="B773" t="inlineStr">
        <is>
          <t>MTR-IOS-0772</t>
        </is>
      </c>
      <c r="C773" t="inlineStr">
        <is>
          <t>iPhone</t>
        </is>
      </c>
      <c r="D773" t="inlineStr">
        <is>
          <t>Personal</t>
        </is>
      </c>
      <c r="E773" t="inlineStr">
        <is>
          <t>Personal</t>
        </is>
      </c>
      <c r="F773" t="inlineStr">
        <is>
          <t>Life Operations</t>
        </is>
      </c>
      <c r="G773" t="inlineStr">
        <is>
          <t>Healthcare</t>
        </is>
      </c>
      <c r="H773" t="inlineStr">
        <is>
          <t>Personal &gt; Life Operations &gt; Quick Add &gt; Healthcare</t>
        </is>
      </c>
      <c r="I773" s="18" t="n">
        <v>2093.23</v>
      </c>
      <c r="J773" t="inlineStr">
        <is>
          <t>Created MTR-IOS-0772 and correlation note visible in Activity/Pulse</t>
        </is>
      </c>
      <c r="K773" t="inlineStr">
        <is>
          <t>NOT_RUN</t>
        </is>
      </c>
      <c r="P773" t="n">
        <v>0</v>
      </c>
      <c r="Q773" t="n">
        <v>772</v>
      </c>
    </row>
    <row r="774">
      <c r="A774" t="n">
        <v>773</v>
      </c>
      <c r="B774" t="inlineStr">
        <is>
          <t>MTR-IOS-0773</t>
        </is>
      </c>
      <c r="C774" t="inlineStr">
        <is>
          <t>iPhone</t>
        </is>
      </c>
      <c r="D774" t="inlineStr">
        <is>
          <t>Group</t>
        </is>
      </c>
      <c r="E774" t="inlineStr">
        <is>
          <t>Shared Purchase</t>
        </is>
      </c>
      <c r="F774" t="inlineStr">
        <is>
          <t>Gift Pool</t>
        </is>
      </c>
      <c r="G774" t="inlineStr">
        <is>
          <t>Gift Purchase</t>
        </is>
      </c>
      <c r="H774" t="inlineStr">
        <is>
          <t>Group &gt; Gift Pool &gt; Quick Add &gt; Gift Purchase</t>
        </is>
      </c>
      <c r="I774" s="18" t="n">
        <v>11289.5</v>
      </c>
      <c r="J774" t="inlineStr">
        <is>
          <t>Created MTR-IOS-0773 and correlation note visible in Activity/Pulse</t>
        </is>
      </c>
      <c r="K774" t="inlineStr">
        <is>
          <t>NOT_RUN</t>
        </is>
      </c>
      <c r="P774" t="n">
        <v>0</v>
      </c>
      <c r="Q774" t="n">
        <v>773</v>
      </c>
    </row>
    <row r="775">
      <c r="A775" t="n">
        <v>774</v>
      </c>
      <c r="B775" t="inlineStr">
        <is>
          <t>MTR-IOS-0774</t>
        </is>
      </c>
      <c r="C775" t="inlineStr">
        <is>
          <t>iPhone</t>
        </is>
      </c>
      <c r="D775" t="inlineStr">
        <is>
          <t>Business</t>
        </is>
      </c>
      <c r="E775" t="inlineStr">
        <is>
          <t>Business</t>
        </is>
      </c>
      <c r="F775" t="inlineStr">
        <is>
          <t>Team Operations</t>
        </is>
      </c>
      <c r="G775" t="inlineStr">
        <is>
          <t>Training</t>
        </is>
      </c>
      <c r="H775" t="inlineStr">
        <is>
          <t>Business &gt; Team Operations &gt; Quick Add &gt; Training</t>
        </is>
      </c>
      <c r="I775" s="18" t="n">
        <v>31651.66</v>
      </c>
      <c r="J775" t="inlineStr">
        <is>
          <t>Created MTR-IOS-0774 and correlation note visible in Activity/Pulse</t>
        </is>
      </c>
      <c r="K775" t="inlineStr">
        <is>
          <t>NOT_RUN</t>
        </is>
      </c>
      <c r="P775" t="n">
        <v>0</v>
      </c>
      <c r="Q775" t="n">
        <v>774</v>
      </c>
    </row>
    <row r="776">
      <c r="A776" t="n">
        <v>775</v>
      </c>
      <c r="B776" t="inlineStr">
        <is>
          <t>MTR-IOS-0775</t>
        </is>
      </c>
      <c r="C776" t="inlineStr">
        <is>
          <t>iPhone</t>
        </is>
      </c>
      <c r="D776" t="inlineStr">
        <is>
          <t>Personal</t>
        </is>
      </c>
      <c r="E776" t="inlineStr">
        <is>
          <t>Personal</t>
        </is>
      </c>
      <c r="F776" t="inlineStr">
        <is>
          <t>Life Operations</t>
        </is>
      </c>
      <c r="G776" t="inlineStr">
        <is>
          <t>Subscriptions</t>
        </is>
      </c>
      <c r="H776" t="inlineStr">
        <is>
          <t>Personal &gt; Life Operations &gt; Quick Add &gt; Subscriptions</t>
        </is>
      </c>
      <c r="I776" s="18" t="n">
        <v>3612.25</v>
      </c>
      <c r="J776" t="inlineStr">
        <is>
          <t>Created MTR-IOS-0775 and correlation note visible in Activity/Pulse</t>
        </is>
      </c>
      <c r="K776" t="inlineStr">
        <is>
          <t>NOT_RUN</t>
        </is>
      </c>
      <c r="P776" t="n">
        <v>0</v>
      </c>
      <c r="Q776" t="n">
        <v>775</v>
      </c>
    </row>
    <row r="777">
      <c r="A777" t="n">
        <v>776</v>
      </c>
      <c r="B777" t="inlineStr">
        <is>
          <t>MTR-IOS-0776</t>
        </is>
      </c>
      <c r="C777" t="inlineStr">
        <is>
          <t>iPhone</t>
        </is>
      </c>
      <c r="D777" t="inlineStr">
        <is>
          <t>Group</t>
        </is>
      </c>
      <c r="E777" t="inlineStr">
        <is>
          <t>Shared Purchase</t>
        </is>
      </c>
      <c r="F777" t="inlineStr">
        <is>
          <t>Gift Pool</t>
        </is>
      </c>
      <c r="G777" t="inlineStr">
        <is>
          <t>Delivery</t>
        </is>
      </c>
      <c r="H777" t="inlineStr">
        <is>
          <t>Group &gt; Gift Pool &gt; Quick Add &gt; Delivery</t>
        </is>
      </c>
      <c r="I777" s="18" t="n">
        <v>24822.71</v>
      </c>
      <c r="J777" t="inlineStr">
        <is>
          <t>Created MTR-IOS-0776 and correlation note visible in Activity/Pulse</t>
        </is>
      </c>
      <c r="K777" t="inlineStr">
        <is>
          <t>NOT_RUN</t>
        </is>
      </c>
      <c r="P777" t="n">
        <v>0</v>
      </c>
      <c r="Q777" t="n">
        <v>776</v>
      </c>
    </row>
    <row r="778">
      <c r="A778" t="n">
        <v>777</v>
      </c>
      <c r="B778" t="inlineStr">
        <is>
          <t>MTR-IOS-0777</t>
        </is>
      </c>
      <c r="C778" t="inlineStr">
        <is>
          <t>iPhone</t>
        </is>
      </c>
      <c r="D778" t="inlineStr">
        <is>
          <t>Business</t>
        </is>
      </c>
      <c r="E778" t="inlineStr">
        <is>
          <t>Business</t>
        </is>
      </c>
      <c r="F778" t="inlineStr">
        <is>
          <t>Team Operations</t>
        </is>
      </c>
      <c r="G778" t="inlineStr">
        <is>
          <t>Tools</t>
        </is>
      </c>
      <c r="H778" t="inlineStr">
        <is>
          <t>Business &gt; Team Operations &gt; Quick Add &gt; Tools</t>
        </is>
      </c>
      <c r="I778" s="18" t="n">
        <v>100</v>
      </c>
      <c r="J778" t="inlineStr">
        <is>
          <t>Created MTR-IOS-0777 and correlation note visible in Activity/Pulse</t>
        </is>
      </c>
      <c r="K778" t="inlineStr">
        <is>
          <t>NOT_RUN</t>
        </is>
      </c>
      <c r="P778" t="n">
        <v>0</v>
      </c>
      <c r="Q778" t="n">
        <v>777</v>
      </c>
    </row>
    <row r="779">
      <c r="A779" t="n">
        <v>778</v>
      </c>
      <c r="B779" t="inlineStr">
        <is>
          <t>MTR-IOS-0778</t>
        </is>
      </c>
      <c r="C779" t="inlineStr">
        <is>
          <t>iPhone</t>
        </is>
      </c>
      <c r="D779" t="inlineStr">
        <is>
          <t>Personal</t>
        </is>
      </c>
      <c r="E779" t="inlineStr">
        <is>
          <t>Personal</t>
        </is>
      </c>
      <c r="F779" t="inlineStr">
        <is>
          <t>Life Operations</t>
        </is>
      </c>
      <c r="G779" t="inlineStr">
        <is>
          <t>Repairs</t>
        </is>
      </c>
      <c r="H779" t="inlineStr">
        <is>
          <t>Personal &gt; Life Operations &gt; Quick Add &gt; Repairs</t>
        </is>
      </c>
      <c r="I779" s="18" t="n">
        <v>6444.01</v>
      </c>
      <c r="J779" t="inlineStr">
        <is>
          <t>Created MTR-IOS-0778 and correlation note visible in Activity/Pulse</t>
        </is>
      </c>
      <c r="K779" t="inlineStr">
        <is>
          <t>NOT_RUN</t>
        </is>
      </c>
      <c r="P779" t="n">
        <v>0</v>
      </c>
      <c r="Q779" t="n">
        <v>778</v>
      </c>
    </row>
    <row r="780">
      <c r="A780" t="n">
        <v>779</v>
      </c>
      <c r="B780" t="inlineStr">
        <is>
          <t>MTR-IOS-0779</t>
        </is>
      </c>
      <c r="C780" t="inlineStr">
        <is>
          <t>iPhone</t>
        </is>
      </c>
      <c r="D780" t="inlineStr">
        <is>
          <t>Group</t>
        </is>
      </c>
      <c r="E780" t="inlineStr">
        <is>
          <t>Shared Purchase</t>
        </is>
      </c>
      <c r="F780" t="inlineStr">
        <is>
          <t>Gift Pool</t>
        </is>
      </c>
      <c r="G780" t="inlineStr">
        <is>
          <t>Other</t>
        </is>
      </c>
      <c r="H780" t="inlineStr">
        <is>
          <t>Group &gt; Gift Pool &gt; Quick Add &gt; Other</t>
        </is>
      </c>
      <c r="I780" s="18" t="n">
        <v>7709.54</v>
      </c>
      <c r="J780" t="inlineStr">
        <is>
          <t>Created MTR-IOS-0779 and correlation note visible in Activity/Pulse</t>
        </is>
      </c>
      <c r="K780" t="inlineStr">
        <is>
          <t>NOT_RUN</t>
        </is>
      </c>
      <c r="P780" t="n">
        <v>0</v>
      </c>
      <c r="Q780" t="n">
        <v>779</v>
      </c>
    </row>
    <row r="781">
      <c r="A781" t="n">
        <v>780</v>
      </c>
      <c r="B781" t="inlineStr">
        <is>
          <t>MTR-IOS-0780</t>
        </is>
      </c>
      <c r="C781" t="inlineStr">
        <is>
          <t>iPhone</t>
        </is>
      </c>
      <c r="D781" t="inlineStr">
        <is>
          <t>Business</t>
        </is>
      </c>
      <c r="E781" t="inlineStr">
        <is>
          <t>Business</t>
        </is>
      </c>
      <c r="F781" t="inlineStr">
        <is>
          <t>Business Runway</t>
        </is>
      </c>
      <c r="G781" t="inlineStr">
        <is>
          <t>Funding</t>
        </is>
      </c>
      <c r="H781" t="inlineStr">
        <is>
          <t>Business &gt; Business Runway &gt; Quick Add &gt; Funding</t>
        </is>
      </c>
      <c r="I781" s="18" t="n">
        <v>87031.49000000001</v>
      </c>
      <c r="J781" t="inlineStr">
        <is>
          <t>Created MTR-IOS-0780 and correlation note visible in Activity/Pulse</t>
        </is>
      </c>
      <c r="K781" t="inlineStr">
        <is>
          <t>NOT_RUN</t>
        </is>
      </c>
      <c r="P781" t="n">
        <v>0</v>
      </c>
      <c r="Q781" t="n">
        <v>780</v>
      </c>
    </row>
    <row r="782">
      <c r="A782" t="n">
        <v>781</v>
      </c>
      <c r="B782" t="inlineStr">
        <is>
          <t>MTR-IOS-0781</t>
        </is>
      </c>
      <c r="C782" t="inlineStr">
        <is>
          <t>iPhone</t>
        </is>
      </c>
      <c r="D782" t="inlineStr">
        <is>
          <t>Personal</t>
        </is>
      </c>
      <c r="E782" t="inlineStr">
        <is>
          <t>Personal</t>
        </is>
      </c>
      <c r="F782" t="inlineStr">
        <is>
          <t>Future Building</t>
        </is>
      </c>
      <c r="G782" t="inlineStr">
        <is>
          <t>Savings</t>
        </is>
      </c>
      <c r="H782" t="inlineStr">
        <is>
          <t>Personal &gt; Future Building &gt; Quick Add &gt; Savings</t>
        </is>
      </c>
      <c r="I782" s="18" t="n">
        <v>6472.44</v>
      </c>
      <c r="J782" t="inlineStr">
        <is>
          <t>Created MTR-IOS-0781 and correlation note visible in Activity/Pulse</t>
        </is>
      </c>
      <c r="K782" t="inlineStr">
        <is>
          <t>NOT_RUN</t>
        </is>
      </c>
      <c r="P782" t="n">
        <v>0</v>
      </c>
      <c r="Q782" t="n">
        <v>781</v>
      </c>
    </row>
    <row r="783">
      <c r="A783" t="n">
        <v>782</v>
      </c>
      <c r="B783" t="inlineStr">
        <is>
          <t>MTR-IOS-0782</t>
        </is>
      </c>
      <c r="C783" t="inlineStr">
        <is>
          <t>iPhone</t>
        </is>
      </c>
      <c r="D783" t="inlineStr">
        <is>
          <t>Group</t>
        </is>
      </c>
      <c r="E783" t="inlineStr">
        <is>
          <t>Shared Purchase</t>
        </is>
      </c>
      <c r="F783" t="inlineStr">
        <is>
          <t>Purchase</t>
        </is>
      </c>
      <c r="G783" t="inlineStr">
        <is>
          <t>Item</t>
        </is>
      </c>
      <c r="H783" t="inlineStr">
        <is>
          <t>Group &gt; Purchase &gt; Quick Add &gt; Item</t>
        </is>
      </c>
      <c r="I783" s="18" t="n">
        <v>11275.21</v>
      </c>
      <c r="J783" t="inlineStr">
        <is>
          <t>Created MTR-IOS-0782 and correlation note visible in Activity/Pulse</t>
        </is>
      </c>
      <c r="K783" t="inlineStr">
        <is>
          <t>NOT_RUN</t>
        </is>
      </c>
      <c r="P783" t="n">
        <v>0</v>
      </c>
      <c r="Q783" t="n">
        <v>782</v>
      </c>
    </row>
    <row r="784">
      <c r="A784" t="n">
        <v>783</v>
      </c>
      <c r="B784" t="inlineStr">
        <is>
          <t>MTR-IOS-0783</t>
        </is>
      </c>
      <c r="C784" t="inlineStr">
        <is>
          <t>iPhone</t>
        </is>
      </c>
      <c r="D784" t="inlineStr">
        <is>
          <t>Business</t>
        </is>
      </c>
      <c r="E784" t="inlineStr">
        <is>
          <t>Business</t>
        </is>
      </c>
      <c r="F784" t="inlineStr">
        <is>
          <t>Business Runway</t>
        </is>
      </c>
      <c r="G784" t="inlineStr">
        <is>
          <t>Revenue</t>
        </is>
      </c>
      <c r="H784" t="inlineStr">
        <is>
          <t>Business &gt; Business Runway &gt; Quick Add &gt; Revenue</t>
        </is>
      </c>
      <c r="I784" s="18" t="n">
        <v>131720.98</v>
      </c>
      <c r="J784" t="inlineStr">
        <is>
          <t>Created MTR-IOS-0783 and correlation note visible in Activity/Pulse</t>
        </is>
      </c>
      <c r="K784" t="inlineStr">
        <is>
          <t>NOT_RUN</t>
        </is>
      </c>
      <c r="P784" t="n">
        <v>0</v>
      </c>
      <c r="Q784" t="n">
        <v>783</v>
      </c>
    </row>
    <row r="785">
      <c r="A785" t="n">
        <v>784</v>
      </c>
      <c r="B785" t="inlineStr">
        <is>
          <t>MTR-IOS-0784</t>
        </is>
      </c>
      <c r="C785" t="inlineStr">
        <is>
          <t>iPhone</t>
        </is>
      </c>
      <c r="D785" t="inlineStr">
        <is>
          <t>Personal</t>
        </is>
      </c>
      <c r="E785" t="inlineStr">
        <is>
          <t>Personal</t>
        </is>
      </c>
      <c r="F785" t="inlineStr">
        <is>
          <t>Future Building</t>
        </is>
      </c>
      <c r="G785" t="inlineStr">
        <is>
          <t>Emergency Fund</t>
        </is>
      </c>
      <c r="H785" t="inlineStr">
        <is>
          <t>Personal &gt; Future Building &gt; Quick Add &gt; Emergency Fund</t>
        </is>
      </c>
      <c r="I785" s="18" t="n">
        <v>4880.59</v>
      </c>
      <c r="J785" t="inlineStr">
        <is>
          <t>Created MTR-IOS-0784 and correlation note visible in Activity/Pulse</t>
        </is>
      </c>
      <c r="K785" t="inlineStr">
        <is>
          <t>NOT_RUN</t>
        </is>
      </c>
      <c r="P785" t="n">
        <v>0</v>
      </c>
      <c r="Q785" t="n">
        <v>784</v>
      </c>
    </row>
    <row r="786">
      <c r="A786" t="n">
        <v>785</v>
      </c>
      <c r="B786" t="inlineStr">
        <is>
          <t>MTR-IOS-0785</t>
        </is>
      </c>
      <c r="C786" t="inlineStr">
        <is>
          <t>iPhone</t>
        </is>
      </c>
      <c r="D786" t="inlineStr">
        <is>
          <t>Group</t>
        </is>
      </c>
      <c r="E786" t="inlineStr">
        <is>
          <t>Shared Purchase</t>
        </is>
      </c>
      <c r="F786" t="inlineStr">
        <is>
          <t>Purchase</t>
        </is>
      </c>
      <c r="G786" t="inlineStr">
        <is>
          <t>Shipping</t>
        </is>
      </c>
      <c r="H786" t="inlineStr">
        <is>
          <t>Group &gt; Purchase &gt; Quick Add &gt; Shipping</t>
        </is>
      </c>
      <c r="I786" s="18" t="n">
        <v>5403.62</v>
      </c>
      <c r="J786" t="inlineStr">
        <is>
          <t>Created MTR-IOS-0785 and correlation note visible in Activity/Pulse</t>
        </is>
      </c>
      <c r="K786" t="inlineStr">
        <is>
          <t>NOT_RUN</t>
        </is>
      </c>
      <c r="P786" t="n">
        <v>0</v>
      </c>
      <c r="Q786" t="n">
        <v>785</v>
      </c>
    </row>
    <row r="787">
      <c r="A787" t="n">
        <v>786</v>
      </c>
      <c r="B787" t="inlineStr">
        <is>
          <t>MTR-IOS-0786</t>
        </is>
      </c>
      <c r="C787" t="inlineStr">
        <is>
          <t>iPhone</t>
        </is>
      </c>
      <c r="D787" t="inlineStr">
        <is>
          <t>Business</t>
        </is>
      </c>
      <c r="E787" t="inlineStr">
        <is>
          <t>Business</t>
        </is>
      </c>
      <c r="F787" t="inlineStr">
        <is>
          <t>Business Runway</t>
        </is>
      </c>
      <c r="G787" t="inlineStr">
        <is>
          <t>Burn</t>
        </is>
      </c>
      <c r="H787" t="inlineStr">
        <is>
          <t>Business &gt; Business Runway &gt; Quick Add &gt; Burn</t>
        </is>
      </c>
      <c r="I787" s="18" t="n">
        <v>76955.64</v>
      </c>
      <c r="J787" t="inlineStr">
        <is>
          <t>Created MTR-IOS-0786 and correlation note visible in Activity/Pulse</t>
        </is>
      </c>
      <c r="K787" t="inlineStr">
        <is>
          <t>NOT_RUN</t>
        </is>
      </c>
      <c r="P787" t="n">
        <v>0</v>
      </c>
      <c r="Q787" t="n">
        <v>786</v>
      </c>
    </row>
    <row r="788">
      <c r="A788" t="n">
        <v>787</v>
      </c>
      <c r="B788" t="inlineStr">
        <is>
          <t>MTR-IOS-0787</t>
        </is>
      </c>
      <c r="C788" t="inlineStr">
        <is>
          <t>iPhone</t>
        </is>
      </c>
      <c r="D788" t="inlineStr">
        <is>
          <t>Personal</t>
        </is>
      </c>
      <c r="E788" t="inlineStr">
        <is>
          <t>Personal</t>
        </is>
      </c>
      <c r="F788" t="inlineStr">
        <is>
          <t>Future Building</t>
        </is>
      </c>
      <c r="G788" t="inlineStr">
        <is>
          <t>Investments</t>
        </is>
      </c>
      <c r="H788" t="inlineStr">
        <is>
          <t>Personal &gt; Future Building &gt; Quick Add &gt; Investments</t>
        </is>
      </c>
      <c r="I788" s="18" t="n">
        <v>13529.68</v>
      </c>
      <c r="J788" t="inlineStr">
        <is>
          <t>Created MTR-IOS-0787 and correlation note visible in Activity/Pulse</t>
        </is>
      </c>
      <c r="K788" t="inlineStr">
        <is>
          <t>NOT_RUN</t>
        </is>
      </c>
      <c r="P788" t="n">
        <v>0</v>
      </c>
      <c r="Q788" t="n">
        <v>787</v>
      </c>
    </row>
    <row r="789">
      <c r="A789" t="n">
        <v>788</v>
      </c>
      <c r="B789" t="inlineStr">
        <is>
          <t>MTR-IOS-0788</t>
        </is>
      </c>
      <c r="C789" t="inlineStr">
        <is>
          <t>iPhone</t>
        </is>
      </c>
      <c r="D789" t="inlineStr">
        <is>
          <t>Group</t>
        </is>
      </c>
      <c r="E789" t="inlineStr">
        <is>
          <t>Shared Purchase</t>
        </is>
      </c>
      <c r="F789" t="inlineStr">
        <is>
          <t>Purchase</t>
        </is>
      </c>
      <c r="G789" t="inlineStr">
        <is>
          <t>Tax</t>
        </is>
      </c>
      <c r="H789" t="inlineStr">
        <is>
          <t>Group &gt; Purchase &gt; Quick Add &gt; Tax</t>
        </is>
      </c>
      <c r="I789" s="18" t="n">
        <v>12564.93</v>
      </c>
      <c r="J789" t="inlineStr">
        <is>
          <t>Created MTR-IOS-0788 and correlation note visible in Activity/Pulse</t>
        </is>
      </c>
      <c r="K789" t="inlineStr">
        <is>
          <t>NOT_RUN</t>
        </is>
      </c>
      <c r="P789" t="n">
        <v>0</v>
      </c>
      <c r="Q789" t="n">
        <v>788</v>
      </c>
    </row>
    <row r="790">
      <c r="A790" t="n">
        <v>789</v>
      </c>
      <c r="B790" t="inlineStr">
        <is>
          <t>MTR-IOS-0789</t>
        </is>
      </c>
      <c r="C790" t="inlineStr">
        <is>
          <t>iPhone</t>
        </is>
      </c>
      <c r="D790" t="inlineStr">
        <is>
          <t>Business</t>
        </is>
      </c>
      <c r="E790" t="inlineStr">
        <is>
          <t>Business</t>
        </is>
      </c>
      <c r="F790" t="inlineStr">
        <is>
          <t>Business Runway</t>
        </is>
      </c>
      <c r="G790" t="inlineStr">
        <is>
          <t>Reserve</t>
        </is>
      </c>
      <c r="H790" t="inlineStr">
        <is>
          <t>Business &gt; Business Runway &gt; Quick Add &gt; Reserve</t>
        </is>
      </c>
      <c r="I790" s="18" t="n">
        <v>59444.71</v>
      </c>
      <c r="J790" t="inlineStr">
        <is>
          <t>Created MTR-IOS-0789 and correlation note visible in Activity/Pulse</t>
        </is>
      </c>
      <c r="K790" t="inlineStr">
        <is>
          <t>NOT_RUN</t>
        </is>
      </c>
      <c r="P790" t="n">
        <v>0</v>
      </c>
      <c r="Q790" t="n">
        <v>789</v>
      </c>
    </row>
    <row r="791">
      <c r="A791" t="n">
        <v>790</v>
      </c>
      <c r="B791" t="inlineStr">
        <is>
          <t>MTR-IOS-0790</t>
        </is>
      </c>
      <c r="C791" t="inlineStr">
        <is>
          <t>iPhone</t>
        </is>
      </c>
      <c r="D791" t="inlineStr">
        <is>
          <t>Personal</t>
        </is>
      </c>
      <c r="E791" t="inlineStr">
        <is>
          <t>Personal</t>
        </is>
      </c>
      <c r="F791" t="inlineStr">
        <is>
          <t>Future Building</t>
        </is>
      </c>
      <c r="G791" t="inlineStr">
        <is>
          <t>Education</t>
        </is>
      </c>
      <c r="H791" t="inlineStr">
        <is>
          <t>Personal &gt; Future Building &gt; Quick Add &gt; Education</t>
        </is>
      </c>
      <c r="I791" s="18" t="n">
        <v>12753.85</v>
      </c>
      <c r="J791" t="inlineStr">
        <is>
          <t>Created MTR-IOS-0790 and correlation note visible in Activity/Pulse</t>
        </is>
      </c>
      <c r="K791" t="inlineStr">
        <is>
          <t>NOT_RUN</t>
        </is>
      </c>
      <c r="P791" t="n">
        <v>0</v>
      </c>
      <c r="Q791" t="n">
        <v>790</v>
      </c>
    </row>
    <row r="792">
      <c r="A792" t="n">
        <v>791</v>
      </c>
      <c r="B792" t="inlineStr">
        <is>
          <t>MTR-IOS-0791</t>
        </is>
      </c>
      <c r="C792" t="inlineStr">
        <is>
          <t>iPhone</t>
        </is>
      </c>
      <c r="D792" t="inlineStr">
        <is>
          <t>Group</t>
        </is>
      </c>
      <c r="E792" t="inlineStr">
        <is>
          <t>Shared Purchase</t>
        </is>
      </c>
      <c r="F792" t="inlineStr">
        <is>
          <t>Purchase</t>
        </is>
      </c>
      <c r="G792" t="inlineStr">
        <is>
          <t>Other</t>
        </is>
      </c>
      <c r="H792" t="inlineStr">
        <is>
          <t>Group &gt; Purchase &gt; Quick Add &gt; Other</t>
        </is>
      </c>
      <c r="I792" s="18" t="n">
        <v>24453</v>
      </c>
      <c r="J792" t="inlineStr">
        <is>
          <t>Created MTR-IOS-0791 and correlation note visible in Activity/Pulse</t>
        </is>
      </c>
      <c r="K792" t="inlineStr">
        <is>
          <t>NOT_RUN</t>
        </is>
      </c>
      <c r="P792" t="n">
        <v>0</v>
      </c>
      <c r="Q792" t="n">
        <v>791</v>
      </c>
    </row>
    <row r="793">
      <c r="A793" t="n">
        <v>792</v>
      </c>
      <c r="B793" t="inlineStr">
        <is>
          <t>MTR-IOS-0792</t>
        </is>
      </c>
      <c r="C793" t="inlineStr">
        <is>
          <t>iPhone</t>
        </is>
      </c>
      <c r="D793" t="inlineStr">
        <is>
          <t>Business</t>
        </is>
      </c>
      <c r="E793" t="inlineStr">
        <is>
          <t>Business</t>
        </is>
      </c>
      <c r="F793" t="inlineStr">
        <is>
          <t>Business Runway</t>
        </is>
      </c>
      <c r="G793" t="inlineStr">
        <is>
          <t>Loan</t>
        </is>
      </c>
      <c r="H793" t="inlineStr">
        <is>
          <t>Business &gt; Business Runway &gt; Quick Add &gt; Loan</t>
        </is>
      </c>
      <c r="I793" s="18" t="n">
        <v>105313.17</v>
      </c>
      <c r="J793" t="inlineStr">
        <is>
          <t>Created MTR-IOS-0792 and correlation note visible in Activity/Pulse</t>
        </is>
      </c>
      <c r="K793" t="inlineStr">
        <is>
          <t>NOT_RUN</t>
        </is>
      </c>
      <c r="P793" t="n">
        <v>0</v>
      </c>
      <c r="Q793" t="n">
        <v>792</v>
      </c>
    </row>
    <row r="794">
      <c r="A794" t="n">
        <v>793</v>
      </c>
      <c r="B794" t="inlineStr">
        <is>
          <t>MTR-IOS-0793</t>
        </is>
      </c>
      <c r="C794" t="inlineStr">
        <is>
          <t>iPhone</t>
        </is>
      </c>
      <c r="D794" t="inlineStr">
        <is>
          <t>Personal</t>
        </is>
      </c>
      <c r="E794" t="inlineStr">
        <is>
          <t>Personal</t>
        </is>
      </c>
      <c r="F794" t="inlineStr">
        <is>
          <t>Future Building</t>
        </is>
      </c>
      <c r="G794" t="inlineStr">
        <is>
          <t>Goal Contribution</t>
        </is>
      </c>
      <c r="H794" t="inlineStr">
        <is>
          <t>Personal &gt; Future Building &gt; Quick Add &gt; Goal Contribution</t>
        </is>
      </c>
      <c r="I794" s="18" t="n">
        <v>7124.49</v>
      </c>
      <c r="J794" t="inlineStr">
        <is>
          <t>Created MTR-IOS-0793 and correlation note visible in Activity/Pulse</t>
        </is>
      </c>
      <c r="K794" t="inlineStr">
        <is>
          <t>NOT_RUN</t>
        </is>
      </c>
      <c r="P794" t="n">
        <v>0</v>
      </c>
      <c r="Q794" t="n">
        <v>793</v>
      </c>
    </row>
    <row r="795">
      <c r="A795" t="n">
        <v>794</v>
      </c>
      <c r="B795" t="inlineStr">
        <is>
          <t>MTR-IOS-0794</t>
        </is>
      </c>
      <c r="C795" t="inlineStr">
        <is>
          <t>iPhone</t>
        </is>
      </c>
      <c r="D795" t="inlineStr">
        <is>
          <t>Group</t>
        </is>
      </c>
      <c r="E795" t="inlineStr">
        <is>
          <t>Shared Purchase</t>
        </is>
      </c>
      <c r="F795" t="inlineStr">
        <is>
          <t>Assets</t>
        </is>
      </c>
      <c r="G795" t="inlineStr">
        <is>
          <t>Purchase</t>
        </is>
      </c>
      <c r="H795" t="inlineStr">
        <is>
          <t>Group &gt; Assets &gt; Quick Add &gt; Purchase</t>
        </is>
      </c>
      <c r="I795" s="18" t="n">
        <v>7894.57</v>
      </c>
      <c r="J795" t="inlineStr">
        <is>
          <t>Created MTR-IOS-0794 and correlation note visible in Activity/Pulse</t>
        </is>
      </c>
      <c r="K795" t="inlineStr">
        <is>
          <t>NOT_RUN</t>
        </is>
      </c>
      <c r="P795" t="n">
        <v>0</v>
      </c>
      <c r="Q795" t="n">
        <v>794</v>
      </c>
    </row>
    <row r="796">
      <c r="A796" t="n">
        <v>795</v>
      </c>
      <c r="B796" t="inlineStr">
        <is>
          <t>MTR-IOS-0795</t>
        </is>
      </c>
      <c r="C796" t="inlineStr">
        <is>
          <t>iPhone</t>
        </is>
      </c>
      <c r="D796" t="inlineStr">
        <is>
          <t>Business</t>
        </is>
      </c>
      <c r="E796" t="inlineStr">
        <is>
          <t>Business</t>
        </is>
      </c>
      <c r="F796" t="inlineStr">
        <is>
          <t>Business Runway</t>
        </is>
      </c>
      <c r="G796" t="inlineStr">
        <is>
          <t>Investment</t>
        </is>
      </c>
      <c r="H796" t="inlineStr">
        <is>
          <t>Business &gt; Business Runway &gt; Quick Add &gt; Investment</t>
        </is>
      </c>
      <c r="I796" s="18" t="n">
        <v>62513.98</v>
      </c>
      <c r="J796" t="inlineStr">
        <is>
          <t>Created MTR-IOS-0795 and correlation note visible in Activity/Pulse</t>
        </is>
      </c>
      <c r="K796" t="inlineStr">
        <is>
          <t>NOT_RUN</t>
        </is>
      </c>
      <c r="P796" t="n">
        <v>0</v>
      </c>
      <c r="Q796" t="n">
        <v>795</v>
      </c>
    </row>
    <row r="797">
      <c r="A797" t="n">
        <v>796</v>
      </c>
      <c r="B797" t="inlineStr">
        <is>
          <t>MTR-IOS-0796</t>
        </is>
      </c>
      <c r="C797" t="inlineStr">
        <is>
          <t>iPhone</t>
        </is>
      </c>
      <c r="D797" t="inlineStr">
        <is>
          <t>Personal</t>
        </is>
      </c>
      <c r="E797" t="inlineStr">
        <is>
          <t>Personal</t>
        </is>
      </c>
      <c r="F797" t="inlineStr">
        <is>
          <t>Lifestyle</t>
        </is>
      </c>
      <c r="G797" t="inlineStr">
        <is>
          <t>Dining</t>
        </is>
      </c>
      <c r="H797" t="inlineStr">
        <is>
          <t>Personal &gt; Lifestyle &gt; Quick Add &gt; Dining</t>
        </is>
      </c>
      <c r="I797" s="18" t="n">
        <v>3196.74</v>
      </c>
      <c r="J797" t="inlineStr">
        <is>
          <t>Created MTR-IOS-0796 and correlation note visible in Activity/Pulse</t>
        </is>
      </c>
      <c r="K797" t="inlineStr">
        <is>
          <t>NOT_RUN</t>
        </is>
      </c>
      <c r="P797" t="n">
        <v>0</v>
      </c>
      <c r="Q797" t="n">
        <v>796</v>
      </c>
    </row>
    <row r="798">
      <c r="A798" t="n">
        <v>797</v>
      </c>
      <c r="B798" t="inlineStr">
        <is>
          <t>MTR-IOS-0797</t>
        </is>
      </c>
      <c r="C798" t="inlineStr">
        <is>
          <t>iPhone</t>
        </is>
      </c>
      <c r="D798" t="inlineStr">
        <is>
          <t>Group</t>
        </is>
      </c>
      <c r="E798" t="inlineStr">
        <is>
          <t>Shared Purchase</t>
        </is>
      </c>
      <c r="F798" t="inlineStr">
        <is>
          <t>Assets</t>
        </is>
      </c>
      <c r="G798" t="inlineStr">
        <is>
          <t>Maintenance</t>
        </is>
      </c>
      <c r="H798" t="inlineStr">
        <is>
          <t>Group &gt; Assets &gt; Quick Add &gt; Maintenance</t>
        </is>
      </c>
      <c r="I798" s="18" t="n">
        <v>11559.44</v>
      </c>
      <c r="J798" t="inlineStr">
        <is>
          <t>Created MTR-IOS-0797 and correlation note visible in Activity/Pulse</t>
        </is>
      </c>
      <c r="K798" t="inlineStr">
        <is>
          <t>NOT_RUN</t>
        </is>
      </c>
      <c r="P798" t="n">
        <v>0</v>
      </c>
      <c r="Q798" t="n">
        <v>797</v>
      </c>
    </row>
    <row r="799">
      <c r="A799" t="n">
        <v>798</v>
      </c>
      <c r="B799" t="inlineStr">
        <is>
          <t>MTR-IOS-0798</t>
        </is>
      </c>
      <c r="C799" t="inlineStr">
        <is>
          <t>iPhone</t>
        </is>
      </c>
      <c r="D799" t="inlineStr">
        <is>
          <t>Business</t>
        </is>
      </c>
      <c r="E799" t="inlineStr">
        <is>
          <t>Business</t>
        </is>
      </c>
      <c r="F799" t="inlineStr">
        <is>
          <t>Business Operations</t>
        </is>
      </c>
      <c r="G799" t="inlineStr">
        <is>
          <t>Software</t>
        </is>
      </c>
      <c r="H799" t="inlineStr">
        <is>
          <t>Business &gt; Business Operations &gt; Quick Add &gt; Software</t>
        </is>
      </c>
      <c r="I799" s="18" t="n">
        <v>61804.71</v>
      </c>
      <c r="J799" t="inlineStr">
        <is>
          <t>Created MTR-IOS-0798 and correlation note visible in Activity/Pulse</t>
        </is>
      </c>
      <c r="K799" t="inlineStr">
        <is>
          <t>NOT_RUN</t>
        </is>
      </c>
      <c r="P799" t="n">
        <v>0</v>
      </c>
      <c r="Q799" t="n">
        <v>798</v>
      </c>
    </row>
    <row r="800">
      <c r="A800" t="n">
        <v>799</v>
      </c>
      <c r="B800" t="inlineStr">
        <is>
          <t>MTR-IOS-0799</t>
        </is>
      </c>
      <c r="C800" t="inlineStr">
        <is>
          <t>iPhone</t>
        </is>
      </c>
      <c r="D800" t="inlineStr">
        <is>
          <t>Personal</t>
        </is>
      </c>
      <c r="E800" t="inlineStr">
        <is>
          <t>Personal</t>
        </is>
      </c>
      <c r="F800" t="inlineStr">
        <is>
          <t>Lifestyle</t>
        </is>
      </c>
      <c r="G800" t="inlineStr">
        <is>
          <t>Shopping</t>
        </is>
      </c>
      <c r="H800" t="inlineStr">
        <is>
          <t>Personal &gt; Lifestyle &gt; Quick Add &gt; Shopping</t>
        </is>
      </c>
      <c r="I800" s="18" t="n">
        <v>5969.08</v>
      </c>
      <c r="J800" t="inlineStr">
        <is>
          <t>Created MTR-IOS-0799 and correlation note visible in Activity/Pulse</t>
        </is>
      </c>
      <c r="K800" t="inlineStr">
        <is>
          <t>NOT_RUN</t>
        </is>
      </c>
      <c r="P800" t="n">
        <v>0</v>
      </c>
      <c r="Q800" t="n">
        <v>799</v>
      </c>
    </row>
    <row r="801">
      <c r="A801" t="n">
        <v>800</v>
      </c>
      <c r="B801" t="inlineStr">
        <is>
          <t>MTR-IOS-0800</t>
        </is>
      </c>
      <c r="C801" t="inlineStr">
        <is>
          <t>iPhone</t>
        </is>
      </c>
      <c r="D801" t="inlineStr">
        <is>
          <t>Group</t>
        </is>
      </c>
      <c r="E801" t="inlineStr">
        <is>
          <t>Shared Purchase</t>
        </is>
      </c>
      <c r="F801" t="inlineStr">
        <is>
          <t>Assets</t>
        </is>
      </c>
      <c r="G801" t="inlineStr">
        <is>
          <t>Repair</t>
        </is>
      </c>
      <c r="H801" t="inlineStr">
        <is>
          <t>Group &gt; Assets &gt; Quick Add &gt; Repair</t>
        </is>
      </c>
      <c r="I801" s="18" t="n">
        <v>20159.69</v>
      </c>
      <c r="J801" t="inlineStr">
        <is>
          <t>Created MTR-IOS-0800 and correlation note visible in Activity/Pulse</t>
        </is>
      </c>
      <c r="K801" t="inlineStr">
        <is>
          <t>NOT_RUN</t>
        </is>
      </c>
      <c r="P801" t="n">
        <v>0</v>
      </c>
      <c r="Q801" t="n">
        <v>800</v>
      </c>
    </row>
    <row r="802">
      <c r="A802" t="n">
        <v>801</v>
      </c>
      <c r="B802" t="inlineStr">
        <is>
          <t>MTR-IOS-0801</t>
        </is>
      </c>
      <c r="C802" t="inlineStr">
        <is>
          <t>iPhone</t>
        </is>
      </c>
      <c r="D802" t="inlineStr">
        <is>
          <t>Business</t>
        </is>
      </c>
      <c r="E802" t="inlineStr">
        <is>
          <t>Business</t>
        </is>
      </c>
      <c r="F802" t="inlineStr">
        <is>
          <t>Business Operations</t>
        </is>
      </c>
      <c r="G802" t="inlineStr">
        <is>
          <t>Rent</t>
        </is>
      </c>
      <c r="H802" t="inlineStr">
        <is>
          <t>Business &gt; Business Operations &gt; Quick Add &gt; Rent</t>
        </is>
      </c>
      <c r="I802" s="18" t="n">
        <v>121565.26</v>
      </c>
      <c r="J802" t="inlineStr">
        <is>
          <t>Created MTR-IOS-0801 and correlation note visible in Activity/Pulse</t>
        </is>
      </c>
      <c r="K802" t="inlineStr">
        <is>
          <t>NOT_RUN</t>
        </is>
      </c>
      <c r="P802" t="n">
        <v>0</v>
      </c>
      <c r="Q802" t="n">
        <v>801</v>
      </c>
    </row>
    <row r="803">
      <c r="A803" t="n">
        <v>802</v>
      </c>
      <c r="B803" t="inlineStr">
        <is>
          <t>MTR-IOS-0802</t>
        </is>
      </c>
      <c r="C803" t="inlineStr">
        <is>
          <t>iPhone</t>
        </is>
      </c>
      <c r="D803" t="inlineStr">
        <is>
          <t>Personal</t>
        </is>
      </c>
      <c r="E803" t="inlineStr">
        <is>
          <t>Personal</t>
        </is>
      </c>
      <c r="F803" t="inlineStr">
        <is>
          <t>Lifestyle</t>
        </is>
      </c>
      <c r="G803" t="inlineStr">
        <is>
          <t>Entertainment</t>
        </is>
      </c>
      <c r="H803" t="inlineStr">
        <is>
          <t>Personal &gt; Lifestyle &gt; Quick Add &gt; Entertainment</t>
        </is>
      </c>
      <c r="I803" s="18" t="n">
        <v>16517.6</v>
      </c>
      <c r="J803" t="inlineStr">
        <is>
          <t>Created MTR-IOS-0802 and correlation note visible in Activity/Pulse</t>
        </is>
      </c>
      <c r="K803" t="inlineStr">
        <is>
          <t>NOT_RUN</t>
        </is>
      </c>
      <c r="P803" t="n">
        <v>0</v>
      </c>
      <c r="Q803" t="n">
        <v>802</v>
      </c>
    </row>
    <row r="804">
      <c r="A804" t="n">
        <v>803</v>
      </c>
      <c r="B804" t="inlineStr">
        <is>
          <t>MTR-IOS-0803</t>
        </is>
      </c>
      <c r="C804" t="inlineStr">
        <is>
          <t>iPhone</t>
        </is>
      </c>
      <c r="D804" t="inlineStr">
        <is>
          <t>Group</t>
        </is>
      </c>
      <c r="E804" t="inlineStr">
        <is>
          <t>Shared Purchase</t>
        </is>
      </c>
      <c r="F804" t="inlineStr">
        <is>
          <t>Assets</t>
        </is>
      </c>
      <c r="G804" t="inlineStr">
        <is>
          <t>Insurance</t>
        </is>
      </c>
      <c r="H804" t="inlineStr">
        <is>
          <t>Group &gt; Assets &gt; Quick Add &gt; Insurance</t>
        </is>
      </c>
      <c r="I804" s="18" t="n">
        <v>19594.23</v>
      </c>
      <c r="J804" t="inlineStr">
        <is>
          <t>Created MTR-IOS-0803 and correlation note visible in Activity/Pulse</t>
        </is>
      </c>
      <c r="K804" t="inlineStr">
        <is>
          <t>NOT_RUN</t>
        </is>
      </c>
      <c r="P804" t="n">
        <v>0</v>
      </c>
      <c r="Q804" t="n">
        <v>803</v>
      </c>
    </row>
    <row r="805">
      <c r="A805" t="n">
        <v>804</v>
      </c>
      <c r="B805" t="inlineStr">
        <is>
          <t>MTR-IOS-0804</t>
        </is>
      </c>
      <c r="C805" t="inlineStr">
        <is>
          <t>iPhone</t>
        </is>
      </c>
      <c r="D805" t="inlineStr">
        <is>
          <t>Business</t>
        </is>
      </c>
      <c r="E805" t="inlineStr">
        <is>
          <t>Business</t>
        </is>
      </c>
      <c r="F805" t="inlineStr">
        <is>
          <t>Business Operations</t>
        </is>
      </c>
      <c r="G805" t="inlineStr">
        <is>
          <t>Marketing</t>
        </is>
      </c>
      <c r="H805" t="inlineStr">
        <is>
          <t>Business &gt; Business Operations &gt; Quick Add &gt; Marketing</t>
        </is>
      </c>
      <c r="I805" s="18" t="n">
        <v>94690.02</v>
      </c>
      <c r="J805" t="inlineStr">
        <is>
          <t>Created MTR-IOS-0804 and correlation note visible in Activity/Pulse</t>
        </is>
      </c>
      <c r="K805" t="inlineStr">
        <is>
          <t>NOT_RUN</t>
        </is>
      </c>
      <c r="P805" t="n">
        <v>0</v>
      </c>
      <c r="Q805" t="n">
        <v>804</v>
      </c>
    </row>
    <row r="806">
      <c r="A806" t="n">
        <v>805</v>
      </c>
      <c r="B806" t="inlineStr">
        <is>
          <t>MTR-IOS-0805</t>
        </is>
      </c>
      <c r="C806" t="inlineStr">
        <is>
          <t>iPhone</t>
        </is>
      </c>
      <c r="D806" t="inlineStr">
        <is>
          <t>Personal</t>
        </is>
      </c>
      <c r="E806" t="inlineStr">
        <is>
          <t>Personal</t>
        </is>
      </c>
      <c r="F806" t="inlineStr">
        <is>
          <t>Lifestyle</t>
        </is>
      </c>
      <c r="G806" t="inlineStr">
        <is>
          <t>Travel</t>
        </is>
      </c>
      <c r="H806" t="inlineStr">
        <is>
          <t>Personal &gt; Lifestyle &gt; Quick Add &gt; Travel</t>
        </is>
      </c>
      <c r="I806" s="18" t="n">
        <v>7255.3</v>
      </c>
      <c r="J806" t="inlineStr">
        <is>
          <t>Created MTR-IOS-0805 and correlation note visible in Activity/Pulse</t>
        </is>
      </c>
      <c r="K806" t="inlineStr">
        <is>
          <t>NOT_RUN</t>
        </is>
      </c>
      <c r="P806" t="n">
        <v>0</v>
      </c>
      <c r="Q806" t="n">
        <v>805</v>
      </c>
    </row>
    <row r="807">
      <c r="A807" t="n">
        <v>806</v>
      </c>
      <c r="B807" t="inlineStr">
        <is>
          <t>MTR-IOS-0806</t>
        </is>
      </c>
      <c r="C807" t="inlineStr">
        <is>
          <t>iPhone</t>
        </is>
      </c>
      <c r="D807" t="inlineStr">
        <is>
          <t>Group</t>
        </is>
      </c>
      <c r="E807" t="inlineStr">
        <is>
          <t>Shared Purchase</t>
        </is>
      </c>
      <c r="F807" t="inlineStr">
        <is>
          <t>Assets</t>
        </is>
      </c>
      <c r="G807" t="inlineStr">
        <is>
          <t>Other</t>
        </is>
      </c>
      <c r="H807" t="inlineStr">
        <is>
          <t>Group &gt; Assets &gt; Quick Add &gt; Other</t>
        </is>
      </c>
      <c r="I807" s="18" t="n">
        <v>22246.36</v>
      </c>
      <c r="J807" t="inlineStr">
        <is>
          <t>Created MTR-IOS-0806 and correlation note visible in Activity/Pulse</t>
        </is>
      </c>
      <c r="K807" t="inlineStr">
        <is>
          <t>NOT_RUN</t>
        </is>
      </c>
      <c r="P807" t="n">
        <v>0</v>
      </c>
      <c r="Q807" t="n">
        <v>806</v>
      </c>
    </row>
    <row r="808">
      <c r="A808" t="n">
        <v>807</v>
      </c>
      <c r="B808" t="inlineStr">
        <is>
          <t>MTR-IOS-0807</t>
        </is>
      </c>
      <c r="C808" t="inlineStr">
        <is>
          <t>iPhone</t>
        </is>
      </c>
      <c r="D808" t="inlineStr">
        <is>
          <t>Business</t>
        </is>
      </c>
      <c r="E808" t="inlineStr">
        <is>
          <t>Business</t>
        </is>
      </c>
      <c r="F808" t="inlineStr">
        <is>
          <t>Business Operations</t>
        </is>
      </c>
      <c r="G808" t="inlineStr">
        <is>
          <t>Legal</t>
        </is>
      </c>
      <c r="H808" t="inlineStr">
        <is>
          <t>Business &gt; Business Operations &gt; Quick Add &gt; Legal</t>
        </is>
      </c>
      <c r="I808" s="18" t="n">
        <v>20906.84</v>
      </c>
      <c r="J808" t="inlineStr">
        <is>
          <t>Created MTR-IOS-0807 and correlation note visible in Activity/Pulse</t>
        </is>
      </c>
      <c r="K808" t="inlineStr">
        <is>
          <t>NOT_RUN</t>
        </is>
      </c>
      <c r="P808" t="n">
        <v>0</v>
      </c>
      <c r="Q808" t="n">
        <v>807</v>
      </c>
    </row>
    <row r="809">
      <c r="A809" t="n">
        <v>808</v>
      </c>
      <c r="B809" t="inlineStr">
        <is>
          <t>MTR-IOS-0808</t>
        </is>
      </c>
      <c r="C809" t="inlineStr">
        <is>
          <t>iPhone</t>
        </is>
      </c>
      <c r="D809" t="inlineStr">
        <is>
          <t>Personal</t>
        </is>
      </c>
      <c r="E809" t="inlineStr">
        <is>
          <t>Personal</t>
        </is>
      </c>
      <c r="F809" t="inlineStr">
        <is>
          <t>Lifestyle</t>
        </is>
      </c>
      <c r="G809" t="inlineStr">
        <is>
          <t>Fitness</t>
        </is>
      </c>
      <c r="H809" t="inlineStr">
        <is>
          <t>Personal &gt; Lifestyle &gt; Quick Add &gt; Fitness</t>
        </is>
      </c>
      <c r="I809" s="18" t="n">
        <v>9595.120000000001</v>
      </c>
      <c r="J809" t="inlineStr">
        <is>
          <t>Created MTR-IOS-0808 and correlation note visible in Activity/Pulse</t>
        </is>
      </c>
      <c r="K809" t="inlineStr">
        <is>
          <t>NOT_RUN</t>
        </is>
      </c>
      <c r="P809" t="n">
        <v>0</v>
      </c>
      <c r="Q809" t="n">
        <v>808</v>
      </c>
    </row>
    <row r="810">
      <c r="A810" t="n">
        <v>809</v>
      </c>
      <c r="B810" t="inlineStr">
        <is>
          <t>MTR-IOS-0809</t>
        </is>
      </c>
      <c r="C810" t="inlineStr">
        <is>
          <t>iPhone</t>
        </is>
      </c>
      <c r="D810" t="inlineStr">
        <is>
          <t>Group</t>
        </is>
      </c>
      <c r="E810" t="inlineStr">
        <is>
          <t>Shared Purchase</t>
        </is>
      </c>
      <c r="F810" t="inlineStr">
        <is>
          <t>Custom Purchase</t>
        </is>
      </c>
      <c r="G810" t="inlineStr">
        <is>
          <t>Custom Expense</t>
        </is>
      </c>
      <c r="H810" t="inlineStr">
        <is>
          <t>Group &gt; Custom Purchase &gt; Quick Add &gt; Custom Expense</t>
        </is>
      </c>
      <c r="I810" s="18" t="n">
        <v>20465.07</v>
      </c>
      <c r="J810" t="inlineStr">
        <is>
          <t>Created MTR-IOS-0809 and correlation note visible in Activity/Pulse</t>
        </is>
      </c>
      <c r="K810" t="inlineStr">
        <is>
          <t>NOT_RUN</t>
        </is>
      </c>
      <c r="P810" t="n">
        <v>0</v>
      </c>
      <c r="Q810" t="n">
        <v>809</v>
      </c>
    </row>
    <row r="811">
      <c r="A811" t="n">
        <v>810</v>
      </c>
      <c r="B811" t="inlineStr">
        <is>
          <t>MTR-IOS-0810</t>
        </is>
      </c>
      <c r="C811" t="inlineStr">
        <is>
          <t>iPhone</t>
        </is>
      </c>
      <c r="D811" t="inlineStr">
        <is>
          <t>Business</t>
        </is>
      </c>
      <c r="E811" t="inlineStr">
        <is>
          <t>Business</t>
        </is>
      </c>
      <c r="F811" t="inlineStr">
        <is>
          <t>Business Operations</t>
        </is>
      </c>
      <c r="G811" t="inlineStr">
        <is>
          <t>Accounting</t>
        </is>
      </c>
      <c r="H811" t="inlineStr">
        <is>
          <t>Business &gt; Business Operations &gt; Quick Add &gt; Accounting</t>
        </is>
      </c>
      <c r="I811" s="18" t="n">
        <v>78050.60000000001</v>
      </c>
      <c r="J811" t="inlineStr">
        <is>
          <t>Created MTR-IOS-0810 and correlation note visible in Activity/Pulse</t>
        </is>
      </c>
      <c r="K811" t="inlineStr">
        <is>
          <t>NOT_RUN</t>
        </is>
      </c>
      <c r="P811" t="n">
        <v>0</v>
      </c>
      <c r="Q811" t="n">
        <v>810</v>
      </c>
    </row>
    <row r="812">
      <c r="A812" t="n">
        <v>811</v>
      </c>
      <c r="B812" t="inlineStr">
        <is>
          <t>MTR-IOS-0811</t>
        </is>
      </c>
      <c r="C812" t="inlineStr">
        <is>
          <t>iPhone</t>
        </is>
      </c>
      <c r="D812" t="inlineStr">
        <is>
          <t>Personal</t>
        </is>
      </c>
      <c r="E812" t="inlineStr">
        <is>
          <t>Personal</t>
        </is>
      </c>
      <c r="F812" t="inlineStr">
        <is>
          <t>Lifestyle</t>
        </is>
      </c>
      <c r="G812" t="inlineStr">
        <is>
          <t>Hobbies</t>
        </is>
      </c>
      <c r="H812" t="inlineStr">
        <is>
          <t>Personal &gt; Lifestyle &gt; Quick Add &gt; Hobbies</t>
        </is>
      </c>
      <c r="I812" s="18" t="n">
        <v>1920.51</v>
      </c>
      <c r="J812" t="inlineStr">
        <is>
          <t>Created MTR-IOS-0811 and correlation note visible in Activity/Pulse</t>
        </is>
      </c>
      <c r="K812" t="inlineStr">
        <is>
          <t>NOT_RUN</t>
        </is>
      </c>
      <c r="P812" t="n">
        <v>0</v>
      </c>
      <c r="Q812" t="n">
        <v>811</v>
      </c>
    </row>
    <row r="813">
      <c r="A813" t="n">
        <v>812</v>
      </c>
      <c r="B813" t="inlineStr">
        <is>
          <t>MTR-IOS-0812</t>
        </is>
      </c>
      <c r="C813" t="inlineStr">
        <is>
          <t>iPhone</t>
        </is>
      </c>
      <c r="D813" t="inlineStr">
        <is>
          <t>Group</t>
        </is>
      </c>
      <c r="E813" t="inlineStr">
        <is>
          <t>Shared Purchase</t>
        </is>
      </c>
      <c r="F813" t="inlineStr">
        <is>
          <t>Custom Purchase</t>
        </is>
      </c>
      <c r="G813" t="inlineStr">
        <is>
          <t>Custom Contribution</t>
        </is>
      </c>
      <c r="H813" t="inlineStr">
        <is>
          <t>Group &gt; Custom Purchase &gt; Quick Add &gt; Custom Contribution</t>
        </is>
      </c>
      <c r="I813" s="18" t="n">
        <v>1326</v>
      </c>
      <c r="J813" t="inlineStr">
        <is>
          <t>Created MTR-IOS-0812 and correlation note visible in Activity/Pulse</t>
        </is>
      </c>
      <c r="K813" t="inlineStr">
        <is>
          <t>NOT_RUN</t>
        </is>
      </c>
      <c r="P813" t="n">
        <v>0</v>
      </c>
      <c r="Q813" t="n">
        <v>812</v>
      </c>
    </row>
    <row r="814">
      <c r="A814" t="n">
        <v>813</v>
      </c>
      <c r="B814" t="inlineStr">
        <is>
          <t>MTR-IOS-0813</t>
        </is>
      </c>
      <c r="C814" t="inlineStr">
        <is>
          <t>iPhone</t>
        </is>
      </c>
      <c r="D814" t="inlineStr">
        <is>
          <t>Business</t>
        </is>
      </c>
      <c r="E814" t="inlineStr">
        <is>
          <t>Business</t>
        </is>
      </c>
      <c r="F814" t="inlineStr">
        <is>
          <t>Business Operations</t>
        </is>
      </c>
      <c r="G814" t="inlineStr">
        <is>
          <t>Equipment</t>
        </is>
      </c>
      <c r="H814" t="inlineStr">
        <is>
          <t>Business &gt; Business Operations &gt; Quick Add &gt; Equipment</t>
        </is>
      </c>
      <c r="I814" s="18" t="n">
        <v>22857.21</v>
      </c>
      <c r="J814" t="inlineStr">
        <is>
          <t>Created MTR-IOS-0813 and correlation note visible in Activity/Pulse</t>
        </is>
      </c>
      <c r="K814" t="inlineStr">
        <is>
          <t>NOT_RUN</t>
        </is>
      </c>
      <c r="P814" t="n">
        <v>0</v>
      </c>
      <c r="Q814" t="n">
        <v>813</v>
      </c>
    </row>
    <row r="815">
      <c r="A815" t="n">
        <v>814</v>
      </c>
      <c r="B815" t="inlineStr">
        <is>
          <t>MTR-IOS-0814</t>
        </is>
      </c>
      <c r="C815" t="inlineStr">
        <is>
          <t>iPhone</t>
        </is>
      </c>
      <c r="D815" t="inlineStr">
        <is>
          <t>Personal</t>
        </is>
      </c>
      <c r="E815" t="inlineStr">
        <is>
          <t>Personal</t>
        </is>
      </c>
      <c r="F815" t="inlineStr">
        <is>
          <t>Relationships</t>
        </is>
      </c>
      <c r="G815" t="inlineStr">
        <is>
          <t>Gifts</t>
        </is>
      </c>
      <c r="H815" t="inlineStr">
        <is>
          <t>Personal &gt; Relationships &gt; Quick Add &gt; Gifts</t>
        </is>
      </c>
      <c r="I815" s="18" t="n">
        <v>999.99</v>
      </c>
      <c r="J815" t="inlineStr">
        <is>
          <t>Created MTR-IOS-0814 and correlation note visible in Activity/Pulse</t>
        </is>
      </c>
      <c r="K815" t="inlineStr">
        <is>
          <t>NOT_RUN</t>
        </is>
      </c>
      <c r="P815" t="n">
        <v>0</v>
      </c>
      <c r="Q815" t="n">
        <v>814</v>
      </c>
    </row>
    <row r="816">
      <c r="A816" t="n">
        <v>815</v>
      </c>
      <c r="B816" t="inlineStr">
        <is>
          <t>MTR-IOS-0815</t>
        </is>
      </c>
      <c r="C816" t="inlineStr">
        <is>
          <t>iPhone</t>
        </is>
      </c>
      <c r="D816" t="inlineStr">
        <is>
          <t>Group</t>
        </is>
      </c>
      <c r="E816" t="inlineStr">
        <is>
          <t>Shared Living</t>
        </is>
      </c>
      <c r="F816" t="inlineStr">
        <is>
          <t>Flatmates</t>
        </is>
      </c>
      <c r="G816" t="inlineStr">
        <is>
          <t>Rent</t>
        </is>
      </c>
      <c r="H816" t="inlineStr">
        <is>
          <t>Group &gt; Flatmates &gt; Quick Add &gt; Rent</t>
        </is>
      </c>
      <c r="I816" s="18" t="n">
        <v>2224.7</v>
      </c>
      <c r="J816" t="inlineStr">
        <is>
          <t>Created MTR-IOS-0815 and correlation note visible in Activity/Pulse</t>
        </is>
      </c>
      <c r="K816" t="inlineStr">
        <is>
          <t>NOT_RUN</t>
        </is>
      </c>
      <c r="P816" t="n">
        <v>0</v>
      </c>
      <c r="Q816" t="n">
        <v>815</v>
      </c>
    </row>
    <row r="817">
      <c r="A817" t="n">
        <v>816</v>
      </c>
      <c r="B817" t="inlineStr">
        <is>
          <t>MTR-IOS-0816</t>
        </is>
      </c>
      <c r="C817" t="inlineStr">
        <is>
          <t>iPhone</t>
        </is>
      </c>
      <c r="D817" t="inlineStr">
        <is>
          <t>Business</t>
        </is>
      </c>
      <c r="E817" t="inlineStr">
        <is>
          <t>Business</t>
        </is>
      </c>
      <c r="F817" t="inlineStr">
        <is>
          <t>Business Operations</t>
        </is>
      </c>
      <c r="G817" t="inlineStr">
        <is>
          <t>Vendor</t>
        </is>
      </c>
      <c r="H817" t="inlineStr">
        <is>
          <t>Business &gt; Business Operations &gt; Quick Add &gt; Vendor</t>
        </is>
      </c>
      <c r="I817" s="18" t="n">
        <v>126875.94</v>
      </c>
      <c r="J817" t="inlineStr">
        <is>
          <t>Created MTR-IOS-0816 and correlation note visible in Activity/Pulse</t>
        </is>
      </c>
      <c r="K817" t="inlineStr">
        <is>
          <t>NOT_RUN</t>
        </is>
      </c>
      <c r="P817" t="n">
        <v>0</v>
      </c>
      <c r="Q817" t="n">
        <v>816</v>
      </c>
    </row>
    <row r="818">
      <c r="A818" t="n">
        <v>817</v>
      </c>
      <c r="B818" t="inlineStr">
        <is>
          <t>MTR-IOS-0817</t>
        </is>
      </c>
      <c r="C818" t="inlineStr">
        <is>
          <t>iPhone</t>
        </is>
      </c>
      <c r="D818" t="inlineStr">
        <is>
          <t>Personal</t>
        </is>
      </c>
      <c r="E818" t="inlineStr">
        <is>
          <t>Personal</t>
        </is>
      </c>
      <c r="F818" t="inlineStr">
        <is>
          <t>Relationships</t>
        </is>
      </c>
      <c r="G818" t="inlineStr">
        <is>
          <t>Dates</t>
        </is>
      </c>
      <c r="H818" t="inlineStr">
        <is>
          <t>Personal &gt; Relationships &gt; Quick Add &gt; Dates</t>
        </is>
      </c>
      <c r="I818" s="18" t="n">
        <v>174.04</v>
      </c>
      <c r="J818" t="inlineStr">
        <is>
          <t>Created MTR-IOS-0817 and correlation note visible in Activity/Pulse</t>
        </is>
      </c>
      <c r="K818" t="inlineStr">
        <is>
          <t>NOT_RUN</t>
        </is>
      </c>
      <c r="P818" t="n">
        <v>0</v>
      </c>
      <c r="Q818" t="n">
        <v>817</v>
      </c>
    </row>
    <row r="819">
      <c r="A819" t="n">
        <v>818</v>
      </c>
      <c r="B819" t="inlineStr">
        <is>
          <t>MTR-IOS-0818</t>
        </is>
      </c>
      <c r="C819" t="inlineStr">
        <is>
          <t>iPhone</t>
        </is>
      </c>
      <c r="D819" t="inlineStr">
        <is>
          <t>Group</t>
        </is>
      </c>
      <c r="E819" t="inlineStr">
        <is>
          <t>Shared Living</t>
        </is>
      </c>
      <c r="F819" t="inlineStr">
        <is>
          <t>Flatmates</t>
        </is>
      </c>
      <c r="G819" t="inlineStr">
        <is>
          <t>Utilities</t>
        </is>
      </c>
      <c r="H819" t="inlineStr">
        <is>
          <t>Group &gt; Flatmates &gt; Quick Add &gt; Utilities</t>
        </is>
      </c>
      <c r="I819" s="18" t="n">
        <v>21789.61</v>
      </c>
      <c r="J819" t="inlineStr">
        <is>
          <t>Created MTR-IOS-0818 and correlation note visible in Activity/Pulse</t>
        </is>
      </c>
      <c r="K819" t="inlineStr">
        <is>
          <t>NOT_RUN</t>
        </is>
      </c>
      <c r="P819" t="n">
        <v>0</v>
      </c>
      <c r="Q819" t="n">
        <v>818</v>
      </c>
    </row>
    <row r="820">
      <c r="A820" t="n">
        <v>819</v>
      </c>
      <c r="B820" t="inlineStr">
        <is>
          <t>MTR-IOS-0819</t>
        </is>
      </c>
      <c r="C820" t="inlineStr">
        <is>
          <t>iPhone</t>
        </is>
      </c>
      <c r="D820" t="inlineStr">
        <is>
          <t>Business</t>
        </is>
      </c>
      <c r="E820" t="inlineStr">
        <is>
          <t>Business</t>
        </is>
      </c>
      <c r="F820" t="inlineStr">
        <is>
          <t>Business Operations</t>
        </is>
      </c>
      <c r="G820" t="inlineStr">
        <is>
          <t>Tax</t>
        </is>
      </c>
      <c r="H820" t="inlineStr">
        <is>
          <t>Business &gt; Business Operations &gt; Quick Add &gt; Tax</t>
        </is>
      </c>
      <c r="I820" s="18" t="n">
        <v>16965.62</v>
      </c>
      <c r="J820" t="inlineStr">
        <is>
          <t>Created MTR-IOS-0819 and correlation note visible in Activity/Pulse</t>
        </is>
      </c>
      <c r="K820" t="inlineStr">
        <is>
          <t>NOT_RUN</t>
        </is>
      </c>
      <c r="P820" t="n">
        <v>0</v>
      </c>
      <c r="Q820" t="n">
        <v>819</v>
      </c>
    </row>
    <row r="821">
      <c r="A821" t="n">
        <v>820</v>
      </c>
      <c r="B821" t="inlineStr">
        <is>
          <t>MTR-IOS-0820</t>
        </is>
      </c>
      <c r="C821" t="inlineStr">
        <is>
          <t>iPhone</t>
        </is>
      </c>
      <c r="D821" t="inlineStr">
        <is>
          <t>Personal</t>
        </is>
      </c>
      <c r="E821" t="inlineStr">
        <is>
          <t>Personal</t>
        </is>
      </c>
      <c r="F821" t="inlineStr">
        <is>
          <t>Relationships</t>
        </is>
      </c>
      <c r="G821" t="inlineStr">
        <is>
          <t>Family</t>
        </is>
      </c>
      <c r="H821" t="inlineStr">
        <is>
          <t>Personal &gt; Relationships &gt; Quick Add &gt; Family</t>
        </is>
      </c>
      <c r="I821" s="18" t="n">
        <v>6052.11</v>
      </c>
      <c r="J821" t="inlineStr">
        <is>
          <t>Created MTR-IOS-0820 and correlation note visible in Activity/Pulse</t>
        </is>
      </c>
      <c r="K821" t="inlineStr">
        <is>
          <t>NOT_RUN</t>
        </is>
      </c>
      <c r="P821" t="n">
        <v>0</v>
      </c>
      <c r="Q821" t="n">
        <v>820</v>
      </c>
    </row>
    <row r="822">
      <c r="A822" t="n">
        <v>821</v>
      </c>
      <c r="B822" t="inlineStr">
        <is>
          <t>MTR-IOS-0821</t>
        </is>
      </c>
      <c r="C822" t="inlineStr">
        <is>
          <t>iPhone</t>
        </is>
      </c>
      <c r="D822" t="inlineStr">
        <is>
          <t>Group</t>
        </is>
      </c>
      <c r="E822" t="inlineStr">
        <is>
          <t>Shared Living</t>
        </is>
      </c>
      <c r="F822" t="inlineStr">
        <is>
          <t>Flatmates</t>
        </is>
      </c>
      <c r="G822" t="inlineStr">
        <is>
          <t>Groceries</t>
        </is>
      </c>
      <c r="H822" t="inlineStr">
        <is>
          <t>Group &gt; Flatmates &gt; Quick Add &gt; Groceries</t>
        </is>
      </c>
      <c r="I822" s="18" t="n">
        <v>1857.83</v>
      </c>
      <c r="J822" t="inlineStr">
        <is>
          <t>Created MTR-IOS-0821 and correlation note visible in Activity/Pulse</t>
        </is>
      </c>
      <c r="K822" t="inlineStr">
        <is>
          <t>NOT_RUN</t>
        </is>
      </c>
      <c r="P822" t="n">
        <v>0</v>
      </c>
      <c r="Q822" t="n">
        <v>821</v>
      </c>
    </row>
    <row r="823">
      <c r="A823" t="n">
        <v>822</v>
      </c>
      <c r="B823" t="inlineStr">
        <is>
          <t>MTR-IOS-0822</t>
        </is>
      </c>
      <c r="C823" t="inlineStr">
        <is>
          <t>iPhone</t>
        </is>
      </c>
      <c r="D823" t="inlineStr">
        <is>
          <t>Business</t>
        </is>
      </c>
      <c r="E823" t="inlineStr">
        <is>
          <t>Business</t>
        </is>
      </c>
      <c r="F823" t="inlineStr">
        <is>
          <t>Team Operations</t>
        </is>
      </c>
      <c r="G823" t="inlineStr">
        <is>
          <t>Payroll</t>
        </is>
      </c>
      <c r="H823" t="inlineStr">
        <is>
          <t>Business &gt; Team Operations &gt; Quick Add &gt; Payroll</t>
        </is>
      </c>
      <c r="I823" s="18" t="n">
        <v>149524.85</v>
      </c>
      <c r="J823" t="inlineStr">
        <is>
          <t>Created MTR-IOS-0822 and correlation note visible in Activity/Pulse</t>
        </is>
      </c>
      <c r="K823" t="inlineStr">
        <is>
          <t>NOT_RUN</t>
        </is>
      </c>
      <c r="P823" t="n">
        <v>0</v>
      </c>
      <c r="Q823" t="n">
        <v>822</v>
      </c>
    </row>
    <row r="824">
      <c r="A824" t="n">
        <v>823</v>
      </c>
      <c r="B824" t="inlineStr">
        <is>
          <t>MTR-IOS-0823</t>
        </is>
      </c>
      <c r="C824" t="inlineStr">
        <is>
          <t>iPhone</t>
        </is>
      </c>
      <c r="D824" t="inlineStr">
        <is>
          <t>Personal</t>
        </is>
      </c>
      <c r="E824" t="inlineStr">
        <is>
          <t>Personal</t>
        </is>
      </c>
      <c r="F824" t="inlineStr">
        <is>
          <t>Relationships</t>
        </is>
      </c>
      <c r="G824" t="inlineStr">
        <is>
          <t>Friends</t>
        </is>
      </c>
      <c r="H824" t="inlineStr">
        <is>
          <t>Personal &gt; Relationships &gt; Quick Add &gt; Friends</t>
        </is>
      </c>
      <c r="I824" s="18" t="n">
        <v>2557.88</v>
      </c>
      <c r="J824" t="inlineStr">
        <is>
          <t>Created MTR-IOS-0823 and correlation note visible in Activity/Pulse</t>
        </is>
      </c>
      <c r="K824" t="inlineStr">
        <is>
          <t>NOT_RUN</t>
        </is>
      </c>
      <c r="P824" t="n">
        <v>0</v>
      </c>
      <c r="Q824" t="n">
        <v>823</v>
      </c>
    </row>
    <row r="825">
      <c r="A825" t="n">
        <v>824</v>
      </c>
      <c r="B825" t="inlineStr">
        <is>
          <t>MTR-IOS-0824</t>
        </is>
      </c>
      <c r="C825" t="inlineStr">
        <is>
          <t>iPhone</t>
        </is>
      </c>
      <c r="D825" t="inlineStr">
        <is>
          <t>Group</t>
        </is>
      </c>
      <c r="E825" t="inlineStr">
        <is>
          <t>Shared Living</t>
        </is>
      </c>
      <c r="F825" t="inlineStr">
        <is>
          <t>Flatmates</t>
        </is>
      </c>
      <c r="G825" t="inlineStr">
        <is>
          <t>Internet</t>
        </is>
      </c>
      <c r="H825" t="inlineStr">
        <is>
          <t>Group &gt; Flatmates &gt; Quick Add &gt; Internet</t>
        </is>
      </c>
      <c r="I825" s="18" t="n">
        <v>9574.98</v>
      </c>
      <c r="J825" t="inlineStr">
        <is>
          <t>Created MTR-IOS-0824 and correlation note visible in Activity/Pulse</t>
        </is>
      </c>
      <c r="K825" t="inlineStr">
        <is>
          <t>NOT_RUN</t>
        </is>
      </c>
      <c r="P825" t="n">
        <v>0</v>
      </c>
      <c r="Q825" t="n">
        <v>824</v>
      </c>
    </row>
    <row r="826">
      <c r="A826" t="n">
        <v>825</v>
      </c>
      <c r="B826" t="inlineStr">
        <is>
          <t>MTR-IOS-0825</t>
        </is>
      </c>
      <c r="C826" t="inlineStr">
        <is>
          <t>iPhone</t>
        </is>
      </c>
      <c r="D826" t="inlineStr">
        <is>
          <t>Business</t>
        </is>
      </c>
      <c r="E826" t="inlineStr">
        <is>
          <t>Business</t>
        </is>
      </c>
      <c r="F826" t="inlineStr">
        <is>
          <t>Team Operations</t>
        </is>
      </c>
      <c r="G826" t="inlineStr">
        <is>
          <t>Contractor</t>
        </is>
      </c>
      <c r="H826" t="inlineStr">
        <is>
          <t>Business &gt; Team Operations &gt; Quick Add &gt; Contractor</t>
        </is>
      </c>
      <c r="I826" s="18" t="n">
        <v>74535</v>
      </c>
      <c r="J826" t="inlineStr">
        <is>
          <t>Created MTR-IOS-0825 and correlation note visible in Activity/Pulse</t>
        </is>
      </c>
      <c r="K826" t="inlineStr">
        <is>
          <t>NOT_RUN</t>
        </is>
      </c>
      <c r="P826" t="n">
        <v>0</v>
      </c>
      <c r="Q826" t="n">
        <v>825</v>
      </c>
    </row>
    <row r="827">
      <c r="A827" t="n">
        <v>826</v>
      </c>
      <c r="B827" t="inlineStr">
        <is>
          <t>MTR-IOS-0826</t>
        </is>
      </c>
      <c r="C827" t="inlineStr">
        <is>
          <t>iPhone</t>
        </is>
      </c>
      <c r="D827" t="inlineStr">
        <is>
          <t>Personal</t>
        </is>
      </c>
      <c r="E827" t="inlineStr">
        <is>
          <t>Personal</t>
        </is>
      </c>
      <c r="F827" t="inlineStr">
        <is>
          <t>Relationships</t>
        </is>
      </c>
      <c r="G827" t="inlineStr">
        <is>
          <t>Celebrations</t>
        </is>
      </c>
      <c r="H827" t="inlineStr">
        <is>
          <t>Personal &gt; Relationships &gt; Quick Add &gt; Celebrations</t>
        </is>
      </c>
      <c r="I827" s="18" t="n">
        <v>14494.95</v>
      </c>
      <c r="J827" t="inlineStr">
        <is>
          <t>Created MTR-IOS-0826 and correlation note visible in Activity/Pulse</t>
        </is>
      </c>
      <c r="K827" t="inlineStr">
        <is>
          <t>NOT_RUN</t>
        </is>
      </c>
      <c r="P827" t="n">
        <v>0</v>
      </c>
      <c r="Q827" t="n">
        <v>826</v>
      </c>
    </row>
    <row r="828">
      <c r="A828" t="n">
        <v>827</v>
      </c>
      <c r="B828" t="inlineStr">
        <is>
          <t>MTR-IOS-0827</t>
        </is>
      </c>
      <c r="C828" t="inlineStr">
        <is>
          <t>iPhone</t>
        </is>
      </c>
      <c r="D828" t="inlineStr">
        <is>
          <t>Group</t>
        </is>
      </c>
      <c r="E828" t="inlineStr">
        <is>
          <t>Shared Living</t>
        </is>
      </c>
      <c r="F828" t="inlineStr">
        <is>
          <t>Flatmates</t>
        </is>
      </c>
      <c r="G828" t="inlineStr">
        <is>
          <t>House Supplies</t>
        </is>
      </c>
      <c r="H828" t="inlineStr">
        <is>
          <t>Group &gt; Flatmates &gt; Quick Add &gt; House Supplies</t>
        </is>
      </c>
      <c r="I828" s="18" t="n">
        <v>15283.29</v>
      </c>
      <c r="J828" t="inlineStr">
        <is>
          <t>Created MTR-IOS-0827 and correlation note visible in Activity/Pulse</t>
        </is>
      </c>
      <c r="K828" t="inlineStr">
        <is>
          <t>NOT_RUN</t>
        </is>
      </c>
      <c r="P828" t="n">
        <v>0</v>
      </c>
      <c r="Q828" t="n">
        <v>827</v>
      </c>
    </row>
    <row r="829">
      <c r="A829" t="n">
        <v>828</v>
      </c>
      <c r="B829" t="inlineStr">
        <is>
          <t>MTR-IOS-0828</t>
        </is>
      </c>
      <c r="C829" t="inlineStr">
        <is>
          <t>iPhone</t>
        </is>
      </c>
      <c r="D829" t="inlineStr">
        <is>
          <t>Business</t>
        </is>
      </c>
      <c r="E829" t="inlineStr">
        <is>
          <t>Business</t>
        </is>
      </c>
      <c r="F829" t="inlineStr">
        <is>
          <t>Team Operations</t>
        </is>
      </c>
      <c r="G829" t="inlineStr">
        <is>
          <t>Hiring</t>
        </is>
      </c>
      <c r="H829" t="inlineStr">
        <is>
          <t>Business &gt; Team Operations &gt; Quick Add &gt; Hiring</t>
        </is>
      </c>
      <c r="I829" s="18" t="n">
        <v>97722.71000000001</v>
      </c>
      <c r="J829" t="inlineStr">
        <is>
          <t>Created MTR-IOS-0828 and correlation note visible in Activity/Pulse</t>
        </is>
      </c>
      <c r="K829" t="inlineStr">
        <is>
          <t>NOT_RUN</t>
        </is>
      </c>
      <c r="P829" t="n">
        <v>0</v>
      </c>
      <c r="Q829" t="n">
        <v>828</v>
      </c>
    </row>
    <row r="830">
      <c r="A830" t="n">
        <v>829</v>
      </c>
      <c r="B830" t="inlineStr">
        <is>
          <t>MTR-IOS-0829</t>
        </is>
      </c>
      <c r="C830" t="inlineStr">
        <is>
          <t>iPhone</t>
        </is>
      </c>
      <c r="D830" t="inlineStr">
        <is>
          <t>Personal</t>
        </is>
      </c>
      <c r="E830" t="inlineStr">
        <is>
          <t>Personal</t>
        </is>
      </c>
      <c r="F830" t="inlineStr">
        <is>
          <t>Life Operations</t>
        </is>
      </c>
      <c r="G830" t="inlineStr">
        <is>
          <t>Groceries</t>
        </is>
      </c>
      <c r="H830" t="inlineStr">
        <is>
          <t>Personal &gt; Life Operations &gt; Quick Add &gt; Groceries</t>
        </is>
      </c>
      <c r="I830" s="18" t="n">
        <v>11069.93</v>
      </c>
      <c r="J830" t="inlineStr">
        <is>
          <t>Created MTR-IOS-0829 and correlation note visible in Activity/Pulse</t>
        </is>
      </c>
      <c r="K830" t="inlineStr">
        <is>
          <t>NOT_RUN</t>
        </is>
      </c>
      <c r="P830" t="n">
        <v>0</v>
      </c>
      <c r="Q830" t="n">
        <v>829</v>
      </c>
    </row>
    <row r="831">
      <c r="A831" t="n">
        <v>830</v>
      </c>
      <c r="B831" t="inlineStr">
        <is>
          <t>MTR-IOS-0830</t>
        </is>
      </c>
      <c r="C831" t="inlineStr">
        <is>
          <t>iPhone</t>
        </is>
      </c>
      <c r="D831" t="inlineStr">
        <is>
          <t>Group</t>
        </is>
      </c>
      <c r="E831" t="inlineStr">
        <is>
          <t>Shared Living</t>
        </is>
      </c>
      <c r="F831" t="inlineStr">
        <is>
          <t>Flatmates</t>
        </is>
      </c>
      <c r="G831" t="inlineStr">
        <is>
          <t>Repairs</t>
        </is>
      </c>
      <c r="H831" t="inlineStr">
        <is>
          <t>Group &gt; Flatmates &gt; Quick Add &gt; Repairs</t>
        </is>
      </c>
      <c r="I831" s="18" t="n">
        <v>25216.96</v>
      </c>
      <c r="J831" t="inlineStr">
        <is>
          <t>Created MTR-IOS-0830 and correlation note visible in Activity/Pulse</t>
        </is>
      </c>
      <c r="K831" t="inlineStr">
        <is>
          <t>NOT_RUN</t>
        </is>
      </c>
      <c r="P831" t="n">
        <v>0</v>
      </c>
      <c r="Q831" t="n">
        <v>830</v>
      </c>
    </row>
    <row r="832">
      <c r="A832" t="n">
        <v>831</v>
      </c>
      <c r="B832" t="inlineStr">
        <is>
          <t>MTR-IOS-0831</t>
        </is>
      </c>
      <c r="C832" t="inlineStr">
        <is>
          <t>iPhone</t>
        </is>
      </c>
      <c r="D832" t="inlineStr">
        <is>
          <t>Business</t>
        </is>
      </c>
      <c r="E832" t="inlineStr">
        <is>
          <t>Business</t>
        </is>
      </c>
      <c r="F832" t="inlineStr">
        <is>
          <t>Team Operations</t>
        </is>
      </c>
      <c r="G832" t="inlineStr">
        <is>
          <t>Team Meal</t>
        </is>
      </c>
      <c r="H832" t="inlineStr">
        <is>
          <t>Business &gt; Team Operations &gt; Quick Add &gt; Team Meal</t>
        </is>
      </c>
      <c r="I832" s="18" t="n">
        <v>84155.02</v>
      </c>
      <c r="J832" t="inlineStr">
        <is>
          <t>Created MTR-IOS-0831 and correlation note visible in Activity/Pulse</t>
        </is>
      </c>
      <c r="K832" t="inlineStr">
        <is>
          <t>NOT_RUN</t>
        </is>
      </c>
      <c r="P832" t="n">
        <v>0</v>
      </c>
      <c r="Q832" t="n">
        <v>831</v>
      </c>
    </row>
    <row r="833">
      <c r="A833" t="n">
        <v>832</v>
      </c>
      <c r="B833" t="inlineStr">
        <is>
          <t>MTR-IOS-0832</t>
        </is>
      </c>
      <c r="C833" t="inlineStr">
        <is>
          <t>iPhone</t>
        </is>
      </c>
      <c r="D833" t="inlineStr">
        <is>
          <t>Personal</t>
        </is>
      </c>
      <c r="E833" t="inlineStr">
        <is>
          <t>Personal</t>
        </is>
      </c>
      <c r="F833" t="inlineStr">
        <is>
          <t>Life Operations</t>
        </is>
      </c>
      <c r="G833" t="inlineStr">
        <is>
          <t>Rent</t>
        </is>
      </c>
      <c r="H833" t="inlineStr">
        <is>
          <t>Personal &gt; Life Operations &gt; Quick Add &gt; Rent</t>
        </is>
      </c>
      <c r="I833" s="18" t="n">
        <v>11975.11</v>
      </c>
      <c r="J833" t="inlineStr">
        <is>
          <t>Created MTR-IOS-0832 and correlation note visible in Activity/Pulse</t>
        </is>
      </c>
      <c r="K833" t="inlineStr">
        <is>
          <t>NOT_RUN</t>
        </is>
      </c>
      <c r="P833" t="n">
        <v>0</v>
      </c>
      <c r="Q833" t="n">
        <v>832</v>
      </c>
    </row>
    <row r="834">
      <c r="A834" t="n">
        <v>833</v>
      </c>
      <c r="B834" t="inlineStr">
        <is>
          <t>MTR-IOS-0833</t>
        </is>
      </c>
      <c r="C834" t="inlineStr">
        <is>
          <t>iPhone</t>
        </is>
      </c>
      <c r="D834" t="inlineStr">
        <is>
          <t>Group</t>
        </is>
      </c>
      <c r="E834" t="inlineStr">
        <is>
          <t>Shared Living</t>
        </is>
      </c>
      <c r="F834" t="inlineStr">
        <is>
          <t>Shared Living</t>
        </is>
      </c>
      <c r="G834" t="inlineStr">
        <is>
          <t>Rent</t>
        </is>
      </c>
      <c r="H834" t="inlineStr">
        <is>
          <t>Group &gt; Shared Living &gt; Quick Add &gt; Rent</t>
        </is>
      </c>
      <c r="I834" s="18" t="n">
        <v>17042.97</v>
      </c>
      <c r="J834" t="inlineStr">
        <is>
          <t>Created MTR-IOS-0833 and correlation note visible in Activity/Pulse</t>
        </is>
      </c>
      <c r="K834" t="inlineStr">
        <is>
          <t>NOT_RUN</t>
        </is>
      </c>
      <c r="P834" t="n">
        <v>0</v>
      </c>
      <c r="Q834" t="n">
        <v>833</v>
      </c>
    </row>
    <row r="835">
      <c r="A835" t="n">
        <v>834</v>
      </c>
      <c r="B835" t="inlineStr">
        <is>
          <t>MTR-IOS-0834</t>
        </is>
      </c>
      <c r="C835" t="inlineStr">
        <is>
          <t>iPhone</t>
        </is>
      </c>
      <c r="D835" t="inlineStr">
        <is>
          <t>Business</t>
        </is>
      </c>
      <c r="E835" t="inlineStr">
        <is>
          <t>Business</t>
        </is>
      </c>
      <c r="F835" t="inlineStr">
        <is>
          <t>Team Operations</t>
        </is>
      </c>
      <c r="G835" t="inlineStr">
        <is>
          <t>Travel</t>
        </is>
      </c>
      <c r="H835" t="inlineStr">
        <is>
          <t>Business &gt; Team Operations &gt; Quick Add &gt; Travel</t>
        </is>
      </c>
      <c r="I835" s="18" t="n">
        <v>164073.28</v>
      </c>
      <c r="J835" t="inlineStr">
        <is>
          <t>Created MTR-IOS-0834 and correlation note visible in Activity/Pulse</t>
        </is>
      </c>
      <c r="K835" t="inlineStr">
        <is>
          <t>NOT_RUN</t>
        </is>
      </c>
      <c r="P835" t="n">
        <v>0</v>
      </c>
      <c r="Q835" t="n">
        <v>834</v>
      </c>
    </row>
    <row r="836">
      <c r="A836" t="n">
        <v>835</v>
      </c>
      <c r="B836" t="inlineStr">
        <is>
          <t>MTR-IOS-0835</t>
        </is>
      </c>
      <c r="C836" t="inlineStr">
        <is>
          <t>iPhone</t>
        </is>
      </c>
      <c r="D836" t="inlineStr">
        <is>
          <t>Personal</t>
        </is>
      </c>
      <c r="E836" t="inlineStr">
        <is>
          <t>Personal</t>
        </is>
      </c>
      <c r="F836" t="inlineStr">
        <is>
          <t>Life Operations</t>
        </is>
      </c>
      <c r="G836" t="inlineStr">
        <is>
          <t>Bills</t>
        </is>
      </c>
      <c r="H836" t="inlineStr">
        <is>
          <t>Personal &gt; Life Operations &gt; Quick Add &gt; Bills</t>
        </is>
      </c>
      <c r="I836" s="18" t="n">
        <v>3508.24</v>
      </c>
      <c r="J836" t="inlineStr">
        <is>
          <t>Created MTR-IOS-0835 and correlation note visible in Activity/Pulse</t>
        </is>
      </c>
      <c r="K836" t="inlineStr">
        <is>
          <t>NOT_RUN</t>
        </is>
      </c>
      <c r="P836" t="n">
        <v>0</v>
      </c>
      <c r="Q836" t="n">
        <v>835</v>
      </c>
    </row>
    <row r="837">
      <c r="A837" t="n">
        <v>836</v>
      </c>
      <c r="B837" t="inlineStr">
        <is>
          <t>MTR-IOS-0836</t>
        </is>
      </c>
      <c r="C837" t="inlineStr">
        <is>
          <t>iPhone</t>
        </is>
      </c>
      <c r="D837" t="inlineStr">
        <is>
          <t>Group</t>
        </is>
      </c>
      <c r="E837" t="inlineStr">
        <is>
          <t>Shared Living</t>
        </is>
      </c>
      <c r="F837" t="inlineStr">
        <is>
          <t>Shared Living</t>
        </is>
      </c>
      <c r="G837" t="inlineStr">
        <is>
          <t>Utilities</t>
        </is>
      </c>
      <c r="H837" t="inlineStr">
        <is>
          <t>Group &gt; Shared Living &gt; Quick Add &gt; Utilities</t>
        </is>
      </c>
      <c r="I837" s="18" t="n">
        <v>3167.82</v>
      </c>
      <c r="J837" t="inlineStr">
        <is>
          <t>Created MTR-IOS-0836 and correlation note visible in Activity/Pulse</t>
        </is>
      </c>
      <c r="K837" t="inlineStr">
        <is>
          <t>NOT_RUN</t>
        </is>
      </c>
      <c r="P837" t="n">
        <v>0</v>
      </c>
      <c r="Q837" t="n">
        <v>836</v>
      </c>
    </row>
    <row r="838">
      <c r="A838" t="n">
        <v>837</v>
      </c>
      <c r="B838" t="inlineStr">
        <is>
          <t>MTR-IOS-0837</t>
        </is>
      </c>
      <c r="C838" t="inlineStr">
        <is>
          <t>iPhone</t>
        </is>
      </c>
      <c r="D838" t="inlineStr">
        <is>
          <t>Business</t>
        </is>
      </c>
      <c r="E838" t="inlineStr">
        <is>
          <t>Business</t>
        </is>
      </c>
      <c r="F838" t="inlineStr">
        <is>
          <t>Team Operations</t>
        </is>
      </c>
      <c r="G838" t="inlineStr">
        <is>
          <t>Training</t>
        </is>
      </c>
      <c r="H838" t="inlineStr">
        <is>
          <t>Business &gt; Team Operations &gt; Quick Add &gt; Training</t>
        </is>
      </c>
      <c r="I838" s="18" t="n">
        <v>117817.77</v>
      </c>
      <c r="J838" t="inlineStr">
        <is>
          <t>Created MTR-IOS-0837 and correlation note visible in Activity/Pulse</t>
        </is>
      </c>
      <c r="K838" t="inlineStr">
        <is>
          <t>NOT_RUN</t>
        </is>
      </c>
      <c r="P838" t="n">
        <v>0</v>
      </c>
      <c r="Q838" t="n">
        <v>837</v>
      </c>
    </row>
    <row r="839">
      <c r="A839" t="n">
        <v>838</v>
      </c>
      <c r="B839" t="inlineStr">
        <is>
          <t>MTR-IOS-0838</t>
        </is>
      </c>
      <c r="C839" t="inlineStr">
        <is>
          <t>iPhone</t>
        </is>
      </c>
      <c r="D839" t="inlineStr">
        <is>
          <t>Personal</t>
        </is>
      </c>
      <c r="E839" t="inlineStr">
        <is>
          <t>Personal</t>
        </is>
      </c>
      <c r="F839" t="inlineStr">
        <is>
          <t>Life Operations</t>
        </is>
      </c>
      <c r="G839" t="inlineStr">
        <is>
          <t>Transport</t>
        </is>
      </c>
      <c r="H839" t="inlineStr">
        <is>
          <t>Personal &gt; Life Operations &gt; Quick Add &gt; Transport</t>
        </is>
      </c>
      <c r="I839" s="18" t="n">
        <v>6216.45</v>
      </c>
      <c r="J839" t="inlineStr">
        <is>
          <t>Created MTR-IOS-0838 and correlation note visible in Activity/Pulse</t>
        </is>
      </c>
      <c r="K839" t="inlineStr">
        <is>
          <t>NOT_RUN</t>
        </is>
      </c>
      <c r="P839" t="n">
        <v>0</v>
      </c>
      <c r="Q839" t="n">
        <v>838</v>
      </c>
    </row>
    <row r="840">
      <c r="A840" t="n">
        <v>839</v>
      </c>
      <c r="B840" t="inlineStr">
        <is>
          <t>MTR-IOS-0839</t>
        </is>
      </c>
      <c r="C840" t="inlineStr">
        <is>
          <t>iPhone</t>
        </is>
      </c>
      <c r="D840" t="inlineStr">
        <is>
          <t>Group</t>
        </is>
      </c>
      <c r="E840" t="inlineStr">
        <is>
          <t>Shared Living</t>
        </is>
      </c>
      <c r="F840" t="inlineStr">
        <is>
          <t>Shared Living</t>
        </is>
      </c>
      <c r="G840" t="inlineStr">
        <is>
          <t>Groceries</t>
        </is>
      </c>
      <c r="H840" t="inlineStr">
        <is>
          <t>Group &gt; Shared Living &gt; Quick Add &gt; Groceries</t>
        </is>
      </c>
      <c r="I840" s="18" t="n">
        <v>22475.65</v>
      </c>
      <c r="J840" t="inlineStr">
        <is>
          <t>Created MTR-IOS-0839 and correlation note visible in Activity/Pulse</t>
        </is>
      </c>
      <c r="K840" t="inlineStr">
        <is>
          <t>NOT_RUN</t>
        </is>
      </c>
      <c r="P840" t="n">
        <v>0</v>
      </c>
      <c r="Q840" t="n">
        <v>839</v>
      </c>
    </row>
    <row r="841">
      <c r="A841" t="n">
        <v>840</v>
      </c>
      <c r="B841" t="inlineStr">
        <is>
          <t>MTR-IOS-0840</t>
        </is>
      </c>
      <c r="C841" t="inlineStr">
        <is>
          <t>iPhone</t>
        </is>
      </c>
      <c r="D841" t="inlineStr">
        <is>
          <t>Business</t>
        </is>
      </c>
      <c r="E841" t="inlineStr">
        <is>
          <t>Business</t>
        </is>
      </c>
      <c r="F841" t="inlineStr">
        <is>
          <t>Team Operations</t>
        </is>
      </c>
      <c r="G841" t="inlineStr">
        <is>
          <t>Tools</t>
        </is>
      </c>
      <c r="H841" t="inlineStr">
        <is>
          <t>Business &gt; Team Operations &gt; Quick Add &gt; Tools</t>
        </is>
      </c>
      <c r="I841" s="18" t="n">
        <v>19229.34</v>
      </c>
      <c r="J841" t="inlineStr">
        <is>
          <t>Created MTR-IOS-0840 and correlation note visible in Activity/Pulse</t>
        </is>
      </c>
      <c r="K841" t="inlineStr">
        <is>
          <t>NOT_RUN</t>
        </is>
      </c>
      <c r="P841" t="n">
        <v>0</v>
      </c>
      <c r="Q841" t="n">
        <v>840</v>
      </c>
    </row>
    <row r="842">
      <c r="A842" t="n">
        <v>841</v>
      </c>
      <c r="B842" t="inlineStr">
        <is>
          <t>MTR-IOS-0841</t>
        </is>
      </c>
      <c r="C842" t="inlineStr">
        <is>
          <t>iPhone</t>
        </is>
      </c>
      <c r="D842" t="inlineStr">
        <is>
          <t>Personal</t>
        </is>
      </c>
      <c r="E842" t="inlineStr">
        <is>
          <t>Personal</t>
        </is>
      </c>
      <c r="F842" t="inlineStr">
        <is>
          <t>Life Operations</t>
        </is>
      </c>
      <c r="G842" t="inlineStr">
        <is>
          <t>Healthcare</t>
        </is>
      </c>
      <c r="H842" t="inlineStr">
        <is>
          <t>Personal &gt; Life Operations &gt; Quick Add &gt; Healthcare</t>
        </is>
      </c>
      <c r="I842" s="18" t="n">
        <v>7280.19</v>
      </c>
      <c r="J842" t="inlineStr">
        <is>
          <t>Created MTR-IOS-0841 and correlation note visible in Activity/Pulse</t>
        </is>
      </c>
      <c r="K842" t="inlineStr">
        <is>
          <t>NOT_RUN</t>
        </is>
      </c>
      <c r="P842" t="n">
        <v>0</v>
      </c>
      <c r="Q842" t="n">
        <v>841</v>
      </c>
    </row>
    <row r="843">
      <c r="A843" t="n">
        <v>842</v>
      </c>
      <c r="B843" t="inlineStr">
        <is>
          <t>MTR-IOS-0842</t>
        </is>
      </c>
      <c r="C843" t="inlineStr">
        <is>
          <t>iPhone</t>
        </is>
      </c>
      <c r="D843" t="inlineStr">
        <is>
          <t>Group</t>
        </is>
      </c>
      <c r="E843" t="inlineStr">
        <is>
          <t>Shared Living</t>
        </is>
      </c>
      <c r="F843" t="inlineStr">
        <is>
          <t>Shared Living</t>
        </is>
      </c>
      <c r="G843" t="inlineStr">
        <is>
          <t>Maintenance</t>
        </is>
      </c>
      <c r="H843" t="inlineStr">
        <is>
          <t>Group &gt; Shared Living &gt; Quick Add &gt; Maintenance</t>
        </is>
      </c>
      <c r="I843" s="18" t="n">
        <v>2021.92</v>
      </c>
      <c r="J843" t="inlineStr">
        <is>
          <t>Created MTR-IOS-0842 and correlation note visible in Activity/Pulse</t>
        </is>
      </c>
      <c r="K843" t="inlineStr">
        <is>
          <t>NOT_RUN</t>
        </is>
      </c>
      <c r="P843" t="n">
        <v>0</v>
      </c>
      <c r="Q843" t="n">
        <v>842</v>
      </c>
    </row>
    <row r="844">
      <c r="A844" t="n">
        <v>843</v>
      </c>
      <c r="B844" t="inlineStr">
        <is>
          <t>MTR-IOS-0843</t>
        </is>
      </c>
      <c r="C844" t="inlineStr">
        <is>
          <t>iPhone</t>
        </is>
      </c>
      <c r="D844" t="inlineStr">
        <is>
          <t>Business</t>
        </is>
      </c>
      <c r="E844" t="inlineStr">
        <is>
          <t>Business</t>
        </is>
      </c>
      <c r="F844" t="inlineStr">
        <is>
          <t>Business Runway</t>
        </is>
      </c>
      <c r="G844" t="inlineStr">
        <is>
          <t>Funding</t>
        </is>
      </c>
      <c r="H844" t="inlineStr">
        <is>
          <t>Business &gt; Business Runway &gt; Quick Add &gt; Funding</t>
        </is>
      </c>
      <c r="I844" s="18" t="n">
        <v>59673.14</v>
      </c>
      <c r="J844" t="inlineStr">
        <is>
          <t>Created MTR-IOS-0843 and correlation note visible in Activity/Pulse</t>
        </is>
      </c>
      <c r="K844" t="inlineStr">
        <is>
          <t>NOT_RUN</t>
        </is>
      </c>
      <c r="P844" t="n">
        <v>0</v>
      </c>
      <c r="Q844" t="n">
        <v>843</v>
      </c>
    </row>
    <row r="845">
      <c r="A845" t="n">
        <v>844</v>
      </c>
      <c r="B845" t="inlineStr">
        <is>
          <t>MTR-IOS-0844</t>
        </is>
      </c>
      <c r="C845" t="inlineStr">
        <is>
          <t>iPhone</t>
        </is>
      </c>
      <c r="D845" t="inlineStr">
        <is>
          <t>Personal</t>
        </is>
      </c>
      <c r="E845" t="inlineStr">
        <is>
          <t>Personal</t>
        </is>
      </c>
      <c r="F845" t="inlineStr">
        <is>
          <t>Life Operations</t>
        </is>
      </c>
      <c r="G845" t="inlineStr">
        <is>
          <t>Subscriptions</t>
        </is>
      </c>
      <c r="H845" t="inlineStr">
        <is>
          <t>Personal &gt; Life Operations &gt; Quick Add &gt; Subscriptions</t>
        </is>
      </c>
      <c r="I845" s="18" t="n">
        <v>17485.54</v>
      </c>
      <c r="J845" t="inlineStr">
        <is>
          <t>Created MTR-IOS-0844 and correlation note visible in Activity/Pulse</t>
        </is>
      </c>
      <c r="K845" t="inlineStr">
        <is>
          <t>NOT_RUN</t>
        </is>
      </c>
      <c r="P845" t="n">
        <v>0</v>
      </c>
      <c r="Q845" t="n">
        <v>844</v>
      </c>
    </row>
    <row r="846">
      <c r="A846" t="n">
        <v>845</v>
      </c>
      <c r="B846" t="inlineStr">
        <is>
          <t>MTR-IOS-0845</t>
        </is>
      </c>
      <c r="C846" t="inlineStr">
        <is>
          <t>iPhone</t>
        </is>
      </c>
      <c r="D846" t="inlineStr">
        <is>
          <t>Group</t>
        </is>
      </c>
      <c r="E846" t="inlineStr">
        <is>
          <t>Shared Living</t>
        </is>
      </c>
      <c r="F846" t="inlineStr">
        <is>
          <t>Shared Living</t>
        </is>
      </c>
      <c r="G846" t="inlineStr">
        <is>
          <t>Other</t>
        </is>
      </c>
      <c r="H846" t="inlineStr">
        <is>
          <t>Group &gt; Shared Living &gt; Quick Add &gt; Other</t>
        </is>
      </c>
      <c r="I846" s="18" t="n">
        <v>2467.13</v>
      </c>
      <c r="J846" t="inlineStr">
        <is>
          <t>Created MTR-IOS-0845 and correlation note visible in Activity/Pulse</t>
        </is>
      </c>
      <c r="K846" t="inlineStr">
        <is>
          <t>NOT_RUN</t>
        </is>
      </c>
      <c r="P846" t="n">
        <v>0</v>
      </c>
      <c r="Q846" t="n">
        <v>845</v>
      </c>
    </row>
    <row r="847">
      <c r="A847" t="n">
        <v>846</v>
      </c>
      <c r="B847" t="inlineStr">
        <is>
          <t>MTR-IOS-0846</t>
        </is>
      </c>
      <c r="C847" t="inlineStr">
        <is>
          <t>iPhone</t>
        </is>
      </c>
      <c r="D847" t="inlineStr">
        <is>
          <t>Business</t>
        </is>
      </c>
      <c r="E847" t="inlineStr">
        <is>
          <t>Business</t>
        </is>
      </c>
      <c r="F847" t="inlineStr">
        <is>
          <t>Business Runway</t>
        </is>
      </c>
      <c r="G847" t="inlineStr">
        <is>
          <t>Revenue</t>
        </is>
      </c>
      <c r="H847" t="inlineStr">
        <is>
          <t>Business &gt; Business Runway &gt; Quick Add &gt; Revenue</t>
        </is>
      </c>
      <c r="I847" s="18" t="n">
        <v>21402.54</v>
      </c>
      <c r="J847" t="inlineStr">
        <is>
          <t>Created MTR-IOS-0846 and correlation note visible in Activity/Pulse</t>
        </is>
      </c>
      <c r="K847" t="inlineStr">
        <is>
          <t>NOT_RUN</t>
        </is>
      </c>
      <c r="P847" t="n">
        <v>0</v>
      </c>
      <c r="Q847" t="n">
        <v>846</v>
      </c>
    </row>
    <row r="848">
      <c r="A848" t="n">
        <v>847</v>
      </c>
      <c r="B848" t="inlineStr">
        <is>
          <t>MTR-IOS-0847</t>
        </is>
      </c>
      <c r="C848" t="inlineStr">
        <is>
          <t>iPhone</t>
        </is>
      </c>
      <c r="D848" t="inlineStr">
        <is>
          <t>Personal</t>
        </is>
      </c>
      <c r="E848" t="inlineStr">
        <is>
          <t>Personal</t>
        </is>
      </c>
      <c r="F848" t="inlineStr">
        <is>
          <t>Life Operations</t>
        </is>
      </c>
      <c r="G848" t="inlineStr">
        <is>
          <t>Repairs</t>
        </is>
      </c>
      <c r="H848" t="inlineStr">
        <is>
          <t>Personal &gt; Life Operations &gt; Quick Add &gt; Repairs</t>
        </is>
      </c>
      <c r="I848" s="18" t="n">
        <v>317.55</v>
      </c>
      <c r="J848" t="inlineStr">
        <is>
          <t>Created MTR-IOS-0847 and correlation note visible in Activity/Pulse</t>
        </is>
      </c>
      <c r="K848" t="inlineStr">
        <is>
          <t>NOT_RUN</t>
        </is>
      </c>
      <c r="P848" t="n">
        <v>0</v>
      </c>
      <c r="Q848" t="n">
        <v>847</v>
      </c>
    </row>
    <row r="849">
      <c r="A849" t="n">
        <v>848</v>
      </c>
      <c r="B849" t="inlineStr">
        <is>
          <t>MTR-IOS-0848</t>
        </is>
      </c>
      <c r="C849" t="inlineStr">
        <is>
          <t>iPhone</t>
        </is>
      </c>
      <c r="D849" t="inlineStr">
        <is>
          <t>Group</t>
        </is>
      </c>
      <c r="E849" t="inlineStr">
        <is>
          <t>Shared Living</t>
        </is>
      </c>
      <c r="F849" t="inlineStr">
        <is>
          <t>Family Household</t>
        </is>
      </c>
      <c r="G849" t="inlineStr">
        <is>
          <t>Groceries</t>
        </is>
      </c>
      <c r="H849" t="inlineStr">
        <is>
          <t>Group &gt; Family Household &gt; Quick Add &gt; Groceries</t>
        </is>
      </c>
      <c r="I849" s="18" t="n">
        <v>24302.63</v>
      </c>
      <c r="J849" t="inlineStr">
        <is>
          <t>Created MTR-IOS-0848 and correlation note visible in Activity/Pulse</t>
        </is>
      </c>
      <c r="K849" t="inlineStr">
        <is>
          <t>NOT_RUN</t>
        </is>
      </c>
      <c r="P849" t="n">
        <v>0</v>
      </c>
      <c r="Q849" t="n">
        <v>848</v>
      </c>
    </row>
    <row r="850">
      <c r="A850" t="n">
        <v>849</v>
      </c>
      <c r="B850" t="inlineStr">
        <is>
          <t>MTR-IOS-0849</t>
        </is>
      </c>
      <c r="C850" t="inlineStr">
        <is>
          <t>iPhone</t>
        </is>
      </c>
      <c r="D850" t="inlineStr">
        <is>
          <t>Business</t>
        </is>
      </c>
      <c r="E850" t="inlineStr">
        <is>
          <t>Business</t>
        </is>
      </c>
      <c r="F850" t="inlineStr">
        <is>
          <t>Business Runway</t>
        </is>
      </c>
      <c r="G850" t="inlineStr">
        <is>
          <t>Burn</t>
        </is>
      </c>
      <c r="H850" t="inlineStr">
        <is>
          <t>Business &gt; Business Runway &gt; Quick Add &gt; Burn</t>
        </is>
      </c>
      <c r="I850" s="18" t="n">
        <v>31563.98</v>
      </c>
      <c r="J850" t="inlineStr">
        <is>
          <t>Created MTR-IOS-0849 and correlation note visible in Activity/Pulse</t>
        </is>
      </c>
      <c r="K850" t="inlineStr">
        <is>
          <t>NOT_RUN</t>
        </is>
      </c>
      <c r="P850" t="n">
        <v>0</v>
      </c>
      <c r="Q850" t="n">
        <v>849</v>
      </c>
    </row>
    <row r="851">
      <c r="A851" t="n">
        <v>850</v>
      </c>
      <c r="B851" t="inlineStr">
        <is>
          <t>MTR-IOS-0850</t>
        </is>
      </c>
      <c r="C851" t="inlineStr">
        <is>
          <t>iPhone</t>
        </is>
      </c>
      <c r="D851" t="inlineStr">
        <is>
          <t>Personal</t>
        </is>
      </c>
      <c r="E851" t="inlineStr">
        <is>
          <t>Personal</t>
        </is>
      </c>
      <c r="F851" t="inlineStr">
        <is>
          <t>Future Building</t>
        </is>
      </c>
      <c r="G851" t="inlineStr">
        <is>
          <t>Savings</t>
        </is>
      </c>
      <c r="H851" t="inlineStr">
        <is>
          <t>Personal &gt; Future Building &gt; Quick Add &gt; Savings</t>
        </is>
      </c>
      <c r="I851" s="18" t="n">
        <v>2352.96</v>
      </c>
      <c r="J851" t="inlineStr">
        <is>
          <t>Created MTR-IOS-0850 and correlation note visible in Activity/Pulse</t>
        </is>
      </c>
      <c r="K851" t="inlineStr">
        <is>
          <t>NOT_RUN</t>
        </is>
      </c>
      <c r="P851" t="n">
        <v>0</v>
      </c>
      <c r="Q851" t="n">
        <v>850</v>
      </c>
    </row>
    <row r="852">
      <c r="A852" t="n">
        <v>851</v>
      </c>
      <c r="B852" t="inlineStr">
        <is>
          <t>MTR-IOS-0851</t>
        </is>
      </c>
      <c r="C852" t="inlineStr">
        <is>
          <t>iPhone</t>
        </is>
      </c>
      <c r="D852" t="inlineStr">
        <is>
          <t>Group</t>
        </is>
      </c>
      <c r="E852" t="inlineStr">
        <is>
          <t>Shared Living</t>
        </is>
      </c>
      <c r="F852" t="inlineStr">
        <is>
          <t>Family Household</t>
        </is>
      </c>
      <c r="G852" t="inlineStr">
        <is>
          <t>Bills</t>
        </is>
      </c>
      <c r="H852" t="inlineStr">
        <is>
          <t>Group &gt; Family Household &gt; Quick Add &gt; Bills</t>
        </is>
      </c>
      <c r="I852" s="18" t="n">
        <v>10000</v>
      </c>
      <c r="J852" t="inlineStr">
        <is>
          <t>Created MTR-IOS-0851 and correlation note visible in Activity/Pulse</t>
        </is>
      </c>
      <c r="K852" t="inlineStr">
        <is>
          <t>NOT_RUN</t>
        </is>
      </c>
      <c r="P852" t="n">
        <v>0</v>
      </c>
      <c r="Q852" t="n">
        <v>851</v>
      </c>
    </row>
    <row r="853">
      <c r="A853" t="n">
        <v>852</v>
      </c>
      <c r="B853" t="inlineStr">
        <is>
          <t>MTR-IOS-0852</t>
        </is>
      </c>
      <c r="C853" t="inlineStr">
        <is>
          <t>iPhone</t>
        </is>
      </c>
      <c r="D853" t="inlineStr">
        <is>
          <t>Business</t>
        </is>
      </c>
      <c r="E853" t="inlineStr">
        <is>
          <t>Business</t>
        </is>
      </c>
      <c r="F853" t="inlineStr">
        <is>
          <t>Business Runway</t>
        </is>
      </c>
      <c r="G853" t="inlineStr">
        <is>
          <t>Reserve</t>
        </is>
      </c>
      <c r="H853" t="inlineStr">
        <is>
          <t>Business &gt; Business Runway &gt; Quick Add &gt; Reserve</t>
        </is>
      </c>
      <c r="I853" s="18" t="n">
        <v>153346.27</v>
      </c>
      <c r="J853" t="inlineStr">
        <is>
          <t>Created MTR-IOS-0852 and correlation note visible in Activity/Pulse</t>
        </is>
      </c>
      <c r="K853" t="inlineStr">
        <is>
          <t>NOT_RUN</t>
        </is>
      </c>
      <c r="P853" t="n">
        <v>0</v>
      </c>
      <c r="Q853" t="n">
        <v>852</v>
      </c>
    </row>
    <row r="854">
      <c r="A854" t="n">
        <v>853</v>
      </c>
      <c r="B854" t="inlineStr">
        <is>
          <t>MTR-IOS-0853</t>
        </is>
      </c>
      <c r="C854" t="inlineStr">
        <is>
          <t>iPhone</t>
        </is>
      </c>
      <c r="D854" t="inlineStr">
        <is>
          <t>Personal</t>
        </is>
      </c>
      <c r="E854" t="inlineStr">
        <is>
          <t>Personal</t>
        </is>
      </c>
      <c r="F854" t="inlineStr">
        <is>
          <t>Future Building</t>
        </is>
      </c>
      <c r="G854" t="inlineStr">
        <is>
          <t>Emergency Fund</t>
        </is>
      </c>
      <c r="H854" t="inlineStr">
        <is>
          <t>Personal &gt; Future Building &gt; Quick Add &gt; Emergency Fund</t>
        </is>
      </c>
      <c r="I854" s="18" t="n">
        <v>2505.51</v>
      </c>
      <c r="J854" t="inlineStr">
        <is>
          <t>Created MTR-IOS-0853 and correlation note visible in Activity/Pulse</t>
        </is>
      </c>
      <c r="K854" t="inlineStr">
        <is>
          <t>NOT_RUN</t>
        </is>
      </c>
      <c r="P854" t="n">
        <v>0</v>
      </c>
      <c r="Q854" t="n">
        <v>853</v>
      </c>
    </row>
    <row r="855">
      <c r="A855" t="n">
        <v>854</v>
      </c>
      <c r="B855" t="inlineStr">
        <is>
          <t>MTR-IOS-0854</t>
        </is>
      </c>
      <c r="C855" t="inlineStr">
        <is>
          <t>iPhone</t>
        </is>
      </c>
      <c r="D855" t="inlineStr">
        <is>
          <t>Group</t>
        </is>
      </c>
      <c r="E855" t="inlineStr">
        <is>
          <t>Shared Living</t>
        </is>
      </c>
      <c r="F855" t="inlineStr">
        <is>
          <t>Family Household</t>
        </is>
      </c>
      <c r="G855" t="inlineStr">
        <is>
          <t>School</t>
        </is>
      </c>
      <c r="H855" t="inlineStr">
        <is>
          <t>Group &gt; Family Household &gt; Quick Add &gt; School</t>
        </is>
      </c>
      <c r="I855" s="18" t="n">
        <v>13736.33</v>
      </c>
      <c r="J855" t="inlineStr">
        <is>
          <t>Created MTR-IOS-0854 and correlation note visible in Activity/Pulse</t>
        </is>
      </c>
      <c r="K855" t="inlineStr">
        <is>
          <t>NOT_RUN</t>
        </is>
      </c>
      <c r="P855" t="n">
        <v>0</v>
      </c>
      <c r="Q855" t="n">
        <v>854</v>
      </c>
    </row>
    <row r="856">
      <c r="A856" t="n">
        <v>855</v>
      </c>
      <c r="B856" t="inlineStr">
        <is>
          <t>MTR-IOS-0855</t>
        </is>
      </c>
      <c r="C856" t="inlineStr">
        <is>
          <t>iPhone</t>
        </is>
      </c>
      <c r="D856" t="inlineStr">
        <is>
          <t>Business</t>
        </is>
      </c>
      <c r="E856" t="inlineStr">
        <is>
          <t>Business</t>
        </is>
      </c>
      <c r="F856" t="inlineStr">
        <is>
          <t>Business Runway</t>
        </is>
      </c>
      <c r="G856" t="inlineStr">
        <is>
          <t>Loan</t>
        </is>
      </c>
      <c r="H856" t="inlineStr">
        <is>
          <t>Business &gt; Business Runway &gt; Quick Add &gt; Loan</t>
        </is>
      </c>
      <c r="I856" s="18" t="n">
        <v>103867.96</v>
      </c>
      <c r="J856" t="inlineStr">
        <is>
          <t>Created MTR-IOS-0855 and correlation note visible in Activity/Pulse</t>
        </is>
      </c>
      <c r="K856" t="inlineStr">
        <is>
          <t>NOT_RUN</t>
        </is>
      </c>
      <c r="P856" t="n">
        <v>0</v>
      </c>
      <c r="Q856" t="n">
        <v>855</v>
      </c>
    </row>
    <row r="857">
      <c r="A857" t="n">
        <v>856</v>
      </c>
      <c r="B857" t="inlineStr">
        <is>
          <t>MTR-IOS-0856</t>
        </is>
      </c>
      <c r="C857" t="inlineStr">
        <is>
          <t>iPhone</t>
        </is>
      </c>
      <c r="D857" t="inlineStr">
        <is>
          <t>Personal</t>
        </is>
      </c>
      <c r="E857" t="inlineStr">
        <is>
          <t>Personal</t>
        </is>
      </c>
      <c r="F857" t="inlineStr">
        <is>
          <t>Future Building</t>
        </is>
      </c>
      <c r="G857" t="inlineStr">
        <is>
          <t>Investments</t>
        </is>
      </c>
      <c r="H857" t="inlineStr">
        <is>
          <t>Personal &gt; Future Building &gt; Quick Add &gt; Investments</t>
        </is>
      </c>
      <c r="I857" s="18" t="n">
        <v>4257.21</v>
      </c>
      <c r="J857" t="inlineStr">
        <is>
          <t>Created MTR-IOS-0856 and correlation note visible in Activity/Pulse</t>
        </is>
      </c>
      <c r="K857" t="inlineStr">
        <is>
          <t>NOT_RUN</t>
        </is>
      </c>
      <c r="P857" t="n">
        <v>0</v>
      </c>
      <c r="Q857" t="n">
        <v>856</v>
      </c>
    </row>
    <row r="858">
      <c r="A858" t="n">
        <v>857</v>
      </c>
      <c r="B858" t="inlineStr">
        <is>
          <t>MTR-IOS-0857</t>
        </is>
      </c>
      <c r="C858" t="inlineStr">
        <is>
          <t>iPhone</t>
        </is>
      </c>
      <c r="D858" t="inlineStr">
        <is>
          <t>Group</t>
        </is>
      </c>
      <c r="E858" t="inlineStr">
        <is>
          <t>Shared Living</t>
        </is>
      </c>
      <c r="F858" t="inlineStr">
        <is>
          <t>Family Household</t>
        </is>
      </c>
      <c r="G858" t="inlineStr">
        <is>
          <t>Healthcare</t>
        </is>
      </c>
      <c r="H858" t="inlineStr">
        <is>
          <t>Group &gt; Family Household &gt; Quick Add &gt; Healthcare</t>
        </is>
      </c>
      <c r="I858" s="18" t="n">
        <v>22984.52</v>
      </c>
      <c r="J858" t="inlineStr">
        <is>
          <t>Created MTR-IOS-0857 and correlation note visible in Activity/Pulse</t>
        </is>
      </c>
      <c r="K858" t="inlineStr">
        <is>
          <t>NOT_RUN</t>
        </is>
      </c>
      <c r="P858" t="n">
        <v>0</v>
      </c>
      <c r="Q858" t="n">
        <v>857</v>
      </c>
    </row>
    <row r="859">
      <c r="A859" t="n">
        <v>858</v>
      </c>
      <c r="B859" t="inlineStr">
        <is>
          <t>MTR-IOS-0858</t>
        </is>
      </c>
      <c r="C859" t="inlineStr">
        <is>
          <t>iPhone</t>
        </is>
      </c>
      <c r="D859" t="inlineStr">
        <is>
          <t>Business</t>
        </is>
      </c>
      <c r="E859" t="inlineStr">
        <is>
          <t>Business</t>
        </is>
      </c>
      <c r="F859" t="inlineStr">
        <is>
          <t>Business Runway</t>
        </is>
      </c>
      <c r="G859" t="inlineStr">
        <is>
          <t>Investment</t>
        </is>
      </c>
      <c r="H859" t="inlineStr">
        <is>
          <t>Business &gt; Business Runway &gt; Quick Add &gt; Investment</t>
        </is>
      </c>
      <c r="I859" s="18" t="n">
        <v>132289.28</v>
      </c>
      <c r="J859" t="inlineStr">
        <is>
          <t>Created MTR-IOS-0858 and correlation note visible in Activity/Pulse</t>
        </is>
      </c>
      <c r="K859" t="inlineStr">
        <is>
          <t>NOT_RUN</t>
        </is>
      </c>
      <c r="P859" t="n">
        <v>0</v>
      </c>
      <c r="Q859" t="n">
        <v>858</v>
      </c>
    </row>
    <row r="860">
      <c r="A860" t="n">
        <v>859</v>
      </c>
      <c r="B860" t="inlineStr">
        <is>
          <t>MTR-IOS-0859</t>
        </is>
      </c>
      <c r="C860" t="inlineStr">
        <is>
          <t>iPhone</t>
        </is>
      </c>
      <c r="D860" t="inlineStr">
        <is>
          <t>Personal</t>
        </is>
      </c>
      <c r="E860" t="inlineStr">
        <is>
          <t>Personal</t>
        </is>
      </c>
      <c r="F860" t="inlineStr">
        <is>
          <t>Future Building</t>
        </is>
      </c>
      <c r="G860" t="inlineStr">
        <is>
          <t>Education</t>
        </is>
      </c>
      <c r="H860" t="inlineStr">
        <is>
          <t>Personal &gt; Future Building &gt; Quick Add &gt; Education</t>
        </is>
      </c>
      <c r="I860" s="18" t="n">
        <v>2322.72</v>
      </c>
      <c r="J860" t="inlineStr">
        <is>
          <t>Created MTR-IOS-0859 and correlation note visible in Activity/Pulse</t>
        </is>
      </c>
      <c r="K860" t="inlineStr">
        <is>
          <t>NOT_RUN</t>
        </is>
      </c>
      <c r="P860" t="n">
        <v>0</v>
      </c>
      <c r="Q860" t="n">
        <v>859</v>
      </c>
    </row>
    <row r="861">
      <c r="A861" t="n">
        <v>860</v>
      </c>
      <c r="B861" t="inlineStr">
        <is>
          <t>MTR-IOS-0860</t>
        </is>
      </c>
      <c r="C861" t="inlineStr">
        <is>
          <t>iPhone</t>
        </is>
      </c>
      <c r="D861" t="inlineStr">
        <is>
          <t>Group</t>
        </is>
      </c>
      <c r="E861" t="inlineStr">
        <is>
          <t>Shared Living</t>
        </is>
      </c>
      <c r="F861" t="inlineStr">
        <is>
          <t>Family Household</t>
        </is>
      </c>
      <c r="G861" t="inlineStr">
        <is>
          <t>Home</t>
        </is>
      </c>
      <c r="H861" t="inlineStr">
        <is>
          <t>Group &gt; Family Household &gt; Quick Add &gt; Home</t>
        </is>
      </c>
      <c r="I861" s="18" t="n">
        <v>6273.54</v>
      </c>
      <c r="J861" t="inlineStr">
        <is>
          <t>Created MTR-IOS-0860 and correlation note visible in Activity/Pulse</t>
        </is>
      </c>
      <c r="K861" t="inlineStr">
        <is>
          <t>NOT_RUN</t>
        </is>
      </c>
      <c r="P861" t="n">
        <v>0</v>
      </c>
      <c r="Q861" t="n">
        <v>860</v>
      </c>
    </row>
    <row r="862">
      <c r="A862" t="n">
        <v>861</v>
      </c>
      <c r="B862" t="inlineStr">
        <is>
          <t>MTR-IOS-0861</t>
        </is>
      </c>
      <c r="C862" t="inlineStr">
        <is>
          <t>iPhone</t>
        </is>
      </c>
      <c r="D862" t="inlineStr">
        <is>
          <t>Business</t>
        </is>
      </c>
      <c r="E862" t="inlineStr">
        <is>
          <t>Business</t>
        </is>
      </c>
      <c r="F862" t="inlineStr">
        <is>
          <t>Business Operations</t>
        </is>
      </c>
      <c r="G862" t="inlineStr">
        <is>
          <t>Software</t>
        </is>
      </c>
      <c r="H862" t="inlineStr">
        <is>
          <t>Business &gt; Business Operations &gt; Quick Add &gt; Software</t>
        </is>
      </c>
      <c r="I862" s="18" t="n">
        <v>134575.96</v>
      </c>
      <c r="J862" t="inlineStr">
        <is>
          <t>Created MTR-IOS-0861 and correlation note visible in Activity/Pulse</t>
        </is>
      </c>
      <c r="K862" t="inlineStr">
        <is>
          <t>NOT_RUN</t>
        </is>
      </c>
      <c r="P862" t="n">
        <v>0</v>
      </c>
      <c r="Q862" t="n">
        <v>861</v>
      </c>
    </row>
    <row r="863">
      <c r="A863" t="n">
        <v>862</v>
      </c>
      <c r="B863" t="inlineStr">
        <is>
          <t>MTR-IOS-0862</t>
        </is>
      </c>
      <c r="C863" t="inlineStr">
        <is>
          <t>iPhone</t>
        </is>
      </c>
      <c r="D863" t="inlineStr">
        <is>
          <t>Personal</t>
        </is>
      </c>
      <c r="E863" t="inlineStr">
        <is>
          <t>Personal</t>
        </is>
      </c>
      <c r="F863" t="inlineStr">
        <is>
          <t>Future Building</t>
        </is>
      </c>
      <c r="G863" t="inlineStr">
        <is>
          <t>Goal Contribution</t>
        </is>
      </c>
      <c r="H863" t="inlineStr">
        <is>
          <t>Personal &gt; Future Building &gt; Quick Add &gt; Goal Contribution</t>
        </is>
      </c>
      <c r="I863" s="18" t="n">
        <v>17815.82</v>
      </c>
      <c r="J863" t="inlineStr">
        <is>
          <t>Created MTR-IOS-0862 and correlation note visible in Activity/Pulse</t>
        </is>
      </c>
      <c r="K863" t="inlineStr">
        <is>
          <t>NOT_RUN</t>
        </is>
      </c>
      <c r="P863" t="n">
        <v>0</v>
      </c>
      <c r="Q863" t="n">
        <v>862</v>
      </c>
    </row>
    <row r="864">
      <c r="A864" t="n">
        <v>863</v>
      </c>
      <c r="B864" t="inlineStr">
        <is>
          <t>MTR-IOS-0863</t>
        </is>
      </c>
      <c r="C864" t="inlineStr">
        <is>
          <t>iPhone</t>
        </is>
      </c>
      <c r="D864" t="inlineStr">
        <is>
          <t>Group</t>
        </is>
      </c>
      <c r="E864" t="inlineStr">
        <is>
          <t>Shared Living</t>
        </is>
      </c>
      <c r="F864" t="inlineStr">
        <is>
          <t>Family Household</t>
        </is>
      </c>
      <c r="G864" t="inlineStr">
        <is>
          <t>Other</t>
        </is>
      </c>
      <c r="H864" t="inlineStr">
        <is>
          <t>Group &gt; Family Household &gt; Quick Add &gt; Other</t>
        </is>
      </c>
      <c r="I864" s="18" t="n">
        <v>13289.51</v>
      </c>
      <c r="J864" t="inlineStr">
        <is>
          <t>Created MTR-IOS-0863 and correlation note visible in Activity/Pulse</t>
        </is>
      </c>
      <c r="K864" t="inlineStr">
        <is>
          <t>NOT_RUN</t>
        </is>
      </c>
      <c r="P864" t="n">
        <v>0</v>
      </c>
      <c r="Q864" t="n">
        <v>863</v>
      </c>
    </row>
    <row r="865">
      <c r="A865" t="n">
        <v>864</v>
      </c>
      <c r="B865" t="inlineStr">
        <is>
          <t>MTR-IOS-0864</t>
        </is>
      </c>
      <c r="C865" t="inlineStr">
        <is>
          <t>iPhone</t>
        </is>
      </c>
      <c r="D865" t="inlineStr">
        <is>
          <t>Business</t>
        </is>
      </c>
      <c r="E865" t="inlineStr">
        <is>
          <t>Business</t>
        </is>
      </c>
      <c r="F865" t="inlineStr">
        <is>
          <t>Business Operations</t>
        </is>
      </c>
      <c r="G865" t="inlineStr">
        <is>
          <t>Rent</t>
        </is>
      </c>
      <c r="H865" t="inlineStr">
        <is>
          <t>Business &gt; Business Operations &gt; Quick Add &gt; Rent</t>
        </is>
      </c>
      <c r="I865" s="18" t="n">
        <v>113631.59</v>
      </c>
      <c r="J865" t="inlineStr">
        <is>
          <t>Created MTR-IOS-0864 and correlation note visible in Activity/Pulse</t>
        </is>
      </c>
      <c r="K865" t="inlineStr">
        <is>
          <t>NOT_RUN</t>
        </is>
      </c>
      <c r="P865" t="n">
        <v>0</v>
      </c>
      <c r="Q865" t="n">
        <v>864</v>
      </c>
    </row>
    <row r="866">
      <c r="A866" t="n">
        <v>865</v>
      </c>
      <c r="B866" t="inlineStr">
        <is>
          <t>MTR-IOS-0865</t>
        </is>
      </c>
      <c r="C866" t="inlineStr">
        <is>
          <t>iPhone</t>
        </is>
      </c>
      <c r="D866" t="inlineStr">
        <is>
          <t>Personal</t>
        </is>
      </c>
      <c r="E866" t="inlineStr">
        <is>
          <t>Personal</t>
        </is>
      </c>
      <c r="F866" t="inlineStr">
        <is>
          <t>Lifestyle</t>
        </is>
      </c>
      <c r="G866" t="inlineStr">
        <is>
          <t>Dining</t>
        </is>
      </c>
      <c r="H866" t="inlineStr">
        <is>
          <t>Personal &gt; Lifestyle &gt; Quick Add &gt; Dining</t>
        </is>
      </c>
      <c r="I866" s="18" t="n">
        <v>14191.17</v>
      </c>
      <c r="J866" t="inlineStr">
        <is>
          <t>Created MTR-IOS-0865 and correlation note visible in Activity/Pulse</t>
        </is>
      </c>
      <c r="K866" t="inlineStr">
        <is>
          <t>NOT_RUN</t>
        </is>
      </c>
      <c r="P866" t="n">
        <v>0</v>
      </c>
      <c r="Q866" t="n">
        <v>865</v>
      </c>
    </row>
    <row r="867">
      <c r="A867" t="n">
        <v>866</v>
      </c>
      <c r="B867" t="inlineStr">
        <is>
          <t>MTR-IOS-0866</t>
        </is>
      </c>
      <c r="C867" t="inlineStr">
        <is>
          <t>iPhone</t>
        </is>
      </c>
      <c r="D867" t="inlineStr">
        <is>
          <t>Group</t>
        </is>
      </c>
      <c r="E867" t="inlineStr">
        <is>
          <t>Shared Living</t>
        </is>
      </c>
      <c r="F867" t="inlineStr">
        <is>
          <t>Custom Living</t>
        </is>
      </c>
      <c r="G867" t="inlineStr">
        <is>
          <t>Custom Expense</t>
        </is>
      </c>
      <c r="H867" t="inlineStr">
        <is>
          <t>Group &gt; Custom Living &gt; Quick Add &gt; Custom Expense</t>
        </is>
      </c>
      <c r="I867" s="18" t="n">
        <v>14865.78</v>
      </c>
      <c r="J867" t="inlineStr">
        <is>
          <t>Created MTR-IOS-0866 and correlation note visible in Activity/Pulse</t>
        </is>
      </c>
      <c r="K867" t="inlineStr">
        <is>
          <t>NOT_RUN</t>
        </is>
      </c>
      <c r="P867" t="n">
        <v>0</v>
      </c>
      <c r="Q867" t="n">
        <v>866</v>
      </c>
    </row>
    <row r="868">
      <c r="A868" t="n">
        <v>867</v>
      </c>
      <c r="B868" t="inlineStr">
        <is>
          <t>MTR-IOS-0867</t>
        </is>
      </c>
      <c r="C868" t="inlineStr">
        <is>
          <t>iPhone</t>
        </is>
      </c>
      <c r="D868" t="inlineStr">
        <is>
          <t>Business</t>
        </is>
      </c>
      <c r="E868" t="inlineStr">
        <is>
          <t>Business</t>
        </is>
      </c>
      <c r="F868" t="inlineStr">
        <is>
          <t>Business Operations</t>
        </is>
      </c>
      <c r="G868" t="inlineStr">
        <is>
          <t>Marketing</t>
        </is>
      </c>
      <c r="H868" t="inlineStr">
        <is>
          <t>Business &gt; Business Operations &gt; Quick Add &gt; Marketing</t>
        </is>
      </c>
      <c r="I868" s="18" t="n">
        <v>134106.95</v>
      </c>
      <c r="J868" t="inlineStr">
        <is>
          <t>Created MTR-IOS-0867 and correlation note visible in Activity/Pulse</t>
        </is>
      </c>
      <c r="K868" t="inlineStr">
        <is>
          <t>NOT_RUN</t>
        </is>
      </c>
      <c r="P868" t="n">
        <v>0</v>
      </c>
      <c r="Q868" t="n">
        <v>867</v>
      </c>
    </row>
    <row r="869">
      <c r="A869" t="n">
        <v>868</v>
      </c>
      <c r="B869" t="inlineStr">
        <is>
          <t>MTR-IOS-0868</t>
        </is>
      </c>
      <c r="C869" t="inlineStr">
        <is>
          <t>iPhone</t>
        </is>
      </c>
      <c r="D869" t="inlineStr">
        <is>
          <t>Personal</t>
        </is>
      </c>
      <c r="E869" t="inlineStr">
        <is>
          <t>Personal</t>
        </is>
      </c>
      <c r="F869" t="inlineStr">
        <is>
          <t>Lifestyle</t>
        </is>
      </c>
      <c r="G869" t="inlineStr">
        <is>
          <t>Shopping</t>
        </is>
      </c>
      <c r="H869" t="inlineStr">
        <is>
          <t>Personal &gt; Lifestyle &gt; Quick Add &gt; Shopping</t>
        </is>
      </c>
      <c r="I869" s="18" t="n">
        <v>12485.3</v>
      </c>
      <c r="J869" t="inlineStr">
        <is>
          <t>Created MTR-IOS-0868 and correlation note visible in Activity/Pulse</t>
        </is>
      </c>
      <c r="K869" t="inlineStr">
        <is>
          <t>NOT_RUN</t>
        </is>
      </c>
      <c r="P869" t="n">
        <v>0</v>
      </c>
      <c r="Q869" t="n">
        <v>868</v>
      </c>
    </row>
    <row r="870">
      <c r="A870" t="n">
        <v>869</v>
      </c>
      <c r="B870" t="inlineStr">
        <is>
          <t>MTR-IOS-0869</t>
        </is>
      </c>
      <c r="C870" t="inlineStr">
        <is>
          <t>iPhone</t>
        </is>
      </c>
      <c r="D870" t="inlineStr">
        <is>
          <t>Group</t>
        </is>
      </c>
      <c r="E870" t="inlineStr">
        <is>
          <t>Shared Living</t>
        </is>
      </c>
      <c r="F870" t="inlineStr">
        <is>
          <t>Custom Living</t>
        </is>
      </c>
      <c r="G870" t="inlineStr">
        <is>
          <t>Custom Contribution</t>
        </is>
      </c>
      <c r="H870" t="inlineStr">
        <is>
          <t>Group &gt; Custom Living &gt; Quick Add &gt; Custom Contribution</t>
        </is>
      </c>
      <c r="I870" s="18" t="n">
        <v>12515.18</v>
      </c>
      <c r="J870" t="inlineStr">
        <is>
          <t>Created MTR-IOS-0869 and correlation note visible in Activity/Pulse</t>
        </is>
      </c>
      <c r="K870" t="inlineStr">
        <is>
          <t>NOT_RUN</t>
        </is>
      </c>
      <c r="P870" t="n">
        <v>0</v>
      </c>
      <c r="Q870" t="n">
        <v>869</v>
      </c>
    </row>
    <row r="871">
      <c r="A871" t="n">
        <v>870</v>
      </c>
      <c r="B871" t="inlineStr">
        <is>
          <t>MTR-IOS-0870</t>
        </is>
      </c>
      <c r="C871" t="inlineStr">
        <is>
          <t>iPhone</t>
        </is>
      </c>
      <c r="D871" t="inlineStr">
        <is>
          <t>Business</t>
        </is>
      </c>
      <c r="E871" t="inlineStr">
        <is>
          <t>Business</t>
        </is>
      </c>
      <c r="F871" t="inlineStr">
        <is>
          <t>Business Operations</t>
        </is>
      </c>
      <c r="G871" t="inlineStr">
        <is>
          <t>Legal</t>
        </is>
      </c>
      <c r="H871" t="inlineStr">
        <is>
          <t>Business &gt; Business Operations &gt; Quick Add &gt; Legal</t>
        </is>
      </c>
      <c r="I871" s="18" t="n">
        <v>61077.69</v>
      </c>
      <c r="J871" t="inlineStr">
        <is>
          <t>Created MTR-IOS-0870 and correlation note visible in Activity/Pulse</t>
        </is>
      </c>
      <c r="K871" t="inlineStr">
        <is>
          <t>NOT_RUN</t>
        </is>
      </c>
      <c r="P871" t="n">
        <v>0</v>
      </c>
      <c r="Q871" t="n">
        <v>870</v>
      </c>
    </row>
    <row r="872">
      <c r="A872" t="n">
        <v>871</v>
      </c>
      <c r="B872" t="inlineStr">
        <is>
          <t>MTR-IOS-0871</t>
        </is>
      </c>
      <c r="C872" t="inlineStr">
        <is>
          <t>iPhone</t>
        </is>
      </c>
      <c r="D872" t="inlineStr">
        <is>
          <t>Personal</t>
        </is>
      </c>
      <c r="E872" t="inlineStr">
        <is>
          <t>Personal</t>
        </is>
      </c>
      <c r="F872" t="inlineStr">
        <is>
          <t>Lifestyle</t>
        </is>
      </c>
      <c r="G872" t="inlineStr">
        <is>
          <t>Entertainment</t>
        </is>
      </c>
      <c r="H872" t="inlineStr">
        <is>
          <t>Personal &gt; Lifestyle &gt; Quick Add &gt; Entertainment</t>
        </is>
      </c>
      <c r="I872" s="18" t="n">
        <v>4590.41</v>
      </c>
      <c r="J872" t="inlineStr">
        <is>
          <t>Created MTR-IOS-0871 and correlation note visible in Activity/Pulse</t>
        </is>
      </c>
      <c r="K872" t="inlineStr">
        <is>
          <t>NOT_RUN</t>
        </is>
      </c>
      <c r="P872" t="n">
        <v>0</v>
      </c>
      <c r="Q872" t="n">
        <v>871</v>
      </c>
    </row>
    <row r="873">
      <c r="A873" t="n">
        <v>872</v>
      </c>
      <c r="B873" t="inlineStr">
        <is>
          <t>MTR-IOS-0872</t>
        </is>
      </c>
      <c r="C873" t="inlineStr">
        <is>
          <t>iPhone</t>
        </is>
      </c>
      <c r="D873" t="inlineStr">
        <is>
          <t>Group</t>
        </is>
      </c>
      <c r="E873" t="inlineStr">
        <is>
          <t>Shared Experience</t>
        </is>
      </c>
      <c r="F873" t="inlineStr">
        <is>
          <t>Trip</t>
        </is>
      </c>
      <c r="G873" t="inlineStr">
        <is>
          <t>Travel</t>
        </is>
      </c>
      <c r="H873" t="inlineStr">
        <is>
          <t>Group &gt; Trip &gt; Quick Add &gt; Travel</t>
        </is>
      </c>
      <c r="I873" s="18" t="n">
        <v>25374.39</v>
      </c>
      <c r="J873" t="inlineStr">
        <is>
          <t>Created MTR-IOS-0872 and correlation note visible in Activity/Pulse</t>
        </is>
      </c>
      <c r="K873" t="inlineStr">
        <is>
          <t>NOT_RUN</t>
        </is>
      </c>
      <c r="P873" t="n">
        <v>0</v>
      </c>
      <c r="Q873" t="n">
        <v>872</v>
      </c>
    </row>
    <row r="874">
      <c r="A874" t="n">
        <v>873</v>
      </c>
      <c r="B874" t="inlineStr">
        <is>
          <t>MTR-IOS-0873</t>
        </is>
      </c>
      <c r="C874" t="inlineStr">
        <is>
          <t>iPhone</t>
        </is>
      </c>
      <c r="D874" t="inlineStr">
        <is>
          <t>Business</t>
        </is>
      </c>
      <c r="E874" t="inlineStr">
        <is>
          <t>Business</t>
        </is>
      </c>
      <c r="F874" t="inlineStr">
        <is>
          <t>Business Operations</t>
        </is>
      </c>
      <c r="G874" t="inlineStr">
        <is>
          <t>Accounting</t>
        </is>
      </c>
      <c r="H874" t="inlineStr">
        <is>
          <t>Business &gt; Business Operations &gt; Quick Add &gt; Accounting</t>
        </is>
      </c>
      <c r="I874" s="18" t="n">
        <v>96365.53999999999</v>
      </c>
      <c r="J874" t="inlineStr">
        <is>
          <t>Created MTR-IOS-0873 and correlation note visible in Activity/Pulse</t>
        </is>
      </c>
      <c r="K874" t="inlineStr">
        <is>
          <t>NOT_RUN</t>
        </is>
      </c>
      <c r="P874" t="n">
        <v>0</v>
      </c>
      <c r="Q874" t="n">
        <v>873</v>
      </c>
    </row>
    <row r="875">
      <c r="A875" t="n">
        <v>874</v>
      </c>
      <c r="B875" t="inlineStr">
        <is>
          <t>MTR-IOS-0874</t>
        </is>
      </c>
      <c r="C875" t="inlineStr">
        <is>
          <t>iPhone</t>
        </is>
      </c>
      <c r="D875" t="inlineStr">
        <is>
          <t>Personal</t>
        </is>
      </c>
      <c r="E875" t="inlineStr">
        <is>
          <t>Personal</t>
        </is>
      </c>
      <c r="F875" t="inlineStr">
        <is>
          <t>Lifestyle</t>
        </is>
      </c>
      <c r="G875" t="inlineStr">
        <is>
          <t>Travel</t>
        </is>
      </c>
      <c r="H875" t="inlineStr">
        <is>
          <t>Personal &gt; Lifestyle &gt; Quick Add &gt; Travel</t>
        </is>
      </c>
      <c r="I875" s="18" t="n">
        <v>13224.68</v>
      </c>
      <c r="J875" t="inlineStr">
        <is>
          <t>Created MTR-IOS-0874 and correlation note visible in Activity/Pulse</t>
        </is>
      </c>
      <c r="K875" t="inlineStr">
        <is>
          <t>NOT_RUN</t>
        </is>
      </c>
      <c r="P875" t="n">
        <v>0</v>
      </c>
      <c r="Q875" t="n">
        <v>874</v>
      </c>
    </row>
    <row r="876">
      <c r="A876" t="n">
        <v>875</v>
      </c>
      <c r="B876" t="inlineStr">
        <is>
          <t>MTR-IOS-0875</t>
        </is>
      </c>
      <c r="C876" t="inlineStr">
        <is>
          <t>iPhone</t>
        </is>
      </c>
      <c r="D876" t="inlineStr">
        <is>
          <t>Group</t>
        </is>
      </c>
      <c r="E876" t="inlineStr">
        <is>
          <t>Shared Experience</t>
        </is>
      </c>
      <c r="F876" t="inlineStr">
        <is>
          <t>Trip</t>
        </is>
      </c>
      <c r="G876" t="inlineStr">
        <is>
          <t>Stay</t>
        </is>
      </c>
      <c r="H876" t="inlineStr">
        <is>
          <t>Group &gt; Trip &gt; Quick Add &gt; Stay</t>
        </is>
      </c>
      <c r="I876" s="18" t="n">
        <v>17089.33</v>
      </c>
      <c r="J876" t="inlineStr">
        <is>
          <t>Created MTR-IOS-0875 and correlation note visible in Activity/Pulse</t>
        </is>
      </c>
      <c r="K876" t="inlineStr">
        <is>
          <t>NOT_RUN</t>
        </is>
      </c>
      <c r="P876" t="n">
        <v>0</v>
      </c>
      <c r="Q876" t="n">
        <v>875</v>
      </c>
    </row>
    <row r="877">
      <c r="A877" t="n">
        <v>876</v>
      </c>
      <c r="B877" t="inlineStr">
        <is>
          <t>MTR-IOS-0876</t>
        </is>
      </c>
      <c r="C877" t="inlineStr">
        <is>
          <t>iPhone</t>
        </is>
      </c>
      <c r="D877" t="inlineStr">
        <is>
          <t>Business</t>
        </is>
      </c>
      <c r="E877" t="inlineStr">
        <is>
          <t>Business</t>
        </is>
      </c>
      <c r="F877" t="inlineStr">
        <is>
          <t>Business Operations</t>
        </is>
      </c>
      <c r="G877" t="inlineStr">
        <is>
          <t>Equipment</t>
        </is>
      </c>
      <c r="H877" t="inlineStr">
        <is>
          <t>Business &gt; Business Operations &gt; Quick Add &gt; Equipment</t>
        </is>
      </c>
      <c r="I877" s="18" t="n">
        <v>48491.7</v>
      </c>
      <c r="J877" t="inlineStr">
        <is>
          <t>Created MTR-IOS-0876 and correlation note visible in Activity/Pulse</t>
        </is>
      </c>
      <c r="K877" t="inlineStr">
        <is>
          <t>NOT_RUN</t>
        </is>
      </c>
      <c r="P877" t="n">
        <v>0</v>
      </c>
      <c r="Q877" t="n">
        <v>876</v>
      </c>
    </row>
    <row r="878">
      <c r="A878" t="n">
        <v>877</v>
      </c>
      <c r="B878" t="inlineStr">
        <is>
          <t>MTR-IOS-0877</t>
        </is>
      </c>
      <c r="C878" t="inlineStr">
        <is>
          <t>iPhone</t>
        </is>
      </c>
      <c r="D878" t="inlineStr">
        <is>
          <t>Personal</t>
        </is>
      </c>
      <c r="E878" t="inlineStr">
        <is>
          <t>Personal</t>
        </is>
      </c>
      <c r="F878" t="inlineStr">
        <is>
          <t>Lifestyle</t>
        </is>
      </c>
      <c r="G878" t="inlineStr">
        <is>
          <t>Fitness</t>
        </is>
      </c>
      <c r="H878" t="inlineStr">
        <is>
          <t>Personal &gt; Lifestyle &gt; Quick Add &gt; Fitness</t>
        </is>
      </c>
      <c r="I878" s="18" t="n">
        <v>2070.12</v>
      </c>
      <c r="J878" t="inlineStr">
        <is>
          <t>Created MTR-IOS-0877 and correlation note visible in Activity/Pulse</t>
        </is>
      </c>
      <c r="K878" t="inlineStr">
        <is>
          <t>NOT_RUN</t>
        </is>
      </c>
      <c r="P878" t="n">
        <v>0</v>
      </c>
      <c r="Q878" t="n">
        <v>877</v>
      </c>
    </row>
    <row r="879">
      <c r="A879" t="n">
        <v>878</v>
      </c>
      <c r="B879" t="inlineStr">
        <is>
          <t>MTR-IOS-0878</t>
        </is>
      </c>
      <c r="C879" t="inlineStr">
        <is>
          <t>iPhone</t>
        </is>
      </c>
      <c r="D879" t="inlineStr">
        <is>
          <t>Group</t>
        </is>
      </c>
      <c r="E879" t="inlineStr">
        <is>
          <t>Shared Experience</t>
        </is>
      </c>
      <c r="F879" t="inlineStr">
        <is>
          <t>Trip</t>
        </is>
      </c>
      <c r="G879" t="inlineStr">
        <is>
          <t>Food</t>
        </is>
      </c>
      <c r="H879" t="inlineStr">
        <is>
          <t>Group &gt; Trip &gt; Quick Add &gt; Food</t>
        </is>
      </c>
      <c r="I879" s="18" t="n">
        <v>18352.23</v>
      </c>
      <c r="J879" t="inlineStr">
        <is>
          <t>Created MTR-IOS-0878 and correlation note visible in Activity/Pulse</t>
        </is>
      </c>
      <c r="K879" t="inlineStr">
        <is>
          <t>NOT_RUN</t>
        </is>
      </c>
      <c r="P879" t="n">
        <v>0</v>
      </c>
      <c r="Q879" t="n">
        <v>878</v>
      </c>
    </row>
    <row r="880">
      <c r="A880" t="n">
        <v>879</v>
      </c>
      <c r="B880" t="inlineStr">
        <is>
          <t>MTR-IOS-0879</t>
        </is>
      </c>
      <c r="C880" t="inlineStr">
        <is>
          <t>iPhone</t>
        </is>
      </c>
      <c r="D880" t="inlineStr">
        <is>
          <t>Business</t>
        </is>
      </c>
      <c r="E880" t="inlineStr">
        <is>
          <t>Business</t>
        </is>
      </c>
      <c r="F880" t="inlineStr">
        <is>
          <t>Business Operations</t>
        </is>
      </c>
      <c r="G880" t="inlineStr">
        <is>
          <t>Vendor</t>
        </is>
      </c>
      <c r="H880" t="inlineStr">
        <is>
          <t>Business &gt; Business Operations &gt; Quick Add &gt; Vendor</t>
        </is>
      </c>
      <c r="I880" s="18" t="n">
        <v>134634.34</v>
      </c>
      <c r="J880" t="inlineStr">
        <is>
          <t>Created MTR-IOS-0879 and correlation note visible in Activity/Pulse</t>
        </is>
      </c>
      <c r="K880" t="inlineStr">
        <is>
          <t>NOT_RUN</t>
        </is>
      </c>
      <c r="P880" t="n">
        <v>0</v>
      </c>
      <c r="Q880" t="n">
        <v>879</v>
      </c>
    </row>
    <row r="881">
      <c r="A881" t="n">
        <v>880</v>
      </c>
      <c r="B881" t="inlineStr">
        <is>
          <t>MTR-IOS-0880</t>
        </is>
      </c>
      <c r="C881" t="inlineStr">
        <is>
          <t>iPhone</t>
        </is>
      </c>
      <c r="D881" t="inlineStr">
        <is>
          <t>Personal</t>
        </is>
      </c>
      <c r="E881" t="inlineStr">
        <is>
          <t>Personal</t>
        </is>
      </c>
      <c r="F881" t="inlineStr">
        <is>
          <t>Lifestyle</t>
        </is>
      </c>
      <c r="G881" t="inlineStr">
        <is>
          <t>Hobbies</t>
        </is>
      </c>
      <c r="H881" t="inlineStr">
        <is>
          <t>Personal &gt; Lifestyle &gt; Quick Add &gt; Hobbies</t>
        </is>
      </c>
      <c r="I881" s="18" t="n">
        <v>17627.88</v>
      </c>
      <c r="J881" t="inlineStr">
        <is>
          <t>Created MTR-IOS-0880 and correlation note visible in Activity/Pulse</t>
        </is>
      </c>
      <c r="K881" t="inlineStr">
        <is>
          <t>NOT_RUN</t>
        </is>
      </c>
      <c r="P881" t="n">
        <v>0</v>
      </c>
      <c r="Q881" t="n">
        <v>880</v>
      </c>
    </row>
    <row r="882">
      <c r="A882" t="n">
        <v>881</v>
      </c>
      <c r="B882" t="inlineStr">
        <is>
          <t>MTR-IOS-0881</t>
        </is>
      </c>
      <c r="C882" t="inlineStr">
        <is>
          <t>iPhone</t>
        </is>
      </c>
      <c r="D882" t="inlineStr">
        <is>
          <t>Group</t>
        </is>
      </c>
      <c r="E882" t="inlineStr">
        <is>
          <t>Shared Experience</t>
        </is>
      </c>
      <c r="F882" t="inlineStr">
        <is>
          <t>Trip</t>
        </is>
      </c>
      <c r="G882" t="inlineStr">
        <is>
          <t>Local Transport</t>
        </is>
      </c>
      <c r="H882" t="inlineStr">
        <is>
          <t>Group &gt; Trip &gt; Quick Add &gt; Local Transport</t>
        </is>
      </c>
      <c r="I882" s="18" t="n">
        <v>24796.99</v>
      </c>
      <c r="J882" t="inlineStr">
        <is>
          <t>Created MTR-IOS-0881 and correlation note visible in Activity/Pulse</t>
        </is>
      </c>
      <c r="K882" t="inlineStr">
        <is>
          <t>NOT_RUN</t>
        </is>
      </c>
      <c r="P882" t="n">
        <v>0</v>
      </c>
      <c r="Q882" t="n">
        <v>881</v>
      </c>
    </row>
    <row r="883">
      <c r="A883" t="n">
        <v>882</v>
      </c>
      <c r="B883" t="inlineStr">
        <is>
          <t>MTR-IOS-0882</t>
        </is>
      </c>
      <c r="C883" t="inlineStr">
        <is>
          <t>iPhone</t>
        </is>
      </c>
      <c r="D883" t="inlineStr">
        <is>
          <t>Business</t>
        </is>
      </c>
      <c r="E883" t="inlineStr">
        <is>
          <t>Business</t>
        </is>
      </c>
      <c r="F883" t="inlineStr">
        <is>
          <t>Business Operations</t>
        </is>
      </c>
      <c r="G883" t="inlineStr">
        <is>
          <t>Tax</t>
        </is>
      </c>
      <c r="H883" t="inlineStr">
        <is>
          <t>Business &gt; Business Operations &gt; Quick Add &gt; Tax</t>
        </is>
      </c>
      <c r="I883" s="18" t="n">
        <v>85993.59</v>
      </c>
      <c r="J883" t="inlineStr">
        <is>
          <t>Created MTR-IOS-0882 and correlation note visible in Activity/Pulse</t>
        </is>
      </c>
      <c r="K883" t="inlineStr">
        <is>
          <t>NOT_RUN</t>
        </is>
      </c>
      <c r="P883" t="n">
        <v>0</v>
      </c>
      <c r="Q883" t="n">
        <v>882</v>
      </c>
    </row>
    <row r="884">
      <c r="A884" t="n">
        <v>883</v>
      </c>
      <c r="B884" t="inlineStr">
        <is>
          <t>MTR-IOS-0883</t>
        </is>
      </c>
      <c r="C884" t="inlineStr">
        <is>
          <t>iPhone</t>
        </is>
      </c>
      <c r="D884" t="inlineStr">
        <is>
          <t>Personal</t>
        </is>
      </c>
      <c r="E884" t="inlineStr">
        <is>
          <t>Personal</t>
        </is>
      </c>
      <c r="F884" t="inlineStr">
        <is>
          <t>Relationships</t>
        </is>
      </c>
      <c r="G884" t="inlineStr">
        <is>
          <t>Gifts</t>
        </is>
      </c>
      <c r="H884" t="inlineStr">
        <is>
          <t>Personal &gt; Relationships &gt; Quick Add &gt; Gifts</t>
        </is>
      </c>
      <c r="I884" s="18" t="n">
        <v>725.4400000000001</v>
      </c>
      <c r="J884" t="inlineStr">
        <is>
          <t>Created MTR-IOS-0883 and correlation note visible in Activity/Pulse</t>
        </is>
      </c>
      <c r="K884" t="inlineStr">
        <is>
          <t>NOT_RUN</t>
        </is>
      </c>
      <c r="P884" t="n">
        <v>0</v>
      </c>
      <c r="Q884" t="n">
        <v>883</v>
      </c>
    </row>
    <row r="885">
      <c r="A885" t="n">
        <v>884</v>
      </c>
      <c r="B885" t="inlineStr">
        <is>
          <t>MTR-IOS-0884</t>
        </is>
      </c>
      <c r="C885" t="inlineStr">
        <is>
          <t>iPhone</t>
        </is>
      </c>
      <c r="D885" t="inlineStr">
        <is>
          <t>Group</t>
        </is>
      </c>
      <c r="E885" t="inlineStr">
        <is>
          <t>Shared Experience</t>
        </is>
      </c>
      <c r="F885" t="inlineStr">
        <is>
          <t>Trip</t>
        </is>
      </c>
      <c r="G885" t="inlineStr">
        <is>
          <t>Activities</t>
        </is>
      </c>
      <c r="H885" t="inlineStr">
        <is>
          <t>Group &gt; Trip &gt; Quick Add &gt; Activities</t>
        </is>
      </c>
      <c r="I885" s="18" t="n">
        <v>13689.47</v>
      </c>
      <c r="J885" t="inlineStr">
        <is>
          <t>Created MTR-IOS-0884 and correlation note visible in Activity/Pulse</t>
        </is>
      </c>
      <c r="K885" t="inlineStr">
        <is>
          <t>NOT_RUN</t>
        </is>
      </c>
      <c r="P885" t="n">
        <v>0</v>
      </c>
      <c r="Q885" t="n">
        <v>884</v>
      </c>
    </row>
    <row r="886">
      <c r="A886" t="n">
        <v>885</v>
      </c>
      <c r="B886" t="inlineStr">
        <is>
          <t>MTR-IOS-0885</t>
        </is>
      </c>
      <c r="C886" t="inlineStr">
        <is>
          <t>iPhone</t>
        </is>
      </c>
      <c r="D886" t="inlineStr">
        <is>
          <t>Business</t>
        </is>
      </c>
      <c r="E886" t="inlineStr">
        <is>
          <t>Business</t>
        </is>
      </c>
      <c r="F886" t="inlineStr">
        <is>
          <t>Team Operations</t>
        </is>
      </c>
      <c r="G886" t="inlineStr">
        <is>
          <t>Payroll</t>
        </is>
      </c>
      <c r="H886" t="inlineStr">
        <is>
          <t>Business &gt; Team Operations &gt; Quick Add &gt; Payroll</t>
        </is>
      </c>
      <c r="I886" s="18" t="n">
        <v>5213.19</v>
      </c>
      <c r="J886" t="inlineStr">
        <is>
          <t>Created MTR-IOS-0885 and correlation note visible in Activity/Pulse</t>
        </is>
      </c>
      <c r="K886" t="inlineStr">
        <is>
          <t>NOT_RUN</t>
        </is>
      </c>
      <c r="P886" t="n">
        <v>0</v>
      </c>
      <c r="Q886" t="n">
        <v>885</v>
      </c>
    </row>
    <row r="887">
      <c r="A887" t="n">
        <v>886</v>
      </c>
      <c r="B887" t="inlineStr">
        <is>
          <t>MTR-IOS-0886</t>
        </is>
      </c>
      <c r="C887" t="inlineStr">
        <is>
          <t>iPhone</t>
        </is>
      </c>
      <c r="D887" t="inlineStr">
        <is>
          <t>Personal</t>
        </is>
      </c>
      <c r="E887" t="inlineStr">
        <is>
          <t>Personal</t>
        </is>
      </c>
      <c r="F887" t="inlineStr">
        <is>
          <t>Relationships</t>
        </is>
      </c>
      <c r="G887" t="inlineStr">
        <is>
          <t>Dates</t>
        </is>
      </c>
      <c r="H887" t="inlineStr">
        <is>
          <t>Personal &gt; Relationships &gt; Quick Add &gt; Dates</t>
        </is>
      </c>
      <c r="I887" s="18" t="n">
        <v>6645.53</v>
      </c>
      <c r="J887" t="inlineStr">
        <is>
          <t>Created MTR-IOS-0886 and correlation note visible in Activity/Pulse</t>
        </is>
      </c>
      <c r="K887" t="inlineStr">
        <is>
          <t>NOT_RUN</t>
        </is>
      </c>
      <c r="P887" t="n">
        <v>0</v>
      </c>
      <c r="Q887" t="n">
        <v>886</v>
      </c>
    </row>
    <row r="888">
      <c r="A888" t="n">
        <v>887</v>
      </c>
      <c r="B888" t="inlineStr">
        <is>
          <t>MTR-IOS-0887</t>
        </is>
      </c>
      <c r="C888" t="inlineStr">
        <is>
          <t>iPhone</t>
        </is>
      </c>
      <c r="D888" t="inlineStr">
        <is>
          <t>Group</t>
        </is>
      </c>
      <c r="E888" t="inlineStr">
        <is>
          <t>Shared Experience</t>
        </is>
      </c>
      <c r="F888" t="inlineStr">
        <is>
          <t>Trip</t>
        </is>
      </c>
      <c r="G888" t="inlineStr">
        <is>
          <t>Shopping</t>
        </is>
      </c>
      <c r="H888" t="inlineStr">
        <is>
          <t>Group &gt; Trip &gt; Quick Add &gt; Shopping</t>
        </is>
      </c>
      <c r="I888" s="18" t="n">
        <v>5391.73</v>
      </c>
      <c r="J888" t="inlineStr">
        <is>
          <t>Created MTR-IOS-0887 and correlation note visible in Activity/Pulse</t>
        </is>
      </c>
      <c r="K888" t="inlineStr">
        <is>
          <t>NOT_RUN</t>
        </is>
      </c>
      <c r="P888" t="n">
        <v>0</v>
      </c>
      <c r="Q888" t="n">
        <v>887</v>
      </c>
    </row>
    <row r="889">
      <c r="A889" t="n">
        <v>888</v>
      </c>
      <c r="B889" t="inlineStr">
        <is>
          <t>MTR-IOS-0888</t>
        </is>
      </c>
      <c r="C889" t="inlineStr">
        <is>
          <t>iPhone</t>
        </is>
      </c>
      <c r="D889" t="inlineStr">
        <is>
          <t>Business</t>
        </is>
      </c>
      <c r="E889" t="inlineStr">
        <is>
          <t>Business</t>
        </is>
      </c>
      <c r="F889" t="inlineStr">
        <is>
          <t>Team Operations</t>
        </is>
      </c>
      <c r="G889" t="inlineStr">
        <is>
          <t>Contractor</t>
        </is>
      </c>
      <c r="H889" t="inlineStr">
        <is>
          <t>Business &gt; Team Operations &gt; Quick Add &gt; Contractor</t>
        </is>
      </c>
      <c r="I889" s="18" t="n">
        <v>0.01</v>
      </c>
      <c r="J889" t="inlineStr">
        <is>
          <t>Created MTR-IOS-0888 and correlation note visible in Activity/Pulse</t>
        </is>
      </c>
      <c r="K889" t="inlineStr">
        <is>
          <t>NOT_RUN</t>
        </is>
      </c>
      <c r="P889" t="n">
        <v>0</v>
      </c>
      <c r="Q889" t="n">
        <v>888</v>
      </c>
    </row>
    <row r="890">
      <c r="A890" t="n">
        <v>889</v>
      </c>
      <c r="B890" t="inlineStr">
        <is>
          <t>MTR-IOS-0889</t>
        </is>
      </c>
      <c r="C890" t="inlineStr">
        <is>
          <t>iPhone</t>
        </is>
      </c>
      <c r="D890" t="inlineStr">
        <is>
          <t>Personal</t>
        </is>
      </c>
      <c r="E890" t="inlineStr">
        <is>
          <t>Personal</t>
        </is>
      </c>
      <c r="F890" t="inlineStr">
        <is>
          <t>Relationships</t>
        </is>
      </c>
      <c r="G890" t="inlineStr">
        <is>
          <t>Family</t>
        </is>
      </c>
      <c r="H890" t="inlineStr">
        <is>
          <t>Personal &gt; Relationships &gt; Quick Add &gt; Family</t>
        </is>
      </c>
      <c r="I890" s="18" t="n">
        <v>12122.94</v>
      </c>
      <c r="J890" t="inlineStr">
        <is>
          <t>Created MTR-IOS-0889 and correlation note visible in Activity/Pulse</t>
        </is>
      </c>
      <c r="K890" t="inlineStr">
        <is>
          <t>NOT_RUN</t>
        </is>
      </c>
      <c r="P890" t="n">
        <v>0</v>
      </c>
      <c r="Q890" t="n">
        <v>889</v>
      </c>
    </row>
    <row r="891">
      <c r="A891" t="n">
        <v>890</v>
      </c>
      <c r="B891" t="inlineStr">
        <is>
          <t>MTR-IOS-0890</t>
        </is>
      </c>
      <c r="C891" t="inlineStr">
        <is>
          <t>iPhone</t>
        </is>
      </c>
      <c r="D891" t="inlineStr">
        <is>
          <t>Group</t>
        </is>
      </c>
      <c r="E891" t="inlineStr">
        <is>
          <t>Shared Experience</t>
        </is>
      </c>
      <c r="F891" t="inlineStr">
        <is>
          <t>Trip</t>
        </is>
      </c>
      <c r="G891" t="inlineStr">
        <is>
          <t>Other</t>
        </is>
      </c>
      <c r="H891" t="inlineStr">
        <is>
          <t>Group &gt; Trip &gt; Quick Add &gt; Other</t>
        </is>
      </c>
      <c r="I891" s="18" t="n">
        <v>14597.82</v>
      </c>
      <c r="J891" t="inlineStr">
        <is>
          <t>Created MTR-IOS-0890 and correlation note visible in Activity/Pulse</t>
        </is>
      </c>
      <c r="K891" t="inlineStr">
        <is>
          <t>NOT_RUN</t>
        </is>
      </c>
      <c r="P891" t="n">
        <v>0</v>
      </c>
      <c r="Q891" t="n">
        <v>890</v>
      </c>
    </row>
    <row r="892">
      <c r="A892" t="n">
        <v>891</v>
      </c>
      <c r="B892" t="inlineStr">
        <is>
          <t>MTR-IOS-0891</t>
        </is>
      </c>
      <c r="C892" t="inlineStr">
        <is>
          <t>iPhone</t>
        </is>
      </c>
      <c r="D892" t="inlineStr">
        <is>
          <t>Business</t>
        </is>
      </c>
      <c r="E892" t="inlineStr">
        <is>
          <t>Business</t>
        </is>
      </c>
      <c r="F892" t="inlineStr">
        <is>
          <t>Team Operations</t>
        </is>
      </c>
      <c r="G892" t="inlineStr">
        <is>
          <t>Hiring</t>
        </is>
      </c>
      <c r="H892" t="inlineStr">
        <is>
          <t>Business &gt; Team Operations &gt; Quick Add &gt; Hiring</t>
        </is>
      </c>
      <c r="I892" s="18" t="n">
        <v>124981.34</v>
      </c>
      <c r="J892" t="inlineStr">
        <is>
          <t>Created MTR-IOS-0891 and correlation note visible in Activity/Pulse</t>
        </is>
      </c>
      <c r="K892" t="inlineStr">
        <is>
          <t>NOT_RUN</t>
        </is>
      </c>
      <c r="P892" t="n">
        <v>0</v>
      </c>
      <c r="Q892" t="n">
        <v>891</v>
      </c>
    </row>
    <row r="893">
      <c r="A893" t="n">
        <v>892</v>
      </c>
      <c r="B893" t="inlineStr">
        <is>
          <t>MTR-IOS-0892</t>
        </is>
      </c>
      <c r="C893" t="inlineStr">
        <is>
          <t>iPhone</t>
        </is>
      </c>
      <c r="D893" t="inlineStr">
        <is>
          <t>Personal</t>
        </is>
      </c>
      <c r="E893" t="inlineStr">
        <is>
          <t>Personal</t>
        </is>
      </c>
      <c r="F893" t="inlineStr">
        <is>
          <t>Relationships</t>
        </is>
      </c>
      <c r="G893" t="inlineStr">
        <is>
          <t>Friends</t>
        </is>
      </c>
      <c r="H893" t="inlineStr">
        <is>
          <t>Personal &gt; Relationships &gt; Quick Add &gt; Friends</t>
        </is>
      </c>
      <c r="I893" s="18" t="n">
        <v>3852.74</v>
      </c>
      <c r="J893" t="inlineStr">
        <is>
          <t>Created MTR-IOS-0892 and correlation note visible in Activity/Pulse</t>
        </is>
      </c>
      <c r="K893" t="inlineStr">
        <is>
          <t>NOT_RUN</t>
        </is>
      </c>
      <c r="P893" t="n">
        <v>0</v>
      </c>
      <c r="Q893" t="n">
        <v>892</v>
      </c>
    </row>
    <row r="894">
      <c r="A894" t="n">
        <v>893</v>
      </c>
      <c r="B894" t="inlineStr">
        <is>
          <t>MTR-IOS-0893</t>
        </is>
      </c>
      <c r="C894" t="inlineStr">
        <is>
          <t>iPhone</t>
        </is>
      </c>
      <c r="D894" t="inlineStr">
        <is>
          <t>Group</t>
        </is>
      </c>
      <c r="E894" t="inlineStr">
        <is>
          <t>Shared Experience</t>
        </is>
      </c>
      <c r="F894" t="inlineStr">
        <is>
          <t>Wedding</t>
        </is>
      </c>
      <c r="G894" t="inlineStr">
        <is>
          <t>Venue</t>
        </is>
      </c>
      <c r="H894" t="inlineStr">
        <is>
          <t>Group &gt; Wedding &gt; Quick Add &gt; Venue</t>
        </is>
      </c>
      <c r="I894" s="18" t="n">
        <v>11003.99</v>
      </c>
      <c r="J894" t="inlineStr">
        <is>
          <t>Created MTR-IOS-0893 and correlation note visible in Activity/Pulse</t>
        </is>
      </c>
      <c r="K894" t="inlineStr">
        <is>
          <t>NOT_RUN</t>
        </is>
      </c>
      <c r="P894" t="n">
        <v>0</v>
      </c>
      <c r="Q894" t="n">
        <v>893</v>
      </c>
    </row>
    <row r="895">
      <c r="A895" t="n">
        <v>894</v>
      </c>
      <c r="B895" t="inlineStr">
        <is>
          <t>MTR-IOS-0894</t>
        </is>
      </c>
      <c r="C895" t="inlineStr">
        <is>
          <t>iPhone</t>
        </is>
      </c>
      <c r="D895" t="inlineStr">
        <is>
          <t>Business</t>
        </is>
      </c>
      <c r="E895" t="inlineStr">
        <is>
          <t>Business</t>
        </is>
      </c>
      <c r="F895" t="inlineStr">
        <is>
          <t>Team Operations</t>
        </is>
      </c>
      <c r="G895" t="inlineStr">
        <is>
          <t>Team Meal</t>
        </is>
      </c>
      <c r="H895" t="inlineStr">
        <is>
          <t>Business &gt; Team Operations &gt; Quick Add &gt; Team Meal</t>
        </is>
      </c>
      <c r="I895" s="18" t="n">
        <v>36560.61</v>
      </c>
      <c r="J895" t="inlineStr">
        <is>
          <t>Created MTR-IOS-0894 and correlation note visible in Activity/Pulse</t>
        </is>
      </c>
      <c r="K895" t="inlineStr">
        <is>
          <t>NOT_RUN</t>
        </is>
      </c>
      <c r="P895" t="n">
        <v>0</v>
      </c>
      <c r="Q895" t="n">
        <v>894</v>
      </c>
    </row>
    <row r="896">
      <c r="A896" t="n">
        <v>895</v>
      </c>
      <c r="B896" t="inlineStr">
        <is>
          <t>MTR-IOS-0895</t>
        </is>
      </c>
      <c r="C896" t="inlineStr">
        <is>
          <t>iPhone</t>
        </is>
      </c>
      <c r="D896" t="inlineStr">
        <is>
          <t>Personal</t>
        </is>
      </c>
      <c r="E896" t="inlineStr">
        <is>
          <t>Personal</t>
        </is>
      </c>
      <c r="F896" t="inlineStr">
        <is>
          <t>Relationships</t>
        </is>
      </c>
      <c r="G896" t="inlineStr">
        <is>
          <t>Celebrations</t>
        </is>
      </c>
      <c r="H896" t="inlineStr">
        <is>
          <t>Personal &gt; Relationships &gt; Quick Add &gt; Celebrations</t>
        </is>
      </c>
      <c r="I896" s="18" t="n">
        <v>9809.440000000001</v>
      </c>
      <c r="J896" t="inlineStr">
        <is>
          <t>Created MTR-IOS-0895 and correlation note visible in Activity/Pulse</t>
        </is>
      </c>
      <c r="K896" t="inlineStr">
        <is>
          <t>NOT_RUN</t>
        </is>
      </c>
      <c r="P896" t="n">
        <v>0</v>
      </c>
      <c r="Q896" t="n">
        <v>895</v>
      </c>
    </row>
    <row r="897">
      <c r="A897" t="n">
        <v>896</v>
      </c>
      <c r="B897" t="inlineStr">
        <is>
          <t>MTR-IOS-0896</t>
        </is>
      </c>
      <c r="C897" t="inlineStr">
        <is>
          <t>iPhone</t>
        </is>
      </c>
      <c r="D897" t="inlineStr">
        <is>
          <t>Group</t>
        </is>
      </c>
      <c r="E897" t="inlineStr">
        <is>
          <t>Shared Experience</t>
        </is>
      </c>
      <c r="F897" t="inlineStr">
        <is>
          <t>Wedding</t>
        </is>
      </c>
      <c r="G897" t="inlineStr">
        <is>
          <t>Catering</t>
        </is>
      </c>
      <c r="H897" t="inlineStr">
        <is>
          <t>Group &gt; Wedding &gt; Quick Add &gt; Catering</t>
        </is>
      </c>
      <c r="I897" s="18" t="n">
        <v>12399.58</v>
      </c>
      <c r="J897" t="inlineStr">
        <is>
          <t>Created MTR-IOS-0896 and correlation note visible in Activity/Pulse</t>
        </is>
      </c>
      <c r="K897" t="inlineStr">
        <is>
          <t>NOT_RUN</t>
        </is>
      </c>
      <c r="P897" t="n">
        <v>0</v>
      </c>
      <c r="Q897" t="n">
        <v>896</v>
      </c>
    </row>
    <row r="898">
      <c r="A898" t="n">
        <v>897</v>
      </c>
      <c r="B898" t="inlineStr">
        <is>
          <t>MTR-IOS-0897</t>
        </is>
      </c>
      <c r="C898" t="inlineStr">
        <is>
          <t>iPhone</t>
        </is>
      </c>
      <c r="D898" t="inlineStr">
        <is>
          <t>Business</t>
        </is>
      </c>
      <c r="E898" t="inlineStr">
        <is>
          <t>Business</t>
        </is>
      </c>
      <c r="F898" t="inlineStr">
        <is>
          <t>Team Operations</t>
        </is>
      </c>
      <c r="G898" t="inlineStr">
        <is>
          <t>Travel</t>
        </is>
      </c>
      <c r="H898" t="inlineStr">
        <is>
          <t>Business &gt; Team Operations &gt; Quick Add &gt; Travel</t>
        </is>
      </c>
      <c r="I898" s="18" t="n">
        <v>19473.15</v>
      </c>
      <c r="J898" t="inlineStr">
        <is>
          <t>Created MTR-IOS-0897 and correlation note visible in Activity/Pulse</t>
        </is>
      </c>
      <c r="K898" t="inlineStr">
        <is>
          <t>NOT_RUN</t>
        </is>
      </c>
      <c r="P898" t="n">
        <v>0</v>
      </c>
      <c r="Q898" t="n">
        <v>897</v>
      </c>
    </row>
    <row r="899">
      <c r="A899" t="n">
        <v>898</v>
      </c>
      <c r="B899" t="inlineStr">
        <is>
          <t>MTR-IOS-0898</t>
        </is>
      </c>
      <c r="C899" t="inlineStr">
        <is>
          <t>iPhone</t>
        </is>
      </c>
      <c r="D899" t="inlineStr">
        <is>
          <t>Personal</t>
        </is>
      </c>
      <c r="E899" t="inlineStr">
        <is>
          <t>Personal</t>
        </is>
      </c>
      <c r="F899" t="inlineStr">
        <is>
          <t>Life Operations</t>
        </is>
      </c>
      <c r="G899" t="inlineStr">
        <is>
          <t>Groceries</t>
        </is>
      </c>
      <c r="H899" t="inlineStr">
        <is>
          <t>Personal &gt; Life Operations &gt; Quick Add &gt; Groceries</t>
        </is>
      </c>
      <c r="I899" s="18" t="n">
        <v>14347.57</v>
      </c>
      <c r="J899" t="inlineStr">
        <is>
          <t>Created MTR-IOS-0898 and correlation note visible in Activity/Pulse</t>
        </is>
      </c>
      <c r="K899" t="inlineStr">
        <is>
          <t>NOT_RUN</t>
        </is>
      </c>
      <c r="P899" t="n">
        <v>0</v>
      </c>
      <c r="Q899" t="n">
        <v>898</v>
      </c>
    </row>
    <row r="900">
      <c r="A900" t="n">
        <v>899</v>
      </c>
      <c r="B900" t="inlineStr">
        <is>
          <t>MTR-IOS-0899</t>
        </is>
      </c>
      <c r="C900" t="inlineStr">
        <is>
          <t>iPhone</t>
        </is>
      </c>
      <c r="D900" t="inlineStr">
        <is>
          <t>Group</t>
        </is>
      </c>
      <c r="E900" t="inlineStr">
        <is>
          <t>Shared Experience</t>
        </is>
      </c>
      <c r="F900" t="inlineStr">
        <is>
          <t>Wedding</t>
        </is>
      </c>
      <c r="G900" t="inlineStr">
        <is>
          <t>Decor</t>
        </is>
      </c>
      <c r="H900" t="inlineStr">
        <is>
          <t>Group &gt; Wedding &gt; Quick Add &gt; Decor</t>
        </is>
      </c>
      <c r="I900" s="18" t="n">
        <v>20422.51</v>
      </c>
      <c r="J900" t="inlineStr">
        <is>
          <t>Created MTR-IOS-0899 and correlation note visible in Activity/Pulse</t>
        </is>
      </c>
      <c r="K900" t="inlineStr">
        <is>
          <t>NOT_RUN</t>
        </is>
      </c>
      <c r="P900" t="n">
        <v>0</v>
      </c>
      <c r="Q900" t="n">
        <v>899</v>
      </c>
    </row>
    <row r="901">
      <c r="A901" t="n">
        <v>900</v>
      </c>
      <c r="B901" t="inlineStr">
        <is>
          <t>MTR-IOS-0900</t>
        </is>
      </c>
      <c r="C901" t="inlineStr">
        <is>
          <t>iPhone</t>
        </is>
      </c>
      <c r="D901" t="inlineStr">
        <is>
          <t>Business</t>
        </is>
      </c>
      <c r="E901" t="inlineStr">
        <is>
          <t>Business</t>
        </is>
      </c>
      <c r="F901" t="inlineStr">
        <is>
          <t>Team Operations</t>
        </is>
      </c>
      <c r="G901" t="inlineStr">
        <is>
          <t>Training</t>
        </is>
      </c>
      <c r="H901" t="inlineStr">
        <is>
          <t>Business &gt; Team Operations &gt; Quick Add &gt; Training</t>
        </is>
      </c>
      <c r="I901" s="18" t="n">
        <v>33336.62</v>
      </c>
      <c r="J901" t="inlineStr">
        <is>
          <t>Created MTR-IOS-0900 and correlation note visible in Activity/Pulse</t>
        </is>
      </c>
      <c r="K901" t="inlineStr">
        <is>
          <t>NOT_RUN</t>
        </is>
      </c>
      <c r="P901" t="n">
        <v>0</v>
      </c>
      <c r="Q901" t="n">
        <v>900</v>
      </c>
    </row>
    <row r="902">
      <c r="A902" t="n">
        <v>901</v>
      </c>
      <c r="B902" t="inlineStr">
        <is>
          <t>MTR-IOS-0901</t>
        </is>
      </c>
      <c r="C902" t="inlineStr">
        <is>
          <t>iPhone</t>
        </is>
      </c>
      <c r="D902" t="inlineStr">
        <is>
          <t>Personal</t>
        </is>
      </c>
      <c r="E902" t="inlineStr">
        <is>
          <t>Personal</t>
        </is>
      </c>
      <c r="F902" t="inlineStr">
        <is>
          <t>Life Operations</t>
        </is>
      </c>
      <c r="G902" t="inlineStr">
        <is>
          <t>Rent</t>
        </is>
      </c>
      <c r="H902" t="inlineStr">
        <is>
          <t>Personal &gt; Life Operations &gt; Quick Add &gt; Rent</t>
        </is>
      </c>
      <c r="I902" s="18" t="n">
        <v>1737.84</v>
      </c>
      <c r="J902" t="inlineStr">
        <is>
          <t>Created MTR-IOS-0901 and correlation note visible in Activity/Pulse</t>
        </is>
      </c>
      <c r="K902" t="inlineStr">
        <is>
          <t>NOT_RUN</t>
        </is>
      </c>
      <c r="P902" t="n">
        <v>0</v>
      </c>
      <c r="Q902" t="n">
        <v>901</v>
      </c>
    </row>
    <row r="903">
      <c r="A903" t="n">
        <v>902</v>
      </c>
      <c r="B903" t="inlineStr">
        <is>
          <t>MTR-IOS-0902</t>
        </is>
      </c>
      <c r="C903" t="inlineStr">
        <is>
          <t>iPhone</t>
        </is>
      </c>
      <c r="D903" t="inlineStr">
        <is>
          <t>Group</t>
        </is>
      </c>
      <c r="E903" t="inlineStr">
        <is>
          <t>Shared Experience</t>
        </is>
      </c>
      <c r="F903" t="inlineStr">
        <is>
          <t>Wedding</t>
        </is>
      </c>
      <c r="G903" t="inlineStr">
        <is>
          <t>Travel</t>
        </is>
      </c>
      <c r="H903" t="inlineStr">
        <is>
          <t>Group &gt; Wedding &gt; Quick Add &gt; Travel</t>
        </is>
      </c>
      <c r="I903" s="18" t="n">
        <v>23877.11</v>
      </c>
      <c r="J903" t="inlineStr">
        <is>
          <t>Created MTR-IOS-0902 and correlation note visible in Activity/Pulse</t>
        </is>
      </c>
      <c r="K903" t="inlineStr">
        <is>
          <t>NOT_RUN</t>
        </is>
      </c>
      <c r="P903" t="n">
        <v>0</v>
      </c>
      <c r="Q903" t="n">
        <v>902</v>
      </c>
    </row>
    <row r="904">
      <c r="A904" t="n">
        <v>903</v>
      </c>
      <c r="B904" t="inlineStr">
        <is>
          <t>MTR-IOS-0903</t>
        </is>
      </c>
      <c r="C904" t="inlineStr">
        <is>
          <t>iPhone</t>
        </is>
      </c>
      <c r="D904" t="inlineStr">
        <is>
          <t>Business</t>
        </is>
      </c>
      <c r="E904" t="inlineStr">
        <is>
          <t>Business</t>
        </is>
      </c>
      <c r="F904" t="inlineStr">
        <is>
          <t>Team Operations</t>
        </is>
      </c>
      <c r="G904" t="inlineStr">
        <is>
          <t>Tools</t>
        </is>
      </c>
      <c r="H904" t="inlineStr">
        <is>
          <t>Business &gt; Team Operations &gt; Quick Add &gt; Tools</t>
        </is>
      </c>
      <c r="I904" s="18" t="n">
        <v>144263.58</v>
      </c>
      <c r="J904" t="inlineStr">
        <is>
          <t>Created MTR-IOS-0903 and correlation note visible in Activity/Pulse</t>
        </is>
      </c>
      <c r="K904" t="inlineStr">
        <is>
          <t>NOT_RUN</t>
        </is>
      </c>
      <c r="P904" t="n">
        <v>0</v>
      </c>
      <c r="Q904" t="n">
        <v>903</v>
      </c>
    </row>
    <row r="905">
      <c r="A905" t="n">
        <v>904</v>
      </c>
      <c r="B905" t="inlineStr">
        <is>
          <t>MTR-IOS-0904</t>
        </is>
      </c>
      <c r="C905" t="inlineStr">
        <is>
          <t>iPhone</t>
        </is>
      </c>
      <c r="D905" t="inlineStr">
        <is>
          <t>Personal</t>
        </is>
      </c>
      <c r="E905" t="inlineStr">
        <is>
          <t>Personal</t>
        </is>
      </c>
      <c r="F905" t="inlineStr">
        <is>
          <t>Life Operations</t>
        </is>
      </c>
      <c r="G905" t="inlineStr">
        <is>
          <t>Bills</t>
        </is>
      </c>
      <c r="H905" t="inlineStr">
        <is>
          <t>Personal &gt; Life Operations &gt; Quick Add &gt; Bills</t>
        </is>
      </c>
      <c r="I905" s="18" t="n">
        <v>7350.81</v>
      </c>
      <c r="J905" t="inlineStr">
        <is>
          <t>Created MTR-IOS-0904 and correlation note visible in Activity/Pulse</t>
        </is>
      </c>
      <c r="K905" t="inlineStr">
        <is>
          <t>NOT_RUN</t>
        </is>
      </c>
      <c r="P905" t="n">
        <v>0</v>
      </c>
      <c r="Q905" t="n">
        <v>904</v>
      </c>
    </row>
    <row r="906">
      <c r="A906" t="n">
        <v>905</v>
      </c>
      <c r="B906" t="inlineStr">
        <is>
          <t>MTR-IOS-0905</t>
        </is>
      </c>
      <c r="C906" t="inlineStr">
        <is>
          <t>iPhone</t>
        </is>
      </c>
      <c r="D906" t="inlineStr">
        <is>
          <t>Group</t>
        </is>
      </c>
      <c r="E906" t="inlineStr">
        <is>
          <t>Shared Experience</t>
        </is>
      </c>
      <c r="F906" t="inlineStr">
        <is>
          <t>Wedding</t>
        </is>
      </c>
      <c r="G906" t="inlineStr">
        <is>
          <t>Gifts</t>
        </is>
      </c>
      <c r="H906" t="inlineStr">
        <is>
          <t>Group &gt; Wedding &gt; Quick Add &gt; Gifts</t>
        </is>
      </c>
      <c r="I906" s="18" t="n">
        <v>7381.95</v>
      </c>
      <c r="J906" t="inlineStr">
        <is>
          <t>Created MTR-IOS-0905 and correlation note visible in Activity/Pulse</t>
        </is>
      </c>
      <c r="K906" t="inlineStr">
        <is>
          <t>NOT_RUN</t>
        </is>
      </c>
      <c r="P906" t="n">
        <v>0</v>
      </c>
      <c r="Q906" t="n">
        <v>905</v>
      </c>
    </row>
    <row r="907">
      <c r="A907" t="n">
        <v>906</v>
      </c>
      <c r="B907" t="inlineStr">
        <is>
          <t>MTR-IOS-0906</t>
        </is>
      </c>
      <c r="C907" t="inlineStr">
        <is>
          <t>iPhone</t>
        </is>
      </c>
      <c r="D907" t="inlineStr">
        <is>
          <t>Business</t>
        </is>
      </c>
      <c r="E907" t="inlineStr">
        <is>
          <t>Business</t>
        </is>
      </c>
      <c r="F907" t="inlineStr">
        <is>
          <t>Business Runway</t>
        </is>
      </c>
      <c r="G907" t="inlineStr">
        <is>
          <t>Funding</t>
        </is>
      </c>
      <c r="H907" t="inlineStr">
        <is>
          <t>Business &gt; Business Runway &gt; Quick Add &gt; Funding</t>
        </is>
      </c>
      <c r="I907" s="18" t="n">
        <v>123077.74</v>
      </c>
      <c r="J907" t="inlineStr">
        <is>
          <t>Created MTR-IOS-0906 and correlation note visible in Activity/Pulse</t>
        </is>
      </c>
      <c r="K907" t="inlineStr">
        <is>
          <t>NOT_RUN</t>
        </is>
      </c>
      <c r="P907" t="n">
        <v>0</v>
      </c>
      <c r="Q907" t="n">
        <v>906</v>
      </c>
    </row>
    <row r="908">
      <c r="A908" t="n">
        <v>907</v>
      </c>
      <c r="B908" t="inlineStr">
        <is>
          <t>MTR-IOS-0907</t>
        </is>
      </c>
      <c r="C908" t="inlineStr">
        <is>
          <t>iPhone</t>
        </is>
      </c>
      <c r="D908" t="inlineStr">
        <is>
          <t>Personal</t>
        </is>
      </c>
      <c r="E908" t="inlineStr">
        <is>
          <t>Personal</t>
        </is>
      </c>
      <c r="F908" t="inlineStr">
        <is>
          <t>Life Operations</t>
        </is>
      </c>
      <c r="G908" t="inlineStr">
        <is>
          <t>Transport</t>
        </is>
      </c>
      <c r="H908" t="inlineStr">
        <is>
          <t>Personal &gt; Life Operations &gt; Quick Add &gt; Transport</t>
        </is>
      </c>
      <c r="I908" s="18" t="n">
        <v>11564.9</v>
      </c>
      <c r="J908" t="inlineStr">
        <is>
          <t>Created MTR-IOS-0907 and correlation note visible in Activity/Pulse</t>
        </is>
      </c>
      <c r="K908" t="inlineStr">
        <is>
          <t>NOT_RUN</t>
        </is>
      </c>
      <c r="P908" t="n">
        <v>0</v>
      </c>
      <c r="Q908" t="n">
        <v>907</v>
      </c>
    </row>
    <row r="909">
      <c r="A909" t="n">
        <v>908</v>
      </c>
      <c r="B909" t="inlineStr">
        <is>
          <t>MTR-IOS-0908</t>
        </is>
      </c>
      <c r="C909" t="inlineStr">
        <is>
          <t>iPhone</t>
        </is>
      </c>
      <c r="D909" t="inlineStr">
        <is>
          <t>Group</t>
        </is>
      </c>
      <c r="E909" t="inlineStr">
        <is>
          <t>Shared Experience</t>
        </is>
      </c>
      <c r="F909" t="inlineStr">
        <is>
          <t>Wedding</t>
        </is>
      </c>
      <c r="G909" t="inlineStr">
        <is>
          <t>Photography</t>
        </is>
      </c>
      <c r="H909" t="inlineStr">
        <is>
          <t>Group &gt; Wedding &gt; Quick Add &gt; Photography</t>
        </is>
      </c>
      <c r="I909" s="18" t="n">
        <v>22247.99</v>
      </c>
      <c r="J909" t="inlineStr">
        <is>
          <t>Created MTR-IOS-0908 and correlation note visible in Activity/Pulse</t>
        </is>
      </c>
      <c r="K909" t="inlineStr">
        <is>
          <t>NOT_RUN</t>
        </is>
      </c>
      <c r="P909" t="n">
        <v>0</v>
      </c>
      <c r="Q909" t="n">
        <v>908</v>
      </c>
    </row>
    <row r="910">
      <c r="A910" t="n">
        <v>909</v>
      </c>
      <c r="B910" t="inlineStr">
        <is>
          <t>MTR-IOS-0909</t>
        </is>
      </c>
      <c r="C910" t="inlineStr">
        <is>
          <t>iPhone</t>
        </is>
      </c>
      <c r="D910" t="inlineStr">
        <is>
          <t>Business</t>
        </is>
      </c>
      <c r="E910" t="inlineStr">
        <is>
          <t>Business</t>
        </is>
      </c>
      <c r="F910" t="inlineStr">
        <is>
          <t>Business Runway</t>
        </is>
      </c>
      <c r="G910" t="inlineStr">
        <is>
          <t>Revenue</t>
        </is>
      </c>
      <c r="H910" t="inlineStr">
        <is>
          <t>Business &gt; Business Runway &gt; Quick Add &gt; Revenue</t>
        </is>
      </c>
      <c r="I910" s="18" t="n">
        <v>148251.07</v>
      </c>
      <c r="J910" t="inlineStr">
        <is>
          <t>Created MTR-IOS-0909 and correlation note visible in Activity/Pulse</t>
        </is>
      </c>
      <c r="K910" t="inlineStr">
        <is>
          <t>NOT_RUN</t>
        </is>
      </c>
      <c r="P910" t="n">
        <v>0</v>
      </c>
      <c r="Q910" t="n">
        <v>909</v>
      </c>
    </row>
    <row r="911">
      <c r="A911" t="n">
        <v>910</v>
      </c>
      <c r="B911" t="inlineStr">
        <is>
          <t>MTR-IOS-0910</t>
        </is>
      </c>
      <c r="C911" t="inlineStr">
        <is>
          <t>iPhone</t>
        </is>
      </c>
      <c r="D911" t="inlineStr">
        <is>
          <t>Personal</t>
        </is>
      </c>
      <c r="E911" t="inlineStr">
        <is>
          <t>Personal</t>
        </is>
      </c>
      <c r="F911" t="inlineStr">
        <is>
          <t>Life Operations</t>
        </is>
      </c>
      <c r="G911" t="inlineStr">
        <is>
          <t>Healthcare</t>
        </is>
      </c>
      <c r="H911" t="inlineStr">
        <is>
          <t>Personal &gt; Life Operations &gt; Quick Add &gt; Healthcare</t>
        </is>
      </c>
      <c r="I911" s="18" t="n">
        <v>9151.99</v>
      </c>
      <c r="J911" t="inlineStr">
        <is>
          <t>Created MTR-IOS-0910 and correlation note visible in Activity/Pulse</t>
        </is>
      </c>
      <c r="K911" t="inlineStr">
        <is>
          <t>NOT_RUN</t>
        </is>
      </c>
      <c r="P911" t="n">
        <v>0</v>
      </c>
      <c r="Q911" t="n">
        <v>910</v>
      </c>
    </row>
    <row r="912">
      <c r="A912" t="n">
        <v>911</v>
      </c>
      <c r="B912" t="inlineStr">
        <is>
          <t>MTR-IOS-0911</t>
        </is>
      </c>
      <c r="C912" t="inlineStr">
        <is>
          <t>iPhone</t>
        </is>
      </c>
      <c r="D912" t="inlineStr">
        <is>
          <t>Group</t>
        </is>
      </c>
      <c r="E912" t="inlineStr">
        <is>
          <t>Shared Experience</t>
        </is>
      </c>
      <c r="F912" t="inlineStr">
        <is>
          <t>Wedding</t>
        </is>
      </c>
      <c r="G912" t="inlineStr">
        <is>
          <t>Other</t>
        </is>
      </c>
      <c r="H912" t="inlineStr">
        <is>
          <t>Group &gt; Wedding &gt; Quick Add &gt; Other</t>
        </is>
      </c>
      <c r="I912" s="18" t="n">
        <v>26400.46</v>
      </c>
      <c r="J912" t="inlineStr">
        <is>
          <t>Created MTR-IOS-0911 and correlation note visible in Activity/Pulse</t>
        </is>
      </c>
      <c r="K912" t="inlineStr">
        <is>
          <t>NOT_RUN</t>
        </is>
      </c>
      <c r="P912" t="n">
        <v>0</v>
      </c>
      <c r="Q912" t="n">
        <v>911</v>
      </c>
    </row>
    <row r="913">
      <c r="A913" t="n">
        <v>912</v>
      </c>
      <c r="B913" t="inlineStr">
        <is>
          <t>MTR-IOS-0912</t>
        </is>
      </c>
      <c r="C913" t="inlineStr">
        <is>
          <t>iPhone</t>
        </is>
      </c>
      <c r="D913" t="inlineStr">
        <is>
          <t>Business</t>
        </is>
      </c>
      <c r="E913" t="inlineStr">
        <is>
          <t>Business</t>
        </is>
      </c>
      <c r="F913" t="inlineStr">
        <is>
          <t>Business Runway</t>
        </is>
      </c>
      <c r="G913" t="inlineStr">
        <is>
          <t>Burn</t>
        </is>
      </c>
      <c r="H913" t="inlineStr">
        <is>
          <t>Business &gt; Business Runway &gt; Quick Add &gt; Burn</t>
        </is>
      </c>
      <c r="I913" s="18" t="n">
        <v>164925.51</v>
      </c>
      <c r="J913" t="inlineStr">
        <is>
          <t>Created MTR-IOS-0912 and correlation note visible in Activity/Pulse</t>
        </is>
      </c>
      <c r="K913" t="inlineStr">
        <is>
          <t>NOT_RUN</t>
        </is>
      </c>
      <c r="P913" t="n">
        <v>0</v>
      </c>
      <c r="Q913" t="n">
        <v>912</v>
      </c>
    </row>
    <row r="914">
      <c r="A914" t="n">
        <v>913</v>
      </c>
      <c r="B914" t="inlineStr">
        <is>
          <t>MTR-IOS-0913</t>
        </is>
      </c>
      <c r="C914" t="inlineStr">
        <is>
          <t>iPhone</t>
        </is>
      </c>
      <c r="D914" t="inlineStr">
        <is>
          <t>Personal</t>
        </is>
      </c>
      <c r="E914" t="inlineStr">
        <is>
          <t>Personal</t>
        </is>
      </c>
      <c r="F914" t="inlineStr">
        <is>
          <t>Life Operations</t>
        </is>
      </c>
      <c r="G914" t="inlineStr">
        <is>
          <t>Subscriptions</t>
        </is>
      </c>
      <c r="H914" t="inlineStr">
        <is>
          <t>Personal &gt; Life Operations &gt; Quick Add &gt; Subscriptions</t>
        </is>
      </c>
      <c r="I914" s="18" t="n">
        <v>15777.54</v>
      </c>
      <c r="J914" t="inlineStr">
        <is>
          <t>Created MTR-IOS-0913 and correlation note visible in Activity/Pulse</t>
        </is>
      </c>
      <c r="K914" t="inlineStr">
        <is>
          <t>NOT_RUN</t>
        </is>
      </c>
      <c r="P914" t="n">
        <v>0</v>
      </c>
      <c r="Q914" t="n">
        <v>913</v>
      </c>
    </row>
    <row r="915">
      <c r="A915" t="n">
        <v>914</v>
      </c>
      <c r="B915" t="inlineStr">
        <is>
          <t>MTR-IOS-0914</t>
        </is>
      </c>
      <c r="C915" t="inlineStr">
        <is>
          <t>iPhone</t>
        </is>
      </c>
      <c r="D915" t="inlineStr">
        <is>
          <t>Group</t>
        </is>
      </c>
      <c r="E915" t="inlineStr">
        <is>
          <t>Shared Experience</t>
        </is>
      </c>
      <c r="F915" t="inlineStr">
        <is>
          <t>Office Outing</t>
        </is>
      </c>
      <c r="G915" t="inlineStr">
        <is>
          <t>Food</t>
        </is>
      </c>
      <c r="H915" t="inlineStr">
        <is>
          <t>Group &gt; Office Outing &gt; Quick Add &gt; Food</t>
        </is>
      </c>
      <c r="I915" s="18" t="n">
        <v>14277.5</v>
      </c>
      <c r="J915" t="inlineStr">
        <is>
          <t>Created MTR-IOS-0914 and correlation note visible in Activity/Pulse</t>
        </is>
      </c>
      <c r="K915" t="inlineStr">
        <is>
          <t>NOT_RUN</t>
        </is>
      </c>
      <c r="P915" t="n">
        <v>0</v>
      </c>
      <c r="Q915" t="n">
        <v>914</v>
      </c>
    </row>
    <row r="916">
      <c r="A916" t="n">
        <v>915</v>
      </c>
      <c r="B916" t="inlineStr">
        <is>
          <t>MTR-IOS-0915</t>
        </is>
      </c>
      <c r="C916" t="inlineStr">
        <is>
          <t>iPhone</t>
        </is>
      </c>
      <c r="D916" t="inlineStr">
        <is>
          <t>Business</t>
        </is>
      </c>
      <c r="E916" t="inlineStr">
        <is>
          <t>Business</t>
        </is>
      </c>
      <c r="F916" t="inlineStr">
        <is>
          <t>Business Runway</t>
        </is>
      </c>
      <c r="G916" t="inlineStr">
        <is>
          <t>Reserve</t>
        </is>
      </c>
      <c r="H916" t="inlineStr">
        <is>
          <t>Business &gt; Business Runway &gt; Quick Add &gt; Reserve</t>
        </is>
      </c>
      <c r="I916" s="18" t="n">
        <v>163689.25</v>
      </c>
      <c r="J916" t="inlineStr">
        <is>
          <t>Created MTR-IOS-0915 and correlation note visible in Activity/Pulse</t>
        </is>
      </c>
      <c r="K916" t="inlineStr">
        <is>
          <t>NOT_RUN</t>
        </is>
      </c>
      <c r="P916" t="n">
        <v>0</v>
      </c>
      <c r="Q916" t="n">
        <v>915</v>
      </c>
    </row>
    <row r="917">
      <c r="A917" t="n">
        <v>916</v>
      </c>
      <c r="B917" t="inlineStr">
        <is>
          <t>MTR-IOS-0916</t>
        </is>
      </c>
      <c r="C917" t="inlineStr">
        <is>
          <t>iPhone</t>
        </is>
      </c>
      <c r="D917" t="inlineStr">
        <is>
          <t>Personal</t>
        </is>
      </c>
      <c r="E917" t="inlineStr">
        <is>
          <t>Personal</t>
        </is>
      </c>
      <c r="F917" t="inlineStr">
        <is>
          <t>Life Operations</t>
        </is>
      </c>
      <c r="G917" t="inlineStr">
        <is>
          <t>Repairs</t>
        </is>
      </c>
      <c r="H917" t="inlineStr">
        <is>
          <t>Personal &gt; Life Operations &gt; Quick Add &gt; Repairs</t>
        </is>
      </c>
      <c r="I917" s="18" t="n">
        <v>8533.4</v>
      </c>
      <c r="J917" t="inlineStr">
        <is>
          <t>Created MTR-IOS-0916 and correlation note visible in Activity/Pulse</t>
        </is>
      </c>
      <c r="K917" t="inlineStr">
        <is>
          <t>NOT_RUN</t>
        </is>
      </c>
      <c r="P917" t="n">
        <v>0</v>
      </c>
      <c r="Q917" t="n">
        <v>916</v>
      </c>
    </row>
    <row r="918">
      <c r="A918" t="n">
        <v>917</v>
      </c>
      <c r="B918" t="inlineStr">
        <is>
          <t>MTR-IOS-0917</t>
        </is>
      </c>
      <c r="C918" t="inlineStr">
        <is>
          <t>iPhone</t>
        </is>
      </c>
      <c r="D918" t="inlineStr">
        <is>
          <t>Group</t>
        </is>
      </c>
      <c r="E918" t="inlineStr">
        <is>
          <t>Shared Experience</t>
        </is>
      </c>
      <c r="F918" t="inlineStr">
        <is>
          <t>Office Outing</t>
        </is>
      </c>
      <c r="G918" t="inlineStr">
        <is>
          <t>Travel</t>
        </is>
      </c>
      <c r="H918" t="inlineStr">
        <is>
          <t>Group &gt; Office Outing &gt; Quick Add &gt; Travel</t>
        </is>
      </c>
      <c r="I918" s="18" t="n">
        <v>24996.09</v>
      </c>
      <c r="J918" t="inlineStr">
        <is>
          <t>Created MTR-IOS-0917 and correlation note visible in Activity/Pulse</t>
        </is>
      </c>
      <c r="K918" t="inlineStr">
        <is>
          <t>NOT_RUN</t>
        </is>
      </c>
      <c r="P918" t="n">
        <v>0</v>
      </c>
      <c r="Q918" t="n">
        <v>917</v>
      </c>
    </row>
    <row r="919">
      <c r="A919" t="n">
        <v>918</v>
      </c>
      <c r="B919" t="inlineStr">
        <is>
          <t>MTR-IOS-0918</t>
        </is>
      </c>
      <c r="C919" t="inlineStr">
        <is>
          <t>iPhone</t>
        </is>
      </c>
      <c r="D919" t="inlineStr">
        <is>
          <t>Business</t>
        </is>
      </c>
      <c r="E919" t="inlineStr">
        <is>
          <t>Business</t>
        </is>
      </c>
      <c r="F919" t="inlineStr">
        <is>
          <t>Business Runway</t>
        </is>
      </c>
      <c r="G919" t="inlineStr">
        <is>
          <t>Loan</t>
        </is>
      </c>
      <c r="H919" t="inlineStr">
        <is>
          <t>Business &gt; Business Runway &gt; Quick Add &gt; Loan</t>
        </is>
      </c>
      <c r="I919" s="18" t="n">
        <v>116773.53</v>
      </c>
      <c r="J919" t="inlineStr">
        <is>
          <t>Created MTR-IOS-0918 and correlation note visible in Activity/Pulse</t>
        </is>
      </c>
      <c r="K919" t="inlineStr">
        <is>
          <t>NOT_RUN</t>
        </is>
      </c>
      <c r="P919" t="n">
        <v>0</v>
      </c>
      <c r="Q919" t="n">
        <v>918</v>
      </c>
    </row>
    <row r="920">
      <c r="A920" t="n">
        <v>919</v>
      </c>
      <c r="B920" t="inlineStr">
        <is>
          <t>MTR-IOS-0919</t>
        </is>
      </c>
      <c r="C920" t="inlineStr">
        <is>
          <t>iPhone</t>
        </is>
      </c>
      <c r="D920" t="inlineStr">
        <is>
          <t>Personal</t>
        </is>
      </c>
      <c r="E920" t="inlineStr">
        <is>
          <t>Personal</t>
        </is>
      </c>
      <c r="F920" t="inlineStr">
        <is>
          <t>Future Building</t>
        </is>
      </c>
      <c r="G920" t="inlineStr">
        <is>
          <t>Savings</t>
        </is>
      </c>
      <c r="H920" t="inlineStr">
        <is>
          <t>Personal &gt; Future Building &gt; Quick Add &gt; Savings</t>
        </is>
      </c>
      <c r="I920" s="18" t="n">
        <v>17229.47</v>
      </c>
      <c r="J920" t="inlineStr">
        <is>
          <t>Created MTR-IOS-0919 and correlation note visible in Activity/Pulse</t>
        </is>
      </c>
      <c r="K920" t="inlineStr">
        <is>
          <t>NOT_RUN</t>
        </is>
      </c>
      <c r="P920" t="n">
        <v>0</v>
      </c>
      <c r="Q920" t="n">
        <v>919</v>
      </c>
    </row>
    <row r="921">
      <c r="A921" t="n">
        <v>920</v>
      </c>
      <c r="B921" t="inlineStr">
        <is>
          <t>MTR-IOS-0920</t>
        </is>
      </c>
      <c r="C921" t="inlineStr">
        <is>
          <t>iPhone</t>
        </is>
      </c>
      <c r="D921" t="inlineStr">
        <is>
          <t>Group</t>
        </is>
      </c>
      <c r="E921" t="inlineStr">
        <is>
          <t>Shared Experience</t>
        </is>
      </c>
      <c r="F921" t="inlineStr">
        <is>
          <t>Office Outing</t>
        </is>
      </c>
      <c r="G921" t="inlineStr">
        <is>
          <t>Activities</t>
        </is>
      </c>
      <c r="H921" t="inlineStr">
        <is>
          <t>Group &gt; Office Outing &gt; Quick Add &gt; Activities</t>
        </is>
      </c>
      <c r="I921" s="18" t="n">
        <v>19053.14</v>
      </c>
      <c r="J921" t="inlineStr">
        <is>
          <t>Created MTR-IOS-0920 and correlation note visible in Activity/Pulse</t>
        </is>
      </c>
      <c r="K921" t="inlineStr">
        <is>
          <t>NOT_RUN</t>
        </is>
      </c>
      <c r="P921" t="n">
        <v>0</v>
      </c>
      <c r="Q921" t="n">
        <v>920</v>
      </c>
    </row>
    <row r="922">
      <c r="A922" t="n">
        <v>921</v>
      </c>
      <c r="B922" t="inlineStr">
        <is>
          <t>MTR-IOS-0921</t>
        </is>
      </c>
      <c r="C922" t="inlineStr">
        <is>
          <t>iPhone</t>
        </is>
      </c>
      <c r="D922" t="inlineStr">
        <is>
          <t>Business</t>
        </is>
      </c>
      <c r="E922" t="inlineStr">
        <is>
          <t>Business</t>
        </is>
      </c>
      <c r="F922" t="inlineStr">
        <is>
          <t>Business Runway</t>
        </is>
      </c>
      <c r="G922" t="inlineStr">
        <is>
          <t>Investment</t>
        </is>
      </c>
      <c r="H922" t="inlineStr">
        <is>
          <t>Business &gt; Business Runway &gt; Quick Add &gt; Investment</t>
        </is>
      </c>
      <c r="I922" s="18" t="n">
        <v>124575.81</v>
      </c>
      <c r="J922" t="inlineStr">
        <is>
          <t>Created MTR-IOS-0921 and correlation note visible in Activity/Pulse</t>
        </is>
      </c>
      <c r="K922" t="inlineStr">
        <is>
          <t>NOT_RUN</t>
        </is>
      </c>
      <c r="P922" t="n">
        <v>0</v>
      </c>
      <c r="Q922" t="n">
        <v>921</v>
      </c>
    </row>
    <row r="923">
      <c r="A923" t="n">
        <v>922</v>
      </c>
      <c r="B923" t="inlineStr">
        <is>
          <t>MTR-IOS-0922</t>
        </is>
      </c>
      <c r="C923" t="inlineStr">
        <is>
          <t>iPhone</t>
        </is>
      </c>
      <c r="D923" t="inlineStr">
        <is>
          <t>Personal</t>
        </is>
      </c>
      <c r="E923" t="inlineStr">
        <is>
          <t>Personal</t>
        </is>
      </c>
      <c r="F923" t="inlineStr">
        <is>
          <t>Future Building</t>
        </is>
      </c>
      <c r="G923" t="inlineStr">
        <is>
          <t>Emergency Fund</t>
        </is>
      </c>
      <c r="H923" t="inlineStr">
        <is>
          <t>Personal &gt; Future Building &gt; Quick Add &gt; Emergency Fund</t>
        </is>
      </c>
      <c r="I923" s="18" t="n">
        <v>11033.03</v>
      </c>
      <c r="J923" t="inlineStr">
        <is>
          <t>Created MTR-IOS-0922 and correlation note visible in Activity/Pulse</t>
        </is>
      </c>
      <c r="K923" t="inlineStr">
        <is>
          <t>NOT_RUN</t>
        </is>
      </c>
      <c r="P923" t="n">
        <v>0</v>
      </c>
      <c r="Q923" t="n">
        <v>922</v>
      </c>
    </row>
    <row r="924">
      <c r="A924" t="n">
        <v>923</v>
      </c>
      <c r="B924" t="inlineStr">
        <is>
          <t>MTR-IOS-0923</t>
        </is>
      </c>
      <c r="C924" t="inlineStr">
        <is>
          <t>iPhone</t>
        </is>
      </c>
      <c r="D924" t="inlineStr">
        <is>
          <t>Group</t>
        </is>
      </c>
      <c r="E924" t="inlineStr">
        <is>
          <t>Shared Experience</t>
        </is>
      </c>
      <c r="F924" t="inlineStr">
        <is>
          <t>Office Outing</t>
        </is>
      </c>
      <c r="G924" t="inlineStr">
        <is>
          <t>Venue</t>
        </is>
      </c>
      <c r="H924" t="inlineStr">
        <is>
          <t>Group &gt; Office Outing &gt; Quick Add &gt; Venue</t>
        </is>
      </c>
      <c r="I924" s="18" t="n">
        <v>23510.72</v>
      </c>
      <c r="J924" t="inlineStr">
        <is>
          <t>Created MTR-IOS-0923 and correlation note visible in Activity/Pulse</t>
        </is>
      </c>
      <c r="K924" t="inlineStr">
        <is>
          <t>NOT_RUN</t>
        </is>
      </c>
      <c r="P924" t="n">
        <v>0</v>
      </c>
      <c r="Q924" t="n">
        <v>923</v>
      </c>
    </row>
    <row r="925">
      <c r="A925" t="n">
        <v>924</v>
      </c>
      <c r="B925" t="inlineStr">
        <is>
          <t>MTR-IOS-0924</t>
        </is>
      </c>
      <c r="C925" t="inlineStr">
        <is>
          <t>iPhone</t>
        </is>
      </c>
      <c r="D925" t="inlineStr">
        <is>
          <t>Business</t>
        </is>
      </c>
      <c r="E925" t="inlineStr">
        <is>
          <t>Business</t>
        </is>
      </c>
      <c r="F925" t="inlineStr">
        <is>
          <t>Business Operations</t>
        </is>
      </c>
      <c r="G925" t="inlineStr">
        <is>
          <t>Software</t>
        </is>
      </c>
      <c r="H925" t="inlineStr">
        <is>
          <t>Business &gt; Business Operations &gt; Quick Add &gt; Software</t>
        </is>
      </c>
      <c r="I925" s="18" t="n">
        <v>122432.18</v>
      </c>
      <c r="J925" t="inlineStr">
        <is>
          <t>Created MTR-IOS-0924 and correlation note visible in Activity/Pulse</t>
        </is>
      </c>
      <c r="K925" t="inlineStr">
        <is>
          <t>NOT_RUN</t>
        </is>
      </c>
      <c r="P925" t="n">
        <v>0</v>
      </c>
      <c r="Q925" t="n">
        <v>924</v>
      </c>
    </row>
    <row r="926">
      <c r="A926" t="n">
        <v>925</v>
      </c>
      <c r="B926" t="inlineStr">
        <is>
          <t>MTR-IOS-0925</t>
        </is>
      </c>
      <c r="C926" t="inlineStr">
        <is>
          <t>iPhone</t>
        </is>
      </c>
      <c r="D926" t="inlineStr">
        <is>
          <t>Personal</t>
        </is>
      </c>
      <c r="E926" t="inlineStr">
        <is>
          <t>Personal</t>
        </is>
      </c>
      <c r="F926" t="inlineStr">
        <is>
          <t>Future Building</t>
        </is>
      </c>
      <c r="G926" t="inlineStr">
        <is>
          <t>Investments</t>
        </is>
      </c>
      <c r="H926" t="inlineStr">
        <is>
          <t>Personal &gt; Future Building &gt; Quick Add &gt; Investments</t>
        </is>
      </c>
      <c r="I926" s="18" t="n">
        <v>1</v>
      </c>
      <c r="J926" t="inlineStr">
        <is>
          <t>Created MTR-IOS-0925 and correlation note visible in Activity/Pulse</t>
        </is>
      </c>
      <c r="K926" t="inlineStr">
        <is>
          <t>NOT_RUN</t>
        </is>
      </c>
      <c r="P926" t="n">
        <v>0</v>
      </c>
      <c r="Q926" t="n">
        <v>925</v>
      </c>
    </row>
    <row r="927">
      <c r="A927" t="n">
        <v>926</v>
      </c>
      <c r="B927" t="inlineStr">
        <is>
          <t>MTR-IOS-0926</t>
        </is>
      </c>
      <c r="C927" t="inlineStr">
        <is>
          <t>iPhone</t>
        </is>
      </c>
      <c r="D927" t="inlineStr">
        <is>
          <t>Group</t>
        </is>
      </c>
      <c r="E927" t="inlineStr">
        <is>
          <t>Shared Experience</t>
        </is>
      </c>
      <c r="F927" t="inlineStr">
        <is>
          <t>Office Outing</t>
        </is>
      </c>
      <c r="G927" t="inlineStr">
        <is>
          <t>Other</t>
        </is>
      </c>
      <c r="H927" t="inlineStr">
        <is>
          <t>Group &gt; Office Outing &gt; Quick Add &gt; Other</t>
        </is>
      </c>
      <c r="I927" s="18" t="n">
        <v>3294.48</v>
      </c>
      <c r="J927" t="inlineStr">
        <is>
          <t>Created MTR-IOS-0926 and correlation note visible in Activity/Pulse</t>
        </is>
      </c>
      <c r="K927" t="inlineStr">
        <is>
          <t>NOT_RUN</t>
        </is>
      </c>
      <c r="P927" t="n">
        <v>0</v>
      </c>
      <c r="Q927" t="n">
        <v>926</v>
      </c>
    </row>
    <row r="928">
      <c r="A928" t="n">
        <v>927</v>
      </c>
      <c r="B928" t="inlineStr">
        <is>
          <t>MTR-IOS-0927</t>
        </is>
      </c>
      <c r="C928" t="inlineStr">
        <is>
          <t>iPhone</t>
        </is>
      </c>
      <c r="D928" t="inlineStr">
        <is>
          <t>Business</t>
        </is>
      </c>
      <c r="E928" t="inlineStr">
        <is>
          <t>Business</t>
        </is>
      </c>
      <c r="F928" t="inlineStr">
        <is>
          <t>Business Operations</t>
        </is>
      </c>
      <c r="G928" t="inlineStr">
        <is>
          <t>Rent</t>
        </is>
      </c>
      <c r="H928" t="inlineStr">
        <is>
          <t>Business &gt; Business Operations &gt; Quick Add &gt; Rent</t>
        </is>
      </c>
      <c r="I928" s="18" t="n">
        <v>149879.42</v>
      </c>
      <c r="J928" t="inlineStr">
        <is>
          <t>Created MTR-IOS-0927 and correlation note visible in Activity/Pulse</t>
        </is>
      </c>
      <c r="K928" t="inlineStr">
        <is>
          <t>NOT_RUN</t>
        </is>
      </c>
      <c r="P928" t="n">
        <v>0</v>
      </c>
      <c r="Q928" t="n">
        <v>927</v>
      </c>
    </row>
    <row r="929">
      <c r="A929" t="n">
        <v>928</v>
      </c>
      <c r="B929" t="inlineStr">
        <is>
          <t>MTR-IOS-0928</t>
        </is>
      </c>
      <c r="C929" t="inlineStr">
        <is>
          <t>iPhone</t>
        </is>
      </c>
      <c r="D929" t="inlineStr">
        <is>
          <t>Personal</t>
        </is>
      </c>
      <c r="E929" t="inlineStr">
        <is>
          <t>Personal</t>
        </is>
      </c>
      <c r="F929" t="inlineStr">
        <is>
          <t>Future Building</t>
        </is>
      </c>
      <c r="G929" t="inlineStr">
        <is>
          <t>Education</t>
        </is>
      </c>
      <c r="H929" t="inlineStr">
        <is>
          <t>Personal &gt; Future Building &gt; Quick Add &gt; Education</t>
        </is>
      </c>
      <c r="I929" s="18" t="n">
        <v>12533.43</v>
      </c>
      <c r="J929" t="inlineStr">
        <is>
          <t>Created MTR-IOS-0928 and correlation note visible in Activity/Pulse</t>
        </is>
      </c>
      <c r="K929" t="inlineStr">
        <is>
          <t>NOT_RUN</t>
        </is>
      </c>
      <c r="P929" t="n">
        <v>0</v>
      </c>
      <c r="Q929" t="n">
        <v>928</v>
      </c>
    </row>
    <row r="930">
      <c r="A930" t="n">
        <v>929</v>
      </c>
      <c r="B930" t="inlineStr">
        <is>
          <t>MTR-IOS-0929</t>
        </is>
      </c>
      <c r="C930" t="inlineStr">
        <is>
          <t>iPhone</t>
        </is>
      </c>
      <c r="D930" t="inlineStr">
        <is>
          <t>Group</t>
        </is>
      </c>
      <c r="E930" t="inlineStr">
        <is>
          <t>Shared Experience</t>
        </is>
      </c>
      <c r="F930" t="inlineStr">
        <is>
          <t>House Party</t>
        </is>
      </c>
      <c r="G930" t="inlineStr">
        <is>
          <t>Food</t>
        </is>
      </c>
      <c r="H930" t="inlineStr">
        <is>
          <t>Group &gt; House Party &gt; Quick Add &gt; Food</t>
        </is>
      </c>
      <c r="I930" s="18" t="n">
        <v>14093.19</v>
      </c>
      <c r="J930" t="inlineStr">
        <is>
          <t>Created MTR-IOS-0929 and correlation note visible in Activity/Pulse</t>
        </is>
      </c>
      <c r="K930" t="inlineStr">
        <is>
          <t>NOT_RUN</t>
        </is>
      </c>
      <c r="P930" t="n">
        <v>0</v>
      </c>
      <c r="Q930" t="n">
        <v>929</v>
      </c>
    </row>
    <row r="931">
      <c r="A931" t="n">
        <v>930</v>
      </c>
      <c r="B931" t="inlineStr">
        <is>
          <t>MTR-IOS-0930</t>
        </is>
      </c>
      <c r="C931" t="inlineStr">
        <is>
          <t>iPhone</t>
        </is>
      </c>
      <c r="D931" t="inlineStr">
        <is>
          <t>Business</t>
        </is>
      </c>
      <c r="E931" t="inlineStr">
        <is>
          <t>Business</t>
        </is>
      </c>
      <c r="F931" t="inlineStr">
        <is>
          <t>Business Operations</t>
        </is>
      </c>
      <c r="G931" t="inlineStr">
        <is>
          <t>Marketing</t>
        </is>
      </c>
      <c r="H931" t="inlineStr">
        <is>
          <t>Business &gt; Business Operations &gt; Quick Add &gt; Marketing</t>
        </is>
      </c>
      <c r="I931" s="18" t="n">
        <v>96701.77</v>
      </c>
      <c r="J931" t="inlineStr">
        <is>
          <t>Created MTR-IOS-0930 and correlation note visible in Activity/Pulse</t>
        </is>
      </c>
      <c r="K931" t="inlineStr">
        <is>
          <t>NOT_RUN</t>
        </is>
      </c>
      <c r="P931" t="n">
        <v>0</v>
      </c>
      <c r="Q931" t="n">
        <v>930</v>
      </c>
    </row>
    <row r="932">
      <c r="A932" t="n">
        <v>931</v>
      </c>
      <c r="B932" t="inlineStr">
        <is>
          <t>MTR-IOS-0931</t>
        </is>
      </c>
      <c r="C932" t="inlineStr">
        <is>
          <t>iPhone</t>
        </is>
      </c>
      <c r="D932" t="inlineStr">
        <is>
          <t>Personal</t>
        </is>
      </c>
      <c r="E932" t="inlineStr">
        <is>
          <t>Personal</t>
        </is>
      </c>
      <c r="F932" t="inlineStr">
        <is>
          <t>Future Building</t>
        </is>
      </c>
      <c r="G932" t="inlineStr">
        <is>
          <t>Goal Contribution</t>
        </is>
      </c>
      <c r="H932" t="inlineStr">
        <is>
          <t>Personal &gt; Future Building &gt; Quick Add &gt; Goal Contribution</t>
        </is>
      </c>
      <c r="I932" s="18" t="n">
        <v>4130.92</v>
      </c>
      <c r="J932" t="inlineStr">
        <is>
          <t>Created MTR-IOS-0931 and correlation note visible in Activity/Pulse</t>
        </is>
      </c>
      <c r="K932" t="inlineStr">
        <is>
          <t>NOT_RUN</t>
        </is>
      </c>
      <c r="P932" t="n">
        <v>0</v>
      </c>
      <c r="Q932" t="n">
        <v>931</v>
      </c>
    </row>
    <row r="933">
      <c r="A933" t="n">
        <v>932</v>
      </c>
      <c r="B933" t="inlineStr">
        <is>
          <t>MTR-IOS-0932</t>
        </is>
      </c>
      <c r="C933" t="inlineStr">
        <is>
          <t>iPhone</t>
        </is>
      </c>
      <c r="D933" t="inlineStr">
        <is>
          <t>Group</t>
        </is>
      </c>
      <c r="E933" t="inlineStr">
        <is>
          <t>Shared Experience</t>
        </is>
      </c>
      <c r="F933" t="inlineStr">
        <is>
          <t>House Party</t>
        </is>
      </c>
      <c r="G933" t="inlineStr">
        <is>
          <t>Drinks</t>
        </is>
      </c>
      <c r="H933" t="inlineStr">
        <is>
          <t>Group &gt; House Party &gt; Quick Add &gt; Drinks</t>
        </is>
      </c>
      <c r="I933" s="18" t="n">
        <v>13049.89</v>
      </c>
      <c r="J933" t="inlineStr">
        <is>
          <t>Created MTR-IOS-0932 and correlation note visible in Activity/Pulse</t>
        </is>
      </c>
      <c r="K933" t="inlineStr">
        <is>
          <t>NOT_RUN</t>
        </is>
      </c>
      <c r="P933" t="n">
        <v>0</v>
      </c>
      <c r="Q933" t="n">
        <v>932</v>
      </c>
    </row>
    <row r="934">
      <c r="A934" t="n">
        <v>933</v>
      </c>
      <c r="B934" t="inlineStr">
        <is>
          <t>MTR-IOS-0933</t>
        </is>
      </c>
      <c r="C934" t="inlineStr">
        <is>
          <t>iPhone</t>
        </is>
      </c>
      <c r="D934" t="inlineStr">
        <is>
          <t>Business</t>
        </is>
      </c>
      <c r="E934" t="inlineStr">
        <is>
          <t>Business</t>
        </is>
      </c>
      <c r="F934" t="inlineStr">
        <is>
          <t>Business Operations</t>
        </is>
      </c>
      <c r="G934" t="inlineStr">
        <is>
          <t>Legal</t>
        </is>
      </c>
      <c r="H934" t="inlineStr">
        <is>
          <t>Business &gt; Business Operations &gt; Quick Add &gt; Legal</t>
        </is>
      </c>
      <c r="I934" s="18" t="n">
        <v>155120.7</v>
      </c>
      <c r="J934" t="inlineStr">
        <is>
          <t>Created MTR-IOS-0933 and correlation note visible in Activity/Pulse</t>
        </is>
      </c>
      <c r="K934" t="inlineStr">
        <is>
          <t>NOT_RUN</t>
        </is>
      </c>
      <c r="P934" t="n">
        <v>0</v>
      </c>
      <c r="Q934" t="n">
        <v>933</v>
      </c>
    </row>
    <row r="935">
      <c r="A935" t="n">
        <v>934</v>
      </c>
      <c r="B935" t="inlineStr">
        <is>
          <t>MTR-IOS-0934</t>
        </is>
      </c>
      <c r="C935" t="inlineStr">
        <is>
          <t>iPhone</t>
        </is>
      </c>
      <c r="D935" t="inlineStr">
        <is>
          <t>Personal</t>
        </is>
      </c>
      <c r="E935" t="inlineStr">
        <is>
          <t>Personal</t>
        </is>
      </c>
      <c r="F935" t="inlineStr">
        <is>
          <t>Lifestyle</t>
        </is>
      </c>
      <c r="G935" t="inlineStr">
        <is>
          <t>Dining</t>
        </is>
      </c>
      <c r="H935" t="inlineStr">
        <is>
          <t>Personal &gt; Lifestyle &gt; Quick Add &gt; Dining</t>
        </is>
      </c>
      <c r="I935" s="18" t="n">
        <v>6384.33</v>
      </c>
      <c r="J935" t="inlineStr">
        <is>
          <t>Created MTR-IOS-0934 and correlation note visible in Activity/Pulse</t>
        </is>
      </c>
      <c r="K935" t="inlineStr">
        <is>
          <t>NOT_RUN</t>
        </is>
      </c>
      <c r="P935" t="n">
        <v>0</v>
      </c>
      <c r="Q935" t="n">
        <v>934</v>
      </c>
    </row>
    <row r="936">
      <c r="A936" t="n">
        <v>935</v>
      </c>
      <c r="B936" t="inlineStr">
        <is>
          <t>MTR-IOS-0935</t>
        </is>
      </c>
      <c r="C936" t="inlineStr">
        <is>
          <t>iPhone</t>
        </is>
      </c>
      <c r="D936" t="inlineStr">
        <is>
          <t>Group</t>
        </is>
      </c>
      <c r="E936" t="inlineStr">
        <is>
          <t>Shared Experience</t>
        </is>
      </c>
      <c r="F936" t="inlineStr">
        <is>
          <t>House Party</t>
        </is>
      </c>
      <c r="G936" t="inlineStr">
        <is>
          <t>Decor</t>
        </is>
      </c>
      <c r="H936" t="inlineStr">
        <is>
          <t>Group &gt; House Party &gt; Quick Add &gt; Decor</t>
        </is>
      </c>
      <c r="I936" s="18" t="n">
        <v>11636.49</v>
      </c>
      <c r="J936" t="inlineStr">
        <is>
          <t>Created MTR-IOS-0935 and correlation note visible in Activity/Pulse</t>
        </is>
      </c>
      <c r="K936" t="inlineStr">
        <is>
          <t>NOT_RUN</t>
        </is>
      </c>
      <c r="P936" t="n">
        <v>0</v>
      </c>
      <c r="Q936" t="n">
        <v>935</v>
      </c>
    </row>
    <row r="937">
      <c r="A937" t="n">
        <v>936</v>
      </c>
      <c r="B937" t="inlineStr">
        <is>
          <t>MTR-IOS-0936</t>
        </is>
      </c>
      <c r="C937" t="inlineStr">
        <is>
          <t>iPhone</t>
        </is>
      </c>
      <c r="D937" t="inlineStr">
        <is>
          <t>Business</t>
        </is>
      </c>
      <c r="E937" t="inlineStr">
        <is>
          <t>Business</t>
        </is>
      </c>
      <c r="F937" t="inlineStr">
        <is>
          <t>Business Operations</t>
        </is>
      </c>
      <c r="G937" t="inlineStr">
        <is>
          <t>Accounting</t>
        </is>
      </c>
      <c r="H937" t="inlineStr">
        <is>
          <t>Business &gt; Business Operations &gt; Quick Add &gt; Accounting</t>
        </is>
      </c>
      <c r="I937" s="18" t="n">
        <v>98400.13</v>
      </c>
      <c r="J937" t="inlineStr">
        <is>
          <t>Created MTR-IOS-0936 and correlation note visible in Activity/Pulse</t>
        </is>
      </c>
      <c r="K937" t="inlineStr">
        <is>
          <t>NOT_RUN</t>
        </is>
      </c>
      <c r="P937" t="n">
        <v>0</v>
      </c>
      <c r="Q937" t="n">
        <v>936</v>
      </c>
    </row>
    <row r="938">
      <c r="A938" t="n">
        <v>937</v>
      </c>
      <c r="B938" t="inlineStr">
        <is>
          <t>MTR-IOS-0937</t>
        </is>
      </c>
      <c r="C938" t="inlineStr">
        <is>
          <t>iPhone</t>
        </is>
      </c>
      <c r="D938" t="inlineStr">
        <is>
          <t>Personal</t>
        </is>
      </c>
      <c r="E938" t="inlineStr">
        <is>
          <t>Personal</t>
        </is>
      </c>
      <c r="F938" t="inlineStr">
        <is>
          <t>Lifestyle</t>
        </is>
      </c>
      <c r="G938" t="inlineStr">
        <is>
          <t>Shopping</t>
        </is>
      </c>
      <c r="H938" t="inlineStr">
        <is>
          <t>Personal &gt; Lifestyle &gt; Quick Add &gt; Shopping</t>
        </is>
      </c>
      <c r="I938" s="18" t="n">
        <v>4198.68</v>
      </c>
      <c r="J938" t="inlineStr">
        <is>
          <t>Created MTR-IOS-0937 and correlation note visible in Activity/Pulse</t>
        </is>
      </c>
      <c r="K938" t="inlineStr">
        <is>
          <t>NOT_RUN</t>
        </is>
      </c>
      <c r="P938" t="n">
        <v>0</v>
      </c>
      <c r="Q938" t="n">
        <v>937</v>
      </c>
    </row>
    <row r="939">
      <c r="A939" t="n">
        <v>938</v>
      </c>
      <c r="B939" t="inlineStr">
        <is>
          <t>MTR-IOS-0938</t>
        </is>
      </c>
      <c r="C939" t="inlineStr">
        <is>
          <t>iPhone</t>
        </is>
      </c>
      <c r="D939" t="inlineStr">
        <is>
          <t>Group</t>
        </is>
      </c>
      <c r="E939" t="inlineStr">
        <is>
          <t>Shared Experience</t>
        </is>
      </c>
      <c r="F939" t="inlineStr">
        <is>
          <t>House Party</t>
        </is>
      </c>
      <c r="G939" t="inlineStr">
        <is>
          <t>Supplies</t>
        </is>
      </c>
      <c r="H939" t="inlineStr">
        <is>
          <t>Group &gt; House Party &gt; Quick Add &gt; Supplies</t>
        </is>
      </c>
      <c r="I939" s="18" t="n">
        <v>2136.52</v>
      </c>
      <c r="J939" t="inlineStr">
        <is>
          <t>Created MTR-IOS-0938 and correlation note visible in Activity/Pulse</t>
        </is>
      </c>
      <c r="K939" t="inlineStr">
        <is>
          <t>NOT_RUN</t>
        </is>
      </c>
      <c r="P939" t="n">
        <v>0</v>
      </c>
      <c r="Q939" t="n">
        <v>938</v>
      </c>
    </row>
    <row r="940">
      <c r="A940" t="n">
        <v>939</v>
      </c>
      <c r="B940" t="inlineStr">
        <is>
          <t>MTR-IOS-0939</t>
        </is>
      </c>
      <c r="C940" t="inlineStr">
        <is>
          <t>iPhone</t>
        </is>
      </c>
      <c r="D940" t="inlineStr">
        <is>
          <t>Business</t>
        </is>
      </c>
      <c r="E940" t="inlineStr">
        <is>
          <t>Business</t>
        </is>
      </c>
      <c r="F940" t="inlineStr">
        <is>
          <t>Business Operations</t>
        </is>
      </c>
      <c r="G940" t="inlineStr">
        <is>
          <t>Equipment</t>
        </is>
      </c>
      <c r="H940" t="inlineStr">
        <is>
          <t>Business &gt; Business Operations &gt; Quick Add &gt; Equipment</t>
        </is>
      </c>
      <c r="I940" s="18" t="n">
        <v>99359.71000000001</v>
      </c>
      <c r="J940" t="inlineStr">
        <is>
          <t>Created MTR-IOS-0939 and correlation note visible in Activity/Pulse</t>
        </is>
      </c>
      <c r="K940" t="inlineStr">
        <is>
          <t>NOT_RUN</t>
        </is>
      </c>
      <c r="P940" t="n">
        <v>0</v>
      </c>
      <c r="Q940" t="n">
        <v>939</v>
      </c>
    </row>
    <row r="941">
      <c r="A941" t="n">
        <v>940</v>
      </c>
      <c r="B941" t="inlineStr">
        <is>
          <t>MTR-IOS-0940</t>
        </is>
      </c>
      <c r="C941" t="inlineStr">
        <is>
          <t>iPhone</t>
        </is>
      </c>
      <c r="D941" t="inlineStr">
        <is>
          <t>Personal</t>
        </is>
      </c>
      <c r="E941" t="inlineStr">
        <is>
          <t>Personal</t>
        </is>
      </c>
      <c r="F941" t="inlineStr">
        <is>
          <t>Lifestyle</t>
        </is>
      </c>
      <c r="G941" t="inlineStr">
        <is>
          <t>Entertainment</t>
        </is>
      </c>
      <c r="H941" t="inlineStr">
        <is>
          <t>Personal &gt; Lifestyle &gt; Quick Add &gt; Entertainment</t>
        </is>
      </c>
      <c r="I941" s="18" t="n">
        <v>4236.57</v>
      </c>
      <c r="J941" t="inlineStr">
        <is>
          <t>Created MTR-IOS-0940 and correlation note visible in Activity/Pulse</t>
        </is>
      </c>
      <c r="K941" t="inlineStr">
        <is>
          <t>NOT_RUN</t>
        </is>
      </c>
      <c r="P941" t="n">
        <v>0</v>
      </c>
      <c r="Q941" t="n">
        <v>940</v>
      </c>
    </row>
    <row r="942">
      <c r="A942" t="n">
        <v>941</v>
      </c>
      <c r="B942" t="inlineStr">
        <is>
          <t>MTR-IOS-0941</t>
        </is>
      </c>
      <c r="C942" t="inlineStr">
        <is>
          <t>iPhone</t>
        </is>
      </c>
      <c r="D942" t="inlineStr">
        <is>
          <t>Group</t>
        </is>
      </c>
      <c r="E942" t="inlineStr">
        <is>
          <t>Shared Experience</t>
        </is>
      </c>
      <c r="F942" t="inlineStr">
        <is>
          <t>House Party</t>
        </is>
      </c>
      <c r="G942" t="inlineStr">
        <is>
          <t>Other</t>
        </is>
      </c>
      <c r="H942" t="inlineStr">
        <is>
          <t>Group &gt; House Party &gt; Quick Add &gt; Other</t>
        </is>
      </c>
      <c r="I942" s="18" t="n">
        <v>21003.97</v>
      </c>
      <c r="J942" t="inlineStr">
        <is>
          <t>Created MTR-IOS-0941 and correlation note visible in Activity/Pulse</t>
        </is>
      </c>
      <c r="K942" t="inlineStr">
        <is>
          <t>NOT_RUN</t>
        </is>
      </c>
      <c r="P942" t="n">
        <v>0</v>
      </c>
      <c r="Q942" t="n">
        <v>941</v>
      </c>
    </row>
    <row r="943">
      <c r="A943" t="n">
        <v>942</v>
      </c>
      <c r="B943" t="inlineStr">
        <is>
          <t>MTR-IOS-0942</t>
        </is>
      </c>
      <c r="C943" t="inlineStr">
        <is>
          <t>iPhone</t>
        </is>
      </c>
      <c r="D943" t="inlineStr">
        <is>
          <t>Business</t>
        </is>
      </c>
      <c r="E943" t="inlineStr">
        <is>
          <t>Business</t>
        </is>
      </c>
      <c r="F943" t="inlineStr">
        <is>
          <t>Business Operations</t>
        </is>
      </c>
      <c r="G943" t="inlineStr">
        <is>
          <t>Vendor</t>
        </is>
      </c>
      <c r="H943" t="inlineStr">
        <is>
          <t>Business &gt; Business Operations &gt; Quick Add &gt; Vendor</t>
        </is>
      </c>
      <c r="I943" s="18" t="n">
        <v>109583.25</v>
      </c>
      <c r="J943" t="inlineStr">
        <is>
          <t>Created MTR-IOS-0942 and correlation note visible in Activity/Pulse</t>
        </is>
      </c>
      <c r="K943" t="inlineStr">
        <is>
          <t>NOT_RUN</t>
        </is>
      </c>
      <c r="P943" t="n">
        <v>0</v>
      </c>
      <c r="Q943" t="n">
        <v>942</v>
      </c>
    </row>
    <row r="944">
      <c r="A944" t="n">
        <v>943</v>
      </c>
      <c r="B944" t="inlineStr">
        <is>
          <t>MTR-IOS-0943</t>
        </is>
      </c>
      <c r="C944" t="inlineStr">
        <is>
          <t>iPhone</t>
        </is>
      </c>
      <c r="D944" t="inlineStr">
        <is>
          <t>Personal</t>
        </is>
      </c>
      <c r="E944" t="inlineStr">
        <is>
          <t>Personal</t>
        </is>
      </c>
      <c r="F944" t="inlineStr">
        <is>
          <t>Lifestyle</t>
        </is>
      </c>
      <c r="G944" t="inlineStr">
        <is>
          <t>Travel</t>
        </is>
      </c>
      <c r="H944" t="inlineStr">
        <is>
          <t>Personal &gt; Lifestyle &gt; Quick Add &gt; Travel</t>
        </is>
      </c>
      <c r="I944" s="18" t="n">
        <v>15671.9</v>
      </c>
      <c r="J944" t="inlineStr">
        <is>
          <t>Created MTR-IOS-0943 and correlation note visible in Activity/Pulse</t>
        </is>
      </c>
      <c r="K944" t="inlineStr">
        <is>
          <t>NOT_RUN</t>
        </is>
      </c>
      <c r="P944" t="n">
        <v>0</v>
      </c>
      <c r="Q944" t="n">
        <v>943</v>
      </c>
    </row>
    <row r="945">
      <c r="A945" t="n">
        <v>944</v>
      </c>
      <c r="B945" t="inlineStr">
        <is>
          <t>MTR-IOS-0944</t>
        </is>
      </c>
      <c r="C945" t="inlineStr">
        <is>
          <t>iPhone</t>
        </is>
      </c>
      <c r="D945" t="inlineStr">
        <is>
          <t>Group</t>
        </is>
      </c>
      <c r="E945" t="inlineStr">
        <is>
          <t>Shared Purchase</t>
        </is>
      </c>
      <c r="F945" t="inlineStr">
        <is>
          <t>Gift Pool</t>
        </is>
      </c>
      <c r="G945" t="inlineStr">
        <is>
          <t>Contribution</t>
        </is>
      </c>
      <c r="H945" t="inlineStr">
        <is>
          <t>Group &gt; Gift Pool &gt; Quick Add &gt; Contribution</t>
        </is>
      </c>
      <c r="I945" s="18" t="n">
        <v>18907.28</v>
      </c>
      <c r="J945" t="inlineStr">
        <is>
          <t>Created MTR-IOS-0944 and correlation note visible in Activity/Pulse</t>
        </is>
      </c>
      <c r="K945" t="inlineStr">
        <is>
          <t>NOT_RUN</t>
        </is>
      </c>
      <c r="P945" t="n">
        <v>0</v>
      </c>
      <c r="Q945" t="n">
        <v>944</v>
      </c>
    </row>
    <row r="946">
      <c r="A946" t="n">
        <v>945</v>
      </c>
      <c r="B946" t="inlineStr">
        <is>
          <t>MTR-IOS-0945</t>
        </is>
      </c>
      <c r="C946" t="inlineStr">
        <is>
          <t>iPhone</t>
        </is>
      </c>
      <c r="D946" t="inlineStr">
        <is>
          <t>Business</t>
        </is>
      </c>
      <c r="E946" t="inlineStr">
        <is>
          <t>Business</t>
        </is>
      </c>
      <c r="F946" t="inlineStr">
        <is>
          <t>Business Operations</t>
        </is>
      </c>
      <c r="G946" t="inlineStr">
        <is>
          <t>Tax</t>
        </is>
      </c>
      <c r="H946" t="inlineStr">
        <is>
          <t>Business &gt; Business Operations &gt; Quick Add &gt; Tax</t>
        </is>
      </c>
      <c r="I946" s="18" t="n">
        <v>85303.78</v>
      </c>
      <c r="J946" t="inlineStr">
        <is>
          <t>Created MTR-IOS-0945 and correlation note visible in Activity/Pulse</t>
        </is>
      </c>
      <c r="K946" t="inlineStr">
        <is>
          <t>NOT_RUN</t>
        </is>
      </c>
      <c r="P946" t="n">
        <v>0</v>
      </c>
      <c r="Q946" t="n">
        <v>945</v>
      </c>
    </row>
    <row r="947">
      <c r="A947" t="n">
        <v>946</v>
      </c>
      <c r="B947" t="inlineStr">
        <is>
          <t>MTR-IOS-0946</t>
        </is>
      </c>
      <c r="C947" t="inlineStr">
        <is>
          <t>iPhone</t>
        </is>
      </c>
      <c r="D947" t="inlineStr">
        <is>
          <t>Personal</t>
        </is>
      </c>
      <c r="E947" t="inlineStr">
        <is>
          <t>Personal</t>
        </is>
      </c>
      <c r="F947" t="inlineStr">
        <is>
          <t>Lifestyle</t>
        </is>
      </c>
      <c r="G947" t="inlineStr">
        <is>
          <t>Fitness</t>
        </is>
      </c>
      <c r="H947" t="inlineStr">
        <is>
          <t>Personal &gt; Lifestyle &gt; Quick Add &gt; Fitness</t>
        </is>
      </c>
      <c r="I947" s="18" t="n">
        <v>16375.27</v>
      </c>
      <c r="J947" t="inlineStr">
        <is>
          <t>Created MTR-IOS-0946 and correlation note visible in Activity/Pulse</t>
        </is>
      </c>
      <c r="K947" t="inlineStr">
        <is>
          <t>NOT_RUN</t>
        </is>
      </c>
      <c r="P947" t="n">
        <v>0</v>
      </c>
      <c r="Q947" t="n">
        <v>946</v>
      </c>
    </row>
    <row r="948">
      <c r="A948" t="n">
        <v>947</v>
      </c>
      <c r="B948" t="inlineStr">
        <is>
          <t>MTR-IOS-0947</t>
        </is>
      </c>
      <c r="C948" t="inlineStr">
        <is>
          <t>iPhone</t>
        </is>
      </c>
      <c r="D948" t="inlineStr">
        <is>
          <t>Group</t>
        </is>
      </c>
      <c r="E948" t="inlineStr">
        <is>
          <t>Shared Purchase</t>
        </is>
      </c>
      <c r="F948" t="inlineStr">
        <is>
          <t>Gift Pool</t>
        </is>
      </c>
      <c r="G948" t="inlineStr">
        <is>
          <t>Gift Purchase</t>
        </is>
      </c>
      <c r="H948" t="inlineStr">
        <is>
          <t>Group &gt; Gift Pool &gt; Quick Add &gt; Gift Purchase</t>
        </is>
      </c>
      <c r="I948" s="18" t="n">
        <v>11841.22</v>
      </c>
      <c r="J948" t="inlineStr">
        <is>
          <t>Created MTR-IOS-0947 and correlation note visible in Activity/Pulse</t>
        </is>
      </c>
      <c r="K948" t="inlineStr">
        <is>
          <t>NOT_RUN</t>
        </is>
      </c>
      <c r="P948" t="n">
        <v>0</v>
      </c>
      <c r="Q948" t="n">
        <v>947</v>
      </c>
    </row>
    <row r="949">
      <c r="A949" t="n">
        <v>948</v>
      </c>
      <c r="B949" t="inlineStr">
        <is>
          <t>MTR-IOS-0948</t>
        </is>
      </c>
      <c r="C949" t="inlineStr">
        <is>
          <t>iPhone</t>
        </is>
      </c>
      <c r="D949" t="inlineStr">
        <is>
          <t>Business</t>
        </is>
      </c>
      <c r="E949" t="inlineStr">
        <is>
          <t>Business</t>
        </is>
      </c>
      <c r="F949" t="inlineStr">
        <is>
          <t>Team Operations</t>
        </is>
      </c>
      <c r="G949" t="inlineStr">
        <is>
          <t>Payroll</t>
        </is>
      </c>
      <c r="H949" t="inlineStr">
        <is>
          <t>Business &gt; Team Operations &gt; Quick Add &gt; Payroll</t>
        </is>
      </c>
      <c r="I949" s="18" t="n">
        <v>800.16</v>
      </c>
      <c r="J949" t="inlineStr">
        <is>
          <t>Created MTR-IOS-0948 and correlation note visible in Activity/Pulse</t>
        </is>
      </c>
      <c r="K949" t="inlineStr">
        <is>
          <t>NOT_RUN</t>
        </is>
      </c>
      <c r="P949" t="n">
        <v>0</v>
      </c>
      <c r="Q949" t="n">
        <v>948</v>
      </c>
    </row>
    <row r="950">
      <c r="A950" t="n">
        <v>949</v>
      </c>
      <c r="B950" t="inlineStr">
        <is>
          <t>MTR-IOS-0949</t>
        </is>
      </c>
      <c r="C950" t="inlineStr">
        <is>
          <t>iPhone</t>
        </is>
      </c>
      <c r="D950" t="inlineStr">
        <is>
          <t>Personal</t>
        </is>
      </c>
      <c r="E950" t="inlineStr">
        <is>
          <t>Personal</t>
        </is>
      </c>
      <c r="F950" t="inlineStr">
        <is>
          <t>Lifestyle</t>
        </is>
      </c>
      <c r="G950" t="inlineStr">
        <is>
          <t>Hobbies</t>
        </is>
      </c>
      <c r="H950" t="inlineStr">
        <is>
          <t>Personal &gt; Lifestyle &gt; Quick Add &gt; Hobbies</t>
        </is>
      </c>
      <c r="I950" s="18" t="n">
        <v>4467.72</v>
      </c>
      <c r="J950" t="inlineStr">
        <is>
          <t>Created MTR-IOS-0949 and correlation note visible in Activity/Pulse</t>
        </is>
      </c>
      <c r="K950" t="inlineStr">
        <is>
          <t>NOT_RUN</t>
        </is>
      </c>
      <c r="P950" t="n">
        <v>0</v>
      </c>
      <c r="Q950" t="n">
        <v>949</v>
      </c>
    </row>
    <row r="951">
      <c r="A951" t="n">
        <v>950</v>
      </c>
      <c r="B951" t="inlineStr">
        <is>
          <t>MTR-IOS-0950</t>
        </is>
      </c>
      <c r="C951" t="inlineStr">
        <is>
          <t>iPhone</t>
        </is>
      </c>
      <c r="D951" t="inlineStr">
        <is>
          <t>Group</t>
        </is>
      </c>
      <c r="E951" t="inlineStr">
        <is>
          <t>Shared Purchase</t>
        </is>
      </c>
      <c r="F951" t="inlineStr">
        <is>
          <t>Gift Pool</t>
        </is>
      </c>
      <c r="G951" t="inlineStr">
        <is>
          <t>Delivery</t>
        </is>
      </c>
      <c r="H951" t="inlineStr">
        <is>
          <t>Group &gt; Gift Pool &gt; Quick Add &gt; Delivery</t>
        </is>
      </c>
      <c r="I951" s="18" t="n">
        <v>20782.52</v>
      </c>
      <c r="J951" t="inlineStr">
        <is>
          <t>Created MTR-IOS-0950 and correlation note visible in Activity/Pulse</t>
        </is>
      </c>
      <c r="K951" t="inlineStr">
        <is>
          <t>NOT_RUN</t>
        </is>
      </c>
      <c r="P951" t="n">
        <v>0</v>
      </c>
      <c r="Q951" t="n">
        <v>950</v>
      </c>
    </row>
    <row r="952">
      <c r="A952" t="n">
        <v>951</v>
      </c>
      <c r="B952" t="inlineStr">
        <is>
          <t>MTR-IOS-0951</t>
        </is>
      </c>
      <c r="C952" t="inlineStr">
        <is>
          <t>iPhone</t>
        </is>
      </c>
      <c r="D952" t="inlineStr">
        <is>
          <t>Business</t>
        </is>
      </c>
      <c r="E952" t="inlineStr">
        <is>
          <t>Business</t>
        </is>
      </c>
      <c r="F952" t="inlineStr">
        <is>
          <t>Team Operations</t>
        </is>
      </c>
      <c r="G952" t="inlineStr">
        <is>
          <t>Contractor</t>
        </is>
      </c>
      <c r="H952" t="inlineStr">
        <is>
          <t>Business &gt; Team Operations &gt; Quick Add &gt; Contractor</t>
        </is>
      </c>
      <c r="I952" s="18" t="n">
        <v>118678.22</v>
      </c>
      <c r="J952" t="inlineStr">
        <is>
          <t>Created MTR-IOS-0951 and correlation note visible in Activity/Pulse</t>
        </is>
      </c>
      <c r="K952" t="inlineStr">
        <is>
          <t>NOT_RUN</t>
        </is>
      </c>
      <c r="P952" t="n">
        <v>0</v>
      </c>
      <c r="Q952" t="n">
        <v>951</v>
      </c>
    </row>
    <row r="953">
      <c r="A953" t="n">
        <v>952</v>
      </c>
      <c r="B953" t="inlineStr">
        <is>
          <t>MTR-IOS-0952</t>
        </is>
      </c>
      <c r="C953" t="inlineStr">
        <is>
          <t>iPhone</t>
        </is>
      </c>
      <c r="D953" t="inlineStr">
        <is>
          <t>Personal</t>
        </is>
      </c>
      <c r="E953" t="inlineStr">
        <is>
          <t>Personal</t>
        </is>
      </c>
      <c r="F953" t="inlineStr">
        <is>
          <t>Relationships</t>
        </is>
      </c>
      <c r="G953" t="inlineStr">
        <is>
          <t>Gifts</t>
        </is>
      </c>
      <c r="H953" t="inlineStr">
        <is>
          <t>Personal &gt; Relationships &gt; Quick Add &gt; Gifts</t>
        </is>
      </c>
      <c r="I953" s="18" t="n">
        <v>8303.780000000001</v>
      </c>
      <c r="J953" t="inlineStr">
        <is>
          <t>Created MTR-IOS-0952 and correlation note visible in Activity/Pulse</t>
        </is>
      </c>
      <c r="K953" t="inlineStr">
        <is>
          <t>NOT_RUN</t>
        </is>
      </c>
      <c r="P953" t="n">
        <v>0</v>
      </c>
      <c r="Q953" t="n">
        <v>952</v>
      </c>
    </row>
    <row r="954">
      <c r="A954" t="n">
        <v>953</v>
      </c>
      <c r="B954" t="inlineStr">
        <is>
          <t>MTR-IOS-0953</t>
        </is>
      </c>
      <c r="C954" t="inlineStr">
        <is>
          <t>iPhone</t>
        </is>
      </c>
      <c r="D954" t="inlineStr">
        <is>
          <t>Group</t>
        </is>
      </c>
      <c r="E954" t="inlineStr">
        <is>
          <t>Shared Purchase</t>
        </is>
      </c>
      <c r="F954" t="inlineStr">
        <is>
          <t>Gift Pool</t>
        </is>
      </c>
      <c r="G954" t="inlineStr">
        <is>
          <t>Other</t>
        </is>
      </c>
      <c r="H954" t="inlineStr">
        <is>
          <t>Group &gt; Gift Pool &gt; Quick Add &gt; Other</t>
        </is>
      </c>
      <c r="I954" s="18" t="n">
        <v>8343.309999999999</v>
      </c>
      <c r="J954" t="inlineStr">
        <is>
          <t>Created MTR-IOS-0953 and correlation note visible in Activity/Pulse</t>
        </is>
      </c>
      <c r="K954" t="inlineStr">
        <is>
          <t>NOT_RUN</t>
        </is>
      </c>
      <c r="P954" t="n">
        <v>0</v>
      </c>
      <c r="Q954" t="n">
        <v>953</v>
      </c>
    </row>
    <row r="955">
      <c r="A955" t="n">
        <v>954</v>
      </c>
      <c r="B955" t="inlineStr">
        <is>
          <t>MTR-IOS-0954</t>
        </is>
      </c>
      <c r="C955" t="inlineStr">
        <is>
          <t>iPhone</t>
        </is>
      </c>
      <c r="D955" t="inlineStr">
        <is>
          <t>Business</t>
        </is>
      </c>
      <c r="E955" t="inlineStr">
        <is>
          <t>Business</t>
        </is>
      </c>
      <c r="F955" t="inlineStr">
        <is>
          <t>Team Operations</t>
        </is>
      </c>
      <c r="G955" t="inlineStr">
        <is>
          <t>Hiring</t>
        </is>
      </c>
      <c r="H955" t="inlineStr">
        <is>
          <t>Business &gt; Team Operations &gt; Quick Add &gt; Hiring</t>
        </is>
      </c>
      <c r="I955" s="18" t="n">
        <v>139744.57</v>
      </c>
      <c r="J955" t="inlineStr">
        <is>
          <t>Created MTR-IOS-0954 and correlation note visible in Activity/Pulse</t>
        </is>
      </c>
      <c r="K955" t="inlineStr">
        <is>
          <t>NOT_RUN</t>
        </is>
      </c>
      <c r="P955" t="n">
        <v>0</v>
      </c>
      <c r="Q955" t="n">
        <v>954</v>
      </c>
    </row>
    <row r="956">
      <c r="A956" t="n">
        <v>955</v>
      </c>
      <c r="B956" t="inlineStr">
        <is>
          <t>MTR-IOS-0955</t>
        </is>
      </c>
      <c r="C956" t="inlineStr">
        <is>
          <t>iPhone</t>
        </is>
      </c>
      <c r="D956" t="inlineStr">
        <is>
          <t>Personal</t>
        </is>
      </c>
      <c r="E956" t="inlineStr">
        <is>
          <t>Personal</t>
        </is>
      </c>
      <c r="F956" t="inlineStr">
        <is>
          <t>Relationships</t>
        </is>
      </c>
      <c r="G956" t="inlineStr">
        <is>
          <t>Dates</t>
        </is>
      </c>
      <c r="H956" t="inlineStr">
        <is>
          <t>Personal &gt; Relationships &gt; Quick Add &gt; Dates</t>
        </is>
      </c>
      <c r="I956" s="18" t="n">
        <v>12344.36</v>
      </c>
      <c r="J956" t="inlineStr">
        <is>
          <t>Created MTR-IOS-0955 and correlation note visible in Activity/Pulse</t>
        </is>
      </c>
      <c r="K956" t="inlineStr">
        <is>
          <t>NOT_RUN</t>
        </is>
      </c>
      <c r="P956" t="n">
        <v>0</v>
      </c>
      <c r="Q956" t="n">
        <v>955</v>
      </c>
    </row>
    <row r="957">
      <c r="A957" t="n">
        <v>956</v>
      </c>
      <c r="B957" t="inlineStr">
        <is>
          <t>MTR-IOS-0956</t>
        </is>
      </c>
      <c r="C957" t="inlineStr">
        <is>
          <t>iPhone</t>
        </is>
      </c>
      <c r="D957" t="inlineStr">
        <is>
          <t>Group</t>
        </is>
      </c>
      <c r="E957" t="inlineStr">
        <is>
          <t>Shared Purchase</t>
        </is>
      </c>
      <c r="F957" t="inlineStr">
        <is>
          <t>Purchase</t>
        </is>
      </c>
      <c r="G957" t="inlineStr">
        <is>
          <t>Item</t>
        </is>
      </c>
      <c r="H957" t="inlineStr">
        <is>
          <t>Group &gt; Purchase &gt; Quick Add &gt; Item</t>
        </is>
      </c>
      <c r="I957" s="18" t="n">
        <v>23073.01</v>
      </c>
      <c r="J957" t="inlineStr">
        <is>
          <t>Created MTR-IOS-0956 and correlation note visible in Activity/Pulse</t>
        </is>
      </c>
      <c r="K957" t="inlineStr">
        <is>
          <t>NOT_RUN</t>
        </is>
      </c>
      <c r="P957" t="n">
        <v>0</v>
      </c>
      <c r="Q957" t="n">
        <v>956</v>
      </c>
    </row>
    <row r="958">
      <c r="A958" t="n">
        <v>957</v>
      </c>
      <c r="B958" t="inlineStr">
        <is>
          <t>MTR-IOS-0957</t>
        </is>
      </c>
      <c r="C958" t="inlineStr">
        <is>
          <t>iPhone</t>
        </is>
      </c>
      <c r="D958" t="inlineStr">
        <is>
          <t>Business</t>
        </is>
      </c>
      <c r="E958" t="inlineStr">
        <is>
          <t>Business</t>
        </is>
      </c>
      <c r="F958" t="inlineStr">
        <is>
          <t>Team Operations</t>
        </is>
      </c>
      <c r="G958" t="inlineStr">
        <is>
          <t>Team Meal</t>
        </is>
      </c>
      <c r="H958" t="inlineStr">
        <is>
          <t>Business &gt; Team Operations &gt; Quick Add &gt; Team Meal</t>
        </is>
      </c>
      <c r="I958" s="18" t="n">
        <v>80075.78999999999</v>
      </c>
      <c r="J958" t="inlineStr">
        <is>
          <t>Created MTR-IOS-0957 and correlation note visible in Activity/Pulse</t>
        </is>
      </c>
      <c r="K958" t="inlineStr">
        <is>
          <t>NOT_RUN</t>
        </is>
      </c>
      <c r="P958" t="n">
        <v>0</v>
      </c>
      <c r="Q958" t="n">
        <v>957</v>
      </c>
    </row>
    <row r="959">
      <c r="A959" t="n">
        <v>958</v>
      </c>
      <c r="B959" t="inlineStr">
        <is>
          <t>MTR-IOS-0958</t>
        </is>
      </c>
      <c r="C959" t="inlineStr">
        <is>
          <t>iPhone</t>
        </is>
      </c>
      <c r="D959" t="inlineStr">
        <is>
          <t>Personal</t>
        </is>
      </c>
      <c r="E959" t="inlineStr">
        <is>
          <t>Personal</t>
        </is>
      </c>
      <c r="F959" t="inlineStr">
        <is>
          <t>Relationships</t>
        </is>
      </c>
      <c r="G959" t="inlineStr">
        <is>
          <t>Family</t>
        </is>
      </c>
      <c r="H959" t="inlineStr">
        <is>
          <t>Personal &gt; Relationships &gt; Quick Add &gt; Family</t>
        </is>
      </c>
      <c r="I959" s="18" t="n">
        <v>1258.04</v>
      </c>
      <c r="J959" t="inlineStr">
        <is>
          <t>Created MTR-IOS-0958 and correlation note visible in Activity/Pulse</t>
        </is>
      </c>
      <c r="K959" t="inlineStr">
        <is>
          <t>NOT_RUN</t>
        </is>
      </c>
      <c r="P959" t="n">
        <v>0</v>
      </c>
      <c r="Q959" t="n">
        <v>958</v>
      </c>
    </row>
    <row r="960">
      <c r="A960" t="n">
        <v>959</v>
      </c>
      <c r="B960" t="inlineStr">
        <is>
          <t>MTR-IOS-0959</t>
        </is>
      </c>
      <c r="C960" t="inlineStr">
        <is>
          <t>iPhone</t>
        </is>
      </c>
      <c r="D960" t="inlineStr">
        <is>
          <t>Group</t>
        </is>
      </c>
      <c r="E960" t="inlineStr">
        <is>
          <t>Shared Purchase</t>
        </is>
      </c>
      <c r="F960" t="inlineStr">
        <is>
          <t>Purchase</t>
        </is>
      </c>
      <c r="G960" t="inlineStr">
        <is>
          <t>Shipping</t>
        </is>
      </c>
      <c r="H960" t="inlineStr">
        <is>
          <t>Group &gt; Purchase &gt; Quick Add &gt; Shipping</t>
        </is>
      </c>
      <c r="I960" s="18" t="n">
        <v>9019.700000000001</v>
      </c>
      <c r="J960" t="inlineStr">
        <is>
          <t>Created MTR-IOS-0959 and correlation note visible in Activity/Pulse</t>
        </is>
      </c>
      <c r="K960" t="inlineStr">
        <is>
          <t>NOT_RUN</t>
        </is>
      </c>
      <c r="P960" t="n">
        <v>0</v>
      </c>
      <c r="Q960" t="n">
        <v>959</v>
      </c>
    </row>
    <row r="961">
      <c r="A961" t="n">
        <v>960</v>
      </c>
      <c r="B961" t="inlineStr">
        <is>
          <t>MTR-IOS-0960</t>
        </is>
      </c>
      <c r="C961" t="inlineStr">
        <is>
          <t>iPhone</t>
        </is>
      </c>
      <c r="D961" t="inlineStr">
        <is>
          <t>Business</t>
        </is>
      </c>
      <c r="E961" t="inlineStr">
        <is>
          <t>Business</t>
        </is>
      </c>
      <c r="F961" t="inlineStr">
        <is>
          <t>Team Operations</t>
        </is>
      </c>
      <c r="G961" t="inlineStr">
        <is>
          <t>Travel</t>
        </is>
      </c>
      <c r="H961" t="inlineStr">
        <is>
          <t>Business &gt; Team Operations &gt; Quick Add &gt; Travel</t>
        </is>
      </c>
      <c r="I961" s="18" t="n">
        <v>16504.4</v>
      </c>
      <c r="J961" t="inlineStr">
        <is>
          <t>Created MTR-IOS-0960 and correlation note visible in Activity/Pulse</t>
        </is>
      </c>
      <c r="K961" t="inlineStr">
        <is>
          <t>NOT_RUN</t>
        </is>
      </c>
      <c r="P961" t="n">
        <v>0</v>
      </c>
      <c r="Q961" t="n">
        <v>960</v>
      </c>
    </row>
    <row r="962">
      <c r="A962" t="n">
        <v>961</v>
      </c>
      <c r="B962" t="inlineStr">
        <is>
          <t>MTR-IOS-0961</t>
        </is>
      </c>
      <c r="C962" t="inlineStr">
        <is>
          <t>iPhone</t>
        </is>
      </c>
      <c r="D962" t="inlineStr">
        <is>
          <t>Personal</t>
        </is>
      </c>
      <c r="E962" t="inlineStr">
        <is>
          <t>Personal</t>
        </is>
      </c>
      <c r="F962" t="inlineStr">
        <is>
          <t>Relationships</t>
        </is>
      </c>
      <c r="G962" t="inlineStr">
        <is>
          <t>Friends</t>
        </is>
      </c>
      <c r="H962" t="inlineStr">
        <is>
          <t>Personal &gt; Relationships &gt; Quick Add &gt; Friends</t>
        </is>
      </c>
      <c r="I962" s="18" t="n">
        <v>11025.08</v>
      </c>
      <c r="J962" t="inlineStr">
        <is>
          <t>Created MTR-IOS-0961 and correlation note visible in Activity/Pulse</t>
        </is>
      </c>
      <c r="K962" t="inlineStr">
        <is>
          <t>NOT_RUN</t>
        </is>
      </c>
      <c r="P962" t="n">
        <v>0</v>
      </c>
      <c r="Q962" t="n">
        <v>961</v>
      </c>
    </row>
    <row r="963">
      <c r="A963" t="n">
        <v>962</v>
      </c>
      <c r="B963" t="inlineStr">
        <is>
          <t>MTR-IOS-0962</t>
        </is>
      </c>
      <c r="C963" t="inlineStr">
        <is>
          <t>iPhone</t>
        </is>
      </c>
      <c r="D963" t="inlineStr">
        <is>
          <t>Group</t>
        </is>
      </c>
      <c r="E963" t="inlineStr">
        <is>
          <t>Shared Purchase</t>
        </is>
      </c>
      <c r="F963" t="inlineStr">
        <is>
          <t>Purchase</t>
        </is>
      </c>
      <c r="G963" t="inlineStr">
        <is>
          <t>Tax</t>
        </is>
      </c>
      <c r="H963" t="inlineStr">
        <is>
          <t>Group &gt; Purchase &gt; Quick Add &gt; Tax</t>
        </is>
      </c>
      <c r="I963" s="18" t="n">
        <v>99.98999999999999</v>
      </c>
      <c r="J963" t="inlineStr">
        <is>
          <t>Created MTR-IOS-0962 and correlation note visible in Activity/Pulse</t>
        </is>
      </c>
      <c r="K963" t="inlineStr">
        <is>
          <t>NOT_RUN</t>
        </is>
      </c>
      <c r="P963" t="n">
        <v>0</v>
      </c>
      <c r="Q963" t="n">
        <v>962</v>
      </c>
    </row>
    <row r="964">
      <c r="A964" t="n">
        <v>963</v>
      </c>
      <c r="B964" t="inlineStr">
        <is>
          <t>MTR-IOS-0963</t>
        </is>
      </c>
      <c r="C964" t="inlineStr">
        <is>
          <t>iPhone</t>
        </is>
      </c>
      <c r="D964" t="inlineStr">
        <is>
          <t>Business</t>
        </is>
      </c>
      <c r="E964" t="inlineStr">
        <is>
          <t>Business</t>
        </is>
      </c>
      <c r="F964" t="inlineStr">
        <is>
          <t>Team Operations</t>
        </is>
      </c>
      <c r="G964" t="inlineStr">
        <is>
          <t>Training</t>
        </is>
      </c>
      <c r="H964" t="inlineStr">
        <is>
          <t>Business &gt; Team Operations &gt; Quick Add &gt; Training</t>
        </is>
      </c>
      <c r="I964" s="18" t="n">
        <v>126530.08</v>
      </c>
      <c r="J964" t="inlineStr">
        <is>
          <t>Created MTR-IOS-0963 and correlation note visible in Activity/Pulse</t>
        </is>
      </c>
      <c r="K964" t="inlineStr">
        <is>
          <t>NOT_RUN</t>
        </is>
      </c>
      <c r="P964" t="n">
        <v>0</v>
      </c>
      <c r="Q964" t="n">
        <v>963</v>
      </c>
    </row>
    <row r="965">
      <c r="A965" t="n">
        <v>964</v>
      </c>
      <c r="B965" t="inlineStr">
        <is>
          <t>MTR-IOS-0964</t>
        </is>
      </c>
      <c r="C965" t="inlineStr">
        <is>
          <t>iPhone</t>
        </is>
      </c>
      <c r="D965" t="inlineStr">
        <is>
          <t>Personal</t>
        </is>
      </c>
      <c r="E965" t="inlineStr">
        <is>
          <t>Personal</t>
        </is>
      </c>
      <c r="F965" t="inlineStr">
        <is>
          <t>Relationships</t>
        </is>
      </c>
      <c r="G965" t="inlineStr">
        <is>
          <t>Celebrations</t>
        </is>
      </c>
      <c r="H965" t="inlineStr">
        <is>
          <t>Personal &gt; Relationships &gt; Quick Add &gt; Celebrations</t>
        </is>
      </c>
      <c r="I965" s="18" t="n">
        <v>13063</v>
      </c>
      <c r="J965" t="inlineStr">
        <is>
          <t>Created MTR-IOS-0964 and correlation note visible in Activity/Pulse</t>
        </is>
      </c>
      <c r="K965" t="inlineStr">
        <is>
          <t>NOT_RUN</t>
        </is>
      </c>
      <c r="P965" t="n">
        <v>0</v>
      </c>
      <c r="Q965" t="n">
        <v>964</v>
      </c>
    </row>
    <row r="966">
      <c r="A966" t="n">
        <v>965</v>
      </c>
      <c r="B966" t="inlineStr">
        <is>
          <t>MTR-IOS-0965</t>
        </is>
      </c>
      <c r="C966" t="inlineStr">
        <is>
          <t>iPhone</t>
        </is>
      </c>
      <c r="D966" t="inlineStr">
        <is>
          <t>Group</t>
        </is>
      </c>
      <c r="E966" t="inlineStr">
        <is>
          <t>Shared Purchase</t>
        </is>
      </c>
      <c r="F966" t="inlineStr">
        <is>
          <t>Purchase</t>
        </is>
      </c>
      <c r="G966" t="inlineStr">
        <is>
          <t>Other</t>
        </is>
      </c>
      <c r="H966" t="inlineStr">
        <is>
          <t>Group &gt; Purchase &gt; Quick Add &gt; Other</t>
        </is>
      </c>
      <c r="I966" s="18" t="n">
        <v>17357.36</v>
      </c>
      <c r="J966" t="inlineStr">
        <is>
          <t>Created MTR-IOS-0965 and correlation note visible in Activity/Pulse</t>
        </is>
      </c>
      <c r="K966" t="inlineStr">
        <is>
          <t>NOT_RUN</t>
        </is>
      </c>
      <c r="P966" t="n">
        <v>0</v>
      </c>
      <c r="Q966" t="n">
        <v>965</v>
      </c>
    </row>
    <row r="967">
      <c r="A967" t="n">
        <v>966</v>
      </c>
      <c r="B967" t="inlineStr">
        <is>
          <t>MTR-IOS-0966</t>
        </is>
      </c>
      <c r="C967" t="inlineStr">
        <is>
          <t>iPhone</t>
        </is>
      </c>
      <c r="D967" t="inlineStr">
        <is>
          <t>Business</t>
        </is>
      </c>
      <c r="E967" t="inlineStr">
        <is>
          <t>Business</t>
        </is>
      </c>
      <c r="F967" t="inlineStr">
        <is>
          <t>Team Operations</t>
        </is>
      </c>
      <c r="G967" t="inlineStr">
        <is>
          <t>Tools</t>
        </is>
      </c>
      <c r="H967" t="inlineStr">
        <is>
          <t>Business &gt; Team Operations &gt; Quick Add &gt; Tools</t>
        </is>
      </c>
      <c r="I967" s="18" t="n">
        <v>19595.55</v>
      </c>
      <c r="J967" t="inlineStr">
        <is>
          <t>Created MTR-IOS-0966 and correlation note visible in Activity/Pulse</t>
        </is>
      </c>
      <c r="K967" t="inlineStr">
        <is>
          <t>NOT_RUN</t>
        </is>
      </c>
      <c r="P967" t="n">
        <v>0</v>
      </c>
      <c r="Q967" t="n">
        <v>966</v>
      </c>
    </row>
    <row r="968">
      <c r="A968" t="n">
        <v>967</v>
      </c>
      <c r="B968" t="inlineStr">
        <is>
          <t>MTR-IOS-0967</t>
        </is>
      </c>
      <c r="C968" t="inlineStr">
        <is>
          <t>iPhone</t>
        </is>
      </c>
      <c r="D968" t="inlineStr">
        <is>
          <t>Personal</t>
        </is>
      </c>
      <c r="E968" t="inlineStr">
        <is>
          <t>Personal</t>
        </is>
      </c>
      <c r="F968" t="inlineStr">
        <is>
          <t>Life Operations</t>
        </is>
      </c>
      <c r="G968" t="inlineStr">
        <is>
          <t>Groceries</t>
        </is>
      </c>
      <c r="H968" t="inlineStr">
        <is>
          <t>Personal &gt; Life Operations &gt; Quick Add &gt; Groceries</t>
        </is>
      </c>
      <c r="I968" s="18" t="n">
        <v>11746.29</v>
      </c>
      <c r="J968" t="inlineStr">
        <is>
          <t>Created MTR-IOS-0967 and correlation note visible in Activity/Pulse</t>
        </is>
      </c>
      <c r="K968" t="inlineStr">
        <is>
          <t>NOT_RUN</t>
        </is>
      </c>
      <c r="P968" t="n">
        <v>0</v>
      </c>
      <c r="Q968" t="n">
        <v>967</v>
      </c>
    </row>
    <row r="969">
      <c r="A969" t="n">
        <v>968</v>
      </c>
      <c r="B969" t="inlineStr">
        <is>
          <t>MTR-IOS-0968</t>
        </is>
      </c>
      <c r="C969" t="inlineStr">
        <is>
          <t>iPhone</t>
        </is>
      </c>
      <c r="D969" t="inlineStr">
        <is>
          <t>Group</t>
        </is>
      </c>
      <c r="E969" t="inlineStr">
        <is>
          <t>Shared Purchase</t>
        </is>
      </c>
      <c r="F969" t="inlineStr">
        <is>
          <t>Assets</t>
        </is>
      </c>
      <c r="G969" t="inlineStr">
        <is>
          <t>Purchase</t>
        </is>
      </c>
      <c r="H969" t="inlineStr">
        <is>
          <t>Group &gt; Assets &gt; Quick Add &gt; Purchase</t>
        </is>
      </c>
      <c r="I969" s="18" t="n">
        <v>8019.57</v>
      </c>
      <c r="J969" t="inlineStr">
        <is>
          <t>Created MTR-IOS-0968 and correlation note visible in Activity/Pulse</t>
        </is>
      </c>
      <c r="K969" t="inlineStr">
        <is>
          <t>NOT_RUN</t>
        </is>
      </c>
      <c r="P969" t="n">
        <v>0</v>
      </c>
      <c r="Q969" t="n">
        <v>968</v>
      </c>
    </row>
    <row r="970">
      <c r="A970" t="n">
        <v>969</v>
      </c>
      <c r="B970" t="inlineStr">
        <is>
          <t>MTR-IOS-0969</t>
        </is>
      </c>
      <c r="C970" t="inlineStr">
        <is>
          <t>iPhone</t>
        </is>
      </c>
      <c r="D970" t="inlineStr">
        <is>
          <t>Business</t>
        </is>
      </c>
      <c r="E970" t="inlineStr">
        <is>
          <t>Business</t>
        </is>
      </c>
      <c r="F970" t="inlineStr">
        <is>
          <t>Business Runway</t>
        </is>
      </c>
      <c r="G970" t="inlineStr">
        <is>
          <t>Funding</t>
        </is>
      </c>
      <c r="H970" t="inlineStr">
        <is>
          <t>Business &gt; Business Runway &gt; Quick Add &gt; Funding</t>
        </is>
      </c>
      <c r="I970" s="18" t="n">
        <v>151654.18</v>
      </c>
      <c r="J970" t="inlineStr">
        <is>
          <t>Created MTR-IOS-0969 and correlation note visible in Activity/Pulse</t>
        </is>
      </c>
      <c r="K970" t="inlineStr">
        <is>
          <t>NOT_RUN</t>
        </is>
      </c>
      <c r="P970" t="n">
        <v>0</v>
      </c>
      <c r="Q970" t="n">
        <v>969</v>
      </c>
    </row>
    <row r="971">
      <c r="A971" t="n">
        <v>970</v>
      </c>
      <c r="B971" t="inlineStr">
        <is>
          <t>MTR-IOS-0970</t>
        </is>
      </c>
      <c r="C971" t="inlineStr">
        <is>
          <t>iPhone</t>
        </is>
      </c>
      <c r="D971" t="inlineStr">
        <is>
          <t>Personal</t>
        </is>
      </c>
      <c r="E971" t="inlineStr">
        <is>
          <t>Personal</t>
        </is>
      </c>
      <c r="F971" t="inlineStr">
        <is>
          <t>Life Operations</t>
        </is>
      </c>
      <c r="G971" t="inlineStr">
        <is>
          <t>Rent</t>
        </is>
      </c>
      <c r="H971" t="inlineStr">
        <is>
          <t>Personal &gt; Life Operations &gt; Quick Add &gt; Rent</t>
        </is>
      </c>
      <c r="I971" s="18" t="n">
        <v>3536.71</v>
      </c>
      <c r="J971" t="inlineStr">
        <is>
          <t>Created MTR-IOS-0970 and correlation note visible in Activity/Pulse</t>
        </is>
      </c>
      <c r="K971" t="inlineStr">
        <is>
          <t>NOT_RUN</t>
        </is>
      </c>
      <c r="P971" t="n">
        <v>0</v>
      </c>
      <c r="Q971" t="n">
        <v>970</v>
      </c>
    </row>
    <row r="972">
      <c r="A972" t="n">
        <v>971</v>
      </c>
      <c r="B972" t="inlineStr">
        <is>
          <t>MTR-IOS-0971</t>
        </is>
      </c>
      <c r="C972" t="inlineStr">
        <is>
          <t>iPhone</t>
        </is>
      </c>
      <c r="D972" t="inlineStr">
        <is>
          <t>Group</t>
        </is>
      </c>
      <c r="E972" t="inlineStr">
        <is>
          <t>Shared Purchase</t>
        </is>
      </c>
      <c r="F972" t="inlineStr">
        <is>
          <t>Assets</t>
        </is>
      </c>
      <c r="G972" t="inlineStr">
        <is>
          <t>Maintenance</t>
        </is>
      </c>
      <c r="H972" t="inlineStr">
        <is>
          <t>Group &gt; Assets &gt; Quick Add &gt; Maintenance</t>
        </is>
      </c>
      <c r="I972" s="18" t="n">
        <v>14058.4</v>
      </c>
      <c r="J972" t="inlineStr">
        <is>
          <t>Created MTR-IOS-0971 and correlation note visible in Activity/Pulse</t>
        </is>
      </c>
      <c r="K972" t="inlineStr">
        <is>
          <t>NOT_RUN</t>
        </is>
      </c>
      <c r="P972" t="n">
        <v>0</v>
      </c>
      <c r="Q972" t="n">
        <v>971</v>
      </c>
    </row>
    <row r="973">
      <c r="A973" t="n">
        <v>972</v>
      </c>
      <c r="B973" t="inlineStr">
        <is>
          <t>MTR-IOS-0972</t>
        </is>
      </c>
      <c r="C973" t="inlineStr">
        <is>
          <t>iPhone</t>
        </is>
      </c>
      <c r="D973" t="inlineStr">
        <is>
          <t>Business</t>
        </is>
      </c>
      <c r="E973" t="inlineStr">
        <is>
          <t>Business</t>
        </is>
      </c>
      <c r="F973" t="inlineStr">
        <is>
          <t>Business Runway</t>
        </is>
      </c>
      <c r="G973" t="inlineStr">
        <is>
          <t>Revenue</t>
        </is>
      </c>
      <c r="H973" t="inlineStr">
        <is>
          <t>Business &gt; Business Runway &gt; Quick Add &gt; Revenue</t>
        </is>
      </c>
      <c r="I973" s="18" t="n">
        <v>33825.7</v>
      </c>
      <c r="J973" t="inlineStr">
        <is>
          <t>Created MTR-IOS-0972 and correlation note visible in Activity/Pulse</t>
        </is>
      </c>
      <c r="K973" t="inlineStr">
        <is>
          <t>NOT_RUN</t>
        </is>
      </c>
      <c r="P973" t="n">
        <v>0</v>
      </c>
      <c r="Q973" t="n">
        <v>972</v>
      </c>
    </row>
    <row r="974">
      <c r="A974" t="n">
        <v>973</v>
      </c>
      <c r="B974" t="inlineStr">
        <is>
          <t>MTR-IOS-0973</t>
        </is>
      </c>
      <c r="C974" t="inlineStr">
        <is>
          <t>iPhone</t>
        </is>
      </c>
      <c r="D974" t="inlineStr">
        <is>
          <t>Personal</t>
        </is>
      </c>
      <c r="E974" t="inlineStr">
        <is>
          <t>Personal</t>
        </is>
      </c>
      <c r="F974" t="inlineStr">
        <is>
          <t>Life Operations</t>
        </is>
      </c>
      <c r="G974" t="inlineStr">
        <is>
          <t>Bills</t>
        </is>
      </c>
      <c r="H974" t="inlineStr">
        <is>
          <t>Personal &gt; Life Operations &gt; Quick Add &gt; Bills</t>
        </is>
      </c>
      <c r="I974" s="18" t="n">
        <v>9429.860000000001</v>
      </c>
      <c r="J974" t="inlineStr">
        <is>
          <t>Created MTR-IOS-0973 and correlation note visible in Activity/Pulse</t>
        </is>
      </c>
      <c r="K974" t="inlineStr">
        <is>
          <t>NOT_RUN</t>
        </is>
      </c>
      <c r="P974" t="n">
        <v>0</v>
      </c>
      <c r="Q974" t="n">
        <v>973</v>
      </c>
    </row>
    <row r="975">
      <c r="A975" t="n">
        <v>974</v>
      </c>
      <c r="B975" t="inlineStr">
        <is>
          <t>MTR-IOS-0974</t>
        </is>
      </c>
      <c r="C975" t="inlineStr">
        <is>
          <t>iPhone</t>
        </is>
      </c>
      <c r="D975" t="inlineStr">
        <is>
          <t>Group</t>
        </is>
      </c>
      <c r="E975" t="inlineStr">
        <is>
          <t>Shared Purchase</t>
        </is>
      </c>
      <c r="F975" t="inlineStr">
        <is>
          <t>Assets</t>
        </is>
      </c>
      <c r="G975" t="inlineStr">
        <is>
          <t>Repair</t>
        </is>
      </c>
      <c r="H975" t="inlineStr">
        <is>
          <t>Group &gt; Assets &gt; Quick Add &gt; Repair</t>
        </is>
      </c>
      <c r="I975" s="18" t="n">
        <v>13193.58</v>
      </c>
      <c r="J975" t="inlineStr">
        <is>
          <t>Created MTR-IOS-0974 and correlation note visible in Activity/Pulse</t>
        </is>
      </c>
      <c r="K975" t="inlineStr">
        <is>
          <t>NOT_RUN</t>
        </is>
      </c>
      <c r="P975" t="n">
        <v>0</v>
      </c>
      <c r="Q975" t="n">
        <v>974</v>
      </c>
    </row>
    <row r="976">
      <c r="A976" t="n">
        <v>975</v>
      </c>
      <c r="B976" t="inlineStr">
        <is>
          <t>MTR-IOS-0975</t>
        </is>
      </c>
      <c r="C976" t="inlineStr">
        <is>
          <t>iPhone</t>
        </is>
      </c>
      <c r="D976" t="inlineStr">
        <is>
          <t>Business</t>
        </is>
      </c>
      <c r="E976" t="inlineStr">
        <is>
          <t>Business</t>
        </is>
      </c>
      <c r="F976" t="inlineStr">
        <is>
          <t>Business Runway</t>
        </is>
      </c>
      <c r="G976" t="inlineStr">
        <is>
          <t>Burn</t>
        </is>
      </c>
      <c r="H976" t="inlineStr">
        <is>
          <t>Business &gt; Business Runway &gt; Quick Add &gt; Burn</t>
        </is>
      </c>
      <c r="I976" s="18" t="n">
        <v>56157.34</v>
      </c>
      <c r="J976" t="inlineStr">
        <is>
          <t>Created MTR-IOS-0975 and correlation note visible in Activity/Pulse</t>
        </is>
      </c>
      <c r="K976" t="inlineStr">
        <is>
          <t>NOT_RUN</t>
        </is>
      </c>
      <c r="P976" t="n">
        <v>0</v>
      </c>
      <c r="Q976" t="n">
        <v>975</v>
      </c>
    </row>
    <row r="977">
      <c r="A977" t="n">
        <v>976</v>
      </c>
      <c r="B977" t="inlineStr">
        <is>
          <t>MTR-IOS-0976</t>
        </is>
      </c>
      <c r="C977" t="inlineStr">
        <is>
          <t>iPhone</t>
        </is>
      </c>
      <c r="D977" t="inlineStr">
        <is>
          <t>Personal</t>
        </is>
      </c>
      <c r="E977" t="inlineStr">
        <is>
          <t>Personal</t>
        </is>
      </c>
      <c r="F977" t="inlineStr">
        <is>
          <t>Life Operations</t>
        </is>
      </c>
      <c r="G977" t="inlineStr">
        <is>
          <t>Transport</t>
        </is>
      </c>
      <c r="H977" t="inlineStr">
        <is>
          <t>Personal &gt; Life Operations &gt; Quick Add &gt; Transport</t>
        </is>
      </c>
      <c r="I977" s="18" t="n">
        <v>17175.86</v>
      </c>
      <c r="J977" t="inlineStr">
        <is>
          <t>Created MTR-IOS-0976 and correlation note visible in Activity/Pulse</t>
        </is>
      </c>
      <c r="K977" t="inlineStr">
        <is>
          <t>NOT_RUN</t>
        </is>
      </c>
      <c r="P977" t="n">
        <v>0</v>
      </c>
      <c r="Q977" t="n">
        <v>976</v>
      </c>
    </row>
    <row r="978">
      <c r="A978" t="n">
        <v>977</v>
      </c>
      <c r="B978" t="inlineStr">
        <is>
          <t>MTR-IOS-0977</t>
        </is>
      </c>
      <c r="C978" t="inlineStr">
        <is>
          <t>iPhone</t>
        </is>
      </c>
      <c r="D978" t="inlineStr">
        <is>
          <t>Group</t>
        </is>
      </c>
      <c r="E978" t="inlineStr">
        <is>
          <t>Shared Purchase</t>
        </is>
      </c>
      <c r="F978" t="inlineStr">
        <is>
          <t>Assets</t>
        </is>
      </c>
      <c r="G978" t="inlineStr">
        <is>
          <t>Insurance</t>
        </is>
      </c>
      <c r="H978" t="inlineStr">
        <is>
          <t>Group &gt; Assets &gt; Quick Add &gt; Insurance</t>
        </is>
      </c>
      <c r="I978" s="18" t="n">
        <v>14177.37</v>
      </c>
      <c r="J978" t="inlineStr">
        <is>
          <t>Created MTR-IOS-0977 and correlation note visible in Activity/Pulse</t>
        </is>
      </c>
      <c r="K978" t="inlineStr">
        <is>
          <t>NOT_RUN</t>
        </is>
      </c>
      <c r="P978" t="n">
        <v>0</v>
      </c>
      <c r="Q978" t="n">
        <v>977</v>
      </c>
    </row>
    <row r="979">
      <c r="A979" t="n">
        <v>978</v>
      </c>
      <c r="B979" t="inlineStr">
        <is>
          <t>MTR-IOS-0978</t>
        </is>
      </c>
      <c r="C979" t="inlineStr">
        <is>
          <t>iPhone</t>
        </is>
      </c>
      <c r="D979" t="inlineStr">
        <is>
          <t>Business</t>
        </is>
      </c>
      <c r="E979" t="inlineStr">
        <is>
          <t>Business</t>
        </is>
      </c>
      <c r="F979" t="inlineStr">
        <is>
          <t>Business Runway</t>
        </is>
      </c>
      <c r="G979" t="inlineStr">
        <is>
          <t>Reserve</t>
        </is>
      </c>
      <c r="H979" t="inlineStr">
        <is>
          <t>Business &gt; Business Runway &gt; Quick Add &gt; Reserve</t>
        </is>
      </c>
      <c r="I979" s="18" t="n">
        <v>72153.3</v>
      </c>
      <c r="J979" t="inlineStr">
        <is>
          <t>Created MTR-IOS-0978 and correlation note visible in Activity/Pulse</t>
        </is>
      </c>
      <c r="K979" t="inlineStr">
        <is>
          <t>NOT_RUN</t>
        </is>
      </c>
      <c r="P979" t="n">
        <v>0</v>
      </c>
      <c r="Q979" t="n">
        <v>978</v>
      </c>
    </row>
    <row r="980">
      <c r="A980" t="n">
        <v>979</v>
      </c>
      <c r="B980" t="inlineStr">
        <is>
          <t>MTR-IOS-0979</t>
        </is>
      </c>
      <c r="C980" t="inlineStr">
        <is>
          <t>iPhone</t>
        </is>
      </c>
      <c r="D980" t="inlineStr">
        <is>
          <t>Personal</t>
        </is>
      </c>
      <c r="E980" t="inlineStr">
        <is>
          <t>Personal</t>
        </is>
      </c>
      <c r="F980" t="inlineStr">
        <is>
          <t>Life Operations</t>
        </is>
      </c>
      <c r="G980" t="inlineStr">
        <is>
          <t>Healthcare</t>
        </is>
      </c>
      <c r="H980" t="inlineStr">
        <is>
          <t>Personal &gt; Life Operations &gt; Quick Add &gt; Healthcare</t>
        </is>
      </c>
      <c r="I980" s="18" t="n">
        <v>5524.74</v>
      </c>
      <c r="J980" t="inlineStr">
        <is>
          <t>Created MTR-IOS-0979 and correlation note visible in Activity/Pulse</t>
        </is>
      </c>
      <c r="K980" t="inlineStr">
        <is>
          <t>NOT_RUN</t>
        </is>
      </c>
      <c r="P980" t="n">
        <v>0</v>
      </c>
      <c r="Q980" t="n">
        <v>979</v>
      </c>
    </row>
    <row r="981">
      <c r="A981" t="n">
        <v>980</v>
      </c>
      <c r="B981" t="inlineStr">
        <is>
          <t>MTR-IOS-0980</t>
        </is>
      </c>
      <c r="C981" t="inlineStr">
        <is>
          <t>iPhone</t>
        </is>
      </c>
      <c r="D981" t="inlineStr">
        <is>
          <t>Group</t>
        </is>
      </c>
      <c r="E981" t="inlineStr">
        <is>
          <t>Shared Purchase</t>
        </is>
      </c>
      <c r="F981" t="inlineStr">
        <is>
          <t>Assets</t>
        </is>
      </c>
      <c r="G981" t="inlineStr">
        <is>
          <t>Other</t>
        </is>
      </c>
      <c r="H981" t="inlineStr">
        <is>
          <t>Group &gt; Assets &gt; Quick Add &gt; Other</t>
        </is>
      </c>
      <c r="I981" s="18" t="n">
        <v>21158.34</v>
      </c>
      <c r="J981" t="inlineStr">
        <is>
          <t>Created MTR-IOS-0980 and correlation note visible in Activity/Pulse</t>
        </is>
      </c>
      <c r="K981" t="inlineStr">
        <is>
          <t>NOT_RUN</t>
        </is>
      </c>
      <c r="P981" t="n">
        <v>0</v>
      </c>
      <c r="Q981" t="n">
        <v>980</v>
      </c>
    </row>
    <row r="982">
      <c r="A982" t="n">
        <v>981</v>
      </c>
      <c r="B982" t="inlineStr">
        <is>
          <t>MTR-IOS-0981</t>
        </is>
      </c>
      <c r="C982" t="inlineStr">
        <is>
          <t>iPhone</t>
        </is>
      </c>
      <c r="D982" t="inlineStr">
        <is>
          <t>Business</t>
        </is>
      </c>
      <c r="E982" t="inlineStr">
        <is>
          <t>Business</t>
        </is>
      </c>
      <c r="F982" t="inlineStr">
        <is>
          <t>Business Runway</t>
        </is>
      </c>
      <c r="G982" t="inlineStr">
        <is>
          <t>Loan</t>
        </is>
      </c>
      <c r="H982" t="inlineStr">
        <is>
          <t>Business &gt; Business Runway &gt; Quick Add &gt; Loan</t>
        </is>
      </c>
      <c r="I982" s="18" t="n">
        <v>49625.56</v>
      </c>
      <c r="J982" t="inlineStr">
        <is>
          <t>Created MTR-IOS-0981 and correlation note visible in Activity/Pulse</t>
        </is>
      </c>
      <c r="K982" t="inlineStr">
        <is>
          <t>NOT_RUN</t>
        </is>
      </c>
      <c r="P982" t="n">
        <v>0</v>
      </c>
      <c r="Q982" t="n">
        <v>981</v>
      </c>
    </row>
    <row r="983">
      <c r="A983" t="n">
        <v>982</v>
      </c>
      <c r="B983" t="inlineStr">
        <is>
          <t>MTR-IOS-0982</t>
        </is>
      </c>
      <c r="C983" t="inlineStr">
        <is>
          <t>iPhone</t>
        </is>
      </c>
      <c r="D983" t="inlineStr">
        <is>
          <t>Personal</t>
        </is>
      </c>
      <c r="E983" t="inlineStr">
        <is>
          <t>Personal</t>
        </is>
      </c>
      <c r="F983" t="inlineStr">
        <is>
          <t>Life Operations</t>
        </is>
      </c>
      <c r="G983" t="inlineStr">
        <is>
          <t>Subscriptions</t>
        </is>
      </c>
      <c r="H983" t="inlineStr">
        <is>
          <t>Personal &gt; Life Operations &gt; Quick Add &gt; Subscriptions</t>
        </is>
      </c>
      <c r="I983" s="18" t="n">
        <v>4978.62</v>
      </c>
      <c r="J983" t="inlineStr">
        <is>
          <t>Created MTR-IOS-0982 and correlation note visible in Activity/Pulse</t>
        </is>
      </c>
      <c r="K983" t="inlineStr">
        <is>
          <t>NOT_RUN</t>
        </is>
      </c>
      <c r="P983" t="n">
        <v>0</v>
      </c>
      <c r="Q983" t="n">
        <v>982</v>
      </c>
    </row>
    <row r="984">
      <c r="A984" t="n">
        <v>983</v>
      </c>
      <c r="B984" t="inlineStr">
        <is>
          <t>MTR-IOS-0983</t>
        </is>
      </c>
      <c r="C984" t="inlineStr">
        <is>
          <t>iPhone</t>
        </is>
      </c>
      <c r="D984" t="inlineStr">
        <is>
          <t>Group</t>
        </is>
      </c>
      <c r="E984" t="inlineStr">
        <is>
          <t>Shared Purchase</t>
        </is>
      </c>
      <c r="F984" t="inlineStr">
        <is>
          <t>Custom Purchase</t>
        </is>
      </c>
      <c r="G984" t="inlineStr">
        <is>
          <t>Custom Expense</t>
        </is>
      </c>
      <c r="H984" t="inlineStr">
        <is>
          <t>Group &gt; Custom Purchase &gt; Quick Add &gt; Custom Expense</t>
        </is>
      </c>
      <c r="I984" s="18" t="n">
        <v>26532.74</v>
      </c>
      <c r="J984" t="inlineStr">
        <is>
          <t>Created MTR-IOS-0983 and correlation note visible in Activity/Pulse</t>
        </is>
      </c>
      <c r="K984" t="inlineStr">
        <is>
          <t>NOT_RUN</t>
        </is>
      </c>
      <c r="P984" t="n">
        <v>0</v>
      </c>
      <c r="Q984" t="n">
        <v>983</v>
      </c>
    </row>
    <row r="985">
      <c r="A985" t="n">
        <v>984</v>
      </c>
      <c r="B985" t="inlineStr">
        <is>
          <t>MTR-IOS-0984</t>
        </is>
      </c>
      <c r="C985" t="inlineStr">
        <is>
          <t>iPhone</t>
        </is>
      </c>
      <c r="D985" t="inlineStr">
        <is>
          <t>Business</t>
        </is>
      </c>
      <c r="E985" t="inlineStr">
        <is>
          <t>Business</t>
        </is>
      </c>
      <c r="F985" t="inlineStr">
        <is>
          <t>Business Runway</t>
        </is>
      </c>
      <c r="G985" t="inlineStr">
        <is>
          <t>Investment</t>
        </is>
      </c>
      <c r="H985" t="inlineStr">
        <is>
          <t>Business &gt; Business Runway &gt; Quick Add &gt; Investment</t>
        </is>
      </c>
      <c r="I985" s="18" t="n">
        <v>121300.49</v>
      </c>
      <c r="J985" t="inlineStr">
        <is>
          <t>Created MTR-IOS-0984 and correlation note visible in Activity/Pulse</t>
        </is>
      </c>
      <c r="K985" t="inlineStr">
        <is>
          <t>NOT_RUN</t>
        </is>
      </c>
      <c r="P985" t="n">
        <v>0</v>
      </c>
      <c r="Q985" t="n">
        <v>984</v>
      </c>
    </row>
    <row r="986">
      <c r="A986" t="n">
        <v>985</v>
      </c>
      <c r="B986" t="inlineStr">
        <is>
          <t>MTR-IOS-0985</t>
        </is>
      </c>
      <c r="C986" t="inlineStr">
        <is>
          <t>iPhone</t>
        </is>
      </c>
      <c r="D986" t="inlineStr">
        <is>
          <t>Personal</t>
        </is>
      </c>
      <c r="E986" t="inlineStr">
        <is>
          <t>Personal</t>
        </is>
      </c>
      <c r="F986" t="inlineStr">
        <is>
          <t>Life Operations</t>
        </is>
      </c>
      <c r="G986" t="inlineStr">
        <is>
          <t>Repairs</t>
        </is>
      </c>
      <c r="H986" t="inlineStr">
        <is>
          <t>Personal &gt; Life Operations &gt; Quick Add &gt; Repairs</t>
        </is>
      </c>
      <c r="I986" s="18" t="n">
        <v>5243.03</v>
      </c>
      <c r="J986" t="inlineStr">
        <is>
          <t>Created MTR-IOS-0985 and correlation note visible in Activity/Pulse</t>
        </is>
      </c>
      <c r="K986" t="inlineStr">
        <is>
          <t>NOT_RUN</t>
        </is>
      </c>
      <c r="P986" t="n">
        <v>0</v>
      </c>
      <c r="Q986" t="n">
        <v>985</v>
      </c>
    </row>
    <row r="987">
      <c r="A987" t="n">
        <v>986</v>
      </c>
      <c r="B987" t="inlineStr">
        <is>
          <t>MTR-IOS-0986</t>
        </is>
      </c>
      <c r="C987" t="inlineStr">
        <is>
          <t>iPhone</t>
        </is>
      </c>
      <c r="D987" t="inlineStr">
        <is>
          <t>Group</t>
        </is>
      </c>
      <c r="E987" t="inlineStr">
        <is>
          <t>Shared Purchase</t>
        </is>
      </c>
      <c r="F987" t="inlineStr">
        <is>
          <t>Custom Purchase</t>
        </is>
      </c>
      <c r="G987" t="inlineStr">
        <is>
          <t>Custom Contribution</t>
        </is>
      </c>
      <c r="H987" t="inlineStr">
        <is>
          <t>Group &gt; Custom Purchase &gt; Quick Add &gt; Custom Contribution</t>
        </is>
      </c>
      <c r="I987" s="18" t="n">
        <v>15480.16</v>
      </c>
      <c r="J987" t="inlineStr">
        <is>
          <t>Created MTR-IOS-0986 and correlation note visible in Activity/Pulse</t>
        </is>
      </c>
      <c r="K987" t="inlineStr">
        <is>
          <t>NOT_RUN</t>
        </is>
      </c>
      <c r="P987" t="n">
        <v>0</v>
      </c>
      <c r="Q987" t="n">
        <v>986</v>
      </c>
    </row>
    <row r="988">
      <c r="A988" t="n">
        <v>987</v>
      </c>
      <c r="B988" t="inlineStr">
        <is>
          <t>MTR-IOS-0987</t>
        </is>
      </c>
      <c r="C988" t="inlineStr">
        <is>
          <t>iPhone</t>
        </is>
      </c>
      <c r="D988" t="inlineStr">
        <is>
          <t>Business</t>
        </is>
      </c>
      <c r="E988" t="inlineStr">
        <is>
          <t>Business</t>
        </is>
      </c>
      <c r="F988" t="inlineStr">
        <is>
          <t>Business Operations</t>
        </is>
      </c>
      <c r="G988" t="inlineStr">
        <is>
          <t>Software</t>
        </is>
      </c>
      <c r="H988" t="inlineStr">
        <is>
          <t>Business &gt; Business Operations &gt; Quick Add &gt; Software</t>
        </is>
      </c>
      <c r="I988" s="18" t="n">
        <v>47060.46</v>
      </c>
      <c r="J988" t="inlineStr">
        <is>
          <t>Created MTR-IOS-0987 and correlation note visible in Activity/Pulse</t>
        </is>
      </c>
      <c r="K988" t="inlineStr">
        <is>
          <t>NOT_RUN</t>
        </is>
      </c>
      <c r="P988" t="n">
        <v>0</v>
      </c>
      <c r="Q988" t="n">
        <v>987</v>
      </c>
    </row>
    <row r="989">
      <c r="A989" t="n">
        <v>988</v>
      </c>
      <c r="B989" t="inlineStr">
        <is>
          <t>MTR-IOS-0988</t>
        </is>
      </c>
      <c r="C989" t="inlineStr">
        <is>
          <t>iPhone</t>
        </is>
      </c>
      <c r="D989" t="inlineStr">
        <is>
          <t>Personal</t>
        </is>
      </c>
      <c r="E989" t="inlineStr">
        <is>
          <t>Personal</t>
        </is>
      </c>
      <c r="F989" t="inlineStr">
        <is>
          <t>Future Building</t>
        </is>
      </c>
      <c r="G989" t="inlineStr">
        <is>
          <t>Savings</t>
        </is>
      </c>
      <c r="H989" t="inlineStr">
        <is>
          <t>Personal &gt; Future Building &gt; Quick Add &gt; Savings</t>
        </is>
      </c>
      <c r="I989" s="18" t="n">
        <v>12305.47</v>
      </c>
      <c r="J989" t="inlineStr">
        <is>
          <t>Created MTR-IOS-0988 and correlation note visible in Activity/Pulse</t>
        </is>
      </c>
      <c r="K989" t="inlineStr">
        <is>
          <t>NOT_RUN</t>
        </is>
      </c>
      <c r="P989" t="n">
        <v>0</v>
      </c>
      <c r="Q989" t="n">
        <v>988</v>
      </c>
    </row>
    <row r="990">
      <c r="A990" t="n">
        <v>989</v>
      </c>
      <c r="B990" t="inlineStr">
        <is>
          <t>MTR-IOS-0989</t>
        </is>
      </c>
      <c r="C990" t="inlineStr">
        <is>
          <t>iPhone</t>
        </is>
      </c>
      <c r="D990" t="inlineStr">
        <is>
          <t>Group</t>
        </is>
      </c>
      <c r="E990" t="inlineStr">
        <is>
          <t>Shared Living</t>
        </is>
      </c>
      <c r="F990" t="inlineStr">
        <is>
          <t>Flatmates</t>
        </is>
      </c>
      <c r="G990" t="inlineStr">
        <is>
          <t>Rent</t>
        </is>
      </c>
      <c r="H990" t="inlineStr">
        <is>
          <t>Group &gt; Flatmates &gt; Quick Add &gt; Rent</t>
        </is>
      </c>
      <c r="I990" s="18" t="n">
        <v>8431.33</v>
      </c>
      <c r="J990" t="inlineStr">
        <is>
          <t>Created MTR-IOS-0989 and correlation note visible in Activity/Pulse</t>
        </is>
      </c>
      <c r="K990" t="inlineStr">
        <is>
          <t>NOT_RUN</t>
        </is>
      </c>
      <c r="P990" t="n">
        <v>0</v>
      </c>
      <c r="Q990" t="n">
        <v>989</v>
      </c>
    </row>
    <row r="991">
      <c r="A991" t="n">
        <v>990</v>
      </c>
      <c r="B991" t="inlineStr">
        <is>
          <t>MTR-IOS-0990</t>
        </is>
      </c>
      <c r="C991" t="inlineStr">
        <is>
          <t>iPhone</t>
        </is>
      </c>
      <c r="D991" t="inlineStr">
        <is>
          <t>Business</t>
        </is>
      </c>
      <c r="E991" t="inlineStr">
        <is>
          <t>Business</t>
        </is>
      </c>
      <c r="F991" t="inlineStr">
        <is>
          <t>Business Operations</t>
        </is>
      </c>
      <c r="G991" t="inlineStr">
        <is>
          <t>Rent</t>
        </is>
      </c>
      <c r="H991" t="inlineStr">
        <is>
          <t>Business &gt; Business Operations &gt; Quick Add &gt; Rent</t>
        </is>
      </c>
      <c r="I991" s="18" t="n">
        <v>65763.50999999999</v>
      </c>
      <c r="J991" t="inlineStr">
        <is>
          <t>Created MTR-IOS-0990 and correlation note visible in Activity/Pulse</t>
        </is>
      </c>
      <c r="K991" t="inlineStr">
        <is>
          <t>NOT_RUN</t>
        </is>
      </c>
      <c r="P991" t="n">
        <v>0</v>
      </c>
      <c r="Q991" t="n">
        <v>990</v>
      </c>
    </row>
    <row r="992">
      <c r="A992" t="n">
        <v>991</v>
      </c>
      <c r="B992" t="inlineStr">
        <is>
          <t>MTR-IOS-0991</t>
        </is>
      </c>
      <c r="C992" t="inlineStr">
        <is>
          <t>iPhone</t>
        </is>
      </c>
      <c r="D992" t="inlineStr">
        <is>
          <t>Personal</t>
        </is>
      </c>
      <c r="E992" t="inlineStr">
        <is>
          <t>Personal</t>
        </is>
      </c>
      <c r="F992" t="inlineStr">
        <is>
          <t>Future Building</t>
        </is>
      </c>
      <c r="G992" t="inlineStr">
        <is>
          <t>Emergency Fund</t>
        </is>
      </c>
      <c r="H992" t="inlineStr">
        <is>
          <t>Personal &gt; Future Building &gt; Quick Add &gt; Emergency Fund</t>
        </is>
      </c>
      <c r="I992" s="18" t="n">
        <v>4603.83</v>
      </c>
      <c r="J992" t="inlineStr">
        <is>
          <t>Created MTR-IOS-0991 and correlation note visible in Activity/Pulse</t>
        </is>
      </c>
      <c r="K992" t="inlineStr">
        <is>
          <t>NOT_RUN</t>
        </is>
      </c>
      <c r="P992" t="n">
        <v>0</v>
      </c>
      <c r="Q992" t="n">
        <v>991</v>
      </c>
    </row>
    <row r="993">
      <c r="A993" t="n">
        <v>992</v>
      </c>
      <c r="B993" t="inlineStr">
        <is>
          <t>MTR-IOS-0992</t>
        </is>
      </c>
      <c r="C993" t="inlineStr">
        <is>
          <t>iPhone</t>
        </is>
      </c>
      <c r="D993" t="inlineStr">
        <is>
          <t>Group</t>
        </is>
      </c>
      <c r="E993" t="inlineStr">
        <is>
          <t>Shared Living</t>
        </is>
      </c>
      <c r="F993" t="inlineStr">
        <is>
          <t>Flatmates</t>
        </is>
      </c>
      <c r="G993" t="inlineStr">
        <is>
          <t>Utilities</t>
        </is>
      </c>
      <c r="H993" t="inlineStr">
        <is>
          <t>Group &gt; Flatmates &gt; Quick Add &gt; Utilities</t>
        </is>
      </c>
      <c r="I993" s="18" t="n">
        <v>4505</v>
      </c>
      <c r="J993" t="inlineStr">
        <is>
          <t>Created MTR-IOS-0992 and correlation note visible in Activity/Pulse</t>
        </is>
      </c>
      <c r="K993" t="inlineStr">
        <is>
          <t>NOT_RUN</t>
        </is>
      </c>
      <c r="P993" t="n">
        <v>0</v>
      </c>
      <c r="Q993" t="n">
        <v>992</v>
      </c>
    </row>
    <row r="994">
      <c r="A994" t="n">
        <v>993</v>
      </c>
      <c r="B994" t="inlineStr">
        <is>
          <t>MTR-IOS-0993</t>
        </is>
      </c>
      <c r="C994" t="inlineStr">
        <is>
          <t>iPhone</t>
        </is>
      </c>
      <c r="D994" t="inlineStr">
        <is>
          <t>Business</t>
        </is>
      </c>
      <c r="E994" t="inlineStr">
        <is>
          <t>Business</t>
        </is>
      </c>
      <c r="F994" t="inlineStr">
        <is>
          <t>Business Operations</t>
        </is>
      </c>
      <c r="G994" t="inlineStr">
        <is>
          <t>Marketing</t>
        </is>
      </c>
      <c r="H994" t="inlineStr">
        <is>
          <t>Business &gt; Business Operations &gt; Quick Add &gt; Marketing</t>
        </is>
      </c>
      <c r="I994" s="18" t="n">
        <v>12764.14</v>
      </c>
      <c r="J994" t="inlineStr">
        <is>
          <t>Created MTR-IOS-0993 and correlation note visible in Activity/Pulse</t>
        </is>
      </c>
      <c r="K994" t="inlineStr">
        <is>
          <t>NOT_RUN</t>
        </is>
      </c>
      <c r="P994" t="n">
        <v>0</v>
      </c>
      <c r="Q994" t="n">
        <v>993</v>
      </c>
    </row>
    <row r="995">
      <c r="A995" t="n">
        <v>994</v>
      </c>
      <c r="B995" t="inlineStr">
        <is>
          <t>MTR-IOS-0994</t>
        </is>
      </c>
      <c r="C995" t="inlineStr">
        <is>
          <t>iPhone</t>
        </is>
      </c>
      <c r="D995" t="inlineStr">
        <is>
          <t>Personal</t>
        </is>
      </c>
      <c r="E995" t="inlineStr">
        <is>
          <t>Personal</t>
        </is>
      </c>
      <c r="F995" t="inlineStr">
        <is>
          <t>Future Building</t>
        </is>
      </c>
      <c r="G995" t="inlineStr">
        <is>
          <t>Investments</t>
        </is>
      </c>
      <c r="H995" t="inlineStr">
        <is>
          <t>Personal &gt; Future Building &gt; Quick Add &gt; Investments</t>
        </is>
      </c>
      <c r="I995" s="18" t="n">
        <v>13174.57</v>
      </c>
      <c r="J995" t="inlineStr">
        <is>
          <t>Created MTR-IOS-0994 and correlation note visible in Activity/Pulse</t>
        </is>
      </c>
      <c r="K995" t="inlineStr">
        <is>
          <t>NOT_RUN</t>
        </is>
      </c>
      <c r="P995" t="n">
        <v>0</v>
      </c>
      <c r="Q995" t="n">
        <v>994</v>
      </c>
    </row>
    <row r="996">
      <c r="A996" t="n">
        <v>995</v>
      </c>
      <c r="B996" t="inlineStr">
        <is>
          <t>MTR-IOS-0995</t>
        </is>
      </c>
      <c r="C996" t="inlineStr">
        <is>
          <t>iPhone</t>
        </is>
      </c>
      <c r="D996" t="inlineStr">
        <is>
          <t>Group</t>
        </is>
      </c>
      <c r="E996" t="inlineStr">
        <is>
          <t>Shared Living</t>
        </is>
      </c>
      <c r="F996" t="inlineStr">
        <is>
          <t>Flatmates</t>
        </is>
      </c>
      <c r="G996" t="inlineStr">
        <is>
          <t>Groceries</t>
        </is>
      </c>
      <c r="H996" t="inlineStr">
        <is>
          <t>Group &gt; Flatmates &gt; Quick Add &gt; Groceries</t>
        </is>
      </c>
      <c r="I996" s="18" t="n">
        <v>18340.57</v>
      </c>
      <c r="J996" t="inlineStr">
        <is>
          <t>Created MTR-IOS-0995 and correlation note visible in Activity/Pulse</t>
        </is>
      </c>
      <c r="K996" t="inlineStr">
        <is>
          <t>NOT_RUN</t>
        </is>
      </c>
      <c r="P996" t="n">
        <v>0</v>
      </c>
      <c r="Q996" t="n">
        <v>995</v>
      </c>
    </row>
    <row r="997">
      <c r="A997" t="n">
        <v>996</v>
      </c>
      <c r="B997" t="inlineStr">
        <is>
          <t>MTR-IOS-0996</t>
        </is>
      </c>
      <c r="C997" t="inlineStr">
        <is>
          <t>iPhone</t>
        </is>
      </c>
      <c r="D997" t="inlineStr">
        <is>
          <t>Business</t>
        </is>
      </c>
      <c r="E997" t="inlineStr">
        <is>
          <t>Business</t>
        </is>
      </c>
      <c r="F997" t="inlineStr">
        <is>
          <t>Business Operations</t>
        </is>
      </c>
      <c r="G997" t="inlineStr">
        <is>
          <t>Legal</t>
        </is>
      </c>
      <c r="H997" t="inlineStr">
        <is>
          <t>Business &gt; Business Operations &gt; Quick Add &gt; Legal</t>
        </is>
      </c>
      <c r="I997" s="18" t="n">
        <v>156834.62</v>
      </c>
      <c r="J997" t="inlineStr">
        <is>
          <t>Created MTR-IOS-0996 and correlation note visible in Activity/Pulse</t>
        </is>
      </c>
      <c r="K997" t="inlineStr">
        <is>
          <t>NOT_RUN</t>
        </is>
      </c>
      <c r="P997" t="n">
        <v>0</v>
      </c>
      <c r="Q997" t="n">
        <v>996</v>
      </c>
    </row>
    <row r="998">
      <c r="A998" t="n">
        <v>997</v>
      </c>
      <c r="B998" t="inlineStr">
        <is>
          <t>MTR-IOS-0997</t>
        </is>
      </c>
      <c r="C998" t="inlineStr">
        <is>
          <t>iPhone</t>
        </is>
      </c>
      <c r="D998" t="inlineStr">
        <is>
          <t>Personal</t>
        </is>
      </c>
      <c r="E998" t="inlineStr">
        <is>
          <t>Personal</t>
        </is>
      </c>
      <c r="F998" t="inlineStr">
        <is>
          <t>Future Building</t>
        </is>
      </c>
      <c r="G998" t="inlineStr">
        <is>
          <t>Education</t>
        </is>
      </c>
      <c r="H998" t="inlineStr">
        <is>
          <t>Personal &gt; Future Building &gt; Quick Add &gt; Education</t>
        </is>
      </c>
      <c r="I998" s="18" t="n">
        <v>16324.82</v>
      </c>
      <c r="J998" t="inlineStr">
        <is>
          <t>Created MTR-IOS-0997 and correlation note visible in Activity/Pulse</t>
        </is>
      </c>
      <c r="K998" t="inlineStr">
        <is>
          <t>NOT_RUN</t>
        </is>
      </c>
      <c r="P998" t="n">
        <v>0</v>
      </c>
      <c r="Q998" t="n">
        <v>997</v>
      </c>
    </row>
    <row r="999">
      <c r="A999" t="n">
        <v>998</v>
      </c>
      <c r="B999" t="inlineStr">
        <is>
          <t>MTR-IOS-0998</t>
        </is>
      </c>
      <c r="C999" t="inlineStr">
        <is>
          <t>iPhone</t>
        </is>
      </c>
      <c r="D999" t="inlineStr">
        <is>
          <t>Group</t>
        </is>
      </c>
      <c r="E999" t="inlineStr">
        <is>
          <t>Shared Living</t>
        </is>
      </c>
      <c r="F999" t="inlineStr">
        <is>
          <t>Flatmates</t>
        </is>
      </c>
      <c r="G999" t="inlineStr">
        <is>
          <t>Internet</t>
        </is>
      </c>
      <c r="H999" t="inlineStr">
        <is>
          <t>Group &gt; Flatmates &gt; Quick Add &gt; Internet</t>
        </is>
      </c>
      <c r="I999" s="18" t="n">
        <v>11826.54</v>
      </c>
      <c r="J999" t="inlineStr">
        <is>
          <t>Created MTR-IOS-0998 and correlation note visible in Activity/Pulse</t>
        </is>
      </c>
      <c r="K999" t="inlineStr">
        <is>
          <t>NOT_RUN</t>
        </is>
      </c>
      <c r="P999" t="n">
        <v>0</v>
      </c>
      <c r="Q999" t="n">
        <v>998</v>
      </c>
    </row>
    <row r="1000">
      <c r="A1000" t="n">
        <v>999</v>
      </c>
      <c r="B1000" t="inlineStr">
        <is>
          <t>MTR-IOS-0999</t>
        </is>
      </c>
      <c r="C1000" t="inlineStr">
        <is>
          <t>iPhone</t>
        </is>
      </c>
      <c r="D1000" t="inlineStr">
        <is>
          <t>Business</t>
        </is>
      </c>
      <c r="E1000" t="inlineStr">
        <is>
          <t>Business</t>
        </is>
      </c>
      <c r="F1000" t="inlineStr">
        <is>
          <t>Business Operations</t>
        </is>
      </c>
      <c r="G1000" t="inlineStr">
        <is>
          <t>Accounting</t>
        </is>
      </c>
      <c r="H1000" t="inlineStr">
        <is>
          <t>Business &gt; Business Operations &gt; Quick Add &gt; Accounting</t>
        </is>
      </c>
      <c r="I1000" s="18" t="n">
        <v>100</v>
      </c>
      <c r="J1000" t="inlineStr">
        <is>
          <t>Created MTR-IOS-0999 and correlation note visible in Activity/Pulse</t>
        </is>
      </c>
      <c r="K1000" t="inlineStr">
        <is>
          <t>NOT_RUN</t>
        </is>
      </c>
      <c r="P1000" t="n">
        <v>0</v>
      </c>
      <c r="Q1000" t="n">
        <v>999</v>
      </c>
    </row>
    <row r="1001">
      <c r="A1001" t="n">
        <v>1000</v>
      </c>
      <c r="B1001" t="inlineStr">
        <is>
          <t>MTR-IOS-1000</t>
        </is>
      </c>
      <c r="C1001" t="inlineStr">
        <is>
          <t>iPhone</t>
        </is>
      </c>
      <c r="D1001" t="inlineStr">
        <is>
          <t>Personal</t>
        </is>
      </c>
      <c r="E1001" t="inlineStr">
        <is>
          <t>Personal</t>
        </is>
      </c>
      <c r="F1001" t="inlineStr">
        <is>
          <t>Future Building</t>
        </is>
      </c>
      <c r="G1001" t="inlineStr">
        <is>
          <t>Goal Contribution</t>
        </is>
      </c>
      <c r="H1001" t="inlineStr">
        <is>
          <t>Personal &gt; Future Building &gt; Quick Add &gt; Goal Contribution</t>
        </is>
      </c>
      <c r="I1001" s="18" t="n">
        <v>1673.93</v>
      </c>
      <c r="J1001" t="inlineStr">
        <is>
          <t>Created MTR-IOS-1000 and correlation note visible in Activity/Pulse</t>
        </is>
      </c>
      <c r="K1001" t="inlineStr">
        <is>
          <t>NOT_RUN</t>
        </is>
      </c>
      <c r="P1001" t="n">
        <v>0</v>
      </c>
      <c r="Q1001" t="n">
        <v>1000</v>
      </c>
    </row>
    <row r="1002">
      <c r="A1002" t="n">
        <v>1001</v>
      </c>
      <c r="B1002" t="inlineStr">
        <is>
          <t>MTR-IOS-1001</t>
        </is>
      </c>
      <c r="C1002" t="inlineStr">
        <is>
          <t>iPhone</t>
        </is>
      </c>
      <c r="D1002" t="inlineStr">
        <is>
          <t>Group</t>
        </is>
      </c>
      <c r="E1002" t="inlineStr">
        <is>
          <t>Shared Living</t>
        </is>
      </c>
      <c r="F1002" t="inlineStr">
        <is>
          <t>Flatmates</t>
        </is>
      </c>
      <c r="G1002" t="inlineStr">
        <is>
          <t>House Supplies</t>
        </is>
      </c>
      <c r="H1002" t="inlineStr">
        <is>
          <t>Group &gt; Flatmates &gt; Quick Add &gt; House Supplies</t>
        </is>
      </c>
      <c r="I1002" s="18" t="n">
        <v>4949.91</v>
      </c>
      <c r="J1002" t="inlineStr">
        <is>
          <t>Created MTR-IOS-1001 and correlation note visible in Activity/Pulse</t>
        </is>
      </c>
      <c r="K1002" t="inlineStr">
        <is>
          <t>NOT_RUN</t>
        </is>
      </c>
      <c r="P1002" t="n">
        <v>0</v>
      </c>
      <c r="Q1002" t="n">
        <v>1001</v>
      </c>
    </row>
    <row r="1003">
      <c r="A1003" t="n">
        <v>1002</v>
      </c>
      <c r="B1003" t="inlineStr">
        <is>
          <t>MTR-IOS-1002</t>
        </is>
      </c>
      <c r="C1003" t="inlineStr">
        <is>
          <t>iPhone</t>
        </is>
      </c>
      <c r="D1003" t="inlineStr">
        <is>
          <t>Business</t>
        </is>
      </c>
      <c r="E1003" t="inlineStr">
        <is>
          <t>Business</t>
        </is>
      </c>
      <c r="F1003" t="inlineStr">
        <is>
          <t>Business Operations</t>
        </is>
      </c>
      <c r="G1003" t="inlineStr">
        <is>
          <t>Equipment</t>
        </is>
      </c>
      <c r="H1003" t="inlineStr">
        <is>
          <t>Business &gt; Business Operations &gt; Quick Add &gt; Equipment</t>
        </is>
      </c>
      <c r="I1003" s="18" t="n">
        <v>91371.35000000001</v>
      </c>
      <c r="J1003" t="inlineStr">
        <is>
          <t>Created MTR-IOS-1002 and correlation note visible in Activity/Pulse</t>
        </is>
      </c>
      <c r="K1003" t="inlineStr">
        <is>
          <t>NOT_RUN</t>
        </is>
      </c>
      <c r="P1003" t="n">
        <v>0</v>
      </c>
      <c r="Q1003" t="n">
        <v>1002</v>
      </c>
    </row>
    <row r="1004">
      <c r="A1004" t="n">
        <v>1003</v>
      </c>
      <c r="B1004" t="inlineStr">
        <is>
          <t>MTR-IOS-1003</t>
        </is>
      </c>
      <c r="C1004" t="inlineStr">
        <is>
          <t>iPhone</t>
        </is>
      </c>
      <c r="D1004" t="inlineStr">
        <is>
          <t>Personal</t>
        </is>
      </c>
      <c r="E1004" t="inlineStr">
        <is>
          <t>Personal</t>
        </is>
      </c>
      <c r="F1004" t="inlineStr">
        <is>
          <t>Lifestyle</t>
        </is>
      </c>
      <c r="G1004" t="inlineStr">
        <is>
          <t>Dining</t>
        </is>
      </c>
      <c r="H1004" t="inlineStr">
        <is>
          <t>Personal &gt; Lifestyle &gt; Quick Add &gt; Dining</t>
        </is>
      </c>
      <c r="I1004" s="18" t="n">
        <v>14057.07</v>
      </c>
      <c r="J1004" t="inlineStr">
        <is>
          <t>Created MTR-IOS-1003 and correlation note visible in Activity/Pulse</t>
        </is>
      </c>
      <c r="K1004" t="inlineStr">
        <is>
          <t>NOT_RUN</t>
        </is>
      </c>
      <c r="P1004" t="n">
        <v>0</v>
      </c>
      <c r="Q1004" t="n">
        <v>1003</v>
      </c>
    </row>
    <row r="1005">
      <c r="A1005" t="n">
        <v>1004</v>
      </c>
      <c r="B1005" t="inlineStr">
        <is>
          <t>MTR-IOS-1004</t>
        </is>
      </c>
      <c r="C1005" t="inlineStr">
        <is>
          <t>iPhone</t>
        </is>
      </c>
      <c r="D1005" t="inlineStr">
        <is>
          <t>Group</t>
        </is>
      </c>
      <c r="E1005" t="inlineStr">
        <is>
          <t>Shared Living</t>
        </is>
      </c>
      <c r="F1005" t="inlineStr">
        <is>
          <t>Flatmates</t>
        </is>
      </c>
      <c r="G1005" t="inlineStr">
        <is>
          <t>Repairs</t>
        </is>
      </c>
      <c r="H1005" t="inlineStr">
        <is>
          <t>Group &gt; Flatmates &gt; Quick Add &gt; Repairs</t>
        </is>
      </c>
      <c r="I1005" s="18" t="n">
        <v>18872.06</v>
      </c>
      <c r="J1005" t="inlineStr">
        <is>
          <t>Created MTR-IOS-1004 and correlation note visible in Activity/Pulse</t>
        </is>
      </c>
      <c r="K1005" t="inlineStr">
        <is>
          <t>NOT_RUN</t>
        </is>
      </c>
      <c r="P1005" t="n">
        <v>0</v>
      </c>
      <c r="Q1005" t="n">
        <v>1004</v>
      </c>
    </row>
    <row r="1006">
      <c r="A1006" t="n">
        <v>1005</v>
      </c>
      <c r="B1006" t="inlineStr">
        <is>
          <t>MTR-IOS-1005</t>
        </is>
      </c>
      <c r="C1006" t="inlineStr">
        <is>
          <t>iPhone</t>
        </is>
      </c>
      <c r="D1006" t="inlineStr">
        <is>
          <t>Business</t>
        </is>
      </c>
      <c r="E1006" t="inlineStr">
        <is>
          <t>Business</t>
        </is>
      </c>
      <c r="F1006" t="inlineStr">
        <is>
          <t>Business Operations</t>
        </is>
      </c>
      <c r="G1006" t="inlineStr">
        <is>
          <t>Vendor</t>
        </is>
      </c>
      <c r="H1006" t="inlineStr">
        <is>
          <t>Business &gt; Business Operations &gt; Quick Add &gt; Vendor</t>
        </is>
      </c>
      <c r="I1006" s="18" t="n">
        <v>156257.44</v>
      </c>
      <c r="J1006" t="inlineStr">
        <is>
          <t>Created MTR-IOS-1005 and correlation note visible in Activity/Pulse</t>
        </is>
      </c>
      <c r="K1006" t="inlineStr">
        <is>
          <t>NOT_RUN</t>
        </is>
      </c>
      <c r="P1006" t="n">
        <v>0</v>
      </c>
      <c r="Q1006" t="n">
        <v>1005</v>
      </c>
    </row>
    <row r="1007">
      <c r="A1007" t="n">
        <v>1006</v>
      </c>
      <c r="B1007" t="inlineStr">
        <is>
          <t>MTR-IOS-1006</t>
        </is>
      </c>
      <c r="C1007" t="inlineStr">
        <is>
          <t>iPhone</t>
        </is>
      </c>
      <c r="D1007" t="inlineStr">
        <is>
          <t>Personal</t>
        </is>
      </c>
      <c r="E1007" t="inlineStr">
        <is>
          <t>Personal</t>
        </is>
      </c>
      <c r="F1007" t="inlineStr">
        <is>
          <t>Lifestyle</t>
        </is>
      </c>
      <c r="G1007" t="inlineStr">
        <is>
          <t>Shopping</t>
        </is>
      </c>
      <c r="H1007" t="inlineStr">
        <is>
          <t>Personal &gt; Lifestyle &gt; Quick Add &gt; Shopping</t>
        </is>
      </c>
      <c r="I1007" s="18" t="n">
        <v>15685.28</v>
      </c>
      <c r="J1007" t="inlineStr">
        <is>
          <t>Created MTR-IOS-1006 and correlation note visible in Activity/Pulse</t>
        </is>
      </c>
      <c r="K1007" t="inlineStr">
        <is>
          <t>NOT_RUN</t>
        </is>
      </c>
      <c r="P1007" t="n">
        <v>0</v>
      </c>
      <c r="Q1007" t="n">
        <v>1006</v>
      </c>
    </row>
    <row r="1008">
      <c r="A1008" t="n">
        <v>1007</v>
      </c>
      <c r="B1008" t="inlineStr">
        <is>
          <t>MTR-IOS-1007</t>
        </is>
      </c>
      <c r="C1008" t="inlineStr">
        <is>
          <t>iPhone</t>
        </is>
      </c>
      <c r="D1008" t="inlineStr">
        <is>
          <t>Group</t>
        </is>
      </c>
      <c r="E1008" t="inlineStr">
        <is>
          <t>Shared Living</t>
        </is>
      </c>
      <c r="F1008" t="inlineStr">
        <is>
          <t>Shared Living</t>
        </is>
      </c>
      <c r="G1008" t="inlineStr">
        <is>
          <t>Rent</t>
        </is>
      </c>
      <c r="H1008" t="inlineStr">
        <is>
          <t>Group &gt; Shared Living &gt; Quick Add &gt; Rent</t>
        </is>
      </c>
      <c r="I1008" s="18" t="n">
        <v>19604.88</v>
      </c>
      <c r="J1008" t="inlineStr">
        <is>
          <t>Created MTR-IOS-1007 and correlation note visible in Activity/Pulse</t>
        </is>
      </c>
      <c r="K1008" t="inlineStr">
        <is>
          <t>NOT_RUN</t>
        </is>
      </c>
      <c r="P1008" t="n">
        <v>0</v>
      </c>
      <c r="Q1008" t="n">
        <v>1007</v>
      </c>
    </row>
    <row r="1009">
      <c r="A1009" t="n">
        <v>1008</v>
      </c>
      <c r="B1009" t="inlineStr">
        <is>
          <t>MTR-IOS-1008</t>
        </is>
      </c>
      <c r="C1009" t="inlineStr">
        <is>
          <t>iPhone</t>
        </is>
      </c>
      <c r="D1009" t="inlineStr">
        <is>
          <t>Business</t>
        </is>
      </c>
      <c r="E1009" t="inlineStr">
        <is>
          <t>Business</t>
        </is>
      </c>
      <c r="F1009" t="inlineStr">
        <is>
          <t>Business Operations</t>
        </is>
      </c>
      <c r="G1009" t="inlineStr">
        <is>
          <t>Tax</t>
        </is>
      </c>
      <c r="H1009" t="inlineStr">
        <is>
          <t>Business &gt; Business Operations &gt; Quick Add &gt; Tax</t>
        </is>
      </c>
      <c r="I1009" s="18" t="n">
        <v>98578.83</v>
      </c>
      <c r="J1009" t="inlineStr">
        <is>
          <t>Created MTR-IOS-1008 and correlation note visible in Activity/Pulse</t>
        </is>
      </c>
      <c r="K1009" t="inlineStr">
        <is>
          <t>NOT_RUN</t>
        </is>
      </c>
      <c r="P1009" t="n">
        <v>0</v>
      </c>
      <c r="Q1009" t="n">
        <v>1008</v>
      </c>
    </row>
    <row r="1010">
      <c r="A1010" t="n">
        <v>1009</v>
      </c>
      <c r="B1010" t="inlineStr">
        <is>
          <t>MTR-IOS-1009</t>
        </is>
      </c>
      <c r="C1010" t="inlineStr">
        <is>
          <t>iPhone</t>
        </is>
      </c>
      <c r="D1010" t="inlineStr">
        <is>
          <t>Personal</t>
        </is>
      </c>
      <c r="E1010" t="inlineStr">
        <is>
          <t>Personal</t>
        </is>
      </c>
      <c r="F1010" t="inlineStr">
        <is>
          <t>Lifestyle</t>
        </is>
      </c>
      <c r="G1010" t="inlineStr">
        <is>
          <t>Entertainment</t>
        </is>
      </c>
      <c r="H1010" t="inlineStr">
        <is>
          <t>Personal &gt; Lifestyle &gt; Quick Add &gt; Entertainment</t>
        </is>
      </c>
      <c r="I1010" s="18" t="n">
        <v>9677.5</v>
      </c>
      <c r="J1010" t="inlineStr">
        <is>
          <t>Created MTR-IOS-1009 and correlation note visible in Activity/Pulse</t>
        </is>
      </c>
      <c r="K1010" t="inlineStr">
        <is>
          <t>NOT_RUN</t>
        </is>
      </c>
      <c r="P1010" t="n">
        <v>0</v>
      </c>
      <c r="Q1010" t="n">
        <v>1009</v>
      </c>
    </row>
    <row r="1011">
      <c r="A1011" t="n">
        <v>1010</v>
      </c>
      <c r="B1011" t="inlineStr">
        <is>
          <t>MTR-IOS-1010</t>
        </is>
      </c>
      <c r="C1011" t="inlineStr">
        <is>
          <t>iPhone</t>
        </is>
      </c>
      <c r="D1011" t="inlineStr">
        <is>
          <t>Group</t>
        </is>
      </c>
      <c r="E1011" t="inlineStr">
        <is>
          <t>Shared Living</t>
        </is>
      </c>
      <c r="F1011" t="inlineStr">
        <is>
          <t>Shared Living</t>
        </is>
      </c>
      <c r="G1011" t="inlineStr">
        <is>
          <t>Utilities</t>
        </is>
      </c>
      <c r="H1011" t="inlineStr">
        <is>
          <t>Group &gt; Shared Living &gt; Quick Add &gt; Utilities</t>
        </is>
      </c>
      <c r="I1011" s="18" t="n">
        <v>7531.2</v>
      </c>
      <c r="J1011" t="inlineStr">
        <is>
          <t>Created MTR-IOS-1010 and correlation note visible in Activity/Pulse</t>
        </is>
      </c>
      <c r="K1011" t="inlineStr">
        <is>
          <t>NOT_RUN</t>
        </is>
      </c>
      <c r="P1011" t="n">
        <v>0</v>
      </c>
      <c r="Q1011" t="n">
        <v>1010</v>
      </c>
    </row>
    <row r="1012">
      <c r="A1012" t="n">
        <v>1011</v>
      </c>
      <c r="B1012" t="inlineStr">
        <is>
          <t>MTR-IOS-1011</t>
        </is>
      </c>
      <c r="C1012" t="inlineStr">
        <is>
          <t>iPhone</t>
        </is>
      </c>
      <c r="D1012" t="inlineStr">
        <is>
          <t>Business</t>
        </is>
      </c>
      <c r="E1012" t="inlineStr">
        <is>
          <t>Business</t>
        </is>
      </c>
      <c r="F1012" t="inlineStr">
        <is>
          <t>Team Operations</t>
        </is>
      </c>
      <c r="G1012" t="inlineStr">
        <is>
          <t>Payroll</t>
        </is>
      </c>
      <c r="H1012" t="inlineStr">
        <is>
          <t>Business &gt; Team Operations &gt; Quick Add &gt; Payroll</t>
        </is>
      </c>
      <c r="I1012" s="18" t="n">
        <v>110608.72</v>
      </c>
      <c r="J1012" t="inlineStr">
        <is>
          <t>Created MTR-IOS-1011 and correlation note visible in Activity/Pulse</t>
        </is>
      </c>
      <c r="K1012" t="inlineStr">
        <is>
          <t>NOT_RUN</t>
        </is>
      </c>
      <c r="P1012" t="n">
        <v>0</v>
      </c>
      <c r="Q1012" t="n">
        <v>1011</v>
      </c>
    </row>
    <row r="1013">
      <c r="A1013" t="n">
        <v>1012</v>
      </c>
      <c r="B1013" t="inlineStr">
        <is>
          <t>MTR-IOS-1012</t>
        </is>
      </c>
      <c r="C1013" t="inlineStr">
        <is>
          <t>iPhone</t>
        </is>
      </c>
      <c r="D1013" t="inlineStr">
        <is>
          <t>Personal</t>
        </is>
      </c>
      <c r="E1013" t="inlineStr">
        <is>
          <t>Personal</t>
        </is>
      </c>
      <c r="F1013" t="inlineStr">
        <is>
          <t>Lifestyle</t>
        </is>
      </c>
      <c r="G1013" t="inlineStr">
        <is>
          <t>Travel</t>
        </is>
      </c>
      <c r="H1013" t="inlineStr">
        <is>
          <t>Personal &gt; Lifestyle &gt; Quick Add &gt; Travel</t>
        </is>
      </c>
      <c r="I1013" s="18" t="n">
        <v>12998.58</v>
      </c>
      <c r="J1013" t="inlineStr">
        <is>
          <t>Created MTR-IOS-1012 and correlation note visible in Activity/Pulse</t>
        </is>
      </c>
      <c r="K1013" t="inlineStr">
        <is>
          <t>NOT_RUN</t>
        </is>
      </c>
      <c r="P1013" t="n">
        <v>0</v>
      </c>
      <c r="Q1013" t="n">
        <v>1012</v>
      </c>
    </row>
    <row r="1014">
      <c r="A1014" t="n">
        <v>1013</v>
      </c>
      <c r="B1014" t="inlineStr">
        <is>
          <t>MTR-IOS-1013</t>
        </is>
      </c>
      <c r="C1014" t="inlineStr">
        <is>
          <t>iPhone</t>
        </is>
      </c>
      <c r="D1014" t="inlineStr">
        <is>
          <t>Group</t>
        </is>
      </c>
      <c r="E1014" t="inlineStr">
        <is>
          <t>Shared Living</t>
        </is>
      </c>
      <c r="F1014" t="inlineStr">
        <is>
          <t>Shared Living</t>
        </is>
      </c>
      <c r="G1014" t="inlineStr">
        <is>
          <t>Groceries</t>
        </is>
      </c>
      <c r="H1014" t="inlineStr">
        <is>
          <t>Group &gt; Shared Living &gt; Quick Add &gt; Groceries</t>
        </is>
      </c>
      <c r="I1014" s="18" t="n">
        <v>19375.74</v>
      </c>
      <c r="J1014" t="inlineStr">
        <is>
          <t>Created MTR-IOS-1013 and correlation note visible in Activity/Pulse</t>
        </is>
      </c>
      <c r="K1014" t="inlineStr">
        <is>
          <t>NOT_RUN</t>
        </is>
      </c>
      <c r="P1014" t="n">
        <v>0</v>
      </c>
      <c r="Q1014" t="n">
        <v>1013</v>
      </c>
    </row>
    <row r="1015">
      <c r="A1015" t="n">
        <v>1014</v>
      </c>
      <c r="B1015" t="inlineStr">
        <is>
          <t>MTR-IOS-1014</t>
        </is>
      </c>
      <c r="C1015" t="inlineStr">
        <is>
          <t>iPhone</t>
        </is>
      </c>
      <c r="D1015" t="inlineStr">
        <is>
          <t>Business</t>
        </is>
      </c>
      <c r="E1015" t="inlineStr">
        <is>
          <t>Business</t>
        </is>
      </c>
      <c r="F1015" t="inlineStr">
        <is>
          <t>Team Operations</t>
        </is>
      </c>
      <c r="G1015" t="inlineStr">
        <is>
          <t>Contractor</t>
        </is>
      </c>
      <c r="H1015" t="inlineStr">
        <is>
          <t>Business &gt; Team Operations &gt; Quick Add &gt; Contractor</t>
        </is>
      </c>
      <c r="I1015" s="18" t="n">
        <v>61658.15</v>
      </c>
      <c r="J1015" t="inlineStr">
        <is>
          <t>Created MTR-IOS-1014 and correlation note visible in Activity/Pulse</t>
        </is>
      </c>
      <c r="K1015" t="inlineStr">
        <is>
          <t>NOT_RUN</t>
        </is>
      </c>
      <c r="P1015" t="n">
        <v>0</v>
      </c>
      <c r="Q1015" t="n">
        <v>1014</v>
      </c>
    </row>
    <row r="1016">
      <c r="A1016" t="n">
        <v>1015</v>
      </c>
      <c r="B1016" t="inlineStr">
        <is>
          <t>MTR-IOS-1015</t>
        </is>
      </c>
      <c r="C1016" t="inlineStr">
        <is>
          <t>iPhone</t>
        </is>
      </c>
      <c r="D1016" t="inlineStr">
        <is>
          <t>Personal</t>
        </is>
      </c>
      <c r="E1016" t="inlineStr">
        <is>
          <t>Personal</t>
        </is>
      </c>
      <c r="F1016" t="inlineStr">
        <is>
          <t>Lifestyle</t>
        </is>
      </c>
      <c r="G1016" t="inlineStr">
        <is>
          <t>Fitness</t>
        </is>
      </c>
      <c r="H1016" t="inlineStr">
        <is>
          <t>Personal &gt; Lifestyle &gt; Quick Add &gt; Fitness</t>
        </is>
      </c>
      <c r="I1016" s="18" t="n">
        <v>12464.75</v>
      </c>
      <c r="J1016" t="inlineStr">
        <is>
          <t>Created MTR-IOS-1015 and correlation note visible in Activity/Pulse</t>
        </is>
      </c>
      <c r="K1016" t="inlineStr">
        <is>
          <t>NOT_RUN</t>
        </is>
      </c>
      <c r="P1016" t="n">
        <v>0</v>
      </c>
      <c r="Q1016" t="n">
        <v>1015</v>
      </c>
    </row>
    <row r="1017">
      <c r="A1017" t="n">
        <v>1016</v>
      </c>
      <c r="B1017" t="inlineStr">
        <is>
          <t>MTR-IOS-1016</t>
        </is>
      </c>
      <c r="C1017" t="inlineStr">
        <is>
          <t>iPhone</t>
        </is>
      </c>
      <c r="D1017" t="inlineStr">
        <is>
          <t>Group</t>
        </is>
      </c>
      <c r="E1017" t="inlineStr">
        <is>
          <t>Shared Living</t>
        </is>
      </c>
      <c r="F1017" t="inlineStr">
        <is>
          <t>Shared Living</t>
        </is>
      </c>
      <c r="G1017" t="inlineStr">
        <is>
          <t>Maintenance</t>
        </is>
      </c>
      <c r="H1017" t="inlineStr">
        <is>
          <t>Group &gt; Shared Living &gt; Quick Add &gt; Maintenance</t>
        </is>
      </c>
      <c r="I1017" s="18" t="n">
        <v>18585.29</v>
      </c>
      <c r="J1017" t="inlineStr">
        <is>
          <t>Created MTR-IOS-1016 and correlation note visible in Activity/Pulse</t>
        </is>
      </c>
      <c r="K1017" t="inlineStr">
        <is>
          <t>NOT_RUN</t>
        </is>
      </c>
      <c r="P1017" t="n">
        <v>0</v>
      </c>
      <c r="Q1017" t="n">
        <v>1016</v>
      </c>
    </row>
    <row r="1018">
      <c r="A1018" t="n">
        <v>1017</v>
      </c>
      <c r="B1018" t="inlineStr">
        <is>
          <t>MTR-IOS-1017</t>
        </is>
      </c>
      <c r="C1018" t="inlineStr">
        <is>
          <t>iPhone</t>
        </is>
      </c>
      <c r="D1018" t="inlineStr">
        <is>
          <t>Business</t>
        </is>
      </c>
      <c r="E1018" t="inlineStr">
        <is>
          <t>Business</t>
        </is>
      </c>
      <c r="F1018" t="inlineStr">
        <is>
          <t>Team Operations</t>
        </is>
      </c>
      <c r="G1018" t="inlineStr">
        <is>
          <t>Hiring</t>
        </is>
      </c>
      <c r="H1018" t="inlineStr">
        <is>
          <t>Business &gt; Team Operations &gt; Quick Add &gt; Hiring</t>
        </is>
      </c>
      <c r="I1018" s="18" t="n">
        <v>16814.47</v>
      </c>
      <c r="J1018" t="inlineStr">
        <is>
          <t>Created MTR-IOS-1017 and correlation note visible in Activity/Pulse</t>
        </is>
      </c>
      <c r="K1018" t="inlineStr">
        <is>
          <t>NOT_RUN</t>
        </is>
      </c>
      <c r="P1018" t="n">
        <v>0</v>
      </c>
      <c r="Q1018" t="n">
        <v>1017</v>
      </c>
    </row>
    <row r="1019">
      <c r="A1019" t="n">
        <v>1018</v>
      </c>
      <c r="B1019" t="inlineStr">
        <is>
          <t>MTR-IOS-1018</t>
        </is>
      </c>
      <c r="C1019" t="inlineStr">
        <is>
          <t>iPhone</t>
        </is>
      </c>
      <c r="D1019" t="inlineStr">
        <is>
          <t>Personal</t>
        </is>
      </c>
      <c r="E1019" t="inlineStr">
        <is>
          <t>Personal</t>
        </is>
      </c>
      <c r="F1019" t="inlineStr">
        <is>
          <t>Lifestyle</t>
        </is>
      </c>
      <c r="G1019" t="inlineStr">
        <is>
          <t>Hobbies</t>
        </is>
      </c>
      <c r="H1019" t="inlineStr">
        <is>
          <t>Personal &gt; Lifestyle &gt; Quick Add &gt; Hobbies</t>
        </is>
      </c>
      <c r="I1019" s="18" t="n">
        <v>1421.3</v>
      </c>
      <c r="J1019" t="inlineStr">
        <is>
          <t>Created MTR-IOS-1018 and correlation note visible in Activity/Pulse</t>
        </is>
      </c>
      <c r="K1019" t="inlineStr">
        <is>
          <t>NOT_RUN</t>
        </is>
      </c>
      <c r="P1019" t="n">
        <v>0</v>
      </c>
      <c r="Q1019" t="n">
        <v>1018</v>
      </c>
    </row>
    <row r="1020">
      <c r="A1020" t="n">
        <v>1019</v>
      </c>
      <c r="B1020" t="inlineStr">
        <is>
          <t>MTR-IOS-1019</t>
        </is>
      </c>
      <c r="C1020" t="inlineStr">
        <is>
          <t>iPhone</t>
        </is>
      </c>
      <c r="D1020" t="inlineStr">
        <is>
          <t>Group</t>
        </is>
      </c>
      <c r="E1020" t="inlineStr">
        <is>
          <t>Shared Living</t>
        </is>
      </c>
      <c r="F1020" t="inlineStr">
        <is>
          <t>Shared Living</t>
        </is>
      </c>
      <c r="G1020" t="inlineStr">
        <is>
          <t>Other</t>
        </is>
      </c>
      <c r="H1020" t="inlineStr">
        <is>
          <t>Group &gt; Shared Living &gt; Quick Add &gt; Other</t>
        </is>
      </c>
      <c r="I1020" s="18" t="n">
        <v>22445.97</v>
      </c>
      <c r="J1020" t="inlineStr">
        <is>
          <t>Created MTR-IOS-1019 and correlation note visible in Activity/Pulse</t>
        </is>
      </c>
      <c r="K1020" t="inlineStr">
        <is>
          <t>NOT_RUN</t>
        </is>
      </c>
      <c r="P1020" t="n">
        <v>0</v>
      </c>
      <c r="Q1020" t="n">
        <v>1019</v>
      </c>
    </row>
    <row r="1021">
      <c r="A1021" t="n">
        <v>1020</v>
      </c>
      <c r="B1021" t="inlineStr">
        <is>
          <t>MTR-IOS-1020</t>
        </is>
      </c>
      <c r="C1021" t="inlineStr">
        <is>
          <t>iPhone</t>
        </is>
      </c>
      <c r="D1021" t="inlineStr">
        <is>
          <t>Business</t>
        </is>
      </c>
      <c r="E1021" t="inlineStr">
        <is>
          <t>Business</t>
        </is>
      </c>
      <c r="F1021" t="inlineStr">
        <is>
          <t>Team Operations</t>
        </is>
      </c>
      <c r="G1021" t="inlineStr">
        <is>
          <t>Team Meal</t>
        </is>
      </c>
      <c r="H1021" t="inlineStr">
        <is>
          <t>Business &gt; Team Operations &gt; Quick Add &gt; Team Meal</t>
        </is>
      </c>
      <c r="I1021" s="18" t="n">
        <v>56941.96</v>
      </c>
      <c r="J1021" t="inlineStr">
        <is>
          <t>Created MTR-IOS-1020 and correlation note visible in Activity/Pulse</t>
        </is>
      </c>
      <c r="K1021" t="inlineStr">
        <is>
          <t>NOT_RUN</t>
        </is>
      </c>
      <c r="P1021" t="n">
        <v>0</v>
      </c>
      <c r="Q1021" t="n">
        <v>1020</v>
      </c>
    </row>
    <row r="1022">
      <c r="A1022" t="n">
        <v>1021</v>
      </c>
      <c r="B1022" t="inlineStr">
        <is>
          <t>MTR-IOS-1021</t>
        </is>
      </c>
      <c r="C1022" t="inlineStr">
        <is>
          <t>iPhone</t>
        </is>
      </c>
      <c r="D1022" t="inlineStr">
        <is>
          <t>Personal</t>
        </is>
      </c>
      <c r="E1022" t="inlineStr">
        <is>
          <t>Personal</t>
        </is>
      </c>
      <c r="F1022" t="inlineStr">
        <is>
          <t>Relationships</t>
        </is>
      </c>
      <c r="G1022" t="inlineStr">
        <is>
          <t>Gifts</t>
        </is>
      </c>
      <c r="H1022" t="inlineStr">
        <is>
          <t>Personal &gt; Relationships &gt; Quick Add &gt; Gifts</t>
        </is>
      </c>
      <c r="I1022" s="18" t="n">
        <v>11856.82</v>
      </c>
      <c r="J1022" t="inlineStr">
        <is>
          <t>Created MTR-IOS-1021 and correlation note visible in Activity/Pulse</t>
        </is>
      </c>
      <c r="K1022" t="inlineStr">
        <is>
          <t>NOT_RUN</t>
        </is>
      </c>
      <c r="P1022" t="n">
        <v>0</v>
      </c>
      <c r="Q1022" t="n">
        <v>1021</v>
      </c>
    </row>
    <row r="1023">
      <c r="A1023" t="n">
        <v>1022</v>
      </c>
      <c r="B1023" t="inlineStr">
        <is>
          <t>MTR-IOS-1022</t>
        </is>
      </c>
      <c r="C1023" t="inlineStr">
        <is>
          <t>iPhone</t>
        </is>
      </c>
      <c r="D1023" t="inlineStr">
        <is>
          <t>Group</t>
        </is>
      </c>
      <c r="E1023" t="inlineStr">
        <is>
          <t>Shared Living</t>
        </is>
      </c>
      <c r="F1023" t="inlineStr">
        <is>
          <t>Family Household</t>
        </is>
      </c>
      <c r="G1023" t="inlineStr">
        <is>
          <t>Groceries</t>
        </is>
      </c>
      <c r="H1023" t="inlineStr">
        <is>
          <t>Group &gt; Family Household &gt; Quick Add &gt; Groceries</t>
        </is>
      </c>
      <c r="I1023" s="18" t="n">
        <v>14794.74</v>
      </c>
      <c r="J1023" t="inlineStr">
        <is>
          <t>Created MTR-IOS-1022 and correlation note visible in Activity/Pulse</t>
        </is>
      </c>
      <c r="K1023" t="inlineStr">
        <is>
          <t>NOT_RUN</t>
        </is>
      </c>
      <c r="P1023" t="n">
        <v>0</v>
      </c>
      <c r="Q1023" t="n">
        <v>1022</v>
      </c>
    </row>
    <row r="1024">
      <c r="A1024" t="n">
        <v>1023</v>
      </c>
      <c r="B1024" t="inlineStr">
        <is>
          <t>MTR-IOS-1023</t>
        </is>
      </c>
      <c r="C1024" t="inlineStr">
        <is>
          <t>iPhone</t>
        </is>
      </c>
      <c r="D1024" t="inlineStr">
        <is>
          <t>Business</t>
        </is>
      </c>
      <c r="E1024" t="inlineStr">
        <is>
          <t>Business</t>
        </is>
      </c>
      <c r="F1024" t="inlineStr">
        <is>
          <t>Team Operations</t>
        </is>
      </c>
      <c r="G1024" t="inlineStr">
        <is>
          <t>Travel</t>
        </is>
      </c>
      <c r="H1024" t="inlineStr">
        <is>
          <t>Business &gt; Team Operations &gt; Quick Add &gt; Travel</t>
        </is>
      </c>
      <c r="I1024" s="18" t="n">
        <v>161328.48</v>
      </c>
      <c r="J1024" t="inlineStr">
        <is>
          <t>Created MTR-IOS-1023 and correlation note visible in Activity/Pulse</t>
        </is>
      </c>
      <c r="K1024" t="inlineStr">
        <is>
          <t>NOT_RUN</t>
        </is>
      </c>
      <c r="P1024" t="n">
        <v>0</v>
      </c>
      <c r="Q1024" t="n">
        <v>1023</v>
      </c>
    </row>
    <row r="1025">
      <c r="A1025" t="n">
        <v>1024</v>
      </c>
      <c r="B1025" t="inlineStr">
        <is>
          <t>MTR-IOS-1024</t>
        </is>
      </c>
      <c r="C1025" t="inlineStr">
        <is>
          <t>iPhone</t>
        </is>
      </c>
      <c r="D1025" t="inlineStr">
        <is>
          <t>Personal</t>
        </is>
      </c>
      <c r="E1025" t="inlineStr">
        <is>
          <t>Personal</t>
        </is>
      </c>
      <c r="F1025" t="inlineStr">
        <is>
          <t>Relationships</t>
        </is>
      </c>
      <c r="G1025" t="inlineStr">
        <is>
          <t>Dates</t>
        </is>
      </c>
      <c r="H1025" t="inlineStr">
        <is>
          <t>Personal &gt; Relationships &gt; Quick Add &gt; Dates</t>
        </is>
      </c>
      <c r="I1025" s="18" t="n">
        <v>8626.82</v>
      </c>
      <c r="J1025" t="inlineStr">
        <is>
          <t>Created MTR-IOS-1024 and correlation note visible in Activity/Pulse</t>
        </is>
      </c>
      <c r="K1025" t="inlineStr">
        <is>
          <t>NOT_RUN</t>
        </is>
      </c>
      <c r="P1025" t="n">
        <v>0</v>
      </c>
      <c r="Q1025" t="n">
        <v>1024</v>
      </c>
    </row>
    <row r="1026">
      <c r="A1026" t="n">
        <v>1025</v>
      </c>
      <c r="B1026" t="inlineStr">
        <is>
          <t>MTR-IOS-1025</t>
        </is>
      </c>
      <c r="C1026" t="inlineStr">
        <is>
          <t>iPhone</t>
        </is>
      </c>
      <c r="D1026" t="inlineStr">
        <is>
          <t>Group</t>
        </is>
      </c>
      <c r="E1026" t="inlineStr">
        <is>
          <t>Shared Living</t>
        </is>
      </c>
      <c r="F1026" t="inlineStr">
        <is>
          <t>Family Household</t>
        </is>
      </c>
      <c r="G1026" t="inlineStr">
        <is>
          <t>Bills</t>
        </is>
      </c>
      <c r="H1026" t="inlineStr">
        <is>
          <t>Group &gt; Family Household &gt; Quick Add &gt; Bills</t>
        </is>
      </c>
      <c r="I1026" s="18" t="n">
        <v>13977.75</v>
      </c>
      <c r="J1026" t="inlineStr">
        <is>
          <t>Created MTR-IOS-1025 and correlation note visible in Activity/Pulse</t>
        </is>
      </c>
      <c r="K1026" t="inlineStr">
        <is>
          <t>NOT_RUN</t>
        </is>
      </c>
      <c r="P1026" t="n">
        <v>0</v>
      </c>
      <c r="Q1026" t="n">
        <v>1025</v>
      </c>
    </row>
    <row r="1027">
      <c r="A1027" t="n">
        <v>1026</v>
      </c>
      <c r="B1027" t="inlineStr">
        <is>
          <t>MTR-IOS-1026</t>
        </is>
      </c>
      <c r="C1027" t="inlineStr">
        <is>
          <t>iPhone</t>
        </is>
      </c>
      <c r="D1027" t="inlineStr">
        <is>
          <t>Business</t>
        </is>
      </c>
      <c r="E1027" t="inlineStr">
        <is>
          <t>Business</t>
        </is>
      </c>
      <c r="F1027" t="inlineStr">
        <is>
          <t>Team Operations</t>
        </is>
      </c>
      <c r="G1027" t="inlineStr">
        <is>
          <t>Training</t>
        </is>
      </c>
      <c r="H1027" t="inlineStr">
        <is>
          <t>Business &gt; Team Operations &gt; Quick Add &gt; Training</t>
        </is>
      </c>
      <c r="I1027" s="18" t="n">
        <v>63900.25</v>
      </c>
      <c r="J1027" t="inlineStr">
        <is>
          <t>Created MTR-IOS-1026 and correlation note visible in Activity/Pulse</t>
        </is>
      </c>
      <c r="K1027" t="inlineStr">
        <is>
          <t>NOT_RUN</t>
        </is>
      </c>
      <c r="P1027" t="n">
        <v>0</v>
      </c>
      <c r="Q1027" t="n">
        <v>1026</v>
      </c>
    </row>
    <row r="1028">
      <c r="A1028" t="n">
        <v>1027</v>
      </c>
      <c r="B1028" t="inlineStr">
        <is>
          <t>MTR-IOS-1027</t>
        </is>
      </c>
      <c r="C1028" t="inlineStr">
        <is>
          <t>iPhone</t>
        </is>
      </c>
      <c r="D1028" t="inlineStr">
        <is>
          <t>Personal</t>
        </is>
      </c>
      <c r="E1028" t="inlineStr">
        <is>
          <t>Personal</t>
        </is>
      </c>
      <c r="F1028" t="inlineStr">
        <is>
          <t>Relationships</t>
        </is>
      </c>
      <c r="G1028" t="inlineStr">
        <is>
          <t>Family</t>
        </is>
      </c>
      <c r="H1028" t="inlineStr">
        <is>
          <t>Personal &gt; Relationships &gt; Quick Add &gt; Family</t>
        </is>
      </c>
      <c r="I1028" s="18" t="n">
        <v>7474.74</v>
      </c>
      <c r="J1028" t="inlineStr">
        <is>
          <t>Created MTR-IOS-1027 and correlation note visible in Activity/Pulse</t>
        </is>
      </c>
      <c r="K1028" t="inlineStr">
        <is>
          <t>NOT_RUN</t>
        </is>
      </c>
      <c r="P1028" t="n">
        <v>0</v>
      </c>
      <c r="Q1028" t="n">
        <v>1027</v>
      </c>
    </row>
    <row r="1029">
      <c r="A1029" t="n">
        <v>1028</v>
      </c>
      <c r="B1029" t="inlineStr">
        <is>
          <t>MTR-IOS-1028</t>
        </is>
      </c>
      <c r="C1029" t="inlineStr">
        <is>
          <t>iPhone</t>
        </is>
      </c>
      <c r="D1029" t="inlineStr">
        <is>
          <t>Group</t>
        </is>
      </c>
      <c r="E1029" t="inlineStr">
        <is>
          <t>Shared Living</t>
        </is>
      </c>
      <c r="F1029" t="inlineStr">
        <is>
          <t>Family Household</t>
        </is>
      </c>
      <c r="G1029" t="inlineStr">
        <is>
          <t>School</t>
        </is>
      </c>
      <c r="H1029" t="inlineStr">
        <is>
          <t>Group &gt; Family Household &gt; Quick Add &gt; School</t>
        </is>
      </c>
      <c r="I1029" s="18" t="n">
        <v>7608.98</v>
      </c>
      <c r="J1029" t="inlineStr">
        <is>
          <t>Created MTR-IOS-1028 and correlation note visible in Activity/Pulse</t>
        </is>
      </c>
      <c r="K1029" t="inlineStr">
        <is>
          <t>NOT_RUN</t>
        </is>
      </c>
      <c r="P1029" t="n">
        <v>0</v>
      </c>
      <c r="Q1029" t="n">
        <v>1028</v>
      </c>
    </row>
    <row r="1030">
      <c r="A1030" t="n">
        <v>1029</v>
      </c>
      <c r="B1030" t="inlineStr">
        <is>
          <t>MTR-IOS-1029</t>
        </is>
      </c>
      <c r="C1030" t="inlineStr">
        <is>
          <t>iPhone</t>
        </is>
      </c>
      <c r="D1030" t="inlineStr">
        <is>
          <t>Business</t>
        </is>
      </c>
      <c r="E1030" t="inlineStr">
        <is>
          <t>Business</t>
        </is>
      </c>
      <c r="F1030" t="inlineStr">
        <is>
          <t>Team Operations</t>
        </is>
      </c>
      <c r="G1030" t="inlineStr">
        <is>
          <t>Tools</t>
        </is>
      </c>
      <c r="H1030" t="inlineStr">
        <is>
          <t>Business &gt; Team Operations &gt; Quick Add &gt; Tools</t>
        </is>
      </c>
      <c r="I1030" s="18" t="n">
        <v>112790.1</v>
      </c>
      <c r="J1030" t="inlineStr">
        <is>
          <t>Created MTR-IOS-1029 and correlation note visible in Activity/Pulse</t>
        </is>
      </c>
      <c r="K1030" t="inlineStr">
        <is>
          <t>NOT_RUN</t>
        </is>
      </c>
      <c r="P1030" t="n">
        <v>0</v>
      </c>
      <c r="Q1030" t="n">
        <v>1029</v>
      </c>
    </row>
    <row r="1031">
      <c r="A1031" t="n">
        <v>1030</v>
      </c>
      <c r="B1031" t="inlineStr">
        <is>
          <t>MTR-IOS-1030</t>
        </is>
      </c>
      <c r="C1031" t="inlineStr">
        <is>
          <t>iPhone</t>
        </is>
      </c>
      <c r="D1031" t="inlineStr">
        <is>
          <t>Personal</t>
        </is>
      </c>
      <c r="E1031" t="inlineStr">
        <is>
          <t>Personal</t>
        </is>
      </c>
      <c r="F1031" t="inlineStr">
        <is>
          <t>Relationships</t>
        </is>
      </c>
      <c r="G1031" t="inlineStr">
        <is>
          <t>Friends</t>
        </is>
      </c>
      <c r="H1031" t="inlineStr">
        <is>
          <t>Personal &gt; Relationships &gt; Quick Add &gt; Friends</t>
        </is>
      </c>
      <c r="I1031" s="18" t="n">
        <v>10611.74</v>
      </c>
      <c r="J1031" t="inlineStr">
        <is>
          <t>Created MTR-IOS-1030 and correlation note visible in Activity/Pulse</t>
        </is>
      </c>
      <c r="K1031" t="inlineStr">
        <is>
          <t>NOT_RUN</t>
        </is>
      </c>
      <c r="P1031" t="n">
        <v>0</v>
      </c>
      <c r="Q1031" t="n">
        <v>1030</v>
      </c>
    </row>
    <row r="1032">
      <c r="A1032" t="n">
        <v>1031</v>
      </c>
      <c r="B1032" t="inlineStr">
        <is>
          <t>MTR-IOS-1031</t>
        </is>
      </c>
      <c r="C1032" t="inlineStr">
        <is>
          <t>iPhone</t>
        </is>
      </c>
      <c r="D1032" t="inlineStr">
        <is>
          <t>Group</t>
        </is>
      </c>
      <c r="E1032" t="inlineStr">
        <is>
          <t>Shared Living</t>
        </is>
      </c>
      <c r="F1032" t="inlineStr">
        <is>
          <t>Family Household</t>
        </is>
      </c>
      <c r="G1032" t="inlineStr">
        <is>
          <t>Healthcare</t>
        </is>
      </c>
      <c r="H1032" t="inlineStr">
        <is>
          <t>Group &gt; Family Household &gt; Quick Add &gt; Healthcare</t>
        </is>
      </c>
      <c r="I1032" s="18" t="n">
        <v>2917.35</v>
      </c>
      <c r="J1032" t="inlineStr">
        <is>
          <t>Created MTR-IOS-1031 and correlation note visible in Activity/Pulse</t>
        </is>
      </c>
      <c r="K1032" t="inlineStr">
        <is>
          <t>NOT_RUN</t>
        </is>
      </c>
      <c r="P1032" t="n">
        <v>0</v>
      </c>
      <c r="Q1032" t="n">
        <v>1031</v>
      </c>
    </row>
    <row r="1033">
      <c r="A1033" t="n">
        <v>1032</v>
      </c>
      <c r="B1033" t="inlineStr">
        <is>
          <t>MTR-IOS-1032</t>
        </is>
      </c>
      <c r="C1033" t="inlineStr">
        <is>
          <t>iPhone</t>
        </is>
      </c>
      <c r="D1033" t="inlineStr">
        <is>
          <t>Business</t>
        </is>
      </c>
      <c r="E1033" t="inlineStr">
        <is>
          <t>Business</t>
        </is>
      </c>
      <c r="F1033" t="inlineStr">
        <is>
          <t>Business Runway</t>
        </is>
      </c>
      <c r="G1033" t="inlineStr">
        <is>
          <t>Funding</t>
        </is>
      </c>
      <c r="H1033" t="inlineStr">
        <is>
          <t>Business &gt; Business Runway &gt; Quick Add &gt; Funding</t>
        </is>
      </c>
      <c r="I1033" s="18" t="n">
        <v>101125.97</v>
      </c>
      <c r="J1033" t="inlineStr">
        <is>
          <t>Created MTR-IOS-1032 and correlation note visible in Activity/Pulse</t>
        </is>
      </c>
      <c r="K1033" t="inlineStr">
        <is>
          <t>NOT_RUN</t>
        </is>
      </c>
      <c r="P1033" t="n">
        <v>0</v>
      </c>
      <c r="Q1033" t="n">
        <v>1032</v>
      </c>
    </row>
    <row r="1034">
      <c r="A1034" t="n">
        <v>1033</v>
      </c>
      <c r="B1034" t="inlineStr">
        <is>
          <t>MTR-IOS-1033</t>
        </is>
      </c>
      <c r="C1034" t="inlineStr">
        <is>
          <t>iPhone</t>
        </is>
      </c>
      <c r="D1034" t="inlineStr">
        <is>
          <t>Personal</t>
        </is>
      </c>
      <c r="E1034" t="inlineStr">
        <is>
          <t>Personal</t>
        </is>
      </c>
      <c r="F1034" t="inlineStr">
        <is>
          <t>Relationships</t>
        </is>
      </c>
      <c r="G1034" t="inlineStr">
        <is>
          <t>Celebrations</t>
        </is>
      </c>
      <c r="H1034" t="inlineStr">
        <is>
          <t>Personal &gt; Relationships &gt; Quick Add &gt; Celebrations</t>
        </is>
      </c>
      <c r="I1034" s="18" t="n">
        <v>4661.53</v>
      </c>
      <c r="J1034" t="inlineStr">
        <is>
          <t>Created MTR-IOS-1033 and correlation note visible in Activity/Pulse</t>
        </is>
      </c>
      <c r="K1034" t="inlineStr">
        <is>
          <t>NOT_RUN</t>
        </is>
      </c>
      <c r="P1034" t="n">
        <v>0</v>
      </c>
      <c r="Q1034" t="n">
        <v>1033</v>
      </c>
    </row>
    <row r="1035">
      <c r="A1035" t="n">
        <v>1034</v>
      </c>
      <c r="B1035" t="inlineStr">
        <is>
          <t>MTR-IOS-1034</t>
        </is>
      </c>
      <c r="C1035" t="inlineStr">
        <is>
          <t>iPhone</t>
        </is>
      </c>
      <c r="D1035" t="inlineStr">
        <is>
          <t>Group</t>
        </is>
      </c>
      <c r="E1035" t="inlineStr">
        <is>
          <t>Shared Living</t>
        </is>
      </c>
      <c r="F1035" t="inlineStr">
        <is>
          <t>Family Household</t>
        </is>
      </c>
      <c r="G1035" t="inlineStr">
        <is>
          <t>Home</t>
        </is>
      </c>
      <c r="H1035" t="inlineStr">
        <is>
          <t>Group &gt; Family Household &gt; Quick Add &gt; Home</t>
        </is>
      </c>
      <c r="I1035" s="18" t="n">
        <v>17252.22</v>
      </c>
      <c r="J1035" t="inlineStr">
        <is>
          <t>Created MTR-IOS-1034 and correlation note visible in Activity/Pulse</t>
        </is>
      </c>
      <c r="K1035" t="inlineStr">
        <is>
          <t>NOT_RUN</t>
        </is>
      </c>
      <c r="P1035" t="n">
        <v>0</v>
      </c>
      <c r="Q1035" t="n">
        <v>1034</v>
      </c>
    </row>
    <row r="1036">
      <c r="A1036" t="n">
        <v>1035</v>
      </c>
      <c r="B1036" t="inlineStr">
        <is>
          <t>MTR-IOS-1035</t>
        </is>
      </c>
      <c r="C1036" t="inlineStr">
        <is>
          <t>iPhone</t>
        </is>
      </c>
      <c r="D1036" t="inlineStr">
        <is>
          <t>Business</t>
        </is>
      </c>
      <c r="E1036" t="inlineStr">
        <is>
          <t>Business</t>
        </is>
      </c>
      <c r="F1036" t="inlineStr">
        <is>
          <t>Business Runway</t>
        </is>
      </c>
      <c r="G1036" t="inlineStr">
        <is>
          <t>Revenue</t>
        </is>
      </c>
      <c r="H1036" t="inlineStr">
        <is>
          <t>Business &gt; Business Runway &gt; Quick Add &gt; Revenue</t>
        </is>
      </c>
      <c r="I1036" s="18" t="n">
        <v>49523</v>
      </c>
      <c r="J1036" t="inlineStr">
        <is>
          <t>Created MTR-IOS-1035 and correlation note visible in Activity/Pulse</t>
        </is>
      </c>
      <c r="K1036" t="inlineStr">
        <is>
          <t>NOT_RUN</t>
        </is>
      </c>
      <c r="P1036" t="n">
        <v>0</v>
      </c>
      <c r="Q1036" t="n">
        <v>1035</v>
      </c>
    </row>
    <row r="1037">
      <c r="A1037" t="n">
        <v>1036</v>
      </c>
      <c r="B1037" t="inlineStr">
        <is>
          <t>MTR-IOS-1036</t>
        </is>
      </c>
      <c r="C1037" t="inlineStr">
        <is>
          <t>iPhone</t>
        </is>
      </c>
      <c r="D1037" t="inlineStr">
        <is>
          <t>Personal</t>
        </is>
      </c>
      <c r="E1037" t="inlineStr">
        <is>
          <t>Personal</t>
        </is>
      </c>
      <c r="F1037" t="inlineStr">
        <is>
          <t>Life Operations</t>
        </is>
      </c>
      <c r="G1037" t="inlineStr">
        <is>
          <t>Groceries</t>
        </is>
      </c>
      <c r="H1037" t="inlineStr">
        <is>
          <t>Personal &gt; Life Operations &gt; Quick Add &gt; Groceries</t>
        </is>
      </c>
      <c r="I1037" s="18" t="n">
        <v>999.99</v>
      </c>
      <c r="J1037" t="inlineStr">
        <is>
          <t>Created MTR-IOS-1036 and correlation note visible in Activity/Pulse</t>
        </is>
      </c>
      <c r="K1037" t="inlineStr">
        <is>
          <t>NOT_RUN</t>
        </is>
      </c>
      <c r="P1037" t="n">
        <v>0</v>
      </c>
      <c r="Q1037" t="n">
        <v>1036</v>
      </c>
    </row>
    <row r="1038">
      <c r="A1038" t="n">
        <v>1037</v>
      </c>
      <c r="B1038" t="inlineStr">
        <is>
          <t>MTR-IOS-1037</t>
        </is>
      </c>
      <c r="C1038" t="inlineStr">
        <is>
          <t>iPhone</t>
        </is>
      </c>
      <c r="D1038" t="inlineStr">
        <is>
          <t>Group</t>
        </is>
      </c>
      <c r="E1038" t="inlineStr">
        <is>
          <t>Shared Living</t>
        </is>
      </c>
      <c r="F1038" t="inlineStr">
        <is>
          <t>Family Household</t>
        </is>
      </c>
      <c r="G1038" t="inlineStr">
        <is>
          <t>Other</t>
        </is>
      </c>
      <c r="H1038" t="inlineStr">
        <is>
          <t>Group &gt; Family Household &gt; Quick Add &gt; Other</t>
        </is>
      </c>
      <c r="I1038" s="18" t="n">
        <v>5335</v>
      </c>
      <c r="J1038" t="inlineStr">
        <is>
          <t>Created MTR-IOS-1037 and correlation note visible in Activity/Pulse</t>
        </is>
      </c>
      <c r="K1038" t="inlineStr">
        <is>
          <t>NOT_RUN</t>
        </is>
      </c>
      <c r="P1038" t="n">
        <v>0</v>
      </c>
      <c r="Q1038" t="n">
        <v>1037</v>
      </c>
    </row>
    <row r="1039">
      <c r="A1039" t="n">
        <v>1038</v>
      </c>
      <c r="B1039" t="inlineStr">
        <is>
          <t>MTR-IOS-1038</t>
        </is>
      </c>
      <c r="C1039" t="inlineStr">
        <is>
          <t>iPhone</t>
        </is>
      </c>
      <c r="D1039" t="inlineStr">
        <is>
          <t>Business</t>
        </is>
      </c>
      <c r="E1039" t="inlineStr">
        <is>
          <t>Business</t>
        </is>
      </c>
      <c r="F1039" t="inlineStr">
        <is>
          <t>Business Runway</t>
        </is>
      </c>
      <c r="G1039" t="inlineStr">
        <is>
          <t>Burn</t>
        </is>
      </c>
      <c r="H1039" t="inlineStr">
        <is>
          <t>Business &gt; Business Runway &gt; Quick Add &gt; Burn</t>
        </is>
      </c>
      <c r="I1039" s="18" t="n">
        <v>111757.73</v>
      </c>
      <c r="J1039" t="inlineStr">
        <is>
          <t>Created MTR-IOS-1038 and correlation note visible in Activity/Pulse</t>
        </is>
      </c>
      <c r="K1039" t="inlineStr">
        <is>
          <t>NOT_RUN</t>
        </is>
      </c>
      <c r="P1039" t="n">
        <v>0</v>
      </c>
      <c r="Q1039" t="n">
        <v>1038</v>
      </c>
    </row>
    <row r="1040">
      <c r="A1040" t="n">
        <v>1039</v>
      </c>
      <c r="B1040" t="inlineStr">
        <is>
          <t>MTR-IOS-1039</t>
        </is>
      </c>
      <c r="C1040" t="inlineStr">
        <is>
          <t>iPhone</t>
        </is>
      </c>
      <c r="D1040" t="inlineStr">
        <is>
          <t>Personal</t>
        </is>
      </c>
      <c r="E1040" t="inlineStr">
        <is>
          <t>Personal</t>
        </is>
      </c>
      <c r="F1040" t="inlineStr">
        <is>
          <t>Life Operations</t>
        </is>
      </c>
      <c r="G1040" t="inlineStr">
        <is>
          <t>Rent</t>
        </is>
      </c>
      <c r="H1040" t="inlineStr">
        <is>
          <t>Personal &gt; Life Operations &gt; Quick Add &gt; Rent</t>
        </is>
      </c>
      <c r="I1040" s="18" t="n">
        <v>10204.93</v>
      </c>
      <c r="J1040" t="inlineStr">
        <is>
          <t>Created MTR-IOS-1039 and correlation note visible in Activity/Pulse</t>
        </is>
      </c>
      <c r="K1040" t="inlineStr">
        <is>
          <t>NOT_RUN</t>
        </is>
      </c>
      <c r="P1040" t="n">
        <v>0</v>
      </c>
      <c r="Q1040" t="n">
        <v>1039</v>
      </c>
    </row>
    <row r="1041">
      <c r="A1041" t="n">
        <v>1040</v>
      </c>
      <c r="B1041" t="inlineStr">
        <is>
          <t>MTR-IOS-1040</t>
        </is>
      </c>
      <c r="C1041" t="inlineStr">
        <is>
          <t>iPhone</t>
        </is>
      </c>
      <c r="D1041" t="inlineStr">
        <is>
          <t>Group</t>
        </is>
      </c>
      <c r="E1041" t="inlineStr">
        <is>
          <t>Shared Living</t>
        </is>
      </c>
      <c r="F1041" t="inlineStr">
        <is>
          <t>Custom Living</t>
        </is>
      </c>
      <c r="G1041" t="inlineStr">
        <is>
          <t>Custom Expense</t>
        </is>
      </c>
      <c r="H1041" t="inlineStr">
        <is>
          <t>Group &gt; Custom Living &gt; Quick Add &gt; Custom Expense</t>
        </is>
      </c>
      <c r="I1041" s="18" t="n">
        <v>17896.86</v>
      </c>
      <c r="J1041" t="inlineStr">
        <is>
          <t>Created MTR-IOS-1040 and correlation note visible in Activity/Pulse</t>
        </is>
      </c>
      <c r="K1041" t="inlineStr">
        <is>
          <t>NOT_RUN</t>
        </is>
      </c>
      <c r="P1041" t="n">
        <v>0</v>
      </c>
      <c r="Q1041" t="n">
        <v>1040</v>
      </c>
    </row>
    <row r="1042">
      <c r="A1042" t="n">
        <v>1041</v>
      </c>
      <c r="B1042" t="inlineStr">
        <is>
          <t>MTR-IOS-1041</t>
        </is>
      </c>
      <c r="C1042" t="inlineStr">
        <is>
          <t>iPhone</t>
        </is>
      </c>
      <c r="D1042" t="inlineStr">
        <is>
          <t>Business</t>
        </is>
      </c>
      <c r="E1042" t="inlineStr">
        <is>
          <t>Business</t>
        </is>
      </c>
      <c r="F1042" t="inlineStr">
        <is>
          <t>Business Runway</t>
        </is>
      </c>
      <c r="G1042" t="inlineStr">
        <is>
          <t>Reserve</t>
        </is>
      </c>
      <c r="H1042" t="inlineStr">
        <is>
          <t>Business &gt; Business Runway &gt; Quick Add &gt; Reserve</t>
        </is>
      </c>
      <c r="I1042" s="18" t="n">
        <v>91949.98</v>
      </c>
      <c r="J1042" t="inlineStr">
        <is>
          <t>Created MTR-IOS-1041 and correlation note visible in Activity/Pulse</t>
        </is>
      </c>
      <c r="K1042" t="inlineStr">
        <is>
          <t>NOT_RUN</t>
        </is>
      </c>
      <c r="P1042" t="n">
        <v>0</v>
      </c>
      <c r="Q1042" t="n">
        <v>1041</v>
      </c>
    </row>
    <row r="1043">
      <c r="A1043" t="n">
        <v>1042</v>
      </c>
      <c r="B1043" t="inlineStr">
        <is>
          <t>MTR-IOS-1042</t>
        </is>
      </c>
      <c r="C1043" t="inlineStr">
        <is>
          <t>iPhone</t>
        </is>
      </c>
      <c r="D1043" t="inlineStr">
        <is>
          <t>Personal</t>
        </is>
      </c>
      <c r="E1043" t="inlineStr">
        <is>
          <t>Personal</t>
        </is>
      </c>
      <c r="F1043" t="inlineStr">
        <is>
          <t>Life Operations</t>
        </is>
      </c>
      <c r="G1043" t="inlineStr">
        <is>
          <t>Bills</t>
        </is>
      </c>
      <c r="H1043" t="inlineStr">
        <is>
          <t>Personal &gt; Life Operations &gt; Quick Add &gt; Bills</t>
        </is>
      </c>
      <c r="I1043" s="18" t="n">
        <v>12928.25</v>
      </c>
      <c r="J1043" t="inlineStr">
        <is>
          <t>Created MTR-IOS-1042 and correlation note visible in Activity/Pulse</t>
        </is>
      </c>
      <c r="K1043" t="inlineStr">
        <is>
          <t>NOT_RUN</t>
        </is>
      </c>
      <c r="P1043" t="n">
        <v>0</v>
      </c>
      <c r="Q1043" t="n">
        <v>1042</v>
      </c>
    </row>
    <row r="1044">
      <c r="A1044" t="n">
        <v>1043</v>
      </c>
      <c r="B1044" t="inlineStr">
        <is>
          <t>MTR-IOS-1043</t>
        </is>
      </c>
      <c r="C1044" t="inlineStr">
        <is>
          <t>iPhone</t>
        </is>
      </c>
      <c r="D1044" t="inlineStr">
        <is>
          <t>Group</t>
        </is>
      </c>
      <c r="E1044" t="inlineStr">
        <is>
          <t>Shared Living</t>
        </is>
      </c>
      <c r="F1044" t="inlineStr">
        <is>
          <t>Custom Living</t>
        </is>
      </c>
      <c r="G1044" t="inlineStr">
        <is>
          <t>Custom Contribution</t>
        </is>
      </c>
      <c r="H1044" t="inlineStr">
        <is>
          <t>Group &gt; Custom Living &gt; Quick Add &gt; Custom Contribution</t>
        </is>
      </c>
      <c r="I1044" s="18" t="n">
        <v>880.49</v>
      </c>
      <c r="J1044" t="inlineStr">
        <is>
          <t>Created MTR-IOS-1043 and correlation note visible in Activity/Pulse</t>
        </is>
      </c>
      <c r="K1044" t="inlineStr">
        <is>
          <t>NOT_RUN</t>
        </is>
      </c>
      <c r="P1044" t="n">
        <v>0</v>
      </c>
      <c r="Q1044" t="n">
        <v>1043</v>
      </c>
    </row>
    <row r="1045">
      <c r="A1045" t="n">
        <v>1044</v>
      </c>
      <c r="B1045" t="inlineStr">
        <is>
          <t>MTR-IOS-1044</t>
        </is>
      </c>
      <c r="C1045" t="inlineStr">
        <is>
          <t>iPhone</t>
        </is>
      </c>
      <c r="D1045" t="inlineStr">
        <is>
          <t>Business</t>
        </is>
      </c>
      <c r="E1045" t="inlineStr">
        <is>
          <t>Business</t>
        </is>
      </c>
      <c r="F1045" t="inlineStr">
        <is>
          <t>Business Runway</t>
        </is>
      </c>
      <c r="G1045" t="inlineStr">
        <is>
          <t>Loan</t>
        </is>
      </c>
      <c r="H1045" t="inlineStr">
        <is>
          <t>Business &gt; Business Runway &gt; Quick Add &gt; Loan</t>
        </is>
      </c>
      <c r="I1045" s="18" t="n">
        <v>134633.13</v>
      </c>
      <c r="J1045" t="inlineStr">
        <is>
          <t>Created MTR-IOS-1044 and correlation note visible in Activity/Pulse</t>
        </is>
      </c>
      <c r="K1045" t="inlineStr">
        <is>
          <t>NOT_RUN</t>
        </is>
      </c>
      <c r="P1045" t="n">
        <v>0</v>
      </c>
      <c r="Q1045" t="n">
        <v>1044</v>
      </c>
    </row>
    <row r="1046">
      <c r="A1046" t="n">
        <v>1045</v>
      </c>
      <c r="B1046" t="inlineStr">
        <is>
          <t>MTR-IOS-1045</t>
        </is>
      </c>
      <c r="C1046" t="inlineStr">
        <is>
          <t>iPhone</t>
        </is>
      </c>
      <c r="D1046" t="inlineStr">
        <is>
          <t>Personal</t>
        </is>
      </c>
      <c r="E1046" t="inlineStr">
        <is>
          <t>Personal</t>
        </is>
      </c>
      <c r="F1046" t="inlineStr">
        <is>
          <t>Life Operations</t>
        </is>
      </c>
      <c r="G1046" t="inlineStr">
        <is>
          <t>Transport</t>
        </is>
      </c>
      <c r="H1046" t="inlineStr">
        <is>
          <t>Personal &gt; Life Operations &gt; Quick Add &gt; Transport</t>
        </is>
      </c>
      <c r="I1046" s="18" t="n">
        <v>16292.19</v>
      </c>
      <c r="J1046" t="inlineStr">
        <is>
          <t>Created MTR-IOS-1045 and correlation note visible in Activity/Pulse</t>
        </is>
      </c>
      <c r="K1046" t="inlineStr">
        <is>
          <t>NOT_RUN</t>
        </is>
      </c>
      <c r="P1046" t="n">
        <v>0</v>
      </c>
      <c r="Q1046" t="n">
        <v>1045</v>
      </c>
    </row>
    <row r="1047">
      <c r="A1047" t="n">
        <v>1046</v>
      </c>
      <c r="B1047" t="inlineStr">
        <is>
          <t>MTR-IOS-1046</t>
        </is>
      </c>
      <c r="C1047" t="inlineStr">
        <is>
          <t>iPhone</t>
        </is>
      </c>
      <c r="D1047" t="inlineStr">
        <is>
          <t>Group</t>
        </is>
      </c>
      <c r="E1047" t="inlineStr">
        <is>
          <t>Shared Experience</t>
        </is>
      </c>
      <c r="F1047" t="inlineStr">
        <is>
          <t>Trip</t>
        </is>
      </c>
      <c r="G1047" t="inlineStr">
        <is>
          <t>Travel</t>
        </is>
      </c>
      <c r="H1047" t="inlineStr">
        <is>
          <t>Group &gt; Trip &gt; Quick Add &gt; Travel</t>
        </is>
      </c>
      <c r="I1047" s="18" t="n">
        <v>16471.21</v>
      </c>
      <c r="J1047" t="inlineStr">
        <is>
          <t>Created MTR-IOS-1046 and correlation note visible in Activity/Pulse</t>
        </is>
      </c>
      <c r="K1047" t="inlineStr">
        <is>
          <t>NOT_RUN</t>
        </is>
      </c>
      <c r="P1047" t="n">
        <v>0</v>
      </c>
      <c r="Q1047" t="n">
        <v>1046</v>
      </c>
    </row>
    <row r="1048">
      <c r="A1048" t="n">
        <v>1047</v>
      </c>
      <c r="B1048" t="inlineStr">
        <is>
          <t>MTR-IOS-1047</t>
        </is>
      </c>
      <c r="C1048" t="inlineStr">
        <is>
          <t>iPhone</t>
        </is>
      </c>
      <c r="D1048" t="inlineStr">
        <is>
          <t>Business</t>
        </is>
      </c>
      <c r="E1048" t="inlineStr">
        <is>
          <t>Business</t>
        </is>
      </c>
      <c r="F1048" t="inlineStr">
        <is>
          <t>Business Runway</t>
        </is>
      </c>
      <c r="G1048" t="inlineStr">
        <is>
          <t>Investment</t>
        </is>
      </c>
      <c r="H1048" t="inlineStr">
        <is>
          <t>Business &gt; Business Runway &gt; Quick Add &gt; Investment</t>
        </is>
      </c>
      <c r="I1048" s="18" t="n">
        <v>49310.78</v>
      </c>
      <c r="J1048" t="inlineStr">
        <is>
          <t>Created MTR-IOS-1047 and correlation note visible in Activity/Pulse</t>
        </is>
      </c>
      <c r="K1048" t="inlineStr">
        <is>
          <t>NOT_RUN</t>
        </is>
      </c>
      <c r="P1048" t="n">
        <v>0</v>
      </c>
      <c r="Q1048" t="n">
        <v>1047</v>
      </c>
    </row>
    <row r="1049">
      <c r="A1049" t="n">
        <v>1048</v>
      </c>
      <c r="B1049" t="inlineStr">
        <is>
          <t>MTR-IOS-1048</t>
        </is>
      </c>
      <c r="C1049" t="inlineStr">
        <is>
          <t>iPhone</t>
        </is>
      </c>
      <c r="D1049" t="inlineStr">
        <is>
          <t>Personal</t>
        </is>
      </c>
      <c r="E1049" t="inlineStr">
        <is>
          <t>Personal</t>
        </is>
      </c>
      <c r="F1049" t="inlineStr">
        <is>
          <t>Life Operations</t>
        </is>
      </c>
      <c r="G1049" t="inlineStr">
        <is>
          <t>Healthcare</t>
        </is>
      </c>
      <c r="H1049" t="inlineStr">
        <is>
          <t>Personal &gt; Life Operations &gt; Quick Add &gt; Healthcare</t>
        </is>
      </c>
      <c r="I1049" s="18" t="n">
        <v>16820.06</v>
      </c>
      <c r="J1049" t="inlineStr">
        <is>
          <t>Created MTR-IOS-1048 and correlation note visible in Activity/Pulse</t>
        </is>
      </c>
      <c r="K1049" t="inlineStr">
        <is>
          <t>NOT_RUN</t>
        </is>
      </c>
      <c r="P1049" t="n">
        <v>0</v>
      </c>
      <c r="Q1049" t="n">
        <v>1048</v>
      </c>
    </row>
    <row r="1050">
      <c r="A1050" t="n">
        <v>1049</v>
      </c>
      <c r="B1050" t="inlineStr">
        <is>
          <t>MTR-IOS-1049</t>
        </is>
      </c>
      <c r="C1050" t="inlineStr">
        <is>
          <t>iPhone</t>
        </is>
      </c>
      <c r="D1050" t="inlineStr">
        <is>
          <t>Group</t>
        </is>
      </c>
      <c r="E1050" t="inlineStr">
        <is>
          <t>Shared Experience</t>
        </is>
      </c>
      <c r="F1050" t="inlineStr">
        <is>
          <t>Trip</t>
        </is>
      </c>
      <c r="G1050" t="inlineStr">
        <is>
          <t>Stay</t>
        </is>
      </c>
      <c r="H1050" t="inlineStr">
        <is>
          <t>Group &gt; Trip &gt; Quick Add &gt; Stay</t>
        </is>
      </c>
      <c r="I1050" s="18" t="n">
        <v>24557.28</v>
      </c>
      <c r="J1050" t="inlineStr">
        <is>
          <t>Created MTR-IOS-1049 and correlation note visible in Activity/Pulse</t>
        </is>
      </c>
      <c r="K1050" t="inlineStr">
        <is>
          <t>NOT_RUN</t>
        </is>
      </c>
      <c r="P1050" t="n">
        <v>0</v>
      </c>
      <c r="Q1050" t="n">
        <v>1049</v>
      </c>
    </row>
    <row r="1051">
      <c r="A1051" t="n">
        <v>1050</v>
      </c>
      <c r="B1051" t="inlineStr">
        <is>
          <t>MTR-IOS-1050</t>
        </is>
      </c>
      <c r="C1051" t="inlineStr">
        <is>
          <t>iPhone</t>
        </is>
      </c>
      <c r="D1051" t="inlineStr">
        <is>
          <t>Business</t>
        </is>
      </c>
      <c r="E1051" t="inlineStr">
        <is>
          <t>Business</t>
        </is>
      </c>
      <c r="F1051" t="inlineStr">
        <is>
          <t>Business Operations</t>
        </is>
      </c>
      <c r="G1051" t="inlineStr">
        <is>
          <t>Software</t>
        </is>
      </c>
      <c r="H1051" t="inlineStr">
        <is>
          <t>Business &gt; Business Operations &gt; Quick Add &gt; Software</t>
        </is>
      </c>
      <c r="I1051" s="18" t="n">
        <v>40430.14</v>
      </c>
      <c r="J1051" t="inlineStr">
        <is>
          <t>Created MTR-IOS-1050 and correlation note visible in Activity/Pulse</t>
        </is>
      </c>
      <c r="K1051" t="inlineStr">
        <is>
          <t>NOT_RUN</t>
        </is>
      </c>
      <c r="P1051" t="n">
        <v>0</v>
      </c>
      <c r="Q1051" t="n">
        <v>1050</v>
      </c>
    </row>
    <row r="1052">
      <c r="A1052" t="n">
        <v>1051</v>
      </c>
      <c r="B1052" t="inlineStr">
        <is>
          <t>MTR-IOS-1051</t>
        </is>
      </c>
      <c r="C1052" t="inlineStr">
        <is>
          <t>iPhone</t>
        </is>
      </c>
      <c r="D1052" t="inlineStr">
        <is>
          <t>Personal</t>
        </is>
      </c>
      <c r="E1052" t="inlineStr">
        <is>
          <t>Personal</t>
        </is>
      </c>
      <c r="F1052" t="inlineStr">
        <is>
          <t>Life Operations</t>
        </is>
      </c>
      <c r="G1052" t="inlineStr">
        <is>
          <t>Subscriptions</t>
        </is>
      </c>
      <c r="H1052" t="inlineStr">
        <is>
          <t>Personal &gt; Life Operations &gt; Quick Add &gt; Subscriptions</t>
        </is>
      </c>
      <c r="I1052" s="18" t="n">
        <v>14592.97</v>
      </c>
      <c r="J1052" t="inlineStr">
        <is>
          <t>Created MTR-IOS-1051 and correlation note visible in Activity/Pulse</t>
        </is>
      </c>
      <c r="K1052" t="inlineStr">
        <is>
          <t>NOT_RUN</t>
        </is>
      </c>
      <c r="P1052" t="n">
        <v>0</v>
      </c>
      <c r="Q1052" t="n">
        <v>1051</v>
      </c>
    </row>
    <row r="1053">
      <c r="A1053" t="n">
        <v>1052</v>
      </c>
      <c r="B1053" t="inlineStr">
        <is>
          <t>MTR-IOS-1052</t>
        </is>
      </c>
      <c r="C1053" t="inlineStr">
        <is>
          <t>iPhone</t>
        </is>
      </c>
      <c r="D1053" t="inlineStr">
        <is>
          <t>Group</t>
        </is>
      </c>
      <c r="E1053" t="inlineStr">
        <is>
          <t>Shared Experience</t>
        </is>
      </c>
      <c r="F1053" t="inlineStr">
        <is>
          <t>Trip</t>
        </is>
      </c>
      <c r="G1053" t="inlineStr">
        <is>
          <t>Food</t>
        </is>
      </c>
      <c r="H1053" t="inlineStr">
        <is>
          <t>Group &gt; Trip &gt; Quick Add &gt; Food</t>
        </is>
      </c>
      <c r="I1053" s="18" t="n">
        <v>17147.21</v>
      </c>
      <c r="J1053" t="inlineStr">
        <is>
          <t>Created MTR-IOS-1052 and correlation note visible in Activity/Pulse</t>
        </is>
      </c>
      <c r="K1053" t="inlineStr">
        <is>
          <t>NOT_RUN</t>
        </is>
      </c>
      <c r="P1053" t="n">
        <v>0</v>
      </c>
      <c r="Q1053" t="n">
        <v>1052</v>
      </c>
    </row>
    <row r="1054">
      <c r="A1054" t="n">
        <v>1053</v>
      </c>
      <c r="B1054" t="inlineStr">
        <is>
          <t>MTR-IOS-1053</t>
        </is>
      </c>
      <c r="C1054" t="inlineStr">
        <is>
          <t>iPhone</t>
        </is>
      </c>
      <c r="D1054" t="inlineStr">
        <is>
          <t>Business</t>
        </is>
      </c>
      <c r="E1054" t="inlineStr">
        <is>
          <t>Business</t>
        </is>
      </c>
      <c r="F1054" t="inlineStr">
        <is>
          <t>Business Operations</t>
        </is>
      </c>
      <c r="G1054" t="inlineStr">
        <is>
          <t>Rent</t>
        </is>
      </c>
      <c r="H1054" t="inlineStr">
        <is>
          <t>Business &gt; Business Operations &gt; Quick Add &gt; Rent</t>
        </is>
      </c>
      <c r="I1054" s="18" t="n">
        <v>164271.09</v>
      </c>
      <c r="J1054" t="inlineStr">
        <is>
          <t>Created MTR-IOS-1053 and correlation note visible in Activity/Pulse</t>
        </is>
      </c>
      <c r="K1054" t="inlineStr">
        <is>
          <t>NOT_RUN</t>
        </is>
      </c>
      <c r="P1054" t="n">
        <v>0</v>
      </c>
      <c r="Q1054" t="n">
        <v>1053</v>
      </c>
    </row>
    <row r="1055">
      <c r="A1055" t="n">
        <v>1054</v>
      </c>
      <c r="B1055" t="inlineStr">
        <is>
          <t>MTR-IOS-1054</t>
        </is>
      </c>
      <c r="C1055" t="inlineStr">
        <is>
          <t>iPhone</t>
        </is>
      </c>
      <c r="D1055" t="inlineStr">
        <is>
          <t>Personal</t>
        </is>
      </c>
      <c r="E1055" t="inlineStr">
        <is>
          <t>Personal</t>
        </is>
      </c>
      <c r="F1055" t="inlineStr">
        <is>
          <t>Life Operations</t>
        </is>
      </c>
      <c r="G1055" t="inlineStr">
        <is>
          <t>Repairs</t>
        </is>
      </c>
      <c r="H1055" t="inlineStr">
        <is>
          <t>Personal &gt; Life Operations &gt; Quick Add &gt; Repairs</t>
        </is>
      </c>
      <c r="I1055" s="18" t="n">
        <v>16364.77</v>
      </c>
      <c r="J1055" t="inlineStr">
        <is>
          <t>Created MTR-IOS-1054 and correlation note visible in Activity/Pulse</t>
        </is>
      </c>
      <c r="K1055" t="inlineStr">
        <is>
          <t>NOT_RUN</t>
        </is>
      </c>
      <c r="P1055" t="n">
        <v>0</v>
      </c>
      <c r="Q1055" t="n">
        <v>1054</v>
      </c>
    </row>
    <row r="1056">
      <c r="A1056" t="n">
        <v>1055</v>
      </c>
      <c r="B1056" t="inlineStr">
        <is>
          <t>MTR-IOS-1055</t>
        </is>
      </c>
      <c r="C1056" t="inlineStr">
        <is>
          <t>iPhone</t>
        </is>
      </c>
      <c r="D1056" t="inlineStr">
        <is>
          <t>Group</t>
        </is>
      </c>
      <c r="E1056" t="inlineStr">
        <is>
          <t>Shared Experience</t>
        </is>
      </c>
      <c r="F1056" t="inlineStr">
        <is>
          <t>Trip</t>
        </is>
      </c>
      <c r="G1056" t="inlineStr">
        <is>
          <t>Local Transport</t>
        </is>
      </c>
      <c r="H1056" t="inlineStr">
        <is>
          <t>Group &gt; Trip &gt; Quick Add &gt; Local Transport</t>
        </is>
      </c>
      <c r="I1056" s="18" t="n">
        <v>11921.61</v>
      </c>
      <c r="J1056" t="inlineStr">
        <is>
          <t>Created MTR-IOS-1055 and correlation note visible in Activity/Pulse</t>
        </is>
      </c>
      <c r="K1056" t="inlineStr">
        <is>
          <t>NOT_RUN</t>
        </is>
      </c>
      <c r="P1056" t="n">
        <v>0</v>
      </c>
      <c r="Q1056" t="n">
        <v>1055</v>
      </c>
    </row>
    <row r="1057">
      <c r="A1057" t="n">
        <v>1056</v>
      </c>
      <c r="B1057" t="inlineStr">
        <is>
          <t>MTR-IOS-1056</t>
        </is>
      </c>
      <c r="C1057" t="inlineStr">
        <is>
          <t>iPhone</t>
        </is>
      </c>
      <c r="D1057" t="inlineStr">
        <is>
          <t>Business</t>
        </is>
      </c>
      <c r="E1057" t="inlineStr">
        <is>
          <t>Business</t>
        </is>
      </c>
      <c r="F1057" t="inlineStr">
        <is>
          <t>Business Operations</t>
        </is>
      </c>
      <c r="G1057" t="inlineStr">
        <is>
          <t>Marketing</t>
        </is>
      </c>
      <c r="H1057" t="inlineStr">
        <is>
          <t>Business &gt; Business Operations &gt; Quick Add &gt; Marketing</t>
        </is>
      </c>
      <c r="I1057" s="18" t="n">
        <v>26174.95</v>
      </c>
      <c r="J1057" t="inlineStr">
        <is>
          <t>Created MTR-IOS-1056 and correlation note visible in Activity/Pulse</t>
        </is>
      </c>
      <c r="K1057" t="inlineStr">
        <is>
          <t>NOT_RUN</t>
        </is>
      </c>
      <c r="P1057" t="n">
        <v>0</v>
      </c>
      <c r="Q1057" t="n">
        <v>1056</v>
      </c>
    </row>
    <row r="1058">
      <c r="A1058" t="n">
        <v>1057</v>
      </c>
      <c r="B1058" t="inlineStr">
        <is>
          <t>MTR-IOS-1057</t>
        </is>
      </c>
      <c r="C1058" t="inlineStr">
        <is>
          <t>iPhone</t>
        </is>
      </c>
      <c r="D1058" t="inlineStr">
        <is>
          <t>Personal</t>
        </is>
      </c>
      <c r="E1058" t="inlineStr">
        <is>
          <t>Personal</t>
        </is>
      </c>
      <c r="F1058" t="inlineStr">
        <is>
          <t>Future Building</t>
        </is>
      </c>
      <c r="G1058" t="inlineStr">
        <is>
          <t>Savings</t>
        </is>
      </c>
      <c r="H1058" t="inlineStr">
        <is>
          <t>Personal &gt; Future Building &gt; Quick Add &gt; Savings</t>
        </is>
      </c>
      <c r="I1058" s="18" t="n">
        <v>5588.88</v>
      </c>
      <c r="J1058" t="inlineStr">
        <is>
          <t>Created MTR-IOS-1057 and correlation note visible in Activity/Pulse</t>
        </is>
      </c>
      <c r="K1058" t="inlineStr">
        <is>
          <t>NOT_RUN</t>
        </is>
      </c>
      <c r="P1058" t="n">
        <v>0</v>
      </c>
      <c r="Q1058" t="n">
        <v>1057</v>
      </c>
    </row>
    <row r="1059">
      <c r="A1059" t="n">
        <v>1058</v>
      </c>
      <c r="B1059" t="inlineStr">
        <is>
          <t>MTR-IOS-1058</t>
        </is>
      </c>
      <c r="C1059" t="inlineStr">
        <is>
          <t>iPhone</t>
        </is>
      </c>
      <c r="D1059" t="inlineStr">
        <is>
          <t>Group</t>
        </is>
      </c>
      <c r="E1059" t="inlineStr">
        <is>
          <t>Shared Experience</t>
        </is>
      </c>
      <c r="F1059" t="inlineStr">
        <is>
          <t>Trip</t>
        </is>
      </c>
      <c r="G1059" t="inlineStr">
        <is>
          <t>Activities</t>
        </is>
      </c>
      <c r="H1059" t="inlineStr">
        <is>
          <t>Group &gt; Trip &gt; Quick Add &gt; Activities</t>
        </is>
      </c>
      <c r="I1059" s="18" t="n">
        <v>13717.8</v>
      </c>
      <c r="J1059" t="inlineStr">
        <is>
          <t>Created MTR-IOS-1058 and correlation note visible in Activity/Pulse</t>
        </is>
      </c>
      <c r="K1059" t="inlineStr">
        <is>
          <t>NOT_RUN</t>
        </is>
      </c>
      <c r="P1059" t="n">
        <v>0</v>
      </c>
      <c r="Q1059" t="n">
        <v>1058</v>
      </c>
    </row>
    <row r="1060">
      <c r="A1060" t="n">
        <v>1059</v>
      </c>
      <c r="B1060" t="inlineStr">
        <is>
          <t>MTR-IOS-1059</t>
        </is>
      </c>
      <c r="C1060" t="inlineStr">
        <is>
          <t>iPhone</t>
        </is>
      </c>
      <c r="D1060" t="inlineStr">
        <is>
          <t>Business</t>
        </is>
      </c>
      <c r="E1060" t="inlineStr">
        <is>
          <t>Business</t>
        </is>
      </c>
      <c r="F1060" t="inlineStr">
        <is>
          <t>Business Operations</t>
        </is>
      </c>
      <c r="G1060" t="inlineStr">
        <is>
          <t>Legal</t>
        </is>
      </c>
      <c r="H1060" t="inlineStr">
        <is>
          <t>Business &gt; Business Operations &gt; Quick Add &gt; Legal</t>
        </is>
      </c>
      <c r="I1060" s="18" t="n">
        <v>130126.6</v>
      </c>
      <c r="J1060" t="inlineStr">
        <is>
          <t>Created MTR-IOS-1059 and correlation note visible in Activity/Pulse</t>
        </is>
      </c>
      <c r="K1060" t="inlineStr">
        <is>
          <t>NOT_RUN</t>
        </is>
      </c>
      <c r="P1060" t="n">
        <v>0</v>
      </c>
      <c r="Q1060" t="n">
        <v>1059</v>
      </c>
    </row>
    <row r="1061">
      <c r="A1061" t="n">
        <v>1060</v>
      </c>
      <c r="B1061" t="inlineStr">
        <is>
          <t>MTR-IOS-1060</t>
        </is>
      </c>
      <c r="C1061" t="inlineStr">
        <is>
          <t>iPhone</t>
        </is>
      </c>
      <c r="D1061" t="inlineStr">
        <is>
          <t>Personal</t>
        </is>
      </c>
      <c r="E1061" t="inlineStr">
        <is>
          <t>Personal</t>
        </is>
      </c>
      <c r="F1061" t="inlineStr">
        <is>
          <t>Future Building</t>
        </is>
      </c>
      <c r="G1061" t="inlineStr">
        <is>
          <t>Emergency Fund</t>
        </is>
      </c>
      <c r="H1061" t="inlineStr">
        <is>
          <t>Personal &gt; Future Building &gt; Quick Add &gt; Emergency Fund</t>
        </is>
      </c>
      <c r="I1061" s="18" t="n">
        <v>3964.94</v>
      </c>
      <c r="J1061" t="inlineStr">
        <is>
          <t>Created MTR-IOS-1060 and correlation note visible in Activity/Pulse</t>
        </is>
      </c>
      <c r="K1061" t="inlineStr">
        <is>
          <t>NOT_RUN</t>
        </is>
      </c>
      <c r="P1061" t="n">
        <v>0</v>
      </c>
      <c r="Q1061" t="n">
        <v>1060</v>
      </c>
    </row>
    <row r="1062">
      <c r="A1062" t="n">
        <v>1061</v>
      </c>
      <c r="B1062" t="inlineStr">
        <is>
          <t>MTR-IOS-1061</t>
        </is>
      </c>
      <c r="C1062" t="inlineStr">
        <is>
          <t>iPhone</t>
        </is>
      </c>
      <c r="D1062" t="inlineStr">
        <is>
          <t>Group</t>
        </is>
      </c>
      <c r="E1062" t="inlineStr">
        <is>
          <t>Shared Experience</t>
        </is>
      </c>
      <c r="F1062" t="inlineStr">
        <is>
          <t>Trip</t>
        </is>
      </c>
      <c r="G1062" t="inlineStr">
        <is>
          <t>Shopping</t>
        </is>
      </c>
      <c r="H1062" t="inlineStr">
        <is>
          <t>Group &gt; Trip &gt; Quick Add &gt; Shopping</t>
        </is>
      </c>
      <c r="I1062" s="18" t="n">
        <v>17460.27</v>
      </c>
      <c r="J1062" t="inlineStr">
        <is>
          <t>Created MTR-IOS-1061 and correlation note visible in Activity/Pulse</t>
        </is>
      </c>
      <c r="K1062" t="inlineStr">
        <is>
          <t>NOT_RUN</t>
        </is>
      </c>
      <c r="P1062" t="n">
        <v>0</v>
      </c>
      <c r="Q1062" t="n">
        <v>1061</v>
      </c>
    </row>
    <row r="1063">
      <c r="A1063" t="n">
        <v>1062</v>
      </c>
      <c r="B1063" t="inlineStr">
        <is>
          <t>MTR-IOS-1062</t>
        </is>
      </c>
      <c r="C1063" t="inlineStr">
        <is>
          <t>iPhone</t>
        </is>
      </c>
      <c r="D1063" t="inlineStr">
        <is>
          <t>Business</t>
        </is>
      </c>
      <c r="E1063" t="inlineStr">
        <is>
          <t>Business</t>
        </is>
      </c>
      <c r="F1063" t="inlineStr">
        <is>
          <t>Business Operations</t>
        </is>
      </c>
      <c r="G1063" t="inlineStr">
        <is>
          <t>Accounting</t>
        </is>
      </c>
      <c r="H1063" t="inlineStr">
        <is>
          <t>Business &gt; Business Operations &gt; Quick Add &gt; Accounting</t>
        </is>
      </c>
      <c r="I1063" s="18" t="n">
        <v>48253.3</v>
      </c>
      <c r="J1063" t="inlineStr">
        <is>
          <t>Created MTR-IOS-1062 and correlation note visible in Activity/Pulse</t>
        </is>
      </c>
      <c r="K1063" t="inlineStr">
        <is>
          <t>NOT_RUN</t>
        </is>
      </c>
      <c r="P1063" t="n">
        <v>0</v>
      </c>
      <c r="Q1063" t="n">
        <v>1062</v>
      </c>
    </row>
    <row r="1064">
      <c r="A1064" t="n">
        <v>1063</v>
      </c>
      <c r="B1064" t="inlineStr">
        <is>
          <t>MTR-IOS-1063</t>
        </is>
      </c>
      <c r="C1064" t="inlineStr">
        <is>
          <t>iPhone</t>
        </is>
      </c>
      <c r="D1064" t="inlineStr">
        <is>
          <t>Personal</t>
        </is>
      </c>
      <c r="E1064" t="inlineStr">
        <is>
          <t>Personal</t>
        </is>
      </c>
      <c r="F1064" t="inlineStr">
        <is>
          <t>Future Building</t>
        </is>
      </c>
      <c r="G1064" t="inlineStr">
        <is>
          <t>Investments</t>
        </is>
      </c>
      <c r="H1064" t="inlineStr">
        <is>
          <t>Personal &gt; Future Building &gt; Quick Add &gt; Investments</t>
        </is>
      </c>
      <c r="I1064" s="18" t="n">
        <v>6005.05</v>
      </c>
      <c r="J1064" t="inlineStr">
        <is>
          <t>Created MTR-IOS-1063 and correlation note visible in Activity/Pulse</t>
        </is>
      </c>
      <c r="K1064" t="inlineStr">
        <is>
          <t>NOT_RUN</t>
        </is>
      </c>
      <c r="P1064" t="n">
        <v>0</v>
      </c>
      <c r="Q1064" t="n">
        <v>1063</v>
      </c>
    </row>
    <row r="1065">
      <c r="A1065" t="n">
        <v>1064</v>
      </c>
      <c r="B1065" t="inlineStr">
        <is>
          <t>MTR-IOS-1064</t>
        </is>
      </c>
      <c r="C1065" t="inlineStr">
        <is>
          <t>iPhone</t>
        </is>
      </c>
      <c r="D1065" t="inlineStr">
        <is>
          <t>Group</t>
        </is>
      </c>
      <c r="E1065" t="inlineStr">
        <is>
          <t>Shared Experience</t>
        </is>
      </c>
      <c r="F1065" t="inlineStr">
        <is>
          <t>Trip</t>
        </is>
      </c>
      <c r="G1065" t="inlineStr">
        <is>
          <t>Other</t>
        </is>
      </c>
      <c r="H1065" t="inlineStr">
        <is>
          <t>Group &gt; Trip &gt; Quick Add &gt; Other</t>
        </is>
      </c>
      <c r="I1065" s="18" t="n">
        <v>4241.15</v>
      </c>
      <c r="J1065" t="inlineStr">
        <is>
          <t>Created MTR-IOS-1064 and correlation note visible in Activity/Pulse</t>
        </is>
      </c>
      <c r="K1065" t="inlineStr">
        <is>
          <t>NOT_RUN</t>
        </is>
      </c>
      <c r="P1065" t="n">
        <v>0</v>
      </c>
      <c r="Q1065" t="n">
        <v>1064</v>
      </c>
    </row>
    <row r="1066">
      <c r="A1066" t="n">
        <v>1065</v>
      </c>
      <c r="B1066" t="inlineStr">
        <is>
          <t>MTR-IOS-1065</t>
        </is>
      </c>
      <c r="C1066" t="inlineStr">
        <is>
          <t>iPhone</t>
        </is>
      </c>
      <c r="D1066" t="inlineStr">
        <is>
          <t>Business</t>
        </is>
      </c>
      <c r="E1066" t="inlineStr">
        <is>
          <t>Business</t>
        </is>
      </c>
      <c r="F1066" t="inlineStr">
        <is>
          <t>Business Operations</t>
        </is>
      </c>
      <c r="G1066" t="inlineStr">
        <is>
          <t>Equipment</t>
        </is>
      </c>
      <c r="H1066" t="inlineStr">
        <is>
          <t>Business &gt; Business Operations &gt; Quick Add &gt; Equipment</t>
        </is>
      </c>
      <c r="I1066" s="18" t="n">
        <v>47505.67</v>
      </c>
      <c r="J1066" t="inlineStr">
        <is>
          <t>Created MTR-IOS-1065 and correlation note visible in Activity/Pulse</t>
        </is>
      </c>
      <c r="K1066" t="inlineStr">
        <is>
          <t>NOT_RUN</t>
        </is>
      </c>
      <c r="P1066" t="n">
        <v>0</v>
      </c>
      <c r="Q1066" t="n">
        <v>1065</v>
      </c>
    </row>
    <row r="1067">
      <c r="A1067" t="n">
        <v>1066</v>
      </c>
      <c r="B1067" t="inlineStr">
        <is>
          <t>MTR-IOS-1066</t>
        </is>
      </c>
      <c r="C1067" t="inlineStr">
        <is>
          <t>iPhone</t>
        </is>
      </c>
      <c r="D1067" t="inlineStr">
        <is>
          <t>Personal</t>
        </is>
      </c>
      <c r="E1067" t="inlineStr">
        <is>
          <t>Personal</t>
        </is>
      </c>
      <c r="F1067" t="inlineStr">
        <is>
          <t>Future Building</t>
        </is>
      </c>
      <c r="G1067" t="inlineStr">
        <is>
          <t>Education</t>
        </is>
      </c>
      <c r="H1067" t="inlineStr">
        <is>
          <t>Personal &gt; Future Building &gt; Quick Add &gt; Education</t>
        </is>
      </c>
      <c r="I1067" s="18" t="n">
        <v>13713.15</v>
      </c>
      <c r="J1067" t="inlineStr">
        <is>
          <t>Created MTR-IOS-1066 and correlation note visible in Activity/Pulse</t>
        </is>
      </c>
      <c r="K1067" t="inlineStr">
        <is>
          <t>NOT_RUN</t>
        </is>
      </c>
      <c r="P1067" t="n">
        <v>0</v>
      </c>
      <c r="Q1067" t="n">
        <v>1066</v>
      </c>
    </row>
    <row r="1068">
      <c r="A1068" t="n">
        <v>1067</v>
      </c>
      <c r="B1068" t="inlineStr">
        <is>
          <t>MTR-IOS-1067</t>
        </is>
      </c>
      <c r="C1068" t="inlineStr">
        <is>
          <t>iPhone</t>
        </is>
      </c>
      <c r="D1068" t="inlineStr">
        <is>
          <t>Group</t>
        </is>
      </c>
      <c r="E1068" t="inlineStr">
        <is>
          <t>Shared Experience</t>
        </is>
      </c>
      <c r="F1068" t="inlineStr">
        <is>
          <t>Wedding</t>
        </is>
      </c>
      <c r="G1068" t="inlineStr">
        <is>
          <t>Venue</t>
        </is>
      </c>
      <c r="H1068" t="inlineStr">
        <is>
          <t>Group &gt; Wedding &gt; Quick Add &gt; Venue</t>
        </is>
      </c>
      <c r="I1068" s="18" t="n">
        <v>1064.27</v>
      </c>
      <c r="J1068" t="inlineStr">
        <is>
          <t>Created MTR-IOS-1067 and correlation note visible in Activity/Pulse</t>
        </is>
      </c>
      <c r="K1068" t="inlineStr">
        <is>
          <t>NOT_RUN</t>
        </is>
      </c>
      <c r="P1068" t="n">
        <v>0</v>
      </c>
      <c r="Q1068" t="n">
        <v>1067</v>
      </c>
    </row>
    <row r="1069">
      <c r="A1069" t="n">
        <v>1068</v>
      </c>
      <c r="B1069" t="inlineStr">
        <is>
          <t>MTR-IOS-1068</t>
        </is>
      </c>
      <c r="C1069" t="inlineStr">
        <is>
          <t>iPhone</t>
        </is>
      </c>
      <c r="D1069" t="inlineStr">
        <is>
          <t>Business</t>
        </is>
      </c>
      <c r="E1069" t="inlineStr">
        <is>
          <t>Business</t>
        </is>
      </c>
      <c r="F1069" t="inlineStr">
        <is>
          <t>Business Operations</t>
        </is>
      </c>
      <c r="G1069" t="inlineStr">
        <is>
          <t>Vendor</t>
        </is>
      </c>
      <c r="H1069" t="inlineStr">
        <is>
          <t>Business &gt; Business Operations &gt; Quick Add &gt; Vendor</t>
        </is>
      </c>
      <c r="I1069" s="18" t="n">
        <v>161359.82</v>
      </c>
      <c r="J1069" t="inlineStr">
        <is>
          <t>Created MTR-IOS-1068 and correlation note visible in Activity/Pulse</t>
        </is>
      </c>
      <c r="K1069" t="inlineStr">
        <is>
          <t>NOT_RUN</t>
        </is>
      </c>
      <c r="P1069" t="n">
        <v>0</v>
      </c>
      <c r="Q1069" t="n">
        <v>1068</v>
      </c>
    </row>
    <row r="1070">
      <c r="A1070" t="n">
        <v>1069</v>
      </c>
      <c r="B1070" t="inlineStr">
        <is>
          <t>MTR-IOS-1069</t>
        </is>
      </c>
      <c r="C1070" t="inlineStr">
        <is>
          <t>iPhone</t>
        </is>
      </c>
      <c r="D1070" t="inlineStr">
        <is>
          <t>Personal</t>
        </is>
      </c>
      <c r="E1070" t="inlineStr">
        <is>
          <t>Personal</t>
        </is>
      </c>
      <c r="F1070" t="inlineStr">
        <is>
          <t>Future Building</t>
        </is>
      </c>
      <c r="G1070" t="inlineStr">
        <is>
          <t>Goal Contribution</t>
        </is>
      </c>
      <c r="H1070" t="inlineStr">
        <is>
          <t>Personal &gt; Future Building &gt; Quick Add &gt; Goal Contribution</t>
        </is>
      </c>
      <c r="I1070" s="18" t="n">
        <v>7014.22</v>
      </c>
      <c r="J1070" t="inlineStr">
        <is>
          <t>Created MTR-IOS-1069 and correlation note visible in Activity/Pulse</t>
        </is>
      </c>
      <c r="K1070" t="inlineStr">
        <is>
          <t>NOT_RUN</t>
        </is>
      </c>
      <c r="P1070" t="n">
        <v>0</v>
      </c>
      <c r="Q1070" t="n">
        <v>1069</v>
      </c>
    </row>
    <row r="1071">
      <c r="A1071" t="n">
        <v>1070</v>
      </c>
      <c r="B1071" t="inlineStr">
        <is>
          <t>MTR-IOS-1070</t>
        </is>
      </c>
      <c r="C1071" t="inlineStr">
        <is>
          <t>iPhone</t>
        </is>
      </c>
      <c r="D1071" t="inlineStr">
        <is>
          <t>Group</t>
        </is>
      </c>
      <c r="E1071" t="inlineStr">
        <is>
          <t>Shared Experience</t>
        </is>
      </c>
      <c r="F1071" t="inlineStr">
        <is>
          <t>Wedding</t>
        </is>
      </c>
      <c r="G1071" t="inlineStr">
        <is>
          <t>Catering</t>
        </is>
      </c>
      <c r="H1071" t="inlineStr">
        <is>
          <t>Group &gt; Wedding &gt; Quick Add &gt; Catering</t>
        </is>
      </c>
      <c r="I1071" s="18" t="n">
        <v>3571.1</v>
      </c>
      <c r="J1071" t="inlineStr">
        <is>
          <t>Created MTR-IOS-1070 and correlation note visible in Activity/Pulse</t>
        </is>
      </c>
      <c r="K1071" t="inlineStr">
        <is>
          <t>NOT_RUN</t>
        </is>
      </c>
      <c r="P1071" t="n">
        <v>0</v>
      </c>
      <c r="Q1071" t="n">
        <v>1070</v>
      </c>
    </row>
    <row r="1072">
      <c r="A1072" t="n">
        <v>1071</v>
      </c>
      <c r="B1072" t="inlineStr">
        <is>
          <t>MTR-IOS-1071</t>
        </is>
      </c>
      <c r="C1072" t="inlineStr">
        <is>
          <t>iPhone</t>
        </is>
      </c>
      <c r="D1072" t="inlineStr">
        <is>
          <t>Business</t>
        </is>
      </c>
      <c r="E1072" t="inlineStr">
        <is>
          <t>Business</t>
        </is>
      </c>
      <c r="F1072" t="inlineStr">
        <is>
          <t>Business Operations</t>
        </is>
      </c>
      <c r="G1072" t="inlineStr">
        <is>
          <t>Tax</t>
        </is>
      </c>
      <c r="H1072" t="inlineStr">
        <is>
          <t>Business &gt; Business Operations &gt; Quick Add &gt; Tax</t>
        </is>
      </c>
      <c r="I1072" s="18" t="n">
        <v>163393.04</v>
      </c>
      <c r="J1072" t="inlineStr">
        <is>
          <t>Created MTR-IOS-1071 and correlation note visible in Activity/Pulse</t>
        </is>
      </c>
      <c r="K1072" t="inlineStr">
        <is>
          <t>NOT_RUN</t>
        </is>
      </c>
      <c r="P1072" t="n">
        <v>0</v>
      </c>
      <c r="Q1072" t="n">
        <v>1071</v>
      </c>
    </row>
    <row r="1073">
      <c r="A1073" t="n">
        <v>1072</v>
      </c>
      <c r="B1073" t="inlineStr">
        <is>
          <t>MTR-IOS-1072</t>
        </is>
      </c>
      <c r="C1073" t="inlineStr">
        <is>
          <t>iPhone</t>
        </is>
      </c>
      <c r="D1073" t="inlineStr">
        <is>
          <t>Personal</t>
        </is>
      </c>
      <c r="E1073" t="inlineStr">
        <is>
          <t>Personal</t>
        </is>
      </c>
      <c r="F1073" t="inlineStr">
        <is>
          <t>Lifestyle</t>
        </is>
      </c>
      <c r="G1073" t="inlineStr">
        <is>
          <t>Dining</t>
        </is>
      </c>
      <c r="H1073" t="inlineStr">
        <is>
          <t>Personal &gt; Lifestyle &gt; Quick Add &gt; Dining</t>
        </is>
      </c>
      <c r="I1073" s="18" t="n">
        <v>3813.91</v>
      </c>
      <c r="J1073" t="inlineStr">
        <is>
          <t>Created MTR-IOS-1072 and correlation note visible in Activity/Pulse</t>
        </is>
      </c>
      <c r="K1073" t="inlineStr">
        <is>
          <t>NOT_RUN</t>
        </is>
      </c>
      <c r="P1073" t="n">
        <v>0</v>
      </c>
      <c r="Q1073" t="n">
        <v>1072</v>
      </c>
    </row>
    <row r="1074">
      <c r="A1074" t="n">
        <v>1073</v>
      </c>
      <c r="B1074" t="inlineStr">
        <is>
          <t>MTR-IOS-1073</t>
        </is>
      </c>
      <c r="C1074" t="inlineStr">
        <is>
          <t>iPhone</t>
        </is>
      </c>
      <c r="D1074" t="inlineStr">
        <is>
          <t>Group</t>
        </is>
      </c>
      <c r="E1074" t="inlineStr">
        <is>
          <t>Shared Experience</t>
        </is>
      </c>
      <c r="F1074" t="inlineStr">
        <is>
          <t>Wedding</t>
        </is>
      </c>
      <c r="G1074" t="inlineStr">
        <is>
          <t>Decor</t>
        </is>
      </c>
      <c r="H1074" t="inlineStr">
        <is>
          <t>Group &gt; Wedding &gt; Quick Add &gt; Decor</t>
        </is>
      </c>
      <c r="I1074" s="18" t="n">
        <v>10000</v>
      </c>
      <c r="J1074" t="inlineStr">
        <is>
          <t>Created MTR-IOS-1073 and correlation note visible in Activity/Pulse</t>
        </is>
      </c>
      <c r="K1074" t="inlineStr">
        <is>
          <t>NOT_RUN</t>
        </is>
      </c>
      <c r="P1074" t="n">
        <v>0</v>
      </c>
      <c r="Q1074" t="n">
        <v>1073</v>
      </c>
    </row>
    <row r="1075">
      <c r="A1075" t="n">
        <v>1074</v>
      </c>
      <c r="B1075" t="inlineStr">
        <is>
          <t>MTR-IOS-1074</t>
        </is>
      </c>
      <c r="C1075" t="inlineStr">
        <is>
          <t>iPhone</t>
        </is>
      </c>
      <c r="D1075" t="inlineStr">
        <is>
          <t>Business</t>
        </is>
      </c>
      <c r="E1075" t="inlineStr">
        <is>
          <t>Business</t>
        </is>
      </c>
      <c r="F1075" t="inlineStr">
        <is>
          <t>Team Operations</t>
        </is>
      </c>
      <c r="G1075" t="inlineStr">
        <is>
          <t>Payroll</t>
        </is>
      </c>
      <c r="H1075" t="inlineStr">
        <is>
          <t>Business &gt; Team Operations &gt; Quick Add &gt; Payroll</t>
        </is>
      </c>
      <c r="I1075" s="18" t="n">
        <v>24566.23</v>
      </c>
      <c r="J1075" t="inlineStr">
        <is>
          <t>Created MTR-IOS-1074 and correlation note visible in Activity/Pulse</t>
        </is>
      </c>
      <c r="K1075" t="inlineStr">
        <is>
          <t>NOT_RUN</t>
        </is>
      </c>
      <c r="P1075" t="n">
        <v>0</v>
      </c>
      <c r="Q1075" t="n">
        <v>1074</v>
      </c>
    </row>
    <row r="1076">
      <c r="A1076" t="n">
        <v>1075</v>
      </c>
      <c r="B1076" t="inlineStr">
        <is>
          <t>MTR-IOS-1075</t>
        </is>
      </c>
      <c r="C1076" t="inlineStr">
        <is>
          <t>iPhone</t>
        </is>
      </c>
      <c r="D1076" t="inlineStr">
        <is>
          <t>Personal</t>
        </is>
      </c>
      <c r="E1076" t="inlineStr">
        <is>
          <t>Personal</t>
        </is>
      </c>
      <c r="F1076" t="inlineStr">
        <is>
          <t>Lifestyle</t>
        </is>
      </c>
      <c r="G1076" t="inlineStr">
        <is>
          <t>Shopping</t>
        </is>
      </c>
      <c r="H1076" t="inlineStr">
        <is>
          <t>Personal &gt; Lifestyle &gt; Quick Add &gt; Shopping</t>
        </is>
      </c>
      <c r="I1076" s="18" t="n">
        <v>2064.01</v>
      </c>
      <c r="J1076" t="inlineStr">
        <is>
          <t>Created MTR-IOS-1075 and correlation note visible in Activity/Pulse</t>
        </is>
      </c>
      <c r="K1076" t="inlineStr">
        <is>
          <t>NOT_RUN</t>
        </is>
      </c>
      <c r="P1076" t="n">
        <v>0</v>
      </c>
      <c r="Q1076" t="n">
        <v>1075</v>
      </c>
    </row>
    <row r="1077">
      <c r="A1077" t="n">
        <v>1076</v>
      </c>
      <c r="B1077" t="inlineStr">
        <is>
          <t>MTR-IOS-1076</t>
        </is>
      </c>
      <c r="C1077" t="inlineStr">
        <is>
          <t>iPhone</t>
        </is>
      </c>
      <c r="D1077" t="inlineStr">
        <is>
          <t>Group</t>
        </is>
      </c>
      <c r="E1077" t="inlineStr">
        <is>
          <t>Shared Experience</t>
        </is>
      </c>
      <c r="F1077" t="inlineStr">
        <is>
          <t>Wedding</t>
        </is>
      </c>
      <c r="G1077" t="inlineStr">
        <is>
          <t>Travel</t>
        </is>
      </c>
      <c r="H1077" t="inlineStr">
        <is>
          <t>Group &gt; Wedding &gt; Quick Add &gt; Travel</t>
        </is>
      </c>
      <c r="I1077" s="18" t="n">
        <v>15325.11</v>
      </c>
      <c r="J1077" t="inlineStr">
        <is>
          <t>Created MTR-IOS-1076 and correlation note visible in Activity/Pulse</t>
        </is>
      </c>
      <c r="K1077" t="inlineStr">
        <is>
          <t>NOT_RUN</t>
        </is>
      </c>
      <c r="P1077" t="n">
        <v>0</v>
      </c>
      <c r="Q1077" t="n">
        <v>1076</v>
      </c>
    </row>
    <row r="1078">
      <c r="A1078" t="n">
        <v>1077</v>
      </c>
      <c r="B1078" t="inlineStr">
        <is>
          <t>MTR-IOS-1077</t>
        </is>
      </c>
      <c r="C1078" t="inlineStr">
        <is>
          <t>iPhone</t>
        </is>
      </c>
      <c r="D1078" t="inlineStr">
        <is>
          <t>Business</t>
        </is>
      </c>
      <c r="E1078" t="inlineStr">
        <is>
          <t>Business</t>
        </is>
      </c>
      <c r="F1078" t="inlineStr">
        <is>
          <t>Team Operations</t>
        </is>
      </c>
      <c r="G1078" t="inlineStr">
        <is>
          <t>Contractor</t>
        </is>
      </c>
      <c r="H1078" t="inlineStr">
        <is>
          <t>Business &gt; Team Operations &gt; Quick Add &gt; Contractor</t>
        </is>
      </c>
      <c r="I1078" s="18" t="n">
        <v>54600.25</v>
      </c>
      <c r="J1078" t="inlineStr">
        <is>
          <t>Created MTR-IOS-1077 and correlation note visible in Activity/Pulse</t>
        </is>
      </c>
      <c r="K1078" t="inlineStr">
        <is>
          <t>NOT_RUN</t>
        </is>
      </c>
      <c r="P1078" t="n">
        <v>0</v>
      </c>
      <c r="Q1078" t="n">
        <v>1077</v>
      </c>
    </row>
    <row r="1079">
      <c r="A1079" t="n">
        <v>1078</v>
      </c>
      <c r="B1079" t="inlineStr">
        <is>
          <t>MTR-IOS-1078</t>
        </is>
      </c>
      <c r="C1079" t="inlineStr">
        <is>
          <t>iPhone</t>
        </is>
      </c>
      <c r="D1079" t="inlineStr">
        <is>
          <t>Personal</t>
        </is>
      </c>
      <c r="E1079" t="inlineStr">
        <is>
          <t>Personal</t>
        </is>
      </c>
      <c r="F1079" t="inlineStr">
        <is>
          <t>Lifestyle</t>
        </is>
      </c>
      <c r="G1079" t="inlineStr">
        <is>
          <t>Entertainment</t>
        </is>
      </c>
      <c r="H1079" t="inlineStr">
        <is>
          <t>Personal &gt; Lifestyle &gt; Quick Add &gt; Entertainment</t>
        </is>
      </c>
      <c r="I1079" s="18" t="n">
        <v>9262.98</v>
      </c>
      <c r="J1079" t="inlineStr">
        <is>
          <t>Created MTR-IOS-1078 and correlation note visible in Activity/Pulse</t>
        </is>
      </c>
      <c r="K1079" t="inlineStr">
        <is>
          <t>NOT_RUN</t>
        </is>
      </c>
      <c r="P1079" t="n">
        <v>0</v>
      </c>
      <c r="Q1079" t="n">
        <v>1078</v>
      </c>
    </row>
    <row r="1080">
      <c r="A1080" t="n">
        <v>1079</v>
      </c>
      <c r="B1080" t="inlineStr">
        <is>
          <t>MTR-IOS-1079</t>
        </is>
      </c>
      <c r="C1080" t="inlineStr">
        <is>
          <t>iPhone</t>
        </is>
      </c>
      <c r="D1080" t="inlineStr">
        <is>
          <t>Group</t>
        </is>
      </c>
      <c r="E1080" t="inlineStr">
        <is>
          <t>Shared Experience</t>
        </is>
      </c>
      <c r="F1080" t="inlineStr">
        <is>
          <t>Wedding</t>
        </is>
      </c>
      <c r="G1080" t="inlineStr">
        <is>
          <t>Gifts</t>
        </is>
      </c>
      <c r="H1080" t="inlineStr">
        <is>
          <t>Group &gt; Wedding &gt; Quick Add &gt; Gifts</t>
        </is>
      </c>
      <c r="I1080" s="18" t="n">
        <v>7674.04</v>
      </c>
      <c r="J1080" t="inlineStr">
        <is>
          <t>Created MTR-IOS-1079 and correlation note visible in Activity/Pulse</t>
        </is>
      </c>
      <c r="K1080" t="inlineStr">
        <is>
          <t>NOT_RUN</t>
        </is>
      </c>
      <c r="P1080" t="n">
        <v>0</v>
      </c>
      <c r="Q1080" t="n">
        <v>1079</v>
      </c>
    </row>
    <row r="1081">
      <c r="A1081" t="n">
        <v>1080</v>
      </c>
      <c r="B1081" t="inlineStr">
        <is>
          <t>MTR-IOS-1080</t>
        </is>
      </c>
      <c r="C1081" t="inlineStr">
        <is>
          <t>iPhone</t>
        </is>
      </c>
      <c r="D1081" t="inlineStr">
        <is>
          <t>Business</t>
        </is>
      </c>
      <c r="E1081" t="inlineStr">
        <is>
          <t>Business</t>
        </is>
      </c>
      <c r="F1081" t="inlineStr">
        <is>
          <t>Team Operations</t>
        </is>
      </c>
      <c r="G1081" t="inlineStr">
        <is>
          <t>Hiring</t>
        </is>
      </c>
      <c r="H1081" t="inlineStr">
        <is>
          <t>Business &gt; Team Operations &gt; Quick Add &gt; Hiring</t>
        </is>
      </c>
      <c r="I1081" s="18" t="n">
        <v>79381.72</v>
      </c>
      <c r="J1081" t="inlineStr">
        <is>
          <t>Created MTR-IOS-1080 and correlation note visible in Activity/Pulse</t>
        </is>
      </c>
      <c r="K1081" t="inlineStr">
        <is>
          <t>NOT_RUN</t>
        </is>
      </c>
      <c r="P1081" t="n">
        <v>0</v>
      </c>
      <c r="Q1081" t="n">
        <v>1080</v>
      </c>
    </row>
    <row r="1082">
      <c r="A1082" t="n">
        <v>1081</v>
      </c>
      <c r="B1082" t="inlineStr">
        <is>
          <t>MTR-IOS-1081</t>
        </is>
      </c>
      <c r="C1082" t="inlineStr">
        <is>
          <t>iPhone</t>
        </is>
      </c>
      <c r="D1082" t="inlineStr">
        <is>
          <t>Personal</t>
        </is>
      </c>
      <c r="E1082" t="inlineStr">
        <is>
          <t>Personal</t>
        </is>
      </c>
      <c r="F1082" t="inlineStr">
        <is>
          <t>Lifestyle</t>
        </is>
      </c>
      <c r="G1082" t="inlineStr">
        <is>
          <t>Travel</t>
        </is>
      </c>
      <c r="H1082" t="inlineStr">
        <is>
          <t>Personal &gt; Lifestyle &gt; Quick Add &gt; Travel</t>
        </is>
      </c>
      <c r="I1082" s="18" t="n">
        <v>17223.6</v>
      </c>
      <c r="J1082" t="inlineStr">
        <is>
          <t>Created MTR-IOS-1081 and correlation note visible in Activity/Pulse</t>
        </is>
      </c>
      <c r="K1082" t="inlineStr">
        <is>
          <t>NOT_RUN</t>
        </is>
      </c>
      <c r="P1082" t="n">
        <v>0</v>
      </c>
      <c r="Q1082" t="n">
        <v>1081</v>
      </c>
    </row>
    <row r="1083">
      <c r="A1083" t="n">
        <v>1082</v>
      </c>
      <c r="B1083" t="inlineStr">
        <is>
          <t>MTR-IOS-1082</t>
        </is>
      </c>
      <c r="C1083" t="inlineStr">
        <is>
          <t>iPhone</t>
        </is>
      </c>
      <c r="D1083" t="inlineStr">
        <is>
          <t>Group</t>
        </is>
      </c>
      <c r="E1083" t="inlineStr">
        <is>
          <t>Shared Experience</t>
        </is>
      </c>
      <c r="F1083" t="inlineStr">
        <is>
          <t>Wedding</t>
        </is>
      </c>
      <c r="G1083" t="inlineStr">
        <is>
          <t>Photography</t>
        </is>
      </c>
      <c r="H1083" t="inlineStr">
        <is>
          <t>Group &gt; Wedding &gt; Quick Add &gt; Photography</t>
        </is>
      </c>
      <c r="I1083" s="18" t="n">
        <v>14618.9</v>
      </c>
      <c r="J1083" t="inlineStr">
        <is>
          <t>Created MTR-IOS-1082 and correlation note visible in Activity/Pulse</t>
        </is>
      </c>
      <c r="K1083" t="inlineStr">
        <is>
          <t>NOT_RUN</t>
        </is>
      </c>
      <c r="P1083" t="n">
        <v>0</v>
      </c>
      <c r="Q1083" t="n">
        <v>1082</v>
      </c>
    </row>
    <row r="1084">
      <c r="A1084" t="n">
        <v>1083</v>
      </c>
      <c r="B1084" t="inlineStr">
        <is>
          <t>MTR-IOS-1083</t>
        </is>
      </c>
      <c r="C1084" t="inlineStr">
        <is>
          <t>iPhone</t>
        </is>
      </c>
      <c r="D1084" t="inlineStr">
        <is>
          <t>Business</t>
        </is>
      </c>
      <c r="E1084" t="inlineStr">
        <is>
          <t>Business</t>
        </is>
      </c>
      <c r="F1084" t="inlineStr">
        <is>
          <t>Team Operations</t>
        </is>
      </c>
      <c r="G1084" t="inlineStr">
        <is>
          <t>Team Meal</t>
        </is>
      </c>
      <c r="H1084" t="inlineStr">
        <is>
          <t>Business &gt; Team Operations &gt; Quick Add &gt; Team Meal</t>
        </is>
      </c>
      <c r="I1084" s="18" t="n">
        <v>11571.35</v>
      </c>
      <c r="J1084" t="inlineStr">
        <is>
          <t>Created MTR-IOS-1083 and correlation note visible in Activity/Pulse</t>
        </is>
      </c>
      <c r="K1084" t="inlineStr">
        <is>
          <t>NOT_RUN</t>
        </is>
      </c>
      <c r="P1084" t="n">
        <v>0</v>
      </c>
      <c r="Q1084" t="n">
        <v>1083</v>
      </c>
    </row>
    <row r="1085">
      <c r="A1085" t="n">
        <v>1084</v>
      </c>
      <c r="B1085" t="inlineStr">
        <is>
          <t>MTR-IOS-1084</t>
        </is>
      </c>
      <c r="C1085" t="inlineStr">
        <is>
          <t>iPhone</t>
        </is>
      </c>
      <c r="D1085" t="inlineStr">
        <is>
          <t>Personal</t>
        </is>
      </c>
      <c r="E1085" t="inlineStr">
        <is>
          <t>Personal</t>
        </is>
      </c>
      <c r="F1085" t="inlineStr">
        <is>
          <t>Lifestyle</t>
        </is>
      </c>
      <c r="G1085" t="inlineStr">
        <is>
          <t>Fitness</t>
        </is>
      </c>
      <c r="H1085" t="inlineStr">
        <is>
          <t>Personal &gt; Lifestyle &gt; Quick Add &gt; Fitness</t>
        </is>
      </c>
      <c r="I1085" s="18" t="n">
        <v>16123.39</v>
      </c>
      <c r="J1085" t="inlineStr">
        <is>
          <t>Created MTR-IOS-1084 and correlation note visible in Activity/Pulse</t>
        </is>
      </c>
      <c r="K1085" t="inlineStr">
        <is>
          <t>NOT_RUN</t>
        </is>
      </c>
      <c r="P1085" t="n">
        <v>0</v>
      </c>
      <c r="Q1085" t="n">
        <v>1084</v>
      </c>
    </row>
    <row r="1086">
      <c r="A1086" t="n">
        <v>1085</v>
      </c>
      <c r="B1086" t="inlineStr">
        <is>
          <t>MTR-IOS-1085</t>
        </is>
      </c>
      <c r="C1086" t="inlineStr">
        <is>
          <t>iPhone</t>
        </is>
      </c>
      <c r="D1086" t="inlineStr">
        <is>
          <t>Group</t>
        </is>
      </c>
      <c r="E1086" t="inlineStr">
        <is>
          <t>Shared Experience</t>
        </is>
      </c>
      <c r="F1086" t="inlineStr">
        <is>
          <t>Wedding</t>
        </is>
      </c>
      <c r="G1086" t="inlineStr">
        <is>
          <t>Other</t>
        </is>
      </c>
      <c r="H1086" t="inlineStr">
        <is>
          <t>Group &gt; Wedding &gt; Quick Add &gt; Other</t>
        </is>
      </c>
      <c r="I1086" s="18" t="n">
        <v>568.25</v>
      </c>
      <c r="J1086" t="inlineStr">
        <is>
          <t>Created MTR-IOS-1085 and correlation note visible in Activity/Pulse</t>
        </is>
      </c>
      <c r="K1086" t="inlineStr">
        <is>
          <t>NOT_RUN</t>
        </is>
      </c>
      <c r="P1086" t="n">
        <v>0</v>
      </c>
      <c r="Q1086" t="n">
        <v>1085</v>
      </c>
    </row>
    <row r="1087">
      <c r="A1087" t="n">
        <v>1086</v>
      </c>
      <c r="B1087" t="inlineStr">
        <is>
          <t>MTR-IOS-1086</t>
        </is>
      </c>
      <c r="C1087" t="inlineStr">
        <is>
          <t>iPhone</t>
        </is>
      </c>
      <c r="D1087" t="inlineStr">
        <is>
          <t>Business</t>
        </is>
      </c>
      <c r="E1087" t="inlineStr">
        <is>
          <t>Business</t>
        </is>
      </c>
      <c r="F1087" t="inlineStr">
        <is>
          <t>Team Operations</t>
        </is>
      </c>
      <c r="G1087" t="inlineStr">
        <is>
          <t>Travel</t>
        </is>
      </c>
      <c r="H1087" t="inlineStr">
        <is>
          <t>Business &gt; Team Operations &gt; Quick Add &gt; Travel</t>
        </is>
      </c>
      <c r="I1087" s="18" t="n">
        <v>142759.97</v>
      </c>
      <c r="J1087" t="inlineStr">
        <is>
          <t>Created MTR-IOS-1086 and correlation note visible in Activity/Pulse</t>
        </is>
      </c>
      <c r="K1087" t="inlineStr">
        <is>
          <t>NOT_RUN</t>
        </is>
      </c>
      <c r="P1087" t="n">
        <v>0</v>
      </c>
      <c r="Q1087" t="n">
        <v>1086</v>
      </c>
    </row>
    <row r="1088">
      <c r="A1088" t="n">
        <v>1087</v>
      </c>
      <c r="B1088" t="inlineStr">
        <is>
          <t>MTR-IOS-1087</t>
        </is>
      </c>
      <c r="C1088" t="inlineStr">
        <is>
          <t>iPhone</t>
        </is>
      </c>
      <c r="D1088" t="inlineStr">
        <is>
          <t>Personal</t>
        </is>
      </c>
      <c r="E1088" t="inlineStr">
        <is>
          <t>Personal</t>
        </is>
      </c>
      <c r="F1088" t="inlineStr">
        <is>
          <t>Lifestyle</t>
        </is>
      </c>
      <c r="G1088" t="inlineStr">
        <is>
          <t>Hobbies</t>
        </is>
      </c>
      <c r="H1088" t="inlineStr">
        <is>
          <t>Personal &gt; Lifestyle &gt; Quick Add &gt; Hobbies</t>
        </is>
      </c>
      <c r="I1088" s="18" t="n">
        <v>16587.41</v>
      </c>
      <c r="J1088" t="inlineStr">
        <is>
          <t>Created MTR-IOS-1087 and correlation note visible in Activity/Pulse</t>
        </is>
      </c>
      <c r="K1088" t="inlineStr">
        <is>
          <t>NOT_RUN</t>
        </is>
      </c>
      <c r="P1088" t="n">
        <v>0</v>
      </c>
      <c r="Q1088" t="n">
        <v>1087</v>
      </c>
    </row>
    <row r="1089">
      <c r="A1089" t="n">
        <v>1088</v>
      </c>
      <c r="B1089" t="inlineStr">
        <is>
          <t>MTR-IOS-1088</t>
        </is>
      </c>
      <c r="C1089" t="inlineStr">
        <is>
          <t>iPhone</t>
        </is>
      </c>
      <c r="D1089" t="inlineStr">
        <is>
          <t>Group</t>
        </is>
      </c>
      <c r="E1089" t="inlineStr">
        <is>
          <t>Shared Experience</t>
        </is>
      </c>
      <c r="F1089" t="inlineStr">
        <is>
          <t>Office Outing</t>
        </is>
      </c>
      <c r="G1089" t="inlineStr">
        <is>
          <t>Food</t>
        </is>
      </c>
      <c r="H1089" t="inlineStr">
        <is>
          <t>Group &gt; Office Outing &gt; Quick Add &gt; Food</t>
        </is>
      </c>
      <c r="I1089" s="18" t="n">
        <v>21716.96</v>
      </c>
      <c r="J1089" t="inlineStr">
        <is>
          <t>Created MTR-IOS-1088 and correlation note visible in Activity/Pulse</t>
        </is>
      </c>
      <c r="K1089" t="inlineStr">
        <is>
          <t>NOT_RUN</t>
        </is>
      </c>
      <c r="P1089" t="n">
        <v>0</v>
      </c>
      <c r="Q1089" t="n">
        <v>1088</v>
      </c>
    </row>
    <row r="1090">
      <c r="A1090" t="n">
        <v>1089</v>
      </c>
      <c r="B1090" t="inlineStr">
        <is>
          <t>MTR-IOS-1089</t>
        </is>
      </c>
      <c r="C1090" t="inlineStr">
        <is>
          <t>iPhone</t>
        </is>
      </c>
      <c r="D1090" t="inlineStr">
        <is>
          <t>Business</t>
        </is>
      </c>
      <c r="E1090" t="inlineStr">
        <is>
          <t>Business</t>
        </is>
      </c>
      <c r="F1090" t="inlineStr">
        <is>
          <t>Team Operations</t>
        </is>
      </c>
      <c r="G1090" t="inlineStr">
        <is>
          <t>Training</t>
        </is>
      </c>
      <c r="H1090" t="inlineStr">
        <is>
          <t>Business &gt; Team Operations &gt; Quick Add &gt; Training</t>
        </is>
      </c>
      <c r="I1090" s="18" t="n">
        <v>72671.85000000001</v>
      </c>
      <c r="J1090" t="inlineStr">
        <is>
          <t>Created MTR-IOS-1089 and correlation note visible in Activity/Pulse</t>
        </is>
      </c>
      <c r="K1090" t="inlineStr">
        <is>
          <t>NOT_RUN</t>
        </is>
      </c>
      <c r="P1090" t="n">
        <v>0</v>
      </c>
      <c r="Q1090" t="n">
        <v>1089</v>
      </c>
    </row>
    <row r="1091">
      <c r="A1091" t="n">
        <v>1090</v>
      </c>
      <c r="B1091" t="inlineStr">
        <is>
          <t>MTR-IOS-1090</t>
        </is>
      </c>
      <c r="C1091" t="inlineStr">
        <is>
          <t>iPhone</t>
        </is>
      </c>
      <c r="D1091" t="inlineStr">
        <is>
          <t>Personal</t>
        </is>
      </c>
      <c r="E1091" t="inlineStr">
        <is>
          <t>Personal</t>
        </is>
      </c>
      <c r="F1091" t="inlineStr">
        <is>
          <t>Relationships</t>
        </is>
      </c>
      <c r="G1091" t="inlineStr">
        <is>
          <t>Gifts</t>
        </is>
      </c>
      <c r="H1091" t="inlineStr">
        <is>
          <t>Personal &gt; Relationships &gt; Quick Add &gt; Gifts</t>
        </is>
      </c>
      <c r="I1091" s="18" t="n">
        <v>542.48</v>
      </c>
      <c r="J1091" t="inlineStr">
        <is>
          <t>Created MTR-IOS-1090 and correlation note visible in Activity/Pulse</t>
        </is>
      </c>
      <c r="K1091" t="inlineStr">
        <is>
          <t>NOT_RUN</t>
        </is>
      </c>
      <c r="P1091" t="n">
        <v>0</v>
      </c>
      <c r="Q1091" t="n">
        <v>1090</v>
      </c>
    </row>
    <row r="1092">
      <c r="A1092" t="n">
        <v>1091</v>
      </c>
      <c r="B1092" t="inlineStr">
        <is>
          <t>MTR-IOS-1091</t>
        </is>
      </c>
      <c r="C1092" t="inlineStr">
        <is>
          <t>iPhone</t>
        </is>
      </c>
      <c r="D1092" t="inlineStr">
        <is>
          <t>Group</t>
        </is>
      </c>
      <c r="E1092" t="inlineStr">
        <is>
          <t>Shared Experience</t>
        </is>
      </c>
      <c r="F1092" t="inlineStr">
        <is>
          <t>Office Outing</t>
        </is>
      </c>
      <c r="G1092" t="inlineStr">
        <is>
          <t>Travel</t>
        </is>
      </c>
      <c r="H1092" t="inlineStr">
        <is>
          <t>Group &gt; Office Outing &gt; Quick Add &gt; Travel</t>
        </is>
      </c>
      <c r="I1092" s="18" t="n">
        <v>6263.04</v>
      </c>
      <c r="J1092" t="inlineStr">
        <is>
          <t>Created MTR-IOS-1091 and correlation note visible in Activity/Pulse</t>
        </is>
      </c>
      <c r="K1092" t="inlineStr">
        <is>
          <t>NOT_RUN</t>
        </is>
      </c>
      <c r="P1092" t="n">
        <v>0</v>
      </c>
      <c r="Q1092" t="n">
        <v>1091</v>
      </c>
    </row>
    <row r="1093">
      <c r="A1093" t="n">
        <v>1092</v>
      </c>
      <c r="B1093" t="inlineStr">
        <is>
          <t>MTR-IOS-1092</t>
        </is>
      </c>
      <c r="C1093" t="inlineStr">
        <is>
          <t>iPhone</t>
        </is>
      </c>
      <c r="D1093" t="inlineStr">
        <is>
          <t>Business</t>
        </is>
      </c>
      <c r="E1093" t="inlineStr">
        <is>
          <t>Business</t>
        </is>
      </c>
      <c r="F1093" t="inlineStr">
        <is>
          <t>Team Operations</t>
        </is>
      </c>
      <c r="G1093" t="inlineStr">
        <is>
          <t>Tools</t>
        </is>
      </c>
      <c r="H1093" t="inlineStr">
        <is>
          <t>Business &gt; Team Operations &gt; Quick Add &gt; Tools</t>
        </is>
      </c>
      <c r="I1093" s="18" t="n">
        <v>79755.86</v>
      </c>
      <c r="J1093" t="inlineStr">
        <is>
          <t>Created MTR-IOS-1092 and correlation note visible in Activity/Pulse</t>
        </is>
      </c>
      <c r="K1093" t="inlineStr">
        <is>
          <t>NOT_RUN</t>
        </is>
      </c>
      <c r="P1093" t="n">
        <v>0</v>
      </c>
      <c r="Q1093" t="n">
        <v>1092</v>
      </c>
    </row>
    <row r="1094">
      <c r="A1094" t="n">
        <v>1093</v>
      </c>
      <c r="B1094" t="inlineStr">
        <is>
          <t>MTR-IOS-1093</t>
        </is>
      </c>
      <c r="C1094" t="inlineStr">
        <is>
          <t>iPhone</t>
        </is>
      </c>
      <c r="D1094" t="inlineStr">
        <is>
          <t>Personal</t>
        </is>
      </c>
      <c r="E1094" t="inlineStr">
        <is>
          <t>Personal</t>
        </is>
      </c>
      <c r="F1094" t="inlineStr">
        <is>
          <t>Relationships</t>
        </is>
      </c>
      <c r="G1094" t="inlineStr">
        <is>
          <t>Dates</t>
        </is>
      </c>
      <c r="H1094" t="inlineStr">
        <is>
          <t>Personal &gt; Relationships &gt; Quick Add &gt; Dates</t>
        </is>
      </c>
      <c r="I1094" s="18" t="n">
        <v>7522.58</v>
      </c>
      <c r="J1094" t="inlineStr">
        <is>
          <t>Created MTR-IOS-1093 and correlation note visible in Activity/Pulse</t>
        </is>
      </c>
      <c r="K1094" t="inlineStr">
        <is>
          <t>NOT_RUN</t>
        </is>
      </c>
      <c r="P1094" t="n">
        <v>0</v>
      </c>
      <c r="Q1094" t="n">
        <v>1093</v>
      </c>
    </row>
    <row r="1095">
      <c r="A1095" t="n">
        <v>1094</v>
      </c>
      <c r="B1095" t="inlineStr">
        <is>
          <t>MTR-IOS-1094</t>
        </is>
      </c>
      <c r="C1095" t="inlineStr">
        <is>
          <t>iPhone</t>
        </is>
      </c>
      <c r="D1095" t="inlineStr">
        <is>
          <t>Group</t>
        </is>
      </c>
      <c r="E1095" t="inlineStr">
        <is>
          <t>Shared Experience</t>
        </is>
      </c>
      <c r="F1095" t="inlineStr">
        <is>
          <t>Office Outing</t>
        </is>
      </c>
      <c r="G1095" t="inlineStr">
        <is>
          <t>Activities</t>
        </is>
      </c>
      <c r="H1095" t="inlineStr">
        <is>
          <t>Group &gt; Office Outing &gt; Quick Add &gt; Activities</t>
        </is>
      </c>
      <c r="I1095" s="18" t="n">
        <v>12477.28</v>
      </c>
      <c r="J1095" t="inlineStr">
        <is>
          <t>Created MTR-IOS-1094 and correlation note visible in Activity/Pulse</t>
        </is>
      </c>
      <c r="K1095" t="inlineStr">
        <is>
          <t>NOT_RUN</t>
        </is>
      </c>
      <c r="P1095" t="n">
        <v>0</v>
      </c>
      <c r="Q1095" t="n">
        <v>1094</v>
      </c>
    </row>
    <row r="1096">
      <c r="A1096" t="n">
        <v>1095</v>
      </c>
      <c r="B1096" t="inlineStr">
        <is>
          <t>MTR-IOS-1095</t>
        </is>
      </c>
      <c r="C1096" t="inlineStr">
        <is>
          <t>iPhone</t>
        </is>
      </c>
      <c r="D1096" t="inlineStr">
        <is>
          <t>Business</t>
        </is>
      </c>
      <c r="E1096" t="inlineStr">
        <is>
          <t>Business</t>
        </is>
      </c>
      <c r="F1096" t="inlineStr">
        <is>
          <t>Business Runway</t>
        </is>
      </c>
      <c r="G1096" t="inlineStr">
        <is>
          <t>Funding</t>
        </is>
      </c>
      <c r="H1096" t="inlineStr">
        <is>
          <t>Business &gt; Business Runway &gt; Quick Add &gt; Funding</t>
        </is>
      </c>
      <c r="I1096" s="18" t="n">
        <v>15762.67</v>
      </c>
      <c r="J1096" t="inlineStr">
        <is>
          <t>Created MTR-IOS-1095 and correlation note visible in Activity/Pulse</t>
        </is>
      </c>
      <c r="K1096" t="inlineStr">
        <is>
          <t>NOT_RUN</t>
        </is>
      </c>
      <c r="P1096" t="n">
        <v>0</v>
      </c>
      <c r="Q1096" t="n">
        <v>1095</v>
      </c>
    </row>
    <row r="1097">
      <c r="A1097" t="n">
        <v>1096</v>
      </c>
      <c r="B1097" t="inlineStr">
        <is>
          <t>MTR-IOS-1096</t>
        </is>
      </c>
      <c r="C1097" t="inlineStr">
        <is>
          <t>iPhone</t>
        </is>
      </c>
      <c r="D1097" t="inlineStr">
        <is>
          <t>Personal</t>
        </is>
      </c>
      <c r="E1097" t="inlineStr">
        <is>
          <t>Personal</t>
        </is>
      </c>
      <c r="F1097" t="inlineStr">
        <is>
          <t>Relationships</t>
        </is>
      </c>
      <c r="G1097" t="inlineStr">
        <is>
          <t>Family</t>
        </is>
      </c>
      <c r="H1097" t="inlineStr">
        <is>
          <t>Personal &gt; Relationships &gt; Quick Add &gt; Family</t>
        </is>
      </c>
      <c r="I1097" s="18" t="n">
        <v>15181.91</v>
      </c>
      <c r="J1097" t="inlineStr">
        <is>
          <t>Created MTR-IOS-1096 and correlation note visible in Activity/Pulse</t>
        </is>
      </c>
      <c r="K1097" t="inlineStr">
        <is>
          <t>NOT_RUN</t>
        </is>
      </c>
      <c r="P1097" t="n">
        <v>0</v>
      </c>
      <c r="Q1097" t="n">
        <v>1096</v>
      </c>
    </row>
    <row r="1098">
      <c r="A1098" t="n">
        <v>1097</v>
      </c>
      <c r="B1098" t="inlineStr">
        <is>
          <t>MTR-IOS-1097</t>
        </is>
      </c>
      <c r="C1098" t="inlineStr">
        <is>
          <t>iPhone</t>
        </is>
      </c>
      <c r="D1098" t="inlineStr">
        <is>
          <t>Group</t>
        </is>
      </c>
      <c r="E1098" t="inlineStr">
        <is>
          <t>Shared Experience</t>
        </is>
      </c>
      <c r="F1098" t="inlineStr">
        <is>
          <t>Office Outing</t>
        </is>
      </c>
      <c r="G1098" t="inlineStr">
        <is>
          <t>Venue</t>
        </is>
      </c>
      <c r="H1098" t="inlineStr">
        <is>
          <t>Group &gt; Office Outing &gt; Quick Add &gt; Venue</t>
        </is>
      </c>
      <c r="I1098" s="18" t="n">
        <v>13526.76</v>
      </c>
      <c r="J1098" t="inlineStr">
        <is>
          <t>Created MTR-IOS-1097 and correlation note visible in Activity/Pulse</t>
        </is>
      </c>
      <c r="K1098" t="inlineStr">
        <is>
          <t>NOT_RUN</t>
        </is>
      </c>
      <c r="P1098" t="n">
        <v>0</v>
      </c>
      <c r="Q1098" t="n">
        <v>1097</v>
      </c>
    </row>
    <row r="1099">
      <c r="A1099" t="n">
        <v>1098</v>
      </c>
      <c r="B1099" t="inlineStr">
        <is>
          <t>MTR-IOS-1098</t>
        </is>
      </c>
      <c r="C1099" t="inlineStr">
        <is>
          <t>iPhone</t>
        </is>
      </c>
      <c r="D1099" t="inlineStr">
        <is>
          <t>Business</t>
        </is>
      </c>
      <c r="E1099" t="inlineStr">
        <is>
          <t>Business</t>
        </is>
      </c>
      <c r="F1099" t="inlineStr">
        <is>
          <t>Business Runway</t>
        </is>
      </c>
      <c r="G1099" t="inlineStr">
        <is>
          <t>Revenue</t>
        </is>
      </c>
      <c r="H1099" t="inlineStr">
        <is>
          <t>Business &gt; Business Runway &gt; Quick Add &gt; Revenue</t>
        </is>
      </c>
      <c r="I1099" s="18" t="n">
        <v>65653.47</v>
      </c>
      <c r="J1099" t="inlineStr">
        <is>
          <t>Created MTR-IOS-1098 and correlation note visible in Activity/Pulse</t>
        </is>
      </c>
      <c r="K1099" t="inlineStr">
        <is>
          <t>NOT_RUN</t>
        </is>
      </c>
      <c r="P1099" t="n">
        <v>0</v>
      </c>
      <c r="Q1099" t="n">
        <v>1098</v>
      </c>
    </row>
    <row r="1100">
      <c r="A1100" t="n">
        <v>1099</v>
      </c>
      <c r="B1100" t="inlineStr">
        <is>
          <t>MTR-IOS-1099</t>
        </is>
      </c>
      <c r="C1100" t="inlineStr">
        <is>
          <t>iPhone</t>
        </is>
      </c>
      <c r="D1100" t="inlineStr">
        <is>
          <t>Personal</t>
        </is>
      </c>
      <c r="E1100" t="inlineStr">
        <is>
          <t>Personal</t>
        </is>
      </c>
      <c r="F1100" t="inlineStr">
        <is>
          <t>Relationships</t>
        </is>
      </c>
      <c r="G1100" t="inlineStr">
        <is>
          <t>Friends</t>
        </is>
      </c>
      <c r="H1100" t="inlineStr">
        <is>
          <t>Personal &gt; Relationships &gt; Quick Add &gt; Friends</t>
        </is>
      </c>
      <c r="I1100" s="18" t="n">
        <v>12624.26</v>
      </c>
      <c r="J1100" t="inlineStr">
        <is>
          <t>Created MTR-IOS-1099 and correlation note visible in Activity/Pulse</t>
        </is>
      </c>
      <c r="K1100" t="inlineStr">
        <is>
          <t>NOT_RUN</t>
        </is>
      </c>
      <c r="P1100" t="n">
        <v>0</v>
      </c>
      <c r="Q1100" t="n">
        <v>1099</v>
      </c>
    </row>
    <row r="1101">
      <c r="A1101" t="n">
        <v>1100</v>
      </c>
      <c r="B1101" t="inlineStr">
        <is>
          <t>MTR-IOS-1100</t>
        </is>
      </c>
      <c r="C1101" t="inlineStr">
        <is>
          <t>iPhone</t>
        </is>
      </c>
      <c r="D1101" t="inlineStr">
        <is>
          <t>Group</t>
        </is>
      </c>
      <c r="E1101" t="inlineStr">
        <is>
          <t>Shared Experience</t>
        </is>
      </c>
      <c r="F1101" t="inlineStr">
        <is>
          <t>Office Outing</t>
        </is>
      </c>
      <c r="G1101" t="inlineStr">
        <is>
          <t>Other</t>
        </is>
      </c>
      <c r="H1101" t="inlineStr">
        <is>
          <t>Group &gt; Office Outing &gt; Quick Add &gt; Other</t>
        </is>
      </c>
      <c r="I1101" s="18" t="n">
        <v>17701.06</v>
      </c>
      <c r="J1101" t="inlineStr">
        <is>
          <t>Created MTR-IOS-1100 and correlation note visible in Activity/Pulse</t>
        </is>
      </c>
      <c r="K1101" t="inlineStr">
        <is>
          <t>NOT_RUN</t>
        </is>
      </c>
      <c r="P1101" t="n">
        <v>0</v>
      </c>
      <c r="Q1101" t="n">
        <v>1100</v>
      </c>
    </row>
    <row r="1102">
      <c r="A1102" t="n">
        <v>1101</v>
      </c>
      <c r="B1102" t="inlineStr">
        <is>
          <t>MTR-IOS-1101</t>
        </is>
      </c>
      <c r="C1102" t="inlineStr">
        <is>
          <t>iPhone</t>
        </is>
      </c>
      <c r="D1102" t="inlineStr">
        <is>
          <t>Business</t>
        </is>
      </c>
      <c r="E1102" t="inlineStr">
        <is>
          <t>Business</t>
        </is>
      </c>
      <c r="F1102" t="inlineStr">
        <is>
          <t>Business Runway</t>
        </is>
      </c>
      <c r="G1102" t="inlineStr">
        <is>
          <t>Burn</t>
        </is>
      </c>
      <c r="H1102" t="inlineStr">
        <is>
          <t>Business &gt; Business Runway &gt; Quick Add &gt; Burn</t>
        </is>
      </c>
      <c r="I1102" s="18" t="n">
        <v>11480.14</v>
      </c>
      <c r="J1102" t="inlineStr">
        <is>
          <t>Created MTR-IOS-1101 and correlation note visible in Activity/Pulse</t>
        </is>
      </c>
      <c r="K1102" t="inlineStr">
        <is>
          <t>NOT_RUN</t>
        </is>
      </c>
      <c r="P1102" t="n">
        <v>0</v>
      </c>
      <c r="Q1102" t="n">
        <v>1101</v>
      </c>
    </row>
    <row r="1103">
      <c r="A1103" t="n">
        <v>1102</v>
      </c>
      <c r="B1103" t="inlineStr">
        <is>
          <t>MTR-IOS-1102</t>
        </is>
      </c>
      <c r="C1103" t="inlineStr">
        <is>
          <t>iPhone</t>
        </is>
      </c>
      <c r="D1103" t="inlineStr">
        <is>
          <t>Personal</t>
        </is>
      </c>
      <c r="E1103" t="inlineStr">
        <is>
          <t>Personal</t>
        </is>
      </c>
      <c r="F1103" t="inlineStr">
        <is>
          <t>Relationships</t>
        </is>
      </c>
      <c r="G1103" t="inlineStr">
        <is>
          <t>Celebrations</t>
        </is>
      </c>
      <c r="H1103" t="inlineStr">
        <is>
          <t>Personal &gt; Relationships &gt; Quick Add &gt; Celebrations</t>
        </is>
      </c>
      <c r="I1103" s="18" t="n">
        <v>907.65</v>
      </c>
      <c r="J1103" t="inlineStr">
        <is>
          <t>Created MTR-IOS-1102 and correlation note visible in Activity/Pulse</t>
        </is>
      </c>
      <c r="K1103" t="inlineStr">
        <is>
          <t>NOT_RUN</t>
        </is>
      </c>
      <c r="P1103" t="n">
        <v>0</v>
      </c>
      <c r="Q1103" t="n">
        <v>1102</v>
      </c>
    </row>
    <row r="1104">
      <c r="A1104" t="n">
        <v>1103</v>
      </c>
      <c r="B1104" t="inlineStr">
        <is>
          <t>MTR-IOS-1103</t>
        </is>
      </c>
      <c r="C1104" t="inlineStr">
        <is>
          <t>iPhone</t>
        </is>
      </c>
      <c r="D1104" t="inlineStr">
        <is>
          <t>Group</t>
        </is>
      </c>
      <c r="E1104" t="inlineStr">
        <is>
          <t>Shared Experience</t>
        </is>
      </c>
      <c r="F1104" t="inlineStr">
        <is>
          <t>House Party</t>
        </is>
      </c>
      <c r="G1104" t="inlineStr">
        <is>
          <t>Food</t>
        </is>
      </c>
      <c r="H1104" t="inlineStr">
        <is>
          <t>Group &gt; House Party &gt; Quick Add &gt; Food</t>
        </is>
      </c>
      <c r="I1104" s="18" t="n">
        <v>9453.34</v>
      </c>
      <c r="J1104" t="inlineStr">
        <is>
          <t>Created MTR-IOS-1103 and correlation note visible in Activity/Pulse</t>
        </is>
      </c>
      <c r="K1104" t="inlineStr">
        <is>
          <t>NOT_RUN</t>
        </is>
      </c>
      <c r="P1104" t="n">
        <v>0</v>
      </c>
      <c r="Q1104" t="n">
        <v>1103</v>
      </c>
    </row>
    <row r="1105">
      <c r="A1105" t="n">
        <v>1104</v>
      </c>
      <c r="B1105" t="inlineStr">
        <is>
          <t>MTR-IOS-1104</t>
        </is>
      </c>
      <c r="C1105" t="inlineStr">
        <is>
          <t>iPhone</t>
        </is>
      </c>
      <c r="D1105" t="inlineStr">
        <is>
          <t>Business</t>
        </is>
      </c>
      <c r="E1105" t="inlineStr">
        <is>
          <t>Business</t>
        </is>
      </c>
      <c r="F1105" t="inlineStr">
        <is>
          <t>Business Runway</t>
        </is>
      </c>
      <c r="G1105" t="inlineStr">
        <is>
          <t>Reserve</t>
        </is>
      </c>
      <c r="H1105" t="inlineStr">
        <is>
          <t>Business &gt; Business Runway &gt; Quick Add &gt; Reserve</t>
        </is>
      </c>
      <c r="I1105" s="18" t="n">
        <v>75400.96000000001</v>
      </c>
      <c r="J1105" t="inlineStr">
        <is>
          <t>Created MTR-IOS-1104 and correlation note visible in Activity/Pulse</t>
        </is>
      </c>
      <c r="K1105" t="inlineStr">
        <is>
          <t>NOT_RUN</t>
        </is>
      </c>
      <c r="P1105" t="n">
        <v>0</v>
      </c>
      <c r="Q1105" t="n">
        <v>1104</v>
      </c>
    </row>
    <row r="1106">
      <c r="A1106" t="n">
        <v>1105</v>
      </c>
      <c r="B1106" t="inlineStr">
        <is>
          <t>MTR-IOS-1105</t>
        </is>
      </c>
      <c r="C1106" t="inlineStr">
        <is>
          <t>iPhone</t>
        </is>
      </c>
      <c r="D1106" t="inlineStr">
        <is>
          <t>Personal</t>
        </is>
      </c>
      <c r="E1106" t="inlineStr">
        <is>
          <t>Personal</t>
        </is>
      </c>
      <c r="F1106" t="inlineStr">
        <is>
          <t>Life Operations</t>
        </is>
      </c>
      <c r="G1106" t="inlineStr">
        <is>
          <t>Groceries</t>
        </is>
      </c>
      <c r="H1106" t="inlineStr">
        <is>
          <t>Personal &gt; Life Operations &gt; Quick Add &gt; Groceries</t>
        </is>
      </c>
      <c r="I1106" s="18" t="n">
        <v>10670.48</v>
      </c>
      <c r="J1106" t="inlineStr">
        <is>
          <t>Created MTR-IOS-1105 and correlation note visible in Activity/Pulse</t>
        </is>
      </c>
      <c r="K1106" t="inlineStr">
        <is>
          <t>NOT_RUN</t>
        </is>
      </c>
      <c r="P1106" t="n">
        <v>0</v>
      </c>
      <c r="Q1106" t="n">
        <v>1105</v>
      </c>
    </row>
    <row r="1107">
      <c r="A1107" t="n">
        <v>1106</v>
      </c>
      <c r="B1107" t="inlineStr">
        <is>
          <t>MTR-IOS-1106</t>
        </is>
      </c>
      <c r="C1107" t="inlineStr">
        <is>
          <t>iPhone</t>
        </is>
      </c>
      <c r="D1107" t="inlineStr">
        <is>
          <t>Group</t>
        </is>
      </c>
      <c r="E1107" t="inlineStr">
        <is>
          <t>Shared Experience</t>
        </is>
      </c>
      <c r="F1107" t="inlineStr">
        <is>
          <t>House Party</t>
        </is>
      </c>
      <c r="G1107" t="inlineStr">
        <is>
          <t>Drinks</t>
        </is>
      </c>
      <c r="H1107" t="inlineStr">
        <is>
          <t>Group &gt; House Party &gt; Quick Add &gt; Drinks</t>
        </is>
      </c>
      <c r="I1107" s="18" t="n">
        <v>7443.12</v>
      </c>
      <c r="J1107" t="inlineStr">
        <is>
          <t>Created MTR-IOS-1106 and correlation note visible in Activity/Pulse</t>
        </is>
      </c>
      <c r="K1107" t="inlineStr">
        <is>
          <t>NOT_RUN</t>
        </is>
      </c>
      <c r="P1107" t="n">
        <v>0</v>
      </c>
      <c r="Q1107" t="n">
        <v>1106</v>
      </c>
    </row>
    <row r="1108">
      <c r="A1108" t="n">
        <v>1107</v>
      </c>
      <c r="B1108" t="inlineStr">
        <is>
          <t>MTR-IOS-1107</t>
        </is>
      </c>
      <c r="C1108" t="inlineStr">
        <is>
          <t>iPhone</t>
        </is>
      </c>
      <c r="D1108" t="inlineStr">
        <is>
          <t>Business</t>
        </is>
      </c>
      <c r="E1108" t="inlineStr">
        <is>
          <t>Business</t>
        </is>
      </c>
      <c r="F1108" t="inlineStr">
        <is>
          <t>Business Runway</t>
        </is>
      </c>
      <c r="G1108" t="inlineStr">
        <is>
          <t>Loan</t>
        </is>
      </c>
      <c r="H1108" t="inlineStr">
        <is>
          <t>Business &gt; Business Runway &gt; Quick Add &gt; Loan</t>
        </is>
      </c>
      <c r="I1108" s="18" t="n">
        <v>82638.64</v>
      </c>
      <c r="J1108" t="inlineStr">
        <is>
          <t>Created MTR-IOS-1107 and correlation note visible in Activity/Pulse</t>
        </is>
      </c>
      <c r="K1108" t="inlineStr">
        <is>
          <t>NOT_RUN</t>
        </is>
      </c>
      <c r="P1108" t="n">
        <v>0</v>
      </c>
      <c r="Q1108" t="n">
        <v>1107</v>
      </c>
    </row>
    <row r="1109">
      <c r="A1109" t="n">
        <v>1108</v>
      </c>
      <c r="B1109" t="inlineStr">
        <is>
          <t>MTR-IOS-1108</t>
        </is>
      </c>
      <c r="C1109" t="inlineStr">
        <is>
          <t>iPhone</t>
        </is>
      </c>
      <c r="D1109" t="inlineStr">
        <is>
          <t>Personal</t>
        </is>
      </c>
      <c r="E1109" t="inlineStr">
        <is>
          <t>Personal</t>
        </is>
      </c>
      <c r="F1109" t="inlineStr">
        <is>
          <t>Life Operations</t>
        </is>
      </c>
      <c r="G1109" t="inlineStr">
        <is>
          <t>Rent</t>
        </is>
      </c>
      <c r="H1109" t="inlineStr">
        <is>
          <t>Personal &gt; Life Operations &gt; Quick Add &gt; Rent</t>
        </is>
      </c>
      <c r="I1109" s="18" t="n">
        <v>11947.02</v>
      </c>
      <c r="J1109" t="inlineStr">
        <is>
          <t>Created MTR-IOS-1108 and correlation note visible in Activity/Pulse</t>
        </is>
      </c>
      <c r="K1109" t="inlineStr">
        <is>
          <t>NOT_RUN</t>
        </is>
      </c>
      <c r="P1109" t="n">
        <v>0</v>
      </c>
      <c r="Q1109" t="n">
        <v>1108</v>
      </c>
    </row>
    <row r="1110">
      <c r="A1110" t="n">
        <v>1109</v>
      </c>
      <c r="B1110" t="inlineStr">
        <is>
          <t>MTR-IOS-1109</t>
        </is>
      </c>
      <c r="C1110" t="inlineStr">
        <is>
          <t>iPhone</t>
        </is>
      </c>
      <c r="D1110" t="inlineStr">
        <is>
          <t>Group</t>
        </is>
      </c>
      <c r="E1110" t="inlineStr">
        <is>
          <t>Shared Experience</t>
        </is>
      </c>
      <c r="F1110" t="inlineStr">
        <is>
          <t>House Party</t>
        </is>
      </c>
      <c r="G1110" t="inlineStr">
        <is>
          <t>Decor</t>
        </is>
      </c>
      <c r="H1110" t="inlineStr">
        <is>
          <t>Group &gt; House Party &gt; Quick Add &gt; Decor</t>
        </is>
      </c>
      <c r="I1110" s="18" t="n">
        <v>8165.38</v>
      </c>
      <c r="J1110" t="inlineStr">
        <is>
          <t>Created MTR-IOS-1109 and correlation note visible in Activity/Pulse</t>
        </is>
      </c>
      <c r="K1110" t="inlineStr">
        <is>
          <t>NOT_RUN</t>
        </is>
      </c>
      <c r="P1110" t="n">
        <v>0</v>
      </c>
      <c r="Q1110" t="n">
        <v>1109</v>
      </c>
    </row>
    <row r="1111">
      <c r="A1111" t="n">
        <v>1110</v>
      </c>
      <c r="B1111" t="inlineStr">
        <is>
          <t>MTR-IOS-1110</t>
        </is>
      </c>
      <c r="C1111" t="inlineStr">
        <is>
          <t>iPhone</t>
        </is>
      </c>
      <c r="D1111" t="inlineStr">
        <is>
          <t>Business</t>
        </is>
      </c>
      <c r="E1111" t="inlineStr">
        <is>
          <t>Business</t>
        </is>
      </c>
      <c r="F1111" t="inlineStr">
        <is>
          <t>Business Runway</t>
        </is>
      </c>
      <c r="G1111" t="inlineStr">
        <is>
          <t>Investment</t>
        </is>
      </c>
      <c r="H1111" t="inlineStr">
        <is>
          <t>Business &gt; Business Runway &gt; Quick Add &gt; Investment</t>
        </is>
      </c>
      <c r="I1111" s="18" t="n">
        <v>0.01</v>
      </c>
      <c r="J1111" t="inlineStr">
        <is>
          <t>Created MTR-IOS-1110 and correlation note visible in Activity/Pulse</t>
        </is>
      </c>
      <c r="K1111" t="inlineStr">
        <is>
          <t>NOT_RUN</t>
        </is>
      </c>
      <c r="P1111" t="n">
        <v>0</v>
      </c>
      <c r="Q1111" t="n">
        <v>1110</v>
      </c>
    </row>
    <row r="1112">
      <c r="A1112" t="n">
        <v>1111</v>
      </c>
      <c r="B1112" t="inlineStr">
        <is>
          <t>MTR-IOS-1111</t>
        </is>
      </c>
      <c r="C1112" t="inlineStr">
        <is>
          <t>iPhone</t>
        </is>
      </c>
      <c r="D1112" t="inlineStr">
        <is>
          <t>Personal</t>
        </is>
      </c>
      <c r="E1112" t="inlineStr">
        <is>
          <t>Personal</t>
        </is>
      </c>
      <c r="F1112" t="inlineStr">
        <is>
          <t>Life Operations</t>
        </is>
      </c>
      <c r="G1112" t="inlineStr">
        <is>
          <t>Bills</t>
        </is>
      </c>
      <c r="H1112" t="inlineStr">
        <is>
          <t>Personal &gt; Life Operations &gt; Quick Add &gt; Bills</t>
        </is>
      </c>
      <c r="I1112" s="18" t="n">
        <v>4001.37</v>
      </c>
      <c r="J1112" t="inlineStr">
        <is>
          <t>Created MTR-IOS-1111 and correlation note visible in Activity/Pulse</t>
        </is>
      </c>
      <c r="K1112" t="inlineStr">
        <is>
          <t>NOT_RUN</t>
        </is>
      </c>
      <c r="P1112" t="n">
        <v>0</v>
      </c>
      <c r="Q1112" t="n">
        <v>1111</v>
      </c>
    </row>
    <row r="1113">
      <c r="A1113" t="n">
        <v>1112</v>
      </c>
      <c r="B1113" t="inlineStr">
        <is>
          <t>MTR-IOS-1112</t>
        </is>
      </c>
      <c r="C1113" t="inlineStr">
        <is>
          <t>iPhone</t>
        </is>
      </c>
      <c r="D1113" t="inlineStr">
        <is>
          <t>Group</t>
        </is>
      </c>
      <c r="E1113" t="inlineStr">
        <is>
          <t>Shared Experience</t>
        </is>
      </c>
      <c r="F1113" t="inlineStr">
        <is>
          <t>House Party</t>
        </is>
      </c>
      <c r="G1113" t="inlineStr">
        <is>
          <t>Supplies</t>
        </is>
      </c>
      <c r="H1113" t="inlineStr">
        <is>
          <t>Group &gt; House Party &gt; Quick Add &gt; Supplies</t>
        </is>
      </c>
      <c r="I1113" s="18" t="n">
        <v>8333.66</v>
      </c>
      <c r="J1113" t="inlineStr">
        <is>
          <t>Created MTR-IOS-1112 and correlation note visible in Activity/Pulse</t>
        </is>
      </c>
      <c r="K1113" t="inlineStr">
        <is>
          <t>NOT_RUN</t>
        </is>
      </c>
      <c r="P1113" t="n">
        <v>0</v>
      </c>
      <c r="Q1113" t="n">
        <v>1112</v>
      </c>
    </row>
    <row r="1114">
      <c r="A1114" t="n">
        <v>1113</v>
      </c>
      <c r="B1114" t="inlineStr">
        <is>
          <t>MTR-IOS-1113</t>
        </is>
      </c>
      <c r="C1114" t="inlineStr">
        <is>
          <t>iPhone</t>
        </is>
      </c>
      <c r="D1114" t="inlineStr">
        <is>
          <t>Business</t>
        </is>
      </c>
      <c r="E1114" t="inlineStr">
        <is>
          <t>Business</t>
        </is>
      </c>
      <c r="F1114" t="inlineStr">
        <is>
          <t>Business Operations</t>
        </is>
      </c>
      <c r="G1114" t="inlineStr">
        <is>
          <t>Software</t>
        </is>
      </c>
      <c r="H1114" t="inlineStr">
        <is>
          <t>Business &gt; Business Operations &gt; Quick Add &gt; Software</t>
        </is>
      </c>
      <c r="I1114" s="18" t="n">
        <v>40255.06</v>
      </c>
      <c r="J1114" t="inlineStr">
        <is>
          <t>Created MTR-IOS-1113 and correlation note visible in Activity/Pulse</t>
        </is>
      </c>
      <c r="K1114" t="inlineStr">
        <is>
          <t>NOT_RUN</t>
        </is>
      </c>
      <c r="P1114" t="n">
        <v>0</v>
      </c>
      <c r="Q1114" t="n">
        <v>1113</v>
      </c>
    </row>
    <row r="1115">
      <c r="A1115" t="n">
        <v>1114</v>
      </c>
      <c r="B1115" t="inlineStr">
        <is>
          <t>MTR-IOS-1114</t>
        </is>
      </c>
      <c r="C1115" t="inlineStr">
        <is>
          <t>iPhone</t>
        </is>
      </c>
      <c r="D1115" t="inlineStr">
        <is>
          <t>Personal</t>
        </is>
      </c>
      <c r="E1115" t="inlineStr">
        <is>
          <t>Personal</t>
        </is>
      </c>
      <c r="F1115" t="inlineStr">
        <is>
          <t>Life Operations</t>
        </is>
      </c>
      <c r="G1115" t="inlineStr">
        <is>
          <t>Transport</t>
        </is>
      </c>
      <c r="H1115" t="inlineStr">
        <is>
          <t>Personal &gt; Life Operations &gt; Quick Add &gt; Transport</t>
        </is>
      </c>
      <c r="I1115" s="18" t="n">
        <v>5194.84</v>
      </c>
      <c r="J1115" t="inlineStr">
        <is>
          <t>Created MTR-IOS-1114 and correlation note visible in Activity/Pulse</t>
        </is>
      </c>
      <c r="K1115" t="inlineStr">
        <is>
          <t>NOT_RUN</t>
        </is>
      </c>
      <c r="P1115" t="n">
        <v>0</v>
      </c>
      <c r="Q1115" t="n">
        <v>1114</v>
      </c>
    </row>
    <row r="1116">
      <c r="A1116" t="n">
        <v>1115</v>
      </c>
      <c r="B1116" t="inlineStr">
        <is>
          <t>MTR-IOS-1115</t>
        </is>
      </c>
      <c r="C1116" t="inlineStr">
        <is>
          <t>iPhone</t>
        </is>
      </c>
      <c r="D1116" t="inlineStr">
        <is>
          <t>Group</t>
        </is>
      </c>
      <c r="E1116" t="inlineStr">
        <is>
          <t>Shared Experience</t>
        </is>
      </c>
      <c r="F1116" t="inlineStr">
        <is>
          <t>House Party</t>
        </is>
      </c>
      <c r="G1116" t="inlineStr">
        <is>
          <t>Other</t>
        </is>
      </c>
      <c r="H1116" t="inlineStr">
        <is>
          <t>Group &gt; House Party &gt; Quick Add &gt; Other</t>
        </is>
      </c>
      <c r="I1116" s="18" t="n">
        <v>22722.92</v>
      </c>
      <c r="J1116" t="inlineStr">
        <is>
          <t>Created MTR-IOS-1115 and correlation note visible in Activity/Pulse</t>
        </is>
      </c>
      <c r="K1116" t="inlineStr">
        <is>
          <t>NOT_RUN</t>
        </is>
      </c>
      <c r="P1116" t="n">
        <v>0</v>
      </c>
      <c r="Q1116" t="n">
        <v>1115</v>
      </c>
    </row>
    <row r="1117">
      <c r="A1117" t="n">
        <v>1116</v>
      </c>
      <c r="B1117" t="inlineStr">
        <is>
          <t>MTR-IOS-1116</t>
        </is>
      </c>
      <c r="C1117" t="inlineStr">
        <is>
          <t>iPhone</t>
        </is>
      </c>
      <c r="D1117" t="inlineStr">
        <is>
          <t>Business</t>
        </is>
      </c>
      <c r="E1117" t="inlineStr">
        <is>
          <t>Business</t>
        </is>
      </c>
      <c r="F1117" t="inlineStr">
        <is>
          <t>Business Operations</t>
        </is>
      </c>
      <c r="G1117" t="inlineStr">
        <is>
          <t>Rent</t>
        </is>
      </c>
      <c r="H1117" t="inlineStr">
        <is>
          <t>Business &gt; Business Operations &gt; Quick Add &gt; Rent</t>
        </is>
      </c>
      <c r="I1117" s="18" t="n">
        <v>14299.62</v>
      </c>
      <c r="J1117" t="inlineStr">
        <is>
          <t>Created MTR-IOS-1116 and correlation note visible in Activity/Pulse</t>
        </is>
      </c>
      <c r="K1117" t="inlineStr">
        <is>
          <t>NOT_RUN</t>
        </is>
      </c>
      <c r="P1117" t="n">
        <v>0</v>
      </c>
      <c r="Q1117" t="n">
        <v>1116</v>
      </c>
    </row>
    <row r="1118">
      <c r="A1118" t="n">
        <v>1117</v>
      </c>
      <c r="B1118" t="inlineStr">
        <is>
          <t>MTR-IOS-1117</t>
        </is>
      </c>
      <c r="C1118" t="inlineStr">
        <is>
          <t>iPhone</t>
        </is>
      </c>
      <c r="D1118" t="inlineStr">
        <is>
          <t>Personal</t>
        </is>
      </c>
      <c r="E1118" t="inlineStr">
        <is>
          <t>Personal</t>
        </is>
      </c>
      <c r="F1118" t="inlineStr">
        <is>
          <t>Life Operations</t>
        </is>
      </c>
      <c r="G1118" t="inlineStr">
        <is>
          <t>Healthcare</t>
        </is>
      </c>
      <c r="H1118" t="inlineStr">
        <is>
          <t>Personal &gt; Life Operations &gt; Quick Add &gt; Healthcare</t>
        </is>
      </c>
      <c r="I1118" s="18" t="n">
        <v>16272.1</v>
      </c>
      <c r="J1118" t="inlineStr">
        <is>
          <t>Created MTR-IOS-1117 and correlation note visible in Activity/Pulse</t>
        </is>
      </c>
      <c r="K1118" t="inlineStr">
        <is>
          <t>NOT_RUN</t>
        </is>
      </c>
      <c r="P1118" t="n">
        <v>0</v>
      </c>
      <c r="Q1118" t="n">
        <v>1117</v>
      </c>
    </row>
    <row r="1119">
      <c r="A1119" t="n">
        <v>1118</v>
      </c>
      <c r="B1119" t="inlineStr">
        <is>
          <t>MTR-IOS-1118</t>
        </is>
      </c>
      <c r="C1119" t="inlineStr">
        <is>
          <t>iPhone</t>
        </is>
      </c>
      <c r="D1119" t="inlineStr">
        <is>
          <t>Group</t>
        </is>
      </c>
      <c r="E1119" t="inlineStr">
        <is>
          <t>Shared Purchase</t>
        </is>
      </c>
      <c r="F1119" t="inlineStr">
        <is>
          <t>Gift Pool</t>
        </is>
      </c>
      <c r="G1119" t="inlineStr">
        <is>
          <t>Contribution</t>
        </is>
      </c>
      <c r="H1119" t="inlineStr">
        <is>
          <t>Group &gt; Gift Pool &gt; Quick Add &gt; Contribution</t>
        </is>
      </c>
      <c r="I1119" s="18" t="n">
        <v>14698.93</v>
      </c>
      <c r="J1119" t="inlineStr">
        <is>
          <t>Created MTR-IOS-1118 and correlation note visible in Activity/Pulse</t>
        </is>
      </c>
      <c r="K1119" t="inlineStr">
        <is>
          <t>NOT_RUN</t>
        </is>
      </c>
      <c r="P1119" t="n">
        <v>0</v>
      </c>
      <c r="Q1119" t="n">
        <v>1118</v>
      </c>
    </row>
    <row r="1120">
      <c r="A1120" t="n">
        <v>1119</v>
      </c>
      <c r="B1120" t="inlineStr">
        <is>
          <t>MTR-IOS-1119</t>
        </is>
      </c>
      <c r="C1120" t="inlineStr">
        <is>
          <t>iPhone</t>
        </is>
      </c>
      <c r="D1120" t="inlineStr">
        <is>
          <t>Business</t>
        </is>
      </c>
      <c r="E1120" t="inlineStr">
        <is>
          <t>Business</t>
        </is>
      </c>
      <c r="F1120" t="inlineStr">
        <is>
          <t>Business Operations</t>
        </is>
      </c>
      <c r="G1120" t="inlineStr">
        <is>
          <t>Marketing</t>
        </is>
      </c>
      <c r="H1120" t="inlineStr">
        <is>
          <t>Business &gt; Business Operations &gt; Quick Add &gt; Marketing</t>
        </is>
      </c>
      <c r="I1120" s="18" t="n">
        <v>54230.71</v>
      </c>
      <c r="J1120" t="inlineStr">
        <is>
          <t>Created MTR-IOS-1119 and correlation note visible in Activity/Pulse</t>
        </is>
      </c>
      <c r="K1120" t="inlineStr">
        <is>
          <t>NOT_RUN</t>
        </is>
      </c>
      <c r="P1120" t="n">
        <v>0</v>
      </c>
      <c r="Q1120" t="n">
        <v>1119</v>
      </c>
    </row>
    <row r="1121">
      <c r="A1121" t="n">
        <v>1120</v>
      </c>
      <c r="B1121" t="inlineStr">
        <is>
          <t>MTR-IOS-1120</t>
        </is>
      </c>
      <c r="C1121" t="inlineStr">
        <is>
          <t>iPhone</t>
        </is>
      </c>
      <c r="D1121" t="inlineStr">
        <is>
          <t>Personal</t>
        </is>
      </c>
      <c r="E1121" t="inlineStr">
        <is>
          <t>Personal</t>
        </is>
      </c>
      <c r="F1121" t="inlineStr">
        <is>
          <t>Life Operations</t>
        </is>
      </c>
      <c r="G1121" t="inlineStr">
        <is>
          <t>Subscriptions</t>
        </is>
      </c>
      <c r="H1121" t="inlineStr">
        <is>
          <t>Personal &gt; Life Operations &gt; Quick Add &gt; Subscriptions</t>
        </is>
      </c>
      <c r="I1121" s="18" t="n">
        <v>11718.74</v>
      </c>
      <c r="J1121" t="inlineStr">
        <is>
          <t>Created MTR-IOS-1120 and correlation note visible in Activity/Pulse</t>
        </is>
      </c>
      <c r="K1121" t="inlineStr">
        <is>
          <t>NOT_RUN</t>
        </is>
      </c>
      <c r="P1121" t="n">
        <v>0</v>
      </c>
      <c r="Q1121" t="n">
        <v>1120</v>
      </c>
    </row>
    <row r="1122">
      <c r="A1122" t="n">
        <v>1121</v>
      </c>
      <c r="B1122" t="inlineStr">
        <is>
          <t>MTR-IOS-1121</t>
        </is>
      </c>
      <c r="C1122" t="inlineStr">
        <is>
          <t>iPhone</t>
        </is>
      </c>
      <c r="D1122" t="inlineStr">
        <is>
          <t>Group</t>
        </is>
      </c>
      <c r="E1122" t="inlineStr">
        <is>
          <t>Shared Purchase</t>
        </is>
      </c>
      <c r="F1122" t="inlineStr">
        <is>
          <t>Gift Pool</t>
        </is>
      </c>
      <c r="G1122" t="inlineStr">
        <is>
          <t>Gift Purchase</t>
        </is>
      </c>
      <c r="H1122" t="inlineStr">
        <is>
          <t>Group &gt; Gift Pool &gt; Quick Add &gt; Gift Purchase</t>
        </is>
      </c>
      <c r="I1122" s="18" t="n">
        <v>2683.11</v>
      </c>
      <c r="J1122" t="inlineStr">
        <is>
          <t>Created MTR-IOS-1121 and correlation note visible in Activity/Pulse</t>
        </is>
      </c>
      <c r="K1122" t="inlineStr">
        <is>
          <t>NOT_RUN</t>
        </is>
      </c>
      <c r="P1122" t="n">
        <v>0</v>
      </c>
      <c r="Q1122" t="n">
        <v>1121</v>
      </c>
    </row>
    <row r="1123">
      <c r="A1123" t="n">
        <v>1122</v>
      </c>
      <c r="B1123" t="inlineStr">
        <is>
          <t>MTR-IOS-1122</t>
        </is>
      </c>
      <c r="C1123" t="inlineStr">
        <is>
          <t>iPhone</t>
        </is>
      </c>
      <c r="D1123" t="inlineStr">
        <is>
          <t>Business</t>
        </is>
      </c>
      <c r="E1123" t="inlineStr">
        <is>
          <t>Business</t>
        </is>
      </c>
      <c r="F1123" t="inlineStr">
        <is>
          <t>Business Operations</t>
        </is>
      </c>
      <c r="G1123" t="inlineStr">
        <is>
          <t>Legal</t>
        </is>
      </c>
      <c r="H1123" t="inlineStr">
        <is>
          <t>Business &gt; Business Operations &gt; Quick Add &gt; Legal</t>
        </is>
      </c>
      <c r="I1123" s="18" t="n">
        <v>13995.14</v>
      </c>
      <c r="J1123" t="inlineStr">
        <is>
          <t>Created MTR-IOS-1122 and correlation note visible in Activity/Pulse</t>
        </is>
      </c>
      <c r="K1123" t="inlineStr">
        <is>
          <t>NOT_RUN</t>
        </is>
      </c>
      <c r="P1123" t="n">
        <v>0</v>
      </c>
      <c r="Q1123" t="n">
        <v>1122</v>
      </c>
    </row>
    <row r="1124">
      <c r="A1124" t="n">
        <v>1123</v>
      </c>
      <c r="B1124" t="inlineStr">
        <is>
          <t>MTR-IOS-1123</t>
        </is>
      </c>
      <c r="C1124" t="inlineStr">
        <is>
          <t>iPhone</t>
        </is>
      </c>
      <c r="D1124" t="inlineStr">
        <is>
          <t>Personal</t>
        </is>
      </c>
      <c r="E1124" t="inlineStr">
        <is>
          <t>Personal</t>
        </is>
      </c>
      <c r="F1124" t="inlineStr">
        <is>
          <t>Life Operations</t>
        </is>
      </c>
      <c r="G1124" t="inlineStr">
        <is>
          <t>Repairs</t>
        </is>
      </c>
      <c r="H1124" t="inlineStr">
        <is>
          <t>Personal &gt; Life Operations &gt; Quick Add &gt; Repairs</t>
        </is>
      </c>
      <c r="I1124" s="18" t="n">
        <v>11248.86</v>
      </c>
      <c r="J1124" t="inlineStr">
        <is>
          <t>Created MTR-IOS-1123 and correlation note visible in Activity/Pulse</t>
        </is>
      </c>
      <c r="K1124" t="inlineStr">
        <is>
          <t>NOT_RUN</t>
        </is>
      </c>
      <c r="P1124" t="n">
        <v>0</v>
      </c>
      <c r="Q1124" t="n">
        <v>1123</v>
      </c>
    </row>
    <row r="1125">
      <c r="A1125" t="n">
        <v>1124</v>
      </c>
      <c r="B1125" t="inlineStr">
        <is>
          <t>MTR-IOS-1124</t>
        </is>
      </c>
      <c r="C1125" t="inlineStr">
        <is>
          <t>iPhone</t>
        </is>
      </c>
      <c r="D1125" t="inlineStr">
        <is>
          <t>Group</t>
        </is>
      </c>
      <c r="E1125" t="inlineStr">
        <is>
          <t>Shared Purchase</t>
        </is>
      </c>
      <c r="F1125" t="inlineStr">
        <is>
          <t>Gift Pool</t>
        </is>
      </c>
      <c r="G1125" t="inlineStr">
        <is>
          <t>Delivery</t>
        </is>
      </c>
      <c r="H1125" t="inlineStr">
        <is>
          <t>Group &gt; Gift Pool &gt; Quick Add &gt; Delivery</t>
        </is>
      </c>
      <c r="I1125" s="18" t="n">
        <v>10311.59</v>
      </c>
      <c r="J1125" t="inlineStr">
        <is>
          <t>Created MTR-IOS-1124 and correlation note visible in Activity/Pulse</t>
        </is>
      </c>
      <c r="K1125" t="inlineStr">
        <is>
          <t>NOT_RUN</t>
        </is>
      </c>
      <c r="P1125" t="n">
        <v>0</v>
      </c>
      <c r="Q1125" t="n">
        <v>1124</v>
      </c>
    </row>
    <row r="1126">
      <c r="A1126" t="n">
        <v>1125</v>
      </c>
      <c r="B1126" t="inlineStr">
        <is>
          <t>MTR-IOS-1125</t>
        </is>
      </c>
      <c r="C1126" t="inlineStr">
        <is>
          <t>iPhone</t>
        </is>
      </c>
      <c r="D1126" t="inlineStr">
        <is>
          <t>Business</t>
        </is>
      </c>
      <c r="E1126" t="inlineStr">
        <is>
          <t>Business</t>
        </is>
      </c>
      <c r="F1126" t="inlineStr">
        <is>
          <t>Business Operations</t>
        </is>
      </c>
      <c r="G1126" t="inlineStr">
        <is>
          <t>Accounting</t>
        </is>
      </c>
      <c r="H1126" t="inlineStr">
        <is>
          <t>Business &gt; Business Operations &gt; Quick Add &gt; Accounting</t>
        </is>
      </c>
      <c r="I1126" s="18" t="n">
        <v>152712.08</v>
      </c>
      <c r="J1126" t="inlineStr">
        <is>
          <t>Created MTR-IOS-1125 and correlation note visible in Activity/Pulse</t>
        </is>
      </c>
      <c r="K1126" t="inlineStr">
        <is>
          <t>NOT_RUN</t>
        </is>
      </c>
      <c r="P1126" t="n">
        <v>0</v>
      </c>
      <c r="Q1126" t="n">
        <v>1125</v>
      </c>
    </row>
    <row r="1127">
      <c r="A1127" t="n">
        <v>1126</v>
      </c>
      <c r="B1127" t="inlineStr">
        <is>
          <t>MTR-IOS-1126</t>
        </is>
      </c>
      <c r="C1127" t="inlineStr">
        <is>
          <t>iPhone</t>
        </is>
      </c>
      <c r="D1127" t="inlineStr">
        <is>
          <t>Personal</t>
        </is>
      </c>
      <c r="E1127" t="inlineStr">
        <is>
          <t>Personal</t>
        </is>
      </c>
      <c r="F1127" t="inlineStr">
        <is>
          <t>Future Building</t>
        </is>
      </c>
      <c r="G1127" t="inlineStr">
        <is>
          <t>Savings</t>
        </is>
      </c>
      <c r="H1127" t="inlineStr">
        <is>
          <t>Personal &gt; Future Building &gt; Quick Add &gt; Savings</t>
        </is>
      </c>
      <c r="I1127" s="18" t="n">
        <v>6609.56</v>
      </c>
      <c r="J1127" t="inlineStr">
        <is>
          <t>Created MTR-IOS-1126 and correlation note visible in Activity/Pulse</t>
        </is>
      </c>
      <c r="K1127" t="inlineStr">
        <is>
          <t>NOT_RUN</t>
        </is>
      </c>
      <c r="P1127" t="n">
        <v>0</v>
      </c>
      <c r="Q1127" t="n">
        <v>1126</v>
      </c>
    </row>
    <row r="1128">
      <c r="A1128" t="n">
        <v>1127</v>
      </c>
      <c r="B1128" t="inlineStr">
        <is>
          <t>MTR-IOS-1127</t>
        </is>
      </c>
      <c r="C1128" t="inlineStr">
        <is>
          <t>iPhone</t>
        </is>
      </c>
      <c r="D1128" t="inlineStr">
        <is>
          <t>Group</t>
        </is>
      </c>
      <c r="E1128" t="inlineStr">
        <is>
          <t>Shared Purchase</t>
        </is>
      </c>
      <c r="F1128" t="inlineStr">
        <is>
          <t>Gift Pool</t>
        </is>
      </c>
      <c r="G1128" t="inlineStr">
        <is>
          <t>Other</t>
        </is>
      </c>
      <c r="H1128" t="inlineStr">
        <is>
          <t>Group &gt; Gift Pool &gt; Quick Add &gt; Other</t>
        </is>
      </c>
      <c r="I1128" s="18" t="n">
        <v>22082.09</v>
      </c>
      <c r="J1128" t="inlineStr">
        <is>
          <t>Created MTR-IOS-1127 and correlation note visible in Activity/Pulse</t>
        </is>
      </c>
      <c r="K1128" t="inlineStr">
        <is>
          <t>NOT_RUN</t>
        </is>
      </c>
      <c r="P1128" t="n">
        <v>0</v>
      </c>
      <c r="Q1128" t="n">
        <v>1127</v>
      </c>
    </row>
    <row r="1129">
      <c r="A1129" t="n">
        <v>1128</v>
      </c>
      <c r="B1129" t="inlineStr">
        <is>
          <t>MTR-IOS-1128</t>
        </is>
      </c>
      <c r="C1129" t="inlineStr">
        <is>
          <t>iPhone</t>
        </is>
      </c>
      <c r="D1129" t="inlineStr">
        <is>
          <t>Business</t>
        </is>
      </c>
      <c r="E1129" t="inlineStr">
        <is>
          <t>Business</t>
        </is>
      </c>
      <c r="F1129" t="inlineStr">
        <is>
          <t>Business Operations</t>
        </is>
      </c>
      <c r="G1129" t="inlineStr">
        <is>
          <t>Equipment</t>
        </is>
      </c>
      <c r="H1129" t="inlineStr">
        <is>
          <t>Business &gt; Business Operations &gt; Quick Add &gt; Equipment</t>
        </is>
      </c>
      <c r="I1129" s="18" t="n">
        <v>50126.16</v>
      </c>
      <c r="J1129" t="inlineStr">
        <is>
          <t>Created MTR-IOS-1128 and correlation note visible in Activity/Pulse</t>
        </is>
      </c>
      <c r="K1129" t="inlineStr">
        <is>
          <t>NOT_RUN</t>
        </is>
      </c>
      <c r="P1129" t="n">
        <v>0</v>
      </c>
      <c r="Q1129" t="n">
        <v>1128</v>
      </c>
    </row>
    <row r="1130">
      <c r="A1130" t="n">
        <v>1129</v>
      </c>
      <c r="B1130" t="inlineStr">
        <is>
          <t>MTR-IOS-1129</t>
        </is>
      </c>
      <c r="C1130" t="inlineStr">
        <is>
          <t>iPhone</t>
        </is>
      </c>
      <c r="D1130" t="inlineStr">
        <is>
          <t>Personal</t>
        </is>
      </c>
      <c r="E1130" t="inlineStr">
        <is>
          <t>Personal</t>
        </is>
      </c>
      <c r="F1130" t="inlineStr">
        <is>
          <t>Future Building</t>
        </is>
      </c>
      <c r="G1130" t="inlineStr">
        <is>
          <t>Emergency Fund</t>
        </is>
      </c>
      <c r="H1130" t="inlineStr">
        <is>
          <t>Personal &gt; Future Building &gt; Quick Add &gt; Emergency Fund</t>
        </is>
      </c>
      <c r="I1130" s="18" t="n">
        <v>3187.5</v>
      </c>
      <c r="J1130" t="inlineStr">
        <is>
          <t>Created MTR-IOS-1129 and correlation note visible in Activity/Pulse</t>
        </is>
      </c>
      <c r="K1130" t="inlineStr">
        <is>
          <t>NOT_RUN</t>
        </is>
      </c>
      <c r="P1130" t="n">
        <v>0</v>
      </c>
      <c r="Q1130" t="n">
        <v>1129</v>
      </c>
    </row>
    <row r="1131">
      <c r="A1131" t="n">
        <v>1130</v>
      </c>
      <c r="B1131" t="inlineStr">
        <is>
          <t>MTR-IOS-1130</t>
        </is>
      </c>
      <c r="C1131" t="inlineStr">
        <is>
          <t>iPhone</t>
        </is>
      </c>
      <c r="D1131" t="inlineStr">
        <is>
          <t>Group</t>
        </is>
      </c>
      <c r="E1131" t="inlineStr">
        <is>
          <t>Shared Purchase</t>
        </is>
      </c>
      <c r="F1131" t="inlineStr">
        <is>
          <t>Purchase</t>
        </is>
      </c>
      <c r="G1131" t="inlineStr">
        <is>
          <t>Item</t>
        </is>
      </c>
      <c r="H1131" t="inlineStr">
        <is>
          <t>Group &gt; Purchase &gt; Quick Add &gt; Item</t>
        </is>
      </c>
      <c r="I1131" s="18" t="n">
        <v>7882.48</v>
      </c>
      <c r="J1131" t="inlineStr">
        <is>
          <t>Created MTR-IOS-1130 and correlation note visible in Activity/Pulse</t>
        </is>
      </c>
      <c r="K1131" t="inlineStr">
        <is>
          <t>NOT_RUN</t>
        </is>
      </c>
      <c r="P1131" t="n">
        <v>0</v>
      </c>
      <c r="Q1131" t="n">
        <v>1130</v>
      </c>
    </row>
    <row r="1132">
      <c r="A1132" t="n">
        <v>1131</v>
      </c>
      <c r="B1132" t="inlineStr">
        <is>
          <t>MTR-IOS-1131</t>
        </is>
      </c>
      <c r="C1132" t="inlineStr">
        <is>
          <t>iPhone</t>
        </is>
      </c>
      <c r="D1132" t="inlineStr">
        <is>
          <t>Business</t>
        </is>
      </c>
      <c r="E1132" t="inlineStr">
        <is>
          <t>Business</t>
        </is>
      </c>
      <c r="F1132" t="inlineStr">
        <is>
          <t>Business Operations</t>
        </is>
      </c>
      <c r="G1132" t="inlineStr">
        <is>
          <t>Vendor</t>
        </is>
      </c>
      <c r="H1132" t="inlineStr">
        <is>
          <t>Business &gt; Business Operations &gt; Quick Add &gt; Vendor</t>
        </is>
      </c>
      <c r="I1132" s="18" t="n">
        <v>163817.51</v>
      </c>
      <c r="J1132" t="inlineStr">
        <is>
          <t>Created MTR-IOS-1131 and correlation note visible in Activity/Pulse</t>
        </is>
      </c>
      <c r="K1132" t="inlineStr">
        <is>
          <t>NOT_RUN</t>
        </is>
      </c>
      <c r="P1132" t="n">
        <v>0</v>
      </c>
      <c r="Q1132" t="n">
        <v>1131</v>
      </c>
    </row>
    <row r="1133">
      <c r="A1133" t="n">
        <v>1132</v>
      </c>
      <c r="B1133" t="inlineStr">
        <is>
          <t>MTR-IOS-1132</t>
        </is>
      </c>
      <c r="C1133" t="inlineStr">
        <is>
          <t>iPhone</t>
        </is>
      </c>
      <c r="D1133" t="inlineStr">
        <is>
          <t>Personal</t>
        </is>
      </c>
      <c r="E1133" t="inlineStr">
        <is>
          <t>Personal</t>
        </is>
      </c>
      <c r="F1133" t="inlineStr">
        <is>
          <t>Future Building</t>
        </is>
      </c>
      <c r="G1133" t="inlineStr">
        <is>
          <t>Investments</t>
        </is>
      </c>
      <c r="H1133" t="inlineStr">
        <is>
          <t>Personal &gt; Future Building &gt; Quick Add &gt; Investments</t>
        </is>
      </c>
      <c r="I1133" s="18" t="n">
        <v>8556.219999999999</v>
      </c>
      <c r="J1133" t="inlineStr">
        <is>
          <t>Created MTR-IOS-1132 and correlation note visible in Activity/Pulse</t>
        </is>
      </c>
      <c r="K1133" t="inlineStr">
        <is>
          <t>NOT_RUN</t>
        </is>
      </c>
      <c r="P1133" t="n">
        <v>0</v>
      </c>
      <c r="Q1133" t="n">
        <v>1132</v>
      </c>
    </row>
    <row r="1134">
      <c r="A1134" t="n">
        <v>1133</v>
      </c>
      <c r="B1134" t="inlineStr">
        <is>
          <t>MTR-IOS-1133</t>
        </is>
      </c>
      <c r="C1134" t="inlineStr">
        <is>
          <t>iPhone</t>
        </is>
      </c>
      <c r="D1134" t="inlineStr">
        <is>
          <t>Group</t>
        </is>
      </c>
      <c r="E1134" t="inlineStr">
        <is>
          <t>Shared Purchase</t>
        </is>
      </c>
      <c r="F1134" t="inlineStr">
        <is>
          <t>Purchase</t>
        </is>
      </c>
      <c r="G1134" t="inlineStr">
        <is>
          <t>Shipping</t>
        </is>
      </c>
      <c r="H1134" t="inlineStr">
        <is>
          <t>Group &gt; Purchase &gt; Quick Add &gt; Shipping</t>
        </is>
      </c>
      <c r="I1134" s="18" t="n">
        <v>20634.49</v>
      </c>
      <c r="J1134" t="inlineStr">
        <is>
          <t>Created MTR-IOS-1133 and correlation note visible in Activity/Pulse</t>
        </is>
      </c>
      <c r="K1134" t="inlineStr">
        <is>
          <t>NOT_RUN</t>
        </is>
      </c>
      <c r="P1134" t="n">
        <v>0</v>
      </c>
      <c r="Q1134" t="n">
        <v>1133</v>
      </c>
    </row>
    <row r="1135">
      <c r="A1135" t="n">
        <v>1134</v>
      </c>
      <c r="B1135" t="inlineStr">
        <is>
          <t>MTR-IOS-1134</t>
        </is>
      </c>
      <c r="C1135" t="inlineStr">
        <is>
          <t>iPhone</t>
        </is>
      </c>
      <c r="D1135" t="inlineStr">
        <is>
          <t>Business</t>
        </is>
      </c>
      <c r="E1135" t="inlineStr">
        <is>
          <t>Business</t>
        </is>
      </c>
      <c r="F1135" t="inlineStr">
        <is>
          <t>Business Operations</t>
        </is>
      </c>
      <c r="G1135" t="inlineStr">
        <is>
          <t>Tax</t>
        </is>
      </c>
      <c r="H1135" t="inlineStr">
        <is>
          <t>Business &gt; Business Operations &gt; Quick Add &gt; Tax</t>
        </is>
      </c>
      <c r="I1135" s="18" t="n">
        <v>74333.59</v>
      </c>
      <c r="J1135" t="inlineStr">
        <is>
          <t>Created MTR-IOS-1134 and correlation note visible in Activity/Pulse</t>
        </is>
      </c>
      <c r="K1135" t="inlineStr">
        <is>
          <t>NOT_RUN</t>
        </is>
      </c>
      <c r="P1135" t="n">
        <v>0</v>
      </c>
      <c r="Q1135" t="n">
        <v>1134</v>
      </c>
    </row>
    <row r="1136">
      <c r="A1136" t="n">
        <v>1135</v>
      </c>
      <c r="B1136" t="inlineStr">
        <is>
          <t>MTR-IOS-1135</t>
        </is>
      </c>
      <c r="C1136" t="inlineStr">
        <is>
          <t>iPhone</t>
        </is>
      </c>
      <c r="D1136" t="inlineStr">
        <is>
          <t>Personal</t>
        </is>
      </c>
      <c r="E1136" t="inlineStr">
        <is>
          <t>Personal</t>
        </is>
      </c>
      <c r="F1136" t="inlineStr">
        <is>
          <t>Future Building</t>
        </is>
      </c>
      <c r="G1136" t="inlineStr">
        <is>
          <t>Education</t>
        </is>
      </c>
      <c r="H1136" t="inlineStr">
        <is>
          <t>Personal &gt; Future Building &gt; Quick Add &gt; Education</t>
        </is>
      </c>
      <c r="I1136" s="18" t="n">
        <v>13086.86</v>
      </c>
      <c r="J1136" t="inlineStr">
        <is>
          <t>Created MTR-IOS-1135 and correlation note visible in Activity/Pulse</t>
        </is>
      </c>
      <c r="K1136" t="inlineStr">
        <is>
          <t>NOT_RUN</t>
        </is>
      </c>
      <c r="P1136" t="n">
        <v>0</v>
      </c>
      <c r="Q1136" t="n">
        <v>1135</v>
      </c>
    </row>
    <row r="1137">
      <c r="A1137" t="n">
        <v>1136</v>
      </c>
      <c r="B1137" t="inlineStr">
        <is>
          <t>MTR-IOS-1136</t>
        </is>
      </c>
      <c r="C1137" t="inlineStr">
        <is>
          <t>iPhone</t>
        </is>
      </c>
      <c r="D1137" t="inlineStr">
        <is>
          <t>Group</t>
        </is>
      </c>
      <c r="E1137" t="inlineStr">
        <is>
          <t>Shared Purchase</t>
        </is>
      </c>
      <c r="F1137" t="inlineStr">
        <is>
          <t>Purchase</t>
        </is>
      </c>
      <c r="G1137" t="inlineStr">
        <is>
          <t>Tax</t>
        </is>
      </c>
      <c r="H1137" t="inlineStr">
        <is>
          <t>Group &gt; Purchase &gt; Quick Add &gt; Tax</t>
        </is>
      </c>
      <c r="I1137" s="18" t="n">
        <v>12854.28</v>
      </c>
      <c r="J1137" t="inlineStr">
        <is>
          <t>Created MTR-IOS-1136 and correlation note visible in Activity/Pulse</t>
        </is>
      </c>
      <c r="K1137" t="inlineStr">
        <is>
          <t>NOT_RUN</t>
        </is>
      </c>
      <c r="P1137" t="n">
        <v>0</v>
      </c>
      <c r="Q1137" t="n">
        <v>1136</v>
      </c>
    </row>
    <row r="1138">
      <c r="A1138" t="n">
        <v>1137</v>
      </c>
      <c r="B1138" t="inlineStr">
        <is>
          <t>MTR-IOS-1137</t>
        </is>
      </c>
      <c r="C1138" t="inlineStr">
        <is>
          <t>iPhone</t>
        </is>
      </c>
      <c r="D1138" t="inlineStr">
        <is>
          <t>Business</t>
        </is>
      </c>
      <c r="E1138" t="inlineStr">
        <is>
          <t>Business</t>
        </is>
      </c>
      <c r="F1138" t="inlineStr">
        <is>
          <t>Team Operations</t>
        </is>
      </c>
      <c r="G1138" t="inlineStr">
        <is>
          <t>Payroll</t>
        </is>
      </c>
      <c r="H1138" t="inlineStr">
        <is>
          <t>Business &gt; Team Operations &gt; Quick Add &gt; Payroll</t>
        </is>
      </c>
      <c r="I1138" s="18" t="n">
        <v>74258.56</v>
      </c>
      <c r="J1138" t="inlineStr">
        <is>
          <t>Created MTR-IOS-1137 and correlation note visible in Activity/Pulse</t>
        </is>
      </c>
      <c r="K1138" t="inlineStr">
        <is>
          <t>NOT_RUN</t>
        </is>
      </c>
      <c r="P1138" t="n">
        <v>0</v>
      </c>
      <c r="Q1138" t="n">
        <v>1137</v>
      </c>
    </row>
    <row r="1139">
      <c r="A1139" t="n">
        <v>1138</v>
      </c>
      <c r="B1139" t="inlineStr">
        <is>
          <t>MTR-IOS-1138</t>
        </is>
      </c>
      <c r="C1139" t="inlineStr">
        <is>
          <t>iPhone</t>
        </is>
      </c>
      <c r="D1139" t="inlineStr">
        <is>
          <t>Personal</t>
        </is>
      </c>
      <c r="E1139" t="inlineStr">
        <is>
          <t>Personal</t>
        </is>
      </c>
      <c r="F1139" t="inlineStr">
        <is>
          <t>Future Building</t>
        </is>
      </c>
      <c r="G1139" t="inlineStr">
        <is>
          <t>Goal Contribution</t>
        </is>
      </c>
      <c r="H1139" t="inlineStr">
        <is>
          <t>Personal &gt; Future Building &gt; Quick Add &gt; Goal Contribution</t>
        </is>
      </c>
      <c r="I1139" s="18" t="n">
        <v>8939.469999999999</v>
      </c>
      <c r="J1139" t="inlineStr">
        <is>
          <t>Created MTR-IOS-1138 and correlation note visible in Activity/Pulse</t>
        </is>
      </c>
      <c r="K1139" t="inlineStr">
        <is>
          <t>NOT_RUN</t>
        </is>
      </c>
      <c r="P1139" t="n">
        <v>0</v>
      </c>
      <c r="Q1139" t="n">
        <v>1138</v>
      </c>
    </row>
    <row r="1140">
      <c r="A1140" t="n">
        <v>1139</v>
      </c>
      <c r="B1140" t="inlineStr">
        <is>
          <t>MTR-IOS-1139</t>
        </is>
      </c>
      <c r="C1140" t="inlineStr">
        <is>
          <t>iPhone</t>
        </is>
      </c>
      <c r="D1140" t="inlineStr">
        <is>
          <t>Group</t>
        </is>
      </c>
      <c r="E1140" t="inlineStr">
        <is>
          <t>Shared Purchase</t>
        </is>
      </c>
      <c r="F1140" t="inlineStr">
        <is>
          <t>Purchase</t>
        </is>
      </c>
      <c r="G1140" t="inlineStr">
        <is>
          <t>Other</t>
        </is>
      </c>
      <c r="H1140" t="inlineStr">
        <is>
          <t>Group &gt; Purchase &gt; Quick Add &gt; Other</t>
        </is>
      </c>
      <c r="I1140" s="18" t="n">
        <v>26037.55</v>
      </c>
      <c r="J1140" t="inlineStr">
        <is>
          <t>Created MTR-IOS-1139 and correlation note visible in Activity/Pulse</t>
        </is>
      </c>
      <c r="K1140" t="inlineStr">
        <is>
          <t>NOT_RUN</t>
        </is>
      </c>
      <c r="P1140" t="n">
        <v>0</v>
      </c>
      <c r="Q1140" t="n">
        <v>1139</v>
      </c>
    </row>
    <row r="1141">
      <c r="A1141" t="n">
        <v>1140</v>
      </c>
      <c r="B1141" t="inlineStr">
        <is>
          <t>MTR-IOS-1140</t>
        </is>
      </c>
      <c r="C1141" t="inlineStr">
        <is>
          <t>iPhone</t>
        </is>
      </c>
      <c r="D1141" t="inlineStr">
        <is>
          <t>Business</t>
        </is>
      </c>
      <c r="E1141" t="inlineStr">
        <is>
          <t>Business</t>
        </is>
      </c>
      <c r="F1141" t="inlineStr">
        <is>
          <t>Team Operations</t>
        </is>
      </c>
      <c r="G1141" t="inlineStr">
        <is>
          <t>Contractor</t>
        </is>
      </c>
      <c r="H1141" t="inlineStr">
        <is>
          <t>Business &gt; Team Operations &gt; Quick Add &gt; Contractor</t>
        </is>
      </c>
      <c r="I1141" s="18" t="n">
        <v>38340.19</v>
      </c>
      <c r="J1141" t="inlineStr">
        <is>
          <t>Created MTR-IOS-1140 and correlation note visible in Activity/Pulse</t>
        </is>
      </c>
      <c r="K1141" t="inlineStr">
        <is>
          <t>NOT_RUN</t>
        </is>
      </c>
      <c r="P1141" t="n">
        <v>0</v>
      </c>
      <c r="Q1141" t="n">
        <v>1140</v>
      </c>
    </row>
    <row r="1142">
      <c r="A1142" t="n">
        <v>1141</v>
      </c>
      <c r="B1142" t="inlineStr">
        <is>
          <t>MTR-IOS-1141</t>
        </is>
      </c>
      <c r="C1142" t="inlineStr">
        <is>
          <t>iPhone</t>
        </is>
      </c>
      <c r="D1142" t="inlineStr">
        <is>
          <t>Personal</t>
        </is>
      </c>
      <c r="E1142" t="inlineStr">
        <is>
          <t>Personal</t>
        </is>
      </c>
      <c r="F1142" t="inlineStr">
        <is>
          <t>Lifestyle</t>
        </is>
      </c>
      <c r="G1142" t="inlineStr">
        <is>
          <t>Dining</t>
        </is>
      </c>
      <c r="H1142" t="inlineStr">
        <is>
          <t>Personal &gt; Lifestyle &gt; Quick Add &gt; Dining</t>
        </is>
      </c>
      <c r="I1142" s="18" t="n">
        <v>6507.49</v>
      </c>
      <c r="J1142" t="inlineStr">
        <is>
          <t>Created MTR-IOS-1141 and correlation note visible in Activity/Pulse</t>
        </is>
      </c>
      <c r="K1142" t="inlineStr">
        <is>
          <t>NOT_RUN</t>
        </is>
      </c>
      <c r="P1142" t="n">
        <v>0</v>
      </c>
      <c r="Q1142" t="n">
        <v>1141</v>
      </c>
    </row>
    <row r="1143">
      <c r="A1143" t="n">
        <v>1142</v>
      </c>
      <c r="B1143" t="inlineStr">
        <is>
          <t>MTR-IOS-1142</t>
        </is>
      </c>
      <c r="C1143" t="inlineStr">
        <is>
          <t>iPhone</t>
        </is>
      </c>
      <c r="D1143" t="inlineStr">
        <is>
          <t>Group</t>
        </is>
      </c>
      <c r="E1143" t="inlineStr">
        <is>
          <t>Shared Purchase</t>
        </is>
      </c>
      <c r="F1143" t="inlineStr">
        <is>
          <t>Assets</t>
        </is>
      </c>
      <c r="G1143" t="inlineStr">
        <is>
          <t>Purchase</t>
        </is>
      </c>
      <c r="H1143" t="inlineStr">
        <is>
          <t>Group &gt; Assets &gt; Quick Add &gt; Purchase</t>
        </is>
      </c>
      <c r="I1143" s="18" t="n">
        <v>18022.19</v>
      </c>
      <c r="J1143" t="inlineStr">
        <is>
          <t>Created MTR-IOS-1142 and correlation note visible in Activity/Pulse</t>
        </is>
      </c>
      <c r="K1143" t="inlineStr">
        <is>
          <t>NOT_RUN</t>
        </is>
      </c>
      <c r="P1143" t="n">
        <v>0</v>
      </c>
      <c r="Q1143" t="n">
        <v>1142</v>
      </c>
    </row>
    <row r="1144">
      <c r="A1144" t="n">
        <v>1143</v>
      </c>
      <c r="B1144" t="inlineStr">
        <is>
          <t>MTR-IOS-1143</t>
        </is>
      </c>
      <c r="C1144" t="inlineStr">
        <is>
          <t>iPhone</t>
        </is>
      </c>
      <c r="D1144" t="inlineStr">
        <is>
          <t>Business</t>
        </is>
      </c>
      <c r="E1144" t="inlineStr">
        <is>
          <t>Business</t>
        </is>
      </c>
      <c r="F1144" t="inlineStr">
        <is>
          <t>Team Operations</t>
        </is>
      </c>
      <c r="G1144" t="inlineStr">
        <is>
          <t>Hiring</t>
        </is>
      </c>
      <c r="H1144" t="inlineStr">
        <is>
          <t>Business &gt; Team Operations &gt; Quick Add &gt; Hiring</t>
        </is>
      </c>
      <c r="I1144" s="18" t="n">
        <v>73682.63</v>
      </c>
      <c r="J1144" t="inlineStr">
        <is>
          <t>Created MTR-IOS-1143 and correlation note visible in Activity/Pulse</t>
        </is>
      </c>
      <c r="K1144" t="inlineStr">
        <is>
          <t>NOT_RUN</t>
        </is>
      </c>
      <c r="P1144" t="n">
        <v>0</v>
      </c>
      <c r="Q1144" t="n">
        <v>1143</v>
      </c>
    </row>
    <row r="1145">
      <c r="A1145" t="n">
        <v>1144</v>
      </c>
      <c r="B1145" t="inlineStr">
        <is>
          <t>MTR-IOS-1144</t>
        </is>
      </c>
      <c r="C1145" t="inlineStr">
        <is>
          <t>iPhone</t>
        </is>
      </c>
      <c r="D1145" t="inlineStr">
        <is>
          <t>Personal</t>
        </is>
      </c>
      <c r="E1145" t="inlineStr">
        <is>
          <t>Personal</t>
        </is>
      </c>
      <c r="F1145" t="inlineStr">
        <is>
          <t>Lifestyle</t>
        </is>
      </c>
      <c r="G1145" t="inlineStr">
        <is>
          <t>Shopping</t>
        </is>
      </c>
      <c r="H1145" t="inlineStr">
        <is>
          <t>Personal &gt; Lifestyle &gt; Quick Add &gt; Shopping</t>
        </is>
      </c>
      <c r="I1145" s="18" t="n">
        <v>5484.04</v>
      </c>
      <c r="J1145" t="inlineStr">
        <is>
          <t>Created MTR-IOS-1144 and correlation note visible in Activity/Pulse</t>
        </is>
      </c>
      <c r="K1145" t="inlineStr">
        <is>
          <t>NOT_RUN</t>
        </is>
      </c>
      <c r="P1145" t="n">
        <v>0</v>
      </c>
      <c r="Q1145" t="n">
        <v>1144</v>
      </c>
    </row>
    <row r="1146">
      <c r="A1146" t="n">
        <v>1145</v>
      </c>
      <c r="B1146" t="inlineStr">
        <is>
          <t>MTR-IOS-1145</t>
        </is>
      </c>
      <c r="C1146" t="inlineStr">
        <is>
          <t>iPhone</t>
        </is>
      </c>
      <c r="D1146" t="inlineStr">
        <is>
          <t>Group</t>
        </is>
      </c>
      <c r="E1146" t="inlineStr">
        <is>
          <t>Shared Purchase</t>
        </is>
      </c>
      <c r="F1146" t="inlineStr">
        <is>
          <t>Assets</t>
        </is>
      </c>
      <c r="G1146" t="inlineStr">
        <is>
          <t>Maintenance</t>
        </is>
      </c>
      <c r="H1146" t="inlineStr">
        <is>
          <t>Group &gt; Assets &gt; Quick Add &gt; Maintenance</t>
        </is>
      </c>
      <c r="I1146" s="18" t="n">
        <v>22480.75</v>
      </c>
      <c r="J1146" t="inlineStr">
        <is>
          <t>Created MTR-IOS-1145 and correlation note visible in Activity/Pulse</t>
        </is>
      </c>
      <c r="K1146" t="inlineStr">
        <is>
          <t>NOT_RUN</t>
        </is>
      </c>
      <c r="P1146" t="n">
        <v>0</v>
      </c>
      <c r="Q1146" t="n">
        <v>1145</v>
      </c>
    </row>
    <row r="1147">
      <c r="A1147" t="n">
        <v>1146</v>
      </c>
      <c r="B1147" t="inlineStr">
        <is>
          <t>MTR-IOS-1146</t>
        </is>
      </c>
      <c r="C1147" t="inlineStr">
        <is>
          <t>iPhone</t>
        </is>
      </c>
      <c r="D1147" t="inlineStr">
        <is>
          <t>Business</t>
        </is>
      </c>
      <c r="E1147" t="inlineStr">
        <is>
          <t>Business</t>
        </is>
      </c>
      <c r="F1147" t="inlineStr">
        <is>
          <t>Team Operations</t>
        </is>
      </c>
      <c r="G1147" t="inlineStr">
        <is>
          <t>Team Meal</t>
        </is>
      </c>
      <c r="H1147" t="inlineStr">
        <is>
          <t>Business &gt; Team Operations &gt; Quick Add &gt; Team Meal</t>
        </is>
      </c>
      <c r="I1147" s="18" t="n">
        <v>137773.36</v>
      </c>
      <c r="J1147" t="inlineStr">
        <is>
          <t>Created MTR-IOS-1146 and correlation note visible in Activity/Pulse</t>
        </is>
      </c>
      <c r="K1147" t="inlineStr">
        <is>
          <t>NOT_RUN</t>
        </is>
      </c>
      <c r="P1147" t="n">
        <v>0</v>
      </c>
      <c r="Q1147" t="n">
        <v>1146</v>
      </c>
    </row>
    <row r="1148">
      <c r="A1148" t="n">
        <v>1147</v>
      </c>
      <c r="B1148" t="inlineStr">
        <is>
          <t>MTR-IOS-1147</t>
        </is>
      </c>
      <c r="C1148" t="inlineStr">
        <is>
          <t>iPhone</t>
        </is>
      </c>
      <c r="D1148" t="inlineStr">
        <is>
          <t>Personal</t>
        </is>
      </c>
      <c r="E1148" t="inlineStr">
        <is>
          <t>Personal</t>
        </is>
      </c>
      <c r="F1148" t="inlineStr">
        <is>
          <t>Lifestyle</t>
        </is>
      </c>
      <c r="G1148" t="inlineStr">
        <is>
          <t>Entertainment</t>
        </is>
      </c>
      <c r="H1148" t="inlineStr">
        <is>
          <t>Personal &gt; Lifestyle &gt; Quick Add &gt; Entertainment</t>
        </is>
      </c>
      <c r="I1148" s="18" t="n">
        <v>1</v>
      </c>
      <c r="J1148" t="inlineStr">
        <is>
          <t>Created MTR-IOS-1147 and correlation note visible in Activity/Pulse</t>
        </is>
      </c>
      <c r="K1148" t="inlineStr">
        <is>
          <t>NOT_RUN</t>
        </is>
      </c>
      <c r="P1148" t="n">
        <v>0</v>
      </c>
      <c r="Q1148" t="n">
        <v>1147</v>
      </c>
    </row>
    <row r="1149">
      <c r="A1149" t="n">
        <v>1148</v>
      </c>
      <c r="B1149" t="inlineStr">
        <is>
          <t>MTR-IOS-1148</t>
        </is>
      </c>
      <c r="C1149" t="inlineStr">
        <is>
          <t>iPhone</t>
        </is>
      </c>
      <c r="D1149" t="inlineStr">
        <is>
          <t>Group</t>
        </is>
      </c>
      <c r="E1149" t="inlineStr">
        <is>
          <t>Shared Purchase</t>
        </is>
      </c>
      <c r="F1149" t="inlineStr">
        <is>
          <t>Assets</t>
        </is>
      </c>
      <c r="G1149" t="inlineStr">
        <is>
          <t>Repair</t>
        </is>
      </c>
      <c r="H1149" t="inlineStr">
        <is>
          <t>Group &gt; Assets &gt; Quick Add &gt; Repair</t>
        </is>
      </c>
      <c r="I1149" s="18" t="n">
        <v>22351.17</v>
      </c>
      <c r="J1149" t="inlineStr">
        <is>
          <t>Created MTR-IOS-1148 and correlation note visible in Activity/Pulse</t>
        </is>
      </c>
      <c r="K1149" t="inlineStr">
        <is>
          <t>NOT_RUN</t>
        </is>
      </c>
      <c r="P1149" t="n">
        <v>0</v>
      </c>
      <c r="Q1149" t="n">
        <v>1148</v>
      </c>
    </row>
    <row r="1150">
      <c r="A1150" t="n">
        <v>1149</v>
      </c>
      <c r="B1150" t="inlineStr">
        <is>
          <t>MTR-IOS-1149</t>
        </is>
      </c>
      <c r="C1150" t="inlineStr">
        <is>
          <t>iPhone</t>
        </is>
      </c>
      <c r="D1150" t="inlineStr">
        <is>
          <t>Business</t>
        </is>
      </c>
      <c r="E1150" t="inlineStr">
        <is>
          <t>Business</t>
        </is>
      </c>
      <c r="F1150" t="inlineStr">
        <is>
          <t>Team Operations</t>
        </is>
      </c>
      <c r="G1150" t="inlineStr">
        <is>
          <t>Travel</t>
        </is>
      </c>
      <c r="H1150" t="inlineStr">
        <is>
          <t>Business &gt; Team Operations &gt; Quick Add &gt; Travel</t>
        </is>
      </c>
      <c r="I1150" s="18" t="n">
        <v>65096.23</v>
      </c>
      <c r="J1150" t="inlineStr">
        <is>
          <t>Created MTR-IOS-1149 and correlation note visible in Activity/Pulse</t>
        </is>
      </c>
      <c r="K1150" t="inlineStr">
        <is>
          <t>NOT_RUN</t>
        </is>
      </c>
      <c r="P1150" t="n">
        <v>0</v>
      </c>
      <c r="Q1150" t="n">
        <v>1149</v>
      </c>
    </row>
    <row r="1151">
      <c r="A1151" t="n">
        <v>1150</v>
      </c>
      <c r="B1151" t="inlineStr">
        <is>
          <t>MTR-IOS-1150</t>
        </is>
      </c>
      <c r="C1151" t="inlineStr">
        <is>
          <t>iPhone</t>
        </is>
      </c>
      <c r="D1151" t="inlineStr">
        <is>
          <t>Personal</t>
        </is>
      </c>
      <c r="E1151" t="inlineStr">
        <is>
          <t>Personal</t>
        </is>
      </c>
      <c r="F1151" t="inlineStr">
        <is>
          <t>Lifestyle</t>
        </is>
      </c>
      <c r="G1151" t="inlineStr">
        <is>
          <t>Travel</t>
        </is>
      </c>
      <c r="H1151" t="inlineStr">
        <is>
          <t>Personal &gt; Lifestyle &gt; Quick Add &gt; Travel</t>
        </is>
      </c>
      <c r="I1151" s="18" t="n">
        <v>16247.96</v>
      </c>
      <c r="J1151" t="inlineStr">
        <is>
          <t>Created MTR-IOS-1150 and correlation note visible in Activity/Pulse</t>
        </is>
      </c>
      <c r="K1151" t="inlineStr">
        <is>
          <t>NOT_RUN</t>
        </is>
      </c>
      <c r="P1151" t="n">
        <v>0</v>
      </c>
      <c r="Q1151" t="n">
        <v>1150</v>
      </c>
    </row>
    <row r="1152">
      <c r="A1152" t="n">
        <v>1151</v>
      </c>
      <c r="B1152" t="inlineStr">
        <is>
          <t>MTR-IOS-1151</t>
        </is>
      </c>
      <c r="C1152" t="inlineStr">
        <is>
          <t>iPhone</t>
        </is>
      </c>
      <c r="D1152" t="inlineStr">
        <is>
          <t>Group</t>
        </is>
      </c>
      <c r="E1152" t="inlineStr">
        <is>
          <t>Shared Purchase</t>
        </is>
      </c>
      <c r="F1152" t="inlineStr">
        <is>
          <t>Assets</t>
        </is>
      </c>
      <c r="G1152" t="inlineStr">
        <is>
          <t>Insurance</t>
        </is>
      </c>
      <c r="H1152" t="inlineStr">
        <is>
          <t>Group &gt; Assets &gt; Quick Add &gt; Insurance</t>
        </is>
      </c>
      <c r="I1152" s="18" t="n">
        <v>18811.45</v>
      </c>
      <c r="J1152" t="inlineStr">
        <is>
          <t>Created MTR-IOS-1151 and correlation note visible in Activity/Pulse</t>
        </is>
      </c>
      <c r="K1152" t="inlineStr">
        <is>
          <t>NOT_RUN</t>
        </is>
      </c>
      <c r="P1152" t="n">
        <v>0</v>
      </c>
      <c r="Q1152" t="n">
        <v>1151</v>
      </c>
    </row>
    <row r="1153">
      <c r="A1153" t="n">
        <v>1152</v>
      </c>
      <c r="B1153" t="inlineStr">
        <is>
          <t>MTR-IOS-1152</t>
        </is>
      </c>
      <c r="C1153" t="inlineStr">
        <is>
          <t>iPhone</t>
        </is>
      </c>
      <c r="D1153" t="inlineStr">
        <is>
          <t>Business</t>
        </is>
      </c>
      <c r="E1153" t="inlineStr">
        <is>
          <t>Business</t>
        </is>
      </c>
      <c r="F1153" t="inlineStr">
        <is>
          <t>Team Operations</t>
        </is>
      </c>
      <c r="G1153" t="inlineStr">
        <is>
          <t>Training</t>
        </is>
      </c>
      <c r="H1153" t="inlineStr">
        <is>
          <t>Business &gt; Team Operations &gt; Quick Add &gt; Training</t>
        </is>
      </c>
      <c r="I1153" s="18" t="n">
        <v>71789.61</v>
      </c>
      <c r="J1153" t="inlineStr">
        <is>
          <t>Created MTR-IOS-1152 and correlation note visible in Activity/Pulse</t>
        </is>
      </c>
      <c r="K1153" t="inlineStr">
        <is>
          <t>NOT_RUN</t>
        </is>
      </c>
      <c r="P1153" t="n">
        <v>0</v>
      </c>
      <c r="Q1153" t="n">
        <v>1152</v>
      </c>
    </row>
    <row r="1154">
      <c r="A1154" t="n">
        <v>1153</v>
      </c>
      <c r="B1154" t="inlineStr">
        <is>
          <t>MTR-IOS-1153</t>
        </is>
      </c>
      <c r="C1154" t="inlineStr">
        <is>
          <t>iPhone</t>
        </is>
      </c>
      <c r="D1154" t="inlineStr">
        <is>
          <t>Personal</t>
        </is>
      </c>
      <c r="E1154" t="inlineStr">
        <is>
          <t>Personal</t>
        </is>
      </c>
      <c r="F1154" t="inlineStr">
        <is>
          <t>Lifestyle</t>
        </is>
      </c>
      <c r="G1154" t="inlineStr">
        <is>
          <t>Fitness</t>
        </is>
      </c>
      <c r="H1154" t="inlineStr">
        <is>
          <t>Personal &gt; Lifestyle &gt; Quick Add &gt; Fitness</t>
        </is>
      </c>
      <c r="I1154" s="18" t="n">
        <v>11795.57</v>
      </c>
      <c r="J1154" t="inlineStr">
        <is>
          <t>Created MTR-IOS-1153 and correlation note visible in Activity/Pulse</t>
        </is>
      </c>
      <c r="K1154" t="inlineStr">
        <is>
          <t>NOT_RUN</t>
        </is>
      </c>
      <c r="P1154" t="n">
        <v>0</v>
      </c>
      <c r="Q1154" t="n">
        <v>1153</v>
      </c>
    </row>
    <row r="1155">
      <c r="A1155" t="n">
        <v>1154</v>
      </c>
      <c r="B1155" t="inlineStr">
        <is>
          <t>MTR-IOS-1154</t>
        </is>
      </c>
      <c r="C1155" t="inlineStr">
        <is>
          <t>iPhone</t>
        </is>
      </c>
      <c r="D1155" t="inlineStr">
        <is>
          <t>Group</t>
        </is>
      </c>
      <c r="E1155" t="inlineStr">
        <is>
          <t>Shared Purchase</t>
        </is>
      </c>
      <c r="F1155" t="inlineStr">
        <is>
          <t>Assets</t>
        </is>
      </c>
      <c r="G1155" t="inlineStr">
        <is>
          <t>Other</t>
        </is>
      </c>
      <c r="H1155" t="inlineStr">
        <is>
          <t>Group &gt; Assets &gt; Quick Add &gt; Other</t>
        </is>
      </c>
      <c r="I1155" s="18" t="n">
        <v>19897.44</v>
      </c>
      <c r="J1155" t="inlineStr">
        <is>
          <t>Created MTR-IOS-1154 and correlation note visible in Activity/Pulse</t>
        </is>
      </c>
      <c r="K1155" t="inlineStr">
        <is>
          <t>NOT_RUN</t>
        </is>
      </c>
      <c r="P1155" t="n">
        <v>0</v>
      </c>
      <c r="Q1155" t="n">
        <v>1154</v>
      </c>
    </row>
    <row r="1156">
      <c r="A1156" t="n">
        <v>1155</v>
      </c>
      <c r="B1156" t="inlineStr">
        <is>
          <t>MTR-IOS-1155</t>
        </is>
      </c>
      <c r="C1156" t="inlineStr">
        <is>
          <t>iPhone</t>
        </is>
      </c>
      <c r="D1156" t="inlineStr">
        <is>
          <t>Business</t>
        </is>
      </c>
      <c r="E1156" t="inlineStr">
        <is>
          <t>Business</t>
        </is>
      </c>
      <c r="F1156" t="inlineStr">
        <is>
          <t>Team Operations</t>
        </is>
      </c>
      <c r="G1156" t="inlineStr">
        <is>
          <t>Tools</t>
        </is>
      </c>
      <c r="H1156" t="inlineStr">
        <is>
          <t>Business &gt; Team Operations &gt; Quick Add &gt; Tools</t>
        </is>
      </c>
      <c r="I1156" s="18" t="n">
        <v>54600.69</v>
      </c>
      <c r="J1156" t="inlineStr">
        <is>
          <t>Created MTR-IOS-1155 and correlation note visible in Activity/Pulse</t>
        </is>
      </c>
      <c r="K1156" t="inlineStr">
        <is>
          <t>NOT_RUN</t>
        </is>
      </c>
      <c r="P1156" t="n">
        <v>0</v>
      </c>
      <c r="Q1156" t="n">
        <v>1155</v>
      </c>
    </row>
    <row r="1157">
      <c r="A1157" t="n">
        <v>1156</v>
      </c>
      <c r="B1157" t="inlineStr">
        <is>
          <t>MTR-IOS-1156</t>
        </is>
      </c>
      <c r="C1157" t="inlineStr">
        <is>
          <t>iPhone</t>
        </is>
      </c>
      <c r="D1157" t="inlineStr">
        <is>
          <t>Personal</t>
        </is>
      </c>
      <c r="E1157" t="inlineStr">
        <is>
          <t>Personal</t>
        </is>
      </c>
      <c r="F1157" t="inlineStr">
        <is>
          <t>Lifestyle</t>
        </is>
      </c>
      <c r="G1157" t="inlineStr">
        <is>
          <t>Hobbies</t>
        </is>
      </c>
      <c r="H1157" t="inlineStr">
        <is>
          <t>Personal &gt; Lifestyle &gt; Quick Add &gt; Hobbies</t>
        </is>
      </c>
      <c r="I1157" s="18" t="n">
        <v>3366.46</v>
      </c>
      <c r="J1157" t="inlineStr">
        <is>
          <t>Created MTR-IOS-1156 and correlation note visible in Activity/Pulse</t>
        </is>
      </c>
      <c r="K1157" t="inlineStr">
        <is>
          <t>NOT_RUN</t>
        </is>
      </c>
      <c r="P1157" t="n">
        <v>0</v>
      </c>
      <c r="Q1157" t="n">
        <v>1156</v>
      </c>
    </row>
    <row r="1158">
      <c r="A1158" t="n">
        <v>1157</v>
      </c>
      <c r="B1158" t="inlineStr">
        <is>
          <t>MTR-IOS-1157</t>
        </is>
      </c>
      <c r="C1158" t="inlineStr">
        <is>
          <t>iPhone</t>
        </is>
      </c>
      <c r="D1158" t="inlineStr">
        <is>
          <t>Group</t>
        </is>
      </c>
      <c r="E1158" t="inlineStr">
        <is>
          <t>Shared Purchase</t>
        </is>
      </c>
      <c r="F1158" t="inlineStr">
        <is>
          <t>Custom Purchase</t>
        </is>
      </c>
      <c r="G1158" t="inlineStr">
        <is>
          <t>Custom Expense</t>
        </is>
      </c>
      <c r="H1158" t="inlineStr">
        <is>
          <t>Group &gt; Custom Purchase &gt; Quick Add &gt; Custom Expense</t>
        </is>
      </c>
      <c r="I1158" s="18" t="n">
        <v>17998.34</v>
      </c>
      <c r="J1158" t="inlineStr">
        <is>
          <t>Created MTR-IOS-1157 and correlation note visible in Activity/Pulse</t>
        </is>
      </c>
      <c r="K1158" t="inlineStr">
        <is>
          <t>NOT_RUN</t>
        </is>
      </c>
      <c r="P1158" t="n">
        <v>0</v>
      </c>
      <c r="Q1158" t="n">
        <v>1157</v>
      </c>
    </row>
    <row r="1159">
      <c r="A1159" t="n">
        <v>1158</v>
      </c>
      <c r="B1159" t="inlineStr">
        <is>
          <t>MTR-IOS-1158</t>
        </is>
      </c>
      <c r="C1159" t="inlineStr">
        <is>
          <t>iPhone</t>
        </is>
      </c>
      <c r="D1159" t="inlineStr">
        <is>
          <t>Business</t>
        </is>
      </c>
      <c r="E1159" t="inlineStr">
        <is>
          <t>Business</t>
        </is>
      </c>
      <c r="F1159" t="inlineStr">
        <is>
          <t>Business Runway</t>
        </is>
      </c>
      <c r="G1159" t="inlineStr">
        <is>
          <t>Funding</t>
        </is>
      </c>
      <c r="H1159" t="inlineStr">
        <is>
          <t>Business &gt; Business Runway &gt; Quick Add &gt; Funding</t>
        </is>
      </c>
      <c r="I1159" s="18" t="n">
        <v>67710.09</v>
      </c>
      <c r="J1159" t="inlineStr">
        <is>
          <t>Created MTR-IOS-1158 and correlation note visible in Activity/Pulse</t>
        </is>
      </c>
      <c r="K1159" t="inlineStr">
        <is>
          <t>NOT_RUN</t>
        </is>
      </c>
      <c r="P1159" t="n">
        <v>0</v>
      </c>
      <c r="Q1159" t="n">
        <v>1158</v>
      </c>
    </row>
    <row r="1160">
      <c r="A1160" t="n">
        <v>1159</v>
      </c>
      <c r="B1160" t="inlineStr">
        <is>
          <t>MTR-IOS-1159</t>
        </is>
      </c>
      <c r="C1160" t="inlineStr">
        <is>
          <t>iPhone</t>
        </is>
      </c>
      <c r="D1160" t="inlineStr">
        <is>
          <t>Personal</t>
        </is>
      </c>
      <c r="E1160" t="inlineStr">
        <is>
          <t>Personal</t>
        </is>
      </c>
      <c r="F1160" t="inlineStr">
        <is>
          <t>Relationships</t>
        </is>
      </c>
      <c r="G1160" t="inlineStr">
        <is>
          <t>Gifts</t>
        </is>
      </c>
      <c r="H1160" t="inlineStr">
        <is>
          <t>Personal &gt; Relationships &gt; Quick Add &gt; Gifts</t>
        </is>
      </c>
      <c r="I1160" s="18" t="n">
        <v>6619.46</v>
      </c>
      <c r="J1160" t="inlineStr">
        <is>
          <t>Created MTR-IOS-1159 and correlation note visible in Activity/Pulse</t>
        </is>
      </c>
      <c r="K1160" t="inlineStr">
        <is>
          <t>NOT_RUN</t>
        </is>
      </c>
      <c r="P1160" t="n">
        <v>0</v>
      </c>
      <c r="Q1160" t="n">
        <v>1159</v>
      </c>
    </row>
    <row r="1161">
      <c r="A1161" t="n">
        <v>1160</v>
      </c>
      <c r="B1161" t="inlineStr">
        <is>
          <t>MTR-IOS-1160</t>
        </is>
      </c>
      <c r="C1161" t="inlineStr">
        <is>
          <t>iPhone</t>
        </is>
      </c>
      <c r="D1161" t="inlineStr">
        <is>
          <t>Group</t>
        </is>
      </c>
      <c r="E1161" t="inlineStr">
        <is>
          <t>Shared Purchase</t>
        </is>
      </c>
      <c r="F1161" t="inlineStr">
        <is>
          <t>Custom Purchase</t>
        </is>
      </c>
      <c r="G1161" t="inlineStr">
        <is>
          <t>Custom Contribution</t>
        </is>
      </c>
      <c r="H1161" t="inlineStr">
        <is>
          <t>Group &gt; Custom Purchase &gt; Quick Add &gt; Custom Contribution</t>
        </is>
      </c>
      <c r="I1161" s="18" t="n">
        <v>16351.34</v>
      </c>
      <c r="J1161" t="inlineStr">
        <is>
          <t>Created MTR-IOS-1160 and correlation note visible in Activity/Pulse</t>
        </is>
      </c>
      <c r="K1161" t="inlineStr">
        <is>
          <t>NOT_RUN</t>
        </is>
      </c>
      <c r="P1161" t="n">
        <v>0</v>
      </c>
      <c r="Q1161" t="n">
        <v>1160</v>
      </c>
    </row>
    <row r="1162">
      <c r="A1162" t="n">
        <v>1161</v>
      </c>
      <c r="B1162" t="inlineStr">
        <is>
          <t>MTR-IOS-1161</t>
        </is>
      </c>
      <c r="C1162" t="inlineStr">
        <is>
          <t>iPhone</t>
        </is>
      </c>
      <c r="D1162" t="inlineStr">
        <is>
          <t>Business</t>
        </is>
      </c>
      <c r="E1162" t="inlineStr">
        <is>
          <t>Business</t>
        </is>
      </c>
      <c r="F1162" t="inlineStr">
        <is>
          <t>Business Runway</t>
        </is>
      </c>
      <c r="G1162" t="inlineStr">
        <is>
          <t>Revenue</t>
        </is>
      </c>
      <c r="H1162" t="inlineStr">
        <is>
          <t>Business &gt; Business Runway &gt; Quick Add &gt; Revenue</t>
        </is>
      </c>
      <c r="I1162" s="18" t="n">
        <v>102733.31</v>
      </c>
      <c r="J1162" t="inlineStr">
        <is>
          <t>Created MTR-IOS-1161 and correlation note visible in Activity/Pulse</t>
        </is>
      </c>
      <c r="K1162" t="inlineStr">
        <is>
          <t>NOT_RUN</t>
        </is>
      </c>
      <c r="P1162" t="n">
        <v>0</v>
      </c>
      <c r="Q1162" t="n">
        <v>1161</v>
      </c>
    </row>
    <row r="1163">
      <c r="A1163" t="n">
        <v>1162</v>
      </c>
      <c r="B1163" t="inlineStr">
        <is>
          <t>MTR-IOS-1162</t>
        </is>
      </c>
      <c r="C1163" t="inlineStr">
        <is>
          <t>iPhone</t>
        </is>
      </c>
      <c r="D1163" t="inlineStr">
        <is>
          <t>Personal</t>
        </is>
      </c>
      <c r="E1163" t="inlineStr">
        <is>
          <t>Personal</t>
        </is>
      </c>
      <c r="F1163" t="inlineStr">
        <is>
          <t>Relationships</t>
        </is>
      </c>
      <c r="G1163" t="inlineStr">
        <is>
          <t>Dates</t>
        </is>
      </c>
      <c r="H1163" t="inlineStr">
        <is>
          <t>Personal &gt; Relationships &gt; Quick Add &gt; Dates</t>
        </is>
      </c>
      <c r="I1163" s="18" t="n">
        <v>15085.45</v>
      </c>
      <c r="J1163" t="inlineStr">
        <is>
          <t>Created MTR-IOS-1162 and correlation note visible in Activity/Pulse</t>
        </is>
      </c>
      <c r="K1163" t="inlineStr">
        <is>
          <t>NOT_RUN</t>
        </is>
      </c>
      <c r="P1163" t="n">
        <v>0</v>
      </c>
      <c r="Q1163" t="n">
        <v>1162</v>
      </c>
    </row>
    <row r="1164">
      <c r="A1164" t="n">
        <v>1163</v>
      </c>
      <c r="B1164" t="inlineStr">
        <is>
          <t>MTR-IOS-1163</t>
        </is>
      </c>
      <c r="C1164" t="inlineStr">
        <is>
          <t>iPhone</t>
        </is>
      </c>
      <c r="D1164" t="inlineStr">
        <is>
          <t>Group</t>
        </is>
      </c>
      <c r="E1164" t="inlineStr">
        <is>
          <t>Shared Living</t>
        </is>
      </c>
      <c r="F1164" t="inlineStr">
        <is>
          <t>Flatmates</t>
        </is>
      </c>
      <c r="G1164" t="inlineStr">
        <is>
          <t>Rent</t>
        </is>
      </c>
      <c r="H1164" t="inlineStr">
        <is>
          <t>Group &gt; Flatmates &gt; Quick Add &gt; Rent</t>
        </is>
      </c>
      <c r="I1164" s="18" t="n">
        <v>2757.45</v>
      </c>
      <c r="J1164" t="inlineStr">
        <is>
          <t>Created MTR-IOS-1163 and correlation note visible in Activity/Pulse</t>
        </is>
      </c>
      <c r="K1164" t="inlineStr">
        <is>
          <t>NOT_RUN</t>
        </is>
      </c>
      <c r="P1164" t="n">
        <v>0</v>
      </c>
      <c r="Q1164" t="n">
        <v>1163</v>
      </c>
    </row>
    <row r="1165">
      <c r="A1165" t="n">
        <v>1164</v>
      </c>
      <c r="B1165" t="inlineStr">
        <is>
          <t>MTR-IOS-1164</t>
        </is>
      </c>
      <c r="C1165" t="inlineStr">
        <is>
          <t>iPhone</t>
        </is>
      </c>
      <c r="D1165" t="inlineStr">
        <is>
          <t>Business</t>
        </is>
      </c>
      <c r="E1165" t="inlineStr">
        <is>
          <t>Business</t>
        </is>
      </c>
      <c r="F1165" t="inlineStr">
        <is>
          <t>Business Runway</t>
        </is>
      </c>
      <c r="G1165" t="inlineStr">
        <is>
          <t>Burn</t>
        </is>
      </c>
      <c r="H1165" t="inlineStr">
        <is>
          <t>Business &gt; Business Runway &gt; Quick Add &gt; Burn</t>
        </is>
      </c>
      <c r="I1165" s="18" t="n">
        <v>151797.19</v>
      </c>
      <c r="J1165" t="inlineStr">
        <is>
          <t>Created MTR-IOS-1164 and correlation note visible in Activity/Pulse</t>
        </is>
      </c>
      <c r="K1165" t="inlineStr">
        <is>
          <t>NOT_RUN</t>
        </is>
      </c>
      <c r="P1165" t="n">
        <v>0</v>
      </c>
      <c r="Q1165" t="n">
        <v>1164</v>
      </c>
    </row>
    <row r="1166">
      <c r="A1166" t="n">
        <v>1165</v>
      </c>
      <c r="B1166" t="inlineStr">
        <is>
          <t>MTR-IOS-1165</t>
        </is>
      </c>
      <c r="C1166" t="inlineStr">
        <is>
          <t>iPhone</t>
        </is>
      </c>
      <c r="D1166" t="inlineStr">
        <is>
          <t>Personal</t>
        </is>
      </c>
      <c r="E1166" t="inlineStr">
        <is>
          <t>Personal</t>
        </is>
      </c>
      <c r="F1166" t="inlineStr">
        <is>
          <t>Relationships</t>
        </is>
      </c>
      <c r="G1166" t="inlineStr">
        <is>
          <t>Family</t>
        </is>
      </c>
      <c r="H1166" t="inlineStr">
        <is>
          <t>Personal &gt; Relationships &gt; Quick Add &gt; Family</t>
        </is>
      </c>
      <c r="I1166" s="18" t="n">
        <v>14125.32</v>
      </c>
      <c r="J1166" t="inlineStr">
        <is>
          <t>Created MTR-IOS-1165 and correlation note visible in Activity/Pulse</t>
        </is>
      </c>
      <c r="K1166" t="inlineStr">
        <is>
          <t>NOT_RUN</t>
        </is>
      </c>
      <c r="P1166" t="n">
        <v>0</v>
      </c>
      <c r="Q1166" t="n">
        <v>1165</v>
      </c>
    </row>
    <row r="1167">
      <c r="A1167" t="n">
        <v>1166</v>
      </c>
      <c r="B1167" t="inlineStr">
        <is>
          <t>MTR-IOS-1166</t>
        </is>
      </c>
      <c r="C1167" t="inlineStr">
        <is>
          <t>iPhone</t>
        </is>
      </c>
      <c r="D1167" t="inlineStr">
        <is>
          <t>Group</t>
        </is>
      </c>
      <c r="E1167" t="inlineStr">
        <is>
          <t>Shared Living</t>
        </is>
      </c>
      <c r="F1167" t="inlineStr">
        <is>
          <t>Flatmates</t>
        </is>
      </c>
      <c r="G1167" t="inlineStr">
        <is>
          <t>Utilities</t>
        </is>
      </c>
      <c r="H1167" t="inlineStr">
        <is>
          <t>Group &gt; Flatmates &gt; Quick Add &gt; Utilities</t>
        </is>
      </c>
      <c r="I1167" s="18" t="n">
        <v>8512.15</v>
      </c>
      <c r="J1167" t="inlineStr">
        <is>
          <t>Created MTR-IOS-1166 and correlation note visible in Activity/Pulse</t>
        </is>
      </c>
      <c r="K1167" t="inlineStr">
        <is>
          <t>NOT_RUN</t>
        </is>
      </c>
      <c r="P1167" t="n">
        <v>0</v>
      </c>
      <c r="Q1167" t="n">
        <v>1166</v>
      </c>
    </row>
    <row r="1168">
      <c r="A1168" t="n">
        <v>1167</v>
      </c>
      <c r="B1168" t="inlineStr">
        <is>
          <t>MTR-IOS-1167</t>
        </is>
      </c>
      <c r="C1168" t="inlineStr">
        <is>
          <t>iPhone</t>
        </is>
      </c>
      <c r="D1168" t="inlineStr">
        <is>
          <t>Business</t>
        </is>
      </c>
      <c r="E1168" t="inlineStr">
        <is>
          <t>Business</t>
        </is>
      </c>
      <c r="F1168" t="inlineStr">
        <is>
          <t>Business Runway</t>
        </is>
      </c>
      <c r="G1168" t="inlineStr">
        <is>
          <t>Reserve</t>
        </is>
      </c>
      <c r="H1168" t="inlineStr">
        <is>
          <t>Business &gt; Business Runway &gt; Quick Add &gt; Reserve</t>
        </is>
      </c>
      <c r="I1168" s="18" t="n">
        <v>102097.33</v>
      </c>
      <c r="J1168" t="inlineStr">
        <is>
          <t>Created MTR-IOS-1167 and correlation note visible in Activity/Pulse</t>
        </is>
      </c>
      <c r="K1168" t="inlineStr">
        <is>
          <t>NOT_RUN</t>
        </is>
      </c>
      <c r="P1168" t="n">
        <v>0</v>
      </c>
      <c r="Q1168" t="n">
        <v>1167</v>
      </c>
    </row>
    <row r="1169">
      <c r="A1169" t="n">
        <v>1168</v>
      </c>
      <c r="B1169" t="inlineStr">
        <is>
          <t>MTR-IOS-1168</t>
        </is>
      </c>
      <c r="C1169" t="inlineStr">
        <is>
          <t>iPhone</t>
        </is>
      </c>
      <c r="D1169" t="inlineStr">
        <is>
          <t>Personal</t>
        </is>
      </c>
      <c r="E1169" t="inlineStr">
        <is>
          <t>Personal</t>
        </is>
      </c>
      <c r="F1169" t="inlineStr">
        <is>
          <t>Relationships</t>
        </is>
      </c>
      <c r="G1169" t="inlineStr">
        <is>
          <t>Friends</t>
        </is>
      </c>
      <c r="H1169" t="inlineStr">
        <is>
          <t>Personal &gt; Relationships &gt; Quick Add &gt; Friends</t>
        </is>
      </c>
      <c r="I1169" s="18" t="n">
        <v>6505.2</v>
      </c>
      <c r="J1169" t="inlineStr">
        <is>
          <t>Created MTR-IOS-1168 and correlation note visible in Activity/Pulse</t>
        </is>
      </c>
      <c r="K1169" t="inlineStr">
        <is>
          <t>NOT_RUN</t>
        </is>
      </c>
      <c r="P1169" t="n">
        <v>0</v>
      </c>
      <c r="Q1169" t="n">
        <v>1168</v>
      </c>
    </row>
    <row r="1170">
      <c r="A1170" t="n">
        <v>1169</v>
      </c>
      <c r="B1170" t="inlineStr">
        <is>
          <t>MTR-IOS-1169</t>
        </is>
      </c>
      <c r="C1170" t="inlineStr">
        <is>
          <t>iPhone</t>
        </is>
      </c>
      <c r="D1170" t="inlineStr">
        <is>
          <t>Group</t>
        </is>
      </c>
      <c r="E1170" t="inlineStr">
        <is>
          <t>Shared Living</t>
        </is>
      </c>
      <c r="F1170" t="inlineStr">
        <is>
          <t>Flatmates</t>
        </is>
      </c>
      <c r="G1170" t="inlineStr">
        <is>
          <t>Groceries</t>
        </is>
      </c>
      <c r="H1170" t="inlineStr">
        <is>
          <t>Group &gt; Flatmates &gt; Quick Add &gt; Groceries</t>
        </is>
      </c>
      <c r="I1170" s="18" t="n">
        <v>26103.76</v>
      </c>
      <c r="J1170" t="inlineStr">
        <is>
          <t>Created MTR-IOS-1169 and correlation note visible in Activity/Pulse</t>
        </is>
      </c>
      <c r="K1170" t="inlineStr">
        <is>
          <t>NOT_RUN</t>
        </is>
      </c>
      <c r="P1170" t="n">
        <v>0</v>
      </c>
      <c r="Q1170" t="n">
        <v>1169</v>
      </c>
    </row>
    <row r="1171">
      <c r="A1171" t="n">
        <v>1170</v>
      </c>
      <c r="B1171" t="inlineStr">
        <is>
          <t>MTR-IOS-1170</t>
        </is>
      </c>
      <c r="C1171" t="inlineStr">
        <is>
          <t>iPhone</t>
        </is>
      </c>
      <c r="D1171" t="inlineStr">
        <is>
          <t>Business</t>
        </is>
      </c>
      <c r="E1171" t="inlineStr">
        <is>
          <t>Business</t>
        </is>
      </c>
      <c r="F1171" t="inlineStr">
        <is>
          <t>Business Runway</t>
        </is>
      </c>
      <c r="G1171" t="inlineStr">
        <is>
          <t>Loan</t>
        </is>
      </c>
      <c r="H1171" t="inlineStr">
        <is>
          <t>Business &gt; Business Runway &gt; Quick Add &gt; Loan</t>
        </is>
      </c>
      <c r="I1171" s="18" t="n">
        <v>106767.96</v>
      </c>
      <c r="J1171" t="inlineStr">
        <is>
          <t>Created MTR-IOS-1170 and correlation note visible in Activity/Pulse</t>
        </is>
      </c>
      <c r="K1171" t="inlineStr">
        <is>
          <t>NOT_RUN</t>
        </is>
      </c>
      <c r="P1171" t="n">
        <v>0</v>
      </c>
      <c r="Q1171" t="n">
        <v>1170</v>
      </c>
    </row>
    <row r="1172">
      <c r="A1172" t="n">
        <v>1171</v>
      </c>
      <c r="B1172" t="inlineStr">
        <is>
          <t>MTR-IOS-1171</t>
        </is>
      </c>
      <c r="C1172" t="inlineStr">
        <is>
          <t>iPhone</t>
        </is>
      </c>
      <c r="D1172" t="inlineStr">
        <is>
          <t>Personal</t>
        </is>
      </c>
      <c r="E1172" t="inlineStr">
        <is>
          <t>Personal</t>
        </is>
      </c>
      <c r="F1172" t="inlineStr">
        <is>
          <t>Relationships</t>
        </is>
      </c>
      <c r="G1172" t="inlineStr">
        <is>
          <t>Celebrations</t>
        </is>
      </c>
      <c r="H1172" t="inlineStr">
        <is>
          <t>Personal &gt; Relationships &gt; Quick Add &gt; Celebrations</t>
        </is>
      </c>
      <c r="I1172" s="18" t="n">
        <v>11306.62</v>
      </c>
      <c r="J1172" t="inlineStr">
        <is>
          <t>Created MTR-IOS-1171 and correlation note visible in Activity/Pulse</t>
        </is>
      </c>
      <c r="K1172" t="inlineStr">
        <is>
          <t>NOT_RUN</t>
        </is>
      </c>
      <c r="P1172" t="n">
        <v>0</v>
      </c>
      <c r="Q1172" t="n">
        <v>1171</v>
      </c>
    </row>
    <row r="1173">
      <c r="A1173" t="n">
        <v>1172</v>
      </c>
      <c r="B1173" t="inlineStr">
        <is>
          <t>MTR-IOS-1172</t>
        </is>
      </c>
      <c r="C1173" t="inlineStr">
        <is>
          <t>iPhone</t>
        </is>
      </c>
      <c r="D1173" t="inlineStr">
        <is>
          <t>Group</t>
        </is>
      </c>
      <c r="E1173" t="inlineStr">
        <is>
          <t>Shared Living</t>
        </is>
      </c>
      <c r="F1173" t="inlineStr">
        <is>
          <t>Flatmates</t>
        </is>
      </c>
      <c r="G1173" t="inlineStr">
        <is>
          <t>Internet</t>
        </is>
      </c>
      <c r="H1173" t="inlineStr">
        <is>
          <t>Group &gt; Flatmates &gt; Quick Add &gt; Internet</t>
        </is>
      </c>
      <c r="I1173" s="18" t="n">
        <v>13526.9</v>
      </c>
      <c r="J1173" t="inlineStr">
        <is>
          <t>Created MTR-IOS-1172 and correlation note visible in Activity/Pulse</t>
        </is>
      </c>
      <c r="K1173" t="inlineStr">
        <is>
          <t>NOT_RUN</t>
        </is>
      </c>
      <c r="P1173" t="n">
        <v>0</v>
      </c>
      <c r="Q1173" t="n">
        <v>1172</v>
      </c>
    </row>
    <row r="1174">
      <c r="A1174" t="n">
        <v>1173</v>
      </c>
      <c r="B1174" t="inlineStr">
        <is>
          <t>MTR-IOS-1173</t>
        </is>
      </c>
      <c r="C1174" t="inlineStr">
        <is>
          <t>iPhone</t>
        </is>
      </c>
      <c r="D1174" t="inlineStr">
        <is>
          <t>Business</t>
        </is>
      </c>
      <c r="E1174" t="inlineStr">
        <is>
          <t>Business</t>
        </is>
      </c>
      <c r="F1174" t="inlineStr">
        <is>
          <t>Business Runway</t>
        </is>
      </c>
      <c r="G1174" t="inlineStr">
        <is>
          <t>Investment</t>
        </is>
      </c>
      <c r="H1174" t="inlineStr">
        <is>
          <t>Business &gt; Business Runway &gt; Quick Add &gt; Investment</t>
        </is>
      </c>
      <c r="I1174" s="18" t="n">
        <v>97833.72</v>
      </c>
      <c r="J1174" t="inlineStr">
        <is>
          <t>Created MTR-IOS-1173 and correlation note visible in Activity/Pulse</t>
        </is>
      </c>
      <c r="K1174" t="inlineStr">
        <is>
          <t>NOT_RUN</t>
        </is>
      </c>
      <c r="P1174" t="n">
        <v>0</v>
      </c>
      <c r="Q1174" t="n">
        <v>1173</v>
      </c>
    </row>
    <row r="1175">
      <c r="A1175" t="n">
        <v>1174</v>
      </c>
      <c r="B1175" t="inlineStr">
        <is>
          <t>MTR-IOS-1174</t>
        </is>
      </c>
      <c r="C1175" t="inlineStr">
        <is>
          <t>iPhone</t>
        </is>
      </c>
      <c r="D1175" t="inlineStr">
        <is>
          <t>Personal</t>
        </is>
      </c>
      <c r="E1175" t="inlineStr">
        <is>
          <t>Personal</t>
        </is>
      </c>
      <c r="F1175" t="inlineStr">
        <is>
          <t>Life Operations</t>
        </is>
      </c>
      <c r="G1175" t="inlineStr">
        <is>
          <t>Groceries</t>
        </is>
      </c>
      <c r="H1175" t="inlineStr">
        <is>
          <t>Personal &gt; Life Operations &gt; Quick Add &gt; Groceries</t>
        </is>
      </c>
      <c r="I1175" s="18" t="n">
        <v>10367.61</v>
      </c>
      <c r="J1175" t="inlineStr">
        <is>
          <t>Created MTR-IOS-1174 and correlation note visible in Activity/Pulse</t>
        </is>
      </c>
      <c r="K1175" t="inlineStr">
        <is>
          <t>NOT_RUN</t>
        </is>
      </c>
      <c r="P1175" t="n">
        <v>0</v>
      </c>
      <c r="Q1175" t="n">
        <v>1174</v>
      </c>
    </row>
    <row r="1176">
      <c r="A1176" t="n">
        <v>1175</v>
      </c>
      <c r="B1176" t="inlineStr">
        <is>
          <t>MTR-IOS-1175</t>
        </is>
      </c>
      <c r="C1176" t="inlineStr">
        <is>
          <t>iPhone</t>
        </is>
      </c>
      <c r="D1176" t="inlineStr">
        <is>
          <t>Group</t>
        </is>
      </c>
      <c r="E1176" t="inlineStr">
        <is>
          <t>Shared Living</t>
        </is>
      </c>
      <c r="F1176" t="inlineStr">
        <is>
          <t>Flatmates</t>
        </is>
      </c>
      <c r="G1176" t="inlineStr">
        <is>
          <t>House Supplies</t>
        </is>
      </c>
      <c r="H1176" t="inlineStr">
        <is>
          <t>Group &gt; Flatmates &gt; Quick Add &gt; House Supplies</t>
        </is>
      </c>
      <c r="I1176" s="18" t="n">
        <v>13277.83</v>
      </c>
      <c r="J1176" t="inlineStr">
        <is>
          <t>Created MTR-IOS-1175 and correlation note visible in Activity/Pulse</t>
        </is>
      </c>
      <c r="K1176" t="inlineStr">
        <is>
          <t>NOT_RUN</t>
        </is>
      </c>
      <c r="P1176" t="n">
        <v>0</v>
      </c>
      <c r="Q1176" t="n">
        <v>1175</v>
      </c>
    </row>
    <row r="1177">
      <c r="A1177" t="n">
        <v>1176</v>
      </c>
      <c r="B1177" t="inlineStr">
        <is>
          <t>MTR-IOS-1176</t>
        </is>
      </c>
      <c r="C1177" t="inlineStr">
        <is>
          <t>iPhone</t>
        </is>
      </c>
      <c r="D1177" t="inlineStr">
        <is>
          <t>Business</t>
        </is>
      </c>
      <c r="E1177" t="inlineStr">
        <is>
          <t>Business</t>
        </is>
      </c>
      <c r="F1177" t="inlineStr">
        <is>
          <t>Business Operations</t>
        </is>
      </c>
      <c r="G1177" t="inlineStr">
        <is>
          <t>Software</t>
        </is>
      </c>
      <c r="H1177" t="inlineStr">
        <is>
          <t>Business &gt; Business Operations &gt; Quick Add &gt; Software</t>
        </is>
      </c>
      <c r="I1177" s="18" t="n">
        <v>36082.79</v>
      </c>
      <c r="J1177" t="inlineStr">
        <is>
          <t>Created MTR-IOS-1176 and correlation note visible in Activity/Pulse</t>
        </is>
      </c>
      <c r="K1177" t="inlineStr">
        <is>
          <t>NOT_RUN</t>
        </is>
      </c>
      <c r="P1177" t="n">
        <v>0</v>
      </c>
      <c r="Q1177" t="n">
        <v>1176</v>
      </c>
    </row>
    <row r="1178">
      <c r="A1178" t="n">
        <v>1177</v>
      </c>
      <c r="B1178" t="inlineStr">
        <is>
          <t>MTR-IOS-1177</t>
        </is>
      </c>
      <c r="C1178" t="inlineStr">
        <is>
          <t>iPhone</t>
        </is>
      </c>
      <c r="D1178" t="inlineStr">
        <is>
          <t>Personal</t>
        </is>
      </c>
      <c r="E1178" t="inlineStr">
        <is>
          <t>Personal</t>
        </is>
      </c>
      <c r="F1178" t="inlineStr">
        <is>
          <t>Life Operations</t>
        </is>
      </c>
      <c r="G1178" t="inlineStr">
        <is>
          <t>Rent</t>
        </is>
      </c>
      <c r="H1178" t="inlineStr">
        <is>
          <t>Personal &gt; Life Operations &gt; Quick Add &gt; Rent</t>
        </is>
      </c>
      <c r="I1178" s="18" t="n">
        <v>2282.68</v>
      </c>
      <c r="J1178" t="inlineStr">
        <is>
          <t>Created MTR-IOS-1177 and correlation note visible in Activity/Pulse</t>
        </is>
      </c>
      <c r="K1178" t="inlineStr">
        <is>
          <t>NOT_RUN</t>
        </is>
      </c>
      <c r="P1178" t="n">
        <v>0</v>
      </c>
      <c r="Q1178" t="n">
        <v>1177</v>
      </c>
    </row>
    <row r="1179">
      <c r="A1179" t="n">
        <v>1178</v>
      </c>
      <c r="B1179" t="inlineStr">
        <is>
          <t>MTR-IOS-1178</t>
        </is>
      </c>
      <c r="C1179" t="inlineStr">
        <is>
          <t>iPhone</t>
        </is>
      </c>
      <c r="D1179" t="inlineStr">
        <is>
          <t>Group</t>
        </is>
      </c>
      <c r="E1179" t="inlineStr">
        <is>
          <t>Shared Living</t>
        </is>
      </c>
      <c r="F1179" t="inlineStr">
        <is>
          <t>Flatmates</t>
        </is>
      </c>
      <c r="G1179" t="inlineStr">
        <is>
          <t>Repairs</t>
        </is>
      </c>
      <c r="H1179" t="inlineStr">
        <is>
          <t>Group &gt; Flatmates &gt; Quick Add &gt; Repairs</t>
        </is>
      </c>
      <c r="I1179" s="18" t="n">
        <v>5640.88</v>
      </c>
      <c r="J1179" t="inlineStr">
        <is>
          <t>Created MTR-IOS-1178 and correlation note visible in Activity/Pulse</t>
        </is>
      </c>
      <c r="K1179" t="inlineStr">
        <is>
          <t>NOT_RUN</t>
        </is>
      </c>
      <c r="P1179" t="n">
        <v>0</v>
      </c>
      <c r="Q1179" t="n">
        <v>1178</v>
      </c>
    </row>
    <row r="1180">
      <c r="A1180" t="n">
        <v>1179</v>
      </c>
      <c r="B1180" t="inlineStr">
        <is>
          <t>MTR-IOS-1179</t>
        </is>
      </c>
      <c r="C1180" t="inlineStr">
        <is>
          <t>iPhone</t>
        </is>
      </c>
      <c r="D1180" t="inlineStr">
        <is>
          <t>Business</t>
        </is>
      </c>
      <c r="E1180" t="inlineStr">
        <is>
          <t>Business</t>
        </is>
      </c>
      <c r="F1180" t="inlineStr">
        <is>
          <t>Business Operations</t>
        </is>
      </c>
      <c r="G1180" t="inlineStr">
        <is>
          <t>Rent</t>
        </is>
      </c>
      <c r="H1180" t="inlineStr">
        <is>
          <t>Business &gt; Business Operations &gt; Quick Add &gt; Rent</t>
        </is>
      </c>
      <c r="I1180" s="18" t="n">
        <v>127015.72</v>
      </c>
      <c r="J1180" t="inlineStr">
        <is>
          <t>Created MTR-IOS-1179 and correlation note visible in Activity/Pulse</t>
        </is>
      </c>
      <c r="K1180" t="inlineStr">
        <is>
          <t>NOT_RUN</t>
        </is>
      </c>
      <c r="P1180" t="n">
        <v>0</v>
      </c>
      <c r="Q1180" t="n">
        <v>1179</v>
      </c>
    </row>
    <row r="1181">
      <c r="A1181" t="n">
        <v>1180</v>
      </c>
      <c r="B1181" t="inlineStr">
        <is>
          <t>MTR-IOS-1180</t>
        </is>
      </c>
      <c r="C1181" t="inlineStr">
        <is>
          <t>iPhone</t>
        </is>
      </c>
      <c r="D1181" t="inlineStr">
        <is>
          <t>Personal</t>
        </is>
      </c>
      <c r="E1181" t="inlineStr">
        <is>
          <t>Personal</t>
        </is>
      </c>
      <c r="F1181" t="inlineStr">
        <is>
          <t>Life Operations</t>
        </is>
      </c>
      <c r="G1181" t="inlineStr">
        <is>
          <t>Bills</t>
        </is>
      </c>
      <c r="H1181" t="inlineStr">
        <is>
          <t>Personal &gt; Life Operations &gt; Quick Add &gt; Bills</t>
        </is>
      </c>
      <c r="I1181" s="18" t="n">
        <v>3549.55</v>
      </c>
      <c r="J1181" t="inlineStr">
        <is>
          <t>Created MTR-IOS-1180 and correlation note visible in Activity/Pulse</t>
        </is>
      </c>
      <c r="K1181" t="inlineStr">
        <is>
          <t>NOT_RUN</t>
        </is>
      </c>
      <c r="P1181" t="n">
        <v>0</v>
      </c>
      <c r="Q1181" t="n">
        <v>1180</v>
      </c>
    </row>
    <row r="1182">
      <c r="A1182" t="n">
        <v>1181</v>
      </c>
      <c r="B1182" t="inlineStr">
        <is>
          <t>MTR-IOS-1181</t>
        </is>
      </c>
      <c r="C1182" t="inlineStr">
        <is>
          <t>iPhone</t>
        </is>
      </c>
      <c r="D1182" t="inlineStr">
        <is>
          <t>Group</t>
        </is>
      </c>
      <c r="E1182" t="inlineStr">
        <is>
          <t>Shared Living</t>
        </is>
      </c>
      <c r="F1182" t="inlineStr">
        <is>
          <t>Shared Living</t>
        </is>
      </c>
      <c r="G1182" t="inlineStr">
        <is>
          <t>Rent</t>
        </is>
      </c>
      <c r="H1182" t="inlineStr">
        <is>
          <t>Group &gt; Shared Living &gt; Quick Add &gt; Rent</t>
        </is>
      </c>
      <c r="I1182" s="18" t="n">
        <v>11742.93</v>
      </c>
      <c r="J1182" t="inlineStr">
        <is>
          <t>Created MTR-IOS-1181 and correlation note visible in Activity/Pulse</t>
        </is>
      </c>
      <c r="K1182" t="inlineStr">
        <is>
          <t>NOT_RUN</t>
        </is>
      </c>
      <c r="P1182" t="n">
        <v>0</v>
      </c>
      <c r="Q1182" t="n">
        <v>1181</v>
      </c>
    </row>
    <row r="1183">
      <c r="A1183" t="n">
        <v>1182</v>
      </c>
      <c r="B1183" t="inlineStr">
        <is>
          <t>MTR-IOS-1182</t>
        </is>
      </c>
      <c r="C1183" t="inlineStr">
        <is>
          <t>iPhone</t>
        </is>
      </c>
      <c r="D1183" t="inlineStr">
        <is>
          <t>Business</t>
        </is>
      </c>
      <c r="E1183" t="inlineStr">
        <is>
          <t>Business</t>
        </is>
      </c>
      <c r="F1183" t="inlineStr">
        <is>
          <t>Business Operations</t>
        </is>
      </c>
      <c r="G1183" t="inlineStr">
        <is>
          <t>Marketing</t>
        </is>
      </c>
      <c r="H1183" t="inlineStr">
        <is>
          <t>Business &gt; Business Operations &gt; Quick Add &gt; Marketing</t>
        </is>
      </c>
      <c r="I1183" s="18" t="n">
        <v>31083.8</v>
      </c>
      <c r="J1183" t="inlineStr">
        <is>
          <t>Created MTR-IOS-1182 and correlation note visible in Activity/Pulse</t>
        </is>
      </c>
      <c r="K1183" t="inlineStr">
        <is>
          <t>NOT_RUN</t>
        </is>
      </c>
      <c r="P1183" t="n">
        <v>0</v>
      </c>
      <c r="Q1183" t="n">
        <v>1182</v>
      </c>
    </row>
    <row r="1184">
      <c r="A1184" t="n">
        <v>1183</v>
      </c>
      <c r="B1184" t="inlineStr">
        <is>
          <t>MTR-IOS-1183</t>
        </is>
      </c>
      <c r="C1184" t="inlineStr">
        <is>
          <t>iPhone</t>
        </is>
      </c>
      <c r="D1184" t="inlineStr">
        <is>
          <t>Personal</t>
        </is>
      </c>
      <c r="E1184" t="inlineStr">
        <is>
          <t>Personal</t>
        </is>
      </c>
      <c r="F1184" t="inlineStr">
        <is>
          <t>Life Operations</t>
        </is>
      </c>
      <c r="G1184" t="inlineStr">
        <is>
          <t>Transport</t>
        </is>
      </c>
      <c r="H1184" t="inlineStr">
        <is>
          <t>Personal &gt; Life Operations &gt; Quick Add &gt; Transport</t>
        </is>
      </c>
      <c r="I1184" s="18" t="n">
        <v>13519.92</v>
      </c>
      <c r="J1184" t="inlineStr">
        <is>
          <t>Created MTR-IOS-1183 and correlation note visible in Activity/Pulse</t>
        </is>
      </c>
      <c r="K1184" t="inlineStr">
        <is>
          <t>NOT_RUN</t>
        </is>
      </c>
      <c r="P1184" t="n">
        <v>0</v>
      </c>
      <c r="Q1184" t="n">
        <v>1183</v>
      </c>
    </row>
    <row r="1185">
      <c r="A1185" t="n">
        <v>1184</v>
      </c>
      <c r="B1185" t="inlineStr">
        <is>
          <t>MTR-IOS-1184</t>
        </is>
      </c>
      <c r="C1185" t="inlineStr">
        <is>
          <t>iPhone</t>
        </is>
      </c>
      <c r="D1185" t="inlineStr">
        <is>
          <t>Group</t>
        </is>
      </c>
      <c r="E1185" t="inlineStr">
        <is>
          <t>Shared Living</t>
        </is>
      </c>
      <c r="F1185" t="inlineStr">
        <is>
          <t>Shared Living</t>
        </is>
      </c>
      <c r="G1185" t="inlineStr">
        <is>
          <t>Utilities</t>
        </is>
      </c>
      <c r="H1185" t="inlineStr">
        <is>
          <t>Group &gt; Shared Living &gt; Quick Add &gt; Utilities</t>
        </is>
      </c>
      <c r="I1185" s="18" t="n">
        <v>99.98999999999999</v>
      </c>
      <c r="J1185" t="inlineStr">
        <is>
          <t>Created MTR-IOS-1184 and correlation note visible in Activity/Pulse</t>
        </is>
      </c>
      <c r="K1185" t="inlineStr">
        <is>
          <t>NOT_RUN</t>
        </is>
      </c>
      <c r="P1185" t="n">
        <v>0</v>
      </c>
      <c r="Q1185" t="n">
        <v>1184</v>
      </c>
    </row>
    <row r="1186">
      <c r="A1186" t="n">
        <v>1185</v>
      </c>
      <c r="B1186" t="inlineStr">
        <is>
          <t>MTR-IOS-1185</t>
        </is>
      </c>
      <c r="C1186" t="inlineStr">
        <is>
          <t>iPhone</t>
        </is>
      </c>
      <c r="D1186" t="inlineStr">
        <is>
          <t>Business</t>
        </is>
      </c>
      <c r="E1186" t="inlineStr">
        <is>
          <t>Business</t>
        </is>
      </c>
      <c r="F1186" t="inlineStr">
        <is>
          <t>Business Operations</t>
        </is>
      </c>
      <c r="G1186" t="inlineStr">
        <is>
          <t>Legal</t>
        </is>
      </c>
      <c r="H1186" t="inlineStr">
        <is>
          <t>Business &gt; Business Operations &gt; Quick Add &gt; Legal</t>
        </is>
      </c>
      <c r="I1186" s="18" t="n">
        <v>138635.49</v>
      </c>
      <c r="J1186" t="inlineStr">
        <is>
          <t>Created MTR-IOS-1185 and correlation note visible in Activity/Pulse</t>
        </is>
      </c>
      <c r="K1186" t="inlineStr">
        <is>
          <t>NOT_RUN</t>
        </is>
      </c>
      <c r="P1186" t="n">
        <v>0</v>
      </c>
      <c r="Q1186" t="n">
        <v>1185</v>
      </c>
    </row>
    <row r="1187">
      <c r="A1187" t="n">
        <v>1186</v>
      </c>
      <c r="B1187" t="inlineStr">
        <is>
          <t>MTR-IOS-1186</t>
        </is>
      </c>
      <c r="C1187" t="inlineStr">
        <is>
          <t>iPhone</t>
        </is>
      </c>
      <c r="D1187" t="inlineStr">
        <is>
          <t>Personal</t>
        </is>
      </c>
      <c r="E1187" t="inlineStr">
        <is>
          <t>Personal</t>
        </is>
      </c>
      <c r="F1187" t="inlineStr">
        <is>
          <t>Life Operations</t>
        </is>
      </c>
      <c r="G1187" t="inlineStr">
        <is>
          <t>Healthcare</t>
        </is>
      </c>
      <c r="H1187" t="inlineStr">
        <is>
          <t>Personal &gt; Life Operations &gt; Quick Add &gt; Healthcare</t>
        </is>
      </c>
      <c r="I1187" s="18" t="n">
        <v>4510.48</v>
      </c>
      <c r="J1187" t="inlineStr">
        <is>
          <t>Created MTR-IOS-1186 and correlation note visible in Activity/Pulse</t>
        </is>
      </c>
      <c r="K1187" t="inlineStr">
        <is>
          <t>NOT_RUN</t>
        </is>
      </c>
      <c r="P1187" t="n">
        <v>0</v>
      </c>
      <c r="Q1187" t="n">
        <v>1186</v>
      </c>
    </row>
    <row r="1188">
      <c r="A1188" t="n">
        <v>1187</v>
      </c>
      <c r="B1188" t="inlineStr">
        <is>
          <t>MTR-IOS-1187</t>
        </is>
      </c>
      <c r="C1188" t="inlineStr">
        <is>
          <t>iPhone</t>
        </is>
      </c>
      <c r="D1188" t="inlineStr">
        <is>
          <t>Group</t>
        </is>
      </c>
      <c r="E1188" t="inlineStr">
        <is>
          <t>Shared Living</t>
        </is>
      </c>
      <c r="F1188" t="inlineStr">
        <is>
          <t>Shared Living</t>
        </is>
      </c>
      <c r="G1188" t="inlineStr">
        <is>
          <t>Groceries</t>
        </is>
      </c>
      <c r="H1188" t="inlineStr">
        <is>
          <t>Group &gt; Shared Living &gt; Quick Add &gt; Groceries</t>
        </is>
      </c>
      <c r="I1188" s="18" t="n">
        <v>17308.4</v>
      </c>
      <c r="J1188" t="inlineStr">
        <is>
          <t>Created MTR-IOS-1187 and correlation note visible in Activity/Pulse</t>
        </is>
      </c>
      <c r="K1188" t="inlineStr">
        <is>
          <t>NOT_RUN</t>
        </is>
      </c>
      <c r="P1188" t="n">
        <v>0</v>
      </c>
      <c r="Q1188" t="n">
        <v>1187</v>
      </c>
    </row>
    <row r="1189">
      <c r="A1189" t="n">
        <v>1188</v>
      </c>
      <c r="B1189" t="inlineStr">
        <is>
          <t>MTR-IOS-1188</t>
        </is>
      </c>
      <c r="C1189" t="inlineStr">
        <is>
          <t>iPhone</t>
        </is>
      </c>
      <c r="D1189" t="inlineStr">
        <is>
          <t>Business</t>
        </is>
      </c>
      <c r="E1189" t="inlineStr">
        <is>
          <t>Business</t>
        </is>
      </c>
      <c r="F1189" t="inlineStr">
        <is>
          <t>Business Operations</t>
        </is>
      </c>
      <c r="G1189" t="inlineStr">
        <is>
          <t>Accounting</t>
        </is>
      </c>
      <c r="H1189" t="inlineStr">
        <is>
          <t>Business &gt; Business Operations &gt; Quick Add &gt; Accounting</t>
        </is>
      </c>
      <c r="I1189" s="18" t="n">
        <v>138167.83</v>
      </c>
      <c r="J1189" t="inlineStr">
        <is>
          <t>Created MTR-IOS-1188 and correlation note visible in Activity/Pulse</t>
        </is>
      </c>
      <c r="K1189" t="inlineStr">
        <is>
          <t>NOT_RUN</t>
        </is>
      </c>
      <c r="P1189" t="n">
        <v>0</v>
      </c>
      <c r="Q1189" t="n">
        <v>1188</v>
      </c>
    </row>
    <row r="1190">
      <c r="A1190" t="n">
        <v>1189</v>
      </c>
      <c r="B1190" t="inlineStr">
        <is>
          <t>MTR-IOS-1189</t>
        </is>
      </c>
      <c r="C1190" t="inlineStr">
        <is>
          <t>iPhone</t>
        </is>
      </c>
      <c r="D1190" t="inlineStr">
        <is>
          <t>Personal</t>
        </is>
      </c>
      <c r="E1190" t="inlineStr">
        <is>
          <t>Personal</t>
        </is>
      </c>
      <c r="F1190" t="inlineStr">
        <is>
          <t>Life Operations</t>
        </is>
      </c>
      <c r="G1190" t="inlineStr">
        <is>
          <t>Subscriptions</t>
        </is>
      </c>
      <c r="H1190" t="inlineStr">
        <is>
          <t>Personal &gt; Life Operations &gt; Quick Add &gt; Subscriptions</t>
        </is>
      </c>
      <c r="I1190" s="18" t="n">
        <v>6190.43</v>
      </c>
      <c r="J1190" t="inlineStr">
        <is>
          <t>Created MTR-IOS-1189 and correlation note visible in Activity/Pulse</t>
        </is>
      </c>
      <c r="K1190" t="inlineStr">
        <is>
          <t>NOT_RUN</t>
        </is>
      </c>
      <c r="P1190" t="n">
        <v>0</v>
      </c>
      <c r="Q1190" t="n">
        <v>1189</v>
      </c>
    </row>
    <row r="1191">
      <c r="A1191" t="n">
        <v>1190</v>
      </c>
      <c r="B1191" t="inlineStr">
        <is>
          <t>MTR-IOS-1190</t>
        </is>
      </c>
      <c r="C1191" t="inlineStr">
        <is>
          <t>iPhone</t>
        </is>
      </c>
      <c r="D1191" t="inlineStr">
        <is>
          <t>Group</t>
        </is>
      </c>
      <c r="E1191" t="inlineStr">
        <is>
          <t>Shared Living</t>
        </is>
      </c>
      <c r="F1191" t="inlineStr">
        <is>
          <t>Shared Living</t>
        </is>
      </c>
      <c r="G1191" t="inlineStr">
        <is>
          <t>Maintenance</t>
        </is>
      </c>
      <c r="H1191" t="inlineStr">
        <is>
          <t>Group &gt; Shared Living &gt; Quick Add &gt; Maintenance</t>
        </is>
      </c>
      <c r="I1191" s="18" t="n">
        <v>25102.56</v>
      </c>
      <c r="J1191" t="inlineStr">
        <is>
          <t>Created MTR-IOS-1190 and correlation note visible in Activity/Pulse</t>
        </is>
      </c>
      <c r="K1191" t="inlineStr">
        <is>
          <t>NOT_RUN</t>
        </is>
      </c>
      <c r="P1191" t="n">
        <v>0</v>
      </c>
      <c r="Q1191" t="n">
        <v>1190</v>
      </c>
    </row>
    <row r="1192">
      <c r="A1192" t="n">
        <v>1191</v>
      </c>
      <c r="B1192" t="inlineStr">
        <is>
          <t>MTR-IOS-1191</t>
        </is>
      </c>
      <c r="C1192" t="inlineStr">
        <is>
          <t>iPhone</t>
        </is>
      </c>
      <c r="D1192" t="inlineStr">
        <is>
          <t>Business</t>
        </is>
      </c>
      <c r="E1192" t="inlineStr">
        <is>
          <t>Business</t>
        </is>
      </c>
      <c r="F1192" t="inlineStr">
        <is>
          <t>Business Operations</t>
        </is>
      </c>
      <c r="G1192" t="inlineStr">
        <is>
          <t>Equipment</t>
        </is>
      </c>
      <c r="H1192" t="inlineStr">
        <is>
          <t>Business &gt; Business Operations &gt; Quick Add &gt; Equipment</t>
        </is>
      </c>
      <c r="I1192" s="18" t="n">
        <v>10806.81</v>
      </c>
      <c r="J1192" t="inlineStr">
        <is>
          <t>Created MTR-IOS-1191 and correlation note visible in Activity/Pulse</t>
        </is>
      </c>
      <c r="K1192" t="inlineStr">
        <is>
          <t>NOT_RUN</t>
        </is>
      </c>
      <c r="P1192" t="n">
        <v>0</v>
      </c>
      <c r="Q1192" t="n">
        <v>1191</v>
      </c>
    </row>
    <row r="1193">
      <c r="A1193" t="n">
        <v>1192</v>
      </c>
      <c r="B1193" t="inlineStr">
        <is>
          <t>MTR-IOS-1192</t>
        </is>
      </c>
      <c r="C1193" t="inlineStr">
        <is>
          <t>iPhone</t>
        </is>
      </c>
      <c r="D1193" t="inlineStr">
        <is>
          <t>Personal</t>
        </is>
      </c>
      <c r="E1193" t="inlineStr">
        <is>
          <t>Personal</t>
        </is>
      </c>
      <c r="F1193" t="inlineStr">
        <is>
          <t>Life Operations</t>
        </is>
      </c>
      <c r="G1193" t="inlineStr">
        <is>
          <t>Repairs</t>
        </is>
      </c>
      <c r="H1193" t="inlineStr">
        <is>
          <t>Personal &gt; Life Operations &gt; Quick Add &gt; Repairs</t>
        </is>
      </c>
      <c r="I1193" s="18" t="n">
        <v>4871.81</v>
      </c>
      <c r="J1193" t="inlineStr">
        <is>
          <t>Created MTR-IOS-1192 and correlation note visible in Activity/Pulse</t>
        </is>
      </c>
      <c r="K1193" t="inlineStr">
        <is>
          <t>NOT_RUN</t>
        </is>
      </c>
      <c r="P1193" t="n">
        <v>0</v>
      </c>
      <c r="Q1193" t="n">
        <v>1192</v>
      </c>
    </row>
    <row r="1194">
      <c r="A1194" t="n">
        <v>1193</v>
      </c>
      <c r="B1194" t="inlineStr">
        <is>
          <t>MTR-IOS-1193</t>
        </is>
      </c>
      <c r="C1194" t="inlineStr">
        <is>
          <t>iPhone</t>
        </is>
      </c>
      <c r="D1194" t="inlineStr">
        <is>
          <t>Group</t>
        </is>
      </c>
      <c r="E1194" t="inlineStr">
        <is>
          <t>Shared Living</t>
        </is>
      </c>
      <c r="F1194" t="inlineStr">
        <is>
          <t>Shared Living</t>
        </is>
      </c>
      <c r="G1194" t="inlineStr">
        <is>
          <t>Other</t>
        </is>
      </c>
      <c r="H1194" t="inlineStr">
        <is>
          <t>Group &gt; Shared Living &gt; Quick Add &gt; Other</t>
        </is>
      </c>
      <c r="I1194" s="18" t="n">
        <v>2759.32</v>
      </c>
      <c r="J1194" t="inlineStr">
        <is>
          <t>Created MTR-IOS-1193 and correlation note visible in Activity/Pulse</t>
        </is>
      </c>
      <c r="K1194" t="inlineStr">
        <is>
          <t>NOT_RUN</t>
        </is>
      </c>
      <c r="P1194" t="n">
        <v>0</v>
      </c>
      <c r="Q1194" t="n">
        <v>1193</v>
      </c>
    </row>
    <row r="1195">
      <c r="A1195" t="n">
        <v>1194</v>
      </c>
      <c r="B1195" t="inlineStr">
        <is>
          <t>MTR-IOS-1194</t>
        </is>
      </c>
      <c r="C1195" t="inlineStr">
        <is>
          <t>iPhone</t>
        </is>
      </c>
      <c r="D1195" t="inlineStr">
        <is>
          <t>Business</t>
        </is>
      </c>
      <c r="E1195" t="inlineStr">
        <is>
          <t>Business</t>
        </is>
      </c>
      <c r="F1195" t="inlineStr">
        <is>
          <t>Business Operations</t>
        </is>
      </c>
      <c r="G1195" t="inlineStr">
        <is>
          <t>Vendor</t>
        </is>
      </c>
      <c r="H1195" t="inlineStr">
        <is>
          <t>Business &gt; Business Operations &gt; Quick Add &gt; Vendor</t>
        </is>
      </c>
      <c r="I1195" s="18" t="n">
        <v>21981.27</v>
      </c>
      <c r="J1195" t="inlineStr">
        <is>
          <t>Created MTR-IOS-1194 and correlation note visible in Activity/Pulse</t>
        </is>
      </c>
      <c r="K1195" t="inlineStr">
        <is>
          <t>NOT_RUN</t>
        </is>
      </c>
      <c r="P1195" t="n">
        <v>0</v>
      </c>
      <c r="Q1195" t="n">
        <v>1194</v>
      </c>
    </row>
    <row r="1196">
      <c r="A1196" t="n">
        <v>1195</v>
      </c>
      <c r="B1196" t="inlineStr">
        <is>
          <t>MTR-IOS-1195</t>
        </is>
      </c>
      <c r="C1196" t="inlineStr">
        <is>
          <t>iPhone</t>
        </is>
      </c>
      <c r="D1196" t="inlineStr">
        <is>
          <t>Personal</t>
        </is>
      </c>
      <c r="E1196" t="inlineStr">
        <is>
          <t>Personal</t>
        </is>
      </c>
      <c r="F1196" t="inlineStr">
        <is>
          <t>Future Building</t>
        </is>
      </c>
      <c r="G1196" t="inlineStr">
        <is>
          <t>Savings</t>
        </is>
      </c>
      <c r="H1196" t="inlineStr">
        <is>
          <t>Personal &gt; Future Building &gt; Quick Add &gt; Savings</t>
        </is>
      </c>
      <c r="I1196" s="18" t="n">
        <v>12911.76</v>
      </c>
      <c r="J1196" t="inlineStr">
        <is>
          <t>Created MTR-IOS-1195 and correlation note visible in Activity/Pulse</t>
        </is>
      </c>
      <c r="K1196" t="inlineStr">
        <is>
          <t>NOT_RUN</t>
        </is>
      </c>
      <c r="P1196" t="n">
        <v>0</v>
      </c>
      <c r="Q1196" t="n">
        <v>1195</v>
      </c>
    </row>
    <row r="1197">
      <c r="A1197" t="n">
        <v>1196</v>
      </c>
      <c r="B1197" t="inlineStr">
        <is>
          <t>MTR-IOS-1196</t>
        </is>
      </c>
      <c r="C1197" t="inlineStr">
        <is>
          <t>iPhone</t>
        </is>
      </c>
      <c r="D1197" t="inlineStr">
        <is>
          <t>Group</t>
        </is>
      </c>
      <c r="E1197" t="inlineStr">
        <is>
          <t>Shared Living</t>
        </is>
      </c>
      <c r="F1197" t="inlineStr">
        <is>
          <t>Family Household</t>
        </is>
      </c>
      <c r="G1197" t="inlineStr">
        <is>
          <t>Groceries</t>
        </is>
      </c>
      <c r="H1197" t="inlineStr">
        <is>
          <t>Group &gt; Family Household &gt; Quick Add &gt; Groceries</t>
        </is>
      </c>
      <c r="I1197" s="18" t="n">
        <v>10550.52</v>
      </c>
      <c r="J1197" t="inlineStr">
        <is>
          <t>Created MTR-IOS-1196 and correlation note visible in Activity/Pulse</t>
        </is>
      </c>
      <c r="K1197" t="inlineStr">
        <is>
          <t>NOT_RUN</t>
        </is>
      </c>
      <c r="P1197" t="n">
        <v>0</v>
      </c>
      <c r="Q1197" t="n">
        <v>1196</v>
      </c>
    </row>
    <row r="1198">
      <c r="A1198" t="n">
        <v>1197</v>
      </c>
      <c r="B1198" t="inlineStr">
        <is>
          <t>MTR-IOS-1197</t>
        </is>
      </c>
      <c r="C1198" t="inlineStr">
        <is>
          <t>iPhone</t>
        </is>
      </c>
      <c r="D1198" t="inlineStr">
        <is>
          <t>Business</t>
        </is>
      </c>
      <c r="E1198" t="inlineStr">
        <is>
          <t>Business</t>
        </is>
      </c>
      <c r="F1198" t="inlineStr">
        <is>
          <t>Business Operations</t>
        </is>
      </c>
      <c r="G1198" t="inlineStr">
        <is>
          <t>Tax</t>
        </is>
      </c>
      <c r="H1198" t="inlineStr">
        <is>
          <t>Business &gt; Business Operations &gt; Quick Add &gt; Tax</t>
        </is>
      </c>
      <c r="I1198" s="18" t="n">
        <v>92742.52</v>
      </c>
      <c r="J1198" t="inlineStr">
        <is>
          <t>Created MTR-IOS-1197 and correlation note visible in Activity/Pulse</t>
        </is>
      </c>
      <c r="K1198" t="inlineStr">
        <is>
          <t>NOT_RUN</t>
        </is>
      </c>
      <c r="P1198" t="n">
        <v>0</v>
      </c>
      <c r="Q1198" t="n">
        <v>1197</v>
      </c>
    </row>
    <row r="1199">
      <c r="A1199" t="n">
        <v>1198</v>
      </c>
      <c r="B1199" t="inlineStr">
        <is>
          <t>MTR-IOS-1198</t>
        </is>
      </c>
      <c r="C1199" t="inlineStr">
        <is>
          <t>iPhone</t>
        </is>
      </c>
      <c r="D1199" t="inlineStr">
        <is>
          <t>Personal</t>
        </is>
      </c>
      <c r="E1199" t="inlineStr">
        <is>
          <t>Personal</t>
        </is>
      </c>
      <c r="F1199" t="inlineStr">
        <is>
          <t>Future Building</t>
        </is>
      </c>
      <c r="G1199" t="inlineStr">
        <is>
          <t>Emergency Fund</t>
        </is>
      </c>
      <c r="H1199" t="inlineStr">
        <is>
          <t>Personal &gt; Future Building &gt; Quick Add &gt; Emergency Fund</t>
        </is>
      </c>
      <c r="I1199" s="18" t="n">
        <v>5.83</v>
      </c>
      <c r="J1199" t="inlineStr">
        <is>
          <t>Created MTR-IOS-1198 and correlation note visible in Activity/Pulse</t>
        </is>
      </c>
      <c r="K1199" t="inlineStr">
        <is>
          <t>NOT_RUN</t>
        </is>
      </c>
      <c r="P1199" t="n">
        <v>0</v>
      </c>
      <c r="Q1199" t="n">
        <v>1198</v>
      </c>
    </row>
    <row r="1200">
      <c r="A1200" t="n">
        <v>1199</v>
      </c>
      <c r="B1200" t="inlineStr">
        <is>
          <t>MTR-IOS-1199</t>
        </is>
      </c>
      <c r="C1200" t="inlineStr">
        <is>
          <t>iPhone</t>
        </is>
      </c>
      <c r="D1200" t="inlineStr">
        <is>
          <t>Group</t>
        </is>
      </c>
      <c r="E1200" t="inlineStr">
        <is>
          <t>Shared Living</t>
        </is>
      </c>
      <c r="F1200" t="inlineStr">
        <is>
          <t>Family Household</t>
        </is>
      </c>
      <c r="G1200" t="inlineStr">
        <is>
          <t>Bills</t>
        </is>
      </c>
      <c r="H1200" t="inlineStr">
        <is>
          <t>Group &gt; Family Household &gt; Quick Add &gt; Bills</t>
        </is>
      </c>
      <c r="I1200" s="18" t="n">
        <v>157.37</v>
      </c>
      <c r="J1200" t="inlineStr">
        <is>
          <t>Created MTR-IOS-1199 and correlation note visible in Activity/Pulse</t>
        </is>
      </c>
      <c r="K1200" t="inlineStr">
        <is>
          <t>NOT_RUN</t>
        </is>
      </c>
      <c r="P1200" t="n">
        <v>0</v>
      </c>
      <c r="Q1200" t="n">
        <v>1199</v>
      </c>
    </row>
    <row r="1201">
      <c r="A1201" t="n">
        <v>1200</v>
      </c>
      <c r="B1201" t="inlineStr">
        <is>
          <t>MTR-IOS-1200</t>
        </is>
      </c>
      <c r="C1201" t="inlineStr">
        <is>
          <t>iPhone</t>
        </is>
      </c>
      <c r="D1201" t="inlineStr">
        <is>
          <t>Business</t>
        </is>
      </c>
      <c r="E1201" t="inlineStr">
        <is>
          <t>Business</t>
        </is>
      </c>
      <c r="F1201" t="inlineStr">
        <is>
          <t>Team Operations</t>
        </is>
      </c>
      <c r="G1201" t="inlineStr">
        <is>
          <t>Payroll</t>
        </is>
      </c>
      <c r="H1201" t="inlineStr">
        <is>
          <t>Business &gt; Team Operations &gt; Quick Add &gt; Payroll</t>
        </is>
      </c>
      <c r="I1201" s="18" t="n">
        <v>122299.37</v>
      </c>
      <c r="J1201" t="inlineStr">
        <is>
          <t>Created MTR-IOS-1200 and correlation note visible in Activity/Pulse</t>
        </is>
      </c>
      <c r="K1201" t="inlineStr">
        <is>
          <t>NOT_RUN</t>
        </is>
      </c>
      <c r="P1201" t="n">
        <v>0</v>
      </c>
      <c r="Q1201" t="n">
        <v>1200</v>
      </c>
    </row>
    <row r="1202">
      <c r="A1202" t="n">
        <v>1201</v>
      </c>
      <c r="B1202" t="inlineStr">
        <is>
          <t>MTR-IOS-1201</t>
        </is>
      </c>
      <c r="C1202" t="inlineStr">
        <is>
          <t>iPhone</t>
        </is>
      </c>
      <c r="D1202" t="inlineStr">
        <is>
          <t>Personal</t>
        </is>
      </c>
      <c r="E1202" t="inlineStr">
        <is>
          <t>Personal</t>
        </is>
      </c>
      <c r="F1202" t="inlineStr">
        <is>
          <t>Future Building</t>
        </is>
      </c>
      <c r="G1202" t="inlineStr">
        <is>
          <t>Investments</t>
        </is>
      </c>
      <c r="H1202" t="inlineStr">
        <is>
          <t>Personal &gt; Future Building &gt; Quick Add &gt; Investments</t>
        </is>
      </c>
      <c r="I1202" s="18" t="n">
        <v>16503.89</v>
      </c>
      <c r="J1202" t="inlineStr">
        <is>
          <t>Created MTR-IOS-1201 and correlation note visible in Activity/Pulse</t>
        </is>
      </c>
      <c r="K1202" t="inlineStr">
        <is>
          <t>NOT_RUN</t>
        </is>
      </c>
      <c r="P1202" t="n">
        <v>0</v>
      </c>
      <c r="Q1202" t="n">
        <v>1201</v>
      </c>
    </row>
    <row r="1203">
      <c r="A1203" t="n">
        <v>1202</v>
      </c>
      <c r="B1203" t="inlineStr">
        <is>
          <t>MTR-IOS-1202</t>
        </is>
      </c>
      <c r="C1203" t="inlineStr">
        <is>
          <t>iPhone</t>
        </is>
      </c>
      <c r="D1203" t="inlineStr">
        <is>
          <t>Group</t>
        </is>
      </c>
      <c r="E1203" t="inlineStr">
        <is>
          <t>Shared Living</t>
        </is>
      </c>
      <c r="F1203" t="inlineStr">
        <is>
          <t>Family Household</t>
        </is>
      </c>
      <c r="G1203" t="inlineStr">
        <is>
          <t>School</t>
        </is>
      </c>
      <c r="H1203" t="inlineStr">
        <is>
          <t>Group &gt; Family Household &gt; Quick Add &gt; School</t>
        </is>
      </c>
      <c r="I1203" s="18" t="n">
        <v>17931.08</v>
      </c>
      <c r="J1203" t="inlineStr">
        <is>
          <t>Created MTR-IOS-1202 and correlation note visible in Activity/Pulse</t>
        </is>
      </c>
      <c r="K1203" t="inlineStr">
        <is>
          <t>NOT_RUN</t>
        </is>
      </c>
      <c r="P1203" t="n">
        <v>0</v>
      </c>
      <c r="Q1203" t="n">
        <v>1202</v>
      </c>
    </row>
    <row r="1204">
      <c r="A1204" t="n">
        <v>1203</v>
      </c>
      <c r="B1204" t="inlineStr">
        <is>
          <t>MTR-IOS-1203</t>
        </is>
      </c>
      <c r="C1204" t="inlineStr">
        <is>
          <t>iPhone</t>
        </is>
      </c>
      <c r="D1204" t="inlineStr">
        <is>
          <t>Business</t>
        </is>
      </c>
      <c r="E1204" t="inlineStr">
        <is>
          <t>Business</t>
        </is>
      </c>
      <c r="F1204" t="inlineStr">
        <is>
          <t>Team Operations</t>
        </is>
      </c>
      <c r="G1204" t="inlineStr">
        <is>
          <t>Contractor</t>
        </is>
      </c>
      <c r="H1204" t="inlineStr">
        <is>
          <t>Business &gt; Team Operations &gt; Quick Add &gt; Contractor</t>
        </is>
      </c>
      <c r="I1204" s="18" t="n">
        <v>101146.02</v>
      </c>
      <c r="J1204" t="inlineStr">
        <is>
          <t>Created MTR-IOS-1203 and correlation note visible in Activity/Pulse</t>
        </is>
      </c>
      <c r="K1204" t="inlineStr">
        <is>
          <t>NOT_RUN</t>
        </is>
      </c>
      <c r="P1204" t="n">
        <v>0</v>
      </c>
      <c r="Q1204" t="n">
        <v>1203</v>
      </c>
    </row>
    <row r="1205">
      <c r="A1205" t="n">
        <v>1204</v>
      </c>
      <c r="B1205" t="inlineStr">
        <is>
          <t>MTR-IOS-1204</t>
        </is>
      </c>
      <c r="C1205" t="inlineStr">
        <is>
          <t>iPhone</t>
        </is>
      </c>
      <c r="D1205" t="inlineStr">
        <is>
          <t>Personal</t>
        </is>
      </c>
      <c r="E1205" t="inlineStr">
        <is>
          <t>Personal</t>
        </is>
      </c>
      <c r="F1205" t="inlineStr">
        <is>
          <t>Future Building</t>
        </is>
      </c>
      <c r="G1205" t="inlineStr">
        <is>
          <t>Education</t>
        </is>
      </c>
      <c r="H1205" t="inlineStr">
        <is>
          <t>Personal &gt; Future Building &gt; Quick Add &gt; Education</t>
        </is>
      </c>
      <c r="I1205" s="18" t="n">
        <v>10268.89</v>
      </c>
      <c r="J1205" t="inlineStr">
        <is>
          <t>Created MTR-IOS-1204 and correlation note visible in Activity/Pulse</t>
        </is>
      </c>
      <c r="K1205" t="inlineStr">
        <is>
          <t>NOT_RUN</t>
        </is>
      </c>
      <c r="P1205" t="n">
        <v>0</v>
      </c>
      <c r="Q1205" t="n">
        <v>1204</v>
      </c>
    </row>
    <row r="1206">
      <c r="A1206" t="n">
        <v>1205</v>
      </c>
      <c r="B1206" t="inlineStr">
        <is>
          <t>MTR-IOS-1205</t>
        </is>
      </c>
      <c r="C1206" t="inlineStr">
        <is>
          <t>iPhone</t>
        </is>
      </c>
      <c r="D1206" t="inlineStr">
        <is>
          <t>Group</t>
        </is>
      </c>
      <c r="E1206" t="inlineStr">
        <is>
          <t>Shared Living</t>
        </is>
      </c>
      <c r="F1206" t="inlineStr">
        <is>
          <t>Family Household</t>
        </is>
      </c>
      <c r="G1206" t="inlineStr">
        <is>
          <t>Healthcare</t>
        </is>
      </c>
      <c r="H1206" t="inlineStr">
        <is>
          <t>Group &gt; Family Household &gt; Quick Add &gt; Healthcare</t>
        </is>
      </c>
      <c r="I1206" s="18" t="n">
        <v>14056.61</v>
      </c>
      <c r="J1206" t="inlineStr">
        <is>
          <t>Created MTR-IOS-1205 and correlation note visible in Activity/Pulse</t>
        </is>
      </c>
      <c r="K1206" t="inlineStr">
        <is>
          <t>NOT_RUN</t>
        </is>
      </c>
      <c r="P1206" t="n">
        <v>0</v>
      </c>
      <c r="Q1206" t="n">
        <v>1205</v>
      </c>
    </row>
    <row r="1207">
      <c r="A1207" t="n">
        <v>1206</v>
      </c>
      <c r="B1207" t="inlineStr">
        <is>
          <t>MTR-IOS-1206</t>
        </is>
      </c>
      <c r="C1207" t="inlineStr">
        <is>
          <t>iPhone</t>
        </is>
      </c>
      <c r="D1207" t="inlineStr">
        <is>
          <t>Business</t>
        </is>
      </c>
      <c r="E1207" t="inlineStr">
        <is>
          <t>Business</t>
        </is>
      </c>
      <c r="F1207" t="inlineStr">
        <is>
          <t>Team Operations</t>
        </is>
      </c>
      <c r="G1207" t="inlineStr">
        <is>
          <t>Hiring</t>
        </is>
      </c>
      <c r="H1207" t="inlineStr">
        <is>
          <t>Business &gt; Team Operations &gt; Quick Add &gt; Hiring</t>
        </is>
      </c>
      <c r="I1207" s="18" t="n">
        <v>127150.9</v>
      </c>
      <c r="J1207" t="inlineStr">
        <is>
          <t>Created MTR-IOS-1206 and correlation note visible in Activity/Pulse</t>
        </is>
      </c>
      <c r="K1207" t="inlineStr">
        <is>
          <t>NOT_RUN</t>
        </is>
      </c>
      <c r="P1207" t="n">
        <v>0</v>
      </c>
      <c r="Q1207" t="n">
        <v>1206</v>
      </c>
    </row>
    <row r="1208">
      <c r="A1208" t="n">
        <v>1207</v>
      </c>
      <c r="B1208" t="inlineStr">
        <is>
          <t>MTR-IOS-1207</t>
        </is>
      </c>
      <c r="C1208" t="inlineStr">
        <is>
          <t>iPhone</t>
        </is>
      </c>
      <c r="D1208" t="inlineStr">
        <is>
          <t>Personal</t>
        </is>
      </c>
      <c r="E1208" t="inlineStr">
        <is>
          <t>Personal</t>
        </is>
      </c>
      <c r="F1208" t="inlineStr">
        <is>
          <t>Future Building</t>
        </is>
      </c>
      <c r="G1208" t="inlineStr">
        <is>
          <t>Goal Contribution</t>
        </is>
      </c>
      <c r="H1208" t="inlineStr">
        <is>
          <t>Personal &gt; Future Building &gt; Quick Add &gt; Goal Contribution</t>
        </is>
      </c>
      <c r="I1208" s="18" t="n">
        <v>1496.54</v>
      </c>
      <c r="J1208" t="inlineStr">
        <is>
          <t>Created MTR-IOS-1207 and correlation note visible in Activity/Pulse</t>
        </is>
      </c>
      <c r="K1208" t="inlineStr">
        <is>
          <t>NOT_RUN</t>
        </is>
      </c>
      <c r="P1208" t="n">
        <v>0</v>
      </c>
      <c r="Q1208" t="n">
        <v>1207</v>
      </c>
    </row>
    <row r="1209">
      <c r="A1209" t="n">
        <v>1208</v>
      </c>
      <c r="B1209" t="inlineStr">
        <is>
          <t>MTR-IOS-1208</t>
        </is>
      </c>
      <c r="C1209" t="inlineStr">
        <is>
          <t>iPhone</t>
        </is>
      </c>
      <c r="D1209" t="inlineStr">
        <is>
          <t>Group</t>
        </is>
      </c>
      <c r="E1209" t="inlineStr">
        <is>
          <t>Shared Living</t>
        </is>
      </c>
      <c r="F1209" t="inlineStr">
        <is>
          <t>Family Household</t>
        </is>
      </c>
      <c r="G1209" t="inlineStr">
        <is>
          <t>Home</t>
        </is>
      </c>
      <c r="H1209" t="inlineStr">
        <is>
          <t>Group &gt; Family Household &gt; Quick Add &gt; Home</t>
        </is>
      </c>
      <c r="I1209" s="18" t="n">
        <v>5458.31</v>
      </c>
      <c r="J1209" t="inlineStr">
        <is>
          <t>Created MTR-IOS-1208 and correlation note visible in Activity/Pulse</t>
        </is>
      </c>
      <c r="K1209" t="inlineStr">
        <is>
          <t>NOT_RUN</t>
        </is>
      </c>
      <c r="P1209" t="n">
        <v>0</v>
      </c>
      <c r="Q1209" t="n">
        <v>1208</v>
      </c>
    </row>
    <row r="1210">
      <c r="A1210" t="n">
        <v>1209</v>
      </c>
      <c r="B1210" t="inlineStr">
        <is>
          <t>MTR-IOS-1209</t>
        </is>
      </c>
      <c r="C1210" t="inlineStr">
        <is>
          <t>iPhone</t>
        </is>
      </c>
      <c r="D1210" t="inlineStr">
        <is>
          <t>Business</t>
        </is>
      </c>
      <c r="E1210" t="inlineStr">
        <is>
          <t>Business</t>
        </is>
      </c>
      <c r="F1210" t="inlineStr">
        <is>
          <t>Team Operations</t>
        </is>
      </c>
      <c r="G1210" t="inlineStr">
        <is>
          <t>Team Meal</t>
        </is>
      </c>
      <c r="H1210" t="inlineStr">
        <is>
          <t>Business &gt; Team Operations &gt; Quick Add &gt; Team Meal</t>
        </is>
      </c>
      <c r="I1210" s="18" t="n">
        <v>121795.48</v>
      </c>
      <c r="J1210" t="inlineStr">
        <is>
          <t>Created MTR-IOS-1209 and correlation note visible in Activity/Pulse</t>
        </is>
      </c>
      <c r="K1210" t="inlineStr">
        <is>
          <t>NOT_RUN</t>
        </is>
      </c>
      <c r="P1210" t="n">
        <v>0</v>
      </c>
      <c r="Q1210" t="n">
        <v>1209</v>
      </c>
    </row>
    <row r="1211">
      <c r="A1211" t="n">
        <v>1210</v>
      </c>
      <c r="B1211" t="inlineStr">
        <is>
          <t>MTR-IOS-1210</t>
        </is>
      </c>
      <c r="C1211" t="inlineStr">
        <is>
          <t>iPhone</t>
        </is>
      </c>
      <c r="D1211" t="inlineStr">
        <is>
          <t>Personal</t>
        </is>
      </c>
      <c r="E1211" t="inlineStr">
        <is>
          <t>Personal</t>
        </is>
      </c>
      <c r="F1211" t="inlineStr">
        <is>
          <t>Lifestyle</t>
        </is>
      </c>
      <c r="G1211" t="inlineStr">
        <is>
          <t>Dining</t>
        </is>
      </c>
      <c r="H1211" t="inlineStr">
        <is>
          <t>Personal &gt; Lifestyle &gt; Quick Add &gt; Dining</t>
        </is>
      </c>
      <c r="I1211" s="18" t="n">
        <v>595.79</v>
      </c>
      <c r="J1211" t="inlineStr">
        <is>
          <t>Created MTR-IOS-1210 and correlation note visible in Activity/Pulse</t>
        </is>
      </c>
      <c r="K1211" t="inlineStr">
        <is>
          <t>NOT_RUN</t>
        </is>
      </c>
      <c r="P1211" t="n">
        <v>0</v>
      </c>
      <c r="Q1211" t="n">
        <v>1210</v>
      </c>
    </row>
    <row r="1212">
      <c r="A1212" t="n">
        <v>1211</v>
      </c>
      <c r="B1212" t="inlineStr">
        <is>
          <t>MTR-IOS-1211</t>
        </is>
      </c>
      <c r="C1212" t="inlineStr">
        <is>
          <t>iPhone</t>
        </is>
      </c>
      <c r="D1212" t="inlineStr">
        <is>
          <t>Group</t>
        </is>
      </c>
      <c r="E1212" t="inlineStr">
        <is>
          <t>Shared Living</t>
        </is>
      </c>
      <c r="F1212" t="inlineStr">
        <is>
          <t>Family Household</t>
        </is>
      </c>
      <c r="G1212" t="inlineStr">
        <is>
          <t>Other</t>
        </is>
      </c>
      <c r="H1212" t="inlineStr">
        <is>
          <t>Group &gt; Family Household &gt; Quick Add &gt; Other</t>
        </is>
      </c>
      <c r="I1212" s="18" t="n">
        <v>1109.69</v>
      </c>
      <c r="J1212" t="inlineStr">
        <is>
          <t>Created MTR-IOS-1211 and correlation note visible in Activity/Pulse</t>
        </is>
      </c>
      <c r="K1212" t="inlineStr">
        <is>
          <t>NOT_RUN</t>
        </is>
      </c>
      <c r="P1212" t="n">
        <v>0</v>
      </c>
      <c r="Q1212" t="n">
        <v>1211</v>
      </c>
    </row>
    <row r="1213">
      <c r="A1213" t="n">
        <v>1212</v>
      </c>
      <c r="B1213" t="inlineStr">
        <is>
          <t>MTR-IOS-1212</t>
        </is>
      </c>
      <c r="C1213" t="inlineStr">
        <is>
          <t>iPhone</t>
        </is>
      </c>
      <c r="D1213" t="inlineStr">
        <is>
          <t>Business</t>
        </is>
      </c>
      <c r="E1213" t="inlineStr">
        <is>
          <t>Business</t>
        </is>
      </c>
      <c r="F1213" t="inlineStr">
        <is>
          <t>Team Operations</t>
        </is>
      </c>
      <c r="G1213" t="inlineStr">
        <is>
          <t>Travel</t>
        </is>
      </c>
      <c r="H1213" t="inlineStr">
        <is>
          <t>Business &gt; Team Operations &gt; Quick Add &gt; Travel</t>
        </is>
      </c>
      <c r="I1213" s="18" t="n">
        <v>39987.29</v>
      </c>
      <c r="J1213" t="inlineStr">
        <is>
          <t>Created MTR-IOS-1212 and correlation note visible in Activity/Pulse</t>
        </is>
      </c>
      <c r="K1213" t="inlineStr">
        <is>
          <t>NOT_RUN</t>
        </is>
      </c>
      <c r="P1213" t="n">
        <v>0</v>
      </c>
      <c r="Q1213" t="n">
        <v>1212</v>
      </c>
    </row>
    <row r="1214">
      <c r="A1214" t="n">
        <v>1213</v>
      </c>
      <c r="B1214" t="inlineStr">
        <is>
          <t>MTR-IOS-1213</t>
        </is>
      </c>
      <c r="C1214" t="inlineStr">
        <is>
          <t>iPhone</t>
        </is>
      </c>
      <c r="D1214" t="inlineStr">
        <is>
          <t>Personal</t>
        </is>
      </c>
      <c r="E1214" t="inlineStr">
        <is>
          <t>Personal</t>
        </is>
      </c>
      <c r="F1214" t="inlineStr">
        <is>
          <t>Lifestyle</t>
        </is>
      </c>
      <c r="G1214" t="inlineStr">
        <is>
          <t>Shopping</t>
        </is>
      </c>
      <c r="H1214" t="inlineStr">
        <is>
          <t>Personal &gt; Lifestyle &gt; Quick Add &gt; Shopping</t>
        </is>
      </c>
      <c r="I1214" s="18" t="n">
        <v>15877.26</v>
      </c>
      <c r="J1214" t="inlineStr">
        <is>
          <t>Created MTR-IOS-1213 and correlation note visible in Activity/Pulse</t>
        </is>
      </c>
      <c r="K1214" t="inlineStr">
        <is>
          <t>NOT_RUN</t>
        </is>
      </c>
      <c r="P1214" t="n">
        <v>0</v>
      </c>
      <c r="Q1214" t="n">
        <v>1213</v>
      </c>
    </row>
    <row r="1215">
      <c r="A1215" t="n">
        <v>1214</v>
      </c>
      <c r="B1215" t="inlineStr">
        <is>
          <t>MTR-IOS-1214</t>
        </is>
      </c>
      <c r="C1215" t="inlineStr">
        <is>
          <t>iPhone</t>
        </is>
      </c>
      <c r="D1215" t="inlineStr">
        <is>
          <t>Group</t>
        </is>
      </c>
      <c r="E1215" t="inlineStr">
        <is>
          <t>Shared Living</t>
        </is>
      </c>
      <c r="F1215" t="inlineStr">
        <is>
          <t>Custom Living</t>
        </is>
      </c>
      <c r="G1215" t="inlineStr">
        <is>
          <t>Custom Expense</t>
        </is>
      </c>
      <c r="H1215" t="inlineStr">
        <is>
          <t>Group &gt; Custom Living &gt; Quick Add &gt; Custom Expense</t>
        </is>
      </c>
      <c r="I1215" s="18" t="n">
        <v>9238.32</v>
      </c>
      <c r="J1215" t="inlineStr">
        <is>
          <t>Created MTR-IOS-1214 and correlation note visible in Activity/Pulse</t>
        </is>
      </c>
      <c r="K1215" t="inlineStr">
        <is>
          <t>NOT_RUN</t>
        </is>
      </c>
      <c r="P1215" t="n">
        <v>0</v>
      </c>
      <c r="Q1215" t="n">
        <v>1214</v>
      </c>
    </row>
    <row r="1216">
      <c r="A1216" t="n">
        <v>1215</v>
      </c>
      <c r="B1216" t="inlineStr">
        <is>
          <t>MTR-IOS-1215</t>
        </is>
      </c>
      <c r="C1216" t="inlineStr">
        <is>
          <t>iPhone</t>
        </is>
      </c>
      <c r="D1216" t="inlineStr">
        <is>
          <t>Business</t>
        </is>
      </c>
      <c r="E1216" t="inlineStr">
        <is>
          <t>Business</t>
        </is>
      </c>
      <c r="F1216" t="inlineStr">
        <is>
          <t>Team Operations</t>
        </is>
      </c>
      <c r="G1216" t="inlineStr">
        <is>
          <t>Training</t>
        </is>
      </c>
      <c r="H1216" t="inlineStr">
        <is>
          <t>Business &gt; Team Operations &gt; Quick Add &gt; Training</t>
        </is>
      </c>
      <c r="I1216" s="18" t="n">
        <v>43688.05</v>
      </c>
      <c r="J1216" t="inlineStr">
        <is>
          <t>Created MTR-IOS-1215 and correlation note visible in Activity/Pulse</t>
        </is>
      </c>
      <c r="K1216" t="inlineStr">
        <is>
          <t>NOT_RUN</t>
        </is>
      </c>
      <c r="P1216" t="n">
        <v>0</v>
      </c>
      <c r="Q1216" t="n">
        <v>1215</v>
      </c>
    </row>
    <row r="1217">
      <c r="A1217" t="n">
        <v>1216</v>
      </c>
      <c r="B1217" t="inlineStr">
        <is>
          <t>MTR-IOS-1216</t>
        </is>
      </c>
      <c r="C1217" t="inlineStr">
        <is>
          <t>iPhone</t>
        </is>
      </c>
      <c r="D1217" t="inlineStr">
        <is>
          <t>Personal</t>
        </is>
      </c>
      <c r="E1217" t="inlineStr">
        <is>
          <t>Personal</t>
        </is>
      </c>
      <c r="F1217" t="inlineStr">
        <is>
          <t>Lifestyle</t>
        </is>
      </c>
      <c r="G1217" t="inlineStr">
        <is>
          <t>Entertainment</t>
        </is>
      </c>
      <c r="H1217" t="inlineStr">
        <is>
          <t>Personal &gt; Lifestyle &gt; Quick Add &gt; Entertainment</t>
        </is>
      </c>
      <c r="I1217" s="18" t="n">
        <v>3358.55</v>
      </c>
      <c r="J1217" t="inlineStr">
        <is>
          <t>Created MTR-IOS-1216 and correlation note visible in Activity/Pulse</t>
        </is>
      </c>
      <c r="K1217" t="inlineStr">
        <is>
          <t>NOT_RUN</t>
        </is>
      </c>
      <c r="P1217" t="n">
        <v>0</v>
      </c>
      <c r="Q1217" t="n">
        <v>1216</v>
      </c>
    </row>
    <row r="1218">
      <c r="A1218" t="n">
        <v>1217</v>
      </c>
      <c r="B1218" t="inlineStr">
        <is>
          <t>MTR-IOS-1217</t>
        </is>
      </c>
      <c r="C1218" t="inlineStr">
        <is>
          <t>iPhone</t>
        </is>
      </c>
      <c r="D1218" t="inlineStr">
        <is>
          <t>Group</t>
        </is>
      </c>
      <c r="E1218" t="inlineStr">
        <is>
          <t>Shared Living</t>
        </is>
      </c>
      <c r="F1218" t="inlineStr">
        <is>
          <t>Custom Living</t>
        </is>
      </c>
      <c r="G1218" t="inlineStr">
        <is>
          <t>Custom Contribution</t>
        </is>
      </c>
      <c r="H1218" t="inlineStr">
        <is>
          <t>Group &gt; Custom Living &gt; Quick Add &gt; Custom Contribution</t>
        </is>
      </c>
      <c r="I1218" s="18" t="n">
        <v>24877.54</v>
      </c>
      <c r="J1218" t="inlineStr">
        <is>
          <t>Created MTR-IOS-1217 and correlation note visible in Activity/Pulse</t>
        </is>
      </c>
      <c r="K1218" t="inlineStr">
        <is>
          <t>NOT_RUN</t>
        </is>
      </c>
      <c r="P1218" t="n">
        <v>0</v>
      </c>
      <c r="Q1218" t="n">
        <v>1217</v>
      </c>
    </row>
    <row r="1219">
      <c r="A1219" t="n">
        <v>1218</v>
      </c>
      <c r="B1219" t="inlineStr">
        <is>
          <t>MTR-IOS-1218</t>
        </is>
      </c>
      <c r="C1219" t="inlineStr">
        <is>
          <t>iPhone</t>
        </is>
      </c>
      <c r="D1219" t="inlineStr">
        <is>
          <t>Business</t>
        </is>
      </c>
      <c r="E1219" t="inlineStr">
        <is>
          <t>Business</t>
        </is>
      </c>
      <c r="F1219" t="inlineStr">
        <is>
          <t>Team Operations</t>
        </is>
      </c>
      <c r="G1219" t="inlineStr">
        <is>
          <t>Tools</t>
        </is>
      </c>
      <c r="H1219" t="inlineStr">
        <is>
          <t>Business &gt; Team Operations &gt; Quick Add &gt; Tools</t>
        </is>
      </c>
      <c r="I1219" s="18" t="n">
        <v>93135.28999999999</v>
      </c>
      <c r="J1219" t="inlineStr">
        <is>
          <t>Created MTR-IOS-1218 and correlation note visible in Activity/Pulse</t>
        </is>
      </c>
      <c r="K1219" t="inlineStr">
        <is>
          <t>NOT_RUN</t>
        </is>
      </c>
      <c r="P1219" t="n">
        <v>0</v>
      </c>
      <c r="Q1219" t="n">
        <v>1218</v>
      </c>
    </row>
    <row r="1220">
      <c r="A1220" t="n">
        <v>1219</v>
      </c>
      <c r="B1220" t="inlineStr">
        <is>
          <t>MTR-IOS-1219</t>
        </is>
      </c>
      <c r="C1220" t="inlineStr">
        <is>
          <t>iPhone</t>
        </is>
      </c>
      <c r="D1220" t="inlineStr">
        <is>
          <t>Personal</t>
        </is>
      </c>
      <c r="E1220" t="inlineStr">
        <is>
          <t>Personal</t>
        </is>
      </c>
      <c r="F1220" t="inlineStr">
        <is>
          <t>Lifestyle</t>
        </is>
      </c>
      <c r="G1220" t="inlineStr">
        <is>
          <t>Travel</t>
        </is>
      </c>
      <c r="H1220" t="inlineStr">
        <is>
          <t>Personal &gt; Lifestyle &gt; Quick Add &gt; Travel</t>
        </is>
      </c>
      <c r="I1220" s="18" t="n">
        <v>6992.7</v>
      </c>
      <c r="J1220" t="inlineStr">
        <is>
          <t>Created MTR-IOS-1219 and correlation note visible in Activity/Pulse</t>
        </is>
      </c>
      <c r="K1220" t="inlineStr">
        <is>
          <t>NOT_RUN</t>
        </is>
      </c>
      <c r="P1220" t="n">
        <v>0</v>
      </c>
      <c r="Q1220" t="n">
        <v>1219</v>
      </c>
    </row>
    <row r="1221">
      <c r="A1221" t="n">
        <v>1220</v>
      </c>
      <c r="B1221" t="inlineStr">
        <is>
          <t>MTR-IOS-1220</t>
        </is>
      </c>
      <c r="C1221" t="inlineStr">
        <is>
          <t>iPhone</t>
        </is>
      </c>
      <c r="D1221" t="inlineStr">
        <is>
          <t>Group</t>
        </is>
      </c>
      <c r="E1221" t="inlineStr">
        <is>
          <t>Shared Experience</t>
        </is>
      </c>
      <c r="F1221" t="inlineStr">
        <is>
          <t>Trip</t>
        </is>
      </c>
      <c r="G1221" t="inlineStr">
        <is>
          <t>Travel</t>
        </is>
      </c>
      <c r="H1221" t="inlineStr">
        <is>
          <t>Group &gt; Trip &gt; Quick Add &gt; Travel</t>
        </is>
      </c>
      <c r="I1221" s="18" t="n">
        <v>4372.35</v>
      </c>
      <c r="J1221" t="inlineStr">
        <is>
          <t>Created MTR-IOS-1220 and correlation note visible in Activity/Pulse</t>
        </is>
      </c>
      <c r="K1221" t="inlineStr">
        <is>
          <t>NOT_RUN</t>
        </is>
      </c>
      <c r="P1221" t="n">
        <v>0</v>
      </c>
      <c r="Q1221" t="n">
        <v>1220</v>
      </c>
    </row>
    <row r="1222">
      <c r="A1222" t="n">
        <v>1221</v>
      </c>
      <c r="B1222" t="inlineStr">
        <is>
          <t>MTR-IOS-1221</t>
        </is>
      </c>
      <c r="C1222" t="inlineStr">
        <is>
          <t>iPhone</t>
        </is>
      </c>
      <c r="D1222" t="inlineStr">
        <is>
          <t>Business</t>
        </is>
      </c>
      <c r="E1222" t="inlineStr">
        <is>
          <t>Business</t>
        </is>
      </c>
      <c r="F1222" t="inlineStr">
        <is>
          <t>Business Runway</t>
        </is>
      </c>
      <c r="G1222" t="inlineStr">
        <is>
          <t>Funding</t>
        </is>
      </c>
      <c r="H1222" t="inlineStr">
        <is>
          <t>Business &gt; Business Runway &gt; Quick Add &gt; Funding</t>
        </is>
      </c>
      <c r="I1222" s="18" t="n">
        <v>100</v>
      </c>
      <c r="J1222" t="inlineStr">
        <is>
          <t>Created MTR-IOS-1221 and correlation note visible in Activity/Pulse</t>
        </is>
      </c>
      <c r="K1222" t="inlineStr">
        <is>
          <t>NOT_RUN</t>
        </is>
      </c>
      <c r="P1222" t="n">
        <v>0</v>
      </c>
      <c r="Q1222" t="n">
        <v>1221</v>
      </c>
    </row>
    <row r="1223">
      <c r="A1223" t="n">
        <v>1222</v>
      </c>
      <c r="B1223" t="inlineStr">
        <is>
          <t>MTR-IOS-1222</t>
        </is>
      </c>
      <c r="C1223" t="inlineStr">
        <is>
          <t>iPhone</t>
        </is>
      </c>
      <c r="D1223" t="inlineStr">
        <is>
          <t>Personal</t>
        </is>
      </c>
      <c r="E1223" t="inlineStr">
        <is>
          <t>Personal</t>
        </is>
      </c>
      <c r="F1223" t="inlineStr">
        <is>
          <t>Lifestyle</t>
        </is>
      </c>
      <c r="G1223" t="inlineStr">
        <is>
          <t>Fitness</t>
        </is>
      </c>
      <c r="H1223" t="inlineStr">
        <is>
          <t>Personal &gt; Lifestyle &gt; Quick Add &gt; Fitness</t>
        </is>
      </c>
      <c r="I1223" s="18" t="n">
        <v>16549.79</v>
      </c>
      <c r="J1223" t="inlineStr">
        <is>
          <t>Created MTR-IOS-1222 and correlation note visible in Activity/Pulse</t>
        </is>
      </c>
      <c r="K1223" t="inlineStr">
        <is>
          <t>NOT_RUN</t>
        </is>
      </c>
      <c r="P1223" t="n">
        <v>0</v>
      </c>
      <c r="Q1223" t="n">
        <v>1222</v>
      </c>
    </row>
    <row r="1224">
      <c r="A1224" t="n">
        <v>1223</v>
      </c>
      <c r="B1224" t="inlineStr">
        <is>
          <t>MTR-IOS-1223</t>
        </is>
      </c>
      <c r="C1224" t="inlineStr">
        <is>
          <t>iPhone</t>
        </is>
      </c>
      <c r="D1224" t="inlineStr">
        <is>
          <t>Group</t>
        </is>
      </c>
      <c r="E1224" t="inlineStr">
        <is>
          <t>Shared Experience</t>
        </is>
      </c>
      <c r="F1224" t="inlineStr">
        <is>
          <t>Trip</t>
        </is>
      </c>
      <c r="G1224" t="inlineStr">
        <is>
          <t>Stay</t>
        </is>
      </c>
      <c r="H1224" t="inlineStr">
        <is>
          <t>Group &gt; Trip &gt; Quick Add &gt; Stay</t>
        </is>
      </c>
      <c r="I1224" s="18" t="n">
        <v>22300.5</v>
      </c>
      <c r="J1224" t="inlineStr">
        <is>
          <t>Created MTR-IOS-1223 and correlation note visible in Activity/Pulse</t>
        </is>
      </c>
      <c r="K1224" t="inlineStr">
        <is>
          <t>NOT_RUN</t>
        </is>
      </c>
      <c r="P1224" t="n">
        <v>0</v>
      </c>
      <c r="Q1224" t="n">
        <v>1223</v>
      </c>
    </row>
    <row r="1225">
      <c r="A1225" t="n">
        <v>1224</v>
      </c>
      <c r="B1225" t="inlineStr">
        <is>
          <t>MTR-IOS-1224</t>
        </is>
      </c>
      <c r="C1225" t="inlineStr">
        <is>
          <t>iPhone</t>
        </is>
      </c>
      <c r="D1225" t="inlineStr">
        <is>
          <t>Business</t>
        </is>
      </c>
      <c r="E1225" t="inlineStr">
        <is>
          <t>Business</t>
        </is>
      </c>
      <c r="F1225" t="inlineStr">
        <is>
          <t>Business Runway</t>
        </is>
      </c>
      <c r="G1225" t="inlineStr">
        <is>
          <t>Revenue</t>
        </is>
      </c>
      <c r="H1225" t="inlineStr">
        <is>
          <t>Business &gt; Business Runway &gt; Quick Add &gt; Revenue</t>
        </is>
      </c>
      <c r="I1225" s="18" t="n">
        <v>81490.38</v>
      </c>
      <c r="J1225" t="inlineStr">
        <is>
          <t>Created MTR-IOS-1224 and correlation note visible in Activity/Pulse</t>
        </is>
      </c>
      <c r="K1225" t="inlineStr">
        <is>
          <t>NOT_RUN</t>
        </is>
      </c>
      <c r="P1225" t="n">
        <v>0</v>
      </c>
      <c r="Q1225" t="n">
        <v>1224</v>
      </c>
    </row>
    <row r="1226">
      <c r="A1226" t="n">
        <v>1225</v>
      </c>
      <c r="B1226" t="inlineStr">
        <is>
          <t>MTR-IOS-1225</t>
        </is>
      </c>
      <c r="C1226" t="inlineStr">
        <is>
          <t>iPhone</t>
        </is>
      </c>
      <c r="D1226" t="inlineStr">
        <is>
          <t>Personal</t>
        </is>
      </c>
      <c r="E1226" t="inlineStr">
        <is>
          <t>Personal</t>
        </is>
      </c>
      <c r="F1226" t="inlineStr">
        <is>
          <t>Lifestyle</t>
        </is>
      </c>
      <c r="G1226" t="inlineStr">
        <is>
          <t>Hobbies</t>
        </is>
      </c>
      <c r="H1226" t="inlineStr">
        <is>
          <t>Personal &gt; Lifestyle &gt; Quick Add &gt; Hobbies</t>
        </is>
      </c>
      <c r="I1226" s="18" t="n">
        <v>12175.21</v>
      </c>
      <c r="J1226" t="inlineStr">
        <is>
          <t>Created MTR-IOS-1225 and correlation note visible in Activity/Pulse</t>
        </is>
      </c>
      <c r="K1226" t="inlineStr">
        <is>
          <t>NOT_RUN</t>
        </is>
      </c>
      <c r="P1226" t="n">
        <v>0</v>
      </c>
      <c r="Q1226" t="n">
        <v>1225</v>
      </c>
    </row>
    <row r="1227">
      <c r="A1227" t="n">
        <v>1226</v>
      </c>
      <c r="B1227" t="inlineStr">
        <is>
          <t>MTR-IOS-1226</t>
        </is>
      </c>
      <c r="C1227" t="inlineStr">
        <is>
          <t>iPhone</t>
        </is>
      </c>
      <c r="D1227" t="inlineStr">
        <is>
          <t>Group</t>
        </is>
      </c>
      <c r="E1227" t="inlineStr">
        <is>
          <t>Shared Experience</t>
        </is>
      </c>
      <c r="F1227" t="inlineStr">
        <is>
          <t>Trip</t>
        </is>
      </c>
      <c r="G1227" t="inlineStr">
        <is>
          <t>Food</t>
        </is>
      </c>
      <c r="H1227" t="inlineStr">
        <is>
          <t>Group &gt; Trip &gt; Quick Add &gt; Food</t>
        </is>
      </c>
      <c r="I1227" s="18" t="n">
        <v>22803.04</v>
      </c>
      <c r="J1227" t="inlineStr">
        <is>
          <t>Created MTR-IOS-1226 and correlation note visible in Activity/Pulse</t>
        </is>
      </c>
      <c r="K1227" t="inlineStr">
        <is>
          <t>NOT_RUN</t>
        </is>
      </c>
      <c r="P1227" t="n">
        <v>0</v>
      </c>
      <c r="Q1227" t="n">
        <v>1226</v>
      </c>
    </row>
    <row r="1228">
      <c r="A1228" t="n">
        <v>1227</v>
      </c>
      <c r="B1228" t="inlineStr">
        <is>
          <t>MTR-IOS-1227</t>
        </is>
      </c>
      <c r="C1228" t="inlineStr">
        <is>
          <t>iPhone</t>
        </is>
      </c>
      <c r="D1228" t="inlineStr">
        <is>
          <t>Business</t>
        </is>
      </c>
      <c r="E1228" t="inlineStr">
        <is>
          <t>Business</t>
        </is>
      </c>
      <c r="F1228" t="inlineStr">
        <is>
          <t>Business Runway</t>
        </is>
      </c>
      <c r="G1228" t="inlineStr">
        <is>
          <t>Burn</t>
        </is>
      </c>
      <c r="H1228" t="inlineStr">
        <is>
          <t>Business &gt; Business Runway &gt; Quick Add &gt; Burn</t>
        </is>
      </c>
      <c r="I1228" s="18" t="n">
        <v>69851.37</v>
      </c>
      <c r="J1228" t="inlineStr">
        <is>
          <t>Created MTR-IOS-1227 and correlation note visible in Activity/Pulse</t>
        </is>
      </c>
      <c r="K1228" t="inlineStr">
        <is>
          <t>NOT_RUN</t>
        </is>
      </c>
      <c r="P1228" t="n">
        <v>0</v>
      </c>
      <c r="Q1228" t="n">
        <v>1227</v>
      </c>
    </row>
    <row r="1229">
      <c r="A1229" t="n">
        <v>1228</v>
      </c>
      <c r="B1229" t="inlineStr">
        <is>
          <t>MTR-IOS-1228</t>
        </is>
      </c>
      <c r="C1229" t="inlineStr">
        <is>
          <t>iPhone</t>
        </is>
      </c>
      <c r="D1229" t="inlineStr">
        <is>
          <t>Personal</t>
        </is>
      </c>
      <c r="E1229" t="inlineStr">
        <is>
          <t>Personal</t>
        </is>
      </c>
      <c r="F1229" t="inlineStr">
        <is>
          <t>Relationships</t>
        </is>
      </c>
      <c r="G1229" t="inlineStr">
        <is>
          <t>Gifts</t>
        </is>
      </c>
      <c r="H1229" t="inlineStr">
        <is>
          <t>Personal &gt; Relationships &gt; Quick Add &gt; Gifts</t>
        </is>
      </c>
      <c r="I1229" s="18" t="n">
        <v>369.8</v>
      </c>
      <c r="J1229" t="inlineStr">
        <is>
          <t>Created MTR-IOS-1228 and correlation note visible in Activity/Pulse</t>
        </is>
      </c>
      <c r="K1229" t="inlineStr">
        <is>
          <t>NOT_RUN</t>
        </is>
      </c>
      <c r="P1229" t="n">
        <v>0</v>
      </c>
      <c r="Q1229" t="n">
        <v>1228</v>
      </c>
    </row>
    <row r="1230">
      <c r="A1230" t="n">
        <v>1229</v>
      </c>
      <c r="B1230" t="inlineStr">
        <is>
          <t>MTR-IOS-1229</t>
        </is>
      </c>
      <c r="C1230" t="inlineStr">
        <is>
          <t>iPhone</t>
        </is>
      </c>
      <c r="D1230" t="inlineStr">
        <is>
          <t>Group</t>
        </is>
      </c>
      <c r="E1230" t="inlineStr">
        <is>
          <t>Shared Experience</t>
        </is>
      </c>
      <c r="F1230" t="inlineStr">
        <is>
          <t>Trip</t>
        </is>
      </c>
      <c r="G1230" t="inlineStr">
        <is>
          <t>Local Transport</t>
        </is>
      </c>
      <c r="H1230" t="inlineStr">
        <is>
          <t>Group &gt; Trip &gt; Quick Add &gt; Local Transport</t>
        </is>
      </c>
      <c r="I1230" s="18" t="n">
        <v>19577.15</v>
      </c>
      <c r="J1230" t="inlineStr">
        <is>
          <t>Created MTR-IOS-1229 and correlation note visible in Activity/Pulse</t>
        </is>
      </c>
      <c r="K1230" t="inlineStr">
        <is>
          <t>NOT_RUN</t>
        </is>
      </c>
      <c r="P1230" t="n">
        <v>0</v>
      </c>
      <c r="Q1230" t="n">
        <v>1229</v>
      </c>
    </row>
    <row r="1231">
      <c r="A1231" t="n">
        <v>1230</v>
      </c>
      <c r="B1231" t="inlineStr">
        <is>
          <t>MTR-IOS-1230</t>
        </is>
      </c>
      <c r="C1231" t="inlineStr">
        <is>
          <t>iPhone</t>
        </is>
      </c>
      <c r="D1231" t="inlineStr">
        <is>
          <t>Business</t>
        </is>
      </c>
      <c r="E1231" t="inlineStr">
        <is>
          <t>Business</t>
        </is>
      </c>
      <c r="F1231" t="inlineStr">
        <is>
          <t>Business Runway</t>
        </is>
      </c>
      <c r="G1231" t="inlineStr">
        <is>
          <t>Reserve</t>
        </is>
      </c>
      <c r="H1231" t="inlineStr">
        <is>
          <t>Business &gt; Business Runway &gt; Quick Add &gt; Reserve</t>
        </is>
      </c>
      <c r="I1231" s="18" t="n">
        <v>80581.05</v>
      </c>
      <c r="J1231" t="inlineStr">
        <is>
          <t>Created MTR-IOS-1230 and correlation note visible in Activity/Pulse</t>
        </is>
      </c>
      <c r="K1231" t="inlineStr">
        <is>
          <t>NOT_RUN</t>
        </is>
      </c>
      <c r="P1231" t="n">
        <v>0</v>
      </c>
      <c r="Q1231" t="n">
        <v>1230</v>
      </c>
    </row>
    <row r="1232">
      <c r="A1232" t="n">
        <v>1231</v>
      </c>
      <c r="B1232" t="inlineStr">
        <is>
          <t>MTR-IOS-1231</t>
        </is>
      </c>
      <c r="C1232" t="inlineStr">
        <is>
          <t>iPhone</t>
        </is>
      </c>
      <c r="D1232" t="inlineStr">
        <is>
          <t>Personal</t>
        </is>
      </c>
      <c r="E1232" t="inlineStr">
        <is>
          <t>Personal</t>
        </is>
      </c>
      <c r="F1232" t="inlineStr">
        <is>
          <t>Relationships</t>
        </is>
      </c>
      <c r="G1232" t="inlineStr">
        <is>
          <t>Dates</t>
        </is>
      </c>
      <c r="H1232" t="inlineStr">
        <is>
          <t>Personal &gt; Relationships &gt; Quick Add &gt; Dates</t>
        </is>
      </c>
      <c r="I1232" s="18" t="n">
        <v>11060.55</v>
      </c>
      <c r="J1232" t="inlineStr">
        <is>
          <t>Created MTR-IOS-1231 and correlation note visible in Activity/Pulse</t>
        </is>
      </c>
      <c r="K1232" t="inlineStr">
        <is>
          <t>NOT_RUN</t>
        </is>
      </c>
      <c r="P1232" t="n">
        <v>0</v>
      </c>
      <c r="Q1232" t="n">
        <v>1231</v>
      </c>
    </row>
    <row r="1233">
      <c r="A1233" t="n">
        <v>1232</v>
      </c>
      <c r="B1233" t="inlineStr">
        <is>
          <t>MTR-IOS-1232</t>
        </is>
      </c>
      <c r="C1233" t="inlineStr">
        <is>
          <t>iPhone</t>
        </is>
      </c>
      <c r="D1233" t="inlineStr">
        <is>
          <t>Group</t>
        </is>
      </c>
      <c r="E1233" t="inlineStr">
        <is>
          <t>Shared Experience</t>
        </is>
      </c>
      <c r="F1233" t="inlineStr">
        <is>
          <t>Trip</t>
        </is>
      </c>
      <c r="G1233" t="inlineStr">
        <is>
          <t>Activities</t>
        </is>
      </c>
      <c r="H1233" t="inlineStr">
        <is>
          <t>Group &gt; Trip &gt; Quick Add &gt; Activities</t>
        </is>
      </c>
      <c r="I1233" s="18" t="n">
        <v>1370.93</v>
      </c>
      <c r="J1233" t="inlineStr">
        <is>
          <t>Created MTR-IOS-1232 and correlation note visible in Activity/Pulse</t>
        </is>
      </c>
      <c r="K1233" t="inlineStr">
        <is>
          <t>NOT_RUN</t>
        </is>
      </c>
      <c r="P1233" t="n">
        <v>0</v>
      </c>
      <c r="Q1233" t="n">
        <v>1232</v>
      </c>
    </row>
    <row r="1234">
      <c r="A1234" t="n">
        <v>1233</v>
      </c>
      <c r="B1234" t="inlineStr">
        <is>
          <t>MTR-IOS-1233</t>
        </is>
      </c>
      <c r="C1234" t="inlineStr">
        <is>
          <t>iPhone</t>
        </is>
      </c>
      <c r="D1234" t="inlineStr">
        <is>
          <t>Business</t>
        </is>
      </c>
      <c r="E1234" t="inlineStr">
        <is>
          <t>Business</t>
        </is>
      </c>
      <c r="F1234" t="inlineStr">
        <is>
          <t>Business Runway</t>
        </is>
      </c>
      <c r="G1234" t="inlineStr">
        <is>
          <t>Loan</t>
        </is>
      </c>
      <c r="H1234" t="inlineStr">
        <is>
          <t>Business &gt; Business Runway &gt; Quick Add &gt; Loan</t>
        </is>
      </c>
      <c r="I1234" s="18" t="n">
        <v>122689</v>
      </c>
      <c r="J1234" t="inlineStr">
        <is>
          <t>Created MTR-IOS-1233 and correlation note visible in Activity/Pulse</t>
        </is>
      </c>
      <c r="K1234" t="inlineStr">
        <is>
          <t>NOT_RUN</t>
        </is>
      </c>
      <c r="P1234" t="n">
        <v>0</v>
      </c>
      <c r="Q1234" t="n">
        <v>1233</v>
      </c>
    </row>
    <row r="1235">
      <c r="A1235" t="n">
        <v>1234</v>
      </c>
      <c r="B1235" t="inlineStr">
        <is>
          <t>MTR-IOS-1234</t>
        </is>
      </c>
      <c r="C1235" t="inlineStr">
        <is>
          <t>iPhone</t>
        </is>
      </c>
      <c r="D1235" t="inlineStr">
        <is>
          <t>Personal</t>
        </is>
      </c>
      <c r="E1235" t="inlineStr">
        <is>
          <t>Personal</t>
        </is>
      </c>
      <c r="F1235" t="inlineStr">
        <is>
          <t>Relationships</t>
        </is>
      </c>
      <c r="G1235" t="inlineStr">
        <is>
          <t>Family</t>
        </is>
      </c>
      <c r="H1235" t="inlineStr">
        <is>
          <t>Personal &gt; Relationships &gt; Quick Add &gt; Family</t>
        </is>
      </c>
      <c r="I1235" s="18" t="n">
        <v>15917.49</v>
      </c>
      <c r="J1235" t="inlineStr">
        <is>
          <t>Created MTR-IOS-1234 and correlation note visible in Activity/Pulse</t>
        </is>
      </c>
      <c r="K1235" t="inlineStr">
        <is>
          <t>NOT_RUN</t>
        </is>
      </c>
      <c r="P1235" t="n">
        <v>0</v>
      </c>
      <c r="Q1235" t="n">
        <v>1234</v>
      </c>
    </row>
    <row r="1236">
      <c r="A1236" t="n">
        <v>1235</v>
      </c>
      <c r="B1236" t="inlineStr">
        <is>
          <t>MTR-IOS-1235</t>
        </is>
      </c>
      <c r="C1236" t="inlineStr">
        <is>
          <t>iPhone</t>
        </is>
      </c>
      <c r="D1236" t="inlineStr">
        <is>
          <t>Group</t>
        </is>
      </c>
      <c r="E1236" t="inlineStr">
        <is>
          <t>Shared Experience</t>
        </is>
      </c>
      <c r="F1236" t="inlineStr">
        <is>
          <t>Trip</t>
        </is>
      </c>
      <c r="G1236" t="inlineStr">
        <is>
          <t>Shopping</t>
        </is>
      </c>
      <c r="H1236" t="inlineStr">
        <is>
          <t>Group &gt; Trip &gt; Quick Add &gt; Shopping</t>
        </is>
      </c>
      <c r="I1236" s="18" t="n">
        <v>25577.46</v>
      </c>
      <c r="J1236" t="inlineStr">
        <is>
          <t>Created MTR-IOS-1235 and correlation note visible in Activity/Pulse</t>
        </is>
      </c>
      <c r="K1236" t="inlineStr">
        <is>
          <t>NOT_RUN</t>
        </is>
      </c>
      <c r="P1236" t="n">
        <v>0</v>
      </c>
      <c r="Q1236" t="n">
        <v>1235</v>
      </c>
    </row>
    <row r="1237">
      <c r="A1237" t="n">
        <v>1236</v>
      </c>
      <c r="B1237" t="inlineStr">
        <is>
          <t>MTR-IOS-1236</t>
        </is>
      </c>
      <c r="C1237" t="inlineStr">
        <is>
          <t>iPhone</t>
        </is>
      </c>
      <c r="D1237" t="inlineStr">
        <is>
          <t>Business</t>
        </is>
      </c>
      <c r="E1237" t="inlineStr">
        <is>
          <t>Business</t>
        </is>
      </c>
      <c r="F1237" t="inlineStr">
        <is>
          <t>Business Runway</t>
        </is>
      </c>
      <c r="G1237" t="inlineStr">
        <is>
          <t>Investment</t>
        </is>
      </c>
      <c r="H1237" t="inlineStr">
        <is>
          <t>Business &gt; Business Runway &gt; Quick Add &gt; Investment</t>
        </is>
      </c>
      <c r="I1237" s="18" t="n">
        <v>94708.83</v>
      </c>
      <c r="J1237" t="inlineStr">
        <is>
          <t>Created MTR-IOS-1236 and correlation note visible in Activity/Pulse</t>
        </is>
      </c>
      <c r="K1237" t="inlineStr">
        <is>
          <t>NOT_RUN</t>
        </is>
      </c>
      <c r="P1237" t="n">
        <v>0</v>
      </c>
      <c r="Q1237" t="n">
        <v>1236</v>
      </c>
    </row>
    <row r="1238">
      <c r="A1238" t="n">
        <v>1237</v>
      </c>
      <c r="B1238" t="inlineStr">
        <is>
          <t>MTR-IOS-1237</t>
        </is>
      </c>
      <c r="C1238" t="inlineStr">
        <is>
          <t>iPhone</t>
        </is>
      </c>
      <c r="D1238" t="inlineStr">
        <is>
          <t>Personal</t>
        </is>
      </c>
      <c r="E1238" t="inlineStr">
        <is>
          <t>Personal</t>
        </is>
      </c>
      <c r="F1238" t="inlineStr">
        <is>
          <t>Relationships</t>
        </is>
      </c>
      <c r="G1238" t="inlineStr">
        <is>
          <t>Friends</t>
        </is>
      </c>
      <c r="H1238" t="inlineStr">
        <is>
          <t>Personal &gt; Relationships &gt; Quick Add &gt; Friends</t>
        </is>
      </c>
      <c r="I1238" s="18" t="n">
        <v>10937.56</v>
      </c>
      <c r="J1238" t="inlineStr">
        <is>
          <t>Created MTR-IOS-1237 and correlation note visible in Activity/Pulse</t>
        </is>
      </c>
      <c r="K1238" t="inlineStr">
        <is>
          <t>NOT_RUN</t>
        </is>
      </c>
      <c r="P1238" t="n">
        <v>0</v>
      </c>
      <c r="Q1238" t="n">
        <v>1237</v>
      </c>
    </row>
    <row r="1239">
      <c r="A1239" t="n">
        <v>1238</v>
      </c>
      <c r="B1239" t="inlineStr">
        <is>
          <t>MTR-IOS-1238</t>
        </is>
      </c>
      <c r="C1239" t="inlineStr">
        <is>
          <t>iPhone</t>
        </is>
      </c>
      <c r="D1239" t="inlineStr">
        <is>
          <t>Group</t>
        </is>
      </c>
      <c r="E1239" t="inlineStr">
        <is>
          <t>Shared Experience</t>
        </is>
      </c>
      <c r="F1239" t="inlineStr">
        <is>
          <t>Trip</t>
        </is>
      </c>
      <c r="G1239" t="inlineStr">
        <is>
          <t>Other</t>
        </is>
      </c>
      <c r="H1239" t="inlineStr">
        <is>
          <t>Group &gt; Trip &gt; Quick Add &gt; Other</t>
        </is>
      </c>
      <c r="I1239" s="18" t="n">
        <v>11584.86</v>
      </c>
      <c r="J1239" t="inlineStr">
        <is>
          <t>Created MTR-IOS-1238 and correlation note visible in Activity/Pulse</t>
        </is>
      </c>
      <c r="K1239" t="inlineStr">
        <is>
          <t>NOT_RUN</t>
        </is>
      </c>
      <c r="P1239" t="n">
        <v>0</v>
      </c>
      <c r="Q1239" t="n">
        <v>1238</v>
      </c>
    </row>
    <row r="1240">
      <c r="A1240" t="n">
        <v>1239</v>
      </c>
      <c r="B1240" t="inlineStr">
        <is>
          <t>MTR-IOS-1239</t>
        </is>
      </c>
      <c r="C1240" t="inlineStr">
        <is>
          <t>iPhone</t>
        </is>
      </c>
      <c r="D1240" t="inlineStr">
        <is>
          <t>Business</t>
        </is>
      </c>
      <c r="E1240" t="inlineStr">
        <is>
          <t>Business</t>
        </is>
      </c>
      <c r="F1240" t="inlineStr">
        <is>
          <t>Business Operations</t>
        </is>
      </c>
      <c r="G1240" t="inlineStr">
        <is>
          <t>Software</t>
        </is>
      </c>
      <c r="H1240" t="inlineStr">
        <is>
          <t>Business &gt; Business Operations &gt; Quick Add &gt; Software</t>
        </is>
      </c>
      <c r="I1240" s="18" t="n">
        <v>71128.25</v>
      </c>
      <c r="J1240" t="inlineStr">
        <is>
          <t>Created MTR-IOS-1239 and correlation note visible in Activity/Pulse</t>
        </is>
      </c>
      <c r="K1240" t="inlineStr">
        <is>
          <t>NOT_RUN</t>
        </is>
      </c>
      <c r="P1240" t="n">
        <v>0</v>
      </c>
      <c r="Q1240" t="n">
        <v>1239</v>
      </c>
    </row>
    <row r="1241">
      <c r="A1241" t="n">
        <v>1240</v>
      </c>
      <c r="B1241" t="inlineStr">
        <is>
          <t>MTR-IOS-1240</t>
        </is>
      </c>
      <c r="C1241" t="inlineStr">
        <is>
          <t>iPhone</t>
        </is>
      </c>
      <c r="D1241" t="inlineStr">
        <is>
          <t>Personal</t>
        </is>
      </c>
      <c r="E1241" t="inlineStr">
        <is>
          <t>Personal</t>
        </is>
      </c>
      <c r="F1241" t="inlineStr">
        <is>
          <t>Relationships</t>
        </is>
      </c>
      <c r="G1241" t="inlineStr">
        <is>
          <t>Celebrations</t>
        </is>
      </c>
      <c r="H1241" t="inlineStr">
        <is>
          <t>Personal &gt; Relationships &gt; Quick Add &gt; Celebrations</t>
        </is>
      </c>
      <c r="I1241" s="18" t="n">
        <v>2623.74</v>
      </c>
      <c r="J1241" t="inlineStr">
        <is>
          <t>Created MTR-IOS-1240 and correlation note visible in Activity/Pulse</t>
        </is>
      </c>
      <c r="K1241" t="inlineStr">
        <is>
          <t>NOT_RUN</t>
        </is>
      </c>
      <c r="P1241" t="n">
        <v>0</v>
      </c>
      <c r="Q1241" t="n">
        <v>1240</v>
      </c>
    </row>
    <row r="1242">
      <c r="A1242" t="n">
        <v>1241</v>
      </c>
      <c r="B1242" t="inlineStr">
        <is>
          <t>MTR-IOS-1241</t>
        </is>
      </c>
      <c r="C1242" t="inlineStr">
        <is>
          <t>iPhone</t>
        </is>
      </c>
      <c r="D1242" t="inlineStr">
        <is>
          <t>Group</t>
        </is>
      </c>
      <c r="E1242" t="inlineStr">
        <is>
          <t>Shared Experience</t>
        </is>
      </c>
      <c r="F1242" t="inlineStr">
        <is>
          <t>Wedding</t>
        </is>
      </c>
      <c r="G1242" t="inlineStr">
        <is>
          <t>Venue</t>
        </is>
      </c>
      <c r="H1242" t="inlineStr">
        <is>
          <t>Group &gt; Wedding &gt; Quick Add &gt; Venue</t>
        </is>
      </c>
      <c r="I1242" s="18" t="n">
        <v>17192.22</v>
      </c>
      <c r="J1242" t="inlineStr">
        <is>
          <t>Created MTR-IOS-1241 and correlation note visible in Activity/Pulse</t>
        </is>
      </c>
      <c r="K1242" t="inlineStr">
        <is>
          <t>NOT_RUN</t>
        </is>
      </c>
      <c r="P1242" t="n">
        <v>0</v>
      </c>
      <c r="Q1242" t="n">
        <v>1241</v>
      </c>
    </row>
    <row r="1243">
      <c r="A1243" t="n">
        <v>1242</v>
      </c>
      <c r="B1243" t="inlineStr">
        <is>
          <t>MTR-IOS-1242</t>
        </is>
      </c>
      <c r="C1243" t="inlineStr">
        <is>
          <t>iPhone</t>
        </is>
      </c>
      <c r="D1243" t="inlineStr">
        <is>
          <t>Business</t>
        </is>
      </c>
      <c r="E1243" t="inlineStr">
        <is>
          <t>Business</t>
        </is>
      </c>
      <c r="F1243" t="inlineStr">
        <is>
          <t>Business Operations</t>
        </is>
      </c>
      <c r="G1243" t="inlineStr">
        <is>
          <t>Rent</t>
        </is>
      </c>
      <c r="H1243" t="inlineStr">
        <is>
          <t>Business &gt; Business Operations &gt; Quick Add &gt; Rent</t>
        </is>
      </c>
      <c r="I1243" s="18" t="n">
        <v>81565.84</v>
      </c>
      <c r="J1243" t="inlineStr">
        <is>
          <t>Created MTR-IOS-1242 and correlation note visible in Activity/Pulse</t>
        </is>
      </c>
      <c r="K1243" t="inlineStr">
        <is>
          <t>NOT_RUN</t>
        </is>
      </c>
      <c r="P1243" t="n">
        <v>0</v>
      </c>
      <c r="Q1243" t="n">
        <v>1242</v>
      </c>
    </row>
    <row r="1244">
      <c r="A1244" t="n">
        <v>1243</v>
      </c>
      <c r="B1244" t="inlineStr">
        <is>
          <t>MTR-IOS-1243</t>
        </is>
      </c>
      <c r="C1244" t="inlineStr">
        <is>
          <t>iPhone</t>
        </is>
      </c>
      <c r="D1244" t="inlineStr">
        <is>
          <t>Personal</t>
        </is>
      </c>
      <c r="E1244" t="inlineStr">
        <is>
          <t>Personal</t>
        </is>
      </c>
      <c r="F1244" t="inlineStr">
        <is>
          <t>Life Operations</t>
        </is>
      </c>
      <c r="G1244" t="inlineStr">
        <is>
          <t>Groceries</t>
        </is>
      </c>
      <c r="H1244" t="inlineStr">
        <is>
          <t>Personal &gt; Life Operations &gt; Quick Add &gt; Groceries</t>
        </is>
      </c>
      <c r="I1244" s="18" t="n">
        <v>235.95</v>
      </c>
      <c r="J1244" t="inlineStr">
        <is>
          <t>Created MTR-IOS-1243 and correlation note visible in Activity/Pulse</t>
        </is>
      </c>
      <c r="K1244" t="inlineStr">
        <is>
          <t>NOT_RUN</t>
        </is>
      </c>
      <c r="P1244" t="n">
        <v>0</v>
      </c>
      <c r="Q1244" t="n">
        <v>1243</v>
      </c>
    </row>
    <row r="1245">
      <c r="A1245" t="n">
        <v>1244</v>
      </c>
      <c r="B1245" t="inlineStr">
        <is>
          <t>MTR-IOS-1244</t>
        </is>
      </c>
      <c r="C1245" t="inlineStr">
        <is>
          <t>iPhone</t>
        </is>
      </c>
      <c r="D1245" t="inlineStr">
        <is>
          <t>Group</t>
        </is>
      </c>
      <c r="E1245" t="inlineStr">
        <is>
          <t>Shared Experience</t>
        </is>
      </c>
      <c r="F1245" t="inlineStr">
        <is>
          <t>Wedding</t>
        </is>
      </c>
      <c r="G1245" t="inlineStr">
        <is>
          <t>Catering</t>
        </is>
      </c>
      <c r="H1245" t="inlineStr">
        <is>
          <t>Group &gt; Wedding &gt; Quick Add &gt; Catering</t>
        </is>
      </c>
      <c r="I1245" s="18" t="n">
        <v>834.4400000000001</v>
      </c>
      <c r="J1245" t="inlineStr">
        <is>
          <t>Created MTR-IOS-1244 and correlation note visible in Activity/Pulse</t>
        </is>
      </c>
      <c r="K1245" t="inlineStr">
        <is>
          <t>NOT_RUN</t>
        </is>
      </c>
      <c r="P1245" t="n">
        <v>0</v>
      </c>
      <c r="Q1245" t="n">
        <v>1244</v>
      </c>
    </row>
    <row r="1246">
      <c r="A1246" t="n">
        <v>1245</v>
      </c>
      <c r="B1246" t="inlineStr">
        <is>
          <t>MTR-IOS-1245</t>
        </is>
      </c>
      <c r="C1246" t="inlineStr">
        <is>
          <t>iPhone</t>
        </is>
      </c>
      <c r="D1246" t="inlineStr">
        <is>
          <t>Business</t>
        </is>
      </c>
      <c r="E1246" t="inlineStr">
        <is>
          <t>Business</t>
        </is>
      </c>
      <c r="F1246" t="inlineStr">
        <is>
          <t>Business Operations</t>
        </is>
      </c>
      <c r="G1246" t="inlineStr">
        <is>
          <t>Marketing</t>
        </is>
      </c>
      <c r="H1246" t="inlineStr">
        <is>
          <t>Business &gt; Business Operations &gt; Quick Add &gt; Marketing</t>
        </is>
      </c>
      <c r="I1246" s="18" t="n">
        <v>68614.14</v>
      </c>
      <c r="J1246" t="inlineStr">
        <is>
          <t>Created MTR-IOS-1245 and correlation note visible in Activity/Pulse</t>
        </is>
      </c>
      <c r="K1246" t="inlineStr">
        <is>
          <t>NOT_RUN</t>
        </is>
      </c>
      <c r="P1246" t="n">
        <v>0</v>
      </c>
      <c r="Q1246" t="n">
        <v>1245</v>
      </c>
    </row>
    <row r="1247">
      <c r="A1247" t="n">
        <v>1246</v>
      </c>
      <c r="B1247" t="inlineStr">
        <is>
          <t>MTR-IOS-1246</t>
        </is>
      </c>
      <c r="C1247" t="inlineStr">
        <is>
          <t>iPhone</t>
        </is>
      </c>
      <c r="D1247" t="inlineStr">
        <is>
          <t>Personal</t>
        </is>
      </c>
      <c r="E1247" t="inlineStr">
        <is>
          <t>Personal</t>
        </is>
      </c>
      <c r="F1247" t="inlineStr">
        <is>
          <t>Life Operations</t>
        </is>
      </c>
      <c r="G1247" t="inlineStr">
        <is>
          <t>Rent</t>
        </is>
      </c>
      <c r="H1247" t="inlineStr">
        <is>
          <t>Personal &gt; Life Operations &gt; Quick Add &gt; Rent</t>
        </is>
      </c>
      <c r="I1247" s="18" t="n">
        <v>15463.42</v>
      </c>
      <c r="J1247" t="inlineStr">
        <is>
          <t>Created MTR-IOS-1246 and correlation note visible in Activity/Pulse</t>
        </is>
      </c>
      <c r="K1247" t="inlineStr">
        <is>
          <t>NOT_RUN</t>
        </is>
      </c>
      <c r="P1247" t="n">
        <v>0</v>
      </c>
      <c r="Q1247" t="n">
        <v>1246</v>
      </c>
    </row>
    <row r="1248">
      <c r="A1248" t="n">
        <v>1247</v>
      </c>
      <c r="B1248" t="inlineStr">
        <is>
          <t>MTR-IOS-1247</t>
        </is>
      </c>
      <c r="C1248" t="inlineStr">
        <is>
          <t>iPhone</t>
        </is>
      </c>
      <c r="D1248" t="inlineStr">
        <is>
          <t>Group</t>
        </is>
      </c>
      <c r="E1248" t="inlineStr">
        <is>
          <t>Shared Experience</t>
        </is>
      </c>
      <c r="F1248" t="inlineStr">
        <is>
          <t>Wedding</t>
        </is>
      </c>
      <c r="G1248" t="inlineStr">
        <is>
          <t>Decor</t>
        </is>
      </c>
      <c r="H1248" t="inlineStr">
        <is>
          <t>Group &gt; Wedding &gt; Quick Add &gt; Decor</t>
        </is>
      </c>
      <c r="I1248" s="18" t="n">
        <v>5406.49</v>
      </c>
      <c r="J1248" t="inlineStr">
        <is>
          <t>Created MTR-IOS-1247 and correlation note visible in Activity/Pulse</t>
        </is>
      </c>
      <c r="K1248" t="inlineStr">
        <is>
          <t>NOT_RUN</t>
        </is>
      </c>
      <c r="P1248" t="n">
        <v>0</v>
      </c>
      <c r="Q1248" t="n">
        <v>1247</v>
      </c>
    </row>
    <row r="1249">
      <c r="A1249" t="n">
        <v>1248</v>
      </c>
      <c r="B1249" t="inlineStr">
        <is>
          <t>MTR-IOS-1248</t>
        </is>
      </c>
      <c r="C1249" t="inlineStr">
        <is>
          <t>iPhone</t>
        </is>
      </c>
      <c r="D1249" t="inlineStr">
        <is>
          <t>Business</t>
        </is>
      </c>
      <c r="E1249" t="inlineStr">
        <is>
          <t>Business</t>
        </is>
      </c>
      <c r="F1249" t="inlineStr">
        <is>
          <t>Business Operations</t>
        </is>
      </c>
      <c r="G1249" t="inlineStr">
        <is>
          <t>Legal</t>
        </is>
      </c>
      <c r="H1249" t="inlineStr">
        <is>
          <t>Business &gt; Business Operations &gt; Quick Add &gt; Legal</t>
        </is>
      </c>
      <c r="I1249" s="18" t="n">
        <v>113535.28</v>
      </c>
      <c r="J1249" t="inlineStr">
        <is>
          <t>Created MTR-IOS-1248 and correlation note visible in Activity/Pulse</t>
        </is>
      </c>
      <c r="K1249" t="inlineStr">
        <is>
          <t>NOT_RUN</t>
        </is>
      </c>
      <c r="P1249" t="n">
        <v>0</v>
      </c>
      <c r="Q1249" t="n">
        <v>1248</v>
      </c>
    </row>
    <row r="1250">
      <c r="A1250" t="n">
        <v>1249</v>
      </c>
      <c r="B1250" t="inlineStr">
        <is>
          <t>MTR-IOS-1249</t>
        </is>
      </c>
      <c r="C1250" t="inlineStr">
        <is>
          <t>iPhone</t>
        </is>
      </c>
      <c r="D1250" t="inlineStr">
        <is>
          <t>Personal</t>
        </is>
      </c>
      <c r="E1250" t="inlineStr">
        <is>
          <t>Personal</t>
        </is>
      </c>
      <c r="F1250" t="inlineStr">
        <is>
          <t>Life Operations</t>
        </is>
      </c>
      <c r="G1250" t="inlineStr">
        <is>
          <t>Bills</t>
        </is>
      </c>
      <c r="H1250" t="inlineStr">
        <is>
          <t>Personal &gt; Life Operations &gt; Quick Add &gt; Bills</t>
        </is>
      </c>
      <c r="I1250" s="18" t="n">
        <v>17459.76</v>
      </c>
      <c r="J1250" t="inlineStr">
        <is>
          <t>Created MTR-IOS-1249 and correlation note visible in Activity/Pulse</t>
        </is>
      </c>
      <c r="K1250" t="inlineStr">
        <is>
          <t>NOT_RUN</t>
        </is>
      </c>
      <c r="P1250" t="n">
        <v>0</v>
      </c>
      <c r="Q1250" t="n">
        <v>1249</v>
      </c>
    </row>
    <row r="1251">
      <c r="A1251" t="n">
        <v>1250</v>
      </c>
      <c r="B1251" t="inlineStr">
        <is>
          <t>MTR-IOS-1250</t>
        </is>
      </c>
      <c r="C1251" t="inlineStr">
        <is>
          <t>iPhone</t>
        </is>
      </c>
      <c r="D1251" t="inlineStr">
        <is>
          <t>Group</t>
        </is>
      </c>
      <c r="E1251" t="inlineStr">
        <is>
          <t>Shared Experience</t>
        </is>
      </c>
      <c r="F1251" t="inlineStr">
        <is>
          <t>Wedding</t>
        </is>
      </c>
      <c r="G1251" t="inlineStr">
        <is>
          <t>Travel</t>
        </is>
      </c>
      <c r="H1251" t="inlineStr">
        <is>
          <t>Group &gt; Wedding &gt; Quick Add &gt; Travel</t>
        </is>
      </c>
      <c r="I1251" s="18" t="n">
        <v>10898.25</v>
      </c>
      <c r="J1251" t="inlineStr">
        <is>
          <t>Created MTR-IOS-1250 and correlation note visible in Activity/Pulse</t>
        </is>
      </c>
      <c r="K1251" t="inlineStr">
        <is>
          <t>NOT_RUN</t>
        </is>
      </c>
      <c r="P1251" t="n">
        <v>0</v>
      </c>
      <c r="Q1251" t="n">
        <v>1250</v>
      </c>
    </row>
    <row r="1252">
      <c r="A1252" t="n">
        <v>1251</v>
      </c>
      <c r="B1252" t="inlineStr">
        <is>
          <t>MTR-IOS-1251</t>
        </is>
      </c>
      <c r="C1252" t="inlineStr">
        <is>
          <t>iPhone</t>
        </is>
      </c>
      <c r="D1252" t="inlineStr">
        <is>
          <t>Business</t>
        </is>
      </c>
      <c r="E1252" t="inlineStr">
        <is>
          <t>Business</t>
        </is>
      </c>
      <c r="F1252" t="inlineStr">
        <is>
          <t>Business Operations</t>
        </is>
      </c>
      <c r="G1252" t="inlineStr">
        <is>
          <t>Accounting</t>
        </is>
      </c>
      <c r="H1252" t="inlineStr">
        <is>
          <t>Business &gt; Business Operations &gt; Quick Add &gt; Accounting</t>
        </is>
      </c>
      <c r="I1252" s="18" t="n">
        <v>73667.35000000001</v>
      </c>
      <c r="J1252" t="inlineStr">
        <is>
          <t>Created MTR-IOS-1251 and correlation note visible in Activity/Pulse</t>
        </is>
      </c>
      <c r="K1252" t="inlineStr">
        <is>
          <t>NOT_RUN</t>
        </is>
      </c>
      <c r="P1252" t="n">
        <v>0</v>
      </c>
      <c r="Q1252" t="n">
        <v>1251</v>
      </c>
    </row>
    <row r="1253">
      <c r="A1253" t="n">
        <v>1252</v>
      </c>
      <c r="B1253" t="inlineStr">
        <is>
          <t>MTR-IOS-1252</t>
        </is>
      </c>
      <c r="C1253" t="inlineStr">
        <is>
          <t>iPhone</t>
        </is>
      </c>
      <c r="D1253" t="inlineStr">
        <is>
          <t>Personal</t>
        </is>
      </c>
      <c r="E1253" t="inlineStr">
        <is>
          <t>Personal</t>
        </is>
      </c>
      <c r="F1253" t="inlineStr">
        <is>
          <t>Life Operations</t>
        </is>
      </c>
      <c r="G1253" t="inlineStr">
        <is>
          <t>Transport</t>
        </is>
      </c>
      <c r="H1253" t="inlineStr">
        <is>
          <t>Personal &gt; Life Operations &gt; Quick Add &gt; Transport</t>
        </is>
      </c>
      <c r="I1253" s="18" t="n">
        <v>7566.31</v>
      </c>
      <c r="J1253" t="inlineStr">
        <is>
          <t>Created MTR-IOS-1252 and correlation note visible in Activity/Pulse</t>
        </is>
      </c>
      <c r="K1253" t="inlineStr">
        <is>
          <t>NOT_RUN</t>
        </is>
      </c>
      <c r="P1253" t="n">
        <v>0</v>
      </c>
      <c r="Q1253" t="n">
        <v>1252</v>
      </c>
    </row>
    <row r="1254">
      <c r="A1254" t="n">
        <v>1253</v>
      </c>
      <c r="B1254" t="inlineStr">
        <is>
          <t>MTR-IOS-1253</t>
        </is>
      </c>
      <c r="C1254" t="inlineStr">
        <is>
          <t>iPhone</t>
        </is>
      </c>
      <c r="D1254" t="inlineStr">
        <is>
          <t>Group</t>
        </is>
      </c>
      <c r="E1254" t="inlineStr">
        <is>
          <t>Shared Experience</t>
        </is>
      </c>
      <c r="F1254" t="inlineStr">
        <is>
          <t>Wedding</t>
        </is>
      </c>
      <c r="G1254" t="inlineStr">
        <is>
          <t>Gifts</t>
        </is>
      </c>
      <c r="H1254" t="inlineStr">
        <is>
          <t>Group &gt; Wedding &gt; Quick Add &gt; Gifts</t>
        </is>
      </c>
      <c r="I1254" s="18" t="n">
        <v>22610.63</v>
      </c>
      <c r="J1254" t="inlineStr">
        <is>
          <t>Created MTR-IOS-1253 and correlation note visible in Activity/Pulse</t>
        </is>
      </c>
      <c r="K1254" t="inlineStr">
        <is>
          <t>NOT_RUN</t>
        </is>
      </c>
      <c r="P1254" t="n">
        <v>0</v>
      </c>
      <c r="Q1254" t="n">
        <v>1253</v>
      </c>
    </row>
    <row r="1255">
      <c r="A1255" t="n">
        <v>1254</v>
      </c>
      <c r="B1255" t="inlineStr">
        <is>
          <t>MTR-IOS-1254</t>
        </is>
      </c>
      <c r="C1255" t="inlineStr">
        <is>
          <t>iPhone</t>
        </is>
      </c>
      <c r="D1255" t="inlineStr">
        <is>
          <t>Business</t>
        </is>
      </c>
      <c r="E1255" t="inlineStr">
        <is>
          <t>Business</t>
        </is>
      </c>
      <c r="F1255" t="inlineStr">
        <is>
          <t>Business Operations</t>
        </is>
      </c>
      <c r="G1255" t="inlineStr">
        <is>
          <t>Equipment</t>
        </is>
      </c>
      <c r="H1255" t="inlineStr">
        <is>
          <t>Business &gt; Business Operations &gt; Quick Add &gt; Equipment</t>
        </is>
      </c>
      <c r="I1255" s="18" t="n">
        <v>109206.12</v>
      </c>
      <c r="J1255" t="inlineStr">
        <is>
          <t>Created MTR-IOS-1254 and correlation note visible in Activity/Pulse</t>
        </is>
      </c>
      <c r="K1255" t="inlineStr">
        <is>
          <t>NOT_RUN</t>
        </is>
      </c>
      <c r="P1255" t="n">
        <v>0</v>
      </c>
      <c r="Q1255" t="n">
        <v>1254</v>
      </c>
    </row>
    <row r="1256">
      <c r="A1256" t="n">
        <v>1255</v>
      </c>
      <c r="B1256" t="inlineStr">
        <is>
          <t>MTR-IOS-1255</t>
        </is>
      </c>
      <c r="C1256" t="inlineStr">
        <is>
          <t>iPhone</t>
        </is>
      </c>
      <c r="D1256" t="inlineStr">
        <is>
          <t>Personal</t>
        </is>
      </c>
      <c r="E1256" t="inlineStr">
        <is>
          <t>Personal</t>
        </is>
      </c>
      <c r="F1256" t="inlineStr">
        <is>
          <t>Life Operations</t>
        </is>
      </c>
      <c r="G1256" t="inlineStr">
        <is>
          <t>Healthcare</t>
        </is>
      </c>
      <c r="H1256" t="inlineStr">
        <is>
          <t>Personal &gt; Life Operations &gt; Quick Add &gt; Healthcare</t>
        </is>
      </c>
      <c r="I1256" s="18" t="n">
        <v>10673.8</v>
      </c>
      <c r="J1256" t="inlineStr">
        <is>
          <t>Created MTR-IOS-1255 and correlation note visible in Activity/Pulse</t>
        </is>
      </c>
      <c r="K1256" t="inlineStr">
        <is>
          <t>NOT_RUN</t>
        </is>
      </c>
      <c r="P1256" t="n">
        <v>0</v>
      </c>
      <c r="Q1256" t="n">
        <v>1255</v>
      </c>
    </row>
    <row r="1257">
      <c r="A1257" t="n">
        <v>1256</v>
      </c>
      <c r="B1257" t="inlineStr">
        <is>
          <t>MTR-IOS-1256</t>
        </is>
      </c>
      <c r="C1257" t="inlineStr">
        <is>
          <t>iPhone</t>
        </is>
      </c>
      <c r="D1257" t="inlineStr">
        <is>
          <t>Group</t>
        </is>
      </c>
      <c r="E1257" t="inlineStr">
        <is>
          <t>Shared Experience</t>
        </is>
      </c>
      <c r="F1257" t="inlineStr">
        <is>
          <t>Wedding</t>
        </is>
      </c>
      <c r="G1257" t="inlineStr">
        <is>
          <t>Photography</t>
        </is>
      </c>
      <c r="H1257" t="inlineStr">
        <is>
          <t>Group &gt; Wedding &gt; Quick Add &gt; Photography</t>
        </is>
      </c>
      <c r="I1257" s="18" t="n">
        <v>1285.64</v>
      </c>
      <c r="J1257" t="inlineStr">
        <is>
          <t>Created MTR-IOS-1256 and correlation note visible in Activity/Pulse</t>
        </is>
      </c>
      <c r="K1257" t="inlineStr">
        <is>
          <t>NOT_RUN</t>
        </is>
      </c>
      <c r="P1257" t="n">
        <v>0</v>
      </c>
      <c r="Q1257" t="n">
        <v>1256</v>
      </c>
    </row>
    <row r="1258">
      <c r="A1258" t="n">
        <v>1257</v>
      </c>
      <c r="B1258" t="inlineStr">
        <is>
          <t>MTR-IOS-1257</t>
        </is>
      </c>
      <c r="C1258" t="inlineStr">
        <is>
          <t>iPhone</t>
        </is>
      </c>
      <c r="D1258" t="inlineStr">
        <is>
          <t>Business</t>
        </is>
      </c>
      <c r="E1258" t="inlineStr">
        <is>
          <t>Business</t>
        </is>
      </c>
      <c r="F1258" t="inlineStr">
        <is>
          <t>Business Operations</t>
        </is>
      </c>
      <c r="G1258" t="inlineStr">
        <is>
          <t>Vendor</t>
        </is>
      </c>
      <c r="H1258" t="inlineStr">
        <is>
          <t>Business &gt; Business Operations &gt; Quick Add &gt; Vendor</t>
        </is>
      </c>
      <c r="I1258" s="18" t="n">
        <v>102565.63</v>
      </c>
      <c r="J1258" t="inlineStr">
        <is>
          <t>Created MTR-IOS-1257 and correlation note visible in Activity/Pulse</t>
        </is>
      </c>
      <c r="K1258" t="inlineStr">
        <is>
          <t>NOT_RUN</t>
        </is>
      </c>
      <c r="P1258" t="n">
        <v>0</v>
      </c>
      <c r="Q1258" t="n">
        <v>1257</v>
      </c>
    </row>
    <row r="1259">
      <c r="A1259" t="n">
        <v>1258</v>
      </c>
      <c r="B1259" t="inlineStr">
        <is>
          <t>MTR-IOS-1258</t>
        </is>
      </c>
      <c r="C1259" t="inlineStr">
        <is>
          <t>iPhone</t>
        </is>
      </c>
      <c r="D1259" t="inlineStr">
        <is>
          <t>Personal</t>
        </is>
      </c>
      <c r="E1259" t="inlineStr">
        <is>
          <t>Personal</t>
        </is>
      </c>
      <c r="F1259" t="inlineStr">
        <is>
          <t>Life Operations</t>
        </is>
      </c>
      <c r="G1259" t="inlineStr">
        <is>
          <t>Subscriptions</t>
        </is>
      </c>
      <c r="H1259" t="inlineStr">
        <is>
          <t>Personal &gt; Life Operations &gt; Quick Add &gt; Subscriptions</t>
        </is>
      </c>
      <c r="I1259" s="18" t="n">
        <v>999.99</v>
      </c>
      <c r="J1259" t="inlineStr">
        <is>
          <t>Created MTR-IOS-1258 and correlation note visible in Activity/Pulse</t>
        </is>
      </c>
      <c r="K1259" t="inlineStr">
        <is>
          <t>NOT_RUN</t>
        </is>
      </c>
      <c r="P1259" t="n">
        <v>0</v>
      </c>
      <c r="Q1259" t="n">
        <v>1258</v>
      </c>
    </row>
    <row r="1260">
      <c r="A1260" t="n">
        <v>1259</v>
      </c>
      <c r="B1260" t="inlineStr">
        <is>
          <t>MTR-IOS-1259</t>
        </is>
      </c>
      <c r="C1260" t="inlineStr">
        <is>
          <t>iPhone</t>
        </is>
      </c>
      <c r="D1260" t="inlineStr">
        <is>
          <t>Group</t>
        </is>
      </c>
      <c r="E1260" t="inlineStr">
        <is>
          <t>Shared Experience</t>
        </is>
      </c>
      <c r="F1260" t="inlineStr">
        <is>
          <t>Wedding</t>
        </is>
      </c>
      <c r="G1260" t="inlineStr">
        <is>
          <t>Other</t>
        </is>
      </c>
      <c r="H1260" t="inlineStr">
        <is>
          <t>Group &gt; Wedding &gt; Quick Add &gt; Other</t>
        </is>
      </c>
      <c r="I1260" s="18" t="n">
        <v>9350.950000000001</v>
      </c>
      <c r="J1260" t="inlineStr">
        <is>
          <t>Created MTR-IOS-1259 and correlation note visible in Activity/Pulse</t>
        </is>
      </c>
      <c r="K1260" t="inlineStr">
        <is>
          <t>NOT_RUN</t>
        </is>
      </c>
      <c r="P1260" t="n">
        <v>0</v>
      </c>
      <c r="Q1260" t="n">
        <v>1259</v>
      </c>
    </row>
    <row r="1261">
      <c r="A1261" t="n">
        <v>1260</v>
      </c>
      <c r="B1261" t="inlineStr">
        <is>
          <t>MTR-IOS-1260</t>
        </is>
      </c>
      <c r="C1261" t="inlineStr">
        <is>
          <t>iPhone</t>
        </is>
      </c>
      <c r="D1261" t="inlineStr">
        <is>
          <t>Business</t>
        </is>
      </c>
      <c r="E1261" t="inlineStr">
        <is>
          <t>Business</t>
        </is>
      </c>
      <c r="F1261" t="inlineStr">
        <is>
          <t>Business Operations</t>
        </is>
      </c>
      <c r="G1261" t="inlineStr">
        <is>
          <t>Tax</t>
        </is>
      </c>
      <c r="H1261" t="inlineStr">
        <is>
          <t>Business &gt; Business Operations &gt; Quick Add &gt; Tax</t>
        </is>
      </c>
      <c r="I1261" s="18" t="n">
        <v>88326.07000000001</v>
      </c>
      <c r="J1261" t="inlineStr">
        <is>
          <t>Created MTR-IOS-1260 and correlation note visible in Activity/Pulse</t>
        </is>
      </c>
      <c r="K1261" t="inlineStr">
        <is>
          <t>NOT_RUN</t>
        </is>
      </c>
      <c r="P1261" t="n">
        <v>0</v>
      </c>
      <c r="Q1261" t="n">
        <v>1260</v>
      </c>
    </row>
    <row r="1262">
      <c r="A1262" t="n">
        <v>1261</v>
      </c>
      <c r="B1262" t="inlineStr">
        <is>
          <t>MTR-IOS-1261</t>
        </is>
      </c>
      <c r="C1262" t="inlineStr">
        <is>
          <t>iPhone</t>
        </is>
      </c>
      <c r="D1262" t="inlineStr">
        <is>
          <t>Personal</t>
        </is>
      </c>
      <c r="E1262" t="inlineStr">
        <is>
          <t>Personal</t>
        </is>
      </c>
      <c r="F1262" t="inlineStr">
        <is>
          <t>Life Operations</t>
        </is>
      </c>
      <c r="G1262" t="inlineStr">
        <is>
          <t>Repairs</t>
        </is>
      </c>
      <c r="H1262" t="inlineStr">
        <is>
          <t>Personal &gt; Life Operations &gt; Quick Add &gt; Repairs</t>
        </is>
      </c>
      <c r="I1262" s="18" t="n">
        <v>17786.98</v>
      </c>
      <c r="J1262" t="inlineStr">
        <is>
          <t>Created MTR-IOS-1261 and correlation note visible in Activity/Pulse</t>
        </is>
      </c>
      <c r="K1262" t="inlineStr">
        <is>
          <t>NOT_RUN</t>
        </is>
      </c>
      <c r="P1262" t="n">
        <v>0</v>
      </c>
      <c r="Q1262" t="n">
        <v>1261</v>
      </c>
    </row>
    <row r="1263">
      <c r="A1263" t="n">
        <v>1262</v>
      </c>
      <c r="B1263" t="inlineStr">
        <is>
          <t>MTR-IOS-1262</t>
        </is>
      </c>
      <c r="C1263" t="inlineStr">
        <is>
          <t>iPhone</t>
        </is>
      </c>
      <c r="D1263" t="inlineStr">
        <is>
          <t>Group</t>
        </is>
      </c>
      <c r="E1263" t="inlineStr">
        <is>
          <t>Shared Experience</t>
        </is>
      </c>
      <c r="F1263" t="inlineStr">
        <is>
          <t>Office Outing</t>
        </is>
      </c>
      <c r="G1263" t="inlineStr">
        <is>
          <t>Food</t>
        </is>
      </c>
      <c r="H1263" t="inlineStr">
        <is>
          <t>Group &gt; Office Outing &gt; Quick Add &gt; Food</t>
        </is>
      </c>
      <c r="I1263" s="18" t="n">
        <v>21957.13</v>
      </c>
      <c r="J1263" t="inlineStr">
        <is>
          <t>Created MTR-IOS-1262 and correlation note visible in Activity/Pulse</t>
        </is>
      </c>
      <c r="K1263" t="inlineStr">
        <is>
          <t>NOT_RUN</t>
        </is>
      </c>
      <c r="P1263" t="n">
        <v>0</v>
      </c>
      <c r="Q1263" t="n">
        <v>1262</v>
      </c>
    </row>
    <row r="1264">
      <c r="A1264" t="n">
        <v>1263</v>
      </c>
      <c r="B1264" t="inlineStr">
        <is>
          <t>MTR-IOS-1263</t>
        </is>
      </c>
      <c r="C1264" t="inlineStr">
        <is>
          <t>iPhone</t>
        </is>
      </c>
      <c r="D1264" t="inlineStr">
        <is>
          <t>Business</t>
        </is>
      </c>
      <c r="E1264" t="inlineStr">
        <is>
          <t>Business</t>
        </is>
      </c>
      <c r="F1264" t="inlineStr">
        <is>
          <t>Team Operations</t>
        </is>
      </c>
      <c r="G1264" t="inlineStr">
        <is>
          <t>Payroll</t>
        </is>
      </c>
      <c r="H1264" t="inlineStr">
        <is>
          <t>Business &gt; Team Operations &gt; Quick Add &gt; Payroll</t>
        </is>
      </c>
      <c r="I1264" s="18" t="n">
        <v>161316.55</v>
      </c>
      <c r="J1264" t="inlineStr">
        <is>
          <t>Created MTR-IOS-1263 and correlation note visible in Activity/Pulse</t>
        </is>
      </c>
      <c r="K1264" t="inlineStr">
        <is>
          <t>NOT_RUN</t>
        </is>
      </c>
      <c r="P1264" t="n">
        <v>0</v>
      </c>
      <c r="Q1264" t="n">
        <v>1263</v>
      </c>
    </row>
    <row r="1265">
      <c r="A1265" t="n">
        <v>1264</v>
      </c>
      <c r="B1265" t="inlineStr">
        <is>
          <t>MTR-IOS-1264</t>
        </is>
      </c>
      <c r="C1265" t="inlineStr">
        <is>
          <t>iPhone</t>
        </is>
      </c>
      <c r="D1265" t="inlineStr">
        <is>
          <t>Personal</t>
        </is>
      </c>
      <c r="E1265" t="inlineStr">
        <is>
          <t>Personal</t>
        </is>
      </c>
      <c r="F1265" t="inlineStr">
        <is>
          <t>Future Building</t>
        </is>
      </c>
      <c r="G1265" t="inlineStr">
        <is>
          <t>Savings</t>
        </is>
      </c>
      <c r="H1265" t="inlineStr">
        <is>
          <t>Personal &gt; Future Building &gt; Quick Add &gt; Savings</t>
        </is>
      </c>
      <c r="I1265" s="18" t="n">
        <v>13956.39</v>
      </c>
      <c r="J1265" t="inlineStr">
        <is>
          <t>Created MTR-IOS-1264 and correlation note visible in Activity/Pulse</t>
        </is>
      </c>
      <c r="K1265" t="inlineStr">
        <is>
          <t>NOT_RUN</t>
        </is>
      </c>
      <c r="P1265" t="n">
        <v>0</v>
      </c>
      <c r="Q1265" t="n">
        <v>1264</v>
      </c>
    </row>
    <row r="1266">
      <c r="A1266" t="n">
        <v>1265</v>
      </c>
      <c r="B1266" t="inlineStr">
        <is>
          <t>MTR-IOS-1265</t>
        </is>
      </c>
      <c r="C1266" t="inlineStr">
        <is>
          <t>iPhone</t>
        </is>
      </c>
      <c r="D1266" t="inlineStr">
        <is>
          <t>Group</t>
        </is>
      </c>
      <c r="E1266" t="inlineStr">
        <is>
          <t>Shared Experience</t>
        </is>
      </c>
      <c r="F1266" t="inlineStr">
        <is>
          <t>Office Outing</t>
        </is>
      </c>
      <c r="G1266" t="inlineStr">
        <is>
          <t>Travel</t>
        </is>
      </c>
      <c r="H1266" t="inlineStr">
        <is>
          <t>Group &gt; Office Outing &gt; Quick Add &gt; Travel</t>
        </is>
      </c>
      <c r="I1266" s="18" t="n">
        <v>16355.43</v>
      </c>
      <c r="J1266" t="inlineStr">
        <is>
          <t>Created MTR-IOS-1265 and correlation note visible in Activity/Pulse</t>
        </is>
      </c>
      <c r="K1266" t="inlineStr">
        <is>
          <t>NOT_RUN</t>
        </is>
      </c>
      <c r="P1266" t="n">
        <v>0</v>
      </c>
      <c r="Q1266" t="n">
        <v>1265</v>
      </c>
    </row>
    <row r="1267">
      <c r="A1267" t="n">
        <v>1266</v>
      </c>
      <c r="B1267" t="inlineStr">
        <is>
          <t>MTR-IOS-1266</t>
        </is>
      </c>
      <c r="C1267" t="inlineStr">
        <is>
          <t>iPhone</t>
        </is>
      </c>
      <c r="D1267" t="inlineStr">
        <is>
          <t>Business</t>
        </is>
      </c>
      <c r="E1267" t="inlineStr">
        <is>
          <t>Business</t>
        </is>
      </c>
      <c r="F1267" t="inlineStr">
        <is>
          <t>Team Operations</t>
        </is>
      </c>
      <c r="G1267" t="inlineStr">
        <is>
          <t>Contractor</t>
        </is>
      </c>
      <c r="H1267" t="inlineStr">
        <is>
          <t>Business &gt; Team Operations &gt; Quick Add &gt; Contractor</t>
        </is>
      </c>
      <c r="I1267" s="18" t="n">
        <v>45881.84</v>
      </c>
      <c r="J1267" t="inlineStr">
        <is>
          <t>Created MTR-IOS-1266 and correlation note visible in Activity/Pulse</t>
        </is>
      </c>
      <c r="K1267" t="inlineStr">
        <is>
          <t>NOT_RUN</t>
        </is>
      </c>
      <c r="P1267" t="n">
        <v>0</v>
      </c>
      <c r="Q1267" t="n">
        <v>1266</v>
      </c>
    </row>
    <row r="1268">
      <c r="A1268" t="n">
        <v>1267</v>
      </c>
      <c r="B1268" t="inlineStr">
        <is>
          <t>MTR-IOS-1267</t>
        </is>
      </c>
      <c r="C1268" t="inlineStr">
        <is>
          <t>iPhone</t>
        </is>
      </c>
      <c r="D1268" t="inlineStr">
        <is>
          <t>Personal</t>
        </is>
      </c>
      <c r="E1268" t="inlineStr">
        <is>
          <t>Personal</t>
        </is>
      </c>
      <c r="F1268" t="inlineStr">
        <is>
          <t>Future Building</t>
        </is>
      </c>
      <c r="G1268" t="inlineStr">
        <is>
          <t>Emergency Fund</t>
        </is>
      </c>
      <c r="H1268" t="inlineStr">
        <is>
          <t>Personal &gt; Future Building &gt; Quick Add &gt; Emergency Fund</t>
        </is>
      </c>
      <c r="I1268" s="18" t="n">
        <v>6172.04</v>
      </c>
      <c r="J1268" t="inlineStr">
        <is>
          <t>Created MTR-IOS-1267 and correlation note visible in Activity/Pulse</t>
        </is>
      </c>
      <c r="K1268" t="inlineStr">
        <is>
          <t>NOT_RUN</t>
        </is>
      </c>
      <c r="P1268" t="n">
        <v>0</v>
      </c>
      <c r="Q1268" t="n">
        <v>1267</v>
      </c>
    </row>
    <row r="1269">
      <c r="A1269" t="n">
        <v>1268</v>
      </c>
      <c r="B1269" t="inlineStr">
        <is>
          <t>MTR-IOS-1268</t>
        </is>
      </c>
      <c r="C1269" t="inlineStr">
        <is>
          <t>iPhone</t>
        </is>
      </c>
      <c r="D1269" t="inlineStr">
        <is>
          <t>Group</t>
        </is>
      </c>
      <c r="E1269" t="inlineStr">
        <is>
          <t>Shared Experience</t>
        </is>
      </c>
      <c r="F1269" t="inlineStr">
        <is>
          <t>Office Outing</t>
        </is>
      </c>
      <c r="G1269" t="inlineStr">
        <is>
          <t>Activities</t>
        </is>
      </c>
      <c r="H1269" t="inlineStr">
        <is>
          <t>Group &gt; Office Outing &gt; Quick Add &gt; Activities</t>
        </is>
      </c>
      <c r="I1269" s="18" t="n">
        <v>23579.49</v>
      </c>
      <c r="J1269" t="inlineStr">
        <is>
          <t>Created MTR-IOS-1268 and correlation note visible in Activity/Pulse</t>
        </is>
      </c>
      <c r="K1269" t="inlineStr">
        <is>
          <t>NOT_RUN</t>
        </is>
      </c>
      <c r="P1269" t="n">
        <v>0</v>
      </c>
      <c r="Q1269" t="n">
        <v>1268</v>
      </c>
    </row>
    <row r="1270">
      <c r="A1270" t="n">
        <v>1269</v>
      </c>
      <c r="B1270" t="inlineStr">
        <is>
          <t>MTR-IOS-1269</t>
        </is>
      </c>
      <c r="C1270" t="inlineStr">
        <is>
          <t>iPhone</t>
        </is>
      </c>
      <c r="D1270" t="inlineStr">
        <is>
          <t>Business</t>
        </is>
      </c>
      <c r="E1270" t="inlineStr">
        <is>
          <t>Business</t>
        </is>
      </c>
      <c r="F1270" t="inlineStr">
        <is>
          <t>Team Operations</t>
        </is>
      </c>
      <c r="G1270" t="inlineStr">
        <is>
          <t>Hiring</t>
        </is>
      </c>
      <c r="H1270" t="inlineStr">
        <is>
          <t>Business &gt; Team Operations &gt; Quick Add &gt; Hiring</t>
        </is>
      </c>
      <c r="I1270" s="18" t="n">
        <v>1780.13</v>
      </c>
      <c r="J1270" t="inlineStr">
        <is>
          <t>Created MTR-IOS-1269 and correlation note visible in Activity/Pulse</t>
        </is>
      </c>
      <c r="K1270" t="inlineStr">
        <is>
          <t>NOT_RUN</t>
        </is>
      </c>
      <c r="P1270" t="n">
        <v>0</v>
      </c>
      <c r="Q1270" t="n">
        <v>1269</v>
      </c>
    </row>
    <row r="1271">
      <c r="A1271" t="n">
        <v>1270</v>
      </c>
      <c r="B1271" t="inlineStr">
        <is>
          <t>MTR-IOS-1270</t>
        </is>
      </c>
      <c r="C1271" t="inlineStr">
        <is>
          <t>iPhone</t>
        </is>
      </c>
      <c r="D1271" t="inlineStr">
        <is>
          <t>Personal</t>
        </is>
      </c>
      <c r="E1271" t="inlineStr">
        <is>
          <t>Personal</t>
        </is>
      </c>
      <c r="F1271" t="inlineStr">
        <is>
          <t>Future Building</t>
        </is>
      </c>
      <c r="G1271" t="inlineStr">
        <is>
          <t>Investments</t>
        </is>
      </c>
      <c r="H1271" t="inlineStr">
        <is>
          <t>Personal &gt; Future Building &gt; Quick Add &gt; Investments</t>
        </is>
      </c>
      <c r="I1271" s="18" t="n">
        <v>438.73</v>
      </c>
      <c r="J1271" t="inlineStr">
        <is>
          <t>Created MTR-IOS-1270 and correlation note visible in Activity/Pulse</t>
        </is>
      </c>
      <c r="K1271" t="inlineStr">
        <is>
          <t>NOT_RUN</t>
        </is>
      </c>
      <c r="P1271" t="n">
        <v>0</v>
      </c>
      <c r="Q1271" t="n">
        <v>1270</v>
      </c>
    </row>
    <row r="1272">
      <c r="A1272" t="n">
        <v>1271</v>
      </c>
      <c r="B1272" t="inlineStr">
        <is>
          <t>MTR-IOS-1271</t>
        </is>
      </c>
      <c r="C1272" t="inlineStr">
        <is>
          <t>iPhone</t>
        </is>
      </c>
      <c r="D1272" t="inlineStr">
        <is>
          <t>Group</t>
        </is>
      </c>
      <c r="E1272" t="inlineStr">
        <is>
          <t>Shared Experience</t>
        </is>
      </c>
      <c r="F1272" t="inlineStr">
        <is>
          <t>Office Outing</t>
        </is>
      </c>
      <c r="G1272" t="inlineStr">
        <is>
          <t>Venue</t>
        </is>
      </c>
      <c r="H1272" t="inlineStr">
        <is>
          <t>Group &gt; Office Outing &gt; Quick Add &gt; Venue</t>
        </is>
      </c>
      <c r="I1272" s="18" t="n">
        <v>3440.83</v>
      </c>
      <c r="J1272" t="inlineStr">
        <is>
          <t>Created MTR-IOS-1271 and correlation note visible in Activity/Pulse</t>
        </is>
      </c>
      <c r="K1272" t="inlineStr">
        <is>
          <t>NOT_RUN</t>
        </is>
      </c>
      <c r="P1272" t="n">
        <v>0</v>
      </c>
      <c r="Q1272" t="n">
        <v>1271</v>
      </c>
    </row>
    <row r="1273">
      <c r="A1273" t="n">
        <v>1272</v>
      </c>
      <c r="B1273" t="inlineStr">
        <is>
          <t>MTR-IOS-1272</t>
        </is>
      </c>
      <c r="C1273" t="inlineStr">
        <is>
          <t>iPhone</t>
        </is>
      </c>
      <c r="D1273" t="inlineStr">
        <is>
          <t>Business</t>
        </is>
      </c>
      <c r="E1273" t="inlineStr">
        <is>
          <t>Business</t>
        </is>
      </c>
      <c r="F1273" t="inlineStr">
        <is>
          <t>Team Operations</t>
        </is>
      </c>
      <c r="G1273" t="inlineStr">
        <is>
          <t>Team Meal</t>
        </is>
      </c>
      <c r="H1273" t="inlineStr">
        <is>
          <t>Business &gt; Team Operations &gt; Quick Add &gt; Team Meal</t>
        </is>
      </c>
      <c r="I1273" s="18" t="n">
        <v>33965.31</v>
      </c>
      <c r="J1273" t="inlineStr">
        <is>
          <t>Created MTR-IOS-1272 and correlation note visible in Activity/Pulse</t>
        </is>
      </c>
      <c r="K1273" t="inlineStr">
        <is>
          <t>NOT_RUN</t>
        </is>
      </c>
      <c r="P1273" t="n">
        <v>0</v>
      </c>
      <c r="Q1273" t="n">
        <v>1272</v>
      </c>
    </row>
    <row r="1274">
      <c r="A1274" t="n">
        <v>1273</v>
      </c>
      <c r="B1274" t="inlineStr">
        <is>
          <t>MTR-IOS-1273</t>
        </is>
      </c>
      <c r="C1274" t="inlineStr">
        <is>
          <t>iPhone</t>
        </is>
      </c>
      <c r="D1274" t="inlineStr">
        <is>
          <t>Personal</t>
        </is>
      </c>
      <c r="E1274" t="inlineStr">
        <is>
          <t>Personal</t>
        </is>
      </c>
      <c r="F1274" t="inlineStr">
        <is>
          <t>Future Building</t>
        </is>
      </c>
      <c r="G1274" t="inlineStr">
        <is>
          <t>Education</t>
        </is>
      </c>
      <c r="H1274" t="inlineStr">
        <is>
          <t>Personal &gt; Future Building &gt; Quick Add &gt; Education</t>
        </is>
      </c>
      <c r="I1274" s="18" t="n">
        <v>13965.37</v>
      </c>
      <c r="J1274" t="inlineStr">
        <is>
          <t>Created MTR-IOS-1273 and correlation note visible in Activity/Pulse</t>
        </is>
      </c>
      <c r="K1274" t="inlineStr">
        <is>
          <t>NOT_RUN</t>
        </is>
      </c>
      <c r="P1274" t="n">
        <v>0</v>
      </c>
      <c r="Q1274" t="n">
        <v>1273</v>
      </c>
    </row>
    <row r="1275">
      <c r="A1275" t="n">
        <v>1274</v>
      </c>
      <c r="B1275" t="inlineStr">
        <is>
          <t>MTR-IOS-1274</t>
        </is>
      </c>
      <c r="C1275" t="inlineStr">
        <is>
          <t>iPhone</t>
        </is>
      </c>
      <c r="D1275" t="inlineStr">
        <is>
          <t>Group</t>
        </is>
      </c>
      <c r="E1275" t="inlineStr">
        <is>
          <t>Shared Experience</t>
        </is>
      </c>
      <c r="F1275" t="inlineStr">
        <is>
          <t>Office Outing</t>
        </is>
      </c>
      <c r="G1275" t="inlineStr">
        <is>
          <t>Other</t>
        </is>
      </c>
      <c r="H1275" t="inlineStr">
        <is>
          <t>Group &gt; Office Outing &gt; Quick Add &gt; Other</t>
        </is>
      </c>
      <c r="I1275" s="18" t="n">
        <v>19516.35</v>
      </c>
      <c r="J1275" t="inlineStr">
        <is>
          <t>Created MTR-IOS-1274 and correlation note visible in Activity/Pulse</t>
        </is>
      </c>
      <c r="K1275" t="inlineStr">
        <is>
          <t>NOT_RUN</t>
        </is>
      </c>
      <c r="P1275" t="n">
        <v>0</v>
      </c>
      <c r="Q1275" t="n">
        <v>1274</v>
      </c>
    </row>
    <row r="1276">
      <c r="A1276" t="n">
        <v>1275</v>
      </c>
      <c r="B1276" t="inlineStr">
        <is>
          <t>MTR-IOS-1275</t>
        </is>
      </c>
      <c r="C1276" t="inlineStr">
        <is>
          <t>iPhone</t>
        </is>
      </c>
      <c r="D1276" t="inlineStr">
        <is>
          <t>Business</t>
        </is>
      </c>
      <c r="E1276" t="inlineStr">
        <is>
          <t>Business</t>
        </is>
      </c>
      <c r="F1276" t="inlineStr">
        <is>
          <t>Team Operations</t>
        </is>
      </c>
      <c r="G1276" t="inlineStr">
        <is>
          <t>Travel</t>
        </is>
      </c>
      <c r="H1276" t="inlineStr">
        <is>
          <t>Business &gt; Team Operations &gt; Quick Add &gt; Travel</t>
        </is>
      </c>
      <c r="I1276" s="18" t="n">
        <v>62238.13</v>
      </c>
      <c r="J1276" t="inlineStr">
        <is>
          <t>Created MTR-IOS-1275 and correlation note visible in Activity/Pulse</t>
        </is>
      </c>
      <c r="K1276" t="inlineStr">
        <is>
          <t>NOT_RUN</t>
        </is>
      </c>
      <c r="P1276" t="n">
        <v>0</v>
      </c>
      <c r="Q1276" t="n">
        <v>1275</v>
      </c>
    </row>
    <row r="1277">
      <c r="A1277" t="n">
        <v>1276</v>
      </c>
      <c r="B1277" t="inlineStr">
        <is>
          <t>MTR-IOS-1276</t>
        </is>
      </c>
      <c r="C1277" t="inlineStr">
        <is>
          <t>iPhone</t>
        </is>
      </c>
      <c r="D1277" t="inlineStr">
        <is>
          <t>Personal</t>
        </is>
      </c>
      <c r="E1277" t="inlineStr">
        <is>
          <t>Personal</t>
        </is>
      </c>
      <c r="F1277" t="inlineStr">
        <is>
          <t>Future Building</t>
        </is>
      </c>
      <c r="G1277" t="inlineStr">
        <is>
          <t>Goal Contribution</t>
        </is>
      </c>
      <c r="H1277" t="inlineStr">
        <is>
          <t>Personal &gt; Future Building &gt; Quick Add &gt; Goal Contribution</t>
        </is>
      </c>
      <c r="I1277" s="18" t="n">
        <v>13369.65</v>
      </c>
      <c r="J1277" t="inlineStr">
        <is>
          <t>Created MTR-IOS-1276 and correlation note visible in Activity/Pulse</t>
        </is>
      </c>
      <c r="K1277" t="inlineStr">
        <is>
          <t>NOT_RUN</t>
        </is>
      </c>
      <c r="P1277" t="n">
        <v>0</v>
      </c>
      <c r="Q1277" t="n">
        <v>1276</v>
      </c>
    </row>
    <row r="1278">
      <c r="A1278" t="n">
        <v>1277</v>
      </c>
      <c r="B1278" t="inlineStr">
        <is>
          <t>MTR-IOS-1277</t>
        </is>
      </c>
      <c r="C1278" t="inlineStr">
        <is>
          <t>iPhone</t>
        </is>
      </c>
      <c r="D1278" t="inlineStr">
        <is>
          <t>Group</t>
        </is>
      </c>
      <c r="E1278" t="inlineStr">
        <is>
          <t>Shared Experience</t>
        </is>
      </c>
      <c r="F1278" t="inlineStr">
        <is>
          <t>House Party</t>
        </is>
      </c>
      <c r="G1278" t="inlineStr">
        <is>
          <t>Food</t>
        </is>
      </c>
      <c r="H1278" t="inlineStr">
        <is>
          <t>Group &gt; House Party &gt; Quick Add &gt; Food</t>
        </is>
      </c>
      <c r="I1278" s="18" t="n">
        <v>15207.54</v>
      </c>
      <c r="J1278" t="inlineStr">
        <is>
          <t>Created MTR-IOS-1277 and correlation note visible in Activity/Pulse</t>
        </is>
      </c>
      <c r="K1278" t="inlineStr">
        <is>
          <t>NOT_RUN</t>
        </is>
      </c>
      <c r="P1278" t="n">
        <v>0</v>
      </c>
      <c r="Q1278" t="n">
        <v>1277</v>
      </c>
    </row>
    <row r="1279">
      <c r="A1279" t="n">
        <v>1278</v>
      </c>
      <c r="B1279" t="inlineStr">
        <is>
          <t>MTR-IOS-1278</t>
        </is>
      </c>
      <c r="C1279" t="inlineStr">
        <is>
          <t>iPhone</t>
        </is>
      </c>
      <c r="D1279" t="inlineStr">
        <is>
          <t>Business</t>
        </is>
      </c>
      <c r="E1279" t="inlineStr">
        <is>
          <t>Business</t>
        </is>
      </c>
      <c r="F1279" t="inlineStr">
        <is>
          <t>Team Operations</t>
        </is>
      </c>
      <c r="G1279" t="inlineStr">
        <is>
          <t>Training</t>
        </is>
      </c>
      <c r="H1279" t="inlineStr">
        <is>
          <t>Business &gt; Team Operations &gt; Quick Add &gt; Training</t>
        </is>
      </c>
      <c r="I1279" s="18" t="n">
        <v>125188.9</v>
      </c>
      <c r="J1279" t="inlineStr">
        <is>
          <t>Created MTR-IOS-1278 and correlation note visible in Activity/Pulse</t>
        </is>
      </c>
      <c r="K1279" t="inlineStr">
        <is>
          <t>NOT_RUN</t>
        </is>
      </c>
      <c r="P1279" t="n">
        <v>0</v>
      </c>
      <c r="Q1279" t="n">
        <v>1278</v>
      </c>
    </row>
    <row r="1280">
      <c r="A1280" t="n">
        <v>1279</v>
      </c>
      <c r="B1280" t="inlineStr">
        <is>
          <t>MTR-IOS-1279</t>
        </is>
      </c>
      <c r="C1280" t="inlineStr">
        <is>
          <t>iPhone</t>
        </is>
      </c>
      <c r="D1280" t="inlineStr">
        <is>
          <t>Personal</t>
        </is>
      </c>
      <c r="E1280" t="inlineStr">
        <is>
          <t>Personal</t>
        </is>
      </c>
      <c r="F1280" t="inlineStr">
        <is>
          <t>Lifestyle</t>
        </is>
      </c>
      <c r="G1280" t="inlineStr">
        <is>
          <t>Dining</t>
        </is>
      </c>
      <c r="H1280" t="inlineStr">
        <is>
          <t>Personal &gt; Lifestyle &gt; Quick Add &gt; Dining</t>
        </is>
      </c>
      <c r="I1280" s="18" t="n">
        <v>6942.02</v>
      </c>
      <c r="J1280" t="inlineStr">
        <is>
          <t>Created MTR-IOS-1279 and correlation note visible in Activity/Pulse</t>
        </is>
      </c>
      <c r="K1280" t="inlineStr">
        <is>
          <t>NOT_RUN</t>
        </is>
      </c>
      <c r="P1280" t="n">
        <v>0</v>
      </c>
      <c r="Q1280" t="n">
        <v>1279</v>
      </c>
    </row>
    <row r="1281">
      <c r="A1281" t="n">
        <v>1280</v>
      </c>
      <c r="B1281" t="inlineStr">
        <is>
          <t>MTR-IOS-1280</t>
        </is>
      </c>
      <c r="C1281" t="inlineStr">
        <is>
          <t>iPhone</t>
        </is>
      </c>
      <c r="D1281" t="inlineStr">
        <is>
          <t>Group</t>
        </is>
      </c>
      <c r="E1281" t="inlineStr">
        <is>
          <t>Shared Experience</t>
        </is>
      </c>
      <c r="F1281" t="inlineStr">
        <is>
          <t>House Party</t>
        </is>
      </c>
      <c r="G1281" t="inlineStr">
        <is>
          <t>Drinks</t>
        </is>
      </c>
      <c r="H1281" t="inlineStr">
        <is>
          <t>Group &gt; House Party &gt; Quick Add &gt; Drinks</t>
        </is>
      </c>
      <c r="I1281" s="18" t="n">
        <v>22153.48</v>
      </c>
      <c r="J1281" t="inlineStr">
        <is>
          <t>Created MTR-IOS-1280 and correlation note visible in Activity/Pulse</t>
        </is>
      </c>
      <c r="K1281" t="inlineStr">
        <is>
          <t>NOT_RUN</t>
        </is>
      </c>
      <c r="P1281" t="n">
        <v>0</v>
      </c>
      <c r="Q1281" t="n">
        <v>1280</v>
      </c>
    </row>
    <row r="1282">
      <c r="A1282" t="n">
        <v>1281</v>
      </c>
      <c r="B1282" t="inlineStr">
        <is>
          <t>MTR-IOS-1281</t>
        </is>
      </c>
      <c r="C1282" t="inlineStr">
        <is>
          <t>iPhone</t>
        </is>
      </c>
      <c r="D1282" t="inlineStr">
        <is>
          <t>Business</t>
        </is>
      </c>
      <c r="E1282" t="inlineStr">
        <is>
          <t>Business</t>
        </is>
      </c>
      <c r="F1282" t="inlineStr">
        <is>
          <t>Team Operations</t>
        </is>
      </c>
      <c r="G1282" t="inlineStr">
        <is>
          <t>Tools</t>
        </is>
      </c>
      <c r="H1282" t="inlineStr">
        <is>
          <t>Business &gt; Team Operations &gt; Quick Add &gt; Tools</t>
        </is>
      </c>
      <c r="I1282" s="18" t="n">
        <v>23668.83</v>
      </c>
      <c r="J1282" t="inlineStr">
        <is>
          <t>Created MTR-IOS-1281 and correlation note visible in Activity/Pulse</t>
        </is>
      </c>
      <c r="K1282" t="inlineStr">
        <is>
          <t>NOT_RUN</t>
        </is>
      </c>
      <c r="P1282" t="n">
        <v>0</v>
      </c>
      <c r="Q1282" t="n">
        <v>1281</v>
      </c>
    </row>
    <row r="1283">
      <c r="A1283" t="n">
        <v>1282</v>
      </c>
      <c r="B1283" t="inlineStr">
        <is>
          <t>MTR-IOS-1282</t>
        </is>
      </c>
      <c r="C1283" t="inlineStr">
        <is>
          <t>iPhone</t>
        </is>
      </c>
      <c r="D1283" t="inlineStr">
        <is>
          <t>Personal</t>
        </is>
      </c>
      <c r="E1283" t="inlineStr">
        <is>
          <t>Personal</t>
        </is>
      </c>
      <c r="F1283" t="inlineStr">
        <is>
          <t>Lifestyle</t>
        </is>
      </c>
      <c r="G1283" t="inlineStr">
        <is>
          <t>Shopping</t>
        </is>
      </c>
      <c r="H1283" t="inlineStr">
        <is>
          <t>Personal &gt; Lifestyle &gt; Quick Add &gt; Shopping</t>
        </is>
      </c>
      <c r="I1283" s="18" t="n">
        <v>11264.2</v>
      </c>
      <c r="J1283" t="inlineStr">
        <is>
          <t>Created MTR-IOS-1282 and correlation note visible in Activity/Pulse</t>
        </is>
      </c>
      <c r="K1283" t="inlineStr">
        <is>
          <t>NOT_RUN</t>
        </is>
      </c>
      <c r="P1283" t="n">
        <v>0</v>
      </c>
      <c r="Q1283" t="n">
        <v>1282</v>
      </c>
    </row>
    <row r="1284">
      <c r="A1284" t="n">
        <v>1283</v>
      </c>
      <c r="B1284" t="inlineStr">
        <is>
          <t>MTR-IOS-1283</t>
        </is>
      </c>
      <c r="C1284" t="inlineStr">
        <is>
          <t>iPhone</t>
        </is>
      </c>
      <c r="D1284" t="inlineStr">
        <is>
          <t>Group</t>
        </is>
      </c>
      <c r="E1284" t="inlineStr">
        <is>
          <t>Shared Experience</t>
        </is>
      </c>
      <c r="F1284" t="inlineStr">
        <is>
          <t>House Party</t>
        </is>
      </c>
      <c r="G1284" t="inlineStr">
        <is>
          <t>Decor</t>
        </is>
      </c>
      <c r="H1284" t="inlineStr">
        <is>
          <t>Group &gt; House Party &gt; Quick Add &gt; Decor</t>
        </is>
      </c>
      <c r="I1284" s="18" t="n">
        <v>3023.49</v>
      </c>
      <c r="J1284" t="inlineStr">
        <is>
          <t>Created MTR-IOS-1283 and correlation note visible in Activity/Pulse</t>
        </is>
      </c>
      <c r="K1284" t="inlineStr">
        <is>
          <t>NOT_RUN</t>
        </is>
      </c>
      <c r="P1284" t="n">
        <v>0</v>
      </c>
      <c r="Q1284" t="n">
        <v>1283</v>
      </c>
    </row>
    <row r="1285">
      <c r="A1285" t="n">
        <v>1284</v>
      </c>
      <c r="B1285" t="inlineStr">
        <is>
          <t>MTR-IOS-1284</t>
        </is>
      </c>
      <c r="C1285" t="inlineStr">
        <is>
          <t>iPhone</t>
        </is>
      </c>
      <c r="D1285" t="inlineStr">
        <is>
          <t>Business</t>
        </is>
      </c>
      <c r="E1285" t="inlineStr">
        <is>
          <t>Business</t>
        </is>
      </c>
      <c r="F1285" t="inlineStr">
        <is>
          <t>Business Runway</t>
        </is>
      </c>
      <c r="G1285" t="inlineStr">
        <is>
          <t>Funding</t>
        </is>
      </c>
      <c r="H1285" t="inlineStr">
        <is>
          <t>Business &gt; Business Runway &gt; Quick Add &gt; Funding</t>
        </is>
      </c>
      <c r="I1285" s="18" t="n">
        <v>29104.39</v>
      </c>
      <c r="J1285" t="inlineStr">
        <is>
          <t>Created MTR-IOS-1284 and correlation note visible in Activity/Pulse</t>
        </is>
      </c>
      <c r="K1285" t="inlineStr">
        <is>
          <t>NOT_RUN</t>
        </is>
      </c>
      <c r="P1285" t="n">
        <v>0</v>
      </c>
      <c r="Q1285" t="n">
        <v>1284</v>
      </c>
    </row>
    <row r="1286">
      <c r="A1286" t="n">
        <v>1285</v>
      </c>
      <c r="B1286" t="inlineStr">
        <is>
          <t>MTR-IOS-1285</t>
        </is>
      </c>
      <c r="C1286" t="inlineStr">
        <is>
          <t>iPhone</t>
        </is>
      </c>
      <c r="D1286" t="inlineStr">
        <is>
          <t>Personal</t>
        </is>
      </c>
      <c r="E1286" t="inlineStr">
        <is>
          <t>Personal</t>
        </is>
      </c>
      <c r="F1286" t="inlineStr">
        <is>
          <t>Lifestyle</t>
        </is>
      </c>
      <c r="G1286" t="inlineStr">
        <is>
          <t>Entertainment</t>
        </is>
      </c>
      <c r="H1286" t="inlineStr">
        <is>
          <t>Personal &gt; Lifestyle &gt; Quick Add &gt; Entertainment</t>
        </is>
      </c>
      <c r="I1286" s="18" t="n">
        <v>17663.28</v>
      </c>
      <c r="J1286" t="inlineStr">
        <is>
          <t>Created MTR-IOS-1285 and correlation note visible in Activity/Pulse</t>
        </is>
      </c>
      <c r="K1286" t="inlineStr">
        <is>
          <t>NOT_RUN</t>
        </is>
      </c>
      <c r="P1286" t="n">
        <v>0</v>
      </c>
      <c r="Q1286" t="n">
        <v>1285</v>
      </c>
    </row>
    <row r="1287">
      <c r="A1287" t="n">
        <v>1286</v>
      </c>
      <c r="B1287" t="inlineStr">
        <is>
          <t>MTR-IOS-1286</t>
        </is>
      </c>
      <c r="C1287" t="inlineStr">
        <is>
          <t>iPhone</t>
        </is>
      </c>
      <c r="D1287" t="inlineStr">
        <is>
          <t>Group</t>
        </is>
      </c>
      <c r="E1287" t="inlineStr">
        <is>
          <t>Shared Experience</t>
        </is>
      </c>
      <c r="F1287" t="inlineStr">
        <is>
          <t>House Party</t>
        </is>
      </c>
      <c r="G1287" t="inlineStr">
        <is>
          <t>Supplies</t>
        </is>
      </c>
      <c r="H1287" t="inlineStr">
        <is>
          <t>Group &gt; House Party &gt; Quick Add &gt; Supplies</t>
        </is>
      </c>
      <c r="I1287" s="18" t="n">
        <v>3255.2</v>
      </c>
      <c r="J1287" t="inlineStr">
        <is>
          <t>Created MTR-IOS-1286 and correlation note visible in Activity/Pulse</t>
        </is>
      </c>
      <c r="K1287" t="inlineStr">
        <is>
          <t>NOT_RUN</t>
        </is>
      </c>
      <c r="P1287" t="n">
        <v>0</v>
      </c>
      <c r="Q1287" t="n">
        <v>1286</v>
      </c>
    </row>
    <row r="1288">
      <c r="A1288" t="n">
        <v>1287</v>
      </c>
      <c r="B1288" t="inlineStr">
        <is>
          <t>MTR-IOS-1287</t>
        </is>
      </c>
      <c r="C1288" t="inlineStr">
        <is>
          <t>iPhone</t>
        </is>
      </c>
      <c r="D1288" t="inlineStr">
        <is>
          <t>Business</t>
        </is>
      </c>
      <c r="E1288" t="inlineStr">
        <is>
          <t>Business</t>
        </is>
      </c>
      <c r="F1288" t="inlineStr">
        <is>
          <t>Business Runway</t>
        </is>
      </c>
      <c r="G1288" t="inlineStr">
        <is>
          <t>Revenue</t>
        </is>
      </c>
      <c r="H1288" t="inlineStr">
        <is>
          <t>Business &gt; Business Runway &gt; Quick Add &gt; Revenue</t>
        </is>
      </c>
      <c r="I1288" s="18" t="n">
        <v>84116.81</v>
      </c>
      <c r="J1288" t="inlineStr">
        <is>
          <t>Created MTR-IOS-1287 and correlation note visible in Activity/Pulse</t>
        </is>
      </c>
      <c r="K1288" t="inlineStr">
        <is>
          <t>NOT_RUN</t>
        </is>
      </c>
      <c r="P1288" t="n">
        <v>0</v>
      </c>
      <c r="Q1288" t="n">
        <v>1287</v>
      </c>
    </row>
    <row r="1289">
      <c r="A1289" t="n">
        <v>1288</v>
      </c>
      <c r="B1289" t="inlineStr">
        <is>
          <t>MTR-IOS-1288</t>
        </is>
      </c>
      <c r="C1289" t="inlineStr">
        <is>
          <t>iPhone</t>
        </is>
      </c>
      <c r="D1289" t="inlineStr">
        <is>
          <t>Personal</t>
        </is>
      </c>
      <c r="E1289" t="inlineStr">
        <is>
          <t>Personal</t>
        </is>
      </c>
      <c r="F1289" t="inlineStr">
        <is>
          <t>Lifestyle</t>
        </is>
      </c>
      <c r="G1289" t="inlineStr">
        <is>
          <t>Travel</t>
        </is>
      </c>
      <c r="H1289" t="inlineStr">
        <is>
          <t>Personal &gt; Lifestyle &gt; Quick Add &gt; Travel</t>
        </is>
      </c>
      <c r="I1289" s="18" t="n">
        <v>6574.43</v>
      </c>
      <c r="J1289" t="inlineStr">
        <is>
          <t>Created MTR-IOS-1288 and correlation note visible in Activity/Pulse</t>
        </is>
      </c>
      <c r="K1289" t="inlineStr">
        <is>
          <t>NOT_RUN</t>
        </is>
      </c>
      <c r="P1289" t="n">
        <v>0</v>
      </c>
      <c r="Q1289" t="n">
        <v>1288</v>
      </c>
    </row>
    <row r="1290">
      <c r="A1290" t="n">
        <v>1289</v>
      </c>
      <c r="B1290" t="inlineStr">
        <is>
          <t>MTR-IOS-1289</t>
        </is>
      </c>
      <c r="C1290" t="inlineStr">
        <is>
          <t>iPhone</t>
        </is>
      </c>
      <c r="D1290" t="inlineStr">
        <is>
          <t>Group</t>
        </is>
      </c>
      <c r="E1290" t="inlineStr">
        <is>
          <t>Shared Experience</t>
        </is>
      </c>
      <c r="F1290" t="inlineStr">
        <is>
          <t>House Party</t>
        </is>
      </c>
      <c r="G1290" t="inlineStr">
        <is>
          <t>Other</t>
        </is>
      </c>
      <c r="H1290" t="inlineStr">
        <is>
          <t>Group &gt; House Party &gt; Quick Add &gt; Other</t>
        </is>
      </c>
      <c r="I1290" s="18" t="n">
        <v>3122.31</v>
      </c>
      <c r="J1290" t="inlineStr">
        <is>
          <t>Created MTR-IOS-1289 and correlation note visible in Activity/Pulse</t>
        </is>
      </c>
      <c r="K1290" t="inlineStr">
        <is>
          <t>NOT_RUN</t>
        </is>
      </c>
      <c r="P1290" t="n">
        <v>0</v>
      </c>
      <c r="Q1290" t="n">
        <v>1289</v>
      </c>
    </row>
    <row r="1291">
      <c r="A1291" t="n">
        <v>1290</v>
      </c>
      <c r="B1291" t="inlineStr">
        <is>
          <t>MTR-IOS-1290</t>
        </is>
      </c>
      <c r="C1291" t="inlineStr">
        <is>
          <t>iPhone</t>
        </is>
      </c>
      <c r="D1291" t="inlineStr">
        <is>
          <t>Business</t>
        </is>
      </c>
      <c r="E1291" t="inlineStr">
        <is>
          <t>Business</t>
        </is>
      </c>
      <c r="F1291" t="inlineStr">
        <is>
          <t>Business Runway</t>
        </is>
      </c>
      <c r="G1291" t="inlineStr">
        <is>
          <t>Burn</t>
        </is>
      </c>
      <c r="H1291" t="inlineStr">
        <is>
          <t>Business &gt; Business Runway &gt; Quick Add &gt; Burn</t>
        </is>
      </c>
      <c r="I1291" s="18" t="n">
        <v>164810.85</v>
      </c>
      <c r="J1291" t="inlineStr">
        <is>
          <t>Created MTR-IOS-1290 and correlation note visible in Activity/Pulse</t>
        </is>
      </c>
      <c r="K1291" t="inlineStr">
        <is>
          <t>NOT_RUN</t>
        </is>
      </c>
      <c r="P1291" t="n">
        <v>0</v>
      </c>
      <c r="Q1291" t="n">
        <v>1290</v>
      </c>
    </row>
    <row r="1292">
      <c r="A1292" t="n">
        <v>1291</v>
      </c>
      <c r="B1292" t="inlineStr">
        <is>
          <t>MTR-IOS-1291</t>
        </is>
      </c>
      <c r="C1292" t="inlineStr">
        <is>
          <t>iPhone</t>
        </is>
      </c>
      <c r="D1292" t="inlineStr">
        <is>
          <t>Personal</t>
        </is>
      </c>
      <c r="E1292" t="inlineStr">
        <is>
          <t>Personal</t>
        </is>
      </c>
      <c r="F1292" t="inlineStr">
        <is>
          <t>Lifestyle</t>
        </is>
      </c>
      <c r="G1292" t="inlineStr">
        <is>
          <t>Fitness</t>
        </is>
      </c>
      <c r="H1292" t="inlineStr">
        <is>
          <t>Personal &gt; Lifestyle &gt; Quick Add &gt; Fitness</t>
        </is>
      </c>
      <c r="I1292" s="18" t="n">
        <v>11638.06</v>
      </c>
      <c r="J1292" t="inlineStr">
        <is>
          <t>Created MTR-IOS-1291 and correlation note visible in Activity/Pulse</t>
        </is>
      </c>
      <c r="K1292" t="inlineStr">
        <is>
          <t>NOT_RUN</t>
        </is>
      </c>
      <c r="P1292" t="n">
        <v>0</v>
      </c>
      <c r="Q1292" t="n">
        <v>1291</v>
      </c>
    </row>
    <row r="1293">
      <c r="A1293" t="n">
        <v>1292</v>
      </c>
      <c r="B1293" t="inlineStr">
        <is>
          <t>MTR-IOS-1292</t>
        </is>
      </c>
      <c r="C1293" t="inlineStr">
        <is>
          <t>iPhone</t>
        </is>
      </c>
      <c r="D1293" t="inlineStr">
        <is>
          <t>Group</t>
        </is>
      </c>
      <c r="E1293" t="inlineStr">
        <is>
          <t>Shared Purchase</t>
        </is>
      </c>
      <c r="F1293" t="inlineStr">
        <is>
          <t>Gift Pool</t>
        </is>
      </c>
      <c r="G1293" t="inlineStr">
        <is>
          <t>Contribution</t>
        </is>
      </c>
      <c r="H1293" t="inlineStr">
        <is>
          <t>Group &gt; Gift Pool &gt; Quick Add &gt; Contribution</t>
        </is>
      </c>
      <c r="I1293" s="18" t="n">
        <v>13605.46</v>
      </c>
      <c r="J1293" t="inlineStr">
        <is>
          <t>Created MTR-IOS-1292 and correlation note visible in Activity/Pulse</t>
        </is>
      </c>
      <c r="K1293" t="inlineStr">
        <is>
          <t>NOT_RUN</t>
        </is>
      </c>
      <c r="P1293" t="n">
        <v>0</v>
      </c>
      <c r="Q1293" t="n">
        <v>1292</v>
      </c>
    </row>
    <row r="1294">
      <c r="A1294" t="n">
        <v>1293</v>
      </c>
      <c r="B1294" t="inlineStr">
        <is>
          <t>MTR-IOS-1293</t>
        </is>
      </c>
      <c r="C1294" t="inlineStr">
        <is>
          <t>iPhone</t>
        </is>
      </c>
      <c r="D1294" t="inlineStr">
        <is>
          <t>Business</t>
        </is>
      </c>
      <c r="E1294" t="inlineStr">
        <is>
          <t>Business</t>
        </is>
      </c>
      <c r="F1294" t="inlineStr">
        <is>
          <t>Business Runway</t>
        </is>
      </c>
      <c r="G1294" t="inlineStr">
        <is>
          <t>Reserve</t>
        </is>
      </c>
      <c r="H1294" t="inlineStr">
        <is>
          <t>Business &gt; Business Runway &gt; Quick Add &gt; Reserve</t>
        </is>
      </c>
      <c r="I1294" s="18" t="n">
        <v>140988.07</v>
      </c>
      <c r="J1294" t="inlineStr">
        <is>
          <t>Created MTR-IOS-1293 and correlation note visible in Activity/Pulse</t>
        </is>
      </c>
      <c r="K1294" t="inlineStr">
        <is>
          <t>NOT_RUN</t>
        </is>
      </c>
      <c r="P1294" t="n">
        <v>0</v>
      </c>
      <c r="Q1294" t="n">
        <v>1293</v>
      </c>
    </row>
    <row r="1295">
      <c r="A1295" t="n">
        <v>1294</v>
      </c>
      <c r="B1295" t="inlineStr">
        <is>
          <t>MTR-IOS-1294</t>
        </is>
      </c>
      <c r="C1295" t="inlineStr">
        <is>
          <t>iPhone</t>
        </is>
      </c>
      <c r="D1295" t="inlineStr">
        <is>
          <t>Personal</t>
        </is>
      </c>
      <c r="E1295" t="inlineStr">
        <is>
          <t>Personal</t>
        </is>
      </c>
      <c r="F1295" t="inlineStr">
        <is>
          <t>Lifestyle</t>
        </is>
      </c>
      <c r="G1295" t="inlineStr">
        <is>
          <t>Hobbies</t>
        </is>
      </c>
      <c r="H1295" t="inlineStr">
        <is>
          <t>Personal &gt; Lifestyle &gt; Quick Add &gt; Hobbies</t>
        </is>
      </c>
      <c r="I1295" s="18" t="n">
        <v>2376.39</v>
      </c>
      <c r="J1295" t="inlineStr">
        <is>
          <t>Created MTR-IOS-1294 and correlation note visible in Activity/Pulse</t>
        </is>
      </c>
      <c r="K1295" t="inlineStr">
        <is>
          <t>NOT_RUN</t>
        </is>
      </c>
      <c r="P1295" t="n">
        <v>0</v>
      </c>
      <c r="Q1295" t="n">
        <v>1294</v>
      </c>
    </row>
    <row r="1296">
      <c r="A1296" t="n">
        <v>1295</v>
      </c>
      <c r="B1296" t="inlineStr">
        <is>
          <t>MTR-IOS-1295</t>
        </is>
      </c>
      <c r="C1296" t="inlineStr">
        <is>
          <t>iPhone</t>
        </is>
      </c>
      <c r="D1296" t="inlineStr">
        <is>
          <t>Group</t>
        </is>
      </c>
      <c r="E1296" t="inlineStr">
        <is>
          <t>Shared Purchase</t>
        </is>
      </c>
      <c r="F1296" t="inlineStr">
        <is>
          <t>Gift Pool</t>
        </is>
      </c>
      <c r="G1296" t="inlineStr">
        <is>
          <t>Gift Purchase</t>
        </is>
      </c>
      <c r="H1296" t="inlineStr">
        <is>
          <t>Group &gt; Gift Pool &gt; Quick Add &gt; Gift Purchase</t>
        </is>
      </c>
      <c r="I1296" s="18" t="n">
        <v>10000</v>
      </c>
      <c r="J1296" t="inlineStr">
        <is>
          <t>Created MTR-IOS-1295 and correlation note visible in Activity/Pulse</t>
        </is>
      </c>
      <c r="K1296" t="inlineStr">
        <is>
          <t>NOT_RUN</t>
        </is>
      </c>
      <c r="P1296" t="n">
        <v>0</v>
      </c>
      <c r="Q1296" t="n">
        <v>1295</v>
      </c>
    </row>
    <row r="1297">
      <c r="A1297" t="n">
        <v>1296</v>
      </c>
      <c r="B1297" t="inlineStr">
        <is>
          <t>MTR-IOS-1296</t>
        </is>
      </c>
      <c r="C1297" t="inlineStr">
        <is>
          <t>iPhone</t>
        </is>
      </c>
      <c r="D1297" t="inlineStr">
        <is>
          <t>Business</t>
        </is>
      </c>
      <c r="E1297" t="inlineStr">
        <is>
          <t>Business</t>
        </is>
      </c>
      <c r="F1297" t="inlineStr">
        <is>
          <t>Business Runway</t>
        </is>
      </c>
      <c r="G1297" t="inlineStr">
        <is>
          <t>Loan</t>
        </is>
      </c>
      <c r="H1297" t="inlineStr">
        <is>
          <t>Business &gt; Business Runway &gt; Quick Add &gt; Loan</t>
        </is>
      </c>
      <c r="I1297" s="18" t="n">
        <v>24448.63</v>
      </c>
      <c r="J1297" t="inlineStr">
        <is>
          <t>Created MTR-IOS-1296 and correlation note visible in Activity/Pulse</t>
        </is>
      </c>
      <c r="K1297" t="inlineStr">
        <is>
          <t>NOT_RUN</t>
        </is>
      </c>
      <c r="P1297" t="n">
        <v>0</v>
      </c>
      <c r="Q1297" t="n">
        <v>1296</v>
      </c>
    </row>
    <row r="1298">
      <c r="A1298" t="n">
        <v>1297</v>
      </c>
      <c r="B1298" t="inlineStr">
        <is>
          <t>MTR-IOS-1297</t>
        </is>
      </c>
      <c r="C1298" t="inlineStr">
        <is>
          <t>iPhone</t>
        </is>
      </c>
      <c r="D1298" t="inlineStr">
        <is>
          <t>Personal</t>
        </is>
      </c>
      <c r="E1298" t="inlineStr">
        <is>
          <t>Personal</t>
        </is>
      </c>
      <c r="F1298" t="inlineStr">
        <is>
          <t>Relationships</t>
        </is>
      </c>
      <c r="G1298" t="inlineStr">
        <is>
          <t>Gifts</t>
        </is>
      </c>
      <c r="H1298" t="inlineStr">
        <is>
          <t>Personal &gt; Relationships &gt; Quick Add &gt; Gifts</t>
        </is>
      </c>
      <c r="I1298" s="18" t="n">
        <v>9586.549999999999</v>
      </c>
      <c r="J1298" t="inlineStr">
        <is>
          <t>Created MTR-IOS-1297 and correlation note visible in Activity/Pulse</t>
        </is>
      </c>
      <c r="K1298" t="inlineStr">
        <is>
          <t>NOT_RUN</t>
        </is>
      </c>
      <c r="P1298" t="n">
        <v>0</v>
      </c>
      <c r="Q1298" t="n">
        <v>1297</v>
      </c>
    </row>
    <row r="1299">
      <c r="A1299" t="n">
        <v>1298</v>
      </c>
      <c r="B1299" t="inlineStr">
        <is>
          <t>MTR-IOS-1298</t>
        </is>
      </c>
      <c r="C1299" t="inlineStr">
        <is>
          <t>iPhone</t>
        </is>
      </c>
      <c r="D1299" t="inlineStr">
        <is>
          <t>Group</t>
        </is>
      </c>
      <c r="E1299" t="inlineStr">
        <is>
          <t>Shared Purchase</t>
        </is>
      </c>
      <c r="F1299" t="inlineStr">
        <is>
          <t>Gift Pool</t>
        </is>
      </c>
      <c r="G1299" t="inlineStr">
        <is>
          <t>Delivery</t>
        </is>
      </c>
      <c r="H1299" t="inlineStr">
        <is>
          <t>Group &gt; Gift Pool &gt; Quick Add &gt; Delivery</t>
        </is>
      </c>
      <c r="I1299" s="18" t="n">
        <v>4532.23</v>
      </c>
      <c r="J1299" t="inlineStr">
        <is>
          <t>Created MTR-IOS-1298 and correlation note visible in Activity/Pulse</t>
        </is>
      </c>
      <c r="K1299" t="inlineStr">
        <is>
          <t>NOT_RUN</t>
        </is>
      </c>
      <c r="P1299" t="n">
        <v>0</v>
      </c>
      <c r="Q1299" t="n">
        <v>1298</v>
      </c>
    </row>
    <row r="1300">
      <c r="A1300" t="n">
        <v>1299</v>
      </c>
      <c r="B1300" t="inlineStr">
        <is>
          <t>MTR-IOS-1299</t>
        </is>
      </c>
      <c r="C1300" t="inlineStr">
        <is>
          <t>iPhone</t>
        </is>
      </c>
      <c r="D1300" t="inlineStr">
        <is>
          <t>Business</t>
        </is>
      </c>
      <c r="E1300" t="inlineStr">
        <is>
          <t>Business</t>
        </is>
      </c>
      <c r="F1300" t="inlineStr">
        <is>
          <t>Business Runway</t>
        </is>
      </c>
      <c r="G1300" t="inlineStr">
        <is>
          <t>Investment</t>
        </is>
      </c>
      <c r="H1300" t="inlineStr">
        <is>
          <t>Business &gt; Business Runway &gt; Quick Add &gt; Investment</t>
        </is>
      </c>
      <c r="I1300" s="18" t="n">
        <v>53865.33</v>
      </c>
      <c r="J1300" t="inlineStr">
        <is>
          <t>Created MTR-IOS-1299 and correlation note visible in Activity/Pulse</t>
        </is>
      </c>
      <c r="K1300" t="inlineStr">
        <is>
          <t>NOT_RUN</t>
        </is>
      </c>
      <c r="P1300" t="n">
        <v>0</v>
      </c>
      <c r="Q1300" t="n">
        <v>1299</v>
      </c>
    </row>
    <row r="1301">
      <c r="A1301" t="n">
        <v>1300</v>
      </c>
      <c r="B1301" t="inlineStr">
        <is>
          <t>MTR-IOS-1300</t>
        </is>
      </c>
      <c r="C1301" t="inlineStr">
        <is>
          <t>iPhone</t>
        </is>
      </c>
      <c r="D1301" t="inlineStr">
        <is>
          <t>Personal</t>
        </is>
      </c>
      <c r="E1301" t="inlineStr">
        <is>
          <t>Personal</t>
        </is>
      </c>
      <c r="F1301" t="inlineStr">
        <is>
          <t>Relationships</t>
        </is>
      </c>
      <c r="G1301" t="inlineStr">
        <is>
          <t>Dates</t>
        </is>
      </c>
      <c r="H1301" t="inlineStr">
        <is>
          <t>Personal &gt; Relationships &gt; Quick Add &gt; Dates</t>
        </is>
      </c>
      <c r="I1301" s="18" t="n">
        <v>10342.35</v>
      </c>
      <c r="J1301" t="inlineStr">
        <is>
          <t>Created MTR-IOS-1300 and correlation note visible in Activity/Pulse</t>
        </is>
      </c>
      <c r="K1301" t="inlineStr">
        <is>
          <t>NOT_RUN</t>
        </is>
      </c>
      <c r="P1301" t="n">
        <v>0</v>
      </c>
      <c r="Q1301" t="n">
        <v>1300</v>
      </c>
    </row>
    <row r="1302">
      <c r="A1302" t="n">
        <v>1301</v>
      </c>
      <c r="B1302" t="inlineStr">
        <is>
          <t>MTR-IOS-1301</t>
        </is>
      </c>
      <c r="C1302" t="inlineStr">
        <is>
          <t>iPhone</t>
        </is>
      </c>
      <c r="D1302" t="inlineStr">
        <is>
          <t>Group</t>
        </is>
      </c>
      <c r="E1302" t="inlineStr">
        <is>
          <t>Shared Purchase</t>
        </is>
      </c>
      <c r="F1302" t="inlineStr">
        <is>
          <t>Gift Pool</t>
        </is>
      </c>
      <c r="G1302" t="inlineStr">
        <is>
          <t>Other</t>
        </is>
      </c>
      <c r="H1302" t="inlineStr">
        <is>
          <t>Group &gt; Gift Pool &gt; Quick Add &gt; Other</t>
        </is>
      </c>
      <c r="I1302" s="18" t="n">
        <v>23599.44</v>
      </c>
      <c r="J1302" t="inlineStr">
        <is>
          <t>Created MTR-IOS-1301 and correlation note visible in Activity/Pulse</t>
        </is>
      </c>
      <c r="K1302" t="inlineStr">
        <is>
          <t>NOT_RUN</t>
        </is>
      </c>
      <c r="P1302" t="n">
        <v>0</v>
      </c>
      <c r="Q1302" t="n">
        <v>1301</v>
      </c>
    </row>
    <row r="1303">
      <c r="A1303" t="n">
        <v>1302</v>
      </c>
      <c r="B1303" t="inlineStr">
        <is>
          <t>MTR-IOS-1302</t>
        </is>
      </c>
      <c r="C1303" t="inlineStr">
        <is>
          <t>iPhone</t>
        </is>
      </c>
      <c r="D1303" t="inlineStr">
        <is>
          <t>Business</t>
        </is>
      </c>
      <c r="E1303" t="inlineStr">
        <is>
          <t>Business</t>
        </is>
      </c>
      <c r="F1303" t="inlineStr">
        <is>
          <t>Business Operations</t>
        </is>
      </c>
      <c r="G1303" t="inlineStr">
        <is>
          <t>Software</t>
        </is>
      </c>
      <c r="H1303" t="inlineStr">
        <is>
          <t>Business &gt; Business Operations &gt; Quick Add &gt; Software</t>
        </is>
      </c>
      <c r="I1303" s="18" t="n">
        <v>150469</v>
      </c>
      <c r="J1303" t="inlineStr">
        <is>
          <t>Created MTR-IOS-1302 and correlation note visible in Activity/Pulse</t>
        </is>
      </c>
      <c r="K1303" t="inlineStr">
        <is>
          <t>NOT_RUN</t>
        </is>
      </c>
      <c r="P1303" t="n">
        <v>0</v>
      </c>
      <c r="Q1303" t="n">
        <v>1302</v>
      </c>
    </row>
    <row r="1304">
      <c r="A1304" t="n">
        <v>1303</v>
      </c>
      <c r="B1304" t="inlineStr">
        <is>
          <t>MTR-IOS-1303</t>
        </is>
      </c>
      <c r="C1304" t="inlineStr">
        <is>
          <t>iPhone</t>
        </is>
      </c>
      <c r="D1304" t="inlineStr">
        <is>
          <t>Personal</t>
        </is>
      </c>
      <c r="E1304" t="inlineStr">
        <is>
          <t>Personal</t>
        </is>
      </c>
      <c r="F1304" t="inlineStr">
        <is>
          <t>Relationships</t>
        </is>
      </c>
      <c r="G1304" t="inlineStr">
        <is>
          <t>Family</t>
        </is>
      </c>
      <c r="H1304" t="inlineStr">
        <is>
          <t>Personal &gt; Relationships &gt; Quick Add &gt; Family</t>
        </is>
      </c>
      <c r="I1304" s="18" t="n">
        <v>16435.66</v>
      </c>
      <c r="J1304" t="inlineStr">
        <is>
          <t>Created MTR-IOS-1303 and correlation note visible in Activity/Pulse</t>
        </is>
      </c>
      <c r="K1304" t="inlineStr">
        <is>
          <t>NOT_RUN</t>
        </is>
      </c>
      <c r="P1304" t="n">
        <v>0</v>
      </c>
      <c r="Q1304" t="n">
        <v>1303</v>
      </c>
    </row>
    <row r="1305">
      <c r="A1305" t="n">
        <v>1304</v>
      </c>
      <c r="B1305" t="inlineStr">
        <is>
          <t>MTR-IOS-1304</t>
        </is>
      </c>
      <c r="C1305" t="inlineStr">
        <is>
          <t>iPhone</t>
        </is>
      </c>
      <c r="D1305" t="inlineStr">
        <is>
          <t>Group</t>
        </is>
      </c>
      <c r="E1305" t="inlineStr">
        <is>
          <t>Shared Purchase</t>
        </is>
      </c>
      <c r="F1305" t="inlineStr">
        <is>
          <t>Purchase</t>
        </is>
      </c>
      <c r="G1305" t="inlineStr">
        <is>
          <t>Item</t>
        </is>
      </c>
      <c r="H1305" t="inlineStr">
        <is>
          <t>Group &gt; Purchase &gt; Quick Add &gt; Item</t>
        </is>
      </c>
      <c r="I1305" s="18" t="n">
        <v>20879.95</v>
      </c>
      <c r="J1305" t="inlineStr">
        <is>
          <t>Created MTR-IOS-1304 and correlation note visible in Activity/Pulse</t>
        </is>
      </c>
      <c r="K1305" t="inlineStr">
        <is>
          <t>NOT_RUN</t>
        </is>
      </c>
      <c r="P1305" t="n">
        <v>0</v>
      </c>
      <c r="Q1305" t="n">
        <v>1304</v>
      </c>
    </row>
    <row r="1306">
      <c r="A1306" t="n">
        <v>1305</v>
      </c>
      <c r="B1306" t="inlineStr">
        <is>
          <t>MTR-IOS-1305</t>
        </is>
      </c>
      <c r="C1306" t="inlineStr">
        <is>
          <t>iPhone</t>
        </is>
      </c>
      <c r="D1306" t="inlineStr">
        <is>
          <t>Business</t>
        </is>
      </c>
      <c r="E1306" t="inlineStr">
        <is>
          <t>Business</t>
        </is>
      </c>
      <c r="F1306" t="inlineStr">
        <is>
          <t>Business Operations</t>
        </is>
      </c>
      <c r="G1306" t="inlineStr">
        <is>
          <t>Rent</t>
        </is>
      </c>
      <c r="H1306" t="inlineStr">
        <is>
          <t>Business &gt; Business Operations &gt; Quick Add &gt; Rent</t>
        </is>
      </c>
      <c r="I1306" s="18" t="n">
        <v>163733.15</v>
      </c>
      <c r="J1306" t="inlineStr">
        <is>
          <t>Created MTR-IOS-1305 and correlation note visible in Activity/Pulse</t>
        </is>
      </c>
      <c r="K1306" t="inlineStr">
        <is>
          <t>NOT_RUN</t>
        </is>
      </c>
      <c r="P1306" t="n">
        <v>0</v>
      </c>
      <c r="Q1306" t="n">
        <v>1305</v>
      </c>
    </row>
    <row r="1307">
      <c r="A1307" t="n">
        <v>1306</v>
      </c>
      <c r="B1307" t="inlineStr">
        <is>
          <t>MTR-IOS-1306</t>
        </is>
      </c>
      <c r="C1307" t="inlineStr">
        <is>
          <t>iPhone</t>
        </is>
      </c>
      <c r="D1307" t="inlineStr">
        <is>
          <t>Personal</t>
        </is>
      </c>
      <c r="E1307" t="inlineStr">
        <is>
          <t>Personal</t>
        </is>
      </c>
      <c r="F1307" t="inlineStr">
        <is>
          <t>Relationships</t>
        </is>
      </c>
      <c r="G1307" t="inlineStr">
        <is>
          <t>Friends</t>
        </is>
      </c>
      <c r="H1307" t="inlineStr">
        <is>
          <t>Personal &gt; Relationships &gt; Quick Add &gt; Friends</t>
        </is>
      </c>
      <c r="I1307" s="18" t="n">
        <v>412.66</v>
      </c>
      <c r="J1307" t="inlineStr">
        <is>
          <t>Created MTR-IOS-1306 and correlation note visible in Activity/Pulse</t>
        </is>
      </c>
      <c r="K1307" t="inlineStr">
        <is>
          <t>NOT_RUN</t>
        </is>
      </c>
      <c r="P1307" t="n">
        <v>0</v>
      </c>
      <c r="Q1307" t="n">
        <v>1306</v>
      </c>
    </row>
    <row r="1308">
      <c r="A1308" t="n">
        <v>1307</v>
      </c>
      <c r="B1308" t="inlineStr">
        <is>
          <t>MTR-IOS-1307</t>
        </is>
      </c>
      <c r="C1308" t="inlineStr">
        <is>
          <t>iPhone</t>
        </is>
      </c>
      <c r="D1308" t="inlineStr">
        <is>
          <t>Group</t>
        </is>
      </c>
      <c r="E1308" t="inlineStr">
        <is>
          <t>Shared Purchase</t>
        </is>
      </c>
      <c r="F1308" t="inlineStr">
        <is>
          <t>Purchase</t>
        </is>
      </c>
      <c r="G1308" t="inlineStr">
        <is>
          <t>Shipping</t>
        </is>
      </c>
      <c r="H1308" t="inlineStr">
        <is>
          <t>Group &gt; Purchase &gt; Quick Add &gt; Shipping</t>
        </is>
      </c>
      <c r="I1308" s="18" t="n">
        <v>8425.84</v>
      </c>
      <c r="J1308" t="inlineStr">
        <is>
          <t>Created MTR-IOS-1307 and correlation note visible in Activity/Pulse</t>
        </is>
      </c>
      <c r="K1308" t="inlineStr">
        <is>
          <t>NOT_RUN</t>
        </is>
      </c>
      <c r="P1308" t="n">
        <v>0</v>
      </c>
      <c r="Q1308" t="n">
        <v>1307</v>
      </c>
    </row>
    <row r="1309">
      <c r="A1309" t="n">
        <v>1308</v>
      </c>
      <c r="B1309" t="inlineStr">
        <is>
          <t>MTR-IOS-1308</t>
        </is>
      </c>
      <c r="C1309" t="inlineStr">
        <is>
          <t>iPhone</t>
        </is>
      </c>
      <c r="D1309" t="inlineStr">
        <is>
          <t>Business</t>
        </is>
      </c>
      <c r="E1309" t="inlineStr">
        <is>
          <t>Business</t>
        </is>
      </c>
      <c r="F1309" t="inlineStr">
        <is>
          <t>Business Operations</t>
        </is>
      </c>
      <c r="G1309" t="inlineStr">
        <is>
          <t>Marketing</t>
        </is>
      </c>
      <c r="H1309" t="inlineStr">
        <is>
          <t>Business &gt; Business Operations &gt; Quick Add &gt; Marketing</t>
        </is>
      </c>
      <c r="I1309" s="18" t="n">
        <v>144194.87</v>
      </c>
      <c r="J1309" t="inlineStr">
        <is>
          <t>Created MTR-IOS-1308 and correlation note visible in Activity/Pulse</t>
        </is>
      </c>
      <c r="K1309" t="inlineStr">
        <is>
          <t>NOT_RUN</t>
        </is>
      </c>
      <c r="P1309" t="n">
        <v>0</v>
      </c>
      <c r="Q1309" t="n">
        <v>1308</v>
      </c>
    </row>
    <row r="1310">
      <c r="A1310" t="n">
        <v>1309</v>
      </c>
      <c r="B1310" t="inlineStr">
        <is>
          <t>MTR-IOS-1309</t>
        </is>
      </c>
      <c r="C1310" t="inlineStr">
        <is>
          <t>iPhone</t>
        </is>
      </c>
      <c r="D1310" t="inlineStr">
        <is>
          <t>Personal</t>
        </is>
      </c>
      <c r="E1310" t="inlineStr">
        <is>
          <t>Personal</t>
        </is>
      </c>
      <c r="F1310" t="inlineStr">
        <is>
          <t>Relationships</t>
        </is>
      </c>
      <c r="G1310" t="inlineStr">
        <is>
          <t>Celebrations</t>
        </is>
      </c>
      <c r="H1310" t="inlineStr">
        <is>
          <t>Personal &gt; Relationships &gt; Quick Add &gt; Celebrations</t>
        </is>
      </c>
      <c r="I1310" s="18" t="n">
        <v>5969.97</v>
      </c>
      <c r="J1310" t="inlineStr">
        <is>
          <t>Created MTR-IOS-1309 and correlation note visible in Activity/Pulse</t>
        </is>
      </c>
      <c r="K1310" t="inlineStr">
        <is>
          <t>NOT_RUN</t>
        </is>
      </c>
      <c r="P1310" t="n">
        <v>0</v>
      </c>
      <c r="Q1310" t="n">
        <v>1309</v>
      </c>
    </row>
    <row r="1311">
      <c r="A1311" t="n">
        <v>1310</v>
      </c>
      <c r="B1311" t="inlineStr">
        <is>
          <t>MTR-IOS-1310</t>
        </is>
      </c>
      <c r="C1311" t="inlineStr">
        <is>
          <t>iPhone</t>
        </is>
      </c>
      <c r="D1311" t="inlineStr">
        <is>
          <t>Group</t>
        </is>
      </c>
      <c r="E1311" t="inlineStr">
        <is>
          <t>Shared Purchase</t>
        </is>
      </c>
      <c r="F1311" t="inlineStr">
        <is>
          <t>Purchase</t>
        </is>
      </c>
      <c r="G1311" t="inlineStr">
        <is>
          <t>Tax</t>
        </is>
      </c>
      <c r="H1311" t="inlineStr">
        <is>
          <t>Group &gt; Purchase &gt; Quick Add &gt; Tax</t>
        </is>
      </c>
      <c r="I1311" s="18" t="n">
        <v>3151.29</v>
      </c>
      <c r="J1311" t="inlineStr">
        <is>
          <t>Created MTR-IOS-1310 and correlation note visible in Activity/Pulse</t>
        </is>
      </c>
      <c r="K1311" t="inlineStr">
        <is>
          <t>NOT_RUN</t>
        </is>
      </c>
      <c r="P1311" t="n">
        <v>0</v>
      </c>
      <c r="Q1311" t="n">
        <v>1310</v>
      </c>
    </row>
    <row r="1312">
      <c r="A1312" t="n">
        <v>1311</v>
      </c>
      <c r="B1312" t="inlineStr">
        <is>
          <t>MTR-IOS-1311</t>
        </is>
      </c>
      <c r="C1312" t="inlineStr">
        <is>
          <t>iPhone</t>
        </is>
      </c>
      <c r="D1312" t="inlineStr">
        <is>
          <t>Business</t>
        </is>
      </c>
      <c r="E1312" t="inlineStr">
        <is>
          <t>Business</t>
        </is>
      </c>
      <c r="F1312" t="inlineStr">
        <is>
          <t>Business Operations</t>
        </is>
      </c>
      <c r="G1312" t="inlineStr">
        <is>
          <t>Legal</t>
        </is>
      </c>
      <c r="H1312" t="inlineStr">
        <is>
          <t>Business &gt; Business Operations &gt; Quick Add &gt; Legal</t>
        </is>
      </c>
      <c r="I1312" s="18" t="n">
        <v>60943.37</v>
      </c>
      <c r="J1312" t="inlineStr">
        <is>
          <t>Created MTR-IOS-1311 and correlation note visible in Activity/Pulse</t>
        </is>
      </c>
      <c r="K1312" t="inlineStr">
        <is>
          <t>NOT_RUN</t>
        </is>
      </c>
      <c r="P1312" t="n">
        <v>0</v>
      </c>
      <c r="Q1312" t="n">
        <v>1311</v>
      </c>
    </row>
    <row r="1313">
      <c r="A1313" t="n">
        <v>1312</v>
      </c>
      <c r="B1313" t="inlineStr">
        <is>
          <t>MTR-IOS-1312</t>
        </is>
      </c>
      <c r="C1313" t="inlineStr">
        <is>
          <t>iPhone</t>
        </is>
      </c>
      <c r="D1313" t="inlineStr">
        <is>
          <t>Personal</t>
        </is>
      </c>
      <c r="E1313" t="inlineStr">
        <is>
          <t>Personal</t>
        </is>
      </c>
      <c r="F1313" t="inlineStr">
        <is>
          <t>Life Operations</t>
        </is>
      </c>
      <c r="G1313" t="inlineStr">
        <is>
          <t>Groceries</t>
        </is>
      </c>
      <c r="H1313" t="inlineStr">
        <is>
          <t>Personal &gt; Life Operations &gt; Quick Add &gt; Groceries</t>
        </is>
      </c>
      <c r="I1313" s="18" t="n">
        <v>1271.08</v>
      </c>
      <c r="J1313" t="inlineStr">
        <is>
          <t>Created MTR-IOS-1312 and correlation note visible in Activity/Pulse</t>
        </is>
      </c>
      <c r="K1313" t="inlineStr">
        <is>
          <t>NOT_RUN</t>
        </is>
      </c>
      <c r="P1313" t="n">
        <v>0</v>
      </c>
      <c r="Q1313" t="n">
        <v>1312</v>
      </c>
    </row>
    <row r="1314">
      <c r="A1314" t="n">
        <v>1313</v>
      </c>
      <c r="B1314" t="inlineStr">
        <is>
          <t>MTR-IOS-1313</t>
        </is>
      </c>
      <c r="C1314" t="inlineStr">
        <is>
          <t>iPhone</t>
        </is>
      </c>
      <c r="D1314" t="inlineStr">
        <is>
          <t>Group</t>
        </is>
      </c>
      <c r="E1314" t="inlineStr">
        <is>
          <t>Shared Purchase</t>
        </is>
      </c>
      <c r="F1314" t="inlineStr">
        <is>
          <t>Purchase</t>
        </is>
      </c>
      <c r="G1314" t="inlineStr">
        <is>
          <t>Other</t>
        </is>
      </c>
      <c r="H1314" t="inlineStr">
        <is>
          <t>Group &gt; Purchase &gt; Quick Add &gt; Other</t>
        </is>
      </c>
      <c r="I1314" s="18" t="n">
        <v>14275.9</v>
      </c>
      <c r="J1314" t="inlineStr">
        <is>
          <t>Created MTR-IOS-1313 and correlation note visible in Activity/Pulse</t>
        </is>
      </c>
      <c r="K1314" t="inlineStr">
        <is>
          <t>NOT_RUN</t>
        </is>
      </c>
      <c r="P1314" t="n">
        <v>0</v>
      </c>
      <c r="Q1314" t="n">
        <v>1313</v>
      </c>
    </row>
    <row r="1315">
      <c r="A1315" t="n">
        <v>1314</v>
      </c>
      <c r="B1315" t="inlineStr">
        <is>
          <t>MTR-IOS-1314</t>
        </is>
      </c>
      <c r="C1315" t="inlineStr">
        <is>
          <t>iPhone</t>
        </is>
      </c>
      <c r="D1315" t="inlineStr">
        <is>
          <t>Business</t>
        </is>
      </c>
      <c r="E1315" t="inlineStr">
        <is>
          <t>Business</t>
        </is>
      </c>
      <c r="F1315" t="inlineStr">
        <is>
          <t>Business Operations</t>
        </is>
      </c>
      <c r="G1315" t="inlineStr">
        <is>
          <t>Accounting</t>
        </is>
      </c>
      <c r="H1315" t="inlineStr">
        <is>
          <t>Business &gt; Business Operations &gt; Quick Add &gt; Accounting</t>
        </is>
      </c>
      <c r="I1315" s="18" t="n">
        <v>32193.7</v>
      </c>
      <c r="J1315" t="inlineStr">
        <is>
          <t>Created MTR-IOS-1314 and correlation note visible in Activity/Pulse</t>
        </is>
      </c>
      <c r="K1315" t="inlineStr">
        <is>
          <t>NOT_RUN</t>
        </is>
      </c>
      <c r="P1315" t="n">
        <v>0</v>
      </c>
      <c r="Q1315" t="n">
        <v>1314</v>
      </c>
    </row>
    <row r="1316">
      <c r="A1316" t="n">
        <v>1315</v>
      </c>
      <c r="B1316" t="inlineStr">
        <is>
          <t>MTR-IOS-1315</t>
        </is>
      </c>
      <c r="C1316" t="inlineStr">
        <is>
          <t>iPhone</t>
        </is>
      </c>
      <c r="D1316" t="inlineStr">
        <is>
          <t>Personal</t>
        </is>
      </c>
      <c r="E1316" t="inlineStr">
        <is>
          <t>Personal</t>
        </is>
      </c>
      <c r="F1316" t="inlineStr">
        <is>
          <t>Life Operations</t>
        </is>
      </c>
      <c r="G1316" t="inlineStr">
        <is>
          <t>Rent</t>
        </is>
      </c>
      <c r="H1316" t="inlineStr">
        <is>
          <t>Personal &gt; Life Operations &gt; Quick Add &gt; Rent</t>
        </is>
      </c>
      <c r="I1316" s="18" t="n">
        <v>12766.64</v>
      </c>
      <c r="J1316" t="inlineStr">
        <is>
          <t>Created MTR-IOS-1315 and correlation note visible in Activity/Pulse</t>
        </is>
      </c>
      <c r="K1316" t="inlineStr">
        <is>
          <t>NOT_RUN</t>
        </is>
      </c>
      <c r="P1316" t="n">
        <v>0</v>
      </c>
      <c r="Q1316" t="n">
        <v>1315</v>
      </c>
    </row>
    <row r="1317">
      <c r="A1317" t="n">
        <v>1316</v>
      </c>
      <c r="B1317" t="inlineStr">
        <is>
          <t>MTR-IOS-1316</t>
        </is>
      </c>
      <c r="C1317" t="inlineStr">
        <is>
          <t>iPhone</t>
        </is>
      </c>
      <c r="D1317" t="inlineStr">
        <is>
          <t>Group</t>
        </is>
      </c>
      <c r="E1317" t="inlineStr">
        <is>
          <t>Shared Purchase</t>
        </is>
      </c>
      <c r="F1317" t="inlineStr">
        <is>
          <t>Assets</t>
        </is>
      </c>
      <c r="G1317" t="inlineStr">
        <is>
          <t>Purchase</t>
        </is>
      </c>
      <c r="H1317" t="inlineStr">
        <is>
          <t>Group &gt; Assets &gt; Quick Add &gt; Purchase</t>
        </is>
      </c>
      <c r="I1317" s="18" t="n">
        <v>9786.200000000001</v>
      </c>
      <c r="J1317" t="inlineStr">
        <is>
          <t>Created MTR-IOS-1316 and correlation note visible in Activity/Pulse</t>
        </is>
      </c>
      <c r="K1317" t="inlineStr">
        <is>
          <t>NOT_RUN</t>
        </is>
      </c>
      <c r="P1317" t="n">
        <v>0</v>
      </c>
      <c r="Q1317" t="n">
        <v>1316</v>
      </c>
    </row>
    <row r="1318">
      <c r="A1318" t="n">
        <v>1317</v>
      </c>
      <c r="B1318" t="inlineStr">
        <is>
          <t>MTR-IOS-1317</t>
        </is>
      </c>
      <c r="C1318" t="inlineStr">
        <is>
          <t>iPhone</t>
        </is>
      </c>
      <c r="D1318" t="inlineStr">
        <is>
          <t>Business</t>
        </is>
      </c>
      <c r="E1318" t="inlineStr">
        <is>
          <t>Business</t>
        </is>
      </c>
      <c r="F1318" t="inlineStr">
        <is>
          <t>Business Operations</t>
        </is>
      </c>
      <c r="G1318" t="inlineStr">
        <is>
          <t>Equipment</t>
        </is>
      </c>
      <c r="H1318" t="inlineStr">
        <is>
          <t>Business &gt; Business Operations &gt; Quick Add &gt; Equipment</t>
        </is>
      </c>
      <c r="I1318" s="18" t="n">
        <v>73061.16</v>
      </c>
      <c r="J1318" t="inlineStr">
        <is>
          <t>Created MTR-IOS-1317 and correlation note visible in Activity/Pulse</t>
        </is>
      </c>
      <c r="K1318" t="inlineStr">
        <is>
          <t>NOT_RUN</t>
        </is>
      </c>
      <c r="P1318" t="n">
        <v>0</v>
      </c>
      <c r="Q1318" t="n">
        <v>1317</v>
      </c>
    </row>
    <row r="1319">
      <c r="A1319" t="n">
        <v>1318</v>
      </c>
      <c r="B1319" t="inlineStr">
        <is>
          <t>MTR-IOS-1318</t>
        </is>
      </c>
      <c r="C1319" t="inlineStr">
        <is>
          <t>iPhone</t>
        </is>
      </c>
      <c r="D1319" t="inlineStr">
        <is>
          <t>Personal</t>
        </is>
      </c>
      <c r="E1319" t="inlineStr">
        <is>
          <t>Personal</t>
        </is>
      </c>
      <c r="F1319" t="inlineStr">
        <is>
          <t>Life Operations</t>
        </is>
      </c>
      <c r="G1319" t="inlineStr">
        <is>
          <t>Bills</t>
        </is>
      </c>
      <c r="H1319" t="inlineStr">
        <is>
          <t>Personal &gt; Life Operations &gt; Quick Add &gt; Bills</t>
        </is>
      </c>
      <c r="I1319" s="18" t="n">
        <v>2367.76</v>
      </c>
      <c r="J1319" t="inlineStr">
        <is>
          <t>Created MTR-IOS-1318 and correlation note visible in Activity/Pulse</t>
        </is>
      </c>
      <c r="K1319" t="inlineStr">
        <is>
          <t>NOT_RUN</t>
        </is>
      </c>
      <c r="P1319" t="n">
        <v>0</v>
      </c>
      <c r="Q1319" t="n">
        <v>1318</v>
      </c>
    </row>
    <row r="1320">
      <c r="A1320" t="n">
        <v>1319</v>
      </c>
      <c r="B1320" t="inlineStr">
        <is>
          <t>MTR-IOS-1319</t>
        </is>
      </c>
      <c r="C1320" t="inlineStr">
        <is>
          <t>iPhone</t>
        </is>
      </c>
      <c r="D1320" t="inlineStr">
        <is>
          <t>Group</t>
        </is>
      </c>
      <c r="E1320" t="inlineStr">
        <is>
          <t>Shared Purchase</t>
        </is>
      </c>
      <c r="F1320" t="inlineStr">
        <is>
          <t>Assets</t>
        </is>
      </c>
      <c r="G1320" t="inlineStr">
        <is>
          <t>Maintenance</t>
        </is>
      </c>
      <c r="H1320" t="inlineStr">
        <is>
          <t>Group &gt; Assets &gt; Quick Add &gt; Maintenance</t>
        </is>
      </c>
      <c r="I1320" s="18" t="n">
        <v>9360.780000000001</v>
      </c>
      <c r="J1320" t="inlineStr">
        <is>
          <t>Created MTR-IOS-1319 and correlation note visible in Activity/Pulse</t>
        </is>
      </c>
      <c r="K1320" t="inlineStr">
        <is>
          <t>NOT_RUN</t>
        </is>
      </c>
      <c r="P1320" t="n">
        <v>0</v>
      </c>
      <c r="Q1320" t="n">
        <v>1319</v>
      </c>
    </row>
    <row r="1321">
      <c r="A1321" t="n">
        <v>1320</v>
      </c>
      <c r="B1321" t="inlineStr">
        <is>
          <t>MTR-IOS-1320</t>
        </is>
      </c>
      <c r="C1321" t="inlineStr">
        <is>
          <t>iPhone</t>
        </is>
      </c>
      <c r="D1321" t="inlineStr">
        <is>
          <t>Business</t>
        </is>
      </c>
      <c r="E1321" t="inlineStr">
        <is>
          <t>Business</t>
        </is>
      </c>
      <c r="F1321" t="inlineStr">
        <is>
          <t>Business Operations</t>
        </is>
      </c>
      <c r="G1321" t="inlineStr">
        <is>
          <t>Vendor</t>
        </is>
      </c>
      <c r="H1321" t="inlineStr">
        <is>
          <t>Business &gt; Business Operations &gt; Quick Add &gt; Vendor</t>
        </is>
      </c>
      <c r="I1321" s="18" t="n">
        <v>136180.09</v>
      </c>
      <c r="J1321" t="inlineStr">
        <is>
          <t>Created MTR-IOS-1320 and correlation note visible in Activity/Pulse</t>
        </is>
      </c>
      <c r="K1321" t="inlineStr">
        <is>
          <t>NOT_RUN</t>
        </is>
      </c>
      <c r="P1321" t="n">
        <v>0</v>
      </c>
      <c r="Q1321" t="n">
        <v>1320</v>
      </c>
    </row>
    <row r="1322">
      <c r="A1322" t="n">
        <v>1321</v>
      </c>
      <c r="B1322" t="inlineStr">
        <is>
          <t>MTR-IOS-1321</t>
        </is>
      </c>
      <c r="C1322" t="inlineStr">
        <is>
          <t>iPhone</t>
        </is>
      </c>
      <c r="D1322" t="inlineStr">
        <is>
          <t>Personal</t>
        </is>
      </c>
      <c r="E1322" t="inlineStr">
        <is>
          <t>Personal</t>
        </is>
      </c>
      <c r="F1322" t="inlineStr">
        <is>
          <t>Life Operations</t>
        </is>
      </c>
      <c r="G1322" t="inlineStr">
        <is>
          <t>Transport</t>
        </is>
      </c>
      <c r="H1322" t="inlineStr">
        <is>
          <t>Personal &gt; Life Operations &gt; Quick Add &gt; Transport</t>
        </is>
      </c>
      <c r="I1322" s="18" t="n">
        <v>7262.03</v>
      </c>
      <c r="J1322" t="inlineStr">
        <is>
          <t>Created MTR-IOS-1321 and correlation note visible in Activity/Pulse</t>
        </is>
      </c>
      <c r="K1322" t="inlineStr">
        <is>
          <t>NOT_RUN</t>
        </is>
      </c>
      <c r="P1322" t="n">
        <v>0</v>
      </c>
      <c r="Q1322" t="n">
        <v>1321</v>
      </c>
    </row>
    <row r="1323">
      <c r="A1323" t="n">
        <v>1322</v>
      </c>
      <c r="B1323" t="inlineStr">
        <is>
          <t>MTR-IOS-1322</t>
        </is>
      </c>
      <c r="C1323" t="inlineStr">
        <is>
          <t>iPhone</t>
        </is>
      </c>
      <c r="D1323" t="inlineStr">
        <is>
          <t>Group</t>
        </is>
      </c>
      <c r="E1323" t="inlineStr">
        <is>
          <t>Shared Purchase</t>
        </is>
      </c>
      <c r="F1323" t="inlineStr">
        <is>
          <t>Assets</t>
        </is>
      </c>
      <c r="G1323" t="inlineStr">
        <is>
          <t>Repair</t>
        </is>
      </c>
      <c r="H1323" t="inlineStr">
        <is>
          <t>Group &gt; Assets &gt; Quick Add &gt; Repair</t>
        </is>
      </c>
      <c r="I1323" s="18" t="n">
        <v>20493.82</v>
      </c>
      <c r="J1323" t="inlineStr">
        <is>
          <t>Created MTR-IOS-1322 and correlation note visible in Activity/Pulse</t>
        </is>
      </c>
      <c r="K1323" t="inlineStr">
        <is>
          <t>NOT_RUN</t>
        </is>
      </c>
      <c r="P1323" t="n">
        <v>0</v>
      </c>
      <c r="Q1323" t="n">
        <v>1322</v>
      </c>
    </row>
    <row r="1324">
      <c r="A1324" t="n">
        <v>1323</v>
      </c>
      <c r="B1324" t="inlineStr">
        <is>
          <t>MTR-IOS-1323</t>
        </is>
      </c>
      <c r="C1324" t="inlineStr">
        <is>
          <t>iPhone</t>
        </is>
      </c>
      <c r="D1324" t="inlineStr">
        <is>
          <t>Business</t>
        </is>
      </c>
      <c r="E1324" t="inlineStr">
        <is>
          <t>Business</t>
        </is>
      </c>
      <c r="F1324" t="inlineStr">
        <is>
          <t>Business Operations</t>
        </is>
      </c>
      <c r="G1324" t="inlineStr">
        <is>
          <t>Tax</t>
        </is>
      </c>
      <c r="H1324" t="inlineStr">
        <is>
          <t>Business &gt; Business Operations &gt; Quick Add &gt; Tax</t>
        </is>
      </c>
      <c r="I1324" s="18" t="n">
        <v>74648.66</v>
      </c>
      <c r="J1324" t="inlineStr">
        <is>
          <t>Created MTR-IOS-1323 and correlation note visible in Activity/Pulse</t>
        </is>
      </c>
      <c r="K1324" t="inlineStr">
        <is>
          <t>NOT_RUN</t>
        </is>
      </c>
      <c r="P1324" t="n">
        <v>0</v>
      </c>
      <c r="Q1324" t="n">
        <v>1323</v>
      </c>
    </row>
    <row r="1325">
      <c r="A1325" t="n">
        <v>1324</v>
      </c>
      <c r="B1325" t="inlineStr">
        <is>
          <t>MTR-IOS-1324</t>
        </is>
      </c>
      <c r="C1325" t="inlineStr">
        <is>
          <t>iPhone</t>
        </is>
      </c>
      <c r="D1325" t="inlineStr">
        <is>
          <t>Personal</t>
        </is>
      </c>
      <c r="E1325" t="inlineStr">
        <is>
          <t>Personal</t>
        </is>
      </c>
      <c r="F1325" t="inlineStr">
        <is>
          <t>Life Operations</t>
        </is>
      </c>
      <c r="G1325" t="inlineStr">
        <is>
          <t>Healthcare</t>
        </is>
      </c>
      <c r="H1325" t="inlineStr">
        <is>
          <t>Personal &gt; Life Operations &gt; Quick Add &gt; Healthcare</t>
        </is>
      </c>
      <c r="I1325" s="18" t="n">
        <v>6304.52</v>
      </c>
      <c r="J1325" t="inlineStr">
        <is>
          <t>Created MTR-IOS-1324 and correlation note visible in Activity/Pulse</t>
        </is>
      </c>
      <c r="K1325" t="inlineStr">
        <is>
          <t>NOT_RUN</t>
        </is>
      </c>
      <c r="P1325" t="n">
        <v>0</v>
      </c>
      <c r="Q1325" t="n">
        <v>1324</v>
      </c>
    </row>
    <row r="1326">
      <c r="A1326" t="n">
        <v>1325</v>
      </c>
      <c r="B1326" t="inlineStr">
        <is>
          <t>MTR-IOS-1325</t>
        </is>
      </c>
      <c r="C1326" t="inlineStr">
        <is>
          <t>iPhone</t>
        </is>
      </c>
      <c r="D1326" t="inlineStr">
        <is>
          <t>Group</t>
        </is>
      </c>
      <c r="E1326" t="inlineStr">
        <is>
          <t>Shared Purchase</t>
        </is>
      </c>
      <c r="F1326" t="inlineStr">
        <is>
          <t>Assets</t>
        </is>
      </c>
      <c r="G1326" t="inlineStr">
        <is>
          <t>Insurance</t>
        </is>
      </c>
      <c r="H1326" t="inlineStr">
        <is>
          <t>Group &gt; Assets &gt; Quick Add &gt; Insurance</t>
        </is>
      </c>
      <c r="I1326" s="18" t="n">
        <v>20239.06</v>
      </c>
      <c r="J1326" t="inlineStr">
        <is>
          <t>Created MTR-IOS-1325 and correlation note visible in Activity/Pulse</t>
        </is>
      </c>
      <c r="K1326" t="inlineStr">
        <is>
          <t>NOT_RUN</t>
        </is>
      </c>
      <c r="P1326" t="n">
        <v>0</v>
      </c>
      <c r="Q1326" t="n">
        <v>1325</v>
      </c>
    </row>
    <row r="1327">
      <c r="A1327" t="n">
        <v>1326</v>
      </c>
      <c r="B1327" t="inlineStr">
        <is>
          <t>MTR-IOS-1326</t>
        </is>
      </c>
      <c r="C1327" t="inlineStr">
        <is>
          <t>iPhone</t>
        </is>
      </c>
      <c r="D1327" t="inlineStr">
        <is>
          <t>Business</t>
        </is>
      </c>
      <c r="E1327" t="inlineStr">
        <is>
          <t>Business</t>
        </is>
      </c>
      <c r="F1327" t="inlineStr">
        <is>
          <t>Team Operations</t>
        </is>
      </c>
      <c r="G1327" t="inlineStr">
        <is>
          <t>Payroll</t>
        </is>
      </c>
      <c r="H1327" t="inlineStr">
        <is>
          <t>Business &gt; Team Operations &gt; Quick Add &gt; Payroll</t>
        </is>
      </c>
      <c r="I1327" s="18" t="n">
        <v>19883.7</v>
      </c>
      <c r="J1327" t="inlineStr">
        <is>
          <t>Created MTR-IOS-1326 and correlation note visible in Activity/Pulse</t>
        </is>
      </c>
      <c r="K1327" t="inlineStr">
        <is>
          <t>NOT_RUN</t>
        </is>
      </c>
      <c r="P1327" t="n">
        <v>0</v>
      </c>
      <c r="Q1327" t="n">
        <v>1326</v>
      </c>
    </row>
    <row r="1328">
      <c r="A1328" t="n">
        <v>1327</v>
      </c>
      <c r="B1328" t="inlineStr">
        <is>
          <t>MTR-IOS-1327</t>
        </is>
      </c>
      <c r="C1328" t="inlineStr">
        <is>
          <t>iPhone</t>
        </is>
      </c>
      <c r="D1328" t="inlineStr">
        <is>
          <t>Personal</t>
        </is>
      </c>
      <c r="E1328" t="inlineStr">
        <is>
          <t>Personal</t>
        </is>
      </c>
      <c r="F1328" t="inlineStr">
        <is>
          <t>Life Operations</t>
        </is>
      </c>
      <c r="G1328" t="inlineStr">
        <is>
          <t>Subscriptions</t>
        </is>
      </c>
      <c r="H1328" t="inlineStr">
        <is>
          <t>Personal &gt; Life Operations &gt; Quick Add &gt; Subscriptions</t>
        </is>
      </c>
      <c r="I1328" s="18" t="n">
        <v>1512.01</v>
      </c>
      <c r="J1328" t="inlineStr">
        <is>
          <t>Created MTR-IOS-1327 and correlation note visible in Activity/Pulse</t>
        </is>
      </c>
      <c r="K1328" t="inlineStr">
        <is>
          <t>NOT_RUN</t>
        </is>
      </c>
      <c r="P1328" t="n">
        <v>0</v>
      </c>
      <c r="Q1328" t="n">
        <v>1327</v>
      </c>
    </row>
    <row r="1329">
      <c r="A1329" t="n">
        <v>1328</v>
      </c>
      <c r="B1329" t="inlineStr">
        <is>
          <t>MTR-IOS-1328</t>
        </is>
      </c>
      <c r="C1329" t="inlineStr">
        <is>
          <t>iPhone</t>
        </is>
      </c>
      <c r="D1329" t="inlineStr">
        <is>
          <t>Group</t>
        </is>
      </c>
      <c r="E1329" t="inlineStr">
        <is>
          <t>Shared Purchase</t>
        </is>
      </c>
      <c r="F1329" t="inlineStr">
        <is>
          <t>Assets</t>
        </is>
      </c>
      <c r="G1329" t="inlineStr">
        <is>
          <t>Other</t>
        </is>
      </c>
      <c r="H1329" t="inlineStr">
        <is>
          <t>Group &gt; Assets &gt; Quick Add &gt; Other</t>
        </is>
      </c>
      <c r="I1329" s="18" t="n">
        <v>13327.98</v>
      </c>
      <c r="J1329" t="inlineStr">
        <is>
          <t>Created MTR-IOS-1328 and correlation note visible in Activity/Pulse</t>
        </is>
      </c>
      <c r="K1329" t="inlineStr">
        <is>
          <t>NOT_RUN</t>
        </is>
      </c>
      <c r="P1329" t="n">
        <v>0</v>
      </c>
      <c r="Q1329" t="n">
        <v>1328</v>
      </c>
    </row>
    <row r="1330">
      <c r="A1330" t="n">
        <v>1329</v>
      </c>
      <c r="B1330" t="inlineStr">
        <is>
          <t>MTR-IOS-1329</t>
        </is>
      </c>
      <c r="C1330" t="inlineStr">
        <is>
          <t>iPhone</t>
        </is>
      </c>
      <c r="D1330" t="inlineStr">
        <is>
          <t>Business</t>
        </is>
      </c>
      <c r="E1330" t="inlineStr">
        <is>
          <t>Business</t>
        </is>
      </c>
      <c r="F1330" t="inlineStr">
        <is>
          <t>Team Operations</t>
        </is>
      </c>
      <c r="G1330" t="inlineStr">
        <is>
          <t>Contractor</t>
        </is>
      </c>
      <c r="H1330" t="inlineStr">
        <is>
          <t>Business &gt; Team Operations &gt; Quick Add &gt; Contractor</t>
        </is>
      </c>
      <c r="I1330" s="18" t="n">
        <v>69898.64999999999</v>
      </c>
      <c r="J1330" t="inlineStr">
        <is>
          <t>Created MTR-IOS-1329 and correlation note visible in Activity/Pulse</t>
        </is>
      </c>
      <c r="K1330" t="inlineStr">
        <is>
          <t>NOT_RUN</t>
        </is>
      </c>
      <c r="P1330" t="n">
        <v>0</v>
      </c>
      <c r="Q1330" t="n">
        <v>1329</v>
      </c>
    </row>
    <row r="1331">
      <c r="A1331" t="n">
        <v>1330</v>
      </c>
      <c r="B1331" t="inlineStr">
        <is>
          <t>MTR-IOS-1330</t>
        </is>
      </c>
      <c r="C1331" t="inlineStr">
        <is>
          <t>iPhone</t>
        </is>
      </c>
      <c r="D1331" t="inlineStr">
        <is>
          <t>Personal</t>
        </is>
      </c>
      <c r="E1331" t="inlineStr">
        <is>
          <t>Personal</t>
        </is>
      </c>
      <c r="F1331" t="inlineStr">
        <is>
          <t>Life Operations</t>
        </is>
      </c>
      <c r="G1331" t="inlineStr">
        <is>
          <t>Repairs</t>
        </is>
      </c>
      <c r="H1331" t="inlineStr">
        <is>
          <t>Personal &gt; Life Operations &gt; Quick Add &gt; Repairs</t>
        </is>
      </c>
      <c r="I1331" s="18" t="n">
        <v>1779.79</v>
      </c>
      <c r="J1331" t="inlineStr">
        <is>
          <t>Created MTR-IOS-1330 and correlation note visible in Activity/Pulse</t>
        </is>
      </c>
      <c r="K1331" t="inlineStr">
        <is>
          <t>NOT_RUN</t>
        </is>
      </c>
      <c r="P1331" t="n">
        <v>0</v>
      </c>
      <c r="Q1331" t="n">
        <v>1330</v>
      </c>
    </row>
    <row r="1332">
      <c r="A1332" t="n">
        <v>1331</v>
      </c>
      <c r="B1332" t="inlineStr">
        <is>
          <t>MTR-IOS-1331</t>
        </is>
      </c>
      <c r="C1332" t="inlineStr">
        <is>
          <t>iPhone</t>
        </is>
      </c>
      <c r="D1332" t="inlineStr">
        <is>
          <t>Group</t>
        </is>
      </c>
      <c r="E1332" t="inlineStr">
        <is>
          <t>Shared Purchase</t>
        </is>
      </c>
      <c r="F1332" t="inlineStr">
        <is>
          <t>Custom Purchase</t>
        </is>
      </c>
      <c r="G1332" t="inlineStr">
        <is>
          <t>Custom Expense</t>
        </is>
      </c>
      <c r="H1332" t="inlineStr">
        <is>
          <t>Group &gt; Custom Purchase &gt; Quick Add &gt; Custom Expense</t>
        </is>
      </c>
      <c r="I1332" s="18" t="n">
        <v>6540.22</v>
      </c>
      <c r="J1332" t="inlineStr">
        <is>
          <t>Created MTR-IOS-1331 and correlation note visible in Activity/Pulse</t>
        </is>
      </c>
      <c r="K1332" t="inlineStr">
        <is>
          <t>NOT_RUN</t>
        </is>
      </c>
      <c r="P1332" t="n">
        <v>0</v>
      </c>
      <c r="Q1332" t="n">
        <v>1331</v>
      </c>
    </row>
    <row r="1333">
      <c r="A1333" t="n">
        <v>1332</v>
      </c>
      <c r="B1333" t="inlineStr">
        <is>
          <t>MTR-IOS-1332</t>
        </is>
      </c>
      <c r="C1333" t="inlineStr">
        <is>
          <t>iPhone</t>
        </is>
      </c>
      <c r="D1333" t="inlineStr">
        <is>
          <t>Business</t>
        </is>
      </c>
      <c r="E1333" t="inlineStr">
        <is>
          <t>Business</t>
        </is>
      </c>
      <c r="F1333" t="inlineStr">
        <is>
          <t>Team Operations</t>
        </is>
      </c>
      <c r="G1333" t="inlineStr">
        <is>
          <t>Hiring</t>
        </is>
      </c>
      <c r="H1333" t="inlineStr">
        <is>
          <t>Business &gt; Team Operations &gt; Quick Add &gt; Hiring</t>
        </is>
      </c>
      <c r="I1333" s="18" t="n">
        <v>0.01</v>
      </c>
      <c r="J1333" t="inlineStr">
        <is>
          <t>Created MTR-IOS-1332 and correlation note visible in Activity/Pulse</t>
        </is>
      </c>
      <c r="K1333" t="inlineStr">
        <is>
          <t>NOT_RUN</t>
        </is>
      </c>
      <c r="P1333" t="n">
        <v>0</v>
      </c>
      <c r="Q1333" t="n">
        <v>1332</v>
      </c>
    </row>
    <row r="1334">
      <c r="A1334" t="n">
        <v>1333</v>
      </c>
      <c r="B1334" t="inlineStr">
        <is>
          <t>MTR-IOS-1333</t>
        </is>
      </c>
      <c r="C1334" t="inlineStr">
        <is>
          <t>iPhone</t>
        </is>
      </c>
      <c r="D1334" t="inlineStr">
        <is>
          <t>Personal</t>
        </is>
      </c>
      <c r="E1334" t="inlineStr">
        <is>
          <t>Personal</t>
        </is>
      </c>
      <c r="F1334" t="inlineStr">
        <is>
          <t>Future Building</t>
        </is>
      </c>
      <c r="G1334" t="inlineStr">
        <is>
          <t>Savings</t>
        </is>
      </c>
      <c r="H1334" t="inlineStr">
        <is>
          <t>Personal &gt; Future Building &gt; Quick Add &gt; Savings</t>
        </is>
      </c>
      <c r="I1334" s="18" t="n">
        <v>961.08</v>
      </c>
      <c r="J1334" t="inlineStr">
        <is>
          <t>Created MTR-IOS-1333 and correlation note visible in Activity/Pulse</t>
        </is>
      </c>
      <c r="K1334" t="inlineStr">
        <is>
          <t>NOT_RUN</t>
        </is>
      </c>
      <c r="P1334" t="n">
        <v>0</v>
      </c>
      <c r="Q1334" t="n">
        <v>1333</v>
      </c>
    </row>
    <row r="1335">
      <c r="A1335" t="n">
        <v>1334</v>
      </c>
      <c r="B1335" t="inlineStr">
        <is>
          <t>MTR-IOS-1334</t>
        </is>
      </c>
      <c r="C1335" t="inlineStr">
        <is>
          <t>iPhone</t>
        </is>
      </c>
      <c r="D1335" t="inlineStr">
        <is>
          <t>Group</t>
        </is>
      </c>
      <c r="E1335" t="inlineStr">
        <is>
          <t>Shared Purchase</t>
        </is>
      </c>
      <c r="F1335" t="inlineStr">
        <is>
          <t>Custom Purchase</t>
        </is>
      </c>
      <c r="G1335" t="inlineStr">
        <is>
          <t>Custom Contribution</t>
        </is>
      </c>
      <c r="H1335" t="inlineStr">
        <is>
          <t>Group &gt; Custom Purchase &gt; Quick Add &gt; Custom Contribution</t>
        </is>
      </c>
      <c r="I1335" s="18" t="n">
        <v>26733.84</v>
      </c>
      <c r="J1335" t="inlineStr">
        <is>
          <t>Created MTR-IOS-1334 and correlation note visible in Activity/Pulse</t>
        </is>
      </c>
      <c r="K1335" t="inlineStr">
        <is>
          <t>NOT_RUN</t>
        </is>
      </c>
      <c r="P1335" t="n">
        <v>0</v>
      </c>
      <c r="Q1335" t="n">
        <v>1334</v>
      </c>
    </row>
    <row r="1336">
      <c r="A1336" t="n">
        <v>1335</v>
      </c>
      <c r="B1336" t="inlineStr">
        <is>
          <t>MTR-IOS-1335</t>
        </is>
      </c>
      <c r="C1336" t="inlineStr">
        <is>
          <t>iPhone</t>
        </is>
      </c>
      <c r="D1336" t="inlineStr">
        <is>
          <t>Business</t>
        </is>
      </c>
      <c r="E1336" t="inlineStr">
        <is>
          <t>Business</t>
        </is>
      </c>
      <c r="F1336" t="inlineStr">
        <is>
          <t>Team Operations</t>
        </is>
      </c>
      <c r="G1336" t="inlineStr">
        <is>
          <t>Team Meal</t>
        </is>
      </c>
      <c r="H1336" t="inlineStr">
        <is>
          <t>Business &gt; Team Operations &gt; Quick Add &gt; Team Meal</t>
        </is>
      </c>
      <c r="I1336" s="18" t="n">
        <v>95109.10000000001</v>
      </c>
      <c r="J1336" t="inlineStr">
        <is>
          <t>Created MTR-IOS-1335 and correlation note visible in Activity/Pulse</t>
        </is>
      </c>
      <c r="K1336" t="inlineStr">
        <is>
          <t>NOT_RUN</t>
        </is>
      </c>
      <c r="P1336" t="n">
        <v>0</v>
      </c>
      <c r="Q1336" t="n">
        <v>1335</v>
      </c>
    </row>
    <row r="1337">
      <c r="A1337" t="n">
        <v>1336</v>
      </c>
      <c r="B1337" t="inlineStr">
        <is>
          <t>MTR-IOS-1336</t>
        </is>
      </c>
      <c r="C1337" t="inlineStr">
        <is>
          <t>iPhone</t>
        </is>
      </c>
      <c r="D1337" t="inlineStr">
        <is>
          <t>Personal</t>
        </is>
      </c>
      <c r="E1337" t="inlineStr">
        <is>
          <t>Personal</t>
        </is>
      </c>
      <c r="F1337" t="inlineStr">
        <is>
          <t>Future Building</t>
        </is>
      </c>
      <c r="G1337" t="inlineStr">
        <is>
          <t>Emergency Fund</t>
        </is>
      </c>
      <c r="H1337" t="inlineStr">
        <is>
          <t>Personal &gt; Future Building &gt; Quick Add &gt; Emergency Fund</t>
        </is>
      </c>
      <c r="I1337" s="18" t="n">
        <v>303.75</v>
      </c>
      <c r="J1337" t="inlineStr">
        <is>
          <t>Created MTR-IOS-1336 and correlation note visible in Activity/Pulse</t>
        </is>
      </c>
      <c r="K1337" t="inlineStr">
        <is>
          <t>NOT_RUN</t>
        </is>
      </c>
      <c r="P1337" t="n">
        <v>0</v>
      </c>
      <c r="Q1337" t="n">
        <v>1336</v>
      </c>
    </row>
    <row r="1338">
      <c r="A1338" t="n">
        <v>1337</v>
      </c>
      <c r="B1338" t="inlineStr">
        <is>
          <t>MTR-IOS-1337</t>
        </is>
      </c>
      <c r="C1338" t="inlineStr">
        <is>
          <t>iPhone</t>
        </is>
      </c>
      <c r="D1338" t="inlineStr">
        <is>
          <t>Group</t>
        </is>
      </c>
      <c r="E1338" t="inlineStr">
        <is>
          <t>Shared Living</t>
        </is>
      </c>
      <c r="F1338" t="inlineStr">
        <is>
          <t>Flatmates</t>
        </is>
      </c>
      <c r="G1338" t="inlineStr">
        <is>
          <t>Rent</t>
        </is>
      </c>
      <c r="H1338" t="inlineStr">
        <is>
          <t>Group &gt; Flatmates &gt; Quick Add &gt; Rent</t>
        </is>
      </c>
      <c r="I1338" s="18" t="n">
        <v>22747.82</v>
      </c>
      <c r="J1338" t="inlineStr">
        <is>
          <t>Created MTR-IOS-1337 and correlation note visible in Activity/Pulse</t>
        </is>
      </c>
      <c r="K1338" t="inlineStr">
        <is>
          <t>NOT_RUN</t>
        </is>
      </c>
      <c r="P1338" t="n">
        <v>0</v>
      </c>
      <c r="Q1338" t="n">
        <v>1337</v>
      </c>
    </row>
    <row r="1339">
      <c r="A1339" t="n">
        <v>1338</v>
      </c>
      <c r="B1339" t="inlineStr">
        <is>
          <t>MTR-IOS-1338</t>
        </is>
      </c>
      <c r="C1339" t="inlineStr">
        <is>
          <t>iPhone</t>
        </is>
      </c>
      <c r="D1339" t="inlineStr">
        <is>
          <t>Business</t>
        </is>
      </c>
      <c r="E1339" t="inlineStr">
        <is>
          <t>Business</t>
        </is>
      </c>
      <c r="F1339" t="inlineStr">
        <is>
          <t>Team Operations</t>
        </is>
      </c>
      <c r="G1339" t="inlineStr">
        <is>
          <t>Travel</t>
        </is>
      </c>
      <c r="H1339" t="inlineStr">
        <is>
          <t>Business &gt; Team Operations &gt; Quick Add &gt; Travel</t>
        </is>
      </c>
      <c r="I1339" s="18" t="n">
        <v>90351.28</v>
      </c>
      <c r="J1339" t="inlineStr">
        <is>
          <t>Created MTR-IOS-1338 and correlation note visible in Activity/Pulse</t>
        </is>
      </c>
      <c r="K1339" t="inlineStr">
        <is>
          <t>NOT_RUN</t>
        </is>
      </c>
      <c r="P1339" t="n">
        <v>0</v>
      </c>
      <c r="Q1339" t="n">
        <v>1338</v>
      </c>
    </row>
    <row r="1340">
      <c r="A1340" t="n">
        <v>1339</v>
      </c>
      <c r="B1340" t="inlineStr">
        <is>
          <t>MTR-IOS-1339</t>
        </is>
      </c>
      <c r="C1340" t="inlineStr">
        <is>
          <t>iPhone</t>
        </is>
      </c>
      <c r="D1340" t="inlineStr">
        <is>
          <t>Personal</t>
        </is>
      </c>
      <c r="E1340" t="inlineStr">
        <is>
          <t>Personal</t>
        </is>
      </c>
      <c r="F1340" t="inlineStr">
        <is>
          <t>Future Building</t>
        </is>
      </c>
      <c r="G1340" t="inlineStr">
        <is>
          <t>Investments</t>
        </is>
      </c>
      <c r="H1340" t="inlineStr">
        <is>
          <t>Personal &gt; Future Building &gt; Quick Add &gt; Investments</t>
        </is>
      </c>
      <c r="I1340" s="18" t="n">
        <v>16415.23</v>
      </c>
      <c r="J1340" t="inlineStr">
        <is>
          <t>Created MTR-IOS-1339 and correlation note visible in Activity/Pulse</t>
        </is>
      </c>
      <c r="K1340" t="inlineStr">
        <is>
          <t>NOT_RUN</t>
        </is>
      </c>
      <c r="P1340" t="n">
        <v>0</v>
      </c>
      <c r="Q1340" t="n">
        <v>1339</v>
      </c>
    </row>
    <row r="1341">
      <c r="A1341" t="n">
        <v>1340</v>
      </c>
      <c r="B1341" t="inlineStr">
        <is>
          <t>MTR-IOS-1340</t>
        </is>
      </c>
      <c r="C1341" t="inlineStr">
        <is>
          <t>iPhone</t>
        </is>
      </c>
      <c r="D1341" t="inlineStr">
        <is>
          <t>Group</t>
        </is>
      </c>
      <c r="E1341" t="inlineStr">
        <is>
          <t>Shared Living</t>
        </is>
      </c>
      <c r="F1341" t="inlineStr">
        <is>
          <t>Flatmates</t>
        </is>
      </c>
      <c r="G1341" t="inlineStr">
        <is>
          <t>Utilities</t>
        </is>
      </c>
      <c r="H1341" t="inlineStr">
        <is>
          <t>Group &gt; Flatmates &gt; Quick Add &gt; Utilities</t>
        </is>
      </c>
      <c r="I1341" s="18" t="n">
        <v>9600.530000000001</v>
      </c>
      <c r="J1341" t="inlineStr">
        <is>
          <t>Created MTR-IOS-1340 and correlation note visible in Activity/Pulse</t>
        </is>
      </c>
      <c r="K1341" t="inlineStr">
        <is>
          <t>NOT_RUN</t>
        </is>
      </c>
      <c r="P1341" t="n">
        <v>0</v>
      </c>
      <c r="Q1341" t="n">
        <v>1340</v>
      </c>
    </row>
    <row r="1342">
      <c r="A1342" t="n">
        <v>1341</v>
      </c>
      <c r="B1342" t="inlineStr">
        <is>
          <t>MTR-IOS-1341</t>
        </is>
      </c>
      <c r="C1342" t="inlineStr">
        <is>
          <t>iPhone</t>
        </is>
      </c>
      <c r="D1342" t="inlineStr">
        <is>
          <t>Business</t>
        </is>
      </c>
      <c r="E1342" t="inlineStr">
        <is>
          <t>Business</t>
        </is>
      </c>
      <c r="F1342" t="inlineStr">
        <is>
          <t>Team Operations</t>
        </is>
      </c>
      <c r="G1342" t="inlineStr">
        <is>
          <t>Training</t>
        </is>
      </c>
      <c r="H1342" t="inlineStr">
        <is>
          <t>Business &gt; Team Operations &gt; Quick Add &gt; Training</t>
        </is>
      </c>
      <c r="I1342" s="18" t="n">
        <v>67132.25999999999</v>
      </c>
      <c r="J1342" t="inlineStr">
        <is>
          <t>Created MTR-IOS-1341 and correlation note visible in Activity/Pulse</t>
        </is>
      </c>
      <c r="K1342" t="inlineStr">
        <is>
          <t>NOT_RUN</t>
        </is>
      </c>
      <c r="P1342" t="n">
        <v>0</v>
      </c>
      <c r="Q1342" t="n">
        <v>1341</v>
      </c>
    </row>
    <row r="1343">
      <c r="A1343" t="n">
        <v>1342</v>
      </c>
      <c r="B1343" t="inlineStr">
        <is>
          <t>MTR-IOS-1342</t>
        </is>
      </c>
      <c r="C1343" t="inlineStr">
        <is>
          <t>iPhone</t>
        </is>
      </c>
      <c r="D1343" t="inlineStr">
        <is>
          <t>Personal</t>
        </is>
      </c>
      <c r="E1343" t="inlineStr">
        <is>
          <t>Personal</t>
        </is>
      </c>
      <c r="F1343" t="inlineStr">
        <is>
          <t>Future Building</t>
        </is>
      </c>
      <c r="G1343" t="inlineStr">
        <is>
          <t>Education</t>
        </is>
      </c>
      <c r="H1343" t="inlineStr">
        <is>
          <t>Personal &gt; Future Building &gt; Quick Add &gt; Education</t>
        </is>
      </c>
      <c r="I1343" s="18" t="n">
        <v>4004.81</v>
      </c>
      <c r="J1343" t="inlineStr">
        <is>
          <t>Created MTR-IOS-1342 and correlation note visible in Activity/Pulse</t>
        </is>
      </c>
      <c r="K1343" t="inlineStr">
        <is>
          <t>NOT_RUN</t>
        </is>
      </c>
      <c r="P1343" t="n">
        <v>0</v>
      </c>
      <c r="Q1343" t="n">
        <v>1342</v>
      </c>
    </row>
    <row r="1344">
      <c r="A1344" t="n">
        <v>1343</v>
      </c>
      <c r="B1344" t="inlineStr">
        <is>
          <t>MTR-IOS-1343</t>
        </is>
      </c>
      <c r="C1344" t="inlineStr">
        <is>
          <t>iPhone</t>
        </is>
      </c>
      <c r="D1344" t="inlineStr">
        <is>
          <t>Group</t>
        </is>
      </c>
      <c r="E1344" t="inlineStr">
        <is>
          <t>Shared Living</t>
        </is>
      </c>
      <c r="F1344" t="inlineStr">
        <is>
          <t>Flatmates</t>
        </is>
      </c>
      <c r="G1344" t="inlineStr">
        <is>
          <t>Groceries</t>
        </is>
      </c>
      <c r="H1344" t="inlineStr">
        <is>
          <t>Group &gt; Flatmates &gt; Quick Add &gt; Groceries</t>
        </is>
      </c>
      <c r="I1344" s="18" t="n">
        <v>17672.09</v>
      </c>
      <c r="J1344" t="inlineStr">
        <is>
          <t>Created MTR-IOS-1343 and correlation note visible in Activity/Pulse</t>
        </is>
      </c>
      <c r="K1344" t="inlineStr">
        <is>
          <t>NOT_RUN</t>
        </is>
      </c>
      <c r="P1344" t="n">
        <v>0</v>
      </c>
      <c r="Q1344" t="n">
        <v>1343</v>
      </c>
    </row>
    <row r="1345">
      <c r="A1345" t="n">
        <v>1344</v>
      </c>
      <c r="B1345" t="inlineStr">
        <is>
          <t>MTR-IOS-1344</t>
        </is>
      </c>
      <c r="C1345" t="inlineStr">
        <is>
          <t>iPhone</t>
        </is>
      </c>
      <c r="D1345" t="inlineStr">
        <is>
          <t>Business</t>
        </is>
      </c>
      <c r="E1345" t="inlineStr">
        <is>
          <t>Business</t>
        </is>
      </c>
      <c r="F1345" t="inlineStr">
        <is>
          <t>Team Operations</t>
        </is>
      </c>
      <c r="G1345" t="inlineStr">
        <is>
          <t>Tools</t>
        </is>
      </c>
      <c r="H1345" t="inlineStr">
        <is>
          <t>Business &gt; Team Operations &gt; Quick Add &gt; Tools</t>
        </is>
      </c>
      <c r="I1345" s="18" t="n">
        <v>35818.25</v>
      </c>
      <c r="J1345" t="inlineStr">
        <is>
          <t>Created MTR-IOS-1344 and correlation note visible in Activity/Pulse</t>
        </is>
      </c>
      <c r="K1345" t="inlineStr">
        <is>
          <t>NOT_RUN</t>
        </is>
      </c>
      <c r="P1345" t="n">
        <v>0</v>
      </c>
      <c r="Q1345" t="n">
        <v>1344</v>
      </c>
    </row>
    <row r="1346">
      <c r="A1346" t="n">
        <v>1345</v>
      </c>
      <c r="B1346" t="inlineStr">
        <is>
          <t>MTR-IOS-1345</t>
        </is>
      </c>
      <c r="C1346" t="inlineStr">
        <is>
          <t>iPhone</t>
        </is>
      </c>
      <c r="D1346" t="inlineStr">
        <is>
          <t>Personal</t>
        </is>
      </c>
      <c r="E1346" t="inlineStr">
        <is>
          <t>Personal</t>
        </is>
      </c>
      <c r="F1346" t="inlineStr">
        <is>
          <t>Future Building</t>
        </is>
      </c>
      <c r="G1346" t="inlineStr">
        <is>
          <t>Goal Contribution</t>
        </is>
      </c>
      <c r="H1346" t="inlineStr">
        <is>
          <t>Personal &gt; Future Building &gt; Quick Add &gt; Goal Contribution</t>
        </is>
      </c>
      <c r="I1346" s="18" t="n">
        <v>3977.12</v>
      </c>
      <c r="J1346" t="inlineStr">
        <is>
          <t>Created MTR-IOS-1345 and correlation note visible in Activity/Pulse</t>
        </is>
      </c>
      <c r="K1346" t="inlineStr">
        <is>
          <t>NOT_RUN</t>
        </is>
      </c>
      <c r="P1346" t="n">
        <v>0</v>
      </c>
      <c r="Q1346" t="n">
        <v>1345</v>
      </c>
    </row>
    <row r="1347">
      <c r="A1347" t="n">
        <v>1346</v>
      </c>
      <c r="B1347" t="inlineStr">
        <is>
          <t>MTR-IOS-1346</t>
        </is>
      </c>
      <c r="C1347" t="inlineStr">
        <is>
          <t>iPhone</t>
        </is>
      </c>
      <c r="D1347" t="inlineStr">
        <is>
          <t>Group</t>
        </is>
      </c>
      <c r="E1347" t="inlineStr">
        <is>
          <t>Shared Living</t>
        </is>
      </c>
      <c r="F1347" t="inlineStr">
        <is>
          <t>Flatmates</t>
        </is>
      </c>
      <c r="G1347" t="inlineStr">
        <is>
          <t>Internet</t>
        </is>
      </c>
      <c r="H1347" t="inlineStr">
        <is>
          <t>Group &gt; Flatmates &gt; Quick Add &gt; Internet</t>
        </is>
      </c>
      <c r="I1347" s="18" t="n">
        <v>24654.24</v>
      </c>
      <c r="J1347" t="inlineStr">
        <is>
          <t>Created MTR-IOS-1346 and correlation note visible in Activity/Pulse</t>
        </is>
      </c>
      <c r="K1347" t="inlineStr">
        <is>
          <t>NOT_RUN</t>
        </is>
      </c>
      <c r="P1347" t="n">
        <v>0</v>
      </c>
      <c r="Q1347" t="n">
        <v>1346</v>
      </c>
    </row>
    <row r="1348">
      <c r="A1348" t="n">
        <v>1347</v>
      </c>
      <c r="B1348" t="inlineStr">
        <is>
          <t>MTR-IOS-1347</t>
        </is>
      </c>
      <c r="C1348" t="inlineStr">
        <is>
          <t>iPhone</t>
        </is>
      </c>
      <c r="D1348" t="inlineStr">
        <is>
          <t>Business</t>
        </is>
      </c>
      <c r="E1348" t="inlineStr">
        <is>
          <t>Business</t>
        </is>
      </c>
      <c r="F1348" t="inlineStr">
        <is>
          <t>Business Runway</t>
        </is>
      </c>
      <c r="G1348" t="inlineStr">
        <is>
          <t>Funding</t>
        </is>
      </c>
      <c r="H1348" t="inlineStr">
        <is>
          <t>Business &gt; Business Runway &gt; Quick Add &gt; Funding</t>
        </is>
      </c>
      <c r="I1348" s="18" t="n">
        <v>15204.85</v>
      </c>
      <c r="J1348" t="inlineStr">
        <is>
          <t>Created MTR-IOS-1347 and correlation note visible in Activity/Pulse</t>
        </is>
      </c>
      <c r="K1348" t="inlineStr">
        <is>
          <t>NOT_RUN</t>
        </is>
      </c>
      <c r="P1348" t="n">
        <v>0</v>
      </c>
      <c r="Q1348" t="n">
        <v>1347</v>
      </c>
    </row>
    <row r="1349">
      <c r="A1349" t="n">
        <v>1348</v>
      </c>
      <c r="B1349" t="inlineStr">
        <is>
          <t>MTR-IOS-1348</t>
        </is>
      </c>
      <c r="C1349" t="inlineStr">
        <is>
          <t>iPhone</t>
        </is>
      </c>
      <c r="D1349" t="inlineStr">
        <is>
          <t>Personal</t>
        </is>
      </c>
      <c r="E1349" t="inlineStr">
        <is>
          <t>Personal</t>
        </is>
      </c>
      <c r="F1349" t="inlineStr">
        <is>
          <t>Lifestyle</t>
        </is>
      </c>
      <c r="G1349" t="inlineStr">
        <is>
          <t>Dining</t>
        </is>
      </c>
      <c r="H1349" t="inlineStr">
        <is>
          <t>Personal &gt; Lifestyle &gt; Quick Add &gt; Dining</t>
        </is>
      </c>
      <c r="I1349" s="18" t="n">
        <v>17030.74</v>
      </c>
      <c r="J1349" t="inlineStr">
        <is>
          <t>Created MTR-IOS-1348 and correlation note visible in Activity/Pulse</t>
        </is>
      </c>
      <c r="K1349" t="inlineStr">
        <is>
          <t>NOT_RUN</t>
        </is>
      </c>
      <c r="P1349" t="n">
        <v>0</v>
      </c>
      <c r="Q1349" t="n">
        <v>1348</v>
      </c>
    </row>
    <row r="1350">
      <c r="A1350" t="n">
        <v>1349</v>
      </c>
      <c r="B1350" t="inlineStr">
        <is>
          <t>MTR-IOS-1349</t>
        </is>
      </c>
      <c r="C1350" t="inlineStr">
        <is>
          <t>iPhone</t>
        </is>
      </c>
      <c r="D1350" t="inlineStr">
        <is>
          <t>Group</t>
        </is>
      </c>
      <c r="E1350" t="inlineStr">
        <is>
          <t>Shared Living</t>
        </is>
      </c>
      <c r="F1350" t="inlineStr">
        <is>
          <t>Flatmates</t>
        </is>
      </c>
      <c r="G1350" t="inlineStr">
        <is>
          <t>House Supplies</t>
        </is>
      </c>
      <c r="H1350" t="inlineStr">
        <is>
          <t>Group &gt; Flatmates &gt; Quick Add &gt; House Supplies</t>
        </is>
      </c>
      <c r="I1350" s="18" t="n">
        <v>20882.51</v>
      </c>
      <c r="J1350" t="inlineStr">
        <is>
          <t>Created MTR-IOS-1349 and correlation note visible in Activity/Pulse</t>
        </is>
      </c>
      <c r="K1350" t="inlineStr">
        <is>
          <t>NOT_RUN</t>
        </is>
      </c>
      <c r="P1350" t="n">
        <v>0</v>
      </c>
      <c r="Q1350" t="n">
        <v>1349</v>
      </c>
    </row>
    <row r="1351">
      <c r="A1351" t="n">
        <v>1350</v>
      </c>
      <c r="B1351" t="inlineStr">
        <is>
          <t>MTR-IOS-1350</t>
        </is>
      </c>
      <c r="C1351" t="inlineStr">
        <is>
          <t>iPhone</t>
        </is>
      </c>
      <c r="D1351" t="inlineStr">
        <is>
          <t>Business</t>
        </is>
      </c>
      <c r="E1351" t="inlineStr">
        <is>
          <t>Business</t>
        </is>
      </c>
      <c r="F1351" t="inlineStr">
        <is>
          <t>Business Runway</t>
        </is>
      </c>
      <c r="G1351" t="inlineStr">
        <is>
          <t>Revenue</t>
        </is>
      </c>
      <c r="H1351" t="inlineStr">
        <is>
          <t>Business &gt; Business Runway &gt; Quick Add &gt; Revenue</t>
        </is>
      </c>
      <c r="I1351" s="18" t="n">
        <v>45211.74</v>
      </c>
      <c r="J1351" t="inlineStr">
        <is>
          <t>Created MTR-IOS-1350 and correlation note visible in Activity/Pulse</t>
        </is>
      </c>
      <c r="K1351" t="inlineStr">
        <is>
          <t>NOT_RUN</t>
        </is>
      </c>
      <c r="P1351" t="n">
        <v>0</v>
      </c>
      <c r="Q1351" t="n">
        <v>1350</v>
      </c>
    </row>
    <row r="1352">
      <c r="A1352" t="n">
        <v>1351</v>
      </c>
      <c r="B1352" t="inlineStr">
        <is>
          <t>MTR-IOS-1351</t>
        </is>
      </c>
      <c r="C1352" t="inlineStr">
        <is>
          <t>iPhone</t>
        </is>
      </c>
      <c r="D1352" t="inlineStr">
        <is>
          <t>Personal</t>
        </is>
      </c>
      <c r="E1352" t="inlineStr">
        <is>
          <t>Personal</t>
        </is>
      </c>
      <c r="F1352" t="inlineStr">
        <is>
          <t>Lifestyle</t>
        </is>
      </c>
      <c r="G1352" t="inlineStr">
        <is>
          <t>Shopping</t>
        </is>
      </c>
      <c r="H1352" t="inlineStr">
        <is>
          <t>Personal &gt; Lifestyle &gt; Quick Add &gt; Shopping</t>
        </is>
      </c>
      <c r="I1352" s="18" t="n">
        <v>14807.8</v>
      </c>
      <c r="J1352" t="inlineStr">
        <is>
          <t>Created MTR-IOS-1351 and correlation note visible in Activity/Pulse</t>
        </is>
      </c>
      <c r="K1352" t="inlineStr">
        <is>
          <t>NOT_RUN</t>
        </is>
      </c>
      <c r="P1352" t="n">
        <v>0</v>
      </c>
      <c r="Q1352" t="n">
        <v>1351</v>
      </c>
    </row>
    <row r="1353">
      <c r="A1353" t="n">
        <v>1352</v>
      </c>
      <c r="B1353" t="inlineStr">
        <is>
          <t>MTR-IOS-1352</t>
        </is>
      </c>
      <c r="C1353" t="inlineStr">
        <is>
          <t>iPhone</t>
        </is>
      </c>
      <c r="D1353" t="inlineStr">
        <is>
          <t>Group</t>
        </is>
      </c>
      <c r="E1353" t="inlineStr">
        <is>
          <t>Shared Living</t>
        </is>
      </c>
      <c r="F1353" t="inlineStr">
        <is>
          <t>Flatmates</t>
        </is>
      </c>
      <c r="G1353" t="inlineStr">
        <is>
          <t>Repairs</t>
        </is>
      </c>
      <c r="H1353" t="inlineStr">
        <is>
          <t>Group &gt; Flatmates &gt; Quick Add &gt; Repairs</t>
        </is>
      </c>
      <c r="I1353" s="18" t="n">
        <v>22704.5</v>
      </c>
      <c r="J1353" t="inlineStr">
        <is>
          <t>Created MTR-IOS-1352 and correlation note visible in Activity/Pulse</t>
        </is>
      </c>
      <c r="K1353" t="inlineStr">
        <is>
          <t>NOT_RUN</t>
        </is>
      </c>
      <c r="P1353" t="n">
        <v>0</v>
      </c>
      <c r="Q1353" t="n">
        <v>1352</v>
      </c>
    </row>
    <row r="1354">
      <c r="A1354" t="n">
        <v>1353</v>
      </c>
      <c r="B1354" t="inlineStr">
        <is>
          <t>MTR-IOS-1353</t>
        </is>
      </c>
      <c r="C1354" t="inlineStr">
        <is>
          <t>iPhone</t>
        </is>
      </c>
      <c r="D1354" t="inlineStr">
        <is>
          <t>Business</t>
        </is>
      </c>
      <c r="E1354" t="inlineStr">
        <is>
          <t>Business</t>
        </is>
      </c>
      <c r="F1354" t="inlineStr">
        <is>
          <t>Business Runway</t>
        </is>
      </c>
      <c r="G1354" t="inlineStr">
        <is>
          <t>Burn</t>
        </is>
      </c>
      <c r="H1354" t="inlineStr">
        <is>
          <t>Business &gt; Business Runway &gt; Quick Add &gt; Burn</t>
        </is>
      </c>
      <c r="I1354" s="18" t="n">
        <v>137549.28</v>
      </c>
      <c r="J1354" t="inlineStr">
        <is>
          <t>Created MTR-IOS-1353 and correlation note visible in Activity/Pulse</t>
        </is>
      </c>
      <c r="K1354" t="inlineStr">
        <is>
          <t>NOT_RUN</t>
        </is>
      </c>
      <c r="P1354" t="n">
        <v>0</v>
      </c>
      <c r="Q1354" t="n">
        <v>1353</v>
      </c>
    </row>
    <row r="1355">
      <c r="A1355" t="n">
        <v>1354</v>
      </c>
      <c r="B1355" t="inlineStr">
        <is>
          <t>MTR-IOS-1354</t>
        </is>
      </c>
      <c r="C1355" t="inlineStr">
        <is>
          <t>iPhone</t>
        </is>
      </c>
      <c r="D1355" t="inlineStr">
        <is>
          <t>Personal</t>
        </is>
      </c>
      <c r="E1355" t="inlineStr">
        <is>
          <t>Personal</t>
        </is>
      </c>
      <c r="F1355" t="inlineStr">
        <is>
          <t>Lifestyle</t>
        </is>
      </c>
      <c r="G1355" t="inlineStr">
        <is>
          <t>Entertainment</t>
        </is>
      </c>
      <c r="H1355" t="inlineStr">
        <is>
          <t>Personal &gt; Lifestyle &gt; Quick Add &gt; Entertainment</t>
        </is>
      </c>
      <c r="I1355" s="18" t="n">
        <v>12985.02</v>
      </c>
      <c r="J1355" t="inlineStr">
        <is>
          <t>Created MTR-IOS-1354 and correlation note visible in Activity/Pulse</t>
        </is>
      </c>
      <c r="K1355" t="inlineStr">
        <is>
          <t>NOT_RUN</t>
        </is>
      </c>
      <c r="P1355" t="n">
        <v>0</v>
      </c>
      <c r="Q1355" t="n">
        <v>1354</v>
      </c>
    </row>
    <row r="1356">
      <c r="A1356" t="n">
        <v>1355</v>
      </c>
      <c r="B1356" t="inlineStr">
        <is>
          <t>MTR-IOS-1355</t>
        </is>
      </c>
      <c r="C1356" t="inlineStr">
        <is>
          <t>iPhone</t>
        </is>
      </c>
      <c r="D1356" t="inlineStr">
        <is>
          <t>Group</t>
        </is>
      </c>
      <c r="E1356" t="inlineStr">
        <is>
          <t>Shared Living</t>
        </is>
      </c>
      <c r="F1356" t="inlineStr">
        <is>
          <t>Shared Living</t>
        </is>
      </c>
      <c r="G1356" t="inlineStr">
        <is>
          <t>Rent</t>
        </is>
      </c>
      <c r="H1356" t="inlineStr">
        <is>
          <t>Group &gt; Shared Living &gt; Quick Add &gt; Rent</t>
        </is>
      </c>
      <c r="I1356" s="18" t="n">
        <v>17232.77</v>
      </c>
      <c r="J1356" t="inlineStr">
        <is>
          <t>Created MTR-IOS-1355 and correlation note visible in Activity/Pulse</t>
        </is>
      </c>
      <c r="K1356" t="inlineStr">
        <is>
          <t>NOT_RUN</t>
        </is>
      </c>
      <c r="P1356" t="n">
        <v>0</v>
      </c>
      <c r="Q1356" t="n">
        <v>1355</v>
      </c>
    </row>
    <row r="1357">
      <c r="A1357" t="n">
        <v>1356</v>
      </c>
      <c r="B1357" t="inlineStr">
        <is>
          <t>MTR-IOS-1356</t>
        </is>
      </c>
      <c r="C1357" t="inlineStr">
        <is>
          <t>iPhone</t>
        </is>
      </c>
      <c r="D1357" t="inlineStr">
        <is>
          <t>Business</t>
        </is>
      </c>
      <c r="E1357" t="inlineStr">
        <is>
          <t>Business</t>
        </is>
      </c>
      <c r="F1357" t="inlineStr">
        <is>
          <t>Business Runway</t>
        </is>
      </c>
      <c r="G1357" t="inlineStr">
        <is>
          <t>Reserve</t>
        </is>
      </c>
      <c r="H1357" t="inlineStr">
        <is>
          <t>Business &gt; Business Runway &gt; Quick Add &gt; Reserve</t>
        </is>
      </c>
      <c r="I1357" s="18" t="n">
        <v>72955.35000000001</v>
      </c>
      <c r="J1357" t="inlineStr">
        <is>
          <t>Created MTR-IOS-1356 and correlation note visible in Activity/Pulse</t>
        </is>
      </c>
      <c r="K1357" t="inlineStr">
        <is>
          <t>NOT_RUN</t>
        </is>
      </c>
      <c r="P1357" t="n">
        <v>0</v>
      </c>
      <c r="Q1357" t="n">
        <v>1356</v>
      </c>
    </row>
    <row r="1358">
      <c r="A1358" t="n">
        <v>1357</v>
      </c>
      <c r="B1358" t="inlineStr">
        <is>
          <t>MTR-IOS-1357</t>
        </is>
      </c>
      <c r="C1358" t="inlineStr">
        <is>
          <t>iPhone</t>
        </is>
      </c>
      <c r="D1358" t="inlineStr">
        <is>
          <t>Personal</t>
        </is>
      </c>
      <c r="E1358" t="inlineStr">
        <is>
          <t>Personal</t>
        </is>
      </c>
      <c r="F1358" t="inlineStr">
        <is>
          <t>Lifestyle</t>
        </is>
      </c>
      <c r="G1358" t="inlineStr">
        <is>
          <t>Travel</t>
        </is>
      </c>
      <c r="H1358" t="inlineStr">
        <is>
          <t>Personal &gt; Lifestyle &gt; Quick Add &gt; Travel</t>
        </is>
      </c>
      <c r="I1358" s="18" t="n">
        <v>17102.84</v>
      </c>
      <c r="J1358" t="inlineStr">
        <is>
          <t>Created MTR-IOS-1357 and correlation note visible in Activity/Pulse</t>
        </is>
      </c>
      <c r="K1358" t="inlineStr">
        <is>
          <t>NOT_RUN</t>
        </is>
      </c>
      <c r="P1358" t="n">
        <v>0</v>
      </c>
      <c r="Q1358" t="n">
        <v>1357</v>
      </c>
    </row>
    <row r="1359">
      <c r="A1359" t="n">
        <v>1358</v>
      </c>
      <c r="B1359" t="inlineStr">
        <is>
          <t>MTR-IOS-1358</t>
        </is>
      </c>
      <c r="C1359" t="inlineStr">
        <is>
          <t>iPhone</t>
        </is>
      </c>
      <c r="D1359" t="inlineStr">
        <is>
          <t>Group</t>
        </is>
      </c>
      <c r="E1359" t="inlineStr">
        <is>
          <t>Shared Living</t>
        </is>
      </c>
      <c r="F1359" t="inlineStr">
        <is>
          <t>Shared Living</t>
        </is>
      </c>
      <c r="G1359" t="inlineStr">
        <is>
          <t>Utilities</t>
        </is>
      </c>
      <c r="H1359" t="inlineStr">
        <is>
          <t>Group &gt; Shared Living &gt; Quick Add &gt; Utilities</t>
        </is>
      </c>
      <c r="I1359" s="18" t="n">
        <v>9822.549999999999</v>
      </c>
      <c r="J1359" t="inlineStr">
        <is>
          <t>Created MTR-IOS-1358 and correlation note visible in Activity/Pulse</t>
        </is>
      </c>
      <c r="K1359" t="inlineStr">
        <is>
          <t>NOT_RUN</t>
        </is>
      </c>
      <c r="P1359" t="n">
        <v>0</v>
      </c>
      <c r="Q1359" t="n">
        <v>1358</v>
      </c>
    </row>
    <row r="1360">
      <c r="A1360" t="n">
        <v>1359</v>
      </c>
      <c r="B1360" t="inlineStr">
        <is>
          <t>MTR-IOS-1359</t>
        </is>
      </c>
      <c r="C1360" t="inlineStr">
        <is>
          <t>iPhone</t>
        </is>
      </c>
      <c r="D1360" t="inlineStr">
        <is>
          <t>Business</t>
        </is>
      </c>
      <c r="E1360" t="inlineStr">
        <is>
          <t>Business</t>
        </is>
      </c>
      <c r="F1360" t="inlineStr">
        <is>
          <t>Business Runway</t>
        </is>
      </c>
      <c r="G1360" t="inlineStr">
        <is>
          <t>Loan</t>
        </is>
      </c>
      <c r="H1360" t="inlineStr">
        <is>
          <t>Business &gt; Business Runway &gt; Quick Add &gt; Loan</t>
        </is>
      </c>
      <c r="I1360" s="18" t="n">
        <v>81790.39</v>
      </c>
      <c r="J1360" t="inlineStr">
        <is>
          <t>Created MTR-IOS-1359 and correlation note visible in Activity/Pulse</t>
        </is>
      </c>
      <c r="K1360" t="inlineStr">
        <is>
          <t>NOT_RUN</t>
        </is>
      </c>
      <c r="P1360" t="n">
        <v>0</v>
      </c>
      <c r="Q1360" t="n">
        <v>1359</v>
      </c>
    </row>
    <row r="1361">
      <c r="A1361" t="n">
        <v>1360</v>
      </c>
      <c r="B1361" t="inlineStr">
        <is>
          <t>MTR-IOS-1360</t>
        </is>
      </c>
      <c r="C1361" t="inlineStr">
        <is>
          <t>iPhone</t>
        </is>
      </c>
      <c r="D1361" t="inlineStr">
        <is>
          <t>Personal</t>
        </is>
      </c>
      <c r="E1361" t="inlineStr">
        <is>
          <t>Personal</t>
        </is>
      </c>
      <c r="F1361" t="inlineStr">
        <is>
          <t>Lifestyle</t>
        </is>
      </c>
      <c r="G1361" t="inlineStr">
        <is>
          <t>Fitness</t>
        </is>
      </c>
      <c r="H1361" t="inlineStr">
        <is>
          <t>Personal &gt; Lifestyle &gt; Quick Add &gt; Fitness</t>
        </is>
      </c>
      <c r="I1361" s="18" t="n">
        <v>15381.84</v>
      </c>
      <c r="J1361" t="inlineStr">
        <is>
          <t>Created MTR-IOS-1360 and correlation note visible in Activity/Pulse</t>
        </is>
      </c>
      <c r="K1361" t="inlineStr">
        <is>
          <t>NOT_RUN</t>
        </is>
      </c>
      <c r="P1361" t="n">
        <v>0</v>
      </c>
      <c r="Q1361" t="n">
        <v>1360</v>
      </c>
    </row>
    <row r="1362">
      <c r="A1362" t="n">
        <v>1361</v>
      </c>
      <c r="B1362" t="inlineStr">
        <is>
          <t>MTR-IOS-1361</t>
        </is>
      </c>
      <c r="C1362" t="inlineStr">
        <is>
          <t>iPhone</t>
        </is>
      </c>
      <c r="D1362" t="inlineStr">
        <is>
          <t>Group</t>
        </is>
      </c>
      <c r="E1362" t="inlineStr">
        <is>
          <t>Shared Living</t>
        </is>
      </c>
      <c r="F1362" t="inlineStr">
        <is>
          <t>Shared Living</t>
        </is>
      </c>
      <c r="G1362" t="inlineStr">
        <is>
          <t>Groceries</t>
        </is>
      </c>
      <c r="H1362" t="inlineStr">
        <is>
          <t>Group &gt; Shared Living &gt; Quick Add &gt; Groceries</t>
        </is>
      </c>
      <c r="I1362" s="18" t="n">
        <v>146.12</v>
      </c>
      <c r="J1362" t="inlineStr">
        <is>
          <t>Created MTR-IOS-1361 and correlation note visible in Activity/Pulse</t>
        </is>
      </c>
      <c r="K1362" t="inlineStr">
        <is>
          <t>NOT_RUN</t>
        </is>
      </c>
      <c r="P1362" t="n">
        <v>0</v>
      </c>
      <c r="Q1362" t="n">
        <v>1361</v>
      </c>
    </row>
    <row r="1363">
      <c r="A1363" t="n">
        <v>1362</v>
      </c>
      <c r="B1363" t="inlineStr">
        <is>
          <t>MTR-IOS-1362</t>
        </is>
      </c>
      <c r="C1363" t="inlineStr">
        <is>
          <t>iPhone</t>
        </is>
      </c>
      <c r="D1363" t="inlineStr">
        <is>
          <t>Business</t>
        </is>
      </c>
      <c r="E1363" t="inlineStr">
        <is>
          <t>Business</t>
        </is>
      </c>
      <c r="F1363" t="inlineStr">
        <is>
          <t>Business Runway</t>
        </is>
      </c>
      <c r="G1363" t="inlineStr">
        <is>
          <t>Investment</t>
        </is>
      </c>
      <c r="H1363" t="inlineStr">
        <is>
          <t>Business &gt; Business Runway &gt; Quick Add &gt; Investment</t>
        </is>
      </c>
      <c r="I1363" s="18" t="n">
        <v>119785.23</v>
      </c>
      <c r="J1363" t="inlineStr">
        <is>
          <t>Created MTR-IOS-1362 and correlation note visible in Activity/Pulse</t>
        </is>
      </c>
      <c r="K1363" t="inlineStr">
        <is>
          <t>NOT_RUN</t>
        </is>
      </c>
      <c r="P1363" t="n">
        <v>0</v>
      </c>
      <c r="Q1363" t="n">
        <v>1362</v>
      </c>
    </row>
    <row r="1364">
      <c r="A1364" t="n">
        <v>1363</v>
      </c>
      <c r="B1364" t="inlineStr">
        <is>
          <t>MTR-IOS-1363</t>
        </is>
      </c>
      <c r="C1364" t="inlineStr">
        <is>
          <t>iPhone</t>
        </is>
      </c>
      <c r="D1364" t="inlineStr">
        <is>
          <t>Personal</t>
        </is>
      </c>
      <c r="E1364" t="inlineStr">
        <is>
          <t>Personal</t>
        </is>
      </c>
      <c r="F1364" t="inlineStr">
        <is>
          <t>Lifestyle</t>
        </is>
      </c>
      <c r="G1364" t="inlineStr">
        <is>
          <t>Hobbies</t>
        </is>
      </c>
      <c r="H1364" t="inlineStr">
        <is>
          <t>Personal &gt; Lifestyle &gt; Quick Add &gt; Hobbies</t>
        </is>
      </c>
      <c r="I1364" s="18" t="n">
        <v>12021.17</v>
      </c>
      <c r="J1364" t="inlineStr">
        <is>
          <t>Created MTR-IOS-1363 and correlation note visible in Activity/Pulse</t>
        </is>
      </c>
      <c r="K1364" t="inlineStr">
        <is>
          <t>NOT_RUN</t>
        </is>
      </c>
      <c r="P1364" t="n">
        <v>0</v>
      </c>
      <c r="Q1364" t="n">
        <v>1363</v>
      </c>
    </row>
    <row r="1365">
      <c r="A1365" t="n">
        <v>1364</v>
      </c>
      <c r="B1365" t="inlineStr">
        <is>
          <t>MTR-IOS-1364</t>
        </is>
      </c>
      <c r="C1365" t="inlineStr">
        <is>
          <t>iPhone</t>
        </is>
      </c>
      <c r="D1365" t="inlineStr">
        <is>
          <t>Group</t>
        </is>
      </c>
      <c r="E1365" t="inlineStr">
        <is>
          <t>Shared Living</t>
        </is>
      </c>
      <c r="F1365" t="inlineStr">
        <is>
          <t>Shared Living</t>
        </is>
      </c>
      <c r="G1365" t="inlineStr">
        <is>
          <t>Maintenance</t>
        </is>
      </c>
      <c r="H1365" t="inlineStr">
        <is>
          <t>Group &gt; Shared Living &gt; Quick Add &gt; Maintenance</t>
        </is>
      </c>
      <c r="I1365" s="18" t="n">
        <v>23784.02</v>
      </c>
      <c r="J1365" t="inlineStr">
        <is>
          <t>Created MTR-IOS-1364 and correlation note visible in Activity/Pulse</t>
        </is>
      </c>
      <c r="K1365" t="inlineStr">
        <is>
          <t>NOT_RUN</t>
        </is>
      </c>
      <c r="P1365" t="n">
        <v>0</v>
      </c>
      <c r="Q1365" t="n">
        <v>1364</v>
      </c>
    </row>
    <row r="1366">
      <c r="A1366" t="n">
        <v>1365</v>
      </c>
      <c r="B1366" t="inlineStr">
        <is>
          <t>MTR-IOS-1365</t>
        </is>
      </c>
      <c r="C1366" t="inlineStr">
        <is>
          <t>iPhone</t>
        </is>
      </c>
      <c r="D1366" t="inlineStr">
        <is>
          <t>Business</t>
        </is>
      </c>
      <c r="E1366" t="inlineStr">
        <is>
          <t>Business</t>
        </is>
      </c>
      <c r="F1366" t="inlineStr">
        <is>
          <t>Business Operations</t>
        </is>
      </c>
      <c r="G1366" t="inlineStr">
        <is>
          <t>Software</t>
        </is>
      </c>
      <c r="H1366" t="inlineStr">
        <is>
          <t>Business &gt; Business Operations &gt; Quick Add &gt; Software</t>
        </is>
      </c>
      <c r="I1366" s="18" t="n">
        <v>67423.48</v>
      </c>
      <c r="J1366" t="inlineStr">
        <is>
          <t>Created MTR-IOS-1365 and correlation note visible in Activity/Pulse</t>
        </is>
      </c>
      <c r="K1366" t="inlineStr">
        <is>
          <t>NOT_RUN</t>
        </is>
      </c>
      <c r="P1366" t="n">
        <v>0</v>
      </c>
      <c r="Q1366" t="n">
        <v>1365</v>
      </c>
    </row>
    <row r="1367">
      <c r="A1367" t="n">
        <v>1366</v>
      </c>
      <c r="B1367" t="inlineStr">
        <is>
          <t>MTR-IOS-1366</t>
        </is>
      </c>
      <c r="C1367" t="inlineStr">
        <is>
          <t>iPhone</t>
        </is>
      </c>
      <c r="D1367" t="inlineStr">
        <is>
          <t>Personal</t>
        </is>
      </c>
      <c r="E1367" t="inlineStr">
        <is>
          <t>Personal</t>
        </is>
      </c>
      <c r="F1367" t="inlineStr">
        <is>
          <t>Relationships</t>
        </is>
      </c>
      <c r="G1367" t="inlineStr">
        <is>
          <t>Gifts</t>
        </is>
      </c>
      <c r="H1367" t="inlineStr">
        <is>
          <t>Personal &gt; Relationships &gt; Quick Add &gt; Gifts</t>
        </is>
      </c>
      <c r="I1367" s="18" t="n">
        <v>9123.799999999999</v>
      </c>
      <c r="J1367" t="inlineStr">
        <is>
          <t>Created MTR-IOS-1366 and correlation note visible in Activity/Pulse</t>
        </is>
      </c>
      <c r="K1367" t="inlineStr">
        <is>
          <t>NOT_RUN</t>
        </is>
      </c>
      <c r="P1367" t="n">
        <v>0</v>
      </c>
      <c r="Q1367" t="n">
        <v>1366</v>
      </c>
    </row>
    <row r="1368">
      <c r="A1368" t="n">
        <v>1367</v>
      </c>
      <c r="B1368" t="inlineStr">
        <is>
          <t>MTR-IOS-1367</t>
        </is>
      </c>
      <c r="C1368" t="inlineStr">
        <is>
          <t>iPhone</t>
        </is>
      </c>
      <c r="D1368" t="inlineStr">
        <is>
          <t>Group</t>
        </is>
      </c>
      <c r="E1368" t="inlineStr">
        <is>
          <t>Shared Living</t>
        </is>
      </c>
      <c r="F1368" t="inlineStr">
        <is>
          <t>Shared Living</t>
        </is>
      </c>
      <c r="G1368" t="inlineStr">
        <is>
          <t>Other</t>
        </is>
      </c>
      <c r="H1368" t="inlineStr">
        <is>
          <t>Group &gt; Shared Living &gt; Quick Add &gt; Other</t>
        </is>
      </c>
      <c r="I1368" s="18" t="n">
        <v>15894.32</v>
      </c>
      <c r="J1368" t="inlineStr">
        <is>
          <t>Created MTR-IOS-1367 and correlation note visible in Activity/Pulse</t>
        </is>
      </c>
      <c r="K1368" t="inlineStr">
        <is>
          <t>NOT_RUN</t>
        </is>
      </c>
      <c r="P1368" t="n">
        <v>0</v>
      </c>
      <c r="Q1368" t="n">
        <v>1367</v>
      </c>
    </row>
    <row r="1369">
      <c r="A1369" t="n">
        <v>1368</v>
      </c>
      <c r="B1369" t="inlineStr">
        <is>
          <t>MTR-IOS-1368</t>
        </is>
      </c>
      <c r="C1369" t="inlineStr">
        <is>
          <t>iPhone</t>
        </is>
      </c>
      <c r="D1369" t="inlineStr">
        <is>
          <t>Business</t>
        </is>
      </c>
      <c r="E1369" t="inlineStr">
        <is>
          <t>Business</t>
        </is>
      </c>
      <c r="F1369" t="inlineStr">
        <is>
          <t>Business Operations</t>
        </is>
      </c>
      <c r="G1369" t="inlineStr">
        <is>
          <t>Rent</t>
        </is>
      </c>
      <c r="H1369" t="inlineStr">
        <is>
          <t>Business &gt; Business Operations &gt; Quick Add &gt; Rent</t>
        </is>
      </c>
      <c r="I1369" s="18" t="n">
        <v>110859.51</v>
      </c>
      <c r="J1369" t="inlineStr">
        <is>
          <t>Created MTR-IOS-1368 and correlation note visible in Activity/Pulse</t>
        </is>
      </c>
      <c r="K1369" t="inlineStr">
        <is>
          <t>NOT_RUN</t>
        </is>
      </c>
      <c r="P1369" t="n">
        <v>0</v>
      </c>
      <c r="Q1369" t="n">
        <v>1368</v>
      </c>
    </row>
    <row r="1370">
      <c r="A1370" t="n">
        <v>1369</v>
      </c>
      <c r="B1370" t="inlineStr">
        <is>
          <t>MTR-IOS-1369</t>
        </is>
      </c>
      <c r="C1370" t="inlineStr">
        <is>
          <t>iPhone</t>
        </is>
      </c>
      <c r="D1370" t="inlineStr">
        <is>
          <t>Personal</t>
        </is>
      </c>
      <c r="E1370" t="inlineStr">
        <is>
          <t>Personal</t>
        </is>
      </c>
      <c r="F1370" t="inlineStr">
        <is>
          <t>Relationships</t>
        </is>
      </c>
      <c r="G1370" t="inlineStr">
        <is>
          <t>Dates</t>
        </is>
      </c>
      <c r="H1370" t="inlineStr">
        <is>
          <t>Personal &gt; Relationships &gt; Quick Add &gt; Dates</t>
        </is>
      </c>
      <c r="I1370" s="18" t="n">
        <v>1</v>
      </c>
      <c r="J1370" t="inlineStr">
        <is>
          <t>Created MTR-IOS-1369 and correlation note visible in Activity/Pulse</t>
        </is>
      </c>
      <c r="K1370" t="inlineStr">
        <is>
          <t>NOT_RUN</t>
        </is>
      </c>
      <c r="P1370" t="n">
        <v>0</v>
      </c>
      <c r="Q1370" t="n">
        <v>1369</v>
      </c>
    </row>
    <row r="1371">
      <c r="A1371" t="n">
        <v>1370</v>
      </c>
      <c r="B1371" t="inlineStr">
        <is>
          <t>MTR-IOS-1370</t>
        </is>
      </c>
      <c r="C1371" t="inlineStr">
        <is>
          <t>iPhone</t>
        </is>
      </c>
      <c r="D1371" t="inlineStr">
        <is>
          <t>Group</t>
        </is>
      </c>
      <c r="E1371" t="inlineStr">
        <is>
          <t>Shared Living</t>
        </is>
      </c>
      <c r="F1371" t="inlineStr">
        <is>
          <t>Family Household</t>
        </is>
      </c>
      <c r="G1371" t="inlineStr">
        <is>
          <t>Groceries</t>
        </is>
      </c>
      <c r="H1371" t="inlineStr">
        <is>
          <t>Group &gt; Family Household &gt; Quick Add &gt; Groceries</t>
        </is>
      </c>
      <c r="I1371" s="18" t="n">
        <v>18371.46</v>
      </c>
      <c r="J1371" t="inlineStr">
        <is>
          <t>Created MTR-IOS-1370 and correlation note visible in Activity/Pulse</t>
        </is>
      </c>
      <c r="K1371" t="inlineStr">
        <is>
          <t>NOT_RUN</t>
        </is>
      </c>
      <c r="P1371" t="n">
        <v>0</v>
      </c>
      <c r="Q1371" t="n">
        <v>1370</v>
      </c>
    </row>
    <row r="1372">
      <c r="A1372" t="n">
        <v>1371</v>
      </c>
      <c r="B1372" t="inlineStr">
        <is>
          <t>MTR-IOS-1371</t>
        </is>
      </c>
      <c r="C1372" t="inlineStr">
        <is>
          <t>iPhone</t>
        </is>
      </c>
      <c r="D1372" t="inlineStr">
        <is>
          <t>Business</t>
        </is>
      </c>
      <c r="E1372" t="inlineStr">
        <is>
          <t>Business</t>
        </is>
      </c>
      <c r="F1372" t="inlineStr">
        <is>
          <t>Business Operations</t>
        </is>
      </c>
      <c r="G1372" t="inlineStr">
        <is>
          <t>Marketing</t>
        </is>
      </c>
      <c r="H1372" t="inlineStr">
        <is>
          <t>Business &gt; Business Operations &gt; Quick Add &gt; Marketing</t>
        </is>
      </c>
      <c r="I1372" s="18" t="n">
        <v>48737.79</v>
      </c>
      <c r="J1372" t="inlineStr">
        <is>
          <t>Created MTR-IOS-1371 and correlation note visible in Activity/Pulse</t>
        </is>
      </c>
      <c r="K1372" t="inlineStr">
        <is>
          <t>NOT_RUN</t>
        </is>
      </c>
      <c r="P1372" t="n">
        <v>0</v>
      </c>
      <c r="Q1372" t="n">
        <v>1371</v>
      </c>
    </row>
    <row r="1373">
      <c r="A1373" t="n">
        <v>1372</v>
      </c>
      <c r="B1373" t="inlineStr">
        <is>
          <t>MTR-IOS-1372</t>
        </is>
      </c>
      <c r="C1373" t="inlineStr">
        <is>
          <t>iPhone</t>
        </is>
      </c>
      <c r="D1373" t="inlineStr">
        <is>
          <t>Personal</t>
        </is>
      </c>
      <c r="E1373" t="inlineStr">
        <is>
          <t>Personal</t>
        </is>
      </c>
      <c r="F1373" t="inlineStr">
        <is>
          <t>Relationships</t>
        </is>
      </c>
      <c r="G1373" t="inlineStr">
        <is>
          <t>Family</t>
        </is>
      </c>
      <c r="H1373" t="inlineStr">
        <is>
          <t>Personal &gt; Relationships &gt; Quick Add &gt; Family</t>
        </is>
      </c>
      <c r="I1373" s="18" t="n">
        <v>12294.67</v>
      </c>
      <c r="J1373" t="inlineStr">
        <is>
          <t>Created MTR-IOS-1372 and correlation note visible in Activity/Pulse</t>
        </is>
      </c>
      <c r="K1373" t="inlineStr">
        <is>
          <t>NOT_RUN</t>
        </is>
      </c>
      <c r="P1373" t="n">
        <v>0</v>
      </c>
      <c r="Q1373" t="n">
        <v>1372</v>
      </c>
    </row>
    <row r="1374">
      <c r="A1374" t="n">
        <v>1373</v>
      </c>
      <c r="B1374" t="inlineStr">
        <is>
          <t>MTR-IOS-1373</t>
        </is>
      </c>
      <c r="C1374" t="inlineStr">
        <is>
          <t>iPhone</t>
        </is>
      </c>
      <c r="D1374" t="inlineStr">
        <is>
          <t>Group</t>
        </is>
      </c>
      <c r="E1374" t="inlineStr">
        <is>
          <t>Shared Living</t>
        </is>
      </c>
      <c r="F1374" t="inlineStr">
        <is>
          <t>Family Household</t>
        </is>
      </c>
      <c r="G1374" t="inlineStr">
        <is>
          <t>Bills</t>
        </is>
      </c>
      <c r="H1374" t="inlineStr">
        <is>
          <t>Group &gt; Family Household &gt; Quick Add &gt; Bills</t>
        </is>
      </c>
      <c r="I1374" s="18" t="n">
        <v>2295.9</v>
      </c>
      <c r="J1374" t="inlineStr">
        <is>
          <t>Created MTR-IOS-1373 and correlation note visible in Activity/Pulse</t>
        </is>
      </c>
      <c r="K1374" t="inlineStr">
        <is>
          <t>NOT_RUN</t>
        </is>
      </c>
      <c r="P1374" t="n">
        <v>0</v>
      </c>
      <c r="Q1374" t="n">
        <v>1373</v>
      </c>
    </row>
    <row r="1375">
      <c r="A1375" t="n">
        <v>1374</v>
      </c>
      <c r="B1375" t="inlineStr">
        <is>
          <t>MTR-IOS-1374</t>
        </is>
      </c>
      <c r="C1375" t="inlineStr">
        <is>
          <t>iPhone</t>
        </is>
      </c>
      <c r="D1375" t="inlineStr">
        <is>
          <t>Business</t>
        </is>
      </c>
      <c r="E1375" t="inlineStr">
        <is>
          <t>Business</t>
        </is>
      </c>
      <c r="F1375" t="inlineStr">
        <is>
          <t>Business Operations</t>
        </is>
      </c>
      <c r="G1375" t="inlineStr">
        <is>
          <t>Legal</t>
        </is>
      </c>
      <c r="H1375" t="inlineStr">
        <is>
          <t>Business &gt; Business Operations &gt; Quick Add &gt; Legal</t>
        </is>
      </c>
      <c r="I1375" s="18" t="n">
        <v>72408.41</v>
      </c>
      <c r="J1375" t="inlineStr">
        <is>
          <t>Created MTR-IOS-1374 and correlation note visible in Activity/Pulse</t>
        </is>
      </c>
      <c r="K1375" t="inlineStr">
        <is>
          <t>NOT_RUN</t>
        </is>
      </c>
      <c r="P1375" t="n">
        <v>0</v>
      </c>
      <c r="Q1375" t="n">
        <v>1374</v>
      </c>
    </row>
    <row r="1376">
      <c r="A1376" t="n">
        <v>1375</v>
      </c>
      <c r="B1376" t="inlineStr">
        <is>
          <t>MTR-IOS-1375</t>
        </is>
      </c>
      <c r="C1376" t="inlineStr">
        <is>
          <t>iPhone</t>
        </is>
      </c>
      <c r="D1376" t="inlineStr">
        <is>
          <t>Personal</t>
        </is>
      </c>
      <c r="E1376" t="inlineStr">
        <is>
          <t>Personal</t>
        </is>
      </c>
      <c r="F1376" t="inlineStr">
        <is>
          <t>Relationships</t>
        </is>
      </c>
      <c r="G1376" t="inlineStr">
        <is>
          <t>Friends</t>
        </is>
      </c>
      <c r="H1376" t="inlineStr">
        <is>
          <t>Personal &gt; Relationships &gt; Quick Add &gt; Friends</t>
        </is>
      </c>
      <c r="I1376" s="18" t="n">
        <v>1233.42</v>
      </c>
      <c r="J1376" t="inlineStr">
        <is>
          <t>Created MTR-IOS-1375 and correlation note visible in Activity/Pulse</t>
        </is>
      </c>
      <c r="K1376" t="inlineStr">
        <is>
          <t>NOT_RUN</t>
        </is>
      </c>
      <c r="P1376" t="n">
        <v>0</v>
      </c>
      <c r="Q1376" t="n">
        <v>1375</v>
      </c>
    </row>
    <row r="1377">
      <c r="A1377" t="n">
        <v>1376</v>
      </c>
      <c r="B1377" t="inlineStr">
        <is>
          <t>MTR-IOS-1376</t>
        </is>
      </c>
      <c r="C1377" t="inlineStr">
        <is>
          <t>iPhone</t>
        </is>
      </c>
      <c r="D1377" t="inlineStr">
        <is>
          <t>Group</t>
        </is>
      </c>
      <c r="E1377" t="inlineStr">
        <is>
          <t>Shared Living</t>
        </is>
      </c>
      <c r="F1377" t="inlineStr">
        <is>
          <t>Family Household</t>
        </is>
      </c>
      <c r="G1377" t="inlineStr">
        <is>
          <t>School</t>
        </is>
      </c>
      <c r="H1377" t="inlineStr">
        <is>
          <t>Group &gt; Family Household &gt; Quick Add &gt; School</t>
        </is>
      </c>
      <c r="I1377" s="18" t="n">
        <v>259.15</v>
      </c>
      <c r="J1377" t="inlineStr">
        <is>
          <t>Created MTR-IOS-1376 and correlation note visible in Activity/Pulse</t>
        </is>
      </c>
      <c r="K1377" t="inlineStr">
        <is>
          <t>NOT_RUN</t>
        </is>
      </c>
      <c r="P1377" t="n">
        <v>0</v>
      </c>
      <c r="Q1377" t="n">
        <v>1376</v>
      </c>
    </row>
    <row r="1378">
      <c r="A1378" t="n">
        <v>1377</v>
      </c>
      <c r="B1378" t="inlineStr">
        <is>
          <t>MTR-IOS-1377</t>
        </is>
      </c>
      <c r="C1378" t="inlineStr">
        <is>
          <t>iPhone</t>
        </is>
      </c>
      <c r="D1378" t="inlineStr">
        <is>
          <t>Business</t>
        </is>
      </c>
      <c r="E1378" t="inlineStr">
        <is>
          <t>Business</t>
        </is>
      </c>
      <c r="F1378" t="inlineStr">
        <is>
          <t>Business Operations</t>
        </is>
      </c>
      <c r="G1378" t="inlineStr">
        <is>
          <t>Accounting</t>
        </is>
      </c>
      <c r="H1378" t="inlineStr">
        <is>
          <t>Business &gt; Business Operations &gt; Quick Add &gt; Accounting</t>
        </is>
      </c>
      <c r="I1378" s="18" t="n">
        <v>42185.94</v>
      </c>
      <c r="J1378" t="inlineStr">
        <is>
          <t>Created MTR-IOS-1377 and correlation note visible in Activity/Pulse</t>
        </is>
      </c>
      <c r="K1378" t="inlineStr">
        <is>
          <t>NOT_RUN</t>
        </is>
      </c>
      <c r="P1378" t="n">
        <v>0</v>
      </c>
      <c r="Q1378" t="n">
        <v>1377</v>
      </c>
    </row>
    <row r="1379">
      <c r="A1379" t="n">
        <v>1378</v>
      </c>
      <c r="B1379" t="inlineStr">
        <is>
          <t>MTR-IOS-1378</t>
        </is>
      </c>
      <c r="C1379" t="inlineStr">
        <is>
          <t>iPhone</t>
        </is>
      </c>
      <c r="D1379" t="inlineStr">
        <is>
          <t>Personal</t>
        </is>
      </c>
      <c r="E1379" t="inlineStr">
        <is>
          <t>Personal</t>
        </is>
      </c>
      <c r="F1379" t="inlineStr">
        <is>
          <t>Relationships</t>
        </is>
      </c>
      <c r="G1379" t="inlineStr">
        <is>
          <t>Celebrations</t>
        </is>
      </c>
      <c r="H1379" t="inlineStr">
        <is>
          <t>Personal &gt; Relationships &gt; Quick Add &gt; Celebrations</t>
        </is>
      </c>
      <c r="I1379" s="18" t="n">
        <v>9374.290000000001</v>
      </c>
      <c r="J1379" t="inlineStr">
        <is>
          <t>Created MTR-IOS-1378 and correlation note visible in Activity/Pulse</t>
        </is>
      </c>
      <c r="K1379" t="inlineStr">
        <is>
          <t>NOT_RUN</t>
        </is>
      </c>
      <c r="P1379" t="n">
        <v>0</v>
      </c>
      <c r="Q1379" t="n">
        <v>1378</v>
      </c>
    </row>
    <row r="1380">
      <c r="A1380" t="n">
        <v>1379</v>
      </c>
      <c r="B1380" t="inlineStr">
        <is>
          <t>MTR-IOS-1379</t>
        </is>
      </c>
      <c r="C1380" t="inlineStr">
        <is>
          <t>iPhone</t>
        </is>
      </c>
      <c r="D1380" t="inlineStr">
        <is>
          <t>Group</t>
        </is>
      </c>
      <c r="E1380" t="inlineStr">
        <is>
          <t>Shared Living</t>
        </is>
      </c>
      <c r="F1380" t="inlineStr">
        <is>
          <t>Family Household</t>
        </is>
      </c>
      <c r="G1380" t="inlineStr">
        <is>
          <t>Healthcare</t>
        </is>
      </c>
      <c r="H1380" t="inlineStr">
        <is>
          <t>Group &gt; Family Household &gt; Quick Add &gt; Healthcare</t>
        </is>
      </c>
      <c r="I1380" s="18" t="n">
        <v>3885.47</v>
      </c>
      <c r="J1380" t="inlineStr">
        <is>
          <t>Created MTR-IOS-1379 and correlation note visible in Activity/Pulse</t>
        </is>
      </c>
      <c r="K1380" t="inlineStr">
        <is>
          <t>NOT_RUN</t>
        </is>
      </c>
      <c r="P1380" t="n">
        <v>0</v>
      </c>
      <c r="Q1380" t="n">
        <v>1379</v>
      </c>
    </row>
    <row r="1381">
      <c r="A1381" t="n">
        <v>1380</v>
      </c>
      <c r="B1381" t="inlineStr">
        <is>
          <t>MTR-IOS-1380</t>
        </is>
      </c>
      <c r="C1381" t="inlineStr">
        <is>
          <t>iPhone</t>
        </is>
      </c>
      <c r="D1381" t="inlineStr">
        <is>
          <t>Business</t>
        </is>
      </c>
      <c r="E1381" t="inlineStr">
        <is>
          <t>Business</t>
        </is>
      </c>
      <c r="F1381" t="inlineStr">
        <is>
          <t>Business Operations</t>
        </is>
      </c>
      <c r="G1381" t="inlineStr">
        <is>
          <t>Equipment</t>
        </is>
      </c>
      <c r="H1381" t="inlineStr">
        <is>
          <t>Business &gt; Business Operations &gt; Quick Add &gt; Equipment</t>
        </is>
      </c>
      <c r="I1381" s="18" t="n">
        <v>33611.22</v>
      </c>
      <c r="J1381" t="inlineStr">
        <is>
          <t>Created MTR-IOS-1380 and correlation note visible in Activity/Pulse</t>
        </is>
      </c>
      <c r="K1381" t="inlineStr">
        <is>
          <t>NOT_RUN</t>
        </is>
      </c>
      <c r="P1381" t="n">
        <v>0</v>
      </c>
      <c r="Q1381" t="n">
        <v>1380</v>
      </c>
    </row>
    <row r="1382">
      <c r="A1382" t="n">
        <v>1381</v>
      </c>
      <c r="B1382" t="inlineStr">
        <is>
          <t>MTR-IOS-1381</t>
        </is>
      </c>
      <c r="C1382" t="inlineStr">
        <is>
          <t>iPhone</t>
        </is>
      </c>
      <c r="D1382" t="inlineStr">
        <is>
          <t>Personal</t>
        </is>
      </c>
      <c r="E1382" t="inlineStr">
        <is>
          <t>Personal</t>
        </is>
      </c>
      <c r="F1382" t="inlineStr">
        <is>
          <t>Life Operations</t>
        </is>
      </c>
      <c r="G1382" t="inlineStr">
        <is>
          <t>Groceries</t>
        </is>
      </c>
      <c r="H1382" t="inlineStr">
        <is>
          <t>Personal &gt; Life Operations &gt; Quick Add &gt; Groceries</t>
        </is>
      </c>
      <c r="I1382" s="18" t="n">
        <v>3270.24</v>
      </c>
      <c r="J1382" t="inlineStr">
        <is>
          <t>Created MTR-IOS-1381 and correlation note visible in Activity/Pulse</t>
        </is>
      </c>
      <c r="K1382" t="inlineStr">
        <is>
          <t>NOT_RUN</t>
        </is>
      </c>
      <c r="P1382" t="n">
        <v>0</v>
      </c>
      <c r="Q1382" t="n">
        <v>1381</v>
      </c>
    </row>
    <row r="1383">
      <c r="A1383" t="n">
        <v>1382</v>
      </c>
      <c r="B1383" t="inlineStr">
        <is>
          <t>MTR-IOS-1382</t>
        </is>
      </c>
      <c r="C1383" t="inlineStr">
        <is>
          <t>iPhone</t>
        </is>
      </c>
      <c r="D1383" t="inlineStr">
        <is>
          <t>Group</t>
        </is>
      </c>
      <c r="E1383" t="inlineStr">
        <is>
          <t>Shared Living</t>
        </is>
      </c>
      <c r="F1383" t="inlineStr">
        <is>
          <t>Family Household</t>
        </is>
      </c>
      <c r="G1383" t="inlineStr">
        <is>
          <t>Home</t>
        </is>
      </c>
      <c r="H1383" t="inlineStr">
        <is>
          <t>Group &gt; Family Household &gt; Quick Add &gt; Home</t>
        </is>
      </c>
      <c r="I1383" s="18" t="n">
        <v>9385.700000000001</v>
      </c>
      <c r="J1383" t="inlineStr">
        <is>
          <t>Created MTR-IOS-1382 and correlation note visible in Activity/Pulse</t>
        </is>
      </c>
      <c r="K1383" t="inlineStr">
        <is>
          <t>NOT_RUN</t>
        </is>
      </c>
      <c r="P1383" t="n">
        <v>0</v>
      </c>
      <c r="Q1383" t="n">
        <v>1382</v>
      </c>
    </row>
    <row r="1384">
      <c r="A1384" t="n">
        <v>1383</v>
      </c>
      <c r="B1384" t="inlineStr">
        <is>
          <t>MTR-IOS-1383</t>
        </is>
      </c>
      <c r="C1384" t="inlineStr">
        <is>
          <t>iPhone</t>
        </is>
      </c>
      <c r="D1384" t="inlineStr">
        <is>
          <t>Business</t>
        </is>
      </c>
      <c r="E1384" t="inlineStr">
        <is>
          <t>Business</t>
        </is>
      </c>
      <c r="F1384" t="inlineStr">
        <is>
          <t>Business Operations</t>
        </is>
      </c>
      <c r="G1384" t="inlineStr">
        <is>
          <t>Vendor</t>
        </is>
      </c>
      <c r="H1384" t="inlineStr">
        <is>
          <t>Business &gt; Business Operations &gt; Quick Add &gt; Vendor</t>
        </is>
      </c>
      <c r="I1384" s="18" t="n">
        <v>38159.65</v>
      </c>
      <c r="J1384" t="inlineStr">
        <is>
          <t>Created MTR-IOS-1383 and correlation note visible in Activity/Pulse</t>
        </is>
      </c>
      <c r="K1384" t="inlineStr">
        <is>
          <t>NOT_RUN</t>
        </is>
      </c>
      <c r="P1384" t="n">
        <v>0</v>
      </c>
      <c r="Q1384" t="n">
        <v>1383</v>
      </c>
    </row>
    <row r="1385">
      <c r="A1385" t="n">
        <v>1384</v>
      </c>
      <c r="B1385" t="inlineStr">
        <is>
          <t>MTR-IOS-1384</t>
        </is>
      </c>
      <c r="C1385" t="inlineStr">
        <is>
          <t>iPhone</t>
        </is>
      </c>
      <c r="D1385" t="inlineStr">
        <is>
          <t>Personal</t>
        </is>
      </c>
      <c r="E1385" t="inlineStr">
        <is>
          <t>Personal</t>
        </is>
      </c>
      <c r="F1385" t="inlineStr">
        <is>
          <t>Life Operations</t>
        </is>
      </c>
      <c r="G1385" t="inlineStr">
        <is>
          <t>Rent</t>
        </is>
      </c>
      <c r="H1385" t="inlineStr">
        <is>
          <t>Personal &gt; Life Operations &gt; Quick Add &gt; Rent</t>
        </is>
      </c>
      <c r="I1385" s="18" t="n">
        <v>6870.44</v>
      </c>
      <c r="J1385" t="inlineStr">
        <is>
          <t>Created MTR-IOS-1384 and correlation note visible in Activity/Pulse</t>
        </is>
      </c>
      <c r="K1385" t="inlineStr">
        <is>
          <t>NOT_RUN</t>
        </is>
      </c>
      <c r="P1385" t="n">
        <v>0</v>
      </c>
      <c r="Q1385" t="n">
        <v>1384</v>
      </c>
    </row>
    <row r="1386">
      <c r="A1386" t="n">
        <v>1385</v>
      </c>
      <c r="B1386" t="inlineStr">
        <is>
          <t>MTR-IOS-1385</t>
        </is>
      </c>
      <c r="C1386" t="inlineStr">
        <is>
          <t>iPhone</t>
        </is>
      </c>
      <c r="D1386" t="inlineStr">
        <is>
          <t>Group</t>
        </is>
      </c>
      <c r="E1386" t="inlineStr">
        <is>
          <t>Shared Living</t>
        </is>
      </c>
      <c r="F1386" t="inlineStr">
        <is>
          <t>Family Household</t>
        </is>
      </c>
      <c r="G1386" t="inlineStr">
        <is>
          <t>Other</t>
        </is>
      </c>
      <c r="H1386" t="inlineStr">
        <is>
          <t>Group &gt; Family Household &gt; Quick Add &gt; Other</t>
        </is>
      </c>
      <c r="I1386" s="18" t="n">
        <v>23828.13</v>
      </c>
      <c r="J1386" t="inlineStr">
        <is>
          <t>Created MTR-IOS-1385 and correlation note visible in Activity/Pulse</t>
        </is>
      </c>
      <c r="K1386" t="inlineStr">
        <is>
          <t>NOT_RUN</t>
        </is>
      </c>
      <c r="P1386" t="n">
        <v>0</v>
      </c>
      <c r="Q1386" t="n">
        <v>1385</v>
      </c>
    </row>
    <row r="1387">
      <c r="A1387" t="n">
        <v>1386</v>
      </c>
      <c r="B1387" t="inlineStr">
        <is>
          <t>MTR-IOS-1386</t>
        </is>
      </c>
      <c r="C1387" t="inlineStr">
        <is>
          <t>iPhone</t>
        </is>
      </c>
      <c r="D1387" t="inlineStr">
        <is>
          <t>Business</t>
        </is>
      </c>
      <c r="E1387" t="inlineStr">
        <is>
          <t>Business</t>
        </is>
      </c>
      <c r="F1387" t="inlineStr">
        <is>
          <t>Business Operations</t>
        </is>
      </c>
      <c r="G1387" t="inlineStr">
        <is>
          <t>Tax</t>
        </is>
      </c>
      <c r="H1387" t="inlineStr">
        <is>
          <t>Business &gt; Business Operations &gt; Quick Add &gt; Tax</t>
        </is>
      </c>
      <c r="I1387" s="18" t="n">
        <v>231.65</v>
      </c>
      <c r="J1387" t="inlineStr">
        <is>
          <t>Created MTR-IOS-1386 and correlation note visible in Activity/Pulse</t>
        </is>
      </c>
      <c r="K1387" t="inlineStr">
        <is>
          <t>NOT_RUN</t>
        </is>
      </c>
      <c r="P1387" t="n">
        <v>0</v>
      </c>
      <c r="Q1387" t="n">
        <v>1386</v>
      </c>
    </row>
    <row r="1388">
      <c r="A1388" t="n">
        <v>1387</v>
      </c>
      <c r="B1388" t="inlineStr">
        <is>
          <t>MTR-IOS-1387</t>
        </is>
      </c>
      <c r="C1388" t="inlineStr">
        <is>
          <t>iPhone</t>
        </is>
      </c>
      <c r="D1388" t="inlineStr">
        <is>
          <t>Personal</t>
        </is>
      </c>
      <c r="E1388" t="inlineStr">
        <is>
          <t>Personal</t>
        </is>
      </c>
      <c r="F1388" t="inlineStr">
        <is>
          <t>Life Operations</t>
        </is>
      </c>
      <c r="G1388" t="inlineStr">
        <is>
          <t>Bills</t>
        </is>
      </c>
      <c r="H1388" t="inlineStr">
        <is>
          <t>Personal &gt; Life Operations &gt; Quick Add &gt; Bills</t>
        </is>
      </c>
      <c r="I1388" s="18" t="n">
        <v>8266.559999999999</v>
      </c>
      <c r="J1388" t="inlineStr">
        <is>
          <t>Created MTR-IOS-1387 and correlation note visible in Activity/Pulse</t>
        </is>
      </c>
      <c r="K1388" t="inlineStr">
        <is>
          <t>NOT_RUN</t>
        </is>
      </c>
      <c r="P1388" t="n">
        <v>0</v>
      </c>
      <c r="Q1388" t="n">
        <v>1387</v>
      </c>
    </row>
    <row r="1389">
      <c r="A1389" t="n">
        <v>1388</v>
      </c>
      <c r="B1389" t="inlineStr">
        <is>
          <t>MTR-IOS-1388</t>
        </is>
      </c>
      <c r="C1389" t="inlineStr">
        <is>
          <t>iPhone</t>
        </is>
      </c>
      <c r="D1389" t="inlineStr">
        <is>
          <t>Group</t>
        </is>
      </c>
      <c r="E1389" t="inlineStr">
        <is>
          <t>Shared Living</t>
        </is>
      </c>
      <c r="F1389" t="inlineStr">
        <is>
          <t>Custom Living</t>
        </is>
      </c>
      <c r="G1389" t="inlineStr">
        <is>
          <t>Custom Expense</t>
        </is>
      </c>
      <c r="H1389" t="inlineStr">
        <is>
          <t>Group &gt; Custom Living &gt; Quick Add &gt; Custom Expense</t>
        </is>
      </c>
      <c r="I1389" s="18" t="n">
        <v>14767.16</v>
      </c>
      <c r="J1389" t="inlineStr">
        <is>
          <t>Created MTR-IOS-1388 and correlation note visible in Activity/Pulse</t>
        </is>
      </c>
      <c r="K1389" t="inlineStr">
        <is>
          <t>NOT_RUN</t>
        </is>
      </c>
      <c r="P1389" t="n">
        <v>0</v>
      </c>
      <c r="Q1389" t="n">
        <v>1388</v>
      </c>
    </row>
    <row r="1390">
      <c r="A1390" t="n">
        <v>1389</v>
      </c>
      <c r="B1390" t="inlineStr">
        <is>
          <t>MTR-IOS-1389</t>
        </is>
      </c>
      <c r="C1390" t="inlineStr">
        <is>
          <t>iPhone</t>
        </is>
      </c>
      <c r="D1390" t="inlineStr">
        <is>
          <t>Business</t>
        </is>
      </c>
      <c r="E1390" t="inlineStr">
        <is>
          <t>Business</t>
        </is>
      </c>
      <c r="F1390" t="inlineStr">
        <is>
          <t>Team Operations</t>
        </is>
      </c>
      <c r="G1390" t="inlineStr">
        <is>
          <t>Payroll</t>
        </is>
      </c>
      <c r="H1390" t="inlineStr">
        <is>
          <t>Business &gt; Team Operations &gt; Quick Add &gt; Payroll</t>
        </is>
      </c>
      <c r="I1390" s="18" t="n">
        <v>155746.76</v>
      </c>
      <c r="J1390" t="inlineStr">
        <is>
          <t>Created MTR-IOS-1389 and correlation note visible in Activity/Pulse</t>
        </is>
      </c>
      <c r="K1390" t="inlineStr">
        <is>
          <t>NOT_RUN</t>
        </is>
      </c>
      <c r="P1390" t="n">
        <v>0</v>
      </c>
      <c r="Q1390" t="n">
        <v>1389</v>
      </c>
    </row>
    <row r="1391">
      <c r="A1391" t="n">
        <v>1390</v>
      </c>
      <c r="B1391" t="inlineStr">
        <is>
          <t>MTR-IOS-1390</t>
        </is>
      </c>
      <c r="C1391" t="inlineStr">
        <is>
          <t>iPhone</t>
        </is>
      </c>
      <c r="D1391" t="inlineStr">
        <is>
          <t>Personal</t>
        </is>
      </c>
      <c r="E1391" t="inlineStr">
        <is>
          <t>Personal</t>
        </is>
      </c>
      <c r="F1391" t="inlineStr">
        <is>
          <t>Life Operations</t>
        </is>
      </c>
      <c r="G1391" t="inlineStr">
        <is>
          <t>Transport</t>
        </is>
      </c>
      <c r="H1391" t="inlineStr">
        <is>
          <t>Personal &gt; Life Operations &gt; Quick Add &gt; Transport</t>
        </is>
      </c>
      <c r="I1391" s="18" t="n">
        <v>2822.02</v>
      </c>
      <c r="J1391" t="inlineStr">
        <is>
          <t>Created MTR-IOS-1390 and correlation note visible in Activity/Pulse</t>
        </is>
      </c>
      <c r="K1391" t="inlineStr">
        <is>
          <t>NOT_RUN</t>
        </is>
      </c>
      <c r="P1391" t="n">
        <v>0</v>
      </c>
      <c r="Q1391" t="n">
        <v>1390</v>
      </c>
    </row>
    <row r="1392">
      <c r="A1392" t="n">
        <v>1391</v>
      </c>
      <c r="B1392" t="inlineStr">
        <is>
          <t>MTR-IOS-1391</t>
        </is>
      </c>
      <c r="C1392" t="inlineStr">
        <is>
          <t>iPhone</t>
        </is>
      </c>
      <c r="D1392" t="inlineStr">
        <is>
          <t>Group</t>
        </is>
      </c>
      <c r="E1392" t="inlineStr">
        <is>
          <t>Shared Living</t>
        </is>
      </c>
      <c r="F1392" t="inlineStr">
        <is>
          <t>Custom Living</t>
        </is>
      </c>
      <c r="G1392" t="inlineStr">
        <is>
          <t>Custom Contribution</t>
        </is>
      </c>
      <c r="H1392" t="inlineStr">
        <is>
          <t>Group &gt; Custom Living &gt; Quick Add &gt; Custom Contribution</t>
        </is>
      </c>
      <c r="I1392" s="18" t="n">
        <v>18690.48</v>
      </c>
      <c r="J1392" t="inlineStr">
        <is>
          <t>Created MTR-IOS-1391 and correlation note visible in Activity/Pulse</t>
        </is>
      </c>
      <c r="K1392" t="inlineStr">
        <is>
          <t>NOT_RUN</t>
        </is>
      </c>
      <c r="P1392" t="n">
        <v>0</v>
      </c>
      <c r="Q1392" t="n">
        <v>1391</v>
      </c>
    </row>
    <row r="1393">
      <c r="A1393" t="n">
        <v>1392</v>
      </c>
      <c r="B1393" t="inlineStr">
        <is>
          <t>MTR-IOS-1392</t>
        </is>
      </c>
      <c r="C1393" t="inlineStr">
        <is>
          <t>iPhone</t>
        </is>
      </c>
      <c r="D1393" t="inlineStr">
        <is>
          <t>Business</t>
        </is>
      </c>
      <c r="E1393" t="inlineStr">
        <is>
          <t>Business</t>
        </is>
      </c>
      <c r="F1393" t="inlineStr">
        <is>
          <t>Team Operations</t>
        </is>
      </c>
      <c r="G1393" t="inlineStr">
        <is>
          <t>Contractor</t>
        </is>
      </c>
      <c r="H1393" t="inlineStr">
        <is>
          <t>Business &gt; Team Operations &gt; Quick Add &gt; Contractor</t>
        </is>
      </c>
      <c r="I1393" s="18" t="n">
        <v>98063.56</v>
      </c>
      <c r="J1393" t="inlineStr">
        <is>
          <t>Created MTR-IOS-1392 and correlation note visible in Activity/Pulse</t>
        </is>
      </c>
      <c r="K1393" t="inlineStr">
        <is>
          <t>NOT_RUN</t>
        </is>
      </c>
      <c r="P1393" t="n">
        <v>0</v>
      </c>
      <c r="Q1393" t="n">
        <v>1392</v>
      </c>
    </row>
    <row r="1394">
      <c r="A1394" t="n">
        <v>1393</v>
      </c>
      <c r="B1394" t="inlineStr">
        <is>
          <t>MTR-IOS-1393</t>
        </is>
      </c>
      <c r="C1394" t="inlineStr">
        <is>
          <t>iPhone</t>
        </is>
      </c>
      <c r="D1394" t="inlineStr">
        <is>
          <t>Personal</t>
        </is>
      </c>
      <c r="E1394" t="inlineStr">
        <is>
          <t>Personal</t>
        </is>
      </c>
      <c r="F1394" t="inlineStr">
        <is>
          <t>Life Operations</t>
        </is>
      </c>
      <c r="G1394" t="inlineStr">
        <is>
          <t>Healthcare</t>
        </is>
      </c>
      <c r="H1394" t="inlineStr">
        <is>
          <t>Personal &gt; Life Operations &gt; Quick Add &gt; Healthcare</t>
        </is>
      </c>
      <c r="I1394" s="18" t="n">
        <v>2133.43</v>
      </c>
      <c r="J1394" t="inlineStr">
        <is>
          <t>Created MTR-IOS-1393 and correlation note visible in Activity/Pulse</t>
        </is>
      </c>
      <c r="K1394" t="inlineStr">
        <is>
          <t>NOT_RUN</t>
        </is>
      </c>
      <c r="P1394" t="n">
        <v>0</v>
      </c>
      <c r="Q1394" t="n">
        <v>1393</v>
      </c>
    </row>
    <row r="1395">
      <c r="A1395" t="n">
        <v>1394</v>
      </c>
      <c r="B1395" t="inlineStr">
        <is>
          <t>MTR-IOS-1394</t>
        </is>
      </c>
      <c r="C1395" t="inlineStr">
        <is>
          <t>iPhone</t>
        </is>
      </c>
      <c r="D1395" t="inlineStr">
        <is>
          <t>Group</t>
        </is>
      </c>
      <c r="E1395" t="inlineStr">
        <is>
          <t>Shared Experience</t>
        </is>
      </c>
      <c r="F1395" t="inlineStr">
        <is>
          <t>Trip</t>
        </is>
      </c>
      <c r="G1395" t="inlineStr">
        <is>
          <t>Travel</t>
        </is>
      </c>
      <c r="H1395" t="inlineStr">
        <is>
          <t>Group &gt; Trip &gt; Quick Add &gt; Travel</t>
        </is>
      </c>
      <c r="I1395" s="18" t="n">
        <v>2363.29</v>
      </c>
      <c r="J1395" t="inlineStr">
        <is>
          <t>Created MTR-IOS-1394 and correlation note visible in Activity/Pulse</t>
        </is>
      </c>
      <c r="K1395" t="inlineStr">
        <is>
          <t>NOT_RUN</t>
        </is>
      </c>
      <c r="P1395" t="n">
        <v>0</v>
      </c>
      <c r="Q1395" t="n">
        <v>1394</v>
      </c>
    </row>
    <row r="1396">
      <c r="A1396" t="n">
        <v>1395</v>
      </c>
      <c r="B1396" t="inlineStr">
        <is>
          <t>MTR-IOS-1395</t>
        </is>
      </c>
      <c r="C1396" t="inlineStr">
        <is>
          <t>iPhone</t>
        </is>
      </c>
      <c r="D1396" t="inlineStr">
        <is>
          <t>Business</t>
        </is>
      </c>
      <c r="E1396" t="inlineStr">
        <is>
          <t>Business</t>
        </is>
      </c>
      <c r="F1396" t="inlineStr">
        <is>
          <t>Team Operations</t>
        </is>
      </c>
      <c r="G1396" t="inlineStr">
        <is>
          <t>Hiring</t>
        </is>
      </c>
      <c r="H1396" t="inlineStr">
        <is>
          <t>Business &gt; Team Operations &gt; Quick Add &gt; Hiring</t>
        </is>
      </c>
      <c r="I1396" s="18" t="n">
        <v>92520.42999999999</v>
      </c>
      <c r="J1396" t="inlineStr">
        <is>
          <t>Created MTR-IOS-1395 and correlation note visible in Activity/Pulse</t>
        </is>
      </c>
      <c r="K1396" t="inlineStr">
        <is>
          <t>NOT_RUN</t>
        </is>
      </c>
      <c r="P1396" t="n">
        <v>0</v>
      </c>
      <c r="Q1396" t="n">
        <v>1395</v>
      </c>
    </row>
    <row r="1397">
      <c r="A1397" t="n">
        <v>1396</v>
      </c>
      <c r="B1397" t="inlineStr">
        <is>
          <t>MTR-IOS-1396</t>
        </is>
      </c>
      <c r="C1397" t="inlineStr">
        <is>
          <t>iPhone</t>
        </is>
      </c>
      <c r="D1397" t="inlineStr">
        <is>
          <t>Personal</t>
        </is>
      </c>
      <c r="E1397" t="inlineStr">
        <is>
          <t>Personal</t>
        </is>
      </c>
      <c r="F1397" t="inlineStr">
        <is>
          <t>Life Operations</t>
        </is>
      </c>
      <c r="G1397" t="inlineStr">
        <is>
          <t>Subscriptions</t>
        </is>
      </c>
      <c r="H1397" t="inlineStr">
        <is>
          <t>Personal &gt; Life Operations &gt; Quick Add &gt; Subscriptions</t>
        </is>
      </c>
      <c r="I1397" s="18" t="n">
        <v>11143.19</v>
      </c>
      <c r="J1397" t="inlineStr">
        <is>
          <t>Created MTR-IOS-1396 and correlation note visible in Activity/Pulse</t>
        </is>
      </c>
      <c r="K1397" t="inlineStr">
        <is>
          <t>NOT_RUN</t>
        </is>
      </c>
      <c r="P1397" t="n">
        <v>0</v>
      </c>
      <c r="Q1397" t="n">
        <v>1396</v>
      </c>
    </row>
    <row r="1398">
      <c r="A1398" t="n">
        <v>1397</v>
      </c>
      <c r="B1398" t="inlineStr">
        <is>
          <t>MTR-IOS-1397</t>
        </is>
      </c>
      <c r="C1398" t="inlineStr">
        <is>
          <t>iPhone</t>
        </is>
      </c>
      <c r="D1398" t="inlineStr">
        <is>
          <t>Group</t>
        </is>
      </c>
      <c r="E1398" t="inlineStr">
        <is>
          <t>Shared Experience</t>
        </is>
      </c>
      <c r="F1398" t="inlineStr">
        <is>
          <t>Trip</t>
        </is>
      </c>
      <c r="G1398" t="inlineStr">
        <is>
          <t>Stay</t>
        </is>
      </c>
      <c r="H1398" t="inlineStr">
        <is>
          <t>Group &gt; Trip &gt; Quick Add &gt; Stay</t>
        </is>
      </c>
      <c r="I1398" s="18" t="n">
        <v>10519.81</v>
      </c>
      <c r="J1398" t="inlineStr">
        <is>
          <t>Created MTR-IOS-1397 and correlation note visible in Activity/Pulse</t>
        </is>
      </c>
      <c r="K1398" t="inlineStr">
        <is>
          <t>NOT_RUN</t>
        </is>
      </c>
      <c r="P1398" t="n">
        <v>0</v>
      </c>
      <c r="Q1398" t="n">
        <v>1397</v>
      </c>
    </row>
    <row r="1399">
      <c r="A1399" t="n">
        <v>1398</v>
      </c>
      <c r="B1399" t="inlineStr">
        <is>
          <t>MTR-IOS-1398</t>
        </is>
      </c>
      <c r="C1399" t="inlineStr">
        <is>
          <t>iPhone</t>
        </is>
      </c>
      <c r="D1399" t="inlineStr">
        <is>
          <t>Business</t>
        </is>
      </c>
      <c r="E1399" t="inlineStr">
        <is>
          <t>Business</t>
        </is>
      </c>
      <c r="F1399" t="inlineStr">
        <is>
          <t>Team Operations</t>
        </is>
      </c>
      <c r="G1399" t="inlineStr">
        <is>
          <t>Team Meal</t>
        </is>
      </c>
      <c r="H1399" t="inlineStr">
        <is>
          <t>Business &gt; Team Operations &gt; Quick Add &gt; Team Meal</t>
        </is>
      </c>
      <c r="I1399" s="18" t="n">
        <v>124644.45</v>
      </c>
      <c r="J1399" t="inlineStr">
        <is>
          <t>Created MTR-IOS-1398 and correlation note visible in Activity/Pulse</t>
        </is>
      </c>
      <c r="K1399" t="inlineStr">
        <is>
          <t>NOT_RUN</t>
        </is>
      </c>
      <c r="P1399" t="n">
        <v>0</v>
      </c>
      <c r="Q1399" t="n">
        <v>1398</v>
      </c>
    </row>
    <row r="1400">
      <c r="A1400" t="n">
        <v>1399</v>
      </c>
      <c r="B1400" t="inlineStr">
        <is>
          <t>MTR-IOS-1399</t>
        </is>
      </c>
      <c r="C1400" t="inlineStr">
        <is>
          <t>iPhone</t>
        </is>
      </c>
      <c r="D1400" t="inlineStr">
        <is>
          <t>Personal</t>
        </is>
      </c>
      <c r="E1400" t="inlineStr">
        <is>
          <t>Personal</t>
        </is>
      </c>
      <c r="F1400" t="inlineStr">
        <is>
          <t>Life Operations</t>
        </is>
      </c>
      <c r="G1400" t="inlineStr">
        <is>
          <t>Repairs</t>
        </is>
      </c>
      <c r="H1400" t="inlineStr">
        <is>
          <t>Personal &gt; Life Operations &gt; Quick Add &gt; Repairs</t>
        </is>
      </c>
      <c r="I1400" s="18" t="n">
        <v>15586.99</v>
      </c>
      <c r="J1400" t="inlineStr">
        <is>
          <t>Created MTR-IOS-1399 and correlation note visible in Activity/Pulse</t>
        </is>
      </c>
      <c r="K1400" t="inlineStr">
        <is>
          <t>NOT_RUN</t>
        </is>
      </c>
      <c r="P1400" t="n">
        <v>0</v>
      </c>
      <c r="Q1400" t="n">
        <v>1399</v>
      </c>
    </row>
    <row r="1401">
      <c r="A1401" t="n">
        <v>1400</v>
      </c>
      <c r="B1401" t="inlineStr">
        <is>
          <t>MTR-IOS-1400</t>
        </is>
      </c>
      <c r="C1401" t="inlineStr">
        <is>
          <t>iPhone</t>
        </is>
      </c>
      <c r="D1401" t="inlineStr">
        <is>
          <t>Group</t>
        </is>
      </c>
      <c r="E1401" t="inlineStr">
        <is>
          <t>Shared Experience</t>
        </is>
      </c>
      <c r="F1401" t="inlineStr">
        <is>
          <t>Trip</t>
        </is>
      </c>
      <c r="G1401" t="inlineStr">
        <is>
          <t>Food</t>
        </is>
      </c>
      <c r="H1401" t="inlineStr">
        <is>
          <t>Group &gt; Trip &gt; Quick Add &gt; Food</t>
        </is>
      </c>
      <c r="I1401" s="18" t="n">
        <v>2918.05</v>
      </c>
      <c r="J1401" t="inlineStr">
        <is>
          <t>Created MTR-IOS-1400 and correlation note visible in Activity/Pulse</t>
        </is>
      </c>
      <c r="K1401" t="inlineStr">
        <is>
          <t>NOT_RUN</t>
        </is>
      </c>
      <c r="P1401" t="n">
        <v>0</v>
      </c>
      <c r="Q1401" t="n">
        <v>1400</v>
      </c>
    </row>
    <row r="1402">
      <c r="A1402" t="n">
        <v>1401</v>
      </c>
      <c r="B1402" t="inlineStr">
        <is>
          <t>MTR-IOS-1401</t>
        </is>
      </c>
      <c r="C1402" t="inlineStr">
        <is>
          <t>iPhone</t>
        </is>
      </c>
      <c r="D1402" t="inlineStr">
        <is>
          <t>Business</t>
        </is>
      </c>
      <c r="E1402" t="inlineStr">
        <is>
          <t>Business</t>
        </is>
      </c>
      <c r="F1402" t="inlineStr">
        <is>
          <t>Team Operations</t>
        </is>
      </c>
      <c r="G1402" t="inlineStr">
        <is>
          <t>Travel</t>
        </is>
      </c>
      <c r="H1402" t="inlineStr">
        <is>
          <t>Business &gt; Team Operations &gt; Quick Add &gt; Travel</t>
        </is>
      </c>
      <c r="I1402" s="18" t="n">
        <v>16106.48</v>
      </c>
      <c r="J1402" t="inlineStr">
        <is>
          <t>Created MTR-IOS-1401 and correlation note visible in Activity/Pulse</t>
        </is>
      </c>
      <c r="K1402" t="inlineStr">
        <is>
          <t>NOT_RUN</t>
        </is>
      </c>
      <c r="P1402" t="n">
        <v>0</v>
      </c>
      <c r="Q1402" t="n">
        <v>1401</v>
      </c>
    </row>
    <row r="1403">
      <c r="A1403" t="n">
        <v>1402</v>
      </c>
      <c r="B1403" t="inlineStr">
        <is>
          <t>MTR-IOS-1402</t>
        </is>
      </c>
      <c r="C1403" t="inlineStr">
        <is>
          <t>iPhone</t>
        </is>
      </c>
      <c r="D1403" t="inlineStr">
        <is>
          <t>Personal</t>
        </is>
      </c>
      <c r="E1403" t="inlineStr">
        <is>
          <t>Personal</t>
        </is>
      </c>
      <c r="F1403" t="inlineStr">
        <is>
          <t>Future Building</t>
        </is>
      </c>
      <c r="G1403" t="inlineStr">
        <is>
          <t>Savings</t>
        </is>
      </c>
      <c r="H1403" t="inlineStr">
        <is>
          <t>Personal &gt; Future Building &gt; Quick Add &gt; Savings</t>
        </is>
      </c>
      <c r="I1403" s="18" t="n">
        <v>7899.55</v>
      </c>
      <c r="J1403" t="inlineStr">
        <is>
          <t>Created MTR-IOS-1402 and correlation note visible in Activity/Pulse</t>
        </is>
      </c>
      <c r="K1403" t="inlineStr">
        <is>
          <t>NOT_RUN</t>
        </is>
      </c>
      <c r="P1403" t="n">
        <v>0</v>
      </c>
      <c r="Q1403" t="n">
        <v>1402</v>
      </c>
    </row>
    <row r="1404">
      <c r="A1404" t="n">
        <v>1403</v>
      </c>
      <c r="B1404" t="inlineStr">
        <is>
          <t>MTR-IOS-1403</t>
        </is>
      </c>
      <c r="C1404" t="inlineStr">
        <is>
          <t>iPhone</t>
        </is>
      </c>
      <c r="D1404" t="inlineStr">
        <is>
          <t>Group</t>
        </is>
      </c>
      <c r="E1404" t="inlineStr">
        <is>
          <t>Shared Experience</t>
        </is>
      </c>
      <c r="F1404" t="inlineStr">
        <is>
          <t>Trip</t>
        </is>
      </c>
      <c r="G1404" t="inlineStr">
        <is>
          <t>Local Transport</t>
        </is>
      </c>
      <c r="H1404" t="inlineStr">
        <is>
          <t>Group &gt; Trip &gt; Quick Add &gt; Local Transport</t>
        </is>
      </c>
      <c r="I1404" s="18" t="n">
        <v>26944.97</v>
      </c>
      <c r="J1404" t="inlineStr">
        <is>
          <t>Created MTR-IOS-1403 and correlation note visible in Activity/Pulse</t>
        </is>
      </c>
      <c r="K1404" t="inlineStr">
        <is>
          <t>NOT_RUN</t>
        </is>
      </c>
      <c r="P1404" t="n">
        <v>0</v>
      </c>
      <c r="Q1404" t="n">
        <v>1403</v>
      </c>
    </row>
    <row r="1405">
      <c r="A1405" t="n">
        <v>1404</v>
      </c>
      <c r="B1405" t="inlineStr">
        <is>
          <t>MTR-IOS-1404</t>
        </is>
      </c>
      <c r="C1405" t="inlineStr">
        <is>
          <t>iPhone</t>
        </is>
      </c>
      <c r="D1405" t="inlineStr">
        <is>
          <t>Business</t>
        </is>
      </c>
      <c r="E1405" t="inlineStr">
        <is>
          <t>Business</t>
        </is>
      </c>
      <c r="F1405" t="inlineStr">
        <is>
          <t>Team Operations</t>
        </is>
      </c>
      <c r="G1405" t="inlineStr">
        <is>
          <t>Training</t>
        </is>
      </c>
      <c r="H1405" t="inlineStr">
        <is>
          <t>Business &gt; Team Operations &gt; Quick Add &gt; Training</t>
        </is>
      </c>
      <c r="I1405" s="18" t="n">
        <v>159243.98</v>
      </c>
      <c r="J1405" t="inlineStr">
        <is>
          <t>Created MTR-IOS-1404 and correlation note visible in Activity/Pulse</t>
        </is>
      </c>
      <c r="K1405" t="inlineStr">
        <is>
          <t>NOT_RUN</t>
        </is>
      </c>
      <c r="P1405" t="n">
        <v>0</v>
      </c>
      <c r="Q1405" t="n">
        <v>1404</v>
      </c>
    </row>
    <row r="1406">
      <c r="A1406" t="n">
        <v>1405</v>
      </c>
      <c r="B1406" t="inlineStr">
        <is>
          <t>MTR-IOS-1405</t>
        </is>
      </c>
      <c r="C1406" t="inlineStr">
        <is>
          <t>iPhone</t>
        </is>
      </c>
      <c r="D1406" t="inlineStr">
        <is>
          <t>Personal</t>
        </is>
      </c>
      <c r="E1406" t="inlineStr">
        <is>
          <t>Personal</t>
        </is>
      </c>
      <c r="F1406" t="inlineStr">
        <is>
          <t>Future Building</t>
        </is>
      </c>
      <c r="G1406" t="inlineStr">
        <is>
          <t>Emergency Fund</t>
        </is>
      </c>
      <c r="H1406" t="inlineStr">
        <is>
          <t>Personal &gt; Future Building &gt; Quick Add &gt; Emergency Fund</t>
        </is>
      </c>
      <c r="I1406" s="18" t="n">
        <v>1143.51</v>
      </c>
      <c r="J1406" t="inlineStr">
        <is>
          <t>Created MTR-IOS-1405 and correlation note visible in Activity/Pulse</t>
        </is>
      </c>
      <c r="K1406" t="inlineStr">
        <is>
          <t>NOT_RUN</t>
        </is>
      </c>
      <c r="P1406" t="n">
        <v>0</v>
      </c>
      <c r="Q1406" t="n">
        <v>1405</v>
      </c>
    </row>
    <row r="1407">
      <c r="A1407" t="n">
        <v>1406</v>
      </c>
      <c r="B1407" t="inlineStr">
        <is>
          <t>MTR-IOS-1406</t>
        </is>
      </c>
      <c r="C1407" t="inlineStr">
        <is>
          <t>iPhone</t>
        </is>
      </c>
      <c r="D1407" t="inlineStr">
        <is>
          <t>Group</t>
        </is>
      </c>
      <c r="E1407" t="inlineStr">
        <is>
          <t>Shared Experience</t>
        </is>
      </c>
      <c r="F1407" t="inlineStr">
        <is>
          <t>Trip</t>
        </is>
      </c>
      <c r="G1407" t="inlineStr">
        <is>
          <t>Activities</t>
        </is>
      </c>
      <c r="H1407" t="inlineStr">
        <is>
          <t>Group &gt; Trip &gt; Quick Add &gt; Activities</t>
        </is>
      </c>
      <c r="I1407" s="18" t="n">
        <v>99.98999999999999</v>
      </c>
      <c r="J1407" t="inlineStr">
        <is>
          <t>Created MTR-IOS-1406 and correlation note visible in Activity/Pulse</t>
        </is>
      </c>
      <c r="K1407" t="inlineStr">
        <is>
          <t>NOT_RUN</t>
        </is>
      </c>
      <c r="P1407" t="n">
        <v>0</v>
      </c>
      <c r="Q1407" t="n">
        <v>1406</v>
      </c>
    </row>
    <row r="1408">
      <c r="A1408" t="n">
        <v>1407</v>
      </c>
      <c r="B1408" t="inlineStr">
        <is>
          <t>MTR-IOS-1407</t>
        </is>
      </c>
      <c r="C1408" t="inlineStr">
        <is>
          <t>iPhone</t>
        </is>
      </c>
      <c r="D1408" t="inlineStr">
        <is>
          <t>Business</t>
        </is>
      </c>
      <c r="E1408" t="inlineStr">
        <is>
          <t>Business</t>
        </is>
      </c>
      <c r="F1408" t="inlineStr">
        <is>
          <t>Team Operations</t>
        </is>
      </c>
      <c r="G1408" t="inlineStr">
        <is>
          <t>Tools</t>
        </is>
      </c>
      <c r="H1408" t="inlineStr">
        <is>
          <t>Business &gt; Team Operations &gt; Quick Add &gt; Tools</t>
        </is>
      </c>
      <c r="I1408" s="18" t="n">
        <v>110580.42</v>
      </c>
      <c r="J1408" t="inlineStr">
        <is>
          <t>Created MTR-IOS-1407 and correlation note visible in Activity/Pulse</t>
        </is>
      </c>
      <c r="K1408" t="inlineStr">
        <is>
          <t>NOT_RUN</t>
        </is>
      </c>
      <c r="P1408" t="n">
        <v>0</v>
      </c>
      <c r="Q1408" t="n">
        <v>1407</v>
      </c>
    </row>
    <row r="1409">
      <c r="A1409" t="n">
        <v>1408</v>
      </c>
      <c r="B1409" t="inlineStr">
        <is>
          <t>MTR-IOS-1408</t>
        </is>
      </c>
      <c r="C1409" t="inlineStr">
        <is>
          <t>iPhone</t>
        </is>
      </c>
      <c r="D1409" t="inlineStr">
        <is>
          <t>Personal</t>
        </is>
      </c>
      <c r="E1409" t="inlineStr">
        <is>
          <t>Personal</t>
        </is>
      </c>
      <c r="F1409" t="inlineStr">
        <is>
          <t>Future Building</t>
        </is>
      </c>
      <c r="G1409" t="inlineStr">
        <is>
          <t>Investments</t>
        </is>
      </c>
      <c r="H1409" t="inlineStr">
        <is>
          <t>Personal &gt; Future Building &gt; Quick Add &gt; Investments</t>
        </is>
      </c>
      <c r="I1409" s="18" t="n">
        <v>7149.22</v>
      </c>
      <c r="J1409" t="inlineStr">
        <is>
          <t>Created MTR-IOS-1408 and correlation note visible in Activity/Pulse</t>
        </is>
      </c>
      <c r="K1409" t="inlineStr">
        <is>
          <t>NOT_RUN</t>
        </is>
      </c>
      <c r="P1409" t="n">
        <v>0</v>
      </c>
      <c r="Q1409" t="n">
        <v>1408</v>
      </c>
    </row>
    <row r="1410">
      <c r="A1410" t="n">
        <v>1409</v>
      </c>
      <c r="B1410" t="inlineStr">
        <is>
          <t>MTR-IOS-1409</t>
        </is>
      </c>
      <c r="C1410" t="inlineStr">
        <is>
          <t>iPhone</t>
        </is>
      </c>
      <c r="D1410" t="inlineStr">
        <is>
          <t>Group</t>
        </is>
      </c>
      <c r="E1410" t="inlineStr">
        <is>
          <t>Shared Experience</t>
        </is>
      </c>
      <c r="F1410" t="inlineStr">
        <is>
          <t>Trip</t>
        </is>
      </c>
      <c r="G1410" t="inlineStr">
        <is>
          <t>Shopping</t>
        </is>
      </c>
      <c r="H1410" t="inlineStr">
        <is>
          <t>Group &gt; Trip &gt; Quick Add &gt; Shopping</t>
        </is>
      </c>
      <c r="I1410" s="18" t="n">
        <v>26263.92</v>
      </c>
      <c r="J1410" t="inlineStr">
        <is>
          <t>Created MTR-IOS-1409 and correlation note visible in Activity/Pulse</t>
        </is>
      </c>
      <c r="K1410" t="inlineStr">
        <is>
          <t>NOT_RUN</t>
        </is>
      </c>
      <c r="P1410" t="n">
        <v>0</v>
      </c>
      <c r="Q1410" t="n">
        <v>1409</v>
      </c>
    </row>
    <row r="1411">
      <c r="A1411" t="n">
        <v>1410</v>
      </c>
      <c r="B1411" t="inlineStr">
        <is>
          <t>MTR-IOS-1410</t>
        </is>
      </c>
      <c r="C1411" t="inlineStr">
        <is>
          <t>iPhone</t>
        </is>
      </c>
      <c r="D1411" t="inlineStr">
        <is>
          <t>Business</t>
        </is>
      </c>
      <c r="E1411" t="inlineStr">
        <is>
          <t>Business</t>
        </is>
      </c>
      <c r="F1411" t="inlineStr">
        <is>
          <t>Business Runway</t>
        </is>
      </c>
      <c r="G1411" t="inlineStr">
        <is>
          <t>Funding</t>
        </is>
      </c>
      <c r="H1411" t="inlineStr">
        <is>
          <t>Business &gt; Business Runway &gt; Quick Add &gt; Funding</t>
        </is>
      </c>
      <c r="I1411" s="18" t="n">
        <v>15225.9</v>
      </c>
      <c r="J1411" t="inlineStr">
        <is>
          <t>Created MTR-IOS-1410 and correlation note visible in Activity/Pulse</t>
        </is>
      </c>
      <c r="K1411" t="inlineStr">
        <is>
          <t>NOT_RUN</t>
        </is>
      </c>
      <c r="P1411" t="n">
        <v>0</v>
      </c>
      <c r="Q1411" t="n">
        <v>1410</v>
      </c>
    </row>
    <row r="1412">
      <c r="A1412" t="n">
        <v>1411</v>
      </c>
      <c r="B1412" t="inlineStr">
        <is>
          <t>MTR-IOS-1411</t>
        </is>
      </c>
      <c r="C1412" t="inlineStr">
        <is>
          <t>iPhone</t>
        </is>
      </c>
      <c r="D1412" t="inlineStr">
        <is>
          <t>Personal</t>
        </is>
      </c>
      <c r="E1412" t="inlineStr">
        <is>
          <t>Personal</t>
        </is>
      </c>
      <c r="F1412" t="inlineStr">
        <is>
          <t>Future Building</t>
        </is>
      </c>
      <c r="G1412" t="inlineStr">
        <is>
          <t>Education</t>
        </is>
      </c>
      <c r="H1412" t="inlineStr">
        <is>
          <t>Personal &gt; Future Building &gt; Quick Add &gt; Education</t>
        </is>
      </c>
      <c r="I1412" s="18" t="n">
        <v>11213.72</v>
      </c>
      <c r="J1412" t="inlineStr">
        <is>
          <t>Created MTR-IOS-1411 and correlation note visible in Activity/Pulse</t>
        </is>
      </c>
      <c r="K1412" t="inlineStr">
        <is>
          <t>NOT_RUN</t>
        </is>
      </c>
      <c r="P1412" t="n">
        <v>0</v>
      </c>
      <c r="Q1412" t="n">
        <v>1411</v>
      </c>
    </row>
    <row r="1413">
      <c r="A1413" t="n">
        <v>1412</v>
      </c>
      <c r="B1413" t="inlineStr">
        <is>
          <t>MTR-IOS-1412</t>
        </is>
      </c>
      <c r="C1413" t="inlineStr">
        <is>
          <t>iPhone</t>
        </is>
      </c>
      <c r="D1413" t="inlineStr">
        <is>
          <t>Group</t>
        </is>
      </c>
      <c r="E1413" t="inlineStr">
        <is>
          <t>Shared Experience</t>
        </is>
      </c>
      <c r="F1413" t="inlineStr">
        <is>
          <t>Trip</t>
        </is>
      </c>
      <c r="G1413" t="inlineStr">
        <is>
          <t>Other</t>
        </is>
      </c>
      <c r="H1413" t="inlineStr">
        <is>
          <t>Group &gt; Trip &gt; Quick Add &gt; Other</t>
        </is>
      </c>
      <c r="I1413" s="18" t="n">
        <v>6590.71</v>
      </c>
      <c r="J1413" t="inlineStr">
        <is>
          <t>Created MTR-IOS-1412 and correlation note visible in Activity/Pulse</t>
        </is>
      </c>
      <c r="K1413" t="inlineStr">
        <is>
          <t>NOT_RUN</t>
        </is>
      </c>
      <c r="P1413" t="n">
        <v>0</v>
      </c>
      <c r="Q1413" t="n">
        <v>1412</v>
      </c>
    </row>
    <row r="1414">
      <c r="A1414" t="n">
        <v>1413</v>
      </c>
      <c r="B1414" t="inlineStr">
        <is>
          <t>MTR-IOS-1413</t>
        </is>
      </c>
      <c r="C1414" t="inlineStr">
        <is>
          <t>iPhone</t>
        </is>
      </c>
      <c r="D1414" t="inlineStr">
        <is>
          <t>Business</t>
        </is>
      </c>
      <c r="E1414" t="inlineStr">
        <is>
          <t>Business</t>
        </is>
      </c>
      <c r="F1414" t="inlineStr">
        <is>
          <t>Business Runway</t>
        </is>
      </c>
      <c r="G1414" t="inlineStr">
        <is>
          <t>Revenue</t>
        </is>
      </c>
      <c r="H1414" t="inlineStr">
        <is>
          <t>Business &gt; Business Runway &gt; Quick Add &gt; Revenue</t>
        </is>
      </c>
      <c r="I1414" s="18" t="n">
        <v>114074.44</v>
      </c>
      <c r="J1414" t="inlineStr">
        <is>
          <t>Created MTR-IOS-1413 and correlation note visible in Activity/Pulse</t>
        </is>
      </c>
      <c r="K1414" t="inlineStr">
        <is>
          <t>NOT_RUN</t>
        </is>
      </c>
      <c r="P1414" t="n">
        <v>0</v>
      </c>
      <c r="Q1414" t="n">
        <v>1413</v>
      </c>
    </row>
    <row r="1415">
      <c r="A1415" t="n">
        <v>1414</v>
      </c>
      <c r="B1415" t="inlineStr">
        <is>
          <t>MTR-IOS-1414</t>
        </is>
      </c>
      <c r="C1415" t="inlineStr">
        <is>
          <t>iPhone</t>
        </is>
      </c>
      <c r="D1415" t="inlineStr">
        <is>
          <t>Personal</t>
        </is>
      </c>
      <c r="E1415" t="inlineStr">
        <is>
          <t>Personal</t>
        </is>
      </c>
      <c r="F1415" t="inlineStr">
        <is>
          <t>Future Building</t>
        </is>
      </c>
      <c r="G1415" t="inlineStr">
        <is>
          <t>Goal Contribution</t>
        </is>
      </c>
      <c r="H1415" t="inlineStr">
        <is>
          <t>Personal &gt; Future Building &gt; Quick Add &gt; Goal Contribution</t>
        </is>
      </c>
      <c r="I1415" s="18" t="n">
        <v>828.5599999999999</v>
      </c>
      <c r="J1415" t="inlineStr">
        <is>
          <t>Created MTR-IOS-1414 and correlation note visible in Activity/Pulse</t>
        </is>
      </c>
      <c r="K1415" t="inlineStr">
        <is>
          <t>NOT_RUN</t>
        </is>
      </c>
      <c r="P1415" t="n">
        <v>0</v>
      </c>
      <c r="Q1415" t="n">
        <v>1414</v>
      </c>
    </row>
    <row r="1416">
      <c r="A1416" t="n">
        <v>1415</v>
      </c>
      <c r="B1416" t="inlineStr">
        <is>
          <t>MTR-IOS-1415</t>
        </is>
      </c>
      <c r="C1416" t="inlineStr">
        <is>
          <t>iPhone</t>
        </is>
      </c>
      <c r="D1416" t="inlineStr">
        <is>
          <t>Group</t>
        </is>
      </c>
      <c r="E1416" t="inlineStr">
        <is>
          <t>Shared Experience</t>
        </is>
      </c>
      <c r="F1416" t="inlineStr">
        <is>
          <t>Wedding</t>
        </is>
      </c>
      <c r="G1416" t="inlineStr">
        <is>
          <t>Venue</t>
        </is>
      </c>
      <c r="H1416" t="inlineStr">
        <is>
          <t>Group &gt; Wedding &gt; Quick Add &gt; Venue</t>
        </is>
      </c>
      <c r="I1416" s="18" t="n">
        <v>10941.78</v>
      </c>
      <c r="J1416" t="inlineStr">
        <is>
          <t>Created MTR-IOS-1415 and correlation note visible in Activity/Pulse</t>
        </is>
      </c>
      <c r="K1416" t="inlineStr">
        <is>
          <t>NOT_RUN</t>
        </is>
      </c>
      <c r="P1416" t="n">
        <v>0</v>
      </c>
      <c r="Q1416" t="n">
        <v>1415</v>
      </c>
    </row>
    <row r="1417">
      <c r="A1417" t="n">
        <v>1416</v>
      </c>
      <c r="B1417" t="inlineStr">
        <is>
          <t>MTR-IOS-1416</t>
        </is>
      </c>
      <c r="C1417" t="inlineStr">
        <is>
          <t>iPhone</t>
        </is>
      </c>
      <c r="D1417" t="inlineStr">
        <is>
          <t>Business</t>
        </is>
      </c>
      <c r="E1417" t="inlineStr">
        <is>
          <t>Business</t>
        </is>
      </c>
      <c r="F1417" t="inlineStr">
        <is>
          <t>Business Runway</t>
        </is>
      </c>
      <c r="G1417" t="inlineStr">
        <is>
          <t>Burn</t>
        </is>
      </c>
      <c r="H1417" t="inlineStr">
        <is>
          <t>Business &gt; Business Runway &gt; Quick Add &gt; Burn</t>
        </is>
      </c>
      <c r="I1417" s="18" t="n">
        <v>129181.58</v>
      </c>
      <c r="J1417" t="inlineStr">
        <is>
          <t>Created MTR-IOS-1416 and correlation note visible in Activity/Pulse</t>
        </is>
      </c>
      <c r="K1417" t="inlineStr">
        <is>
          <t>NOT_RUN</t>
        </is>
      </c>
      <c r="P1417" t="n">
        <v>0</v>
      </c>
      <c r="Q1417" t="n">
        <v>1416</v>
      </c>
    </row>
    <row r="1418">
      <c r="A1418" t="n">
        <v>1417</v>
      </c>
      <c r="B1418" t="inlineStr">
        <is>
          <t>MTR-IOS-1417</t>
        </is>
      </c>
      <c r="C1418" t="inlineStr">
        <is>
          <t>iPhone</t>
        </is>
      </c>
      <c r="D1418" t="inlineStr">
        <is>
          <t>Personal</t>
        </is>
      </c>
      <c r="E1418" t="inlineStr">
        <is>
          <t>Personal</t>
        </is>
      </c>
      <c r="F1418" t="inlineStr">
        <is>
          <t>Lifestyle</t>
        </is>
      </c>
      <c r="G1418" t="inlineStr">
        <is>
          <t>Dining</t>
        </is>
      </c>
      <c r="H1418" t="inlineStr">
        <is>
          <t>Personal &gt; Lifestyle &gt; Quick Add &gt; Dining</t>
        </is>
      </c>
      <c r="I1418" s="18" t="n">
        <v>13575.36</v>
      </c>
      <c r="J1418" t="inlineStr">
        <is>
          <t>Created MTR-IOS-1417 and correlation note visible in Activity/Pulse</t>
        </is>
      </c>
      <c r="K1418" t="inlineStr">
        <is>
          <t>NOT_RUN</t>
        </is>
      </c>
      <c r="P1418" t="n">
        <v>0</v>
      </c>
      <c r="Q1418" t="n">
        <v>1417</v>
      </c>
    </row>
    <row r="1419">
      <c r="A1419" t="n">
        <v>1418</v>
      </c>
      <c r="B1419" t="inlineStr">
        <is>
          <t>MTR-IOS-1418</t>
        </is>
      </c>
      <c r="C1419" t="inlineStr">
        <is>
          <t>iPhone</t>
        </is>
      </c>
      <c r="D1419" t="inlineStr">
        <is>
          <t>Group</t>
        </is>
      </c>
      <c r="E1419" t="inlineStr">
        <is>
          <t>Shared Experience</t>
        </is>
      </c>
      <c r="F1419" t="inlineStr">
        <is>
          <t>Wedding</t>
        </is>
      </c>
      <c r="G1419" t="inlineStr">
        <is>
          <t>Catering</t>
        </is>
      </c>
      <c r="H1419" t="inlineStr">
        <is>
          <t>Group &gt; Wedding &gt; Quick Add &gt; Catering</t>
        </is>
      </c>
      <c r="I1419" s="18" t="n">
        <v>20985.69</v>
      </c>
      <c r="J1419" t="inlineStr">
        <is>
          <t>Created MTR-IOS-1418 and correlation note visible in Activity/Pulse</t>
        </is>
      </c>
      <c r="K1419" t="inlineStr">
        <is>
          <t>NOT_RUN</t>
        </is>
      </c>
      <c r="P1419" t="n">
        <v>0</v>
      </c>
      <c r="Q1419" t="n">
        <v>1418</v>
      </c>
    </row>
    <row r="1420">
      <c r="A1420" t="n">
        <v>1419</v>
      </c>
      <c r="B1420" t="inlineStr">
        <is>
          <t>MTR-IOS-1419</t>
        </is>
      </c>
      <c r="C1420" t="inlineStr">
        <is>
          <t>iPhone</t>
        </is>
      </c>
      <c r="D1420" t="inlineStr">
        <is>
          <t>Business</t>
        </is>
      </c>
      <c r="E1420" t="inlineStr">
        <is>
          <t>Business</t>
        </is>
      </c>
      <c r="F1420" t="inlineStr">
        <is>
          <t>Business Runway</t>
        </is>
      </c>
      <c r="G1420" t="inlineStr">
        <is>
          <t>Reserve</t>
        </is>
      </c>
      <c r="H1420" t="inlineStr">
        <is>
          <t>Business &gt; Business Runway &gt; Quick Add &gt; Reserve</t>
        </is>
      </c>
      <c r="I1420" s="18" t="n">
        <v>116249.08</v>
      </c>
      <c r="J1420" t="inlineStr">
        <is>
          <t>Created MTR-IOS-1419 and correlation note visible in Activity/Pulse</t>
        </is>
      </c>
      <c r="K1420" t="inlineStr">
        <is>
          <t>NOT_RUN</t>
        </is>
      </c>
      <c r="P1420" t="n">
        <v>0</v>
      </c>
      <c r="Q1420" t="n">
        <v>1419</v>
      </c>
    </row>
    <row r="1421">
      <c r="A1421" t="n">
        <v>1420</v>
      </c>
      <c r="B1421" t="inlineStr">
        <is>
          <t>MTR-IOS-1420</t>
        </is>
      </c>
      <c r="C1421" t="inlineStr">
        <is>
          <t>iPhone</t>
        </is>
      </c>
      <c r="D1421" t="inlineStr">
        <is>
          <t>Personal</t>
        </is>
      </c>
      <c r="E1421" t="inlineStr">
        <is>
          <t>Personal</t>
        </is>
      </c>
      <c r="F1421" t="inlineStr">
        <is>
          <t>Lifestyle</t>
        </is>
      </c>
      <c r="G1421" t="inlineStr">
        <is>
          <t>Shopping</t>
        </is>
      </c>
      <c r="H1421" t="inlineStr">
        <is>
          <t>Personal &gt; Lifestyle &gt; Quick Add &gt; Shopping</t>
        </is>
      </c>
      <c r="I1421" s="18" t="n">
        <v>17791.08</v>
      </c>
      <c r="J1421" t="inlineStr">
        <is>
          <t>Created MTR-IOS-1420 and correlation note visible in Activity/Pulse</t>
        </is>
      </c>
      <c r="K1421" t="inlineStr">
        <is>
          <t>NOT_RUN</t>
        </is>
      </c>
      <c r="P1421" t="n">
        <v>0</v>
      </c>
      <c r="Q1421" t="n">
        <v>1420</v>
      </c>
    </row>
    <row r="1422">
      <c r="A1422" t="n">
        <v>1421</v>
      </c>
      <c r="B1422" t="inlineStr">
        <is>
          <t>MTR-IOS-1421</t>
        </is>
      </c>
      <c r="C1422" t="inlineStr">
        <is>
          <t>iPhone</t>
        </is>
      </c>
      <c r="D1422" t="inlineStr">
        <is>
          <t>Group</t>
        </is>
      </c>
      <c r="E1422" t="inlineStr">
        <is>
          <t>Shared Experience</t>
        </is>
      </c>
      <c r="F1422" t="inlineStr">
        <is>
          <t>Wedding</t>
        </is>
      </c>
      <c r="G1422" t="inlineStr">
        <is>
          <t>Decor</t>
        </is>
      </c>
      <c r="H1422" t="inlineStr">
        <is>
          <t>Group &gt; Wedding &gt; Quick Add &gt; Decor</t>
        </is>
      </c>
      <c r="I1422" s="18" t="n">
        <v>14140.94</v>
      </c>
      <c r="J1422" t="inlineStr">
        <is>
          <t>Created MTR-IOS-1421 and correlation note visible in Activity/Pulse</t>
        </is>
      </c>
      <c r="K1422" t="inlineStr">
        <is>
          <t>NOT_RUN</t>
        </is>
      </c>
      <c r="P1422" t="n">
        <v>0</v>
      </c>
      <c r="Q1422" t="n">
        <v>1421</v>
      </c>
    </row>
    <row r="1423">
      <c r="A1423" t="n">
        <v>1422</v>
      </c>
      <c r="B1423" t="inlineStr">
        <is>
          <t>MTR-IOS-1422</t>
        </is>
      </c>
      <c r="C1423" t="inlineStr">
        <is>
          <t>iPhone</t>
        </is>
      </c>
      <c r="D1423" t="inlineStr">
        <is>
          <t>Business</t>
        </is>
      </c>
      <c r="E1423" t="inlineStr">
        <is>
          <t>Business</t>
        </is>
      </c>
      <c r="F1423" t="inlineStr">
        <is>
          <t>Business Runway</t>
        </is>
      </c>
      <c r="G1423" t="inlineStr">
        <is>
          <t>Loan</t>
        </is>
      </c>
      <c r="H1423" t="inlineStr">
        <is>
          <t>Business &gt; Business Runway &gt; Quick Add &gt; Loan</t>
        </is>
      </c>
      <c r="I1423" s="18" t="n">
        <v>124000.2</v>
      </c>
      <c r="J1423" t="inlineStr">
        <is>
          <t>Created MTR-IOS-1422 and correlation note visible in Activity/Pulse</t>
        </is>
      </c>
      <c r="K1423" t="inlineStr">
        <is>
          <t>NOT_RUN</t>
        </is>
      </c>
      <c r="P1423" t="n">
        <v>0</v>
      </c>
      <c r="Q1423" t="n">
        <v>1422</v>
      </c>
    </row>
    <row r="1424">
      <c r="A1424" t="n">
        <v>1423</v>
      </c>
      <c r="B1424" t="inlineStr">
        <is>
          <t>MTR-IOS-1423</t>
        </is>
      </c>
      <c r="C1424" t="inlineStr">
        <is>
          <t>iPhone</t>
        </is>
      </c>
      <c r="D1424" t="inlineStr">
        <is>
          <t>Personal</t>
        </is>
      </c>
      <c r="E1424" t="inlineStr">
        <is>
          <t>Personal</t>
        </is>
      </c>
      <c r="F1424" t="inlineStr">
        <is>
          <t>Lifestyle</t>
        </is>
      </c>
      <c r="G1424" t="inlineStr">
        <is>
          <t>Entertainment</t>
        </is>
      </c>
      <c r="H1424" t="inlineStr">
        <is>
          <t>Personal &gt; Lifestyle &gt; Quick Add &gt; Entertainment</t>
        </is>
      </c>
      <c r="I1424" s="18" t="n">
        <v>10977.22</v>
      </c>
      <c r="J1424" t="inlineStr">
        <is>
          <t>Created MTR-IOS-1423 and correlation note visible in Activity/Pulse</t>
        </is>
      </c>
      <c r="K1424" t="inlineStr">
        <is>
          <t>NOT_RUN</t>
        </is>
      </c>
      <c r="P1424" t="n">
        <v>0</v>
      </c>
      <c r="Q1424" t="n">
        <v>1423</v>
      </c>
    </row>
    <row r="1425">
      <c r="A1425" t="n">
        <v>1424</v>
      </c>
      <c r="B1425" t="inlineStr">
        <is>
          <t>MTR-IOS-1424</t>
        </is>
      </c>
      <c r="C1425" t="inlineStr">
        <is>
          <t>iPhone</t>
        </is>
      </c>
      <c r="D1425" t="inlineStr">
        <is>
          <t>Group</t>
        </is>
      </c>
      <c r="E1425" t="inlineStr">
        <is>
          <t>Shared Experience</t>
        </is>
      </c>
      <c r="F1425" t="inlineStr">
        <is>
          <t>Wedding</t>
        </is>
      </c>
      <c r="G1425" t="inlineStr">
        <is>
          <t>Travel</t>
        </is>
      </c>
      <c r="H1425" t="inlineStr">
        <is>
          <t>Group &gt; Wedding &gt; Quick Add &gt; Travel</t>
        </is>
      </c>
      <c r="I1425" s="18" t="n">
        <v>15808.58</v>
      </c>
      <c r="J1425" t="inlineStr">
        <is>
          <t>Created MTR-IOS-1424 and correlation note visible in Activity/Pulse</t>
        </is>
      </c>
      <c r="K1425" t="inlineStr">
        <is>
          <t>NOT_RUN</t>
        </is>
      </c>
      <c r="P1425" t="n">
        <v>0</v>
      </c>
      <c r="Q1425" t="n">
        <v>1424</v>
      </c>
    </row>
    <row r="1426">
      <c r="A1426" t="n">
        <v>1425</v>
      </c>
      <c r="B1426" t="inlineStr">
        <is>
          <t>MTR-IOS-1425</t>
        </is>
      </c>
      <c r="C1426" t="inlineStr">
        <is>
          <t>iPhone</t>
        </is>
      </c>
      <c r="D1426" t="inlineStr">
        <is>
          <t>Business</t>
        </is>
      </c>
      <c r="E1426" t="inlineStr">
        <is>
          <t>Business</t>
        </is>
      </c>
      <c r="F1426" t="inlineStr">
        <is>
          <t>Business Runway</t>
        </is>
      </c>
      <c r="G1426" t="inlineStr">
        <is>
          <t>Investment</t>
        </is>
      </c>
      <c r="H1426" t="inlineStr">
        <is>
          <t>Business &gt; Business Runway &gt; Quick Add &gt; Investment</t>
        </is>
      </c>
      <c r="I1426" s="18" t="n">
        <v>32699.12</v>
      </c>
      <c r="J1426" t="inlineStr">
        <is>
          <t>Created MTR-IOS-1425 and correlation note visible in Activity/Pulse</t>
        </is>
      </c>
      <c r="K1426" t="inlineStr">
        <is>
          <t>NOT_RUN</t>
        </is>
      </c>
      <c r="P1426" t="n">
        <v>0</v>
      </c>
      <c r="Q1426" t="n">
        <v>1425</v>
      </c>
    </row>
    <row r="1427">
      <c r="A1427" t="n">
        <v>1426</v>
      </c>
      <c r="B1427" t="inlineStr">
        <is>
          <t>MTR-IOS-1426</t>
        </is>
      </c>
      <c r="C1427" t="inlineStr">
        <is>
          <t>iPhone</t>
        </is>
      </c>
      <c r="D1427" t="inlineStr">
        <is>
          <t>Personal</t>
        </is>
      </c>
      <c r="E1427" t="inlineStr">
        <is>
          <t>Personal</t>
        </is>
      </c>
      <c r="F1427" t="inlineStr">
        <is>
          <t>Lifestyle</t>
        </is>
      </c>
      <c r="G1427" t="inlineStr">
        <is>
          <t>Travel</t>
        </is>
      </c>
      <c r="H1427" t="inlineStr">
        <is>
          <t>Personal &gt; Lifestyle &gt; Quick Add &gt; Travel</t>
        </is>
      </c>
      <c r="I1427" s="18" t="n">
        <v>14724.53</v>
      </c>
      <c r="J1427" t="inlineStr">
        <is>
          <t>Created MTR-IOS-1426 and correlation note visible in Activity/Pulse</t>
        </is>
      </c>
      <c r="K1427" t="inlineStr">
        <is>
          <t>NOT_RUN</t>
        </is>
      </c>
      <c r="P1427" t="n">
        <v>0</v>
      </c>
      <c r="Q1427" t="n">
        <v>1426</v>
      </c>
    </row>
    <row r="1428">
      <c r="A1428" t="n">
        <v>1427</v>
      </c>
      <c r="B1428" t="inlineStr">
        <is>
          <t>MTR-IOS-1427</t>
        </is>
      </c>
      <c r="C1428" t="inlineStr">
        <is>
          <t>iPhone</t>
        </is>
      </c>
      <c r="D1428" t="inlineStr">
        <is>
          <t>Group</t>
        </is>
      </c>
      <c r="E1428" t="inlineStr">
        <is>
          <t>Shared Experience</t>
        </is>
      </c>
      <c r="F1428" t="inlineStr">
        <is>
          <t>Wedding</t>
        </is>
      </c>
      <c r="G1428" t="inlineStr">
        <is>
          <t>Gifts</t>
        </is>
      </c>
      <c r="H1428" t="inlineStr">
        <is>
          <t>Group &gt; Wedding &gt; Quick Add &gt; Gifts</t>
        </is>
      </c>
      <c r="I1428" s="18" t="n">
        <v>10018.24</v>
      </c>
      <c r="J1428" t="inlineStr">
        <is>
          <t>Created MTR-IOS-1427 and correlation note visible in Activity/Pulse</t>
        </is>
      </c>
      <c r="K1428" t="inlineStr">
        <is>
          <t>NOT_RUN</t>
        </is>
      </c>
      <c r="P1428" t="n">
        <v>0</v>
      </c>
      <c r="Q1428" t="n">
        <v>1427</v>
      </c>
    </row>
    <row r="1429">
      <c r="A1429" t="n">
        <v>1428</v>
      </c>
      <c r="B1429" t="inlineStr">
        <is>
          <t>MTR-IOS-1428</t>
        </is>
      </c>
      <c r="C1429" t="inlineStr">
        <is>
          <t>iPhone</t>
        </is>
      </c>
      <c r="D1429" t="inlineStr">
        <is>
          <t>Business</t>
        </is>
      </c>
      <c r="E1429" t="inlineStr">
        <is>
          <t>Business</t>
        </is>
      </c>
      <c r="F1429" t="inlineStr">
        <is>
          <t>Business Operations</t>
        </is>
      </c>
      <c r="G1429" t="inlineStr">
        <is>
          <t>Software</t>
        </is>
      </c>
      <c r="H1429" t="inlineStr">
        <is>
          <t>Business &gt; Business Operations &gt; Quick Add &gt; Software</t>
        </is>
      </c>
      <c r="I1429" s="18" t="n">
        <v>4618.57</v>
      </c>
      <c r="J1429" t="inlineStr">
        <is>
          <t>Created MTR-IOS-1428 and correlation note visible in Activity/Pulse</t>
        </is>
      </c>
      <c r="K1429" t="inlineStr">
        <is>
          <t>NOT_RUN</t>
        </is>
      </c>
      <c r="P1429" t="n">
        <v>0</v>
      </c>
      <c r="Q1429" t="n">
        <v>1428</v>
      </c>
    </row>
    <row r="1430">
      <c r="A1430" t="n">
        <v>1429</v>
      </c>
      <c r="B1430" t="inlineStr">
        <is>
          <t>MTR-IOS-1429</t>
        </is>
      </c>
      <c r="C1430" t="inlineStr">
        <is>
          <t>iPhone</t>
        </is>
      </c>
      <c r="D1430" t="inlineStr">
        <is>
          <t>Personal</t>
        </is>
      </c>
      <c r="E1430" t="inlineStr">
        <is>
          <t>Personal</t>
        </is>
      </c>
      <c r="F1430" t="inlineStr">
        <is>
          <t>Lifestyle</t>
        </is>
      </c>
      <c r="G1430" t="inlineStr">
        <is>
          <t>Fitness</t>
        </is>
      </c>
      <c r="H1430" t="inlineStr">
        <is>
          <t>Personal &gt; Lifestyle &gt; Quick Add &gt; Fitness</t>
        </is>
      </c>
      <c r="I1430" s="18" t="n">
        <v>17718.93</v>
      </c>
      <c r="J1430" t="inlineStr">
        <is>
          <t>Created MTR-IOS-1429 and correlation note visible in Activity/Pulse</t>
        </is>
      </c>
      <c r="K1430" t="inlineStr">
        <is>
          <t>NOT_RUN</t>
        </is>
      </c>
      <c r="P1430" t="n">
        <v>0</v>
      </c>
      <c r="Q1430" t="n">
        <v>1429</v>
      </c>
    </row>
    <row r="1431">
      <c r="A1431" t="n">
        <v>1430</v>
      </c>
      <c r="B1431" t="inlineStr">
        <is>
          <t>MTR-IOS-1430</t>
        </is>
      </c>
      <c r="C1431" t="inlineStr">
        <is>
          <t>iPhone</t>
        </is>
      </c>
      <c r="D1431" t="inlineStr">
        <is>
          <t>Group</t>
        </is>
      </c>
      <c r="E1431" t="inlineStr">
        <is>
          <t>Shared Experience</t>
        </is>
      </c>
      <c r="F1431" t="inlineStr">
        <is>
          <t>Wedding</t>
        </is>
      </c>
      <c r="G1431" t="inlineStr">
        <is>
          <t>Photography</t>
        </is>
      </c>
      <c r="H1431" t="inlineStr">
        <is>
          <t>Group &gt; Wedding &gt; Quick Add &gt; Photography</t>
        </is>
      </c>
      <c r="I1431" s="18" t="n">
        <v>25495.56</v>
      </c>
      <c r="J1431" t="inlineStr">
        <is>
          <t>Created MTR-IOS-1430 and correlation note visible in Activity/Pulse</t>
        </is>
      </c>
      <c r="K1431" t="inlineStr">
        <is>
          <t>NOT_RUN</t>
        </is>
      </c>
      <c r="P1431" t="n">
        <v>0</v>
      </c>
      <c r="Q1431" t="n">
        <v>1430</v>
      </c>
    </row>
    <row r="1432">
      <c r="A1432" t="n">
        <v>1431</v>
      </c>
      <c r="B1432" t="inlineStr">
        <is>
          <t>MTR-IOS-1431</t>
        </is>
      </c>
      <c r="C1432" t="inlineStr">
        <is>
          <t>iPhone</t>
        </is>
      </c>
      <c r="D1432" t="inlineStr">
        <is>
          <t>Business</t>
        </is>
      </c>
      <c r="E1432" t="inlineStr">
        <is>
          <t>Business</t>
        </is>
      </c>
      <c r="F1432" t="inlineStr">
        <is>
          <t>Business Operations</t>
        </is>
      </c>
      <c r="G1432" t="inlineStr">
        <is>
          <t>Rent</t>
        </is>
      </c>
      <c r="H1432" t="inlineStr">
        <is>
          <t>Business &gt; Business Operations &gt; Quick Add &gt; Rent</t>
        </is>
      </c>
      <c r="I1432" s="18" t="n">
        <v>18384.88</v>
      </c>
      <c r="J1432" t="inlineStr">
        <is>
          <t>Created MTR-IOS-1431 and correlation note visible in Activity/Pulse</t>
        </is>
      </c>
      <c r="K1432" t="inlineStr">
        <is>
          <t>NOT_RUN</t>
        </is>
      </c>
      <c r="P1432" t="n">
        <v>0</v>
      </c>
      <c r="Q1432" t="n">
        <v>1431</v>
      </c>
    </row>
    <row r="1433">
      <c r="A1433" t="n">
        <v>1432</v>
      </c>
      <c r="B1433" t="inlineStr">
        <is>
          <t>MTR-IOS-1432</t>
        </is>
      </c>
      <c r="C1433" t="inlineStr">
        <is>
          <t>iPhone</t>
        </is>
      </c>
      <c r="D1433" t="inlineStr">
        <is>
          <t>Personal</t>
        </is>
      </c>
      <c r="E1433" t="inlineStr">
        <is>
          <t>Personal</t>
        </is>
      </c>
      <c r="F1433" t="inlineStr">
        <is>
          <t>Lifestyle</t>
        </is>
      </c>
      <c r="G1433" t="inlineStr">
        <is>
          <t>Hobbies</t>
        </is>
      </c>
      <c r="H1433" t="inlineStr">
        <is>
          <t>Personal &gt; Lifestyle &gt; Quick Add &gt; Hobbies</t>
        </is>
      </c>
      <c r="I1433" s="18" t="n">
        <v>9340.059999999999</v>
      </c>
      <c r="J1433" t="inlineStr">
        <is>
          <t>Created MTR-IOS-1432 and correlation note visible in Activity/Pulse</t>
        </is>
      </c>
      <c r="K1433" t="inlineStr">
        <is>
          <t>NOT_RUN</t>
        </is>
      </c>
      <c r="P1433" t="n">
        <v>0</v>
      </c>
      <c r="Q1433" t="n">
        <v>1432</v>
      </c>
    </row>
    <row r="1434">
      <c r="A1434" t="n">
        <v>1433</v>
      </c>
      <c r="B1434" t="inlineStr">
        <is>
          <t>MTR-IOS-1433</t>
        </is>
      </c>
      <c r="C1434" t="inlineStr">
        <is>
          <t>iPhone</t>
        </is>
      </c>
      <c r="D1434" t="inlineStr">
        <is>
          <t>Group</t>
        </is>
      </c>
      <c r="E1434" t="inlineStr">
        <is>
          <t>Shared Experience</t>
        </is>
      </c>
      <c r="F1434" t="inlineStr">
        <is>
          <t>Wedding</t>
        </is>
      </c>
      <c r="G1434" t="inlineStr">
        <is>
          <t>Other</t>
        </is>
      </c>
      <c r="H1434" t="inlineStr">
        <is>
          <t>Group &gt; Wedding &gt; Quick Add &gt; Other</t>
        </is>
      </c>
      <c r="I1434" s="18" t="n">
        <v>18890.95</v>
      </c>
      <c r="J1434" t="inlineStr">
        <is>
          <t>Created MTR-IOS-1433 and correlation note visible in Activity/Pulse</t>
        </is>
      </c>
      <c r="K1434" t="inlineStr">
        <is>
          <t>NOT_RUN</t>
        </is>
      </c>
      <c r="P1434" t="n">
        <v>0</v>
      </c>
      <c r="Q1434" t="n">
        <v>1433</v>
      </c>
    </row>
    <row r="1435">
      <c r="A1435" t="n">
        <v>1434</v>
      </c>
      <c r="B1435" t="inlineStr">
        <is>
          <t>MTR-IOS-1434</t>
        </is>
      </c>
      <c r="C1435" t="inlineStr">
        <is>
          <t>iPhone</t>
        </is>
      </c>
      <c r="D1435" t="inlineStr">
        <is>
          <t>Business</t>
        </is>
      </c>
      <c r="E1435" t="inlineStr">
        <is>
          <t>Business</t>
        </is>
      </c>
      <c r="F1435" t="inlineStr">
        <is>
          <t>Business Operations</t>
        </is>
      </c>
      <c r="G1435" t="inlineStr">
        <is>
          <t>Marketing</t>
        </is>
      </c>
      <c r="H1435" t="inlineStr">
        <is>
          <t>Business &gt; Business Operations &gt; Quick Add &gt; Marketing</t>
        </is>
      </c>
      <c r="I1435" s="18" t="n">
        <v>124028.26</v>
      </c>
      <c r="J1435" t="inlineStr">
        <is>
          <t>Created MTR-IOS-1434 and correlation note visible in Activity/Pulse</t>
        </is>
      </c>
      <c r="K1435" t="inlineStr">
        <is>
          <t>NOT_RUN</t>
        </is>
      </c>
      <c r="P1435" t="n">
        <v>0</v>
      </c>
      <c r="Q1435" t="n">
        <v>1434</v>
      </c>
    </row>
    <row r="1436">
      <c r="A1436" t="n">
        <v>1435</v>
      </c>
      <c r="B1436" t="inlineStr">
        <is>
          <t>MTR-IOS-1435</t>
        </is>
      </c>
      <c r="C1436" t="inlineStr">
        <is>
          <t>iPhone</t>
        </is>
      </c>
      <c r="D1436" t="inlineStr">
        <is>
          <t>Personal</t>
        </is>
      </c>
      <c r="E1436" t="inlineStr">
        <is>
          <t>Personal</t>
        </is>
      </c>
      <c r="F1436" t="inlineStr">
        <is>
          <t>Relationships</t>
        </is>
      </c>
      <c r="G1436" t="inlineStr">
        <is>
          <t>Gifts</t>
        </is>
      </c>
      <c r="H1436" t="inlineStr">
        <is>
          <t>Personal &gt; Relationships &gt; Quick Add &gt; Gifts</t>
        </is>
      </c>
      <c r="I1436" s="18" t="n">
        <v>8714.33</v>
      </c>
      <c r="J1436" t="inlineStr">
        <is>
          <t>Created MTR-IOS-1435 and correlation note visible in Activity/Pulse</t>
        </is>
      </c>
      <c r="K1436" t="inlineStr">
        <is>
          <t>NOT_RUN</t>
        </is>
      </c>
      <c r="P1436" t="n">
        <v>0</v>
      </c>
      <c r="Q1436" t="n">
        <v>1435</v>
      </c>
    </row>
    <row r="1437">
      <c r="A1437" t="n">
        <v>1436</v>
      </c>
      <c r="B1437" t="inlineStr">
        <is>
          <t>MTR-IOS-1436</t>
        </is>
      </c>
      <c r="C1437" t="inlineStr">
        <is>
          <t>iPhone</t>
        </is>
      </c>
      <c r="D1437" t="inlineStr">
        <is>
          <t>Group</t>
        </is>
      </c>
      <c r="E1437" t="inlineStr">
        <is>
          <t>Shared Experience</t>
        </is>
      </c>
      <c r="F1437" t="inlineStr">
        <is>
          <t>Office Outing</t>
        </is>
      </c>
      <c r="G1437" t="inlineStr">
        <is>
          <t>Food</t>
        </is>
      </c>
      <c r="H1437" t="inlineStr">
        <is>
          <t>Group &gt; Office Outing &gt; Quick Add &gt; Food</t>
        </is>
      </c>
      <c r="I1437" s="18" t="n">
        <v>7643.85</v>
      </c>
      <c r="J1437" t="inlineStr">
        <is>
          <t>Created MTR-IOS-1436 and correlation note visible in Activity/Pulse</t>
        </is>
      </c>
      <c r="K1437" t="inlineStr">
        <is>
          <t>NOT_RUN</t>
        </is>
      </c>
      <c r="P1437" t="n">
        <v>0</v>
      </c>
      <c r="Q1437" t="n">
        <v>1436</v>
      </c>
    </row>
    <row r="1438">
      <c r="A1438" t="n">
        <v>1437</v>
      </c>
      <c r="B1438" t="inlineStr">
        <is>
          <t>MTR-IOS-1437</t>
        </is>
      </c>
      <c r="C1438" t="inlineStr">
        <is>
          <t>iPhone</t>
        </is>
      </c>
      <c r="D1438" t="inlineStr">
        <is>
          <t>Business</t>
        </is>
      </c>
      <c r="E1438" t="inlineStr">
        <is>
          <t>Business</t>
        </is>
      </c>
      <c r="F1438" t="inlineStr">
        <is>
          <t>Business Operations</t>
        </is>
      </c>
      <c r="G1438" t="inlineStr">
        <is>
          <t>Legal</t>
        </is>
      </c>
      <c r="H1438" t="inlineStr">
        <is>
          <t>Business &gt; Business Operations &gt; Quick Add &gt; Legal</t>
        </is>
      </c>
      <c r="I1438" s="18" t="n">
        <v>162757.05</v>
      </c>
      <c r="J1438" t="inlineStr">
        <is>
          <t>Created MTR-IOS-1437 and correlation note visible in Activity/Pulse</t>
        </is>
      </c>
      <c r="K1438" t="inlineStr">
        <is>
          <t>NOT_RUN</t>
        </is>
      </c>
      <c r="P1438" t="n">
        <v>0</v>
      </c>
      <c r="Q1438" t="n">
        <v>1437</v>
      </c>
    </row>
    <row r="1439">
      <c r="A1439" t="n">
        <v>1438</v>
      </c>
      <c r="B1439" t="inlineStr">
        <is>
          <t>MTR-IOS-1438</t>
        </is>
      </c>
      <c r="C1439" t="inlineStr">
        <is>
          <t>iPhone</t>
        </is>
      </c>
      <c r="D1439" t="inlineStr">
        <is>
          <t>Personal</t>
        </is>
      </c>
      <c r="E1439" t="inlineStr">
        <is>
          <t>Personal</t>
        </is>
      </c>
      <c r="F1439" t="inlineStr">
        <is>
          <t>Relationships</t>
        </is>
      </c>
      <c r="G1439" t="inlineStr">
        <is>
          <t>Dates</t>
        </is>
      </c>
      <c r="H1439" t="inlineStr">
        <is>
          <t>Personal &gt; Relationships &gt; Quick Add &gt; Dates</t>
        </is>
      </c>
      <c r="I1439" s="18" t="n">
        <v>9072.52</v>
      </c>
      <c r="J1439" t="inlineStr">
        <is>
          <t>Created MTR-IOS-1438 and correlation note visible in Activity/Pulse</t>
        </is>
      </c>
      <c r="K1439" t="inlineStr">
        <is>
          <t>NOT_RUN</t>
        </is>
      </c>
      <c r="P1439" t="n">
        <v>0</v>
      </c>
      <c r="Q1439" t="n">
        <v>1438</v>
      </c>
    </row>
    <row r="1440">
      <c r="A1440" t="n">
        <v>1439</v>
      </c>
      <c r="B1440" t="inlineStr">
        <is>
          <t>MTR-IOS-1439</t>
        </is>
      </c>
      <c r="C1440" t="inlineStr">
        <is>
          <t>iPhone</t>
        </is>
      </c>
      <c r="D1440" t="inlineStr">
        <is>
          <t>Group</t>
        </is>
      </c>
      <c r="E1440" t="inlineStr">
        <is>
          <t>Shared Experience</t>
        </is>
      </c>
      <c r="F1440" t="inlineStr">
        <is>
          <t>Office Outing</t>
        </is>
      </c>
      <c r="G1440" t="inlineStr">
        <is>
          <t>Travel</t>
        </is>
      </c>
      <c r="H1440" t="inlineStr">
        <is>
          <t>Group &gt; Office Outing &gt; Quick Add &gt; Travel</t>
        </is>
      </c>
      <c r="I1440" s="18" t="n">
        <v>21421.08</v>
      </c>
      <c r="J1440" t="inlineStr">
        <is>
          <t>Created MTR-IOS-1439 and correlation note visible in Activity/Pulse</t>
        </is>
      </c>
      <c r="K1440" t="inlineStr">
        <is>
          <t>NOT_RUN</t>
        </is>
      </c>
      <c r="P1440" t="n">
        <v>0</v>
      </c>
      <c r="Q1440" t="n">
        <v>1439</v>
      </c>
    </row>
    <row r="1441">
      <c r="A1441" t="n">
        <v>1440</v>
      </c>
      <c r="B1441" t="inlineStr">
        <is>
          <t>MTR-IOS-1440</t>
        </is>
      </c>
      <c r="C1441" t="inlineStr">
        <is>
          <t>iPhone</t>
        </is>
      </c>
      <c r="D1441" t="inlineStr">
        <is>
          <t>Business</t>
        </is>
      </c>
      <c r="E1441" t="inlineStr">
        <is>
          <t>Business</t>
        </is>
      </c>
      <c r="F1441" t="inlineStr">
        <is>
          <t>Business Operations</t>
        </is>
      </c>
      <c r="G1441" t="inlineStr">
        <is>
          <t>Accounting</t>
        </is>
      </c>
      <c r="H1441" t="inlineStr">
        <is>
          <t>Business &gt; Business Operations &gt; Quick Add &gt; Accounting</t>
        </is>
      </c>
      <c r="I1441" s="18" t="n">
        <v>65314.67</v>
      </c>
      <c r="J1441" t="inlineStr">
        <is>
          <t>Created MTR-IOS-1440 and correlation note visible in Activity/Pulse</t>
        </is>
      </c>
      <c r="K1441" t="inlineStr">
        <is>
          <t>NOT_RUN</t>
        </is>
      </c>
      <c r="P1441" t="n">
        <v>0</v>
      </c>
      <c r="Q1441" t="n">
        <v>1440</v>
      </c>
    </row>
    <row r="1442">
      <c r="A1442" t="n">
        <v>1441</v>
      </c>
      <c r="B1442" t="inlineStr">
        <is>
          <t>MTR-IOS-1441</t>
        </is>
      </c>
      <c r="C1442" t="inlineStr">
        <is>
          <t>iPhone</t>
        </is>
      </c>
      <c r="D1442" t="inlineStr">
        <is>
          <t>Personal</t>
        </is>
      </c>
      <c r="E1442" t="inlineStr">
        <is>
          <t>Personal</t>
        </is>
      </c>
      <c r="F1442" t="inlineStr">
        <is>
          <t>Relationships</t>
        </is>
      </c>
      <c r="G1442" t="inlineStr">
        <is>
          <t>Family</t>
        </is>
      </c>
      <c r="H1442" t="inlineStr">
        <is>
          <t>Personal &gt; Relationships &gt; Quick Add &gt; Family</t>
        </is>
      </c>
      <c r="I1442" s="18" t="n">
        <v>15096.99</v>
      </c>
      <c r="J1442" t="inlineStr">
        <is>
          <t>Created MTR-IOS-1441 and correlation note visible in Activity/Pulse</t>
        </is>
      </c>
      <c r="K1442" t="inlineStr">
        <is>
          <t>NOT_RUN</t>
        </is>
      </c>
      <c r="P1442" t="n">
        <v>0</v>
      </c>
      <c r="Q1442" t="n">
        <v>1441</v>
      </c>
    </row>
    <row r="1443">
      <c r="A1443" t="n">
        <v>1442</v>
      </c>
      <c r="B1443" t="inlineStr">
        <is>
          <t>MTR-IOS-1442</t>
        </is>
      </c>
      <c r="C1443" t="inlineStr">
        <is>
          <t>iPhone</t>
        </is>
      </c>
      <c r="D1443" t="inlineStr">
        <is>
          <t>Group</t>
        </is>
      </c>
      <c r="E1443" t="inlineStr">
        <is>
          <t>Shared Experience</t>
        </is>
      </c>
      <c r="F1443" t="inlineStr">
        <is>
          <t>Office Outing</t>
        </is>
      </c>
      <c r="G1443" t="inlineStr">
        <is>
          <t>Activities</t>
        </is>
      </c>
      <c r="H1443" t="inlineStr">
        <is>
          <t>Group &gt; Office Outing &gt; Quick Add &gt; Activities</t>
        </is>
      </c>
      <c r="I1443" s="18" t="n">
        <v>8052.1</v>
      </c>
      <c r="J1443" t="inlineStr">
        <is>
          <t>Created MTR-IOS-1442 and correlation note visible in Activity/Pulse</t>
        </is>
      </c>
      <c r="K1443" t="inlineStr">
        <is>
          <t>NOT_RUN</t>
        </is>
      </c>
      <c r="P1443" t="n">
        <v>0</v>
      </c>
      <c r="Q1443" t="n">
        <v>1442</v>
      </c>
    </row>
    <row r="1444">
      <c r="A1444" t="n">
        <v>1443</v>
      </c>
      <c r="B1444" t="inlineStr">
        <is>
          <t>MTR-IOS-1443</t>
        </is>
      </c>
      <c r="C1444" t="inlineStr">
        <is>
          <t>iPhone</t>
        </is>
      </c>
      <c r="D1444" t="inlineStr">
        <is>
          <t>Business</t>
        </is>
      </c>
      <c r="E1444" t="inlineStr">
        <is>
          <t>Business</t>
        </is>
      </c>
      <c r="F1444" t="inlineStr">
        <is>
          <t>Business Operations</t>
        </is>
      </c>
      <c r="G1444" t="inlineStr">
        <is>
          <t>Equipment</t>
        </is>
      </c>
      <c r="H1444" t="inlineStr">
        <is>
          <t>Business &gt; Business Operations &gt; Quick Add &gt; Equipment</t>
        </is>
      </c>
      <c r="I1444" s="18" t="n">
        <v>100</v>
      </c>
      <c r="J1444" t="inlineStr">
        <is>
          <t>Created MTR-IOS-1443 and correlation note visible in Activity/Pulse</t>
        </is>
      </c>
      <c r="K1444" t="inlineStr">
        <is>
          <t>NOT_RUN</t>
        </is>
      </c>
      <c r="P1444" t="n">
        <v>0</v>
      </c>
      <c r="Q1444" t="n">
        <v>1443</v>
      </c>
    </row>
    <row r="1445">
      <c r="A1445" t="n">
        <v>1444</v>
      </c>
      <c r="B1445" t="inlineStr">
        <is>
          <t>MTR-IOS-1444</t>
        </is>
      </c>
      <c r="C1445" t="inlineStr">
        <is>
          <t>iPhone</t>
        </is>
      </c>
      <c r="D1445" t="inlineStr">
        <is>
          <t>Personal</t>
        </is>
      </c>
      <c r="E1445" t="inlineStr">
        <is>
          <t>Personal</t>
        </is>
      </c>
      <c r="F1445" t="inlineStr">
        <is>
          <t>Relationships</t>
        </is>
      </c>
      <c r="G1445" t="inlineStr">
        <is>
          <t>Friends</t>
        </is>
      </c>
      <c r="H1445" t="inlineStr">
        <is>
          <t>Personal &gt; Relationships &gt; Quick Add &gt; Friends</t>
        </is>
      </c>
      <c r="I1445" s="18" t="n">
        <v>9732.67</v>
      </c>
      <c r="J1445" t="inlineStr">
        <is>
          <t>Created MTR-IOS-1444 and correlation note visible in Activity/Pulse</t>
        </is>
      </c>
      <c r="K1445" t="inlineStr">
        <is>
          <t>NOT_RUN</t>
        </is>
      </c>
      <c r="P1445" t="n">
        <v>0</v>
      </c>
      <c r="Q1445" t="n">
        <v>1444</v>
      </c>
    </row>
    <row r="1446">
      <c r="A1446" t="n">
        <v>1445</v>
      </c>
      <c r="B1446" t="inlineStr">
        <is>
          <t>MTR-IOS-1445</t>
        </is>
      </c>
      <c r="C1446" t="inlineStr">
        <is>
          <t>iPhone</t>
        </is>
      </c>
      <c r="D1446" t="inlineStr">
        <is>
          <t>Group</t>
        </is>
      </c>
      <c r="E1446" t="inlineStr">
        <is>
          <t>Shared Experience</t>
        </is>
      </c>
      <c r="F1446" t="inlineStr">
        <is>
          <t>Office Outing</t>
        </is>
      </c>
      <c r="G1446" t="inlineStr">
        <is>
          <t>Venue</t>
        </is>
      </c>
      <c r="H1446" t="inlineStr">
        <is>
          <t>Group &gt; Office Outing &gt; Quick Add &gt; Venue</t>
        </is>
      </c>
      <c r="I1446" s="18" t="n">
        <v>24822.94</v>
      </c>
      <c r="J1446" t="inlineStr">
        <is>
          <t>Created MTR-IOS-1445 and correlation note visible in Activity/Pulse</t>
        </is>
      </c>
      <c r="K1446" t="inlineStr">
        <is>
          <t>NOT_RUN</t>
        </is>
      </c>
      <c r="P1446" t="n">
        <v>0</v>
      </c>
      <c r="Q1446" t="n">
        <v>1445</v>
      </c>
    </row>
    <row r="1447">
      <c r="A1447" t="n">
        <v>1446</v>
      </c>
      <c r="B1447" t="inlineStr">
        <is>
          <t>MTR-IOS-1446</t>
        </is>
      </c>
      <c r="C1447" t="inlineStr">
        <is>
          <t>iPhone</t>
        </is>
      </c>
      <c r="D1447" t="inlineStr">
        <is>
          <t>Business</t>
        </is>
      </c>
      <c r="E1447" t="inlineStr">
        <is>
          <t>Business</t>
        </is>
      </c>
      <c r="F1447" t="inlineStr">
        <is>
          <t>Business Operations</t>
        </is>
      </c>
      <c r="G1447" t="inlineStr">
        <is>
          <t>Vendor</t>
        </is>
      </c>
      <c r="H1447" t="inlineStr">
        <is>
          <t>Business &gt; Business Operations &gt; Quick Add &gt; Vendor</t>
        </is>
      </c>
      <c r="I1447" s="18" t="n">
        <v>72168.95</v>
      </c>
      <c r="J1447" t="inlineStr">
        <is>
          <t>Created MTR-IOS-1446 and correlation note visible in Activity/Pulse</t>
        </is>
      </c>
      <c r="K1447" t="inlineStr">
        <is>
          <t>NOT_RUN</t>
        </is>
      </c>
      <c r="P1447" t="n">
        <v>0</v>
      </c>
      <c r="Q1447" t="n">
        <v>1446</v>
      </c>
    </row>
    <row r="1448">
      <c r="A1448" t="n">
        <v>1447</v>
      </c>
      <c r="B1448" t="inlineStr">
        <is>
          <t>MTR-IOS-1447</t>
        </is>
      </c>
      <c r="C1448" t="inlineStr">
        <is>
          <t>iPhone</t>
        </is>
      </c>
      <c r="D1448" t="inlineStr">
        <is>
          <t>Personal</t>
        </is>
      </c>
      <c r="E1448" t="inlineStr">
        <is>
          <t>Personal</t>
        </is>
      </c>
      <c r="F1448" t="inlineStr">
        <is>
          <t>Relationships</t>
        </is>
      </c>
      <c r="G1448" t="inlineStr">
        <is>
          <t>Celebrations</t>
        </is>
      </c>
      <c r="H1448" t="inlineStr">
        <is>
          <t>Personal &gt; Relationships &gt; Quick Add &gt; Celebrations</t>
        </is>
      </c>
      <c r="I1448" s="18" t="n">
        <v>17361.36</v>
      </c>
      <c r="J1448" t="inlineStr">
        <is>
          <t>Created MTR-IOS-1447 and correlation note visible in Activity/Pulse</t>
        </is>
      </c>
      <c r="K1448" t="inlineStr">
        <is>
          <t>NOT_RUN</t>
        </is>
      </c>
      <c r="P1448" t="n">
        <v>0</v>
      </c>
      <c r="Q1448" t="n">
        <v>1447</v>
      </c>
    </row>
    <row r="1449">
      <c r="A1449" t="n">
        <v>1448</v>
      </c>
      <c r="B1449" t="inlineStr">
        <is>
          <t>MTR-IOS-1448</t>
        </is>
      </c>
      <c r="C1449" t="inlineStr">
        <is>
          <t>iPhone</t>
        </is>
      </c>
      <c r="D1449" t="inlineStr">
        <is>
          <t>Group</t>
        </is>
      </c>
      <c r="E1449" t="inlineStr">
        <is>
          <t>Shared Experience</t>
        </is>
      </c>
      <c r="F1449" t="inlineStr">
        <is>
          <t>Office Outing</t>
        </is>
      </c>
      <c r="G1449" t="inlineStr">
        <is>
          <t>Other</t>
        </is>
      </c>
      <c r="H1449" t="inlineStr">
        <is>
          <t>Group &gt; Office Outing &gt; Quick Add &gt; Other</t>
        </is>
      </c>
      <c r="I1449" s="18" t="n">
        <v>18142.22</v>
      </c>
      <c r="J1449" t="inlineStr">
        <is>
          <t>Created MTR-IOS-1448 and correlation note visible in Activity/Pulse</t>
        </is>
      </c>
      <c r="K1449" t="inlineStr">
        <is>
          <t>NOT_RUN</t>
        </is>
      </c>
      <c r="P1449" t="n">
        <v>0</v>
      </c>
      <c r="Q1449" t="n">
        <v>1448</v>
      </c>
    </row>
    <row r="1450">
      <c r="A1450" t="n">
        <v>1449</v>
      </c>
      <c r="B1450" t="inlineStr">
        <is>
          <t>MTR-IOS-1449</t>
        </is>
      </c>
      <c r="C1450" t="inlineStr">
        <is>
          <t>iPhone</t>
        </is>
      </c>
      <c r="D1450" t="inlineStr">
        <is>
          <t>Business</t>
        </is>
      </c>
      <c r="E1450" t="inlineStr">
        <is>
          <t>Business</t>
        </is>
      </c>
      <c r="F1450" t="inlineStr">
        <is>
          <t>Business Operations</t>
        </is>
      </c>
      <c r="G1450" t="inlineStr">
        <is>
          <t>Tax</t>
        </is>
      </c>
      <c r="H1450" t="inlineStr">
        <is>
          <t>Business &gt; Business Operations &gt; Quick Add &gt; Tax</t>
        </is>
      </c>
      <c r="I1450" s="18" t="n">
        <v>16227.92</v>
      </c>
      <c r="J1450" t="inlineStr">
        <is>
          <t>Created MTR-IOS-1449 and correlation note visible in Activity/Pulse</t>
        </is>
      </c>
      <c r="K1450" t="inlineStr">
        <is>
          <t>NOT_RUN</t>
        </is>
      </c>
      <c r="P1450" t="n">
        <v>0</v>
      </c>
      <c r="Q1450" t="n">
        <v>1449</v>
      </c>
    </row>
    <row r="1451">
      <c r="A1451" t="n">
        <v>1450</v>
      </c>
      <c r="B1451" t="inlineStr">
        <is>
          <t>MTR-IOS-1450</t>
        </is>
      </c>
      <c r="C1451" t="inlineStr">
        <is>
          <t>iPhone</t>
        </is>
      </c>
      <c r="D1451" t="inlineStr">
        <is>
          <t>Personal</t>
        </is>
      </c>
      <c r="E1451" t="inlineStr">
        <is>
          <t>Personal</t>
        </is>
      </c>
      <c r="F1451" t="inlineStr">
        <is>
          <t>Life Operations</t>
        </is>
      </c>
      <c r="G1451" t="inlineStr">
        <is>
          <t>Groceries</t>
        </is>
      </c>
      <c r="H1451" t="inlineStr">
        <is>
          <t>Personal &gt; Life Operations &gt; Quick Add &gt; Groceries</t>
        </is>
      </c>
      <c r="I1451" s="18" t="n">
        <v>2687.86</v>
      </c>
      <c r="J1451" t="inlineStr">
        <is>
          <t>Created MTR-IOS-1450 and correlation note visible in Activity/Pulse</t>
        </is>
      </c>
      <c r="K1451" t="inlineStr">
        <is>
          <t>NOT_RUN</t>
        </is>
      </c>
      <c r="P1451" t="n">
        <v>0</v>
      </c>
      <c r="Q1451" t="n">
        <v>1450</v>
      </c>
    </row>
    <row r="1452">
      <c r="A1452" t="n">
        <v>1451</v>
      </c>
      <c r="B1452" t="inlineStr">
        <is>
          <t>MTR-IOS-1451</t>
        </is>
      </c>
      <c r="C1452" t="inlineStr">
        <is>
          <t>iPhone</t>
        </is>
      </c>
      <c r="D1452" t="inlineStr">
        <is>
          <t>Group</t>
        </is>
      </c>
      <c r="E1452" t="inlineStr">
        <is>
          <t>Shared Experience</t>
        </is>
      </c>
      <c r="F1452" t="inlineStr">
        <is>
          <t>House Party</t>
        </is>
      </c>
      <c r="G1452" t="inlineStr">
        <is>
          <t>Food</t>
        </is>
      </c>
      <c r="H1452" t="inlineStr">
        <is>
          <t>Group &gt; House Party &gt; Quick Add &gt; Food</t>
        </is>
      </c>
      <c r="I1452" s="18" t="n">
        <v>9443.41</v>
      </c>
      <c r="J1452" t="inlineStr">
        <is>
          <t>Created MTR-IOS-1451 and correlation note visible in Activity/Pulse</t>
        </is>
      </c>
      <c r="K1452" t="inlineStr">
        <is>
          <t>NOT_RUN</t>
        </is>
      </c>
      <c r="P1452" t="n">
        <v>0</v>
      </c>
      <c r="Q1452" t="n">
        <v>1451</v>
      </c>
    </row>
    <row r="1453">
      <c r="A1453" t="n">
        <v>1452</v>
      </c>
      <c r="B1453" t="inlineStr">
        <is>
          <t>MTR-IOS-1452</t>
        </is>
      </c>
      <c r="C1453" t="inlineStr">
        <is>
          <t>iPhone</t>
        </is>
      </c>
      <c r="D1453" t="inlineStr">
        <is>
          <t>Business</t>
        </is>
      </c>
      <c r="E1453" t="inlineStr">
        <is>
          <t>Business</t>
        </is>
      </c>
      <c r="F1453" t="inlineStr">
        <is>
          <t>Team Operations</t>
        </is>
      </c>
      <c r="G1453" t="inlineStr">
        <is>
          <t>Payroll</t>
        </is>
      </c>
      <c r="H1453" t="inlineStr">
        <is>
          <t>Business &gt; Team Operations &gt; Quick Add &gt; Payroll</t>
        </is>
      </c>
      <c r="I1453" s="18" t="n">
        <v>59795.05</v>
      </c>
      <c r="J1453" t="inlineStr">
        <is>
          <t>Created MTR-IOS-1452 and correlation note visible in Activity/Pulse</t>
        </is>
      </c>
      <c r="K1453" t="inlineStr">
        <is>
          <t>NOT_RUN</t>
        </is>
      </c>
      <c r="P1453" t="n">
        <v>0</v>
      </c>
      <c r="Q1453" t="n">
        <v>1452</v>
      </c>
    </row>
    <row r="1454">
      <c r="A1454" t="n">
        <v>1453</v>
      </c>
      <c r="B1454" t="inlineStr">
        <is>
          <t>MTR-IOS-1453</t>
        </is>
      </c>
      <c r="C1454" t="inlineStr">
        <is>
          <t>iPhone</t>
        </is>
      </c>
      <c r="D1454" t="inlineStr">
        <is>
          <t>Personal</t>
        </is>
      </c>
      <c r="E1454" t="inlineStr">
        <is>
          <t>Personal</t>
        </is>
      </c>
      <c r="F1454" t="inlineStr">
        <is>
          <t>Life Operations</t>
        </is>
      </c>
      <c r="G1454" t="inlineStr">
        <is>
          <t>Rent</t>
        </is>
      </c>
      <c r="H1454" t="inlineStr">
        <is>
          <t>Personal &gt; Life Operations &gt; Quick Add &gt; Rent</t>
        </is>
      </c>
      <c r="I1454" s="18" t="n">
        <v>15374.74</v>
      </c>
      <c r="J1454" t="inlineStr">
        <is>
          <t>Created MTR-IOS-1453 and correlation note visible in Activity/Pulse</t>
        </is>
      </c>
      <c r="K1454" t="inlineStr">
        <is>
          <t>NOT_RUN</t>
        </is>
      </c>
      <c r="P1454" t="n">
        <v>0</v>
      </c>
      <c r="Q1454" t="n">
        <v>1453</v>
      </c>
    </row>
    <row r="1455">
      <c r="A1455" t="n">
        <v>1454</v>
      </c>
      <c r="B1455" t="inlineStr">
        <is>
          <t>MTR-IOS-1454</t>
        </is>
      </c>
      <c r="C1455" t="inlineStr">
        <is>
          <t>iPhone</t>
        </is>
      </c>
      <c r="D1455" t="inlineStr">
        <is>
          <t>Group</t>
        </is>
      </c>
      <c r="E1455" t="inlineStr">
        <is>
          <t>Shared Experience</t>
        </is>
      </c>
      <c r="F1455" t="inlineStr">
        <is>
          <t>House Party</t>
        </is>
      </c>
      <c r="G1455" t="inlineStr">
        <is>
          <t>Drinks</t>
        </is>
      </c>
      <c r="H1455" t="inlineStr">
        <is>
          <t>Group &gt; House Party &gt; Quick Add &gt; Drinks</t>
        </is>
      </c>
      <c r="I1455" s="18" t="n">
        <v>4058.01</v>
      </c>
      <c r="J1455" t="inlineStr">
        <is>
          <t>Created MTR-IOS-1454 and correlation note visible in Activity/Pulse</t>
        </is>
      </c>
      <c r="K1455" t="inlineStr">
        <is>
          <t>NOT_RUN</t>
        </is>
      </c>
      <c r="P1455" t="n">
        <v>0</v>
      </c>
      <c r="Q1455" t="n">
        <v>1454</v>
      </c>
    </row>
    <row r="1456">
      <c r="A1456" t="n">
        <v>1455</v>
      </c>
      <c r="B1456" t="inlineStr">
        <is>
          <t>MTR-IOS-1455</t>
        </is>
      </c>
      <c r="C1456" t="inlineStr">
        <is>
          <t>iPhone</t>
        </is>
      </c>
      <c r="D1456" t="inlineStr">
        <is>
          <t>Business</t>
        </is>
      </c>
      <c r="E1456" t="inlineStr">
        <is>
          <t>Business</t>
        </is>
      </c>
      <c r="F1456" t="inlineStr">
        <is>
          <t>Team Operations</t>
        </is>
      </c>
      <c r="G1456" t="inlineStr">
        <is>
          <t>Contractor</t>
        </is>
      </c>
      <c r="H1456" t="inlineStr">
        <is>
          <t>Business &gt; Team Operations &gt; Quick Add &gt; Contractor</t>
        </is>
      </c>
      <c r="I1456" s="18" t="n">
        <v>21371.37</v>
      </c>
      <c r="J1456" t="inlineStr">
        <is>
          <t>Created MTR-IOS-1455 and correlation note visible in Activity/Pulse</t>
        </is>
      </c>
      <c r="K1456" t="inlineStr">
        <is>
          <t>NOT_RUN</t>
        </is>
      </c>
      <c r="P1456" t="n">
        <v>0</v>
      </c>
      <c r="Q1456" t="n">
        <v>1455</v>
      </c>
    </row>
    <row r="1457">
      <c r="A1457" t="n">
        <v>1456</v>
      </c>
      <c r="B1457" t="inlineStr">
        <is>
          <t>MTR-IOS-1456</t>
        </is>
      </c>
      <c r="C1457" t="inlineStr">
        <is>
          <t>iPhone</t>
        </is>
      </c>
      <c r="D1457" t="inlineStr">
        <is>
          <t>Personal</t>
        </is>
      </c>
      <c r="E1457" t="inlineStr">
        <is>
          <t>Personal</t>
        </is>
      </c>
      <c r="F1457" t="inlineStr">
        <is>
          <t>Life Operations</t>
        </is>
      </c>
      <c r="G1457" t="inlineStr">
        <is>
          <t>Bills</t>
        </is>
      </c>
      <c r="H1457" t="inlineStr">
        <is>
          <t>Personal &gt; Life Operations &gt; Quick Add &gt; Bills</t>
        </is>
      </c>
      <c r="I1457" s="18" t="n">
        <v>12910.1</v>
      </c>
      <c r="J1457" t="inlineStr">
        <is>
          <t>Created MTR-IOS-1456 and correlation note visible in Activity/Pulse</t>
        </is>
      </c>
      <c r="K1457" t="inlineStr">
        <is>
          <t>NOT_RUN</t>
        </is>
      </c>
      <c r="P1457" t="n">
        <v>0</v>
      </c>
      <c r="Q1457" t="n">
        <v>1456</v>
      </c>
    </row>
    <row r="1458">
      <c r="A1458" t="n">
        <v>1457</v>
      </c>
      <c r="B1458" t="inlineStr">
        <is>
          <t>MTR-IOS-1457</t>
        </is>
      </c>
      <c r="C1458" t="inlineStr">
        <is>
          <t>iPhone</t>
        </is>
      </c>
      <c r="D1458" t="inlineStr">
        <is>
          <t>Group</t>
        </is>
      </c>
      <c r="E1458" t="inlineStr">
        <is>
          <t>Shared Experience</t>
        </is>
      </c>
      <c r="F1458" t="inlineStr">
        <is>
          <t>House Party</t>
        </is>
      </c>
      <c r="G1458" t="inlineStr">
        <is>
          <t>Decor</t>
        </is>
      </c>
      <c r="H1458" t="inlineStr">
        <is>
          <t>Group &gt; House Party &gt; Quick Add &gt; Decor</t>
        </is>
      </c>
      <c r="I1458" s="18" t="n">
        <v>5922.86</v>
      </c>
      <c r="J1458" t="inlineStr">
        <is>
          <t>Created MTR-IOS-1457 and correlation note visible in Activity/Pulse</t>
        </is>
      </c>
      <c r="K1458" t="inlineStr">
        <is>
          <t>NOT_RUN</t>
        </is>
      </c>
      <c r="P1458" t="n">
        <v>0</v>
      </c>
      <c r="Q1458" t="n">
        <v>1457</v>
      </c>
    </row>
    <row r="1459">
      <c r="A1459" t="n">
        <v>1458</v>
      </c>
      <c r="B1459" t="inlineStr">
        <is>
          <t>MTR-IOS-1458</t>
        </is>
      </c>
      <c r="C1459" t="inlineStr">
        <is>
          <t>iPhone</t>
        </is>
      </c>
      <c r="D1459" t="inlineStr">
        <is>
          <t>Business</t>
        </is>
      </c>
      <c r="E1459" t="inlineStr">
        <is>
          <t>Business</t>
        </is>
      </c>
      <c r="F1459" t="inlineStr">
        <is>
          <t>Team Operations</t>
        </is>
      </c>
      <c r="G1459" t="inlineStr">
        <is>
          <t>Hiring</t>
        </is>
      </c>
      <c r="H1459" t="inlineStr">
        <is>
          <t>Business &gt; Team Operations &gt; Quick Add &gt; Hiring</t>
        </is>
      </c>
      <c r="I1459" s="18" t="n">
        <v>74187.33</v>
      </c>
      <c r="J1459" t="inlineStr">
        <is>
          <t>Created MTR-IOS-1458 and correlation note visible in Activity/Pulse</t>
        </is>
      </c>
      <c r="K1459" t="inlineStr">
        <is>
          <t>NOT_RUN</t>
        </is>
      </c>
      <c r="P1459" t="n">
        <v>0</v>
      </c>
      <c r="Q1459" t="n">
        <v>1458</v>
      </c>
    </row>
    <row r="1460">
      <c r="A1460" t="n">
        <v>1459</v>
      </c>
      <c r="B1460" t="inlineStr">
        <is>
          <t>MTR-IOS-1459</t>
        </is>
      </c>
      <c r="C1460" t="inlineStr">
        <is>
          <t>iPhone</t>
        </is>
      </c>
      <c r="D1460" t="inlineStr">
        <is>
          <t>Personal</t>
        </is>
      </c>
      <c r="E1460" t="inlineStr">
        <is>
          <t>Personal</t>
        </is>
      </c>
      <c r="F1460" t="inlineStr">
        <is>
          <t>Life Operations</t>
        </is>
      </c>
      <c r="G1460" t="inlineStr">
        <is>
          <t>Transport</t>
        </is>
      </c>
      <c r="H1460" t="inlineStr">
        <is>
          <t>Personal &gt; Life Operations &gt; Quick Add &gt; Transport</t>
        </is>
      </c>
      <c r="I1460" s="18" t="n">
        <v>13970.92</v>
      </c>
      <c r="J1460" t="inlineStr">
        <is>
          <t>Created MTR-IOS-1459 and correlation note visible in Activity/Pulse</t>
        </is>
      </c>
      <c r="K1460" t="inlineStr">
        <is>
          <t>NOT_RUN</t>
        </is>
      </c>
      <c r="P1460" t="n">
        <v>0</v>
      </c>
      <c r="Q1460" t="n">
        <v>1459</v>
      </c>
    </row>
    <row r="1461">
      <c r="A1461" t="n">
        <v>1460</v>
      </c>
      <c r="B1461" t="inlineStr">
        <is>
          <t>MTR-IOS-1460</t>
        </is>
      </c>
      <c r="C1461" t="inlineStr">
        <is>
          <t>iPhone</t>
        </is>
      </c>
      <c r="D1461" t="inlineStr">
        <is>
          <t>Group</t>
        </is>
      </c>
      <c r="E1461" t="inlineStr">
        <is>
          <t>Shared Experience</t>
        </is>
      </c>
      <c r="F1461" t="inlineStr">
        <is>
          <t>House Party</t>
        </is>
      </c>
      <c r="G1461" t="inlineStr">
        <is>
          <t>Supplies</t>
        </is>
      </c>
      <c r="H1461" t="inlineStr">
        <is>
          <t>Group &gt; House Party &gt; Quick Add &gt; Supplies</t>
        </is>
      </c>
      <c r="I1461" s="18" t="n">
        <v>10616.17</v>
      </c>
      <c r="J1461" t="inlineStr">
        <is>
          <t>Created MTR-IOS-1460 and correlation note visible in Activity/Pulse</t>
        </is>
      </c>
      <c r="K1461" t="inlineStr">
        <is>
          <t>NOT_RUN</t>
        </is>
      </c>
      <c r="P1461" t="n">
        <v>0</v>
      </c>
      <c r="Q1461" t="n">
        <v>1460</v>
      </c>
    </row>
    <row r="1462">
      <c r="A1462" t="n">
        <v>1461</v>
      </c>
      <c r="B1462" t="inlineStr">
        <is>
          <t>MTR-IOS-1461</t>
        </is>
      </c>
      <c r="C1462" t="inlineStr">
        <is>
          <t>iPhone</t>
        </is>
      </c>
      <c r="D1462" t="inlineStr">
        <is>
          <t>Business</t>
        </is>
      </c>
      <c r="E1462" t="inlineStr">
        <is>
          <t>Business</t>
        </is>
      </c>
      <c r="F1462" t="inlineStr">
        <is>
          <t>Team Operations</t>
        </is>
      </c>
      <c r="G1462" t="inlineStr">
        <is>
          <t>Team Meal</t>
        </is>
      </c>
      <c r="H1462" t="inlineStr">
        <is>
          <t>Business &gt; Team Operations &gt; Quick Add &gt; Team Meal</t>
        </is>
      </c>
      <c r="I1462" s="18" t="n">
        <v>156671.64</v>
      </c>
      <c r="J1462" t="inlineStr">
        <is>
          <t>Created MTR-IOS-1461 and correlation note visible in Activity/Pulse</t>
        </is>
      </c>
      <c r="K1462" t="inlineStr">
        <is>
          <t>NOT_RUN</t>
        </is>
      </c>
      <c r="P1462" t="n">
        <v>0</v>
      </c>
      <c r="Q1462" t="n">
        <v>1461</v>
      </c>
    </row>
    <row r="1463">
      <c r="A1463" t="n">
        <v>1462</v>
      </c>
      <c r="B1463" t="inlineStr">
        <is>
          <t>MTR-IOS-1462</t>
        </is>
      </c>
      <c r="C1463" t="inlineStr">
        <is>
          <t>iPhone</t>
        </is>
      </c>
      <c r="D1463" t="inlineStr">
        <is>
          <t>Personal</t>
        </is>
      </c>
      <c r="E1463" t="inlineStr">
        <is>
          <t>Personal</t>
        </is>
      </c>
      <c r="F1463" t="inlineStr">
        <is>
          <t>Life Operations</t>
        </is>
      </c>
      <c r="G1463" t="inlineStr">
        <is>
          <t>Healthcare</t>
        </is>
      </c>
      <c r="H1463" t="inlineStr">
        <is>
          <t>Personal &gt; Life Operations &gt; Quick Add &gt; Healthcare</t>
        </is>
      </c>
      <c r="I1463" s="18" t="n">
        <v>8859.48</v>
      </c>
      <c r="J1463" t="inlineStr">
        <is>
          <t>Created MTR-IOS-1462 and correlation note visible in Activity/Pulse</t>
        </is>
      </c>
      <c r="K1463" t="inlineStr">
        <is>
          <t>NOT_RUN</t>
        </is>
      </c>
      <c r="P1463" t="n">
        <v>0</v>
      </c>
      <c r="Q1463" t="n">
        <v>1462</v>
      </c>
    </row>
    <row r="1464">
      <c r="A1464" t="n">
        <v>1463</v>
      </c>
      <c r="B1464" t="inlineStr">
        <is>
          <t>MTR-IOS-1463</t>
        </is>
      </c>
      <c r="C1464" t="inlineStr">
        <is>
          <t>iPhone</t>
        </is>
      </c>
      <c r="D1464" t="inlineStr">
        <is>
          <t>Group</t>
        </is>
      </c>
      <c r="E1464" t="inlineStr">
        <is>
          <t>Shared Experience</t>
        </is>
      </c>
      <c r="F1464" t="inlineStr">
        <is>
          <t>House Party</t>
        </is>
      </c>
      <c r="G1464" t="inlineStr">
        <is>
          <t>Other</t>
        </is>
      </c>
      <c r="H1464" t="inlineStr">
        <is>
          <t>Group &gt; House Party &gt; Quick Add &gt; Other</t>
        </is>
      </c>
      <c r="I1464" s="18" t="n">
        <v>26162.9</v>
      </c>
      <c r="J1464" t="inlineStr">
        <is>
          <t>Created MTR-IOS-1463 and correlation note visible in Activity/Pulse</t>
        </is>
      </c>
      <c r="K1464" t="inlineStr">
        <is>
          <t>NOT_RUN</t>
        </is>
      </c>
      <c r="P1464" t="n">
        <v>0</v>
      </c>
      <c r="Q1464" t="n">
        <v>1463</v>
      </c>
    </row>
    <row r="1465">
      <c r="A1465" t="n">
        <v>1464</v>
      </c>
      <c r="B1465" t="inlineStr">
        <is>
          <t>MTR-IOS-1464</t>
        </is>
      </c>
      <c r="C1465" t="inlineStr">
        <is>
          <t>iPhone</t>
        </is>
      </c>
      <c r="D1465" t="inlineStr">
        <is>
          <t>Business</t>
        </is>
      </c>
      <c r="E1465" t="inlineStr">
        <is>
          <t>Business</t>
        </is>
      </c>
      <c r="F1465" t="inlineStr">
        <is>
          <t>Team Operations</t>
        </is>
      </c>
      <c r="G1465" t="inlineStr">
        <is>
          <t>Travel</t>
        </is>
      </c>
      <c r="H1465" t="inlineStr">
        <is>
          <t>Business &gt; Team Operations &gt; Quick Add &gt; Travel</t>
        </is>
      </c>
      <c r="I1465" s="18" t="n">
        <v>9780.42</v>
      </c>
      <c r="J1465" t="inlineStr">
        <is>
          <t>Created MTR-IOS-1464 and correlation note visible in Activity/Pulse</t>
        </is>
      </c>
      <c r="K1465" t="inlineStr">
        <is>
          <t>NOT_RUN</t>
        </is>
      </c>
      <c r="P1465" t="n">
        <v>0</v>
      </c>
      <c r="Q1465" t="n">
        <v>1464</v>
      </c>
    </row>
    <row r="1466">
      <c r="A1466" t="n">
        <v>1465</v>
      </c>
      <c r="B1466" t="inlineStr">
        <is>
          <t>MTR-IOS-1465</t>
        </is>
      </c>
      <c r="C1466" t="inlineStr">
        <is>
          <t>iPhone</t>
        </is>
      </c>
      <c r="D1466" t="inlineStr">
        <is>
          <t>Personal</t>
        </is>
      </c>
      <c r="E1466" t="inlineStr">
        <is>
          <t>Personal</t>
        </is>
      </c>
      <c r="F1466" t="inlineStr">
        <is>
          <t>Life Operations</t>
        </is>
      </c>
      <c r="G1466" t="inlineStr">
        <is>
          <t>Subscriptions</t>
        </is>
      </c>
      <c r="H1466" t="inlineStr">
        <is>
          <t>Personal &gt; Life Operations &gt; Quick Add &gt; Subscriptions</t>
        </is>
      </c>
      <c r="I1466" s="18" t="n">
        <v>6624.83</v>
      </c>
      <c r="J1466" t="inlineStr">
        <is>
          <t>Created MTR-IOS-1465 and correlation note visible in Activity/Pulse</t>
        </is>
      </c>
      <c r="K1466" t="inlineStr">
        <is>
          <t>NOT_RUN</t>
        </is>
      </c>
      <c r="P1466" t="n">
        <v>0</v>
      </c>
      <c r="Q1466" t="n">
        <v>1465</v>
      </c>
    </row>
    <row r="1467">
      <c r="A1467" t="n">
        <v>1466</v>
      </c>
      <c r="B1467" t="inlineStr">
        <is>
          <t>MTR-IOS-1466</t>
        </is>
      </c>
      <c r="C1467" t="inlineStr">
        <is>
          <t>iPhone</t>
        </is>
      </c>
      <c r="D1467" t="inlineStr">
        <is>
          <t>Group</t>
        </is>
      </c>
      <c r="E1467" t="inlineStr">
        <is>
          <t>Shared Purchase</t>
        </is>
      </c>
      <c r="F1467" t="inlineStr">
        <is>
          <t>Gift Pool</t>
        </is>
      </c>
      <c r="G1467" t="inlineStr">
        <is>
          <t>Contribution</t>
        </is>
      </c>
      <c r="H1467" t="inlineStr">
        <is>
          <t>Group &gt; Gift Pool &gt; Quick Add &gt; Contribution</t>
        </is>
      </c>
      <c r="I1467" s="18" t="n">
        <v>4976.32</v>
      </c>
      <c r="J1467" t="inlineStr">
        <is>
          <t>Created MTR-IOS-1466 and correlation note visible in Activity/Pulse</t>
        </is>
      </c>
      <c r="K1467" t="inlineStr">
        <is>
          <t>NOT_RUN</t>
        </is>
      </c>
      <c r="P1467" t="n">
        <v>0</v>
      </c>
      <c r="Q1467" t="n">
        <v>1466</v>
      </c>
    </row>
    <row r="1468">
      <c r="A1468" t="n">
        <v>1467</v>
      </c>
      <c r="B1468" t="inlineStr">
        <is>
          <t>MTR-IOS-1467</t>
        </is>
      </c>
      <c r="C1468" t="inlineStr">
        <is>
          <t>iPhone</t>
        </is>
      </c>
      <c r="D1468" t="inlineStr">
        <is>
          <t>Business</t>
        </is>
      </c>
      <c r="E1468" t="inlineStr">
        <is>
          <t>Business</t>
        </is>
      </c>
      <c r="F1468" t="inlineStr">
        <is>
          <t>Team Operations</t>
        </is>
      </c>
      <c r="G1468" t="inlineStr">
        <is>
          <t>Training</t>
        </is>
      </c>
      <c r="H1468" t="inlineStr">
        <is>
          <t>Business &gt; Team Operations &gt; Quick Add &gt; Training</t>
        </is>
      </c>
      <c r="I1468" s="18" t="n">
        <v>136739.69</v>
      </c>
      <c r="J1468" t="inlineStr">
        <is>
          <t>Created MTR-IOS-1467 and correlation note visible in Activity/Pulse</t>
        </is>
      </c>
      <c r="K1468" t="inlineStr">
        <is>
          <t>NOT_RUN</t>
        </is>
      </c>
      <c r="P1468" t="n">
        <v>0</v>
      </c>
      <c r="Q1468" t="n">
        <v>1467</v>
      </c>
    </row>
    <row r="1469">
      <c r="A1469" t="n">
        <v>1468</v>
      </c>
      <c r="B1469" t="inlineStr">
        <is>
          <t>MTR-IOS-1468</t>
        </is>
      </c>
      <c r="C1469" t="inlineStr">
        <is>
          <t>iPhone</t>
        </is>
      </c>
      <c r="D1469" t="inlineStr">
        <is>
          <t>Personal</t>
        </is>
      </c>
      <c r="E1469" t="inlineStr">
        <is>
          <t>Personal</t>
        </is>
      </c>
      <c r="F1469" t="inlineStr">
        <is>
          <t>Life Operations</t>
        </is>
      </c>
      <c r="G1469" t="inlineStr">
        <is>
          <t>Repairs</t>
        </is>
      </c>
      <c r="H1469" t="inlineStr">
        <is>
          <t>Personal &gt; Life Operations &gt; Quick Add &gt; Repairs</t>
        </is>
      </c>
      <c r="I1469" s="18" t="n">
        <v>3881.15</v>
      </c>
      <c r="J1469" t="inlineStr">
        <is>
          <t>Created MTR-IOS-1468 and correlation note visible in Activity/Pulse</t>
        </is>
      </c>
      <c r="K1469" t="inlineStr">
        <is>
          <t>NOT_RUN</t>
        </is>
      </c>
      <c r="P1469" t="n">
        <v>0</v>
      </c>
      <c r="Q1469" t="n">
        <v>1468</v>
      </c>
    </row>
    <row r="1470">
      <c r="A1470" t="n">
        <v>1469</v>
      </c>
      <c r="B1470" t="inlineStr">
        <is>
          <t>MTR-IOS-1469</t>
        </is>
      </c>
      <c r="C1470" t="inlineStr">
        <is>
          <t>iPhone</t>
        </is>
      </c>
      <c r="D1470" t="inlineStr">
        <is>
          <t>Group</t>
        </is>
      </c>
      <c r="E1470" t="inlineStr">
        <is>
          <t>Shared Purchase</t>
        </is>
      </c>
      <c r="F1470" t="inlineStr">
        <is>
          <t>Gift Pool</t>
        </is>
      </c>
      <c r="G1470" t="inlineStr">
        <is>
          <t>Gift Purchase</t>
        </is>
      </c>
      <c r="H1470" t="inlineStr">
        <is>
          <t>Group &gt; Gift Pool &gt; Quick Add &gt; Gift Purchase</t>
        </is>
      </c>
      <c r="I1470" s="18" t="n">
        <v>4001.08</v>
      </c>
      <c r="J1470" t="inlineStr">
        <is>
          <t>Created MTR-IOS-1469 and correlation note visible in Activity/Pulse</t>
        </is>
      </c>
      <c r="K1470" t="inlineStr">
        <is>
          <t>NOT_RUN</t>
        </is>
      </c>
      <c r="P1470" t="n">
        <v>0</v>
      </c>
      <c r="Q1470" t="n">
        <v>1469</v>
      </c>
    </row>
    <row r="1471">
      <c r="A1471" t="n">
        <v>1470</v>
      </c>
      <c r="B1471" t="inlineStr">
        <is>
          <t>MTR-IOS-1470</t>
        </is>
      </c>
      <c r="C1471" t="inlineStr">
        <is>
          <t>iPhone</t>
        </is>
      </c>
      <c r="D1471" t="inlineStr">
        <is>
          <t>Business</t>
        </is>
      </c>
      <c r="E1471" t="inlineStr">
        <is>
          <t>Business</t>
        </is>
      </c>
      <c r="F1471" t="inlineStr">
        <is>
          <t>Team Operations</t>
        </is>
      </c>
      <c r="G1471" t="inlineStr">
        <is>
          <t>Tools</t>
        </is>
      </c>
      <c r="H1471" t="inlineStr">
        <is>
          <t>Business &gt; Team Operations &gt; Quick Add &gt; Tools</t>
        </is>
      </c>
      <c r="I1471" s="18" t="n">
        <v>147846.92</v>
      </c>
      <c r="J1471" t="inlineStr">
        <is>
          <t>Created MTR-IOS-1470 and correlation note visible in Activity/Pulse</t>
        </is>
      </c>
      <c r="K1471" t="inlineStr">
        <is>
          <t>NOT_RUN</t>
        </is>
      </c>
      <c r="P1471" t="n">
        <v>0</v>
      </c>
      <c r="Q1471" t="n">
        <v>1470</v>
      </c>
    </row>
    <row r="1472">
      <c r="A1472" t="n">
        <v>1471</v>
      </c>
      <c r="B1472" t="inlineStr">
        <is>
          <t>MTR-IOS-1471</t>
        </is>
      </c>
      <c r="C1472" t="inlineStr">
        <is>
          <t>iPhone</t>
        </is>
      </c>
      <c r="D1472" t="inlineStr">
        <is>
          <t>Personal</t>
        </is>
      </c>
      <c r="E1472" t="inlineStr">
        <is>
          <t>Personal</t>
        </is>
      </c>
      <c r="F1472" t="inlineStr">
        <is>
          <t>Future Building</t>
        </is>
      </c>
      <c r="G1472" t="inlineStr">
        <is>
          <t>Savings</t>
        </is>
      </c>
      <c r="H1472" t="inlineStr">
        <is>
          <t>Personal &gt; Future Building &gt; Quick Add &gt; Savings</t>
        </is>
      </c>
      <c r="I1472" s="18" t="n">
        <v>11425.96</v>
      </c>
      <c r="J1472" t="inlineStr">
        <is>
          <t>Created MTR-IOS-1471 and correlation note visible in Activity/Pulse</t>
        </is>
      </c>
      <c r="K1472" t="inlineStr">
        <is>
          <t>NOT_RUN</t>
        </is>
      </c>
      <c r="P1472" t="n">
        <v>0</v>
      </c>
      <c r="Q1472" t="n">
        <v>1471</v>
      </c>
    </row>
    <row r="1473">
      <c r="A1473" t="n">
        <v>1472</v>
      </c>
      <c r="B1473" t="inlineStr">
        <is>
          <t>MTR-IOS-1472</t>
        </is>
      </c>
      <c r="C1473" t="inlineStr">
        <is>
          <t>iPhone</t>
        </is>
      </c>
      <c r="D1473" t="inlineStr">
        <is>
          <t>Group</t>
        </is>
      </c>
      <c r="E1473" t="inlineStr">
        <is>
          <t>Shared Purchase</t>
        </is>
      </c>
      <c r="F1473" t="inlineStr">
        <is>
          <t>Gift Pool</t>
        </is>
      </c>
      <c r="G1473" t="inlineStr">
        <is>
          <t>Delivery</t>
        </is>
      </c>
      <c r="H1473" t="inlineStr">
        <is>
          <t>Group &gt; Gift Pool &gt; Quick Add &gt; Delivery</t>
        </is>
      </c>
      <c r="I1473" s="18" t="n">
        <v>645.9299999999999</v>
      </c>
      <c r="J1473" t="inlineStr">
        <is>
          <t>Created MTR-IOS-1472 and correlation note visible in Activity/Pulse</t>
        </is>
      </c>
      <c r="K1473" t="inlineStr">
        <is>
          <t>NOT_RUN</t>
        </is>
      </c>
      <c r="P1473" t="n">
        <v>0</v>
      </c>
      <c r="Q1473" t="n">
        <v>1472</v>
      </c>
    </row>
    <row r="1474">
      <c r="A1474" t="n">
        <v>1473</v>
      </c>
      <c r="B1474" t="inlineStr">
        <is>
          <t>MTR-IOS-1473</t>
        </is>
      </c>
      <c r="C1474" t="inlineStr">
        <is>
          <t>iPhone</t>
        </is>
      </c>
      <c r="D1474" t="inlineStr">
        <is>
          <t>Business</t>
        </is>
      </c>
      <c r="E1474" t="inlineStr">
        <is>
          <t>Business</t>
        </is>
      </c>
      <c r="F1474" t="inlineStr">
        <is>
          <t>Business Runway</t>
        </is>
      </c>
      <c r="G1474" t="inlineStr">
        <is>
          <t>Funding</t>
        </is>
      </c>
      <c r="H1474" t="inlineStr">
        <is>
          <t>Business &gt; Business Runway &gt; Quick Add &gt; Funding</t>
        </is>
      </c>
      <c r="I1474" s="18" t="n">
        <v>23885.87</v>
      </c>
      <c r="J1474" t="inlineStr">
        <is>
          <t>Created MTR-IOS-1473 and correlation note visible in Activity/Pulse</t>
        </is>
      </c>
      <c r="K1474" t="inlineStr">
        <is>
          <t>NOT_RUN</t>
        </is>
      </c>
      <c r="P1474" t="n">
        <v>0</v>
      </c>
      <c r="Q1474" t="n">
        <v>1473</v>
      </c>
    </row>
    <row r="1475">
      <c r="A1475" t="n">
        <v>1474</v>
      </c>
      <c r="B1475" t="inlineStr">
        <is>
          <t>MTR-IOS-1474</t>
        </is>
      </c>
      <c r="C1475" t="inlineStr">
        <is>
          <t>iPhone</t>
        </is>
      </c>
      <c r="D1475" t="inlineStr">
        <is>
          <t>Personal</t>
        </is>
      </c>
      <c r="E1475" t="inlineStr">
        <is>
          <t>Personal</t>
        </is>
      </c>
      <c r="F1475" t="inlineStr">
        <is>
          <t>Future Building</t>
        </is>
      </c>
      <c r="G1475" t="inlineStr">
        <is>
          <t>Emergency Fund</t>
        </is>
      </c>
      <c r="H1475" t="inlineStr">
        <is>
          <t>Personal &gt; Future Building &gt; Quick Add &gt; Emergency Fund</t>
        </is>
      </c>
      <c r="I1475" s="18" t="n">
        <v>2258.84</v>
      </c>
      <c r="J1475" t="inlineStr">
        <is>
          <t>Created MTR-IOS-1474 and correlation note visible in Activity/Pulse</t>
        </is>
      </c>
      <c r="K1475" t="inlineStr">
        <is>
          <t>NOT_RUN</t>
        </is>
      </c>
      <c r="P1475" t="n">
        <v>0</v>
      </c>
      <c r="Q1475" t="n">
        <v>1474</v>
      </c>
    </row>
    <row r="1476">
      <c r="A1476" t="n">
        <v>1475</v>
      </c>
      <c r="B1476" t="inlineStr">
        <is>
          <t>MTR-IOS-1475</t>
        </is>
      </c>
      <c r="C1476" t="inlineStr">
        <is>
          <t>iPhone</t>
        </is>
      </c>
      <c r="D1476" t="inlineStr">
        <is>
          <t>Group</t>
        </is>
      </c>
      <c r="E1476" t="inlineStr">
        <is>
          <t>Shared Purchase</t>
        </is>
      </c>
      <c r="F1476" t="inlineStr">
        <is>
          <t>Gift Pool</t>
        </is>
      </c>
      <c r="G1476" t="inlineStr">
        <is>
          <t>Other</t>
        </is>
      </c>
      <c r="H1476" t="inlineStr">
        <is>
          <t>Group &gt; Gift Pool &gt; Quick Add &gt; Other</t>
        </is>
      </c>
      <c r="I1476" s="18" t="n">
        <v>19065.51</v>
      </c>
      <c r="J1476" t="inlineStr">
        <is>
          <t>Created MTR-IOS-1475 and correlation note visible in Activity/Pulse</t>
        </is>
      </c>
      <c r="K1476" t="inlineStr">
        <is>
          <t>NOT_RUN</t>
        </is>
      </c>
      <c r="P1476" t="n">
        <v>0</v>
      </c>
      <c r="Q1476" t="n">
        <v>1475</v>
      </c>
    </row>
    <row r="1477">
      <c r="A1477" t="n">
        <v>1476</v>
      </c>
      <c r="B1477" t="inlineStr">
        <is>
          <t>MTR-IOS-1476</t>
        </is>
      </c>
      <c r="C1477" t="inlineStr">
        <is>
          <t>iPhone</t>
        </is>
      </c>
      <c r="D1477" t="inlineStr">
        <is>
          <t>Business</t>
        </is>
      </c>
      <c r="E1477" t="inlineStr">
        <is>
          <t>Business</t>
        </is>
      </c>
      <c r="F1477" t="inlineStr">
        <is>
          <t>Business Runway</t>
        </is>
      </c>
      <c r="G1477" t="inlineStr">
        <is>
          <t>Revenue</t>
        </is>
      </c>
      <c r="H1477" t="inlineStr">
        <is>
          <t>Business &gt; Business Runway &gt; Quick Add &gt; Revenue</t>
        </is>
      </c>
      <c r="I1477" s="18" t="n">
        <v>29293.72</v>
      </c>
      <c r="J1477" t="inlineStr">
        <is>
          <t>Created MTR-IOS-1476 and correlation note visible in Activity/Pulse</t>
        </is>
      </c>
      <c r="K1477" t="inlineStr">
        <is>
          <t>NOT_RUN</t>
        </is>
      </c>
      <c r="P1477" t="n">
        <v>0</v>
      </c>
      <c r="Q1477" t="n">
        <v>1476</v>
      </c>
    </row>
    <row r="1478">
      <c r="A1478" t="n">
        <v>1477</v>
      </c>
      <c r="B1478" t="inlineStr">
        <is>
          <t>MTR-IOS-1477</t>
        </is>
      </c>
      <c r="C1478" t="inlineStr">
        <is>
          <t>iPhone</t>
        </is>
      </c>
      <c r="D1478" t="inlineStr">
        <is>
          <t>Personal</t>
        </is>
      </c>
      <c r="E1478" t="inlineStr">
        <is>
          <t>Personal</t>
        </is>
      </c>
      <c r="F1478" t="inlineStr">
        <is>
          <t>Future Building</t>
        </is>
      </c>
      <c r="G1478" t="inlineStr">
        <is>
          <t>Investments</t>
        </is>
      </c>
      <c r="H1478" t="inlineStr">
        <is>
          <t>Personal &gt; Future Building &gt; Quick Add &gt; Investments</t>
        </is>
      </c>
      <c r="I1478" s="18" t="n">
        <v>977.3099999999999</v>
      </c>
      <c r="J1478" t="inlineStr">
        <is>
          <t>Created MTR-IOS-1477 and correlation note visible in Activity/Pulse</t>
        </is>
      </c>
      <c r="K1478" t="inlineStr">
        <is>
          <t>NOT_RUN</t>
        </is>
      </c>
      <c r="P1478" t="n">
        <v>0</v>
      </c>
      <c r="Q1478" t="n">
        <v>1477</v>
      </c>
    </row>
    <row r="1479">
      <c r="A1479" t="n">
        <v>1478</v>
      </c>
      <c r="B1479" t="inlineStr">
        <is>
          <t>MTR-IOS-1478</t>
        </is>
      </c>
      <c r="C1479" t="inlineStr">
        <is>
          <t>iPhone</t>
        </is>
      </c>
      <c r="D1479" t="inlineStr">
        <is>
          <t>Group</t>
        </is>
      </c>
      <c r="E1479" t="inlineStr">
        <is>
          <t>Shared Purchase</t>
        </is>
      </c>
      <c r="F1479" t="inlineStr">
        <is>
          <t>Purchase</t>
        </is>
      </c>
      <c r="G1479" t="inlineStr">
        <is>
          <t>Item</t>
        </is>
      </c>
      <c r="H1479" t="inlineStr">
        <is>
          <t>Group &gt; Purchase &gt; Quick Add &gt; Item</t>
        </is>
      </c>
      <c r="I1479" s="18" t="n">
        <v>16573.81</v>
      </c>
      <c r="J1479" t="inlineStr">
        <is>
          <t>Created MTR-IOS-1478 and correlation note visible in Activity/Pulse</t>
        </is>
      </c>
      <c r="K1479" t="inlineStr">
        <is>
          <t>NOT_RUN</t>
        </is>
      </c>
      <c r="P1479" t="n">
        <v>0</v>
      </c>
      <c r="Q1479" t="n">
        <v>1478</v>
      </c>
    </row>
    <row r="1480">
      <c r="A1480" t="n">
        <v>1479</v>
      </c>
      <c r="B1480" t="inlineStr">
        <is>
          <t>MTR-IOS-1479</t>
        </is>
      </c>
      <c r="C1480" t="inlineStr">
        <is>
          <t>iPhone</t>
        </is>
      </c>
      <c r="D1480" t="inlineStr">
        <is>
          <t>Business</t>
        </is>
      </c>
      <c r="E1480" t="inlineStr">
        <is>
          <t>Business</t>
        </is>
      </c>
      <c r="F1480" t="inlineStr">
        <is>
          <t>Business Runway</t>
        </is>
      </c>
      <c r="G1480" t="inlineStr">
        <is>
          <t>Burn</t>
        </is>
      </c>
      <c r="H1480" t="inlineStr">
        <is>
          <t>Business &gt; Business Runway &gt; Quick Add &gt; Burn</t>
        </is>
      </c>
      <c r="I1480" s="18" t="n">
        <v>97610.42</v>
      </c>
      <c r="J1480" t="inlineStr">
        <is>
          <t>Created MTR-IOS-1479 and correlation note visible in Activity/Pulse</t>
        </is>
      </c>
      <c r="K1480" t="inlineStr">
        <is>
          <t>NOT_RUN</t>
        </is>
      </c>
      <c r="P1480" t="n">
        <v>0</v>
      </c>
      <c r="Q1480" t="n">
        <v>1479</v>
      </c>
    </row>
    <row r="1481">
      <c r="A1481" t="n">
        <v>1480</v>
      </c>
      <c r="B1481" t="inlineStr">
        <is>
          <t>MTR-IOS-1480</t>
        </is>
      </c>
      <c r="C1481" t="inlineStr">
        <is>
          <t>iPhone</t>
        </is>
      </c>
      <c r="D1481" t="inlineStr">
        <is>
          <t>Personal</t>
        </is>
      </c>
      <c r="E1481" t="inlineStr">
        <is>
          <t>Personal</t>
        </is>
      </c>
      <c r="F1481" t="inlineStr">
        <is>
          <t>Future Building</t>
        </is>
      </c>
      <c r="G1481" t="inlineStr">
        <is>
          <t>Education</t>
        </is>
      </c>
      <c r="H1481" t="inlineStr">
        <is>
          <t>Personal &gt; Future Building &gt; Quick Add &gt; Education</t>
        </is>
      </c>
      <c r="I1481" s="18" t="n">
        <v>999.99</v>
      </c>
      <c r="J1481" t="inlineStr">
        <is>
          <t>Created MTR-IOS-1480 and correlation note visible in Activity/Pulse</t>
        </is>
      </c>
      <c r="K1481" t="inlineStr">
        <is>
          <t>NOT_RUN</t>
        </is>
      </c>
      <c r="P1481" t="n">
        <v>0</v>
      </c>
      <c r="Q1481" t="n">
        <v>1480</v>
      </c>
    </row>
    <row r="1482">
      <c r="A1482" t="n">
        <v>1481</v>
      </c>
      <c r="B1482" t="inlineStr">
        <is>
          <t>MTR-IOS-1481</t>
        </is>
      </c>
      <c r="C1482" t="inlineStr">
        <is>
          <t>iPhone</t>
        </is>
      </c>
      <c r="D1482" t="inlineStr">
        <is>
          <t>Group</t>
        </is>
      </c>
      <c r="E1482" t="inlineStr">
        <is>
          <t>Shared Purchase</t>
        </is>
      </c>
      <c r="F1482" t="inlineStr">
        <is>
          <t>Purchase</t>
        </is>
      </c>
      <c r="G1482" t="inlineStr">
        <is>
          <t>Shipping</t>
        </is>
      </c>
      <c r="H1482" t="inlineStr">
        <is>
          <t>Group &gt; Purchase &gt; Quick Add &gt; Shipping</t>
        </is>
      </c>
      <c r="I1482" s="18" t="n">
        <v>2492.46</v>
      </c>
      <c r="J1482" t="inlineStr">
        <is>
          <t>Created MTR-IOS-1481 and correlation note visible in Activity/Pulse</t>
        </is>
      </c>
      <c r="K1482" t="inlineStr">
        <is>
          <t>NOT_RUN</t>
        </is>
      </c>
      <c r="P1482" t="n">
        <v>0</v>
      </c>
      <c r="Q1482" t="n">
        <v>1481</v>
      </c>
    </row>
    <row r="1483">
      <c r="A1483" t="n">
        <v>1482</v>
      </c>
      <c r="B1483" t="inlineStr">
        <is>
          <t>MTR-IOS-1482</t>
        </is>
      </c>
      <c r="C1483" t="inlineStr">
        <is>
          <t>iPhone</t>
        </is>
      </c>
      <c r="D1483" t="inlineStr">
        <is>
          <t>Business</t>
        </is>
      </c>
      <c r="E1483" t="inlineStr">
        <is>
          <t>Business</t>
        </is>
      </c>
      <c r="F1483" t="inlineStr">
        <is>
          <t>Business Runway</t>
        </is>
      </c>
      <c r="G1483" t="inlineStr">
        <is>
          <t>Reserve</t>
        </is>
      </c>
      <c r="H1483" t="inlineStr">
        <is>
          <t>Business &gt; Business Runway &gt; Quick Add &gt; Reserve</t>
        </is>
      </c>
      <c r="I1483" s="18" t="n">
        <v>58190.99</v>
      </c>
      <c r="J1483" t="inlineStr">
        <is>
          <t>Created MTR-IOS-1482 and correlation note visible in Activity/Pulse</t>
        </is>
      </c>
      <c r="K1483" t="inlineStr">
        <is>
          <t>NOT_RUN</t>
        </is>
      </c>
      <c r="P1483" t="n">
        <v>0</v>
      </c>
      <c r="Q1483" t="n">
        <v>1482</v>
      </c>
    </row>
    <row r="1484">
      <c r="A1484" t="n">
        <v>1483</v>
      </c>
      <c r="B1484" t="inlineStr">
        <is>
          <t>MTR-IOS-1483</t>
        </is>
      </c>
      <c r="C1484" t="inlineStr">
        <is>
          <t>iPhone</t>
        </is>
      </c>
      <c r="D1484" t="inlineStr">
        <is>
          <t>Personal</t>
        </is>
      </c>
      <c r="E1484" t="inlineStr">
        <is>
          <t>Personal</t>
        </is>
      </c>
      <c r="F1484" t="inlineStr">
        <is>
          <t>Future Building</t>
        </is>
      </c>
      <c r="G1484" t="inlineStr">
        <is>
          <t>Goal Contribution</t>
        </is>
      </c>
      <c r="H1484" t="inlineStr">
        <is>
          <t>Personal &gt; Future Building &gt; Quick Add &gt; Goal Contribution</t>
        </is>
      </c>
      <c r="I1484" s="18" t="n">
        <v>1233.6</v>
      </c>
      <c r="J1484" t="inlineStr">
        <is>
          <t>Created MTR-IOS-1483 and correlation note visible in Activity/Pulse</t>
        </is>
      </c>
      <c r="K1484" t="inlineStr">
        <is>
          <t>NOT_RUN</t>
        </is>
      </c>
      <c r="P1484" t="n">
        <v>0</v>
      </c>
      <c r="Q1484" t="n">
        <v>1483</v>
      </c>
    </row>
    <row r="1485">
      <c r="A1485" t="n">
        <v>1484</v>
      </c>
      <c r="B1485" t="inlineStr">
        <is>
          <t>MTR-IOS-1484</t>
        </is>
      </c>
      <c r="C1485" t="inlineStr">
        <is>
          <t>iPhone</t>
        </is>
      </c>
      <c r="D1485" t="inlineStr">
        <is>
          <t>Group</t>
        </is>
      </c>
      <c r="E1485" t="inlineStr">
        <is>
          <t>Shared Purchase</t>
        </is>
      </c>
      <c r="F1485" t="inlineStr">
        <is>
          <t>Purchase</t>
        </is>
      </c>
      <c r="G1485" t="inlineStr">
        <is>
          <t>Tax</t>
        </is>
      </c>
      <c r="H1485" t="inlineStr">
        <is>
          <t>Group &gt; Purchase &gt; Quick Add &gt; Tax</t>
        </is>
      </c>
      <c r="I1485" s="18" t="n">
        <v>21390.01</v>
      </c>
      <c r="J1485" t="inlineStr">
        <is>
          <t>Created MTR-IOS-1484 and correlation note visible in Activity/Pulse</t>
        </is>
      </c>
      <c r="K1485" t="inlineStr">
        <is>
          <t>NOT_RUN</t>
        </is>
      </c>
      <c r="P1485" t="n">
        <v>0</v>
      </c>
      <c r="Q1485" t="n">
        <v>1484</v>
      </c>
    </row>
    <row r="1486">
      <c r="A1486" t="n">
        <v>1485</v>
      </c>
      <c r="B1486" t="inlineStr">
        <is>
          <t>MTR-IOS-1485</t>
        </is>
      </c>
      <c r="C1486" t="inlineStr">
        <is>
          <t>iPhone</t>
        </is>
      </c>
      <c r="D1486" t="inlineStr">
        <is>
          <t>Business</t>
        </is>
      </c>
      <c r="E1486" t="inlineStr">
        <is>
          <t>Business</t>
        </is>
      </c>
      <c r="F1486" t="inlineStr">
        <is>
          <t>Business Runway</t>
        </is>
      </c>
      <c r="G1486" t="inlineStr">
        <is>
          <t>Loan</t>
        </is>
      </c>
      <c r="H1486" t="inlineStr">
        <is>
          <t>Business &gt; Business Runway &gt; Quick Add &gt; Loan</t>
        </is>
      </c>
      <c r="I1486" s="18" t="n">
        <v>78392.03999999999</v>
      </c>
      <c r="J1486" t="inlineStr">
        <is>
          <t>Created MTR-IOS-1485 and correlation note visible in Activity/Pulse</t>
        </is>
      </c>
      <c r="K1486" t="inlineStr">
        <is>
          <t>NOT_RUN</t>
        </is>
      </c>
      <c r="P1486" t="n">
        <v>0</v>
      </c>
      <c r="Q1486" t="n">
        <v>1485</v>
      </c>
    </row>
    <row r="1487">
      <c r="A1487" t="n">
        <v>1486</v>
      </c>
      <c r="B1487" t="inlineStr">
        <is>
          <t>MTR-IOS-1486</t>
        </is>
      </c>
      <c r="C1487" t="inlineStr">
        <is>
          <t>iPhone</t>
        </is>
      </c>
      <c r="D1487" t="inlineStr">
        <is>
          <t>Personal</t>
        </is>
      </c>
      <c r="E1487" t="inlineStr">
        <is>
          <t>Personal</t>
        </is>
      </c>
      <c r="F1487" t="inlineStr">
        <is>
          <t>Lifestyle</t>
        </is>
      </c>
      <c r="G1487" t="inlineStr">
        <is>
          <t>Dining</t>
        </is>
      </c>
      <c r="H1487" t="inlineStr">
        <is>
          <t>Personal &gt; Lifestyle &gt; Quick Add &gt; Dining</t>
        </is>
      </c>
      <c r="I1487" s="18" t="n">
        <v>5720.85</v>
      </c>
      <c r="J1487" t="inlineStr">
        <is>
          <t>Created MTR-IOS-1486 and correlation note visible in Activity/Pulse</t>
        </is>
      </c>
      <c r="K1487" t="inlineStr">
        <is>
          <t>NOT_RUN</t>
        </is>
      </c>
      <c r="P1487" t="n">
        <v>0</v>
      </c>
      <c r="Q1487" t="n">
        <v>1486</v>
      </c>
    </row>
    <row r="1488">
      <c r="A1488" t="n">
        <v>1487</v>
      </c>
      <c r="B1488" t="inlineStr">
        <is>
          <t>MTR-IOS-1487</t>
        </is>
      </c>
      <c r="C1488" t="inlineStr">
        <is>
          <t>iPhone</t>
        </is>
      </c>
      <c r="D1488" t="inlineStr">
        <is>
          <t>Group</t>
        </is>
      </c>
      <c r="E1488" t="inlineStr">
        <is>
          <t>Shared Purchase</t>
        </is>
      </c>
      <c r="F1488" t="inlineStr">
        <is>
          <t>Purchase</t>
        </is>
      </c>
      <c r="G1488" t="inlineStr">
        <is>
          <t>Other</t>
        </is>
      </c>
      <c r="H1488" t="inlineStr">
        <is>
          <t>Group &gt; Purchase &gt; Quick Add &gt; Other</t>
        </is>
      </c>
      <c r="I1488" s="18" t="n">
        <v>25297.25</v>
      </c>
      <c r="J1488" t="inlineStr">
        <is>
          <t>Created MTR-IOS-1487 and correlation note visible in Activity/Pulse</t>
        </is>
      </c>
      <c r="K1488" t="inlineStr">
        <is>
          <t>NOT_RUN</t>
        </is>
      </c>
      <c r="P1488" t="n">
        <v>0</v>
      </c>
      <c r="Q1488" t="n">
        <v>1487</v>
      </c>
    </row>
    <row r="1489">
      <c r="A1489" t="n">
        <v>1488</v>
      </c>
      <c r="B1489" t="inlineStr">
        <is>
          <t>MTR-IOS-1488</t>
        </is>
      </c>
      <c r="C1489" t="inlineStr">
        <is>
          <t>iPhone</t>
        </is>
      </c>
      <c r="D1489" t="inlineStr">
        <is>
          <t>Business</t>
        </is>
      </c>
      <c r="E1489" t="inlineStr">
        <is>
          <t>Business</t>
        </is>
      </c>
      <c r="F1489" t="inlineStr">
        <is>
          <t>Business Runway</t>
        </is>
      </c>
      <c r="G1489" t="inlineStr">
        <is>
          <t>Investment</t>
        </is>
      </c>
      <c r="H1489" t="inlineStr">
        <is>
          <t>Business &gt; Business Runway &gt; Quick Add &gt; Investment</t>
        </is>
      </c>
      <c r="I1489" s="18" t="n">
        <v>5719.47</v>
      </c>
      <c r="J1489" t="inlineStr">
        <is>
          <t>Created MTR-IOS-1488 and correlation note visible in Activity/Pulse</t>
        </is>
      </c>
      <c r="K1489" t="inlineStr">
        <is>
          <t>NOT_RUN</t>
        </is>
      </c>
      <c r="P1489" t="n">
        <v>0</v>
      </c>
      <c r="Q1489" t="n">
        <v>1488</v>
      </c>
    </row>
    <row r="1490">
      <c r="A1490" t="n">
        <v>1489</v>
      </c>
      <c r="B1490" t="inlineStr">
        <is>
          <t>MTR-IOS-1489</t>
        </is>
      </c>
      <c r="C1490" t="inlineStr">
        <is>
          <t>iPhone</t>
        </is>
      </c>
      <c r="D1490" t="inlineStr">
        <is>
          <t>Personal</t>
        </is>
      </c>
      <c r="E1490" t="inlineStr">
        <is>
          <t>Personal</t>
        </is>
      </c>
      <c r="F1490" t="inlineStr">
        <is>
          <t>Lifestyle</t>
        </is>
      </c>
      <c r="G1490" t="inlineStr">
        <is>
          <t>Shopping</t>
        </is>
      </c>
      <c r="H1490" t="inlineStr">
        <is>
          <t>Personal &gt; Lifestyle &gt; Quick Add &gt; Shopping</t>
        </is>
      </c>
      <c r="I1490" s="18" t="n">
        <v>6785.17</v>
      </c>
      <c r="J1490" t="inlineStr">
        <is>
          <t>Created MTR-IOS-1489 and correlation note visible in Activity/Pulse</t>
        </is>
      </c>
      <c r="K1490" t="inlineStr">
        <is>
          <t>NOT_RUN</t>
        </is>
      </c>
      <c r="P1490" t="n">
        <v>0</v>
      </c>
      <c r="Q1490" t="n">
        <v>1489</v>
      </c>
    </row>
    <row r="1491">
      <c r="A1491" t="n">
        <v>1490</v>
      </c>
      <c r="B1491" t="inlineStr">
        <is>
          <t>MTR-IOS-1490</t>
        </is>
      </c>
      <c r="C1491" t="inlineStr">
        <is>
          <t>iPhone</t>
        </is>
      </c>
      <c r="D1491" t="inlineStr">
        <is>
          <t>Group</t>
        </is>
      </c>
      <c r="E1491" t="inlineStr">
        <is>
          <t>Shared Purchase</t>
        </is>
      </c>
      <c r="F1491" t="inlineStr">
        <is>
          <t>Assets</t>
        </is>
      </c>
      <c r="G1491" t="inlineStr">
        <is>
          <t>Purchase</t>
        </is>
      </c>
      <c r="H1491" t="inlineStr">
        <is>
          <t>Group &gt; Assets &gt; Quick Add &gt; Purchase</t>
        </is>
      </c>
      <c r="I1491" s="18" t="n">
        <v>17951.38</v>
      </c>
      <c r="J1491" t="inlineStr">
        <is>
          <t>Created MTR-IOS-1490 and correlation note visible in Activity/Pulse</t>
        </is>
      </c>
      <c r="K1491" t="inlineStr">
        <is>
          <t>NOT_RUN</t>
        </is>
      </c>
      <c r="P1491" t="n">
        <v>0</v>
      </c>
      <c r="Q1491" t="n">
        <v>1490</v>
      </c>
    </row>
    <row r="1492">
      <c r="A1492" t="n">
        <v>1491</v>
      </c>
      <c r="B1492" t="inlineStr">
        <is>
          <t>MTR-IOS-1491</t>
        </is>
      </c>
      <c r="C1492" t="inlineStr">
        <is>
          <t>iPhone</t>
        </is>
      </c>
      <c r="D1492" t="inlineStr">
        <is>
          <t>Business</t>
        </is>
      </c>
      <c r="E1492" t="inlineStr">
        <is>
          <t>Business</t>
        </is>
      </c>
      <c r="F1492" t="inlineStr">
        <is>
          <t>Business Operations</t>
        </is>
      </c>
      <c r="G1492" t="inlineStr">
        <is>
          <t>Software</t>
        </is>
      </c>
      <c r="H1492" t="inlineStr">
        <is>
          <t>Business &gt; Business Operations &gt; Quick Add &gt; Software</t>
        </is>
      </c>
      <c r="I1492" s="18" t="n">
        <v>65620.39999999999</v>
      </c>
      <c r="J1492" t="inlineStr">
        <is>
          <t>Created MTR-IOS-1491 and correlation note visible in Activity/Pulse</t>
        </is>
      </c>
      <c r="K1492" t="inlineStr">
        <is>
          <t>NOT_RUN</t>
        </is>
      </c>
      <c r="P1492" t="n">
        <v>0</v>
      </c>
      <c r="Q1492" t="n">
        <v>1491</v>
      </c>
    </row>
    <row r="1493">
      <c r="A1493" t="n">
        <v>1492</v>
      </c>
      <c r="B1493" t="inlineStr">
        <is>
          <t>MTR-IOS-1492</t>
        </is>
      </c>
      <c r="C1493" t="inlineStr">
        <is>
          <t>iPhone</t>
        </is>
      </c>
      <c r="D1493" t="inlineStr">
        <is>
          <t>Personal</t>
        </is>
      </c>
      <c r="E1493" t="inlineStr">
        <is>
          <t>Personal</t>
        </is>
      </c>
      <c r="F1493" t="inlineStr">
        <is>
          <t>Lifestyle</t>
        </is>
      </c>
      <c r="G1493" t="inlineStr">
        <is>
          <t>Entertainment</t>
        </is>
      </c>
      <c r="H1493" t="inlineStr">
        <is>
          <t>Personal &gt; Lifestyle &gt; Quick Add &gt; Entertainment</t>
        </is>
      </c>
      <c r="I1493" s="18" t="n">
        <v>6519.19</v>
      </c>
      <c r="J1493" t="inlineStr">
        <is>
          <t>Created MTR-IOS-1492 and correlation note visible in Activity/Pulse</t>
        </is>
      </c>
      <c r="K1493" t="inlineStr">
        <is>
          <t>NOT_RUN</t>
        </is>
      </c>
      <c r="P1493" t="n">
        <v>0</v>
      </c>
      <c r="Q1493" t="n">
        <v>1492</v>
      </c>
    </row>
    <row r="1494">
      <c r="A1494" t="n">
        <v>1493</v>
      </c>
      <c r="B1494" t="inlineStr">
        <is>
          <t>MTR-IOS-1493</t>
        </is>
      </c>
      <c r="C1494" t="inlineStr">
        <is>
          <t>iPhone</t>
        </is>
      </c>
      <c r="D1494" t="inlineStr">
        <is>
          <t>Group</t>
        </is>
      </c>
      <c r="E1494" t="inlineStr">
        <is>
          <t>Shared Purchase</t>
        </is>
      </c>
      <c r="F1494" t="inlineStr">
        <is>
          <t>Assets</t>
        </is>
      </c>
      <c r="G1494" t="inlineStr">
        <is>
          <t>Maintenance</t>
        </is>
      </c>
      <c r="H1494" t="inlineStr">
        <is>
          <t>Group &gt; Assets &gt; Quick Add &gt; Maintenance</t>
        </is>
      </c>
      <c r="I1494" s="18" t="n">
        <v>19792.25</v>
      </c>
      <c r="J1494" t="inlineStr">
        <is>
          <t>Created MTR-IOS-1493 and correlation note visible in Activity/Pulse</t>
        </is>
      </c>
      <c r="K1494" t="inlineStr">
        <is>
          <t>NOT_RUN</t>
        </is>
      </c>
      <c r="P1494" t="n">
        <v>0</v>
      </c>
      <c r="Q1494" t="n">
        <v>1493</v>
      </c>
    </row>
    <row r="1495">
      <c r="A1495" t="n">
        <v>1494</v>
      </c>
      <c r="B1495" t="inlineStr">
        <is>
          <t>MTR-IOS-1494</t>
        </is>
      </c>
      <c r="C1495" t="inlineStr">
        <is>
          <t>iPhone</t>
        </is>
      </c>
      <c r="D1495" t="inlineStr">
        <is>
          <t>Business</t>
        </is>
      </c>
      <c r="E1495" t="inlineStr">
        <is>
          <t>Business</t>
        </is>
      </c>
      <c r="F1495" t="inlineStr">
        <is>
          <t>Business Operations</t>
        </is>
      </c>
      <c r="G1495" t="inlineStr">
        <is>
          <t>Rent</t>
        </is>
      </c>
      <c r="H1495" t="inlineStr">
        <is>
          <t>Business &gt; Business Operations &gt; Quick Add &gt; Rent</t>
        </is>
      </c>
      <c r="I1495" s="18" t="n">
        <v>6938.93</v>
      </c>
      <c r="J1495" t="inlineStr">
        <is>
          <t>Created MTR-IOS-1494 and correlation note visible in Activity/Pulse</t>
        </is>
      </c>
      <c r="K1495" t="inlineStr">
        <is>
          <t>NOT_RUN</t>
        </is>
      </c>
      <c r="P1495" t="n">
        <v>0</v>
      </c>
      <c r="Q1495" t="n">
        <v>1494</v>
      </c>
    </row>
    <row r="1496">
      <c r="A1496" t="n">
        <v>1495</v>
      </c>
      <c r="B1496" t="inlineStr">
        <is>
          <t>MTR-IOS-1495</t>
        </is>
      </c>
      <c r="C1496" t="inlineStr">
        <is>
          <t>iPhone</t>
        </is>
      </c>
      <c r="D1496" t="inlineStr">
        <is>
          <t>Personal</t>
        </is>
      </c>
      <c r="E1496" t="inlineStr">
        <is>
          <t>Personal</t>
        </is>
      </c>
      <c r="F1496" t="inlineStr">
        <is>
          <t>Lifestyle</t>
        </is>
      </c>
      <c r="G1496" t="inlineStr">
        <is>
          <t>Travel</t>
        </is>
      </c>
      <c r="H1496" t="inlineStr">
        <is>
          <t>Personal &gt; Lifestyle &gt; Quick Add &gt; Travel</t>
        </is>
      </c>
      <c r="I1496" s="18" t="n">
        <v>2189.79</v>
      </c>
      <c r="J1496" t="inlineStr">
        <is>
          <t>Created MTR-IOS-1495 and correlation note visible in Activity/Pulse</t>
        </is>
      </c>
      <c r="K1496" t="inlineStr">
        <is>
          <t>NOT_RUN</t>
        </is>
      </c>
      <c r="P1496" t="n">
        <v>0</v>
      </c>
      <c r="Q1496" t="n">
        <v>1495</v>
      </c>
    </row>
    <row r="1497">
      <c r="A1497" t="n">
        <v>1496</v>
      </c>
      <c r="B1497" t="inlineStr">
        <is>
          <t>MTR-IOS-1496</t>
        </is>
      </c>
      <c r="C1497" t="inlineStr">
        <is>
          <t>iPhone</t>
        </is>
      </c>
      <c r="D1497" t="inlineStr">
        <is>
          <t>Group</t>
        </is>
      </c>
      <c r="E1497" t="inlineStr">
        <is>
          <t>Shared Purchase</t>
        </is>
      </c>
      <c r="F1497" t="inlineStr">
        <is>
          <t>Assets</t>
        </is>
      </c>
      <c r="G1497" t="inlineStr">
        <is>
          <t>Repair</t>
        </is>
      </c>
      <c r="H1497" t="inlineStr">
        <is>
          <t>Group &gt; Assets &gt; Quick Add &gt; Repair</t>
        </is>
      </c>
      <c r="I1497" s="18" t="n">
        <v>21322.32</v>
      </c>
      <c r="J1497" t="inlineStr">
        <is>
          <t>Created MTR-IOS-1496 and correlation note visible in Activity/Pulse</t>
        </is>
      </c>
      <c r="K1497" t="inlineStr">
        <is>
          <t>NOT_RUN</t>
        </is>
      </c>
      <c r="P1497" t="n">
        <v>0</v>
      </c>
      <c r="Q1497" t="n">
        <v>1496</v>
      </c>
    </row>
    <row r="1498">
      <c r="A1498" t="n">
        <v>1497</v>
      </c>
      <c r="B1498" t="inlineStr">
        <is>
          <t>MTR-IOS-1497</t>
        </is>
      </c>
      <c r="C1498" t="inlineStr">
        <is>
          <t>iPhone</t>
        </is>
      </c>
      <c r="D1498" t="inlineStr">
        <is>
          <t>Business</t>
        </is>
      </c>
      <c r="E1498" t="inlineStr">
        <is>
          <t>Business</t>
        </is>
      </c>
      <c r="F1498" t="inlineStr">
        <is>
          <t>Business Operations</t>
        </is>
      </c>
      <c r="G1498" t="inlineStr">
        <is>
          <t>Marketing</t>
        </is>
      </c>
      <c r="H1498" t="inlineStr">
        <is>
          <t>Business &gt; Business Operations &gt; Quick Add &gt; Marketing</t>
        </is>
      </c>
      <c r="I1498" s="18" t="n">
        <v>20627.31</v>
      </c>
      <c r="J1498" t="inlineStr">
        <is>
          <t>Created MTR-IOS-1497 and correlation note visible in Activity/Pulse</t>
        </is>
      </c>
      <c r="K1498" t="inlineStr">
        <is>
          <t>NOT_RUN</t>
        </is>
      </c>
      <c r="P1498" t="n">
        <v>0</v>
      </c>
      <c r="Q1498" t="n">
        <v>1497</v>
      </c>
    </row>
    <row r="1499">
      <c r="A1499" t="n">
        <v>1498</v>
      </c>
      <c r="B1499" t="inlineStr">
        <is>
          <t>MTR-IOS-1498</t>
        </is>
      </c>
      <c r="C1499" t="inlineStr">
        <is>
          <t>iPhone</t>
        </is>
      </c>
      <c r="D1499" t="inlineStr">
        <is>
          <t>Personal</t>
        </is>
      </c>
      <c r="E1499" t="inlineStr">
        <is>
          <t>Personal</t>
        </is>
      </c>
      <c r="F1499" t="inlineStr">
        <is>
          <t>Lifestyle</t>
        </is>
      </c>
      <c r="G1499" t="inlineStr">
        <is>
          <t>Fitness</t>
        </is>
      </c>
      <c r="H1499" t="inlineStr">
        <is>
          <t>Personal &gt; Lifestyle &gt; Quick Add &gt; Fitness</t>
        </is>
      </c>
      <c r="I1499" s="18" t="n">
        <v>11775.66</v>
      </c>
      <c r="J1499" t="inlineStr">
        <is>
          <t>Created MTR-IOS-1498 and correlation note visible in Activity/Pulse</t>
        </is>
      </c>
      <c r="K1499" t="inlineStr">
        <is>
          <t>NOT_RUN</t>
        </is>
      </c>
      <c r="P1499" t="n">
        <v>0</v>
      </c>
      <c r="Q1499" t="n">
        <v>1498</v>
      </c>
    </row>
    <row r="1500">
      <c r="A1500" t="n">
        <v>1499</v>
      </c>
      <c r="B1500" t="inlineStr">
        <is>
          <t>MTR-IOS-1499</t>
        </is>
      </c>
      <c r="C1500" t="inlineStr">
        <is>
          <t>iPhone</t>
        </is>
      </c>
      <c r="D1500" t="inlineStr">
        <is>
          <t>Group</t>
        </is>
      </c>
      <c r="E1500" t="inlineStr">
        <is>
          <t>Shared Purchase</t>
        </is>
      </c>
      <c r="F1500" t="inlineStr">
        <is>
          <t>Assets</t>
        </is>
      </c>
      <c r="G1500" t="inlineStr">
        <is>
          <t>Insurance</t>
        </is>
      </c>
      <c r="H1500" t="inlineStr">
        <is>
          <t>Group &gt; Assets &gt; Quick Add &gt; Insurance</t>
        </is>
      </c>
      <c r="I1500" s="18" t="n">
        <v>24038.77</v>
      </c>
      <c r="J1500" t="inlineStr">
        <is>
          <t>Created MTR-IOS-1499 and correlation note visible in Activity/Pulse</t>
        </is>
      </c>
      <c r="K1500" t="inlineStr">
        <is>
          <t>NOT_RUN</t>
        </is>
      </c>
      <c r="P1500" t="n">
        <v>0</v>
      </c>
      <c r="Q1500" t="n">
        <v>1499</v>
      </c>
    </row>
    <row r="1501">
      <c r="A1501" t="n">
        <v>1500</v>
      </c>
      <c r="B1501" t="inlineStr">
        <is>
          <t>MTR-IOS-1500</t>
        </is>
      </c>
      <c r="C1501" t="inlineStr">
        <is>
          <t>iPhone</t>
        </is>
      </c>
      <c r="D1501" t="inlineStr">
        <is>
          <t>Business</t>
        </is>
      </c>
      <c r="E1501" t="inlineStr">
        <is>
          <t>Business</t>
        </is>
      </c>
      <c r="F1501" t="inlineStr">
        <is>
          <t>Business Operations</t>
        </is>
      </c>
      <c r="G1501" t="inlineStr">
        <is>
          <t>Legal</t>
        </is>
      </c>
      <c r="H1501" t="inlineStr">
        <is>
          <t>Business &gt; Business Operations &gt; Quick Add &gt; Legal</t>
        </is>
      </c>
      <c r="I1501" s="18" t="n">
        <v>15990.23</v>
      </c>
      <c r="J1501" t="inlineStr">
        <is>
          <t>Created MTR-IOS-1500 and correlation note visible in Activity/Pulse</t>
        </is>
      </c>
      <c r="K1501" t="inlineStr">
        <is>
          <t>NOT_RUN</t>
        </is>
      </c>
      <c r="P1501" t="n">
        <v>0</v>
      </c>
      <c r="Q1501" t="n">
        <v>1500</v>
      </c>
    </row>
    <row r="1502">
      <c r="A1502" t="n">
        <v>1501</v>
      </c>
      <c r="B1502" t="inlineStr">
        <is>
          <t>MTR-IOS-1501</t>
        </is>
      </c>
      <c r="C1502" t="inlineStr">
        <is>
          <t>iPhone</t>
        </is>
      </c>
      <c r="D1502" t="inlineStr">
        <is>
          <t>Personal</t>
        </is>
      </c>
      <c r="E1502" t="inlineStr">
        <is>
          <t>Personal</t>
        </is>
      </c>
      <c r="F1502" t="inlineStr">
        <is>
          <t>Lifestyle</t>
        </is>
      </c>
      <c r="G1502" t="inlineStr">
        <is>
          <t>Hobbies</t>
        </is>
      </c>
      <c r="H1502" t="inlineStr">
        <is>
          <t>Personal &gt; Lifestyle &gt; Quick Add &gt; Hobbies</t>
        </is>
      </c>
      <c r="I1502" s="18" t="n">
        <v>15409.4</v>
      </c>
      <c r="J1502" t="inlineStr">
        <is>
          <t>Created MTR-IOS-1501 and correlation note visible in Activity/Pulse</t>
        </is>
      </c>
      <c r="K1502" t="inlineStr">
        <is>
          <t>NOT_RUN</t>
        </is>
      </c>
      <c r="P1502" t="n">
        <v>0</v>
      </c>
      <c r="Q1502" t="n">
        <v>1501</v>
      </c>
    </row>
    <row r="1503">
      <c r="A1503" t="n">
        <v>1502</v>
      </c>
      <c r="B1503" t="inlineStr">
        <is>
          <t>MTR-IOS-1502</t>
        </is>
      </c>
      <c r="C1503" t="inlineStr">
        <is>
          <t>iPhone</t>
        </is>
      </c>
      <c r="D1503" t="inlineStr">
        <is>
          <t>Group</t>
        </is>
      </c>
      <c r="E1503" t="inlineStr">
        <is>
          <t>Shared Purchase</t>
        </is>
      </c>
      <c r="F1503" t="inlineStr">
        <is>
          <t>Assets</t>
        </is>
      </c>
      <c r="G1503" t="inlineStr">
        <is>
          <t>Other</t>
        </is>
      </c>
      <c r="H1503" t="inlineStr">
        <is>
          <t>Group &gt; Assets &gt; Quick Add &gt; Other</t>
        </is>
      </c>
      <c r="I1503" s="18" t="n">
        <v>15560.56</v>
      </c>
      <c r="J1503" t="inlineStr">
        <is>
          <t>Created MTR-IOS-1502 and correlation note visible in Activity/Pulse</t>
        </is>
      </c>
      <c r="K1503" t="inlineStr">
        <is>
          <t>NOT_RUN</t>
        </is>
      </c>
      <c r="P1503" t="n">
        <v>0</v>
      </c>
      <c r="Q1503" t="n">
        <v>1502</v>
      </c>
    </row>
    <row r="1504">
      <c r="A1504" t="n">
        <v>1503</v>
      </c>
      <c r="B1504" t="inlineStr">
        <is>
          <t>MTR-IOS-1503</t>
        </is>
      </c>
      <c r="C1504" t="inlineStr">
        <is>
          <t>iPhone</t>
        </is>
      </c>
      <c r="D1504" t="inlineStr">
        <is>
          <t>Business</t>
        </is>
      </c>
      <c r="E1504" t="inlineStr">
        <is>
          <t>Business</t>
        </is>
      </c>
      <c r="F1504" t="inlineStr">
        <is>
          <t>Business Operations</t>
        </is>
      </c>
      <c r="G1504" t="inlineStr">
        <is>
          <t>Accounting</t>
        </is>
      </c>
      <c r="H1504" t="inlineStr">
        <is>
          <t>Business &gt; Business Operations &gt; Quick Add &gt; Accounting</t>
        </is>
      </c>
      <c r="I1504" s="18" t="n">
        <v>103849.04</v>
      </c>
      <c r="J1504" t="inlineStr">
        <is>
          <t>Created MTR-IOS-1503 and correlation note visible in Activity/Pulse</t>
        </is>
      </c>
      <c r="K1504" t="inlineStr">
        <is>
          <t>NOT_RUN</t>
        </is>
      </c>
      <c r="P1504" t="n">
        <v>0</v>
      </c>
      <c r="Q1504" t="n">
        <v>1503</v>
      </c>
    </row>
    <row r="1505">
      <c r="A1505" t="n">
        <v>1504</v>
      </c>
      <c r="B1505" t="inlineStr">
        <is>
          <t>MTR-IOS-1504</t>
        </is>
      </c>
      <c r="C1505" t="inlineStr">
        <is>
          <t>iPhone</t>
        </is>
      </c>
      <c r="D1505" t="inlineStr">
        <is>
          <t>Personal</t>
        </is>
      </c>
      <c r="E1505" t="inlineStr">
        <is>
          <t>Personal</t>
        </is>
      </c>
      <c r="F1505" t="inlineStr">
        <is>
          <t>Relationships</t>
        </is>
      </c>
      <c r="G1505" t="inlineStr">
        <is>
          <t>Gifts</t>
        </is>
      </c>
      <c r="H1505" t="inlineStr">
        <is>
          <t>Personal &gt; Relationships &gt; Quick Add &gt; Gifts</t>
        </is>
      </c>
      <c r="I1505" s="18" t="n">
        <v>8565.32</v>
      </c>
      <c r="J1505" t="inlineStr">
        <is>
          <t>Created MTR-IOS-1504 and correlation note visible in Activity/Pulse</t>
        </is>
      </c>
      <c r="K1505" t="inlineStr">
        <is>
          <t>NOT_RUN</t>
        </is>
      </c>
      <c r="P1505" t="n">
        <v>0</v>
      </c>
      <c r="Q1505" t="n">
        <v>1504</v>
      </c>
    </row>
    <row r="1506">
      <c r="A1506" t="n">
        <v>1505</v>
      </c>
      <c r="B1506" t="inlineStr">
        <is>
          <t>MTR-IOS-1505</t>
        </is>
      </c>
      <c r="C1506" t="inlineStr">
        <is>
          <t>iPhone</t>
        </is>
      </c>
      <c r="D1506" t="inlineStr">
        <is>
          <t>Group</t>
        </is>
      </c>
      <c r="E1506" t="inlineStr">
        <is>
          <t>Shared Purchase</t>
        </is>
      </c>
      <c r="F1506" t="inlineStr">
        <is>
          <t>Custom Purchase</t>
        </is>
      </c>
      <c r="G1506" t="inlineStr">
        <is>
          <t>Custom Expense</t>
        </is>
      </c>
      <c r="H1506" t="inlineStr">
        <is>
          <t>Group &gt; Custom Purchase &gt; Quick Add &gt; Custom Expense</t>
        </is>
      </c>
      <c r="I1506" s="18" t="n">
        <v>15447.87</v>
      </c>
      <c r="J1506" t="inlineStr">
        <is>
          <t>Created MTR-IOS-1505 and correlation note visible in Activity/Pulse</t>
        </is>
      </c>
      <c r="K1506" t="inlineStr">
        <is>
          <t>NOT_RUN</t>
        </is>
      </c>
      <c r="P1506" t="n">
        <v>0</v>
      </c>
      <c r="Q1506" t="n">
        <v>1505</v>
      </c>
    </row>
    <row r="1507">
      <c r="A1507" t="n">
        <v>1506</v>
      </c>
      <c r="B1507" t="inlineStr">
        <is>
          <t>MTR-IOS-1506</t>
        </is>
      </c>
      <c r="C1507" t="inlineStr">
        <is>
          <t>iPhone</t>
        </is>
      </c>
      <c r="D1507" t="inlineStr">
        <is>
          <t>Business</t>
        </is>
      </c>
      <c r="E1507" t="inlineStr">
        <is>
          <t>Business</t>
        </is>
      </c>
      <c r="F1507" t="inlineStr">
        <is>
          <t>Business Operations</t>
        </is>
      </c>
      <c r="G1507" t="inlineStr">
        <is>
          <t>Equipment</t>
        </is>
      </c>
      <c r="H1507" t="inlineStr">
        <is>
          <t>Business &gt; Business Operations &gt; Quick Add &gt; Equipment</t>
        </is>
      </c>
      <c r="I1507" s="18" t="n">
        <v>72607.63</v>
      </c>
      <c r="J1507" t="inlineStr">
        <is>
          <t>Created MTR-IOS-1506 and correlation note visible in Activity/Pulse</t>
        </is>
      </c>
      <c r="K1507" t="inlineStr">
        <is>
          <t>NOT_RUN</t>
        </is>
      </c>
      <c r="P1507" t="n">
        <v>0</v>
      </c>
      <c r="Q1507" t="n">
        <v>1506</v>
      </c>
    </row>
    <row r="1508">
      <c r="A1508" t="n">
        <v>1507</v>
      </c>
      <c r="B1508" t="inlineStr">
        <is>
          <t>MTR-IOS-1507</t>
        </is>
      </c>
      <c r="C1508" t="inlineStr">
        <is>
          <t>iPhone</t>
        </is>
      </c>
      <c r="D1508" t="inlineStr">
        <is>
          <t>Personal</t>
        </is>
      </c>
      <c r="E1508" t="inlineStr">
        <is>
          <t>Personal</t>
        </is>
      </c>
      <c r="F1508" t="inlineStr">
        <is>
          <t>Relationships</t>
        </is>
      </c>
      <c r="G1508" t="inlineStr">
        <is>
          <t>Dates</t>
        </is>
      </c>
      <c r="H1508" t="inlineStr">
        <is>
          <t>Personal &gt; Relationships &gt; Quick Add &gt; Dates</t>
        </is>
      </c>
      <c r="I1508" s="18" t="n">
        <v>2610.15</v>
      </c>
      <c r="J1508" t="inlineStr">
        <is>
          <t>Created MTR-IOS-1507 and correlation note visible in Activity/Pulse</t>
        </is>
      </c>
      <c r="K1508" t="inlineStr">
        <is>
          <t>NOT_RUN</t>
        </is>
      </c>
      <c r="P1508" t="n">
        <v>0</v>
      </c>
      <c r="Q1508" t="n">
        <v>1507</v>
      </c>
    </row>
    <row r="1509">
      <c r="A1509" t="n">
        <v>1508</v>
      </c>
      <c r="B1509" t="inlineStr">
        <is>
          <t>MTR-IOS-1508</t>
        </is>
      </c>
      <c r="C1509" t="inlineStr">
        <is>
          <t>iPhone</t>
        </is>
      </c>
      <c r="D1509" t="inlineStr">
        <is>
          <t>Group</t>
        </is>
      </c>
      <c r="E1509" t="inlineStr">
        <is>
          <t>Shared Purchase</t>
        </is>
      </c>
      <c r="F1509" t="inlineStr">
        <is>
          <t>Custom Purchase</t>
        </is>
      </c>
      <c r="G1509" t="inlineStr">
        <is>
          <t>Custom Contribution</t>
        </is>
      </c>
      <c r="H1509" t="inlineStr">
        <is>
          <t>Group &gt; Custom Purchase &gt; Quick Add &gt; Custom Contribution</t>
        </is>
      </c>
      <c r="I1509" s="18" t="n">
        <v>5437.85</v>
      </c>
      <c r="J1509" t="inlineStr">
        <is>
          <t>Created MTR-IOS-1508 and correlation note visible in Activity/Pulse</t>
        </is>
      </c>
      <c r="K1509" t="inlineStr">
        <is>
          <t>NOT_RUN</t>
        </is>
      </c>
      <c r="P1509" t="n">
        <v>0</v>
      </c>
      <c r="Q1509" t="n">
        <v>1508</v>
      </c>
    </row>
    <row r="1510">
      <c r="A1510" t="n">
        <v>1509</v>
      </c>
      <c r="B1510" t="inlineStr">
        <is>
          <t>MTR-IOS-1509</t>
        </is>
      </c>
      <c r="C1510" t="inlineStr">
        <is>
          <t>iPhone</t>
        </is>
      </c>
      <c r="D1510" t="inlineStr">
        <is>
          <t>Business</t>
        </is>
      </c>
      <c r="E1510" t="inlineStr">
        <is>
          <t>Business</t>
        </is>
      </c>
      <c r="F1510" t="inlineStr">
        <is>
          <t>Business Operations</t>
        </is>
      </c>
      <c r="G1510" t="inlineStr">
        <is>
          <t>Vendor</t>
        </is>
      </c>
      <c r="H1510" t="inlineStr">
        <is>
          <t>Business &gt; Business Operations &gt; Quick Add &gt; Vendor</t>
        </is>
      </c>
      <c r="I1510" s="18" t="n">
        <v>89707.71000000001</v>
      </c>
      <c r="J1510" t="inlineStr">
        <is>
          <t>Created MTR-IOS-1509 and correlation note visible in Activity/Pulse</t>
        </is>
      </c>
      <c r="K1510" t="inlineStr">
        <is>
          <t>NOT_RUN</t>
        </is>
      </c>
      <c r="P1510" t="n">
        <v>0</v>
      </c>
      <c r="Q1510" t="n">
        <v>1509</v>
      </c>
    </row>
    <row r="1511">
      <c r="A1511" t="n">
        <v>1510</v>
      </c>
      <c r="B1511" t="inlineStr">
        <is>
          <t>MTR-IOS-1510</t>
        </is>
      </c>
      <c r="C1511" t="inlineStr">
        <is>
          <t>iPhone</t>
        </is>
      </c>
      <c r="D1511" t="inlineStr">
        <is>
          <t>Personal</t>
        </is>
      </c>
      <c r="E1511" t="inlineStr">
        <is>
          <t>Personal</t>
        </is>
      </c>
      <c r="F1511" t="inlineStr">
        <is>
          <t>Relationships</t>
        </is>
      </c>
      <c r="G1511" t="inlineStr">
        <is>
          <t>Family</t>
        </is>
      </c>
      <c r="H1511" t="inlineStr">
        <is>
          <t>Personal &gt; Relationships &gt; Quick Add &gt; Family</t>
        </is>
      </c>
      <c r="I1511" s="18" t="n">
        <v>4638.83</v>
      </c>
      <c r="J1511" t="inlineStr">
        <is>
          <t>Created MTR-IOS-1510 and correlation note visible in Activity/Pulse</t>
        </is>
      </c>
      <c r="K1511" t="inlineStr">
        <is>
          <t>NOT_RUN</t>
        </is>
      </c>
      <c r="P1511" t="n">
        <v>0</v>
      </c>
      <c r="Q1511" t="n">
        <v>1510</v>
      </c>
    </row>
    <row r="1512">
      <c r="A1512" t="n">
        <v>1511</v>
      </c>
      <c r="B1512" t="inlineStr">
        <is>
          <t>MTR-IOS-1511</t>
        </is>
      </c>
      <c r="C1512" t="inlineStr">
        <is>
          <t>iPhone</t>
        </is>
      </c>
      <c r="D1512" t="inlineStr">
        <is>
          <t>Group</t>
        </is>
      </c>
      <c r="E1512" t="inlineStr">
        <is>
          <t>Shared Living</t>
        </is>
      </c>
      <c r="F1512" t="inlineStr">
        <is>
          <t>Flatmates</t>
        </is>
      </c>
      <c r="G1512" t="inlineStr">
        <is>
          <t>Rent</t>
        </is>
      </c>
      <c r="H1512" t="inlineStr">
        <is>
          <t>Group &gt; Flatmates &gt; Quick Add &gt; Rent</t>
        </is>
      </c>
      <c r="I1512" s="18" t="n">
        <v>19289.71</v>
      </c>
      <c r="J1512" t="inlineStr">
        <is>
          <t>Created MTR-IOS-1511 and correlation note visible in Activity/Pulse</t>
        </is>
      </c>
      <c r="K1512" t="inlineStr">
        <is>
          <t>NOT_RUN</t>
        </is>
      </c>
      <c r="P1512" t="n">
        <v>0</v>
      </c>
      <c r="Q1512" t="n">
        <v>1511</v>
      </c>
    </row>
    <row r="1513">
      <c r="A1513" t="n">
        <v>1512</v>
      </c>
      <c r="B1513" t="inlineStr">
        <is>
          <t>MTR-IOS-1512</t>
        </is>
      </c>
      <c r="C1513" t="inlineStr">
        <is>
          <t>iPhone</t>
        </is>
      </c>
      <c r="D1513" t="inlineStr">
        <is>
          <t>Business</t>
        </is>
      </c>
      <c r="E1513" t="inlineStr">
        <is>
          <t>Business</t>
        </is>
      </c>
      <c r="F1513" t="inlineStr">
        <is>
          <t>Business Operations</t>
        </is>
      </c>
      <c r="G1513" t="inlineStr">
        <is>
          <t>Tax</t>
        </is>
      </c>
      <c r="H1513" t="inlineStr">
        <is>
          <t>Business &gt; Business Operations &gt; Quick Add &gt; Tax</t>
        </is>
      </c>
      <c r="I1513" s="18" t="n">
        <v>120386.41</v>
      </c>
      <c r="J1513" t="inlineStr">
        <is>
          <t>Created MTR-IOS-1512 and correlation note visible in Activity/Pulse</t>
        </is>
      </c>
      <c r="K1513" t="inlineStr">
        <is>
          <t>NOT_RUN</t>
        </is>
      </c>
      <c r="P1513" t="n">
        <v>0</v>
      </c>
      <c r="Q1513" t="n">
        <v>1512</v>
      </c>
    </row>
    <row r="1514">
      <c r="A1514" t="n">
        <v>1513</v>
      </c>
      <c r="B1514" t="inlineStr">
        <is>
          <t>MTR-IOS-1513</t>
        </is>
      </c>
      <c r="C1514" t="inlineStr">
        <is>
          <t>iPhone</t>
        </is>
      </c>
      <c r="D1514" t="inlineStr">
        <is>
          <t>Personal</t>
        </is>
      </c>
      <c r="E1514" t="inlineStr">
        <is>
          <t>Personal</t>
        </is>
      </c>
      <c r="F1514" t="inlineStr">
        <is>
          <t>Relationships</t>
        </is>
      </c>
      <c r="G1514" t="inlineStr">
        <is>
          <t>Friends</t>
        </is>
      </c>
      <c r="H1514" t="inlineStr">
        <is>
          <t>Personal &gt; Relationships &gt; Quick Add &gt; Friends</t>
        </is>
      </c>
      <c r="I1514" s="18" t="n">
        <v>14538.19</v>
      </c>
      <c r="J1514" t="inlineStr">
        <is>
          <t>Created MTR-IOS-1513 and correlation note visible in Activity/Pulse</t>
        </is>
      </c>
      <c r="K1514" t="inlineStr">
        <is>
          <t>NOT_RUN</t>
        </is>
      </c>
      <c r="P1514" t="n">
        <v>0</v>
      </c>
      <c r="Q1514" t="n">
        <v>1513</v>
      </c>
    </row>
    <row r="1515">
      <c r="A1515" t="n">
        <v>1514</v>
      </c>
      <c r="B1515" t="inlineStr">
        <is>
          <t>MTR-IOS-1514</t>
        </is>
      </c>
      <c r="C1515" t="inlineStr">
        <is>
          <t>iPhone</t>
        </is>
      </c>
      <c r="D1515" t="inlineStr">
        <is>
          <t>Group</t>
        </is>
      </c>
      <c r="E1515" t="inlineStr">
        <is>
          <t>Shared Living</t>
        </is>
      </c>
      <c r="F1515" t="inlineStr">
        <is>
          <t>Flatmates</t>
        </is>
      </c>
      <c r="G1515" t="inlineStr">
        <is>
          <t>Utilities</t>
        </is>
      </c>
      <c r="H1515" t="inlineStr">
        <is>
          <t>Group &gt; Flatmates &gt; Quick Add &gt; Utilities</t>
        </is>
      </c>
      <c r="I1515" s="18" t="n">
        <v>2249.01</v>
      </c>
      <c r="J1515" t="inlineStr">
        <is>
          <t>Created MTR-IOS-1514 and correlation note visible in Activity/Pulse</t>
        </is>
      </c>
      <c r="K1515" t="inlineStr">
        <is>
          <t>NOT_RUN</t>
        </is>
      </c>
      <c r="P1515" t="n">
        <v>0</v>
      </c>
      <c r="Q1515" t="n">
        <v>1514</v>
      </c>
    </row>
    <row r="1516">
      <c r="A1516" t="n">
        <v>1515</v>
      </c>
      <c r="B1516" t="inlineStr">
        <is>
          <t>MTR-IOS-1515</t>
        </is>
      </c>
      <c r="C1516" t="inlineStr">
        <is>
          <t>iPhone</t>
        </is>
      </c>
      <c r="D1516" t="inlineStr">
        <is>
          <t>Business</t>
        </is>
      </c>
      <c r="E1516" t="inlineStr">
        <is>
          <t>Business</t>
        </is>
      </c>
      <c r="F1516" t="inlineStr">
        <is>
          <t>Team Operations</t>
        </is>
      </c>
      <c r="G1516" t="inlineStr">
        <is>
          <t>Payroll</t>
        </is>
      </c>
      <c r="H1516" t="inlineStr">
        <is>
          <t>Business &gt; Team Operations &gt; Quick Add &gt; Payroll</t>
        </is>
      </c>
      <c r="I1516" s="18" t="n">
        <v>121929.55</v>
      </c>
      <c r="J1516" t="inlineStr">
        <is>
          <t>Created MTR-IOS-1515 and correlation note visible in Activity/Pulse</t>
        </is>
      </c>
      <c r="K1516" t="inlineStr">
        <is>
          <t>NOT_RUN</t>
        </is>
      </c>
      <c r="P1516" t="n">
        <v>0</v>
      </c>
      <c r="Q1516" t="n">
        <v>1515</v>
      </c>
    </row>
    <row r="1517">
      <c r="A1517" t="n">
        <v>1516</v>
      </c>
      <c r="B1517" t="inlineStr">
        <is>
          <t>MTR-IOS-1516</t>
        </is>
      </c>
      <c r="C1517" t="inlineStr">
        <is>
          <t>iPhone</t>
        </is>
      </c>
      <c r="D1517" t="inlineStr">
        <is>
          <t>Personal</t>
        </is>
      </c>
      <c r="E1517" t="inlineStr">
        <is>
          <t>Personal</t>
        </is>
      </c>
      <c r="F1517" t="inlineStr">
        <is>
          <t>Relationships</t>
        </is>
      </c>
      <c r="G1517" t="inlineStr">
        <is>
          <t>Celebrations</t>
        </is>
      </c>
      <c r="H1517" t="inlineStr">
        <is>
          <t>Personal &gt; Relationships &gt; Quick Add &gt; Celebrations</t>
        </is>
      </c>
      <c r="I1517" s="18" t="n">
        <v>7433.79</v>
      </c>
      <c r="J1517" t="inlineStr">
        <is>
          <t>Created MTR-IOS-1516 and correlation note visible in Activity/Pulse</t>
        </is>
      </c>
      <c r="K1517" t="inlineStr">
        <is>
          <t>NOT_RUN</t>
        </is>
      </c>
      <c r="P1517" t="n">
        <v>0</v>
      </c>
      <c r="Q1517" t="n">
        <v>1516</v>
      </c>
    </row>
    <row r="1518">
      <c r="A1518" t="n">
        <v>1517</v>
      </c>
      <c r="B1518" t="inlineStr">
        <is>
          <t>MTR-IOS-1517</t>
        </is>
      </c>
      <c r="C1518" t="inlineStr">
        <is>
          <t>iPhone</t>
        </is>
      </c>
      <c r="D1518" t="inlineStr">
        <is>
          <t>Group</t>
        </is>
      </c>
      <c r="E1518" t="inlineStr">
        <is>
          <t>Shared Living</t>
        </is>
      </c>
      <c r="F1518" t="inlineStr">
        <is>
          <t>Flatmates</t>
        </is>
      </c>
      <c r="G1518" t="inlineStr">
        <is>
          <t>Groceries</t>
        </is>
      </c>
      <c r="H1518" t="inlineStr">
        <is>
          <t>Group &gt; Flatmates &gt; Quick Add &gt; Groceries</t>
        </is>
      </c>
      <c r="I1518" s="18" t="n">
        <v>10000</v>
      </c>
      <c r="J1518" t="inlineStr">
        <is>
          <t>Created MTR-IOS-1517 and correlation note visible in Activity/Pulse</t>
        </is>
      </c>
      <c r="K1518" t="inlineStr">
        <is>
          <t>NOT_RUN</t>
        </is>
      </c>
      <c r="P1518" t="n">
        <v>0</v>
      </c>
      <c r="Q1518" t="n">
        <v>1517</v>
      </c>
    </row>
    <row r="1519">
      <c r="A1519" t="n">
        <v>1518</v>
      </c>
      <c r="B1519" t="inlineStr">
        <is>
          <t>MTR-IOS-1518</t>
        </is>
      </c>
      <c r="C1519" t="inlineStr">
        <is>
          <t>iPhone</t>
        </is>
      </c>
      <c r="D1519" t="inlineStr">
        <is>
          <t>Business</t>
        </is>
      </c>
      <c r="E1519" t="inlineStr">
        <is>
          <t>Business</t>
        </is>
      </c>
      <c r="F1519" t="inlineStr">
        <is>
          <t>Team Operations</t>
        </is>
      </c>
      <c r="G1519" t="inlineStr">
        <is>
          <t>Contractor</t>
        </is>
      </c>
      <c r="H1519" t="inlineStr">
        <is>
          <t>Business &gt; Team Operations &gt; Quick Add &gt; Contractor</t>
        </is>
      </c>
      <c r="I1519" s="18" t="n">
        <v>4650.54</v>
      </c>
      <c r="J1519" t="inlineStr">
        <is>
          <t>Created MTR-IOS-1518 and correlation note visible in Activity/Pulse</t>
        </is>
      </c>
      <c r="K1519" t="inlineStr">
        <is>
          <t>NOT_RUN</t>
        </is>
      </c>
      <c r="P1519" t="n">
        <v>0</v>
      </c>
      <c r="Q1519" t="n">
        <v>1518</v>
      </c>
    </row>
    <row r="1520">
      <c r="A1520" t="n">
        <v>1519</v>
      </c>
      <c r="B1520" t="inlineStr">
        <is>
          <t>MTR-IOS-1519</t>
        </is>
      </c>
      <c r="C1520" t="inlineStr">
        <is>
          <t>iPhone</t>
        </is>
      </c>
      <c r="D1520" t="inlineStr">
        <is>
          <t>Personal</t>
        </is>
      </c>
      <c r="E1520" t="inlineStr">
        <is>
          <t>Personal</t>
        </is>
      </c>
      <c r="F1520" t="inlineStr">
        <is>
          <t>Life Operations</t>
        </is>
      </c>
      <c r="G1520" t="inlineStr">
        <is>
          <t>Groceries</t>
        </is>
      </c>
      <c r="H1520" t="inlineStr">
        <is>
          <t>Personal &gt; Life Operations &gt; Quick Add &gt; Groceries</t>
        </is>
      </c>
      <c r="I1520" s="18" t="n">
        <v>12786.74</v>
      </c>
      <c r="J1520" t="inlineStr">
        <is>
          <t>Created MTR-IOS-1519 and correlation note visible in Activity/Pulse</t>
        </is>
      </c>
      <c r="K1520" t="inlineStr">
        <is>
          <t>NOT_RUN</t>
        </is>
      </c>
      <c r="P1520" t="n">
        <v>0</v>
      </c>
      <c r="Q1520" t="n">
        <v>1519</v>
      </c>
    </row>
    <row r="1521">
      <c r="A1521" t="n">
        <v>1520</v>
      </c>
      <c r="B1521" t="inlineStr">
        <is>
          <t>MTR-IOS-1520</t>
        </is>
      </c>
      <c r="C1521" t="inlineStr">
        <is>
          <t>iPhone</t>
        </is>
      </c>
      <c r="D1521" t="inlineStr">
        <is>
          <t>Group</t>
        </is>
      </c>
      <c r="E1521" t="inlineStr">
        <is>
          <t>Shared Living</t>
        </is>
      </c>
      <c r="F1521" t="inlineStr">
        <is>
          <t>Flatmates</t>
        </is>
      </c>
      <c r="G1521" t="inlineStr">
        <is>
          <t>Internet</t>
        </is>
      </c>
      <c r="H1521" t="inlineStr">
        <is>
          <t>Group &gt; Flatmates &gt; Quick Add &gt; Internet</t>
        </is>
      </c>
      <c r="I1521" s="18" t="n">
        <v>17494.83</v>
      </c>
      <c r="J1521" t="inlineStr">
        <is>
          <t>Created MTR-IOS-1520 and correlation note visible in Activity/Pulse</t>
        </is>
      </c>
      <c r="K1521" t="inlineStr">
        <is>
          <t>NOT_RUN</t>
        </is>
      </c>
      <c r="P1521" t="n">
        <v>0</v>
      </c>
      <c r="Q1521" t="n">
        <v>1520</v>
      </c>
    </row>
    <row r="1522">
      <c r="A1522" t="n">
        <v>1521</v>
      </c>
      <c r="B1522" t="inlineStr">
        <is>
          <t>MTR-IOS-1521</t>
        </is>
      </c>
      <c r="C1522" t="inlineStr">
        <is>
          <t>iPhone</t>
        </is>
      </c>
      <c r="D1522" t="inlineStr">
        <is>
          <t>Business</t>
        </is>
      </c>
      <c r="E1522" t="inlineStr">
        <is>
          <t>Business</t>
        </is>
      </c>
      <c r="F1522" t="inlineStr">
        <is>
          <t>Team Operations</t>
        </is>
      </c>
      <c r="G1522" t="inlineStr">
        <is>
          <t>Hiring</t>
        </is>
      </c>
      <c r="H1522" t="inlineStr">
        <is>
          <t>Business &gt; Team Operations &gt; Quick Add &gt; Hiring</t>
        </is>
      </c>
      <c r="I1522" s="18" t="n">
        <v>149665.94</v>
      </c>
      <c r="J1522" t="inlineStr">
        <is>
          <t>Created MTR-IOS-1521 and correlation note visible in Activity/Pulse</t>
        </is>
      </c>
      <c r="K1522" t="inlineStr">
        <is>
          <t>NOT_RUN</t>
        </is>
      </c>
      <c r="P1522" t="n">
        <v>0</v>
      </c>
      <c r="Q1522" t="n">
        <v>1521</v>
      </c>
    </row>
    <row r="1523">
      <c r="A1523" t="n">
        <v>1522</v>
      </c>
      <c r="B1523" t="inlineStr">
        <is>
          <t>MTR-IOS-1522</t>
        </is>
      </c>
      <c r="C1523" t="inlineStr">
        <is>
          <t>iPhone</t>
        </is>
      </c>
      <c r="D1523" t="inlineStr">
        <is>
          <t>Personal</t>
        </is>
      </c>
      <c r="E1523" t="inlineStr">
        <is>
          <t>Personal</t>
        </is>
      </c>
      <c r="F1523" t="inlineStr">
        <is>
          <t>Life Operations</t>
        </is>
      </c>
      <c r="G1523" t="inlineStr">
        <is>
          <t>Rent</t>
        </is>
      </c>
      <c r="H1523" t="inlineStr">
        <is>
          <t>Personal &gt; Life Operations &gt; Quick Add &gt; Rent</t>
        </is>
      </c>
      <c r="I1523" s="18" t="n">
        <v>5964.24</v>
      </c>
      <c r="J1523" t="inlineStr">
        <is>
          <t>Created MTR-IOS-1522 and correlation note visible in Activity/Pulse</t>
        </is>
      </c>
      <c r="K1523" t="inlineStr">
        <is>
          <t>NOT_RUN</t>
        </is>
      </c>
      <c r="P1523" t="n">
        <v>0</v>
      </c>
      <c r="Q1523" t="n">
        <v>1522</v>
      </c>
    </row>
    <row r="1524">
      <c r="A1524" t="n">
        <v>1523</v>
      </c>
      <c r="B1524" t="inlineStr">
        <is>
          <t>MTR-IOS-1523</t>
        </is>
      </c>
      <c r="C1524" t="inlineStr">
        <is>
          <t>iPhone</t>
        </is>
      </c>
      <c r="D1524" t="inlineStr">
        <is>
          <t>Group</t>
        </is>
      </c>
      <c r="E1524" t="inlineStr">
        <is>
          <t>Shared Living</t>
        </is>
      </c>
      <c r="F1524" t="inlineStr">
        <is>
          <t>Flatmates</t>
        </is>
      </c>
      <c r="G1524" t="inlineStr">
        <is>
          <t>House Supplies</t>
        </is>
      </c>
      <c r="H1524" t="inlineStr">
        <is>
          <t>Group &gt; Flatmates &gt; Quick Add &gt; House Supplies</t>
        </is>
      </c>
      <c r="I1524" s="18" t="n">
        <v>6263.2</v>
      </c>
      <c r="J1524" t="inlineStr">
        <is>
          <t>Created MTR-IOS-1523 and correlation note visible in Activity/Pulse</t>
        </is>
      </c>
      <c r="K1524" t="inlineStr">
        <is>
          <t>NOT_RUN</t>
        </is>
      </c>
      <c r="P1524" t="n">
        <v>0</v>
      </c>
      <c r="Q1524" t="n">
        <v>1523</v>
      </c>
    </row>
    <row r="1525">
      <c r="A1525" t="n">
        <v>1524</v>
      </c>
      <c r="B1525" t="inlineStr">
        <is>
          <t>MTR-IOS-1524</t>
        </is>
      </c>
      <c r="C1525" t="inlineStr">
        <is>
          <t>iPhone</t>
        </is>
      </c>
      <c r="D1525" t="inlineStr">
        <is>
          <t>Business</t>
        </is>
      </c>
      <c r="E1525" t="inlineStr">
        <is>
          <t>Business</t>
        </is>
      </c>
      <c r="F1525" t="inlineStr">
        <is>
          <t>Team Operations</t>
        </is>
      </c>
      <c r="G1525" t="inlineStr">
        <is>
          <t>Team Meal</t>
        </is>
      </c>
      <c r="H1525" t="inlineStr">
        <is>
          <t>Business &gt; Team Operations &gt; Quick Add &gt; Team Meal</t>
        </is>
      </c>
      <c r="I1525" s="18" t="n">
        <v>99256.64</v>
      </c>
      <c r="J1525" t="inlineStr">
        <is>
          <t>Created MTR-IOS-1524 and correlation note visible in Activity/Pulse</t>
        </is>
      </c>
      <c r="K1525" t="inlineStr">
        <is>
          <t>NOT_RUN</t>
        </is>
      </c>
      <c r="P1525" t="n">
        <v>0</v>
      </c>
      <c r="Q1525" t="n">
        <v>1524</v>
      </c>
    </row>
    <row r="1526">
      <c r="A1526" t="n">
        <v>1525</v>
      </c>
      <c r="B1526" t="inlineStr">
        <is>
          <t>MTR-IOS-1525</t>
        </is>
      </c>
      <c r="C1526" t="inlineStr">
        <is>
          <t>iPhone</t>
        </is>
      </c>
      <c r="D1526" t="inlineStr">
        <is>
          <t>Personal</t>
        </is>
      </c>
      <c r="E1526" t="inlineStr">
        <is>
          <t>Personal</t>
        </is>
      </c>
      <c r="F1526" t="inlineStr">
        <is>
          <t>Life Operations</t>
        </is>
      </c>
      <c r="G1526" t="inlineStr">
        <is>
          <t>Bills</t>
        </is>
      </c>
      <c r="H1526" t="inlineStr">
        <is>
          <t>Personal &gt; Life Operations &gt; Quick Add &gt; Bills</t>
        </is>
      </c>
      <c r="I1526" s="18" t="n">
        <v>7471.54</v>
      </c>
      <c r="J1526" t="inlineStr">
        <is>
          <t>Created MTR-IOS-1525 and correlation note visible in Activity/Pulse</t>
        </is>
      </c>
      <c r="K1526" t="inlineStr">
        <is>
          <t>NOT_RUN</t>
        </is>
      </c>
      <c r="P1526" t="n">
        <v>0</v>
      </c>
      <c r="Q1526" t="n">
        <v>1525</v>
      </c>
    </row>
    <row r="1527">
      <c r="A1527" t="n">
        <v>1526</v>
      </c>
      <c r="B1527" t="inlineStr">
        <is>
          <t>MTR-IOS-1526</t>
        </is>
      </c>
      <c r="C1527" t="inlineStr">
        <is>
          <t>iPhone</t>
        </is>
      </c>
      <c r="D1527" t="inlineStr">
        <is>
          <t>Group</t>
        </is>
      </c>
      <c r="E1527" t="inlineStr">
        <is>
          <t>Shared Living</t>
        </is>
      </c>
      <c r="F1527" t="inlineStr">
        <is>
          <t>Flatmates</t>
        </is>
      </c>
      <c r="G1527" t="inlineStr">
        <is>
          <t>Repairs</t>
        </is>
      </c>
      <c r="H1527" t="inlineStr">
        <is>
          <t>Group &gt; Flatmates &gt; Quick Add &gt; Repairs</t>
        </is>
      </c>
      <c r="I1527" s="18" t="n">
        <v>5352.78</v>
      </c>
      <c r="J1527" t="inlineStr">
        <is>
          <t>Created MTR-IOS-1526 and correlation note visible in Activity/Pulse</t>
        </is>
      </c>
      <c r="K1527" t="inlineStr">
        <is>
          <t>NOT_RUN</t>
        </is>
      </c>
      <c r="P1527" t="n">
        <v>0</v>
      </c>
      <c r="Q1527" t="n">
        <v>1526</v>
      </c>
    </row>
    <row r="1528">
      <c r="A1528" t="n">
        <v>1527</v>
      </c>
      <c r="B1528" t="inlineStr">
        <is>
          <t>MTR-IOS-1527</t>
        </is>
      </c>
      <c r="C1528" t="inlineStr">
        <is>
          <t>iPhone</t>
        </is>
      </c>
      <c r="D1528" t="inlineStr">
        <is>
          <t>Business</t>
        </is>
      </c>
      <c r="E1528" t="inlineStr">
        <is>
          <t>Business</t>
        </is>
      </c>
      <c r="F1528" t="inlineStr">
        <is>
          <t>Team Operations</t>
        </is>
      </c>
      <c r="G1528" t="inlineStr">
        <is>
          <t>Travel</t>
        </is>
      </c>
      <c r="H1528" t="inlineStr">
        <is>
          <t>Business &gt; Team Operations &gt; Quick Add &gt; Travel</t>
        </is>
      </c>
      <c r="I1528" s="18" t="n">
        <v>71029.71000000001</v>
      </c>
      <c r="J1528" t="inlineStr">
        <is>
          <t>Created MTR-IOS-1527 and correlation note visible in Activity/Pulse</t>
        </is>
      </c>
      <c r="K1528" t="inlineStr">
        <is>
          <t>NOT_RUN</t>
        </is>
      </c>
      <c r="P1528" t="n">
        <v>0</v>
      </c>
      <c r="Q1528" t="n">
        <v>1527</v>
      </c>
    </row>
    <row r="1529">
      <c r="A1529" t="n">
        <v>1528</v>
      </c>
      <c r="B1529" t="inlineStr">
        <is>
          <t>MTR-IOS-1528</t>
        </is>
      </c>
      <c r="C1529" t="inlineStr">
        <is>
          <t>iPhone</t>
        </is>
      </c>
      <c r="D1529" t="inlineStr">
        <is>
          <t>Personal</t>
        </is>
      </c>
      <c r="E1529" t="inlineStr">
        <is>
          <t>Personal</t>
        </is>
      </c>
      <c r="F1529" t="inlineStr">
        <is>
          <t>Life Operations</t>
        </is>
      </c>
      <c r="G1529" t="inlineStr">
        <is>
          <t>Transport</t>
        </is>
      </c>
      <c r="H1529" t="inlineStr">
        <is>
          <t>Personal &gt; Life Operations &gt; Quick Add &gt; Transport</t>
        </is>
      </c>
      <c r="I1529" s="18" t="n">
        <v>2934.47</v>
      </c>
      <c r="J1529" t="inlineStr">
        <is>
          <t>Created MTR-IOS-1528 and correlation note visible in Activity/Pulse</t>
        </is>
      </c>
      <c r="K1529" t="inlineStr">
        <is>
          <t>NOT_RUN</t>
        </is>
      </c>
      <c r="P1529" t="n">
        <v>0</v>
      </c>
      <c r="Q1529" t="n">
        <v>1528</v>
      </c>
    </row>
    <row r="1530">
      <c r="A1530" t="n">
        <v>1529</v>
      </c>
      <c r="B1530" t="inlineStr">
        <is>
          <t>MTR-IOS-1529</t>
        </is>
      </c>
      <c r="C1530" t="inlineStr">
        <is>
          <t>iPhone</t>
        </is>
      </c>
      <c r="D1530" t="inlineStr">
        <is>
          <t>Group</t>
        </is>
      </c>
      <c r="E1530" t="inlineStr">
        <is>
          <t>Shared Living</t>
        </is>
      </c>
      <c r="F1530" t="inlineStr">
        <is>
          <t>Shared Living</t>
        </is>
      </c>
      <c r="G1530" t="inlineStr">
        <is>
          <t>Rent</t>
        </is>
      </c>
      <c r="H1530" t="inlineStr">
        <is>
          <t>Group &gt; Shared Living &gt; Quick Add &gt; Rent</t>
        </is>
      </c>
      <c r="I1530" s="18" t="n">
        <v>20325.13</v>
      </c>
      <c r="J1530" t="inlineStr">
        <is>
          <t>Created MTR-IOS-1529 and correlation note visible in Activity/Pulse</t>
        </is>
      </c>
      <c r="K1530" t="inlineStr">
        <is>
          <t>NOT_RUN</t>
        </is>
      </c>
      <c r="P1530" t="n">
        <v>0</v>
      </c>
      <c r="Q1530" t="n">
        <v>1529</v>
      </c>
    </row>
    <row r="1531">
      <c r="A1531" t="n">
        <v>1530</v>
      </c>
      <c r="B1531" t="inlineStr">
        <is>
          <t>MTR-IOS-1530</t>
        </is>
      </c>
      <c r="C1531" t="inlineStr">
        <is>
          <t>iPhone</t>
        </is>
      </c>
      <c r="D1531" t="inlineStr">
        <is>
          <t>Business</t>
        </is>
      </c>
      <c r="E1531" t="inlineStr">
        <is>
          <t>Business</t>
        </is>
      </c>
      <c r="F1531" t="inlineStr">
        <is>
          <t>Team Operations</t>
        </is>
      </c>
      <c r="G1531" t="inlineStr">
        <is>
          <t>Training</t>
        </is>
      </c>
      <c r="H1531" t="inlineStr">
        <is>
          <t>Business &gt; Team Operations &gt; Quick Add &gt; Training</t>
        </is>
      </c>
      <c r="I1531" s="18" t="n">
        <v>59647.42</v>
      </c>
      <c r="J1531" t="inlineStr">
        <is>
          <t>Created MTR-IOS-1530 and correlation note visible in Activity/Pulse</t>
        </is>
      </c>
      <c r="K1531" t="inlineStr">
        <is>
          <t>NOT_RUN</t>
        </is>
      </c>
      <c r="P1531" t="n">
        <v>0</v>
      </c>
      <c r="Q1531" t="n">
        <v>1530</v>
      </c>
    </row>
    <row r="1532">
      <c r="A1532" t="n">
        <v>1531</v>
      </c>
      <c r="B1532" t="inlineStr">
        <is>
          <t>MTR-IOS-1531</t>
        </is>
      </c>
      <c r="C1532" t="inlineStr">
        <is>
          <t>iPhone</t>
        </is>
      </c>
      <c r="D1532" t="inlineStr">
        <is>
          <t>Personal</t>
        </is>
      </c>
      <c r="E1532" t="inlineStr">
        <is>
          <t>Personal</t>
        </is>
      </c>
      <c r="F1532" t="inlineStr">
        <is>
          <t>Life Operations</t>
        </is>
      </c>
      <c r="G1532" t="inlineStr">
        <is>
          <t>Healthcare</t>
        </is>
      </c>
      <c r="H1532" t="inlineStr">
        <is>
          <t>Personal &gt; Life Operations &gt; Quick Add &gt; Healthcare</t>
        </is>
      </c>
      <c r="I1532" s="18" t="n">
        <v>4084.33</v>
      </c>
      <c r="J1532" t="inlineStr">
        <is>
          <t>Created MTR-IOS-1531 and correlation note visible in Activity/Pulse</t>
        </is>
      </c>
      <c r="K1532" t="inlineStr">
        <is>
          <t>NOT_RUN</t>
        </is>
      </c>
      <c r="P1532" t="n">
        <v>0</v>
      </c>
      <c r="Q1532" t="n">
        <v>1531</v>
      </c>
    </row>
    <row r="1533">
      <c r="A1533" t="n">
        <v>1532</v>
      </c>
      <c r="B1533" t="inlineStr">
        <is>
          <t>MTR-IOS-1532</t>
        </is>
      </c>
      <c r="C1533" t="inlineStr">
        <is>
          <t>iPhone</t>
        </is>
      </c>
      <c r="D1533" t="inlineStr">
        <is>
          <t>Group</t>
        </is>
      </c>
      <c r="E1533" t="inlineStr">
        <is>
          <t>Shared Living</t>
        </is>
      </c>
      <c r="F1533" t="inlineStr">
        <is>
          <t>Shared Living</t>
        </is>
      </c>
      <c r="G1533" t="inlineStr">
        <is>
          <t>Utilities</t>
        </is>
      </c>
      <c r="H1533" t="inlineStr">
        <is>
          <t>Group &gt; Shared Living &gt; Quick Add &gt; Utilities</t>
        </is>
      </c>
      <c r="I1533" s="18" t="n">
        <v>26042.82</v>
      </c>
      <c r="J1533" t="inlineStr">
        <is>
          <t>Created MTR-IOS-1532 and correlation note visible in Activity/Pulse</t>
        </is>
      </c>
      <c r="K1533" t="inlineStr">
        <is>
          <t>NOT_RUN</t>
        </is>
      </c>
      <c r="P1533" t="n">
        <v>0</v>
      </c>
      <c r="Q1533" t="n">
        <v>1532</v>
      </c>
    </row>
    <row r="1534">
      <c r="A1534" t="n">
        <v>1533</v>
      </c>
      <c r="B1534" t="inlineStr">
        <is>
          <t>MTR-IOS-1533</t>
        </is>
      </c>
      <c r="C1534" t="inlineStr">
        <is>
          <t>iPhone</t>
        </is>
      </c>
      <c r="D1534" t="inlineStr">
        <is>
          <t>Business</t>
        </is>
      </c>
      <c r="E1534" t="inlineStr">
        <is>
          <t>Business</t>
        </is>
      </c>
      <c r="F1534" t="inlineStr">
        <is>
          <t>Team Operations</t>
        </is>
      </c>
      <c r="G1534" t="inlineStr">
        <is>
          <t>Tools</t>
        </is>
      </c>
      <c r="H1534" t="inlineStr">
        <is>
          <t>Business &gt; Team Operations &gt; Quick Add &gt; Tools</t>
        </is>
      </c>
      <c r="I1534" s="18" t="n">
        <v>21068</v>
      </c>
      <c r="J1534" t="inlineStr">
        <is>
          <t>Created MTR-IOS-1533 and correlation note visible in Activity/Pulse</t>
        </is>
      </c>
      <c r="K1534" t="inlineStr">
        <is>
          <t>NOT_RUN</t>
        </is>
      </c>
      <c r="P1534" t="n">
        <v>0</v>
      </c>
      <c r="Q1534" t="n">
        <v>1533</v>
      </c>
    </row>
    <row r="1535">
      <c r="A1535" t="n">
        <v>1534</v>
      </c>
      <c r="B1535" t="inlineStr">
        <is>
          <t>MTR-IOS-1534</t>
        </is>
      </c>
      <c r="C1535" t="inlineStr">
        <is>
          <t>iPhone</t>
        </is>
      </c>
      <c r="D1535" t="inlineStr">
        <is>
          <t>Personal</t>
        </is>
      </c>
      <c r="E1535" t="inlineStr">
        <is>
          <t>Personal</t>
        </is>
      </c>
      <c r="F1535" t="inlineStr">
        <is>
          <t>Life Operations</t>
        </is>
      </c>
      <c r="G1535" t="inlineStr">
        <is>
          <t>Subscriptions</t>
        </is>
      </c>
      <c r="H1535" t="inlineStr">
        <is>
          <t>Personal &gt; Life Operations &gt; Quick Add &gt; Subscriptions</t>
        </is>
      </c>
      <c r="I1535" s="18" t="n">
        <v>1108.86</v>
      </c>
      <c r="J1535" t="inlineStr">
        <is>
          <t>Created MTR-IOS-1534 and correlation note visible in Activity/Pulse</t>
        </is>
      </c>
      <c r="K1535" t="inlineStr">
        <is>
          <t>NOT_RUN</t>
        </is>
      </c>
      <c r="P1535" t="n">
        <v>0</v>
      </c>
      <c r="Q1535" t="n">
        <v>1534</v>
      </c>
    </row>
    <row r="1536">
      <c r="A1536" t="n">
        <v>1535</v>
      </c>
      <c r="B1536" t="inlineStr">
        <is>
          <t>MTR-IOS-1535</t>
        </is>
      </c>
      <c r="C1536" t="inlineStr">
        <is>
          <t>iPhone</t>
        </is>
      </c>
      <c r="D1536" t="inlineStr">
        <is>
          <t>Group</t>
        </is>
      </c>
      <c r="E1536" t="inlineStr">
        <is>
          <t>Shared Living</t>
        </is>
      </c>
      <c r="F1536" t="inlineStr">
        <is>
          <t>Shared Living</t>
        </is>
      </c>
      <c r="G1536" t="inlineStr">
        <is>
          <t>Groceries</t>
        </is>
      </c>
      <c r="H1536" t="inlineStr">
        <is>
          <t>Group &gt; Shared Living &gt; Quick Add &gt; Groceries</t>
        </is>
      </c>
      <c r="I1536" s="18" t="n">
        <v>24772</v>
      </c>
      <c r="J1536" t="inlineStr">
        <is>
          <t>Created MTR-IOS-1535 and correlation note visible in Activity/Pulse</t>
        </is>
      </c>
      <c r="K1536" t="inlineStr">
        <is>
          <t>NOT_RUN</t>
        </is>
      </c>
      <c r="P1536" t="n">
        <v>0</v>
      </c>
      <c r="Q1536" t="n">
        <v>1535</v>
      </c>
    </row>
    <row r="1537">
      <c r="A1537" t="n">
        <v>1536</v>
      </c>
      <c r="B1537" t="inlineStr">
        <is>
          <t>MTR-IOS-1536</t>
        </is>
      </c>
      <c r="C1537" t="inlineStr">
        <is>
          <t>iPhone</t>
        </is>
      </c>
      <c r="D1537" t="inlineStr">
        <is>
          <t>Business</t>
        </is>
      </c>
      <c r="E1537" t="inlineStr">
        <is>
          <t>Business</t>
        </is>
      </c>
      <c r="F1537" t="inlineStr">
        <is>
          <t>Business Runway</t>
        </is>
      </c>
      <c r="G1537" t="inlineStr">
        <is>
          <t>Funding</t>
        </is>
      </c>
      <c r="H1537" t="inlineStr">
        <is>
          <t>Business &gt; Business Runway &gt; Quick Add &gt; Funding</t>
        </is>
      </c>
      <c r="I1537" s="18" t="n">
        <v>11878.23</v>
      </c>
      <c r="J1537" t="inlineStr">
        <is>
          <t>Created MTR-IOS-1536 and correlation note visible in Activity/Pulse</t>
        </is>
      </c>
      <c r="K1537" t="inlineStr">
        <is>
          <t>NOT_RUN</t>
        </is>
      </c>
      <c r="P1537" t="n">
        <v>0</v>
      </c>
      <c r="Q1537" t="n">
        <v>1536</v>
      </c>
    </row>
    <row r="1538">
      <c r="A1538" t="n">
        <v>1537</v>
      </c>
      <c r="B1538" t="inlineStr">
        <is>
          <t>MTR-IOS-1537</t>
        </is>
      </c>
      <c r="C1538" t="inlineStr">
        <is>
          <t>iPhone</t>
        </is>
      </c>
      <c r="D1538" t="inlineStr">
        <is>
          <t>Personal</t>
        </is>
      </c>
      <c r="E1538" t="inlineStr">
        <is>
          <t>Personal</t>
        </is>
      </c>
      <c r="F1538" t="inlineStr">
        <is>
          <t>Life Operations</t>
        </is>
      </c>
      <c r="G1538" t="inlineStr">
        <is>
          <t>Repairs</t>
        </is>
      </c>
      <c r="H1538" t="inlineStr">
        <is>
          <t>Personal &gt; Life Operations &gt; Quick Add &gt; Repairs</t>
        </is>
      </c>
      <c r="I1538" s="18" t="n">
        <v>9240.18</v>
      </c>
      <c r="J1538" t="inlineStr">
        <is>
          <t>Created MTR-IOS-1537 and correlation note visible in Activity/Pulse</t>
        </is>
      </c>
      <c r="K1538" t="inlineStr">
        <is>
          <t>NOT_RUN</t>
        </is>
      </c>
      <c r="P1538" t="n">
        <v>0</v>
      </c>
      <c r="Q1538" t="n">
        <v>1537</v>
      </c>
    </row>
    <row r="1539">
      <c r="A1539" t="n">
        <v>1538</v>
      </c>
      <c r="B1539" t="inlineStr">
        <is>
          <t>MTR-IOS-1538</t>
        </is>
      </c>
      <c r="C1539" t="inlineStr">
        <is>
          <t>iPhone</t>
        </is>
      </c>
      <c r="D1539" t="inlineStr">
        <is>
          <t>Group</t>
        </is>
      </c>
      <c r="E1539" t="inlineStr">
        <is>
          <t>Shared Living</t>
        </is>
      </c>
      <c r="F1539" t="inlineStr">
        <is>
          <t>Shared Living</t>
        </is>
      </c>
      <c r="G1539" t="inlineStr">
        <is>
          <t>Maintenance</t>
        </is>
      </c>
      <c r="H1539" t="inlineStr">
        <is>
          <t>Group &gt; Shared Living &gt; Quick Add &gt; Maintenance</t>
        </is>
      </c>
      <c r="I1539" s="18" t="n">
        <v>3058.56</v>
      </c>
      <c r="J1539" t="inlineStr">
        <is>
          <t>Created MTR-IOS-1538 and correlation note visible in Activity/Pulse</t>
        </is>
      </c>
      <c r="K1539" t="inlineStr">
        <is>
          <t>NOT_RUN</t>
        </is>
      </c>
      <c r="P1539" t="n">
        <v>0</v>
      </c>
      <c r="Q1539" t="n">
        <v>1538</v>
      </c>
    </row>
    <row r="1540">
      <c r="A1540" t="n">
        <v>1539</v>
      </c>
      <c r="B1540" t="inlineStr">
        <is>
          <t>MTR-IOS-1539</t>
        </is>
      </c>
      <c r="C1540" t="inlineStr">
        <is>
          <t>iPhone</t>
        </is>
      </c>
      <c r="D1540" t="inlineStr">
        <is>
          <t>Business</t>
        </is>
      </c>
      <c r="E1540" t="inlineStr">
        <is>
          <t>Business</t>
        </is>
      </c>
      <c r="F1540" t="inlineStr">
        <is>
          <t>Business Runway</t>
        </is>
      </c>
      <c r="G1540" t="inlineStr">
        <is>
          <t>Revenue</t>
        </is>
      </c>
      <c r="H1540" t="inlineStr">
        <is>
          <t>Business &gt; Business Runway &gt; Quick Add &gt; Revenue</t>
        </is>
      </c>
      <c r="I1540" s="18" t="n">
        <v>73202.33</v>
      </c>
      <c r="J1540" t="inlineStr">
        <is>
          <t>Created MTR-IOS-1539 and correlation note visible in Activity/Pulse</t>
        </is>
      </c>
      <c r="K1540" t="inlineStr">
        <is>
          <t>NOT_RUN</t>
        </is>
      </c>
      <c r="P1540" t="n">
        <v>0</v>
      </c>
      <c r="Q1540" t="n">
        <v>1539</v>
      </c>
    </row>
    <row r="1541">
      <c r="A1541" t="n">
        <v>1540</v>
      </c>
      <c r="B1541" t="inlineStr">
        <is>
          <t>MTR-IOS-1540</t>
        </is>
      </c>
      <c r="C1541" t="inlineStr">
        <is>
          <t>iPhone</t>
        </is>
      </c>
      <c r="D1541" t="inlineStr">
        <is>
          <t>Personal</t>
        </is>
      </c>
      <c r="E1541" t="inlineStr">
        <is>
          <t>Personal</t>
        </is>
      </c>
      <c r="F1541" t="inlineStr">
        <is>
          <t>Future Building</t>
        </is>
      </c>
      <c r="G1541" t="inlineStr">
        <is>
          <t>Savings</t>
        </is>
      </c>
      <c r="H1541" t="inlineStr">
        <is>
          <t>Personal &gt; Future Building &gt; Quick Add &gt; Savings</t>
        </is>
      </c>
      <c r="I1541" s="18" t="n">
        <v>13923.64</v>
      </c>
      <c r="J1541" t="inlineStr">
        <is>
          <t>Created MTR-IOS-1540 and correlation note visible in Activity/Pulse</t>
        </is>
      </c>
      <c r="K1541" t="inlineStr">
        <is>
          <t>NOT_RUN</t>
        </is>
      </c>
      <c r="P1541" t="n">
        <v>0</v>
      </c>
      <c r="Q1541" t="n">
        <v>1540</v>
      </c>
    </row>
    <row r="1542">
      <c r="A1542" t="n">
        <v>1541</v>
      </c>
      <c r="B1542" t="inlineStr">
        <is>
          <t>MTR-IOS-1541</t>
        </is>
      </c>
      <c r="C1542" t="inlineStr">
        <is>
          <t>iPhone</t>
        </is>
      </c>
      <c r="D1542" t="inlineStr">
        <is>
          <t>Group</t>
        </is>
      </c>
      <c r="E1542" t="inlineStr">
        <is>
          <t>Shared Living</t>
        </is>
      </c>
      <c r="F1542" t="inlineStr">
        <is>
          <t>Shared Living</t>
        </is>
      </c>
      <c r="G1542" t="inlineStr">
        <is>
          <t>Other</t>
        </is>
      </c>
      <c r="H1542" t="inlineStr">
        <is>
          <t>Group &gt; Shared Living &gt; Quick Add &gt; Other</t>
        </is>
      </c>
      <c r="I1542" s="18" t="n">
        <v>15071.81</v>
      </c>
      <c r="J1542" t="inlineStr">
        <is>
          <t>Created MTR-IOS-1541 and correlation note visible in Activity/Pulse</t>
        </is>
      </c>
      <c r="K1542" t="inlineStr">
        <is>
          <t>NOT_RUN</t>
        </is>
      </c>
      <c r="P1542" t="n">
        <v>0</v>
      </c>
      <c r="Q1542" t="n">
        <v>1541</v>
      </c>
    </row>
    <row r="1543">
      <c r="A1543" t="n">
        <v>1542</v>
      </c>
      <c r="B1543" t="inlineStr">
        <is>
          <t>MTR-IOS-1542</t>
        </is>
      </c>
      <c r="C1543" t="inlineStr">
        <is>
          <t>iPhone</t>
        </is>
      </c>
      <c r="D1543" t="inlineStr">
        <is>
          <t>Business</t>
        </is>
      </c>
      <c r="E1543" t="inlineStr">
        <is>
          <t>Business</t>
        </is>
      </c>
      <c r="F1543" t="inlineStr">
        <is>
          <t>Business Runway</t>
        </is>
      </c>
      <c r="G1543" t="inlineStr">
        <is>
          <t>Burn</t>
        </is>
      </c>
      <c r="H1543" t="inlineStr">
        <is>
          <t>Business &gt; Business Runway &gt; Quick Add &gt; Burn</t>
        </is>
      </c>
      <c r="I1543" s="18" t="n">
        <v>105717.55</v>
      </c>
      <c r="J1543" t="inlineStr">
        <is>
          <t>Created MTR-IOS-1542 and correlation note visible in Activity/Pulse</t>
        </is>
      </c>
      <c r="K1543" t="inlineStr">
        <is>
          <t>NOT_RUN</t>
        </is>
      </c>
      <c r="P1543" t="n">
        <v>0</v>
      </c>
      <c r="Q1543" t="n">
        <v>1542</v>
      </c>
    </row>
    <row r="1544">
      <c r="A1544" t="n">
        <v>1543</v>
      </c>
      <c r="B1544" t="inlineStr">
        <is>
          <t>MTR-IOS-1543</t>
        </is>
      </c>
      <c r="C1544" t="inlineStr">
        <is>
          <t>iPhone</t>
        </is>
      </c>
      <c r="D1544" t="inlineStr">
        <is>
          <t>Personal</t>
        </is>
      </c>
      <c r="E1544" t="inlineStr">
        <is>
          <t>Personal</t>
        </is>
      </c>
      <c r="F1544" t="inlineStr">
        <is>
          <t>Future Building</t>
        </is>
      </c>
      <c r="G1544" t="inlineStr">
        <is>
          <t>Emergency Fund</t>
        </is>
      </c>
      <c r="H1544" t="inlineStr">
        <is>
          <t>Personal &gt; Future Building &gt; Quick Add &gt; Emergency Fund</t>
        </is>
      </c>
      <c r="I1544" s="18" t="n">
        <v>8057.52</v>
      </c>
      <c r="J1544" t="inlineStr">
        <is>
          <t>Created MTR-IOS-1543 and correlation note visible in Activity/Pulse</t>
        </is>
      </c>
      <c r="K1544" t="inlineStr">
        <is>
          <t>NOT_RUN</t>
        </is>
      </c>
      <c r="P1544" t="n">
        <v>0</v>
      </c>
      <c r="Q1544" t="n">
        <v>1543</v>
      </c>
    </row>
    <row r="1545">
      <c r="A1545" t="n">
        <v>1544</v>
      </c>
      <c r="B1545" t="inlineStr">
        <is>
          <t>MTR-IOS-1544</t>
        </is>
      </c>
      <c r="C1545" t="inlineStr">
        <is>
          <t>iPhone</t>
        </is>
      </c>
      <c r="D1545" t="inlineStr">
        <is>
          <t>Group</t>
        </is>
      </c>
      <c r="E1545" t="inlineStr">
        <is>
          <t>Shared Living</t>
        </is>
      </c>
      <c r="F1545" t="inlineStr">
        <is>
          <t>Family Household</t>
        </is>
      </c>
      <c r="G1545" t="inlineStr">
        <is>
          <t>Groceries</t>
        </is>
      </c>
      <c r="H1545" t="inlineStr">
        <is>
          <t>Group &gt; Family Household &gt; Quick Add &gt; Groceries</t>
        </is>
      </c>
      <c r="I1545" s="18" t="n">
        <v>22497.21</v>
      </c>
      <c r="J1545" t="inlineStr">
        <is>
          <t>Created MTR-IOS-1544 and correlation note visible in Activity/Pulse</t>
        </is>
      </c>
      <c r="K1545" t="inlineStr">
        <is>
          <t>NOT_RUN</t>
        </is>
      </c>
      <c r="P1545" t="n">
        <v>0</v>
      </c>
      <c r="Q1545" t="n">
        <v>1544</v>
      </c>
    </row>
    <row r="1546">
      <c r="A1546" t="n">
        <v>1545</v>
      </c>
      <c r="B1546" t="inlineStr">
        <is>
          <t>MTR-IOS-1545</t>
        </is>
      </c>
      <c r="C1546" t="inlineStr">
        <is>
          <t>iPhone</t>
        </is>
      </c>
      <c r="D1546" t="inlineStr">
        <is>
          <t>Business</t>
        </is>
      </c>
      <c r="E1546" t="inlineStr">
        <is>
          <t>Business</t>
        </is>
      </c>
      <c r="F1546" t="inlineStr">
        <is>
          <t>Business Runway</t>
        </is>
      </c>
      <c r="G1546" t="inlineStr">
        <is>
          <t>Reserve</t>
        </is>
      </c>
      <c r="H1546" t="inlineStr">
        <is>
          <t>Business &gt; Business Runway &gt; Quick Add &gt; Reserve</t>
        </is>
      </c>
      <c r="I1546" s="18" t="n">
        <v>69342.02</v>
      </c>
      <c r="J1546" t="inlineStr">
        <is>
          <t>Created MTR-IOS-1545 and correlation note visible in Activity/Pulse</t>
        </is>
      </c>
      <c r="K1546" t="inlineStr">
        <is>
          <t>NOT_RUN</t>
        </is>
      </c>
      <c r="P1546" t="n">
        <v>0</v>
      </c>
      <c r="Q1546" t="n">
        <v>1545</v>
      </c>
    </row>
    <row r="1547">
      <c r="A1547" t="n">
        <v>1546</v>
      </c>
      <c r="B1547" t="inlineStr">
        <is>
          <t>MTR-IOS-1546</t>
        </is>
      </c>
      <c r="C1547" t="inlineStr">
        <is>
          <t>iPhone</t>
        </is>
      </c>
      <c r="D1547" t="inlineStr">
        <is>
          <t>Personal</t>
        </is>
      </c>
      <c r="E1547" t="inlineStr">
        <is>
          <t>Personal</t>
        </is>
      </c>
      <c r="F1547" t="inlineStr">
        <is>
          <t>Future Building</t>
        </is>
      </c>
      <c r="G1547" t="inlineStr">
        <is>
          <t>Investments</t>
        </is>
      </c>
      <c r="H1547" t="inlineStr">
        <is>
          <t>Personal &gt; Future Building &gt; Quick Add &gt; Investments</t>
        </is>
      </c>
      <c r="I1547" s="18" t="n">
        <v>8433.799999999999</v>
      </c>
      <c r="J1547" t="inlineStr">
        <is>
          <t>Created MTR-IOS-1546 and correlation note visible in Activity/Pulse</t>
        </is>
      </c>
      <c r="K1547" t="inlineStr">
        <is>
          <t>NOT_RUN</t>
        </is>
      </c>
      <c r="P1547" t="n">
        <v>0</v>
      </c>
      <c r="Q1547" t="n">
        <v>1546</v>
      </c>
    </row>
    <row r="1548">
      <c r="A1548" t="n">
        <v>1547</v>
      </c>
      <c r="B1548" t="inlineStr">
        <is>
          <t>MTR-IOS-1547</t>
        </is>
      </c>
      <c r="C1548" t="inlineStr">
        <is>
          <t>iPhone</t>
        </is>
      </c>
      <c r="D1548" t="inlineStr">
        <is>
          <t>Group</t>
        </is>
      </c>
      <c r="E1548" t="inlineStr">
        <is>
          <t>Shared Living</t>
        </is>
      </c>
      <c r="F1548" t="inlineStr">
        <is>
          <t>Family Household</t>
        </is>
      </c>
      <c r="G1548" t="inlineStr">
        <is>
          <t>Bills</t>
        </is>
      </c>
      <c r="H1548" t="inlineStr">
        <is>
          <t>Group &gt; Family Household &gt; Quick Add &gt; Bills</t>
        </is>
      </c>
      <c r="I1548" s="18" t="n">
        <v>20938.62</v>
      </c>
      <c r="J1548" t="inlineStr">
        <is>
          <t>Created MTR-IOS-1547 and correlation note visible in Activity/Pulse</t>
        </is>
      </c>
      <c r="K1548" t="inlineStr">
        <is>
          <t>NOT_RUN</t>
        </is>
      </c>
      <c r="P1548" t="n">
        <v>0</v>
      </c>
      <c r="Q1548" t="n">
        <v>1547</v>
      </c>
    </row>
    <row r="1549">
      <c r="A1549" t="n">
        <v>1548</v>
      </c>
      <c r="B1549" t="inlineStr">
        <is>
          <t>MTR-IOS-1548</t>
        </is>
      </c>
      <c r="C1549" t="inlineStr">
        <is>
          <t>iPhone</t>
        </is>
      </c>
      <c r="D1549" t="inlineStr">
        <is>
          <t>Business</t>
        </is>
      </c>
      <c r="E1549" t="inlineStr">
        <is>
          <t>Business</t>
        </is>
      </c>
      <c r="F1549" t="inlineStr">
        <is>
          <t>Business Runway</t>
        </is>
      </c>
      <c r="G1549" t="inlineStr">
        <is>
          <t>Loan</t>
        </is>
      </c>
      <c r="H1549" t="inlineStr">
        <is>
          <t>Business &gt; Business Runway &gt; Quick Add &gt; Loan</t>
        </is>
      </c>
      <c r="I1549" s="18" t="n">
        <v>137688.86</v>
      </c>
      <c r="J1549" t="inlineStr">
        <is>
          <t>Created MTR-IOS-1548 and correlation note visible in Activity/Pulse</t>
        </is>
      </c>
      <c r="K1549" t="inlineStr">
        <is>
          <t>NOT_RUN</t>
        </is>
      </c>
      <c r="P1549" t="n">
        <v>0</v>
      </c>
      <c r="Q1549" t="n">
        <v>1548</v>
      </c>
    </row>
    <row r="1550">
      <c r="A1550" t="n">
        <v>1549</v>
      </c>
      <c r="B1550" t="inlineStr">
        <is>
          <t>MTR-IOS-1549</t>
        </is>
      </c>
      <c r="C1550" t="inlineStr">
        <is>
          <t>iPhone</t>
        </is>
      </c>
      <c r="D1550" t="inlineStr">
        <is>
          <t>Personal</t>
        </is>
      </c>
      <c r="E1550" t="inlineStr">
        <is>
          <t>Personal</t>
        </is>
      </c>
      <c r="F1550" t="inlineStr">
        <is>
          <t>Future Building</t>
        </is>
      </c>
      <c r="G1550" t="inlineStr">
        <is>
          <t>Education</t>
        </is>
      </c>
      <c r="H1550" t="inlineStr">
        <is>
          <t>Personal &gt; Future Building &gt; Quick Add &gt; Education</t>
        </is>
      </c>
      <c r="I1550" s="18" t="n">
        <v>8991.08</v>
      </c>
      <c r="J1550" t="inlineStr">
        <is>
          <t>Created MTR-IOS-1549 and correlation note visible in Activity/Pulse</t>
        </is>
      </c>
      <c r="K1550" t="inlineStr">
        <is>
          <t>NOT_RUN</t>
        </is>
      </c>
      <c r="P1550" t="n">
        <v>0</v>
      </c>
      <c r="Q1550" t="n">
        <v>1549</v>
      </c>
    </row>
    <row r="1551">
      <c r="A1551" t="n">
        <v>1550</v>
      </c>
      <c r="B1551" t="inlineStr">
        <is>
          <t>MTR-IOS-1550</t>
        </is>
      </c>
      <c r="C1551" t="inlineStr">
        <is>
          <t>iPhone</t>
        </is>
      </c>
      <c r="D1551" t="inlineStr">
        <is>
          <t>Group</t>
        </is>
      </c>
      <c r="E1551" t="inlineStr">
        <is>
          <t>Shared Living</t>
        </is>
      </c>
      <c r="F1551" t="inlineStr">
        <is>
          <t>Family Household</t>
        </is>
      </c>
      <c r="G1551" t="inlineStr">
        <is>
          <t>School</t>
        </is>
      </c>
      <c r="H1551" t="inlineStr">
        <is>
          <t>Group &gt; Family Household &gt; Quick Add &gt; School</t>
        </is>
      </c>
      <c r="I1551" s="18" t="n">
        <v>22826.99</v>
      </c>
      <c r="J1551" t="inlineStr">
        <is>
          <t>Created MTR-IOS-1550 and correlation note visible in Activity/Pulse</t>
        </is>
      </c>
      <c r="K1551" t="inlineStr">
        <is>
          <t>NOT_RUN</t>
        </is>
      </c>
      <c r="P1551" t="n">
        <v>0</v>
      </c>
      <c r="Q1551" t="n">
        <v>1550</v>
      </c>
    </row>
    <row r="1552">
      <c r="A1552" t="n">
        <v>1551</v>
      </c>
      <c r="B1552" t="inlineStr">
        <is>
          <t>MTR-IOS-1551</t>
        </is>
      </c>
      <c r="C1552" t="inlineStr">
        <is>
          <t>iPhone</t>
        </is>
      </c>
      <c r="D1552" t="inlineStr">
        <is>
          <t>Business</t>
        </is>
      </c>
      <c r="E1552" t="inlineStr">
        <is>
          <t>Business</t>
        </is>
      </c>
      <c r="F1552" t="inlineStr">
        <is>
          <t>Business Runway</t>
        </is>
      </c>
      <c r="G1552" t="inlineStr">
        <is>
          <t>Investment</t>
        </is>
      </c>
      <c r="H1552" t="inlineStr">
        <is>
          <t>Business &gt; Business Runway &gt; Quick Add &gt; Investment</t>
        </is>
      </c>
      <c r="I1552" s="18" t="n">
        <v>88222.16</v>
      </c>
      <c r="J1552" t="inlineStr">
        <is>
          <t>Created MTR-IOS-1551 and correlation note visible in Activity/Pulse</t>
        </is>
      </c>
      <c r="K1552" t="inlineStr">
        <is>
          <t>NOT_RUN</t>
        </is>
      </c>
      <c r="P1552" t="n">
        <v>0</v>
      </c>
      <c r="Q1552" t="n">
        <v>1551</v>
      </c>
    </row>
    <row r="1553">
      <c r="A1553" t="n">
        <v>1552</v>
      </c>
      <c r="B1553" t="inlineStr">
        <is>
          <t>MTR-IOS-1552</t>
        </is>
      </c>
      <c r="C1553" t="inlineStr">
        <is>
          <t>iPhone</t>
        </is>
      </c>
      <c r="D1553" t="inlineStr">
        <is>
          <t>Personal</t>
        </is>
      </c>
      <c r="E1553" t="inlineStr">
        <is>
          <t>Personal</t>
        </is>
      </c>
      <c r="F1553" t="inlineStr">
        <is>
          <t>Future Building</t>
        </is>
      </c>
      <c r="G1553" t="inlineStr">
        <is>
          <t>Goal Contribution</t>
        </is>
      </c>
      <c r="H1553" t="inlineStr">
        <is>
          <t>Personal &gt; Future Building &gt; Quick Add &gt; Goal Contribution</t>
        </is>
      </c>
      <c r="I1553" s="18" t="n">
        <v>12384.67</v>
      </c>
      <c r="J1553" t="inlineStr">
        <is>
          <t>Created MTR-IOS-1552 and correlation note visible in Activity/Pulse</t>
        </is>
      </c>
      <c r="K1553" t="inlineStr">
        <is>
          <t>NOT_RUN</t>
        </is>
      </c>
      <c r="P1553" t="n">
        <v>0</v>
      </c>
      <c r="Q1553" t="n">
        <v>1552</v>
      </c>
    </row>
    <row r="1554">
      <c r="A1554" t="n">
        <v>1553</v>
      </c>
      <c r="B1554" t="inlineStr">
        <is>
          <t>MTR-IOS-1553</t>
        </is>
      </c>
      <c r="C1554" t="inlineStr">
        <is>
          <t>iPhone</t>
        </is>
      </c>
      <c r="D1554" t="inlineStr">
        <is>
          <t>Group</t>
        </is>
      </c>
      <c r="E1554" t="inlineStr">
        <is>
          <t>Shared Living</t>
        </is>
      </c>
      <c r="F1554" t="inlineStr">
        <is>
          <t>Family Household</t>
        </is>
      </c>
      <c r="G1554" t="inlineStr">
        <is>
          <t>Healthcare</t>
        </is>
      </c>
      <c r="H1554" t="inlineStr">
        <is>
          <t>Group &gt; Family Household &gt; Quick Add &gt; Healthcare</t>
        </is>
      </c>
      <c r="I1554" s="18" t="n">
        <v>16241.04</v>
      </c>
      <c r="J1554" t="inlineStr">
        <is>
          <t>Created MTR-IOS-1553 and correlation note visible in Activity/Pulse</t>
        </is>
      </c>
      <c r="K1554" t="inlineStr">
        <is>
          <t>NOT_RUN</t>
        </is>
      </c>
      <c r="P1554" t="n">
        <v>0</v>
      </c>
      <c r="Q1554" t="n">
        <v>1553</v>
      </c>
    </row>
    <row r="1555">
      <c r="A1555" t="n">
        <v>1554</v>
      </c>
      <c r="B1555" t="inlineStr">
        <is>
          <t>MTR-IOS-1554</t>
        </is>
      </c>
      <c r="C1555" t="inlineStr">
        <is>
          <t>iPhone</t>
        </is>
      </c>
      <c r="D1555" t="inlineStr">
        <is>
          <t>Business</t>
        </is>
      </c>
      <c r="E1555" t="inlineStr">
        <is>
          <t>Business</t>
        </is>
      </c>
      <c r="F1555" t="inlineStr">
        <is>
          <t>Business Operations</t>
        </is>
      </c>
      <c r="G1555" t="inlineStr">
        <is>
          <t>Software</t>
        </is>
      </c>
      <c r="H1555" t="inlineStr">
        <is>
          <t>Business &gt; Business Operations &gt; Quick Add &gt; Software</t>
        </is>
      </c>
      <c r="I1555" s="18" t="n">
        <v>0.01</v>
      </c>
      <c r="J1555" t="inlineStr">
        <is>
          <t>Created MTR-IOS-1554 and correlation note visible in Activity/Pulse</t>
        </is>
      </c>
      <c r="K1555" t="inlineStr">
        <is>
          <t>NOT_RUN</t>
        </is>
      </c>
      <c r="P1555" t="n">
        <v>0</v>
      </c>
      <c r="Q1555" t="n">
        <v>1554</v>
      </c>
    </row>
    <row r="1556">
      <c r="A1556" t="n">
        <v>1555</v>
      </c>
      <c r="B1556" t="inlineStr">
        <is>
          <t>MTR-IOS-1555</t>
        </is>
      </c>
      <c r="C1556" t="inlineStr">
        <is>
          <t>iPhone</t>
        </is>
      </c>
      <c r="D1556" t="inlineStr">
        <is>
          <t>Personal</t>
        </is>
      </c>
      <c r="E1556" t="inlineStr">
        <is>
          <t>Personal</t>
        </is>
      </c>
      <c r="F1556" t="inlineStr">
        <is>
          <t>Lifestyle</t>
        </is>
      </c>
      <c r="G1556" t="inlineStr">
        <is>
          <t>Dining</t>
        </is>
      </c>
      <c r="H1556" t="inlineStr">
        <is>
          <t>Personal &gt; Lifestyle &gt; Quick Add &gt; Dining</t>
        </is>
      </c>
      <c r="I1556" s="18" t="n">
        <v>5994</v>
      </c>
      <c r="J1556" t="inlineStr">
        <is>
          <t>Created MTR-IOS-1555 and correlation note visible in Activity/Pulse</t>
        </is>
      </c>
      <c r="K1556" t="inlineStr">
        <is>
          <t>NOT_RUN</t>
        </is>
      </c>
      <c r="P1556" t="n">
        <v>0</v>
      </c>
      <c r="Q1556" t="n">
        <v>1555</v>
      </c>
    </row>
    <row r="1557">
      <c r="A1557" t="n">
        <v>1556</v>
      </c>
      <c r="B1557" t="inlineStr">
        <is>
          <t>MTR-IOS-1556</t>
        </is>
      </c>
      <c r="C1557" t="inlineStr">
        <is>
          <t>iPhone</t>
        </is>
      </c>
      <c r="D1557" t="inlineStr">
        <is>
          <t>Group</t>
        </is>
      </c>
      <c r="E1557" t="inlineStr">
        <is>
          <t>Shared Living</t>
        </is>
      </c>
      <c r="F1557" t="inlineStr">
        <is>
          <t>Family Household</t>
        </is>
      </c>
      <c r="G1557" t="inlineStr">
        <is>
          <t>Home</t>
        </is>
      </c>
      <c r="H1557" t="inlineStr">
        <is>
          <t>Group &gt; Family Household &gt; Quick Add &gt; Home</t>
        </is>
      </c>
      <c r="I1557" s="18" t="n">
        <v>18389.78</v>
      </c>
      <c r="J1557" t="inlineStr">
        <is>
          <t>Created MTR-IOS-1556 and correlation note visible in Activity/Pulse</t>
        </is>
      </c>
      <c r="K1557" t="inlineStr">
        <is>
          <t>NOT_RUN</t>
        </is>
      </c>
      <c r="P1557" t="n">
        <v>0</v>
      </c>
      <c r="Q1557" t="n">
        <v>1556</v>
      </c>
    </row>
    <row r="1558">
      <c r="A1558" t="n">
        <v>1557</v>
      </c>
      <c r="B1558" t="inlineStr">
        <is>
          <t>MTR-IOS-1557</t>
        </is>
      </c>
      <c r="C1558" t="inlineStr">
        <is>
          <t>iPhone</t>
        </is>
      </c>
      <c r="D1558" t="inlineStr">
        <is>
          <t>Business</t>
        </is>
      </c>
      <c r="E1558" t="inlineStr">
        <is>
          <t>Business</t>
        </is>
      </c>
      <c r="F1558" t="inlineStr">
        <is>
          <t>Business Operations</t>
        </is>
      </c>
      <c r="G1558" t="inlineStr">
        <is>
          <t>Rent</t>
        </is>
      </c>
      <c r="H1558" t="inlineStr">
        <is>
          <t>Business &gt; Business Operations &gt; Quick Add &gt; Rent</t>
        </is>
      </c>
      <c r="I1558" s="18" t="n">
        <v>42698.04</v>
      </c>
      <c r="J1558" t="inlineStr">
        <is>
          <t>Created MTR-IOS-1557 and correlation note visible in Activity/Pulse</t>
        </is>
      </c>
      <c r="K1558" t="inlineStr">
        <is>
          <t>NOT_RUN</t>
        </is>
      </c>
      <c r="P1558" t="n">
        <v>0</v>
      </c>
      <c r="Q1558" t="n">
        <v>1557</v>
      </c>
    </row>
    <row r="1559">
      <c r="A1559" t="n">
        <v>1558</v>
      </c>
      <c r="B1559" t="inlineStr">
        <is>
          <t>MTR-IOS-1558</t>
        </is>
      </c>
      <c r="C1559" t="inlineStr">
        <is>
          <t>iPhone</t>
        </is>
      </c>
      <c r="D1559" t="inlineStr">
        <is>
          <t>Personal</t>
        </is>
      </c>
      <c r="E1559" t="inlineStr">
        <is>
          <t>Personal</t>
        </is>
      </c>
      <c r="F1559" t="inlineStr">
        <is>
          <t>Lifestyle</t>
        </is>
      </c>
      <c r="G1559" t="inlineStr">
        <is>
          <t>Shopping</t>
        </is>
      </c>
      <c r="H1559" t="inlineStr">
        <is>
          <t>Personal &gt; Lifestyle &gt; Quick Add &gt; Shopping</t>
        </is>
      </c>
      <c r="I1559" s="18" t="n">
        <v>2114.77</v>
      </c>
      <c r="J1559" t="inlineStr">
        <is>
          <t>Created MTR-IOS-1558 and correlation note visible in Activity/Pulse</t>
        </is>
      </c>
      <c r="K1559" t="inlineStr">
        <is>
          <t>NOT_RUN</t>
        </is>
      </c>
      <c r="P1559" t="n">
        <v>0</v>
      </c>
      <c r="Q1559" t="n">
        <v>1558</v>
      </c>
    </row>
    <row r="1560">
      <c r="A1560" t="n">
        <v>1559</v>
      </c>
      <c r="B1560" t="inlineStr">
        <is>
          <t>MTR-IOS-1559</t>
        </is>
      </c>
      <c r="C1560" t="inlineStr">
        <is>
          <t>iPhone</t>
        </is>
      </c>
      <c r="D1560" t="inlineStr">
        <is>
          <t>Group</t>
        </is>
      </c>
      <c r="E1560" t="inlineStr">
        <is>
          <t>Shared Living</t>
        </is>
      </c>
      <c r="F1560" t="inlineStr">
        <is>
          <t>Family Household</t>
        </is>
      </c>
      <c r="G1560" t="inlineStr">
        <is>
          <t>Other</t>
        </is>
      </c>
      <c r="H1560" t="inlineStr">
        <is>
          <t>Group &gt; Family Household &gt; Quick Add &gt; Other</t>
        </is>
      </c>
      <c r="I1560" s="18" t="n">
        <v>6056.48</v>
      </c>
      <c r="J1560" t="inlineStr">
        <is>
          <t>Created MTR-IOS-1559 and correlation note visible in Activity/Pulse</t>
        </is>
      </c>
      <c r="K1560" t="inlineStr">
        <is>
          <t>NOT_RUN</t>
        </is>
      </c>
      <c r="P1560" t="n">
        <v>0</v>
      </c>
      <c r="Q1560" t="n">
        <v>1559</v>
      </c>
    </row>
    <row r="1561">
      <c r="A1561" t="n">
        <v>1560</v>
      </c>
      <c r="B1561" t="inlineStr">
        <is>
          <t>MTR-IOS-1560</t>
        </is>
      </c>
      <c r="C1561" t="inlineStr">
        <is>
          <t>iPhone</t>
        </is>
      </c>
      <c r="D1561" t="inlineStr">
        <is>
          <t>Business</t>
        </is>
      </c>
      <c r="E1561" t="inlineStr">
        <is>
          <t>Business</t>
        </is>
      </c>
      <c r="F1561" t="inlineStr">
        <is>
          <t>Business Operations</t>
        </is>
      </c>
      <c r="G1561" t="inlineStr">
        <is>
          <t>Marketing</t>
        </is>
      </c>
      <c r="H1561" t="inlineStr">
        <is>
          <t>Business &gt; Business Operations &gt; Quick Add &gt; Marketing</t>
        </is>
      </c>
      <c r="I1561" s="18" t="n">
        <v>148616.89</v>
      </c>
      <c r="J1561" t="inlineStr">
        <is>
          <t>Created MTR-IOS-1560 and correlation note visible in Activity/Pulse</t>
        </is>
      </c>
      <c r="K1561" t="inlineStr">
        <is>
          <t>NOT_RUN</t>
        </is>
      </c>
      <c r="P1561" t="n">
        <v>0</v>
      </c>
      <c r="Q1561" t="n">
        <v>1560</v>
      </c>
    </row>
    <row r="1562">
      <c r="A1562" t="n">
        <v>1561</v>
      </c>
      <c r="B1562" t="inlineStr">
        <is>
          <t>MTR-IOS-1561</t>
        </is>
      </c>
      <c r="C1562" t="inlineStr">
        <is>
          <t>iPhone</t>
        </is>
      </c>
      <c r="D1562" t="inlineStr">
        <is>
          <t>Personal</t>
        </is>
      </c>
      <c r="E1562" t="inlineStr">
        <is>
          <t>Personal</t>
        </is>
      </c>
      <c r="F1562" t="inlineStr">
        <is>
          <t>Lifestyle</t>
        </is>
      </c>
      <c r="G1562" t="inlineStr">
        <is>
          <t>Entertainment</t>
        </is>
      </c>
      <c r="H1562" t="inlineStr">
        <is>
          <t>Personal &gt; Lifestyle &gt; Quick Add &gt; Entertainment</t>
        </is>
      </c>
      <c r="I1562" s="18" t="n">
        <v>9304.33</v>
      </c>
      <c r="J1562" t="inlineStr">
        <is>
          <t>Created MTR-IOS-1561 and correlation note visible in Activity/Pulse</t>
        </is>
      </c>
      <c r="K1562" t="inlineStr">
        <is>
          <t>NOT_RUN</t>
        </is>
      </c>
      <c r="P1562" t="n">
        <v>0</v>
      </c>
      <c r="Q1562" t="n">
        <v>1561</v>
      </c>
    </row>
    <row r="1563">
      <c r="A1563" t="n">
        <v>1562</v>
      </c>
      <c r="B1563" t="inlineStr">
        <is>
          <t>MTR-IOS-1562</t>
        </is>
      </c>
      <c r="C1563" t="inlineStr">
        <is>
          <t>iPhone</t>
        </is>
      </c>
      <c r="D1563" t="inlineStr">
        <is>
          <t>Group</t>
        </is>
      </c>
      <c r="E1563" t="inlineStr">
        <is>
          <t>Shared Living</t>
        </is>
      </c>
      <c r="F1563" t="inlineStr">
        <is>
          <t>Custom Living</t>
        </is>
      </c>
      <c r="G1563" t="inlineStr">
        <is>
          <t>Custom Expense</t>
        </is>
      </c>
      <c r="H1563" t="inlineStr">
        <is>
          <t>Group &gt; Custom Living &gt; Quick Add &gt; Custom Expense</t>
        </is>
      </c>
      <c r="I1563" s="18" t="n">
        <v>20938.51</v>
      </c>
      <c r="J1563" t="inlineStr">
        <is>
          <t>Created MTR-IOS-1562 and correlation note visible in Activity/Pulse</t>
        </is>
      </c>
      <c r="K1563" t="inlineStr">
        <is>
          <t>NOT_RUN</t>
        </is>
      </c>
      <c r="P1563" t="n">
        <v>0</v>
      </c>
      <c r="Q1563" t="n">
        <v>1562</v>
      </c>
    </row>
    <row r="1564">
      <c r="A1564" t="n">
        <v>1563</v>
      </c>
      <c r="B1564" t="inlineStr">
        <is>
          <t>MTR-IOS-1563</t>
        </is>
      </c>
      <c r="C1564" t="inlineStr">
        <is>
          <t>iPhone</t>
        </is>
      </c>
      <c r="D1564" t="inlineStr">
        <is>
          <t>Business</t>
        </is>
      </c>
      <c r="E1564" t="inlineStr">
        <is>
          <t>Business</t>
        </is>
      </c>
      <c r="F1564" t="inlineStr">
        <is>
          <t>Business Operations</t>
        </is>
      </c>
      <c r="G1564" t="inlineStr">
        <is>
          <t>Legal</t>
        </is>
      </c>
      <c r="H1564" t="inlineStr">
        <is>
          <t>Business &gt; Business Operations &gt; Quick Add &gt; Legal</t>
        </is>
      </c>
      <c r="I1564" s="18" t="n">
        <v>128868.51</v>
      </c>
      <c r="J1564" t="inlineStr">
        <is>
          <t>Created MTR-IOS-1563 and correlation note visible in Activity/Pulse</t>
        </is>
      </c>
      <c r="K1564" t="inlineStr">
        <is>
          <t>NOT_RUN</t>
        </is>
      </c>
      <c r="P1564" t="n">
        <v>0</v>
      </c>
      <c r="Q1564" t="n">
        <v>1563</v>
      </c>
    </row>
    <row r="1565">
      <c r="A1565" t="n">
        <v>1564</v>
      </c>
      <c r="B1565" t="inlineStr">
        <is>
          <t>MTR-IOS-1564</t>
        </is>
      </c>
      <c r="C1565" t="inlineStr">
        <is>
          <t>iPhone</t>
        </is>
      </c>
      <c r="D1565" t="inlineStr">
        <is>
          <t>Personal</t>
        </is>
      </c>
      <c r="E1565" t="inlineStr">
        <is>
          <t>Personal</t>
        </is>
      </c>
      <c r="F1565" t="inlineStr">
        <is>
          <t>Lifestyle</t>
        </is>
      </c>
      <c r="G1565" t="inlineStr">
        <is>
          <t>Travel</t>
        </is>
      </c>
      <c r="H1565" t="inlineStr">
        <is>
          <t>Personal &gt; Lifestyle &gt; Quick Add &gt; Travel</t>
        </is>
      </c>
      <c r="I1565" s="18" t="n">
        <v>4489.02</v>
      </c>
      <c r="J1565" t="inlineStr">
        <is>
          <t>Created MTR-IOS-1564 and correlation note visible in Activity/Pulse</t>
        </is>
      </c>
      <c r="K1565" t="inlineStr">
        <is>
          <t>NOT_RUN</t>
        </is>
      </c>
      <c r="P1565" t="n">
        <v>0</v>
      </c>
      <c r="Q1565" t="n">
        <v>1564</v>
      </c>
    </row>
    <row r="1566">
      <c r="A1566" t="n">
        <v>1565</v>
      </c>
      <c r="B1566" t="inlineStr">
        <is>
          <t>MTR-IOS-1565</t>
        </is>
      </c>
      <c r="C1566" t="inlineStr">
        <is>
          <t>iPhone</t>
        </is>
      </c>
      <c r="D1566" t="inlineStr">
        <is>
          <t>Group</t>
        </is>
      </c>
      <c r="E1566" t="inlineStr">
        <is>
          <t>Shared Living</t>
        </is>
      </c>
      <c r="F1566" t="inlineStr">
        <is>
          <t>Custom Living</t>
        </is>
      </c>
      <c r="G1566" t="inlineStr">
        <is>
          <t>Custom Contribution</t>
        </is>
      </c>
      <c r="H1566" t="inlineStr">
        <is>
          <t>Group &gt; Custom Living &gt; Quick Add &gt; Custom Contribution</t>
        </is>
      </c>
      <c r="I1566" s="18" t="n">
        <v>7023.14</v>
      </c>
      <c r="J1566" t="inlineStr">
        <is>
          <t>Created MTR-IOS-1565 and correlation note visible in Activity/Pulse</t>
        </is>
      </c>
      <c r="K1566" t="inlineStr">
        <is>
          <t>NOT_RUN</t>
        </is>
      </c>
      <c r="P1566" t="n">
        <v>0</v>
      </c>
      <c r="Q1566" t="n">
        <v>1565</v>
      </c>
    </row>
    <row r="1567">
      <c r="A1567" t="n">
        <v>1566</v>
      </c>
      <c r="B1567" t="inlineStr">
        <is>
          <t>MTR-IOS-1566</t>
        </is>
      </c>
      <c r="C1567" t="inlineStr">
        <is>
          <t>iPhone</t>
        </is>
      </c>
      <c r="D1567" t="inlineStr">
        <is>
          <t>Business</t>
        </is>
      </c>
      <c r="E1567" t="inlineStr">
        <is>
          <t>Business</t>
        </is>
      </c>
      <c r="F1567" t="inlineStr">
        <is>
          <t>Business Operations</t>
        </is>
      </c>
      <c r="G1567" t="inlineStr">
        <is>
          <t>Accounting</t>
        </is>
      </c>
      <c r="H1567" t="inlineStr">
        <is>
          <t>Business &gt; Business Operations &gt; Quick Add &gt; Accounting</t>
        </is>
      </c>
      <c r="I1567" s="18" t="n">
        <v>42614.2</v>
      </c>
      <c r="J1567" t="inlineStr">
        <is>
          <t>Created MTR-IOS-1566 and correlation note visible in Activity/Pulse</t>
        </is>
      </c>
      <c r="K1567" t="inlineStr">
        <is>
          <t>NOT_RUN</t>
        </is>
      </c>
      <c r="P1567" t="n">
        <v>0</v>
      </c>
      <c r="Q1567" t="n">
        <v>1566</v>
      </c>
    </row>
    <row r="1568">
      <c r="A1568" t="n">
        <v>1567</v>
      </c>
      <c r="B1568" t="inlineStr">
        <is>
          <t>MTR-IOS-1567</t>
        </is>
      </c>
      <c r="C1568" t="inlineStr">
        <is>
          <t>iPhone</t>
        </is>
      </c>
      <c r="D1568" t="inlineStr">
        <is>
          <t>Personal</t>
        </is>
      </c>
      <c r="E1568" t="inlineStr">
        <is>
          <t>Personal</t>
        </is>
      </c>
      <c r="F1568" t="inlineStr">
        <is>
          <t>Lifestyle</t>
        </is>
      </c>
      <c r="G1568" t="inlineStr">
        <is>
          <t>Fitness</t>
        </is>
      </c>
      <c r="H1568" t="inlineStr">
        <is>
          <t>Personal &gt; Lifestyle &gt; Quick Add &gt; Fitness</t>
        </is>
      </c>
      <c r="I1568" s="18" t="n">
        <v>1722.13</v>
      </c>
      <c r="J1568" t="inlineStr">
        <is>
          <t>Created MTR-IOS-1567 and correlation note visible in Activity/Pulse</t>
        </is>
      </c>
      <c r="K1568" t="inlineStr">
        <is>
          <t>NOT_RUN</t>
        </is>
      </c>
      <c r="P1568" t="n">
        <v>0</v>
      </c>
      <c r="Q1568" t="n">
        <v>1567</v>
      </c>
    </row>
    <row r="1569">
      <c r="A1569" t="n">
        <v>1568</v>
      </c>
      <c r="B1569" t="inlineStr">
        <is>
          <t>MTR-IOS-1568</t>
        </is>
      </c>
      <c r="C1569" t="inlineStr">
        <is>
          <t>iPhone</t>
        </is>
      </c>
      <c r="D1569" t="inlineStr">
        <is>
          <t>Group</t>
        </is>
      </c>
      <c r="E1569" t="inlineStr">
        <is>
          <t>Shared Experience</t>
        </is>
      </c>
      <c r="F1569" t="inlineStr">
        <is>
          <t>Trip</t>
        </is>
      </c>
      <c r="G1569" t="inlineStr">
        <is>
          <t>Travel</t>
        </is>
      </c>
      <c r="H1569" t="inlineStr">
        <is>
          <t>Group &gt; Trip &gt; Quick Add &gt; Travel</t>
        </is>
      </c>
      <c r="I1569" s="18" t="n">
        <v>18855.94</v>
      </c>
      <c r="J1569" t="inlineStr">
        <is>
          <t>Created MTR-IOS-1568 and correlation note visible in Activity/Pulse</t>
        </is>
      </c>
      <c r="K1569" t="inlineStr">
        <is>
          <t>NOT_RUN</t>
        </is>
      </c>
      <c r="P1569" t="n">
        <v>0</v>
      </c>
      <c r="Q1569" t="n">
        <v>1568</v>
      </c>
    </row>
    <row r="1570">
      <c r="A1570" t="n">
        <v>1569</v>
      </c>
      <c r="B1570" t="inlineStr">
        <is>
          <t>MTR-IOS-1569</t>
        </is>
      </c>
      <c r="C1570" t="inlineStr">
        <is>
          <t>iPhone</t>
        </is>
      </c>
      <c r="D1570" t="inlineStr">
        <is>
          <t>Business</t>
        </is>
      </c>
      <c r="E1570" t="inlineStr">
        <is>
          <t>Business</t>
        </is>
      </c>
      <c r="F1570" t="inlineStr">
        <is>
          <t>Business Operations</t>
        </is>
      </c>
      <c r="G1570" t="inlineStr">
        <is>
          <t>Equipment</t>
        </is>
      </c>
      <c r="H1570" t="inlineStr">
        <is>
          <t>Business &gt; Business Operations &gt; Quick Add &gt; Equipment</t>
        </is>
      </c>
      <c r="I1570" s="18" t="n">
        <v>67356.67999999999</v>
      </c>
      <c r="J1570" t="inlineStr">
        <is>
          <t>Created MTR-IOS-1569 and correlation note visible in Activity/Pulse</t>
        </is>
      </c>
      <c r="K1570" t="inlineStr">
        <is>
          <t>NOT_RUN</t>
        </is>
      </c>
      <c r="P1570" t="n">
        <v>0</v>
      </c>
      <c r="Q1570" t="n">
        <v>1569</v>
      </c>
    </row>
    <row r="1571">
      <c r="A1571" t="n">
        <v>1570</v>
      </c>
      <c r="B1571" t="inlineStr">
        <is>
          <t>MTR-IOS-1570</t>
        </is>
      </c>
      <c r="C1571" t="inlineStr">
        <is>
          <t>iPhone</t>
        </is>
      </c>
      <c r="D1571" t="inlineStr">
        <is>
          <t>Personal</t>
        </is>
      </c>
      <c r="E1571" t="inlineStr">
        <is>
          <t>Personal</t>
        </is>
      </c>
      <c r="F1571" t="inlineStr">
        <is>
          <t>Lifestyle</t>
        </is>
      </c>
      <c r="G1571" t="inlineStr">
        <is>
          <t>Hobbies</t>
        </is>
      </c>
      <c r="H1571" t="inlineStr">
        <is>
          <t>Personal &gt; Lifestyle &gt; Quick Add &gt; Hobbies</t>
        </is>
      </c>
      <c r="I1571" s="18" t="n">
        <v>16497.25</v>
      </c>
      <c r="J1571" t="inlineStr">
        <is>
          <t>Created MTR-IOS-1570 and correlation note visible in Activity/Pulse</t>
        </is>
      </c>
      <c r="K1571" t="inlineStr">
        <is>
          <t>NOT_RUN</t>
        </is>
      </c>
      <c r="P1571" t="n">
        <v>0</v>
      </c>
      <c r="Q1571" t="n">
        <v>1570</v>
      </c>
    </row>
    <row r="1572">
      <c r="A1572" t="n">
        <v>1571</v>
      </c>
      <c r="B1572" t="inlineStr">
        <is>
          <t>MTR-IOS-1571</t>
        </is>
      </c>
      <c r="C1572" t="inlineStr">
        <is>
          <t>iPhone</t>
        </is>
      </c>
      <c r="D1572" t="inlineStr">
        <is>
          <t>Group</t>
        </is>
      </c>
      <c r="E1572" t="inlineStr">
        <is>
          <t>Shared Experience</t>
        </is>
      </c>
      <c r="F1572" t="inlineStr">
        <is>
          <t>Trip</t>
        </is>
      </c>
      <c r="G1572" t="inlineStr">
        <is>
          <t>Stay</t>
        </is>
      </c>
      <c r="H1572" t="inlineStr">
        <is>
          <t>Group &gt; Trip &gt; Quick Add &gt; Stay</t>
        </is>
      </c>
      <c r="I1572" s="18" t="n">
        <v>23419.17</v>
      </c>
      <c r="J1572" t="inlineStr">
        <is>
          <t>Created MTR-IOS-1571 and correlation note visible in Activity/Pulse</t>
        </is>
      </c>
      <c r="K1572" t="inlineStr">
        <is>
          <t>NOT_RUN</t>
        </is>
      </c>
      <c r="P1572" t="n">
        <v>0</v>
      </c>
      <c r="Q1572" t="n">
        <v>1571</v>
      </c>
    </row>
    <row r="1573">
      <c r="A1573" t="n">
        <v>1572</v>
      </c>
      <c r="B1573" t="inlineStr">
        <is>
          <t>MTR-IOS-1572</t>
        </is>
      </c>
      <c r="C1573" t="inlineStr">
        <is>
          <t>iPhone</t>
        </is>
      </c>
      <c r="D1573" t="inlineStr">
        <is>
          <t>Business</t>
        </is>
      </c>
      <c r="E1573" t="inlineStr">
        <is>
          <t>Business</t>
        </is>
      </c>
      <c r="F1573" t="inlineStr">
        <is>
          <t>Business Operations</t>
        </is>
      </c>
      <c r="G1573" t="inlineStr">
        <is>
          <t>Vendor</t>
        </is>
      </c>
      <c r="H1573" t="inlineStr">
        <is>
          <t>Business &gt; Business Operations &gt; Quick Add &gt; Vendor</t>
        </is>
      </c>
      <c r="I1573" s="18" t="n">
        <v>129393.08</v>
      </c>
      <c r="J1573" t="inlineStr">
        <is>
          <t>Created MTR-IOS-1572 and correlation note visible in Activity/Pulse</t>
        </is>
      </c>
      <c r="K1573" t="inlineStr">
        <is>
          <t>NOT_RUN</t>
        </is>
      </c>
      <c r="P1573" t="n">
        <v>0</v>
      </c>
      <c r="Q1573" t="n">
        <v>1572</v>
      </c>
    </row>
    <row r="1574">
      <c r="A1574" t="n">
        <v>1573</v>
      </c>
      <c r="B1574" t="inlineStr">
        <is>
          <t>MTR-IOS-1573</t>
        </is>
      </c>
      <c r="C1574" t="inlineStr">
        <is>
          <t>iPhone</t>
        </is>
      </c>
      <c r="D1574" t="inlineStr">
        <is>
          <t>Personal</t>
        </is>
      </c>
      <c r="E1574" t="inlineStr">
        <is>
          <t>Personal</t>
        </is>
      </c>
      <c r="F1574" t="inlineStr">
        <is>
          <t>Relationships</t>
        </is>
      </c>
      <c r="G1574" t="inlineStr">
        <is>
          <t>Gifts</t>
        </is>
      </c>
      <c r="H1574" t="inlineStr">
        <is>
          <t>Personal &gt; Relationships &gt; Quick Add &gt; Gifts</t>
        </is>
      </c>
      <c r="I1574" s="18" t="n">
        <v>10386.39</v>
      </c>
      <c r="J1574" t="inlineStr">
        <is>
          <t>Created MTR-IOS-1573 and correlation note visible in Activity/Pulse</t>
        </is>
      </c>
      <c r="K1574" t="inlineStr">
        <is>
          <t>NOT_RUN</t>
        </is>
      </c>
      <c r="P1574" t="n">
        <v>0</v>
      </c>
      <c r="Q1574" t="n">
        <v>1573</v>
      </c>
    </row>
    <row r="1575">
      <c r="A1575" t="n">
        <v>1574</v>
      </c>
      <c r="B1575" t="inlineStr">
        <is>
          <t>MTR-IOS-1574</t>
        </is>
      </c>
      <c r="C1575" t="inlineStr">
        <is>
          <t>iPhone</t>
        </is>
      </c>
      <c r="D1575" t="inlineStr">
        <is>
          <t>Group</t>
        </is>
      </c>
      <c r="E1575" t="inlineStr">
        <is>
          <t>Shared Experience</t>
        </is>
      </c>
      <c r="F1575" t="inlineStr">
        <is>
          <t>Trip</t>
        </is>
      </c>
      <c r="G1575" t="inlineStr">
        <is>
          <t>Food</t>
        </is>
      </c>
      <c r="H1575" t="inlineStr">
        <is>
          <t>Group &gt; Trip &gt; Quick Add &gt; Food</t>
        </is>
      </c>
      <c r="I1575" s="18" t="n">
        <v>18379.27</v>
      </c>
      <c r="J1575" t="inlineStr">
        <is>
          <t>Created MTR-IOS-1574 and correlation note visible in Activity/Pulse</t>
        </is>
      </c>
      <c r="K1575" t="inlineStr">
        <is>
          <t>NOT_RUN</t>
        </is>
      </c>
      <c r="P1575" t="n">
        <v>0</v>
      </c>
      <c r="Q1575" t="n">
        <v>1574</v>
      </c>
    </row>
    <row r="1576">
      <c r="A1576" t="n">
        <v>1575</v>
      </c>
      <c r="B1576" t="inlineStr">
        <is>
          <t>MTR-IOS-1575</t>
        </is>
      </c>
      <c r="C1576" t="inlineStr">
        <is>
          <t>iPhone</t>
        </is>
      </c>
      <c r="D1576" t="inlineStr">
        <is>
          <t>Business</t>
        </is>
      </c>
      <c r="E1576" t="inlineStr">
        <is>
          <t>Business</t>
        </is>
      </c>
      <c r="F1576" t="inlineStr">
        <is>
          <t>Business Operations</t>
        </is>
      </c>
      <c r="G1576" t="inlineStr">
        <is>
          <t>Tax</t>
        </is>
      </c>
      <c r="H1576" t="inlineStr">
        <is>
          <t>Business &gt; Business Operations &gt; Quick Add &gt; Tax</t>
        </is>
      </c>
      <c r="I1576" s="18" t="n">
        <v>140539.02</v>
      </c>
      <c r="J1576" t="inlineStr">
        <is>
          <t>Created MTR-IOS-1575 and correlation note visible in Activity/Pulse</t>
        </is>
      </c>
      <c r="K1576" t="inlineStr">
        <is>
          <t>NOT_RUN</t>
        </is>
      </c>
      <c r="P1576" t="n">
        <v>0</v>
      </c>
      <c r="Q1576" t="n">
        <v>1575</v>
      </c>
    </row>
    <row r="1577">
      <c r="A1577" t="n">
        <v>1576</v>
      </c>
      <c r="B1577" t="inlineStr">
        <is>
          <t>MTR-IOS-1576</t>
        </is>
      </c>
      <c r="C1577" t="inlineStr">
        <is>
          <t>iPhone</t>
        </is>
      </c>
      <c r="D1577" t="inlineStr">
        <is>
          <t>Personal</t>
        </is>
      </c>
      <c r="E1577" t="inlineStr">
        <is>
          <t>Personal</t>
        </is>
      </c>
      <c r="F1577" t="inlineStr">
        <is>
          <t>Relationships</t>
        </is>
      </c>
      <c r="G1577" t="inlineStr">
        <is>
          <t>Dates</t>
        </is>
      </c>
      <c r="H1577" t="inlineStr">
        <is>
          <t>Personal &gt; Relationships &gt; Quick Add &gt; Dates</t>
        </is>
      </c>
      <c r="I1577" s="18" t="n">
        <v>12516.37</v>
      </c>
      <c r="J1577" t="inlineStr">
        <is>
          <t>Created MTR-IOS-1576 and correlation note visible in Activity/Pulse</t>
        </is>
      </c>
      <c r="K1577" t="inlineStr">
        <is>
          <t>NOT_RUN</t>
        </is>
      </c>
      <c r="P1577" t="n">
        <v>0</v>
      </c>
      <c r="Q1577" t="n">
        <v>1576</v>
      </c>
    </row>
    <row r="1578">
      <c r="A1578" t="n">
        <v>1577</v>
      </c>
      <c r="B1578" t="inlineStr">
        <is>
          <t>MTR-IOS-1577</t>
        </is>
      </c>
      <c r="C1578" t="inlineStr">
        <is>
          <t>iPhone</t>
        </is>
      </c>
      <c r="D1578" t="inlineStr">
        <is>
          <t>Group</t>
        </is>
      </c>
      <c r="E1578" t="inlineStr">
        <is>
          <t>Shared Experience</t>
        </is>
      </c>
      <c r="F1578" t="inlineStr">
        <is>
          <t>Trip</t>
        </is>
      </c>
      <c r="G1578" t="inlineStr">
        <is>
          <t>Local Transport</t>
        </is>
      </c>
      <c r="H1578" t="inlineStr">
        <is>
          <t>Group &gt; Trip &gt; Quick Add &gt; Local Transport</t>
        </is>
      </c>
      <c r="I1578" s="18" t="n">
        <v>16331.59</v>
      </c>
      <c r="J1578" t="inlineStr">
        <is>
          <t>Created MTR-IOS-1577 and correlation note visible in Activity/Pulse</t>
        </is>
      </c>
      <c r="K1578" t="inlineStr">
        <is>
          <t>NOT_RUN</t>
        </is>
      </c>
      <c r="P1578" t="n">
        <v>0</v>
      </c>
      <c r="Q1578" t="n">
        <v>1577</v>
      </c>
    </row>
    <row r="1579">
      <c r="A1579" t="n">
        <v>1578</v>
      </c>
      <c r="B1579" t="inlineStr">
        <is>
          <t>MTR-IOS-1578</t>
        </is>
      </c>
      <c r="C1579" t="inlineStr">
        <is>
          <t>iPhone</t>
        </is>
      </c>
      <c r="D1579" t="inlineStr">
        <is>
          <t>Business</t>
        </is>
      </c>
      <c r="E1579" t="inlineStr">
        <is>
          <t>Business</t>
        </is>
      </c>
      <c r="F1579" t="inlineStr">
        <is>
          <t>Team Operations</t>
        </is>
      </c>
      <c r="G1579" t="inlineStr">
        <is>
          <t>Payroll</t>
        </is>
      </c>
      <c r="H1579" t="inlineStr">
        <is>
          <t>Business &gt; Team Operations &gt; Quick Add &gt; Payroll</t>
        </is>
      </c>
      <c r="I1579" s="18" t="n">
        <v>164177.45</v>
      </c>
      <c r="J1579" t="inlineStr">
        <is>
          <t>Created MTR-IOS-1578 and correlation note visible in Activity/Pulse</t>
        </is>
      </c>
      <c r="K1579" t="inlineStr">
        <is>
          <t>NOT_RUN</t>
        </is>
      </c>
      <c r="P1579" t="n">
        <v>0</v>
      </c>
      <c r="Q1579" t="n">
        <v>1578</v>
      </c>
    </row>
    <row r="1580">
      <c r="A1580" t="n">
        <v>1579</v>
      </c>
      <c r="B1580" t="inlineStr">
        <is>
          <t>MTR-IOS-1579</t>
        </is>
      </c>
      <c r="C1580" t="inlineStr">
        <is>
          <t>iPhone</t>
        </is>
      </c>
      <c r="D1580" t="inlineStr">
        <is>
          <t>Personal</t>
        </is>
      </c>
      <c r="E1580" t="inlineStr">
        <is>
          <t>Personal</t>
        </is>
      </c>
      <c r="F1580" t="inlineStr">
        <is>
          <t>Relationships</t>
        </is>
      </c>
      <c r="G1580" t="inlineStr">
        <is>
          <t>Family</t>
        </is>
      </c>
      <c r="H1580" t="inlineStr">
        <is>
          <t>Personal &gt; Relationships &gt; Quick Add &gt; Family</t>
        </is>
      </c>
      <c r="I1580" s="18" t="n">
        <v>14467.93</v>
      </c>
      <c r="J1580" t="inlineStr">
        <is>
          <t>Created MTR-IOS-1579 and correlation note visible in Activity/Pulse</t>
        </is>
      </c>
      <c r="K1580" t="inlineStr">
        <is>
          <t>NOT_RUN</t>
        </is>
      </c>
      <c r="P1580" t="n">
        <v>0</v>
      </c>
      <c r="Q1580" t="n">
        <v>1579</v>
      </c>
    </row>
    <row r="1581">
      <c r="A1581" t="n">
        <v>1580</v>
      </c>
      <c r="B1581" t="inlineStr">
        <is>
          <t>MTR-IOS-1580</t>
        </is>
      </c>
      <c r="C1581" t="inlineStr">
        <is>
          <t>iPhone</t>
        </is>
      </c>
      <c r="D1581" t="inlineStr">
        <is>
          <t>Group</t>
        </is>
      </c>
      <c r="E1581" t="inlineStr">
        <is>
          <t>Shared Experience</t>
        </is>
      </c>
      <c r="F1581" t="inlineStr">
        <is>
          <t>Trip</t>
        </is>
      </c>
      <c r="G1581" t="inlineStr">
        <is>
          <t>Activities</t>
        </is>
      </c>
      <c r="H1581" t="inlineStr">
        <is>
          <t>Group &gt; Trip &gt; Quick Add &gt; Activities</t>
        </is>
      </c>
      <c r="I1581" s="18" t="n">
        <v>2452.23</v>
      </c>
      <c r="J1581" t="inlineStr">
        <is>
          <t>Created MTR-IOS-1580 and correlation note visible in Activity/Pulse</t>
        </is>
      </c>
      <c r="K1581" t="inlineStr">
        <is>
          <t>NOT_RUN</t>
        </is>
      </c>
      <c r="P1581" t="n">
        <v>0</v>
      </c>
      <c r="Q1581" t="n">
        <v>1580</v>
      </c>
    </row>
    <row r="1582">
      <c r="A1582" t="n">
        <v>1581</v>
      </c>
      <c r="B1582" t="inlineStr">
        <is>
          <t>MTR-IOS-1581</t>
        </is>
      </c>
      <c r="C1582" t="inlineStr">
        <is>
          <t>iPhone</t>
        </is>
      </c>
      <c r="D1582" t="inlineStr">
        <is>
          <t>Business</t>
        </is>
      </c>
      <c r="E1582" t="inlineStr">
        <is>
          <t>Business</t>
        </is>
      </c>
      <c r="F1582" t="inlineStr">
        <is>
          <t>Team Operations</t>
        </is>
      </c>
      <c r="G1582" t="inlineStr">
        <is>
          <t>Contractor</t>
        </is>
      </c>
      <c r="H1582" t="inlineStr">
        <is>
          <t>Business &gt; Team Operations &gt; Quick Add &gt; Contractor</t>
        </is>
      </c>
      <c r="I1582" s="18" t="n">
        <v>96399.27</v>
      </c>
      <c r="J1582" t="inlineStr">
        <is>
          <t>Created MTR-IOS-1581 and correlation note visible in Activity/Pulse</t>
        </is>
      </c>
      <c r="K1582" t="inlineStr">
        <is>
          <t>NOT_RUN</t>
        </is>
      </c>
      <c r="P1582" t="n">
        <v>0</v>
      </c>
      <c r="Q1582" t="n">
        <v>1581</v>
      </c>
    </row>
    <row r="1583">
      <c r="A1583" t="n">
        <v>1582</v>
      </c>
      <c r="B1583" t="inlineStr">
        <is>
          <t>MTR-IOS-1582</t>
        </is>
      </c>
      <c r="C1583" t="inlineStr">
        <is>
          <t>iPhone</t>
        </is>
      </c>
      <c r="D1583" t="inlineStr">
        <is>
          <t>Personal</t>
        </is>
      </c>
      <c r="E1583" t="inlineStr">
        <is>
          <t>Personal</t>
        </is>
      </c>
      <c r="F1583" t="inlineStr">
        <is>
          <t>Relationships</t>
        </is>
      </c>
      <c r="G1583" t="inlineStr">
        <is>
          <t>Friends</t>
        </is>
      </c>
      <c r="H1583" t="inlineStr">
        <is>
          <t>Personal &gt; Relationships &gt; Quick Add &gt; Friends</t>
        </is>
      </c>
      <c r="I1583" s="18" t="n">
        <v>2220.62</v>
      </c>
      <c r="J1583" t="inlineStr">
        <is>
          <t>Created MTR-IOS-1582 and correlation note visible in Activity/Pulse</t>
        </is>
      </c>
      <c r="K1583" t="inlineStr">
        <is>
          <t>NOT_RUN</t>
        </is>
      </c>
      <c r="P1583" t="n">
        <v>0</v>
      </c>
      <c r="Q1583" t="n">
        <v>1582</v>
      </c>
    </row>
    <row r="1584">
      <c r="A1584" t="n">
        <v>1583</v>
      </c>
      <c r="B1584" t="inlineStr">
        <is>
          <t>MTR-IOS-1583</t>
        </is>
      </c>
      <c r="C1584" t="inlineStr">
        <is>
          <t>iPhone</t>
        </is>
      </c>
      <c r="D1584" t="inlineStr">
        <is>
          <t>Group</t>
        </is>
      </c>
      <c r="E1584" t="inlineStr">
        <is>
          <t>Shared Experience</t>
        </is>
      </c>
      <c r="F1584" t="inlineStr">
        <is>
          <t>Trip</t>
        </is>
      </c>
      <c r="G1584" t="inlineStr">
        <is>
          <t>Shopping</t>
        </is>
      </c>
      <c r="H1584" t="inlineStr">
        <is>
          <t>Group &gt; Trip &gt; Quick Add &gt; Shopping</t>
        </is>
      </c>
      <c r="I1584" s="18" t="n">
        <v>13455.56</v>
      </c>
      <c r="J1584" t="inlineStr">
        <is>
          <t>Created MTR-IOS-1583 and correlation note visible in Activity/Pulse</t>
        </is>
      </c>
      <c r="K1584" t="inlineStr">
        <is>
          <t>NOT_RUN</t>
        </is>
      </c>
      <c r="P1584" t="n">
        <v>0</v>
      </c>
      <c r="Q1584" t="n">
        <v>1583</v>
      </c>
    </row>
    <row r="1585">
      <c r="A1585" t="n">
        <v>1584</v>
      </c>
      <c r="B1585" t="inlineStr">
        <is>
          <t>MTR-IOS-1584</t>
        </is>
      </c>
      <c r="C1585" t="inlineStr">
        <is>
          <t>iPhone</t>
        </is>
      </c>
      <c r="D1585" t="inlineStr">
        <is>
          <t>Business</t>
        </is>
      </c>
      <c r="E1585" t="inlineStr">
        <is>
          <t>Business</t>
        </is>
      </c>
      <c r="F1585" t="inlineStr">
        <is>
          <t>Team Operations</t>
        </is>
      </c>
      <c r="G1585" t="inlineStr">
        <is>
          <t>Hiring</t>
        </is>
      </c>
      <c r="H1585" t="inlineStr">
        <is>
          <t>Business &gt; Team Operations &gt; Quick Add &gt; Hiring</t>
        </is>
      </c>
      <c r="I1585" s="18" t="n">
        <v>8891.9</v>
      </c>
      <c r="J1585" t="inlineStr">
        <is>
          <t>Created MTR-IOS-1584 and correlation note visible in Activity/Pulse</t>
        </is>
      </c>
      <c r="K1585" t="inlineStr">
        <is>
          <t>NOT_RUN</t>
        </is>
      </c>
      <c r="P1585" t="n">
        <v>0</v>
      </c>
      <c r="Q1585" t="n">
        <v>1584</v>
      </c>
    </row>
    <row r="1586">
      <c r="A1586" t="n">
        <v>1585</v>
      </c>
      <c r="B1586" t="inlineStr">
        <is>
          <t>MTR-IOS-1585</t>
        </is>
      </c>
      <c r="C1586" t="inlineStr">
        <is>
          <t>iPhone</t>
        </is>
      </c>
      <c r="D1586" t="inlineStr">
        <is>
          <t>Personal</t>
        </is>
      </c>
      <c r="E1586" t="inlineStr">
        <is>
          <t>Personal</t>
        </is>
      </c>
      <c r="F1586" t="inlineStr">
        <is>
          <t>Relationships</t>
        </is>
      </c>
      <c r="G1586" t="inlineStr">
        <is>
          <t>Celebrations</t>
        </is>
      </c>
      <c r="H1586" t="inlineStr">
        <is>
          <t>Personal &gt; Relationships &gt; Quick Add &gt; Celebrations</t>
        </is>
      </c>
      <c r="I1586" s="18" t="n">
        <v>17621.68</v>
      </c>
      <c r="J1586" t="inlineStr">
        <is>
          <t>Created MTR-IOS-1585 and correlation note visible in Activity/Pulse</t>
        </is>
      </c>
      <c r="K1586" t="inlineStr">
        <is>
          <t>NOT_RUN</t>
        </is>
      </c>
      <c r="P1586" t="n">
        <v>0</v>
      </c>
      <c r="Q1586" t="n">
        <v>1585</v>
      </c>
    </row>
    <row r="1587">
      <c r="A1587" t="n">
        <v>1586</v>
      </c>
      <c r="B1587" t="inlineStr">
        <is>
          <t>MTR-IOS-1586</t>
        </is>
      </c>
      <c r="C1587" t="inlineStr">
        <is>
          <t>iPhone</t>
        </is>
      </c>
      <c r="D1587" t="inlineStr">
        <is>
          <t>Group</t>
        </is>
      </c>
      <c r="E1587" t="inlineStr">
        <is>
          <t>Shared Experience</t>
        </is>
      </c>
      <c r="F1587" t="inlineStr">
        <is>
          <t>Trip</t>
        </is>
      </c>
      <c r="G1587" t="inlineStr">
        <is>
          <t>Other</t>
        </is>
      </c>
      <c r="H1587" t="inlineStr">
        <is>
          <t>Group &gt; Trip &gt; Quick Add &gt; Other</t>
        </is>
      </c>
      <c r="I1587" s="18" t="n">
        <v>21798.18</v>
      </c>
      <c r="J1587" t="inlineStr">
        <is>
          <t>Created MTR-IOS-1586 and correlation note visible in Activity/Pulse</t>
        </is>
      </c>
      <c r="K1587" t="inlineStr">
        <is>
          <t>NOT_RUN</t>
        </is>
      </c>
      <c r="P1587" t="n">
        <v>0</v>
      </c>
      <c r="Q1587" t="n">
        <v>1586</v>
      </c>
    </row>
    <row r="1588">
      <c r="A1588" t="n">
        <v>1587</v>
      </c>
      <c r="B1588" t="inlineStr">
        <is>
          <t>MTR-IOS-1587</t>
        </is>
      </c>
      <c r="C1588" t="inlineStr">
        <is>
          <t>iPhone</t>
        </is>
      </c>
      <c r="D1588" t="inlineStr">
        <is>
          <t>Business</t>
        </is>
      </c>
      <c r="E1588" t="inlineStr">
        <is>
          <t>Business</t>
        </is>
      </c>
      <c r="F1588" t="inlineStr">
        <is>
          <t>Team Operations</t>
        </is>
      </c>
      <c r="G1588" t="inlineStr">
        <is>
          <t>Team Meal</t>
        </is>
      </c>
      <c r="H1588" t="inlineStr">
        <is>
          <t>Business &gt; Team Operations &gt; Quick Add &gt; Team Meal</t>
        </is>
      </c>
      <c r="I1588" s="18" t="n">
        <v>78137.03999999999</v>
      </c>
      <c r="J1588" t="inlineStr">
        <is>
          <t>Created MTR-IOS-1587 and correlation note visible in Activity/Pulse</t>
        </is>
      </c>
      <c r="K1588" t="inlineStr">
        <is>
          <t>NOT_RUN</t>
        </is>
      </c>
      <c r="P1588" t="n">
        <v>0</v>
      </c>
      <c r="Q1588" t="n">
        <v>1587</v>
      </c>
    </row>
    <row r="1589">
      <c r="A1589" t="n">
        <v>1588</v>
      </c>
      <c r="B1589" t="inlineStr">
        <is>
          <t>MTR-IOS-1588</t>
        </is>
      </c>
      <c r="C1589" t="inlineStr">
        <is>
          <t>iPhone</t>
        </is>
      </c>
      <c r="D1589" t="inlineStr">
        <is>
          <t>Personal</t>
        </is>
      </c>
      <c r="E1589" t="inlineStr">
        <is>
          <t>Personal</t>
        </is>
      </c>
      <c r="F1589" t="inlineStr">
        <is>
          <t>Life Operations</t>
        </is>
      </c>
      <c r="G1589" t="inlineStr">
        <is>
          <t>Groceries</t>
        </is>
      </c>
      <c r="H1589" t="inlineStr">
        <is>
          <t>Personal &gt; Life Operations &gt; Quick Add &gt; Groceries</t>
        </is>
      </c>
      <c r="I1589" s="18" t="n">
        <v>1882.85</v>
      </c>
      <c r="J1589" t="inlineStr">
        <is>
          <t>Created MTR-IOS-1588 and correlation note visible in Activity/Pulse</t>
        </is>
      </c>
      <c r="K1589" t="inlineStr">
        <is>
          <t>NOT_RUN</t>
        </is>
      </c>
      <c r="P1589" t="n">
        <v>0</v>
      </c>
      <c r="Q1589" t="n">
        <v>1588</v>
      </c>
    </row>
    <row r="1590">
      <c r="A1590" t="n">
        <v>1589</v>
      </c>
      <c r="B1590" t="inlineStr">
        <is>
          <t>MTR-IOS-1589</t>
        </is>
      </c>
      <c r="C1590" t="inlineStr">
        <is>
          <t>iPhone</t>
        </is>
      </c>
      <c r="D1590" t="inlineStr">
        <is>
          <t>Group</t>
        </is>
      </c>
      <c r="E1590" t="inlineStr">
        <is>
          <t>Shared Experience</t>
        </is>
      </c>
      <c r="F1590" t="inlineStr">
        <is>
          <t>Wedding</t>
        </is>
      </c>
      <c r="G1590" t="inlineStr">
        <is>
          <t>Venue</t>
        </is>
      </c>
      <c r="H1590" t="inlineStr">
        <is>
          <t>Group &gt; Wedding &gt; Quick Add &gt; Venue</t>
        </is>
      </c>
      <c r="I1590" s="18" t="n">
        <v>4962.56</v>
      </c>
      <c r="J1590" t="inlineStr">
        <is>
          <t>Created MTR-IOS-1589 and correlation note visible in Activity/Pulse</t>
        </is>
      </c>
      <c r="K1590" t="inlineStr">
        <is>
          <t>NOT_RUN</t>
        </is>
      </c>
      <c r="P1590" t="n">
        <v>0</v>
      </c>
      <c r="Q1590" t="n">
        <v>1589</v>
      </c>
    </row>
    <row r="1591">
      <c r="A1591" t="n">
        <v>1590</v>
      </c>
      <c r="B1591" t="inlineStr">
        <is>
          <t>MTR-IOS-1590</t>
        </is>
      </c>
      <c r="C1591" t="inlineStr">
        <is>
          <t>iPhone</t>
        </is>
      </c>
      <c r="D1591" t="inlineStr">
        <is>
          <t>Business</t>
        </is>
      </c>
      <c r="E1591" t="inlineStr">
        <is>
          <t>Business</t>
        </is>
      </c>
      <c r="F1591" t="inlineStr">
        <is>
          <t>Team Operations</t>
        </is>
      </c>
      <c r="G1591" t="inlineStr">
        <is>
          <t>Travel</t>
        </is>
      </c>
      <c r="H1591" t="inlineStr">
        <is>
          <t>Business &gt; Team Operations &gt; Quick Add &gt; Travel</t>
        </is>
      </c>
      <c r="I1591" s="18" t="n">
        <v>12129.73</v>
      </c>
      <c r="J1591" t="inlineStr">
        <is>
          <t>Created MTR-IOS-1590 and correlation note visible in Activity/Pulse</t>
        </is>
      </c>
      <c r="K1591" t="inlineStr">
        <is>
          <t>NOT_RUN</t>
        </is>
      </c>
      <c r="P1591" t="n">
        <v>0</v>
      </c>
      <c r="Q1591" t="n">
        <v>1590</v>
      </c>
    </row>
    <row r="1592">
      <c r="A1592" t="n">
        <v>1591</v>
      </c>
      <c r="B1592" t="inlineStr">
        <is>
          <t>MTR-IOS-1591</t>
        </is>
      </c>
      <c r="C1592" t="inlineStr">
        <is>
          <t>iPhone</t>
        </is>
      </c>
      <c r="D1592" t="inlineStr">
        <is>
          <t>Personal</t>
        </is>
      </c>
      <c r="E1592" t="inlineStr">
        <is>
          <t>Personal</t>
        </is>
      </c>
      <c r="F1592" t="inlineStr">
        <is>
          <t>Life Operations</t>
        </is>
      </c>
      <c r="G1592" t="inlineStr">
        <is>
          <t>Rent</t>
        </is>
      </c>
      <c r="H1592" t="inlineStr">
        <is>
          <t>Personal &gt; Life Operations &gt; Quick Add &gt; Rent</t>
        </is>
      </c>
      <c r="I1592" s="18" t="n">
        <v>1</v>
      </c>
      <c r="J1592" t="inlineStr">
        <is>
          <t>Created MTR-IOS-1591 and correlation note visible in Activity/Pulse</t>
        </is>
      </c>
      <c r="K1592" t="inlineStr">
        <is>
          <t>NOT_RUN</t>
        </is>
      </c>
      <c r="P1592" t="n">
        <v>0</v>
      </c>
      <c r="Q1592" t="n">
        <v>1591</v>
      </c>
    </row>
    <row r="1593">
      <c r="A1593" t="n">
        <v>1592</v>
      </c>
      <c r="B1593" t="inlineStr">
        <is>
          <t>MTR-IOS-1592</t>
        </is>
      </c>
      <c r="C1593" t="inlineStr">
        <is>
          <t>iPhone</t>
        </is>
      </c>
      <c r="D1593" t="inlineStr">
        <is>
          <t>Group</t>
        </is>
      </c>
      <c r="E1593" t="inlineStr">
        <is>
          <t>Shared Experience</t>
        </is>
      </c>
      <c r="F1593" t="inlineStr">
        <is>
          <t>Wedding</t>
        </is>
      </c>
      <c r="G1593" t="inlineStr">
        <is>
          <t>Catering</t>
        </is>
      </c>
      <c r="H1593" t="inlineStr">
        <is>
          <t>Group &gt; Wedding &gt; Quick Add &gt; Catering</t>
        </is>
      </c>
      <c r="I1593" s="18" t="n">
        <v>23185.18</v>
      </c>
      <c r="J1593" t="inlineStr">
        <is>
          <t>Created MTR-IOS-1592 and correlation note visible in Activity/Pulse</t>
        </is>
      </c>
      <c r="K1593" t="inlineStr">
        <is>
          <t>NOT_RUN</t>
        </is>
      </c>
      <c r="P1593" t="n">
        <v>0</v>
      </c>
      <c r="Q1593" t="n">
        <v>1592</v>
      </c>
    </row>
    <row r="1594">
      <c r="A1594" t="n">
        <v>1593</v>
      </c>
      <c r="B1594" t="inlineStr">
        <is>
          <t>MTR-IOS-1593</t>
        </is>
      </c>
      <c r="C1594" t="inlineStr">
        <is>
          <t>iPhone</t>
        </is>
      </c>
      <c r="D1594" t="inlineStr">
        <is>
          <t>Business</t>
        </is>
      </c>
      <c r="E1594" t="inlineStr">
        <is>
          <t>Business</t>
        </is>
      </c>
      <c r="F1594" t="inlineStr">
        <is>
          <t>Team Operations</t>
        </is>
      </c>
      <c r="G1594" t="inlineStr">
        <is>
          <t>Training</t>
        </is>
      </c>
      <c r="H1594" t="inlineStr">
        <is>
          <t>Business &gt; Team Operations &gt; Quick Add &gt; Training</t>
        </is>
      </c>
      <c r="I1594" s="18" t="n">
        <v>133076.47</v>
      </c>
      <c r="J1594" t="inlineStr">
        <is>
          <t>Created MTR-IOS-1593 and correlation note visible in Activity/Pulse</t>
        </is>
      </c>
      <c r="K1594" t="inlineStr">
        <is>
          <t>NOT_RUN</t>
        </is>
      </c>
      <c r="P1594" t="n">
        <v>0</v>
      </c>
      <c r="Q1594" t="n">
        <v>1593</v>
      </c>
    </row>
    <row r="1595">
      <c r="A1595" t="n">
        <v>1594</v>
      </c>
      <c r="B1595" t="inlineStr">
        <is>
          <t>MTR-IOS-1594</t>
        </is>
      </c>
      <c r="C1595" t="inlineStr">
        <is>
          <t>iPhone</t>
        </is>
      </c>
      <c r="D1595" t="inlineStr">
        <is>
          <t>Personal</t>
        </is>
      </c>
      <c r="E1595" t="inlineStr">
        <is>
          <t>Personal</t>
        </is>
      </c>
      <c r="F1595" t="inlineStr">
        <is>
          <t>Life Operations</t>
        </is>
      </c>
      <c r="G1595" t="inlineStr">
        <is>
          <t>Bills</t>
        </is>
      </c>
      <c r="H1595" t="inlineStr">
        <is>
          <t>Personal &gt; Life Operations &gt; Quick Add &gt; Bills</t>
        </is>
      </c>
      <c r="I1595" s="18" t="n">
        <v>10936.61</v>
      </c>
      <c r="J1595" t="inlineStr">
        <is>
          <t>Created MTR-IOS-1594 and correlation note visible in Activity/Pulse</t>
        </is>
      </c>
      <c r="K1595" t="inlineStr">
        <is>
          <t>NOT_RUN</t>
        </is>
      </c>
      <c r="P1595" t="n">
        <v>0</v>
      </c>
      <c r="Q1595" t="n">
        <v>1594</v>
      </c>
    </row>
    <row r="1596">
      <c r="A1596" t="n">
        <v>1595</v>
      </c>
      <c r="B1596" t="inlineStr">
        <is>
          <t>MTR-IOS-1595</t>
        </is>
      </c>
      <c r="C1596" t="inlineStr">
        <is>
          <t>iPhone</t>
        </is>
      </c>
      <c r="D1596" t="inlineStr">
        <is>
          <t>Group</t>
        </is>
      </c>
      <c r="E1596" t="inlineStr">
        <is>
          <t>Shared Experience</t>
        </is>
      </c>
      <c r="F1596" t="inlineStr">
        <is>
          <t>Wedding</t>
        </is>
      </c>
      <c r="G1596" t="inlineStr">
        <is>
          <t>Decor</t>
        </is>
      </c>
      <c r="H1596" t="inlineStr">
        <is>
          <t>Group &gt; Wedding &gt; Quick Add &gt; Decor</t>
        </is>
      </c>
      <c r="I1596" s="18" t="n">
        <v>13200.09</v>
      </c>
      <c r="J1596" t="inlineStr">
        <is>
          <t>Created MTR-IOS-1595 and correlation note visible in Activity/Pulse</t>
        </is>
      </c>
      <c r="K1596" t="inlineStr">
        <is>
          <t>NOT_RUN</t>
        </is>
      </c>
      <c r="P1596" t="n">
        <v>0</v>
      </c>
      <c r="Q1596" t="n">
        <v>1595</v>
      </c>
    </row>
    <row r="1597">
      <c r="A1597" t="n">
        <v>1596</v>
      </c>
      <c r="B1597" t="inlineStr">
        <is>
          <t>MTR-IOS-1596</t>
        </is>
      </c>
      <c r="C1597" t="inlineStr">
        <is>
          <t>iPhone</t>
        </is>
      </c>
      <c r="D1597" t="inlineStr">
        <is>
          <t>Business</t>
        </is>
      </c>
      <c r="E1597" t="inlineStr">
        <is>
          <t>Business</t>
        </is>
      </c>
      <c r="F1597" t="inlineStr">
        <is>
          <t>Team Operations</t>
        </is>
      </c>
      <c r="G1597" t="inlineStr">
        <is>
          <t>Tools</t>
        </is>
      </c>
      <c r="H1597" t="inlineStr">
        <is>
          <t>Business &gt; Team Operations &gt; Quick Add &gt; Tools</t>
        </is>
      </c>
      <c r="I1597" s="18" t="n">
        <v>159282.53</v>
      </c>
      <c r="J1597" t="inlineStr">
        <is>
          <t>Created MTR-IOS-1596 and correlation note visible in Activity/Pulse</t>
        </is>
      </c>
      <c r="K1597" t="inlineStr">
        <is>
          <t>NOT_RUN</t>
        </is>
      </c>
      <c r="P1597" t="n">
        <v>0</v>
      </c>
      <c r="Q1597" t="n">
        <v>1596</v>
      </c>
    </row>
    <row r="1598">
      <c r="A1598" t="n">
        <v>1597</v>
      </c>
      <c r="B1598" t="inlineStr">
        <is>
          <t>MTR-IOS-1597</t>
        </is>
      </c>
      <c r="C1598" t="inlineStr">
        <is>
          <t>iPhone</t>
        </is>
      </c>
      <c r="D1598" t="inlineStr">
        <is>
          <t>Personal</t>
        </is>
      </c>
      <c r="E1598" t="inlineStr">
        <is>
          <t>Personal</t>
        </is>
      </c>
      <c r="F1598" t="inlineStr">
        <is>
          <t>Life Operations</t>
        </is>
      </c>
      <c r="G1598" t="inlineStr">
        <is>
          <t>Transport</t>
        </is>
      </c>
      <c r="H1598" t="inlineStr">
        <is>
          <t>Personal &gt; Life Operations &gt; Quick Add &gt; Transport</t>
        </is>
      </c>
      <c r="I1598" s="18" t="n">
        <v>4892.55</v>
      </c>
      <c r="J1598" t="inlineStr">
        <is>
          <t>Created MTR-IOS-1597 and correlation note visible in Activity/Pulse</t>
        </is>
      </c>
      <c r="K1598" t="inlineStr">
        <is>
          <t>NOT_RUN</t>
        </is>
      </c>
      <c r="P1598" t="n">
        <v>0</v>
      </c>
      <c r="Q1598" t="n">
        <v>1597</v>
      </c>
    </row>
    <row r="1599">
      <c r="A1599" t="n">
        <v>1598</v>
      </c>
      <c r="B1599" t="inlineStr">
        <is>
          <t>MTR-IOS-1598</t>
        </is>
      </c>
      <c r="C1599" t="inlineStr">
        <is>
          <t>iPhone</t>
        </is>
      </c>
      <c r="D1599" t="inlineStr">
        <is>
          <t>Group</t>
        </is>
      </c>
      <c r="E1599" t="inlineStr">
        <is>
          <t>Shared Experience</t>
        </is>
      </c>
      <c r="F1599" t="inlineStr">
        <is>
          <t>Wedding</t>
        </is>
      </c>
      <c r="G1599" t="inlineStr">
        <is>
          <t>Travel</t>
        </is>
      </c>
      <c r="H1599" t="inlineStr">
        <is>
          <t>Group &gt; Wedding &gt; Quick Add &gt; Travel</t>
        </is>
      </c>
      <c r="I1599" s="18" t="n">
        <v>18487.85</v>
      </c>
      <c r="J1599" t="inlineStr">
        <is>
          <t>Created MTR-IOS-1598 and correlation note visible in Activity/Pulse</t>
        </is>
      </c>
      <c r="K1599" t="inlineStr">
        <is>
          <t>NOT_RUN</t>
        </is>
      </c>
      <c r="P1599" t="n">
        <v>0</v>
      </c>
      <c r="Q1599" t="n">
        <v>1598</v>
      </c>
    </row>
    <row r="1600">
      <c r="A1600" t="n">
        <v>1599</v>
      </c>
      <c r="B1600" t="inlineStr">
        <is>
          <t>MTR-IOS-1599</t>
        </is>
      </c>
      <c r="C1600" t="inlineStr">
        <is>
          <t>iPhone</t>
        </is>
      </c>
      <c r="D1600" t="inlineStr">
        <is>
          <t>Business</t>
        </is>
      </c>
      <c r="E1600" t="inlineStr">
        <is>
          <t>Business</t>
        </is>
      </c>
      <c r="F1600" t="inlineStr">
        <is>
          <t>Business Runway</t>
        </is>
      </c>
      <c r="G1600" t="inlineStr">
        <is>
          <t>Funding</t>
        </is>
      </c>
      <c r="H1600" t="inlineStr">
        <is>
          <t>Business &gt; Business Runway &gt; Quick Add &gt; Funding</t>
        </is>
      </c>
      <c r="I1600" s="18" t="n">
        <v>127627.36</v>
      </c>
      <c r="J1600" t="inlineStr">
        <is>
          <t>Created MTR-IOS-1599 and correlation note visible in Activity/Pulse</t>
        </is>
      </c>
      <c r="K1600" t="inlineStr">
        <is>
          <t>NOT_RUN</t>
        </is>
      </c>
      <c r="P1600" t="n">
        <v>0</v>
      </c>
      <c r="Q1600" t="n">
        <v>1599</v>
      </c>
    </row>
    <row r="1601">
      <c r="A1601" t="n">
        <v>1600</v>
      </c>
      <c r="B1601" t="inlineStr">
        <is>
          <t>MTR-IOS-1600</t>
        </is>
      </c>
      <c r="C1601" t="inlineStr">
        <is>
          <t>iPhone</t>
        </is>
      </c>
      <c r="D1601" t="inlineStr">
        <is>
          <t>Personal</t>
        </is>
      </c>
      <c r="E1601" t="inlineStr">
        <is>
          <t>Personal</t>
        </is>
      </c>
      <c r="F1601" t="inlineStr">
        <is>
          <t>Life Operations</t>
        </is>
      </c>
      <c r="G1601" t="inlineStr">
        <is>
          <t>Healthcare</t>
        </is>
      </c>
      <c r="H1601" t="inlineStr">
        <is>
          <t>Personal &gt; Life Operations &gt; Quick Add &gt; Healthcare</t>
        </is>
      </c>
      <c r="I1601" s="18" t="n">
        <v>5431.47</v>
      </c>
      <c r="J1601" t="inlineStr">
        <is>
          <t>Created MTR-IOS-1600 and correlation note visible in Activity/Pulse</t>
        </is>
      </c>
      <c r="K1601" t="inlineStr">
        <is>
          <t>NOT_RUN</t>
        </is>
      </c>
      <c r="P1601" t="n">
        <v>0</v>
      </c>
      <c r="Q1601" t="n">
        <v>1600</v>
      </c>
    </row>
    <row r="1602">
      <c r="A1602" t="n">
        <v>1601</v>
      </c>
      <c r="B1602" t="inlineStr">
        <is>
          <t>MTR-IOS-1601</t>
        </is>
      </c>
      <c r="C1602" t="inlineStr">
        <is>
          <t>iPhone</t>
        </is>
      </c>
      <c r="D1602" t="inlineStr">
        <is>
          <t>Group</t>
        </is>
      </c>
      <c r="E1602" t="inlineStr">
        <is>
          <t>Shared Experience</t>
        </is>
      </c>
      <c r="F1602" t="inlineStr">
        <is>
          <t>Wedding</t>
        </is>
      </c>
      <c r="G1602" t="inlineStr">
        <is>
          <t>Gifts</t>
        </is>
      </c>
      <c r="H1602" t="inlineStr">
        <is>
          <t>Group &gt; Wedding &gt; Quick Add &gt; Gifts</t>
        </is>
      </c>
      <c r="I1602" s="18" t="n">
        <v>14306.45</v>
      </c>
      <c r="J1602" t="inlineStr">
        <is>
          <t>Created MTR-IOS-1601 and correlation note visible in Activity/Pulse</t>
        </is>
      </c>
      <c r="K1602" t="inlineStr">
        <is>
          <t>NOT_RUN</t>
        </is>
      </c>
      <c r="P1602" t="n">
        <v>0</v>
      </c>
      <c r="Q1602" t="n">
        <v>1601</v>
      </c>
    </row>
    <row r="1603">
      <c r="A1603" t="n">
        <v>1602</v>
      </c>
      <c r="B1603" t="inlineStr">
        <is>
          <t>MTR-IOS-1602</t>
        </is>
      </c>
      <c r="C1603" t="inlineStr">
        <is>
          <t>iPhone</t>
        </is>
      </c>
      <c r="D1603" t="inlineStr">
        <is>
          <t>Business</t>
        </is>
      </c>
      <c r="E1603" t="inlineStr">
        <is>
          <t>Business</t>
        </is>
      </c>
      <c r="F1603" t="inlineStr">
        <is>
          <t>Business Runway</t>
        </is>
      </c>
      <c r="G1603" t="inlineStr">
        <is>
          <t>Revenue</t>
        </is>
      </c>
      <c r="H1603" t="inlineStr">
        <is>
          <t>Business &gt; Business Runway &gt; Quick Add &gt; Revenue</t>
        </is>
      </c>
      <c r="I1603" s="18" t="n">
        <v>78033.42</v>
      </c>
      <c r="J1603" t="inlineStr">
        <is>
          <t>Created MTR-IOS-1602 and correlation note visible in Activity/Pulse</t>
        </is>
      </c>
      <c r="K1603" t="inlineStr">
        <is>
          <t>NOT_RUN</t>
        </is>
      </c>
      <c r="P1603" t="n">
        <v>0</v>
      </c>
      <c r="Q1603" t="n">
        <v>1602</v>
      </c>
    </row>
    <row r="1604">
      <c r="A1604" t="n">
        <v>1603</v>
      </c>
      <c r="B1604" t="inlineStr">
        <is>
          <t>MTR-IOS-1603</t>
        </is>
      </c>
      <c r="C1604" t="inlineStr">
        <is>
          <t>iPhone</t>
        </is>
      </c>
      <c r="D1604" t="inlineStr">
        <is>
          <t>Personal</t>
        </is>
      </c>
      <c r="E1604" t="inlineStr">
        <is>
          <t>Personal</t>
        </is>
      </c>
      <c r="F1604" t="inlineStr">
        <is>
          <t>Life Operations</t>
        </is>
      </c>
      <c r="G1604" t="inlineStr">
        <is>
          <t>Subscriptions</t>
        </is>
      </c>
      <c r="H1604" t="inlineStr">
        <is>
          <t>Personal &gt; Life Operations &gt; Quick Add &gt; Subscriptions</t>
        </is>
      </c>
      <c r="I1604" s="18" t="n">
        <v>15012.81</v>
      </c>
      <c r="J1604" t="inlineStr">
        <is>
          <t>Created MTR-IOS-1603 and correlation note visible in Activity/Pulse</t>
        </is>
      </c>
      <c r="K1604" t="inlineStr">
        <is>
          <t>NOT_RUN</t>
        </is>
      </c>
      <c r="P1604" t="n">
        <v>0</v>
      </c>
      <c r="Q1604" t="n">
        <v>1603</v>
      </c>
    </row>
    <row r="1605">
      <c r="A1605" t="n">
        <v>1604</v>
      </c>
      <c r="B1605" t="inlineStr">
        <is>
          <t>MTR-IOS-1604</t>
        </is>
      </c>
      <c r="C1605" t="inlineStr">
        <is>
          <t>iPhone</t>
        </is>
      </c>
      <c r="D1605" t="inlineStr">
        <is>
          <t>Group</t>
        </is>
      </c>
      <c r="E1605" t="inlineStr">
        <is>
          <t>Shared Experience</t>
        </is>
      </c>
      <c r="F1605" t="inlineStr">
        <is>
          <t>Wedding</t>
        </is>
      </c>
      <c r="G1605" t="inlineStr">
        <is>
          <t>Photography</t>
        </is>
      </c>
      <c r="H1605" t="inlineStr">
        <is>
          <t>Group &gt; Wedding &gt; Quick Add &gt; Photography</t>
        </is>
      </c>
      <c r="I1605" s="18" t="n">
        <v>5433.13</v>
      </c>
      <c r="J1605" t="inlineStr">
        <is>
          <t>Created MTR-IOS-1604 and correlation note visible in Activity/Pulse</t>
        </is>
      </c>
      <c r="K1605" t="inlineStr">
        <is>
          <t>NOT_RUN</t>
        </is>
      </c>
      <c r="P1605" t="n">
        <v>0</v>
      </c>
      <c r="Q1605" t="n">
        <v>1604</v>
      </c>
    </row>
    <row r="1606">
      <c r="A1606" t="n">
        <v>1605</v>
      </c>
      <c r="B1606" t="inlineStr">
        <is>
          <t>MTR-IOS-1605</t>
        </is>
      </c>
      <c r="C1606" t="inlineStr">
        <is>
          <t>iPhone</t>
        </is>
      </c>
      <c r="D1606" t="inlineStr">
        <is>
          <t>Business</t>
        </is>
      </c>
      <c r="E1606" t="inlineStr">
        <is>
          <t>Business</t>
        </is>
      </c>
      <c r="F1606" t="inlineStr">
        <is>
          <t>Business Runway</t>
        </is>
      </c>
      <c r="G1606" t="inlineStr">
        <is>
          <t>Burn</t>
        </is>
      </c>
      <c r="H1606" t="inlineStr">
        <is>
          <t>Business &gt; Business Runway &gt; Quick Add &gt; Burn</t>
        </is>
      </c>
      <c r="I1606" s="18" t="n">
        <v>36009.52</v>
      </c>
      <c r="J1606" t="inlineStr">
        <is>
          <t>Created MTR-IOS-1605 and correlation note visible in Activity/Pulse</t>
        </is>
      </c>
      <c r="K1606" t="inlineStr">
        <is>
          <t>NOT_RUN</t>
        </is>
      </c>
      <c r="P1606" t="n">
        <v>0</v>
      </c>
      <c r="Q1606" t="n">
        <v>1605</v>
      </c>
    </row>
    <row r="1607">
      <c r="A1607" t="n">
        <v>1606</v>
      </c>
      <c r="B1607" t="inlineStr">
        <is>
          <t>MTR-IOS-1606</t>
        </is>
      </c>
      <c r="C1607" t="inlineStr">
        <is>
          <t>iPhone</t>
        </is>
      </c>
      <c r="D1607" t="inlineStr">
        <is>
          <t>Personal</t>
        </is>
      </c>
      <c r="E1607" t="inlineStr">
        <is>
          <t>Personal</t>
        </is>
      </c>
      <c r="F1607" t="inlineStr">
        <is>
          <t>Life Operations</t>
        </is>
      </c>
      <c r="G1607" t="inlineStr">
        <is>
          <t>Repairs</t>
        </is>
      </c>
      <c r="H1607" t="inlineStr">
        <is>
          <t>Personal &gt; Life Operations &gt; Quick Add &gt; Repairs</t>
        </is>
      </c>
      <c r="I1607" s="18" t="n">
        <v>516.9</v>
      </c>
      <c r="J1607" t="inlineStr">
        <is>
          <t>Created MTR-IOS-1606 and correlation note visible in Activity/Pulse</t>
        </is>
      </c>
      <c r="K1607" t="inlineStr">
        <is>
          <t>NOT_RUN</t>
        </is>
      </c>
      <c r="P1607" t="n">
        <v>0</v>
      </c>
      <c r="Q1607" t="n">
        <v>1606</v>
      </c>
    </row>
    <row r="1608">
      <c r="A1608" t="n">
        <v>1607</v>
      </c>
      <c r="B1608" t="inlineStr">
        <is>
          <t>MTR-IOS-1607</t>
        </is>
      </c>
      <c r="C1608" t="inlineStr">
        <is>
          <t>iPhone</t>
        </is>
      </c>
      <c r="D1608" t="inlineStr">
        <is>
          <t>Group</t>
        </is>
      </c>
      <c r="E1608" t="inlineStr">
        <is>
          <t>Shared Experience</t>
        </is>
      </c>
      <c r="F1608" t="inlineStr">
        <is>
          <t>Wedding</t>
        </is>
      </c>
      <c r="G1608" t="inlineStr">
        <is>
          <t>Other</t>
        </is>
      </c>
      <c r="H1608" t="inlineStr">
        <is>
          <t>Group &gt; Wedding &gt; Quick Add &gt; Other</t>
        </is>
      </c>
      <c r="I1608" s="18" t="n">
        <v>10884.72</v>
      </c>
      <c r="J1608" t="inlineStr">
        <is>
          <t>Created MTR-IOS-1607 and correlation note visible in Activity/Pulse</t>
        </is>
      </c>
      <c r="K1608" t="inlineStr">
        <is>
          <t>NOT_RUN</t>
        </is>
      </c>
      <c r="P1608" t="n">
        <v>0</v>
      </c>
      <c r="Q1608" t="n">
        <v>1607</v>
      </c>
    </row>
    <row r="1609">
      <c r="A1609" t="n">
        <v>1608</v>
      </c>
      <c r="B1609" t="inlineStr">
        <is>
          <t>MTR-IOS-1608</t>
        </is>
      </c>
      <c r="C1609" t="inlineStr">
        <is>
          <t>iPhone</t>
        </is>
      </c>
      <c r="D1609" t="inlineStr">
        <is>
          <t>Business</t>
        </is>
      </c>
      <c r="E1609" t="inlineStr">
        <is>
          <t>Business</t>
        </is>
      </c>
      <c r="F1609" t="inlineStr">
        <is>
          <t>Business Runway</t>
        </is>
      </c>
      <c r="G1609" t="inlineStr">
        <is>
          <t>Reserve</t>
        </is>
      </c>
      <c r="H1609" t="inlineStr">
        <is>
          <t>Business &gt; Business Runway &gt; Quick Add &gt; Reserve</t>
        </is>
      </c>
      <c r="I1609" s="18" t="n">
        <v>116245.32</v>
      </c>
      <c r="J1609" t="inlineStr">
        <is>
          <t>Created MTR-IOS-1608 and correlation note visible in Activity/Pulse</t>
        </is>
      </c>
      <c r="K1609" t="inlineStr">
        <is>
          <t>NOT_RUN</t>
        </is>
      </c>
      <c r="P1609" t="n">
        <v>0</v>
      </c>
      <c r="Q1609" t="n">
        <v>1608</v>
      </c>
    </row>
    <row r="1610">
      <c r="A1610" t="n">
        <v>1609</v>
      </c>
      <c r="B1610" t="inlineStr">
        <is>
          <t>MTR-IOS-1609</t>
        </is>
      </c>
      <c r="C1610" t="inlineStr">
        <is>
          <t>iPhone</t>
        </is>
      </c>
      <c r="D1610" t="inlineStr">
        <is>
          <t>Personal</t>
        </is>
      </c>
      <c r="E1610" t="inlineStr">
        <is>
          <t>Personal</t>
        </is>
      </c>
      <c r="F1610" t="inlineStr">
        <is>
          <t>Future Building</t>
        </is>
      </c>
      <c r="G1610" t="inlineStr">
        <is>
          <t>Savings</t>
        </is>
      </c>
      <c r="H1610" t="inlineStr">
        <is>
          <t>Personal &gt; Future Building &gt; Quick Add &gt; Savings</t>
        </is>
      </c>
      <c r="I1610" s="18" t="n">
        <v>16776.88</v>
      </c>
      <c r="J1610" t="inlineStr">
        <is>
          <t>Created MTR-IOS-1609 and correlation note visible in Activity/Pulse</t>
        </is>
      </c>
      <c r="K1610" t="inlineStr">
        <is>
          <t>NOT_RUN</t>
        </is>
      </c>
      <c r="P1610" t="n">
        <v>0</v>
      </c>
      <c r="Q1610" t="n">
        <v>1609</v>
      </c>
    </row>
    <row r="1611">
      <c r="A1611" t="n">
        <v>1610</v>
      </c>
      <c r="B1611" t="inlineStr">
        <is>
          <t>MTR-IOS-1610</t>
        </is>
      </c>
      <c r="C1611" t="inlineStr">
        <is>
          <t>iPhone</t>
        </is>
      </c>
      <c r="D1611" t="inlineStr">
        <is>
          <t>Group</t>
        </is>
      </c>
      <c r="E1611" t="inlineStr">
        <is>
          <t>Shared Experience</t>
        </is>
      </c>
      <c r="F1611" t="inlineStr">
        <is>
          <t>Office Outing</t>
        </is>
      </c>
      <c r="G1611" t="inlineStr">
        <is>
          <t>Food</t>
        </is>
      </c>
      <c r="H1611" t="inlineStr">
        <is>
          <t>Group &gt; Office Outing &gt; Quick Add &gt; Food</t>
        </is>
      </c>
      <c r="I1611" s="18" t="n">
        <v>20443.62</v>
      </c>
      <c r="J1611" t="inlineStr">
        <is>
          <t>Created MTR-IOS-1610 and correlation note visible in Activity/Pulse</t>
        </is>
      </c>
      <c r="K1611" t="inlineStr">
        <is>
          <t>NOT_RUN</t>
        </is>
      </c>
      <c r="P1611" t="n">
        <v>0</v>
      </c>
      <c r="Q1611" t="n">
        <v>1610</v>
      </c>
    </row>
    <row r="1612">
      <c r="A1612" t="n">
        <v>1611</v>
      </c>
      <c r="B1612" t="inlineStr">
        <is>
          <t>MTR-IOS-1611</t>
        </is>
      </c>
      <c r="C1612" t="inlineStr">
        <is>
          <t>iPhone</t>
        </is>
      </c>
      <c r="D1612" t="inlineStr">
        <is>
          <t>Business</t>
        </is>
      </c>
      <c r="E1612" t="inlineStr">
        <is>
          <t>Business</t>
        </is>
      </c>
      <c r="F1612" t="inlineStr">
        <is>
          <t>Business Runway</t>
        </is>
      </c>
      <c r="G1612" t="inlineStr">
        <is>
          <t>Loan</t>
        </is>
      </c>
      <c r="H1612" t="inlineStr">
        <is>
          <t>Business &gt; Business Runway &gt; Quick Add &gt; Loan</t>
        </is>
      </c>
      <c r="I1612" s="18" t="n">
        <v>53077.7</v>
      </c>
      <c r="J1612" t="inlineStr">
        <is>
          <t>Created MTR-IOS-1611 and correlation note visible in Activity/Pulse</t>
        </is>
      </c>
      <c r="K1612" t="inlineStr">
        <is>
          <t>NOT_RUN</t>
        </is>
      </c>
      <c r="P1612" t="n">
        <v>0</v>
      </c>
      <c r="Q1612" t="n">
        <v>1611</v>
      </c>
    </row>
    <row r="1613">
      <c r="A1613" t="n">
        <v>1612</v>
      </c>
      <c r="B1613" t="inlineStr">
        <is>
          <t>MTR-IOS-1612</t>
        </is>
      </c>
      <c r="C1613" t="inlineStr">
        <is>
          <t>iPhone</t>
        </is>
      </c>
      <c r="D1613" t="inlineStr">
        <is>
          <t>Personal</t>
        </is>
      </c>
      <c r="E1613" t="inlineStr">
        <is>
          <t>Personal</t>
        </is>
      </c>
      <c r="F1613" t="inlineStr">
        <is>
          <t>Future Building</t>
        </is>
      </c>
      <c r="G1613" t="inlineStr">
        <is>
          <t>Emergency Fund</t>
        </is>
      </c>
      <c r="H1613" t="inlineStr">
        <is>
          <t>Personal &gt; Future Building &gt; Quick Add &gt; Emergency Fund</t>
        </is>
      </c>
      <c r="I1613" s="18" t="n">
        <v>11619.93</v>
      </c>
      <c r="J1613" t="inlineStr">
        <is>
          <t>Created MTR-IOS-1612 and correlation note visible in Activity/Pulse</t>
        </is>
      </c>
      <c r="K1613" t="inlineStr">
        <is>
          <t>NOT_RUN</t>
        </is>
      </c>
      <c r="P1613" t="n">
        <v>0</v>
      </c>
      <c r="Q1613" t="n">
        <v>1612</v>
      </c>
    </row>
    <row r="1614">
      <c r="A1614" t="n">
        <v>1613</v>
      </c>
      <c r="B1614" t="inlineStr">
        <is>
          <t>MTR-IOS-1613</t>
        </is>
      </c>
      <c r="C1614" t="inlineStr">
        <is>
          <t>iPhone</t>
        </is>
      </c>
      <c r="D1614" t="inlineStr">
        <is>
          <t>Group</t>
        </is>
      </c>
      <c r="E1614" t="inlineStr">
        <is>
          <t>Shared Experience</t>
        </is>
      </c>
      <c r="F1614" t="inlineStr">
        <is>
          <t>Office Outing</t>
        </is>
      </c>
      <c r="G1614" t="inlineStr">
        <is>
          <t>Travel</t>
        </is>
      </c>
      <c r="H1614" t="inlineStr">
        <is>
          <t>Group &gt; Office Outing &gt; Quick Add &gt; Travel</t>
        </is>
      </c>
      <c r="I1614" s="18" t="n">
        <v>21464.89</v>
      </c>
      <c r="J1614" t="inlineStr">
        <is>
          <t>Created MTR-IOS-1613 and correlation note visible in Activity/Pulse</t>
        </is>
      </c>
      <c r="K1614" t="inlineStr">
        <is>
          <t>NOT_RUN</t>
        </is>
      </c>
      <c r="P1614" t="n">
        <v>0</v>
      </c>
      <c r="Q1614" t="n">
        <v>1613</v>
      </c>
    </row>
    <row r="1615">
      <c r="A1615" t="n">
        <v>1614</v>
      </c>
      <c r="B1615" t="inlineStr">
        <is>
          <t>MTR-IOS-1614</t>
        </is>
      </c>
      <c r="C1615" t="inlineStr">
        <is>
          <t>iPhone</t>
        </is>
      </c>
      <c r="D1615" t="inlineStr">
        <is>
          <t>Business</t>
        </is>
      </c>
      <c r="E1615" t="inlineStr">
        <is>
          <t>Business</t>
        </is>
      </c>
      <c r="F1615" t="inlineStr">
        <is>
          <t>Business Runway</t>
        </is>
      </c>
      <c r="G1615" t="inlineStr">
        <is>
          <t>Investment</t>
        </is>
      </c>
      <c r="H1615" t="inlineStr">
        <is>
          <t>Business &gt; Business Runway &gt; Quick Add &gt; Investment</t>
        </is>
      </c>
      <c r="I1615" s="18" t="n">
        <v>48719.55</v>
      </c>
      <c r="J1615" t="inlineStr">
        <is>
          <t>Created MTR-IOS-1614 and correlation note visible in Activity/Pulse</t>
        </is>
      </c>
      <c r="K1615" t="inlineStr">
        <is>
          <t>NOT_RUN</t>
        </is>
      </c>
      <c r="P1615" t="n">
        <v>0</v>
      </c>
      <c r="Q1615" t="n">
        <v>1614</v>
      </c>
    </row>
    <row r="1616">
      <c r="A1616" t="n">
        <v>1615</v>
      </c>
      <c r="B1616" t="inlineStr">
        <is>
          <t>MTR-IOS-1615</t>
        </is>
      </c>
      <c r="C1616" t="inlineStr">
        <is>
          <t>iPhone</t>
        </is>
      </c>
      <c r="D1616" t="inlineStr">
        <is>
          <t>Personal</t>
        </is>
      </c>
      <c r="E1616" t="inlineStr">
        <is>
          <t>Personal</t>
        </is>
      </c>
      <c r="F1616" t="inlineStr">
        <is>
          <t>Future Building</t>
        </is>
      </c>
      <c r="G1616" t="inlineStr">
        <is>
          <t>Investments</t>
        </is>
      </c>
      <c r="H1616" t="inlineStr">
        <is>
          <t>Personal &gt; Future Building &gt; Quick Add &gt; Investments</t>
        </is>
      </c>
      <c r="I1616" s="18" t="n">
        <v>966.74</v>
      </c>
      <c r="J1616" t="inlineStr">
        <is>
          <t>Created MTR-IOS-1615 and correlation note visible in Activity/Pulse</t>
        </is>
      </c>
      <c r="K1616" t="inlineStr">
        <is>
          <t>NOT_RUN</t>
        </is>
      </c>
      <c r="P1616" t="n">
        <v>0</v>
      </c>
      <c r="Q1616" t="n">
        <v>1615</v>
      </c>
    </row>
    <row r="1617">
      <c r="A1617" t="n">
        <v>1616</v>
      </c>
      <c r="B1617" t="inlineStr">
        <is>
          <t>MTR-IOS-1616</t>
        </is>
      </c>
      <c r="C1617" t="inlineStr">
        <is>
          <t>iPhone</t>
        </is>
      </c>
      <c r="D1617" t="inlineStr">
        <is>
          <t>Group</t>
        </is>
      </c>
      <c r="E1617" t="inlineStr">
        <is>
          <t>Shared Experience</t>
        </is>
      </c>
      <c r="F1617" t="inlineStr">
        <is>
          <t>Office Outing</t>
        </is>
      </c>
      <c r="G1617" t="inlineStr">
        <is>
          <t>Activities</t>
        </is>
      </c>
      <c r="H1617" t="inlineStr">
        <is>
          <t>Group &gt; Office Outing &gt; Quick Add &gt; Activities</t>
        </is>
      </c>
      <c r="I1617" s="18" t="n">
        <v>22321.64</v>
      </c>
      <c r="J1617" t="inlineStr">
        <is>
          <t>Created MTR-IOS-1616 and correlation note visible in Activity/Pulse</t>
        </is>
      </c>
      <c r="K1617" t="inlineStr">
        <is>
          <t>NOT_RUN</t>
        </is>
      </c>
      <c r="P1617" t="n">
        <v>0</v>
      </c>
      <c r="Q1617" t="n">
        <v>1616</v>
      </c>
    </row>
    <row r="1618">
      <c r="A1618" t="n">
        <v>1617</v>
      </c>
      <c r="B1618" t="inlineStr">
        <is>
          <t>MTR-IOS-1617</t>
        </is>
      </c>
      <c r="C1618" t="inlineStr">
        <is>
          <t>iPhone</t>
        </is>
      </c>
      <c r="D1618" t="inlineStr">
        <is>
          <t>Business</t>
        </is>
      </c>
      <c r="E1618" t="inlineStr">
        <is>
          <t>Business</t>
        </is>
      </c>
      <c r="F1618" t="inlineStr">
        <is>
          <t>Business Operations</t>
        </is>
      </c>
      <c r="G1618" t="inlineStr">
        <is>
          <t>Software</t>
        </is>
      </c>
      <c r="H1618" t="inlineStr">
        <is>
          <t>Business &gt; Business Operations &gt; Quick Add &gt; Software</t>
        </is>
      </c>
      <c r="I1618" s="18" t="n">
        <v>80884.12</v>
      </c>
      <c r="J1618" t="inlineStr">
        <is>
          <t>Created MTR-IOS-1617 and correlation note visible in Activity/Pulse</t>
        </is>
      </c>
      <c r="K1618" t="inlineStr">
        <is>
          <t>NOT_RUN</t>
        </is>
      </c>
      <c r="P1618" t="n">
        <v>0</v>
      </c>
      <c r="Q1618" t="n">
        <v>1617</v>
      </c>
    </row>
    <row r="1619">
      <c r="A1619" t="n">
        <v>1618</v>
      </c>
      <c r="B1619" t="inlineStr">
        <is>
          <t>MTR-IOS-1618</t>
        </is>
      </c>
      <c r="C1619" t="inlineStr">
        <is>
          <t>iPhone</t>
        </is>
      </c>
      <c r="D1619" t="inlineStr">
        <is>
          <t>Personal</t>
        </is>
      </c>
      <c r="E1619" t="inlineStr">
        <is>
          <t>Personal</t>
        </is>
      </c>
      <c r="F1619" t="inlineStr">
        <is>
          <t>Future Building</t>
        </is>
      </c>
      <c r="G1619" t="inlineStr">
        <is>
          <t>Education</t>
        </is>
      </c>
      <c r="H1619" t="inlineStr">
        <is>
          <t>Personal &gt; Future Building &gt; Quick Add &gt; Education</t>
        </is>
      </c>
      <c r="I1619" s="18" t="n">
        <v>3583.81</v>
      </c>
      <c r="J1619" t="inlineStr">
        <is>
          <t>Created MTR-IOS-1618 and correlation note visible in Activity/Pulse</t>
        </is>
      </c>
      <c r="K1619" t="inlineStr">
        <is>
          <t>NOT_RUN</t>
        </is>
      </c>
      <c r="P1619" t="n">
        <v>0</v>
      </c>
      <c r="Q1619" t="n">
        <v>1618</v>
      </c>
    </row>
    <row r="1620">
      <c r="A1620" t="n">
        <v>1619</v>
      </c>
      <c r="B1620" t="inlineStr">
        <is>
          <t>MTR-IOS-1619</t>
        </is>
      </c>
      <c r="C1620" t="inlineStr">
        <is>
          <t>iPhone</t>
        </is>
      </c>
      <c r="D1620" t="inlineStr">
        <is>
          <t>Group</t>
        </is>
      </c>
      <c r="E1620" t="inlineStr">
        <is>
          <t>Shared Experience</t>
        </is>
      </c>
      <c r="F1620" t="inlineStr">
        <is>
          <t>Office Outing</t>
        </is>
      </c>
      <c r="G1620" t="inlineStr">
        <is>
          <t>Venue</t>
        </is>
      </c>
      <c r="H1620" t="inlineStr">
        <is>
          <t>Group &gt; Office Outing &gt; Quick Add &gt; Venue</t>
        </is>
      </c>
      <c r="I1620" s="18" t="n">
        <v>25906.16</v>
      </c>
      <c r="J1620" t="inlineStr">
        <is>
          <t>Created MTR-IOS-1619 and correlation note visible in Activity/Pulse</t>
        </is>
      </c>
      <c r="K1620" t="inlineStr">
        <is>
          <t>NOT_RUN</t>
        </is>
      </c>
      <c r="P1620" t="n">
        <v>0</v>
      </c>
      <c r="Q1620" t="n">
        <v>1619</v>
      </c>
    </row>
    <row r="1621">
      <c r="A1621" t="n">
        <v>1620</v>
      </c>
      <c r="B1621" t="inlineStr">
        <is>
          <t>MTR-IOS-1620</t>
        </is>
      </c>
      <c r="C1621" t="inlineStr">
        <is>
          <t>iPhone</t>
        </is>
      </c>
      <c r="D1621" t="inlineStr">
        <is>
          <t>Business</t>
        </is>
      </c>
      <c r="E1621" t="inlineStr">
        <is>
          <t>Business</t>
        </is>
      </c>
      <c r="F1621" t="inlineStr">
        <is>
          <t>Business Operations</t>
        </is>
      </c>
      <c r="G1621" t="inlineStr">
        <is>
          <t>Rent</t>
        </is>
      </c>
      <c r="H1621" t="inlineStr">
        <is>
          <t>Business &gt; Business Operations &gt; Quick Add &gt; Rent</t>
        </is>
      </c>
      <c r="I1621" s="18" t="n">
        <v>24617.82</v>
      </c>
      <c r="J1621" t="inlineStr">
        <is>
          <t>Created MTR-IOS-1620 and correlation note visible in Activity/Pulse</t>
        </is>
      </c>
      <c r="K1621" t="inlineStr">
        <is>
          <t>NOT_RUN</t>
        </is>
      </c>
      <c r="P1621" t="n">
        <v>0</v>
      </c>
      <c r="Q1621" t="n">
        <v>1620</v>
      </c>
    </row>
    <row r="1622">
      <c r="A1622" t="n">
        <v>1621</v>
      </c>
      <c r="B1622" t="inlineStr">
        <is>
          <t>MTR-IOS-1621</t>
        </is>
      </c>
      <c r="C1622" t="inlineStr">
        <is>
          <t>iPhone</t>
        </is>
      </c>
      <c r="D1622" t="inlineStr">
        <is>
          <t>Personal</t>
        </is>
      </c>
      <c r="E1622" t="inlineStr">
        <is>
          <t>Personal</t>
        </is>
      </c>
      <c r="F1622" t="inlineStr">
        <is>
          <t>Future Building</t>
        </is>
      </c>
      <c r="G1622" t="inlineStr">
        <is>
          <t>Goal Contribution</t>
        </is>
      </c>
      <c r="H1622" t="inlineStr">
        <is>
          <t>Personal &gt; Future Building &gt; Quick Add &gt; Goal Contribution</t>
        </is>
      </c>
      <c r="I1622" s="18" t="n">
        <v>8563.360000000001</v>
      </c>
      <c r="J1622" t="inlineStr">
        <is>
          <t>Created MTR-IOS-1621 and correlation note visible in Activity/Pulse</t>
        </is>
      </c>
      <c r="K1622" t="inlineStr">
        <is>
          <t>NOT_RUN</t>
        </is>
      </c>
      <c r="P1622" t="n">
        <v>0</v>
      </c>
      <c r="Q1622" t="n">
        <v>1621</v>
      </c>
    </row>
    <row r="1623">
      <c r="A1623" t="n">
        <v>1622</v>
      </c>
      <c r="B1623" t="inlineStr">
        <is>
          <t>MTR-IOS-1622</t>
        </is>
      </c>
      <c r="C1623" t="inlineStr">
        <is>
          <t>iPhone</t>
        </is>
      </c>
      <c r="D1623" t="inlineStr">
        <is>
          <t>Group</t>
        </is>
      </c>
      <c r="E1623" t="inlineStr">
        <is>
          <t>Shared Experience</t>
        </is>
      </c>
      <c r="F1623" t="inlineStr">
        <is>
          <t>Office Outing</t>
        </is>
      </c>
      <c r="G1623" t="inlineStr">
        <is>
          <t>Other</t>
        </is>
      </c>
      <c r="H1623" t="inlineStr">
        <is>
          <t>Group &gt; Office Outing &gt; Quick Add &gt; Other</t>
        </is>
      </c>
      <c r="I1623" s="18" t="n">
        <v>22398.34</v>
      </c>
      <c r="J1623" t="inlineStr">
        <is>
          <t>Created MTR-IOS-1622 and correlation note visible in Activity/Pulse</t>
        </is>
      </c>
      <c r="K1623" t="inlineStr">
        <is>
          <t>NOT_RUN</t>
        </is>
      </c>
      <c r="P1623" t="n">
        <v>0</v>
      </c>
      <c r="Q1623" t="n">
        <v>1622</v>
      </c>
    </row>
    <row r="1624">
      <c r="A1624" t="n">
        <v>1623</v>
      </c>
      <c r="B1624" t="inlineStr">
        <is>
          <t>MTR-IOS-1623</t>
        </is>
      </c>
      <c r="C1624" t="inlineStr">
        <is>
          <t>iPhone</t>
        </is>
      </c>
      <c r="D1624" t="inlineStr">
        <is>
          <t>Business</t>
        </is>
      </c>
      <c r="E1624" t="inlineStr">
        <is>
          <t>Business</t>
        </is>
      </c>
      <c r="F1624" t="inlineStr">
        <is>
          <t>Business Operations</t>
        </is>
      </c>
      <c r="G1624" t="inlineStr">
        <is>
          <t>Marketing</t>
        </is>
      </c>
      <c r="H1624" t="inlineStr">
        <is>
          <t>Business &gt; Business Operations &gt; Quick Add &gt; Marketing</t>
        </is>
      </c>
      <c r="I1624" s="18" t="n">
        <v>54497.26</v>
      </c>
      <c r="J1624" t="inlineStr">
        <is>
          <t>Created MTR-IOS-1623 and correlation note visible in Activity/Pulse</t>
        </is>
      </c>
      <c r="K1624" t="inlineStr">
        <is>
          <t>NOT_RUN</t>
        </is>
      </c>
      <c r="P1624" t="n">
        <v>0</v>
      </c>
      <c r="Q1624" t="n">
        <v>1623</v>
      </c>
    </row>
    <row r="1625">
      <c r="A1625" t="n">
        <v>1624</v>
      </c>
      <c r="B1625" t="inlineStr">
        <is>
          <t>MTR-IOS-1624</t>
        </is>
      </c>
      <c r="C1625" t="inlineStr">
        <is>
          <t>iPhone</t>
        </is>
      </c>
      <c r="D1625" t="inlineStr">
        <is>
          <t>Personal</t>
        </is>
      </c>
      <c r="E1625" t="inlineStr">
        <is>
          <t>Personal</t>
        </is>
      </c>
      <c r="F1625" t="inlineStr">
        <is>
          <t>Lifestyle</t>
        </is>
      </c>
      <c r="G1625" t="inlineStr">
        <is>
          <t>Dining</t>
        </is>
      </c>
      <c r="H1625" t="inlineStr">
        <is>
          <t>Personal &gt; Lifestyle &gt; Quick Add &gt; Dining</t>
        </is>
      </c>
      <c r="I1625" s="18" t="n">
        <v>5301.06</v>
      </c>
      <c r="J1625" t="inlineStr">
        <is>
          <t>Created MTR-IOS-1624 and correlation note visible in Activity/Pulse</t>
        </is>
      </c>
      <c r="K1625" t="inlineStr">
        <is>
          <t>NOT_RUN</t>
        </is>
      </c>
      <c r="P1625" t="n">
        <v>0</v>
      </c>
      <c r="Q1625" t="n">
        <v>1624</v>
      </c>
    </row>
    <row r="1626">
      <c r="A1626" t="n">
        <v>1625</v>
      </c>
      <c r="B1626" t="inlineStr">
        <is>
          <t>MTR-IOS-1625</t>
        </is>
      </c>
      <c r="C1626" t="inlineStr">
        <is>
          <t>iPhone</t>
        </is>
      </c>
      <c r="D1626" t="inlineStr">
        <is>
          <t>Group</t>
        </is>
      </c>
      <c r="E1626" t="inlineStr">
        <is>
          <t>Shared Experience</t>
        </is>
      </c>
      <c r="F1626" t="inlineStr">
        <is>
          <t>House Party</t>
        </is>
      </c>
      <c r="G1626" t="inlineStr">
        <is>
          <t>Food</t>
        </is>
      </c>
      <c r="H1626" t="inlineStr">
        <is>
          <t>Group &gt; House Party &gt; Quick Add &gt; Food</t>
        </is>
      </c>
      <c r="I1626" s="18" t="n">
        <v>13039.88</v>
      </c>
      <c r="J1626" t="inlineStr">
        <is>
          <t>Created MTR-IOS-1625 and correlation note visible in Activity/Pulse</t>
        </is>
      </c>
      <c r="K1626" t="inlineStr">
        <is>
          <t>NOT_RUN</t>
        </is>
      </c>
      <c r="P1626" t="n">
        <v>0</v>
      </c>
      <c r="Q1626" t="n">
        <v>1625</v>
      </c>
    </row>
    <row r="1627">
      <c r="A1627" t="n">
        <v>1626</v>
      </c>
      <c r="B1627" t="inlineStr">
        <is>
          <t>MTR-IOS-1626</t>
        </is>
      </c>
      <c r="C1627" t="inlineStr">
        <is>
          <t>iPhone</t>
        </is>
      </c>
      <c r="D1627" t="inlineStr">
        <is>
          <t>Business</t>
        </is>
      </c>
      <c r="E1627" t="inlineStr">
        <is>
          <t>Business</t>
        </is>
      </c>
      <c r="F1627" t="inlineStr">
        <is>
          <t>Business Operations</t>
        </is>
      </c>
      <c r="G1627" t="inlineStr">
        <is>
          <t>Legal</t>
        </is>
      </c>
      <c r="H1627" t="inlineStr">
        <is>
          <t>Business &gt; Business Operations &gt; Quick Add &gt; Legal</t>
        </is>
      </c>
      <c r="I1627" s="18" t="n">
        <v>27390.23</v>
      </c>
      <c r="J1627" t="inlineStr">
        <is>
          <t>Created MTR-IOS-1626 and correlation note visible in Activity/Pulse</t>
        </is>
      </c>
      <c r="K1627" t="inlineStr">
        <is>
          <t>NOT_RUN</t>
        </is>
      </c>
      <c r="P1627" t="n">
        <v>0</v>
      </c>
      <c r="Q1627" t="n">
        <v>1626</v>
      </c>
    </row>
    <row r="1628">
      <c r="A1628" t="n">
        <v>1627</v>
      </c>
      <c r="B1628" t="inlineStr">
        <is>
          <t>MTR-IOS-1627</t>
        </is>
      </c>
      <c r="C1628" t="inlineStr">
        <is>
          <t>iPhone</t>
        </is>
      </c>
      <c r="D1628" t="inlineStr">
        <is>
          <t>Personal</t>
        </is>
      </c>
      <c r="E1628" t="inlineStr">
        <is>
          <t>Personal</t>
        </is>
      </c>
      <c r="F1628" t="inlineStr">
        <is>
          <t>Lifestyle</t>
        </is>
      </c>
      <c r="G1628" t="inlineStr">
        <is>
          <t>Shopping</t>
        </is>
      </c>
      <c r="H1628" t="inlineStr">
        <is>
          <t>Personal &gt; Lifestyle &gt; Quick Add &gt; Shopping</t>
        </is>
      </c>
      <c r="I1628" s="18" t="n">
        <v>77.48</v>
      </c>
      <c r="J1628" t="inlineStr">
        <is>
          <t>Created MTR-IOS-1627 and correlation note visible in Activity/Pulse</t>
        </is>
      </c>
      <c r="K1628" t="inlineStr">
        <is>
          <t>NOT_RUN</t>
        </is>
      </c>
      <c r="P1628" t="n">
        <v>0</v>
      </c>
      <c r="Q1628" t="n">
        <v>1627</v>
      </c>
    </row>
    <row r="1629">
      <c r="A1629" t="n">
        <v>1628</v>
      </c>
      <c r="B1629" t="inlineStr">
        <is>
          <t>MTR-IOS-1628</t>
        </is>
      </c>
      <c r="C1629" t="inlineStr">
        <is>
          <t>iPhone</t>
        </is>
      </c>
      <c r="D1629" t="inlineStr">
        <is>
          <t>Group</t>
        </is>
      </c>
      <c r="E1629" t="inlineStr">
        <is>
          <t>Shared Experience</t>
        </is>
      </c>
      <c r="F1629" t="inlineStr">
        <is>
          <t>House Party</t>
        </is>
      </c>
      <c r="G1629" t="inlineStr">
        <is>
          <t>Drinks</t>
        </is>
      </c>
      <c r="H1629" t="inlineStr">
        <is>
          <t>Group &gt; House Party &gt; Quick Add &gt; Drinks</t>
        </is>
      </c>
      <c r="I1629" s="18" t="n">
        <v>99.98999999999999</v>
      </c>
      <c r="J1629" t="inlineStr">
        <is>
          <t>Created MTR-IOS-1628 and correlation note visible in Activity/Pulse</t>
        </is>
      </c>
      <c r="K1629" t="inlineStr">
        <is>
          <t>NOT_RUN</t>
        </is>
      </c>
      <c r="P1629" t="n">
        <v>0</v>
      </c>
      <c r="Q1629" t="n">
        <v>1628</v>
      </c>
    </row>
    <row r="1630">
      <c r="A1630" t="n">
        <v>1629</v>
      </c>
      <c r="B1630" t="inlineStr">
        <is>
          <t>MTR-IOS-1629</t>
        </is>
      </c>
      <c r="C1630" t="inlineStr">
        <is>
          <t>iPhone</t>
        </is>
      </c>
      <c r="D1630" t="inlineStr">
        <is>
          <t>Business</t>
        </is>
      </c>
      <c r="E1630" t="inlineStr">
        <is>
          <t>Business</t>
        </is>
      </c>
      <c r="F1630" t="inlineStr">
        <is>
          <t>Business Operations</t>
        </is>
      </c>
      <c r="G1630" t="inlineStr">
        <is>
          <t>Accounting</t>
        </is>
      </c>
      <c r="H1630" t="inlineStr">
        <is>
          <t>Business &gt; Business Operations &gt; Quick Add &gt; Accounting</t>
        </is>
      </c>
      <c r="I1630" s="18" t="n">
        <v>154139.79</v>
      </c>
      <c r="J1630" t="inlineStr">
        <is>
          <t>Created MTR-IOS-1629 and correlation note visible in Activity/Pulse</t>
        </is>
      </c>
      <c r="K1630" t="inlineStr">
        <is>
          <t>NOT_RUN</t>
        </is>
      </c>
      <c r="P1630" t="n">
        <v>0</v>
      </c>
      <c r="Q1630" t="n">
        <v>1629</v>
      </c>
    </row>
    <row r="1631">
      <c r="A1631" t="n">
        <v>1630</v>
      </c>
      <c r="B1631" t="inlineStr">
        <is>
          <t>MTR-IOS-1630</t>
        </is>
      </c>
      <c r="C1631" t="inlineStr">
        <is>
          <t>iPhone</t>
        </is>
      </c>
      <c r="D1631" t="inlineStr">
        <is>
          <t>Personal</t>
        </is>
      </c>
      <c r="E1631" t="inlineStr">
        <is>
          <t>Personal</t>
        </is>
      </c>
      <c r="F1631" t="inlineStr">
        <is>
          <t>Lifestyle</t>
        </is>
      </c>
      <c r="G1631" t="inlineStr">
        <is>
          <t>Entertainment</t>
        </is>
      </c>
      <c r="H1631" t="inlineStr">
        <is>
          <t>Personal &gt; Lifestyle &gt; Quick Add &gt; Entertainment</t>
        </is>
      </c>
      <c r="I1631" s="18" t="n">
        <v>1152.75</v>
      </c>
      <c r="J1631" t="inlineStr">
        <is>
          <t>Created MTR-IOS-1630 and correlation note visible in Activity/Pulse</t>
        </is>
      </c>
      <c r="K1631" t="inlineStr">
        <is>
          <t>NOT_RUN</t>
        </is>
      </c>
      <c r="P1631" t="n">
        <v>0</v>
      </c>
      <c r="Q1631" t="n">
        <v>1630</v>
      </c>
    </row>
    <row r="1632">
      <c r="A1632" t="n">
        <v>1631</v>
      </c>
      <c r="B1632" t="inlineStr">
        <is>
          <t>MTR-IOS-1631</t>
        </is>
      </c>
      <c r="C1632" t="inlineStr">
        <is>
          <t>iPhone</t>
        </is>
      </c>
      <c r="D1632" t="inlineStr">
        <is>
          <t>Group</t>
        </is>
      </c>
      <c r="E1632" t="inlineStr">
        <is>
          <t>Shared Experience</t>
        </is>
      </c>
      <c r="F1632" t="inlineStr">
        <is>
          <t>House Party</t>
        </is>
      </c>
      <c r="G1632" t="inlineStr">
        <is>
          <t>Decor</t>
        </is>
      </c>
      <c r="H1632" t="inlineStr">
        <is>
          <t>Group &gt; House Party &gt; Quick Add &gt; Decor</t>
        </is>
      </c>
      <c r="I1632" s="18" t="n">
        <v>24086.98</v>
      </c>
      <c r="J1632" t="inlineStr">
        <is>
          <t>Created MTR-IOS-1631 and correlation note visible in Activity/Pulse</t>
        </is>
      </c>
      <c r="K1632" t="inlineStr">
        <is>
          <t>NOT_RUN</t>
        </is>
      </c>
      <c r="P1632" t="n">
        <v>0</v>
      </c>
      <c r="Q1632" t="n">
        <v>1631</v>
      </c>
    </row>
    <row r="1633">
      <c r="A1633" t="n">
        <v>1632</v>
      </c>
      <c r="B1633" t="inlineStr">
        <is>
          <t>MTR-IOS-1632</t>
        </is>
      </c>
      <c r="C1633" t="inlineStr">
        <is>
          <t>iPhone</t>
        </is>
      </c>
      <c r="D1633" t="inlineStr">
        <is>
          <t>Business</t>
        </is>
      </c>
      <c r="E1633" t="inlineStr">
        <is>
          <t>Business</t>
        </is>
      </c>
      <c r="F1633" t="inlineStr">
        <is>
          <t>Business Operations</t>
        </is>
      </c>
      <c r="G1633" t="inlineStr">
        <is>
          <t>Equipment</t>
        </is>
      </c>
      <c r="H1633" t="inlineStr">
        <is>
          <t>Business &gt; Business Operations &gt; Quick Add &gt; Equipment</t>
        </is>
      </c>
      <c r="I1633" s="18" t="n">
        <v>12952.4</v>
      </c>
      <c r="J1633" t="inlineStr">
        <is>
          <t>Created MTR-IOS-1632 and correlation note visible in Activity/Pulse</t>
        </is>
      </c>
      <c r="K1633" t="inlineStr">
        <is>
          <t>NOT_RUN</t>
        </is>
      </c>
      <c r="P1633" t="n">
        <v>0</v>
      </c>
      <c r="Q1633" t="n">
        <v>1632</v>
      </c>
    </row>
    <row r="1634">
      <c r="A1634" t="n">
        <v>1633</v>
      </c>
      <c r="B1634" t="inlineStr">
        <is>
          <t>MTR-IOS-1633</t>
        </is>
      </c>
      <c r="C1634" t="inlineStr">
        <is>
          <t>iPhone</t>
        </is>
      </c>
      <c r="D1634" t="inlineStr">
        <is>
          <t>Personal</t>
        </is>
      </c>
      <c r="E1634" t="inlineStr">
        <is>
          <t>Personal</t>
        </is>
      </c>
      <c r="F1634" t="inlineStr">
        <is>
          <t>Lifestyle</t>
        </is>
      </c>
      <c r="G1634" t="inlineStr">
        <is>
          <t>Travel</t>
        </is>
      </c>
      <c r="H1634" t="inlineStr">
        <is>
          <t>Personal &gt; Lifestyle &gt; Quick Add &gt; Travel</t>
        </is>
      </c>
      <c r="I1634" s="18" t="n">
        <v>15000.34</v>
      </c>
      <c r="J1634" t="inlineStr">
        <is>
          <t>Created MTR-IOS-1633 and correlation note visible in Activity/Pulse</t>
        </is>
      </c>
      <c r="K1634" t="inlineStr">
        <is>
          <t>NOT_RUN</t>
        </is>
      </c>
      <c r="P1634" t="n">
        <v>0</v>
      </c>
      <c r="Q1634" t="n">
        <v>1633</v>
      </c>
    </row>
    <row r="1635">
      <c r="A1635" t="n">
        <v>1634</v>
      </c>
      <c r="B1635" t="inlineStr">
        <is>
          <t>MTR-IOS-1634</t>
        </is>
      </c>
      <c r="C1635" t="inlineStr">
        <is>
          <t>iPhone</t>
        </is>
      </c>
      <c r="D1635" t="inlineStr">
        <is>
          <t>Group</t>
        </is>
      </c>
      <c r="E1635" t="inlineStr">
        <is>
          <t>Shared Experience</t>
        </is>
      </c>
      <c r="F1635" t="inlineStr">
        <is>
          <t>House Party</t>
        </is>
      </c>
      <c r="G1635" t="inlineStr">
        <is>
          <t>Supplies</t>
        </is>
      </c>
      <c r="H1635" t="inlineStr">
        <is>
          <t>Group &gt; House Party &gt; Quick Add &gt; Supplies</t>
        </is>
      </c>
      <c r="I1635" s="18" t="n">
        <v>20791.16</v>
      </c>
      <c r="J1635" t="inlineStr">
        <is>
          <t>Created MTR-IOS-1634 and correlation note visible in Activity/Pulse</t>
        </is>
      </c>
      <c r="K1635" t="inlineStr">
        <is>
          <t>NOT_RUN</t>
        </is>
      </c>
      <c r="P1635" t="n">
        <v>0</v>
      </c>
      <c r="Q1635" t="n">
        <v>1634</v>
      </c>
    </row>
    <row r="1636">
      <c r="A1636" t="n">
        <v>1635</v>
      </c>
      <c r="B1636" t="inlineStr">
        <is>
          <t>MTR-IOS-1635</t>
        </is>
      </c>
      <c r="C1636" t="inlineStr">
        <is>
          <t>iPhone</t>
        </is>
      </c>
      <c r="D1636" t="inlineStr">
        <is>
          <t>Business</t>
        </is>
      </c>
      <c r="E1636" t="inlineStr">
        <is>
          <t>Business</t>
        </is>
      </c>
      <c r="F1636" t="inlineStr">
        <is>
          <t>Business Operations</t>
        </is>
      </c>
      <c r="G1636" t="inlineStr">
        <is>
          <t>Vendor</t>
        </is>
      </c>
      <c r="H1636" t="inlineStr">
        <is>
          <t>Business &gt; Business Operations &gt; Quick Add &gt; Vendor</t>
        </is>
      </c>
      <c r="I1636" s="18" t="n">
        <v>41963.66</v>
      </c>
      <c r="J1636" t="inlineStr">
        <is>
          <t>Created MTR-IOS-1635 and correlation note visible in Activity/Pulse</t>
        </is>
      </c>
      <c r="K1636" t="inlineStr">
        <is>
          <t>NOT_RUN</t>
        </is>
      </c>
      <c r="P1636" t="n">
        <v>0</v>
      </c>
      <c r="Q1636" t="n">
        <v>1635</v>
      </c>
    </row>
    <row r="1637">
      <c r="A1637" t="n">
        <v>1636</v>
      </c>
      <c r="B1637" t="inlineStr">
        <is>
          <t>MTR-IOS-1636</t>
        </is>
      </c>
      <c r="C1637" t="inlineStr">
        <is>
          <t>iPhone</t>
        </is>
      </c>
      <c r="D1637" t="inlineStr">
        <is>
          <t>Personal</t>
        </is>
      </c>
      <c r="E1637" t="inlineStr">
        <is>
          <t>Personal</t>
        </is>
      </c>
      <c r="F1637" t="inlineStr">
        <is>
          <t>Lifestyle</t>
        </is>
      </c>
      <c r="G1637" t="inlineStr">
        <is>
          <t>Fitness</t>
        </is>
      </c>
      <c r="H1637" t="inlineStr">
        <is>
          <t>Personal &gt; Lifestyle &gt; Quick Add &gt; Fitness</t>
        </is>
      </c>
      <c r="I1637" s="18" t="n">
        <v>8171.44</v>
      </c>
      <c r="J1637" t="inlineStr">
        <is>
          <t>Created MTR-IOS-1636 and correlation note visible in Activity/Pulse</t>
        </is>
      </c>
      <c r="K1637" t="inlineStr">
        <is>
          <t>NOT_RUN</t>
        </is>
      </c>
      <c r="P1637" t="n">
        <v>0</v>
      </c>
      <c r="Q1637" t="n">
        <v>1636</v>
      </c>
    </row>
    <row r="1638">
      <c r="A1638" t="n">
        <v>1637</v>
      </c>
      <c r="B1638" t="inlineStr">
        <is>
          <t>MTR-IOS-1637</t>
        </is>
      </c>
      <c r="C1638" t="inlineStr">
        <is>
          <t>iPhone</t>
        </is>
      </c>
      <c r="D1638" t="inlineStr">
        <is>
          <t>Group</t>
        </is>
      </c>
      <c r="E1638" t="inlineStr">
        <is>
          <t>Shared Experience</t>
        </is>
      </c>
      <c r="F1638" t="inlineStr">
        <is>
          <t>House Party</t>
        </is>
      </c>
      <c r="G1638" t="inlineStr">
        <is>
          <t>Other</t>
        </is>
      </c>
      <c r="H1638" t="inlineStr">
        <is>
          <t>Group &gt; House Party &gt; Quick Add &gt; Other</t>
        </is>
      </c>
      <c r="I1638" s="18" t="n">
        <v>16284.05</v>
      </c>
      <c r="J1638" t="inlineStr">
        <is>
          <t>Created MTR-IOS-1637 and correlation note visible in Activity/Pulse</t>
        </is>
      </c>
      <c r="K1638" t="inlineStr">
        <is>
          <t>NOT_RUN</t>
        </is>
      </c>
      <c r="P1638" t="n">
        <v>0</v>
      </c>
      <c r="Q1638" t="n">
        <v>1637</v>
      </c>
    </row>
    <row r="1639">
      <c r="A1639" t="n">
        <v>1638</v>
      </c>
      <c r="B1639" t="inlineStr">
        <is>
          <t>MTR-IOS-1638</t>
        </is>
      </c>
      <c r="C1639" t="inlineStr">
        <is>
          <t>iPhone</t>
        </is>
      </c>
      <c r="D1639" t="inlineStr">
        <is>
          <t>Business</t>
        </is>
      </c>
      <c r="E1639" t="inlineStr">
        <is>
          <t>Business</t>
        </is>
      </c>
      <c r="F1639" t="inlineStr">
        <is>
          <t>Business Operations</t>
        </is>
      </c>
      <c r="G1639" t="inlineStr">
        <is>
          <t>Tax</t>
        </is>
      </c>
      <c r="H1639" t="inlineStr">
        <is>
          <t>Business &gt; Business Operations &gt; Quick Add &gt; Tax</t>
        </is>
      </c>
      <c r="I1639" s="18" t="n">
        <v>6057.04</v>
      </c>
      <c r="J1639" t="inlineStr">
        <is>
          <t>Created MTR-IOS-1638 and correlation note visible in Activity/Pulse</t>
        </is>
      </c>
      <c r="K1639" t="inlineStr">
        <is>
          <t>NOT_RUN</t>
        </is>
      </c>
      <c r="P1639" t="n">
        <v>0</v>
      </c>
      <c r="Q1639" t="n">
        <v>1638</v>
      </c>
    </row>
    <row r="1640">
      <c r="A1640" t="n">
        <v>1639</v>
      </c>
      <c r="B1640" t="inlineStr">
        <is>
          <t>MTR-IOS-1639</t>
        </is>
      </c>
      <c r="C1640" t="inlineStr">
        <is>
          <t>iPhone</t>
        </is>
      </c>
      <c r="D1640" t="inlineStr">
        <is>
          <t>Personal</t>
        </is>
      </c>
      <c r="E1640" t="inlineStr">
        <is>
          <t>Personal</t>
        </is>
      </c>
      <c r="F1640" t="inlineStr">
        <is>
          <t>Lifestyle</t>
        </is>
      </c>
      <c r="G1640" t="inlineStr">
        <is>
          <t>Hobbies</t>
        </is>
      </c>
      <c r="H1640" t="inlineStr">
        <is>
          <t>Personal &gt; Lifestyle &gt; Quick Add &gt; Hobbies</t>
        </is>
      </c>
      <c r="I1640" s="18" t="n">
        <v>5407.78</v>
      </c>
      <c r="J1640" t="inlineStr">
        <is>
          <t>Created MTR-IOS-1639 and correlation note visible in Activity/Pulse</t>
        </is>
      </c>
      <c r="K1640" t="inlineStr">
        <is>
          <t>NOT_RUN</t>
        </is>
      </c>
      <c r="P1640" t="n">
        <v>0</v>
      </c>
      <c r="Q1640" t="n">
        <v>1639</v>
      </c>
    </row>
    <row r="1641">
      <c r="A1641" t="n">
        <v>1640</v>
      </c>
      <c r="B1641" t="inlineStr">
        <is>
          <t>MTR-IOS-1640</t>
        </is>
      </c>
      <c r="C1641" t="inlineStr">
        <is>
          <t>iPhone</t>
        </is>
      </c>
      <c r="D1641" t="inlineStr">
        <is>
          <t>Group</t>
        </is>
      </c>
      <c r="E1641" t="inlineStr">
        <is>
          <t>Shared Purchase</t>
        </is>
      </c>
      <c r="F1641" t="inlineStr">
        <is>
          <t>Gift Pool</t>
        </is>
      </c>
      <c r="G1641" t="inlineStr">
        <is>
          <t>Contribution</t>
        </is>
      </c>
      <c r="H1641" t="inlineStr">
        <is>
          <t>Group &gt; Gift Pool &gt; Quick Add &gt; Contribution</t>
        </is>
      </c>
      <c r="I1641" s="18" t="n">
        <v>19280.27</v>
      </c>
      <c r="J1641" t="inlineStr">
        <is>
          <t>Created MTR-IOS-1640 and correlation note visible in Activity/Pulse</t>
        </is>
      </c>
      <c r="K1641" t="inlineStr">
        <is>
          <t>NOT_RUN</t>
        </is>
      </c>
      <c r="P1641" t="n">
        <v>0</v>
      </c>
      <c r="Q1641" t="n">
        <v>1640</v>
      </c>
    </row>
    <row r="1642">
      <c r="A1642" t="n">
        <v>1641</v>
      </c>
      <c r="B1642" t="inlineStr">
        <is>
          <t>MTR-IOS-1641</t>
        </is>
      </c>
      <c r="C1642" t="inlineStr">
        <is>
          <t>iPhone</t>
        </is>
      </c>
      <c r="D1642" t="inlineStr">
        <is>
          <t>Business</t>
        </is>
      </c>
      <c r="E1642" t="inlineStr">
        <is>
          <t>Business</t>
        </is>
      </c>
      <c r="F1642" t="inlineStr">
        <is>
          <t>Team Operations</t>
        </is>
      </c>
      <c r="G1642" t="inlineStr">
        <is>
          <t>Payroll</t>
        </is>
      </c>
      <c r="H1642" t="inlineStr">
        <is>
          <t>Business &gt; Team Operations &gt; Quick Add &gt; Payroll</t>
        </is>
      </c>
      <c r="I1642" s="18" t="n">
        <v>63959.82</v>
      </c>
      <c r="J1642" t="inlineStr">
        <is>
          <t>Created MTR-IOS-1641 and correlation note visible in Activity/Pulse</t>
        </is>
      </c>
      <c r="K1642" t="inlineStr">
        <is>
          <t>NOT_RUN</t>
        </is>
      </c>
      <c r="P1642" t="n">
        <v>0</v>
      </c>
      <c r="Q1642" t="n">
        <v>1641</v>
      </c>
    </row>
    <row r="1643">
      <c r="A1643" t="n">
        <v>1642</v>
      </c>
      <c r="B1643" t="inlineStr">
        <is>
          <t>MTR-IOS-1642</t>
        </is>
      </c>
      <c r="C1643" t="inlineStr">
        <is>
          <t>iPhone</t>
        </is>
      </c>
      <c r="D1643" t="inlineStr">
        <is>
          <t>Personal</t>
        </is>
      </c>
      <c r="E1643" t="inlineStr">
        <is>
          <t>Personal</t>
        </is>
      </c>
      <c r="F1643" t="inlineStr">
        <is>
          <t>Relationships</t>
        </is>
      </c>
      <c r="G1643" t="inlineStr">
        <is>
          <t>Gifts</t>
        </is>
      </c>
      <c r="H1643" t="inlineStr">
        <is>
          <t>Personal &gt; Relationships &gt; Quick Add &gt; Gifts</t>
        </is>
      </c>
      <c r="I1643" s="18" t="n">
        <v>1403.62</v>
      </c>
      <c r="J1643" t="inlineStr">
        <is>
          <t>Created MTR-IOS-1642 and correlation note visible in Activity/Pulse</t>
        </is>
      </c>
      <c r="K1643" t="inlineStr">
        <is>
          <t>NOT_RUN</t>
        </is>
      </c>
      <c r="P1643" t="n">
        <v>0</v>
      </c>
      <c r="Q1643" t="n">
        <v>1642</v>
      </c>
    </row>
    <row r="1644">
      <c r="A1644" t="n">
        <v>1643</v>
      </c>
      <c r="B1644" t="inlineStr">
        <is>
          <t>MTR-IOS-1643</t>
        </is>
      </c>
      <c r="C1644" t="inlineStr">
        <is>
          <t>iPhone</t>
        </is>
      </c>
      <c r="D1644" t="inlineStr">
        <is>
          <t>Group</t>
        </is>
      </c>
      <c r="E1644" t="inlineStr">
        <is>
          <t>Shared Purchase</t>
        </is>
      </c>
      <c r="F1644" t="inlineStr">
        <is>
          <t>Gift Pool</t>
        </is>
      </c>
      <c r="G1644" t="inlineStr">
        <is>
          <t>Gift Purchase</t>
        </is>
      </c>
      <c r="H1644" t="inlineStr">
        <is>
          <t>Group &gt; Gift Pool &gt; Quick Add &gt; Gift Purchase</t>
        </is>
      </c>
      <c r="I1644" s="18" t="n">
        <v>1065.63</v>
      </c>
      <c r="J1644" t="inlineStr">
        <is>
          <t>Created MTR-IOS-1643 and correlation note visible in Activity/Pulse</t>
        </is>
      </c>
      <c r="K1644" t="inlineStr">
        <is>
          <t>NOT_RUN</t>
        </is>
      </c>
      <c r="P1644" t="n">
        <v>0</v>
      </c>
      <c r="Q1644" t="n">
        <v>1643</v>
      </c>
    </row>
    <row r="1645">
      <c r="A1645" t="n">
        <v>1644</v>
      </c>
      <c r="B1645" t="inlineStr">
        <is>
          <t>MTR-IOS-1644</t>
        </is>
      </c>
      <c r="C1645" t="inlineStr">
        <is>
          <t>iPhone</t>
        </is>
      </c>
      <c r="D1645" t="inlineStr">
        <is>
          <t>Business</t>
        </is>
      </c>
      <c r="E1645" t="inlineStr">
        <is>
          <t>Business</t>
        </is>
      </c>
      <c r="F1645" t="inlineStr">
        <is>
          <t>Team Operations</t>
        </is>
      </c>
      <c r="G1645" t="inlineStr">
        <is>
          <t>Contractor</t>
        </is>
      </c>
      <c r="H1645" t="inlineStr">
        <is>
          <t>Business &gt; Team Operations &gt; Quick Add &gt; Contractor</t>
        </is>
      </c>
      <c r="I1645" s="18" t="n">
        <v>123043.97</v>
      </c>
      <c r="J1645" t="inlineStr">
        <is>
          <t>Created MTR-IOS-1644 and correlation note visible in Activity/Pulse</t>
        </is>
      </c>
      <c r="K1645" t="inlineStr">
        <is>
          <t>NOT_RUN</t>
        </is>
      </c>
      <c r="P1645" t="n">
        <v>0</v>
      </c>
      <c r="Q1645" t="n">
        <v>1644</v>
      </c>
    </row>
    <row r="1646">
      <c r="A1646" t="n">
        <v>1645</v>
      </c>
      <c r="B1646" t="inlineStr">
        <is>
          <t>MTR-IOS-1645</t>
        </is>
      </c>
      <c r="C1646" t="inlineStr">
        <is>
          <t>iPhone</t>
        </is>
      </c>
      <c r="D1646" t="inlineStr">
        <is>
          <t>Personal</t>
        </is>
      </c>
      <c r="E1646" t="inlineStr">
        <is>
          <t>Personal</t>
        </is>
      </c>
      <c r="F1646" t="inlineStr">
        <is>
          <t>Relationships</t>
        </is>
      </c>
      <c r="G1646" t="inlineStr">
        <is>
          <t>Dates</t>
        </is>
      </c>
      <c r="H1646" t="inlineStr">
        <is>
          <t>Personal &gt; Relationships &gt; Quick Add &gt; Dates</t>
        </is>
      </c>
      <c r="I1646" s="18" t="n">
        <v>16912.75</v>
      </c>
      <c r="J1646" t="inlineStr">
        <is>
          <t>Created MTR-IOS-1645 and correlation note visible in Activity/Pulse</t>
        </is>
      </c>
      <c r="K1646" t="inlineStr">
        <is>
          <t>NOT_RUN</t>
        </is>
      </c>
      <c r="P1646" t="n">
        <v>0</v>
      </c>
      <c r="Q1646" t="n">
        <v>1645</v>
      </c>
    </row>
    <row r="1647">
      <c r="A1647" t="n">
        <v>1646</v>
      </c>
      <c r="B1647" t="inlineStr">
        <is>
          <t>MTR-IOS-1646</t>
        </is>
      </c>
      <c r="C1647" t="inlineStr">
        <is>
          <t>iPhone</t>
        </is>
      </c>
      <c r="D1647" t="inlineStr">
        <is>
          <t>Group</t>
        </is>
      </c>
      <c r="E1647" t="inlineStr">
        <is>
          <t>Shared Purchase</t>
        </is>
      </c>
      <c r="F1647" t="inlineStr">
        <is>
          <t>Gift Pool</t>
        </is>
      </c>
      <c r="G1647" t="inlineStr">
        <is>
          <t>Delivery</t>
        </is>
      </c>
      <c r="H1647" t="inlineStr">
        <is>
          <t>Group &gt; Gift Pool &gt; Quick Add &gt; Delivery</t>
        </is>
      </c>
      <c r="I1647" s="18" t="n">
        <v>15815.5</v>
      </c>
      <c r="J1647" t="inlineStr">
        <is>
          <t>Created MTR-IOS-1646 and correlation note visible in Activity/Pulse</t>
        </is>
      </c>
      <c r="K1647" t="inlineStr">
        <is>
          <t>NOT_RUN</t>
        </is>
      </c>
      <c r="P1647" t="n">
        <v>0</v>
      </c>
      <c r="Q1647" t="n">
        <v>1646</v>
      </c>
    </row>
    <row r="1648">
      <c r="A1648" t="n">
        <v>1647</v>
      </c>
      <c r="B1648" t="inlineStr">
        <is>
          <t>MTR-IOS-1647</t>
        </is>
      </c>
      <c r="C1648" t="inlineStr">
        <is>
          <t>iPhone</t>
        </is>
      </c>
      <c r="D1648" t="inlineStr">
        <is>
          <t>Business</t>
        </is>
      </c>
      <c r="E1648" t="inlineStr">
        <is>
          <t>Business</t>
        </is>
      </c>
      <c r="F1648" t="inlineStr">
        <is>
          <t>Team Operations</t>
        </is>
      </c>
      <c r="G1648" t="inlineStr">
        <is>
          <t>Hiring</t>
        </is>
      </c>
      <c r="H1648" t="inlineStr">
        <is>
          <t>Business &gt; Team Operations &gt; Quick Add &gt; Hiring</t>
        </is>
      </c>
      <c r="I1648" s="18" t="n">
        <v>163110.79</v>
      </c>
      <c r="J1648" t="inlineStr">
        <is>
          <t>Created MTR-IOS-1647 and correlation note visible in Activity/Pulse</t>
        </is>
      </c>
      <c r="K1648" t="inlineStr">
        <is>
          <t>NOT_RUN</t>
        </is>
      </c>
      <c r="P1648" t="n">
        <v>0</v>
      </c>
      <c r="Q1648" t="n">
        <v>1647</v>
      </c>
    </row>
    <row r="1649">
      <c r="A1649" t="n">
        <v>1648</v>
      </c>
      <c r="B1649" t="inlineStr">
        <is>
          <t>MTR-IOS-1648</t>
        </is>
      </c>
      <c r="C1649" t="inlineStr">
        <is>
          <t>iPhone</t>
        </is>
      </c>
      <c r="D1649" t="inlineStr">
        <is>
          <t>Personal</t>
        </is>
      </c>
      <c r="E1649" t="inlineStr">
        <is>
          <t>Personal</t>
        </is>
      </c>
      <c r="F1649" t="inlineStr">
        <is>
          <t>Relationships</t>
        </is>
      </c>
      <c r="G1649" t="inlineStr">
        <is>
          <t>Family</t>
        </is>
      </c>
      <c r="H1649" t="inlineStr">
        <is>
          <t>Personal &gt; Relationships &gt; Quick Add &gt; Family</t>
        </is>
      </c>
      <c r="I1649" s="18" t="n">
        <v>10121.45</v>
      </c>
      <c r="J1649" t="inlineStr">
        <is>
          <t>Created MTR-IOS-1648 and correlation note visible in Activity/Pulse</t>
        </is>
      </c>
      <c r="K1649" t="inlineStr">
        <is>
          <t>NOT_RUN</t>
        </is>
      </c>
      <c r="P1649" t="n">
        <v>0</v>
      </c>
      <c r="Q1649" t="n">
        <v>1648</v>
      </c>
    </row>
    <row r="1650">
      <c r="A1650" t="n">
        <v>1649</v>
      </c>
      <c r="B1650" t="inlineStr">
        <is>
          <t>MTR-IOS-1649</t>
        </is>
      </c>
      <c r="C1650" t="inlineStr">
        <is>
          <t>iPhone</t>
        </is>
      </c>
      <c r="D1650" t="inlineStr">
        <is>
          <t>Group</t>
        </is>
      </c>
      <c r="E1650" t="inlineStr">
        <is>
          <t>Shared Purchase</t>
        </is>
      </c>
      <c r="F1650" t="inlineStr">
        <is>
          <t>Gift Pool</t>
        </is>
      </c>
      <c r="G1650" t="inlineStr">
        <is>
          <t>Other</t>
        </is>
      </c>
      <c r="H1650" t="inlineStr">
        <is>
          <t>Group &gt; Gift Pool &gt; Quick Add &gt; Other</t>
        </is>
      </c>
      <c r="I1650" s="18" t="n">
        <v>13329.01</v>
      </c>
      <c r="J1650" t="inlineStr">
        <is>
          <t>Created MTR-IOS-1649 and correlation note visible in Activity/Pulse</t>
        </is>
      </c>
      <c r="K1650" t="inlineStr">
        <is>
          <t>NOT_RUN</t>
        </is>
      </c>
      <c r="P1650" t="n">
        <v>0</v>
      </c>
      <c r="Q1650" t="n">
        <v>1649</v>
      </c>
    </row>
    <row r="1651">
      <c r="A1651" t="n">
        <v>1650</v>
      </c>
      <c r="B1651" t="inlineStr">
        <is>
          <t>MTR-IOS-1650</t>
        </is>
      </c>
      <c r="C1651" t="inlineStr">
        <is>
          <t>iPhone</t>
        </is>
      </c>
      <c r="D1651" t="inlineStr">
        <is>
          <t>Business</t>
        </is>
      </c>
      <c r="E1651" t="inlineStr">
        <is>
          <t>Business</t>
        </is>
      </c>
      <c r="F1651" t="inlineStr">
        <is>
          <t>Team Operations</t>
        </is>
      </c>
      <c r="G1651" t="inlineStr">
        <is>
          <t>Team Meal</t>
        </is>
      </c>
      <c r="H1651" t="inlineStr">
        <is>
          <t>Business &gt; Team Operations &gt; Quick Add &gt; Team Meal</t>
        </is>
      </c>
      <c r="I1651" s="18" t="n">
        <v>146969.73</v>
      </c>
      <c r="J1651" t="inlineStr">
        <is>
          <t>Created MTR-IOS-1650 and correlation note visible in Activity/Pulse</t>
        </is>
      </c>
      <c r="K1651" t="inlineStr">
        <is>
          <t>NOT_RUN</t>
        </is>
      </c>
      <c r="P1651" t="n">
        <v>0</v>
      </c>
      <c r="Q1651" t="n">
        <v>1650</v>
      </c>
    </row>
    <row r="1652">
      <c r="A1652" t="n">
        <v>1651</v>
      </c>
      <c r="B1652" t="inlineStr">
        <is>
          <t>MTR-IOS-1651</t>
        </is>
      </c>
      <c r="C1652" t="inlineStr">
        <is>
          <t>iPhone</t>
        </is>
      </c>
      <c r="D1652" t="inlineStr">
        <is>
          <t>Personal</t>
        </is>
      </c>
      <c r="E1652" t="inlineStr">
        <is>
          <t>Personal</t>
        </is>
      </c>
      <c r="F1652" t="inlineStr">
        <is>
          <t>Relationships</t>
        </is>
      </c>
      <c r="G1652" t="inlineStr">
        <is>
          <t>Friends</t>
        </is>
      </c>
      <c r="H1652" t="inlineStr">
        <is>
          <t>Personal &gt; Relationships &gt; Quick Add &gt; Friends</t>
        </is>
      </c>
      <c r="I1652" s="18" t="n">
        <v>12701.95</v>
      </c>
      <c r="J1652" t="inlineStr">
        <is>
          <t>Created MTR-IOS-1651 and correlation note visible in Activity/Pulse</t>
        </is>
      </c>
      <c r="K1652" t="inlineStr">
        <is>
          <t>NOT_RUN</t>
        </is>
      </c>
      <c r="P1652" t="n">
        <v>0</v>
      </c>
      <c r="Q1652" t="n">
        <v>1651</v>
      </c>
    </row>
    <row r="1653">
      <c r="A1653" t="n">
        <v>1652</v>
      </c>
      <c r="B1653" t="inlineStr">
        <is>
          <t>MTR-IOS-1652</t>
        </is>
      </c>
      <c r="C1653" t="inlineStr">
        <is>
          <t>iPhone</t>
        </is>
      </c>
      <c r="D1653" t="inlineStr">
        <is>
          <t>Group</t>
        </is>
      </c>
      <c r="E1653" t="inlineStr">
        <is>
          <t>Shared Purchase</t>
        </is>
      </c>
      <c r="F1653" t="inlineStr">
        <is>
          <t>Purchase</t>
        </is>
      </c>
      <c r="G1653" t="inlineStr">
        <is>
          <t>Item</t>
        </is>
      </c>
      <c r="H1653" t="inlineStr">
        <is>
          <t>Group &gt; Purchase &gt; Quick Add &gt; Item</t>
        </is>
      </c>
      <c r="I1653" s="18" t="n">
        <v>22932.93</v>
      </c>
      <c r="J1653" t="inlineStr">
        <is>
          <t>Created MTR-IOS-1652 and correlation note visible in Activity/Pulse</t>
        </is>
      </c>
      <c r="K1653" t="inlineStr">
        <is>
          <t>NOT_RUN</t>
        </is>
      </c>
      <c r="P1653" t="n">
        <v>0</v>
      </c>
      <c r="Q1653" t="n">
        <v>1652</v>
      </c>
    </row>
    <row r="1654">
      <c r="A1654" t="n">
        <v>1653</v>
      </c>
      <c r="B1654" t="inlineStr">
        <is>
          <t>MTR-IOS-1653</t>
        </is>
      </c>
      <c r="C1654" t="inlineStr">
        <is>
          <t>iPhone</t>
        </is>
      </c>
      <c r="D1654" t="inlineStr">
        <is>
          <t>Business</t>
        </is>
      </c>
      <c r="E1654" t="inlineStr">
        <is>
          <t>Business</t>
        </is>
      </c>
      <c r="F1654" t="inlineStr">
        <is>
          <t>Team Operations</t>
        </is>
      </c>
      <c r="G1654" t="inlineStr">
        <is>
          <t>Travel</t>
        </is>
      </c>
      <c r="H1654" t="inlineStr">
        <is>
          <t>Business &gt; Team Operations &gt; Quick Add &gt; Travel</t>
        </is>
      </c>
      <c r="I1654" s="18" t="n">
        <v>4994.08</v>
      </c>
      <c r="J1654" t="inlineStr">
        <is>
          <t>Created MTR-IOS-1653 and correlation note visible in Activity/Pulse</t>
        </is>
      </c>
      <c r="K1654" t="inlineStr">
        <is>
          <t>NOT_RUN</t>
        </is>
      </c>
      <c r="P1654" t="n">
        <v>0</v>
      </c>
      <c r="Q1654" t="n">
        <v>1653</v>
      </c>
    </row>
    <row r="1655">
      <c r="A1655" t="n">
        <v>1654</v>
      </c>
      <c r="B1655" t="inlineStr">
        <is>
          <t>MTR-IOS-1654</t>
        </is>
      </c>
      <c r="C1655" t="inlineStr">
        <is>
          <t>iPhone</t>
        </is>
      </c>
      <c r="D1655" t="inlineStr">
        <is>
          <t>Personal</t>
        </is>
      </c>
      <c r="E1655" t="inlineStr">
        <is>
          <t>Personal</t>
        </is>
      </c>
      <c r="F1655" t="inlineStr">
        <is>
          <t>Relationships</t>
        </is>
      </c>
      <c r="G1655" t="inlineStr">
        <is>
          <t>Celebrations</t>
        </is>
      </c>
      <c r="H1655" t="inlineStr">
        <is>
          <t>Personal &gt; Relationships &gt; Quick Add &gt; Celebrations</t>
        </is>
      </c>
      <c r="I1655" s="18" t="n">
        <v>8134.02</v>
      </c>
      <c r="J1655" t="inlineStr">
        <is>
          <t>Created MTR-IOS-1654 and correlation note visible in Activity/Pulse</t>
        </is>
      </c>
      <c r="K1655" t="inlineStr">
        <is>
          <t>NOT_RUN</t>
        </is>
      </c>
      <c r="P1655" t="n">
        <v>0</v>
      </c>
      <c r="Q1655" t="n">
        <v>1654</v>
      </c>
    </row>
    <row r="1656">
      <c r="A1656" t="n">
        <v>1655</v>
      </c>
      <c r="B1656" t="inlineStr">
        <is>
          <t>MTR-IOS-1655</t>
        </is>
      </c>
      <c r="C1656" t="inlineStr">
        <is>
          <t>iPhone</t>
        </is>
      </c>
      <c r="D1656" t="inlineStr">
        <is>
          <t>Group</t>
        </is>
      </c>
      <c r="E1656" t="inlineStr">
        <is>
          <t>Shared Purchase</t>
        </is>
      </c>
      <c r="F1656" t="inlineStr">
        <is>
          <t>Purchase</t>
        </is>
      </c>
      <c r="G1656" t="inlineStr">
        <is>
          <t>Shipping</t>
        </is>
      </c>
      <c r="H1656" t="inlineStr">
        <is>
          <t>Group &gt; Purchase &gt; Quick Add &gt; Shipping</t>
        </is>
      </c>
      <c r="I1656" s="18" t="n">
        <v>9343.57</v>
      </c>
      <c r="J1656" t="inlineStr">
        <is>
          <t>Created MTR-IOS-1655 and correlation note visible in Activity/Pulse</t>
        </is>
      </c>
      <c r="K1656" t="inlineStr">
        <is>
          <t>NOT_RUN</t>
        </is>
      </c>
      <c r="P1656" t="n">
        <v>0</v>
      </c>
      <c r="Q1656" t="n">
        <v>1655</v>
      </c>
    </row>
    <row r="1657">
      <c r="A1657" t="n">
        <v>1656</v>
      </c>
      <c r="B1657" t="inlineStr">
        <is>
          <t>MTR-IOS-1656</t>
        </is>
      </c>
      <c r="C1657" t="inlineStr">
        <is>
          <t>iPhone</t>
        </is>
      </c>
      <c r="D1657" t="inlineStr">
        <is>
          <t>Business</t>
        </is>
      </c>
      <c r="E1657" t="inlineStr">
        <is>
          <t>Business</t>
        </is>
      </c>
      <c r="F1657" t="inlineStr">
        <is>
          <t>Team Operations</t>
        </is>
      </c>
      <c r="G1657" t="inlineStr">
        <is>
          <t>Training</t>
        </is>
      </c>
      <c r="H1657" t="inlineStr">
        <is>
          <t>Business &gt; Team Operations &gt; Quick Add &gt; Training</t>
        </is>
      </c>
      <c r="I1657" s="18" t="n">
        <v>63976.29</v>
      </c>
      <c r="J1657" t="inlineStr">
        <is>
          <t>Created MTR-IOS-1656 and correlation note visible in Activity/Pulse</t>
        </is>
      </c>
      <c r="K1657" t="inlineStr">
        <is>
          <t>NOT_RUN</t>
        </is>
      </c>
      <c r="P1657" t="n">
        <v>0</v>
      </c>
      <c r="Q1657" t="n">
        <v>1656</v>
      </c>
    </row>
    <row r="1658">
      <c r="A1658" t="n">
        <v>1657</v>
      </c>
      <c r="B1658" t="inlineStr">
        <is>
          <t>MTR-IOS-1657</t>
        </is>
      </c>
      <c r="C1658" t="inlineStr">
        <is>
          <t>iPhone</t>
        </is>
      </c>
      <c r="D1658" t="inlineStr">
        <is>
          <t>Personal</t>
        </is>
      </c>
      <c r="E1658" t="inlineStr">
        <is>
          <t>Personal</t>
        </is>
      </c>
      <c r="F1658" t="inlineStr">
        <is>
          <t>Life Operations</t>
        </is>
      </c>
      <c r="G1658" t="inlineStr">
        <is>
          <t>Groceries</t>
        </is>
      </c>
      <c r="H1658" t="inlineStr">
        <is>
          <t>Personal &gt; Life Operations &gt; Quick Add &gt; Groceries</t>
        </is>
      </c>
      <c r="I1658" s="18" t="n">
        <v>1874.13</v>
      </c>
      <c r="J1658" t="inlineStr">
        <is>
          <t>Created MTR-IOS-1657 and correlation note visible in Activity/Pulse</t>
        </is>
      </c>
      <c r="K1658" t="inlineStr">
        <is>
          <t>NOT_RUN</t>
        </is>
      </c>
      <c r="P1658" t="n">
        <v>0</v>
      </c>
      <c r="Q1658" t="n">
        <v>1657</v>
      </c>
    </row>
    <row r="1659">
      <c r="A1659" t="n">
        <v>1658</v>
      </c>
      <c r="B1659" t="inlineStr">
        <is>
          <t>MTR-IOS-1658</t>
        </is>
      </c>
      <c r="C1659" t="inlineStr">
        <is>
          <t>iPhone</t>
        </is>
      </c>
      <c r="D1659" t="inlineStr">
        <is>
          <t>Group</t>
        </is>
      </c>
      <c r="E1659" t="inlineStr">
        <is>
          <t>Shared Purchase</t>
        </is>
      </c>
      <c r="F1659" t="inlineStr">
        <is>
          <t>Purchase</t>
        </is>
      </c>
      <c r="G1659" t="inlineStr">
        <is>
          <t>Tax</t>
        </is>
      </c>
      <c r="H1659" t="inlineStr">
        <is>
          <t>Group &gt; Purchase &gt; Quick Add &gt; Tax</t>
        </is>
      </c>
      <c r="I1659" s="18" t="n">
        <v>13900.64</v>
      </c>
      <c r="J1659" t="inlineStr">
        <is>
          <t>Created MTR-IOS-1658 and correlation note visible in Activity/Pulse</t>
        </is>
      </c>
      <c r="K1659" t="inlineStr">
        <is>
          <t>NOT_RUN</t>
        </is>
      </c>
      <c r="P1659" t="n">
        <v>0</v>
      </c>
      <c r="Q1659" t="n">
        <v>1658</v>
      </c>
    </row>
    <row r="1660">
      <c r="A1660" t="n">
        <v>1659</v>
      </c>
      <c r="B1660" t="inlineStr">
        <is>
          <t>MTR-IOS-1659</t>
        </is>
      </c>
      <c r="C1660" t="inlineStr">
        <is>
          <t>iPhone</t>
        </is>
      </c>
      <c r="D1660" t="inlineStr">
        <is>
          <t>Business</t>
        </is>
      </c>
      <c r="E1660" t="inlineStr">
        <is>
          <t>Business</t>
        </is>
      </c>
      <c r="F1660" t="inlineStr">
        <is>
          <t>Team Operations</t>
        </is>
      </c>
      <c r="G1660" t="inlineStr">
        <is>
          <t>Tools</t>
        </is>
      </c>
      <c r="H1660" t="inlineStr">
        <is>
          <t>Business &gt; Team Operations &gt; Quick Add &gt; Tools</t>
        </is>
      </c>
      <c r="I1660" s="18" t="n">
        <v>44421.05</v>
      </c>
      <c r="J1660" t="inlineStr">
        <is>
          <t>Created MTR-IOS-1659 and correlation note visible in Activity/Pulse</t>
        </is>
      </c>
      <c r="K1660" t="inlineStr">
        <is>
          <t>NOT_RUN</t>
        </is>
      </c>
      <c r="P1660" t="n">
        <v>0</v>
      </c>
      <c r="Q1660" t="n">
        <v>1659</v>
      </c>
    </row>
    <row r="1661">
      <c r="A1661" t="n">
        <v>1660</v>
      </c>
      <c r="B1661" t="inlineStr">
        <is>
          <t>MTR-IOS-1660</t>
        </is>
      </c>
      <c r="C1661" t="inlineStr">
        <is>
          <t>iPhone</t>
        </is>
      </c>
      <c r="D1661" t="inlineStr">
        <is>
          <t>Personal</t>
        </is>
      </c>
      <c r="E1661" t="inlineStr">
        <is>
          <t>Personal</t>
        </is>
      </c>
      <c r="F1661" t="inlineStr">
        <is>
          <t>Life Operations</t>
        </is>
      </c>
      <c r="G1661" t="inlineStr">
        <is>
          <t>Rent</t>
        </is>
      </c>
      <c r="H1661" t="inlineStr">
        <is>
          <t>Personal &gt; Life Operations &gt; Quick Add &gt; Rent</t>
        </is>
      </c>
      <c r="I1661" s="18" t="n">
        <v>7618.07</v>
      </c>
      <c r="J1661" t="inlineStr">
        <is>
          <t>Created MTR-IOS-1660 and correlation note visible in Activity/Pulse</t>
        </is>
      </c>
      <c r="K1661" t="inlineStr">
        <is>
          <t>NOT_RUN</t>
        </is>
      </c>
      <c r="P1661" t="n">
        <v>0</v>
      </c>
      <c r="Q1661" t="n">
        <v>1660</v>
      </c>
    </row>
    <row r="1662">
      <c r="A1662" t="n">
        <v>1661</v>
      </c>
      <c r="B1662" t="inlineStr">
        <is>
          <t>MTR-IOS-1661</t>
        </is>
      </c>
      <c r="C1662" t="inlineStr">
        <is>
          <t>iPhone</t>
        </is>
      </c>
      <c r="D1662" t="inlineStr">
        <is>
          <t>Group</t>
        </is>
      </c>
      <c r="E1662" t="inlineStr">
        <is>
          <t>Shared Purchase</t>
        </is>
      </c>
      <c r="F1662" t="inlineStr">
        <is>
          <t>Purchase</t>
        </is>
      </c>
      <c r="G1662" t="inlineStr">
        <is>
          <t>Other</t>
        </is>
      </c>
      <c r="H1662" t="inlineStr">
        <is>
          <t>Group &gt; Purchase &gt; Quick Add &gt; Other</t>
        </is>
      </c>
      <c r="I1662" s="18" t="n">
        <v>19074.07</v>
      </c>
      <c r="J1662" t="inlineStr">
        <is>
          <t>Created MTR-IOS-1661 and correlation note visible in Activity/Pulse</t>
        </is>
      </c>
      <c r="K1662" t="inlineStr">
        <is>
          <t>NOT_RUN</t>
        </is>
      </c>
      <c r="P1662" t="n">
        <v>0</v>
      </c>
      <c r="Q1662" t="n">
        <v>1661</v>
      </c>
    </row>
    <row r="1663">
      <c r="A1663" t="n">
        <v>1662</v>
      </c>
      <c r="B1663" t="inlineStr">
        <is>
          <t>MTR-IOS-1662</t>
        </is>
      </c>
      <c r="C1663" t="inlineStr">
        <is>
          <t>iPhone</t>
        </is>
      </c>
      <c r="D1663" t="inlineStr">
        <is>
          <t>Business</t>
        </is>
      </c>
      <c r="E1663" t="inlineStr">
        <is>
          <t>Business</t>
        </is>
      </c>
      <c r="F1663" t="inlineStr">
        <is>
          <t>Business Runway</t>
        </is>
      </c>
      <c r="G1663" t="inlineStr">
        <is>
          <t>Funding</t>
        </is>
      </c>
      <c r="H1663" t="inlineStr">
        <is>
          <t>Business &gt; Business Runway &gt; Quick Add &gt; Funding</t>
        </is>
      </c>
      <c r="I1663" s="18" t="n">
        <v>59612.03</v>
      </c>
      <c r="J1663" t="inlineStr">
        <is>
          <t>Created MTR-IOS-1662 and correlation note visible in Activity/Pulse</t>
        </is>
      </c>
      <c r="K1663" t="inlineStr">
        <is>
          <t>NOT_RUN</t>
        </is>
      </c>
      <c r="P1663" t="n">
        <v>0</v>
      </c>
      <c r="Q1663" t="n">
        <v>1662</v>
      </c>
    </row>
    <row r="1664">
      <c r="A1664" t="n">
        <v>1663</v>
      </c>
      <c r="B1664" t="inlineStr">
        <is>
          <t>MTR-IOS-1663</t>
        </is>
      </c>
      <c r="C1664" t="inlineStr">
        <is>
          <t>iPhone</t>
        </is>
      </c>
      <c r="D1664" t="inlineStr">
        <is>
          <t>Personal</t>
        </is>
      </c>
      <c r="E1664" t="inlineStr">
        <is>
          <t>Personal</t>
        </is>
      </c>
      <c r="F1664" t="inlineStr">
        <is>
          <t>Life Operations</t>
        </is>
      </c>
      <c r="G1664" t="inlineStr">
        <is>
          <t>Bills</t>
        </is>
      </c>
      <c r="H1664" t="inlineStr">
        <is>
          <t>Personal &gt; Life Operations &gt; Quick Add &gt; Bills</t>
        </is>
      </c>
      <c r="I1664" s="18" t="n">
        <v>15414.32</v>
      </c>
      <c r="J1664" t="inlineStr">
        <is>
          <t>Created MTR-IOS-1663 and correlation note visible in Activity/Pulse</t>
        </is>
      </c>
      <c r="K1664" t="inlineStr">
        <is>
          <t>NOT_RUN</t>
        </is>
      </c>
      <c r="P1664" t="n">
        <v>0</v>
      </c>
      <c r="Q1664" t="n">
        <v>1663</v>
      </c>
    </row>
    <row r="1665">
      <c r="A1665" t="n">
        <v>1664</v>
      </c>
      <c r="B1665" t="inlineStr">
        <is>
          <t>MTR-IOS-1664</t>
        </is>
      </c>
      <c r="C1665" t="inlineStr">
        <is>
          <t>iPhone</t>
        </is>
      </c>
      <c r="D1665" t="inlineStr">
        <is>
          <t>Group</t>
        </is>
      </c>
      <c r="E1665" t="inlineStr">
        <is>
          <t>Shared Purchase</t>
        </is>
      </c>
      <c r="F1665" t="inlineStr">
        <is>
          <t>Assets</t>
        </is>
      </c>
      <c r="G1665" t="inlineStr">
        <is>
          <t>Purchase</t>
        </is>
      </c>
      <c r="H1665" t="inlineStr">
        <is>
          <t>Group &gt; Assets &gt; Quick Add &gt; Purchase</t>
        </is>
      </c>
      <c r="I1665" s="18" t="n">
        <v>23010.09</v>
      </c>
      <c r="J1665" t="inlineStr">
        <is>
          <t>Created MTR-IOS-1664 and correlation note visible in Activity/Pulse</t>
        </is>
      </c>
      <c r="K1665" t="inlineStr">
        <is>
          <t>NOT_RUN</t>
        </is>
      </c>
      <c r="P1665" t="n">
        <v>0</v>
      </c>
      <c r="Q1665" t="n">
        <v>1664</v>
      </c>
    </row>
    <row r="1666">
      <c r="A1666" t="n">
        <v>1665</v>
      </c>
      <c r="B1666" t="inlineStr">
        <is>
          <t>MTR-IOS-1665</t>
        </is>
      </c>
      <c r="C1666" t="inlineStr">
        <is>
          <t>iPhone</t>
        </is>
      </c>
      <c r="D1666" t="inlineStr">
        <is>
          <t>Business</t>
        </is>
      </c>
      <c r="E1666" t="inlineStr">
        <is>
          <t>Business</t>
        </is>
      </c>
      <c r="F1666" t="inlineStr">
        <is>
          <t>Business Runway</t>
        </is>
      </c>
      <c r="G1666" t="inlineStr">
        <is>
          <t>Revenue</t>
        </is>
      </c>
      <c r="H1666" t="inlineStr">
        <is>
          <t>Business &gt; Business Runway &gt; Quick Add &gt; Revenue</t>
        </is>
      </c>
      <c r="I1666" s="18" t="n">
        <v>100</v>
      </c>
      <c r="J1666" t="inlineStr">
        <is>
          <t>Created MTR-IOS-1665 and correlation note visible in Activity/Pulse</t>
        </is>
      </c>
      <c r="K1666" t="inlineStr">
        <is>
          <t>NOT_RUN</t>
        </is>
      </c>
      <c r="P1666" t="n">
        <v>0</v>
      </c>
      <c r="Q1666" t="n">
        <v>1665</v>
      </c>
    </row>
    <row r="1667">
      <c r="A1667" t="n">
        <v>1666</v>
      </c>
      <c r="B1667" t="inlineStr">
        <is>
          <t>MTR-IOS-1666</t>
        </is>
      </c>
      <c r="C1667" t="inlineStr">
        <is>
          <t>iPhone</t>
        </is>
      </c>
      <c r="D1667" t="inlineStr">
        <is>
          <t>Personal</t>
        </is>
      </c>
      <c r="E1667" t="inlineStr">
        <is>
          <t>Personal</t>
        </is>
      </c>
      <c r="F1667" t="inlineStr">
        <is>
          <t>Life Operations</t>
        </is>
      </c>
      <c r="G1667" t="inlineStr">
        <is>
          <t>Transport</t>
        </is>
      </c>
      <c r="H1667" t="inlineStr">
        <is>
          <t>Personal &gt; Life Operations &gt; Quick Add &gt; Transport</t>
        </is>
      </c>
      <c r="I1667" s="18" t="n">
        <v>12266.07</v>
      </c>
      <c r="J1667" t="inlineStr">
        <is>
          <t>Created MTR-IOS-1666 and correlation note visible in Activity/Pulse</t>
        </is>
      </c>
      <c r="K1667" t="inlineStr">
        <is>
          <t>NOT_RUN</t>
        </is>
      </c>
      <c r="P1667" t="n">
        <v>0</v>
      </c>
      <c r="Q1667" t="n">
        <v>1666</v>
      </c>
    </row>
    <row r="1668">
      <c r="A1668" t="n">
        <v>1667</v>
      </c>
      <c r="B1668" t="inlineStr">
        <is>
          <t>MTR-IOS-1667</t>
        </is>
      </c>
      <c r="C1668" t="inlineStr">
        <is>
          <t>iPhone</t>
        </is>
      </c>
      <c r="D1668" t="inlineStr">
        <is>
          <t>Group</t>
        </is>
      </c>
      <c r="E1668" t="inlineStr">
        <is>
          <t>Shared Purchase</t>
        </is>
      </c>
      <c r="F1668" t="inlineStr">
        <is>
          <t>Assets</t>
        </is>
      </c>
      <c r="G1668" t="inlineStr">
        <is>
          <t>Maintenance</t>
        </is>
      </c>
      <c r="H1668" t="inlineStr">
        <is>
          <t>Group &gt; Assets &gt; Quick Add &gt; Maintenance</t>
        </is>
      </c>
      <c r="I1668" s="18" t="n">
        <v>10282.26</v>
      </c>
      <c r="J1668" t="inlineStr">
        <is>
          <t>Created MTR-IOS-1667 and correlation note visible in Activity/Pulse</t>
        </is>
      </c>
      <c r="K1668" t="inlineStr">
        <is>
          <t>NOT_RUN</t>
        </is>
      </c>
      <c r="P1668" t="n">
        <v>0</v>
      </c>
      <c r="Q1668" t="n">
        <v>1667</v>
      </c>
    </row>
    <row r="1669">
      <c r="A1669" t="n">
        <v>1668</v>
      </c>
      <c r="B1669" t="inlineStr">
        <is>
          <t>MTR-IOS-1668</t>
        </is>
      </c>
      <c r="C1669" t="inlineStr">
        <is>
          <t>iPhone</t>
        </is>
      </c>
      <c r="D1669" t="inlineStr">
        <is>
          <t>Business</t>
        </is>
      </c>
      <c r="E1669" t="inlineStr">
        <is>
          <t>Business</t>
        </is>
      </c>
      <c r="F1669" t="inlineStr">
        <is>
          <t>Business Runway</t>
        </is>
      </c>
      <c r="G1669" t="inlineStr">
        <is>
          <t>Burn</t>
        </is>
      </c>
      <c r="H1669" t="inlineStr">
        <is>
          <t>Business &gt; Business Runway &gt; Quick Add &gt; Burn</t>
        </is>
      </c>
      <c r="I1669" s="18" t="n">
        <v>78874.72</v>
      </c>
      <c r="J1669" t="inlineStr">
        <is>
          <t>Created MTR-IOS-1668 and correlation note visible in Activity/Pulse</t>
        </is>
      </c>
      <c r="K1669" t="inlineStr">
        <is>
          <t>NOT_RUN</t>
        </is>
      </c>
      <c r="P1669" t="n">
        <v>0</v>
      </c>
      <c r="Q1669" t="n">
        <v>1668</v>
      </c>
    </row>
    <row r="1670">
      <c r="A1670" t="n">
        <v>1669</v>
      </c>
      <c r="B1670" t="inlineStr">
        <is>
          <t>MTR-IOS-1669</t>
        </is>
      </c>
      <c r="C1670" t="inlineStr">
        <is>
          <t>iPhone</t>
        </is>
      </c>
      <c r="D1670" t="inlineStr">
        <is>
          <t>Personal</t>
        </is>
      </c>
      <c r="E1670" t="inlineStr">
        <is>
          <t>Personal</t>
        </is>
      </c>
      <c r="F1670" t="inlineStr">
        <is>
          <t>Life Operations</t>
        </is>
      </c>
      <c r="G1670" t="inlineStr">
        <is>
          <t>Healthcare</t>
        </is>
      </c>
      <c r="H1670" t="inlineStr">
        <is>
          <t>Personal &gt; Life Operations &gt; Quick Add &gt; Healthcare</t>
        </is>
      </c>
      <c r="I1670" s="18" t="n">
        <v>1290.8</v>
      </c>
      <c r="J1670" t="inlineStr">
        <is>
          <t>Created MTR-IOS-1669 and correlation note visible in Activity/Pulse</t>
        </is>
      </c>
      <c r="K1670" t="inlineStr">
        <is>
          <t>NOT_RUN</t>
        </is>
      </c>
      <c r="P1670" t="n">
        <v>0</v>
      </c>
      <c r="Q1670" t="n">
        <v>1669</v>
      </c>
    </row>
    <row r="1671">
      <c r="A1671" t="n">
        <v>1670</v>
      </c>
      <c r="B1671" t="inlineStr">
        <is>
          <t>MTR-IOS-1670</t>
        </is>
      </c>
      <c r="C1671" t="inlineStr">
        <is>
          <t>iPhone</t>
        </is>
      </c>
      <c r="D1671" t="inlineStr">
        <is>
          <t>Group</t>
        </is>
      </c>
      <c r="E1671" t="inlineStr">
        <is>
          <t>Shared Purchase</t>
        </is>
      </c>
      <c r="F1671" t="inlineStr">
        <is>
          <t>Assets</t>
        </is>
      </c>
      <c r="G1671" t="inlineStr">
        <is>
          <t>Repair</t>
        </is>
      </c>
      <c r="H1671" t="inlineStr">
        <is>
          <t>Group &gt; Assets &gt; Quick Add &gt; Repair</t>
        </is>
      </c>
      <c r="I1671" s="18" t="n">
        <v>23683.88</v>
      </c>
      <c r="J1671" t="inlineStr">
        <is>
          <t>Created MTR-IOS-1670 and correlation note visible in Activity/Pulse</t>
        </is>
      </c>
      <c r="K1671" t="inlineStr">
        <is>
          <t>NOT_RUN</t>
        </is>
      </c>
      <c r="P1671" t="n">
        <v>0</v>
      </c>
      <c r="Q1671" t="n">
        <v>1670</v>
      </c>
    </row>
    <row r="1672">
      <c r="A1672" t="n">
        <v>1671</v>
      </c>
      <c r="B1672" t="inlineStr">
        <is>
          <t>MTR-IOS-1671</t>
        </is>
      </c>
      <c r="C1672" t="inlineStr">
        <is>
          <t>iPhone</t>
        </is>
      </c>
      <c r="D1672" t="inlineStr">
        <is>
          <t>Business</t>
        </is>
      </c>
      <c r="E1672" t="inlineStr">
        <is>
          <t>Business</t>
        </is>
      </c>
      <c r="F1672" t="inlineStr">
        <is>
          <t>Business Runway</t>
        </is>
      </c>
      <c r="G1672" t="inlineStr">
        <is>
          <t>Reserve</t>
        </is>
      </c>
      <c r="H1672" t="inlineStr">
        <is>
          <t>Business &gt; Business Runway &gt; Quick Add &gt; Reserve</t>
        </is>
      </c>
      <c r="I1672" s="18" t="n">
        <v>72835.28</v>
      </c>
      <c r="J1672" t="inlineStr">
        <is>
          <t>Created MTR-IOS-1671 and correlation note visible in Activity/Pulse</t>
        </is>
      </c>
      <c r="K1672" t="inlineStr">
        <is>
          <t>NOT_RUN</t>
        </is>
      </c>
      <c r="P1672" t="n">
        <v>0</v>
      </c>
      <c r="Q1672" t="n">
        <v>1671</v>
      </c>
    </row>
    <row r="1673">
      <c r="A1673" t="n">
        <v>1672</v>
      </c>
      <c r="B1673" t="inlineStr">
        <is>
          <t>MTR-IOS-1672</t>
        </is>
      </c>
      <c r="C1673" t="inlineStr">
        <is>
          <t>iPhone</t>
        </is>
      </c>
      <c r="D1673" t="inlineStr">
        <is>
          <t>Personal</t>
        </is>
      </c>
      <c r="E1673" t="inlineStr">
        <is>
          <t>Personal</t>
        </is>
      </c>
      <c r="F1673" t="inlineStr">
        <is>
          <t>Life Operations</t>
        </is>
      </c>
      <c r="G1673" t="inlineStr">
        <is>
          <t>Subscriptions</t>
        </is>
      </c>
      <c r="H1673" t="inlineStr">
        <is>
          <t>Personal &gt; Life Operations &gt; Quick Add &gt; Subscriptions</t>
        </is>
      </c>
      <c r="I1673" s="18" t="n">
        <v>6229.09</v>
      </c>
      <c r="J1673" t="inlineStr">
        <is>
          <t>Created MTR-IOS-1672 and correlation note visible in Activity/Pulse</t>
        </is>
      </c>
      <c r="K1673" t="inlineStr">
        <is>
          <t>NOT_RUN</t>
        </is>
      </c>
      <c r="P1673" t="n">
        <v>0</v>
      </c>
      <c r="Q1673" t="n">
        <v>1672</v>
      </c>
    </row>
    <row r="1674">
      <c r="A1674" t="n">
        <v>1673</v>
      </c>
      <c r="B1674" t="inlineStr">
        <is>
          <t>MTR-IOS-1673</t>
        </is>
      </c>
      <c r="C1674" t="inlineStr">
        <is>
          <t>iPhone</t>
        </is>
      </c>
      <c r="D1674" t="inlineStr">
        <is>
          <t>Group</t>
        </is>
      </c>
      <c r="E1674" t="inlineStr">
        <is>
          <t>Shared Purchase</t>
        </is>
      </c>
      <c r="F1674" t="inlineStr">
        <is>
          <t>Assets</t>
        </is>
      </c>
      <c r="G1674" t="inlineStr">
        <is>
          <t>Insurance</t>
        </is>
      </c>
      <c r="H1674" t="inlineStr">
        <is>
          <t>Group &gt; Assets &gt; Quick Add &gt; Insurance</t>
        </is>
      </c>
      <c r="I1674" s="18" t="n">
        <v>23777.99</v>
      </c>
      <c r="J1674" t="inlineStr">
        <is>
          <t>Created MTR-IOS-1673 and correlation note visible in Activity/Pulse</t>
        </is>
      </c>
      <c r="K1674" t="inlineStr">
        <is>
          <t>NOT_RUN</t>
        </is>
      </c>
      <c r="P1674" t="n">
        <v>0</v>
      </c>
      <c r="Q1674" t="n">
        <v>1673</v>
      </c>
    </row>
    <row r="1675">
      <c r="A1675" t="n">
        <v>1674</v>
      </c>
      <c r="B1675" t="inlineStr">
        <is>
          <t>MTR-IOS-1674</t>
        </is>
      </c>
      <c r="C1675" t="inlineStr">
        <is>
          <t>iPhone</t>
        </is>
      </c>
      <c r="D1675" t="inlineStr">
        <is>
          <t>Business</t>
        </is>
      </c>
      <c r="E1675" t="inlineStr">
        <is>
          <t>Business</t>
        </is>
      </c>
      <c r="F1675" t="inlineStr">
        <is>
          <t>Business Runway</t>
        </is>
      </c>
      <c r="G1675" t="inlineStr">
        <is>
          <t>Loan</t>
        </is>
      </c>
      <c r="H1675" t="inlineStr">
        <is>
          <t>Business &gt; Business Runway &gt; Quick Add &gt; Loan</t>
        </is>
      </c>
      <c r="I1675" s="18" t="n">
        <v>132841.16</v>
      </c>
      <c r="J1675" t="inlineStr">
        <is>
          <t>Created MTR-IOS-1674 and correlation note visible in Activity/Pulse</t>
        </is>
      </c>
      <c r="K1675" t="inlineStr">
        <is>
          <t>NOT_RUN</t>
        </is>
      </c>
      <c r="P1675" t="n">
        <v>0</v>
      </c>
      <c r="Q1675" t="n">
        <v>1674</v>
      </c>
    </row>
    <row r="1676">
      <c r="A1676" t="n">
        <v>1675</v>
      </c>
      <c r="B1676" t="inlineStr">
        <is>
          <t>MTR-IOS-1675</t>
        </is>
      </c>
      <c r="C1676" t="inlineStr">
        <is>
          <t>iPhone</t>
        </is>
      </c>
      <c r="D1676" t="inlineStr">
        <is>
          <t>Personal</t>
        </is>
      </c>
      <c r="E1676" t="inlineStr">
        <is>
          <t>Personal</t>
        </is>
      </c>
      <c r="F1676" t="inlineStr">
        <is>
          <t>Life Operations</t>
        </is>
      </c>
      <c r="G1676" t="inlineStr">
        <is>
          <t>Repairs</t>
        </is>
      </c>
      <c r="H1676" t="inlineStr">
        <is>
          <t>Personal &gt; Life Operations &gt; Quick Add &gt; Repairs</t>
        </is>
      </c>
      <c r="I1676" s="18" t="n">
        <v>13227.61</v>
      </c>
      <c r="J1676" t="inlineStr">
        <is>
          <t>Created MTR-IOS-1675 and correlation note visible in Activity/Pulse</t>
        </is>
      </c>
      <c r="K1676" t="inlineStr">
        <is>
          <t>NOT_RUN</t>
        </is>
      </c>
      <c r="P1676" t="n">
        <v>0</v>
      </c>
      <c r="Q1676" t="n">
        <v>1675</v>
      </c>
    </row>
    <row r="1677">
      <c r="A1677" t="n">
        <v>1676</v>
      </c>
      <c r="B1677" t="inlineStr">
        <is>
          <t>MTR-IOS-1676</t>
        </is>
      </c>
      <c r="C1677" t="inlineStr">
        <is>
          <t>iPhone</t>
        </is>
      </c>
      <c r="D1677" t="inlineStr">
        <is>
          <t>Group</t>
        </is>
      </c>
      <c r="E1677" t="inlineStr">
        <is>
          <t>Shared Purchase</t>
        </is>
      </c>
      <c r="F1677" t="inlineStr">
        <is>
          <t>Assets</t>
        </is>
      </c>
      <c r="G1677" t="inlineStr">
        <is>
          <t>Other</t>
        </is>
      </c>
      <c r="H1677" t="inlineStr">
        <is>
          <t>Group &gt; Assets &gt; Quick Add &gt; Other</t>
        </is>
      </c>
      <c r="I1677" s="18" t="n">
        <v>16087.03</v>
      </c>
      <c r="J1677" t="inlineStr">
        <is>
          <t>Created MTR-IOS-1676 and correlation note visible in Activity/Pulse</t>
        </is>
      </c>
      <c r="K1677" t="inlineStr">
        <is>
          <t>NOT_RUN</t>
        </is>
      </c>
      <c r="P1677" t="n">
        <v>0</v>
      </c>
      <c r="Q1677" t="n">
        <v>1676</v>
      </c>
    </row>
    <row r="1678">
      <c r="A1678" t="n">
        <v>1677</v>
      </c>
      <c r="B1678" t="inlineStr">
        <is>
          <t>MTR-IOS-1677</t>
        </is>
      </c>
      <c r="C1678" t="inlineStr">
        <is>
          <t>iPhone</t>
        </is>
      </c>
      <c r="D1678" t="inlineStr">
        <is>
          <t>Business</t>
        </is>
      </c>
      <c r="E1678" t="inlineStr">
        <is>
          <t>Business</t>
        </is>
      </c>
      <c r="F1678" t="inlineStr">
        <is>
          <t>Business Runway</t>
        </is>
      </c>
      <c r="G1678" t="inlineStr">
        <is>
          <t>Investment</t>
        </is>
      </c>
      <c r="H1678" t="inlineStr">
        <is>
          <t>Business &gt; Business Runway &gt; Quick Add &gt; Investment</t>
        </is>
      </c>
      <c r="I1678" s="18" t="n">
        <v>77295.58</v>
      </c>
      <c r="J1678" t="inlineStr">
        <is>
          <t>Created MTR-IOS-1677 and correlation note visible in Activity/Pulse</t>
        </is>
      </c>
      <c r="K1678" t="inlineStr">
        <is>
          <t>NOT_RUN</t>
        </is>
      </c>
      <c r="P1678" t="n">
        <v>0</v>
      </c>
      <c r="Q1678" t="n">
        <v>1677</v>
      </c>
    </row>
    <row r="1679">
      <c r="A1679" t="n">
        <v>1678</v>
      </c>
      <c r="B1679" t="inlineStr">
        <is>
          <t>MTR-IOS-1678</t>
        </is>
      </c>
      <c r="C1679" t="inlineStr">
        <is>
          <t>iPhone</t>
        </is>
      </c>
      <c r="D1679" t="inlineStr">
        <is>
          <t>Personal</t>
        </is>
      </c>
      <c r="E1679" t="inlineStr">
        <is>
          <t>Personal</t>
        </is>
      </c>
      <c r="F1679" t="inlineStr">
        <is>
          <t>Future Building</t>
        </is>
      </c>
      <c r="G1679" t="inlineStr">
        <is>
          <t>Savings</t>
        </is>
      </c>
      <c r="H1679" t="inlineStr">
        <is>
          <t>Personal &gt; Future Building &gt; Quick Add &gt; Savings</t>
        </is>
      </c>
      <c r="I1679" s="18" t="n">
        <v>9090.559999999999</v>
      </c>
      <c r="J1679" t="inlineStr">
        <is>
          <t>Created MTR-IOS-1678 and correlation note visible in Activity/Pulse</t>
        </is>
      </c>
      <c r="K1679" t="inlineStr">
        <is>
          <t>NOT_RUN</t>
        </is>
      </c>
      <c r="P1679" t="n">
        <v>0</v>
      </c>
      <c r="Q1679" t="n">
        <v>1678</v>
      </c>
    </row>
    <row r="1680">
      <c r="A1680" t="n">
        <v>1679</v>
      </c>
      <c r="B1680" t="inlineStr">
        <is>
          <t>MTR-IOS-1679</t>
        </is>
      </c>
      <c r="C1680" t="inlineStr">
        <is>
          <t>iPhone</t>
        </is>
      </c>
      <c r="D1680" t="inlineStr">
        <is>
          <t>Group</t>
        </is>
      </c>
      <c r="E1680" t="inlineStr">
        <is>
          <t>Shared Purchase</t>
        </is>
      </c>
      <c r="F1680" t="inlineStr">
        <is>
          <t>Custom Purchase</t>
        </is>
      </c>
      <c r="G1680" t="inlineStr">
        <is>
          <t>Custom Expense</t>
        </is>
      </c>
      <c r="H1680" t="inlineStr">
        <is>
          <t>Group &gt; Custom Purchase &gt; Quick Add &gt; Custom Expense</t>
        </is>
      </c>
      <c r="I1680" s="18" t="n">
        <v>11000.8</v>
      </c>
      <c r="J1680" t="inlineStr">
        <is>
          <t>Created MTR-IOS-1679 and correlation note visible in Activity/Pulse</t>
        </is>
      </c>
      <c r="K1680" t="inlineStr">
        <is>
          <t>NOT_RUN</t>
        </is>
      </c>
      <c r="P1680" t="n">
        <v>0</v>
      </c>
      <c r="Q1680" t="n">
        <v>1679</v>
      </c>
    </row>
    <row r="1681">
      <c r="A1681" t="n">
        <v>1680</v>
      </c>
      <c r="B1681" t="inlineStr">
        <is>
          <t>MTR-IOS-1680</t>
        </is>
      </c>
      <c r="C1681" t="inlineStr">
        <is>
          <t>iPhone</t>
        </is>
      </c>
      <c r="D1681" t="inlineStr">
        <is>
          <t>Business</t>
        </is>
      </c>
      <c r="E1681" t="inlineStr">
        <is>
          <t>Business</t>
        </is>
      </c>
      <c r="F1681" t="inlineStr">
        <is>
          <t>Business Operations</t>
        </is>
      </c>
      <c r="G1681" t="inlineStr">
        <is>
          <t>Software</t>
        </is>
      </c>
      <c r="H1681" t="inlineStr">
        <is>
          <t>Business &gt; Business Operations &gt; Quick Add &gt; Software</t>
        </is>
      </c>
      <c r="I1681" s="18" t="n">
        <v>161326.32</v>
      </c>
      <c r="J1681" t="inlineStr">
        <is>
          <t>Created MTR-IOS-1680 and correlation note visible in Activity/Pulse</t>
        </is>
      </c>
      <c r="K1681" t="inlineStr">
        <is>
          <t>NOT_RUN</t>
        </is>
      </c>
      <c r="P1681" t="n">
        <v>0</v>
      </c>
      <c r="Q1681" t="n">
        <v>1680</v>
      </c>
    </row>
    <row r="1682">
      <c r="A1682" t="n">
        <v>1681</v>
      </c>
      <c r="B1682" t="inlineStr">
        <is>
          <t>MTR-IOS-1681</t>
        </is>
      </c>
      <c r="C1682" t="inlineStr">
        <is>
          <t>iPhone</t>
        </is>
      </c>
      <c r="D1682" t="inlineStr">
        <is>
          <t>Personal</t>
        </is>
      </c>
      <c r="E1682" t="inlineStr">
        <is>
          <t>Personal</t>
        </is>
      </c>
      <c r="F1682" t="inlineStr">
        <is>
          <t>Future Building</t>
        </is>
      </c>
      <c r="G1682" t="inlineStr">
        <is>
          <t>Emergency Fund</t>
        </is>
      </c>
      <c r="H1682" t="inlineStr">
        <is>
          <t>Personal &gt; Future Building &gt; Quick Add &gt; Emergency Fund</t>
        </is>
      </c>
      <c r="I1682" s="18" t="n">
        <v>17809.47</v>
      </c>
      <c r="J1682" t="inlineStr">
        <is>
          <t>Created MTR-IOS-1681 and correlation note visible in Activity/Pulse</t>
        </is>
      </c>
      <c r="K1682" t="inlineStr">
        <is>
          <t>NOT_RUN</t>
        </is>
      </c>
      <c r="P1682" t="n">
        <v>0</v>
      </c>
      <c r="Q1682" t="n">
        <v>1681</v>
      </c>
    </row>
    <row r="1683">
      <c r="A1683" t="n">
        <v>1682</v>
      </c>
      <c r="B1683" t="inlineStr">
        <is>
          <t>MTR-IOS-1682</t>
        </is>
      </c>
      <c r="C1683" t="inlineStr">
        <is>
          <t>iPhone</t>
        </is>
      </c>
      <c r="D1683" t="inlineStr">
        <is>
          <t>Group</t>
        </is>
      </c>
      <c r="E1683" t="inlineStr">
        <is>
          <t>Shared Purchase</t>
        </is>
      </c>
      <c r="F1683" t="inlineStr">
        <is>
          <t>Custom Purchase</t>
        </is>
      </c>
      <c r="G1683" t="inlineStr">
        <is>
          <t>Custom Contribution</t>
        </is>
      </c>
      <c r="H1683" t="inlineStr">
        <is>
          <t>Group &gt; Custom Purchase &gt; Quick Add &gt; Custom Contribution</t>
        </is>
      </c>
      <c r="I1683" s="18" t="n">
        <v>20177.18</v>
      </c>
      <c r="J1683" t="inlineStr">
        <is>
          <t>Created MTR-IOS-1682 and correlation note visible in Activity/Pulse</t>
        </is>
      </c>
      <c r="K1683" t="inlineStr">
        <is>
          <t>NOT_RUN</t>
        </is>
      </c>
      <c r="P1683" t="n">
        <v>0</v>
      </c>
      <c r="Q1683" t="n">
        <v>1682</v>
      </c>
    </row>
    <row r="1684">
      <c r="A1684" t="n">
        <v>1683</v>
      </c>
      <c r="B1684" t="inlineStr">
        <is>
          <t>MTR-IOS-1683</t>
        </is>
      </c>
      <c r="C1684" t="inlineStr">
        <is>
          <t>iPhone</t>
        </is>
      </c>
      <c r="D1684" t="inlineStr">
        <is>
          <t>Business</t>
        </is>
      </c>
      <c r="E1684" t="inlineStr">
        <is>
          <t>Business</t>
        </is>
      </c>
      <c r="F1684" t="inlineStr">
        <is>
          <t>Business Operations</t>
        </is>
      </c>
      <c r="G1684" t="inlineStr">
        <is>
          <t>Rent</t>
        </is>
      </c>
      <c r="H1684" t="inlineStr">
        <is>
          <t>Business &gt; Business Operations &gt; Quick Add &gt; Rent</t>
        </is>
      </c>
      <c r="I1684" s="18" t="n">
        <v>122248.81</v>
      </c>
      <c r="J1684" t="inlineStr">
        <is>
          <t>Created MTR-IOS-1683 and correlation note visible in Activity/Pulse</t>
        </is>
      </c>
      <c r="K1684" t="inlineStr">
        <is>
          <t>NOT_RUN</t>
        </is>
      </c>
      <c r="P1684" t="n">
        <v>0</v>
      </c>
      <c r="Q1684" t="n">
        <v>1683</v>
      </c>
    </row>
    <row r="1685">
      <c r="A1685" t="n">
        <v>1684</v>
      </c>
      <c r="B1685" t="inlineStr">
        <is>
          <t>MTR-IOS-1684</t>
        </is>
      </c>
      <c r="C1685" t="inlineStr">
        <is>
          <t>iPhone</t>
        </is>
      </c>
      <c r="D1685" t="inlineStr">
        <is>
          <t>Personal</t>
        </is>
      </c>
      <c r="E1685" t="inlineStr">
        <is>
          <t>Personal</t>
        </is>
      </c>
      <c r="F1685" t="inlineStr">
        <is>
          <t>Future Building</t>
        </is>
      </c>
      <c r="G1685" t="inlineStr">
        <is>
          <t>Investments</t>
        </is>
      </c>
      <c r="H1685" t="inlineStr">
        <is>
          <t>Personal &gt; Future Building &gt; Quick Add &gt; Investments</t>
        </is>
      </c>
      <c r="I1685" s="18" t="n">
        <v>2280.7</v>
      </c>
      <c r="J1685" t="inlineStr">
        <is>
          <t>Created MTR-IOS-1684 and correlation note visible in Activity/Pulse</t>
        </is>
      </c>
      <c r="K1685" t="inlineStr">
        <is>
          <t>NOT_RUN</t>
        </is>
      </c>
      <c r="P1685" t="n">
        <v>0</v>
      </c>
      <c r="Q1685" t="n">
        <v>1684</v>
      </c>
    </row>
    <row r="1686">
      <c r="A1686" t="n">
        <v>1685</v>
      </c>
      <c r="B1686" t="inlineStr">
        <is>
          <t>MTR-IOS-1685</t>
        </is>
      </c>
      <c r="C1686" t="inlineStr">
        <is>
          <t>iPhone</t>
        </is>
      </c>
      <c r="D1686" t="inlineStr">
        <is>
          <t>Group</t>
        </is>
      </c>
      <c r="E1686" t="inlineStr">
        <is>
          <t>Shared Living</t>
        </is>
      </c>
      <c r="F1686" t="inlineStr">
        <is>
          <t>Flatmates</t>
        </is>
      </c>
      <c r="G1686" t="inlineStr">
        <is>
          <t>Rent</t>
        </is>
      </c>
      <c r="H1686" t="inlineStr">
        <is>
          <t>Group &gt; Flatmates &gt; Quick Add &gt; Rent</t>
        </is>
      </c>
      <c r="I1686" s="18" t="n">
        <v>26914.08</v>
      </c>
      <c r="J1686" t="inlineStr">
        <is>
          <t>Created MTR-IOS-1685 and correlation note visible in Activity/Pulse</t>
        </is>
      </c>
      <c r="K1686" t="inlineStr">
        <is>
          <t>NOT_RUN</t>
        </is>
      </c>
      <c r="P1686" t="n">
        <v>0</v>
      </c>
      <c r="Q1686" t="n">
        <v>1685</v>
      </c>
    </row>
    <row r="1687">
      <c r="A1687" t="n">
        <v>1686</v>
      </c>
      <c r="B1687" t="inlineStr">
        <is>
          <t>MTR-IOS-1686</t>
        </is>
      </c>
      <c r="C1687" t="inlineStr">
        <is>
          <t>iPhone</t>
        </is>
      </c>
      <c r="D1687" t="inlineStr">
        <is>
          <t>Business</t>
        </is>
      </c>
      <c r="E1687" t="inlineStr">
        <is>
          <t>Business</t>
        </is>
      </c>
      <c r="F1687" t="inlineStr">
        <is>
          <t>Business Operations</t>
        </is>
      </c>
      <c r="G1687" t="inlineStr">
        <is>
          <t>Marketing</t>
        </is>
      </c>
      <c r="H1687" t="inlineStr">
        <is>
          <t>Business &gt; Business Operations &gt; Quick Add &gt; Marketing</t>
        </is>
      </c>
      <c r="I1687" s="18" t="n">
        <v>114559.95</v>
      </c>
      <c r="J1687" t="inlineStr">
        <is>
          <t>Created MTR-IOS-1686 and correlation note visible in Activity/Pulse</t>
        </is>
      </c>
      <c r="K1687" t="inlineStr">
        <is>
          <t>NOT_RUN</t>
        </is>
      </c>
      <c r="P1687" t="n">
        <v>0</v>
      </c>
      <c r="Q1687" t="n">
        <v>1686</v>
      </c>
    </row>
    <row r="1688">
      <c r="A1688" t="n">
        <v>1687</v>
      </c>
      <c r="B1688" t="inlineStr">
        <is>
          <t>MTR-IOS-1687</t>
        </is>
      </c>
      <c r="C1688" t="inlineStr">
        <is>
          <t>iPhone</t>
        </is>
      </c>
      <c r="D1688" t="inlineStr">
        <is>
          <t>Personal</t>
        </is>
      </c>
      <c r="E1688" t="inlineStr">
        <is>
          <t>Personal</t>
        </is>
      </c>
      <c r="F1688" t="inlineStr">
        <is>
          <t>Future Building</t>
        </is>
      </c>
      <c r="G1688" t="inlineStr">
        <is>
          <t>Education</t>
        </is>
      </c>
      <c r="H1688" t="inlineStr">
        <is>
          <t>Personal &gt; Future Building &gt; Quick Add &gt; Education</t>
        </is>
      </c>
      <c r="I1688" s="18" t="n">
        <v>17247.48</v>
      </c>
      <c r="J1688" t="inlineStr">
        <is>
          <t>Created MTR-IOS-1687 and correlation note visible in Activity/Pulse</t>
        </is>
      </c>
      <c r="K1688" t="inlineStr">
        <is>
          <t>NOT_RUN</t>
        </is>
      </c>
      <c r="P1688" t="n">
        <v>0</v>
      </c>
      <c r="Q1688" t="n">
        <v>1687</v>
      </c>
    </row>
    <row r="1689">
      <c r="A1689" t="n">
        <v>1688</v>
      </c>
      <c r="B1689" t="inlineStr">
        <is>
          <t>MTR-IOS-1688</t>
        </is>
      </c>
      <c r="C1689" t="inlineStr">
        <is>
          <t>iPhone</t>
        </is>
      </c>
      <c r="D1689" t="inlineStr">
        <is>
          <t>Group</t>
        </is>
      </c>
      <c r="E1689" t="inlineStr">
        <is>
          <t>Shared Living</t>
        </is>
      </c>
      <c r="F1689" t="inlineStr">
        <is>
          <t>Flatmates</t>
        </is>
      </c>
      <c r="G1689" t="inlineStr">
        <is>
          <t>Utilities</t>
        </is>
      </c>
      <c r="H1689" t="inlineStr">
        <is>
          <t>Group &gt; Flatmates &gt; Quick Add &gt; Utilities</t>
        </is>
      </c>
      <c r="I1689" s="18" t="n">
        <v>26634.28</v>
      </c>
      <c r="J1689" t="inlineStr">
        <is>
          <t>Created MTR-IOS-1688 and correlation note visible in Activity/Pulse</t>
        </is>
      </c>
      <c r="K1689" t="inlineStr">
        <is>
          <t>NOT_RUN</t>
        </is>
      </c>
      <c r="P1689" t="n">
        <v>0</v>
      </c>
      <c r="Q1689" t="n">
        <v>1688</v>
      </c>
    </row>
    <row r="1690">
      <c r="A1690" t="n">
        <v>1689</v>
      </c>
      <c r="B1690" t="inlineStr">
        <is>
          <t>MTR-IOS-1689</t>
        </is>
      </c>
      <c r="C1690" t="inlineStr">
        <is>
          <t>iPhone</t>
        </is>
      </c>
      <c r="D1690" t="inlineStr">
        <is>
          <t>Business</t>
        </is>
      </c>
      <c r="E1690" t="inlineStr">
        <is>
          <t>Business</t>
        </is>
      </c>
      <c r="F1690" t="inlineStr">
        <is>
          <t>Business Operations</t>
        </is>
      </c>
      <c r="G1690" t="inlineStr">
        <is>
          <t>Legal</t>
        </is>
      </c>
      <c r="H1690" t="inlineStr">
        <is>
          <t>Business &gt; Business Operations &gt; Quick Add &gt; Legal</t>
        </is>
      </c>
      <c r="I1690" s="18" t="n">
        <v>104130.94</v>
      </c>
      <c r="J1690" t="inlineStr">
        <is>
          <t>Created MTR-IOS-1689 and correlation note visible in Activity/Pulse</t>
        </is>
      </c>
      <c r="K1690" t="inlineStr">
        <is>
          <t>NOT_RUN</t>
        </is>
      </c>
      <c r="P1690" t="n">
        <v>0</v>
      </c>
      <c r="Q1690" t="n">
        <v>1689</v>
      </c>
    </row>
    <row r="1691">
      <c r="A1691" t="n">
        <v>1690</v>
      </c>
      <c r="B1691" t="inlineStr">
        <is>
          <t>MTR-IOS-1690</t>
        </is>
      </c>
      <c r="C1691" t="inlineStr">
        <is>
          <t>iPhone</t>
        </is>
      </c>
      <c r="D1691" t="inlineStr">
        <is>
          <t>Personal</t>
        </is>
      </c>
      <c r="E1691" t="inlineStr">
        <is>
          <t>Personal</t>
        </is>
      </c>
      <c r="F1691" t="inlineStr">
        <is>
          <t>Future Building</t>
        </is>
      </c>
      <c r="G1691" t="inlineStr">
        <is>
          <t>Goal Contribution</t>
        </is>
      </c>
      <c r="H1691" t="inlineStr">
        <is>
          <t>Personal &gt; Future Building &gt; Quick Add &gt; Goal Contribution</t>
        </is>
      </c>
      <c r="I1691" s="18" t="n">
        <v>8544.629999999999</v>
      </c>
      <c r="J1691" t="inlineStr">
        <is>
          <t>Created MTR-IOS-1690 and correlation note visible in Activity/Pulse</t>
        </is>
      </c>
      <c r="K1691" t="inlineStr">
        <is>
          <t>NOT_RUN</t>
        </is>
      </c>
      <c r="P1691" t="n">
        <v>0</v>
      </c>
      <c r="Q1691" t="n">
        <v>1690</v>
      </c>
    </row>
    <row r="1692">
      <c r="A1692" t="n">
        <v>1691</v>
      </c>
      <c r="B1692" t="inlineStr">
        <is>
          <t>MTR-IOS-1691</t>
        </is>
      </c>
      <c r="C1692" t="inlineStr">
        <is>
          <t>iPhone</t>
        </is>
      </c>
      <c r="D1692" t="inlineStr">
        <is>
          <t>Group</t>
        </is>
      </c>
      <c r="E1692" t="inlineStr">
        <is>
          <t>Shared Living</t>
        </is>
      </c>
      <c r="F1692" t="inlineStr">
        <is>
          <t>Flatmates</t>
        </is>
      </c>
      <c r="G1692" t="inlineStr">
        <is>
          <t>Groceries</t>
        </is>
      </c>
      <c r="H1692" t="inlineStr">
        <is>
          <t>Group &gt; Flatmates &gt; Quick Add &gt; Groceries</t>
        </is>
      </c>
      <c r="I1692" s="18" t="n">
        <v>7867.74</v>
      </c>
      <c r="J1692" t="inlineStr">
        <is>
          <t>Created MTR-IOS-1691 and correlation note visible in Activity/Pulse</t>
        </is>
      </c>
      <c r="K1692" t="inlineStr">
        <is>
          <t>NOT_RUN</t>
        </is>
      </c>
      <c r="P1692" t="n">
        <v>0</v>
      </c>
      <c r="Q1692" t="n">
        <v>1691</v>
      </c>
    </row>
    <row r="1693">
      <c r="A1693" t="n">
        <v>1692</v>
      </c>
      <c r="B1693" t="inlineStr">
        <is>
          <t>MTR-IOS-1692</t>
        </is>
      </c>
      <c r="C1693" t="inlineStr">
        <is>
          <t>iPhone</t>
        </is>
      </c>
      <c r="D1693" t="inlineStr">
        <is>
          <t>Business</t>
        </is>
      </c>
      <c r="E1693" t="inlineStr">
        <is>
          <t>Business</t>
        </is>
      </c>
      <c r="F1693" t="inlineStr">
        <is>
          <t>Business Operations</t>
        </is>
      </c>
      <c r="G1693" t="inlineStr">
        <is>
          <t>Accounting</t>
        </is>
      </c>
      <c r="H1693" t="inlineStr">
        <is>
          <t>Business &gt; Business Operations &gt; Quick Add &gt; Accounting</t>
        </is>
      </c>
      <c r="I1693" s="18" t="n">
        <v>113506.89</v>
      </c>
      <c r="J1693" t="inlineStr">
        <is>
          <t>Created MTR-IOS-1692 and correlation note visible in Activity/Pulse</t>
        </is>
      </c>
      <c r="K1693" t="inlineStr">
        <is>
          <t>NOT_RUN</t>
        </is>
      </c>
      <c r="P1693" t="n">
        <v>0</v>
      </c>
      <c r="Q1693" t="n">
        <v>1692</v>
      </c>
    </row>
    <row r="1694">
      <c r="A1694" t="n">
        <v>1693</v>
      </c>
      <c r="B1694" t="inlineStr">
        <is>
          <t>MTR-IOS-1693</t>
        </is>
      </c>
      <c r="C1694" t="inlineStr">
        <is>
          <t>iPhone</t>
        </is>
      </c>
      <c r="D1694" t="inlineStr">
        <is>
          <t>Personal</t>
        </is>
      </c>
      <c r="E1694" t="inlineStr">
        <is>
          <t>Personal</t>
        </is>
      </c>
      <c r="F1694" t="inlineStr">
        <is>
          <t>Lifestyle</t>
        </is>
      </c>
      <c r="G1694" t="inlineStr">
        <is>
          <t>Dining</t>
        </is>
      </c>
      <c r="H1694" t="inlineStr">
        <is>
          <t>Personal &gt; Lifestyle &gt; Quick Add &gt; Dining</t>
        </is>
      </c>
      <c r="I1694" s="18" t="n">
        <v>15695.46</v>
      </c>
      <c r="J1694" t="inlineStr">
        <is>
          <t>Created MTR-IOS-1693 and correlation note visible in Activity/Pulse</t>
        </is>
      </c>
      <c r="K1694" t="inlineStr">
        <is>
          <t>NOT_RUN</t>
        </is>
      </c>
      <c r="P1694" t="n">
        <v>0</v>
      </c>
      <c r="Q1694" t="n">
        <v>1693</v>
      </c>
    </row>
    <row r="1695">
      <c r="A1695" t="n">
        <v>1694</v>
      </c>
      <c r="B1695" t="inlineStr">
        <is>
          <t>MTR-IOS-1694</t>
        </is>
      </c>
      <c r="C1695" t="inlineStr">
        <is>
          <t>iPhone</t>
        </is>
      </c>
      <c r="D1695" t="inlineStr">
        <is>
          <t>Group</t>
        </is>
      </c>
      <c r="E1695" t="inlineStr">
        <is>
          <t>Shared Living</t>
        </is>
      </c>
      <c r="F1695" t="inlineStr">
        <is>
          <t>Flatmates</t>
        </is>
      </c>
      <c r="G1695" t="inlineStr">
        <is>
          <t>Internet</t>
        </is>
      </c>
      <c r="H1695" t="inlineStr">
        <is>
          <t>Group &gt; Flatmates &gt; Quick Add &gt; Internet</t>
        </is>
      </c>
      <c r="I1695" s="18" t="n">
        <v>5200.74</v>
      </c>
      <c r="J1695" t="inlineStr">
        <is>
          <t>Created MTR-IOS-1694 and correlation note visible in Activity/Pulse</t>
        </is>
      </c>
      <c r="K1695" t="inlineStr">
        <is>
          <t>NOT_RUN</t>
        </is>
      </c>
      <c r="P1695" t="n">
        <v>0</v>
      </c>
      <c r="Q1695" t="n">
        <v>1694</v>
      </c>
    </row>
    <row r="1696">
      <c r="A1696" t="n">
        <v>1695</v>
      </c>
      <c r="B1696" t="inlineStr">
        <is>
          <t>MTR-IOS-1695</t>
        </is>
      </c>
      <c r="C1696" t="inlineStr">
        <is>
          <t>iPhone</t>
        </is>
      </c>
      <c r="D1696" t="inlineStr">
        <is>
          <t>Business</t>
        </is>
      </c>
      <c r="E1696" t="inlineStr">
        <is>
          <t>Business</t>
        </is>
      </c>
      <c r="F1696" t="inlineStr">
        <is>
          <t>Business Operations</t>
        </is>
      </c>
      <c r="G1696" t="inlineStr">
        <is>
          <t>Equipment</t>
        </is>
      </c>
      <c r="H1696" t="inlineStr">
        <is>
          <t>Business &gt; Business Operations &gt; Quick Add &gt; Equipment</t>
        </is>
      </c>
      <c r="I1696" s="18" t="n">
        <v>33693.74</v>
      </c>
      <c r="J1696" t="inlineStr">
        <is>
          <t>Created MTR-IOS-1695 and correlation note visible in Activity/Pulse</t>
        </is>
      </c>
      <c r="K1696" t="inlineStr">
        <is>
          <t>NOT_RUN</t>
        </is>
      </c>
      <c r="P1696" t="n">
        <v>0</v>
      </c>
      <c r="Q1696" t="n">
        <v>1695</v>
      </c>
    </row>
    <row r="1697">
      <c r="A1697" t="n">
        <v>1696</v>
      </c>
      <c r="B1697" t="inlineStr">
        <is>
          <t>MTR-IOS-1696</t>
        </is>
      </c>
      <c r="C1697" t="inlineStr">
        <is>
          <t>iPhone</t>
        </is>
      </c>
      <c r="D1697" t="inlineStr">
        <is>
          <t>Personal</t>
        </is>
      </c>
      <c r="E1697" t="inlineStr">
        <is>
          <t>Personal</t>
        </is>
      </c>
      <c r="F1697" t="inlineStr">
        <is>
          <t>Lifestyle</t>
        </is>
      </c>
      <c r="G1697" t="inlineStr">
        <is>
          <t>Shopping</t>
        </is>
      </c>
      <c r="H1697" t="inlineStr">
        <is>
          <t>Personal &gt; Lifestyle &gt; Quick Add &gt; Shopping</t>
        </is>
      </c>
      <c r="I1697" s="18" t="n">
        <v>3733.24</v>
      </c>
      <c r="J1697" t="inlineStr">
        <is>
          <t>Created MTR-IOS-1696 and correlation note visible in Activity/Pulse</t>
        </is>
      </c>
      <c r="K1697" t="inlineStr">
        <is>
          <t>NOT_RUN</t>
        </is>
      </c>
      <c r="P1697" t="n">
        <v>0</v>
      </c>
      <c r="Q1697" t="n">
        <v>1696</v>
      </c>
    </row>
    <row r="1698">
      <c r="A1698" t="n">
        <v>1697</v>
      </c>
      <c r="B1698" t="inlineStr">
        <is>
          <t>MTR-IOS-1697</t>
        </is>
      </c>
      <c r="C1698" t="inlineStr">
        <is>
          <t>iPhone</t>
        </is>
      </c>
      <c r="D1698" t="inlineStr">
        <is>
          <t>Group</t>
        </is>
      </c>
      <c r="E1698" t="inlineStr">
        <is>
          <t>Shared Living</t>
        </is>
      </c>
      <c r="F1698" t="inlineStr">
        <is>
          <t>Flatmates</t>
        </is>
      </c>
      <c r="G1698" t="inlineStr">
        <is>
          <t>House Supplies</t>
        </is>
      </c>
      <c r="H1698" t="inlineStr">
        <is>
          <t>Group &gt; Flatmates &gt; Quick Add &gt; House Supplies</t>
        </is>
      </c>
      <c r="I1698" s="18" t="n">
        <v>2269.1</v>
      </c>
      <c r="J1698" t="inlineStr">
        <is>
          <t>Created MTR-IOS-1697 and correlation note visible in Activity/Pulse</t>
        </is>
      </c>
      <c r="K1698" t="inlineStr">
        <is>
          <t>NOT_RUN</t>
        </is>
      </c>
      <c r="P1698" t="n">
        <v>0</v>
      </c>
      <c r="Q1698" t="n">
        <v>1697</v>
      </c>
    </row>
    <row r="1699">
      <c r="A1699" t="n">
        <v>1698</v>
      </c>
      <c r="B1699" t="inlineStr">
        <is>
          <t>MTR-IOS-1698</t>
        </is>
      </c>
      <c r="C1699" t="inlineStr">
        <is>
          <t>iPhone</t>
        </is>
      </c>
      <c r="D1699" t="inlineStr">
        <is>
          <t>Business</t>
        </is>
      </c>
      <c r="E1699" t="inlineStr">
        <is>
          <t>Business</t>
        </is>
      </c>
      <c r="F1699" t="inlineStr">
        <is>
          <t>Business Operations</t>
        </is>
      </c>
      <c r="G1699" t="inlineStr">
        <is>
          <t>Vendor</t>
        </is>
      </c>
      <c r="H1699" t="inlineStr">
        <is>
          <t>Business &gt; Business Operations &gt; Quick Add &gt; Vendor</t>
        </is>
      </c>
      <c r="I1699" s="18" t="n">
        <v>149993.28</v>
      </c>
      <c r="J1699" t="inlineStr">
        <is>
          <t>Created MTR-IOS-1698 and correlation note visible in Activity/Pulse</t>
        </is>
      </c>
      <c r="K1699" t="inlineStr">
        <is>
          <t>NOT_RUN</t>
        </is>
      </c>
      <c r="P1699" t="n">
        <v>0</v>
      </c>
      <c r="Q1699" t="n">
        <v>1698</v>
      </c>
    </row>
    <row r="1700">
      <c r="A1700" t="n">
        <v>1699</v>
      </c>
      <c r="B1700" t="inlineStr">
        <is>
          <t>MTR-IOS-1699</t>
        </is>
      </c>
      <c r="C1700" t="inlineStr">
        <is>
          <t>iPhone</t>
        </is>
      </c>
      <c r="D1700" t="inlineStr">
        <is>
          <t>Personal</t>
        </is>
      </c>
      <c r="E1700" t="inlineStr">
        <is>
          <t>Personal</t>
        </is>
      </c>
      <c r="F1700" t="inlineStr">
        <is>
          <t>Lifestyle</t>
        </is>
      </c>
      <c r="G1700" t="inlineStr">
        <is>
          <t>Entertainment</t>
        </is>
      </c>
      <c r="H1700" t="inlineStr">
        <is>
          <t>Personal &gt; Lifestyle &gt; Quick Add &gt; Entertainment</t>
        </is>
      </c>
      <c r="I1700" s="18" t="n">
        <v>4438.3</v>
      </c>
      <c r="J1700" t="inlineStr">
        <is>
          <t>Created MTR-IOS-1699 and correlation note visible in Activity/Pulse</t>
        </is>
      </c>
      <c r="K1700" t="inlineStr">
        <is>
          <t>NOT_RUN</t>
        </is>
      </c>
      <c r="P1700" t="n">
        <v>0</v>
      </c>
      <c r="Q1700" t="n">
        <v>1699</v>
      </c>
    </row>
    <row r="1701">
      <c r="A1701" t="n">
        <v>1700</v>
      </c>
      <c r="B1701" t="inlineStr">
        <is>
          <t>MTR-IOS-1700</t>
        </is>
      </c>
      <c r="C1701" t="inlineStr">
        <is>
          <t>iPhone</t>
        </is>
      </c>
      <c r="D1701" t="inlineStr">
        <is>
          <t>Group</t>
        </is>
      </c>
      <c r="E1701" t="inlineStr">
        <is>
          <t>Shared Living</t>
        </is>
      </c>
      <c r="F1701" t="inlineStr">
        <is>
          <t>Flatmates</t>
        </is>
      </c>
      <c r="G1701" t="inlineStr">
        <is>
          <t>Repairs</t>
        </is>
      </c>
      <c r="H1701" t="inlineStr">
        <is>
          <t>Group &gt; Flatmates &gt; Quick Add &gt; Repairs</t>
        </is>
      </c>
      <c r="I1701" s="18" t="n">
        <v>15676.34</v>
      </c>
      <c r="J1701" t="inlineStr">
        <is>
          <t>Created MTR-IOS-1700 and correlation note visible in Activity/Pulse</t>
        </is>
      </c>
      <c r="K1701" t="inlineStr">
        <is>
          <t>NOT_RUN</t>
        </is>
      </c>
      <c r="P1701" t="n">
        <v>0</v>
      </c>
      <c r="Q1701" t="n">
        <v>1700</v>
      </c>
    </row>
    <row r="1702">
      <c r="A1702" t="n">
        <v>1701</v>
      </c>
      <c r="B1702" t="inlineStr">
        <is>
          <t>MTR-IOS-1701</t>
        </is>
      </c>
      <c r="C1702" t="inlineStr">
        <is>
          <t>iPhone</t>
        </is>
      </c>
      <c r="D1702" t="inlineStr">
        <is>
          <t>Business</t>
        </is>
      </c>
      <c r="E1702" t="inlineStr">
        <is>
          <t>Business</t>
        </is>
      </c>
      <c r="F1702" t="inlineStr">
        <is>
          <t>Business Operations</t>
        </is>
      </c>
      <c r="G1702" t="inlineStr">
        <is>
          <t>Tax</t>
        </is>
      </c>
      <c r="H1702" t="inlineStr">
        <is>
          <t>Business &gt; Business Operations &gt; Quick Add &gt; Tax</t>
        </is>
      </c>
      <c r="I1702" s="18" t="n">
        <v>58888.56</v>
      </c>
      <c r="J1702" t="inlineStr">
        <is>
          <t>Created MTR-IOS-1701 and correlation note visible in Activity/Pulse</t>
        </is>
      </c>
      <c r="K1702" t="inlineStr">
        <is>
          <t>NOT_RUN</t>
        </is>
      </c>
      <c r="P1702" t="n">
        <v>0</v>
      </c>
      <c r="Q1702" t="n">
        <v>1701</v>
      </c>
    </row>
    <row r="1703">
      <c r="A1703" t="n">
        <v>1702</v>
      </c>
      <c r="B1703" t="inlineStr">
        <is>
          <t>MTR-IOS-1702</t>
        </is>
      </c>
      <c r="C1703" t="inlineStr">
        <is>
          <t>iPhone</t>
        </is>
      </c>
      <c r="D1703" t="inlineStr">
        <is>
          <t>Personal</t>
        </is>
      </c>
      <c r="E1703" t="inlineStr">
        <is>
          <t>Personal</t>
        </is>
      </c>
      <c r="F1703" t="inlineStr">
        <is>
          <t>Lifestyle</t>
        </is>
      </c>
      <c r="G1703" t="inlineStr">
        <is>
          <t>Travel</t>
        </is>
      </c>
      <c r="H1703" t="inlineStr">
        <is>
          <t>Personal &gt; Lifestyle &gt; Quick Add &gt; Travel</t>
        </is>
      </c>
      <c r="I1703" s="18" t="n">
        <v>999.99</v>
      </c>
      <c r="J1703" t="inlineStr">
        <is>
          <t>Created MTR-IOS-1702 and correlation note visible in Activity/Pulse</t>
        </is>
      </c>
      <c r="K1703" t="inlineStr">
        <is>
          <t>NOT_RUN</t>
        </is>
      </c>
      <c r="P1703" t="n">
        <v>0</v>
      </c>
      <c r="Q1703" t="n">
        <v>1702</v>
      </c>
    </row>
    <row r="1704">
      <c r="A1704" t="n">
        <v>1703</v>
      </c>
      <c r="B1704" t="inlineStr">
        <is>
          <t>MTR-IOS-1703</t>
        </is>
      </c>
      <c r="C1704" t="inlineStr">
        <is>
          <t>iPhone</t>
        </is>
      </c>
      <c r="D1704" t="inlineStr">
        <is>
          <t>Group</t>
        </is>
      </c>
      <c r="E1704" t="inlineStr">
        <is>
          <t>Shared Living</t>
        </is>
      </c>
      <c r="F1704" t="inlineStr">
        <is>
          <t>Shared Living</t>
        </is>
      </c>
      <c r="G1704" t="inlineStr">
        <is>
          <t>Rent</t>
        </is>
      </c>
      <c r="H1704" t="inlineStr">
        <is>
          <t>Group &gt; Shared Living &gt; Quick Add &gt; Rent</t>
        </is>
      </c>
      <c r="I1704" s="18" t="n">
        <v>20869.27</v>
      </c>
      <c r="J1704" t="inlineStr">
        <is>
          <t>Created MTR-IOS-1703 and correlation note visible in Activity/Pulse</t>
        </is>
      </c>
      <c r="K1704" t="inlineStr">
        <is>
          <t>NOT_RUN</t>
        </is>
      </c>
      <c r="P1704" t="n">
        <v>0</v>
      </c>
      <c r="Q1704" t="n">
        <v>1703</v>
      </c>
    </row>
    <row r="1705">
      <c r="A1705" t="n">
        <v>1704</v>
      </c>
      <c r="B1705" t="inlineStr">
        <is>
          <t>MTR-IOS-1704</t>
        </is>
      </c>
      <c r="C1705" t="inlineStr">
        <is>
          <t>iPhone</t>
        </is>
      </c>
      <c r="D1705" t="inlineStr">
        <is>
          <t>Business</t>
        </is>
      </c>
      <c r="E1705" t="inlineStr">
        <is>
          <t>Business</t>
        </is>
      </c>
      <c r="F1705" t="inlineStr">
        <is>
          <t>Team Operations</t>
        </is>
      </c>
      <c r="G1705" t="inlineStr">
        <is>
          <t>Payroll</t>
        </is>
      </c>
      <c r="H1705" t="inlineStr">
        <is>
          <t>Business &gt; Team Operations &gt; Quick Add &gt; Payroll</t>
        </is>
      </c>
      <c r="I1705" s="18" t="n">
        <v>30953.51</v>
      </c>
      <c r="J1705" t="inlineStr">
        <is>
          <t>Created MTR-IOS-1704 and correlation note visible in Activity/Pulse</t>
        </is>
      </c>
      <c r="K1705" t="inlineStr">
        <is>
          <t>NOT_RUN</t>
        </is>
      </c>
      <c r="P1705" t="n">
        <v>0</v>
      </c>
      <c r="Q1705" t="n">
        <v>1704</v>
      </c>
    </row>
    <row r="1706">
      <c r="A1706" t="n">
        <v>1705</v>
      </c>
      <c r="B1706" t="inlineStr">
        <is>
          <t>MTR-IOS-1705</t>
        </is>
      </c>
      <c r="C1706" t="inlineStr">
        <is>
          <t>iPhone</t>
        </is>
      </c>
      <c r="D1706" t="inlineStr">
        <is>
          <t>Personal</t>
        </is>
      </c>
      <c r="E1706" t="inlineStr">
        <is>
          <t>Personal</t>
        </is>
      </c>
      <c r="F1706" t="inlineStr">
        <is>
          <t>Lifestyle</t>
        </is>
      </c>
      <c r="G1706" t="inlineStr">
        <is>
          <t>Fitness</t>
        </is>
      </c>
      <c r="H1706" t="inlineStr">
        <is>
          <t>Personal &gt; Lifestyle &gt; Quick Add &gt; Fitness</t>
        </is>
      </c>
      <c r="I1706" s="18" t="n">
        <v>12563.36</v>
      </c>
      <c r="J1706" t="inlineStr">
        <is>
          <t>Created MTR-IOS-1705 and correlation note visible in Activity/Pulse</t>
        </is>
      </c>
      <c r="K1706" t="inlineStr">
        <is>
          <t>NOT_RUN</t>
        </is>
      </c>
      <c r="P1706" t="n">
        <v>0</v>
      </c>
      <c r="Q1706" t="n">
        <v>1705</v>
      </c>
    </row>
    <row r="1707">
      <c r="A1707" t="n">
        <v>1706</v>
      </c>
      <c r="B1707" t="inlineStr">
        <is>
          <t>MTR-IOS-1706</t>
        </is>
      </c>
      <c r="C1707" t="inlineStr">
        <is>
          <t>iPhone</t>
        </is>
      </c>
      <c r="D1707" t="inlineStr">
        <is>
          <t>Group</t>
        </is>
      </c>
      <c r="E1707" t="inlineStr">
        <is>
          <t>Shared Living</t>
        </is>
      </c>
      <c r="F1707" t="inlineStr">
        <is>
          <t>Shared Living</t>
        </is>
      </c>
      <c r="G1707" t="inlineStr">
        <is>
          <t>Utilities</t>
        </is>
      </c>
      <c r="H1707" t="inlineStr">
        <is>
          <t>Group &gt; Shared Living &gt; Quick Add &gt; Utilities</t>
        </is>
      </c>
      <c r="I1707" s="18" t="n">
        <v>25655.5</v>
      </c>
      <c r="J1707" t="inlineStr">
        <is>
          <t>Created MTR-IOS-1706 and correlation note visible in Activity/Pulse</t>
        </is>
      </c>
      <c r="K1707" t="inlineStr">
        <is>
          <t>NOT_RUN</t>
        </is>
      </c>
      <c r="P1707" t="n">
        <v>0</v>
      </c>
      <c r="Q1707" t="n">
        <v>1706</v>
      </c>
    </row>
    <row r="1708">
      <c r="A1708" t="n">
        <v>1707</v>
      </c>
      <c r="B1708" t="inlineStr">
        <is>
          <t>MTR-IOS-1707</t>
        </is>
      </c>
      <c r="C1708" t="inlineStr">
        <is>
          <t>iPhone</t>
        </is>
      </c>
      <c r="D1708" t="inlineStr">
        <is>
          <t>Business</t>
        </is>
      </c>
      <c r="E1708" t="inlineStr">
        <is>
          <t>Business</t>
        </is>
      </c>
      <c r="F1708" t="inlineStr">
        <is>
          <t>Team Operations</t>
        </is>
      </c>
      <c r="G1708" t="inlineStr">
        <is>
          <t>Contractor</t>
        </is>
      </c>
      <c r="H1708" t="inlineStr">
        <is>
          <t>Business &gt; Team Operations &gt; Quick Add &gt; Contractor</t>
        </is>
      </c>
      <c r="I1708" s="18" t="n">
        <v>145538.59</v>
      </c>
      <c r="J1708" t="inlineStr">
        <is>
          <t>Created MTR-IOS-1707 and correlation note visible in Activity/Pulse</t>
        </is>
      </c>
      <c r="K1708" t="inlineStr">
        <is>
          <t>NOT_RUN</t>
        </is>
      </c>
      <c r="P1708" t="n">
        <v>0</v>
      </c>
      <c r="Q1708" t="n">
        <v>1707</v>
      </c>
    </row>
    <row r="1709">
      <c r="A1709" t="n">
        <v>1708</v>
      </c>
      <c r="B1709" t="inlineStr">
        <is>
          <t>MTR-IOS-1708</t>
        </is>
      </c>
      <c r="C1709" t="inlineStr">
        <is>
          <t>iPhone</t>
        </is>
      </c>
      <c r="D1709" t="inlineStr">
        <is>
          <t>Personal</t>
        </is>
      </c>
      <c r="E1709" t="inlineStr">
        <is>
          <t>Personal</t>
        </is>
      </c>
      <c r="F1709" t="inlineStr">
        <is>
          <t>Lifestyle</t>
        </is>
      </c>
      <c r="G1709" t="inlineStr">
        <is>
          <t>Hobbies</t>
        </is>
      </c>
      <c r="H1709" t="inlineStr">
        <is>
          <t>Personal &gt; Lifestyle &gt; Quick Add &gt; Hobbies</t>
        </is>
      </c>
      <c r="I1709" s="18" t="n">
        <v>5262.55</v>
      </c>
      <c r="J1709" t="inlineStr">
        <is>
          <t>Created MTR-IOS-1708 and correlation note visible in Activity/Pulse</t>
        </is>
      </c>
      <c r="K1709" t="inlineStr">
        <is>
          <t>NOT_RUN</t>
        </is>
      </c>
      <c r="P1709" t="n">
        <v>0</v>
      </c>
      <c r="Q1709" t="n">
        <v>1708</v>
      </c>
    </row>
    <row r="1710">
      <c r="A1710" t="n">
        <v>1709</v>
      </c>
      <c r="B1710" t="inlineStr">
        <is>
          <t>MTR-IOS-1709</t>
        </is>
      </c>
      <c r="C1710" t="inlineStr">
        <is>
          <t>iPhone</t>
        </is>
      </c>
      <c r="D1710" t="inlineStr">
        <is>
          <t>Group</t>
        </is>
      </c>
      <c r="E1710" t="inlineStr">
        <is>
          <t>Shared Living</t>
        </is>
      </c>
      <c r="F1710" t="inlineStr">
        <is>
          <t>Shared Living</t>
        </is>
      </c>
      <c r="G1710" t="inlineStr">
        <is>
          <t>Groceries</t>
        </is>
      </c>
      <c r="H1710" t="inlineStr">
        <is>
          <t>Group &gt; Shared Living &gt; Quick Add &gt; Groceries</t>
        </is>
      </c>
      <c r="I1710" s="18" t="n">
        <v>18416.55</v>
      </c>
      <c r="J1710" t="inlineStr">
        <is>
          <t>Created MTR-IOS-1709 and correlation note visible in Activity/Pulse</t>
        </is>
      </c>
      <c r="K1710" t="inlineStr">
        <is>
          <t>NOT_RUN</t>
        </is>
      </c>
      <c r="P1710" t="n">
        <v>0</v>
      </c>
      <c r="Q1710" t="n">
        <v>1709</v>
      </c>
    </row>
    <row r="1711">
      <c r="A1711" t="n">
        <v>1710</v>
      </c>
      <c r="B1711" t="inlineStr">
        <is>
          <t>MTR-IOS-1710</t>
        </is>
      </c>
      <c r="C1711" t="inlineStr">
        <is>
          <t>iPhone</t>
        </is>
      </c>
      <c r="D1711" t="inlineStr">
        <is>
          <t>Business</t>
        </is>
      </c>
      <c r="E1711" t="inlineStr">
        <is>
          <t>Business</t>
        </is>
      </c>
      <c r="F1711" t="inlineStr">
        <is>
          <t>Team Operations</t>
        </is>
      </c>
      <c r="G1711" t="inlineStr">
        <is>
          <t>Hiring</t>
        </is>
      </c>
      <c r="H1711" t="inlineStr">
        <is>
          <t>Business &gt; Team Operations &gt; Quick Add &gt; Hiring</t>
        </is>
      </c>
      <c r="I1711" s="18" t="n">
        <v>94434.17</v>
      </c>
      <c r="J1711" t="inlineStr">
        <is>
          <t>Created MTR-IOS-1710 and correlation note visible in Activity/Pulse</t>
        </is>
      </c>
      <c r="K1711" t="inlineStr">
        <is>
          <t>NOT_RUN</t>
        </is>
      </c>
      <c r="P1711" t="n">
        <v>0</v>
      </c>
      <c r="Q1711" t="n">
        <v>1710</v>
      </c>
    </row>
    <row r="1712">
      <c r="A1712" t="n">
        <v>1711</v>
      </c>
      <c r="B1712" t="inlineStr">
        <is>
          <t>MTR-IOS-1711</t>
        </is>
      </c>
      <c r="C1712" t="inlineStr">
        <is>
          <t>iPhone</t>
        </is>
      </c>
      <c r="D1712" t="inlineStr">
        <is>
          <t>Personal</t>
        </is>
      </c>
      <c r="E1712" t="inlineStr">
        <is>
          <t>Personal</t>
        </is>
      </c>
      <c r="F1712" t="inlineStr">
        <is>
          <t>Relationships</t>
        </is>
      </c>
      <c r="G1712" t="inlineStr">
        <is>
          <t>Gifts</t>
        </is>
      </c>
      <c r="H1712" t="inlineStr">
        <is>
          <t>Personal &gt; Relationships &gt; Quick Add &gt; Gifts</t>
        </is>
      </c>
      <c r="I1712" s="18" t="n">
        <v>16204.75</v>
      </c>
      <c r="J1712" t="inlineStr">
        <is>
          <t>Created MTR-IOS-1711 and correlation note visible in Activity/Pulse</t>
        </is>
      </c>
      <c r="K1712" t="inlineStr">
        <is>
          <t>NOT_RUN</t>
        </is>
      </c>
      <c r="P1712" t="n">
        <v>0</v>
      </c>
      <c r="Q1712" t="n">
        <v>1711</v>
      </c>
    </row>
    <row r="1713">
      <c r="A1713" t="n">
        <v>1712</v>
      </c>
      <c r="B1713" t="inlineStr">
        <is>
          <t>MTR-IOS-1712</t>
        </is>
      </c>
      <c r="C1713" t="inlineStr">
        <is>
          <t>iPhone</t>
        </is>
      </c>
      <c r="D1713" t="inlineStr">
        <is>
          <t>Group</t>
        </is>
      </c>
      <c r="E1713" t="inlineStr">
        <is>
          <t>Shared Living</t>
        </is>
      </c>
      <c r="F1713" t="inlineStr">
        <is>
          <t>Shared Living</t>
        </is>
      </c>
      <c r="G1713" t="inlineStr">
        <is>
          <t>Maintenance</t>
        </is>
      </c>
      <c r="H1713" t="inlineStr">
        <is>
          <t>Group &gt; Shared Living &gt; Quick Add &gt; Maintenance</t>
        </is>
      </c>
      <c r="I1713" s="18" t="n">
        <v>7595.74</v>
      </c>
      <c r="J1713" t="inlineStr">
        <is>
          <t>Created MTR-IOS-1712 and correlation note visible in Activity/Pulse</t>
        </is>
      </c>
      <c r="K1713" t="inlineStr">
        <is>
          <t>NOT_RUN</t>
        </is>
      </c>
      <c r="P1713" t="n">
        <v>0</v>
      </c>
      <c r="Q1713" t="n">
        <v>1712</v>
      </c>
    </row>
    <row r="1714">
      <c r="A1714" t="n">
        <v>1713</v>
      </c>
      <c r="B1714" t="inlineStr">
        <is>
          <t>MTR-IOS-1713</t>
        </is>
      </c>
      <c r="C1714" t="inlineStr">
        <is>
          <t>iPhone</t>
        </is>
      </c>
      <c r="D1714" t="inlineStr">
        <is>
          <t>Business</t>
        </is>
      </c>
      <c r="E1714" t="inlineStr">
        <is>
          <t>Business</t>
        </is>
      </c>
      <c r="F1714" t="inlineStr">
        <is>
          <t>Team Operations</t>
        </is>
      </c>
      <c r="G1714" t="inlineStr">
        <is>
          <t>Team Meal</t>
        </is>
      </c>
      <c r="H1714" t="inlineStr">
        <is>
          <t>Business &gt; Team Operations &gt; Quick Add &gt; Team Meal</t>
        </is>
      </c>
      <c r="I1714" s="18" t="n">
        <v>120396.8</v>
      </c>
      <c r="J1714" t="inlineStr">
        <is>
          <t>Created MTR-IOS-1713 and correlation note visible in Activity/Pulse</t>
        </is>
      </c>
      <c r="K1714" t="inlineStr">
        <is>
          <t>NOT_RUN</t>
        </is>
      </c>
      <c r="P1714" t="n">
        <v>0</v>
      </c>
      <c r="Q1714" t="n">
        <v>1713</v>
      </c>
    </row>
    <row r="1715">
      <c r="A1715" t="n">
        <v>1714</v>
      </c>
      <c r="B1715" t="inlineStr">
        <is>
          <t>MTR-IOS-1714</t>
        </is>
      </c>
      <c r="C1715" t="inlineStr">
        <is>
          <t>iPhone</t>
        </is>
      </c>
      <c r="D1715" t="inlineStr">
        <is>
          <t>Personal</t>
        </is>
      </c>
      <c r="E1715" t="inlineStr">
        <is>
          <t>Personal</t>
        </is>
      </c>
      <c r="F1715" t="inlineStr">
        <is>
          <t>Relationships</t>
        </is>
      </c>
      <c r="G1715" t="inlineStr">
        <is>
          <t>Dates</t>
        </is>
      </c>
      <c r="H1715" t="inlineStr">
        <is>
          <t>Personal &gt; Relationships &gt; Quick Add &gt; Dates</t>
        </is>
      </c>
      <c r="I1715" s="18" t="n">
        <v>6883.88</v>
      </c>
      <c r="J1715" t="inlineStr">
        <is>
          <t>Created MTR-IOS-1714 and correlation note visible in Activity/Pulse</t>
        </is>
      </c>
      <c r="K1715" t="inlineStr">
        <is>
          <t>NOT_RUN</t>
        </is>
      </c>
      <c r="P1715" t="n">
        <v>0</v>
      </c>
      <c r="Q1715" t="n">
        <v>1714</v>
      </c>
    </row>
    <row r="1716">
      <c r="A1716" t="n">
        <v>1715</v>
      </c>
      <c r="B1716" t="inlineStr">
        <is>
          <t>MTR-IOS-1715</t>
        </is>
      </c>
      <c r="C1716" t="inlineStr">
        <is>
          <t>iPhone</t>
        </is>
      </c>
      <c r="D1716" t="inlineStr">
        <is>
          <t>Group</t>
        </is>
      </c>
      <c r="E1716" t="inlineStr">
        <is>
          <t>Shared Living</t>
        </is>
      </c>
      <c r="F1716" t="inlineStr">
        <is>
          <t>Shared Living</t>
        </is>
      </c>
      <c r="G1716" t="inlineStr">
        <is>
          <t>Other</t>
        </is>
      </c>
      <c r="H1716" t="inlineStr">
        <is>
          <t>Group &gt; Shared Living &gt; Quick Add &gt; Other</t>
        </is>
      </c>
      <c r="I1716" s="18" t="n">
        <v>25711.24</v>
      </c>
      <c r="J1716" t="inlineStr">
        <is>
          <t>Created MTR-IOS-1715 and correlation note visible in Activity/Pulse</t>
        </is>
      </c>
      <c r="K1716" t="inlineStr">
        <is>
          <t>NOT_RUN</t>
        </is>
      </c>
      <c r="P1716" t="n">
        <v>0</v>
      </c>
      <c r="Q1716" t="n">
        <v>1715</v>
      </c>
    </row>
    <row r="1717">
      <c r="A1717" t="n">
        <v>1716</v>
      </c>
      <c r="B1717" t="inlineStr">
        <is>
          <t>MTR-IOS-1716</t>
        </is>
      </c>
      <c r="C1717" t="inlineStr">
        <is>
          <t>iPhone</t>
        </is>
      </c>
      <c r="D1717" t="inlineStr">
        <is>
          <t>Business</t>
        </is>
      </c>
      <c r="E1717" t="inlineStr">
        <is>
          <t>Business</t>
        </is>
      </c>
      <c r="F1717" t="inlineStr">
        <is>
          <t>Team Operations</t>
        </is>
      </c>
      <c r="G1717" t="inlineStr">
        <is>
          <t>Travel</t>
        </is>
      </c>
      <c r="H1717" t="inlineStr">
        <is>
          <t>Business &gt; Team Operations &gt; Quick Add &gt; Travel</t>
        </is>
      </c>
      <c r="I1717" s="18" t="n">
        <v>108472.7</v>
      </c>
      <c r="J1717" t="inlineStr">
        <is>
          <t>Created MTR-IOS-1716 and correlation note visible in Activity/Pulse</t>
        </is>
      </c>
      <c r="K1717" t="inlineStr">
        <is>
          <t>NOT_RUN</t>
        </is>
      </c>
      <c r="P1717" t="n">
        <v>0</v>
      </c>
      <c r="Q1717" t="n">
        <v>1716</v>
      </c>
    </row>
    <row r="1718">
      <c r="A1718" t="n">
        <v>1717</v>
      </c>
      <c r="B1718" t="inlineStr">
        <is>
          <t>MTR-IOS-1717</t>
        </is>
      </c>
      <c r="C1718" t="inlineStr">
        <is>
          <t>iPhone</t>
        </is>
      </c>
      <c r="D1718" t="inlineStr">
        <is>
          <t>Personal</t>
        </is>
      </c>
      <c r="E1718" t="inlineStr">
        <is>
          <t>Personal</t>
        </is>
      </c>
      <c r="F1718" t="inlineStr">
        <is>
          <t>Relationships</t>
        </is>
      </c>
      <c r="G1718" t="inlineStr">
        <is>
          <t>Family</t>
        </is>
      </c>
      <c r="H1718" t="inlineStr">
        <is>
          <t>Personal &gt; Relationships &gt; Quick Add &gt; Family</t>
        </is>
      </c>
      <c r="I1718" s="18" t="n">
        <v>9131.940000000001</v>
      </c>
      <c r="J1718" t="inlineStr">
        <is>
          <t>Created MTR-IOS-1717 and correlation note visible in Activity/Pulse</t>
        </is>
      </c>
      <c r="K1718" t="inlineStr">
        <is>
          <t>NOT_RUN</t>
        </is>
      </c>
      <c r="P1718" t="n">
        <v>0</v>
      </c>
      <c r="Q1718" t="n">
        <v>1717</v>
      </c>
    </row>
    <row r="1719">
      <c r="A1719" t="n">
        <v>1718</v>
      </c>
      <c r="B1719" t="inlineStr">
        <is>
          <t>MTR-IOS-1718</t>
        </is>
      </c>
      <c r="C1719" t="inlineStr">
        <is>
          <t>iPhone</t>
        </is>
      </c>
      <c r="D1719" t="inlineStr">
        <is>
          <t>Group</t>
        </is>
      </c>
      <c r="E1719" t="inlineStr">
        <is>
          <t>Shared Living</t>
        </is>
      </c>
      <c r="F1719" t="inlineStr">
        <is>
          <t>Family Household</t>
        </is>
      </c>
      <c r="G1719" t="inlineStr">
        <is>
          <t>Groceries</t>
        </is>
      </c>
      <c r="H1719" t="inlineStr">
        <is>
          <t>Group &gt; Family Household &gt; Quick Add &gt; Groceries</t>
        </is>
      </c>
      <c r="I1719" s="18" t="n">
        <v>22024.59</v>
      </c>
      <c r="J1719" t="inlineStr">
        <is>
          <t>Created MTR-IOS-1718 and correlation note visible in Activity/Pulse</t>
        </is>
      </c>
      <c r="K1719" t="inlineStr">
        <is>
          <t>NOT_RUN</t>
        </is>
      </c>
      <c r="P1719" t="n">
        <v>0</v>
      </c>
      <c r="Q1719" t="n">
        <v>1718</v>
      </c>
    </row>
    <row r="1720">
      <c r="A1720" t="n">
        <v>1719</v>
      </c>
      <c r="B1720" t="inlineStr">
        <is>
          <t>MTR-IOS-1719</t>
        </is>
      </c>
      <c r="C1720" t="inlineStr">
        <is>
          <t>iPhone</t>
        </is>
      </c>
      <c r="D1720" t="inlineStr">
        <is>
          <t>Business</t>
        </is>
      </c>
      <c r="E1720" t="inlineStr">
        <is>
          <t>Business</t>
        </is>
      </c>
      <c r="F1720" t="inlineStr">
        <is>
          <t>Team Operations</t>
        </is>
      </c>
      <c r="G1720" t="inlineStr">
        <is>
          <t>Training</t>
        </is>
      </c>
      <c r="H1720" t="inlineStr">
        <is>
          <t>Business &gt; Team Operations &gt; Quick Add &gt; Training</t>
        </is>
      </c>
      <c r="I1720" s="18" t="n">
        <v>28520</v>
      </c>
      <c r="J1720" t="inlineStr">
        <is>
          <t>Created MTR-IOS-1719 and correlation note visible in Activity/Pulse</t>
        </is>
      </c>
      <c r="K1720" t="inlineStr">
        <is>
          <t>NOT_RUN</t>
        </is>
      </c>
      <c r="P1720" t="n">
        <v>0</v>
      </c>
      <c r="Q1720" t="n">
        <v>1719</v>
      </c>
    </row>
    <row r="1721">
      <c r="A1721" t="n">
        <v>1720</v>
      </c>
      <c r="B1721" t="inlineStr">
        <is>
          <t>MTR-IOS-1720</t>
        </is>
      </c>
      <c r="C1721" t="inlineStr">
        <is>
          <t>iPhone</t>
        </is>
      </c>
      <c r="D1721" t="inlineStr">
        <is>
          <t>Personal</t>
        </is>
      </c>
      <c r="E1721" t="inlineStr">
        <is>
          <t>Personal</t>
        </is>
      </c>
      <c r="F1721" t="inlineStr">
        <is>
          <t>Relationships</t>
        </is>
      </c>
      <c r="G1721" t="inlineStr">
        <is>
          <t>Friends</t>
        </is>
      </c>
      <c r="H1721" t="inlineStr">
        <is>
          <t>Personal &gt; Relationships &gt; Quick Add &gt; Friends</t>
        </is>
      </c>
      <c r="I1721" s="18" t="n">
        <v>10369.47</v>
      </c>
      <c r="J1721" t="inlineStr">
        <is>
          <t>Created MTR-IOS-1720 and correlation note visible in Activity/Pulse</t>
        </is>
      </c>
      <c r="K1721" t="inlineStr">
        <is>
          <t>NOT_RUN</t>
        </is>
      </c>
      <c r="P1721" t="n">
        <v>0</v>
      </c>
      <c r="Q1721" t="n">
        <v>1720</v>
      </c>
    </row>
    <row r="1722">
      <c r="A1722" t="n">
        <v>1721</v>
      </c>
      <c r="B1722" t="inlineStr">
        <is>
          <t>MTR-IOS-1721</t>
        </is>
      </c>
      <c r="C1722" t="inlineStr">
        <is>
          <t>iPhone</t>
        </is>
      </c>
      <c r="D1722" t="inlineStr">
        <is>
          <t>Group</t>
        </is>
      </c>
      <c r="E1722" t="inlineStr">
        <is>
          <t>Shared Living</t>
        </is>
      </c>
      <c r="F1722" t="inlineStr">
        <is>
          <t>Family Household</t>
        </is>
      </c>
      <c r="G1722" t="inlineStr">
        <is>
          <t>Bills</t>
        </is>
      </c>
      <c r="H1722" t="inlineStr">
        <is>
          <t>Group &gt; Family Household &gt; Quick Add &gt; Bills</t>
        </is>
      </c>
      <c r="I1722" s="18" t="n">
        <v>8715.26</v>
      </c>
      <c r="J1722" t="inlineStr">
        <is>
          <t>Created MTR-IOS-1721 and correlation note visible in Activity/Pulse</t>
        </is>
      </c>
      <c r="K1722" t="inlineStr">
        <is>
          <t>NOT_RUN</t>
        </is>
      </c>
      <c r="P1722" t="n">
        <v>0</v>
      </c>
      <c r="Q1722" t="n">
        <v>1721</v>
      </c>
    </row>
    <row r="1723">
      <c r="A1723" t="n">
        <v>1722</v>
      </c>
      <c r="B1723" t="inlineStr">
        <is>
          <t>MTR-IOS-1722</t>
        </is>
      </c>
      <c r="C1723" t="inlineStr">
        <is>
          <t>iPhone</t>
        </is>
      </c>
      <c r="D1723" t="inlineStr">
        <is>
          <t>Business</t>
        </is>
      </c>
      <c r="E1723" t="inlineStr">
        <is>
          <t>Business</t>
        </is>
      </c>
      <c r="F1723" t="inlineStr">
        <is>
          <t>Team Operations</t>
        </is>
      </c>
      <c r="G1723" t="inlineStr">
        <is>
          <t>Tools</t>
        </is>
      </c>
      <c r="H1723" t="inlineStr">
        <is>
          <t>Business &gt; Team Operations &gt; Quick Add &gt; Tools</t>
        </is>
      </c>
      <c r="I1723" s="18" t="n">
        <v>92705.69</v>
      </c>
      <c r="J1723" t="inlineStr">
        <is>
          <t>Created MTR-IOS-1722 and correlation note visible in Activity/Pulse</t>
        </is>
      </c>
      <c r="K1723" t="inlineStr">
        <is>
          <t>NOT_RUN</t>
        </is>
      </c>
      <c r="P1723" t="n">
        <v>0</v>
      </c>
      <c r="Q1723" t="n">
        <v>1722</v>
      </c>
    </row>
    <row r="1724">
      <c r="A1724" t="n">
        <v>1723</v>
      </c>
      <c r="B1724" t="inlineStr">
        <is>
          <t>MTR-IOS-1723</t>
        </is>
      </c>
      <c r="C1724" t="inlineStr">
        <is>
          <t>iPhone</t>
        </is>
      </c>
      <c r="D1724" t="inlineStr">
        <is>
          <t>Personal</t>
        </is>
      </c>
      <c r="E1724" t="inlineStr">
        <is>
          <t>Personal</t>
        </is>
      </c>
      <c r="F1724" t="inlineStr">
        <is>
          <t>Relationships</t>
        </is>
      </c>
      <c r="G1724" t="inlineStr">
        <is>
          <t>Celebrations</t>
        </is>
      </c>
      <c r="H1724" t="inlineStr">
        <is>
          <t>Personal &gt; Relationships &gt; Quick Add &gt; Celebrations</t>
        </is>
      </c>
      <c r="I1724" s="18" t="n">
        <v>17887.75</v>
      </c>
      <c r="J1724" t="inlineStr">
        <is>
          <t>Created MTR-IOS-1723 and correlation note visible in Activity/Pulse</t>
        </is>
      </c>
      <c r="K1724" t="inlineStr">
        <is>
          <t>NOT_RUN</t>
        </is>
      </c>
      <c r="P1724" t="n">
        <v>0</v>
      </c>
      <c r="Q1724" t="n">
        <v>1723</v>
      </c>
    </row>
    <row r="1725">
      <c r="A1725" t="n">
        <v>1724</v>
      </c>
      <c r="B1725" t="inlineStr">
        <is>
          <t>MTR-IOS-1724</t>
        </is>
      </c>
      <c r="C1725" t="inlineStr">
        <is>
          <t>iPhone</t>
        </is>
      </c>
      <c r="D1725" t="inlineStr">
        <is>
          <t>Group</t>
        </is>
      </c>
      <c r="E1725" t="inlineStr">
        <is>
          <t>Shared Living</t>
        </is>
      </c>
      <c r="F1725" t="inlineStr">
        <is>
          <t>Family Household</t>
        </is>
      </c>
      <c r="G1725" t="inlineStr">
        <is>
          <t>School</t>
        </is>
      </c>
      <c r="H1725" t="inlineStr">
        <is>
          <t>Group &gt; Family Household &gt; Quick Add &gt; School</t>
        </is>
      </c>
      <c r="I1725" s="18" t="n">
        <v>25761.67</v>
      </c>
      <c r="J1725" t="inlineStr">
        <is>
          <t>Created MTR-IOS-1724 and correlation note visible in Activity/Pulse</t>
        </is>
      </c>
      <c r="K1725" t="inlineStr">
        <is>
          <t>NOT_RUN</t>
        </is>
      </c>
      <c r="P1725" t="n">
        <v>0</v>
      </c>
      <c r="Q1725" t="n">
        <v>1724</v>
      </c>
    </row>
    <row r="1726">
      <c r="A1726" t="n">
        <v>1725</v>
      </c>
      <c r="B1726" t="inlineStr">
        <is>
          <t>MTR-IOS-1725</t>
        </is>
      </c>
      <c r="C1726" t="inlineStr">
        <is>
          <t>iPhone</t>
        </is>
      </c>
      <c r="D1726" t="inlineStr">
        <is>
          <t>Business</t>
        </is>
      </c>
      <c r="E1726" t="inlineStr">
        <is>
          <t>Business</t>
        </is>
      </c>
      <c r="F1726" t="inlineStr">
        <is>
          <t>Business Runway</t>
        </is>
      </c>
      <c r="G1726" t="inlineStr">
        <is>
          <t>Funding</t>
        </is>
      </c>
      <c r="H1726" t="inlineStr">
        <is>
          <t>Business &gt; Business Runway &gt; Quick Add &gt; Funding</t>
        </is>
      </c>
      <c r="I1726" s="18" t="n">
        <v>44136.7</v>
      </c>
      <c r="J1726" t="inlineStr">
        <is>
          <t>Created MTR-IOS-1725 and correlation note visible in Activity/Pulse</t>
        </is>
      </c>
      <c r="K1726" t="inlineStr">
        <is>
          <t>NOT_RUN</t>
        </is>
      </c>
      <c r="P1726" t="n">
        <v>0</v>
      </c>
      <c r="Q1726" t="n">
        <v>1725</v>
      </c>
    </row>
    <row r="1727">
      <c r="A1727" t="n">
        <v>1726</v>
      </c>
      <c r="B1727" t="inlineStr">
        <is>
          <t>MTR-IOS-1726</t>
        </is>
      </c>
      <c r="C1727" t="inlineStr">
        <is>
          <t>iPhone</t>
        </is>
      </c>
      <c r="D1727" t="inlineStr">
        <is>
          <t>Personal</t>
        </is>
      </c>
      <c r="E1727" t="inlineStr">
        <is>
          <t>Personal</t>
        </is>
      </c>
      <c r="F1727" t="inlineStr">
        <is>
          <t>Life Operations</t>
        </is>
      </c>
      <c r="G1727" t="inlineStr">
        <is>
          <t>Groceries</t>
        </is>
      </c>
      <c r="H1727" t="inlineStr">
        <is>
          <t>Personal &gt; Life Operations &gt; Quick Add &gt; Groceries</t>
        </is>
      </c>
      <c r="I1727" s="18" t="n">
        <v>5104.32</v>
      </c>
      <c r="J1727" t="inlineStr">
        <is>
          <t>Created MTR-IOS-1726 and correlation note visible in Activity/Pulse</t>
        </is>
      </c>
      <c r="K1727" t="inlineStr">
        <is>
          <t>NOT_RUN</t>
        </is>
      </c>
      <c r="P1727" t="n">
        <v>0</v>
      </c>
      <c r="Q1727" t="n">
        <v>1726</v>
      </c>
    </row>
    <row r="1728">
      <c r="A1728" t="n">
        <v>1727</v>
      </c>
      <c r="B1728" t="inlineStr">
        <is>
          <t>MTR-IOS-1727</t>
        </is>
      </c>
      <c r="C1728" t="inlineStr">
        <is>
          <t>iPhone</t>
        </is>
      </c>
      <c r="D1728" t="inlineStr">
        <is>
          <t>Group</t>
        </is>
      </c>
      <c r="E1728" t="inlineStr">
        <is>
          <t>Shared Living</t>
        </is>
      </c>
      <c r="F1728" t="inlineStr">
        <is>
          <t>Family Household</t>
        </is>
      </c>
      <c r="G1728" t="inlineStr">
        <is>
          <t>Healthcare</t>
        </is>
      </c>
      <c r="H1728" t="inlineStr">
        <is>
          <t>Group &gt; Family Household &gt; Quick Add &gt; Healthcare</t>
        </is>
      </c>
      <c r="I1728" s="18" t="n">
        <v>9451</v>
      </c>
      <c r="J1728" t="inlineStr">
        <is>
          <t>Created MTR-IOS-1727 and correlation note visible in Activity/Pulse</t>
        </is>
      </c>
      <c r="K1728" t="inlineStr">
        <is>
          <t>NOT_RUN</t>
        </is>
      </c>
      <c r="P1728" t="n">
        <v>0</v>
      </c>
      <c r="Q1728" t="n">
        <v>1727</v>
      </c>
    </row>
    <row r="1729">
      <c r="A1729" t="n">
        <v>1728</v>
      </c>
      <c r="B1729" t="inlineStr">
        <is>
          <t>MTR-IOS-1728</t>
        </is>
      </c>
      <c r="C1729" t="inlineStr">
        <is>
          <t>iPhone</t>
        </is>
      </c>
      <c r="D1729" t="inlineStr">
        <is>
          <t>Business</t>
        </is>
      </c>
      <c r="E1729" t="inlineStr">
        <is>
          <t>Business</t>
        </is>
      </c>
      <c r="F1729" t="inlineStr">
        <is>
          <t>Business Runway</t>
        </is>
      </c>
      <c r="G1729" t="inlineStr">
        <is>
          <t>Revenue</t>
        </is>
      </c>
      <c r="H1729" t="inlineStr">
        <is>
          <t>Business &gt; Business Runway &gt; Quick Add &gt; Revenue</t>
        </is>
      </c>
      <c r="I1729" s="18" t="n">
        <v>27724.4</v>
      </c>
      <c r="J1729" t="inlineStr">
        <is>
          <t>Created MTR-IOS-1728 and correlation note visible in Activity/Pulse</t>
        </is>
      </c>
      <c r="K1729" t="inlineStr">
        <is>
          <t>NOT_RUN</t>
        </is>
      </c>
      <c r="P1729" t="n">
        <v>0</v>
      </c>
      <c r="Q1729" t="n">
        <v>1728</v>
      </c>
    </row>
    <row r="1730">
      <c r="A1730" t="n">
        <v>1729</v>
      </c>
      <c r="B1730" t="inlineStr">
        <is>
          <t>MTR-IOS-1729</t>
        </is>
      </c>
      <c r="C1730" t="inlineStr">
        <is>
          <t>iPhone</t>
        </is>
      </c>
      <c r="D1730" t="inlineStr">
        <is>
          <t>Personal</t>
        </is>
      </c>
      <c r="E1730" t="inlineStr">
        <is>
          <t>Personal</t>
        </is>
      </c>
      <c r="F1730" t="inlineStr">
        <is>
          <t>Life Operations</t>
        </is>
      </c>
      <c r="G1730" t="inlineStr">
        <is>
          <t>Rent</t>
        </is>
      </c>
      <c r="H1730" t="inlineStr">
        <is>
          <t>Personal &gt; Life Operations &gt; Quick Add &gt; Rent</t>
        </is>
      </c>
      <c r="I1730" s="18" t="n">
        <v>15167.47</v>
      </c>
      <c r="J1730" t="inlineStr">
        <is>
          <t>Created MTR-IOS-1729 and correlation note visible in Activity/Pulse</t>
        </is>
      </c>
      <c r="K1730" t="inlineStr">
        <is>
          <t>NOT_RUN</t>
        </is>
      </c>
      <c r="P1730" t="n">
        <v>0</v>
      </c>
      <c r="Q1730" t="n">
        <v>1729</v>
      </c>
    </row>
    <row r="1731">
      <c r="A1731" t="n">
        <v>1730</v>
      </c>
      <c r="B1731" t="inlineStr">
        <is>
          <t>MTR-IOS-1730</t>
        </is>
      </c>
      <c r="C1731" t="inlineStr">
        <is>
          <t>iPhone</t>
        </is>
      </c>
      <c r="D1731" t="inlineStr">
        <is>
          <t>Group</t>
        </is>
      </c>
      <c r="E1731" t="inlineStr">
        <is>
          <t>Shared Living</t>
        </is>
      </c>
      <c r="F1731" t="inlineStr">
        <is>
          <t>Family Household</t>
        </is>
      </c>
      <c r="G1731" t="inlineStr">
        <is>
          <t>Home</t>
        </is>
      </c>
      <c r="H1731" t="inlineStr">
        <is>
          <t>Group &gt; Family Household &gt; Quick Add &gt; Home</t>
        </is>
      </c>
      <c r="I1731" s="18" t="n">
        <v>11400.18</v>
      </c>
      <c r="J1731" t="inlineStr">
        <is>
          <t>Created MTR-IOS-1730 and correlation note visible in Activity/Pulse</t>
        </is>
      </c>
      <c r="K1731" t="inlineStr">
        <is>
          <t>NOT_RUN</t>
        </is>
      </c>
      <c r="P1731" t="n">
        <v>0</v>
      </c>
      <c r="Q1731" t="n">
        <v>1730</v>
      </c>
    </row>
    <row r="1732">
      <c r="A1732" t="n">
        <v>1731</v>
      </c>
      <c r="B1732" t="inlineStr">
        <is>
          <t>MTR-IOS-1731</t>
        </is>
      </c>
      <c r="C1732" t="inlineStr">
        <is>
          <t>iPhone</t>
        </is>
      </c>
      <c r="D1732" t="inlineStr">
        <is>
          <t>Business</t>
        </is>
      </c>
      <c r="E1732" t="inlineStr">
        <is>
          <t>Business</t>
        </is>
      </c>
      <c r="F1732" t="inlineStr">
        <is>
          <t>Business Runway</t>
        </is>
      </c>
      <c r="G1732" t="inlineStr">
        <is>
          <t>Burn</t>
        </is>
      </c>
      <c r="H1732" t="inlineStr">
        <is>
          <t>Business &gt; Business Runway &gt; Quick Add &gt; Burn</t>
        </is>
      </c>
      <c r="I1732" s="18" t="n">
        <v>14414.46</v>
      </c>
      <c r="J1732" t="inlineStr">
        <is>
          <t>Created MTR-IOS-1731 and correlation note visible in Activity/Pulse</t>
        </is>
      </c>
      <c r="K1732" t="inlineStr">
        <is>
          <t>NOT_RUN</t>
        </is>
      </c>
      <c r="P1732" t="n">
        <v>0</v>
      </c>
      <c r="Q1732" t="n">
        <v>1731</v>
      </c>
    </row>
    <row r="1733">
      <c r="A1733" t="n">
        <v>1732</v>
      </c>
      <c r="B1733" t="inlineStr">
        <is>
          <t>MTR-IOS-1732</t>
        </is>
      </c>
      <c r="C1733" t="inlineStr">
        <is>
          <t>iPhone</t>
        </is>
      </c>
      <c r="D1733" t="inlineStr">
        <is>
          <t>Personal</t>
        </is>
      </c>
      <c r="E1733" t="inlineStr">
        <is>
          <t>Personal</t>
        </is>
      </c>
      <c r="F1733" t="inlineStr">
        <is>
          <t>Life Operations</t>
        </is>
      </c>
      <c r="G1733" t="inlineStr">
        <is>
          <t>Bills</t>
        </is>
      </c>
      <c r="H1733" t="inlineStr">
        <is>
          <t>Personal &gt; Life Operations &gt; Quick Add &gt; Bills</t>
        </is>
      </c>
      <c r="I1733" s="18" t="n">
        <v>15575.36</v>
      </c>
      <c r="J1733" t="inlineStr">
        <is>
          <t>Created MTR-IOS-1732 and correlation note visible in Activity/Pulse</t>
        </is>
      </c>
      <c r="K1733" t="inlineStr">
        <is>
          <t>NOT_RUN</t>
        </is>
      </c>
      <c r="P1733" t="n">
        <v>0</v>
      </c>
      <c r="Q1733" t="n">
        <v>1732</v>
      </c>
    </row>
    <row r="1734">
      <c r="A1734" t="n">
        <v>1733</v>
      </c>
      <c r="B1734" t="inlineStr">
        <is>
          <t>MTR-IOS-1733</t>
        </is>
      </c>
      <c r="C1734" t="inlineStr">
        <is>
          <t>iPhone</t>
        </is>
      </c>
      <c r="D1734" t="inlineStr">
        <is>
          <t>Group</t>
        </is>
      </c>
      <c r="E1734" t="inlineStr">
        <is>
          <t>Shared Living</t>
        </is>
      </c>
      <c r="F1734" t="inlineStr">
        <is>
          <t>Family Household</t>
        </is>
      </c>
      <c r="G1734" t="inlineStr">
        <is>
          <t>Other</t>
        </is>
      </c>
      <c r="H1734" t="inlineStr">
        <is>
          <t>Group &gt; Family Household &gt; Quick Add &gt; Other</t>
        </is>
      </c>
      <c r="I1734" s="18" t="n">
        <v>8262.620000000001</v>
      </c>
      <c r="J1734" t="inlineStr">
        <is>
          <t>Created MTR-IOS-1733 and correlation note visible in Activity/Pulse</t>
        </is>
      </c>
      <c r="K1734" t="inlineStr">
        <is>
          <t>NOT_RUN</t>
        </is>
      </c>
      <c r="P1734" t="n">
        <v>0</v>
      </c>
      <c r="Q1734" t="n">
        <v>1733</v>
      </c>
    </row>
    <row r="1735">
      <c r="A1735" t="n">
        <v>1734</v>
      </c>
      <c r="B1735" t="inlineStr">
        <is>
          <t>MTR-IOS-1734</t>
        </is>
      </c>
      <c r="C1735" t="inlineStr">
        <is>
          <t>iPhone</t>
        </is>
      </c>
      <c r="D1735" t="inlineStr">
        <is>
          <t>Business</t>
        </is>
      </c>
      <c r="E1735" t="inlineStr">
        <is>
          <t>Business</t>
        </is>
      </c>
      <c r="F1735" t="inlineStr">
        <is>
          <t>Business Runway</t>
        </is>
      </c>
      <c r="G1735" t="inlineStr">
        <is>
          <t>Reserve</t>
        </is>
      </c>
      <c r="H1735" t="inlineStr">
        <is>
          <t>Business &gt; Business Runway &gt; Quick Add &gt; Reserve</t>
        </is>
      </c>
      <c r="I1735" s="18" t="n">
        <v>126907.52</v>
      </c>
      <c r="J1735" t="inlineStr">
        <is>
          <t>Created MTR-IOS-1734 and correlation note visible in Activity/Pulse</t>
        </is>
      </c>
      <c r="K1735" t="inlineStr">
        <is>
          <t>NOT_RUN</t>
        </is>
      </c>
      <c r="P1735" t="n">
        <v>0</v>
      </c>
      <c r="Q1735" t="n">
        <v>1734</v>
      </c>
    </row>
    <row r="1736">
      <c r="A1736" t="n">
        <v>1735</v>
      </c>
      <c r="B1736" t="inlineStr">
        <is>
          <t>MTR-IOS-1735</t>
        </is>
      </c>
      <c r="C1736" t="inlineStr">
        <is>
          <t>iPhone</t>
        </is>
      </c>
      <c r="D1736" t="inlineStr">
        <is>
          <t>Personal</t>
        </is>
      </c>
      <c r="E1736" t="inlineStr">
        <is>
          <t>Personal</t>
        </is>
      </c>
      <c r="F1736" t="inlineStr">
        <is>
          <t>Life Operations</t>
        </is>
      </c>
      <c r="G1736" t="inlineStr">
        <is>
          <t>Transport</t>
        </is>
      </c>
      <c r="H1736" t="inlineStr">
        <is>
          <t>Personal &gt; Life Operations &gt; Quick Add &gt; Transport</t>
        </is>
      </c>
      <c r="I1736" s="18" t="n">
        <v>11786.79</v>
      </c>
      <c r="J1736" t="inlineStr">
        <is>
          <t>Created MTR-IOS-1735 and correlation note visible in Activity/Pulse</t>
        </is>
      </c>
      <c r="K1736" t="inlineStr">
        <is>
          <t>NOT_RUN</t>
        </is>
      </c>
      <c r="P1736" t="n">
        <v>0</v>
      </c>
      <c r="Q1736" t="n">
        <v>1735</v>
      </c>
    </row>
    <row r="1737">
      <c r="A1737" t="n">
        <v>1736</v>
      </c>
      <c r="B1737" t="inlineStr">
        <is>
          <t>MTR-IOS-1736</t>
        </is>
      </c>
      <c r="C1737" t="inlineStr">
        <is>
          <t>iPhone</t>
        </is>
      </c>
      <c r="D1737" t="inlineStr">
        <is>
          <t>Group</t>
        </is>
      </c>
      <c r="E1737" t="inlineStr">
        <is>
          <t>Shared Living</t>
        </is>
      </c>
      <c r="F1737" t="inlineStr">
        <is>
          <t>Custom Living</t>
        </is>
      </c>
      <c r="G1737" t="inlineStr">
        <is>
          <t>Custom Expense</t>
        </is>
      </c>
      <c r="H1737" t="inlineStr">
        <is>
          <t>Group &gt; Custom Living &gt; Quick Add &gt; Custom Expense</t>
        </is>
      </c>
      <c r="I1737" s="18" t="n">
        <v>4442.53</v>
      </c>
      <c r="J1737" t="inlineStr">
        <is>
          <t>Created MTR-IOS-1736 and correlation note visible in Activity/Pulse</t>
        </is>
      </c>
      <c r="K1737" t="inlineStr">
        <is>
          <t>NOT_RUN</t>
        </is>
      </c>
      <c r="P1737" t="n">
        <v>0</v>
      </c>
      <c r="Q1737" t="n">
        <v>1736</v>
      </c>
    </row>
    <row r="1738">
      <c r="A1738" t="n">
        <v>1737</v>
      </c>
      <c r="B1738" t="inlineStr">
        <is>
          <t>MTR-IOS-1737</t>
        </is>
      </c>
      <c r="C1738" t="inlineStr">
        <is>
          <t>iPhone</t>
        </is>
      </c>
      <c r="D1738" t="inlineStr">
        <is>
          <t>Business</t>
        </is>
      </c>
      <c r="E1738" t="inlineStr">
        <is>
          <t>Business</t>
        </is>
      </c>
      <c r="F1738" t="inlineStr">
        <is>
          <t>Business Runway</t>
        </is>
      </c>
      <c r="G1738" t="inlineStr">
        <is>
          <t>Loan</t>
        </is>
      </c>
      <c r="H1738" t="inlineStr">
        <is>
          <t>Business &gt; Business Runway &gt; Quick Add &gt; Loan</t>
        </is>
      </c>
      <c r="I1738" s="18" t="n">
        <v>109354.31</v>
      </c>
      <c r="J1738" t="inlineStr">
        <is>
          <t>Created MTR-IOS-1737 and correlation note visible in Activity/Pulse</t>
        </is>
      </c>
      <c r="K1738" t="inlineStr">
        <is>
          <t>NOT_RUN</t>
        </is>
      </c>
      <c r="P1738" t="n">
        <v>0</v>
      </c>
      <c r="Q1738" t="n">
        <v>1737</v>
      </c>
    </row>
    <row r="1739">
      <c r="A1739" t="n">
        <v>1738</v>
      </c>
      <c r="B1739" t="inlineStr">
        <is>
          <t>MTR-IOS-1738</t>
        </is>
      </c>
      <c r="C1739" t="inlineStr">
        <is>
          <t>iPhone</t>
        </is>
      </c>
      <c r="D1739" t="inlineStr">
        <is>
          <t>Personal</t>
        </is>
      </c>
      <c r="E1739" t="inlineStr">
        <is>
          <t>Personal</t>
        </is>
      </c>
      <c r="F1739" t="inlineStr">
        <is>
          <t>Life Operations</t>
        </is>
      </c>
      <c r="G1739" t="inlineStr">
        <is>
          <t>Healthcare</t>
        </is>
      </c>
      <c r="H1739" t="inlineStr">
        <is>
          <t>Personal &gt; Life Operations &gt; Quick Add &gt; Healthcare</t>
        </is>
      </c>
      <c r="I1739" s="18" t="n">
        <v>1909.99</v>
      </c>
      <c r="J1739" t="inlineStr">
        <is>
          <t>Created MTR-IOS-1738 and correlation note visible in Activity/Pulse</t>
        </is>
      </c>
      <c r="K1739" t="inlineStr">
        <is>
          <t>NOT_RUN</t>
        </is>
      </c>
      <c r="P1739" t="n">
        <v>0</v>
      </c>
      <c r="Q1739" t="n">
        <v>1738</v>
      </c>
    </row>
    <row r="1740">
      <c r="A1740" t="n">
        <v>1739</v>
      </c>
      <c r="B1740" t="inlineStr">
        <is>
          <t>MTR-IOS-1739</t>
        </is>
      </c>
      <c r="C1740" t="inlineStr">
        <is>
          <t>iPhone</t>
        </is>
      </c>
      <c r="D1740" t="inlineStr">
        <is>
          <t>Group</t>
        </is>
      </c>
      <c r="E1740" t="inlineStr">
        <is>
          <t>Shared Living</t>
        </is>
      </c>
      <c r="F1740" t="inlineStr">
        <is>
          <t>Custom Living</t>
        </is>
      </c>
      <c r="G1740" t="inlineStr">
        <is>
          <t>Custom Contribution</t>
        </is>
      </c>
      <c r="H1740" t="inlineStr">
        <is>
          <t>Group &gt; Custom Living &gt; Quick Add &gt; Custom Contribution</t>
        </is>
      </c>
      <c r="I1740" s="18" t="n">
        <v>10000</v>
      </c>
      <c r="J1740" t="inlineStr">
        <is>
          <t>Created MTR-IOS-1739 and correlation note visible in Activity/Pulse</t>
        </is>
      </c>
      <c r="K1740" t="inlineStr">
        <is>
          <t>NOT_RUN</t>
        </is>
      </c>
      <c r="P1740" t="n">
        <v>0</v>
      </c>
      <c r="Q1740" t="n">
        <v>1739</v>
      </c>
    </row>
    <row r="1741">
      <c r="A1741" t="n">
        <v>1740</v>
      </c>
      <c r="B1741" t="inlineStr">
        <is>
          <t>MTR-IOS-1740</t>
        </is>
      </c>
      <c r="C1741" t="inlineStr">
        <is>
          <t>iPhone</t>
        </is>
      </c>
      <c r="D1741" t="inlineStr">
        <is>
          <t>Business</t>
        </is>
      </c>
      <c r="E1741" t="inlineStr">
        <is>
          <t>Business</t>
        </is>
      </c>
      <c r="F1741" t="inlineStr">
        <is>
          <t>Business Runway</t>
        </is>
      </c>
      <c r="G1741" t="inlineStr">
        <is>
          <t>Investment</t>
        </is>
      </c>
      <c r="H1741" t="inlineStr">
        <is>
          <t>Business &gt; Business Runway &gt; Quick Add &gt; Investment</t>
        </is>
      </c>
      <c r="I1741" s="18" t="n">
        <v>977.03</v>
      </c>
      <c r="J1741" t="inlineStr">
        <is>
          <t>Created MTR-IOS-1740 and correlation note visible in Activity/Pulse</t>
        </is>
      </c>
      <c r="K1741" t="inlineStr">
        <is>
          <t>NOT_RUN</t>
        </is>
      </c>
      <c r="P1741" t="n">
        <v>0</v>
      </c>
      <c r="Q1741" t="n">
        <v>1740</v>
      </c>
    </row>
    <row r="1742">
      <c r="A1742" t="n">
        <v>1741</v>
      </c>
      <c r="B1742" t="inlineStr">
        <is>
          <t>MTR-IOS-1741</t>
        </is>
      </c>
      <c r="C1742" t="inlineStr">
        <is>
          <t>iPhone</t>
        </is>
      </c>
      <c r="D1742" t="inlineStr">
        <is>
          <t>Personal</t>
        </is>
      </c>
      <c r="E1742" t="inlineStr">
        <is>
          <t>Personal</t>
        </is>
      </c>
      <c r="F1742" t="inlineStr">
        <is>
          <t>Life Operations</t>
        </is>
      </c>
      <c r="G1742" t="inlineStr">
        <is>
          <t>Subscriptions</t>
        </is>
      </c>
      <c r="H1742" t="inlineStr">
        <is>
          <t>Personal &gt; Life Operations &gt; Quick Add &gt; Subscriptions</t>
        </is>
      </c>
      <c r="I1742" s="18" t="n">
        <v>5838.8</v>
      </c>
      <c r="J1742" t="inlineStr">
        <is>
          <t>Created MTR-IOS-1741 and correlation note visible in Activity/Pulse</t>
        </is>
      </c>
      <c r="K1742" t="inlineStr">
        <is>
          <t>NOT_RUN</t>
        </is>
      </c>
      <c r="P1742" t="n">
        <v>0</v>
      </c>
      <c r="Q1742" t="n">
        <v>1741</v>
      </c>
    </row>
    <row r="1743">
      <c r="A1743" t="n">
        <v>1742</v>
      </c>
      <c r="B1743" t="inlineStr">
        <is>
          <t>MTR-IOS-1742</t>
        </is>
      </c>
      <c r="C1743" t="inlineStr">
        <is>
          <t>iPhone</t>
        </is>
      </c>
      <c r="D1743" t="inlineStr">
        <is>
          <t>Group</t>
        </is>
      </c>
      <c r="E1743" t="inlineStr">
        <is>
          <t>Shared Experience</t>
        </is>
      </c>
      <c r="F1743" t="inlineStr">
        <is>
          <t>Trip</t>
        </is>
      </c>
      <c r="G1743" t="inlineStr">
        <is>
          <t>Travel</t>
        </is>
      </c>
      <c r="H1743" t="inlineStr">
        <is>
          <t>Group &gt; Trip &gt; Quick Add &gt; Travel</t>
        </is>
      </c>
      <c r="I1743" s="18" t="n">
        <v>17244.38</v>
      </c>
      <c r="J1743" t="inlineStr">
        <is>
          <t>Created MTR-IOS-1742 and correlation note visible in Activity/Pulse</t>
        </is>
      </c>
      <c r="K1743" t="inlineStr">
        <is>
          <t>NOT_RUN</t>
        </is>
      </c>
      <c r="P1743" t="n">
        <v>0</v>
      </c>
      <c r="Q1743" t="n">
        <v>1742</v>
      </c>
    </row>
    <row r="1744">
      <c r="A1744" t="n">
        <v>1743</v>
      </c>
      <c r="B1744" t="inlineStr">
        <is>
          <t>MTR-IOS-1743</t>
        </is>
      </c>
      <c r="C1744" t="inlineStr">
        <is>
          <t>iPhone</t>
        </is>
      </c>
      <c r="D1744" t="inlineStr">
        <is>
          <t>Business</t>
        </is>
      </c>
      <c r="E1744" t="inlineStr">
        <is>
          <t>Business</t>
        </is>
      </c>
      <c r="F1744" t="inlineStr">
        <is>
          <t>Business Operations</t>
        </is>
      </c>
      <c r="G1744" t="inlineStr">
        <is>
          <t>Software</t>
        </is>
      </c>
      <c r="H1744" t="inlineStr">
        <is>
          <t>Business &gt; Business Operations &gt; Quick Add &gt; Software</t>
        </is>
      </c>
      <c r="I1744" s="18" t="n">
        <v>159649.2</v>
      </c>
      <c r="J1744" t="inlineStr">
        <is>
          <t>Created MTR-IOS-1743 and correlation note visible in Activity/Pulse</t>
        </is>
      </c>
      <c r="K1744" t="inlineStr">
        <is>
          <t>NOT_RUN</t>
        </is>
      </c>
      <c r="P1744" t="n">
        <v>0</v>
      </c>
      <c r="Q1744" t="n">
        <v>1743</v>
      </c>
    </row>
    <row r="1745">
      <c r="A1745" t="n">
        <v>1744</v>
      </c>
      <c r="B1745" t="inlineStr">
        <is>
          <t>MTR-IOS-1744</t>
        </is>
      </c>
      <c r="C1745" t="inlineStr">
        <is>
          <t>iPhone</t>
        </is>
      </c>
      <c r="D1745" t="inlineStr">
        <is>
          <t>Personal</t>
        </is>
      </c>
      <c r="E1745" t="inlineStr">
        <is>
          <t>Personal</t>
        </is>
      </c>
      <c r="F1745" t="inlineStr">
        <is>
          <t>Life Operations</t>
        </is>
      </c>
      <c r="G1745" t="inlineStr">
        <is>
          <t>Repairs</t>
        </is>
      </c>
      <c r="H1745" t="inlineStr">
        <is>
          <t>Personal &gt; Life Operations &gt; Quick Add &gt; Repairs</t>
        </is>
      </c>
      <c r="I1745" s="18" t="n">
        <v>9982.4</v>
      </c>
      <c r="J1745" t="inlineStr">
        <is>
          <t>Created MTR-IOS-1744 and correlation note visible in Activity/Pulse</t>
        </is>
      </c>
      <c r="K1745" t="inlineStr">
        <is>
          <t>NOT_RUN</t>
        </is>
      </c>
      <c r="P1745" t="n">
        <v>0</v>
      </c>
      <c r="Q1745" t="n">
        <v>1744</v>
      </c>
    </row>
    <row r="1746">
      <c r="A1746" t="n">
        <v>1745</v>
      </c>
      <c r="B1746" t="inlineStr">
        <is>
          <t>MTR-IOS-1745</t>
        </is>
      </c>
      <c r="C1746" t="inlineStr">
        <is>
          <t>iPhone</t>
        </is>
      </c>
      <c r="D1746" t="inlineStr">
        <is>
          <t>Group</t>
        </is>
      </c>
      <c r="E1746" t="inlineStr">
        <is>
          <t>Shared Experience</t>
        </is>
      </c>
      <c r="F1746" t="inlineStr">
        <is>
          <t>Trip</t>
        </is>
      </c>
      <c r="G1746" t="inlineStr">
        <is>
          <t>Stay</t>
        </is>
      </c>
      <c r="H1746" t="inlineStr">
        <is>
          <t>Group &gt; Trip &gt; Quick Add &gt; Stay</t>
        </is>
      </c>
      <c r="I1746" s="18" t="n">
        <v>20716.03</v>
      </c>
      <c r="J1746" t="inlineStr">
        <is>
          <t>Created MTR-IOS-1745 and correlation note visible in Activity/Pulse</t>
        </is>
      </c>
      <c r="K1746" t="inlineStr">
        <is>
          <t>NOT_RUN</t>
        </is>
      </c>
      <c r="P1746" t="n">
        <v>0</v>
      </c>
      <c r="Q1746" t="n">
        <v>1745</v>
      </c>
    </row>
    <row r="1747">
      <c r="A1747" t="n">
        <v>1746</v>
      </c>
      <c r="B1747" t="inlineStr">
        <is>
          <t>MTR-IOS-1746</t>
        </is>
      </c>
      <c r="C1747" t="inlineStr">
        <is>
          <t>iPhone</t>
        </is>
      </c>
      <c r="D1747" t="inlineStr">
        <is>
          <t>Business</t>
        </is>
      </c>
      <c r="E1747" t="inlineStr">
        <is>
          <t>Business</t>
        </is>
      </c>
      <c r="F1747" t="inlineStr">
        <is>
          <t>Business Operations</t>
        </is>
      </c>
      <c r="G1747" t="inlineStr">
        <is>
          <t>Rent</t>
        </is>
      </c>
      <c r="H1747" t="inlineStr">
        <is>
          <t>Business &gt; Business Operations &gt; Quick Add &gt; Rent</t>
        </is>
      </c>
      <c r="I1747" s="18" t="n">
        <v>85295.38</v>
      </c>
      <c r="J1747" t="inlineStr">
        <is>
          <t>Created MTR-IOS-1746 and correlation note visible in Activity/Pulse</t>
        </is>
      </c>
      <c r="K1747" t="inlineStr">
        <is>
          <t>NOT_RUN</t>
        </is>
      </c>
      <c r="P1747" t="n">
        <v>0</v>
      </c>
      <c r="Q1747" t="n">
        <v>1746</v>
      </c>
    </row>
    <row r="1748">
      <c r="A1748" t="n">
        <v>1747</v>
      </c>
      <c r="B1748" t="inlineStr">
        <is>
          <t>MTR-IOS-1747</t>
        </is>
      </c>
      <c r="C1748" t="inlineStr">
        <is>
          <t>iPhone</t>
        </is>
      </c>
      <c r="D1748" t="inlineStr">
        <is>
          <t>Personal</t>
        </is>
      </c>
      <c r="E1748" t="inlineStr">
        <is>
          <t>Personal</t>
        </is>
      </c>
      <c r="F1748" t="inlineStr">
        <is>
          <t>Future Building</t>
        </is>
      </c>
      <c r="G1748" t="inlineStr">
        <is>
          <t>Savings</t>
        </is>
      </c>
      <c r="H1748" t="inlineStr">
        <is>
          <t>Personal &gt; Future Building &gt; Quick Add &gt; Savings</t>
        </is>
      </c>
      <c r="I1748" s="18" t="n">
        <v>1251.62</v>
      </c>
      <c r="J1748" t="inlineStr">
        <is>
          <t>Created MTR-IOS-1747 and correlation note visible in Activity/Pulse</t>
        </is>
      </c>
      <c r="K1748" t="inlineStr">
        <is>
          <t>NOT_RUN</t>
        </is>
      </c>
      <c r="P1748" t="n">
        <v>0</v>
      </c>
      <c r="Q1748" t="n">
        <v>1747</v>
      </c>
    </row>
    <row r="1749">
      <c r="A1749" t="n">
        <v>1748</v>
      </c>
      <c r="B1749" t="inlineStr">
        <is>
          <t>MTR-IOS-1748</t>
        </is>
      </c>
      <c r="C1749" t="inlineStr">
        <is>
          <t>iPhone</t>
        </is>
      </c>
      <c r="D1749" t="inlineStr">
        <is>
          <t>Group</t>
        </is>
      </c>
      <c r="E1749" t="inlineStr">
        <is>
          <t>Shared Experience</t>
        </is>
      </c>
      <c r="F1749" t="inlineStr">
        <is>
          <t>Trip</t>
        </is>
      </c>
      <c r="G1749" t="inlineStr">
        <is>
          <t>Food</t>
        </is>
      </c>
      <c r="H1749" t="inlineStr">
        <is>
          <t>Group &gt; Trip &gt; Quick Add &gt; Food</t>
        </is>
      </c>
      <c r="I1749" s="18" t="n">
        <v>4722.27</v>
      </c>
      <c r="J1749" t="inlineStr">
        <is>
          <t>Created MTR-IOS-1748 and correlation note visible in Activity/Pulse</t>
        </is>
      </c>
      <c r="K1749" t="inlineStr">
        <is>
          <t>NOT_RUN</t>
        </is>
      </c>
      <c r="P1749" t="n">
        <v>0</v>
      </c>
      <c r="Q1749" t="n">
        <v>1748</v>
      </c>
    </row>
    <row r="1750">
      <c r="A1750" t="n">
        <v>1749</v>
      </c>
      <c r="B1750" t="inlineStr">
        <is>
          <t>MTR-IOS-1749</t>
        </is>
      </c>
      <c r="C1750" t="inlineStr">
        <is>
          <t>iPhone</t>
        </is>
      </c>
      <c r="D1750" t="inlineStr">
        <is>
          <t>Business</t>
        </is>
      </c>
      <c r="E1750" t="inlineStr">
        <is>
          <t>Business</t>
        </is>
      </c>
      <c r="F1750" t="inlineStr">
        <is>
          <t>Business Operations</t>
        </is>
      </c>
      <c r="G1750" t="inlineStr">
        <is>
          <t>Marketing</t>
        </is>
      </c>
      <c r="H1750" t="inlineStr">
        <is>
          <t>Business &gt; Business Operations &gt; Quick Add &gt; Marketing</t>
        </is>
      </c>
      <c r="I1750" s="18" t="n">
        <v>146892.38</v>
      </c>
      <c r="J1750" t="inlineStr">
        <is>
          <t>Created MTR-IOS-1749 and correlation note visible in Activity/Pulse</t>
        </is>
      </c>
      <c r="K1750" t="inlineStr">
        <is>
          <t>NOT_RUN</t>
        </is>
      </c>
      <c r="P1750" t="n">
        <v>0</v>
      </c>
      <c r="Q1750" t="n">
        <v>1749</v>
      </c>
    </row>
    <row r="1751">
      <c r="A1751" t="n">
        <v>1750</v>
      </c>
      <c r="B1751" t="inlineStr">
        <is>
          <t>MTR-IOS-1750</t>
        </is>
      </c>
      <c r="C1751" t="inlineStr">
        <is>
          <t>iPhone</t>
        </is>
      </c>
      <c r="D1751" t="inlineStr">
        <is>
          <t>Personal</t>
        </is>
      </c>
      <c r="E1751" t="inlineStr">
        <is>
          <t>Personal</t>
        </is>
      </c>
      <c r="F1751" t="inlineStr">
        <is>
          <t>Future Building</t>
        </is>
      </c>
      <c r="G1751" t="inlineStr">
        <is>
          <t>Emergency Fund</t>
        </is>
      </c>
      <c r="H1751" t="inlineStr">
        <is>
          <t>Personal &gt; Future Building &gt; Quick Add &gt; Emergency Fund</t>
        </is>
      </c>
      <c r="I1751" s="18" t="n">
        <v>1419.69</v>
      </c>
      <c r="J1751" t="inlineStr">
        <is>
          <t>Created MTR-IOS-1750 and correlation note visible in Activity/Pulse</t>
        </is>
      </c>
      <c r="K1751" t="inlineStr">
        <is>
          <t>NOT_RUN</t>
        </is>
      </c>
      <c r="P1751" t="n">
        <v>0</v>
      </c>
      <c r="Q1751" t="n">
        <v>1750</v>
      </c>
    </row>
    <row r="1752">
      <c r="A1752" t="n">
        <v>1751</v>
      </c>
      <c r="B1752" t="inlineStr">
        <is>
          <t>MTR-IOS-1751</t>
        </is>
      </c>
      <c r="C1752" t="inlineStr">
        <is>
          <t>iPhone</t>
        </is>
      </c>
      <c r="D1752" t="inlineStr">
        <is>
          <t>Group</t>
        </is>
      </c>
      <c r="E1752" t="inlineStr">
        <is>
          <t>Shared Experience</t>
        </is>
      </c>
      <c r="F1752" t="inlineStr">
        <is>
          <t>Trip</t>
        </is>
      </c>
      <c r="G1752" t="inlineStr">
        <is>
          <t>Local Transport</t>
        </is>
      </c>
      <c r="H1752" t="inlineStr">
        <is>
          <t>Group &gt; Trip &gt; Quick Add &gt; Local Transport</t>
        </is>
      </c>
      <c r="I1752" s="18" t="n">
        <v>7360.27</v>
      </c>
      <c r="J1752" t="inlineStr">
        <is>
          <t>Created MTR-IOS-1751 and correlation note visible in Activity/Pulse</t>
        </is>
      </c>
      <c r="K1752" t="inlineStr">
        <is>
          <t>NOT_RUN</t>
        </is>
      </c>
      <c r="P1752" t="n">
        <v>0</v>
      </c>
      <c r="Q1752" t="n">
        <v>1751</v>
      </c>
    </row>
    <row r="1753">
      <c r="A1753" t="n">
        <v>1752</v>
      </c>
      <c r="B1753" t="inlineStr">
        <is>
          <t>MTR-IOS-1752</t>
        </is>
      </c>
      <c r="C1753" t="inlineStr">
        <is>
          <t>iPhone</t>
        </is>
      </c>
      <c r="D1753" t="inlineStr">
        <is>
          <t>Business</t>
        </is>
      </c>
      <c r="E1753" t="inlineStr">
        <is>
          <t>Business</t>
        </is>
      </c>
      <c r="F1753" t="inlineStr">
        <is>
          <t>Business Operations</t>
        </is>
      </c>
      <c r="G1753" t="inlineStr">
        <is>
          <t>Legal</t>
        </is>
      </c>
      <c r="H1753" t="inlineStr">
        <is>
          <t>Business &gt; Business Operations &gt; Quick Add &gt; Legal</t>
        </is>
      </c>
      <c r="I1753" s="18" t="n">
        <v>4738.9</v>
      </c>
      <c r="J1753" t="inlineStr">
        <is>
          <t>Created MTR-IOS-1752 and correlation note visible in Activity/Pulse</t>
        </is>
      </c>
      <c r="K1753" t="inlineStr">
        <is>
          <t>NOT_RUN</t>
        </is>
      </c>
      <c r="P1753" t="n">
        <v>0</v>
      </c>
      <c r="Q1753" t="n">
        <v>1752</v>
      </c>
    </row>
    <row r="1754">
      <c r="A1754" t="n">
        <v>1753</v>
      </c>
      <c r="B1754" t="inlineStr">
        <is>
          <t>MTR-IOS-1753</t>
        </is>
      </c>
      <c r="C1754" t="inlineStr">
        <is>
          <t>iPhone</t>
        </is>
      </c>
      <c r="D1754" t="inlineStr">
        <is>
          <t>Personal</t>
        </is>
      </c>
      <c r="E1754" t="inlineStr">
        <is>
          <t>Personal</t>
        </is>
      </c>
      <c r="F1754" t="inlineStr">
        <is>
          <t>Future Building</t>
        </is>
      </c>
      <c r="G1754" t="inlineStr">
        <is>
          <t>Investments</t>
        </is>
      </c>
      <c r="H1754" t="inlineStr">
        <is>
          <t>Personal &gt; Future Building &gt; Quick Add &gt; Investments</t>
        </is>
      </c>
      <c r="I1754" s="18" t="n">
        <v>9485.299999999999</v>
      </c>
      <c r="J1754" t="inlineStr">
        <is>
          <t>Created MTR-IOS-1753 and correlation note visible in Activity/Pulse</t>
        </is>
      </c>
      <c r="K1754" t="inlineStr">
        <is>
          <t>NOT_RUN</t>
        </is>
      </c>
      <c r="P1754" t="n">
        <v>0</v>
      </c>
      <c r="Q1754" t="n">
        <v>1753</v>
      </c>
    </row>
    <row r="1755">
      <c r="A1755" t="n">
        <v>1754</v>
      </c>
      <c r="B1755" t="inlineStr">
        <is>
          <t>MTR-IOS-1754</t>
        </is>
      </c>
      <c r="C1755" t="inlineStr">
        <is>
          <t>iPhone</t>
        </is>
      </c>
      <c r="D1755" t="inlineStr">
        <is>
          <t>Group</t>
        </is>
      </c>
      <c r="E1755" t="inlineStr">
        <is>
          <t>Shared Experience</t>
        </is>
      </c>
      <c r="F1755" t="inlineStr">
        <is>
          <t>Trip</t>
        </is>
      </c>
      <c r="G1755" t="inlineStr">
        <is>
          <t>Activities</t>
        </is>
      </c>
      <c r="H1755" t="inlineStr">
        <is>
          <t>Group &gt; Trip &gt; Quick Add &gt; Activities</t>
        </is>
      </c>
      <c r="I1755" s="18" t="n">
        <v>11483.6</v>
      </c>
      <c r="J1755" t="inlineStr">
        <is>
          <t>Created MTR-IOS-1754 and correlation note visible in Activity/Pulse</t>
        </is>
      </c>
      <c r="K1755" t="inlineStr">
        <is>
          <t>NOT_RUN</t>
        </is>
      </c>
      <c r="P1755" t="n">
        <v>0</v>
      </c>
      <c r="Q1755" t="n">
        <v>1754</v>
      </c>
    </row>
    <row r="1756">
      <c r="A1756" t="n">
        <v>1755</v>
      </c>
      <c r="B1756" t="inlineStr">
        <is>
          <t>MTR-IOS-1755</t>
        </is>
      </c>
      <c r="C1756" t="inlineStr">
        <is>
          <t>iPhone</t>
        </is>
      </c>
      <c r="D1756" t="inlineStr">
        <is>
          <t>Business</t>
        </is>
      </c>
      <c r="E1756" t="inlineStr">
        <is>
          <t>Business</t>
        </is>
      </c>
      <c r="F1756" t="inlineStr">
        <is>
          <t>Business Operations</t>
        </is>
      </c>
      <c r="G1756" t="inlineStr">
        <is>
          <t>Accounting</t>
        </is>
      </c>
      <c r="H1756" t="inlineStr">
        <is>
          <t>Business &gt; Business Operations &gt; Quick Add &gt; Accounting</t>
        </is>
      </c>
      <c r="I1756" s="18" t="n">
        <v>58427.92</v>
      </c>
      <c r="J1756" t="inlineStr">
        <is>
          <t>Created MTR-IOS-1755 and correlation note visible in Activity/Pulse</t>
        </is>
      </c>
      <c r="K1756" t="inlineStr">
        <is>
          <t>NOT_RUN</t>
        </is>
      </c>
      <c r="P1756" t="n">
        <v>0</v>
      </c>
      <c r="Q1756" t="n">
        <v>1755</v>
      </c>
    </row>
    <row r="1757">
      <c r="A1757" t="n">
        <v>1756</v>
      </c>
      <c r="B1757" t="inlineStr">
        <is>
          <t>MTR-IOS-1756</t>
        </is>
      </c>
      <c r="C1757" t="inlineStr">
        <is>
          <t>iPhone</t>
        </is>
      </c>
      <c r="D1757" t="inlineStr">
        <is>
          <t>Personal</t>
        </is>
      </c>
      <c r="E1757" t="inlineStr">
        <is>
          <t>Personal</t>
        </is>
      </c>
      <c r="F1757" t="inlineStr">
        <is>
          <t>Future Building</t>
        </is>
      </c>
      <c r="G1757" t="inlineStr">
        <is>
          <t>Education</t>
        </is>
      </c>
      <c r="H1757" t="inlineStr">
        <is>
          <t>Personal &gt; Future Building &gt; Quick Add &gt; Education</t>
        </is>
      </c>
      <c r="I1757" s="18" t="n">
        <v>13644.51</v>
      </c>
      <c r="J1757" t="inlineStr">
        <is>
          <t>Created MTR-IOS-1756 and correlation note visible in Activity/Pulse</t>
        </is>
      </c>
      <c r="K1757" t="inlineStr">
        <is>
          <t>NOT_RUN</t>
        </is>
      </c>
      <c r="P1757" t="n">
        <v>0</v>
      </c>
      <c r="Q1757" t="n">
        <v>1756</v>
      </c>
    </row>
    <row r="1758">
      <c r="A1758" t="n">
        <v>1757</v>
      </c>
      <c r="B1758" t="inlineStr">
        <is>
          <t>MTR-IOS-1757</t>
        </is>
      </c>
      <c r="C1758" t="inlineStr">
        <is>
          <t>iPhone</t>
        </is>
      </c>
      <c r="D1758" t="inlineStr">
        <is>
          <t>Group</t>
        </is>
      </c>
      <c r="E1758" t="inlineStr">
        <is>
          <t>Shared Experience</t>
        </is>
      </c>
      <c r="F1758" t="inlineStr">
        <is>
          <t>Trip</t>
        </is>
      </c>
      <c r="G1758" t="inlineStr">
        <is>
          <t>Shopping</t>
        </is>
      </c>
      <c r="H1758" t="inlineStr">
        <is>
          <t>Group &gt; Trip &gt; Quick Add &gt; Shopping</t>
        </is>
      </c>
      <c r="I1758" s="18" t="n">
        <v>19552.66</v>
      </c>
      <c r="J1758" t="inlineStr">
        <is>
          <t>Created MTR-IOS-1757 and correlation note visible in Activity/Pulse</t>
        </is>
      </c>
      <c r="K1758" t="inlineStr">
        <is>
          <t>NOT_RUN</t>
        </is>
      </c>
      <c r="P1758" t="n">
        <v>0</v>
      </c>
      <c r="Q1758" t="n">
        <v>1757</v>
      </c>
    </row>
    <row r="1759">
      <c r="A1759" t="n">
        <v>1758</v>
      </c>
      <c r="B1759" t="inlineStr">
        <is>
          <t>MTR-IOS-1758</t>
        </is>
      </c>
      <c r="C1759" t="inlineStr">
        <is>
          <t>iPhone</t>
        </is>
      </c>
      <c r="D1759" t="inlineStr">
        <is>
          <t>Business</t>
        </is>
      </c>
      <c r="E1759" t="inlineStr">
        <is>
          <t>Business</t>
        </is>
      </c>
      <c r="F1759" t="inlineStr">
        <is>
          <t>Business Operations</t>
        </is>
      </c>
      <c r="G1759" t="inlineStr">
        <is>
          <t>Equipment</t>
        </is>
      </c>
      <c r="H1759" t="inlineStr">
        <is>
          <t>Business &gt; Business Operations &gt; Quick Add &gt; Equipment</t>
        </is>
      </c>
      <c r="I1759" s="18" t="n">
        <v>94391.77</v>
      </c>
      <c r="J1759" t="inlineStr">
        <is>
          <t>Created MTR-IOS-1758 and correlation note visible in Activity/Pulse</t>
        </is>
      </c>
      <c r="K1759" t="inlineStr">
        <is>
          <t>NOT_RUN</t>
        </is>
      </c>
      <c r="P1759" t="n">
        <v>0</v>
      </c>
      <c r="Q1759" t="n">
        <v>1758</v>
      </c>
    </row>
    <row r="1760">
      <c r="A1760" t="n">
        <v>1759</v>
      </c>
      <c r="B1760" t="inlineStr">
        <is>
          <t>MTR-IOS-1759</t>
        </is>
      </c>
      <c r="C1760" t="inlineStr">
        <is>
          <t>iPhone</t>
        </is>
      </c>
      <c r="D1760" t="inlineStr">
        <is>
          <t>Personal</t>
        </is>
      </c>
      <c r="E1760" t="inlineStr">
        <is>
          <t>Personal</t>
        </is>
      </c>
      <c r="F1760" t="inlineStr">
        <is>
          <t>Future Building</t>
        </is>
      </c>
      <c r="G1760" t="inlineStr">
        <is>
          <t>Goal Contribution</t>
        </is>
      </c>
      <c r="H1760" t="inlineStr">
        <is>
          <t>Personal &gt; Future Building &gt; Quick Add &gt; Goal Contribution</t>
        </is>
      </c>
      <c r="I1760" s="18" t="n">
        <v>3241.42</v>
      </c>
      <c r="J1760" t="inlineStr">
        <is>
          <t>Created MTR-IOS-1759 and correlation note visible in Activity/Pulse</t>
        </is>
      </c>
      <c r="K1760" t="inlineStr">
        <is>
          <t>NOT_RUN</t>
        </is>
      </c>
      <c r="P1760" t="n">
        <v>0</v>
      </c>
      <c r="Q1760" t="n">
        <v>1759</v>
      </c>
    </row>
    <row r="1761">
      <c r="A1761" t="n">
        <v>1760</v>
      </c>
      <c r="B1761" t="inlineStr">
        <is>
          <t>MTR-IOS-1760</t>
        </is>
      </c>
      <c r="C1761" t="inlineStr">
        <is>
          <t>iPhone</t>
        </is>
      </c>
      <c r="D1761" t="inlineStr">
        <is>
          <t>Group</t>
        </is>
      </c>
      <c r="E1761" t="inlineStr">
        <is>
          <t>Shared Experience</t>
        </is>
      </c>
      <c r="F1761" t="inlineStr">
        <is>
          <t>Trip</t>
        </is>
      </c>
      <c r="G1761" t="inlineStr">
        <is>
          <t>Other</t>
        </is>
      </c>
      <c r="H1761" t="inlineStr">
        <is>
          <t>Group &gt; Trip &gt; Quick Add &gt; Other</t>
        </is>
      </c>
      <c r="I1761" s="18" t="n">
        <v>8535</v>
      </c>
      <c r="J1761" t="inlineStr">
        <is>
          <t>Created MTR-IOS-1760 and correlation note visible in Activity/Pulse</t>
        </is>
      </c>
      <c r="K1761" t="inlineStr">
        <is>
          <t>NOT_RUN</t>
        </is>
      </c>
      <c r="P1761" t="n">
        <v>0</v>
      </c>
      <c r="Q1761" t="n">
        <v>1760</v>
      </c>
    </row>
    <row r="1762">
      <c r="A1762" t="n">
        <v>1761</v>
      </c>
      <c r="B1762" t="inlineStr">
        <is>
          <t>MTR-IOS-1761</t>
        </is>
      </c>
      <c r="C1762" t="inlineStr">
        <is>
          <t>iPhone</t>
        </is>
      </c>
      <c r="D1762" t="inlineStr">
        <is>
          <t>Business</t>
        </is>
      </c>
      <c r="E1762" t="inlineStr">
        <is>
          <t>Business</t>
        </is>
      </c>
      <c r="F1762" t="inlineStr">
        <is>
          <t>Business Operations</t>
        </is>
      </c>
      <c r="G1762" t="inlineStr">
        <is>
          <t>Vendor</t>
        </is>
      </c>
      <c r="H1762" t="inlineStr">
        <is>
          <t>Business &gt; Business Operations &gt; Quick Add &gt; Vendor</t>
        </is>
      </c>
      <c r="I1762" s="18" t="n">
        <v>70613.64</v>
      </c>
      <c r="J1762" t="inlineStr">
        <is>
          <t>Created MTR-IOS-1761 and correlation note visible in Activity/Pulse</t>
        </is>
      </c>
      <c r="K1762" t="inlineStr">
        <is>
          <t>NOT_RUN</t>
        </is>
      </c>
      <c r="P1762" t="n">
        <v>0</v>
      </c>
      <c r="Q1762" t="n">
        <v>1761</v>
      </c>
    </row>
    <row r="1763">
      <c r="A1763" t="n">
        <v>1762</v>
      </c>
      <c r="B1763" t="inlineStr">
        <is>
          <t>MTR-IOS-1762</t>
        </is>
      </c>
      <c r="C1763" t="inlineStr">
        <is>
          <t>iPhone</t>
        </is>
      </c>
      <c r="D1763" t="inlineStr">
        <is>
          <t>Personal</t>
        </is>
      </c>
      <c r="E1763" t="inlineStr">
        <is>
          <t>Personal</t>
        </is>
      </c>
      <c r="F1763" t="inlineStr">
        <is>
          <t>Lifestyle</t>
        </is>
      </c>
      <c r="G1763" t="inlineStr">
        <is>
          <t>Dining</t>
        </is>
      </c>
      <c r="H1763" t="inlineStr">
        <is>
          <t>Personal &gt; Lifestyle &gt; Quick Add &gt; Dining</t>
        </is>
      </c>
      <c r="I1763" s="18" t="n">
        <v>9024.879999999999</v>
      </c>
      <c r="J1763" t="inlineStr">
        <is>
          <t>Created MTR-IOS-1762 and correlation note visible in Activity/Pulse</t>
        </is>
      </c>
      <c r="K1763" t="inlineStr">
        <is>
          <t>NOT_RUN</t>
        </is>
      </c>
      <c r="P1763" t="n">
        <v>0</v>
      </c>
      <c r="Q1763" t="n">
        <v>1762</v>
      </c>
    </row>
    <row r="1764">
      <c r="A1764" t="n">
        <v>1763</v>
      </c>
      <c r="B1764" t="inlineStr">
        <is>
          <t>MTR-IOS-1763</t>
        </is>
      </c>
      <c r="C1764" t="inlineStr">
        <is>
          <t>iPhone</t>
        </is>
      </c>
      <c r="D1764" t="inlineStr">
        <is>
          <t>Group</t>
        </is>
      </c>
      <c r="E1764" t="inlineStr">
        <is>
          <t>Shared Experience</t>
        </is>
      </c>
      <c r="F1764" t="inlineStr">
        <is>
          <t>Wedding</t>
        </is>
      </c>
      <c r="G1764" t="inlineStr">
        <is>
          <t>Venue</t>
        </is>
      </c>
      <c r="H1764" t="inlineStr">
        <is>
          <t>Group &gt; Wedding &gt; Quick Add &gt; Venue</t>
        </is>
      </c>
      <c r="I1764" s="18" t="n">
        <v>4596.58</v>
      </c>
      <c r="J1764" t="inlineStr">
        <is>
          <t>Created MTR-IOS-1763 and correlation note visible in Activity/Pulse</t>
        </is>
      </c>
      <c r="K1764" t="inlineStr">
        <is>
          <t>NOT_RUN</t>
        </is>
      </c>
      <c r="P1764" t="n">
        <v>0</v>
      </c>
      <c r="Q1764" t="n">
        <v>1763</v>
      </c>
    </row>
    <row r="1765">
      <c r="A1765" t="n">
        <v>1764</v>
      </c>
      <c r="B1765" t="inlineStr">
        <is>
          <t>MTR-IOS-1764</t>
        </is>
      </c>
      <c r="C1765" t="inlineStr">
        <is>
          <t>iPhone</t>
        </is>
      </c>
      <c r="D1765" t="inlineStr">
        <is>
          <t>Business</t>
        </is>
      </c>
      <c r="E1765" t="inlineStr">
        <is>
          <t>Business</t>
        </is>
      </c>
      <c r="F1765" t="inlineStr">
        <is>
          <t>Business Operations</t>
        </is>
      </c>
      <c r="G1765" t="inlineStr">
        <is>
          <t>Tax</t>
        </is>
      </c>
      <c r="H1765" t="inlineStr">
        <is>
          <t>Business &gt; Business Operations &gt; Quick Add &gt; Tax</t>
        </is>
      </c>
      <c r="I1765" s="18" t="n">
        <v>26285.03</v>
      </c>
      <c r="J1765" t="inlineStr">
        <is>
          <t>Created MTR-IOS-1764 and correlation note visible in Activity/Pulse</t>
        </is>
      </c>
      <c r="K1765" t="inlineStr">
        <is>
          <t>NOT_RUN</t>
        </is>
      </c>
      <c r="P1765" t="n">
        <v>0</v>
      </c>
      <c r="Q1765" t="n">
        <v>1764</v>
      </c>
    </row>
    <row r="1766">
      <c r="A1766" t="n">
        <v>1765</v>
      </c>
      <c r="B1766" t="inlineStr">
        <is>
          <t>MTR-IOS-1765</t>
        </is>
      </c>
      <c r="C1766" t="inlineStr">
        <is>
          <t>iPhone</t>
        </is>
      </c>
      <c r="D1766" t="inlineStr">
        <is>
          <t>Personal</t>
        </is>
      </c>
      <c r="E1766" t="inlineStr">
        <is>
          <t>Personal</t>
        </is>
      </c>
      <c r="F1766" t="inlineStr">
        <is>
          <t>Lifestyle</t>
        </is>
      </c>
      <c r="G1766" t="inlineStr">
        <is>
          <t>Shopping</t>
        </is>
      </c>
      <c r="H1766" t="inlineStr">
        <is>
          <t>Personal &gt; Lifestyle &gt; Quick Add &gt; Shopping</t>
        </is>
      </c>
      <c r="I1766" s="18" t="n">
        <v>675.17</v>
      </c>
      <c r="J1766" t="inlineStr">
        <is>
          <t>Created MTR-IOS-1765 and correlation note visible in Activity/Pulse</t>
        </is>
      </c>
      <c r="K1766" t="inlineStr">
        <is>
          <t>NOT_RUN</t>
        </is>
      </c>
      <c r="P1766" t="n">
        <v>0</v>
      </c>
      <c r="Q1766" t="n">
        <v>1765</v>
      </c>
    </row>
    <row r="1767">
      <c r="A1767" t="n">
        <v>1766</v>
      </c>
      <c r="B1767" t="inlineStr">
        <is>
          <t>MTR-IOS-1766</t>
        </is>
      </c>
      <c r="C1767" t="inlineStr">
        <is>
          <t>iPhone</t>
        </is>
      </c>
      <c r="D1767" t="inlineStr">
        <is>
          <t>Group</t>
        </is>
      </c>
      <c r="E1767" t="inlineStr">
        <is>
          <t>Shared Experience</t>
        </is>
      </c>
      <c r="F1767" t="inlineStr">
        <is>
          <t>Wedding</t>
        </is>
      </c>
      <c r="G1767" t="inlineStr">
        <is>
          <t>Catering</t>
        </is>
      </c>
      <c r="H1767" t="inlineStr">
        <is>
          <t>Group &gt; Wedding &gt; Quick Add &gt; Catering</t>
        </is>
      </c>
      <c r="I1767" s="18" t="n">
        <v>19937.51</v>
      </c>
      <c r="J1767" t="inlineStr">
        <is>
          <t>Created MTR-IOS-1766 and correlation note visible in Activity/Pulse</t>
        </is>
      </c>
      <c r="K1767" t="inlineStr">
        <is>
          <t>NOT_RUN</t>
        </is>
      </c>
      <c r="P1767" t="n">
        <v>0</v>
      </c>
      <c r="Q1767" t="n">
        <v>1766</v>
      </c>
    </row>
    <row r="1768">
      <c r="A1768" t="n">
        <v>1767</v>
      </c>
      <c r="B1768" t="inlineStr">
        <is>
          <t>MTR-IOS-1767</t>
        </is>
      </c>
      <c r="C1768" t="inlineStr">
        <is>
          <t>iPhone</t>
        </is>
      </c>
      <c r="D1768" t="inlineStr">
        <is>
          <t>Business</t>
        </is>
      </c>
      <c r="E1768" t="inlineStr">
        <is>
          <t>Business</t>
        </is>
      </c>
      <c r="F1768" t="inlineStr">
        <is>
          <t>Team Operations</t>
        </is>
      </c>
      <c r="G1768" t="inlineStr">
        <is>
          <t>Payroll</t>
        </is>
      </c>
      <c r="H1768" t="inlineStr">
        <is>
          <t>Business &gt; Team Operations &gt; Quick Add &gt; Payroll</t>
        </is>
      </c>
      <c r="I1768" s="18" t="n">
        <v>131129.65</v>
      </c>
      <c r="J1768" t="inlineStr">
        <is>
          <t>Created MTR-IOS-1767 and correlation note visible in Activity/Pulse</t>
        </is>
      </c>
      <c r="K1768" t="inlineStr">
        <is>
          <t>NOT_RUN</t>
        </is>
      </c>
      <c r="P1768" t="n">
        <v>0</v>
      </c>
      <c r="Q1768" t="n">
        <v>1767</v>
      </c>
    </row>
    <row r="1769">
      <c r="A1769" t="n">
        <v>1768</v>
      </c>
      <c r="B1769" t="inlineStr">
        <is>
          <t>MTR-IOS-1768</t>
        </is>
      </c>
      <c r="C1769" t="inlineStr">
        <is>
          <t>iPhone</t>
        </is>
      </c>
      <c r="D1769" t="inlineStr">
        <is>
          <t>Personal</t>
        </is>
      </c>
      <c r="E1769" t="inlineStr">
        <is>
          <t>Personal</t>
        </is>
      </c>
      <c r="F1769" t="inlineStr">
        <is>
          <t>Lifestyle</t>
        </is>
      </c>
      <c r="G1769" t="inlineStr">
        <is>
          <t>Entertainment</t>
        </is>
      </c>
      <c r="H1769" t="inlineStr">
        <is>
          <t>Personal &gt; Lifestyle &gt; Quick Add &gt; Entertainment</t>
        </is>
      </c>
      <c r="I1769" s="18" t="n">
        <v>13447.2</v>
      </c>
      <c r="J1769" t="inlineStr">
        <is>
          <t>Created MTR-IOS-1768 and correlation note visible in Activity/Pulse</t>
        </is>
      </c>
      <c r="K1769" t="inlineStr">
        <is>
          <t>NOT_RUN</t>
        </is>
      </c>
      <c r="P1769" t="n">
        <v>0</v>
      </c>
      <c r="Q1769" t="n">
        <v>1768</v>
      </c>
    </row>
    <row r="1770">
      <c r="A1770" t="n">
        <v>1769</v>
      </c>
      <c r="B1770" t="inlineStr">
        <is>
          <t>MTR-IOS-1769</t>
        </is>
      </c>
      <c r="C1770" t="inlineStr">
        <is>
          <t>iPhone</t>
        </is>
      </c>
      <c r="D1770" t="inlineStr">
        <is>
          <t>Group</t>
        </is>
      </c>
      <c r="E1770" t="inlineStr">
        <is>
          <t>Shared Experience</t>
        </is>
      </c>
      <c r="F1770" t="inlineStr">
        <is>
          <t>Wedding</t>
        </is>
      </c>
      <c r="G1770" t="inlineStr">
        <is>
          <t>Decor</t>
        </is>
      </c>
      <c r="H1770" t="inlineStr">
        <is>
          <t>Group &gt; Wedding &gt; Quick Add &gt; Decor</t>
        </is>
      </c>
      <c r="I1770" s="18" t="n">
        <v>10524.58</v>
      </c>
      <c r="J1770" t="inlineStr">
        <is>
          <t>Created MTR-IOS-1769 and correlation note visible in Activity/Pulse</t>
        </is>
      </c>
      <c r="K1770" t="inlineStr">
        <is>
          <t>NOT_RUN</t>
        </is>
      </c>
      <c r="P1770" t="n">
        <v>0</v>
      </c>
      <c r="Q1770" t="n">
        <v>1769</v>
      </c>
    </row>
    <row r="1771">
      <c r="A1771" t="n">
        <v>1770</v>
      </c>
      <c r="B1771" t="inlineStr">
        <is>
          <t>MTR-IOS-1770</t>
        </is>
      </c>
      <c r="C1771" t="inlineStr">
        <is>
          <t>iPhone</t>
        </is>
      </c>
      <c r="D1771" t="inlineStr">
        <is>
          <t>Business</t>
        </is>
      </c>
      <c r="E1771" t="inlineStr">
        <is>
          <t>Business</t>
        </is>
      </c>
      <c r="F1771" t="inlineStr">
        <is>
          <t>Team Operations</t>
        </is>
      </c>
      <c r="G1771" t="inlineStr">
        <is>
          <t>Contractor</t>
        </is>
      </c>
      <c r="H1771" t="inlineStr">
        <is>
          <t>Business &gt; Team Operations &gt; Quick Add &gt; Contractor</t>
        </is>
      </c>
      <c r="I1771" s="18" t="n">
        <v>110498.36</v>
      </c>
      <c r="J1771" t="inlineStr">
        <is>
          <t>Created MTR-IOS-1770 and correlation note visible in Activity/Pulse</t>
        </is>
      </c>
      <c r="K1771" t="inlineStr">
        <is>
          <t>NOT_RUN</t>
        </is>
      </c>
      <c r="P1771" t="n">
        <v>0</v>
      </c>
      <c r="Q1771" t="n">
        <v>1770</v>
      </c>
    </row>
    <row r="1772">
      <c r="A1772" t="n">
        <v>1771</v>
      </c>
      <c r="B1772" t="inlineStr">
        <is>
          <t>MTR-IOS-1771</t>
        </is>
      </c>
      <c r="C1772" t="inlineStr">
        <is>
          <t>iPhone</t>
        </is>
      </c>
      <c r="D1772" t="inlineStr">
        <is>
          <t>Personal</t>
        </is>
      </c>
      <c r="E1772" t="inlineStr">
        <is>
          <t>Personal</t>
        </is>
      </c>
      <c r="F1772" t="inlineStr">
        <is>
          <t>Lifestyle</t>
        </is>
      </c>
      <c r="G1772" t="inlineStr">
        <is>
          <t>Travel</t>
        </is>
      </c>
      <c r="H1772" t="inlineStr">
        <is>
          <t>Personal &gt; Lifestyle &gt; Quick Add &gt; Travel</t>
        </is>
      </c>
      <c r="I1772" s="18" t="n">
        <v>6437.12</v>
      </c>
      <c r="J1772" t="inlineStr">
        <is>
          <t>Created MTR-IOS-1771 and correlation note visible in Activity/Pulse</t>
        </is>
      </c>
      <c r="K1772" t="inlineStr">
        <is>
          <t>NOT_RUN</t>
        </is>
      </c>
      <c r="P1772" t="n">
        <v>0</v>
      </c>
      <c r="Q1772" t="n">
        <v>1771</v>
      </c>
    </row>
    <row r="1773">
      <c r="A1773" t="n">
        <v>1772</v>
      </c>
      <c r="B1773" t="inlineStr">
        <is>
          <t>MTR-IOS-1772</t>
        </is>
      </c>
      <c r="C1773" t="inlineStr">
        <is>
          <t>iPhone</t>
        </is>
      </c>
      <c r="D1773" t="inlineStr">
        <is>
          <t>Group</t>
        </is>
      </c>
      <c r="E1773" t="inlineStr">
        <is>
          <t>Shared Experience</t>
        </is>
      </c>
      <c r="F1773" t="inlineStr">
        <is>
          <t>Wedding</t>
        </is>
      </c>
      <c r="G1773" t="inlineStr">
        <is>
          <t>Travel</t>
        </is>
      </c>
      <c r="H1773" t="inlineStr">
        <is>
          <t>Group &gt; Wedding &gt; Quick Add &gt; Travel</t>
        </is>
      </c>
      <c r="I1773" s="18" t="n">
        <v>15046.99</v>
      </c>
      <c r="J1773" t="inlineStr">
        <is>
          <t>Created MTR-IOS-1772 and correlation note visible in Activity/Pulse</t>
        </is>
      </c>
      <c r="K1773" t="inlineStr">
        <is>
          <t>NOT_RUN</t>
        </is>
      </c>
      <c r="P1773" t="n">
        <v>0</v>
      </c>
      <c r="Q1773" t="n">
        <v>1772</v>
      </c>
    </row>
    <row r="1774">
      <c r="A1774" t="n">
        <v>1773</v>
      </c>
      <c r="B1774" t="inlineStr">
        <is>
          <t>MTR-IOS-1773</t>
        </is>
      </c>
      <c r="C1774" t="inlineStr">
        <is>
          <t>iPhone</t>
        </is>
      </c>
      <c r="D1774" t="inlineStr">
        <is>
          <t>Business</t>
        </is>
      </c>
      <c r="E1774" t="inlineStr">
        <is>
          <t>Business</t>
        </is>
      </c>
      <c r="F1774" t="inlineStr">
        <is>
          <t>Team Operations</t>
        </is>
      </c>
      <c r="G1774" t="inlineStr">
        <is>
          <t>Hiring</t>
        </is>
      </c>
      <c r="H1774" t="inlineStr">
        <is>
          <t>Business &gt; Team Operations &gt; Quick Add &gt; Hiring</t>
        </is>
      </c>
      <c r="I1774" s="18" t="n">
        <v>105443.29</v>
      </c>
      <c r="J1774" t="inlineStr">
        <is>
          <t>Created MTR-IOS-1773 and correlation note visible in Activity/Pulse</t>
        </is>
      </c>
      <c r="K1774" t="inlineStr">
        <is>
          <t>NOT_RUN</t>
        </is>
      </c>
      <c r="P1774" t="n">
        <v>0</v>
      </c>
      <c r="Q1774" t="n">
        <v>1773</v>
      </c>
    </row>
    <row r="1775">
      <c r="A1775" t="n">
        <v>1774</v>
      </c>
      <c r="B1775" t="inlineStr">
        <is>
          <t>MTR-IOS-1774</t>
        </is>
      </c>
      <c r="C1775" t="inlineStr">
        <is>
          <t>iPhone</t>
        </is>
      </c>
      <c r="D1775" t="inlineStr">
        <is>
          <t>Personal</t>
        </is>
      </c>
      <c r="E1775" t="inlineStr">
        <is>
          <t>Personal</t>
        </is>
      </c>
      <c r="F1775" t="inlineStr">
        <is>
          <t>Lifestyle</t>
        </is>
      </c>
      <c r="G1775" t="inlineStr">
        <is>
          <t>Fitness</t>
        </is>
      </c>
      <c r="H1775" t="inlineStr">
        <is>
          <t>Personal &gt; Lifestyle &gt; Quick Add &gt; Fitness</t>
        </is>
      </c>
      <c r="I1775" s="18" t="n">
        <v>7975.87</v>
      </c>
      <c r="J1775" t="inlineStr">
        <is>
          <t>Created MTR-IOS-1774 and correlation note visible in Activity/Pulse</t>
        </is>
      </c>
      <c r="K1775" t="inlineStr">
        <is>
          <t>NOT_RUN</t>
        </is>
      </c>
      <c r="P1775" t="n">
        <v>0</v>
      </c>
      <c r="Q1775" t="n">
        <v>1774</v>
      </c>
    </row>
    <row r="1776">
      <c r="A1776" t="n">
        <v>1775</v>
      </c>
      <c r="B1776" t="inlineStr">
        <is>
          <t>MTR-IOS-1775</t>
        </is>
      </c>
      <c r="C1776" t="inlineStr">
        <is>
          <t>iPhone</t>
        </is>
      </c>
      <c r="D1776" t="inlineStr">
        <is>
          <t>Group</t>
        </is>
      </c>
      <c r="E1776" t="inlineStr">
        <is>
          <t>Shared Experience</t>
        </is>
      </c>
      <c r="F1776" t="inlineStr">
        <is>
          <t>Wedding</t>
        </is>
      </c>
      <c r="G1776" t="inlineStr">
        <is>
          <t>Gifts</t>
        </is>
      </c>
      <c r="H1776" t="inlineStr">
        <is>
          <t>Group &gt; Wedding &gt; Quick Add &gt; Gifts</t>
        </is>
      </c>
      <c r="I1776" s="18" t="n">
        <v>10519.09</v>
      </c>
      <c r="J1776" t="inlineStr">
        <is>
          <t>Created MTR-IOS-1775 and correlation note visible in Activity/Pulse</t>
        </is>
      </c>
      <c r="K1776" t="inlineStr">
        <is>
          <t>NOT_RUN</t>
        </is>
      </c>
      <c r="P1776" t="n">
        <v>0</v>
      </c>
      <c r="Q1776" t="n">
        <v>1775</v>
      </c>
    </row>
    <row r="1777">
      <c r="A1777" t="n">
        <v>1776</v>
      </c>
      <c r="B1777" t="inlineStr">
        <is>
          <t>MTR-IOS-1776</t>
        </is>
      </c>
      <c r="C1777" t="inlineStr">
        <is>
          <t>iPhone</t>
        </is>
      </c>
      <c r="D1777" t="inlineStr">
        <is>
          <t>Business</t>
        </is>
      </c>
      <c r="E1777" t="inlineStr">
        <is>
          <t>Business</t>
        </is>
      </c>
      <c r="F1777" t="inlineStr">
        <is>
          <t>Team Operations</t>
        </is>
      </c>
      <c r="G1777" t="inlineStr">
        <is>
          <t>Team Meal</t>
        </is>
      </c>
      <c r="H1777" t="inlineStr">
        <is>
          <t>Business &gt; Team Operations &gt; Quick Add &gt; Team Meal</t>
        </is>
      </c>
      <c r="I1777" s="18" t="n">
        <v>0.01</v>
      </c>
      <c r="J1777" t="inlineStr">
        <is>
          <t>Created MTR-IOS-1776 and correlation note visible in Activity/Pulse</t>
        </is>
      </c>
      <c r="K1777" t="inlineStr">
        <is>
          <t>NOT_RUN</t>
        </is>
      </c>
      <c r="P1777" t="n">
        <v>0</v>
      </c>
      <c r="Q1777" t="n">
        <v>1776</v>
      </c>
    </row>
    <row r="1778">
      <c r="A1778" t="n">
        <v>1777</v>
      </c>
      <c r="B1778" t="inlineStr">
        <is>
          <t>MTR-IOS-1777</t>
        </is>
      </c>
      <c r="C1778" t="inlineStr">
        <is>
          <t>iPhone</t>
        </is>
      </c>
      <c r="D1778" t="inlineStr">
        <is>
          <t>Personal</t>
        </is>
      </c>
      <c r="E1778" t="inlineStr">
        <is>
          <t>Personal</t>
        </is>
      </c>
      <c r="F1778" t="inlineStr">
        <is>
          <t>Lifestyle</t>
        </is>
      </c>
      <c r="G1778" t="inlineStr">
        <is>
          <t>Hobbies</t>
        </is>
      </c>
      <c r="H1778" t="inlineStr">
        <is>
          <t>Personal &gt; Lifestyle &gt; Quick Add &gt; Hobbies</t>
        </is>
      </c>
      <c r="I1778" s="18" t="n">
        <v>1555.76</v>
      </c>
      <c r="J1778" t="inlineStr">
        <is>
          <t>Created MTR-IOS-1777 and correlation note visible in Activity/Pulse</t>
        </is>
      </c>
      <c r="K1778" t="inlineStr">
        <is>
          <t>NOT_RUN</t>
        </is>
      </c>
      <c r="P1778" t="n">
        <v>0</v>
      </c>
      <c r="Q1778" t="n">
        <v>1777</v>
      </c>
    </row>
    <row r="1779">
      <c r="A1779" t="n">
        <v>1778</v>
      </c>
      <c r="B1779" t="inlineStr">
        <is>
          <t>MTR-IOS-1778</t>
        </is>
      </c>
      <c r="C1779" t="inlineStr">
        <is>
          <t>iPhone</t>
        </is>
      </c>
      <c r="D1779" t="inlineStr">
        <is>
          <t>Group</t>
        </is>
      </c>
      <c r="E1779" t="inlineStr">
        <is>
          <t>Shared Experience</t>
        </is>
      </c>
      <c r="F1779" t="inlineStr">
        <is>
          <t>Wedding</t>
        </is>
      </c>
      <c r="G1779" t="inlineStr">
        <is>
          <t>Photography</t>
        </is>
      </c>
      <c r="H1779" t="inlineStr">
        <is>
          <t>Group &gt; Wedding &gt; Quick Add &gt; Photography</t>
        </is>
      </c>
      <c r="I1779" s="18" t="n">
        <v>6343.55</v>
      </c>
      <c r="J1779" t="inlineStr">
        <is>
          <t>Created MTR-IOS-1778 and correlation note visible in Activity/Pulse</t>
        </is>
      </c>
      <c r="K1779" t="inlineStr">
        <is>
          <t>NOT_RUN</t>
        </is>
      </c>
      <c r="P1779" t="n">
        <v>0</v>
      </c>
      <c r="Q1779" t="n">
        <v>1778</v>
      </c>
    </row>
    <row r="1780">
      <c r="A1780" t="n">
        <v>1779</v>
      </c>
      <c r="B1780" t="inlineStr">
        <is>
          <t>MTR-IOS-1779</t>
        </is>
      </c>
      <c r="C1780" t="inlineStr">
        <is>
          <t>iPhone</t>
        </is>
      </c>
      <c r="D1780" t="inlineStr">
        <is>
          <t>Business</t>
        </is>
      </c>
      <c r="E1780" t="inlineStr">
        <is>
          <t>Business</t>
        </is>
      </c>
      <c r="F1780" t="inlineStr">
        <is>
          <t>Team Operations</t>
        </is>
      </c>
      <c r="G1780" t="inlineStr">
        <is>
          <t>Travel</t>
        </is>
      </c>
      <c r="H1780" t="inlineStr">
        <is>
          <t>Business &gt; Team Operations &gt; Quick Add &gt; Travel</t>
        </is>
      </c>
      <c r="I1780" s="18" t="n">
        <v>131041.02</v>
      </c>
      <c r="J1780" t="inlineStr">
        <is>
          <t>Created MTR-IOS-1779 and correlation note visible in Activity/Pulse</t>
        </is>
      </c>
      <c r="K1780" t="inlineStr">
        <is>
          <t>NOT_RUN</t>
        </is>
      </c>
      <c r="P1780" t="n">
        <v>0</v>
      </c>
      <c r="Q1780" t="n">
        <v>1779</v>
      </c>
    </row>
    <row r="1781">
      <c r="A1781" t="n">
        <v>1780</v>
      </c>
      <c r="B1781" t="inlineStr">
        <is>
          <t>MTR-IOS-1780</t>
        </is>
      </c>
      <c r="C1781" t="inlineStr">
        <is>
          <t>iPhone</t>
        </is>
      </c>
      <c r="D1781" t="inlineStr">
        <is>
          <t>Personal</t>
        </is>
      </c>
      <c r="E1781" t="inlineStr">
        <is>
          <t>Personal</t>
        </is>
      </c>
      <c r="F1781" t="inlineStr">
        <is>
          <t>Relationships</t>
        </is>
      </c>
      <c r="G1781" t="inlineStr">
        <is>
          <t>Gifts</t>
        </is>
      </c>
      <c r="H1781" t="inlineStr">
        <is>
          <t>Personal &gt; Relationships &gt; Quick Add &gt; Gifts</t>
        </is>
      </c>
      <c r="I1781" s="18" t="n">
        <v>5064.41</v>
      </c>
      <c r="J1781" t="inlineStr">
        <is>
          <t>Created MTR-IOS-1780 and correlation note visible in Activity/Pulse</t>
        </is>
      </c>
      <c r="K1781" t="inlineStr">
        <is>
          <t>NOT_RUN</t>
        </is>
      </c>
      <c r="P1781" t="n">
        <v>0</v>
      </c>
      <c r="Q1781" t="n">
        <v>1780</v>
      </c>
    </row>
    <row r="1782">
      <c r="A1782" t="n">
        <v>1781</v>
      </c>
      <c r="B1782" t="inlineStr">
        <is>
          <t>MTR-IOS-1781</t>
        </is>
      </c>
      <c r="C1782" t="inlineStr">
        <is>
          <t>iPhone</t>
        </is>
      </c>
      <c r="D1782" t="inlineStr">
        <is>
          <t>Group</t>
        </is>
      </c>
      <c r="E1782" t="inlineStr">
        <is>
          <t>Shared Experience</t>
        </is>
      </c>
      <c r="F1782" t="inlineStr">
        <is>
          <t>Wedding</t>
        </is>
      </c>
      <c r="G1782" t="inlineStr">
        <is>
          <t>Other</t>
        </is>
      </c>
      <c r="H1782" t="inlineStr">
        <is>
          <t>Group &gt; Wedding &gt; Quick Add &gt; Other</t>
        </is>
      </c>
      <c r="I1782" s="18" t="n">
        <v>11155.48</v>
      </c>
      <c r="J1782" t="inlineStr">
        <is>
          <t>Created MTR-IOS-1781 and correlation note visible in Activity/Pulse</t>
        </is>
      </c>
      <c r="K1782" t="inlineStr">
        <is>
          <t>NOT_RUN</t>
        </is>
      </c>
      <c r="P1782" t="n">
        <v>0</v>
      </c>
      <c r="Q1782" t="n">
        <v>1781</v>
      </c>
    </row>
    <row r="1783">
      <c r="A1783" t="n">
        <v>1782</v>
      </c>
      <c r="B1783" t="inlineStr">
        <is>
          <t>MTR-IOS-1782</t>
        </is>
      </c>
      <c r="C1783" t="inlineStr">
        <is>
          <t>iPhone</t>
        </is>
      </c>
      <c r="D1783" t="inlineStr">
        <is>
          <t>Business</t>
        </is>
      </c>
      <c r="E1783" t="inlineStr">
        <is>
          <t>Business</t>
        </is>
      </c>
      <c r="F1783" t="inlineStr">
        <is>
          <t>Team Operations</t>
        </is>
      </c>
      <c r="G1783" t="inlineStr">
        <is>
          <t>Training</t>
        </is>
      </c>
      <c r="H1783" t="inlineStr">
        <is>
          <t>Business &gt; Team Operations &gt; Quick Add &gt; Training</t>
        </is>
      </c>
      <c r="I1783" s="18" t="n">
        <v>27890.47</v>
      </c>
      <c r="J1783" t="inlineStr">
        <is>
          <t>Created MTR-IOS-1782 and correlation note visible in Activity/Pulse</t>
        </is>
      </c>
      <c r="K1783" t="inlineStr">
        <is>
          <t>NOT_RUN</t>
        </is>
      </c>
      <c r="P1783" t="n">
        <v>0</v>
      </c>
      <c r="Q1783" t="n">
        <v>1782</v>
      </c>
    </row>
    <row r="1784">
      <c r="A1784" t="n">
        <v>1783</v>
      </c>
      <c r="B1784" t="inlineStr">
        <is>
          <t>MTR-IOS-1783</t>
        </is>
      </c>
      <c r="C1784" t="inlineStr">
        <is>
          <t>iPhone</t>
        </is>
      </c>
      <c r="D1784" t="inlineStr">
        <is>
          <t>Personal</t>
        </is>
      </c>
      <c r="E1784" t="inlineStr">
        <is>
          <t>Personal</t>
        </is>
      </c>
      <c r="F1784" t="inlineStr">
        <is>
          <t>Relationships</t>
        </is>
      </c>
      <c r="G1784" t="inlineStr">
        <is>
          <t>Dates</t>
        </is>
      </c>
      <c r="H1784" t="inlineStr">
        <is>
          <t>Personal &gt; Relationships &gt; Quick Add &gt; Dates</t>
        </is>
      </c>
      <c r="I1784" s="18" t="n">
        <v>10932.92</v>
      </c>
      <c r="J1784" t="inlineStr">
        <is>
          <t>Created MTR-IOS-1783 and correlation note visible in Activity/Pulse</t>
        </is>
      </c>
      <c r="K1784" t="inlineStr">
        <is>
          <t>NOT_RUN</t>
        </is>
      </c>
      <c r="P1784" t="n">
        <v>0</v>
      </c>
      <c r="Q1784" t="n">
        <v>1783</v>
      </c>
    </row>
    <row r="1785">
      <c r="A1785" t="n">
        <v>1784</v>
      </c>
      <c r="B1785" t="inlineStr">
        <is>
          <t>MTR-IOS-1784</t>
        </is>
      </c>
      <c r="C1785" t="inlineStr">
        <is>
          <t>iPhone</t>
        </is>
      </c>
      <c r="D1785" t="inlineStr">
        <is>
          <t>Group</t>
        </is>
      </c>
      <c r="E1785" t="inlineStr">
        <is>
          <t>Shared Experience</t>
        </is>
      </c>
      <c r="F1785" t="inlineStr">
        <is>
          <t>Office Outing</t>
        </is>
      </c>
      <c r="G1785" t="inlineStr">
        <is>
          <t>Food</t>
        </is>
      </c>
      <c r="H1785" t="inlineStr">
        <is>
          <t>Group &gt; Office Outing &gt; Quick Add &gt; Food</t>
        </is>
      </c>
      <c r="I1785" s="18" t="n">
        <v>4386.48</v>
      </c>
      <c r="J1785" t="inlineStr">
        <is>
          <t>Created MTR-IOS-1784 and correlation note visible in Activity/Pulse</t>
        </is>
      </c>
      <c r="K1785" t="inlineStr">
        <is>
          <t>NOT_RUN</t>
        </is>
      </c>
      <c r="P1785" t="n">
        <v>0</v>
      </c>
      <c r="Q1785" t="n">
        <v>1784</v>
      </c>
    </row>
    <row r="1786">
      <c r="A1786" t="n">
        <v>1785</v>
      </c>
      <c r="B1786" t="inlineStr">
        <is>
          <t>MTR-IOS-1785</t>
        </is>
      </c>
      <c r="C1786" t="inlineStr">
        <is>
          <t>iPhone</t>
        </is>
      </c>
      <c r="D1786" t="inlineStr">
        <is>
          <t>Business</t>
        </is>
      </c>
      <c r="E1786" t="inlineStr">
        <is>
          <t>Business</t>
        </is>
      </c>
      <c r="F1786" t="inlineStr">
        <is>
          <t>Team Operations</t>
        </is>
      </c>
      <c r="G1786" t="inlineStr">
        <is>
          <t>Tools</t>
        </is>
      </c>
      <c r="H1786" t="inlineStr">
        <is>
          <t>Business &gt; Team Operations &gt; Quick Add &gt; Tools</t>
        </is>
      </c>
      <c r="I1786" s="18" t="n">
        <v>22725.97</v>
      </c>
      <c r="J1786" t="inlineStr">
        <is>
          <t>Created MTR-IOS-1785 and correlation note visible in Activity/Pulse</t>
        </is>
      </c>
      <c r="K1786" t="inlineStr">
        <is>
          <t>NOT_RUN</t>
        </is>
      </c>
      <c r="P1786" t="n">
        <v>0</v>
      </c>
      <c r="Q1786" t="n">
        <v>1785</v>
      </c>
    </row>
    <row r="1787">
      <c r="A1787" t="n">
        <v>1786</v>
      </c>
      <c r="B1787" t="inlineStr">
        <is>
          <t>MTR-IOS-1786</t>
        </is>
      </c>
      <c r="C1787" t="inlineStr">
        <is>
          <t>iPhone</t>
        </is>
      </c>
      <c r="D1787" t="inlineStr">
        <is>
          <t>Personal</t>
        </is>
      </c>
      <c r="E1787" t="inlineStr">
        <is>
          <t>Personal</t>
        </is>
      </c>
      <c r="F1787" t="inlineStr">
        <is>
          <t>Relationships</t>
        </is>
      </c>
      <c r="G1787" t="inlineStr">
        <is>
          <t>Family</t>
        </is>
      </c>
      <c r="H1787" t="inlineStr">
        <is>
          <t>Personal &gt; Relationships &gt; Quick Add &gt; Family</t>
        </is>
      </c>
      <c r="I1787" s="18" t="n">
        <v>15116.46</v>
      </c>
      <c r="J1787" t="inlineStr">
        <is>
          <t>Created MTR-IOS-1786 and correlation note visible in Activity/Pulse</t>
        </is>
      </c>
      <c r="K1787" t="inlineStr">
        <is>
          <t>NOT_RUN</t>
        </is>
      </c>
      <c r="P1787" t="n">
        <v>0</v>
      </c>
      <c r="Q1787" t="n">
        <v>1786</v>
      </c>
    </row>
    <row r="1788">
      <c r="A1788" t="n">
        <v>1787</v>
      </c>
      <c r="B1788" t="inlineStr">
        <is>
          <t>MTR-IOS-1787</t>
        </is>
      </c>
      <c r="C1788" t="inlineStr">
        <is>
          <t>iPhone</t>
        </is>
      </c>
      <c r="D1788" t="inlineStr">
        <is>
          <t>Group</t>
        </is>
      </c>
      <c r="E1788" t="inlineStr">
        <is>
          <t>Shared Experience</t>
        </is>
      </c>
      <c r="F1788" t="inlineStr">
        <is>
          <t>Office Outing</t>
        </is>
      </c>
      <c r="G1788" t="inlineStr">
        <is>
          <t>Travel</t>
        </is>
      </c>
      <c r="H1788" t="inlineStr">
        <is>
          <t>Group &gt; Office Outing &gt; Quick Add &gt; Travel</t>
        </is>
      </c>
      <c r="I1788" s="18" t="n">
        <v>2811.16</v>
      </c>
      <c r="J1788" t="inlineStr">
        <is>
          <t>Created MTR-IOS-1787 and correlation note visible in Activity/Pulse</t>
        </is>
      </c>
      <c r="K1788" t="inlineStr">
        <is>
          <t>NOT_RUN</t>
        </is>
      </c>
      <c r="P1788" t="n">
        <v>0</v>
      </c>
      <c r="Q1788" t="n">
        <v>1787</v>
      </c>
    </row>
    <row r="1789">
      <c r="A1789" t="n">
        <v>1788</v>
      </c>
      <c r="B1789" t="inlineStr">
        <is>
          <t>MTR-IOS-1788</t>
        </is>
      </c>
      <c r="C1789" t="inlineStr">
        <is>
          <t>iPhone</t>
        </is>
      </c>
      <c r="D1789" t="inlineStr">
        <is>
          <t>Business</t>
        </is>
      </c>
      <c r="E1789" t="inlineStr">
        <is>
          <t>Business</t>
        </is>
      </c>
      <c r="F1789" t="inlineStr">
        <is>
          <t>Business Runway</t>
        </is>
      </c>
      <c r="G1789" t="inlineStr">
        <is>
          <t>Funding</t>
        </is>
      </c>
      <c r="H1789" t="inlineStr">
        <is>
          <t>Business &gt; Business Runway &gt; Quick Add &gt; Funding</t>
        </is>
      </c>
      <c r="I1789" s="18" t="n">
        <v>3168.84</v>
      </c>
      <c r="J1789" t="inlineStr">
        <is>
          <t>Created MTR-IOS-1788 and correlation note visible in Activity/Pulse</t>
        </is>
      </c>
      <c r="K1789" t="inlineStr">
        <is>
          <t>NOT_RUN</t>
        </is>
      </c>
      <c r="P1789" t="n">
        <v>0</v>
      </c>
      <c r="Q1789" t="n">
        <v>1788</v>
      </c>
    </row>
    <row r="1790">
      <c r="A1790" t="n">
        <v>1789</v>
      </c>
      <c r="B1790" t="inlineStr">
        <is>
          <t>MTR-IOS-1789</t>
        </is>
      </c>
      <c r="C1790" t="inlineStr">
        <is>
          <t>iPhone</t>
        </is>
      </c>
      <c r="D1790" t="inlineStr">
        <is>
          <t>Personal</t>
        </is>
      </c>
      <c r="E1790" t="inlineStr">
        <is>
          <t>Personal</t>
        </is>
      </c>
      <c r="F1790" t="inlineStr">
        <is>
          <t>Relationships</t>
        </is>
      </c>
      <c r="G1790" t="inlineStr">
        <is>
          <t>Friends</t>
        </is>
      </c>
      <c r="H1790" t="inlineStr">
        <is>
          <t>Personal &gt; Relationships &gt; Quick Add &gt; Friends</t>
        </is>
      </c>
      <c r="I1790" s="18" t="n">
        <v>16758.69</v>
      </c>
      <c r="J1790" t="inlineStr">
        <is>
          <t>Created MTR-IOS-1789 and correlation note visible in Activity/Pulse</t>
        </is>
      </c>
      <c r="K1790" t="inlineStr">
        <is>
          <t>NOT_RUN</t>
        </is>
      </c>
      <c r="P1790" t="n">
        <v>0</v>
      </c>
      <c r="Q1790" t="n">
        <v>1789</v>
      </c>
    </row>
    <row r="1791">
      <c r="A1791" t="n">
        <v>1790</v>
      </c>
      <c r="B1791" t="inlineStr">
        <is>
          <t>MTR-IOS-1790</t>
        </is>
      </c>
      <c r="C1791" t="inlineStr">
        <is>
          <t>iPhone</t>
        </is>
      </c>
      <c r="D1791" t="inlineStr">
        <is>
          <t>Group</t>
        </is>
      </c>
      <c r="E1791" t="inlineStr">
        <is>
          <t>Shared Experience</t>
        </is>
      </c>
      <c r="F1791" t="inlineStr">
        <is>
          <t>Office Outing</t>
        </is>
      </c>
      <c r="G1791" t="inlineStr">
        <is>
          <t>Activities</t>
        </is>
      </c>
      <c r="H1791" t="inlineStr">
        <is>
          <t>Group &gt; Office Outing &gt; Quick Add &gt; Activities</t>
        </is>
      </c>
      <c r="I1791" s="18" t="n">
        <v>9911.83</v>
      </c>
      <c r="J1791" t="inlineStr">
        <is>
          <t>Created MTR-IOS-1790 and correlation note visible in Activity/Pulse</t>
        </is>
      </c>
      <c r="K1791" t="inlineStr">
        <is>
          <t>NOT_RUN</t>
        </is>
      </c>
      <c r="P1791" t="n">
        <v>0</v>
      </c>
      <c r="Q1791" t="n">
        <v>1790</v>
      </c>
    </row>
    <row r="1792">
      <c r="A1792" t="n">
        <v>1791</v>
      </c>
      <c r="B1792" t="inlineStr">
        <is>
          <t>MTR-IOS-1791</t>
        </is>
      </c>
      <c r="C1792" t="inlineStr">
        <is>
          <t>iPhone</t>
        </is>
      </c>
      <c r="D1792" t="inlineStr">
        <is>
          <t>Business</t>
        </is>
      </c>
      <c r="E1792" t="inlineStr">
        <is>
          <t>Business</t>
        </is>
      </c>
      <c r="F1792" t="inlineStr">
        <is>
          <t>Business Runway</t>
        </is>
      </c>
      <c r="G1792" t="inlineStr">
        <is>
          <t>Revenue</t>
        </is>
      </c>
      <c r="H1792" t="inlineStr">
        <is>
          <t>Business &gt; Business Runway &gt; Quick Add &gt; Revenue</t>
        </is>
      </c>
      <c r="I1792" s="18" t="n">
        <v>158549.95</v>
      </c>
      <c r="J1792" t="inlineStr">
        <is>
          <t>Created MTR-IOS-1791 and correlation note visible in Activity/Pulse</t>
        </is>
      </c>
      <c r="K1792" t="inlineStr">
        <is>
          <t>NOT_RUN</t>
        </is>
      </c>
      <c r="P1792" t="n">
        <v>0</v>
      </c>
      <c r="Q1792" t="n">
        <v>1791</v>
      </c>
    </row>
    <row r="1793">
      <c r="A1793" t="n">
        <v>1792</v>
      </c>
      <c r="B1793" t="inlineStr">
        <is>
          <t>MTR-IOS-1792</t>
        </is>
      </c>
      <c r="C1793" t="inlineStr">
        <is>
          <t>iPhone</t>
        </is>
      </c>
      <c r="D1793" t="inlineStr">
        <is>
          <t>Personal</t>
        </is>
      </c>
      <c r="E1793" t="inlineStr">
        <is>
          <t>Personal</t>
        </is>
      </c>
      <c r="F1793" t="inlineStr">
        <is>
          <t>Relationships</t>
        </is>
      </c>
      <c r="G1793" t="inlineStr">
        <is>
          <t>Celebrations</t>
        </is>
      </c>
      <c r="H1793" t="inlineStr">
        <is>
          <t>Personal &gt; Relationships &gt; Quick Add &gt; Celebrations</t>
        </is>
      </c>
      <c r="I1793" s="18" t="n">
        <v>6655.76</v>
      </c>
      <c r="J1793" t="inlineStr">
        <is>
          <t>Created MTR-IOS-1792 and correlation note visible in Activity/Pulse</t>
        </is>
      </c>
      <c r="K1793" t="inlineStr">
        <is>
          <t>NOT_RUN</t>
        </is>
      </c>
      <c r="P1793" t="n">
        <v>0</v>
      </c>
      <c r="Q1793" t="n">
        <v>1792</v>
      </c>
    </row>
    <row r="1794">
      <c r="A1794" t="n">
        <v>1793</v>
      </c>
      <c r="B1794" t="inlineStr">
        <is>
          <t>MTR-IOS-1793</t>
        </is>
      </c>
      <c r="C1794" t="inlineStr">
        <is>
          <t>iPhone</t>
        </is>
      </c>
      <c r="D1794" t="inlineStr">
        <is>
          <t>Group</t>
        </is>
      </c>
      <c r="E1794" t="inlineStr">
        <is>
          <t>Shared Experience</t>
        </is>
      </c>
      <c r="F1794" t="inlineStr">
        <is>
          <t>Office Outing</t>
        </is>
      </c>
      <c r="G1794" t="inlineStr">
        <is>
          <t>Venue</t>
        </is>
      </c>
      <c r="H1794" t="inlineStr">
        <is>
          <t>Group &gt; Office Outing &gt; Quick Add &gt; Venue</t>
        </is>
      </c>
      <c r="I1794" s="18" t="n">
        <v>10877.1</v>
      </c>
      <c r="J1794" t="inlineStr">
        <is>
          <t>Created MTR-IOS-1793 and correlation note visible in Activity/Pulse</t>
        </is>
      </c>
      <c r="K1794" t="inlineStr">
        <is>
          <t>NOT_RUN</t>
        </is>
      </c>
      <c r="P1794" t="n">
        <v>0</v>
      </c>
      <c r="Q1794" t="n">
        <v>1793</v>
      </c>
    </row>
    <row r="1795">
      <c r="A1795" t="n">
        <v>1794</v>
      </c>
      <c r="B1795" t="inlineStr">
        <is>
          <t>MTR-IOS-1794</t>
        </is>
      </c>
      <c r="C1795" t="inlineStr">
        <is>
          <t>iPhone</t>
        </is>
      </c>
      <c r="D1795" t="inlineStr">
        <is>
          <t>Business</t>
        </is>
      </c>
      <c r="E1795" t="inlineStr">
        <is>
          <t>Business</t>
        </is>
      </c>
      <c r="F1795" t="inlineStr">
        <is>
          <t>Business Runway</t>
        </is>
      </c>
      <c r="G1795" t="inlineStr">
        <is>
          <t>Burn</t>
        </is>
      </c>
      <c r="H1795" t="inlineStr">
        <is>
          <t>Business &gt; Business Runway &gt; Quick Add &gt; Burn</t>
        </is>
      </c>
      <c r="I1795" s="18" t="n">
        <v>8929.459999999999</v>
      </c>
      <c r="J1795" t="inlineStr">
        <is>
          <t>Created MTR-IOS-1794 and correlation note visible in Activity/Pulse</t>
        </is>
      </c>
      <c r="K1795" t="inlineStr">
        <is>
          <t>NOT_RUN</t>
        </is>
      </c>
      <c r="P1795" t="n">
        <v>0</v>
      </c>
      <c r="Q1795" t="n">
        <v>1794</v>
      </c>
    </row>
    <row r="1796">
      <c r="A1796" t="n">
        <v>1795</v>
      </c>
      <c r="B1796" t="inlineStr">
        <is>
          <t>MTR-IOS-1795</t>
        </is>
      </c>
      <c r="C1796" t="inlineStr">
        <is>
          <t>iPhone</t>
        </is>
      </c>
      <c r="D1796" t="inlineStr">
        <is>
          <t>Personal</t>
        </is>
      </c>
      <c r="E1796" t="inlineStr">
        <is>
          <t>Personal</t>
        </is>
      </c>
      <c r="F1796" t="inlineStr">
        <is>
          <t>Life Operations</t>
        </is>
      </c>
      <c r="G1796" t="inlineStr">
        <is>
          <t>Groceries</t>
        </is>
      </c>
      <c r="H1796" t="inlineStr">
        <is>
          <t>Personal &gt; Life Operations &gt; Quick Add &gt; Groceries</t>
        </is>
      </c>
      <c r="I1796" s="18" t="n">
        <v>4417</v>
      </c>
      <c r="J1796" t="inlineStr">
        <is>
          <t>Created MTR-IOS-1795 and correlation note visible in Activity/Pulse</t>
        </is>
      </c>
      <c r="K1796" t="inlineStr">
        <is>
          <t>NOT_RUN</t>
        </is>
      </c>
      <c r="P1796" t="n">
        <v>0</v>
      </c>
      <c r="Q1796" t="n">
        <v>1795</v>
      </c>
    </row>
    <row r="1797">
      <c r="A1797" t="n">
        <v>1796</v>
      </c>
      <c r="B1797" t="inlineStr">
        <is>
          <t>MTR-IOS-1796</t>
        </is>
      </c>
      <c r="C1797" t="inlineStr">
        <is>
          <t>iPhone</t>
        </is>
      </c>
      <c r="D1797" t="inlineStr">
        <is>
          <t>Group</t>
        </is>
      </c>
      <c r="E1797" t="inlineStr">
        <is>
          <t>Shared Experience</t>
        </is>
      </c>
      <c r="F1797" t="inlineStr">
        <is>
          <t>Office Outing</t>
        </is>
      </c>
      <c r="G1797" t="inlineStr">
        <is>
          <t>Other</t>
        </is>
      </c>
      <c r="H1797" t="inlineStr">
        <is>
          <t>Group &gt; Office Outing &gt; Quick Add &gt; Other</t>
        </is>
      </c>
      <c r="I1797" s="18" t="n">
        <v>5694.27</v>
      </c>
      <c r="J1797" t="inlineStr">
        <is>
          <t>Created MTR-IOS-1796 and correlation note visible in Activity/Pulse</t>
        </is>
      </c>
      <c r="K1797" t="inlineStr">
        <is>
          <t>NOT_RUN</t>
        </is>
      </c>
      <c r="P1797" t="n">
        <v>0</v>
      </c>
      <c r="Q1797" t="n">
        <v>1796</v>
      </c>
    </row>
    <row r="1798">
      <c r="A1798" t="n">
        <v>1797</v>
      </c>
      <c r="B1798" t="inlineStr">
        <is>
          <t>MTR-IOS-1797</t>
        </is>
      </c>
      <c r="C1798" t="inlineStr">
        <is>
          <t>iPhone</t>
        </is>
      </c>
      <c r="D1798" t="inlineStr">
        <is>
          <t>Business</t>
        </is>
      </c>
      <c r="E1798" t="inlineStr">
        <is>
          <t>Business</t>
        </is>
      </c>
      <c r="F1798" t="inlineStr">
        <is>
          <t>Business Runway</t>
        </is>
      </c>
      <c r="G1798" t="inlineStr">
        <is>
          <t>Reserve</t>
        </is>
      </c>
      <c r="H1798" t="inlineStr">
        <is>
          <t>Business &gt; Business Runway &gt; Quick Add &gt; Reserve</t>
        </is>
      </c>
      <c r="I1798" s="18" t="n">
        <v>19020.63</v>
      </c>
      <c r="J1798" t="inlineStr">
        <is>
          <t>Created MTR-IOS-1797 and correlation note visible in Activity/Pulse</t>
        </is>
      </c>
      <c r="K1798" t="inlineStr">
        <is>
          <t>NOT_RUN</t>
        </is>
      </c>
      <c r="P1798" t="n">
        <v>0</v>
      </c>
      <c r="Q1798" t="n">
        <v>1797</v>
      </c>
    </row>
    <row r="1799">
      <c r="A1799" t="n">
        <v>1798</v>
      </c>
      <c r="B1799" t="inlineStr">
        <is>
          <t>MTR-IOS-1798</t>
        </is>
      </c>
      <c r="C1799" t="inlineStr">
        <is>
          <t>iPhone</t>
        </is>
      </c>
      <c r="D1799" t="inlineStr">
        <is>
          <t>Personal</t>
        </is>
      </c>
      <c r="E1799" t="inlineStr">
        <is>
          <t>Personal</t>
        </is>
      </c>
      <c r="F1799" t="inlineStr">
        <is>
          <t>Life Operations</t>
        </is>
      </c>
      <c r="G1799" t="inlineStr">
        <is>
          <t>Rent</t>
        </is>
      </c>
      <c r="H1799" t="inlineStr">
        <is>
          <t>Personal &gt; Life Operations &gt; Quick Add &gt; Rent</t>
        </is>
      </c>
      <c r="I1799" s="18" t="n">
        <v>13811</v>
      </c>
      <c r="J1799" t="inlineStr">
        <is>
          <t>Created MTR-IOS-1798 and correlation note visible in Activity/Pulse</t>
        </is>
      </c>
      <c r="K1799" t="inlineStr">
        <is>
          <t>NOT_RUN</t>
        </is>
      </c>
      <c r="P1799" t="n">
        <v>0</v>
      </c>
      <c r="Q1799" t="n">
        <v>1798</v>
      </c>
    </row>
    <row r="1800">
      <c r="A1800" t="n">
        <v>1799</v>
      </c>
      <c r="B1800" t="inlineStr">
        <is>
          <t>MTR-IOS-1799</t>
        </is>
      </c>
      <c r="C1800" t="inlineStr">
        <is>
          <t>iPhone</t>
        </is>
      </c>
      <c r="D1800" t="inlineStr">
        <is>
          <t>Group</t>
        </is>
      </c>
      <c r="E1800" t="inlineStr">
        <is>
          <t>Shared Experience</t>
        </is>
      </c>
      <c r="F1800" t="inlineStr">
        <is>
          <t>House Party</t>
        </is>
      </c>
      <c r="G1800" t="inlineStr">
        <is>
          <t>Food</t>
        </is>
      </c>
      <c r="H1800" t="inlineStr">
        <is>
          <t>Group &gt; House Party &gt; Quick Add &gt; Food</t>
        </is>
      </c>
      <c r="I1800" s="18" t="n">
        <v>23006.26</v>
      </c>
      <c r="J1800" t="inlineStr">
        <is>
          <t>Created MTR-IOS-1799 and correlation note visible in Activity/Pulse</t>
        </is>
      </c>
      <c r="K1800" t="inlineStr">
        <is>
          <t>NOT_RUN</t>
        </is>
      </c>
      <c r="P1800" t="n">
        <v>0</v>
      </c>
      <c r="Q1800" t="n">
        <v>1799</v>
      </c>
    </row>
    <row r="1801">
      <c r="A1801" t="n">
        <v>1800</v>
      </c>
      <c r="B1801" t="inlineStr">
        <is>
          <t>MTR-IOS-1800</t>
        </is>
      </c>
      <c r="C1801" t="inlineStr">
        <is>
          <t>iPhone</t>
        </is>
      </c>
      <c r="D1801" t="inlineStr">
        <is>
          <t>Business</t>
        </is>
      </c>
      <c r="E1801" t="inlineStr">
        <is>
          <t>Business</t>
        </is>
      </c>
      <c r="F1801" t="inlineStr">
        <is>
          <t>Business Runway</t>
        </is>
      </c>
      <c r="G1801" t="inlineStr">
        <is>
          <t>Loan</t>
        </is>
      </c>
      <c r="H1801" t="inlineStr">
        <is>
          <t>Business &gt; Business Runway &gt; Quick Add &gt; Loan</t>
        </is>
      </c>
      <c r="I1801" s="18" t="n">
        <v>54695.93</v>
      </c>
      <c r="J1801" t="inlineStr">
        <is>
          <t>Created MTR-IOS-1800 and correlation note visible in Activity/Pulse</t>
        </is>
      </c>
      <c r="K1801" t="inlineStr">
        <is>
          <t>NOT_RUN</t>
        </is>
      </c>
      <c r="P1801" t="n">
        <v>0</v>
      </c>
      <c r="Q1801" t="n">
        <v>1800</v>
      </c>
    </row>
    <row r="1802">
      <c r="A1802" t="n">
        <v>1801</v>
      </c>
      <c r="B1802" t="inlineStr">
        <is>
          <t>MTR-IOS-1801</t>
        </is>
      </c>
      <c r="C1802" t="inlineStr">
        <is>
          <t>iPhone</t>
        </is>
      </c>
      <c r="D1802" t="inlineStr">
        <is>
          <t>Personal</t>
        </is>
      </c>
      <c r="E1802" t="inlineStr">
        <is>
          <t>Personal</t>
        </is>
      </c>
      <c r="F1802" t="inlineStr">
        <is>
          <t>Life Operations</t>
        </is>
      </c>
      <c r="G1802" t="inlineStr">
        <is>
          <t>Bills</t>
        </is>
      </c>
      <c r="H1802" t="inlineStr">
        <is>
          <t>Personal &gt; Life Operations &gt; Quick Add &gt; Bills</t>
        </is>
      </c>
      <c r="I1802" s="18" t="n">
        <v>6424.63</v>
      </c>
      <c r="J1802" t="inlineStr">
        <is>
          <t>Created MTR-IOS-1801 and correlation note visible in Activity/Pulse</t>
        </is>
      </c>
      <c r="K1802" t="inlineStr">
        <is>
          <t>NOT_RUN</t>
        </is>
      </c>
      <c r="P1802" t="n">
        <v>0</v>
      </c>
      <c r="Q1802" t="n">
        <v>1801</v>
      </c>
    </row>
    <row r="1803">
      <c r="A1803" t="n">
        <v>1802</v>
      </c>
      <c r="B1803" t="inlineStr">
        <is>
          <t>MTR-IOS-1802</t>
        </is>
      </c>
      <c r="C1803" t="inlineStr">
        <is>
          <t>iPhone</t>
        </is>
      </c>
      <c r="D1803" t="inlineStr">
        <is>
          <t>Group</t>
        </is>
      </c>
      <c r="E1803" t="inlineStr">
        <is>
          <t>Shared Experience</t>
        </is>
      </c>
      <c r="F1803" t="inlineStr">
        <is>
          <t>House Party</t>
        </is>
      </c>
      <c r="G1803" t="inlineStr">
        <is>
          <t>Drinks</t>
        </is>
      </c>
      <c r="H1803" t="inlineStr">
        <is>
          <t>Group &gt; House Party &gt; Quick Add &gt; Drinks</t>
        </is>
      </c>
      <c r="I1803" s="18" t="n">
        <v>18870.76</v>
      </c>
      <c r="J1803" t="inlineStr">
        <is>
          <t>Created MTR-IOS-1802 and correlation note visible in Activity/Pulse</t>
        </is>
      </c>
      <c r="K1803" t="inlineStr">
        <is>
          <t>NOT_RUN</t>
        </is>
      </c>
      <c r="P1803" t="n">
        <v>0</v>
      </c>
      <c r="Q1803" t="n">
        <v>1802</v>
      </c>
    </row>
    <row r="1804">
      <c r="A1804" t="n">
        <v>1803</v>
      </c>
      <c r="B1804" t="inlineStr">
        <is>
          <t>MTR-IOS-1803</t>
        </is>
      </c>
      <c r="C1804" t="inlineStr">
        <is>
          <t>iPhone</t>
        </is>
      </c>
      <c r="D1804" t="inlineStr">
        <is>
          <t>Business</t>
        </is>
      </c>
      <c r="E1804" t="inlineStr">
        <is>
          <t>Business</t>
        </is>
      </c>
      <c r="F1804" t="inlineStr">
        <is>
          <t>Business Runway</t>
        </is>
      </c>
      <c r="G1804" t="inlineStr">
        <is>
          <t>Investment</t>
        </is>
      </c>
      <c r="H1804" t="inlineStr">
        <is>
          <t>Business &gt; Business Runway &gt; Quick Add &gt; Investment</t>
        </is>
      </c>
      <c r="I1804" s="18" t="n">
        <v>124142.37</v>
      </c>
      <c r="J1804" t="inlineStr">
        <is>
          <t>Created MTR-IOS-1803 and correlation note visible in Activity/Pulse</t>
        </is>
      </c>
      <c r="K1804" t="inlineStr">
        <is>
          <t>NOT_RUN</t>
        </is>
      </c>
      <c r="P1804" t="n">
        <v>0</v>
      </c>
      <c r="Q1804" t="n">
        <v>1803</v>
      </c>
    </row>
    <row r="1805">
      <c r="A1805" t="n">
        <v>1804</v>
      </c>
      <c r="B1805" t="inlineStr">
        <is>
          <t>MTR-IOS-1804</t>
        </is>
      </c>
      <c r="C1805" t="inlineStr">
        <is>
          <t>iPhone</t>
        </is>
      </c>
      <c r="D1805" t="inlineStr">
        <is>
          <t>Personal</t>
        </is>
      </c>
      <c r="E1805" t="inlineStr">
        <is>
          <t>Personal</t>
        </is>
      </c>
      <c r="F1805" t="inlineStr">
        <is>
          <t>Life Operations</t>
        </is>
      </c>
      <c r="G1805" t="inlineStr">
        <is>
          <t>Transport</t>
        </is>
      </c>
      <c r="H1805" t="inlineStr">
        <is>
          <t>Personal &gt; Life Operations &gt; Quick Add &gt; Transport</t>
        </is>
      </c>
      <c r="I1805" s="18" t="n">
        <v>12164.8</v>
      </c>
      <c r="J1805" t="inlineStr">
        <is>
          <t>Created MTR-IOS-1804 and correlation note visible in Activity/Pulse</t>
        </is>
      </c>
      <c r="K1805" t="inlineStr">
        <is>
          <t>NOT_RUN</t>
        </is>
      </c>
      <c r="P1805" t="n">
        <v>0</v>
      </c>
      <c r="Q1805" t="n">
        <v>1804</v>
      </c>
    </row>
    <row r="1806">
      <c r="A1806" t="n">
        <v>1805</v>
      </c>
      <c r="B1806" t="inlineStr">
        <is>
          <t>MTR-IOS-1805</t>
        </is>
      </c>
      <c r="C1806" t="inlineStr">
        <is>
          <t>iPhone</t>
        </is>
      </c>
      <c r="D1806" t="inlineStr">
        <is>
          <t>Group</t>
        </is>
      </c>
      <c r="E1806" t="inlineStr">
        <is>
          <t>Shared Experience</t>
        </is>
      </c>
      <c r="F1806" t="inlineStr">
        <is>
          <t>House Party</t>
        </is>
      </c>
      <c r="G1806" t="inlineStr">
        <is>
          <t>Decor</t>
        </is>
      </c>
      <c r="H1806" t="inlineStr">
        <is>
          <t>Group &gt; House Party &gt; Quick Add &gt; Decor</t>
        </is>
      </c>
      <c r="I1806" s="18" t="n">
        <v>7195.27</v>
      </c>
      <c r="J1806" t="inlineStr">
        <is>
          <t>Created MTR-IOS-1805 and correlation note visible in Activity/Pulse</t>
        </is>
      </c>
      <c r="K1806" t="inlineStr">
        <is>
          <t>NOT_RUN</t>
        </is>
      </c>
      <c r="P1806" t="n">
        <v>0</v>
      </c>
      <c r="Q1806" t="n">
        <v>1805</v>
      </c>
    </row>
    <row r="1807">
      <c r="A1807" t="n">
        <v>1806</v>
      </c>
      <c r="B1807" t="inlineStr">
        <is>
          <t>MTR-IOS-1806</t>
        </is>
      </c>
      <c r="C1807" t="inlineStr">
        <is>
          <t>iPhone</t>
        </is>
      </c>
      <c r="D1807" t="inlineStr">
        <is>
          <t>Business</t>
        </is>
      </c>
      <c r="E1807" t="inlineStr">
        <is>
          <t>Business</t>
        </is>
      </c>
      <c r="F1807" t="inlineStr">
        <is>
          <t>Business Operations</t>
        </is>
      </c>
      <c r="G1807" t="inlineStr">
        <is>
          <t>Software</t>
        </is>
      </c>
      <c r="H1807" t="inlineStr">
        <is>
          <t>Business &gt; Business Operations &gt; Quick Add &gt; Software</t>
        </is>
      </c>
      <c r="I1807" s="18" t="n">
        <v>63298.63</v>
      </c>
      <c r="J1807" t="inlineStr">
        <is>
          <t>Created MTR-IOS-1806 and correlation note visible in Activity/Pulse</t>
        </is>
      </c>
      <c r="K1807" t="inlineStr">
        <is>
          <t>NOT_RUN</t>
        </is>
      </c>
      <c r="P1807" t="n">
        <v>0</v>
      </c>
      <c r="Q1807" t="n">
        <v>1806</v>
      </c>
    </row>
    <row r="1808">
      <c r="A1808" t="n">
        <v>1807</v>
      </c>
      <c r="B1808" t="inlineStr">
        <is>
          <t>MTR-IOS-1807</t>
        </is>
      </c>
      <c r="C1808" t="inlineStr">
        <is>
          <t>iPhone</t>
        </is>
      </c>
      <c r="D1808" t="inlineStr">
        <is>
          <t>Personal</t>
        </is>
      </c>
      <c r="E1808" t="inlineStr">
        <is>
          <t>Personal</t>
        </is>
      </c>
      <c r="F1808" t="inlineStr">
        <is>
          <t>Life Operations</t>
        </is>
      </c>
      <c r="G1808" t="inlineStr">
        <is>
          <t>Healthcare</t>
        </is>
      </c>
      <c r="H1808" t="inlineStr">
        <is>
          <t>Personal &gt; Life Operations &gt; Quick Add &gt; Healthcare</t>
        </is>
      </c>
      <c r="I1808" s="18" t="n">
        <v>5311.88</v>
      </c>
      <c r="J1808" t="inlineStr">
        <is>
          <t>Created MTR-IOS-1807 and correlation note visible in Activity/Pulse</t>
        </is>
      </c>
      <c r="K1808" t="inlineStr">
        <is>
          <t>NOT_RUN</t>
        </is>
      </c>
      <c r="P1808" t="n">
        <v>0</v>
      </c>
      <c r="Q1808" t="n">
        <v>1807</v>
      </c>
    </row>
    <row r="1809">
      <c r="A1809" t="n">
        <v>1808</v>
      </c>
      <c r="B1809" t="inlineStr">
        <is>
          <t>MTR-IOS-1808</t>
        </is>
      </c>
      <c r="C1809" t="inlineStr">
        <is>
          <t>iPhone</t>
        </is>
      </c>
      <c r="D1809" t="inlineStr">
        <is>
          <t>Group</t>
        </is>
      </c>
      <c r="E1809" t="inlineStr">
        <is>
          <t>Shared Experience</t>
        </is>
      </c>
      <c r="F1809" t="inlineStr">
        <is>
          <t>House Party</t>
        </is>
      </c>
      <c r="G1809" t="inlineStr">
        <is>
          <t>Supplies</t>
        </is>
      </c>
      <c r="H1809" t="inlineStr">
        <is>
          <t>Group &gt; House Party &gt; Quick Add &gt; Supplies</t>
        </is>
      </c>
      <c r="I1809" s="18" t="n">
        <v>3649.58</v>
      </c>
      <c r="J1809" t="inlineStr">
        <is>
          <t>Created MTR-IOS-1808 and correlation note visible in Activity/Pulse</t>
        </is>
      </c>
      <c r="K1809" t="inlineStr">
        <is>
          <t>NOT_RUN</t>
        </is>
      </c>
      <c r="P1809" t="n">
        <v>0</v>
      </c>
      <c r="Q1809" t="n">
        <v>1808</v>
      </c>
    </row>
    <row r="1810">
      <c r="A1810" t="n">
        <v>1809</v>
      </c>
      <c r="B1810" t="inlineStr">
        <is>
          <t>MTR-IOS-1809</t>
        </is>
      </c>
      <c r="C1810" t="inlineStr">
        <is>
          <t>iPhone</t>
        </is>
      </c>
      <c r="D1810" t="inlineStr">
        <is>
          <t>Business</t>
        </is>
      </c>
      <c r="E1810" t="inlineStr">
        <is>
          <t>Business</t>
        </is>
      </c>
      <c r="F1810" t="inlineStr">
        <is>
          <t>Business Operations</t>
        </is>
      </c>
      <c r="G1810" t="inlineStr">
        <is>
          <t>Rent</t>
        </is>
      </c>
      <c r="H1810" t="inlineStr">
        <is>
          <t>Business &gt; Business Operations &gt; Quick Add &gt; Rent</t>
        </is>
      </c>
      <c r="I1810" s="18" t="n">
        <v>37045.62</v>
      </c>
      <c r="J1810" t="inlineStr">
        <is>
          <t>Created MTR-IOS-1809 and correlation note visible in Activity/Pulse</t>
        </is>
      </c>
      <c r="K1810" t="inlineStr">
        <is>
          <t>NOT_RUN</t>
        </is>
      </c>
      <c r="P1810" t="n">
        <v>0</v>
      </c>
      <c r="Q1810" t="n">
        <v>1809</v>
      </c>
    </row>
    <row r="1811">
      <c r="A1811" t="n">
        <v>1810</v>
      </c>
      <c r="B1811" t="inlineStr">
        <is>
          <t>MTR-IOS-1810</t>
        </is>
      </c>
      <c r="C1811" t="inlineStr">
        <is>
          <t>iPhone</t>
        </is>
      </c>
      <c r="D1811" t="inlineStr">
        <is>
          <t>Personal</t>
        </is>
      </c>
      <c r="E1811" t="inlineStr">
        <is>
          <t>Personal</t>
        </is>
      </c>
      <c r="F1811" t="inlineStr">
        <is>
          <t>Life Operations</t>
        </is>
      </c>
      <c r="G1811" t="inlineStr">
        <is>
          <t>Subscriptions</t>
        </is>
      </c>
      <c r="H1811" t="inlineStr">
        <is>
          <t>Personal &gt; Life Operations &gt; Quick Add &gt; Subscriptions</t>
        </is>
      </c>
      <c r="I1811" s="18" t="n">
        <v>11648.87</v>
      </c>
      <c r="J1811" t="inlineStr">
        <is>
          <t>Created MTR-IOS-1810 and correlation note visible in Activity/Pulse</t>
        </is>
      </c>
      <c r="K1811" t="inlineStr">
        <is>
          <t>NOT_RUN</t>
        </is>
      </c>
      <c r="P1811" t="n">
        <v>0</v>
      </c>
      <c r="Q1811" t="n">
        <v>1810</v>
      </c>
    </row>
    <row r="1812">
      <c r="A1812" t="n">
        <v>1811</v>
      </c>
      <c r="B1812" t="inlineStr">
        <is>
          <t>MTR-IOS-1811</t>
        </is>
      </c>
      <c r="C1812" t="inlineStr">
        <is>
          <t>iPhone</t>
        </is>
      </c>
      <c r="D1812" t="inlineStr">
        <is>
          <t>Group</t>
        </is>
      </c>
      <c r="E1812" t="inlineStr">
        <is>
          <t>Shared Experience</t>
        </is>
      </c>
      <c r="F1812" t="inlineStr">
        <is>
          <t>House Party</t>
        </is>
      </c>
      <c r="G1812" t="inlineStr">
        <is>
          <t>Other</t>
        </is>
      </c>
      <c r="H1812" t="inlineStr">
        <is>
          <t>Group &gt; House Party &gt; Quick Add &gt; Other</t>
        </is>
      </c>
      <c r="I1812" s="18" t="n">
        <v>420.17</v>
      </c>
      <c r="J1812" t="inlineStr">
        <is>
          <t>Created MTR-IOS-1811 and correlation note visible in Activity/Pulse</t>
        </is>
      </c>
      <c r="K1812" t="inlineStr">
        <is>
          <t>NOT_RUN</t>
        </is>
      </c>
      <c r="P1812" t="n">
        <v>0</v>
      </c>
      <c r="Q1812" t="n">
        <v>1811</v>
      </c>
    </row>
    <row r="1813">
      <c r="A1813" t="n">
        <v>1812</v>
      </c>
      <c r="B1813" t="inlineStr">
        <is>
          <t>MTR-IOS-1812</t>
        </is>
      </c>
      <c r="C1813" t="inlineStr">
        <is>
          <t>iPhone</t>
        </is>
      </c>
      <c r="D1813" t="inlineStr">
        <is>
          <t>Business</t>
        </is>
      </c>
      <c r="E1813" t="inlineStr">
        <is>
          <t>Business</t>
        </is>
      </c>
      <c r="F1813" t="inlineStr">
        <is>
          <t>Business Operations</t>
        </is>
      </c>
      <c r="G1813" t="inlineStr">
        <is>
          <t>Marketing</t>
        </is>
      </c>
      <c r="H1813" t="inlineStr">
        <is>
          <t>Business &gt; Business Operations &gt; Quick Add &gt; Marketing</t>
        </is>
      </c>
      <c r="I1813" s="18" t="n">
        <v>79302.03999999999</v>
      </c>
      <c r="J1813" t="inlineStr">
        <is>
          <t>Created MTR-IOS-1812 and correlation note visible in Activity/Pulse</t>
        </is>
      </c>
      <c r="K1813" t="inlineStr">
        <is>
          <t>NOT_RUN</t>
        </is>
      </c>
      <c r="P1813" t="n">
        <v>0</v>
      </c>
      <c r="Q1813" t="n">
        <v>1812</v>
      </c>
    </row>
    <row r="1814">
      <c r="A1814" t="n">
        <v>1813</v>
      </c>
      <c r="B1814" t="inlineStr">
        <is>
          <t>MTR-IOS-1813</t>
        </is>
      </c>
      <c r="C1814" t="inlineStr">
        <is>
          <t>iPhone</t>
        </is>
      </c>
      <c r="D1814" t="inlineStr">
        <is>
          <t>Personal</t>
        </is>
      </c>
      <c r="E1814" t="inlineStr">
        <is>
          <t>Personal</t>
        </is>
      </c>
      <c r="F1814" t="inlineStr">
        <is>
          <t>Life Operations</t>
        </is>
      </c>
      <c r="G1814" t="inlineStr">
        <is>
          <t>Repairs</t>
        </is>
      </c>
      <c r="H1814" t="inlineStr">
        <is>
          <t>Personal &gt; Life Operations &gt; Quick Add &gt; Repairs</t>
        </is>
      </c>
      <c r="I1814" s="18" t="n">
        <v>1</v>
      </c>
      <c r="J1814" t="inlineStr">
        <is>
          <t>Created MTR-IOS-1813 and correlation note visible in Activity/Pulse</t>
        </is>
      </c>
      <c r="K1814" t="inlineStr">
        <is>
          <t>NOT_RUN</t>
        </is>
      </c>
      <c r="P1814" t="n">
        <v>0</v>
      </c>
      <c r="Q1814" t="n">
        <v>1813</v>
      </c>
    </row>
    <row r="1815">
      <c r="A1815" t="n">
        <v>1814</v>
      </c>
      <c r="B1815" t="inlineStr">
        <is>
          <t>MTR-IOS-1814</t>
        </is>
      </c>
      <c r="C1815" t="inlineStr">
        <is>
          <t>iPhone</t>
        </is>
      </c>
      <c r="D1815" t="inlineStr">
        <is>
          <t>Group</t>
        </is>
      </c>
      <c r="E1815" t="inlineStr">
        <is>
          <t>Shared Purchase</t>
        </is>
      </c>
      <c r="F1815" t="inlineStr">
        <is>
          <t>Gift Pool</t>
        </is>
      </c>
      <c r="G1815" t="inlineStr">
        <is>
          <t>Contribution</t>
        </is>
      </c>
      <c r="H1815" t="inlineStr">
        <is>
          <t>Group &gt; Gift Pool &gt; Quick Add &gt; Contribution</t>
        </is>
      </c>
      <c r="I1815" s="18" t="n">
        <v>9249.780000000001</v>
      </c>
      <c r="J1815" t="inlineStr">
        <is>
          <t>Created MTR-IOS-1814 and correlation note visible in Activity/Pulse</t>
        </is>
      </c>
      <c r="K1815" t="inlineStr">
        <is>
          <t>NOT_RUN</t>
        </is>
      </c>
      <c r="P1815" t="n">
        <v>0</v>
      </c>
      <c r="Q1815" t="n">
        <v>1814</v>
      </c>
    </row>
    <row r="1816">
      <c r="A1816" t="n">
        <v>1815</v>
      </c>
      <c r="B1816" t="inlineStr">
        <is>
          <t>MTR-IOS-1815</t>
        </is>
      </c>
      <c r="C1816" t="inlineStr">
        <is>
          <t>iPhone</t>
        </is>
      </c>
      <c r="D1816" t="inlineStr">
        <is>
          <t>Business</t>
        </is>
      </c>
      <c r="E1816" t="inlineStr">
        <is>
          <t>Business</t>
        </is>
      </c>
      <c r="F1816" t="inlineStr">
        <is>
          <t>Business Operations</t>
        </is>
      </c>
      <c r="G1816" t="inlineStr">
        <is>
          <t>Legal</t>
        </is>
      </c>
      <c r="H1816" t="inlineStr">
        <is>
          <t>Business &gt; Business Operations &gt; Quick Add &gt; Legal</t>
        </is>
      </c>
      <c r="I1816" s="18" t="n">
        <v>112008.81</v>
      </c>
      <c r="J1816" t="inlineStr">
        <is>
          <t>Created MTR-IOS-1815 and correlation note visible in Activity/Pulse</t>
        </is>
      </c>
      <c r="K1816" t="inlineStr">
        <is>
          <t>NOT_RUN</t>
        </is>
      </c>
      <c r="P1816" t="n">
        <v>0</v>
      </c>
      <c r="Q1816" t="n">
        <v>1815</v>
      </c>
    </row>
    <row r="1817">
      <c r="A1817" t="n">
        <v>1816</v>
      </c>
      <c r="B1817" t="inlineStr">
        <is>
          <t>MTR-IOS-1816</t>
        </is>
      </c>
      <c r="C1817" t="inlineStr">
        <is>
          <t>iPhone</t>
        </is>
      </c>
      <c r="D1817" t="inlineStr">
        <is>
          <t>Personal</t>
        </is>
      </c>
      <c r="E1817" t="inlineStr">
        <is>
          <t>Personal</t>
        </is>
      </c>
      <c r="F1817" t="inlineStr">
        <is>
          <t>Future Building</t>
        </is>
      </c>
      <c r="G1817" t="inlineStr">
        <is>
          <t>Savings</t>
        </is>
      </c>
      <c r="H1817" t="inlineStr">
        <is>
          <t>Personal &gt; Future Building &gt; Quick Add &gt; Savings</t>
        </is>
      </c>
      <c r="I1817" s="18" t="n">
        <v>13075.43</v>
      </c>
      <c r="J1817" t="inlineStr">
        <is>
          <t>Created MTR-IOS-1816 and correlation note visible in Activity/Pulse</t>
        </is>
      </c>
      <c r="K1817" t="inlineStr">
        <is>
          <t>NOT_RUN</t>
        </is>
      </c>
      <c r="P1817" t="n">
        <v>0</v>
      </c>
      <c r="Q1817" t="n">
        <v>1816</v>
      </c>
    </row>
    <row r="1818">
      <c r="A1818" t="n">
        <v>1817</v>
      </c>
      <c r="B1818" t="inlineStr">
        <is>
          <t>MTR-IOS-1817</t>
        </is>
      </c>
      <c r="C1818" t="inlineStr">
        <is>
          <t>iPhone</t>
        </is>
      </c>
      <c r="D1818" t="inlineStr">
        <is>
          <t>Group</t>
        </is>
      </c>
      <c r="E1818" t="inlineStr">
        <is>
          <t>Shared Purchase</t>
        </is>
      </c>
      <c r="F1818" t="inlineStr">
        <is>
          <t>Gift Pool</t>
        </is>
      </c>
      <c r="G1818" t="inlineStr">
        <is>
          <t>Gift Purchase</t>
        </is>
      </c>
      <c r="H1818" t="inlineStr">
        <is>
          <t>Group &gt; Gift Pool &gt; Quick Add &gt; Gift Purchase</t>
        </is>
      </c>
      <c r="I1818" s="18" t="n">
        <v>23519.39</v>
      </c>
      <c r="J1818" t="inlineStr">
        <is>
          <t>Created MTR-IOS-1817 and correlation note visible in Activity/Pulse</t>
        </is>
      </c>
      <c r="K1818" t="inlineStr">
        <is>
          <t>NOT_RUN</t>
        </is>
      </c>
      <c r="P1818" t="n">
        <v>0</v>
      </c>
      <c r="Q1818" t="n">
        <v>1817</v>
      </c>
    </row>
    <row r="1819">
      <c r="A1819" t="n">
        <v>1818</v>
      </c>
      <c r="B1819" t="inlineStr">
        <is>
          <t>MTR-IOS-1818</t>
        </is>
      </c>
      <c r="C1819" t="inlineStr">
        <is>
          <t>iPhone</t>
        </is>
      </c>
      <c r="D1819" t="inlineStr">
        <is>
          <t>Business</t>
        </is>
      </c>
      <c r="E1819" t="inlineStr">
        <is>
          <t>Business</t>
        </is>
      </c>
      <c r="F1819" t="inlineStr">
        <is>
          <t>Business Operations</t>
        </is>
      </c>
      <c r="G1819" t="inlineStr">
        <is>
          <t>Accounting</t>
        </is>
      </c>
      <c r="H1819" t="inlineStr">
        <is>
          <t>Business &gt; Business Operations &gt; Quick Add &gt; Accounting</t>
        </is>
      </c>
      <c r="I1819" s="18" t="n">
        <v>101170.32</v>
      </c>
      <c r="J1819" t="inlineStr">
        <is>
          <t>Created MTR-IOS-1818 and correlation note visible in Activity/Pulse</t>
        </is>
      </c>
      <c r="K1819" t="inlineStr">
        <is>
          <t>NOT_RUN</t>
        </is>
      </c>
      <c r="P1819" t="n">
        <v>0</v>
      </c>
      <c r="Q1819" t="n">
        <v>1818</v>
      </c>
    </row>
    <row r="1820">
      <c r="A1820" t="n">
        <v>1819</v>
      </c>
      <c r="B1820" t="inlineStr">
        <is>
          <t>MTR-IOS-1819</t>
        </is>
      </c>
      <c r="C1820" t="inlineStr">
        <is>
          <t>iPhone</t>
        </is>
      </c>
      <c r="D1820" t="inlineStr">
        <is>
          <t>Personal</t>
        </is>
      </c>
      <c r="E1820" t="inlineStr">
        <is>
          <t>Personal</t>
        </is>
      </c>
      <c r="F1820" t="inlineStr">
        <is>
          <t>Future Building</t>
        </is>
      </c>
      <c r="G1820" t="inlineStr">
        <is>
          <t>Emergency Fund</t>
        </is>
      </c>
      <c r="H1820" t="inlineStr">
        <is>
          <t>Personal &gt; Future Building &gt; Quick Add &gt; Emergency Fund</t>
        </is>
      </c>
      <c r="I1820" s="18" t="n">
        <v>16587.69</v>
      </c>
      <c r="J1820" t="inlineStr">
        <is>
          <t>Created MTR-IOS-1819 and correlation note visible in Activity/Pulse</t>
        </is>
      </c>
      <c r="K1820" t="inlineStr">
        <is>
          <t>NOT_RUN</t>
        </is>
      </c>
      <c r="P1820" t="n">
        <v>0</v>
      </c>
      <c r="Q1820" t="n">
        <v>1819</v>
      </c>
    </row>
    <row r="1821">
      <c r="A1821" t="n">
        <v>1820</v>
      </c>
      <c r="B1821" t="inlineStr">
        <is>
          <t>MTR-IOS-1820</t>
        </is>
      </c>
      <c r="C1821" t="inlineStr">
        <is>
          <t>iPhone</t>
        </is>
      </c>
      <c r="D1821" t="inlineStr">
        <is>
          <t>Group</t>
        </is>
      </c>
      <c r="E1821" t="inlineStr">
        <is>
          <t>Shared Purchase</t>
        </is>
      </c>
      <c r="F1821" t="inlineStr">
        <is>
          <t>Gift Pool</t>
        </is>
      </c>
      <c r="G1821" t="inlineStr">
        <is>
          <t>Delivery</t>
        </is>
      </c>
      <c r="H1821" t="inlineStr">
        <is>
          <t>Group &gt; Gift Pool &gt; Quick Add &gt; Delivery</t>
        </is>
      </c>
      <c r="I1821" s="18" t="n">
        <v>23524.32</v>
      </c>
      <c r="J1821" t="inlineStr">
        <is>
          <t>Created MTR-IOS-1820 and correlation note visible in Activity/Pulse</t>
        </is>
      </c>
      <c r="K1821" t="inlineStr">
        <is>
          <t>NOT_RUN</t>
        </is>
      </c>
      <c r="P1821" t="n">
        <v>0</v>
      </c>
      <c r="Q1821" t="n">
        <v>1820</v>
      </c>
    </row>
    <row r="1822">
      <c r="A1822" t="n">
        <v>1821</v>
      </c>
      <c r="B1822" t="inlineStr">
        <is>
          <t>MTR-IOS-1821</t>
        </is>
      </c>
      <c r="C1822" t="inlineStr">
        <is>
          <t>iPhone</t>
        </is>
      </c>
      <c r="D1822" t="inlineStr">
        <is>
          <t>Business</t>
        </is>
      </c>
      <c r="E1822" t="inlineStr">
        <is>
          <t>Business</t>
        </is>
      </c>
      <c r="F1822" t="inlineStr">
        <is>
          <t>Business Operations</t>
        </is>
      </c>
      <c r="G1822" t="inlineStr">
        <is>
          <t>Equipment</t>
        </is>
      </c>
      <c r="H1822" t="inlineStr">
        <is>
          <t>Business &gt; Business Operations &gt; Quick Add &gt; Equipment</t>
        </is>
      </c>
      <c r="I1822" s="18" t="n">
        <v>104608.34</v>
      </c>
      <c r="J1822" t="inlineStr">
        <is>
          <t>Created MTR-IOS-1821 and correlation note visible in Activity/Pulse</t>
        </is>
      </c>
      <c r="K1822" t="inlineStr">
        <is>
          <t>NOT_RUN</t>
        </is>
      </c>
      <c r="P1822" t="n">
        <v>0</v>
      </c>
      <c r="Q1822" t="n">
        <v>1821</v>
      </c>
    </row>
    <row r="1823">
      <c r="A1823" t="n">
        <v>1822</v>
      </c>
      <c r="B1823" t="inlineStr">
        <is>
          <t>MTR-IOS-1822</t>
        </is>
      </c>
      <c r="C1823" t="inlineStr">
        <is>
          <t>iPhone</t>
        </is>
      </c>
      <c r="D1823" t="inlineStr">
        <is>
          <t>Personal</t>
        </is>
      </c>
      <c r="E1823" t="inlineStr">
        <is>
          <t>Personal</t>
        </is>
      </c>
      <c r="F1823" t="inlineStr">
        <is>
          <t>Future Building</t>
        </is>
      </c>
      <c r="G1823" t="inlineStr">
        <is>
          <t>Investments</t>
        </is>
      </c>
      <c r="H1823" t="inlineStr">
        <is>
          <t>Personal &gt; Future Building &gt; Quick Add &gt; Investments</t>
        </is>
      </c>
      <c r="I1823" s="18" t="n">
        <v>5372.99</v>
      </c>
      <c r="J1823" t="inlineStr">
        <is>
          <t>Created MTR-IOS-1822 and correlation note visible in Activity/Pulse</t>
        </is>
      </c>
      <c r="K1823" t="inlineStr">
        <is>
          <t>NOT_RUN</t>
        </is>
      </c>
      <c r="P1823" t="n">
        <v>0</v>
      </c>
      <c r="Q1823" t="n">
        <v>1822</v>
      </c>
    </row>
    <row r="1824">
      <c r="A1824" t="n">
        <v>1823</v>
      </c>
      <c r="B1824" t="inlineStr">
        <is>
          <t>MTR-IOS-1823</t>
        </is>
      </c>
      <c r="C1824" t="inlineStr">
        <is>
          <t>iPhone</t>
        </is>
      </c>
      <c r="D1824" t="inlineStr">
        <is>
          <t>Group</t>
        </is>
      </c>
      <c r="E1824" t="inlineStr">
        <is>
          <t>Shared Purchase</t>
        </is>
      </c>
      <c r="F1824" t="inlineStr">
        <is>
          <t>Gift Pool</t>
        </is>
      </c>
      <c r="G1824" t="inlineStr">
        <is>
          <t>Other</t>
        </is>
      </c>
      <c r="H1824" t="inlineStr">
        <is>
          <t>Group &gt; Gift Pool &gt; Quick Add &gt; Other</t>
        </is>
      </c>
      <c r="I1824" s="18" t="n">
        <v>21314.4</v>
      </c>
      <c r="J1824" t="inlineStr">
        <is>
          <t>Created MTR-IOS-1823 and correlation note visible in Activity/Pulse</t>
        </is>
      </c>
      <c r="K1824" t="inlineStr">
        <is>
          <t>NOT_RUN</t>
        </is>
      </c>
      <c r="P1824" t="n">
        <v>0</v>
      </c>
      <c r="Q1824" t="n">
        <v>1823</v>
      </c>
    </row>
    <row r="1825">
      <c r="A1825" t="n">
        <v>1824</v>
      </c>
      <c r="B1825" t="inlineStr">
        <is>
          <t>MTR-IOS-1824</t>
        </is>
      </c>
      <c r="C1825" t="inlineStr">
        <is>
          <t>iPhone</t>
        </is>
      </c>
      <c r="D1825" t="inlineStr">
        <is>
          <t>Business</t>
        </is>
      </c>
      <c r="E1825" t="inlineStr">
        <is>
          <t>Business</t>
        </is>
      </c>
      <c r="F1825" t="inlineStr">
        <is>
          <t>Business Operations</t>
        </is>
      </c>
      <c r="G1825" t="inlineStr">
        <is>
          <t>Vendor</t>
        </is>
      </c>
      <c r="H1825" t="inlineStr">
        <is>
          <t>Business &gt; Business Operations &gt; Quick Add &gt; Vendor</t>
        </is>
      </c>
      <c r="I1825" s="18" t="n">
        <v>136076.15</v>
      </c>
      <c r="J1825" t="inlineStr">
        <is>
          <t>Created MTR-IOS-1824 and correlation note visible in Activity/Pulse</t>
        </is>
      </c>
      <c r="K1825" t="inlineStr">
        <is>
          <t>NOT_RUN</t>
        </is>
      </c>
      <c r="P1825" t="n">
        <v>0</v>
      </c>
      <c r="Q1825" t="n">
        <v>1824</v>
      </c>
    </row>
    <row r="1826">
      <c r="A1826" t="n">
        <v>1825</v>
      </c>
      <c r="B1826" t="inlineStr">
        <is>
          <t>MTR-IOS-1825</t>
        </is>
      </c>
      <c r="C1826" t="inlineStr">
        <is>
          <t>iPhone</t>
        </is>
      </c>
      <c r="D1826" t="inlineStr">
        <is>
          <t>Personal</t>
        </is>
      </c>
      <c r="E1826" t="inlineStr">
        <is>
          <t>Personal</t>
        </is>
      </c>
      <c r="F1826" t="inlineStr">
        <is>
          <t>Future Building</t>
        </is>
      </c>
      <c r="G1826" t="inlineStr">
        <is>
          <t>Education</t>
        </is>
      </c>
      <c r="H1826" t="inlineStr">
        <is>
          <t>Personal &gt; Future Building &gt; Quick Add &gt; Education</t>
        </is>
      </c>
      <c r="I1826" s="18" t="n">
        <v>8771.17</v>
      </c>
      <c r="J1826" t="inlineStr">
        <is>
          <t>Created MTR-IOS-1825 and correlation note visible in Activity/Pulse</t>
        </is>
      </c>
      <c r="K1826" t="inlineStr">
        <is>
          <t>NOT_RUN</t>
        </is>
      </c>
      <c r="P1826" t="n">
        <v>0</v>
      </c>
      <c r="Q1826" t="n">
        <v>1825</v>
      </c>
    </row>
    <row r="1827">
      <c r="A1827" t="n">
        <v>1826</v>
      </c>
      <c r="B1827" t="inlineStr">
        <is>
          <t>MTR-IOS-1826</t>
        </is>
      </c>
      <c r="C1827" t="inlineStr">
        <is>
          <t>iPhone</t>
        </is>
      </c>
      <c r="D1827" t="inlineStr">
        <is>
          <t>Group</t>
        </is>
      </c>
      <c r="E1827" t="inlineStr">
        <is>
          <t>Shared Purchase</t>
        </is>
      </c>
      <c r="F1827" t="inlineStr">
        <is>
          <t>Purchase</t>
        </is>
      </c>
      <c r="G1827" t="inlineStr">
        <is>
          <t>Item</t>
        </is>
      </c>
      <c r="H1827" t="inlineStr">
        <is>
          <t>Group &gt; Purchase &gt; Quick Add &gt; Item</t>
        </is>
      </c>
      <c r="I1827" s="18" t="n">
        <v>26379.77</v>
      </c>
      <c r="J1827" t="inlineStr">
        <is>
          <t>Created MTR-IOS-1826 and correlation note visible in Activity/Pulse</t>
        </is>
      </c>
      <c r="K1827" t="inlineStr">
        <is>
          <t>NOT_RUN</t>
        </is>
      </c>
      <c r="P1827" t="n">
        <v>0</v>
      </c>
      <c r="Q1827" t="n">
        <v>1826</v>
      </c>
    </row>
    <row r="1828">
      <c r="A1828" t="n">
        <v>1827</v>
      </c>
      <c r="B1828" t="inlineStr">
        <is>
          <t>MTR-IOS-1827</t>
        </is>
      </c>
      <c r="C1828" t="inlineStr">
        <is>
          <t>iPhone</t>
        </is>
      </c>
      <c r="D1828" t="inlineStr">
        <is>
          <t>Business</t>
        </is>
      </c>
      <c r="E1828" t="inlineStr">
        <is>
          <t>Business</t>
        </is>
      </c>
      <c r="F1828" t="inlineStr">
        <is>
          <t>Business Operations</t>
        </is>
      </c>
      <c r="G1828" t="inlineStr">
        <is>
          <t>Tax</t>
        </is>
      </c>
      <c r="H1828" t="inlineStr">
        <is>
          <t>Business &gt; Business Operations &gt; Quick Add &gt; Tax</t>
        </is>
      </c>
      <c r="I1828" s="18" t="n">
        <v>43958.31</v>
      </c>
      <c r="J1828" t="inlineStr">
        <is>
          <t>Created MTR-IOS-1827 and correlation note visible in Activity/Pulse</t>
        </is>
      </c>
      <c r="K1828" t="inlineStr">
        <is>
          <t>NOT_RUN</t>
        </is>
      </c>
      <c r="P1828" t="n">
        <v>0</v>
      </c>
      <c r="Q1828" t="n">
        <v>1827</v>
      </c>
    </row>
    <row r="1829">
      <c r="A1829" t="n">
        <v>1828</v>
      </c>
      <c r="B1829" t="inlineStr">
        <is>
          <t>MTR-IOS-1828</t>
        </is>
      </c>
      <c r="C1829" t="inlineStr">
        <is>
          <t>iPhone</t>
        </is>
      </c>
      <c r="D1829" t="inlineStr">
        <is>
          <t>Personal</t>
        </is>
      </c>
      <c r="E1829" t="inlineStr">
        <is>
          <t>Personal</t>
        </is>
      </c>
      <c r="F1829" t="inlineStr">
        <is>
          <t>Future Building</t>
        </is>
      </c>
      <c r="G1829" t="inlineStr">
        <is>
          <t>Goal Contribution</t>
        </is>
      </c>
      <c r="H1829" t="inlineStr">
        <is>
          <t>Personal &gt; Future Building &gt; Quick Add &gt; Goal Contribution</t>
        </is>
      </c>
      <c r="I1829" s="18" t="n">
        <v>6973.06</v>
      </c>
      <c r="J1829" t="inlineStr">
        <is>
          <t>Created MTR-IOS-1828 and correlation note visible in Activity/Pulse</t>
        </is>
      </c>
      <c r="K1829" t="inlineStr">
        <is>
          <t>NOT_RUN</t>
        </is>
      </c>
      <c r="P1829" t="n">
        <v>0</v>
      </c>
      <c r="Q1829" t="n">
        <v>1828</v>
      </c>
    </row>
    <row r="1830">
      <c r="A1830" t="n">
        <v>1829</v>
      </c>
      <c r="B1830" t="inlineStr">
        <is>
          <t>MTR-IOS-1829</t>
        </is>
      </c>
      <c r="C1830" t="inlineStr">
        <is>
          <t>iPhone</t>
        </is>
      </c>
      <c r="D1830" t="inlineStr">
        <is>
          <t>Group</t>
        </is>
      </c>
      <c r="E1830" t="inlineStr">
        <is>
          <t>Shared Purchase</t>
        </is>
      </c>
      <c r="F1830" t="inlineStr">
        <is>
          <t>Purchase</t>
        </is>
      </c>
      <c r="G1830" t="inlineStr">
        <is>
          <t>Shipping</t>
        </is>
      </c>
      <c r="H1830" t="inlineStr">
        <is>
          <t>Group &gt; Purchase &gt; Quick Add &gt; Shipping</t>
        </is>
      </c>
      <c r="I1830" s="18" t="n">
        <v>21427.39</v>
      </c>
      <c r="J1830" t="inlineStr">
        <is>
          <t>Created MTR-IOS-1829 and correlation note visible in Activity/Pulse</t>
        </is>
      </c>
      <c r="K1830" t="inlineStr">
        <is>
          <t>NOT_RUN</t>
        </is>
      </c>
      <c r="P1830" t="n">
        <v>0</v>
      </c>
      <c r="Q1830" t="n">
        <v>1829</v>
      </c>
    </row>
    <row r="1831">
      <c r="A1831" t="n">
        <v>1830</v>
      </c>
      <c r="B1831" t="inlineStr">
        <is>
          <t>MTR-IOS-1830</t>
        </is>
      </c>
      <c r="C1831" t="inlineStr">
        <is>
          <t>iPhone</t>
        </is>
      </c>
      <c r="D1831" t="inlineStr">
        <is>
          <t>Business</t>
        </is>
      </c>
      <c r="E1831" t="inlineStr">
        <is>
          <t>Business</t>
        </is>
      </c>
      <c r="F1831" t="inlineStr">
        <is>
          <t>Team Operations</t>
        </is>
      </c>
      <c r="G1831" t="inlineStr">
        <is>
          <t>Payroll</t>
        </is>
      </c>
      <c r="H1831" t="inlineStr">
        <is>
          <t>Business &gt; Team Operations &gt; Quick Add &gt; Payroll</t>
        </is>
      </c>
      <c r="I1831" s="18" t="n">
        <v>67869.85000000001</v>
      </c>
      <c r="J1831" t="inlineStr">
        <is>
          <t>Created MTR-IOS-1830 and correlation note visible in Activity/Pulse</t>
        </is>
      </c>
      <c r="K1831" t="inlineStr">
        <is>
          <t>NOT_RUN</t>
        </is>
      </c>
      <c r="P1831" t="n">
        <v>0</v>
      </c>
      <c r="Q1831" t="n">
        <v>1830</v>
      </c>
    </row>
    <row r="1832">
      <c r="A1832" t="n">
        <v>1831</v>
      </c>
      <c r="B1832" t="inlineStr">
        <is>
          <t>MTR-IOS-1831</t>
        </is>
      </c>
      <c r="C1832" t="inlineStr">
        <is>
          <t>iPhone</t>
        </is>
      </c>
      <c r="D1832" t="inlineStr">
        <is>
          <t>Personal</t>
        </is>
      </c>
      <c r="E1832" t="inlineStr">
        <is>
          <t>Personal</t>
        </is>
      </c>
      <c r="F1832" t="inlineStr">
        <is>
          <t>Lifestyle</t>
        </is>
      </c>
      <c r="G1832" t="inlineStr">
        <is>
          <t>Dining</t>
        </is>
      </c>
      <c r="H1832" t="inlineStr">
        <is>
          <t>Personal &gt; Lifestyle &gt; Quick Add &gt; Dining</t>
        </is>
      </c>
      <c r="I1832" s="18" t="n">
        <v>1172.47</v>
      </c>
      <c r="J1832" t="inlineStr">
        <is>
          <t>Created MTR-IOS-1831 and correlation note visible in Activity/Pulse</t>
        </is>
      </c>
      <c r="K1832" t="inlineStr">
        <is>
          <t>NOT_RUN</t>
        </is>
      </c>
      <c r="P1832" t="n">
        <v>0</v>
      </c>
      <c r="Q1832" t="n">
        <v>1831</v>
      </c>
    </row>
    <row r="1833">
      <c r="A1833" t="n">
        <v>1832</v>
      </c>
      <c r="B1833" t="inlineStr">
        <is>
          <t>MTR-IOS-1832</t>
        </is>
      </c>
      <c r="C1833" t="inlineStr">
        <is>
          <t>iPhone</t>
        </is>
      </c>
      <c r="D1833" t="inlineStr">
        <is>
          <t>Group</t>
        </is>
      </c>
      <c r="E1833" t="inlineStr">
        <is>
          <t>Shared Purchase</t>
        </is>
      </c>
      <c r="F1833" t="inlineStr">
        <is>
          <t>Purchase</t>
        </is>
      </c>
      <c r="G1833" t="inlineStr">
        <is>
          <t>Tax</t>
        </is>
      </c>
      <c r="H1833" t="inlineStr">
        <is>
          <t>Group &gt; Purchase &gt; Quick Add &gt; Tax</t>
        </is>
      </c>
      <c r="I1833" s="18" t="n">
        <v>10197.64</v>
      </c>
      <c r="J1833" t="inlineStr">
        <is>
          <t>Created MTR-IOS-1832 and correlation note visible in Activity/Pulse</t>
        </is>
      </c>
      <c r="K1833" t="inlineStr">
        <is>
          <t>NOT_RUN</t>
        </is>
      </c>
      <c r="P1833" t="n">
        <v>0</v>
      </c>
      <c r="Q1833" t="n">
        <v>1832</v>
      </c>
    </row>
    <row r="1834">
      <c r="A1834" t="n">
        <v>1833</v>
      </c>
      <c r="B1834" t="inlineStr">
        <is>
          <t>MTR-IOS-1833</t>
        </is>
      </c>
      <c r="C1834" t="inlineStr">
        <is>
          <t>iPhone</t>
        </is>
      </c>
      <c r="D1834" t="inlineStr">
        <is>
          <t>Business</t>
        </is>
      </c>
      <c r="E1834" t="inlineStr">
        <is>
          <t>Business</t>
        </is>
      </c>
      <c r="F1834" t="inlineStr">
        <is>
          <t>Team Operations</t>
        </is>
      </c>
      <c r="G1834" t="inlineStr">
        <is>
          <t>Contractor</t>
        </is>
      </c>
      <c r="H1834" t="inlineStr">
        <is>
          <t>Business &gt; Team Operations &gt; Quick Add &gt; Contractor</t>
        </is>
      </c>
      <c r="I1834" s="18" t="n">
        <v>4473.32</v>
      </c>
      <c r="J1834" t="inlineStr">
        <is>
          <t>Created MTR-IOS-1833 and correlation note visible in Activity/Pulse</t>
        </is>
      </c>
      <c r="K1834" t="inlineStr">
        <is>
          <t>NOT_RUN</t>
        </is>
      </c>
      <c r="P1834" t="n">
        <v>0</v>
      </c>
      <c r="Q1834" t="n">
        <v>1833</v>
      </c>
    </row>
    <row r="1835">
      <c r="A1835" t="n">
        <v>1834</v>
      </c>
      <c r="B1835" t="inlineStr">
        <is>
          <t>MTR-IOS-1834</t>
        </is>
      </c>
      <c r="C1835" t="inlineStr">
        <is>
          <t>iPhone</t>
        </is>
      </c>
      <c r="D1835" t="inlineStr">
        <is>
          <t>Personal</t>
        </is>
      </c>
      <c r="E1835" t="inlineStr">
        <is>
          <t>Personal</t>
        </is>
      </c>
      <c r="F1835" t="inlineStr">
        <is>
          <t>Lifestyle</t>
        </is>
      </c>
      <c r="G1835" t="inlineStr">
        <is>
          <t>Shopping</t>
        </is>
      </c>
      <c r="H1835" t="inlineStr">
        <is>
          <t>Personal &gt; Lifestyle &gt; Quick Add &gt; Shopping</t>
        </is>
      </c>
      <c r="I1835" s="18" t="n">
        <v>12921.43</v>
      </c>
      <c r="J1835" t="inlineStr">
        <is>
          <t>Created MTR-IOS-1834 and correlation note visible in Activity/Pulse</t>
        </is>
      </c>
      <c r="K1835" t="inlineStr">
        <is>
          <t>NOT_RUN</t>
        </is>
      </c>
      <c r="P1835" t="n">
        <v>0</v>
      </c>
      <c r="Q1835" t="n">
        <v>1834</v>
      </c>
    </row>
    <row r="1836">
      <c r="A1836" t="n">
        <v>1835</v>
      </c>
      <c r="B1836" t="inlineStr">
        <is>
          <t>MTR-IOS-1835</t>
        </is>
      </c>
      <c r="C1836" t="inlineStr">
        <is>
          <t>iPhone</t>
        </is>
      </c>
      <c r="D1836" t="inlineStr">
        <is>
          <t>Group</t>
        </is>
      </c>
      <c r="E1836" t="inlineStr">
        <is>
          <t>Shared Purchase</t>
        </is>
      </c>
      <c r="F1836" t="inlineStr">
        <is>
          <t>Purchase</t>
        </is>
      </c>
      <c r="G1836" t="inlineStr">
        <is>
          <t>Other</t>
        </is>
      </c>
      <c r="H1836" t="inlineStr">
        <is>
          <t>Group &gt; Purchase &gt; Quick Add &gt; Other</t>
        </is>
      </c>
      <c r="I1836" s="18" t="n">
        <v>10535.16</v>
      </c>
      <c r="J1836" t="inlineStr">
        <is>
          <t>Created MTR-IOS-1835 and correlation note visible in Activity/Pulse</t>
        </is>
      </c>
      <c r="K1836" t="inlineStr">
        <is>
          <t>NOT_RUN</t>
        </is>
      </c>
      <c r="P1836" t="n">
        <v>0</v>
      </c>
      <c r="Q1836" t="n">
        <v>1835</v>
      </c>
    </row>
    <row r="1837">
      <c r="A1837" t="n">
        <v>1836</v>
      </c>
      <c r="B1837" t="inlineStr">
        <is>
          <t>MTR-IOS-1836</t>
        </is>
      </c>
      <c r="C1837" t="inlineStr">
        <is>
          <t>iPhone</t>
        </is>
      </c>
      <c r="D1837" t="inlineStr">
        <is>
          <t>Business</t>
        </is>
      </c>
      <c r="E1837" t="inlineStr">
        <is>
          <t>Business</t>
        </is>
      </c>
      <c r="F1837" t="inlineStr">
        <is>
          <t>Team Operations</t>
        </is>
      </c>
      <c r="G1837" t="inlineStr">
        <is>
          <t>Hiring</t>
        </is>
      </c>
      <c r="H1837" t="inlineStr">
        <is>
          <t>Business &gt; Team Operations &gt; Quick Add &gt; Hiring</t>
        </is>
      </c>
      <c r="I1837" s="18" t="n">
        <v>58801.82</v>
      </c>
      <c r="J1837" t="inlineStr">
        <is>
          <t>Created MTR-IOS-1836 and correlation note visible in Activity/Pulse</t>
        </is>
      </c>
      <c r="K1837" t="inlineStr">
        <is>
          <t>NOT_RUN</t>
        </is>
      </c>
      <c r="P1837" t="n">
        <v>0</v>
      </c>
      <c r="Q1837" t="n">
        <v>1836</v>
      </c>
    </row>
    <row r="1838">
      <c r="A1838" t="n">
        <v>1837</v>
      </c>
      <c r="B1838" t="inlineStr">
        <is>
          <t>MTR-IOS-1837</t>
        </is>
      </c>
      <c r="C1838" t="inlineStr">
        <is>
          <t>iPhone</t>
        </is>
      </c>
      <c r="D1838" t="inlineStr">
        <is>
          <t>Personal</t>
        </is>
      </c>
      <c r="E1838" t="inlineStr">
        <is>
          <t>Personal</t>
        </is>
      </c>
      <c r="F1838" t="inlineStr">
        <is>
          <t>Lifestyle</t>
        </is>
      </c>
      <c r="G1838" t="inlineStr">
        <is>
          <t>Entertainment</t>
        </is>
      </c>
      <c r="H1838" t="inlineStr">
        <is>
          <t>Personal &gt; Lifestyle &gt; Quick Add &gt; Entertainment</t>
        </is>
      </c>
      <c r="I1838" s="18" t="n">
        <v>15319.31</v>
      </c>
      <c r="J1838" t="inlineStr">
        <is>
          <t>Created MTR-IOS-1837 and correlation note visible in Activity/Pulse</t>
        </is>
      </c>
      <c r="K1838" t="inlineStr">
        <is>
          <t>NOT_RUN</t>
        </is>
      </c>
      <c r="P1838" t="n">
        <v>0</v>
      </c>
      <c r="Q1838" t="n">
        <v>1837</v>
      </c>
    </row>
    <row r="1839">
      <c r="A1839" t="n">
        <v>1838</v>
      </c>
      <c r="B1839" t="inlineStr">
        <is>
          <t>MTR-IOS-1838</t>
        </is>
      </c>
      <c r="C1839" t="inlineStr">
        <is>
          <t>iPhone</t>
        </is>
      </c>
      <c r="D1839" t="inlineStr">
        <is>
          <t>Group</t>
        </is>
      </c>
      <c r="E1839" t="inlineStr">
        <is>
          <t>Shared Purchase</t>
        </is>
      </c>
      <c r="F1839" t="inlineStr">
        <is>
          <t>Assets</t>
        </is>
      </c>
      <c r="G1839" t="inlineStr">
        <is>
          <t>Purchase</t>
        </is>
      </c>
      <c r="H1839" t="inlineStr">
        <is>
          <t>Group &gt; Assets &gt; Quick Add &gt; Purchase</t>
        </is>
      </c>
      <c r="I1839" s="18" t="n">
        <v>16870.07</v>
      </c>
      <c r="J1839" t="inlineStr">
        <is>
          <t>Created MTR-IOS-1838 and correlation note visible in Activity/Pulse</t>
        </is>
      </c>
      <c r="K1839" t="inlineStr">
        <is>
          <t>NOT_RUN</t>
        </is>
      </c>
      <c r="P1839" t="n">
        <v>0</v>
      </c>
      <c r="Q1839" t="n">
        <v>1838</v>
      </c>
    </row>
    <row r="1840">
      <c r="A1840" t="n">
        <v>1839</v>
      </c>
      <c r="B1840" t="inlineStr">
        <is>
          <t>MTR-IOS-1839</t>
        </is>
      </c>
      <c r="C1840" t="inlineStr">
        <is>
          <t>iPhone</t>
        </is>
      </c>
      <c r="D1840" t="inlineStr">
        <is>
          <t>Business</t>
        </is>
      </c>
      <c r="E1840" t="inlineStr">
        <is>
          <t>Business</t>
        </is>
      </c>
      <c r="F1840" t="inlineStr">
        <is>
          <t>Team Operations</t>
        </is>
      </c>
      <c r="G1840" t="inlineStr">
        <is>
          <t>Team Meal</t>
        </is>
      </c>
      <c r="H1840" t="inlineStr">
        <is>
          <t>Business &gt; Team Operations &gt; Quick Add &gt; Team Meal</t>
        </is>
      </c>
      <c r="I1840" s="18" t="n">
        <v>131892.04</v>
      </c>
      <c r="J1840" t="inlineStr">
        <is>
          <t>Created MTR-IOS-1839 and correlation note visible in Activity/Pulse</t>
        </is>
      </c>
      <c r="K1840" t="inlineStr">
        <is>
          <t>NOT_RUN</t>
        </is>
      </c>
      <c r="P1840" t="n">
        <v>0</v>
      </c>
      <c r="Q1840" t="n">
        <v>1839</v>
      </c>
    </row>
    <row r="1841">
      <c r="A1841" t="n">
        <v>1840</v>
      </c>
      <c r="B1841" t="inlineStr">
        <is>
          <t>MTR-IOS-1840</t>
        </is>
      </c>
      <c r="C1841" t="inlineStr">
        <is>
          <t>iPhone</t>
        </is>
      </c>
      <c r="D1841" t="inlineStr">
        <is>
          <t>Personal</t>
        </is>
      </c>
      <c r="E1841" t="inlineStr">
        <is>
          <t>Personal</t>
        </is>
      </c>
      <c r="F1841" t="inlineStr">
        <is>
          <t>Lifestyle</t>
        </is>
      </c>
      <c r="G1841" t="inlineStr">
        <is>
          <t>Travel</t>
        </is>
      </c>
      <c r="H1841" t="inlineStr">
        <is>
          <t>Personal &gt; Lifestyle &gt; Quick Add &gt; Travel</t>
        </is>
      </c>
      <c r="I1841" s="18" t="n">
        <v>4807.24</v>
      </c>
      <c r="J1841" t="inlineStr">
        <is>
          <t>Created MTR-IOS-1840 and correlation note visible in Activity/Pulse</t>
        </is>
      </c>
      <c r="K1841" t="inlineStr">
        <is>
          <t>NOT_RUN</t>
        </is>
      </c>
      <c r="P1841" t="n">
        <v>0</v>
      </c>
      <c r="Q1841" t="n">
        <v>1840</v>
      </c>
    </row>
    <row r="1842">
      <c r="A1842" t="n">
        <v>1841</v>
      </c>
      <c r="B1842" t="inlineStr">
        <is>
          <t>MTR-IOS-1841</t>
        </is>
      </c>
      <c r="C1842" t="inlineStr">
        <is>
          <t>iPhone</t>
        </is>
      </c>
      <c r="D1842" t="inlineStr">
        <is>
          <t>Group</t>
        </is>
      </c>
      <c r="E1842" t="inlineStr">
        <is>
          <t>Shared Purchase</t>
        </is>
      </c>
      <c r="F1842" t="inlineStr">
        <is>
          <t>Assets</t>
        </is>
      </c>
      <c r="G1842" t="inlineStr">
        <is>
          <t>Maintenance</t>
        </is>
      </c>
      <c r="H1842" t="inlineStr">
        <is>
          <t>Group &gt; Assets &gt; Quick Add &gt; Maintenance</t>
        </is>
      </c>
      <c r="I1842" s="18" t="n">
        <v>23990.53</v>
      </c>
      <c r="J1842" t="inlineStr">
        <is>
          <t>Created MTR-IOS-1841 and correlation note visible in Activity/Pulse</t>
        </is>
      </c>
      <c r="K1842" t="inlineStr">
        <is>
          <t>NOT_RUN</t>
        </is>
      </c>
      <c r="P1842" t="n">
        <v>0</v>
      </c>
      <c r="Q1842" t="n">
        <v>1841</v>
      </c>
    </row>
    <row r="1843">
      <c r="A1843" t="n">
        <v>1842</v>
      </c>
      <c r="B1843" t="inlineStr">
        <is>
          <t>MTR-IOS-1842</t>
        </is>
      </c>
      <c r="C1843" t="inlineStr">
        <is>
          <t>iPhone</t>
        </is>
      </c>
      <c r="D1843" t="inlineStr">
        <is>
          <t>Business</t>
        </is>
      </c>
      <c r="E1843" t="inlineStr">
        <is>
          <t>Business</t>
        </is>
      </c>
      <c r="F1843" t="inlineStr">
        <is>
          <t>Team Operations</t>
        </is>
      </c>
      <c r="G1843" t="inlineStr">
        <is>
          <t>Travel</t>
        </is>
      </c>
      <c r="H1843" t="inlineStr">
        <is>
          <t>Business &gt; Team Operations &gt; Quick Add &gt; Travel</t>
        </is>
      </c>
      <c r="I1843" s="18" t="n">
        <v>90692.11</v>
      </c>
      <c r="J1843" t="inlineStr">
        <is>
          <t>Created MTR-IOS-1842 and correlation note visible in Activity/Pulse</t>
        </is>
      </c>
      <c r="K1843" t="inlineStr">
        <is>
          <t>NOT_RUN</t>
        </is>
      </c>
      <c r="P1843" t="n">
        <v>0</v>
      </c>
      <c r="Q1843" t="n">
        <v>1842</v>
      </c>
    </row>
    <row r="1844">
      <c r="A1844" t="n">
        <v>1843</v>
      </c>
      <c r="B1844" t="inlineStr">
        <is>
          <t>MTR-IOS-1843</t>
        </is>
      </c>
      <c r="C1844" t="inlineStr">
        <is>
          <t>iPhone</t>
        </is>
      </c>
      <c r="D1844" t="inlineStr">
        <is>
          <t>Personal</t>
        </is>
      </c>
      <c r="E1844" t="inlineStr">
        <is>
          <t>Personal</t>
        </is>
      </c>
      <c r="F1844" t="inlineStr">
        <is>
          <t>Lifestyle</t>
        </is>
      </c>
      <c r="G1844" t="inlineStr">
        <is>
          <t>Fitness</t>
        </is>
      </c>
      <c r="H1844" t="inlineStr">
        <is>
          <t>Personal &gt; Lifestyle &gt; Quick Add &gt; Fitness</t>
        </is>
      </c>
      <c r="I1844" s="18" t="n">
        <v>14082.38</v>
      </c>
      <c r="J1844" t="inlineStr">
        <is>
          <t>Created MTR-IOS-1843 and correlation note visible in Activity/Pulse</t>
        </is>
      </c>
      <c r="K1844" t="inlineStr">
        <is>
          <t>NOT_RUN</t>
        </is>
      </c>
      <c r="P1844" t="n">
        <v>0</v>
      </c>
      <c r="Q1844" t="n">
        <v>1843</v>
      </c>
    </row>
    <row r="1845">
      <c r="A1845" t="n">
        <v>1844</v>
      </c>
      <c r="B1845" t="inlineStr">
        <is>
          <t>MTR-IOS-1844</t>
        </is>
      </c>
      <c r="C1845" t="inlineStr">
        <is>
          <t>iPhone</t>
        </is>
      </c>
      <c r="D1845" t="inlineStr">
        <is>
          <t>Group</t>
        </is>
      </c>
      <c r="E1845" t="inlineStr">
        <is>
          <t>Shared Purchase</t>
        </is>
      </c>
      <c r="F1845" t="inlineStr">
        <is>
          <t>Assets</t>
        </is>
      </c>
      <c r="G1845" t="inlineStr">
        <is>
          <t>Repair</t>
        </is>
      </c>
      <c r="H1845" t="inlineStr">
        <is>
          <t>Group &gt; Assets &gt; Quick Add &gt; Repair</t>
        </is>
      </c>
      <c r="I1845" s="18" t="n">
        <v>13600.27</v>
      </c>
      <c r="J1845" t="inlineStr">
        <is>
          <t>Created MTR-IOS-1844 and correlation note visible in Activity/Pulse</t>
        </is>
      </c>
      <c r="K1845" t="inlineStr">
        <is>
          <t>NOT_RUN</t>
        </is>
      </c>
      <c r="P1845" t="n">
        <v>0</v>
      </c>
      <c r="Q1845" t="n">
        <v>1844</v>
      </c>
    </row>
    <row r="1846">
      <c r="A1846" t="n">
        <v>1845</v>
      </c>
      <c r="B1846" t="inlineStr">
        <is>
          <t>MTR-IOS-1845</t>
        </is>
      </c>
      <c r="C1846" t="inlineStr">
        <is>
          <t>iPhone</t>
        </is>
      </c>
      <c r="D1846" t="inlineStr">
        <is>
          <t>Business</t>
        </is>
      </c>
      <c r="E1846" t="inlineStr">
        <is>
          <t>Business</t>
        </is>
      </c>
      <c r="F1846" t="inlineStr">
        <is>
          <t>Team Operations</t>
        </is>
      </c>
      <c r="G1846" t="inlineStr">
        <is>
          <t>Training</t>
        </is>
      </c>
      <c r="H1846" t="inlineStr">
        <is>
          <t>Business &gt; Team Operations &gt; Quick Add &gt; Training</t>
        </is>
      </c>
      <c r="I1846" s="18" t="n">
        <v>108937.9</v>
      </c>
      <c r="J1846" t="inlineStr">
        <is>
          <t>Created MTR-IOS-1845 and correlation note visible in Activity/Pulse</t>
        </is>
      </c>
      <c r="K1846" t="inlineStr">
        <is>
          <t>NOT_RUN</t>
        </is>
      </c>
      <c r="P1846" t="n">
        <v>0</v>
      </c>
      <c r="Q1846" t="n">
        <v>1845</v>
      </c>
    </row>
    <row r="1847">
      <c r="A1847" t="n">
        <v>1846</v>
      </c>
      <c r="B1847" t="inlineStr">
        <is>
          <t>MTR-IOS-1846</t>
        </is>
      </c>
      <c r="C1847" t="inlineStr">
        <is>
          <t>iPhone</t>
        </is>
      </c>
      <c r="D1847" t="inlineStr">
        <is>
          <t>Personal</t>
        </is>
      </c>
      <c r="E1847" t="inlineStr">
        <is>
          <t>Personal</t>
        </is>
      </c>
      <c r="F1847" t="inlineStr">
        <is>
          <t>Lifestyle</t>
        </is>
      </c>
      <c r="G1847" t="inlineStr">
        <is>
          <t>Hobbies</t>
        </is>
      </c>
      <c r="H1847" t="inlineStr">
        <is>
          <t>Personal &gt; Lifestyle &gt; Quick Add &gt; Hobbies</t>
        </is>
      </c>
      <c r="I1847" s="18" t="n">
        <v>11717.33</v>
      </c>
      <c r="J1847" t="inlineStr">
        <is>
          <t>Created MTR-IOS-1846 and correlation note visible in Activity/Pulse</t>
        </is>
      </c>
      <c r="K1847" t="inlineStr">
        <is>
          <t>NOT_RUN</t>
        </is>
      </c>
      <c r="P1847" t="n">
        <v>0</v>
      </c>
      <c r="Q1847" t="n">
        <v>1846</v>
      </c>
    </row>
    <row r="1848">
      <c r="A1848" t="n">
        <v>1847</v>
      </c>
      <c r="B1848" t="inlineStr">
        <is>
          <t>MTR-IOS-1847</t>
        </is>
      </c>
      <c r="C1848" t="inlineStr">
        <is>
          <t>iPhone</t>
        </is>
      </c>
      <c r="D1848" t="inlineStr">
        <is>
          <t>Group</t>
        </is>
      </c>
      <c r="E1848" t="inlineStr">
        <is>
          <t>Shared Purchase</t>
        </is>
      </c>
      <c r="F1848" t="inlineStr">
        <is>
          <t>Assets</t>
        </is>
      </c>
      <c r="G1848" t="inlineStr">
        <is>
          <t>Insurance</t>
        </is>
      </c>
      <c r="H1848" t="inlineStr">
        <is>
          <t>Group &gt; Assets &gt; Quick Add &gt; Insurance</t>
        </is>
      </c>
      <c r="I1848" s="18" t="n">
        <v>7518.8</v>
      </c>
      <c r="J1848" t="inlineStr">
        <is>
          <t>Created MTR-IOS-1847 and correlation note visible in Activity/Pulse</t>
        </is>
      </c>
      <c r="K1848" t="inlineStr">
        <is>
          <t>NOT_RUN</t>
        </is>
      </c>
      <c r="P1848" t="n">
        <v>0</v>
      </c>
      <c r="Q1848" t="n">
        <v>1847</v>
      </c>
    </row>
    <row r="1849">
      <c r="A1849" t="n">
        <v>1848</v>
      </c>
      <c r="B1849" t="inlineStr">
        <is>
          <t>MTR-IOS-1848</t>
        </is>
      </c>
      <c r="C1849" t="inlineStr">
        <is>
          <t>iPhone</t>
        </is>
      </c>
      <c r="D1849" t="inlineStr">
        <is>
          <t>Business</t>
        </is>
      </c>
      <c r="E1849" t="inlineStr">
        <is>
          <t>Business</t>
        </is>
      </c>
      <c r="F1849" t="inlineStr">
        <is>
          <t>Team Operations</t>
        </is>
      </c>
      <c r="G1849" t="inlineStr">
        <is>
          <t>Tools</t>
        </is>
      </c>
      <c r="H1849" t="inlineStr">
        <is>
          <t>Business &gt; Team Operations &gt; Quick Add &gt; Tools</t>
        </is>
      </c>
      <c r="I1849" s="18" t="n">
        <v>115228.39</v>
      </c>
      <c r="J1849" t="inlineStr">
        <is>
          <t>Created MTR-IOS-1848 and correlation note visible in Activity/Pulse</t>
        </is>
      </c>
      <c r="K1849" t="inlineStr">
        <is>
          <t>NOT_RUN</t>
        </is>
      </c>
      <c r="P1849" t="n">
        <v>0</v>
      </c>
      <c r="Q1849" t="n">
        <v>1848</v>
      </c>
    </row>
    <row r="1850">
      <c r="A1850" t="n">
        <v>1849</v>
      </c>
      <c r="B1850" t="inlineStr">
        <is>
          <t>MTR-IOS-1849</t>
        </is>
      </c>
      <c r="C1850" t="inlineStr">
        <is>
          <t>iPhone</t>
        </is>
      </c>
      <c r="D1850" t="inlineStr">
        <is>
          <t>Personal</t>
        </is>
      </c>
      <c r="E1850" t="inlineStr">
        <is>
          <t>Personal</t>
        </is>
      </c>
      <c r="F1850" t="inlineStr">
        <is>
          <t>Relationships</t>
        </is>
      </c>
      <c r="G1850" t="inlineStr">
        <is>
          <t>Gifts</t>
        </is>
      </c>
      <c r="H1850" t="inlineStr">
        <is>
          <t>Personal &gt; Relationships &gt; Quick Add &gt; Gifts</t>
        </is>
      </c>
      <c r="I1850" s="18" t="n">
        <v>15008.41</v>
      </c>
      <c r="J1850" t="inlineStr">
        <is>
          <t>Created MTR-IOS-1849 and correlation note visible in Activity/Pulse</t>
        </is>
      </c>
      <c r="K1850" t="inlineStr">
        <is>
          <t>NOT_RUN</t>
        </is>
      </c>
      <c r="P1850" t="n">
        <v>0</v>
      </c>
      <c r="Q1850" t="n">
        <v>1849</v>
      </c>
    </row>
    <row r="1851">
      <c r="A1851" t="n">
        <v>1850</v>
      </c>
      <c r="B1851" t="inlineStr">
        <is>
          <t>MTR-IOS-1850</t>
        </is>
      </c>
      <c r="C1851" t="inlineStr">
        <is>
          <t>iPhone</t>
        </is>
      </c>
      <c r="D1851" t="inlineStr">
        <is>
          <t>Group</t>
        </is>
      </c>
      <c r="E1851" t="inlineStr">
        <is>
          <t>Shared Purchase</t>
        </is>
      </c>
      <c r="F1851" t="inlineStr">
        <is>
          <t>Assets</t>
        </is>
      </c>
      <c r="G1851" t="inlineStr">
        <is>
          <t>Other</t>
        </is>
      </c>
      <c r="H1851" t="inlineStr">
        <is>
          <t>Group &gt; Assets &gt; Quick Add &gt; Other</t>
        </is>
      </c>
      <c r="I1851" s="18" t="n">
        <v>99.98999999999999</v>
      </c>
      <c r="J1851" t="inlineStr">
        <is>
          <t>Created MTR-IOS-1850 and correlation note visible in Activity/Pulse</t>
        </is>
      </c>
      <c r="K1851" t="inlineStr">
        <is>
          <t>NOT_RUN</t>
        </is>
      </c>
      <c r="P1851" t="n">
        <v>0</v>
      </c>
      <c r="Q1851" t="n">
        <v>1850</v>
      </c>
    </row>
    <row r="1852">
      <c r="A1852" t="n">
        <v>1851</v>
      </c>
      <c r="B1852" t="inlineStr">
        <is>
          <t>MTR-IOS-1851</t>
        </is>
      </c>
      <c r="C1852" t="inlineStr">
        <is>
          <t>iPhone</t>
        </is>
      </c>
      <c r="D1852" t="inlineStr">
        <is>
          <t>Business</t>
        </is>
      </c>
      <c r="E1852" t="inlineStr">
        <is>
          <t>Business</t>
        </is>
      </c>
      <c r="F1852" t="inlineStr">
        <is>
          <t>Business Runway</t>
        </is>
      </c>
      <c r="G1852" t="inlineStr">
        <is>
          <t>Funding</t>
        </is>
      </c>
      <c r="H1852" t="inlineStr">
        <is>
          <t>Business &gt; Business Runway &gt; Quick Add &gt; Funding</t>
        </is>
      </c>
      <c r="I1852" s="18" t="n">
        <v>126105.03</v>
      </c>
      <c r="J1852" t="inlineStr">
        <is>
          <t>Created MTR-IOS-1851 and correlation note visible in Activity/Pulse</t>
        </is>
      </c>
      <c r="K1852" t="inlineStr">
        <is>
          <t>NOT_RUN</t>
        </is>
      </c>
      <c r="P1852" t="n">
        <v>0</v>
      </c>
      <c r="Q1852" t="n">
        <v>1851</v>
      </c>
    </row>
    <row r="1853">
      <c r="A1853" t="n">
        <v>1852</v>
      </c>
      <c r="B1853" t="inlineStr">
        <is>
          <t>MTR-IOS-1852</t>
        </is>
      </c>
      <c r="C1853" t="inlineStr">
        <is>
          <t>iPhone</t>
        </is>
      </c>
      <c r="D1853" t="inlineStr">
        <is>
          <t>Personal</t>
        </is>
      </c>
      <c r="E1853" t="inlineStr">
        <is>
          <t>Personal</t>
        </is>
      </c>
      <c r="F1853" t="inlineStr">
        <is>
          <t>Relationships</t>
        </is>
      </c>
      <c r="G1853" t="inlineStr">
        <is>
          <t>Dates</t>
        </is>
      </c>
      <c r="H1853" t="inlineStr">
        <is>
          <t>Personal &gt; Relationships &gt; Quick Add &gt; Dates</t>
        </is>
      </c>
      <c r="I1853" s="18" t="n">
        <v>5955.97</v>
      </c>
      <c r="J1853" t="inlineStr">
        <is>
          <t>Created MTR-IOS-1852 and correlation note visible in Activity/Pulse</t>
        </is>
      </c>
      <c r="K1853" t="inlineStr">
        <is>
          <t>NOT_RUN</t>
        </is>
      </c>
      <c r="P1853" t="n">
        <v>0</v>
      </c>
      <c r="Q1853" t="n">
        <v>1852</v>
      </c>
    </row>
    <row r="1854">
      <c r="A1854" t="n">
        <v>1853</v>
      </c>
      <c r="B1854" t="inlineStr">
        <is>
          <t>MTR-IOS-1853</t>
        </is>
      </c>
      <c r="C1854" t="inlineStr">
        <is>
          <t>iPhone</t>
        </is>
      </c>
      <c r="D1854" t="inlineStr">
        <is>
          <t>Group</t>
        </is>
      </c>
      <c r="E1854" t="inlineStr">
        <is>
          <t>Shared Purchase</t>
        </is>
      </c>
      <c r="F1854" t="inlineStr">
        <is>
          <t>Custom Purchase</t>
        </is>
      </c>
      <c r="G1854" t="inlineStr">
        <is>
          <t>Custom Expense</t>
        </is>
      </c>
      <c r="H1854" t="inlineStr">
        <is>
          <t>Group &gt; Custom Purchase &gt; Quick Add &gt; Custom Expense</t>
        </is>
      </c>
      <c r="I1854" s="18" t="n">
        <v>17357.49</v>
      </c>
      <c r="J1854" t="inlineStr">
        <is>
          <t>Created MTR-IOS-1853 and correlation note visible in Activity/Pulse</t>
        </is>
      </c>
      <c r="K1854" t="inlineStr">
        <is>
          <t>NOT_RUN</t>
        </is>
      </c>
      <c r="P1854" t="n">
        <v>0</v>
      </c>
      <c r="Q1854" t="n">
        <v>1853</v>
      </c>
    </row>
    <row r="1855">
      <c r="A1855" t="n">
        <v>1854</v>
      </c>
      <c r="B1855" t="inlineStr">
        <is>
          <t>MTR-IOS-1854</t>
        </is>
      </c>
      <c r="C1855" t="inlineStr">
        <is>
          <t>iPhone</t>
        </is>
      </c>
      <c r="D1855" t="inlineStr">
        <is>
          <t>Business</t>
        </is>
      </c>
      <c r="E1855" t="inlineStr">
        <is>
          <t>Business</t>
        </is>
      </c>
      <c r="F1855" t="inlineStr">
        <is>
          <t>Business Runway</t>
        </is>
      </c>
      <c r="G1855" t="inlineStr">
        <is>
          <t>Revenue</t>
        </is>
      </c>
      <c r="H1855" t="inlineStr">
        <is>
          <t>Business &gt; Business Runway &gt; Quick Add &gt; Revenue</t>
        </is>
      </c>
      <c r="I1855" s="18" t="n">
        <v>137377.81</v>
      </c>
      <c r="J1855" t="inlineStr">
        <is>
          <t>Created MTR-IOS-1854 and correlation note visible in Activity/Pulse</t>
        </is>
      </c>
      <c r="K1855" t="inlineStr">
        <is>
          <t>NOT_RUN</t>
        </is>
      </c>
      <c r="P1855" t="n">
        <v>0</v>
      </c>
      <c r="Q1855" t="n">
        <v>1854</v>
      </c>
    </row>
    <row r="1856">
      <c r="A1856" t="n">
        <v>1855</v>
      </c>
      <c r="B1856" t="inlineStr">
        <is>
          <t>MTR-IOS-1855</t>
        </is>
      </c>
      <c r="C1856" t="inlineStr">
        <is>
          <t>iPhone</t>
        </is>
      </c>
      <c r="D1856" t="inlineStr">
        <is>
          <t>Personal</t>
        </is>
      </c>
      <c r="E1856" t="inlineStr">
        <is>
          <t>Personal</t>
        </is>
      </c>
      <c r="F1856" t="inlineStr">
        <is>
          <t>Relationships</t>
        </is>
      </c>
      <c r="G1856" t="inlineStr">
        <is>
          <t>Family</t>
        </is>
      </c>
      <c r="H1856" t="inlineStr">
        <is>
          <t>Personal &gt; Relationships &gt; Quick Add &gt; Family</t>
        </is>
      </c>
      <c r="I1856" s="18" t="n">
        <v>11822.76</v>
      </c>
      <c r="J1856" t="inlineStr">
        <is>
          <t>Created MTR-IOS-1855 and correlation note visible in Activity/Pulse</t>
        </is>
      </c>
      <c r="K1856" t="inlineStr">
        <is>
          <t>NOT_RUN</t>
        </is>
      </c>
      <c r="P1856" t="n">
        <v>0</v>
      </c>
      <c r="Q1856" t="n">
        <v>1855</v>
      </c>
    </row>
    <row r="1857">
      <c r="A1857" t="n">
        <v>1856</v>
      </c>
      <c r="B1857" t="inlineStr">
        <is>
          <t>MTR-IOS-1856</t>
        </is>
      </c>
      <c r="C1857" t="inlineStr">
        <is>
          <t>iPhone</t>
        </is>
      </c>
      <c r="D1857" t="inlineStr">
        <is>
          <t>Group</t>
        </is>
      </c>
      <c r="E1857" t="inlineStr">
        <is>
          <t>Shared Purchase</t>
        </is>
      </c>
      <c r="F1857" t="inlineStr">
        <is>
          <t>Custom Purchase</t>
        </is>
      </c>
      <c r="G1857" t="inlineStr">
        <is>
          <t>Custom Contribution</t>
        </is>
      </c>
      <c r="H1857" t="inlineStr">
        <is>
          <t>Group &gt; Custom Purchase &gt; Quick Add &gt; Custom Contribution</t>
        </is>
      </c>
      <c r="I1857" s="18" t="n">
        <v>17258.15</v>
      </c>
      <c r="J1857" t="inlineStr">
        <is>
          <t>Created MTR-IOS-1856 and correlation note visible in Activity/Pulse</t>
        </is>
      </c>
      <c r="K1857" t="inlineStr">
        <is>
          <t>NOT_RUN</t>
        </is>
      </c>
      <c r="P1857" t="n">
        <v>0</v>
      </c>
      <c r="Q1857" t="n">
        <v>1856</v>
      </c>
    </row>
    <row r="1858">
      <c r="A1858" t="n">
        <v>1857</v>
      </c>
      <c r="B1858" t="inlineStr">
        <is>
          <t>MTR-IOS-1857</t>
        </is>
      </c>
      <c r="C1858" t="inlineStr">
        <is>
          <t>iPhone</t>
        </is>
      </c>
      <c r="D1858" t="inlineStr">
        <is>
          <t>Business</t>
        </is>
      </c>
      <c r="E1858" t="inlineStr">
        <is>
          <t>Business</t>
        </is>
      </c>
      <c r="F1858" t="inlineStr">
        <is>
          <t>Business Runway</t>
        </is>
      </c>
      <c r="G1858" t="inlineStr">
        <is>
          <t>Burn</t>
        </is>
      </c>
      <c r="H1858" t="inlineStr">
        <is>
          <t>Business &gt; Business Runway &gt; Quick Add &gt; Burn</t>
        </is>
      </c>
      <c r="I1858" s="18" t="n">
        <v>57225.65</v>
      </c>
      <c r="J1858" t="inlineStr">
        <is>
          <t>Created MTR-IOS-1857 and correlation note visible in Activity/Pulse</t>
        </is>
      </c>
      <c r="K1858" t="inlineStr">
        <is>
          <t>NOT_RUN</t>
        </is>
      </c>
      <c r="P1858" t="n">
        <v>0</v>
      </c>
      <c r="Q1858" t="n">
        <v>1857</v>
      </c>
    </row>
    <row r="1859">
      <c r="A1859" t="n">
        <v>1858</v>
      </c>
      <c r="B1859" t="inlineStr">
        <is>
          <t>MTR-IOS-1858</t>
        </is>
      </c>
      <c r="C1859" t="inlineStr">
        <is>
          <t>iPhone</t>
        </is>
      </c>
      <c r="D1859" t="inlineStr">
        <is>
          <t>Personal</t>
        </is>
      </c>
      <c r="E1859" t="inlineStr">
        <is>
          <t>Personal</t>
        </is>
      </c>
      <c r="F1859" t="inlineStr">
        <is>
          <t>Relationships</t>
        </is>
      </c>
      <c r="G1859" t="inlineStr">
        <is>
          <t>Friends</t>
        </is>
      </c>
      <c r="H1859" t="inlineStr">
        <is>
          <t>Personal &gt; Relationships &gt; Quick Add &gt; Friends</t>
        </is>
      </c>
      <c r="I1859" s="18" t="n">
        <v>1559.84</v>
      </c>
      <c r="J1859" t="inlineStr">
        <is>
          <t>Created MTR-IOS-1858 and correlation note visible in Activity/Pulse</t>
        </is>
      </c>
      <c r="K1859" t="inlineStr">
        <is>
          <t>NOT_RUN</t>
        </is>
      </c>
      <c r="P1859" t="n">
        <v>0</v>
      </c>
      <c r="Q1859" t="n">
        <v>1858</v>
      </c>
    </row>
    <row r="1860">
      <c r="A1860" t="n">
        <v>1859</v>
      </c>
      <c r="B1860" t="inlineStr">
        <is>
          <t>MTR-IOS-1859</t>
        </is>
      </c>
      <c r="C1860" t="inlineStr">
        <is>
          <t>iPhone</t>
        </is>
      </c>
      <c r="D1860" t="inlineStr">
        <is>
          <t>Group</t>
        </is>
      </c>
      <c r="E1860" t="inlineStr">
        <is>
          <t>Shared Living</t>
        </is>
      </c>
      <c r="F1860" t="inlineStr">
        <is>
          <t>Flatmates</t>
        </is>
      </c>
      <c r="G1860" t="inlineStr">
        <is>
          <t>Rent</t>
        </is>
      </c>
      <c r="H1860" t="inlineStr">
        <is>
          <t>Group &gt; Flatmates &gt; Quick Add &gt; Rent</t>
        </is>
      </c>
      <c r="I1860" s="18" t="n">
        <v>24010.1</v>
      </c>
      <c r="J1860" t="inlineStr">
        <is>
          <t>Created MTR-IOS-1859 and correlation note visible in Activity/Pulse</t>
        </is>
      </c>
      <c r="K1860" t="inlineStr">
        <is>
          <t>NOT_RUN</t>
        </is>
      </c>
      <c r="P1860" t="n">
        <v>0</v>
      </c>
      <c r="Q1860" t="n">
        <v>1859</v>
      </c>
    </row>
    <row r="1861">
      <c r="A1861" t="n">
        <v>1860</v>
      </c>
      <c r="B1861" t="inlineStr">
        <is>
          <t>MTR-IOS-1860</t>
        </is>
      </c>
      <c r="C1861" t="inlineStr">
        <is>
          <t>iPhone</t>
        </is>
      </c>
      <c r="D1861" t="inlineStr">
        <is>
          <t>Business</t>
        </is>
      </c>
      <c r="E1861" t="inlineStr">
        <is>
          <t>Business</t>
        </is>
      </c>
      <c r="F1861" t="inlineStr">
        <is>
          <t>Business Runway</t>
        </is>
      </c>
      <c r="G1861" t="inlineStr">
        <is>
          <t>Reserve</t>
        </is>
      </c>
      <c r="H1861" t="inlineStr">
        <is>
          <t>Business &gt; Business Runway &gt; Quick Add &gt; Reserve</t>
        </is>
      </c>
      <c r="I1861" s="18" t="n">
        <v>35644.28</v>
      </c>
      <c r="J1861" t="inlineStr">
        <is>
          <t>Created MTR-IOS-1860 and correlation note visible in Activity/Pulse</t>
        </is>
      </c>
      <c r="K1861" t="inlineStr">
        <is>
          <t>NOT_RUN</t>
        </is>
      </c>
      <c r="P1861" t="n">
        <v>0</v>
      </c>
      <c r="Q1861" t="n">
        <v>1860</v>
      </c>
    </row>
    <row r="1862">
      <c r="A1862" t="n">
        <v>1861</v>
      </c>
      <c r="B1862" t="inlineStr">
        <is>
          <t>MTR-IOS-1861</t>
        </is>
      </c>
      <c r="C1862" t="inlineStr">
        <is>
          <t>iPhone</t>
        </is>
      </c>
      <c r="D1862" t="inlineStr">
        <is>
          <t>Personal</t>
        </is>
      </c>
      <c r="E1862" t="inlineStr">
        <is>
          <t>Personal</t>
        </is>
      </c>
      <c r="F1862" t="inlineStr">
        <is>
          <t>Relationships</t>
        </is>
      </c>
      <c r="G1862" t="inlineStr">
        <is>
          <t>Celebrations</t>
        </is>
      </c>
      <c r="H1862" t="inlineStr">
        <is>
          <t>Personal &gt; Relationships &gt; Quick Add &gt; Celebrations</t>
        </is>
      </c>
      <c r="I1862" s="18" t="n">
        <v>1768.88</v>
      </c>
      <c r="J1862" t="inlineStr">
        <is>
          <t>Created MTR-IOS-1861 and correlation note visible in Activity/Pulse</t>
        </is>
      </c>
      <c r="K1862" t="inlineStr">
        <is>
          <t>NOT_RUN</t>
        </is>
      </c>
      <c r="P1862" t="n">
        <v>0</v>
      </c>
      <c r="Q1862" t="n">
        <v>1861</v>
      </c>
    </row>
    <row r="1863">
      <c r="A1863" t="n">
        <v>1862</v>
      </c>
      <c r="B1863" t="inlineStr">
        <is>
          <t>MTR-IOS-1862</t>
        </is>
      </c>
      <c r="C1863" t="inlineStr">
        <is>
          <t>iPhone</t>
        </is>
      </c>
      <c r="D1863" t="inlineStr">
        <is>
          <t>Group</t>
        </is>
      </c>
      <c r="E1863" t="inlineStr">
        <is>
          <t>Shared Living</t>
        </is>
      </c>
      <c r="F1863" t="inlineStr">
        <is>
          <t>Flatmates</t>
        </is>
      </c>
      <c r="G1863" t="inlineStr">
        <is>
          <t>Utilities</t>
        </is>
      </c>
      <c r="H1863" t="inlineStr">
        <is>
          <t>Group &gt; Flatmates &gt; Quick Add &gt; Utilities</t>
        </is>
      </c>
      <c r="I1863" s="18" t="n">
        <v>3347.85</v>
      </c>
      <c r="J1863" t="inlineStr">
        <is>
          <t>Created MTR-IOS-1862 and correlation note visible in Activity/Pulse</t>
        </is>
      </c>
      <c r="K1863" t="inlineStr">
        <is>
          <t>NOT_RUN</t>
        </is>
      </c>
      <c r="P1863" t="n">
        <v>0</v>
      </c>
      <c r="Q1863" t="n">
        <v>1862</v>
      </c>
    </row>
    <row r="1864">
      <c r="A1864" t="n">
        <v>1863</v>
      </c>
      <c r="B1864" t="inlineStr">
        <is>
          <t>MTR-IOS-1863</t>
        </is>
      </c>
      <c r="C1864" t="inlineStr">
        <is>
          <t>iPhone</t>
        </is>
      </c>
      <c r="D1864" t="inlineStr">
        <is>
          <t>Business</t>
        </is>
      </c>
      <c r="E1864" t="inlineStr">
        <is>
          <t>Business</t>
        </is>
      </c>
      <c r="F1864" t="inlineStr">
        <is>
          <t>Business Runway</t>
        </is>
      </c>
      <c r="G1864" t="inlineStr">
        <is>
          <t>Loan</t>
        </is>
      </c>
      <c r="H1864" t="inlineStr">
        <is>
          <t>Business &gt; Business Runway &gt; Quick Add &gt; Loan</t>
        </is>
      </c>
      <c r="I1864" s="18" t="n">
        <v>123673.6</v>
      </c>
      <c r="J1864" t="inlineStr">
        <is>
          <t>Created MTR-IOS-1863 and correlation note visible in Activity/Pulse</t>
        </is>
      </c>
      <c r="K1864" t="inlineStr">
        <is>
          <t>NOT_RUN</t>
        </is>
      </c>
      <c r="P1864" t="n">
        <v>0</v>
      </c>
      <c r="Q1864" t="n">
        <v>1863</v>
      </c>
    </row>
    <row r="1865">
      <c r="A1865" t="n">
        <v>1864</v>
      </c>
      <c r="B1865" t="inlineStr">
        <is>
          <t>MTR-IOS-1864</t>
        </is>
      </c>
      <c r="C1865" t="inlineStr">
        <is>
          <t>iPhone</t>
        </is>
      </c>
      <c r="D1865" t="inlineStr">
        <is>
          <t>Personal</t>
        </is>
      </c>
      <c r="E1865" t="inlineStr">
        <is>
          <t>Personal</t>
        </is>
      </c>
      <c r="F1865" t="inlineStr">
        <is>
          <t>Life Operations</t>
        </is>
      </c>
      <c r="G1865" t="inlineStr">
        <is>
          <t>Groceries</t>
        </is>
      </c>
      <c r="H1865" t="inlineStr">
        <is>
          <t>Personal &gt; Life Operations &gt; Quick Add &gt; Groceries</t>
        </is>
      </c>
      <c r="I1865" s="18" t="n">
        <v>10905.23</v>
      </c>
      <c r="J1865" t="inlineStr">
        <is>
          <t>Created MTR-IOS-1864 and correlation note visible in Activity/Pulse</t>
        </is>
      </c>
      <c r="K1865" t="inlineStr">
        <is>
          <t>NOT_RUN</t>
        </is>
      </c>
      <c r="P1865" t="n">
        <v>0</v>
      </c>
      <c r="Q1865" t="n">
        <v>1864</v>
      </c>
    </row>
    <row r="1866">
      <c r="A1866" t="n">
        <v>1865</v>
      </c>
      <c r="B1866" t="inlineStr">
        <is>
          <t>MTR-IOS-1865</t>
        </is>
      </c>
      <c r="C1866" t="inlineStr">
        <is>
          <t>iPhone</t>
        </is>
      </c>
      <c r="D1866" t="inlineStr">
        <is>
          <t>Group</t>
        </is>
      </c>
      <c r="E1866" t="inlineStr">
        <is>
          <t>Shared Living</t>
        </is>
      </c>
      <c r="F1866" t="inlineStr">
        <is>
          <t>Flatmates</t>
        </is>
      </c>
      <c r="G1866" t="inlineStr">
        <is>
          <t>Groceries</t>
        </is>
      </c>
      <c r="H1866" t="inlineStr">
        <is>
          <t>Group &gt; Flatmates &gt; Quick Add &gt; Groceries</t>
        </is>
      </c>
      <c r="I1866" s="18" t="n">
        <v>20409.32</v>
      </c>
      <c r="J1866" t="inlineStr">
        <is>
          <t>Created MTR-IOS-1865 and correlation note visible in Activity/Pulse</t>
        </is>
      </c>
      <c r="K1866" t="inlineStr">
        <is>
          <t>NOT_RUN</t>
        </is>
      </c>
      <c r="P1866" t="n">
        <v>0</v>
      </c>
      <c r="Q1866" t="n">
        <v>1865</v>
      </c>
    </row>
    <row r="1867">
      <c r="A1867" t="n">
        <v>1866</v>
      </c>
      <c r="B1867" t="inlineStr">
        <is>
          <t>MTR-IOS-1866</t>
        </is>
      </c>
      <c r="C1867" t="inlineStr">
        <is>
          <t>iPhone</t>
        </is>
      </c>
      <c r="D1867" t="inlineStr">
        <is>
          <t>Business</t>
        </is>
      </c>
      <c r="E1867" t="inlineStr">
        <is>
          <t>Business</t>
        </is>
      </c>
      <c r="F1867" t="inlineStr">
        <is>
          <t>Business Runway</t>
        </is>
      </c>
      <c r="G1867" t="inlineStr">
        <is>
          <t>Investment</t>
        </is>
      </c>
      <c r="H1867" t="inlineStr">
        <is>
          <t>Business &gt; Business Runway &gt; Quick Add &gt; Investment</t>
        </is>
      </c>
      <c r="I1867" s="18" t="n">
        <v>156871.91</v>
      </c>
      <c r="J1867" t="inlineStr">
        <is>
          <t>Created MTR-IOS-1866 and correlation note visible in Activity/Pulse</t>
        </is>
      </c>
      <c r="K1867" t="inlineStr">
        <is>
          <t>NOT_RUN</t>
        </is>
      </c>
      <c r="P1867" t="n">
        <v>0</v>
      </c>
      <c r="Q1867" t="n">
        <v>1866</v>
      </c>
    </row>
    <row r="1868">
      <c r="A1868" t="n">
        <v>1867</v>
      </c>
      <c r="B1868" t="inlineStr">
        <is>
          <t>MTR-IOS-1867</t>
        </is>
      </c>
      <c r="C1868" t="inlineStr">
        <is>
          <t>iPhone</t>
        </is>
      </c>
      <c r="D1868" t="inlineStr">
        <is>
          <t>Personal</t>
        </is>
      </c>
      <c r="E1868" t="inlineStr">
        <is>
          <t>Personal</t>
        </is>
      </c>
      <c r="F1868" t="inlineStr">
        <is>
          <t>Life Operations</t>
        </is>
      </c>
      <c r="G1868" t="inlineStr">
        <is>
          <t>Rent</t>
        </is>
      </c>
      <c r="H1868" t="inlineStr">
        <is>
          <t>Personal &gt; Life Operations &gt; Quick Add &gt; Rent</t>
        </is>
      </c>
      <c r="I1868" s="18" t="n">
        <v>11811.31</v>
      </c>
      <c r="J1868" t="inlineStr">
        <is>
          <t>Created MTR-IOS-1867 and correlation note visible in Activity/Pulse</t>
        </is>
      </c>
      <c r="K1868" t="inlineStr">
        <is>
          <t>NOT_RUN</t>
        </is>
      </c>
      <c r="P1868" t="n">
        <v>0</v>
      </c>
      <c r="Q1868" t="n">
        <v>1867</v>
      </c>
    </row>
    <row r="1869">
      <c r="A1869" t="n">
        <v>1868</v>
      </c>
      <c r="B1869" t="inlineStr">
        <is>
          <t>MTR-IOS-1868</t>
        </is>
      </c>
      <c r="C1869" t="inlineStr">
        <is>
          <t>iPhone</t>
        </is>
      </c>
      <c r="D1869" t="inlineStr">
        <is>
          <t>Group</t>
        </is>
      </c>
      <c r="E1869" t="inlineStr">
        <is>
          <t>Shared Living</t>
        </is>
      </c>
      <c r="F1869" t="inlineStr">
        <is>
          <t>Flatmates</t>
        </is>
      </c>
      <c r="G1869" t="inlineStr">
        <is>
          <t>Internet</t>
        </is>
      </c>
      <c r="H1869" t="inlineStr">
        <is>
          <t>Group &gt; Flatmates &gt; Quick Add &gt; Internet</t>
        </is>
      </c>
      <c r="I1869" s="18" t="n">
        <v>18364.79</v>
      </c>
      <c r="J1869" t="inlineStr">
        <is>
          <t>Created MTR-IOS-1868 and correlation note visible in Activity/Pulse</t>
        </is>
      </c>
      <c r="K1869" t="inlineStr">
        <is>
          <t>NOT_RUN</t>
        </is>
      </c>
      <c r="P1869" t="n">
        <v>0</v>
      </c>
      <c r="Q1869" t="n">
        <v>1868</v>
      </c>
    </row>
    <row r="1870">
      <c r="A1870" t="n">
        <v>1869</v>
      </c>
      <c r="B1870" t="inlineStr">
        <is>
          <t>MTR-IOS-1869</t>
        </is>
      </c>
      <c r="C1870" t="inlineStr">
        <is>
          <t>iPhone</t>
        </is>
      </c>
      <c r="D1870" t="inlineStr">
        <is>
          <t>Business</t>
        </is>
      </c>
      <c r="E1870" t="inlineStr">
        <is>
          <t>Business</t>
        </is>
      </c>
      <c r="F1870" t="inlineStr">
        <is>
          <t>Business Operations</t>
        </is>
      </c>
      <c r="G1870" t="inlineStr">
        <is>
          <t>Software</t>
        </is>
      </c>
      <c r="H1870" t="inlineStr">
        <is>
          <t>Business &gt; Business Operations &gt; Quick Add &gt; Software</t>
        </is>
      </c>
      <c r="I1870" s="18" t="n">
        <v>58100.14</v>
      </c>
      <c r="J1870" t="inlineStr">
        <is>
          <t>Created MTR-IOS-1869 and correlation note visible in Activity/Pulse</t>
        </is>
      </c>
      <c r="K1870" t="inlineStr">
        <is>
          <t>NOT_RUN</t>
        </is>
      </c>
      <c r="P1870" t="n">
        <v>0</v>
      </c>
      <c r="Q1870" t="n">
        <v>1869</v>
      </c>
    </row>
    <row r="1871">
      <c r="A1871" t="n">
        <v>1870</v>
      </c>
      <c r="B1871" t="inlineStr">
        <is>
          <t>MTR-IOS-1870</t>
        </is>
      </c>
      <c r="C1871" t="inlineStr">
        <is>
          <t>iPhone</t>
        </is>
      </c>
      <c r="D1871" t="inlineStr">
        <is>
          <t>Personal</t>
        </is>
      </c>
      <c r="E1871" t="inlineStr">
        <is>
          <t>Personal</t>
        </is>
      </c>
      <c r="F1871" t="inlineStr">
        <is>
          <t>Life Operations</t>
        </is>
      </c>
      <c r="G1871" t="inlineStr">
        <is>
          <t>Bills</t>
        </is>
      </c>
      <c r="H1871" t="inlineStr">
        <is>
          <t>Personal &gt; Life Operations &gt; Quick Add &gt; Bills</t>
        </is>
      </c>
      <c r="I1871" s="18" t="n">
        <v>7093.88</v>
      </c>
      <c r="J1871" t="inlineStr">
        <is>
          <t>Created MTR-IOS-1870 and correlation note visible in Activity/Pulse</t>
        </is>
      </c>
      <c r="K1871" t="inlineStr">
        <is>
          <t>NOT_RUN</t>
        </is>
      </c>
      <c r="P1871" t="n">
        <v>0</v>
      </c>
      <c r="Q1871" t="n">
        <v>1870</v>
      </c>
    </row>
    <row r="1872">
      <c r="A1872" t="n">
        <v>1871</v>
      </c>
      <c r="B1872" t="inlineStr">
        <is>
          <t>MTR-IOS-1871</t>
        </is>
      </c>
      <c r="C1872" t="inlineStr">
        <is>
          <t>iPhone</t>
        </is>
      </c>
      <c r="D1872" t="inlineStr">
        <is>
          <t>Group</t>
        </is>
      </c>
      <c r="E1872" t="inlineStr">
        <is>
          <t>Shared Living</t>
        </is>
      </c>
      <c r="F1872" t="inlineStr">
        <is>
          <t>Flatmates</t>
        </is>
      </c>
      <c r="G1872" t="inlineStr">
        <is>
          <t>House Supplies</t>
        </is>
      </c>
      <c r="H1872" t="inlineStr">
        <is>
          <t>Group &gt; Flatmates &gt; Quick Add &gt; House Supplies</t>
        </is>
      </c>
      <c r="I1872" s="18" t="n">
        <v>8129.2</v>
      </c>
      <c r="J1872" t="inlineStr">
        <is>
          <t>Created MTR-IOS-1871 and correlation note visible in Activity/Pulse</t>
        </is>
      </c>
      <c r="K1872" t="inlineStr">
        <is>
          <t>NOT_RUN</t>
        </is>
      </c>
      <c r="P1872" t="n">
        <v>0</v>
      </c>
      <c r="Q1872" t="n">
        <v>1871</v>
      </c>
    </row>
    <row r="1873">
      <c r="A1873" t="n">
        <v>1872</v>
      </c>
      <c r="B1873" t="inlineStr">
        <is>
          <t>MTR-IOS-1872</t>
        </is>
      </c>
      <c r="C1873" t="inlineStr">
        <is>
          <t>iPhone</t>
        </is>
      </c>
      <c r="D1873" t="inlineStr">
        <is>
          <t>Business</t>
        </is>
      </c>
      <c r="E1873" t="inlineStr">
        <is>
          <t>Business</t>
        </is>
      </c>
      <c r="F1873" t="inlineStr">
        <is>
          <t>Business Operations</t>
        </is>
      </c>
      <c r="G1873" t="inlineStr">
        <is>
          <t>Rent</t>
        </is>
      </c>
      <c r="H1873" t="inlineStr">
        <is>
          <t>Business &gt; Business Operations &gt; Quick Add &gt; Rent</t>
        </is>
      </c>
      <c r="I1873" s="18" t="n">
        <v>123641.68</v>
      </c>
      <c r="J1873" t="inlineStr">
        <is>
          <t>Created MTR-IOS-1872 and correlation note visible in Activity/Pulse</t>
        </is>
      </c>
      <c r="K1873" t="inlineStr">
        <is>
          <t>NOT_RUN</t>
        </is>
      </c>
      <c r="P1873" t="n">
        <v>0</v>
      </c>
      <c r="Q1873" t="n">
        <v>1872</v>
      </c>
    </row>
    <row r="1874">
      <c r="A1874" t="n">
        <v>1873</v>
      </c>
      <c r="B1874" t="inlineStr">
        <is>
          <t>MTR-IOS-1873</t>
        </is>
      </c>
      <c r="C1874" t="inlineStr">
        <is>
          <t>iPhone</t>
        </is>
      </c>
      <c r="D1874" t="inlineStr">
        <is>
          <t>Personal</t>
        </is>
      </c>
      <c r="E1874" t="inlineStr">
        <is>
          <t>Personal</t>
        </is>
      </c>
      <c r="F1874" t="inlineStr">
        <is>
          <t>Life Operations</t>
        </is>
      </c>
      <c r="G1874" t="inlineStr">
        <is>
          <t>Transport</t>
        </is>
      </c>
      <c r="H1874" t="inlineStr">
        <is>
          <t>Personal &gt; Life Operations &gt; Quick Add &gt; Transport</t>
        </is>
      </c>
      <c r="I1874" s="18" t="n">
        <v>14776.74</v>
      </c>
      <c r="J1874" t="inlineStr">
        <is>
          <t>Created MTR-IOS-1873 and correlation note visible in Activity/Pulse</t>
        </is>
      </c>
      <c r="K1874" t="inlineStr">
        <is>
          <t>NOT_RUN</t>
        </is>
      </c>
      <c r="P1874" t="n">
        <v>0</v>
      </c>
      <c r="Q1874" t="n">
        <v>1873</v>
      </c>
    </row>
    <row r="1875">
      <c r="A1875" t="n">
        <v>1874</v>
      </c>
      <c r="B1875" t="inlineStr">
        <is>
          <t>MTR-IOS-1874</t>
        </is>
      </c>
      <c r="C1875" t="inlineStr">
        <is>
          <t>iPhone</t>
        </is>
      </c>
      <c r="D1875" t="inlineStr">
        <is>
          <t>Group</t>
        </is>
      </c>
      <c r="E1875" t="inlineStr">
        <is>
          <t>Shared Living</t>
        </is>
      </c>
      <c r="F1875" t="inlineStr">
        <is>
          <t>Flatmates</t>
        </is>
      </c>
      <c r="G1875" t="inlineStr">
        <is>
          <t>Repairs</t>
        </is>
      </c>
      <c r="H1875" t="inlineStr">
        <is>
          <t>Group &gt; Flatmates &gt; Quick Add &gt; Repairs</t>
        </is>
      </c>
      <c r="I1875" s="18" t="n">
        <v>6879.19</v>
      </c>
      <c r="J1875" t="inlineStr">
        <is>
          <t>Created MTR-IOS-1874 and correlation note visible in Activity/Pulse</t>
        </is>
      </c>
      <c r="K1875" t="inlineStr">
        <is>
          <t>NOT_RUN</t>
        </is>
      </c>
      <c r="P1875" t="n">
        <v>0</v>
      </c>
      <c r="Q1875" t="n">
        <v>1874</v>
      </c>
    </row>
    <row r="1876">
      <c r="A1876" t="n">
        <v>1875</v>
      </c>
      <c r="B1876" t="inlineStr">
        <is>
          <t>MTR-IOS-1875</t>
        </is>
      </c>
      <c r="C1876" t="inlineStr">
        <is>
          <t>iPhone</t>
        </is>
      </c>
      <c r="D1876" t="inlineStr">
        <is>
          <t>Business</t>
        </is>
      </c>
      <c r="E1876" t="inlineStr">
        <is>
          <t>Business</t>
        </is>
      </c>
      <c r="F1876" t="inlineStr">
        <is>
          <t>Business Operations</t>
        </is>
      </c>
      <c r="G1876" t="inlineStr">
        <is>
          <t>Marketing</t>
        </is>
      </c>
      <c r="H1876" t="inlineStr">
        <is>
          <t>Business &gt; Business Operations &gt; Quick Add &gt; Marketing</t>
        </is>
      </c>
      <c r="I1876" s="18" t="n">
        <v>17620.66</v>
      </c>
      <c r="J1876" t="inlineStr">
        <is>
          <t>Created MTR-IOS-1875 and correlation note visible in Activity/Pulse</t>
        </is>
      </c>
      <c r="K1876" t="inlineStr">
        <is>
          <t>NOT_RUN</t>
        </is>
      </c>
      <c r="P1876" t="n">
        <v>0</v>
      </c>
      <c r="Q1876" t="n">
        <v>1875</v>
      </c>
    </row>
    <row r="1877">
      <c r="A1877" t="n">
        <v>1876</v>
      </c>
      <c r="B1877" t="inlineStr">
        <is>
          <t>MTR-IOS-1876</t>
        </is>
      </c>
      <c r="C1877" t="inlineStr">
        <is>
          <t>iPhone</t>
        </is>
      </c>
      <c r="D1877" t="inlineStr">
        <is>
          <t>Personal</t>
        </is>
      </c>
      <c r="E1877" t="inlineStr">
        <is>
          <t>Personal</t>
        </is>
      </c>
      <c r="F1877" t="inlineStr">
        <is>
          <t>Life Operations</t>
        </is>
      </c>
      <c r="G1877" t="inlineStr">
        <is>
          <t>Healthcare</t>
        </is>
      </c>
      <c r="H1877" t="inlineStr">
        <is>
          <t>Personal &gt; Life Operations &gt; Quick Add &gt; Healthcare</t>
        </is>
      </c>
      <c r="I1877" s="18" t="n">
        <v>10794.2</v>
      </c>
      <c r="J1877" t="inlineStr">
        <is>
          <t>Created MTR-IOS-1876 and correlation note visible in Activity/Pulse</t>
        </is>
      </c>
      <c r="K1877" t="inlineStr">
        <is>
          <t>NOT_RUN</t>
        </is>
      </c>
      <c r="P1877" t="n">
        <v>0</v>
      </c>
      <c r="Q1877" t="n">
        <v>1876</v>
      </c>
    </row>
    <row r="1878">
      <c r="A1878" t="n">
        <v>1877</v>
      </c>
      <c r="B1878" t="inlineStr">
        <is>
          <t>MTR-IOS-1877</t>
        </is>
      </c>
      <c r="C1878" t="inlineStr">
        <is>
          <t>iPhone</t>
        </is>
      </c>
      <c r="D1878" t="inlineStr">
        <is>
          <t>Group</t>
        </is>
      </c>
      <c r="E1878" t="inlineStr">
        <is>
          <t>Shared Living</t>
        </is>
      </c>
      <c r="F1878" t="inlineStr">
        <is>
          <t>Shared Living</t>
        </is>
      </c>
      <c r="G1878" t="inlineStr">
        <is>
          <t>Rent</t>
        </is>
      </c>
      <c r="H1878" t="inlineStr">
        <is>
          <t>Group &gt; Shared Living &gt; Quick Add &gt; Rent</t>
        </is>
      </c>
      <c r="I1878" s="18" t="n">
        <v>16621.87</v>
      </c>
      <c r="J1878" t="inlineStr">
        <is>
          <t>Created MTR-IOS-1877 and correlation note visible in Activity/Pulse</t>
        </is>
      </c>
      <c r="K1878" t="inlineStr">
        <is>
          <t>NOT_RUN</t>
        </is>
      </c>
      <c r="P1878" t="n">
        <v>0</v>
      </c>
      <c r="Q1878" t="n">
        <v>1877</v>
      </c>
    </row>
    <row r="1879">
      <c r="A1879" t="n">
        <v>1878</v>
      </c>
      <c r="B1879" t="inlineStr">
        <is>
          <t>MTR-IOS-1878</t>
        </is>
      </c>
      <c r="C1879" t="inlineStr">
        <is>
          <t>iPhone</t>
        </is>
      </c>
      <c r="D1879" t="inlineStr">
        <is>
          <t>Business</t>
        </is>
      </c>
      <c r="E1879" t="inlineStr">
        <is>
          <t>Business</t>
        </is>
      </c>
      <c r="F1879" t="inlineStr">
        <is>
          <t>Business Operations</t>
        </is>
      </c>
      <c r="G1879" t="inlineStr">
        <is>
          <t>Legal</t>
        </is>
      </c>
      <c r="H1879" t="inlineStr">
        <is>
          <t>Business &gt; Business Operations &gt; Quick Add &gt; Legal</t>
        </is>
      </c>
      <c r="I1879" s="18" t="n">
        <v>87972.91</v>
      </c>
      <c r="J1879" t="inlineStr">
        <is>
          <t>Created MTR-IOS-1878 and correlation note visible in Activity/Pulse</t>
        </is>
      </c>
      <c r="K1879" t="inlineStr">
        <is>
          <t>NOT_RUN</t>
        </is>
      </c>
      <c r="P1879" t="n">
        <v>0</v>
      </c>
      <c r="Q1879" t="n">
        <v>1878</v>
      </c>
    </row>
    <row r="1880">
      <c r="A1880" t="n">
        <v>1879</v>
      </c>
      <c r="B1880" t="inlineStr">
        <is>
          <t>MTR-IOS-1879</t>
        </is>
      </c>
      <c r="C1880" t="inlineStr">
        <is>
          <t>iPhone</t>
        </is>
      </c>
      <c r="D1880" t="inlineStr">
        <is>
          <t>Personal</t>
        </is>
      </c>
      <c r="E1880" t="inlineStr">
        <is>
          <t>Personal</t>
        </is>
      </c>
      <c r="F1880" t="inlineStr">
        <is>
          <t>Life Operations</t>
        </is>
      </c>
      <c r="G1880" t="inlineStr">
        <is>
          <t>Subscriptions</t>
        </is>
      </c>
      <c r="H1880" t="inlineStr">
        <is>
          <t>Personal &gt; Life Operations &gt; Quick Add &gt; Subscriptions</t>
        </is>
      </c>
      <c r="I1880" s="18" t="n">
        <v>2799.65</v>
      </c>
      <c r="J1880" t="inlineStr">
        <is>
          <t>Created MTR-IOS-1879 and correlation note visible in Activity/Pulse</t>
        </is>
      </c>
      <c r="K1880" t="inlineStr">
        <is>
          <t>NOT_RUN</t>
        </is>
      </c>
      <c r="P1880" t="n">
        <v>0</v>
      </c>
      <c r="Q1880" t="n">
        <v>1879</v>
      </c>
    </row>
    <row r="1881">
      <c r="A1881" t="n">
        <v>1880</v>
      </c>
      <c r="B1881" t="inlineStr">
        <is>
          <t>MTR-IOS-1880</t>
        </is>
      </c>
      <c r="C1881" t="inlineStr">
        <is>
          <t>iPhone</t>
        </is>
      </c>
      <c r="D1881" t="inlineStr">
        <is>
          <t>Group</t>
        </is>
      </c>
      <c r="E1881" t="inlineStr">
        <is>
          <t>Shared Living</t>
        </is>
      </c>
      <c r="F1881" t="inlineStr">
        <is>
          <t>Shared Living</t>
        </is>
      </c>
      <c r="G1881" t="inlineStr">
        <is>
          <t>Utilities</t>
        </is>
      </c>
      <c r="H1881" t="inlineStr">
        <is>
          <t>Group &gt; Shared Living &gt; Quick Add &gt; Utilities</t>
        </is>
      </c>
      <c r="I1881" s="18" t="n">
        <v>18682.82</v>
      </c>
      <c r="J1881" t="inlineStr">
        <is>
          <t>Created MTR-IOS-1880 and correlation note visible in Activity/Pulse</t>
        </is>
      </c>
      <c r="K1881" t="inlineStr">
        <is>
          <t>NOT_RUN</t>
        </is>
      </c>
      <c r="P1881" t="n">
        <v>0</v>
      </c>
      <c r="Q1881" t="n">
        <v>1880</v>
      </c>
    </row>
    <row r="1882">
      <c r="A1882" t="n">
        <v>1881</v>
      </c>
      <c r="B1882" t="inlineStr">
        <is>
          <t>MTR-IOS-1881</t>
        </is>
      </c>
      <c r="C1882" t="inlineStr">
        <is>
          <t>iPhone</t>
        </is>
      </c>
      <c r="D1882" t="inlineStr">
        <is>
          <t>Business</t>
        </is>
      </c>
      <c r="E1882" t="inlineStr">
        <is>
          <t>Business</t>
        </is>
      </c>
      <c r="F1882" t="inlineStr">
        <is>
          <t>Business Operations</t>
        </is>
      </c>
      <c r="G1882" t="inlineStr">
        <is>
          <t>Accounting</t>
        </is>
      </c>
      <c r="H1882" t="inlineStr">
        <is>
          <t>Business &gt; Business Operations &gt; Quick Add &gt; Accounting</t>
        </is>
      </c>
      <c r="I1882" s="18" t="n">
        <v>98113.02</v>
      </c>
      <c r="J1882" t="inlineStr">
        <is>
          <t>Created MTR-IOS-1881 and correlation note visible in Activity/Pulse</t>
        </is>
      </c>
      <c r="K1882" t="inlineStr">
        <is>
          <t>NOT_RUN</t>
        </is>
      </c>
      <c r="P1882" t="n">
        <v>0</v>
      </c>
      <c r="Q1882" t="n">
        <v>1881</v>
      </c>
    </row>
    <row r="1883">
      <c r="A1883" t="n">
        <v>1882</v>
      </c>
      <c r="B1883" t="inlineStr">
        <is>
          <t>MTR-IOS-1882</t>
        </is>
      </c>
      <c r="C1883" t="inlineStr">
        <is>
          <t>iPhone</t>
        </is>
      </c>
      <c r="D1883" t="inlineStr">
        <is>
          <t>Personal</t>
        </is>
      </c>
      <c r="E1883" t="inlineStr">
        <is>
          <t>Personal</t>
        </is>
      </c>
      <c r="F1883" t="inlineStr">
        <is>
          <t>Life Operations</t>
        </is>
      </c>
      <c r="G1883" t="inlineStr">
        <is>
          <t>Repairs</t>
        </is>
      </c>
      <c r="H1883" t="inlineStr">
        <is>
          <t>Personal &gt; Life Operations &gt; Quick Add &gt; Repairs</t>
        </is>
      </c>
      <c r="I1883" s="18" t="n">
        <v>2939.76</v>
      </c>
      <c r="J1883" t="inlineStr">
        <is>
          <t>Created MTR-IOS-1882 and correlation note visible in Activity/Pulse</t>
        </is>
      </c>
      <c r="K1883" t="inlineStr">
        <is>
          <t>NOT_RUN</t>
        </is>
      </c>
      <c r="P1883" t="n">
        <v>0</v>
      </c>
      <c r="Q1883" t="n">
        <v>1882</v>
      </c>
    </row>
    <row r="1884">
      <c r="A1884" t="n">
        <v>1883</v>
      </c>
      <c r="B1884" t="inlineStr">
        <is>
          <t>MTR-IOS-1883</t>
        </is>
      </c>
      <c r="C1884" t="inlineStr">
        <is>
          <t>iPhone</t>
        </is>
      </c>
      <c r="D1884" t="inlineStr">
        <is>
          <t>Group</t>
        </is>
      </c>
      <c r="E1884" t="inlineStr">
        <is>
          <t>Shared Living</t>
        </is>
      </c>
      <c r="F1884" t="inlineStr">
        <is>
          <t>Shared Living</t>
        </is>
      </c>
      <c r="G1884" t="inlineStr">
        <is>
          <t>Groceries</t>
        </is>
      </c>
      <c r="H1884" t="inlineStr">
        <is>
          <t>Group &gt; Shared Living &gt; Quick Add &gt; Groceries</t>
        </is>
      </c>
      <c r="I1884" s="18" t="n">
        <v>17075.27</v>
      </c>
      <c r="J1884" t="inlineStr">
        <is>
          <t>Created MTR-IOS-1883 and correlation note visible in Activity/Pulse</t>
        </is>
      </c>
      <c r="K1884" t="inlineStr">
        <is>
          <t>NOT_RUN</t>
        </is>
      </c>
      <c r="P1884" t="n">
        <v>0</v>
      </c>
      <c r="Q1884" t="n">
        <v>1883</v>
      </c>
    </row>
    <row r="1885">
      <c r="A1885" t="n">
        <v>1884</v>
      </c>
      <c r="B1885" t="inlineStr">
        <is>
          <t>MTR-IOS-1884</t>
        </is>
      </c>
      <c r="C1885" t="inlineStr">
        <is>
          <t>iPhone</t>
        </is>
      </c>
      <c r="D1885" t="inlineStr">
        <is>
          <t>Business</t>
        </is>
      </c>
      <c r="E1885" t="inlineStr">
        <is>
          <t>Business</t>
        </is>
      </c>
      <c r="F1885" t="inlineStr">
        <is>
          <t>Business Operations</t>
        </is>
      </c>
      <c r="G1885" t="inlineStr">
        <is>
          <t>Equipment</t>
        </is>
      </c>
      <c r="H1885" t="inlineStr">
        <is>
          <t>Business &gt; Business Operations &gt; Quick Add &gt; Equipment</t>
        </is>
      </c>
      <c r="I1885" s="18" t="n">
        <v>103112.11</v>
      </c>
      <c r="J1885" t="inlineStr">
        <is>
          <t>Created MTR-IOS-1884 and correlation note visible in Activity/Pulse</t>
        </is>
      </c>
      <c r="K1885" t="inlineStr">
        <is>
          <t>NOT_RUN</t>
        </is>
      </c>
      <c r="P1885" t="n">
        <v>0</v>
      </c>
      <c r="Q1885" t="n">
        <v>1884</v>
      </c>
    </row>
    <row r="1886">
      <c r="A1886" t="n">
        <v>1885</v>
      </c>
      <c r="B1886" t="inlineStr">
        <is>
          <t>MTR-IOS-1885</t>
        </is>
      </c>
      <c r="C1886" t="inlineStr">
        <is>
          <t>iPhone</t>
        </is>
      </c>
      <c r="D1886" t="inlineStr">
        <is>
          <t>Personal</t>
        </is>
      </c>
      <c r="E1886" t="inlineStr">
        <is>
          <t>Personal</t>
        </is>
      </c>
      <c r="F1886" t="inlineStr">
        <is>
          <t>Future Building</t>
        </is>
      </c>
      <c r="G1886" t="inlineStr">
        <is>
          <t>Savings</t>
        </is>
      </c>
      <c r="H1886" t="inlineStr">
        <is>
          <t>Personal &gt; Future Building &gt; Quick Add &gt; Savings</t>
        </is>
      </c>
      <c r="I1886" s="18" t="n">
        <v>11953.62</v>
      </c>
      <c r="J1886" t="inlineStr">
        <is>
          <t>Created MTR-IOS-1885 and correlation note visible in Activity/Pulse</t>
        </is>
      </c>
      <c r="K1886" t="inlineStr">
        <is>
          <t>NOT_RUN</t>
        </is>
      </c>
      <c r="P1886" t="n">
        <v>0</v>
      </c>
      <c r="Q1886" t="n">
        <v>1885</v>
      </c>
    </row>
    <row r="1887">
      <c r="A1887" t="n">
        <v>1886</v>
      </c>
      <c r="B1887" t="inlineStr">
        <is>
          <t>MTR-IOS-1886</t>
        </is>
      </c>
      <c r="C1887" t="inlineStr">
        <is>
          <t>iPhone</t>
        </is>
      </c>
      <c r="D1887" t="inlineStr">
        <is>
          <t>Group</t>
        </is>
      </c>
      <c r="E1887" t="inlineStr">
        <is>
          <t>Shared Living</t>
        </is>
      </c>
      <c r="F1887" t="inlineStr">
        <is>
          <t>Shared Living</t>
        </is>
      </c>
      <c r="G1887" t="inlineStr">
        <is>
          <t>Maintenance</t>
        </is>
      </c>
      <c r="H1887" t="inlineStr">
        <is>
          <t>Group &gt; Shared Living &gt; Quick Add &gt; Maintenance</t>
        </is>
      </c>
      <c r="I1887" s="18" t="n">
        <v>13829.79</v>
      </c>
      <c r="J1887" t="inlineStr">
        <is>
          <t>Created MTR-IOS-1886 and correlation note visible in Activity/Pulse</t>
        </is>
      </c>
      <c r="K1887" t="inlineStr">
        <is>
          <t>NOT_RUN</t>
        </is>
      </c>
      <c r="P1887" t="n">
        <v>0</v>
      </c>
      <c r="Q1887" t="n">
        <v>1886</v>
      </c>
    </row>
    <row r="1888">
      <c r="A1888" t="n">
        <v>1887</v>
      </c>
      <c r="B1888" t="inlineStr">
        <is>
          <t>MTR-IOS-1887</t>
        </is>
      </c>
      <c r="C1888" t="inlineStr">
        <is>
          <t>iPhone</t>
        </is>
      </c>
      <c r="D1888" t="inlineStr">
        <is>
          <t>Business</t>
        </is>
      </c>
      <c r="E1888" t="inlineStr">
        <is>
          <t>Business</t>
        </is>
      </c>
      <c r="F1888" t="inlineStr">
        <is>
          <t>Business Operations</t>
        </is>
      </c>
      <c r="G1888" t="inlineStr">
        <is>
          <t>Vendor</t>
        </is>
      </c>
      <c r="H1888" t="inlineStr">
        <is>
          <t>Business &gt; Business Operations &gt; Quick Add &gt; Vendor</t>
        </is>
      </c>
      <c r="I1888" s="18" t="n">
        <v>100</v>
      </c>
      <c r="J1888" t="inlineStr">
        <is>
          <t>Created MTR-IOS-1887 and correlation note visible in Activity/Pulse</t>
        </is>
      </c>
      <c r="K1888" t="inlineStr">
        <is>
          <t>NOT_RUN</t>
        </is>
      </c>
      <c r="P1888" t="n">
        <v>0</v>
      </c>
      <c r="Q1888" t="n">
        <v>1887</v>
      </c>
    </row>
    <row r="1889">
      <c r="A1889" t="n">
        <v>1888</v>
      </c>
      <c r="B1889" t="inlineStr">
        <is>
          <t>MTR-IOS-1888</t>
        </is>
      </c>
      <c r="C1889" t="inlineStr">
        <is>
          <t>iPhone</t>
        </is>
      </c>
      <c r="D1889" t="inlineStr">
        <is>
          <t>Personal</t>
        </is>
      </c>
      <c r="E1889" t="inlineStr">
        <is>
          <t>Personal</t>
        </is>
      </c>
      <c r="F1889" t="inlineStr">
        <is>
          <t>Future Building</t>
        </is>
      </c>
      <c r="G1889" t="inlineStr">
        <is>
          <t>Emergency Fund</t>
        </is>
      </c>
      <c r="H1889" t="inlineStr">
        <is>
          <t>Personal &gt; Future Building &gt; Quick Add &gt; Emergency Fund</t>
        </is>
      </c>
      <c r="I1889" s="18" t="n">
        <v>12250.05</v>
      </c>
      <c r="J1889" t="inlineStr">
        <is>
          <t>Created MTR-IOS-1888 and correlation note visible in Activity/Pulse</t>
        </is>
      </c>
      <c r="K1889" t="inlineStr">
        <is>
          <t>NOT_RUN</t>
        </is>
      </c>
      <c r="P1889" t="n">
        <v>0</v>
      </c>
      <c r="Q1889" t="n">
        <v>1888</v>
      </c>
    </row>
    <row r="1890">
      <c r="A1890" t="n">
        <v>1889</v>
      </c>
      <c r="B1890" t="inlineStr">
        <is>
          <t>MTR-IOS-1889</t>
        </is>
      </c>
      <c r="C1890" t="inlineStr">
        <is>
          <t>iPhone</t>
        </is>
      </c>
      <c r="D1890" t="inlineStr">
        <is>
          <t>Group</t>
        </is>
      </c>
      <c r="E1890" t="inlineStr">
        <is>
          <t>Shared Living</t>
        </is>
      </c>
      <c r="F1890" t="inlineStr">
        <is>
          <t>Shared Living</t>
        </is>
      </c>
      <c r="G1890" t="inlineStr">
        <is>
          <t>Other</t>
        </is>
      </c>
      <c r="H1890" t="inlineStr">
        <is>
          <t>Group &gt; Shared Living &gt; Quick Add &gt; Other</t>
        </is>
      </c>
      <c r="I1890" s="18" t="n">
        <v>23829.03</v>
      </c>
      <c r="J1890" t="inlineStr">
        <is>
          <t>Created MTR-IOS-1889 and correlation note visible in Activity/Pulse</t>
        </is>
      </c>
      <c r="K1890" t="inlineStr">
        <is>
          <t>NOT_RUN</t>
        </is>
      </c>
      <c r="P1890" t="n">
        <v>0</v>
      </c>
      <c r="Q1890" t="n">
        <v>1889</v>
      </c>
    </row>
    <row r="1891">
      <c r="A1891" t="n">
        <v>1890</v>
      </c>
      <c r="B1891" t="inlineStr">
        <is>
          <t>MTR-IOS-1890</t>
        </is>
      </c>
      <c r="C1891" t="inlineStr">
        <is>
          <t>iPhone</t>
        </is>
      </c>
      <c r="D1891" t="inlineStr">
        <is>
          <t>Business</t>
        </is>
      </c>
      <c r="E1891" t="inlineStr">
        <is>
          <t>Business</t>
        </is>
      </c>
      <c r="F1891" t="inlineStr">
        <is>
          <t>Business Operations</t>
        </is>
      </c>
      <c r="G1891" t="inlineStr">
        <is>
          <t>Tax</t>
        </is>
      </c>
      <c r="H1891" t="inlineStr">
        <is>
          <t>Business &gt; Business Operations &gt; Quick Add &gt; Tax</t>
        </is>
      </c>
      <c r="I1891" s="18" t="n">
        <v>99052.56</v>
      </c>
      <c r="J1891" t="inlineStr">
        <is>
          <t>Created MTR-IOS-1890 and correlation note visible in Activity/Pulse</t>
        </is>
      </c>
      <c r="K1891" t="inlineStr">
        <is>
          <t>NOT_RUN</t>
        </is>
      </c>
      <c r="P1891" t="n">
        <v>0</v>
      </c>
      <c r="Q1891" t="n">
        <v>1890</v>
      </c>
    </row>
    <row r="1892">
      <c r="A1892" t="n">
        <v>1891</v>
      </c>
      <c r="B1892" t="inlineStr">
        <is>
          <t>MTR-IOS-1891</t>
        </is>
      </c>
      <c r="C1892" t="inlineStr">
        <is>
          <t>iPhone</t>
        </is>
      </c>
      <c r="D1892" t="inlineStr">
        <is>
          <t>Personal</t>
        </is>
      </c>
      <c r="E1892" t="inlineStr">
        <is>
          <t>Personal</t>
        </is>
      </c>
      <c r="F1892" t="inlineStr">
        <is>
          <t>Future Building</t>
        </is>
      </c>
      <c r="G1892" t="inlineStr">
        <is>
          <t>Investments</t>
        </is>
      </c>
      <c r="H1892" t="inlineStr">
        <is>
          <t>Personal &gt; Future Building &gt; Quick Add &gt; Investments</t>
        </is>
      </c>
      <c r="I1892" s="18" t="n">
        <v>7748.8</v>
      </c>
      <c r="J1892" t="inlineStr">
        <is>
          <t>Created MTR-IOS-1891 and correlation note visible in Activity/Pulse</t>
        </is>
      </c>
      <c r="K1892" t="inlineStr">
        <is>
          <t>NOT_RUN</t>
        </is>
      </c>
      <c r="P1892" t="n">
        <v>0</v>
      </c>
      <c r="Q1892" t="n">
        <v>1891</v>
      </c>
    </row>
    <row r="1893">
      <c r="A1893" t="n">
        <v>1892</v>
      </c>
      <c r="B1893" t="inlineStr">
        <is>
          <t>MTR-IOS-1892</t>
        </is>
      </c>
      <c r="C1893" t="inlineStr">
        <is>
          <t>iPhone</t>
        </is>
      </c>
      <c r="D1893" t="inlineStr">
        <is>
          <t>Group</t>
        </is>
      </c>
      <c r="E1893" t="inlineStr">
        <is>
          <t>Shared Living</t>
        </is>
      </c>
      <c r="F1893" t="inlineStr">
        <is>
          <t>Family Household</t>
        </is>
      </c>
      <c r="G1893" t="inlineStr">
        <is>
          <t>Groceries</t>
        </is>
      </c>
      <c r="H1893" t="inlineStr">
        <is>
          <t>Group &gt; Family Household &gt; Quick Add &gt; Groceries</t>
        </is>
      </c>
      <c r="I1893" s="18" t="n">
        <v>16523.12</v>
      </c>
      <c r="J1893" t="inlineStr">
        <is>
          <t>Created MTR-IOS-1892 and correlation note visible in Activity/Pulse</t>
        </is>
      </c>
      <c r="K1893" t="inlineStr">
        <is>
          <t>NOT_RUN</t>
        </is>
      </c>
      <c r="P1893" t="n">
        <v>0</v>
      </c>
      <c r="Q1893" t="n">
        <v>1892</v>
      </c>
    </row>
    <row r="1894">
      <c r="A1894" t="n">
        <v>1893</v>
      </c>
      <c r="B1894" t="inlineStr">
        <is>
          <t>MTR-IOS-1893</t>
        </is>
      </c>
      <c r="C1894" t="inlineStr">
        <is>
          <t>iPhone</t>
        </is>
      </c>
      <c r="D1894" t="inlineStr">
        <is>
          <t>Business</t>
        </is>
      </c>
      <c r="E1894" t="inlineStr">
        <is>
          <t>Business</t>
        </is>
      </c>
      <c r="F1894" t="inlineStr">
        <is>
          <t>Team Operations</t>
        </is>
      </c>
      <c r="G1894" t="inlineStr">
        <is>
          <t>Payroll</t>
        </is>
      </c>
      <c r="H1894" t="inlineStr">
        <is>
          <t>Business &gt; Team Operations &gt; Quick Add &gt; Payroll</t>
        </is>
      </c>
      <c r="I1894" s="18" t="n">
        <v>95730.22</v>
      </c>
      <c r="J1894" t="inlineStr">
        <is>
          <t>Created MTR-IOS-1893 and correlation note visible in Activity/Pulse</t>
        </is>
      </c>
      <c r="K1894" t="inlineStr">
        <is>
          <t>NOT_RUN</t>
        </is>
      </c>
      <c r="P1894" t="n">
        <v>0</v>
      </c>
      <c r="Q1894" t="n">
        <v>1893</v>
      </c>
    </row>
    <row r="1895">
      <c r="A1895" t="n">
        <v>1894</v>
      </c>
      <c r="B1895" t="inlineStr">
        <is>
          <t>MTR-IOS-1894</t>
        </is>
      </c>
      <c r="C1895" t="inlineStr">
        <is>
          <t>iPhone</t>
        </is>
      </c>
      <c r="D1895" t="inlineStr">
        <is>
          <t>Personal</t>
        </is>
      </c>
      <c r="E1895" t="inlineStr">
        <is>
          <t>Personal</t>
        </is>
      </c>
      <c r="F1895" t="inlineStr">
        <is>
          <t>Future Building</t>
        </is>
      </c>
      <c r="G1895" t="inlineStr">
        <is>
          <t>Education</t>
        </is>
      </c>
      <c r="H1895" t="inlineStr">
        <is>
          <t>Personal &gt; Future Building &gt; Quick Add &gt; Education</t>
        </is>
      </c>
      <c r="I1895" s="18" t="n">
        <v>3582.85</v>
      </c>
      <c r="J1895" t="inlineStr">
        <is>
          <t>Created MTR-IOS-1894 and correlation note visible in Activity/Pulse</t>
        </is>
      </c>
      <c r="K1895" t="inlineStr">
        <is>
          <t>NOT_RUN</t>
        </is>
      </c>
      <c r="P1895" t="n">
        <v>0</v>
      </c>
      <c r="Q1895" t="n">
        <v>1894</v>
      </c>
    </row>
    <row r="1896">
      <c r="A1896" t="n">
        <v>1895</v>
      </c>
      <c r="B1896" t="inlineStr">
        <is>
          <t>MTR-IOS-1895</t>
        </is>
      </c>
      <c r="C1896" t="inlineStr">
        <is>
          <t>iPhone</t>
        </is>
      </c>
      <c r="D1896" t="inlineStr">
        <is>
          <t>Group</t>
        </is>
      </c>
      <c r="E1896" t="inlineStr">
        <is>
          <t>Shared Living</t>
        </is>
      </c>
      <c r="F1896" t="inlineStr">
        <is>
          <t>Family Household</t>
        </is>
      </c>
      <c r="G1896" t="inlineStr">
        <is>
          <t>Bills</t>
        </is>
      </c>
      <c r="H1896" t="inlineStr">
        <is>
          <t>Group &gt; Family Household &gt; Quick Add &gt; Bills</t>
        </is>
      </c>
      <c r="I1896" s="18" t="n">
        <v>419.43</v>
      </c>
      <c r="J1896" t="inlineStr">
        <is>
          <t>Created MTR-IOS-1895 and correlation note visible in Activity/Pulse</t>
        </is>
      </c>
      <c r="K1896" t="inlineStr">
        <is>
          <t>NOT_RUN</t>
        </is>
      </c>
      <c r="P1896" t="n">
        <v>0</v>
      </c>
      <c r="Q1896" t="n">
        <v>1895</v>
      </c>
    </row>
    <row r="1897">
      <c r="A1897" t="n">
        <v>1896</v>
      </c>
      <c r="B1897" t="inlineStr">
        <is>
          <t>MTR-IOS-1896</t>
        </is>
      </c>
      <c r="C1897" t="inlineStr">
        <is>
          <t>iPhone</t>
        </is>
      </c>
      <c r="D1897" t="inlineStr">
        <is>
          <t>Business</t>
        </is>
      </c>
      <c r="E1897" t="inlineStr">
        <is>
          <t>Business</t>
        </is>
      </c>
      <c r="F1897" t="inlineStr">
        <is>
          <t>Team Operations</t>
        </is>
      </c>
      <c r="G1897" t="inlineStr">
        <is>
          <t>Contractor</t>
        </is>
      </c>
      <c r="H1897" t="inlineStr">
        <is>
          <t>Business &gt; Team Operations &gt; Quick Add &gt; Contractor</t>
        </is>
      </c>
      <c r="I1897" s="18" t="n">
        <v>58783.26</v>
      </c>
      <c r="J1897" t="inlineStr">
        <is>
          <t>Created MTR-IOS-1896 and correlation note visible in Activity/Pulse</t>
        </is>
      </c>
      <c r="K1897" t="inlineStr">
        <is>
          <t>NOT_RUN</t>
        </is>
      </c>
      <c r="P1897" t="n">
        <v>0</v>
      </c>
      <c r="Q1897" t="n">
        <v>1896</v>
      </c>
    </row>
    <row r="1898">
      <c r="A1898" t="n">
        <v>1897</v>
      </c>
      <c r="B1898" t="inlineStr">
        <is>
          <t>MTR-IOS-1897</t>
        </is>
      </c>
      <c r="C1898" t="inlineStr">
        <is>
          <t>iPhone</t>
        </is>
      </c>
      <c r="D1898" t="inlineStr">
        <is>
          <t>Personal</t>
        </is>
      </c>
      <c r="E1898" t="inlineStr">
        <is>
          <t>Personal</t>
        </is>
      </c>
      <c r="F1898" t="inlineStr">
        <is>
          <t>Future Building</t>
        </is>
      </c>
      <c r="G1898" t="inlineStr">
        <is>
          <t>Goal Contribution</t>
        </is>
      </c>
      <c r="H1898" t="inlineStr">
        <is>
          <t>Personal &gt; Future Building &gt; Quick Add &gt; Goal Contribution</t>
        </is>
      </c>
      <c r="I1898" s="18" t="n">
        <v>17381.14</v>
      </c>
      <c r="J1898" t="inlineStr">
        <is>
          <t>Created MTR-IOS-1897 and correlation note visible in Activity/Pulse</t>
        </is>
      </c>
      <c r="K1898" t="inlineStr">
        <is>
          <t>NOT_RUN</t>
        </is>
      </c>
      <c r="P1898" t="n">
        <v>0</v>
      </c>
      <c r="Q1898" t="n">
        <v>1897</v>
      </c>
    </row>
    <row r="1899">
      <c r="A1899" t="n">
        <v>1898</v>
      </c>
      <c r="B1899" t="inlineStr">
        <is>
          <t>MTR-IOS-1898</t>
        </is>
      </c>
      <c r="C1899" t="inlineStr">
        <is>
          <t>iPhone</t>
        </is>
      </c>
      <c r="D1899" t="inlineStr">
        <is>
          <t>Group</t>
        </is>
      </c>
      <c r="E1899" t="inlineStr">
        <is>
          <t>Shared Living</t>
        </is>
      </c>
      <c r="F1899" t="inlineStr">
        <is>
          <t>Family Household</t>
        </is>
      </c>
      <c r="G1899" t="inlineStr">
        <is>
          <t>School</t>
        </is>
      </c>
      <c r="H1899" t="inlineStr">
        <is>
          <t>Group &gt; Family Household &gt; Quick Add &gt; School</t>
        </is>
      </c>
      <c r="I1899" s="18" t="n">
        <v>20212.91</v>
      </c>
      <c r="J1899" t="inlineStr">
        <is>
          <t>Created MTR-IOS-1898 and correlation note visible in Activity/Pulse</t>
        </is>
      </c>
      <c r="K1899" t="inlineStr">
        <is>
          <t>NOT_RUN</t>
        </is>
      </c>
      <c r="P1899" t="n">
        <v>0</v>
      </c>
      <c r="Q1899" t="n">
        <v>1898</v>
      </c>
    </row>
    <row r="1900">
      <c r="A1900" t="n">
        <v>1899</v>
      </c>
      <c r="B1900" t="inlineStr">
        <is>
          <t>MTR-IOS-1899</t>
        </is>
      </c>
      <c r="C1900" t="inlineStr">
        <is>
          <t>iPhone</t>
        </is>
      </c>
      <c r="D1900" t="inlineStr">
        <is>
          <t>Business</t>
        </is>
      </c>
      <c r="E1900" t="inlineStr">
        <is>
          <t>Business</t>
        </is>
      </c>
      <c r="F1900" t="inlineStr">
        <is>
          <t>Team Operations</t>
        </is>
      </c>
      <c r="G1900" t="inlineStr">
        <is>
          <t>Hiring</t>
        </is>
      </c>
      <c r="H1900" t="inlineStr">
        <is>
          <t>Business &gt; Team Operations &gt; Quick Add &gt; Hiring</t>
        </is>
      </c>
      <c r="I1900" s="18" t="n">
        <v>104108.08</v>
      </c>
      <c r="J1900" t="inlineStr">
        <is>
          <t>Created MTR-IOS-1899 and correlation note visible in Activity/Pulse</t>
        </is>
      </c>
      <c r="K1900" t="inlineStr">
        <is>
          <t>NOT_RUN</t>
        </is>
      </c>
      <c r="P1900" t="n">
        <v>0</v>
      </c>
      <c r="Q1900" t="n">
        <v>1899</v>
      </c>
    </row>
    <row r="1901">
      <c r="A1901" t="n">
        <v>1900</v>
      </c>
      <c r="B1901" t="inlineStr">
        <is>
          <t>MTR-IOS-1900</t>
        </is>
      </c>
      <c r="C1901" t="inlineStr">
        <is>
          <t>iPhone</t>
        </is>
      </c>
      <c r="D1901" t="inlineStr">
        <is>
          <t>Personal</t>
        </is>
      </c>
      <c r="E1901" t="inlineStr">
        <is>
          <t>Personal</t>
        </is>
      </c>
      <c r="F1901" t="inlineStr">
        <is>
          <t>Lifestyle</t>
        </is>
      </c>
      <c r="G1901" t="inlineStr">
        <is>
          <t>Dining</t>
        </is>
      </c>
      <c r="H1901" t="inlineStr">
        <is>
          <t>Personal &gt; Lifestyle &gt; Quick Add &gt; Dining</t>
        </is>
      </c>
      <c r="I1901" s="18" t="n">
        <v>6944.64</v>
      </c>
      <c r="J1901" t="inlineStr">
        <is>
          <t>Created MTR-IOS-1900 and correlation note visible in Activity/Pulse</t>
        </is>
      </c>
      <c r="K1901" t="inlineStr">
        <is>
          <t>NOT_RUN</t>
        </is>
      </c>
      <c r="P1901" t="n">
        <v>0</v>
      </c>
      <c r="Q1901" t="n">
        <v>1900</v>
      </c>
    </row>
    <row r="1902">
      <c r="A1902" t="n">
        <v>1901</v>
      </c>
      <c r="B1902" t="inlineStr">
        <is>
          <t>MTR-IOS-1901</t>
        </is>
      </c>
      <c r="C1902" t="inlineStr">
        <is>
          <t>iPhone</t>
        </is>
      </c>
      <c r="D1902" t="inlineStr">
        <is>
          <t>Group</t>
        </is>
      </c>
      <c r="E1902" t="inlineStr">
        <is>
          <t>Shared Living</t>
        </is>
      </c>
      <c r="F1902" t="inlineStr">
        <is>
          <t>Family Household</t>
        </is>
      </c>
      <c r="G1902" t="inlineStr">
        <is>
          <t>Healthcare</t>
        </is>
      </c>
      <c r="H1902" t="inlineStr">
        <is>
          <t>Group &gt; Family Household &gt; Quick Add &gt; Healthcare</t>
        </is>
      </c>
      <c r="I1902" s="18" t="n">
        <v>1085.07</v>
      </c>
      <c r="J1902" t="inlineStr">
        <is>
          <t>Created MTR-IOS-1901 and correlation note visible in Activity/Pulse</t>
        </is>
      </c>
      <c r="K1902" t="inlineStr">
        <is>
          <t>NOT_RUN</t>
        </is>
      </c>
      <c r="P1902" t="n">
        <v>0</v>
      </c>
      <c r="Q1902" t="n">
        <v>1901</v>
      </c>
    </row>
    <row r="1903">
      <c r="A1903" t="n">
        <v>1902</v>
      </c>
      <c r="B1903" t="inlineStr">
        <is>
          <t>MTR-IOS-1902</t>
        </is>
      </c>
      <c r="C1903" t="inlineStr">
        <is>
          <t>iPhone</t>
        </is>
      </c>
      <c r="D1903" t="inlineStr">
        <is>
          <t>Business</t>
        </is>
      </c>
      <c r="E1903" t="inlineStr">
        <is>
          <t>Business</t>
        </is>
      </c>
      <c r="F1903" t="inlineStr">
        <is>
          <t>Team Operations</t>
        </is>
      </c>
      <c r="G1903" t="inlineStr">
        <is>
          <t>Team Meal</t>
        </is>
      </c>
      <c r="H1903" t="inlineStr">
        <is>
          <t>Business &gt; Team Operations &gt; Quick Add &gt; Team Meal</t>
        </is>
      </c>
      <c r="I1903" s="18" t="n">
        <v>138850.47</v>
      </c>
      <c r="J1903" t="inlineStr">
        <is>
          <t>Created MTR-IOS-1902 and correlation note visible in Activity/Pulse</t>
        </is>
      </c>
      <c r="K1903" t="inlineStr">
        <is>
          <t>NOT_RUN</t>
        </is>
      </c>
      <c r="P1903" t="n">
        <v>0</v>
      </c>
      <c r="Q1903" t="n">
        <v>1902</v>
      </c>
    </row>
    <row r="1904">
      <c r="A1904" t="n">
        <v>1903</v>
      </c>
      <c r="B1904" t="inlineStr">
        <is>
          <t>MTR-IOS-1903</t>
        </is>
      </c>
      <c r="C1904" t="inlineStr">
        <is>
          <t>iPhone</t>
        </is>
      </c>
      <c r="D1904" t="inlineStr">
        <is>
          <t>Personal</t>
        </is>
      </c>
      <c r="E1904" t="inlineStr">
        <is>
          <t>Personal</t>
        </is>
      </c>
      <c r="F1904" t="inlineStr">
        <is>
          <t>Lifestyle</t>
        </is>
      </c>
      <c r="G1904" t="inlineStr">
        <is>
          <t>Shopping</t>
        </is>
      </c>
      <c r="H1904" t="inlineStr">
        <is>
          <t>Personal &gt; Lifestyle &gt; Quick Add &gt; Shopping</t>
        </is>
      </c>
      <c r="I1904" s="18" t="n">
        <v>9122.700000000001</v>
      </c>
      <c r="J1904" t="inlineStr">
        <is>
          <t>Created MTR-IOS-1903 and correlation note visible in Activity/Pulse</t>
        </is>
      </c>
      <c r="K1904" t="inlineStr">
        <is>
          <t>NOT_RUN</t>
        </is>
      </c>
      <c r="P1904" t="n">
        <v>0</v>
      </c>
      <c r="Q1904" t="n">
        <v>1903</v>
      </c>
    </row>
    <row r="1905">
      <c r="A1905" t="n">
        <v>1904</v>
      </c>
      <c r="B1905" t="inlineStr">
        <is>
          <t>MTR-IOS-1904</t>
        </is>
      </c>
      <c r="C1905" t="inlineStr">
        <is>
          <t>iPhone</t>
        </is>
      </c>
      <c r="D1905" t="inlineStr">
        <is>
          <t>Group</t>
        </is>
      </c>
      <c r="E1905" t="inlineStr">
        <is>
          <t>Shared Living</t>
        </is>
      </c>
      <c r="F1905" t="inlineStr">
        <is>
          <t>Family Household</t>
        </is>
      </c>
      <c r="G1905" t="inlineStr">
        <is>
          <t>Home</t>
        </is>
      </c>
      <c r="H1905" t="inlineStr">
        <is>
          <t>Group &gt; Family Household &gt; Quick Add &gt; Home</t>
        </is>
      </c>
      <c r="I1905" s="18" t="n">
        <v>23586.14</v>
      </c>
      <c r="J1905" t="inlineStr">
        <is>
          <t>Created MTR-IOS-1904 and correlation note visible in Activity/Pulse</t>
        </is>
      </c>
      <c r="K1905" t="inlineStr">
        <is>
          <t>NOT_RUN</t>
        </is>
      </c>
      <c r="P1905" t="n">
        <v>0</v>
      </c>
      <c r="Q1905" t="n">
        <v>1904</v>
      </c>
    </row>
    <row r="1906">
      <c r="A1906" t="n">
        <v>1905</v>
      </c>
      <c r="B1906" t="inlineStr">
        <is>
          <t>MTR-IOS-1905</t>
        </is>
      </c>
      <c r="C1906" t="inlineStr">
        <is>
          <t>iPhone</t>
        </is>
      </c>
      <c r="D1906" t="inlineStr">
        <is>
          <t>Business</t>
        </is>
      </c>
      <c r="E1906" t="inlineStr">
        <is>
          <t>Business</t>
        </is>
      </c>
      <c r="F1906" t="inlineStr">
        <is>
          <t>Team Operations</t>
        </is>
      </c>
      <c r="G1906" t="inlineStr">
        <is>
          <t>Travel</t>
        </is>
      </c>
      <c r="H1906" t="inlineStr">
        <is>
          <t>Business &gt; Team Operations &gt; Quick Add &gt; Travel</t>
        </is>
      </c>
      <c r="I1906" s="18" t="n">
        <v>179.29</v>
      </c>
      <c r="J1906" t="inlineStr">
        <is>
          <t>Created MTR-IOS-1905 and correlation note visible in Activity/Pulse</t>
        </is>
      </c>
      <c r="K1906" t="inlineStr">
        <is>
          <t>NOT_RUN</t>
        </is>
      </c>
      <c r="P1906" t="n">
        <v>0</v>
      </c>
      <c r="Q1906" t="n">
        <v>1905</v>
      </c>
    </row>
    <row r="1907">
      <c r="A1907" t="n">
        <v>1906</v>
      </c>
      <c r="B1907" t="inlineStr">
        <is>
          <t>MTR-IOS-1906</t>
        </is>
      </c>
      <c r="C1907" t="inlineStr">
        <is>
          <t>iPhone</t>
        </is>
      </c>
      <c r="D1907" t="inlineStr">
        <is>
          <t>Personal</t>
        </is>
      </c>
      <c r="E1907" t="inlineStr">
        <is>
          <t>Personal</t>
        </is>
      </c>
      <c r="F1907" t="inlineStr">
        <is>
          <t>Lifestyle</t>
        </is>
      </c>
      <c r="G1907" t="inlineStr">
        <is>
          <t>Entertainment</t>
        </is>
      </c>
      <c r="H1907" t="inlineStr">
        <is>
          <t>Personal &gt; Lifestyle &gt; Quick Add &gt; Entertainment</t>
        </is>
      </c>
      <c r="I1907" s="18" t="n">
        <v>1509.76</v>
      </c>
      <c r="J1907" t="inlineStr">
        <is>
          <t>Created MTR-IOS-1906 and correlation note visible in Activity/Pulse</t>
        </is>
      </c>
      <c r="K1907" t="inlineStr">
        <is>
          <t>NOT_RUN</t>
        </is>
      </c>
      <c r="P1907" t="n">
        <v>0</v>
      </c>
      <c r="Q1907" t="n">
        <v>1906</v>
      </c>
    </row>
    <row r="1908">
      <c r="A1908" t="n">
        <v>1907</v>
      </c>
      <c r="B1908" t="inlineStr">
        <is>
          <t>MTR-IOS-1907</t>
        </is>
      </c>
      <c r="C1908" t="inlineStr">
        <is>
          <t>iPhone</t>
        </is>
      </c>
      <c r="D1908" t="inlineStr">
        <is>
          <t>Group</t>
        </is>
      </c>
      <c r="E1908" t="inlineStr">
        <is>
          <t>Shared Living</t>
        </is>
      </c>
      <c r="F1908" t="inlineStr">
        <is>
          <t>Family Household</t>
        </is>
      </c>
      <c r="G1908" t="inlineStr">
        <is>
          <t>Other</t>
        </is>
      </c>
      <c r="H1908" t="inlineStr">
        <is>
          <t>Group &gt; Family Household &gt; Quick Add &gt; Other</t>
        </is>
      </c>
      <c r="I1908" s="18" t="n">
        <v>7215.22</v>
      </c>
      <c r="J1908" t="inlineStr">
        <is>
          <t>Created MTR-IOS-1907 and correlation note visible in Activity/Pulse</t>
        </is>
      </c>
      <c r="K1908" t="inlineStr">
        <is>
          <t>NOT_RUN</t>
        </is>
      </c>
      <c r="P1908" t="n">
        <v>0</v>
      </c>
      <c r="Q1908" t="n">
        <v>1907</v>
      </c>
    </row>
    <row r="1909">
      <c r="A1909" t="n">
        <v>1908</v>
      </c>
      <c r="B1909" t="inlineStr">
        <is>
          <t>MTR-IOS-1908</t>
        </is>
      </c>
      <c r="C1909" t="inlineStr">
        <is>
          <t>iPhone</t>
        </is>
      </c>
      <c r="D1909" t="inlineStr">
        <is>
          <t>Business</t>
        </is>
      </c>
      <c r="E1909" t="inlineStr">
        <is>
          <t>Business</t>
        </is>
      </c>
      <c r="F1909" t="inlineStr">
        <is>
          <t>Team Operations</t>
        </is>
      </c>
      <c r="G1909" t="inlineStr">
        <is>
          <t>Training</t>
        </is>
      </c>
      <c r="H1909" t="inlineStr">
        <is>
          <t>Business &gt; Team Operations &gt; Quick Add &gt; Training</t>
        </is>
      </c>
      <c r="I1909" s="18" t="n">
        <v>54809.42</v>
      </c>
      <c r="J1909" t="inlineStr">
        <is>
          <t>Created MTR-IOS-1908 and correlation note visible in Activity/Pulse</t>
        </is>
      </c>
      <c r="K1909" t="inlineStr">
        <is>
          <t>NOT_RUN</t>
        </is>
      </c>
      <c r="P1909" t="n">
        <v>0</v>
      </c>
      <c r="Q1909" t="n">
        <v>1908</v>
      </c>
    </row>
    <row r="1910">
      <c r="A1910" t="n">
        <v>1909</v>
      </c>
      <c r="B1910" t="inlineStr">
        <is>
          <t>MTR-IOS-1909</t>
        </is>
      </c>
      <c r="C1910" t="inlineStr">
        <is>
          <t>iPhone</t>
        </is>
      </c>
      <c r="D1910" t="inlineStr">
        <is>
          <t>Personal</t>
        </is>
      </c>
      <c r="E1910" t="inlineStr">
        <is>
          <t>Personal</t>
        </is>
      </c>
      <c r="F1910" t="inlineStr">
        <is>
          <t>Lifestyle</t>
        </is>
      </c>
      <c r="G1910" t="inlineStr">
        <is>
          <t>Travel</t>
        </is>
      </c>
      <c r="H1910" t="inlineStr">
        <is>
          <t>Personal &gt; Lifestyle &gt; Quick Add &gt; Travel</t>
        </is>
      </c>
      <c r="I1910" s="18" t="n">
        <v>6430.31</v>
      </c>
      <c r="J1910" t="inlineStr">
        <is>
          <t>Created MTR-IOS-1909 and correlation note visible in Activity/Pulse</t>
        </is>
      </c>
      <c r="K1910" t="inlineStr">
        <is>
          <t>NOT_RUN</t>
        </is>
      </c>
      <c r="P1910" t="n">
        <v>0</v>
      </c>
      <c r="Q1910" t="n">
        <v>1909</v>
      </c>
    </row>
    <row r="1911">
      <c r="A1911" t="n">
        <v>1910</v>
      </c>
      <c r="B1911" t="inlineStr">
        <is>
          <t>MTR-IOS-1910</t>
        </is>
      </c>
      <c r="C1911" t="inlineStr">
        <is>
          <t>iPhone</t>
        </is>
      </c>
      <c r="D1911" t="inlineStr">
        <is>
          <t>Group</t>
        </is>
      </c>
      <c r="E1911" t="inlineStr">
        <is>
          <t>Shared Living</t>
        </is>
      </c>
      <c r="F1911" t="inlineStr">
        <is>
          <t>Custom Living</t>
        </is>
      </c>
      <c r="G1911" t="inlineStr">
        <is>
          <t>Custom Expense</t>
        </is>
      </c>
      <c r="H1911" t="inlineStr">
        <is>
          <t>Group &gt; Custom Living &gt; Quick Add &gt; Custom Expense</t>
        </is>
      </c>
      <c r="I1911" s="18" t="n">
        <v>3571.88</v>
      </c>
      <c r="J1911" t="inlineStr">
        <is>
          <t>Created MTR-IOS-1910 and correlation note visible in Activity/Pulse</t>
        </is>
      </c>
      <c r="K1911" t="inlineStr">
        <is>
          <t>NOT_RUN</t>
        </is>
      </c>
      <c r="P1911" t="n">
        <v>0</v>
      </c>
      <c r="Q1911" t="n">
        <v>1910</v>
      </c>
    </row>
    <row r="1912">
      <c r="A1912" t="n">
        <v>1911</v>
      </c>
      <c r="B1912" t="inlineStr">
        <is>
          <t>MTR-IOS-1911</t>
        </is>
      </c>
      <c r="C1912" t="inlineStr">
        <is>
          <t>iPhone</t>
        </is>
      </c>
      <c r="D1912" t="inlineStr">
        <is>
          <t>Business</t>
        </is>
      </c>
      <c r="E1912" t="inlineStr">
        <is>
          <t>Business</t>
        </is>
      </c>
      <c r="F1912" t="inlineStr">
        <is>
          <t>Team Operations</t>
        </is>
      </c>
      <c r="G1912" t="inlineStr">
        <is>
          <t>Tools</t>
        </is>
      </c>
      <c r="H1912" t="inlineStr">
        <is>
          <t>Business &gt; Team Operations &gt; Quick Add &gt; Tools</t>
        </is>
      </c>
      <c r="I1912" s="18" t="n">
        <v>15895.28</v>
      </c>
      <c r="J1912" t="inlineStr">
        <is>
          <t>Created MTR-IOS-1911 and correlation note visible in Activity/Pulse</t>
        </is>
      </c>
      <c r="K1912" t="inlineStr">
        <is>
          <t>NOT_RUN</t>
        </is>
      </c>
      <c r="P1912" t="n">
        <v>0</v>
      </c>
      <c r="Q1912" t="n">
        <v>1911</v>
      </c>
    </row>
    <row r="1913">
      <c r="A1913" t="n">
        <v>1912</v>
      </c>
      <c r="B1913" t="inlineStr">
        <is>
          <t>MTR-IOS-1912</t>
        </is>
      </c>
      <c r="C1913" t="inlineStr">
        <is>
          <t>iPhone</t>
        </is>
      </c>
      <c r="D1913" t="inlineStr">
        <is>
          <t>Personal</t>
        </is>
      </c>
      <c r="E1913" t="inlineStr">
        <is>
          <t>Personal</t>
        </is>
      </c>
      <c r="F1913" t="inlineStr">
        <is>
          <t>Lifestyle</t>
        </is>
      </c>
      <c r="G1913" t="inlineStr">
        <is>
          <t>Fitness</t>
        </is>
      </c>
      <c r="H1913" t="inlineStr">
        <is>
          <t>Personal &gt; Lifestyle &gt; Quick Add &gt; Fitness</t>
        </is>
      </c>
      <c r="I1913" s="18" t="n">
        <v>121.26</v>
      </c>
      <c r="J1913" t="inlineStr">
        <is>
          <t>Created MTR-IOS-1912 and correlation note visible in Activity/Pulse</t>
        </is>
      </c>
      <c r="K1913" t="inlineStr">
        <is>
          <t>NOT_RUN</t>
        </is>
      </c>
      <c r="P1913" t="n">
        <v>0</v>
      </c>
      <c r="Q1913" t="n">
        <v>1912</v>
      </c>
    </row>
    <row r="1914">
      <c r="A1914" t="n">
        <v>1913</v>
      </c>
      <c r="B1914" t="inlineStr">
        <is>
          <t>MTR-IOS-1913</t>
        </is>
      </c>
      <c r="C1914" t="inlineStr">
        <is>
          <t>iPhone</t>
        </is>
      </c>
      <c r="D1914" t="inlineStr">
        <is>
          <t>Group</t>
        </is>
      </c>
      <c r="E1914" t="inlineStr">
        <is>
          <t>Shared Living</t>
        </is>
      </c>
      <c r="F1914" t="inlineStr">
        <is>
          <t>Custom Living</t>
        </is>
      </c>
      <c r="G1914" t="inlineStr">
        <is>
          <t>Custom Contribution</t>
        </is>
      </c>
      <c r="H1914" t="inlineStr">
        <is>
          <t>Group &gt; Custom Living &gt; Quick Add &gt; Custom Contribution</t>
        </is>
      </c>
      <c r="I1914" s="18" t="n">
        <v>19224.8</v>
      </c>
      <c r="J1914" t="inlineStr">
        <is>
          <t>Created MTR-IOS-1913 and correlation note visible in Activity/Pulse</t>
        </is>
      </c>
      <c r="K1914" t="inlineStr">
        <is>
          <t>NOT_RUN</t>
        </is>
      </c>
      <c r="P1914" t="n">
        <v>0</v>
      </c>
      <c r="Q1914" t="n">
        <v>1913</v>
      </c>
    </row>
    <row r="1915">
      <c r="A1915" t="n">
        <v>1914</v>
      </c>
      <c r="B1915" t="inlineStr">
        <is>
          <t>MTR-IOS-1914</t>
        </is>
      </c>
      <c r="C1915" t="inlineStr">
        <is>
          <t>iPhone</t>
        </is>
      </c>
      <c r="D1915" t="inlineStr">
        <is>
          <t>Business</t>
        </is>
      </c>
      <c r="E1915" t="inlineStr">
        <is>
          <t>Business</t>
        </is>
      </c>
      <c r="F1915" t="inlineStr">
        <is>
          <t>Business Runway</t>
        </is>
      </c>
      <c r="G1915" t="inlineStr">
        <is>
          <t>Funding</t>
        </is>
      </c>
      <c r="H1915" t="inlineStr">
        <is>
          <t>Business &gt; Business Runway &gt; Quick Add &gt; Funding</t>
        </is>
      </c>
      <c r="I1915" s="18" t="n">
        <v>84268.11</v>
      </c>
      <c r="J1915" t="inlineStr">
        <is>
          <t>Created MTR-IOS-1914 and correlation note visible in Activity/Pulse</t>
        </is>
      </c>
      <c r="K1915" t="inlineStr">
        <is>
          <t>NOT_RUN</t>
        </is>
      </c>
      <c r="P1915" t="n">
        <v>0</v>
      </c>
      <c r="Q1915" t="n">
        <v>1914</v>
      </c>
    </row>
    <row r="1916">
      <c r="A1916" t="n">
        <v>1915</v>
      </c>
      <c r="B1916" t="inlineStr">
        <is>
          <t>MTR-IOS-1915</t>
        </is>
      </c>
      <c r="C1916" t="inlineStr">
        <is>
          <t>iPhone</t>
        </is>
      </c>
      <c r="D1916" t="inlineStr">
        <is>
          <t>Personal</t>
        </is>
      </c>
      <c r="E1916" t="inlineStr">
        <is>
          <t>Personal</t>
        </is>
      </c>
      <c r="F1916" t="inlineStr">
        <is>
          <t>Lifestyle</t>
        </is>
      </c>
      <c r="G1916" t="inlineStr">
        <is>
          <t>Hobbies</t>
        </is>
      </c>
      <c r="H1916" t="inlineStr">
        <is>
          <t>Personal &gt; Lifestyle &gt; Quick Add &gt; Hobbies</t>
        </is>
      </c>
      <c r="I1916" s="18" t="n">
        <v>10705.2</v>
      </c>
      <c r="J1916" t="inlineStr">
        <is>
          <t>Created MTR-IOS-1915 and correlation note visible in Activity/Pulse</t>
        </is>
      </c>
      <c r="K1916" t="inlineStr">
        <is>
          <t>NOT_RUN</t>
        </is>
      </c>
      <c r="P1916" t="n">
        <v>0</v>
      </c>
      <c r="Q1916" t="n">
        <v>1915</v>
      </c>
    </row>
    <row r="1917">
      <c r="A1917" t="n">
        <v>1916</v>
      </c>
      <c r="B1917" t="inlineStr">
        <is>
          <t>MTR-IOS-1916</t>
        </is>
      </c>
      <c r="C1917" t="inlineStr">
        <is>
          <t>iPhone</t>
        </is>
      </c>
      <c r="D1917" t="inlineStr">
        <is>
          <t>Group</t>
        </is>
      </c>
      <c r="E1917" t="inlineStr">
        <is>
          <t>Shared Experience</t>
        </is>
      </c>
      <c r="F1917" t="inlineStr">
        <is>
          <t>Trip</t>
        </is>
      </c>
      <c r="G1917" t="inlineStr">
        <is>
          <t>Travel</t>
        </is>
      </c>
      <c r="H1917" t="inlineStr">
        <is>
          <t>Group &gt; Trip &gt; Quick Add &gt; Travel</t>
        </is>
      </c>
      <c r="I1917" s="18" t="n">
        <v>12105.77</v>
      </c>
      <c r="J1917" t="inlineStr">
        <is>
          <t>Created MTR-IOS-1916 and correlation note visible in Activity/Pulse</t>
        </is>
      </c>
      <c r="K1917" t="inlineStr">
        <is>
          <t>NOT_RUN</t>
        </is>
      </c>
      <c r="P1917" t="n">
        <v>0</v>
      </c>
      <c r="Q1917" t="n">
        <v>1916</v>
      </c>
    </row>
    <row r="1918">
      <c r="A1918" t="n">
        <v>1917</v>
      </c>
      <c r="B1918" t="inlineStr">
        <is>
          <t>MTR-IOS-1917</t>
        </is>
      </c>
      <c r="C1918" t="inlineStr">
        <is>
          <t>iPhone</t>
        </is>
      </c>
      <c r="D1918" t="inlineStr">
        <is>
          <t>Business</t>
        </is>
      </c>
      <c r="E1918" t="inlineStr">
        <is>
          <t>Business</t>
        </is>
      </c>
      <c r="F1918" t="inlineStr">
        <is>
          <t>Business Runway</t>
        </is>
      </c>
      <c r="G1918" t="inlineStr">
        <is>
          <t>Revenue</t>
        </is>
      </c>
      <c r="H1918" t="inlineStr">
        <is>
          <t>Business &gt; Business Runway &gt; Quick Add &gt; Revenue</t>
        </is>
      </c>
      <c r="I1918" s="18" t="n">
        <v>133608.73</v>
      </c>
      <c r="J1918" t="inlineStr">
        <is>
          <t>Created MTR-IOS-1917 and correlation note visible in Activity/Pulse</t>
        </is>
      </c>
      <c r="K1918" t="inlineStr">
        <is>
          <t>NOT_RUN</t>
        </is>
      </c>
      <c r="P1918" t="n">
        <v>0</v>
      </c>
      <c r="Q1918" t="n">
        <v>1917</v>
      </c>
    </row>
    <row r="1919">
      <c r="A1919" t="n">
        <v>1918</v>
      </c>
      <c r="B1919" t="inlineStr">
        <is>
          <t>MTR-IOS-1918</t>
        </is>
      </c>
      <c r="C1919" t="inlineStr">
        <is>
          <t>iPhone</t>
        </is>
      </c>
      <c r="D1919" t="inlineStr">
        <is>
          <t>Personal</t>
        </is>
      </c>
      <c r="E1919" t="inlineStr">
        <is>
          <t>Personal</t>
        </is>
      </c>
      <c r="F1919" t="inlineStr">
        <is>
          <t>Relationships</t>
        </is>
      </c>
      <c r="G1919" t="inlineStr">
        <is>
          <t>Gifts</t>
        </is>
      </c>
      <c r="H1919" t="inlineStr">
        <is>
          <t>Personal &gt; Relationships &gt; Quick Add &gt; Gifts</t>
        </is>
      </c>
      <c r="I1919" s="18" t="n">
        <v>9794.559999999999</v>
      </c>
      <c r="J1919" t="inlineStr">
        <is>
          <t>Created MTR-IOS-1918 and correlation note visible in Activity/Pulse</t>
        </is>
      </c>
      <c r="K1919" t="inlineStr">
        <is>
          <t>NOT_RUN</t>
        </is>
      </c>
      <c r="P1919" t="n">
        <v>0</v>
      </c>
      <c r="Q1919" t="n">
        <v>1918</v>
      </c>
    </row>
    <row r="1920">
      <c r="A1920" t="n">
        <v>1919</v>
      </c>
      <c r="B1920" t="inlineStr">
        <is>
          <t>MTR-IOS-1919</t>
        </is>
      </c>
      <c r="C1920" t="inlineStr">
        <is>
          <t>iPhone</t>
        </is>
      </c>
      <c r="D1920" t="inlineStr">
        <is>
          <t>Group</t>
        </is>
      </c>
      <c r="E1920" t="inlineStr">
        <is>
          <t>Shared Experience</t>
        </is>
      </c>
      <c r="F1920" t="inlineStr">
        <is>
          <t>Trip</t>
        </is>
      </c>
      <c r="G1920" t="inlineStr">
        <is>
          <t>Stay</t>
        </is>
      </c>
      <c r="H1920" t="inlineStr">
        <is>
          <t>Group &gt; Trip &gt; Quick Add &gt; Stay</t>
        </is>
      </c>
      <c r="I1920" s="18" t="n">
        <v>17476.5</v>
      </c>
      <c r="J1920" t="inlineStr">
        <is>
          <t>Created MTR-IOS-1919 and correlation note visible in Activity/Pulse</t>
        </is>
      </c>
      <c r="K1920" t="inlineStr">
        <is>
          <t>NOT_RUN</t>
        </is>
      </c>
      <c r="P1920" t="n">
        <v>0</v>
      </c>
      <c r="Q1920" t="n">
        <v>1919</v>
      </c>
    </row>
    <row r="1921">
      <c r="A1921" t="n">
        <v>1920</v>
      </c>
      <c r="B1921" t="inlineStr">
        <is>
          <t>MTR-IOS-1920</t>
        </is>
      </c>
      <c r="C1921" t="inlineStr">
        <is>
          <t>iPhone</t>
        </is>
      </c>
      <c r="D1921" t="inlineStr">
        <is>
          <t>Business</t>
        </is>
      </c>
      <c r="E1921" t="inlineStr">
        <is>
          <t>Business</t>
        </is>
      </c>
      <c r="F1921" t="inlineStr">
        <is>
          <t>Business Runway</t>
        </is>
      </c>
      <c r="G1921" t="inlineStr">
        <is>
          <t>Burn</t>
        </is>
      </c>
      <c r="H1921" t="inlineStr">
        <is>
          <t>Business &gt; Business Runway &gt; Quick Add &gt; Burn</t>
        </is>
      </c>
      <c r="I1921" s="18" t="n">
        <v>71900.56</v>
      </c>
      <c r="J1921" t="inlineStr">
        <is>
          <t>Created MTR-IOS-1920 and correlation note visible in Activity/Pulse</t>
        </is>
      </c>
      <c r="K1921" t="inlineStr">
        <is>
          <t>NOT_RUN</t>
        </is>
      </c>
      <c r="P1921" t="n">
        <v>0</v>
      </c>
      <c r="Q1921" t="n">
        <v>1920</v>
      </c>
    </row>
    <row r="1922">
      <c r="A1922" t="n">
        <v>1921</v>
      </c>
      <c r="B1922" t="inlineStr">
        <is>
          <t>MTR-IOS-1921</t>
        </is>
      </c>
      <c r="C1922" t="inlineStr">
        <is>
          <t>iPhone</t>
        </is>
      </c>
      <c r="D1922" t="inlineStr">
        <is>
          <t>Personal</t>
        </is>
      </c>
      <c r="E1922" t="inlineStr">
        <is>
          <t>Personal</t>
        </is>
      </c>
      <c r="F1922" t="inlineStr">
        <is>
          <t>Relationships</t>
        </is>
      </c>
      <c r="G1922" t="inlineStr">
        <is>
          <t>Dates</t>
        </is>
      </c>
      <c r="H1922" t="inlineStr">
        <is>
          <t>Personal &gt; Relationships &gt; Quick Add &gt; Dates</t>
        </is>
      </c>
      <c r="I1922" s="18" t="n">
        <v>8605.549999999999</v>
      </c>
      <c r="J1922" t="inlineStr">
        <is>
          <t>Created MTR-IOS-1921 and correlation note visible in Activity/Pulse</t>
        </is>
      </c>
      <c r="K1922" t="inlineStr">
        <is>
          <t>NOT_RUN</t>
        </is>
      </c>
      <c r="P1922" t="n">
        <v>0</v>
      </c>
      <c r="Q1922" t="n">
        <v>1921</v>
      </c>
    </row>
    <row r="1923">
      <c r="A1923" t="n">
        <v>1922</v>
      </c>
      <c r="B1923" t="inlineStr">
        <is>
          <t>MTR-IOS-1922</t>
        </is>
      </c>
      <c r="C1923" t="inlineStr">
        <is>
          <t>iPhone</t>
        </is>
      </c>
      <c r="D1923" t="inlineStr">
        <is>
          <t>Group</t>
        </is>
      </c>
      <c r="E1923" t="inlineStr">
        <is>
          <t>Shared Experience</t>
        </is>
      </c>
      <c r="F1923" t="inlineStr">
        <is>
          <t>Trip</t>
        </is>
      </c>
      <c r="G1923" t="inlineStr">
        <is>
          <t>Food</t>
        </is>
      </c>
      <c r="H1923" t="inlineStr">
        <is>
          <t>Group &gt; Trip &gt; Quick Add &gt; Food</t>
        </is>
      </c>
      <c r="I1923" s="18" t="n">
        <v>17854.37</v>
      </c>
      <c r="J1923" t="inlineStr">
        <is>
          <t>Created MTR-IOS-1922 and correlation note visible in Activity/Pulse</t>
        </is>
      </c>
      <c r="K1923" t="inlineStr">
        <is>
          <t>NOT_RUN</t>
        </is>
      </c>
      <c r="P1923" t="n">
        <v>0</v>
      </c>
      <c r="Q1923" t="n">
        <v>1922</v>
      </c>
    </row>
    <row r="1924">
      <c r="A1924" t="n">
        <v>1923</v>
      </c>
      <c r="B1924" t="inlineStr">
        <is>
          <t>MTR-IOS-1923</t>
        </is>
      </c>
      <c r="C1924" t="inlineStr">
        <is>
          <t>iPhone</t>
        </is>
      </c>
      <c r="D1924" t="inlineStr">
        <is>
          <t>Business</t>
        </is>
      </c>
      <c r="E1924" t="inlineStr">
        <is>
          <t>Business</t>
        </is>
      </c>
      <c r="F1924" t="inlineStr">
        <is>
          <t>Business Runway</t>
        </is>
      </c>
      <c r="G1924" t="inlineStr">
        <is>
          <t>Reserve</t>
        </is>
      </c>
      <c r="H1924" t="inlineStr">
        <is>
          <t>Business &gt; Business Runway &gt; Quick Add &gt; Reserve</t>
        </is>
      </c>
      <c r="I1924" s="18" t="n">
        <v>97510.53999999999</v>
      </c>
      <c r="J1924" t="inlineStr">
        <is>
          <t>Created MTR-IOS-1923 and correlation note visible in Activity/Pulse</t>
        </is>
      </c>
      <c r="K1924" t="inlineStr">
        <is>
          <t>NOT_RUN</t>
        </is>
      </c>
      <c r="P1924" t="n">
        <v>0</v>
      </c>
      <c r="Q1924" t="n">
        <v>1923</v>
      </c>
    </row>
    <row r="1925">
      <c r="A1925" t="n">
        <v>1924</v>
      </c>
      <c r="B1925" t="inlineStr">
        <is>
          <t>MTR-IOS-1924</t>
        </is>
      </c>
      <c r="C1925" t="inlineStr">
        <is>
          <t>iPhone</t>
        </is>
      </c>
      <c r="D1925" t="inlineStr">
        <is>
          <t>Personal</t>
        </is>
      </c>
      <c r="E1925" t="inlineStr">
        <is>
          <t>Personal</t>
        </is>
      </c>
      <c r="F1925" t="inlineStr">
        <is>
          <t>Relationships</t>
        </is>
      </c>
      <c r="G1925" t="inlineStr">
        <is>
          <t>Family</t>
        </is>
      </c>
      <c r="H1925" t="inlineStr">
        <is>
          <t>Personal &gt; Relationships &gt; Quick Add &gt; Family</t>
        </is>
      </c>
      <c r="I1925" s="18" t="n">
        <v>999.99</v>
      </c>
      <c r="J1925" t="inlineStr">
        <is>
          <t>Created MTR-IOS-1924 and correlation note visible in Activity/Pulse</t>
        </is>
      </c>
      <c r="K1925" t="inlineStr">
        <is>
          <t>NOT_RUN</t>
        </is>
      </c>
      <c r="P1925" t="n">
        <v>0</v>
      </c>
      <c r="Q1925" t="n">
        <v>1924</v>
      </c>
    </row>
    <row r="1926">
      <c r="A1926" t="n">
        <v>1925</v>
      </c>
      <c r="B1926" t="inlineStr">
        <is>
          <t>MTR-IOS-1925</t>
        </is>
      </c>
      <c r="C1926" t="inlineStr">
        <is>
          <t>iPhone</t>
        </is>
      </c>
      <c r="D1926" t="inlineStr">
        <is>
          <t>Group</t>
        </is>
      </c>
      <c r="E1926" t="inlineStr">
        <is>
          <t>Shared Experience</t>
        </is>
      </c>
      <c r="F1926" t="inlineStr">
        <is>
          <t>Trip</t>
        </is>
      </c>
      <c r="G1926" t="inlineStr">
        <is>
          <t>Local Transport</t>
        </is>
      </c>
      <c r="H1926" t="inlineStr">
        <is>
          <t>Group &gt; Trip &gt; Quick Add &gt; Local Transport</t>
        </is>
      </c>
      <c r="I1926" s="18" t="n">
        <v>12090.89</v>
      </c>
      <c r="J1926" t="inlineStr">
        <is>
          <t>Created MTR-IOS-1925 and correlation note visible in Activity/Pulse</t>
        </is>
      </c>
      <c r="K1926" t="inlineStr">
        <is>
          <t>NOT_RUN</t>
        </is>
      </c>
      <c r="P1926" t="n">
        <v>0</v>
      </c>
      <c r="Q1926" t="n">
        <v>1925</v>
      </c>
    </row>
    <row r="1927">
      <c r="A1927" t="n">
        <v>1926</v>
      </c>
      <c r="B1927" t="inlineStr">
        <is>
          <t>MTR-IOS-1926</t>
        </is>
      </c>
      <c r="C1927" t="inlineStr">
        <is>
          <t>iPhone</t>
        </is>
      </c>
      <c r="D1927" t="inlineStr">
        <is>
          <t>Business</t>
        </is>
      </c>
      <c r="E1927" t="inlineStr">
        <is>
          <t>Business</t>
        </is>
      </c>
      <c r="F1927" t="inlineStr">
        <is>
          <t>Business Runway</t>
        </is>
      </c>
      <c r="G1927" t="inlineStr">
        <is>
          <t>Loan</t>
        </is>
      </c>
      <c r="H1927" t="inlineStr">
        <is>
          <t>Business &gt; Business Runway &gt; Quick Add &gt; Loan</t>
        </is>
      </c>
      <c r="I1927" s="18" t="n">
        <v>124951.66</v>
      </c>
      <c r="J1927" t="inlineStr">
        <is>
          <t>Created MTR-IOS-1926 and correlation note visible in Activity/Pulse</t>
        </is>
      </c>
      <c r="K1927" t="inlineStr">
        <is>
          <t>NOT_RUN</t>
        </is>
      </c>
      <c r="P1927" t="n">
        <v>0</v>
      </c>
      <c r="Q1927" t="n">
        <v>1926</v>
      </c>
    </row>
    <row r="1928">
      <c r="A1928" t="n">
        <v>1927</v>
      </c>
      <c r="B1928" t="inlineStr">
        <is>
          <t>MTR-IOS-1927</t>
        </is>
      </c>
      <c r="C1928" t="inlineStr">
        <is>
          <t>iPhone</t>
        </is>
      </c>
      <c r="D1928" t="inlineStr">
        <is>
          <t>Personal</t>
        </is>
      </c>
      <c r="E1928" t="inlineStr">
        <is>
          <t>Personal</t>
        </is>
      </c>
      <c r="F1928" t="inlineStr">
        <is>
          <t>Relationships</t>
        </is>
      </c>
      <c r="G1928" t="inlineStr">
        <is>
          <t>Friends</t>
        </is>
      </c>
      <c r="H1928" t="inlineStr">
        <is>
          <t>Personal &gt; Relationships &gt; Quick Add &gt; Friends</t>
        </is>
      </c>
      <c r="I1928" s="18" t="n">
        <v>1643.81</v>
      </c>
      <c r="J1928" t="inlineStr">
        <is>
          <t>Created MTR-IOS-1927 and correlation note visible in Activity/Pulse</t>
        </is>
      </c>
      <c r="K1928" t="inlineStr">
        <is>
          <t>NOT_RUN</t>
        </is>
      </c>
      <c r="P1928" t="n">
        <v>0</v>
      </c>
      <c r="Q1928" t="n">
        <v>1927</v>
      </c>
    </row>
    <row r="1929">
      <c r="A1929" t="n">
        <v>1928</v>
      </c>
      <c r="B1929" t="inlineStr">
        <is>
          <t>MTR-IOS-1928</t>
        </is>
      </c>
      <c r="C1929" t="inlineStr">
        <is>
          <t>iPhone</t>
        </is>
      </c>
      <c r="D1929" t="inlineStr">
        <is>
          <t>Group</t>
        </is>
      </c>
      <c r="E1929" t="inlineStr">
        <is>
          <t>Shared Experience</t>
        </is>
      </c>
      <c r="F1929" t="inlineStr">
        <is>
          <t>Trip</t>
        </is>
      </c>
      <c r="G1929" t="inlineStr">
        <is>
          <t>Activities</t>
        </is>
      </c>
      <c r="H1929" t="inlineStr">
        <is>
          <t>Group &gt; Trip &gt; Quick Add &gt; Activities</t>
        </is>
      </c>
      <c r="I1929" s="18" t="n">
        <v>134.18</v>
      </c>
      <c r="J1929" t="inlineStr">
        <is>
          <t>Created MTR-IOS-1928 and correlation note visible in Activity/Pulse</t>
        </is>
      </c>
      <c r="K1929" t="inlineStr">
        <is>
          <t>NOT_RUN</t>
        </is>
      </c>
      <c r="P1929" t="n">
        <v>0</v>
      </c>
      <c r="Q1929" t="n">
        <v>1928</v>
      </c>
    </row>
    <row r="1930">
      <c r="A1930" t="n">
        <v>1929</v>
      </c>
      <c r="B1930" t="inlineStr">
        <is>
          <t>MTR-IOS-1929</t>
        </is>
      </c>
      <c r="C1930" t="inlineStr">
        <is>
          <t>iPhone</t>
        </is>
      </c>
      <c r="D1930" t="inlineStr">
        <is>
          <t>Business</t>
        </is>
      </c>
      <c r="E1930" t="inlineStr">
        <is>
          <t>Business</t>
        </is>
      </c>
      <c r="F1930" t="inlineStr">
        <is>
          <t>Business Runway</t>
        </is>
      </c>
      <c r="G1930" t="inlineStr">
        <is>
          <t>Investment</t>
        </is>
      </c>
      <c r="H1930" t="inlineStr">
        <is>
          <t>Business &gt; Business Runway &gt; Quick Add &gt; Investment</t>
        </is>
      </c>
      <c r="I1930" s="18" t="n">
        <v>125674.54</v>
      </c>
      <c r="J1930" t="inlineStr">
        <is>
          <t>Created MTR-IOS-1929 and correlation note visible in Activity/Pulse</t>
        </is>
      </c>
      <c r="K1930" t="inlineStr">
        <is>
          <t>NOT_RUN</t>
        </is>
      </c>
      <c r="P1930" t="n">
        <v>0</v>
      </c>
      <c r="Q1930" t="n">
        <v>1929</v>
      </c>
    </row>
    <row r="1931">
      <c r="A1931" t="n">
        <v>1930</v>
      </c>
      <c r="B1931" t="inlineStr">
        <is>
          <t>MTR-IOS-1930</t>
        </is>
      </c>
      <c r="C1931" t="inlineStr">
        <is>
          <t>iPhone</t>
        </is>
      </c>
      <c r="D1931" t="inlineStr">
        <is>
          <t>Personal</t>
        </is>
      </c>
      <c r="E1931" t="inlineStr">
        <is>
          <t>Personal</t>
        </is>
      </c>
      <c r="F1931" t="inlineStr">
        <is>
          <t>Relationships</t>
        </is>
      </c>
      <c r="G1931" t="inlineStr">
        <is>
          <t>Celebrations</t>
        </is>
      </c>
      <c r="H1931" t="inlineStr">
        <is>
          <t>Personal &gt; Relationships &gt; Quick Add &gt; Celebrations</t>
        </is>
      </c>
      <c r="I1931" s="18" t="n">
        <v>10020.81</v>
      </c>
      <c r="J1931" t="inlineStr">
        <is>
          <t>Created MTR-IOS-1930 and correlation note visible in Activity/Pulse</t>
        </is>
      </c>
      <c r="K1931" t="inlineStr">
        <is>
          <t>NOT_RUN</t>
        </is>
      </c>
      <c r="P1931" t="n">
        <v>0</v>
      </c>
      <c r="Q1931" t="n">
        <v>1930</v>
      </c>
    </row>
    <row r="1932">
      <c r="A1932" t="n">
        <v>1931</v>
      </c>
      <c r="B1932" t="inlineStr">
        <is>
          <t>MTR-IOS-1931</t>
        </is>
      </c>
      <c r="C1932" t="inlineStr">
        <is>
          <t>iPhone</t>
        </is>
      </c>
      <c r="D1932" t="inlineStr">
        <is>
          <t>Group</t>
        </is>
      </c>
      <c r="E1932" t="inlineStr">
        <is>
          <t>Shared Experience</t>
        </is>
      </c>
      <c r="F1932" t="inlineStr">
        <is>
          <t>Trip</t>
        </is>
      </c>
      <c r="G1932" t="inlineStr">
        <is>
          <t>Shopping</t>
        </is>
      </c>
      <c r="H1932" t="inlineStr">
        <is>
          <t>Group &gt; Trip &gt; Quick Add &gt; Shopping</t>
        </is>
      </c>
      <c r="I1932" s="18" t="n">
        <v>4955.56</v>
      </c>
      <c r="J1932" t="inlineStr">
        <is>
          <t>Created MTR-IOS-1931 and correlation note visible in Activity/Pulse</t>
        </is>
      </c>
      <c r="K1932" t="inlineStr">
        <is>
          <t>NOT_RUN</t>
        </is>
      </c>
      <c r="P1932" t="n">
        <v>0</v>
      </c>
      <c r="Q1932" t="n">
        <v>1931</v>
      </c>
    </row>
    <row r="1933">
      <c r="A1933" t="n">
        <v>1932</v>
      </c>
      <c r="B1933" t="inlineStr">
        <is>
          <t>MTR-IOS-1932</t>
        </is>
      </c>
      <c r="C1933" t="inlineStr">
        <is>
          <t>iPhone</t>
        </is>
      </c>
      <c r="D1933" t="inlineStr">
        <is>
          <t>Business</t>
        </is>
      </c>
      <c r="E1933" t="inlineStr">
        <is>
          <t>Business</t>
        </is>
      </c>
      <c r="F1933" t="inlineStr">
        <is>
          <t>Business Operations</t>
        </is>
      </c>
      <c r="G1933" t="inlineStr">
        <is>
          <t>Software</t>
        </is>
      </c>
      <c r="H1933" t="inlineStr">
        <is>
          <t>Business &gt; Business Operations &gt; Quick Add &gt; Software</t>
        </is>
      </c>
      <c r="I1933" s="18" t="n">
        <v>99678.42</v>
      </c>
      <c r="J1933" t="inlineStr">
        <is>
          <t>Created MTR-IOS-1932 and correlation note visible in Activity/Pulse</t>
        </is>
      </c>
      <c r="K1933" t="inlineStr">
        <is>
          <t>NOT_RUN</t>
        </is>
      </c>
      <c r="P1933" t="n">
        <v>0</v>
      </c>
      <c r="Q1933" t="n">
        <v>1932</v>
      </c>
    </row>
    <row r="1934">
      <c r="A1934" t="n">
        <v>1933</v>
      </c>
      <c r="B1934" t="inlineStr">
        <is>
          <t>MTR-IOS-1933</t>
        </is>
      </c>
      <c r="C1934" t="inlineStr">
        <is>
          <t>iPhone</t>
        </is>
      </c>
      <c r="D1934" t="inlineStr">
        <is>
          <t>Personal</t>
        </is>
      </c>
      <c r="E1934" t="inlineStr">
        <is>
          <t>Personal</t>
        </is>
      </c>
      <c r="F1934" t="inlineStr">
        <is>
          <t>Life Operations</t>
        </is>
      </c>
      <c r="G1934" t="inlineStr">
        <is>
          <t>Groceries</t>
        </is>
      </c>
      <c r="H1934" t="inlineStr">
        <is>
          <t>Personal &gt; Life Operations &gt; Quick Add &gt; Groceries</t>
        </is>
      </c>
      <c r="I1934" s="18" t="n">
        <v>17690.08</v>
      </c>
      <c r="J1934" t="inlineStr">
        <is>
          <t>Created MTR-IOS-1933 and correlation note visible in Activity/Pulse</t>
        </is>
      </c>
      <c r="K1934" t="inlineStr">
        <is>
          <t>NOT_RUN</t>
        </is>
      </c>
      <c r="P1934" t="n">
        <v>0</v>
      </c>
      <c r="Q1934" t="n">
        <v>1933</v>
      </c>
    </row>
    <row r="1935">
      <c r="A1935" t="n">
        <v>1934</v>
      </c>
      <c r="B1935" t="inlineStr">
        <is>
          <t>MTR-IOS-1934</t>
        </is>
      </c>
      <c r="C1935" t="inlineStr">
        <is>
          <t>iPhone</t>
        </is>
      </c>
      <c r="D1935" t="inlineStr">
        <is>
          <t>Group</t>
        </is>
      </c>
      <c r="E1935" t="inlineStr">
        <is>
          <t>Shared Experience</t>
        </is>
      </c>
      <c r="F1935" t="inlineStr">
        <is>
          <t>Trip</t>
        </is>
      </c>
      <c r="G1935" t="inlineStr">
        <is>
          <t>Other</t>
        </is>
      </c>
      <c r="H1935" t="inlineStr">
        <is>
          <t>Group &gt; Trip &gt; Quick Add &gt; Other</t>
        </is>
      </c>
      <c r="I1935" s="18" t="n">
        <v>14568.73</v>
      </c>
      <c r="J1935" t="inlineStr">
        <is>
          <t>Created MTR-IOS-1934 and correlation note visible in Activity/Pulse</t>
        </is>
      </c>
      <c r="K1935" t="inlineStr">
        <is>
          <t>NOT_RUN</t>
        </is>
      </c>
      <c r="P1935" t="n">
        <v>0</v>
      </c>
      <c r="Q1935" t="n">
        <v>1934</v>
      </c>
    </row>
    <row r="1936">
      <c r="A1936" t="n">
        <v>1935</v>
      </c>
      <c r="B1936" t="inlineStr">
        <is>
          <t>MTR-IOS-1935</t>
        </is>
      </c>
      <c r="C1936" t="inlineStr">
        <is>
          <t>iPhone</t>
        </is>
      </c>
      <c r="D1936" t="inlineStr">
        <is>
          <t>Business</t>
        </is>
      </c>
      <c r="E1936" t="inlineStr">
        <is>
          <t>Business</t>
        </is>
      </c>
      <c r="F1936" t="inlineStr">
        <is>
          <t>Business Operations</t>
        </is>
      </c>
      <c r="G1936" t="inlineStr">
        <is>
          <t>Rent</t>
        </is>
      </c>
      <c r="H1936" t="inlineStr">
        <is>
          <t>Business &gt; Business Operations &gt; Quick Add &gt; Rent</t>
        </is>
      </c>
      <c r="I1936" s="18" t="n">
        <v>59347.05</v>
      </c>
      <c r="J1936" t="inlineStr">
        <is>
          <t>Created MTR-IOS-1935 and correlation note visible in Activity/Pulse</t>
        </is>
      </c>
      <c r="K1936" t="inlineStr">
        <is>
          <t>NOT_RUN</t>
        </is>
      </c>
      <c r="P1936" t="n">
        <v>0</v>
      </c>
      <c r="Q1936" t="n">
        <v>1935</v>
      </c>
    </row>
    <row r="1937">
      <c r="A1937" t="n">
        <v>1936</v>
      </c>
      <c r="B1937" t="inlineStr">
        <is>
          <t>MTR-IOS-1936</t>
        </is>
      </c>
      <c r="C1937" t="inlineStr">
        <is>
          <t>iPhone</t>
        </is>
      </c>
      <c r="D1937" t="inlineStr">
        <is>
          <t>Personal</t>
        </is>
      </c>
      <c r="E1937" t="inlineStr">
        <is>
          <t>Personal</t>
        </is>
      </c>
      <c r="F1937" t="inlineStr">
        <is>
          <t>Life Operations</t>
        </is>
      </c>
      <c r="G1937" t="inlineStr">
        <is>
          <t>Rent</t>
        </is>
      </c>
      <c r="H1937" t="inlineStr">
        <is>
          <t>Personal &gt; Life Operations &gt; Quick Add &gt; Rent</t>
        </is>
      </c>
      <c r="I1937" s="18" t="n">
        <v>3186.31</v>
      </c>
      <c r="J1937" t="inlineStr">
        <is>
          <t>Created MTR-IOS-1936 and correlation note visible in Activity/Pulse</t>
        </is>
      </c>
      <c r="K1937" t="inlineStr">
        <is>
          <t>NOT_RUN</t>
        </is>
      </c>
      <c r="P1937" t="n">
        <v>0</v>
      </c>
      <c r="Q1937" t="n">
        <v>1936</v>
      </c>
    </row>
    <row r="1938">
      <c r="A1938" t="n">
        <v>1937</v>
      </c>
      <c r="B1938" t="inlineStr">
        <is>
          <t>MTR-IOS-1937</t>
        </is>
      </c>
      <c r="C1938" t="inlineStr">
        <is>
          <t>iPhone</t>
        </is>
      </c>
      <c r="D1938" t="inlineStr">
        <is>
          <t>Group</t>
        </is>
      </c>
      <c r="E1938" t="inlineStr">
        <is>
          <t>Shared Experience</t>
        </is>
      </c>
      <c r="F1938" t="inlineStr">
        <is>
          <t>Wedding</t>
        </is>
      </c>
      <c r="G1938" t="inlineStr">
        <is>
          <t>Venue</t>
        </is>
      </c>
      <c r="H1938" t="inlineStr">
        <is>
          <t>Group &gt; Wedding &gt; Quick Add &gt; Venue</t>
        </is>
      </c>
      <c r="I1938" s="18" t="n">
        <v>15466.79</v>
      </c>
      <c r="J1938" t="inlineStr">
        <is>
          <t>Created MTR-IOS-1937 and correlation note visible in Activity/Pulse</t>
        </is>
      </c>
      <c r="K1938" t="inlineStr">
        <is>
          <t>NOT_RUN</t>
        </is>
      </c>
      <c r="P1938" t="n">
        <v>0</v>
      </c>
      <c r="Q1938" t="n">
        <v>1937</v>
      </c>
    </row>
    <row r="1939">
      <c r="A1939" t="n">
        <v>1938</v>
      </c>
      <c r="B1939" t="inlineStr">
        <is>
          <t>MTR-IOS-1938</t>
        </is>
      </c>
      <c r="C1939" t="inlineStr">
        <is>
          <t>iPhone</t>
        </is>
      </c>
      <c r="D1939" t="inlineStr">
        <is>
          <t>Business</t>
        </is>
      </c>
      <c r="E1939" t="inlineStr">
        <is>
          <t>Business</t>
        </is>
      </c>
      <c r="F1939" t="inlineStr">
        <is>
          <t>Business Operations</t>
        </is>
      </c>
      <c r="G1939" t="inlineStr">
        <is>
          <t>Marketing</t>
        </is>
      </c>
      <c r="H1939" t="inlineStr">
        <is>
          <t>Business &gt; Business Operations &gt; Quick Add &gt; Marketing</t>
        </is>
      </c>
      <c r="I1939" s="18" t="n">
        <v>63069.44</v>
      </c>
      <c r="J1939" t="inlineStr">
        <is>
          <t>Created MTR-IOS-1938 and correlation note visible in Activity/Pulse</t>
        </is>
      </c>
      <c r="K1939" t="inlineStr">
        <is>
          <t>NOT_RUN</t>
        </is>
      </c>
      <c r="P1939" t="n">
        <v>0</v>
      </c>
      <c r="Q1939" t="n">
        <v>1938</v>
      </c>
    </row>
    <row r="1940">
      <c r="A1940" t="n">
        <v>1939</v>
      </c>
      <c r="B1940" t="inlineStr">
        <is>
          <t>MTR-IOS-1939</t>
        </is>
      </c>
      <c r="C1940" t="inlineStr">
        <is>
          <t>iPhone</t>
        </is>
      </c>
      <c r="D1940" t="inlineStr">
        <is>
          <t>Personal</t>
        </is>
      </c>
      <c r="E1940" t="inlineStr">
        <is>
          <t>Personal</t>
        </is>
      </c>
      <c r="F1940" t="inlineStr">
        <is>
          <t>Life Operations</t>
        </is>
      </c>
      <c r="G1940" t="inlineStr">
        <is>
          <t>Bills</t>
        </is>
      </c>
      <c r="H1940" t="inlineStr">
        <is>
          <t>Personal &gt; Life Operations &gt; Quick Add &gt; Bills</t>
        </is>
      </c>
      <c r="I1940" s="18" t="n">
        <v>63.17</v>
      </c>
      <c r="J1940" t="inlineStr">
        <is>
          <t>Created MTR-IOS-1939 and correlation note visible in Activity/Pulse</t>
        </is>
      </c>
      <c r="K1940" t="inlineStr">
        <is>
          <t>NOT_RUN</t>
        </is>
      </c>
      <c r="P1940" t="n">
        <v>0</v>
      </c>
      <c r="Q1940" t="n">
        <v>1939</v>
      </c>
    </row>
    <row r="1941">
      <c r="A1941" t="n">
        <v>1940</v>
      </c>
      <c r="B1941" t="inlineStr">
        <is>
          <t>MTR-IOS-1940</t>
        </is>
      </c>
      <c r="C1941" t="inlineStr">
        <is>
          <t>iPhone</t>
        </is>
      </c>
      <c r="D1941" t="inlineStr">
        <is>
          <t>Group</t>
        </is>
      </c>
      <c r="E1941" t="inlineStr">
        <is>
          <t>Shared Experience</t>
        </is>
      </c>
      <c r="F1941" t="inlineStr">
        <is>
          <t>Wedding</t>
        </is>
      </c>
      <c r="G1941" t="inlineStr">
        <is>
          <t>Catering</t>
        </is>
      </c>
      <c r="H1941" t="inlineStr">
        <is>
          <t>Group &gt; Wedding &gt; Quick Add &gt; Catering</t>
        </is>
      </c>
      <c r="I1941" s="18" t="n">
        <v>7289.73</v>
      </c>
      <c r="J1941" t="inlineStr">
        <is>
          <t>Created MTR-IOS-1940 and correlation note visible in Activity/Pulse</t>
        </is>
      </c>
      <c r="K1941" t="inlineStr">
        <is>
          <t>NOT_RUN</t>
        </is>
      </c>
      <c r="P1941" t="n">
        <v>0</v>
      </c>
      <c r="Q1941" t="n">
        <v>1940</v>
      </c>
    </row>
    <row r="1942">
      <c r="A1942" t="n">
        <v>1941</v>
      </c>
      <c r="B1942" t="inlineStr">
        <is>
          <t>MTR-IOS-1941</t>
        </is>
      </c>
      <c r="C1942" t="inlineStr">
        <is>
          <t>iPhone</t>
        </is>
      </c>
      <c r="D1942" t="inlineStr">
        <is>
          <t>Business</t>
        </is>
      </c>
      <c r="E1942" t="inlineStr">
        <is>
          <t>Business</t>
        </is>
      </c>
      <c r="F1942" t="inlineStr">
        <is>
          <t>Business Operations</t>
        </is>
      </c>
      <c r="G1942" t="inlineStr">
        <is>
          <t>Legal</t>
        </is>
      </c>
      <c r="H1942" t="inlineStr">
        <is>
          <t>Business &gt; Business Operations &gt; Quick Add &gt; Legal</t>
        </is>
      </c>
      <c r="I1942" s="18" t="n">
        <v>44794.63</v>
      </c>
      <c r="J1942" t="inlineStr">
        <is>
          <t>Created MTR-IOS-1941 and correlation note visible in Activity/Pulse</t>
        </is>
      </c>
      <c r="K1942" t="inlineStr">
        <is>
          <t>NOT_RUN</t>
        </is>
      </c>
      <c r="P1942" t="n">
        <v>0</v>
      </c>
      <c r="Q1942" t="n">
        <v>1941</v>
      </c>
    </row>
    <row r="1943">
      <c r="A1943" t="n">
        <v>1942</v>
      </c>
      <c r="B1943" t="inlineStr">
        <is>
          <t>MTR-IOS-1942</t>
        </is>
      </c>
      <c r="C1943" t="inlineStr">
        <is>
          <t>iPhone</t>
        </is>
      </c>
      <c r="D1943" t="inlineStr">
        <is>
          <t>Personal</t>
        </is>
      </c>
      <c r="E1943" t="inlineStr">
        <is>
          <t>Personal</t>
        </is>
      </c>
      <c r="F1943" t="inlineStr">
        <is>
          <t>Life Operations</t>
        </is>
      </c>
      <c r="G1943" t="inlineStr">
        <is>
          <t>Transport</t>
        </is>
      </c>
      <c r="H1943" t="inlineStr">
        <is>
          <t>Personal &gt; Life Operations &gt; Quick Add &gt; Transport</t>
        </is>
      </c>
      <c r="I1943" s="18" t="n">
        <v>9340.969999999999</v>
      </c>
      <c r="J1943" t="inlineStr">
        <is>
          <t>Created MTR-IOS-1942 and correlation note visible in Activity/Pulse</t>
        </is>
      </c>
      <c r="K1943" t="inlineStr">
        <is>
          <t>NOT_RUN</t>
        </is>
      </c>
      <c r="P1943" t="n">
        <v>0</v>
      </c>
      <c r="Q1943" t="n">
        <v>1942</v>
      </c>
    </row>
    <row r="1944">
      <c r="A1944" t="n">
        <v>1943</v>
      </c>
      <c r="B1944" t="inlineStr">
        <is>
          <t>MTR-IOS-1943</t>
        </is>
      </c>
      <c r="C1944" t="inlineStr">
        <is>
          <t>iPhone</t>
        </is>
      </c>
      <c r="D1944" t="inlineStr">
        <is>
          <t>Group</t>
        </is>
      </c>
      <c r="E1944" t="inlineStr">
        <is>
          <t>Shared Experience</t>
        </is>
      </c>
      <c r="F1944" t="inlineStr">
        <is>
          <t>Wedding</t>
        </is>
      </c>
      <c r="G1944" t="inlineStr">
        <is>
          <t>Decor</t>
        </is>
      </c>
      <c r="H1944" t="inlineStr">
        <is>
          <t>Group &gt; Wedding &gt; Quick Add &gt; Decor</t>
        </is>
      </c>
      <c r="I1944" s="18" t="n">
        <v>23573.33</v>
      </c>
      <c r="J1944" t="inlineStr">
        <is>
          <t>Created MTR-IOS-1943 and correlation note visible in Activity/Pulse</t>
        </is>
      </c>
      <c r="K1944" t="inlineStr">
        <is>
          <t>NOT_RUN</t>
        </is>
      </c>
      <c r="P1944" t="n">
        <v>0</v>
      </c>
      <c r="Q1944" t="n">
        <v>1943</v>
      </c>
    </row>
    <row r="1945">
      <c r="A1945" t="n">
        <v>1944</v>
      </c>
      <c r="B1945" t="inlineStr">
        <is>
          <t>MTR-IOS-1944</t>
        </is>
      </c>
      <c r="C1945" t="inlineStr">
        <is>
          <t>iPhone</t>
        </is>
      </c>
      <c r="D1945" t="inlineStr">
        <is>
          <t>Business</t>
        </is>
      </c>
      <c r="E1945" t="inlineStr">
        <is>
          <t>Business</t>
        </is>
      </c>
      <c r="F1945" t="inlineStr">
        <is>
          <t>Business Operations</t>
        </is>
      </c>
      <c r="G1945" t="inlineStr">
        <is>
          <t>Accounting</t>
        </is>
      </c>
      <c r="H1945" t="inlineStr">
        <is>
          <t>Business &gt; Business Operations &gt; Quick Add &gt; Accounting</t>
        </is>
      </c>
      <c r="I1945" s="18" t="n">
        <v>48663.15</v>
      </c>
      <c r="J1945" t="inlineStr">
        <is>
          <t>Created MTR-IOS-1944 and correlation note visible in Activity/Pulse</t>
        </is>
      </c>
      <c r="K1945" t="inlineStr">
        <is>
          <t>NOT_RUN</t>
        </is>
      </c>
      <c r="P1945" t="n">
        <v>0</v>
      </c>
      <c r="Q1945" t="n">
        <v>1944</v>
      </c>
    </row>
    <row r="1946">
      <c r="A1946" t="n">
        <v>1945</v>
      </c>
      <c r="B1946" t="inlineStr">
        <is>
          <t>MTR-IOS-1945</t>
        </is>
      </c>
      <c r="C1946" t="inlineStr">
        <is>
          <t>iPhone</t>
        </is>
      </c>
      <c r="D1946" t="inlineStr">
        <is>
          <t>Personal</t>
        </is>
      </c>
      <c r="E1946" t="inlineStr">
        <is>
          <t>Personal</t>
        </is>
      </c>
      <c r="F1946" t="inlineStr">
        <is>
          <t>Life Operations</t>
        </is>
      </c>
      <c r="G1946" t="inlineStr">
        <is>
          <t>Healthcare</t>
        </is>
      </c>
      <c r="H1946" t="inlineStr">
        <is>
          <t>Personal &gt; Life Operations &gt; Quick Add &gt; Healthcare</t>
        </is>
      </c>
      <c r="I1946" s="18" t="n">
        <v>13307.27</v>
      </c>
      <c r="J1946" t="inlineStr">
        <is>
          <t>Created MTR-IOS-1945 and correlation note visible in Activity/Pulse</t>
        </is>
      </c>
      <c r="K1946" t="inlineStr">
        <is>
          <t>NOT_RUN</t>
        </is>
      </c>
      <c r="P1946" t="n">
        <v>0</v>
      </c>
      <c r="Q1946" t="n">
        <v>1945</v>
      </c>
    </row>
    <row r="1947">
      <c r="A1947" t="n">
        <v>1946</v>
      </c>
      <c r="B1947" t="inlineStr">
        <is>
          <t>MTR-IOS-1946</t>
        </is>
      </c>
      <c r="C1947" t="inlineStr">
        <is>
          <t>iPhone</t>
        </is>
      </c>
      <c r="D1947" t="inlineStr">
        <is>
          <t>Group</t>
        </is>
      </c>
      <c r="E1947" t="inlineStr">
        <is>
          <t>Shared Experience</t>
        </is>
      </c>
      <c r="F1947" t="inlineStr">
        <is>
          <t>Wedding</t>
        </is>
      </c>
      <c r="G1947" t="inlineStr">
        <is>
          <t>Travel</t>
        </is>
      </c>
      <c r="H1947" t="inlineStr">
        <is>
          <t>Group &gt; Wedding &gt; Quick Add &gt; Travel</t>
        </is>
      </c>
      <c r="I1947" s="18" t="n">
        <v>23061.14</v>
      </c>
      <c r="J1947" t="inlineStr">
        <is>
          <t>Created MTR-IOS-1946 and correlation note visible in Activity/Pulse</t>
        </is>
      </c>
      <c r="K1947" t="inlineStr">
        <is>
          <t>NOT_RUN</t>
        </is>
      </c>
      <c r="P1947" t="n">
        <v>0</v>
      </c>
      <c r="Q1947" t="n">
        <v>1946</v>
      </c>
    </row>
    <row r="1948">
      <c r="A1948" t="n">
        <v>1947</v>
      </c>
      <c r="B1948" t="inlineStr">
        <is>
          <t>MTR-IOS-1947</t>
        </is>
      </c>
      <c r="C1948" t="inlineStr">
        <is>
          <t>iPhone</t>
        </is>
      </c>
      <c r="D1948" t="inlineStr">
        <is>
          <t>Business</t>
        </is>
      </c>
      <c r="E1948" t="inlineStr">
        <is>
          <t>Business</t>
        </is>
      </c>
      <c r="F1948" t="inlineStr">
        <is>
          <t>Business Operations</t>
        </is>
      </c>
      <c r="G1948" t="inlineStr">
        <is>
          <t>Equipment</t>
        </is>
      </c>
      <c r="H1948" t="inlineStr">
        <is>
          <t>Business &gt; Business Operations &gt; Quick Add &gt; Equipment</t>
        </is>
      </c>
      <c r="I1948" s="18" t="n">
        <v>65172.45</v>
      </c>
      <c r="J1948" t="inlineStr">
        <is>
          <t>Created MTR-IOS-1947 and correlation note visible in Activity/Pulse</t>
        </is>
      </c>
      <c r="K1948" t="inlineStr">
        <is>
          <t>NOT_RUN</t>
        </is>
      </c>
      <c r="P1948" t="n">
        <v>0</v>
      </c>
      <c r="Q1948" t="n">
        <v>1947</v>
      </c>
    </row>
    <row r="1949">
      <c r="A1949" t="n">
        <v>1948</v>
      </c>
      <c r="B1949" t="inlineStr">
        <is>
          <t>MTR-IOS-1948</t>
        </is>
      </c>
      <c r="C1949" t="inlineStr">
        <is>
          <t>iPhone</t>
        </is>
      </c>
      <c r="D1949" t="inlineStr">
        <is>
          <t>Personal</t>
        </is>
      </c>
      <c r="E1949" t="inlineStr">
        <is>
          <t>Personal</t>
        </is>
      </c>
      <c r="F1949" t="inlineStr">
        <is>
          <t>Life Operations</t>
        </is>
      </c>
      <c r="G1949" t="inlineStr">
        <is>
          <t>Subscriptions</t>
        </is>
      </c>
      <c r="H1949" t="inlineStr">
        <is>
          <t>Personal &gt; Life Operations &gt; Quick Add &gt; Subscriptions</t>
        </is>
      </c>
      <c r="I1949" s="18" t="n">
        <v>17485.45</v>
      </c>
      <c r="J1949" t="inlineStr">
        <is>
          <t>Created MTR-IOS-1948 and correlation note visible in Activity/Pulse</t>
        </is>
      </c>
      <c r="K1949" t="inlineStr">
        <is>
          <t>NOT_RUN</t>
        </is>
      </c>
      <c r="P1949" t="n">
        <v>0</v>
      </c>
      <c r="Q1949" t="n">
        <v>1948</v>
      </c>
    </row>
    <row r="1950">
      <c r="A1950" t="n">
        <v>1949</v>
      </c>
      <c r="B1950" t="inlineStr">
        <is>
          <t>MTR-IOS-1949</t>
        </is>
      </c>
      <c r="C1950" t="inlineStr">
        <is>
          <t>iPhone</t>
        </is>
      </c>
      <c r="D1950" t="inlineStr">
        <is>
          <t>Group</t>
        </is>
      </c>
      <c r="E1950" t="inlineStr">
        <is>
          <t>Shared Experience</t>
        </is>
      </c>
      <c r="F1950" t="inlineStr">
        <is>
          <t>Wedding</t>
        </is>
      </c>
      <c r="G1950" t="inlineStr">
        <is>
          <t>Gifts</t>
        </is>
      </c>
      <c r="H1950" t="inlineStr">
        <is>
          <t>Group &gt; Wedding &gt; Quick Add &gt; Gifts</t>
        </is>
      </c>
      <c r="I1950" s="18" t="n">
        <v>14232.56</v>
      </c>
      <c r="J1950" t="inlineStr">
        <is>
          <t>Created MTR-IOS-1949 and correlation note visible in Activity/Pulse</t>
        </is>
      </c>
      <c r="K1950" t="inlineStr">
        <is>
          <t>NOT_RUN</t>
        </is>
      </c>
      <c r="P1950" t="n">
        <v>0</v>
      </c>
      <c r="Q1950" t="n">
        <v>1949</v>
      </c>
    </row>
    <row r="1951">
      <c r="A1951" t="n">
        <v>1950</v>
      </c>
      <c r="B1951" t="inlineStr">
        <is>
          <t>MTR-IOS-1950</t>
        </is>
      </c>
      <c r="C1951" t="inlineStr">
        <is>
          <t>iPhone</t>
        </is>
      </c>
      <c r="D1951" t="inlineStr">
        <is>
          <t>Business</t>
        </is>
      </c>
      <c r="E1951" t="inlineStr">
        <is>
          <t>Business</t>
        </is>
      </c>
      <c r="F1951" t="inlineStr">
        <is>
          <t>Business Operations</t>
        </is>
      </c>
      <c r="G1951" t="inlineStr">
        <is>
          <t>Vendor</t>
        </is>
      </c>
      <c r="H1951" t="inlineStr">
        <is>
          <t>Business &gt; Business Operations &gt; Quick Add &gt; Vendor</t>
        </is>
      </c>
      <c r="I1951" s="18" t="n">
        <v>80041.08</v>
      </c>
      <c r="J1951" t="inlineStr">
        <is>
          <t>Created MTR-IOS-1950 and correlation note visible in Activity/Pulse</t>
        </is>
      </c>
      <c r="K1951" t="inlineStr">
        <is>
          <t>NOT_RUN</t>
        </is>
      </c>
      <c r="P1951" t="n">
        <v>0</v>
      </c>
      <c r="Q1951" t="n">
        <v>1950</v>
      </c>
    </row>
    <row r="1952">
      <c r="A1952" t="n">
        <v>1951</v>
      </c>
      <c r="B1952" t="inlineStr">
        <is>
          <t>MTR-IOS-1951</t>
        </is>
      </c>
      <c r="C1952" t="inlineStr">
        <is>
          <t>iPhone</t>
        </is>
      </c>
      <c r="D1952" t="inlineStr">
        <is>
          <t>Personal</t>
        </is>
      </c>
      <c r="E1952" t="inlineStr">
        <is>
          <t>Personal</t>
        </is>
      </c>
      <c r="F1952" t="inlineStr">
        <is>
          <t>Life Operations</t>
        </is>
      </c>
      <c r="G1952" t="inlineStr">
        <is>
          <t>Repairs</t>
        </is>
      </c>
      <c r="H1952" t="inlineStr">
        <is>
          <t>Personal &gt; Life Operations &gt; Quick Add &gt; Repairs</t>
        </is>
      </c>
      <c r="I1952" s="18" t="n">
        <v>9064.17</v>
      </c>
      <c r="J1952" t="inlineStr">
        <is>
          <t>Created MTR-IOS-1951 and correlation note visible in Activity/Pulse</t>
        </is>
      </c>
      <c r="K1952" t="inlineStr">
        <is>
          <t>NOT_RUN</t>
        </is>
      </c>
      <c r="P1952" t="n">
        <v>0</v>
      </c>
      <c r="Q1952" t="n">
        <v>1951</v>
      </c>
    </row>
    <row r="1953">
      <c r="A1953" t="n">
        <v>1952</v>
      </c>
      <c r="B1953" t="inlineStr">
        <is>
          <t>MTR-IOS-1952</t>
        </is>
      </c>
      <c r="C1953" t="inlineStr">
        <is>
          <t>iPhone</t>
        </is>
      </c>
      <c r="D1953" t="inlineStr">
        <is>
          <t>Group</t>
        </is>
      </c>
      <c r="E1953" t="inlineStr">
        <is>
          <t>Shared Experience</t>
        </is>
      </c>
      <c r="F1953" t="inlineStr">
        <is>
          <t>Wedding</t>
        </is>
      </c>
      <c r="G1953" t="inlineStr">
        <is>
          <t>Photography</t>
        </is>
      </c>
      <c r="H1953" t="inlineStr">
        <is>
          <t>Group &gt; Wedding &gt; Quick Add &gt; Photography</t>
        </is>
      </c>
      <c r="I1953" s="18" t="n">
        <v>19091.41</v>
      </c>
      <c r="J1953" t="inlineStr">
        <is>
          <t>Created MTR-IOS-1952 and correlation note visible in Activity/Pulse</t>
        </is>
      </c>
      <c r="K1953" t="inlineStr">
        <is>
          <t>NOT_RUN</t>
        </is>
      </c>
      <c r="P1953" t="n">
        <v>0</v>
      </c>
      <c r="Q1953" t="n">
        <v>1952</v>
      </c>
    </row>
    <row r="1954">
      <c r="A1954" t="n">
        <v>1953</v>
      </c>
      <c r="B1954" t="inlineStr">
        <is>
          <t>MTR-IOS-1953</t>
        </is>
      </c>
      <c r="C1954" t="inlineStr">
        <is>
          <t>iPhone</t>
        </is>
      </c>
      <c r="D1954" t="inlineStr">
        <is>
          <t>Business</t>
        </is>
      </c>
      <c r="E1954" t="inlineStr">
        <is>
          <t>Business</t>
        </is>
      </c>
      <c r="F1954" t="inlineStr">
        <is>
          <t>Business Operations</t>
        </is>
      </c>
      <c r="G1954" t="inlineStr">
        <is>
          <t>Tax</t>
        </is>
      </c>
      <c r="H1954" t="inlineStr">
        <is>
          <t>Business &gt; Business Operations &gt; Quick Add &gt; Tax</t>
        </is>
      </c>
      <c r="I1954" s="18" t="n">
        <v>45944.91</v>
      </c>
      <c r="J1954" t="inlineStr">
        <is>
          <t>Created MTR-IOS-1953 and correlation note visible in Activity/Pulse</t>
        </is>
      </c>
      <c r="K1954" t="inlineStr">
        <is>
          <t>NOT_RUN</t>
        </is>
      </c>
      <c r="P1954" t="n">
        <v>0</v>
      </c>
      <c r="Q1954" t="n">
        <v>1953</v>
      </c>
    </row>
    <row r="1955">
      <c r="A1955" t="n">
        <v>1954</v>
      </c>
      <c r="B1955" t="inlineStr">
        <is>
          <t>MTR-IOS-1954</t>
        </is>
      </c>
      <c r="C1955" t="inlineStr">
        <is>
          <t>iPhone</t>
        </is>
      </c>
      <c r="D1955" t="inlineStr">
        <is>
          <t>Personal</t>
        </is>
      </c>
      <c r="E1955" t="inlineStr">
        <is>
          <t>Personal</t>
        </is>
      </c>
      <c r="F1955" t="inlineStr">
        <is>
          <t>Future Building</t>
        </is>
      </c>
      <c r="G1955" t="inlineStr">
        <is>
          <t>Savings</t>
        </is>
      </c>
      <c r="H1955" t="inlineStr">
        <is>
          <t>Personal &gt; Future Building &gt; Quick Add &gt; Savings</t>
        </is>
      </c>
      <c r="I1955" s="18" t="n">
        <v>9455.219999999999</v>
      </c>
      <c r="J1955" t="inlineStr">
        <is>
          <t>Created MTR-IOS-1954 and correlation note visible in Activity/Pulse</t>
        </is>
      </c>
      <c r="K1955" t="inlineStr">
        <is>
          <t>NOT_RUN</t>
        </is>
      </c>
      <c r="P1955" t="n">
        <v>0</v>
      </c>
      <c r="Q1955" t="n">
        <v>1954</v>
      </c>
    </row>
    <row r="1956">
      <c r="A1956" t="n">
        <v>1955</v>
      </c>
      <c r="B1956" t="inlineStr">
        <is>
          <t>MTR-IOS-1955</t>
        </is>
      </c>
      <c r="C1956" t="inlineStr">
        <is>
          <t>iPhone</t>
        </is>
      </c>
      <c r="D1956" t="inlineStr">
        <is>
          <t>Group</t>
        </is>
      </c>
      <c r="E1956" t="inlineStr">
        <is>
          <t>Shared Experience</t>
        </is>
      </c>
      <c r="F1956" t="inlineStr">
        <is>
          <t>Wedding</t>
        </is>
      </c>
      <c r="G1956" t="inlineStr">
        <is>
          <t>Other</t>
        </is>
      </c>
      <c r="H1956" t="inlineStr">
        <is>
          <t>Group &gt; Wedding &gt; Quick Add &gt; Other</t>
        </is>
      </c>
      <c r="I1956" s="18" t="n">
        <v>16099.75</v>
      </c>
      <c r="J1956" t="inlineStr">
        <is>
          <t>Created MTR-IOS-1955 and correlation note visible in Activity/Pulse</t>
        </is>
      </c>
      <c r="K1956" t="inlineStr">
        <is>
          <t>NOT_RUN</t>
        </is>
      </c>
      <c r="P1956" t="n">
        <v>0</v>
      </c>
      <c r="Q1956" t="n">
        <v>1955</v>
      </c>
    </row>
    <row r="1957">
      <c r="A1957" t="n">
        <v>1956</v>
      </c>
      <c r="B1957" t="inlineStr">
        <is>
          <t>MTR-IOS-1956</t>
        </is>
      </c>
      <c r="C1957" t="inlineStr">
        <is>
          <t>iPhone</t>
        </is>
      </c>
      <c r="D1957" t="inlineStr">
        <is>
          <t>Business</t>
        </is>
      </c>
      <c r="E1957" t="inlineStr">
        <is>
          <t>Business</t>
        </is>
      </c>
      <c r="F1957" t="inlineStr">
        <is>
          <t>Team Operations</t>
        </is>
      </c>
      <c r="G1957" t="inlineStr">
        <is>
          <t>Payroll</t>
        </is>
      </c>
      <c r="H1957" t="inlineStr">
        <is>
          <t>Business &gt; Team Operations &gt; Quick Add &gt; Payroll</t>
        </is>
      </c>
      <c r="I1957" s="18" t="n">
        <v>162988.18</v>
      </c>
      <c r="J1957" t="inlineStr">
        <is>
          <t>Created MTR-IOS-1956 and correlation note visible in Activity/Pulse</t>
        </is>
      </c>
      <c r="K1957" t="inlineStr">
        <is>
          <t>NOT_RUN</t>
        </is>
      </c>
      <c r="P1957" t="n">
        <v>0</v>
      </c>
      <c r="Q1957" t="n">
        <v>1956</v>
      </c>
    </row>
    <row r="1958">
      <c r="A1958" t="n">
        <v>1957</v>
      </c>
      <c r="B1958" t="inlineStr">
        <is>
          <t>MTR-IOS-1957</t>
        </is>
      </c>
      <c r="C1958" t="inlineStr">
        <is>
          <t>iPhone</t>
        </is>
      </c>
      <c r="D1958" t="inlineStr">
        <is>
          <t>Personal</t>
        </is>
      </c>
      <c r="E1958" t="inlineStr">
        <is>
          <t>Personal</t>
        </is>
      </c>
      <c r="F1958" t="inlineStr">
        <is>
          <t>Future Building</t>
        </is>
      </c>
      <c r="G1958" t="inlineStr">
        <is>
          <t>Emergency Fund</t>
        </is>
      </c>
      <c r="H1958" t="inlineStr">
        <is>
          <t>Personal &gt; Future Building &gt; Quick Add &gt; Emergency Fund</t>
        </is>
      </c>
      <c r="I1958" s="18" t="n">
        <v>13469.09</v>
      </c>
      <c r="J1958" t="inlineStr">
        <is>
          <t>Created MTR-IOS-1957 and correlation note visible in Activity/Pulse</t>
        </is>
      </c>
      <c r="K1958" t="inlineStr">
        <is>
          <t>NOT_RUN</t>
        </is>
      </c>
      <c r="P1958" t="n">
        <v>0</v>
      </c>
      <c r="Q1958" t="n">
        <v>1957</v>
      </c>
    </row>
    <row r="1959">
      <c r="A1959" t="n">
        <v>1958</v>
      </c>
      <c r="B1959" t="inlineStr">
        <is>
          <t>MTR-IOS-1958</t>
        </is>
      </c>
      <c r="C1959" t="inlineStr">
        <is>
          <t>iPhone</t>
        </is>
      </c>
      <c r="D1959" t="inlineStr">
        <is>
          <t>Group</t>
        </is>
      </c>
      <c r="E1959" t="inlineStr">
        <is>
          <t>Shared Experience</t>
        </is>
      </c>
      <c r="F1959" t="inlineStr">
        <is>
          <t>Office Outing</t>
        </is>
      </c>
      <c r="G1959" t="inlineStr">
        <is>
          <t>Food</t>
        </is>
      </c>
      <c r="H1959" t="inlineStr">
        <is>
          <t>Group &gt; Office Outing &gt; Quick Add &gt; Food</t>
        </is>
      </c>
      <c r="I1959" s="18" t="n">
        <v>1584.34</v>
      </c>
      <c r="J1959" t="inlineStr">
        <is>
          <t>Created MTR-IOS-1958 and correlation note visible in Activity/Pulse</t>
        </is>
      </c>
      <c r="K1959" t="inlineStr">
        <is>
          <t>NOT_RUN</t>
        </is>
      </c>
      <c r="P1959" t="n">
        <v>0</v>
      </c>
      <c r="Q1959" t="n">
        <v>1958</v>
      </c>
    </row>
    <row r="1960">
      <c r="A1960" t="n">
        <v>1959</v>
      </c>
      <c r="B1960" t="inlineStr">
        <is>
          <t>MTR-IOS-1959</t>
        </is>
      </c>
      <c r="C1960" t="inlineStr">
        <is>
          <t>iPhone</t>
        </is>
      </c>
      <c r="D1960" t="inlineStr">
        <is>
          <t>Business</t>
        </is>
      </c>
      <c r="E1960" t="inlineStr">
        <is>
          <t>Business</t>
        </is>
      </c>
      <c r="F1960" t="inlineStr">
        <is>
          <t>Team Operations</t>
        </is>
      </c>
      <c r="G1960" t="inlineStr">
        <is>
          <t>Contractor</t>
        </is>
      </c>
      <c r="H1960" t="inlineStr">
        <is>
          <t>Business &gt; Team Operations &gt; Quick Add &gt; Contractor</t>
        </is>
      </c>
      <c r="I1960" s="18" t="n">
        <v>35343.96</v>
      </c>
      <c r="J1960" t="inlineStr">
        <is>
          <t>Created MTR-IOS-1959 and correlation note visible in Activity/Pulse</t>
        </is>
      </c>
      <c r="K1960" t="inlineStr">
        <is>
          <t>NOT_RUN</t>
        </is>
      </c>
      <c r="P1960" t="n">
        <v>0</v>
      </c>
      <c r="Q1960" t="n">
        <v>1959</v>
      </c>
    </row>
    <row r="1961">
      <c r="A1961" t="n">
        <v>1960</v>
      </c>
      <c r="B1961" t="inlineStr">
        <is>
          <t>MTR-IOS-1960</t>
        </is>
      </c>
      <c r="C1961" t="inlineStr">
        <is>
          <t>iPhone</t>
        </is>
      </c>
      <c r="D1961" t="inlineStr">
        <is>
          <t>Personal</t>
        </is>
      </c>
      <c r="E1961" t="inlineStr">
        <is>
          <t>Personal</t>
        </is>
      </c>
      <c r="F1961" t="inlineStr">
        <is>
          <t>Future Building</t>
        </is>
      </c>
      <c r="G1961" t="inlineStr">
        <is>
          <t>Investments</t>
        </is>
      </c>
      <c r="H1961" t="inlineStr">
        <is>
          <t>Personal &gt; Future Building &gt; Quick Add &gt; Investments</t>
        </is>
      </c>
      <c r="I1961" s="18" t="n">
        <v>15892.32</v>
      </c>
      <c r="J1961" t="inlineStr">
        <is>
          <t>Created MTR-IOS-1960 and correlation note visible in Activity/Pulse</t>
        </is>
      </c>
      <c r="K1961" t="inlineStr">
        <is>
          <t>NOT_RUN</t>
        </is>
      </c>
      <c r="P1961" t="n">
        <v>0</v>
      </c>
      <c r="Q1961" t="n">
        <v>1960</v>
      </c>
    </row>
    <row r="1962">
      <c r="A1962" t="n">
        <v>1961</v>
      </c>
      <c r="B1962" t="inlineStr">
        <is>
          <t>MTR-IOS-1961</t>
        </is>
      </c>
      <c r="C1962" t="inlineStr">
        <is>
          <t>iPhone</t>
        </is>
      </c>
      <c r="D1962" t="inlineStr">
        <is>
          <t>Group</t>
        </is>
      </c>
      <c r="E1962" t="inlineStr">
        <is>
          <t>Shared Experience</t>
        </is>
      </c>
      <c r="F1962" t="inlineStr">
        <is>
          <t>Office Outing</t>
        </is>
      </c>
      <c r="G1962" t="inlineStr">
        <is>
          <t>Travel</t>
        </is>
      </c>
      <c r="H1962" t="inlineStr">
        <is>
          <t>Group &gt; Office Outing &gt; Quick Add &gt; Travel</t>
        </is>
      </c>
      <c r="I1962" s="18" t="n">
        <v>10000</v>
      </c>
      <c r="J1962" t="inlineStr">
        <is>
          <t>Created MTR-IOS-1961 and correlation note visible in Activity/Pulse</t>
        </is>
      </c>
      <c r="K1962" t="inlineStr">
        <is>
          <t>NOT_RUN</t>
        </is>
      </c>
      <c r="P1962" t="n">
        <v>0</v>
      </c>
      <c r="Q1962" t="n">
        <v>1961</v>
      </c>
    </row>
    <row r="1963">
      <c r="A1963" t="n">
        <v>1962</v>
      </c>
      <c r="B1963" t="inlineStr">
        <is>
          <t>MTR-IOS-1962</t>
        </is>
      </c>
      <c r="C1963" t="inlineStr">
        <is>
          <t>iPhone</t>
        </is>
      </c>
      <c r="D1963" t="inlineStr">
        <is>
          <t>Business</t>
        </is>
      </c>
      <c r="E1963" t="inlineStr">
        <is>
          <t>Business</t>
        </is>
      </c>
      <c r="F1963" t="inlineStr">
        <is>
          <t>Team Operations</t>
        </is>
      </c>
      <c r="G1963" t="inlineStr">
        <is>
          <t>Hiring</t>
        </is>
      </c>
      <c r="H1963" t="inlineStr">
        <is>
          <t>Business &gt; Team Operations &gt; Quick Add &gt; Hiring</t>
        </is>
      </c>
      <c r="I1963" s="18" t="n">
        <v>157591.45</v>
      </c>
      <c r="J1963" t="inlineStr">
        <is>
          <t>Created MTR-IOS-1962 and correlation note visible in Activity/Pulse</t>
        </is>
      </c>
      <c r="K1963" t="inlineStr">
        <is>
          <t>NOT_RUN</t>
        </is>
      </c>
      <c r="P1963" t="n">
        <v>0</v>
      </c>
      <c r="Q1963" t="n">
        <v>1962</v>
      </c>
    </row>
    <row r="1964">
      <c r="A1964" t="n">
        <v>1963</v>
      </c>
      <c r="B1964" t="inlineStr">
        <is>
          <t>MTR-IOS-1963</t>
        </is>
      </c>
      <c r="C1964" t="inlineStr">
        <is>
          <t>iPhone</t>
        </is>
      </c>
      <c r="D1964" t="inlineStr">
        <is>
          <t>Personal</t>
        </is>
      </c>
      <c r="E1964" t="inlineStr">
        <is>
          <t>Personal</t>
        </is>
      </c>
      <c r="F1964" t="inlineStr">
        <is>
          <t>Future Building</t>
        </is>
      </c>
      <c r="G1964" t="inlineStr">
        <is>
          <t>Education</t>
        </is>
      </c>
      <c r="H1964" t="inlineStr">
        <is>
          <t>Personal &gt; Future Building &gt; Quick Add &gt; Education</t>
        </is>
      </c>
      <c r="I1964" s="18" t="n">
        <v>4273.13</v>
      </c>
      <c r="J1964" t="inlineStr">
        <is>
          <t>Created MTR-IOS-1963 and correlation note visible in Activity/Pulse</t>
        </is>
      </c>
      <c r="K1964" t="inlineStr">
        <is>
          <t>NOT_RUN</t>
        </is>
      </c>
      <c r="P1964" t="n">
        <v>0</v>
      </c>
      <c r="Q1964" t="n">
        <v>1963</v>
      </c>
    </row>
    <row r="1965">
      <c r="A1965" t="n">
        <v>1964</v>
      </c>
      <c r="B1965" t="inlineStr">
        <is>
          <t>MTR-IOS-1964</t>
        </is>
      </c>
      <c r="C1965" t="inlineStr">
        <is>
          <t>iPhone</t>
        </is>
      </c>
      <c r="D1965" t="inlineStr">
        <is>
          <t>Group</t>
        </is>
      </c>
      <c r="E1965" t="inlineStr">
        <is>
          <t>Shared Experience</t>
        </is>
      </c>
      <c r="F1965" t="inlineStr">
        <is>
          <t>Office Outing</t>
        </is>
      </c>
      <c r="G1965" t="inlineStr">
        <is>
          <t>Activities</t>
        </is>
      </c>
      <c r="H1965" t="inlineStr">
        <is>
          <t>Group &gt; Office Outing &gt; Quick Add &gt; Activities</t>
        </is>
      </c>
      <c r="I1965" s="18" t="n">
        <v>2010.14</v>
      </c>
      <c r="J1965" t="inlineStr">
        <is>
          <t>Created MTR-IOS-1964 and correlation note visible in Activity/Pulse</t>
        </is>
      </c>
      <c r="K1965" t="inlineStr">
        <is>
          <t>NOT_RUN</t>
        </is>
      </c>
      <c r="P1965" t="n">
        <v>0</v>
      </c>
      <c r="Q1965" t="n">
        <v>1964</v>
      </c>
    </row>
    <row r="1966">
      <c r="A1966" t="n">
        <v>1965</v>
      </c>
      <c r="B1966" t="inlineStr">
        <is>
          <t>MTR-IOS-1965</t>
        </is>
      </c>
      <c r="C1966" t="inlineStr">
        <is>
          <t>iPhone</t>
        </is>
      </c>
      <c r="D1966" t="inlineStr">
        <is>
          <t>Business</t>
        </is>
      </c>
      <c r="E1966" t="inlineStr">
        <is>
          <t>Business</t>
        </is>
      </c>
      <c r="F1966" t="inlineStr">
        <is>
          <t>Team Operations</t>
        </is>
      </c>
      <c r="G1966" t="inlineStr">
        <is>
          <t>Team Meal</t>
        </is>
      </c>
      <c r="H1966" t="inlineStr">
        <is>
          <t>Business &gt; Team Operations &gt; Quick Add &gt; Team Meal</t>
        </is>
      </c>
      <c r="I1966" s="18" t="n">
        <v>145434.25</v>
      </c>
      <c r="J1966" t="inlineStr">
        <is>
          <t>Created MTR-IOS-1965 and correlation note visible in Activity/Pulse</t>
        </is>
      </c>
      <c r="K1966" t="inlineStr">
        <is>
          <t>NOT_RUN</t>
        </is>
      </c>
      <c r="P1966" t="n">
        <v>0</v>
      </c>
      <c r="Q1966" t="n">
        <v>1965</v>
      </c>
    </row>
    <row r="1967">
      <c r="A1967" t="n">
        <v>1966</v>
      </c>
      <c r="B1967" t="inlineStr">
        <is>
          <t>MTR-IOS-1966</t>
        </is>
      </c>
      <c r="C1967" t="inlineStr">
        <is>
          <t>iPhone</t>
        </is>
      </c>
      <c r="D1967" t="inlineStr">
        <is>
          <t>Personal</t>
        </is>
      </c>
      <c r="E1967" t="inlineStr">
        <is>
          <t>Personal</t>
        </is>
      </c>
      <c r="F1967" t="inlineStr">
        <is>
          <t>Future Building</t>
        </is>
      </c>
      <c r="G1967" t="inlineStr">
        <is>
          <t>Goal Contribution</t>
        </is>
      </c>
      <c r="H1967" t="inlineStr">
        <is>
          <t>Personal &gt; Future Building &gt; Quick Add &gt; Goal Contribution</t>
        </is>
      </c>
      <c r="I1967" s="18" t="n">
        <v>2105.03</v>
      </c>
      <c r="J1967" t="inlineStr">
        <is>
          <t>Created MTR-IOS-1966 and correlation note visible in Activity/Pulse</t>
        </is>
      </c>
      <c r="K1967" t="inlineStr">
        <is>
          <t>NOT_RUN</t>
        </is>
      </c>
      <c r="P1967" t="n">
        <v>0</v>
      </c>
      <c r="Q1967" t="n">
        <v>1966</v>
      </c>
    </row>
    <row r="1968">
      <c r="A1968" t="n">
        <v>1967</v>
      </c>
      <c r="B1968" t="inlineStr">
        <is>
          <t>MTR-IOS-1967</t>
        </is>
      </c>
      <c r="C1968" t="inlineStr">
        <is>
          <t>iPhone</t>
        </is>
      </c>
      <c r="D1968" t="inlineStr">
        <is>
          <t>Group</t>
        </is>
      </c>
      <c r="E1968" t="inlineStr">
        <is>
          <t>Shared Experience</t>
        </is>
      </c>
      <c r="F1968" t="inlineStr">
        <is>
          <t>Office Outing</t>
        </is>
      </c>
      <c r="G1968" t="inlineStr">
        <is>
          <t>Venue</t>
        </is>
      </c>
      <c r="H1968" t="inlineStr">
        <is>
          <t>Group &gt; Office Outing &gt; Quick Add &gt; Venue</t>
        </is>
      </c>
      <c r="I1968" s="18" t="n">
        <v>20560.07</v>
      </c>
      <c r="J1968" t="inlineStr">
        <is>
          <t>Created MTR-IOS-1967 and correlation note visible in Activity/Pulse</t>
        </is>
      </c>
      <c r="K1968" t="inlineStr">
        <is>
          <t>NOT_RUN</t>
        </is>
      </c>
      <c r="P1968" t="n">
        <v>0</v>
      </c>
      <c r="Q1968" t="n">
        <v>1967</v>
      </c>
    </row>
    <row r="1969">
      <c r="A1969" t="n">
        <v>1968</v>
      </c>
      <c r="B1969" t="inlineStr">
        <is>
          <t>MTR-IOS-1968</t>
        </is>
      </c>
      <c r="C1969" t="inlineStr">
        <is>
          <t>iPhone</t>
        </is>
      </c>
      <c r="D1969" t="inlineStr">
        <is>
          <t>Business</t>
        </is>
      </c>
      <c r="E1969" t="inlineStr">
        <is>
          <t>Business</t>
        </is>
      </c>
      <c r="F1969" t="inlineStr">
        <is>
          <t>Team Operations</t>
        </is>
      </c>
      <c r="G1969" t="inlineStr">
        <is>
          <t>Travel</t>
        </is>
      </c>
      <c r="H1969" t="inlineStr">
        <is>
          <t>Business &gt; Team Operations &gt; Quick Add &gt; Travel</t>
        </is>
      </c>
      <c r="I1969" s="18" t="n">
        <v>111045.26</v>
      </c>
      <c r="J1969" t="inlineStr">
        <is>
          <t>Created MTR-IOS-1968 and correlation note visible in Activity/Pulse</t>
        </is>
      </c>
      <c r="K1969" t="inlineStr">
        <is>
          <t>NOT_RUN</t>
        </is>
      </c>
      <c r="P1969" t="n">
        <v>0</v>
      </c>
      <c r="Q1969" t="n">
        <v>1968</v>
      </c>
    </row>
    <row r="1970">
      <c r="A1970" t="n">
        <v>1969</v>
      </c>
      <c r="B1970" t="inlineStr">
        <is>
          <t>MTR-IOS-1969</t>
        </is>
      </c>
      <c r="C1970" t="inlineStr">
        <is>
          <t>iPhone</t>
        </is>
      </c>
      <c r="D1970" t="inlineStr">
        <is>
          <t>Personal</t>
        </is>
      </c>
      <c r="E1970" t="inlineStr">
        <is>
          <t>Personal</t>
        </is>
      </c>
      <c r="F1970" t="inlineStr">
        <is>
          <t>Lifestyle</t>
        </is>
      </c>
      <c r="G1970" t="inlineStr">
        <is>
          <t>Dining</t>
        </is>
      </c>
      <c r="H1970" t="inlineStr">
        <is>
          <t>Personal &gt; Lifestyle &gt; Quick Add &gt; Dining</t>
        </is>
      </c>
      <c r="I1970" s="18" t="n">
        <v>1109.15</v>
      </c>
      <c r="J1970" t="inlineStr">
        <is>
          <t>Created MTR-IOS-1969 and correlation note visible in Activity/Pulse</t>
        </is>
      </c>
      <c r="K1970" t="inlineStr">
        <is>
          <t>NOT_RUN</t>
        </is>
      </c>
      <c r="P1970" t="n">
        <v>0</v>
      </c>
      <c r="Q1970" t="n">
        <v>1969</v>
      </c>
    </row>
    <row r="1971">
      <c r="A1971" t="n">
        <v>1970</v>
      </c>
      <c r="B1971" t="inlineStr">
        <is>
          <t>MTR-IOS-1970</t>
        </is>
      </c>
      <c r="C1971" t="inlineStr">
        <is>
          <t>iPhone</t>
        </is>
      </c>
      <c r="D1971" t="inlineStr">
        <is>
          <t>Group</t>
        </is>
      </c>
      <c r="E1971" t="inlineStr">
        <is>
          <t>Shared Experience</t>
        </is>
      </c>
      <c r="F1971" t="inlineStr">
        <is>
          <t>Office Outing</t>
        </is>
      </c>
      <c r="G1971" t="inlineStr">
        <is>
          <t>Other</t>
        </is>
      </c>
      <c r="H1971" t="inlineStr">
        <is>
          <t>Group &gt; Office Outing &gt; Quick Add &gt; Other</t>
        </is>
      </c>
      <c r="I1971" s="18" t="n">
        <v>22772.83</v>
      </c>
      <c r="J1971" t="inlineStr">
        <is>
          <t>Created MTR-IOS-1970 and correlation note visible in Activity/Pulse</t>
        </is>
      </c>
      <c r="K1971" t="inlineStr">
        <is>
          <t>NOT_RUN</t>
        </is>
      </c>
      <c r="P1971" t="n">
        <v>0</v>
      </c>
      <c r="Q1971" t="n">
        <v>1970</v>
      </c>
    </row>
    <row r="1972">
      <c r="A1972" t="n">
        <v>1971</v>
      </c>
      <c r="B1972" t="inlineStr">
        <is>
          <t>MTR-IOS-1971</t>
        </is>
      </c>
      <c r="C1972" t="inlineStr">
        <is>
          <t>iPhone</t>
        </is>
      </c>
      <c r="D1972" t="inlineStr">
        <is>
          <t>Business</t>
        </is>
      </c>
      <c r="E1972" t="inlineStr">
        <is>
          <t>Business</t>
        </is>
      </c>
      <c r="F1972" t="inlineStr">
        <is>
          <t>Team Operations</t>
        </is>
      </c>
      <c r="G1972" t="inlineStr">
        <is>
          <t>Training</t>
        </is>
      </c>
      <c r="H1972" t="inlineStr">
        <is>
          <t>Business &gt; Team Operations &gt; Quick Add &gt; Training</t>
        </is>
      </c>
      <c r="I1972" s="18" t="n">
        <v>42176.94</v>
      </c>
      <c r="J1972" t="inlineStr">
        <is>
          <t>Created MTR-IOS-1971 and correlation note visible in Activity/Pulse</t>
        </is>
      </c>
      <c r="K1972" t="inlineStr">
        <is>
          <t>NOT_RUN</t>
        </is>
      </c>
      <c r="P1972" t="n">
        <v>0</v>
      </c>
      <c r="Q1972" t="n">
        <v>1971</v>
      </c>
    </row>
    <row r="1973">
      <c r="A1973" t="n">
        <v>1972</v>
      </c>
      <c r="B1973" t="inlineStr">
        <is>
          <t>MTR-IOS-1972</t>
        </is>
      </c>
      <c r="C1973" t="inlineStr">
        <is>
          <t>iPhone</t>
        </is>
      </c>
      <c r="D1973" t="inlineStr">
        <is>
          <t>Personal</t>
        </is>
      </c>
      <c r="E1973" t="inlineStr">
        <is>
          <t>Personal</t>
        </is>
      </c>
      <c r="F1973" t="inlineStr">
        <is>
          <t>Lifestyle</t>
        </is>
      </c>
      <c r="G1973" t="inlineStr">
        <is>
          <t>Shopping</t>
        </is>
      </c>
      <c r="H1973" t="inlineStr">
        <is>
          <t>Personal &gt; Lifestyle &gt; Quick Add &gt; Shopping</t>
        </is>
      </c>
      <c r="I1973" s="18" t="n">
        <v>3384.39</v>
      </c>
      <c r="J1973" t="inlineStr">
        <is>
          <t>Created MTR-IOS-1972 and correlation note visible in Activity/Pulse</t>
        </is>
      </c>
      <c r="K1973" t="inlineStr">
        <is>
          <t>NOT_RUN</t>
        </is>
      </c>
      <c r="P1973" t="n">
        <v>0</v>
      </c>
      <c r="Q1973" t="n">
        <v>1972</v>
      </c>
    </row>
    <row r="1974">
      <c r="A1974" t="n">
        <v>1973</v>
      </c>
      <c r="B1974" t="inlineStr">
        <is>
          <t>MTR-IOS-1973</t>
        </is>
      </c>
      <c r="C1974" t="inlineStr">
        <is>
          <t>iPhone</t>
        </is>
      </c>
      <c r="D1974" t="inlineStr">
        <is>
          <t>Group</t>
        </is>
      </c>
      <c r="E1974" t="inlineStr">
        <is>
          <t>Shared Experience</t>
        </is>
      </c>
      <c r="F1974" t="inlineStr">
        <is>
          <t>House Party</t>
        </is>
      </c>
      <c r="G1974" t="inlineStr">
        <is>
          <t>Food</t>
        </is>
      </c>
      <c r="H1974" t="inlineStr">
        <is>
          <t>Group &gt; House Party &gt; Quick Add &gt; Food</t>
        </is>
      </c>
      <c r="I1974" s="18" t="n">
        <v>22397.76</v>
      </c>
      <c r="J1974" t="inlineStr">
        <is>
          <t>Created MTR-IOS-1973 and correlation note visible in Activity/Pulse</t>
        </is>
      </c>
      <c r="K1974" t="inlineStr">
        <is>
          <t>NOT_RUN</t>
        </is>
      </c>
      <c r="P1974" t="n">
        <v>0</v>
      </c>
      <c r="Q1974" t="n">
        <v>1973</v>
      </c>
    </row>
    <row r="1975">
      <c r="A1975" t="n">
        <v>1974</v>
      </c>
      <c r="B1975" t="inlineStr">
        <is>
          <t>MTR-IOS-1974</t>
        </is>
      </c>
      <c r="C1975" t="inlineStr">
        <is>
          <t>iPhone</t>
        </is>
      </c>
      <c r="D1975" t="inlineStr">
        <is>
          <t>Business</t>
        </is>
      </c>
      <c r="E1975" t="inlineStr">
        <is>
          <t>Business</t>
        </is>
      </c>
      <c r="F1975" t="inlineStr">
        <is>
          <t>Team Operations</t>
        </is>
      </c>
      <c r="G1975" t="inlineStr">
        <is>
          <t>Tools</t>
        </is>
      </c>
      <c r="H1975" t="inlineStr">
        <is>
          <t>Business &gt; Team Operations &gt; Quick Add &gt; Tools</t>
        </is>
      </c>
      <c r="I1975" s="18" t="n">
        <v>97330.38</v>
      </c>
      <c r="J1975" t="inlineStr">
        <is>
          <t>Created MTR-IOS-1974 and correlation note visible in Activity/Pulse</t>
        </is>
      </c>
      <c r="K1975" t="inlineStr">
        <is>
          <t>NOT_RUN</t>
        </is>
      </c>
      <c r="P1975" t="n">
        <v>0</v>
      </c>
      <c r="Q1975" t="n">
        <v>1974</v>
      </c>
    </row>
    <row r="1976">
      <c r="A1976" t="n">
        <v>1975</v>
      </c>
      <c r="B1976" t="inlineStr">
        <is>
          <t>MTR-IOS-1975</t>
        </is>
      </c>
      <c r="C1976" t="inlineStr">
        <is>
          <t>iPhone</t>
        </is>
      </c>
      <c r="D1976" t="inlineStr">
        <is>
          <t>Personal</t>
        </is>
      </c>
      <c r="E1976" t="inlineStr">
        <is>
          <t>Personal</t>
        </is>
      </c>
      <c r="F1976" t="inlineStr">
        <is>
          <t>Lifestyle</t>
        </is>
      </c>
      <c r="G1976" t="inlineStr">
        <is>
          <t>Entertainment</t>
        </is>
      </c>
      <c r="H1976" t="inlineStr">
        <is>
          <t>Personal &gt; Lifestyle &gt; Quick Add &gt; Entertainment</t>
        </is>
      </c>
      <c r="I1976" s="18" t="n">
        <v>6783.49</v>
      </c>
      <c r="J1976" t="inlineStr">
        <is>
          <t>Created MTR-IOS-1975 and correlation note visible in Activity/Pulse</t>
        </is>
      </c>
      <c r="K1976" t="inlineStr">
        <is>
          <t>NOT_RUN</t>
        </is>
      </c>
      <c r="P1976" t="n">
        <v>0</v>
      </c>
      <c r="Q1976" t="n">
        <v>1975</v>
      </c>
    </row>
    <row r="1977">
      <c r="A1977" t="n">
        <v>1976</v>
      </c>
      <c r="B1977" t="inlineStr">
        <is>
          <t>MTR-IOS-1976</t>
        </is>
      </c>
      <c r="C1977" t="inlineStr">
        <is>
          <t>iPhone</t>
        </is>
      </c>
      <c r="D1977" t="inlineStr">
        <is>
          <t>Group</t>
        </is>
      </c>
      <c r="E1977" t="inlineStr">
        <is>
          <t>Shared Experience</t>
        </is>
      </c>
      <c r="F1977" t="inlineStr">
        <is>
          <t>House Party</t>
        </is>
      </c>
      <c r="G1977" t="inlineStr">
        <is>
          <t>Drinks</t>
        </is>
      </c>
      <c r="H1977" t="inlineStr">
        <is>
          <t>Group &gt; House Party &gt; Quick Add &gt; Drinks</t>
        </is>
      </c>
      <c r="I1977" s="18" t="n">
        <v>17358.45</v>
      </c>
      <c r="J1977" t="inlineStr">
        <is>
          <t>Created MTR-IOS-1976 and correlation note visible in Activity/Pulse</t>
        </is>
      </c>
      <c r="K1977" t="inlineStr">
        <is>
          <t>NOT_RUN</t>
        </is>
      </c>
      <c r="P1977" t="n">
        <v>0</v>
      </c>
      <c r="Q1977" t="n">
        <v>1976</v>
      </c>
    </row>
    <row r="1978">
      <c r="A1978" t="n">
        <v>1977</v>
      </c>
      <c r="B1978" t="inlineStr">
        <is>
          <t>MTR-IOS-1977</t>
        </is>
      </c>
      <c r="C1978" t="inlineStr">
        <is>
          <t>iPhone</t>
        </is>
      </c>
      <c r="D1978" t="inlineStr">
        <is>
          <t>Business</t>
        </is>
      </c>
      <c r="E1978" t="inlineStr">
        <is>
          <t>Business</t>
        </is>
      </c>
      <c r="F1978" t="inlineStr">
        <is>
          <t>Business Runway</t>
        </is>
      </c>
      <c r="G1978" t="inlineStr">
        <is>
          <t>Funding</t>
        </is>
      </c>
      <c r="H1978" t="inlineStr">
        <is>
          <t>Business &gt; Business Runway &gt; Quick Add &gt; Funding</t>
        </is>
      </c>
      <c r="I1978" s="18" t="n">
        <v>108479.49</v>
      </c>
      <c r="J1978" t="inlineStr">
        <is>
          <t>Created MTR-IOS-1977 and correlation note visible in Activity/Pulse</t>
        </is>
      </c>
      <c r="K1978" t="inlineStr">
        <is>
          <t>NOT_RUN</t>
        </is>
      </c>
      <c r="P1978" t="n">
        <v>0</v>
      </c>
      <c r="Q1978" t="n">
        <v>1977</v>
      </c>
    </row>
    <row r="1979">
      <c r="A1979" t="n">
        <v>1978</v>
      </c>
      <c r="B1979" t="inlineStr">
        <is>
          <t>MTR-IOS-1978</t>
        </is>
      </c>
      <c r="C1979" t="inlineStr">
        <is>
          <t>iPhone</t>
        </is>
      </c>
      <c r="D1979" t="inlineStr">
        <is>
          <t>Personal</t>
        </is>
      </c>
      <c r="E1979" t="inlineStr">
        <is>
          <t>Personal</t>
        </is>
      </c>
      <c r="F1979" t="inlineStr">
        <is>
          <t>Lifestyle</t>
        </is>
      </c>
      <c r="G1979" t="inlineStr">
        <is>
          <t>Travel</t>
        </is>
      </c>
      <c r="H1979" t="inlineStr">
        <is>
          <t>Personal &gt; Lifestyle &gt; Quick Add &gt; Travel</t>
        </is>
      </c>
      <c r="I1979" s="18" t="n">
        <v>7291.3</v>
      </c>
      <c r="J1979" t="inlineStr">
        <is>
          <t>Created MTR-IOS-1978 and correlation note visible in Activity/Pulse</t>
        </is>
      </c>
      <c r="K1979" t="inlineStr">
        <is>
          <t>NOT_RUN</t>
        </is>
      </c>
      <c r="P1979" t="n">
        <v>0</v>
      </c>
      <c r="Q1979" t="n">
        <v>1978</v>
      </c>
    </row>
    <row r="1980">
      <c r="A1980" t="n">
        <v>1979</v>
      </c>
      <c r="B1980" t="inlineStr">
        <is>
          <t>MTR-IOS-1979</t>
        </is>
      </c>
      <c r="C1980" t="inlineStr">
        <is>
          <t>iPhone</t>
        </is>
      </c>
      <c r="D1980" t="inlineStr">
        <is>
          <t>Group</t>
        </is>
      </c>
      <c r="E1980" t="inlineStr">
        <is>
          <t>Shared Experience</t>
        </is>
      </c>
      <c r="F1980" t="inlineStr">
        <is>
          <t>House Party</t>
        </is>
      </c>
      <c r="G1980" t="inlineStr">
        <is>
          <t>Decor</t>
        </is>
      </c>
      <c r="H1980" t="inlineStr">
        <is>
          <t>Group &gt; House Party &gt; Quick Add &gt; Decor</t>
        </is>
      </c>
      <c r="I1980" s="18" t="n">
        <v>2166.09</v>
      </c>
      <c r="J1980" t="inlineStr">
        <is>
          <t>Created MTR-IOS-1979 and correlation note visible in Activity/Pulse</t>
        </is>
      </c>
      <c r="K1980" t="inlineStr">
        <is>
          <t>NOT_RUN</t>
        </is>
      </c>
      <c r="P1980" t="n">
        <v>0</v>
      </c>
      <c r="Q1980" t="n">
        <v>1979</v>
      </c>
    </row>
    <row r="1981">
      <c r="A1981" t="n">
        <v>1980</v>
      </c>
      <c r="B1981" t="inlineStr">
        <is>
          <t>MTR-IOS-1980</t>
        </is>
      </c>
      <c r="C1981" t="inlineStr">
        <is>
          <t>iPhone</t>
        </is>
      </c>
      <c r="D1981" t="inlineStr">
        <is>
          <t>Business</t>
        </is>
      </c>
      <c r="E1981" t="inlineStr">
        <is>
          <t>Business</t>
        </is>
      </c>
      <c r="F1981" t="inlineStr">
        <is>
          <t>Business Runway</t>
        </is>
      </c>
      <c r="G1981" t="inlineStr">
        <is>
          <t>Revenue</t>
        </is>
      </c>
      <c r="H1981" t="inlineStr">
        <is>
          <t>Business &gt; Business Runway &gt; Quick Add &gt; Revenue</t>
        </is>
      </c>
      <c r="I1981" s="18" t="n">
        <v>16876.08</v>
      </c>
      <c r="J1981" t="inlineStr">
        <is>
          <t>Created MTR-IOS-1980 and correlation note visible in Activity/Pulse</t>
        </is>
      </c>
      <c r="K1981" t="inlineStr">
        <is>
          <t>NOT_RUN</t>
        </is>
      </c>
      <c r="P1981" t="n">
        <v>0</v>
      </c>
      <c r="Q1981" t="n">
        <v>1980</v>
      </c>
    </row>
    <row r="1982">
      <c r="A1982" t="n">
        <v>1981</v>
      </c>
      <c r="B1982" t="inlineStr">
        <is>
          <t>MTR-IOS-1981</t>
        </is>
      </c>
      <c r="C1982" t="inlineStr">
        <is>
          <t>iPhone</t>
        </is>
      </c>
      <c r="D1982" t="inlineStr">
        <is>
          <t>Personal</t>
        </is>
      </c>
      <c r="E1982" t="inlineStr">
        <is>
          <t>Personal</t>
        </is>
      </c>
      <c r="F1982" t="inlineStr">
        <is>
          <t>Lifestyle</t>
        </is>
      </c>
      <c r="G1982" t="inlineStr">
        <is>
          <t>Fitness</t>
        </is>
      </c>
      <c r="H1982" t="inlineStr">
        <is>
          <t>Personal &gt; Lifestyle &gt; Quick Add &gt; Fitness</t>
        </is>
      </c>
      <c r="I1982" s="18" t="n">
        <v>5358.92</v>
      </c>
      <c r="J1982" t="inlineStr">
        <is>
          <t>Created MTR-IOS-1981 and correlation note visible in Activity/Pulse</t>
        </is>
      </c>
      <c r="K1982" t="inlineStr">
        <is>
          <t>NOT_RUN</t>
        </is>
      </c>
      <c r="P1982" t="n">
        <v>0</v>
      </c>
      <c r="Q1982" t="n">
        <v>1981</v>
      </c>
    </row>
    <row r="1983">
      <c r="A1983" t="n">
        <v>1982</v>
      </c>
      <c r="B1983" t="inlineStr">
        <is>
          <t>MTR-IOS-1982</t>
        </is>
      </c>
      <c r="C1983" t="inlineStr">
        <is>
          <t>iPhone</t>
        </is>
      </c>
      <c r="D1983" t="inlineStr">
        <is>
          <t>Group</t>
        </is>
      </c>
      <c r="E1983" t="inlineStr">
        <is>
          <t>Shared Experience</t>
        </is>
      </c>
      <c r="F1983" t="inlineStr">
        <is>
          <t>House Party</t>
        </is>
      </c>
      <c r="G1983" t="inlineStr">
        <is>
          <t>Supplies</t>
        </is>
      </c>
      <c r="H1983" t="inlineStr">
        <is>
          <t>Group &gt; House Party &gt; Quick Add &gt; Supplies</t>
        </is>
      </c>
      <c r="I1983" s="18" t="n">
        <v>19418.6</v>
      </c>
      <c r="J1983" t="inlineStr">
        <is>
          <t>Created MTR-IOS-1982 and correlation note visible in Activity/Pulse</t>
        </is>
      </c>
      <c r="K1983" t="inlineStr">
        <is>
          <t>NOT_RUN</t>
        </is>
      </c>
      <c r="P1983" t="n">
        <v>0</v>
      </c>
      <c r="Q1983" t="n">
        <v>1982</v>
      </c>
    </row>
    <row r="1984">
      <c r="A1984" t="n">
        <v>1983</v>
      </c>
      <c r="B1984" t="inlineStr">
        <is>
          <t>MTR-IOS-1983</t>
        </is>
      </c>
      <c r="C1984" t="inlineStr">
        <is>
          <t>iPhone</t>
        </is>
      </c>
      <c r="D1984" t="inlineStr">
        <is>
          <t>Business</t>
        </is>
      </c>
      <c r="E1984" t="inlineStr">
        <is>
          <t>Business</t>
        </is>
      </c>
      <c r="F1984" t="inlineStr">
        <is>
          <t>Business Runway</t>
        </is>
      </c>
      <c r="G1984" t="inlineStr">
        <is>
          <t>Burn</t>
        </is>
      </c>
      <c r="H1984" t="inlineStr">
        <is>
          <t>Business &gt; Business Runway &gt; Quick Add &gt; Burn</t>
        </is>
      </c>
      <c r="I1984" s="18" t="n">
        <v>141174.78</v>
      </c>
      <c r="J1984" t="inlineStr">
        <is>
          <t>Created MTR-IOS-1983 and correlation note visible in Activity/Pulse</t>
        </is>
      </c>
      <c r="K1984" t="inlineStr">
        <is>
          <t>NOT_RUN</t>
        </is>
      </c>
      <c r="P1984" t="n">
        <v>0</v>
      </c>
      <c r="Q1984" t="n">
        <v>1983</v>
      </c>
    </row>
    <row r="1985">
      <c r="A1985" t="n">
        <v>1984</v>
      </c>
      <c r="B1985" t="inlineStr">
        <is>
          <t>MTR-IOS-1984</t>
        </is>
      </c>
      <c r="C1985" t="inlineStr">
        <is>
          <t>iPhone</t>
        </is>
      </c>
      <c r="D1985" t="inlineStr">
        <is>
          <t>Personal</t>
        </is>
      </c>
      <c r="E1985" t="inlineStr">
        <is>
          <t>Personal</t>
        </is>
      </c>
      <c r="F1985" t="inlineStr">
        <is>
          <t>Lifestyle</t>
        </is>
      </c>
      <c r="G1985" t="inlineStr">
        <is>
          <t>Hobbies</t>
        </is>
      </c>
      <c r="H1985" t="inlineStr">
        <is>
          <t>Personal &gt; Lifestyle &gt; Quick Add &gt; Hobbies</t>
        </is>
      </c>
      <c r="I1985" s="18" t="n">
        <v>1073.57</v>
      </c>
      <c r="J1985" t="inlineStr">
        <is>
          <t>Created MTR-IOS-1984 and correlation note visible in Activity/Pulse</t>
        </is>
      </c>
      <c r="K1985" t="inlineStr">
        <is>
          <t>NOT_RUN</t>
        </is>
      </c>
      <c r="P1985" t="n">
        <v>0</v>
      </c>
      <c r="Q1985" t="n">
        <v>1984</v>
      </c>
    </row>
    <row r="1986">
      <c r="A1986" t="n">
        <v>1985</v>
      </c>
      <c r="B1986" t="inlineStr">
        <is>
          <t>MTR-IOS-1985</t>
        </is>
      </c>
      <c r="C1986" t="inlineStr">
        <is>
          <t>iPhone</t>
        </is>
      </c>
      <c r="D1986" t="inlineStr">
        <is>
          <t>Group</t>
        </is>
      </c>
      <c r="E1986" t="inlineStr">
        <is>
          <t>Shared Experience</t>
        </is>
      </c>
      <c r="F1986" t="inlineStr">
        <is>
          <t>House Party</t>
        </is>
      </c>
      <c r="G1986" t="inlineStr">
        <is>
          <t>Other</t>
        </is>
      </c>
      <c r="H1986" t="inlineStr">
        <is>
          <t>Group &gt; House Party &gt; Quick Add &gt; Other</t>
        </is>
      </c>
      <c r="I1986" s="18" t="n">
        <v>7312.48</v>
      </c>
      <c r="J1986" t="inlineStr">
        <is>
          <t>Created MTR-IOS-1985 and correlation note visible in Activity/Pulse</t>
        </is>
      </c>
      <c r="K1986" t="inlineStr">
        <is>
          <t>NOT_RUN</t>
        </is>
      </c>
      <c r="P1986" t="n">
        <v>0</v>
      </c>
      <c r="Q1986" t="n">
        <v>1985</v>
      </c>
    </row>
    <row r="1987">
      <c r="A1987" t="n">
        <v>1986</v>
      </c>
      <c r="B1987" t="inlineStr">
        <is>
          <t>MTR-IOS-1986</t>
        </is>
      </c>
      <c r="C1987" t="inlineStr">
        <is>
          <t>iPhone</t>
        </is>
      </c>
      <c r="D1987" t="inlineStr">
        <is>
          <t>Business</t>
        </is>
      </c>
      <c r="E1987" t="inlineStr">
        <is>
          <t>Business</t>
        </is>
      </c>
      <c r="F1987" t="inlineStr">
        <is>
          <t>Business Runway</t>
        </is>
      </c>
      <c r="G1987" t="inlineStr">
        <is>
          <t>Reserve</t>
        </is>
      </c>
      <c r="H1987" t="inlineStr">
        <is>
          <t>Business &gt; Business Runway &gt; Quick Add &gt; Reserve</t>
        </is>
      </c>
      <c r="I1987" s="18" t="n">
        <v>127965.49</v>
      </c>
      <c r="J1987" t="inlineStr">
        <is>
          <t>Created MTR-IOS-1986 and correlation note visible in Activity/Pulse</t>
        </is>
      </c>
      <c r="K1987" t="inlineStr">
        <is>
          <t>NOT_RUN</t>
        </is>
      </c>
      <c r="P1987" t="n">
        <v>0</v>
      </c>
      <c r="Q1987" t="n">
        <v>1986</v>
      </c>
    </row>
    <row r="1988">
      <c r="A1988" t="n">
        <v>1987</v>
      </c>
      <c r="B1988" t="inlineStr">
        <is>
          <t>MTR-IOS-1987</t>
        </is>
      </c>
      <c r="C1988" t="inlineStr">
        <is>
          <t>iPhone</t>
        </is>
      </c>
      <c r="D1988" t="inlineStr">
        <is>
          <t>Personal</t>
        </is>
      </c>
      <c r="E1988" t="inlineStr">
        <is>
          <t>Personal</t>
        </is>
      </c>
      <c r="F1988" t="inlineStr">
        <is>
          <t>Relationships</t>
        </is>
      </c>
      <c r="G1988" t="inlineStr">
        <is>
          <t>Gifts</t>
        </is>
      </c>
      <c r="H1988" t="inlineStr">
        <is>
          <t>Personal &gt; Relationships &gt; Quick Add &gt; Gifts</t>
        </is>
      </c>
      <c r="I1988" s="18" t="n">
        <v>15590.09</v>
      </c>
      <c r="J1988" t="inlineStr">
        <is>
          <t>Created MTR-IOS-1987 and correlation note visible in Activity/Pulse</t>
        </is>
      </c>
      <c r="K1988" t="inlineStr">
        <is>
          <t>NOT_RUN</t>
        </is>
      </c>
      <c r="P1988" t="n">
        <v>0</v>
      </c>
      <c r="Q1988" t="n">
        <v>1987</v>
      </c>
    </row>
    <row r="1989">
      <c r="A1989" t="n">
        <v>1988</v>
      </c>
      <c r="B1989" t="inlineStr">
        <is>
          <t>MTR-IOS-1988</t>
        </is>
      </c>
      <c r="C1989" t="inlineStr">
        <is>
          <t>iPhone</t>
        </is>
      </c>
      <c r="D1989" t="inlineStr">
        <is>
          <t>Group</t>
        </is>
      </c>
      <c r="E1989" t="inlineStr">
        <is>
          <t>Shared Purchase</t>
        </is>
      </c>
      <c r="F1989" t="inlineStr">
        <is>
          <t>Gift Pool</t>
        </is>
      </c>
      <c r="G1989" t="inlineStr">
        <is>
          <t>Contribution</t>
        </is>
      </c>
      <c r="H1989" t="inlineStr">
        <is>
          <t>Group &gt; Gift Pool &gt; Quick Add &gt; Contribution</t>
        </is>
      </c>
      <c r="I1989" s="18" t="n">
        <v>7370.46</v>
      </c>
      <c r="J1989" t="inlineStr">
        <is>
          <t>Created MTR-IOS-1988 and correlation note visible in Activity/Pulse</t>
        </is>
      </c>
      <c r="K1989" t="inlineStr">
        <is>
          <t>NOT_RUN</t>
        </is>
      </c>
      <c r="P1989" t="n">
        <v>0</v>
      </c>
      <c r="Q1989" t="n">
        <v>1988</v>
      </c>
    </row>
    <row r="1990">
      <c r="A1990" t="n">
        <v>1989</v>
      </c>
      <c r="B1990" t="inlineStr">
        <is>
          <t>MTR-IOS-1989</t>
        </is>
      </c>
      <c r="C1990" t="inlineStr">
        <is>
          <t>iPhone</t>
        </is>
      </c>
      <c r="D1990" t="inlineStr">
        <is>
          <t>Business</t>
        </is>
      </c>
      <c r="E1990" t="inlineStr">
        <is>
          <t>Business</t>
        </is>
      </c>
      <c r="F1990" t="inlineStr">
        <is>
          <t>Business Runway</t>
        </is>
      </c>
      <c r="G1990" t="inlineStr">
        <is>
          <t>Loan</t>
        </is>
      </c>
      <c r="H1990" t="inlineStr">
        <is>
          <t>Business &gt; Business Runway &gt; Quick Add &gt; Loan</t>
        </is>
      </c>
      <c r="I1990" s="18" t="n">
        <v>34299.67</v>
      </c>
      <c r="J1990" t="inlineStr">
        <is>
          <t>Created MTR-IOS-1989 and correlation note visible in Activity/Pulse</t>
        </is>
      </c>
      <c r="K1990" t="inlineStr">
        <is>
          <t>NOT_RUN</t>
        </is>
      </c>
      <c r="P1990" t="n">
        <v>0</v>
      </c>
      <c r="Q1990" t="n">
        <v>1989</v>
      </c>
    </row>
    <row r="1991">
      <c r="A1991" t="n">
        <v>1990</v>
      </c>
      <c r="B1991" t="inlineStr">
        <is>
          <t>MTR-IOS-1990</t>
        </is>
      </c>
      <c r="C1991" t="inlineStr">
        <is>
          <t>iPhone</t>
        </is>
      </c>
      <c r="D1991" t="inlineStr">
        <is>
          <t>Personal</t>
        </is>
      </c>
      <c r="E1991" t="inlineStr">
        <is>
          <t>Personal</t>
        </is>
      </c>
      <c r="F1991" t="inlineStr">
        <is>
          <t>Relationships</t>
        </is>
      </c>
      <c r="G1991" t="inlineStr">
        <is>
          <t>Dates</t>
        </is>
      </c>
      <c r="H1991" t="inlineStr">
        <is>
          <t>Personal &gt; Relationships &gt; Quick Add &gt; Dates</t>
        </is>
      </c>
      <c r="I1991" s="18" t="n">
        <v>1581.2</v>
      </c>
      <c r="J1991" t="inlineStr">
        <is>
          <t>Created MTR-IOS-1990 and correlation note visible in Activity/Pulse</t>
        </is>
      </c>
      <c r="K1991" t="inlineStr">
        <is>
          <t>NOT_RUN</t>
        </is>
      </c>
      <c r="P1991" t="n">
        <v>0</v>
      </c>
      <c r="Q1991" t="n">
        <v>1990</v>
      </c>
    </row>
    <row r="1992">
      <c r="A1992" t="n">
        <v>1991</v>
      </c>
      <c r="B1992" t="inlineStr">
        <is>
          <t>MTR-IOS-1991</t>
        </is>
      </c>
      <c r="C1992" t="inlineStr">
        <is>
          <t>iPhone</t>
        </is>
      </c>
      <c r="D1992" t="inlineStr">
        <is>
          <t>Group</t>
        </is>
      </c>
      <c r="E1992" t="inlineStr">
        <is>
          <t>Shared Purchase</t>
        </is>
      </c>
      <c r="F1992" t="inlineStr">
        <is>
          <t>Gift Pool</t>
        </is>
      </c>
      <c r="G1992" t="inlineStr">
        <is>
          <t>Gift Purchase</t>
        </is>
      </c>
      <c r="H1992" t="inlineStr">
        <is>
          <t>Group &gt; Gift Pool &gt; Quick Add &gt; Gift Purchase</t>
        </is>
      </c>
      <c r="I1992" s="18" t="n">
        <v>14124.49</v>
      </c>
      <c r="J1992" t="inlineStr">
        <is>
          <t>Created MTR-IOS-1991 and correlation note visible in Activity/Pulse</t>
        </is>
      </c>
      <c r="K1992" t="inlineStr">
        <is>
          <t>NOT_RUN</t>
        </is>
      </c>
      <c r="P1992" t="n">
        <v>0</v>
      </c>
      <c r="Q1992" t="n">
        <v>1991</v>
      </c>
    </row>
    <row r="1993">
      <c r="A1993" t="n">
        <v>1992</v>
      </c>
      <c r="B1993" t="inlineStr">
        <is>
          <t>MTR-IOS-1992</t>
        </is>
      </c>
      <c r="C1993" t="inlineStr">
        <is>
          <t>iPhone</t>
        </is>
      </c>
      <c r="D1993" t="inlineStr">
        <is>
          <t>Business</t>
        </is>
      </c>
      <c r="E1993" t="inlineStr">
        <is>
          <t>Business</t>
        </is>
      </c>
      <c r="F1993" t="inlineStr">
        <is>
          <t>Business Runway</t>
        </is>
      </c>
      <c r="G1993" t="inlineStr">
        <is>
          <t>Investment</t>
        </is>
      </c>
      <c r="H1993" t="inlineStr">
        <is>
          <t>Business &gt; Business Runway &gt; Quick Add &gt; Investment</t>
        </is>
      </c>
      <c r="I1993" s="18" t="n">
        <v>13843.11</v>
      </c>
      <c r="J1993" t="inlineStr">
        <is>
          <t>Created MTR-IOS-1992 and correlation note visible in Activity/Pulse</t>
        </is>
      </c>
      <c r="K1993" t="inlineStr">
        <is>
          <t>NOT_RUN</t>
        </is>
      </c>
      <c r="P1993" t="n">
        <v>0</v>
      </c>
      <c r="Q1993" t="n">
        <v>1992</v>
      </c>
    </row>
    <row r="1994">
      <c r="A1994" t="n">
        <v>1993</v>
      </c>
      <c r="B1994" t="inlineStr">
        <is>
          <t>MTR-IOS-1993</t>
        </is>
      </c>
      <c r="C1994" t="inlineStr">
        <is>
          <t>iPhone</t>
        </is>
      </c>
      <c r="D1994" t="inlineStr">
        <is>
          <t>Personal</t>
        </is>
      </c>
      <c r="E1994" t="inlineStr">
        <is>
          <t>Personal</t>
        </is>
      </c>
      <c r="F1994" t="inlineStr">
        <is>
          <t>Relationships</t>
        </is>
      </c>
      <c r="G1994" t="inlineStr">
        <is>
          <t>Family</t>
        </is>
      </c>
      <c r="H1994" t="inlineStr">
        <is>
          <t>Personal &gt; Relationships &gt; Quick Add &gt; Family</t>
        </is>
      </c>
      <c r="I1994" s="18" t="n">
        <v>6721.12</v>
      </c>
      <c r="J1994" t="inlineStr">
        <is>
          <t>Created MTR-IOS-1993 and correlation note visible in Activity/Pulse</t>
        </is>
      </c>
      <c r="K1994" t="inlineStr">
        <is>
          <t>NOT_RUN</t>
        </is>
      </c>
      <c r="P1994" t="n">
        <v>0</v>
      </c>
      <c r="Q1994" t="n">
        <v>1993</v>
      </c>
    </row>
    <row r="1995">
      <c r="A1995" t="n">
        <v>1994</v>
      </c>
      <c r="B1995" t="inlineStr">
        <is>
          <t>MTR-IOS-1994</t>
        </is>
      </c>
      <c r="C1995" t="inlineStr">
        <is>
          <t>iPhone</t>
        </is>
      </c>
      <c r="D1995" t="inlineStr">
        <is>
          <t>Group</t>
        </is>
      </c>
      <c r="E1995" t="inlineStr">
        <is>
          <t>Shared Purchase</t>
        </is>
      </c>
      <c r="F1995" t="inlineStr">
        <is>
          <t>Gift Pool</t>
        </is>
      </c>
      <c r="G1995" t="inlineStr">
        <is>
          <t>Delivery</t>
        </is>
      </c>
      <c r="H1995" t="inlineStr">
        <is>
          <t>Group &gt; Gift Pool &gt; Quick Add &gt; Delivery</t>
        </is>
      </c>
      <c r="I1995" s="18" t="n">
        <v>2661.52</v>
      </c>
      <c r="J1995" t="inlineStr">
        <is>
          <t>Created MTR-IOS-1994 and correlation note visible in Activity/Pulse</t>
        </is>
      </c>
      <c r="K1995" t="inlineStr">
        <is>
          <t>NOT_RUN</t>
        </is>
      </c>
      <c r="P1995" t="n">
        <v>0</v>
      </c>
      <c r="Q1995" t="n">
        <v>1994</v>
      </c>
    </row>
    <row r="1996">
      <c r="A1996" t="n">
        <v>1995</v>
      </c>
      <c r="B1996" t="inlineStr">
        <is>
          <t>MTR-IOS-1995</t>
        </is>
      </c>
      <c r="C1996" t="inlineStr">
        <is>
          <t>iPhone</t>
        </is>
      </c>
      <c r="D1996" t="inlineStr">
        <is>
          <t>Business</t>
        </is>
      </c>
      <c r="E1996" t="inlineStr">
        <is>
          <t>Business</t>
        </is>
      </c>
      <c r="F1996" t="inlineStr">
        <is>
          <t>Business Operations</t>
        </is>
      </c>
      <c r="G1996" t="inlineStr">
        <is>
          <t>Software</t>
        </is>
      </c>
      <c r="H1996" t="inlineStr">
        <is>
          <t>Business &gt; Business Operations &gt; Quick Add &gt; Software</t>
        </is>
      </c>
      <c r="I1996" s="18" t="n">
        <v>21888.4</v>
      </c>
      <c r="J1996" t="inlineStr">
        <is>
          <t>Created MTR-IOS-1995 and correlation note visible in Activity/Pulse</t>
        </is>
      </c>
      <c r="K1996" t="inlineStr">
        <is>
          <t>NOT_RUN</t>
        </is>
      </c>
      <c r="P1996" t="n">
        <v>0</v>
      </c>
      <c r="Q1996" t="n">
        <v>1995</v>
      </c>
    </row>
    <row r="1997">
      <c r="A1997" t="n">
        <v>1996</v>
      </c>
      <c r="B1997" t="inlineStr">
        <is>
          <t>MTR-IOS-1996</t>
        </is>
      </c>
      <c r="C1997" t="inlineStr">
        <is>
          <t>iPhone</t>
        </is>
      </c>
      <c r="D1997" t="inlineStr">
        <is>
          <t>Personal</t>
        </is>
      </c>
      <c r="E1997" t="inlineStr">
        <is>
          <t>Personal</t>
        </is>
      </c>
      <c r="F1997" t="inlineStr">
        <is>
          <t>Relationships</t>
        </is>
      </c>
      <c r="G1997" t="inlineStr">
        <is>
          <t>Friends</t>
        </is>
      </c>
      <c r="H1997" t="inlineStr">
        <is>
          <t>Personal &gt; Relationships &gt; Quick Add &gt; Friends</t>
        </is>
      </c>
      <c r="I1997" s="18" t="n">
        <v>13567.46</v>
      </c>
      <c r="J1997" t="inlineStr">
        <is>
          <t>Created MTR-IOS-1996 and correlation note visible in Activity/Pulse</t>
        </is>
      </c>
      <c r="K1997" t="inlineStr">
        <is>
          <t>NOT_RUN</t>
        </is>
      </c>
      <c r="P1997" t="n">
        <v>0</v>
      </c>
      <c r="Q1997" t="n">
        <v>1996</v>
      </c>
    </row>
    <row r="1998">
      <c r="A1998" t="n">
        <v>1997</v>
      </c>
      <c r="B1998" t="inlineStr">
        <is>
          <t>MTR-IOS-1997</t>
        </is>
      </c>
      <c r="C1998" t="inlineStr">
        <is>
          <t>iPhone</t>
        </is>
      </c>
      <c r="D1998" t="inlineStr">
        <is>
          <t>Group</t>
        </is>
      </c>
      <c r="E1998" t="inlineStr">
        <is>
          <t>Shared Purchase</t>
        </is>
      </c>
      <c r="F1998" t="inlineStr">
        <is>
          <t>Gift Pool</t>
        </is>
      </c>
      <c r="G1998" t="inlineStr">
        <is>
          <t>Other</t>
        </is>
      </c>
      <c r="H1998" t="inlineStr">
        <is>
          <t>Group &gt; Gift Pool &gt; Quick Add &gt; Other</t>
        </is>
      </c>
      <c r="I1998" s="18" t="n">
        <v>2593.25</v>
      </c>
      <c r="J1998" t="inlineStr">
        <is>
          <t>Created MTR-IOS-1997 and correlation note visible in Activity/Pulse</t>
        </is>
      </c>
      <c r="K1998" t="inlineStr">
        <is>
          <t>NOT_RUN</t>
        </is>
      </c>
      <c r="P1998" t="n">
        <v>0</v>
      </c>
      <c r="Q1998" t="n">
        <v>1997</v>
      </c>
    </row>
    <row r="1999">
      <c r="A1999" t="n">
        <v>1998</v>
      </c>
      <c r="B1999" t="inlineStr">
        <is>
          <t>MTR-IOS-1998</t>
        </is>
      </c>
      <c r="C1999" t="inlineStr">
        <is>
          <t>iPhone</t>
        </is>
      </c>
      <c r="D1999" t="inlineStr">
        <is>
          <t>Business</t>
        </is>
      </c>
      <c r="E1999" t="inlineStr">
        <is>
          <t>Business</t>
        </is>
      </c>
      <c r="F1999" t="inlineStr">
        <is>
          <t>Business Operations</t>
        </is>
      </c>
      <c r="G1999" t="inlineStr">
        <is>
          <t>Rent</t>
        </is>
      </c>
      <c r="H1999" t="inlineStr">
        <is>
          <t>Business &gt; Business Operations &gt; Quick Add &gt; Rent</t>
        </is>
      </c>
      <c r="I1999" s="18" t="n">
        <v>0.01</v>
      </c>
      <c r="J1999" t="inlineStr">
        <is>
          <t>Created MTR-IOS-1998 and correlation note visible in Activity/Pulse</t>
        </is>
      </c>
      <c r="K1999" t="inlineStr">
        <is>
          <t>NOT_RUN</t>
        </is>
      </c>
      <c r="P1999" t="n">
        <v>0</v>
      </c>
      <c r="Q1999" t="n">
        <v>1998</v>
      </c>
    </row>
    <row r="2000">
      <c r="A2000" t="n">
        <v>1999</v>
      </c>
      <c r="B2000" t="inlineStr">
        <is>
          <t>MTR-IOS-1999</t>
        </is>
      </c>
      <c r="C2000" t="inlineStr">
        <is>
          <t>iPhone</t>
        </is>
      </c>
      <c r="D2000" t="inlineStr">
        <is>
          <t>Personal</t>
        </is>
      </c>
      <c r="E2000" t="inlineStr">
        <is>
          <t>Personal</t>
        </is>
      </c>
      <c r="F2000" t="inlineStr">
        <is>
          <t>Relationships</t>
        </is>
      </c>
      <c r="G2000" t="inlineStr">
        <is>
          <t>Celebrations</t>
        </is>
      </c>
      <c r="H2000" t="inlineStr">
        <is>
          <t>Personal &gt; Relationships &gt; Quick Add &gt; Celebrations</t>
        </is>
      </c>
      <c r="I2000" s="18" t="n">
        <v>16370.65</v>
      </c>
      <c r="J2000" t="inlineStr">
        <is>
          <t>Created MTR-IOS-1999 and correlation note visible in Activity/Pulse</t>
        </is>
      </c>
      <c r="K2000" t="inlineStr">
        <is>
          <t>NOT_RUN</t>
        </is>
      </c>
      <c r="P2000" t="n">
        <v>0</v>
      </c>
      <c r="Q2000" t="n">
        <v>1999</v>
      </c>
    </row>
    <row r="2001">
      <c r="A2001" t="n">
        <v>2000</v>
      </c>
      <c r="B2001" t="inlineStr">
        <is>
          <t>MTR-IOS-2000</t>
        </is>
      </c>
      <c r="C2001" t="inlineStr">
        <is>
          <t>iPhone</t>
        </is>
      </c>
      <c r="D2001" t="inlineStr">
        <is>
          <t>Group</t>
        </is>
      </c>
      <c r="E2001" t="inlineStr">
        <is>
          <t>Shared Purchase</t>
        </is>
      </c>
      <c r="F2001" t="inlineStr">
        <is>
          <t>Purchase</t>
        </is>
      </c>
      <c r="G2001" t="inlineStr">
        <is>
          <t>Item</t>
        </is>
      </c>
      <c r="H2001" t="inlineStr">
        <is>
          <t>Group &gt; Purchase &gt; Quick Add &gt; Item</t>
        </is>
      </c>
      <c r="I2001" s="18" t="n">
        <v>13877.26</v>
      </c>
      <c r="J2001" t="inlineStr">
        <is>
          <t>Created MTR-IOS-2000 and correlation note visible in Activity/Pulse</t>
        </is>
      </c>
      <c r="K2001" t="inlineStr">
        <is>
          <t>NOT_RUN</t>
        </is>
      </c>
      <c r="P2001" t="n">
        <v>0</v>
      </c>
      <c r="Q2001" t="n">
        <v>2000</v>
      </c>
    </row>
    <row r="2002">
      <c r="A2002" t="n">
        <v>2001</v>
      </c>
      <c r="B2002" t="inlineStr">
        <is>
          <t>MTR-IOS-2001</t>
        </is>
      </c>
      <c r="C2002" t="inlineStr">
        <is>
          <t>iPhone</t>
        </is>
      </c>
      <c r="D2002" t="inlineStr">
        <is>
          <t>Business</t>
        </is>
      </c>
      <c r="E2002" t="inlineStr">
        <is>
          <t>Business</t>
        </is>
      </c>
      <c r="F2002" t="inlineStr">
        <is>
          <t>Business Operations</t>
        </is>
      </c>
      <c r="G2002" t="inlineStr">
        <is>
          <t>Marketing</t>
        </is>
      </c>
      <c r="H2002" t="inlineStr">
        <is>
          <t>Business &gt; Business Operations &gt; Quick Add &gt; Marketing</t>
        </is>
      </c>
      <c r="I2002" s="18" t="n">
        <v>82549.89</v>
      </c>
      <c r="J2002" t="inlineStr">
        <is>
          <t>Created MTR-IOS-2001 and correlation note visible in Activity/Pulse</t>
        </is>
      </c>
      <c r="K2002" t="inlineStr">
        <is>
          <t>NOT_RUN</t>
        </is>
      </c>
      <c r="P2002" t="n">
        <v>0</v>
      </c>
      <c r="Q2002" t="n">
        <v>2001</v>
      </c>
    </row>
    <row r="2003">
      <c r="A2003" t="n">
        <v>2002</v>
      </c>
      <c r="B2003" t="inlineStr">
        <is>
          <t>MTR-IOS-2002</t>
        </is>
      </c>
      <c r="C2003" t="inlineStr">
        <is>
          <t>iPhone</t>
        </is>
      </c>
      <c r="D2003" t="inlineStr">
        <is>
          <t>Personal</t>
        </is>
      </c>
      <c r="E2003" t="inlineStr">
        <is>
          <t>Personal</t>
        </is>
      </c>
      <c r="F2003" t="inlineStr">
        <is>
          <t>Life Operations</t>
        </is>
      </c>
      <c r="G2003" t="inlineStr">
        <is>
          <t>Groceries</t>
        </is>
      </c>
      <c r="H2003" t="inlineStr">
        <is>
          <t>Personal &gt; Life Operations &gt; Quick Add &gt; Groceries</t>
        </is>
      </c>
      <c r="I2003" s="18" t="n">
        <v>10248.31</v>
      </c>
      <c r="J2003" t="inlineStr">
        <is>
          <t>Created MTR-IOS-2002 and correlation note visible in Activity/Pulse</t>
        </is>
      </c>
      <c r="K2003" t="inlineStr">
        <is>
          <t>NOT_RUN</t>
        </is>
      </c>
      <c r="P2003" t="n">
        <v>0</v>
      </c>
      <c r="Q2003" t="n">
        <v>2002</v>
      </c>
    </row>
    <row r="2004">
      <c r="A2004" t="n">
        <v>2003</v>
      </c>
      <c r="B2004" t="inlineStr">
        <is>
          <t>MTR-IOS-2003</t>
        </is>
      </c>
      <c r="C2004" t="inlineStr">
        <is>
          <t>iPhone</t>
        </is>
      </c>
      <c r="D2004" t="inlineStr">
        <is>
          <t>Group</t>
        </is>
      </c>
      <c r="E2004" t="inlineStr">
        <is>
          <t>Shared Purchase</t>
        </is>
      </c>
      <c r="F2004" t="inlineStr">
        <is>
          <t>Purchase</t>
        </is>
      </c>
      <c r="G2004" t="inlineStr">
        <is>
          <t>Shipping</t>
        </is>
      </c>
      <c r="H2004" t="inlineStr">
        <is>
          <t>Group &gt; Purchase &gt; Quick Add &gt; Shipping</t>
        </is>
      </c>
      <c r="I2004" s="18" t="n">
        <v>3630.76</v>
      </c>
      <c r="J2004" t="inlineStr">
        <is>
          <t>Created MTR-IOS-2003 and correlation note visible in Activity/Pulse</t>
        </is>
      </c>
      <c r="K2004" t="inlineStr">
        <is>
          <t>NOT_RUN</t>
        </is>
      </c>
      <c r="P2004" t="n">
        <v>0</v>
      </c>
      <c r="Q2004" t="n">
        <v>2003</v>
      </c>
    </row>
    <row r="2005">
      <c r="A2005" t="n">
        <v>2004</v>
      </c>
      <c r="B2005" t="inlineStr">
        <is>
          <t>MTR-IOS-2004</t>
        </is>
      </c>
      <c r="C2005" t="inlineStr">
        <is>
          <t>iPhone</t>
        </is>
      </c>
      <c r="D2005" t="inlineStr">
        <is>
          <t>Business</t>
        </is>
      </c>
      <c r="E2005" t="inlineStr">
        <is>
          <t>Business</t>
        </is>
      </c>
      <c r="F2005" t="inlineStr">
        <is>
          <t>Business Operations</t>
        </is>
      </c>
      <c r="G2005" t="inlineStr">
        <is>
          <t>Legal</t>
        </is>
      </c>
      <c r="H2005" t="inlineStr">
        <is>
          <t>Business &gt; Business Operations &gt; Quick Add &gt; Legal</t>
        </is>
      </c>
      <c r="I2005" s="18" t="n">
        <v>159051.18</v>
      </c>
      <c r="J2005" t="inlineStr">
        <is>
          <t>Created MTR-IOS-2004 and correlation note visible in Activity/Pulse</t>
        </is>
      </c>
      <c r="K2005" t="inlineStr">
        <is>
          <t>NOT_RUN</t>
        </is>
      </c>
      <c r="P2005" t="n">
        <v>0</v>
      </c>
      <c r="Q2005" t="n">
        <v>2004</v>
      </c>
    </row>
    <row r="2006">
      <c r="A2006" t="n">
        <v>2005</v>
      </c>
      <c r="B2006" t="inlineStr">
        <is>
          <t>MTR-IOS-2005</t>
        </is>
      </c>
      <c r="C2006" t="inlineStr">
        <is>
          <t>iPhone</t>
        </is>
      </c>
      <c r="D2006" t="inlineStr">
        <is>
          <t>Personal</t>
        </is>
      </c>
      <c r="E2006" t="inlineStr">
        <is>
          <t>Personal</t>
        </is>
      </c>
      <c r="F2006" t="inlineStr">
        <is>
          <t>Life Operations</t>
        </is>
      </c>
      <c r="G2006" t="inlineStr">
        <is>
          <t>Rent</t>
        </is>
      </c>
      <c r="H2006" t="inlineStr">
        <is>
          <t>Personal &gt; Life Operations &gt; Quick Add &gt; Rent</t>
        </is>
      </c>
      <c r="I2006" s="18" t="n">
        <v>10230.21</v>
      </c>
      <c r="J2006" t="inlineStr">
        <is>
          <t>Created MTR-IOS-2005 and correlation note visible in Activity/Pulse</t>
        </is>
      </c>
      <c r="K2006" t="inlineStr">
        <is>
          <t>NOT_RUN</t>
        </is>
      </c>
      <c r="P2006" t="n">
        <v>0</v>
      </c>
      <c r="Q2006" t="n">
        <v>2005</v>
      </c>
    </row>
    <row r="2007">
      <c r="A2007" t="n">
        <v>2006</v>
      </c>
      <c r="B2007" t="inlineStr">
        <is>
          <t>MTR-IOS-2006</t>
        </is>
      </c>
      <c r="C2007" t="inlineStr">
        <is>
          <t>iPhone</t>
        </is>
      </c>
      <c r="D2007" t="inlineStr">
        <is>
          <t>Group</t>
        </is>
      </c>
      <c r="E2007" t="inlineStr">
        <is>
          <t>Shared Purchase</t>
        </is>
      </c>
      <c r="F2007" t="inlineStr">
        <is>
          <t>Purchase</t>
        </is>
      </c>
      <c r="G2007" t="inlineStr">
        <is>
          <t>Tax</t>
        </is>
      </c>
      <c r="H2007" t="inlineStr">
        <is>
          <t>Group &gt; Purchase &gt; Quick Add &gt; Tax</t>
        </is>
      </c>
      <c r="I2007" s="18" t="n">
        <v>25822.45</v>
      </c>
      <c r="J2007" t="inlineStr">
        <is>
          <t>Created MTR-IOS-2006 and correlation note visible in Activity/Pulse</t>
        </is>
      </c>
      <c r="K2007" t="inlineStr">
        <is>
          <t>NOT_RUN</t>
        </is>
      </c>
      <c r="P2007" t="n">
        <v>0</v>
      </c>
      <c r="Q2007" t="n">
        <v>2006</v>
      </c>
    </row>
    <row r="2008">
      <c r="A2008" t="n">
        <v>2007</v>
      </c>
      <c r="B2008" t="inlineStr">
        <is>
          <t>MTR-IOS-2007</t>
        </is>
      </c>
      <c r="C2008" t="inlineStr">
        <is>
          <t>iPhone</t>
        </is>
      </c>
      <c r="D2008" t="inlineStr">
        <is>
          <t>Business</t>
        </is>
      </c>
      <c r="E2008" t="inlineStr">
        <is>
          <t>Business</t>
        </is>
      </c>
      <c r="F2008" t="inlineStr">
        <is>
          <t>Business Operations</t>
        </is>
      </c>
      <c r="G2008" t="inlineStr">
        <is>
          <t>Accounting</t>
        </is>
      </c>
      <c r="H2008" t="inlineStr">
        <is>
          <t>Business &gt; Business Operations &gt; Quick Add &gt; Accounting</t>
        </is>
      </c>
      <c r="I2008" s="18" t="n">
        <v>97574</v>
      </c>
      <c r="J2008" t="inlineStr">
        <is>
          <t>Created MTR-IOS-2007 and correlation note visible in Activity/Pulse</t>
        </is>
      </c>
      <c r="K2008" t="inlineStr">
        <is>
          <t>NOT_RUN</t>
        </is>
      </c>
      <c r="P2008" t="n">
        <v>0</v>
      </c>
      <c r="Q2008" t="n">
        <v>2007</v>
      </c>
    </row>
    <row r="2009">
      <c r="A2009" t="n">
        <v>2008</v>
      </c>
      <c r="B2009" t="inlineStr">
        <is>
          <t>MTR-IOS-2008</t>
        </is>
      </c>
      <c r="C2009" t="inlineStr">
        <is>
          <t>iPhone</t>
        </is>
      </c>
      <c r="D2009" t="inlineStr">
        <is>
          <t>Personal</t>
        </is>
      </c>
      <c r="E2009" t="inlineStr">
        <is>
          <t>Personal</t>
        </is>
      </c>
      <c r="F2009" t="inlineStr">
        <is>
          <t>Life Operations</t>
        </is>
      </c>
      <c r="G2009" t="inlineStr">
        <is>
          <t>Bills</t>
        </is>
      </c>
      <c r="H2009" t="inlineStr">
        <is>
          <t>Personal &gt; Life Operations &gt; Quick Add &gt; Bills</t>
        </is>
      </c>
      <c r="I2009" s="18" t="n">
        <v>11909.45</v>
      </c>
      <c r="J2009" t="inlineStr">
        <is>
          <t>Created MTR-IOS-2008 and correlation note visible in Activity/Pulse</t>
        </is>
      </c>
      <c r="K2009" t="inlineStr">
        <is>
          <t>NOT_RUN</t>
        </is>
      </c>
      <c r="P2009" t="n">
        <v>0</v>
      </c>
      <c r="Q2009" t="n">
        <v>2008</v>
      </c>
    </row>
    <row r="2010">
      <c r="A2010" t="n">
        <v>2009</v>
      </c>
      <c r="B2010" t="inlineStr">
        <is>
          <t>MTR-IOS-2009</t>
        </is>
      </c>
      <c r="C2010" t="inlineStr">
        <is>
          <t>iPhone</t>
        </is>
      </c>
      <c r="D2010" t="inlineStr">
        <is>
          <t>Group</t>
        </is>
      </c>
      <c r="E2010" t="inlineStr">
        <is>
          <t>Shared Purchase</t>
        </is>
      </c>
      <c r="F2010" t="inlineStr">
        <is>
          <t>Purchase</t>
        </is>
      </c>
      <c r="G2010" t="inlineStr">
        <is>
          <t>Other</t>
        </is>
      </c>
      <c r="H2010" t="inlineStr">
        <is>
          <t>Group &gt; Purchase &gt; Quick Add &gt; Other</t>
        </is>
      </c>
      <c r="I2010" s="18" t="n">
        <v>6808.39</v>
      </c>
      <c r="J2010" t="inlineStr">
        <is>
          <t>Created MTR-IOS-2009 and correlation note visible in Activity/Pulse</t>
        </is>
      </c>
      <c r="K2010" t="inlineStr">
        <is>
          <t>NOT_RUN</t>
        </is>
      </c>
      <c r="P2010" t="n">
        <v>0</v>
      </c>
      <c r="Q2010" t="n">
        <v>2009</v>
      </c>
    </row>
    <row r="2011">
      <c r="A2011" t="n">
        <v>2010</v>
      </c>
      <c r="B2011" t="inlineStr">
        <is>
          <t>MTR-IOS-2010</t>
        </is>
      </c>
      <c r="C2011" t="inlineStr">
        <is>
          <t>iPhone</t>
        </is>
      </c>
      <c r="D2011" t="inlineStr">
        <is>
          <t>Business</t>
        </is>
      </c>
      <c r="E2011" t="inlineStr">
        <is>
          <t>Business</t>
        </is>
      </c>
      <c r="F2011" t="inlineStr">
        <is>
          <t>Business Operations</t>
        </is>
      </c>
      <c r="G2011" t="inlineStr">
        <is>
          <t>Equipment</t>
        </is>
      </c>
      <c r="H2011" t="inlineStr">
        <is>
          <t>Business &gt; Business Operations &gt; Quick Add &gt; Equipment</t>
        </is>
      </c>
      <c r="I2011" s="18" t="n">
        <v>75114.25</v>
      </c>
      <c r="J2011" t="inlineStr">
        <is>
          <t>Created MTR-IOS-2010 and correlation note visible in Activity/Pulse</t>
        </is>
      </c>
      <c r="K2011" t="inlineStr">
        <is>
          <t>NOT_RUN</t>
        </is>
      </c>
      <c r="P2011" t="n">
        <v>0</v>
      </c>
      <c r="Q2011" t="n">
        <v>2010</v>
      </c>
    </row>
    <row r="2012">
      <c r="A2012" t="n">
        <v>2011</v>
      </c>
      <c r="B2012" t="inlineStr">
        <is>
          <t>MTR-IOS-2011</t>
        </is>
      </c>
      <c r="C2012" t="inlineStr">
        <is>
          <t>iPhone</t>
        </is>
      </c>
      <c r="D2012" t="inlineStr">
        <is>
          <t>Personal</t>
        </is>
      </c>
      <c r="E2012" t="inlineStr">
        <is>
          <t>Personal</t>
        </is>
      </c>
      <c r="F2012" t="inlineStr">
        <is>
          <t>Life Operations</t>
        </is>
      </c>
      <c r="G2012" t="inlineStr">
        <is>
          <t>Transport</t>
        </is>
      </c>
      <c r="H2012" t="inlineStr">
        <is>
          <t>Personal &gt; Life Operations &gt; Quick Add &gt; Transport</t>
        </is>
      </c>
      <c r="I2012" s="18" t="n">
        <v>2583.07</v>
      </c>
      <c r="J2012" t="inlineStr">
        <is>
          <t>Created MTR-IOS-2011 and correlation note visible in Activity/Pulse</t>
        </is>
      </c>
      <c r="K2012" t="inlineStr">
        <is>
          <t>NOT_RUN</t>
        </is>
      </c>
      <c r="P2012" t="n">
        <v>0</v>
      </c>
      <c r="Q2012" t="n">
        <v>2011</v>
      </c>
    </row>
    <row r="2013">
      <c r="A2013" t="n">
        <v>2012</v>
      </c>
      <c r="B2013" t="inlineStr">
        <is>
          <t>MTR-IOS-2012</t>
        </is>
      </c>
      <c r="C2013" t="inlineStr">
        <is>
          <t>iPhone</t>
        </is>
      </c>
      <c r="D2013" t="inlineStr">
        <is>
          <t>Group</t>
        </is>
      </c>
      <c r="E2013" t="inlineStr">
        <is>
          <t>Shared Purchase</t>
        </is>
      </c>
      <c r="F2013" t="inlineStr">
        <is>
          <t>Assets</t>
        </is>
      </c>
      <c r="G2013" t="inlineStr">
        <is>
          <t>Purchase</t>
        </is>
      </c>
      <c r="H2013" t="inlineStr">
        <is>
          <t>Group &gt; Assets &gt; Quick Add &gt; Purchase</t>
        </is>
      </c>
      <c r="I2013" s="18" t="n">
        <v>17303.32</v>
      </c>
      <c r="J2013" t="inlineStr">
        <is>
          <t>Created MTR-IOS-2012 and correlation note visible in Activity/Pulse</t>
        </is>
      </c>
      <c r="K2013" t="inlineStr">
        <is>
          <t>NOT_RUN</t>
        </is>
      </c>
      <c r="P2013" t="n">
        <v>0</v>
      </c>
      <c r="Q2013" t="n">
        <v>2012</v>
      </c>
    </row>
    <row r="2014">
      <c r="A2014" t="n">
        <v>2013</v>
      </c>
      <c r="B2014" t="inlineStr">
        <is>
          <t>MTR-IOS-2013</t>
        </is>
      </c>
      <c r="C2014" t="inlineStr">
        <is>
          <t>iPhone</t>
        </is>
      </c>
      <c r="D2014" t="inlineStr">
        <is>
          <t>Business</t>
        </is>
      </c>
      <c r="E2014" t="inlineStr">
        <is>
          <t>Business</t>
        </is>
      </c>
      <c r="F2014" t="inlineStr">
        <is>
          <t>Business Operations</t>
        </is>
      </c>
      <c r="G2014" t="inlineStr">
        <is>
          <t>Vendor</t>
        </is>
      </c>
      <c r="H2014" t="inlineStr">
        <is>
          <t>Business &gt; Business Operations &gt; Quick Add &gt; Vendor</t>
        </is>
      </c>
      <c r="I2014" s="18" t="n">
        <v>108420.55</v>
      </c>
      <c r="J2014" t="inlineStr">
        <is>
          <t>Created MTR-IOS-2013 and correlation note visible in Activity/Pulse</t>
        </is>
      </c>
      <c r="K2014" t="inlineStr">
        <is>
          <t>NOT_RUN</t>
        </is>
      </c>
      <c r="P2014" t="n">
        <v>0</v>
      </c>
      <c r="Q2014" t="n">
        <v>2013</v>
      </c>
    </row>
    <row r="2015">
      <c r="A2015" t="n">
        <v>2014</v>
      </c>
      <c r="B2015" t="inlineStr">
        <is>
          <t>MTR-IOS-2014</t>
        </is>
      </c>
      <c r="C2015" t="inlineStr">
        <is>
          <t>iPhone</t>
        </is>
      </c>
      <c r="D2015" t="inlineStr">
        <is>
          <t>Personal</t>
        </is>
      </c>
      <c r="E2015" t="inlineStr">
        <is>
          <t>Personal</t>
        </is>
      </c>
      <c r="F2015" t="inlineStr">
        <is>
          <t>Life Operations</t>
        </is>
      </c>
      <c r="G2015" t="inlineStr">
        <is>
          <t>Healthcare</t>
        </is>
      </c>
      <c r="H2015" t="inlineStr">
        <is>
          <t>Personal &gt; Life Operations &gt; Quick Add &gt; Healthcare</t>
        </is>
      </c>
      <c r="I2015" s="18" t="n">
        <v>5356.91</v>
      </c>
      <c r="J2015" t="inlineStr">
        <is>
          <t>Created MTR-IOS-2014 and correlation note visible in Activity/Pulse</t>
        </is>
      </c>
      <c r="K2015" t="inlineStr">
        <is>
          <t>NOT_RUN</t>
        </is>
      </c>
      <c r="P2015" t="n">
        <v>0</v>
      </c>
      <c r="Q2015" t="n">
        <v>2014</v>
      </c>
    </row>
    <row r="2016">
      <c r="A2016" t="n">
        <v>2015</v>
      </c>
      <c r="B2016" t="inlineStr">
        <is>
          <t>MTR-IOS-2015</t>
        </is>
      </c>
      <c r="C2016" t="inlineStr">
        <is>
          <t>iPhone</t>
        </is>
      </c>
      <c r="D2016" t="inlineStr">
        <is>
          <t>Group</t>
        </is>
      </c>
      <c r="E2016" t="inlineStr">
        <is>
          <t>Shared Purchase</t>
        </is>
      </c>
      <c r="F2016" t="inlineStr">
        <is>
          <t>Assets</t>
        </is>
      </c>
      <c r="G2016" t="inlineStr">
        <is>
          <t>Maintenance</t>
        </is>
      </c>
      <c r="H2016" t="inlineStr">
        <is>
          <t>Group &gt; Assets &gt; Quick Add &gt; Maintenance</t>
        </is>
      </c>
      <c r="I2016" s="18" t="n">
        <v>6977.59</v>
      </c>
      <c r="J2016" t="inlineStr">
        <is>
          <t>Created MTR-IOS-2015 and correlation note visible in Activity/Pulse</t>
        </is>
      </c>
      <c r="K2016" t="inlineStr">
        <is>
          <t>NOT_RUN</t>
        </is>
      </c>
      <c r="P2016" t="n">
        <v>0</v>
      </c>
      <c r="Q2016" t="n">
        <v>2015</v>
      </c>
    </row>
    <row r="2017">
      <c r="A2017" t="n">
        <v>2016</v>
      </c>
      <c r="B2017" t="inlineStr">
        <is>
          <t>MTR-IOS-2016</t>
        </is>
      </c>
      <c r="C2017" t="inlineStr">
        <is>
          <t>iPhone</t>
        </is>
      </c>
      <c r="D2017" t="inlineStr">
        <is>
          <t>Business</t>
        </is>
      </c>
      <c r="E2017" t="inlineStr">
        <is>
          <t>Business</t>
        </is>
      </c>
      <c r="F2017" t="inlineStr">
        <is>
          <t>Business Operations</t>
        </is>
      </c>
      <c r="G2017" t="inlineStr">
        <is>
          <t>Tax</t>
        </is>
      </c>
      <c r="H2017" t="inlineStr">
        <is>
          <t>Business &gt; Business Operations &gt; Quick Add &gt; Tax</t>
        </is>
      </c>
      <c r="I2017" s="18" t="n">
        <v>158672.25</v>
      </c>
      <c r="J2017" t="inlineStr">
        <is>
          <t>Created MTR-IOS-2016 and correlation note visible in Activity/Pulse</t>
        </is>
      </c>
      <c r="K2017" t="inlineStr">
        <is>
          <t>NOT_RUN</t>
        </is>
      </c>
      <c r="P2017" t="n">
        <v>0</v>
      </c>
      <c r="Q2017" t="n">
        <v>2016</v>
      </c>
    </row>
    <row r="2018">
      <c r="A2018" t="n">
        <v>2017</v>
      </c>
      <c r="B2018" t="inlineStr">
        <is>
          <t>MTR-IOS-2017</t>
        </is>
      </c>
      <c r="C2018" t="inlineStr">
        <is>
          <t>iPhone</t>
        </is>
      </c>
      <c r="D2018" t="inlineStr">
        <is>
          <t>Personal</t>
        </is>
      </c>
      <c r="E2018" t="inlineStr">
        <is>
          <t>Personal</t>
        </is>
      </c>
      <c r="F2018" t="inlineStr">
        <is>
          <t>Life Operations</t>
        </is>
      </c>
      <c r="G2018" t="inlineStr">
        <is>
          <t>Subscriptions</t>
        </is>
      </c>
      <c r="H2018" t="inlineStr">
        <is>
          <t>Personal &gt; Life Operations &gt; Quick Add &gt; Subscriptions</t>
        </is>
      </c>
      <c r="I2018" s="18" t="n">
        <v>13575.45</v>
      </c>
      <c r="J2018" t="inlineStr">
        <is>
          <t>Created MTR-IOS-2017 and correlation note visible in Activity/Pulse</t>
        </is>
      </c>
      <c r="K2018" t="inlineStr">
        <is>
          <t>NOT_RUN</t>
        </is>
      </c>
      <c r="P2018" t="n">
        <v>0</v>
      </c>
      <c r="Q2018" t="n">
        <v>2017</v>
      </c>
    </row>
    <row r="2019">
      <c r="A2019" t="n">
        <v>2018</v>
      </c>
      <c r="B2019" t="inlineStr">
        <is>
          <t>MTR-IOS-2018</t>
        </is>
      </c>
      <c r="C2019" t="inlineStr">
        <is>
          <t>iPhone</t>
        </is>
      </c>
      <c r="D2019" t="inlineStr">
        <is>
          <t>Group</t>
        </is>
      </c>
      <c r="E2019" t="inlineStr">
        <is>
          <t>Shared Purchase</t>
        </is>
      </c>
      <c r="F2019" t="inlineStr">
        <is>
          <t>Assets</t>
        </is>
      </c>
      <c r="G2019" t="inlineStr">
        <is>
          <t>Repair</t>
        </is>
      </c>
      <c r="H2019" t="inlineStr">
        <is>
          <t>Group &gt; Assets &gt; Quick Add &gt; Repair</t>
        </is>
      </c>
      <c r="I2019" s="18" t="n">
        <v>15893.49</v>
      </c>
      <c r="J2019" t="inlineStr">
        <is>
          <t>Created MTR-IOS-2018 and correlation note visible in Activity/Pulse</t>
        </is>
      </c>
      <c r="K2019" t="inlineStr">
        <is>
          <t>NOT_RUN</t>
        </is>
      </c>
      <c r="P2019" t="n">
        <v>0</v>
      </c>
      <c r="Q2019" t="n">
        <v>2018</v>
      </c>
    </row>
    <row r="2020">
      <c r="A2020" t="n">
        <v>2019</v>
      </c>
      <c r="B2020" t="inlineStr">
        <is>
          <t>MTR-IOS-2019</t>
        </is>
      </c>
      <c r="C2020" t="inlineStr">
        <is>
          <t>iPhone</t>
        </is>
      </c>
      <c r="D2020" t="inlineStr">
        <is>
          <t>Business</t>
        </is>
      </c>
      <c r="E2020" t="inlineStr">
        <is>
          <t>Business</t>
        </is>
      </c>
      <c r="F2020" t="inlineStr">
        <is>
          <t>Team Operations</t>
        </is>
      </c>
      <c r="G2020" t="inlineStr">
        <is>
          <t>Payroll</t>
        </is>
      </c>
      <c r="H2020" t="inlineStr">
        <is>
          <t>Business &gt; Team Operations &gt; Quick Add &gt; Payroll</t>
        </is>
      </c>
      <c r="I2020" s="18" t="n">
        <v>78626.94</v>
      </c>
      <c r="J2020" t="inlineStr">
        <is>
          <t>Created MTR-IOS-2019 and correlation note visible in Activity/Pulse</t>
        </is>
      </c>
      <c r="K2020" t="inlineStr">
        <is>
          <t>NOT_RUN</t>
        </is>
      </c>
      <c r="P2020" t="n">
        <v>0</v>
      </c>
      <c r="Q2020" t="n">
        <v>2019</v>
      </c>
    </row>
    <row r="2021">
      <c r="A2021" t="n">
        <v>2020</v>
      </c>
      <c r="B2021" t="inlineStr">
        <is>
          <t>MTR-IOS-2020</t>
        </is>
      </c>
      <c r="C2021" t="inlineStr">
        <is>
          <t>iPhone</t>
        </is>
      </c>
      <c r="D2021" t="inlineStr">
        <is>
          <t>Personal</t>
        </is>
      </c>
      <c r="E2021" t="inlineStr">
        <is>
          <t>Personal</t>
        </is>
      </c>
      <c r="F2021" t="inlineStr">
        <is>
          <t>Life Operations</t>
        </is>
      </c>
      <c r="G2021" t="inlineStr">
        <is>
          <t>Repairs</t>
        </is>
      </c>
      <c r="H2021" t="inlineStr">
        <is>
          <t>Personal &gt; Life Operations &gt; Quick Add &gt; Repairs</t>
        </is>
      </c>
      <c r="I2021" s="18" t="n">
        <v>17065.18</v>
      </c>
      <c r="J2021" t="inlineStr">
        <is>
          <t>Created MTR-IOS-2020 and correlation note visible in Activity/Pulse</t>
        </is>
      </c>
      <c r="K2021" t="inlineStr">
        <is>
          <t>NOT_RUN</t>
        </is>
      </c>
      <c r="P2021" t="n">
        <v>0</v>
      </c>
      <c r="Q2021" t="n">
        <v>2020</v>
      </c>
    </row>
    <row r="2022">
      <c r="A2022" t="n">
        <v>2021</v>
      </c>
      <c r="B2022" t="inlineStr">
        <is>
          <t>MTR-IOS-2021</t>
        </is>
      </c>
      <c r="C2022" t="inlineStr">
        <is>
          <t>iPhone</t>
        </is>
      </c>
      <c r="D2022" t="inlineStr">
        <is>
          <t>Group</t>
        </is>
      </c>
      <c r="E2022" t="inlineStr">
        <is>
          <t>Shared Purchase</t>
        </is>
      </c>
      <c r="F2022" t="inlineStr">
        <is>
          <t>Assets</t>
        </is>
      </c>
      <c r="G2022" t="inlineStr">
        <is>
          <t>Insurance</t>
        </is>
      </c>
      <c r="H2022" t="inlineStr">
        <is>
          <t>Group &gt; Assets &gt; Quick Add &gt; Insurance</t>
        </is>
      </c>
      <c r="I2022" s="18" t="n">
        <v>9436.26</v>
      </c>
      <c r="J2022" t="inlineStr">
        <is>
          <t>Created MTR-IOS-2021 and correlation note visible in Activity/Pulse</t>
        </is>
      </c>
      <c r="K2022" t="inlineStr">
        <is>
          <t>NOT_RUN</t>
        </is>
      </c>
      <c r="P2022" t="n">
        <v>0</v>
      </c>
      <c r="Q2022" t="n">
        <v>2021</v>
      </c>
    </row>
    <row r="2023">
      <c r="A2023" t="n">
        <v>2022</v>
      </c>
      <c r="B2023" t="inlineStr">
        <is>
          <t>MTR-IOS-2022</t>
        </is>
      </c>
      <c r="C2023" t="inlineStr">
        <is>
          <t>iPhone</t>
        </is>
      </c>
      <c r="D2023" t="inlineStr">
        <is>
          <t>Business</t>
        </is>
      </c>
      <c r="E2023" t="inlineStr">
        <is>
          <t>Business</t>
        </is>
      </c>
      <c r="F2023" t="inlineStr">
        <is>
          <t>Team Operations</t>
        </is>
      </c>
      <c r="G2023" t="inlineStr">
        <is>
          <t>Contractor</t>
        </is>
      </c>
      <c r="H2023" t="inlineStr">
        <is>
          <t>Business &gt; Team Operations &gt; Quick Add &gt; Contractor</t>
        </is>
      </c>
      <c r="I2023" s="18" t="n">
        <v>64510.32</v>
      </c>
      <c r="J2023" t="inlineStr">
        <is>
          <t>Created MTR-IOS-2022 and correlation note visible in Activity/Pulse</t>
        </is>
      </c>
      <c r="K2023" t="inlineStr">
        <is>
          <t>NOT_RUN</t>
        </is>
      </c>
      <c r="P2023" t="n">
        <v>0</v>
      </c>
      <c r="Q2023" t="n">
        <v>2022</v>
      </c>
    </row>
    <row r="2024">
      <c r="A2024" t="n">
        <v>2023</v>
      </c>
      <c r="B2024" t="inlineStr">
        <is>
          <t>MTR-IOS-2023</t>
        </is>
      </c>
      <c r="C2024" t="inlineStr">
        <is>
          <t>iPhone</t>
        </is>
      </c>
      <c r="D2024" t="inlineStr">
        <is>
          <t>Personal</t>
        </is>
      </c>
      <c r="E2024" t="inlineStr">
        <is>
          <t>Personal</t>
        </is>
      </c>
      <c r="F2024" t="inlineStr">
        <is>
          <t>Future Building</t>
        </is>
      </c>
      <c r="G2024" t="inlineStr">
        <is>
          <t>Savings</t>
        </is>
      </c>
      <c r="H2024" t="inlineStr">
        <is>
          <t>Personal &gt; Future Building &gt; Quick Add &gt; Savings</t>
        </is>
      </c>
      <c r="I2024" s="18" t="n">
        <v>3826.05</v>
      </c>
      <c r="J2024" t="inlineStr">
        <is>
          <t>Created MTR-IOS-2023 and correlation note visible in Activity/Pulse</t>
        </is>
      </c>
      <c r="K2024" t="inlineStr">
        <is>
          <t>NOT_RUN</t>
        </is>
      </c>
      <c r="P2024" t="n">
        <v>0</v>
      </c>
      <c r="Q2024" t="n">
        <v>2023</v>
      </c>
    </row>
    <row r="2025">
      <c r="A2025" t="n">
        <v>2024</v>
      </c>
      <c r="B2025" t="inlineStr">
        <is>
          <t>MTR-IOS-2024</t>
        </is>
      </c>
      <c r="C2025" t="inlineStr">
        <is>
          <t>iPhone</t>
        </is>
      </c>
      <c r="D2025" t="inlineStr">
        <is>
          <t>Group</t>
        </is>
      </c>
      <c r="E2025" t="inlineStr">
        <is>
          <t>Shared Purchase</t>
        </is>
      </c>
      <c r="F2025" t="inlineStr">
        <is>
          <t>Assets</t>
        </is>
      </c>
      <c r="G2025" t="inlineStr">
        <is>
          <t>Other</t>
        </is>
      </c>
      <c r="H2025" t="inlineStr">
        <is>
          <t>Group &gt; Assets &gt; Quick Add &gt; Other</t>
        </is>
      </c>
      <c r="I2025" s="18" t="n">
        <v>11990.41</v>
      </c>
      <c r="J2025" t="inlineStr">
        <is>
          <t>Created MTR-IOS-2024 and correlation note visible in Activity/Pulse</t>
        </is>
      </c>
      <c r="K2025" t="inlineStr">
        <is>
          <t>NOT_RUN</t>
        </is>
      </c>
      <c r="P2025" t="n">
        <v>0</v>
      </c>
      <c r="Q2025" t="n">
        <v>2024</v>
      </c>
    </row>
    <row r="2026">
      <c r="A2026" t="n">
        <v>2025</v>
      </c>
      <c r="B2026" t="inlineStr">
        <is>
          <t>MTR-IOS-2025</t>
        </is>
      </c>
      <c r="C2026" t="inlineStr">
        <is>
          <t>iPhone</t>
        </is>
      </c>
      <c r="D2026" t="inlineStr">
        <is>
          <t>Business</t>
        </is>
      </c>
      <c r="E2026" t="inlineStr">
        <is>
          <t>Business</t>
        </is>
      </c>
      <c r="F2026" t="inlineStr">
        <is>
          <t>Team Operations</t>
        </is>
      </c>
      <c r="G2026" t="inlineStr">
        <is>
          <t>Hiring</t>
        </is>
      </c>
      <c r="H2026" t="inlineStr">
        <is>
          <t>Business &gt; Team Operations &gt; Quick Add &gt; Hiring</t>
        </is>
      </c>
      <c r="I2026" s="18" t="n">
        <v>122136.85</v>
      </c>
      <c r="J2026" t="inlineStr">
        <is>
          <t>Created MTR-IOS-2025 and correlation note visible in Activity/Pulse</t>
        </is>
      </c>
      <c r="K2026" t="inlineStr">
        <is>
          <t>NOT_RUN</t>
        </is>
      </c>
      <c r="P2026" t="n">
        <v>0</v>
      </c>
      <c r="Q2026" t="n">
        <v>2025</v>
      </c>
    </row>
    <row r="2027">
      <c r="A2027" t="n">
        <v>2026</v>
      </c>
      <c r="B2027" t="inlineStr">
        <is>
          <t>MTR-IOS-2026</t>
        </is>
      </c>
      <c r="C2027" t="inlineStr">
        <is>
          <t>iPhone</t>
        </is>
      </c>
      <c r="D2027" t="inlineStr">
        <is>
          <t>Personal</t>
        </is>
      </c>
      <c r="E2027" t="inlineStr">
        <is>
          <t>Personal</t>
        </is>
      </c>
      <c r="F2027" t="inlineStr">
        <is>
          <t>Future Building</t>
        </is>
      </c>
      <c r="G2027" t="inlineStr">
        <is>
          <t>Emergency Fund</t>
        </is>
      </c>
      <c r="H2027" t="inlineStr">
        <is>
          <t>Personal &gt; Future Building &gt; Quick Add &gt; Emergency Fund</t>
        </is>
      </c>
      <c r="I2027" s="18" t="n">
        <v>5262.56</v>
      </c>
      <c r="J2027" t="inlineStr">
        <is>
          <t>Created MTR-IOS-2026 and correlation note visible in Activity/Pulse</t>
        </is>
      </c>
      <c r="K2027" t="inlineStr">
        <is>
          <t>NOT_RUN</t>
        </is>
      </c>
      <c r="P2027" t="n">
        <v>0</v>
      </c>
      <c r="Q2027" t="n">
        <v>2026</v>
      </c>
    </row>
    <row r="2028">
      <c r="A2028" t="n">
        <v>2027</v>
      </c>
      <c r="B2028" t="inlineStr">
        <is>
          <t>MTR-IOS-2027</t>
        </is>
      </c>
      <c r="C2028" t="inlineStr">
        <is>
          <t>iPhone</t>
        </is>
      </c>
      <c r="D2028" t="inlineStr">
        <is>
          <t>Group</t>
        </is>
      </c>
      <c r="E2028" t="inlineStr">
        <is>
          <t>Shared Purchase</t>
        </is>
      </c>
      <c r="F2028" t="inlineStr">
        <is>
          <t>Custom Purchase</t>
        </is>
      </c>
      <c r="G2028" t="inlineStr">
        <is>
          <t>Custom Expense</t>
        </is>
      </c>
      <c r="H2028" t="inlineStr">
        <is>
          <t>Group &gt; Custom Purchase &gt; Quick Add &gt; Custom Expense</t>
        </is>
      </c>
      <c r="I2028" s="18" t="n">
        <v>7059.72</v>
      </c>
      <c r="J2028" t="inlineStr">
        <is>
          <t>Created MTR-IOS-2027 and correlation note visible in Activity/Pulse</t>
        </is>
      </c>
      <c r="K2028" t="inlineStr">
        <is>
          <t>NOT_RUN</t>
        </is>
      </c>
      <c r="P2028" t="n">
        <v>0</v>
      </c>
      <c r="Q2028" t="n">
        <v>2027</v>
      </c>
    </row>
    <row r="2029">
      <c r="A2029" t="n">
        <v>2028</v>
      </c>
      <c r="B2029" t="inlineStr">
        <is>
          <t>MTR-IOS-2028</t>
        </is>
      </c>
      <c r="C2029" t="inlineStr">
        <is>
          <t>iPhone</t>
        </is>
      </c>
      <c r="D2029" t="inlineStr">
        <is>
          <t>Business</t>
        </is>
      </c>
      <c r="E2029" t="inlineStr">
        <is>
          <t>Business</t>
        </is>
      </c>
      <c r="F2029" t="inlineStr">
        <is>
          <t>Team Operations</t>
        </is>
      </c>
      <c r="G2029" t="inlineStr">
        <is>
          <t>Team Meal</t>
        </is>
      </c>
      <c r="H2029" t="inlineStr">
        <is>
          <t>Business &gt; Team Operations &gt; Quick Add &gt; Team Meal</t>
        </is>
      </c>
      <c r="I2029" s="18" t="n">
        <v>113639.95</v>
      </c>
      <c r="J2029" t="inlineStr">
        <is>
          <t>Created MTR-IOS-2028 and correlation note visible in Activity/Pulse</t>
        </is>
      </c>
      <c r="K2029" t="inlineStr">
        <is>
          <t>NOT_RUN</t>
        </is>
      </c>
      <c r="P2029" t="n">
        <v>0</v>
      </c>
      <c r="Q2029" t="n">
        <v>2028</v>
      </c>
    </row>
    <row r="2030">
      <c r="A2030" t="n">
        <v>2029</v>
      </c>
      <c r="B2030" t="inlineStr">
        <is>
          <t>MTR-IOS-2029</t>
        </is>
      </c>
      <c r="C2030" t="inlineStr">
        <is>
          <t>iPhone</t>
        </is>
      </c>
      <c r="D2030" t="inlineStr">
        <is>
          <t>Personal</t>
        </is>
      </c>
      <c r="E2030" t="inlineStr">
        <is>
          <t>Personal</t>
        </is>
      </c>
      <c r="F2030" t="inlineStr">
        <is>
          <t>Future Building</t>
        </is>
      </c>
      <c r="G2030" t="inlineStr">
        <is>
          <t>Investments</t>
        </is>
      </c>
      <c r="H2030" t="inlineStr">
        <is>
          <t>Personal &gt; Future Building &gt; Quick Add &gt; Investments</t>
        </is>
      </c>
      <c r="I2030" s="18" t="n">
        <v>16698.55</v>
      </c>
      <c r="J2030" t="inlineStr">
        <is>
          <t>Created MTR-IOS-2029 and correlation note visible in Activity/Pulse</t>
        </is>
      </c>
      <c r="K2030" t="inlineStr">
        <is>
          <t>NOT_RUN</t>
        </is>
      </c>
      <c r="P2030" t="n">
        <v>0</v>
      </c>
      <c r="Q2030" t="n">
        <v>2029</v>
      </c>
    </row>
    <row r="2031">
      <c r="A2031" t="n">
        <v>2030</v>
      </c>
      <c r="B2031" t="inlineStr">
        <is>
          <t>MTR-IOS-2030</t>
        </is>
      </c>
      <c r="C2031" t="inlineStr">
        <is>
          <t>iPhone</t>
        </is>
      </c>
      <c r="D2031" t="inlineStr">
        <is>
          <t>Group</t>
        </is>
      </c>
      <c r="E2031" t="inlineStr">
        <is>
          <t>Shared Purchase</t>
        </is>
      </c>
      <c r="F2031" t="inlineStr">
        <is>
          <t>Custom Purchase</t>
        </is>
      </c>
      <c r="G2031" t="inlineStr">
        <is>
          <t>Custom Contribution</t>
        </is>
      </c>
      <c r="H2031" t="inlineStr">
        <is>
          <t>Group &gt; Custom Purchase &gt; Quick Add &gt; Custom Contribution</t>
        </is>
      </c>
      <c r="I2031" s="18" t="n">
        <v>3539.58</v>
      </c>
      <c r="J2031" t="inlineStr">
        <is>
          <t>Created MTR-IOS-2030 and correlation note visible in Activity/Pulse</t>
        </is>
      </c>
      <c r="K2031" t="inlineStr">
        <is>
          <t>NOT_RUN</t>
        </is>
      </c>
      <c r="P2031" t="n">
        <v>0</v>
      </c>
      <c r="Q2031" t="n">
        <v>2030</v>
      </c>
    </row>
    <row r="2032">
      <c r="A2032" t="n">
        <v>2031</v>
      </c>
      <c r="B2032" t="inlineStr">
        <is>
          <t>MTR-IOS-2031</t>
        </is>
      </c>
      <c r="C2032" t="inlineStr">
        <is>
          <t>iPhone</t>
        </is>
      </c>
      <c r="D2032" t="inlineStr">
        <is>
          <t>Business</t>
        </is>
      </c>
      <c r="E2032" t="inlineStr">
        <is>
          <t>Business</t>
        </is>
      </c>
      <c r="F2032" t="inlineStr">
        <is>
          <t>Team Operations</t>
        </is>
      </c>
      <c r="G2032" t="inlineStr">
        <is>
          <t>Travel</t>
        </is>
      </c>
      <c r="H2032" t="inlineStr">
        <is>
          <t>Business &gt; Team Operations &gt; Quick Add &gt; Travel</t>
        </is>
      </c>
      <c r="I2032" s="18" t="n">
        <v>48089.9</v>
      </c>
      <c r="J2032" t="inlineStr">
        <is>
          <t>Created MTR-IOS-2031 and correlation note visible in Activity/Pulse</t>
        </is>
      </c>
      <c r="K2032" t="inlineStr">
        <is>
          <t>NOT_RUN</t>
        </is>
      </c>
      <c r="P2032" t="n">
        <v>0</v>
      </c>
      <c r="Q2032" t="n">
        <v>2031</v>
      </c>
    </row>
    <row r="2033">
      <c r="A2033" t="n">
        <v>2032</v>
      </c>
      <c r="B2033" t="inlineStr">
        <is>
          <t>MTR-IOS-2032</t>
        </is>
      </c>
      <c r="C2033" t="inlineStr">
        <is>
          <t>iPhone</t>
        </is>
      </c>
      <c r="D2033" t="inlineStr">
        <is>
          <t>Personal</t>
        </is>
      </c>
      <c r="E2033" t="inlineStr">
        <is>
          <t>Personal</t>
        </is>
      </c>
      <c r="F2033" t="inlineStr">
        <is>
          <t>Future Building</t>
        </is>
      </c>
      <c r="G2033" t="inlineStr">
        <is>
          <t>Education</t>
        </is>
      </c>
      <c r="H2033" t="inlineStr">
        <is>
          <t>Personal &gt; Future Building &gt; Quick Add &gt; Education</t>
        </is>
      </c>
      <c r="I2033" s="18" t="n">
        <v>1190.91</v>
      </c>
      <c r="J2033" t="inlineStr">
        <is>
          <t>Created MTR-IOS-2032 and correlation note visible in Activity/Pulse</t>
        </is>
      </c>
      <c r="K2033" t="inlineStr">
        <is>
          <t>NOT_RUN</t>
        </is>
      </c>
      <c r="P2033" t="n">
        <v>0</v>
      </c>
      <c r="Q2033" t="n">
        <v>2032</v>
      </c>
    </row>
    <row r="2034">
      <c r="A2034" t="n">
        <v>2033</v>
      </c>
      <c r="B2034" t="inlineStr">
        <is>
          <t>MTR-IOS-2033</t>
        </is>
      </c>
      <c r="C2034" t="inlineStr">
        <is>
          <t>iPhone</t>
        </is>
      </c>
      <c r="D2034" t="inlineStr">
        <is>
          <t>Group</t>
        </is>
      </c>
      <c r="E2034" t="inlineStr">
        <is>
          <t>Shared Living</t>
        </is>
      </c>
      <c r="F2034" t="inlineStr">
        <is>
          <t>Flatmates</t>
        </is>
      </c>
      <c r="G2034" t="inlineStr">
        <is>
          <t>Rent</t>
        </is>
      </c>
      <c r="H2034" t="inlineStr">
        <is>
          <t>Group &gt; Flatmates &gt; Quick Add &gt; Rent</t>
        </is>
      </c>
      <c r="I2034" s="18" t="n">
        <v>26087.13</v>
      </c>
      <c r="J2034" t="inlineStr">
        <is>
          <t>Created MTR-IOS-2033 and correlation note visible in Activity/Pulse</t>
        </is>
      </c>
      <c r="K2034" t="inlineStr">
        <is>
          <t>NOT_RUN</t>
        </is>
      </c>
      <c r="P2034" t="n">
        <v>0</v>
      </c>
      <c r="Q2034" t="n">
        <v>2033</v>
      </c>
    </row>
    <row r="2035">
      <c r="A2035" t="n">
        <v>2034</v>
      </c>
      <c r="B2035" t="inlineStr">
        <is>
          <t>MTR-IOS-2034</t>
        </is>
      </c>
      <c r="C2035" t="inlineStr">
        <is>
          <t>iPhone</t>
        </is>
      </c>
      <c r="D2035" t="inlineStr">
        <is>
          <t>Business</t>
        </is>
      </c>
      <c r="E2035" t="inlineStr">
        <is>
          <t>Business</t>
        </is>
      </c>
      <c r="F2035" t="inlineStr">
        <is>
          <t>Team Operations</t>
        </is>
      </c>
      <c r="G2035" t="inlineStr">
        <is>
          <t>Training</t>
        </is>
      </c>
      <c r="H2035" t="inlineStr">
        <is>
          <t>Business &gt; Team Operations &gt; Quick Add &gt; Training</t>
        </is>
      </c>
      <c r="I2035" s="18" t="n">
        <v>154639.01</v>
      </c>
      <c r="J2035" t="inlineStr">
        <is>
          <t>Created MTR-IOS-2034 and correlation note visible in Activity/Pulse</t>
        </is>
      </c>
      <c r="K2035" t="inlineStr">
        <is>
          <t>NOT_RUN</t>
        </is>
      </c>
      <c r="P2035" t="n">
        <v>0</v>
      </c>
      <c r="Q2035" t="n">
        <v>2034</v>
      </c>
    </row>
    <row r="2036">
      <c r="A2036" t="n">
        <v>2035</v>
      </c>
      <c r="B2036" t="inlineStr">
        <is>
          <t>MTR-IOS-2035</t>
        </is>
      </c>
      <c r="C2036" t="inlineStr">
        <is>
          <t>iPhone</t>
        </is>
      </c>
      <c r="D2036" t="inlineStr">
        <is>
          <t>Personal</t>
        </is>
      </c>
      <c r="E2036" t="inlineStr">
        <is>
          <t>Personal</t>
        </is>
      </c>
      <c r="F2036" t="inlineStr">
        <is>
          <t>Future Building</t>
        </is>
      </c>
      <c r="G2036" t="inlineStr">
        <is>
          <t>Goal Contribution</t>
        </is>
      </c>
      <c r="H2036" t="inlineStr">
        <is>
          <t>Personal &gt; Future Building &gt; Quick Add &gt; Goal Contribution</t>
        </is>
      </c>
      <c r="I2036" s="18" t="n">
        <v>1</v>
      </c>
      <c r="J2036" t="inlineStr">
        <is>
          <t>Created MTR-IOS-2035 and correlation note visible in Activity/Pulse</t>
        </is>
      </c>
      <c r="K2036" t="inlineStr">
        <is>
          <t>NOT_RUN</t>
        </is>
      </c>
      <c r="P2036" t="n">
        <v>0</v>
      </c>
      <c r="Q2036" t="n">
        <v>2035</v>
      </c>
    </row>
    <row r="2037">
      <c r="A2037" t="n">
        <v>2036</v>
      </c>
      <c r="B2037" t="inlineStr">
        <is>
          <t>MTR-IOS-2036</t>
        </is>
      </c>
      <c r="C2037" t="inlineStr">
        <is>
          <t>iPhone</t>
        </is>
      </c>
      <c r="D2037" t="inlineStr">
        <is>
          <t>Group</t>
        </is>
      </c>
      <c r="E2037" t="inlineStr">
        <is>
          <t>Shared Living</t>
        </is>
      </c>
      <c r="F2037" t="inlineStr">
        <is>
          <t>Flatmates</t>
        </is>
      </c>
      <c r="G2037" t="inlineStr">
        <is>
          <t>Utilities</t>
        </is>
      </c>
      <c r="H2037" t="inlineStr">
        <is>
          <t>Group &gt; Flatmates &gt; Quick Add &gt; Utilities</t>
        </is>
      </c>
      <c r="I2037" s="18" t="n">
        <v>13101.08</v>
      </c>
      <c r="J2037" t="inlineStr">
        <is>
          <t>Created MTR-IOS-2036 and correlation note visible in Activity/Pulse</t>
        </is>
      </c>
      <c r="K2037" t="inlineStr">
        <is>
          <t>NOT_RUN</t>
        </is>
      </c>
      <c r="P2037" t="n">
        <v>0</v>
      </c>
      <c r="Q2037" t="n">
        <v>2036</v>
      </c>
    </row>
    <row r="2038">
      <c r="A2038" t="n">
        <v>2037</v>
      </c>
      <c r="B2038" t="inlineStr">
        <is>
          <t>MTR-IOS-2037</t>
        </is>
      </c>
      <c r="C2038" t="inlineStr">
        <is>
          <t>iPhone</t>
        </is>
      </c>
      <c r="D2038" t="inlineStr">
        <is>
          <t>Business</t>
        </is>
      </c>
      <c r="E2038" t="inlineStr">
        <is>
          <t>Business</t>
        </is>
      </c>
      <c r="F2038" t="inlineStr">
        <is>
          <t>Team Operations</t>
        </is>
      </c>
      <c r="G2038" t="inlineStr">
        <is>
          <t>Tools</t>
        </is>
      </c>
      <c r="H2038" t="inlineStr">
        <is>
          <t>Business &gt; Team Operations &gt; Quick Add &gt; Tools</t>
        </is>
      </c>
      <c r="I2038" s="18" t="n">
        <v>97857.96000000001</v>
      </c>
      <c r="J2038" t="inlineStr">
        <is>
          <t>Created MTR-IOS-2037 and correlation note visible in Activity/Pulse</t>
        </is>
      </c>
      <c r="K2038" t="inlineStr">
        <is>
          <t>NOT_RUN</t>
        </is>
      </c>
      <c r="P2038" t="n">
        <v>0</v>
      </c>
      <c r="Q2038" t="n">
        <v>2037</v>
      </c>
    </row>
    <row r="2039">
      <c r="A2039" t="n">
        <v>2038</v>
      </c>
      <c r="B2039" t="inlineStr">
        <is>
          <t>MTR-IOS-2038</t>
        </is>
      </c>
      <c r="C2039" t="inlineStr">
        <is>
          <t>iPhone</t>
        </is>
      </c>
      <c r="D2039" t="inlineStr">
        <is>
          <t>Personal</t>
        </is>
      </c>
      <c r="E2039" t="inlineStr">
        <is>
          <t>Personal</t>
        </is>
      </c>
      <c r="F2039" t="inlineStr">
        <is>
          <t>Lifestyle</t>
        </is>
      </c>
      <c r="G2039" t="inlineStr">
        <is>
          <t>Dining</t>
        </is>
      </c>
      <c r="H2039" t="inlineStr">
        <is>
          <t>Personal &gt; Lifestyle &gt; Quick Add &gt; Dining</t>
        </is>
      </c>
      <c r="I2039" s="18" t="n">
        <v>16837.01</v>
      </c>
      <c r="J2039" t="inlineStr">
        <is>
          <t>Created MTR-IOS-2038 and correlation note visible in Activity/Pulse</t>
        </is>
      </c>
      <c r="K2039" t="inlineStr">
        <is>
          <t>NOT_RUN</t>
        </is>
      </c>
      <c r="P2039" t="n">
        <v>0</v>
      </c>
      <c r="Q2039" t="n">
        <v>2038</v>
      </c>
    </row>
    <row r="2040">
      <c r="A2040" t="n">
        <v>2039</v>
      </c>
      <c r="B2040" t="inlineStr">
        <is>
          <t>MTR-IOS-2039</t>
        </is>
      </c>
      <c r="C2040" t="inlineStr">
        <is>
          <t>iPhone</t>
        </is>
      </c>
      <c r="D2040" t="inlineStr">
        <is>
          <t>Group</t>
        </is>
      </c>
      <c r="E2040" t="inlineStr">
        <is>
          <t>Shared Living</t>
        </is>
      </c>
      <c r="F2040" t="inlineStr">
        <is>
          <t>Flatmates</t>
        </is>
      </c>
      <c r="G2040" t="inlineStr">
        <is>
          <t>Groceries</t>
        </is>
      </c>
      <c r="H2040" t="inlineStr">
        <is>
          <t>Group &gt; Flatmates &gt; Quick Add &gt; Groceries</t>
        </is>
      </c>
      <c r="I2040" s="18" t="n">
        <v>15190.44</v>
      </c>
      <c r="J2040" t="inlineStr">
        <is>
          <t>Created MTR-IOS-2039 and correlation note visible in Activity/Pulse</t>
        </is>
      </c>
      <c r="K2040" t="inlineStr">
        <is>
          <t>NOT_RUN</t>
        </is>
      </c>
      <c r="P2040" t="n">
        <v>0</v>
      </c>
      <c r="Q2040" t="n">
        <v>2039</v>
      </c>
    </row>
    <row r="2041">
      <c r="A2041" t="n">
        <v>2040</v>
      </c>
      <c r="B2041" t="inlineStr">
        <is>
          <t>MTR-IOS-2040</t>
        </is>
      </c>
      <c r="C2041" t="inlineStr">
        <is>
          <t>iPhone</t>
        </is>
      </c>
      <c r="D2041" t="inlineStr">
        <is>
          <t>Business</t>
        </is>
      </c>
      <c r="E2041" t="inlineStr">
        <is>
          <t>Business</t>
        </is>
      </c>
      <c r="F2041" t="inlineStr">
        <is>
          <t>Business Runway</t>
        </is>
      </c>
      <c r="G2041" t="inlineStr">
        <is>
          <t>Funding</t>
        </is>
      </c>
      <c r="H2041" t="inlineStr">
        <is>
          <t>Business &gt; Business Runway &gt; Quick Add &gt; Funding</t>
        </is>
      </c>
      <c r="I2041" s="18" t="n">
        <v>129883.31</v>
      </c>
      <c r="J2041" t="inlineStr">
        <is>
          <t>Created MTR-IOS-2040 and correlation note visible in Activity/Pulse</t>
        </is>
      </c>
      <c r="K2041" t="inlineStr">
        <is>
          <t>NOT_RUN</t>
        </is>
      </c>
      <c r="P2041" t="n">
        <v>0</v>
      </c>
      <c r="Q2041" t="n">
        <v>2040</v>
      </c>
    </row>
    <row r="2042">
      <c r="A2042" t="n">
        <v>2041</v>
      </c>
      <c r="B2042" t="inlineStr">
        <is>
          <t>MTR-IOS-2041</t>
        </is>
      </c>
      <c r="C2042" t="inlineStr">
        <is>
          <t>iPhone</t>
        </is>
      </c>
      <c r="D2042" t="inlineStr">
        <is>
          <t>Personal</t>
        </is>
      </c>
      <c r="E2042" t="inlineStr">
        <is>
          <t>Personal</t>
        </is>
      </c>
      <c r="F2042" t="inlineStr">
        <is>
          <t>Lifestyle</t>
        </is>
      </c>
      <c r="G2042" t="inlineStr">
        <is>
          <t>Shopping</t>
        </is>
      </c>
      <c r="H2042" t="inlineStr">
        <is>
          <t>Personal &gt; Lifestyle &gt; Quick Add &gt; Shopping</t>
        </is>
      </c>
      <c r="I2042" s="18" t="n">
        <v>17885.78</v>
      </c>
      <c r="J2042" t="inlineStr">
        <is>
          <t>Created MTR-IOS-2041 and correlation note visible in Activity/Pulse</t>
        </is>
      </c>
      <c r="K2042" t="inlineStr">
        <is>
          <t>NOT_RUN</t>
        </is>
      </c>
      <c r="P2042" t="n">
        <v>0</v>
      </c>
      <c r="Q2042" t="n">
        <v>2041</v>
      </c>
    </row>
    <row r="2043">
      <c r="A2043" t="n">
        <v>2042</v>
      </c>
      <c r="B2043" t="inlineStr">
        <is>
          <t>MTR-IOS-2042</t>
        </is>
      </c>
      <c r="C2043" t="inlineStr">
        <is>
          <t>iPhone</t>
        </is>
      </c>
      <c r="D2043" t="inlineStr">
        <is>
          <t>Group</t>
        </is>
      </c>
      <c r="E2043" t="inlineStr">
        <is>
          <t>Shared Living</t>
        </is>
      </c>
      <c r="F2043" t="inlineStr">
        <is>
          <t>Flatmates</t>
        </is>
      </c>
      <c r="G2043" t="inlineStr">
        <is>
          <t>Internet</t>
        </is>
      </c>
      <c r="H2043" t="inlineStr">
        <is>
          <t>Group &gt; Flatmates &gt; Quick Add &gt; Internet</t>
        </is>
      </c>
      <c r="I2043" s="18" t="n">
        <v>3852.12</v>
      </c>
      <c r="J2043" t="inlineStr">
        <is>
          <t>Created MTR-IOS-2042 and correlation note visible in Activity/Pulse</t>
        </is>
      </c>
      <c r="K2043" t="inlineStr">
        <is>
          <t>NOT_RUN</t>
        </is>
      </c>
      <c r="P2043" t="n">
        <v>0</v>
      </c>
      <c r="Q2043" t="n">
        <v>2042</v>
      </c>
    </row>
    <row r="2044">
      <c r="A2044" t="n">
        <v>2043</v>
      </c>
      <c r="B2044" t="inlineStr">
        <is>
          <t>MTR-IOS-2043</t>
        </is>
      </c>
      <c r="C2044" t="inlineStr">
        <is>
          <t>iPhone</t>
        </is>
      </c>
      <c r="D2044" t="inlineStr">
        <is>
          <t>Business</t>
        </is>
      </c>
      <c r="E2044" t="inlineStr">
        <is>
          <t>Business</t>
        </is>
      </c>
      <c r="F2044" t="inlineStr">
        <is>
          <t>Business Runway</t>
        </is>
      </c>
      <c r="G2044" t="inlineStr">
        <is>
          <t>Revenue</t>
        </is>
      </c>
      <c r="H2044" t="inlineStr">
        <is>
          <t>Business &gt; Business Runway &gt; Quick Add &gt; Revenue</t>
        </is>
      </c>
      <c r="I2044" s="18" t="n">
        <v>20109.13</v>
      </c>
      <c r="J2044" t="inlineStr">
        <is>
          <t>Created MTR-IOS-2043 and correlation note visible in Activity/Pulse</t>
        </is>
      </c>
      <c r="K2044" t="inlineStr">
        <is>
          <t>NOT_RUN</t>
        </is>
      </c>
      <c r="P2044" t="n">
        <v>0</v>
      </c>
      <c r="Q2044" t="n">
        <v>2043</v>
      </c>
    </row>
    <row r="2045">
      <c r="A2045" t="n">
        <v>2044</v>
      </c>
      <c r="B2045" t="inlineStr">
        <is>
          <t>MTR-IOS-2044</t>
        </is>
      </c>
      <c r="C2045" t="inlineStr">
        <is>
          <t>iPhone</t>
        </is>
      </c>
      <c r="D2045" t="inlineStr">
        <is>
          <t>Personal</t>
        </is>
      </c>
      <c r="E2045" t="inlineStr">
        <is>
          <t>Personal</t>
        </is>
      </c>
      <c r="F2045" t="inlineStr">
        <is>
          <t>Lifestyle</t>
        </is>
      </c>
      <c r="G2045" t="inlineStr">
        <is>
          <t>Entertainment</t>
        </is>
      </c>
      <c r="H2045" t="inlineStr">
        <is>
          <t>Personal &gt; Lifestyle &gt; Quick Add &gt; Entertainment</t>
        </is>
      </c>
      <c r="I2045" s="18" t="n">
        <v>4455.15</v>
      </c>
      <c r="J2045" t="inlineStr">
        <is>
          <t>Created MTR-IOS-2044 and correlation note visible in Activity/Pulse</t>
        </is>
      </c>
      <c r="K2045" t="inlineStr">
        <is>
          <t>NOT_RUN</t>
        </is>
      </c>
      <c r="P2045" t="n">
        <v>0</v>
      </c>
      <c r="Q2045" t="n">
        <v>2044</v>
      </c>
    </row>
    <row r="2046">
      <c r="A2046" t="n">
        <v>2045</v>
      </c>
      <c r="B2046" t="inlineStr">
        <is>
          <t>MTR-IOS-2045</t>
        </is>
      </c>
      <c r="C2046" t="inlineStr">
        <is>
          <t>iPhone</t>
        </is>
      </c>
      <c r="D2046" t="inlineStr">
        <is>
          <t>Group</t>
        </is>
      </c>
      <c r="E2046" t="inlineStr">
        <is>
          <t>Shared Living</t>
        </is>
      </c>
      <c r="F2046" t="inlineStr">
        <is>
          <t>Flatmates</t>
        </is>
      </c>
      <c r="G2046" t="inlineStr">
        <is>
          <t>House Supplies</t>
        </is>
      </c>
      <c r="H2046" t="inlineStr">
        <is>
          <t>Group &gt; Flatmates &gt; Quick Add &gt; House Supplies</t>
        </is>
      </c>
      <c r="I2046" s="18" t="n">
        <v>10528.44</v>
      </c>
      <c r="J2046" t="inlineStr">
        <is>
          <t>Created MTR-IOS-2045 and correlation note visible in Activity/Pulse</t>
        </is>
      </c>
      <c r="K2046" t="inlineStr">
        <is>
          <t>NOT_RUN</t>
        </is>
      </c>
      <c r="P2046" t="n">
        <v>0</v>
      </c>
      <c r="Q2046" t="n">
        <v>2045</v>
      </c>
    </row>
    <row r="2047">
      <c r="A2047" t="n">
        <v>2046</v>
      </c>
      <c r="B2047" t="inlineStr">
        <is>
          <t>MTR-IOS-2046</t>
        </is>
      </c>
      <c r="C2047" t="inlineStr">
        <is>
          <t>iPhone</t>
        </is>
      </c>
      <c r="D2047" t="inlineStr">
        <is>
          <t>Business</t>
        </is>
      </c>
      <c r="E2047" t="inlineStr">
        <is>
          <t>Business</t>
        </is>
      </c>
      <c r="F2047" t="inlineStr">
        <is>
          <t>Business Runway</t>
        </is>
      </c>
      <c r="G2047" t="inlineStr">
        <is>
          <t>Burn</t>
        </is>
      </c>
      <c r="H2047" t="inlineStr">
        <is>
          <t>Business &gt; Business Runway &gt; Quick Add &gt; Burn</t>
        </is>
      </c>
      <c r="I2047" s="18" t="n">
        <v>99642.47</v>
      </c>
      <c r="J2047" t="inlineStr">
        <is>
          <t>Created MTR-IOS-2046 and correlation note visible in Activity/Pulse</t>
        </is>
      </c>
      <c r="K2047" t="inlineStr">
        <is>
          <t>NOT_RUN</t>
        </is>
      </c>
      <c r="P2047" t="n">
        <v>0</v>
      </c>
      <c r="Q2047" t="n">
        <v>2046</v>
      </c>
    </row>
    <row r="2048">
      <c r="A2048" t="n">
        <v>2047</v>
      </c>
      <c r="B2048" t="inlineStr">
        <is>
          <t>MTR-IOS-2047</t>
        </is>
      </c>
      <c r="C2048" t="inlineStr">
        <is>
          <t>iPhone</t>
        </is>
      </c>
      <c r="D2048" t="inlineStr">
        <is>
          <t>Personal</t>
        </is>
      </c>
      <c r="E2048" t="inlineStr">
        <is>
          <t>Personal</t>
        </is>
      </c>
      <c r="F2048" t="inlineStr">
        <is>
          <t>Lifestyle</t>
        </is>
      </c>
      <c r="G2048" t="inlineStr">
        <is>
          <t>Travel</t>
        </is>
      </c>
      <c r="H2048" t="inlineStr">
        <is>
          <t>Personal &gt; Lifestyle &gt; Quick Add &gt; Travel</t>
        </is>
      </c>
      <c r="I2048" s="18" t="n">
        <v>6718.46</v>
      </c>
      <c r="J2048" t="inlineStr">
        <is>
          <t>Created MTR-IOS-2047 and correlation note visible in Activity/Pulse</t>
        </is>
      </c>
      <c r="K2048" t="inlineStr">
        <is>
          <t>NOT_RUN</t>
        </is>
      </c>
      <c r="P2048" t="n">
        <v>0</v>
      </c>
      <c r="Q2048" t="n">
        <v>2047</v>
      </c>
    </row>
    <row r="2049">
      <c r="A2049" t="n">
        <v>2048</v>
      </c>
      <c r="B2049" t="inlineStr">
        <is>
          <t>MTR-IOS-2048</t>
        </is>
      </c>
      <c r="C2049" t="inlineStr">
        <is>
          <t>iPhone</t>
        </is>
      </c>
      <c r="D2049" t="inlineStr">
        <is>
          <t>Group</t>
        </is>
      </c>
      <c r="E2049" t="inlineStr">
        <is>
          <t>Shared Living</t>
        </is>
      </c>
      <c r="F2049" t="inlineStr">
        <is>
          <t>Flatmates</t>
        </is>
      </c>
      <c r="G2049" t="inlineStr">
        <is>
          <t>Repairs</t>
        </is>
      </c>
      <c r="H2049" t="inlineStr">
        <is>
          <t>Group &gt; Flatmates &gt; Quick Add &gt; Repairs</t>
        </is>
      </c>
      <c r="I2049" s="18" t="n">
        <v>13600.28</v>
      </c>
      <c r="J2049" t="inlineStr">
        <is>
          <t>Created MTR-IOS-2048 and correlation note visible in Activity/Pulse</t>
        </is>
      </c>
      <c r="K2049" t="inlineStr">
        <is>
          <t>NOT_RUN</t>
        </is>
      </c>
      <c r="P2049" t="n">
        <v>0</v>
      </c>
      <c r="Q2049" t="n">
        <v>2048</v>
      </c>
    </row>
    <row r="2050">
      <c r="A2050" t="n">
        <v>2049</v>
      </c>
      <c r="B2050" t="inlineStr">
        <is>
          <t>MTR-IOS-2049</t>
        </is>
      </c>
      <c r="C2050" t="inlineStr">
        <is>
          <t>iPhone</t>
        </is>
      </c>
      <c r="D2050" t="inlineStr">
        <is>
          <t>Business</t>
        </is>
      </c>
      <c r="E2050" t="inlineStr">
        <is>
          <t>Business</t>
        </is>
      </c>
      <c r="F2050" t="inlineStr">
        <is>
          <t>Business Runway</t>
        </is>
      </c>
      <c r="G2050" t="inlineStr">
        <is>
          <t>Reserve</t>
        </is>
      </c>
      <c r="H2050" t="inlineStr">
        <is>
          <t>Business &gt; Business Runway &gt; Quick Add &gt; Reserve</t>
        </is>
      </c>
      <c r="I2050" s="18" t="n">
        <v>63234.84</v>
      </c>
      <c r="J2050" t="inlineStr">
        <is>
          <t>Created MTR-IOS-2049 and correlation note visible in Activity/Pulse</t>
        </is>
      </c>
      <c r="K2050" t="inlineStr">
        <is>
          <t>NOT_RUN</t>
        </is>
      </c>
      <c r="P2050" t="n">
        <v>0</v>
      </c>
      <c r="Q2050" t="n">
        <v>2049</v>
      </c>
    </row>
    <row r="2051">
      <c r="A2051" t="n">
        <v>2050</v>
      </c>
      <c r="B2051" t="inlineStr">
        <is>
          <t>MTR-IOS-2050</t>
        </is>
      </c>
      <c r="C2051" t="inlineStr">
        <is>
          <t>iPhone</t>
        </is>
      </c>
      <c r="D2051" t="inlineStr">
        <is>
          <t>Personal</t>
        </is>
      </c>
      <c r="E2051" t="inlineStr">
        <is>
          <t>Personal</t>
        </is>
      </c>
      <c r="F2051" t="inlineStr">
        <is>
          <t>Lifestyle</t>
        </is>
      </c>
      <c r="G2051" t="inlineStr">
        <is>
          <t>Fitness</t>
        </is>
      </c>
      <c r="H2051" t="inlineStr">
        <is>
          <t>Personal &gt; Lifestyle &gt; Quick Add &gt; Fitness</t>
        </is>
      </c>
      <c r="I2051" s="18" t="n">
        <v>6282.36</v>
      </c>
      <c r="J2051" t="inlineStr">
        <is>
          <t>Created MTR-IOS-2050 and correlation note visible in Activity/Pulse</t>
        </is>
      </c>
      <c r="K2051" t="inlineStr">
        <is>
          <t>NOT_RUN</t>
        </is>
      </c>
      <c r="P2051" t="n">
        <v>0</v>
      </c>
      <c r="Q2051" t="n">
        <v>2050</v>
      </c>
    </row>
    <row r="2052">
      <c r="A2052" t="n">
        <v>2051</v>
      </c>
      <c r="B2052" t="inlineStr">
        <is>
          <t>MTR-IOS-2051</t>
        </is>
      </c>
      <c r="C2052" t="inlineStr">
        <is>
          <t>iPhone</t>
        </is>
      </c>
      <c r="D2052" t="inlineStr">
        <is>
          <t>Group</t>
        </is>
      </c>
      <c r="E2052" t="inlineStr">
        <is>
          <t>Shared Living</t>
        </is>
      </c>
      <c r="F2052" t="inlineStr">
        <is>
          <t>Shared Living</t>
        </is>
      </c>
      <c r="G2052" t="inlineStr">
        <is>
          <t>Rent</t>
        </is>
      </c>
      <c r="H2052" t="inlineStr">
        <is>
          <t>Group &gt; Shared Living &gt; Quick Add &gt; Rent</t>
        </is>
      </c>
      <c r="I2052" s="18" t="n">
        <v>22772.43</v>
      </c>
      <c r="J2052" t="inlineStr">
        <is>
          <t>Created MTR-IOS-2051 and correlation note visible in Activity/Pulse</t>
        </is>
      </c>
      <c r="K2052" t="inlineStr">
        <is>
          <t>NOT_RUN</t>
        </is>
      </c>
      <c r="P2052" t="n">
        <v>0</v>
      </c>
      <c r="Q2052" t="n">
        <v>2051</v>
      </c>
    </row>
    <row r="2053">
      <c r="A2053" t="n">
        <v>2052</v>
      </c>
      <c r="B2053" t="inlineStr">
        <is>
          <t>MTR-IOS-2052</t>
        </is>
      </c>
      <c r="C2053" t="inlineStr">
        <is>
          <t>iPhone</t>
        </is>
      </c>
      <c r="D2053" t="inlineStr">
        <is>
          <t>Business</t>
        </is>
      </c>
      <c r="E2053" t="inlineStr">
        <is>
          <t>Business</t>
        </is>
      </c>
      <c r="F2053" t="inlineStr">
        <is>
          <t>Business Runway</t>
        </is>
      </c>
      <c r="G2053" t="inlineStr">
        <is>
          <t>Loan</t>
        </is>
      </c>
      <c r="H2053" t="inlineStr">
        <is>
          <t>Business &gt; Business Runway &gt; Quick Add &gt; Loan</t>
        </is>
      </c>
      <c r="I2053" s="18" t="n">
        <v>67434.67999999999</v>
      </c>
      <c r="J2053" t="inlineStr">
        <is>
          <t>Created MTR-IOS-2052 and correlation note visible in Activity/Pulse</t>
        </is>
      </c>
      <c r="K2053" t="inlineStr">
        <is>
          <t>NOT_RUN</t>
        </is>
      </c>
      <c r="P2053" t="n">
        <v>0</v>
      </c>
      <c r="Q2053" t="n">
        <v>2052</v>
      </c>
    </row>
    <row r="2054">
      <c r="A2054" t="n">
        <v>2053</v>
      </c>
      <c r="B2054" t="inlineStr">
        <is>
          <t>MTR-IOS-2053</t>
        </is>
      </c>
      <c r="C2054" t="inlineStr">
        <is>
          <t>iPhone</t>
        </is>
      </c>
      <c r="D2054" t="inlineStr">
        <is>
          <t>Personal</t>
        </is>
      </c>
      <c r="E2054" t="inlineStr">
        <is>
          <t>Personal</t>
        </is>
      </c>
      <c r="F2054" t="inlineStr">
        <is>
          <t>Lifestyle</t>
        </is>
      </c>
      <c r="G2054" t="inlineStr">
        <is>
          <t>Hobbies</t>
        </is>
      </c>
      <c r="H2054" t="inlineStr">
        <is>
          <t>Personal &gt; Lifestyle &gt; Quick Add &gt; Hobbies</t>
        </is>
      </c>
      <c r="I2054" s="18" t="n">
        <v>8404.440000000001</v>
      </c>
      <c r="J2054" t="inlineStr">
        <is>
          <t>Created MTR-IOS-2053 and correlation note visible in Activity/Pulse</t>
        </is>
      </c>
      <c r="K2054" t="inlineStr">
        <is>
          <t>NOT_RUN</t>
        </is>
      </c>
      <c r="P2054" t="n">
        <v>0</v>
      </c>
      <c r="Q2054" t="n">
        <v>2053</v>
      </c>
    </row>
    <row r="2055">
      <c r="A2055" t="n">
        <v>2054</v>
      </c>
      <c r="B2055" t="inlineStr">
        <is>
          <t>MTR-IOS-2054</t>
        </is>
      </c>
      <c r="C2055" t="inlineStr">
        <is>
          <t>iPhone</t>
        </is>
      </c>
      <c r="D2055" t="inlineStr">
        <is>
          <t>Group</t>
        </is>
      </c>
      <c r="E2055" t="inlineStr">
        <is>
          <t>Shared Living</t>
        </is>
      </c>
      <c r="F2055" t="inlineStr">
        <is>
          <t>Shared Living</t>
        </is>
      </c>
      <c r="G2055" t="inlineStr">
        <is>
          <t>Utilities</t>
        </is>
      </c>
      <c r="H2055" t="inlineStr">
        <is>
          <t>Group &gt; Shared Living &gt; Quick Add &gt; Utilities</t>
        </is>
      </c>
      <c r="I2055" s="18" t="n">
        <v>6095.17</v>
      </c>
      <c r="J2055" t="inlineStr">
        <is>
          <t>Created MTR-IOS-2054 and correlation note visible in Activity/Pulse</t>
        </is>
      </c>
      <c r="K2055" t="inlineStr">
        <is>
          <t>NOT_RUN</t>
        </is>
      </c>
      <c r="P2055" t="n">
        <v>0</v>
      </c>
      <c r="Q2055" t="n">
        <v>2054</v>
      </c>
    </row>
    <row r="2056">
      <c r="A2056" t="n">
        <v>2055</v>
      </c>
      <c r="B2056" t="inlineStr">
        <is>
          <t>MTR-IOS-2055</t>
        </is>
      </c>
      <c r="C2056" t="inlineStr">
        <is>
          <t>iPhone</t>
        </is>
      </c>
      <c r="D2056" t="inlineStr">
        <is>
          <t>Business</t>
        </is>
      </c>
      <c r="E2056" t="inlineStr">
        <is>
          <t>Business</t>
        </is>
      </c>
      <c r="F2056" t="inlineStr">
        <is>
          <t>Business Runway</t>
        </is>
      </c>
      <c r="G2056" t="inlineStr">
        <is>
          <t>Investment</t>
        </is>
      </c>
      <c r="H2056" t="inlineStr">
        <is>
          <t>Business &gt; Business Runway &gt; Quick Add &gt; Investment</t>
        </is>
      </c>
      <c r="I2056" s="18" t="n">
        <v>10087.13</v>
      </c>
      <c r="J2056" t="inlineStr">
        <is>
          <t>Created MTR-IOS-2055 and correlation note visible in Activity/Pulse</t>
        </is>
      </c>
      <c r="K2056" t="inlineStr">
        <is>
          <t>NOT_RUN</t>
        </is>
      </c>
      <c r="P2056" t="n">
        <v>0</v>
      </c>
      <c r="Q2056" t="n">
        <v>2055</v>
      </c>
    </row>
    <row r="2057">
      <c r="A2057" t="n">
        <v>2056</v>
      </c>
      <c r="B2057" t="inlineStr">
        <is>
          <t>MTR-IOS-2056</t>
        </is>
      </c>
      <c r="C2057" t="inlineStr">
        <is>
          <t>iPhone</t>
        </is>
      </c>
      <c r="D2057" t="inlineStr">
        <is>
          <t>Personal</t>
        </is>
      </c>
      <c r="E2057" t="inlineStr">
        <is>
          <t>Personal</t>
        </is>
      </c>
      <c r="F2057" t="inlineStr">
        <is>
          <t>Relationships</t>
        </is>
      </c>
      <c r="G2057" t="inlineStr">
        <is>
          <t>Gifts</t>
        </is>
      </c>
      <c r="H2057" t="inlineStr">
        <is>
          <t>Personal &gt; Relationships &gt; Quick Add &gt; Gifts</t>
        </is>
      </c>
      <c r="I2057" s="18" t="n">
        <v>5377.68</v>
      </c>
      <c r="J2057" t="inlineStr">
        <is>
          <t>Created MTR-IOS-2056 and correlation note visible in Activity/Pulse</t>
        </is>
      </c>
      <c r="K2057" t="inlineStr">
        <is>
          <t>NOT_RUN</t>
        </is>
      </c>
      <c r="P2057" t="n">
        <v>0</v>
      </c>
      <c r="Q2057" t="n">
        <v>2056</v>
      </c>
    </row>
    <row r="2058">
      <c r="A2058" t="n">
        <v>2057</v>
      </c>
      <c r="B2058" t="inlineStr">
        <is>
          <t>MTR-IOS-2057</t>
        </is>
      </c>
      <c r="C2058" t="inlineStr">
        <is>
          <t>iPhone</t>
        </is>
      </c>
      <c r="D2058" t="inlineStr">
        <is>
          <t>Group</t>
        </is>
      </c>
      <c r="E2058" t="inlineStr">
        <is>
          <t>Shared Living</t>
        </is>
      </c>
      <c r="F2058" t="inlineStr">
        <is>
          <t>Shared Living</t>
        </is>
      </c>
      <c r="G2058" t="inlineStr">
        <is>
          <t>Groceries</t>
        </is>
      </c>
      <c r="H2058" t="inlineStr">
        <is>
          <t>Group &gt; Shared Living &gt; Quick Add &gt; Groceries</t>
        </is>
      </c>
      <c r="I2058" s="18" t="n">
        <v>3275.88</v>
      </c>
      <c r="J2058" t="inlineStr">
        <is>
          <t>Created MTR-IOS-2057 and correlation note visible in Activity/Pulse</t>
        </is>
      </c>
      <c r="K2058" t="inlineStr">
        <is>
          <t>NOT_RUN</t>
        </is>
      </c>
      <c r="P2058" t="n">
        <v>0</v>
      </c>
      <c r="Q2058" t="n">
        <v>2057</v>
      </c>
    </row>
    <row r="2059">
      <c r="A2059" t="n">
        <v>2058</v>
      </c>
      <c r="B2059" t="inlineStr">
        <is>
          <t>MTR-IOS-2058</t>
        </is>
      </c>
      <c r="C2059" t="inlineStr">
        <is>
          <t>iPhone</t>
        </is>
      </c>
      <c r="D2059" t="inlineStr">
        <is>
          <t>Business</t>
        </is>
      </c>
      <c r="E2059" t="inlineStr">
        <is>
          <t>Business</t>
        </is>
      </c>
      <c r="F2059" t="inlineStr">
        <is>
          <t>Business Operations</t>
        </is>
      </c>
      <c r="G2059" t="inlineStr">
        <is>
          <t>Software</t>
        </is>
      </c>
      <c r="H2059" t="inlineStr">
        <is>
          <t>Business &gt; Business Operations &gt; Quick Add &gt; Software</t>
        </is>
      </c>
      <c r="I2059" s="18" t="n">
        <v>125390.43</v>
      </c>
      <c r="J2059" t="inlineStr">
        <is>
          <t>Created MTR-IOS-2058 and correlation note visible in Activity/Pulse</t>
        </is>
      </c>
      <c r="K2059" t="inlineStr">
        <is>
          <t>NOT_RUN</t>
        </is>
      </c>
      <c r="P2059" t="n">
        <v>0</v>
      </c>
      <c r="Q2059" t="n">
        <v>2058</v>
      </c>
    </row>
    <row r="2060">
      <c r="A2060" t="n">
        <v>2059</v>
      </c>
      <c r="B2060" t="inlineStr">
        <is>
          <t>MTR-IOS-2059</t>
        </is>
      </c>
      <c r="C2060" t="inlineStr">
        <is>
          <t>iPhone</t>
        </is>
      </c>
      <c r="D2060" t="inlineStr">
        <is>
          <t>Personal</t>
        </is>
      </c>
      <c r="E2060" t="inlineStr">
        <is>
          <t>Personal</t>
        </is>
      </c>
      <c r="F2060" t="inlineStr">
        <is>
          <t>Relationships</t>
        </is>
      </c>
      <c r="G2060" t="inlineStr">
        <is>
          <t>Dates</t>
        </is>
      </c>
      <c r="H2060" t="inlineStr">
        <is>
          <t>Personal &gt; Relationships &gt; Quick Add &gt; Dates</t>
        </is>
      </c>
      <c r="I2060" s="18" t="n">
        <v>14930.6</v>
      </c>
      <c r="J2060" t="inlineStr">
        <is>
          <t>Created MTR-IOS-2059 and correlation note visible in Activity/Pulse</t>
        </is>
      </c>
      <c r="K2060" t="inlineStr">
        <is>
          <t>NOT_RUN</t>
        </is>
      </c>
      <c r="P2060" t="n">
        <v>0</v>
      </c>
      <c r="Q2060" t="n">
        <v>2059</v>
      </c>
    </row>
    <row r="2061">
      <c r="A2061" t="n">
        <v>2060</v>
      </c>
      <c r="B2061" t="inlineStr">
        <is>
          <t>MTR-IOS-2060</t>
        </is>
      </c>
      <c r="C2061" t="inlineStr">
        <is>
          <t>iPhone</t>
        </is>
      </c>
      <c r="D2061" t="inlineStr">
        <is>
          <t>Group</t>
        </is>
      </c>
      <c r="E2061" t="inlineStr">
        <is>
          <t>Shared Living</t>
        </is>
      </c>
      <c r="F2061" t="inlineStr">
        <is>
          <t>Shared Living</t>
        </is>
      </c>
      <c r="G2061" t="inlineStr">
        <is>
          <t>Maintenance</t>
        </is>
      </c>
      <c r="H2061" t="inlineStr">
        <is>
          <t>Group &gt; Shared Living &gt; Quick Add &gt; Maintenance</t>
        </is>
      </c>
      <c r="I2061" s="18" t="n">
        <v>2637.65</v>
      </c>
      <c r="J2061" t="inlineStr">
        <is>
          <t>Created MTR-IOS-2060 and correlation note visible in Activity/Pulse</t>
        </is>
      </c>
      <c r="K2061" t="inlineStr">
        <is>
          <t>NOT_RUN</t>
        </is>
      </c>
      <c r="P2061" t="n">
        <v>0</v>
      </c>
      <c r="Q2061" t="n">
        <v>2060</v>
      </c>
    </row>
    <row r="2062">
      <c r="A2062" t="n">
        <v>2061</v>
      </c>
      <c r="B2062" t="inlineStr">
        <is>
          <t>MTR-IOS-2061</t>
        </is>
      </c>
      <c r="C2062" t="inlineStr">
        <is>
          <t>iPhone</t>
        </is>
      </c>
      <c r="D2062" t="inlineStr">
        <is>
          <t>Business</t>
        </is>
      </c>
      <c r="E2062" t="inlineStr">
        <is>
          <t>Business</t>
        </is>
      </c>
      <c r="F2062" t="inlineStr">
        <is>
          <t>Business Operations</t>
        </is>
      </c>
      <c r="G2062" t="inlineStr">
        <is>
          <t>Rent</t>
        </is>
      </c>
      <c r="H2062" t="inlineStr">
        <is>
          <t>Business &gt; Business Operations &gt; Quick Add &gt; Rent</t>
        </is>
      </c>
      <c r="I2062" s="18" t="n">
        <v>111844.67</v>
      </c>
      <c r="J2062" t="inlineStr">
        <is>
          <t>Created MTR-IOS-2061 and correlation note visible in Activity/Pulse</t>
        </is>
      </c>
      <c r="K2062" t="inlineStr">
        <is>
          <t>NOT_RUN</t>
        </is>
      </c>
      <c r="P2062" t="n">
        <v>0</v>
      </c>
      <c r="Q2062" t="n">
        <v>2061</v>
      </c>
    </row>
    <row r="2063">
      <c r="A2063" t="n">
        <v>2062</v>
      </c>
      <c r="B2063" t="inlineStr">
        <is>
          <t>MTR-IOS-2062</t>
        </is>
      </c>
      <c r="C2063" t="inlineStr">
        <is>
          <t>iPhone</t>
        </is>
      </c>
      <c r="D2063" t="inlineStr">
        <is>
          <t>Personal</t>
        </is>
      </c>
      <c r="E2063" t="inlineStr">
        <is>
          <t>Personal</t>
        </is>
      </c>
      <c r="F2063" t="inlineStr">
        <is>
          <t>Relationships</t>
        </is>
      </c>
      <c r="G2063" t="inlineStr">
        <is>
          <t>Family</t>
        </is>
      </c>
      <c r="H2063" t="inlineStr">
        <is>
          <t>Personal &gt; Relationships &gt; Quick Add &gt; Family</t>
        </is>
      </c>
      <c r="I2063" s="18" t="n">
        <v>2318.76</v>
      </c>
      <c r="J2063" t="inlineStr">
        <is>
          <t>Created MTR-IOS-2062 and correlation note visible in Activity/Pulse</t>
        </is>
      </c>
      <c r="K2063" t="inlineStr">
        <is>
          <t>NOT_RUN</t>
        </is>
      </c>
      <c r="P2063" t="n">
        <v>0</v>
      </c>
      <c r="Q2063" t="n">
        <v>2062</v>
      </c>
    </row>
    <row r="2064">
      <c r="A2064" t="n">
        <v>2063</v>
      </c>
      <c r="B2064" t="inlineStr">
        <is>
          <t>MTR-IOS-2063</t>
        </is>
      </c>
      <c r="C2064" t="inlineStr">
        <is>
          <t>iPhone</t>
        </is>
      </c>
      <c r="D2064" t="inlineStr">
        <is>
          <t>Group</t>
        </is>
      </c>
      <c r="E2064" t="inlineStr">
        <is>
          <t>Shared Living</t>
        </is>
      </c>
      <c r="F2064" t="inlineStr">
        <is>
          <t>Shared Living</t>
        </is>
      </c>
      <c r="G2064" t="inlineStr">
        <is>
          <t>Other</t>
        </is>
      </c>
      <c r="H2064" t="inlineStr">
        <is>
          <t>Group &gt; Shared Living &gt; Quick Add &gt; Other</t>
        </is>
      </c>
      <c r="I2064" s="18" t="n">
        <v>4785.65</v>
      </c>
      <c r="J2064" t="inlineStr">
        <is>
          <t>Created MTR-IOS-2063 and correlation note visible in Activity/Pulse</t>
        </is>
      </c>
      <c r="K2064" t="inlineStr">
        <is>
          <t>NOT_RUN</t>
        </is>
      </c>
      <c r="P2064" t="n">
        <v>0</v>
      </c>
      <c r="Q2064" t="n">
        <v>2063</v>
      </c>
    </row>
    <row r="2065">
      <c r="A2065" t="n">
        <v>2064</v>
      </c>
      <c r="B2065" t="inlineStr">
        <is>
          <t>MTR-IOS-2064</t>
        </is>
      </c>
      <c r="C2065" t="inlineStr">
        <is>
          <t>iPhone</t>
        </is>
      </c>
      <c r="D2065" t="inlineStr">
        <is>
          <t>Business</t>
        </is>
      </c>
      <c r="E2065" t="inlineStr">
        <is>
          <t>Business</t>
        </is>
      </c>
      <c r="F2065" t="inlineStr">
        <is>
          <t>Business Operations</t>
        </is>
      </c>
      <c r="G2065" t="inlineStr">
        <is>
          <t>Marketing</t>
        </is>
      </c>
      <c r="H2065" t="inlineStr">
        <is>
          <t>Business &gt; Business Operations &gt; Quick Add &gt; Marketing</t>
        </is>
      </c>
      <c r="I2065" s="18" t="n">
        <v>148929.98</v>
      </c>
      <c r="J2065" t="inlineStr">
        <is>
          <t>Created MTR-IOS-2064 and correlation note visible in Activity/Pulse</t>
        </is>
      </c>
      <c r="K2065" t="inlineStr">
        <is>
          <t>NOT_RUN</t>
        </is>
      </c>
      <c r="P2065" t="n">
        <v>0</v>
      </c>
      <c r="Q2065" t="n">
        <v>2064</v>
      </c>
    </row>
    <row r="2066">
      <c r="A2066" t="n">
        <v>2065</v>
      </c>
      <c r="B2066" t="inlineStr">
        <is>
          <t>MTR-IOS-2065</t>
        </is>
      </c>
      <c r="C2066" t="inlineStr">
        <is>
          <t>iPhone</t>
        </is>
      </c>
      <c r="D2066" t="inlineStr">
        <is>
          <t>Personal</t>
        </is>
      </c>
      <c r="E2066" t="inlineStr">
        <is>
          <t>Personal</t>
        </is>
      </c>
      <c r="F2066" t="inlineStr">
        <is>
          <t>Relationships</t>
        </is>
      </c>
      <c r="G2066" t="inlineStr">
        <is>
          <t>Friends</t>
        </is>
      </c>
      <c r="H2066" t="inlineStr">
        <is>
          <t>Personal &gt; Relationships &gt; Quick Add &gt; Friends</t>
        </is>
      </c>
      <c r="I2066" s="18" t="n">
        <v>4272.48</v>
      </c>
      <c r="J2066" t="inlineStr">
        <is>
          <t>Created MTR-IOS-2065 and correlation note visible in Activity/Pulse</t>
        </is>
      </c>
      <c r="K2066" t="inlineStr">
        <is>
          <t>NOT_RUN</t>
        </is>
      </c>
      <c r="P2066" t="n">
        <v>0</v>
      </c>
      <c r="Q2066" t="n">
        <v>2065</v>
      </c>
    </row>
    <row r="2067">
      <c r="A2067" t="n">
        <v>2066</v>
      </c>
      <c r="B2067" t="inlineStr">
        <is>
          <t>MTR-IOS-2066</t>
        </is>
      </c>
      <c r="C2067" t="inlineStr">
        <is>
          <t>iPhone</t>
        </is>
      </c>
      <c r="D2067" t="inlineStr">
        <is>
          <t>Group</t>
        </is>
      </c>
      <c r="E2067" t="inlineStr">
        <is>
          <t>Shared Living</t>
        </is>
      </c>
      <c r="F2067" t="inlineStr">
        <is>
          <t>Family Household</t>
        </is>
      </c>
      <c r="G2067" t="inlineStr">
        <is>
          <t>Groceries</t>
        </is>
      </c>
      <c r="H2067" t="inlineStr">
        <is>
          <t>Group &gt; Family Household &gt; Quick Add &gt; Groceries</t>
        </is>
      </c>
      <c r="I2067" s="18" t="n">
        <v>14357.86</v>
      </c>
      <c r="J2067" t="inlineStr">
        <is>
          <t>Created MTR-IOS-2066 and correlation note visible in Activity/Pulse</t>
        </is>
      </c>
      <c r="K2067" t="inlineStr">
        <is>
          <t>NOT_RUN</t>
        </is>
      </c>
      <c r="P2067" t="n">
        <v>0</v>
      </c>
      <c r="Q2067" t="n">
        <v>2066</v>
      </c>
    </row>
    <row r="2068">
      <c r="A2068" t="n">
        <v>2067</v>
      </c>
      <c r="B2068" t="inlineStr">
        <is>
          <t>MTR-IOS-2067</t>
        </is>
      </c>
      <c r="C2068" t="inlineStr">
        <is>
          <t>iPhone</t>
        </is>
      </c>
      <c r="D2068" t="inlineStr">
        <is>
          <t>Business</t>
        </is>
      </c>
      <c r="E2068" t="inlineStr">
        <is>
          <t>Business</t>
        </is>
      </c>
      <c r="F2068" t="inlineStr">
        <is>
          <t>Business Operations</t>
        </is>
      </c>
      <c r="G2068" t="inlineStr">
        <is>
          <t>Legal</t>
        </is>
      </c>
      <c r="H2068" t="inlineStr">
        <is>
          <t>Business &gt; Business Operations &gt; Quick Add &gt; Legal</t>
        </is>
      </c>
      <c r="I2068" s="18" t="n">
        <v>116968.65</v>
      </c>
      <c r="J2068" t="inlineStr">
        <is>
          <t>Created MTR-IOS-2067 and correlation note visible in Activity/Pulse</t>
        </is>
      </c>
      <c r="K2068" t="inlineStr">
        <is>
          <t>NOT_RUN</t>
        </is>
      </c>
      <c r="P2068" t="n">
        <v>0</v>
      </c>
      <c r="Q2068" t="n">
        <v>2067</v>
      </c>
    </row>
    <row r="2069">
      <c r="A2069" t="n">
        <v>2068</v>
      </c>
      <c r="B2069" t="inlineStr">
        <is>
          <t>MTR-IOS-2068</t>
        </is>
      </c>
      <c r="C2069" t="inlineStr">
        <is>
          <t>iPhone</t>
        </is>
      </c>
      <c r="D2069" t="inlineStr">
        <is>
          <t>Personal</t>
        </is>
      </c>
      <c r="E2069" t="inlineStr">
        <is>
          <t>Personal</t>
        </is>
      </c>
      <c r="F2069" t="inlineStr">
        <is>
          <t>Relationships</t>
        </is>
      </c>
      <c r="G2069" t="inlineStr">
        <is>
          <t>Celebrations</t>
        </is>
      </c>
      <c r="H2069" t="inlineStr">
        <is>
          <t>Personal &gt; Relationships &gt; Quick Add &gt; Celebrations</t>
        </is>
      </c>
      <c r="I2069" s="18" t="n">
        <v>15998.96</v>
      </c>
      <c r="J2069" t="inlineStr">
        <is>
          <t>Created MTR-IOS-2068 and correlation note visible in Activity/Pulse</t>
        </is>
      </c>
      <c r="K2069" t="inlineStr">
        <is>
          <t>NOT_RUN</t>
        </is>
      </c>
      <c r="P2069" t="n">
        <v>0</v>
      </c>
      <c r="Q2069" t="n">
        <v>2068</v>
      </c>
    </row>
    <row r="2070">
      <c r="A2070" t="n">
        <v>2069</v>
      </c>
      <c r="B2070" t="inlineStr">
        <is>
          <t>MTR-IOS-2069</t>
        </is>
      </c>
      <c r="C2070" t="inlineStr">
        <is>
          <t>iPhone</t>
        </is>
      </c>
      <c r="D2070" t="inlineStr">
        <is>
          <t>Group</t>
        </is>
      </c>
      <c r="E2070" t="inlineStr">
        <is>
          <t>Shared Living</t>
        </is>
      </c>
      <c r="F2070" t="inlineStr">
        <is>
          <t>Family Household</t>
        </is>
      </c>
      <c r="G2070" t="inlineStr">
        <is>
          <t>Bills</t>
        </is>
      </c>
      <c r="H2070" t="inlineStr">
        <is>
          <t>Group &gt; Family Household &gt; Quick Add &gt; Bills</t>
        </is>
      </c>
      <c r="I2070" s="18" t="n">
        <v>9001.91</v>
      </c>
      <c r="J2070" t="inlineStr">
        <is>
          <t>Created MTR-IOS-2069 and correlation note visible in Activity/Pulse</t>
        </is>
      </c>
      <c r="K2070" t="inlineStr">
        <is>
          <t>NOT_RUN</t>
        </is>
      </c>
      <c r="P2070" t="n">
        <v>0</v>
      </c>
      <c r="Q2070" t="n">
        <v>2069</v>
      </c>
    </row>
    <row r="2071">
      <c r="A2071" t="n">
        <v>2070</v>
      </c>
      <c r="B2071" t="inlineStr">
        <is>
          <t>MTR-IOS-2070</t>
        </is>
      </c>
      <c r="C2071" t="inlineStr">
        <is>
          <t>iPhone</t>
        </is>
      </c>
      <c r="D2071" t="inlineStr">
        <is>
          <t>Business</t>
        </is>
      </c>
      <c r="E2071" t="inlineStr">
        <is>
          <t>Business</t>
        </is>
      </c>
      <c r="F2071" t="inlineStr">
        <is>
          <t>Business Operations</t>
        </is>
      </c>
      <c r="G2071" t="inlineStr">
        <is>
          <t>Accounting</t>
        </is>
      </c>
      <c r="H2071" t="inlineStr">
        <is>
          <t>Business &gt; Business Operations &gt; Quick Add &gt; Accounting</t>
        </is>
      </c>
      <c r="I2071" s="18" t="n">
        <v>91510.35000000001</v>
      </c>
      <c r="J2071" t="inlineStr">
        <is>
          <t>Created MTR-IOS-2070 and correlation note visible in Activity/Pulse</t>
        </is>
      </c>
      <c r="K2071" t="inlineStr">
        <is>
          <t>NOT_RUN</t>
        </is>
      </c>
      <c r="P2071" t="n">
        <v>0</v>
      </c>
      <c r="Q2071" t="n">
        <v>2070</v>
      </c>
    </row>
    <row r="2072">
      <c r="A2072" t="n">
        <v>2071</v>
      </c>
      <c r="B2072" t="inlineStr">
        <is>
          <t>MTR-IOS-2071</t>
        </is>
      </c>
      <c r="C2072" t="inlineStr">
        <is>
          <t>iPhone</t>
        </is>
      </c>
      <c r="D2072" t="inlineStr">
        <is>
          <t>Personal</t>
        </is>
      </c>
      <c r="E2072" t="inlineStr">
        <is>
          <t>Personal</t>
        </is>
      </c>
      <c r="F2072" t="inlineStr">
        <is>
          <t>Life Operations</t>
        </is>
      </c>
      <c r="G2072" t="inlineStr">
        <is>
          <t>Groceries</t>
        </is>
      </c>
      <c r="H2072" t="inlineStr">
        <is>
          <t>Personal &gt; Life Operations &gt; Quick Add &gt; Groceries</t>
        </is>
      </c>
      <c r="I2072" s="18" t="n">
        <v>3437.87</v>
      </c>
      <c r="J2072" t="inlineStr">
        <is>
          <t>Created MTR-IOS-2071 and correlation note visible in Activity/Pulse</t>
        </is>
      </c>
      <c r="K2072" t="inlineStr">
        <is>
          <t>NOT_RUN</t>
        </is>
      </c>
      <c r="P2072" t="n">
        <v>0</v>
      </c>
      <c r="Q2072" t="n">
        <v>2071</v>
      </c>
    </row>
    <row r="2073">
      <c r="A2073" t="n">
        <v>2072</v>
      </c>
      <c r="B2073" t="inlineStr">
        <is>
          <t>MTR-IOS-2072</t>
        </is>
      </c>
      <c r="C2073" t="inlineStr">
        <is>
          <t>iPhone</t>
        </is>
      </c>
      <c r="D2073" t="inlineStr">
        <is>
          <t>Group</t>
        </is>
      </c>
      <c r="E2073" t="inlineStr">
        <is>
          <t>Shared Living</t>
        </is>
      </c>
      <c r="F2073" t="inlineStr">
        <is>
          <t>Family Household</t>
        </is>
      </c>
      <c r="G2073" t="inlineStr">
        <is>
          <t>School</t>
        </is>
      </c>
      <c r="H2073" t="inlineStr">
        <is>
          <t>Group &gt; Family Household &gt; Quick Add &gt; School</t>
        </is>
      </c>
      <c r="I2073" s="18" t="n">
        <v>99.98999999999999</v>
      </c>
      <c r="J2073" t="inlineStr">
        <is>
          <t>Created MTR-IOS-2072 and correlation note visible in Activity/Pulse</t>
        </is>
      </c>
      <c r="K2073" t="inlineStr">
        <is>
          <t>NOT_RUN</t>
        </is>
      </c>
      <c r="P2073" t="n">
        <v>0</v>
      </c>
      <c r="Q2073" t="n">
        <v>2072</v>
      </c>
    </row>
    <row r="2074">
      <c r="A2074" t="n">
        <v>2073</v>
      </c>
      <c r="B2074" t="inlineStr">
        <is>
          <t>MTR-IOS-2073</t>
        </is>
      </c>
      <c r="C2074" t="inlineStr">
        <is>
          <t>iPhone</t>
        </is>
      </c>
      <c r="D2074" t="inlineStr">
        <is>
          <t>Business</t>
        </is>
      </c>
      <c r="E2074" t="inlineStr">
        <is>
          <t>Business</t>
        </is>
      </c>
      <c r="F2074" t="inlineStr">
        <is>
          <t>Business Operations</t>
        </is>
      </c>
      <c r="G2074" t="inlineStr">
        <is>
          <t>Equipment</t>
        </is>
      </c>
      <c r="H2074" t="inlineStr">
        <is>
          <t>Business &gt; Business Operations &gt; Quick Add &gt; Equipment</t>
        </is>
      </c>
      <c r="I2074" s="18" t="n">
        <v>97818.91</v>
      </c>
      <c r="J2074" t="inlineStr">
        <is>
          <t>Created MTR-IOS-2073 and correlation note visible in Activity/Pulse</t>
        </is>
      </c>
      <c r="K2074" t="inlineStr">
        <is>
          <t>NOT_RUN</t>
        </is>
      </c>
      <c r="P2074" t="n">
        <v>0</v>
      </c>
      <c r="Q2074" t="n">
        <v>2073</v>
      </c>
    </row>
    <row r="2075">
      <c r="A2075" t="n">
        <v>2074</v>
      </c>
      <c r="B2075" t="inlineStr">
        <is>
          <t>MTR-IOS-2074</t>
        </is>
      </c>
      <c r="C2075" t="inlineStr">
        <is>
          <t>iPhone</t>
        </is>
      </c>
      <c r="D2075" t="inlineStr">
        <is>
          <t>Personal</t>
        </is>
      </c>
      <c r="E2075" t="inlineStr">
        <is>
          <t>Personal</t>
        </is>
      </c>
      <c r="F2075" t="inlineStr">
        <is>
          <t>Life Operations</t>
        </is>
      </c>
      <c r="G2075" t="inlineStr">
        <is>
          <t>Rent</t>
        </is>
      </c>
      <c r="H2075" t="inlineStr">
        <is>
          <t>Personal &gt; Life Operations &gt; Quick Add &gt; Rent</t>
        </is>
      </c>
      <c r="I2075" s="18" t="n">
        <v>11014.61</v>
      </c>
      <c r="J2075" t="inlineStr">
        <is>
          <t>Created MTR-IOS-2074 and correlation note visible in Activity/Pulse</t>
        </is>
      </c>
      <c r="K2075" t="inlineStr">
        <is>
          <t>NOT_RUN</t>
        </is>
      </c>
      <c r="P2075" t="n">
        <v>0</v>
      </c>
      <c r="Q2075" t="n">
        <v>2074</v>
      </c>
    </row>
    <row r="2076">
      <c r="A2076" t="n">
        <v>2075</v>
      </c>
      <c r="B2076" t="inlineStr">
        <is>
          <t>MTR-IOS-2075</t>
        </is>
      </c>
      <c r="C2076" t="inlineStr">
        <is>
          <t>iPhone</t>
        </is>
      </c>
      <c r="D2076" t="inlineStr">
        <is>
          <t>Group</t>
        </is>
      </c>
      <c r="E2076" t="inlineStr">
        <is>
          <t>Shared Living</t>
        </is>
      </c>
      <c r="F2076" t="inlineStr">
        <is>
          <t>Family Household</t>
        </is>
      </c>
      <c r="G2076" t="inlineStr">
        <is>
          <t>Healthcare</t>
        </is>
      </c>
      <c r="H2076" t="inlineStr">
        <is>
          <t>Group &gt; Family Household &gt; Quick Add &gt; Healthcare</t>
        </is>
      </c>
      <c r="I2076" s="18" t="n">
        <v>8018.12</v>
      </c>
      <c r="J2076" t="inlineStr">
        <is>
          <t>Created MTR-IOS-2075 and correlation note visible in Activity/Pulse</t>
        </is>
      </c>
      <c r="K2076" t="inlineStr">
        <is>
          <t>NOT_RUN</t>
        </is>
      </c>
      <c r="P2076" t="n">
        <v>0</v>
      </c>
      <c r="Q2076" t="n">
        <v>2075</v>
      </c>
    </row>
    <row r="2077">
      <c r="A2077" t="n">
        <v>2076</v>
      </c>
      <c r="B2077" t="inlineStr">
        <is>
          <t>MTR-IOS-2076</t>
        </is>
      </c>
      <c r="C2077" t="inlineStr">
        <is>
          <t>iPhone</t>
        </is>
      </c>
      <c r="D2077" t="inlineStr">
        <is>
          <t>Business</t>
        </is>
      </c>
      <c r="E2077" t="inlineStr">
        <is>
          <t>Business</t>
        </is>
      </c>
      <c r="F2077" t="inlineStr">
        <is>
          <t>Business Operations</t>
        </is>
      </c>
      <c r="G2077" t="inlineStr">
        <is>
          <t>Vendor</t>
        </is>
      </c>
      <c r="H2077" t="inlineStr">
        <is>
          <t>Business &gt; Business Operations &gt; Quick Add &gt; Vendor</t>
        </is>
      </c>
      <c r="I2077" s="18" t="n">
        <v>6344.71</v>
      </c>
      <c r="J2077" t="inlineStr">
        <is>
          <t>Created MTR-IOS-2076 and correlation note visible in Activity/Pulse</t>
        </is>
      </c>
      <c r="K2077" t="inlineStr">
        <is>
          <t>NOT_RUN</t>
        </is>
      </c>
      <c r="P2077" t="n">
        <v>0</v>
      </c>
      <c r="Q2077" t="n">
        <v>2076</v>
      </c>
    </row>
    <row r="2078">
      <c r="A2078" t="n">
        <v>2077</v>
      </c>
      <c r="B2078" t="inlineStr">
        <is>
          <t>MTR-IOS-2077</t>
        </is>
      </c>
      <c r="C2078" t="inlineStr">
        <is>
          <t>iPhone</t>
        </is>
      </c>
      <c r="D2078" t="inlineStr">
        <is>
          <t>Personal</t>
        </is>
      </c>
      <c r="E2078" t="inlineStr">
        <is>
          <t>Personal</t>
        </is>
      </c>
      <c r="F2078" t="inlineStr">
        <is>
          <t>Life Operations</t>
        </is>
      </c>
      <c r="G2078" t="inlineStr">
        <is>
          <t>Bills</t>
        </is>
      </c>
      <c r="H2078" t="inlineStr">
        <is>
          <t>Personal &gt; Life Operations &gt; Quick Add &gt; Bills</t>
        </is>
      </c>
      <c r="I2078" s="18" t="n">
        <v>8012.98</v>
      </c>
      <c r="J2078" t="inlineStr">
        <is>
          <t>Created MTR-IOS-2077 and correlation note visible in Activity/Pulse</t>
        </is>
      </c>
      <c r="K2078" t="inlineStr">
        <is>
          <t>NOT_RUN</t>
        </is>
      </c>
      <c r="P2078" t="n">
        <v>0</v>
      </c>
      <c r="Q2078" t="n">
        <v>2077</v>
      </c>
    </row>
    <row r="2079">
      <c r="A2079" t="n">
        <v>2078</v>
      </c>
      <c r="B2079" t="inlineStr">
        <is>
          <t>MTR-IOS-2078</t>
        </is>
      </c>
      <c r="C2079" t="inlineStr">
        <is>
          <t>iPhone</t>
        </is>
      </c>
      <c r="D2079" t="inlineStr">
        <is>
          <t>Group</t>
        </is>
      </c>
      <c r="E2079" t="inlineStr">
        <is>
          <t>Shared Living</t>
        </is>
      </c>
      <c r="F2079" t="inlineStr">
        <is>
          <t>Family Household</t>
        </is>
      </c>
      <c r="G2079" t="inlineStr">
        <is>
          <t>Home</t>
        </is>
      </c>
      <c r="H2079" t="inlineStr">
        <is>
          <t>Group &gt; Family Household &gt; Quick Add &gt; Home</t>
        </is>
      </c>
      <c r="I2079" s="18" t="n">
        <v>20003.98</v>
      </c>
      <c r="J2079" t="inlineStr">
        <is>
          <t>Created MTR-IOS-2078 and correlation note visible in Activity/Pulse</t>
        </is>
      </c>
      <c r="K2079" t="inlineStr">
        <is>
          <t>NOT_RUN</t>
        </is>
      </c>
      <c r="P2079" t="n">
        <v>0</v>
      </c>
      <c r="Q2079" t="n">
        <v>2078</v>
      </c>
    </row>
    <row r="2080">
      <c r="A2080" t="n">
        <v>2079</v>
      </c>
      <c r="B2080" t="inlineStr">
        <is>
          <t>MTR-IOS-2079</t>
        </is>
      </c>
      <c r="C2080" t="inlineStr">
        <is>
          <t>iPhone</t>
        </is>
      </c>
      <c r="D2080" t="inlineStr">
        <is>
          <t>Business</t>
        </is>
      </c>
      <c r="E2080" t="inlineStr">
        <is>
          <t>Business</t>
        </is>
      </c>
      <c r="F2080" t="inlineStr">
        <is>
          <t>Business Operations</t>
        </is>
      </c>
      <c r="G2080" t="inlineStr">
        <is>
          <t>Tax</t>
        </is>
      </c>
      <c r="H2080" t="inlineStr">
        <is>
          <t>Business &gt; Business Operations &gt; Quick Add &gt; Tax</t>
        </is>
      </c>
      <c r="I2080" s="18" t="n">
        <v>136554.52</v>
      </c>
      <c r="J2080" t="inlineStr">
        <is>
          <t>Created MTR-IOS-2079 and correlation note visible in Activity/Pulse</t>
        </is>
      </c>
      <c r="K2080" t="inlineStr">
        <is>
          <t>NOT_RUN</t>
        </is>
      </c>
      <c r="P2080" t="n">
        <v>0</v>
      </c>
      <c r="Q2080" t="n">
        <v>2079</v>
      </c>
    </row>
    <row r="2081">
      <c r="A2081" t="n">
        <v>2080</v>
      </c>
      <c r="B2081" t="inlineStr">
        <is>
          <t>MTR-IOS-2080</t>
        </is>
      </c>
      <c r="C2081" t="inlineStr">
        <is>
          <t>iPhone</t>
        </is>
      </c>
      <c r="D2081" t="inlineStr">
        <is>
          <t>Personal</t>
        </is>
      </c>
      <c r="E2081" t="inlineStr">
        <is>
          <t>Personal</t>
        </is>
      </c>
      <c r="F2081" t="inlineStr">
        <is>
          <t>Life Operations</t>
        </is>
      </c>
      <c r="G2081" t="inlineStr">
        <is>
          <t>Transport</t>
        </is>
      </c>
      <c r="H2081" t="inlineStr">
        <is>
          <t>Personal &gt; Life Operations &gt; Quick Add &gt; Transport</t>
        </is>
      </c>
      <c r="I2081" s="18" t="n">
        <v>11147.79</v>
      </c>
      <c r="J2081" t="inlineStr">
        <is>
          <t>Created MTR-IOS-2080 and correlation note visible in Activity/Pulse</t>
        </is>
      </c>
      <c r="K2081" t="inlineStr">
        <is>
          <t>NOT_RUN</t>
        </is>
      </c>
      <c r="P2081" t="n">
        <v>0</v>
      </c>
      <c r="Q2081" t="n">
        <v>2080</v>
      </c>
    </row>
    <row r="2082">
      <c r="A2082" t="n">
        <v>2081</v>
      </c>
      <c r="B2082" t="inlineStr">
        <is>
          <t>MTR-IOS-2081</t>
        </is>
      </c>
      <c r="C2082" t="inlineStr">
        <is>
          <t>iPhone</t>
        </is>
      </c>
      <c r="D2082" t="inlineStr">
        <is>
          <t>Group</t>
        </is>
      </c>
      <c r="E2082" t="inlineStr">
        <is>
          <t>Shared Living</t>
        </is>
      </c>
      <c r="F2082" t="inlineStr">
        <is>
          <t>Family Household</t>
        </is>
      </c>
      <c r="G2082" t="inlineStr">
        <is>
          <t>Other</t>
        </is>
      </c>
      <c r="H2082" t="inlineStr">
        <is>
          <t>Group &gt; Family Household &gt; Quick Add &gt; Other</t>
        </is>
      </c>
      <c r="I2082" s="18" t="n">
        <v>26923.31</v>
      </c>
      <c r="J2082" t="inlineStr">
        <is>
          <t>Created MTR-IOS-2081 and correlation note visible in Activity/Pulse</t>
        </is>
      </c>
      <c r="K2082" t="inlineStr">
        <is>
          <t>NOT_RUN</t>
        </is>
      </c>
      <c r="P2082" t="n">
        <v>0</v>
      </c>
      <c r="Q2082" t="n">
        <v>2081</v>
      </c>
    </row>
    <row r="2083">
      <c r="A2083" t="n">
        <v>2082</v>
      </c>
      <c r="B2083" t="inlineStr">
        <is>
          <t>MTR-IOS-2082</t>
        </is>
      </c>
      <c r="C2083" t="inlineStr">
        <is>
          <t>iPhone</t>
        </is>
      </c>
      <c r="D2083" t="inlineStr">
        <is>
          <t>Business</t>
        </is>
      </c>
      <c r="E2083" t="inlineStr">
        <is>
          <t>Business</t>
        </is>
      </c>
      <c r="F2083" t="inlineStr">
        <is>
          <t>Team Operations</t>
        </is>
      </c>
      <c r="G2083" t="inlineStr">
        <is>
          <t>Payroll</t>
        </is>
      </c>
      <c r="H2083" t="inlineStr">
        <is>
          <t>Business &gt; Team Operations &gt; Quick Add &gt; Payroll</t>
        </is>
      </c>
      <c r="I2083" s="18" t="n">
        <v>26568.21</v>
      </c>
      <c r="J2083" t="inlineStr">
        <is>
          <t>Created MTR-IOS-2082 and correlation note visible in Activity/Pulse</t>
        </is>
      </c>
      <c r="K2083" t="inlineStr">
        <is>
          <t>NOT_RUN</t>
        </is>
      </c>
      <c r="P2083" t="n">
        <v>0</v>
      </c>
      <c r="Q2083" t="n">
        <v>2082</v>
      </c>
    </row>
    <row r="2084">
      <c r="A2084" t="n">
        <v>2083</v>
      </c>
      <c r="B2084" t="inlineStr">
        <is>
          <t>MTR-IOS-2083</t>
        </is>
      </c>
      <c r="C2084" t="inlineStr">
        <is>
          <t>iPhone</t>
        </is>
      </c>
      <c r="D2084" t="inlineStr">
        <is>
          <t>Personal</t>
        </is>
      </c>
      <c r="E2084" t="inlineStr">
        <is>
          <t>Personal</t>
        </is>
      </c>
      <c r="F2084" t="inlineStr">
        <is>
          <t>Life Operations</t>
        </is>
      </c>
      <c r="G2084" t="inlineStr">
        <is>
          <t>Healthcare</t>
        </is>
      </c>
      <c r="H2084" t="inlineStr">
        <is>
          <t>Personal &gt; Life Operations &gt; Quick Add &gt; Healthcare</t>
        </is>
      </c>
      <c r="I2084" s="18" t="n">
        <v>3704.93</v>
      </c>
      <c r="J2084" t="inlineStr">
        <is>
          <t>Created MTR-IOS-2083 and correlation note visible in Activity/Pulse</t>
        </is>
      </c>
      <c r="K2084" t="inlineStr">
        <is>
          <t>NOT_RUN</t>
        </is>
      </c>
      <c r="P2084" t="n">
        <v>0</v>
      </c>
      <c r="Q2084" t="n">
        <v>2083</v>
      </c>
    </row>
    <row r="2085">
      <c r="A2085" t="n">
        <v>2084</v>
      </c>
      <c r="B2085" t="inlineStr">
        <is>
          <t>MTR-IOS-2084</t>
        </is>
      </c>
      <c r="C2085" t="inlineStr">
        <is>
          <t>iPhone</t>
        </is>
      </c>
      <c r="D2085" t="inlineStr">
        <is>
          <t>Group</t>
        </is>
      </c>
      <c r="E2085" t="inlineStr">
        <is>
          <t>Shared Living</t>
        </is>
      </c>
      <c r="F2085" t="inlineStr">
        <is>
          <t>Custom Living</t>
        </is>
      </c>
      <c r="G2085" t="inlineStr">
        <is>
          <t>Custom Expense</t>
        </is>
      </c>
      <c r="H2085" t="inlineStr">
        <is>
          <t>Group &gt; Custom Living &gt; Quick Add &gt; Custom Expense</t>
        </is>
      </c>
      <c r="I2085" s="18" t="n">
        <v>24096.38</v>
      </c>
      <c r="J2085" t="inlineStr">
        <is>
          <t>Created MTR-IOS-2084 and correlation note visible in Activity/Pulse</t>
        </is>
      </c>
      <c r="K2085" t="inlineStr">
        <is>
          <t>NOT_RUN</t>
        </is>
      </c>
      <c r="P2085" t="n">
        <v>0</v>
      </c>
      <c r="Q2085" t="n">
        <v>2084</v>
      </c>
    </row>
    <row r="2086">
      <c r="A2086" t="n">
        <v>2085</v>
      </c>
      <c r="B2086" t="inlineStr">
        <is>
          <t>MTR-IOS-2085</t>
        </is>
      </c>
      <c r="C2086" t="inlineStr">
        <is>
          <t>iPhone</t>
        </is>
      </c>
      <c r="D2086" t="inlineStr">
        <is>
          <t>Business</t>
        </is>
      </c>
      <c r="E2086" t="inlineStr">
        <is>
          <t>Business</t>
        </is>
      </c>
      <c r="F2086" t="inlineStr">
        <is>
          <t>Team Operations</t>
        </is>
      </c>
      <c r="G2086" t="inlineStr">
        <is>
          <t>Contractor</t>
        </is>
      </c>
      <c r="H2086" t="inlineStr">
        <is>
          <t>Business &gt; Team Operations &gt; Quick Add &gt; Contractor</t>
        </is>
      </c>
      <c r="I2086" s="18" t="n">
        <v>70819.52</v>
      </c>
      <c r="J2086" t="inlineStr">
        <is>
          <t>Created MTR-IOS-2085 and correlation note visible in Activity/Pulse</t>
        </is>
      </c>
      <c r="K2086" t="inlineStr">
        <is>
          <t>NOT_RUN</t>
        </is>
      </c>
      <c r="P2086" t="n">
        <v>0</v>
      </c>
      <c r="Q2086" t="n">
        <v>2085</v>
      </c>
    </row>
    <row r="2087">
      <c r="A2087" t="n">
        <v>2086</v>
      </c>
      <c r="B2087" t="inlineStr">
        <is>
          <t>MTR-IOS-2086</t>
        </is>
      </c>
      <c r="C2087" t="inlineStr">
        <is>
          <t>iPhone</t>
        </is>
      </c>
      <c r="D2087" t="inlineStr">
        <is>
          <t>Personal</t>
        </is>
      </c>
      <c r="E2087" t="inlineStr">
        <is>
          <t>Personal</t>
        </is>
      </c>
      <c r="F2087" t="inlineStr">
        <is>
          <t>Life Operations</t>
        </is>
      </c>
      <c r="G2087" t="inlineStr">
        <is>
          <t>Subscriptions</t>
        </is>
      </c>
      <c r="H2087" t="inlineStr">
        <is>
          <t>Personal &gt; Life Operations &gt; Quick Add &gt; Subscriptions</t>
        </is>
      </c>
      <c r="I2087" s="18" t="n">
        <v>15148.36</v>
      </c>
      <c r="J2087" t="inlineStr">
        <is>
          <t>Created MTR-IOS-2086 and correlation note visible in Activity/Pulse</t>
        </is>
      </c>
      <c r="K2087" t="inlineStr">
        <is>
          <t>NOT_RUN</t>
        </is>
      </c>
      <c r="P2087" t="n">
        <v>0</v>
      </c>
      <c r="Q2087" t="n">
        <v>2086</v>
      </c>
    </row>
    <row r="2088">
      <c r="A2088" t="n">
        <v>2087</v>
      </c>
      <c r="B2088" t="inlineStr">
        <is>
          <t>MTR-IOS-2087</t>
        </is>
      </c>
      <c r="C2088" t="inlineStr">
        <is>
          <t>iPhone</t>
        </is>
      </c>
      <c r="D2088" t="inlineStr">
        <is>
          <t>Group</t>
        </is>
      </c>
      <c r="E2088" t="inlineStr">
        <is>
          <t>Shared Living</t>
        </is>
      </c>
      <c r="F2088" t="inlineStr">
        <is>
          <t>Custom Living</t>
        </is>
      </c>
      <c r="G2088" t="inlineStr">
        <is>
          <t>Custom Contribution</t>
        </is>
      </c>
      <c r="H2088" t="inlineStr">
        <is>
          <t>Group &gt; Custom Living &gt; Quick Add &gt; Custom Contribution</t>
        </is>
      </c>
      <c r="I2088" s="18" t="n">
        <v>17377.04</v>
      </c>
      <c r="J2088" t="inlineStr">
        <is>
          <t>Created MTR-IOS-2087 and correlation note visible in Activity/Pulse</t>
        </is>
      </c>
      <c r="K2088" t="inlineStr">
        <is>
          <t>NOT_RUN</t>
        </is>
      </c>
      <c r="P2088" t="n">
        <v>0</v>
      </c>
      <c r="Q2088" t="n">
        <v>2087</v>
      </c>
    </row>
    <row r="2089">
      <c r="A2089" t="n">
        <v>2088</v>
      </c>
      <c r="B2089" t="inlineStr">
        <is>
          <t>MTR-IOS-2088</t>
        </is>
      </c>
      <c r="C2089" t="inlineStr">
        <is>
          <t>iPhone</t>
        </is>
      </c>
      <c r="D2089" t="inlineStr">
        <is>
          <t>Business</t>
        </is>
      </c>
      <c r="E2089" t="inlineStr">
        <is>
          <t>Business</t>
        </is>
      </c>
      <c r="F2089" t="inlineStr">
        <is>
          <t>Team Operations</t>
        </is>
      </c>
      <c r="G2089" t="inlineStr">
        <is>
          <t>Hiring</t>
        </is>
      </c>
      <c r="H2089" t="inlineStr">
        <is>
          <t>Business &gt; Team Operations &gt; Quick Add &gt; Hiring</t>
        </is>
      </c>
      <c r="I2089" s="18" t="n">
        <v>144135.97</v>
      </c>
      <c r="J2089" t="inlineStr">
        <is>
          <t>Created MTR-IOS-2088 and correlation note visible in Activity/Pulse</t>
        </is>
      </c>
      <c r="K2089" t="inlineStr">
        <is>
          <t>NOT_RUN</t>
        </is>
      </c>
      <c r="P2089" t="n">
        <v>0</v>
      </c>
      <c r="Q2089" t="n">
        <v>2088</v>
      </c>
    </row>
    <row r="2090">
      <c r="A2090" t="n">
        <v>2089</v>
      </c>
      <c r="B2090" t="inlineStr">
        <is>
          <t>MTR-IOS-2089</t>
        </is>
      </c>
      <c r="C2090" t="inlineStr">
        <is>
          <t>iPhone</t>
        </is>
      </c>
      <c r="D2090" t="inlineStr">
        <is>
          <t>Personal</t>
        </is>
      </c>
      <c r="E2090" t="inlineStr">
        <is>
          <t>Personal</t>
        </is>
      </c>
      <c r="F2090" t="inlineStr">
        <is>
          <t>Life Operations</t>
        </is>
      </c>
      <c r="G2090" t="inlineStr">
        <is>
          <t>Repairs</t>
        </is>
      </c>
      <c r="H2090" t="inlineStr">
        <is>
          <t>Personal &gt; Life Operations &gt; Quick Add &gt; Repairs</t>
        </is>
      </c>
      <c r="I2090" s="18" t="n">
        <v>15632.72</v>
      </c>
      <c r="J2090" t="inlineStr">
        <is>
          <t>Created MTR-IOS-2089 and correlation note visible in Activity/Pulse</t>
        </is>
      </c>
      <c r="K2090" t="inlineStr">
        <is>
          <t>NOT_RUN</t>
        </is>
      </c>
      <c r="P2090" t="n">
        <v>0</v>
      </c>
      <c r="Q2090" t="n">
        <v>2089</v>
      </c>
    </row>
    <row r="2091">
      <c r="A2091" t="n">
        <v>2090</v>
      </c>
      <c r="B2091" t="inlineStr">
        <is>
          <t>MTR-IOS-2090</t>
        </is>
      </c>
      <c r="C2091" t="inlineStr">
        <is>
          <t>iPhone</t>
        </is>
      </c>
      <c r="D2091" t="inlineStr">
        <is>
          <t>Group</t>
        </is>
      </c>
      <c r="E2091" t="inlineStr">
        <is>
          <t>Shared Experience</t>
        </is>
      </c>
      <c r="F2091" t="inlineStr">
        <is>
          <t>Trip</t>
        </is>
      </c>
      <c r="G2091" t="inlineStr">
        <is>
          <t>Travel</t>
        </is>
      </c>
      <c r="H2091" t="inlineStr">
        <is>
          <t>Group &gt; Trip &gt; Quick Add &gt; Travel</t>
        </is>
      </c>
      <c r="I2091" s="18" t="n">
        <v>1603.17</v>
      </c>
      <c r="J2091" t="inlineStr">
        <is>
          <t>Created MTR-IOS-2090 and correlation note visible in Activity/Pulse</t>
        </is>
      </c>
      <c r="K2091" t="inlineStr">
        <is>
          <t>NOT_RUN</t>
        </is>
      </c>
      <c r="P2091" t="n">
        <v>0</v>
      </c>
      <c r="Q2091" t="n">
        <v>2090</v>
      </c>
    </row>
    <row r="2092">
      <c r="A2092" t="n">
        <v>2091</v>
      </c>
      <c r="B2092" t="inlineStr">
        <is>
          <t>MTR-IOS-2091</t>
        </is>
      </c>
      <c r="C2092" t="inlineStr">
        <is>
          <t>iPhone</t>
        </is>
      </c>
      <c r="D2092" t="inlineStr">
        <is>
          <t>Business</t>
        </is>
      </c>
      <c r="E2092" t="inlineStr">
        <is>
          <t>Business</t>
        </is>
      </c>
      <c r="F2092" t="inlineStr">
        <is>
          <t>Team Operations</t>
        </is>
      </c>
      <c r="G2092" t="inlineStr">
        <is>
          <t>Team Meal</t>
        </is>
      </c>
      <c r="H2092" t="inlineStr">
        <is>
          <t>Business &gt; Team Operations &gt; Quick Add &gt; Team Meal</t>
        </is>
      </c>
      <c r="I2092" s="18" t="n">
        <v>104735.79</v>
      </c>
      <c r="J2092" t="inlineStr">
        <is>
          <t>Created MTR-IOS-2091 and correlation note visible in Activity/Pulse</t>
        </is>
      </c>
      <c r="K2092" t="inlineStr">
        <is>
          <t>NOT_RUN</t>
        </is>
      </c>
      <c r="P2092" t="n">
        <v>0</v>
      </c>
      <c r="Q2092" t="n">
        <v>2091</v>
      </c>
    </row>
    <row r="2093">
      <c r="A2093" t="n">
        <v>2092</v>
      </c>
      <c r="B2093" t="inlineStr">
        <is>
          <t>MTR-IOS-2092</t>
        </is>
      </c>
      <c r="C2093" t="inlineStr">
        <is>
          <t>iPhone</t>
        </is>
      </c>
      <c r="D2093" t="inlineStr">
        <is>
          <t>Personal</t>
        </is>
      </c>
      <c r="E2093" t="inlineStr">
        <is>
          <t>Personal</t>
        </is>
      </c>
      <c r="F2093" t="inlineStr">
        <is>
          <t>Future Building</t>
        </is>
      </c>
      <c r="G2093" t="inlineStr">
        <is>
          <t>Savings</t>
        </is>
      </c>
      <c r="H2093" t="inlineStr">
        <is>
          <t>Personal &gt; Future Building &gt; Quick Add &gt; Savings</t>
        </is>
      </c>
      <c r="I2093" s="18" t="n">
        <v>12401.37</v>
      </c>
      <c r="J2093" t="inlineStr">
        <is>
          <t>Created MTR-IOS-2092 and correlation note visible in Activity/Pulse</t>
        </is>
      </c>
      <c r="K2093" t="inlineStr">
        <is>
          <t>NOT_RUN</t>
        </is>
      </c>
      <c r="P2093" t="n">
        <v>0</v>
      </c>
      <c r="Q2093" t="n">
        <v>2092</v>
      </c>
    </row>
    <row r="2094">
      <c r="A2094" t="n">
        <v>2093</v>
      </c>
      <c r="B2094" t="inlineStr">
        <is>
          <t>MTR-IOS-2093</t>
        </is>
      </c>
      <c r="C2094" t="inlineStr">
        <is>
          <t>iPhone</t>
        </is>
      </c>
      <c r="D2094" t="inlineStr">
        <is>
          <t>Group</t>
        </is>
      </c>
      <c r="E2094" t="inlineStr">
        <is>
          <t>Shared Experience</t>
        </is>
      </c>
      <c r="F2094" t="inlineStr">
        <is>
          <t>Trip</t>
        </is>
      </c>
      <c r="G2094" t="inlineStr">
        <is>
          <t>Stay</t>
        </is>
      </c>
      <c r="H2094" t="inlineStr">
        <is>
          <t>Group &gt; Trip &gt; Quick Add &gt; Stay</t>
        </is>
      </c>
      <c r="I2094" s="18" t="n">
        <v>21487.89</v>
      </c>
      <c r="J2094" t="inlineStr">
        <is>
          <t>Created MTR-IOS-2093 and correlation note visible in Activity/Pulse</t>
        </is>
      </c>
      <c r="K2094" t="inlineStr">
        <is>
          <t>NOT_RUN</t>
        </is>
      </c>
      <c r="P2094" t="n">
        <v>0</v>
      </c>
      <c r="Q2094" t="n">
        <v>2093</v>
      </c>
    </row>
    <row r="2095">
      <c r="A2095" t="n">
        <v>2094</v>
      </c>
      <c r="B2095" t="inlineStr">
        <is>
          <t>MTR-IOS-2094</t>
        </is>
      </c>
      <c r="C2095" t="inlineStr">
        <is>
          <t>iPhone</t>
        </is>
      </c>
      <c r="D2095" t="inlineStr">
        <is>
          <t>Business</t>
        </is>
      </c>
      <c r="E2095" t="inlineStr">
        <is>
          <t>Business</t>
        </is>
      </c>
      <c r="F2095" t="inlineStr">
        <is>
          <t>Team Operations</t>
        </is>
      </c>
      <c r="G2095" t="inlineStr">
        <is>
          <t>Travel</t>
        </is>
      </c>
      <c r="H2095" t="inlineStr">
        <is>
          <t>Business &gt; Team Operations &gt; Quick Add &gt; Travel</t>
        </is>
      </c>
      <c r="I2095" s="18" t="n">
        <v>21909.21</v>
      </c>
      <c r="J2095" t="inlineStr">
        <is>
          <t>Created MTR-IOS-2094 and correlation note visible in Activity/Pulse</t>
        </is>
      </c>
      <c r="K2095" t="inlineStr">
        <is>
          <t>NOT_RUN</t>
        </is>
      </c>
      <c r="P2095" t="n">
        <v>0</v>
      </c>
      <c r="Q2095" t="n">
        <v>2094</v>
      </c>
    </row>
    <row r="2096">
      <c r="A2096" t="n">
        <v>2095</v>
      </c>
      <c r="B2096" t="inlineStr">
        <is>
          <t>MTR-IOS-2095</t>
        </is>
      </c>
      <c r="C2096" t="inlineStr">
        <is>
          <t>iPhone</t>
        </is>
      </c>
      <c r="D2096" t="inlineStr">
        <is>
          <t>Personal</t>
        </is>
      </c>
      <c r="E2096" t="inlineStr">
        <is>
          <t>Personal</t>
        </is>
      </c>
      <c r="F2096" t="inlineStr">
        <is>
          <t>Future Building</t>
        </is>
      </c>
      <c r="G2096" t="inlineStr">
        <is>
          <t>Emergency Fund</t>
        </is>
      </c>
      <c r="H2096" t="inlineStr">
        <is>
          <t>Personal &gt; Future Building &gt; Quick Add &gt; Emergency Fund</t>
        </is>
      </c>
      <c r="I2096" s="18" t="n">
        <v>7313.96</v>
      </c>
      <c r="J2096" t="inlineStr">
        <is>
          <t>Created MTR-IOS-2095 and correlation note visible in Activity/Pulse</t>
        </is>
      </c>
      <c r="K2096" t="inlineStr">
        <is>
          <t>NOT_RUN</t>
        </is>
      </c>
      <c r="P2096" t="n">
        <v>0</v>
      </c>
      <c r="Q2096" t="n">
        <v>2095</v>
      </c>
    </row>
    <row r="2097">
      <c r="A2097" t="n">
        <v>2096</v>
      </c>
      <c r="B2097" t="inlineStr">
        <is>
          <t>MTR-IOS-2096</t>
        </is>
      </c>
      <c r="C2097" t="inlineStr">
        <is>
          <t>iPhone</t>
        </is>
      </c>
      <c r="D2097" t="inlineStr">
        <is>
          <t>Group</t>
        </is>
      </c>
      <c r="E2097" t="inlineStr">
        <is>
          <t>Shared Experience</t>
        </is>
      </c>
      <c r="F2097" t="inlineStr">
        <is>
          <t>Trip</t>
        </is>
      </c>
      <c r="G2097" t="inlineStr">
        <is>
          <t>Food</t>
        </is>
      </c>
      <c r="H2097" t="inlineStr">
        <is>
          <t>Group &gt; Trip &gt; Quick Add &gt; Food</t>
        </is>
      </c>
      <c r="I2097" s="18" t="n">
        <v>12135.63</v>
      </c>
      <c r="J2097" t="inlineStr">
        <is>
          <t>Created MTR-IOS-2096 and correlation note visible in Activity/Pulse</t>
        </is>
      </c>
      <c r="K2097" t="inlineStr">
        <is>
          <t>NOT_RUN</t>
        </is>
      </c>
      <c r="P2097" t="n">
        <v>0</v>
      </c>
      <c r="Q2097" t="n">
        <v>2096</v>
      </c>
    </row>
    <row r="2098">
      <c r="A2098" t="n">
        <v>2097</v>
      </c>
      <c r="B2098" t="inlineStr">
        <is>
          <t>MTR-IOS-2097</t>
        </is>
      </c>
      <c r="C2098" t="inlineStr">
        <is>
          <t>iPhone</t>
        </is>
      </c>
      <c r="D2098" t="inlineStr">
        <is>
          <t>Business</t>
        </is>
      </c>
      <c r="E2098" t="inlineStr">
        <is>
          <t>Business</t>
        </is>
      </c>
      <c r="F2098" t="inlineStr">
        <is>
          <t>Team Operations</t>
        </is>
      </c>
      <c r="G2098" t="inlineStr">
        <is>
          <t>Training</t>
        </is>
      </c>
      <c r="H2098" t="inlineStr">
        <is>
          <t>Business &gt; Team Operations &gt; Quick Add &gt; Training</t>
        </is>
      </c>
      <c r="I2098" s="18" t="n">
        <v>116380.42</v>
      </c>
      <c r="J2098" t="inlineStr">
        <is>
          <t>Created MTR-IOS-2097 and correlation note visible in Activity/Pulse</t>
        </is>
      </c>
      <c r="K2098" t="inlineStr">
        <is>
          <t>NOT_RUN</t>
        </is>
      </c>
      <c r="P2098" t="n">
        <v>0</v>
      </c>
      <c r="Q2098" t="n">
        <v>2097</v>
      </c>
    </row>
    <row r="2099">
      <c r="A2099" t="n">
        <v>2098</v>
      </c>
      <c r="B2099" t="inlineStr">
        <is>
          <t>MTR-IOS-2098</t>
        </is>
      </c>
      <c r="C2099" t="inlineStr">
        <is>
          <t>iPhone</t>
        </is>
      </c>
      <c r="D2099" t="inlineStr">
        <is>
          <t>Personal</t>
        </is>
      </c>
      <c r="E2099" t="inlineStr">
        <is>
          <t>Personal</t>
        </is>
      </c>
      <c r="F2099" t="inlineStr">
        <is>
          <t>Future Building</t>
        </is>
      </c>
      <c r="G2099" t="inlineStr">
        <is>
          <t>Investments</t>
        </is>
      </c>
      <c r="H2099" t="inlineStr">
        <is>
          <t>Personal &gt; Future Building &gt; Quick Add &gt; Investments</t>
        </is>
      </c>
      <c r="I2099" s="18" t="n">
        <v>16546.46</v>
      </c>
      <c r="J2099" t="inlineStr">
        <is>
          <t>Created MTR-IOS-2098 and correlation note visible in Activity/Pulse</t>
        </is>
      </c>
      <c r="K2099" t="inlineStr">
        <is>
          <t>NOT_RUN</t>
        </is>
      </c>
      <c r="P2099" t="n">
        <v>0</v>
      </c>
      <c r="Q2099" t="n">
        <v>2098</v>
      </c>
    </row>
    <row r="2100">
      <c r="A2100" t="n">
        <v>2099</v>
      </c>
      <c r="B2100" t="inlineStr">
        <is>
          <t>MTR-IOS-2099</t>
        </is>
      </c>
      <c r="C2100" t="inlineStr">
        <is>
          <t>iPhone</t>
        </is>
      </c>
      <c r="D2100" t="inlineStr">
        <is>
          <t>Group</t>
        </is>
      </c>
      <c r="E2100" t="inlineStr">
        <is>
          <t>Shared Experience</t>
        </is>
      </c>
      <c r="F2100" t="inlineStr">
        <is>
          <t>Trip</t>
        </is>
      </c>
      <c r="G2100" t="inlineStr">
        <is>
          <t>Local Transport</t>
        </is>
      </c>
      <c r="H2100" t="inlineStr">
        <is>
          <t>Group &gt; Trip &gt; Quick Add &gt; Local Transport</t>
        </is>
      </c>
      <c r="I2100" s="18" t="n">
        <v>14596.29</v>
      </c>
      <c r="J2100" t="inlineStr">
        <is>
          <t>Created MTR-IOS-2099 and correlation note visible in Activity/Pulse</t>
        </is>
      </c>
      <c r="K2100" t="inlineStr">
        <is>
          <t>NOT_RUN</t>
        </is>
      </c>
      <c r="P2100" t="n">
        <v>0</v>
      </c>
      <c r="Q2100" t="n">
        <v>2099</v>
      </c>
    </row>
    <row r="2101">
      <c r="A2101" t="n">
        <v>2100</v>
      </c>
      <c r="B2101" t="inlineStr">
        <is>
          <t>MTR-IOS-2100</t>
        </is>
      </c>
      <c r="C2101" t="inlineStr">
        <is>
          <t>iPhone</t>
        </is>
      </c>
      <c r="D2101" t="inlineStr">
        <is>
          <t>Business</t>
        </is>
      </c>
      <c r="E2101" t="inlineStr">
        <is>
          <t>Business</t>
        </is>
      </c>
      <c r="F2101" t="inlineStr">
        <is>
          <t>Team Operations</t>
        </is>
      </c>
      <c r="G2101" t="inlineStr">
        <is>
          <t>Tools</t>
        </is>
      </c>
      <c r="H2101" t="inlineStr">
        <is>
          <t>Business &gt; Team Operations &gt; Quick Add &gt; Tools</t>
        </is>
      </c>
      <c r="I2101" s="18" t="n">
        <v>71192.45</v>
      </c>
      <c r="J2101" t="inlineStr">
        <is>
          <t>Created MTR-IOS-2100 and correlation note visible in Activity/Pulse</t>
        </is>
      </c>
      <c r="K2101" t="inlineStr">
        <is>
          <t>NOT_RUN</t>
        </is>
      </c>
      <c r="P2101" t="n">
        <v>0</v>
      </c>
      <c r="Q2101" t="n">
        <v>2100</v>
      </c>
    </row>
    <row r="2102">
      <c r="A2102" t="n">
        <v>2101</v>
      </c>
      <c r="B2102" t="inlineStr">
        <is>
          <t>MTR-IOS-2101</t>
        </is>
      </c>
      <c r="C2102" t="inlineStr">
        <is>
          <t>iPhone</t>
        </is>
      </c>
      <c r="D2102" t="inlineStr">
        <is>
          <t>Personal</t>
        </is>
      </c>
      <c r="E2102" t="inlineStr">
        <is>
          <t>Personal</t>
        </is>
      </c>
      <c r="F2102" t="inlineStr">
        <is>
          <t>Future Building</t>
        </is>
      </c>
      <c r="G2102" t="inlineStr">
        <is>
          <t>Education</t>
        </is>
      </c>
      <c r="H2102" t="inlineStr">
        <is>
          <t>Personal &gt; Future Building &gt; Quick Add &gt; Education</t>
        </is>
      </c>
      <c r="I2102" s="18" t="n">
        <v>8293.99</v>
      </c>
      <c r="J2102" t="inlineStr">
        <is>
          <t>Created MTR-IOS-2101 and correlation note visible in Activity/Pulse</t>
        </is>
      </c>
      <c r="K2102" t="inlineStr">
        <is>
          <t>NOT_RUN</t>
        </is>
      </c>
      <c r="P2102" t="n">
        <v>0</v>
      </c>
      <c r="Q2102" t="n">
        <v>2101</v>
      </c>
    </row>
    <row r="2103">
      <c r="A2103" t="n">
        <v>2102</v>
      </c>
      <c r="B2103" t="inlineStr">
        <is>
          <t>MTR-IOS-2102</t>
        </is>
      </c>
      <c r="C2103" t="inlineStr">
        <is>
          <t>iPhone</t>
        </is>
      </c>
      <c r="D2103" t="inlineStr">
        <is>
          <t>Group</t>
        </is>
      </c>
      <c r="E2103" t="inlineStr">
        <is>
          <t>Shared Experience</t>
        </is>
      </c>
      <c r="F2103" t="inlineStr">
        <is>
          <t>Trip</t>
        </is>
      </c>
      <c r="G2103" t="inlineStr">
        <is>
          <t>Activities</t>
        </is>
      </c>
      <c r="H2103" t="inlineStr">
        <is>
          <t>Group &gt; Trip &gt; Quick Add &gt; Activities</t>
        </is>
      </c>
      <c r="I2103" s="18" t="n">
        <v>1910.22</v>
      </c>
      <c r="J2103" t="inlineStr">
        <is>
          <t>Created MTR-IOS-2102 and correlation note visible in Activity/Pulse</t>
        </is>
      </c>
      <c r="K2103" t="inlineStr">
        <is>
          <t>NOT_RUN</t>
        </is>
      </c>
      <c r="P2103" t="n">
        <v>0</v>
      </c>
      <c r="Q2103" t="n">
        <v>2102</v>
      </c>
    </row>
    <row r="2104">
      <c r="A2104" t="n">
        <v>2103</v>
      </c>
      <c r="B2104" t="inlineStr">
        <is>
          <t>MTR-IOS-2103</t>
        </is>
      </c>
      <c r="C2104" t="inlineStr">
        <is>
          <t>iPhone</t>
        </is>
      </c>
      <c r="D2104" t="inlineStr">
        <is>
          <t>Business</t>
        </is>
      </c>
      <c r="E2104" t="inlineStr">
        <is>
          <t>Business</t>
        </is>
      </c>
      <c r="F2104" t="inlineStr">
        <is>
          <t>Business Runway</t>
        </is>
      </c>
      <c r="G2104" t="inlineStr">
        <is>
          <t>Funding</t>
        </is>
      </c>
      <c r="H2104" t="inlineStr">
        <is>
          <t>Business &gt; Business Runway &gt; Quick Add &gt; Funding</t>
        </is>
      </c>
      <c r="I2104" s="18" t="n">
        <v>159526.1</v>
      </c>
      <c r="J2104" t="inlineStr">
        <is>
          <t>Created MTR-IOS-2103 and correlation note visible in Activity/Pulse</t>
        </is>
      </c>
      <c r="K2104" t="inlineStr">
        <is>
          <t>NOT_RUN</t>
        </is>
      </c>
      <c r="P2104" t="n">
        <v>0</v>
      </c>
      <c r="Q2104" t="n">
        <v>2103</v>
      </c>
    </row>
    <row r="2105">
      <c r="A2105" t="n">
        <v>2104</v>
      </c>
      <c r="B2105" t="inlineStr">
        <is>
          <t>MTR-IOS-2104</t>
        </is>
      </c>
      <c r="C2105" t="inlineStr">
        <is>
          <t>iPhone</t>
        </is>
      </c>
      <c r="D2105" t="inlineStr">
        <is>
          <t>Personal</t>
        </is>
      </c>
      <c r="E2105" t="inlineStr">
        <is>
          <t>Personal</t>
        </is>
      </c>
      <c r="F2105" t="inlineStr">
        <is>
          <t>Future Building</t>
        </is>
      </c>
      <c r="G2105" t="inlineStr">
        <is>
          <t>Goal Contribution</t>
        </is>
      </c>
      <c r="H2105" t="inlineStr">
        <is>
          <t>Personal &gt; Future Building &gt; Quick Add &gt; Goal Contribution</t>
        </is>
      </c>
      <c r="I2105" s="18" t="n">
        <v>2804.31</v>
      </c>
      <c r="J2105" t="inlineStr">
        <is>
          <t>Created MTR-IOS-2104 and correlation note visible in Activity/Pulse</t>
        </is>
      </c>
      <c r="K2105" t="inlineStr">
        <is>
          <t>NOT_RUN</t>
        </is>
      </c>
      <c r="P2105" t="n">
        <v>0</v>
      </c>
      <c r="Q2105" t="n">
        <v>2104</v>
      </c>
    </row>
    <row r="2106">
      <c r="A2106" t="n">
        <v>2105</v>
      </c>
      <c r="B2106" t="inlineStr">
        <is>
          <t>MTR-IOS-2105</t>
        </is>
      </c>
      <c r="C2106" t="inlineStr">
        <is>
          <t>iPhone</t>
        </is>
      </c>
      <c r="D2106" t="inlineStr">
        <is>
          <t>Group</t>
        </is>
      </c>
      <c r="E2106" t="inlineStr">
        <is>
          <t>Shared Experience</t>
        </is>
      </c>
      <c r="F2106" t="inlineStr">
        <is>
          <t>Trip</t>
        </is>
      </c>
      <c r="G2106" t="inlineStr">
        <is>
          <t>Shopping</t>
        </is>
      </c>
      <c r="H2106" t="inlineStr">
        <is>
          <t>Group &gt; Trip &gt; Quick Add &gt; Shopping</t>
        </is>
      </c>
      <c r="I2106" s="18" t="n">
        <v>21959.21</v>
      </c>
      <c r="J2106" t="inlineStr">
        <is>
          <t>Created MTR-IOS-2105 and correlation note visible in Activity/Pulse</t>
        </is>
      </c>
      <c r="K2106" t="inlineStr">
        <is>
          <t>NOT_RUN</t>
        </is>
      </c>
      <c r="P2106" t="n">
        <v>0</v>
      </c>
      <c r="Q2106" t="n">
        <v>2105</v>
      </c>
    </row>
    <row r="2107">
      <c r="A2107" t="n">
        <v>2106</v>
      </c>
      <c r="B2107" t="inlineStr">
        <is>
          <t>MTR-IOS-2106</t>
        </is>
      </c>
      <c r="C2107" t="inlineStr">
        <is>
          <t>iPhone</t>
        </is>
      </c>
      <c r="D2107" t="inlineStr">
        <is>
          <t>Business</t>
        </is>
      </c>
      <c r="E2107" t="inlineStr">
        <is>
          <t>Business</t>
        </is>
      </c>
      <c r="F2107" t="inlineStr">
        <is>
          <t>Business Runway</t>
        </is>
      </c>
      <c r="G2107" t="inlineStr">
        <is>
          <t>Revenue</t>
        </is>
      </c>
      <c r="H2107" t="inlineStr">
        <is>
          <t>Business &gt; Business Runway &gt; Quick Add &gt; Revenue</t>
        </is>
      </c>
      <c r="I2107" s="18" t="n">
        <v>65800.32000000001</v>
      </c>
      <c r="J2107" t="inlineStr">
        <is>
          <t>Created MTR-IOS-2106 and correlation note visible in Activity/Pulse</t>
        </is>
      </c>
      <c r="K2107" t="inlineStr">
        <is>
          <t>NOT_RUN</t>
        </is>
      </c>
      <c r="P2107" t="n">
        <v>0</v>
      </c>
      <c r="Q2107" t="n">
        <v>2106</v>
      </c>
    </row>
    <row r="2108">
      <c r="A2108" t="n">
        <v>2107</v>
      </c>
      <c r="B2108" t="inlineStr">
        <is>
          <t>MTR-IOS-2107</t>
        </is>
      </c>
      <c r="C2108" t="inlineStr">
        <is>
          <t>iPhone</t>
        </is>
      </c>
      <c r="D2108" t="inlineStr">
        <is>
          <t>Personal</t>
        </is>
      </c>
      <c r="E2108" t="inlineStr">
        <is>
          <t>Personal</t>
        </is>
      </c>
      <c r="F2108" t="inlineStr">
        <is>
          <t>Lifestyle</t>
        </is>
      </c>
      <c r="G2108" t="inlineStr">
        <is>
          <t>Dining</t>
        </is>
      </c>
      <c r="H2108" t="inlineStr">
        <is>
          <t>Personal &gt; Lifestyle &gt; Quick Add &gt; Dining</t>
        </is>
      </c>
      <c r="I2108" s="18" t="n">
        <v>2682.38</v>
      </c>
      <c r="J2108" t="inlineStr">
        <is>
          <t>Created MTR-IOS-2107 and correlation note visible in Activity/Pulse</t>
        </is>
      </c>
      <c r="K2108" t="inlineStr">
        <is>
          <t>NOT_RUN</t>
        </is>
      </c>
      <c r="P2108" t="n">
        <v>0</v>
      </c>
      <c r="Q2108" t="n">
        <v>2107</v>
      </c>
    </row>
    <row r="2109">
      <c r="A2109" t="n">
        <v>2108</v>
      </c>
      <c r="B2109" t="inlineStr">
        <is>
          <t>MTR-IOS-2108</t>
        </is>
      </c>
      <c r="C2109" t="inlineStr">
        <is>
          <t>iPhone</t>
        </is>
      </c>
      <c r="D2109" t="inlineStr">
        <is>
          <t>Group</t>
        </is>
      </c>
      <c r="E2109" t="inlineStr">
        <is>
          <t>Shared Experience</t>
        </is>
      </c>
      <c r="F2109" t="inlineStr">
        <is>
          <t>Trip</t>
        </is>
      </c>
      <c r="G2109" t="inlineStr">
        <is>
          <t>Other</t>
        </is>
      </c>
      <c r="H2109" t="inlineStr">
        <is>
          <t>Group &gt; Trip &gt; Quick Add &gt; Other</t>
        </is>
      </c>
      <c r="I2109" s="18" t="n">
        <v>26398.3</v>
      </c>
      <c r="J2109" t="inlineStr">
        <is>
          <t>Created MTR-IOS-2108 and correlation note visible in Activity/Pulse</t>
        </is>
      </c>
      <c r="K2109" t="inlineStr">
        <is>
          <t>NOT_RUN</t>
        </is>
      </c>
      <c r="P2109" t="n">
        <v>0</v>
      </c>
      <c r="Q2109" t="n">
        <v>2108</v>
      </c>
    </row>
    <row r="2110">
      <c r="A2110" t="n">
        <v>2109</v>
      </c>
      <c r="B2110" t="inlineStr">
        <is>
          <t>MTR-IOS-2109</t>
        </is>
      </c>
      <c r="C2110" t="inlineStr">
        <is>
          <t>iPhone</t>
        </is>
      </c>
      <c r="D2110" t="inlineStr">
        <is>
          <t>Business</t>
        </is>
      </c>
      <c r="E2110" t="inlineStr">
        <is>
          <t>Business</t>
        </is>
      </c>
      <c r="F2110" t="inlineStr">
        <is>
          <t>Business Runway</t>
        </is>
      </c>
      <c r="G2110" t="inlineStr">
        <is>
          <t>Burn</t>
        </is>
      </c>
      <c r="H2110" t="inlineStr">
        <is>
          <t>Business &gt; Business Runway &gt; Quick Add &gt; Burn</t>
        </is>
      </c>
      <c r="I2110" s="18" t="n">
        <v>100</v>
      </c>
      <c r="J2110" t="inlineStr">
        <is>
          <t>Created MTR-IOS-2109 and correlation note visible in Activity/Pulse</t>
        </is>
      </c>
      <c r="K2110" t="inlineStr">
        <is>
          <t>NOT_RUN</t>
        </is>
      </c>
      <c r="P2110" t="n">
        <v>0</v>
      </c>
      <c r="Q2110" t="n">
        <v>2109</v>
      </c>
    </row>
    <row r="2111">
      <c r="A2111" t="n">
        <v>2110</v>
      </c>
      <c r="B2111" t="inlineStr">
        <is>
          <t>MTR-IOS-2110</t>
        </is>
      </c>
      <c r="C2111" t="inlineStr">
        <is>
          <t>iPhone</t>
        </is>
      </c>
      <c r="D2111" t="inlineStr">
        <is>
          <t>Personal</t>
        </is>
      </c>
      <c r="E2111" t="inlineStr">
        <is>
          <t>Personal</t>
        </is>
      </c>
      <c r="F2111" t="inlineStr">
        <is>
          <t>Lifestyle</t>
        </is>
      </c>
      <c r="G2111" t="inlineStr">
        <is>
          <t>Shopping</t>
        </is>
      </c>
      <c r="H2111" t="inlineStr">
        <is>
          <t>Personal &gt; Lifestyle &gt; Quick Add &gt; Shopping</t>
        </is>
      </c>
      <c r="I2111" s="18" t="n">
        <v>12818.62</v>
      </c>
      <c r="J2111" t="inlineStr">
        <is>
          <t>Created MTR-IOS-2110 and correlation note visible in Activity/Pulse</t>
        </is>
      </c>
      <c r="K2111" t="inlineStr">
        <is>
          <t>NOT_RUN</t>
        </is>
      </c>
      <c r="P2111" t="n">
        <v>0</v>
      </c>
      <c r="Q2111" t="n">
        <v>2110</v>
      </c>
    </row>
    <row r="2112">
      <c r="A2112" t="n">
        <v>2111</v>
      </c>
      <c r="B2112" t="inlineStr">
        <is>
          <t>MTR-IOS-2111</t>
        </is>
      </c>
      <c r="C2112" t="inlineStr">
        <is>
          <t>iPhone</t>
        </is>
      </c>
      <c r="D2112" t="inlineStr">
        <is>
          <t>Group</t>
        </is>
      </c>
      <c r="E2112" t="inlineStr">
        <is>
          <t>Shared Experience</t>
        </is>
      </c>
      <c r="F2112" t="inlineStr">
        <is>
          <t>Wedding</t>
        </is>
      </c>
      <c r="G2112" t="inlineStr">
        <is>
          <t>Venue</t>
        </is>
      </c>
      <c r="H2112" t="inlineStr">
        <is>
          <t>Group &gt; Wedding &gt; Quick Add &gt; Venue</t>
        </is>
      </c>
      <c r="I2112" s="18" t="n">
        <v>1224.33</v>
      </c>
      <c r="J2112" t="inlineStr">
        <is>
          <t>Created MTR-IOS-2111 and correlation note visible in Activity/Pulse</t>
        </is>
      </c>
      <c r="K2112" t="inlineStr">
        <is>
          <t>NOT_RUN</t>
        </is>
      </c>
      <c r="P2112" t="n">
        <v>0</v>
      </c>
      <c r="Q2112" t="n">
        <v>2111</v>
      </c>
    </row>
    <row r="2113">
      <c r="A2113" t="n">
        <v>2112</v>
      </c>
      <c r="B2113" t="inlineStr">
        <is>
          <t>MTR-IOS-2112</t>
        </is>
      </c>
      <c r="C2113" t="inlineStr">
        <is>
          <t>iPhone</t>
        </is>
      </c>
      <c r="D2113" t="inlineStr">
        <is>
          <t>Business</t>
        </is>
      </c>
      <c r="E2113" t="inlineStr">
        <is>
          <t>Business</t>
        </is>
      </c>
      <c r="F2113" t="inlineStr">
        <is>
          <t>Business Runway</t>
        </is>
      </c>
      <c r="G2113" t="inlineStr">
        <is>
          <t>Reserve</t>
        </is>
      </c>
      <c r="H2113" t="inlineStr">
        <is>
          <t>Business &gt; Business Runway &gt; Quick Add &gt; Reserve</t>
        </is>
      </c>
      <c r="I2113" s="18" t="n">
        <v>159185.45</v>
      </c>
      <c r="J2113" t="inlineStr">
        <is>
          <t>Created MTR-IOS-2112 and correlation note visible in Activity/Pulse</t>
        </is>
      </c>
      <c r="K2113" t="inlineStr">
        <is>
          <t>NOT_RUN</t>
        </is>
      </c>
      <c r="P2113" t="n">
        <v>0</v>
      </c>
      <c r="Q2113" t="n">
        <v>2112</v>
      </c>
    </row>
    <row r="2114">
      <c r="A2114" t="n">
        <v>2113</v>
      </c>
      <c r="B2114" t="inlineStr">
        <is>
          <t>MTR-IOS-2113</t>
        </is>
      </c>
      <c r="C2114" t="inlineStr">
        <is>
          <t>iPhone</t>
        </is>
      </c>
      <c r="D2114" t="inlineStr">
        <is>
          <t>Personal</t>
        </is>
      </c>
      <c r="E2114" t="inlineStr">
        <is>
          <t>Personal</t>
        </is>
      </c>
      <c r="F2114" t="inlineStr">
        <is>
          <t>Lifestyle</t>
        </is>
      </c>
      <c r="G2114" t="inlineStr">
        <is>
          <t>Entertainment</t>
        </is>
      </c>
      <c r="H2114" t="inlineStr">
        <is>
          <t>Personal &gt; Lifestyle &gt; Quick Add &gt; Entertainment</t>
        </is>
      </c>
      <c r="I2114" s="18" t="n">
        <v>7782.39</v>
      </c>
      <c r="J2114" t="inlineStr">
        <is>
          <t>Created MTR-IOS-2113 and correlation note visible in Activity/Pulse</t>
        </is>
      </c>
      <c r="K2114" t="inlineStr">
        <is>
          <t>NOT_RUN</t>
        </is>
      </c>
      <c r="P2114" t="n">
        <v>0</v>
      </c>
      <c r="Q2114" t="n">
        <v>2113</v>
      </c>
    </row>
    <row r="2115">
      <c r="A2115" t="n">
        <v>2114</v>
      </c>
      <c r="B2115" t="inlineStr">
        <is>
          <t>MTR-IOS-2114</t>
        </is>
      </c>
      <c r="C2115" t="inlineStr">
        <is>
          <t>iPhone</t>
        </is>
      </c>
      <c r="D2115" t="inlineStr">
        <is>
          <t>Group</t>
        </is>
      </c>
      <c r="E2115" t="inlineStr">
        <is>
          <t>Shared Experience</t>
        </is>
      </c>
      <c r="F2115" t="inlineStr">
        <is>
          <t>Wedding</t>
        </is>
      </c>
      <c r="G2115" t="inlineStr">
        <is>
          <t>Catering</t>
        </is>
      </c>
      <c r="H2115" t="inlineStr">
        <is>
          <t>Group &gt; Wedding &gt; Quick Add &gt; Catering</t>
        </is>
      </c>
      <c r="I2115" s="18" t="n">
        <v>15961.44</v>
      </c>
      <c r="J2115" t="inlineStr">
        <is>
          <t>Created MTR-IOS-2114 and correlation note visible in Activity/Pulse</t>
        </is>
      </c>
      <c r="K2115" t="inlineStr">
        <is>
          <t>NOT_RUN</t>
        </is>
      </c>
      <c r="P2115" t="n">
        <v>0</v>
      </c>
      <c r="Q2115" t="n">
        <v>2114</v>
      </c>
    </row>
    <row r="2116">
      <c r="A2116" t="n">
        <v>2115</v>
      </c>
      <c r="B2116" t="inlineStr">
        <is>
          <t>MTR-IOS-2115</t>
        </is>
      </c>
      <c r="C2116" t="inlineStr">
        <is>
          <t>iPhone</t>
        </is>
      </c>
      <c r="D2116" t="inlineStr">
        <is>
          <t>Business</t>
        </is>
      </c>
      <c r="E2116" t="inlineStr">
        <is>
          <t>Business</t>
        </is>
      </c>
      <c r="F2116" t="inlineStr">
        <is>
          <t>Business Runway</t>
        </is>
      </c>
      <c r="G2116" t="inlineStr">
        <is>
          <t>Loan</t>
        </is>
      </c>
      <c r="H2116" t="inlineStr">
        <is>
          <t>Business &gt; Business Runway &gt; Quick Add &gt; Loan</t>
        </is>
      </c>
      <c r="I2116" s="18" t="n">
        <v>120319.85</v>
      </c>
      <c r="J2116" t="inlineStr">
        <is>
          <t>Created MTR-IOS-2115 and correlation note visible in Activity/Pulse</t>
        </is>
      </c>
      <c r="K2116" t="inlineStr">
        <is>
          <t>NOT_RUN</t>
        </is>
      </c>
      <c r="P2116" t="n">
        <v>0</v>
      </c>
      <c r="Q2116" t="n">
        <v>2115</v>
      </c>
    </row>
    <row r="2117">
      <c r="A2117" t="n">
        <v>2116</v>
      </c>
      <c r="B2117" t="inlineStr">
        <is>
          <t>MTR-IOS-2116</t>
        </is>
      </c>
      <c r="C2117" t="inlineStr">
        <is>
          <t>iPhone</t>
        </is>
      </c>
      <c r="D2117" t="inlineStr">
        <is>
          <t>Personal</t>
        </is>
      </c>
      <c r="E2117" t="inlineStr">
        <is>
          <t>Personal</t>
        </is>
      </c>
      <c r="F2117" t="inlineStr">
        <is>
          <t>Lifestyle</t>
        </is>
      </c>
      <c r="G2117" t="inlineStr">
        <is>
          <t>Travel</t>
        </is>
      </c>
      <c r="H2117" t="inlineStr">
        <is>
          <t>Personal &gt; Lifestyle &gt; Quick Add &gt; Travel</t>
        </is>
      </c>
      <c r="I2117" s="18" t="n">
        <v>5693.97</v>
      </c>
      <c r="J2117" t="inlineStr">
        <is>
          <t>Created MTR-IOS-2116 and correlation note visible in Activity/Pulse</t>
        </is>
      </c>
      <c r="K2117" t="inlineStr">
        <is>
          <t>NOT_RUN</t>
        </is>
      </c>
      <c r="P2117" t="n">
        <v>0</v>
      </c>
      <c r="Q2117" t="n">
        <v>2116</v>
      </c>
    </row>
    <row r="2118">
      <c r="A2118" t="n">
        <v>2117</v>
      </c>
      <c r="B2118" t="inlineStr">
        <is>
          <t>MTR-IOS-2117</t>
        </is>
      </c>
      <c r="C2118" t="inlineStr">
        <is>
          <t>iPhone</t>
        </is>
      </c>
      <c r="D2118" t="inlineStr">
        <is>
          <t>Group</t>
        </is>
      </c>
      <c r="E2118" t="inlineStr">
        <is>
          <t>Shared Experience</t>
        </is>
      </c>
      <c r="F2118" t="inlineStr">
        <is>
          <t>Wedding</t>
        </is>
      </c>
      <c r="G2118" t="inlineStr">
        <is>
          <t>Decor</t>
        </is>
      </c>
      <c r="H2118" t="inlineStr">
        <is>
          <t>Group &gt; Wedding &gt; Quick Add &gt; Decor</t>
        </is>
      </c>
      <c r="I2118" s="18" t="n">
        <v>17636.07</v>
      </c>
      <c r="J2118" t="inlineStr">
        <is>
          <t>Created MTR-IOS-2117 and correlation note visible in Activity/Pulse</t>
        </is>
      </c>
      <c r="K2118" t="inlineStr">
        <is>
          <t>NOT_RUN</t>
        </is>
      </c>
      <c r="P2118" t="n">
        <v>0</v>
      </c>
      <c r="Q2118" t="n">
        <v>2117</v>
      </c>
    </row>
    <row r="2119">
      <c r="A2119" t="n">
        <v>2118</v>
      </c>
      <c r="B2119" t="inlineStr">
        <is>
          <t>MTR-IOS-2118</t>
        </is>
      </c>
      <c r="C2119" t="inlineStr">
        <is>
          <t>iPhone</t>
        </is>
      </c>
      <c r="D2119" t="inlineStr">
        <is>
          <t>Business</t>
        </is>
      </c>
      <c r="E2119" t="inlineStr">
        <is>
          <t>Business</t>
        </is>
      </c>
      <c r="F2119" t="inlineStr">
        <is>
          <t>Business Runway</t>
        </is>
      </c>
      <c r="G2119" t="inlineStr">
        <is>
          <t>Investment</t>
        </is>
      </c>
      <c r="H2119" t="inlineStr">
        <is>
          <t>Business &gt; Business Runway &gt; Quick Add &gt; Investment</t>
        </is>
      </c>
      <c r="I2119" s="18" t="n">
        <v>19609.27</v>
      </c>
      <c r="J2119" t="inlineStr">
        <is>
          <t>Created MTR-IOS-2118 and correlation note visible in Activity/Pulse</t>
        </is>
      </c>
      <c r="K2119" t="inlineStr">
        <is>
          <t>NOT_RUN</t>
        </is>
      </c>
      <c r="P2119" t="n">
        <v>0</v>
      </c>
      <c r="Q2119" t="n">
        <v>2118</v>
      </c>
    </row>
    <row r="2120">
      <c r="A2120" t="n">
        <v>2119</v>
      </c>
      <c r="B2120" t="inlineStr">
        <is>
          <t>MTR-IOS-2119</t>
        </is>
      </c>
      <c r="C2120" t="inlineStr">
        <is>
          <t>iPhone</t>
        </is>
      </c>
      <c r="D2120" t="inlineStr">
        <is>
          <t>Personal</t>
        </is>
      </c>
      <c r="E2120" t="inlineStr">
        <is>
          <t>Personal</t>
        </is>
      </c>
      <c r="F2120" t="inlineStr">
        <is>
          <t>Lifestyle</t>
        </is>
      </c>
      <c r="G2120" t="inlineStr">
        <is>
          <t>Fitness</t>
        </is>
      </c>
      <c r="H2120" t="inlineStr">
        <is>
          <t>Personal &gt; Lifestyle &gt; Quick Add &gt; Fitness</t>
        </is>
      </c>
      <c r="I2120" s="18" t="n">
        <v>1185.76</v>
      </c>
      <c r="J2120" t="inlineStr">
        <is>
          <t>Created MTR-IOS-2119 and correlation note visible in Activity/Pulse</t>
        </is>
      </c>
      <c r="K2120" t="inlineStr">
        <is>
          <t>NOT_RUN</t>
        </is>
      </c>
      <c r="P2120" t="n">
        <v>0</v>
      </c>
      <c r="Q2120" t="n">
        <v>2119</v>
      </c>
    </row>
    <row r="2121">
      <c r="A2121" t="n">
        <v>2120</v>
      </c>
      <c r="B2121" t="inlineStr">
        <is>
          <t>MTR-IOS-2120</t>
        </is>
      </c>
      <c r="C2121" t="inlineStr">
        <is>
          <t>iPhone</t>
        </is>
      </c>
      <c r="D2121" t="inlineStr">
        <is>
          <t>Group</t>
        </is>
      </c>
      <c r="E2121" t="inlineStr">
        <is>
          <t>Shared Experience</t>
        </is>
      </c>
      <c r="F2121" t="inlineStr">
        <is>
          <t>Wedding</t>
        </is>
      </c>
      <c r="G2121" t="inlineStr">
        <is>
          <t>Travel</t>
        </is>
      </c>
      <c r="H2121" t="inlineStr">
        <is>
          <t>Group &gt; Wedding &gt; Quick Add &gt; Travel</t>
        </is>
      </c>
      <c r="I2121" s="18" t="n">
        <v>19747.52</v>
      </c>
      <c r="J2121" t="inlineStr">
        <is>
          <t>Created MTR-IOS-2120 and correlation note visible in Activity/Pulse</t>
        </is>
      </c>
      <c r="K2121" t="inlineStr">
        <is>
          <t>NOT_RUN</t>
        </is>
      </c>
      <c r="P2121" t="n">
        <v>0</v>
      </c>
      <c r="Q2121" t="n">
        <v>2120</v>
      </c>
    </row>
    <row r="2122">
      <c r="A2122" t="n">
        <v>2121</v>
      </c>
      <c r="B2122" t="inlineStr">
        <is>
          <t>MTR-IOS-2121</t>
        </is>
      </c>
      <c r="C2122" t="inlineStr">
        <is>
          <t>iPhone</t>
        </is>
      </c>
      <c r="D2122" t="inlineStr">
        <is>
          <t>Business</t>
        </is>
      </c>
      <c r="E2122" t="inlineStr">
        <is>
          <t>Business</t>
        </is>
      </c>
      <c r="F2122" t="inlineStr">
        <is>
          <t>Business Operations</t>
        </is>
      </c>
      <c r="G2122" t="inlineStr">
        <is>
          <t>Software</t>
        </is>
      </c>
      <c r="H2122" t="inlineStr">
        <is>
          <t>Business &gt; Business Operations &gt; Quick Add &gt; Software</t>
        </is>
      </c>
      <c r="I2122" s="18" t="n">
        <v>105455.84</v>
      </c>
      <c r="J2122" t="inlineStr">
        <is>
          <t>Created MTR-IOS-2121 and correlation note visible in Activity/Pulse</t>
        </is>
      </c>
      <c r="K2122" t="inlineStr">
        <is>
          <t>NOT_RUN</t>
        </is>
      </c>
      <c r="P2122" t="n">
        <v>0</v>
      </c>
      <c r="Q2122" t="n">
        <v>2121</v>
      </c>
    </row>
    <row r="2123">
      <c r="A2123" t="n">
        <v>2122</v>
      </c>
      <c r="B2123" t="inlineStr">
        <is>
          <t>MTR-IOS-2122</t>
        </is>
      </c>
      <c r="C2123" t="inlineStr">
        <is>
          <t>iPhone</t>
        </is>
      </c>
      <c r="D2123" t="inlineStr">
        <is>
          <t>Personal</t>
        </is>
      </c>
      <c r="E2123" t="inlineStr">
        <is>
          <t>Personal</t>
        </is>
      </c>
      <c r="F2123" t="inlineStr">
        <is>
          <t>Lifestyle</t>
        </is>
      </c>
      <c r="G2123" t="inlineStr">
        <is>
          <t>Hobbies</t>
        </is>
      </c>
      <c r="H2123" t="inlineStr">
        <is>
          <t>Personal &gt; Lifestyle &gt; Quick Add &gt; Hobbies</t>
        </is>
      </c>
      <c r="I2123" s="18" t="n">
        <v>14854.08</v>
      </c>
      <c r="J2123" t="inlineStr">
        <is>
          <t>Created MTR-IOS-2122 and correlation note visible in Activity/Pulse</t>
        </is>
      </c>
      <c r="K2123" t="inlineStr">
        <is>
          <t>NOT_RUN</t>
        </is>
      </c>
      <c r="P2123" t="n">
        <v>0</v>
      </c>
      <c r="Q2123" t="n">
        <v>2122</v>
      </c>
    </row>
    <row r="2124">
      <c r="A2124" t="n">
        <v>2123</v>
      </c>
      <c r="B2124" t="inlineStr">
        <is>
          <t>MTR-IOS-2123</t>
        </is>
      </c>
      <c r="C2124" t="inlineStr">
        <is>
          <t>iPhone</t>
        </is>
      </c>
      <c r="D2124" t="inlineStr">
        <is>
          <t>Group</t>
        </is>
      </c>
      <c r="E2124" t="inlineStr">
        <is>
          <t>Shared Experience</t>
        </is>
      </c>
      <c r="F2124" t="inlineStr">
        <is>
          <t>Wedding</t>
        </is>
      </c>
      <c r="G2124" t="inlineStr">
        <is>
          <t>Gifts</t>
        </is>
      </c>
      <c r="H2124" t="inlineStr">
        <is>
          <t>Group &gt; Wedding &gt; Quick Add &gt; Gifts</t>
        </is>
      </c>
      <c r="I2124" s="18" t="n">
        <v>26318.36</v>
      </c>
      <c r="J2124" t="inlineStr">
        <is>
          <t>Created MTR-IOS-2123 and correlation note visible in Activity/Pulse</t>
        </is>
      </c>
      <c r="K2124" t="inlineStr">
        <is>
          <t>NOT_RUN</t>
        </is>
      </c>
      <c r="P2124" t="n">
        <v>0</v>
      </c>
      <c r="Q2124" t="n">
        <v>2123</v>
      </c>
    </row>
    <row r="2125">
      <c r="A2125" t="n">
        <v>2124</v>
      </c>
      <c r="B2125" t="inlineStr">
        <is>
          <t>MTR-IOS-2124</t>
        </is>
      </c>
      <c r="C2125" t="inlineStr">
        <is>
          <t>iPhone</t>
        </is>
      </c>
      <c r="D2125" t="inlineStr">
        <is>
          <t>Business</t>
        </is>
      </c>
      <c r="E2125" t="inlineStr">
        <is>
          <t>Business</t>
        </is>
      </c>
      <c r="F2125" t="inlineStr">
        <is>
          <t>Business Operations</t>
        </is>
      </c>
      <c r="G2125" t="inlineStr">
        <is>
          <t>Rent</t>
        </is>
      </c>
      <c r="H2125" t="inlineStr">
        <is>
          <t>Business &gt; Business Operations &gt; Quick Add &gt; Rent</t>
        </is>
      </c>
      <c r="I2125" s="18" t="n">
        <v>5352.17</v>
      </c>
      <c r="J2125" t="inlineStr">
        <is>
          <t>Created MTR-IOS-2124 and correlation note visible in Activity/Pulse</t>
        </is>
      </c>
      <c r="K2125" t="inlineStr">
        <is>
          <t>NOT_RUN</t>
        </is>
      </c>
      <c r="P2125" t="n">
        <v>0</v>
      </c>
      <c r="Q2125" t="n">
        <v>2124</v>
      </c>
    </row>
    <row r="2126">
      <c r="A2126" t="n">
        <v>2125</v>
      </c>
      <c r="B2126" t="inlineStr">
        <is>
          <t>MTR-IOS-2125</t>
        </is>
      </c>
      <c r="C2126" t="inlineStr">
        <is>
          <t>iPhone</t>
        </is>
      </c>
      <c r="D2126" t="inlineStr">
        <is>
          <t>Personal</t>
        </is>
      </c>
      <c r="E2126" t="inlineStr">
        <is>
          <t>Personal</t>
        </is>
      </c>
      <c r="F2126" t="inlineStr">
        <is>
          <t>Relationships</t>
        </is>
      </c>
      <c r="G2126" t="inlineStr">
        <is>
          <t>Gifts</t>
        </is>
      </c>
      <c r="H2126" t="inlineStr">
        <is>
          <t>Personal &gt; Relationships &gt; Quick Add &gt; Gifts</t>
        </is>
      </c>
      <c r="I2126" s="18" t="n">
        <v>13997.04</v>
      </c>
      <c r="J2126" t="inlineStr">
        <is>
          <t>Created MTR-IOS-2125 and correlation note visible in Activity/Pulse</t>
        </is>
      </c>
      <c r="K2126" t="inlineStr">
        <is>
          <t>NOT_RUN</t>
        </is>
      </c>
      <c r="P2126" t="n">
        <v>0</v>
      </c>
      <c r="Q2126" t="n">
        <v>2125</v>
      </c>
    </row>
    <row r="2127">
      <c r="A2127" t="n">
        <v>2126</v>
      </c>
      <c r="B2127" t="inlineStr">
        <is>
          <t>MTR-IOS-2126</t>
        </is>
      </c>
      <c r="C2127" t="inlineStr">
        <is>
          <t>iPhone</t>
        </is>
      </c>
      <c r="D2127" t="inlineStr">
        <is>
          <t>Group</t>
        </is>
      </c>
      <c r="E2127" t="inlineStr">
        <is>
          <t>Shared Experience</t>
        </is>
      </c>
      <c r="F2127" t="inlineStr">
        <is>
          <t>Wedding</t>
        </is>
      </c>
      <c r="G2127" t="inlineStr">
        <is>
          <t>Photography</t>
        </is>
      </c>
      <c r="H2127" t="inlineStr">
        <is>
          <t>Group &gt; Wedding &gt; Quick Add &gt; Photography</t>
        </is>
      </c>
      <c r="I2127" s="18" t="n">
        <v>16683.61</v>
      </c>
      <c r="J2127" t="inlineStr">
        <is>
          <t>Created MTR-IOS-2126 and correlation note visible in Activity/Pulse</t>
        </is>
      </c>
      <c r="K2127" t="inlineStr">
        <is>
          <t>NOT_RUN</t>
        </is>
      </c>
      <c r="P2127" t="n">
        <v>0</v>
      </c>
      <c r="Q2127" t="n">
        <v>2126</v>
      </c>
    </row>
    <row r="2128">
      <c r="A2128" t="n">
        <v>2127</v>
      </c>
      <c r="B2128" t="inlineStr">
        <is>
          <t>MTR-IOS-2127</t>
        </is>
      </c>
      <c r="C2128" t="inlineStr">
        <is>
          <t>iPhone</t>
        </is>
      </c>
      <c r="D2128" t="inlineStr">
        <is>
          <t>Business</t>
        </is>
      </c>
      <c r="E2128" t="inlineStr">
        <is>
          <t>Business</t>
        </is>
      </c>
      <c r="F2128" t="inlineStr">
        <is>
          <t>Business Operations</t>
        </is>
      </c>
      <c r="G2128" t="inlineStr">
        <is>
          <t>Marketing</t>
        </is>
      </c>
      <c r="H2128" t="inlineStr">
        <is>
          <t>Business &gt; Business Operations &gt; Quick Add &gt; Marketing</t>
        </is>
      </c>
      <c r="I2128" s="18" t="n">
        <v>135544.78</v>
      </c>
      <c r="J2128" t="inlineStr">
        <is>
          <t>Created MTR-IOS-2127 and correlation note visible in Activity/Pulse</t>
        </is>
      </c>
      <c r="K2128" t="inlineStr">
        <is>
          <t>NOT_RUN</t>
        </is>
      </c>
      <c r="P2128" t="n">
        <v>0</v>
      </c>
      <c r="Q2128" t="n">
        <v>2127</v>
      </c>
    </row>
    <row r="2129">
      <c r="A2129" t="n">
        <v>2128</v>
      </c>
      <c r="B2129" t="inlineStr">
        <is>
          <t>MTR-IOS-2128</t>
        </is>
      </c>
      <c r="C2129" t="inlineStr">
        <is>
          <t>iPhone</t>
        </is>
      </c>
      <c r="D2129" t="inlineStr">
        <is>
          <t>Personal</t>
        </is>
      </c>
      <c r="E2129" t="inlineStr">
        <is>
          <t>Personal</t>
        </is>
      </c>
      <c r="F2129" t="inlineStr">
        <is>
          <t>Relationships</t>
        </is>
      </c>
      <c r="G2129" t="inlineStr">
        <is>
          <t>Dates</t>
        </is>
      </c>
      <c r="H2129" t="inlineStr">
        <is>
          <t>Personal &gt; Relationships &gt; Quick Add &gt; Dates</t>
        </is>
      </c>
      <c r="I2129" s="18" t="n">
        <v>2053.87</v>
      </c>
      <c r="J2129" t="inlineStr">
        <is>
          <t>Created MTR-IOS-2128 and correlation note visible in Activity/Pulse</t>
        </is>
      </c>
      <c r="K2129" t="inlineStr">
        <is>
          <t>NOT_RUN</t>
        </is>
      </c>
      <c r="P2129" t="n">
        <v>0</v>
      </c>
      <c r="Q2129" t="n">
        <v>2128</v>
      </c>
    </row>
    <row r="2130">
      <c r="A2130" t="n">
        <v>2129</v>
      </c>
      <c r="B2130" t="inlineStr">
        <is>
          <t>MTR-IOS-2129</t>
        </is>
      </c>
      <c r="C2130" t="inlineStr">
        <is>
          <t>iPhone</t>
        </is>
      </c>
      <c r="D2130" t="inlineStr">
        <is>
          <t>Group</t>
        </is>
      </c>
      <c r="E2130" t="inlineStr">
        <is>
          <t>Shared Experience</t>
        </is>
      </c>
      <c r="F2130" t="inlineStr">
        <is>
          <t>Wedding</t>
        </is>
      </c>
      <c r="G2130" t="inlineStr">
        <is>
          <t>Other</t>
        </is>
      </c>
      <c r="H2130" t="inlineStr">
        <is>
          <t>Group &gt; Wedding &gt; Quick Add &gt; Other</t>
        </is>
      </c>
      <c r="I2130" s="18" t="n">
        <v>18120.07</v>
      </c>
      <c r="J2130" t="inlineStr">
        <is>
          <t>Created MTR-IOS-2129 and correlation note visible in Activity/Pulse</t>
        </is>
      </c>
      <c r="K2130" t="inlineStr">
        <is>
          <t>NOT_RUN</t>
        </is>
      </c>
      <c r="P2130" t="n">
        <v>0</v>
      </c>
      <c r="Q2130" t="n">
        <v>2129</v>
      </c>
    </row>
    <row r="2131">
      <c r="A2131" t="n">
        <v>2130</v>
      </c>
      <c r="B2131" t="inlineStr">
        <is>
          <t>MTR-IOS-2130</t>
        </is>
      </c>
      <c r="C2131" t="inlineStr">
        <is>
          <t>iPhone</t>
        </is>
      </c>
      <c r="D2131" t="inlineStr">
        <is>
          <t>Business</t>
        </is>
      </c>
      <c r="E2131" t="inlineStr">
        <is>
          <t>Business</t>
        </is>
      </c>
      <c r="F2131" t="inlineStr">
        <is>
          <t>Business Operations</t>
        </is>
      </c>
      <c r="G2131" t="inlineStr">
        <is>
          <t>Legal</t>
        </is>
      </c>
      <c r="H2131" t="inlineStr">
        <is>
          <t>Business &gt; Business Operations &gt; Quick Add &gt; Legal</t>
        </is>
      </c>
      <c r="I2131" s="18" t="n">
        <v>32666.37</v>
      </c>
      <c r="J2131" t="inlineStr">
        <is>
          <t>Created MTR-IOS-2130 and correlation note visible in Activity/Pulse</t>
        </is>
      </c>
      <c r="K2131" t="inlineStr">
        <is>
          <t>NOT_RUN</t>
        </is>
      </c>
      <c r="P2131" t="n">
        <v>0</v>
      </c>
      <c r="Q2131" t="n">
        <v>2130</v>
      </c>
    </row>
    <row r="2132">
      <c r="A2132" t="n">
        <v>2131</v>
      </c>
      <c r="B2132" t="inlineStr">
        <is>
          <t>MTR-IOS-2131</t>
        </is>
      </c>
      <c r="C2132" t="inlineStr">
        <is>
          <t>iPhone</t>
        </is>
      </c>
      <c r="D2132" t="inlineStr">
        <is>
          <t>Personal</t>
        </is>
      </c>
      <c r="E2132" t="inlineStr">
        <is>
          <t>Personal</t>
        </is>
      </c>
      <c r="F2132" t="inlineStr">
        <is>
          <t>Relationships</t>
        </is>
      </c>
      <c r="G2132" t="inlineStr">
        <is>
          <t>Family</t>
        </is>
      </c>
      <c r="H2132" t="inlineStr">
        <is>
          <t>Personal &gt; Relationships &gt; Quick Add &gt; Family</t>
        </is>
      </c>
      <c r="I2132" s="18" t="n">
        <v>12761.83</v>
      </c>
      <c r="J2132" t="inlineStr">
        <is>
          <t>Created MTR-IOS-2131 and correlation note visible in Activity/Pulse</t>
        </is>
      </c>
      <c r="K2132" t="inlineStr">
        <is>
          <t>NOT_RUN</t>
        </is>
      </c>
      <c r="P2132" t="n">
        <v>0</v>
      </c>
      <c r="Q2132" t="n">
        <v>2131</v>
      </c>
    </row>
    <row r="2133">
      <c r="A2133" t="n">
        <v>2132</v>
      </c>
      <c r="B2133" t="inlineStr">
        <is>
          <t>MTR-IOS-2132</t>
        </is>
      </c>
      <c r="C2133" t="inlineStr">
        <is>
          <t>iPhone</t>
        </is>
      </c>
      <c r="D2133" t="inlineStr">
        <is>
          <t>Group</t>
        </is>
      </c>
      <c r="E2133" t="inlineStr">
        <is>
          <t>Shared Experience</t>
        </is>
      </c>
      <c r="F2133" t="inlineStr">
        <is>
          <t>Office Outing</t>
        </is>
      </c>
      <c r="G2133" t="inlineStr">
        <is>
          <t>Food</t>
        </is>
      </c>
      <c r="H2133" t="inlineStr">
        <is>
          <t>Group &gt; Office Outing &gt; Quick Add &gt; Food</t>
        </is>
      </c>
      <c r="I2133" s="18" t="n">
        <v>22241.8</v>
      </c>
      <c r="J2133" t="inlineStr">
        <is>
          <t>Created MTR-IOS-2132 and correlation note visible in Activity/Pulse</t>
        </is>
      </c>
      <c r="K2133" t="inlineStr">
        <is>
          <t>NOT_RUN</t>
        </is>
      </c>
      <c r="P2133" t="n">
        <v>0</v>
      </c>
      <c r="Q2133" t="n">
        <v>2132</v>
      </c>
    </row>
    <row r="2134">
      <c r="A2134" t="n">
        <v>2133</v>
      </c>
      <c r="B2134" t="inlineStr">
        <is>
          <t>MTR-IOS-2133</t>
        </is>
      </c>
      <c r="C2134" t="inlineStr">
        <is>
          <t>iPhone</t>
        </is>
      </c>
      <c r="D2134" t="inlineStr">
        <is>
          <t>Business</t>
        </is>
      </c>
      <c r="E2134" t="inlineStr">
        <is>
          <t>Business</t>
        </is>
      </c>
      <c r="F2134" t="inlineStr">
        <is>
          <t>Business Operations</t>
        </is>
      </c>
      <c r="G2134" t="inlineStr">
        <is>
          <t>Accounting</t>
        </is>
      </c>
      <c r="H2134" t="inlineStr">
        <is>
          <t>Business &gt; Business Operations &gt; Quick Add &gt; Accounting</t>
        </is>
      </c>
      <c r="I2134" s="18" t="n">
        <v>75542.42999999999</v>
      </c>
      <c r="J2134" t="inlineStr">
        <is>
          <t>Created MTR-IOS-2133 and correlation note visible in Activity/Pulse</t>
        </is>
      </c>
      <c r="K2134" t="inlineStr">
        <is>
          <t>NOT_RUN</t>
        </is>
      </c>
      <c r="P2134" t="n">
        <v>0</v>
      </c>
      <c r="Q2134" t="n">
        <v>2133</v>
      </c>
    </row>
    <row r="2135">
      <c r="A2135" t="n">
        <v>2134</v>
      </c>
      <c r="B2135" t="inlineStr">
        <is>
          <t>MTR-IOS-2134</t>
        </is>
      </c>
      <c r="C2135" t="inlineStr">
        <is>
          <t>iPhone</t>
        </is>
      </c>
      <c r="D2135" t="inlineStr">
        <is>
          <t>Personal</t>
        </is>
      </c>
      <c r="E2135" t="inlineStr">
        <is>
          <t>Personal</t>
        </is>
      </c>
      <c r="F2135" t="inlineStr">
        <is>
          <t>Relationships</t>
        </is>
      </c>
      <c r="G2135" t="inlineStr">
        <is>
          <t>Friends</t>
        </is>
      </c>
      <c r="H2135" t="inlineStr">
        <is>
          <t>Personal &gt; Relationships &gt; Quick Add &gt; Friends</t>
        </is>
      </c>
      <c r="I2135" s="18" t="n">
        <v>7296.44</v>
      </c>
      <c r="J2135" t="inlineStr">
        <is>
          <t>Created MTR-IOS-2134 and correlation note visible in Activity/Pulse</t>
        </is>
      </c>
      <c r="K2135" t="inlineStr">
        <is>
          <t>NOT_RUN</t>
        </is>
      </c>
      <c r="P2135" t="n">
        <v>0</v>
      </c>
      <c r="Q2135" t="n">
        <v>2134</v>
      </c>
    </row>
    <row r="2136">
      <c r="A2136" t="n">
        <v>2135</v>
      </c>
      <c r="B2136" t="inlineStr">
        <is>
          <t>MTR-IOS-2135</t>
        </is>
      </c>
      <c r="C2136" t="inlineStr">
        <is>
          <t>iPhone</t>
        </is>
      </c>
      <c r="D2136" t="inlineStr">
        <is>
          <t>Group</t>
        </is>
      </c>
      <c r="E2136" t="inlineStr">
        <is>
          <t>Shared Experience</t>
        </is>
      </c>
      <c r="F2136" t="inlineStr">
        <is>
          <t>Office Outing</t>
        </is>
      </c>
      <c r="G2136" t="inlineStr">
        <is>
          <t>Travel</t>
        </is>
      </c>
      <c r="H2136" t="inlineStr">
        <is>
          <t>Group &gt; Office Outing &gt; Quick Add &gt; Travel</t>
        </is>
      </c>
      <c r="I2136" s="18" t="n">
        <v>6944.63</v>
      </c>
      <c r="J2136" t="inlineStr">
        <is>
          <t>Created MTR-IOS-2135 and correlation note visible in Activity/Pulse</t>
        </is>
      </c>
      <c r="K2136" t="inlineStr">
        <is>
          <t>NOT_RUN</t>
        </is>
      </c>
      <c r="P2136" t="n">
        <v>0</v>
      </c>
      <c r="Q2136" t="n">
        <v>2135</v>
      </c>
    </row>
    <row r="2137">
      <c r="A2137" t="n">
        <v>2136</v>
      </c>
      <c r="B2137" t="inlineStr">
        <is>
          <t>MTR-IOS-2136</t>
        </is>
      </c>
      <c r="C2137" t="inlineStr">
        <is>
          <t>iPhone</t>
        </is>
      </c>
      <c r="D2137" t="inlineStr">
        <is>
          <t>Business</t>
        </is>
      </c>
      <c r="E2137" t="inlineStr">
        <is>
          <t>Business</t>
        </is>
      </c>
      <c r="F2137" t="inlineStr">
        <is>
          <t>Business Operations</t>
        </is>
      </c>
      <c r="G2137" t="inlineStr">
        <is>
          <t>Equipment</t>
        </is>
      </c>
      <c r="H2137" t="inlineStr">
        <is>
          <t>Business &gt; Business Operations &gt; Quick Add &gt; Equipment</t>
        </is>
      </c>
      <c r="I2137" s="18" t="n">
        <v>49899.43</v>
      </c>
      <c r="J2137" t="inlineStr">
        <is>
          <t>Created MTR-IOS-2136 and correlation note visible in Activity/Pulse</t>
        </is>
      </c>
      <c r="K2137" t="inlineStr">
        <is>
          <t>NOT_RUN</t>
        </is>
      </c>
      <c r="P2137" t="n">
        <v>0</v>
      </c>
      <c r="Q2137" t="n">
        <v>2136</v>
      </c>
    </row>
    <row r="2138">
      <c r="A2138" t="n">
        <v>2137</v>
      </c>
      <c r="B2138" t="inlineStr">
        <is>
          <t>MTR-IOS-2137</t>
        </is>
      </c>
      <c r="C2138" t="inlineStr">
        <is>
          <t>iPhone</t>
        </is>
      </c>
      <c r="D2138" t="inlineStr">
        <is>
          <t>Personal</t>
        </is>
      </c>
      <c r="E2138" t="inlineStr">
        <is>
          <t>Personal</t>
        </is>
      </c>
      <c r="F2138" t="inlineStr">
        <is>
          <t>Relationships</t>
        </is>
      </c>
      <c r="G2138" t="inlineStr">
        <is>
          <t>Celebrations</t>
        </is>
      </c>
      <c r="H2138" t="inlineStr">
        <is>
          <t>Personal &gt; Relationships &gt; Quick Add &gt; Celebrations</t>
        </is>
      </c>
      <c r="I2138" s="18" t="n">
        <v>10381.01</v>
      </c>
      <c r="J2138" t="inlineStr">
        <is>
          <t>Created MTR-IOS-2137 and correlation note visible in Activity/Pulse</t>
        </is>
      </c>
      <c r="K2138" t="inlineStr">
        <is>
          <t>NOT_RUN</t>
        </is>
      </c>
      <c r="P2138" t="n">
        <v>0</v>
      </c>
      <c r="Q2138" t="n">
        <v>2137</v>
      </c>
    </row>
    <row r="2139">
      <c r="A2139" t="n">
        <v>2138</v>
      </c>
      <c r="B2139" t="inlineStr">
        <is>
          <t>MTR-IOS-2138</t>
        </is>
      </c>
      <c r="C2139" t="inlineStr">
        <is>
          <t>iPhone</t>
        </is>
      </c>
      <c r="D2139" t="inlineStr">
        <is>
          <t>Group</t>
        </is>
      </c>
      <c r="E2139" t="inlineStr">
        <is>
          <t>Shared Experience</t>
        </is>
      </c>
      <c r="F2139" t="inlineStr">
        <is>
          <t>Office Outing</t>
        </is>
      </c>
      <c r="G2139" t="inlineStr">
        <is>
          <t>Activities</t>
        </is>
      </c>
      <c r="H2139" t="inlineStr">
        <is>
          <t>Group &gt; Office Outing &gt; Quick Add &gt; Activities</t>
        </is>
      </c>
      <c r="I2139" s="18" t="n">
        <v>19403.76</v>
      </c>
      <c r="J2139" t="inlineStr">
        <is>
          <t>Created MTR-IOS-2138 and correlation note visible in Activity/Pulse</t>
        </is>
      </c>
      <c r="K2139" t="inlineStr">
        <is>
          <t>NOT_RUN</t>
        </is>
      </c>
      <c r="P2139" t="n">
        <v>0</v>
      </c>
      <c r="Q2139" t="n">
        <v>2138</v>
      </c>
    </row>
    <row r="2140">
      <c r="A2140" t="n">
        <v>2139</v>
      </c>
      <c r="B2140" t="inlineStr">
        <is>
          <t>MTR-IOS-2139</t>
        </is>
      </c>
      <c r="C2140" t="inlineStr">
        <is>
          <t>iPhone</t>
        </is>
      </c>
      <c r="D2140" t="inlineStr">
        <is>
          <t>Business</t>
        </is>
      </c>
      <c r="E2140" t="inlineStr">
        <is>
          <t>Business</t>
        </is>
      </c>
      <c r="F2140" t="inlineStr">
        <is>
          <t>Business Operations</t>
        </is>
      </c>
      <c r="G2140" t="inlineStr">
        <is>
          <t>Vendor</t>
        </is>
      </c>
      <c r="H2140" t="inlineStr">
        <is>
          <t>Business &gt; Business Operations &gt; Quick Add &gt; Vendor</t>
        </is>
      </c>
      <c r="I2140" s="18" t="n">
        <v>119941.7</v>
      </c>
      <c r="J2140" t="inlineStr">
        <is>
          <t>Created MTR-IOS-2139 and correlation note visible in Activity/Pulse</t>
        </is>
      </c>
      <c r="K2140" t="inlineStr">
        <is>
          <t>NOT_RUN</t>
        </is>
      </c>
      <c r="P2140" t="n">
        <v>0</v>
      </c>
      <c r="Q2140" t="n">
        <v>2139</v>
      </c>
    </row>
    <row r="2141">
      <c r="A2141" t="n">
        <v>2140</v>
      </c>
      <c r="B2141" t="inlineStr">
        <is>
          <t>MTR-IOS-2140</t>
        </is>
      </c>
      <c r="C2141" t="inlineStr">
        <is>
          <t>iPhone</t>
        </is>
      </c>
      <c r="D2141" t="inlineStr">
        <is>
          <t>Personal</t>
        </is>
      </c>
      <c r="E2141" t="inlineStr">
        <is>
          <t>Personal</t>
        </is>
      </c>
      <c r="F2141" t="inlineStr">
        <is>
          <t>Life Operations</t>
        </is>
      </c>
      <c r="G2141" t="inlineStr">
        <is>
          <t>Groceries</t>
        </is>
      </c>
      <c r="H2141" t="inlineStr">
        <is>
          <t>Personal &gt; Life Operations &gt; Quick Add &gt; Groceries</t>
        </is>
      </c>
      <c r="I2141" s="18" t="n">
        <v>17031.73</v>
      </c>
      <c r="J2141" t="inlineStr">
        <is>
          <t>Created MTR-IOS-2140 and correlation note visible in Activity/Pulse</t>
        </is>
      </c>
      <c r="K2141" t="inlineStr">
        <is>
          <t>NOT_RUN</t>
        </is>
      </c>
      <c r="P2141" t="n">
        <v>0</v>
      </c>
      <c r="Q2141" t="n">
        <v>2140</v>
      </c>
    </row>
    <row r="2142">
      <c r="A2142" t="n">
        <v>2141</v>
      </c>
      <c r="B2142" t="inlineStr">
        <is>
          <t>MTR-IOS-2141</t>
        </is>
      </c>
      <c r="C2142" t="inlineStr">
        <is>
          <t>iPhone</t>
        </is>
      </c>
      <c r="D2142" t="inlineStr">
        <is>
          <t>Group</t>
        </is>
      </c>
      <c r="E2142" t="inlineStr">
        <is>
          <t>Shared Experience</t>
        </is>
      </c>
      <c r="F2142" t="inlineStr">
        <is>
          <t>Office Outing</t>
        </is>
      </c>
      <c r="G2142" t="inlineStr">
        <is>
          <t>Venue</t>
        </is>
      </c>
      <c r="H2142" t="inlineStr">
        <is>
          <t>Group &gt; Office Outing &gt; Quick Add &gt; Venue</t>
        </is>
      </c>
      <c r="I2142" s="18" t="n">
        <v>26098.37</v>
      </c>
      <c r="J2142" t="inlineStr">
        <is>
          <t>Created MTR-IOS-2141 and correlation note visible in Activity/Pulse</t>
        </is>
      </c>
      <c r="K2142" t="inlineStr">
        <is>
          <t>NOT_RUN</t>
        </is>
      </c>
      <c r="P2142" t="n">
        <v>0</v>
      </c>
      <c r="Q2142" t="n">
        <v>2141</v>
      </c>
    </row>
    <row r="2143">
      <c r="A2143" t="n">
        <v>2142</v>
      </c>
      <c r="B2143" t="inlineStr">
        <is>
          <t>MTR-IOS-2142</t>
        </is>
      </c>
      <c r="C2143" t="inlineStr">
        <is>
          <t>iPhone</t>
        </is>
      </c>
      <c r="D2143" t="inlineStr">
        <is>
          <t>Business</t>
        </is>
      </c>
      <c r="E2143" t="inlineStr">
        <is>
          <t>Business</t>
        </is>
      </c>
      <c r="F2143" t="inlineStr">
        <is>
          <t>Business Operations</t>
        </is>
      </c>
      <c r="G2143" t="inlineStr">
        <is>
          <t>Tax</t>
        </is>
      </c>
      <c r="H2143" t="inlineStr">
        <is>
          <t>Business &gt; Business Operations &gt; Quick Add &gt; Tax</t>
        </is>
      </c>
      <c r="I2143" s="18" t="n">
        <v>3322.75</v>
      </c>
      <c r="J2143" t="inlineStr">
        <is>
          <t>Created MTR-IOS-2142 and correlation note visible in Activity/Pulse</t>
        </is>
      </c>
      <c r="K2143" t="inlineStr">
        <is>
          <t>NOT_RUN</t>
        </is>
      </c>
      <c r="P2143" t="n">
        <v>0</v>
      </c>
      <c r="Q2143" t="n">
        <v>2142</v>
      </c>
    </row>
    <row r="2144">
      <c r="A2144" t="n">
        <v>2143</v>
      </c>
      <c r="B2144" t="inlineStr">
        <is>
          <t>MTR-IOS-2143</t>
        </is>
      </c>
      <c r="C2144" t="inlineStr">
        <is>
          <t>iPhone</t>
        </is>
      </c>
      <c r="D2144" t="inlineStr">
        <is>
          <t>Personal</t>
        </is>
      </c>
      <c r="E2144" t="inlineStr">
        <is>
          <t>Personal</t>
        </is>
      </c>
      <c r="F2144" t="inlineStr">
        <is>
          <t>Life Operations</t>
        </is>
      </c>
      <c r="G2144" t="inlineStr">
        <is>
          <t>Rent</t>
        </is>
      </c>
      <c r="H2144" t="inlineStr">
        <is>
          <t>Personal &gt; Life Operations &gt; Quick Add &gt; Rent</t>
        </is>
      </c>
      <c r="I2144" s="18" t="n">
        <v>12916.42</v>
      </c>
      <c r="J2144" t="inlineStr">
        <is>
          <t>Created MTR-IOS-2143 and correlation note visible in Activity/Pulse</t>
        </is>
      </c>
      <c r="K2144" t="inlineStr">
        <is>
          <t>NOT_RUN</t>
        </is>
      </c>
      <c r="P2144" t="n">
        <v>0</v>
      </c>
      <c r="Q2144" t="n">
        <v>2143</v>
      </c>
    </row>
    <row r="2145">
      <c r="A2145" t="n">
        <v>2144</v>
      </c>
      <c r="B2145" t="inlineStr">
        <is>
          <t>MTR-IOS-2144</t>
        </is>
      </c>
      <c r="C2145" t="inlineStr">
        <is>
          <t>iPhone</t>
        </is>
      </c>
      <c r="D2145" t="inlineStr">
        <is>
          <t>Group</t>
        </is>
      </c>
      <c r="E2145" t="inlineStr">
        <is>
          <t>Shared Experience</t>
        </is>
      </c>
      <c r="F2145" t="inlineStr">
        <is>
          <t>Office Outing</t>
        </is>
      </c>
      <c r="G2145" t="inlineStr">
        <is>
          <t>Other</t>
        </is>
      </c>
      <c r="H2145" t="inlineStr">
        <is>
          <t>Group &gt; Office Outing &gt; Quick Add &gt; Other</t>
        </is>
      </c>
      <c r="I2145" s="18" t="n">
        <v>10807.79</v>
      </c>
      <c r="J2145" t="inlineStr">
        <is>
          <t>Created MTR-IOS-2144 and correlation note visible in Activity/Pulse</t>
        </is>
      </c>
      <c r="K2145" t="inlineStr">
        <is>
          <t>NOT_RUN</t>
        </is>
      </c>
      <c r="P2145" t="n">
        <v>0</v>
      </c>
      <c r="Q2145" t="n">
        <v>2144</v>
      </c>
    </row>
    <row r="2146">
      <c r="A2146" t="n">
        <v>2145</v>
      </c>
      <c r="B2146" t="inlineStr">
        <is>
          <t>MTR-IOS-2145</t>
        </is>
      </c>
      <c r="C2146" t="inlineStr">
        <is>
          <t>iPhone</t>
        </is>
      </c>
      <c r="D2146" t="inlineStr">
        <is>
          <t>Business</t>
        </is>
      </c>
      <c r="E2146" t="inlineStr">
        <is>
          <t>Business</t>
        </is>
      </c>
      <c r="F2146" t="inlineStr">
        <is>
          <t>Team Operations</t>
        </is>
      </c>
      <c r="G2146" t="inlineStr">
        <is>
          <t>Payroll</t>
        </is>
      </c>
      <c r="H2146" t="inlineStr">
        <is>
          <t>Business &gt; Team Operations &gt; Quick Add &gt; Payroll</t>
        </is>
      </c>
      <c r="I2146" s="18" t="n">
        <v>20508.51</v>
      </c>
      <c r="J2146" t="inlineStr">
        <is>
          <t>Created MTR-IOS-2145 and correlation note visible in Activity/Pulse</t>
        </is>
      </c>
      <c r="K2146" t="inlineStr">
        <is>
          <t>NOT_RUN</t>
        </is>
      </c>
      <c r="P2146" t="n">
        <v>0</v>
      </c>
      <c r="Q2146" t="n">
        <v>2145</v>
      </c>
    </row>
    <row r="2147">
      <c r="A2147" t="n">
        <v>2146</v>
      </c>
      <c r="B2147" t="inlineStr">
        <is>
          <t>MTR-IOS-2146</t>
        </is>
      </c>
      <c r="C2147" t="inlineStr">
        <is>
          <t>iPhone</t>
        </is>
      </c>
      <c r="D2147" t="inlineStr">
        <is>
          <t>Personal</t>
        </is>
      </c>
      <c r="E2147" t="inlineStr">
        <is>
          <t>Personal</t>
        </is>
      </c>
      <c r="F2147" t="inlineStr">
        <is>
          <t>Life Operations</t>
        </is>
      </c>
      <c r="G2147" t="inlineStr">
        <is>
          <t>Bills</t>
        </is>
      </c>
      <c r="H2147" t="inlineStr">
        <is>
          <t>Personal &gt; Life Operations &gt; Quick Add &gt; Bills</t>
        </is>
      </c>
      <c r="I2147" s="18" t="n">
        <v>999.99</v>
      </c>
      <c r="J2147" t="inlineStr">
        <is>
          <t>Created MTR-IOS-2146 and correlation note visible in Activity/Pulse</t>
        </is>
      </c>
      <c r="K2147" t="inlineStr">
        <is>
          <t>NOT_RUN</t>
        </is>
      </c>
      <c r="P2147" t="n">
        <v>0</v>
      </c>
      <c r="Q2147" t="n">
        <v>2146</v>
      </c>
    </row>
    <row r="2148">
      <c r="A2148" t="n">
        <v>2147</v>
      </c>
      <c r="B2148" t="inlineStr">
        <is>
          <t>MTR-IOS-2147</t>
        </is>
      </c>
      <c r="C2148" t="inlineStr">
        <is>
          <t>iPhone</t>
        </is>
      </c>
      <c r="D2148" t="inlineStr">
        <is>
          <t>Group</t>
        </is>
      </c>
      <c r="E2148" t="inlineStr">
        <is>
          <t>Shared Experience</t>
        </is>
      </c>
      <c r="F2148" t="inlineStr">
        <is>
          <t>House Party</t>
        </is>
      </c>
      <c r="G2148" t="inlineStr">
        <is>
          <t>Food</t>
        </is>
      </c>
      <c r="H2148" t="inlineStr">
        <is>
          <t>Group &gt; House Party &gt; Quick Add &gt; Food</t>
        </is>
      </c>
      <c r="I2148" s="18" t="n">
        <v>22590.27</v>
      </c>
      <c r="J2148" t="inlineStr">
        <is>
          <t>Created MTR-IOS-2147 and correlation note visible in Activity/Pulse</t>
        </is>
      </c>
      <c r="K2148" t="inlineStr">
        <is>
          <t>NOT_RUN</t>
        </is>
      </c>
      <c r="P2148" t="n">
        <v>0</v>
      </c>
      <c r="Q2148" t="n">
        <v>2147</v>
      </c>
    </row>
    <row r="2149">
      <c r="A2149" t="n">
        <v>2148</v>
      </c>
      <c r="B2149" t="inlineStr">
        <is>
          <t>MTR-IOS-2148</t>
        </is>
      </c>
      <c r="C2149" t="inlineStr">
        <is>
          <t>iPhone</t>
        </is>
      </c>
      <c r="D2149" t="inlineStr">
        <is>
          <t>Business</t>
        </is>
      </c>
      <c r="E2149" t="inlineStr">
        <is>
          <t>Business</t>
        </is>
      </c>
      <c r="F2149" t="inlineStr">
        <is>
          <t>Team Operations</t>
        </is>
      </c>
      <c r="G2149" t="inlineStr">
        <is>
          <t>Contractor</t>
        </is>
      </c>
      <c r="H2149" t="inlineStr">
        <is>
          <t>Business &gt; Team Operations &gt; Quick Add &gt; Contractor</t>
        </is>
      </c>
      <c r="I2149" s="18" t="n">
        <v>80583.91</v>
      </c>
      <c r="J2149" t="inlineStr">
        <is>
          <t>Created MTR-IOS-2148 and correlation note visible in Activity/Pulse</t>
        </is>
      </c>
      <c r="K2149" t="inlineStr">
        <is>
          <t>NOT_RUN</t>
        </is>
      </c>
      <c r="P2149" t="n">
        <v>0</v>
      </c>
      <c r="Q2149" t="n">
        <v>2148</v>
      </c>
    </row>
    <row r="2150">
      <c r="A2150" t="n">
        <v>2149</v>
      </c>
      <c r="B2150" t="inlineStr">
        <is>
          <t>MTR-IOS-2149</t>
        </is>
      </c>
      <c r="C2150" t="inlineStr">
        <is>
          <t>iPhone</t>
        </is>
      </c>
      <c r="D2150" t="inlineStr">
        <is>
          <t>Personal</t>
        </is>
      </c>
      <c r="E2150" t="inlineStr">
        <is>
          <t>Personal</t>
        </is>
      </c>
      <c r="F2150" t="inlineStr">
        <is>
          <t>Life Operations</t>
        </is>
      </c>
      <c r="G2150" t="inlineStr">
        <is>
          <t>Transport</t>
        </is>
      </c>
      <c r="H2150" t="inlineStr">
        <is>
          <t>Personal &gt; Life Operations &gt; Quick Add &gt; Transport</t>
        </is>
      </c>
      <c r="I2150" s="18" t="n">
        <v>9243.41</v>
      </c>
      <c r="J2150" t="inlineStr">
        <is>
          <t>Created MTR-IOS-2149 and correlation note visible in Activity/Pulse</t>
        </is>
      </c>
      <c r="K2150" t="inlineStr">
        <is>
          <t>NOT_RUN</t>
        </is>
      </c>
      <c r="P2150" t="n">
        <v>0</v>
      </c>
      <c r="Q2150" t="n">
        <v>2149</v>
      </c>
    </row>
    <row r="2151">
      <c r="A2151" t="n">
        <v>2150</v>
      </c>
      <c r="B2151" t="inlineStr">
        <is>
          <t>MTR-IOS-2150</t>
        </is>
      </c>
      <c r="C2151" t="inlineStr">
        <is>
          <t>iPhone</t>
        </is>
      </c>
      <c r="D2151" t="inlineStr">
        <is>
          <t>Group</t>
        </is>
      </c>
      <c r="E2151" t="inlineStr">
        <is>
          <t>Shared Experience</t>
        </is>
      </c>
      <c r="F2151" t="inlineStr">
        <is>
          <t>House Party</t>
        </is>
      </c>
      <c r="G2151" t="inlineStr">
        <is>
          <t>Drinks</t>
        </is>
      </c>
      <c r="H2151" t="inlineStr">
        <is>
          <t>Group &gt; House Party &gt; Quick Add &gt; Drinks</t>
        </is>
      </c>
      <c r="I2151" s="18" t="n">
        <v>18589.34</v>
      </c>
      <c r="J2151" t="inlineStr">
        <is>
          <t>Created MTR-IOS-2150 and correlation note visible in Activity/Pulse</t>
        </is>
      </c>
      <c r="K2151" t="inlineStr">
        <is>
          <t>NOT_RUN</t>
        </is>
      </c>
      <c r="P2151" t="n">
        <v>0</v>
      </c>
      <c r="Q2151" t="n">
        <v>2150</v>
      </c>
    </row>
    <row r="2152">
      <c r="A2152" t="n">
        <v>2151</v>
      </c>
      <c r="B2152" t="inlineStr">
        <is>
          <t>MTR-IOS-2151</t>
        </is>
      </c>
      <c r="C2152" t="inlineStr">
        <is>
          <t>iPhone</t>
        </is>
      </c>
      <c r="D2152" t="inlineStr">
        <is>
          <t>Business</t>
        </is>
      </c>
      <c r="E2152" t="inlineStr">
        <is>
          <t>Business</t>
        </is>
      </c>
      <c r="F2152" t="inlineStr">
        <is>
          <t>Team Operations</t>
        </is>
      </c>
      <c r="G2152" t="inlineStr">
        <is>
          <t>Hiring</t>
        </is>
      </c>
      <c r="H2152" t="inlineStr">
        <is>
          <t>Business &gt; Team Operations &gt; Quick Add &gt; Hiring</t>
        </is>
      </c>
      <c r="I2152" s="18" t="n">
        <v>104384.2</v>
      </c>
      <c r="J2152" t="inlineStr">
        <is>
          <t>Created MTR-IOS-2151 and correlation note visible in Activity/Pulse</t>
        </is>
      </c>
      <c r="K2152" t="inlineStr">
        <is>
          <t>NOT_RUN</t>
        </is>
      </c>
      <c r="P2152" t="n">
        <v>0</v>
      </c>
      <c r="Q2152" t="n">
        <v>2151</v>
      </c>
    </row>
    <row r="2153">
      <c r="A2153" t="n">
        <v>2152</v>
      </c>
      <c r="B2153" t="inlineStr">
        <is>
          <t>MTR-IOS-2152</t>
        </is>
      </c>
      <c r="C2153" t="inlineStr">
        <is>
          <t>iPhone</t>
        </is>
      </c>
      <c r="D2153" t="inlineStr">
        <is>
          <t>Personal</t>
        </is>
      </c>
      <c r="E2153" t="inlineStr">
        <is>
          <t>Personal</t>
        </is>
      </c>
      <c r="F2153" t="inlineStr">
        <is>
          <t>Life Operations</t>
        </is>
      </c>
      <c r="G2153" t="inlineStr">
        <is>
          <t>Healthcare</t>
        </is>
      </c>
      <c r="H2153" t="inlineStr">
        <is>
          <t>Personal &gt; Life Operations &gt; Quick Add &gt; Healthcare</t>
        </is>
      </c>
      <c r="I2153" s="18" t="n">
        <v>9096.219999999999</v>
      </c>
      <c r="J2153" t="inlineStr">
        <is>
          <t>Created MTR-IOS-2152 and correlation note visible in Activity/Pulse</t>
        </is>
      </c>
      <c r="K2153" t="inlineStr">
        <is>
          <t>NOT_RUN</t>
        </is>
      </c>
      <c r="P2153" t="n">
        <v>0</v>
      </c>
      <c r="Q2153" t="n">
        <v>2152</v>
      </c>
    </row>
    <row r="2154">
      <c r="A2154" t="n">
        <v>2153</v>
      </c>
      <c r="B2154" t="inlineStr">
        <is>
          <t>MTR-IOS-2153</t>
        </is>
      </c>
      <c r="C2154" t="inlineStr">
        <is>
          <t>iPhone</t>
        </is>
      </c>
      <c r="D2154" t="inlineStr">
        <is>
          <t>Group</t>
        </is>
      </c>
      <c r="E2154" t="inlineStr">
        <is>
          <t>Shared Experience</t>
        </is>
      </c>
      <c r="F2154" t="inlineStr">
        <is>
          <t>House Party</t>
        </is>
      </c>
      <c r="G2154" t="inlineStr">
        <is>
          <t>Decor</t>
        </is>
      </c>
      <c r="H2154" t="inlineStr">
        <is>
          <t>Group &gt; House Party &gt; Quick Add &gt; Decor</t>
        </is>
      </c>
      <c r="I2154" s="18" t="n">
        <v>7566.29</v>
      </c>
      <c r="J2154" t="inlineStr">
        <is>
          <t>Created MTR-IOS-2153 and correlation note visible in Activity/Pulse</t>
        </is>
      </c>
      <c r="K2154" t="inlineStr">
        <is>
          <t>NOT_RUN</t>
        </is>
      </c>
      <c r="P2154" t="n">
        <v>0</v>
      </c>
      <c r="Q2154" t="n">
        <v>2153</v>
      </c>
    </row>
    <row r="2155">
      <c r="A2155" t="n">
        <v>2154</v>
      </c>
      <c r="B2155" t="inlineStr">
        <is>
          <t>MTR-IOS-2154</t>
        </is>
      </c>
      <c r="C2155" t="inlineStr">
        <is>
          <t>iPhone</t>
        </is>
      </c>
      <c r="D2155" t="inlineStr">
        <is>
          <t>Business</t>
        </is>
      </c>
      <c r="E2155" t="inlineStr">
        <is>
          <t>Business</t>
        </is>
      </c>
      <c r="F2155" t="inlineStr">
        <is>
          <t>Team Operations</t>
        </is>
      </c>
      <c r="G2155" t="inlineStr">
        <is>
          <t>Team Meal</t>
        </is>
      </c>
      <c r="H2155" t="inlineStr">
        <is>
          <t>Business &gt; Team Operations &gt; Quick Add &gt; Team Meal</t>
        </is>
      </c>
      <c r="I2155" s="18" t="n">
        <v>86876.3</v>
      </c>
      <c r="J2155" t="inlineStr">
        <is>
          <t>Created MTR-IOS-2154 and correlation note visible in Activity/Pulse</t>
        </is>
      </c>
      <c r="K2155" t="inlineStr">
        <is>
          <t>NOT_RUN</t>
        </is>
      </c>
      <c r="P2155" t="n">
        <v>0</v>
      </c>
      <c r="Q2155" t="n">
        <v>2154</v>
      </c>
    </row>
    <row r="2156">
      <c r="A2156" t="n">
        <v>2155</v>
      </c>
      <c r="B2156" t="inlineStr">
        <is>
          <t>MTR-IOS-2155</t>
        </is>
      </c>
      <c r="C2156" t="inlineStr">
        <is>
          <t>iPhone</t>
        </is>
      </c>
      <c r="D2156" t="inlineStr">
        <is>
          <t>Personal</t>
        </is>
      </c>
      <c r="E2156" t="inlineStr">
        <is>
          <t>Personal</t>
        </is>
      </c>
      <c r="F2156" t="inlineStr">
        <is>
          <t>Life Operations</t>
        </is>
      </c>
      <c r="G2156" t="inlineStr">
        <is>
          <t>Subscriptions</t>
        </is>
      </c>
      <c r="H2156" t="inlineStr">
        <is>
          <t>Personal &gt; Life Operations &gt; Quick Add &gt; Subscriptions</t>
        </is>
      </c>
      <c r="I2156" s="18" t="n">
        <v>11242.2</v>
      </c>
      <c r="J2156" t="inlineStr">
        <is>
          <t>Created MTR-IOS-2155 and correlation note visible in Activity/Pulse</t>
        </is>
      </c>
      <c r="K2156" t="inlineStr">
        <is>
          <t>NOT_RUN</t>
        </is>
      </c>
      <c r="P2156" t="n">
        <v>0</v>
      </c>
      <c r="Q2156" t="n">
        <v>2155</v>
      </c>
    </row>
    <row r="2157">
      <c r="A2157" t="n">
        <v>2156</v>
      </c>
      <c r="B2157" t="inlineStr">
        <is>
          <t>MTR-IOS-2156</t>
        </is>
      </c>
      <c r="C2157" t="inlineStr">
        <is>
          <t>iPhone</t>
        </is>
      </c>
      <c r="D2157" t="inlineStr">
        <is>
          <t>Group</t>
        </is>
      </c>
      <c r="E2157" t="inlineStr">
        <is>
          <t>Shared Experience</t>
        </is>
      </c>
      <c r="F2157" t="inlineStr">
        <is>
          <t>House Party</t>
        </is>
      </c>
      <c r="G2157" t="inlineStr">
        <is>
          <t>Supplies</t>
        </is>
      </c>
      <c r="H2157" t="inlineStr">
        <is>
          <t>Group &gt; House Party &gt; Quick Add &gt; Supplies</t>
        </is>
      </c>
      <c r="I2157" s="18" t="n">
        <v>20343.15</v>
      </c>
      <c r="J2157" t="inlineStr">
        <is>
          <t>Created MTR-IOS-2156 and correlation note visible in Activity/Pulse</t>
        </is>
      </c>
      <c r="K2157" t="inlineStr">
        <is>
          <t>NOT_RUN</t>
        </is>
      </c>
      <c r="P2157" t="n">
        <v>0</v>
      </c>
      <c r="Q2157" t="n">
        <v>2156</v>
      </c>
    </row>
    <row r="2158">
      <c r="A2158" t="n">
        <v>2157</v>
      </c>
      <c r="B2158" t="inlineStr">
        <is>
          <t>MTR-IOS-2157</t>
        </is>
      </c>
      <c r="C2158" t="inlineStr">
        <is>
          <t>iPhone</t>
        </is>
      </c>
      <c r="D2158" t="inlineStr">
        <is>
          <t>Business</t>
        </is>
      </c>
      <c r="E2158" t="inlineStr">
        <is>
          <t>Business</t>
        </is>
      </c>
      <c r="F2158" t="inlineStr">
        <is>
          <t>Team Operations</t>
        </is>
      </c>
      <c r="G2158" t="inlineStr">
        <is>
          <t>Travel</t>
        </is>
      </c>
      <c r="H2158" t="inlineStr">
        <is>
          <t>Business &gt; Team Operations &gt; Quick Add &gt; Travel</t>
        </is>
      </c>
      <c r="I2158" s="18" t="n">
        <v>28058.99</v>
      </c>
      <c r="J2158" t="inlineStr">
        <is>
          <t>Created MTR-IOS-2157 and correlation note visible in Activity/Pulse</t>
        </is>
      </c>
      <c r="K2158" t="inlineStr">
        <is>
          <t>NOT_RUN</t>
        </is>
      </c>
      <c r="P2158" t="n">
        <v>0</v>
      </c>
      <c r="Q2158" t="n">
        <v>2157</v>
      </c>
    </row>
    <row r="2159">
      <c r="A2159" t="n">
        <v>2158</v>
      </c>
      <c r="B2159" t="inlineStr">
        <is>
          <t>MTR-IOS-2158</t>
        </is>
      </c>
      <c r="C2159" t="inlineStr">
        <is>
          <t>iPhone</t>
        </is>
      </c>
      <c r="D2159" t="inlineStr">
        <is>
          <t>Personal</t>
        </is>
      </c>
      <c r="E2159" t="inlineStr">
        <is>
          <t>Personal</t>
        </is>
      </c>
      <c r="F2159" t="inlineStr">
        <is>
          <t>Life Operations</t>
        </is>
      </c>
      <c r="G2159" t="inlineStr">
        <is>
          <t>Repairs</t>
        </is>
      </c>
      <c r="H2159" t="inlineStr">
        <is>
          <t>Personal &gt; Life Operations &gt; Quick Add &gt; Repairs</t>
        </is>
      </c>
      <c r="I2159" s="18" t="n">
        <v>8276.610000000001</v>
      </c>
      <c r="J2159" t="inlineStr">
        <is>
          <t>Created MTR-IOS-2158 and correlation note visible in Activity/Pulse</t>
        </is>
      </c>
      <c r="K2159" t="inlineStr">
        <is>
          <t>NOT_RUN</t>
        </is>
      </c>
      <c r="P2159" t="n">
        <v>0</v>
      </c>
      <c r="Q2159" t="n">
        <v>2158</v>
      </c>
    </row>
    <row r="2160">
      <c r="A2160" t="n">
        <v>2159</v>
      </c>
      <c r="B2160" t="inlineStr">
        <is>
          <t>MTR-IOS-2159</t>
        </is>
      </c>
      <c r="C2160" t="inlineStr">
        <is>
          <t>iPhone</t>
        </is>
      </c>
      <c r="D2160" t="inlineStr">
        <is>
          <t>Group</t>
        </is>
      </c>
      <c r="E2160" t="inlineStr">
        <is>
          <t>Shared Experience</t>
        </is>
      </c>
      <c r="F2160" t="inlineStr">
        <is>
          <t>House Party</t>
        </is>
      </c>
      <c r="G2160" t="inlineStr">
        <is>
          <t>Other</t>
        </is>
      </c>
      <c r="H2160" t="inlineStr">
        <is>
          <t>Group &gt; House Party &gt; Quick Add &gt; Other</t>
        </is>
      </c>
      <c r="I2160" s="18" t="n">
        <v>19743.71</v>
      </c>
      <c r="J2160" t="inlineStr">
        <is>
          <t>Created MTR-IOS-2159 and correlation note visible in Activity/Pulse</t>
        </is>
      </c>
      <c r="K2160" t="inlineStr">
        <is>
          <t>NOT_RUN</t>
        </is>
      </c>
      <c r="P2160" t="n">
        <v>0</v>
      </c>
      <c r="Q2160" t="n">
        <v>2159</v>
      </c>
    </row>
    <row r="2161">
      <c r="A2161" t="n">
        <v>2160</v>
      </c>
      <c r="B2161" t="inlineStr">
        <is>
          <t>MTR-IOS-2160</t>
        </is>
      </c>
      <c r="C2161" t="inlineStr">
        <is>
          <t>iPhone</t>
        </is>
      </c>
      <c r="D2161" t="inlineStr">
        <is>
          <t>Business</t>
        </is>
      </c>
      <c r="E2161" t="inlineStr">
        <is>
          <t>Business</t>
        </is>
      </c>
      <c r="F2161" t="inlineStr">
        <is>
          <t>Team Operations</t>
        </is>
      </c>
      <c r="G2161" t="inlineStr">
        <is>
          <t>Training</t>
        </is>
      </c>
      <c r="H2161" t="inlineStr">
        <is>
          <t>Business &gt; Team Operations &gt; Quick Add &gt; Training</t>
        </is>
      </c>
      <c r="I2161" s="18" t="n">
        <v>54179.91</v>
      </c>
      <c r="J2161" t="inlineStr">
        <is>
          <t>Created MTR-IOS-2160 and correlation note visible in Activity/Pulse</t>
        </is>
      </c>
      <c r="K2161" t="inlineStr">
        <is>
          <t>NOT_RUN</t>
        </is>
      </c>
      <c r="P2161" t="n">
        <v>0</v>
      </c>
      <c r="Q2161" t="n">
        <v>2160</v>
      </c>
    </row>
    <row r="2162">
      <c r="A2162" t="n">
        <v>2161</v>
      </c>
      <c r="B2162" t="inlineStr">
        <is>
          <t>MTR-IOS-2161</t>
        </is>
      </c>
      <c r="C2162" t="inlineStr">
        <is>
          <t>iPhone</t>
        </is>
      </c>
      <c r="D2162" t="inlineStr">
        <is>
          <t>Personal</t>
        </is>
      </c>
      <c r="E2162" t="inlineStr">
        <is>
          <t>Personal</t>
        </is>
      </c>
      <c r="F2162" t="inlineStr">
        <is>
          <t>Future Building</t>
        </is>
      </c>
      <c r="G2162" t="inlineStr">
        <is>
          <t>Savings</t>
        </is>
      </c>
      <c r="H2162" t="inlineStr">
        <is>
          <t>Personal &gt; Future Building &gt; Quick Add &gt; Savings</t>
        </is>
      </c>
      <c r="I2162" s="18" t="n">
        <v>16782.96</v>
      </c>
      <c r="J2162" t="inlineStr">
        <is>
          <t>Created MTR-IOS-2161 and correlation note visible in Activity/Pulse</t>
        </is>
      </c>
      <c r="K2162" t="inlineStr">
        <is>
          <t>NOT_RUN</t>
        </is>
      </c>
      <c r="P2162" t="n">
        <v>0</v>
      </c>
      <c r="Q2162" t="n">
        <v>2161</v>
      </c>
    </row>
    <row r="2163">
      <c r="A2163" t="n">
        <v>2162</v>
      </c>
      <c r="B2163" t="inlineStr">
        <is>
          <t>MTR-IOS-2162</t>
        </is>
      </c>
      <c r="C2163" t="inlineStr">
        <is>
          <t>iPhone</t>
        </is>
      </c>
      <c r="D2163" t="inlineStr">
        <is>
          <t>Group</t>
        </is>
      </c>
      <c r="E2163" t="inlineStr">
        <is>
          <t>Shared Purchase</t>
        </is>
      </c>
      <c r="F2163" t="inlineStr">
        <is>
          <t>Gift Pool</t>
        </is>
      </c>
      <c r="G2163" t="inlineStr">
        <is>
          <t>Contribution</t>
        </is>
      </c>
      <c r="H2163" t="inlineStr">
        <is>
          <t>Group &gt; Gift Pool &gt; Quick Add &gt; Contribution</t>
        </is>
      </c>
      <c r="I2163" s="18" t="n">
        <v>25631.33</v>
      </c>
      <c r="J2163" t="inlineStr">
        <is>
          <t>Created MTR-IOS-2162 and correlation note visible in Activity/Pulse</t>
        </is>
      </c>
      <c r="K2163" t="inlineStr">
        <is>
          <t>NOT_RUN</t>
        </is>
      </c>
      <c r="P2163" t="n">
        <v>0</v>
      </c>
      <c r="Q2163" t="n">
        <v>2162</v>
      </c>
    </row>
    <row r="2164">
      <c r="A2164" t="n">
        <v>2163</v>
      </c>
      <c r="B2164" t="inlineStr">
        <is>
          <t>MTR-IOS-2163</t>
        </is>
      </c>
      <c r="C2164" t="inlineStr">
        <is>
          <t>iPhone</t>
        </is>
      </c>
      <c r="D2164" t="inlineStr">
        <is>
          <t>Business</t>
        </is>
      </c>
      <c r="E2164" t="inlineStr">
        <is>
          <t>Business</t>
        </is>
      </c>
      <c r="F2164" t="inlineStr">
        <is>
          <t>Team Operations</t>
        </is>
      </c>
      <c r="G2164" t="inlineStr">
        <is>
          <t>Tools</t>
        </is>
      </c>
      <c r="H2164" t="inlineStr">
        <is>
          <t>Business &gt; Team Operations &gt; Quick Add &gt; Tools</t>
        </is>
      </c>
      <c r="I2164" s="18" t="n">
        <v>1634.89</v>
      </c>
      <c r="J2164" t="inlineStr">
        <is>
          <t>Created MTR-IOS-2163 and correlation note visible in Activity/Pulse</t>
        </is>
      </c>
      <c r="K2164" t="inlineStr">
        <is>
          <t>NOT_RUN</t>
        </is>
      </c>
      <c r="P2164" t="n">
        <v>0</v>
      </c>
      <c r="Q2164" t="n">
        <v>2163</v>
      </c>
    </row>
    <row r="2165">
      <c r="A2165" t="n">
        <v>2164</v>
      </c>
      <c r="B2165" t="inlineStr">
        <is>
          <t>MTR-IOS-2164</t>
        </is>
      </c>
      <c r="C2165" t="inlineStr">
        <is>
          <t>iPhone</t>
        </is>
      </c>
      <c r="D2165" t="inlineStr">
        <is>
          <t>Personal</t>
        </is>
      </c>
      <c r="E2165" t="inlineStr">
        <is>
          <t>Personal</t>
        </is>
      </c>
      <c r="F2165" t="inlineStr">
        <is>
          <t>Future Building</t>
        </is>
      </c>
      <c r="G2165" t="inlineStr">
        <is>
          <t>Emergency Fund</t>
        </is>
      </c>
      <c r="H2165" t="inlineStr">
        <is>
          <t>Personal &gt; Future Building &gt; Quick Add &gt; Emergency Fund</t>
        </is>
      </c>
      <c r="I2165" s="18" t="n">
        <v>2769.68</v>
      </c>
      <c r="J2165" t="inlineStr">
        <is>
          <t>Created MTR-IOS-2164 and correlation note visible in Activity/Pulse</t>
        </is>
      </c>
      <c r="K2165" t="inlineStr">
        <is>
          <t>NOT_RUN</t>
        </is>
      </c>
      <c r="P2165" t="n">
        <v>0</v>
      </c>
      <c r="Q2165" t="n">
        <v>2164</v>
      </c>
    </row>
    <row r="2166">
      <c r="A2166" t="n">
        <v>2165</v>
      </c>
      <c r="B2166" t="inlineStr">
        <is>
          <t>MTR-IOS-2165</t>
        </is>
      </c>
      <c r="C2166" t="inlineStr">
        <is>
          <t>iPhone</t>
        </is>
      </c>
      <c r="D2166" t="inlineStr">
        <is>
          <t>Group</t>
        </is>
      </c>
      <c r="E2166" t="inlineStr">
        <is>
          <t>Shared Purchase</t>
        </is>
      </c>
      <c r="F2166" t="inlineStr">
        <is>
          <t>Gift Pool</t>
        </is>
      </c>
      <c r="G2166" t="inlineStr">
        <is>
          <t>Gift Purchase</t>
        </is>
      </c>
      <c r="H2166" t="inlineStr">
        <is>
          <t>Group &gt; Gift Pool &gt; Quick Add &gt; Gift Purchase</t>
        </is>
      </c>
      <c r="I2166" s="18" t="n">
        <v>4654.46</v>
      </c>
      <c r="J2166" t="inlineStr">
        <is>
          <t>Created MTR-IOS-2165 and correlation note visible in Activity/Pulse</t>
        </is>
      </c>
      <c r="K2166" t="inlineStr">
        <is>
          <t>NOT_RUN</t>
        </is>
      </c>
      <c r="P2166" t="n">
        <v>0</v>
      </c>
      <c r="Q2166" t="n">
        <v>2165</v>
      </c>
    </row>
    <row r="2167">
      <c r="A2167" t="n">
        <v>2166</v>
      </c>
      <c r="B2167" t="inlineStr">
        <is>
          <t>MTR-IOS-2166</t>
        </is>
      </c>
      <c r="C2167" t="inlineStr">
        <is>
          <t>iPhone</t>
        </is>
      </c>
      <c r="D2167" t="inlineStr">
        <is>
          <t>Business</t>
        </is>
      </c>
      <c r="E2167" t="inlineStr">
        <is>
          <t>Business</t>
        </is>
      </c>
      <c r="F2167" t="inlineStr">
        <is>
          <t>Business Runway</t>
        </is>
      </c>
      <c r="G2167" t="inlineStr">
        <is>
          <t>Funding</t>
        </is>
      </c>
      <c r="H2167" t="inlineStr">
        <is>
          <t>Business &gt; Business Runway &gt; Quick Add &gt; Funding</t>
        </is>
      </c>
      <c r="I2167" s="18" t="n">
        <v>116069.88</v>
      </c>
      <c r="J2167" t="inlineStr">
        <is>
          <t>Created MTR-IOS-2166 and correlation note visible in Activity/Pulse</t>
        </is>
      </c>
      <c r="K2167" t="inlineStr">
        <is>
          <t>NOT_RUN</t>
        </is>
      </c>
      <c r="P2167" t="n">
        <v>0</v>
      </c>
      <c r="Q2167" t="n">
        <v>2166</v>
      </c>
    </row>
    <row r="2168">
      <c r="A2168" t="n">
        <v>2167</v>
      </c>
      <c r="B2168" t="inlineStr">
        <is>
          <t>MTR-IOS-2167</t>
        </is>
      </c>
      <c r="C2168" t="inlineStr">
        <is>
          <t>iPhone</t>
        </is>
      </c>
      <c r="D2168" t="inlineStr">
        <is>
          <t>Personal</t>
        </is>
      </c>
      <c r="E2168" t="inlineStr">
        <is>
          <t>Personal</t>
        </is>
      </c>
      <c r="F2168" t="inlineStr">
        <is>
          <t>Future Building</t>
        </is>
      </c>
      <c r="G2168" t="inlineStr">
        <is>
          <t>Investments</t>
        </is>
      </c>
      <c r="H2168" t="inlineStr">
        <is>
          <t>Personal &gt; Future Building &gt; Quick Add &gt; Investments</t>
        </is>
      </c>
      <c r="I2168" s="18" t="n">
        <v>13940.6</v>
      </c>
      <c r="J2168" t="inlineStr">
        <is>
          <t>Created MTR-IOS-2167 and correlation note visible in Activity/Pulse</t>
        </is>
      </c>
      <c r="K2168" t="inlineStr">
        <is>
          <t>NOT_RUN</t>
        </is>
      </c>
      <c r="P2168" t="n">
        <v>0</v>
      </c>
      <c r="Q2168" t="n">
        <v>2167</v>
      </c>
    </row>
    <row r="2169">
      <c r="A2169" t="n">
        <v>2168</v>
      </c>
      <c r="B2169" t="inlineStr">
        <is>
          <t>MTR-IOS-2168</t>
        </is>
      </c>
      <c r="C2169" t="inlineStr">
        <is>
          <t>iPhone</t>
        </is>
      </c>
      <c r="D2169" t="inlineStr">
        <is>
          <t>Group</t>
        </is>
      </c>
      <c r="E2169" t="inlineStr">
        <is>
          <t>Shared Purchase</t>
        </is>
      </c>
      <c r="F2169" t="inlineStr">
        <is>
          <t>Gift Pool</t>
        </is>
      </c>
      <c r="G2169" t="inlineStr">
        <is>
          <t>Delivery</t>
        </is>
      </c>
      <c r="H2169" t="inlineStr">
        <is>
          <t>Group &gt; Gift Pool &gt; Quick Add &gt; Delivery</t>
        </is>
      </c>
      <c r="I2169" s="18" t="n">
        <v>105.78</v>
      </c>
      <c r="J2169" t="inlineStr">
        <is>
          <t>Created MTR-IOS-2168 and correlation note visible in Activity/Pulse</t>
        </is>
      </c>
      <c r="K2169" t="inlineStr">
        <is>
          <t>NOT_RUN</t>
        </is>
      </c>
      <c r="P2169" t="n">
        <v>0</v>
      </c>
      <c r="Q2169" t="n">
        <v>2168</v>
      </c>
    </row>
    <row r="2170">
      <c r="A2170" t="n">
        <v>2169</v>
      </c>
      <c r="B2170" t="inlineStr">
        <is>
          <t>MTR-IOS-2169</t>
        </is>
      </c>
      <c r="C2170" t="inlineStr">
        <is>
          <t>iPhone</t>
        </is>
      </c>
      <c r="D2170" t="inlineStr">
        <is>
          <t>Business</t>
        </is>
      </c>
      <c r="E2170" t="inlineStr">
        <is>
          <t>Business</t>
        </is>
      </c>
      <c r="F2170" t="inlineStr">
        <is>
          <t>Business Runway</t>
        </is>
      </c>
      <c r="G2170" t="inlineStr">
        <is>
          <t>Revenue</t>
        </is>
      </c>
      <c r="H2170" t="inlineStr">
        <is>
          <t>Business &gt; Business Runway &gt; Quick Add &gt; Revenue</t>
        </is>
      </c>
      <c r="I2170" s="18" t="n">
        <v>110769.03</v>
      </c>
      <c r="J2170" t="inlineStr">
        <is>
          <t>Created MTR-IOS-2169 and correlation note visible in Activity/Pulse</t>
        </is>
      </c>
      <c r="K2170" t="inlineStr">
        <is>
          <t>NOT_RUN</t>
        </is>
      </c>
      <c r="P2170" t="n">
        <v>0</v>
      </c>
      <c r="Q2170" t="n">
        <v>2169</v>
      </c>
    </row>
    <row r="2171">
      <c r="A2171" t="n">
        <v>2170</v>
      </c>
      <c r="B2171" t="inlineStr">
        <is>
          <t>MTR-IOS-2170</t>
        </is>
      </c>
      <c r="C2171" t="inlineStr">
        <is>
          <t>iPhone</t>
        </is>
      </c>
      <c r="D2171" t="inlineStr">
        <is>
          <t>Personal</t>
        </is>
      </c>
      <c r="E2171" t="inlineStr">
        <is>
          <t>Personal</t>
        </is>
      </c>
      <c r="F2171" t="inlineStr">
        <is>
          <t>Future Building</t>
        </is>
      </c>
      <c r="G2171" t="inlineStr">
        <is>
          <t>Education</t>
        </is>
      </c>
      <c r="H2171" t="inlineStr">
        <is>
          <t>Personal &gt; Future Building &gt; Quick Add &gt; Education</t>
        </is>
      </c>
      <c r="I2171" s="18" t="n">
        <v>14678.39</v>
      </c>
      <c r="J2171" t="inlineStr">
        <is>
          <t>Created MTR-IOS-2170 and correlation note visible in Activity/Pulse</t>
        </is>
      </c>
      <c r="K2171" t="inlineStr">
        <is>
          <t>NOT_RUN</t>
        </is>
      </c>
      <c r="P2171" t="n">
        <v>0</v>
      </c>
      <c r="Q2171" t="n">
        <v>2170</v>
      </c>
    </row>
    <row r="2172">
      <c r="A2172" t="n">
        <v>2171</v>
      </c>
      <c r="B2172" t="inlineStr">
        <is>
          <t>MTR-IOS-2171</t>
        </is>
      </c>
      <c r="C2172" t="inlineStr">
        <is>
          <t>iPhone</t>
        </is>
      </c>
      <c r="D2172" t="inlineStr">
        <is>
          <t>Group</t>
        </is>
      </c>
      <c r="E2172" t="inlineStr">
        <is>
          <t>Shared Purchase</t>
        </is>
      </c>
      <c r="F2172" t="inlineStr">
        <is>
          <t>Gift Pool</t>
        </is>
      </c>
      <c r="G2172" t="inlineStr">
        <is>
          <t>Other</t>
        </is>
      </c>
      <c r="H2172" t="inlineStr">
        <is>
          <t>Group &gt; Gift Pool &gt; Quick Add &gt; Other</t>
        </is>
      </c>
      <c r="I2172" s="18" t="n">
        <v>23623.64</v>
      </c>
      <c r="J2172" t="inlineStr">
        <is>
          <t>Created MTR-IOS-2171 and correlation note visible in Activity/Pulse</t>
        </is>
      </c>
      <c r="K2172" t="inlineStr">
        <is>
          <t>NOT_RUN</t>
        </is>
      </c>
      <c r="P2172" t="n">
        <v>0</v>
      </c>
      <c r="Q2172" t="n">
        <v>2171</v>
      </c>
    </row>
    <row r="2173">
      <c r="A2173" t="n">
        <v>2172</v>
      </c>
      <c r="B2173" t="inlineStr">
        <is>
          <t>MTR-IOS-2172</t>
        </is>
      </c>
      <c r="C2173" t="inlineStr">
        <is>
          <t>iPhone</t>
        </is>
      </c>
      <c r="D2173" t="inlineStr">
        <is>
          <t>Business</t>
        </is>
      </c>
      <c r="E2173" t="inlineStr">
        <is>
          <t>Business</t>
        </is>
      </c>
      <c r="F2173" t="inlineStr">
        <is>
          <t>Business Runway</t>
        </is>
      </c>
      <c r="G2173" t="inlineStr">
        <is>
          <t>Burn</t>
        </is>
      </c>
      <c r="H2173" t="inlineStr">
        <is>
          <t>Business &gt; Business Runway &gt; Quick Add &gt; Burn</t>
        </is>
      </c>
      <c r="I2173" s="18" t="n">
        <v>151438.81</v>
      </c>
      <c r="J2173" t="inlineStr">
        <is>
          <t>Created MTR-IOS-2172 and correlation note visible in Activity/Pulse</t>
        </is>
      </c>
      <c r="K2173" t="inlineStr">
        <is>
          <t>NOT_RUN</t>
        </is>
      </c>
      <c r="P2173" t="n">
        <v>0</v>
      </c>
      <c r="Q2173" t="n">
        <v>2172</v>
      </c>
    </row>
    <row r="2174">
      <c r="A2174" t="n">
        <v>2173</v>
      </c>
      <c r="B2174" t="inlineStr">
        <is>
          <t>MTR-IOS-2173</t>
        </is>
      </c>
      <c r="C2174" t="inlineStr">
        <is>
          <t>iPhone</t>
        </is>
      </c>
      <c r="D2174" t="inlineStr">
        <is>
          <t>Personal</t>
        </is>
      </c>
      <c r="E2174" t="inlineStr">
        <is>
          <t>Personal</t>
        </is>
      </c>
      <c r="F2174" t="inlineStr">
        <is>
          <t>Future Building</t>
        </is>
      </c>
      <c r="G2174" t="inlineStr">
        <is>
          <t>Goal Contribution</t>
        </is>
      </c>
      <c r="H2174" t="inlineStr">
        <is>
          <t>Personal &gt; Future Building &gt; Quick Add &gt; Goal Contribution</t>
        </is>
      </c>
      <c r="I2174" s="18" t="n">
        <v>9999.66</v>
      </c>
      <c r="J2174" t="inlineStr">
        <is>
          <t>Created MTR-IOS-2173 and correlation note visible in Activity/Pulse</t>
        </is>
      </c>
      <c r="K2174" t="inlineStr">
        <is>
          <t>NOT_RUN</t>
        </is>
      </c>
      <c r="P2174" t="n">
        <v>0</v>
      </c>
      <c r="Q2174" t="n">
        <v>2173</v>
      </c>
    </row>
    <row r="2175">
      <c r="A2175" t="n">
        <v>2174</v>
      </c>
      <c r="B2175" t="inlineStr">
        <is>
          <t>MTR-IOS-2174</t>
        </is>
      </c>
      <c r="C2175" t="inlineStr">
        <is>
          <t>iPhone</t>
        </is>
      </c>
      <c r="D2175" t="inlineStr">
        <is>
          <t>Group</t>
        </is>
      </c>
      <c r="E2175" t="inlineStr">
        <is>
          <t>Shared Purchase</t>
        </is>
      </c>
      <c r="F2175" t="inlineStr">
        <is>
          <t>Purchase</t>
        </is>
      </c>
      <c r="G2175" t="inlineStr">
        <is>
          <t>Item</t>
        </is>
      </c>
      <c r="H2175" t="inlineStr">
        <is>
          <t>Group &gt; Purchase &gt; Quick Add &gt; Item</t>
        </is>
      </c>
      <c r="I2175" s="18" t="n">
        <v>18906.99</v>
      </c>
      <c r="J2175" t="inlineStr">
        <is>
          <t>Created MTR-IOS-2174 and correlation note visible in Activity/Pulse</t>
        </is>
      </c>
      <c r="K2175" t="inlineStr">
        <is>
          <t>NOT_RUN</t>
        </is>
      </c>
      <c r="P2175" t="n">
        <v>0</v>
      </c>
      <c r="Q2175" t="n">
        <v>2174</v>
      </c>
    </row>
    <row r="2176">
      <c r="A2176" t="n">
        <v>2175</v>
      </c>
      <c r="B2176" t="inlineStr">
        <is>
          <t>MTR-IOS-2175</t>
        </is>
      </c>
      <c r="C2176" t="inlineStr">
        <is>
          <t>iPhone</t>
        </is>
      </c>
      <c r="D2176" t="inlineStr">
        <is>
          <t>Business</t>
        </is>
      </c>
      <c r="E2176" t="inlineStr">
        <is>
          <t>Business</t>
        </is>
      </c>
      <c r="F2176" t="inlineStr">
        <is>
          <t>Business Runway</t>
        </is>
      </c>
      <c r="G2176" t="inlineStr">
        <is>
          <t>Reserve</t>
        </is>
      </c>
      <c r="H2176" t="inlineStr">
        <is>
          <t>Business &gt; Business Runway &gt; Quick Add &gt; Reserve</t>
        </is>
      </c>
      <c r="I2176" s="18" t="n">
        <v>22340.97</v>
      </c>
      <c r="J2176" t="inlineStr">
        <is>
          <t>Created MTR-IOS-2175 and correlation note visible in Activity/Pulse</t>
        </is>
      </c>
      <c r="K2176" t="inlineStr">
        <is>
          <t>NOT_RUN</t>
        </is>
      </c>
      <c r="P2176" t="n">
        <v>0</v>
      </c>
      <c r="Q2176" t="n">
        <v>2175</v>
      </c>
    </row>
    <row r="2177">
      <c r="A2177" t="n">
        <v>2176</v>
      </c>
      <c r="B2177" t="inlineStr">
        <is>
          <t>MTR-IOS-2176</t>
        </is>
      </c>
      <c r="C2177" t="inlineStr">
        <is>
          <t>iPhone</t>
        </is>
      </c>
      <c r="D2177" t="inlineStr">
        <is>
          <t>Personal</t>
        </is>
      </c>
      <c r="E2177" t="inlineStr">
        <is>
          <t>Personal</t>
        </is>
      </c>
      <c r="F2177" t="inlineStr">
        <is>
          <t>Lifestyle</t>
        </is>
      </c>
      <c r="G2177" t="inlineStr">
        <is>
          <t>Dining</t>
        </is>
      </c>
      <c r="H2177" t="inlineStr">
        <is>
          <t>Personal &gt; Lifestyle &gt; Quick Add &gt; Dining</t>
        </is>
      </c>
      <c r="I2177" s="18" t="n">
        <v>1966.24</v>
      </c>
      <c r="J2177" t="inlineStr">
        <is>
          <t>Created MTR-IOS-2176 and correlation note visible in Activity/Pulse</t>
        </is>
      </c>
      <c r="K2177" t="inlineStr">
        <is>
          <t>NOT_RUN</t>
        </is>
      </c>
      <c r="P2177" t="n">
        <v>0</v>
      </c>
      <c r="Q2177" t="n">
        <v>2176</v>
      </c>
    </row>
    <row r="2178">
      <c r="A2178" t="n">
        <v>2177</v>
      </c>
      <c r="B2178" t="inlineStr">
        <is>
          <t>MTR-IOS-2177</t>
        </is>
      </c>
      <c r="C2178" t="inlineStr">
        <is>
          <t>iPhone</t>
        </is>
      </c>
      <c r="D2178" t="inlineStr">
        <is>
          <t>Group</t>
        </is>
      </c>
      <c r="E2178" t="inlineStr">
        <is>
          <t>Shared Purchase</t>
        </is>
      </c>
      <c r="F2178" t="inlineStr">
        <is>
          <t>Purchase</t>
        </is>
      </c>
      <c r="G2178" t="inlineStr">
        <is>
          <t>Shipping</t>
        </is>
      </c>
      <c r="H2178" t="inlineStr">
        <is>
          <t>Group &gt; Purchase &gt; Quick Add &gt; Shipping</t>
        </is>
      </c>
      <c r="I2178" s="18" t="n">
        <v>6741.32</v>
      </c>
      <c r="J2178" t="inlineStr">
        <is>
          <t>Created MTR-IOS-2177 and correlation note visible in Activity/Pulse</t>
        </is>
      </c>
      <c r="K2178" t="inlineStr">
        <is>
          <t>NOT_RUN</t>
        </is>
      </c>
      <c r="P2178" t="n">
        <v>0</v>
      </c>
      <c r="Q2178" t="n">
        <v>2177</v>
      </c>
    </row>
    <row r="2179">
      <c r="A2179" t="n">
        <v>2178</v>
      </c>
      <c r="B2179" t="inlineStr">
        <is>
          <t>MTR-IOS-2178</t>
        </is>
      </c>
      <c r="C2179" t="inlineStr">
        <is>
          <t>iPhone</t>
        </is>
      </c>
      <c r="D2179" t="inlineStr">
        <is>
          <t>Business</t>
        </is>
      </c>
      <c r="E2179" t="inlineStr">
        <is>
          <t>Business</t>
        </is>
      </c>
      <c r="F2179" t="inlineStr">
        <is>
          <t>Business Runway</t>
        </is>
      </c>
      <c r="G2179" t="inlineStr">
        <is>
          <t>Loan</t>
        </is>
      </c>
      <c r="H2179" t="inlineStr">
        <is>
          <t>Business &gt; Business Runway &gt; Quick Add &gt; Loan</t>
        </is>
      </c>
      <c r="I2179" s="18" t="n">
        <v>150103.67</v>
      </c>
      <c r="J2179" t="inlineStr">
        <is>
          <t>Created MTR-IOS-2178 and correlation note visible in Activity/Pulse</t>
        </is>
      </c>
      <c r="K2179" t="inlineStr">
        <is>
          <t>NOT_RUN</t>
        </is>
      </c>
      <c r="P2179" t="n">
        <v>0</v>
      </c>
      <c r="Q2179" t="n">
        <v>2178</v>
      </c>
    </row>
    <row r="2180">
      <c r="A2180" t="n">
        <v>2179</v>
      </c>
      <c r="B2180" t="inlineStr">
        <is>
          <t>MTR-IOS-2179</t>
        </is>
      </c>
      <c r="C2180" t="inlineStr">
        <is>
          <t>iPhone</t>
        </is>
      </c>
      <c r="D2180" t="inlineStr">
        <is>
          <t>Personal</t>
        </is>
      </c>
      <c r="E2180" t="inlineStr">
        <is>
          <t>Personal</t>
        </is>
      </c>
      <c r="F2180" t="inlineStr">
        <is>
          <t>Lifestyle</t>
        </is>
      </c>
      <c r="G2180" t="inlineStr">
        <is>
          <t>Shopping</t>
        </is>
      </c>
      <c r="H2180" t="inlineStr">
        <is>
          <t>Personal &gt; Lifestyle &gt; Quick Add &gt; Shopping</t>
        </is>
      </c>
      <c r="I2180" s="18" t="n">
        <v>7783.19</v>
      </c>
      <c r="J2180" t="inlineStr">
        <is>
          <t>Created MTR-IOS-2179 and correlation note visible in Activity/Pulse</t>
        </is>
      </c>
      <c r="K2180" t="inlineStr">
        <is>
          <t>NOT_RUN</t>
        </is>
      </c>
      <c r="P2180" t="n">
        <v>0</v>
      </c>
      <c r="Q2180" t="n">
        <v>2179</v>
      </c>
    </row>
    <row r="2181">
      <c r="A2181" t="n">
        <v>2180</v>
      </c>
      <c r="B2181" t="inlineStr">
        <is>
          <t>MTR-IOS-2180</t>
        </is>
      </c>
      <c r="C2181" t="inlineStr">
        <is>
          <t>iPhone</t>
        </is>
      </c>
      <c r="D2181" t="inlineStr">
        <is>
          <t>Group</t>
        </is>
      </c>
      <c r="E2181" t="inlineStr">
        <is>
          <t>Shared Purchase</t>
        </is>
      </c>
      <c r="F2181" t="inlineStr">
        <is>
          <t>Purchase</t>
        </is>
      </c>
      <c r="G2181" t="inlineStr">
        <is>
          <t>Tax</t>
        </is>
      </c>
      <c r="H2181" t="inlineStr">
        <is>
          <t>Group &gt; Purchase &gt; Quick Add &gt; Tax</t>
        </is>
      </c>
      <c r="I2181" s="18" t="n">
        <v>752.41</v>
      </c>
      <c r="J2181" t="inlineStr">
        <is>
          <t>Created MTR-IOS-2180 and correlation note visible in Activity/Pulse</t>
        </is>
      </c>
      <c r="K2181" t="inlineStr">
        <is>
          <t>NOT_RUN</t>
        </is>
      </c>
      <c r="P2181" t="n">
        <v>0</v>
      </c>
      <c r="Q2181" t="n">
        <v>2180</v>
      </c>
    </row>
    <row r="2182">
      <c r="A2182" t="n">
        <v>2181</v>
      </c>
      <c r="B2182" t="inlineStr">
        <is>
          <t>MTR-IOS-2181</t>
        </is>
      </c>
      <c r="C2182" t="inlineStr">
        <is>
          <t>iPhone</t>
        </is>
      </c>
      <c r="D2182" t="inlineStr">
        <is>
          <t>Business</t>
        </is>
      </c>
      <c r="E2182" t="inlineStr">
        <is>
          <t>Business</t>
        </is>
      </c>
      <c r="F2182" t="inlineStr">
        <is>
          <t>Business Runway</t>
        </is>
      </c>
      <c r="G2182" t="inlineStr">
        <is>
          <t>Investment</t>
        </is>
      </c>
      <c r="H2182" t="inlineStr">
        <is>
          <t>Business &gt; Business Runway &gt; Quick Add &gt; Investment</t>
        </is>
      </c>
      <c r="I2182" s="18" t="n">
        <v>107259.27</v>
      </c>
      <c r="J2182" t="inlineStr">
        <is>
          <t>Created MTR-IOS-2181 and correlation note visible in Activity/Pulse</t>
        </is>
      </c>
      <c r="K2182" t="inlineStr">
        <is>
          <t>NOT_RUN</t>
        </is>
      </c>
      <c r="P2182" t="n">
        <v>0</v>
      </c>
      <c r="Q2182" t="n">
        <v>2181</v>
      </c>
    </row>
    <row r="2183">
      <c r="A2183" t="n">
        <v>2182</v>
      </c>
      <c r="B2183" t="inlineStr">
        <is>
          <t>MTR-IOS-2182</t>
        </is>
      </c>
      <c r="C2183" t="inlineStr">
        <is>
          <t>iPhone</t>
        </is>
      </c>
      <c r="D2183" t="inlineStr">
        <is>
          <t>Personal</t>
        </is>
      </c>
      <c r="E2183" t="inlineStr">
        <is>
          <t>Personal</t>
        </is>
      </c>
      <c r="F2183" t="inlineStr">
        <is>
          <t>Lifestyle</t>
        </is>
      </c>
      <c r="G2183" t="inlineStr">
        <is>
          <t>Entertainment</t>
        </is>
      </c>
      <c r="H2183" t="inlineStr">
        <is>
          <t>Personal &gt; Lifestyle &gt; Quick Add &gt; Entertainment</t>
        </is>
      </c>
      <c r="I2183" s="18" t="n">
        <v>1224.29</v>
      </c>
      <c r="J2183" t="inlineStr">
        <is>
          <t>Created MTR-IOS-2182 and correlation note visible in Activity/Pulse</t>
        </is>
      </c>
      <c r="K2183" t="inlineStr">
        <is>
          <t>NOT_RUN</t>
        </is>
      </c>
      <c r="P2183" t="n">
        <v>0</v>
      </c>
      <c r="Q2183" t="n">
        <v>2182</v>
      </c>
    </row>
    <row r="2184">
      <c r="A2184" t="n">
        <v>2183</v>
      </c>
      <c r="B2184" t="inlineStr">
        <is>
          <t>MTR-IOS-2183</t>
        </is>
      </c>
      <c r="C2184" t="inlineStr">
        <is>
          <t>iPhone</t>
        </is>
      </c>
      <c r="D2184" t="inlineStr">
        <is>
          <t>Group</t>
        </is>
      </c>
      <c r="E2184" t="inlineStr">
        <is>
          <t>Shared Purchase</t>
        </is>
      </c>
      <c r="F2184" t="inlineStr">
        <is>
          <t>Purchase</t>
        </is>
      </c>
      <c r="G2184" t="inlineStr">
        <is>
          <t>Other</t>
        </is>
      </c>
      <c r="H2184" t="inlineStr">
        <is>
          <t>Group &gt; Purchase &gt; Quick Add &gt; Other</t>
        </is>
      </c>
      <c r="I2184" s="18" t="n">
        <v>10000</v>
      </c>
      <c r="J2184" t="inlineStr">
        <is>
          <t>Created MTR-IOS-2183 and correlation note visible in Activity/Pulse</t>
        </is>
      </c>
      <c r="K2184" t="inlineStr">
        <is>
          <t>NOT_RUN</t>
        </is>
      </c>
      <c r="P2184" t="n">
        <v>0</v>
      </c>
      <c r="Q2184" t="n">
        <v>2183</v>
      </c>
    </row>
    <row r="2185">
      <c r="A2185" t="n">
        <v>2184</v>
      </c>
      <c r="B2185" t="inlineStr">
        <is>
          <t>MTR-IOS-2184</t>
        </is>
      </c>
      <c r="C2185" t="inlineStr">
        <is>
          <t>iPhone</t>
        </is>
      </c>
      <c r="D2185" t="inlineStr">
        <is>
          <t>Business</t>
        </is>
      </c>
      <c r="E2185" t="inlineStr">
        <is>
          <t>Business</t>
        </is>
      </c>
      <c r="F2185" t="inlineStr">
        <is>
          <t>Business Operations</t>
        </is>
      </c>
      <c r="G2185" t="inlineStr">
        <is>
          <t>Software</t>
        </is>
      </c>
      <c r="H2185" t="inlineStr">
        <is>
          <t>Business &gt; Business Operations &gt; Quick Add &gt; Software</t>
        </is>
      </c>
      <c r="I2185" s="18" t="n">
        <v>75603.46000000001</v>
      </c>
      <c r="J2185" t="inlineStr">
        <is>
          <t>Created MTR-IOS-2184 and correlation note visible in Activity/Pulse</t>
        </is>
      </c>
      <c r="K2185" t="inlineStr">
        <is>
          <t>NOT_RUN</t>
        </is>
      </c>
      <c r="P2185" t="n">
        <v>0</v>
      </c>
      <c r="Q2185" t="n">
        <v>2184</v>
      </c>
    </row>
    <row r="2186">
      <c r="A2186" t="n">
        <v>2185</v>
      </c>
      <c r="B2186" t="inlineStr">
        <is>
          <t>MTR-IOS-2185</t>
        </is>
      </c>
      <c r="C2186" t="inlineStr">
        <is>
          <t>iPhone</t>
        </is>
      </c>
      <c r="D2186" t="inlineStr">
        <is>
          <t>Personal</t>
        </is>
      </c>
      <c r="E2186" t="inlineStr">
        <is>
          <t>Personal</t>
        </is>
      </c>
      <c r="F2186" t="inlineStr">
        <is>
          <t>Lifestyle</t>
        </is>
      </c>
      <c r="G2186" t="inlineStr">
        <is>
          <t>Travel</t>
        </is>
      </c>
      <c r="H2186" t="inlineStr">
        <is>
          <t>Personal &gt; Lifestyle &gt; Quick Add &gt; Travel</t>
        </is>
      </c>
      <c r="I2186" s="18" t="n">
        <v>10194.35</v>
      </c>
      <c r="J2186" t="inlineStr">
        <is>
          <t>Created MTR-IOS-2185 and correlation note visible in Activity/Pulse</t>
        </is>
      </c>
      <c r="K2186" t="inlineStr">
        <is>
          <t>NOT_RUN</t>
        </is>
      </c>
      <c r="P2186" t="n">
        <v>0</v>
      </c>
      <c r="Q2186" t="n">
        <v>2185</v>
      </c>
    </row>
    <row r="2187">
      <c r="A2187" t="n">
        <v>2186</v>
      </c>
      <c r="B2187" t="inlineStr">
        <is>
          <t>MTR-IOS-2186</t>
        </is>
      </c>
      <c r="C2187" t="inlineStr">
        <is>
          <t>iPhone</t>
        </is>
      </c>
      <c r="D2187" t="inlineStr">
        <is>
          <t>Group</t>
        </is>
      </c>
      <c r="E2187" t="inlineStr">
        <is>
          <t>Shared Purchase</t>
        </is>
      </c>
      <c r="F2187" t="inlineStr">
        <is>
          <t>Assets</t>
        </is>
      </c>
      <c r="G2187" t="inlineStr">
        <is>
          <t>Purchase</t>
        </is>
      </c>
      <c r="H2187" t="inlineStr">
        <is>
          <t>Group &gt; Assets &gt; Quick Add &gt; Purchase</t>
        </is>
      </c>
      <c r="I2187" s="18" t="n">
        <v>131.1</v>
      </c>
      <c r="J2187" t="inlineStr">
        <is>
          <t>Created MTR-IOS-2186 and correlation note visible in Activity/Pulse</t>
        </is>
      </c>
      <c r="K2187" t="inlineStr">
        <is>
          <t>NOT_RUN</t>
        </is>
      </c>
      <c r="P2187" t="n">
        <v>0</v>
      </c>
      <c r="Q2187" t="n">
        <v>2186</v>
      </c>
    </row>
    <row r="2188">
      <c r="A2188" t="n">
        <v>2187</v>
      </c>
      <c r="B2188" t="inlineStr">
        <is>
          <t>MTR-IOS-2187</t>
        </is>
      </c>
      <c r="C2188" t="inlineStr">
        <is>
          <t>iPhone</t>
        </is>
      </c>
      <c r="D2188" t="inlineStr">
        <is>
          <t>Business</t>
        </is>
      </c>
      <c r="E2188" t="inlineStr">
        <is>
          <t>Business</t>
        </is>
      </c>
      <c r="F2188" t="inlineStr">
        <is>
          <t>Business Operations</t>
        </is>
      </c>
      <c r="G2188" t="inlineStr">
        <is>
          <t>Rent</t>
        </is>
      </c>
      <c r="H2188" t="inlineStr">
        <is>
          <t>Business &gt; Business Operations &gt; Quick Add &gt; Rent</t>
        </is>
      </c>
      <c r="I2188" s="18" t="n">
        <v>162912.76</v>
      </c>
      <c r="J2188" t="inlineStr">
        <is>
          <t>Created MTR-IOS-2187 and correlation note visible in Activity/Pulse</t>
        </is>
      </c>
      <c r="K2188" t="inlineStr">
        <is>
          <t>NOT_RUN</t>
        </is>
      </c>
      <c r="P2188" t="n">
        <v>0</v>
      </c>
      <c r="Q2188" t="n">
        <v>2187</v>
      </c>
    </row>
    <row r="2189">
      <c r="A2189" t="n">
        <v>2188</v>
      </c>
      <c r="B2189" t="inlineStr">
        <is>
          <t>MTR-IOS-2188</t>
        </is>
      </c>
      <c r="C2189" t="inlineStr">
        <is>
          <t>iPhone</t>
        </is>
      </c>
      <c r="D2189" t="inlineStr">
        <is>
          <t>Personal</t>
        </is>
      </c>
      <c r="E2189" t="inlineStr">
        <is>
          <t>Personal</t>
        </is>
      </c>
      <c r="F2189" t="inlineStr">
        <is>
          <t>Lifestyle</t>
        </is>
      </c>
      <c r="G2189" t="inlineStr">
        <is>
          <t>Fitness</t>
        </is>
      </c>
      <c r="H2189" t="inlineStr">
        <is>
          <t>Personal &gt; Lifestyle &gt; Quick Add &gt; Fitness</t>
        </is>
      </c>
      <c r="I2189" s="18" t="n">
        <v>17544.23</v>
      </c>
      <c r="J2189" t="inlineStr">
        <is>
          <t>Created MTR-IOS-2188 and correlation note visible in Activity/Pulse</t>
        </is>
      </c>
      <c r="K2189" t="inlineStr">
        <is>
          <t>NOT_RUN</t>
        </is>
      </c>
      <c r="P2189" t="n">
        <v>0</v>
      </c>
      <c r="Q2189" t="n">
        <v>2188</v>
      </c>
    </row>
    <row r="2190">
      <c r="A2190" t="n">
        <v>2189</v>
      </c>
      <c r="B2190" t="inlineStr">
        <is>
          <t>MTR-IOS-2189</t>
        </is>
      </c>
      <c r="C2190" t="inlineStr">
        <is>
          <t>iPhone</t>
        </is>
      </c>
      <c r="D2190" t="inlineStr">
        <is>
          <t>Group</t>
        </is>
      </c>
      <c r="E2190" t="inlineStr">
        <is>
          <t>Shared Purchase</t>
        </is>
      </c>
      <c r="F2190" t="inlineStr">
        <is>
          <t>Assets</t>
        </is>
      </c>
      <c r="G2190" t="inlineStr">
        <is>
          <t>Maintenance</t>
        </is>
      </c>
      <c r="H2190" t="inlineStr">
        <is>
          <t>Group &gt; Assets &gt; Quick Add &gt; Maintenance</t>
        </is>
      </c>
      <c r="I2190" s="18" t="n">
        <v>14475.33</v>
      </c>
      <c r="J2190" t="inlineStr">
        <is>
          <t>Created MTR-IOS-2189 and correlation note visible in Activity/Pulse</t>
        </is>
      </c>
      <c r="K2190" t="inlineStr">
        <is>
          <t>NOT_RUN</t>
        </is>
      </c>
      <c r="P2190" t="n">
        <v>0</v>
      </c>
      <c r="Q2190" t="n">
        <v>2189</v>
      </c>
    </row>
    <row r="2191">
      <c r="A2191" t="n">
        <v>2190</v>
      </c>
      <c r="B2191" t="inlineStr">
        <is>
          <t>MTR-IOS-2190</t>
        </is>
      </c>
      <c r="C2191" t="inlineStr">
        <is>
          <t>iPhone</t>
        </is>
      </c>
      <c r="D2191" t="inlineStr">
        <is>
          <t>Business</t>
        </is>
      </c>
      <c r="E2191" t="inlineStr">
        <is>
          <t>Business</t>
        </is>
      </c>
      <c r="F2191" t="inlineStr">
        <is>
          <t>Business Operations</t>
        </is>
      </c>
      <c r="G2191" t="inlineStr">
        <is>
          <t>Marketing</t>
        </is>
      </c>
      <c r="H2191" t="inlineStr">
        <is>
          <t>Business &gt; Business Operations &gt; Quick Add &gt; Marketing</t>
        </is>
      </c>
      <c r="I2191" s="18" t="n">
        <v>124607.32</v>
      </c>
      <c r="J2191" t="inlineStr">
        <is>
          <t>Created MTR-IOS-2190 and correlation note visible in Activity/Pulse</t>
        </is>
      </c>
      <c r="K2191" t="inlineStr">
        <is>
          <t>NOT_RUN</t>
        </is>
      </c>
      <c r="P2191" t="n">
        <v>0</v>
      </c>
      <c r="Q2191" t="n">
        <v>2190</v>
      </c>
    </row>
    <row r="2192">
      <c r="A2192" t="n">
        <v>2191</v>
      </c>
      <c r="B2192" t="inlineStr">
        <is>
          <t>MTR-IOS-2191</t>
        </is>
      </c>
      <c r="C2192" t="inlineStr">
        <is>
          <t>iPhone</t>
        </is>
      </c>
      <c r="D2192" t="inlineStr">
        <is>
          <t>Personal</t>
        </is>
      </c>
      <c r="E2192" t="inlineStr">
        <is>
          <t>Personal</t>
        </is>
      </c>
      <c r="F2192" t="inlineStr">
        <is>
          <t>Lifestyle</t>
        </is>
      </c>
      <c r="G2192" t="inlineStr">
        <is>
          <t>Hobbies</t>
        </is>
      </c>
      <c r="H2192" t="inlineStr">
        <is>
          <t>Personal &gt; Lifestyle &gt; Quick Add &gt; Hobbies</t>
        </is>
      </c>
      <c r="I2192" s="18" t="n">
        <v>3924.69</v>
      </c>
      <c r="J2192" t="inlineStr">
        <is>
          <t>Created MTR-IOS-2191 and correlation note visible in Activity/Pulse</t>
        </is>
      </c>
      <c r="K2192" t="inlineStr">
        <is>
          <t>NOT_RUN</t>
        </is>
      </c>
      <c r="P2192" t="n">
        <v>0</v>
      </c>
      <c r="Q2192" t="n">
        <v>2191</v>
      </c>
    </row>
    <row r="2193">
      <c r="A2193" t="n">
        <v>2192</v>
      </c>
      <c r="B2193" t="inlineStr">
        <is>
          <t>MTR-IOS-2192</t>
        </is>
      </c>
      <c r="C2193" t="inlineStr">
        <is>
          <t>iPhone</t>
        </is>
      </c>
      <c r="D2193" t="inlineStr">
        <is>
          <t>Group</t>
        </is>
      </c>
      <c r="E2193" t="inlineStr">
        <is>
          <t>Shared Purchase</t>
        </is>
      </c>
      <c r="F2193" t="inlineStr">
        <is>
          <t>Assets</t>
        </is>
      </c>
      <c r="G2193" t="inlineStr">
        <is>
          <t>Repair</t>
        </is>
      </c>
      <c r="H2193" t="inlineStr">
        <is>
          <t>Group &gt; Assets &gt; Quick Add &gt; Repair</t>
        </is>
      </c>
      <c r="I2193" s="18" t="n">
        <v>1534.34</v>
      </c>
      <c r="J2193" t="inlineStr">
        <is>
          <t>Created MTR-IOS-2192 and correlation note visible in Activity/Pulse</t>
        </is>
      </c>
      <c r="K2193" t="inlineStr">
        <is>
          <t>NOT_RUN</t>
        </is>
      </c>
      <c r="P2193" t="n">
        <v>0</v>
      </c>
      <c r="Q2193" t="n">
        <v>2192</v>
      </c>
    </row>
    <row r="2194">
      <c r="A2194" t="n">
        <v>2193</v>
      </c>
      <c r="B2194" t="inlineStr">
        <is>
          <t>MTR-IOS-2193</t>
        </is>
      </c>
      <c r="C2194" t="inlineStr">
        <is>
          <t>iPhone</t>
        </is>
      </c>
      <c r="D2194" t="inlineStr">
        <is>
          <t>Business</t>
        </is>
      </c>
      <c r="E2194" t="inlineStr">
        <is>
          <t>Business</t>
        </is>
      </c>
      <c r="F2194" t="inlineStr">
        <is>
          <t>Business Operations</t>
        </is>
      </c>
      <c r="G2194" t="inlineStr">
        <is>
          <t>Legal</t>
        </is>
      </c>
      <c r="H2194" t="inlineStr">
        <is>
          <t>Business &gt; Business Operations &gt; Quick Add &gt; Legal</t>
        </is>
      </c>
      <c r="I2194" s="18" t="n">
        <v>30646.29</v>
      </c>
      <c r="J2194" t="inlineStr">
        <is>
          <t>Created MTR-IOS-2193 and correlation note visible in Activity/Pulse</t>
        </is>
      </c>
      <c r="K2194" t="inlineStr">
        <is>
          <t>NOT_RUN</t>
        </is>
      </c>
      <c r="P2194" t="n">
        <v>0</v>
      </c>
      <c r="Q2194" t="n">
        <v>2193</v>
      </c>
    </row>
    <row r="2195">
      <c r="A2195" t="n">
        <v>2194</v>
      </c>
      <c r="B2195" t="inlineStr">
        <is>
          <t>MTR-IOS-2194</t>
        </is>
      </c>
      <c r="C2195" t="inlineStr">
        <is>
          <t>iPhone</t>
        </is>
      </c>
      <c r="D2195" t="inlineStr">
        <is>
          <t>Personal</t>
        </is>
      </c>
      <c r="E2195" t="inlineStr">
        <is>
          <t>Personal</t>
        </is>
      </c>
      <c r="F2195" t="inlineStr">
        <is>
          <t>Relationships</t>
        </is>
      </c>
      <c r="G2195" t="inlineStr">
        <is>
          <t>Gifts</t>
        </is>
      </c>
      <c r="H2195" t="inlineStr">
        <is>
          <t>Personal &gt; Relationships &gt; Quick Add &gt; Gifts</t>
        </is>
      </c>
      <c r="I2195" s="18" t="n">
        <v>11851.23</v>
      </c>
      <c r="J2195" t="inlineStr">
        <is>
          <t>Created MTR-IOS-2194 and correlation note visible in Activity/Pulse</t>
        </is>
      </c>
      <c r="K2195" t="inlineStr">
        <is>
          <t>NOT_RUN</t>
        </is>
      </c>
      <c r="P2195" t="n">
        <v>0</v>
      </c>
      <c r="Q2195" t="n">
        <v>2194</v>
      </c>
    </row>
    <row r="2196">
      <c r="A2196" t="n">
        <v>2195</v>
      </c>
      <c r="B2196" t="inlineStr">
        <is>
          <t>MTR-IOS-2195</t>
        </is>
      </c>
      <c r="C2196" t="inlineStr">
        <is>
          <t>iPhone</t>
        </is>
      </c>
      <c r="D2196" t="inlineStr">
        <is>
          <t>Group</t>
        </is>
      </c>
      <c r="E2196" t="inlineStr">
        <is>
          <t>Shared Purchase</t>
        </is>
      </c>
      <c r="F2196" t="inlineStr">
        <is>
          <t>Assets</t>
        </is>
      </c>
      <c r="G2196" t="inlineStr">
        <is>
          <t>Insurance</t>
        </is>
      </c>
      <c r="H2196" t="inlineStr">
        <is>
          <t>Group &gt; Assets &gt; Quick Add &gt; Insurance</t>
        </is>
      </c>
      <c r="I2196" s="18" t="n">
        <v>8104.27</v>
      </c>
      <c r="J2196" t="inlineStr">
        <is>
          <t>Created MTR-IOS-2195 and correlation note visible in Activity/Pulse</t>
        </is>
      </c>
      <c r="K2196" t="inlineStr">
        <is>
          <t>NOT_RUN</t>
        </is>
      </c>
      <c r="P2196" t="n">
        <v>0</v>
      </c>
      <c r="Q2196" t="n">
        <v>2195</v>
      </c>
    </row>
    <row r="2197">
      <c r="A2197" t="n">
        <v>2196</v>
      </c>
      <c r="B2197" t="inlineStr">
        <is>
          <t>MTR-IOS-2196</t>
        </is>
      </c>
      <c r="C2197" t="inlineStr">
        <is>
          <t>iPhone</t>
        </is>
      </c>
      <c r="D2197" t="inlineStr">
        <is>
          <t>Business</t>
        </is>
      </c>
      <c r="E2197" t="inlineStr">
        <is>
          <t>Business</t>
        </is>
      </c>
      <c r="F2197" t="inlineStr">
        <is>
          <t>Business Operations</t>
        </is>
      </c>
      <c r="G2197" t="inlineStr">
        <is>
          <t>Accounting</t>
        </is>
      </c>
      <c r="H2197" t="inlineStr">
        <is>
          <t>Business &gt; Business Operations &gt; Quick Add &gt; Accounting</t>
        </is>
      </c>
      <c r="I2197" s="18" t="n">
        <v>12804.86</v>
      </c>
      <c r="J2197" t="inlineStr">
        <is>
          <t>Created MTR-IOS-2196 and correlation note visible in Activity/Pulse</t>
        </is>
      </c>
      <c r="K2197" t="inlineStr">
        <is>
          <t>NOT_RUN</t>
        </is>
      </c>
      <c r="P2197" t="n">
        <v>0</v>
      </c>
      <c r="Q2197" t="n">
        <v>2196</v>
      </c>
    </row>
    <row r="2198">
      <c r="A2198" t="n">
        <v>2197</v>
      </c>
      <c r="B2198" t="inlineStr">
        <is>
          <t>MTR-IOS-2197</t>
        </is>
      </c>
      <c r="C2198" t="inlineStr">
        <is>
          <t>iPhone</t>
        </is>
      </c>
      <c r="D2198" t="inlineStr">
        <is>
          <t>Personal</t>
        </is>
      </c>
      <c r="E2198" t="inlineStr">
        <is>
          <t>Personal</t>
        </is>
      </c>
      <c r="F2198" t="inlineStr">
        <is>
          <t>Relationships</t>
        </is>
      </c>
      <c r="G2198" t="inlineStr">
        <is>
          <t>Dates</t>
        </is>
      </c>
      <c r="H2198" t="inlineStr">
        <is>
          <t>Personal &gt; Relationships &gt; Quick Add &gt; Dates</t>
        </is>
      </c>
      <c r="I2198" s="18" t="n">
        <v>2855.95</v>
      </c>
      <c r="J2198" t="inlineStr">
        <is>
          <t>Created MTR-IOS-2197 and correlation note visible in Activity/Pulse</t>
        </is>
      </c>
      <c r="K2198" t="inlineStr">
        <is>
          <t>NOT_RUN</t>
        </is>
      </c>
      <c r="P2198" t="n">
        <v>0</v>
      </c>
      <c r="Q2198" t="n">
        <v>2197</v>
      </c>
    </row>
    <row r="2199">
      <c r="A2199" t="n">
        <v>2198</v>
      </c>
      <c r="B2199" t="inlineStr">
        <is>
          <t>MTR-IOS-2198</t>
        </is>
      </c>
      <c r="C2199" t="inlineStr">
        <is>
          <t>iPhone</t>
        </is>
      </c>
      <c r="D2199" t="inlineStr">
        <is>
          <t>Group</t>
        </is>
      </c>
      <c r="E2199" t="inlineStr">
        <is>
          <t>Shared Purchase</t>
        </is>
      </c>
      <c r="F2199" t="inlineStr">
        <is>
          <t>Assets</t>
        </is>
      </c>
      <c r="G2199" t="inlineStr">
        <is>
          <t>Other</t>
        </is>
      </c>
      <c r="H2199" t="inlineStr">
        <is>
          <t>Group &gt; Assets &gt; Quick Add &gt; Other</t>
        </is>
      </c>
      <c r="I2199" s="18" t="n">
        <v>5267.78</v>
      </c>
      <c r="J2199" t="inlineStr">
        <is>
          <t>Created MTR-IOS-2198 and correlation note visible in Activity/Pulse</t>
        </is>
      </c>
      <c r="K2199" t="inlineStr">
        <is>
          <t>NOT_RUN</t>
        </is>
      </c>
      <c r="P2199" t="n">
        <v>0</v>
      </c>
      <c r="Q2199" t="n">
        <v>2198</v>
      </c>
    </row>
    <row r="2200">
      <c r="A2200" t="n">
        <v>2199</v>
      </c>
      <c r="B2200" t="inlineStr">
        <is>
          <t>MTR-IOS-2199</t>
        </is>
      </c>
      <c r="C2200" t="inlineStr">
        <is>
          <t>iPhone</t>
        </is>
      </c>
      <c r="D2200" t="inlineStr">
        <is>
          <t>Business</t>
        </is>
      </c>
      <c r="E2200" t="inlineStr">
        <is>
          <t>Business</t>
        </is>
      </c>
      <c r="F2200" t="inlineStr">
        <is>
          <t>Business Operations</t>
        </is>
      </c>
      <c r="G2200" t="inlineStr">
        <is>
          <t>Equipment</t>
        </is>
      </c>
      <c r="H2200" t="inlineStr">
        <is>
          <t>Business &gt; Business Operations &gt; Quick Add &gt; Equipment</t>
        </is>
      </c>
      <c r="I2200" s="18" t="n">
        <v>41207.12</v>
      </c>
      <c r="J2200" t="inlineStr">
        <is>
          <t>Created MTR-IOS-2199 and correlation note visible in Activity/Pulse</t>
        </is>
      </c>
      <c r="K2200" t="inlineStr">
        <is>
          <t>NOT_RUN</t>
        </is>
      </c>
      <c r="P2200" t="n">
        <v>0</v>
      </c>
      <c r="Q2200" t="n">
        <v>2199</v>
      </c>
    </row>
    <row r="2201">
      <c r="A2201" t="n">
        <v>2200</v>
      </c>
      <c r="B2201" t="inlineStr">
        <is>
          <t>MTR-IOS-2200</t>
        </is>
      </c>
      <c r="C2201" t="inlineStr">
        <is>
          <t>iPhone</t>
        </is>
      </c>
      <c r="D2201" t="inlineStr">
        <is>
          <t>Personal</t>
        </is>
      </c>
      <c r="E2201" t="inlineStr">
        <is>
          <t>Personal</t>
        </is>
      </c>
      <c r="F2201" t="inlineStr">
        <is>
          <t>Relationships</t>
        </is>
      </c>
      <c r="G2201" t="inlineStr">
        <is>
          <t>Family</t>
        </is>
      </c>
      <c r="H2201" t="inlineStr">
        <is>
          <t>Personal &gt; Relationships &gt; Quick Add &gt; Family</t>
        </is>
      </c>
      <c r="I2201" s="18" t="n">
        <v>17690.02</v>
      </c>
      <c r="J2201" t="inlineStr">
        <is>
          <t>Created MTR-IOS-2200 and correlation note visible in Activity/Pulse</t>
        </is>
      </c>
      <c r="K2201" t="inlineStr">
        <is>
          <t>NOT_RUN</t>
        </is>
      </c>
      <c r="P2201" t="n">
        <v>0</v>
      </c>
      <c r="Q2201" t="n">
        <v>2200</v>
      </c>
    </row>
    <row r="2202">
      <c r="A2202" t="n">
        <v>2201</v>
      </c>
      <c r="B2202" t="inlineStr">
        <is>
          <t>MTR-IOS-2201</t>
        </is>
      </c>
      <c r="C2202" t="inlineStr">
        <is>
          <t>iPhone</t>
        </is>
      </c>
      <c r="D2202" t="inlineStr">
        <is>
          <t>Group</t>
        </is>
      </c>
      <c r="E2202" t="inlineStr">
        <is>
          <t>Shared Purchase</t>
        </is>
      </c>
      <c r="F2202" t="inlineStr">
        <is>
          <t>Custom Purchase</t>
        </is>
      </c>
      <c r="G2202" t="inlineStr">
        <is>
          <t>Custom Expense</t>
        </is>
      </c>
      <c r="H2202" t="inlineStr">
        <is>
          <t>Group &gt; Custom Purchase &gt; Quick Add &gt; Custom Expense</t>
        </is>
      </c>
      <c r="I2202" s="18" t="n">
        <v>13524.05</v>
      </c>
      <c r="J2202" t="inlineStr">
        <is>
          <t>Created MTR-IOS-2201 and correlation note visible in Activity/Pulse</t>
        </is>
      </c>
      <c r="K2202" t="inlineStr">
        <is>
          <t>NOT_RUN</t>
        </is>
      </c>
      <c r="P2202" t="n">
        <v>0</v>
      </c>
      <c r="Q2202" t="n">
        <v>2201</v>
      </c>
    </row>
    <row r="2203">
      <c r="A2203" t="n">
        <v>2202</v>
      </c>
      <c r="B2203" t="inlineStr">
        <is>
          <t>MTR-IOS-2202</t>
        </is>
      </c>
      <c r="C2203" t="inlineStr">
        <is>
          <t>iPhone</t>
        </is>
      </c>
      <c r="D2203" t="inlineStr">
        <is>
          <t>Business</t>
        </is>
      </c>
      <c r="E2203" t="inlineStr">
        <is>
          <t>Business</t>
        </is>
      </c>
      <c r="F2203" t="inlineStr">
        <is>
          <t>Business Operations</t>
        </is>
      </c>
      <c r="G2203" t="inlineStr">
        <is>
          <t>Vendor</t>
        </is>
      </c>
      <c r="H2203" t="inlineStr">
        <is>
          <t>Business &gt; Business Operations &gt; Quick Add &gt; Vendor</t>
        </is>
      </c>
      <c r="I2203" s="18" t="n">
        <v>146739.45</v>
      </c>
      <c r="J2203" t="inlineStr">
        <is>
          <t>Created MTR-IOS-2202 and correlation note visible in Activity/Pulse</t>
        </is>
      </c>
      <c r="K2203" t="inlineStr">
        <is>
          <t>NOT_RUN</t>
        </is>
      </c>
      <c r="P2203" t="n">
        <v>0</v>
      </c>
      <c r="Q2203" t="n">
        <v>2202</v>
      </c>
    </row>
    <row r="2204">
      <c r="A2204" t="n">
        <v>2203</v>
      </c>
      <c r="B2204" t="inlineStr">
        <is>
          <t>MTR-IOS-2203</t>
        </is>
      </c>
      <c r="C2204" t="inlineStr">
        <is>
          <t>iPhone</t>
        </is>
      </c>
      <c r="D2204" t="inlineStr">
        <is>
          <t>Personal</t>
        </is>
      </c>
      <c r="E2204" t="inlineStr">
        <is>
          <t>Personal</t>
        </is>
      </c>
      <c r="F2204" t="inlineStr">
        <is>
          <t>Relationships</t>
        </is>
      </c>
      <c r="G2204" t="inlineStr">
        <is>
          <t>Friends</t>
        </is>
      </c>
      <c r="H2204" t="inlineStr">
        <is>
          <t>Personal &gt; Relationships &gt; Quick Add &gt; Friends</t>
        </is>
      </c>
      <c r="I2204" s="18" t="n">
        <v>2115.4</v>
      </c>
      <c r="J2204" t="inlineStr">
        <is>
          <t>Created MTR-IOS-2203 and correlation note visible in Activity/Pulse</t>
        </is>
      </c>
      <c r="K2204" t="inlineStr">
        <is>
          <t>NOT_RUN</t>
        </is>
      </c>
      <c r="P2204" t="n">
        <v>0</v>
      </c>
      <c r="Q2204" t="n">
        <v>2203</v>
      </c>
    </row>
    <row r="2205">
      <c r="A2205" t="n">
        <v>2204</v>
      </c>
      <c r="B2205" t="inlineStr">
        <is>
          <t>MTR-IOS-2204</t>
        </is>
      </c>
      <c r="C2205" t="inlineStr">
        <is>
          <t>iPhone</t>
        </is>
      </c>
      <c r="D2205" t="inlineStr">
        <is>
          <t>Group</t>
        </is>
      </c>
      <c r="E2205" t="inlineStr">
        <is>
          <t>Shared Purchase</t>
        </is>
      </c>
      <c r="F2205" t="inlineStr">
        <is>
          <t>Custom Purchase</t>
        </is>
      </c>
      <c r="G2205" t="inlineStr">
        <is>
          <t>Custom Contribution</t>
        </is>
      </c>
      <c r="H2205" t="inlineStr">
        <is>
          <t>Group &gt; Custom Purchase &gt; Quick Add &gt; Custom Contribution</t>
        </is>
      </c>
      <c r="I2205" s="18" t="n">
        <v>14680.63</v>
      </c>
      <c r="J2205" t="inlineStr">
        <is>
          <t>Created MTR-IOS-2204 and correlation note visible in Activity/Pulse</t>
        </is>
      </c>
      <c r="K2205" t="inlineStr">
        <is>
          <t>NOT_RUN</t>
        </is>
      </c>
      <c r="P2205" t="n">
        <v>0</v>
      </c>
      <c r="Q2205" t="n">
        <v>2204</v>
      </c>
    </row>
    <row r="2206">
      <c r="A2206" t="n">
        <v>2205</v>
      </c>
      <c r="B2206" t="inlineStr">
        <is>
          <t>MTR-IOS-2205</t>
        </is>
      </c>
      <c r="C2206" t="inlineStr">
        <is>
          <t>iPhone</t>
        </is>
      </c>
      <c r="D2206" t="inlineStr">
        <is>
          <t>Business</t>
        </is>
      </c>
      <c r="E2206" t="inlineStr">
        <is>
          <t>Business</t>
        </is>
      </c>
      <c r="F2206" t="inlineStr">
        <is>
          <t>Business Operations</t>
        </is>
      </c>
      <c r="G2206" t="inlineStr">
        <is>
          <t>Tax</t>
        </is>
      </c>
      <c r="H2206" t="inlineStr">
        <is>
          <t>Business &gt; Business Operations &gt; Quick Add &gt; Tax</t>
        </is>
      </c>
      <c r="I2206" s="18" t="n">
        <v>101164.73</v>
      </c>
      <c r="J2206" t="inlineStr">
        <is>
          <t>Created MTR-IOS-2205 and correlation note visible in Activity/Pulse</t>
        </is>
      </c>
      <c r="K2206" t="inlineStr">
        <is>
          <t>NOT_RUN</t>
        </is>
      </c>
      <c r="P2206" t="n">
        <v>0</v>
      </c>
      <c r="Q2206" t="n">
        <v>2205</v>
      </c>
    </row>
    <row r="2207">
      <c r="A2207" t="n">
        <v>2206</v>
      </c>
      <c r="B2207" t="inlineStr">
        <is>
          <t>MTR-IOS-2206</t>
        </is>
      </c>
      <c r="C2207" t="inlineStr">
        <is>
          <t>iPhone</t>
        </is>
      </c>
      <c r="D2207" t="inlineStr">
        <is>
          <t>Personal</t>
        </is>
      </c>
      <c r="E2207" t="inlineStr">
        <is>
          <t>Personal</t>
        </is>
      </c>
      <c r="F2207" t="inlineStr">
        <is>
          <t>Relationships</t>
        </is>
      </c>
      <c r="G2207" t="inlineStr">
        <is>
          <t>Celebrations</t>
        </is>
      </c>
      <c r="H2207" t="inlineStr">
        <is>
          <t>Personal &gt; Relationships &gt; Quick Add &gt; Celebrations</t>
        </is>
      </c>
      <c r="I2207" s="18" t="n">
        <v>13338.49</v>
      </c>
      <c r="J2207" t="inlineStr">
        <is>
          <t>Created MTR-IOS-2206 and correlation note visible in Activity/Pulse</t>
        </is>
      </c>
      <c r="K2207" t="inlineStr">
        <is>
          <t>NOT_RUN</t>
        </is>
      </c>
      <c r="P2207" t="n">
        <v>0</v>
      </c>
      <c r="Q2207" t="n">
        <v>2206</v>
      </c>
    </row>
    <row r="2208">
      <c r="A2208" t="n">
        <v>2207</v>
      </c>
      <c r="B2208" t="inlineStr">
        <is>
          <t>MTR-IOS-2207</t>
        </is>
      </c>
      <c r="C2208" t="inlineStr">
        <is>
          <t>iPhone</t>
        </is>
      </c>
      <c r="D2208" t="inlineStr">
        <is>
          <t>Group</t>
        </is>
      </c>
      <c r="E2208" t="inlineStr">
        <is>
          <t>Shared Living</t>
        </is>
      </c>
      <c r="F2208" t="inlineStr">
        <is>
          <t>Flatmates</t>
        </is>
      </c>
      <c r="G2208" t="inlineStr">
        <is>
          <t>Rent</t>
        </is>
      </c>
      <c r="H2208" t="inlineStr">
        <is>
          <t>Group &gt; Flatmates &gt; Quick Add &gt; Rent</t>
        </is>
      </c>
      <c r="I2208" s="18" t="n">
        <v>2006.72</v>
      </c>
      <c r="J2208" t="inlineStr">
        <is>
          <t>Created MTR-IOS-2207 and correlation note visible in Activity/Pulse</t>
        </is>
      </c>
      <c r="K2208" t="inlineStr">
        <is>
          <t>NOT_RUN</t>
        </is>
      </c>
      <c r="P2208" t="n">
        <v>0</v>
      </c>
      <c r="Q2208" t="n">
        <v>2207</v>
      </c>
    </row>
    <row r="2209">
      <c r="A2209" t="n">
        <v>2208</v>
      </c>
      <c r="B2209" t="inlineStr">
        <is>
          <t>MTR-IOS-2208</t>
        </is>
      </c>
      <c r="C2209" t="inlineStr">
        <is>
          <t>iPhone</t>
        </is>
      </c>
      <c r="D2209" t="inlineStr">
        <is>
          <t>Business</t>
        </is>
      </c>
      <c r="E2209" t="inlineStr">
        <is>
          <t>Business</t>
        </is>
      </c>
      <c r="F2209" t="inlineStr">
        <is>
          <t>Team Operations</t>
        </is>
      </c>
      <c r="G2209" t="inlineStr">
        <is>
          <t>Payroll</t>
        </is>
      </c>
      <c r="H2209" t="inlineStr">
        <is>
          <t>Business &gt; Team Operations &gt; Quick Add &gt; Payroll</t>
        </is>
      </c>
      <c r="I2209" s="18" t="n">
        <v>17252.62</v>
      </c>
      <c r="J2209" t="inlineStr">
        <is>
          <t>Created MTR-IOS-2208 and correlation note visible in Activity/Pulse</t>
        </is>
      </c>
      <c r="K2209" t="inlineStr">
        <is>
          <t>NOT_RUN</t>
        </is>
      </c>
      <c r="P2209" t="n">
        <v>0</v>
      </c>
      <c r="Q2209" t="n">
        <v>2208</v>
      </c>
    </row>
    <row r="2210">
      <c r="A2210" t="n">
        <v>2209</v>
      </c>
      <c r="B2210" t="inlineStr">
        <is>
          <t>MTR-IOS-2209</t>
        </is>
      </c>
      <c r="C2210" t="inlineStr">
        <is>
          <t>iPhone</t>
        </is>
      </c>
      <c r="D2210" t="inlineStr">
        <is>
          <t>Personal</t>
        </is>
      </c>
      <c r="E2210" t="inlineStr">
        <is>
          <t>Personal</t>
        </is>
      </c>
      <c r="F2210" t="inlineStr">
        <is>
          <t>Life Operations</t>
        </is>
      </c>
      <c r="G2210" t="inlineStr">
        <is>
          <t>Groceries</t>
        </is>
      </c>
      <c r="H2210" t="inlineStr">
        <is>
          <t>Personal &gt; Life Operations &gt; Quick Add &gt; Groceries</t>
        </is>
      </c>
      <c r="I2210" s="18" t="n">
        <v>1522.89</v>
      </c>
      <c r="J2210" t="inlineStr">
        <is>
          <t>Created MTR-IOS-2209 and correlation note visible in Activity/Pulse</t>
        </is>
      </c>
      <c r="K2210" t="inlineStr">
        <is>
          <t>NOT_RUN</t>
        </is>
      </c>
      <c r="P2210" t="n">
        <v>0</v>
      </c>
      <c r="Q2210" t="n">
        <v>2209</v>
      </c>
    </row>
    <row r="2211">
      <c r="A2211" t="n">
        <v>2210</v>
      </c>
      <c r="B2211" t="inlineStr">
        <is>
          <t>MTR-IOS-2210</t>
        </is>
      </c>
      <c r="C2211" t="inlineStr">
        <is>
          <t>iPhone</t>
        </is>
      </c>
      <c r="D2211" t="inlineStr">
        <is>
          <t>Group</t>
        </is>
      </c>
      <c r="E2211" t="inlineStr">
        <is>
          <t>Shared Living</t>
        </is>
      </c>
      <c r="F2211" t="inlineStr">
        <is>
          <t>Flatmates</t>
        </is>
      </c>
      <c r="G2211" t="inlineStr">
        <is>
          <t>Utilities</t>
        </is>
      </c>
      <c r="H2211" t="inlineStr">
        <is>
          <t>Group &gt; Flatmates &gt; Quick Add &gt; Utilities</t>
        </is>
      </c>
      <c r="I2211" s="18" t="n">
        <v>11321.78</v>
      </c>
      <c r="J2211" t="inlineStr">
        <is>
          <t>Created MTR-IOS-2210 and correlation note visible in Activity/Pulse</t>
        </is>
      </c>
      <c r="K2211" t="inlineStr">
        <is>
          <t>NOT_RUN</t>
        </is>
      </c>
      <c r="P2211" t="n">
        <v>0</v>
      </c>
      <c r="Q2211" t="n">
        <v>2210</v>
      </c>
    </row>
    <row r="2212">
      <c r="A2212" t="n">
        <v>2211</v>
      </c>
      <c r="B2212" t="inlineStr">
        <is>
          <t>MTR-IOS-2211</t>
        </is>
      </c>
      <c r="C2212" t="inlineStr">
        <is>
          <t>iPhone</t>
        </is>
      </c>
      <c r="D2212" t="inlineStr">
        <is>
          <t>Business</t>
        </is>
      </c>
      <c r="E2212" t="inlineStr">
        <is>
          <t>Business</t>
        </is>
      </c>
      <c r="F2212" t="inlineStr">
        <is>
          <t>Team Operations</t>
        </is>
      </c>
      <c r="G2212" t="inlineStr">
        <is>
          <t>Contractor</t>
        </is>
      </c>
      <c r="H2212" t="inlineStr">
        <is>
          <t>Business &gt; Team Operations &gt; Quick Add &gt; Contractor</t>
        </is>
      </c>
      <c r="I2212" s="18" t="n">
        <v>66634.08</v>
      </c>
      <c r="J2212" t="inlineStr">
        <is>
          <t>Created MTR-IOS-2211 and correlation note visible in Activity/Pulse</t>
        </is>
      </c>
      <c r="K2212" t="inlineStr">
        <is>
          <t>NOT_RUN</t>
        </is>
      </c>
      <c r="P2212" t="n">
        <v>0</v>
      </c>
      <c r="Q2212" t="n">
        <v>2211</v>
      </c>
    </row>
    <row r="2213">
      <c r="A2213" t="n">
        <v>2212</v>
      </c>
      <c r="B2213" t="inlineStr">
        <is>
          <t>MTR-IOS-2212</t>
        </is>
      </c>
      <c r="C2213" t="inlineStr">
        <is>
          <t>iPhone</t>
        </is>
      </c>
      <c r="D2213" t="inlineStr">
        <is>
          <t>Personal</t>
        </is>
      </c>
      <c r="E2213" t="inlineStr">
        <is>
          <t>Personal</t>
        </is>
      </c>
      <c r="F2213" t="inlineStr">
        <is>
          <t>Life Operations</t>
        </is>
      </c>
      <c r="G2213" t="inlineStr">
        <is>
          <t>Rent</t>
        </is>
      </c>
      <c r="H2213" t="inlineStr">
        <is>
          <t>Personal &gt; Life Operations &gt; Quick Add &gt; Rent</t>
        </is>
      </c>
      <c r="I2213" s="18" t="n">
        <v>961.64</v>
      </c>
      <c r="J2213" t="inlineStr">
        <is>
          <t>Created MTR-IOS-2212 and correlation note visible in Activity/Pulse</t>
        </is>
      </c>
      <c r="K2213" t="inlineStr">
        <is>
          <t>NOT_RUN</t>
        </is>
      </c>
      <c r="P2213" t="n">
        <v>0</v>
      </c>
      <c r="Q2213" t="n">
        <v>2212</v>
      </c>
    </row>
    <row r="2214">
      <c r="A2214" t="n">
        <v>2213</v>
      </c>
      <c r="B2214" t="inlineStr">
        <is>
          <t>MTR-IOS-2213</t>
        </is>
      </c>
      <c r="C2214" t="inlineStr">
        <is>
          <t>iPhone</t>
        </is>
      </c>
      <c r="D2214" t="inlineStr">
        <is>
          <t>Group</t>
        </is>
      </c>
      <c r="E2214" t="inlineStr">
        <is>
          <t>Shared Living</t>
        </is>
      </c>
      <c r="F2214" t="inlineStr">
        <is>
          <t>Flatmates</t>
        </is>
      </c>
      <c r="G2214" t="inlineStr">
        <is>
          <t>Groceries</t>
        </is>
      </c>
      <c r="H2214" t="inlineStr">
        <is>
          <t>Group &gt; Flatmates &gt; Quick Add &gt; Groceries</t>
        </is>
      </c>
      <c r="I2214" s="18" t="n">
        <v>12617.19</v>
      </c>
      <c r="J2214" t="inlineStr">
        <is>
          <t>Created MTR-IOS-2213 and correlation note visible in Activity/Pulse</t>
        </is>
      </c>
      <c r="K2214" t="inlineStr">
        <is>
          <t>NOT_RUN</t>
        </is>
      </c>
      <c r="P2214" t="n">
        <v>0</v>
      </c>
      <c r="Q2214" t="n">
        <v>2213</v>
      </c>
    </row>
    <row r="2215">
      <c r="A2215" t="n">
        <v>2214</v>
      </c>
      <c r="B2215" t="inlineStr">
        <is>
          <t>MTR-IOS-2214</t>
        </is>
      </c>
      <c r="C2215" t="inlineStr">
        <is>
          <t>iPhone</t>
        </is>
      </c>
      <c r="D2215" t="inlineStr">
        <is>
          <t>Business</t>
        </is>
      </c>
      <c r="E2215" t="inlineStr">
        <is>
          <t>Business</t>
        </is>
      </c>
      <c r="F2215" t="inlineStr">
        <is>
          <t>Team Operations</t>
        </is>
      </c>
      <c r="G2215" t="inlineStr">
        <is>
          <t>Hiring</t>
        </is>
      </c>
      <c r="H2215" t="inlineStr">
        <is>
          <t>Business &gt; Team Operations &gt; Quick Add &gt; Hiring</t>
        </is>
      </c>
      <c r="I2215" s="18" t="n">
        <v>88649.42999999999</v>
      </c>
      <c r="J2215" t="inlineStr">
        <is>
          <t>Created MTR-IOS-2214 and correlation note visible in Activity/Pulse</t>
        </is>
      </c>
      <c r="K2215" t="inlineStr">
        <is>
          <t>NOT_RUN</t>
        </is>
      </c>
      <c r="P2215" t="n">
        <v>0</v>
      </c>
      <c r="Q2215" t="n">
        <v>2214</v>
      </c>
    </row>
    <row r="2216">
      <c r="A2216" t="n">
        <v>2215</v>
      </c>
      <c r="B2216" t="inlineStr">
        <is>
          <t>MTR-IOS-2215</t>
        </is>
      </c>
      <c r="C2216" t="inlineStr">
        <is>
          <t>iPhone</t>
        </is>
      </c>
      <c r="D2216" t="inlineStr">
        <is>
          <t>Personal</t>
        </is>
      </c>
      <c r="E2216" t="inlineStr">
        <is>
          <t>Personal</t>
        </is>
      </c>
      <c r="F2216" t="inlineStr">
        <is>
          <t>Life Operations</t>
        </is>
      </c>
      <c r="G2216" t="inlineStr">
        <is>
          <t>Bills</t>
        </is>
      </c>
      <c r="H2216" t="inlineStr">
        <is>
          <t>Personal &gt; Life Operations &gt; Quick Add &gt; Bills</t>
        </is>
      </c>
      <c r="I2216" s="18" t="n">
        <v>9995.92</v>
      </c>
      <c r="J2216" t="inlineStr">
        <is>
          <t>Created MTR-IOS-2215 and correlation note visible in Activity/Pulse</t>
        </is>
      </c>
      <c r="K2216" t="inlineStr">
        <is>
          <t>NOT_RUN</t>
        </is>
      </c>
      <c r="P2216" t="n">
        <v>0</v>
      </c>
      <c r="Q2216" t="n">
        <v>2215</v>
      </c>
    </row>
    <row r="2217">
      <c r="A2217" t="n">
        <v>2216</v>
      </c>
      <c r="B2217" t="inlineStr">
        <is>
          <t>MTR-IOS-2216</t>
        </is>
      </c>
      <c r="C2217" t="inlineStr">
        <is>
          <t>iPhone</t>
        </is>
      </c>
      <c r="D2217" t="inlineStr">
        <is>
          <t>Group</t>
        </is>
      </c>
      <c r="E2217" t="inlineStr">
        <is>
          <t>Shared Living</t>
        </is>
      </c>
      <c r="F2217" t="inlineStr">
        <is>
          <t>Flatmates</t>
        </is>
      </c>
      <c r="G2217" t="inlineStr">
        <is>
          <t>Internet</t>
        </is>
      </c>
      <c r="H2217" t="inlineStr">
        <is>
          <t>Group &gt; Flatmates &gt; Quick Add &gt; Internet</t>
        </is>
      </c>
      <c r="I2217" s="18" t="n">
        <v>16842.15</v>
      </c>
      <c r="J2217" t="inlineStr">
        <is>
          <t>Created MTR-IOS-2216 and correlation note visible in Activity/Pulse</t>
        </is>
      </c>
      <c r="K2217" t="inlineStr">
        <is>
          <t>NOT_RUN</t>
        </is>
      </c>
      <c r="P2217" t="n">
        <v>0</v>
      </c>
      <c r="Q2217" t="n">
        <v>2216</v>
      </c>
    </row>
    <row r="2218">
      <c r="A2218" t="n">
        <v>2217</v>
      </c>
      <c r="B2218" t="inlineStr">
        <is>
          <t>MTR-IOS-2217</t>
        </is>
      </c>
      <c r="C2218" t="inlineStr">
        <is>
          <t>iPhone</t>
        </is>
      </c>
      <c r="D2218" t="inlineStr">
        <is>
          <t>Business</t>
        </is>
      </c>
      <c r="E2218" t="inlineStr">
        <is>
          <t>Business</t>
        </is>
      </c>
      <c r="F2218" t="inlineStr">
        <is>
          <t>Team Operations</t>
        </is>
      </c>
      <c r="G2218" t="inlineStr">
        <is>
          <t>Team Meal</t>
        </is>
      </c>
      <c r="H2218" t="inlineStr">
        <is>
          <t>Business &gt; Team Operations &gt; Quick Add &gt; Team Meal</t>
        </is>
      </c>
      <c r="I2218" s="18" t="n">
        <v>83721.10000000001</v>
      </c>
      <c r="J2218" t="inlineStr">
        <is>
          <t>Created MTR-IOS-2217 and correlation note visible in Activity/Pulse</t>
        </is>
      </c>
      <c r="K2218" t="inlineStr">
        <is>
          <t>NOT_RUN</t>
        </is>
      </c>
      <c r="P2218" t="n">
        <v>0</v>
      </c>
      <c r="Q2218" t="n">
        <v>2217</v>
      </c>
    </row>
    <row r="2219">
      <c r="A2219" t="n">
        <v>2218</v>
      </c>
      <c r="B2219" t="inlineStr">
        <is>
          <t>MTR-IOS-2218</t>
        </is>
      </c>
      <c r="C2219" t="inlineStr">
        <is>
          <t>iPhone</t>
        </is>
      </c>
      <c r="D2219" t="inlineStr">
        <is>
          <t>Personal</t>
        </is>
      </c>
      <c r="E2219" t="inlineStr">
        <is>
          <t>Personal</t>
        </is>
      </c>
      <c r="F2219" t="inlineStr">
        <is>
          <t>Life Operations</t>
        </is>
      </c>
      <c r="G2219" t="inlineStr">
        <is>
          <t>Transport</t>
        </is>
      </c>
      <c r="H2219" t="inlineStr">
        <is>
          <t>Personal &gt; Life Operations &gt; Quick Add &gt; Transport</t>
        </is>
      </c>
      <c r="I2219" s="18" t="n">
        <v>12857.55</v>
      </c>
      <c r="J2219" t="inlineStr">
        <is>
          <t>Created MTR-IOS-2218 and correlation note visible in Activity/Pulse</t>
        </is>
      </c>
      <c r="K2219" t="inlineStr">
        <is>
          <t>NOT_RUN</t>
        </is>
      </c>
      <c r="P2219" t="n">
        <v>0</v>
      </c>
      <c r="Q2219" t="n">
        <v>2218</v>
      </c>
    </row>
    <row r="2220">
      <c r="A2220" t="n">
        <v>2219</v>
      </c>
      <c r="B2220" t="inlineStr">
        <is>
          <t>MTR-IOS-2219</t>
        </is>
      </c>
      <c r="C2220" t="inlineStr">
        <is>
          <t>iPhone</t>
        </is>
      </c>
      <c r="D2220" t="inlineStr">
        <is>
          <t>Group</t>
        </is>
      </c>
      <c r="E2220" t="inlineStr">
        <is>
          <t>Shared Living</t>
        </is>
      </c>
      <c r="F2220" t="inlineStr">
        <is>
          <t>Flatmates</t>
        </is>
      </c>
      <c r="G2220" t="inlineStr">
        <is>
          <t>House Supplies</t>
        </is>
      </c>
      <c r="H2220" t="inlineStr">
        <is>
          <t>Group &gt; Flatmates &gt; Quick Add &gt; House Supplies</t>
        </is>
      </c>
      <c r="I2220" s="18" t="n">
        <v>17165.12</v>
      </c>
      <c r="J2220" t="inlineStr">
        <is>
          <t>Created MTR-IOS-2219 and correlation note visible in Activity/Pulse</t>
        </is>
      </c>
      <c r="K2220" t="inlineStr">
        <is>
          <t>NOT_RUN</t>
        </is>
      </c>
      <c r="P2220" t="n">
        <v>0</v>
      </c>
      <c r="Q2220" t="n">
        <v>2219</v>
      </c>
    </row>
    <row r="2221">
      <c r="A2221" t="n">
        <v>2220</v>
      </c>
      <c r="B2221" t="inlineStr">
        <is>
          <t>MTR-IOS-2220</t>
        </is>
      </c>
      <c r="C2221" t="inlineStr">
        <is>
          <t>iPhone</t>
        </is>
      </c>
      <c r="D2221" t="inlineStr">
        <is>
          <t>Business</t>
        </is>
      </c>
      <c r="E2221" t="inlineStr">
        <is>
          <t>Business</t>
        </is>
      </c>
      <c r="F2221" t="inlineStr">
        <is>
          <t>Team Operations</t>
        </is>
      </c>
      <c r="G2221" t="inlineStr">
        <is>
          <t>Travel</t>
        </is>
      </c>
      <c r="H2221" t="inlineStr">
        <is>
          <t>Business &gt; Team Operations &gt; Quick Add &gt; Travel</t>
        </is>
      </c>
      <c r="I2221" s="18" t="n">
        <v>0.01</v>
      </c>
      <c r="J2221" t="inlineStr">
        <is>
          <t>Created MTR-IOS-2220 and correlation note visible in Activity/Pulse</t>
        </is>
      </c>
      <c r="K2221" t="inlineStr">
        <is>
          <t>NOT_RUN</t>
        </is>
      </c>
      <c r="P2221" t="n">
        <v>0</v>
      </c>
      <c r="Q2221" t="n">
        <v>2220</v>
      </c>
    </row>
    <row r="2222">
      <c r="A2222" t="n">
        <v>2221</v>
      </c>
      <c r="B2222" t="inlineStr">
        <is>
          <t>MTR-IOS-2221</t>
        </is>
      </c>
      <c r="C2222" t="inlineStr">
        <is>
          <t>iPhone</t>
        </is>
      </c>
      <c r="D2222" t="inlineStr">
        <is>
          <t>Personal</t>
        </is>
      </c>
      <c r="E2222" t="inlineStr">
        <is>
          <t>Personal</t>
        </is>
      </c>
      <c r="F2222" t="inlineStr">
        <is>
          <t>Life Operations</t>
        </is>
      </c>
      <c r="G2222" t="inlineStr">
        <is>
          <t>Healthcare</t>
        </is>
      </c>
      <c r="H2222" t="inlineStr">
        <is>
          <t>Personal &gt; Life Operations &gt; Quick Add &gt; Healthcare</t>
        </is>
      </c>
      <c r="I2222" s="18" t="n">
        <v>1445.85</v>
      </c>
      <c r="J2222" t="inlineStr">
        <is>
          <t>Created MTR-IOS-2221 and correlation note visible in Activity/Pulse</t>
        </is>
      </c>
      <c r="K2222" t="inlineStr">
        <is>
          <t>NOT_RUN</t>
        </is>
      </c>
      <c r="P2222" t="n">
        <v>0</v>
      </c>
      <c r="Q2222" t="n">
        <v>2221</v>
      </c>
    </row>
    <row r="2223">
      <c r="A2223" t="n">
        <v>2222</v>
      </c>
      <c r="B2223" t="inlineStr">
        <is>
          <t>MTR-IOS-2222</t>
        </is>
      </c>
      <c r="C2223" t="inlineStr">
        <is>
          <t>iPhone</t>
        </is>
      </c>
      <c r="D2223" t="inlineStr">
        <is>
          <t>Group</t>
        </is>
      </c>
      <c r="E2223" t="inlineStr">
        <is>
          <t>Shared Living</t>
        </is>
      </c>
      <c r="F2223" t="inlineStr">
        <is>
          <t>Flatmates</t>
        </is>
      </c>
      <c r="G2223" t="inlineStr">
        <is>
          <t>Repairs</t>
        </is>
      </c>
      <c r="H2223" t="inlineStr">
        <is>
          <t>Group &gt; Flatmates &gt; Quick Add &gt; Repairs</t>
        </is>
      </c>
      <c r="I2223" s="18" t="n">
        <v>26562.4</v>
      </c>
      <c r="J2223" t="inlineStr">
        <is>
          <t>Created MTR-IOS-2222 and correlation note visible in Activity/Pulse</t>
        </is>
      </c>
      <c r="K2223" t="inlineStr">
        <is>
          <t>NOT_RUN</t>
        </is>
      </c>
      <c r="P2223" t="n">
        <v>0</v>
      </c>
      <c r="Q2223" t="n">
        <v>2222</v>
      </c>
    </row>
    <row r="2224">
      <c r="A2224" t="n">
        <v>2223</v>
      </c>
      <c r="B2224" t="inlineStr">
        <is>
          <t>MTR-IOS-2223</t>
        </is>
      </c>
      <c r="C2224" t="inlineStr">
        <is>
          <t>iPhone</t>
        </is>
      </c>
      <c r="D2224" t="inlineStr">
        <is>
          <t>Business</t>
        </is>
      </c>
      <c r="E2224" t="inlineStr">
        <is>
          <t>Business</t>
        </is>
      </c>
      <c r="F2224" t="inlineStr">
        <is>
          <t>Team Operations</t>
        </is>
      </c>
      <c r="G2224" t="inlineStr">
        <is>
          <t>Training</t>
        </is>
      </c>
      <c r="H2224" t="inlineStr">
        <is>
          <t>Business &gt; Team Operations &gt; Quick Add &gt; Training</t>
        </is>
      </c>
      <c r="I2224" s="18" t="n">
        <v>32334.84</v>
      </c>
      <c r="J2224" t="inlineStr">
        <is>
          <t>Created MTR-IOS-2223 and correlation note visible in Activity/Pulse</t>
        </is>
      </c>
      <c r="K2224" t="inlineStr">
        <is>
          <t>NOT_RUN</t>
        </is>
      </c>
      <c r="P2224" t="n">
        <v>0</v>
      </c>
      <c r="Q2224" t="n">
        <v>2223</v>
      </c>
    </row>
    <row r="2225">
      <c r="A2225" t="n">
        <v>2224</v>
      </c>
      <c r="B2225" t="inlineStr">
        <is>
          <t>MTR-IOS-2224</t>
        </is>
      </c>
      <c r="C2225" t="inlineStr">
        <is>
          <t>iPhone</t>
        </is>
      </c>
      <c r="D2225" t="inlineStr">
        <is>
          <t>Personal</t>
        </is>
      </c>
      <c r="E2225" t="inlineStr">
        <is>
          <t>Personal</t>
        </is>
      </c>
      <c r="F2225" t="inlineStr">
        <is>
          <t>Life Operations</t>
        </is>
      </c>
      <c r="G2225" t="inlineStr">
        <is>
          <t>Subscriptions</t>
        </is>
      </c>
      <c r="H2225" t="inlineStr">
        <is>
          <t>Personal &gt; Life Operations &gt; Quick Add &gt; Subscriptions</t>
        </is>
      </c>
      <c r="I2225" s="18" t="n">
        <v>401.63</v>
      </c>
      <c r="J2225" t="inlineStr">
        <is>
          <t>Created MTR-IOS-2224 and correlation note visible in Activity/Pulse</t>
        </is>
      </c>
      <c r="K2225" t="inlineStr">
        <is>
          <t>NOT_RUN</t>
        </is>
      </c>
      <c r="P2225" t="n">
        <v>0</v>
      </c>
      <c r="Q2225" t="n">
        <v>2224</v>
      </c>
    </row>
    <row r="2226">
      <c r="A2226" t="n">
        <v>2225</v>
      </c>
      <c r="B2226" t="inlineStr">
        <is>
          <t>MTR-IOS-2225</t>
        </is>
      </c>
      <c r="C2226" t="inlineStr">
        <is>
          <t>iPhone</t>
        </is>
      </c>
      <c r="D2226" t="inlineStr">
        <is>
          <t>Group</t>
        </is>
      </c>
      <c r="E2226" t="inlineStr">
        <is>
          <t>Shared Living</t>
        </is>
      </c>
      <c r="F2226" t="inlineStr">
        <is>
          <t>Shared Living</t>
        </is>
      </c>
      <c r="G2226" t="inlineStr">
        <is>
          <t>Rent</t>
        </is>
      </c>
      <c r="H2226" t="inlineStr">
        <is>
          <t>Group &gt; Shared Living &gt; Quick Add &gt; Rent</t>
        </is>
      </c>
      <c r="I2226" s="18" t="n">
        <v>3681.9</v>
      </c>
      <c r="J2226" t="inlineStr">
        <is>
          <t>Created MTR-IOS-2225 and correlation note visible in Activity/Pulse</t>
        </is>
      </c>
      <c r="K2226" t="inlineStr">
        <is>
          <t>NOT_RUN</t>
        </is>
      </c>
      <c r="P2226" t="n">
        <v>0</v>
      </c>
      <c r="Q2226" t="n">
        <v>2225</v>
      </c>
    </row>
    <row r="2227">
      <c r="A2227" t="n">
        <v>2226</v>
      </c>
      <c r="B2227" t="inlineStr">
        <is>
          <t>MTR-IOS-2226</t>
        </is>
      </c>
      <c r="C2227" t="inlineStr">
        <is>
          <t>iPhone</t>
        </is>
      </c>
      <c r="D2227" t="inlineStr">
        <is>
          <t>Business</t>
        </is>
      </c>
      <c r="E2227" t="inlineStr">
        <is>
          <t>Business</t>
        </is>
      </c>
      <c r="F2227" t="inlineStr">
        <is>
          <t>Team Operations</t>
        </is>
      </c>
      <c r="G2227" t="inlineStr">
        <is>
          <t>Tools</t>
        </is>
      </c>
      <c r="H2227" t="inlineStr">
        <is>
          <t>Business &gt; Team Operations &gt; Quick Add &gt; Tools</t>
        </is>
      </c>
      <c r="I2227" s="18" t="n">
        <v>28067.5</v>
      </c>
      <c r="J2227" t="inlineStr">
        <is>
          <t>Created MTR-IOS-2226 and correlation note visible in Activity/Pulse</t>
        </is>
      </c>
      <c r="K2227" t="inlineStr">
        <is>
          <t>NOT_RUN</t>
        </is>
      </c>
      <c r="P2227" t="n">
        <v>0</v>
      </c>
      <c r="Q2227" t="n">
        <v>2226</v>
      </c>
    </row>
    <row r="2228">
      <c r="A2228" t="n">
        <v>2227</v>
      </c>
      <c r="B2228" t="inlineStr">
        <is>
          <t>MTR-IOS-2227</t>
        </is>
      </c>
      <c r="C2228" t="inlineStr">
        <is>
          <t>iPhone</t>
        </is>
      </c>
      <c r="D2228" t="inlineStr">
        <is>
          <t>Personal</t>
        </is>
      </c>
      <c r="E2228" t="inlineStr">
        <is>
          <t>Personal</t>
        </is>
      </c>
      <c r="F2228" t="inlineStr">
        <is>
          <t>Life Operations</t>
        </is>
      </c>
      <c r="G2228" t="inlineStr">
        <is>
          <t>Repairs</t>
        </is>
      </c>
      <c r="H2228" t="inlineStr">
        <is>
          <t>Personal &gt; Life Operations &gt; Quick Add &gt; Repairs</t>
        </is>
      </c>
      <c r="I2228" s="18" t="n">
        <v>11908.28</v>
      </c>
      <c r="J2228" t="inlineStr">
        <is>
          <t>Created MTR-IOS-2227 and correlation note visible in Activity/Pulse</t>
        </is>
      </c>
      <c r="K2228" t="inlineStr">
        <is>
          <t>NOT_RUN</t>
        </is>
      </c>
      <c r="P2228" t="n">
        <v>0</v>
      </c>
      <c r="Q2228" t="n">
        <v>2227</v>
      </c>
    </row>
    <row r="2229">
      <c r="A2229" t="n">
        <v>2228</v>
      </c>
      <c r="B2229" t="inlineStr">
        <is>
          <t>MTR-IOS-2228</t>
        </is>
      </c>
      <c r="C2229" t="inlineStr">
        <is>
          <t>iPhone</t>
        </is>
      </c>
      <c r="D2229" t="inlineStr">
        <is>
          <t>Group</t>
        </is>
      </c>
      <c r="E2229" t="inlineStr">
        <is>
          <t>Shared Living</t>
        </is>
      </c>
      <c r="F2229" t="inlineStr">
        <is>
          <t>Shared Living</t>
        </is>
      </c>
      <c r="G2229" t="inlineStr">
        <is>
          <t>Utilities</t>
        </is>
      </c>
      <c r="H2229" t="inlineStr">
        <is>
          <t>Group &gt; Shared Living &gt; Quick Add &gt; Utilities</t>
        </is>
      </c>
      <c r="I2229" s="18" t="n">
        <v>11317.84</v>
      </c>
      <c r="J2229" t="inlineStr">
        <is>
          <t>Created MTR-IOS-2228 and correlation note visible in Activity/Pulse</t>
        </is>
      </c>
      <c r="K2229" t="inlineStr">
        <is>
          <t>NOT_RUN</t>
        </is>
      </c>
      <c r="P2229" t="n">
        <v>0</v>
      </c>
      <c r="Q2229" t="n">
        <v>2228</v>
      </c>
    </row>
    <row r="2230">
      <c r="A2230" t="n">
        <v>2229</v>
      </c>
      <c r="B2230" t="inlineStr">
        <is>
          <t>MTR-IOS-2229</t>
        </is>
      </c>
      <c r="C2230" t="inlineStr">
        <is>
          <t>iPhone</t>
        </is>
      </c>
      <c r="D2230" t="inlineStr">
        <is>
          <t>Business</t>
        </is>
      </c>
      <c r="E2230" t="inlineStr">
        <is>
          <t>Business</t>
        </is>
      </c>
      <c r="F2230" t="inlineStr">
        <is>
          <t>Business Runway</t>
        </is>
      </c>
      <c r="G2230" t="inlineStr">
        <is>
          <t>Funding</t>
        </is>
      </c>
      <c r="H2230" t="inlineStr">
        <is>
          <t>Business &gt; Business Runway &gt; Quick Add &gt; Funding</t>
        </is>
      </c>
      <c r="I2230" s="18" t="n">
        <v>9514.690000000001</v>
      </c>
      <c r="J2230" t="inlineStr">
        <is>
          <t>Created MTR-IOS-2229 and correlation note visible in Activity/Pulse</t>
        </is>
      </c>
      <c r="K2230" t="inlineStr">
        <is>
          <t>NOT_RUN</t>
        </is>
      </c>
      <c r="P2230" t="n">
        <v>0</v>
      </c>
      <c r="Q2230" t="n">
        <v>2229</v>
      </c>
    </row>
    <row r="2231">
      <c r="A2231" t="n">
        <v>2230</v>
      </c>
      <c r="B2231" t="inlineStr">
        <is>
          <t>MTR-IOS-2230</t>
        </is>
      </c>
      <c r="C2231" t="inlineStr">
        <is>
          <t>iPhone</t>
        </is>
      </c>
      <c r="D2231" t="inlineStr">
        <is>
          <t>Personal</t>
        </is>
      </c>
      <c r="E2231" t="inlineStr">
        <is>
          <t>Personal</t>
        </is>
      </c>
      <c r="F2231" t="inlineStr">
        <is>
          <t>Future Building</t>
        </is>
      </c>
      <c r="G2231" t="inlineStr">
        <is>
          <t>Savings</t>
        </is>
      </c>
      <c r="H2231" t="inlineStr">
        <is>
          <t>Personal &gt; Future Building &gt; Quick Add &gt; Savings</t>
        </is>
      </c>
      <c r="I2231" s="18" t="n">
        <v>7802.75</v>
      </c>
      <c r="J2231" t="inlineStr">
        <is>
          <t>Created MTR-IOS-2230 and correlation note visible in Activity/Pulse</t>
        </is>
      </c>
      <c r="K2231" t="inlineStr">
        <is>
          <t>NOT_RUN</t>
        </is>
      </c>
      <c r="P2231" t="n">
        <v>0</v>
      </c>
      <c r="Q2231" t="n">
        <v>2230</v>
      </c>
    </row>
    <row r="2232">
      <c r="A2232" t="n">
        <v>2231</v>
      </c>
      <c r="B2232" t="inlineStr">
        <is>
          <t>MTR-IOS-2231</t>
        </is>
      </c>
      <c r="C2232" t="inlineStr">
        <is>
          <t>iPhone</t>
        </is>
      </c>
      <c r="D2232" t="inlineStr">
        <is>
          <t>Group</t>
        </is>
      </c>
      <c r="E2232" t="inlineStr">
        <is>
          <t>Shared Living</t>
        </is>
      </c>
      <c r="F2232" t="inlineStr">
        <is>
          <t>Shared Living</t>
        </is>
      </c>
      <c r="G2232" t="inlineStr">
        <is>
          <t>Groceries</t>
        </is>
      </c>
      <c r="H2232" t="inlineStr">
        <is>
          <t>Group &gt; Shared Living &gt; Quick Add &gt; Groceries</t>
        </is>
      </c>
      <c r="I2232" s="18" t="n">
        <v>23481.83</v>
      </c>
      <c r="J2232" t="inlineStr">
        <is>
          <t>Created MTR-IOS-2231 and correlation note visible in Activity/Pulse</t>
        </is>
      </c>
      <c r="K2232" t="inlineStr">
        <is>
          <t>NOT_RUN</t>
        </is>
      </c>
      <c r="P2232" t="n">
        <v>0</v>
      </c>
      <c r="Q2232" t="n">
        <v>2231</v>
      </c>
    </row>
    <row r="2233">
      <c r="A2233" t="n">
        <v>2232</v>
      </c>
      <c r="B2233" t="inlineStr">
        <is>
          <t>MTR-IOS-2232</t>
        </is>
      </c>
      <c r="C2233" t="inlineStr">
        <is>
          <t>iPhone</t>
        </is>
      </c>
      <c r="D2233" t="inlineStr">
        <is>
          <t>Business</t>
        </is>
      </c>
      <c r="E2233" t="inlineStr">
        <is>
          <t>Business</t>
        </is>
      </c>
      <c r="F2233" t="inlineStr">
        <is>
          <t>Business Runway</t>
        </is>
      </c>
      <c r="G2233" t="inlineStr">
        <is>
          <t>Revenue</t>
        </is>
      </c>
      <c r="H2233" t="inlineStr">
        <is>
          <t>Business &gt; Business Runway &gt; Quick Add &gt; Revenue</t>
        </is>
      </c>
      <c r="I2233" s="18" t="n">
        <v>140507.19</v>
      </c>
      <c r="J2233" t="inlineStr">
        <is>
          <t>Created MTR-IOS-2232 and correlation note visible in Activity/Pulse</t>
        </is>
      </c>
      <c r="K2233" t="inlineStr">
        <is>
          <t>NOT_RUN</t>
        </is>
      </c>
      <c r="P2233" t="n">
        <v>0</v>
      </c>
      <c r="Q2233" t="n">
        <v>2232</v>
      </c>
    </row>
    <row r="2234">
      <c r="A2234" t="n">
        <v>2233</v>
      </c>
      <c r="B2234" t="inlineStr">
        <is>
          <t>MTR-IOS-2233</t>
        </is>
      </c>
      <c r="C2234" t="inlineStr">
        <is>
          <t>iPhone</t>
        </is>
      </c>
      <c r="D2234" t="inlineStr">
        <is>
          <t>Personal</t>
        </is>
      </c>
      <c r="E2234" t="inlineStr">
        <is>
          <t>Personal</t>
        </is>
      </c>
      <c r="F2234" t="inlineStr">
        <is>
          <t>Future Building</t>
        </is>
      </c>
      <c r="G2234" t="inlineStr">
        <is>
          <t>Emergency Fund</t>
        </is>
      </c>
      <c r="H2234" t="inlineStr">
        <is>
          <t>Personal &gt; Future Building &gt; Quick Add &gt; Emergency Fund</t>
        </is>
      </c>
      <c r="I2234" s="18" t="n">
        <v>13263.86</v>
      </c>
      <c r="J2234" t="inlineStr">
        <is>
          <t>Created MTR-IOS-2233 and correlation note visible in Activity/Pulse</t>
        </is>
      </c>
      <c r="K2234" t="inlineStr">
        <is>
          <t>NOT_RUN</t>
        </is>
      </c>
      <c r="P2234" t="n">
        <v>0</v>
      </c>
      <c r="Q2234" t="n">
        <v>2233</v>
      </c>
    </row>
    <row r="2235">
      <c r="A2235" t="n">
        <v>2234</v>
      </c>
      <c r="B2235" t="inlineStr">
        <is>
          <t>MTR-IOS-2234</t>
        </is>
      </c>
      <c r="C2235" t="inlineStr">
        <is>
          <t>iPhone</t>
        </is>
      </c>
      <c r="D2235" t="inlineStr">
        <is>
          <t>Group</t>
        </is>
      </c>
      <c r="E2235" t="inlineStr">
        <is>
          <t>Shared Living</t>
        </is>
      </c>
      <c r="F2235" t="inlineStr">
        <is>
          <t>Shared Living</t>
        </is>
      </c>
      <c r="G2235" t="inlineStr">
        <is>
          <t>Maintenance</t>
        </is>
      </c>
      <c r="H2235" t="inlineStr">
        <is>
          <t>Group &gt; Shared Living &gt; Quick Add &gt; Maintenance</t>
        </is>
      </c>
      <c r="I2235" s="18" t="n">
        <v>13047.37</v>
      </c>
      <c r="J2235" t="inlineStr">
        <is>
          <t>Created MTR-IOS-2234 and correlation note visible in Activity/Pulse</t>
        </is>
      </c>
      <c r="K2235" t="inlineStr">
        <is>
          <t>NOT_RUN</t>
        </is>
      </c>
      <c r="P2235" t="n">
        <v>0</v>
      </c>
      <c r="Q2235" t="n">
        <v>2234</v>
      </c>
    </row>
    <row r="2236">
      <c r="A2236" t="n">
        <v>2235</v>
      </c>
      <c r="B2236" t="inlineStr">
        <is>
          <t>MTR-IOS-2235</t>
        </is>
      </c>
      <c r="C2236" t="inlineStr">
        <is>
          <t>iPhone</t>
        </is>
      </c>
      <c r="D2236" t="inlineStr">
        <is>
          <t>Business</t>
        </is>
      </c>
      <c r="E2236" t="inlineStr">
        <is>
          <t>Business</t>
        </is>
      </c>
      <c r="F2236" t="inlineStr">
        <is>
          <t>Business Runway</t>
        </is>
      </c>
      <c r="G2236" t="inlineStr">
        <is>
          <t>Burn</t>
        </is>
      </c>
      <c r="H2236" t="inlineStr">
        <is>
          <t>Business &gt; Business Runway &gt; Quick Add &gt; Burn</t>
        </is>
      </c>
      <c r="I2236" s="18" t="n">
        <v>95080.82000000001</v>
      </c>
      <c r="J2236" t="inlineStr">
        <is>
          <t>Created MTR-IOS-2235 and correlation note visible in Activity/Pulse</t>
        </is>
      </c>
      <c r="K2236" t="inlineStr">
        <is>
          <t>NOT_RUN</t>
        </is>
      </c>
      <c r="P2236" t="n">
        <v>0</v>
      </c>
      <c r="Q2236" t="n">
        <v>2235</v>
      </c>
    </row>
    <row r="2237">
      <c r="A2237" t="n">
        <v>2236</v>
      </c>
      <c r="B2237" t="inlineStr">
        <is>
          <t>MTR-IOS-2236</t>
        </is>
      </c>
      <c r="C2237" t="inlineStr">
        <is>
          <t>iPhone</t>
        </is>
      </c>
      <c r="D2237" t="inlineStr">
        <is>
          <t>Personal</t>
        </is>
      </c>
      <c r="E2237" t="inlineStr">
        <is>
          <t>Personal</t>
        </is>
      </c>
      <c r="F2237" t="inlineStr">
        <is>
          <t>Future Building</t>
        </is>
      </c>
      <c r="G2237" t="inlineStr">
        <is>
          <t>Investments</t>
        </is>
      </c>
      <c r="H2237" t="inlineStr">
        <is>
          <t>Personal &gt; Future Building &gt; Quick Add &gt; Investments</t>
        </is>
      </c>
      <c r="I2237" s="18" t="n">
        <v>4608.13</v>
      </c>
      <c r="J2237" t="inlineStr">
        <is>
          <t>Created MTR-IOS-2236 and correlation note visible in Activity/Pulse</t>
        </is>
      </c>
      <c r="K2237" t="inlineStr">
        <is>
          <t>NOT_RUN</t>
        </is>
      </c>
      <c r="P2237" t="n">
        <v>0</v>
      </c>
      <c r="Q2237" t="n">
        <v>2236</v>
      </c>
    </row>
    <row r="2238">
      <c r="A2238" t="n">
        <v>2237</v>
      </c>
      <c r="B2238" t="inlineStr">
        <is>
          <t>MTR-IOS-2237</t>
        </is>
      </c>
      <c r="C2238" t="inlineStr">
        <is>
          <t>iPhone</t>
        </is>
      </c>
      <c r="D2238" t="inlineStr">
        <is>
          <t>Group</t>
        </is>
      </c>
      <c r="E2238" t="inlineStr">
        <is>
          <t>Shared Living</t>
        </is>
      </c>
      <c r="F2238" t="inlineStr">
        <is>
          <t>Shared Living</t>
        </is>
      </c>
      <c r="G2238" t="inlineStr">
        <is>
          <t>Other</t>
        </is>
      </c>
      <c r="H2238" t="inlineStr">
        <is>
          <t>Group &gt; Shared Living &gt; Quick Add &gt; Other</t>
        </is>
      </c>
      <c r="I2238" s="18" t="n">
        <v>4595.79</v>
      </c>
      <c r="J2238" t="inlineStr">
        <is>
          <t>Created MTR-IOS-2237 and correlation note visible in Activity/Pulse</t>
        </is>
      </c>
      <c r="K2238" t="inlineStr">
        <is>
          <t>NOT_RUN</t>
        </is>
      </c>
      <c r="P2238" t="n">
        <v>0</v>
      </c>
      <c r="Q2238" t="n">
        <v>2237</v>
      </c>
    </row>
    <row r="2239">
      <c r="A2239" t="n">
        <v>2238</v>
      </c>
      <c r="B2239" t="inlineStr">
        <is>
          <t>MTR-IOS-2238</t>
        </is>
      </c>
      <c r="C2239" t="inlineStr">
        <is>
          <t>iPhone</t>
        </is>
      </c>
      <c r="D2239" t="inlineStr">
        <is>
          <t>Business</t>
        </is>
      </c>
      <c r="E2239" t="inlineStr">
        <is>
          <t>Business</t>
        </is>
      </c>
      <c r="F2239" t="inlineStr">
        <is>
          <t>Business Runway</t>
        </is>
      </c>
      <c r="G2239" t="inlineStr">
        <is>
          <t>Reserve</t>
        </is>
      </c>
      <c r="H2239" t="inlineStr">
        <is>
          <t>Business &gt; Business Runway &gt; Quick Add &gt; Reserve</t>
        </is>
      </c>
      <c r="I2239" s="18" t="n">
        <v>133964.31</v>
      </c>
      <c r="J2239" t="inlineStr">
        <is>
          <t>Created MTR-IOS-2238 and correlation note visible in Activity/Pulse</t>
        </is>
      </c>
      <c r="K2239" t="inlineStr">
        <is>
          <t>NOT_RUN</t>
        </is>
      </c>
      <c r="P2239" t="n">
        <v>0</v>
      </c>
      <c r="Q2239" t="n">
        <v>2238</v>
      </c>
    </row>
    <row r="2240">
      <c r="A2240" t="n">
        <v>2239</v>
      </c>
      <c r="B2240" t="inlineStr">
        <is>
          <t>MTR-IOS-2239</t>
        </is>
      </c>
      <c r="C2240" t="inlineStr">
        <is>
          <t>iPhone</t>
        </is>
      </c>
      <c r="D2240" t="inlineStr">
        <is>
          <t>Personal</t>
        </is>
      </c>
      <c r="E2240" t="inlineStr">
        <is>
          <t>Personal</t>
        </is>
      </c>
      <c r="F2240" t="inlineStr">
        <is>
          <t>Future Building</t>
        </is>
      </c>
      <c r="G2240" t="inlineStr">
        <is>
          <t>Education</t>
        </is>
      </c>
      <c r="H2240" t="inlineStr">
        <is>
          <t>Personal &gt; Future Building &gt; Quick Add &gt; Education</t>
        </is>
      </c>
      <c r="I2240" s="18" t="n">
        <v>8011.42</v>
      </c>
      <c r="J2240" t="inlineStr">
        <is>
          <t>Created MTR-IOS-2239 and correlation note visible in Activity/Pulse</t>
        </is>
      </c>
      <c r="K2240" t="inlineStr">
        <is>
          <t>NOT_RUN</t>
        </is>
      </c>
      <c r="P2240" t="n">
        <v>0</v>
      </c>
      <c r="Q2240" t="n">
        <v>2239</v>
      </c>
    </row>
    <row r="2241">
      <c r="A2241" t="n">
        <v>2240</v>
      </c>
      <c r="B2241" t="inlineStr">
        <is>
          <t>MTR-IOS-2240</t>
        </is>
      </c>
      <c r="C2241" t="inlineStr">
        <is>
          <t>iPhone</t>
        </is>
      </c>
      <c r="D2241" t="inlineStr">
        <is>
          <t>Group</t>
        </is>
      </c>
      <c r="E2241" t="inlineStr">
        <is>
          <t>Shared Living</t>
        </is>
      </c>
      <c r="F2241" t="inlineStr">
        <is>
          <t>Family Household</t>
        </is>
      </c>
      <c r="G2241" t="inlineStr">
        <is>
          <t>Groceries</t>
        </is>
      </c>
      <c r="H2241" t="inlineStr">
        <is>
          <t>Group &gt; Family Household &gt; Quick Add &gt; Groceries</t>
        </is>
      </c>
      <c r="I2241" s="18" t="n">
        <v>7488.69</v>
      </c>
      <c r="J2241" t="inlineStr">
        <is>
          <t>Created MTR-IOS-2240 and correlation note visible in Activity/Pulse</t>
        </is>
      </c>
      <c r="K2241" t="inlineStr">
        <is>
          <t>NOT_RUN</t>
        </is>
      </c>
      <c r="P2241" t="n">
        <v>0</v>
      </c>
      <c r="Q2241" t="n">
        <v>2240</v>
      </c>
    </row>
    <row r="2242">
      <c r="A2242" t="n">
        <v>2241</v>
      </c>
      <c r="B2242" t="inlineStr">
        <is>
          <t>MTR-IOS-2241</t>
        </is>
      </c>
      <c r="C2242" t="inlineStr">
        <is>
          <t>iPhone</t>
        </is>
      </c>
      <c r="D2242" t="inlineStr">
        <is>
          <t>Business</t>
        </is>
      </c>
      <c r="E2242" t="inlineStr">
        <is>
          <t>Business</t>
        </is>
      </c>
      <c r="F2242" t="inlineStr">
        <is>
          <t>Business Runway</t>
        </is>
      </c>
      <c r="G2242" t="inlineStr">
        <is>
          <t>Loan</t>
        </is>
      </c>
      <c r="H2242" t="inlineStr">
        <is>
          <t>Business &gt; Business Runway &gt; Quick Add &gt; Loan</t>
        </is>
      </c>
      <c r="I2242" s="18" t="n">
        <v>15940.14</v>
      </c>
      <c r="J2242" t="inlineStr">
        <is>
          <t>Created MTR-IOS-2241 and correlation note visible in Activity/Pulse</t>
        </is>
      </c>
      <c r="K2242" t="inlineStr">
        <is>
          <t>NOT_RUN</t>
        </is>
      </c>
      <c r="P2242" t="n">
        <v>0</v>
      </c>
      <c r="Q2242" t="n">
        <v>2241</v>
      </c>
    </row>
    <row r="2243">
      <c r="A2243" t="n">
        <v>2242</v>
      </c>
      <c r="B2243" t="inlineStr">
        <is>
          <t>MTR-IOS-2242</t>
        </is>
      </c>
      <c r="C2243" t="inlineStr">
        <is>
          <t>iPhone</t>
        </is>
      </c>
      <c r="D2243" t="inlineStr">
        <is>
          <t>Personal</t>
        </is>
      </c>
      <c r="E2243" t="inlineStr">
        <is>
          <t>Personal</t>
        </is>
      </c>
      <c r="F2243" t="inlineStr">
        <is>
          <t>Future Building</t>
        </is>
      </c>
      <c r="G2243" t="inlineStr">
        <is>
          <t>Goal Contribution</t>
        </is>
      </c>
      <c r="H2243" t="inlineStr">
        <is>
          <t>Personal &gt; Future Building &gt; Quick Add &gt; Goal Contribution</t>
        </is>
      </c>
      <c r="I2243" s="18" t="n">
        <v>5114.03</v>
      </c>
      <c r="J2243" t="inlineStr">
        <is>
          <t>Created MTR-IOS-2242 and correlation note visible in Activity/Pulse</t>
        </is>
      </c>
      <c r="K2243" t="inlineStr">
        <is>
          <t>NOT_RUN</t>
        </is>
      </c>
      <c r="P2243" t="n">
        <v>0</v>
      </c>
      <c r="Q2243" t="n">
        <v>2242</v>
      </c>
    </row>
    <row r="2244">
      <c r="A2244" t="n">
        <v>2243</v>
      </c>
      <c r="B2244" t="inlineStr">
        <is>
          <t>MTR-IOS-2243</t>
        </is>
      </c>
      <c r="C2244" t="inlineStr">
        <is>
          <t>iPhone</t>
        </is>
      </c>
      <c r="D2244" t="inlineStr">
        <is>
          <t>Group</t>
        </is>
      </c>
      <c r="E2244" t="inlineStr">
        <is>
          <t>Shared Living</t>
        </is>
      </c>
      <c r="F2244" t="inlineStr">
        <is>
          <t>Family Household</t>
        </is>
      </c>
      <c r="G2244" t="inlineStr">
        <is>
          <t>Bills</t>
        </is>
      </c>
      <c r="H2244" t="inlineStr">
        <is>
          <t>Group &gt; Family Household &gt; Quick Add &gt; Bills</t>
        </is>
      </c>
      <c r="I2244" s="18" t="n">
        <v>3102.36</v>
      </c>
      <c r="J2244" t="inlineStr">
        <is>
          <t>Created MTR-IOS-2243 and correlation note visible in Activity/Pulse</t>
        </is>
      </c>
      <c r="K2244" t="inlineStr">
        <is>
          <t>NOT_RUN</t>
        </is>
      </c>
      <c r="P2244" t="n">
        <v>0</v>
      </c>
      <c r="Q2244" t="n">
        <v>2243</v>
      </c>
    </row>
    <row r="2245">
      <c r="A2245" t="n">
        <v>2244</v>
      </c>
      <c r="B2245" t="inlineStr">
        <is>
          <t>MTR-IOS-2244</t>
        </is>
      </c>
      <c r="C2245" t="inlineStr">
        <is>
          <t>iPhone</t>
        </is>
      </c>
      <c r="D2245" t="inlineStr">
        <is>
          <t>Business</t>
        </is>
      </c>
      <c r="E2245" t="inlineStr">
        <is>
          <t>Business</t>
        </is>
      </c>
      <c r="F2245" t="inlineStr">
        <is>
          <t>Business Runway</t>
        </is>
      </c>
      <c r="G2245" t="inlineStr">
        <is>
          <t>Investment</t>
        </is>
      </c>
      <c r="H2245" t="inlineStr">
        <is>
          <t>Business &gt; Business Runway &gt; Quick Add &gt; Investment</t>
        </is>
      </c>
      <c r="I2245" s="18" t="n">
        <v>95176.75999999999</v>
      </c>
      <c r="J2245" t="inlineStr">
        <is>
          <t>Created MTR-IOS-2244 and correlation note visible in Activity/Pulse</t>
        </is>
      </c>
      <c r="K2245" t="inlineStr">
        <is>
          <t>NOT_RUN</t>
        </is>
      </c>
      <c r="P2245" t="n">
        <v>0</v>
      </c>
      <c r="Q2245" t="n">
        <v>2244</v>
      </c>
    </row>
    <row r="2246">
      <c r="A2246" t="n">
        <v>2245</v>
      </c>
      <c r="B2246" t="inlineStr">
        <is>
          <t>MTR-IOS-2245</t>
        </is>
      </c>
      <c r="C2246" t="inlineStr">
        <is>
          <t>iPhone</t>
        </is>
      </c>
      <c r="D2246" t="inlineStr">
        <is>
          <t>Personal</t>
        </is>
      </c>
      <c r="E2246" t="inlineStr">
        <is>
          <t>Personal</t>
        </is>
      </c>
      <c r="F2246" t="inlineStr">
        <is>
          <t>Lifestyle</t>
        </is>
      </c>
      <c r="G2246" t="inlineStr">
        <is>
          <t>Dining</t>
        </is>
      </c>
      <c r="H2246" t="inlineStr">
        <is>
          <t>Personal &gt; Lifestyle &gt; Quick Add &gt; Dining</t>
        </is>
      </c>
      <c r="I2246" s="18" t="n">
        <v>12617.84</v>
      </c>
      <c r="J2246" t="inlineStr">
        <is>
          <t>Created MTR-IOS-2245 and correlation note visible in Activity/Pulse</t>
        </is>
      </c>
      <c r="K2246" t="inlineStr">
        <is>
          <t>NOT_RUN</t>
        </is>
      </c>
      <c r="P2246" t="n">
        <v>0</v>
      </c>
      <c r="Q2246" t="n">
        <v>2245</v>
      </c>
    </row>
    <row r="2247">
      <c r="A2247" t="n">
        <v>2246</v>
      </c>
      <c r="B2247" t="inlineStr">
        <is>
          <t>MTR-IOS-2246</t>
        </is>
      </c>
      <c r="C2247" t="inlineStr">
        <is>
          <t>iPhone</t>
        </is>
      </c>
      <c r="D2247" t="inlineStr">
        <is>
          <t>Group</t>
        </is>
      </c>
      <c r="E2247" t="inlineStr">
        <is>
          <t>Shared Living</t>
        </is>
      </c>
      <c r="F2247" t="inlineStr">
        <is>
          <t>Family Household</t>
        </is>
      </c>
      <c r="G2247" t="inlineStr">
        <is>
          <t>School</t>
        </is>
      </c>
      <c r="H2247" t="inlineStr">
        <is>
          <t>Group &gt; Family Household &gt; Quick Add &gt; School</t>
        </is>
      </c>
      <c r="I2247" s="18" t="n">
        <v>8504.809999999999</v>
      </c>
      <c r="J2247" t="inlineStr">
        <is>
          <t>Created MTR-IOS-2246 and correlation note visible in Activity/Pulse</t>
        </is>
      </c>
      <c r="K2247" t="inlineStr">
        <is>
          <t>NOT_RUN</t>
        </is>
      </c>
      <c r="P2247" t="n">
        <v>0</v>
      </c>
      <c r="Q2247" t="n">
        <v>2246</v>
      </c>
    </row>
    <row r="2248">
      <c r="A2248" t="n">
        <v>2247</v>
      </c>
      <c r="B2248" t="inlineStr">
        <is>
          <t>MTR-IOS-2247</t>
        </is>
      </c>
      <c r="C2248" t="inlineStr">
        <is>
          <t>iPhone</t>
        </is>
      </c>
      <c r="D2248" t="inlineStr">
        <is>
          <t>Business</t>
        </is>
      </c>
      <c r="E2248" t="inlineStr">
        <is>
          <t>Business</t>
        </is>
      </c>
      <c r="F2248" t="inlineStr">
        <is>
          <t>Business Operations</t>
        </is>
      </c>
      <c r="G2248" t="inlineStr">
        <is>
          <t>Software</t>
        </is>
      </c>
      <c r="H2248" t="inlineStr">
        <is>
          <t>Business &gt; Business Operations &gt; Quick Add &gt; Software</t>
        </is>
      </c>
      <c r="I2248" s="18" t="n">
        <v>74652.16</v>
      </c>
      <c r="J2248" t="inlineStr">
        <is>
          <t>Created MTR-IOS-2247 and correlation note visible in Activity/Pulse</t>
        </is>
      </c>
      <c r="K2248" t="inlineStr">
        <is>
          <t>NOT_RUN</t>
        </is>
      </c>
      <c r="P2248" t="n">
        <v>0</v>
      </c>
      <c r="Q2248" t="n">
        <v>2247</v>
      </c>
    </row>
    <row r="2249">
      <c r="A2249" t="n">
        <v>2248</v>
      </c>
      <c r="B2249" t="inlineStr">
        <is>
          <t>MTR-IOS-2248</t>
        </is>
      </c>
      <c r="C2249" t="inlineStr">
        <is>
          <t>iPhone</t>
        </is>
      </c>
      <c r="D2249" t="inlineStr">
        <is>
          <t>Personal</t>
        </is>
      </c>
      <c r="E2249" t="inlineStr">
        <is>
          <t>Personal</t>
        </is>
      </c>
      <c r="F2249" t="inlineStr">
        <is>
          <t>Lifestyle</t>
        </is>
      </c>
      <c r="G2249" t="inlineStr">
        <is>
          <t>Shopping</t>
        </is>
      </c>
      <c r="H2249" t="inlineStr">
        <is>
          <t>Personal &gt; Lifestyle &gt; Quick Add &gt; Shopping</t>
        </is>
      </c>
      <c r="I2249" s="18" t="n">
        <v>9933.049999999999</v>
      </c>
      <c r="J2249" t="inlineStr">
        <is>
          <t>Created MTR-IOS-2248 and correlation note visible in Activity/Pulse</t>
        </is>
      </c>
      <c r="K2249" t="inlineStr">
        <is>
          <t>NOT_RUN</t>
        </is>
      </c>
      <c r="P2249" t="n">
        <v>0</v>
      </c>
      <c r="Q2249" t="n">
        <v>2248</v>
      </c>
    </row>
    <row r="2250">
      <c r="A2250" t="n">
        <v>2249</v>
      </c>
      <c r="B2250" t="inlineStr">
        <is>
          <t>MTR-IOS-2249</t>
        </is>
      </c>
      <c r="C2250" t="inlineStr">
        <is>
          <t>iPhone</t>
        </is>
      </c>
      <c r="D2250" t="inlineStr">
        <is>
          <t>Group</t>
        </is>
      </c>
      <c r="E2250" t="inlineStr">
        <is>
          <t>Shared Living</t>
        </is>
      </c>
      <c r="F2250" t="inlineStr">
        <is>
          <t>Family Household</t>
        </is>
      </c>
      <c r="G2250" t="inlineStr">
        <is>
          <t>Healthcare</t>
        </is>
      </c>
      <c r="H2250" t="inlineStr">
        <is>
          <t>Group &gt; Family Household &gt; Quick Add &gt; Healthcare</t>
        </is>
      </c>
      <c r="I2250" s="18" t="n">
        <v>19298.82</v>
      </c>
      <c r="J2250" t="inlineStr">
        <is>
          <t>Created MTR-IOS-2249 and correlation note visible in Activity/Pulse</t>
        </is>
      </c>
      <c r="K2250" t="inlineStr">
        <is>
          <t>NOT_RUN</t>
        </is>
      </c>
      <c r="P2250" t="n">
        <v>0</v>
      </c>
      <c r="Q2250" t="n">
        <v>2249</v>
      </c>
    </row>
    <row r="2251">
      <c r="A2251" t="n">
        <v>2250</v>
      </c>
      <c r="B2251" t="inlineStr">
        <is>
          <t>MTR-IOS-2250</t>
        </is>
      </c>
      <c r="C2251" t="inlineStr">
        <is>
          <t>iPhone</t>
        </is>
      </c>
      <c r="D2251" t="inlineStr">
        <is>
          <t>Business</t>
        </is>
      </c>
      <c r="E2251" t="inlineStr">
        <is>
          <t>Business</t>
        </is>
      </c>
      <c r="F2251" t="inlineStr">
        <is>
          <t>Business Operations</t>
        </is>
      </c>
      <c r="G2251" t="inlineStr">
        <is>
          <t>Rent</t>
        </is>
      </c>
      <c r="H2251" t="inlineStr">
        <is>
          <t>Business &gt; Business Operations &gt; Quick Add &gt; Rent</t>
        </is>
      </c>
      <c r="I2251" s="18" t="n">
        <v>116554.17</v>
      </c>
      <c r="J2251" t="inlineStr">
        <is>
          <t>Created MTR-IOS-2250 and correlation note visible in Activity/Pulse</t>
        </is>
      </c>
      <c r="K2251" t="inlineStr">
        <is>
          <t>NOT_RUN</t>
        </is>
      </c>
      <c r="P2251" t="n">
        <v>0</v>
      </c>
      <c r="Q2251" t="n">
        <v>2250</v>
      </c>
    </row>
    <row r="2252">
      <c r="A2252" t="n">
        <v>2251</v>
      </c>
      <c r="B2252" t="inlineStr">
        <is>
          <t>MTR-IOS-2251</t>
        </is>
      </c>
      <c r="C2252" t="inlineStr">
        <is>
          <t>iPhone</t>
        </is>
      </c>
      <c r="D2252" t="inlineStr">
        <is>
          <t>Personal</t>
        </is>
      </c>
      <c r="E2252" t="inlineStr">
        <is>
          <t>Personal</t>
        </is>
      </c>
      <c r="F2252" t="inlineStr">
        <is>
          <t>Lifestyle</t>
        </is>
      </c>
      <c r="G2252" t="inlineStr">
        <is>
          <t>Entertainment</t>
        </is>
      </c>
      <c r="H2252" t="inlineStr">
        <is>
          <t>Personal &gt; Lifestyle &gt; Quick Add &gt; Entertainment</t>
        </is>
      </c>
      <c r="I2252" s="18" t="n">
        <v>14313.17</v>
      </c>
      <c r="J2252" t="inlineStr">
        <is>
          <t>Created MTR-IOS-2251 and correlation note visible in Activity/Pulse</t>
        </is>
      </c>
      <c r="K2252" t="inlineStr">
        <is>
          <t>NOT_RUN</t>
        </is>
      </c>
      <c r="P2252" t="n">
        <v>0</v>
      </c>
      <c r="Q2252" t="n">
        <v>2251</v>
      </c>
    </row>
    <row r="2253">
      <c r="A2253" t="n">
        <v>2252</v>
      </c>
      <c r="B2253" t="inlineStr">
        <is>
          <t>MTR-IOS-2252</t>
        </is>
      </c>
      <c r="C2253" t="inlineStr">
        <is>
          <t>iPhone</t>
        </is>
      </c>
      <c r="D2253" t="inlineStr">
        <is>
          <t>Group</t>
        </is>
      </c>
      <c r="E2253" t="inlineStr">
        <is>
          <t>Shared Living</t>
        </is>
      </c>
      <c r="F2253" t="inlineStr">
        <is>
          <t>Family Household</t>
        </is>
      </c>
      <c r="G2253" t="inlineStr">
        <is>
          <t>Home</t>
        </is>
      </c>
      <c r="H2253" t="inlineStr">
        <is>
          <t>Group &gt; Family Household &gt; Quick Add &gt; Home</t>
        </is>
      </c>
      <c r="I2253" s="18" t="n">
        <v>15415.05</v>
      </c>
      <c r="J2253" t="inlineStr">
        <is>
          <t>Created MTR-IOS-2252 and correlation note visible in Activity/Pulse</t>
        </is>
      </c>
      <c r="K2253" t="inlineStr">
        <is>
          <t>NOT_RUN</t>
        </is>
      </c>
      <c r="P2253" t="n">
        <v>0</v>
      </c>
      <c r="Q2253" t="n">
        <v>2252</v>
      </c>
    </row>
    <row r="2254">
      <c r="A2254" t="n">
        <v>2253</v>
      </c>
      <c r="B2254" t="inlineStr">
        <is>
          <t>MTR-IOS-2253</t>
        </is>
      </c>
      <c r="C2254" t="inlineStr">
        <is>
          <t>iPhone</t>
        </is>
      </c>
      <c r="D2254" t="inlineStr">
        <is>
          <t>Business</t>
        </is>
      </c>
      <c r="E2254" t="inlineStr">
        <is>
          <t>Business</t>
        </is>
      </c>
      <c r="F2254" t="inlineStr">
        <is>
          <t>Business Operations</t>
        </is>
      </c>
      <c r="G2254" t="inlineStr">
        <is>
          <t>Marketing</t>
        </is>
      </c>
      <c r="H2254" t="inlineStr">
        <is>
          <t>Business &gt; Business Operations &gt; Quick Add &gt; Marketing</t>
        </is>
      </c>
      <c r="I2254" s="18" t="n">
        <v>83300.41</v>
      </c>
      <c r="J2254" t="inlineStr">
        <is>
          <t>Created MTR-IOS-2253 and correlation note visible in Activity/Pulse</t>
        </is>
      </c>
      <c r="K2254" t="inlineStr">
        <is>
          <t>NOT_RUN</t>
        </is>
      </c>
      <c r="P2254" t="n">
        <v>0</v>
      </c>
      <c r="Q2254" t="n">
        <v>2253</v>
      </c>
    </row>
    <row r="2255">
      <c r="A2255" t="n">
        <v>2254</v>
      </c>
      <c r="B2255" t="inlineStr">
        <is>
          <t>MTR-IOS-2254</t>
        </is>
      </c>
      <c r="C2255" t="inlineStr">
        <is>
          <t>iPhone</t>
        </is>
      </c>
      <c r="D2255" t="inlineStr">
        <is>
          <t>Personal</t>
        </is>
      </c>
      <c r="E2255" t="inlineStr">
        <is>
          <t>Personal</t>
        </is>
      </c>
      <c r="F2255" t="inlineStr">
        <is>
          <t>Lifestyle</t>
        </is>
      </c>
      <c r="G2255" t="inlineStr">
        <is>
          <t>Travel</t>
        </is>
      </c>
      <c r="H2255" t="inlineStr">
        <is>
          <t>Personal &gt; Lifestyle &gt; Quick Add &gt; Travel</t>
        </is>
      </c>
      <c r="I2255" s="18" t="n">
        <v>4603.25</v>
      </c>
      <c r="J2255" t="inlineStr">
        <is>
          <t>Created MTR-IOS-2254 and correlation note visible in Activity/Pulse</t>
        </is>
      </c>
      <c r="K2255" t="inlineStr">
        <is>
          <t>NOT_RUN</t>
        </is>
      </c>
      <c r="P2255" t="n">
        <v>0</v>
      </c>
      <c r="Q2255" t="n">
        <v>2254</v>
      </c>
    </row>
    <row r="2256">
      <c r="A2256" t="n">
        <v>2255</v>
      </c>
      <c r="B2256" t="inlineStr">
        <is>
          <t>MTR-IOS-2255</t>
        </is>
      </c>
      <c r="C2256" t="inlineStr">
        <is>
          <t>iPhone</t>
        </is>
      </c>
      <c r="D2256" t="inlineStr">
        <is>
          <t>Group</t>
        </is>
      </c>
      <c r="E2256" t="inlineStr">
        <is>
          <t>Shared Living</t>
        </is>
      </c>
      <c r="F2256" t="inlineStr">
        <is>
          <t>Family Household</t>
        </is>
      </c>
      <c r="G2256" t="inlineStr">
        <is>
          <t>Other</t>
        </is>
      </c>
      <c r="H2256" t="inlineStr">
        <is>
          <t>Group &gt; Family Household &gt; Quick Add &gt; Other</t>
        </is>
      </c>
      <c r="I2256" s="18" t="n">
        <v>165.75</v>
      </c>
      <c r="J2256" t="inlineStr">
        <is>
          <t>Created MTR-IOS-2255 and correlation note visible in Activity/Pulse</t>
        </is>
      </c>
      <c r="K2256" t="inlineStr">
        <is>
          <t>NOT_RUN</t>
        </is>
      </c>
      <c r="P2256" t="n">
        <v>0</v>
      </c>
      <c r="Q2256" t="n">
        <v>2255</v>
      </c>
    </row>
    <row r="2257">
      <c r="A2257" t="n">
        <v>2256</v>
      </c>
      <c r="B2257" t="inlineStr">
        <is>
          <t>MTR-IOS-2256</t>
        </is>
      </c>
      <c r="C2257" t="inlineStr">
        <is>
          <t>iPhone</t>
        </is>
      </c>
      <c r="D2257" t="inlineStr">
        <is>
          <t>Business</t>
        </is>
      </c>
      <c r="E2257" t="inlineStr">
        <is>
          <t>Business</t>
        </is>
      </c>
      <c r="F2257" t="inlineStr">
        <is>
          <t>Business Operations</t>
        </is>
      </c>
      <c r="G2257" t="inlineStr">
        <is>
          <t>Legal</t>
        </is>
      </c>
      <c r="H2257" t="inlineStr">
        <is>
          <t>Business &gt; Business Operations &gt; Quick Add &gt; Legal</t>
        </is>
      </c>
      <c r="I2257" s="18" t="n">
        <v>17493.4</v>
      </c>
      <c r="J2257" t="inlineStr">
        <is>
          <t>Created MTR-IOS-2256 and correlation note visible in Activity/Pulse</t>
        </is>
      </c>
      <c r="K2257" t="inlineStr">
        <is>
          <t>NOT_RUN</t>
        </is>
      </c>
      <c r="P2257" t="n">
        <v>0</v>
      </c>
      <c r="Q2257" t="n">
        <v>2256</v>
      </c>
    </row>
    <row r="2258">
      <c r="A2258" t="n">
        <v>2257</v>
      </c>
      <c r="B2258" t="inlineStr">
        <is>
          <t>MTR-IOS-2257</t>
        </is>
      </c>
      <c r="C2258" t="inlineStr">
        <is>
          <t>iPhone</t>
        </is>
      </c>
      <c r="D2258" t="inlineStr">
        <is>
          <t>Personal</t>
        </is>
      </c>
      <c r="E2258" t="inlineStr">
        <is>
          <t>Personal</t>
        </is>
      </c>
      <c r="F2258" t="inlineStr">
        <is>
          <t>Lifestyle</t>
        </is>
      </c>
      <c r="G2258" t="inlineStr">
        <is>
          <t>Fitness</t>
        </is>
      </c>
      <c r="H2258" t="inlineStr">
        <is>
          <t>Personal &gt; Lifestyle &gt; Quick Add &gt; Fitness</t>
        </is>
      </c>
      <c r="I2258" s="18" t="n">
        <v>1</v>
      </c>
      <c r="J2258" t="inlineStr">
        <is>
          <t>Created MTR-IOS-2257 and correlation note visible in Activity/Pulse</t>
        </is>
      </c>
      <c r="K2258" t="inlineStr">
        <is>
          <t>NOT_RUN</t>
        </is>
      </c>
      <c r="P2258" t="n">
        <v>0</v>
      </c>
      <c r="Q2258" t="n">
        <v>2257</v>
      </c>
    </row>
    <row r="2259">
      <c r="A2259" t="n">
        <v>2258</v>
      </c>
      <c r="B2259" t="inlineStr">
        <is>
          <t>MTR-IOS-2258</t>
        </is>
      </c>
      <c r="C2259" t="inlineStr">
        <is>
          <t>iPhone</t>
        </is>
      </c>
      <c r="D2259" t="inlineStr">
        <is>
          <t>Group</t>
        </is>
      </c>
      <c r="E2259" t="inlineStr">
        <is>
          <t>Shared Living</t>
        </is>
      </c>
      <c r="F2259" t="inlineStr">
        <is>
          <t>Custom Living</t>
        </is>
      </c>
      <c r="G2259" t="inlineStr">
        <is>
          <t>Custom Expense</t>
        </is>
      </c>
      <c r="H2259" t="inlineStr">
        <is>
          <t>Group &gt; Custom Living &gt; Quick Add &gt; Custom Expense</t>
        </is>
      </c>
      <c r="I2259" s="18" t="n">
        <v>9365.959999999999</v>
      </c>
      <c r="J2259" t="inlineStr">
        <is>
          <t>Created MTR-IOS-2258 and correlation note visible in Activity/Pulse</t>
        </is>
      </c>
      <c r="K2259" t="inlineStr">
        <is>
          <t>NOT_RUN</t>
        </is>
      </c>
      <c r="P2259" t="n">
        <v>0</v>
      </c>
      <c r="Q2259" t="n">
        <v>2258</v>
      </c>
    </row>
    <row r="2260">
      <c r="A2260" t="n">
        <v>2259</v>
      </c>
      <c r="B2260" t="inlineStr">
        <is>
          <t>MTR-IOS-2259</t>
        </is>
      </c>
      <c r="C2260" t="inlineStr">
        <is>
          <t>iPhone</t>
        </is>
      </c>
      <c r="D2260" t="inlineStr">
        <is>
          <t>Business</t>
        </is>
      </c>
      <c r="E2260" t="inlineStr">
        <is>
          <t>Business</t>
        </is>
      </c>
      <c r="F2260" t="inlineStr">
        <is>
          <t>Business Operations</t>
        </is>
      </c>
      <c r="G2260" t="inlineStr">
        <is>
          <t>Accounting</t>
        </is>
      </c>
      <c r="H2260" t="inlineStr">
        <is>
          <t>Business &gt; Business Operations &gt; Quick Add &gt; Accounting</t>
        </is>
      </c>
      <c r="I2260" s="18" t="n">
        <v>150609.21</v>
      </c>
      <c r="J2260" t="inlineStr">
        <is>
          <t>Created MTR-IOS-2259 and correlation note visible in Activity/Pulse</t>
        </is>
      </c>
      <c r="K2260" t="inlineStr">
        <is>
          <t>NOT_RUN</t>
        </is>
      </c>
      <c r="P2260" t="n">
        <v>0</v>
      </c>
      <c r="Q2260" t="n">
        <v>2259</v>
      </c>
    </row>
    <row r="2261">
      <c r="A2261" t="n">
        <v>2260</v>
      </c>
      <c r="B2261" t="inlineStr">
        <is>
          <t>MTR-IOS-2260</t>
        </is>
      </c>
      <c r="C2261" t="inlineStr">
        <is>
          <t>iPhone</t>
        </is>
      </c>
      <c r="D2261" t="inlineStr">
        <is>
          <t>Personal</t>
        </is>
      </c>
      <c r="E2261" t="inlineStr">
        <is>
          <t>Personal</t>
        </is>
      </c>
      <c r="F2261" t="inlineStr">
        <is>
          <t>Lifestyle</t>
        </is>
      </c>
      <c r="G2261" t="inlineStr">
        <is>
          <t>Hobbies</t>
        </is>
      </c>
      <c r="H2261" t="inlineStr">
        <is>
          <t>Personal &gt; Lifestyle &gt; Quick Add &gt; Hobbies</t>
        </is>
      </c>
      <c r="I2261" s="18" t="n">
        <v>6738.61</v>
      </c>
      <c r="J2261" t="inlineStr">
        <is>
          <t>Created MTR-IOS-2260 and correlation note visible in Activity/Pulse</t>
        </is>
      </c>
      <c r="K2261" t="inlineStr">
        <is>
          <t>NOT_RUN</t>
        </is>
      </c>
      <c r="P2261" t="n">
        <v>0</v>
      </c>
      <c r="Q2261" t="n">
        <v>2260</v>
      </c>
    </row>
    <row r="2262">
      <c r="A2262" t="n">
        <v>2261</v>
      </c>
      <c r="B2262" t="inlineStr">
        <is>
          <t>MTR-IOS-2261</t>
        </is>
      </c>
      <c r="C2262" t="inlineStr">
        <is>
          <t>iPhone</t>
        </is>
      </c>
      <c r="D2262" t="inlineStr">
        <is>
          <t>Group</t>
        </is>
      </c>
      <c r="E2262" t="inlineStr">
        <is>
          <t>Shared Living</t>
        </is>
      </c>
      <c r="F2262" t="inlineStr">
        <is>
          <t>Custom Living</t>
        </is>
      </c>
      <c r="G2262" t="inlineStr">
        <is>
          <t>Custom Contribution</t>
        </is>
      </c>
      <c r="H2262" t="inlineStr">
        <is>
          <t>Group &gt; Custom Living &gt; Quick Add &gt; Custom Contribution</t>
        </is>
      </c>
      <c r="I2262" s="18" t="n">
        <v>25411.55</v>
      </c>
      <c r="J2262" t="inlineStr">
        <is>
          <t>Created MTR-IOS-2261 and correlation note visible in Activity/Pulse</t>
        </is>
      </c>
      <c r="K2262" t="inlineStr">
        <is>
          <t>NOT_RUN</t>
        </is>
      </c>
      <c r="P2262" t="n">
        <v>0</v>
      </c>
      <c r="Q2262" t="n">
        <v>2261</v>
      </c>
    </row>
    <row r="2263">
      <c r="A2263" t="n">
        <v>2262</v>
      </c>
      <c r="B2263" t="inlineStr">
        <is>
          <t>MTR-IOS-2262</t>
        </is>
      </c>
      <c r="C2263" t="inlineStr">
        <is>
          <t>iPhone</t>
        </is>
      </c>
      <c r="D2263" t="inlineStr">
        <is>
          <t>Business</t>
        </is>
      </c>
      <c r="E2263" t="inlineStr">
        <is>
          <t>Business</t>
        </is>
      </c>
      <c r="F2263" t="inlineStr">
        <is>
          <t>Business Operations</t>
        </is>
      </c>
      <c r="G2263" t="inlineStr">
        <is>
          <t>Equipment</t>
        </is>
      </c>
      <c r="H2263" t="inlineStr">
        <is>
          <t>Business &gt; Business Operations &gt; Quick Add &gt; Equipment</t>
        </is>
      </c>
      <c r="I2263" s="18" t="n">
        <v>76339.95</v>
      </c>
      <c r="J2263" t="inlineStr">
        <is>
          <t>Created MTR-IOS-2262 and correlation note visible in Activity/Pulse</t>
        </is>
      </c>
      <c r="K2263" t="inlineStr">
        <is>
          <t>NOT_RUN</t>
        </is>
      </c>
      <c r="P2263" t="n">
        <v>0</v>
      </c>
      <c r="Q2263" t="n">
        <v>2262</v>
      </c>
    </row>
    <row r="2264">
      <c r="A2264" t="n">
        <v>2263</v>
      </c>
      <c r="B2264" t="inlineStr">
        <is>
          <t>MTR-IOS-2263</t>
        </is>
      </c>
      <c r="C2264" t="inlineStr">
        <is>
          <t>iPhone</t>
        </is>
      </c>
      <c r="D2264" t="inlineStr">
        <is>
          <t>Personal</t>
        </is>
      </c>
      <c r="E2264" t="inlineStr">
        <is>
          <t>Personal</t>
        </is>
      </c>
      <c r="F2264" t="inlineStr">
        <is>
          <t>Relationships</t>
        </is>
      </c>
      <c r="G2264" t="inlineStr">
        <is>
          <t>Gifts</t>
        </is>
      </c>
      <c r="H2264" t="inlineStr">
        <is>
          <t>Personal &gt; Relationships &gt; Quick Add &gt; Gifts</t>
        </is>
      </c>
      <c r="I2264" s="18" t="n">
        <v>13272.14</v>
      </c>
      <c r="J2264" t="inlineStr">
        <is>
          <t>Created MTR-IOS-2263 and correlation note visible in Activity/Pulse</t>
        </is>
      </c>
      <c r="K2264" t="inlineStr">
        <is>
          <t>NOT_RUN</t>
        </is>
      </c>
      <c r="P2264" t="n">
        <v>0</v>
      </c>
      <c r="Q2264" t="n">
        <v>2263</v>
      </c>
    </row>
    <row r="2265">
      <c r="A2265" t="n">
        <v>2264</v>
      </c>
      <c r="B2265" t="inlineStr">
        <is>
          <t>MTR-IOS-2264</t>
        </is>
      </c>
      <c r="C2265" t="inlineStr">
        <is>
          <t>iPhone</t>
        </is>
      </c>
      <c r="D2265" t="inlineStr">
        <is>
          <t>Group</t>
        </is>
      </c>
      <c r="E2265" t="inlineStr">
        <is>
          <t>Shared Experience</t>
        </is>
      </c>
      <c r="F2265" t="inlineStr">
        <is>
          <t>Trip</t>
        </is>
      </c>
      <c r="G2265" t="inlineStr">
        <is>
          <t>Travel</t>
        </is>
      </c>
      <c r="H2265" t="inlineStr">
        <is>
          <t>Group &gt; Trip &gt; Quick Add &gt; Travel</t>
        </is>
      </c>
      <c r="I2265" s="18" t="n">
        <v>18844.24</v>
      </c>
      <c r="J2265" t="inlineStr">
        <is>
          <t>Created MTR-IOS-2264 and correlation note visible in Activity/Pulse</t>
        </is>
      </c>
      <c r="K2265" t="inlineStr">
        <is>
          <t>NOT_RUN</t>
        </is>
      </c>
      <c r="P2265" t="n">
        <v>0</v>
      </c>
      <c r="Q2265" t="n">
        <v>2264</v>
      </c>
    </row>
    <row r="2266">
      <c r="A2266" t="n">
        <v>2265</v>
      </c>
      <c r="B2266" t="inlineStr">
        <is>
          <t>MTR-IOS-2265</t>
        </is>
      </c>
      <c r="C2266" t="inlineStr">
        <is>
          <t>iPhone</t>
        </is>
      </c>
      <c r="D2266" t="inlineStr">
        <is>
          <t>Business</t>
        </is>
      </c>
      <c r="E2266" t="inlineStr">
        <is>
          <t>Business</t>
        </is>
      </c>
      <c r="F2266" t="inlineStr">
        <is>
          <t>Business Operations</t>
        </is>
      </c>
      <c r="G2266" t="inlineStr">
        <is>
          <t>Vendor</t>
        </is>
      </c>
      <c r="H2266" t="inlineStr">
        <is>
          <t>Business &gt; Business Operations &gt; Quick Add &gt; Vendor</t>
        </is>
      </c>
      <c r="I2266" s="18" t="n">
        <v>146466.46</v>
      </c>
      <c r="J2266" t="inlineStr">
        <is>
          <t>Created MTR-IOS-2265 and correlation note visible in Activity/Pulse</t>
        </is>
      </c>
      <c r="K2266" t="inlineStr">
        <is>
          <t>NOT_RUN</t>
        </is>
      </c>
      <c r="P2266" t="n">
        <v>0</v>
      </c>
      <c r="Q2266" t="n">
        <v>2265</v>
      </c>
    </row>
    <row r="2267">
      <c r="A2267" t="n">
        <v>2266</v>
      </c>
      <c r="B2267" t="inlineStr">
        <is>
          <t>MTR-IOS-2266</t>
        </is>
      </c>
      <c r="C2267" t="inlineStr">
        <is>
          <t>iPhone</t>
        </is>
      </c>
      <c r="D2267" t="inlineStr">
        <is>
          <t>Personal</t>
        </is>
      </c>
      <c r="E2267" t="inlineStr">
        <is>
          <t>Personal</t>
        </is>
      </c>
      <c r="F2267" t="inlineStr">
        <is>
          <t>Relationships</t>
        </is>
      </c>
      <c r="G2267" t="inlineStr">
        <is>
          <t>Dates</t>
        </is>
      </c>
      <c r="H2267" t="inlineStr">
        <is>
          <t>Personal &gt; Relationships &gt; Quick Add &gt; Dates</t>
        </is>
      </c>
      <c r="I2267" s="18" t="n">
        <v>9774.129999999999</v>
      </c>
      <c r="J2267" t="inlineStr">
        <is>
          <t>Created MTR-IOS-2266 and correlation note visible in Activity/Pulse</t>
        </is>
      </c>
      <c r="K2267" t="inlineStr">
        <is>
          <t>NOT_RUN</t>
        </is>
      </c>
      <c r="P2267" t="n">
        <v>0</v>
      </c>
      <c r="Q2267" t="n">
        <v>2266</v>
      </c>
    </row>
    <row r="2268">
      <c r="A2268" t="n">
        <v>2267</v>
      </c>
      <c r="B2268" t="inlineStr">
        <is>
          <t>MTR-IOS-2267</t>
        </is>
      </c>
      <c r="C2268" t="inlineStr">
        <is>
          <t>iPhone</t>
        </is>
      </c>
      <c r="D2268" t="inlineStr">
        <is>
          <t>Group</t>
        </is>
      </c>
      <c r="E2268" t="inlineStr">
        <is>
          <t>Shared Experience</t>
        </is>
      </c>
      <c r="F2268" t="inlineStr">
        <is>
          <t>Trip</t>
        </is>
      </c>
      <c r="G2268" t="inlineStr">
        <is>
          <t>Stay</t>
        </is>
      </c>
      <c r="H2268" t="inlineStr">
        <is>
          <t>Group &gt; Trip &gt; Quick Add &gt; Stay</t>
        </is>
      </c>
      <c r="I2268" s="18" t="n">
        <v>11087.51</v>
      </c>
      <c r="J2268" t="inlineStr">
        <is>
          <t>Created MTR-IOS-2267 and correlation note visible in Activity/Pulse</t>
        </is>
      </c>
      <c r="K2268" t="inlineStr">
        <is>
          <t>NOT_RUN</t>
        </is>
      </c>
      <c r="P2268" t="n">
        <v>0</v>
      </c>
      <c r="Q2268" t="n">
        <v>2267</v>
      </c>
    </row>
    <row r="2269">
      <c r="A2269" t="n">
        <v>2268</v>
      </c>
      <c r="B2269" t="inlineStr">
        <is>
          <t>MTR-IOS-2268</t>
        </is>
      </c>
      <c r="C2269" t="inlineStr">
        <is>
          <t>iPhone</t>
        </is>
      </c>
      <c r="D2269" t="inlineStr">
        <is>
          <t>Business</t>
        </is>
      </c>
      <c r="E2269" t="inlineStr">
        <is>
          <t>Business</t>
        </is>
      </c>
      <c r="F2269" t="inlineStr">
        <is>
          <t>Business Operations</t>
        </is>
      </c>
      <c r="G2269" t="inlineStr">
        <is>
          <t>Tax</t>
        </is>
      </c>
      <c r="H2269" t="inlineStr">
        <is>
          <t>Business &gt; Business Operations &gt; Quick Add &gt; Tax</t>
        </is>
      </c>
      <c r="I2269" s="18" t="n">
        <v>134614.07</v>
      </c>
      <c r="J2269" t="inlineStr">
        <is>
          <t>Created MTR-IOS-2268 and correlation note visible in Activity/Pulse</t>
        </is>
      </c>
      <c r="K2269" t="inlineStr">
        <is>
          <t>NOT_RUN</t>
        </is>
      </c>
      <c r="P2269" t="n">
        <v>0</v>
      </c>
      <c r="Q2269" t="n">
        <v>2268</v>
      </c>
    </row>
    <row r="2270">
      <c r="A2270" t="n">
        <v>2269</v>
      </c>
      <c r="B2270" t="inlineStr">
        <is>
          <t>MTR-IOS-2269</t>
        </is>
      </c>
      <c r="C2270" t="inlineStr">
        <is>
          <t>iPhone</t>
        </is>
      </c>
      <c r="D2270" t="inlineStr">
        <is>
          <t>Personal</t>
        </is>
      </c>
      <c r="E2270" t="inlineStr">
        <is>
          <t>Personal</t>
        </is>
      </c>
      <c r="F2270" t="inlineStr">
        <is>
          <t>Relationships</t>
        </is>
      </c>
      <c r="G2270" t="inlineStr">
        <is>
          <t>Family</t>
        </is>
      </c>
      <c r="H2270" t="inlineStr">
        <is>
          <t>Personal &gt; Relationships &gt; Quick Add &gt; Family</t>
        </is>
      </c>
      <c r="I2270" s="18" t="n">
        <v>8137.49</v>
      </c>
      <c r="J2270" t="inlineStr">
        <is>
          <t>Created MTR-IOS-2269 and correlation note visible in Activity/Pulse</t>
        </is>
      </c>
      <c r="K2270" t="inlineStr">
        <is>
          <t>NOT_RUN</t>
        </is>
      </c>
      <c r="P2270" t="n">
        <v>0</v>
      </c>
      <c r="Q2270" t="n">
        <v>2269</v>
      </c>
    </row>
    <row r="2271">
      <c r="A2271" t="n">
        <v>2270</v>
      </c>
      <c r="B2271" t="inlineStr">
        <is>
          <t>MTR-IOS-2270</t>
        </is>
      </c>
      <c r="C2271" t="inlineStr">
        <is>
          <t>iPhone</t>
        </is>
      </c>
      <c r="D2271" t="inlineStr">
        <is>
          <t>Group</t>
        </is>
      </c>
      <c r="E2271" t="inlineStr">
        <is>
          <t>Shared Experience</t>
        </is>
      </c>
      <c r="F2271" t="inlineStr">
        <is>
          <t>Trip</t>
        </is>
      </c>
      <c r="G2271" t="inlineStr">
        <is>
          <t>Food</t>
        </is>
      </c>
      <c r="H2271" t="inlineStr">
        <is>
          <t>Group &gt; Trip &gt; Quick Add &gt; Food</t>
        </is>
      </c>
      <c r="I2271" s="18" t="n">
        <v>2382.8</v>
      </c>
      <c r="J2271" t="inlineStr">
        <is>
          <t>Created MTR-IOS-2270 and correlation note visible in Activity/Pulse</t>
        </is>
      </c>
      <c r="K2271" t="inlineStr">
        <is>
          <t>NOT_RUN</t>
        </is>
      </c>
      <c r="P2271" t="n">
        <v>0</v>
      </c>
      <c r="Q2271" t="n">
        <v>2270</v>
      </c>
    </row>
    <row r="2272">
      <c r="A2272" t="n">
        <v>2271</v>
      </c>
      <c r="B2272" t="inlineStr">
        <is>
          <t>MTR-IOS-2271</t>
        </is>
      </c>
      <c r="C2272" t="inlineStr">
        <is>
          <t>iPhone</t>
        </is>
      </c>
      <c r="D2272" t="inlineStr">
        <is>
          <t>Business</t>
        </is>
      </c>
      <c r="E2272" t="inlineStr">
        <is>
          <t>Business</t>
        </is>
      </c>
      <c r="F2272" t="inlineStr">
        <is>
          <t>Team Operations</t>
        </is>
      </c>
      <c r="G2272" t="inlineStr">
        <is>
          <t>Payroll</t>
        </is>
      </c>
      <c r="H2272" t="inlineStr">
        <is>
          <t>Business &gt; Team Operations &gt; Quick Add &gt; Payroll</t>
        </is>
      </c>
      <c r="I2272" s="18" t="n">
        <v>79500.53</v>
      </c>
      <c r="J2272" t="inlineStr">
        <is>
          <t>Created MTR-IOS-2271 and correlation note visible in Activity/Pulse</t>
        </is>
      </c>
      <c r="K2272" t="inlineStr">
        <is>
          <t>NOT_RUN</t>
        </is>
      </c>
      <c r="P2272" t="n">
        <v>0</v>
      </c>
      <c r="Q2272" t="n">
        <v>2271</v>
      </c>
    </row>
    <row r="2273">
      <c r="A2273" t="n">
        <v>2272</v>
      </c>
      <c r="B2273" t="inlineStr">
        <is>
          <t>MTR-IOS-2272</t>
        </is>
      </c>
      <c r="C2273" t="inlineStr">
        <is>
          <t>iPhone</t>
        </is>
      </c>
      <c r="D2273" t="inlineStr">
        <is>
          <t>Personal</t>
        </is>
      </c>
      <c r="E2273" t="inlineStr">
        <is>
          <t>Personal</t>
        </is>
      </c>
      <c r="F2273" t="inlineStr">
        <is>
          <t>Relationships</t>
        </is>
      </c>
      <c r="G2273" t="inlineStr">
        <is>
          <t>Friends</t>
        </is>
      </c>
      <c r="H2273" t="inlineStr">
        <is>
          <t>Personal &gt; Relationships &gt; Quick Add &gt; Friends</t>
        </is>
      </c>
      <c r="I2273" s="18" t="n">
        <v>326.24</v>
      </c>
      <c r="J2273" t="inlineStr">
        <is>
          <t>Created MTR-IOS-2272 and correlation note visible in Activity/Pulse</t>
        </is>
      </c>
      <c r="K2273" t="inlineStr">
        <is>
          <t>NOT_RUN</t>
        </is>
      </c>
      <c r="P2273" t="n">
        <v>0</v>
      </c>
      <c r="Q2273" t="n">
        <v>2272</v>
      </c>
    </row>
    <row r="2274">
      <c r="A2274" t="n">
        <v>2273</v>
      </c>
      <c r="B2274" t="inlineStr">
        <is>
          <t>MTR-IOS-2273</t>
        </is>
      </c>
      <c r="C2274" t="inlineStr">
        <is>
          <t>iPhone</t>
        </is>
      </c>
      <c r="D2274" t="inlineStr">
        <is>
          <t>Group</t>
        </is>
      </c>
      <c r="E2274" t="inlineStr">
        <is>
          <t>Shared Experience</t>
        </is>
      </c>
      <c r="F2274" t="inlineStr">
        <is>
          <t>Trip</t>
        </is>
      </c>
      <c r="G2274" t="inlineStr">
        <is>
          <t>Local Transport</t>
        </is>
      </c>
      <c r="H2274" t="inlineStr">
        <is>
          <t>Group &gt; Trip &gt; Quick Add &gt; Local Transport</t>
        </is>
      </c>
      <c r="I2274" s="18" t="n">
        <v>16838.33</v>
      </c>
      <c r="J2274" t="inlineStr">
        <is>
          <t>Created MTR-IOS-2273 and correlation note visible in Activity/Pulse</t>
        </is>
      </c>
      <c r="K2274" t="inlineStr">
        <is>
          <t>NOT_RUN</t>
        </is>
      </c>
      <c r="P2274" t="n">
        <v>0</v>
      </c>
      <c r="Q2274" t="n">
        <v>2273</v>
      </c>
    </row>
    <row r="2275">
      <c r="A2275" t="n">
        <v>2274</v>
      </c>
      <c r="B2275" t="inlineStr">
        <is>
          <t>MTR-IOS-2274</t>
        </is>
      </c>
      <c r="C2275" t="inlineStr">
        <is>
          <t>iPhone</t>
        </is>
      </c>
      <c r="D2275" t="inlineStr">
        <is>
          <t>Business</t>
        </is>
      </c>
      <c r="E2275" t="inlineStr">
        <is>
          <t>Business</t>
        </is>
      </c>
      <c r="F2275" t="inlineStr">
        <is>
          <t>Team Operations</t>
        </is>
      </c>
      <c r="G2275" t="inlineStr">
        <is>
          <t>Contractor</t>
        </is>
      </c>
      <c r="H2275" t="inlineStr">
        <is>
          <t>Business &gt; Team Operations &gt; Quick Add &gt; Contractor</t>
        </is>
      </c>
      <c r="I2275" s="18" t="n">
        <v>81006.49000000001</v>
      </c>
      <c r="J2275" t="inlineStr">
        <is>
          <t>Created MTR-IOS-2274 and correlation note visible in Activity/Pulse</t>
        </is>
      </c>
      <c r="K2275" t="inlineStr">
        <is>
          <t>NOT_RUN</t>
        </is>
      </c>
      <c r="P2275" t="n">
        <v>0</v>
      </c>
      <c r="Q2275" t="n">
        <v>2274</v>
      </c>
    </row>
    <row r="2276">
      <c r="A2276" t="n">
        <v>2275</v>
      </c>
      <c r="B2276" t="inlineStr">
        <is>
          <t>MTR-IOS-2275</t>
        </is>
      </c>
      <c r="C2276" t="inlineStr">
        <is>
          <t>iPhone</t>
        </is>
      </c>
      <c r="D2276" t="inlineStr">
        <is>
          <t>Personal</t>
        </is>
      </c>
      <c r="E2276" t="inlineStr">
        <is>
          <t>Personal</t>
        </is>
      </c>
      <c r="F2276" t="inlineStr">
        <is>
          <t>Relationships</t>
        </is>
      </c>
      <c r="G2276" t="inlineStr">
        <is>
          <t>Celebrations</t>
        </is>
      </c>
      <c r="H2276" t="inlineStr">
        <is>
          <t>Personal &gt; Relationships &gt; Quick Add &gt; Celebrations</t>
        </is>
      </c>
      <c r="I2276" s="18" t="n">
        <v>15694.02</v>
      </c>
      <c r="J2276" t="inlineStr">
        <is>
          <t>Created MTR-IOS-2275 and correlation note visible in Activity/Pulse</t>
        </is>
      </c>
      <c r="K2276" t="inlineStr">
        <is>
          <t>NOT_RUN</t>
        </is>
      </c>
      <c r="P2276" t="n">
        <v>0</v>
      </c>
      <c r="Q2276" t="n">
        <v>2275</v>
      </c>
    </row>
    <row r="2277">
      <c r="A2277" t="n">
        <v>2276</v>
      </c>
      <c r="B2277" t="inlineStr">
        <is>
          <t>MTR-IOS-2276</t>
        </is>
      </c>
      <c r="C2277" t="inlineStr">
        <is>
          <t>iPhone</t>
        </is>
      </c>
      <c r="D2277" t="inlineStr">
        <is>
          <t>Group</t>
        </is>
      </c>
      <c r="E2277" t="inlineStr">
        <is>
          <t>Shared Experience</t>
        </is>
      </c>
      <c r="F2277" t="inlineStr">
        <is>
          <t>Trip</t>
        </is>
      </c>
      <c r="G2277" t="inlineStr">
        <is>
          <t>Activities</t>
        </is>
      </c>
      <c r="H2277" t="inlineStr">
        <is>
          <t>Group &gt; Trip &gt; Quick Add &gt; Activities</t>
        </is>
      </c>
      <c r="I2277" s="18" t="n">
        <v>3431.53</v>
      </c>
      <c r="J2277" t="inlineStr">
        <is>
          <t>Created MTR-IOS-2276 and correlation note visible in Activity/Pulse</t>
        </is>
      </c>
      <c r="K2277" t="inlineStr">
        <is>
          <t>NOT_RUN</t>
        </is>
      </c>
      <c r="P2277" t="n">
        <v>0</v>
      </c>
      <c r="Q2277" t="n">
        <v>2276</v>
      </c>
    </row>
    <row r="2278">
      <c r="A2278" t="n">
        <v>2277</v>
      </c>
      <c r="B2278" t="inlineStr">
        <is>
          <t>MTR-IOS-2277</t>
        </is>
      </c>
      <c r="C2278" t="inlineStr">
        <is>
          <t>iPhone</t>
        </is>
      </c>
      <c r="D2278" t="inlineStr">
        <is>
          <t>Business</t>
        </is>
      </c>
      <c r="E2278" t="inlineStr">
        <is>
          <t>Business</t>
        </is>
      </c>
      <c r="F2278" t="inlineStr">
        <is>
          <t>Team Operations</t>
        </is>
      </c>
      <c r="G2278" t="inlineStr">
        <is>
          <t>Hiring</t>
        </is>
      </c>
      <c r="H2278" t="inlineStr">
        <is>
          <t>Business &gt; Team Operations &gt; Quick Add &gt; Hiring</t>
        </is>
      </c>
      <c r="I2278" s="18" t="n">
        <v>76109.25</v>
      </c>
      <c r="J2278" t="inlineStr">
        <is>
          <t>Created MTR-IOS-2277 and correlation note visible in Activity/Pulse</t>
        </is>
      </c>
      <c r="K2278" t="inlineStr">
        <is>
          <t>NOT_RUN</t>
        </is>
      </c>
      <c r="P2278" t="n">
        <v>0</v>
      </c>
      <c r="Q2278" t="n">
        <v>2277</v>
      </c>
    </row>
    <row r="2279">
      <c r="A2279" t="n">
        <v>2278</v>
      </c>
      <c r="B2279" t="inlineStr">
        <is>
          <t>MTR-IOS-2278</t>
        </is>
      </c>
      <c r="C2279" t="inlineStr">
        <is>
          <t>iPhone</t>
        </is>
      </c>
      <c r="D2279" t="inlineStr">
        <is>
          <t>Personal</t>
        </is>
      </c>
      <c r="E2279" t="inlineStr">
        <is>
          <t>Personal</t>
        </is>
      </c>
      <c r="F2279" t="inlineStr">
        <is>
          <t>Life Operations</t>
        </is>
      </c>
      <c r="G2279" t="inlineStr">
        <is>
          <t>Groceries</t>
        </is>
      </c>
      <c r="H2279" t="inlineStr">
        <is>
          <t>Personal &gt; Life Operations &gt; Quick Add &gt; Groceries</t>
        </is>
      </c>
      <c r="I2279" s="18" t="n">
        <v>12276.3</v>
      </c>
      <c r="J2279" t="inlineStr">
        <is>
          <t>Created MTR-IOS-2278 and correlation note visible in Activity/Pulse</t>
        </is>
      </c>
      <c r="K2279" t="inlineStr">
        <is>
          <t>NOT_RUN</t>
        </is>
      </c>
      <c r="P2279" t="n">
        <v>0</v>
      </c>
      <c r="Q2279" t="n">
        <v>2278</v>
      </c>
    </row>
    <row r="2280">
      <c r="A2280" t="n">
        <v>2279</v>
      </c>
      <c r="B2280" t="inlineStr">
        <is>
          <t>MTR-IOS-2279</t>
        </is>
      </c>
      <c r="C2280" t="inlineStr">
        <is>
          <t>iPhone</t>
        </is>
      </c>
      <c r="D2280" t="inlineStr">
        <is>
          <t>Group</t>
        </is>
      </c>
      <c r="E2280" t="inlineStr">
        <is>
          <t>Shared Experience</t>
        </is>
      </c>
      <c r="F2280" t="inlineStr">
        <is>
          <t>Trip</t>
        </is>
      </c>
      <c r="G2280" t="inlineStr">
        <is>
          <t>Shopping</t>
        </is>
      </c>
      <c r="H2280" t="inlineStr">
        <is>
          <t>Group &gt; Trip &gt; Quick Add &gt; Shopping</t>
        </is>
      </c>
      <c r="I2280" s="18" t="n">
        <v>21926.81</v>
      </c>
      <c r="J2280" t="inlineStr">
        <is>
          <t>Created MTR-IOS-2279 and correlation note visible in Activity/Pulse</t>
        </is>
      </c>
      <c r="K2280" t="inlineStr">
        <is>
          <t>NOT_RUN</t>
        </is>
      </c>
      <c r="P2280" t="n">
        <v>0</v>
      </c>
      <c r="Q2280" t="n">
        <v>2279</v>
      </c>
    </row>
    <row r="2281">
      <c r="A2281" t="n">
        <v>2280</v>
      </c>
      <c r="B2281" t="inlineStr">
        <is>
          <t>MTR-IOS-2280</t>
        </is>
      </c>
      <c r="C2281" t="inlineStr">
        <is>
          <t>iPhone</t>
        </is>
      </c>
      <c r="D2281" t="inlineStr">
        <is>
          <t>Business</t>
        </is>
      </c>
      <c r="E2281" t="inlineStr">
        <is>
          <t>Business</t>
        </is>
      </c>
      <c r="F2281" t="inlineStr">
        <is>
          <t>Team Operations</t>
        </is>
      </c>
      <c r="G2281" t="inlineStr">
        <is>
          <t>Team Meal</t>
        </is>
      </c>
      <c r="H2281" t="inlineStr">
        <is>
          <t>Business &gt; Team Operations &gt; Quick Add &gt; Team Meal</t>
        </is>
      </c>
      <c r="I2281" s="18" t="n">
        <v>157058.35</v>
      </c>
      <c r="J2281" t="inlineStr">
        <is>
          <t>Created MTR-IOS-2280 and correlation note visible in Activity/Pulse</t>
        </is>
      </c>
      <c r="K2281" t="inlineStr">
        <is>
          <t>NOT_RUN</t>
        </is>
      </c>
      <c r="P2281" t="n">
        <v>0</v>
      </c>
      <c r="Q2281" t="n">
        <v>2280</v>
      </c>
    </row>
    <row r="2282">
      <c r="A2282" t="n">
        <v>2281</v>
      </c>
      <c r="B2282" t="inlineStr">
        <is>
          <t>MTR-IOS-2281</t>
        </is>
      </c>
      <c r="C2282" t="inlineStr">
        <is>
          <t>iPhone</t>
        </is>
      </c>
      <c r="D2282" t="inlineStr">
        <is>
          <t>Personal</t>
        </is>
      </c>
      <c r="E2282" t="inlineStr">
        <is>
          <t>Personal</t>
        </is>
      </c>
      <c r="F2282" t="inlineStr">
        <is>
          <t>Life Operations</t>
        </is>
      </c>
      <c r="G2282" t="inlineStr">
        <is>
          <t>Rent</t>
        </is>
      </c>
      <c r="H2282" t="inlineStr">
        <is>
          <t>Personal &gt; Life Operations &gt; Quick Add &gt; Rent</t>
        </is>
      </c>
      <c r="I2282" s="18" t="n">
        <v>1567.8</v>
      </c>
      <c r="J2282" t="inlineStr">
        <is>
          <t>Created MTR-IOS-2281 and correlation note visible in Activity/Pulse</t>
        </is>
      </c>
      <c r="K2282" t="inlineStr">
        <is>
          <t>NOT_RUN</t>
        </is>
      </c>
      <c r="P2282" t="n">
        <v>0</v>
      </c>
      <c r="Q2282" t="n">
        <v>2281</v>
      </c>
    </row>
    <row r="2283">
      <c r="A2283" t="n">
        <v>2282</v>
      </c>
      <c r="B2283" t="inlineStr">
        <is>
          <t>MTR-IOS-2282</t>
        </is>
      </c>
      <c r="C2283" t="inlineStr">
        <is>
          <t>iPhone</t>
        </is>
      </c>
      <c r="D2283" t="inlineStr">
        <is>
          <t>Group</t>
        </is>
      </c>
      <c r="E2283" t="inlineStr">
        <is>
          <t>Shared Experience</t>
        </is>
      </c>
      <c r="F2283" t="inlineStr">
        <is>
          <t>Trip</t>
        </is>
      </c>
      <c r="G2283" t="inlineStr">
        <is>
          <t>Other</t>
        </is>
      </c>
      <c r="H2283" t="inlineStr">
        <is>
          <t>Group &gt; Trip &gt; Quick Add &gt; Other</t>
        </is>
      </c>
      <c r="I2283" s="18" t="n">
        <v>8508.129999999999</v>
      </c>
      <c r="J2283" t="inlineStr">
        <is>
          <t>Created MTR-IOS-2282 and correlation note visible in Activity/Pulse</t>
        </is>
      </c>
      <c r="K2283" t="inlineStr">
        <is>
          <t>NOT_RUN</t>
        </is>
      </c>
      <c r="P2283" t="n">
        <v>0</v>
      </c>
      <c r="Q2283" t="n">
        <v>2282</v>
      </c>
    </row>
    <row r="2284">
      <c r="A2284" t="n">
        <v>2283</v>
      </c>
      <c r="B2284" t="inlineStr">
        <is>
          <t>MTR-IOS-2283</t>
        </is>
      </c>
      <c r="C2284" t="inlineStr">
        <is>
          <t>iPhone</t>
        </is>
      </c>
      <c r="D2284" t="inlineStr">
        <is>
          <t>Business</t>
        </is>
      </c>
      <c r="E2284" t="inlineStr">
        <is>
          <t>Business</t>
        </is>
      </c>
      <c r="F2284" t="inlineStr">
        <is>
          <t>Team Operations</t>
        </is>
      </c>
      <c r="G2284" t="inlineStr">
        <is>
          <t>Travel</t>
        </is>
      </c>
      <c r="H2284" t="inlineStr">
        <is>
          <t>Business &gt; Team Operations &gt; Quick Add &gt; Travel</t>
        </is>
      </c>
      <c r="I2284" s="18" t="n">
        <v>35372.21</v>
      </c>
      <c r="J2284" t="inlineStr">
        <is>
          <t>Created MTR-IOS-2283 and correlation note visible in Activity/Pulse</t>
        </is>
      </c>
      <c r="K2284" t="inlineStr">
        <is>
          <t>NOT_RUN</t>
        </is>
      </c>
      <c r="P2284" t="n">
        <v>0</v>
      </c>
      <c r="Q2284" t="n">
        <v>2283</v>
      </c>
    </row>
    <row r="2285">
      <c r="A2285" t="n">
        <v>2284</v>
      </c>
      <c r="B2285" t="inlineStr">
        <is>
          <t>MTR-IOS-2284</t>
        </is>
      </c>
      <c r="C2285" t="inlineStr">
        <is>
          <t>iPhone</t>
        </is>
      </c>
      <c r="D2285" t="inlineStr">
        <is>
          <t>Personal</t>
        </is>
      </c>
      <c r="E2285" t="inlineStr">
        <is>
          <t>Personal</t>
        </is>
      </c>
      <c r="F2285" t="inlineStr">
        <is>
          <t>Life Operations</t>
        </is>
      </c>
      <c r="G2285" t="inlineStr">
        <is>
          <t>Bills</t>
        </is>
      </c>
      <c r="H2285" t="inlineStr">
        <is>
          <t>Personal &gt; Life Operations &gt; Quick Add &gt; Bills</t>
        </is>
      </c>
      <c r="I2285" s="18" t="n">
        <v>15211.33</v>
      </c>
      <c r="J2285" t="inlineStr">
        <is>
          <t>Created MTR-IOS-2284 and correlation note visible in Activity/Pulse</t>
        </is>
      </c>
      <c r="K2285" t="inlineStr">
        <is>
          <t>NOT_RUN</t>
        </is>
      </c>
      <c r="P2285" t="n">
        <v>0</v>
      </c>
      <c r="Q2285" t="n">
        <v>2284</v>
      </c>
    </row>
    <row r="2286">
      <c r="A2286" t="n">
        <v>2285</v>
      </c>
      <c r="B2286" t="inlineStr">
        <is>
          <t>MTR-IOS-2285</t>
        </is>
      </c>
      <c r="C2286" t="inlineStr">
        <is>
          <t>iPhone</t>
        </is>
      </c>
      <c r="D2286" t="inlineStr">
        <is>
          <t>Group</t>
        </is>
      </c>
      <c r="E2286" t="inlineStr">
        <is>
          <t>Shared Experience</t>
        </is>
      </c>
      <c r="F2286" t="inlineStr">
        <is>
          <t>Wedding</t>
        </is>
      </c>
      <c r="G2286" t="inlineStr">
        <is>
          <t>Venue</t>
        </is>
      </c>
      <c r="H2286" t="inlineStr">
        <is>
          <t>Group &gt; Wedding &gt; Quick Add &gt; Venue</t>
        </is>
      </c>
      <c r="I2286" s="18" t="n">
        <v>18685.87</v>
      </c>
      <c r="J2286" t="inlineStr">
        <is>
          <t>Created MTR-IOS-2285 and correlation note visible in Activity/Pulse</t>
        </is>
      </c>
      <c r="K2286" t="inlineStr">
        <is>
          <t>NOT_RUN</t>
        </is>
      </c>
      <c r="P2286" t="n">
        <v>0</v>
      </c>
      <c r="Q2286" t="n">
        <v>2285</v>
      </c>
    </row>
    <row r="2287">
      <c r="A2287" t="n">
        <v>2286</v>
      </c>
      <c r="B2287" t="inlineStr">
        <is>
          <t>MTR-IOS-2286</t>
        </is>
      </c>
      <c r="C2287" t="inlineStr">
        <is>
          <t>iPhone</t>
        </is>
      </c>
      <c r="D2287" t="inlineStr">
        <is>
          <t>Business</t>
        </is>
      </c>
      <c r="E2287" t="inlineStr">
        <is>
          <t>Business</t>
        </is>
      </c>
      <c r="F2287" t="inlineStr">
        <is>
          <t>Team Operations</t>
        </is>
      </c>
      <c r="G2287" t="inlineStr">
        <is>
          <t>Training</t>
        </is>
      </c>
      <c r="H2287" t="inlineStr">
        <is>
          <t>Business &gt; Team Operations &gt; Quick Add &gt; Training</t>
        </is>
      </c>
      <c r="I2287" s="18" t="n">
        <v>74139.59</v>
      </c>
      <c r="J2287" t="inlineStr">
        <is>
          <t>Created MTR-IOS-2286 and correlation note visible in Activity/Pulse</t>
        </is>
      </c>
      <c r="K2287" t="inlineStr">
        <is>
          <t>NOT_RUN</t>
        </is>
      </c>
      <c r="P2287" t="n">
        <v>0</v>
      </c>
      <c r="Q2287" t="n">
        <v>2286</v>
      </c>
    </row>
    <row r="2288">
      <c r="A2288" t="n">
        <v>2287</v>
      </c>
      <c r="B2288" t="inlineStr">
        <is>
          <t>MTR-IOS-2287</t>
        </is>
      </c>
      <c r="C2288" t="inlineStr">
        <is>
          <t>iPhone</t>
        </is>
      </c>
      <c r="D2288" t="inlineStr">
        <is>
          <t>Personal</t>
        </is>
      </c>
      <c r="E2288" t="inlineStr">
        <is>
          <t>Personal</t>
        </is>
      </c>
      <c r="F2288" t="inlineStr">
        <is>
          <t>Life Operations</t>
        </is>
      </c>
      <c r="G2288" t="inlineStr">
        <is>
          <t>Transport</t>
        </is>
      </c>
      <c r="H2288" t="inlineStr">
        <is>
          <t>Personal &gt; Life Operations &gt; Quick Add &gt; Transport</t>
        </is>
      </c>
      <c r="I2288" s="18" t="n">
        <v>3153.07</v>
      </c>
      <c r="J2288" t="inlineStr">
        <is>
          <t>Created MTR-IOS-2287 and correlation note visible in Activity/Pulse</t>
        </is>
      </c>
      <c r="K2288" t="inlineStr">
        <is>
          <t>NOT_RUN</t>
        </is>
      </c>
      <c r="P2288" t="n">
        <v>0</v>
      </c>
      <c r="Q2288" t="n">
        <v>2287</v>
      </c>
    </row>
    <row r="2289">
      <c r="A2289" t="n">
        <v>2288</v>
      </c>
      <c r="B2289" t="inlineStr">
        <is>
          <t>MTR-IOS-2288</t>
        </is>
      </c>
      <c r="C2289" t="inlineStr">
        <is>
          <t>iPhone</t>
        </is>
      </c>
      <c r="D2289" t="inlineStr">
        <is>
          <t>Group</t>
        </is>
      </c>
      <c r="E2289" t="inlineStr">
        <is>
          <t>Shared Experience</t>
        </is>
      </c>
      <c r="F2289" t="inlineStr">
        <is>
          <t>Wedding</t>
        </is>
      </c>
      <c r="G2289" t="inlineStr">
        <is>
          <t>Catering</t>
        </is>
      </c>
      <c r="H2289" t="inlineStr">
        <is>
          <t>Group &gt; Wedding &gt; Quick Add &gt; Catering</t>
        </is>
      </c>
      <c r="I2289" s="18" t="n">
        <v>5001.39</v>
      </c>
      <c r="J2289" t="inlineStr">
        <is>
          <t>Created MTR-IOS-2288 and correlation note visible in Activity/Pulse</t>
        </is>
      </c>
      <c r="K2289" t="inlineStr">
        <is>
          <t>NOT_RUN</t>
        </is>
      </c>
      <c r="P2289" t="n">
        <v>0</v>
      </c>
      <c r="Q2289" t="n">
        <v>2288</v>
      </c>
    </row>
    <row r="2290">
      <c r="A2290" t="n">
        <v>2289</v>
      </c>
      <c r="B2290" t="inlineStr">
        <is>
          <t>MTR-IOS-2289</t>
        </is>
      </c>
      <c r="C2290" t="inlineStr">
        <is>
          <t>iPhone</t>
        </is>
      </c>
      <c r="D2290" t="inlineStr">
        <is>
          <t>Business</t>
        </is>
      </c>
      <c r="E2290" t="inlineStr">
        <is>
          <t>Business</t>
        </is>
      </c>
      <c r="F2290" t="inlineStr">
        <is>
          <t>Team Operations</t>
        </is>
      </c>
      <c r="G2290" t="inlineStr">
        <is>
          <t>Tools</t>
        </is>
      </c>
      <c r="H2290" t="inlineStr">
        <is>
          <t>Business &gt; Team Operations &gt; Quick Add &gt; Tools</t>
        </is>
      </c>
      <c r="I2290" s="18" t="n">
        <v>104778.14</v>
      </c>
      <c r="J2290" t="inlineStr">
        <is>
          <t>Created MTR-IOS-2289 and correlation note visible in Activity/Pulse</t>
        </is>
      </c>
      <c r="K2290" t="inlineStr">
        <is>
          <t>NOT_RUN</t>
        </is>
      </c>
      <c r="P2290" t="n">
        <v>0</v>
      </c>
      <c r="Q2290" t="n">
        <v>2289</v>
      </c>
    </row>
    <row r="2291">
      <c r="A2291" t="n">
        <v>2290</v>
      </c>
      <c r="B2291" t="inlineStr">
        <is>
          <t>MTR-IOS-2290</t>
        </is>
      </c>
      <c r="C2291" t="inlineStr">
        <is>
          <t>iPhone</t>
        </is>
      </c>
      <c r="D2291" t="inlineStr">
        <is>
          <t>Personal</t>
        </is>
      </c>
      <c r="E2291" t="inlineStr">
        <is>
          <t>Personal</t>
        </is>
      </c>
      <c r="F2291" t="inlineStr">
        <is>
          <t>Life Operations</t>
        </is>
      </c>
      <c r="G2291" t="inlineStr">
        <is>
          <t>Healthcare</t>
        </is>
      </c>
      <c r="H2291" t="inlineStr">
        <is>
          <t>Personal &gt; Life Operations &gt; Quick Add &gt; Healthcare</t>
        </is>
      </c>
      <c r="I2291" s="18" t="n">
        <v>16978.81</v>
      </c>
      <c r="J2291" t="inlineStr">
        <is>
          <t>Created MTR-IOS-2290 and correlation note visible in Activity/Pulse</t>
        </is>
      </c>
      <c r="K2291" t="inlineStr">
        <is>
          <t>NOT_RUN</t>
        </is>
      </c>
      <c r="P2291" t="n">
        <v>0</v>
      </c>
      <c r="Q2291" t="n">
        <v>2290</v>
      </c>
    </row>
    <row r="2292">
      <c r="A2292" t="n">
        <v>2291</v>
      </c>
      <c r="B2292" t="inlineStr">
        <is>
          <t>MTR-IOS-2291</t>
        </is>
      </c>
      <c r="C2292" t="inlineStr">
        <is>
          <t>iPhone</t>
        </is>
      </c>
      <c r="D2292" t="inlineStr">
        <is>
          <t>Group</t>
        </is>
      </c>
      <c r="E2292" t="inlineStr">
        <is>
          <t>Shared Experience</t>
        </is>
      </c>
      <c r="F2292" t="inlineStr">
        <is>
          <t>Wedding</t>
        </is>
      </c>
      <c r="G2292" t="inlineStr">
        <is>
          <t>Decor</t>
        </is>
      </c>
      <c r="H2292" t="inlineStr">
        <is>
          <t>Group &gt; Wedding &gt; Quick Add &gt; Decor</t>
        </is>
      </c>
      <c r="I2292" s="18" t="n">
        <v>15997.71</v>
      </c>
      <c r="J2292" t="inlineStr">
        <is>
          <t>Created MTR-IOS-2291 and correlation note visible in Activity/Pulse</t>
        </is>
      </c>
      <c r="K2292" t="inlineStr">
        <is>
          <t>NOT_RUN</t>
        </is>
      </c>
      <c r="P2292" t="n">
        <v>0</v>
      </c>
      <c r="Q2292" t="n">
        <v>2291</v>
      </c>
    </row>
    <row r="2293">
      <c r="A2293" t="n">
        <v>2292</v>
      </c>
      <c r="B2293" t="inlineStr">
        <is>
          <t>MTR-IOS-2292</t>
        </is>
      </c>
      <c r="C2293" t="inlineStr">
        <is>
          <t>iPhone</t>
        </is>
      </c>
      <c r="D2293" t="inlineStr">
        <is>
          <t>Business</t>
        </is>
      </c>
      <c r="E2293" t="inlineStr">
        <is>
          <t>Business</t>
        </is>
      </c>
      <c r="F2293" t="inlineStr">
        <is>
          <t>Business Runway</t>
        </is>
      </c>
      <c r="G2293" t="inlineStr">
        <is>
          <t>Funding</t>
        </is>
      </c>
      <c r="H2293" t="inlineStr">
        <is>
          <t>Business &gt; Business Runway &gt; Quick Add &gt; Funding</t>
        </is>
      </c>
      <c r="I2293" s="18" t="n">
        <v>54441.19</v>
      </c>
      <c r="J2293" t="inlineStr">
        <is>
          <t>Created MTR-IOS-2292 and correlation note visible in Activity/Pulse</t>
        </is>
      </c>
      <c r="K2293" t="inlineStr">
        <is>
          <t>NOT_RUN</t>
        </is>
      </c>
      <c r="P2293" t="n">
        <v>0</v>
      </c>
      <c r="Q2293" t="n">
        <v>2292</v>
      </c>
    </row>
    <row r="2294">
      <c r="A2294" t="n">
        <v>2293</v>
      </c>
      <c r="B2294" t="inlineStr">
        <is>
          <t>MTR-IOS-2293</t>
        </is>
      </c>
      <c r="C2294" t="inlineStr">
        <is>
          <t>iPhone</t>
        </is>
      </c>
      <c r="D2294" t="inlineStr">
        <is>
          <t>Personal</t>
        </is>
      </c>
      <c r="E2294" t="inlineStr">
        <is>
          <t>Personal</t>
        </is>
      </c>
      <c r="F2294" t="inlineStr">
        <is>
          <t>Life Operations</t>
        </is>
      </c>
      <c r="G2294" t="inlineStr">
        <is>
          <t>Subscriptions</t>
        </is>
      </c>
      <c r="H2294" t="inlineStr">
        <is>
          <t>Personal &gt; Life Operations &gt; Quick Add &gt; Subscriptions</t>
        </is>
      </c>
      <c r="I2294" s="18" t="n">
        <v>15804.4</v>
      </c>
      <c r="J2294" t="inlineStr">
        <is>
          <t>Created MTR-IOS-2293 and correlation note visible in Activity/Pulse</t>
        </is>
      </c>
      <c r="K2294" t="inlineStr">
        <is>
          <t>NOT_RUN</t>
        </is>
      </c>
      <c r="P2294" t="n">
        <v>0</v>
      </c>
      <c r="Q2294" t="n">
        <v>2293</v>
      </c>
    </row>
    <row r="2295">
      <c r="A2295" t="n">
        <v>2294</v>
      </c>
      <c r="B2295" t="inlineStr">
        <is>
          <t>MTR-IOS-2294</t>
        </is>
      </c>
      <c r="C2295" t="inlineStr">
        <is>
          <t>iPhone</t>
        </is>
      </c>
      <c r="D2295" t="inlineStr">
        <is>
          <t>Group</t>
        </is>
      </c>
      <c r="E2295" t="inlineStr">
        <is>
          <t>Shared Experience</t>
        </is>
      </c>
      <c r="F2295" t="inlineStr">
        <is>
          <t>Wedding</t>
        </is>
      </c>
      <c r="G2295" t="inlineStr">
        <is>
          <t>Travel</t>
        </is>
      </c>
      <c r="H2295" t="inlineStr">
        <is>
          <t>Group &gt; Wedding &gt; Quick Add &gt; Travel</t>
        </is>
      </c>
      <c r="I2295" s="18" t="n">
        <v>99.98999999999999</v>
      </c>
      <c r="J2295" t="inlineStr">
        <is>
          <t>Created MTR-IOS-2294 and correlation note visible in Activity/Pulse</t>
        </is>
      </c>
      <c r="K2295" t="inlineStr">
        <is>
          <t>NOT_RUN</t>
        </is>
      </c>
      <c r="P2295" t="n">
        <v>0</v>
      </c>
      <c r="Q2295" t="n">
        <v>2294</v>
      </c>
    </row>
    <row r="2296">
      <c r="A2296" t="n">
        <v>2295</v>
      </c>
      <c r="B2296" t="inlineStr">
        <is>
          <t>MTR-IOS-2295</t>
        </is>
      </c>
      <c r="C2296" t="inlineStr">
        <is>
          <t>iPhone</t>
        </is>
      </c>
      <c r="D2296" t="inlineStr">
        <is>
          <t>Business</t>
        </is>
      </c>
      <c r="E2296" t="inlineStr">
        <is>
          <t>Business</t>
        </is>
      </c>
      <c r="F2296" t="inlineStr">
        <is>
          <t>Business Runway</t>
        </is>
      </c>
      <c r="G2296" t="inlineStr">
        <is>
          <t>Revenue</t>
        </is>
      </c>
      <c r="H2296" t="inlineStr">
        <is>
          <t>Business &gt; Business Runway &gt; Quick Add &gt; Revenue</t>
        </is>
      </c>
      <c r="I2296" s="18" t="n">
        <v>48911.79</v>
      </c>
      <c r="J2296" t="inlineStr">
        <is>
          <t>Created MTR-IOS-2295 and correlation note visible in Activity/Pulse</t>
        </is>
      </c>
      <c r="K2296" t="inlineStr">
        <is>
          <t>NOT_RUN</t>
        </is>
      </c>
      <c r="P2296" t="n">
        <v>0</v>
      </c>
      <c r="Q2296" t="n">
        <v>2295</v>
      </c>
    </row>
    <row r="2297">
      <c r="A2297" t="n">
        <v>2296</v>
      </c>
      <c r="B2297" t="inlineStr">
        <is>
          <t>MTR-IOS-2296</t>
        </is>
      </c>
      <c r="C2297" t="inlineStr">
        <is>
          <t>iPhone</t>
        </is>
      </c>
      <c r="D2297" t="inlineStr">
        <is>
          <t>Personal</t>
        </is>
      </c>
      <c r="E2297" t="inlineStr">
        <is>
          <t>Personal</t>
        </is>
      </c>
      <c r="F2297" t="inlineStr">
        <is>
          <t>Life Operations</t>
        </is>
      </c>
      <c r="G2297" t="inlineStr">
        <is>
          <t>Repairs</t>
        </is>
      </c>
      <c r="H2297" t="inlineStr">
        <is>
          <t>Personal &gt; Life Operations &gt; Quick Add &gt; Repairs</t>
        </is>
      </c>
      <c r="I2297" s="18" t="n">
        <v>7132.01</v>
      </c>
      <c r="J2297" t="inlineStr">
        <is>
          <t>Created MTR-IOS-2296 and correlation note visible in Activity/Pulse</t>
        </is>
      </c>
      <c r="K2297" t="inlineStr">
        <is>
          <t>NOT_RUN</t>
        </is>
      </c>
      <c r="P2297" t="n">
        <v>0</v>
      </c>
      <c r="Q2297" t="n">
        <v>2296</v>
      </c>
    </row>
    <row r="2298">
      <c r="A2298" t="n">
        <v>2297</v>
      </c>
      <c r="B2298" t="inlineStr">
        <is>
          <t>MTR-IOS-2297</t>
        </is>
      </c>
      <c r="C2298" t="inlineStr">
        <is>
          <t>iPhone</t>
        </is>
      </c>
      <c r="D2298" t="inlineStr">
        <is>
          <t>Group</t>
        </is>
      </c>
      <c r="E2298" t="inlineStr">
        <is>
          <t>Shared Experience</t>
        </is>
      </c>
      <c r="F2298" t="inlineStr">
        <is>
          <t>Wedding</t>
        </is>
      </c>
      <c r="G2298" t="inlineStr">
        <is>
          <t>Gifts</t>
        </is>
      </c>
      <c r="H2298" t="inlineStr">
        <is>
          <t>Group &gt; Wedding &gt; Quick Add &gt; Gifts</t>
        </is>
      </c>
      <c r="I2298" s="18" t="n">
        <v>3299.52</v>
      </c>
      <c r="J2298" t="inlineStr">
        <is>
          <t>Created MTR-IOS-2297 and correlation note visible in Activity/Pulse</t>
        </is>
      </c>
      <c r="K2298" t="inlineStr">
        <is>
          <t>NOT_RUN</t>
        </is>
      </c>
      <c r="P2298" t="n">
        <v>0</v>
      </c>
      <c r="Q2298" t="n">
        <v>2297</v>
      </c>
    </row>
    <row r="2299">
      <c r="A2299" t="n">
        <v>2298</v>
      </c>
      <c r="B2299" t="inlineStr">
        <is>
          <t>MTR-IOS-2298</t>
        </is>
      </c>
      <c r="C2299" t="inlineStr">
        <is>
          <t>iPhone</t>
        </is>
      </c>
      <c r="D2299" t="inlineStr">
        <is>
          <t>Business</t>
        </is>
      </c>
      <c r="E2299" t="inlineStr">
        <is>
          <t>Business</t>
        </is>
      </c>
      <c r="F2299" t="inlineStr">
        <is>
          <t>Business Runway</t>
        </is>
      </c>
      <c r="G2299" t="inlineStr">
        <is>
          <t>Burn</t>
        </is>
      </c>
      <c r="H2299" t="inlineStr">
        <is>
          <t>Business &gt; Business Runway &gt; Quick Add &gt; Burn</t>
        </is>
      </c>
      <c r="I2299" s="18" t="n">
        <v>126030.13</v>
      </c>
      <c r="J2299" t="inlineStr">
        <is>
          <t>Created MTR-IOS-2298 and correlation note visible in Activity/Pulse</t>
        </is>
      </c>
      <c r="K2299" t="inlineStr">
        <is>
          <t>NOT_RUN</t>
        </is>
      </c>
      <c r="P2299" t="n">
        <v>0</v>
      </c>
      <c r="Q2299" t="n">
        <v>2298</v>
      </c>
    </row>
    <row r="2300">
      <c r="A2300" t="n">
        <v>2299</v>
      </c>
      <c r="B2300" t="inlineStr">
        <is>
          <t>MTR-IOS-2299</t>
        </is>
      </c>
      <c r="C2300" t="inlineStr">
        <is>
          <t>iPhone</t>
        </is>
      </c>
      <c r="D2300" t="inlineStr">
        <is>
          <t>Personal</t>
        </is>
      </c>
      <c r="E2300" t="inlineStr">
        <is>
          <t>Personal</t>
        </is>
      </c>
      <c r="F2300" t="inlineStr">
        <is>
          <t>Future Building</t>
        </is>
      </c>
      <c r="G2300" t="inlineStr">
        <is>
          <t>Savings</t>
        </is>
      </c>
      <c r="H2300" t="inlineStr">
        <is>
          <t>Personal &gt; Future Building &gt; Quick Add &gt; Savings</t>
        </is>
      </c>
      <c r="I2300" s="18" t="n">
        <v>8548.25</v>
      </c>
      <c r="J2300" t="inlineStr">
        <is>
          <t>Created MTR-IOS-2299 and correlation note visible in Activity/Pulse</t>
        </is>
      </c>
      <c r="K2300" t="inlineStr">
        <is>
          <t>NOT_RUN</t>
        </is>
      </c>
      <c r="P2300" t="n">
        <v>0</v>
      </c>
      <c r="Q2300" t="n">
        <v>2299</v>
      </c>
    </row>
    <row r="2301">
      <c r="A2301" t="n">
        <v>2300</v>
      </c>
      <c r="B2301" t="inlineStr">
        <is>
          <t>MTR-IOS-2300</t>
        </is>
      </c>
      <c r="C2301" t="inlineStr">
        <is>
          <t>iPhone</t>
        </is>
      </c>
      <c r="D2301" t="inlineStr">
        <is>
          <t>Group</t>
        </is>
      </c>
      <c r="E2301" t="inlineStr">
        <is>
          <t>Shared Experience</t>
        </is>
      </c>
      <c r="F2301" t="inlineStr">
        <is>
          <t>Wedding</t>
        </is>
      </c>
      <c r="G2301" t="inlineStr">
        <is>
          <t>Photography</t>
        </is>
      </c>
      <c r="H2301" t="inlineStr">
        <is>
          <t>Group &gt; Wedding &gt; Quick Add &gt; Photography</t>
        </is>
      </c>
      <c r="I2301" s="18" t="n">
        <v>7418.78</v>
      </c>
      <c r="J2301" t="inlineStr">
        <is>
          <t>Created MTR-IOS-2300 and correlation note visible in Activity/Pulse</t>
        </is>
      </c>
      <c r="K2301" t="inlineStr">
        <is>
          <t>NOT_RUN</t>
        </is>
      </c>
      <c r="P2301" t="n">
        <v>0</v>
      </c>
      <c r="Q2301" t="n">
        <v>2300</v>
      </c>
    </row>
    <row r="2302">
      <c r="A2302" t="n">
        <v>2301</v>
      </c>
      <c r="B2302" t="inlineStr">
        <is>
          <t>MTR-IOS-2301</t>
        </is>
      </c>
      <c r="C2302" t="inlineStr">
        <is>
          <t>iPhone</t>
        </is>
      </c>
      <c r="D2302" t="inlineStr">
        <is>
          <t>Business</t>
        </is>
      </c>
      <c r="E2302" t="inlineStr">
        <is>
          <t>Business</t>
        </is>
      </c>
      <c r="F2302" t="inlineStr">
        <is>
          <t>Business Runway</t>
        </is>
      </c>
      <c r="G2302" t="inlineStr">
        <is>
          <t>Reserve</t>
        </is>
      </c>
      <c r="H2302" t="inlineStr">
        <is>
          <t>Business &gt; Business Runway &gt; Quick Add &gt; Reserve</t>
        </is>
      </c>
      <c r="I2302" s="18" t="n">
        <v>8518.959999999999</v>
      </c>
      <c r="J2302" t="inlineStr">
        <is>
          <t>Created MTR-IOS-2301 and correlation note visible in Activity/Pulse</t>
        </is>
      </c>
      <c r="K2302" t="inlineStr">
        <is>
          <t>NOT_RUN</t>
        </is>
      </c>
      <c r="P2302" t="n">
        <v>0</v>
      </c>
      <c r="Q2302" t="n">
        <v>2301</v>
      </c>
    </row>
    <row r="2303">
      <c r="A2303" t="n">
        <v>2302</v>
      </c>
      <c r="B2303" t="inlineStr">
        <is>
          <t>MTR-IOS-2302</t>
        </is>
      </c>
      <c r="C2303" t="inlineStr">
        <is>
          <t>iPhone</t>
        </is>
      </c>
      <c r="D2303" t="inlineStr">
        <is>
          <t>Personal</t>
        </is>
      </c>
      <c r="E2303" t="inlineStr">
        <is>
          <t>Personal</t>
        </is>
      </c>
      <c r="F2303" t="inlineStr">
        <is>
          <t>Future Building</t>
        </is>
      </c>
      <c r="G2303" t="inlineStr">
        <is>
          <t>Emergency Fund</t>
        </is>
      </c>
      <c r="H2303" t="inlineStr">
        <is>
          <t>Personal &gt; Future Building &gt; Quick Add &gt; Emergency Fund</t>
        </is>
      </c>
      <c r="I2303" s="18" t="n">
        <v>6236.69</v>
      </c>
      <c r="J2303" t="inlineStr">
        <is>
          <t>Created MTR-IOS-2302 and correlation note visible in Activity/Pulse</t>
        </is>
      </c>
      <c r="K2303" t="inlineStr">
        <is>
          <t>NOT_RUN</t>
        </is>
      </c>
      <c r="P2303" t="n">
        <v>0</v>
      </c>
      <c r="Q2303" t="n">
        <v>2302</v>
      </c>
    </row>
    <row r="2304">
      <c r="A2304" t="n">
        <v>2303</v>
      </c>
      <c r="B2304" t="inlineStr">
        <is>
          <t>MTR-IOS-2303</t>
        </is>
      </c>
      <c r="C2304" t="inlineStr">
        <is>
          <t>iPhone</t>
        </is>
      </c>
      <c r="D2304" t="inlineStr">
        <is>
          <t>Group</t>
        </is>
      </c>
      <c r="E2304" t="inlineStr">
        <is>
          <t>Shared Experience</t>
        </is>
      </c>
      <c r="F2304" t="inlineStr">
        <is>
          <t>Wedding</t>
        </is>
      </c>
      <c r="G2304" t="inlineStr">
        <is>
          <t>Other</t>
        </is>
      </c>
      <c r="H2304" t="inlineStr">
        <is>
          <t>Group &gt; Wedding &gt; Quick Add &gt; Other</t>
        </is>
      </c>
      <c r="I2304" s="18" t="n">
        <v>18867.85</v>
      </c>
      <c r="J2304" t="inlineStr">
        <is>
          <t>Created MTR-IOS-2303 and correlation note visible in Activity/Pulse</t>
        </is>
      </c>
      <c r="K2304" t="inlineStr">
        <is>
          <t>NOT_RUN</t>
        </is>
      </c>
      <c r="P2304" t="n">
        <v>0</v>
      </c>
      <c r="Q2304" t="n">
        <v>2303</v>
      </c>
    </row>
    <row r="2305">
      <c r="A2305" t="n">
        <v>2304</v>
      </c>
      <c r="B2305" t="inlineStr">
        <is>
          <t>MTR-IOS-2304</t>
        </is>
      </c>
      <c r="C2305" t="inlineStr">
        <is>
          <t>iPhone</t>
        </is>
      </c>
      <c r="D2305" t="inlineStr">
        <is>
          <t>Business</t>
        </is>
      </c>
      <c r="E2305" t="inlineStr">
        <is>
          <t>Business</t>
        </is>
      </c>
      <c r="F2305" t="inlineStr">
        <is>
          <t>Business Runway</t>
        </is>
      </c>
      <c r="G2305" t="inlineStr">
        <is>
          <t>Loan</t>
        </is>
      </c>
      <c r="H2305" t="inlineStr">
        <is>
          <t>Business &gt; Business Runway &gt; Quick Add &gt; Loan</t>
        </is>
      </c>
      <c r="I2305" s="18" t="n">
        <v>96945.56</v>
      </c>
      <c r="J2305" t="inlineStr">
        <is>
          <t>Created MTR-IOS-2304 and correlation note visible in Activity/Pulse</t>
        </is>
      </c>
      <c r="K2305" t="inlineStr">
        <is>
          <t>NOT_RUN</t>
        </is>
      </c>
      <c r="P2305" t="n">
        <v>0</v>
      </c>
      <c r="Q2305" t="n">
        <v>2304</v>
      </c>
    </row>
    <row r="2306">
      <c r="A2306" t="n">
        <v>2305</v>
      </c>
      <c r="B2306" t="inlineStr">
        <is>
          <t>MTR-IOS-2305</t>
        </is>
      </c>
      <c r="C2306" t="inlineStr">
        <is>
          <t>iPhone</t>
        </is>
      </c>
      <c r="D2306" t="inlineStr">
        <is>
          <t>Personal</t>
        </is>
      </c>
      <c r="E2306" t="inlineStr">
        <is>
          <t>Personal</t>
        </is>
      </c>
      <c r="F2306" t="inlineStr">
        <is>
          <t>Future Building</t>
        </is>
      </c>
      <c r="G2306" t="inlineStr">
        <is>
          <t>Investments</t>
        </is>
      </c>
      <c r="H2306" t="inlineStr">
        <is>
          <t>Personal &gt; Future Building &gt; Quick Add &gt; Investments</t>
        </is>
      </c>
      <c r="I2306" s="18" t="n">
        <v>8356.02</v>
      </c>
      <c r="J2306" t="inlineStr">
        <is>
          <t>Created MTR-IOS-2305 and correlation note visible in Activity/Pulse</t>
        </is>
      </c>
      <c r="K2306" t="inlineStr">
        <is>
          <t>NOT_RUN</t>
        </is>
      </c>
      <c r="P2306" t="n">
        <v>0</v>
      </c>
      <c r="Q2306" t="n">
        <v>2305</v>
      </c>
    </row>
    <row r="2307">
      <c r="A2307" t="n">
        <v>2306</v>
      </c>
      <c r="B2307" t="inlineStr">
        <is>
          <t>MTR-IOS-2306</t>
        </is>
      </c>
      <c r="C2307" t="inlineStr">
        <is>
          <t>iPhone</t>
        </is>
      </c>
      <c r="D2307" t="inlineStr">
        <is>
          <t>Group</t>
        </is>
      </c>
      <c r="E2307" t="inlineStr">
        <is>
          <t>Shared Experience</t>
        </is>
      </c>
      <c r="F2307" t="inlineStr">
        <is>
          <t>Office Outing</t>
        </is>
      </c>
      <c r="G2307" t="inlineStr">
        <is>
          <t>Food</t>
        </is>
      </c>
      <c r="H2307" t="inlineStr">
        <is>
          <t>Group &gt; Office Outing &gt; Quick Add &gt; Food</t>
        </is>
      </c>
      <c r="I2307" s="18" t="n">
        <v>4565.88</v>
      </c>
      <c r="J2307" t="inlineStr">
        <is>
          <t>Created MTR-IOS-2306 and correlation note visible in Activity/Pulse</t>
        </is>
      </c>
      <c r="K2307" t="inlineStr">
        <is>
          <t>NOT_RUN</t>
        </is>
      </c>
      <c r="P2307" t="n">
        <v>0</v>
      </c>
      <c r="Q2307" t="n">
        <v>2306</v>
      </c>
    </row>
    <row r="2308">
      <c r="A2308" t="n">
        <v>2307</v>
      </c>
      <c r="B2308" t="inlineStr">
        <is>
          <t>MTR-IOS-2307</t>
        </is>
      </c>
      <c r="C2308" t="inlineStr">
        <is>
          <t>iPhone</t>
        </is>
      </c>
      <c r="D2308" t="inlineStr">
        <is>
          <t>Business</t>
        </is>
      </c>
      <c r="E2308" t="inlineStr">
        <is>
          <t>Business</t>
        </is>
      </c>
      <c r="F2308" t="inlineStr">
        <is>
          <t>Business Runway</t>
        </is>
      </c>
      <c r="G2308" t="inlineStr">
        <is>
          <t>Investment</t>
        </is>
      </c>
      <c r="H2308" t="inlineStr">
        <is>
          <t>Business &gt; Business Runway &gt; Quick Add &gt; Investment</t>
        </is>
      </c>
      <c r="I2308" s="18" t="n">
        <v>103053.74</v>
      </c>
      <c r="J2308" t="inlineStr">
        <is>
          <t>Created MTR-IOS-2307 and correlation note visible in Activity/Pulse</t>
        </is>
      </c>
      <c r="K2308" t="inlineStr">
        <is>
          <t>NOT_RUN</t>
        </is>
      </c>
      <c r="P2308" t="n">
        <v>0</v>
      </c>
      <c r="Q2308" t="n">
        <v>2307</v>
      </c>
    </row>
    <row r="2309">
      <c r="A2309" t="n">
        <v>2308</v>
      </c>
      <c r="B2309" t="inlineStr">
        <is>
          <t>MTR-IOS-2308</t>
        </is>
      </c>
      <c r="C2309" t="inlineStr">
        <is>
          <t>iPhone</t>
        </is>
      </c>
      <c r="D2309" t="inlineStr">
        <is>
          <t>Personal</t>
        </is>
      </c>
      <c r="E2309" t="inlineStr">
        <is>
          <t>Personal</t>
        </is>
      </c>
      <c r="F2309" t="inlineStr">
        <is>
          <t>Future Building</t>
        </is>
      </c>
      <c r="G2309" t="inlineStr">
        <is>
          <t>Education</t>
        </is>
      </c>
      <c r="H2309" t="inlineStr">
        <is>
          <t>Personal &gt; Future Building &gt; Quick Add &gt; Education</t>
        </is>
      </c>
      <c r="I2309" s="18" t="n">
        <v>10579.89</v>
      </c>
      <c r="J2309" t="inlineStr">
        <is>
          <t>Created MTR-IOS-2308 and correlation note visible in Activity/Pulse</t>
        </is>
      </c>
      <c r="K2309" t="inlineStr">
        <is>
          <t>NOT_RUN</t>
        </is>
      </c>
      <c r="P2309" t="n">
        <v>0</v>
      </c>
      <c r="Q2309" t="n">
        <v>2308</v>
      </c>
    </row>
    <row r="2310">
      <c r="A2310" t="n">
        <v>2309</v>
      </c>
      <c r="B2310" t="inlineStr">
        <is>
          <t>MTR-IOS-2309</t>
        </is>
      </c>
      <c r="C2310" t="inlineStr">
        <is>
          <t>iPhone</t>
        </is>
      </c>
      <c r="D2310" t="inlineStr">
        <is>
          <t>Group</t>
        </is>
      </c>
      <c r="E2310" t="inlineStr">
        <is>
          <t>Shared Experience</t>
        </is>
      </c>
      <c r="F2310" t="inlineStr">
        <is>
          <t>Office Outing</t>
        </is>
      </c>
      <c r="G2310" t="inlineStr">
        <is>
          <t>Travel</t>
        </is>
      </c>
      <c r="H2310" t="inlineStr">
        <is>
          <t>Group &gt; Office Outing &gt; Quick Add &gt; Travel</t>
        </is>
      </c>
      <c r="I2310" s="18" t="n">
        <v>20349.3</v>
      </c>
      <c r="J2310" t="inlineStr">
        <is>
          <t>Created MTR-IOS-2309 and correlation note visible in Activity/Pulse</t>
        </is>
      </c>
      <c r="K2310" t="inlineStr">
        <is>
          <t>NOT_RUN</t>
        </is>
      </c>
      <c r="P2310" t="n">
        <v>0</v>
      </c>
      <c r="Q2310" t="n">
        <v>2309</v>
      </c>
    </row>
    <row r="2311">
      <c r="A2311" t="n">
        <v>2310</v>
      </c>
      <c r="B2311" t="inlineStr">
        <is>
          <t>MTR-IOS-2310</t>
        </is>
      </c>
      <c r="C2311" t="inlineStr">
        <is>
          <t>iPhone</t>
        </is>
      </c>
      <c r="D2311" t="inlineStr">
        <is>
          <t>Business</t>
        </is>
      </c>
      <c r="E2311" t="inlineStr">
        <is>
          <t>Business</t>
        </is>
      </c>
      <c r="F2311" t="inlineStr">
        <is>
          <t>Business Operations</t>
        </is>
      </c>
      <c r="G2311" t="inlineStr">
        <is>
          <t>Software</t>
        </is>
      </c>
      <c r="H2311" t="inlineStr">
        <is>
          <t>Business &gt; Business Operations &gt; Quick Add &gt; Software</t>
        </is>
      </c>
      <c r="I2311" s="18" t="n">
        <v>47147.58</v>
      </c>
      <c r="J2311" t="inlineStr">
        <is>
          <t>Created MTR-IOS-2310 and correlation note visible in Activity/Pulse</t>
        </is>
      </c>
      <c r="K2311" t="inlineStr">
        <is>
          <t>NOT_RUN</t>
        </is>
      </c>
      <c r="P2311" t="n">
        <v>0</v>
      </c>
      <c r="Q2311" t="n">
        <v>2310</v>
      </c>
    </row>
    <row r="2312">
      <c r="A2312" t="n">
        <v>2311</v>
      </c>
      <c r="B2312" t="inlineStr">
        <is>
          <t>MTR-IOS-2311</t>
        </is>
      </c>
      <c r="C2312" t="inlineStr">
        <is>
          <t>iPhone</t>
        </is>
      </c>
      <c r="D2312" t="inlineStr">
        <is>
          <t>Personal</t>
        </is>
      </c>
      <c r="E2312" t="inlineStr">
        <is>
          <t>Personal</t>
        </is>
      </c>
      <c r="F2312" t="inlineStr">
        <is>
          <t>Future Building</t>
        </is>
      </c>
      <c r="G2312" t="inlineStr">
        <is>
          <t>Goal Contribution</t>
        </is>
      </c>
      <c r="H2312" t="inlineStr">
        <is>
          <t>Personal &gt; Future Building &gt; Quick Add &gt; Goal Contribution</t>
        </is>
      </c>
      <c r="I2312" s="18" t="n">
        <v>13640.21</v>
      </c>
      <c r="J2312" t="inlineStr">
        <is>
          <t>Created MTR-IOS-2311 and correlation note visible in Activity/Pulse</t>
        </is>
      </c>
      <c r="K2312" t="inlineStr">
        <is>
          <t>NOT_RUN</t>
        </is>
      </c>
      <c r="P2312" t="n">
        <v>0</v>
      </c>
      <c r="Q2312" t="n">
        <v>2311</v>
      </c>
    </row>
    <row r="2313">
      <c r="A2313" t="n">
        <v>2312</v>
      </c>
      <c r="B2313" t="inlineStr">
        <is>
          <t>MTR-IOS-2312</t>
        </is>
      </c>
      <c r="C2313" t="inlineStr">
        <is>
          <t>iPhone</t>
        </is>
      </c>
      <c r="D2313" t="inlineStr">
        <is>
          <t>Group</t>
        </is>
      </c>
      <c r="E2313" t="inlineStr">
        <is>
          <t>Shared Experience</t>
        </is>
      </c>
      <c r="F2313" t="inlineStr">
        <is>
          <t>Office Outing</t>
        </is>
      </c>
      <c r="G2313" t="inlineStr">
        <is>
          <t>Activities</t>
        </is>
      </c>
      <c r="H2313" t="inlineStr">
        <is>
          <t>Group &gt; Office Outing &gt; Quick Add &gt; Activities</t>
        </is>
      </c>
      <c r="I2313" s="18" t="n">
        <v>5045.1</v>
      </c>
      <c r="J2313" t="inlineStr">
        <is>
          <t>Created MTR-IOS-2312 and correlation note visible in Activity/Pulse</t>
        </is>
      </c>
      <c r="K2313" t="inlineStr">
        <is>
          <t>NOT_RUN</t>
        </is>
      </c>
      <c r="P2313" t="n">
        <v>0</v>
      </c>
      <c r="Q2313" t="n">
        <v>2312</v>
      </c>
    </row>
    <row r="2314">
      <c r="A2314" t="n">
        <v>2313</v>
      </c>
      <c r="B2314" t="inlineStr">
        <is>
          <t>MTR-IOS-2313</t>
        </is>
      </c>
      <c r="C2314" t="inlineStr">
        <is>
          <t>iPhone</t>
        </is>
      </c>
      <c r="D2314" t="inlineStr">
        <is>
          <t>Business</t>
        </is>
      </c>
      <c r="E2314" t="inlineStr">
        <is>
          <t>Business</t>
        </is>
      </c>
      <c r="F2314" t="inlineStr">
        <is>
          <t>Business Operations</t>
        </is>
      </c>
      <c r="G2314" t="inlineStr">
        <is>
          <t>Rent</t>
        </is>
      </c>
      <c r="H2314" t="inlineStr">
        <is>
          <t>Business &gt; Business Operations &gt; Quick Add &gt; Rent</t>
        </is>
      </c>
      <c r="I2314" s="18" t="n">
        <v>17054.78</v>
      </c>
      <c r="J2314" t="inlineStr">
        <is>
          <t>Created MTR-IOS-2313 and correlation note visible in Activity/Pulse</t>
        </is>
      </c>
      <c r="K2314" t="inlineStr">
        <is>
          <t>NOT_RUN</t>
        </is>
      </c>
      <c r="P2314" t="n">
        <v>0</v>
      </c>
      <c r="Q2314" t="n">
        <v>2313</v>
      </c>
    </row>
    <row r="2315">
      <c r="A2315" t="n">
        <v>2314</v>
      </c>
      <c r="B2315" t="inlineStr">
        <is>
          <t>MTR-IOS-2314</t>
        </is>
      </c>
      <c r="C2315" t="inlineStr">
        <is>
          <t>iPhone</t>
        </is>
      </c>
      <c r="D2315" t="inlineStr">
        <is>
          <t>Personal</t>
        </is>
      </c>
      <c r="E2315" t="inlineStr">
        <is>
          <t>Personal</t>
        </is>
      </c>
      <c r="F2315" t="inlineStr">
        <is>
          <t>Lifestyle</t>
        </is>
      </c>
      <c r="G2315" t="inlineStr">
        <is>
          <t>Dining</t>
        </is>
      </c>
      <c r="H2315" t="inlineStr">
        <is>
          <t>Personal &gt; Lifestyle &gt; Quick Add &gt; Dining</t>
        </is>
      </c>
      <c r="I2315" s="18" t="n">
        <v>3692.45</v>
      </c>
      <c r="J2315" t="inlineStr">
        <is>
          <t>Created MTR-IOS-2314 and correlation note visible in Activity/Pulse</t>
        </is>
      </c>
      <c r="K2315" t="inlineStr">
        <is>
          <t>NOT_RUN</t>
        </is>
      </c>
      <c r="P2315" t="n">
        <v>0</v>
      </c>
      <c r="Q2315" t="n">
        <v>2314</v>
      </c>
    </row>
    <row r="2316">
      <c r="A2316" t="n">
        <v>2315</v>
      </c>
      <c r="B2316" t="inlineStr">
        <is>
          <t>MTR-IOS-2315</t>
        </is>
      </c>
      <c r="C2316" t="inlineStr">
        <is>
          <t>iPhone</t>
        </is>
      </c>
      <c r="D2316" t="inlineStr">
        <is>
          <t>Group</t>
        </is>
      </c>
      <c r="E2316" t="inlineStr">
        <is>
          <t>Shared Experience</t>
        </is>
      </c>
      <c r="F2316" t="inlineStr">
        <is>
          <t>Office Outing</t>
        </is>
      </c>
      <c r="G2316" t="inlineStr">
        <is>
          <t>Venue</t>
        </is>
      </c>
      <c r="H2316" t="inlineStr">
        <is>
          <t>Group &gt; Office Outing &gt; Quick Add &gt; Venue</t>
        </is>
      </c>
      <c r="I2316" s="18" t="n">
        <v>19692.96</v>
      </c>
      <c r="J2316" t="inlineStr">
        <is>
          <t>Created MTR-IOS-2315 and correlation note visible in Activity/Pulse</t>
        </is>
      </c>
      <c r="K2316" t="inlineStr">
        <is>
          <t>NOT_RUN</t>
        </is>
      </c>
      <c r="P2316" t="n">
        <v>0</v>
      </c>
      <c r="Q2316" t="n">
        <v>2315</v>
      </c>
    </row>
    <row r="2317">
      <c r="A2317" t="n">
        <v>2316</v>
      </c>
      <c r="B2317" t="inlineStr">
        <is>
          <t>MTR-IOS-2316</t>
        </is>
      </c>
      <c r="C2317" t="inlineStr">
        <is>
          <t>iPhone</t>
        </is>
      </c>
      <c r="D2317" t="inlineStr">
        <is>
          <t>Business</t>
        </is>
      </c>
      <c r="E2317" t="inlineStr">
        <is>
          <t>Business</t>
        </is>
      </c>
      <c r="F2317" t="inlineStr">
        <is>
          <t>Business Operations</t>
        </is>
      </c>
      <c r="G2317" t="inlineStr">
        <is>
          <t>Marketing</t>
        </is>
      </c>
      <c r="H2317" t="inlineStr">
        <is>
          <t>Business &gt; Business Operations &gt; Quick Add &gt; Marketing</t>
        </is>
      </c>
      <c r="I2317" s="18" t="n">
        <v>96105.75999999999</v>
      </c>
      <c r="J2317" t="inlineStr">
        <is>
          <t>Created MTR-IOS-2316 and correlation note visible in Activity/Pulse</t>
        </is>
      </c>
      <c r="K2317" t="inlineStr">
        <is>
          <t>NOT_RUN</t>
        </is>
      </c>
      <c r="P2317" t="n">
        <v>0</v>
      </c>
      <c r="Q2317" t="n">
        <v>2316</v>
      </c>
    </row>
    <row r="2318">
      <c r="A2318" t="n">
        <v>2317</v>
      </c>
      <c r="B2318" t="inlineStr">
        <is>
          <t>MTR-IOS-2317</t>
        </is>
      </c>
      <c r="C2318" t="inlineStr">
        <is>
          <t>iPhone</t>
        </is>
      </c>
      <c r="D2318" t="inlineStr">
        <is>
          <t>Personal</t>
        </is>
      </c>
      <c r="E2318" t="inlineStr">
        <is>
          <t>Personal</t>
        </is>
      </c>
      <c r="F2318" t="inlineStr">
        <is>
          <t>Lifestyle</t>
        </is>
      </c>
      <c r="G2318" t="inlineStr">
        <is>
          <t>Shopping</t>
        </is>
      </c>
      <c r="H2318" t="inlineStr">
        <is>
          <t>Personal &gt; Lifestyle &gt; Quick Add &gt; Shopping</t>
        </is>
      </c>
      <c r="I2318" s="18" t="n">
        <v>6357.6</v>
      </c>
      <c r="J2318" t="inlineStr">
        <is>
          <t>Created MTR-IOS-2317 and correlation note visible in Activity/Pulse</t>
        </is>
      </c>
      <c r="K2318" t="inlineStr">
        <is>
          <t>NOT_RUN</t>
        </is>
      </c>
      <c r="P2318" t="n">
        <v>0</v>
      </c>
      <c r="Q2318" t="n">
        <v>2317</v>
      </c>
    </row>
    <row r="2319">
      <c r="A2319" t="n">
        <v>2318</v>
      </c>
      <c r="B2319" t="inlineStr">
        <is>
          <t>MTR-IOS-2318</t>
        </is>
      </c>
      <c r="C2319" t="inlineStr">
        <is>
          <t>iPhone</t>
        </is>
      </c>
      <c r="D2319" t="inlineStr">
        <is>
          <t>Group</t>
        </is>
      </c>
      <c r="E2319" t="inlineStr">
        <is>
          <t>Shared Experience</t>
        </is>
      </c>
      <c r="F2319" t="inlineStr">
        <is>
          <t>Office Outing</t>
        </is>
      </c>
      <c r="G2319" t="inlineStr">
        <is>
          <t>Other</t>
        </is>
      </c>
      <c r="H2319" t="inlineStr">
        <is>
          <t>Group &gt; Office Outing &gt; Quick Add &gt; Other</t>
        </is>
      </c>
      <c r="I2319" s="18" t="n">
        <v>25271.2</v>
      </c>
      <c r="J2319" t="inlineStr">
        <is>
          <t>Created MTR-IOS-2318 and correlation note visible in Activity/Pulse</t>
        </is>
      </c>
      <c r="K2319" t="inlineStr">
        <is>
          <t>NOT_RUN</t>
        </is>
      </c>
      <c r="P2319" t="n">
        <v>0</v>
      </c>
      <c r="Q2319" t="n">
        <v>2318</v>
      </c>
    </row>
    <row r="2320">
      <c r="A2320" t="n">
        <v>2319</v>
      </c>
      <c r="B2320" t="inlineStr">
        <is>
          <t>MTR-IOS-2319</t>
        </is>
      </c>
      <c r="C2320" t="inlineStr">
        <is>
          <t>iPhone</t>
        </is>
      </c>
      <c r="D2320" t="inlineStr">
        <is>
          <t>Business</t>
        </is>
      </c>
      <c r="E2320" t="inlineStr">
        <is>
          <t>Business</t>
        </is>
      </c>
      <c r="F2320" t="inlineStr">
        <is>
          <t>Business Operations</t>
        </is>
      </c>
      <c r="G2320" t="inlineStr">
        <is>
          <t>Legal</t>
        </is>
      </c>
      <c r="H2320" t="inlineStr">
        <is>
          <t>Business &gt; Business Operations &gt; Quick Add &gt; Legal</t>
        </is>
      </c>
      <c r="I2320" s="18" t="n">
        <v>94849.99000000001</v>
      </c>
      <c r="J2320" t="inlineStr">
        <is>
          <t>Created MTR-IOS-2319 and correlation note visible in Activity/Pulse</t>
        </is>
      </c>
      <c r="K2320" t="inlineStr">
        <is>
          <t>NOT_RUN</t>
        </is>
      </c>
      <c r="P2320" t="n">
        <v>0</v>
      </c>
      <c r="Q2320" t="n">
        <v>2319</v>
      </c>
    </row>
    <row r="2321">
      <c r="A2321" t="n">
        <v>2320</v>
      </c>
      <c r="B2321" t="inlineStr">
        <is>
          <t>MTR-IOS-2320</t>
        </is>
      </c>
      <c r="C2321" t="inlineStr">
        <is>
          <t>iPhone</t>
        </is>
      </c>
      <c r="D2321" t="inlineStr">
        <is>
          <t>Personal</t>
        </is>
      </c>
      <c r="E2321" t="inlineStr">
        <is>
          <t>Personal</t>
        </is>
      </c>
      <c r="F2321" t="inlineStr">
        <is>
          <t>Lifestyle</t>
        </is>
      </c>
      <c r="G2321" t="inlineStr">
        <is>
          <t>Entertainment</t>
        </is>
      </c>
      <c r="H2321" t="inlineStr">
        <is>
          <t>Personal &gt; Lifestyle &gt; Quick Add &gt; Entertainment</t>
        </is>
      </c>
      <c r="I2321" s="18" t="n">
        <v>16350.89</v>
      </c>
      <c r="J2321" t="inlineStr">
        <is>
          <t>Created MTR-IOS-2320 and correlation note visible in Activity/Pulse</t>
        </is>
      </c>
      <c r="K2321" t="inlineStr">
        <is>
          <t>NOT_RUN</t>
        </is>
      </c>
      <c r="P2321" t="n">
        <v>0</v>
      </c>
      <c r="Q2321" t="n">
        <v>2320</v>
      </c>
    </row>
    <row r="2322">
      <c r="A2322" t="n">
        <v>2321</v>
      </c>
      <c r="B2322" t="inlineStr">
        <is>
          <t>MTR-IOS-2321</t>
        </is>
      </c>
      <c r="C2322" t="inlineStr">
        <is>
          <t>iPhone</t>
        </is>
      </c>
      <c r="D2322" t="inlineStr">
        <is>
          <t>Group</t>
        </is>
      </c>
      <c r="E2322" t="inlineStr">
        <is>
          <t>Shared Experience</t>
        </is>
      </c>
      <c r="F2322" t="inlineStr">
        <is>
          <t>House Party</t>
        </is>
      </c>
      <c r="G2322" t="inlineStr">
        <is>
          <t>Food</t>
        </is>
      </c>
      <c r="H2322" t="inlineStr">
        <is>
          <t>Group &gt; House Party &gt; Quick Add &gt; Food</t>
        </is>
      </c>
      <c r="I2322" s="18" t="n">
        <v>19306.27</v>
      </c>
      <c r="J2322" t="inlineStr">
        <is>
          <t>Created MTR-IOS-2321 and correlation note visible in Activity/Pulse</t>
        </is>
      </c>
      <c r="K2322" t="inlineStr">
        <is>
          <t>NOT_RUN</t>
        </is>
      </c>
      <c r="P2322" t="n">
        <v>0</v>
      </c>
      <c r="Q2322" t="n">
        <v>2321</v>
      </c>
    </row>
    <row r="2323">
      <c r="A2323" t="n">
        <v>2322</v>
      </c>
      <c r="B2323" t="inlineStr">
        <is>
          <t>MTR-IOS-2322</t>
        </is>
      </c>
      <c r="C2323" t="inlineStr">
        <is>
          <t>iPhone</t>
        </is>
      </c>
      <c r="D2323" t="inlineStr">
        <is>
          <t>Business</t>
        </is>
      </c>
      <c r="E2323" t="inlineStr">
        <is>
          <t>Business</t>
        </is>
      </c>
      <c r="F2323" t="inlineStr">
        <is>
          <t>Business Operations</t>
        </is>
      </c>
      <c r="G2323" t="inlineStr">
        <is>
          <t>Accounting</t>
        </is>
      </c>
      <c r="H2323" t="inlineStr">
        <is>
          <t>Business &gt; Business Operations &gt; Quick Add &gt; Accounting</t>
        </is>
      </c>
      <c r="I2323" s="18" t="n">
        <v>118544.79</v>
      </c>
      <c r="J2323" t="inlineStr">
        <is>
          <t>Created MTR-IOS-2322 and correlation note visible in Activity/Pulse</t>
        </is>
      </c>
      <c r="K2323" t="inlineStr">
        <is>
          <t>NOT_RUN</t>
        </is>
      </c>
      <c r="P2323" t="n">
        <v>0</v>
      </c>
      <c r="Q2323" t="n">
        <v>2322</v>
      </c>
    </row>
    <row r="2324">
      <c r="A2324" t="n">
        <v>2323</v>
      </c>
      <c r="B2324" t="inlineStr">
        <is>
          <t>MTR-IOS-2323</t>
        </is>
      </c>
      <c r="C2324" t="inlineStr">
        <is>
          <t>iPhone</t>
        </is>
      </c>
      <c r="D2324" t="inlineStr">
        <is>
          <t>Personal</t>
        </is>
      </c>
      <c r="E2324" t="inlineStr">
        <is>
          <t>Personal</t>
        </is>
      </c>
      <c r="F2324" t="inlineStr">
        <is>
          <t>Lifestyle</t>
        </is>
      </c>
      <c r="G2324" t="inlineStr">
        <is>
          <t>Travel</t>
        </is>
      </c>
      <c r="H2324" t="inlineStr">
        <is>
          <t>Personal &gt; Lifestyle &gt; Quick Add &gt; Travel</t>
        </is>
      </c>
      <c r="I2324" s="18" t="n">
        <v>4528.37</v>
      </c>
      <c r="J2324" t="inlineStr">
        <is>
          <t>Created MTR-IOS-2323 and correlation note visible in Activity/Pulse</t>
        </is>
      </c>
      <c r="K2324" t="inlineStr">
        <is>
          <t>NOT_RUN</t>
        </is>
      </c>
      <c r="P2324" t="n">
        <v>0</v>
      </c>
      <c r="Q2324" t="n">
        <v>2323</v>
      </c>
    </row>
    <row r="2325">
      <c r="A2325" t="n">
        <v>2324</v>
      </c>
      <c r="B2325" t="inlineStr">
        <is>
          <t>MTR-IOS-2324</t>
        </is>
      </c>
      <c r="C2325" t="inlineStr">
        <is>
          <t>iPhone</t>
        </is>
      </c>
      <c r="D2325" t="inlineStr">
        <is>
          <t>Group</t>
        </is>
      </c>
      <c r="E2325" t="inlineStr">
        <is>
          <t>Shared Experience</t>
        </is>
      </c>
      <c r="F2325" t="inlineStr">
        <is>
          <t>House Party</t>
        </is>
      </c>
      <c r="G2325" t="inlineStr">
        <is>
          <t>Drinks</t>
        </is>
      </c>
      <c r="H2325" t="inlineStr">
        <is>
          <t>Group &gt; House Party &gt; Quick Add &gt; Drinks</t>
        </is>
      </c>
      <c r="I2325" s="18" t="n">
        <v>4362.77</v>
      </c>
      <c r="J2325" t="inlineStr">
        <is>
          <t>Created MTR-IOS-2324 and correlation note visible in Activity/Pulse</t>
        </is>
      </c>
      <c r="K2325" t="inlineStr">
        <is>
          <t>NOT_RUN</t>
        </is>
      </c>
      <c r="P2325" t="n">
        <v>0</v>
      </c>
      <c r="Q2325" t="n">
        <v>2324</v>
      </c>
    </row>
    <row r="2326">
      <c r="A2326" t="n">
        <v>2325</v>
      </c>
      <c r="B2326" t="inlineStr">
        <is>
          <t>MTR-IOS-2325</t>
        </is>
      </c>
      <c r="C2326" t="inlineStr">
        <is>
          <t>iPhone</t>
        </is>
      </c>
      <c r="D2326" t="inlineStr">
        <is>
          <t>Business</t>
        </is>
      </c>
      <c r="E2326" t="inlineStr">
        <is>
          <t>Business</t>
        </is>
      </c>
      <c r="F2326" t="inlineStr">
        <is>
          <t>Business Operations</t>
        </is>
      </c>
      <c r="G2326" t="inlineStr">
        <is>
          <t>Equipment</t>
        </is>
      </c>
      <c r="H2326" t="inlineStr">
        <is>
          <t>Business &gt; Business Operations &gt; Quick Add &gt; Equipment</t>
        </is>
      </c>
      <c r="I2326" s="18" t="n">
        <v>36667.33</v>
      </c>
      <c r="J2326" t="inlineStr">
        <is>
          <t>Created MTR-IOS-2325 and correlation note visible in Activity/Pulse</t>
        </is>
      </c>
      <c r="K2326" t="inlineStr">
        <is>
          <t>NOT_RUN</t>
        </is>
      </c>
      <c r="P2326" t="n">
        <v>0</v>
      </c>
      <c r="Q2326" t="n">
        <v>2325</v>
      </c>
    </row>
    <row r="2327">
      <c r="A2327" t="n">
        <v>2326</v>
      </c>
      <c r="B2327" t="inlineStr">
        <is>
          <t>MTR-IOS-2326</t>
        </is>
      </c>
      <c r="C2327" t="inlineStr">
        <is>
          <t>iPhone</t>
        </is>
      </c>
      <c r="D2327" t="inlineStr">
        <is>
          <t>Personal</t>
        </is>
      </c>
      <c r="E2327" t="inlineStr">
        <is>
          <t>Personal</t>
        </is>
      </c>
      <c r="F2327" t="inlineStr">
        <is>
          <t>Lifestyle</t>
        </is>
      </c>
      <c r="G2327" t="inlineStr">
        <is>
          <t>Fitness</t>
        </is>
      </c>
      <c r="H2327" t="inlineStr">
        <is>
          <t>Personal &gt; Lifestyle &gt; Quick Add &gt; Fitness</t>
        </is>
      </c>
      <c r="I2327" s="18" t="n">
        <v>3963.87</v>
      </c>
      <c r="J2327" t="inlineStr">
        <is>
          <t>Created MTR-IOS-2326 and correlation note visible in Activity/Pulse</t>
        </is>
      </c>
      <c r="K2327" t="inlineStr">
        <is>
          <t>NOT_RUN</t>
        </is>
      </c>
      <c r="P2327" t="n">
        <v>0</v>
      </c>
      <c r="Q2327" t="n">
        <v>2326</v>
      </c>
    </row>
    <row r="2328">
      <c r="A2328" t="n">
        <v>2327</v>
      </c>
      <c r="B2328" t="inlineStr">
        <is>
          <t>MTR-IOS-2327</t>
        </is>
      </c>
      <c r="C2328" t="inlineStr">
        <is>
          <t>iPhone</t>
        </is>
      </c>
      <c r="D2328" t="inlineStr">
        <is>
          <t>Group</t>
        </is>
      </c>
      <c r="E2328" t="inlineStr">
        <is>
          <t>Shared Experience</t>
        </is>
      </c>
      <c r="F2328" t="inlineStr">
        <is>
          <t>House Party</t>
        </is>
      </c>
      <c r="G2328" t="inlineStr">
        <is>
          <t>Decor</t>
        </is>
      </c>
      <c r="H2328" t="inlineStr">
        <is>
          <t>Group &gt; House Party &gt; Quick Add &gt; Decor</t>
        </is>
      </c>
      <c r="I2328" s="18" t="n">
        <v>17125.64</v>
      </c>
      <c r="J2328" t="inlineStr">
        <is>
          <t>Created MTR-IOS-2327 and correlation note visible in Activity/Pulse</t>
        </is>
      </c>
      <c r="K2328" t="inlineStr">
        <is>
          <t>NOT_RUN</t>
        </is>
      </c>
      <c r="P2328" t="n">
        <v>0</v>
      </c>
      <c r="Q2328" t="n">
        <v>2327</v>
      </c>
    </row>
    <row r="2329">
      <c r="A2329" t="n">
        <v>2328</v>
      </c>
      <c r="B2329" t="inlineStr">
        <is>
          <t>MTR-IOS-2328</t>
        </is>
      </c>
      <c r="C2329" t="inlineStr">
        <is>
          <t>iPhone</t>
        </is>
      </c>
      <c r="D2329" t="inlineStr">
        <is>
          <t>Business</t>
        </is>
      </c>
      <c r="E2329" t="inlineStr">
        <is>
          <t>Business</t>
        </is>
      </c>
      <c r="F2329" t="inlineStr">
        <is>
          <t>Business Operations</t>
        </is>
      </c>
      <c r="G2329" t="inlineStr">
        <is>
          <t>Vendor</t>
        </is>
      </c>
      <c r="H2329" t="inlineStr">
        <is>
          <t>Business &gt; Business Operations &gt; Quick Add &gt; Vendor</t>
        </is>
      </c>
      <c r="I2329" s="18" t="n">
        <v>144709.36</v>
      </c>
      <c r="J2329" t="inlineStr">
        <is>
          <t>Created MTR-IOS-2328 and correlation note visible in Activity/Pulse</t>
        </is>
      </c>
      <c r="K2329" t="inlineStr">
        <is>
          <t>NOT_RUN</t>
        </is>
      </c>
      <c r="P2329" t="n">
        <v>0</v>
      </c>
      <c r="Q2329" t="n">
        <v>2328</v>
      </c>
    </row>
    <row r="2330">
      <c r="A2330" t="n">
        <v>2329</v>
      </c>
      <c r="B2330" t="inlineStr">
        <is>
          <t>MTR-IOS-2329</t>
        </is>
      </c>
      <c r="C2330" t="inlineStr">
        <is>
          <t>iPhone</t>
        </is>
      </c>
      <c r="D2330" t="inlineStr">
        <is>
          <t>Personal</t>
        </is>
      </c>
      <c r="E2330" t="inlineStr">
        <is>
          <t>Personal</t>
        </is>
      </c>
      <c r="F2330" t="inlineStr">
        <is>
          <t>Lifestyle</t>
        </is>
      </c>
      <c r="G2330" t="inlineStr">
        <is>
          <t>Hobbies</t>
        </is>
      </c>
      <c r="H2330" t="inlineStr">
        <is>
          <t>Personal &gt; Lifestyle &gt; Quick Add &gt; Hobbies</t>
        </is>
      </c>
      <c r="I2330" s="18" t="n">
        <v>8675.83</v>
      </c>
      <c r="J2330" t="inlineStr">
        <is>
          <t>Created MTR-IOS-2329 and correlation note visible in Activity/Pulse</t>
        </is>
      </c>
      <c r="K2330" t="inlineStr">
        <is>
          <t>NOT_RUN</t>
        </is>
      </c>
      <c r="P2330" t="n">
        <v>0</v>
      </c>
      <c r="Q2330" t="n">
        <v>2329</v>
      </c>
    </row>
    <row r="2331">
      <c r="A2331" t="n">
        <v>2330</v>
      </c>
      <c r="B2331" t="inlineStr">
        <is>
          <t>MTR-IOS-2330</t>
        </is>
      </c>
      <c r="C2331" t="inlineStr">
        <is>
          <t>iPhone</t>
        </is>
      </c>
      <c r="D2331" t="inlineStr">
        <is>
          <t>Group</t>
        </is>
      </c>
      <c r="E2331" t="inlineStr">
        <is>
          <t>Shared Experience</t>
        </is>
      </c>
      <c r="F2331" t="inlineStr">
        <is>
          <t>House Party</t>
        </is>
      </c>
      <c r="G2331" t="inlineStr">
        <is>
          <t>Supplies</t>
        </is>
      </c>
      <c r="H2331" t="inlineStr">
        <is>
          <t>Group &gt; House Party &gt; Quick Add &gt; Supplies</t>
        </is>
      </c>
      <c r="I2331" s="18" t="n">
        <v>5561.21</v>
      </c>
      <c r="J2331" t="inlineStr">
        <is>
          <t>Created MTR-IOS-2330 and correlation note visible in Activity/Pulse</t>
        </is>
      </c>
      <c r="K2331" t="inlineStr">
        <is>
          <t>NOT_RUN</t>
        </is>
      </c>
      <c r="P2331" t="n">
        <v>0</v>
      </c>
      <c r="Q2331" t="n">
        <v>2330</v>
      </c>
    </row>
    <row r="2332">
      <c r="A2332" t="n">
        <v>2331</v>
      </c>
      <c r="B2332" t="inlineStr">
        <is>
          <t>MTR-IOS-2331</t>
        </is>
      </c>
      <c r="C2332" t="inlineStr">
        <is>
          <t>iPhone</t>
        </is>
      </c>
      <c r="D2332" t="inlineStr">
        <is>
          <t>Business</t>
        </is>
      </c>
      <c r="E2332" t="inlineStr">
        <is>
          <t>Business</t>
        </is>
      </c>
      <c r="F2332" t="inlineStr">
        <is>
          <t>Business Operations</t>
        </is>
      </c>
      <c r="G2332" t="inlineStr">
        <is>
          <t>Tax</t>
        </is>
      </c>
      <c r="H2332" t="inlineStr">
        <is>
          <t>Business &gt; Business Operations &gt; Quick Add &gt; Tax</t>
        </is>
      </c>
      <c r="I2332" s="18" t="n">
        <v>100</v>
      </c>
      <c r="J2332" t="inlineStr">
        <is>
          <t>Created MTR-IOS-2331 and correlation note visible in Activity/Pulse</t>
        </is>
      </c>
      <c r="K2332" t="inlineStr">
        <is>
          <t>NOT_RUN</t>
        </is>
      </c>
      <c r="P2332" t="n">
        <v>0</v>
      </c>
      <c r="Q2332" t="n">
        <v>2331</v>
      </c>
    </row>
    <row r="2333">
      <c r="A2333" t="n">
        <v>2332</v>
      </c>
      <c r="B2333" t="inlineStr">
        <is>
          <t>MTR-IOS-2332</t>
        </is>
      </c>
      <c r="C2333" t="inlineStr">
        <is>
          <t>iPhone</t>
        </is>
      </c>
      <c r="D2333" t="inlineStr">
        <is>
          <t>Personal</t>
        </is>
      </c>
      <c r="E2333" t="inlineStr">
        <is>
          <t>Personal</t>
        </is>
      </c>
      <c r="F2333" t="inlineStr">
        <is>
          <t>Relationships</t>
        </is>
      </c>
      <c r="G2333" t="inlineStr">
        <is>
          <t>Gifts</t>
        </is>
      </c>
      <c r="H2333" t="inlineStr">
        <is>
          <t>Personal &gt; Relationships &gt; Quick Add &gt; Gifts</t>
        </is>
      </c>
      <c r="I2333" s="18" t="n">
        <v>14324.68</v>
      </c>
      <c r="J2333" t="inlineStr">
        <is>
          <t>Created MTR-IOS-2332 and correlation note visible in Activity/Pulse</t>
        </is>
      </c>
      <c r="K2333" t="inlineStr">
        <is>
          <t>NOT_RUN</t>
        </is>
      </c>
      <c r="P2333" t="n">
        <v>0</v>
      </c>
      <c r="Q2333" t="n">
        <v>2332</v>
      </c>
    </row>
    <row r="2334">
      <c r="A2334" t="n">
        <v>2333</v>
      </c>
      <c r="B2334" t="inlineStr">
        <is>
          <t>MTR-IOS-2333</t>
        </is>
      </c>
      <c r="C2334" t="inlineStr">
        <is>
          <t>iPhone</t>
        </is>
      </c>
      <c r="D2334" t="inlineStr">
        <is>
          <t>Group</t>
        </is>
      </c>
      <c r="E2334" t="inlineStr">
        <is>
          <t>Shared Experience</t>
        </is>
      </c>
      <c r="F2334" t="inlineStr">
        <is>
          <t>House Party</t>
        </is>
      </c>
      <c r="G2334" t="inlineStr">
        <is>
          <t>Other</t>
        </is>
      </c>
      <c r="H2334" t="inlineStr">
        <is>
          <t>Group &gt; House Party &gt; Quick Add &gt; Other</t>
        </is>
      </c>
      <c r="I2334" s="18" t="n">
        <v>11258.53</v>
      </c>
      <c r="J2334" t="inlineStr">
        <is>
          <t>Created MTR-IOS-2333 and correlation note visible in Activity/Pulse</t>
        </is>
      </c>
      <c r="K2334" t="inlineStr">
        <is>
          <t>NOT_RUN</t>
        </is>
      </c>
      <c r="P2334" t="n">
        <v>0</v>
      </c>
      <c r="Q2334" t="n">
        <v>2333</v>
      </c>
    </row>
    <row r="2335">
      <c r="A2335" t="n">
        <v>2334</v>
      </c>
      <c r="B2335" t="inlineStr">
        <is>
          <t>MTR-IOS-2334</t>
        </is>
      </c>
      <c r="C2335" t="inlineStr">
        <is>
          <t>iPhone</t>
        </is>
      </c>
      <c r="D2335" t="inlineStr">
        <is>
          <t>Business</t>
        </is>
      </c>
      <c r="E2335" t="inlineStr">
        <is>
          <t>Business</t>
        </is>
      </c>
      <c r="F2335" t="inlineStr">
        <is>
          <t>Team Operations</t>
        </is>
      </c>
      <c r="G2335" t="inlineStr">
        <is>
          <t>Payroll</t>
        </is>
      </c>
      <c r="H2335" t="inlineStr">
        <is>
          <t>Business &gt; Team Operations &gt; Quick Add &gt; Payroll</t>
        </is>
      </c>
      <c r="I2335" s="18" t="n">
        <v>128895.18</v>
      </c>
      <c r="J2335" t="inlineStr">
        <is>
          <t>Created MTR-IOS-2334 and correlation note visible in Activity/Pulse</t>
        </is>
      </c>
      <c r="K2335" t="inlineStr">
        <is>
          <t>NOT_RUN</t>
        </is>
      </c>
      <c r="P2335" t="n">
        <v>0</v>
      </c>
      <c r="Q2335" t="n">
        <v>2334</v>
      </c>
    </row>
    <row r="2336">
      <c r="A2336" t="n">
        <v>2335</v>
      </c>
      <c r="B2336" t="inlineStr">
        <is>
          <t>MTR-IOS-2335</t>
        </is>
      </c>
      <c r="C2336" t="inlineStr">
        <is>
          <t>iPhone</t>
        </is>
      </c>
      <c r="D2336" t="inlineStr">
        <is>
          <t>Personal</t>
        </is>
      </c>
      <c r="E2336" t="inlineStr">
        <is>
          <t>Personal</t>
        </is>
      </c>
      <c r="F2336" t="inlineStr">
        <is>
          <t>Relationships</t>
        </is>
      </c>
      <c r="G2336" t="inlineStr">
        <is>
          <t>Dates</t>
        </is>
      </c>
      <c r="H2336" t="inlineStr">
        <is>
          <t>Personal &gt; Relationships &gt; Quick Add &gt; Dates</t>
        </is>
      </c>
      <c r="I2336" s="18" t="n">
        <v>15335.41</v>
      </c>
      <c r="J2336" t="inlineStr">
        <is>
          <t>Created MTR-IOS-2335 and correlation note visible in Activity/Pulse</t>
        </is>
      </c>
      <c r="K2336" t="inlineStr">
        <is>
          <t>NOT_RUN</t>
        </is>
      </c>
      <c r="P2336" t="n">
        <v>0</v>
      </c>
      <c r="Q2336" t="n">
        <v>2335</v>
      </c>
    </row>
    <row r="2337">
      <c r="A2337" t="n">
        <v>2336</v>
      </c>
      <c r="B2337" t="inlineStr">
        <is>
          <t>MTR-IOS-2336</t>
        </is>
      </c>
      <c r="C2337" t="inlineStr">
        <is>
          <t>iPhone</t>
        </is>
      </c>
      <c r="D2337" t="inlineStr">
        <is>
          <t>Group</t>
        </is>
      </c>
      <c r="E2337" t="inlineStr">
        <is>
          <t>Shared Purchase</t>
        </is>
      </c>
      <c r="F2337" t="inlineStr">
        <is>
          <t>Gift Pool</t>
        </is>
      </c>
      <c r="G2337" t="inlineStr">
        <is>
          <t>Contribution</t>
        </is>
      </c>
      <c r="H2337" t="inlineStr">
        <is>
          <t>Group &gt; Gift Pool &gt; Quick Add &gt; Contribution</t>
        </is>
      </c>
      <c r="I2337" s="18" t="n">
        <v>707.63</v>
      </c>
      <c r="J2337" t="inlineStr">
        <is>
          <t>Created MTR-IOS-2336 and correlation note visible in Activity/Pulse</t>
        </is>
      </c>
      <c r="K2337" t="inlineStr">
        <is>
          <t>NOT_RUN</t>
        </is>
      </c>
      <c r="P2337" t="n">
        <v>0</v>
      </c>
      <c r="Q2337" t="n">
        <v>2336</v>
      </c>
    </row>
    <row r="2338">
      <c r="A2338" t="n">
        <v>2337</v>
      </c>
      <c r="B2338" t="inlineStr">
        <is>
          <t>MTR-IOS-2337</t>
        </is>
      </c>
      <c r="C2338" t="inlineStr">
        <is>
          <t>iPhone</t>
        </is>
      </c>
      <c r="D2338" t="inlineStr">
        <is>
          <t>Business</t>
        </is>
      </c>
      <c r="E2338" t="inlineStr">
        <is>
          <t>Business</t>
        </is>
      </c>
      <c r="F2338" t="inlineStr">
        <is>
          <t>Team Operations</t>
        </is>
      </c>
      <c r="G2338" t="inlineStr">
        <is>
          <t>Contractor</t>
        </is>
      </c>
      <c r="H2338" t="inlineStr">
        <is>
          <t>Business &gt; Team Operations &gt; Quick Add &gt; Contractor</t>
        </is>
      </c>
      <c r="I2338" s="18" t="n">
        <v>71410.88</v>
      </c>
      <c r="J2338" t="inlineStr">
        <is>
          <t>Created MTR-IOS-2337 and correlation note visible in Activity/Pulse</t>
        </is>
      </c>
      <c r="K2338" t="inlineStr">
        <is>
          <t>NOT_RUN</t>
        </is>
      </c>
      <c r="P2338" t="n">
        <v>0</v>
      </c>
      <c r="Q2338" t="n">
        <v>2337</v>
      </c>
    </row>
    <row r="2339">
      <c r="A2339" t="n">
        <v>2338</v>
      </c>
      <c r="B2339" t="inlineStr">
        <is>
          <t>MTR-IOS-2338</t>
        </is>
      </c>
      <c r="C2339" t="inlineStr">
        <is>
          <t>iPhone</t>
        </is>
      </c>
      <c r="D2339" t="inlineStr">
        <is>
          <t>Personal</t>
        </is>
      </c>
      <c r="E2339" t="inlineStr">
        <is>
          <t>Personal</t>
        </is>
      </c>
      <c r="F2339" t="inlineStr">
        <is>
          <t>Relationships</t>
        </is>
      </c>
      <c r="G2339" t="inlineStr">
        <is>
          <t>Family</t>
        </is>
      </c>
      <c r="H2339" t="inlineStr">
        <is>
          <t>Personal &gt; Relationships &gt; Quick Add &gt; Family</t>
        </is>
      </c>
      <c r="I2339" s="18" t="n">
        <v>12438.29</v>
      </c>
      <c r="J2339" t="inlineStr">
        <is>
          <t>Created MTR-IOS-2338 and correlation note visible in Activity/Pulse</t>
        </is>
      </c>
      <c r="K2339" t="inlineStr">
        <is>
          <t>NOT_RUN</t>
        </is>
      </c>
      <c r="P2339" t="n">
        <v>0</v>
      </c>
      <c r="Q2339" t="n">
        <v>2338</v>
      </c>
    </row>
    <row r="2340">
      <c r="A2340" t="n">
        <v>2339</v>
      </c>
      <c r="B2340" t="inlineStr">
        <is>
          <t>MTR-IOS-2339</t>
        </is>
      </c>
      <c r="C2340" t="inlineStr">
        <is>
          <t>iPhone</t>
        </is>
      </c>
      <c r="D2340" t="inlineStr">
        <is>
          <t>Group</t>
        </is>
      </c>
      <c r="E2340" t="inlineStr">
        <is>
          <t>Shared Purchase</t>
        </is>
      </c>
      <c r="F2340" t="inlineStr">
        <is>
          <t>Gift Pool</t>
        </is>
      </c>
      <c r="G2340" t="inlineStr">
        <is>
          <t>Gift Purchase</t>
        </is>
      </c>
      <c r="H2340" t="inlineStr">
        <is>
          <t>Group &gt; Gift Pool &gt; Quick Add &gt; Gift Purchase</t>
        </is>
      </c>
      <c r="I2340" s="18" t="n">
        <v>8689.379999999999</v>
      </c>
      <c r="J2340" t="inlineStr">
        <is>
          <t>Created MTR-IOS-2339 and correlation note visible in Activity/Pulse</t>
        </is>
      </c>
      <c r="K2340" t="inlineStr">
        <is>
          <t>NOT_RUN</t>
        </is>
      </c>
      <c r="P2340" t="n">
        <v>0</v>
      </c>
      <c r="Q2340" t="n">
        <v>2339</v>
      </c>
    </row>
    <row r="2341">
      <c r="A2341" t="n">
        <v>2340</v>
      </c>
      <c r="B2341" t="inlineStr">
        <is>
          <t>MTR-IOS-2340</t>
        </is>
      </c>
      <c r="C2341" t="inlineStr">
        <is>
          <t>iPhone</t>
        </is>
      </c>
      <c r="D2341" t="inlineStr">
        <is>
          <t>Business</t>
        </is>
      </c>
      <c r="E2341" t="inlineStr">
        <is>
          <t>Business</t>
        </is>
      </c>
      <c r="F2341" t="inlineStr">
        <is>
          <t>Team Operations</t>
        </is>
      </c>
      <c r="G2341" t="inlineStr">
        <is>
          <t>Hiring</t>
        </is>
      </c>
      <c r="H2341" t="inlineStr">
        <is>
          <t>Business &gt; Team Operations &gt; Quick Add &gt; Hiring</t>
        </is>
      </c>
      <c r="I2341" s="18" t="n">
        <v>138304.71</v>
      </c>
      <c r="J2341" t="inlineStr">
        <is>
          <t>Created MTR-IOS-2340 and correlation note visible in Activity/Pulse</t>
        </is>
      </c>
      <c r="K2341" t="inlineStr">
        <is>
          <t>NOT_RUN</t>
        </is>
      </c>
      <c r="P2341" t="n">
        <v>0</v>
      </c>
      <c r="Q2341" t="n">
        <v>2340</v>
      </c>
    </row>
    <row r="2342">
      <c r="A2342" t="n">
        <v>2341</v>
      </c>
      <c r="B2342" t="inlineStr">
        <is>
          <t>MTR-IOS-2341</t>
        </is>
      </c>
      <c r="C2342" t="inlineStr">
        <is>
          <t>iPhone</t>
        </is>
      </c>
      <c r="D2342" t="inlineStr">
        <is>
          <t>Personal</t>
        </is>
      </c>
      <c r="E2342" t="inlineStr">
        <is>
          <t>Personal</t>
        </is>
      </c>
      <c r="F2342" t="inlineStr">
        <is>
          <t>Relationships</t>
        </is>
      </c>
      <c r="G2342" t="inlineStr">
        <is>
          <t>Friends</t>
        </is>
      </c>
      <c r="H2342" t="inlineStr">
        <is>
          <t>Personal &gt; Relationships &gt; Quick Add &gt; Friends</t>
        </is>
      </c>
      <c r="I2342" s="18" t="n">
        <v>9423.33</v>
      </c>
      <c r="J2342" t="inlineStr">
        <is>
          <t>Created MTR-IOS-2341 and correlation note visible in Activity/Pulse</t>
        </is>
      </c>
      <c r="K2342" t="inlineStr">
        <is>
          <t>NOT_RUN</t>
        </is>
      </c>
      <c r="P2342" t="n">
        <v>0</v>
      </c>
      <c r="Q2342" t="n">
        <v>2341</v>
      </c>
    </row>
    <row r="2343">
      <c r="A2343" t="n">
        <v>2342</v>
      </c>
      <c r="B2343" t="inlineStr">
        <is>
          <t>MTR-IOS-2342</t>
        </is>
      </c>
      <c r="C2343" t="inlineStr">
        <is>
          <t>iPhone</t>
        </is>
      </c>
      <c r="D2343" t="inlineStr">
        <is>
          <t>Group</t>
        </is>
      </c>
      <c r="E2343" t="inlineStr">
        <is>
          <t>Shared Purchase</t>
        </is>
      </c>
      <c r="F2343" t="inlineStr">
        <is>
          <t>Gift Pool</t>
        </is>
      </c>
      <c r="G2343" t="inlineStr">
        <is>
          <t>Delivery</t>
        </is>
      </c>
      <c r="H2343" t="inlineStr">
        <is>
          <t>Group &gt; Gift Pool &gt; Quick Add &gt; Delivery</t>
        </is>
      </c>
      <c r="I2343" s="18" t="n">
        <v>15191.17</v>
      </c>
      <c r="J2343" t="inlineStr">
        <is>
          <t>Created MTR-IOS-2342 and correlation note visible in Activity/Pulse</t>
        </is>
      </c>
      <c r="K2343" t="inlineStr">
        <is>
          <t>NOT_RUN</t>
        </is>
      </c>
      <c r="P2343" t="n">
        <v>0</v>
      </c>
      <c r="Q2343" t="n">
        <v>2342</v>
      </c>
    </row>
    <row r="2344">
      <c r="A2344" t="n">
        <v>2343</v>
      </c>
      <c r="B2344" t="inlineStr">
        <is>
          <t>MTR-IOS-2343</t>
        </is>
      </c>
      <c r="C2344" t="inlineStr">
        <is>
          <t>iPhone</t>
        </is>
      </c>
      <c r="D2344" t="inlineStr">
        <is>
          <t>Business</t>
        </is>
      </c>
      <c r="E2344" t="inlineStr">
        <is>
          <t>Business</t>
        </is>
      </c>
      <c r="F2344" t="inlineStr">
        <is>
          <t>Team Operations</t>
        </is>
      </c>
      <c r="G2344" t="inlineStr">
        <is>
          <t>Team Meal</t>
        </is>
      </c>
      <c r="H2344" t="inlineStr">
        <is>
          <t>Business &gt; Team Operations &gt; Quick Add &gt; Team Meal</t>
        </is>
      </c>
      <c r="I2344" s="18" t="n">
        <v>86208.21000000001</v>
      </c>
      <c r="J2344" t="inlineStr">
        <is>
          <t>Created MTR-IOS-2343 and correlation note visible in Activity/Pulse</t>
        </is>
      </c>
      <c r="K2344" t="inlineStr">
        <is>
          <t>NOT_RUN</t>
        </is>
      </c>
      <c r="P2344" t="n">
        <v>0</v>
      </c>
      <c r="Q2344" t="n">
        <v>2343</v>
      </c>
    </row>
    <row r="2345">
      <c r="A2345" t="n">
        <v>2344</v>
      </c>
      <c r="B2345" t="inlineStr">
        <is>
          <t>MTR-IOS-2344</t>
        </is>
      </c>
      <c r="C2345" t="inlineStr">
        <is>
          <t>iPhone</t>
        </is>
      </c>
      <c r="D2345" t="inlineStr">
        <is>
          <t>Personal</t>
        </is>
      </c>
      <c r="E2345" t="inlineStr">
        <is>
          <t>Personal</t>
        </is>
      </c>
      <c r="F2345" t="inlineStr">
        <is>
          <t>Relationships</t>
        </is>
      </c>
      <c r="G2345" t="inlineStr">
        <is>
          <t>Celebrations</t>
        </is>
      </c>
      <c r="H2345" t="inlineStr">
        <is>
          <t>Personal &gt; Relationships &gt; Quick Add &gt; Celebrations</t>
        </is>
      </c>
      <c r="I2345" s="18" t="n">
        <v>10746.74</v>
      </c>
      <c r="J2345" t="inlineStr">
        <is>
          <t>Created MTR-IOS-2344 and correlation note visible in Activity/Pulse</t>
        </is>
      </c>
      <c r="K2345" t="inlineStr">
        <is>
          <t>NOT_RUN</t>
        </is>
      </c>
      <c r="P2345" t="n">
        <v>0</v>
      </c>
      <c r="Q2345" t="n">
        <v>2344</v>
      </c>
    </row>
    <row r="2346">
      <c r="A2346" t="n">
        <v>2345</v>
      </c>
      <c r="B2346" t="inlineStr">
        <is>
          <t>MTR-IOS-2345</t>
        </is>
      </c>
      <c r="C2346" t="inlineStr">
        <is>
          <t>iPhone</t>
        </is>
      </c>
      <c r="D2346" t="inlineStr">
        <is>
          <t>Group</t>
        </is>
      </c>
      <c r="E2346" t="inlineStr">
        <is>
          <t>Shared Purchase</t>
        </is>
      </c>
      <c r="F2346" t="inlineStr">
        <is>
          <t>Gift Pool</t>
        </is>
      </c>
      <c r="G2346" t="inlineStr">
        <is>
          <t>Other</t>
        </is>
      </c>
      <c r="H2346" t="inlineStr">
        <is>
          <t>Group &gt; Gift Pool &gt; Quick Add &gt; Other</t>
        </is>
      </c>
      <c r="I2346" s="18" t="n">
        <v>19043.09</v>
      </c>
      <c r="J2346" t="inlineStr">
        <is>
          <t>Created MTR-IOS-2345 and correlation note visible in Activity/Pulse</t>
        </is>
      </c>
      <c r="K2346" t="inlineStr">
        <is>
          <t>NOT_RUN</t>
        </is>
      </c>
      <c r="P2346" t="n">
        <v>0</v>
      </c>
      <c r="Q2346" t="n">
        <v>2345</v>
      </c>
    </row>
    <row r="2347">
      <c r="A2347" t="n">
        <v>2346</v>
      </c>
      <c r="B2347" t="inlineStr">
        <is>
          <t>MTR-IOS-2346</t>
        </is>
      </c>
      <c r="C2347" t="inlineStr">
        <is>
          <t>iPhone</t>
        </is>
      </c>
      <c r="D2347" t="inlineStr">
        <is>
          <t>Business</t>
        </is>
      </c>
      <c r="E2347" t="inlineStr">
        <is>
          <t>Business</t>
        </is>
      </c>
      <c r="F2347" t="inlineStr">
        <is>
          <t>Team Operations</t>
        </is>
      </c>
      <c r="G2347" t="inlineStr">
        <is>
          <t>Travel</t>
        </is>
      </c>
      <c r="H2347" t="inlineStr">
        <is>
          <t>Business &gt; Team Operations &gt; Quick Add &gt; Travel</t>
        </is>
      </c>
      <c r="I2347" s="18" t="n">
        <v>47001.31</v>
      </c>
      <c r="J2347" t="inlineStr">
        <is>
          <t>Created MTR-IOS-2346 and correlation note visible in Activity/Pulse</t>
        </is>
      </c>
      <c r="K2347" t="inlineStr">
        <is>
          <t>NOT_RUN</t>
        </is>
      </c>
      <c r="P2347" t="n">
        <v>0</v>
      </c>
      <c r="Q2347" t="n">
        <v>2346</v>
      </c>
    </row>
    <row r="2348">
      <c r="A2348" t="n">
        <v>2347</v>
      </c>
      <c r="B2348" t="inlineStr">
        <is>
          <t>MTR-IOS-2347</t>
        </is>
      </c>
      <c r="C2348" t="inlineStr">
        <is>
          <t>iPhone</t>
        </is>
      </c>
      <c r="D2348" t="inlineStr">
        <is>
          <t>Personal</t>
        </is>
      </c>
      <c r="E2348" t="inlineStr">
        <is>
          <t>Personal</t>
        </is>
      </c>
      <c r="F2348" t="inlineStr">
        <is>
          <t>Life Operations</t>
        </is>
      </c>
      <c r="G2348" t="inlineStr">
        <is>
          <t>Groceries</t>
        </is>
      </c>
      <c r="H2348" t="inlineStr">
        <is>
          <t>Personal &gt; Life Operations &gt; Quick Add &gt; Groceries</t>
        </is>
      </c>
      <c r="I2348" s="18" t="n">
        <v>3051.35</v>
      </c>
      <c r="J2348" t="inlineStr">
        <is>
          <t>Created MTR-IOS-2347 and correlation note visible in Activity/Pulse</t>
        </is>
      </c>
      <c r="K2348" t="inlineStr">
        <is>
          <t>NOT_RUN</t>
        </is>
      </c>
      <c r="P2348" t="n">
        <v>0</v>
      </c>
      <c r="Q2348" t="n">
        <v>2347</v>
      </c>
    </row>
    <row r="2349">
      <c r="A2349" t="n">
        <v>2348</v>
      </c>
      <c r="B2349" t="inlineStr">
        <is>
          <t>MTR-IOS-2348</t>
        </is>
      </c>
      <c r="C2349" t="inlineStr">
        <is>
          <t>iPhone</t>
        </is>
      </c>
      <c r="D2349" t="inlineStr">
        <is>
          <t>Group</t>
        </is>
      </c>
      <c r="E2349" t="inlineStr">
        <is>
          <t>Shared Purchase</t>
        </is>
      </c>
      <c r="F2349" t="inlineStr">
        <is>
          <t>Purchase</t>
        </is>
      </c>
      <c r="G2349" t="inlineStr">
        <is>
          <t>Item</t>
        </is>
      </c>
      <c r="H2349" t="inlineStr">
        <is>
          <t>Group &gt; Purchase &gt; Quick Add &gt; Item</t>
        </is>
      </c>
      <c r="I2349" s="18" t="n">
        <v>23300.71</v>
      </c>
      <c r="J2349" t="inlineStr">
        <is>
          <t>Created MTR-IOS-2348 and correlation note visible in Activity/Pulse</t>
        </is>
      </c>
      <c r="K2349" t="inlineStr">
        <is>
          <t>NOT_RUN</t>
        </is>
      </c>
      <c r="P2349" t="n">
        <v>0</v>
      </c>
      <c r="Q2349" t="n">
        <v>2348</v>
      </c>
    </row>
    <row r="2350">
      <c r="A2350" t="n">
        <v>2349</v>
      </c>
      <c r="B2350" t="inlineStr">
        <is>
          <t>MTR-IOS-2349</t>
        </is>
      </c>
      <c r="C2350" t="inlineStr">
        <is>
          <t>iPhone</t>
        </is>
      </c>
      <c r="D2350" t="inlineStr">
        <is>
          <t>Business</t>
        </is>
      </c>
      <c r="E2350" t="inlineStr">
        <is>
          <t>Business</t>
        </is>
      </c>
      <c r="F2350" t="inlineStr">
        <is>
          <t>Team Operations</t>
        </is>
      </c>
      <c r="G2350" t="inlineStr">
        <is>
          <t>Training</t>
        </is>
      </c>
      <c r="H2350" t="inlineStr">
        <is>
          <t>Business &gt; Team Operations &gt; Quick Add &gt; Training</t>
        </is>
      </c>
      <c r="I2350" s="18" t="n">
        <v>32923.65</v>
      </c>
      <c r="J2350" t="inlineStr">
        <is>
          <t>Created MTR-IOS-2349 and correlation note visible in Activity/Pulse</t>
        </is>
      </c>
      <c r="K2350" t="inlineStr">
        <is>
          <t>NOT_RUN</t>
        </is>
      </c>
      <c r="P2350" t="n">
        <v>0</v>
      </c>
      <c r="Q2350" t="n">
        <v>2349</v>
      </c>
    </row>
    <row r="2351">
      <c r="A2351" t="n">
        <v>2350</v>
      </c>
      <c r="B2351" t="inlineStr">
        <is>
          <t>MTR-IOS-2350</t>
        </is>
      </c>
      <c r="C2351" t="inlineStr">
        <is>
          <t>iPhone</t>
        </is>
      </c>
      <c r="D2351" t="inlineStr">
        <is>
          <t>Personal</t>
        </is>
      </c>
      <c r="E2351" t="inlineStr">
        <is>
          <t>Personal</t>
        </is>
      </c>
      <c r="F2351" t="inlineStr">
        <is>
          <t>Life Operations</t>
        </is>
      </c>
      <c r="G2351" t="inlineStr">
        <is>
          <t>Rent</t>
        </is>
      </c>
      <c r="H2351" t="inlineStr">
        <is>
          <t>Personal &gt; Life Operations &gt; Quick Add &gt; Rent</t>
        </is>
      </c>
      <c r="I2351" s="18" t="n">
        <v>14541.08</v>
      </c>
      <c r="J2351" t="inlineStr">
        <is>
          <t>Created MTR-IOS-2350 and correlation note visible in Activity/Pulse</t>
        </is>
      </c>
      <c r="K2351" t="inlineStr">
        <is>
          <t>NOT_RUN</t>
        </is>
      </c>
      <c r="P2351" t="n">
        <v>0</v>
      </c>
      <c r="Q2351" t="n">
        <v>2350</v>
      </c>
    </row>
    <row r="2352">
      <c r="A2352" t="n">
        <v>2351</v>
      </c>
      <c r="B2352" t="inlineStr">
        <is>
          <t>MTR-IOS-2351</t>
        </is>
      </c>
      <c r="C2352" t="inlineStr">
        <is>
          <t>iPhone</t>
        </is>
      </c>
      <c r="D2352" t="inlineStr">
        <is>
          <t>Group</t>
        </is>
      </c>
      <c r="E2352" t="inlineStr">
        <is>
          <t>Shared Purchase</t>
        </is>
      </c>
      <c r="F2352" t="inlineStr">
        <is>
          <t>Purchase</t>
        </is>
      </c>
      <c r="G2352" t="inlineStr">
        <is>
          <t>Shipping</t>
        </is>
      </c>
      <c r="H2352" t="inlineStr">
        <is>
          <t>Group &gt; Purchase &gt; Quick Add &gt; Shipping</t>
        </is>
      </c>
      <c r="I2352" s="18" t="n">
        <v>14874.32</v>
      </c>
      <c r="J2352" t="inlineStr">
        <is>
          <t>Created MTR-IOS-2351 and correlation note visible in Activity/Pulse</t>
        </is>
      </c>
      <c r="K2352" t="inlineStr">
        <is>
          <t>NOT_RUN</t>
        </is>
      </c>
      <c r="P2352" t="n">
        <v>0</v>
      </c>
      <c r="Q2352" t="n">
        <v>2351</v>
      </c>
    </row>
    <row r="2353">
      <c r="A2353" t="n">
        <v>2352</v>
      </c>
      <c r="B2353" t="inlineStr">
        <is>
          <t>MTR-IOS-2352</t>
        </is>
      </c>
      <c r="C2353" t="inlineStr">
        <is>
          <t>iPhone</t>
        </is>
      </c>
      <c r="D2353" t="inlineStr">
        <is>
          <t>Business</t>
        </is>
      </c>
      <c r="E2353" t="inlineStr">
        <is>
          <t>Business</t>
        </is>
      </c>
      <c r="F2353" t="inlineStr">
        <is>
          <t>Team Operations</t>
        </is>
      </c>
      <c r="G2353" t="inlineStr">
        <is>
          <t>Tools</t>
        </is>
      </c>
      <c r="H2353" t="inlineStr">
        <is>
          <t>Business &gt; Team Operations &gt; Quick Add &gt; Tools</t>
        </is>
      </c>
      <c r="I2353" s="18" t="n">
        <v>14392.28</v>
      </c>
      <c r="J2353" t="inlineStr">
        <is>
          <t>Created MTR-IOS-2352 and correlation note visible in Activity/Pulse</t>
        </is>
      </c>
      <c r="K2353" t="inlineStr">
        <is>
          <t>NOT_RUN</t>
        </is>
      </c>
      <c r="P2353" t="n">
        <v>0</v>
      </c>
      <c r="Q2353" t="n">
        <v>2352</v>
      </c>
    </row>
    <row r="2354">
      <c r="A2354" t="n">
        <v>2353</v>
      </c>
      <c r="B2354" t="inlineStr">
        <is>
          <t>MTR-IOS-2353</t>
        </is>
      </c>
      <c r="C2354" t="inlineStr">
        <is>
          <t>iPhone</t>
        </is>
      </c>
      <c r="D2354" t="inlineStr">
        <is>
          <t>Personal</t>
        </is>
      </c>
      <c r="E2354" t="inlineStr">
        <is>
          <t>Personal</t>
        </is>
      </c>
      <c r="F2354" t="inlineStr">
        <is>
          <t>Life Operations</t>
        </is>
      </c>
      <c r="G2354" t="inlineStr">
        <is>
          <t>Bills</t>
        </is>
      </c>
      <c r="H2354" t="inlineStr">
        <is>
          <t>Personal &gt; Life Operations &gt; Quick Add &gt; Bills</t>
        </is>
      </c>
      <c r="I2354" s="18" t="n">
        <v>7699.75</v>
      </c>
      <c r="J2354" t="inlineStr">
        <is>
          <t>Created MTR-IOS-2353 and correlation note visible in Activity/Pulse</t>
        </is>
      </c>
      <c r="K2354" t="inlineStr">
        <is>
          <t>NOT_RUN</t>
        </is>
      </c>
      <c r="P2354" t="n">
        <v>0</v>
      </c>
      <c r="Q2354" t="n">
        <v>2353</v>
      </c>
    </row>
    <row r="2355">
      <c r="A2355" t="n">
        <v>2354</v>
      </c>
      <c r="B2355" t="inlineStr">
        <is>
          <t>MTR-IOS-2354</t>
        </is>
      </c>
      <c r="C2355" t="inlineStr">
        <is>
          <t>iPhone</t>
        </is>
      </c>
      <c r="D2355" t="inlineStr">
        <is>
          <t>Group</t>
        </is>
      </c>
      <c r="E2355" t="inlineStr">
        <is>
          <t>Shared Purchase</t>
        </is>
      </c>
      <c r="F2355" t="inlineStr">
        <is>
          <t>Purchase</t>
        </is>
      </c>
      <c r="G2355" t="inlineStr">
        <is>
          <t>Tax</t>
        </is>
      </c>
      <c r="H2355" t="inlineStr">
        <is>
          <t>Group &gt; Purchase &gt; Quick Add &gt; Tax</t>
        </is>
      </c>
      <c r="I2355" s="18" t="n">
        <v>11000.97</v>
      </c>
      <c r="J2355" t="inlineStr">
        <is>
          <t>Created MTR-IOS-2354 and correlation note visible in Activity/Pulse</t>
        </is>
      </c>
      <c r="K2355" t="inlineStr">
        <is>
          <t>NOT_RUN</t>
        </is>
      </c>
      <c r="P2355" t="n">
        <v>0</v>
      </c>
      <c r="Q2355" t="n">
        <v>2354</v>
      </c>
    </row>
    <row r="2356">
      <c r="A2356" t="n">
        <v>2355</v>
      </c>
      <c r="B2356" t="inlineStr">
        <is>
          <t>MTR-IOS-2355</t>
        </is>
      </c>
      <c r="C2356" t="inlineStr">
        <is>
          <t>iPhone</t>
        </is>
      </c>
      <c r="D2356" t="inlineStr">
        <is>
          <t>Business</t>
        </is>
      </c>
      <c r="E2356" t="inlineStr">
        <is>
          <t>Business</t>
        </is>
      </c>
      <c r="F2356" t="inlineStr">
        <is>
          <t>Business Runway</t>
        </is>
      </c>
      <c r="G2356" t="inlineStr">
        <is>
          <t>Funding</t>
        </is>
      </c>
      <c r="H2356" t="inlineStr">
        <is>
          <t>Business &gt; Business Runway &gt; Quick Add &gt; Funding</t>
        </is>
      </c>
      <c r="I2356" s="18" t="n">
        <v>95798.09</v>
      </c>
      <c r="J2356" t="inlineStr">
        <is>
          <t>Created MTR-IOS-2355 and correlation note visible in Activity/Pulse</t>
        </is>
      </c>
      <c r="K2356" t="inlineStr">
        <is>
          <t>NOT_RUN</t>
        </is>
      </c>
      <c r="P2356" t="n">
        <v>0</v>
      </c>
      <c r="Q2356" t="n">
        <v>2355</v>
      </c>
    </row>
    <row r="2357">
      <c r="A2357" t="n">
        <v>2356</v>
      </c>
      <c r="B2357" t="inlineStr">
        <is>
          <t>MTR-IOS-2356</t>
        </is>
      </c>
      <c r="C2357" t="inlineStr">
        <is>
          <t>iPhone</t>
        </is>
      </c>
      <c r="D2357" t="inlineStr">
        <is>
          <t>Personal</t>
        </is>
      </c>
      <c r="E2357" t="inlineStr">
        <is>
          <t>Personal</t>
        </is>
      </c>
      <c r="F2357" t="inlineStr">
        <is>
          <t>Life Operations</t>
        </is>
      </c>
      <c r="G2357" t="inlineStr">
        <is>
          <t>Transport</t>
        </is>
      </c>
      <c r="H2357" t="inlineStr">
        <is>
          <t>Personal &gt; Life Operations &gt; Quick Add &gt; Transport</t>
        </is>
      </c>
      <c r="I2357" s="18" t="n">
        <v>12469.92</v>
      </c>
      <c r="J2357" t="inlineStr">
        <is>
          <t>Created MTR-IOS-2356 and correlation note visible in Activity/Pulse</t>
        </is>
      </c>
      <c r="K2357" t="inlineStr">
        <is>
          <t>NOT_RUN</t>
        </is>
      </c>
      <c r="P2357" t="n">
        <v>0</v>
      </c>
      <c r="Q2357" t="n">
        <v>2356</v>
      </c>
    </row>
    <row r="2358">
      <c r="A2358" t="n">
        <v>2357</v>
      </c>
      <c r="B2358" t="inlineStr">
        <is>
          <t>MTR-IOS-2357</t>
        </is>
      </c>
      <c r="C2358" t="inlineStr">
        <is>
          <t>iPhone</t>
        </is>
      </c>
      <c r="D2358" t="inlineStr">
        <is>
          <t>Group</t>
        </is>
      </c>
      <c r="E2358" t="inlineStr">
        <is>
          <t>Shared Purchase</t>
        </is>
      </c>
      <c r="F2358" t="inlineStr">
        <is>
          <t>Purchase</t>
        </is>
      </c>
      <c r="G2358" t="inlineStr">
        <is>
          <t>Other</t>
        </is>
      </c>
      <c r="H2358" t="inlineStr">
        <is>
          <t>Group &gt; Purchase &gt; Quick Add &gt; Other</t>
        </is>
      </c>
      <c r="I2358" s="18" t="n">
        <v>19162.42</v>
      </c>
      <c r="J2358" t="inlineStr">
        <is>
          <t>Created MTR-IOS-2357 and correlation note visible in Activity/Pulse</t>
        </is>
      </c>
      <c r="K2358" t="inlineStr">
        <is>
          <t>NOT_RUN</t>
        </is>
      </c>
      <c r="P2358" t="n">
        <v>0</v>
      </c>
      <c r="Q2358" t="n">
        <v>2357</v>
      </c>
    </row>
    <row r="2359">
      <c r="A2359" t="n">
        <v>2358</v>
      </c>
      <c r="B2359" t="inlineStr">
        <is>
          <t>MTR-IOS-2358</t>
        </is>
      </c>
      <c r="C2359" t="inlineStr">
        <is>
          <t>iPhone</t>
        </is>
      </c>
      <c r="D2359" t="inlineStr">
        <is>
          <t>Business</t>
        </is>
      </c>
      <c r="E2359" t="inlineStr">
        <is>
          <t>Business</t>
        </is>
      </c>
      <c r="F2359" t="inlineStr">
        <is>
          <t>Business Runway</t>
        </is>
      </c>
      <c r="G2359" t="inlineStr">
        <is>
          <t>Revenue</t>
        </is>
      </c>
      <c r="H2359" t="inlineStr">
        <is>
          <t>Business &gt; Business Runway &gt; Quick Add &gt; Revenue</t>
        </is>
      </c>
      <c r="I2359" s="18" t="n">
        <v>149176.04</v>
      </c>
      <c r="J2359" t="inlineStr">
        <is>
          <t>Created MTR-IOS-2358 and correlation note visible in Activity/Pulse</t>
        </is>
      </c>
      <c r="K2359" t="inlineStr">
        <is>
          <t>NOT_RUN</t>
        </is>
      </c>
      <c r="P2359" t="n">
        <v>0</v>
      </c>
      <c r="Q2359" t="n">
        <v>2358</v>
      </c>
    </row>
    <row r="2360">
      <c r="A2360" t="n">
        <v>2359</v>
      </c>
      <c r="B2360" t="inlineStr">
        <is>
          <t>MTR-IOS-2359</t>
        </is>
      </c>
      <c r="C2360" t="inlineStr">
        <is>
          <t>iPhone</t>
        </is>
      </c>
      <c r="D2360" t="inlineStr">
        <is>
          <t>Personal</t>
        </is>
      </c>
      <c r="E2360" t="inlineStr">
        <is>
          <t>Personal</t>
        </is>
      </c>
      <c r="F2360" t="inlineStr">
        <is>
          <t>Life Operations</t>
        </is>
      </c>
      <c r="G2360" t="inlineStr">
        <is>
          <t>Healthcare</t>
        </is>
      </c>
      <c r="H2360" t="inlineStr">
        <is>
          <t>Personal &gt; Life Operations &gt; Quick Add &gt; Healthcare</t>
        </is>
      </c>
      <c r="I2360" s="18" t="n">
        <v>1414.41</v>
      </c>
      <c r="J2360" t="inlineStr">
        <is>
          <t>Created MTR-IOS-2359 and correlation note visible in Activity/Pulse</t>
        </is>
      </c>
      <c r="K2360" t="inlineStr">
        <is>
          <t>NOT_RUN</t>
        </is>
      </c>
      <c r="P2360" t="n">
        <v>0</v>
      </c>
      <c r="Q2360" t="n">
        <v>2359</v>
      </c>
    </row>
    <row r="2361">
      <c r="A2361" t="n">
        <v>2360</v>
      </c>
      <c r="B2361" t="inlineStr">
        <is>
          <t>MTR-IOS-2360</t>
        </is>
      </c>
      <c r="C2361" t="inlineStr">
        <is>
          <t>iPhone</t>
        </is>
      </c>
      <c r="D2361" t="inlineStr">
        <is>
          <t>Group</t>
        </is>
      </c>
      <c r="E2361" t="inlineStr">
        <is>
          <t>Shared Purchase</t>
        </is>
      </c>
      <c r="F2361" t="inlineStr">
        <is>
          <t>Assets</t>
        </is>
      </c>
      <c r="G2361" t="inlineStr">
        <is>
          <t>Purchase</t>
        </is>
      </c>
      <c r="H2361" t="inlineStr">
        <is>
          <t>Group &gt; Assets &gt; Quick Add &gt; Purchase</t>
        </is>
      </c>
      <c r="I2361" s="18" t="n">
        <v>4143.44</v>
      </c>
      <c r="J2361" t="inlineStr">
        <is>
          <t>Created MTR-IOS-2360 and correlation note visible in Activity/Pulse</t>
        </is>
      </c>
      <c r="K2361" t="inlineStr">
        <is>
          <t>NOT_RUN</t>
        </is>
      </c>
      <c r="P2361" t="n">
        <v>0</v>
      </c>
      <c r="Q2361" t="n">
        <v>2360</v>
      </c>
    </row>
    <row r="2362">
      <c r="A2362" t="n">
        <v>2361</v>
      </c>
      <c r="B2362" t="inlineStr">
        <is>
          <t>MTR-IOS-2361</t>
        </is>
      </c>
      <c r="C2362" t="inlineStr">
        <is>
          <t>iPhone</t>
        </is>
      </c>
      <c r="D2362" t="inlineStr">
        <is>
          <t>Business</t>
        </is>
      </c>
      <c r="E2362" t="inlineStr">
        <is>
          <t>Business</t>
        </is>
      </c>
      <c r="F2362" t="inlineStr">
        <is>
          <t>Business Runway</t>
        </is>
      </c>
      <c r="G2362" t="inlineStr">
        <is>
          <t>Burn</t>
        </is>
      </c>
      <c r="H2362" t="inlineStr">
        <is>
          <t>Business &gt; Business Runway &gt; Quick Add &gt; Burn</t>
        </is>
      </c>
      <c r="I2362" s="18" t="n">
        <v>81492</v>
      </c>
      <c r="J2362" t="inlineStr">
        <is>
          <t>Created MTR-IOS-2361 and correlation note visible in Activity/Pulse</t>
        </is>
      </c>
      <c r="K2362" t="inlineStr">
        <is>
          <t>NOT_RUN</t>
        </is>
      </c>
      <c r="P2362" t="n">
        <v>0</v>
      </c>
      <c r="Q2362" t="n">
        <v>2361</v>
      </c>
    </row>
    <row r="2363">
      <c r="A2363" t="n">
        <v>2362</v>
      </c>
      <c r="B2363" t="inlineStr">
        <is>
          <t>MTR-IOS-2362</t>
        </is>
      </c>
      <c r="C2363" t="inlineStr">
        <is>
          <t>iPhone</t>
        </is>
      </c>
      <c r="D2363" t="inlineStr">
        <is>
          <t>Personal</t>
        </is>
      </c>
      <c r="E2363" t="inlineStr">
        <is>
          <t>Personal</t>
        </is>
      </c>
      <c r="F2363" t="inlineStr">
        <is>
          <t>Life Operations</t>
        </is>
      </c>
      <c r="G2363" t="inlineStr">
        <is>
          <t>Subscriptions</t>
        </is>
      </c>
      <c r="H2363" t="inlineStr">
        <is>
          <t>Personal &gt; Life Operations &gt; Quick Add &gt; Subscriptions</t>
        </is>
      </c>
      <c r="I2363" s="18" t="n">
        <v>5911.01</v>
      </c>
      <c r="J2363" t="inlineStr">
        <is>
          <t>Created MTR-IOS-2362 and correlation note visible in Activity/Pulse</t>
        </is>
      </c>
      <c r="K2363" t="inlineStr">
        <is>
          <t>NOT_RUN</t>
        </is>
      </c>
      <c r="P2363" t="n">
        <v>0</v>
      </c>
      <c r="Q2363" t="n">
        <v>2362</v>
      </c>
    </row>
    <row r="2364">
      <c r="A2364" t="n">
        <v>2363</v>
      </c>
      <c r="B2364" t="inlineStr">
        <is>
          <t>MTR-IOS-2363</t>
        </is>
      </c>
      <c r="C2364" t="inlineStr">
        <is>
          <t>iPhone</t>
        </is>
      </c>
      <c r="D2364" t="inlineStr">
        <is>
          <t>Group</t>
        </is>
      </c>
      <c r="E2364" t="inlineStr">
        <is>
          <t>Shared Purchase</t>
        </is>
      </c>
      <c r="F2364" t="inlineStr">
        <is>
          <t>Assets</t>
        </is>
      </c>
      <c r="G2364" t="inlineStr">
        <is>
          <t>Maintenance</t>
        </is>
      </c>
      <c r="H2364" t="inlineStr">
        <is>
          <t>Group &gt; Assets &gt; Quick Add &gt; Maintenance</t>
        </is>
      </c>
      <c r="I2364" s="18" t="n">
        <v>17822.86</v>
      </c>
      <c r="J2364" t="inlineStr">
        <is>
          <t>Created MTR-IOS-2363 and correlation note visible in Activity/Pulse</t>
        </is>
      </c>
      <c r="K2364" t="inlineStr">
        <is>
          <t>NOT_RUN</t>
        </is>
      </c>
      <c r="P2364" t="n">
        <v>0</v>
      </c>
      <c r="Q2364" t="n">
        <v>2363</v>
      </c>
    </row>
    <row r="2365">
      <c r="A2365" t="n">
        <v>2364</v>
      </c>
      <c r="B2365" t="inlineStr">
        <is>
          <t>MTR-IOS-2364</t>
        </is>
      </c>
      <c r="C2365" t="inlineStr">
        <is>
          <t>iPhone</t>
        </is>
      </c>
      <c r="D2365" t="inlineStr">
        <is>
          <t>Business</t>
        </is>
      </c>
      <c r="E2365" t="inlineStr">
        <is>
          <t>Business</t>
        </is>
      </c>
      <c r="F2365" t="inlineStr">
        <is>
          <t>Business Runway</t>
        </is>
      </c>
      <c r="G2365" t="inlineStr">
        <is>
          <t>Reserve</t>
        </is>
      </c>
      <c r="H2365" t="inlineStr">
        <is>
          <t>Business &gt; Business Runway &gt; Quick Add &gt; Reserve</t>
        </is>
      </c>
      <c r="I2365" s="18" t="n">
        <v>121993.59</v>
      </c>
      <c r="J2365" t="inlineStr">
        <is>
          <t>Created MTR-IOS-2364 and correlation note visible in Activity/Pulse</t>
        </is>
      </c>
      <c r="K2365" t="inlineStr">
        <is>
          <t>NOT_RUN</t>
        </is>
      </c>
      <c r="P2365" t="n">
        <v>0</v>
      </c>
      <c r="Q2365" t="n">
        <v>2364</v>
      </c>
    </row>
    <row r="2366">
      <c r="A2366" t="n">
        <v>2365</v>
      </c>
      <c r="B2366" t="inlineStr">
        <is>
          <t>MTR-IOS-2365</t>
        </is>
      </c>
      <c r="C2366" t="inlineStr">
        <is>
          <t>iPhone</t>
        </is>
      </c>
      <c r="D2366" t="inlineStr">
        <is>
          <t>Personal</t>
        </is>
      </c>
      <c r="E2366" t="inlineStr">
        <is>
          <t>Personal</t>
        </is>
      </c>
      <c r="F2366" t="inlineStr">
        <is>
          <t>Life Operations</t>
        </is>
      </c>
      <c r="G2366" t="inlineStr">
        <is>
          <t>Repairs</t>
        </is>
      </c>
      <c r="H2366" t="inlineStr">
        <is>
          <t>Personal &gt; Life Operations &gt; Quick Add &gt; Repairs</t>
        </is>
      </c>
      <c r="I2366" s="18" t="n">
        <v>2034.75</v>
      </c>
      <c r="J2366" t="inlineStr">
        <is>
          <t>Created MTR-IOS-2365 and correlation note visible in Activity/Pulse</t>
        </is>
      </c>
      <c r="K2366" t="inlineStr">
        <is>
          <t>NOT_RUN</t>
        </is>
      </c>
      <c r="P2366" t="n">
        <v>0</v>
      </c>
      <c r="Q2366" t="n">
        <v>2365</v>
      </c>
    </row>
    <row r="2367">
      <c r="A2367" t="n">
        <v>2366</v>
      </c>
      <c r="B2367" t="inlineStr">
        <is>
          <t>MTR-IOS-2366</t>
        </is>
      </c>
      <c r="C2367" t="inlineStr">
        <is>
          <t>iPhone</t>
        </is>
      </c>
      <c r="D2367" t="inlineStr">
        <is>
          <t>Group</t>
        </is>
      </c>
      <c r="E2367" t="inlineStr">
        <is>
          <t>Shared Purchase</t>
        </is>
      </c>
      <c r="F2367" t="inlineStr">
        <is>
          <t>Assets</t>
        </is>
      </c>
      <c r="G2367" t="inlineStr">
        <is>
          <t>Repair</t>
        </is>
      </c>
      <c r="H2367" t="inlineStr">
        <is>
          <t>Group &gt; Assets &gt; Quick Add &gt; Repair</t>
        </is>
      </c>
      <c r="I2367" s="18" t="n">
        <v>4148.82</v>
      </c>
      <c r="J2367" t="inlineStr">
        <is>
          <t>Created MTR-IOS-2366 and correlation note visible in Activity/Pulse</t>
        </is>
      </c>
      <c r="K2367" t="inlineStr">
        <is>
          <t>NOT_RUN</t>
        </is>
      </c>
      <c r="P2367" t="n">
        <v>0</v>
      </c>
      <c r="Q2367" t="n">
        <v>2366</v>
      </c>
    </row>
    <row r="2368">
      <c r="A2368" t="n">
        <v>2367</v>
      </c>
      <c r="B2368" t="inlineStr">
        <is>
          <t>MTR-IOS-2367</t>
        </is>
      </c>
      <c r="C2368" t="inlineStr">
        <is>
          <t>iPhone</t>
        </is>
      </c>
      <c r="D2368" t="inlineStr">
        <is>
          <t>Business</t>
        </is>
      </c>
      <c r="E2368" t="inlineStr">
        <is>
          <t>Business</t>
        </is>
      </c>
      <c r="F2368" t="inlineStr">
        <is>
          <t>Business Runway</t>
        </is>
      </c>
      <c r="G2368" t="inlineStr">
        <is>
          <t>Loan</t>
        </is>
      </c>
      <c r="H2368" t="inlineStr">
        <is>
          <t>Business &gt; Business Runway &gt; Quick Add &gt; Loan</t>
        </is>
      </c>
      <c r="I2368" s="18" t="n">
        <v>53652.16</v>
      </c>
      <c r="J2368" t="inlineStr">
        <is>
          <t>Created MTR-IOS-2367 and correlation note visible in Activity/Pulse</t>
        </is>
      </c>
      <c r="K2368" t="inlineStr">
        <is>
          <t>NOT_RUN</t>
        </is>
      </c>
      <c r="P2368" t="n">
        <v>0</v>
      </c>
      <c r="Q2368" t="n">
        <v>2367</v>
      </c>
    </row>
    <row r="2369">
      <c r="A2369" t="n">
        <v>2368</v>
      </c>
      <c r="B2369" t="inlineStr">
        <is>
          <t>MTR-IOS-2368</t>
        </is>
      </c>
      <c r="C2369" t="inlineStr">
        <is>
          <t>iPhone</t>
        </is>
      </c>
      <c r="D2369" t="inlineStr">
        <is>
          <t>Personal</t>
        </is>
      </c>
      <c r="E2369" t="inlineStr">
        <is>
          <t>Personal</t>
        </is>
      </c>
      <c r="F2369" t="inlineStr">
        <is>
          <t>Future Building</t>
        </is>
      </c>
      <c r="G2369" t="inlineStr">
        <is>
          <t>Savings</t>
        </is>
      </c>
      <c r="H2369" t="inlineStr">
        <is>
          <t>Personal &gt; Future Building &gt; Quick Add &gt; Savings</t>
        </is>
      </c>
      <c r="I2369" s="18" t="n">
        <v>999.99</v>
      </c>
      <c r="J2369" t="inlineStr">
        <is>
          <t>Created MTR-IOS-2368 and correlation note visible in Activity/Pulse</t>
        </is>
      </c>
      <c r="K2369" t="inlineStr">
        <is>
          <t>NOT_RUN</t>
        </is>
      </c>
      <c r="P2369" t="n">
        <v>0</v>
      </c>
      <c r="Q2369" t="n">
        <v>2368</v>
      </c>
    </row>
    <row r="2370">
      <c r="A2370" t="n">
        <v>2369</v>
      </c>
      <c r="B2370" t="inlineStr">
        <is>
          <t>MTR-IOS-2369</t>
        </is>
      </c>
      <c r="C2370" t="inlineStr">
        <is>
          <t>iPhone</t>
        </is>
      </c>
      <c r="D2370" t="inlineStr">
        <is>
          <t>Group</t>
        </is>
      </c>
      <c r="E2370" t="inlineStr">
        <is>
          <t>Shared Purchase</t>
        </is>
      </c>
      <c r="F2370" t="inlineStr">
        <is>
          <t>Assets</t>
        </is>
      </c>
      <c r="G2370" t="inlineStr">
        <is>
          <t>Insurance</t>
        </is>
      </c>
      <c r="H2370" t="inlineStr">
        <is>
          <t>Group &gt; Assets &gt; Quick Add &gt; Insurance</t>
        </is>
      </c>
      <c r="I2370" s="18" t="n">
        <v>24466.51</v>
      </c>
      <c r="J2370" t="inlineStr">
        <is>
          <t>Created MTR-IOS-2369 and correlation note visible in Activity/Pulse</t>
        </is>
      </c>
      <c r="K2370" t="inlineStr">
        <is>
          <t>NOT_RUN</t>
        </is>
      </c>
      <c r="P2370" t="n">
        <v>0</v>
      </c>
      <c r="Q2370" t="n">
        <v>2369</v>
      </c>
    </row>
    <row r="2371">
      <c r="A2371" t="n">
        <v>2370</v>
      </c>
      <c r="B2371" t="inlineStr">
        <is>
          <t>MTR-IOS-2370</t>
        </is>
      </c>
      <c r="C2371" t="inlineStr">
        <is>
          <t>iPhone</t>
        </is>
      </c>
      <c r="D2371" t="inlineStr">
        <is>
          <t>Business</t>
        </is>
      </c>
      <c r="E2371" t="inlineStr">
        <is>
          <t>Business</t>
        </is>
      </c>
      <c r="F2371" t="inlineStr">
        <is>
          <t>Business Runway</t>
        </is>
      </c>
      <c r="G2371" t="inlineStr">
        <is>
          <t>Investment</t>
        </is>
      </c>
      <c r="H2371" t="inlineStr">
        <is>
          <t>Business &gt; Business Runway &gt; Quick Add &gt; Investment</t>
        </is>
      </c>
      <c r="I2371" s="18" t="n">
        <v>127249.32</v>
      </c>
      <c r="J2371" t="inlineStr">
        <is>
          <t>Created MTR-IOS-2370 and correlation note visible in Activity/Pulse</t>
        </is>
      </c>
      <c r="K2371" t="inlineStr">
        <is>
          <t>NOT_RUN</t>
        </is>
      </c>
      <c r="P2371" t="n">
        <v>0</v>
      </c>
      <c r="Q2371" t="n">
        <v>2370</v>
      </c>
    </row>
    <row r="2372">
      <c r="A2372" t="n">
        <v>2371</v>
      </c>
      <c r="B2372" t="inlineStr">
        <is>
          <t>MTR-IOS-2371</t>
        </is>
      </c>
      <c r="C2372" t="inlineStr">
        <is>
          <t>iPhone</t>
        </is>
      </c>
      <c r="D2372" t="inlineStr">
        <is>
          <t>Personal</t>
        </is>
      </c>
      <c r="E2372" t="inlineStr">
        <is>
          <t>Personal</t>
        </is>
      </c>
      <c r="F2372" t="inlineStr">
        <is>
          <t>Future Building</t>
        </is>
      </c>
      <c r="G2372" t="inlineStr">
        <is>
          <t>Emergency Fund</t>
        </is>
      </c>
      <c r="H2372" t="inlineStr">
        <is>
          <t>Personal &gt; Future Building &gt; Quick Add &gt; Emergency Fund</t>
        </is>
      </c>
      <c r="I2372" s="18" t="n">
        <v>2101.49</v>
      </c>
      <c r="J2372" t="inlineStr">
        <is>
          <t>Created MTR-IOS-2371 and correlation note visible in Activity/Pulse</t>
        </is>
      </c>
      <c r="K2372" t="inlineStr">
        <is>
          <t>NOT_RUN</t>
        </is>
      </c>
      <c r="P2372" t="n">
        <v>0</v>
      </c>
      <c r="Q2372" t="n">
        <v>2371</v>
      </c>
    </row>
    <row r="2373">
      <c r="A2373" t="n">
        <v>2372</v>
      </c>
      <c r="B2373" t="inlineStr">
        <is>
          <t>MTR-IOS-2372</t>
        </is>
      </c>
      <c r="C2373" t="inlineStr">
        <is>
          <t>iPhone</t>
        </is>
      </c>
      <c r="D2373" t="inlineStr">
        <is>
          <t>Group</t>
        </is>
      </c>
      <c r="E2373" t="inlineStr">
        <is>
          <t>Shared Purchase</t>
        </is>
      </c>
      <c r="F2373" t="inlineStr">
        <is>
          <t>Assets</t>
        </is>
      </c>
      <c r="G2373" t="inlineStr">
        <is>
          <t>Other</t>
        </is>
      </c>
      <c r="H2373" t="inlineStr">
        <is>
          <t>Group &gt; Assets &gt; Quick Add &gt; Other</t>
        </is>
      </c>
      <c r="I2373" s="18" t="n">
        <v>1124.2</v>
      </c>
      <c r="J2373" t="inlineStr">
        <is>
          <t>Created MTR-IOS-2372 and correlation note visible in Activity/Pulse</t>
        </is>
      </c>
      <c r="K2373" t="inlineStr">
        <is>
          <t>NOT_RUN</t>
        </is>
      </c>
      <c r="P2373" t="n">
        <v>0</v>
      </c>
      <c r="Q2373" t="n">
        <v>2372</v>
      </c>
    </row>
    <row r="2374">
      <c r="A2374" t="n">
        <v>2373</v>
      </c>
      <c r="B2374" t="inlineStr">
        <is>
          <t>MTR-IOS-2373</t>
        </is>
      </c>
      <c r="C2374" t="inlineStr">
        <is>
          <t>iPhone</t>
        </is>
      </c>
      <c r="D2374" t="inlineStr">
        <is>
          <t>Business</t>
        </is>
      </c>
      <c r="E2374" t="inlineStr">
        <is>
          <t>Business</t>
        </is>
      </c>
      <c r="F2374" t="inlineStr">
        <is>
          <t>Business Operations</t>
        </is>
      </c>
      <c r="G2374" t="inlineStr">
        <is>
          <t>Software</t>
        </is>
      </c>
      <c r="H2374" t="inlineStr">
        <is>
          <t>Business &gt; Business Operations &gt; Quick Add &gt; Software</t>
        </is>
      </c>
      <c r="I2374" s="18" t="n">
        <v>88275.10000000001</v>
      </c>
      <c r="J2374" t="inlineStr">
        <is>
          <t>Created MTR-IOS-2373 and correlation note visible in Activity/Pulse</t>
        </is>
      </c>
      <c r="K2374" t="inlineStr">
        <is>
          <t>NOT_RUN</t>
        </is>
      </c>
      <c r="P2374" t="n">
        <v>0</v>
      </c>
      <c r="Q2374" t="n">
        <v>2373</v>
      </c>
    </row>
    <row r="2375">
      <c r="A2375" t="n">
        <v>2374</v>
      </c>
      <c r="B2375" t="inlineStr">
        <is>
          <t>MTR-IOS-2374</t>
        </is>
      </c>
      <c r="C2375" t="inlineStr">
        <is>
          <t>iPhone</t>
        </is>
      </c>
      <c r="D2375" t="inlineStr">
        <is>
          <t>Personal</t>
        </is>
      </c>
      <c r="E2375" t="inlineStr">
        <is>
          <t>Personal</t>
        </is>
      </c>
      <c r="F2375" t="inlineStr">
        <is>
          <t>Future Building</t>
        </is>
      </c>
      <c r="G2375" t="inlineStr">
        <is>
          <t>Investments</t>
        </is>
      </c>
      <c r="H2375" t="inlineStr">
        <is>
          <t>Personal &gt; Future Building &gt; Quick Add &gt; Investments</t>
        </is>
      </c>
      <c r="I2375" s="18" t="n">
        <v>1728.97</v>
      </c>
      <c r="J2375" t="inlineStr">
        <is>
          <t>Created MTR-IOS-2374 and correlation note visible in Activity/Pulse</t>
        </is>
      </c>
      <c r="K2375" t="inlineStr">
        <is>
          <t>NOT_RUN</t>
        </is>
      </c>
      <c r="P2375" t="n">
        <v>0</v>
      </c>
      <c r="Q2375" t="n">
        <v>2374</v>
      </c>
    </row>
    <row r="2376">
      <c r="A2376" t="n">
        <v>2375</v>
      </c>
      <c r="B2376" t="inlineStr">
        <is>
          <t>MTR-IOS-2375</t>
        </is>
      </c>
      <c r="C2376" t="inlineStr">
        <is>
          <t>iPhone</t>
        </is>
      </c>
      <c r="D2376" t="inlineStr">
        <is>
          <t>Group</t>
        </is>
      </c>
      <c r="E2376" t="inlineStr">
        <is>
          <t>Shared Purchase</t>
        </is>
      </c>
      <c r="F2376" t="inlineStr">
        <is>
          <t>Custom Purchase</t>
        </is>
      </c>
      <c r="G2376" t="inlineStr">
        <is>
          <t>Custom Expense</t>
        </is>
      </c>
      <c r="H2376" t="inlineStr">
        <is>
          <t>Group &gt; Custom Purchase &gt; Quick Add &gt; Custom Expense</t>
        </is>
      </c>
      <c r="I2376" s="18" t="n">
        <v>25300.84</v>
      </c>
      <c r="J2376" t="inlineStr">
        <is>
          <t>Created MTR-IOS-2375 and correlation note visible in Activity/Pulse</t>
        </is>
      </c>
      <c r="K2376" t="inlineStr">
        <is>
          <t>NOT_RUN</t>
        </is>
      </c>
      <c r="P2376" t="n">
        <v>0</v>
      </c>
      <c r="Q2376" t="n">
        <v>2375</v>
      </c>
    </row>
    <row r="2377">
      <c r="A2377" t="n">
        <v>2376</v>
      </c>
      <c r="B2377" t="inlineStr">
        <is>
          <t>MTR-IOS-2376</t>
        </is>
      </c>
      <c r="C2377" t="inlineStr">
        <is>
          <t>iPhone</t>
        </is>
      </c>
      <c r="D2377" t="inlineStr">
        <is>
          <t>Business</t>
        </is>
      </c>
      <c r="E2377" t="inlineStr">
        <is>
          <t>Business</t>
        </is>
      </c>
      <c r="F2377" t="inlineStr">
        <is>
          <t>Business Operations</t>
        </is>
      </c>
      <c r="G2377" t="inlineStr">
        <is>
          <t>Rent</t>
        </is>
      </c>
      <c r="H2377" t="inlineStr">
        <is>
          <t>Business &gt; Business Operations &gt; Quick Add &gt; Rent</t>
        </is>
      </c>
      <c r="I2377" s="18" t="n">
        <v>152543.17</v>
      </c>
      <c r="J2377" t="inlineStr">
        <is>
          <t>Created MTR-IOS-2376 and correlation note visible in Activity/Pulse</t>
        </is>
      </c>
      <c r="K2377" t="inlineStr">
        <is>
          <t>NOT_RUN</t>
        </is>
      </c>
      <c r="P2377" t="n">
        <v>0</v>
      </c>
      <c r="Q2377" t="n">
        <v>2376</v>
      </c>
    </row>
    <row r="2378">
      <c r="A2378" t="n">
        <v>2377</v>
      </c>
      <c r="B2378" t="inlineStr">
        <is>
          <t>MTR-IOS-2377</t>
        </is>
      </c>
      <c r="C2378" t="inlineStr">
        <is>
          <t>iPhone</t>
        </is>
      </c>
      <c r="D2378" t="inlineStr">
        <is>
          <t>Personal</t>
        </is>
      </c>
      <c r="E2378" t="inlineStr">
        <is>
          <t>Personal</t>
        </is>
      </c>
      <c r="F2378" t="inlineStr">
        <is>
          <t>Future Building</t>
        </is>
      </c>
      <c r="G2378" t="inlineStr">
        <is>
          <t>Education</t>
        </is>
      </c>
      <c r="H2378" t="inlineStr">
        <is>
          <t>Personal &gt; Future Building &gt; Quick Add &gt; Education</t>
        </is>
      </c>
      <c r="I2378" s="18" t="n">
        <v>2295.78</v>
      </c>
      <c r="J2378" t="inlineStr">
        <is>
          <t>Created MTR-IOS-2377 and correlation note visible in Activity/Pulse</t>
        </is>
      </c>
      <c r="K2378" t="inlineStr">
        <is>
          <t>NOT_RUN</t>
        </is>
      </c>
      <c r="P2378" t="n">
        <v>0</v>
      </c>
      <c r="Q2378" t="n">
        <v>2377</v>
      </c>
    </row>
    <row r="2379">
      <c r="A2379" t="n">
        <v>2378</v>
      </c>
      <c r="B2379" t="inlineStr">
        <is>
          <t>MTR-IOS-2378</t>
        </is>
      </c>
      <c r="C2379" t="inlineStr">
        <is>
          <t>iPhone</t>
        </is>
      </c>
      <c r="D2379" t="inlineStr">
        <is>
          <t>Group</t>
        </is>
      </c>
      <c r="E2379" t="inlineStr">
        <is>
          <t>Shared Purchase</t>
        </is>
      </c>
      <c r="F2379" t="inlineStr">
        <is>
          <t>Custom Purchase</t>
        </is>
      </c>
      <c r="G2379" t="inlineStr">
        <is>
          <t>Custom Contribution</t>
        </is>
      </c>
      <c r="H2379" t="inlineStr">
        <is>
          <t>Group &gt; Custom Purchase &gt; Quick Add &gt; Custom Contribution</t>
        </is>
      </c>
      <c r="I2379" s="18" t="n">
        <v>12420.63</v>
      </c>
      <c r="J2379" t="inlineStr">
        <is>
          <t>Created MTR-IOS-2378 and correlation note visible in Activity/Pulse</t>
        </is>
      </c>
      <c r="K2379" t="inlineStr">
        <is>
          <t>NOT_RUN</t>
        </is>
      </c>
      <c r="P2379" t="n">
        <v>0</v>
      </c>
      <c r="Q2379" t="n">
        <v>2378</v>
      </c>
    </row>
    <row r="2380">
      <c r="A2380" t="n">
        <v>2379</v>
      </c>
      <c r="B2380" t="inlineStr">
        <is>
          <t>MTR-IOS-2379</t>
        </is>
      </c>
      <c r="C2380" t="inlineStr">
        <is>
          <t>iPhone</t>
        </is>
      </c>
      <c r="D2380" t="inlineStr">
        <is>
          <t>Business</t>
        </is>
      </c>
      <c r="E2380" t="inlineStr">
        <is>
          <t>Business</t>
        </is>
      </c>
      <c r="F2380" t="inlineStr">
        <is>
          <t>Business Operations</t>
        </is>
      </c>
      <c r="G2380" t="inlineStr">
        <is>
          <t>Marketing</t>
        </is>
      </c>
      <c r="H2380" t="inlineStr">
        <is>
          <t>Business &gt; Business Operations &gt; Quick Add &gt; Marketing</t>
        </is>
      </c>
      <c r="I2380" s="18" t="n">
        <v>36636.36</v>
      </c>
      <c r="J2380" t="inlineStr">
        <is>
          <t>Created MTR-IOS-2379 and correlation note visible in Activity/Pulse</t>
        </is>
      </c>
      <c r="K2380" t="inlineStr">
        <is>
          <t>NOT_RUN</t>
        </is>
      </c>
      <c r="P2380" t="n">
        <v>0</v>
      </c>
      <c r="Q2380" t="n">
        <v>2379</v>
      </c>
    </row>
    <row r="2381">
      <c r="A2381" t="n">
        <v>2380</v>
      </c>
      <c r="B2381" t="inlineStr">
        <is>
          <t>MTR-IOS-2380</t>
        </is>
      </c>
      <c r="C2381" t="inlineStr">
        <is>
          <t>iPhone</t>
        </is>
      </c>
      <c r="D2381" t="inlineStr">
        <is>
          <t>Personal</t>
        </is>
      </c>
      <c r="E2381" t="inlineStr">
        <is>
          <t>Personal</t>
        </is>
      </c>
      <c r="F2381" t="inlineStr">
        <is>
          <t>Future Building</t>
        </is>
      </c>
      <c r="G2381" t="inlineStr">
        <is>
          <t>Goal Contribution</t>
        </is>
      </c>
      <c r="H2381" t="inlineStr">
        <is>
          <t>Personal &gt; Future Building &gt; Quick Add &gt; Goal Contribution</t>
        </is>
      </c>
      <c r="I2381" s="18" t="n">
        <v>12341.27</v>
      </c>
      <c r="J2381" t="inlineStr">
        <is>
          <t>Created MTR-IOS-2380 and correlation note visible in Activity/Pulse</t>
        </is>
      </c>
      <c r="K2381" t="inlineStr">
        <is>
          <t>NOT_RUN</t>
        </is>
      </c>
      <c r="P2381" t="n">
        <v>0</v>
      </c>
      <c r="Q2381" t="n">
        <v>2380</v>
      </c>
    </row>
    <row r="2382">
      <c r="A2382" t="n">
        <v>2381</v>
      </c>
      <c r="B2382" t="inlineStr">
        <is>
          <t>MTR-IOS-2381</t>
        </is>
      </c>
      <c r="C2382" t="inlineStr">
        <is>
          <t>iPhone</t>
        </is>
      </c>
      <c r="D2382" t="inlineStr">
        <is>
          <t>Group</t>
        </is>
      </c>
      <c r="E2382" t="inlineStr">
        <is>
          <t>Shared Living</t>
        </is>
      </c>
      <c r="F2382" t="inlineStr">
        <is>
          <t>Flatmates</t>
        </is>
      </c>
      <c r="G2382" t="inlineStr">
        <is>
          <t>Rent</t>
        </is>
      </c>
      <c r="H2382" t="inlineStr">
        <is>
          <t>Group &gt; Flatmates &gt; Quick Add &gt; Rent</t>
        </is>
      </c>
      <c r="I2382" s="18" t="n">
        <v>20036.52</v>
      </c>
      <c r="J2382" t="inlineStr">
        <is>
          <t>Created MTR-IOS-2381 and correlation note visible in Activity/Pulse</t>
        </is>
      </c>
      <c r="K2382" t="inlineStr">
        <is>
          <t>NOT_RUN</t>
        </is>
      </c>
      <c r="P2382" t="n">
        <v>0</v>
      </c>
      <c r="Q2382" t="n">
        <v>2381</v>
      </c>
    </row>
    <row r="2383">
      <c r="A2383" t="n">
        <v>2382</v>
      </c>
      <c r="B2383" t="inlineStr">
        <is>
          <t>MTR-IOS-2382</t>
        </is>
      </c>
      <c r="C2383" t="inlineStr">
        <is>
          <t>iPhone</t>
        </is>
      </c>
      <c r="D2383" t="inlineStr">
        <is>
          <t>Business</t>
        </is>
      </c>
      <c r="E2383" t="inlineStr">
        <is>
          <t>Business</t>
        </is>
      </c>
      <c r="F2383" t="inlineStr">
        <is>
          <t>Business Operations</t>
        </is>
      </c>
      <c r="G2383" t="inlineStr">
        <is>
          <t>Legal</t>
        </is>
      </c>
      <c r="H2383" t="inlineStr">
        <is>
          <t>Business &gt; Business Operations &gt; Quick Add &gt; Legal</t>
        </is>
      </c>
      <c r="I2383" s="18" t="n">
        <v>19935</v>
      </c>
      <c r="J2383" t="inlineStr">
        <is>
          <t>Created MTR-IOS-2382 and correlation note visible in Activity/Pulse</t>
        </is>
      </c>
      <c r="K2383" t="inlineStr">
        <is>
          <t>NOT_RUN</t>
        </is>
      </c>
      <c r="P2383" t="n">
        <v>0</v>
      </c>
      <c r="Q2383" t="n">
        <v>2382</v>
      </c>
    </row>
    <row r="2384">
      <c r="A2384" t="n">
        <v>2383</v>
      </c>
      <c r="B2384" t="inlineStr">
        <is>
          <t>MTR-IOS-2383</t>
        </is>
      </c>
      <c r="C2384" t="inlineStr">
        <is>
          <t>iPhone</t>
        </is>
      </c>
      <c r="D2384" t="inlineStr">
        <is>
          <t>Personal</t>
        </is>
      </c>
      <c r="E2384" t="inlineStr">
        <is>
          <t>Personal</t>
        </is>
      </c>
      <c r="F2384" t="inlineStr">
        <is>
          <t>Lifestyle</t>
        </is>
      </c>
      <c r="G2384" t="inlineStr">
        <is>
          <t>Dining</t>
        </is>
      </c>
      <c r="H2384" t="inlineStr">
        <is>
          <t>Personal &gt; Lifestyle &gt; Quick Add &gt; Dining</t>
        </is>
      </c>
      <c r="I2384" s="18" t="n">
        <v>12215.51</v>
      </c>
      <c r="J2384" t="inlineStr">
        <is>
          <t>Created MTR-IOS-2383 and correlation note visible in Activity/Pulse</t>
        </is>
      </c>
      <c r="K2384" t="inlineStr">
        <is>
          <t>NOT_RUN</t>
        </is>
      </c>
      <c r="P2384" t="n">
        <v>0</v>
      </c>
      <c r="Q2384" t="n">
        <v>2383</v>
      </c>
    </row>
    <row r="2385">
      <c r="A2385" t="n">
        <v>2384</v>
      </c>
      <c r="B2385" t="inlineStr">
        <is>
          <t>MTR-IOS-2384</t>
        </is>
      </c>
      <c r="C2385" t="inlineStr">
        <is>
          <t>iPhone</t>
        </is>
      </c>
      <c r="D2385" t="inlineStr">
        <is>
          <t>Group</t>
        </is>
      </c>
      <c r="E2385" t="inlineStr">
        <is>
          <t>Shared Living</t>
        </is>
      </c>
      <c r="F2385" t="inlineStr">
        <is>
          <t>Flatmates</t>
        </is>
      </c>
      <c r="G2385" t="inlineStr">
        <is>
          <t>Utilities</t>
        </is>
      </c>
      <c r="H2385" t="inlineStr">
        <is>
          <t>Group &gt; Flatmates &gt; Quick Add &gt; Utilities</t>
        </is>
      </c>
      <c r="I2385" s="18" t="n">
        <v>15938.4</v>
      </c>
      <c r="J2385" t="inlineStr">
        <is>
          <t>Created MTR-IOS-2384 and correlation note visible in Activity/Pulse</t>
        </is>
      </c>
      <c r="K2385" t="inlineStr">
        <is>
          <t>NOT_RUN</t>
        </is>
      </c>
      <c r="P2385" t="n">
        <v>0</v>
      </c>
      <c r="Q2385" t="n">
        <v>2384</v>
      </c>
    </row>
    <row r="2386">
      <c r="A2386" t="n">
        <v>2385</v>
      </c>
      <c r="B2386" t="inlineStr">
        <is>
          <t>MTR-IOS-2385</t>
        </is>
      </c>
      <c r="C2386" t="inlineStr">
        <is>
          <t>iPhone</t>
        </is>
      </c>
      <c r="D2386" t="inlineStr">
        <is>
          <t>Business</t>
        </is>
      </c>
      <c r="E2386" t="inlineStr">
        <is>
          <t>Business</t>
        </is>
      </c>
      <c r="F2386" t="inlineStr">
        <is>
          <t>Business Operations</t>
        </is>
      </c>
      <c r="G2386" t="inlineStr">
        <is>
          <t>Accounting</t>
        </is>
      </c>
      <c r="H2386" t="inlineStr">
        <is>
          <t>Business &gt; Business Operations &gt; Quick Add &gt; Accounting</t>
        </is>
      </c>
      <c r="I2386" s="18" t="n">
        <v>43182.93</v>
      </c>
      <c r="J2386" t="inlineStr">
        <is>
          <t>Created MTR-IOS-2385 and correlation note visible in Activity/Pulse</t>
        </is>
      </c>
      <c r="K2386" t="inlineStr">
        <is>
          <t>NOT_RUN</t>
        </is>
      </c>
      <c r="P2386" t="n">
        <v>0</v>
      </c>
      <c r="Q2386" t="n">
        <v>2385</v>
      </c>
    </row>
    <row r="2387">
      <c r="A2387" t="n">
        <v>2386</v>
      </c>
      <c r="B2387" t="inlineStr">
        <is>
          <t>MTR-IOS-2386</t>
        </is>
      </c>
      <c r="C2387" t="inlineStr">
        <is>
          <t>iPhone</t>
        </is>
      </c>
      <c r="D2387" t="inlineStr">
        <is>
          <t>Personal</t>
        </is>
      </c>
      <c r="E2387" t="inlineStr">
        <is>
          <t>Personal</t>
        </is>
      </c>
      <c r="F2387" t="inlineStr">
        <is>
          <t>Lifestyle</t>
        </is>
      </c>
      <c r="G2387" t="inlineStr">
        <is>
          <t>Shopping</t>
        </is>
      </c>
      <c r="H2387" t="inlineStr">
        <is>
          <t>Personal &gt; Lifestyle &gt; Quick Add &gt; Shopping</t>
        </is>
      </c>
      <c r="I2387" s="18" t="n">
        <v>8200.32</v>
      </c>
      <c r="J2387" t="inlineStr">
        <is>
          <t>Created MTR-IOS-2386 and correlation note visible in Activity/Pulse</t>
        </is>
      </c>
      <c r="K2387" t="inlineStr">
        <is>
          <t>NOT_RUN</t>
        </is>
      </c>
      <c r="P2387" t="n">
        <v>0</v>
      </c>
      <c r="Q2387" t="n">
        <v>2386</v>
      </c>
    </row>
    <row r="2388">
      <c r="A2388" t="n">
        <v>2387</v>
      </c>
      <c r="B2388" t="inlineStr">
        <is>
          <t>MTR-IOS-2387</t>
        </is>
      </c>
      <c r="C2388" t="inlineStr">
        <is>
          <t>iPhone</t>
        </is>
      </c>
      <c r="D2388" t="inlineStr">
        <is>
          <t>Group</t>
        </is>
      </c>
      <c r="E2388" t="inlineStr">
        <is>
          <t>Shared Living</t>
        </is>
      </c>
      <c r="F2388" t="inlineStr">
        <is>
          <t>Flatmates</t>
        </is>
      </c>
      <c r="G2388" t="inlineStr">
        <is>
          <t>Groceries</t>
        </is>
      </c>
      <c r="H2388" t="inlineStr">
        <is>
          <t>Group &gt; Flatmates &gt; Quick Add &gt; Groceries</t>
        </is>
      </c>
      <c r="I2388" s="18" t="n">
        <v>2008.72</v>
      </c>
      <c r="J2388" t="inlineStr">
        <is>
          <t>Created MTR-IOS-2387 and correlation note visible in Activity/Pulse</t>
        </is>
      </c>
      <c r="K2388" t="inlineStr">
        <is>
          <t>NOT_RUN</t>
        </is>
      </c>
      <c r="P2388" t="n">
        <v>0</v>
      </c>
      <c r="Q2388" t="n">
        <v>2387</v>
      </c>
    </row>
    <row r="2389">
      <c r="A2389" t="n">
        <v>2388</v>
      </c>
      <c r="B2389" t="inlineStr">
        <is>
          <t>MTR-IOS-2388</t>
        </is>
      </c>
      <c r="C2389" t="inlineStr">
        <is>
          <t>iPhone</t>
        </is>
      </c>
      <c r="D2389" t="inlineStr">
        <is>
          <t>Business</t>
        </is>
      </c>
      <c r="E2389" t="inlineStr">
        <is>
          <t>Business</t>
        </is>
      </c>
      <c r="F2389" t="inlineStr">
        <is>
          <t>Business Operations</t>
        </is>
      </c>
      <c r="G2389" t="inlineStr">
        <is>
          <t>Equipment</t>
        </is>
      </c>
      <c r="H2389" t="inlineStr">
        <is>
          <t>Business &gt; Business Operations &gt; Quick Add &gt; Equipment</t>
        </is>
      </c>
      <c r="I2389" s="18" t="n">
        <v>21161.32</v>
      </c>
      <c r="J2389" t="inlineStr">
        <is>
          <t>Created MTR-IOS-2388 and correlation note visible in Activity/Pulse</t>
        </is>
      </c>
      <c r="K2389" t="inlineStr">
        <is>
          <t>NOT_RUN</t>
        </is>
      </c>
      <c r="P2389" t="n">
        <v>0</v>
      </c>
      <c r="Q2389" t="n">
        <v>2388</v>
      </c>
    </row>
    <row r="2390">
      <c r="A2390" t="n">
        <v>2389</v>
      </c>
      <c r="B2390" t="inlineStr">
        <is>
          <t>MTR-IOS-2389</t>
        </is>
      </c>
      <c r="C2390" t="inlineStr">
        <is>
          <t>iPhone</t>
        </is>
      </c>
      <c r="D2390" t="inlineStr">
        <is>
          <t>Personal</t>
        </is>
      </c>
      <c r="E2390" t="inlineStr">
        <is>
          <t>Personal</t>
        </is>
      </c>
      <c r="F2390" t="inlineStr">
        <is>
          <t>Lifestyle</t>
        </is>
      </c>
      <c r="G2390" t="inlineStr">
        <is>
          <t>Entertainment</t>
        </is>
      </c>
      <c r="H2390" t="inlineStr">
        <is>
          <t>Personal &gt; Lifestyle &gt; Quick Add &gt; Entertainment</t>
        </is>
      </c>
      <c r="I2390" s="18" t="n">
        <v>6598.03</v>
      </c>
      <c r="J2390" t="inlineStr">
        <is>
          <t>Created MTR-IOS-2389 and correlation note visible in Activity/Pulse</t>
        </is>
      </c>
      <c r="K2390" t="inlineStr">
        <is>
          <t>NOT_RUN</t>
        </is>
      </c>
      <c r="P2390" t="n">
        <v>0</v>
      </c>
      <c r="Q2390" t="n">
        <v>2389</v>
      </c>
    </row>
    <row r="2391">
      <c r="A2391" t="n">
        <v>2390</v>
      </c>
      <c r="B2391" t="inlineStr">
        <is>
          <t>MTR-IOS-2390</t>
        </is>
      </c>
      <c r="C2391" t="inlineStr">
        <is>
          <t>iPhone</t>
        </is>
      </c>
      <c r="D2391" t="inlineStr">
        <is>
          <t>Group</t>
        </is>
      </c>
      <c r="E2391" t="inlineStr">
        <is>
          <t>Shared Living</t>
        </is>
      </c>
      <c r="F2391" t="inlineStr">
        <is>
          <t>Flatmates</t>
        </is>
      </c>
      <c r="G2391" t="inlineStr">
        <is>
          <t>Internet</t>
        </is>
      </c>
      <c r="H2391" t="inlineStr">
        <is>
          <t>Group &gt; Flatmates &gt; Quick Add &gt; Internet</t>
        </is>
      </c>
      <c r="I2391" s="18" t="n">
        <v>16759.59</v>
      </c>
      <c r="J2391" t="inlineStr">
        <is>
          <t>Created MTR-IOS-2390 and correlation note visible in Activity/Pulse</t>
        </is>
      </c>
      <c r="K2391" t="inlineStr">
        <is>
          <t>NOT_RUN</t>
        </is>
      </c>
      <c r="P2391" t="n">
        <v>0</v>
      </c>
      <c r="Q2391" t="n">
        <v>2390</v>
      </c>
    </row>
    <row r="2392">
      <c r="A2392" t="n">
        <v>2391</v>
      </c>
      <c r="B2392" t="inlineStr">
        <is>
          <t>MTR-IOS-2391</t>
        </is>
      </c>
      <c r="C2392" t="inlineStr">
        <is>
          <t>iPhone</t>
        </is>
      </c>
      <c r="D2392" t="inlineStr">
        <is>
          <t>Business</t>
        </is>
      </c>
      <c r="E2392" t="inlineStr">
        <is>
          <t>Business</t>
        </is>
      </c>
      <c r="F2392" t="inlineStr">
        <is>
          <t>Business Operations</t>
        </is>
      </c>
      <c r="G2392" t="inlineStr">
        <is>
          <t>Vendor</t>
        </is>
      </c>
      <c r="H2392" t="inlineStr">
        <is>
          <t>Business &gt; Business Operations &gt; Quick Add &gt; Vendor</t>
        </is>
      </c>
      <c r="I2392" s="18" t="n">
        <v>114241.94</v>
      </c>
      <c r="J2392" t="inlineStr">
        <is>
          <t>Created MTR-IOS-2391 and correlation note visible in Activity/Pulse</t>
        </is>
      </c>
      <c r="K2392" t="inlineStr">
        <is>
          <t>NOT_RUN</t>
        </is>
      </c>
      <c r="P2392" t="n">
        <v>0</v>
      </c>
      <c r="Q2392" t="n">
        <v>2391</v>
      </c>
    </row>
    <row r="2393">
      <c r="A2393" t="n">
        <v>2392</v>
      </c>
      <c r="B2393" t="inlineStr">
        <is>
          <t>MTR-IOS-2392</t>
        </is>
      </c>
      <c r="C2393" t="inlineStr">
        <is>
          <t>iPhone</t>
        </is>
      </c>
      <c r="D2393" t="inlineStr">
        <is>
          <t>Personal</t>
        </is>
      </c>
      <c r="E2393" t="inlineStr">
        <is>
          <t>Personal</t>
        </is>
      </c>
      <c r="F2393" t="inlineStr">
        <is>
          <t>Lifestyle</t>
        </is>
      </c>
      <c r="G2393" t="inlineStr">
        <is>
          <t>Travel</t>
        </is>
      </c>
      <c r="H2393" t="inlineStr">
        <is>
          <t>Personal &gt; Lifestyle &gt; Quick Add &gt; Travel</t>
        </is>
      </c>
      <c r="I2393" s="18" t="n">
        <v>1321.84</v>
      </c>
      <c r="J2393" t="inlineStr">
        <is>
          <t>Created MTR-IOS-2392 and correlation note visible in Activity/Pulse</t>
        </is>
      </c>
      <c r="K2393" t="inlineStr">
        <is>
          <t>NOT_RUN</t>
        </is>
      </c>
      <c r="P2393" t="n">
        <v>0</v>
      </c>
      <c r="Q2393" t="n">
        <v>2392</v>
      </c>
    </row>
    <row r="2394">
      <c r="A2394" t="n">
        <v>2393</v>
      </c>
      <c r="B2394" t="inlineStr">
        <is>
          <t>MTR-IOS-2393</t>
        </is>
      </c>
      <c r="C2394" t="inlineStr">
        <is>
          <t>iPhone</t>
        </is>
      </c>
      <c r="D2394" t="inlineStr">
        <is>
          <t>Group</t>
        </is>
      </c>
      <c r="E2394" t="inlineStr">
        <is>
          <t>Shared Living</t>
        </is>
      </c>
      <c r="F2394" t="inlineStr">
        <is>
          <t>Flatmates</t>
        </is>
      </c>
      <c r="G2394" t="inlineStr">
        <is>
          <t>House Supplies</t>
        </is>
      </c>
      <c r="H2394" t="inlineStr">
        <is>
          <t>Group &gt; Flatmates &gt; Quick Add &gt; House Supplies</t>
        </is>
      </c>
      <c r="I2394" s="18" t="n">
        <v>12895.83</v>
      </c>
      <c r="J2394" t="inlineStr">
        <is>
          <t>Created MTR-IOS-2393 and correlation note visible in Activity/Pulse</t>
        </is>
      </c>
      <c r="K2394" t="inlineStr">
        <is>
          <t>NOT_RUN</t>
        </is>
      </c>
      <c r="P2394" t="n">
        <v>0</v>
      </c>
      <c r="Q2394" t="n">
        <v>2393</v>
      </c>
    </row>
    <row r="2395">
      <c r="A2395" t="n">
        <v>2394</v>
      </c>
      <c r="B2395" t="inlineStr">
        <is>
          <t>MTR-IOS-2394</t>
        </is>
      </c>
      <c r="C2395" t="inlineStr">
        <is>
          <t>iPhone</t>
        </is>
      </c>
      <c r="D2395" t="inlineStr">
        <is>
          <t>Business</t>
        </is>
      </c>
      <c r="E2395" t="inlineStr">
        <is>
          <t>Business</t>
        </is>
      </c>
      <c r="F2395" t="inlineStr">
        <is>
          <t>Business Operations</t>
        </is>
      </c>
      <c r="G2395" t="inlineStr">
        <is>
          <t>Tax</t>
        </is>
      </c>
      <c r="H2395" t="inlineStr">
        <is>
          <t>Business &gt; Business Operations &gt; Quick Add &gt; Tax</t>
        </is>
      </c>
      <c r="I2395" s="18" t="n">
        <v>28320.65</v>
      </c>
      <c r="J2395" t="inlineStr">
        <is>
          <t>Created MTR-IOS-2394 and correlation note visible in Activity/Pulse</t>
        </is>
      </c>
      <c r="K2395" t="inlineStr">
        <is>
          <t>NOT_RUN</t>
        </is>
      </c>
      <c r="P2395" t="n">
        <v>0</v>
      </c>
      <c r="Q2395" t="n">
        <v>2394</v>
      </c>
    </row>
    <row r="2396">
      <c r="A2396" t="n">
        <v>2395</v>
      </c>
      <c r="B2396" t="inlineStr">
        <is>
          <t>MTR-IOS-2395</t>
        </is>
      </c>
      <c r="C2396" t="inlineStr">
        <is>
          <t>iPhone</t>
        </is>
      </c>
      <c r="D2396" t="inlineStr">
        <is>
          <t>Personal</t>
        </is>
      </c>
      <c r="E2396" t="inlineStr">
        <is>
          <t>Personal</t>
        </is>
      </c>
      <c r="F2396" t="inlineStr">
        <is>
          <t>Lifestyle</t>
        </is>
      </c>
      <c r="G2396" t="inlineStr">
        <is>
          <t>Fitness</t>
        </is>
      </c>
      <c r="H2396" t="inlineStr">
        <is>
          <t>Personal &gt; Lifestyle &gt; Quick Add &gt; Fitness</t>
        </is>
      </c>
      <c r="I2396" s="18" t="n">
        <v>17766.14</v>
      </c>
      <c r="J2396" t="inlineStr">
        <is>
          <t>Created MTR-IOS-2395 and correlation note visible in Activity/Pulse</t>
        </is>
      </c>
      <c r="K2396" t="inlineStr">
        <is>
          <t>NOT_RUN</t>
        </is>
      </c>
      <c r="P2396" t="n">
        <v>0</v>
      </c>
      <c r="Q2396" t="n">
        <v>2395</v>
      </c>
    </row>
    <row r="2397">
      <c r="A2397" t="n">
        <v>2396</v>
      </c>
      <c r="B2397" t="inlineStr">
        <is>
          <t>MTR-IOS-2396</t>
        </is>
      </c>
      <c r="C2397" t="inlineStr">
        <is>
          <t>iPhone</t>
        </is>
      </c>
      <c r="D2397" t="inlineStr">
        <is>
          <t>Group</t>
        </is>
      </c>
      <c r="E2397" t="inlineStr">
        <is>
          <t>Shared Living</t>
        </is>
      </c>
      <c r="F2397" t="inlineStr">
        <is>
          <t>Flatmates</t>
        </is>
      </c>
      <c r="G2397" t="inlineStr">
        <is>
          <t>Repairs</t>
        </is>
      </c>
      <c r="H2397" t="inlineStr">
        <is>
          <t>Group &gt; Flatmates &gt; Quick Add &gt; Repairs</t>
        </is>
      </c>
      <c r="I2397" s="18" t="n">
        <v>16594.55</v>
      </c>
      <c r="J2397" t="inlineStr">
        <is>
          <t>Created MTR-IOS-2396 and correlation note visible in Activity/Pulse</t>
        </is>
      </c>
      <c r="K2397" t="inlineStr">
        <is>
          <t>NOT_RUN</t>
        </is>
      </c>
      <c r="P2397" t="n">
        <v>0</v>
      </c>
      <c r="Q2397" t="n">
        <v>2396</v>
      </c>
    </row>
    <row r="2398">
      <c r="A2398" t="n">
        <v>2397</v>
      </c>
      <c r="B2398" t="inlineStr">
        <is>
          <t>MTR-IOS-2397</t>
        </is>
      </c>
      <c r="C2398" t="inlineStr">
        <is>
          <t>iPhone</t>
        </is>
      </c>
      <c r="D2398" t="inlineStr">
        <is>
          <t>Business</t>
        </is>
      </c>
      <c r="E2398" t="inlineStr">
        <is>
          <t>Business</t>
        </is>
      </c>
      <c r="F2398" t="inlineStr">
        <is>
          <t>Team Operations</t>
        </is>
      </c>
      <c r="G2398" t="inlineStr">
        <is>
          <t>Payroll</t>
        </is>
      </c>
      <c r="H2398" t="inlineStr">
        <is>
          <t>Business &gt; Team Operations &gt; Quick Add &gt; Payroll</t>
        </is>
      </c>
      <c r="I2398" s="18" t="n">
        <v>90138.21000000001</v>
      </c>
      <c r="J2398" t="inlineStr">
        <is>
          <t>Created MTR-IOS-2397 and correlation note visible in Activity/Pulse</t>
        </is>
      </c>
      <c r="K2398" t="inlineStr">
        <is>
          <t>NOT_RUN</t>
        </is>
      </c>
      <c r="P2398" t="n">
        <v>0</v>
      </c>
      <c r="Q2398" t="n">
        <v>2397</v>
      </c>
    </row>
    <row r="2399">
      <c r="A2399" t="n">
        <v>2398</v>
      </c>
      <c r="B2399" t="inlineStr">
        <is>
          <t>MTR-IOS-2398</t>
        </is>
      </c>
      <c r="C2399" t="inlineStr">
        <is>
          <t>iPhone</t>
        </is>
      </c>
      <c r="D2399" t="inlineStr">
        <is>
          <t>Personal</t>
        </is>
      </c>
      <c r="E2399" t="inlineStr">
        <is>
          <t>Personal</t>
        </is>
      </c>
      <c r="F2399" t="inlineStr">
        <is>
          <t>Lifestyle</t>
        </is>
      </c>
      <c r="G2399" t="inlineStr">
        <is>
          <t>Hobbies</t>
        </is>
      </c>
      <c r="H2399" t="inlineStr">
        <is>
          <t>Personal &gt; Lifestyle &gt; Quick Add &gt; Hobbies</t>
        </is>
      </c>
      <c r="I2399" s="18" t="n">
        <v>14267.63</v>
      </c>
      <c r="J2399" t="inlineStr">
        <is>
          <t>Created MTR-IOS-2398 and correlation note visible in Activity/Pulse</t>
        </is>
      </c>
      <c r="K2399" t="inlineStr">
        <is>
          <t>NOT_RUN</t>
        </is>
      </c>
      <c r="P2399" t="n">
        <v>0</v>
      </c>
      <c r="Q2399" t="n">
        <v>2398</v>
      </c>
    </row>
    <row r="2400">
      <c r="A2400" t="n">
        <v>2399</v>
      </c>
      <c r="B2400" t="inlineStr">
        <is>
          <t>MTR-IOS-2399</t>
        </is>
      </c>
      <c r="C2400" t="inlineStr">
        <is>
          <t>iPhone</t>
        </is>
      </c>
      <c r="D2400" t="inlineStr">
        <is>
          <t>Group</t>
        </is>
      </c>
      <c r="E2400" t="inlineStr">
        <is>
          <t>Shared Living</t>
        </is>
      </c>
      <c r="F2400" t="inlineStr">
        <is>
          <t>Shared Living</t>
        </is>
      </c>
      <c r="G2400" t="inlineStr">
        <is>
          <t>Rent</t>
        </is>
      </c>
      <c r="H2400" t="inlineStr">
        <is>
          <t>Group &gt; Shared Living &gt; Quick Add &gt; Rent</t>
        </is>
      </c>
      <c r="I2400" s="18" t="n">
        <v>3109.56</v>
      </c>
      <c r="J2400" t="inlineStr">
        <is>
          <t>Created MTR-IOS-2399 and correlation note visible in Activity/Pulse</t>
        </is>
      </c>
      <c r="K2400" t="inlineStr">
        <is>
          <t>NOT_RUN</t>
        </is>
      </c>
      <c r="P2400" t="n">
        <v>0</v>
      </c>
      <c r="Q2400" t="n">
        <v>2399</v>
      </c>
    </row>
    <row r="2401">
      <c r="A2401" t="n">
        <v>2400</v>
      </c>
      <c r="B2401" t="inlineStr">
        <is>
          <t>MTR-IOS-2400</t>
        </is>
      </c>
      <c r="C2401" t="inlineStr">
        <is>
          <t>iPhone</t>
        </is>
      </c>
      <c r="D2401" t="inlineStr">
        <is>
          <t>Business</t>
        </is>
      </c>
      <c r="E2401" t="inlineStr">
        <is>
          <t>Business</t>
        </is>
      </c>
      <c r="F2401" t="inlineStr">
        <is>
          <t>Team Operations</t>
        </is>
      </c>
      <c r="G2401" t="inlineStr">
        <is>
          <t>Contractor</t>
        </is>
      </c>
      <c r="H2401" t="inlineStr">
        <is>
          <t>Business &gt; Team Operations &gt; Quick Add &gt; Contractor</t>
        </is>
      </c>
      <c r="I2401" s="18" t="n">
        <v>4217.98</v>
      </c>
      <c r="J2401" t="inlineStr">
        <is>
          <t>Created MTR-IOS-2400 and correlation note visible in Activity/Pulse</t>
        </is>
      </c>
      <c r="K2401" t="inlineStr">
        <is>
          <t>NOT_RUN</t>
        </is>
      </c>
      <c r="P2401" t="n">
        <v>0</v>
      </c>
      <c r="Q2401" t="n">
        <v>2400</v>
      </c>
    </row>
    <row r="2402">
      <c r="A2402" t="n">
        <v>2401</v>
      </c>
      <c r="B2402" t="inlineStr">
        <is>
          <t>MTR-IOS-2401</t>
        </is>
      </c>
      <c r="C2402" t="inlineStr">
        <is>
          <t>iPhone</t>
        </is>
      </c>
      <c r="D2402" t="inlineStr">
        <is>
          <t>Personal</t>
        </is>
      </c>
      <c r="E2402" t="inlineStr">
        <is>
          <t>Personal</t>
        </is>
      </c>
      <c r="F2402" t="inlineStr">
        <is>
          <t>Relationships</t>
        </is>
      </c>
      <c r="G2402" t="inlineStr">
        <is>
          <t>Gifts</t>
        </is>
      </c>
      <c r="H2402" t="inlineStr">
        <is>
          <t>Personal &gt; Relationships &gt; Quick Add &gt; Gifts</t>
        </is>
      </c>
      <c r="I2402" s="18" t="n">
        <v>1886.87</v>
      </c>
      <c r="J2402" t="inlineStr">
        <is>
          <t>Created MTR-IOS-2401 and correlation note visible in Activity/Pulse</t>
        </is>
      </c>
      <c r="K2402" t="inlineStr">
        <is>
          <t>NOT_RUN</t>
        </is>
      </c>
      <c r="P2402" t="n">
        <v>0</v>
      </c>
      <c r="Q2402" t="n">
        <v>2401</v>
      </c>
    </row>
    <row r="2403">
      <c r="A2403" t="n">
        <v>2402</v>
      </c>
      <c r="B2403" t="inlineStr">
        <is>
          <t>MTR-IOS-2402</t>
        </is>
      </c>
      <c r="C2403" t="inlineStr">
        <is>
          <t>iPhone</t>
        </is>
      </c>
      <c r="D2403" t="inlineStr">
        <is>
          <t>Group</t>
        </is>
      </c>
      <c r="E2403" t="inlineStr">
        <is>
          <t>Shared Living</t>
        </is>
      </c>
      <c r="F2403" t="inlineStr">
        <is>
          <t>Shared Living</t>
        </is>
      </c>
      <c r="G2403" t="inlineStr">
        <is>
          <t>Utilities</t>
        </is>
      </c>
      <c r="H2403" t="inlineStr">
        <is>
          <t>Group &gt; Shared Living &gt; Quick Add &gt; Utilities</t>
        </is>
      </c>
      <c r="I2403" s="18" t="n">
        <v>5529.66</v>
      </c>
      <c r="J2403" t="inlineStr">
        <is>
          <t>Created MTR-IOS-2402 and correlation note visible in Activity/Pulse</t>
        </is>
      </c>
      <c r="K2403" t="inlineStr">
        <is>
          <t>NOT_RUN</t>
        </is>
      </c>
      <c r="P2403" t="n">
        <v>0</v>
      </c>
      <c r="Q2403" t="n">
        <v>2402</v>
      </c>
    </row>
    <row r="2404">
      <c r="A2404" t="n">
        <v>2403</v>
      </c>
      <c r="B2404" t="inlineStr">
        <is>
          <t>MTR-IOS-2403</t>
        </is>
      </c>
      <c r="C2404" t="inlineStr">
        <is>
          <t>iPhone</t>
        </is>
      </c>
      <c r="D2404" t="inlineStr">
        <is>
          <t>Business</t>
        </is>
      </c>
      <c r="E2404" t="inlineStr">
        <is>
          <t>Business</t>
        </is>
      </c>
      <c r="F2404" t="inlineStr">
        <is>
          <t>Team Operations</t>
        </is>
      </c>
      <c r="G2404" t="inlineStr">
        <is>
          <t>Hiring</t>
        </is>
      </c>
      <c r="H2404" t="inlineStr">
        <is>
          <t>Business &gt; Team Operations &gt; Quick Add &gt; Hiring</t>
        </is>
      </c>
      <c r="I2404" s="18" t="n">
        <v>119294.9</v>
      </c>
      <c r="J2404" t="inlineStr">
        <is>
          <t>Created MTR-IOS-2403 and correlation note visible in Activity/Pulse</t>
        </is>
      </c>
      <c r="K2404" t="inlineStr">
        <is>
          <t>NOT_RUN</t>
        </is>
      </c>
      <c r="P2404" t="n">
        <v>0</v>
      </c>
      <c r="Q2404" t="n">
        <v>2403</v>
      </c>
    </row>
    <row r="2405">
      <c r="A2405" t="n">
        <v>2404</v>
      </c>
      <c r="B2405" t="inlineStr">
        <is>
          <t>MTR-IOS-2404</t>
        </is>
      </c>
      <c r="C2405" t="inlineStr">
        <is>
          <t>iPhone</t>
        </is>
      </c>
      <c r="D2405" t="inlineStr">
        <is>
          <t>Personal</t>
        </is>
      </c>
      <c r="E2405" t="inlineStr">
        <is>
          <t>Personal</t>
        </is>
      </c>
      <c r="F2405" t="inlineStr">
        <is>
          <t>Relationships</t>
        </is>
      </c>
      <c r="G2405" t="inlineStr">
        <is>
          <t>Dates</t>
        </is>
      </c>
      <c r="H2405" t="inlineStr">
        <is>
          <t>Personal &gt; Relationships &gt; Quick Add &gt; Dates</t>
        </is>
      </c>
      <c r="I2405" s="18" t="n">
        <v>9797.860000000001</v>
      </c>
      <c r="J2405" t="inlineStr">
        <is>
          <t>Created MTR-IOS-2404 and correlation note visible in Activity/Pulse</t>
        </is>
      </c>
      <c r="K2405" t="inlineStr">
        <is>
          <t>NOT_RUN</t>
        </is>
      </c>
      <c r="P2405" t="n">
        <v>0</v>
      </c>
      <c r="Q2405" t="n">
        <v>2404</v>
      </c>
    </row>
    <row r="2406">
      <c r="A2406" t="n">
        <v>2405</v>
      </c>
      <c r="B2406" t="inlineStr">
        <is>
          <t>MTR-IOS-2405</t>
        </is>
      </c>
      <c r="C2406" t="inlineStr">
        <is>
          <t>iPhone</t>
        </is>
      </c>
      <c r="D2406" t="inlineStr">
        <is>
          <t>Group</t>
        </is>
      </c>
      <c r="E2406" t="inlineStr">
        <is>
          <t>Shared Living</t>
        </is>
      </c>
      <c r="F2406" t="inlineStr">
        <is>
          <t>Shared Living</t>
        </is>
      </c>
      <c r="G2406" t="inlineStr">
        <is>
          <t>Groceries</t>
        </is>
      </c>
      <c r="H2406" t="inlineStr">
        <is>
          <t>Group &gt; Shared Living &gt; Quick Add &gt; Groceries</t>
        </is>
      </c>
      <c r="I2406" s="18" t="n">
        <v>10000</v>
      </c>
      <c r="J2406" t="inlineStr">
        <is>
          <t>Created MTR-IOS-2405 and correlation note visible in Activity/Pulse</t>
        </is>
      </c>
      <c r="K2406" t="inlineStr">
        <is>
          <t>NOT_RUN</t>
        </is>
      </c>
      <c r="P2406" t="n">
        <v>0</v>
      </c>
      <c r="Q2406" t="n">
        <v>2405</v>
      </c>
    </row>
    <row r="2407">
      <c r="A2407" t="n">
        <v>2406</v>
      </c>
      <c r="B2407" t="inlineStr">
        <is>
          <t>MTR-IOS-2406</t>
        </is>
      </c>
      <c r="C2407" t="inlineStr">
        <is>
          <t>iPhone</t>
        </is>
      </c>
      <c r="D2407" t="inlineStr">
        <is>
          <t>Business</t>
        </is>
      </c>
      <c r="E2407" t="inlineStr">
        <is>
          <t>Business</t>
        </is>
      </c>
      <c r="F2407" t="inlineStr">
        <is>
          <t>Team Operations</t>
        </is>
      </c>
      <c r="G2407" t="inlineStr">
        <is>
          <t>Team Meal</t>
        </is>
      </c>
      <c r="H2407" t="inlineStr">
        <is>
          <t>Business &gt; Team Operations &gt; Quick Add &gt; Team Meal</t>
        </is>
      </c>
      <c r="I2407" s="18" t="n">
        <v>90999.2</v>
      </c>
      <c r="J2407" t="inlineStr">
        <is>
          <t>Created MTR-IOS-2406 and correlation note visible in Activity/Pulse</t>
        </is>
      </c>
      <c r="K2407" t="inlineStr">
        <is>
          <t>NOT_RUN</t>
        </is>
      </c>
      <c r="P2407" t="n">
        <v>0</v>
      </c>
      <c r="Q2407" t="n">
        <v>2406</v>
      </c>
    </row>
    <row r="2408">
      <c r="A2408" t="n">
        <v>2407</v>
      </c>
      <c r="B2408" t="inlineStr">
        <is>
          <t>MTR-IOS-2407</t>
        </is>
      </c>
      <c r="C2408" t="inlineStr">
        <is>
          <t>iPhone</t>
        </is>
      </c>
      <c r="D2408" t="inlineStr">
        <is>
          <t>Personal</t>
        </is>
      </c>
      <c r="E2408" t="inlineStr">
        <is>
          <t>Personal</t>
        </is>
      </c>
      <c r="F2408" t="inlineStr">
        <is>
          <t>Relationships</t>
        </is>
      </c>
      <c r="G2408" t="inlineStr">
        <is>
          <t>Family</t>
        </is>
      </c>
      <c r="H2408" t="inlineStr">
        <is>
          <t>Personal &gt; Relationships &gt; Quick Add &gt; Family</t>
        </is>
      </c>
      <c r="I2408" s="18" t="n">
        <v>3205.19</v>
      </c>
      <c r="J2408" t="inlineStr">
        <is>
          <t>Created MTR-IOS-2407 and correlation note visible in Activity/Pulse</t>
        </is>
      </c>
      <c r="K2408" t="inlineStr">
        <is>
          <t>NOT_RUN</t>
        </is>
      </c>
      <c r="P2408" t="n">
        <v>0</v>
      </c>
      <c r="Q2408" t="n">
        <v>2407</v>
      </c>
    </row>
    <row r="2409">
      <c r="A2409" t="n">
        <v>2408</v>
      </c>
      <c r="B2409" t="inlineStr">
        <is>
          <t>MTR-IOS-2408</t>
        </is>
      </c>
      <c r="C2409" t="inlineStr">
        <is>
          <t>iPhone</t>
        </is>
      </c>
      <c r="D2409" t="inlineStr">
        <is>
          <t>Group</t>
        </is>
      </c>
      <c r="E2409" t="inlineStr">
        <is>
          <t>Shared Living</t>
        </is>
      </c>
      <c r="F2409" t="inlineStr">
        <is>
          <t>Shared Living</t>
        </is>
      </c>
      <c r="G2409" t="inlineStr">
        <is>
          <t>Maintenance</t>
        </is>
      </c>
      <c r="H2409" t="inlineStr">
        <is>
          <t>Group &gt; Shared Living &gt; Quick Add &gt; Maintenance</t>
        </is>
      </c>
      <c r="I2409" s="18" t="n">
        <v>2793.37</v>
      </c>
      <c r="J2409" t="inlineStr">
        <is>
          <t>Created MTR-IOS-2408 and correlation note visible in Activity/Pulse</t>
        </is>
      </c>
      <c r="K2409" t="inlineStr">
        <is>
          <t>NOT_RUN</t>
        </is>
      </c>
      <c r="P2409" t="n">
        <v>0</v>
      </c>
      <c r="Q2409" t="n">
        <v>2408</v>
      </c>
    </row>
    <row r="2410">
      <c r="A2410" t="n">
        <v>2409</v>
      </c>
      <c r="B2410" t="inlineStr">
        <is>
          <t>MTR-IOS-2409</t>
        </is>
      </c>
      <c r="C2410" t="inlineStr">
        <is>
          <t>iPhone</t>
        </is>
      </c>
      <c r="D2410" t="inlineStr">
        <is>
          <t>Business</t>
        </is>
      </c>
      <c r="E2410" t="inlineStr">
        <is>
          <t>Business</t>
        </is>
      </c>
      <c r="F2410" t="inlineStr">
        <is>
          <t>Team Operations</t>
        </is>
      </c>
      <c r="G2410" t="inlineStr">
        <is>
          <t>Travel</t>
        </is>
      </c>
      <c r="H2410" t="inlineStr">
        <is>
          <t>Business &gt; Team Operations &gt; Quick Add &gt; Travel</t>
        </is>
      </c>
      <c r="I2410" s="18" t="n">
        <v>98926.82000000001</v>
      </c>
      <c r="J2410" t="inlineStr">
        <is>
          <t>Created MTR-IOS-2409 and correlation note visible in Activity/Pulse</t>
        </is>
      </c>
      <c r="K2410" t="inlineStr">
        <is>
          <t>NOT_RUN</t>
        </is>
      </c>
      <c r="P2410" t="n">
        <v>0</v>
      </c>
      <c r="Q2410" t="n">
        <v>2409</v>
      </c>
    </row>
    <row r="2411">
      <c r="A2411" t="n">
        <v>2410</v>
      </c>
      <c r="B2411" t="inlineStr">
        <is>
          <t>MTR-IOS-2410</t>
        </is>
      </c>
      <c r="C2411" t="inlineStr">
        <is>
          <t>iPhone</t>
        </is>
      </c>
      <c r="D2411" t="inlineStr">
        <is>
          <t>Personal</t>
        </is>
      </c>
      <c r="E2411" t="inlineStr">
        <is>
          <t>Personal</t>
        </is>
      </c>
      <c r="F2411" t="inlineStr">
        <is>
          <t>Relationships</t>
        </is>
      </c>
      <c r="G2411" t="inlineStr">
        <is>
          <t>Friends</t>
        </is>
      </c>
      <c r="H2411" t="inlineStr">
        <is>
          <t>Personal &gt; Relationships &gt; Quick Add &gt; Friends</t>
        </is>
      </c>
      <c r="I2411" s="18" t="n">
        <v>8482.25</v>
      </c>
      <c r="J2411" t="inlineStr">
        <is>
          <t>Created MTR-IOS-2410 and correlation note visible in Activity/Pulse</t>
        </is>
      </c>
      <c r="K2411" t="inlineStr">
        <is>
          <t>NOT_RUN</t>
        </is>
      </c>
      <c r="P2411" t="n">
        <v>0</v>
      </c>
      <c r="Q2411" t="n">
        <v>2410</v>
      </c>
    </row>
    <row r="2412">
      <c r="A2412" t="n">
        <v>2411</v>
      </c>
      <c r="B2412" t="inlineStr">
        <is>
          <t>MTR-IOS-2411</t>
        </is>
      </c>
      <c r="C2412" t="inlineStr">
        <is>
          <t>iPhone</t>
        </is>
      </c>
      <c r="D2412" t="inlineStr">
        <is>
          <t>Group</t>
        </is>
      </c>
      <c r="E2412" t="inlineStr">
        <is>
          <t>Shared Living</t>
        </is>
      </c>
      <c r="F2412" t="inlineStr">
        <is>
          <t>Shared Living</t>
        </is>
      </c>
      <c r="G2412" t="inlineStr">
        <is>
          <t>Other</t>
        </is>
      </c>
      <c r="H2412" t="inlineStr">
        <is>
          <t>Group &gt; Shared Living &gt; Quick Add &gt; Other</t>
        </is>
      </c>
      <c r="I2412" s="18" t="n">
        <v>1748.08</v>
      </c>
      <c r="J2412" t="inlineStr">
        <is>
          <t>Created MTR-IOS-2411 and correlation note visible in Activity/Pulse</t>
        </is>
      </c>
      <c r="K2412" t="inlineStr">
        <is>
          <t>NOT_RUN</t>
        </is>
      </c>
      <c r="P2412" t="n">
        <v>0</v>
      </c>
      <c r="Q2412" t="n">
        <v>2411</v>
      </c>
    </row>
    <row r="2413">
      <c r="A2413" t="n">
        <v>2412</v>
      </c>
      <c r="B2413" t="inlineStr">
        <is>
          <t>MTR-IOS-2412</t>
        </is>
      </c>
      <c r="C2413" t="inlineStr">
        <is>
          <t>iPhone</t>
        </is>
      </c>
      <c r="D2413" t="inlineStr">
        <is>
          <t>Business</t>
        </is>
      </c>
      <c r="E2413" t="inlineStr">
        <is>
          <t>Business</t>
        </is>
      </c>
      <c r="F2413" t="inlineStr">
        <is>
          <t>Team Operations</t>
        </is>
      </c>
      <c r="G2413" t="inlineStr">
        <is>
          <t>Training</t>
        </is>
      </c>
      <c r="H2413" t="inlineStr">
        <is>
          <t>Business &gt; Team Operations &gt; Quick Add &gt; Training</t>
        </is>
      </c>
      <c r="I2413" s="18" t="n">
        <v>150923.04</v>
      </c>
      <c r="J2413" t="inlineStr">
        <is>
          <t>Created MTR-IOS-2412 and correlation note visible in Activity/Pulse</t>
        </is>
      </c>
      <c r="K2413" t="inlineStr">
        <is>
          <t>NOT_RUN</t>
        </is>
      </c>
      <c r="P2413" t="n">
        <v>0</v>
      </c>
      <c r="Q2413" t="n">
        <v>2412</v>
      </c>
    </row>
    <row r="2414">
      <c r="A2414" t="n">
        <v>2413</v>
      </c>
      <c r="B2414" t="inlineStr">
        <is>
          <t>MTR-IOS-2413</t>
        </is>
      </c>
      <c r="C2414" t="inlineStr">
        <is>
          <t>iPhone</t>
        </is>
      </c>
      <c r="D2414" t="inlineStr">
        <is>
          <t>Personal</t>
        </is>
      </c>
      <c r="E2414" t="inlineStr">
        <is>
          <t>Personal</t>
        </is>
      </c>
      <c r="F2414" t="inlineStr">
        <is>
          <t>Relationships</t>
        </is>
      </c>
      <c r="G2414" t="inlineStr">
        <is>
          <t>Celebrations</t>
        </is>
      </c>
      <c r="H2414" t="inlineStr">
        <is>
          <t>Personal &gt; Relationships &gt; Quick Add &gt; Celebrations</t>
        </is>
      </c>
      <c r="I2414" s="18" t="n">
        <v>7062.33</v>
      </c>
      <c r="J2414" t="inlineStr">
        <is>
          <t>Created MTR-IOS-2413 and correlation note visible in Activity/Pulse</t>
        </is>
      </c>
      <c r="K2414" t="inlineStr">
        <is>
          <t>NOT_RUN</t>
        </is>
      </c>
      <c r="P2414" t="n">
        <v>0</v>
      </c>
      <c r="Q2414" t="n">
        <v>2413</v>
      </c>
    </row>
    <row r="2415">
      <c r="A2415" t="n">
        <v>2414</v>
      </c>
      <c r="B2415" t="inlineStr">
        <is>
          <t>MTR-IOS-2414</t>
        </is>
      </c>
      <c r="C2415" t="inlineStr">
        <is>
          <t>iPhone</t>
        </is>
      </c>
      <c r="D2415" t="inlineStr">
        <is>
          <t>Group</t>
        </is>
      </c>
      <c r="E2415" t="inlineStr">
        <is>
          <t>Shared Living</t>
        </is>
      </c>
      <c r="F2415" t="inlineStr">
        <is>
          <t>Family Household</t>
        </is>
      </c>
      <c r="G2415" t="inlineStr">
        <is>
          <t>Groceries</t>
        </is>
      </c>
      <c r="H2415" t="inlineStr">
        <is>
          <t>Group &gt; Family Household &gt; Quick Add &gt; Groceries</t>
        </is>
      </c>
      <c r="I2415" s="18" t="n">
        <v>23010.5</v>
      </c>
      <c r="J2415" t="inlineStr">
        <is>
          <t>Created MTR-IOS-2414 and correlation note visible in Activity/Pulse</t>
        </is>
      </c>
      <c r="K2415" t="inlineStr">
        <is>
          <t>NOT_RUN</t>
        </is>
      </c>
      <c r="P2415" t="n">
        <v>0</v>
      </c>
      <c r="Q2415" t="n">
        <v>2414</v>
      </c>
    </row>
    <row r="2416">
      <c r="A2416" t="n">
        <v>2415</v>
      </c>
      <c r="B2416" t="inlineStr">
        <is>
          <t>MTR-IOS-2415</t>
        </is>
      </c>
      <c r="C2416" t="inlineStr">
        <is>
          <t>iPhone</t>
        </is>
      </c>
      <c r="D2416" t="inlineStr">
        <is>
          <t>Business</t>
        </is>
      </c>
      <c r="E2416" t="inlineStr">
        <is>
          <t>Business</t>
        </is>
      </c>
      <c r="F2416" t="inlineStr">
        <is>
          <t>Team Operations</t>
        </is>
      </c>
      <c r="G2416" t="inlineStr">
        <is>
          <t>Tools</t>
        </is>
      </c>
      <c r="H2416" t="inlineStr">
        <is>
          <t>Business &gt; Team Operations &gt; Quick Add &gt; Tools</t>
        </is>
      </c>
      <c r="I2416" s="18" t="n">
        <v>6647.96</v>
      </c>
      <c r="J2416" t="inlineStr">
        <is>
          <t>Created MTR-IOS-2415 and correlation note visible in Activity/Pulse</t>
        </is>
      </c>
      <c r="K2416" t="inlineStr">
        <is>
          <t>NOT_RUN</t>
        </is>
      </c>
      <c r="P2416" t="n">
        <v>0</v>
      </c>
      <c r="Q2416" t="n">
        <v>2415</v>
      </c>
    </row>
    <row r="2417">
      <c r="A2417" t="n">
        <v>2416</v>
      </c>
      <c r="B2417" t="inlineStr">
        <is>
          <t>MTR-IOS-2416</t>
        </is>
      </c>
      <c r="C2417" t="inlineStr">
        <is>
          <t>iPhone</t>
        </is>
      </c>
      <c r="D2417" t="inlineStr">
        <is>
          <t>Personal</t>
        </is>
      </c>
      <c r="E2417" t="inlineStr">
        <is>
          <t>Personal</t>
        </is>
      </c>
      <c r="F2417" t="inlineStr">
        <is>
          <t>Life Operations</t>
        </is>
      </c>
      <c r="G2417" t="inlineStr">
        <is>
          <t>Groceries</t>
        </is>
      </c>
      <c r="H2417" t="inlineStr">
        <is>
          <t>Personal &gt; Life Operations &gt; Quick Add &gt; Groceries</t>
        </is>
      </c>
      <c r="I2417" s="18" t="n">
        <v>342.65</v>
      </c>
      <c r="J2417" t="inlineStr">
        <is>
          <t>Created MTR-IOS-2416 and correlation note visible in Activity/Pulse</t>
        </is>
      </c>
      <c r="K2417" t="inlineStr">
        <is>
          <t>NOT_RUN</t>
        </is>
      </c>
      <c r="P2417" t="n">
        <v>0</v>
      </c>
      <c r="Q2417" t="n">
        <v>2416</v>
      </c>
    </row>
    <row r="2418">
      <c r="A2418" t="n">
        <v>2417</v>
      </c>
      <c r="B2418" t="inlineStr">
        <is>
          <t>MTR-IOS-2417</t>
        </is>
      </c>
      <c r="C2418" t="inlineStr">
        <is>
          <t>iPhone</t>
        </is>
      </c>
      <c r="D2418" t="inlineStr">
        <is>
          <t>Group</t>
        </is>
      </c>
      <c r="E2418" t="inlineStr">
        <is>
          <t>Shared Living</t>
        </is>
      </c>
      <c r="F2418" t="inlineStr">
        <is>
          <t>Family Household</t>
        </is>
      </c>
      <c r="G2418" t="inlineStr">
        <is>
          <t>Bills</t>
        </is>
      </c>
      <c r="H2418" t="inlineStr">
        <is>
          <t>Group &gt; Family Household &gt; Quick Add &gt; Bills</t>
        </is>
      </c>
      <c r="I2418" s="18" t="n">
        <v>10572.75</v>
      </c>
      <c r="J2418" t="inlineStr">
        <is>
          <t>Created MTR-IOS-2417 and correlation note visible in Activity/Pulse</t>
        </is>
      </c>
      <c r="K2418" t="inlineStr">
        <is>
          <t>NOT_RUN</t>
        </is>
      </c>
      <c r="P2418" t="n">
        <v>0</v>
      </c>
      <c r="Q2418" t="n">
        <v>2417</v>
      </c>
    </row>
    <row r="2419">
      <c r="A2419" t="n">
        <v>2418</v>
      </c>
      <c r="B2419" t="inlineStr">
        <is>
          <t>MTR-IOS-2418</t>
        </is>
      </c>
      <c r="C2419" t="inlineStr">
        <is>
          <t>iPhone</t>
        </is>
      </c>
      <c r="D2419" t="inlineStr">
        <is>
          <t>Business</t>
        </is>
      </c>
      <c r="E2419" t="inlineStr">
        <is>
          <t>Business</t>
        </is>
      </c>
      <c r="F2419" t="inlineStr">
        <is>
          <t>Business Runway</t>
        </is>
      </c>
      <c r="G2419" t="inlineStr">
        <is>
          <t>Funding</t>
        </is>
      </c>
      <c r="H2419" t="inlineStr">
        <is>
          <t>Business &gt; Business Runway &gt; Quick Add &gt; Funding</t>
        </is>
      </c>
      <c r="I2419" s="18" t="n">
        <v>57911.5</v>
      </c>
      <c r="J2419" t="inlineStr">
        <is>
          <t>Created MTR-IOS-2418 and correlation note visible in Activity/Pulse</t>
        </is>
      </c>
      <c r="K2419" t="inlineStr">
        <is>
          <t>NOT_RUN</t>
        </is>
      </c>
      <c r="P2419" t="n">
        <v>0</v>
      </c>
      <c r="Q2419" t="n">
        <v>2418</v>
      </c>
    </row>
    <row r="2420">
      <c r="A2420" t="n">
        <v>2419</v>
      </c>
      <c r="B2420" t="inlineStr">
        <is>
          <t>MTR-IOS-2419</t>
        </is>
      </c>
      <c r="C2420" t="inlineStr">
        <is>
          <t>iPhone</t>
        </is>
      </c>
      <c r="D2420" t="inlineStr">
        <is>
          <t>Personal</t>
        </is>
      </c>
      <c r="E2420" t="inlineStr">
        <is>
          <t>Personal</t>
        </is>
      </c>
      <c r="F2420" t="inlineStr">
        <is>
          <t>Life Operations</t>
        </is>
      </c>
      <c r="G2420" t="inlineStr">
        <is>
          <t>Rent</t>
        </is>
      </c>
      <c r="H2420" t="inlineStr">
        <is>
          <t>Personal &gt; Life Operations &gt; Quick Add &gt; Rent</t>
        </is>
      </c>
      <c r="I2420" s="18" t="n">
        <v>2405.3</v>
      </c>
      <c r="J2420" t="inlineStr">
        <is>
          <t>Created MTR-IOS-2419 and correlation note visible in Activity/Pulse</t>
        </is>
      </c>
      <c r="K2420" t="inlineStr">
        <is>
          <t>NOT_RUN</t>
        </is>
      </c>
      <c r="P2420" t="n">
        <v>0</v>
      </c>
      <c r="Q2420" t="n">
        <v>2419</v>
      </c>
    </row>
    <row r="2421">
      <c r="A2421" t="n">
        <v>2420</v>
      </c>
      <c r="B2421" t="inlineStr">
        <is>
          <t>MTR-IOS-2420</t>
        </is>
      </c>
      <c r="C2421" t="inlineStr">
        <is>
          <t>iPhone</t>
        </is>
      </c>
      <c r="D2421" t="inlineStr">
        <is>
          <t>Group</t>
        </is>
      </c>
      <c r="E2421" t="inlineStr">
        <is>
          <t>Shared Living</t>
        </is>
      </c>
      <c r="F2421" t="inlineStr">
        <is>
          <t>Family Household</t>
        </is>
      </c>
      <c r="G2421" t="inlineStr">
        <is>
          <t>School</t>
        </is>
      </c>
      <c r="H2421" t="inlineStr">
        <is>
          <t>Group &gt; Family Household &gt; Quick Add &gt; School</t>
        </is>
      </c>
      <c r="I2421" s="18" t="n">
        <v>5171.84</v>
      </c>
      <c r="J2421" t="inlineStr">
        <is>
          <t>Created MTR-IOS-2420 and correlation note visible in Activity/Pulse</t>
        </is>
      </c>
      <c r="K2421" t="inlineStr">
        <is>
          <t>NOT_RUN</t>
        </is>
      </c>
      <c r="P2421" t="n">
        <v>0</v>
      </c>
      <c r="Q2421" t="n">
        <v>2420</v>
      </c>
    </row>
    <row r="2422">
      <c r="A2422" t="n">
        <v>2421</v>
      </c>
      <c r="B2422" t="inlineStr">
        <is>
          <t>MTR-IOS-2421</t>
        </is>
      </c>
      <c r="C2422" t="inlineStr">
        <is>
          <t>iPhone</t>
        </is>
      </c>
      <c r="D2422" t="inlineStr">
        <is>
          <t>Business</t>
        </is>
      </c>
      <c r="E2422" t="inlineStr">
        <is>
          <t>Business</t>
        </is>
      </c>
      <c r="F2422" t="inlineStr">
        <is>
          <t>Business Runway</t>
        </is>
      </c>
      <c r="G2422" t="inlineStr">
        <is>
          <t>Revenue</t>
        </is>
      </c>
      <c r="H2422" t="inlineStr">
        <is>
          <t>Business &gt; Business Runway &gt; Quick Add &gt; Revenue</t>
        </is>
      </c>
      <c r="I2422" s="18" t="n">
        <v>6253.77</v>
      </c>
      <c r="J2422" t="inlineStr">
        <is>
          <t>Created MTR-IOS-2421 and correlation note visible in Activity/Pulse</t>
        </is>
      </c>
      <c r="K2422" t="inlineStr">
        <is>
          <t>NOT_RUN</t>
        </is>
      </c>
      <c r="P2422" t="n">
        <v>0</v>
      </c>
      <c r="Q2422" t="n">
        <v>2421</v>
      </c>
    </row>
    <row r="2423">
      <c r="A2423" t="n">
        <v>2422</v>
      </c>
      <c r="B2423" t="inlineStr">
        <is>
          <t>MTR-IOS-2422</t>
        </is>
      </c>
      <c r="C2423" t="inlineStr">
        <is>
          <t>iPhone</t>
        </is>
      </c>
      <c r="D2423" t="inlineStr">
        <is>
          <t>Personal</t>
        </is>
      </c>
      <c r="E2423" t="inlineStr">
        <is>
          <t>Personal</t>
        </is>
      </c>
      <c r="F2423" t="inlineStr">
        <is>
          <t>Life Operations</t>
        </is>
      </c>
      <c r="G2423" t="inlineStr">
        <is>
          <t>Bills</t>
        </is>
      </c>
      <c r="H2423" t="inlineStr">
        <is>
          <t>Personal &gt; Life Operations &gt; Quick Add &gt; Bills</t>
        </is>
      </c>
      <c r="I2423" s="18" t="n">
        <v>1599.43</v>
      </c>
      <c r="J2423" t="inlineStr">
        <is>
          <t>Created MTR-IOS-2422 and correlation note visible in Activity/Pulse</t>
        </is>
      </c>
      <c r="K2423" t="inlineStr">
        <is>
          <t>NOT_RUN</t>
        </is>
      </c>
      <c r="P2423" t="n">
        <v>0</v>
      </c>
      <c r="Q2423" t="n">
        <v>2422</v>
      </c>
    </row>
    <row r="2424">
      <c r="A2424" t="n">
        <v>2423</v>
      </c>
      <c r="B2424" t="inlineStr">
        <is>
          <t>MTR-IOS-2423</t>
        </is>
      </c>
      <c r="C2424" t="inlineStr">
        <is>
          <t>iPhone</t>
        </is>
      </c>
      <c r="D2424" t="inlineStr">
        <is>
          <t>Group</t>
        </is>
      </c>
      <c r="E2424" t="inlineStr">
        <is>
          <t>Shared Living</t>
        </is>
      </c>
      <c r="F2424" t="inlineStr">
        <is>
          <t>Family Household</t>
        </is>
      </c>
      <c r="G2424" t="inlineStr">
        <is>
          <t>Healthcare</t>
        </is>
      </c>
      <c r="H2424" t="inlineStr">
        <is>
          <t>Group &gt; Family Household &gt; Quick Add &gt; Healthcare</t>
        </is>
      </c>
      <c r="I2424" s="18" t="n">
        <v>3973.85</v>
      </c>
      <c r="J2424" t="inlineStr">
        <is>
          <t>Created MTR-IOS-2423 and correlation note visible in Activity/Pulse</t>
        </is>
      </c>
      <c r="K2424" t="inlineStr">
        <is>
          <t>NOT_RUN</t>
        </is>
      </c>
      <c r="P2424" t="n">
        <v>0</v>
      </c>
      <c r="Q2424" t="n">
        <v>2423</v>
      </c>
    </row>
    <row r="2425">
      <c r="A2425" t="n">
        <v>2424</v>
      </c>
      <c r="B2425" t="inlineStr">
        <is>
          <t>MTR-IOS-2424</t>
        </is>
      </c>
      <c r="C2425" t="inlineStr">
        <is>
          <t>iPhone</t>
        </is>
      </c>
      <c r="D2425" t="inlineStr">
        <is>
          <t>Business</t>
        </is>
      </c>
      <c r="E2425" t="inlineStr">
        <is>
          <t>Business</t>
        </is>
      </c>
      <c r="F2425" t="inlineStr">
        <is>
          <t>Business Runway</t>
        </is>
      </c>
      <c r="G2425" t="inlineStr">
        <is>
          <t>Burn</t>
        </is>
      </c>
      <c r="H2425" t="inlineStr">
        <is>
          <t>Business &gt; Business Runway &gt; Quick Add &gt; Burn</t>
        </is>
      </c>
      <c r="I2425" s="18" t="n">
        <v>91203.62</v>
      </c>
      <c r="J2425" t="inlineStr">
        <is>
          <t>Created MTR-IOS-2424 and correlation note visible in Activity/Pulse</t>
        </is>
      </c>
      <c r="K2425" t="inlineStr">
        <is>
          <t>NOT_RUN</t>
        </is>
      </c>
      <c r="P2425" t="n">
        <v>0</v>
      </c>
      <c r="Q2425" t="n">
        <v>2424</v>
      </c>
    </row>
    <row r="2426">
      <c r="A2426" t="n">
        <v>2425</v>
      </c>
      <c r="B2426" t="inlineStr">
        <is>
          <t>MTR-IOS-2425</t>
        </is>
      </c>
      <c r="C2426" t="inlineStr">
        <is>
          <t>iPhone</t>
        </is>
      </c>
      <c r="D2426" t="inlineStr">
        <is>
          <t>Personal</t>
        </is>
      </c>
      <c r="E2426" t="inlineStr">
        <is>
          <t>Personal</t>
        </is>
      </c>
      <c r="F2426" t="inlineStr">
        <is>
          <t>Life Operations</t>
        </is>
      </c>
      <c r="G2426" t="inlineStr">
        <is>
          <t>Transport</t>
        </is>
      </c>
      <c r="H2426" t="inlineStr">
        <is>
          <t>Personal &gt; Life Operations &gt; Quick Add &gt; Transport</t>
        </is>
      </c>
      <c r="I2426" s="18" t="n">
        <v>1718.17</v>
      </c>
      <c r="J2426" t="inlineStr">
        <is>
          <t>Created MTR-IOS-2425 and correlation note visible in Activity/Pulse</t>
        </is>
      </c>
      <c r="K2426" t="inlineStr">
        <is>
          <t>NOT_RUN</t>
        </is>
      </c>
      <c r="P2426" t="n">
        <v>0</v>
      </c>
      <c r="Q2426" t="n">
        <v>2425</v>
      </c>
    </row>
    <row r="2427">
      <c r="A2427" t="n">
        <v>2426</v>
      </c>
      <c r="B2427" t="inlineStr">
        <is>
          <t>MTR-IOS-2426</t>
        </is>
      </c>
      <c r="C2427" t="inlineStr">
        <is>
          <t>iPhone</t>
        </is>
      </c>
      <c r="D2427" t="inlineStr">
        <is>
          <t>Group</t>
        </is>
      </c>
      <c r="E2427" t="inlineStr">
        <is>
          <t>Shared Living</t>
        </is>
      </c>
      <c r="F2427" t="inlineStr">
        <is>
          <t>Family Household</t>
        </is>
      </c>
      <c r="G2427" t="inlineStr">
        <is>
          <t>Home</t>
        </is>
      </c>
      <c r="H2427" t="inlineStr">
        <is>
          <t>Group &gt; Family Household &gt; Quick Add &gt; Home</t>
        </is>
      </c>
      <c r="I2427" s="18" t="n">
        <v>7330.18</v>
      </c>
      <c r="J2427" t="inlineStr">
        <is>
          <t>Created MTR-IOS-2426 and correlation note visible in Activity/Pulse</t>
        </is>
      </c>
      <c r="K2427" t="inlineStr">
        <is>
          <t>NOT_RUN</t>
        </is>
      </c>
      <c r="P2427" t="n">
        <v>0</v>
      </c>
      <c r="Q2427" t="n">
        <v>2426</v>
      </c>
    </row>
    <row r="2428">
      <c r="A2428" t="n">
        <v>2427</v>
      </c>
      <c r="B2428" t="inlineStr">
        <is>
          <t>MTR-IOS-2427</t>
        </is>
      </c>
      <c r="C2428" t="inlineStr">
        <is>
          <t>iPhone</t>
        </is>
      </c>
      <c r="D2428" t="inlineStr">
        <is>
          <t>Business</t>
        </is>
      </c>
      <c r="E2428" t="inlineStr">
        <is>
          <t>Business</t>
        </is>
      </c>
      <c r="F2428" t="inlineStr">
        <is>
          <t>Business Runway</t>
        </is>
      </c>
      <c r="G2428" t="inlineStr">
        <is>
          <t>Reserve</t>
        </is>
      </c>
      <c r="H2428" t="inlineStr">
        <is>
          <t>Business &gt; Business Runway &gt; Quick Add &gt; Reserve</t>
        </is>
      </c>
      <c r="I2428" s="18" t="n">
        <v>41690.07</v>
      </c>
      <c r="J2428" t="inlineStr">
        <is>
          <t>Created MTR-IOS-2427 and correlation note visible in Activity/Pulse</t>
        </is>
      </c>
      <c r="K2428" t="inlineStr">
        <is>
          <t>NOT_RUN</t>
        </is>
      </c>
      <c r="P2428" t="n">
        <v>0</v>
      </c>
      <c r="Q2428" t="n">
        <v>2427</v>
      </c>
    </row>
    <row r="2429">
      <c r="A2429" t="n">
        <v>2428</v>
      </c>
      <c r="B2429" t="inlineStr">
        <is>
          <t>MTR-IOS-2428</t>
        </is>
      </c>
      <c r="C2429" t="inlineStr">
        <is>
          <t>iPhone</t>
        </is>
      </c>
      <c r="D2429" t="inlineStr">
        <is>
          <t>Personal</t>
        </is>
      </c>
      <c r="E2429" t="inlineStr">
        <is>
          <t>Personal</t>
        </is>
      </c>
      <c r="F2429" t="inlineStr">
        <is>
          <t>Life Operations</t>
        </is>
      </c>
      <c r="G2429" t="inlineStr">
        <is>
          <t>Healthcare</t>
        </is>
      </c>
      <c r="H2429" t="inlineStr">
        <is>
          <t>Personal &gt; Life Operations &gt; Quick Add &gt; Healthcare</t>
        </is>
      </c>
      <c r="I2429" s="18" t="n">
        <v>6677.92</v>
      </c>
      <c r="J2429" t="inlineStr">
        <is>
          <t>Created MTR-IOS-2428 and correlation note visible in Activity/Pulse</t>
        </is>
      </c>
      <c r="K2429" t="inlineStr">
        <is>
          <t>NOT_RUN</t>
        </is>
      </c>
      <c r="P2429" t="n">
        <v>0</v>
      </c>
      <c r="Q2429" t="n">
        <v>2428</v>
      </c>
    </row>
    <row r="2430">
      <c r="A2430" t="n">
        <v>2429</v>
      </c>
      <c r="B2430" t="inlineStr">
        <is>
          <t>MTR-IOS-2429</t>
        </is>
      </c>
      <c r="C2430" t="inlineStr">
        <is>
          <t>iPhone</t>
        </is>
      </c>
      <c r="D2430" t="inlineStr">
        <is>
          <t>Group</t>
        </is>
      </c>
      <c r="E2430" t="inlineStr">
        <is>
          <t>Shared Living</t>
        </is>
      </c>
      <c r="F2430" t="inlineStr">
        <is>
          <t>Family Household</t>
        </is>
      </c>
      <c r="G2430" t="inlineStr">
        <is>
          <t>Other</t>
        </is>
      </c>
      <c r="H2430" t="inlineStr">
        <is>
          <t>Group &gt; Family Household &gt; Quick Add &gt; Other</t>
        </is>
      </c>
      <c r="I2430" s="18" t="n">
        <v>15773.91</v>
      </c>
      <c r="J2430" t="inlineStr">
        <is>
          <t>Created MTR-IOS-2429 and correlation note visible in Activity/Pulse</t>
        </is>
      </c>
      <c r="K2430" t="inlineStr">
        <is>
          <t>NOT_RUN</t>
        </is>
      </c>
      <c r="P2430" t="n">
        <v>0</v>
      </c>
      <c r="Q2430" t="n">
        <v>2429</v>
      </c>
    </row>
    <row r="2431">
      <c r="A2431" t="n">
        <v>2430</v>
      </c>
      <c r="B2431" t="inlineStr">
        <is>
          <t>MTR-IOS-2430</t>
        </is>
      </c>
      <c r="C2431" t="inlineStr">
        <is>
          <t>iPhone</t>
        </is>
      </c>
      <c r="D2431" t="inlineStr">
        <is>
          <t>Business</t>
        </is>
      </c>
      <c r="E2431" t="inlineStr">
        <is>
          <t>Business</t>
        </is>
      </c>
      <c r="F2431" t="inlineStr">
        <is>
          <t>Business Runway</t>
        </is>
      </c>
      <c r="G2431" t="inlineStr">
        <is>
          <t>Loan</t>
        </is>
      </c>
      <c r="H2431" t="inlineStr">
        <is>
          <t>Business &gt; Business Runway &gt; Quick Add &gt; Loan</t>
        </is>
      </c>
      <c r="I2431" s="18" t="n">
        <v>75858.37</v>
      </c>
      <c r="J2431" t="inlineStr">
        <is>
          <t>Created MTR-IOS-2430 and correlation note visible in Activity/Pulse</t>
        </is>
      </c>
      <c r="K2431" t="inlineStr">
        <is>
          <t>NOT_RUN</t>
        </is>
      </c>
      <c r="P2431" t="n">
        <v>0</v>
      </c>
      <c r="Q2431" t="n">
        <v>2430</v>
      </c>
    </row>
    <row r="2432">
      <c r="A2432" t="n">
        <v>2431</v>
      </c>
      <c r="B2432" t="inlineStr">
        <is>
          <t>MTR-IOS-2431</t>
        </is>
      </c>
      <c r="C2432" t="inlineStr">
        <is>
          <t>iPhone</t>
        </is>
      </c>
      <c r="D2432" t="inlineStr">
        <is>
          <t>Personal</t>
        </is>
      </c>
      <c r="E2432" t="inlineStr">
        <is>
          <t>Personal</t>
        </is>
      </c>
      <c r="F2432" t="inlineStr">
        <is>
          <t>Life Operations</t>
        </is>
      </c>
      <c r="G2432" t="inlineStr">
        <is>
          <t>Subscriptions</t>
        </is>
      </c>
      <c r="H2432" t="inlineStr">
        <is>
          <t>Personal &gt; Life Operations &gt; Quick Add &gt; Subscriptions</t>
        </is>
      </c>
      <c r="I2432" s="18" t="n">
        <v>4646.11</v>
      </c>
      <c r="J2432" t="inlineStr">
        <is>
          <t>Created MTR-IOS-2431 and correlation note visible in Activity/Pulse</t>
        </is>
      </c>
      <c r="K2432" t="inlineStr">
        <is>
          <t>NOT_RUN</t>
        </is>
      </c>
      <c r="P2432" t="n">
        <v>0</v>
      </c>
      <c r="Q2432" t="n">
        <v>2431</v>
      </c>
    </row>
    <row r="2433">
      <c r="A2433" t="n">
        <v>2432</v>
      </c>
      <c r="B2433" t="inlineStr">
        <is>
          <t>MTR-IOS-2432</t>
        </is>
      </c>
      <c r="C2433" t="inlineStr">
        <is>
          <t>iPhone</t>
        </is>
      </c>
      <c r="D2433" t="inlineStr">
        <is>
          <t>Group</t>
        </is>
      </c>
      <c r="E2433" t="inlineStr">
        <is>
          <t>Shared Living</t>
        </is>
      </c>
      <c r="F2433" t="inlineStr">
        <is>
          <t>Custom Living</t>
        </is>
      </c>
      <c r="G2433" t="inlineStr">
        <is>
          <t>Custom Expense</t>
        </is>
      </c>
      <c r="H2433" t="inlineStr">
        <is>
          <t>Group &gt; Custom Living &gt; Quick Add &gt; Custom Expense</t>
        </is>
      </c>
      <c r="I2433" s="18" t="n">
        <v>20364.28</v>
      </c>
      <c r="J2433" t="inlineStr">
        <is>
          <t>Created MTR-IOS-2432 and correlation note visible in Activity/Pulse</t>
        </is>
      </c>
      <c r="K2433" t="inlineStr">
        <is>
          <t>NOT_RUN</t>
        </is>
      </c>
      <c r="P2433" t="n">
        <v>0</v>
      </c>
      <c r="Q2433" t="n">
        <v>2432</v>
      </c>
    </row>
    <row r="2434">
      <c r="A2434" t="n">
        <v>2433</v>
      </c>
      <c r="B2434" t="inlineStr">
        <is>
          <t>MTR-IOS-2433</t>
        </is>
      </c>
      <c r="C2434" t="inlineStr">
        <is>
          <t>iPhone</t>
        </is>
      </c>
      <c r="D2434" t="inlineStr">
        <is>
          <t>Business</t>
        </is>
      </c>
      <c r="E2434" t="inlineStr">
        <is>
          <t>Business</t>
        </is>
      </c>
      <c r="F2434" t="inlineStr">
        <is>
          <t>Business Runway</t>
        </is>
      </c>
      <c r="G2434" t="inlineStr">
        <is>
          <t>Investment</t>
        </is>
      </c>
      <c r="H2434" t="inlineStr">
        <is>
          <t>Business &gt; Business Runway &gt; Quick Add &gt; Investment</t>
        </is>
      </c>
      <c r="I2434" s="18" t="n">
        <v>155008.49</v>
      </c>
      <c r="J2434" t="inlineStr">
        <is>
          <t>Created MTR-IOS-2433 and correlation note visible in Activity/Pulse</t>
        </is>
      </c>
      <c r="K2434" t="inlineStr">
        <is>
          <t>NOT_RUN</t>
        </is>
      </c>
      <c r="P2434" t="n">
        <v>0</v>
      </c>
      <c r="Q2434" t="n">
        <v>2433</v>
      </c>
    </row>
    <row r="2435">
      <c r="A2435" t="n">
        <v>2434</v>
      </c>
      <c r="B2435" t="inlineStr">
        <is>
          <t>MTR-IOS-2434</t>
        </is>
      </c>
      <c r="C2435" t="inlineStr">
        <is>
          <t>iPhone</t>
        </is>
      </c>
      <c r="D2435" t="inlineStr">
        <is>
          <t>Personal</t>
        </is>
      </c>
      <c r="E2435" t="inlineStr">
        <is>
          <t>Personal</t>
        </is>
      </c>
      <c r="F2435" t="inlineStr">
        <is>
          <t>Life Operations</t>
        </is>
      </c>
      <c r="G2435" t="inlineStr">
        <is>
          <t>Repairs</t>
        </is>
      </c>
      <c r="H2435" t="inlineStr">
        <is>
          <t>Personal &gt; Life Operations &gt; Quick Add &gt; Repairs</t>
        </is>
      </c>
      <c r="I2435" s="18" t="n">
        <v>17773.67</v>
      </c>
      <c r="J2435" t="inlineStr">
        <is>
          <t>Created MTR-IOS-2434 and correlation note visible in Activity/Pulse</t>
        </is>
      </c>
      <c r="K2435" t="inlineStr">
        <is>
          <t>NOT_RUN</t>
        </is>
      </c>
      <c r="P2435" t="n">
        <v>0</v>
      </c>
      <c r="Q2435" t="n">
        <v>2434</v>
      </c>
    </row>
    <row r="2436">
      <c r="A2436" t="n">
        <v>2435</v>
      </c>
      <c r="B2436" t="inlineStr">
        <is>
          <t>MTR-IOS-2435</t>
        </is>
      </c>
      <c r="C2436" t="inlineStr">
        <is>
          <t>iPhone</t>
        </is>
      </c>
      <c r="D2436" t="inlineStr">
        <is>
          <t>Group</t>
        </is>
      </c>
      <c r="E2436" t="inlineStr">
        <is>
          <t>Shared Living</t>
        </is>
      </c>
      <c r="F2436" t="inlineStr">
        <is>
          <t>Custom Living</t>
        </is>
      </c>
      <c r="G2436" t="inlineStr">
        <is>
          <t>Custom Contribution</t>
        </is>
      </c>
      <c r="H2436" t="inlineStr">
        <is>
          <t>Group &gt; Custom Living &gt; Quick Add &gt; Custom Contribution</t>
        </is>
      </c>
      <c r="I2436" s="18" t="n">
        <v>11284.48</v>
      </c>
      <c r="J2436" t="inlineStr">
        <is>
          <t>Created MTR-IOS-2435 and correlation note visible in Activity/Pulse</t>
        </is>
      </c>
      <c r="K2436" t="inlineStr">
        <is>
          <t>NOT_RUN</t>
        </is>
      </c>
      <c r="P2436" t="n">
        <v>0</v>
      </c>
      <c r="Q2436" t="n">
        <v>2435</v>
      </c>
    </row>
    <row r="2437">
      <c r="A2437" t="n">
        <v>2436</v>
      </c>
      <c r="B2437" t="inlineStr">
        <is>
          <t>MTR-IOS-2436</t>
        </is>
      </c>
      <c r="C2437" t="inlineStr">
        <is>
          <t>iPhone</t>
        </is>
      </c>
      <c r="D2437" t="inlineStr">
        <is>
          <t>Business</t>
        </is>
      </c>
      <c r="E2437" t="inlineStr">
        <is>
          <t>Business</t>
        </is>
      </c>
      <c r="F2437" t="inlineStr">
        <is>
          <t>Business Operations</t>
        </is>
      </c>
      <c r="G2437" t="inlineStr">
        <is>
          <t>Software</t>
        </is>
      </c>
      <c r="H2437" t="inlineStr">
        <is>
          <t>Business &gt; Business Operations &gt; Quick Add &gt; Software</t>
        </is>
      </c>
      <c r="I2437" s="18" t="n">
        <v>93335.86</v>
      </c>
      <c r="J2437" t="inlineStr">
        <is>
          <t>Created MTR-IOS-2436 and correlation note visible in Activity/Pulse</t>
        </is>
      </c>
      <c r="K2437" t="inlineStr">
        <is>
          <t>NOT_RUN</t>
        </is>
      </c>
      <c r="P2437" t="n">
        <v>0</v>
      </c>
      <c r="Q2437" t="n">
        <v>2436</v>
      </c>
    </row>
    <row r="2438">
      <c r="A2438" t="n">
        <v>2437</v>
      </c>
      <c r="B2438" t="inlineStr">
        <is>
          <t>MTR-IOS-2437</t>
        </is>
      </c>
      <c r="C2438" t="inlineStr">
        <is>
          <t>iPhone</t>
        </is>
      </c>
      <c r="D2438" t="inlineStr">
        <is>
          <t>Personal</t>
        </is>
      </c>
      <c r="E2438" t="inlineStr">
        <is>
          <t>Personal</t>
        </is>
      </c>
      <c r="F2438" t="inlineStr">
        <is>
          <t>Future Building</t>
        </is>
      </c>
      <c r="G2438" t="inlineStr">
        <is>
          <t>Savings</t>
        </is>
      </c>
      <c r="H2438" t="inlineStr">
        <is>
          <t>Personal &gt; Future Building &gt; Quick Add &gt; Savings</t>
        </is>
      </c>
      <c r="I2438" s="18" t="n">
        <v>8405.049999999999</v>
      </c>
      <c r="J2438" t="inlineStr">
        <is>
          <t>Created MTR-IOS-2437 and correlation note visible in Activity/Pulse</t>
        </is>
      </c>
      <c r="K2438" t="inlineStr">
        <is>
          <t>NOT_RUN</t>
        </is>
      </c>
      <c r="P2438" t="n">
        <v>0</v>
      </c>
      <c r="Q2438" t="n">
        <v>2437</v>
      </c>
    </row>
    <row r="2439">
      <c r="A2439" t="n">
        <v>2438</v>
      </c>
      <c r="B2439" t="inlineStr">
        <is>
          <t>MTR-IOS-2438</t>
        </is>
      </c>
      <c r="C2439" t="inlineStr">
        <is>
          <t>iPhone</t>
        </is>
      </c>
      <c r="D2439" t="inlineStr">
        <is>
          <t>Group</t>
        </is>
      </c>
      <c r="E2439" t="inlineStr">
        <is>
          <t>Shared Experience</t>
        </is>
      </c>
      <c r="F2439" t="inlineStr">
        <is>
          <t>Trip</t>
        </is>
      </c>
      <c r="G2439" t="inlineStr">
        <is>
          <t>Travel</t>
        </is>
      </c>
      <c r="H2439" t="inlineStr">
        <is>
          <t>Group &gt; Trip &gt; Quick Add &gt; Travel</t>
        </is>
      </c>
      <c r="I2439" s="18" t="n">
        <v>629.24</v>
      </c>
      <c r="J2439" t="inlineStr">
        <is>
          <t>Created MTR-IOS-2438 and correlation note visible in Activity/Pulse</t>
        </is>
      </c>
      <c r="K2439" t="inlineStr">
        <is>
          <t>NOT_RUN</t>
        </is>
      </c>
      <c r="P2439" t="n">
        <v>0</v>
      </c>
      <c r="Q2439" t="n">
        <v>2438</v>
      </c>
    </row>
    <row r="2440">
      <c r="A2440" t="n">
        <v>2439</v>
      </c>
      <c r="B2440" t="inlineStr">
        <is>
          <t>MTR-IOS-2439</t>
        </is>
      </c>
      <c r="C2440" t="inlineStr">
        <is>
          <t>iPhone</t>
        </is>
      </c>
      <c r="D2440" t="inlineStr">
        <is>
          <t>Business</t>
        </is>
      </c>
      <c r="E2440" t="inlineStr">
        <is>
          <t>Business</t>
        </is>
      </c>
      <c r="F2440" t="inlineStr">
        <is>
          <t>Business Operations</t>
        </is>
      </c>
      <c r="G2440" t="inlineStr">
        <is>
          <t>Rent</t>
        </is>
      </c>
      <c r="H2440" t="inlineStr">
        <is>
          <t>Business &gt; Business Operations &gt; Quick Add &gt; Rent</t>
        </is>
      </c>
      <c r="I2440" s="18" t="n">
        <v>54521.87</v>
      </c>
      <c r="J2440" t="inlineStr">
        <is>
          <t>Created MTR-IOS-2439 and correlation note visible in Activity/Pulse</t>
        </is>
      </c>
      <c r="K2440" t="inlineStr">
        <is>
          <t>NOT_RUN</t>
        </is>
      </c>
      <c r="P2440" t="n">
        <v>0</v>
      </c>
      <c r="Q2440" t="n">
        <v>2439</v>
      </c>
    </row>
    <row r="2441">
      <c r="A2441" t="n">
        <v>2440</v>
      </c>
      <c r="B2441" t="inlineStr">
        <is>
          <t>MTR-IOS-2440</t>
        </is>
      </c>
      <c r="C2441" t="inlineStr">
        <is>
          <t>iPhone</t>
        </is>
      </c>
      <c r="D2441" t="inlineStr">
        <is>
          <t>Personal</t>
        </is>
      </c>
      <c r="E2441" t="inlineStr">
        <is>
          <t>Personal</t>
        </is>
      </c>
      <c r="F2441" t="inlineStr">
        <is>
          <t>Future Building</t>
        </is>
      </c>
      <c r="G2441" t="inlineStr">
        <is>
          <t>Emergency Fund</t>
        </is>
      </c>
      <c r="H2441" t="inlineStr">
        <is>
          <t>Personal &gt; Future Building &gt; Quick Add &gt; Emergency Fund</t>
        </is>
      </c>
      <c r="I2441" s="18" t="n">
        <v>7119.2</v>
      </c>
      <c r="J2441" t="inlineStr">
        <is>
          <t>Created MTR-IOS-2440 and correlation note visible in Activity/Pulse</t>
        </is>
      </c>
      <c r="K2441" t="inlineStr">
        <is>
          <t>NOT_RUN</t>
        </is>
      </c>
      <c r="P2441" t="n">
        <v>0</v>
      </c>
      <c r="Q2441" t="n">
        <v>2440</v>
      </c>
    </row>
    <row r="2442">
      <c r="A2442" t="n">
        <v>2441</v>
      </c>
      <c r="B2442" t="inlineStr">
        <is>
          <t>MTR-IOS-2441</t>
        </is>
      </c>
      <c r="C2442" t="inlineStr">
        <is>
          <t>iPhone</t>
        </is>
      </c>
      <c r="D2442" t="inlineStr">
        <is>
          <t>Group</t>
        </is>
      </c>
      <c r="E2442" t="inlineStr">
        <is>
          <t>Shared Experience</t>
        </is>
      </c>
      <c r="F2442" t="inlineStr">
        <is>
          <t>Trip</t>
        </is>
      </c>
      <c r="G2442" t="inlineStr">
        <is>
          <t>Stay</t>
        </is>
      </c>
      <c r="H2442" t="inlineStr">
        <is>
          <t>Group &gt; Trip &gt; Quick Add &gt; Stay</t>
        </is>
      </c>
      <c r="I2442" s="18" t="n">
        <v>23783.79</v>
      </c>
      <c r="J2442" t="inlineStr">
        <is>
          <t>Created MTR-IOS-2441 and correlation note visible in Activity/Pulse</t>
        </is>
      </c>
      <c r="K2442" t="inlineStr">
        <is>
          <t>NOT_RUN</t>
        </is>
      </c>
      <c r="P2442" t="n">
        <v>0</v>
      </c>
      <c r="Q2442" t="n">
        <v>2441</v>
      </c>
    </row>
    <row r="2443">
      <c r="A2443" t="n">
        <v>2442</v>
      </c>
      <c r="B2443" t="inlineStr">
        <is>
          <t>MTR-IOS-2442</t>
        </is>
      </c>
      <c r="C2443" t="inlineStr">
        <is>
          <t>iPhone</t>
        </is>
      </c>
      <c r="D2443" t="inlineStr">
        <is>
          <t>Business</t>
        </is>
      </c>
      <c r="E2443" t="inlineStr">
        <is>
          <t>Business</t>
        </is>
      </c>
      <c r="F2443" t="inlineStr">
        <is>
          <t>Business Operations</t>
        </is>
      </c>
      <c r="G2443" t="inlineStr">
        <is>
          <t>Marketing</t>
        </is>
      </c>
      <c r="H2443" t="inlineStr">
        <is>
          <t>Business &gt; Business Operations &gt; Quick Add &gt; Marketing</t>
        </is>
      </c>
      <c r="I2443" s="18" t="n">
        <v>0.01</v>
      </c>
      <c r="J2443" t="inlineStr">
        <is>
          <t>Created MTR-IOS-2442 and correlation note visible in Activity/Pulse</t>
        </is>
      </c>
      <c r="K2443" t="inlineStr">
        <is>
          <t>NOT_RUN</t>
        </is>
      </c>
      <c r="P2443" t="n">
        <v>0</v>
      </c>
      <c r="Q2443" t="n">
        <v>2442</v>
      </c>
    </row>
    <row r="2444">
      <c r="A2444" t="n">
        <v>2443</v>
      </c>
      <c r="B2444" t="inlineStr">
        <is>
          <t>MTR-IOS-2443</t>
        </is>
      </c>
      <c r="C2444" t="inlineStr">
        <is>
          <t>iPhone</t>
        </is>
      </c>
      <c r="D2444" t="inlineStr">
        <is>
          <t>Personal</t>
        </is>
      </c>
      <c r="E2444" t="inlineStr">
        <is>
          <t>Personal</t>
        </is>
      </c>
      <c r="F2444" t="inlineStr">
        <is>
          <t>Future Building</t>
        </is>
      </c>
      <c r="G2444" t="inlineStr">
        <is>
          <t>Investments</t>
        </is>
      </c>
      <c r="H2444" t="inlineStr">
        <is>
          <t>Personal &gt; Future Building &gt; Quick Add &gt; Investments</t>
        </is>
      </c>
      <c r="I2444" s="18" t="n">
        <v>11417.57</v>
      </c>
      <c r="J2444" t="inlineStr">
        <is>
          <t>Created MTR-IOS-2443 and correlation note visible in Activity/Pulse</t>
        </is>
      </c>
      <c r="K2444" t="inlineStr">
        <is>
          <t>NOT_RUN</t>
        </is>
      </c>
      <c r="P2444" t="n">
        <v>0</v>
      </c>
      <c r="Q2444" t="n">
        <v>2443</v>
      </c>
    </row>
    <row r="2445">
      <c r="A2445" t="n">
        <v>2444</v>
      </c>
      <c r="B2445" t="inlineStr">
        <is>
          <t>MTR-IOS-2444</t>
        </is>
      </c>
      <c r="C2445" t="inlineStr">
        <is>
          <t>iPhone</t>
        </is>
      </c>
      <c r="D2445" t="inlineStr">
        <is>
          <t>Group</t>
        </is>
      </c>
      <c r="E2445" t="inlineStr">
        <is>
          <t>Shared Experience</t>
        </is>
      </c>
      <c r="F2445" t="inlineStr">
        <is>
          <t>Trip</t>
        </is>
      </c>
      <c r="G2445" t="inlineStr">
        <is>
          <t>Food</t>
        </is>
      </c>
      <c r="H2445" t="inlineStr">
        <is>
          <t>Group &gt; Trip &gt; Quick Add &gt; Food</t>
        </is>
      </c>
      <c r="I2445" s="18" t="n">
        <v>8786.5</v>
      </c>
      <c r="J2445" t="inlineStr">
        <is>
          <t>Created MTR-IOS-2444 and correlation note visible in Activity/Pulse</t>
        </is>
      </c>
      <c r="K2445" t="inlineStr">
        <is>
          <t>NOT_RUN</t>
        </is>
      </c>
      <c r="P2445" t="n">
        <v>0</v>
      </c>
      <c r="Q2445" t="n">
        <v>2444</v>
      </c>
    </row>
    <row r="2446">
      <c r="A2446" t="n">
        <v>2445</v>
      </c>
      <c r="B2446" t="inlineStr">
        <is>
          <t>MTR-IOS-2445</t>
        </is>
      </c>
      <c r="C2446" t="inlineStr">
        <is>
          <t>iPhone</t>
        </is>
      </c>
      <c r="D2446" t="inlineStr">
        <is>
          <t>Business</t>
        </is>
      </c>
      <c r="E2446" t="inlineStr">
        <is>
          <t>Business</t>
        </is>
      </c>
      <c r="F2446" t="inlineStr">
        <is>
          <t>Business Operations</t>
        </is>
      </c>
      <c r="G2446" t="inlineStr">
        <is>
          <t>Legal</t>
        </is>
      </c>
      <c r="H2446" t="inlineStr">
        <is>
          <t>Business &gt; Business Operations &gt; Quick Add &gt; Legal</t>
        </is>
      </c>
      <c r="I2446" s="18" t="n">
        <v>20782.05</v>
      </c>
      <c r="J2446" t="inlineStr">
        <is>
          <t>Created MTR-IOS-2445 and correlation note visible in Activity/Pulse</t>
        </is>
      </c>
      <c r="K2446" t="inlineStr">
        <is>
          <t>NOT_RUN</t>
        </is>
      </c>
      <c r="P2446" t="n">
        <v>0</v>
      </c>
      <c r="Q2446" t="n">
        <v>2445</v>
      </c>
    </row>
    <row r="2447">
      <c r="A2447" t="n">
        <v>2446</v>
      </c>
      <c r="B2447" t="inlineStr">
        <is>
          <t>MTR-IOS-2446</t>
        </is>
      </c>
      <c r="C2447" t="inlineStr">
        <is>
          <t>iPhone</t>
        </is>
      </c>
      <c r="D2447" t="inlineStr">
        <is>
          <t>Personal</t>
        </is>
      </c>
      <c r="E2447" t="inlineStr">
        <is>
          <t>Personal</t>
        </is>
      </c>
      <c r="F2447" t="inlineStr">
        <is>
          <t>Future Building</t>
        </is>
      </c>
      <c r="G2447" t="inlineStr">
        <is>
          <t>Education</t>
        </is>
      </c>
      <c r="H2447" t="inlineStr">
        <is>
          <t>Personal &gt; Future Building &gt; Quick Add &gt; Education</t>
        </is>
      </c>
      <c r="I2447" s="18" t="n">
        <v>14236.54</v>
      </c>
      <c r="J2447" t="inlineStr">
        <is>
          <t>Created MTR-IOS-2446 and correlation note visible in Activity/Pulse</t>
        </is>
      </c>
      <c r="K2447" t="inlineStr">
        <is>
          <t>NOT_RUN</t>
        </is>
      </c>
      <c r="P2447" t="n">
        <v>0</v>
      </c>
      <c r="Q2447" t="n">
        <v>2446</v>
      </c>
    </row>
    <row r="2448">
      <c r="A2448" t="n">
        <v>2447</v>
      </c>
      <c r="B2448" t="inlineStr">
        <is>
          <t>MTR-IOS-2447</t>
        </is>
      </c>
      <c r="C2448" t="inlineStr">
        <is>
          <t>iPhone</t>
        </is>
      </c>
      <c r="D2448" t="inlineStr">
        <is>
          <t>Group</t>
        </is>
      </c>
      <c r="E2448" t="inlineStr">
        <is>
          <t>Shared Experience</t>
        </is>
      </c>
      <c r="F2448" t="inlineStr">
        <is>
          <t>Trip</t>
        </is>
      </c>
      <c r="G2448" t="inlineStr">
        <is>
          <t>Local Transport</t>
        </is>
      </c>
      <c r="H2448" t="inlineStr">
        <is>
          <t>Group &gt; Trip &gt; Quick Add &gt; Local Transport</t>
        </is>
      </c>
      <c r="I2448" s="18" t="n">
        <v>26683.39</v>
      </c>
      <c r="J2448" t="inlineStr">
        <is>
          <t>Created MTR-IOS-2447 and correlation note visible in Activity/Pulse</t>
        </is>
      </c>
      <c r="K2448" t="inlineStr">
        <is>
          <t>NOT_RUN</t>
        </is>
      </c>
      <c r="P2448" t="n">
        <v>0</v>
      </c>
      <c r="Q2448" t="n">
        <v>2447</v>
      </c>
    </row>
    <row r="2449">
      <c r="A2449" t="n">
        <v>2448</v>
      </c>
      <c r="B2449" t="inlineStr">
        <is>
          <t>MTR-IOS-2448</t>
        </is>
      </c>
      <c r="C2449" t="inlineStr">
        <is>
          <t>iPhone</t>
        </is>
      </c>
      <c r="D2449" t="inlineStr">
        <is>
          <t>Business</t>
        </is>
      </c>
      <c r="E2449" t="inlineStr">
        <is>
          <t>Business</t>
        </is>
      </c>
      <c r="F2449" t="inlineStr">
        <is>
          <t>Business Operations</t>
        </is>
      </c>
      <c r="G2449" t="inlineStr">
        <is>
          <t>Accounting</t>
        </is>
      </c>
      <c r="H2449" t="inlineStr">
        <is>
          <t>Business &gt; Business Operations &gt; Quick Add &gt; Accounting</t>
        </is>
      </c>
      <c r="I2449" s="18" t="n">
        <v>150647.88</v>
      </c>
      <c r="J2449" t="inlineStr">
        <is>
          <t>Created MTR-IOS-2448 and correlation note visible in Activity/Pulse</t>
        </is>
      </c>
      <c r="K2449" t="inlineStr">
        <is>
          <t>NOT_RUN</t>
        </is>
      </c>
      <c r="P2449" t="n">
        <v>0</v>
      </c>
      <c r="Q2449" t="n">
        <v>2448</v>
      </c>
    </row>
    <row r="2450">
      <c r="A2450" t="n">
        <v>2449</v>
      </c>
      <c r="B2450" t="inlineStr">
        <is>
          <t>MTR-IOS-2449</t>
        </is>
      </c>
      <c r="C2450" t="inlineStr">
        <is>
          <t>iPhone</t>
        </is>
      </c>
      <c r="D2450" t="inlineStr">
        <is>
          <t>Personal</t>
        </is>
      </c>
      <c r="E2450" t="inlineStr">
        <is>
          <t>Personal</t>
        </is>
      </c>
      <c r="F2450" t="inlineStr">
        <is>
          <t>Future Building</t>
        </is>
      </c>
      <c r="G2450" t="inlineStr">
        <is>
          <t>Goal Contribution</t>
        </is>
      </c>
      <c r="H2450" t="inlineStr">
        <is>
          <t>Personal &gt; Future Building &gt; Quick Add &gt; Goal Contribution</t>
        </is>
      </c>
      <c r="I2450" s="18" t="n">
        <v>14292.85</v>
      </c>
      <c r="J2450" t="inlineStr">
        <is>
          <t>Created MTR-IOS-2449 and correlation note visible in Activity/Pulse</t>
        </is>
      </c>
      <c r="K2450" t="inlineStr">
        <is>
          <t>NOT_RUN</t>
        </is>
      </c>
      <c r="P2450" t="n">
        <v>0</v>
      </c>
      <c r="Q2450" t="n">
        <v>2449</v>
      </c>
    </row>
    <row r="2451">
      <c r="A2451" t="n">
        <v>2450</v>
      </c>
      <c r="B2451" t="inlineStr">
        <is>
          <t>MTR-IOS-2450</t>
        </is>
      </c>
      <c r="C2451" t="inlineStr">
        <is>
          <t>iPhone</t>
        </is>
      </c>
      <c r="D2451" t="inlineStr">
        <is>
          <t>Group</t>
        </is>
      </c>
      <c r="E2451" t="inlineStr">
        <is>
          <t>Shared Experience</t>
        </is>
      </c>
      <c r="F2451" t="inlineStr">
        <is>
          <t>Trip</t>
        </is>
      </c>
      <c r="G2451" t="inlineStr">
        <is>
          <t>Activities</t>
        </is>
      </c>
      <c r="H2451" t="inlineStr">
        <is>
          <t>Group &gt; Trip &gt; Quick Add &gt; Activities</t>
        </is>
      </c>
      <c r="I2451" s="18" t="n">
        <v>26235.92</v>
      </c>
      <c r="J2451" t="inlineStr">
        <is>
          <t>Created MTR-IOS-2450 and correlation note visible in Activity/Pulse</t>
        </is>
      </c>
      <c r="K2451" t="inlineStr">
        <is>
          <t>NOT_RUN</t>
        </is>
      </c>
      <c r="P2451" t="n">
        <v>0</v>
      </c>
      <c r="Q2451" t="n">
        <v>2450</v>
      </c>
    </row>
    <row r="2452">
      <c r="A2452" t="n">
        <v>2451</v>
      </c>
      <c r="B2452" t="inlineStr">
        <is>
          <t>MTR-IOS-2451</t>
        </is>
      </c>
      <c r="C2452" t="inlineStr">
        <is>
          <t>iPhone</t>
        </is>
      </c>
      <c r="D2452" t="inlineStr">
        <is>
          <t>Business</t>
        </is>
      </c>
      <c r="E2452" t="inlineStr">
        <is>
          <t>Business</t>
        </is>
      </c>
      <c r="F2452" t="inlineStr">
        <is>
          <t>Business Operations</t>
        </is>
      </c>
      <c r="G2452" t="inlineStr">
        <is>
          <t>Equipment</t>
        </is>
      </c>
      <c r="H2452" t="inlineStr">
        <is>
          <t>Business &gt; Business Operations &gt; Quick Add &gt; Equipment</t>
        </is>
      </c>
      <c r="I2452" s="18" t="n">
        <v>13674.09</v>
      </c>
      <c r="J2452" t="inlineStr">
        <is>
          <t>Created MTR-IOS-2451 and correlation note visible in Activity/Pulse</t>
        </is>
      </c>
      <c r="K2452" t="inlineStr">
        <is>
          <t>NOT_RUN</t>
        </is>
      </c>
      <c r="P2452" t="n">
        <v>0</v>
      </c>
      <c r="Q2452" t="n">
        <v>2451</v>
      </c>
    </row>
    <row r="2453">
      <c r="A2453" t="n">
        <v>2452</v>
      </c>
      <c r="B2453" t="inlineStr">
        <is>
          <t>MTR-IOS-2452</t>
        </is>
      </c>
      <c r="C2453" t="inlineStr">
        <is>
          <t>iPhone</t>
        </is>
      </c>
      <c r="D2453" t="inlineStr">
        <is>
          <t>Personal</t>
        </is>
      </c>
      <c r="E2453" t="inlineStr">
        <is>
          <t>Personal</t>
        </is>
      </c>
      <c r="F2453" t="inlineStr">
        <is>
          <t>Lifestyle</t>
        </is>
      </c>
      <c r="G2453" t="inlineStr">
        <is>
          <t>Dining</t>
        </is>
      </c>
      <c r="H2453" t="inlineStr">
        <is>
          <t>Personal &gt; Lifestyle &gt; Quick Add &gt; Dining</t>
        </is>
      </c>
      <c r="I2453" s="18" t="n">
        <v>15734.18</v>
      </c>
      <c r="J2453" t="inlineStr">
        <is>
          <t>Created MTR-IOS-2452 and correlation note visible in Activity/Pulse</t>
        </is>
      </c>
      <c r="K2453" t="inlineStr">
        <is>
          <t>NOT_RUN</t>
        </is>
      </c>
      <c r="P2453" t="n">
        <v>0</v>
      </c>
      <c r="Q2453" t="n">
        <v>2452</v>
      </c>
    </row>
    <row r="2454">
      <c r="A2454" t="n">
        <v>2453</v>
      </c>
      <c r="B2454" t="inlineStr">
        <is>
          <t>MTR-IOS-2453</t>
        </is>
      </c>
      <c r="C2454" t="inlineStr">
        <is>
          <t>iPhone</t>
        </is>
      </c>
      <c r="D2454" t="inlineStr">
        <is>
          <t>Group</t>
        </is>
      </c>
      <c r="E2454" t="inlineStr">
        <is>
          <t>Shared Experience</t>
        </is>
      </c>
      <c r="F2454" t="inlineStr">
        <is>
          <t>Trip</t>
        </is>
      </c>
      <c r="G2454" t="inlineStr">
        <is>
          <t>Shopping</t>
        </is>
      </c>
      <c r="H2454" t="inlineStr">
        <is>
          <t>Group &gt; Trip &gt; Quick Add &gt; Shopping</t>
        </is>
      </c>
      <c r="I2454" s="18" t="n">
        <v>23656.02</v>
      </c>
      <c r="J2454" t="inlineStr">
        <is>
          <t>Created MTR-IOS-2453 and correlation note visible in Activity/Pulse</t>
        </is>
      </c>
      <c r="K2454" t="inlineStr">
        <is>
          <t>NOT_RUN</t>
        </is>
      </c>
      <c r="P2454" t="n">
        <v>0</v>
      </c>
      <c r="Q2454" t="n">
        <v>2453</v>
      </c>
    </row>
    <row r="2455">
      <c r="A2455" t="n">
        <v>2454</v>
      </c>
      <c r="B2455" t="inlineStr">
        <is>
          <t>MTR-IOS-2454</t>
        </is>
      </c>
      <c r="C2455" t="inlineStr">
        <is>
          <t>iPhone</t>
        </is>
      </c>
      <c r="D2455" t="inlineStr">
        <is>
          <t>Business</t>
        </is>
      </c>
      <c r="E2455" t="inlineStr">
        <is>
          <t>Business</t>
        </is>
      </c>
      <c r="F2455" t="inlineStr">
        <is>
          <t>Business Operations</t>
        </is>
      </c>
      <c r="G2455" t="inlineStr">
        <is>
          <t>Vendor</t>
        </is>
      </c>
      <c r="H2455" t="inlineStr">
        <is>
          <t>Business &gt; Business Operations &gt; Quick Add &gt; Vendor</t>
        </is>
      </c>
      <c r="I2455" s="18" t="n">
        <v>54114.42</v>
      </c>
      <c r="J2455" t="inlineStr">
        <is>
          <t>Created MTR-IOS-2454 and correlation note visible in Activity/Pulse</t>
        </is>
      </c>
      <c r="K2455" t="inlineStr">
        <is>
          <t>NOT_RUN</t>
        </is>
      </c>
      <c r="P2455" t="n">
        <v>0</v>
      </c>
      <c r="Q2455" t="n">
        <v>2454</v>
      </c>
    </row>
    <row r="2456">
      <c r="A2456" t="n">
        <v>2455</v>
      </c>
      <c r="B2456" t="inlineStr">
        <is>
          <t>MTR-IOS-2455</t>
        </is>
      </c>
      <c r="C2456" t="inlineStr">
        <is>
          <t>iPhone</t>
        </is>
      </c>
      <c r="D2456" t="inlineStr">
        <is>
          <t>Personal</t>
        </is>
      </c>
      <c r="E2456" t="inlineStr">
        <is>
          <t>Personal</t>
        </is>
      </c>
      <c r="F2456" t="inlineStr">
        <is>
          <t>Lifestyle</t>
        </is>
      </c>
      <c r="G2456" t="inlineStr">
        <is>
          <t>Shopping</t>
        </is>
      </c>
      <c r="H2456" t="inlineStr">
        <is>
          <t>Personal &gt; Lifestyle &gt; Quick Add &gt; Shopping</t>
        </is>
      </c>
      <c r="I2456" s="18" t="n">
        <v>14060.97</v>
      </c>
      <c r="J2456" t="inlineStr">
        <is>
          <t>Created MTR-IOS-2455 and correlation note visible in Activity/Pulse</t>
        </is>
      </c>
      <c r="K2456" t="inlineStr">
        <is>
          <t>NOT_RUN</t>
        </is>
      </c>
      <c r="P2456" t="n">
        <v>0</v>
      </c>
      <c r="Q2456" t="n">
        <v>2455</v>
      </c>
    </row>
    <row r="2457">
      <c r="A2457" t="n">
        <v>2456</v>
      </c>
      <c r="B2457" t="inlineStr">
        <is>
          <t>MTR-IOS-2456</t>
        </is>
      </c>
      <c r="C2457" t="inlineStr">
        <is>
          <t>iPhone</t>
        </is>
      </c>
      <c r="D2457" t="inlineStr">
        <is>
          <t>Group</t>
        </is>
      </c>
      <c r="E2457" t="inlineStr">
        <is>
          <t>Shared Experience</t>
        </is>
      </c>
      <c r="F2457" t="inlineStr">
        <is>
          <t>Trip</t>
        </is>
      </c>
      <c r="G2457" t="inlineStr">
        <is>
          <t>Other</t>
        </is>
      </c>
      <c r="H2457" t="inlineStr">
        <is>
          <t>Group &gt; Trip &gt; Quick Add &gt; Other</t>
        </is>
      </c>
      <c r="I2457" s="18" t="n">
        <v>14915.78</v>
      </c>
      <c r="J2457" t="inlineStr">
        <is>
          <t>Created MTR-IOS-2456 and correlation note visible in Activity/Pulse</t>
        </is>
      </c>
      <c r="K2457" t="inlineStr">
        <is>
          <t>NOT_RUN</t>
        </is>
      </c>
      <c r="P2457" t="n">
        <v>0</v>
      </c>
      <c r="Q2457" t="n">
        <v>2456</v>
      </c>
    </row>
    <row r="2458">
      <c r="A2458" t="n">
        <v>2457</v>
      </c>
      <c r="B2458" t="inlineStr">
        <is>
          <t>MTR-IOS-2457</t>
        </is>
      </c>
      <c r="C2458" t="inlineStr">
        <is>
          <t>iPhone</t>
        </is>
      </c>
      <c r="D2458" t="inlineStr">
        <is>
          <t>Business</t>
        </is>
      </c>
      <c r="E2458" t="inlineStr">
        <is>
          <t>Business</t>
        </is>
      </c>
      <c r="F2458" t="inlineStr">
        <is>
          <t>Business Operations</t>
        </is>
      </c>
      <c r="G2458" t="inlineStr">
        <is>
          <t>Tax</t>
        </is>
      </c>
      <c r="H2458" t="inlineStr">
        <is>
          <t>Business &gt; Business Operations &gt; Quick Add &gt; Tax</t>
        </is>
      </c>
      <c r="I2458" s="18" t="n">
        <v>55770.06</v>
      </c>
      <c r="J2458" t="inlineStr">
        <is>
          <t>Created MTR-IOS-2457 and correlation note visible in Activity/Pulse</t>
        </is>
      </c>
      <c r="K2458" t="inlineStr">
        <is>
          <t>NOT_RUN</t>
        </is>
      </c>
      <c r="P2458" t="n">
        <v>0</v>
      </c>
      <c r="Q2458" t="n">
        <v>2457</v>
      </c>
    </row>
    <row r="2459">
      <c r="A2459" t="n">
        <v>2458</v>
      </c>
      <c r="B2459" t="inlineStr">
        <is>
          <t>MTR-IOS-2458</t>
        </is>
      </c>
      <c r="C2459" t="inlineStr">
        <is>
          <t>iPhone</t>
        </is>
      </c>
      <c r="D2459" t="inlineStr">
        <is>
          <t>Personal</t>
        </is>
      </c>
      <c r="E2459" t="inlineStr">
        <is>
          <t>Personal</t>
        </is>
      </c>
      <c r="F2459" t="inlineStr">
        <is>
          <t>Lifestyle</t>
        </is>
      </c>
      <c r="G2459" t="inlineStr">
        <is>
          <t>Entertainment</t>
        </is>
      </c>
      <c r="H2459" t="inlineStr">
        <is>
          <t>Personal &gt; Lifestyle &gt; Quick Add &gt; Entertainment</t>
        </is>
      </c>
      <c r="I2459" s="18" t="n">
        <v>10298.59</v>
      </c>
      <c r="J2459" t="inlineStr">
        <is>
          <t>Created MTR-IOS-2458 and correlation note visible in Activity/Pulse</t>
        </is>
      </c>
      <c r="K2459" t="inlineStr">
        <is>
          <t>NOT_RUN</t>
        </is>
      </c>
      <c r="P2459" t="n">
        <v>0</v>
      </c>
      <c r="Q2459" t="n">
        <v>2458</v>
      </c>
    </row>
    <row r="2460">
      <c r="A2460" t="n">
        <v>2459</v>
      </c>
      <c r="B2460" t="inlineStr">
        <is>
          <t>MTR-IOS-2459</t>
        </is>
      </c>
      <c r="C2460" t="inlineStr">
        <is>
          <t>iPhone</t>
        </is>
      </c>
      <c r="D2460" t="inlineStr">
        <is>
          <t>Group</t>
        </is>
      </c>
      <c r="E2460" t="inlineStr">
        <is>
          <t>Shared Experience</t>
        </is>
      </c>
      <c r="F2460" t="inlineStr">
        <is>
          <t>Wedding</t>
        </is>
      </c>
      <c r="G2460" t="inlineStr">
        <is>
          <t>Venue</t>
        </is>
      </c>
      <c r="H2460" t="inlineStr">
        <is>
          <t>Group &gt; Wedding &gt; Quick Add &gt; Venue</t>
        </is>
      </c>
      <c r="I2460" s="18" t="n">
        <v>11649.9</v>
      </c>
      <c r="J2460" t="inlineStr">
        <is>
          <t>Created MTR-IOS-2459 and correlation note visible in Activity/Pulse</t>
        </is>
      </c>
      <c r="K2460" t="inlineStr">
        <is>
          <t>NOT_RUN</t>
        </is>
      </c>
      <c r="P2460" t="n">
        <v>0</v>
      </c>
      <c r="Q2460" t="n">
        <v>2459</v>
      </c>
    </row>
    <row r="2461">
      <c r="A2461" t="n">
        <v>2460</v>
      </c>
      <c r="B2461" t="inlineStr">
        <is>
          <t>MTR-IOS-2460</t>
        </is>
      </c>
      <c r="C2461" t="inlineStr">
        <is>
          <t>iPhone</t>
        </is>
      </c>
      <c r="D2461" t="inlineStr">
        <is>
          <t>Business</t>
        </is>
      </c>
      <c r="E2461" t="inlineStr">
        <is>
          <t>Business</t>
        </is>
      </c>
      <c r="F2461" t="inlineStr">
        <is>
          <t>Team Operations</t>
        </is>
      </c>
      <c r="G2461" t="inlineStr">
        <is>
          <t>Payroll</t>
        </is>
      </c>
      <c r="H2461" t="inlineStr">
        <is>
          <t>Business &gt; Team Operations &gt; Quick Add &gt; Payroll</t>
        </is>
      </c>
      <c r="I2461" s="18" t="n">
        <v>88726.57000000001</v>
      </c>
      <c r="J2461" t="inlineStr">
        <is>
          <t>Created MTR-IOS-2460 and correlation note visible in Activity/Pulse</t>
        </is>
      </c>
      <c r="K2461" t="inlineStr">
        <is>
          <t>NOT_RUN</t>
        </is>
      </c>
      <c r="P2461" t="n">
        <v>0</v>
      </c>
      <c r="Q2461" t="n">
        <v>2460</v>
      </c>
    </row>
    <row r="2462">
      <c r="A2462" t="n">
        <v>2461</v>
      </c>
      <c r="B2462" t="inlineStr">
        <is>
          <t>MTR-IOS-2461</t>
        </is>
      </c>
      <c r="C2462" t="inlineStr">
        <is>
          <t>iPhone</t>
        </is>
      </c>
      <c r="D2462" t="inlineStr">
        <is>
          <t>Personal</t>
        </is>
      </c>
      <c r="E2462" t="inlineStr">
        <is>
          <t>Personal</t>
        </is>
      </c>
      <c r="F2462" t="inlineStr">
        <is>
          <t>Lifestyle</t>
        </is>
      </c>
      <c r="G2462" t="inlineStr">
        <is>
          <t>Travel</t>
        </is>
      </c>
      <c r="H2462" t="inlineStr">
        <is>
          <t>Personal &gt; Lifestyle &gt; Quick Add &gt; Travel</t>
        </is>
      </c>
      <c r="I2462" s="18" t="n">
        <v>16810.72</v>
      </c>
      <c r="J2462" t="inlineStr">
        <is>
          <t>Created MTR-IOS-2461 and correlation note visible in Activity/Pulse</t>
        </is>
      </c>
      <c r="K2462" t="inlineStr">
        <is>
          <t>NOT_RUN</t>
        </is>
      </c>
      <c r="P2462" t="n">
        <v>0</v>
      </c>
      <c r="Q2462" t="n">
        <v>2461</v>
      </c>
    </row>
    <row r="2463">
      <c r="A2463" t="n">
        <v>2462</v>
      </c>
      <c r="B2463" t="inlineStr">
        <is>
          <t>MTR-IOS-2462</t>
        </is>
      </c>
      <c r="C2463" t="inlineStr">
        <is>
          <t>iPhone</t>
        </is>
      </c>
      <c r="D2463" t="inlineStr">
        <is>
          <t>Group</t>
        </is>
      </c>
      <c r="E2463" t="inlineStr">
        <is>
          <t>Shared Experience</t>
        </is>
      </c>
      <c r="F2463" t="inlineStr">
        <is>
          <t>Wedding</t>
        </is>
      </c>
      <c r="G2463" t="inlineStr">
        <is>
          <t>Catering</t>
        </is>
      </c>
      <c r="H2463" t="inlineStr">
        <is>
          <t>Group &gt; Wedding &gt; Quick Add &gt; Catering</t>
        </is>
      </c>
      <c r="I2463" s="18" t="n">
        <v>23670.62</v>
      </c>
      <c r="J2463" t="inlineStr">
        <is>
          <t>Created MTR-IOS-2462 and correlation note visible in Activity/Pulse</t>
        </is>
      </c>
      <c r="K2463" t="inlineStr">
        <is>
          <t>NOT_RUN</t>
        </is>
      </c>
      <c r="P2463" t="n">
        <v>0</v>
      </c>
      <c r="Q2463" t="n">
        <v>2462</v>
      </c>
    </row>
    <row r="2464">
      <c r="A2464" t="n">
        <v>2463</v>
      </c>
      <c r="B2464" t="inlineStr">
        <is>
          <t>MTR-IOS-2463</t>
        </is>
      </c>
      <c r="C2464" t="inlineStr">
        <is>
          <t>iPhone</t>
        </is>
      </c>
      <c r="D2464" t="inlineStr">
        <is>
          <t>Business</t>
        </is>
      </c>
      <c r="E2464" t="inlineStr">
        <is>
          <t>Business</t>
        </is>
      </c>
      <c r="F2464" t="inlineStr">
        <is>
          <t>Team Operations</t>
        </is>
      </c>
      <c r="G2464" t="inlineStr">
        <is>
          <t>Contractor</t>
        </is>
      </c>
      <c r="H2464" t="inlineStr">
        <is>
          <t>Business &gt; Team Operations &gt; Quick Add &gt; Contractor</t>
        </is>
      </c>
      <c r="I2464" s="18" t="n">
        <v>44949.52</v>
      </c>
      <c r="J2464" t="inlineStr">
        <is>
          <t>Created MTR-IOS-2463 and correlation note visible in Activity/Pulse</t>
        </is>
      </c>
      <c r="K2464" t="inlineStr">
        <is>
          <t>NOT_RUN</t>
        </is>
      </c>
      <c r="P2464" t="n">
        <v>0</v>
      </c>
      <c r="Q2464" t="n">
        <v>2463</v>
      </c>
    </row>
    <row r="2465">
      <c r="A2465" t="n">
        <v>2464</v>
      </c>
      <c r="B2465" t="inlineStr">
        <is>
          <t>MTR-IOS-2464</t>
        </is>
      </c>
      <c r="C2465" t="inlineStr">
        <is>
          <t>iPhone</t>
        </is>
      </c>
      <c r="D2465" t="inlineStr">
        <is>
          <t>Personal</t>
        </is>
      </c>
      <c r="E2465" t="inlineStr">
        <is>
          <t>Personal</t>
        </is>
      </c>
      <c r="F2465" t="inlineStr">
        <is>
          <t>Lifestyle</t>
        </is>
      </c>
      <c r="G2465" t="inlineStr">
        <is>
          <t>Fitness</t>
        </is>
      </c>
      <c r="H2465" t="inlineStr">
        <is>
          <t>Personal &gt; Lifestyle &gt; Quick Add &gt; Fitness</t>
        </is>
      </c>
      <c r="I2465" s="18" t="n">
        <v>13302.54</v>
      </c>
      <c r="J2465" t="inlineStr">
        <is>
          <t>Created MTR-IOS-2464 and correlation note visible in Activity/Pulse</t>
        </is>
      </c>
      <c r="K2465" t="inlineStr">
        <is>
          <t>NOT_RUN</t>
        </is>
      </c>
      <c r="P2465" t="n">
        <v>0</v>
      </c>
      <c r="Q2465" t="n">
        <v>2464</v>
      </c>
    </row>
    <row r="2466">
      <c r="A2466" t="n">
        <v>2465</v>
      </c>
      <c r="B2466" t="inlineStr">
        <is>
          <t>MTR-IOS-2465</t>
        </is>
      </c>
      <c r="C2466" t="inlineStr">
        <is>
          <t>iPhone</t>
        </is>
      </c>
      <c r="D2466" t="inlineStr">
        <is>
          <t>Group</t>
        </is>
      </c>
      <c r="E2466" t="inlineStr">
        <is>
          <t>Shared Experience</t>
        </is>
      </c>
      <c r="F2466" t="inlineStr">
        <is>
          <t>Wedding</t>
        </is>
      </c>
      <c r="G2466" t="inlineStr">
        <is>
          <t>Decor</t>
        </is>
      </c>
      <c r="H2466" t="inlineStr">
        <is>
          <t>Group &gt; Wedding &gt; Quick Add &gt; Decor</t>
        </is>
      </c>
      <c r="I2466" s="18" t="n">
        <v>959.6900000000001</v>
      </c>
      <c r="J2466" t="inlineStr">
        <is>
          <t>Created MTR-IOS-2465 and correlation note visible in Activity/Pulse</t>
        </is>
      </c>
      <c r="K2466" t="inlineStr">
        <is>
          <t>NOT_RUN</t>
        </is>
      </c>
      <c r="P2466" t="n">
        <v>0</v>
      </c>
      <c r="Q2466" t="n">
        <v>2465</v>
      </c>
    </row>
    <row r="2467">
      <c r="A2467" t="n">
        <v>2466</v>
      </c>
      <c r="B2467" t="inlineStr">
        <is>
          <t>MTR-IOS-2466</t>
        </is>
      </c>
      <c r="C2467" t="inlineStr">
        <is>
          <t>iPhone</t>
        </is>
      </c>
      <c r="D2467" t="inlineStr">
        <is>
          <t>Business</t>
        </is>
      </c>
      <c r="E2467" t="inlineStr">
        <is>
          <t>Business</t>
        </is>
      </c>
      <c r="F2467" t="inlineStr">
        <is>
          <t>Team Operations</t>
        </is>
      </c>
      <c r="G2467" t="inlineStr">
        <is>
          <t>Hiring</t>
        </is>
      </c>
      <c r="H2467" t="inlineStr">
        <is>
          <t>Business &gt; Team Operations &gt; Quick Add &gt; Hiring</t>
        </is>
      </c>
      <c r="I2467" s="18" t="n">
        <v>86784.22</v>
      </c>
      <c r="J2467" t="inlineStr">
        <is>
          <t>Created MTR-IOS-2466 and correlation note visible in Activity/Pulse</t>
        </is>
      </c>
      <c r="K2467" t="inlineStr">
        <is>
          <t>NOT_RUN</t>
        </is>
      </c>
      <c r="P2467" t="n">
        <v>0</v>
      </c>
      <c r="Q2467" t="n">
        <v>2466</v>
      </c>
    </row>
    <row r="2468">
      <c r="A2468" t="n">
        <v>2467</v>
      </c>
      <c r="B2468" t="inlineStr">
        <is>
          <t>MTR-IOS-2467</t>
        </is>
      </c>
      <c r="C2468" t="inlineStr">
        <is>
          <t>iPhone</t>
        </is>
      </c>
      <c r="D2468" t="inlineStr">
        <is>
          <t>Personal</t>
        </is>
      </c>
      <c r="E2468" t="inlineStr">
        <is>
          <t>Personal</t>
        </is>
      </c>
      <c r="F2468" t="inlineStr">
        <is>
          <t>Lifestyle</t>
        </is>
      </c>
      <c r="G2468" t="inlineStr">
        <is>
          <t>Hobbies</t>
        </is>
      </c>
      <c r="H2468" t="inlineStr">
        <is>
          <t>Personal &gt; Lifestyle &gt; Quick Add &gt; Hobbies</t>
        </is>
      </c>
      <c r="I2468" s="18" t="n">
        <v>3212.44</v>
      </c>
      <c r="J2468" t="inlineStr">
        <is>
          <t>Created MTR-IOS-2467 and correlation note visible in Activity/Pulse</t>
        </is>
      </c>
      <c r="K2468" t="inlineStr">
        <is>
          <t>NOT_RUN</t>
        </is>
      </c>
      <c r="P2468" t="n">
        <v>0</v>
      </c>
      <c r="Q2468" t="n">
        <v>2467</v>
      </c>
    </row>
    <row r="2469">
      <c r="A2469" t="n">
        <v>2468</v>
      </c>
      <c r="B2469" t="inlineStr">
        <is>
          <t>MTR-IOS-2468</t>
        </is>
      </c>
      <c r="C2469" t="inlineStr">
        <is>
          <t>iPhone</t>
        </is>
      </c>
      <c r="D2469" t="inlineStr">
        <is>
          <t>Group</t>
        </is>
      </c>
      <c r="E2469" t="inlineStr">
        <is>
          <t>Shared Experience</t>
        </is>
      </c>
      <c r="F2469" t="inlineStr">
        <is>
          <t>Wedding</t>
        </is>
      </c>
      <c r="G2469" t="inlineStr">
        <is>
          <t>Travel</t>
        </is>
      </c>
      <c r="H2469" t="inlineStr">
        <is>
          <t>Group &gt; Wedding &gt; Quick Add &gt; Travel</t>
        </is>
      </c>
      <c r="I2469" s="18" t="n">
        <v>19887.6</v>
      </c>
      <c r="J2469" t="inlineStr">
        <is>
          <t>Created MTR-IOS-2468 and correlation note visible in Activity/Pulse</t>
        </is>
      </c>
      <c r="K2469" t="inlineStr">
        <is>
          <t>NOT_RUN</t>
        </is>
      </c>
      <c r="P2469" t="n">
        <v>0</v>
      </c>
      <c r="Q2469" t="n">
        <v>2468</v>
      </c>
    </row>
    <row r="2470">
      <c r="A2470" t="n">
        <v>2469</v>
      </c>
      <c r="B2470" t="inlineStr">
        <is>
          <t>MTR-IOS-2469</t>
        </is>
      </c>
      <c r="C2470" t="inlineStr">
        <is>
          <t>iPhone</t>
        </is>
      </c>
      <c r="D2470" t="inlineStr">
        <is>
          <t>Business</t>
        </is>
      </c>
      <c r="E2470" t="inlineStr">
        <is>
          <t>Business</t>
        </is>
      </c>
      <c r="F2470" t="inlineStr">
        <is>
          <t>Team Operations</t>
        </is>
      </c>
      <c r="G2470" t="inlineStr">
        <is>
          <t>Team Meal</t>
        </is>
      </c>
      <c r="H2470" t="inlineStr">
        <is>
          <t>Business &gt; Team Operations &gt; Quick Add &gt; Team Meal</t>
        </is>
      </c>
      <c r="I2470" s="18" t="n">
        <v>76770.17</v>
      </c>
      <c r="J2470" t="inlineStr">
        <is>
          <t>Created MTR-IOS-2469 and correlation note visible in Activity/Pulse</t>
        </is>
      </c>
      <c r="K2470" t="inlineStr">
        <is>
          <t>NOT_RUN</t>
        </is>
      </c>
      <c r="P2470" t="n">
        <v>0</v>
      </c>
      <c r="Q2470" t="n">
        <v>2469</v>
      </c>
    </row>
    <row r="2471">
      <c r="A2471" t="n">
        <v>2470</v>
      </c>
      <c r="B2471" t="inlineStr">
        <is>
          <t>MTR-IOS-2470</t>
        </is>
      </c>
      <c r="C2471" t="inlineStr">
        <is>
          <t>iPhone</t>
        </is>
      </c>
      <c r="D2471" t="inlineStr">
        <is>
          <t>Personal</t>
        </is>
      </c>
      <c r="E2471" t="inlineStr">
        <is>
          <t>Personal</t>
        </is>
      </c>
      <c r="F2471" t="inlineStr">
        <is>
          <t>Relationships</t>
        </is>
      </c>
      <c r="G2471" t="inlineStr">
        <is>
          <t>Gifts</t>
        </is>
      </c>
      <c r="H2471" t="inlineStr">
        <is>
          <t>Personal &gt; Relationships &gt; Quick Add &gt; Gifts</t>
        </is>
      </c>
      <c r="I2471" s="18" t="n">
        <v>12076.9</v>
      </c>
      <c r="J2471" t="inlineStr">
        <is>
          <t>Created MTR-IOS-2470 and correlation note visible in Activity/Pulse</t>
        </is>
      </c>
      <c r="K2471" t="inlineStr">
        <is>
          <t>NOT_RUN</t>
        </is>
      </c>
      <c r="P2471" t="n">
        <v>0</v>
      </c>
      <c r="Q2471" t="n">
        <v>2470</v>
      </c>
    </row>
    <row r="2472">
      <c r="A2472" t="n">
        <v>2471</v>
      </c>
      <c r="B2472" t="inlineStr">
        <is>
          <t>MTR-IOS-2471</t>
        </is>
      </c>
      <c r="C2472" t="inlineStr">
        <is>
          <t>iPhone</t>
        </is>
      </c>
      <c r="D2472" t="inlineStr">
        <is>
          <t>Group</t>
        </is>
      </c>
      <c r="E2472" t="inlineStr">
        <is>
          <t>Shared Experience</t>
        </is>
      </c>
      <c r="F2472" t="inlineStr">
        <is>
          <t>Wedding</t>
        </is>
      </c>
      <c r="G2472" t="inlineStr">
        <is>
          <t>Gifts</t>
        </is>
      </c>
      <c r="H2472" t="inlineStr">
        <is>
          <t>Group &gt; Wedding &gt; Quick Add &gt; Gifts</t>
        </is>
      </c>
      <c r="I2472" s="18" t="n">
        <v>17859.72</v>
      </c>
      <c r="J2472" t="inlineStr">
        <is>
          <t>Created MTR-IOS-2471 and correlation note visible in Activity/Pulse</t>
        </is>
      </c>
      <c r="K2472" t="inlineStr">
        <is>
          <t>NOT_RUN</t>
        </is>
      </c>
      <c r="P2472" t="n">
        <v>0</v>
      </c>
      <c r="Q2472" t="n">
        <v>2471</v>
      </c>
    </row>
    <row r="2473">
      <c r="A2473" t="n">
        <v>2472</v>
      </c>
      <c r="B2473" t="inlineStr">
        <is>
          <t>MTR-IOS-2472</t>
        </is>
      </c>
      <c r="C2473" t="inlineStr">
        <is>
          <t>iPhone</t>
        </is>
      </c>
      <c r="D2473" t="inlineStr">
        <is>
          <t>Business</t>
        </is>
      </c>
      <c r="E2473" t="inlineStr">
        <is>
          <t>Business</t>
        </is>
      </c>
      <c r="F2473" t="inlineStr">
        <is>
          <t>Team Operations</t>
        </is>
      </c>
      <c r="G2473" t="inlineStr">
        <is>
          <t>Travel</t>
        </is>
      </c>
      <c r="H2473" t="inlineStr">
        <is>
          <t>Business &gt; Team Operations &gt; Quick Add &gt; Travel</t>
        </is>
      </c>
      <c r="I2473" s="18" t="n">
        <v>49439.08</v>
      </c>
      <c r="J2473" t="inlineStr">
        <is>
          <t>Created MTR-IOS-2472 and correlation note visible in Activity/Pulse</t>
        </is>
      </c>
      <c r="K2473" t="inlineStr">
        <is>
          <t>NOT_RUN</t>
        </is>
      </c>
      <c r="P2473" t="n">
        <v>0</v>
      </c>
      <c r="Q2473" t="n">
        <v>2472</v>
      </c>
    </row>
    <row r="2474">
      <c r="A2474" t="n">
        <v>2473</v>
      </c>
      <c r="B2474" t="inlineStr">
        <is>
          <t>MTR-IOS-2473</t>
        </is>
      </c>
      <c r="C2474" t="inlineStr">
        <is>
          <t>iPhone</t>
        </is>
      </c>
      <c r="D2474" t="inlineStr">
        <is>
          <t>Personal</t>
        </is>
      </c>
      <c r="E2474" t="inlineStr">
        <is>
          <t>Personal</t>
        </is>
      </c>
      <c r="F2474" t="inlineStr">
        <is>
          <t>Relationships</t>
        </is>
      </c>
      <c r="G2474" t="inlineStr">
        <is>
          <t>Dates</t>
        </is>
      </c>
      <c r="H2474" t="inlineStr">
        <is>
          <t>Personal &gt; Relationships &gt; Quick Add &gt; Dates</t>
        </is>
      </c>
      <c r="I2474" s="18" t="n">
        <v>13058.68</v>
      </c>
      <c r="J2474" t="inlineStr">
        <is>
          <t>Created MTR-IOS-2473 and correlation note visible in Activity/Pulse</t>
        </is>
      </c>
      <c r="K2474" t="inlineStr">
        <is>
          <t>NOT_RUN</t>
        </is>
      </c>
      <c r="P2474" t="n">
        <v>0</v>
      </c>
      <c r="Q2474" t="n">
        <v>2473</v>
      </c>
    </row>
    <row r="2475">
      <c r="A2475" t="n">
        <v>2474</v>
      </c>
      <c r="B2475" t="inlineStr">
        <is>
          <t>MTR-IOS-2474</t>
        </is>
      </c>
      <c r="C2475" t="inlineStr">
        <is>
          <t>iPhone</t>
        </is>
      </c>
      <c r="D2475" t="inlineStr">
        <is>
          <t>Group</t>
        </is>
      </c>
      <c r="E2475" t="inlineStr">
        <is>
          <t>Shared Experience</t>
        </is>
      </c>
      <c r="F2475" t="inlineStr">
        <is>
          <t>Wedding</t>
        </is>
      </c>
      <c r="G2475" t="inlineStr">
        <is>
          <t>Photography</t>
        </is>
      </c>
      <c r="H2475" t="inlineStr">
        <is>
          <t>Group &gt; Wedding &gt; Quick Add &gt; Photography</t>
        </is>
      </c>
      <c r="I2475" s="18" t="n">
        <v>5752.63</v>
      </c>
      <c r="J2475" t="inlineStr">
        <is>
          <t>Created MTR-IOS-2474 and correlation note visible in Activity/Pulse</t>
        </is>
      </c>
      <c r="K2475" t="inlineStr">
        <is>
          <t>NOT_RUN</t>
        </is>
      </c>
      <c r="P2475" t="n">
        <v>0</v>
      </c>
      <c r="Q2475" t="n">
        <v>2474</v>
      </c>
    </row>
    <row r="2476">
      <c r="A2476" t="n">
        <v>2475</v>
      </c>
      <c r="B2476" t="inlineStr">
        <is>
          <t>MTR-IOS-2475</t>
        </is>
      </c>
      <c r="C2476" t="inlineStr">
        <is>
          <t>iPhone</t>
        </is>
      </c>
      <c r="D2476" t="inlineStr">
        <is>
          <t>Business</t>
        </is>
      </c>
      <c r="E2476" t="inlineStr">
        <is>
          <t>Business</t>
        </is>
      </c>
      <c r="F2476" t="inlineStr">
        <is>
          <t>Team Operations</t>
        </is>
      </c>
      <c r="G2476" t="inlineStr">
        <is>
          <t>Training</t>
        </is>
      </c>
      <c r="H2476" t="inlineStr">
        <is>
          <t>Business &gt; Team Operations &gt; Quick Add &gt; Training</t>
        </is>
      </c>
      <c r="I2476" s="18" t="n">
        <v>127653.14</v>
      </c>
      <c r="J2476" t="inlineStr">
        <is>
          <t>Created MTR-IOS-2475 and correlation note visible in Activity/Pulse</t>
        </is>
      </c>
      <c r="K2476" t="inlineStr">
        <is>
          <t>NOT_RUN</t>
        </is>
      </c>
      <c r="P2476" t="n">
        <v>0</v>
      </c>
      <c r="Q2476" t="n">
        <v>2475</v>
      </c>
    </row>
    <row r="2477">
      <c r="A2477" t="n">
        <v>2476</v>
      </c>
      <c r="B2477" t="inlineStr">
        <is>
          <t>MTR-IOS-2476</t>
        </is>
      </c>
      <c r="C2477" t="inlineStr">
        <is>
          <t>iPhone</t>
        </is>
      </c>
      <c r="D2477" t="inlineStr">
        <is>
          <t>Personal</t>
        </is>
      </c>
      <c r="E2477" t="inlineStr">
        <is>
          <t>Personal</t>
        </is>
      </c>
      <c r="F2477" t="inlineStr">
        <is>
          <t>Relationships</t>
        </is>
      </c>
      <c r="G2477" t="inlineStr">
        <is>
          <t>Family</t>
        </is>
      </c>
      <c r="H2477" t="inlineStr">
        <is>
          <t>Personal &gt; Relationships &gt; Quick Add &gt; Family</t>
        </is>
      </c>
      <c r="I2477" s="18" t="n">
        <v>4867.09</v>
      </c>
      <c r="J2477" t="inlineStr">
        <is>
          <t>Created MTR-IOS-2476 and correlation note visible in Activity/Pulse</t>
        </is>
      </c>
      <c r="K2477" t="inlineStr">
        <is>
          <t>NOT_RUN</t>
        </is>
      </c>
      <c r="P2477" t="n">
        <v>0</v>
      </c>
      <c r="Q2477" t="n">
        <v>2476</v>
      </c>
    </row>
    <row r="2478">
      <c r="A2478" t="n">
        <v>2477</v>
      </c>
      <c r="B2478" t="inlineStr">
        <is>
          <t>MTR-IOS-2477</t>
        </is>
      </c>
      <c r="C2478" t="inlineStr">
        <is>
          <t>iPhone</t>
        </is>
      </c>
      <c r="D2478" t="inlineStr">
        <is>
          <t>Group</t>
        </is>
      </c>
      <c r="E2478" t="inlineStr">
        <is>
          <t>Shared Experience</t>
        </is>
      </c>
      <c r="F2478" t="inlineStr">
        <is>
          <t>Wedding</t>
        </is>
      </c>
      <c r="G2478" t="inlineStr">
        <is>
          <t>Other</t>
        </is>
      </c>
      <c r="H2478" t="inlineStr">
        <is>
          <t>Group &gt; Wedding &gt; Quick Add &gt; Other</t>
        </is>
      </c>
      <c r="I2478" s="18" t="n">
        <v>654.03</v>
      </c>
      <c r="J2478" t="inlineStr">
        <is>
          <t>Created MTR-IOS-2477 and correlation note visible in Activity/Pulse</t>
        </is>
      </c>
      <c r="K2478" t="inlineStr">
        <is>
          <t>NOT_RUN</t>
        </is>
      </c>
      <c r="P2478" t="n">
        <v>0</v>
      </c>
      <c r="Q2478" t="n">
        <v>2477</v>
      </c>
    </row>
    <row r="2479">
      <c r="A2479" t="n">
        <v>2478</v>
      </c>
      <c r="B2479" t="inlineStr">
        <is>
          <t>MTR-IOS-2478</t>
        </is>
      </c>
      <c r="C2479" t="inlineStr">
        <is>
          <t>iPhone</t>
        </is>
      </c>
      <c r="D2479" t="inlineStr">
        <is>
          <t>Business</t>
        </is>
      </c>
      <c r="E2479" t="inlineStr">
        <is>
          <t>Business</t>
        </is>
      </c>
      <c r="F2479" t="inlineStr">
        <is>
          <t>Team Operations</t>
        </is>
      </c>
      <c r="G2479" t="inlineStr">
        <is>
          <t>Tools</t>
        </is>
      </c>
      <c r="H2479" t="inlineStr">
        <is>
          <t>Business &gt; Team Operations &gt; Quick Add &gt; Tools</t>
        </is>
      </c>
      <c r="I2479" s="18" t="n">
        <v>91407.25999999999</v>
      </c>
      <c r="J2479" t="inlineStr">
        <is>
          <t>Created MTR-IOS-2478 and correlation note visible in Activity/Pulse</t>
        </is>
      </c>
      <c r="K2479" t="inlineStr">
        <is>
          <t>NOT_RUN</t>
        </is>
      </c>
      <c r="P2479" t="n">
        <v>0</v>
      </c>
      <c r="Q2479" t="n">
        <v>2478</v>
      </c>
    </row>
    <row r="2480">
      <c r="A2480" t="n">
        <v>2479</v>
      </c>
      <c r="B2480" t="inlineStr">
        <is>
          <t>MTR-IOS-2479</t>
        </is>
      </c>
      <c r="C2480" t="inlineStr">
        <is>
          <t>iPhone</t>
        </is>
      </c>
      <c r="D2480" t="inlineStr">
        <is>
          <t>Personal</t>
        </is>
      </c>
      <c r="E2480" t="inlineStr">
        <is>
          <t>Personal</t>
        </is>
      </c>
      <c r="F2480" t="inlineStr">
        <is>
          <t>Relationships</t>
        </is>
      </c>
      <c r="G2480" t="inlineStr">
        <is>
          <t>Friends</t>
        </is>
      </c>
      <c r="H2480" t="inlineStr">
        <is>
          <t>Personal &gt; Relationships &gt; Quick Add &gt; Friends</t>
        </is>
      </c>
      <c r="I2480" s="18" t="n">
        <v>1</v>
      </c>
      <c r="J2480" t="inlineStr">
        <is>
          <t>Created MTR-IOS-2479 and correlation note visible in Activity/Pulse</t>
        </is>
      </c>
      <c r="K2480" t="inlineStr">
        <is>
          <t>NOT_RUN</t>
        </is>
      </c>
      <c r="P2480" t="n">
        <v>0</v>
      </c>
      <c r="Q2480" t="n">
        <v>2479</v>
      </c>
    </row>
    <row r="2481">
      <c r="A2481" t="n">
        <v>2480</v>
      </c>
      <c r="B2481" t="inlineStr">
        <is>
          <t>MTR-IOS-2480</t>
        </is>
      </c>
      <c r="C2481" t="inlineStr">
        <is>
          <t>iPhone</t>
        </is>
      </c>
      <c r="D2481" t="inlineStr">
        <is>
          <t>Group</t>
        </is>
      </c>
      <c r="E2481" t="inlineStr">
        <is>
          <t>Shared Experience</t>
        </is>
      </c>
      <c r="F2481" t="inlineStr">
        <is>
          <t>Office Outing</t>
        </is>
      </c>
      <c r="G2481" t="inlineStr">
        <is>
          <t>Food</t>
        </is>
      </c>
      <c r="H2481" t="inlineStr">
        <is>
          <t>Group &gt; Office Outing &gt; Quick Add &gt; Food</t>
        </is>
      </c>
      <c r="I2481" s="18" t="n">
        <v>20006.86</v>
      </c>
      <c r="J2481" t="inlineStr">
        <is>
          <t>Created MTR-IOS-2480 and correlation note visible in Activity/Pulse</t>
        </is>
      </c>
      <c r="K2481" t="inlineStr">
        <is>
          <t>NOT_RUN</t>
        </is>
      </c>
      <c r="P2481" t="n">
        <v>0</v>
      </c>
      <c r="Q2481" t="n">
        <v>2480</v>
      </c>
    </row>
    <row r="2482">
      <c r="A2482" t="n">
        <v>2481</v>
      </c>
      <c r="B2482" t="inlineStr">
        <is>
          <t>MTR-IOS-2481</t>
        </is>
      </c>
      <c r="C2482" t="inlineStr">
        <is>
          <t>iPhone</t>
        </is>
      </c>
      <c r="D2482" t="inlineStr">
        <is>
          <t>Business</t>
        </is>
      </c>
      <c r="E2482" t="inlineStr">
        <is>
          <t>Business</t>
        </is>
      </c>
      <c r="F2482" t="inlineStr">
        <is>
          <t>Business Runway</t>
        </is>
      </c>
      <c r="G2482" t="inlineStr">
        <is>
          <t>Funding</t>
        </is>
      </c>
      <c r="H2482" t="inlineStr">
        <is>
          <t>Business &gt; Business Runway &gt; Quick Add &gt; Funding</t>
        </is>
      </c>
      <c r="I2482" s="18" t="n">
        <v>33787.9</v>
      </c>
      <c r="J2482" t="inlineStr">
        <is>
          <t>Created MTR-IOS-2481 and correlation note visible in Activity/Pulse</t>
        </is>
      </c>
      <c r="K2482" t="inlineStr">
        <is>
          <t>NOT_RUN</t>
        </is>
      </c>
      <c r="P2482" t="n">
        <v>0</v>
      </c>
      <c r="Q2482" t="n">
        <v>2481</v>
      </c>
    </row>
    <row r="2483">
      <c r="A2483" t="n">
        <v>2482</v>
      </c>
      <c r="B2483" t="inlineStr">
        <is>
          <t>MTR-IOS-2482</t>
        </is>
      </c>
      <c r="C2483" t="inlineStr">
        <is>
          <t>iPhone</t>
        </is>
      </c>
      <c r="D2483" t="inlineStr">
        <is>
          <t>Personal</t>
        </is>
      </c>
      <c r="E2483" t="inlineStr">
        <is>
          <t>Personal</t>
        </is>
      </c>
      <c r="F2483" t="inlineStr">
        <is>
          <t>Relationships</t>
        </is>
      </c>
      <c r="G2483" t="inlineStr">
        <is>
          <t>Celebrations</t>
        </is>
      </c>
      <c r="H2483" t="inlineStr">
        <is>
          <t>Personal &gt; Relationships &gt; Quick Add &gt; Celebrations</t>
        </is>
      </c>
      <c r="I2483" s="18" t="n">
        <v>3413.39</v>
      </c>
      <c r="J2483" t="inlineStr">
        <is>
          <t>Created MTR-IOS-2482 and correlation note visible in Activity/Pulse</t>
        </is>
      </c>
      <c r="K2483" t="inlineStr">
        <is>
          <t>NOT_RUN</t>
        </is>
      </c>
      <c r="P2483" t="n">
        <v>0</v>
      </c>
      <c r="Q2483" t="n">
        <v>2482</v>
      </c>
    </row>
    <row r="2484">
      <c r="A2484" t="n">
        <v>2483</v>
      </c>
      <c r="B2484" t="inlineStr">
        <is>
          <t>MTR-IOS-2483</t>
        </is>
      </c>
      <c r="C2484" t="inlineStr">
        <is>
          <t>iPhone</t>
        </is>
      </c>
      <c r="D2484" t="inlineStr">
        <is>
          <t>Group</t>
        </is>
      </c>
      <c r="E2484" t="inlineStr">
        <is>
          <t>Shared Experience</t>
        </is>
      </c>
      <c r="F2484" t="inlineStr">
        <is>
          <t>Office Outing</t>
        </is>
      </c>
      <c r="G2484" t="inlineStr">
        <is>
          <t>Travel</t>
        </is>
      </c>
      <c r="H2484" t="inlineStr">
        <is>
          <t>Group &gt; Office Outing &gt; Quick Add &gt; Travel</t>
        </is>
      </c>
      <c r="I2484" s="18" t="n">
        <v>26648.08</v>
      </c>
      <c r="J2484" t="inlineStr">
        <is>
          <t>Created MTR-IOS-2483 and correlation note visible in Activity/Pulse</t>
        </is>
      </c>
      <c r="K2484" t="inlineStr">
        <is>
          <t>NOT_RUN</t>
        </is>
      </c>
      <c r="P2484" t="n">
        <v>0</v>
      </c>
      <c r="Q2484" t="n">
        <v>2483</v>
      </c>
    </row>
    <row r="2485">
      <c r="A2485" t="n">
        <v>2484</v>
      </c>
      <c r="B2485" t="inlineStr">
        <is>
          <t>MTR-IOS-2484</t>
        </is>
      </c>
      <c r="C2485" t="inlineStr">
        <is>
          <t>iPhone</t>
        </is>
      </c>
      <c r="D2485" t="inlineStr">
        <is>
          <t>Business</t>
        </is>
      </c>
      <c r="E2485" t="inlineStr">
        <is>
          <t>Business</t>
        </is>
      </c>
      <c r="F2485" t="inlineStr">
        <is>
          <t>Business Runway</t>
        </is>
      </c>
      <c r="G2485" t="inlineStr">
        <is>
          <t>Revenue</t>
        </is>
      </c>
      <c r="H2485" t="inlineStr">
        <is>
          <t>Business &gt; Business Runway &gt; Quick Add &gt; Revenue</t>
        </is>
      </c>
      <c r="I2485" s="18" t="n">
        <v>105984.88</v>
      </c>
      <c r="J2485" t="inlineStr">
        <is>
          <t>Created MTR-IOS-2484 and correlation note visible in Activity/Pulse</t>
        </is>
      </c>
      <c r="K2485" t="inlineStr">
        <is>
          <t>NOT_RUN</t>
        </is>
      </c>
      <c r="P2485" t="n">
        <v>0</v>
      </c>
      <c r="Q2485" t="n">
        <v>2484</v>
      </c>
    </row>
    <row r="2486">
      <c r="A2486" t="n">
        <v>2485</v>
      </c>
      <c r="B2486" t="inlineStr">
        <is>
          <t>MTR-IOS-2485</t>
        </is>
      </c>
      <c r="C2486" t="inlineStr">
        <is>
          <t>iPhone</t>
        </is>
      </c>
      <c r="D2486" t="inlineStr">
        <is>
          <t>Personal</t>
        </is>
      </c>
      <c r="E2486" t="inlineStr">
        <is>
          <t>Personal</t>
        </is>
      </c>
      <c r="F2486" t="inlineStr">
        <is>
          <t>Life Operations</t>
        </is>
      </c>
      <c r="G2486" t="inlineStr">
        <is>
          <t>Groceries</t>
        </is>
      </c>
      <c r="H2486" t="inlineStr">
        <is>
          <t>Personal &gt; Life Operations &gt; Quick Add &gt; Groceries</t>
        </is>
      </c>
      <c r="I2486" s="18" t="n">
        <v>6330.15</v>
      </c>
      <c r="J2486" t="inlineStr">
        <is>
          <t>Created MTR-IOS-2485 and correlation note visible in Activity/Pulse</t>
        </is>
      </c>
      <c r="K2486" t="inlineStr">
        <is>
          <t>NOT_RUN</t>
        </is>
      </c>
      <c r="P2486" t="n">
        <v>0</v>
      </c>
      <c r="Q2486" t="n">
        <v>2485</v>
      </c>
    </row>
    <row r="2487">
      <c r="A2487" t="n">
        <v>2486</v>
      </c>
      <c r="B2487" t="inlineStr">
        <is>
          <t>MTR-IOS-2486</t>
        </is>
      </c>
      <c r="C2487" t="inlineStr">
        <is>
          <t>iPhone</t>
        </is>
      </c>
      <c r="D2487" t="inlineStr">
        <is>
          <t>Group</t>
        </is>
      </c>
      <c r="E2487" t="inlineStr">
        <is>
          <t>Shared Experience</t>
        </is>
      </c>
      <c r="F2487" t="inlineStr">
        <is>
          <t>Office Outing</t>
        </is>
      </c>
      <c r="G2487" t="inlineStr">
        <is>
          <t>Activities</t>
        </is>
      </c>
      <c r="H2487" t="inlineStr">
        <is>
          <t>Group &gt; Office Outing &gt; Quick Add &gt; Activities</t>
        </is>
      </c>
      <c r="I2487" s="18" t="n">
        <v>362.11</v>
      </c>
      <c r="J2487" t="inlineStr">
        <is>
          <t>Created MTR-IOS-2486 and correlation note visible in Activity/Pulse</t>
        </is>
      </c>
      <c r="K2487" t="inlineStr">
        <is>
          <t>NOT_RUN</t>
        </is>
      </c>
      <c r="P2487" t="n">
        <v>0</v>
      </c>
      <c r="Q2487" t="n">
        <v>2486</v>
      </c>
    </row>
    <row r="2488">
      <c r="A2488" t="n">
        <v>2487</v>
      </c>
      <c r="B2488" t="inlineStr">
        <is>
          <t>MTR-IOS-2487</t>
        </is>
      </c>
      <c r="C2488" t="inlineStr">
        <is>
          <t>iPhone</t>
        </is>
      </c>
      <c r="D2488" t="inlineStr">
        <is>
          <t>Business</t>
        </is>
      </c>
      <c r="E2488" t="inlineStr">
        <is>
          <t>Business</t>
        </is>
      </c>
      <c r="F2488" t="inlineStr">
        <is>
          <t>Business Runway</t>
        </is>
      </c>
      <c r="G2488" t="inlineStr">
        <is>
          <t>Burn</t>
        </is>
      </c>
      <c r="H2488" t="inlineStr">
        <is>
          <t>Business &gt; Business Runway &gt; Quick Add &gt; Burn</t>
        </is>
      </c>
      <c r="I2488" s="18" t="n">
        <v>90636.59</v>
      </c>
      <c r="J2488" t="inlineStr">
        <is>
          <t>Created MTR-IOS-2487 and correlation note visible in Activity/Pulse</t>
        </is>
      </c>
      <c r="K2488" t="inlineStr">
        <is>
          <t>NOT_RUN</t>
        </is>
      </c>
      <c r="P2488" t="n">
        <v>0</v>
      </c>
      <c r="Q2488" t="n">
        <v>2487</v>
      </c>
    </row>
    <row r="2489">
      <c r="A2489" t="n">
        <v>2488</v>
      </c>
      <c r="B2489" t="inlineStr">
        <is>
          <t>MTR-IOS-2488</t>
        </is>
      </c>
      <c r="C2489" t="inlineStr">
        <is>
          <t>iPhone</t>
        </is>
      </c>
      <c r="D2489" t="inlineStr">
        <is>
          <t>Personal</t>
        </is>
      </c>
      <c r="E2489" t="inlineStr">
        <is>
          <t>Personal</t>
        </is>
      </c>
      <c r="F2489" t="inlineStr">
        <is>
          <t>Life Operations</t>
        </is>
      </c>
      <c r="G2489" t="inlineStr">
        <is>
          <t>Rent</t>
        </is>
      </c>
      <c r="H2489" t="inlineStr">
        <is>
          <t>Personal &gt; Life Operations &gt; Quick Add &gt; Rent</t>
        </is>
      </c>
      <c r="I2489" s="18" t="n">
        <v>16343.17</v>
      </c>
      <c r="J2489" t="inlineStr">
        <is>
          <t>Created MTR-IOS-2488 and correlation note visible in Activity/Pulse</t>
        </is>
      </c>
      <c r="K2489" t="inlineStr">
        <is>
          <t>NOT_RUN</t>
        </is>
      </c>
      <c r="P2489" t="n">
        <v>0</v>
      </c>
      <c r="Q2489" t="n">
        <v>2488</v>
      </c>
    </row>
    <row r="2490">
      <c r="A2490" t="n">
        <v>2489</v>
      </c>
      <c r="B2490" t="inlineStr">
        <is>
          <t>MTR-IOS-2489</t>
        </is>
      </c>
      <c r="C2490" t="inlineStr">
        <is>
          <t>iPhone</t>
        </is>
      </c>
      <c r="D2490" t="inlineStr">
        <is>
          <t>Group</t>
        </is>
      </c>
      <c r="E2490" t="inlineStr">
        <is>
          <t>Shared Experience</t>
        </is>
      </c>
      <c r="F2490" t="inlineStr">
        <is>
          <t>Office Outing</t>
        </is>
      </c>
      <c r="G2490" t="inlineStr">
        <is>
          <t>Venue</t>
        </is>
      </c>
      <c r="H2490" t="inlineStr">
        <is>
          <t>Group &gt; Office Outing &gt; Quick Add &gt; Venue</t>
        </is>
      </c>
      <c r="I2490" s="18" t="n">
        <v>13150.44</v>
      </c>
      <c r="J2490" t="inlineStr">
        <is>
          <t>Created MTR-IOS-2489 and correlation note visible in Activity/Pulse</t>
        </is>
      </c>
      <c r="K2490" t="inlineStr">
        <is>
          <t>NOT_RUN</t>
        </is>
      </c>
      <c r="P2490" t="n">
        <v>0</v>
      </c>
      <c r="Q2490" t="n">
        <v>2489</v>
      </c>
    </row>
    <row r="2491">
      <c r="A2491" t="n">
        <v>2490</v>
      </c>
      <c r="B2491" t="inlineStr">
        <is>
          <t>MTR-IOS-2490</t>
        </is>
      </c>
      <c r="C2491" t="inlineStr">
        <is>
          <t>iPhone</t>
        </is>
      </c>
      <c r="D2491" t="inlineStr">
        <is>
          <t>Business</t>
        </is>
      </c>
      <c r="E2491" t="inlineStr">
        <is>
          <t>Business</t>
        </is>
      </c>
      <c r="F2491" t="inlineStr">
        <is>
          <t>Business Runway</t>
        </is>
      </c>
      <c r="G2491" t="inlineStr">
        <is>
          <t>Reserve</t>
        </is>
      </c>
      <c r="H2491" t="inlineStr">
        <is>
          <t>Business &gt; Business Runway &gt; Quick Add &gt; Reserve</t>
        </is>
      </c>
      <c r="I2491" s="18" t="n">
        <v>70667.56</v>
      </c>
      <c r="J2491" t="inlineStr">
        <is>
          <t>Created MTR-IOS-2490 and correlation note visible in Activity/Pulse</t>
        </is>
      </c>
      <c r="K2491" t="inlineStr">
        <is>
          <t>NOT_RUN</t>
        </is>
      </c>
      <c r="P2491" t="n">
        <v>0</v>
      </c>
      <c r="Q2491" t="n">
        <v>2490</v>
      </c>
    </row>
    <row r="2492">
      <c r="A2492" t="n">
        <v>2491</v>
      </c>
      <c r="B2492" t="inlineStr">
        <is>
          <t>MTR-IOS-2491</t>
        </is>
      </c>
      <c r="C2492" t="inlineStr">
        <is>
          <t>iPhone</t>
        </is>
      </c>
      <c r="D2492" t="inlineStr">
        <is>
          <t>Personal</t>
        </is>
      </c>
      <c r="E2492" t="inlineStr">
        <is>
          <t>Personal</t>
        </is>
      </c>
      <c r="F2492" t="inlineStr">
        <is>
          <t>Life Operations</t>
        </is>
      </c>
      <c r="G2492" t="inlineStr">
        <is>
          <t>Bills</t>
        </is>
      </c>
      <c r="H2492" t="inlineStr">
        <is>
          <t>Personal &gt; Life Operations &gt; Quick Add &gt; Bills</t>
        </is>
      </c>
      <c r="I2492" s="18" t="n">
        <v>10734.18</v>
      </c>
      <c r="J2492" t="inlineStr">
        <is>
          <t>Created MTR-IOS-2491 and correlation note visible in Activity/Pulse</t>
        </is>
      </c>
      <c r="K2492" t="inlineStr">
        <is>
          <t>NOT_RUN</t>
        </is>
      </c>
      <c r="P2492" t="n">
        <v>0</v>
      </c>
      <c r="Q2492" t="n">
        <v>2491</v>
      </c>
    </row>
    <row r="2493">
      <c r="A2493" t="n">
        <v>2492</v>
      </c>
      <c r="B2493" t="inlineStr">
        <is>
          <t>MTR-IOS-2492</t>
        </is>
      </c>
      <c r="C2493" t="inlineStr">
        <is>
          <t>iPhone</t>
        </is>
      </c>
      <c r="D2493" t="inlineStr">
        <is>
          <t>Group</t>
        </is>
      </c>
      <c r="E2493" t="inlineStr">
        <is>
          <t>Shared Experience</t>
        </is>
      </c>
      <c r="F2493" t="inlineStr">
        <is>
          <t>Office Outing</t>
        </is>
      </c>
      <c r="G2493" t="inlineStr">
        <is>
          <t>Other</t>
        </is>
      </c>
      <c r="H2493" t="inlineStr">
        <is>
          <t>Group &gt; Office Outing &gt; Quick Add &gt; Other</t>
        </is>
      </c>
      <c r="I2493" s="18" t="n">
        <v>9648.879999999999</v>
      </c>
      <c r="J2493" t="inlineStr">
        <is>
          <t>Created MTR-IOS-2492 and correlation note visible in Activity/Pulse</t>
        </is>
      </c>
      <c r="K2493" t="inlineStr">
        <is>
          <t>NOT_RUN</t>
        </is>
      </c>
      <c r="P2493" t="n">
        <v>0</v>
      </c>
      <c r="Q2493" t="n">
        <v>2492</v>
      </c>
    </row>
    <row r="2494">
      <c r="A2494" t="n">
        <v>2493</v>
      </c>
      <c r="B2494" t="inlineStr">
        <is>
          <t>MTR-IOS-2493</t>
        </is>
      </c>
      <c r="C2494" t="inlineStr">
        <is>
          <t>iPhone</t>
        </is>
      </c>
      <c r="D2494" t="inlineStr">
        <is>
          <t>Business</t>
        </is>
      </c>
      <c r="E2494" t="inlineStr">
        <is>
          <t>Business</t>
        </is>
      </c>
      <c r="F2494" t="inlineStr">
        <is>
          <t>Business Runway</t>
        </is>
      </c>
      <c r="G2494" t="inlineStr">
        <is>
          <t>Loan</t>
        </is>
      </c>
      <c r="H2494" t="inlineStr">
        <is>
          <t>Business &gt; Business Runway &gt; Quick Add &gt; Loan</t>
        </is>
      </c>
      <c r="I2494" s="18" t="n">
        <v>124367.14</v>
      </c>
      <c r="J2494" t="inlineStr">
        <is>
          <t>Created MTR-IOS-2493 and correlation note visible in Activity/Pulse</t>
        </is>
      </c>
      <c r="K2494" t="inlineStr">
        <is>
          <t>NOT_RUN</t>
        </is>
      </c>
      <c r="P2494" t="n">
        <v>0</v>
      </c>
      <c r="Q2494" t="n">
        <v>2493</v>
      </c>
    </row>
    <row r="2495">
      <c r="A2495" t="n">
        <v>2494</v>
      </c>
      <c r="B2495" t="inlineStr">
        <is>
          <t>MTR-IOS-2494</t>
        </is>
      </c>
      <c r="C2495" t="inlineStr">
        <is>
          <t>iPhone</t>
        </is>
      </c>
      <c r="D2495" t="inlineStr">
        <is>
          <t>Personal</t>
        </is>
      </c>
      <c r="E2495" t="inlineStr">
        <is>
          <t>Personal</t>
        </is>
      </c>
      <c r="F2495" t="inlineStr">
        <is>
          <t>Life Operations</t>
        </is>
      </c>
      <c r="G2495" t="inlineStr">
        <is>
          <t>Transport</t>
        </is>
      </c>
      <c r="H2495" t="inlineStr">
        <is>
          <t>Personal &gt; Life Operations &gt; Quick Add &gt; Transport</t>
        </is>
      </c>
      <c r="I2495" s="18" t="n">
        <v>12073.94</v>
      </c>
      <c r="J2495" t="inlineStr">
        <is>
          <t>Created MTR-IOS-2494 and correlation note visible in Activity/Pulse</t>
        </is>
      </c>
      <c r="K2495" t="inlineStr">
        <is>
          <t>NOT_RUN</t>
        </is>
      </c>
      <c r="P2495" t="n">
        <v>0</v>
      </c>
      <c r="Q2495" t="n">
        <v>2494</v>
      </c>
    </row>
    <row r="2496">
      <c r="A2496" t="n">
        <v>2495</v>
      </c>
      <c r="B2496" t="inlineStr">
        <is>
          <t>MTR-IOS-2495</t>
        </is>
      </c>
      <c r="C2496" t="inlineStr">
        <is>
          <t>iPhone</t>
        </is>
      </c>
      <c r="D2496" t="inlineStr">
        <is>
          <t>Group</t>
        </is>
      </c>
      <c r="E2496" t="inlineStr">
        <is>
          <t>Shared Experience</t>
        </is>
      </c>
      <c r="F2496" t="inlineStr">
        <is>
          <t>House Party</t>
        </is>
      </c>
      <c r="G2496" t="inlineStr">
        <is>
          <t>Food</t>
        </is>
      </c>
      <c r="H2496" t="inlineStr">
        <is>
          <t>Group &gt; House Party &gt; Quick Add &gt; Food</t>
        </is>
      </c>
      <c r="I2496" s="18" t="n">
        <v>1090.82</v>
      </c>
      <c r="J2496" t="inlineStr">
        <is>
          <t>Created MTR-IOS-2495 and correlation note visible in Activity/Pulse</t>
        </is>
      </c>
      <c r="K2496" t="inlineStr">
        <is>
          <t>NOT_RUN</t>
        </is>
      </c>
      <c r="P2496" t="n">
        <v>0</v>
      </c>
      <c r="Q2496" t="n">
        <v>2495</v>
      </c>
    </row>
    <row r="2497">
      <c r="A2497" t="n">
        <v>2496</v>
      </c>
      <c r="B2497" t="inlineStr">
        <is>
          <t>MTR-IOS-2496</t>
        </is>
      </c>
      <c r="C2497" t="inlineStr">
        <is>
          <t>iPhone</t>
        </is>
      </c>
      <c r="D2497" t="inlineStr">
        <is>
          <t>Business</t>
        </is>
      </c>
      <c r="E2497" t="inlineStr">
        <is>
          <t>Business</t>
        </is>
      </c>
      <c r="F2497" t="inlineStr">
        <is>
          <t>Business Runway</t>
        </is>
      </c>
      <c r="G2497" t="inlineStr">
        <is>
          <t>Investment</t>
        </is>
      </c>
      <c r="H2497" t="inlineStr">
        <is>
          <t>Business &gt; Business Runway &gt; Quick Add &gt; Investment</t>
        </is>
      </c>
      <c r="I2497" s="18" t="n">
        <v>162873</v>
      </c>
      <c r="J2497" t="inlineStr">
        <is>
          <t>Created MTR-IOS-2496 and correlation note visible in Activity/Pulse</t>
        </is>
      </c>
      <c r="K2497" t="inlineStr">
        <is>
          <t>NOT_RUN</t>
        </is>
      </c>
      <c r="P2497" t="n">
        <v>0</v>
      </c>
      <c r="Q2497" t="n">
        <v>2496</v>
      </c>
    </row>
    <row r="2498">
      <c r="A2498" t="n">
        <v>2497</v>
      </c>
      <c r="B2498" t="inlineStr">
        <is>
          <t>MTR-IOS-2497</t>
        </is>
      </c>
      <c r="C2498" t="inlineStr">
        <is>
          <t>iPhone</t>
        </is>
      </c>
      <c r="D2498" t="inlineStr">
        <is>
          <t>Personal</t>
        </is>
      </c>
      <c r="E2498" t="inlineStr">
        <is>
          <t>Personal</t>
        </is>
      </c>
      <c r="F2498" t="inlineStr">
        <is>
          <t>Life Operations</t>
        </is>
      </c>
      <c r="G2498" t="inlineStr">
        <is>
          <t>Healthcare</t>
        </is>
      </c>
      <c r="H2498" t="inlineStr">
        <is>
          <t>Personal &gt; Life Operations &gt; Quick Add &gt; Healthcare</t>
        </is>
      </c>
      <c r="I2498" s="18" t="n">
        <v>11708.29</v>
      </c>
      <c r="J2498" t="inlineStr">
        <is>
          <t>Created MTR-IOS-2497 and correlation note visible in Activity/Pulse</t>
        </is>
      </c>
      <c r="K2498" t="inlineStr">
        <is>
          <t>NOT_RUN</t>
        </is>
      </c>
      <c r="P2498" t="n">
        <v>0</v>
      </c>
      <c r="Q2498" t="n">
        <v>2497</v>
      </c>
    </row>
    <row r="2499">
      <c r="A2499" t="n">
        <v>2498</v>
      </c>
      <c r="B2499" t="inlineStr">
        <is>
          <t>MTR-IOS-2498</t>
        </is>
      </c>
      <c r="C2499" t="inlineStr">
        <is>
          <t>iPhone</t>
        </is>
      </c>
      <c r="D2499" t="inlineStr">
        <is>
          <t>Group</t>
        </is>
      </c>
      <c r="E2499" t="inlineStr">
        <is>
          <t>Shared Experience</t>
        </is>
      </c>
      <c r="F2499" t="inlineStr">
        <is>
          <t>House Party</t>
        </is>
      </c>
      <c r="G2499" t="inlineStr">
        <is>
          <t>Drinks</t>
        </is>
      </c>
      <c r="H2499" t="inlineStr">
        <is>
          <t>Group &gt; House Party &gt; Quick Add &gt; Drinks</t>
        </is>
      </c>
      <c r="I2499" s="18" t="n">
        <v>7214.48</v>
      </c>
      <c r="J2499" t="inlineStr">
        <is>
          <t>Created MTR-IOS-2498 and correlation note visible in Activity/Pulse</t>
        </is>
      </c>
      <c r="K2499" t="inlineStr">
        <is>
          <t>NOT_RUN</t>
        </is>
      </c>
      <c r="P2499" t="n">
        <v>0</v>
      </c>
      <c r="Q2499" t="n">
        <v>2498</v>
      </c>
    </row>
    <row r="2500">
      <c r="A2500" t="n">
        <v>2499</v>
      </c>
      <c r="B2500" t="inlineStr">
        <is>
          <t>MTR-IOS-2499</t>
        </is>
      </c>
      <c r="C2500" t="inlineStr">
        <is>
          <t>iPhone</t>
        </is>
      </c>
      <c r="D2500" t="inlineStr">
        <is>
          <t>Business</t>
        </is>
      </c>
      <c r="E2500" t="inlineStr">
        <is>
          <t>Business</t>
        </is>
      </c>
      <c r="F2500" t="inlineStr">
        <is>
          <t>Business Operations</t>
        </is>
      </c>
      <c r="G2500" t="inlineStr">
        <is>
          <t>Software</t>
        </is>
      </c>
      <c r="H2500" t="inlineStr">
        <is>
          <t>Business &gt; Business Operations &gt; Quick Add &gt; Software</t>
        </is>
      </c>
      <c r="I2500" s="18" t="n">
        <v>16797.59</v>
      </c>
      <c r="J2500" t="inlineStr">
        <is>
          <t>Created MTR-IOS-2499 and correlation note visible in Activity/Pulse</t>
        </is>
      </c>
      <c r="K2500" t="inlineStr">
        <is>
          <t>NOT_RUN</t>
        </is>
      </c>
      <c r="P2500" t="n">
        <v>0</v>
      </c>
      <c r="Q2500" t="n">
        <v>2499</v>
      </c>
    </row>
    <row r="2501">
      <c r="A2501" t="n">
        <v>2500</v>
      </c>
      <c r="B2501" t="inlineStr">
        <is>
          <t>MTR-IOS-2500</t>
        </is>
      </c>
      <c r="C2501" t="inlineStr">
        <is>
          <t>iPhone</t>
        </is>
      </c>
      <c r="D2501" t="inlineStr">
        <is>
          <t>Personal</t>
        </is>
      </c>
      <c r="E2501" t="inlineStr">
        <is>
          <t>Personal</t>
        </is>
      </c>
      <c r="F2501" t="inlineStr">
        <is>
          <t>Life Operations</t>
        </is>
      </c>
      <c r="G2501" t="inlineStr">
        <is>
          <t>Subscriptions</t>
        </is>
      </c>
      <c r="H2501" t="inlineStr">
        <is>
          <t>Personal &gt; Life Operations &gt; Quick Add &gt; Subscriptions</t>
        </is>
      </c>
      <c r="I2501" s="18" t="n">
        <v>12009.56</v>
      </c>
      <c r="J2501" t="inlineStr">
        <is>
          <t>Created MTR-IOS-2500 and correlation note visible in Activity/Pulse</t>
        </is>
      </c>
      <c r="K2501" t="inlineStr">
        <is>
          <t>NOT_RUN</t>
        </is>
      </c>
      <c r="P2501" t="n">
        <v>0</v>
      </c>
      <c r="Q2501" t="n">
        <v>2500</v>
      </c>
    </row>
    <row r="2502">
      <c r="A2502" t="n">
        <v>2501</v>
      </c>
      <c r="B2502" t="inlineStr">
        <is>
          <t>MTR-IOS-2501</t>
        </is>
      </c>
      <c r="C2502" t="inlineStr">
        <is>
          <t>iPhone</t>
        </is>
      </c>
      <c r="D2502" t="inlineStr">
        <is>
          <t>Group</t>
        </is>
      </c>
      <c r="E2502" t="inlineStr">
        <is>
          <t>Shared Experience</t>
        </is>
      </c>
      <c r="F2502" t="inlineStr">
        <is>
          <t>House Party</t>
        </is>
      </c>
      <c r="G2502" t="inlineStr">
        <is>
          <t>Decor</t>
        </is>
      </c>
      <c r="H2502" t="inlineStr">
        <is>
          <t>Group &gt; House Party &gt; Quick Add &gt; Decor</t>
        </is>
      </c>
      <c r="I2502" s="18" t="n">
        <v>807.61</v>
      </c>
      <c r="J2502" t="inlineStr">
        <is>
          <t>Created MTR-IOS-2501 and correlation note visible in Activity/Pulse</t>
        </is>
      </c>
      <c r="K2502" t="inlineStr">
        <is>
          <t>NOT_RUN</t>
        </is>
      </c>
      <c r="P2502" t="n">
        <v>0</v>
      </c>
      <c r="Q2502" t="n">
        <v>2501</v>
      </c>
    </row>
    <row r="2503">
      <c r="A2503" t="n">
        <v>2502</v>
      </c>
      <c r="B2503" t="inlineStr">
        <is>
          <t>MTR-IOS-2502</t>
        </is>
      </c>
      <c r="C2503" t="inlineStr">
        <is>
          <t>iPhone</t>
        </is>
      </c>
      <c r="D2503" t="inlineStr">
        <is>
          <t>Business</t>
        </is>
      </c>
      <c r="E2503" t="inlineStr">
        <is>
          <t>Business</t>
        </is>
      </c>
      <c r="F2503" t="inlineStr">
        <is>
          <t>Business Operations</t>
        </is>
      </c>
      <c r="G2503" t="inlineStr">
        <is>
          <t>Rent</t>
        </is>
      </c>
      <c r="H2503" t="inlineStr">
        <is>
          <t>Business &gt; Business Operations &gt; Quick Add &gt; Rent</t>
        </is>
      </c>
      <c r="I2503" s="18" t="n">
        <v>96426.98</v>
      </c>
      <c r="J2503" t="inlineStr">
        <is>
          <t>Created MTR-IOS-2502 and correlation note visible in Activity/Pulse</t>
        </is>
      </c>
      <c r="K2503" t="inlineStr">
        <is>
          <t>NOT_RUN</t>
        </is>
      </c>
      <c r="P2503" t="n">
        <v>0</v>
      </c>
      <c r="Q2503" t="n">
        <v>2502</v>
      </c>
    </row>
    <row r="2504">
      <c r="A2504" t="n">
        <v>2503</v>
      </c>
      <c r="B2504" t="inlineStr">
        <is>
          <t>MTR-IOS-2503</t>
        </is>
      </c>
      <c r="C2504" t="inlineStr">
        <is>
          <t>iPhone</t>
        </is>
      </c>
      <c r="D2504" t="inlineStr">
        <is>
          <t>Personal</t>
        </is>
      </c>
      <c r="E2504" t="inlineStr">
        <is>
          <t>Personal</t>
        </is>
      </c>
      <c r="F2504" t="inlineStr">
        <is>
          <t>Life Operations</t>
        </is>
      </c>
      <c r="G2504" t="inlineStr">
        <is>
          <t>Repairs</t>
        </is>
      </c>
      <c r="H2504" t="inlineStr">
        <is>
          <t>Personal &gt; Life Operations &gt; Quick Add &gt; Repairs</t>
        </is>
      </c>
      <c r="I2504" s="18" t="n">
        <v>12454.82</v>
      </c>
      <c r="J2504" t="inlineStr">
        <is>
          <t>Created MTR-IOS-2503 and correlation note visible in Activity/Pulse</t>
        </is>
      </c>
      <c r="K2504" t="inlineStr">
        <is>
          <t>NOT_RUN</t>
        </is>
      </c>
      <c r="P2504" t="n">
        <v>0</v>
      </c>
      <c r="Q2504" t="n">
        <v>2503</v>
      </c>
    </row>
    <row r="2505">
      <c r="A2505" t="n">
        <v>2504</v>
      </c>
      <c r="B2505" t="inlineStr">
        <is>
          <t>MTR-IOS-2504</t>
        </is>
      </c>
      <c r="C2505" t="inlineStr">
        <is>
          <t>iPhone</t>
        </is>
      </c>
      <c r="D2505" t="inlineStr">
        <is>
          <t>Group</t>
        </is>
      </c>
      <c r="E2505" t="inlineStr">
        <is>
          <t>Shared Experience</t>
        </is>
      </c>
      <c r="F2505" t="inlineStr">
        <is>
          <t>House Party</t>
        </is>
      </c>
      <c r="G2505" t="inlineStr">
        <is>
          <t>Supplies</t>
        </is>
      </c>
      <c r="H2505" t="inlineStr">
        <is>
          <t>Group &gt; House Party &gt; Quick Add &gt; Supplies</t>
        </is>
      </c>
      <c r="I2505" s="18" t="n">
        <v>22687.27</v>
      </c>
      <c r="J2505" t="inlineStr">
        <is>
          <t>Created MTR-IOS-2504 and correlation note visible in Activity/Pulse</t>
        </is>
      </c>
      <c r="K2505" t="inlineStr">
        <is>
          <t>NOT_RUN</t>
        </is>
      </c>
      <c r="P2505" t="n">
        <v>0</v>
      </c>
      <c r="Q2505" t="n">
        <v>2504</v>
      </c>
    </row>
    <row r="2506">
      <c r="A2506" t="n">
        <v>2505</v>
      </c>
      <c r="B2506" t="inlineStr">
        <is>
          <t>MTR-IOS-2505</t>
        </is>
      </c>
      <c r="C2506" t="inlineStr">
        <is>
          <t>iPhone</t>
        </is>
      </c>
      <c r="D2506" t="inlineStr">
        <is>
          <t>Business</t>
        </is>
      </c>
      <c r="E2506" t="inlineStr">
        <is>
          <t>Business</t>
        </is>
      </c>
      <c r="F2506" t="inlineStr">
        <is>
          <t>Business Operations</t>
        </is>
      </c>
      <c r="G2506" t="inlineStr">
        <is>
          <t>Marketing</t>
        </is>
      </c>
      <c r="H2506" t="inlineStr">
        <is>
          <t>Business &gt; Business Operations &gt; Quick Add &gt; Marketing</t>
        </is>
      </c>
      <c r="I2506" s="18" t="n">
        <v>136057.63</v>
      </c>
      <c r="J2506" t="inlineStr">
        <is>
          <t>Created MTR-IOS-2505 and correlation note visible in Activity/Pulse</t>
        </is>
      </c>
      <c r="K2506" t="inlineStr">
        <is>
          <t>NOT_RUN</t>
        </is>
      </c>
      <c r="P2506" t="n">
        <v>0</v>
      </c>
      <c r="Q2506" t="n">
        <v>2505</v>
      </c>
    </row>
    <row r="2507">
      <c r="A2507" t="n">
        <v>2506</v>
      </c>
      <c r="B2507" t="inlineStr">
        <is>
          <t>MTR-IOS-2506</t>
        </is>
      </c>
      <c r="C2507" t="inlineStr">
        <is>
          <t>iPhone</t>
        </is>
      </c>
      <c r="D2507" t="inlineStr">
        <is>
          <t>Personal</t>
        </is>
      </c>
      <c r="E2507" t="inlineStr">
        <is>
          <t>Personal</t>
        </is>
      </c>
      <c r="F2507" t="inlineStr">
        <is>
          <t>Future Building</t>
        </is>
      </c>
      <c r="G2507" t="inlineStr">
        <is>
          <t>Savings</t>
        </is>
      </c>
      <c r="H2507" t="inlineStr">
        <is>
          <t>Personal &gt; Future Building &gt; Quick Add &gt; Savings</t>
        </is>
      </c>
      <c r="I2507" s="18" t="n">
        <v>9019.610000000001</v>
      </c>
      <c r="J2507" t="inlineStr">
        <is>
          <t>Created MTR-IOS-2506 and correlation note visible in Activity/Pulse</t>
        </is>
      </c>
      <c r="K2507" t="inlineStr">
        <is>
          <t>NOT_RUN</t>
        </is>
      </c>
      <c r="P2507" t="n">
        <v>0</v>
      </c>
      <c r="Q2507" t="n">
        <v>2506</v>
      </c>
    </row>
    <row r="2508">
      <c r="A2508" t="n">
        <v>2507</v>
      </c>
      <c r="B2508" t="inlineStr">
        <is>
          <t>MTR-IOS-2507</t>
        </is>
      </c>
      <c r="C2508" t="inlineStr">
        <is>
          <t>iPhone</t>
        </is>
      </c>
      <c r="D2508" t="inlineStr">
        <is>
          <t>Group</t>
        </is>
      </c>
      <c r="E2508" t="inlineStr">
        <is>
          <t>Shared Experience</t>
        </is>
      </c>
      <c r="F2508" t="inlineStr">
        <is>
          <t>House Party</t>
        </is>
      </c>
      <c r="G2508" t="inlineStr">
        <is>
          <t>Other</t>
        </is>
      </c>
      <c r="H2508" t="inlineStr">
        <is>
          <t>Group &gt; House Party &gt; Quick Add &gt; Other</t>
        </is>
      </c>
      <c r="I2508" s="18" t="n">
        <v>26250.48</v>
      </c>
      <c r="J2508" t="inlineStr">
        <is>
          <t>Created MTR-IOS-2507 and correlation note visible in Activity/Pulse</t>
        </is>
      </c>
      <c r="K2508" t="inlineStr">
        <is>
          <t>NOT_RUN</t>
        </is>
      </c>
      <c r="P2508" t="n">
        <v>0</v>
      </c>
      <c r="Q2508" t="n">
        <v>2507</v>
      </c>
    </row>
    <row r="2509">
      <c r="A2509" t="n">
        <v>2508</v>
      </c>
      <c r="B2509" t="inlineStr">
        <is>
          <t>MTR-IOS-2508</t>
        </is>
      </c>
      <c r="C2509" t="inlineStr">
        <is>
          <t>iPhone</t>
        </is>
      </c>
      <c r="D2509" t="inlineStr">
        <is>
          <t>Business</t>
        </is>
      </c>
      <c r="E2509" t="inlineStr">
        <is>
          <t>Business</t>
        </is>
      </c>
      <c r="F2509" t="inlineStr">
        <is>
          <t>Business Operations</t>
        </is>
      </c>
      <c r="G2509" t="inlineStr">
        <is>
          <t>Legal</t>
        </is>
      </c>
      <c r="H2509" t="inlineStr">
        <is>
          <t>Business &gt; Business Operations &gt; Quick Add &gt; Legal</t>
        </is>
      </c>
      <c r="I2509" s="18" t="n">
        <v>91362.97</v>
      </c>
      <c r="J2509" t="inlineStr">
        <is>
          <t>Created MTR-IOS-2508 and correlation note visible in Activity/Pulse</t>
        </is>
      </c>
      <c r="K2509" t="inlineStr">
        <is>
          <t>NOT_RUN</t>
        </is>
      </c>
      <c r="P2509" t="n">
        <v>0</v>
      </c>
      <c r="Q2509" t="n">
        <v>2508</v>
      </c>
    </row>
    <row r="2510">
      <c r="A2510" t="n">
        <v>2509</v>
      </c>
      <c r="B2510" t="inlineStr">
        <is>
          <t>MTR-IOS-2509</t>
        </is>
      </c>
      <c r="C2510" t="inlineStr">
        <is>
          <t>iPhone</t>
        </is>
      </c>
      <c r="D2510" t="inlineStr">
        <is>
          <t>Personal</t>
        </is>
      </c>
      <c r="E2510" t="inlineStr">
        <is>
          <t>Personal</t>
        </is>
      </c>
      <c r="F2510" t="inlineStr">
        <is>
          <t>Future Building</t>
        </is>
      </c>
      <c r="G2510" t="inlineStr">
        <is>
          <t>Emergency Fund</t>
        </is>
      </c>
      <c r="H2510" t="inlineStr">
        <is>
          <t>Personal &gt; Future Building &gt; Quick Add &gt; Emergency Fund</t>
        </is>
      </c>
      <c r="I2510" s="18" t="n">
        <v>1325.92</v>
      </c>
      <c r="J2510" t="inlineStr">
        <is>
          <t>Created MTR-IOS-2509 and correlation note visible in Activity/Pulse</t>
        </is>
      </c>
      <c r="K2510" t="inlineStr">
        <is>
          <t>NOT_RUN</t>
        </is>
      </c>
      <c r="P2510" t="n">
        <v>0</v>
      </c>
      <c r="Q2510" t="n">
        <v>2509</v>
      </c>
    </row>
    <row r="2511">
      <c r="A2511" t="n">
        <v>2510</v>
      </c>
      <c r="B2511" t="inlineStr">
        <is>
          <t>MTR-IOS-2510</t>
        </is>
      </c>
      <c r="C2511" t="inlineStr">
        <is>
          <t>iPhone</t>
        </is>
      </c>
      <c r="D2511" t="inlineStr">
        <is>
          <t>Group</t>
        </is>
      </c>
      <c r="E2511" t="inlineStr">
        <is>
          <t>Shared Purchase</t>
        </is>
      </c>
      <c r="F2511" t="inlineStr">
        <is>
          <t>Gift Pool</t>
        </is>
      </c>
      <c r="G2511" t="inlineStr">
        <is>
          <t>Contribution</t>
        </is>
      </c>
      <c r="H2511" t="inlineStr">
        <is>
          <t>Group &gt; Gift Pool &gt; Quick Add &gt; Contribution</t>
        </is>
      </c>
      <c r="I2511" s="18" t="n">
        <v>25977.37</v>
      </c>
      <c r="J2511" t="inlineStr">
        <is>
          <t>Created MTR-IOS-2510 and correlation note visible in Activity/Pulse</t>
        </is>
      </c>
      <c r="K2511" t="inlineStr">
        <is>
          <t>NOT_RUN</t>
        </is>
      </c>
      <c r="P2511" t="n">
        <v>0</v>
      </c>
      <c r="Q2511" t="n">
        <v>2510</v>
      </c>
    </row>
    <row r="2512">
      <c r="A2512" t="n">
        <v>2511</v>
      </c>
      <c r="B2512" t="inlineStr">
        <is>
          <t>MTR-IOS-2511</t>
        </is>
      </c>
      <c r="C2512" t="inlineStr">
        <is>
          <t>iPhone</t>
        </is>
      </c>
      <c r="D2512" t="inlineStr">
        <is>
          <t>Business</t>
        </is>
      </c>
      <c r="E2512" t="inlineStr">
        <is>
          <t>Business</t>
        </is>
      </c>
      <c r="F2512" t="inlineStr">
        <is>
          <t>Business Operations</t>
        </is>
      </c>
      <c r="G2512" t="inlineStr">
        <is>
          <t>Accounting</t>
        </is>
      </c>
      <c r="H2512" t="inlineStr">
        <is>
          <t>Business &gt; Business Operations &gt; Quick Add &gt; Accounting</t>
        </is>
      </c>
      <c r="I2512" s="18" t="n">
        <v>46902.77</v>
      </c>
      <c r="J2512" t="inlineStr">
        <is>
          <t>Created MTR-IOS-2511 and correlation note visible in Activity/Pulse</t>
        </is>
      </c>
      <c r="K2512" t="inlineStr">
        <is>
          <t>NOT_RUN</t>
        </is>
      </c>
      <c r="P2512" t="n">
        <v>0</v>
      </c>
      <c r="Q2512" t="n">
        <v>2511</v>
      </c>
    </row>
    <row r="2513">
      <c r="A2513" t="n">
        <v>2512</v>
      </c>
      <c r="B2513" t="inlineStr">
        <is>
          <t>MTR-IOS-2512</t>
        </is>
      </c>
      <c r="C2513" t="inlineStr">
        <is>
          <t>iPhone</t>
        </is>
      </c>
      <c r="D2513" t="inlineStr">
        <is>
          <t>Personal</t>
        </is>
      </c>
      <c r="E2513" t="inlineStr">
        <is>
          <t>Personal</t>
        </is>
      </c>
      <c r="F2513" t="inlineStr">
        <is>
          <t>Future Building</t>
        </is>
      </c>
      <c r="G2513" t="inlineStr">
        <is>
          <t>Investments</t>
        </is>
      </c>
      <c r="H2513" t="inlineStr">
        <is>
          <t>Personal &gt; Future Building &gt; Quick Add &gt; Investments</t>
        </is>
      </c>
      <c r="I2513" s="18" t="n">
        <v>1748.92</v>
      </c>
      <c r="J2513" t="inlineStr">
        <is>
          <t>Created MTR-IOS-2512 and correlation note visible in Activity/Pulse</t>
        </is>
      </c>
      <c r="K2513" t="inlineStr">
        <is>
          <t>NOT_RUN</t>
        </is>
      </c>
      <c r="P2513" t="n">
        <v>0</v>
      </c>
      <c r="Q2513" t="n">
        <v>2512</v>
      </c>
    </row>
    <row r="2514">
      <c r="A2514" t="n">
        <v>2513</v>
      </c>
      <c r="B2514" t="inlineStr">
        <is>
          <t>MTR-IOS-2513</t>
        </is>
      </c>
      <c r="C2514" t="inlineStr">
        <is>
          <t>iPhone</t>
        </is>
      </c>
      <c r="D2514" t="inlineStr">
        <is>
          <t>Group</t>
        </is>
      </c>
      <c r="E2514" t="inlineStr">
        <is>
          <t>Shared Purchase</t>
        </is>
      </c>
      <c r="F2514" t="inlineStr">
        <is>
          <t>Gift Pool</t>
        </is>
      </c>
      <c r="G2514" t="inlineStr">
        <is>
          <t>Gift Purchase</t>
        </is>
      </c>
      <c r="H2514" t="inlineStr">
        <is>
          <t>Group &gt; Gift Pool &gt; Quick Add &gt; Gift Purchase</t>
        </is>
      </c>
      <c r="I2514" s="18" t="n">
        <v>13659.13</v>
      </c>
      <c r="J2514" t="inlineStr">
        <is>
          <t>Created MTR-IOS-2513 and correlation note visible in Activity/Pulse</t>
        </is>
      </c>
      <c r="K2514" t="inlineStr">
        <is>
          <t>NOT_RUN</t>
        </is>
      </c>
      <c r="P2514" t="n">
        <v>0</v>
      </c>
      <c r="Q2514" t="n">
        <v>2513</v>
      </c>
    </row>
    <row r="2515">
      <c r="A2515" t="n">
        <v>2514</v>
      </c>
      <c r="B2515" t="inlineStr">
        <is>
          <t>MTR-IOS-2514</t>
        </is>
      </c>
      <c r="C2515" t="inlineStr">
        <is>
          <t>iPhone</t>
        </is>
      </c>
      <c r="D2515" t="inlineStr">
        <is>
          <t>Business</t>
        </is>
      </c>
      <c r="E2515" t="inlineStr">
        <is>
          <t>Business</t>
        </is>
      </c>
      <c r="F2515" t="inlineStr">
        <is>
          <t>Business Operations</t>
        </is>
      </c>
      <c r="G2515" t="inlineStr">
        <is>
          <t>Equipment</t>
        </is>
      </c>
      <c r="H2515" t="inlineStr">
        <is>
          <t>Business &gt; Business Operations &gt; Quick Add &gt; Equipment</t>
        </is>
      </c>
      <c r="I2515" s="18" t="n">
        <v>36866.44</v>
      </c>
      <c r="J2515" t="inlineStr">
        <is>
          <t>Created MTR-IOS-2514 and correlation note visible in Activity/Pulse</t>
        </is>
      </c>
      <c r="K2515" t="inlineStr">
        <is>
          <t>NOT_RUN</t>
        </is>
      </c>
      <c r="P2515" t="n">
        <v>0</v>
      </c>
      <c r="Q2515" t="n">
        <v>2514</v>
      </c>
    </row>
    <row r="2516">
      <c r="A2516" t="n">
        <v>2515</v>
      </c>
      <c r="B2516" t="inlineStr">
        <is>
          <t>MTR-IOS-2515</t>
        </is>
      </c>
      <c r="C2516" t="inlineStr">
        <is>
          <t>iPhone</t>
        </is>
      </c>
      <c r="D2516" t="inlineStr">
        <is>
          <t>Personal</t>
        </is>
      </c>
      <c r="E2516" t="inlineStr">
        <is>
          <t>Personal</t>
        </is>
      </c>
      <c r="F2516" t="inlineStr">
        <is>
          <t>Future Building</t>
        </is>
      </c>
      <c r="G2516" t="inlineStr">
        <is>
          <t>Education</t>
        </is>
      </c>
      <c r="H2516" t="inlineStr">
        <is>
          <t>Personal &gt; Future Building &gt; Quick Add &gt; Education</t>
        </is>
      </c>
      <c r="I2516" s="18" t="n">
        <v>4849.46</v>
      </c>
      <c r="J2516" t="inlineStr">
        <is>
          <t>Created MTR-IOS-2515 and correlation note visible in Activity/Pulse</t>
        </is>
      </c>
      <c r="K2516" t="inlineStr">
        <is>
          <t>NOT_RUN</t>
        </is>
      </c>
      <c r="P2516" t="n">
        <v>0</v>
      </c>
      <c r="Q2516" t="n">
        <v>2515</v>
      </c>
    </row>
    <row r="2517">
      <c r="A2517" t="n">
        <v>2516</v>
      </c>
      <c r="B2517" t="inlineStr">
        <is>
          <t>MTR-IOS-2516</t>
        </is>
      </c>
      <c r="C2517" t="inlineStr">
        <is>
          <t>iPhone</t>
        </is>
      </c>
      <c r="D2517" t="inlineStr">
        <is>
          <t>Group</t>
        </is>
      </c>
      <c r="E2517" t="inlineStr">
        <is>
          <t>Shared Purchase</t>
        </is>
      </c>
      <c r="F2517" t="inlineStr">
        <is>
          <t>Gift Pool</t>
        </is>
      </c>
      <c r="G2517" t="inlineStr">
        <is>
          <t>Delivery</t>
        </is>
      </c>
      <c r="H2517" t="inlineStr">
        <is>
          <t>Group &gt; Gift Pool &gt; Quick Add &gt; Delivery</t>
        </is>
      </c>
      <c r="I2517" s="18" t="n">
        <v>99.98999999999999</v>
      </c>
      <c r="J2517" t="inlineStr">
        <is>
          <t>Created MTR-IOS-2516 and correlation note visible in Activity/Pulse</t>
        </is>
      </c>
      <c r="K2517" t="inlineStr">
        <is>
          <t>NOT_RUN</t>
        </is>
      </c>
      <c r="P2517" t="n">
        <v>0</v>
      </c>
      <c r="Q2517" t="n">
        <v>2516</v>
      </c>
    </row>
    <row r="2518">
      <c r="A2518" t="n">
        <v>2517</v>
      </c>
      <c r="B2518" t="inlineStr">
        <is>
          <t>MTR-IOS-2517</t>
        </is>
      </c>
      <c r="C2518" t="inlineStr">
        <is>
          <t>iPhone</t>
        </is>
      </c>
      <c r="D2518" t="inlineStr">
        <is>
          <t>Business</t>
        </is>
      </c>
      <c r="E2518" t="inlineStr">
        <is>
          <t>Business</t>
        </is>
      </c>
      <c r="F2518" t="inlineStr">
        <is>
          <t>Business Operations</t>
        </is>
      </c>
      <c r="G2518" t="inlineStr">
        <is>
          <t>Vendor</t>
        </is>
      </c>
      <c r="H2518" t="inlineStr">
        <is>
          <t>Business &gt; Business Operations &gt; Quick Add &gt; Vendor</t>
        </is>
      </c>
      <c r="I2518" s="18" t="n">
        <v>43121.78</v>
      </c>
      <c r="J2518" t="inlineStr">
        <is>
          <t>Created MTR-IOS-2517 and correlation note visible in Activity/Pulse</t>
        </is>
      </c>
      <c r="K2518" t="inlineStr">
        <is>
          <t>NOT_RUN</t>
        </is>
      </c>
      <c r="P2518" t="n">
        <v>0</v>
      </c>
      <c r="Q2518" t="n">
        <v>2517</v>
      </c>
    </row>
    <row r="2519">
      <c r="A2519" t="n">
        <v>2518</v>
      </c>
      <c r="B2519" t="inlineStr">
        <is>
          <t>MTR-IOS-2518</t>
        </is>
      </c>
      <c r="C2519" t="inlineStr">
        <is>
          <t>iPhone</t>
        </is>
      </c>
      <c r="D2519" t="inlineStr">
        <is>
          <t>Personal</t>
        </is>
      </c>
      <c r="E2519" t="inlineStr">
        <is>
          <t>Personal</t>
        </is>
      </c>
      <c r="F2519" t="inlineStr">
        <is>
          <t>Future Building</t>
        </is>
      </c>
      <c r="G2519" t="inlineStr">
        <is>
          <t>Goal Contribution</t>
        </is>
      </c>
      <c r="H2519" t="inlineStr">
        <is>
          <t>Personal &gt; Future Building &gt; Quick Add &gt; Goal Contribution</t>
        </is>
      </c>
      <c r="I2519" s="18" t="n">
        <v>13505.4</v>
      </c>
      <c r="J2519" t="inlineStr">
        <is>
          <t>Created MTR-IOS-2518 and correlation note visible in Activity/Pulse</t>
        </is>
      </c>
      <c r="K2519" t="inlineStr">
        <is>
          <t>NOT_RUN</t>
        </is>
      </c>
      <c r="P2519" t="n">
        <v>0</v>
      </c>
      <c r="Q2519" t="n">
        <v>2518</v>
      </c>
    </row>
    <row r="2520">
      <c r="A2520" t="n">
        <v>2519</v>
      </c>
      <c r="B2520" t="inlineStr">
        <is>
          <t>MTR-IOS-2519</t>
        </is>
      </c>
      <c r="C2520" t="inlineStr">
        <is>
          <t>iPhone</t>
        </is>
      </c>
      <c r="D2520" t="inlineStr">
        <is>
          <t>Group</t>
        </is>
      </c>
      <c r="E2520" t="inlineStr">
        <is>
          <t>Shared Purchase</t>
        </is>
      </c>
      <c r="F2520" t="inlineStr">
        <is>
          <t>Gift Pool</t>
        </is>
      </c>
      <c r="G2520" t="inlineStr">
        <is>
          <t>Other</t>
        </is>
      </c>
      <c r="H2520" t="inlineStr">
        <is>
          <t>Group &gt; Gift Pool &gt; Quick Add &gt; Other</t>
        </is>
      </c>
      <c r="I2520" s="18" t="n">
        <v>24074.48</v>
      </c>
      <c r="J2520" t="inlineStr">
        <is>
          <t>Created MTR-IOS-2519 and correlation note visible in Activity/Pulse</t>
        </is>
      </c>
      <c r="K2520" t="inlineStr">
        <is>
          <t>NOT_RUN</t>
        </is>
      </c>
      <c r="P2520" t="n">
        <v>0</v>
      </c>
      <c r="Q2520" t="n">
        <v>2519</v>
      </c>
    </row>
    <row r="2521">
      <c r="A2521" t="n">
        <v>2520</v>
      </c>
      <c r="B2521" t="inlineStr">
        <is>
          <t>MTR-IOS-2520</t>
        </is>
      </c>
      <c r="C2521" t="inlineStr">
        <is>
          <t>iPhone</t>
        </is>
      </c>
      <c r="D2521" t="inlineStr">
        <is>
          <t>Business</t>
        </is>
      </c>
      <c r="E2521" t="inlineStr">
        <is>
          <t>Business</t>
        </is>
      </c>
      <c r="F2521" t="inlineStr">
        <is>
          <t>Business Operations</t>
        </is>
      </c>
      <c r="G2521" t="inlineStr">
        <is>
          <t>Tax</t>
        </is>
      </c>
      <c r="H2521" t="inlineStr">
        <is>
          <t>Business &gt; Business Operations &gt; Quick Add &gt; Tax</t>
        </is>
      </c>
      <c r="I2521" s="18" t="n">
        <v>88252.07000000001</v>
      </c>
      <c r="J2521" t="inlineStr">
        <is>
          <t>Created MTR-IOS-2520 and correlation note visible in Activity/Pulse</t>
        </is>
      </c>
      <c r="K2521" t="inlineStr">
        <is>
          <t>NOT_RUN</t>
        </is>
      </c>
      <c r="P2521" t="n">
        <v>0</v>
      </c>
      <c r="Q2521" t="n">
        <v>2520</v>
      </c>
    </row>
    <row r="2522">
      <c r="A2522" t="n">
        <v>2521</v>
      </c>
      <c r="B2522" t="inlineStr">
        <is>
          <t>MTR-IOS-2521</t>
        </is>
      </c>
      <c r="C2522" t="inlineStr">
        <is>
          <t>iPhone</t>
        </is>
      </c>
      <c r="D2522" t="inlineStr">
        <is>
          <t>Personal</t>
        </is>
      </c>
      <c r="E2522" t="inlineStr">
        <is>
          <t>Personal</t>
        </is>
      </c>
      <c r="F2522" t="inlineStr">
        <is>
          <t>Lifestyle</t>
        </is>
      </c>
      <c r="G2522" t="inlineStr">
        <is>
          <t>Dining</t>
        </is>
      </c>
      <c r="H2522" t="inlineStr">
        <is>
          <t>Personal &gt; Lifestyle &gt; Quick Add &gt; Dining</t>
        </is>
      </c>
      <c r="I2522" s="18" t="n">
        <v>4076.7</v>
      </c>
      <c r="J2522" t="inlineStr">
        <is>
          <t>Created MTR-IOS-2521 and correlation note visible in Activity/Pulse</t>
        </is>
      </c>
      <c r="K2522" t="inlineStr">
        <is>
          <t>NOT_RUN</t>
        </is>
      </c>
      <c r="P2522" t="n">
        <v>0</v>
      </c>
      <c r="Q2522" t="n">
        <v>2521</v>
      </c>
    </row>
    <row r="2523">
      <c r="A2523" t="n">
        <v>2522</v>
      </c>
      <c r="B2523" t="inlineStr">
        <is>
          <t>MTR-IOS-2522</t>
        </is>
      </c>
      <c r="C2523" t="inlineStr">
        <is>
          <t>iPhone</t>
        </is>
      </c>
      <c r="D2523" t="inlineStr">
        <is>
          <t>Group</t>
        </is>
      </c>
      <c r="E2523" t="inlineStr">
        <is>
          <t>Shared Purchase</t>
        </is>
      </c>
      <c r="F2523" t="inlineStr">
        <is>
          <t>Purchase</t>
        </is>
      </c>
      <c r="G2523" t="inlineStr">
        <is>
          <t>Item</t>
        </is>
      </c>
      <c r="H2523" t="inlineStr">
        <is>
          <t>Group &gt; Purchase &gt; Quick Add &gt; Item</t>
        </is>
      </c>
      <c r="I2523" s="18" t="n">
        <v>14184.94</v>
      </c>
      <c r="J2523" t="inlineStr">
        <is>
          <t>Created MTR-IOS-2522 and correlation note visible in Activity/Pulse</t>
        </is>
      </c>
      <c r="K2523" t="inlineStr">
        <is>
          <t>NOT_RUN</t>
        </is>
      </c>
      <c r="P2523" t="n">
        <v>0</v>
      </c>
      <c r="Q2523" t="n">
        <v>2522</v>
      </c>
    </row>
    <row r="2524">
      <c r="A2524" t="n">
        <v>2523</v>
      </c>
      <c r="B2524" t="inlineStr">
        <is>
          <t>MTR-IOS-2523</t>
        </is>
      </c>
      <c r="C2524" t="inlineStr">
        <is>
          <t>iPhone</t>
        </is>
      </c>
      <c r="D2524" t="inlineStr">
        <is>
          <t>Business</t>
        </is>
      </c>
      <c r="E2524" t="inlineStr">
        <is>
          <t>Business</t>
        </is>
      </c>
      <c r="F2524" t="inlineStr">
        <is>
          <t>Team Operations</t>
        </is>
      </c>
      <c r="G2524" t="inlineStr">
        <is>
          <t>Payroll</t>
        </is>
      </c>
      <c r="H2524" t="inlineStr">
        <is>
          <t>Business &gt; Team Operations &gt; Quick Add &gt; Payroll</t>
        </is>
      </c>
      <c r="I2524" s="18" t="n">
        <v>14295.08</v>
      </c>
      <c r="J2524" t="inlineStr">
        <is>
          <t>Created MTR-IOS-2523 and correlation note visible in Activity/Pulse</t>
        </is>
      </c>
      <c r="K2524" t="inlineStr">
        <is>
          <t>NOT_RUN</t>
        </is>
      </c>
      <c r="P2524" t="n">
        <v>0</v>
      </c>
      <c r="Q2524" t="n">
        <v>2523</v>
      </c>
    </row>
    <row r="2525">
      <c r="A2525" t="n">
        <v>2524</v>
      </c>
      <c r="B2525" t="inlineStr">
        <is>
          <t>MTR-IOS-2524</t>
        </is>
      </c>
      <c r="C2525" t="inlineStr">
        <is>
          <t>iPhone</t>
        </is>
      </c>
      <c r="D2525" t="inlineStr">
        <is>
          <t>Personal</t>
        </is>
      </c>
      <c r="E2525" t="inlineStr">
        <is>
          <t>Personal</t>
        </is>
      </c>
      <c r="F2525" t="inlineStr">
        <is>
          <t>Lifestyle</t>
        </is>
      </c>
      <c r="G2525" t="inlineStr">
        <is>
          <t>Shopping</t>
        </is>
      </c>
      <c r="H2525" t="inlineStr">
        <is>
          <t>Personal &gt; Lifestyle &gt; Quick Add &gt; Shopping</t>
        </is>
      </c>
      <c r="I2525" s="18" t="n">
        <v>7719.63</v>
      </c>
      <c r="J2525" t="inlineStr">
        <is>
          <t>Created MTR-IOS-2524 and correlation note visible in Activity/Pulse</t>
        </is>
      </c>
      <c r="K2525" t="inlineStr">
        <is>
          <t>NOT_RUN</t>
        </is>
      </c>
      <c r="P2525" t="n">
        <v>0</v>
      </c>
      <c r="Q2525" t="n">
        <v>2524</v>
      </c>
    </row>
    <row r="2526">
      <c r="A2526" t="n">
        <v>2525</v>
      </c>
      <c r="B2526" t="inlineStr">
        <is>
          <t>MTR-IOS-2525</t>
        </is>
      </c>
      <c r="C2526" t="inlineStr">
        <is>
          <t>iPhone</t>
        </is>
      </c>
      <c r="D2526" t="inlineStr">
        <is>
          <t>Group</t>
        </is>
      </c>
      <c r="E2526" t="inlineStr">
        <is>
          <t>Shared Purchase</t>
        </is>
      </c>
      <c r="F2526" t="inlineStr">
        <is>
          <t>Purchase</t>
        </is>
      </c>
      <c r="G2526" t="inlineStr">
        <is>
          <t>Shipping</t>
        </is>
      </c>
      <c r="H2526" t="inlineStr">
        <is>
          <t>Group &gt; Purchase &gt; Quick Add &gt; Shipping</t>
        </is>
      </c>
      <c r="I2526" s="18" t="n">
        <v>22134.68</v>
      </c>
      <c r="J2526" t="inlineStr">
        <is>
          <t>Created MTR-IOS-2525 and correlation note visible in Activity/Pulse</t>
        </is>
      </c>
      <c r="K2526" t="inlineStr">
        <is>
          <t>NOT_RUN</t>
        </is>
      </c>
      <c r="P2526" t="n">
        <v>0</v>
      </c>
      <c r="Q2526" t="n">
        <v>2525</v>
      </c>
    </row>
    <row r="2527">
      <c r="A2527" t="n">
        <v>2526</v>
      </c>
      <c r="B2527" t="inlineStr">
        <is>
          <t>MTR-IOS-2526</t>
        </is>
      </c>
      <c r="C2527" t="inlineStr">
        <is>
          <t>iPhone</t>
        </is>
      </c>
      <c r="D2527" t="inlineStr">
        <is>
          <t>Business</t>
        </is>
      </c>
      <c r="E2527" t="inlineStr">
        <is>
          <t>Business</t>
        </is>
      </c>
      <c r="F2527" t="inlineStr">
        <is>
          <t>Team Operations</t>
        </is>
      </c>
      <c r="G2527" t="inlineStr">
        <is>
          <t>Contractor</t>
        </is>
      </c>
      <c r="H2527" t="inlineStr">
        <is>
          <t>Business &gt; Team Operations &gt; Quick Add &gt; Contractor</t>
        </is>
      </c>
      <c r="I2527" s="18" t="n">
        <v>132426.96</v>
      </c>
      <c r="J2527" t="inlineStr">
        <is>
          <t>Created MTR-IOS-2526 and correlation note visible in Activity/Pulse</t>
        </is>
      </c>
      <c r="K2527" t="inlineStr">
        <is>
          <t>NOT_RUN</t>
        </is>
      </c>
      <c r="P2527" t="n">
        <v>0</v>
      </c>
      <c r="Q2527" t="n">
        <v>2526</v>
      </c>
    </row>
    <row r="2528">
      <c r="A2528" t="n">
        <v>2527</v>
      </c>
      <c r="B2528" t="inlineStr">
        <is>
          <t>MTR-IOS-2527</t>
        </is>
      </c>
      <c r="C2528" t="inlineStr">
        <is>
          <t>iPhone</t>
        </is>
      </c>
      <c r="D2528" t="inlineStr">
        <is>
          <t>Personal</t>
        </is>
      </c>
      <c r="E2528" t="inlineStr">
        <is>
          <t>Personal</t>
        </is>
      </c>
      <c r="F2528" t="inlineStr">
        <is>
          <t>Lifestyle</t>
        </is>
      </c>
      <c r="G2528" t="inlineStr">
        <is>
          <t>Entertainment</t>
        </is>
      </c>
      <c r="H2528" t="inlineStr">
        <is>
          <t>Personal &gt; Lifestyle &gt; Quick Add &gt; Entertainment</t>
        </is>
      </c>
      <c r="I2528" s="18" t="n">
        <v>13013.99</v>
      </c>
      <c r="J2528" t="inlineStr">
        <is>
          <t>Created MTR-IOS-2527 and correlation note visible in Activity/Pulse</t>
        </is>
      </c>
      <c r="K2528" t="inlineStr">
        <is>
          <t>NOT_RUN</t>
        </is>
      </c>
      <c r="P2528" t="n">
        <v>0</v>
      </c>
      <c r="Q2528" t="n">
        <v>2527</v>
      </c>
    </row>
    <row r="2529">
      <c r="A2529" t="n">
        <v>2528</v>
      </c>
      <c r="B2529" t="inlineStr">
        <is>
          <t>MTR-IOS-2528</t>
        </is>
      </c>
      <c r="C2529" t="inlineStr">
        <is>
          <t>iPhone</t>
        </is>
      </c>
      <c r="D2529" t="inlineStr">
        <is>
          <t>Group</t>
        </is>
      </c>
      <c r="E2529" t="inlineStr">
        <is>
          <t>Shared Purchase</t>
        </is>
      </c>
      <c r="F2529" t="inlineStr">
        <is>
          <t>Purchase</t>
        </is>
      </c>
      <c r="G2529" t="inlineStr">
        <is>
          <t>Tax</t>
        </is>
      </c>
      <c r="H2529" t="inlineStr">
        <is>
          <t>Group &gt; Purchase &gt; Quick Add &gt; Tax</t>
        </is>
      </c>
      <c r="I2529" s="18" t="n">
        <v>789.65</v>
      </c>
      <c r="J2529" t="inlineStr">
        <is>
          <t>Created MTR-IOS-2528 and correlation note visible in Activity/Pulse</t>
        </is>
      </c>
      <c r="K2529" t="inlineStr">
        <is>
          <t>NOT_RUN</t>
        </is>
      </c>
      <c r="P2529" t="n">
        <v>0</v>
      </c>
      <c r="Q2529" t="n">
        <v>2528</v>
      </c>
    </row>
    <row r="2530">
      <c r="A2530" t="n">
        <v>2529</v>
      </c>
      <c r="B2530" t="inlineStr">
        <is>
          <t>MTR-IOS-2529</t>
        </is>
      </c>
      <c r="C2530" t="inlineStr">
        <is>
          <t>iPhone</t>
        </is>
      </c>
      <c r="D2530" t="inlineStr">
        <is>
          <t>Business</t>
        </is>
      </c>
      <c r="E2530" t="inlineStr">
        <is>
          <t>Business</t>
        </is>
      </c>
      <c r="F2530" t="inlineStr">
        <is>
          <t>Team Operations</t>
        </is>
      </c>
      <c r="G2530" t="inlineStr">
        <is>
          <t>Hiring</t>
        </is>
      </c>
      <c r="H2530" t="inlineStr">
        <is>
          <t>Business &gt; Team Operations &gt; Quick Add &gt; Hiring</t>
        </is>
      </c>
      <c r="I2530" s="18" t="n">
        <v>75952.88</v>
      </c>
      <c r="J2530" t="inlineStr">
        <is>
          <t>Created MTR-IOS-2529 and correlation note visible in Activity/Pulse</t>
        </is>
      </c>
      <c r="K2530" t="inlineStr">
        <is>
          <t>NOT_RUN</t>
        </is>
      </c>
      <c r="P2530" t="n">
        <v>0</v>
      </c>
      <c r="Q2530" t="n">
        <v>2529</v>
      </c>
    </row>
    <row r="2531">
      <c r="A2531" t="n">
        <v>2530</v>
      </c>
      <c r="B2531" t="inlineStr">
        <is>
          <t>MTR-IOS-2530</t>
        </is>
      </c>
      <c r="C2531" t="inlineStr">
        <is>
          <t>iPhone</t>
        </is>
      </c>
      <c r="D2531" t="inlineStr">
        <is>
          <t>Personal</t>
        </is>
      </c>
      <c r="E2531" t="inlineStr">
        <is>
          <t>Personal</t>
        </is>
      </c>
      <c r="F2531" t="inlineStr">
        <is>
          <t>Lifestyle</t>
        </is>
      </c>
      <c r="G2531" t="inlineStr">
        <is>
          <t>Travel</t>
        </is>
      </c>
      <c r="H2531" t="inlineStr">
        <is>
          <t>Personal &gt; Lifestyle &gt; Quick Add &gt; Travel</t>
        </is>
      </c>
      <c r="I2531" s="18" t="n">
        <v>258.24</v>
      </c>
      <c r="J2531" t="inlineStr">
        <is>
          <t>Created MTR-IOS-2530 and correlation note visible in Activity/Pulse</t>
        </is>
      </c>
      <c r="K2531" t="inlineStr">
        <is>
          <t>NOT_RUN</t>
        </is>
      </c>
      <c r="P2531" t="n">
        <v>0</v>
      </c>
      <c r="Q2531" t="n">
        <v>2530</v>
      </c>
    </row>
    <row r="2532">
      <c r="A2532" t="n">
        <v>2531</v>
      </c>
      <c r="B2532" t="inlineStr">
        <is>
          <t>MTR-IOS-2531</t>
        </is>
      </c>
      <c r="C2532" t="inlineStr">
        <is>
          <t>iPhone</t>
        </is>
      </c>
      <c r="D2532" t="inlineStr">
        <is>
          <t>Group</t>
        </is>
      </c>
      <c r="E2532" t="inlineStr">
        <is>
          <t>Shared Purchase</t>
        </is>
      </c>
      <c r="F2532" t="inlineStr">
        <is>
          <t>Purchase</t>
        </is>
      </c>
      <c r="G2532" t="inlineStr">
        <is>
          <t>Other</t>
        </is>
      </c>
      <c r="H2532" t="inlineStr">
        <is>
          <t>Group &gt; Purchase &gt; Quick Add &gt; Other</t>
        </is>
      </c>
      <c r="I2532" s="18" t="n">
        <v>10636.98</v>
      </c>
      <c r="J2532" t="inlineStr">
        <is>
          <t>Created MTR-IOS-2531 and correlation note visible in Activity/Pulse</t>
        </is>
      </c>
      <c r="K2532" t="inlineStr">
        <is>
          <t>NOT_RUN</t>
        </is>
      </c>
      <c r="P2532" t="n">
        <v>0</v>
      </c>
      <c r="Q2532" t="n">
        <v>2531</v>
      </c>
    </row>
    <row r="2533">
      <c r="A2533" t="n">
        <v>2532</v>
      </c>
      <c r="B2533" t="inlineStr">
        <is>
          <t>MTR-IOS-2532</t>
        </is>
      </c>
      <c r="C2533" t="inlineStr">
        <is>
          <t>iPhone</t>
        </is>
      </c>
      <c r="D2533" t="inlineStr">
        <is>
          <t>Business</t>
        </is>
      </c>
      <c r="E2533" t="inlineStr">
        <is>
          <t>Business</t>
        </is>
      </c>
      <c r="F2533" t="inlineStr">
        <is>
          <t>Team Operations</t>
        </is>
      </c>
      <c r="G2533" t="inlineStr">
        <is>
          <t>Team Meal</t>
        </is>
      </c>
      <c r="H2533" t="inlineStr">
        <is>
          <t>Business &gt; Team Operations &gt; Quick Add &gt; Team Meal</t>
        </is>
      </c>
      <c r="I2533" s="18" t="n">
        <v>103020.32</v>
      </c>
      <c r="J2533" t="inlineStr">
        <is>
          <t>Created MTR-IOS-2532 and correlation note visible in Activity/Pulse</t>
        </is>
      </c>
      <c r="K2533" t="inlineStr">
        <is>
          <t>NOT_RUN</t>
        </is>
      </c>
      <c r="P2533" t="n">
        <v>0</v>
      </c>
      <c r="Q2533" t="n">
        <v>2532</v>
      </c>
    </row>
    <row r="2534">
      <c r="A2534" t="n">
        <v>2533</v>
      </c>
      <c r="B2534" t="inlineStr">
        <is>
          <t>MTR-IOS-2533</t>
        </is>
      </c>
      <c r="C2534" t="inlineStr">
        <is>
          <t>iPhone</t>
        </is>
      </c>
      <c r="D2534" t="inlineStr">
        <is>
          <t>Personal</t>
        </is>
      </c>
      <c r="E2534" t="inlineStr">
        <is>
          <t>Personal</t>
        </is>
      </c>
      <c r="F2534" t="inlineStr">
        <is>
          <t>Lifestyle</t>
        </is>
      </c>
      <c r="G2534" t="inlineStr">
        <is>
          <t>Fitness</t>
        </is>
      </c>
      <c r="H2534" t="inlineStr">
        <is>
          <t>Personal &gt; Lifestyle &gt; Quick Add &gt; Fitness</t>
        </is>
      </c>
      <c r="I2534" s="18" t="n">
        <v>11553.76</v>
      </c>
      <c r="J2534" t="inlineStr">
        <is>
          <t>Created MTR-IOS-2533 and correlation note visible in Activity/Pulse</t>
        </is>
      </c>
      <c r="K2534" t="inlineStr">
        <is>
          <t>NOT_RUN</t>
        </is>
      </c>
      <c r="P2534" t="n">
        <v>0</v>
      </c>
      <c r="Q2534" t="n">
        <v>2533</v>
      </c>
    </row>
    <row r="2535">
      <c r="A2535" t="n">
        <v>2534</v>
      </c>
      <c r="B2535" t="inlineStr">
        <is>
          <t>MTR-IOS-2534</t>
        </is>
      </c>
      <c r="C2535" t="inlineStr">
        <is>
          <t>iPhone</t>
        </is>
      </c>
      <c r="D2535" t="inlineStr">
        <is>
          <t>Group</t>
        </is>
      </c>
      <c r="E2535" t="inlineStr">
        <is>
          <t>Shared Purchase</t>
        </is>
      </c>
      <c r="F2535" t="inlineStr">
        <is>
          <t>Assets</t>
        </is>
      </c>
      <c r="G2535" t="inlineStr">
        <is>
          <t>Purchase</t>
        </is>
      </c>
      <c r="H2535" t="inlineStr">
        <is>
          <t>Group &gt; Assets &gt; Quick Add &gt; Purchase</t>
        </is>
      </c>
      <c r="I2535" s="18" t="n">
        <v>24199.2</v>
      </c>
      <c r="J2535" t="inlineStr">
        <is>
          <t>Created MTR-IOS-2534 and correlation note visible in Activity/Pulse</t>
        </is>
      </c>
      <c r="K2535" t="inlineStr">
        <is>
          <t>NOT_RUN</t>
        </is>
      </c>
      <c r="P2535" t="n">
        <v>0</v>
      </c>
      <c r="Q2535" t="n">
        <v>2534</v>
      </c>
    </row>
    <row r="2536">
      <c r="A2536" t="n">
        <v>2535</v>
      </c>
      <c r="B2536" t="inlineStr">
        <is>
          <t>MTR-IOS-2535</t>
        </is>
      </c>
      <c r="C2536" t="inlineStr">
        <is>
          <t>iPhone</t>
        </is>
      </c>
      <c r="D2536" t="inlineStr">
        <is>
          <t>Business</t>
        </is>
      </c>
      <c r="E2536" t="inlineStr">
        <is>
          <t>Business</t>
        </is>
      </c>
      <c r="F2536" t="inlineStr">
        <is>
          <t>Team Operations</t>
        </is>
      </c>
      <c r="G2536" t="inlineStr">
        <is>
          <t>Travel</t>
        </is>
      </c>
      <c r="H2536" t="inlineStr">
        <is>
          <t>Business &gt; Team Operations &gt; Quick Add &gt; Travel</t>
        </is>
      </c>
      <c r="I2536" s="18" t="n">
        <v>32294.09</v>
      </c>
      <c r="J2536" t="inlineStr">
        <is>
          <t>Created MTR-IOS-2535 and correlation note visible in Activity/Pulse</t>
        </is>
      </c>
      <c r="K2536" t="inlineStr">
        <is>
          <t>NOT_RUN</t>
        </is>
      </c>
      <c r="P2536" t="n">
        <v>0</v>
      </c>
      <c r="Q2536" t="n">
        <v>2535</v>
      </c>
    </row>
    <row r="2537">
      <c r="A2537" t="n">
        <v>2536</v>
      </c>
      <c r="B2537" t="inlineStr">
        <is>
          <t>MTR-IOS-2536</t>
        </is>
      </c>
      <c r="C2537" t="inlineStr">
        <is>
          <t>iPhone</t>
        </is>
      </c>
      <c r="D2537" t="inlineStr">
        <is>
          <t>Personal</t>
        </is>
      </c>
      <c r="E2537" t="inlineStr">
        <is>
          <t>Personal</t>
        </is>
      </c>
      <c r="F2537" t="inlineStr">
        <is>
          <t>Lifestyle</t>
        </is>
      </c>
      <c r="G2537" t="inlineStr">
        <is>
          <t>Hobbies</t>
        </is>
      </c>
      <c r="H2537" t="inlineStr">
        <is>
          <t>Personal &gt; Lifestyle &gt; Quick Add &gt; Hobbies</t>
        </is>
      </c>
      <c r="I2537" s="18" t="n">
        <v>6643.04</v>
      </c>
      <c r="J2537" t="inlineStr">
        <is>
          <t>Created MTR-IOS-2536 and correlation note visible in Activity/Pulse</t>
        </is>
      </c>
      <c r="K2537" t="inlineStr">
        <is>
          <t>NOT_RUN</t>
        </is>
      </c>
      <c r="P2537" t="n">
        <v>0</v>
      </c>
      <c r="Q2537" t="n">
        <v>2536</v>
      </c>
    </row>
    <row r="2538">
      <c r="A2538" t="n">
        <v>2537</v>
      </c>
      <c r="B2538" t="inlineStr">
        <is>
          <t>MTR-IOS-2537</t>
        </is>
      </c>
      <c r="C2538" t="inlineStr">
        <is>
          <t>iPhone</t>
        </is>
      </c>
      <c r="D2538" t="inlineStr">
        <is>
          <t>Group</t>
        </is>
      </c>
      <c r="E2538" t="inlineStr">
        <is>
          <t>Shared Purchase</t>
        </is>
      </c>
      <c r="F2538" t="inlineStr">
        <is>
          <t>Assets</t>
        </is>
      </c>
      <c r="G2538" t="inlineStr">
        <is>
          <t>Maintenance</t>
        </is>
      </c>
      <c r="H2538" t="inlineStr">
        <is>
          <t>Group &gt; Assets &gt; Quick Add &gt; Maintenance</t>
        </is>
      </c>
      <c r="I2538" s="18" t="n">
        <v>15226.97</v>
      </c>
      <c r="J2538" t="inlineStr">
        <is>
          <t>Created MTR-IOS-2537 and correlation note visible in Activity/Pulse</t>
        </is>
      </c>
      <c r="K2538" t="inlineStr">
        <is>
          <t>NOT_RUN</t>
        </is>
      </c>
      <c r="P2538" t="n">
        <v>0</v>
      </c>
      <c r="Q2538" t="n">
        <v>2537</v>
      </c>
    </row>
    <row r="2539">
      <c r="A2539" t="n">
        <v>2538</v>
      </c>
      <c r="B2539" t="inlineStr">
        <is>
          <t>MTR-IOS-2538</t>
        </is>
      </c>
      <c r="C2539" t="inlineStr">
        <is>
          <t>iPhone</t>
        </is>
      </c>
      <c r="D2539" t="inlineStr">
        <is>
          <t>Business</t>
        </is>
      </c>
      <c r="E2539" t="inlineStr">
        <is>
          <t>Business</t>
        </is>
      </c>
      <c r="F2539" t="inlineStr">
        <is>
          <t>Team Operations</t>
        </is>
      </c>
      <c r="G2539" t="inlineStr">
        <is>
          <t>Training</t>
        </is>
      </c>
      <c r="H2539" t="inlineStr">
        <is>
          <t>Business &gt; Team Operations &gt; Quick Add &gt; Training</t>
        </is>
      </c>
      <c r="I2539" s="18" t="n">
        <v>153354.98</v>
      </c>
      <c r="J2539" t="inlineStr">
        <is>
          <t>Created MTR-IOS-2538 and correlation note visible in Activity/Pulse</t>
        </is>
      </c>
      <c r="K2539" t="inlineStr">
        <is>
          <t>NOT_RUN</t>
        </is>
      </c>
      <c r="P2539" t="n">
        <v>0</v>
      </c>
      <c r="Q2539" t="n">
        <v>2538</v>
      </c>
    </row>
    <row r="2540">
      <c r="A2540" t="n">
        <v>2539</v>
      </c>
      <c r="B2540" t="inlineStr">
        <is>
          <t>MTR-IOS-2539</t>
        </is>
      </c>
      <c r="C2540" t="inlineStr">
        <is>
          <t>iPhone</t>
        </is>
      </c>
      <c r="D2540" t="inlineStr">
        <is>
          <t>Personal</t>
        </is>
      </c>
      <c r="E2540" t="inlineStr">
        <is>
          <t>Personal</t>
        </is>
      </c>
      <c r="F2540" t="inlineStr">
        <is>
          <t>Relationships</t>
        </is>
      </c>
      <c r="G2540" t="inlineStr">
        <is>
          <t>Gifts</t>
        </is>
      </c>
      <c r="H2540" t="inlineStr">
        <is>
          <t>Personal &gt; Relationships &gt; Quick Add &gt; Gifts</t>
        </is>
      </c>
      <c r="I2540" s="18" t="n">
        <v>5020.71</v>
      </c>
      <c r="J2540" t="inlineStr">
        <is>
          <t>Created MTR-IOS-2539 and correlation note visible in Activity/Pulse</t>
        </is>
      </c>
      <c r="K2540" t="inlineStr">
        <is>
          <t>NOT_RUN</t>
        </is>
      </c>
      <c r="P2540" t="n">
        <v>0</v>
      </c>
      <c r="Q2540" t="n">
        <v>2539</v>
      </c>
    </row>
    <row r="2541">
      <c r="A2541" t="n">
        <v>2540</v>
      </c>
      <c r="B2541" t="inlineStr">
        <is>
          <t>MTR-IOS-2540</t>
        </is>
      </c>
      <c r="C2541" t="inlineStr">
        <is>
          <t>iPhone</t>
        </is>
      </c>
      <c r="D2541" t="inlineStr">
        <is>
          <t>Group</t>
        </is>
      </c>
      <c r="E2541" t="inlineStr">
        <is>
          <t>Shared Purchase</t>
        </is>
      </c>
      <c r="F2541" t="inlineStr">
        <is>
          <t>Assets</t>
        </is>
      </c>
      <c r="G2541" t="inlineStr">
        <is>
          <t>Repair</t>
        </is>
      </c>
      <c r="H2541" t="inlineStr">
        <is>
          <t>Group &gt; Assets &gt; Quick Add &gt; Repair</t>
        </is>
      </c>
      <c r="I2541" s="18" t="n">
        <v>695.47</v>
      </c>
      <c r="J2541" t="inlineStr">
        <is>
          <t>Created MTR-IOS-2540 and correlation note visible in Activity/Pulse</t>
        </is>
      </c>
      <c r="K2541" t="inlineStr">
        <is>
          <t>NOT_RUN</t>
        </is>
      </c>
      <c r="P2541" t="n">
        <v>0</v>
      </c>
      <c r="Q2541" t="n">
        <v>2540</v>
      </c>
    </row>
    <row r="2542">
      <c r="A2542" t="n">
        <v>2541</v>
      </c>
      <c r="B2542" t="inlineStr">
        <is>
          <t>MTR-IOS-2541</t>
        </is>
      </c>
      <c r="C2542" t="inlineStr">
        <is>
          <t>iPhone</t>
        </is>
      </c>
      <c r="D2542" t="inlineStr">
        <is>
          <t>Business</t>
        </is>
      </c>
      <c r="E2542" t="inlineStr">
        <is>
          <t>Business</t>
        </is>
      </c>
      <c r="F2542" t="inlineStr">
        <is>
          <t>Team Operations</t>
        </is>
      </c>
      <c r="G2542" t="inlineStr">
        <is>
          <t>Tools</t>
        </is>
      </c>
      <c r="H2542" t="inlineStr">
        <is>
          <t>Business &gt; Team Operations &gt; Quick Add &gt; Tools</t>
        </is>
      </c>
      <c r="I2542" s="18" t="n">
        <v>136503.06</v>
      </c>
      <c r="J2542" t="inlineStr">
        <is>
          <t>Created MTR-IOS-2541 and correlation note visible in Activity/Pulse</t>
        </is>
      </c>
      <c r="K2542" t="inlineStr">
        <is>
          <t>NOT_RUN</t>
        </is>
      </c>
      <c r="P2542" t="n">
        <v>0</v>
      </c>
      <c r="Q2542" t="n">
        <v>2541</v>
      </c>
    </row>
    <row r="2543">
      <c r="A2543" t="n">
        <v>2542</v>
      </c>
      <c r="B2543" t="inlineStr">
        <is>
          <t>MTR-IOS-2542</t>
        </is>
      </c>
      <c r="C2543" t="inlineStr">
        <is>
          <t>iPhone</t>
        </is>
      </c>
      <c r="D2543" t="inlineStr">
        <is>
          <t>Personal</t>
        </is>
      </c>
      <c r="E2543" t="inlineStr">
        <is>
          <t>Personal</t>
        </is>
      </c>
      <c r="F2543" t="inlineStr">
        <is>
          <t>Relationships</t>
        </is>
      </c>
      <c r="G2543" t="inlineStr">
        <is>
          <t>Dates</t>
        </is>
      </c>
      <c r="H2543" t="inlineStr">
        <is>
          <t>Personal &gt; Relationships &gt; Quick Add &gt; Dates</t>
        </is>
      </c>
      <c r="I2543" s="18" t="n">
        <v>12765.5</v>
      </c>
      <c r="J2543" t="inlineStr">
        <is>
          <t>Created MTR-IOS-2542 and correlation note visible in Activity/Pulse</t>
        </is>
      </c>
      <c r="K2543" t="inlineStr">
        <is>
          <t>NOT_RUN</t>
        </is>
      </c>
      <c r="P2543" t="n">
        <v>0</v>
      </c>
      <c r="Q2543" t="n">
        <v>2542</v>
      </c>
    </row>
    <row r="2544">
      <c r="A2544" t="n">
        <v>2543</v>
      </c>
      <c r="B2544" t="inlineStr">
        <is>
          <t>MTR-IOS-2543</t>
        </is>
      </c>
      <c r="C2544" t="inlineStr">
        <is>
          <t>iPhone</t>
        </is>
      </c>
      <c r="D2544" t="inlineStr">
        <is>
          <t>Group</t>
        </is>
      </c>
      <c r="E2544" t="inlineStr">
        <is>
          <t>Shared Purchase</t>
        </is>
      </c>
      <c r="F2544" t="inlineStr">
        <is>
          <t>Assets</t>
        </is>
      </c>
      <c r="G2544" t="inlineStr">
        <is>
          <t>Insurance</t>
        </is>
      </c>
      <c r="H2544" t="inlineStr">
        <is>
          <t>Group &gt; Assets &gt; Quick Add &gt; Insurance</t>
        </is>
      </c>
      <c r="I2544" s="18" t="n">
        <v>20736.95</v>
      </c>
      <c r="J2544" t="inlineStr">
        <is>
          <t>Created MTR-IOS-2543 and correlation note visible in Activity/Pulse</t>
        </is>
      </c>
      <c r="K2544" t="inlineStr">
        <is>
          <t>NOT_RUN</t>
        </is>
      </c>
      <c r="P2544" t="n">
        <v>0</v>
      </c>
      <c r="Q2544" t="n">
        <v>2543</v>
      </c>
    </row>
    <row r="2545">
      <c r="A2545" t="n">
        <v>2544</v>
      </c>
      <c r="B2545" t="inlineStr">
        <is>
          <t>MTR-IOS-2544</t>
        </is>
      </c>
      <c r="C2545" t="inlineStr">
        <is>
          <t>iPhone</t>
        </is>
      </c>
      <c r="D2545" t="inlineStr">
        <is>
          <t>Business</t>
        </is>
      </c>
      <c r="E2545" t="inlineStr">
        <is>
          <t>Business</t>
        </is>
      </c>
      <c r="F2545" t="inlineStr">
        <is>
          <t>Business Runway</t>
        </is>
      </c>
      <c r="G2545" t="inlineStr">
        <is>
          <t>Funding</t>
        </is>
      </c>
      <c r="H2545" t="inlineStr">
        <is>
          <t>Business &gt; Business Runway &gt; Quick Add &gt; Funding</t>
        </is>
      </c>
      <c r="I2545" s="18" t="n">
        <v>45270.05</v>
      </c>
      <c r="J2545" t="inlineStr">
        <is>
          <t>Created MTR-IOS-2544 and correlation note visible in Activity/Pulse</t>
        </is>
      </c>
      <c r="K2545" t="inlineStr">
        <is>
          <t>NOT_RUN</t>
        </is>
      </c>
      <c r="P2545" t="n">
        <v>0</v>
      </c>
      <c r="Q2545" t="n">
        <v>2544</v>
      </c>
    </row>
    <row r="2546">
      <c r="A2546" t="n">
        <v>2545</v>
      </c>
      <c r="B2546" t="inlineStr">
        <is>
          <t>MTR-IOS-2545</t>
        </is>
      </c>
      <c r="C2546" t="inlineStr">
        <is>
          <t>iPhone</t>
        </is>
      </c>
      <c r="D2546" t="inlineStr">
        <is>
          <t>Personal</t>
        </is>
      </c>
      <c r="E2546" t="inlineStr">
        <is>
          <t>Personal</t>
        </is>
      </c>
      <c r="F2546" t="inlineStr">
        <is>
          <t>Relationships</t>
        </is>
      </c>
      <c r="G2546" t="inlineStr">
        <is>
          <t>Family</t>
        </is>
      </c>
      <c r="H2546" t="inlineStr">
        <is>
          <t>Personal &gt; Relationships &gt; Quick Add &gt; Family</t>
        </is>
      </c>
      <c r="I2546" s="18" t="n">
        <v>326.22</v>
      </c>
      <c r="J2546" t="inlineStr">
        <is>
          <t>Created MTR-IOS-2545 and correlation note visible in Activity/Pulse</t>
        </is>
      </c>
      <c r="K2546" t="inlineStr">
        <is>
          <t>NOT_RUN</t>
        </is>
      </c>
      <c r="P2546" t="n">
        <v>0</v>
      </c>
      <c r="Q2546" t="n">
        <v>2545</v>
      </c>
    </row>
    <row r="2547">
      <c r="A2547" t="n">
        <v>2546</v>
      </c>
      <c r="B2547" t="inlineStr">
        <is>
          <t>MTR-IOS-2546</t>
        </is>
      </c>
      <c r="C2547" t="inlineStr">
        <is>
          <t>iPhone</t>
        </is>
      </c>
      <c r="D2547" t="inlineStr">
        <is>
          <t>Group</t>
        </is>
      </c>
      <c r="E2547" t="inlineStr">
        <is>
          <t>Shared Purchase</t>
        </is>
      </c>
      <c r="F2547" t="inlineStr">
        <is>
          <t>Assets</t>
        </is>
      </c>
      <c r="G2547" t="inlineStr">
        <is>
          <t>Other</t>
        </is>
      </c>
      <c r="H2547" t="inlineStr">
        <is>
          <t>Group &gt; Assets &gt; Quick Add &gt; Other</t>
        </is>
      </c>
      <c r="I2547" s="18" t="n">
        <v>19154.54</v>
      </c>
      <c r="J2547" t="inlineStr">
        <is>
          <t>Created MTR-IOS-2546 and correlation note visible in Activity/Pulse</t>
        </is>
      </c>
      <c r="K2547" t="inlineStr">
        <is>
          <t>NOT_RUN</t>
        </is>
      </c>
      <c r="P2547" t="n">
        <v>0</v>
      </c>
      <c r="Q2547" t="n">
        <v>2546</v>
      </c>
    </row>
    <row r="2548">
      <c r="A2548" t="n">
        <v>2547</v>
      </c>
      <c r="B2548" t="inlineStr">
        <is>
          <t>MTR-IOS-2547</t>
        </is>
      </c>
      <c r="C2548" t="inlineStr">
        <is>
          <t>iPhone</t>
        </is>
      </c>
      <c r="D2548" t="inlineStr">
        <is>
          <t>Business</t>
        </is>
      </c>
      <c r="E2548" t="inlineStr">
        <is>
          <t>Business</t>
        </is>
      </c>
      <c r="F2548" t="inlineStr">
        <is>
          <t>Business Runway</t>
        </is>
      </c>
      <c r="G2548" t="inlineStr">
        <is>
          <t>Revenue</t>
        </is>
      </c>
      <c r="H2548" t="inlineStr">
        <is>
          <t>Business &gt; Business Runway &gt; Quick Add &gt; Revenue</t>
        </is>
      </c>
      <c r="I2548" s="18" t="n">
        <v>29997.61</v>
      </c>
      <c r="J2548" t="inlineStr">
        <is>
          <t>Created MTR-IOS-2547 and correlation note visible in Activity/Pulse</t>
        </is>
      </c>
      <c r="K2548" t="inlineStr">
        <is>
          <t>NOT_RUN</t>
        </is>
      </c>
      <c r="P2548" t="n">
        <v>0</v>
      </c>
      <c r="Q2548" t="n">
        <v>2547</v>
      </c>
    </row>
    <row r="2549">
      <c r="A2549" t="n">
        <v>2548</v>
      </c>
      <c r="B2549" t="inlineStr">
        <is>
          <t>MTR-IOS-2548</t>
        </is>
      </c>
      <c r="C2549" t="inlineStr">
        <is>
          <t>iPhone</t>
        </is>
      </c>
      <c r="D2549" t="inlineStr">
        <is>
          <t>Personal</t>
        </is>
      </c>
      <c r="E2549" t="inlineStr">
        <is>
          <t>Personal</t>
        </is>
      </c>
      <c r="F2549" t="inlineStr">
        <is>
          <t>Relationships</t>
        </is>
      </c>
      <c r="G2549" t="inlineStr">
        <is>
          <t>Friends</t>
        </is>
      </c>
      <c r="H2549" t="inlineStr">
        <is>
          <t>Personal &gt; Relationships &gt; Quick Add &gt; Friends</t>
        </is>
      </c>
      <c r="I2549" s="18" t="n">
        <v>13439.18</v>
      </c>
      <c r="J2549" t="inlineStr">
        <is>
          <t>Created MTR-IOS-2548 and correlation note visible in Activity/Pulse</t>
        </is>
      </c>
      <c r="K2549" t="inlineStr">
        <is>
          <t>NOT_RUN</t>
        </is>
      </c>
      <c r="P2549" t="n">
        <v>0</v>
      </c>
      <c r="Q2549" t="n">
        <v>2548</v>
      </c>
    </row>
    <row r="2550">
      <c r="A2550" t="n">
        <v>2549</v>
      </c>
      <c r="B2550" t="inlineStr">
        <is>
          <t>MTR-IOS-2549</t>
        </is>
      </c>
      <c r="C2550" t="inlineStr">
        <is>
          <t>iPhone</t>
        </is>
      </c>
      <c r="D2550" t="inlineStr">
        <is>
          <t>Group</t>
        </is>
      </c>
      <c r="E2550" t="inlineStr">
        <is>
          <t>Shared Purchase</t>
        </is>
      </c>
      <c r="F2550" t="inlineStr">
        <is>
          <t>Custom Purchase</t>
        </is>
      </c>
      <c r="G2550" t="inlineStr">
        <is>
          <t>Custom Expense</t>
        </is>
      </c>
      <c r="H2550" t="inlineStr">
        <is>
          <t>Group &gt; Custom Purchase &gt; Quick Add &gt; Custom Expense</t>
        </is>
      </c>
      <c r="I2550" s="18" t="n">
        <v>21739.38</v>
      </c>
      <c r="J2550" t="inlineStr">
        <is>
          <t>Created MTR-IOS-2549 and correlation note visible in Activity/Pulse</t>
        </is>
      </c>
      <c r="K2550" t="inlineStr">
        <is>
          <t>NOT_RUN</t>
        </is>
      </c>
      <c r="P2550" t="n">
        <v>0</v>
      </c>
      <c r="Q2550" t="n">
        <v>2549</v>
      </c>
    </row>
    <row r="2551">
      <c r="A2551" t="n">
        <v>2550</v>
      </c>
      <c r="B2551" t="inlineStr">
        <is>
          <t>MTR-IOS-2550</t>
        </is>
      </c>
      <c r="C2551" t="inlineStr">
        <is>
          <t>iPhone</t>
        </is>
      </c>
      <c r="D2551" t="inlineStr">
        <is>
          <t>Business</t>
        </is>
      </c>
      <c r="E2551" t="inlineStr">
        <is>
          <t>Business</t>
        </is>
      </c>
      <c r="F2551" t="inlineStr">
        <is>
          <t>Business Runway</t>
        </is>
      </c>
      <c r="G2551" t="inlineStr">
        <is>
          <t>Burn</t>
        </is>
      </c>
      <c r="H2551" t="inlineStr">
        <is>
          <t>Business &gt; Business Runway &gt; Quick Add &gt; Burn</t>
        </is>
      </c>
      <c r="I2551" s="18" t="n">
        <v>60201.27</v>
      </c>
      <c r="J2551" t="inlineStr">
        <is>
          <t>Created MTR-IOS-2550 and correlation note visible in Activity/Pulse</t>
        </is>
      </c>
      <c r="K2551" t="inlineStr">
        <is>
          <t>NOT_RUN</t>
        </is>
      </c>
      <c r="P2551" t="n">
        <v>0</v>
      </c>
      <c r="Q2551" t="n">
        <v>2550</v>
      </c>
    </row>
    <row r="2552">
      <c r="A2552" t="n">
        <v>2551</v>
      </c>
      <c r="B2552" t="inlineStr">
        <is>
          <t>MTR-IOS-2551</t>
        </is>
      </c>
      <c r="C2552" t="inlineStr">
        <is>
          <t>iPhone</t>
        </is>
      </c>
      <c r="D2552" t="inlineStr">
        <is>
          <t>Personal</t>
        </is>
      </c>
      <c r="E2552" t="inlineStr">
        <is>
          <t>Personal</t>
        </is>
      </c>
      <c r="F2552" t="inlineStr">
        <is>
          <t>Relationships</t>
        </is>
      </c>
      <c r="G2552" t="inlineStr">
        <is>
          <t>Celebrations</t>
        </is>
      </c>
      <c r="H2552" t="inlineStr">
        <is>
          <t>Personal &gt; Relationships &gt; Quick Add &gt; Celebrations</t>
        </is>
      </c>
      <c r="I2552" s="18" t="n">
        <v>11182.97</v>
      </c>
      <c r="J2552" t="inlineStr">
        <is>
          <t>Created MTR-IOS-2551 and correlation note visible in Activity/Pulse</t>
        </is>
      </c>
      <c r="K2552" t="inlineStr">
        <is>
          <t>NOT_RUN</t>
        </is>
      </c>
      <c r="P2552" t="n">
        <v>0</v>
      </c>
      <c r="Q2552" t="n">
        <v>2551</v>
      </c>
    </row>
    <row r="2553">
      <c r="A2553" t="n">
        <v>2552</v>
      </c>
      <c r="B2553" t="inlineStr">
        <is>
          <t>MTR-IOS-2552</t>
        </is>
      </c>
      <c r="C2553" t="inlineStr">
        <is>
          <t>iPhone</t>
        </is>
      </c>
      <c r="D2553" t="inlineStr">
        <is>
          <t>Group</t>
        </is>
      </c>
      <c r="E2553" t="inlineStr">
        <is>
          <t>Shared Purchase</t>
        </is>
      </c>
      <c r="F2553" t="inlineStr">
        <is>
          <t>Custom Purchase</t>
        </is>
      </c>
      <c r="G2553" t="inlineStr">
        <is>
          <t>Custom Contribution</t>
        </is>
      </c>
      <c r="H2553" t="inlineStr">
        <is>
          <t>Group &gt; Custom Purchase &gt; Quick Add &gt; Custom Contribution</t>
        </is>
      </c>
      <c r="I2553" s="18" t="n">
        <v>17484.85</v>
      </c>
      <c r="J2553" t="inlineStr">
        <is>
          <t>Created MTR-IOS-2552 and correlation note visible in Activity/Pulse</t>
        </is>
      </c>
      <c r="K2553" t="inlineStr">
        <is>
          <t>NOT_RUN</t>
        </is>
      </c>
      <c r="P2553" t="n">
        <v>0</v>
      </c>
      <c r="Q2553" t="n">
        <v>2552</v>
      </c>
    </row>
    <row r="2554">
      <c r="A2554" t="n">
        <v>2553</v>
      </c>
      <c r="B2554" t="inlineStr">
        <is>
          <t>MTR-IOS-2553</t>
        </is>
      </c>
      <c r="C2554" t="inlineStr">
        <is>
          <t>iPhone</t>
        </is>
      </c>
      <c r="D2554" t="inlineStr">
        <is>
          <t>Business</t>
        </is>
      </c>
      <c r="E2554" t="inlineStr">
        <is>
          <t>Business</t>
        </is>
      </c>
      <c r="F2554" t="inlineStr">
        <is>
          <t>Business Runway</t>
        </is>
      </c>
      <c r="G2554" t="inlineStr">
        <is>
          <t>Reserve</t>
        </is>
      </c>
      <c r="H2554" t="inlineStr">
        <is>
          <t>Business &gt; Business Runway &gt; Quick Add &gt; Reserve</t>
        </is>
      </c>
      <c r="I2554" s="18" t="n">
        <v>100</v>
      </c>
      <c r="J2554" t="inlineStr">
        <is>
          <t>Created MTR-IOS-2553 and correlation note visible in Activity/Pulse</t>
        </is>
      </c>
      <c r="K2554" t="inlineStr">
        <is>
          <t>NOT_RUN</t>
        </is>
      </c>
      <c r="P2554" t="n">
        <v>0</v>
      </c>
      <c r="Q2554" t="n">
        <v>2553</v>
      </c>
    </row>
    <row r="2555">
      <c r="A2555" t="n">
        <v>2554</v>
      </c>
      <c r="B2555" t="inlineStr">
        <is>
          <t>MTR-IOS-2554</t>
        </is>
      </c>
      <c r="C2555" t="inlineStr">
        <is>
          <t>iPhone</t>
        </is>
      </c>
      <c r="D2555" t="inlineStr">
        <is>
          <t>Personal</t>
        </is>
      </c>
      <c r="E2555" t="inlineStr">
        <is>
          <t>Personal</t>
        </is>
      </c>
      <c r="F2555" t="inlineStr">
        <is>
          <t>Life Operations</t>
        </is>
      </c>
      <c r="G2555" t="inlineStr">
        <is>
          <t>Groceries</t>
        </is>
      </c>
      <c r="H2555" t="inlineStr">
        <is>
          <t>Personal &gt; Life Operations &gt; Quick Add &gt; Groceries</t>
        </is>
      </c>
      <c r="I2555" s="18" t="n">
        <v>2127.85</v>
      </c>
      <c r="J2555" t="inlineStr">
        <is>
          <t>Created MTR-IOS-2554 and correlation note visible in Activity/Pulse</t>
        </is>
      </c>
      <c r="K2555" t="inlineStr">
        <is>
          <t>NOT_RUN</t>
        </is>
      </c>
      <c r="P2555" t="n">
        <v>0</v>
      </c>
      <c r="Q2555" t="n">
        <v>2554</v>
      </c>
    </row>
    <row r="2556">
      <c r="A2556" t="n">
        <v>2555</v>
      </c>
      <c r="B2556" t="inlineStr">
        <is>
          <t>MTR-IOS-2555</t>
        </is>
      </c>
      <c r="C2556" t="inlineStr">
        <is>
          <t>iPhone</t>
        </is>
      </c>
      <c r="D2556" t="inlineStr">
        <is>
          <t>Group</t>
        </is>
      </c>
      <c r="E2556" t="inlineStr">
        <is>
          <t>Shared Living</t>
        </is>
      </c>
      <c r="F2556" t="inlineStr">
        <is>
          <t>Flatmates</t>
        </is>
      </c>
      <c r="G2556" t="inlineStr">
        <is>
          <t>Rent</t>
        </is>
      </c>
      <c r="H2556" t="inlineStr">
        <is>
          <t>Group &gt; Flatmates &gt; Quick Add &gt; Rent</t>
        </is>
      </c>
      <c r="I2556" s="18" t="n">
        <v>19697.66</v>
      </c>
      <c r="J2556" t="inlineStr">
        <is>
          <t>Created MTR-IOS-2555 and correlation note visible in Activity/Pulse</t>
        </is>
      </c>
      <c r="K2556" t="inlineStr">
        <is>
          <t>NOT_RUN</t>
        </is>
      </c>
      <c r="P2556" t="n">
        <v>0</v>
      </c>
      <c r="Q2556" t="n">
        <v>2555</v>
      </c>
    </row>
    <row r="2557">
      <c r="A2557" t="n">
        <v>2556</v>
      </c>
      <c r="B2557" t="inlineStr">
        <is>
          <t>MTR-IOS-2556</t>
        </is>
      </c>
      <c r="C2557" t="inlineStr">
        <is>
          <t>iPhone</t>
        </is>
      </c>
      <c r="D2557" t="inlineStr">
        <is>
          <t>Business</t>
        </is>
      </c>
      <c r="E2557" t="inlineStr">
        <is>
          <t>Business</t>
        </is>
      </c>
      <c r="F2557" t="inlineStr">
        <is>
          <t>Business Runway</t>
        </is>
      </c>
      <c r="G2557" t="inlineStr">
        <is>
          <t>Loan</t>
        </is>
      </c>
      <c r="H2557" t="inlineStr">
        <is>
          <t>Business &gt; Business Runway &gt; Quick Add &gt; Loan</t>
        </is>
      </c>
      <c r="I2557" s="18" t="n">
        <v>149737.37</v>
      </c>
      <c r="J2557" t="inlineStr">
        <is>
          <t>Created MTR-IOS-2556 and correlation note visible in Activity/Pulse</t>
        </is>
      </c>
      <c r="K2557" t="inlineStr">
        <is>
          <t>NOT_RUN</t>
        </is>
      </c>
      <c r="P2557" t="n">
        <v>0</v>
      </c>
      <c r="Q2557" t="n">
        <v>2556</v>
      </c>
    </row>
    <row r="2558">
      <c r="A2558" t="n">
        <v>2557</v>
      </c>
      <c r="B2558" t="inlineStr">
        <is>
          <t>MTR-IOS-2557</t>
        </is>
      </c>
      <c r="C2558" t="inlineStr">
        <is>
          <t>iPhone</t>
        </is>
      </c>
      <c r="D2558" t="inlineStr">
        <is>
          <t>Personal</t>
        </is>
      </c>
      <c r="E2558" t="inlineStr">
        <is>
          <t>Personal</t>
        </is>
      </c>
      <c r="F2558" t="inlineStr">
        <is>
          <t>Life Operations</t>
        </is>
      </c>
      <c r="G2558" t="inlineStr">
        <is>
          <t>Rent</t>
        </is>
      </c>
      <c r="H2558" t="inlineStr">
        <is>
          <t>Personal &gt; Life Operations &gt; Quick Add &gt; Rent</t>
        </is>
      </c>
      <c r="I2558" s="18" t="n">
        <v>16020.14</v>
      </c>
      <c r="J2558" t="inlineStr">
        <is>
          <t>Created MTR-IOS-2557 and correlation note visible in Activity/Pulse</t>
        </is>
      </c>
      <c r="K2558" t="inlineStr">
        <is>
          <t>NOT_RUN</t>
        </is>
      </c>
      <c r="P2558" t="n">
        <v>0</v>
      </c>
      <c r="Q2558" t="n">
        <v>2557</v>
      </c>
    </row>
    <row r="2559">
      <c r="A2559" t="n">
        <v>2558</v>
      </c>
      <c r="B2559" t="inlineStr">
        <is>
          <t>MTR-IOS-2558</t>
        </is>
      </c>
      <c r="C2559" t="inlineStr">
        <is>
          <t>iPhone</t>
        </is>
      </c>
      <c r="D2559" t="inlineStr">
        <is>
          <t>Group</t>
        </is>
      </c>
      <c r="E2559" t="inlineStr">
        <is>
          <t>Shared Living</t>
        </is>
      </c>
      <c r="F2559" t="inlineStr">
        <is>
          <t>Flatmates</t>
        </is>
      </c>
      <c r="G2559" t="inlineStr">
        <is>
          <t>Utilities</t>
        </is>
      </c>
      <c r="H2559" t="inlineStr">
        <is>
          <t>Group &gt; Flatmates &gt; Quick Add &gt; Utilities</t>
        </is>
      </c>
      <c r="I2559" s="18" t="n">
        <v>3806.71</v>
      </c>
      <c r="J2559" t="inlineStr">
        <is>
          <t>Created MTR-IOS-2558 and correlation note visible in Activity/Pulse</t>
        </is>
      </c>
      <c r="K2559" t="inlineStr">
        <is>
          <t>NOT_RUN</t>
        </is>
      </c>
      <c r="P2559" t="n">
        <v>0</v>
      </c>
      <c r="Q2559" t="n">
        <v>2558</v>
      </c>
    </row>
    <row r="2560">
      <c r="A2560" t="n">
        <v>2559</v>
      </c>
      <c r="B2560" t="inlineStr">
        <is>
          <t>MTR-IOS-2559</t>
        </is>
      </c>
      <c r="C2560" t="inlineStr">
        <is>
          <t>iPhone</t>
        </is>
      </c>
      <c r="D2560" t="inlineStr">
        <is>
          <t>Business</t>
        </is>
      </c>
      <c r="E2560" t="inlineStr">
        <is>
          <t>Business</t>
        </is>
      </c>
      <c r="F2560" t="inlineStr">
        <is>
          <t>Business Runway</t>
        </is>
      </c>
      <c r="G2560" t="inlineStr">
        <is>
          <t>Investment</t>
        </is>
      </c>
      <c r="H2560" t="inlineStr">
        <is>
          <t>Business &gt; Business Runway &gt; Quick Add &gt; Investment</t>
        </is>
      </c>
      <c r="I2560" s="18" t="n">
        <v>68481.49000000001</v>
      </c>
      <c r="J2560" t="inlineStr">
        <is>
          <t>Created MTR-IOS-2559 and correlation note visible in Activity/Pulse</t>
        </is>
      </c>
      <c r="K2560" t="inlineStr">
        <is>
          <t>NOT_RUN</t>
        </is>
      </c>
      <c r="P2560" t="n">
        <v>0</v>
      </c>
      <c r="Q2560" t="n">
        <v>2559</v>
      </c>
    </row>
    <row r="2561">
      <c r="A2561" t="n">
        <v>2560</v>
      </c>
      <c r="B2561" t="inlineStr">
        <is>
          <t>MTR-IOS-2560</t>
        </is>
      </c>
      <c r="C2561" t="inlineStr">
        <is>
          <t>iPhone</t>
        </is>
      </c>
      <c r="D2561" t="inlineStr">
        <is>
          <t>Personal</t>
        </is>
      </c>
      <c r="E2561" t="inlineStr">
        <is>
          <t>Personal</t>
        </is>
      </c>
      <c r="F2561" t="inlineStr">
        <is>
          <t>Life Operations</t>
        </is>
      </c>
      <c r="G2561" t="inlineStr">
        <is>
          <t>Bills</t>
        </is>
      </c>
      <c r="H2561" t="inlineStr">
        <is>
          <t>Personal &gt; Life Operations &gt; Quick Add &gt; Bills</t>
        </is>
      </c>
      <c r="I2561" s="18" t="n">
        <v>11775.7</v>
      </c>
      <c r="J2561" t="inlineStr">
        <is>
          <t>Created MTR-IOS-2560 and correlation note visible in Activity/Pulse</t>
        </is>
      </c>
      <c r="K2561" t="inlineStr">
        <is>
          <t>NOT_RUN</t>
        </is>
      </c>
      <c r="P2561" t="n">
        <v>0</v>
      </c>
      <c r="Q2561" t="n">
        <v>2560</v>
      </c>
    </row>
    <row r="2562">
      <c r="A2562" t="n">
        <v>2561</v>
      </c>
      <c r="B2562" t="inlineStr">
        <is>
          <t>MTR-IOS-2561</t>
        </is>
      </c>
      <c r="C2562" t="inlineStr">
        <is>
          <t>iPhone</t>
        </is>
      </c>
      <c r="D2562" t="inlineStr">
        <is>
          <t>Group</t>
        </is>
      </c>
      <c r="E2562" t="inlineStr">
        <is>
          <t>Shared Living</t>
        </is>
      </c>
      <c r="F2562" t="inlineStr">
        <is>
          <t>Flatmates</t>
        </is>
      </c>
      <c r="G2562" t="inlineStr">
        <is>
          <t>Groceries</t>
        </is>
      </c>
      <c r="H2562" t="inlineStr">
        <is>
          <t>Group &gt; Flatmates &gt; Quick Add &gt; Groceries</t>
        </is>
      </c>
      <c r="I2562" s="18" t="n">
        <v>22006.07</v>
      </c>
      <c r="J2562" t="inlineStr">
        <is>
          <t>Created MTR-IOS-2561 and correlation note visible in Activity/Pulse</t>
        </is>
      </c>
      <c r="K2562" t="inlineStr">
        <is>
          <t>NOT_RUN</t>
        </is>
      </c>
      <c r="P2562" t="n">
        <v>0</v>
      </c>
      <c r="Q2562" t="n">
        <v>2561</v>
      </c>
    </row>
    <row r="2563">
      <c r="A2563" t="n">
        <v>2562</v>
      </c>
      <c r="B2563" t="inlineStr">
        <is>
          <t>MTR-IOS-2562</t>
        </is>
      </c>
      <c r="C2563" t="inlineStr">
        <is>
          <t>iPhone</t>
        </is>
      </c>
      <c r="D2563" t="inlineStr">
        <is>
          <t>Business</t>
        </is>
      </c>
      <c r="E2563" t="inlineStr">
        <is>
          <t>Business</t>
        </is>
      </c>
      <c r="F2563" t="inlineStr">
        <is>
          <t>Business Operations</t>
        </is>
      </c>
      <c r="G2563" t="inlineStr">
        <is>
          <t>Software</t>
        </is>
      </c>
      <c r="H2563" t="inlineStr">
        <is>
          <t>Business &gt; Business Operations &gt; Quick Add &gt; Software</t>
        </is>
      </c>
      <c r="I2563" s="18" t="n">
        <v>105169.96</v>
      </c>
      <c r="J2563" t="inlineStr">
        <is>
          <t>Created MTR-IOS-2562 and correlation note visible in Activity/Pulse</t>
        </is>
      </c>
      <c r="K2563" t="inlineStr">
        <is>
          <t>NOT_RUN</t>
        </is>
      </c>
      <c r="P2563" t="n">
        <v>0</v>
      </c>
      <c r="Q2563" t="n">
        <v>2562</v>
      </c>
    </row>
    <row r="2564">
      <c r="A2564" t="n">
        <v>2563</v>
      </c>
      <c r="B2564" t="inlineStr">
        <is>
          <t>MTR-IOS-2563</t>
        </is>
      </c>
      <c r="C2564" t="inlineStr">
        <is>
          <t>iPhone</t>
        </is>
      </c>
      <c r="D2564" t="inlineStr">
        <is>
          <t>Personal</t>
        </is>
      </c>
      <c r="E2564" t="inlineStr">
        <is>
          <t>Personal</t>
        </is>
      </c>
      <c r="F2564" t="inlineStr">
        <is>
          <t>Life Operations</t>
        </is>
      </c>
      <c r="G2564" t="inlineStr">
        <is>
          <t>Transport</t>
        </is>
      </c>
      <c r="H2564" t="inlineStr">
        <is>
          <t>Personal &gt; Life Operations &gt; Quick Add &gt; Transport</t>
        </is>
      </c>
      <c r="I2564" s="18" t="n">
        <v>374.52</v>
      </c>
      <c r="J2564" t="inlineStr">
        <is>
          <t>Created MTR-IOS-2563 and correlation note visible in Activity/Pulse</t>
        </is>
      </c>
      <c r="K2564" t="inlineStr">
        <is>
          <t>NOT_RUN</t>
        </is>
      </c>
      <c r="P2564" t="n">
        <v>0</v>
      </c>
      <c r="Q2564" t="n">
        <v>2563</v>
      </c>
    </row>
    <row r="2565">
      <c r="A2565" t="n">
        <v>2564</v>
      </c>
      <c r="B2565" t="inlineStr">
        <is>
          <t>MTR-IOS-2564</t>
        </is>
      </c>
      <c r="C2565" t="inlineStr">
        <is>
          <t>iPhone</t>
        </is>
      </c>
      <c r="D2565" t="inlineStr">
        <is>
          <t>Group</t>
        </is>
      </c>
      <c r="E2565" t="inlineStr">
        <is>
          <t>Shared Living</t>
        </is>
      </c>
      <c r="F2565" t="inlineStr">
        <is>
          <t>Flatmates</t>
        </is>
      </c>
      <c r="G2565" t="inlineStr">
        <is>
          <t>Internet</t>
        </is>
      </c>
      <c r="H2565" t="inlineStr">
        <is>
          <t>Group &gt; Flatmates &gt; Quick Add &gt; Internet</t>
        </is>
      </c>
      <c r="I2565" s="18" t="n">
        <v>15713.27</v>
      </c>
      <c r="J2565" t="inlineStr">
        <is>
          <t>Created MTR-IOS-2564 and correlation note visible in Activity/Pulse</t>
        </is>
      </c>
      <c r="K2565" t="inlineStr">
        <is>
          <t>NOT_RUN</t>
        </is>
      </c>
      <c r="P2565" t="n">
        <v>0</v>
      </c>
      <c r="Q2565" t="n">
        <v>2564</v>
      </c>
    </row>
    <row r="2566">
      <c r="A2566" t="n">
        <v>2565</v>
      </c>
      <c r="B2566" t="inlineStr">
        <is>
          <t>MTR-IOS-2565</t>
        </is>
      </c>
      <c r="C2566" t="inlineStr">
        <is>
          <t>iPhone</t>
        </is>
      </c>
      <c r="D2566" t="inlineStr">
        <is>
          <t>Business</t>
        </is>
      </c>
      <c r="E2566" t="inlineStr">
        <is>
          <t>Business</t>
        </is>
      </c>
      <c r="F2566" t="inlineStr">
        <is>
          <t>Business Operations</t>
        </is>
      </c>
      <c r="G2566" t="inlineStr">
        <is>
          <t>Rent</t>
        </is>
      </c>
      <c r="H2566" t="inlineStr">
        <is>
          <t>Business &gt; Business Operations &gt; Quick Add &gt; Rent</t>
        </is>
      </c>
      <c r="I2566" s="18" t="n">
        <v>115150.86</v>
      </c>
      <c r="J2566" t="inlineStr">
        <is>
          <t>Created MTR-IOS-2565 and correlation note visible in Activity/Pulse</t>
        </is>
      </c>
      <c r="K2566" t="inlineStr">
        <is>
          <t>NOT_RUN</t>
        </is>
      </c>
      <c r="P2566" t="n">
        <v>0</v>
      </c>
      <c r="Q2566" t="n">
        <v>2565</v>
      </c>
    </row>
    <row r="2567">
      <c r="A2567" t="n">
        <v>2566</v>
      </c>
      <c r="B2567" t="inlineStr">
        <is>
          <t>MTR-IOS-2566</t>
        </is>
      </c>
      <c r="C2567" t="inlineStr">
        <is>
          <t>iPhone</t>
        </is>
      </c>
      <c r="D2567" t="inlineStr">
        <is>
          <t>Personal</t>
        </is>
      </c>
      <c r="E2567" t="inlineStr">
        <is>
          <t>Personal</t>
        </is>
      </c>
      <c r="F2567" t="inlineStr">
        <is>
          <t>Life Operations</t>
        </is>
      </c>
      <c r="G2567" t="inlineStr">
        <is>
          <t>Healthcare</t>
        </is>
      </c>
      <c r="H2567" t="inlineStr">
        <is>
          <t>Personal &gt; Life Operations &gt; Quick Add &gt; Healthcare</t>
        </is>
      </c>
      <c r="I2567" s="18" t="n">
        <v>2480.86</v>
      </c>
      <c r="J2567" t="inlineStr">
        <is>
          <t>Created MTR-IOS-2566 and correlation note visible in Activity/Pulse</t>
        </is>
      </c>
      <c r="K2567" t="inlineStr">
        <is>
          <t>NOT_RUN</t>
        </is>
      </c>
      <c r="P2567" t="n">
        <v>0</v>
      </c>
      <c r="Q2567" t="n">
        <v>2566</v>
      </c>
    </row>
    <row r="2568">
      <c r="A2568" t="n">
        <v>2567</v>
      </c>
      <c r="B2568" t="inlineStr">
        <is>
          <t>MTR-IOS-2567</t>
        </is>
      </c>
      <c r="C2568" t="inlineStr">
        <is>
          <t>iPhone</t>
        </is>
      </c>
      <c r="D2568" t="inlineStr">
        <is>
          <t>Group</t>
        </is>
      </c>
      <c r="E2568" t="inlineStr">
        <is>
          <t>Shared Living</t>
        </is>
      </c>
      <c r="F2568" t="inlineStr">
        <is>
          <t>Flatmates</t>
        </is>
      </c>
      <c r="G2568" t="inlineStr">
        <is>
          <t>House Supplies</t>
        </is>
      </c>
      <c r="H2568" t="inlineStr">
        <is>
          <t>Group &gt; Flatmates &gt; Quick Add &gt; House Supplies</t>
        </is>
      </c>
      <c r="I2568" s="18" t="n">
        <v>24829.37</v>
      </c>
      <c r="J2568" t="inlineStr">
        <is>
          <t>Created MTR-IOS-2567 and correlation note visible in Activity/Pulse</t>
        </is>
      </c>
      <c r="K2568" t="inlineStr">
        <is>
          <t>NOT_RUN</t>
        </is>
      </c>
      <c r="P2568" t="n">
        <v>0</v>
      </c>
      <c r="Q2568" t="n">
        <v>2567</v>
      </c>
    </row>
    <row r="2569">
      <c r="A2569" t="n">
        <v>2568</v>
      </c>
      <c r="B2569" t="inlineStr">
        <is>
          <t>MTR-IOS-2568</t>
        </is>
      </c>
      <c r="C2569" t="inlineStr">
        <is>
          <t>iPhone</t>
        </is>
      </c>
      <c r="D2569" t="inlineStr">
        <is>
          <t>Business</t>
        </is>
      </c>
      <c r="E2569" t="inlineStr">
        <is>
          <t>Business</t>
        </is>
      </c>
      <c r="F2569" t="inlineStr">
        <is>
          <t>Business Operations</t>
        </is>
      </c>
      <c r="G2569" t="inlineStr">
        <is>
          <t>Marketing</t>
        </is>
      </c>
      <c r="H2569" t="inlineStr">
        <is>
          <t>Business &gt; Business Operations &gt; Quick Add &gt; Marketing</t>
        </is>
      </c>
      <c r="I2569" s="18" t="n">
        <v>116091.1</v>
      </c>
      <c r="J2569" t="inlineStr">
        <is>
          <t>Created MTR-IOS-2568 and correlation note visible in Activity/Pulse</t>
        </is>
      </c>
      <c r="K2569" t="inlineStr">
        <is>
          <t>NOT_RUN</t>
        </is>
      </c>
      <c r="P2569" t="n">
        <v>0</v>
      </c>
      <c r="Q2569" t="n">
        <v>2568</v>
      </c>
    </row>
    <row r="2570">
      <c r="A2570" t="n">
        <v>2569</v>
      </c>
      <c r="B2570" t="inlineStr">
        <is>
          <t>MTR-IOS-2569</t>
        </is>
      </c>
      <c r="C2570" t="inlineStr">
        <is>
          <t>iPhone</t>
        </is>
      </c>
      <c r="D2570" t="inlineStr">
        <is>
          <t>Personal</t>
        </is>
      </c>
      <c r="E2570" t="inlineStr">
        <is>
          <t>Personal</t>
        </is>
      </c>
      <c r="F2570" t="inlineStr">
        <is>
          <t>Life Operations</t>
        </is>
      </c>
      <c r="G2570" t="inlineStr">
        <is>
          <t>Subscriptions</t>
        </is>
      </c>
      <c r="H2570" t="inlineStr">
        <is>
          <t>Personal &gt; Life Operations &gt; Quick Add &gt; Subscriptions</t>
        </is>
      </c>
      <c r="I2570" s="18" t="n">
        <v>10537.5</v>
      </c>
      <c r="J2570" t="inlineStr">
        <is>
          <t>Created MTR-IOS-2569 and correlation note visible in Activity/Pulse</t>
        </is>
      </c>
      <c r="K2570" t="inlineStr">
        <is>
          <t>NOT_RUN</t>
        </is>
      </c>
      <c r="P2570" t="n">
        <v>0</v>
      </c>
      <c r="Q2570" t="n">
        <v>2569</v>
      </c>
    </row>
    <row r="2571">
      <c r="A2571" t="n">
        <v>2570</v>
      </c>
      <c r="B2571" t="inlineStr">
        <is>
          <t>MTR-IOS-2570</t>
        </is>
      </c>
      <c r="C2571" t="inlineStr">
        <is>
          <t>iPhone</t>
        </is>
      </c>
      <c r="D2571" t="inlineStr">
        <is>
          <t>Group</t>
        </is>
      </c>
      <c r="E2571" t="inlineStr">
        <is>
          <t>Shared Living</t>
        </is>
      </c>
      <c r="F2571" t="inlineStr">
        <is>
          <t>Flatmates</t>
        </is>
      </c>
      <c r="G2571" t="inlineStr">
        <is>
          <t>Repairs</t>
        </is>
      </c>
      <c r="H2571" t="inlineStr">
        <is>
          <t>Group &gt; Flatmates &gt; Quick Add &gt; Repairs</t>
        </is>
      </c>
      <c r="I2571" s="18" t="n">
        <v>21512.65</v>
      </c>
      <c r="J2571" t="inlineStr">
        <is>
          <t>Created MTR-IOS-2570 and correlation note visible in Activity/Pulse</t>
        </is>
      </c>
      <c r="K2571" t="inlineStr">
        <is>
          <t>NOT_RUN</t>
        </is>
      </c>
      <c r="P2571" t="n">
        <v>0</v>
      </c>
      <c r="Q2571" t="n">
        <v>2570</v>
      </c>
    </row>
    <row r="2572">
      <c r="A2572" t="n">
        <v>2571</v>
      </c>
      <c r="B2572" t="inlineStr">
        <is>
          <t>MTR-IOS-2571</t>
        </is>
      </c>
      <c r="C2572" t="inlineStr">
        <is>
          <t>iPhone</t>
        </is>
      </c>
      <c r="D2572" t="inlineStr">
        <is>
          <t>Business</t>
        </is>
      </c>
      <c r="E2572" t="inlineStr">
        <is>
          <t>Business</t>
        </is>
      </c>
      <c r="F2572" t="inlineStr">
        <is>
          <t>Business Operations</t>
        </is>
      </c>
      <c r="G2572" t="inlineStr">
        <is>
          <t>Legal</t>
        </is>
      </c>
      <c r="H2572" t="inlineStr">
        <is>
          <t>Business &gt; Business Operations &gt; Quick Add &gt; Legal</t>
        </is>
      </c>
      <c r="I2572" s="18" t="n">
        <v>65339.59</v>
      </c>
      <c r="J2572" t="inlineStr">
        <is>
          <t>Created MTR-IOS-2571 and correlation note visible in Activity/Pulse</t>
        </is>
      </c>
      <c r="K2572" t="inlineStr">
        <is>
          <t>NOT_RUN</t>
        </is>
      </c>
      <c r="P2572" t="n">
        <v>0</v>
      </c>
      <c r="Q2572" t="n">
        <v>2571</v>
      </c>
    </row>
    <row r="2573">
      <c r="A2573" t="n">
        <v>2572</v>
      </c>
      <c r="B2573" t="inlineStr">
        <is>
          <t>MTR-IOS-2572</t>
        </is>
      </c>
      <c r="C2573" t="inlineStr">
        <is>
          <t>iPhone</t>
        </is>
      </c>
      <c r="D2573" t="inlineStr">
        <is>
          <t>Personal</t>
        </is>
      </c>
      <c r="E2573" t="inlineStr">
        <is>
          <t>Personal</t>
        </is>
      </c>
      <c r="F2573" t="inlineStr">
        <is>
          <t>Life Operations</t>
        </is>
      </c>
      <c r="G2573" t="inlineStr">
        <is>
          <t>Repairs</t>
        </is>
      </c>
      <c r="H2573" t="inlineStr">
        <is>
          <t>Personal &gt; Life Operations &gt; Quick Add &gt; Repairs</t>
        </is>
      </c>
      <c r="I2573" s="18" t="n">
        <v>4163.24</v>
      </c>
      <c r="J2573" t="inlineStr">
        <is>
          <t>Created MTR-IOS-2572 and correlation note visible in Activity/Pulse</t>
        </is>
      </c>
      <c r="K2573" t="inlineStr">
        <is>
          <t>NOT_RUN</t>
        </is>
      </c>
      <c r="P2573" t="n">
        <v>0</v>
      </c>
      <c r="Q2573" t="n">
        <v>2572</v>
      </c>
    </row>
    <row r="2574">
      <c r="A2574" t="n">
        <v>2573</v>
      </c>
      <c r="B2574" t="inlineStr">
        <is>
          <t>MTR-IOS-2573</t>
        </is>
      </c>
      <c r="C2574" t="inlineStr">
        <is>
          <t>iPhone</t>
        </is>
      </c>
      <c r="D2574" t="inlineStr">
        <is>
          <t>Group</t>
        </is>
      </c>
      <c r="E2574" t="inlineStr">
        <is>
          <t>Shared Living</t>
        </is>
      </c>
      <c r="F2574" t="inlineStr">
        <is>
          <t>Shared Living</t>
        </is>
      </c>
      <c r="G2574" t="inlineStr">
        <is>
          <t>Rent</t>
        </is>
      </c>
      <c r="H2574" t="inlineStr">
        <is>
          <t>Group &gt; Shared Living &gt; Quick Add &gt; Rent</t>
        </is>
      </c>
      <c r="I2574" s="18" t="n">
        <v>4262.82</v>
      </c>
      <c r="J2574" t="inlineStr">
        <is>
          <t>Created MTR-IOS-2573 and correlation note visible in Activity/Pulse</t>
        </is>
      </c>
      <c r="K2574" t="inlineStr">
        <is>
          <t>NOT_RUN</t>
        </is>
      </c>
      <c r="P2574" t="n">
        <v>0</v>
      </c>
      <c r="Q2574" t="n">
        <v>2573</v>
      </c>
    </row>
    <row r="2575">
      <c r="A2575" t="n">
        <v>2574</v>
      </c>
      <c r="B2575" t="inlineStr">
        <is>
          <t>MTR-IOS-2574</t>
        </is>
      </c>
      <c r="C2575" t="inlineStr">
        <is>
          <t>iPhone</t>
        </is>
      </c>
      <c r="D2575" t="inlineStr">
        <is>
          <t>Business</t>
        </is>
      </c>
      <c r="E2575" t="inlineStr">
        <is>
          <t>Business</t>
        </is>
      </c>
      <c r="F2575" t="inlineStr">
        <is>
          <t>Business Operations</t>
        </is>
      </c>
      <c r="G2575" t="inlineStr">
        <is>
          <t>Accounting</t>
        </is>
      </c>
      <c r="H2575" t="inlineStr">
        <is>
          <t>Business &gt; Business Operations &gt; Quick Add &gt; Accounting</t>
        </is>
      </c>
      <c r="I2575" s="18" t="n">
        <v>43857.68</v>
      </c>
      <c r="J2575" t="inlineStr">
        <is>
          <t>Created MTR-IOS-2574 and correlation note visible in Activity/Pulse</t>
        </is>
      </c>
      <c r="K2575" t="inlineStr">
        <is>
          <t>NOT_RUN</t>
        </is>
      </c>
      <c r="P2575" t="n">
        <v>0</v>
      </c>
      <c r="Q2575" t="n">
        <v>2574</v>
      </c>
    </row>
    <row r="2576">
      <c r="A2576" t="n">
        <v>2575</v>
      </c>
      <c r="B2576" t="inlineStr">
        <is>
          <t>MTR-IOS-2575</t>
        </is>
      </c>
      <c r="C2576" t="inlineStr">
        <is>
          <t>iPhone</t>
        </is>
      </c>
      <c r="D2576" t="inlineStr">
        <is>
          <t>Personal</t>
        </is>
      </c>
      <c r="E2576" t="inlineStr">
        <is>
          <t>Personal</t>
        </is>
      </c>
      <c r="F2576" t="inlineStr">
        <is>
          <t>Future Building</t>
        </is>
      </c>
      <c r="G2576" t="inlineStr">
        <is>
          <t>Savings</t>
        </is>
      </c>
      <c r="H2576" t="inlineStr">
        <is>
          <t>Personal &gt; Future Building &gt; Quick Add &gt; Savings</t>
        </is>
      </c>
      <c r="I2576" s="18" t="n">
        <v>360.75</v>
      </c>
      <c r="J2576" t="inlineStr">
        <is>
          <t>Created MTR-IOS-2575 and correlation note visible in Activity/Pulse</t>
        </is>
      </c>
      <c r="K2576" t="inlineStr">
        <is>
          <t>NOT_RUN</t>
        </is>
      </c>
      <c r="P2576" t="n">
        <v>0</v>
      </c>
      <c r="Q2576" t="n">
        <v>2575</v>
      </c>
    </row>
    <row r="2577">
      <c r="A2577" t="n">
        <v>2576</v>
      </c>
      <c r="B2577" t="inlineStr">
        <is>
          <t>MTR-IOS-2576</t>
        </is>
      </c>
      <c r="C2577" t="inlineStr">
        <is>
          <t>iPhone</t>
        </is>
      </c>
      <c r="D2577" t="inlineStr">
        <is>
          <t>Group</t>
        </is>
      </c>
      <c r="E2577" t="inlineStr">
        <is>
          <t>Shared Living</t>
        </is>
      </c>
      <c r="F2577" t="inlineStr">
        <is>
          <t>Shared Living</t>
        </is>
      </c>
      <c r="G2577" t="inlineStr">
        <is>
          <t>Utilities</t>
        </is>
      </c>
      <c r="H2577" t="inlineStr">
        <is>
          <t>Group &gt; Shared Living &gt; Quick Add &gt; Utilities</t>
        </is>
      </c>
      <c r="I2577" s="18" t="n">
        <v>12296.71</v>
      </c>
      <c r="J2577" t="inlineStr">
        <is>
          <t>Created MTR-IOS-2576 and correlation note visible in Activity/Pulse</t>
        </is>
      </c>
      <c r="K2577" t="inlineStr">
        <is>
          <t>NOT_RUN</t>
        </is>
      </c>
      <c r="P2577" t="n">
        <v>0</v>
      </c>
      <c r="Q2577" t="n">
        <v>2576</v>
      </c>
    </row>
    <row r="2578">
      <c r="A2578" t="n">
        <v>2577</v>
      </c>
      <c r="B2578" t="inlineStr">
        <is>
          <t>MTR-IOS-2577</t>
        </is>
      </c>
      <c r="C2578" t="inlineStr">
        <is>
          <t>iPhone</t>
        </is>
      </c>
      <c r="D2578" t="inlineStr">
        <is>
          <t>Business</t>
        </is>
      </c>
      <c r="E2578" t="inlineStr">
        <is>
          <t>Business</t>
        </is>
      </c>
      <c r="F2578" t="inlineStr">
        <is>
          <t>Business Operations</t>
        </is>
      </c>
      <c r="G2578" t="inlineStr">
        <is>
          <t>Equipment</t>
        </is>
      </c>
      <c r="H2578" t="inlineStr">
        <is>
          <t>Business &gt; Business Operations &gt; Quick Add &gt; Equipment</t>
        </is>
      </c>
      <c r="I2578" s="18" t="n">
        <v>59560.26</v>
      </c>
      <c r="J2578" t="inlineStr">
        <is>
          <t>Created MTR-IOS-2577 and correlation note visible in Activity/Pulse</t>
        </is>
      </c>
      <c r="K2578" t="inlineStr">
        <is>
          <t>NOT_RUN</t>
        </is>
      </c>
      <c r="P2578" t="n">
        <v>0</v>
      </c>
      <c r="Q2578" t="n">
        <v>2577</v>
      </c>
    </row>
    <row r="2579">
      <c r="A2579" t="n">
        <v>2578</v>
      </c>
      <c r="B2579" t="inlineStr">
        <is>
          <t>MTR-IOS-2578</t>
        </is>
      </c>
      <c r="C2579" t="inlineStr">
        <is>
          <t>iPhone</t>
        </is>
      </c>
      <c r="D2579" t="inlineStr">
        <is>
          <t>Personal</t>
        </is>
      </c>
      <c r="E2579" t="inlineStr">
        <is>
          <t>Personal</t>
        </is>
      </c>
      <c r="F2579" t="inlineStr">
        <is>
          <t>Future Building</t>
        </is>
      </c>
      <c r="G2579" t="inlineStr">
        <is>
          <t>Emergency Fund</t>
        </is>
      </c>
      <c r="H2579" t="inlineStr">
        <is>
          <t>Personal &gt; Future Building &gt; Quick Add &gt; Emergency Fund</t>
        </is>
      </c>
      <c r="I2579" s="18" t="n">
        <v>11345.28</v>
      </c>
      <c r="J2579" t="inlineStr">
        <is>
          <t>Created MTR-IOS-2578 and correlation note visible in Activity/Pulse</t>
        </is>
      </c>
      <c r="K2579" t="inlineStr">
        <is>
          <t>NOT_RUN</t>
        </is>
      </c>
      <c r="P2579" t="n">
        <v>0</v>
      </c>
      <c r="Q2579" t="n">
        <v>2578</v>
      </c>
    </row>
    <row r="2580">
      <c r="A2580" t="n">
        <v>2579</v>
      </c>
      <c r="B2580" t="inlineStr">
        <is>
          <t>MTR-IOS-2579</t>
        </is>
      </c>
      <c r="C2580" t="inlineStr">
        <is>
          <t>iPhone</t>
        </is>
      </c>
      <c r="D2580" t="inlineStr">
        <is>
          <t>Group</t>
        </is>
      </c>
      <c r="E2580" t="inlineStr">
        <is>
          <t>Shared Living</t>
        </is>
      </c>
      <c r="F2580" t="inlineStr">
        <is>
          <t>Shared Living</t>
        </is>
      </c>
      <c r="G2580" t="inlineStr">
        <is>
          <t>Groceries</t>
        </is>
      </c>
      <c r="H2580" t="inlineStr">
        <is>
          <t>Group &gt; Shared Living &gt; Quick Add &gt; Groceries</t>
        </is>
      </c>
      <c r="I2580" s="18" t="n">
        <v>8518.299999999999</v>
      </c>
      <c r="J2580" t="inlineStr">
        <is>
          <t>Created MTR-IOS-2579 and correlation note visible in Activity/Pulse</t>
        </is>
      </c>
      <c r="K2580" t="inlineStr">
        <is>
          <t>NOT_RUN</t>
        </is>
      </c>
      <c r="P2580" t="n">
        <v>0</v>
      </c>
      <c r="Q2580" t="n">
        <v>2579</v>
      </c>
    </row>
    <row r="2581">
      <c r="A2581" t="n">
        <v>2580</v>
      </c>
      <c r="B2581" t="inlineStr">
        <is>
          <t>MTR-IOS-2580</t>
        </is>
      </c>
      <c r="C2581" t="inlineStr">
        <is>
          <t>iPhone</t>
        </is>
      </c>
      <c r="D2581" t="inlineStr">
        <is>
          <t>Business</t>
        </is>
      </c>
      <c r="E2581" t="inlineStr">
        <is>
          <t>Business</t>
        </is>
      </c>
      <c r="F2581" t="inlineStr">
        <is>
          <t>Business Operations</t>
        </is>
      </c>
      <c r="G2581" t="inlineStr">
        <is>
          <t>Vendor</t>
        </is>
      </c>
      <c r="H2581" t="inlineStr">
        <is>
          <t>Business &gt; Business Operations &gt; Quick Add &gt; Vendor</t>
        </is>
      </c>
      <c r="I2581" s="18" t="n">
        <v>19972.33</v>
      </c>
      <c r="J2581" t="inlineStr">
        <is>
          <t>Created MTR-IOS-2580 and correlation note visible in Activity/Pulse</t>
        </is>
      </c>
      <c r="K2581" t="inlineStr">
        <is>
          <t>NOT_RUN</t>
        </is>
      </c>
      <c r="P2581" t="n">
        <v>0</v>
      </c>
      <c r="Q2581" t="n">
        <v>2580</v>
      </c>
    </row>
    <row r="2582">
      <c r="A2582" t="n">
        <v>2581</v>
      </c>
      <c r="B2582" t="inlineStr">
        <is>
          <t>MTR-IOS-2581</t>
        </is>
      </c>
      <c r="C2582" t="inlineStr">
        <is>
          <t>iPhone</t>
        </is>
      </c>
      <c r="D2582" t="inlineStr">
        <is>
          <t>Personal</t>
        </is>
      </c>
      <c r="E2582" t="inlineStr">
        <is>
          <t>Personal</t>
        </is>
      </c>
      <c r="F2582" t="inlineStr">
        <is>
          <t>Future Building</t>
        </is>
      </c>
      <c r="G2582" t="inlineStr">
        <is>
          <t>Investments</t>
        </is>
      </c>
      <c r="H2582" t="inlineStr">
        <is>
          <t>Personal &gt; Future Building &gt; Quick Add &gt; Investments</t>
        </is>
      </c>
      <c r="I2582" s="18" t="n">
        <v>14914.33</v>
      </c>
      <c r="J2582" t="inlineStr">
        <is>
          <t>Created MTR-IOS-2581 and correlation note visible in Activity/Pulse</t>
        </is>
      </c>
      <c r="K2582" t="inlineStr">
        <is>
          <t>NOT_RUN</t>
        </is>
      </c>
      <c r="P2582" t="n">
        <v>0</v>
      </c>
      <c r="Q2582" t="n">
        <v>2581</v>
      </c>
    </row>
    <row r="2583">
      <c r="A2583" t="n">
        <v>2582</v>
      </c>
      <c r="B2583" t="inlineStr">
        <is>
          <t>MTR-IOS-2582</t>
        </is>
      </c>
      <c r="C2583" t="inlineStr">
        <is>
          <t>iPhone</t>
        </is>
      </c>
      <c r="D2583" t="inlineStr">
        <is>
          <t>Group</t>
        </is>
      </c>
      <c r="E2583" t="inlineStr">
        <is>
          <t>Shared Living</t>
        </is>
      </c>
      <c r="F2583" t="inlineStr">
        <is>
          <t>Shared Living</t>
        </is>
      </c>
      <c r="G2583" t="inlineStr">
        <is>
          <t>Maintenance</t>
        </is>
      </c>
      <c r="H2583" t="inlineStr">
        <is>
          <t>Group &gt; Shared Living &gt; Quick Add &gt; Maintenance</t>
        </is>
      </c>
      <c r="I2583" s="18" t="n">
        <v>2596.18</v>
      </c>
      <c r="J2583" t="inlineStr">
        <is>
          <t>Created MTR-IOS-2582 and correlation note visible in Activity/Pulse</t>
        </is>
      </c>
      <c r="K2583" t="inlineStr">
        <is>
          <t>NOT_RUN</t>
        </is>
      </c>
      <c r="P2583" t="n">
        <v>0</v>
      </c>
      <c r="Q2583" t="n">
        <v>2582</v>
      </c>
    </row>
    <row r="2584">
      <c r="A2584" t="n">
        <v>2583</v>
      </c>
      <c r="B2584" t="inlineStr">
        <is>
          <t>MTR-IOS-2583</t>
        </is>
      </c>
      <c r="C2584" t="inlineStr">
        <is>
          <t>iPhone</t>
        </is>
      </c>
      <c r="D2584" t="inlineStr">
        <is>
          <t>Business</t>
        </is>
      </c>
      <c r="E2584" t="inlineStr">
        <is>
          <t>Business</t>
        </is>
      </c>
      <c r="F2584" t="inlineStr">
        <is>
          <t>Business Operations</t>
        </is>
      </c>
      <c r="G2584" t="inlineStr">
        <is>
          <t>Tax</t>
        </is>
      </c>
      <c r="H2584" t="inlineStr">
        <is>
          <t>Business &gt; Business Operations &gt; Quick Add &gt; Tax</t>
        </is>
      </c>
      <c r="I2584" s="18" t="n">
        <v>136352.42</v>
      </c>
      <c r="J2584" t="inlineStr">
        <is>
          <t>Created MTR-IOS-2583 and correlation note visible in Activity/Pulse</t>
        </is>
      </c>
      <c r="K2584" t="inlineStr">
        <is>
          <t>NOT_RUN</t>
        </is>
      </c>
      <c r="P2584" t="n">
        <v>0</v>
      </c>
      <c r="Q2584" t="n">
        <v>2583</v>
      </c>
    </row>
    <row r="2585">
      <c r="A2585" t="n">
        <v>2584</v>
      </c>
      <c r="B2585" t="inlineStr">
        <is>
          <t>MTR-IOS-2584</t>
        </is>
      </c>
      <c r="C2585" t="inlineStr">
        <is>
          <t>iPhone</t>
        </is>
      </c>
      <c r="D2585" t="inlineStr">
        <is>
          <t>Personal</t>
        </is>
      </c>
      <c r="E2585" t="inlineStr">
        <is>
          <t>Personal</t>
        </is>
      </c>
      <c r="F2585" t="inlineStr">
        <is>
          <t>Future Building</t>
        </is>
      </c>
      <c r="G2585" t="inlineStr">
        <is>
          <t>Education</t>
        </is>
      </c>
      <c r="H2585" t="inlineStr">
        <is>
          <t>Personal &gt; Future Building &gt; Quick Add &gt; Education</t>
        </is>
      </c>
      <c r="I2585" s="18" t="n">
        <v>11867.59</v>
      </c>
      <c r="J2585" t="inlineStr">
        <is>
          <t>Created MTR-IOS-2584 and correlation note visible in Activity/Pulse</t>
        </is>
      </c>
      <c r="K2585" t="inlineStr">
        <is>
          <t>NOT_RUN</t>
        </is>
      </c>
      <c r="P2585" t="n">
        <v>0</v>
      </c>
      <c r="Q2585" t="n">
        <v>2584</v>
      </c>
    </row>
    <row r="2586">
      <c r="A2586" t="n">
        <v>2585</v>
      </c>
      <c r="B2586" t="inlineStr">
        <is>
          <t>MTR-IOS-2585</t>
        </is>
      </c>
      <c r="C2586" t="inlineStr">
        <is>
          <t>iPhone</t>
        </is>
      </c>
      <c r="D2586" t="inlineStr">
        <is>
          <t>Group</t>
        </is>
      </c>
      <c r="E2586" t="inlineStr">
        <is>
          <t>Shared Living</t>
        </is>
      </c>
      <c r="F2586" t="inlineStr">
        <is>
          <t>Shared Living</t>
        </is>
      </c>
      <c r="G2586" t="inlineStr">
        <is>
          <t>Other</t>
        </is>
      </c>
      <c r="H2586" t="inlineStr">
        <is>
          <t>Group &gt; Shared Living &gt; Quick Add &gt; Other</t>
        </is>
      </c>
      <c r="I2586" s="18" t="n">
        <v>20821.38</v>
      </c>
      <c r="J2586" t="inlineStr">
        <is>
          <t>Created MTR-IOS-2585 and correlation note visible in Activity/Pulse</t>
        </is>
      </c>
      <c r="K2586" t="inlineStr">
        <is>
          <t>NOT_RUN</t>
        </is>
      </c>
      <c r="P2586" t="n">
        <v>0</v>
      </c>
      <c r="Q2586" t="n">
        <v>2585</v>
      </c>
    </row>
    <row r="2587">
      <c r="A2587" t="n">
        <v>2586</v>
      </c>
      <c r="B2587" t="inlineStr">
        <is>
          <t>MTR-IOS-2586</t>
        </is>
      </c>
      <c r="C2587" t="inlineStr">
        <is>
          <t>iPhone</t>
        </is>
      </c>
      <c r="D2587" t="inlineStr">
        <is>
          <t>Business</t>
        </is>
      </c>
      <c r="E2587" t="inlineStr">
        <is>
          <t>Business</t>
        </is>
      </c>
      <c r="F2587" t="inlineStr">
        <is>
          <t>Team Operations</t>
        </is>
      </c>
      <c r="G2587" t="inlineStr">
        <is>
          <t>Payroll</t>
        </is>
      </c>
      <c r="H2587" t="inlineStr">
        <is>
          <t>Business &gt; Team Operations &gt; Quick Add &gt; Payroll</t>
        </is>
      </c>
      <c r="I2587" s="18" t="n">
        <v>127445.51</v>
      </c>
      <c r="J2587" t="inlineStr">
        <is>
          <t>Created MTR-IOS-2586 and correlation note visible in Activity/Pulse</t>
        </is>
      </c>
      <c r="K2587" t="inlineStr">
        <is>
          <t>NOT_RUN</t>
        </is>
      </c>
      <c r="P2587" t="n">
        <v>0</v>
      </c>
      <c r="Q2587" t="n">
        <v>2586</v>
      </c>
    </row>
    <row r="2588">
      <c r="A2588" t="n">
        <v>2587</v>
      </c>
      <c r="B2588" t="inlineStr">
        <is>
          <t>MTR-IOS-2587</t>
        </is>
      </c>
      <c r="C2588" t="inlineStr">
        <is>
          <t>iPhone</t>
        </is>
      </c>
      <c r="D2588" t="inlineStr">
        <is>
          <t>Personal</t>
        </is>
      </c>
      <c r="E2588" t="inlineStr">
        <is>
          <t>Personal</t>
        </is>
      </c>
      <c r="F2588" t="inlineStr">
        <is>
          <t>Future Building</t>
        </is>
      </c>
      <c r="G2588" t="inlineStr">
        <is>
          <t>Goal Contribution</t>
        </is>
      </c>
      <c r="H2588" t="inlineStr">
        <is>
          <t>Personal &gt; Future Building &gt; Quick Add &gt; Goal Contribution</t>
        </is>
      </c>
      <c r="I2588" s="18" t="n">
        <v>13685.89</v>
      </c>
      <c r="J2588" t="inlineStr">
        <is>
          <t>Created MTR-IOS-2587 and correlation note visible in Activity/Pulse</t>
        </is>
      </c>
      <c r="K2588" t="inlineStr">
        <is>
          <t>NOT_RUN</t>
        </is>
      </c>
      <c r="P2588" t="n">
        <v>0</v>
      </c>
      <c r="Q2588" t="n">
        <v>2587</v>
      </c>
    </row>
    <row r="2589">
      <c r="A2589" t="n">
        <v>2588</v>
      </c>
      <c r="B2589" t="inlineStr">
        <is>
          <t>MTR-IOS-2588</t>
        </is>
      </c>
      <c r="C2589" t="inlineStr">
        <is>
          <t>iPhone</t>
        </is>
      </c>
      <c r="D2589" t="inlineStr">
        <is>
          <t>Group</t>
        </is>
      </c>
      <c r="E2589" t="inlineStr">
        <is>
          <t>Shared Living</t>
        </is>
      </c>
      <c r="F2589" t="inlineStr">
        <is>
          <t>Family Household</t>
        </is>
      </c>
      <c r="G2589" t="inlineStr">
        <is>
          <t>Groceries</t>
        </is>
      </c>
      <c r="H2589" t="inlineStr">
        <is>
          <t>Group &gt; Family Household &gt; Quick Add &gt; Groceries</t>
        </is>
      </c>
      <c r="I2589" s="18" t="n">
        <v>17536.55</v>
      </c>
      <c r="J2589" t="inlineStr">
        <is>
          <t>Created MTR-IOS-2588 and correlation note visible in Activity/Pulse</t>
        </is>
      </c>
      <c r="K2589" t="inlineStr">
        <is>
          <t>NOT_RUN</t>
        </is>
      </c>
      <c r="P2589" t="n">
        <v>0</v>
      </c>
      <c r="Q2589" t="n">
        <v>2588</v>
      </c>
    </row>
    <row r="2590">
      <c r="A2590" t="n">
        <v>2589</v>
      </c>
      <c r="B2590" t="inlineStr">
        <is>
          <t>MTR-IOS-2589</t>
        </is>
      </c>
      <c r="C2590" t="inlineStr">
        <is>
          <t>iPhone</t>
        </is>
      </c>
      <c r="D2590" t="inlineStr">
        <is>
          <t>Business</t>
        </is>
      </c>
      <c r="E2590" t="inlineStr">
        <is>
          <t>Business</t>
        </is>
      </c>
      <c r="F2590" t="inlineStr">
        <is>
          <t>Team Operations</t>
        </is>
      </c>
      <c r="G2590" t="inlineStr">
        <is>
          <t>Contractor</t>
        </is>
      </c>
      <c r="H2590" t="inlineStr">
        <is>
          <t>Business &gt; Team Operations &gt; Quick Add &gt; Contractor</t>
        </is>
      </c>
      <c r="I2590" s="18" t="n">
        <v>93585.92999999999</v>
      </c>
      <c r="J2590" t="inlineStr">
        <is>
          <t>Created MTR-IOS-2589 and correlation note visible in Activity/Pulse</t>
        </is>
      </c>
      <c r="K2590" t="inlineStr">
        <is>
          <t>NOT_RUN</t>
        </is>
      </c>
      <c r="P2590" t="n">
        <v>0</v>
      </c>
      <c r="Q2590" t="n">
        <v>2589</v>
      </c>
    </row>
    <row r="2591">
      <c r="A2591" t="n">
        <v>2590</v>
      </c>
      <c r="B2591" t="inlineStr">
        <is>
          <t>MTR-IOS-2590</t>
        </is>
      </c>
      <c r="C2591" t="inlineStr">
        <is>
          <t>iPhone</t>
        </is>
      </c>
      <c r="D2591" t="inlineStr">
        <is>
          <t>Personal</t>
        </is>
      </c>
      <c r="E2591" t="inlineStr">
        <is>
          <t>Personal</t>
        </is>
      </c>
      <c r="F2591" t="inlineStr">
        <is>
          <t>Lifestyle</t>
        </is>
      </c>
      <c r="G2591" t="inlineStr">
        <is>
          <t>Dining</t>
        </is>
      </c>
      <c r="H2591" t="inlineStr">
        <is>
          <t>Personal &gt; Lifestyle &gt; Quick Add &gt; Dining</t>
        </is>
      </c>
      <c r="I2591" s="18" t="n">
        <v>999.99</v>
      </c>
      <c r="J2591" t="inlineStr">
        <is>
          <t>Created MTR-IOS-2590 and correlation note visible in Activity/Pulse</t>
        </is>
      </c>
      <c r="K2591" t="inlineStr">
        <is>
          <t>NOT_RUN</t>
        </is>
      </c>
      <c r="P2591" t="n">
        <v>0</v>
      </c>
      <c r="Q2591" t="n">
        <v>2590</v>
      </c>
    </row>
    <row r="2592">
      <c r="A2592" t="n">
        <v>2591</v>
      </c>
      <c r="B2592" t="inlineStr">
        <is>
          <t>MTR-IOS-2591</t>
        </is>
      </c>
      <c r="C2592" t="inlineStr">
        <is>
          <t>iPhone</t>
        </is>
      </c>
      <c r="D2592" t="inlineStr">
        <is>
          <t>Group</t>
        </is>
      </c>
      <c r="E2592" t="inlineStr">
        <is>
          <t>Shared Living</t>
        </is>
      </c>
      <c r="F2592" t="inlineStr">
        <is>
          <t>Family Household</t>
        </is>
      </c>
      <c r="G2592" t="inlineStr">
        <is>
          <t>Bills</t>
        </is>
      </c>
      <c r="H2592" t="inlineStr">
        <is>
          <t>Group &gt; Family Household &gt; Quick Add &gt; Bills</t>
        </is>
      </c>
      <c r="I2592" s="18" t="n">
        <v>11053.35</v>
      </c>
      <c r="J2592" t="inlineStr">
        <is>
          <t>Created MTR-IOS-2591 and correlation note visible in Activity/Pulse</t>
        </is>
      </c>
      <c r="K2592" t="inlineStr">
        <is>
          <t>NOT_RUN</t>
        </is>
      </c>
      <c r="P2592" t="n">
        <v>0</v>
      </c>
      <c r="Q2592" t="n">
        <v>2591</v>
      </c>
    </row>
    <row r="2593">
      <c r="A2593" t="n">
        <v>2592</v>
      </c>
      <c r="B2593" t="inlineStr">
        <is>
          <t>MTR-IOS-2592</t>
        </is>
      </c>
      <c r="C2593" t="inlineStr">
        <is>
          <t>iPhone</t>
        </is>
      </c>
      <c r="D2593" t="inlineStr">
        <is>
          <t>Business</t>
        </is>
      </c>
      <c r="E2593" t="inlineStr">
        <is>
          <t>Business</t>
        </is>
      </c>
      <c r="F2593" t="inlineStr">
        <is>
          <t>Team Operations</t>
        </is>
      </c>
      <c r="G2593" t="inlineStr">
        <is>
          <t>Hiring</t>
        </is>
      </c>
      <c r="H2593" t="inlineStr">
        <is>
          <t>Business &gt; Team Operations &gt; Quick Add &gt; Hiring</t>
        </is>
      </c>
      <c r="I2593" s="18" t="n">
        <v>149098.68</v>
      </c>
      <c r="J2593" t="inlineStr">
        <is>
          <t>Created MTR-IOS-2592 and correlation note visible in Activity/Pulse</t>
        </is>
      </c>
      <c r="K2593" t="inlineStr">
        <is>
          <t>NOT_RUN</t>
        </is>
      </c>
      <c r="P2593" t="n">
        <v>0</v>
      </c>
      <c r="Q2593" t="n">
        <v>2592</v>
      </c>
    </row>
    <row r="2594">
      <c r="A2594" t="n">
        <v>2593</v>
      </c>
      <c r="B2594" t="inlineStr">
        <is>
          <t>MTR-IOS-2593</t>
        </is>
      </c>
      <c r="C2594" t="inlineStr">
        <is>
          <t>iPhone</t>
        </is>
      </c>
      <c r="D2594" t="inlineStr">
        <is>
          <t>Personal</t>
        </is>
      </c>
      <c r="E2594" t="inlineStr">
        <is>
          <t>Personal</t>
        </is>
      </c>
      <c r="F2594" t="inlineStr">
        <is>
          <t>Lifestyle</t>
        </is>
      </c>
      <c r="G2594" t="inlineStr">
        <is>
          <t>Shopping</t>
        </is>
      </c>
      <c r="H2594" t="inlineStr">
        <is>
          <t>Personal &gt; Lifestyle &gt; Quick Add &gt; Shopping</t>
        </is>
      </c>
      <c r="I2594" s="18" t="n">
        <v>12218.26</v>
      </c>
      <c r="J2594" t="inlineStr">
        <is>
          <t>Created MTR-IOS-2593 and correlation note visible in Activity/Pulse</t>
        </is>
      </c>
      <c r="K2594" t="inlineStr">
        <is>
          <t>NOT_RUN</t>
        </is>
      </c>
      <c r="P2594" t="n">
        <v>0</v>
      </c>
      <c r="Q2594" t="n">
        <v>2593</v>
      </c>
    </row>
    <row r="2595">
      <c r="A2595" t="n">
        <v>2594</v>
      </c>
      <c r="B2595" t="inlineStr">
        <is>
          <t>MTR-IOS-2594</t>
        </is>
      </c>
      <c r="C2595" t="inlineStr">
        <is>
          <t>iPhone</t>
        </is>
      </c>
      <c r="D2595" t="inlineStr">
        <is>
          <t>Group</t>
        </is>
      </c>
      <c r="E2595" t="inlineStr">
        <is>
          <t>Shared Living</t>
        </is>
      </c>
      <c r="F2595" t="inlineStr">
        <is>
          <t>Family Household</t>
        </is>
      </c>
      <c r="G2595" t="inlineStr">
        <is>
          <t>School</t>
        </is>
      </c>
      <c r="H2595" t="inlineStr">
        <is>
          <t>Group &gt; Family Household &gt; Quick Add &gt; School</t>
        </is>
      </c>
      <c r="I2595" s="18" t="n">
        <v>25469.31</v>
      </c>
      <c r="J2595" t="inlineStr">
        <is>
          <t>Created MTR-IOS-2594 and correlation note visible in Activity/Pulse</t>
        </is>
      </c>
      <c r="K2595" t="inlineStr">
        <is>
          <t>NOT_RUN</t>
        </is>
      </c>
      <c r="P2595" t="n">
        <v>0</v>
      </c>
      <c r="Q2595" t="n">
        <v>2594</v>
      </c>
    </row>
    <row r="2596">
      <c r="A2596" t="n">
        <v>2595</v>
      </c>
      <c r="B2596" t="inlineStr">
        <is>
          <t>MTR-IOS-2595</t>
        </is>
      </c>
      <c r="C2596" t="inlineStr">
        <is>
          <t>iPhone</t>
        </is>
      </c>
      <c r="D2596" t="inlineStr">
        <is>
          <t>Business</t>
        </is>
      </c>
      <c r="E2596" t="inlineStr">
        <is>
          <t>Business</t>
        </is>
      </c>
      <c r="F2596" t="inlineStr">
        <is>
          <t>Team Operations</t>
        </is>
      </c>
      <c r="G2596" t="inlineStr">
        <is>
          <t>Team Meal</t>
        </is>
      </c>
      <c r="H2596" t="inlineStr">
        <is>
          <t>Business &gt; Team Operations &gt; Quick Add &gt; Team Meal</t>
        </is>
      </c>
      <c r="I2596" s="18" t="n">
        <v>108976.48</v>
      </c>
      <c r="J2596" t="inlineStr">
        <is>
          <t>Created MTR-IOS-2595 and correlation note visible in Activity/Pulse</t>
        </is>
      </c>
      <c r="K2596" t="inlineStr">
        <is>
          <t>NOT_RUN</t>
        </is>
      </c>
      <c r="P2596" t="n">
        <v>0</v>
      </c>
      <c r="Q2596" t="n">
        <v>2595</v>
      </c>
    </row>
    <row r="2597">
      <c r="A2597" t="n">
        <v>2596</v>
      </c>
      <c r="B2597" t="inlineStr">
        <is>
          <t>MTR-IOS-2596</t>
        </is>
      </c>
      <c r="C2597" t="inlineStr">
        <is>
          <t>iPhone</t>
        </is>
      </c>
      <c r="D2597" t="inlineStr">
        <is>
          <t>Personal</t>
        </is>
      </c>
      <c r="E2597" t="inlineStr">
        <is>
          <t>Personal</t>
        </is>
      </c>
      <c r="F2597" t="inlineStr">
        <is>
          <t>Lifestyle</t>
        </is>
      </c>
      <c r="G2597" t="inlineStr">
        <is>
          <t>Entertainment</t>
        </is>
      </c>
      <c r="H2597" t="inlineStr">
        <is>
          <t>Personal &gt; Lifestyle &gt; Quick Add &gt; Entertainment</t>
        </is>
      </c>
      <c r="I2597" s="18" t="n">
        <v>17439.15</v>
      </c>
      <c r="J2597" t="inlineStr">
        <is>
          <t>Created MTR-IOS-2596 and correlation note visible in Activity/Pulse</t>
        </is>
      </c>
      <c r="K2597" t="inlineStr">
        <is>
          <t>NOT_RUN</t>
        </is>
      </c>
      <c r="P2597" t="n">
        <v>0</v>
      </c>
      <c r="Q2597" t="n">
        <v>2596</v>
      </c>
    </row>
    <row r="2598">
      <c r="A2598" t="n">
        <v>2597</v>
      </c>
      <c r="B2598" t="inlineStr">
        <is>
          <t>MTR-IOS-2597</t>
        </is>
      </c>
      <c r="C2598" t="inlineStr">
        <is>
          <t>iPhone</t>
        </is>
      </c>
      <c r="D2598" t="inlineStr">
        <is>
          <t>Group</t>
        </is>
      </c>
      <c r="E2598" t="inlineStr">
        <is>
          <t>Shared Living</t>
        </is>
      </c>
      <c r="F2598" t="inlineStr">
        <is>
          <t>Family Household</t>
        </is>
      </c>
      <c r="G2598" t="inlineStr">
        <is>
          <t>Healthcare</t>
        </is>
      </c>
      <c r="H2598" t="inlineStr">
        <is>
          <t>Group &gt; Family Household &gt; Quick Add &gt; Healthcare</t>
        </is>
      </c>
      <c r="I2598" s="18" t="n">
        <v>18455.93</v>
      </c>
      <c r="J2598" t="inlineStr">
        <is>
          <t>Created MTR-IOS-2597 and correlation note visible in Activity/Pulse</t>
        </is>
      </c>
      <c r="K2598" t="inlineStr">
        <is>
          <t>NOT_RUN</t>
        </is>
      </c>
      <c r="P2598" t="n">
        <v>0</v>
      </c>
      <c r="Q2598" t="n">
        <v>2597</v>
      </c>
    </row>
    <row r="2599">
      <c r="A2599" t="n">
        <v>2598</v>
      </c>
      <c r="B2599" t="inlineStr">
        <is>
          <t>MTR-IOS-2598</t>
        </is>
      </c>
      <c r="C2599" t="inlineStr">
        <is>
          <t>iPhone</t>
        </is>
      </c>
      <c r="D2599" t="inlineStr">
        <is>
          <t>Business</t>
        </is>
      </c>
      <c r="E2599" t="inlineStr">
        <is>
          <t>Business</t>
        </is>
      </c>
      <c r="F2599" t="inlineStr">
        <is>
          <t>Team Operations</t>
        </is>
      </c>
      <c r="G2599" t="inlineStr">
        <is>
          <t>Travel</t>
        </is>
      </c>
      <c r="H2599" t="inlineStr">
        <is>
          <t>Business &gt; Team Operations &gt; Quick Add &gt; Travel</t>
        </is>
      </c>
      <c r="I2599" s="18" t="n">
        <v>22931.56</v>
      </c>
      <c r="J2599" t="inlineStr">
        <is>
          <t>Created MTR-IOS-2598 and correlation note visible in Activity/Pulse</t>
        </is>
      </c>
      <c r="K2599" t="inlineStr">
        <is>
          <t>NOT_RUN</t>
        </is>
      </c>
      <c r="P2599" t="n">
        <v>0</v>
      </c>
      <c r="Q2599" t="n">
        <v>2598</v>
      </c>
    </row>
    <row r="2600">
      <c r="A2600" t="n">
        <v>2599</v>
      </c>
      <c r="B2600" t="inlineStr">
        <is>
          <t>MTR-IOS-2599</t>
        </is>
      </c>
      <c r="C2600" t="inlineStr">
        <is>
          <t>iPhone</t>
        </is>
      </c>
      <c r="D2600" t="inlineStr">
        <is>
          <t>Personal</t>
        </is>
      </c>
      <c r="E2600" t="inlineStr">
        <is>
          <t>Personal</t>
        </is>
      </c>
      <c r="F2600" t="inlineStr">
        <is>
          <t>Lifestyle</t>
        </is>
      </c>
      <c r="G2600" t="inlineStr">
        <is>
          <t>Travel</t>
        </is>
      </c>
      <c r="H2600" t="inlineStr">
        <is>
          <t>Personal &gt; Lifestyle &gt; Quick Add &gt; Travel</t>
        </is>
      </c>
      <c r="I2600" s="18" t="n">
        <v>332.69</v>
      </c>
      <c r="J2600" t="inlineStr">
        <is>
          <t>Created MTR-IOS-2599 and correlation note visible in Activity/Pulse</t>
        </is>
      </c>
      <c r="K2600" t="inlineStr">
        <is>
          <t>NOT_RUN</t>
        </is>
      </c>
      <c r="P2600" t="n">
        <v>0</v>
      </c>
      <c r="Q2600" t="n">
        <v>2599</v>
      </c>
    </row>
    <row r="2601">
      <c r="A2601" t="n">
        <v>2600</v>
      </c>
      <c r="B2601" t="inlineStr">
        <is>
          <t>MTR-IOS-2600</t>
        </is>
      </c>
      <c r="C2601" t="inlineStr">
        <is>
          <t>iPhone</t>
        </is>
      </c>
      <c r="D2601" t="inlineStr">
        <is>
          <t>Group</t>
        </is>
      </c>
      <c r="E2601" t="inlineStr">
        <is>
          <t>Shared Living</t>
        </is>
      </c>
      <c r="F2601" t="inlineStr">
        <is>
          <t>Family Household</t>
        </is>
      </c>
      <c r="G2601" t="inlineStr">
        <is>
          <t>Home</t>
        </is>
      </c>
      <c r="H2601" t="inlineStr">
        <is>
          <t>Group &gt; Family Household &gt; Quick Add &gt; Home</t>
        </is>
      </c>
      <c r="I2601" s="18" t="n">
        <v>6947.85</v>
      </c>
      <c r="J2601" t="inlineStr">
        <is>
          <t>Created MTR-IOS-2600 and correlation note visible in Activity/Pulse</t>
        </is>
      </c>
      <c r="K2601" t="inlineStr">
        <is>
          <t>NOT_RUN</t>
        </is>
      </c>
      <c r="P2601" t="n">
        <v>0</v>
      </c>
      <c r="Q2601" t="n">
        <v>2600</v>
      </c>
    </row>
    <row r="2602">
      <c r="A2602" t="n">
        <v>2601</v>
      </c>
      <c r="B2602" t="inlineStr">
        <is>
          <t>MTR-IOS-2601</t>
        </is>
      </c>
      <c r="C2602" t="inlineStr">
        <is>
          <t>iPhone</t>
        </is>
      </c>
      <c r="D2602" t="inlineStr">
        <is>
          <t>Business</t>
        </is>
      </c>
      <c r="E2602" t="inlineStr">
        <is>
          <t>Business</t>
        </is>
      </c>
      <c r="F2602" t="inlineStr">
        <is>
          <t>Team Operations</t>
        </is>
      </c>
      <c r="G2602" t="inlineStr">
        <is>
          <t>Training</t>
        </is>
      </c>
      <c r="H2602" t="inlineStr">
        <is>
          <t>Business &gt; Team Operations &gt; Quick Add &gt; Training</t>
        </is>
      </c>
      <c r="I2602" s="18" t="n">
        <v>119824.15</v>
      </c>
      <c r="J2602" t="inlineStr">
        <is>
          <t>Created MTR-IOS-2601 and correlation note visible in Activity/Pulse</t>
        </is>
      </c>
      <c r="K2602" t="inlineStr">
        <is>
          <t>NOT_RUN</t>
        </is>
      </c>
      <c r="P2602" t="n">
        <v>0</v>
      </c>
      <c r="Q2602" t="n">
        <v>2601</v>
      </c>
    </row>
    <row r="2603">
      <c r="A2603" t="n">
        <v>2602</v>
      </c>
      <c r="B2603" t="inlineStr">
        <is>
          <t>MTR-IOS-2602</t>
        </is>
      </c>
      <c r="C2603" t="inlineStr">
        <is>
          <t>iPhone</t>
        </is>
      </c>
      <c r="D2603" t="inlineStr">
        <is>
          <t>Personal</t>
        </is>
      </c>
      <c r="E2603" t="inlineStr">
        <is>
          <t>Personal</t>
        </is>
      </c>
      <c r="F2603" t="inlineStr">
        <is>
          <t>Lifestyle</t>
        </is>
      </c>
      <c r="G2603" t="inlineStr">
        <is>
          <t>Fitness</t>
        </is>
      </c>
      <c r="H2603" t="inlineStr">
        <is>
          <t>Personal &gt; Lifestyle &gt; Quick Add &gt; Fitness</t>
        </is>
      </c>
      <c r="I2603" s="18" t="n">
        <v>2925.53</v>
      </c>
      <c r="J2603" t="inlineStr">
        <is>
          <t>Created MTR-IOS-2602 and correlation note visible in Activity/Pulse</t>
        </is>
      </c>
      <c r="K2603" t="inlineStr">
        <is>
          <t>NOT_RUN</t>
        </is>
      </c>
      <c r="P2603" t="n">
        <v>0</v>
      </c>
      <c r="Q2603" t="n">
        <v>2602</v>
      </c>
    </row>
    <row r="2604">
      <c r="A2604" t="n">
        <v>2603</v>
      </c>
      <c r="B2604" t="inlineStr">
        <is>
          <t>MTR-IOS-2603</t>
        </is>
      </c>
      <c r="C2604" t="inlineStr">
        <is>
          <t>iPhone</t>
        </is>
      </c>
      <c r="D2604" t="inlineStr">
        <is>
          <t>Group</t>
        </is>
      </c>
      <c r="E2604" t="inlineStr">
        <is>
          <t>Shared Living</t>
        </is>
      </c>
      <c r="F2604" t="inlineStr">
        <is>
          <t>Family Household</t>
        </is>
      </c>
      <c r="G2604" t="inlineStr">
        <is>
          <t>Other</t>
        </is>
      </c>
      <c r="H2604" t="inlineStr">
        <is>
          <t>Group &gt; Family Household &gt; Quick Add &gt; Other</t>
        </is>
      </c>
      <c r="I2604" s="18" t="n">
        <v>11586.76</v>
      </c>
      <c r="J2604" t="inlineStr">
        <is>
          <t>Created MTR-IOS-2603 and correlation note visible in Activity/Pulse</t>
        </is>
      </c>
      <c r="K2604" t="inlineStr">
        <is>
          <t>NOT_RUN</t>
        </is>
      </c>
      <c r="P2604" t="n">
        <v>0</v>
      </c>
      <c r="Q2604" t="n">
        <v>2603</v>
      </c>
    </row>
    <row r="2605">
      <c r="A2605" t="n">
        <v>2604</v>
      </c>
      <c r="B2605" t="inlineStr">
        <is>
          <t>MTR-IOS-2604</t>
        </is>
      </c>
      <c r="C2605" t="inlineStr">
        <is>
          <t>iPhone</t>
        </is>
      </c>
      <c r="D2605" t="inlineStr">
        <is>
          <t>Business</t>
        </is>
      </c>
      <c r="E2605" t="inlineStr">
        <is>
          <t>Business</t>
        </is>
      </c>
      <c r="F2605" t="inlineStr">
        <is>
          <t>Team Operations</t>
        </is>
      </c>
      <c r="G2605" t="inlineStr">
        <is>
          <t>Tools</t>
        </is>
      </c>
      <c r="H2605" t="inlineStr">
        <is>
          <t>Business &gt; Team Operations &gt; Quick Add &gt; Tools</t>
        </is>
      </c>
      <c r="I2605" s="18" t="n">
        <v>24418.15</v>
      </c>
      <c r="J2605" t="inlineStr">
        <is>
          <t>Created MTR-IOS-2604 and correlation note visible in Activity/Pulse</t>
        </is>
      </c>
      <c r="K2605" t="inlineStr">
        <is>
          <t>NOT_RUN</t>
        </is>
      </c>
      <c r="P2605" t="n">
        <v>0</v>
      </c>
      <c r="Q2605" t="n">
        <v>2604</v>
      </c>
    </row>
    <row r="2606">
      <c r="A2606" t="n">
        <v>2605</v>
      </c>
      <c r="B2606" t="inlineStr">
        <is>
          <t>MTR-IOS-2605</t>
        </is>
      </c>
      <c r="C2606" t="inlineStr">
        <is>
          <t>iPhone</t>
        </is>
      </c>
      <c r="D2606" t="inlineStr">
        <is>
          <t>Personal</t>
        </is>
      </c>
      <c r="E2606" t="inlineStr">
        <is>
          <t>Personal</t>
        </is>
      </c>
      <c r="F2606" t="inlineStr">
        <is>
          <t>Lifestyle</t>
        </is>
      </c>
      <c r="G2606" t="inlineStr">
        <is>
          <t>Hobbies</t>
        </is>
      </c>
      <c r="H2606" t="inlineStr">
        <is>
          <t>Personal &gt; Lifestyle &gt; Quick Add &gt; Hobbies</t>
        </is>
      </c>
      <c r="I2606" s="18" t="n">
        <v>16896.19</v>
      </c>
      <c r="J2606" t="inlineStr">
        <is>
          <t>Created MTR-IOS-2605 and correlation note visible in Activity/Pulse</t>
        </is>
      </c>
      <c r="K2606" t="inlineStr">
        <is>
          <t>NOT_RUN</t>
        </is>
      </c>
      <c r="P2606" t="n">
        <v>0</v>
      </c>
      <c r="Q2606" t="n">
        <v>2605</v>
      </c>
    </row>
    <row r="2607">
      <c r="A2607" t="n">
        <v>2606</v>
      </c>
      <c r="B2607" t="inlineStr">
        <is>
          <t>MTR-IOS-2606</t>
        </is>
      </c>
      <c r="C2607" t="inlineStr">
        <is>
          <t>iPhone</t>
        </is>
      </c>
      <c r="D2607" t="inlineStr">
        <is>
          <t>Group</t>
        </is>
      </c>
      <c r="E2607" t="inlineStr">
        <is>
          <t>Shared Living</t>
        </is>
      </c>
      <c r="F2607" t="inlineStr">
        <is>
          <t>Custom Living</t>
        </is>
      </c>
      <c r="G2607" t="inlineStr">
        <is>
          <t>Custom Expense</t>
        </is>
      </c>
      <c r="H2607" t="inlineStr">
        <is>
          <t>Group &gt; Custom Living &gt; Quick Add &gt; Custom Expense</t>
        </is>
      </c>
      <c r="I2607" s="18" t="n">
        <v>13223.93</v>
      </c>
      <c r="J2607" t="inlineStr">
        <is>
          <t>Created MTR-IOS-2606 and correlation note visible in Activity/Pulse</t>
        </is>
      </c>
      <c r="K2607" t="inlineStr">
        <is>
          <t>NOT_RUN</t>
        </is>
      </c>
      <c r="P2607" t="n">
        <v>0</v>
      </c>
      <c r="Q2607" t="n">
        <v>2606</v>
      </c>
    </row>
    <row r="2608">
      <c r="A2608" t="n">
        <v>2607</v>
      </c>
      <c r="B2608" t="inlineStr">
        <is>
          <t>MTR-IOS-2607</t>
        </is>
      </c>
      <c r="C2608" t="inlineStr">
        <is>
          <t>iPhone</t>
        </is>
      </c>
      <c r="D2608" t="inlineStr">
        <is>
          <t>Business</t>
        </is>
      </c>
      <c r="E2608" t="inlineStr">
        <is>
          <t>Business</t>
        </is>
      </c>
      <c r="F2608" t="inlineStr">
        <is>
          <t>Business Runway</t>
        </is>
      </c>
      <c r="G2608" t="inlineStr">
        <is>
          <t>Funding</t>
        </is>
      </c>
      <c r="H2608" t="inlineStr">
        <is>
          <t>Business &gt; Business Runway &gt; Quick Add &gt; Funding</t>
        </is>
      </c>
      <c r="I2608" s="18" t="n">
        <v>126554.69</v>
      </c>
      <c r="J2608" t="inlineStr">
        <is>
          <t>Created MTR-IOS-2607 and correlation note visible in Activity/Pulse</t>
        </is>
      </c>
      <c r="K2608" t="inlineStr">
        <is>
          <t>NOT_RUN</t>
        </is>
      </c>
      <c r="P2608" t="n">
        <v>0</v>
      </c>
      <c r="Q2608" t="n">
        <v>2607</v>
      </c>
    </row>
    <row r="2609">
      <c r="A2609" t="n">
        <v>2608</v>
      </c>
      <c r="B2609" t="inlineStr">
        <is>
          <t>MTR-IOS-2608</t>
        </is>
      </c>
      <c r="C2609" t="inlineStr">
        <is>
          <t>iPhone</t>
        </is>
      </c>
      <c r="D2609" t="inlineStr">
        <is>
          <t>Personal</t>
        </is>
      </c>
      <c r="E2609" t="inlineStr">
        <is>
          <t>Personal</t>
        </is>
      </c>
      <c r="F2609" t="inlineStr">
        <is>
          <t>Relationships</t>
        </is>
      </c>
      <c r="G2609" t="inlineStr">
        <is>
          <t>Gifts</t>
        </is>
      </c>
      <c r="H2609" t="inlineStr">
        <is>
          <t>Personal &gt; Relationships &gt; Quick Add &gt; Gifts</t>
        </is>
      </c>
      <c r="I2609" s="18" t="n">
        <v>3799.47</v>
      </c>
      <c r="J2609" t="inlineStr">
        <is>
          <t>Created MTR-IOS-2608 and correlation note visible in Activity/Pulse</t>
        </is>
      </c>
      <c r="K2609" t="inlineStr">
        <is>
          <t>NOT_RUN</t>
        </is>
      </c>
      <c r="P2609" t="n">
        <v>0</v>
      </c>
      <c r="Q2609" t="n">
        <v>2608</v>
      </c>
    </row>
    <row r="2610">
      <c r="A2610" t="n">
        <v>2609</v>
      </c>
      <c r="B2610" t="inlineStr">
        <is>
          <t>MTR-IOS-2609</t>
        </is>
      </c>
      <c r="C2610" t="inlineStr">
        <is>
          <t>iPhone</t>
        </is>
      </c>
      <c r="D2610" t="inlineStr">
        <is>
          <t>Group</t>
        </is>
      </c>
      <c r="E2610" t="inlineStr">
        <is>
          <t>Shared Living</t>
        </is>
      </c>
      <c r="F2610" t="inlineStr">
        <is>
          <t>Custom Living</t>
        </is>
      </c>
      <c r="G2610" t="inlineStr">
        <is>
          <t>Custom Contribution</t>
        </is>
      </c>
      <c r="H2610" t="inlineStr">
        <is>
          <t>Group &gt; Custom Living &gt; Quick Add &gt; Custom Contribution</t>
        </is>
      </c>
      <c r="I2610" s="18" t="n">
        <v>4718.58</v>
      </c>
      <c r="J2610" t="inlineStr">
        <is>
          <t>Created MTR-IOS-2609 and correlation note visible in Activity/Pulse</t>
        </is>
      </c>
      <c r="K2610" t="inlineStr">
        <is>
          <t>NOT_RUN</t>
        </is>
      </c>
      <c r="P2610" t="n">
        <v>0</v>
      </c>
      <c r="Q2610" t="n">
        <v>2609</v>
      </c>
    </row>
    <row r="2611">
      <c r="A2611" t="n">
        <v>2610</v>
      </c>
      <c r="B2611" t="inlineStr">
        <is>
          <t>MTR-IOS-2610</t>
        </is>
      </c>
      <c r="C2611" t="inlineStr">
        <is>
          <t>iPhone</t>
        </is>
      </c>
      <c r="D2611" t="inlineStr">
        <is>
          <t>Business</t>
        </is>
      </c>
      <c r="E2611" t="inlineStr">
        <is>
          <t>Business</t>
        </is>
      </c>
      <c r="F2611" t="inlineStr">
        <is>
          <t>Business Runway</t>
        </is>
      </c>
      <c r="G2611" t="inlineStr">
        <is>
          <t>Revenue</t>
        </is>
      </c>
      <c r="H2611" t="inlineStr">
        <is>
          <t>Business &gt; Business Runway &gt; Quick Add &gt; Revenue</t>
        </is>
      </c>
      <c r="I2611" s="18" t="n">
        <v>11474.63</v>
      </c>
      <c r="J2611" t="inlineStr">
        <is>
          <t>Created MTR-IOS-2610 and correlation note visible in Activity/Pulse</t>
        </is>
      </c>
      <c r="K2611" t="inlineStr">
        <is>
          <t>NOT_RUN</t>
        </is>
      </c>
      <c r="P2611" t="n">
        <v>0</v>
      </c>
      <c r="Q2611" t="n">
        <v>2610</v>
      </c>
    </row>
    <row r="2612">
      <c r="A2612" t="n">
        <v>2611</v>
      </c>
      <c r="B2612" t="inlineStr">
        <is>
          <t>MTR-IOS-2611</t>
        </is>
      </c>
      <c r="C2612" t="inlineStr">
        <is>
          <t>iPhone</t>
        </is>
      </c>
      <c r="D2612" t="inlineStr">
        <is>
          <t>Personal</t>
        </is>
      </c>
      <c r="E2612" t="inlineStr">
        <is>
          <t>Personal</t>
        </is>
      </c>
      <c r="F2612" t="inlineStr">
        <is>
          <t>Relationships</t>
        </is>
      </c>
      <c r="G2612" t="inlineStr">
        <is>
          <t>Dates</t>
        </is>
      </c>
      <c r="H2612" t="inlineStr">
        <is>
          <t>Personal &gt; Relationships &gt; Quick Add &gt; Dates</t>
        </is>
      </c>
      <c r="I2612" s="18" t="n">
        <v>896.1799999999999</v>
      </c>
      <c r="J2612" t="inlineStr">
        <is>
          <t>Created MTR-IOS-2611 and correlation note visible in Activity/Pulse</t>
        </is>
      </c>
      <c r="K2612" t="inlineStr">
        <is>
          <t>NOT_RUN</t>
        </is>
      </c>
      <c r="P2612" t="n">
        <v>0</v>
      </c>
      <c r="Q2612" t="n">
        <v>2611</v>
      </c>
    </row>
    <row r="2613">
      <c r="A2613" t="n">
        <v>2612</v>
      </c>
      <c r="B2613" t="inlineStr">
        <is>
          <t>MTR-IOS-2612</t>
        </is>
      </c>
      <c r="C2613" t="inlineStr">
        <is>
          <t>iPhone</t>
        </is>
      </c>
      <c r="D2613" t="inlineStr">
        <is>
          <t>Group</t>
        </is>
      </c>
      <c r="E2613" t="inlineStr">
        <is>
          <t>Shared Experience</t>
        </is>
      </c>
      <c r="F2613" t="inlineStr">
        <is>
          <t>Trip</t>
        </is>
      </c>
      <c r="G2613" t="inlineStr">
        <is>
          <t>Travel</t>
        </is>
      </c>
      <c r="H2613" t="inlineStr">
        <is>
          <t>Group &gt; Trip &gt; Quick Add &gt; Travel</t>
        </is>
      </c>
      <c r="I2613" s="18" t="n">
        <v>15724.66</v>
      </c>
      <c r="J2613" t="inlineStr">
        <is>
          <t>Created MTR-IOS-2612 and correlation note visible in Activity/Pulse</t>
        </is>
      </c>
      <c r="K2613" t="inlineStr">
        <is>
          <t>NOT_RUN</t>
        </is>
      </c>
      <c r="P2613" t="n">
        <v>0</v>
      </c>
      <c r="Q2613" t="n">
        <v>2612</v>
      </c>
    </row>
    <row r="2614">
      <c r="A2614" t="n">
        <v>2613</v>
      </c>
      <c r="B2614" t="inlineStr">
        <is>
          <t>MTR-IOS-2613</t>
        </is>
      </c>
      <c r="C2614" t="inlineStr">
        <is>
          <t>iPhone</t>
        </is>
      </c>
      <c r="D2614" t="inlineStr">
        <is>
          <t>Business</t>
        </is>
      </c>
      <c r="E2614" t="inlineStr">
        <is>
          <t>Business</t>
        </is>
      </c>
      <c r="F2614" t="inlineStr">
        <is>
          <t>Business Runway</t>
        </is>
      </c>
      <c r="G2614" t="inlineStr">
        <is>
          <t>Burn</t>
        </is>
      </c>
      <c r="H2614" t="inlineStr">
        <is>
          <t>Business &gt; Business Runway &gt; Quick Add &gt; Burn</t>
        </is>
      </c>
      <c r="I2614" s="18" t="n">
        <v>78319.10000000001</v>
      </c>
      <c r="J2614" t="inlineStr">
        <is>
          <t>Created MTR-IOS-2613 and correlation note visible in Activity/Pulse</t>
        </is>
      </c>
      <c r="K2614" t="inlineStr">
        <is>
          <t>NOT_RUN</t>
        </is>
      </c>
      <c r="P2614" t="n">
        <v>0</v>
      </c>
      <c r="Q2614" t="n">
        <v>2613</v>
      </c>
    </row>
    <row r="2615">
      <c r="A2615" t="n">
        <v>2614</v>
      </c>
      <c r="B2615" t="inlineStr">
        <is>
          <t>MTR-IOS-2614</t>
        </is>
      </c>
      <c r="C2615" t="inlineStr">
        <is>
          <t>iPhone</t>
        </is>
      </c>
      <c r="D2615" t="inlineStr">
        <is>
          <t>Personal</t>
        </is>
      </c>
      <c r="E2615" t="inlineStr">
        <is>
          <t>Personal</t>
        </is>
      </c>
      <c r="F2615" t="inlineStr">
        <is>
          <t>Relationships</t>
        </is>
      </c>
      <c r="G2615" t="inlineStr">
        <is>
          <t>Family</t>
        </is>
      </c>
      <c r="H2615" t="inlineStr">
        <is>
          <t>Personal &gt; Relationships &gt; Quick Add &gt; Family</t>
        </is>
      </c>
      <c r="I2615" s="18" t="n">
        <v>3090.07</v>
      </c>
      <c r="J2615" t="inlineStr">
        <is>
          <t>Created MTR-IOS-2614 and correlation note visible in Activity/Pulse</t>
        </is>
      </c>
      <c r="K2615" t="inlineStr">
        <is>
          <t>NOT_RUN</t>
        </is>
      </c>
      <c r="P2615" t="n">
        <v>0</v>
      </c>
      <c r="Q2615" t="n">
        <v>2614</v>
      </c>
    </row>
    <row r="2616">
      <c r="A2616" t="n">
        <v>2615</v>
      </c>
      <c r="B2616" t="inlineStr">
        <is>
          <t>MTR-IOS-2615</t>
        </is>
      </c>
      <c r="C2616" t="inlineStr">
        <is>
          <t>iPhone</t>
        </is>
      </c>
      <c r="D2616" t="inlineStr">
        <is>
          <t>Group</t>
        </is>
      </c>
      <c r="E2616" t="inlineStr">
        <is>
          <t>Shared Experience</t>
        </is>
      </c>
      <c r="F2616" t="inlineStr">
        <is>
          <t>Trip</t>
        </is>
      </c>
      <c r="G2616" t="inlineStr">
        <is>
          <t>Stay</t>
        </is>
      </c>
      <c r="H2616" t="inlineStr">
        <is>
          <t>Group &gt; Trip &gt; Quick Add &gt; Stay</t>
        </is>
      </c>
      <c r="I2616" s="18" t="n">
        <v>5423.7</v>
      </c>
      <c r="J2616" t="inlineStr">
        <is>
          <t>Created MTR-IOS-2615 and correlation note visible in Activity/Pulse</t>
        </is>
      </c>
      <c r="K2616" t="inlineStr">
        <is>
          <t>NOT_RUN</t>
        </is>
      </c>
      <c r="P2616" t="n">
        <v>0</v>
      </c>
      <c r="Q2616" t="n">
        <v>2615</v>
      </c>
    </row>
    <row r="2617">
      <c r="A2617" t="n">
        <v>2616</v>
      </c>
      <c r="B2617" t="inlineStr">
        <is>
          <t>MTR-IOS-2616</t>
        </is>
      </c>
      <c r="C2617" t="inlineStr">
        <is>
          <t>iPhone</t>
        </is>
      </c>
      <c r="D2617" t="inlineStr">
        <is>
          <t>Business</t>
        </is>
      </c>
      <c r="E2617" t="inlineStr">
        <is>
          <t>Business</t>
        </is>
      </c>
      <c r="F2617" t="inlineStr">
        <is>
          <t>Business Runway</t>
        </is>
      </c>
      <c r="G2617" t="inlineStr">
        <is>
          <t>Reserve</t>
        </is>
      </c>
      <c r="H2617" t="inlineStr">
        <is>
          <t>Business &gt; Business Runway &gt; Quick Add &gt; Reserve</t>
        </is>
      </c>
      <c r="I2617" s="18" t="n">
        <v>563.86</v>
      </c>
      <c r="J2617" t="inlineStr">
        <is>
          <t>Created MTR-IOS-2616 and correlation note visible in Activity/Pulse</t>
        </is>
      </c>
      <c r="K2617" t="inlineStr">
        <is>
          <t>NOT_RUN</t>
        </is>
      </c>
      <c r="P2617" t="n">
        <v>0</v>
      </c>
      <c r="Q2617" t="n">
        <v>2616</v>
      </c>
    </row>
    <row r="2618">
      <c r="A2618" t="n">
        <v>2617</v>
      </c>
      <c r="B2618" t="inlineStr">
        <is>
          <t>MTR-IOS-2617</t>
        </is>
      </c>
      <c r="C2618" t="inlineStr">
        <is>
          <t>iPhone</t>
        </is>
      </c>
      <c r="D2618" t="inlineStr">
        <is>
          <t>Personal</t>
        </is>
      </c>
      <c r="E2618" t="inlineStr">
        <is>
          <t>Personal</t>
        </is>
      </c>
      <c r="F2618" t="inlineStr">
        <is>
          <t>Relationships</t>
        </is>
      </c>
      <c r="G2618" t="inlineStr">
        <is>
          <t>Friends</t>
        </is>
      </c>
      <c r="H2618" t="inlineStr">
        <is>
          <t>Personal &gt; Relationships &gt; Quick Add &gt; Friends</t>
        </is>
      </c>
      <c r="I2618" s="18" t="n">
        <v>11073.18</v>
      </c>
      <c r="J2618" t="inlineStr">
        <is>
          <t>Created MTR-IOS-2617 and correlation note visible in Activity/Pulse</t>
        </is>
      </c>
      <c r="K2618" t="inlineStr">
        <is>
          <t>NOT_RUN</t>
        </is>
      </c>
      <c r="P2618" t="n">
        <v>0</v>
      </c>
      <c r="Q2618" t="n">
        <v>2617</v>
      </c>
    </row>
    <row r="2619">
      <c r="A2619" t="n">
        <v>2618</v>
      </c>
      <c r="B2619" t="inlineStr">
        <is>
          <t>MTR-IOS-2618</t>
        </is>
      </c>
      <c r="C2619" t="inlineStr">
        <is>
          <t>iPhone</t>
        </is>
      </c>
      <c r="D2619" t="inlineStr">
        <is>
          <t>Group</t>
        </is>
      </c>
      <c r="E2619" t="inlineStr">
        <is>
          <t>Shared Experience</t>
        </is>
      </c>
      <c r="F2619" t="inlineStr">
        <is>
          <t>Trip</t>
        </is>
      </c>
      <c r="G2619" t="inlineStr">
        <is>
          <t>Food</t>
        </is>
      </c>
      <c r="H2619" t="inlineStr">
        <is>
          <t>Group &gt; Trip &gt; Quick Add &gt; Food</t>
        </is>
      </c>
      <c r="I2619" s="18" t="n">
        <v>8221.030000000001</v>
      </c>
      <c r="J2619" t="inlineStr">
        <is>
          <t>Created MTR-IOS-2618 and correlation note visible in Activity/Pulse</t>
        </is>
      </c>
      <c r="K2619" t="inlineStr">
        <is>
          <t>NOT_RUN</t>
        </is>
      </c>
      <c r="P2619" t="n">
        <v>0</v>
      </c>
      <c r="Q2619" t="n">
        <v>2618</v>
      </c>
    </row>
    <row r="2620">
      <c r="A2620" t="n">
        <v>2619</v>
      </c>
      <c r="B2620" t="inlineStr">
        <is>
          <t>MTR-IOS-2619</t>
        </is>
      </c>
      <c r="C2620" t="inlineStr">
        <is>
          <t>iPhone</t>
        </is>
      </c>
      <c r="D2620" t="inlineStr">
        <is>
          <t>Business</t>
        </is>
      </c>
      <c r="E2620" t="inlineStr">
        <is>
          <t>Business</t>
        </is>
      </c>
      <c r="F2620" t="inlineStr">
        <is>
          <t>Business Runway</t>
        </is>
      </c>
      <c r="G2620" t="inlineStr">
        <is>
          <t>Loan</t>
        </is>
      </c>
      <c r="H2620" t="inlineStr">
        <is>
          <t>Business &gt; Business Runway &gt; Quick Add &gt; Loan</t>
        </is>
      </c>
      <c r="I2620" s="18" t="n">
        <v>120015.85</v>
      </c>
      <c r="J2620" t="inlineStr">
        <is>
          <t>Created MTR-IOS-2619 and correlation note visible in Activity/Pulse</t>
        </is>
      </c>
      <c r="K2620" t="inlineStr">
        <is>
          <t>NOT_RUN</t>
        </is>
      </c>
      <c r="P2620" t="n">
        <v>0</v>
      </c>
      <c r="Q2620" t="n">
        <v>2619</v>
      </c>
    </row>
    <row r="2621">
      <c r="A2621" t="n">
        <v>2620</v>
      </c>
      <c r="B2621" t="inlineStr">
        <is>
          <t>MTR-IOS-2620</t>
        </is>
      </c>
      <c r="C2621" t="inlineStr">
        <is>
          <t>iPhone</t>
        </is>
      </c>
      <c r="D2621" t="inlineStr">
        <is>
          <t>Personal</t>
        </is>
      </c>
      <c r="E2621" t="inlineStr">
        <is>
          <t>Personal</t>
        </is>
      </c>
      <c r="F2621" t="inlineStr">
        <is>
          <t>Relationships</t>
        </is>
      </c>
      <c r="G2621" t="inlineStr">
        <is>
          <t>Celebrations</t>
        </is>
      </c>
      <c r="H2621" t="inlineStr">
        <is>
          <t>Personal &gt; Relationships &gt; Quick Add &gt; Celebrations</t>
        </is>
      </c>
      <c r="I2621" s="18" t="n">
        <v>14553.89</v>
      </c>
      <c r="J2621" t="inlineStr">
        <is>
          <t>Created MTR-IOS-2620 and correlation note visible in Activity/Pulse</t>
        </is>
      </c>
      <c r="K2621" t="inlineStr">
        <is>
          <t>NOT_RUN</t>
        </is>
      </c>
      <c r="P2621" t="n">
        <v>0</v>
      </c>
      <c r="Q2621" t="n">
        <v>2620</v>
      </c>
    </row>
    <row r="2622">
      <c r="A2622" t="n">
        <v>2621</v>
      </c>
      <c r="B2622" t="inlineStr">
        <is>
          <t>MTR-IOS-2621</t>
        </is>
      </c>
      <c r="C2622" t="inlineStr">
        <is>
          <t>iPhone</t>
        </is>
      </c>
      <c r="D2622" t="inlineStr">
        <is>
          <t>Group</t>
        </is>
      </c>
      <c r="E2622" t="inlineStr">
        <is>
          <t>Shared Experience</t>
        </is>
      </c>
      <c r="F2622" t="inlineStr">
        <is>
          <t>Trip</t>
        </is>
      </c>
      <c r="G2622" t="inlineStr">
        <is>
          <t>Local Transport</t>
        </is>
      </c>
      <c r="H2622" t="inlineStr">
        <is>
          <t>Group &gt; Trip &gt; Quick Add &gt; Local Transport</t>
        </is>
      </c>
      <c r="I2622" s="18" t="n">
        <v>25279.74</v>
      </c>
      <c r="J2622" t="inlineStr">
        <is>
          <t>Created MTR-IOS-2621 and correlation note visible in Activity/Pulse</t>
        </is>
      </c>
      <c r="K2622" t="inlineStr">
        <is>
          <t>NOT_RUN</t>
        </is>
      </c>
      <c r="P2622" t="n">
        <v>0</v>
      </c>
      <c r="Q2622" t="n">
        <v>2621</v>
      </c>
    </row>
    <row r="2623">
      <c r="A2623" t="n">
        <v>2622</v>
      </c>
      <c r="B2623" t="inlineStr">
        <is>
          <t>MTR-IOS-2622</t>
        </is>
      </c>
      <c r="C2623" t="inlineStr">
        <is>
          <t>iPhone</t>
        </is>
      </c>
      <c r="D2623" t="inlineStr">
        <is>
          <t>Business</t>
        </is>
      </c>
      <c r="E2623" t="inlineStr">
        <is>
          <t>Business</t>
        </is>
      </c>
      <c r="F2623" t="inlineStr">
        <is>
          <t>Business Runway</t>
        </is>
      </c>
      <c r="G2623" t="inlineStr">
        <is>
          <t>Investment</t>
        </is>
      </c>
      <c r="H2623" t="inlineStr">
        <is>
          <t>Business &gt; Business Runway &gt; Quick Add &gt; Investment</t>
        </is>
      </c>
      <c r="I2623" s="18" t="n">
        <v>47086.45</v>
      </c>
      <c r="J2623" t="inlineStr">
        <is>
          <t>Created MTR-IOS-2622 and correlation note visible in Activity/Pulse</t>
        </is>
      </c>
      <c r="K2623" t="inlineStr">
        <is>
          <t>NOT_RUN</t>
        </is>
      </c>
      <c r="P2623" t="n">
        <v>0</v>
      </c>
      <c r="Q2623" t="n">
        <v>2622</v>
      </c>
    </row>
    <row r="2624">
      <c r="A2624" t="n">
        <v>2623</v>
      </c>
      <c r="B2624" t="inlineStr">
        <is>
          <t>MTR-IOS-2623</t>
        </is>
      </c>
      <c r="C2624" t="inlineStr">
        <is>
          <t>iPhone</t>
        </is>
      </c>
      <c r="D2624" t="inlineStr">
        <is>
          <t>Personal</t>
        </is>
      </c>
      <c r="E2624" t="inlineStr">
        <is>
          <t>Personal</t>
        </is>
      </c>
      <c r="F2624" t="inlineStr">
        <is>
          <t>Life Operations</t>
        </is>
      </c>
      <c r="G2624" t="inlineStr">
        <is>
          <t>Groceries</t>
        </is>
      </c>
      <c r="H2624" t="inlineStr">
        <is>
          <t>Personal &gt; Life Operations &gt; Quick Add &gt; Groceries</t>
        </is>
      </c>
      <c r="I2624" s="18" t="n">
        <v>6855.58</v>
      </c>
      <c r="J2624" t="inlineStr">
        <is>
          <t>Created MTR-IOS-2623 and correlation note visible in Activity/Pulse</t>
        </is>
      </c>
      <c r="K2624" t="inlineStr">
        <is>
          <t>NOT_RUN</t>
        </is>
      </c>
      <c r="P2624" t="n">
        <v>0</v>
      </c>
      <c r="Q2624" t="n">
        <v>2623</v>
      </c>
    </row>
    <row r="2625">
      <c r="A2625" t="n">
        <v>2624</v>
      </c>
      <c r="B2625" t="inlineStr">
        <is>
          <t>MTR-IOS-2624</t>
        </is>
      </c>
      <c r="C2625" t="inlineStr">
        <is>
          <t>iPhone</t>
        </is>
      </c>
      <c r="D2625" t="inlineStr">
        <is>
          <t>Group</t>
        </is>
      </c>
      <c r="E2625" t="inlineStr">
        <is>
          <t>Shared Experience</t>
        </is>
      </c>
      <c r="F2625" t="inlineStr">
        <is>
          <t>Trip</t>
        </is>
      </c>
      <c r="G2625" t="inlineStr">
        <is>
          <t>Activities</t>
        </is>
      </c>
      <c r="H2625" t="inlineStr">
        <is>
          <t>Group &gt; Trip &gt; Quick Add &gt; Activities</t>
        </is>
      </c>
      <c r="I2625" s="18" t="n">
        <v>11599.16</v>
      </c>
      <c r="J2625" t="inlineStr">
        <is>
          <t>Created MTR-IOS-2624 and correlation note visible in Activity/Pulse</t>
        </is>
      </c>
      <c r="K2625" t="inlineStr">
        <is>
          <t>NOT_RUN</t>
        </is>
      </c>
      <c r="P2625" t="n">
        <v>0</v>
      </c>
      <c r="Q2625" t="n">
        <v>2624</v>
      </c>
    </row>
    <row r="2626">
      <c r="A2626" t="n">
        <v>2625</v>
      </c>
      <c r="B2626" t="inlineStr">
        <is>
          <t>MTR-IOS-2625</t>
        </is>
      </c>
      <c r="C2626" t="inlineStr">
        <is>
          <t>iPhone</t>
        </is>
      </c>
      <c r="D2626" t="inlineStr">
        <is>
          <t>Business</t>
        </is>
      </c>
      <c r="E2626" t="inlineStr">
        <is>
          <t>Business</t>
        </is>
      </c>
      <c r="F2626" t="inlineStr">
        <is>
          <t>Business Operations</t>
        </is>
      </c>
      <c r="G2626" t="inlineStr">
        <is>
          <t>Software</t>
        </is>
      </c>
      <c r="H2626" t="inlineStr">
        <is>
          <t>Business &gt; Business Operations &gt; Quick Add &gt; Software</t>
        </is>
      </c>
      <c r="I2626" s="18" t="n">
        <v>162860.58</v>
      </c>
      <c r="J2626" t="inlineStr">
        <is>
          <t>Created MTR-IOS-2625 and correlation note visible in Activity/Pulse</t>
        </is>
      </c>
      <c r="K2626" t="inlineStr">
        <is>
          <t>NOT_RUN</t>
        </is>
      </c>
      <c r="P2626" t="n">
        <v>0</v>
      </c>
      <c r="Q2626" t="n">
        <v>2625</v>
      </c>
    </row>
    <row r="2627">
      <c r="A2627" t="n">
        <v>2626</v>
      </c>
      <c r="B2627" t="inlineStr">
        <is>
          <t>MTR-IOS-2626</t>
        </is>
      </c>
      <c r="C2627" t="inlineStr">
        <is>
          <t>iPhone</t>
        </is>
      </c>
      <c r="D2627" t="inlineStr">
        <is>
          <t>Personal</t>
        </is>
      </c>
      <c r="E2627" t="inlineStr">
        <is>
          <t>Personal</t>
        </is>
      </c>
      <c r="F2627" t="inlineStr">
        <is>
          <t>Life Operations</t>
        </is>
      </c>
      <c r="G2627" t="inlineStr">
        <is>
          <t>Rent</t>
        </is>
      </c>
      <c r="H2627" t="inlineStr">
        <is>
          <t>Personal &gt; Life Operations &gt; Quick Add &gt; Rent</t>
        </is>
      </c>
      <c r="I2627" s="18" t="n">
        <v>17839.22</v>
      </c>
      <c r="J2627" t="inlineStr">
        <is>
          <t>Created MTR-IOS-2626 and correlation note visible in Activity/Pulse</t>
        </is>
      </c>
      <c r="K2627" t="inlineStr">
        <is>
          <t>NOT_RUN</t>
        </is>
      </c>
      <c r="P2627" t="n">
        <v>0</v>
      </c>
      <c r="Q2627" t="n">
        <v>2626</v>
      </c>
    </row>
    <row r="2628">
      <c r="A2628" t="n">
        <v>2627</v>
      </c>
      <c r="B2628" t="inlineStr">
        <is>
          <t>MTR-IOS-2627</t>
        </is>
      </c>
      <c r="C2628" t="inlineStr">
        <is>
          <t>iPhone</t>
        </is>
      </c>
      <c r="D2628" t="inlineStr">
        <is>
          <t>Group</t>
        </is>
      </c>
      <c r="E2628" t="inlineStr">
        <is>
          <t>Shared Experience</t>
        </is>
      </c>
      <c r="F2628" t="inlineStr">
        <is>
          <t>Trip</t>
        </is>
      </c>
      <c r="G2628" t="inlineStr">
        <is>
          <t>Shopping</t>
        </is>
      </c>
      <c r="H2628" t="inlineStr">
        <is>
          <t>Group &gt; Trip &gt; Quick Add &gt; Shopping</t>
        </is>
      </c>
      <c r="I2628" s="18" t="n">
        <v>10000</v>
      </c>
      <c r="J2628" t="inlineStr">
        <is>
          <t>Created MTR-IOS-2627 and correlation note visible in Activity/Pulse</t>
        </is>
      </c>
      <c r="K2628" t="inlineStr">
        <is>
          <t>NOT_RUN</t>
        </is>
      </c>
      <c r="P2628" t="n">
        <v>0</v>
      </c>
      <c r="Q2628" t="n">
        <v>2627</v>
      </c>
    </row>
    <row r="2629">
      <c r="A2629" t="n">
        <v>2628</v>
      </c>
      <c r="B2629" t="inlineStr">
        <is>
          <t>MTR-IOS-2628</t>
        </is>
      </c>
      <c r="C2629" t="inlineStr">
        <is>
          <t>iPhone</t>
        </is>
      </c>
      <c r="D2629" t="inlineStr">
        <is>
          <t>Business</t>
        </is>
      </c>
      <c r="E2629" t="inlineStr">
        <is>
          <t>Business</t>
        </is>
      </c>
      <c r="F2629" t="inlineStr">
        <is>
          <t>Business Operations</t>
        </is>
      </c>
      <c r="G2629" t="inlineStr">
        <is>
          <t>Rent</t>
        </is>
      </c>
      <c r="H2629" t="inlineStr">
        <is>
          <t>Business &gt; Business Operations &gt; Quick Add &gt; Rent</t>
        </is>
      </c>
      <c r="I2629" s="18" t="n">
        <v>1451.79</v>
      </c>
      <c r="J2629" t="inlineStr">
        <is>
          <t>Created MTR-IOS-2628 and correlation note visible in Activity/Pulse</t>
        </is>
      </c>
      <c r="K2629" t="inlineStr">
        <is>
          <t>NOT_RUN</t>
        </is>
      </c>
      <c r="P2629" t="n">
        <v>0</v>
      </c>
      <c r="Q2629" t="n">
        <v>2628</v>
      </c>
    </row>
    <row r="2630">
      <c r="A2630" t="n">
        <v>2629</v>
      </c>
      <c r="B2630" t="inlineStr">
        <is>
          <t>MTR-IOS-2629</t>
        </is>
      </c>
      <c r="C2630" t="inlineStr">
        <is>
          <t>iPhone</t>
        </is>
      </c>
      <c r="D2630" t="inlineStr">
        <is>
          <t>Personal</t>
        </is>
      </c>
      <c r="E2630" t="inlineStr">
        <is>
          <t>Personal</t>
        </is>
      </c>
      <c r="F2630" t="inlineStr">
        <is>
          <t>Life Operations</t>
        </is>
      </c>
      <c r="G2630" t="inlineStr">
        <is>
          <t>Bills</t>
        </is>
      </c>
      <c r="H2630" t="inlineStr">
        <is>
          <t>Personal &gt; Life Operations &gt; Quick Add &gt; Bills</t>
        </is>
      </c>
      <c r="I2630" s="18" t="n">
        <v>14269.43</v>
      </c>
      <c r="J2630" t="inlineStr">
        <is>
          <t>Created MTR-IOS-2629 and correlation note visible in Activity/Pulse</t>
        </is>
      </c>
      <c r="K2630" t="inlineStr">
        <is>
          <t>NOT_RUN</t>
        </is>
      </c>
      <c r="P2630" t="n">
        <v>0</v>
      </c>
      <c r="Q2630" t="n">
        <v>2629</v>
      </c>
    </row>
    <row r="2631">
      <c r="A2631" t="n">
        <v>2630</v>
      </c>
      <c r="B2631" t="inlineStr">
        <is>
          <t>MTR-IOS-2630</t>
        </is>
      </c>
      <c r="C2631" t="inlineStr">
        <is>
          <t>iPhone</t>
        </is>
      </c>
      <c r="D2631" t="inlineStr">
        <is>
          <t>Group</t>
        </is>
      </c>
      <c r="E2631" t="inlineStr">
        <is>
          <t>Shared Experience</t>
        </is>
      </c>
      <c r="F2631" t="inlineStr">
        <is>
          <t>Trip</t>
        </is>
      </c>
      <c r="G2631" t="inlineStr">
        <is>
          <t>Other</t>
        </is>
      </c>
      <c r="H2631" t="inlineStr">
        <is>
          <t>Group &gt; Trip &gt; Quick Add &gt; Other</t>
        </is>
      </c>
      <c r="I2631" s="18" t="n">
        <v>18372.68</v>
      </c>
      <c r="J2631" t="inlineStr">
        <is>
          <t>Created MTR-IOS-2630 and correlation note visible in Activity/Pulse</t>
        </is>
      </c>
      <c r="K2631" t="inlineStr">
        <is>
          <t>NOT_RUN</t>
        </is>
      </c>
      <c r="P2631" t="n">
        <v>0</v>
      </c>
      <c r="Q2631" t="n">
        <v>2630</v>
      </c>
    </row>
    <row r="2632">
      <c r="A2632" t="n">
        <v>2631</v>
      </c>
      <c r="B2632" t="inlineStr">
        <is>
          <t>MTR-IOS-2631</t>
        </is>
      </c>
      <c r="C2632" t="inlineStr">
        <is>
          <t>iPhone</t>
        </is>
      </c>
      <c r="D2632" t="inlineStr">
        <is>
          <t>Business</t>
        </is>
      </c>
      <c r="E2632" t="inlineStr">
        <is>
          <t>Business</t>
        </is>
      </c>
      <c r="F2632" t="inlineStr">
        <is>
          <t>Business Operations</t>
        </is>
      </c>
      <c r="G2632" t="inlineStr">
        <is>
          <t>Marketing</t>
        </is>
      </c>
      <c r="H2632" t="inlineStr">
        <is>
          <t>Business &gt; Business Operations &gt; Quick Add &gt; Marketing</t>
        </is>
      </c>
      <c r="I2632" s="18" t="n">
        <v>137367.14</v>
      </c>
      <c r="J2632" t="inlineStr">
        <is>
          <t>Created MTR-IOS-2631 and correlation note visible in Activity/Pulse</t>
        </is>
      </c>
      <c r="K2632" t="inlineStr">
        <is>
          <t>NOT_RUN</t>
        </is>
      </c>
      <c r="P2632" t="n">
        <v>0</v>
      </c>
      <c r="Q2632" t="n">
        <v>2631</v>
      </c>
    </row>
    <row r="2633">
      <c r="A2633" t="n">
        <v>2632</v>
      </c>
      <c r="B2633" t="inlineStr">
        <is>
          <t>MTR-IOS-2632</t>
        </is>
      </c>
      <c r="C2633" t="inlineStr">
        <is>
          <t>iPhone</t>
        </is>
      </c>
      <c r="D2633" t="inlineStr">
        <is>
          <t>Personal</t>
        </is>
      </c>
      <c r="E2633" t="inlineStr">
        <is>
          <t>Personal</t>
        </is>
      </c>
      <c r="F2633" t="inlineStr">
        <is>
          <t>Life Operations</t>
        </is>
      </c>
      <c r="G2633" t="inlineStr">
        <is>
          <t>Transport</t>
        </is>
      </c>
      <c r="H2633" t="inlineStr">
        <is>
          <t>Personal &gt; Life Operations &gt; Quick Add &gt; Transport</t>
        </is>
      </c>
      <c r="I2633" s="18" t="n">
        <v>10319.83</v>
      </c>
      <c r="J2633" t="inlineStr">
        <is>
          <t>Created MTR-IOS-2632 and correlation note visible in Activity/Pulse</t>
        </is>
      </c>
      <c r="K2633" t="inlineStr">
        <is>
          <t>NOT_RUN</t>
        </is>
      </c>
      <c r="P2633" t="n">
        <v>0</v>
      </c>
      <c r="Q2633" t="n">
        <v>2632</v>
      </c>
    </row>
    <row r="2634">
      <c r="A2634" t="n">
        <v>2633</v>
      </c>
      <c r="B2634" t="inlineStr">
        <is>
          <t>MTR-IOS-2633</t>
        </is>
      </c>
      <c r="C2634" t="inlineStr">
        <is>
          <t>iPhone</t>
        </is>
      </c>
      <c r="D2634" t="inlineStr">
        <is>
          <t>Group</t>
        </is>
      </c>
      <c r="E2634" t="inlineStr">
        <is>
          <t>Shared Experience</t>
        </is>
      </c>
      <c r="F2634" t="inlineStr">
        <is>
          <t>Wedding</t>
        </is>
      </c>
      <c r="G2634" t="inlineStr">
        <is>
          <t>Venue</t>
        </is>
      </c>
      <c r="H2634" t="inlineStr">
        <is>
          <t>Group &gt; Wedding &gt; Quick Add &gt; Venue</t>
        </is>
      </c>
      <c r="I2634" s="18" t="n">
        <v>23541.18</v>
      </c>
      <c r="J2634" t="inlineStr">
        <is>
          <t>Created MTR-IOS-2633 and correlation note visible in Activity/Pulse</t>
        </is>
      </c>
      <c r="K2634" t="inlineStr">
        <is>
          <t>NOT_RUN</t>
        </is>
      </c>
      <c r="P2634" t="n">
        <v>0</v>
      </c>
      <c r="Q2634" t="n">
        <v>2633</v>
      </c>
    </row>
    <row r="2635">
      <c r="A2635" t="n">
        <v>2634</v>
      </c>
      <c r="B2635" t="inlineStr">
        <is>
          <t>MTR-IOS-2634</t>
        </is>
      </c>
      <c r="C2635" t="inlineStr">
        <is>
          <t>iPhone</t>
        </is>
      </c>
      <c r="D2635" t="inlineStr">
        <is>
          <t>Business</t>
        </is>
      </c>
      <c r="E2635" t="inlineStr">
        <is>
          <t>Business</t>
        </is>
      </c>
      <c r="F2635" t="inlineStr">
        <is>
          <t>Business Operations</t>
        </is>
      </c>
      <c r="G2635" t="inlineStr">
        <is>
          <t>Legal</t>
        </is>
      </c>
      <c r="H2635" t="inlineStr">
        <is>
          <t>Business &gt; Business Operations &gt; Quick Add &gt; Legal</t>
        </is>
      </c>
      <c r="I2635" s="18" t="n">
        <v>109920.76</v>
      </c>
      <c r="J2635" t="inlineStr">
        <is>
          <t>Created MTR-IOS-2634 and correlation note visible in Activity/Pulse</t>
        </is>
      </c>
      <c r="K2635" t="inlineStr">
        <is>
          <t>NOT_RUN</t>
        </is>
      </c>
      <c r="P2635" t="n">
        <v>0</v>
      </c>
      <c r="Q2635" t="n">
        <v>2634</v>
      </c>
    </row>
    <row r="2636">
      <c r="A2636" t="n">
        <v>2635</v>
      </c>
      <c r="B2636" t="inlineStr">
        <is>
          <t>MTR-IOS-2635</t>
        </is>
      </c>
      <c r="C2636" t="inlineStr">
        <is>
          <t>iPhone</t>
        </is>
      </c>
      <c r="D2636" t="inlineStr">
        <is>
          <t>Personal</t>
        </is>
      </c>
      <c r="E2636" t="inlineStr">
        <is>
          <t>Personal</t>
        </is>
      </c>
      <c r="F2636" t="inlineStr">
        <is>
          <t>Life Operations</t>
        </is>
      </c>
      <c r="G2636" t="inlineStr">
        <is>
          <t>Healthcare</t>
        </is>
      </c>
      <c r="H2636" t="inlineStr">
        <is>
          <t>Personal &gt; Life Operations &gt; Quick Add &gt; Healthcare</t>
        </is>
      </c>
      <c r="I2636" s="18" t="n">
        <v>8212.23</v>
      </c>
      <c r="J2636" t="inlineStr">
        <is>
          <t>Created MTR-IOS-2635 and correlation note visible in Activity/Pulse</t>
        </is>
      </c>
      <c r="K2636" t="inlineStr">
        <is>
          <t>NOT_RUN</t>
        </is>
      </c>
      <c r="P2636" t="n">
        <v>0</v>
      </c>
      <c r="Q2636" t="n">
        <v>2635</v>
      </c>
    </row>
    <row r="2637">
      <c r="A2637" t="n">
        <v>2636</v>
      </c>
      <c r="B2637" t="inlineStr">
        <is>
          <t>MTR-IOS-2636</t>
        </is>
      </c>
      <c r="C2637" t="inlineStr">
        <is>
          <t>iPhone</t>
        </is>
      </c>
      <c r="D2637" t="inlineStr">
        <is>
          <t>Group</t>
        </is>
      </c>
      <c r="E2637" t="inlineStr">
        <is>
          <t>Shared Experience</t>
        </is>
      </c>
      <c r="F2637" t="inlineStr">
        <is>
          <t>Wedding</t>
        </is>
      </c>
      <c r="G2637" t="inlineStr">
        <is>
          <t>Catering</t>
        </is>
      </c>
      <c r="H2637" t="inlineStr">
        <is>
          <t>Group &gt; Wedding &gt; Quick Add &gt; Catering</t>
        </is>
      </c>
      <c r="I2637" s="18" t="n">
        <v>5471.42</v>
      </c>
      <c r="J2637" t="inlineStr">
        <is>
          <t>Created MTR-IOS-2636 and correlation note visible in Activity/Pulse</t>
        </is>
      </c>
      <c r="K2637" t="inlineStr">
        <is>
          <t>NOT_RUN</t>
        </is>
      </c>
      <c r="P2637" t="n">
        <v>0</v>
      </c>
      <c r="Q2637" t="n">
        <v>2636</v>
      </c>
    </row>
    <row r="2638">
      <c r="A2638" t="n">
        <v>2637</v>
      </c>
      <c r="B2638" t="inlineStr">
        <is>
          <t>MTR-IOS-2637</t>
        </is>
      </c>
      <c r="C2638" t="inlineStr">
        <is>
          <t>iPhone</t>
        </is>
      </c>
      <c r="D2638" t="inlineStr">
        <is>
          <t>Business</t>
        </is>
      </c>
      <c r="E2638" t="inlineStr">
        <is>
          <t>Business</t>
        </is>
      </c>
      <c r="F2638" t="inlineStr">
        <is>
          <t>Business Operations</t>
        </is>
      </c>
      <c r="G2638" t="inlineStr">
        <is>
          <t>Accounting</t>
        </is>
      </c>
      <c r="H2638" t="inlineStr">
        <is>
          <t>Business &gt; Business Operations &gt; Quick Add &gt; Accounting</t>
        </is>
      </c>
      <c r="I2638" s="18" t="n">
        <v>146499.46</v>
      </c>
      <c r="J2638" t="inlineStr">
        <is>
          <t>Created MTR-IOS-2637 and correlation note visible in Activity/Pulse</t>
        </is>
      </c>
      <c r="K2638" t="inlineStr">
        <is>
          <t>NOT_RUN</t>
        </is>
      </c>
      <c r="P2638" t="n">
        <v>0</v>
      </c>
      <c r="Q2638" t="n">
        <v>2637</v>
      </c>
    </row>
    <row r="2639">
      <c r="A2639" t="n">
        <v>2638</v>
      </c>
      <c r="B2639" t="inlineStr">
        <is>
          <t>MTR-IOS-2638</t>
        </is>
      </c>
      <c r="C2639" t="inlineStr">
        <is>
          <t>iPhone</t>
        </is>
      </c>
      <c r="D2639" t="inlineStr">
        <is>
          <t>Personal</t>
        </is>
      </c>
      <c r="E2639" t="inlineStr">
        <is>
          <t>Personal</t>
        </is>
      </c>
      <c r="F2639" t="inlineStr">
        <is>
          <t>Life Operations</t>
        </is>
      </c>
      <c r="G2639" t="inlineStr">
        <is>
          <t>Subscriptions</t>
        </is>
      </c>
      <c r="H2639" t="inlineStr">
        <is>
          <t>Personal &gt; Life Operations &gt; Quick Add &gt; Subscriptions</t>
        </is>
      </c>
      <c r="I2639" s="18" t="n">
        <v>16137.55</v>
      </c>
      <c r="J2639" t="inlineStr">
        <is>
          <t>Created MTR-IOS-2638 and correlation note visible in Activity/Pulse</t>
        </is>
      </c>
      <c r="K2639" t="inlineStr">
        <is>
          <t>NOT_RUN</t>
        </is>
      </c>
      <c r="P2639" t="n">
        <v>0</v>
      </c>
      <c r="Q2639" t="n">
        <v>2638</v>
      </c>
    </row>
    <row r="2640">
      <c r="A2640" t="n">
        <v>2639</v>
      </c>
      <c r="B2640" t="inlineStr">
        <is>
          <t>MTR-IOS-2639</t>
        </is>
      </c>
      <c r="C2640" t="inlineStr">
        <is>
          <t>iPhone</t>
        </is>
      </c>
      <c r="D2640" t="inlineStr">
        <is>
          <t>Group</t>
        </is>
      </c>
      <c r="E2640" t="inlineStr">
        <is>
          <t>Shared Experience</t>
        </is>
      </c>
      <c r="F2640" t="inlineStr">
        <is>
          <t>Wedding</t>
        </is>
      </c>
      <c r="G2640" t="inlineStr">
        <is>
          <t>Decor</t>
        </is>
      </c>
      <c r="H2640" t="inlineStr">
        <is>
          <t>Group &gt; Wedding &gt; Quick Add &gt; Decor</t>
        </is>
      </c>
      <c r="I2640" s="18" t="n">
        <v>20803.67</v>
      </c>
      <c r="J2640" t="inlineStr">
        <is>
          <t>Created MTR-IOS-2639 and correlation note visible in Activity/Pulse</t>
        </is>
      </c>
      <c r="K2640" t="inlineStr">
        <is>
          <t>NOT_RUN</t>
        </is>
      </c>
      <c r="P2640" t="n">
        <v>0</v>
      </c>
      <c r="Q2640" t="n">
        <v>2639</v>
      </c>
    </row>
    <row r="2641">
      <c r="A2641" t="n">
        <v>2640</v>
      </c>
      <c r="B2641" t="inlineStr">
        <is>
          <t>MTR-IOS-2640</t>
        </is>
      </c>
      <c r="C2641" t="inlineStr">
        <is>
          <t>iPhone</t>
        </is>
      </c>
      <c r="D2641" t="inlineStr">
        <is>
          <t>Business</t>
        </is>
      </c>
      <c r="E2641" t="inlineStr">
        <is>
          <t>Business</t>
        </is>
      </c>
      <c r="F2641" t="inlineStr">
        <is>
          <t>Business Operations</t>
        </is>
      </c>
      <c r="G2641" t="inlineStr">
        <is>
          <t>Equipment</t>
        </is>
      </c>
      <c r="H2641" t="inlineStr">
        <is>
          <t>Business &gt; Business Operations &gt; Quick Add &gt; Equipment</t>
        </is>
      </c>
      <c r="I2641" s="18" t="n">
        <v>89728.62</v>
      </c>
      <c r="J2641" t="inlineStr">
        <is>
          <t>Created MTR-IOS-2640 and correlation note visible in Activity/Pulse</t>
        </is>
      </c>
      <c r="K2641" t="inlineStr">
        <is>
          <t>NOT_RUN</t>
        </is>
      </c>
      <c r="P2641" t="n">
        <v>0</v>
      </c>
      <c r="Q2641" t="n">
        <v>2640</v>
      </c>
    </row>
    <row r="2642">
      <c r="A2642" t="n">
        <v>2641</v>
      </c>
      <c r="B2642" t="inlineStr">
        <is>
          <t>MTR-IOS-2641</t>
        </is>
      </c>
      <c r="C2642" t="inlineStr">
        <is>
          <t>iPhone</t>
        </is>
      </c>
      <c r="D2642" t="inlineStr">
        <is>
          <t>Personal</t>
        </is>
      </c>
      <c r="E2642" t="inlineStr">
        <is>
          <t>Personal</t>
        </is>
      </c>
      <c r="F2642" t="inlineStr">
        <is>
          <t>Life Operations</t>
        </is>
      </c>
      <c r="G2642" t="inlineStr">
        <is>
          <t>Repairs</t>
        </is>
      </c>
      <c r="H2642" t="inlineStr">
        <is>
          <t>Personal &gt; Life Operations &gt; Quick Add &gt; Repairs</t>
        </is>
      </c>
      <c r="I2642" s="18" t="n">
        <v>16582.16</v>
      </c>
      <c r="J2642" t="inlineStr">
        <is>
          <t>Created MTR-IOS-2641 and correlation note visible in Activity/Pulse</t>
        </is>
      </c>
      <c r="K2642" t="inlineStr">
        <is>
          <t>NOT_RUN</t>
        </is>
      </c>
      <c r="P2642" t="n">
        <v>0</v>
      </c>
      <c r="Q2642" t="n">
        <v>2641</v>
      </c>
    </row>
    <row r="2643">
      <c r="A2643" t="n">
        <v>2642</v>
      </c>
      <c r="B2643" t="inlineStr">
        <is>
          <t>MTR-IOS-2642</t>
        </is>
      </c>
      <c r="C2643" t="inlineStr">
        <is>
          <t>iPhone</t>
        </is>
      </c>
      <c r="D2643" t="inlineStr">
        <is>
          <t>Group</t>
        </is>
      </c>
      <c r="E2643" t="inlineStr">
        <is>
          <t>Shared Experience</t>
        </is>
      </c>
      <c r="F2643" t="inlineStr">
        <is>
          <t>Wedding</t>
        </is>
      </c>
      <c r="G2643" t="inlineStr">
        <is>
          <t>Travel</t>
        </is>
      </c>
      <c r="H2643" t="inlineStr">
        <is>
          <t>Group &gt; Wedding &gt; Quick Add &gt; Travel</t>
        </is>
      </c>
      <c r="I2643" s="18" t="n">
        <v>13443.76</v>
      </c>
      <c r="J2643" t="inlineStr">
        <is>
          <t>Created MTR-IOS-2642 and correlation note visible in Activity/Pulse</t>
        </is>
      </c>
      <c r="K2643" t="inlineStr">
        <is>
          <t>NOT_RUN</t>
        </is>
      </c>
      <c r="P2643" t="n">
        <v>0</v>
      </c>
      <c r="Q2643" t="n">
        <v>2642</v>
      </c>
    </row>
    <row r="2644">
      <c r="A2644" t="n">
        <v>2643</v>
      </c>
      <c r="B2644" t="inlineStr">
        <is>
          <t>MTR-IOS-2643</t>
        </is>
      </c>
      <c r="C2644" t="inlineStr">
        <is>
          <t>iPhone</t>
        </is>
      </c>
      <c r="D2644" t="inlineStr">
        <is>
          <t>Business</t>
        </is>
      </c>
      <c r="E2644" t="inlineStr">
        <is>
          <t>Business</t>
        </is>
      </c>
      <c r="F2644" t="inlineStr">
        <is>
          <t>Business Operations</t>
        </is>
      </c>
      <c r="G2644" t="inlineStr">
        <is>
          <t>Vendor</t>
        </is>
      </c>
      <c r="H2644" t="inlineStr">
        <is>
          <t>Business &gt; Business Operations &gt; Quick Add &gt; Vendor</t>
        </is>
      </c>
      <c r="I2644" s="18" t="n">
        <v>99712.11</v>
      </c>
      <c r="J2644" t="inlineStr">
        <is>
          <t>Created MTR-IOS-2643 and correlation note visible in Activity/Pulse</t>
        </is>
      </c>
      <c r="K2644" t="inlineStr">
        <is>
          <t>NOT_RUN</t>
        </is>
      </c>
      <c r="P2644" t="n">
        <v>0</v>
      </c>
      <c r="Q2644" t="n">
        <v>2643</v>
      </c>
    </row>
    <row r="2645">
      <c r="A2645" t="n">
        <v>2644</v>
      </c>
      <c r="B2645" t="inlineStr">
        <is>
          <t>MTR-IOS-2644</t>
        </is>
      </c>
      <c r="C2645" t="inlineStr">
        <is>
          <t>iPhone</t>
        </is>
      </c>
      <c r="D2645" t="inlineStr">
        <is>
          <t>Personal</t>
        </is>
      </c>
      <c r="E2645" t="inlineStr">
        <is>
          <t>Personal</t>
        </is>
      </c>
      <c r="F2645" t="inlineStr">
        <is>
          <t>Future Building</t>
        </is>
      </c>
      <c r="G2645" t="inlineStr">
        <is>
          <t>Savings</t>
        </is>
      </c>
      <c r="H2645" t="inlineStr">
        <is>
          <t>Personal &gt; Future Building &gt; Quick Add &gt; Savings</t>
        </is>
      </c>
      <c r="I2645" s="18" t="n">
        <v>11504.33</v>
      </c>
      <c r="J2645" t="inlineStr">
        <is>
          <t>Created MTR-IOS-2644 and correlation note visible in Activity/Pulse</t>
        </is>
      </c>
      <c r="K2645" t="inlineStr">
        <is>
          <t>NOT_RUN</t>
        </is>
      </c>
      <c r="P2645" t="n">
        <v>0</v>
      </c>
      <c r="Q2645" t="n">
        <v>2644</v>
      </c>
    </row>
    <row r="2646">
      <c r="A2646" t="n">
        <v>2645</v>
      </c>
      <c r="B2646" t="inlineStr">
        <is>
          <t>MTR-IOS-2645</t>
        </is>
      </c>
      <c r="C2646" t="inlineStr">
        <is>
          <t>iPhone</t>
        </is>
      </c>
      <c r="D2646" t="inlineStr">
        <is>
          <t>Group</t>
        </is>
      </c>
      <c r="E2646" t="inlineStr">
        <is>
          <t>Shared Experience</t>
        </is>
      </c>
      <c r="F2646" t="inlineStr">
        <is>
          <t>Wedding</t>
        </is>
      </c>
      <c r="G2646" t="inlineStr">
        <is>
          <t>Gifts</t>
        </is>
      </c>
      <c r="H2646" t="inlineStr">
        <is>
          <t>Group &gt; Wedding &gt; Quick Add &gt; Gifts</t>
        </is>
      </c>
      <c r="I2646" s="18" t="n">
        <v>18123.29</v>
      </c>
      <c r="J2646" t="inlineStr">
        <is>
          <t>Created MTR-IOS-2645 and correlation note visible in Activity/Pulse</t>
        </is>
      </c>
      <c r="K2646" t="inlineStr">
        <is>
          <t>NOT_RUN</t>
        </is>
      </c>
      <c r="P2646" t="n">
        <v>0</v>
      </c>
      <c r="Q2646" t="n">
        <v>2645</v>
      </c>
    </row>
    <row r="2647">
      <c r="A2647" t="n">
        <v>2646</v>
      </c>
      <c r="B2647" t="inlineStr">
        <is>
          <t>MTR-IOS-2646</t>
        </is>
      </c>
      <c r="C2647" t="inlineStr">
        <is>
          <t>iPhone</t>
        </is>
      </c>
      <c r="D2647" t="inlineStr">
        <is>
          <t>Business</t>
        </is>
      </c>
      <c r="E2647" t="inlineStr">
        <is>
          <t>Business</t>
        </is>
      </c>
      <c r="F2647" t="inlineStr">
        <is>
          <t>Business Operations</t>
        </is>
      </c>
      <c r="G2647" t="inlineStr">
        <is>
          <t>Tax</t>
        </is>
      </c>
      <c r="H2647" t="inlineStr">
        <is>
          <t>Business &gt; Business Operations &gt; Quick Add &gt; Tax</t>
        </is>
      </c>
      <c r="I2647" s="18" t="n">
        <v>150103.78</v>
      </c>
      <c r="J2647" t="inlineStr">
        <is>
          <t>Created MTR-IOS-2646 and correlation note visible in Activity/Pulse</t>
        </is>
      </c>
      <c r="K2647" t="inlineStr">
        <is>
          <t>NOT_RUN</t>
        </is>
      </c>
      <c r="P2647" t="n">
        <v>0</v>
      </c>
      <c r="Q2647" t="n">
        <v>2646</v>
      </c>
    </row>
    <row r="2648">
      <c r="A2648" t="n">
        <v>2647</v>
      </c>
      <c r="B2648" t="inlineStr">
        <is>
          <t>MTR-IOS-2647</t>
        </is>
      </c>
      <c r="C2648" t="inlineStr">
        <is>
          <t>iPhone</t>
        </is>
      </c>
      <c r="D2648" t="inlineStr">
        <is>
          <t>Personal</t>
        </is>
      </c>
      <c r="E2648" t="inlineStr">
        <is>
          <t>Personal</t>
        </is>
      </c>
      <c r="F2648" t="inlineStr">
        <is>
          <t>Future Building</t>
        </is>
      </c>
      <c r="G2648" t="inlineStr">
        <is>
          <t>Emergency Fund</t>
        </is>
      </c>
      <c r="H2648" t="inlineStr">
        <is>
          <t>Personal &gt; Future Building &gt; Quick Add &gt; Emergency Fund</t>
        </is>
      </c>
      <c r="I2648" s="18" t="n">
        <v>908.63</v>
      </c>
      <c r="J2648" t="inlineStr">
        <is>
          <t>Created MTR-IOS-2647 and correlation note visible in Activity/Pulse</t>
        </is>
      </c>
      <c r="K2648" t="inlineStr">
        <is>
          <t>NOT_RUN</t>
        </is>
      </c>
      <c r="P2648" t="n">
        <v>0</v>
      </c>
      <c r="Q2648" t="n">
        <v>2647</v>
      </c>
    </row>
    <row r="2649">
      <c r="A2649" t="n">
        <v>2648</v>
      </c>
      <c r="B2649" t="inlineStr">
        <is>
          <t>MTR-IOS-2648</t>
        </is>
      </c>
      <c r="C2649" t="inlineStr">
        <is>
          <t>iPhone</t>
        </is>
      </c>
      <c r="D2649" t="inlineStr">
        <is>
          <t>Group</t>
        </is>
      </c>
      <c r="E2649" t="inlineStr">
        <is>
          <t>Shared Experience</t>
        </is>
      </c>
      <c r="F2649" t="inlineStr">
        <is>
          <t>Wedding</t>
        </is>
      </c>
      <c r="G2649" t="inlineStr">
        <is>
          <t>Photography</t>
        </is>
      </c>
      <c r="H2649" t="inlineStr">
        <is>
          <t>Group &gt; Wedding &gt; Quick Add &gt; Photography</t>
        </is>
      </c>
      <c r="I2649" s="18" t="n">
        <v>14925.25</v>
      </c>
      <c r="J2649" t="inlineStr">
        <is>
          <t>Created MTR-IOS-2648 and correlation note visible in Activity/Pulse</t>
        </is>
      </c>
      <c r="K2649" t="inlineStr">
        <is>
          <t>NOT_RUN</t>
        </is>
      </c>
      <c r="P2649" t="n">
        <v>0</v>
      </c>
      <c r="Q2649" t="n">
        <v>2648</v>
      </c>
    </row>
    <row r="2650">
      <c r="A2650" t="n">
        <v>2649</v>
      </c>
      <c r="B2650" t="inlineStr">
        <is>
          <t>MTR-IOS-2649</t>
        </is>
      </c>
      <c r="C2650" t="inlineStr">
        <is>
          <t>iPhone</t>
        </is>
      </c>
      <c r="D2650" t="inlineStr">
        <is>
          <t>Business</t>
        </is>
      </c>
      <c r="E2650" t="inlineStr">
        <is>
          <t>Business</t>
        </is>
      </c>
      <c r="F2650" t="inlineStr">
        <is>
          <t>Team Operations</t>
        </is>
      </c>
      <c r="G2650" t="inlineStr">
        <is>
          <t>Payroll</t>
        </is>
      </c>
      <c r="H2650" t="inlineStr">
        <is>
          <t>Business &gt; Team Operations &gt; Quick Add &gt; Payroll</t>
        </is>
      </c>
      <c r="I2650" s="18" t="n">
        <v>81963.00999999999</v>
      </c>
      <c r="J2650" t="inlineStr">
        <is>
          <t>Created MTR-IOS-2649 and correlation note visible in Activity/Pulse</t>
        </is>
      </c>
      <c r="K2650" t="inlineStr">
        <is>
          <t>NOT_RUN</t>
        </is>
      </c>
      <c r="P2650" t="n">
        <v>0</v>
      </c>
      <c r="Q2650" t="n">
        <v>2649</v>
      </c>
    </row>
    <row r="2651">
      <c r="A2651" t="n">
        <v>2650</v>
      </c>
      <c r="B2651" t="inlineStr">
        <is>
          <t>MTR-IOS-2650</t>
        </is>
      </c>
      <c r="C2651" t="inlineStr">
        <is>
          <t>iPhone</t>
        </is>
      </c>
      <c r="D2651" t="inlineStr">
        <is>
          <t>Personal</t>
        </is>
      </c>
      <c r="E2651" t="inlineStr">
        <is>
          <t>Personal</t>
        </is>
      </c>
      <c r="F2651" t="inlineStr">
        <is>
          <t>Future Building</t>
        </is>
      </c>
      <c r="G2651" t="inlineStr">
        <is>
          <t>Investments</t>
        </is>
      </c>
      <c r="H2651" t="inlineStr">
        <is>
          <t>Personal &gt; Future Building &gt; Quick Add &gt; Investments</t>
        </is>
      </c>
      <c r="I2651" s="18" t="n">
        <v>14199.12</v>
      </c>
      <c r="J2651" t="inlineStr">
        <is>
          <t>Created MTR-IOS-2650 and correlation note visible in Activity/Pulse</t>
        </is>
      </c>
      <c r="K2651" t="inlineStr">
        <is>
          <t>NOT_RUN</t>
        </is>
      </c>
      <c r="P2651" t="n">
        <v>0</v>
      </c>
      <c r="Q2651" t="n">
        <v>2650</v>
      </c>
    </row>
    <row r="2652">
      <c r="A2652" t="n">
        <v>2651</v>
      </c>
      <c r="B2652" t="inlineStr">
        <is>
          <t>MTR-IOS-2651</t>
        </is>
      </c>
      <c r="C2652" t="inlineStr">
        <is>
          <t>iPhone</t>
        </is>
      </c>
      <c r="D2652" t="inlineStr">
        <is>
          <t>Group</t>
        </is>
      </c>
      <c r="E2652" t="inlineStr">
        <is>
          <t>Shared Experience</t>
        </is>
      </c>
      <c r="F2652" t="inlineStr">
        <is>
          <t>Wedding</t>
        </is>
      </c>
      <c r="G2652" t="inlineStr">
        <is>
          <t>Other</t>
        </is>
      </c>
      <c r="H2652" t="inlineStr">
        <is>
          <t>Group &gt; Wedding &gt; Quick Add &gt; Other</t>
        </is>
      </c>
      <c r="I2652" s="18" t="n">
        <v>9935.690000000001</v>
      </c>
      <c r="J2652" t="inlineStr">
        <is>
          <t>Created MTR-IOS-2651 and correlation note visible in Activity/Pulse</t>
        </is>
      </c>
      <c r="K2652" t="inlineStr">
        <is>
          <t>NOT_RUN</t>
        </is>
      </c>
      <c r="P2652" t="n">
        <v>0</v>
      </c>
      <c r="Q2652" t="n">
        <v>2651</v>
      </c>
    </row>
    <row r="2653">
      <c r="A2653" t="n">
        <v>2652</v>
      </c>
      <c r="B2653" t="inlineStr">
        <is>
          <t>MTR-IOS-2652</t>
        </is>
      </c>
      <c r="C2653" t="inlineStr">
        <is>
          <t>iPhone</t>
        </is>
      </c>
      <c r="D2653" t="inlineStr">
        <is>
          <t>Business</t>
        </is>
      </c>
      <c r="E2653" t="inlineStr">
        <is>
          <t>Business</t>
        </is>
      </c>
      <c r="F2653" t="inlineStr">
        <is>
          <t>Team Operations</t>
        </is>
      </c>
      <c r="G2653" t="inlineStr">
        <is>
          <t>Contractor</t>
        </is>
      </c>
      <c r="H2653" t="inlineStr">
        <is>
          <t>Business &gt; Team Operations &gt; Quick Add &gt; Contractor</t>
        </is>
      </c>
      <c r="I2653" s="18" t="n">
        <v>46383.8</v>
      </c>
      <c r="J2653" t="inlineStr">
        <is>
          <t>Created MTR-IOS-2652 and correlation note visible in Activity/Pulse</t>
        </is>
      </c>
      <c r="K2653" t="inlineStr">
        <is>
          <t>NOT_RUN</t>
        </is>
      </c>
      <c r="P2653" t="n">
        <v>0</v>
      </c>
      <c r="Q2653" t="n">
        <v>2652</v>
      </c>
    </row>
    <row r="2654">
      <c r="A2654" t="n">
        <v>2653</v>
      </c>
      <c r="B2654" t="inlineStr">
        <is>
          <t>MTR-IOS-2653</t>
        </is>
      </c>
      <c r="C2654" t="inlineStr">
        <is>
          <t>iPhone</t>
        </is>
      </c>
      <c r="D2654" t="inlineStr">
        <is>
          <t>Personal</t>
        </is>
      </c>
      <c r="E2654" t="inlineStr">
        <is>
          <t>Personal</t>
        </is>
      </c>
      <c r="F2654" t="inlineStr">
        <is>
          <t>Future Building</t>
        </is>
      </c>
      <c r="G2654" t="inlineStr">
        <is>
          <t>Education</t>
        </is>
      </c>
      <c r="H2654" t="inlineStr">
        <is>
          <t>Personal &gt; Future Building &gt; Quick Add &gt; Education</t>
        </is>
      </c>
      <c r="I2654" s="18" t="n">
        <v>15627</v>
      </c>
      <c r="J2654" t="inlineStr">
        <is>
          <t>Created MTR-IOS-2653 and correlation note visible in Activity/Pulse</t>
        </is>
      </c>
      <c r="K2654" t="inlineStr">
        <is>
          <t>NOT_RUN</t>
        </is>
      </c>
      <c r="P2654" t="n">
        <v>0</v>
      </c>
      <c r="Q2654" t="n">
        <v>2653</v>
      </c>
    </row>
    <row r="2655">
      <c r="A2655" t="n">
        <v>2654</v>
      </c>
      <c r="B2655" t="inlineStr">
        <is>
          <t>MTR-IOS-2654</t>
        </is>
      </c>
      <c r="C2655" t="inlineStr">
        <is>
          <t>iPhone</t>
        </is>
      </c>
      <c r="D2655" t="inlineStr">
        <is>
          <t>Group</t>
        </is>
      </c>
      <c r="E2655" t="inlineStr">
        <is>
          <t>Shared Experience</t>
        </is>
      </c>
      <c r="F2655" t="inlineStr">
        <is>
          <t>Office Outing</t>
        </is>
      </c>
      <c r="G2655" t="inlineStr">
        <is>
          <t>Food</t>
        </is>
      </c>
      <c r="H2655" t="inlineStr">
        <is>
          <t>Group &gt; Office Outing &gt; Quick Add &gt; Food</t>
        </is>
      </c>
      <c r="I2655" s="18" t="n">
        <v>26556.17</v>
      </c>
      <c r="J2655" t="inlineStr">
        <is>
          <t>Created MTR-IOS-2654 and correlation note visible in Activity/Pulse</t>
        </is>
      </c>
      <c r="K2655" t="inlineStr">
        <is>
          <t>NOT_RUN</t>
        </is>
      </c>
      <c r="P2655" t="n">
        <v>0</v>
      </c>
      <c r="Q2655" t="n">
        <v>2654</v>
      </c>
    </row>
    <row r="2656">
      <c r="A2656" t="n">
        <v>2655</v>
      </c>
      <c r="B2656" t="inlineStr">
        <is>
          <t>MTR-IOS-2655</t>
        </is>
      </c>
      <c r="C2656" t="inlineStr">
        <is>
          <t>iPhone</t>
        </is>
      </c>
      <c r="D2656" t="inlineStr">
        <is>
          <t>Business</t>
        </is>
      </c>
      <c r="E2656" t="inlineStr">
        <is>
          <t>Business</t>
        </is>
      </c>
      <c r="F2656" t="inlineStr">
        <is>
          <t>Team Operations</t>
        </is>
      </c>
      <c r="G2656" t="inlineStr">
        <is>
          <t>Hiring</t>
        </is>
      </c>
      <c r="H2656" t="inlineStr">
        <is>
          <t>Business &gt; Team Operations &gt; Quick Add &gt; Hiring</t>
        </is>
      </c>
      <c r="I2656" s="18" t="n">
        <v>74478.62</v>
      </c>
      <c r="J2656" t="inlineStr">
        <is>
          <t>Created MTR-IOS-2655 and correlation note visible in Activity/Pulse</t>
        </is>
      </c>
      <c r="K2656" t="inlineStr">
        <is>
          <t>NOT_RUN</t>
        </is>
      </c>
      <c r="P2656" t="n">
        <v>0</v>
      </c>
      <c r="Q2656" t="n">
        <v>2655</v>
      </c>
    </row>
    <row r="2657">
      <c r="A2657" t="n">
        <v>2656</v>
      </c>
      <c r="B2657" t="inlineStr">
        <is>
          <t>MTR-IOS-2656</t>
        </is>
      </c>
      <c r="C2657" t="inlineStr">
        <is>
          <t>iPhone</t>
        </is>
      </c>
      <c r="D2657" t="inlineStr">
        <is>
          <t>Personal</t>
        </is>
      </c>
      <c r="E2657" t="inlineStr">
        <is>
          <t>Personal</t>
        </is>
      </c>
      <c r="F2657" t="inlineStr">
        <is>
          <t>Future Building</t>
        </is>
      </c>
      <c r="G2657" t="inlineStr">
        <is>
          <t>Goal Contribution</t>
        </is>
      </c>
      <c r="H2657" t="inlineStr">
        <is>
          <t>Personal &gt; Future Building &gt; Quick Add &gt; Goal Contribution</t>
        </is>
      </c>
      <c r="I2657" s="18" t="n">
        <v>11487.42</v>
      </c>
      <c r="J2657" t="inlineStr">
        <is>
          <t>Created MTR-IOS-2656 and correlation note visible in Activity/Pulse</t>
        </is>
      </c>
      <c r="K2657" t="inlineStr">
        <is>
          <t>NOT_RUN</t>
        </is>
      </c>
      <c r="P2657" t="n">
        <v>0</v>
      </c>
      <c r="Q2657" t="n">
        <v>2656</v>
      </c>
    </row>
    <row r="2658">
      <c r="A2658" t="n">
        <v>2657</v>
      </c>
      <c r="B2658" t="inlineStr">
        <is>
          <t>MTR-IOS-2657</t>
        </is>
      </c>
      <c r="C2658" t="inlineStr">
        <is>
          <t>iPhone</t>
        </is>
      </c>
      <c r="D2658" t="inlineStr">
        <is>
          <t>Group</t>
        </is>
      </c>
      <c r="E2658" t="inlineStr">
        <is>
          <t>Shared Experience</t>
        </is>
      </c>
      <c r="F2658" t="inlineStr">
        <is>
          <t>Office Outing</t>
        </is>
      </c>
      <c r="G2658" t="inlineStr">
        <is>
          <t>Travel</t>
        </is>
      </c>
      <c r="H2658" t="inlineStr">
        <is>
          <t>Group &gt; Office Outing &gt; Quick Add &gt; Travel</t>
        </is>
      </c>
      <c r="I2658" s="18" t="n">
        <v>623.61</v>
      </c>
      <c r="J2658" t="inlineStr">
        <is>
          <t>Created MTR-IOS-2657 and correlation note visible in Activity/Pulse</t>
        </is>
      </c>
      <c r="K2658" t="inlineStr">
        <is>
          <t>NOT_RUN</t>
        </is>
      </c>
      <c r="P2658" t="n">
        <v>0</v>
      </c>
      <c r="Q2658" t="n">
        <v>2657</v>
      </c>
    </row>
    <row r="2659">
      <c r="A2659" t="n">
        <v>2658</v>
      </c>
      <c r="B2659" t="inlineStr">
        <is>
          <t>MTR-IOS-2658</t>
        </is>
      </c>
      <c r="C2659" t="inlineStr">
        <is>
          <t>iPhone</t>
        </is>
      </c>
      <c r="D2659" t="inlineStr">
        <is>
          <t>Business</t>
        </is>
      </c>
      <c r="E2659" t="inlineStr">
        <is>
          <t>Business</t>
        </is>
      </c>
      <c r="F2659" t="inlineStr">
        <is>
          <t>Team Operations</t>
        </is>
      </c>
      <c r="G2659" t="inlineStr">
        <is>
          <t>Team Meal</t>
        </is>
      </c>
      <c r="H2659" t="inlineStr">
        <is>
          <t>Business &gt; Team Operations &gt; Quick Add &gt; Team Meal</t>
        </is>
      </c>
      <c r="I2659" s="18" t="n">
        <v>61590.76</v>
      </c>
      <c r="J2659" t="inlineStr">
        <is>
          <t>Created MTR-IOS-2658 and correlation note visible in Activity/Pulse</t>
        </is>
      </c>
      <c r="K2659" t="inlineStr">
        <is>
          <t>NOT_RUN</t>
        </is>
      </c>
      <c r="P2659" t="n">
        <v>0</v>
      </c>
      <c r="Q2659" t="n">
        <v>2658</v>
      </c>
    </row>
    <row r="2660">
      <c r="A2660" t="n">
        <v>2659</v>
      </c>
      <c r="B2660" t="inlineStr">
        <is>
          <t>MTR-IOS-2659</t>
        </is>
      </c>
      <c r="C2660" t="inlineStr">
        <is>
          <t>iPhone</t>
        </is>
      </c>
      <c r="D2660" t="inlineStr">
        <is>
          <t>Personal</t>
        </is>
      </c>
      <c r="E2660" t="inlineStr">
        <is>
          <t>Personal</t>
        </is>
      </c>
      <c r="F2660" t="inlineStr">
        <is>
          <t>Lifestyle</t>
        </is>
      </c>
      <c r="G2660" t="inlineStr">
        <is>
          <t>Dining</t>
        </is>
      </c>
      <c r="H2660" t="inlineStr">
        <is>
          <t>Personal &gt; Lifestyle &gt; Quick Add &gt; Dining</t>
        </is>
      </c>
      <c r="I2660" s="18" t="n">
        <v>4375.59</v>
      </c>
      <c r="J2660" t="inlineStr">
        <is>
          <t>Created MTR-IOS-2659 and correlation note visible in Activity/Pulse</t>
        </is>
      </c>
      <c r="K2660" t="inlineStr">
        <is>
          <t>NOT_RUN</t>
        </is>
      </c>
      <c r="P2660" t="n">
        <v>0</v>
      </c>
      <c r="Q2660" t="n">
        <v>2659</v>
      </c>
    </row>
    <row r="2661">
      <c r="A2661" t="n">
        <v>2660</v>
      </c>
      <c r="B2661" t="inlineStr">
        <is>
          <t>MTR-IOS-2660</t>
        </is>
      </c>
      <c r="C2661" t="inlineStr">
        <is>
          <t>iPhone</t>
        </is>
      </c>
      <c r="D2661" t="inlineStr">
        <is>
          <t>Group</t>
        </is>
      </c>
      <c r="E2661" t="inlineStr">
        <is>
          <t>Shared Experience</t>
        </is>
      </c>
      <c r="F2661" t="inlineStr">
        <is>
          <t>Office Outing</t>
        </is>
      </c>
      <c r="G2661" t="inlineStr">
        <is>
          <t>Activities</t>
        </is>
      </c>
      <c r="H2661" t="inlineStr">
        <is>
          <t>Group &gt; Office Outing &gt; Quick Add &gt; Activities</t>
        </is>
      </c>
      <c r="I2661" s="18" t="n">
        <v>13564.32</v>
      </c>
      <c r="J2661" t="inlineStr">
        <is>
          <t>Created MTR-IOS-2660 and correlation note visible in Activity/Pulse</t>
        </is>
      </c>
      <c r="K2661" t="inlineStr">
        <is>
          <t>NOT_RUN</t>
        </is>
      </c>
      <c r="P2661" t="n">
        <v>0</v>
      </c>
      <c r="Q2661" t="n">
        <v>2660</v>
      </c>
    </row>
    <row r="2662">
      <c r="A2662" t="n">
        <v>2661</v>
      </c>
      <c r="B2662" t="inlineStr">
        <is>
          <t>MTR-IOS-2661</t>
        </is>
      </c>
      <c r="C2662" t="inlineStr">
        <is>
          <t>iPhone</t>
        </is>
      </c>
      <c r="D2662" t="inlineStr">
        <is>
          <t>Business</t>
        </is>
      </c>
      <c r="E2662" t="inlineStr">
        <is>
          <t>Business</t>
        </is>
      </c>
      <c r="F2662" t="inlineStr">
        <is>
          <t>Team Operations</t>
        </is>
      </c>
      <c r="G2662" t="inlineStr">
        <is>
          <t>Travel</t>
        </is>
      </c>
      <c r="H2662" t="inlineStr">
        <is>
          <t>Business &gt; Team Operations &gt; Quick Add &gt; Travel</t>
        </is>
      </c>
      <c r="I2662" s="18" t="n">
        <v>39357.11</v>
      </c>
      <c r="J2662" t="inlineStr">
        <is>
          <t>Created MTR-IOS-2661 and correlation note visible in Activity/Pulse</t>
        </is>
      </c>
      <c r="K2662" t="inlineStr">
        <is>
          <t>NOT_RUN</t>
        </is>
      </c>
      <c r="P2662" t="n">
        <v>0</v>
      </c>
      <c r="Q2662" t="n">
        <v>2661</v>
      </c>
    </row>
    <row r="2663">
      <c r="A2663" t="n">
        <v>2662</v>
      </c>
      <c r="B2663" t="inlineStr">
        <is>
          <t>MTR-IOS-2662</t>
        </is>
      </c>
      <c r="C2663" t="inlineStr">
        <is>
          <t>iPhone</t>
        </is>
      </c>
      <c r="D2663" t="inlineStr">
        <is>
          <t>Personal</t>
        </is>
      </c>
      <c r="E2663" t="inlineStr">
        <is>
          <t>Personal</t>
        </is>
      </c>
      <c r="F2663" t="inlineStr">
        <is>
          <t>Lifestyle</t>
        </is>
      </c>
      <c r="G2663" t="inlineStr">
        <is>
          <t>Shopping</t>
        </is>
      </c>
      <c r="H2663" t="inlineStr">
        <is>
          <t>Personal &gt; Lifestyle &gt; Quick Add &gt; Shopping</t>
        </is>
      </c>
      <c r="I2663" s="18" t="n">
        <v>5977.82</v>
      </c>
      <c r="J2663" t="inlineStr">
        <is>
          <t>Created MTR-IOS-2662 and correlation note visible in Activity/Pulse</t>
        </is>
      </c>
      <c r="K2663" t="inlineStr">
        <is>
          <t>NOT_RUN</t>
        </is>
      </c>
      <c r="P2663" t="n">
        <v>0</v>
      </c>
      <c r="Q2663" t="n">
        <v>2662</v>
      </c>
    </row>
    <row r="2664">
      <c r="A2664" t="n">
        <v>2663</v>
      </c>
      <c r="B2664" t="inlineStr">
        <is>
          <t>MTR-IOS-2663</t>
        </is>
      </c>
      <c r="C2664" t="inlineStr">
        <is>
          <t>iPhone</t>
        </is>
      </c>
      <c r="D2664" t="inlineStr">
        <is>
          <t>Group</t>
        </is>
      </c>
      <c r="E2664" t="inlineStr">
        <is>
          <t>Shared Experience</t>
        </is>
      </c>
      <c r="F2664" t="inlineStr">
        <is>
          <t>Office Outing</t>
        </is>
      </c>
      <c r="G2664" t="inlineStr">
        <is>
          <t>Venue</t>
        </is>
      </c>
      <c r="H2664" t="inlineStr">
        <is>
          <t>Group &gt; Office Outing &gt; Quick Add &gt; Venue</t>
        </is>
      </c>
      <c r="I2664" s="18" t="n">
        <v>9758.76</v>
      </c>
      <c r="J2664" t="inlineStr">
        <is>
          <t>Created MTR-IOS-2663 and correlation note visible in Activity/Pulse</t>
        </is>
      </c>
      <c r="K2664" t="inlineStr">
        <is>
          <t>NOT_RUN</t>
        </is>
      </c>
      <c r="P2664" t="n">
        <v>0</v>
      </c>
      <c r="Q2664" t="n">
        <v>2663</v>
      </c>
    </row>
    <row r="2665">
      <c r="A2665" t="n">
        <v>2664</v>
      </c>
      <c r="B2665" t="inlineStr">
        <is>
          <t>MTR-IOS-2664</t>
        </is>
      </c>
      <c r="C2665" t="inlineStr">
        <is>
          <t>iPhone</t>
        </is>
      </c>
      <c r="D2665" t="inlineStr">
        <is>
          <t>Business</t>
        </is>
      </c>
      <c r="E2665" t="inlineStr">
        <is>
          <t>Business</t>
        </is>
      </c>
      <c r="F2665" t="inlineStr">
        <is>
          <t>Team Operations</t>
        </is>
      </c>
      <c r="G2665" t="inlineStr">
        <is>
          <t>Training</t>
        </is>
      </c>
      <c r="H2665" t="inlineStr">
        <is>
          <t>Business &gt; Team Operations &gt; Quick Add &gt; Training</t>
        </is>
      </c>
      <c r="I2665" s="18" t="n">
        <v>0.01</v>
      </c>
      <c r="J2665" t="inlineStr">
        <is>
          <t>Created MTR-IOS-2664 and correlation note visible in Activity/Pulse</t>
        </is>
      </c>
      <c r="K2665" t="inlineStr">
        <is>
          <t>NOT_RUN</t>
        </is>
      </c>
      <c r="P2665" t="n">
        <v>0</v>
      </c>
      <c r="Q2665" t="n">
        <v>2664</v>
      </c>
    </row>
    <row r="2666">
      <c r="A2666" t="n">
        <v>2665</v>
      </c>
      <c r="B2666" t="inlineStr">
        <is>
          <t>MTR-IOS-2665</t>
        </is>
      </c>
      <c r="C2666" t="inlineStr">
        <is>
          <t>iPhone</t>
        </is>
      </c>
      <c r="D2666" t="inlineStr">
        <is>
          <t>Personal</t>
        </is>
      </c>
      <c r="E2666" t="inlineStr">
        <is>
          <t>Personal</t>
        </is>
      </c>
      <c r="F2666" t="inlineStr">
        <is>
          <t>Lifestyle</t>
        </is>
      </c>
      <c r="G2666" t="inlineStr">
        <is>
          <t>Entertainment</t>
        </is>
      </c>
      <c r="H2666" t="inlineStr">
        <is>
          <t>Personal &gt; Lifestyle &gt; Quick Add &gt; Entertainment</t>
        </is>
      </c>
      <c r="I2666" s="18" t="n">
        <v>6376.48</v>
      </c>
      <c r="J2666" t="inlineStr">
        <is>
          <t>Created MTR-IOS-2665 and correlation note visible in Activity/Pulse</t>
        </is>
      </c>
      <c r="K2666" t="inlineStr">
        <is>
          <t>NOT_RUN</t>
        </is>
      </c>
      <c r="P2666" t="n">
        <v>0</v>
      </c>
      <c r="Q2666" t="n">
        <v>2665</v>
      </c>
    </row>
    <row r="2667">
      <c r="A2667" t="n">
        <v>2666</v>
      </c>
      <c r="B2667" t="inlineStr">
        <is>
          <t>MTR-IOS-2666</t>
        </is>
      </c>
      <c r="C2667" t="inlineStr">
        <is>
          <t>iPhone</t>
        </is>
      </c>
      <c r="D2667" t="inlineStr">
        <is>
          <t>Group</t>
        </is>
      </c>
      <c r="E2667" t="inlineStr">
        <is>
          <t>Shared Experience</t>
        </is>
      </c>
      <c r="F2667" t="inlineStr">
        <is>
          <t>Office Outing</t>
        </is>
      </c>
      <c r="G2667" t="inlineStr">
        <is>
          <t>Other</t>
        </is>
      </c>
      <c r="H2667" t="inlineStr">
        <is>
          <t>Group &gt; Office Outing &gt; Quick Add &gt; Other</t>
        </is>
      </c>
      <c r="I2667" s="18" t="n">
        <v>25894.31</v>
      </c>
      <c r="J2667" t="inlineStr">
        <is>
          <t>Created MTR-IOS-2666 and correlation note visible in Activity/Pulse</t>
        </is>
      </c>
      <c r="K2667" t="inlineStr">
        <is>
          <t>NOT_RUN</t>
        </is>
      </c>
      <c r="P2667" t="n">
        <v>0</v>
      </c>
      <c r="Q2667" t="n">
        <v>2666</v>
      </c>
    </row>
    <row r="2668">
      <c r="A2668" t="n">
        <v>2667</v>
      </c>
      <c r="B2668" t="inlineStr">
        <is>
          <t>MTR-IOS-2667</t>
        </is>
      </c>
      <c r="C2668" t="inlineStr">
        <is>
          <t>iPhone</t>
        </is>
      </c>
      <c r="D2668" t="inlineStr">
        <is>
          <t>Business</t>
        </is>
      </c>
      <c r="E2668" t="inlineStr">
        <is>
          <t>Business</t>
        </is>
      </c>
      <c r="F2668" t="inlineStr">
        <is>
          <t>Team Operations</t>
        </is>
      </c>
      <c r="G2668" t="inlineStr">
        <is>
          <t>Tools</t>
        </is>
      </c>
      <c r="H2668" t="inlineStr">
        <is>
          <t>Business &gt; Team Operations &gt; Quick Add &gt; Tools</t>
        </is>
      </c>
      <c r="I2668" s="18" t="n">
        <v>26711.59</v>
      </c>
      <c r="J2668" t="inlineStr">
        <is>
          <t>Created MTR-IOS-2667 and correlation note visible in Activity/Pulse</t>
        </is>
      </c>
      <c r="K2668" t="inlineStr">
        <is>
          <t>NOT_RUN</t>
        </is>
      </c>
      <c r="P2668" t="n">
        <v>0</v>
      </c>
      <c r="Q2668" t="n">
        <v>2667</v>
      </c>
    </row>
    <row r="2669">
      <c r="A2669" t="n">
        <v>2668</v>
      </c>
      <c r="B2669" t="inlineStr">
        <is>
          <t>MTR-IOS-2668</t>
        </is>
      </c>
      <c r="C2669" t="inlineStr">
        <is>
          <t>iPhone</t>
        </is>
      </c>
      <c r="D2669" t="inlineStr">
        <is>
          <t>Personal</t>
        </is>
      </c>
      <c r="E2669" t="inlineStr">
        <is>
          <t>Personal</t>
        </is>
      </c>
      <c r="F2669" t="inlineStr">
        <is>
          <t>Lifestyle</t>
        </is>
      </c>
      <c r="G2669" t="inlineStr">
        <is>
          <t>Travel</t>
        </is>
      </c>
      <c r="H2669" t="inlineStr">
        <is>
          <t>Personal &gt; Lifestyle &gt; Quick Add &gt; Travel</t>
        </is>
      </c>
      <c r="I2669" s="18" t="n">
        <v>10689.36</v>
      </c>
      <c r="J2669" t="inlineStr">
        <is>
          <t>Created MTR-IOS-2668 and correlation note visible in Activity/Pulse</t>
        </is>
      </c>
      <c r="K2669" t="inlineStr">
        <is>
          <t>NOT_RUN</t>
        </is>
      </c>
      <c r="P2669" t="n">
        <v>0</v>
      </c>
      <c r="Q2669" t="n">
        <v>2668</v>
      </c>
    </row>
    <row r="2670">
      <c r="A2670" t="n">
        <v>2669</v>
      </c>
      <c r="B2670" t="inlineStr">
        <is>
          <t>MTR-IOS-2669</t>
        </is>
      </c>
      <c r="C2670" t="inlineStr">
        <is>
          <t>iPhone</t>
        </is>
      </c>
      <c r="D2670" t="inlineStr">
        <is>
          <t>Group</t>
        </is>
      </c>
      <c r="E2670" t="inlineStr">
        <is>
          <t>Shared Experience</t>
        </is>
      </c>
      <c r="F2670" t="inlineStr">
        <is>
          <t>House Party</t>
        </is>
      </c>
      <c r="G2670" t="inlineStr">
        <is>
          <t>Food</t>
        </is>
      </c>
      <c r="H2670" t="inlineStr">
        <is>
          <t>Group &gt; House Party &gt; Quick Add &gt; Food</t>
        </is>
      </c>
      <c r="I2670" s="18" t="n">
        <v>1801.33</v>
      </c>
      <c r="J2670" t="inlineStr">
        <is>
          <t>Created MTR-IOS-2669 and correlation note visible in Activity/Pulse</t>
        </is>
      </c>
      <c r="K2670" t="inlineStr">
        <is>
          <t>NOT_RUN</t>
        </is>
      </c>
      <c r="P2670" t="n">
        <v>0</v>
      </c>
      <c r="Q2670" t="n">
        <v>2669</v>
      </c>
    </row>
    <row r="2671">
      <c r="A2671" t="n">
        <v>2670</v>
      </c>
      <c r="B2671" t="inlineStr">
        <is>
          <t>MTR-IOS-2670</t>
        </is>
      </c>
      <c r="C2671" t="inlineStr">
        <is>
          <t>iPhone</t>
        </is>
      </c>
      <c r="D2671" t="inlineStr">
        <is>
          <t>Business</t>
        </is>
      </c>
      <c r="E2671" t="inlineStr">
        <is>
          <t>Business</t>
        </is>
      </c>
      <c r="F2671" t="inlineStr">
        <is>
          <t>Business Runway</t>
        </is>
      </c>
      <c r="G2671" t="inlineStr">
        <is>
          <t>Funding</t>
        </is>
      </c>
      <c r="H2671" t="inlineStr">
        <is>
          <t>Business &gt; Business Runway &gt; Quick Add &gt; Funding</t>
        </is>
      </c>
      <c r="I2671" s="18" t="n">
        <v>153305.56</v>
      </c>
      <c r="J2671" t="inlineStr">
        <is>
          <t>Created MTR-IOS-2670 and correlation note visible in Activity/Pulse</t>
        </is>
      </c>
      <c r="K2671" t="inlineStr">
        <is>
          <t>NOT_RUN</t>
        </is>
      </c>
      <c r="P2671" t="n">
        <v>0</v>
      </c>
      <c r="Q2671" t="n">
        <v>2670</v>
      </c>
    </row>
    <row r="2672">
      <c r="A2672" t="n">
        <v>2671</v>
      </c>
      <c r="B2672" t="inlineStr">
        <is>
          <t>MTR-IOS-2671</t>
        </is>
      </c>
      <c r="C2672" t="inlineStr">
        <is>
          <t>iPhone</t>
        </is>
      </c>
      <c r="D2672" t="inlineStr">
        <is>
          <t>Personal</t>
        </is>
      </c>
      <c r="E2672" t="inlineStr">
        <is>
          <t>Personal</t>
        </is>
      </c>
      <c r="F2672" t="inlineStr">
        <is>
          <t>Lifestyle</t>
        </is>
      </c>
      <c r="G2672" t="inlineStr">
        <is>
          <t>Fitness</t>
        </is>
      </c>
      <c r="H2672" t="inlineStr">
        <is>
          <t>Personal &gt; Lifestyle &gt; Quick Add &gt; Fitness</t>
        </is>
      </c>
      <c r="I2672" s="18" t="n">
        <v>12227.08</v>
      </c>
      <c r="J2672" t="inlineStr">
        <is>
          <t>Created MTR-IOS-2671 and correlation note visible in Activity/Pulse</t>
        </is>
      </c>
      <c r="K2672" t="inlineStr">
        <is>
          <t>NOT_RUN</t>
        </is>
      </c>
      <c r="P2672" t="n">
        <v>0</v>
      </c>
      <c r="Q2672" t="n">
        <v>2671</v>
      </c>
    </row>
    <row r="2673">
      <c r="A2673" t="n">
        <v>2672</v>
      </c>
      <c r="B2673" t="inlineStr">
        <is>
          <t>MTR-IOS-2672</t>
        </is>
      </c>
      <c r="C2673" t="inlineStr">
        <is>
          <t>iPhone</t>
        </is>
      </c>
      <c r="D2673" t="inlineStr">
        <is>
          <t>Group</t>
        </is>
      </c>
      <c r="E2673" t="inlineStr">
        <is>
          <t>Shared Experience</t>
        </is>
      </c>
      <c r="F2673" t="inlineStr">
        <is>
          <t>House Party</t>
        </is>
      </c>
      <c r="G2673" t="inlineStr">
        <is>
          <t>Drinks</t>
        </is>
      </c>
      <c r="H2673" t="inlineStr">
        <is>
          <t>Group &gt; House Party &gt; Quick Add &gt; Drinks</t>
        </is>
      </c>
      <c r="I2673" s="18" t="n">
        <v>17183.14</v>
      </c>
      <c r="J2673" t="inlineStr">
        <is>
          <t>Created MTR-IOS-2672 and correlation note visible in Activity/Pulse</t>
        </is>
      </c>
      <c r="K2673" t="inlineStr">
        <is>
          <t>NOT_RUN</t>
        </is>
      </c>
      <c r="P2673" t="n">
        <v>0</v>
      </c>
      <c r="Q2673" t="n">
        <v>2672</v>
      </c>
    </row>
    <row r="2674">
      <c r="A2674" t="n">
        <v>2673</v>
      </c>
      <c r="B2674" t="inlineStr">
        <is>
          <t>MTR-IOS-2673</t>
        </is>
      </c>
      <c r="C2674" t="inlineStr">
        <is>
          <t>iPhone</t>
        </is>
      </c>
      <c r="D2674" t="inlineStr">
        <is>
          <t>Business</t>
        </is>
      </c>
      <c r="E2674" t="inlineStr">
        <is>
          <t>Business</t>
        </is>
      </c>
      <c r="F2674" t="inlineStr">
        <is>
          <t>Business Runway</t>
        </is>
      </c>
      <c r="G2674" t="inlineStr">
        <is>
          <t>Revenue</t>
        </is>
      </c>
      <c r="H2674" t="inlineStr">
        <is>
          <t>Business &gt; Business Runway &gt; Quick Add &gt; Revenue</t>
        </is>
      </c>
      <c r="I2674" s="18" t="n">
        <v>145312.71</v>
      </c>
      <c r="J2674" t="inlineStr">
        <is>
          <t>Created MTR-IOS-2673 and correlation note visible in Activity/Pulse</t>
        </is>
      </c>
      <c r="K2674" t="inlineStr">
        <is>
          <t>NOT_RUN</t>
        </is>
      </c>
      <c r="P2674" t="n">
        <v>0</v>
      </c>
      <c r="Q2674" t="n">
        <v>2673</v>
      </c>
    </row>
    <row r="2675">
      <c r="A2675" t="n">
        <v>2674</v>
      </c>
      <c r="B2675" t="inlineStr">
        <is>
          <t>MTR-IOS-2674</t>
        </is>
      </c>
      <c r="C2675" t="inlineStr">
        <is>
          <t>iPhone</t>
        </is>
      </c>
      <c r="D2675" t="inlineStr">
        <is>
          <t>Personal</t>
        </is>
      </c>
      <c r="E2675" t="inlineStr">
        <is>
          <t>Personal</t>
        </is>
      </c>
      <c r="F2675" t="inlineStr">
        <is>
          <t>Lifestyle</t>
        </is>
      </c>
      <c r="G2675" t="inlineStr">
        <is>
          <t>Hobbies</t>
        </is>
      </c>
      <c r="H2675" t="inlineStr">
        <is>
          <t>Personal &gt; Lifestyle &gt; Quick Add &gt; Hobbies</t>
        </is>
      </c>
      <c r="I2675" s="18" t="n">
        <v>10108.81</v>
      </c>
      <c r="J2675" t="inlineStr">
        <is>
          <t>Created MTR-IOS-2674 and correlation note visible in Activity/Pulse</t>
        </is>
      </c>
      <c r="K2675" t="inlineStr">
        <is>
          <t>NOT_RUN</t>
        </is>
      </c>
      <c r="P2675" t="n">
        <v>0</v>
      </c>
      <c r="Q2675" t="n">
        <v>2674</v>
      </c>
    </row>
    <row r="2676">
      <c r="A2676" t="n">
        <v>2675</v>
      </c>
      <c r="B2676" t="inlineStr">
        <is>
          <t>MTR-IOS-2675</t>
        </is>
      </c>
      <c r="C2676" t="inlineStr">
        <is>
          <t>iPhone</t>
        </is>
      </c>
      <c r="D2676" t="inlineStr">
        <is>
          <t>Group</t>
        </is>
      </c>
      <c r="E2676" t="inlineStr">
        <is>
          <t>Shared Experience</t>
        </is>
      </c>
      <c r="F2676" t="inlineStr">
        <is>
          <t>House Party</t>
        </is>
      </c>
      <c r="G2676" t="inlineStr">
        <is>
          <t>Decor</t>
        </is>
      </c>
      <c r="H2676" t="inlineStr">
        <is>
          <t>Group &gt; House Party &gt; Quick Add &gt; Decor</t>
        </is>
      </c>
      <c r="I2676" s="18" t="n">
        <v>5355.77</v>
      </c>
      <c r="J2676" t="inlineStr">
        <is>
          <t>Created MTR-IOS-2675 and correlation note visible in Activity/Pulse</t>
        </is>
      </c>
      <c r="K2676" t="inlineStr">
        <is>
          <t>NOT_RUN</t>
        </is>
      </c>
      <c r="P2676" t="n">
        <v>0</v>
      </c>
      <c r="Q2676" t="n">
        <v>2675</v>
      </c>
    </row>
    <row r="2677">
      <c r="A2677" t="n">
        <v>2676</v>
      </c>
      <c r="B2677" t="inlineStr">
        <is>
          <t>MTR-IOS-2676</t>
        </is>
      </c>
      <c r="C2677" t="inlineStr">
        <is>
          <t>iPhone</t>
        </is>
      </c>
      <c r="D2677" t="inlineStr">
        <is>
          <t>Business</t>
        </is>
      </c>
      <c r="E2677" t="inlineStr">
        <is>
          <t>Business</t>
        </is>
      </c>
      <c r="F2677" t="inlineStr">
        <is>
          <t>Business Runway</t>
        </is>
      </c>
      <c r="G2677" t="inlineStr">
        <is>
          <t>Burn</t>
        </is>
      </c>
      <c r="H2677" t="inlineStr">
        <is>
          <t>Business &gt; Business Runway &gt; Quick Add &gt; Burn</t>
        </is>
      </c>
      <c r="I2677" s="18" t="n">
        <v>153603.37</v>
      </c>
      <c r="J2677" t="inlineStr">
        <is>
          <t>Created MTR-IOS-2676 and correlation note visible in Activity/Pulse</t>
        </is>
      </c>
      <c r="K2677" t="inlineStr">
        <is>
          <t>NOT_RUN</t>
        </is>
      </c>
      <c r="P2677" t="n">
        <v>0</v>
      </c>
      <c r="Q2677" t="n">
        <v>2676</v>
      </c>
    </row>
    <row r="2678">
      <c r="A2678" t="n">
        <v>2677</v>
      </c>
      <c r="B2678" t="inlineStr">
        <is>
          <t>MTR-IOS-2677</t>
        </is>
      </c>
      <c r="C2678" t="inlineStr">
        <is>
          <t>iPhone</t>
        </is>
      </c>
      <c r="D2678" t="inlineStr">
        <is>
          <t>Personal</t>
        </is>
      </c>
      <c r="E2678" t="inlineStr">
        <is>
          <t>Personal</t>
        </is>
      </c>
      <c r="F2678" t="inlineStr">
        <is>
          <t>Relationships</t>
        </is>
      </c>
      <c r="G2678" t="inlineStr">
        <is>
          <t>Gifts</t>
        </is>
      </c>
      <c r="H2678" t="inlineStr">
        <is>
          <t>Personal &gt; Relationships &gt; Quick Add &gt; Gifts</t>
        </is>
      </c>
      <c r="I2678" s="18" t="n">
        <v>6615.95</v>
      </c>
      <c r="J2678" t="inlineStr">
        <is>
          <t>Created MTR-IOS-2677 and correlation note visible in Activity/Pulse</t>
        </is>
      </c>
      <c r="K2678" t="inlineStr">
        <is>
          <t>NOT_RUN</t>
        </is>
      </c>
      <c r="P2678" t="n">
        <v>0</v>
      </c>
      <c r="Q2678" t="n">
        <v>2677</v>
      </c>
    </row>
    <row r="2679">
      <c r="A2679" t="n">
        <v>2678</v>
      </c>
      <c r="B2679" t="inlineStr">
        <is>
          <t>MTR-IOS-2678</t>
        </is>
      </c>
      <c r="C2679" t="inlineStr">
        <is>
          <t>iPhone</t>
        </is>
      </c>
      <c r="D2679" t="inlineStr">
        <is>
          <t>Group</t>
        </is>
      </c>
      <c r="E2679" t="inlineStr">
        <is>
          <t>Shared Experience</t>
        </is>
      </c>
      <c r="F2679" t="inlineStr">
        <is>
          <t>House Party</t>
        </is>
      </c>
      <c r="G2679" t="inlineStr">
        <is>
          <t>Supplies</t>
        </is>
      </c>
      <c r="H2679" t="inlineStr">
        <is>
          <t>Group &gt; House Party &gt; Quick Add &gt; Supplies</t>
        </is>
      </c>
      <c r="I2679" s="18" t="n">
        <v>1652.37</v>
      </c>
      <c r="J2679" t="inlineStr">
        <is>
          <t>Created MTR-IOS-2678 and correlation note visible in Activity/Pulse</t>
        </is>
      </c>
      <c r="K2679" t="inlineStr">
        <is>
          <t>NOT_RUN</t>
        </is>
      </c>
      <c r="P2679" t="n">
        <v>0</v>
      </c>
      <c r="Q2679" t="n">
        <v>2678</v>
      </c>
    </row>
    <row r="2680">
      <c r="A2680" t="n">
        <v>2679</v>
      </c>
      <c r="B2680" t="inlineStr">
        <is>
          <t>MTR-IOS-2679</t>
        </is>
      </c>
      <c r="C2680" t="inlineStr">
        <is>
          <t>iPhone</t>
        </is>
      </c>
      <c r="D2680" t="inlineStr">
        <is>
          <t>Business</t>
        </is>
      </c>
      <c r="E2680" t="inlineStr">
        <is>
          <t>Business</t>
        </is>
      </c>
      <c r="F2680" t="inlineStr">
        <is>
          <t>Business Runway</t>
        </is>
      </c>
      <c r="G2680" t="inlineStr">
        <is>
          <t>Reserve</t>
        </is>
      </c>
      <c r="H2680" t="inlineStr">
        <is>
          <t>Business &gt; Business Runway &gt; Quick Add &gt; Reserve</t>
        </is>
      </c>
      <c r="I2680" s="18" t="n">
        <v>58575.32</v>
      </c>
      <c r="J2680" t="inlineStr">
        <is>
          <t>Created MTR-IOS-2679 and correlation note visible in Activity/Pulse</t>
        </is>
      </c>
      <c r="K2680" t="inlineStr">
        <is>
          <t>NOT_RUN</t>
        </is>
      </c>
      <c r="P2680" t="n">
        <v>0</v>
      </c>
      <c r="Q2680" t="n">
        <v>2679</v>
      </c>
    </row>
    <row r="2681">
      <c r="A2681" t="n">
        <v>2680</v>
      </c>
      <c r="B2681" t="inlineStr">
        <is>
          <t>MTR-IOS-2680</t>
        </is>
      </c>
      <c r="C2681" t="inlineStr">
        <is>
          <t>iPhone</t>
        </is>
      </c>
      <c r="D2681" t="inlineStr">
        <is>
          <t>Personal</t>
        </is>
      </c>
      <c r="E2681" t="inlineStr">
        <is>
          <t>Personal</t>
        </is>
      </c>
      <c r="F2681" t="inlineStr">
        <is>
          <t>Relationships</t>
        </is>
      </c>
      <c r="G2681" t="inlineStr">
        <is>
          <t>Dates</t>
        </is>
      </c>
      <c r="H2681" t="inlineStr">
        <is>
          <t>Personal &gt; Relationships &gt; Quick Add &gt; Dates</t>
        </is>
      </c>
      <c r="I2681" s="18" t="n">
        <v>1072.63</v>
      </c>
      <c r="J2681" t="inlineStr">
        <is>
          <t>Created MTR-IOS-2680 and correlation note visible in Activity/Pulse</t>
        </is>
      </c>
      <c r="K2681" t="inlineStr">
        <is>
          <t>NOT_RUN</t>
        </is>
      </c>
      <c r="P2681" t="n">
        <v>0</v>
      </c>
      <c r="Q2681" t="n">
        <v>2680</v>
      </c>
    </row>
    <row r="2682">
      <c r="A2682" t="n">
        <v>2681</v>
      </c>
      <c r="B2682" t="inlineStr">
        <is>
          <t>MTR-IOS-2681</t>
        </is>
      </c>
      <c r="C2682" t="inlineStr">
        <is>
          <t>iPhone</t>
        </is>
      </c>
      <c r="D2682" t="inlineStr">
        <is>
          <t>Group</t>
        </is>
      </c>
      <c r="E2682" t="inlineStr">
        <is>
          <t>Shared Experience</t>
        </is>
      </c>
      <c r="F2682" t="inlineStr">
        <is>
          <t>House Party</t>
        </is>
      </c>
      <c r="G2682" t="inlineStr">
        <is>
          <t>Other</t>
        </is>
      </c>
      <c r="H2682" t="inlineStr">
        <is>
          <t>Group &gt; House Party &gt; Quick Add &gt; Other</t>
        </is>
      </c>
      <c r="I2682" s="18" t="n">
        <v>26743</v>
      </c>
      <c r="J2682" t="inlineStr">
        <is>
          <t>Created MTR-IOS-2681 and correlation note visible in Activity/Pulse</t>
        </is>
      </c>
      <c r="K2682" t="inlineStr">
        <is>
          <t>NOT_RUN</t>
        </is>
      </c>
      <c r="P2682" t="n">
        <v>0</v>
      </c>
      <c r="Q2682" t="n">
        <v>2681</v>
      </c>
    </row>
    <row r="2683">
      <c r="A2683" t="n">
        <v>2682</v>
      </c>
      <c r="B2683" t="inlineStr">
        <is>
          <t>MTR-IOS-2682</t>
        </is>
      </c>
      <c r="C2683" t="inlineStr">
        <is>
          <t>iPhone</t>
        </is>
      </c>
      <c r="D2683" t="inlineStr">
        <is>
          <t>Business</t>
        </is>
      </c>
      <c r="E2683" t="inlineStr">
        <is>
          <t>Business</t>
        </is>
      </c>
      <c r="F2683" t="inlineStr">
        <is>
          <t>Business Runway</t>
        </is>
      </c>
      <c r="G2683" t="inlineStr">
        <is>
          <t>Loan</t>
        </is>
      </c>
      <c r="H2683" t="inlineStr">
        <is>
          <t>Business &gt; Business Runway &gt; Quick Add &gt; Loan</t>
        </is>
      </c>
      <c r="I2683" s="18" t="n">
        <v>128576.72</v>
      </c>
      <c r="J2683" t="inlineStr">
        <is>
          <t>Created MTR-IOS-2682 and correlation note visible in Activity/Pulse</t>
        </is>
      </c>
      <c r="K2683" t="inlineStr">
        <is>
          <t>NOT_RUN</t>
        </is>
      </c>
      <c r="P2683" t="n">
        <v>0</v>
      </c>
      <c r="Q2683" t="n">
        <v>2682</v>
      </c>
    </row>
    <row r="2684">
      <c r="A2684" t="n">
        <v>2683</v>
      </c>
      <c r="B2684" t="inlineStr">
        <is>
          <t>MTR-IOS-2683</t>
        </is>
      </c>
      <c r="C2684" t="inlineStr">
        <is>
          <t>iPhone</t>
        </is>
      </c>
      <c r="D2684" t="inlineStr">
        <is>
          <t>Personal</t>
        </is>
      </c>
      <c r="E2684" t="inlineStr">
        <is>
          <t>Personal</t>
        </is>
      </c>
      <c r="F2684" t="inlineStr">
        <is>
          <t>Relationships</t>
        </is>
      </c>
      <c r="G2684" t="inlineStr">
        <is>
          <t>Family</t>
        </is>
      </c>
      <c r="H2684" t="inlineStr">
        <is>
          <t>Personal &gt; Relationships &gt; Quick Add &gt; Family</t>
        </is>
      </c>
      <c r="I2684" s="18" t="n">
        <v>8344.440000000001</v>
      </c>
      <c r="J2684" t="inlineStr">
        <is>
          <t>Created MTR-IOS-2683 and correlation note visible in Activity/Pulse</t>
        </is>
      </c>
      <c r="K2684" t="inlineStr">
        <is>
          <t>NOT_RUN</t>
        </is>
      </c>
      <c r="P2684" t="n">
        <v>0</v>
      </c>
      <c r="Q2684" t="n">
        <v>2683</v>
      </c>
    </row>
    <row r="2685">
      <c r="A2685" t="n">
        <v>2684</v>
      </c>
      <c r="B2685" t="inlineStr">
        <is>
          <t>MTR-IOS-2684</t>
        </is>
      </c>
      <c r="C2685" t="inlineStr">
        <is>
          <t>iPhone</t>
        </is>
      </c>
      <c r="D2685" t="inlineStr">
        <is>
          <t>Group</t>
        </is>
      </c>
      <c r="E2685" t="inlineStr">
        <is>
          <t>Shared Purchase</t>
        </is>
      </c>
      <c r="F2685" t="inlineStr">
        <is>
          <t>Gift Pool</t>
        </is>
      </c>
      <c r="G2685" t="inlineStr">
        <is>
          <t>Contribution</t>
        </is>
      </c>
      <c r="H2685" t="inlineStr">
        <is>
          <t>Group &gt; Gift Pool &gt; Quick Add &gt; Contribution</t>
        </is>
      </c>
      <c r="I2685" s="18" t="n">
        <v>8610.059999999999</v>
      </c>
      <c r="J2685" t="inlineStr">
        <is>
          <t>Created MTR-IOS-2684 and correlation note visible in Activity/Pulse</t>
        </is>
      </c>
      <c r="K2685" t="inlineStr">
        <is>
          <t>NOT_RUN</t>
        </is>
      </c>
      <c r="P2685" t="n">
        <v>0</v>
      </c>
      <c r="Q2685" t="n">
        <v>2684</v>
      </c>
    </row>
    <row r="2686">
      <c r="A2686" t="n">
        <v>2685</v>
      </c>
      <c r="B2686" t="inlineStr">
        <is>
          <t>MTR-IOS-2685</t>
        </is>
      </c>
      <c r="C2686" t="inlineStr">
        <is>
          <t>iPhone</t>
        </is>
      </c>
      <c r="D2686" t="inlineStr">
        <is>
          <t>Business</t>
        </is>
      </c>
      <c r="E2686" t="inlineStr">
        <is>
          <t>Business</t>
        </is>
      </c>
      <c r="F2686" t="inlineStr">
        <is>
          <t>Business Runway</t>
        </is>
      </c>
      <c r="G2686" t="inlineStr">
        <is>
          <t>Investment</t>
        </is>
      </c>
      <c r="H2686" t="inlineStr">
        <is>
          <t>Business &gt; Business Runway &gt; Quick Add &gt; Investment</t>
        </is>
      </c>
      <c r="I2686" s="18" t="n">
        <v>147344.83</v>
      </c>
      <c r="J2686" t="inlineStr">
        <is>
          <t>Created MTR-IOS-2685 and correlation note visible in Activity/Pulse</t>
        </is>
      </c>
      <c r="K2686" t="inlineStr">
        <is>
          <t>NOT_RUN</t>
        </is>
      </c>
      <c r="P2686" t="n">
        <v>0</v>
      </c>
      <c r="Q2686" t="n">
        <v>2685</v>
      </c>
    </row>
    <row r="2687">
      <c r="A2687" t="n">
        <v>2686</v>
      </c>
      <c r="B2687" t="inlineStr">
        <is>
          <t>MTR-IOS-2686</t>
        </is>
      </c>
      <c r="C2687" t="inlineStr">
        <is>
          <t>iPhone</t>
        </is>
      </c>
      <c r="D2687" t="inlineStr">
        <is>
          <t>Personal</t>
        </is>
      </c>
      <c r="E2687" t="inlineStr">
        <is>
          <t>Personal</t>
        </is>
      </c>
      <c r="F2687" t="inlineStr">
        <is>
          <t>Relationships</t>
        </is>
      </c>
      <c r="G2687" t="inlineStr">
        <is>
          <t>Friends</t>
        </is>
      </c>
      <c r="H2687" t="inlineStr">
        <is>
          <t>Personal &gt; Relationships &gt; Quick Add &gt; Friends</t>
        </is>
      </c>
      <c r="I2687" s="18" t="n">
        <v>1852.75</v>
      </c>
      <c r="J2687" t="inlineStr">
        <is>
          <t>Created MTR-IOS-2686 and correlation note visible in Activity/Pulse</t>
        </is>
      </c>
      <c r="K2687" t="inlineStr">
        <is>
          <t>NOT_RUN</t>
        </is>
      </c>
      <c r="P2687" t="n">
        <v>0</v>
      </c>
      <c r="Q2687" t="n">
        <v>2686</v>
      </c>
    </row>
    <row r="2688">
      <c r="A2688" t="n">
        <v>2687</v>
      </c>
      <c r="B2688" t="inlineStr">
        <is>
          <t>MTR-IOS-2687</t>
        </is>
      </c>
      <c r="C2688" t="inlineStr">
        <is>
          <t>iPhone</t>
        </is>
      </c>
      <c r="D2688" t="inlineStr">
        <is>
          <t>Group</t>
        </is>
      </c>
      <c r="E2688" t="inlineStr">
        <is>
          <t>Shared Purchase</t>
        </is>
      </c>
      <c r="F2688" t="inlineStr">
        <is>
          <t>Gift Pool</t>
        </is>
      </c>
      <c r="G2688" t="inlineStr">
        <is>
          <t>Gift Purchase</t>
        </is>
      </c>
      <c r="H2688" t="inlineStr">
        <is>
          <t>Group &gt; Gift Pool &gt; Quick Add &gt; Gift Purchase</t>
        </is>
      </c>
      <c r="I2688" s="18" t="n">
        <v>1870.25</v>
      </c>
      <c r="J2688" t="inlineStr">
        <is>
          <t>Created MTR-IOS-2687 and correlation note visible in Activity/Pulse</t>
        </is>
      </c>
      <c r="K2688" t="inlineStr">
        <is>
          <t>NOT_RUN</t>
        </is>
      </c>
      <c r="P2688" t="n">
        <v>0</v>
      </c>
      <c r="Q2688" t="n">
        <v>2687</v>
      </c>
    </row>
    <row r="2689">
      <c r="A2689" t="n">
        <v>2688</v>
      </c>
      <c r="B2689" t="inlineStr">
        <is>
          <t>MTR-IOS-2688</t>
        </is>
      </c>
      <c r="C2689" t="inlineStr">
        <is>
          <t>iPhone</t>
        </is>
      </c>
      <c r="D2689" t="inlineStr">
        <is>
          <t>Business</t>
        </is>
      </c>
      <c r="E2689" t="inlineStr">
        <is>
          <t>Business</t>
        </is>
      </c>
      <c r="F2689" t="inlineStr">
        <is>
          <t>Business Operations</t>
        </is>
      </c>
      <c r="G2689" t="inlineStr">
        <is>
          <t>Software</t>
        </is>
      </c>
      <c r="H2689" t="inlineStr">
        <is>
          <t>Business &gt; Business Operations &gt; Quick Add &gt; Software</t>
        </is>
      </c>
      <c r="I2689" s="18" t="n">
        <v>89119.28</v>
      </c>
      <c r="J2689" t="inlineStr">
        <is>
          <t>Created MTR-IOS-2688 and correlation note visible in Activity/Pulse</t>
        </is>
      </c>
      <c r="K2689" t="inlineStr">
        <is>
          <t>NOT_RUN</t>
        </is>
      </c>
      <c r="P2689" t="n">
        <v>0</v>
      </c>
      <c r="Q2689" t="n">
        <v>2688</v>
      </c>
    </row>
    <row r="2690">
      <c r="A2690" t="n">
        <v>2689</v>
      </c>
      <c r="B2690" t="inlineStr">
        <is>
          <t>MTR-IOS-2689</t>
        </is>
      </c>
      <c r="C2690" t="inlineStr">
        <is>
          <t>iPhone</t>
        </is>
      </c>
      <c r="D2690" t="inlineStr">
        <is>
          <t>Personal</t>
        </is>
      </c>
      <c r="E2690" t="inlineStr">
        <is>
          <t>Personal</t>
        </is>
      </c>
      <c r="F2690" t="inlineStr">
        <is>
          <t>Relationships</t>
        </is>
      </c>
      <c r="G2690" t="inlineStr">
        <is>
          <t>Celebrations</t>
        </is>
      </c>
      <c r="H2690" t="inlineStr">
        <is>
          <t>Personal &gt; Relationships &gt; Quick Add &gt; Celebrations</t>
        </is>
      </c>
      <c r="I2690" s="18" t="n">
        <v>15881.65</v>
      </c>
      <c r="J2690" t="inlineStr">
        <is>
          <t>Created MTR-IOS-2689 and correlation note visible in Activity/Pulse</t>
        </is>
      </c>
      <c r="K2690" t="inlineStr">
        <is>
          <t>NOT_RUN</t>
        </is>
      </c>
      <c r="P2690" t="n">
        <v>0</v>
      </c>
      <c r="Q2690" t="n">
        <v>2689</v>
      </c>
    </row>
    <row r="2691">
      <c r="A2691" t="n">
        <v>2690</v>
      </c>
      <c r="B2691" t="inlineStr">
        <is>
          <t>MTR-IOS-2690</t>
        </is>
      </c>
      <c r="C2691" t="inlineStr">
        <is>
          <t>iPhone</t>
        </is>
      </c>
      <c r="D2691" t="inlineStr">
        <is>
          <t>Group</t>
        </is>
      </c>
      <c r="E2691" t="inlineStr">
        <is>
          <t>Shared Purchase</t>
        </is>
      </c>
      <c r="F2691" t="inlineStr">
        <is>
          <t>Gift Pool</t>
        </is>
      </c>
      <c r="G2691" t="inlineStr">
        <is>
          <t>Delivery</t>
        </is>
      </c>
      <c r="H2691" t="inlineStr">
        <is>
          <t>Group &gt; Gift Pool &gt; Quick Add &gt; Delivery</t>
        </is>
      </c>
      <c r="I2691" s="18" t="n">
        <v>12958.68</v>
      </c>
      <c r="J2691" t="inlineStr">
        <is>
          <t>Created MTR-IOS-2690 and correlation note visible in Activity/Pulse</t>
        </is>
      </c>
      <c r="K2691" t="inlineStr">
        <is>
          <t>NOT_RUN</t>
        </is>
      </c>
      <c r="P2691" t="n">
        <v>0</v>
      </c>
      <c r="Q2691" t="n">
        <v>2690</v>
      </c>
    </row>
    <row r="2692">
      <c r="A2692" t="n">
        <v>2691</v>
      </c>
      <c r="B2692" t="inlineStr">
        <is>
          <t>MTR-IOS-2691</t>
        </is>
      </c>
      <c r="C2692" t="inlineStr">
        <is>
          <t>iPhone</t>
        </is>
      </c>
      <c r="D2692" t="inlineStr">
        <is>
          <t>Business</t>
        </is>
      </c>
      <c r="E2692" t="inlineStr">
        <is>
          <t>Business</t>
        </is>
      </c>
      <c r="F2692" t="inlineStr">
        <is>
          <t>Business Operations</t>
        </is>
      </c>
      <c r="G2692" t="inlineStr">
        <is>
          <t>Rent</t>
        </is>
      </c>
      <c r="H2692" t="inlineStr">
        <is>
          <t>Business &gt; Business Operations &gt; Quick Add &gt; Rent</t>
        </is>
      </c>
      <c r="I2692" s="18" t="n">
        <v>10425.93</v>
      </c>
      <c r="J2692" t="inlineStr">
        <is>
          <t>Created MTR-IOS-2691 and correlation note visible in Activity/Pulse</t>
        </is>
      </c>
      <c r="K2692" t="inlineStr">
        <is>
          <t>NOT_RUN</t>
        </is>
      </c>
      <c r="P2692" t="n">
        <v>0</v>
      </c>
      <c r="Q2692" t="n">
        <v>2691</v>
      </c>
    </row>
    <row r="2693">
      <c r="A2693" t="n">
        <v>2692</v>
      </c>
      <c r="B2693" t="inlineStr">
        <is>
          <t>MTR-IOS-2692</t>
        </is>
      </c>
      <c r="C2693" t="inlineStr">
        <is>
          <t>iPhone</t>
        </is>
      </c>
      <c r="D2693" t="inlineStr">
        <is>
          <t>Personal</t>
        </is>
      </c>
      <c r="E2693" t="inlineStr">
        <is>
          <t>Personal</t>
        </is>
      </c>
      <c r="F2693" t="inlineStr">
        <is>
          <t>Life Operations</t>
        </is>
      </c>
      <c r="G2693" t="inlineStr">
        <is>
          <t>Groceries</t>
        </is>
      </c>
      <c r="H2693" t="inlineStr">
        <is>
          <t>Personal &gt; Life Operations &gt; Quick Add &gt; Groceries</t>
        </is>
      </c>
      <c r="I2693" s="18" t="n">
        <v>13826.87</v>
      </c>
      <c r="J2693" t="inlineStr">
        <is>
          <t>Created MTR-IOS-2692 and correlation note visible in Activity/Pulse</t>
        </is>
      </c>
      <c r="K2693" t="inlineStr">
        <is>
          <t>NOT_RUN</t>
        </is>
      </c>
      <c r="P2693" t="n">
        <v>0</v>
      </c>
      <c r="Q2693" t="n">
        <v>2692</v>
      </c>
    </row>
    <row r="2694">
      <c r="A2694" t="n">
        <v>2693</v>
      </c>
      <c r="B2694" t="inlineStr">
        <is>
          <t>MTR-IOS-2693</t>
        </is>
      </c>
      <c r="C2694" t="inlineStr">
        <is>
          <t>iPhone</t>
        </is>
      </c>
      <c r="D2694" t="inlineStr">
        <is>
          <t>Group</t>
        </is>
      </c>
      <c r="E2694" t="inlineStr">
        <is>
          <t>Shared Purchase</t>
        </is>
      </c>
      <c r="F2694" t="inlineStr">
        <is>
          <t>Gift Pool</t>
        </is>
      </c>
      <c r="G2694" t="inlineStr">
        <is>
          <t>Other</t>
        </is>
      </c>
      <c r="H2694" t="inlineStr">
        <is>
          <t>Group &gt; Gift Pool &gt; Quick Add &gt; Other</t>
        </is>
      </c>
      <c r="I2694" s="18" t="n">
        <v>12568.28</v>
      </c>
      <c r="J2694" t="inlineStr">
        <is>
          <t>Created MTR-IOS-2693 and correlation note visible in Activity/Pulse</t>
        </is>
      </c>
      <c r="K2694" t="inlineStr">
        <is>
          <t>NOT_RUN</t>
        </is>
      </c>
      <c r="P2694" t="n">
        <v>0</v>
      </c>
      <c r="Q2694" t="n">
        <v>2693</v>
      </c>
    </row>
    <row r="2695">
      <c r="A2695" t="n">
        <v>2694</v>
      </c>
      <c r="B2695" t="inlineStr">
        <is>
          <t>MTR-IOS-2694</t>
        </is>
      </c>
      <c r="C2695" t="inlineStr">
        <is>
          <t>iPhone</t>
        </is>
      </c>
      <c r="D2695" t="inlineStr">
        <is>
          <t>Business</t>
        </is>
      </c>
      <c r="E2695" t="inlineStr">
        <is>
          <t>Business</t>
        </is>
      </c>
      <c r="F2695" t="inlineStr">
        <is>
          <t>Business Operations</t>
        </is>
      </c>
      <c r="G2695" t="inlineStr">
        <is>
          <t>Marketing</t>
        </is>
      </c>
      <c r="H2695" t="inlineStr">
        <is>
          <t>Business &gt; Business Operations &gt; Quick Add &gt; Marketing</t>
        </is>
      </c>
      <c r="I2695" s="18" t="n">
        <v>57041.72</v>
      </c>
      <c r="J2695" t="inlineStr">
        <is>
          <t>Created MTR-IOS-2694 and correlation note visible in Activity/Pulse</t>
        </is>
      </c>
      <c r="K2695" t="inlineStr">
        <is>
          <t>NOT_RUN</t>
        </is>
      </c>
      <c r="P2695" t="n">
        <v>0</v>
      </c>
      <c r="Q2695" t="n">
        <v>2694</v>
      </c>
    </row>
    <row r="2696">
      <c r="A2696" t="n">
        <v>2695</v>
      </c>
      <c r="B2696" t="inlineStr">
        <is>
          <t>MTR-IOS-2695</t>
        </is>
      </c>
      <c r="C2696" t="inlineStr">
        <is>
          <t>iPhone</t>
        </is>
      </c>
      <c r="D2696" t="inlineStr">
        <is>
          <t>Personal</t>
        </is>
      </c>
      <c r="E2696" t="inlineStr">
        <is>
          <t>Personal</t>
        </is>
      </c>
      <c r="F2696" t="inlineStr">
        <is>
          <t>Life Operations</t>
        </is>
      </c>
      <c r="G2696" t="inlineStr">
        <is>
          <t>Rent</t>
        </is>
      </c>
      <c r="H2696" t="inlineStr">
        <is>
          <t>Personal &gt; Life Operations &gt; Quick Add &gt; Rent</t>
        </is>
      </c>
      <c r="I2696" s="18" t="n">
        <v>4386.84</v>
      </c>
      <c r="J2696" t="inlineStr">
        <is>
          <t>Created MTR-IOS-2695 and correlation note visible in Activity/Pulse</t>
        </is>
      </c>
      <c r="K2696" t="inlineStr">
        <is>
          <t>NOT_RUN</t>
        </is>
      </c>
      <c r="P2696" t="n">
        <v>0</v>
      </c>
      <c r="Q2696" t="n">
        <v>2695</v>
      </c>
    </row>
    <row r="2697">
      <c r="A2697" t="n">
        <v>2696</v>
      </c>
      <c r="B2697" t="inlineStr">
        <is>
          <t>MTR-IOS-2696</t>
        </is>
      </c>
      <c r="C2697" t="inlineStr">
        <is>
          <t>iPhone</t>
        </is>
      </c>
      <c r="D2697" t="inlineStr">
        <is>
          <t>Group</t>
        </is>
      </c>
      <c r="E2697" t="inlineStr">
        <is>
          <t>Shared Purchase</t>
        </is>
      </c>
      <c r="F2697" t="inlineStr">
        <is>
          <t>Purchase</t>
        </is>
      </c>
      <c r="G2697" t="inlineStr">
        <is>
          <t>Item</t>
        </is>
      </c>
      <c r="H2697" t="inlineStr">
        <is>
          <t>Group &gt; Purchase &gt; Quick Add &gt; Item</t>
        </is>
      </c>
      <c r="I2697" s="18" t="n">
        <v>1197.57</v>
      </c>
      <c r="J2697" t="inlineStr">
        <is>
          <t>Created MTR-IOS-2696 and correlation note visible in Activity/Pulse</t>
        </is>
      </c>
      <c r="K2697" t="inlineStr">
        <is>
          <t>NOT_RUN</t>
        </is>
      </c>
      <c r="P2697" t="n">
        <v>0</v>
      </c>
      <c r="Q2697" t="n">
        <v>2696</v>
      </c>
    </row>
    <row r="2698">
      <c r="A2698" t="n">
        <v>2697</v>
      </c>
      <c r="B2698" t="inlineStr">
        <is>
          <t>MTR-IOS-2697</t>
        </is>
      </c>
      <c r="C2698" t="inlineStr">
        <is>
          <t>iPhone</t>
        </is>
      </c>
      <c r="D2698" t="inlineStr">
        <is>
          <t>Business</t>
        </is>
      </c>
      <c r="E2698" t="inlineStr">
        <is>
          <t>Business</t>
        </is>
      </c>
      <c r="F2698" t="inlineStr">
        <is>
          <t>Business Operations</t>
        </is>
      </c>
      <c r="G2698" t="inlineStr">
        <is>
          <t>Legal</t>
        </is>
      </c>
      <c r="H2698" t="inlineStr">
        <is>
          <t>Business &gt; Business Operations &gt; Quick Add &gt; Legal</t>
        </is>
      </c>
      <c r="I2698" s="18" t="n">
        <v>7397.77</v>
      </c>
      <c r="J2698" t="inlineStr">
        <is>
          <t>Created MTR-IOS-2697 and correlation note visible in Activity/Pulse</t>
        </is>
      </c>
      <c r="K2698" t="inlineStr">
        <is>
          <t>NOT_RUN</t>
        </is>
      </c>
      <c r="P2698" t="n">
        <v>0</v>
      </c>
      <c r="Q2698" t="n">
        <v>2697</v>
      </c>
    </row>
    <row r="2699">
      <c r="A2699" t="n">
        <v>2698</v>
      </c>
      <c r="B2699" t="inlineStr">
        <is>
          <t>MTR-IOS-2698</t>
        </is>
      </c>
      <c r="C2699" t="inlineStr">
        <is>
          <t>iPhone</t>
        </is>
      </c>
      <c r="D2699" t="inlineStr">
        <is>
          <t>Personal</t>
        </is>
      </c>
      <c r="E2699" t="inlineStr">
        <is>
          <t>Personal</t>
        </is>
      </c>
      <c r="F2699" t="inlineStr">
        <is>
          <t>Life Operations</t>
        </is>
      </c>
      <c r="G2699" t="inlineStr">
        <is>
          <t>Bills</t>
        </is>
      </c>
      <c r="H2699" t="inlineStr">
        <is>
          <t>Personal &gt; Life Operations &gt; Quick Add &gt; Bills</t>
        </is>
      </c>
      <c r="I2699" s="18" t="n">
        <v>7431.42</v>
      </c>
      <c r="J2699" t="inlineStr">
        <is>
          <t>Created MTR-IOS-2698 and correlation note visible in Activity/Pulse</t>
        </is>
      </c>
      <c r="K2699" t="inlineStr">
        <is>
          <t>NOT_RUN</t>
        </is>
      </c>
      <c r="P2699" t="n">
        <v>0</v>
      </c>
      <c r="Q2699" t="n">
        <v>2698</v>
      </c>
    </row>
    <row r="2700">
      <c r="A2700" t="n">
        <v>2699</v>
      </c>
      <c r="B2700" t="inlineStr">
        <is>
          <t>MTR-IOS-2699</t>
        </is>
      </c>
      <c r="C2700" t="inlineStr">
        <is>
          <t>iPhone</t>
        </is>
      </c>
      <c r="D2700" t="inlineStr">
        <is>
          <t>Group</t>
        </is>
      </c>
      <c r="E2700" t="inlineStr">
        <is>
          <t>Shared Purchase</t>
        </is>
      </c>
      <c r="F2700" t="inlineStr">
        <is>
          <t>Purchase</t>
        </is>
      </c>
      <c r="G2700" t="inlineStr">
        <is>
          <t>Shipping</t>
        </is>
      </c>
      <c r="H2700" t="inlineStr">
        <is>
          <t>Group &gt; Purchase &gt; Quick Add &gt; Shipping</t>
        </is>
      </c>
      <c r="I2700" s="18" t="n">
        <v>21905.58</v>
      </c>
      <c r="J2700" t="inlineStr">
        <is>
          <t>Created MTR-IOS-2699 and correlation note visible in Activity/Pulse</t>
        </is>
      </c>
      <c r="K2700" t="inlineStr">
        <is>
          <t>NOT_RUN</t>
        </is>
      </c>
      <c r="P2700" t="n">
        <v>0</v>
      </c>
      <c r="Q2700" t="n">
        <v>2699</v>
      </c>
    </row>
    <row r="2701">
      <c r="A2701" t="n">
        <v>2700</v>
      </c>
      <c r="B2701" t="inlineStr">
        <is>
          <t>MTR-IOS-2700</t>
        </is>
      </c>
      <c r="C2701" t="inlineStr">
        <is>
          <t>iPhone</t>
        </is>
      </c>
      <c r="D2701" t="inlineStr">
        <is>
          <t>Business</t>
        </is>
      </c>
      <c r="E2701" t="inlineStr">
        <is>
          <t>Business</t>
        </is>
      </c>
      <c r="F2701" t="inlineStr">
        <is>
          <t>Business Operations</t>
        </is>
      </c>
      <c r="G2701" t="inlineStr">
        <is>
          <t>Accounting</t>
        </is>
      </c>
      <c r="H2701" t="inlineStr">
        <is>
          <t>Business &gt; Business Operations &gt; Quick Add &gt; Accounting</t>
        </is>
      </c>
      <c r="I2701" s="18" t="n">
        <v>34900.26</v>
      </c>
      <c r="J2701" t="inlineStr">
        <is>
          <t>Created MTR-IOS-2700 and correlation note visible in Activity/Pulse</t>
        </is>
      </c>
      <c r="K2701" t="inlineStr">
        <is>
          <t>NOT_RUN</t>
        </is>
      </c>
      <c r="P2701" t="n">
        <v>0</v>
      </c>
      <c r="Q2701" t="n">
        <v>2700</v>
      </c>
    </row>
    <row r="2702">
      <c r="A2702" t="n">
        <v>2701</v>
      </c>
      <c r="B2702" t="inlineStr">
        <is>
          <t>MTR-IOS-2701</t>
        </is>
      </c>
      <c r="C2702" t="inlineStr">
        <is>
          <t>iPhone</t>
        </is>
      </c>
      <c r="D2702" t="inlineStr">
        <is>
          <t>Personal</t>
        </is>
      </c>
      <c r="E2702" t="inlineStr">
        <is>
          <t>Personal</t>
        </is>
      </c>
      <c r="F2702" t="inlineStr">
        <is>
          <t>Life Operations</t>
        </is>
      </c>
      <c r="G2702" t="inlineStr">
        <is>
          <t>Transport</t>
        </is>
      </c>
      <c r="H2702" t="inlineStr">
        <is>
          <t>Personal &gt; Life Operations &gt; Quick Add &gt; Transport</t>
        </is>
      </c>
      <c r="I2702" s="18" t="n">
        <v>1</v>
      </c>
      <c r="J2702" t="inlineStr">
        <is>
          <t>Created MTR-IOS-2701 and correlation note visible in Activity/Pulse</t>
        </is>
      </c>
      <c r="K2702" t="inlineStr">
        <is>
          <t>NOT_RUN</t>
        </is>
      </c>
      <c r="P2702" t="n">
        <v>0</v>
      </c>
      <c r="Q2702" t="n">
        <v>2701</v>
      </c>
    </row>
    <row r="2703">
      <c r="A2703" t="n">
        <v>2702</v>
      </c>
      <c r="B2703" t="inlineStr">
        <is>
          <t>MTR-IOS-2702</t>
        </is>
      </c>
      <c r="C2703" t="inlineStr">
        <is>
          <t>iPhone</t>
        </is>
      </c>
      <c r="D2703" t="inlineStr">
        <is>
          <t>Group</t>
        </is>
      </c>
      <c r="E2703" t="inlineStr">
        <is>
          <t>Shared Purchase</t>
        </is>
      </c>
      <c r="F2703" t="inlineStr">
        <is>
          <t>Purchase</t>
        </is>
      </c>
      <c r="G2703" t="inlineStr">
        <is>
          <t>Tax</t>
        </is>
      </c>
      <c r="H2703" t="inlineStr">
        <is>
          <t>Group &gt; Purchase &gt; Quick Add &gt; Tax</t>
        </is>
      </c>
      <c r="I2703" s="18" t="n">
        <v>23431.49</v>
      </c>
      <c r="J2703" t="inlineStr">
        <is>
          <t>Created MTR-IOS-2702 and correlation note visible in Activity/Pulse</t>
        </is>
      </c>
      <c r="K2703" t="inlineStr">
        <is>
          <t>NOT_RUN</t>
        </is>
      </c>
      <c r="P2703" t="n">
        <v>0</v>
      </c>
      <c r="Q2703" t="n">
        <v>2702</v>
      </c>
    </row>
    <row r="2704">
      <c r="A2704" t="n">
        <v>2703</v>
      </c>
      <c r="B2704" t="inlineStr">
        <is>
          <t>MTR-IOS-2703</t>
        </is>
      </c>
      <c r="C2704" t="inlineStr">
        <is>
          <t>iPhone</t>
        </is>
      </c>
      <c r="D2704" t="inlineStr">
        <is>
          <t>Business</t>
        </is>
      </c>
      <c r="E2704" t="inlineStr">
        <is>
          <t>Business</t>
        </is>
      </c>
      <c r="F2704" t="inlineStr">
        <is>
          <t>Business Operations</t>
        </is>
      </c>
      <c r="G2704" t="inlineStr">
        <is>
          <t>Equipment</t>
        </is>
      </c>
      <c r="H2704" t="inlineStr">
        <is>
          <t>Business &gt; Business Operations &gt; Quick Add &gt; Equipment</t>
        </is>
      </c>
      <c r="I2704" s="18" t="n">
        <v>66170.33</v>
      </c>
      <c r="J2704" t="inlineStr">
        <is>
          <t>Created MTR-IOS-2703 and correlation note visible in Activity/Pulse</t>
        </is>
      </c>
      <c r="K2704" t="inlineStr">
        <is>
          <t>NOT_RUN</t>
        </is>
      </c>
      <c r="P2704" t="n">
        <v>0</v>
      </c>
      <c r="Q2704" t="n">
        <v>2703</v>
      </c>
    </row>
    <row r="2705">
      <c r="A2705" t="n">
        <v>2704</v>
      </c>
      <c r="B2705" t="inlineStr">
        <is>
          <t>MTR-IOS-2704</t>
        </is>
      </c>
      <c r="C2705" t="inlineStr">
        <is>
          <t>iPhone</t>
        </is>
      </c>
      <c r="D2705" t="inlineStr">
        <is>
          <t>Personal</t>
        </is>
      </c>
      <c r="E2705" t="inlineStr">
        <is>
          <t>Personal</t>
        </is>
      </c>
      <c r="F2705" t="inlineStr">
        <is>
          <t>Life Operations</t>
        </is>
      </c>
      <c r="G2705" t="inlineStr">
        <is>
          <t>Healthcare</t>
        </is>
      </c>
      <c r="H2705" t="inlineStr">
        <is>
          <t>Personal &gt; Life Operations &gt; Quick Add &gt; Healthcare</t>
        </is>
      </c>
      <c r="I2705" s="18" t="n">
        <v>8784.02</v>
      </c>
      <c r="J2705" t="inlineStr">
        <is>
          <t>Created MTR-IOS-2704 and correlation note visible in Activity/Pulse</t>
        </is>
      </c>
      <c r="K2705" t="inlineStr">
        <is>
          <t>NOT_RUN</t>
        </is>
      </c>
      <c r="P2705" t="n">
        <v>0</v>
      </c>
      <c r="Q2705" t="n">
        <v>2704</v>
      </c>
    </row>
    <row r="2706">
      <c r="A2706" t="n">
        <v>2705</v>
      </c>
      <c r="B2706" t="inlineStr">
        <is>
          <t>MTR-IOS-2705</t>
        </is>
      </c>
      <c r="C2706" t="inlineStr">
        <is>
          <t>iPhone</t>
        </is>
      </c>
      <c r="D2706" t="inlineStr">
        <is>
          <t>Group</t>
        </is>
      </c>
      <c r="E2706" t="inlineStr">
        <is>
          <t>Shared Purchase</t>
        </is>
      </c>
      <c r="F2706" t="inlineStr">
        <is>
          <t>Purchase</t>
        </is>
      </c>
      <c r="G2706" t="inlineStr">
        <is>
          <t>Other</t>
        </is>
      </c>
      <c r="H2706" t="inlineStr">
        <is>
          <t>Group &gt; Purchase &gt; Quick Add &gt; Other</t>
        </is>
      </c>
      <c r="I2706" s="18" t="n">
        <v>23253.88</v>
      </c>
      <c r="J2706" t="inlineStr">
        <is>
          <t>Created MTR-IOS-2705 and correlation note visible in Activity/Pulse</t>
        </is>
      </c>
      <c r="K2706" t="inlineStr">
        <is>
          <t>NOT_RUN</t>
        </is>
      </c>
      <c r="P2706" t="n">
        <v>0</v>
      </c>
      <c r="Q2706" t="n">
        <v>2705</v>
      </c>
    </row>
    <row r="2707">
      <c r="A2707" t="n">
        <v>2706</v>
      </c>
      <c r="B2707" t="inlineStr">
        <is>
          <t>MTR-IOS-2706</t>
        </is>
      </c>
      <c r="C2707" t="inlineStr">
        <is>
          <t>iPhone</t>
        </is>
      </c>
      <c r="D2707" t="inlineStr">
        <is>
          <t>Business</t>
        </is>
      </c>
      <c r="E2707" t="inlineStr">
        <is>
          <t>Business</t>
        </is>
      </c>
      <c r="F2707" t="inlineStr">
        <is>
          <t>Business Operations</t>
        </is>
      </c>
      <c r="G2707" t="inlineStr">
        <is>
          <t>Vendor</t>
        </is>
      </c>
      <c r="H2707" t="inlineStr">
        <is>
          <t>Business &gt; Business Operations &gt; Quick Add &gt; Vendor</t>
        </is>
      </c>
      <c r="I2707" s="18" t="n">
        <v>28014.84</v>
      </c>
      <c r="J2707" t="inlineStr">
        <is>
          <t>Created MTR-IOS-2706 and correlation note visible in Activity/Pulse</t>
        </is>
      </c>
      <c r="K2707" t="inlineStr">
        <is>
          <t>NOT_RUN</t>
        </is>
      </c>
      <c r="P2707" t="n">
        <v>0</v>
      </c>
      <c r="Q2707" t="n">
        <v>2706</v>
      </c>
    </row>
    <row r="2708">
      <c r="A2708" t="n">
        <v>2707</v>
      </c>
      <c r="B2708" t="inlineStr">
        <is>
          <t>MTR-IOS-2707</t>
        </is>
      </c>
      <c r="C2708" t="inlineStr">
        <is>
          <t>iPhone</t>
        </is>
      </c>
      <c r="D2708" t="inlineStr">
        <is>
          <t>Personal</t>
        </is>
      </c>
      <c r="E2708" t="inlineStr">
        <is>
          <t>Personal</t>
        </is>
      </c>
      <c r="F2708" t="inlineStr">
        <is>
          <t>Life Operations</t>
        </is>
      </c>
      <c r="G2708" t="inlineStr">
        <is>
          <t>Subscriptions</t>
        </is>
      </c>
      <c r="H2708" t="inlineStr">
        <is>
          <t>Personal &gt; Life Operations &gt; Quick Add &gt; Subscriptions</t>
        </is>
      </c>
      <c r="I2708" s="18" t="n">
        <v>5189.3</v>
      </c>
      <c r="J2708" t="inlineStr">
        <is>
          <t>Created MTR-IOS-2707 and correlation note visible in Activity/Pulse</t>
        </is>
      </c>
      <c r="K2708" t="inlineStr">
        <is>
          <t>NOT_RUN</t>
        </is>
      </c>
      <c r="P2708" t="n">
        <v>0</v>
      </c>
      <c r="Q2708" t="n">
        <v>2707</v>
      </c>
    </row>
    <row r="2709">
      <c r="A2709" t="n">
        <v>2708</v>
      </c>
      <c r="B2709" t="inlineStr">
        <is>
          <t>MTR-IOS-2708</t>
        </is>
      </c>
      <c r="C2709" t="inlineStr">
        <is>
          <t>iPhone</t>
        </is>
      </c>
      <c r="D2709" t="inlineStr">
        <is>
          <t>Group</t>
        </is>
      </c>
      <c r="E2709" t="inlineStr">
        <is>
          <t>Shared Purchase</t>
        </is>
      </c>
      <c r="F2709" t="inlineStr">
        <is>
          <t>Assets</t>
        </is>
      </c>
      <c r="G2709" t="inlineStr">
        <is>
          <t>Purchase</t>
        </is>
      </c>
      <c r="H2709" t="inlineStr">
        <is>
          <t>Group &gt; Assets &gt; Quick Add &gt; Purchase</t>
        </is>
      </c>
      <c r="I2709" s="18" t="n">
        <v>3576.41</v>
      </c>
      <c r="J2709" t="inlineStr">
        <is>
          <t>Created MTR-IOS-2708 and correlation note visible in Activity/Pulse</t>
        </is>
      </c>
      <c r="K2709" t="inlineStr">
        <is>
          <t>NOT_RUN</t>
        </is>
      </c>
      <c r="P2709" t="n">
        <v>0</v>
      </c>
      <c r="Q2709" t="n">
        <v>2708</v>
      </c>
    </row>
    <row r="2710">
      <c r="A2710" t="n">
        <v>2709</v>
      </c>
      <c r="B2710" t="inlineStr">
        <is>
          <t>MTR-IOS-2709</t>
        </is>
      </c>
      <c r="C2710" t="inlineStr">
        <is>
          <t>iPhone</t>
        </is>
      </c>
      <c r="D2710" t="inlineStr">
        <is>
          <t>Business</t>
        </is>
      </c>
      <c r="E2710" t="inlineStr">
        <is>
          <t>Business</t>
        </is>
      </c>
      <c r="F2710" t="inlineStr">
        <is>
          <t>Business Operations</t>
        </is>
      </c>
      <c r="G2710" t="inlineStr">
        <is>
          <t>Tax</t>
        </is>
      </c>
      <c r="H2710" t="inlineStr">
        <is>
          <t>Business &gt; Business Operations &gt; Quick Add &gt; Tax</t>
        </is>
      </c>
      <c r="I2710" s="18" t="n">
        <v>145933.59</v>
      </c>
      <c r="J2710" t="inlineStr">
        <is>
          <t>Created MTR-IOS-2709 and correlation note visible in Activity/Pulse</t>
        </is>
      </c>
      <c r="K2710" t="inlineStr">
        <is>
          <t>NOT_RUN</t>
        </is>
      </c>
      <c r="P2710" t="n">
        <v>0</v>
      </c>
      <c r="Q2710" t="n">
        <v>2709</v>
      </c>
    </row>
    <row r="2711">
      <c r="A2711" t="n">
        <v>2710</v>
      </c>
      <c r="B2711" t="inlineStr">
        <is>
          <t>MTR-IOS-2710</t>
        </is>
      </c>
      <c r="C2711" t="inlineStr">
        <is>
          <t>iPhone</t>
        </is>
      </c>
      <c r="D2711" t="inlineStr">
        <is>
          <t>Personal</t>
        </is>
      </c>
      <c r="E2711" t="inlineStr">
        <is>
          <t>Personal</t>
        </is>
      </c>
      <c r="F2711" t="inlineStr">
        <is>
          <t>Life Operations</t>
        </is>
      </c>
      <c r="G2711" t="inlineStr">
        <is>
          <t>Repairs</t>
        </is>
      </c>
      <c r="H2711" t="inlineStr">
        <is>
          <t>Personal &gt; Life Operations &gt; Quick Add &gt; Repairs</t>
        </is>
      </c>
      <c r="I2711" s="18" t="n">
        <v>11396.48</v>
      </c>
      <c r="J2711" t="inlineStr">
        <is>
          <t>Created MTR-IOS-2710 and correlation note visible in Activity/Pulse</t>
        </is>
      </c>
      <c r="K2711" t="inlineStr">
        <is>
          <t>NOT_RUN</t>
        </is>
      </c>
      <c r="P2711" t="n">
        <v>0</v>
      </c>
      <c r="Q2711" t="n">
        <v>2710</v>
      </c>
    </row>
    <row r="2712">
      <c r="A2712" t="n">
        <v>2711</v>
      </c>
      <c r="B2712" t="inlineStr">
        <is>
          <t>MTR-IOS-2711</t>
        </is>
      </c>
      <c r="C2712" t="inlineStr">
        <is>
          <t>iPhone</t>
        </is>
      </c>
      <c r="D2712" t="inlineStr">
        <is>
          <t>Group</t>
        </is>
      </c>
      <c r="E2712" t="inlineStr">
        <is>
          <t>Shared Purchase</t>
        </is>
      </c>
      <c r="F2712" t="inlineStr">
        <is>
          <t>Assets</t>
        </is>
      </c>
      <c r="G2712" t="inlineStr">
        <is>
          <t>Maintenance</t>
        </is>
      </c>
      <c r="H2712" t="inlineStr">
        <is>
          <t>Group &gt; Assets &gt; Quick Add &gt; Maintenance</t>
        </is>
      </c>
      <c r="I2712" s="18" t="n">
        <v>23726.31</v>
      </c>
      <c r="J2712" t="inlineStr">
        <is>
          <t>Created MTR-IOS-2711 and correlation note visible in Activity/Pulse</t>
        </is>
      </c>
      <c r="K2712" t="inlineStr">
        <is>
          <t>NOT_RUN</t>
        </is>
      </c>
      <c r="P2712" t="n">
        <v>0</v>
      </c>
      <c r="Q2712" t="n">
        <v>2711</v>
      </c>
    </row>
    <row r="2713">
      <c r="A2713" t="n">
        <v>2712</v>
      </c>
      <c r="B2713" t="inlineStr">
        <is>
          <t>MTR-IOS-2712</t>
        </is>
      </c>
      <c r="C2713" t="inlineStr">
        <is>
          <t>iPhone</t>
        </is>
      </c>
      <c r="D2713" t="inlineStr">
        <is>
          <t>Business</t>
        </is>
      </c>
      <c r="E2713" t="inlineStr">
        <is>
          <t>Business</t>
        </is>
      </c>
      <c r="F2713" t="inlineStr">
        <is>
          <t>Team Operations</t>
        </is>
      </c>
      <c r="G2713" t="inlineStr">
        <is>
          <t>Payroll</t>
        </is>
      </c>
      <c r="H2713" t="inlineStr">
        <is>
          <t>Business &gt; Team Operations &gt; Quick Add &gt; Payroll</t>
        </is>
      </c>
      <c r="I2713" s="18" t="n">
        <v>119379.68</v>
      </c>
      <c r="J2713" t="inlineStr">
        <is>
          <t>Created MTR-IOS-2712 and correlation note visible in Activity/Pulse</t>
        </is>
      </c>
      <c r="K2713" t="inlineStr">
        <is>
          <t>NOT_RUN</t>
        </is>
      </c>
      <c r="P2713" t="n">
        <v>0</v>
      </c>
      <c r="Q2713" t="n">
        <v>2712</v>
      </c>
    </row>
    <row r="2714">
      <c r="A2714" t="n">
        <v>2713</v>
      </c>
      <c r="B2714" t="inlineStr">
        <is>
          <t>MTR-IOS-2713</t>
        </is>
      </c>
      <c r="C2714" t="inlineStr">
        <is>
          <t>iPhone</t>
        </is>
      </c>
      <c r="D2714" t="inlineStr">
        <is>
          <t>Personal</t>
        </is>
      </c>
      <c r="E2714" t="inlineStr">
        <is>
          <t>Personal</t>
        </is>
      </c>
      <c r="F2714" t="inlineStr">
        <is>
          <t>Future Building</t>
        </is>
      </c>
      <c r="G2714" t="inlineStr">
        <is>
          <t>Savings</t>
        </is>
      </c>
      <c r="H2714" t="inlineStr">
        <is>
          <t>Personal &gt; Future Building &gt; Quick Add &gt; Savings</t>
        </is>
      </c>
      <c r="I2714" s="18" t="n">
        <v>15681.21</v>
      </c>
      <c r="J2714" t="inlineStr">
        <is>
          <t>Created MTR-IOS-2713 and correlation note visible in Activity/Pulse</t>
        </is>
      </c>
      <c r="K2714" t="inlineStr">
        <is>
          <t>NOT_RUN</t>
        </is>
      </c>
      <c r="P2714" t="n">
        <v>0</v>
      </c>
      <c r="Q2714" t="n">
        <v>2713</v>
      </c>
    </row>
    <row r="2715">
      <c r="A2715" t="n">
        <v>2714</v>
      </c>
      <c r="B2715" t="inlineStr">
        <is>
          <t>MTR-IOS-2714</t>
        </is>
      </c>
      <c r="C2715" t="inlineStr">
        <is>
          <t>iPhone</t>
        </is>
      </c>
      <c r="D2715" t="inlineStr">
        <is>
          <t>Group</t>
        </is>
      </c>
      <c r="E2715" t="inlineStr">
        <is>
          <t>Shared Purchase</t>
        </is>
      </c>
      <c r="F2715" t="inlineStr">
        <is>
          <t>Assets</t>
        </is>
      </c>
      <c r="G2715" t="inlineStr">
        <is>
          <t>Repair</t>
        </is>
      </c>
      <c r="H2715" t="inlineStr">
        <is>
          <t>Group &gt; Assets &gt; Quick Add &gt; Repair</t>
        </is>
      </c>
      <c r="I2715" s="18" t="n">
        <v>4367.84</v>
      </c>
      <c r="J2715" t="inlineStr">
        <is>
          <t>Created MTR-IOS-2714 and correlation note visible in Activity/Pulse</t>
        </is>
      </c>
      <c r="K2715" t="inlineStr">
        <is>
          <t>NOT_RUN</t>
        </is>
      </c>
      <c r="P2715" t="n">
        <v>0</v>
      </c>
      <c r="Q2715" t="n">
        <v>2714</v>
      </c>
    </row>
    <row r="2716">
      <c r="A2716" t="n">
        <v>2715</v>
      </c>
      <c r="B2716" t="inlineStr">
        <is>
          <t>MTR-IOS-2715</t>
        </is>
      </c>
      <c r="C2716" t="inlineStr">
        <is>
          <t>iPhone</t>
        </is>
      </c>
      <c r="D2716" t="inlineStr">
        <is>
          <t>Business</t>
        </is>
      </c>
      <c r="E2716" t="inlineStr">
        <is>
          <t>Business</t>
        </is>
      </c>
      <c r="F2716" t="inlineStr">
        <is>
          <t>Team Operations</t>
        </is>
      </c>
      <c r="G2716" t="inlineStr">
        <is>
          <t>Contractor</t>
        </is>
      </c>
      <c r="H2716" t="inlineStr">
        <is>
          <t>Business &gt; Team Operations &gt; Quick Add &gt; Contractor</t>
        </is>
      </c>
      <c r="I2716" s="18" t="n">
        <v>31566.61</v>
      </c>
      <c r="J2716" t="inlineStr">
        <is>
          <t>Created MTR-IOS-2715 and correlation note visible in Activity/Pulse</t>
        </is>
      </c>
      <c r="K2716" t="inlineStr">
        <is>
          <t>NOT_RUN</t>
        </is>
      </c>
      <c r="P2716" t="n">
        <v>0</v>
      </c>
      <c r="Q2716" t="n">
        <v>2715</v>
      </c>
    </row>
    <row r="2717">
      <c r="A2717" t="n">
        <v>2716</v>
      </c>
      <c r="B2717" t="inlineStr">
        <is>
          <t>MTR-IOS-2716</t>
        </is>
      </c>
      <c r="C2717" t="inlineStr">
        <is>
          <t>iPhone</t>
        </is>
      </c>
      <c r="D2717" t="inlineStr">
        <is>
          <t>Personal</t>
        </is>
      </c>
      <c r="E2717" t="inlineStr">
        <is>
          <t>Personal</t>
        </is>
      </c>
      <c r="F2717" t="inlineStr">
        <is>
          <t>Future Building</t>
        </is>
      </c>
      <c r="G2717" t="inlineStr">
        <is>
          <t>Emergency Fund</t>
        </is>
      </c>
      <c r="H2717" t="inlineStr">
        <is>
          <t>Personal &gt; Future Building &gt; Quick Add &gt; Emergency Fund</t>
        </is>
      </c>
      <c r="I2717" s="18" t="n">
        <v>6176.3</v>
      </c>
      <c r="J2717" t="inlineStr">
        <is>
          <t>Created MTR-IOS-2716 and correlation note visible in Activity/Pulse</t>
        </is>
      </c>
      <c r="K2717" t="inlineStr">
        <is>
          <t>NOT_RUN</t>
        </is>
      </c>
      <c r="P2717" t="n">
        <v>0</v>
      </c>
      <c r="Q2717" t="n">
        <v>2716</v>
      </c>
    </row>
    <row r="2718">
      <c r="A2718" t="n">
        <v>2717</v>
      </c>
      <c r="B2718" t="inlineStr">
        <is>
          <t>MTR-IOS-2717</t>
        </is>
      </c>
      <c r="C2718" t="inlineStr">
        <is>
          <t>iPhone</t>
        </is>
      </c>
      <c r="D2718" t="inlineStr">
        <is>
          <t>Group</t>
        </is>
      </c>
      <c r="E2718" t="inlineStr">
        <is>
          <t>Shared Purchase</t>
        </is>
      </c>
      <c r="F2718" t="inlineStr">
        <is>
          <t>Assets</t>
        </is>
      </c>
      <c r="G2718" t="inlineStr">
        <is>
          <t>Insurance</t>
        </is>
      </c>
      <c r="H2718" t="inlineStr">
        <is>
          <t>Group &gt; Assets &gt; Quick Add &gt; Insurance</t>
        </is>
      </c>
      <c r="I2718" s="18" t="n">
        <v>20976.55</v>
      </c>
      <c r="J2718" t="inlineStr">
        <is>
          <t>Created MTR-IOS-2717 and correlation note visible in Activity/Pulse</t>
        </is>
      </c>
      <c r="K2718" t="inlineStr">
        <is>
          <t>NOT_RUN</t>
        </is>
      </c>
      <c r="P2718" t="n">
        <v>0</v>
      </c>
      <c r="Q2718" t="n">
        <v>2717</v>
      </c>
    </row>
    <row r="2719">
      <c r="A2719" t="n">
        <v>2718</v>
      </c>
      <c r="B2719" t="inlineStr">
        <is>
          <t>MTR-IOS-2718</t>
        </is>
      </c>
      <c r="C2719" t="inlineStr">
        <is>
          <t>iPhone</t>
        </is>
      </c>
      <c r="D2719" t="inlineStr">
        <is>
          <t>Business</t>
        </is>
      </c>
      <c r="E2719" t="inlineStr">
        <is>
          <t>Business</t>
        </is>
      </c>
      <c r="F2719" t="inlineStr">
        <is>
          <t>Team Operations</t>
        </is>
      </c>
      <c r="G2719" t="inlineStr">
        <is>
          <t>Hiring</t>
        </is>
      </c>
      <c r="H2719" t="inlineStr">
        <is>
          <t>Business &gt; Team Operations &gt; Quick Add &gt; Hiring</t>
        </is>
      </c>
      <c r="I2719" s="18" t="n">
        <v>86082.63</v>
      </c>
      <c r="J2719" t="inlineStr">
        <is>
          <t>Created MTR-IOS-2718 and correlation note visible in Activity/Pulse</t>
        </is>
      </c>
      <c r="K2719" t="inlineStr">
        <is>
          <t>NOT_RUN</t>
        </is>
      </c>
      <c r="P2719" t="n">
        <v>0</v>
      </c>
      <c r="Q2719" t="n">
        <v>2718</v>
      </c>
    </row>
    <row r="2720">
      <c r="A2720" t="n">
        <v>2719</v>
      </c>
      <c r="B2720" t="inlineStr">
        <is>
          <t>MTR-IOS-2719</t>
        </is>
      </c>
      <c r="C2720" t="inlineStr">
        <is>
          <t>iPhone</t>
        </is>
      </c>
      <c r="D2720" t="inlineStr">
        <is>
          <t>Personal</t>
        </is>
      </c>
      <c r="E2720" t="inlineStr">
        <is>
          <t>Personal</t>
        </is>
      </c>
      <c r="F2720" t="inlineStr">
        <is>
          <t>Future Building</t>
        </is>
      </c>
      <c r="G2720" t="inlineStr">
        <is>
          <t>Investments</t>
        </is>
      </c>
      <c r="H2720" t="inlineStr">
        <is>
          <t>Personal &gt; Future Building &gt; Quick Add &gt; Investments</t>
        </is>
      </c>
      <c r="I2720" s="18" t="n">
        <v>3837.51</v>
      </c>
      <c r="J2720" t="inlineStr">
        <is>
          <t>Created MTR-IOS-2719 and correlation note visible in Activity/Pulse</t>
        </is>
      </c>
      <c r="K2720" t="inlineStr">
        <is>
          <t>NOT_RUN</t>
        </is>
      </c>
      <c r="P2720" t="n">
        <v>0</v>
      </c>
      <c r="Q2720" t="n">
        <v>2719</v>
      </c>
    </row>
    <row r="2721">
      <c r="A2721" t="n">
        <v>2720</v>
      </c>
      <c r="B2721" t="inlineStr">
        <is>
          <t>MTR-IOS-2720</t>
        </is>
      </c>
      <c r="C2721" t="inlineStr">
        <is>
          <t>iPhone</t>
        </is>
      </c>
      <c r="D2721" t="inlineStr">
        <is>
          <t>Group</t>
        </is>
      </c>
      <c r="E2721" t="inlineStr">
        <is>
          <t>Shared Purchase</t>
        </is>
      </c>
      <c r="F2721" t="inlineStr">
        <is>
          <t>Assets</t>
        </is>
      </c>
      <c r="G2721" t="inlineStr">
        <is>
          <t>Other</t>
        </is>
      </c>
      <c r="H2721" t="inlineStr">
        <is>
          <t>Group &gt; Assets &gt; Quick Add &gt; Other</t>
        </is>
      </c>
      <c r="I2721" s="18" t="n">
        <v>16264.76</v>
      </c>
      <c r="J2721" t="inlineStr">
        <is>
          <t>Created MTR-IOS-2720 and correlation note visible in Activity/Pulse</t>
        </is>
      </c>
      <c r="K2721" t="inlineStr">
        <is>
          <t>NOT_RUN</t>
        </is>
      </c>
      <c r="P2721" t="n">
        <v>0</v>
      </c>
      <c r="Q2721" t="n">
        <v>2720</v>
      </c>
    </row>
    <row r="2722">
      <c r="A2722" t="n">
        <v>2721</v>
      </c>
      <c r="B2722" t="inlineStr">
        <is>
          <t>MTR-IOS-2721</t>
        </is>
      </c>
      <c r="C2722" t="inlineStr">
        <is>
          <t>iPhone</t>
        </is>
      </c>
      <c r="D2722" t="inlineStr">
        <is>
          <t>Business</t>
        </is>
      </c>
      <c r="E2722" t="inlineStr">
        <is>
          <t>Business</t>
        </is>
      </c>
      <c r="F2722" t="inlineStr">
        <is>
          <t>Team Operations</t>
        </is>
      </c>
      <c r="G2722" t="inlineStr">
        <is>
          <t>Team Meal</t>
        </is>
      </c>
      <c r="H2722" t="inlineStr">
        <is>
          <t>Business &gt; Team Operations &gt; Quick Add &gt; Team Meal</t>
        </is>
      </c>
      <c r="I2722" s="18" t="n">
        <v>106016.66</v>
      </c>
      <c r="J2722" t="inlineStr">
        <is>
          <t>Created MTR-IOS-2721 and correlation note visible in Activity/Pulse</t>
        </is>
      </c>
      <c r="K2722" t="inlineStr">
        <is>
          <t>NOT_RUN</t>
        </is>
      </c>
      <c r="P2722" t="n">
        <v>0</v>
      </c>
      <c r="Q2722" t="n">
        <v>2721</v>
      </c>
    </row>
    <row r="2723">
      <c r="A2723" t="n">
        <v>2722</v>
      </c>
      <c r="B2723" t="inlineStr">
        <is>
          <t>MTR-IOS-2722</t>
        </is>
      </c>
      <c r="C2723" t="inlineStr">
        <is>
          <t>iPhone</t>
        </is>
      </c>
      <c r="D2723" t="inlineStr">
        <is>
          <t>Personal</t>
        </is>
      </c>
      <c r="E2723" t="inlineStr">
        <is>
          <t>Personal</t>
        </is>
      </c>
      <c r="F2723" t="inlineStr">
        <is>
          <t>Future Building</t>
        </is>
      </c>
      <c r="G2723" t="inlineStr">
        <is>
          <t>Education</t>
        </is>
      </c>
      <c r="H2723" t="inlineStr">
        <is>
          <t>Personal &gt; Future Building &gt; Quick Add &gt; Education</t>
        </is>
      </c>
      <c r="I2723" s="18" t="n">
        <v>9621.18</v>
      </c>
      <c r="J2723" t="inlineStr">
        <is>
          <t>Created MTR-IOS-2722 and correlation note visible in Activity/Pulse</t>
        </is>
      </c>
      <c r="K2723" t="inlineStr">
        <is>
          <t>NOT_RUN</t>
        </is>
      </c>
      <c r="P2723" t="n">
        <v>0</v>
      </c>
      <c r="Q2723" t="n">
        <v>2722</v>
      </c>
    </row>
    <row r="2724">
      <c r="A2724" t="n">
        <v>2723</v>
      </c>
      <c r="B2724" t="inlineStr">
        <is>
          <t>MTR-IOS-2723</t>
        </is>
      </c>
      <c r="C2724" t="inlineStr">
        <is>
          <t>iPhone</t>
        </is>
      </c>
      <c r="D2724" t="inlineStr">
        <is>
          <t>Group</t>
        </is>
      </c>
      <c r="E2724" t="inlineStr">
        <is>
          <t>Shared Purchase</t>
        </is>
      </c>
      <c r="F2724" t="inlineStr">
        <is>
          <t>Custom Purchase</t>
        </is>
      </c>
      <c r="G2724" t="inlineStr">
        <is>
          <t>Custom Expense</t>
        </is>
      </c>
      <c r="H2724" t="inlineStr">
        <is>
          <t>Group &gt; Custom Purchase &gt; Quick Add &gt; Custom Expense</t>
        </is>
      </c>
      <c r="I2724" s="18" t="n">
        <v>7163.52</v>
      </c>
      <c r="J2724" t="inlineStr">
        <is>
          <t>Created MTR-IOS-2723 and correlation note visible in Activity/Pulse</t>
        </is>
      </c>
      <c r="K2724" t="inlineStr">
        <is>
          <t>NOT_RUN</t>
        </is>
      </c>
      <c r="P2724" t="n">
        <v>0</v>
      </c>
      <c r="Q2724" t="n">
        <v>2723</v>
      </c>
    </row>
    <row r="2725">
      <c r="A2725" t="n">
        <v>2724</v>
      </c>
      <c r="B2725" t="inlineStr">
        <is>
          <t>MTR-IOS-2724</t>
        </is>
      </c>
      <c r="C2725" t="inlineStr">
        <is>
          <t>iPhone</t>
        </is>
      </c>
      <c r="D2725" t="inlineStr">
        <is>
          <t>Business</t>
        </is>
      </c>
      <c r="E2725" t="inlineStr">
        <is>
          <t>Business</t>
        </is>
      </c>
      <c r="F2725" t="inlineStr">
        <is>
          <t>Team Operations</t>
        </is>
      </c>
      <c r="G2725" t="inlineStr">
        <is>
          <t>Travel</t>
        </is>
      </c>
      <c r="H2725" t="inlineStr">
        <is>
          <t>Business &gt; Team Operations &gt; Quick Add &gt; Travel</t>
        </is>
      </c>
      <c r="I2725" s="18" t="n">
        <v>145436.2</v>
      </c>
      <c r="J2725" t="inlineStr">
        <is>
          <t>Created MTR-IOS-2724 and correlation note visible in Activity/Pulse</t>
        </is>
      </c>
      <c r="K2725" t="inlineStr">
        <is>
          <t>NOT_RUN</t>
        </is>
      </c>
      <c r="P2725" t="n">
        <v>0</v>
      </c>
      <c r="Q2725" t="n">
        <v>2724</v>
      </c>
    </row>
    <row r="2726">
      <c r="A2726" t="n">
        <v>2725</v>
      </c>
      <c r="B2726" t="inlineStr">
        <is>
          <t>MTR-IOS-2725</t>
        </is>
      </c>
      <c r="C2726" t="inlineStr">
        <is>
          <t>iPhone</t>
        </is>
      </c>
      <c r="D2726" t="inlineStr">
        <is>
          <t>Personal</t>
        </is>
      </c>
      <c r="E2726" t="inlineStr">
        <is>
          <t>Personal</t>
        </is>
      </c>
      <c r="F2726" t="inlineStr">
        <is>
          <t>Future Building</t>
        </is>
      </c>
      <c r="G2726" t="inlineStr">
        <is>
          <t>Goal Contribution</t>
        </is>
      </c>
      <c r="H2726" t="inlineStr">
        <is>
          <t>Personal &gt; Future Building &gt; Quick Add &gt; Goal Contribution</t>
        </is>
      </c>
      <c r="I2726" s="18" t="n">
        <v>11401.75</v>
      </c>
      <c r="J2726" t="inlineStr">
        <is>
          <t>Created MTR-IOS-2725 and correlation note visible in Activity/Pulse</t>
        </is>
      </c>
      <c r="K2726" t="inlineStr">
        <is>
          <t>NOT_RUN</t>
        </is>
      </c>
      <c r="P2726" t="n">
        <v>0</v>
      </c>
      <c r="Q2726" t="n">
        <v>2725</v>
      </c>
    </row>
    <row r="2727">
      <c r="A2727" t="n">
        <v>2726</v>
      </c>
      <c r="B2727" t="inlineStr">
        <is>
          <t>MTR-IOS-2726</t>
        </is>
      </c>
      <c r="C2727" t="inlineStr">
        <is>
          <t>iPhone</t>
        </is>
      </c>
      <c r="D2727" t="inlineStr">
        <is>
          <t>Group</t>
        </is>
      </c>
      <c r="E2727" t="inlineStr">
        <is>
          <t>Shared Purchase</t>
        </is>
      </c>
      <c r="F2727" t="inlineStr">
        <is>
          <t>Custom Purchase</t>
        </is>
      </c>
      <c r="G2727" t="inlineStr">
        <is>
          <t>Custom Contribution</t>
        </is>
      </c>
      <c r="H2727" t="inlineStr">
        <is>
          <t>Group &gt; Custom Purchase &gt; Quick Add &gt; Custom Contribution</t>
        </is>
      </c>
      <c r="I2727" s="18" t="n">
        <v>16976.24</v>
      </c>
      <c r="J2727" t="inlineStr">
        <is>
          <t>Created MTR-IOS-2726 and correlation note visible in Activity/Pulse</t>
        </is>
      </c>
      <c r="K2727" t="inlineStr">
        <is>
          <t>NOT_RUN</t>
        </is>
      </c>
      <c r="P2727" t="n">
        <v>0</v>
      </c>
      <c r="Q2727" t="n">
        <v>2726</v>
      </c>
    </row>
    <row r="2728">
      <c r="A2728" t="n">
        <v>2727</v>
      </c>
      <c r="B2728" t="inlineStr">
        <is>
          <t>MTR-IOS-2727</t>
        </is>
      </c>
      <c r="C2728" t="inlineStr">
        <is>
          <t>iPhone</t>
        </is>
      </c>
      <c r="D2728" t="inlineStr">
        <is>
          <t>Business</t>
        </is>
      </c>
      <c r="E2728" t="inlineStr">
        <is>
          <t>Business</t>
        </is>
      </c>
      <c r="F2728" t="inlineStr">
        <is>
          <t>Team Operations</t>
        </is>
      </c>
      <c r="G2728" t="inlineStr">
        <is>
          <t>Training</t>
        </is>
      </c>
      <c r="H2728" t="inlineStr">
        <is>
          <t>Business &gt; Team Operations &gt; Quick Add &gt; Training</t>
        </is>
      </c>
      <c r="I2728" s="18" t="n">
        <v>74317.12</v>
      </c>
      <c r="J2728" t="inlineStr">
        <is>
          <t>Created MTR-IOS-2727 and correlation note visible in Activity/Pulse</t>
        </is>
      </c>
      <c r="K2728" t="inlineStr">
        <is>
          <t>NOT_RUN</t>
        </is>
      </c>
      <c r="P2728" t="n">
        <v>0</v>
      </c>
      <c r="Q2728" t="n">
        <v>2727</v>
      </c>
    </row>
    <row r="2729">
      <c r="A2729" t="n">
        <v>2728</v>
      </c>
      <c r="B2729" t="inlineStr">
        <is>
          <t>MTR-IOS-2728</t>
        </is>
      </c>
      <c r="C2729" t="inlineStr">
        <is>
          <t>iPhone</t>
        </is>
      </c>
      <c r="D2729" t="inlineStr">
        <is>
          <t>Personal</t>
        </is>
      </c>
      <c r="E2729" t="inlineStr">
        <is>
          <t>Personal</t>
        </is>
      </c>
      <c r="F2729" t="inlineStr">
        <is>
          <t>Lifestyle</t>
        </is>
      </c>
      <c r="G2729" t="inlineStr">
        <is>
          <t>Dining</t>
        </is>
      </c>
      <c r="H2729" t="inlineStr">
        <is>
          <t>Personal &gt; Lifestyle &gt; Quick Add &gt; Dining</t>
        </is>
      </c>
      <c r="I2729" s="18" t="n">
        <v>6054.94</v>
      </c>
      <c r="J2729" t="inlineStr">
        <is>
          <t>Created MTR-IOS-2728 and correlation note visible in Activity/Pulse</t>
        </is>
      </c>
      <c r="K2729" t="inlineStr">
        <is>
          <t>NOT_RUN</t>
        </is>
      </c>
      <c r="P2729" t="n">
        <v>0</v>
      </c>
      <c r="Q2729" t="n">
        <v>2728</v>
      </c>
    </row>
    <row r="2730">
      <c r="A2730" t="n">
        <v>2729</v>
      </c>
      <c r="B2730" t="inlineStr">
        <is>
          <t>MTR-IOS-2729</t>
        </is>
      </c>
      <c r="C2730" t="inlineStr">
        <is>
          <t>iPhone</t>
        </is>
      </c>
      <c r="D2730" t="inlineStr">
        <is>
          <t>Group</t>
        </is>
      </c>
      <c r="E2730" t="inlineStr">
        <is>
          <t>Shared Living</t>
        </is>
      </c>
      <c r="F2730" t="inlineStr">
        <is>
          <t>Flatmates</t>
        </is>
      </c>
      <c r="G2730" t="inlineStr">
        <is>
          <t>Rent</t>
        </is>
      </c>
      <c r="H2730" t="inlineStr">
        <is>
          <t>Group &gt; Flatmates &gt; Quick Add &gt; Rent</t>
        </is>
      </c>
      <c r="I2730" s="18" t="n">
        <v>24181.51</v>
      </c>
      <c r="J2730" t="inlineStr">
        <is>
          <t>Created MTR-IOS-2729 and correlation note visible in Activity/Pulse</t>
        </is>
      </c>
      <c r="K2730" t="inlineStr">
        <is>
          <t>NOT_RUN</t>
        </is>
      </c>
      <c r="P2730" t="n">
        <v>0</v>
      </c>
      <c r="Q2730" t="n">
        <v>2729</v>
      </c>
    </row>
    <row r="2731">
      <c r="A2731" t="n">
        <v>2730</v>
      </c>
      <c r="B2731" t="inlineStr">
        <is>
          <t>MTR-IOS-2730</t>
        </is>
      </c>
      <c r="C2731" t="inlineStr">
        <is>
          <t>iPhone</t>
        </is>
      </c>
      <c r="D2731" t="inlineStr">
        <is>
          <t>Business</t>
        </is>
      </c>
      <c r="E2731" t="inlineStr">
        <is>
          <t>Business</t>
        </is>
      </c>
      <c r="F2731" t="inlineStr">
        <is>
          <t>Team Operations</t>
        </is>
      </c>
      <c r="G2731" t="inlineStr">
        <is>
          <t>Tools</t>
        </is>
      </c>
      <c r="H2731" t="inlineStr">
        <is>
          <t>Business &gt; Team Operations &gt; Quick Add &gt; Tools</t>
        </is>
      </c>
      <c r="I2731" s="18" t="n">
        <v>117280.61</v>
      </c>
      <c r="J2731" t="inlineStr">
        <is>
          <t>Created MTR-IOS-2730 and correlation note visible in Activity/Pulse</t>
        </is>
      </c>
      <c r="K2731" t="inlineStr">
        <is>
          <t>NOT_RUN</t>
        </is>
      </c>
      <c r="P2731" t="n">
        <v>0</v>
      </c>
      <c r="Q2731" t="n">
        <v>2730</v>
      </c>
    </row>
    <row r="2732">
      <c r="A2732" t="n">
        <v>2731</v>
      </c>
      <c r="B2732" t="inlineStr">
        <is>
          <t>MTR-IOS-2731</t>
        </is>
      </c>
      <c r="C2732" t="inlineStr">
        <is>
          <t>iPhone</t>
        </is>
      </c>
      <c r="D2732" t="inlineStr">
        <is>
          <t>Personal</t>
        </is>
      </c>
      <c r="E2732" t="inlineStr">
        <is>
          <t>Personal</t>
        </is>
      </c>
      <c r="F2732" t="inlineStr">
        <is>
          <t>Lifestyle</t>
        </is>
      </c>
      <c r="G2732" t="inlineStr">
        <is>
          <t>Shopping</t>
        </is>
      </c>
      <c r="H2732" t="inlineStr">
        <is>
          <t>Personal &gt; Lifestyle &gt; Quick Add &gt; Shopping</t>
        </is>
      </c>
      <c r="I2732" s="18" t="n">
        <v>7567.01</v>
      </c>
      <c r="J2732" t="inlineStr">
        <is>
          <t>Created MTR-IOS-2731 and correlation note visible in Activity/Pulse</t>
        </is>
      </c>
      <c r="K2732" t="inlineStr">
        <is>
          <t>NOT_RUN</t>
        </is>
      </c>
      <c r="P2732" t="n">
        <v>0</v>
      </c>
      <c r="Q2732" t="n">
        <v>2731</v>
      </c>
    </row>
    <row r="2733">
      <c r="A2733" t="n">
        <v>2732</v>
      </c>
      <c r="B2733" t="inlineStr">
        <is>
          <t>MTR-IOS-2732</t>
        </is>
      </c>
      <c r="C2733" t="inlineStr">
        <is>
          <t>iPhone</t>
        </is>
      </c>
      <c r="D2733" t="inlineStr">
        <is>
          <t>Group</t>
        </is>
      </c>
      <c r="E2733" t="inlineStr">
        <is>
          <t>Shared Living</t>
        </is>
      </c>
      <c r="F2733" t="inlineStr">
        <is>
          <t>Flatmates</t>
        </is>
      </c>
      <c r="G2733" t="inlineStr">
        <is>
          <t>Utilities</t>
        </is>
      </c>
      <c r="H2733" t="inlineStr">
        <is>
          <t>Group &gt; Flatmates &gt; Quick Add &gt; Utilities</t>
        </is>
      </c>
      <c r="I2733" s="18" t="n">
        <v>762.25</v>
      </c>
      <c r="J2733" t="inlineStr">
        <is>
          <t>Created MTR-IOS-2732 and correlation note visible in Activity/Pulse</t>
        </is>
      </c>
      <c r="K2733" t="inlineStr">
        <is>
          <t>NOT_RUN</t>
        </is>
      </c>
      <c r="P2733" t="n">
        <v>0</v>
      </c>
      <c r="Q2733" t="n">
        <v>2732</v>
      </c>
    </row>
    <row r="2734">
      <c r="A2734" t="n">
        <v>2733</v>
      </c>
      <c r="B2734" t="inlineStr">
        <is>
          <t>MTR-IOS-2733</t>
        </is>
      </c>
      <c r="C2734" t="inlineStr">
        <is>
          <t>iPhone</t>
        </is>
      </c>
      <c r="D2734" t="inlineStr">
        <is>
          <t>Business</t>
        </is>
      </c>
      <c r="E2734" t="inlineStr">
        <is>
          <t>Business</t>
        </is>
      </c>
      <c r="F2734" t="inlineStr">
        <is>
          <t>Business Runway</t>
        </is>
      </c>
      <c r="G2734" t="inlineStr">
        <is>
          <t>Funding</t>
        </is>
      </c>
      <c r="H2734" t="inlineStr">
        <is>
          <t>Business &gt; Business Runway &gt; Quick Add &gt; Funding</t>
        </is>
      </c>
      <c r="I2734" s="18" t="n">
        <v>46823.24</v>
      </c>
      <c r="J2734" t="inlineStr">
        <is>
          <t>Created MTR-IOS-2733 and correlation note visible in Activity/Pulse</t>
        </is>
      </c>
      <c r="K2734" t="inlineStr">
        <is>
          <t>NOT_RUN</t>
        </is>
      </c>
      <c r="P2734" t="n">
        <v>0</v>
      </c>
      <c r="Q2734" t="n">
        <v>2733</v>
      </c>
    </row>
    <row r="2735">
      <c r="A2735" t="n">
        <v>2734</v>
      </c>
      <c r="B2735" t="inlineStr">
        <is>
          <t>MTR-IOS-2734</t>
        </is>
      </c>
      <c r="C2735" t="inlineStr">
        <is>
          <t>iPhone</t>
        </is>
      </c>
      <c r="D2735" t="inlineStr">
        <is>
          <t>Personal</t>
        </is>
      </c>
      <c r="E2735" t="inlineStr">
        <is>
          <t>Personal</t>
        </is>
      </c>
      <c r="F2735" t="inlineStr">
        <is>
          <t>Lifestyle</t>
        </is>
      </c>
      <c r="G2735" t="inlineStr">
        <is>
          <t>Entertainment</t>
        </is>
      </c>
      <c r="H2735" t="inlineStr">
        <is>
          <t>Personal &gt; Lifestyle &gt; Quick Add &gt; Entertainment</t>
        </is>
      </c>
      <c r="I2735" s="18" t="n">
        <v>6359.98</v>
      </c>
      <c r="J2735" t="inlineStr">
        <is>
          <t>Created MTR-IOS-2734 and correlation note visible in Activity/Pulse</t>
        </is>
      </c>
      <c r="K2735" t="inlineStr">
        <is>
          <t>NOT_RUN</t>
        </is>
      </c>
      <c r="P2735" t="n">
        <v>0</v>
      </c>
      <c r="Q2735" t="n">
        <v>2734</v>
      </c>
    </row>
    <row r="2736">
      <c r="A2736" t="n">
        <v>2735</v>
      </c>
      <c r="B2736" t="inlineStr">
        <is>
          <t>MTR-IOS-2735</t>
        </is>
      </c>
      <c r="C2736" t="inlineStr">
        <is>
          <t>iPhone</t>
        </is>
      </c>
      <c r="D2736" t="inlineStr">
        <is>
          <t>Group</t>
        </is>
      </c>
      <c r="E2736" t="inlineStr">
        <is>
          <t>Shared Living</t>
        </is>
      </c>
      <c r="F2736" t="inlineStr">
        <is>
          <t>Flatmates</t>
        </is>
      </c>
      <c r="G2736" t="inlineStr">
        <is>
          <t>Groceries</t>
        </is>
      </c>
      <c r="H2736" t="inlineStr">
        <is>
          <t>Group &gt; Flatmates &gt; Quick Add &gt; Groceries</t>
        </is>
      </c>
      <c r="I2736" s="18" t="n">
        <v>8205.040000000001</v>
      </c>
      <c r="J2736" t="inlineStr">
        <is>
          <t>Created MTR-IOS-2735 and correlation note visible in Activity/Pulse</t>
        </is>
      </c>
      <c r="K2736" t="inlineStr">
        <is>
          <t>NOT_RUN</t>
        </is>
      </c>
      <c r="P2736" t="n">
        <v>0</v>
      </c>
      <c r="Q2736" t="n">
        <v>2735</v>
      </c>
    </row>
    <row r="2737">
      <c r="A2737" t="n">
        <v>2736</v>
      </c>
      <c r="B2737" t="inlineStr">
        <is>
          <t>MTR-IOS-2736</t>
        </is>
      </c>
      <c r="C2737" t="inlineStr">
        <is>
          <t>iPhone</t>
        </is>
      </c>
      <c r="D2737" t="inlineStr">
        <is>
          <t>Business</t>
        </is>
      </c>
      <c r="E2737" t="inlineStr">
        <is>
          <t>Business</t>
        </is>
      </c>
      <c r="F2737" t="inlineStr">
        <is>
          <t>Business Runway</t>
        </is>
      </c>
      <c r="G2737" t="inlineStr">
        <is>
          <t>Revenue</t>
        </is>
      </c>
      <c r="H2737" t="inlineStr">
        <is>
          <t>Business &gt; Business Runway &gt; Quick Add &gt; Revenue</t>
        </is>
      </c>
      <c r="I2737" s="18" t="n">
        <v>48652.75</v>
      </c>
      <c r="J2737" t="inlineStr">
        <is>
          <t>Created MTR-IOS-2736 and correlation note visible in Activity/Pulse</t>
        </is>
      </c>
      <c r="K2737" t="inlineStr">
        <is>
          <t>NOT_RUN</t>
        </is>
      </c>
      <c r="P2737" t="n">
        <v>0</v>
      </c>
      <c r="Q2737" t="n">
        <v>2736</v>
      </c>
    </row>
    <row r="2738">
      <c r="A2738" t="n">
        <v>2737</v>
      </c>
      <c r="B2738" t="inlineStr">
        <is>
          <t>MTR-IOS-2737</t>
        </is>
      </c>
      <c r="C2738" t="inlineStr">
        <is>
          <t>iPhone</t>
        </is>
      </c>
      <c r="D2738" t="inlineStr">
        <is>
          <t>Personal</t>
        </is>
      </c>
      <c r="E2738" t="inlineStr">
        <is>
          <t>Personal</t>
        </is>
      </c>
      <c r="F2738" t="inlineStr">
        <is>
          <t>Lifestyle</t>
        </is>
      </c>
      <c r="G2738" t="inlineStr">
        <is>
          <t>Travel</t>
        </is>
      </c>
      <c r="H2738" t="inlineStr">
        <is>
          <t>Personal &gt; Lifestyle &gt; Quick Add &gt; Travel</t>
        </is>
      </c>
      <c r="I2738" s="18" t="n">
        <v>1477.7</v>
      </c>
      <c r="J2738" t="inlineStr">
        <is>
          <t>Created MTR-IOS-2737 and correlation note visible in Activity/Pulse</t>
        </is>
      </c>
      <c r="K2738" t="inlineStr">
        <is>
          <t>NOT_RUN</t>
        </is>
      </c>
      <c r="P2738" t="n">
        <v>0</v>
      </c>
      <c r="Q2738" t="n">
        <v>2737</v>
      </c>
    </row>
    <row r="2739">
      <c r="A2739" t="n">
        <v>2738</v>
      </c>
      <c r="B2739" t="inlineStr">
        <is>
          <t>MTR-IOS-2738</t>
        </is>
      </c>
      <c r="C2739" t="inlineStr">
        <is>
          <t>iPhone</t>
        </is>
      </c>
      <c r="D2739" t="inlineStr">
        <is>
          <t>Group</t>
        </is>
      </c>
      <c r="E2739" t="inlineStr">
        <is>
          <t>Shared Living</t>
        </is>
      </c>
      <c r="F2739" t="inlineStr">
        <is>
          <t>Flatmates</t>
        </is>
      </c>
      <c r="G2739" t="inlineStr">
        <is>
          <t>Internet</t>
        </is>
      </c>
      <c r="H2739" t="inlineStr">
        <is>
          <t>Group &gt; Flatmates &gt; Quick Add &gt; Internet</t>
        </is>
      </c>
      <c r="I2739" s="18" t="n">
        <v>99.98999999999999</v>
      </c>
      <c r="J2739" t="inlineStr">
        <is>
          <t>Created MTR-IOS-2738 and correlation note visible in Activity/Pulse</t>
        </is>
      </c>
      <c r="K2739" t="inlineStr">
        <is>
          <t>NOT_RUN</t>
        </is>
      </c>
      <c r="P2739" t="n">
        <v>0</v>
      </c>
      <c r="Q2739" t="n">
        <v>2738</v>
      </c>
    </row>
    <row r="2740">
      <c r="A2740" t="n">
        <v>2739</v>
      </c>
      <c r="B2740" t="inlineStr">
        <is>
          <t>MTR-IOS-2739</t>
        </is>
      </c>
      <c r="C2740" t="inlineStr">
        <is>
          <t>iPhone</t>
        </is>
      </c>
      <c r="D2740" t="inlineStr">
        <is>
          <t>Business</t>
        </is>
      </c>
      <c r="E2740" t="inlineStr">
        <is>
          <t>Business</t>
        </is>
      </c>
      <c r="F2740" t="inlineStr">
        <is>
          <t>Business Runway</t>
        </is>
      </c>
      <c r="G2740" t="inlineStr">
        <is>
          <t>Burn</t>
        </is>
      </c>
      <c r="H2740" t="inlineStr">
        <is>
          <t>Business &gt; Business Runway &gt; Quick Add &gt; Burn</t>
        </is>
      </c>
      <c r="I2740" s="18" t="n">
        <v>31067.88</v>
      </c>
      <c r="J2740" t="inlineStr">
        <is>
          <t>Created MTR-IOS-2739 and correlation note visible in Activity/Pulse</t>
        </is>
      </c>
      <c r="K2740" t="inlineStr">
        <is>
          <t>NOT_RUN</t>
        </is>
      </c>
      <c r="P2740" t="n">
        <v>0</v>
      </c>
      <c r="Q2740" t="n">
        <v>2739</v>
      </c>
    </row>
    <row r="2741">
      <c r="A2741" t="n">
        <v>2740</v>
      </c>
      <c r="B2741" t="inlineStr">
        <is>
          <t>MTR-IOS-2740</t>
        </is>
      </c>
      <c r="C2741" t="inlineStr">
        <is>
          <t>iPhone</t>
        </is>
      </c>
      <c r="D2741" t="inlineStr">
        <is>
          <t>Personal</t>
        </is>
      </c>
      <c r="E2741" t="inlineStr">
        <is>
          <t>Personal</t>
        </is>
      </c>
      <c r="F2741" t="inlineStr">
        <is>
          <t>Lifestyle</t>
        </is>
      </c>
      <c r="G2741" t="inlineStr">
        <is>
          <t>Fitness</t>
        </is>
      </c>
      <c r="H2741" t="inlineStr">
        <is>
          <t>Personal &gt; Lifestyle &gt; Quick Add &gt; Fitness</t>
        </is>
      </c>
      <c r="I2741" s="18" t="n">
        <v>7578.3</v>
      </c>
      <c r="J2741" t="inlineStr">
        <is>
          <t>Created MTR-IOS-2740 and correlation note visible in Activity/Pulse</t>
        </is>
      </c>
      <c r="K2741" t="inlineStr">
        <is>
          <t>NOT_RUN</t>
        </is>
      </c>
      <c r="P2741" t="n">
        <v>0</v>
      </c>
      <c r="Q2741" t="n">
        <v>2740</v>
      </c>
    </row>
    <row r="2742">
      <c r="A2742" t="n">
        <v>2741</v>
      </c>
      <c r="B2742" t="inlineStr">
        <is>
          <t>MTR-IOS-2741</t>
        </is>
      </c>
      <c r="C2742" t="inlineStr">
        <is>
          <t>iPhone</t>
        </is>
      </c>
      <c r="D2742" t="inlineStr">
        <is>
          <t>Group</t>
        </is>
      </c>
      <c r="E2742" t="inlineStr">
        <is>
          <t>Shared Living</t>
        </is>
      </c>
      <c r="F2742" t="inlineStr">
        <is>
          <t>Flatmates</t>
        </is>
      </c>
      <c r="G2742" t="inlineStr">
        <is>
          <t>House Supplies</t>
        </is>
      </c>
      <c r="H2742" t="inlineStr">
        <is>
          <t>Group &gt; Flatmates &gt; Quick Add &gt; House Supplies</t>
        </is>
      </c>
      <c r="I2742" s="18" t="n">
        <v>7849.35</v>
      </c>
      <c r="J2742" t="inlineStr">
        <is>
          <t>Created MTR-IOS-2741 and correlation note visible in Activity/Pulse</t>
        </is>
      </c>
      <c r="K2742" t="inlineStr">
        <is>
          <t>NOT_RUN</t>
        </is>
      </c>
      <c r="P2742" t="n">
        <v>0</v>
      </c>
      <c r="Q2742" t="n">
        <v>2741</v>
      </c>
    </row>
    <row r="2743">
      <c r="A2743" t="n">
        <v>2742</v>
      </c>
      <c r="B2743" t="inlineStr">
        <is>
          <t>MTR-IOS-2742</t>
        </is>
      </c>
      <c r="C2743" t="inlineStr">
        <is>
          <t>iPhone</t>
        </is>
      </c>
      <c r="D2743" t="inlineStr">
        <is>
          <t>Business</t>
        </is>
      </c>
      <c r="E2743" t="inlineStr">
        <is>
          <t>Business</t>
        </is>
      </c>
      <c r="F2743" t="inlineStr">
        <is>
          <t>Business Runway</t>
        </is>
      </c>
      <c r="G2743" t="inlineStr">
        <is>
          <t>Reserve</t>
        </is>
      </c>
      <c r="H2743" t="inlineStr">
        <is>
          <t>Business &gt; Business Runway &gt; Quick Add &gt; Reserve</t>
        </is>
      </c>
      <c r="I2743" s="18" t="n">
        <v>53563.82</v>
      </c>
      <c r="J2743" t="inlineStr">
        <is>
          <t>Created MTR-IOS-2742 and correlation note visible in Activity/Pulse</t>
        </is>
      </c>
      <c r="K2743" t="inlineStr">
        <is>
          <t>NOT_RUN</t>
        </is>
      </c>
      <c r="P2743" t="n">
        <v>0</v>
      </c>
      <c r="Q2743" t="n">
        <v>2742</v>
      </c>
    </row>
    <row r="2744">
      <c r="A2744" t="n">
        <v>2743</v>
      </c>
      <c r="B2744" t="inlineStr">
        <is>
          <t>MTR-IOS-2743</t>
        </is>
      </c>
      <c r="C2744" t="inlineStr">
        <is>
          <t>iPhone</t>
        </is>
      </c>
      <c r="D2744" t="inlineStr">
        <is>
          <t>Personal</t>
        </is>
      </c>
      <c r="E2744" t="inlineStr">
        <is>
          <t>Personal</t>
        </is>
      </c>
      <c r="F2744" t="inlineStr">
        <is>
          <t>Lifestyle</t>
        </is>
      </c>
      <c r="G2744" t="inlineStr">
        <is>
          <t>Hobbies</t>
        </is>
      </c>
      <c r="H2744" t="inlineStr">
        <is>
          <t>Personal &gt; Lifestyle &gt; Quick Add &gt; Hobbies</t>
        </is>
      </c>
      <c r="I2744" s="18" t="n">
        <v>7200.07</v>
      </c>
      <c r="J2744" t="inlineStr">
        <is>
          <t>Created MTR-IOS-2743 and correlation note visible in Activity/Pulse</t>
        </is>
      </c>
      <c r="K2744" t="inlineStr">
        <is>
          <t>NOT_RUN</t>
        </is>
      </c>
      <c r="P2744" t="n">
        <v>0</v>
      </c>
      <c r="Q2744" t="n">
        <v>2743</v>
      </c>
    </row>
    <row r="2745">
      <c r="A2745" t="n">
        <v>2744</v>
      </c>
      <c r="B2745" t="inlineStr">
        <is>
          <t>MTR-IOS-2744</t>
        </is>
      </c>
      <c r="C2745" t="inlineStr">
        <is>
          <t>iPhone</t>
        </is>
      </c>
      <c r="D2745" t="inlineStr">
        <is>
          <t>Group</t>
        </is>
      </c>
      <c r="E2745" t="inlineStr">
        <is>
          <t>Shared Living</t>
        </is>
      </c>
      <c r="F2745" t="inlineStr">
        <is>
          <t>Flatmates</t>
        </is>
      </c>
      <c r="G2745" t="inlineStr">
        <is>
          <t>Repairs</t>
        </is>
      </c>
      <c r="H2745" t="inlineStr">
        <is>
          <t>Group &gt; Flatmates &gt; Quick Add &gt; Repairs</t>
        </is>
      </c>
      <c r="I2745" s="18" t="n">
        <v>3479.7</v>
      </c>
      <c r="J2745" t="inlineStr">
        <is>
          <t>Created MTR-IOS-2744 and correlation note visible in Activity/Pulse</t>
        </is>
      </c>
      <c r="K2745" t="inlineStr">
        <is>
          <t>NOT_RUN</t>
        </is>
      </c>
      <c r="P2745" t="n">
        <v>0</v>
      </c>
      <c r="Q2745" t="n">
        <v>2744</v>
      </c>
    </row>
    <row r="2746">
      <c r="A2746" t="n">
        <v>2745</v>
      </c>
      <c r="B2746" t="inlineStr">
        <is>
          <t>MTR-IOS-2745</t>
        </is>
      </c>
      <c r="C2746" t="inlineStr">
        <is>
          <t>iPhone</t>
        </is>
      </c>
      <c r="D2746" t="inlineStr">
        <is>
          <t>Business</t>
        </is>
      </c>
      <c r="E2746" t="inlineStr">
        <is>
          <t>Business</t>
        </is>
      </c>
      <c r="F2746" t="inlineStr">
        <is>
          <t>Business Runway</t>
        </is>
      </c>
      <c r="G2746" t="inlineStr">
        <is>
          <t>Loan</t>
        </is>
      </c>
      <c r="H2746" t="inlineStr">
        <is>
          <t>Business &gt; Business Runway &gt; Quick Add &gt; Loan</t>
        </is>
      </c>
      <c r="I2746" s="18" t="n">
        <v>53629.72</v>
      </c>
      <c r="J2746" t="inlineStr">
        <is>
          <t>Created MTR-IOS-2745 and correlation note visible in Activity/Pulse</t>
        </is>
      </c>
      <c r="K2746" t="inlineStr">
        <is>
          <t>NOT_RUN</t>
        </is>
      </c>
      <c r="P2746" t="n">
        <v>0</v>
      </c>
      <c r="Q2746" t="n">
        <v>2745</v>
      </c>
    </row>
    <row r="2747">
      <c r="A2747" t="n">
        <v>2746</v>
      </c>
      <c r="B2747" t="inlineStr">
        <is>
          <t>MTR-IOS-2746</t>
        </is>
      </c>
      <c r="C2747" t="inlineStr">
        <is>
          <t>iPhone</t>
        </is>
      </c>
      <c r="D2747" t="inlineStr">
        <is>
          <t>Personal</t>
        </is>
      </c>
      <c r="E2747" t="inlineStr">
        <is>
          <t>Personal</t>
        </is>
      </c>
      <c r="F2747" t="inlineStr">
        <is>
          <t>Relationships</t>
        </is>
      </c>
      <c r="G2747" t="inlineStr">
        <is>
          <t>Gifts</t>
        </is>
      </c>
      <c r="H2747" t="inlineStr">
        <is>
          <t>Personal &gt; Relationships &gt; Quick Add &gt; Gifts</t>
        </is>
      </c>
      <c r="I2747" s="18" t="n">
        <v>9410.469999999999</v>
      </c>
      <c r="J2747" t="inlineStr">
        <is>
          <t>Created MTR-IOS-2746 and correlation note visible in Activity/Pulse</t>
        </is>
      </c>
      <c r="K2747" t="inlineStr">
        <is>
          <t>NOT_RUN</t>
        </is>
      </c>
      <c r="P2747" t="n">
        <v>0</v>
      </c>
      <c r="Q2747" t="n">
        <v>2746</v>
      </c>
    </row>
    <row r="2748">
      <c r="A2748" t="n">
        <v>2747</v>
      </c>
      <c r="B2748" t="inlineStr">
        <is>
          <t>MTR-IOS-2747</t>
        </is>
      </c>
      <c r="C2748" t="inlineStr">
        <is>
          <t>iPhone</t>
        </is>
      </c>
      <c r="D2748" t="inlineStr">
        <is>
          <t>Group</t>
        </is>
      </c>
      <c r="E2748" t="inlineStr">
        <is>
          <t>Shared Living</t>
        </is>
      </c>
      <c r="F2748" t="inlineStr">
        <is>
          <t>Shared Living</t>
        </is>
      </c>
      <c r="G2748" t="inlineStr">
        <is>
          <t>Rent</t>
        </is>
      </c>
      <c r="H2748" t="inlineStr">
        <is>
          <t>Group &gt; Shared Living &gt; Quick Add &gt; Rent</t>
        </is>
      </c>
      <c r="I2748" s="18" t="n">
        <v>26313.06</v>
      </c>
      <c r="J2748" t="inlineStr">
        <is>
          <t>Created MTR-IOS-2747 and correlation note visible in Activity/Pulse</t>
        </is>
      </c>
      <c r="K2748" t="inlineStr">
        <is>
          <t>NOT_RUN</t>
        </is>
      </c>
      <c r="P2748" t="n">
        <v>0</v>
      </c>
      <c r="Q2748" t="n">
        <v>2747</v>
      </c>
    </row>
    <row r="2749">
      <c r="A2749" t="n">
        <v>2748</v>
      </c>
      <c r="B2749" t="inlineStr">
        <is>
          <t>MTR-IOS-2748</t>
        </is>
      </c>
      <c r="C2749" t="inlineStr">
        <is>
          <t>iPhone</t>
        </is>
      </c>
      <c r="D2749" t="inlineStr">
        <is>
          <t>Business</t>
        </is>
      </c>
      <c r="E2749" t="inlineStr">
        <is>
          <t>Business</t>
        </is>
      </c>
      <c r="F2749" t="inlineStr">
        <is>
          <t>Business Runway</t>
        </is>
      </c>
      <c r="G2749" t="inlineStr">
        <is>
          <t>Investment</t>
        </is>
      </c>
      <c r="H2749" t="inlineStr">
        <is>
          <t>Business &gt; Business Runway &gt; Quick Add &gt; Investment</t>
        </is>
      </c>
      <c r="I2749" s="18" t="n">
        <v>125131.73</v>
      </c>
      <c r="J2749" t="inlineStr">
        <is>
          <t>Created MTR-IOS-2748 and correlation note visible in Activity/Pulse</t>
        </is>
      </c>
      <c r="K2749" t="inlineStr">
        <is>
          <t>NOT_RUN</t>
        </is>
      </c>
      <c r="P2749" t="n">
        <v>0</v>
      </c>
      <c r="Q2749" t="n">
        <v>2748</v>
      </c>
    </row>
    <row r="2750">
      <c r="A2750" t="n">
        <v>2749</v>
      </c>
      <c r="B2750" t="inlineStr">
        <is>
          <t>MTR-IOS-2749</t>
        </is>
      </c>
      <c r="C2750" t="inlineStr">
        <is>
          <t>iPhone</t>
        </is>
      </c>
      <c r="D2750" t="inlineStr">
        <is>
          <t>Personal</t>
        </is>
      </c>
      <c r="E2750" t="inlineStr">
        <is>
          <t>Personal</t>
        </is>
      </c>
      <c r="F2750" t="inlineStr">
        <is>
          <t>Relationships</t>
        </is>
      </c>
      <c r="G2750" t="inlineStr">
        <is>
          <t>Dates</t>
        </is>
      </c>
      <c r="H2750" t="inlineStr">
        <is>
          <t>Personal &gt; Relationships &gt; Quick Add &gt; Dates</t>
        </is>
      </c>
      <c r="I2750" s="18" t="n">
        <v>12064.78</v>
      </c>
      <c r="J2750" t="inlineStr">
        <is>
          <t>Created MTR-IOS-2749 and correlation note visible in Activity/Pulse</t>
        </is>
      </c>
      <c r="K2750" t="inlineStr">
        <is>
          <t>NOT_RUN</t>
        </is>
      </c>
      <c r="P2750" t="n">
        <v>0</v>
      </c>
      <c r="Q2750" t="n">
        <v>2749</v>
      </c>
    </row>
    <row r="2751">
      <c r="A2751" t="n">
        <v>2750</v>
      </c>
      <c r="B2751" t="inlineStr">
        <is>
          <t>MTR-IOS-2750</t>
        </is>
      </c>
      <c r="C2751" t="inlineStr">
        <is>
          <t>iPhone</t>
        </is>
      </c>
      <c r="D2751" t="inlineStr">
        <is>
          <t>Group</t>
        </is>
      </c>
      <c r="E2751" t="inlineStr">
        <is>
          <t>Shared Living</t>
        </is>
      </c>
      <c r="F2751" t="inlineStr">
        <is>
          <t>Shared Living</t>
        </is>
      </c>
      <c r="G2751" t="inlineStr">
        <is>
          <t>Utilities</t>
        </is>
      </c>
      <c r="H2751" t="inlineStr">
        <is>
          <t>Group &gt; Shared Living &gt; Quick Add &gt; Utilities</t>
        </is>
      </c>
      <c r="I2751" s="18" t="n">
        <v>20035.65</v>
      </c>
      <c r="J2751" t="inlineStr">
        <is>
          <t>Created MTR-IOS-2750 and correlation note visible in Activity/Pulse</t>
        </is>
      </c>
      <c r="K2751" t="inlineStr">
        <is>
          <t>NOT_RUN</t>
        </is>
      </c>
      <c r="P2751" t="n">
        <v>0</v>
      </c>
      <c r="Q2751" t="n">
        <v>2750</v>
      </c>
    </row>
    <row r="2752">
      <c r="A2752" t="n">
        <v>2751</v>
      </c>
      <c r="B2752" t="inlineStr">
        <is>
          <t>MTR-IOS-2751</t>
        </is>
      </c>
      <c r="C2752" t="inlineStr">
        <is>
          <t>iPhone</t>
        </is>
      </c>
      <c r="D2752" t="inlineStr">
        <is>
          <t>Business</t>
        </is>
      </c>
      <c r="E2752" t="inlineStr">
        <is>
          <t>Business</t>
        </is>
      </c>
      <c r="F2752" t="inlineStr">
        <is>
          <t>Business Operations</t>
        </is>
      </c>
      <c r="G2752" t="inlineStr">
        <is>
          <t>Software</t>
        </is>
      </c>
      <c r="H2752" t="inlineStr">
        <is>
          <t>Business &gt; Business Operations &gt; Quick Add &gt; Software</t>
        </is>
      </c>
      <c r="I2752" s="18" t="n">
        <v>148082.6</v>
      </c>
      <c r="J2752" t="inlineStr">
        <is>
          <t>Created MTR-IOS-2751 and correlation note visible in Activity/Pulse</t>
        </is>
      </c>
      <c r="K2752" t="inlineStr">
        <is>
          <t>NOT_RUN</t>
        </is>
      </c>
      <c r="P2752" t="n">
        <v>0</v>
      </c>
      <c r="Q2752" t="n">
        <v>2751</v>
      </c>
    </row>
    <row r="2753">
      <c r="A2753" t="n">
        <v>2752</v>
      </c>
      <c r="B2753" t="inlineStr">
        <is>
          <t>MTR-IOS-2752</t>
        </is>
      </c>
      <c r="C2753" t="inlineStr">
        <is>
          <t>iPhone</t>
        </is>
      </c>
      <c r="D2753" t="inlineStr">
        <is>
          <t>Personal</t>
        </is>
      </c>
      <c r="E2753" t="inlineStr">
        <is>
          <t>Personal</t>
        </is>
      </c>
      <c r="F2753" t="inlineStr">
        <is>
          <t>Relationships</t>
        </is>
      </c>
      <c r="G2753" t="inlineStr">
        <is>
          <t>Family</t>
        </is>
      </c>
      <c r="H2753" t="inlineStr">
        <is>
          <t>Personal &gt; Relationships &gt; Quick Add &gt; Family</t>
        </is>
      </c>
      <c r="I2753" s="18" t="n">
        <v>7496.82</v>
      </c>
      <c r="J2753" t="inlineStr">
        <is>
          <t>Created MTR-IOS-2752 and correlation note visible in Activity/Pulse</t>
        </is>
      </c>
      <c r="K2753" t="inlineStr">
        <is>
          <t>NOT_RUN</t>
        </is>
      </c>
      <c r="P2753" t="n">
        <v>0</v>
      </c>
      <c r="Q2753" t="n">
        <v>2752</v>
      </c>
    </row>
    <row r="2754">
      <c r="A2754" t="n">
        <v>2753</v>
      </c>
      <c r="B2754" t="inlineStr">
        <is>
          <t>MTR-IOS-2753</t>
        </is>
      </c>
      <c r="C2754" t="inlineStr">
        <is>
          <t>iPhone</t>
        </is>
      </c>
      <c r="D2754" t="inlineStr">
        <is>
          <t>Group</t>
        </is>
      </c>
      <c r="E2754" t="inlineStr">
        <is>
          <t>Shared Living</t>
        </is>
      </c>
      <c r="F2754" t="inlineStr">
        <is>
          <t>Shared Living</t>
        </is>
      </c>
      <c r="G2754" t="inlineStr">
        <is>
          <t>Groceries</t>
        </is>
      </c>
      <c r="H2754" t="inlineStr">
        <is>
          <t>Group &gt; Shared Living &gt; Quick Add &gt; Groceries</t>
        </is>
      </c>
      <c r="I2754" s="18" t="n">
        <v>3769.1</v>
      </c>
      <c r="J2754" t="inlineStr">
        <is>
          <t>Created MTR-IOS-2753 and correlation note visible in Activity/Pulse</t>
        </is>
      </c>
      <c r="K2754" t="inlineStr">
        <is>
          <t>NOT_RUN</t>
        </is>
      </c>
      <c r="P2754" t="n">
        <v>0</v>
      </c>
      <c r="Q2754" t="n">
        <v>2753</v>
      </c>
    </row>
    <row r="2755">
      <c r="A2755" t="n">
        <v>2754</v>
      </c>
      <c r="B2755" t="inlineStr">
        <is>
          <t>MTR-IOS-2754</t>
        </is>
      </c>
      <c r="C2755" t="inlineStr">
        <is>
          <t>iPhone</t>
        </is>
      </c>
      <c r="D2755" t="inlineStr">
        <is>
          <t>Business</t>
        </is>
      </c>
      <c r="E2755" t="inlineStr">
        <is>
          <t>Business</t>
        </is>
      </c>
      <c r="F2755" t="inlineStr">
        <is>
          <t>Business Operations</t>
        </is>
      </c>
      <c r="G2755" t="inlineStr">
        <is>
          <t>Rent</t>
        </is>
      </c>
      <c r="H2755" t="inlineStr">
        <is>
          <t>Business &gt; Business Operations &gt; Quick Add &gt; Rent</t>
        </is>
      </c>
      <c r="I2755" s="18" t="n">
        <v>141074.86</v>
      </c>
      <c r="J2755" t="inlineStr">
        <is>
          <t>Created MTR-IOS-2754 and correlation note visible in Activity/Pulse</t>
        </is>
      </c>
      <c r="K2755" t="inlineStr">
        <is>
          <t>NOT_RUN</t>
        </is>
      </c>
      <c r="P2755" t="n">
        <v>0</v>
      </c>
      <c r="Q2755" t="n">
        <v>2754</v>
      </c>
    </row>
    <row r="2756">
      <c r="A2756" t="n">
        <v>2755</v>
      </c>
      <c r="B2756" t="inlineStr">
        <is>
          <t>MTR-IOS-2755</t>
        </is>
      </c>
      <c r="C2756" t="inlineStr">
        <is>
          <t>iPhone</t>
        </is>
      </c>
      <c r="D2756" t="inlineStr">
        <is>
          <t>Personal</t>
        </is>
      </c>
      <c r="E2756" t="inlineStr">
        <is>
          <t>Personal</t>
        </is>
      </c>
      <c r="F2756" t="inlineStr">
        <is>
          <t>Relationships</t>
        </is>
      </c>
      <c r="G2756" t="inlineStr">
        <is>
          <t>Friends</t>
        </is>
      </c>
      <c r="H2756" t="inlineStr">
        <is>
          <t>Personal &gt; Relationships &gt; Quick Add &gt; Friends</t>
        </is>
      </c>
      <c r="I2756" s="18" t="n">
        <v>13667.77</v>
      </c>
      <c r="J2756" t="inlineStr">
        <is>
          <t>Created MTR-IOS-2755 and correlation note visible in Activity/Pulse</t>
        </is>
      </c>
      <c r="K2756" t="inlineStr">
        <is>
          <t>NOT_RUN</t>
        </is>
      </c>
      <c r="P2756" t="n">
        <v>0</v>
      </c>
      <c r="Q2756" t="n">
        <v>2755</v>
      </c>
    </row>
    <row r="2757">
      <c r="A2757" t="n">
        <v>2756</v>
      </c>
      <c r="B2757" t="inlineStr">
        <is>
          <t>MTR-IOS-2756</t>
        </is>
      </c>
      <c r="C2757" t="inlineStr">
        <is>
          <t>iPhone</t>
        </is>
      </c>
      <c r="D2757" t="inlineStr">
        <is>
          <t>Group</t>
        </is>
      </c>
      <c r="E2757" t="inlineStr">
        <is>
          <t>Shared Living</t>
        </is>
      </c>
      <c r="F2757" t="inlineStr">
        <is>
          <t>Shared Living</t>
        </is>
      </c>
      <c r="G2757" t="inlineStr">
        <is>
          <t>Maintenance</t>
        </is>
      </c>
      <c r="H2757" t="inlineStr">
        <is>
          <t>Group &gt; Shared Living &gt; Quick Add &gt; Maintenance</t>
        </is>
      </c>
      <c r="I2757" s="18" t="n">
        <v>7137.5</v>
      </c>
      <c r="J2757" t="inlineStr">
        <is>
          <t>Created MTR-IOS-2756 and correlation note visible in Activity/Pulse</t>
        </is>
      </c>
      <c r="K2757" t="inlineStr">
        <is>
          <t>NOT_RUN</t>
        </is>
      </c>
      <c r="P2757" t="n">
        <v>0</v>
      </c>
      <c r="Q2757" t="n">
        <v>2756</v>
      </c>
    </row>
    <row r="2758">
      <c r="A2758" t="n">
        <v>2757</v>
      </c>
      <c r="B2758" t="inlineStr">
        <is>
          <t>MTR-IOS-2757</t>
        </is>
      </c>
      <c r="C2758" t="inlineStr">
        <is>
          <t>iPhone</t>
        </is>
      </c>
      <c r="D2758" t="inlineStr">
        <is>
          <t>Business</t>
        </is>
      </c>
      <c r="E2758" t="inlineStr">
        <is>
          <t>Business</t>
        </is>
      </c>
      <c r="F2758" t="inlineStr">
        <is>
          <t>Business Operations</t>
        </is>
      </c>
      <c r="G2758" t="inlineStr">
        <is>
          <t>Marketing</t>
        </is>
      </c>
      <c r="H2758" t="inlineStr">
        <is>
          <t>Business &gt; Business Operations &gt; Quick Add &gt; Marketing</t>
        </is>
      </c>
      <c r="I2758" s="18" t="n">
        <v>145515.27</v>
      </c>
      <c r="J2758" t="inlineStr">
        <is>
          <t>Created MTR-IOS-2757 and correlation note visible in Activity/Pulse</t>
        </is>
      </c>
      <c r="K2758" t="inlineStr">
        <is>
          <t>NOT_RUN</t>
        </is>
      </c>
      <c r="P2758" t="n">
        <v>0</v>
      </c>
      <c r="Q2758" t="n">
        <v>2757</v>
      </c>
    </row>
    <row r="2759">
      <c r="A2759" t="n">
        <v>2758</v>
      </c>
      <c r="B2759" t="inlineStr">
        <is>
          <t>MTR-IOS-2758</t>
        </is>
      </c>
      <c r="C2759" t="inlineStr">
        <is>
          <t>iPhone</t>
        </is>
      </c>
      <c r="D2759" t="inlineStr">
        <is>
          <t>Personal</t>
        </is>
      </c>
      <c r="E2759" t="inlineStr">
        <is>
          <t>Personal</t>
        </is>
      </c>
      <c r="F2759" t="inlineStr">
        <is>
          <t>Relationships</t>
        </is>
      </c>
      <c r="G2759" t="inlineStr">
        <is>
          <t>Celebrations</t>
        </is>
      </c>
      <c r="H2759" t="inlineStr">
        <is>
          <t>Personal &gt; Relationships &gt; Quick Add &gt; Celebrations</t>
        </is>
      </c>
      <c r="I2759" s="18" t="n">
        <v>3872.85</v>
      </c>
      <c r="J2759" t="inlineStr">
        <is>
          <t>Created MTR-IOS-2758 and correlation note visible in Activity/Pulse</t>
        </is>
      </c>
      <c r="K2759" t="inlineStr">
        <is>
          <t>NOT_RUN</t>
        </is>
      </c>
      <c r="P2759" t="n">
        <v>0</v>
      </c>
      <c r="Q2759" t="n">
        <v>2758</v>
      </c>
    </row>
    <row r="2760">
      <c r="A2760" t="n">
        <v>2759</v>
      </c>
      <c r="B2760" t="inlineStr">
        <is>
          <t>MTR-IOS-2759</t>
        </is>
      </c>
      <c r="C2760" t="inlineStr">
        <is>
          <t>iPhone</t>
        </is>
      </c>
      <c r="D2760" t="inlineStr">
        <is>
          <t>Group</t>
        </is>
      </c>
      <c r="E2760" t="inlineStr">
        <is>
          <t>Shared Living</t>
        </is>
      </c>
      <c r="F2760" t="inlineStr">
        <is>
          <t>Shared Living</t>
        </is>
      </c>
      <c r="G2760" t="inlineStr">
        <is>
          <t>Other</t>
        </is>
      </c>
      <c r="H2760" t="inlineStr">
        <is>
          <t>Group &gt; Shared Living &gt; Quick Add &gt; Other</t>
        </is>
      </c>
      <c r="I2760" s="18" t="n">
        <v>21814.23</v>
      </c>
      <c r="J2760" t="inlineStr">
        <is>
          <t>Created MTR-IOS-2759 and correlation note visible in Activity/Pulse</t>
        </is>
      </c>
      <c r="K2760" t="inlineStr">
        <is>
          <t>NOT_RUN</t>
        </is>
      </c>
      <c r="P2760" t="n">
        <v>0</v>
      </c>
      <c r="Q2760" t="n">
        <v>2759</v>
      </c>
    </row>
    <row r="2761">
      <c r="A2761" t="n">
        <v>2760</v>
      </c>
      <c r="B2761" t="inlineStr">
        <is>
          <t>MTR-IOS-2760</t>
        </is>
      </c>
      <c r="C2761" t="inlineStr">
        <is>
          <t>iPhone</t>
        </is>
      </c>
      <c r="D2761" t="inlineStr">
        <is>
          <t>Business</t>
        </is>
      </c>
      <c r="E2761" t="inlineStr">
        <is>
          <t>Business</t>
        </is>
      </c>
      <c r="F2761" t="inlineStr">
        <is>
          <t>Business Operations</t>
        </is>
      </c>
      <c r="G2761" t="inlineStr">
        <is>
          <t>Legal</t>
        </is>
      </c>
      <c r="H2761" t="inlineStr">
        <is>
          <t>Business &gt; Business Operations &gt; Quick Add &gt; Legal</t>
        </is>
      </c>
      <c r="I2761" s="18" t="n">
        <v>66625.52</v>
      </c>
      <c r="J2761" t="inlineStr">
        <is>
          <t>Created MTR-IOS-2760 and correlation note visible in Activity/Pulse</t>
        </is>
      </c>
      <c r="K2761" t="inlineStr">
        <is>
          <t>NOT_RUN</t>
        </is>
      </c>
      <c r="P2761" t="n">
        <v>0</v>
      </c>
      <c r="Q2761" t="n">
        <v>2760</v>
      </c>
    </row>
    <row r="2762">
      <c r="A2762" t="n">
        <v>2761</v>
      </c>
      <c r="B2762" t="inlineStr">
        <is>
          <t>MTR-IOS-2761</t>
        </is>
      </c>
      <c r="C2762" t="inlineStr">
        <is>
          <t>iPhone</t>
        </is>
      </c>
      <c r="D2762" t="inlineStr">
        <is>
          <t>Personal</t>
        </is>
      </c>
      <c r="E2762" t="inlineStr">
        <is>
          <t>Personal</t>
        </is>
      </c>
      <c r="F2762" t="inlineStr">
        <is>
          <t>Life Operations</t>
        </is>
      </c>
      <c r="G2762" t="inlineStr">
        <is>
          <t>Groceries</t>
        </is>
      </c>
      <c r="H2762" t="inlineStr">
        <is>
          <t>Personal &gt; Life Operations &gt; Quick Add &gt; Groceries</t>
        </is>
      </c>
      <c r="I2762" s="18" t="n">
        <v>16650.13</v>
      </c>
      <c r="J2762" t="inlineStr">
        <is>
          <t>Created MTR-IOS-2761 and correlation note visible in Activity/Pulse</t>
        </is>
      </c>
      <c r="K2762" t="inlineStr">
        <is>
          <t>NOT_RUN</t>
        </is>
      </c>
      <c r="P2762" t="n">
        <v>0</v>
      </c>
      <c r="Q2762" t="n">
        <v>2761</v>
      </c>
    </row>
    <row r="2763">
      <c r="A2763" t="n">
        <v>2762</v>
      </c>
      <c r="B2763" t="inlineStr">
        <is>
          <t>MTR-IOS-2762</t>
        </is>
      </c>
      <c r="C2763" t="inlineStr">
        <is>
          <t>iPhone</t>
        </is>
      </c>
      <c r="D2763" t="inlineStr">
        <is>
          <t>Group</t>
        </is>
      </c>
      <c r="E2763" t="inlineStr">
        <is>
          <t>Shared Living</t>
        </is>
      </c>
      <c r="F2763" t="inlineStr">
        <is>
          <t>Family Household</t>
        </is>
      </c>
      <c r="G2763" t="inlineStr">
        <is>
          <t>Groceries</t>
        </is>
      </c>
      <c r="H2763" t="inlineStr">
        <is>
          <t>Group &gt; Family Household &gt; Quick Add &gt; Groceries</t>
        </is>
      </c>
      <c r="I2763" s="18" t="n">
        <v>6107.85</v>
      </c>
      <c r="J2763" t="inlineStr">
        <is>
          <t>Created MTR-IOS-2762 and correlation note visible in Activity/Pulse</t>
        </is>
      </c>
      <c r="K2763" t="inlineStr">
        <is>
          <t>NOT_RUN</t>
        </is>
      </c>
      <c r="P2763" t="n">
        <v>0</v>
      </c>
      <c r="Q2763" t="n">
        <v>2762</v>
      </c>
    </row>
    <row r="2764">
      <c r="A2764" t="n">
        <v>2763</v>
      </c>
      <c r="B2764" t="inlineStr">
        <is>
          <t>MTR-IOS-2763</t>
        </is>
      </c>
      <c r="C2764" t="inlineStr">
        <is>
          <t>iPhone</t>
        </is>
      </c>
      <c r="D2764" t="inlineStr">
        <is>
          <t>Business</t>
        </is>
      </c>
      <c r="E2764" t="inlineStr">
        <is>
          <t>Business</t>
        </is>
      </c>
      <c r="F2764" t="inlineStr">
        <is>
          <t>Business Operations</t>
        </is>
      </c>
      <c r="G2764" t="inlineStr">
        <is>
          <t>Accounting</t>
        </is>
      </c>
      <c r="H2764" t="inlineStr">
        <is>
          <t>Business &gt; Business Operations &gt; Quick Add &gt; Accounting</t>
        </is>
      </c>
      <c r="I2764" s="18" t="n">
        <v>18750.04</v>
      </c>
      <c r="J2764" t="inlineStr">
        <is>
          <t>Created MTR-IOS-2763 and correlation note visible in Activity/Pulse</t>
        </is>
      </c>
      <c r="K2764" t="inlineStr">
        <is>
          <t>NOT_RUN</t>
        </is>
      </c>
      <c r="P2764" t="n">
        <v>0</v>
      </c>
      <c r="Q2764" t="n">
        <v>2763</v>
      </c>
    </row>
    <row r="2765">
      <c r="A2765" t="n">
        <v>2764</v>
      </c>
      <c r="B2765" t="inlineStr">
        <is>
          <t>MTR-IOS-2764</t>
        </is>
      </c>
      <c r="C2765" t="inlineStr">
        <is>
          <t>iPhone</t>
        </is>
      </c>
      <c r="D2765" t="inlineStr">
        <is>
          <t>Personal</t>
        </is>
      </c>
      <c r="E2765" t="inlineStr">
        <is>
          <t>Personal</t>
        </is>
      </c>
      <c r="F2765" t="inlineStr">
        <is>
          <t>Life Operations</t>
        </is>
      </c>
      <c r="G2765" t="inlineStr">
        <is>
          <t>Rent</t>
        </is>
      </c>
      <c r="H2765" t="inlineStr">
        <is>
          <t>Personal &gt; Life Operations &gt; Quick Add &gt; Rent</t>
        </is>
      </c>
      <c r="I2765" s="18" t="n">
        <v>13123.41</v>
      </c>
      <c r="J2765" t="inlineStr">
        <is>
          <t>Created MTR-IOS-2764 and correlation note visible in Activity/Pulse</t>
        </is>
      </c>
      <c r="K2765" t="inlineStr">
        <is>
          <t>NOT_RUN</t>
        </is>
      </c>
      <c r="P2765" t="n">
        <v>0</v>
      </c>
      <c r="Q2765" t="n">
        <v>2764</v>
      </c>
    </row>
    <row r="2766">
      <c r="A2766" t="n">
        <v>2765</v>
      </c>
      <c r="B2766" t="inlineStr">
        <is>
          <t>MTR-IOS-2765</t>
        </is>
      </c>
      <c r="C2766" t="inlineStr">
        <is>
          <t>iPhone</t>
        </is>
      </c>
      <c r="D2766" t="inlineStr">
        <is>
          <t>Group</t>
        </is>
      </c>
      <c r="E2766" t="inlineStr">
        <is>
          <t>Shared Living</t>
        </is>
      </c>
      <c r="F2766" t="inlineStr">
        <is>
          <t>Family Household</t>
        </is>
      </c>
      <c r="G2766" t="inlineStr">
        <is>
          <t>Bills</t>
        </is>
      </c>
      <c r="H2766" t="inlineStr">
        <is>
          <t>Group &gt; Family Household &gt; Quick Add &gt; Bills</t>
        </is>
      </c>
      <c r="I2766" s="18" t="n">
        <v>7363.24</v>
      </c>
      <c r="J2766" t="inlineStr">
        <is>
          <t>Created MTR-IOS-2765 and correlation note visible in Activity/Pulse</t>
        </is>
      </c>
      <c r="K2766" t="inlineStr">
        <is>
          <t>NOT_RUN</t>
        </is>
      </c>
      <c r="P2766" t="n">
        <v>0</v>
      </c>
      <c r="Q2766" t="n">
        <v>2765</v>
      </c>
    </row>
    <row r="2767">
      <c r="A2767" t="n">
        <v>2766</v>
      </c>
      <c r="B2767" t="inlineStr">
        <is>
          <t>MTR-IOS-2766</t>
        </is>
      </c>
      <c r="C2767" t="inlineStr">
        <is>
          <t>iPhone</t>
        </is>
      </c>
      <c r="D2767" t="inlineStr">
        <is>
          <t>Business</t>
        </is>
      </c>
      <c r="E2767" t="inlineStr">
        <is>
          <t>Business</t>
        </is>
      </c>
      <c r="F2767" t="inlineStr">
        <is>
          <t>Business Operations</t>
        </is>
      </c>
      <c r="G2767" t="inlineStr">
        <is>
          <t>Equipment</t>
        </is>
      </c>
      <c r="H2767" t="inlineStr">
        <is>
          <t>Business &gt; Business Operations &gt; Quick Add &gt; Equipment</t>
        </is>
      </c>
      <c r="I2767" s="18" t="n">
        <v>13000.8</v>
      </c>
      <c r="J2767" t="inlineStr">
        <is>
          <t>Created MTR-IOS-2766 and correlation note visible in Activity/Pulse</t>
        </is>
      </c>
      <c r="K2767" t="inlineStr">
        <is>
          <t>NOT_RUN</t>
        </is>
      </c>
      <c r="P2767" t="n">
        <v>0</v>
      </c>
      <c r="Q2767" t="n">
        <v>2766</v>
      </c>
    </row>
    <row r="2768">
      <c r="A2768" t="n">
        <v>2767</v>
      </c>
      <c r="B2768" t="inlineStr">
        <is>
          <t>MTR-IOS-2767</t>
        </is>
      </c>
      <c r="C2768" t="inlineStr">
        <is>
          <t>iPhone</t>
        </is>
      </c>
      <c r="D2768" t="inlineStr">
        <is>
          <t>Personal</t>
        </is>
      </c>
      <c r="E2768" t="inlineStr">
        <is>
          <t>Personal</t>
        </is>
      </c>
      <c r="F2768" t="inlineStr">
        <is>
          <t>Life Operations</t>
        </is>
      </c>
      <c r="G2768" t="inlineStr">
        <is>
          <t>Bills</t>
        </is>
      </c>
      <c r="H2768" t="inlineStr">
        <is>
          <t>Personal &gt; Life Operations &gt; Quick Add &gt; Bills</t>
        </is>
      </c>
      <c r="I2768" s="18" t="n">
        <v>14224.54</v>
      </c>
      <c r="J2768" t="inlineStr">
        <is>
          <t>Created MTR-IOS-2767 and correlation note visible in Activity/Pulse</t>
        </is>
      </c>
      <c r="K2768" t="inlineStr">
        <is>
          <t>NOT_RUN</t>
        </is>
      </c>
      <c r="P2768" t="n">
        <v>0</v>
      </c>
      <c r="Q2768" t="n">
        <v>2767</v>
      </c>
    </row>
    <row r="2769">
      <c r="A2769" t="n">
        <v>2768</v>
      </c>
      <c r="B2769" t="inlineStr">
        <is>
          <t>MTR-IOS-2768</t>
        </is>
      </c>
      <c r="C2769" t="inlineStr">
        <is>
          <t>iPhone</t>
        </is>
      </c>
      <c r="D2769" t="inlineStr">
        <is>
          <t>Group</t>
        </is>
      </c>
      <c r="E2769" t="inlineStr">
        <is>
          <t>Shared Living</t>
        </is>
      </c>
      <c r="F2769" t="inlineStr">
        <is>
          <t>Family Household</t>
        </is>
      </c>
      <c r="G2769" t="inlineStr">
        <is>
          <t>School</t>
        </is>
      </c>
      <c r="H2769" t="inlineStr">
        <is>
          <t>Group &gt; Family Household &gt; Quick Add &gt; School</t>
        </is>
      </c>
      <c r="I2769" s="18" t="n">
        <v>18511.04</v>
      </c>
      <c r="J2769" t="inlineStr">
        <is>
          <t>Created MTR-IOS-2768 and correlation note visible in Activity/Pulse</t>
        </is>
      </c>
      <c r="K2769" t="inlineStr">
        <is>
          <t>NOT_RUN</t>
        </is>
      </c>
      <c r="P2769" t="n">
        <v>0</v>
      </c>
      <c r="Q2769" t="n">
        <v>2768</v>
      </c>
    </row>
    <row r="2770">
      <c r="A2770" t="n">
        <v>2769</v>
      </c>
      <c r="B2770" t="inlineStr">
        <is>
          <t>MTR-IOS-2769</t>
        </is>
      </c>
      <c r="C2770" t="inlineStr">
        <is>
          <t>iPhone</t>
        </is>
      </c>
      <c r="D2770" t="inlineStr">
        <is>
          <t>Business</t>
        </is>
      </c>
      <c r="E2770" t="inlineStr">
        <is>
          <t>Business</t>
        </is>
      </c>
      <c r="F2770" t="inlineStr">
        <is>
          <t>Business Operations</t>
        </is>
      </c>
      <c r="G2770" t="inlineStr">
        <is>
          <t>Vendor</t>
        </is>
      </c>
      <c r="H2770" t="inlineStr">
        <is>
          <t>Business &gt; Business Operations &gt; Quick Add &gt; Vendor</t>
        </is>
      </c>
      <c r="I2770" s="18" t="n">
        <v>85507.50999999999</v>
      </c>
      <c r="J2770" t="inlineStr">
        <is>
          <t>Created MTR-IOS-2769 and correlation note visible in Activity/Pulse</t>
        </is>
      </c>
      <c r="K2770" t="inlineStr">
        <is>
          <t>NOT_RUN</t>
        </is>
      </c>
      <c r="P2770" t="n">
        <v>0</v>
      </c>
      <c r="Q2770" t="n">
        <v>2769</v>
      </c>
    </row>
    <row r="2771">
      <c r="A2771" t="n">
        <v>2770</v>
      </c>
      <c r="B2771" t="inlineStr">
        <is>
          <t>MTR-IOS-2770</t>
        </is>
      </c>
      <c r="C2771" t="inlineStr">
        <is>
          <t>iPhone</t>
        </is>
      </c>
      <c r="D2771" t="inlineStr">
        <is>
          <t>Personal</t>
        </is>
      </c>
      <c r="E2771" t="inlineStr">
        <is>
          <t>Personal</t>
        </is>
      </c>
      <c r="F2771" t="inlineStr">
        <is>
          <t>Life Operations</t>
        </is>
      </c>
      <c r="G2771" t="inlineStr">
        <is>
          <t>Transport</t>
        </is>
      </c>
      <c r="H2771" t="inlineStr">
        <is>
          <t>Personal &gt; Life Operations &gt; Quick Add &gt; Transport</t>
        </is>
      </c>
      <c r="I2771" s="18" t="n">
        <v>5874.42</v>
      </c>
      <c r="J2771" t="inlineStr">
        <is>
          <t>Created MTR-IOS-2770 and correlation note visible in Activity/Pulse</t>
        </is>
      </c>
      <c r="K2771" t="inlineStr">
        <is>
          <t>NOT_RUN</t>
        </is>
      </c>
      <c r="P2771" t="n">
        <v>0</v>
      </c>
      <c r="Q2771" t="n">
        <v>2770</v>
      </c>
    </row>
    <row r="2772">
      <c r="A2772" t="n">
        <v>2771</v>
      </c>
      <c r="B2772" t="inlineStr">
        <is>
          <t>MTR-IOS-2771</t>
        </is>
      </c>
      <c r="C2772" t="inlineStr">
        <is>
          <t>iPhone</t>
        </is>
      </c>
      <c r="D2772" t="inlineStr">
        <is>
          <t>Group</t>
        </is>
      </c>
      <c r="E2772" t="inlineStr">
        <is>
          <t>Shared Living</t>
        </is>
      </c>
      <c r="F2772" t="inlineStr">
        <is>
          <t>Family Household</t>
        </is>
      </c>
      <c r="G2772" t="inlineStr">
        <is>
          <t>Healthcare</t>
        </is>
      </c>
      <c r="H2772" t="inlineStr">
        <is>
          <t>Group &gt; Family Household &gt; Quick Add &gt; Healthcare</t>
        </is>
      </c>
      <c r="I2772" s="18" t="n">
        <v>5387.21</v>
      </c>
      <c r="J2772" t="inlineStr">
        <is>
          <t>Created MTR-IOS-2771 and correlation note visible in Activity/Pulse</t>
        </is>
      </c>
      <c r="K2772" t="inlineStr">
        <is>
          <t>NOT_RUN</t>
        </is>
      </c>
      <c r="P2772" t="n">
        <v>0</v>
      </c>
      <c r="Q2772" t="n">
        <v>2771</v>
      </c>
    </row>
    <row r="2773">
      <c r="A2773" t="n">
        <v>2772</v>
      </c>
      <c r="B2773" t="inlineStr">
        <is>
          <t>MTR-IOS-2772</t>
        </is>
      </c>
      <c r="C2773" t="inlineStr">
        <is>
          <t>iPhone</t>
        </is>
      </c>
      <c r="D2773" t="inlineStr">
        <is>
          <t>Business</t>
        </is>
      </c>
      <c r="E2773" t="inlineStr">
        <is>
          <t>Business</t>
        </is>
      </c>
      <c r="F2773" t="inlineStr">
        <is>
          <t>Business Operations</t>
        </is>
      </c>
      <c r="G2773" t="inlineStr">
        <is>
          <t>Tax</t>
        </is>
      </c>
      <c r="H2773" t="inlineStr">
        <is>
          <t>Business &gt; Business Operations &gt; Quick Add &gt; Tax</t>
        </is>
      </c>
      <c r="I2773" s="18" t="n">
        <v>152308.12</v>
      </c>
      <c r="J2773" t="inlineStr">
        <is>
          <t>Created MTR-IOS-2772 and correlation note visible in Activity/Pulse</t>
        </is>
      </c>
      <c r="K2773" t="inlineStr">
        <is>
          <t>NOT_RUN</t>
        </is>
      </c>
      <c r="P2773" t="n">
        <v>0</v>
      </c>
      <c r="Q2773" t="n">
        <v>2772</v>
      </c>
    </row>
    <row r="2774">
      <c r="A2774" t="n">
        <v>2773</v>
      </c>
      <c r="B2774" t="inlineStr">
        <is>
          <t>MTR-IOS-2773</t>
        </is>
      </c>
      <c r="C2774" t="inlineStr">
        <is>
          <t>iPhone</t>
        </is>
      </c>
      <c r="D2774" t="inlineStr">
        <is>
          <t>Personal</t>
        </is>
      </c>
      <c r="E2774" t="inlineStr">
        <is>
          <t>Personal</t>
        </is>
      </c>
      <c r="F2774" t="inlineStr">
        <is>
          <t>Life Operations</t>
        </is>
      </c>
      <c r="G2774" t="inlineStr">
        <is>
          <t>Healthcare</t>
        </is>
      </c>
      <c r="H2774" t="inlineStr">
        <is>
          <t>Personal &gt; Life Operations &gt; Quick Add &gt; Healthcare</t>
        </is>
      </c>
      <c r="I2774" s="18" t="n">
        <v>5331.27</v>
      </c>
      <c r="J2774" t="inlineStr">
        <is>
          <t>Created MTR-IOS-2773 and correlation note visible in Activity/Pulse</t>
        </is>
      </c>
      <c r="K2774" t="inlineStr">
        <is>
          <t>NOT_RUN</t>
        </is>
      </c>
      <c r="P2774" t="n">
        <v>0</v>
      </c>
      <c r="Q2774" t="n">
        <v>2773</v>
      </c>
    </row>
    <row r="2775">
      <c r="A2775" t="n">
        <v>2774</v>
      </c>
      <c r="B2775" t="inlineStr">
        <is>
          <t>MTR-IOS-2774</t>
        </is>
      </c>
      <c r="C2775" t="inlineStr">
        <is>
          <t>iPhone</t>
        </is>
      </c>
      <c r="D2775" t="inlineStr">
        <is>
          <t>Group</t>
        </is>
      </c>
      <c r="E2775" t="inlineStr">
        <is>
          <t>Shared Living</t>
        </is>
      </c>
      <c r="F2775" t="inlineStr">
        <is>
          <t>Family Household</t>
        </is>
      </c>
      <c r="G2775" t="inlineStr">
        <is>
          <t>Home</t>
        </is>
      </c>
      <c r="H2775" t="inlineStr">
        <is>
          <t>Group &gt; Family Household &gt; Quick Add &gt; Home</t>
        </is>
      </c>
      <c r="I2775" s="18" t="n">
        <v>1238.9</v>
      </c>
      <c r="J2775" t="inlineStr">
        <is>
          <t>Created MTR-IOS-2774 and correlation note visible in Activity/Pulse</t>
        </is>
      </c>
      <c r="K2775" t="inlineStr">
        <is>
          <t>NOT_RUN</t>
        </is>
      </c>
      <c r="P2775" t="n">
        <v>0</v>
      </c>
      <c r="Q2775" t="n">
        <v>2774</v>
      </c>
    </row>
    <row r="2776">
      <c r="A2776" t="n">
        <v>2775</v>
      </c>
      <c r="B2776" t="inlineStr">
        <is>
          <t>MTR-IOS-2775</t>
        </is>
      </c>
      <c r="C2776" t="inlineStr">
        <is>
          <t>iPhone</t>
        </is>
      </c>
      <c r="D2776" t="inlineStr">
        <is>
          <t>Business</t>
        </is>
      </c>
      <c r="E2776" t="inlineStr">
        <is>
          <t>Business</t>
        </is>
      </c>
      <c r="F2776" t="inlineStr">
        <is>
          <t>Team Operations</t>
        </is>
      </c>
      <c r="G2776" t="inlineStr">
        <is>
          <t>Payroll</t>
        </is>
      </c>
      <c r="H2776" t="inlineStr">
        <is>
          <t>Business &gt; Team Operations &gt; Quick Add &gt; Payroll</t>
        </is>
      </c>
      <c r="I2776" s="18" t="n">
        <v>100</v>
      </c>
      <c r="J2776" t="inlineStr">
        <is>
          <t>Created MTR-IOS-2775 and correlation note visible in Activity/Pulse</t>
        </is>
      </c>
      <c r="K2776" t="inlineStr">
        <is>
          <t>NOT_RUN</t>
        </is>
      </c>
      <c r="P2776" t="n">
        <v>0</v>
      </c>
      <c r="Q2776" t="n">
        <v>2775</v>
      </c>
    </row>
    <row r="2777">
      <c r="A2777" t="n">
        <v>2776</v>
      </c>
      <c r="B2777" t="inlineStr">
        <is>
          <t>MTR-IOS-2776</t>
        </is>
      </c>
      <c r="C2777" t="inlineStr">
        <is>
          <t>iPhone</t>
        </is>
      </c>
      <c r="D2777" t="inlineStr">
        <is>
          <t>Personal</t>
        </is>
      </c>
      <c r="E2777" t="inlineStr">
        <is>
          <t>Personal</t>
        </is>
      </c>
      <c r="F2777" t="inlineStr">
        <is>
          <t>Life Operations</t>
        </is>
      </c>
      <c r="G2777" t="inlineStr">
        <is>
          <t>Subscriptions</t>
        </is>
      </c>
      <c r="H2777" t="inlineStr">
        <is>
          <t>Personal &gt; Life Operations &gt; Quick Add &gt; Subscriptions</t>
        </is>
      </c>
      <c r="I2777" s="18" t="n">
        <v>15780.13</v>
      </c>
      <c r="J2777" t="inlineStr">
        <is>
          <t>Created MTR-IOS-2776 and correlation note visible in Activity/Pulse</t>
        </is>
      </c>
      <c r="K2777" t="inlineStr">
        <is>
          <t>NOT_RUN</t>
        </is>
      </c>
      <c r="P2777" t="n">
        <v>0</v>
      </c>
      <c r="Q2777" t="n">
        <v>2776</v>
      </c>
    </row>
    <row r="2778">
      <c r="A2778" t="n">
        <v>2777</v>
      </c>
      <c r="B2778" t="inlineStr">
        <is>
          <t>MTR-IOS-2777</t>
        </is>
      </c>
      <c r="C2778" t="inlineStr">
        <is>
          <t>iPhone</t>
        </is>
      </c>
      <c r="D2778" t="inlineStr">
        <is>
          <t>Group</t>
        </is>
      </c>
      <c r="E2778" t="inlineStr">
        <is>
          <t>Shared Living</t>
        </is>
      </c>
      <c r="F2778" t="inlineStr">
        <is>
          <t>Family Household</t>
        </is>
      </c>
      <c r="G2778" t="inlineStr">
        <is>
          <t>Other</t>
        </is>
      </c>
      <c r="H2778" t="inlineStr">
        <is>
          <t>Group &gt; Family Household &gt; Quick Add &gt; Other</t>
        </is>
      </c>
      <c r="I2778" s="18" t="n">
        <v>9174.24</v>
      </c>
      <c r="J2778" t="inlineStr">
        <is>
          <t>Created MTR-IOS-2777 and correlation note visible in Activity/Pulse</t>
        </is>
      </c>
      <c r="K2778" t="inlineStr">
        <is>
          <t>NOT_RUN</t>
        </is>
      </c>
      <c r="P2778" t="n">
        <v>0</v>
      </c>
      <c r="Q2778" t="n">
        <v>2777</v>
      </c>
    </row>
    <row r="2779">
      <c r="A2779" t="n">
        <v>2778</v>
      </c>
      <c r="B2779" t="inlineStr">
        <is>
          <t>MTR-IOS-2778</t>
        </is>
      </c>
      <c r="C2779" t="inlineStr">
        <is>
          <t>iPhone</t>
        </is>
      </c>
      <c r="D2779" t="inlineStr">
        <is>
          <t>Business</t>
        </is>
      </c>
      <c r="E2779" t="inlineStr">
        <is>
          <t>Business</t>
        </is>
      </c>
      <c r="F2779" t="inlineStr">
        <is>
          <t>Team Operations</t>
        </is>
      </c>
      <c r="G2779" t="inlineStr">
        <is>
          <t>Contractor</t>
        </is>
      </c>
      <c r="H2779" t="inlineStr">
        <is>
          <t>Business &gt; Team Operations &gt; Quick Add &gt; Contractor</t>
        </is>
      </c>
      <c r="I2779" s="18" t="n">
        <v>75869.25</v>
      </c>
      <c r="J2779" t="inlineStr">
        <is>
          <t>Created MTR-IOS-2778 and correlation note visible in Activity/Pulse</t>
        </is>
      </c>
      <c r="K2779" t="inlineStr">
        <is>
          <t>NOT_RUN</t>
        </is>
      </c>
      <c r="P2779" t="n">
        <v>0</v>
      </c>
      <c r="Q2779" t="n">
        <v>2778</v>
      </c>
    </row>
    <row r="2780">
      <c r="A2780" t="n">
        <v>2779</v>
      </c>
      <c r="B2780" t="inlineStr">
        <is>
          <t>MTR-IOS-2779</t>
        </is>
      </c>
      <c r="C2780" t="inlineStr">
        <is>
          <t>iPhone</t>
        </is>
      </c>
      <c r="D2780" t="inlineStr">
        <is>
          <t>Personal</t>
        </is>
      </c>
      <c r="E2780" t="inlineStr">
        <is>
          <t>Personal</t>
        </is>
      </c>
      <c r="F2780" t="inlineStr">
        <is>
          <t>Life Operations</t>
        </is>
      </c>
      <c r="G2780" t="inlineStr">
        <is>
          <t>Repairs</t>
        </is>
      </c>
      <c r="H2780" t="inlineStr">
        <is>
          <t>Personal &gt; Life Operations &gt; Quick Add &gt; Repairs</t>
        </is>
      </c>
      <c r="I2780" s="18" t="n">
        <v>1243.35</v>
      </c>
      <c r="J2780" t="inlineStr">
        <is>
          <t>Created MTR-IOS-2779 and correlation note visible in Activity/Pulse</t>
        </is>
      </c>
      <c r="K2780" t="inlineStr">
        <is>
          <t>NOT_RUN</t>
        </is>
      </c>
      <c r="P2780" t="n">
        <v>0</v>
      </c>
      <c r="Q2780" t="n">
        <v>2779</v>
      </c>
    </row>
    <row r="2781">
      <c r="A2781" t="n">
        <v>2780</v>
      </c>
      <c r="B2781" t="inlineStr">
        <is>
          <t>MTR-IOS-2780</t>
        </is>
      </c>
      <c r="C2781" t="inlineStr">
        <is>
          <t>iPhone</t>
        </is>
      </c>
      <c r="D2781" t="inlineStr">
        <is>
          <t>Group</t>
        </is>
      </c>
      <c r="E2781" t="inlineStr">
        <is>
          <t>Shared Living</t>
        </is>
      </c>
      <c r="F2781" t="inlineStr">
        <is>
          <t>Custom Living</t>
        </is>
      </c>
      <c r="G2781" t="inlineStr">
        <is>
          <t>Custom Expense</t>
        </is>
      </c>
      <c r="H2781" t="inlineStr">
        <is>
          <t>Group &gt; Custom Living &gt; Quick Add &gt; Custom Expense</t>
        </is>
      </c>
      <c r="I2781" s="18" t="n">
        <v>3158.43</v>
      </c>
      <c r="J2781" t="inlineStr">
        <is>
          <t>Created MTR-IOS-2780 and correlation note visible in Activity/Pulse</t>
        </is>
      </c>
      <c r="K2781" t="inlineStr">
        <is>
          <t>NOT_RUN</t>
        </is>
      </c>
      <c r="P2781" t="n">
        <v>0</v>
      </c>
      <c r="Q2781" t="n">
        <v>2780</v>
      </c>
    </row>
    <row r="2782">
      <c r="A2782" t="n">
        <v>2781</v>
      </c>
      <c r="B2782" t="inlineStr">
        <is>
          <t>MTR-IOS-2781</t>
        </is>
      </c>
      <c r="C2782" t="inlineStr">
        <is>
          <t>iPhone</t>
        </is>
      </c>
      <c r="D2782" t="inlineStr">
        <is>
          <t>Business</t>
        </is>
      </c>
      <c r="E2782" t="inlineStr">
        <is>
          <t>Business</t>
        </is>
      </c>
      <c r="F2782" t="inlineStr">
        <is>
          <t>Team Operations</t>
        </is>
      </c>
      <c r="G2782" t="inlineStr">
        <is>
          <t>Hiring</t>
        </is>
      </c>
      <c r="H2782" t="inlineStr">
        <is>
          <t>Business &gt; Team Operations &gt; Quick Add &gt; Hiring</t>
        </is>
      </c>
      <c r="I2782" s="18" t="n">
        <v>82814.03999999999</v>
      </c>
      <c r="J2782" t="inlineStr">
        <is>
          <t>Created MTR-IOS-2781 and correlation note visible in Activity/Pulse</t>
        </is>
      </c>
      <c r="K2782" t="inlineStr">
        <is>
          <t>NOT_RUN</t>
        </is>
      </c>
      <c r="P2782" t="n">
        <v>0</v>
      </c>
      <c r="Q2782" t="n">
        <v>2781</v>
      </c>
    </row>
    <row r="2783">
      <c r="A2783" t="n">
        <v>2782</v>
      </c>
      <c r="B2783" t="inlineStr">
        <is>
          <t>MTR-IOS-2782</t>
        </is>
      </c>
      <c r="C2783" t="inlineStr">
        <is>
          <t>iPhone</t>
        </is>
      </c>
      <c r="D2783" t="inlineStr">
        <is>
          <t>Personal</t>
        </is>
      </c>
      <c r="E2783" t="inlineStr">
        <is>
          <t>Personal</t>
        </is>
      </c>
      <c r="F2783" t="inlineStr">
        <is>
          <t>Future Building</t>
        </is>
      </c>
      <c r="G2783" t="inlineStr">
        <is>
          <t>Savings</t>
        </is>
      </c>
      <c r="H2783" t="inlineStr">
        <is>
          <t>Personal &gt; Future Building &gt; Quick Add &gt; Savings</t>
        </is>
      </c>
      <c r="I2783" s="18" t="n">
        <v>9822.719999999999</v>
      </c>
      <c r="J2783" t="inlineStr">
        <is>
          <t>Created MTR-IOS-2782 and correlation note visible in Activity/Pulse</t>
        </is>
      </c>
      <c r="K2783" t="inlineStr">
        <is>
          <t>NOT_RUN</t>
        </is>
      </c>
      <c r="P2783" t="n">
        <v>0</v>
      </c>
      <c r="Q2783" t="n">
        <v>2782</v>
      </c>
    </row>
    <row r="2784">
      <c r="A2784" t="n">
        <v>2783</v>
      </c>
      <c r="B2784" t="inlineStr">
        <is>
          <t>MTR-IOS-2783</t>
        </is>
      </c>
      <c r="C2784" t="inlineStr">
        <is>
          <t>iPhone</t>
        </is>
      </c>
      <c r="D2784" t="inlineStr">
        <is>
          <t>Group</t>
        </is>
      </c>
      <c r="E2784" t="inlineStr">
        <is>
          <t>Shared Living</t>
        </is>
      </c>
      <c r="F2784" t="inlineStr">
        <is>
          <t>Custom Living</t>
        </is>
      </c>
      <c r="G2784" t="inlineStr">
        <is>
          <t>Custom Contribution</t>
        </is>
      </c>
      <c r="H2784" t="inlineStr">
        <is>
          <t>Group &gt; Custom Living &gt; Quick Add &gt; Custom Contribution</t>
        </is>
      </c>
      <c r="I2784" s="18" t="n">
        <v>11948.93</v>
      </c>
      <c r="J2784" t="inlineStr">
        <is>
          <t>Created MTR-IOS-2783 and correlation note visible in Activity/Pulse</t>
        </is>
      </c>
      <c r="K2784" t="inlineStr">
        <is>
          <t>NOT_RUN</t>
        </is>
      </c>
      <c r="P2784" t="n">
        <v>0</v>
      </c>
      <c r="Q2784" t="n">
        <v>2783</v>
      </c>
    </row>
    <row r="2785">
      <c r="A2785" t="n">
        <v>2784</v>
      </c>
      <c r="B2785" t="inlineStr">
        <is>
          <t>MTR-IOS-2784</t>
        </is>
      </c>
      <c r="C2785" t="inlineStr">
        <is>
          <t>iPhone</t>
        </is>
      </c>
      <c r="D2785" t="inlineStr">
        <is>
          <t>Business</t>
        </is>
      </c>
      <c r="E2785" t="inlineStr">
        <is>
          <t>Business</t>
        </is>
      </c>
      <c r="F2785" t="inlineStr">
        <is>
          <t>Team Operations</t>
        </is>
      </c>
      <c r="G2785" t="inlineStr">
        <is>
          <t>Team Meal</t>
        </is>
      </c>
      <c r="H2785" t="inlineStr">
        <is>
          <t>Business &gt; Team Operations &gt; Quick Add &gt; Team Meal</t>
        </is>
      </c>
      <c r="I2785" s="18" t="n">
        <v>152715.25</v>
      </c>
      <c r="J2785" t="inlineStr">
        <is>
          <t>Created MTR-IOS-2784 and correlation note visible in Activity/Pulse</t>
        </is>
      </c>
      <c r="K2785" t="inlineStr">
        <is>
          <t>NOT_RUN</t>
        </is>
      </c>
      <c r="P2785" t="n">
        <v>0</v>
      </c>
      <c r="Q2785" t="n">
        <v>2784</v>
      </c>
    </row>
    <row r="2786">
      <c r="A2786" t="n">
        <v>2785</v>
      </c>
      <c r="B2786" t="inlineStr">
        <is>
          <t>MTR-IOS-2785</t>
        </is>
      </c>
      <c r="C2786" t="inlineStr">
        <is>
          <t>iPhone</t>
        </is>
      </c>
      <c r="D2786" t="inlineStr">
        <is>
          <t>Personal</t>
        </is>
      </c>
      <c r="E2786" t="inlineStr">
        <is>
          <t>Personal</t>
        </is>
      </c>
      <c r="F2786" t="inlineStr">
        <is>
          <t>Future Building</t>
        </is>
      </c>
      <c r="G2786" t="inlineStr">
        <is>
          <t>Emergency Fund</t>
        </is>
      </c>
      <c r="H2786" t="inlineStr">
        <is>
          <t>Personal &gt; Future Building &gt; Quick Add &gt; Emergency Fund</t>
        </is>
      </c>
      <c r="I2786" s="18" t="n">
        <v>12781.06</v>
      </c>
      <c r="J2786" t="inlineStr">
        <is>
          <t>Created MTR-IOS-2785 and correlation note visible in Activity/Pulse</t>
        </is>
      </c>
      <c r="K2786" t="inlineStr">
        <is>
          <t>NOT_RUN</t>
        </is>
      </c>
      <c r="P2786" t="n">
        <v>0</v>
      </c>
      <c r="Q2786" t="n">
        <v>2785</v>
      </c>
    </row>
    <row r="2787">
      <c r="A2787" t="n">
        <v>2786</v>
      </c>
      <c r="B2787" t="inlineStr">
        <is>
          <t>MTR-IOS-2786</t>
        </is>
      </c>
      <c r="C2787" t="inlineStr">
        <is>
          <t>iPhone</t>
        </is>
      </c>
      <c r="D2787" t="inlineStr">
        <is>
          <t>Group</t>
        </is>
      </c>
      <c r="E2787" t="inlineStr">
        <is>
          <t>Shared Experience</t>
        </is>
      </c>
      <c r="F2787" t="inlineStr">
        <is>
          <t>Trip</t>
        </is>
      </c>
      <c r="G2787" t="inlineStr">
        <is>
          <t>Travel</t>
        </is>
      </c>
      <c r="H2787" t="inlineStr">
        <is>
          <t>Group &gt; Trip &gt; Quick Add &gt; Travel</t>
        </is>
      </c>
      <c r="I2787" s="18" t="n">
        <v>4675.44</v>
      </c>
      <c r="J2787" t="inlineStr">
        <is>
          <t>Created MTR-IOS-2786 and correlation note visible in Activity/Pulse</t>
        </is>
      </c>
      <c r="K2787" t="inlineStr">
        <is>
          <t>NOT_RUN</t>
        </is>
      </c>
      <c r="P2787" t="n">
        <v>0</v>
      </c>
      <c r="Q2787" t="n">
        <v>2786</v>
      </c>
    </row>
    <row r="2788">
      <c r="A2788" t="n">
        <v>2787</v>
      </c>
      <c r="B2788" t="inlineStr">
        <is>
          <t>MTR-IOS-2787</t>
        </is>
      </c>
      <c r="C2788" t="inlineStr">
        <is>
          <t>iPhone</t>
        </is>
      </c>
      <c r="D2788" t="inlineStr">
        <is>
          <t>Business</t>
        </is>
      </c>
      <c r="E2788" t="inlineStr">
        <is>
          <t>Business</t>
        </is>
      </c>
      <c r="F2788" t="inlineStr">
        <is>
          <t>Team Operations</t>
        </is>
      </c>
      <c r="G2788" t="inlineStr">
        <is>
          <t>Travel</t>
        </is>
      </c>
      <c r="H2788" t="inlineStr">
        <is>
          <t>Business &gt; Team Operations &gt; Quick Add &gt; Travel</t>
        </is>
      </c>
      <c r="I2788" s="18" t="n">
        <v>125366.08</v>
      </c>
      <c r="J2788" t="inlineStr">
        <is>
          <t>Created MTR-IOS-2787 and correlation note visible in Activity/Pulse</t>
        </is>
      </c>
      <c r="K2788" t="inlineStr">
        <is>
          <t>NOT_RUN</t>
        </is>
      </c>
      <c r="P2788" t="n">
        <v>0</v>
      </c>
      <c r="Q2788" t="n">
        <v>2787</v>
      </c>
    </row>
    <row r="2789">
      <c r="A2789" t="n">
        <v>2788</v>
      </c>
      <c r="B2789" t="inlineStr">
        <is>
          <t>MTR-IOS-2788</t>
        </is>
      </c>
      <c r="C2789" t="inlineStr">
        <is>
          <t>iPhone</t>
        </is>
      </c>
      <c r="D2789" t="inlineStr">
        <is>
          <t>Personal</t>
        </is>
      </c>
      <c r="E2789" t="inlineStr">
        <is>
          <t>Personal</t>
        </is>
      </c>
      <c r="F2789" t="inlineStr">
        <is>
          <t>Future Building</t>
        </is>
      </c>
      <c r="G2789" t="inlineStr">
        <is>
          <t>Investments</t>
        </is>
      </c>
      <c r="H2789" t="inlineStr">
        <is>
          <t>Personal &gt; Future Building &gt; Quick Add &gt; Investments</t>
        </is>
      </c>
      <c r="I2789" s="18" t="n">
        <v>3013.6</v>
      </c>
      <c r="J2789" t="inlineStr">
        <is>
          <t>Created MTR-IOS-2788 and correlation note visible in Activity/Pulse</t>
        </is>
      </c>
      <c r="K2789" t="inlineStr">
        <is>
          <t>NOT_RUN</t>
        </is>
      </c>
      <c r="P2789" t="n">
        <v>0</v>
      </c>
      <c r="Q2789" t="n">
        <v>2788</v>
      </c>
    </row>
    <row r="2790">
      <c r="A2790" t="n">
        <v>2789</v>
      </c>
      <c r="B2790" t="inlineStr">
        <is>
          <t>MTR-IOS-2789</t>
        </is>
      </c>
      <c r="C2790" t="inlineStr">
        <is>
          <t>iPhone</t>
        </is>
      </c>
      <c r="D2790" t="inlineStr">
        <is>
          <t>Group</t>
        </is>
      </c>
      <c r="E2790" t="inlineStr">
        <is>
          <t>Shared Experience</t>
        </is>
      </c>
      <c r="F2790" t="inlineStr">
        <is>
          <t>Trip</t>
        </is>
      </c>
      <c r="G2790" t="inlineStr">
        <is>
          <t>Stay</t>
        </is>
      </c>
      <c r="H2790" t="inlineStr">
        <is>
          <t>Group &gt; Trip &gt; Quick Add &gt; Stay</t>
        </is>
      </c>
      <c r="I2790" s="18" t="n">
        <v>5073.31</v>
      </c>
      <c r="J2790" t="inlineStr">
        <is>
          <t>Created MTR-IOS-2789 and correlation note visible in Activity/Pulse</t>
        </is>
      </c>
      <c r="K2790" t="inlineStr">
        <is>
          <t>NOT_RUN</t>
        </is>
      </c>
      <c r="P2790" t="n">
        <v>0</v>
      </c>
      <c r="Q2790" t="n">
        <v>2789</v>
      </c>
    </row>
    <row r="2791">
      <c r="A2791" t="n">
        <v>2790</v>
      </c>
      <c r="B2791" t="inlineStr">
        <is>
          <t>MTR-IOS-2790</t>
        </is>
      </c>
      <c r="C2791" t="inlineStr">
        <is>
          <t>iPhone</t>
        </is>
      </c>
      <c r="D2791" t="inlineStr">
        <is>
          <t>Business</t>
        </is>
      </c>
      <c r="E2791" t="inlineStr">
        <is>
          <t>Business</t>
        </is>
      </c>
      <c r="F2791" t="inlineStr">
        <is>
          <t>Team Operations</t>
        </is>
      </c>
      <c r="G2791" t="inlineStr">
        <is>
          <t>Training</t>
        </is>
      </c>
      <c r="H2791" t="inlineStr">
        <is>
          <t>Business &gt; Team Operations &gt; Quick Add &gt; Training</t>
        </is>
      </c>
      <c r="I2791" s="18" t="n">
        <v>7042.43</v>
      </c>
      <c r="J2791" t="inlineStr">
        <is>
          <t>Created MTR-IOS-2790 and correlation note visible in Activity/Pulse</t>
        </is>
      </c>
      <c r="K2791" t="inlineStr">
        <is>
          <t>NOT_RUN</t>
        </is>
      </c>
      <c r="P2791" t="n">
        <v>0</v>
      </c>
      <c r="Q2791" t="n">
        <v>2790</v>
      </c>
    </row>
    <row r="2792">
      <c r="A2792" t="n">
        <v>2791</v>
      </c>
      <c r="B2792" t="inlineStr">
        <is>
          <t>MTR-IOS-2791</t>
        </is>
      </c>
      <c r="C2792" t="inlineStr">
        <is>
          <t>iPhone</t>
        </is>
      </c>
      <c r="D2792" t="inlineStr">
        <is>
          <t>Personal</t>
        </is>
      </c>
      <c r="E2792" t="inlineStr">
        <is>
          <t>Personal</t>
        </is>
      </c>
      <c r="F2792" t="inlineStr">
        <is>
          <t>Future Building</t>
        </is>
      </c>
      <c r="G2792" t="inlineStr">
        <is>
          <t>Education</t>
        </is>
      </c>
      <c r="H2792" t="inlineStr">
        <is>
          <t>Personal &gt; Future Building &gt; Quick Add &gt; Education</t>
        </is>
      </c>
      <c r="I2792" s="18" t="n">
        <v>10364.1</v>
      </c>
      <c r="J2792" t="inlineStr">
        <is>
          <t>Created MTR-IOS-2791 and correlation note visible in Activity/Pulse</t>
        </is>
      </c>
      <c r="K2792" t="inlineStr">
        <is>
          <t>NOT_RUN</t>
        </is>
      </c>
      <c r="P2792" t="n">
        <v>0</v>
      </c>
      <c r="Q2792" t="n">
        <v>2791</v>
      </c>
    </row>
    <row r="2793">
      <c r="A2793" t="n">
        <v>2792</v>
      </c>
      <c r="B2793" t="inlineStr">
        <is>
          <t>MTR-IOS-2792</t>
        </is>
      </c>
      <c r="C2793" t="inlineStr">
        <is>
          <t>iPhone</t>
        </is>
      </c>
      <c r="D2793" t="inlineStr">
        <is>
          <t>Group</t>
        </is>
      </c>
      <c r="E2793" t="inlineStr">
        <is>
          <t>Shared Experience</t>
        </is>
      </c>
      <c r="F2793" t="inlineStr">
        <is>
          <t>Trip</t>
        </is>
      </c>
      <c r="G2793" t="inlineStr">
        <is>
          <t>Food</t>
        </is>
      </c>
      <c r="H2793" t="inlineStr">
        <is>
          <t>Group &gt; Trip &gt; Quick Add &gt; Food</t>
        </is>
      </c>
      <c r="I2793" s="18" t="n">
        <v>6576.42</v>
      </c>
      <c r="J2793" t="inlineStr">
        <is>
          <t>Created MTR-IOS-2792 and correlation note visible in Activity/Pulse</t>
        </is>
      </c>
      <c r="K2793" t="inlineStr">
        <is>
          <t>NOT_RUN</t>
        </is>
      </c>
      <c r="P2793" t="n">
        <v>0</v>
      </c>
      <c r="Q2793" t="n">
        <v>2792</v>
      </c>
    </row>
    <row r="2794">
      <c r="A2794" t="n">
        <v>2793</v>
      </c>
      <c r="B2794" t="inlineStr">
        <is>
          <t>MTR-IOS-2793</t>
        </is>
      </c>
      <c r="C2794" t="inlineStr">
        <is>
          <t>iPhone</t>
        </is>
      </c>
      <c r="D2794" t="inlineStr">
        <is>
          <t>Business</t>
        </is>
      </c>
      <c r="E2794" t="inlineStr">
        <is>
          <t>Business</t>
        </is>
      </c>
      <c r="F2794" t="inlineStr">
        <is>
          <t>Team Operations</t>
        </is>
      </c>
      <c r="G2794" t="inlineStr">
        <is>
          <t>Tools</t>
        </is>
      </c>
      <c r="H2794" t="inlineStr">
        <is>
          <t>Business &gt; Team Operations &gt; Quick Add &gt; Tools</t>
        </is>
      </c>
      <c r="I2794" s="18" t="n">
        <v>22212.81</v>
      </c>
      <c r="J2794" t="inlineStr">
        <is>
          <t>Created MTR-IOS-2793 and correlation note visible in Activity/Pulse</t>
        </is>
      </c>
      <c r="K2794" t="inlineStr">
        <is>
          <t>NOT_RUN</t>
        </is>
      </c>
      <c r="P2794" t="n">
        <v>0</v>
      </c>
      <c r="Q2794" t="n">
        <v>2793</v>
      </c>
    </row>
    <row r="2795">
      <c r="A2795" t="n">
        <v>2794</v>
      </c>
      <c r="B2795" t="inlineStr">
        <is>
          <t>MTR-IOS-2794</t>
        </is>
      </c>
      <c r="C2795" t="inlineStr">
        <is>
          <t>iPhone</t>
        </is>
      </c>
      <c r="D2795" t="inlineStr">
        <is>
          <t>Personal</t>
        </is>
      </c>
      <c r="E2795" t="inlineStr">
        <is>
          <t>Personal</t>
        </is>
      </c>
      <c r="F2795" t="inlineStr">
        <is>
          <t>Future Building</t>
        </is>
      </c>
      <c r="G2795" t="inlineStr">
        <is>
          <t>Goal Contribution</t>
        </is>
      </c>
      <c r="H2795" t="inlineStr">
        <is>
          <t>Personal &gt; Future Building &gt; Quick Add &gt; Goal Contribution</t>
        </is>
      </c>
      <c r="I2795" s="18" t="n">
        <v>1941.84</v>
      </c>
      <c r="J2795" t="inlineStr">
        <is>
          <t>Created MTR-IOS-2794 and correlation note visible in Activity/Pulse</t>
        </is>
      </c>
      <c r="K2795" t="inlineStr">
        <is>
          <t>NOT_RUN</t>
        </is>
      </c>
      <c r="P2795" t="n">
        <v>0</v>
      </c>
      <c r="Q2795" t="n">
        <v>2794</v>
      </c>
    </row>
    <row r="2796">
      <c r="A2796" t="n">
        <v>2795</v>
      </c>
      <c r="B2796" t="inlineStr">
        <is>
          <t>MTR-IOS-2795</t>
        </is>
      </c>
      <c r="C2796" t="inlineStr">
        <is>
          <t>iPhone</t>
        </is>
      </c>
      <c r="D2796" t="inlineStr">
        <is>
          <t>Group</t>
        </is>
      </c>
      <c r="E2796" t="inlineStr">
        <is>
          <t>Shared Experience</t>
        </is>
      </c>
      <c r="F2796" t="inlineStr">
        <is>
          <t>Trip</t>
        </is>
      </c>
      <c r="G2796" t="inlineStr">
        <is>
          <t>Local Transport</t>
        </is>
      </c>
      <c r="H2796" t="inlineStr">
        <is>
          <t>Group &gt; Trip &gt; Quick Add &gt; Local Transport</t>
        </is>
      </c>
      <c r="I2796" s="18" t="n">
        <v>22788.88</v>
      </c>
      <c r="J2796" t="inlineStr">
        <is>
          <t>Created MTR-IOS-2795 and correlation note visible in Activity/Pulse</t>
        </is>
      </c>
      <c r="K2796" t="inlineStr">
        <is>
          <t>NOT_RUN</t>
        </is>
      </c>
      <c r="P2796" t="n">
        <v>0</v>
      </c>
      <c r="Q2796" t="n">
        <v>2795</v>
      </c>
    </row>
    <row r="2797">
      <c r="A2797" t="n">
        <v>2796</v>
      </c>
      <c r="B2797" t="inlineStr">
        <is>
          <t>MTR-IOS-2796</t>
        </is>
      </c>
      <c r="C2797" t="inlineStr">
        <is>
          <t>iPhone</t>
        </is>
      </c>
      <c r="D2797" t="inlineStr">
        <is>
          <t>Business</t>
        </is>
      </c>
      <c r="E2797" t="inlineStr">
        <is>
          <t>Business</t>
        </is>
      </c>
      <c r="F2797" t="inlineStr">
        <is>
          <t>Business Runway</t>
        </is>
      </c>
      <c r="G2797" t="inlineStr">
        <is>
          <t>Funding</t>
        </is>
      </c>
      <c r="H2797" t="inlineStr">
        <is>
          <t>Business &gt; Business Runway &gt; Quick Add &gt; Funding</t>
        </is>
      </c>
      <c r="I2797" s="18" t="n">
        <v>99246.48</v>
      </c>
      <c r="J2797" t="inlineStr">
        <is>
          <t>Created MTR-IOS-2796 and correlation note visible in Activity/Pulse</t>
        </is>
      </c>
      <c r="K2797" t="inlineStr">
        <is>
          <t>NOT_RUN</t>
        </is>
      </c>
      <c r="P2797" t="n">
        <v>0</v>
      </c>
      <c r="Q2797" t="n">
        <v>2796</v>
      </c>
    </row>
    <row r="2798">
      <c r="A2798" t="n">
        <v>2797</v>
      </c>
      <c r="B2798" t="inlineStr">
        <is>
          <t>MTR-IOS-2797</t>
        </is>
      </c>
      <c r="C2798" t="inlineStr">
        <is>
          <t>iPhone</t>
        </is>
      </c>
      <c r="D2798" t="inlineStr">
        <is>
          <t>Personal</t>
        </is>
      </c>
      <c r="E2798" t="inlineStr">
        <is>
          <t>Personal</t>
        </is>
      </c>
      <c r="F2798" t="inlineStr">
        <is>
          <t>Lifestyle</t>
        </is>
      </c>
      <c r="G2798" t="inlineStr">
        <is>
          <t>Dining</t>
        </is>
      </c>
      <c r="H2798" t="inlineStr">
        <is>
          <t>Personal &gt; Lifestyle &gt; Quick Add &gt; Dining</t>
        </is>
      </c>
      <c r="I2798" s="18" t="n">
        <v>12129.8</v>
      </c>
      <c r="J2798" t="inlineStr">
        <is>
          <t>Created MTR-IOS-2797 and correlation note visible in Activity/Pulse</t>
        </is>
      </c>
      <c r="K2798" t="inlineStr">
        <is>
          <t>NOT_RUN</t>
        </is>
      </c>
      <c r="P2798" t="n">
        <v>0</v>
      </c>
      <c r="Q2798" t="n">
        <v>2797</v>
      </c>
    </row>
    <row r="2799">
      <c r="A2799" t="n">
        <v>2798</v>
      </c>
      <c r="B2799" t="inlineStr">
        <is>
          <t>MTR-IOS-2798</t>
        </is>
      </c>
      <c r="C2799" t="inlineStr">
        <is>
          <t>iPhone</t>
        </is>
      </c>
      <c r="D2799" t="inlineStr">
        <is>
          <t>Group</t>
        </is>
      </c>
      <c r="E2799" t="inlineStr">
        <is>
          <t>Shared Experience</t>
        </is>
      </c>
      <c r="F2799" t="inlineStr">
        <is>
          <t>Trip</t>
        </is>
      </c>
      <c r="G2799" t="inlineStr">
        <is>
          <t>Activities</t>
        </is>
      </c>
      <c r="H2799" t="inlineStr">
        <is>
          <t>Group &gt; Trip &gt; Quick Add &gt; Activities</t>
        </is>
      </c>
      <c r="I2799" s="18" t="n">
        <v>11471.79</v>
      </c>
      <c r="J2799" t="inlineStr">
        <is>
          <t>Created MTR-IOS-2798 and correlation note visible in Activity/Pulse</t>
        </is>
      </c>
      <c r="K2799" t="inlineStr">
        <is>
          <t>NOT_RUN</t>
        </is>
      </c>
      <c r="P2799" t="n">
        <v>0</v>
      </c>
      <c r="Q2799" t="n">
        <v>2798</v>
      </c>
    </row>
    <row r="2800">
      <c r="A2800" t="n">
        <v>2799</v>
      </c>
      <c r="B2800" t="inlineStr">
        <is>
          <t>MTR-IOS-2799</t>
        </is>
      </c>
      <c r="C2800" t="inlineStr">
        <is>
          <t>iPhone</t>
        </is>
      </c>
      <c r="D2800" t="inlineStr">
        <is>
          <t>Business</t>
        </is>
      </c>
      <c r="E2800" t="inlineStr">
        <is>
          <t>Business</t>
        </is>
      </c>
      <c r="F2800" t="inlineStr">
        <is>
          <t>Business Runway</t>
        </is>
      </c>
      <c r="G2800" t="inlineStr">
        <is>
          <t>Revenue</t>
        </is>
      </c>
      <c r="H2800" t="inlineStr">
        <is>
          <t>Business &gt; Business Runway &gt; Quick Add &gt; Revenue</t>
        </is>
      </c>
      <c r="I2800" s="18" t="n">
        <v>52747.46</v>
      </c>
      <c r="J2800" t="inlineStr">
        <is>
          <t>Created MTR-IOS-2799 and correlation note visible in Activity/Pulse</t>
        </is>
      </c>
      <c r="K2800" t="inlineStr">
        <is>
          <t>NOT_RUN</t>
        </is>
      </c>
      <c r="P2800" t="n">
        <v>0</v>
      </c>
      <c r="Q2800" t="n">
        <v>2799</v>
      </c>
    </row>
    <row r="2801">
      <c r="A2801" t="n">
        <v>2800</v>
      </c>
      <c r="B2801" t="inlineStr">
        <is>
          <t>MTR-IOS-2800</t>
        </is>
      </c>
      <c r="C2801" t="inlineStr">
        <is>
          <t>iPhone</t>
        </is>
      </c>
      <c r="D2801" t="inlineStr">
        <is>
          <t>Personal</t>
        </is>
      </c>
      <c r="E2801" t="inlineStr">
        <is>
          <t>Personal</t>
        </is>
      </c>
      <c r="F2801" t="inlineStr">
        <is>
          <t>Lifestyle</t>
        </is>
      </c>
      <c r="G2801" t="inlineStr">
        <is>
          <t>Shopping</t>
        </is>
      </c>
      <c r="H2801" t="inlineStr">
        <is>
          <t>Personal &gt; Lifestyle &gt; Quick Add &gt; Shopping</t>
        </is>
      </c>
      <c r="I2801" s="18" t="n">
        <v>10427.6</v>
      </c>
      <c r="J2801" t="inlineStr">
        <is>
          <t>Created MTR-IOS-2800 and correlation note visible in Activity/Pulse</t>
        </is>
      </c>
      <c r="K2801" t="inlineStr">
        <is>
          <t>NOT_RUN</t>
        </is>
      </c>
      <c r="P2801" t="n">
        <v>0</v>
      </c>
      <c r="Q2801" t="n">
        <v>2800</v>
      </c>
    </row>
    <row r="2802">
      <c r="A2802" t="n">
        <v>2801</v>
      </c>
      <c r="B2802" t="inlineStr">
        <is>
          <t>MTR-IOS-2801</t>
        </is>
      </c>
      <c r="C2802" t="inlineStr">
        <is>
          <t>iPhone</t>
        </is>
      </c>
      <c r="D2802" t="inlineStr">
        <is>
          <t>Group</t>
        </is>
      </c>
      <c r="E2802" t="inlineStr">
        <is>
          <t>Shared Experience</t>
        </is>
      </c>
      <c r="F2802" t="inlineStr">
        <is>
          <t>Trip</t>
        </is>
      </c>
      <c r="G2802" t="inlineStr">
        <is>
          <t>Shopping</t>
        </is>
      </c>
      <c r="H2802" t="inlineStr">
        <is>
          <t>Group &gt; Trip &gt; Quick Add &gt; Shopping</t>
        </is>
      </c>
      <c r="I2802" s="18" t="n">
        <v>14416.29</v>
      </c>
      <c r="J2802" t="inlineStr">
        <is>
          <t>Created MTR-IOS-2801 and correlation note visible in Activity/Pulse</t>
        </is>
      </c>
      <c r="K2802" t="inlineStr">
        <is>
          <t>NOT_RUN</t>
        </is>
      </c>
      <c r="P2802" t="n">
        <v>0</v>
      </c>
      <c r="Q2802" t="n">
        <v>2801</v>
      </c>
    </row>
    <row r="2803">
      <c r="A2803" t="n">
        <v>2802</v>
      </c>
      <c r="B2803" t="inlineStr">
        <is>
          <t>MTR-IOS-2802</t>
        </is>
      </c>
      <c r="C2803" t="inlineStr">
        <is>
          <t>iPhone</t>
        </is>
      </c>
      <c r="D2803" t="inlineStr">
        <is>
          <t>Business</t>
        </is>
      </c>
      <c r="E2803" t="inlineStr">
        <is>
          <t>Business</t>
        </is>
      </c>
      <c r="F2803" t="inlineStr">
        <is>
          <t>Business Runway</t>
        </is>
      </c>
      <c r="G2803" t="inlineStr">
        <is>
          <t>Burn</t>
        </is>
      </c>
      <c r="H2803" t="inlineStr">
        <is>
          <t>Business &gt; Business Runway &gt; Quick Add &gt; Burn</t>
        </is>
      </c>
      <c r="I2803" s="18" t="n">
        <v>18549.32</v>
      </c>
      <c r="J2803" t="inlineStr">
        <is>
          <t>Created MTR-IOS-2802 and correlation note visible in Activity/Pulse</t>
        </is>
      </c>
      <c r="K2803" t="inlineStr">
        <is>
          <t>NOT_RUN</t>
        </is>
      </c>
      <c r="P2803" t="n">
        <v>0</v>
      </c>
      <c r="Q2803" t="n">
        <v>2802</v>
      </c>
    </row>
    <row r="2804">
      <c r="A2804" t="n">
        <v>2803</v>
      </c>
      <c r="B2804" t="inlineStr">
        <is>
          <t>MTR-IOS-2803</t>
        </is>
      </c>
      <c r="C2804" t="inlineStr">
        <is>
          <t>iPhone</t>
        </is>
      </c>
      <c r="D2804" t="inlineStr">
        <is>
          <t>Personal</t>
        </is>
      </c>
      <c r="E2804" t="inlineStr">
        <is>
          <t>Personal</t>
        </is>
      </c>
      <c r="F2804" t="inlineStr">
        <is>
          <t>Lifestyle</t>
        </is>
      </c>
      <c r="G2804" t="inlineStr">
        <is>
          <t>Entertainment</t>
        </is>
      </c>
      <c r="H2804" t="inlineStr">
        <is>
          <t>Personal &gt; Lifestyle &gt; Quick Add &gt; Entertainment</t>
        </is>
      </c>
      <c r="I2804" s="18" t="n">
        <v>4288.2</v>
      </c>
      <c r="J2804" t="inlineStr">
        <is>
          <t>Created MTR-IOS-2803 and correlation note visible in Activity/Pulse</t>
        </is>
      </c>
      <c r="K2804" t="inlineStr">
        <is>
          <t>NOT_RUN</t>
        </is>
      </c>
      <c r="P2804" t="n">
        <v>0</v>
      </c>
      <c r="Q2804" t="n">
        <v>2803</v>
      </c>
    </row>
    <row r="2805">
      <c r="A2805" t="n">
        <v>2804</v>
      </c>
      <c r="B2805" t="inlineStr">
        <is>
          <t>MTR-IOS-2804</t>
        </is>
      </c>
      <c r="C2805" t="inlineStr">
        <is>
          <t>iPhone</t>
        </is>
      </c>
      <c r="D2805" t="inlineStr">
        <is>
          <t>Group</t>
        </is>
      </c>
      <c r="E2805" t="inlineStr">
        <is>
          <t>Shared Experience</t>
        </is>
      </c>
      <c r="F2805" t="inlineStr">
        <is>
          <t>Trip</t>
        </is>
      </c>
      <c r="G2805" t="inlineStr">
        <is>
          <t>Other</t>
        </is>
      </c>
      <c r="H2805" t="inlineStr">
        <is>
          <t>Group &gt; Trip &gt; Quick Add &gt; Other</t>
        </is>
      </c>
      <c r="I2805" s="18" t="n">
        <v>26470.61</v>
      </c>
      <c r="J2805" t="inlineStr">
        <is>
          <t>Created MTR-IOS-2804 and correlation note visible in Activity/Pulse</t>
        </is>
      </c>
      <c r="K2805" t="inlineStr">
        <is>
          <t>NOT_RUN</t>
        </is>
      </c>
      <c r="P2805" t="n">
        <v>0</v>
      </c>
      <c r="Q2805" t="n">
        <v>2804</v>
      </c>
    </row>
    <row r="2806">
      <c r="A2806" t="n">
        <v>2805</v>
      </c>
      <c r="B2806" t="inlineStr">
        <is>
          <t>MTR-IOS-2805</t>
        </is>
      </c>
      <c r="C2806" t="inlineStr">
        <is>
          <t>iPhone</t>
        </is>
      </c>
      <c r="D2806" t="inlineStr">
        <is>
          <t>Business</t>
        </is>
      </c>
      <c r="E2806" t="inlineStr">
        <is>
          <t>Business</t>
        </is>
      </c>
      <c r="F2806" t="inlineStr">
        <is>
          <t>Business Runway</t>
        </is>
      </c>
      <c r="G2806" t="inlineStr">
        <is>
          <t>Reserve</t>
        </is>
      </c>
      <c r="H2806" t="inlineStr">
        <is>
          <t>Business &gt; Business Runway &gt; Quick Add &gt; Reserve</t>
        </is>
      </c>
      <c r="I2806" s="18" t="n">
        <v>70861.39999999999</v>
      </c>
      <c r="J2806" t="inlineStr">
        <is>
          <t>Created MTR-IOS-2805 and correlation note visible in Activity/Pulse</t>
        </is>
      </c>
      <c r="K2806" t="inlineStr">
        <is>
          <t>NOT_RUN</t>
        </is>
      </c>
      <c r="P2806" t="n">
        <v>0</v>
      </c>
      <c r="Q2806" t="n">
        <v>2805</v>
      </c>
    </row>
    <row r="2807">
      <c r="A2807" t="n">
        <v>2806</v>
      </c>
      <c r="B2807" t="inlineStr">
        <is>
          <t>MTR-IOS-2806</t>
        </is>
      </c>
      <c r="C2807" t="inlineStr">
        <is>
          <t>iPhone</t>
        </is>
      </c>
      <c r="D2807" t="inlineStr">
        <is>
          <t>Personal</t>
        </is>
      </c>
      <c r="E2807" t="inlineStr">
        <is>
          <t>Personal</t>
        </is>
      </c>
      <c r="F2807" t="inlineStr">
        <is>
          <t>Lifestyle</t>
        </is>
      </c>
      <c r="G2807" t="inlineStr">
        <is>
          <t>Travel</t>
        </is>
      </c>
      <c r="H2807" t="inlineStr">
        <is>
          <t>Personal &gt; Lifestyle &gt; Quick Add &gt; Travel</t>
        </is>
      </c>
      <c r="I2807" s="18" t="n">
        <v>1144.67</v>
      </c>
      <c r="J2807" t="inlineStr">
        <is>
          <t>Created MTR-IOS-2806 and correlation note visible in Activity/Pulse</t>
        </is>
      </c>
      <c r="K2807" t="inlineStr">
        <is>
          <t>NOT_RUN</t>
        </is>
      </c>
      <c r="P2807" t="n">
        <v>0</v>
      </c>
      <c r="Q2807" t="n">
        <v>2806</v>
      </c>
    </row>
    <row r="2808">
      <c r="A2808" t="n">
        <v>2807</v>
      </c>
      <c r="B2808" t="inlineStr">
        <is>
          <t>MTR-IOS-2807</t>
        </is>
      </c>
      <c r="C2808" t="inlineStr">
        <is>
          <t>iPhone</t>
        </is>
      </c>
      <c r="D2808" t="inlineStr">
        <is>
          <t>Group</t>
        </is>
      </c>
      <c r="E2808" t="inlineStr">
        <is>
          <t>Shared Experience</t>
        </is>
      </c>
      <c r="F2808" t="inlineStr">
        <is>
          <t>Wedding</t>
        </is>
      </c>
      <c r="G2808" t="inlineStr">
        <is>
          <t>Venue</t>
        </is>
      </c>
      <c r="H2808" t="inlineStr">
        <is>
          <t>Group &gt; Wedding &gt; Quick Add &gt; Venue</t>
        </is>
      </c>
      <c r="I2808" s="18" t="n">
        <v>13070.78</v>
      </c>
      <c r="J2808" t="inlineStr">
        <is>
          <t>Created MTR-IOS-2807 and correlation note visible in Activity/Pulse</t>
        </is>
      </c>
      <c r="K2808" t="inlineStr">
        <is>
          <t>NOT_RUN</t>
        </is>
      </c>
      <c r="P2808" t="n">
        <v>0</v>
      </c>
      <c r="Q2808" t="n">
        <v>2807</v>
      </c>
    </row>
    <row r="2809">
      <c r="A2809" t="n">
        <v>2808</v>
      </c>
      <c r="B2809" t="inlineStr">
        <is>
          <t>MTR-IOS-2808</t>
        </is>
      </c>
      <c r="C2809" t="inlineStr">
        <is>
          <t>iPhone</t>
        </is>
      </c>
      <c r="D2809" t="inlineStr">
        <is>
          <t>Business</t>
        </is>
      </c>
      <c r="E2809" t="inlineStr">
        <is>
          <t>Business</t>
        </is>
      </c>
      <c r="F2809" t="inlineStr">
        <is>
          <t>Business Runway</t>
        </is>
      </c>
      <c r="G2809" t="inlineStr">
        <is>
          <t>Loan</t>
        </is>
      </c>
      <c r="H2809" t="inlineStr">
        <is>
          <t>Business &gt; Business Runway &gt; Quick Add &gt; Loan</t>
        </is>
      </c>
      <c r="I2809" s="18" t="n">
        <v>66631.97</v>
      </c>
      <c r="J2809" t="inlineStr">
        <is>
          <t>Created MTR-IOS-2808 and correlation note visible in Activity/Pulse</t>
        </is>
      </c>
      <c r="K2809" t="inlineStr">
        <is>
          <t>NOT_RUN</t>
        </is>
      </c>
      <c r="P2809" t="n">
        <v>0</v>
      </c>
      <c r="Q2809" t="n">
        <v>2808</v>
      </c>
    </row>
    <row r="2810">
      <c r="A2810" t="n">
        <v>2809</v>
      </c>
      <c r="B2810" t="inlineStr">
        <is>
          <t>MTR-IOS-2809</t>
        </is>
      </c>
      <c r="C2810" t="inlineStr">
        <is>
          <t>iPhone</t>
        </is>
      </c>
      <c r="D2810" t="inlineStr">
        <is>
          <t>Personal</t>
        </is>
      </c>
      <c r="E2810" t="inlineStr">
        <is>
          <t>Personal</t>
        </is>
      </c>
      <c r="F2810" t="inlineStr">
        <is>
          <t>Lifestyle</t>
        </is>
      </c>
      <c r="G2810" t="inlineStr">
        <is>
          <t>Fitness</t>
        </is>
      </c>
      <c r="H2810" t="inlineStr">
        <is>
          <t>Personal &gt; Lifestyle &gt; Quick Add &gt; Fitness</t>
        </is>
      </c>
      <c r="I2810" s="18" t="n">
        <v>3046.23</v>
      </c>
      <c r="J2810" t="inlineStr">
        <is>
          <t>Created MTR-IOS-2809 and correlation note visible in Activity/Pulse</t>
        </is>
      </c>
      <c r="K2810" t="inlineStr">
        <is>
          <t>NOT_RUN</t>
        </is>
      </c>
      <c r="P2810" t="n">
        <v>0</v>
      </c>
      <c r="Q2810" t="n">
        <v>2809</v>
      </c>
    </row>
    <row r="2811">
      <c r="A2811" t="n">
        <v>2810</v>
      </c>
      <c r="B2811" t="inlineStr">
        <is>
          <t>MTR-IOS-2810</t>
        </is>
      </c>
      <c r="C2811" t="inlineStr">
        <is>
          <t>iPhone</t>
        </is>
      </c>
      <c r="D2811" t="inlineStr">
        <is>
          <t>Group</t>
        </is>
      </c>
      <c r="E2811" t="inlineStr">
        <is>
          <t>Shared Experience</t>
        </is>
      </c>
      <c r="F2811" t="inlineStr">
        <is>
          <t>Wedding</t>
        </is>
      </c>
      <c r="G2811" t="inlineStr">
        <is>
          <t>Catering</t>
        </is>
      </c>
      <c r="H2811" t="inlineStr">
        <is>
          <t>Group &gt; Wedding &gt; Quick Add &gt; Catering</t>
        </is>
      </c>
      <c r="I2811" s="18" t="n">
        <v>7790.9</v>
      </c>
      <c r="J2811" t="inlineStr">
        <is>
          <t>Created MTR-IOS-2810 and correlation note visible in Activity/Pulse</t>
        </is>
      </c>
      <c r="K2811" t="inlineStr">
        <is>
          <t>NOT_RUN</t>
        </is>
      </c>
      <c r="P2811" t="n">
        <v>0</v>
      </c>
      <c r="Q2811" t="n">
        <v>2810</v>
      </c>
    </row>
    <row r="2812">
      <c r="A2812" t="n">
        <v>2811</v>
      </c>
      <c r="B2812" t="inlineStr">
        <is>
          <t>MTR-IOS-2811</t>
        </is>
      </c>
      <c r="C2812" t="inlineStr">
        <is>
          <t>iPhone</t>
        </is>
      </c>
      <c r="D2812" t="inlineStr">
        <is>
          <t>Business</t>
        </is>
      </c>
      <c r="E2812" t="inlineStr">
        <is>
          <t>Business</t>
        </is>
      </c>
      <c r="F2812" t="inlineStr">
        <is>
          <t>Business Runway</t>
        </is>
      </c>
      <c r="G2812" t="inlineStr">
        <is>
          <t>Investment</t>
        </is>
      </c>
      <c r="H2812" t="inlineStr">
        <is>
          <t>Business &gt; Business Runway &gt; Quick Add &gt; Investment</t>
        </is>
      </c>
      <c r="I2812" s="18" t="n">
        <v>49109.33</v>
      </c>
      <c r="J2812" t="inlineStr">
        <is>
          <t>Created MTR-IOS-2811 and correlation note visible in Activity/Pulse</t>
        </is>
      </c>
      <c r="K2812" t="inlineStr">
        <is>
          <t>NOT_RUN</t>
        </is>
      </c>
      <c r="P2812" t="n">
        <v>0</v>
      </c>
      <c r="Q2812" t="n">
        <v>2811</v>
      </c>
    </row>
    <row r="2813">
      <c r="A2813" t="n">
        <v>2812</v>
      </c>
      <c r="B2813" t="inlineStr">
        <is>
          <t>MTR-IOS-2812</t>
        </is>
      </c>
      <c r="C2813" t="inlineStr">
        <is>
          <t>iPhone</t>
        </is>
      </c>
      <c r="D2813" t="inlineStr">
        <is>
          <t>Personal</t>
        </is>
      </c>
      <c r="E2813" t="inlineStr">
        <is>
          <t>Personal</t>
        </is>
      </c>
      <c r="F2813" t="inlineStr">
        <is>
          <t>Lifestyle</t>
        </is>
      </c>
      <c r="G2813" t="inlineStr">
        <is>
          <t>Hobbies</t>
        </is>
      </c>
      <c r="H2813" t="inlineStr">
        <is>
          <t>Personal &gt; Lifestyle &gt; Quick Add &gt; Hobbies</t>
        </is>
      </c>
      <c r="I2813" s="18" t="n">
        <v>999.99</v>
      </c>
      <c r="J2813" t="inlineStr">
        <is>
          <t>Created MTR-IOS-2812 and correlation note visible in Activity/Pulse</t>
        </is>
      </c>
      <c r="K2813" t="inlineStr">
        <is>
          <t>NOT_RUN</t>
        </is>
      </c>
      <c r="P2813" t="n">
        <v>0</v>
      </c>
      <c r="Q2813" t="n">
        <v>2812</v>
      </c>
    </row>
    <row r="2814">
      <c r="A2814" t="n">
        <v>2813</v>
      </c>
      <c r="B2814" t="inlineStr">
        <is>
          <t>MTR-IOS-2813</t>
        </is>
      </c>
      <c r="C2814" t="inlineStr">
        <is>
          <t>iPhone</t>
        </is>
      </c>
      <c r="D2814" t="inlineStr">
        <is>
          <t>Group</t>
        </is>
      </c>
      <c r="E2814" t="inlineStr">
        <is>
          <t>Shared Experience</t>
        </is>
      </c>
      <c r="F2814" t="inlineStr">
        <is>
          <t>Wedding</t>
        </is>
      </c>
      <c r="G2814" t="inlineStr">
        <is>
          <t>Decor</t>
        </is>
      </c>
      <c r="H2814" t="inlineStr">
        <is>
          <t>Group &gt; Wedding &gt; Quick Add &gt; Decor</t>
        </is>
      </c>
      <c r="I2814" s="18" t="n">
        <v>9839.77</v>
      </c>
      <c r="J2814" t="inlineStr">
        <is>
          <t>Created MTR-IOS-2813 and correlation note visible in Activity/Pulse</t>
        </is>
      </c>
      <c r="K2814" t="inlineStr">
        <is>
          <t>NOT_RUN</t>
        </is>
      </c>
      <c r="P2814" t="n">
        <v>0</v>
      </c>
      <c r="Q2814" t="n">
        <v>2813</v>
      </c>
    </row>
    <row r="2815">
      <c r="A2815" t="n">
        <v>2814</v>
      </c>
      <c r="B2815" t="inlineStr">
        <is>
          <t>MTR-IOS-2814</t>
        </is>
      </c>
      <c r="C2815" t="inlineStr">
        <is>
          <t>iPhone</t>
        </is>
      </c>
      <c r="D2815" t="inlineStr">
        <is>
          <t>Business</t>
        </is>
      </c>
      <c r="E2815" t="inlineStr">
        <is>
          <t>Business</t>
        </is>
      </c>
      <c r="F2815" t="inlineStr">
        <is>
          <t>Business Operations</t>
        </is>
      </c>
      <c r="G2815" t="inlineStr">
        <is>
          <t>Software</t>
        </is>
      </c>
      <c r="H2815" t="inlineStr">
        <is>
          <t>Business &gt; Business Operations &gt; Quick Add &gt; Software</t>
        </is>
      </c>
      <c r="I2815" s="18" t="n">
        <v>85768.60000000001</v>
      </c>
      <c r="J2815" t="inlineStr">
        <is>
          <t>Created MTR-IOS-2814 and correlation note visible in Activity/Pulse</t>
        </is>
      </c>
      <c r="K2815" t="inlineStr">
        <is>
          <t>NOT_RUN</t>
        </is>
      </c>
      <c r="P2815" t="n">
        <v>0</v>
      </c>
      <c r="Q2815" t="n">
        <v>2814</v>
      </c>
    </row>
    <row r="2816">
      <c r="A2816" t="n">
        <v>2815</v>
      </c>
      <c r="B2816" t="inlineStr">
        <is>
          <t>MTR-IOS-2815</t>
        </is>
      </c>
      <c r="C2816" t="inlineStr">
        <is>
          <t>iPhone</t>
        </is>
      </c>
      <c r="D2816" t="inlineStr">
        <is>
          <t>Personal</t>
        </is>
      </c>
      <c r="E2816" t="inlineStr">
        <is>
          <t>Personal</t>
        </is>
      </c>
      <c r="F2816" t="inlineStr">
        <is>
          <t>Relationships</t>
        </is>
      </c>
      <c r="G2816" t="inlineStr">
        <is>
          <t>Gifts</t>
        </is>
      </c>
      <c r="H2816" t="inlineStr">
        <is>
          <t>Personal &gt; Relationships &gt; Quick Add &gt; Gifts</t>
        </is>
      </c>
      <c r="I2816" s="18" t="n">
        <v>3057.44</v>
      </c>
      <c r="J2816" t="inlineStr">
        <is>
          <t>Created MTR-IOS-2815 and correlation note visible in Activity/Pulse</t>
        </is>
      </c>
      <c r="K2816" t="inlineStr">
        <is>
          <t>NOT_RUN</t>
        </is>
      </c>
      <c r="P2816" t="n">
        <v>0</v>
      </c>
      <c r="Q2816" t="n">
        <v>2815</v>
      </c>
    </row>
    <row r="2817">
      <c r="A2817" t="n">
        <v>2816</v>
      </c>
      <c r="B2817" t="inlineStr">
        <is>
          <t>MTR-IOS-2816</t>
        </is>
      </c>
      <c r="C2817" t="inlineStr">
        <is>
          <t>iPhone</t>
        </is>
      </c>
      <c r="D2817" t="inlineStr">
        <is>
          <t>Group</t>
        </is>
      </c>
      <c r="E2817" t="inlineStr">
        <is>
          <t>Shared Experience</t>
        </is>
      </c>
      <c r="F2817" t="inlineStr">
        <is>
          <t>Wedding</t>
        </is>
      </c>
      <c r="G2817" t="inlineStr">
        <is>
          <t>Travel</t>
        </is>
      </c>
      <c r="H2817" t="inlineStr">
        <is>
          <t>Group &gt; Wedding &gt; Quick Add &gt; Travel</t>
        </is>
      </c>
      <c r="I2817" s="18" t="n">
        <v>2058.85</v>
      </c>
      <c r="J2817" t="inlineStr">
        <is>
          <t>Created MTR-IOS-2816 and correlation note visible in Activity/Pulse</t>
        </is>
      </c>
      <c r="K2817" t="inlineStr">
        <is>
          <t>NOT_RUN</t>
        </is>
      </c>
      <c r="P2817" t="n">
        <v>0</v>
      </c>
      <c r="Q2817" t="n">
        <v>2816</v>
      </c>
    </row>
    <row r="2818">
      <c r="A2818" t="n">
        <v>2817</v>
      </c>
      <c r="B2818" t="inlineStr">
        <is>
          <t>MTR-IOS-2817</t>
        </is>
      </c>
      <c r="C2818" t="inlineStr">
        <is>
          <t>iPhone</t>
        </is>
      </c>
      <c r="D2818" t="inlineStr">
        <is>
          <t>Business</t>
        </is>
      </c>
      <c r="E2818" t="inlineStr">
        <is>
          <t>Business</t>
        </is>
      </c>
      <c r="F2818" t="inlineStr">
        <is>
          <t>Business Operations</t>
        </is>
      </c>
      <c r="G2818" t="inlineStr">
        <is>
          <t>Rent</t>
        </is>
      </c>
      <c r="H2818" t="inlineStr">
        <is>
          <t>Business &gt; Business Operations &gt; Quick Add &gt; Rent</t>
        </is>
      </c>
      <c r="I2818" s="18" t="n">
        <v>46736.05</v>
      </c>
      <c r="J2818" t="inlineStr">
        <is>
          <t>Created MTR-IOS-2817 and correlation note visible in Activity/Pulse</t>
        </is>
      </c>
      <c r="K2818" t="inlineStr">
        <is>
          <t>NOT_RUN</t>
        </is>
      </c>
      <c r="P2818" t="n">
        <v>0</v>
      </c>
      <c r="Q2818" t="n">
        <v>2817</v>
      </c>
    </row>
    <row r="2819">
      <c r="A2819" t="n">
        <v>2818</v>
      </c>
      <c r="B2819" t="inlineStr">
        <is>
          <t>MTR-IOS-2818</t>
        </is>
      </c>
      <c r="C2819" t="inlineStr">
        <is>
          <t>iPhone</t>
        </is>
      </c>
      <c r="D2819" t="inlineStr">
        <is>
          <t>Personal</t>
        </is>
      </c>
      <c r="E2819" t="inlineStr">
        <is>
          <t>Personal</t>
        </is>
      </c>
      <c r="F2819" t="inlineStr">
        <is>
          <t>Relationships</t>
        </is>
      </c>
      <c r="G2819" t="inlineStr">
        <is>
          <t>Dates</t>
        </is>
      </c>
      <c r="H2819" t="inlineStr">
        <is>
          <t>Personal &gt; Relationships &gt; Quick Add &gt; Dates</t>
        </is>
      </c>
      <c r="I2819" s="18" t="n">
        <v>2440.5</v>
      </c>
      <c r="J2819" t="inlineStr">
        <is>
          <t>Created MTR-IOS-2818 and correlation note visible in Activity/Pulse</t>
        </is>
      </c>
      <c r="K2819" t="inlineStr">
        <is>
          <t>NOT_RUN</t>
        </is>
      </c>
      <c r="P2819" t="n">
        <v>0</v>
      </c>
      <c r="Q2819" t="n">
        <v>2818</v>
      </c>
    </row>
    <row r="2820">
      <c r="A2820" t="n">
        <v>2819</v>
      </c>
      <c r="B2820" t="inlineStr">
        <is>
          <t>MTR-IOS-2819</t>
        </is>
      </c>
      <c r="C2820" t="inlineStr">
        <is>
          <t>iPhone</t>
        </is>
      </c>
      <c r="D2820" t="inlineStr">
        <is>
          <t>Group</t>
        </is>
      </c>
      <c r="E2820" t="inlineStr">
        <is>
          <t>Shared Experience</t>
        </is>
      </c>
      <c r="F2820" t="inlineStr">
        <is>
          <t>Wedding</t>
        </is>
      </c>
      <c r="G2820" t="inlineStr">
        <is>
          <t>Gifts</t>
        </is>
      </c>
      <c r="H2820" t="inlineStr">
        <is>
          <t>Group &gt; Wedding &gt; Quick Add &gt; Gifts</t>
        </is>
      </c>
      <c r="I2820" s="18" t="n">
        <v>23753.89</v>
      </c>
      <c r="J2820" t="inlineStr">
        <is>
          <t>Created MTR-IOS-2819 and correlation note visible in Activity/Pulse</t>
        </is>
      </c>
      <c r="K2820" t="inlineStr">
        <is>
          <t>NOT_RUN</t>
        </is>
      </c>
      <c r="P2820" t="n">
        <v>0</v>
      </c>
      <c r="Q2820" t="n">
        <v>2819</v>
      </c>
    </row>
    <row r="2821">
      <c r="A2821" t="n">
        <v>2820</v>
      </c>
      <c r="B2821" t="inlineStr">
        <is>
          <t>MTR-IOS-2820</t>
        </is>
      </c>
      <c r="C2821" t="inlineStr">
        <is>
          <t>iPhone</t>
        </is>
      </c>
      <c r="D2821" t="inlineStr">
        <is>
          <t>Business</t>
        </is>
      </c>
      <c r="E2821" t="inlineStr">
        <is>
          <t>Business</t>
        </is>
      </c>
      <c r="F2821" t="inlineStr">
        <is>
          <t>Business Operations</t>
        </is>
      </c>
      <c r="G2821" t="inlineStr">
        <is>
          <t>Marketing</t>
        </is>
      </c>
      <c r="H2821" t="inlineStr">
        <is>
          <t>Business &gt; Business Operations &gt; Quick Add &gt; Marketing</t>
        </is>
      </c>
      <c r="I2821" s="18" t="n">
        <v>97260.60000000001</v>
      </c>
      <c r="J2821" t="inlineStr">
        <is>
          <t>Created MTR-IOS-2820 and correlation note visible in Activity/Pulse</t>
        </is>
      </c>
      <c r="K2821" t="inlineStr">
        <is>
          <t>NOT_RUN</t>
        </is>
      </c>
      <c r="P2821" t="n">
        <v>0</v>
      </c>
      <c r="Q2821" t="n">
        <v>2820</v>
      </c>
    </row>
    <row r="2822">
      <c r="A2822" t="n">
        <v>2821</v>
      </c>
      <c r="B2822" t="inlineStr">
        <is>
          <t>MTR-IOS-2821</t>
        </is>
      </c>
      <c r="C2822" t="inlineStr">
        <is>
          <t>iPhone</t>
        </is>
      </c>
      <c r="D2822" t="inlineStr">
        <is>
          <t>Personal</t>
        </is>
      </c>
      <c r="E2822" t="inlineStr">
        <is>
          <t>Personal</t>
        </is>
      </c>
      <c r="F2822" t="inlineStr">
        <is>
          <t>Relationships</t>
        </is>
      </c>
      <c r="G2822" t="inlineStr">
        <is>
          <t>Family</t>
        </is>
      </c>
      <c r="H2822" t="inlineStr">
        <is>
          <t>Personal &gt; Relationships &gt; Quick Add &gt; Family</t>
        </is>
      </c>
      <c r="I2822" s="18" t="n">
        <v>4393.41</v>
      </c>
      <c r="J2822" t="inlineStr">
        <is>
          <t>Created MTR-IOS-2821 and correlation note visible in Activity/Pulse</t>
        </is>
      </c>
      <c r="K2822" t="inlineStr">
        <is>
          <t>NOT_RUN</t>
        </is>
      </c>
      <c r="P2822" t="n">
        <v>0</v>
      </c>
      <c r="Q2822" t="n">
        <v>2821</v>
      </c>
    </row>
    <row r="2823">
      <c r="A2823" t="n">
        <v>2822</v>
      </c>
      <c r="B2823" t="inlineStr">
        <is>
          <t>MTR-IOS-2822</t>
        </is>
      </c>
      <c r="C2823" t="inlineStr">
        <is>
          <t>iPhone</t>
        </is>
      </c>
      <c r="D2823" t="inlineStr">
        <is>
          <t>Group</t>
        </is>
      </c>
      <c r="E2823" t="inlineStr">
        <is>
          <t>Shared Experience</t>
        </is>
      </c>
      <c r="F2823" t="inlineStr">
        <is>
          <t>Wedding</t>
        </is>
      </c>
      <c r="G2823" t="inlineStr">
        <is>
          <t>Photography</t>
        </is>
      </c>
      <c r="H2823" t="inlineStr">
        <is>
          <t>Group &gt; Wedding &gt; Quick Add &gt; Photography</t>
        </is>
      </c>
      <c r="I2823" s="18" t="n">
        <v>12022.01</v>
      </c>
      <c r="J2823" t="inlineStr">
        <is>
          <t>Created MTR-IOS-2822 and correlation note visible in Activity/Pulse</t>
        </is>
      </c>
      <c r="K2823" t="inlineStr">
        <is>
          <t>NOT_RUN</t>
        </is>
      </c>
      <c r="P2823" t="n">
        <v>0</v>
      </c>
      <c r="Q2823" t="n">
        <v>2822</v>
      </c>
    </row>
    <row r="2824">
      <c r="A2824" t="n">
        <v>2823</v>
      </c>
      <c r="B2824" t="inlineStr">
        <is>
          <t>MTR-IOS-2823</t>
        </is>
      </c>
      <c r="C2824" t="inlineStr">
        <is>
          <t>iPhone</t>
        </is>
      </c>
      <c r="D2824" t="inlineStr">
        <is>
          <t>Business</t>
        </is>
      </c>
      <c r="E2824" t="inlineStr">
        <is>
          <t>Business</t>
        </is>
      </c>
      <c r="F2824" t="inlineStr">
        <is>
          <t>Business Operations</t>
        </is>
      </c>
      <c r="G2824" t="inlineStr">
        <is>
          <t>Legal</t>
        </is>
      </c>
      <c r="H2824" t="inlineStr">
        <is>
          <t>Business &gt; Business Operations &gt; Quick Add &gt; Legal</t>
        </is>
      </c>
      <c r="I2824" s="18" t="n">
        <v>160661.94</v>
      </c>
      <c r="J2824" t="inlineStr">
        <is>
          <t>Created MTR-IOS-2823 and correlation note visible in Activity/Pulse</t>
        </is>
      </c>
      <c r="K2824" t="inlineStr">
        <is>
          <t>NOT_RUN</t>
        </is>
      </c>
      <c r="P2824" t="n">
        <v>0</v>
      </c>
      <c r="Q2824" t="n">
        <v>2823</v>
      </c>
    </row>
    <row r="2825">
      <c r="A2825" t="n">
        <v>2824</v>
      </c>
      <c r="B2825" t="inlineStr">
        <is>
          <t>MTR-IOS-2824</t>
        </is>
      </c>
      <c r="C2825" t="inlineStr">
        <is>
          <t>iPhone</t>
        </is>
      </c>
      <c r="D2825" t="inlineStr">
        <is>
          <t>Personal</t>
        </is>
      </c>
      <c r="E2825" t="inlineStr">
        <is>
          <t>Personal</t>
        </is>
      </c>
      <c r="F2825" t="inlineStr">
        <is>
          <t>Relationships</t>
        </is>
      </c>
      <c r="G2825" t="inlineStr">
        <is>
          <t>Friends</t>
        </is>
      </c>
      <c r="H2825" t="inlineStr">
        <is>
          <t>Personal &gt; Relationships &gt; Quick Add &gt; Friends</t>
        </is>
      </c>
      <c r="I2825" s="18" t="n">
        <v>2908.6</v>
      </c>
      <c r="J2825" t="inlineStr">
        <is>
          <t>Created MTR-IOS-2824 and correlation note visible in Activity/Pulse</t>
        </is>
      </c>
      <c r="K2825" t="inlineStr">
        <is>
          <t>NOT_RUN</t>
        </is>
      </c>
      <c r="P2825" t="n">
        <v>0</v>
      </c>
      <c r="Q2825" t="n">
        <v>2824</v>
      </c>
    </row>
    <row r="2826">
      <c r="A2826" t="n">
        <v>2825</v>
      </c>
      <c r="B2826" t="inlineStr">
        <is>
          <t>MTR-IOS-2825</t>
        </is>
      </c>
      <c r="C2826" t="inlineStr">
        <is>
          <t>iPhone</t>
        </is>
      </c>
      <c r="D2826" t="inlineStr">
        <is>
          <t>Group</t>
        </is>
      </c>
      <c r="E2826" t="inlineStr">
        <is>
          <t>Shared Experience</t>
        </is>
      </c>
      <c r="F2826" t="inlineStr">
        <is>
          <t>Wedding</t>
        </is>
      </c>
      <c r="G2826" t="inlineStr">
        <is>
          <t>Other</t>
        </is>
      </c>
      <c r="H2826" t="inlineStr">
        <is>
          <t>Group &gt; Wedding &gt; Quick Add &gt; Other</t>
        </is>
      </c>
      <c r="I2826" s="18" t="n">
        <v>24637.16</v>
      </c>
      <c r="J2826" t="inlineStr">
        <is>
          <t>Created MTR-IOS-2825 and correlation note visible in Activity/Pulse</t>
        </is>
      </c>
      <c r="K2826" t="inlineStr">
        <is>
          <t>NOT_RUN</t>
        </is>
      </c>
      <c r="P2826" t="n">
        <v>0</v>
      </c>
      <c r="Q2826" t="n">
        <v>2825</v>
      </c>
    </row>
    <row r="2827">
      <c r="A2827" t="n">
        <v>2826</v>
      </c>
      <c r="B2827" t="inlineStr">
        <is>
          <t>MTR-IOS-2826</t>
        </is>
      </c>
      <c r="C2827" t="inlineStr">
        <is>
          <t>iPhone</t>
        </is>
      </c>
      <c r="D2827" t="inlineStr">
        <is>
          <t>Business</t>
        </is>
      </c>
      <c r="E2827" t="inlineStr">
        <is>
          <t>Business</t>
        </is>
      </c>
      <c r="F2827" t="inlineStr">
        <is>
          <t>Business Operations</t>
        </is>
      </c>
      <c r="G2827" t="inlineStr">
        <is>
          <t>Accounting</t>
        </is>
      </c>
      <c r="H2827" t="inlineStr">
        <is>
          <t>Business &gt; Business Operations &gt; Quick Add &gt; Accounting</t>
        </is>
      </c>
      <c r="I2827" s="18" t="n">
        <v>62228.27</v>
      </c>
      <c r="J2827" t="inlineStr">
        <is>
          <t>Created MTR-IOS-2826 and correlation note visible in Activity/Pulse</t>
        </is>
      </c>
      <c r="K2827" t="inlineStr">
        <is>
          <t>NOT_RUN</t>
        </is>
      </c>
      <c r="P2827" t="n">
        <v>0</v>
      </c>
      <c r="Q2827" t="n">
        <v>2826</v>
      </c>
    </row>
    <row r="2828">
      <c r="A2828" t="n">
        <v>2827</v>
      </c>
      <c r="B2828" t="inlineStr">
        <is>
          <t>MTR-IOS-2827</t>
        </is>
      </c>
      <c r="C2828" t="inlineStr">
        <is>
          <t>iPhone</t>
        </is>
      </c>
      <c r="D2828" t="inlineStr">
        <is>
          <t>Personal</t>
        </is>
      </c>
      <c r="E2828" t="inlineStr">
        <is>
          <t>Personal</t>
        </is>
      </c>
      <c r="F2828" t="inlineStr">
        <is>
          <t>Relationships</t>
        </is>
      </c>
      <c r="G2828" t="inlineStr">
        <is>
          <t>Celebrations</t>
        </is>
      </c>
      <c r="H2828" t="inlineStr">
        <is>
          <t>Personal &gt; Relationships &gt; Quick Add &gt; Celebrations</t>
        </is>
      </c>
      <c r="I2828" s="18" t="n">
        <v>17731.91</v>
      </c>
      <c r="J2828" t="inlineStr">
        <is>
          <t>Created MTR-IOS-2827 and correlation note visible in Activity/Pulse</t>
        </is>
      </c>
      <c r="K2828" t="inlineStr">
        <is>
          <t>NOT_RUN</t>
        </is>
      </c>
      <c r="P2828" t="n">
        <v>0</v>
      </c>
      <c r="Q2828" t="n">
        <v>2827</v>
      </c>
    </row>
    <row r="2829">
      <c r="A2829" t="n">
        <v>2828</v>
      </c>
      <c r="B2829" t="inlineStr">
        <is>
          <t>MTR-IOS-2828</t>
        </is>
      </c>
      <c r="C2829" t="inlineStr">
        <is>
          <t>iPhone</t>
        </is>
      </c>
      <c r="D2829" t="inlineStr">
        <is>
          <t>Group</t>
        </is>
      </c>
      <c r="E2829" t="inlineStr">
        <is>
          <t>Shared Experience</t>
        </is>
      </c>
      <c r="F2829" t="inlineStr">
        <is>
          <t>Office Outing</t>
        </is>
      </c>
      <c r="G2829" t="inlineStr">
        <is>
          <t>Food</t>
        </is>
      </c>
      <c r="H2829" t="inlineStr">
        <is>
          <t>Group &gt; Office Outing &gt; Quick Add &gt; Food</t>
        </is>
      </c>
      <c r="I2829" s="18" t="n">
        <v>9889.25</v>
      </c>
      <c r="J2829" t="inlineStr">
        <is>
          <t>Created MTR-IOS-2828 and correlation note visible in Activity/Pulse</t>
        </is>
      </c>
      <c r="K2829" t="inlineStr">
        <is>
          <t>NOT_RUN</t>
        </is>
      </c>
      <c r="P2829" t="n">
        <v>0</v>
      </c>
      <c r="Q2829" t="n">
        <v>2828</v>
      </c>
    </row>
    <row r="2830">
      <c r="A2830" t="n">
        <v>2829</v>
      </c>
      <c r="B2830" t="inlineStr">
        <is>
          <t>MTR-IOS-2829</t>
        </is>
      </c>
      <c r="C2830" t="inlineStr">
        <is>
          <t>iPhone</t>
        </is>
      </c>
      <c r="D2830" t="inlineStr">
        <is>
          <t>Business</t>
        </is>
      </c>
      <c r="E2830" t="inlineStr">
        <is>
          <t>Business</t>
        </is>
      </c>
      <c r="F2830" t="inlineStr">
        <is>
          <t>Business Operations</t>
        </is>
      </c>
      <c r="G2830" t="inlineStr">
        <is>
          <t>Equipment</t>
        </is>
      </c>
      <c r="H2830" t="inlineStr">
        <is>
          <t>Business &gt; Business Operations &gt; Quick Add &gt; Equipment</t>
        </is>
      </c>
      <c r="I2830" s="18" t="n">
        <v>92113.72</v>
      </c>
      <c r="J2830" t="inlineStr">
        <is>
          <t>Created MTR-IOS-2829 and correlation note visible in Activity/Pulse</t>
        </is>
      </c>
      <c r="K2830" t="inlineStr">
        <is>
          <t>NOT_RUN</t>
        </is>
      </c>
      <c r="P2830" t="n">
        <v>0</v>
      </c>
      <c r="Q2830" t="n">
        <v>2829</v>
      </c>
    </row>
    <row r="2831">
      <c r="A2831" t="n">
        <v>2830</v>
      </c>
      <c r="B2831" t="inlineStr">
        <is>
          <t>MTR-IOS-2830</t>
        </is>
      </c>
      <c r="C2831" t="inlineStr">
        <is>
          <t>iPhone</t>
        </is>
      </c>
      <c r="D2831" t="inlineStr">
        <is>
          <t>Personal</t>
        </is>
      </c>
      <c r="E2831" t="inlineStr">
        <is>
          <t>Personal</t>
        </is>
      </c>
      <c r="F2831" t="inlineStr">
        <is>
          <t>Life Operations</t>
        </is>
      </c>
      <c r="G2831" t="inlineStr">
        <is>
          <t>Groceries</t>
        </is>
      </c>
      <c r="H2831" t="inlineStr">
        <is>
          <t>Personal &gt; Life Operations &gt; Quick Add &gt; Groceries</t>
        </is>
      </c>
      <c r="I2831" s="18" t="n">
        <v>3000.95</v>
      </c>
      <c r="J2831" t="inlineStr">
        <is>
          <t>Created MTR-IOS-2830 and correlation note visible in Activity/Pulse</t>
        </is>
      </c>
      <c r="K2831" t="inlineStr">
        <is>
          <t>NOT_RUN</t>
        </is>
      </c>
      <c r="P2831" t="n">
        <v>0</v>
      </c>
      <c r="Q2831" t="n">
        <v>2830</v>
      </c>
    </row>
    <row r="2832">
      <c r="A2832" t="n">
        <v>2831</v>
      </c>
      <c r="B2832" t="inlineStr">
        <is>
          <t>MTR-IOS-2831</t>
        </is>
      </c>
      <c r="C2832" t="inlineStr">
        <is>
          <t>iPhone</t>
        </is>
      </c>
      <c r="D2832" t="inlineStr">
        <is>
          <t>Group</t>
        </is>
      </c>
      <c r="E2832" t="inlineStr">
        <is>
          <t>Shared Experience</t>
        </is>
      </c>
      <c r="F2832" t="inlineStr">
        <is>
          <t>Office Outing</t>
        </is>
      </c>
      <c r="G2832" t="inlineStr">
        <is>
          <t>Travel</t>
        </is>
      </c>
      <c r="H2832" t="inlineStr">
        <is>
          <t>Group &gt; Office Outing &gt; Quick Add &gt; Travel</t>
        </is>
      </c>
      <c r="I2832" s="18" t="n">
        <v>25586.85</v>
      </c>
      <c r="J2832" t="inlineStr">
        <is>
          <t>Created MTR-IOS-2831 and correlation note visible in Activity/Pulse</t>
        </is>
      </c>
      <c r="K2832" t="inlineStr">
        <is>
          <t>NOT_RUN</t>
        </is>
      </c>
      <c r="P2832" t="n">
        <v>0</v>
      </c>
      <c r="Q2832" t="n">
        <v>2831</v>
      </c>
    </row>
    <row r="2833">
      <c r="A2833" t="n">
        <v>2832</v>
      </c>
      <c r="B2833" t="inlineStr">
        <is>
          <t>MTR-IOS-2832</t>
        </is>
      </c>
      <c r="C2833" t="inlineStr">
        <is>
          <t>iPhone</t>
        </is>
      </c>
      <c r="D2833" t="inlineStr">
        <is>
          <t>Business</t>
        </is>
      </c>
      <c r="E2833" t="inlineStr">
        <is>
          <t>Business</t>
        </is>
      </c>
      <c r="F2833" t="inlineStr">
        <is>
          <t>Business Operations</t>
        </is>
      </c>
      <c r="G2833" t="inlineStr">
        <is>
          <t>Vendor</t>
        </is>
      </c>
      <c r="H2833" t="inlineStr">
        <is>
          <t>Business &gt; Business Operations &gt; Quick Add &gt; Vendor</t>
        </is>
      </c>
      <c r="I2833" s="18" t="n">
        <v>71381.64</v>
      </c>
      <c r="J2833" t="inlineStr">
        <is>
          <t>Created MTR-IOS-2832 and correlation note visible in Activity/Pulse</t>
        </is>
      </c>
      <c r="K2833" t="inlineStr">
        <is>
          <t>NOT_RUN</t>
        </is>
      </c>
      <c r="P2833" t="n">
        <v>0</v>
      </c>
      <c r="Q2833" t="n">
        <v>2832</v>
      </c>
    </row>
    <row r="2834">
      <c r="A2834" t="n">
        <v>2833</v>
      </c>
      <c r="B2834" t="inlineStr">
        <is>
          <t>MTR-IOS-2833</t>
        </is>
      </c>
      <c r="C2834" t="inlineStr">
        <is>
          <t>iPhone</t>
        </is>
      </c>
      <c r="D2834" t="inlineStr">
        <is>
          <t>Personal</t>
        </is>
      </c>
      <c r="E2834" t="inlineStr">
        <is>
          <t>Personal</t>
        </is>
      </c>
      <c r="F2834" t="inlineStr">
        <is>
          <t>Life Operations</t>
        </is>
      </c>
      <c r="G2834" t="inlineStr">
        <is>
          <t>Rent</t>
        </is>
      </c>
      <c r="H2834" t="inlineStr">
        <is>
          <t>Personal &gt; Life Operations &gt; Quick Add &gt; Rent</t>
        </is>
      </c>
      <c r="I2834" s="18" t="n">
        <v>7823.63</v>
      </c>
      <c r="J2834" t="inlineStr">
        <is>
          <t>Created MTR-IOS-2833 and correlation note visible in Activity/Pulse</t>
        </is>
      </c>
      <c r="K2834" t="inlineStr">
        <is>
          <t>NOT_RUN</t>
        </is>
      </c>
      <c r="P2834" t="n">
        <v>0</v>
      </c>
      <c r="Q2834" t="n">
        <v>2833</v>
      </c>
    </row>
    <row r="2835">
      <c r="A2835" t="n">
        <v>2834</v>
      </c>
      <c r="B2835" t="inlineStr">
        <is>
          <t>MTR-IOS-2834</t>
        </is>
      </c>
      <c r="C2835" t="inlineStr">
        <is>
          <t>iPhone</t>
        </is>
      </c>
      <c r="D2835" t="inlineStr">
        <is>
          <t>Group</t>
        </is>
      </c>
      <c r="E2835" t="inlineStr">
        <is>
          <t>Shared Experience</t>
        </is>
      </c>
      <c r="F2835" t="inlineStr">
        <is>
          <t>Office Outing</t>
        </is>
      </c>
      <c r="G2835" t="inlineStr">
        <is>
          <t>Activities</t>
        </is>
      </c>
      <c r="H2835" t="inlineStr">
        <is>
          <t>Group &gt; Office Outing &gt; Quick Add &gt; Activities</t>
        </is>
      </c>
      <c r="I2835" s="18" t="n">
        <v>20032.75</v>
      </c>
      <c r="J2835" t="inlineStr">
        <is>
          <t>Created MTR-IOS-2834 and correlation note visible in Activity/Pulse</t>
        </is>
      </c>
      <c r="K2835" t="inlineStr">
        <is>
          <t>NOT_RUN</t>
        </is>
      </c>
      <c r="P2835" t="n">
        <v>0</v>
      </c>
      <c r="Q2835" t="n">
        <v>2834</v>
      </c>
    </row>
    <row r="2836">
      <c r="A2836" t="n">
        <v>2835</v>
      </c>
      <c r="B2836" t="inlineStr">
        <is>
          <t>MTR-IOS-2835</t>
        </is>
      </c>
      <c r="C2836" t="inlineStr">
        <is>
          <t>iPhone</t>
        </is>
      </c>
      <c r="D2836" t="inlineStr">
        <is>
          <t>Business</t>
        </is>
      </c>
      <c r="E2836" t="inlineStr">
        <is>
          <t>Business</t>
        </is>
      </c>
      <c r="F2836" t="inlineStr">
        <is>
          <t>Business Operations</t>
        </is>
      </c>
      <c r="G2836" t="inlineStr">
        <is>
          <t>Tax</t>
        </is>
      </c>
      <c r="H2836" t="inlineStr">
        <is>
          <t>Business &gt; Business Operations &gt; Quick Add &gt; Tax</t>
        </is>
      </c>
      <c r="I2836" s="18" t="n">
        <v>80056.78999999999</v>
      </c>
      <c r="J2836" t="inlineStr">
        <is>
          <t>Created MTR-IOS-2835 and correlation note visible in Activity/Pulse</t>
        </is>
      </c>
      <c r="K2836" t="inlineStr">
        <is>
          <t>NOT_RUN</t>
        </is>
      </c>
      <c r="P2836" t="n">
        <v>0</v>
      </c>
      <c r="Q2836" t="n">
        <v>2835</v>
      </c>
    </row>
    <row r="2837">
      <c r="A2837" t="n">
        <v>2836</v>
      </c>
      <c r="B2837" t="inlineStr">
        <is>
          <t>MTR-IOS-2836</t>
        </is>
      </c>
      <c r="C2837" t="inlineStr">
        <is>
          <t>iPhone</t>
        </is>
      </c>
      <c r="D2837" t="inlineStr">
        <is>
          <t>Personal</t>
        </is>
      </c>
      <c r="E2837" t="inlineStr">
        <is>
          <t>Personal</t>
        </is>
      </c>
      <c r="F2837" t="inlineStr">
        <is>
          <t>Life Operations</t>
        </is>
      </c>
      <c r="G2837" t="inlineStr">
        <is>
          <t>Bills</t>
        </is>
      </c>
      <c r="H2837" t="inlineStr">
        <is>
          <t>Personal &gt; Life Operations &gt; Quick Add &gt; Bills</t>
        </is>
      </c>
      <c r="I2837" s="18" t="n">
        <v>10037.53</v>
      </c>
      <c r="J2837" t="inlineStr">
        <is>
          <t>Created MTR-IOS-2836 and correlation note visible in Activity/Pulse</t>
        </is>
      </c>
      <c r="K2837" t="inlineStr">
        <is>
          <t>NOT_RUN</t>
        </is>
      </c>
      <c r="P2837" t="n">
        <v>0</v>
      </c>
      <c r="Q2837" t="n">
        <v>2836</v>
      </c>
    </row>
    <row r="2838">
      <c r="A2838" t="n">
        <v>2837</v>
      </c>
      <c r="B2838" t="inlineStr">
        <is>
          <t>MTR-IOS-2837</t>
        </is>
      </c>
      <c r="C2838" t="inlineStr">
        <is>
          <t>iPhone</t>
        </is>
      </c>
      <c r="D2838" t="inlineStr">
        <is>
          <t>Group</t>
        </is>
      </c>
      <c r="E2838" t="inlineStr">
        <is>
          <t>Shared Experience</t>
        </is>
      </c>
      <c r="F2838" t="inlineStr">
        <is>
          <t>Office Outing</t>
        </is>
      </c>
      <c r="G2838" t="inlineStr">
        <is>
          <t>Venue</t>
        </is>
      </c>
      <c r="H2838" t="inlineStr">
        <is>
          <t>Group &gt; Office Outing &gt; Quick Add &gt; Venue</t>
        </is>
      </c>
      <c r="I2838" s="18" t="n">
        <v>3184.56</v>
      </c>
      <c r="J2838" t="inlineStr">
        <is>
          <t>Created MTR-IOS-2837 and correlation note visible in Activity/Pulse</t>
        </is>
      </c>
      <c r="K2838" t="inlineStr">
        <is>
          <t>NOT_RUN</t>
        </is>
      </c>
      <c r="P2838" t="n">
        <v>0</v>
      </c>
      <c r="Q2838" t="n">
        <v>2837</v>
      </c>
    </row>
    <row r="2839">
      <c r="A2839" t="n">
        <v>2838</v>
      </c>
      <c r="B2839" t="inlineStr">
        <is>
          <t>MTR-IOS-2838</t>
        </is>
      </c>
      <c r="C2839" t="inlineStr">
        <is>
          <t>iPhone</t>
        </is>
      </c>
      <c r="D2839" t="inlineStr">
        <is>
          <t>Business</t>
        </is>
      </c>
      <c r="E2839" t="inlineStr">
        <is>
          <t>Business</t>
        </is>
      </c>
      <c r="F2839" t="inlineStr">
        <is>
          <t>Team Operations</t>
        </is>
      </c>
      <c r="G2839" t="inlineStr">
        <is>
          <t>Payroll</t>
        </is>
      </c>
      <c r="H2839" t="inlineStr">
        <is>
          <t>Business &gt; Team Operations &gt; Quick Add &gt; Payroll</t>
        </is>
      </c>
      <c r="I2839" s="18" t="n">
        <v>85276.42</v>
      </c>
      <c r="J2839" t="inlineStr">
        <is>
          <t>Created MTR-IOS-2838 and correlation note visible in Activity/Pulse</t>
        </is>
      </c>
      <c r="K2839" t="inlineStr">
        <is>
          <t>NOT_RUN</t>
        </is>
      </c>
      <c r="P2839" t="n">
        <v>0</v>
      </c>
      <c r="Q2839" t="n">
        <v>2838</v>
      </c>
    </row>
    <row r="2840">
      <c r="A2840" t="n">
        <v>2839</v>
      </c>
      <c r="B2840" t="inlineStr">
        <is>
          <t>MTR-IOS-2839</t>
        </is>
      </c>
      <c r="C2840" t="inlineStr">
        <is>
          <t>iPhone</t>
        </is>
      </c>
      <c r="D2840" t="inlineStr">
        <is>
          <t>Personal</t>
        </is>
      </c>
      <c r="E2840" t="inlineStr">
        <is>
          <t>Personal</t>
        </is>
      </c>
      <c r="F2840" t="inlineStr">
        <is>
          <t>Life Operations</t>
        </is>
      </c>
      <c r="G2840" t="inlineStr">
        <is>
          <t>Transport</t>
        </is>
      </c>
      <c r="H2840" t="inlineStr">
        <is>
          <t>Personal &gt; Life Operations &gt; Quick Add &gt; Transport</t>
        </is>
      </c>
      <c r="I2840" s="18" t="n">
        <v>8735.969999999999</v>
      </c>
      <c r="J2840" t="inlineStr">
        <is>
          <t>Created MTR-IOS-2839 and correlation note visible in Activity/Pulse</t>
        </is>
      </c>
      <c r="K2840" t="inlineStr">
        <is>
          <t>NOT_RUN</t>
        </is>
      </c>
      <c r="P2840" t="n">
        <v>0</v>
      </c>
      <c r="Q2840" t="n">
        <v>2839</v>
      </c>
    </row>
    <row r="2841">
      <c r="A2841" t="n">
        <v>2840</v>
      </c>
      <c r="B2841" t="inlineStr">
        <is>
          <t>MTR-IOS-2840</t>
        </is>
      </c>
      <c r="C2841" t="inlineStr">
        <is>
          <t>iPhone</t>
        </is>
      </c>
      <c r="D2841" t="inlineStr">
        <is>
          <t>Group</t>
        </is>
      </c>
      <c r="E2841" t="inlineStr">
        <is>
          <t>Shared Experience</t>
        </is>
      </c>
      <c r="F2841" t="inlineStr">
        <is>
          <t>Office Outing</t>
        </is>
      </c>
      <c r="G2841" t="inlineStr">
        <is>
          <t>Other</t>
        </is>
      </c>
      <c r="H2841" t="inlineStr">
        <is>
          <t>Group &gt; Office Outing &gt; Quick Add &gt; Other</t>
        </is>
      </c>
      <c r="I2841" s="18" t="n">
        <v>26607.08</v>
      </c>
      <c r="J2841" t="inlineStr">
        <is>
          <t>Created MTR-IOS-2840 and correlation note visible in Activity/Pulse</t>
        </is>
      </c>
      <c r="K2841" t="inlineStr">
        <is>
          <t>NOT_RUN</t>
        </is>
      </c>
      <c r="P2841" t="n">
        <v>0</v>
      </c>
      <c r="Q2841" t="n">
        <v>2840</v>
      </c>
    </row>
    <row r="2842">
      <c r="A2842" t="n">
        <v>2841</v>
      </c>
      <c r="B2842" t="inlineStr">
        <is>
          <t>MTR-IOS-2841</t>
        </is>
      </c>
      <c r="C2842" t="inlineStr">
        <is>
          <t>iPhone</t>
        </is>
      </c>
      <c r="D2842" t="inlineStr">
        <is>
          <t>Business</t>
        </is>
      </c>
      <c r="E2842" t="inlineStr">
        <is>
          <t>Business</t>
        </is>
      </c>
      <c r="F2842" t="inlineStr">
        <is>
          <t>Team Operations</t>
        </is>
      </c>
      <c r="G2842" t="inlineStr">
        <is>
          <t>Contractor</t>
        </is>
      </c>
      <c r="H2842" t="inlineStr">
        <is>
          <t>Business &gt; Team Operations &gt; Quick Add &gt; Contractor</t>
        </is>
      </c>
      <c r="I2842" s="18" t="n">
        <v>135576.98</v>
      </c>
      <c r="J2842" t="inlineStr">
        <is>
          <t>Created MTR-IOS-2841 and correlation note visible in Activity/Pulse</t>
        </is>
      </c>
      <c r="K2842" t="inlineStr">
        <is>
          <t>NOT_RUN</t>
        </is>
      </c>
      <c r="P2842" t="n">
        <v>0</v>
      </c>
      <c r="Q2842" t="n">
        <v>2841</v>
      </c>
    </row>
    <row r="2843">
      <c r="A2843" t="n">
        <v>2842</v>
      </c>
      <c r="B2843" t="inlineStr">
        <is>
          <t>MTR-IOS-2842</t>
        </is>
      </c>
      <c r="C2843" t="inlineStr">
        <is>
          <t>iPhone</t>
        </is>
      </c>
      <c r="D2843" t="inlineStr">
        <is>
          <t>Personal</t>
        </is>
      </c>
      <c r="E2843" t="inlineStr">
        <is>
          <t>Personal</t>
        </is>
      </c>
      <c r="F2843" t="inlineStr">
        <is>
          <t>Life Operations</t>
        </is>
      </c>
      <c r="G2843" t="inlineStr">
        <is>
          <t>Healthcare</t>
        </is>
      </c>
      <c r="H2843" t="inlineStr">
        <is>
          <t>Personal &gt; Life Operations &gt; Quick Add &gt; Healthcare</t>
        </is>
      </c>
      <c r="I2843" s="18" t="n">
        <v>4186.24</v>
      </c>
      <c r="J2843" t="inlineStr">
        <is>
          <t>Created MTR-IOS-2842 and correlation note visible in Activity/Pulse</t>
        </is>
      </c>
      <c r="K2843" t="inlineStr">
        <is>
          <t>NOT_RUN</t>
        </is>
      </c>
      <c r="P2843" t="n">
        <v>0</v>
      </c>
      <c r="Q2843" t="n">
        <v>2842</v>
      </c>
    </row>
    <row r="2844">
      <c r="A2844" t="n">
        <v>2843</v>
      </c>
      <c r="B2844" t="inlineStr">
        <is>
          <t>MTR-IOS-2843</t>
        </is>
      </c>
      <c r="C2844" t="inlineStr">
        <is>
          <t>iPhone</t>
        </is>
      </c>
      <c r="D2844" t="inlineStr">
        <is>
          <t>Group</t>
        </is>
      </c>
      <c r="E2844" t="inlineStr">
        <is>
          <t>Shared Experience</t>
        </is>
      </c>
      <c r="F2844" t="inlineStr">
        <is>
          <t>House Party</t>
        </is>
      </c>
      <c r="G2844" t="inlineStr">
        <is>
          <t>Food</t>
        </is>
      </c>
      <c r="H2844" t="inlineStr">
        <is>
          <t>Group &gt; House Party &gt; Quick Add &gt; Food</t>
        </is>
      </c>
      <c r="I2844" s="18" t="n">
        <v>11429.06</v>
      </c>
      <c r="J2844" t="inlineStr">
        <is>
          <t>Created MTR-IOS-2843 and correlation note visible in Activity/Pulse</t>
        </is>
      </c>
      <c r="K2844" t="inlineStr">
        <is>
          <t>NOT_RUN</t>
        </is>
      </c>
      <c r="P2844" t="n">
        <v>0</v>
      </c>
      <c r="Q2844" t="n">
        <v>2843</v>
      </c>
    </row>
    <row r="2845">
      <c r="A2845" t="n">
        <v>2844</v>
      </c>
      <c r="B2845" t="inlineStr">
        <is>
          <t>MTR-IOS-2844</t>
        </is>
      </c>
      <c r="C2845" t="inlineStr">
        <is>
          <t>iPhone</t>
        </is>
      </c>
      <c r="D2845" t="inlineStr">
        <is>
          <t>Business</t>
        </is>
      </c>
      <c r="E2845" t="inlineStr">
        <is>
          <t>Business</t>
        </is>
      </c>
      <c r="F2845" t="inlineStr">
        <is>
          <t>Team Operations</t>
        </is>
      </c>
      <c r="G2845" t="inlineStr">
        <is>
          <t>Hiring</t>
        </is>
      </c>
      <c r="H2845" t="inlineStr">
        <is>
          <t>Business &gt; Team Operations &gt; Quick Add &gt; Hiring</t>
        </is>
      </c>
      <c r="I2845" s="18" t="n">
        <v>122674.65</v>
      </c>
      <c r="J2845" t="inlineStr">
        <is>
          <t>Created MTR-IOS-2844 and correlation note visible in Activity/Pulse</t>
        </is>
      </c>
      <c r="K2845" t="inlineStr">
        <is>
          <t>NOT_RUN</t>
        </is>
      </c>
      <c r="P2845" t="n">
        <v>0</v>
      </c>
      <c r="Q2845" t="n">
        <v>2844</v>
      </c>
    </row>
    <row r="2846">
      <c r="A2846" t="n">
        <v>2845</v>
      </c>
      <c r="B2846" t="inlineStr">
        <is>
          <t>MTR-IOS-2845</t>
        </is>
      </c>
      <c r="C2846" t="inlineStr">
        <is>
          <t>iPhone</t>
        </is>
      </c>
      <c r="D2846" t="inlineStr">
        <is>
          <t>Personal</t>
        </is>
      </c>
      <c r="E2846" t="inlineStr">
        <is>
          <t>Personal</t>
        </is>
      </c>
      <c r="F2846" t="inlineStr">
        <is>
          <t>Life Operations</t>
        </is>
      </c>
      <c r="G2846" t="inlineStr">
        <is>
          <t>Subscriptions</t>
        </is>
      </c>
      <c r="H2846" t="inlineStr">
        <is>
          <t>Personal &gt; Life Operations &gt; Quick Add &gt; Subscriptions</t>
        </is>
      </c>
      <c r="I2846" s="18" t="n">
        <v>13064.2</v>
      </c>
      <c r="J2846" t="inlineStr">
        <is>
          <t>Created MTR-IOS-2845 and correlation note visible in Activity/Pulse</t>
        </is>
      </c>
      <c r="K2846" t="inlineStr">
        <is>
          <t>NOT_RUN</t>
        </is>
      </c>
      <c r="P2846" t="n">
        <v>0</v>
      </c>
      <c r="Q2846" t="n">
        <v>2845</v>
      </c>
    </row>
    <row r="2847">
      <c r="A2847" t="n">
        <v>2846</v>
      </c>
      <c r="B2847" t="inlineStr">
        <is>
          <t>MTR-IOS-2846</t>
        </is>
      </c>
      <c r="C2847" t="inlineStr">
        <is>
          <t>iPhone</t>
        </is>
      </c>
      <c r="D2847" t="inlineStr">
        <is>
          <t>Group</t>
        </is>
      </c>
      <c r="E2847" t="inlineStr">
        <is>
          <t>Shared Experience</t>
        </is>
      </c>
      <c r="F2847" t="inlineStr">
        <is>
          <t>House Party</t>
        </is>
      </c>
      <c r="G2847" t="inlineStr">
        <is>
          <t>Drinks</t>
        </is>
      </c>
      <c r="H2847" t="inlineStr">
        <is>
          <t>Group &gt; House Party &gt; Quick Add &gt; Drinks</t>
        </is>
      </c>
      <c r="I2847" s="18" t="n">
        <v>9939.24</v>
      </c>
      <c r="J2847" t="inlineStr">
        <is>
          <t>Created MTR-IOS-2846 and correlation note visible in Activity/Pulse</t>
        </is>
      </c>
      <c r="K2847" t="inlineStr">
        <is>
          <t>NOT_RUN</t>
        </is>
      </c>
      <c r="P2847" t="n">
        <v>0</v>
      </c>
      <c r="Q2847" t="n">
        <v>2846</v>
      </c>
    </row>
    <row r="2848">
      <c r="A2848" t="n">
        <v>2847</v>
      </c>
      <c r="B2848" t="inlineStr">
        <is>
          <t>MTR-IOS-2847</t>
        </is>
      </c>
      <c r="C2848" t="inlineStr">
        <is>
          <t>iPhone</t>
        </is>
      </c>
      <c r="D2848" t="inlineStr">
        <is>
          <t>Business</t>
        </is>
      </c>
      <c r="E2848" t="inlineStr">
        <is>
          <t>Business</t>
        </is>
      </c>
      <c r="F2848" t="inlineStr">
        <is>
          <t>Team Operations</t>
        </is>
      </c>
      <c r="G2848" t="inlineStr">
        <is>
          <t>Team Meal</t>
        </is>
      </c>
      <c r="H2848" t="inlineStr">
        <is>
          <t>Business &gt; Team Operations &gt; Quick Add &gt; Team Meal</t>
        </is>
      </c>
      <c r="I2848" s="18" t="n">
        <v>38908.23</v>
      </c>
      <c r="J2848" t="inlineStr">
        <is>
          <t>Created MTR-IOS-2847 and correlation note visible in Activity/Pulse</t>
        </is>
      </c>
      <c r="K2848" t="inlineStr">
        <is>
          <t>NOT_RUN</t>
        </is>
      </c>
      <c r="P2848" t="n">
        <v>0</v>
      </c>
      <c r="Q2848" t="n">
        <v>2847</v>
      </c>
    </row>
    <row r="2849">
      <c r="A2849" t="n">
        <v>2848</v>
      </c>
      <c r="B2849" t="inlineStr">
        <is>
          <t>MTR-IOS-2848</t>
        </is>
      </c>
      <c r="C2849" t="inlineStr">
        <is>
          <t>iPhone</t>
        </is>
      </c>
      <c r="D2849" t="inlineStr">
        <is>
          <t>Personal</t>
        </is>
      </c>
      <c r="E2849" t="inlineStr">
        <is>
          <t>Personal</t>
        </is>
      </c>
      <c r="F2849" t="inlineStr">
        <is>
          <t>Life Operations</t>
        </is>
      </c>
      <c r="G2849" t="inlineStr">
        <is>
          <t>Repairs</t>
        </is>
      </c>
      <c r="H2849" t="inlineStr">
        <is>
          <t>Personal &gt; Life Operations &gt; Quick Add &gt; Repairs</t>
        </is>
      </c>
      <c r="I2849" s="18" t="n">
        <v>490.97</v>
      </c>
      <c r="J2849" t="inlineStr">
        <is>
          <t>Created MTR-IOS-2848 and correlation note visible in Activity/Pulse</t>
        </is>
      </c>
      <c r="K2849" t="inlineStr">
        <is>
          <t>NOT_RUN</t>
        </is>
      </c>
      <c r="P2849" t="n">
        <v>0</v>
      </c>
      <c r="Q2849" t="n">
        <v>2848</v>
      </c>
    </row>
    <row r="2850">
      <c r="A2850" t="n">
        <v>2849</v>
      </c>
      <c r="B2850" t="inlineStr">
        <is>
          <t>MTR-IOS-2849</t>
        </is>
      </c>
      <c r="C2850" t="inlineStr">
        <is>
          <t>iPhone</t>
        </is>
      </c>
      <c r="D2850" t="inlineStr">
        <is>
          <t>Group</t>
        </is>
      </c>
      <c r="E2850" t="inlineStr">
        <is>
          <t>Shared Experience</t>
        </is>
      </c>
      <c r="F2850" t="inlineStr">
        <is>
          <t>House Party</t>
        </is>
      </c>
      <c r="G2850" t="inlineStr">
        <is>
          <t>Decor</t>
        </is>
      </c>
      <c r="H2850" t="inlineStr">
        <is>
          <t>Group &gt; House Party &gt; Quick Add &gt; Decor</t>
        </is>
      </c>
      <c r="I2850" s="18" t="n">
        <v>10000</v>
      </c>
      <c r="J2850" t="inlineStr">
        <is>
          <t>Created MTR-IOS-2849 and correlation note visible in Activity/Pulse</t>
        </is>
      </c>
      <c r="K2850" t="inlineStr">
        <is>
          <t>NOT_RUN</t>
        </is>
      </c>
      <c r="P2850" t="n">
        <v>0</v>
      </c>
      <c r="Q2850" t="n">
        <v>2849</v>
      </c>
    </row>
    <row r="2851">
      <c r="A2851" t="n">
        <v>2850</v>
      </c>
      <c r="B2851" t="inlineStr">
        <is>
          <t>MTR-IOS-2850</t>
        </is>
      </c>
      <c r="C2851" t="inlineStr">
        <is>
          <t>iPhone</t>
        </is>
      </c>
      <c r="D2851" t="inlineStr">
        <is>
          <t>Business</t>
        </is>
      </c>
      <c r="E2851" t="inlineStr">
        <is>
          <t>Business</t>
        </is>
      </c>
      <c r="F2851" t="inlineStr">
        <is>
          <t>Team Operations</t>
        </is>
      </c>
      <c r="G2851" t="inlineStr">
        <is>
          <t>Travel</t>
        </is>
      </c>
      <c r="H2851" t="inlineStr">
        <is>
          <t>Business &gt; Team Operations &gt; Quick Add &gt; Travel</t>
        </is>
      </c>
      <c r="I2851" s="18" t="n">
        <v>136535.2</v>
      </c>
      <c r="J2851" t="inlineStr">
        <is>
          <t>Created MTR-IOS-2850 and correlation note visible in Activity/Pulse</t>
        </is>
      </c>
      <c r="K2851" t="inlineStr">
        <is>
          <t>NOT_RUN</t>
        </is>
      </c>
      <c r="P2851" t="n">
        <v>0</v>
      </c>
      <c r="Q2851" t="n">
        <v>2850</v>
      </c>
    </row>
    <row r="2852">
      <c r="A2852" t="n">
        <v>2851</v>
      </c>
      <c r="B2852" t="inlineStr">
        <is>
          <t>MTR-IOS-2851</t>
        </is>
      </c>
      <c r="C2852" t="inlineStr">
        <is>
          <t>iPhone</t>
        </is>
      </c>
      <c r="D2852" t="inlineStr">
        <is>
          <t>Personal</t>
        </is>
      </c>
      <c r="E2852" t="inlineStr">
        <is>
          <t>Personal</t>
        </is>
      </c>
      <c r="F2852" t="inlineStr">
        <is>
          <t>Future Building</t>
        </is>
      </c>
      <c r="G2852" t="inlineStr">
        <is>
          <t>Savings</t>
        </is>
      </c>
      <c r="H2852" t="inlineStr">
        <is>
          <t>Personal &gt; Future Building &gt; Quick Add &gt; Savings</t>
        </is>
      </c>
      <c r="I2852" s="18" t="n">
        <v>5068.4</v>
      </c>
      <c r="J2852" t="inlineStr">
        <is>
          <t>Created MTR-IOS-2851 and correlation note visible in Activity/Pulse</t>
        </is>
      </c>
      <c r="K2852" t="inlineStr">
        <is>
          <t>NOT_RUN</t>
        </is>
      </c>
      <c r="P2852" t="n">
        <v>0</v>
      </c>
      <c r="Q2852" t="n">
        <v>2851</v>
      </c>
    </row>
    <row r="2853">
      <c r="A2853" t="n">
        <v>2852</v>
      </c>
      <c r="B2853" t="inlineStr">
        <is>
          <t>MTR-IOS-2852</t>
        </is>
      </c>
      <c r="C2853" t="inlineStr">
        <is>
          <t>iPhone</t>
        </is>
      </c>
      <c r="D2853" t="inlineStr">
        <is>
          <t>Group</t>
        </is>
      </c>
      <c r="E2853" t="inlineStr">
        <is>
          <t>Shared Experience</t>
        </is>
      </c>
      <c r="F2853" t="inlineStr">
        <is>
          <t>House Party</t>
        </is>
      </c>
      <c r="G2853" t="inlineStr">
        <is>
          <t>Supplies</t>
        </is>
      </c>
      <c r="H2853" t="inlineStr">
        <is>
          <t>Group &gt; House Party &gt; Quick Add &gt; Supplies</t>
        </is>
      </c>
      <c r="I2853" s="18" t="n">
        <v>4515.72</v>
      </c>
      <c r="J2853" t="inlineStr">
        <is>
          <t>Created MTR-IOS-2852 and correlation note visible in Activity/Pulse</t>
        </is>
      </c>
      <c r="K2853" t="inlineStr">
        <is>
          <t>NOT_RUN</t>
        </is>
      </c>
      <c r="P2853" t="n">
        <v>0</v>
      </c>
      <c r="Q2853" t="n">
        <v>2852</v>
      </c>
    </row>
    <row r="2854">
      <c r="A2854" t="n">
        <v>2853</v>
      </c>
      <c r="B2854" t="inlineStr">
        <is>
          <t>MTR-IOS-2853</t>
        </is>
      </c>
      <c r="C2854" t="inlineStr">
        <is>
          <t>iPhone</t>
        </is>
      </c>
      <c r="D2854" t="inlineStr">
        <is>
          <t>Business</t>
        </is>
      </c>
      <c r="E2854" t="inlineStr">
        <is>
          <t>Business</t>
        </is>
      </c>
      <c r="F2854" t="inlineStr">
        <is>
          <t>Team Operations</t>
        </is>
      </c>
      <c r="G2854" t="inlineStr">
        <is>
          <t>Training</t>
        </is>
      </c>
      <c r="H2854" t="inlineStr">
        <is>
          <t>Business &gt; Team Operations &gt; Quick Add &gt; Training</t>
        </is>
      </c>
      <c r="I2854" s="18" t="n">
        <v>87244.77</v>
      </c>
      <c r="J2854" t="inlineStr">
        <is>
          <t>Created MTR-IOS-2853 and correlation note visible in Activity/Pulse</t>
        </is>
      </c>
      <c r="K2854" t="inlineStr">
        <is>
          <t>NOT_RUN</t>
        </is>
      </c>
      <c r="P2854" t="n">
        <v>0</v>
      </c>
      <c r="Q2854" t="n">
        <v>2853</v>
      </c>
    </row>
    <row r="2855">
      <c r="A2855" t="n">
        <v>2854</v>
      </c>
      <c r="B2855" t="inlineStr">
        <is>
          <t>MTR-IOS-2854</t>
        </is>
      </c>
      <c r="C2855" t="inlineStr">
        <is>
          <t>iPhone</t>
        </is>
      </c>
      <c r="D2855" t="inlineStr">
        <is>
          <t>Personal</t>
        </is>
      </c>
      <c r="E2855" t="inlineStr">
        <is>
          <t>Personal</t>
        </is>
      </c>
      <c r="F2855" t="inlineStr">
        <is>
          <t>Future Building</t>
        </is>
      </c>
      <c r="G2855" t="inlineStr">
        <is>
          <t>Emergency Fund</t>
        </is>
      </c>
      <c r="H2855" t="inlineStr">
        <is>
          <t>Personal &gt; Future Building &gt; Quick Add &gt; Emergency Fund</t>
        </is>
      </c>
      <c r="I2855" s="18" t="n">
        <v>8818.4</v>
      </c>
      <c r="J2855" t="inlineStr">
        <is>
          <t>Created MTR-IOS-2854 and correlation note visible in Activity/Pulse</t>
        </is>
      </c>
      <c r="K2855" t="inlineStr">
        <is>
          <t>NOT_RUN</t>
        </is>
      </c>
      <c r="P2855" t="n">
        <v>0</v>
      </c>
      <c r="Q2855" t="n">
        <v>2854</v>
      </c>
    </row>
    <row r="2856">
      <c r="A2856" t="n">
        <v>2855</v>
      </c>
      <c r="B2856" t="inlineStr">
        <is>
          <t>MTR-IOS-2855</t>
        </is>
      </c>
      <c r="C2856" t="inlineStr">
        <is>
          <t>iPhone</t>
        </is>
      </c>
      <c r="D2856" t="inlineStr">
        <is>
          <t>Group</t>
        </is>
      </c>
      <c r="E2856" t="inlineStr">
        <is>
          <t>Shared Experience</t>
        </is>
      </c>
      <c r="F2856" t="inlineStr">
        <is>
          <t>House Party</t>
        </is>
      </c>
      <c r="G2856" t="inlineStr">
        <is>
          <t>Other</t>
        </is>
      </c>
      <c r="H2856" t="inlineStr">
        <is>
          <t>Group &gt; House Party &gt; Quick Add &gt; Other</t>
        </is>
      </c>
      <c r="I2856" s="18" t="n">
        <v>25072.38</v>
      </c>
      <c r="J2856" t="inlineStr">
        <is>
          <t>Created MTR-IOS-2855 and correlation note visible in Activity/Pulse</t>
        </is>
      </c>
      <c r="K2856" t="inlineStr">
        <is>
          <t>NOT_RUN</t>
        </is>
      </c>
      <c r="P2856" t="n">
        <v>0</v>
      </c>
      <c r="Q2856" t="n">
        <v>2855</v>
      </c>
    </row>
    <row r="2857">
      <c r="A2857" t="n">
        <v>2856</v>
      </c>
      <c r="B2857" t="inlineStr">
        <is>
          <t>MTR-IOS-2856</t>
        </is>
      </c>
      <c r="C2857" t="inlineStr">
        <is>
          <t>iPhone</t>
        </is>
      </c>
      <c r="D2857" t="inlineStr">
        <is>
          <t>Business</t>
        </is>
      </c>
      <c r="E2857" t="inlineStr">
        <is>
          <t>Business</t>
        </is>
      </c>
      <c r="F2857" t="inlineStr">
        <is>
          <t>Team Operations</t>
        </is>
      </c>
      <c r="G2857" t="inlineStr">
        <is>
          <t>Tools</t>
        </is>
      </c>
      <c r="H2857" t="inlineStr">
        <is>
          <t>Business &gt; Team Operations &gt; Quick Add &gt; Tools</t>
        </is>
      </c>
      <c r="I2857" s="18" t="n">
        <v>30877.46</v>
      </c>
      <c r="J2857" t="inlineStr">
        <is>
          <t>Created MTR-IOS-2856 and correlation note visible in Activity/Pulse</t>
        </is>
      </c>
      <c r="K2857" t="inlineStr">
        <is>
          <t>NOT_RUN</t>
        </is>
      </c>
      <c r="P2857" t="n">
        <v>0</v>
      </c>
      <c r="Q2857" t="n">
        <v>2856</v>
      </c>
    </row>
    <row r="2858">
      <c r="A2858" t="n">
        <v>2857</v>
      </c>
      <c r="B2858" t="inlineStr">
        <is>
          <t>MTR-IOS-2857</t>
        </is>
      </c>
      <c r="C2858" t="inlineStr">
        <is>
          <t>iPhone</t>
        </is>
      </c>
      <c r="D2858" t="inlineStr">
        <is>
          <t>Personal</t>
        </is>
      </c>
      <c r="E2858" t="inlineStr">
        <is>
          <t>Personal</t>
        </is>
      </c>
      <c r="F2858" t="inlineStr">
        <is>
          <t>Future Building</t>
        </is>
      </c>
      <c r="G2858" t="inlineStr">
        <is>
          <t>Investments</t>
        </is>
      </c>
      <c r="H2858" t="inlineStr">
        <is>
          <t>Personal &gt; Future Building &gt; Quick Add &gt; Investments</t>
        </is>
      </c>
      <c r="I2858" s="18" t="n">
        <v>4111.79</v>
      </c>
      <c r="J2858" t="inlineStr">
        <is>
          <t>Created MTR-IOS-2857 and correlation note visible in Activity/Pulse</t>
        </is>
      </c>
      <c r="K2858" t="inlineStr">
        <is>
          <t>NOT_RUN</t>
        </is>
      </c>
      <c r="P2858" t="n">
        <v>0</v>
      </c>
      <c r="Q2858" t="n">
        <v>2857</v>
      </c>
    </row>
    <row r="2859">
      <c r="A2859" t="n">
        <v>2858</v>
      </c>
      <c r="B2859" t="inlineStr">
        <is>
          <t>MTR-IOS-2858</t>
        </is>
      </c>
      <c r="C2859" t="inlineStr">
        <is>
          <t>iPhone</t>
        </is>
      </c>
      <c r="D2859" t="inlineStr">
        <is>
          <t>Group</t>
        </is>
      </c>
      <c r="E2859" t="inlineStr">
        <is>
          <t>Shared Purchase</t>
        </is>
      </c>
      <c r="F2859" t="inlineStr">
        <is>
          <t>Gift Pool</t>
        </is>
      </c>
      <c r="G2859" t="inlineStr">
        <is>
          <t>Contribution</t>
        </is>
      </c>
      <c r="H2859" t="inlineStr">
        <is>
          <t>Group &gt; Gift Pool &gt; Quick Add &gt; Contribution</t>
        </is>
      </c>
      <c r="I2859" s="18" t="n">
        <v>20903.62</v>
      </c>
      <c r="J2859" t="inlineStr">
        <is>
          <t>Created MTR-IOS-2858 and correlation note visible in Activity/Pulse</t>
        </is>
      </c>
      <c r="K2859" t="inlineStr">
        <is>
          <t>NOT_RUN</t>
        </is>
      </c>
      <c r="P2859" t="n">
        <v>0</v>
      </c>
      <c r="Q2859" t="n">
        <v>2858</v>
      </c>
    </row>
    <row r="2860">
      <c r="A2860" t="n">
        <v>2859</v>
      </c>
      <c r="B2860" t="inlineStr">
        <is>
          <t>MTR-IOS-2859</t>
        </is>
      </c>
      <c r="C2860" t="inlineStr">
        <is>
          <t>iPhone</t>
        </is>
      </c>
      <c r="D2860" t="inlineStr">
        <is>
          <t>Business</t>
        </is>
      </c>
      <c r="E2860" t="inlineStr">
        <is>
          <t>Business</t>
        </is>
      </c>
      <c r="F2860" t="inlineStr">
        <is>
          <t>Business Runway</t>
        </is>
      </c>
      <c r="G2860" t="inlineStr">
        <is>
          <t>Funding</t>
        </is>
      </c>
      <c r="H2860" t="inlineStr">
        <is>
          <t>Business &gt; Business Runway &gt; Quick Add &gt; Funding</t>
        </is>
      </c>
      <c r="I2860" s="18" t="n">
        <v>136029.47</v>
      </c>
      <c r="J2860" t="inlineStr">
        <is>
          <t>Created MTR-IOS-2859 and correlation note visible in Activity/Pulse</t>
        </is>
      </c>
      <c r="K2860" t="inlineStr">
        <is>
          <t>NOT_RUN</t>
        </is>
      </c>
      <c r="P2860" t="n">
        <v>0</v>
      </c>
      <c r="Q2860" t="n">
        <v>2859</v>
      </c>
    </row>
    <row r="2861">
      <c r="A2861" t="n">
        <v>2860</v>
      </c>
      <c r="B2861" t="inlineStr">
        <is>
          <t>MTR-IOS-2860</t>
        </is>
      </c>
      <c r="C2861" t="inlineStr">
        <is>
          <t>iPhone</t>
        </is>
      </c>
      <c r="D2861" t="inlineStr">
        <is>
          <t>Personal</t>
        </is>
      </c>
      <c r="E2861" t="inlineStr">
        <is>
          <t>Personal</t>
        </is>
      </c>
      <c r="F2861" t="inlineStr">
        <is>
          <t>Future Building</t>
        </is>
      </c>
      <c r="G2861" t="inlineStr">
        <is>
          <t>Education</t>
        </is>
      </c>
      <c r="H2861" t="inlineStr">
        <is>
          <t>Personal &gt; Future Building &gt; Quick Add &gt; Education</t>
        </is>
      </c>
      <c r="I2861" s="18" t="n">
        <v>12081.63</v>
      </c>
      <c r="J2861" t="inlineStr">
        <is>
          <t>Created MTR-IOS-2860 and correlation note visible in Activity/Pulse</t>
        </is>
      </c>
      <c r="K2861" t="inlineStr">
        <is>
          <t>NOT_RUN</t>
        </is>
      </c>
      <c r="P2861" t="n">
        <v>0</v>
      </c>
      <c r="Q2861" t="n">
        <v>2860</v>
      </c>
    </row>
    <row r="2862">
      <c r="A2862" t="n">
        <v>2861</v>
      </c>
      <c r="B2862" t="inlineStr">
        <is>
          <t>MTR-IOS-2861</t>
        </is>
      </c>
      <c r="C2862" t="inlineStr">
        <is>
          <t>iPhone</t>
        </is>
      </c>
      <c r="D2862" t="inlineStr">
        <is>
          <t>Group</t>
        </is>
      </c>
      <c r="E2862" t="inlineStr">
        <is>
          <t>Shared Purchase</t>
        </is>
      </c>
      <c r="F2862" t="inlineStr">
        <is>
          <t>Gift Pool</t>
        </is>
      </c>
      <c r="G2862" t="inlineStr">
        <is>
          <t>Gift Purchase</t>
        </is>
      </c>
      <c r="H2862" t="inlineStr">
        <is>
          <t>Group &gt; Gift Pool &gt; Quick Add &gt; Gift Purchase</t>
        </is>
      </c>
      <c r="I2862" s="18" t="n">
        <v>23999.78</v>
      </c>
      <c r="J2862" t="inlineStr">
        <is>
          <t>Created MTR-IOS-2861 and correlation note visible in Activity/Pulse</t>
        </is>
      </c>
      <c r="K2862" t="inlineStr">
        <is>
          <t>NOT_RUN</t>
        </is>
      </c>
      <c r="P2862" t="n">
        <v>0</v>
      </c>
      <c r="Q2862" t="n">
        <v>2861</v>
      </c>
    </row>
    <row r="2863">
      <c r="A2863" t="n">
        <v>2862</v>
      </c>
      <c r="B2863" t="inlineStr">
        <is>
          <t>MTR-IOS-2862</t>
        </is>
      </c>
      <c r="C2863" t="inlineStr">
        <is>
          <t>iPhone</t>
        </is>
      </c>
      <c r="D2863" t="inlineStr">
        <is>
          <t>Business</t>
        </is>
      </c>
      <c r="E2863" t="inlineStr">
        <is>
          <t>Business</t>
        </is>
      </c>
      <c r="F2863" t="inlineStr">
        <is>
          <t>Business Runway</t>
        </is>
      </c>
      <c r="G2863" t="inlineStr">
        <is>
          <t>Revenue</t>
        </is>
      </c>
      <c r="H2863" t="inlineStr">
        <is>
          <t>Business &gt; Business Runway &gt; Quick Add &gt; Revenue</t>
        </is>
      </c>
      <c r="I2863" s="18" t="n">
        <v>66956.7</v>
      </c>
      <c r="J2863" t="inlineStr">
        <is>
          <t>Created MTR-IOS-2862 and correlation note visible in Activity/Pulse</t>
        </is>
      </c>
      <c r="K2863" t="inlineStr">
        <is>
          <t>NOT_RUN</t>
        </is>
      </c>
      <c r="P2863" t="n">
        <v>0</v>
      </c>
      <c r="Q2863" t="n">
        <v>2862</v>
      </c>
    </row>
    <row r="2864">
      <c r="A2864" t="n">
        <v>2863</v>
      </c>
      <c r="B2864" t="inlineStr">
        <is>
          <t>MTR-IOS-2863</t>
        </is>
      </c>
      <c r="C2864" t="inlineStr">
        <is>
          <t>iPhone</t>
        </is>
      </c>
      <c r="D2864" t="inlineStr">
        <is>
          <t>Personal</t>
        </is>
      </c>
      <c r="E2864" t="inlineStr">
        <is>
          <t>Personal</t>
        </is>
      </c>
      <c r="F2864" t="inlineStr">
        <is>
          <t>Future Building</t>
        </is>
      </c>
      <c r="G2864" t="inlineStr">
        <is>
          <t>Goal Contribution</t>
        </is>
      </c>
      <c r="H2864" t="inlineStr">
        <is>
          <t>Personal &gt; Future Building &gt; Quick Add &gt; Goal Contribution</t>
        </is>
      </c>
      <c r="I2864" s="18" t="n">
        <v>10784.06</v>
      </c>
      <c r="J2864" t="inlineStr">
        <is>
          <t>Created MTR-IOS-2863 and correlation note visible in Activity/Pulse</t>
        </is>
      </c>
      <c r="K2864" t="inlineStr">
        <is>
          <t>NOT_RUN</t>
        </is>
      </c>
      <c r="P2864" t="n">
        <v>0</v>
      </c>
      <c r="Q2864" t="n">
        <v>2863</v>
      </c>
    </row>
    <row r="2865">
      <c r="A2865" t="n">
        <v>2864</v>
      </c>
      <c r="B2865" t="inlineStr">
        <is>
          <t>MTR-IOS-2864</t>
        </is>
      </c>
      <c r="C2865" t="inlineStr">
        <is>
          <t>iPhone</t>
        </is>
      </c>
      <c r="D2865" t="inlineStr">
        <is>
          <t>Group</t>
        </is>
      </c>
      <c r="E2865" t="inlineStr">
        <is>
          <t>Shared Purchase</t>
        </is>
      </c>
      <c r="F2865" t="inlineStr">
        <is>
          <t>Gift Pool</t>
        </is>
      </c>
      <c r="G2865" t="inlineStr">
        <is>
          <t>Delivery</t>
        </is>
      </c>
      <c r="H2865" t="inlineStr">
        <is>
          <t>Group &gt; Gift Pool &gt; Quick Add &gt; Delivery</t>
        </is>
      </c>
      <c r="I2865" s="18" t="n">
        <v>12944.84</v>
      </c>
      <c r="J2865" t="inlineStr">
        <is>
          <t>Created MTR-IOS-2864 and correlation note visible in Activity/Pulse</t>
        </is>
      </c>
      <c r="K2865" t="inlineStr">
        <is>
          <t>NOT_RUN</t>
        </is>
      </c>
      <c r="P2865" t="n">
        <v>0</v>
      </c>
      <c r="Q2865" t="n">
        <v>2864</v>
      </c>
    </row>
    <row r="2866">
      <c r="A2866" t="n">
        <v>2865</v>
      </c>
      <c r="B2866" t="inlineStr">
        <is>
          <t>MTR-IOS-2865</t>
        </is>
      </c>
      <c r="C2866" t="inlineStr">
        <is>
          <t>iPhone</t>
        </is>
      </c>
      <c r="D2866" t="inlineStr">
        <is>
          <t>Business</t>
        </is>
      </c>
      <c r="E2866" t="inlineStr">
        <is>
          <t>Business</t>
        </is>
      </c>
      <c r="F2866" t="inlineStr">
        <is>
          <t>Business Runway</t>
        </is>
      </c>
      <c r="G2866" t="inlineStr">
        <is>
          <t>Burn</t>
        </is>
      </c>
      <c r="H2866" t="inlineStr">
        <is>
          <t>Business &gt; Business Runway &gt; Quick Add &gt; Burn</t>
        </is>
      </c>
      <c r="I2866" s="18" t="n">
        <v>151257.34</v>
      </c>
      <c r="J2866" t="inlineStr">
        <is>
          <t>Created MTR-IOS-2865 and correlation note visible in Activity/Pulse</t>
        </is>
      </c>
      <c r="K2866" t="inlineStr">
        <is>
          <t>NOT_RUN</t>
        </is>
      </c>
      <c r="P2866" t="n">
        <v>0</v>
      </c>
      <c r="Q2866" t="n">
        <v>2865</v>
      </c>
    </row>
    <row r="2867">
      <c r="A2867" t="n">
        <v>2866</v>
      </c>
      <c r="B2867" t="inlineStr">
        <is>
          <t>MTR-IOS-2866</t>
        </is>
      </c>
      <c r="C2867" t="inlineStr">
        <is>
          <t>iPhone</t>
        </is>
      </c>
      <c r="D2867" t="inlineStr">
        <is>
          <t>Personal</t>
        </is>
      </c>
      <c r="E2867" t="inlineStr">
        <is>
          <t>Personal</t>
        </is>
      </c>
      <c r="F2867" t="inlineStr">
        <is>
          <t>Lifestyle</t>
        </is>
      </c>
      <c r="G2867" t="inlineStr">
        <is>
          <t>Dining</t>
        </is>
      </c>
      <c r="H2867" t="inlineStr">
        <is>
          <t>Personal &gt; Lifestyle &gt; Quick Add &gt; Dining</t>
        </is>
      </c>
      <c r="I2867" s="18" t="n">
        <v>11225.56</v>
      </c>
      <c r="J2867" t="inlineStr">
        <is>
          <t>Created MTR-IOS-2866 and correlation note visible in Activity/Pulse</t>
        </is>
      </c>
      <c r="K2867" t="inlineStr">
        <is>
          <t>NOT_RUN</t>
        </is>
      </c>
      <c r="P2867" t="n">
        <v>0</v>
      </c>
      <c r="Q2867" t="n">
        <v>2866</v>
      </c>
    </row>
    <row r="2868">
      <c r="A2868" t="n">
        <v>2867</v>
      </c>
      <c r="B2868" t="inlineStr">
        <is>
          <t>MTR-IOS-2867</t>
        </is>
      </c>
      <c r="C2868" t="inlineStr">
        <is>
          <t>iPhone</t>
        </is>
      </c>
      <c r="D2868" t="inlineStr">
        <is>
          <t>Group</t>
        </is>
      </c>
      <c r="E2868" t="inlineStr">
        <is>
          <t>Shared Purchase</t>
        </is>
      </c>
      <c r="F2868" t="inlineStr">
        <is>
          <t>Gift Pool</t>
        </is>
      </c>
      <c r="G2868" t="inlineStr">
        <is>
          <t>Other</t>
        </is>
      </c>
      <c r="H2868" t="inlineStr">
        <is>
          <t>Group &gt; Gift Pool &gt; Quick Add &gt; Other</t>
        </is>
      </c>
      <c r="I2868" s="18" t="n">
        <v>11569.38</v>
      </c>
      <c r="J2868" t="inlineStr">
        <is>
          <t>Created MTR-IOS-2867 and correlation note visible in Activity/Pulse</t>
        </is>
      </c>
      <c r="K2868" t="inlineStr">
        <is>
          <t>NOT_RUN</t>
        </is>
      </c>
      <c r="P2868" t="n">
        <v>0</v>
      </c>
      <c r="Q2868" t="n">
        <v>2867</v>
      </c>
    </row>
    <row r="2869">
      <c r="A2869" t="n">
        <v>2868</v>
      </c>
      <c r="B2869" t="inlineStr">
        <is>
          <t>MTR-IOS-2868</t>
        </is>
      </c>
      <c r="C2869" t="inlineStr">
        <is>
          <t>iPhone</t>
        </is>
      </c>
      <c r="D2869" t="inlineStr">
        <is>
          <t>Business</t>
        </is>
      </c>
      <c r="E2869" t="inlineStr">
        <is>
          <t>Business</t>
        </is>
      </c>
      <c r="F2869" t="inlineStr">
        <is>
          <t>Business Runway</t>
        </is>
      </c>
      <c r="G2869" t="inlineStr">
        <is>
          <t>Reserve</t>
        </is>
      </c>
      <c r="H2869" t="inlineStr">
        <is>
          <t>Business &gt; Business Runway &gt; Quick Add &gt; Reserve</t>
        </is>
      </c>
      <c r="I2869" s="18" t="n">
        <v>145721.49</v>
      </c>
      <c r="J2869" t="inlineStr">
        <is>
          <t>Created MTR-IOS-2868 and correlation note visible in Activity/Pulse</t>
        </is>
      </c>
      <c r="K2869" t="inlineStr">
        <is>
          <t>NOT_RUN</t>
        </is>
      </c>
      <c r="P2869" t="n">
        <v>0</v>
      </c>
      <c r="Q2869" t="n">
        <v>2868</v>
      </c>
    </row>
    <row r="2870">
      <c r="A2870" t="n">
        <v>2869</v>
      </c>
      <c r="B2870" t="inlineStr">
        <is>
          <t>MTR-IOS-2869</t>
        </is>
      </c>
      <c r="C2870" t="inlineStr">
        <is>
          <t>iPhone</t>
        </is>
      </c>
      <c r="D2870" t="inlineStr">
        <is>
          <t>Personal</t>
        </is>
      </c>
      <c r="E2870" t="inlineStr">
        <is>
          <t>Personal</t>
        </is>
      </c>
      <c r="F2870" t="inlineStr">
        <is>
          <t>Lifestyle</t>
        </is>
      </c>
      <c r="G2870" t="inlineStr">
        <is>
          <t>Shopping</t>
        </is>
      </c>
      <c r="H2870" t="inlineStr">
        <is>
          <t>Personal &gt; Lifestyle &gt; Quick Add &gt; Shopping</t>
        </is>
      </c>
      <c r="I2870" s="18" t="n">
        <v>2265.39</v>
      </c>
      <c r="J2870" t="inlineStr">
        <is>
          <t>Created MTR-IOS-2869 and correlation note visible in Activity/Pulse</t>
        </is>
      </c>
      <c r="K2870" t="inlineStr">
        <is>
          <t>NOT_RUN</t>
        </is>
      </c>
      <c r="P2870" t="n">
        <v>0</v>
      </c>
      <c r="Q2870" t="n">
        <v>2869</v>
      </c>
    </row>
    <row r="2871">
      <c r="A2871" t="n">
        <v>2870</v>
      </c>
      <c r="B2871" t="inlineStr">
        <is>
          <t>MTR-IOS-2870</t>
        </is>
      </c>
      <c r="C2871" t="inlineStr">
        <is>
          <t>iPhone</t>
        </is>
      </c>
      <c r="D2871" t="inlineStr">
        <is>
          <t>Group</t>
        </is>
      </c>
      <c r="E2871" t="inlineStr">
        <is>
          <t>Shared Purchase</t>
        </is>
      </c>
      <c r="F2871" t="inlineStr">
        <is>
          <t>Purchase</t>
        </is>
      </c>
      <c r="G2871" t="inlineStr">
        <is>
          <t>Item</t>
        </is>
      </c>
      <c r="H2871" t="inlineStr">
        <is>
          <t>Group &gt; Purchase &gt; Quick Add &gt; Item</t>
        </is>
      </c>
      <c r="I2871" s="18" t="n">
        <v>26339.76</v>
      </c>
      <c r="J2871" t="inlineStr">
        <is>
          <t>Created MTR-IOS-2870 and correlation note visible in Activity/Pulse</t>
        </is>
      </c>
      <c r="K2871" t="inlineStr">
        <is>
          <t>NOT_RUN</t>
        </is>
      </c>
      <c r="P2871" t="n">
        <v>0</v>
      </c>
      <c r="Q2871" t="n">
        <v>2870</v>
      </c>
    </row>
    <row r="2872">
      <c r="A2872" t="n">
        <v>2871</v>
      </c>
      <c r="B2872" t="inlineStr">
        <is>
          <t>MTR-IOS-2871</t>
        </is>
      </c>
      <c r="C2872" t="inlineStr">
        <is>
          <t>iPhone</t>
        </is>
      </c>
      <c r="D2872" t="inlineStr">
        <is>
          <t>Business</t>
        </is>
      </c>
      <c r="E2872" t="inlineStr">
        <is>
          <t>Business</t>
        </is>
      </c>
      <c r="F2872" t="inlineStr">
        <is>
          <t>Business Runway</t>
        </is>
      </c>
      <c r="G2872" t="inlineStr">
        <is>
          <t>Loan</t>
        </is>
      </c>
      <c r="H2872" t="inlineStr">
        <is>
          <t>Business &gt; Business Runway &gt; Quick Add &gt; Loan</t>
        </is>
      </c>
      <c r="I2872" s="18" t="n">
        <v>162211.21</v>
      </c>
      <c r="J2872" t="inlineStr">
        <is>
          <t>Created MTR-IOS-2871 and correlation note visible in Activity/Pulse</t>
        </is>
      </c>
      <c r="K2872" t="inlineStr">
        <is>
          <t>NOT_RUN</t>
        </is>
      </c>
      <c r="P2872" t="n">
        <v>0</v>
      </c>
      <c r="Q2872" t="n">
        <v>2871</v>
      </c>
    </row>
    <row r="2873">
      <c r="A2873" t="n">
        <v>2872</v>
      </c>
      <c r="B2873" t="inlineStr">
        <is>
          <t>MTR-IOS-2872</t>
        </is>
      </c>
      <c r="C2873" t="inlineStr">
        <is>
          <t>iPhone</t>
        </is>
      </c>
      <c r="D2873" t="inlineStr">
        <is>
          <t>Personal</t>
        </is>
      </c>
      <c r="E2873" t="inlineStr">
        <is>
          <t>Personal</t>
        </is>
      </c>
      <c r="F2873" t="inlineStr">
        <is>
          <t>Lifestyle</t>
        </is>
      </c>
      <c r="G2873" t="inlineStr">
        <is>
          <t>Entertainment</t>
        </is>
      </c>
      <c r="H2873" t="inlineStr">
        <is>
          <t>Personal &gt; Lifestyle &gt; Quick Add &gt; Entertainment</t>
        </is>
      </c>
      <c r="I2873" s="18" t="n">
        <v>403.67</v>
      </c>
      <c r="J2873" t="inlineStr">
        <is>
          <t>Created MTR-IOS-2872 and correlation note visible in Activity/Pulse</t>
        </is>
      </c>
      <c r="K2873" t="inlineStr">
        <is>
          <t>NOT_RUN</t>
        </is>
      </c>
      <c r="P2873" t="n">
        <v>0</v>
      </c>
      <c r="Q2873" t="n">
        <v>2872</v>
      </c>
    </row>
    <row r="2874">
      <c r="A2874" t="n">
        <v>2873</v>
      </c>
      <c r="B2874" t="inlineStr">
        <is>
          <t>MTR-IOS-2873</t>
        </is>
      </c>
      <c r="C2874" t="inlineStr">
        <is>
          <t>iPhone</t>
        </is>
      </c>
      <c r="D2874" t="inlineStr">
        <is>
          <t>Group</t>
        </is>
      </c>
      <c r="E2874" t="inlineStr">
        <is>
          <t>Shared Purchase</t>
        </is>
      </c>
      <c r="F2874" t="inlineStr">
        <is>
          <t>Purchase</t>
        </is>
      </c>
      <c r="G2874" t="inlineStr">
        <is>
          <t>Shipping</t>
        </is>
      </c>
      <c r="H2874" t="inlineStr">
        <is>
          <t>Group &gt; Purchase &gt; Quick Add &gt; Shipping</t>
        </is>
      </c>
      <c r="I2874" s="18" t="n">
        <v>7917.48</v>
      </c>
      <c r="J2874" t="inlineStr">
        <is>
          <t>Created MTR-IOS-2873 and correlation note visible in Activity/Pulse</t>
        </is>
      </c>
      <c r="K2874" t="inlineStr">
        <is>
          <t>NOT_RUN</t>
        </is>
      </c>
      <c r="P2874" t="n">
        <v>0</v>
      </c>
      <c r="Q2874" t="n">
        <v>2873</v>
      </c>
    </row>
    <row r="2875">
      <c r="A2875" t="n">
        <v>2874</v>
      </c>
      <c r="B2875" t="inlineStr">
        <is>
          <t>MTR-IOS-2874</t>
        </is>
      </c>
      <c r="C2875" t="inlineStr">
        <is>
          <t>iPhone</t>
        </is>
      </c>
      <c r="D2875" t="inlineStr">
        <is>
          <t>Business</t>
        </is>
      </c>
      <c r="E2875" t="inlineStr">
        <is>
          <t>Business</t>
        </is>
      </c>
      <c r="F2875" t="inlineStr">
        <is>
          <t>Business Runway</t>
        </is>
      </c>
      <c r="G2875" t="inlineStr">
        <is>
          <t>Investment</t>
        </is>
      </c>
      <c r="H2875" t="inlineStr">
        <is>
          <t>Business &gt; Business Runway &gt; Quick Add &gt; Investment</t>
        </is>
      </c>
      <c r="I2875" s="18" t="n">
        <v>154766.06</v>
      </c>
      <c r="J2875" t="inlineStr">
        <is>
          <t>Created MTR-IOS-2874 and correlation note visible in Activity/Pulse</t>
        </is>
      </c>
      <c r="K2875" t="inlineStr">
        <is>
          <t>NOT_RUN</t>
        </is>
      </c>
      <c r="P2875" t="n">
        <v>0</v>
      </c>
      <c r="Q2875" t="n">
        <v>2874</v>
      </c>
    </row>
    <row r="2876">
      <c r="A2876" t="n">
        <v>2875</v>
      </c>
      <c r="B2876" t="inlineStr">
        <is>
          <t>MTR-IOS-2875</t>
        </is>
      </c>
      <c r="C2876" t="inlineStr">
        <is>
          <t>iPhone</t>
        </is>
      </c>
      <c r="D2876" t="inlineStr">
        <is>
          <t>Personal</t>
        </is>
      </c>
      <c r="E2876" t="inlineStr">
        <is>
          <t>Personal</t>
        </is>
      </c>
      <c r="F2876" t="inlineStr">
        <is>
          <t>Lifestyle</t>
        </is>
      </c>
      <c r="G2876" t="inlineStr">
        <is>
          <t>Travel</t>
        </is>
      </c>
      <c r="H2876" t="inlineStr">
        <is>
          <t>Personal &gt; Lifestyle &gt; Quick Add &gt; Travel</t>
        </is>
      </c>
      <c r="I2876" s="18" t="n">
        <v>670.0599999999999</v>
      </c>
      <c r="J2876" t="inlineStr">
        <is>
          <t>Created MTR-IOS-2875 and correlation note visible in Activity/Pulse</t>
        </is>
      </c>
      <c r="K2876" t="inlineStr">
        <is>
          <t>NOT_RUN</t>
        </is>
      </c>
      <c r="P2876" t="n">
        <v>0</v>
      </c>
      <c r="Q2876" t="n">
        <v>2875</v>
      </c>
    </row>
    <row r="2877">
      <c r="A2877" t="n">
        <v>2876</v>
      </c>
      <c r="B2877" t="inlineStr">
        <is>
          <t>MTR-IOS-2876</t>
        </is>
      </c>
      <c r="C2877" t="inlineStr">
        <is>
          <t>iPhone</t>
        </is>
      </c>
      <c r="D2877" t="inlineStr">
        <is>
          <t>Group</t>
        </is>
      </c>
      <c r="E2877" t="inlineStr">
        <is>
          <t>Shared Purchase</t>
        </is>
      </c>
      <c r="F2877" t="inlineStr">
        <is>
          <t>Purchase</t>
        </is>
      </c>
      <c r="G2877" t="inlineStr">
        <is>
          <t>Tax</t>
        </is>
      </c>
      <c r="H2877" t="inlineStr">
        <is>
          <t>Group &gt; Purchase &gt; Quick Add &gt; Tax</t>
        </is>
      </c>
      <c r="I2877" s="18" t="n">
        <v>19416.8</v>
      </c>
      <c r="J2877" t="inlineStr">
        <is>
          <t>Created MTR-IOS-2876 and correlation note visible in Activity/Pulse</t>
        </is>
      </c>
      <c r="K2877" t="inlineStr">
        <is>
          <t>NOT_RUN</t>
        </is>
      </c>
      <c r="P2877" t="n">
        <v>0</v>
      </c>
      <c r="Q2877" t="n">
        <v>2876</v>
      </c>
    </row>
    <row r="2878">
      <c r="A2878" t="n">
        <v>2877</v>
      </c>
      <c r="B2878" t="inlineStr">
        <is>
          <t>MTR-IOS-2877</t>
        </is>
      </c>
      <c r="C2878" t="inlineStr">
        <is>
          <t>iPhone</t>
        </is>
      </c>
      <c r="D2878" t="inlineStr">
        <is>
          <t>Business</t>
        </is>
      </c>
      <c r="E2878" t="inlineStr">
        <is>
          <t>Business</t>
        </is>
      </c>
      <c r="F2878" t="inlineStr">
        <is>
          <t>Business Operations</t>
        </is>
      </c>
      <c r="G2878" t="inlineStr">
        <is>
          <t>Software</t>
        </is>
      </c>
      <c r="H2878" t="inlineStr">
        <is>
          <t>Business &gt; Business Operations &gt; Quick Add &gt; Software</t>
        </is>
      </c>
      <c r="I2878" s="18" t="n">
        <v>130891.01</v>
      </c>
      <c r="J2878" t="inlineStr">
        <is>
          <t>Created MTR-IOS-2877 and correlation note visible in Activity/Pulse</t>
        </is>
      </c>
      <c r="K2878" t="inlineStr">
        <is>
          <t>NOT_RUN</t>
        </is>
      </c>
      <c r="P2878" t="n">
        <v>0</v>
      </c>
      <c r="Q2878" t="n">
        <v>2877</v>
      </c>
    </row>
    <row r="2879">
      <c r="A2879" t="n">
        <v>2878</v>
      </c>
      <c r="B2879" t="inlineStr">
        <is>
          <t>MTR-IOS-2878</t>
        </is>
      </c>
      <c r="C2879" t="inlineStr">
        <is>
          <t>iPhone</t>
        </is>
      </c>
      <c r="D2879" t="inlineStr">
        <is>
          <t>Personal</t>
        </is>
      </c>
      <c r="E2879" t="inlineStr">
        <is>
          <t>Personal</t>
        </is>
      </c>
      <c r="F2879" t="inlineStr">
        <is>
          <t>Lifestyle</t>
        </is>
      </c>
      <c r="G2879" t="inlineStr">
        <is>
          <t>Fitness</t>
        </is>
      </c>
      <c r="H2879" t="inlineStr">
        <is>
          <t>Personal &gt; Lifestyle &gt; Quick Add &gt; Fitness</t>
        </is>
      </c>
      <c r="I2879" s="18" t="n">
        <v>16723.64</v>
      </c>
      <c r="J2879" t="inlineStr">
        <is>
          <t>Created MTR-IOS-2878 and correlation note visible in Activity/Pulse</t>
        </is>
      </c>
      <c r="K2879" t="inlineStr">
        <is>
          <t>NOT_RUN</t>
        </is>
      </c>
      <c r="P2879" t="n">
        <v>0</v>
      </c>
      <c r="Q2879" t="n">
        <v>2878</v>
      </c>
    </row>
    <row r="2880">
      <c r="A2880" t="n">
        <v>2879</v>
      </c>
      <c r="B2880" t="inlineStr">
        <is>
          <t>MTR-IOS-2879</t>
        </is>
      </c>
      <c r="C2880" t="inlineStr">
        <is>
          <t>iPhone</t>
        </is>
      </c>
      <c r="D2880" t="inlineStr">
        <is>
          <t>Group</t>
        </is>
      </c>
      <c r="E2880" t="inlineStr">
        <is>
          <t>Shared Purchase</t>
        </is>
      </c>
      <c r="F2880" t="inlineStr">
        <is>
          <t>Purchase</t>
        </is>
      </c>
      <c r="G2880" t="inlineStr">
        <is>
          <t>Other</t>
        </is>
      </c>
      <c r="H2880" t="inlineStr">
        <is>
          <t>Group &gt; Purchase &gt; Quick Add &gt; Other</t>
        </is>
      </c>
      <c r="I2880" s="18" t="n">
        <v>7529.47</v>
      </c>
      <c r="J2880" t="inlineStr">
        <is>
          <t>Created MTR-IOS-2879 and correlation note visible in Activity/Pulse</t>
        </is>
      </c>
      <c r="K2880" t="inlineStr">
        <is>
          <t>NOT_RUN</t>
        </is>
      </c>
      <c r="P2880" t="n">
        <v>0</v>
      </c>
      <c r="Q2880" t="n">
        <v>2879</v>
      </c>
    </row>
    <row r="2881">
      <c r="A2881" t="n">
        <v>2880</v>
      </c>
      <c r="B2881" t="inlineStr">
        <is>
          <t>MTR-IOS-2880</t>
        </is>
      </c>
      <c r="C2881" t="inlineStr">
        <is>
          <t>iPhone</t>
        </is>
      </c>
      <c r="D2881" t="inlineStr">
        <is>
          <t>Business</t>
        </is>
      </c>
      <c r="E2881" t="inlineStr">
        <is>
          <t>Business</t>
        </is>
      </c>
      <c r="F2881" t="inlineStr">
        <is>
          <t>Business Operations</t>
        </is>
      </c>
      <c r="G2881" t="inlineStr">
        <is>
          <t>Rent</t>
        </is>
      </c>
      <c r="H2881" t="inlineStr">
        <is>
          <t>Business &gt; Business Operations &gt; Quick Add &gt; Rent</t>
        </is>
      </c>
      <c r="I2881" s="18" t="n">
        <v>37112.74</v>
      </c>
      <c r="J2881" t="inlineStr">
        <is>
          <t>Created MTR-IOS-2880 and correlation note visible in Activity/Pulse</t>
        </is>
      </c>
      <c r="K2881" t="inlineStr">
        <is>
          <t>NOT_RUN</t>
        </is>
      </c>
      <c r="P2881" t="n">
        <v>0</v>
      </c>
      <c r="Q2881" t="n">
        <v>2880</v>
      </c>
    </row>
    <row r="2882">
      <c r="A2882" t="n">
        <v>2881</v>
      </c>
      <c r="B2882" t="inlineStr">
        <is>
          <t>MTR-IOS-2881</t>
        </is>
      </c>
      <c r="C2882" t="inlineStr">
        <is>
          <t>iPhone</t>
        </is>
      </c>
      <c r="D2882" t="inlineStr">
        <is>
          <t>Personal</t>
        </is>
      </c>
      <c r="E2882" t="inlineStr">
        <is>
          <t>Personal</t>
        </is>
      </c>
      <c r="F2882" t="inlineStr">
        <is>
          <t>Lifestyle</t>
        </is>
      </c>
      <c r="G2882" t="inlineStr">
        <is>
          <t>Hobbies</t>
        </is>
      </c>
      <c r="H2882" t="inlineStr">
        <is>
          <t>Personal &gt; Lifestyle &gt; Quick Add &gt; Hobbies</t>
        </is>
      </c>
      <c r="I2882" s="18" t="n">
        <v>13378.72</v>
      </c>
      <c r="J2882" t="inlineStr">
        <is>
          <t>Created MTR-IOS-2881 and correlation note visible in Activity/Pulse</t>
        </is>
      </c>
      <c r="K2882" t="inlineStr">
        <is>
          <t>NOT_RUN</t>
        </is>
      </c>
      <c r="P2882" t="n">
        <v>0</v>
      </c>
      <c r="Q2882" t="n">
        <v>2881</v>
      </c>
    </row>
    <row r="2883">
      <c r="A2883" t="n">
        <v>2882</v>
      </c>
      <c r="B2883" t="inlineStr">
        <is>
          <t>MTR-IOS-2882</t>
        </is>
      </c>
      <c r="C2883" t="inlineStr">
        <is>
          <t>iPhone</t>
        </is>
      </c>
      <c r="D2883" t="inlineStr">
        <is>
          <t>Group</t>
        </is>
      </c>
      <c r="E2883" t="inlineStr">
        <is>
          <t>Shared Purchase</t>
        </is>
      </c>
      <c r="F2883" t="inlineStr">
        <is>
          <t>Assets</t>
        </is>
      </c>
      <c r="G2883" t="inlineStr">
        <is>
          <t>Purchase</t>
        </is>
      </c>
      <c r="H2883" t="inlineStr">
        <is>
          <t>Group &gt; Assets &gt; Quick Add &gt; Purchase</t>
        </is>
      </c>
      <c r="I2883" s="18" t="n">
        <v>8027.55</v>
      </c>
      <c r="J2883" t="inlineStr">
        <is>
          <t>Created MTR-IOS-2882 and correlation note visible in Activity/Pulse</t>
        </is>
      </c>
      <c r="K2883" t="inlineStr">
        <is>
          <t>NOT_RUN</t>
        </is>
      </c>
      <c r="P2883" t="n">
        <v>0</v>
      </c>
      <c r="Q2883" t="n">
        <v>2882</v>
      </c>
    </row>
    <row r="2884">
      <c r="A2884" t="n">
        <v>2883</v>
      </c>
      <c r="B2884" t="inlineStr">
        <is>
          <t>MTR-IOS-2883</t>
        </is>
      </c>
      <c r="C2884" t="inlineStr">
        <is>
          <t>iPhone</t>
        </is>
      </c>
      <c r="D2884" t="inlineStr">
        <is>
          <t>Business</t>
        </is>
      </c>
      <c r="E2884" t="inlineStr">
        <is>
          <t>Business</t>
        </is>
      </c>
      <c r="F2884" t="inlineStr">
        <is>
          <t>Business Operations</t>
        </is>
      </c>
      <c r="G2884" t="inlineStr">
        <is>
          <t>Marketing</t>
        </is>
      </c>
      <c r="H2884" t="inlineStr">
        <is>
          <t>Business &gt; Business Operations &gt; Quick Add &gt; Marketing</t>
        </is>
      </c>
      <c r="I2884" s="18" t="n">
        <v>157848.44</v>
      </c>
      <c r="J2884" t="inlineStr">
        <is>
          <t>Created MTR-IOS-2883 and correlation note visible in Activity/Pulse</t>
        </is>
      </c>
      <c r="K2884" t="inlineStr">
        <is>
          <t>NOT_RUN</t>
        </is>
      </c>
      <c r="P2884" t="n">
        <v>0</v>
      </c>
      <c r="Q2884" t="n">
        <v>2883</v>
      </c>
    </row>
    <row r="2885">
      <c r="A2885" t="n">
        <v>2884</v>
      </c>
      <c r="B2885" t="inlineStr">
        <is>
          <t>MTR-IOS-2884</t>
        </is>
      </c>
      <c r="C2885" t="inlineStr">
        <is>
          <t>iPhone</t>
        </is>
      </c>
      <c r="D2885" t="inlineStr">
        <is>
          <t>Personal</t>
        </is>
      </c>
      <c r="E2885" t="inlineStr">
        <is>
          <t>Personal</t>
        </is>
      </c>
      <c r="F2885" t="inlineStr">
        <is>
          <t>Relationships</t>
        </is>
      </c>
      <c r="G2885" t="inlineStr">
        <is>
          <t>Gifts</t>
        </is>
      </c>
      <c r="H2885" t="inlineStr">
        <is>
          <t>Personal &gt; Relationships &gt; Quick Add &gt; Gifts</t>
        </is>
      </c>
      <c r="I2885" s="18" t="n">
        <v>5732.7</v>
      </c>
      <c r="J2885" t="inlineStr">
        <is>
          <t>Created MTR-IOS-2884 and correlation note visible in Activity/Pulse</t>
        </is>
      </c>
      <c r="K2885" t="inlineStr">
        <is>
          <t>NOT_RUN</t>
        </is>
      </c>
      <c r="P2885" t="n">
        <v>0</v>
      </c>
      <c r="Q2885" t="n">
        <v>2884</v>
      </c>
    </row>
    <row r="2886">
      <c r="A2886" t="n">
        <v>2885</v>
      </c>
      <c r="B2886" t="inlineStr">
        <is>
          <t>MTR-IOS-2885</t>
        </is>
      </c>
      <c r="C2886" t="inlineStr">
        <is>
          <t>iPhone</t>
        </is>
      </c>
      <c r="D2886" t="inlineStr">
        <is>
          <t>Group</t>
        </is>
      </c>
      <c r="E2886" t="inlineStr">
        <is>
          <t>Shared Purchase</t>
        </is>
      </c>
      <c r="F2886" t="inlineStr">
        <is>
          <t>Assets</t>
        </is>
      </c>
      <c r="G2886" t="inlineStr">
        <is>
          <t>Maintenance</t>
        </is>
      </c>
      <c r="H2886" t="inlineStr">
        <is>
          <t>Group &gt; Assets &gt; Quick Add &gt; Maintenance</t>
        </is>
      </c>
      <c r="I2886" s="18" t="n">
        <v>5386.22</v>
      </c>
      <c r="J2886" t="inlineStr">
        <is>
          <t>Created MTR-IOS-2885 and correlation note visible in Activity/Pulse</t>
        </is>
      </c>
      <c r="K2886" t="inlineStr">
        <is>
          <t>NOT_RUN</t>
        </is>
      </c>
      <c r="P2886" t="n">
        <v>0</v>
      </c>
      <c r="Q2886" t="n">
        <v>2885</v>
      </c>
    </row>
    <row r="2887">
      <c r="A2887" t="n">
        <v>2886</v>
      </c>
      <c r="B2887" t="inlineStr">
        <is>
          <t>MTR-IOS-2886</t>
        </is>
      </c>
      <c r="C2887" t="inlineStr">
        <is>
          <t>iPhone</t>
        </is>
      </c>
      <c r="D2887" t="inlineStr">
        <is>
          <t>Business</t>
        </is>
      </c>
      <c r="E2887" t="inlineStr">
        <is>
          <t>Business</t>
        </is>
      </c>
      <c r="F2887" t="inlineStr">
        <is>
          <t>Business Operations</t>
        </is>
      </c>
      <c r="G2887" t="inlineStr">
        <is>
          <t>Legal</t>
        </is>
      </c>
      <c r="H2887" t="inlineStr">
        <is>
          <t>Business &gt; Business Operations &gt; Quick Add &gt; Legal</t>
        </is>
      </c>
      <c r="I2887" s="18" t="n">
        <v>0.01</v>
      </c>
      <c r="J2887" t="inlineStr">
        <is>
          <t>Created MTR-IOS-2886 and correlation note visible in Activity/Pulse</t>
        </is>
      </c>
      <c r="K2887" t="inlineStr">
        <is>
          <t>NOT_RUN</t>
        </is>
      </c>
      <c r="P2887" t="n">
        <v>0</v>
      </c>
      <c r="Q2887" t="n">
        <v>2886</v>
      </c>
    </row>
    <row r="2888">
      <c r="A2888" t="n">
        <v>2887</v>
      </c>
      <c r="B2888" t="inlineStr">
        <is>
          <t>MTR-IOS-2887</t>
        </is>
      </c>
      <c r="C2888" t="inlineStr">
        <is>
          <t>iPhone</t>
        </is>
      </c>
      <c r="D2888" t="inlineStr">
        <is>
          <t>Personal</t>
        </is>
      </c>
      <c r="E2888" t="inlineStr">
        <is>
          <t>Personal</t>
        </is>
      </c>
      <c r="F2888" t="inlineStr">
        <is>
          <t>Relationships</t>
        </is>
      </c>
      <c r="G2888" t="inlineStr">
        <is>
          <t>Dates</t>
        </is>
      </c>
      <c r="H2888" t="inlineStr">
        <is>
          <t>Personal &gt; Relationships &gt; Quick Add &gt; Dates</t>
        </is>
      </c>
      <c r="I2888" s="18" t="n">
        <v>14533.51</v>
      </c>
      <c r="J2888" t="inlineStr">
        <is>
          <t>Created MTR-IOS-2887 and correlation note visible in Activity/Pulse</t>
        </is>
      </c>
      <c r="K2888" t="inlineStr">
        <is>
          <t>NOT_RUN</t>
        </is>
      </c>
      <c r="P2888" t="n">
        <v>0</v>
      </c>
      <c r="Q2888" t="n">
        <v>2887</v>
      </c>
    </row>
    <row r="2889">
      <c r="A2889" t="n">
        <v>2888</v>
      </c>
      <c r="B2889" t="inlineStr">
        <is>
          <t>MTR-IOS-2888</t>
        </is>
      </c>
      <c r="C2889" t="inlineStr">
        <is>
          <t>iPhone</t>
        </is>
      </c>
      <c r="D2889" t="inlineStr">
        <is>
          <t>Group</t>
        </is>
      </c>
      <c r="E2889" t="inlineStr">
        <is>
          <t>Shared Purchase</t>
        </is>
      </c>
      <c r="F2889" t="inlineStr">
        <is>
          <t>Assets</t>
        </is>
      </c>
      <c r="G2889" t="inlineStr">
        <is>
          <t>Repair</t>
        </is>
      </c>
      <c r="H2889" t="inlineStr">
        <is>
          <t>Group &gt; Assets &gt; Quick Add &gt; Repair</t>
        </is>
      </c>
      <c r="I2889" s="18" t="n">
        <v>1485.34</v>
      </c>
      <c r="J2889" t="inlineStr">
        <is>
          <t>Created MTR-IOS-2888 and correlation note visible in Activity/Pulse</t>
        </is>
      </c>
      <c r="K2889" t="inlineStr">
        <is>
          <t>NOT_RUN</t>
        </is>
      </c>
      <c r="P2889" t="n">
        <v>0</v>
      </c>
      <c r="Q2889" t="n">
        <v>2888</v>
      </c>
    </row>
    <row r="2890">
      <c r="A2890" t="n">
        <v>2889</v>
      </c>
      <c r="B2890" t="inlineStr">
        <is>
          <t>MTR-IOS-2889</t>
        </is>
      </c>
      <c r="C2890" t="inlineStr">
        <is>
          <t>iPhone</t>
        </is>
      </c>
      <c r="D2890" t="inlineStr">
        <is>
          <t>Business</t>
        </is>
      </c>
      <c r="E2890" t="inlineStr">
        <is>
          <t>Business</t>
        </is>
      </c>
      <c r="F2890" t="inlineStr">
        <is>
          <t>Business Operations</t>
        </is>
      </c>
      <c r="G2890" t="inlineStr">
        <is>
          <t>Accounting</t>
        </is>
      </c>
      <c r="H2890" t="inlineStr">
        <is>
          <t>Business &gt; Business Operations &gt; Quick Add &gt; Accounting</t>
        </is>
      </c>
      <c r="I2890" s="18" t="n">
        <v>155127.85</v>
      </c>
      <c r="J2890" t="inlineStr">
        <is>
          <t>Created MTR-IOS-2889 and correlation note visible in Activity/Pulse</t>
        </is>
      </c>
      <c r="K2890" t="inlineStr">
        <is>
          <t>NOT_RUN</t>
        </is>
      </c>
      <c r="P2890" t="n">
        <v>0</v>
      </c>
      <c r="Q2890" t="n">
        <v>2889</v>
      </c>
    </row>
    <row r="2891">
      <c r="A2891" t="n">
        <v>2890</v>
      </c>
      <c r="B2891" t="inlineStr">
        <is>
          <t>MTR-IOS-2890</t>
        </is>
      </c>
      <c r="C2891" t="inlineStr">
        <is>
          <t>iPhone</t>
        </is>
      </c>
      <c r="D2891" t="inlineStr">
        <is>
          <t>Personal</t>
        </is>
      </c>
      <c r="E2891" t="inlineStr">
        <is>
          <t>Personal</t>
        </is>
      </c>
      <c r="F2891" t="inlineStr">
        <is>
          <t>Relationships</t>
        </is>
      </c>
      <c r="G2891" t="inlineStr">
        <is>
          <t>Family</t>
        </is>
      </c>
      <c r="H2891" t="inlineStr">
        <is>
          <t>Personal &gt; Relationships &gt; Quick Add &gt; Family</t>
        </is>
      </c>
      <c r="I2891" s="18" t="n">
        <v>17355.29</v>
      </c>
      <c r="J2891" t="inlineStr">
        <is>
          <t>Created MTR-IOS-2890 and correlation note visible in Activity/Pulse</t>
        </is>
      </c>
      <c r="K2891" t="inlineStr">
        <is>
          <t>NOT_RUN</t>
        </is>
      </c>
      <c r="P2891" t="n">
        <v>0</v>
      </c>
      <c r="Q2891" t="n">
        <v>2890</v>
      </c>
    </row>
    <row r="2892">
      <c r="A2892" t="n">
        <v>2891</v>
      </c>
      <c r="B2892" t="inlineStr">
        <is>
          <t>MTR-IOS-2891</t>
        </is>
      </c>
      <c r="C2892" t="inlineStr">
        <is>
          <t>iPhone</t>
        </is>
      </c>
      <c r="D2892" t="inlineStr">
        <is>
          <t>Group</t>
        </is>
      </c>
      <c r="E2892" t="inlineStr">
        <is>
          <t>Shared Purchase</t>
        </is>
      </c>
      <c r="F2892" t="inlineStr">
        <is>
          <t>Assets</t>
        </is>
      </c>
      <c r="G2892" t="inlineStr">
        <is>
          <t>Insurance</t>
        </is>
      </c>
      <c r="H2892" t="inlineStr">
        <is>
          <t>Group &gt; Assets &gt; Quick Add &gt; Insurance</t>
        </is>
      </c>
      <c r="I2892" s="18" t="n">
        <v>19079.31</v>
      </c>
      <c r="J2892" t="inlineStr">
        <is>
          <t>Created MTR-IOS-2891 and correlation note visible in Activity/Pulse</t>
        </is>
      </c>
      <c r="K2892" t="inlineStr">
        <is>
          <t>NOT_RUN</t>
        </is>
      </c>
      <c r="P2892" t="n">
        <v>0</v>
      </c>
      <c r="Q2892" t="n">
        <v>2891</v>
      </c>
    </row>
    <row r="2893">
      <c r="A2893" t="n">
        <v>2892</v>
      </c>
      <c r="B2893" t="inlineStr">
        <is>
          <t>MTR-IOS-2892</t>
        </is>
      </c>
      <c r="C2893" t="inlineStr">
        <is>
          <t>iPhone</t>
        </is>
      </c>
      <c r="D2893" t="inlineStr">
        <is>
          <t>Business</t>
        </is>
      </c>
      <c r="E2893" t="inlineStr">
        <is>
          <t>Business</t>
        </is>
      </c>
      <c r="F2893" t="inlineStr">
        <is>
          <t>Business Operations</t>
        </is>
      </c>
      <c r="G2893" t="inlineStr">
        <is>
          <t>Equipment</t>
        </is>
      </c>
      <c r="H2893" t="inlineStr">
        <is>
          <t>Business &gt; Business Operations &gt; Quick Add &gt; Equipment</t>
        </is>
      </c>
      <c r="I2893" s="18" t="n">
        <v>90790.56</v>
      </c>
      <c r="J2893" t="inlineStr">
        <is>
          <t>Created MTR-IOS-2892 and correlation note visible in Activity/Pulse</t>
        </is>
      </c>
      <c r="K2893" t="inlineStr">
        <is>
          <t>NOT_RUN</t>
        </is>
      </c>
      <c r="P2893" t="n">
        <v>0</v>
      </c>
      <c r="Q2893" t="n">
        <v>2892</v>
      </c>
    </row>
    <row r="2894">
      <c r="A2894" t="n">
        <v>2893</v>
      </c>
      <c r="B2894" t="inlineStr">
        <is>
          <t>MTR-IOS-2893</t>
        </is>
      </c>
      <c r="C2894" t="inlineStr">
        <is>
          <t>iPhone</t>
        </is>
      </c>
      <c r="D2894" t="inlineStr">
        <is>
          <t>Personal</t>
        </is>
      </c>
      <c r="E2894" t="inlineStr">
        <is>
          <t>Personal</t>
        </is>
      </c>
      <c r="F2894" t="inlineStr">
        <is>
          <t>Relationships</t>
        </is>
      </c>
      <c r="G2894" t="inlineStr">
        <is>
          <t>Friends</t>
        </is>
      </c>
      <c r="H2894" t="inlineStr">
        <is>
          <t>Personal &gt; Relationships &gt; Quick Add &gt; Friends</t>
        </is>
      </c>
      <c r="I2894" s="18" t="n">
        <v>8963.4</v>
      </c>
      <c r="J2894" t="inlineStr">
        <is>
          <t>Created MTR-IOS-2893 and correlation note visible in Activity/Pulse</t>
        </is>
      </c>
      <c r="K2894" t="inlineStr">
        <is>
          <t>NOT_RUN</t>
        </is>
      </c>
      <c r="P2894" t="n">
        <v>0</v>
      </c>
      <c r="Q2894" t="n">
        <v>2893</v>
      </c>
    </row>
    <row r="2895">
      <c r="A2895" t="n">
        <v>2894</v>
      </c>
      <c r="B2895" t="inlineStr">
        <is>
          <t>MTR-IOS-2894</t>
        </is>
      </c>
      <c r="C2895" t="inlineStr">
        <is>
          <t>iPhone</t>
        </is>
      </c>
      <c r="D2895" t="inlineStr">
        <is>
          <t>Group</t>
        </is>
      </c>
      <c r="E2895" t="inlineStr">
        <is>
          <t>Shared Purchase</t>
        </is>
      </c>
      <c r="F2895" t="inlineStr">
        <is>
          <t>Assets</t>
        </is>
      </c>
      <c r="G2895" t="inlineStr">
        <is>
          <t>Other</t>
        </is>
      </c>
      <c r="H2895" t="inlineStr">
        <is>
          <t>Group &gt; Assets &gt; Quick Add &gt; Other</t>
        </is>
      </c>
      <c r="I2895" s="18" t="n">
        <v>1379.58</v>
      </c>
      <c r="J2895" t="inlineStr">
        <is>
          <t>Created MTR-IOS-2894 and correlation note visible in Activity/Pulse</t>
        </is>
      </c>
      <c r="K2895" t="inlineStr">
        <is>
          <t>NOT_RUN</t>
        </is>
      </c>
      <c r="P2895" t="n">
        <v>0</v>
      </c>
      <c r="Q2895" t="n">
        <v>2894</v>
      </c>
    </row>
    <row r="2896">
      <c r="A2896" t="n">
        <v>2895</v>
      </c>
      <c r="B2896" t="inlineStr">
        <is>
          <t>MTR-IOS-2895</t>
        </is>
      </c>
      <c r="C2896" t="inlineStr">
        <is>
          <t>iPhone</t>
        </is>
      </c>
      <c r="D2896" t="inlineStr">
        <is>
          <t>Business</t>
        </is>
      </c>
      <c r="E2896" t="inlineStr">
        <is>
          <t>Business</t>
        </is>
      </c>
      <c r="F2896" t="inlineStr">
        <is>
          <t>Business Operations</t>
        </is>
      </c>
      <c r="G2896" t="inlineStr">
        <is>
          <t>Vendor</t>
        </is>
      </c>
      <c r="H2896" t="inlineStr">
        <is>
          <t>Business &gt; Business Operations &gt; Quick Add &gt; Vendor</t>
        </is>
      </c>
      <c r="I2896" s="18" t="n">
        <v>136797.33</v>
      </c>
      <c r="J2896" t="inlineStr">
        <is>
          <t>Created MTR-IOS-2895 and correlation note visible in Activity/Pulse</t>
        </is>
      </c>
      <c r="K2896" t="inlineStr">
        <is>
          <t>NOT_RUN</t>
        </is>
      </c>
      <c r="P2896" t="n">
        <v>0</v>
      </c>
      <c r="Q2896" t="n">
        <v>2895</v>
      </c>
    </row>
    <row r="2897">
      <c r="A2897" t="n">
        <v>2896</v>
      </c>
      <c r="B2897" t="inlineStr">
        <is>
          <t>MTR-IOS-2896</t>
        </is>
      </c>
      <c r="C2897" t="inlineStr">
        <is>
          <t>iPhone</t>
        </is>
      </c>
      <c r="D2897" t="inlineStr">
        <is>
          <t>Personal</t>
        </is>
      </c>
      <c r="E2897" t="inlineStr">
        <is>
          <t>Personal</t>
        </is>
      </c>
      <c r="F2897" t="inlineStr">
        <is>
          <t>Relationships</t>
        </is>
      </c>
      <c r="G2897" t="inlineStr">
        <is>
          <t>Celebrations</t>
        </is>
      </c>
      <c r="H2897" t="inlineStr">
        <is>
          <t>Personal &gt; Relationships &gt; Quick Add &gt; Celebrations</t>
        </is>
      </c>
      <c r="I2897" s="18" t="n">
        <v>2270.69</v>
      </c>
      <c r="J2897" t="inlineStr">
        <is>
          <t>Created MTR-IOS-2896 and correlation note visible in Activity/Pulse</t>
        </is>
      </c>
      <c r="K2897" t="inlineStr">
        <is>
          <t>NOT_RUN</t>
        </is>
      </c>
      <c r="P2897" t="n">
        <v>0</v>
      </c>
      <c r="Q2897" t="n">
        <v>2896</v>
      </c>
    </row>
    <row r="2898">
      <c r="A2898" t="n">
        <v>2897</v>
      </c>
      <c r="B2898" t="inlineStr">
        <is>
          <t>MTR-IOS-2897</t>
        </is>
      </c>
      <c r="C2898" t="inlineStr">
        <is>
          <t>iPhone</t>
        </is>
      </c>
      <c r="D2898" t="inlineStr">
        <is>
          <t>Group</t>
        </is>
      </c>
      <c r="E2898" t="inlineStr">
        <is>
          <t>Shared Purchase</t>
        </is>
      </c>
      <c r="F2898" t="inlineStr">
        <is>
          <t>Custom Purchase</t>
        </is>
      </c>
      <c r="G2898" t="inlineStr">
        <is>
          <t>Custom Expense</t>
        </is>
      </c>
      <c r="H2898" t="inlineStr">
        <is>
          <t>Group &gt; Custom Purchase &gt; Quick Add &gt; Custom Expense</t>
        </is>
      </c>
      <c r="I2898" s="18" t="n">
        <v>15061.06</v>
      </c>
      <c r="J2898" t="inlineStr">
        <is>
          <t>Created MTR-IOS-2897 and correlation note visible in Activity/Pulse</t>
        </is>
      </c>
      <c r="K2898" t="inlineStr">
        <is>
          <t>NOT_RUN</t>
        </is>
      </c>
      <c r="P2898" t="n">
        <v>0</v>
      </c>
      <c r="Q2898" t="n">
        <v>2897</v>
      </c>
    </row>
    <row r="2899">
      <c r="A2899" t="n">
        <v>2898</v>
      </c>
      <c r="B2899" t="inlineStr">
        <is>
          <t>MTR-IOS-2898</t>
        </is>
      </c>
      <c r="C2899" t="inlineStr">
        <is>
          <t>iPhone</t>
        </is>
      </c>
      <c r="D2899" t="inlineStr">
        <is>
          <t>Business</t>
        </is>
      </c>
      <c r="E2899" t="inlineStr">
        <is>
          <t>Business</t>
        </is>
      </c>
      <c r="F2899" t="inlineStr">
        <is>
          <t>Business Operations</t>
        </is>
      </c>
      <c r="G2899" t="inlineStr">
        <is>
          <t>Tax</t>
        </is>
      </c>
      <c r="H2899" t="inlineStr">
        <is>
          <t>Business &gt; Business Operations &gt; Quick Add &gt; Tax</t>
        </is>
      </c>
      <c r="I2899" s="18" t="n">
        <v>679.49</v>
      </c>
      <c r="J2899" t="inlineStr">
        <is>
          <t>Created MTR-IOS-2898 and correlation note visible in Activity/Pulse</t>
        </is>
      </c>
      <c r="K2899" t="inlineStr">
        <is>
          <t>NOT_RUN</t>
        </is>
      </c>
      <c r="P2899" t="n">
        <v>0</v>
      </c>
      <c r="Q2899" t="n">
        <v>2898</v>
      </c>
    </row>
    <row r="2900">
      <c r="A2900" t="n">
        <v>2899</v>
      </c>
      <c r="B2900" t="inlineStr">
        <is>
          <t>MTR-IOS-2899</t>
        </is>
      </c>
      <c r="C2900" t="inlineStr">
        <is>
          <t>iPhone</t>
        </is>
      </c>
      <c r="D2900" t="inlineStr">
        <is>
          <t>Personal</t>
        </is>
      </c>
      <c r="E2900" t="inlineStr">
        <is>
          <t>Personal</t>
        </is>
      </c>
      <c r="F2900" t="inlineStr">
        <is>
          <t>Life Operations</t>
        </is>
      </c>
      <c r="G2900" t="inlineStr">
        <is>
          <t>Groceries</t>
        </is>
      </c>
      <c r="H2900" t="inlineStr">
        <is>
          <t>Personal &gt; Life Operations &gt; Quick Add &gt; Groceries</t>
        </is>
      </c>
      <c r="I2900" s="18" t="n">
        <v>1996.09</v>
      </c>
      <c r="J2900" t="inlineStr">
        <is>
          <t>Created MTR-IOS-2899 and correlation note visible in Activity/Pulse</t>
        </is>
      </c>
      <c r="K2900" t="inlineStr">
        <is>
          <t>NOT_RUN</t>
        </is>
      </c>
      <c r="P2900" t="n">
        <v>0</v>
      </c>
      <c r="Q2900" t="n">
        <v>2899</v>
      </c>
    </row>
    <row r="2901">
      <c r="A2901" t="n">
        <v>2900</v>
      </c>
      <c r="B2901" t="inlineStr">
        <is>
          <t>MTR-IOS-2900</t>
        </is>
      </c>
      <c r="C2901" t="inlineStr">
        <is>
          <t>iPhone</t>
        </is>
      </c>
      <c r="D2901" t="inlineStr">
        <is>
          <t>Group</t>
        </is>
      </c>
      <c r="E2901" t="inlineStr">
        <is>
          <t>Shared Purchase</t>
        </is>
      </c>
      <c r="F2901" t="inlineStr">
        <is>
          <t>Custom Purchase</t>
        </is>
      </c>
      <c r="G2901" t="inlineStr">
        <is>
          <t>Custom Contribution</t>
        </is>
      </c>
      <c r="H2901" t="inlineStr">
        <is>
          <t>Group &gt; Custom Purchase &gt; Quick Add &gt; Custom Contribution</t>
        </is>
      </c>
      <c r="I2901" s="18" t="n">
        <v>12523.4</v>
      </c>
      <c r="J2901" t="inlineStr">
        <is>
          <t>Created MTR-IOS-2900 and correlation note visible in Activity/Pulse</t>
        </is>
      </c>
      <c r="K2901" t="inlineStr">
        <is>
          <t>NOT_RUN</t>
        </is>
      </c>
      <c r="P2901" t="n">
        <v>0</v>
      </c>
      <c r="Q2901" t="n">
        <v>2900</v>
      </c>
    </row>
    <row r="2902">
      <c r="A2902" t="n">
        <v>2901</v>
      </c>
      <c r="B2902" t="inlineStr">
        <is>
          <t>MTR-IOS-2901</t>
        </is>
      </c>
      <c r="C2902" t="inlineStr">
        <is>
          <t>iPhone</t>
        </is>
      </c>
      <c r="D2902" t="inlineStr">
        <is>
          <t>Business</t>
        </is>
      </c>
      <c r="E2902" t="inlineStr">
        <is>
          <t>Business</t>
        </is>
      </c>
      <c r="F2902" t="inlineStr">
        <is>
          <t>Team Operations</t>
        </is>
      </c>
      <c r="G2902" t="inlineStr">
        <is>
          <t>Payroll</t>
        </is>
      </c>
      <c r="H2902" t="inlineStr">
        <is>
          <t>Business &gt; Team Operations &gt; Quick Add &gt; Payroll</t>
        </is>
      </c>
      <c r="I2902" s="18" t="n">
        <v>91624.13</v>
      </c>
      <c r="J2902" t="inlineStr">
        <is>
          <t>Created MTR-IOS-2901 and correlation note visible in Activity/Pulse</t>
        </is>
      </c>
      <c r="K2902" t="inlineStr">
        <is>
          <t>NOT_RUN</t>
        </is>
      </c>
      <c r="P2902" t="n">
        <v>0</v>
      </c>
      <c r="Q2902" t="n">
        <v>2901</v>
      </c>
    </row>
    <row r="2903">
      <c r="A2903" t="n">
        <v>2902</v>
      </c>
      <c r="B2903" t="inlineStr">
        <is>
          <t>MTR-IOS-2902</t>
        </is>
      </c>
      <c r="C2903" t="inlineStr">
        <is>
          <t>iPhone</t>
        </is>
      </c>
      <c r="D2903" t="inlineStr">
        <is>
          <t>Personal</t>
        </is>
      </c>
      <c r="E2903" t="inlineStr">
        <is>
          <t>Personal</t>
        </is>
      </c>
      <c r="F2903" t="inlineStr">
        <is>
          <t>Life Operations</t>
        </is>
      </c>
      <c r="G2903" t="inlineStr">
        <is>
          <t>Rent</t>
        </is>
      </c>
      <c r="H2903" t="inlineStr">
        <is>
          <t>Personal &gt; Life Operations &gt; Quick Add &gt; Rent</t>
        </is>
      </c>
      <c r="I2903" s="18" t="n">
        <v>2340.93</v>
      </c>
      <c r="J2903" t="inlineStr">
        <is>
          <t>Created MTR-IOS-2902 and correlation note visible in Activity/Pulse</t>
        </is>
      </c>
      <c r="K2903" t="inlineStr">
        <is>
          <t>NOT_RUN</t>
        </is>
      </c>
      <c r="P2903" t="n">
        <v>0</v>
      </c>
      <c r="Q2903" t="n">
        <v>2902</v>
      </c>
    </row>
    <row r="2904">
      <c r="A2904" t="n">
        <v>2903</v>
      </c>
      <c r="B2904" t="inlineStr">
        <is>
          <t>MTR-IOS-2903</t>
        </is>
      </c>
      <c r="C2904" t="inlineStr">
        <is>
          <t>iPhone</t>
        </is>
      </c>
      <c r="D2904" t="inlineStr">
        <is>
          <t>Group</t>
        </is>
      </c>
      <c r="E2904" t="inlineStr">
        <is>
          <t>Shared Living</t>
        </is>
      </c>
      <c r="F2904" t="inlineStr">
        <is>
          <t>Flatmates</t>
        </is>
      </c>
      <c r="G2904" t="inlineStr">
        <is>
          <t>Rent</t>
        </is>
      </c>
      <c r="H2904" t="inlineStr">
        <is>
          <t>Group &gt; Flatmates &gt; Quick Add &gt; Rent</t>
        </is>
      </c>
      <c r="I2904" s="18" t="n">
        <v>14740.87</v>
      </c>
      <c r="J2904" t="inlineStr">
        <is>
          <t>Created MTR-IOS-2903 and correlation note visible in Activity/Pulse</t>
        </is>
      </c>
      <c r="K2904" t="inlineStr">
        <is>
          <t>NOT_RUN</t>
        </is>
      </c>
      <c r="P2904" t="n">
        <v>0</v>
      </c>
      <c r="Q2904" t="n">
        <v>2903</v>
      </c>
    </row>
    <row r="2905">
      <c r="A2905" t="n">
        <v>2904</v>
      </c>
      <c r="B2905" t="inlineStr">
        <is>
          <t>MTR-IOS-2904</t>
        </is>
      </c>
      <c r="C2905" t="inlineStr">
        <is>
          <t>iPhone</t>
        </is>
      </c>
      <c r="D2905" t="inlineStr">
        <is>
          <t>Business</t>
        </is>
      </c>
      <c r="E2905" t="inlineStr">
        <is>
          <t>Business</t>
        </is>
      </c>
      <c r="F2905" t="inlineStr">
        <is>
          <t>Team Operations</t>
        </is>
      </c>
      <c r="G2905" t="inlineStr">
        <is>
          <t>Contractor</t>
        </is>
      </c>
      <c r="H2905" t="inlineStr">
        <is>
          <t>Business &gt; Team Operations &gt; Quick Add &gt; Contractor</t>
        </is>
      </c>
      <c r="I2905" s="18" t="n">
        <v>121869.6</v>
      </c>
      <c r="J2905" t="inlineStr">
        <is>
          <t>Created MTR-IOS-2904 and correlation note visible in Activity/Pulse</t>
        </is>
      </c>
      <c r="K2905" t="inlineStr">
        <is>
          <t>NOT_RUN</t>
        </is>
      </c>
      <c r="P2905" t="n">
        <v>0</v>
      </c>
      <c r="Q2905" t="n">
        <v>2904</v>
      </c>
    </row>
    <row r="2906">
      <c r="A2906" t="n">
        <v>2905</v>
      </c>
      <c r="B2906" t="inlineStr">
        <is>
          <t>MTR-IOS-2905</t>
        </is>
      </c>
      <c r="C2906" t="inlineStr">
        <is>
          <t>iPhone</t>
        </is>
      </c>
      <c r="D2906" t="inlineStr">
        <is>
          <t>Personal</t>
        </is>
      </c>
      <c r="E2906" t="inlineStr">
        <is>
          <t>Personal</t>
        </is>
      </c>
      <c r="F2906" t="inlineStr">
        <is>
          <t>Life Operations</t>
        </is>
      </c>
      <c r="G2906" t="inlineStr">
        <is>
          <t>Bills</t>
        </is>
      </c>
      <c r="H2906" t="inlineStr">
        <is>
          <t>Personal &gt; Life Operations &gt; Quick Add &gt; Bills</t>
        </is>
      </c>
      <c r="I2906" s="18" t="n">
        <v>14933.16</v>
      </c>
      <c r="J2906" t="inlineStr">
        <is>
          <t>Created MTR-IOS-2905 and correlation note visible in Activity/Pulse</t>
        </is>
      </c>
      <c r="K2906" t="inlineStr">
        <is>
          <t>NOT_RUN</t>
        </is>
      </c>
      <c r="P2906" t="n">
        <v>0</v>
      </c>
      <c r="Q2906" t="n">
        <v>2905</v>
      </c>
    </row>
    <row r="2907">
      <c r="A2907" t="n">
        <v>2906</v>
      </c>
      <c r="B2907" t="inlineStr">
        <is>
          <t>MTR-IOS-2906</t>
        </is>
      </c>
      <c r="C2907" t="inlineStr">
        <is>
          <t>iPhone</t>
        </is>
      </c>
      <c r="D2907" t="inlineStr">
        <is>
          <t>Group</t>
        </is>
      </c>
      <c r="E2907" t="inlineStr">
        <is>
          <t>Shared Living</t>
        </is>
      </c>
      <c r="F2907" t="inlineStr">
        <is>
          <t>Flatmates</t>
        </is>
      </c>
      <c r="G2907" t="inlineStr">
        <is>
          <t>Utilities</t>
        </is>
      </c>
      <c r="H2907" t="inlineStr">
        <is>
          <t>Group &gt; Flatmates &gt; Quick Add &gt; Utilities</t>
        </is>
      </c>
      <c r="I2907" s="18" t="n">
        <v>4765.67</v>
      </c>
      <c r="J2907" t="inlineStr">
        <is>
          <t>Created MTR-IOS-2906 and correlation note visible in Activity/Pulse</t>
        </is>
      </c>
      <c r="K2907" t="inlineStr">
        <is>
          <t>NOT_RUN</t>
        </is>
      </c>
      <c r="P2907" t="n">
        <v>0</v>
      </c>
      <c r="Q2907" t="n">
        <v>2906</v>
      </c>
    </row>
    <row r="2908">
      <c r="A2908" t="n">
        <v>2907</v>
      </c>
      <c r="B2908" t="inlineStr">
        <is>
          <t>MTR-IOS-2907</t>
        </is>
      </c>
      <c r="C2908" t="inlineStr">
        <is>
          <t>iPhone</t>
        </is>
      </c>
      <c r="D2908" t="inlineStr">
        <is>
          <t>Business</t>
        </is>
      </c>
      <c r="E2908" t="inlineStr">
        <is>
          <t>Business</t>
        </is>
      </c>
      <c r="F2908" t="inlineStr">
        <is>
          <t>Team Operations</t>
        </is>
      </c>
      <c r="G2908" t="inlineStr">
        <is>
          <t>Hiring</t>
        </is>
      </c>
      <c r="H2908" t="inlineStr">
        <is>
          <t>Business &gt; Team Operations &gt; Quick Add &gt; Hiring</t>
        </is>
      </c>
      <c r="I2908" s="18" t="n">
        <v>16291.63</v>
      </c>
      <c r="J2908" t="inlineStr">
        <is>
          <t>Created MTR-IOS-2907 and correlation note visible in Activity/Pulse</t>
        </is>
      </c>
      <c r="K2908" t="inlineStr">
        <is>
          <t>NOT_RUN</t>
        </is>
      </c>
      <c r="P2908" t="n">
        <v>0</v>
      </c>
      <c r="Q2908" t="n">
        <v>2907</v>
      </c>
    </row>
    <row r="2909">
      <c r="A2909" t="n">
        <v>2908</v>
      </c>
      <c r="B2909" t="inlineStr">
        <is>
          <t>MTR-IOS-2908</t>
        </is>
      </c>
      <c r="C2909" t="inlineStr">
        <is>
          <t>iPhone</t>
        </is>
      </c>
      <c r="D2909" t="inlineStr">
        <is>
          <t>Personal</t>
        </is>
      </c>
      <c r="E2909" t="inlineStr">
        <is>
          <t>Personal</t>
        </is>
      </c>
      <c r="F2909" t="inlineStr">
        <is>
          <t>Life Operations</t>
        </is>
      </c>
      <c r="G2909" t="inlineStr">
        <is>
          <t>Transport</t>
        </is>
      </c>
      <c r="H2909" t="inlineStr">
        <is>
          <t>Personal &gt; Life Operations &gt; Quick Add &gt; Transport</t>
        </is>
      </c>
      <c r="I2909" s="18" t="n">
        <v>17722.71</v>
      </c>
      <c r="J2909" t="inlineStr">
        <is>
          <t>Created MTR-IOS-2908 and correlation note visible in Activity/Pulse</t>
        </is>
      </c>
      <c r="K2909" t="inlineStr">
        <is>
          <t>NOT_RUN</t>
        </is>
      </c>
      <c r="P2909" t="n">
        <v>0</v>
      </c>
      <c r="Q2909" t="n">
        <v>2908</v>
      </c>
    </row>
    <row r="2910">
      <c r="A2910" t="n">
        <v>2909</v>
      </c>
      <c r="B2910" t="inlineStr">
        <is>
          <t>MTR-IOS-2909</t>
        </is>
      </c>
      <c r="C2910" t="inlineStr">
        <is>
          <t>iPhone</t>
        </is>
      </c>
      <c r="D2910" t="inlineStr">
        <is>
          <t>Group</t>
        </is>
      </c>
      <c r="E2910" t="inlineStr">
        <is>
          <t>Shared Living</t>
        </is>
      </c>
      <c r="F2910" t="inlineStr">
        <is>
          <t>Flatmates</t>
        </is>
      </c>
      <c r="G2910" t="inlineStr">
        <is>
          <t>Groceries</t>
        </is>
      </c>
      <c r="H2910" t="inlineStr">
        <is>
          <t>Group &gt; Flatmates &gt; Quick Add &gt; Groceries</t>
        </is>
      </c>
      <c r="I2910" s="18" t="n">
        <v>7273.29</v>
      </c>
      <c r="J2910" t="inlineStr">
        <is>
          <t>Created MTR-IOS-2909 and correlation note visible in Activity/Pulse</t>
        </is>
      </c>
      <c r="K2910" t="inlineStr">
        <is>
          <t>NOT_RUN</t>
        </is>
      </c>
      <c r="P2910" t="n">
        <v>0</v>
      </c>
      <c r="Q2910" t="n">
        <v>2909</v>
      </c>
    </row>
    <row r="2911">
      <c r="A2911" t="n">
        <v>2910</v>
      </c>
      <c r="B2911" t="inlineStr">
        <is>
          <t>MTR-IOS-2910</t>
        </is>
      </c>
      <c r="C2911" t="inlineStr">
        <is>
          <t>iPhone</t>
        </is>
      </c>
      <c r="D2911" t="inlineStr">
        <is>
          <t>Business</t>
        </is>
      </c>
      <c r="E2911" t="inlineStr">
        <is>
          <t>Business</t>
        </is>
      </c>
      <c r="F2911" t="inlineStr">
        <is>
          <t>Team Operations</t>
        </is>
      </c>
      <c r="G2911" t="inlineStr">
        <is>
          <t>Team Meal</t>
        </is>
      </c>
      <c r="H2911" t="inlineStr">
        <is>
          <t>Business &gt; Team Operations &gt; Quick Add &gt; Team Meal</t>
        </is>
      </c>
      <c r="I2911" s="18" t="n">
        <v>99430.89</v>
      </c>
      <c r="J2911" t="inlineStr">
        <is>
          <t>Created MTR-IOS-2910 and correlation note visible in Activity/Pulse</t>
        </is>
      </c>
      <c r="K2911" t="inlineStr">
        <is>
          <t>NOT_RUN</t>
        </is>
      </c>
      <c r="P2911" t="n">
        <v>0</v>
      </c>
      <c r="Q2911" t="n">
        <v>2910</v>
      </c>
    </row>
    <row r="2912">
      <c r="A2912" t="n">
        <v>2911</v>
      </c>
      <c r="B2912" t="inlineStr">
        <is>
          <t>MTR-IOS-2911</t>
        </is>
      </c>
      <c r="C2912" t="inlineStr">
        <is>
          <t>iPhone</t>
        </is>
      </c>
      <c r="D2912" t="inlineStr">
        <is>
          <t>Personal</t>
        </is>
      </c>
      <c r="E2912" t="inlineStr">
        <is>
          <t>Personal</t>
        </is>
      </c>
      <c r="F2912" t="inlineStr">
        <is>
          <t>Life Operations</t>
        </is>
      </c>
      <c r="G2912" t="inlineStr">
        <is>
          <t>Healthcare</t>
        </is>
      </c>
      <c r="H2912" t="inlineStr">
        <is>
          <t>Personal &gt; Life Operations &gt; Quick Add &gt; Healthcare</t>
        </is>
      </c>
      <c r="I2912" s="18" t="n">
        <v>2916.22</v>
      </c>
      <c r="J2912" t="inlineStr">
        <is>
          <t>Created MTR-IOS-2911 and correlation note visible in Activity/Pulse</t>
        </is>
      </c>
      <c r="K2912" t="inlineStr">
        <is>
          <t>NOT_RUN</t>
        </is>
      </c>
      <c r="P2912" t="n">
        <v>0</v>
      </c>
      <c r="Q2912" t="n">
        <v>2911</v>
      </c>
    </row>
    <row r="2913">
      <c r="A2913" t="n">
        <v>2912</v>
      </c>
      <c r="B2913" t="inlineStr">
        <is>
          <t>MTR-IOS-2912</t>
        </is>
      </c>
      <c r="C2913" t="inlineStr">
        <is>
          <t>iPhone</t>
        </is>
      </c>
      <c r="D2913" t="inlineStr">
        <is>
          <t>Group</t>
        </is>
      </c>
      <c r="E2913" t="inlineStr">
        <is>
          <t>Shared Living</t>
        </is>
      </c>
      <c r="F2913" t="inlineStr">
        <is>
          <t>Flatmates</t>
        </is>
      </c>
      <c r="G2913" t="inlineStr">
        <is>
          <t>Internet</t>
        </is>
      </c>
      <c r="H2913" t="inlineStr">
        <is>
          <t>Group &gt; Flatmates &gt; Quick Add &gt; Internet</t>
        </is>
      </c>
      <c r="I2913" s="18" t="n">
        <v>24806.95</v>
      </c>
      <c r="J2913" t="inlineStr">
        <is>
          <t>Created MTR-IOS-2912 and correlation note visible in Activity/Pulse</t>
        </is>
      </c>
      <c r="K2913" t="inlineStr">
        <is>
          <t>NOT_RUN</t>
        </is>
      </c>
      <c r="P2913" t="n">
        <v>0</v>
      </c>
      <c r="Q2913" t="n">
        <v>2912</v>
      </c>
    </row>
    <row r="2914">
      <c r="A2914" t="n">
        <v>2913</v>
      </c>
      <c r="B2914" t="inlineStr">
        <is>
          <t>MTR-IOS-2913</t>
        </is>
      </c>
      <c r="C2914" t="inlineStr">
        <is>
          <t>iPhone</t>
        </is>
      </c>
      <c r="D2914" t="inlineStr">
        <is>
          <t>Business</t>
        </is>
      </c>
      <c r="E2914" t="inlineStr">
        <is>
          <t>Business</t>
        </is>
      </c>
      <c r="F2914" t="inlineStr">
        <is>
          <t>Team Operations</t>
        </is>
      </c>
      <c r="G2914" t="inlineStr">
        <is>
          <t>Travel</t>
        </is>
      </c>
      <c r="H2914" t="inlineStr">
        <is>
          <t>Business &gt; Team Operations &gt; Quick Add &gt; Travel</t>
        </is>
      </c>
      <c r="I2914" s="18" t="n">
        <v>131906.61</v>
      </c>
      <c r="J2914" t="inlineStr">
        <is>
          <t>Created MTR-IOS-2913 and correlation note visible in Activity/Pulse</t>
        </is>
      </c>
      <c r="K2914" t="inlineStr">
        <is>
          <t>NOT_RUN</t>
        </is>
      </c>
      <c r="P2914" t="n">
        <v>0</v>
      </c>
      <c r="Q2914" t="n">
        <v>2913</v>
      </c>
    </row>
    <row r="2915">
      <c r="A2915" t="n">
        <v>2914</v>
      </c>
      <c r="B2915" t="inlineStr">
        <is>
          <t>MTR-IOS-2914</t>
        </is>
      </c>
      <c r="C2915" t="inlineStr">
        <is>
          <t>iPhone</t>
        </is>
      </c>
      <c r="D2915" t="inlineStr">
        <is>
          <t>Personal</t>
        </is>
      </c>
      <c r="E2915" t="inlineStr">
        <is>
          <t>Personal</t>
        </is>
      </c>
      <c r="F2915" t="inlineStr">
        <is>
          <t>Life Operations</t>
        </is>
      </c>
      <c r="G2915" t="inlineStr">
        <is>
          <t>Subscriptions</t>
        </is>
      </c>
      <c r="H2915" t="inlineStr">
        <is>
          <t>Personal &gt; Life Operations &gt; Quick Add &gt; Subscriptions</t>
        </is>
      </c>
      <c r="I2915" s="18" t="n">
        <v>16970.15</v>
      </c>
      <c r="J2915" t="inlineStr">
        <is>
          <t>Created MTR-IOS-2914 and correlation note visible in Activity/Pulse</t>
        </is>
      </c>
      <c r="K2915" t="inlineStr">
        <is>
          <t>NOT_RUN</t>
        </is>
      </c>
      <c r="P2915" t="n">
        <v>0</v>
      </c>
      <c r="Q2915" t="n">
        <v>2914</v>
      </c>
    </row>
    <row r="2916">
      <c r="A2916" t="n">
        <v>2915</v>
      </c>
      <c r="B2916" t="inlineStr">
        <is>
          <t>MTR-IOS-2915</t>
        </is>
      </c>
      <c r="C2916" t="inlineStr">
        <is>
          <t>iPhone</t>
        </is>
      </c>
      <c r="D2916" t="inlineStr">
        <is>
          <t>Group</t>
        </is>
      </c>
      <c r="E2916" t="inlineStr">
        <is>
          <t>Shared Living</t>
        </is>
      </c>
      <c r="F2916" t="inlineStr">
        <is>
          <t>Flatmates</t>
        </is>
      </c>
      <c r="G2916" t="inlineStr">
        <is>
          <t>House Supplies</t>
        </is>
      </c>
      <c r="H2916" t="inlineStr">
        <is>
          <t>Group &gt; Flatmates &gt; Quick Add &gt; House Supplies</t>
        </is>
      </c>
      <c r="I2916" s="18" t="n">
        <v>13930.57</v>
      </c>
      <c r="J2916" t="inlineStr">
        <is>
          <t>Created MTR-IOS-2915 and correlation note visible in Activity/Pulse</t>
        </is>
      </c>
      <c r="K2916" t="inlineStr">
        <is>
          <t>NOT_RUN</t>
        </is>
      </c>
      <c r="P2916" t="n">
        <v>0</v>
      </c>
      <c r="Q2916" t="n">
        <v>2915</v>
      </c>
    </row>
    <row r="2917">
      <c r="A2917" t="n">
        <v>2916</v>
      </c>
      <c r="B2917" t="inlineStr">
        <is>
          <t>MTR-IOS-2916</t>
        </is>
      </c>
      <c r="C2917" t="inlineStr">
        <is>
          <t>iPhone</t>
        </is>
      </c>
      <c r="D2917" t="inlineStr">
        <is>
          <t>Business</t>
        </is>
      </c>
      <c r="E2917" t="inlineStr">
        <is>
          <t>Business</t>
        </is>
      </c>
      <c r="F2917" t="inlineStr">
        <is>
          <t>Team Operations</t>
        </is>
      </c>
      <c r="G2917" t="inlineStr">
        <is>
          <t>Training</t>
        </is>
      </c>
      <c r="H2917" t="inlineStr">
        <is>
          <t>Business &gt; Team Operations &gt; Quick Add &gt; Training</t>
        </is>
      </c>
      <c r="I2917" s="18" t="n">
        <v>42209.66</v>
      </c>
      <c r="J2917" t="inlineStr">
        <is>
          <t>Created MTR-IOS-2916 and correlation note visible in Activity/Pulse</t>
        </is>
      </c>
      <c r="K2917" t="inlineStr">
        <is>
          <t>NOT_RUN</t>
        </is>
      </c>
      <c r="P2917" t="n">
        <v>0</v>
      </c>
      <c r="Q2917" t="n">
        <v>2916</v>
      </c>
    </row>
    <row r="2918">
      <c r="A2918" t="n">
        <v>2917</v>
      </c>
      <c r="B2918" t="inlineStr">
        <is>
          <t>MTR-IOS-2917</t>
        </is>
      </c>
      <c r="C2918" t="inlineStr">
        <is>
          <t>iPhone</t>
        </is>
      </c>
      <c r="D2918" t="inlineStr">
        <is>
          <t>Personal</t>
        </is>
      </c>
      <c r="E2918" t="inlineStr">
        <is>
          <t>Personal</t>
        </is>
      </c>
      <c r="F2918" t="inlineStr">
        <is>
          <t>Life Operations</t>
        </is>
      </c>
      <c r="G2918" t="inlineStr">
        <is>
          <t>Repairs</t>
        </is>
      </c>
      <c r="H2918" t="inlineStr">
        <is>
          <t>Personal &gt; Life Operations &gt; Quick Add &gt; Repairs</t>
        </is>
      </c>
      <c r="I2918" s="18" t="n">
        <v>3416.34</v>
      </c>
      <c r="J2918" t="inlineStr">
        <is>
          <t>Created MTR-IOS-2917 and correlation note visible in Activity/Pulse</t>
        </is>
      </c>
      <c r="K2918" t="inlineStr">
        <is>
          <t>NOT_RUN</t>
        </is>
      </c>
      <c r="P2918" t="n">
        <v>0</v>
      </c>
      <c r="Q2918" t="n">
        <v>2917</v>
      </c>
    </row>
    <row r="2919">
      <c r="A2919" t="n">
        <v>2918</v>
      </c>
      <c r="B2919" t="inlineStr">
        <is>
          <t>MTR-IOS-2918</t>
        </is>
      </c>
      <c r="C2919" t="inlineStr">
        <is>
          <t>iPhone</t>
        </is>
      </c>
      <c r="D2919" t="inlineStr">
        <is>
          <t>Group</t>
        </is>
      </c>
      <c r="E2919" t="inlineStr">
        <is>
          <t>Shared Living</t>
        </is>
      </c>
      <c r="F2919" t="inlineStr">
        <is>
          <t>Flatmates</t>
        </is>
      </c>
      <c r="G2919" t="inlineStr">
        <is>
          <t>Repairs</t>
        </is>
      </c>
      <c r="H2919" t="inlineStr">
        <is>
          <t>Group &gt; Flatmates &gt; Quick Add &gt; Repairs</t>
        </is>
      </c>
      <c r="I2919" s="18" t="n">
        <v>14912.06</v>
      </c>
      <c r="J2919" t="inlineStr">
        <is>
          <t>Created MTR-IOS-2918 and correlation note visible in Activity/Pulse</t>
        </is>
      </c>
      <c r="K2919" t="inlineStr">
        <is>
          <t>NOT_RUN</t>
        </is>
      </c>
      <c r="P2919" t="n">
        <v>0</v>
      </c>
      <c r="Q2919" t="n">
        <v>2918</v>
      </c>
    </row>
    <row r="2920">
      <c r="A2920" t="n">
        <v>2919</v>
      </c>
      <c r="B2920" t="inlineStr">
        <is>
          <t>MTR-IOS-2919</t>
        </is>
      </c>
      <c r="C2920" t="inlineStr">
        <is>
          <t>iPhone</t>
        </is>
      </c>
      <c r="D2920" t="inlineStr">
        <is>
          <t>Business</t>
        </is>
      </c>
      <c r="E2920" t="inlineStr">
        <is>
          <t>Business</t>
        </is>
      </c>
      <c r="F2920" t="inlineStr">
        <is>
          <t>Team Operations</t>
        </is>
      </c>
      <c r="G2920" t="inlineStr">
        <is>
          <t>Tools</t>
        </is>
      </c>
      <c r="H2920" t="inlineStr">
        <is>
          <t>Business &gt; Team Operations &gt; Quick Add &gt; Tools</t>
        </is>
      </c>
      <c r="I2920" s="18" t="n">
        <v>91704.35000000001</v>
      </c>
      <c r="J2920" t="inlineStr">
        <is>
          <t>Created MTR-IOS-2919 and correlation note visible in Activity/Pulse</t>
        </is>
      </c>
      <c r="K2920" t="inlineStr">
        <is>
          <t>NOT_RUN</t>
        </is>
      </c>
      <c r="P2920" t="n">
        <v>0</v>
      </c>
      <c r="Q2920" t="n">
        <v>2919</v>
      </c>
    </row>
    <row r="2921">
      <c r="A2921" t="n">
        <v>2920</v>
      </c>
      <c r="B2921" t="inlineStr">
        <is>
          <t>MTR-IOS-2920</t>
        </is>
      </c>
      <c r="C2921" t="inlineStr">
        <is>
          <t>iPhone</t>
        </is>
      </c>
      <c r="D2921" t="inlineStr">
        <is>
          <t>Personal</t>
        </is>
      </c>
      <c r="E2921" t="inlineStr">
        <is>
          <t>Personal</t>
        </is>
      </c>
      <c r="F2921" t="inlineStr">
        <is>
          <t>Future Building</t>
        </is>
      </c>
      <c r="G2921" t="inlineStr">
        <is>
          <t>Savings</t>
        </is>
      </c>
      <c r="H2921" t="inlineStr">
        <is>
          <t>Personal &gt; Future Building &gt; Quick Add &gt; Savings</t>
        </is>
      </c>
      <c r="I2921" s="18" t="n">
        <v>10574.88</v>
      </c>
      <c r="J2921" t="inlineStr">
        <is>
          <t>Created MTR-IOS-2920 and correlation note visible in Activity/Pulse</t>
        </is>
      </c>
      <c r="K2921" t="inlineStr">
        <is>
          <t>NOT_RUN</t>
        </is>
      </c>
      <c r="P2921" t="n">
        <v>0</v>
      </c>
      <c r="Q2921" t="n">
        <v>2920</v>
      </c>
    </row>
    <row r="2922">
      <c r="A2922" t="n">
        <v>2921</v>
      </c>
      <c r="B2922" t="inlineStr">
        <is>
          <t>MTR-IOS-2921</t>
        </is>
      </c>
      <c r="C2922" t="inlineStr">
        <is>
          <t>iPhone</t>
        </is>
      </c>
      <c r="D2922" t="inlineStr">
        <is>
          <t>Group</t>
        </is>
      </c>
      <c r="E2922" t="inlineStr">
        <is>
          <t>Shared Living</t>
        </is>
      </c>
      <c r="F2922" t="inlineStr">
        <is>
          <t>Shared Living</t>
        </is>
      </c>
      <c r="G2922" t="inlineStr">
        <is>
          <t>Rent</t>
        </is>
      </c>
      <c r="H2922" t="inlineStr">
        <is>
          <t>Group &gt; Shared Living &gt; Quick Add &gt; Rent</t>
        </is>
      </c>
      <c r="I2922" s="18" t="n">
        <v>7084.03</v>
      </c>
      <c r="J2922" t="inlineStr">
        <is>
          <t>Created MTR-IOS-2921 and correlation note visible in Activity/Pulse</t>
        </is>
      </c>
      <c r="K2922" t="inlineStr">
        <is>
          <t>NOT_RUN</t>
        </is>
      </c>
      <c r="P2922" t="n">
        <v>0</v>
      </c>
      <c r="Q2922" t="n">
        <v>2921</v>
      </c>
    </row>
    <row r="2923">
      <c r="A2923" t="n">
        <v>2922</v>
      </c>
      <c r="B2923" t="inlineStr">
        <is>
          <t>MTR-IOS-2922</t>
        </is>
      </c>
      <c r="C2923" t="inlineStr">
        <is>
          <t>iPhone</t>
        </is>
      </c>
      <c r="D2923" t="inlineStr">
        <is>
          <t>Business</t>
        </is>
      </c>
      <c r="E2923" t="inlineStr">
        <is>
          <t>Business</t>
        </is>
      </c>
      <c r="F2923" t="inlineStr">
        <is>
          <t>Business Runway</t>
        </is>
      </c>
      <c r="G2923" t="inlineStr">
        <is>
          <t>Funding</t>
        </is>
      </c>
      <c r="H2923" t="inlineStr">
        <is>
          <t>Business &gt; Business Runway &gt; Quick Add &gt; Funding</t>
        </is>
      </c>
      <c r="I2923" s="18" t="n">
        <v>49718.38</v>
      </c>
      <c r="J2923" t="inlineStr">
        <is>
          <t>Created MTR-IOS-2922 and correlation note visible in Activity/Pulse</t>
        </is>
      </c>
      <c r="K2923" t="inlineStr">
        <is>
          <t>NOT_RUN</t>
        </is>
      </c>
      <c r="P2923" t="n">
        <v>0</v>
      </c>
      <c r="Q2923" t="n">
        <v>2922</v>
      </c>
    </row>
    <row r="2924">
      <c r="A2924" t="n">
        <v>2923</v>
      </c>
      <c r="B2924" t="inlineStr">
        <is>
          <t>MTR-IOS-2923</t>
        </is>
      </c>
      <c r="C2924" t="inlineStr">
        <is>
          <t>iPhone</t>
        </is>
      </c>
      <c r="D2924" t="inlineStr">
        <is>
          <t>Personal</t>
        </is>
      </c>
      <c r="E2924" t="inlineStr">
        <is>
          <t>Personal</t>
        </is>
      </c>
      <c r="F2924" t="inlineStr">
        <is>
          <t>Future Building</t>
        </is>
      </c>
      <c r="G2924" t="inlineStr">
        <is>
          <t>Emergency Fund</t>
        </is>
      </c>
      <c r="H2924" t="inlineStr">
        <is>
          <t>Personal &gt; Future Building &gt; Quick Add &gt; Emergency Fund</t>
        </is>
      </c>
      <c r="I2924" s="18" t="n">
        <v>1</v>
      </c>
      <c r="J2924" t="inlineStr">
        <is>
          <t>Created MTR-IOS-2923 and correlation note visible in Activity/Pulse</t>
        </is>
      </c>
      <c r="K2924" t="inlineStr">
        <is>
          <t>NOT_RUN</t>
        </is>
      </c>
      <c r="P2924" t="n">
        <v>0</v>
      </c>
      <c r="Q2924" t="n">
        <v>2923</v>
      </c>
    </row>
    <row r="2925">
      <c r="A2925" t="n">
        <v>2924</v>
      </c>
      <c r="B2925" t="inlineStr">
        <is>
          <t>MTR-IOS-2924</t>
        </is>
      </c>
      <c r="C2925" t="inlineStr">
        <is>
          <t>iPhone</t>
        </is>
      </c>
      <c r="D2925" t="inlineStr">
        <is>
          <t>Group</t>
        </is>
      </c>
      <c r="E2925" t="inlineStr">
        <is>
          <t>Shared Living</t>
        </is>
      </c>
      <c r="F2925" t="inlineStr">
        <is>
          <t>Shared Living</t>
        </is>
      </c>
      <c r="G2925" t="inlineStr">
        <is>
          <t>Utilities</t>
        </is>
      </c>
      <c r="H2925" t="inlineStr">
        <is>
          <t>Group &gt; Shared Living &gt; Quick Add &gt; Utilities</t>
        </is>
      </c>
      <c r="I2925" s="18" t="n">
        <v>13988.77</v>
      </c>
      <c r="J2925" t="inlineStr">
        <is>
          <t>Created MTR-IOS-2924 and correlation note visible in Activity/Pulse</t>
        </is>
      </c>
      <c r="K2925" t="inlineStr">
        <is>
          <t>NOT_RUN</t>
        </is>
      </c>
      <c r="P2925" t="n">
        <v>0</v>
      </c>
      <c r="Q2925" t="n">
        <v>2924</v>
      </c>
    </row>
    <row r="2926">
      <c r="A2926" t="n">
        <v>2925</v>
      </c>
      <c r="B2926" t="inlineStr">
        <is>
          <t>MTR-IOS-2925</t>
        </is>
      </c>
      <c r="C2926" t="inlineStr">
        <is>
          <t>iPhone</t>
        </is>
      </c>
      <c r="D2926" t="inlineStr">
        <is>
          <t>Business</t>
        </is>
      </c>
      <c r="E2926" t="inlineStr">
        <is>
          <t>Business</t>
        </is>
      </c>
      <c r="F2926" t="inlineStr">
        <is>
          <t>Business Runway</t>
        </is>
      </c>
      <c r="G2926" t="inlineStr">
        <is>
          <t>Revenue</t>
        </is>
      </c>
      <c r="H2926" t="inlineStr">
        <is>
          <t>Business &gt; Business Runway &gt; Quick Add &gt; Revenue</t>
        </is>
      </c>
      <c r="I2926" s="18" t="n">
        <v>92993.94</v>
      </c>
      <c r="J2926" t="inlineStr">
        <is>
          <t>Created MTR-IOS-2925 and correlation note visible in Activity/Pulse</t>
        </is>
      </c>
      <c r="K2926" t="inlineStr">
        <is>
          <t>NOT_RUN</t>
        </is>
      </c>
      <c r="P2926" t="n">
        <v>0</v>
      </c>
      <c r="Q2926" t="n">
        <v>2925</v>
      </c>
    </row>
    <row r="2927">
      <c r="A2927" t="n">
        <v>2926</v>
      </c>
      <c r="B2927" t="inlineStr">
        <is>
          <t>MTR-IOS-2926</t>
        </is>
      </c>
      <c r="C2927" t="inlineStr">
        <is>
          <t>iPhone</t>
        </is>
      </c>
      <c r="D2927" t="inlineStr">
        <is>
          <t>Personal</t>
        </is>
      </c>
      <c r="E2927" t="inlineStr">
        <is>
          <t>Personal</t>
        </is>
      </c>
      <c r="F2927" t="inlineStr">
        <is>
          <t>Future Building</t>
        </is>
      </c>
      <c r="G2927" t="inlineStr">
        <is>
          <t>Investments</t>
        </is>
      </c>
      <c r="H2927" t="inlineStr">
        <is>
          <t>Personal &gt; Future Building &gt; Quick Add &gt; Investments</t>
        </is>
      </c>
      <c r="I2927" s="18" t="n">
        <v>6710.52</v>
      </c>
      <c r="J2927" t="inlineStr">
        <is>
          <t>Created MTR-IOS-2926 and correlation note visible in Activity/Pulse</t>
        </is>
      </c>
      <c r="K2927" t="inlineStr">
        <is>
          <t>NOT_RUN</t>
        </is>
      </c>
      <c r="P2927" t="n">
        <v>0</v>
      </c>
      <c r="Q2927" t="n">
        <v>2926</v>
      </c>
    </row>
    <row r="2928">
      <c r="A2928" t="n">
        <v>2927</v>
      </c>
      <c r="B2928" t="inlineStr">
        <is>
          <t>MTR-IOS-2927</t>
        </is>
      </c>
      <c r="C2928" t="inlineStr">
        <is>
          <t>iPhone</t>
        </is>
      </c>
      <c r="D2928" t="inlineStr">
        <is>
          <t>Group</t>
        </is>
      </c>
      <c r="E2928" t="inlineStr">
        <is>
          <t>Shared Living</t>
        </is>
      </c>
      <c r="F2928" t="inlineStr">
        <is>
          <t>Shared Living</t>
        </is>
      </c>
      <c r="G2928" t="inlineStr">
        <is>
          <t>Groceries</t>
        </is>
      </c>
      <c r="H2928" t="inlineStr">
        <is>
          <t>Group &gt; Shared Living &gt; Quick Add &gt; Groceries</t>
        </is>
      </c>
      <c r="I2928" s="18" t="n">
        <v>19586.77</v>
      </c>
      <c r="J2928" t="inlineStr">
        <is>
          <t>Created MTR-IOS-2927 and correlation note visible in Activity/Pulse</t>
        </is>
      </c>
      <c r="K2928" t="inlineStr">
        <is>
          <t>NOT_RUN</t>
        </is>
      </c>
      <c r="P2928" t="n">
        <v>0</v>
      </c>
      <c r="Q2928" t="n">
        <v>2927</v>
      </c>
    </row>
    <row r="2929">
      <c r="A2929" t="n">
        <v>2928</v>
      </c>
      <c r="B2929" t="inlineStr">
        <is>
          <t>MTR-IOS-2928</t>
        </is>
      </c>
      <c r="C2929" t="inlineStr">
        <is>
          <t>iPhone</t>
        </is>
      </c>
      <c r="D2929" t="inlineStr">
        <is>
          <t>Business</t>
        </is>
      </c>
      <c r="E2929" t="inlineStr">
        <is>
          <t>Business</t>
        </is>
      </c>
      <c r="F2929" t="inlineStr">
        <is>
          <t>Business Runway</t>
        </is>
      </c>
      <c r="G2929" t="inlineStr">
        <is>
          <t>Burn</t>
        </is>
      </c>
      <c r="H2929" t="inlineStr">
        <is>
          <t>Business &gt; Business Runway &gt; Quick Add &gt; Burn</t>
        </is>
      </c>
      <c r="I2929" s="18" t="n">
        <v>54789.51</v>
      </c>
      <c r="J2929" t="inlineStr">
        <is>
          <t>Created MTR-IOS-2928 and correlation note visible in Activity/Pulse</t>
        </is>
      </c>
      <c r="K2929" t="inlineStr">
        <is>
          <t>NOT_RUN</t>
        </is>
      </c>
      <c r="P2929" t="n">
        <v>0</v>
      </c>
      <c r="Q2929" t="n">
        <v>2928</v>
      </c>
    </row>
    <row r="2930">
      <c r="A2930" t="n">
        <v>2929</v>
      </c>
      <c r="B2930" t="inlineStr">
        <is>
          <t>MTR-IOS-2929</t>
        </is>
      </c>
      <c r="C2930" t="inlineStr">
        <is>
          <t>iPhone</t>
        </is>
      </c>
      <c r="D2930" t="inlineStr">
        <is>
          <t>Personal</t>
        </is>
      </c>
      <c r="E2930" t="inlineStr">
        <is>
          <t>Personal</t>
        </is>
      </c>
      <c r="F2930" t="inlineStr">
        <is>
          <t>Future Building</t>
        </is>
      </c>
      <c r="G2930" t="inlineStr">
        <is>
          <t>Education</t>
        </is>
      </c>
      <c r="H2930" t="inlineStr">
        <is>
          <t>Personal &gt; Future Building &gt; Quick Add &gt; Education</t>
        </is>
      </c>
      <c r="I2930" s="18" t="n">
        <v>9957.52</v>
      </c>
      <c r="J2930" t="inlineStr">
        <is>
          <t>Created MTR-IOS-2929 and correlation note visible in Activity/Pulse</t>
        </is>
      </c>
      <c r="K2930" t="inlineStr">
        <is>
          <t>NOT_RUN</t>
        </is>
      </c>
      <c r="P2930" t="n">
        <v>0</v>
      </c>
      <c r="Q2930" t="n">
        <v>2929</v>
      </c>
    </row>
    <row r="2931">
      <c r="A2931" t="n">
        <v>2930</v>
      </c>
      <c r="B2931" t="inlineStr">
        <is>
          <t>MTR-IOS-2930</t>
        </is>
      </c>
      <c r="C2931" t="inlineStr">
        <is>
          <t>iPhone</t>
        </is>
      </c>
      <c r="D2931" t="inlineStr">
        <is>
          <t>Group</t>
        </is>
      </c>
      <c r="E2931" t="inlineStr">
        <is>
          <t>Shared Living</t>
        </is>
      </c>
      <c r="F2931" t="inlineStr">
        <is>
          <t>Shared Living</t>
        </is>
      </c>
      <c r="G2931" t="inlineStr">
        <is>
          <t>Maintenance</t>
        </is>
      </c>
      <c r="H2931" t="inlineStr">
        <is>
          <t>Group &gt; Shared Living &gt; Quick Add &gt; Maintenance</t>
        </is>
      </c>
      <c r="I2931" s="18" t="n">
        <v>13822.97</v>
      </c>
      <c r="J2931" t="inlineStr">
        <is>
          <t>Created MTR-IOS-2930 and correlation note visible in Activity/Pulse</t>
        </is>
      </c>
      <c r="K2931" t="inlineStr">
        <is>
          <t>NOT_RUN</t>
        </is>
      </c>
      <c r="P2931" t="n">
        <v>0</v>
      </c>
      <c r="Q2931" t="n">
        <v>2930</v>
      </c>
    </row>
    <row r="2932">
      <c r="A2932" t="n">
        <v>2931</v>
      </c>
      <c r="B2932" t="inlineStr">
        <is>
          <t>MTR-IOS-2931</t>
        </is>
      </c>
      <c r="C2932" t="inlineStr">
        <is>
          <t>iPhone</t>
        </is>
      </c>
      <c r="D2932" t="inlineStr">
        <is>
          <t>Business</t>
        </is>
      </c>
      <c r="E2932" t="inlineStr">
        <is>
          <t>Business</t>
        </is>
      </c>
      <c r="F2932" t="inlineStr">
        <is>
          <t>Business Runway</t>
        </is>
      </c>
      <c r="G2932" t="inlineStr">
        <is>
          <t>Reserve</t>
        </is>
      </c>
      <c r="H2932" t="inlineStr">
        <is>
          <t>Business &gt; Business Runway &gt; Quick Add &gt; Reserve</t>
        </is>
      </c>
      <c r="I2932" s="18" t="n">
        <v>99049.77</v>
      </c>
      <c r="J2932" t="inlineStr">
        <is>
          <t>Created MTR-IOS-2931 and correlation note visible in Activity/Pulse</t>
        </is>
      </c>
      <c r="K2932" t="inlineStr">
        <is>
          <t>NOT_RUN</t>
        </is>
      </c>
      <c r="P2932" t="n">
        <v>0</v>
      </c>
      <c r="Q2932" t="n">
        <v>2931</v>
      </c>
    </row>
    <row r="2933">
      <c r="A2933" t="n">
        <v>2932</v>
      </c>
      <c r="B2933" t="inlineStr">
        <is>
          <t>MTR-IOS-2932</t>
        </is>
      </c>
      <c r="C2933" t="inlineStr">
        <is>
          <t>iPhone</t>
        </is>
      </c>
      <c r="D2933" t="inlineStr">
        <is>
          <t>Personal</t>
        </is>
      </c>
      <c r="E2933" t="inlineStr">
        <is>
          <t>Personal</t>
        </is>
      </c>
      <c r="F2933" t="inlineStr">
        <is>
          <t>Future Building</t>
        </is>
      </c>
      <c r="G2933" t="inlineStr">
        <is>
          <t>Goal Contribution</t>
        </is>
      </c>
      <c r="H2933" t="inlineStr">
        <is>
          <t>Personal &gt; Future Building &gt; Quick Add &gt; Goal Contribution</t>
        </is>
      </c>
      <c r="I2933" s="18" t="n">
        <v>8595.809999999999</v>
      </c>
      <c r="J2933" t="inlineStr">
        <is>
          <t>Created MTR-IOS-2932 and correlation note visible in Activity/Pulse</t>
        </is>
      </c>
      <c r="K2933" t="inlineStr">
        <is>
          <t>NOT_RUN</t>
        </is>
      </c>
      <c r="P2933" t="n">
        <v>0</v>
      </c>
      <c r="Q2933" t="n">
        <v>2932</v>
      </c>
    </row>
    <row r="2934">
      <c r="A2934" t="n">
        <v>2933</v>
      </c>
      <c r="B2934" t="inlineStr">
        <is>
          <t>MTR-IOS-2933</t>
        </is>
      </c>
      <c r="C2934" t="inlineStr">
        <is>
          <t>iPhone</t>
        </is>
      </c>
      <c r="D2934" t="inlineStr">
        <is>
          <t>Group</t>
        </is>
      </c>
      <c r="E2934" t="inlineStr">
        <is>
          <t>Shared Living</t>
        </is>
      </c>
      <c r="F2934" t="inlineStr">
        <is>
          <t>Shared Living</t>
        </is>
      </c>
      <c r="G2934" t="inlineStr">
        <is>
          <t>Other</t>
        </is>
      </c>
      <c r="H2934" t="inlineStr">
        <is>
          <t>Group &gt; Shared Living &gt; Quick Add &gt; Other</t>
        </is>
      </c>
      <c r="I2934" s="18" t="n">
        <v>25272.17</v>
      </c>
      <c r="J2934" t="inlineStr">
        <is>
          <t>Created MTR-IOS-2933 and correlation note visible in Activity/Pulse</t>
        </is>
      </c>
      <c r="K2934" t="inlineStr">
        <is>
          <t>NOT_RUN</t>
        </is>
      </c>
      <c r="P2934" t="n">
        <v>0</v>
      </c>
      <c r="Q2934" t="n">
        <v>2933</v>
      </c>
    </row>
    <row r="2935">
      <c r="A2935" t="n">
        <v>2934</v>
      </c>
      <c r="B2935" t="inlineStr">
        <is>
          <t>MTR-IOS-2934</t>
        </is>
      </c>
      <c r="C2935" t="inlineStr">
        <is>
          <t>iPhone</t>
        </is>
      </c>
      <c r="D2935" t="inlineStr">
        <is>
          <t>Business</t>
        </is>
      </c>
      <c r="E2935" t="inlineStr">
        <is>
          <t>Business</t>
        </is>
      </c>
      <c r="F2935" t="inlineStr">
        <is>
          <t>Business Runway</t>
        </is>
      </c>
      <c r="G2935" t="inlineStr">
        <is>
          <t>Loan</t>
        </is>
      </c>
      <c r="H2935" t="inlineStr">
        <is>
          <t>Business &gt; Business Runway &gt; Quick Add &gt; Loan</t>
        </is>
      </c>
      <c r="I2935" s="18" t="n">
        <v>142537.52</v>
      </c>
      <c r="J2935" t="inlineStr">
        <is>
          <t>Created MTR-IOS-2934 and correlation note visible in Activity/Pulse</t>
        </is>
      </c>
      <c r="K2935" t="inlineStr">
        <is>
          <t>NOT_RUN</t>
        </is>
      </c>
      <c r="P2935" t="n">
        <v>0</v>
      </c>
      <c r="Q2935" t="n">
        <v>2934</v>
      </c>
    </row>
    <row r="2936">
      <c r="A2936" t="n">
        <v>2935</v>
      </c>
      <c r="B2936" t="inlineStr">
        <is>
          <t>MTR-IOS-2935</t>
        </is>
      </c>
      <c r="C2936" t="inlineStr">
        <is>
          <t>iPhone</t>
        </is>
      </c>
      <c r="D2936" t="inlineStr">
        <is>
          <t>Personal</t>
        </is>
      </c>
      <c r="E2936" t="inlineStr">
        <is>
          <t>Personal</t>
        </is>
      </c>
      <c r="F2936" t="inlineStr">
        <is>
          <t>Lifestyle</t>
        </is>
      </c>
      <c r="G2936" t="inlineStr">
        <is>
          <t>Dining</t>
        </is>
      </c>
      <c r="H2936" t="inlineStr">
        <is>
          <t>Personal &gt; Lifestyle &gt; Quick Add &gt; Dining</t>
        </is>
      </c>
      <c r="I2936" s="18" t="n">
        <v>5666.19</v>
      </c>
      <c r="J2936" t="inlineStr">
        <is>
          <t>Created MTR-IOS-2935 and correlation note visible in Activity/Pulse</t>
        </is>
      </c>
      <c r="K2936" t="inlineStr">
        <is>
          <t>NOT_RUN</t>
        </is>
      </c>
      <c r="P2936" t="n">
        <v>0</v>
      </c>
      <c r="Q2936" t="n">
        <v>2935</v>
      </c>
    </row>
    <row r="2937">
      <c r="A2937" t="n">
        <v>2936</v>
      </c>
      <c r="B2937" t="inlineStr">
        <is>
          <t>MTR-IOS-2936</t>
        </is>
      </c>
      <c r="C2937" t="inlineStr">
        <is>
          <t>iPhone</t>
        </is>
      </c>
      <c r="D2937" t="inlineStr">
        <is>
          <t>Group</t>
        </is>
      </c>
      <c r="E2937" t="inlineStr">
        <is>
          <t>Shared Living</t>
        </is>
      </c>
      <c r="F2937" t="inlineStr">
        <is>
          <t>Family Household</t>
        </is>
      </c>
      <c r="G2937" t="inlineStr">
        <is>
          <t>Groceries</t>
        </is>
      </c>
      <c r="H2937" t="inlineStr">
        <is>
          <t>Group &gt; Family Household &gt; Quick Add &gt; Groceries</t>
        </is>
      </c>
      <c r="I2937" s="18" t="n">
        <v>17633.34</v>
      </c>
      <c r="J2937" t="inlineStr">
        <is>
          <t>Created MTR-IOS-2936 and correlation note visible in Activity/Pulse</t>
        </is>
      </c>
      <c r="K2937" t="inlineStr">
        <is>
          <t>NOT_RUN</t>
        </is>
      </c>
      <c r="P2937" t="n">
        <v>0</v>
      </c>
      <c r="Q2937" t="n">
        <v>2936</v>
      </c>
    </row>
    <row r="2938">
      <c r="A2938" t="n">
        <v>2937</v>
      </c>
      <c r="B2938" t="inlineStr">
        <is>
          <t>MTR-IOS-2937</t>
        </is>
      </c>
      <c r="C2938" t="inlineStr">
        <is>
          <t>iPhone</t>
        </is>
      </c>
      <c r="D2938" t="inlineStr">
        <is>
          <t>Business</t>
        </is>
      </c>
      <c r="E2938" t="inlineStr">
        <is>
          <t>Business</t>
        </is>
      </c>
      <c r="F2938" t="inlineStr">
        <is>
          <t>Business Runway</t>
        </is>
      </c>
      <c r="G2938" t="inlineStr">
        <is>
          <t>Investment</t>
        </is>
      </c>
      <c r="H2938" t="inlineStr">
        <is>
          <t>Business &gt; Business Runway &gt; Quick Add &gt; Investment</t>
        </is>
      </c>
      <c r="I2938" s="18" t="n">
        <v>87959.99000000001</v>
      </c>
      <c r="J2938" t="inlineStr">
        <is>
          <t>Created MTR-IOS-2937 and correlation note visible in Activity/Pulse</t>
        </is>
      </c>
      <c r="K2938" t="inlineStr">
        <is>
          <t>NOT_RUN</t>
        </is>
      </c>
      <c r="P2938" t="n">
        <v>0</v>
      </c>
      <c r="Q2938" t="n">
        <v>2937</v>
      </c>
    </row>
    <row r="2939">
      <c r="A2939" t="n">
        <v>2938</v>
      </c>
      <c r="B2939" t="inlineStr">
        <is>
          <t>MTR-IOS-2938</t>
        </is>
      </c>
      <c r="C2939" t="inlineStr">
        <is>
          <t>iPhone</t>
        </is>
      </c>
      <c r="D2939" t="inlineStr">
        <is>
          <t>Personal</t>
        </is>
      </c>
      <c r="E2939" t="inlineStr">
        <is>
          <t>Personal</t>
        </is>
      </c>
      <c r="F2939" t="inlineStr">
        <is>
          <t>Lifestyle</t>
        </is>
      </c>
      <c r="G2939" t="inlineStr">
        <is>
          <t>Shopping</t>
        </is>
      </c>
      <c r="H2939" t="inlineStr">
        <is>
          <t>Personal &gt; Lifestyle &gt; Quick Add &gt; Shopping</t>
        </is>
      </c>
      <c r="I2939" s="18" t="n">
        <v>4062.98</v>
      </c>
      <c r="J2939" t="inlineStr">
        <is>
          <t>Created MTR-IOS-2938 and correlation note visible in Activity/Pulse</t>
        </is>
      </c>
      <c r="K2939" t="inlineStr">
        <is>
          <t>NOT_RUN</t>
        </is>
      </c>
      <c r="P2939" t="n">
        <v>0</v>
      </c>
      <c r="Q2939" t="n">
        <v>2938</v>
      </c>
    </row>
    <row r="2940">
      <c r="A2940" t="n">
        <v>2939</v>
      </c>
      <c r="B2940" t="inlineStr">
        <is>
          <t>MTR-IOS-2939</t>
        </is>
      </c>
      <c r="C2940" t="inlineStr">
        <is>
          <t>iPhone</t>
        </is>
      </c>
      <c r="D2940" t="inlineStr">
        <is>
          <t>Group</t>
        </is>
      </c>
      <c r="E2940" t="inlineStr">
        <is>
          <t>Shared Living</t>
        </is>
      </c>
      <c r="F2940" t="inlineStr">
        <is>
          <t>Family Household</t>
        </is>
      </c>
      <c r="G2940" t="inlineStr">
        <is>
          <t>Bills</t>
        </is>
      </c>
      <c r="H2940" t="inlineStr">
        <is>
          <t>Group &gt; Family Household &gt; Quick Add &gt; Bills</t>
        </is>
      </c>
      <c r="I2940" s="18" t="n">
        <v>23378.39</v>
      </c>
      <c r="J2940" t="inlineStr">
        <is>
          <t>Created MTR-IOS-2939 and correlation note visible in Activity/Pulse</t>
        </is>
      </c>
      <c r="K2940" t="inlineStr">
        <is>
          <t>NOT_RUN</t>
        </is>
      </c>
      <c r="P2940" t="n">
        <v>0</v>
      </c>
      <c r="Q2940" t="n">
        <v>2939</v>
      </c>
    </row>
    <row r="2941">
      <c r="A2941" t="n">
        <v>2940</v>
      </c>
      <c r="B2941" t="inlineStr">
        <is>
          <t>MTR-IOS-2940</t>
        </is>
      </c>
      <c r="C2941" t="inlineStr">
        <is>
          <t>iPhone</t>
        </is>
      </c>
      <c r="D2941" t="inlineStr">
        <is>
          <t>Business</t>
        </is>
      </c>
      <c r="E2941" t="inlineStr">
        <is>
          <t>Business</t>
        </is>
      </c>
      <c r="F2941" t="inlineStr">
        <is>
          <t>Business Operations</t>
        </is>
      </c>
      <c r="G2941" t="inlineStr">
        <is>
          <t>Software</t>
        </is>
      </c>
      <c r="H2941" t="inlineStr">
        <is>
          <t>Business &gt; Business Operations &gt; Quick Add &gt; Software</t>
        </is>
      </c>
      <c r="I2941" s="18" t="n">
        <v>75173.03999999999</v>
      </c>
      <c r="J2941" t="inlineStr">
        <is>
          <t>Created MTR-IOS-2940 and correlation note visible in Activity/Pulse</t>
        </is>
      </c>
      <c r="K2941" t="inlineStr">
        <is>
          <t>NOT_RUN</t>
        </is>
      </c>
      <c r="P2941" t="n">
        <v>0</v>
      </c>
      <c r="Q2941" t="n">
        <v>2940</v>
      </c>
    </row>
    <row r="2942">
      <c r="A2942" t="n">
        <v>2941</v>
      </c>
      <c r="B2942" t="inlineStr">
        <is>
          <t>MTR-IOS-2941</t>
        </is>
      </c>
      <c r="C2942" t="inlineStr">
        <is>
          <t>iPhone</t>
        </is>
      </c>
      <c r="D2942" t="inlineStr">
        <is>
          <t>Personal</t>
        </is>
      </c>
      <c r="E2942" t="inlineStr">
        <is>
          <t>Personal</t>
        </is>
      </c>
      <c r="F2942" t="inlineStr">
        <is>
          <t>Lifestyle</t>
        </is>
      </c>
      <c r="G2942" t="inlineStr">
        <is>
          <t>Entertainment</t>
        </is>
      </c>
      <c r="H2942" t="inlineStr">
        <is>
          <t>Personal &gt; Lifestyle &gt; Quick Add &gt; Entertainment</t>
        </is>
      </c>
      <c r="I2942" s="18" t="n">
        <v>1024.68</v>
      </c>
      <c r="J2942" t="inlineStr">
        <is>
          <t>Created MTR-IOS-2941 and correlation note visible in Activity/Pulse</t>
        </is>
      </c>
      <c r="K2942" t="inlineStr">
        <is>
          <t>NOT_RUN</t>
        </is>
      </c>
      <c r="P2942" t="n">
        <v>0</v>
      </c>
      <c r="Q2942" t="n">
        <v>2941</v>
      </c>
    </row>
    <row r="2943">
      <c r="A2943" t="n">
        <v>2942</v>
      </c>
      <c r="B2943" t="inlineStr">
        <is>
          <t>MTR-IOS-2942</t>
        </is>
      </c>
      <c r="C2943" t="inlineStr">
        <is>
          <t>iPhone</t>
        </is>
      </c>
      <c r="D2943" t="inlineStr">
        <is>
          <t>Group</t>
        </is>
      </c>
      <c r="E2943" t="inlineStr">
        <is>
          <t>Shared Living</t>
        </is>
      </c>
      <c r="F2943" t="inlineStr">
        <is>
          <t>Family Household</t>
        </is>
      </c>
      <c r="G2943" t="inlineStr">
        <is>
          <t>School</t>
        </is>
      </c>
      <c r="H2943" t="inlineStr">
        <is>
          <t>Group &gt; Family Household &gt; Quick Add &gt; School</t>
        </is>
      </c>
      <c r="I2943" s="18" t="n">
        <v>11144.44</v>
      </c>
      <c r="J2943" t="inlineStr">
        <is>
          <t>Created MTR-IOS-2942 and correlation note visible in Activity/Pulse</t>
        </is>
      </c>
      <c r="K2943" t="inlineStr">
        <is>
          <t>NOT_RUN</t>
        </is>
      </c>
      <c r="P2943" t="n">
        <v>0</v>
      </c>
      <c r="Q2943" t="n">
        <v>2942</v>
      </c>
    </row>
    <row r="2944">
      <c r="A2944" t="n">
        <v>2943</v>
      </c>
      <c r="B2944" t="inlineStr">
        <is>
          <t>MTR-IOS-2943</t>
        </is>
      </c>
      <c r="C2944" t="inlineStr">
        <is>
          <t>iPhone</t>
        </is>
      </c>
      <c r="D2944" t="inlineStr">
        <is>
          <t>Business</t>
        </is>
      </c>
      <c r="E2944" t="inlineStr">
        <is>
          <t>Business</t>
        </is>
      </c>
      <c r="F2944" t="inlineStr">
        <is>
          <t>Business Operations</t>
        </is>
      </c>
      <c r="G2944" t="inlineStr">
        <is>
          <t>Rent</t>
        </is>
      </c>
      <c r="H2944" t="inlineStr">
        <is>
          <t>Business &gt; Business Operations &gt; Quick Add &gt; Rent</t>
        </is>
      </c>
      <c r="I2944" s="18" t="n">
        <v>140249.95</v>
      </c>
      <c r="J2944" t="inlineStr">
        <is>
          <t>Created MTR-IOS-2943 and correlation note visible in Activity/Pulse</t>
        </is>
      </c>
      <c r="K2944" t="inlineStr">
        <is>
          <t>NOT_RUN</t>
        </is>
      </c>
      <c r="P2944" t="n">
        <v>0</v>
      </c>
      <c r="Q2944" t="n">
        <v>2943</v>
      </c>
    </row>
    <row r="2945">
      <c r="A2945" t="n">
        <v>2944</v>
      </c>
      <c r="B2945" t="inlineStr">
        <is>
          <t>MTR-IOS-2944</t>
        </is>
      </c>
      <c r="C2945" t="inlineStr">
        <is>
          <t>iPhone</t>
        </is>
      </c>
      <c r="D2945" t="inlineStr">
        <is>
          <t>Personal</t>
        </is>
      </c>
      <c r="E2945" t="inlineStr">
        <is>
          <t>Personal</t>
        </is>
      </c>
      <c r="F2945" t="inlineStr">
        <is>
          <t>Lifestyle</t>
        </is>
      </c>
      <c r="G2945" t="inlineStr">
        <is>
          <t>Travel</t>
        </is>
      </c>
      <c r="H2945" t="inlineStr">
        <is>
          <t>Personal &gt; Lifestyle &gt; Quick Add &gt; Travel</t>
        </is>
      </c>
      <c r="I2945" s="18" t="n">
        <v>13787.66</v>
      </c>
      <c r="J2945" t="inlineStr">
        <is>
          <t>Created MTR-IOS-2944 and correlation note visible in Activity/Pulse</t>
        </is>
      </c>
      <c r="K2945" t="inlineStr">
        <is>
          <t>NOT_RUN</t>
        </is>
      </c>
      <c r="P2945" t="n">
        <v>0</v>
      </c>
      <c r="Q2945" t="n">
        <v>2944</v>
      </c>
    </row>
    <row r="2946">
      <c r="A2946" t="n">
        <v>2945</v>
      </c>
      <c r="B2946" t="inlineStr">
        <is>
          <t>MTR-IOS-2945</t>
        </is>
      </c>
      <c r="C2946" t="inlineStr">
        <is>
          <t>iPhone</t>
        </is>
      </c>
      <c r="D2946" t="inlineStr">
        <is>
          <t>Group</t>
        </is>
      </c>
      <c r="E2946" t="inlineStr">
        <is>
          <t>Shared Living</t>
        </is>
      </c>
      <c r="F2946" t="inlineStr">
        <is>
          <t>Family Household</t>
        </is>
      </c>
      <c r="G2946" t="inlineStr">
        <is>
          <t>Healthcare</t>
        </is>
      </c>
      <c r="H2946" t="inlineStr">
        <is>
          <t>Group &gt; Family Household &gt; Quick Add &gt; Healthcare</t>
        </is>
      </c>
      <c r="I2946" s="18" t="n">
        <v>26283</v>
      </c>
      <c r="J2946" t="inlineStr">
        <is>
          <t>Created MTR-IOS-2945 and correlation note visible in Activity/Pulse</t>
        </is>
      </c>
      <c r="K2946" t="inlineStr">
        <is>
          <t>NOT_RUN</t>
        </is>
      </c>
      <c r="P2946" t="n">
        <v>0</v>
      </c>
      <c r="Q2946" t="n">
        <v>2945</v>
      </c>
    </row>
    <row r="2947">
      <c r="A2947" t="n">
        <v>2946</v>
      </c>
      <c r="B2947" t="inlineStr">
        <is>
          <t>MTR-IOS-2946</t>
        </is>
      </c>
      <c r="C2947" t="inlineStr">
        <is>
          <t>iPhone</t>
        </is>
      </c>
      <c r="D2947" t="inlineStr">
        <is>
          <t>Business</t>
        </is>
      </c>
      <c r="E2947" t="inlineStr">
        <is>
          <t>Business</t>
        </is>
      </c>
      <c r="F2947" t="inlineStr">
        <is>
          <t>Business Operations</t>
        </is>
      </c>
      <c r="G2947" t="inlineStr">
        <is>
          <t>Marketing</t>
        </is>
      </c>
      <c r="H2947" t="inlineStr">
        <is>
          <t>Business &gt; Business Operations &gt; Quick Add &gt; Marketing</t>
        </is>
      </c>
      <c r="I2947" s="18" t="n">
        <v>55204.29</v>
      </c>
      <c r="J2947" t="inlineStr">
        <is>
          <t>Created MTR-IOS-2946 and correlation note visible in Activity/Pulse</t>
        </is>
      </c>
      <c r="K2947" t="inlineStr">
        <is>
          <t>NOT_RUN</t>
        </is>
      </c>
      <c r="P2947" t="n">
        <v>0</v>
      </c>
      <c r="Q2947" t="n">
        <v>2946</v>
      </c>
    </row>
    <row r="2948">
      <c r="A2948" t="n">
        <v>2947</v>
      </c>
      <c r="B2948" t="inlineStr">
        <is>
          <t>MTR-IOS-2947</t>
        </is>
      </c>
      <c r="C2948" t="inlineStr">
        <is>
          <t>iPhone</t>
        </is>
      </c>
      <c r="D2948" t="inlineStr">
        <is>
          <t>Personal</t>
        </is>
      </c>
      <c r="E2948" t="inlineStr">
        <is>
          <t>Personal</t>
        </is>
      </c>
      <c r="F2948" t="inlineStr">
        <is>
          <t>Lifestyle</t>
        </is>
      </c>
      <c r="G2948" t="inlineStr">
        <is>
          <t>Fitness</t>
        </is>
      </c>
      <c r="H2948" t="inlineStr">
        <is>
          <t>Personal &gt; Lifestyle &gt; Quick Add &gt; Fitness</t>
        </is>
      </c>
      <c r="I2948" s="18" t="n">
        <v>8946.92</v>
      </c>
      <c r="J2948" t="inlineStr">
        <is>
          <t>Created MTR-IOS-2947 and correlation note visible in Activity/Pulse</t>
        </is>
      </c>
      <c r="K2948" t="inlineStr">
        <is>
          <t>NOT_RUN</t>
        </is>
      </c>
      <c r="P2948" t="n">
        <v>0</v>
      </c>
      <c r="Q2948" t="n">
        <v>2947</v>
      </c>
    </row>
    <row r="2949">
      <c r="A2949" t="n">
        <v>2948</v>
      </c>
      <c r="B2949" t="inlineStr">
        <is>
          <t>MTR-IOS-2948</t>
        </is>
      </c>
      <c r="C2949" t="inlineStr">
        <is>
          <t>iPhone</t>
        </is>
      </c>
      <c r="D2949" t="inlineStr">
        <is>
          <t>Group</t>
        </is>
      </c>
      <c r="E2949" t="inlineStr">
        <is>
          <t>Shared Living</t>
        </is>
      </c>
      <c r="F2949" t="inlineStr">
        <is>
          <t>Family Household</t>
        </is>
      </c>
      <c r="G2949" t="inlineStr">
        <is>
          <t>Home</t>
        </is>
      </c>
      <c r="H2949" t="inlineStr">
        <is>
          <t>Group &gt; Family Household &gt; Quick Add &gt; Home</t>
        </is>
      </c>
      <c r="I2949" s="18" t="n">
        <v>6475.47</v>
      </c>
      <c r="J2949" t="inlineStr">
        <is>
          <t>Created MTR-IOS-2948 and correlation note visible in Activity/Pulse</t>
        </is>
      </c>
      <c r="K2949" t="inlineStr">
        <is>
          <t>NOT_RUN</t>
        </is>
      </c>
      <c r="P2949" t="n">
        <v>0</v>
      </c>
      <c r="Q2949" t="n">
        <v>2948</v>
      </c>
    </row>
    <row r="2950">
      <c r="A2950" t="n">
        <v>2949</v>
      </c>
      <c r="B2950" t="inlineStr">
        <is>
          <t>MTR-IOS-2949</t>
        </is>
      </c>
      <c r="C2950" t="inlineStr">
        <is>
          <t>iPhone</t>
        </is>
      </c>
      <c r="D2950" t="inlineStr">
        <is>
          <t>Business</t>
        </is>
      </c>
      <c r="E2950" t="inlineStr">
        <is>
          <t>Business</t>
        </is>
      </c>
      <c r="F2950" t="inlineStr">
        <is>
          <t>Business Operations</t>
        </is>
      </c>
      <c r="G2950" t="inlineStr">
        <is>
          <t>Legal</t>
        </is>
      </c>
      <c r="H2950" t="inlineStr">
        <is>
          <t>Business &gt; Business Operations &gt; Quick Add &gt; Legal</t>
        </is>
      </c>
      <c r="I2950" s="18" t="n">
        <v>81598.74000000001</v>
      </c>
      <c r="J2950" t="inlineStr">
        <is>
          <t>Created MTR-IOS-2949 and correlation note visible in Activity/Pulse</t>
        </is>
      </c>
      <c r="K2950" t="inlineStr">
        <is>
          <t>NOT_RUN</t>
        </is>
      </c>
      <c r="P2950" t="n">
        <v>0</v>
      </c>
      <c r="Q2950" t="n">
        <v>2949</v>
      </c>
    </row>
    <row r="2951">
      <c r="A2951" t="n">
        <v>2950</v>
      </c>
      <c r="B2951" t="inlineStr">
        <is>
          <t>MTR-IOS-2950</t>
        </is>
      </c>
      <c r="C2951" t="inlineStr">
        <is>
          <t>iPhone</t>
        </is>
      </c>
      <c r="D2951" t="inlineStr">
        <is>
          <t>Personal</t>
        </is>
      </c>
      <c r="E2951" t="inlineStr">
        <is>
          <t>Personal</t>
        </is>
      </c>
      <c r="F2951" t="inlineStr">
        <is>
          <t>Lifestyle</t>
        </is>
      </c>
      <c r="G2951" t="inlineStr">
        <is>
          <t>Hobbies</t>
        </is>
      </c>
      <c r="H2951" t="inlineStr">
        <is>
          <t>Personal &gt; Lifestyle &gt; Quick Add &gt; Hobbies</t>
        </is>
      </c>
      <c r="I2951" s="18" t="n">
        <v>8080.27</v>
      </c>
      <c r="J2951" t="inlineStr">
        <is>
          <t>Created MTR-IOS-2950 and correlation note visible in Activity/Pulse</t>
        </is>
      </c>
      <c r="K2951" t="inlineStr">
        <is>
          <t>NOT_RUN</t>
        </is>
      </c>
      <c r="P2951" t="n">
        <v>0</v>
      </c>
      <c r="Q2951" t="n">
        <v>2950</v>
      </c>
    </row>
    <row r="2952">
      <c r="A2952" t="n">
        <v>2951</v>
      </c>
      <c r="B2952" t="inlineStr">
        <is>
          <t>MTR-IOS-2951</t>
        </is>
      </c>
      <c r="C2952" t="inlineStr">
        <is>
          <t>iPhone</t>
        </is>
      </c>
      <c r="D2952" t="inlineStr">
        <is>
          <t>Group</t>
        </is>
      </c>
      <c r="E2952" t="inlineStr">
        <is>
          <t>Shared Living</t>
        </is>
      </c>
      <c r="F2952" t="inlineStr">
        <is>
          <t>Family Household</t>
        </is>
      </c>
      <c r="G2952" t="inlineStr">
        <is>
          <t>Other</t>
        </is>
      </c>
      <c r="H2952" t="inlineStr">
        <is>
          <t>Group &gt; Family Household &gt; Quick Add &gt; Other</t>
        </is>
      </c>
      <c r="I2952" s="18" t="n">
        <v>15376.76</v>
      </c>
      <c r="J2952" t="inlineStr">
        <is>
          <t>Created MTR-IOS-2951 and correlation note visible in Activity/Pulse</t>
        </is>
      </c>
      <c r="K2952" t="inlineStr">
        <is>
          <t>NOT_RUN</t>
        </is>
      </c>
      <c r="P2952" t="n">
        <v>0</v>
      </c>
      <c r="Q2952" t="n">
        <v>2951</v>
      </c>
    </row>
    <row r="2953">
      <c r="A2953" t="n">
        <v>2952</v>
      </c>
      <c r="B2953" t="inlineStr">
        <is>
          <t>MTR-IOS-2952</t>
        </is>
      </c>
      <c r="C2953" t="inlineStr">
        <is>
          <t>iPhone</t>
        </is>
      </c>
      <c r="D2953" t="inlineStr">
        <is>
          <t>Business</t>
        </is>
      </c>
      <c r="E2953" t="inlineStr">
        <is>
          <t>Business</t>
        </is>
      </c>
      <c r="F2953" t="inlineStr">
        <is>
          <t>Business Operations</t>
        </is>
      </c>
      <c r="G2953" t="inlineStr">
        <is>
          <t>Accounting</t>
        </is>
      </c>
      <c r="H2953" t="inlineStr">
        <is>
          <t>Business &gt; Business Operations &gt; Quick Add &gt; Accounting</t>
        </is>
      </c>
      <c r="I2953" s="18" t="n">
        <v>156548.56</v>
      </c>
      <c r="J2953" t="inlineStr">
        <is>
          <t>Created MTR-IOS-2952 and correlation note visible in Activity/Pulse</t>
        </is>
      </c>
      <c r="K2953" t="inlineStr">
        <is>
          <t>NOT_RUN</t>
        </is>
      </c>
      <c r="P2953" t="n">
        <v>0</v>
      </c>
      <c r="Q2953" t="n">
        <v>2952</v>
      </c>
    </row>
    <row r="2954">
      <c r="A2954" t="n">
        <v>2953</v>
      </c>
      <c r="B2954" t="inlineStr">
        <is>
          <t>MTR-IOS-2953</t>
        </is>
      </c>
      <c r="C2954" t="inlineStr">
        <is>
          <t>iPhone</t>
        </is>
      </c>
      <c r="D2954" t="inlineStr">
        <is>
          <t>Personal</t>
        </is>
      </c>
      <c r="E2954" t="inlineStr">
        <is>
          <t>Personal</t>
        </is>
      </c>
      <c r="F2954" t="inlineStr">
        <is>
          <t>Relationships</t>
        </is>
      </c>
      <c r="G2954" t="inlineStr">
        <is>
          <t>Gifts</t>
        </is>
      </c>
      <c r="H2954" t="inlineStr">
        <is>
          <t>Personal &gt; Relationships &gt; Quick Add &gt; Gifts</t>
        </is>
      </c>
      <c r="I2954" s="18" t="n">
        <v>11958.33</v>
      </c>
      <c r="J2954" t="inlineStr">
        <is>
          <t>Created MTR-IOS-2953 and correlation note visible in Activity/Pulse</t>
        </is>
      </c>
      <c r="K2954" t="inlineStr">
        <is>
          <t>NOT_RUN</t>
        </is>
      </c>
      <c r="P2954" t="n">
        <v>0</v>
      </c>
      <c r="Q2954" t="n">
        <v>2953</v>
      </c>
    </row>
    <row r="2955">
      <c r="A2955" t="n">
        <v>2954</v>
      </c>
      <c r="B2955" t="inlineStr">
        <is>
          <t>MTR-IOS-2954</t>
        </is>
      </c>
      <c r="C2955" t="inlineStr">
        <is>
          <t>iPhone</t>
        </is>
      </c>
      <c r="D2955" t="inlineStr">
        <is>
          <t>Group</t>
        </is>
      </c>
      <c r="E2955" t="inlineStr">
        <is>
          <t>Shared Living</t>
        </is>
      </c>
      <c r="F2955" t="inlineStr">
        <is>
          <t>Custom Living</t>
        </is>
      </c>
      <c r="G2955" t="inlineStr">
        <is>
          <t>Custom Expense</t>
        </is>
      </c>
      <c r="H2955" t="inlineStr">
        <is>
          <t>Group &gt; Custom Living &gt; Quick Add &gt; Custom Expense</t>
        </is>
      </c>
      <c r="I2955" s="18" t="n">
        <v>10689.41</v>
      </c>
      <c r="J2955" t="inlineStr">
        <is>
          <t>Created MTR-IOS-2954 and correlation note visible in Activity/Pulse</t>
        </is>
      </c>
      <c r="K2955" t="inlineStr">
        <is>
          <t>NOT_RUN</t>
        </is>
      </c>
      <c r="P2955" t="n">
        <v>0</v>
      </c>
      <c r="Q2955" t="n">
        <v>2954</v>
      </c>
    </row>
    <row r="2956">
      <c r="A2956" t="n">
        <v>2955</v>
      </c>
      <c r="B2956" t="inlineStr">
        <is>
          <t>MTR-IOS-2955</t>
        </is>
      </c>
      <c r="C2956" t="inlineStr">
        <is>
          <t>iPhone</t>
        </is>
      </c>
      <c r="D2956" t="inlineStr">
        <is>
          <t>Business</t>
        </is>
      </c>
      <c r="E2956" t="inlineStr">
        <is>
          <t>Business</t>
        </is>
      </c>
      <c r="F2956" t="inlineStr">
        <is>
          <t>Business Operations</t>
        </is>
      </c>
      <c r="G2956" t="inlineStr">
        <is>
          <t>Equipment</t>
        </is>
      </c>
      <c r="H2956" t="inlineStr">
        <is>
          <t>Business &gt; Business Operations &gt; Quick Add &gt; Equipment</t>
        </is>
      </c>
      <c r="I2956" s="18" t="n">
        <v>85759.52</v>
      </c>
      <c r="J2956" t="inlineStr">
        <is>
          <t>Created MTR-IOS-2955 and correlation note visible in Activity/Pulse</t>
        </is>
      </c>
      <c r="K2956" t="inlineStr">
        <is>
          <t>NOT_RUN</t>
        </is>
      </c>
      <c r="P2956" t="n">
        <v>0</v>
      </c>
      <c r="Q2956" t="n">
        <v>2955</v>
      </c>
    </row>
    <row r="2957">
      <c r="A2957" t="n">
        <v>2956</v>
      </c>
      <c r="B2957" t="inlineStr">
        <is>
          <t>MTR-IOS-2956</t>
        </is>
      </c>
      <c r="C2957" t="inlineStr">
        <is>
          <t>iPhone</t>
        </is>
      </c>
      <c r="D2957" t="inlineStr">
        <is>
          <t>Personal</t>
        </is>
      </c>
      <c r="E2957" t="inlineStr">
        <is>
          <t>Personal</t>
        </is>
      </c>
      <c r="F2957" t="inlineStr">
        <is>
          <t>Relationships</t>
        </is>
      </c>
      <c r="G2957" t="inlineStr">
        <is>
          <t>Dates</t>
        </is>
      </c>
      <c r="H2957" t="inlineStr">
        <is>
          <t>Personal &gt; Relationships &gt; Quick Add &gt; Dates</t>
        </is>
      </c>
      <c r="I2957" s="18" t="n">
        <v>6846.77</v>
      </c>
      <c r="J2957" t="inlineStr">
        <is>
          <t>Created MTR-IOS-2956 and correlation note visible in Activity/Pulse</t>
        </is>
      </c>
      <c r="K2957" t="inlineStr">
        <is>
          <t>NOT_RUN</t>
        </is>
      </c>
      <c r="P2957" t="n">
        <v>0</v>
      </c>
      <c r="Q2957" t="n">
        <v>2956</v>
      </c>
    </row>
    <row r="2958">
      <c r="A2958" t="n">
        <v>2957</v>
      </c>
      <c r="B2958" t="inlineStr">
        <is>
          <t>MTR-IOS-2957</t>
        </is>
      </c>
      <c r="C2958" t="inlineStr">
        <is>
          <t>iPhone</t>
        </is>
      </c>
      <c r="D2958" t="inlineStr">
        <is>
          <t>Group</t>
        </is>
      </c>
      <c r="E2958" t="inlineStr">
        <is>
          <t>Shared Living</t>
        </is>
      </c>
      <c r="F2958" t="inlineStr">
        <is>
          <t>Custom Living</t>
        </is>
      </c>
      <c r="G2958" t="inlineStr">
        <is>
          <t>Custom Contribution</t>
        </is>
      </c>
      <c r="H2958" t="inlineStr">
        <is>
          <t>Group &gt; Custom Living &gt; Quick Add &gt; Custom Contribution</t>
        </is>
      </c>
      <c r="I2958" s="18" t="n">
        <v>18337.42</v>
      </c>
      <c r="J2958" t="inlineStr">
        <is>
          <t>Created MTR-IOS-2957 and correlation note visible in Activity/Pulse</t>
        </is>
      </c>
      <c r="K2958" t="inlineStr">
        <is>
          <t>NOT_RUN</t>
        </is>
      </c>
      <c r="P2958" t="n">
        <v>0</v>
      </c>
      <c r="Q2958" t="n">
        <v>2957</v>
      </c>
    </row>
    <row r="2959">
      <c r="A2959" t="n">
        <v>2958</v>
      </c>
      <c r="B2959" t="inlineStr">
        <is>
          <t>MTR-IOS-2958</t>
        </is>
      </c>
      <c r="C2959" t="inlineStr">
        <is>
          <t>iPhone</t>
        </is>
      </c>
      <c r="D2959" t="inlineStr">
        <is>
          <t>Business</t>
        </is>
      </c>
      <c r="E2959" t="inlineStr">
        <is>
          <t>Business</t>
        </is>
      </c>
      <c r="F2959" t="inlineStr">
        <is>
          <t>Business Operations</t>
        </is>
      </c>
      <c r="G2959" t="inlineStr">
        <is>
          <t>Vendor</t>
        </is>
      </c>
      <c r="H2959" t="inlineStr">
        <is>
          <t>Business &gt; Business Operations &gt; Quick Add &gt; Vendor</t>
        </is>
      </c>
      <c r="I2959" s="18" t="n">
        <v>110537.14</v>
      </c>
      <c r="J2959" t="inlineStr">
        <is>
          <t>Created MTR-IOS-2958 and correlation note visible in Activity/Pulse</t>
        </is>
      </c>
      <c r="K2959" t="inlineStr">
        <is>
          <t>NOT_RUN</t>
        </is>
      </c>
      <c r="P2959" t="n">
        <v>0</v>
      </c>
      <c r="Q2959" t="n">
        <v>2958</v>
      </c>
    </row>
    <row r="2960">
      <c r="A2960" t="n">
        <v>2959</v>
      </c>
      <c r="B2960" t="inlineStr">
        <is>
          <t>MTR-IOS-2959</t>
        </is>
      </c>
      <c r="C2960" t="inlineStr">
        <is>
          <t>iPhone</t>
        </is>
      </c>
      <c r="D2960" t="inlineStr">
        <is>
          <t>Personal</t>
        </is>
      </c>
      <c r="E2960" t="inlineStr">
        <is>
          <t>Personal</t>
        </is>
      </c>
      <c r="F2960" t="inlineStr">
        <is>
          <t>Relationships</t>
        </is>
      </c>
      <c r="G2960" t="inlineStr">
        <is>
          <t>Family</t>
        </is>
      </c>
      <c r="H2960" t="inlineStr">
        <is>
          <t>Personal &gt; Relationships &gt; Quick Add &gt; Family</t>
        </is>
      </c>
      <c r="I2960" s="18" t="n">
        <v>262.75</v>
      </c>
      <c r="J2960" t="inlineStr">
        <is>
          <t>Created MTR-IOS-2959 and correlation note visible in Activity/Pulse</t>
        </is>
      </c>
      <c r="K2960" t="inlineStr">
        <is>
          <t>NOT_RUN</t>
        </is>
      </c>
      <c r="P2960" t="n">
        <v>0</v>
      </c>
      <c r="Q2960" t="n">
        <v>2959</v>
      </c>
    </row>
    <row r="2961">
      <c r="A2961" t="n">
        <v>2960</v>
      </c>
      <c r="B2961" t="inlineStr">
        <is>
          <t>MTR-IOS-2960</t>
        </is>
      </c>
      <c r="C2961" t="inlineStr">
        <is>
          <t>iPhone</t>
        </is>
      </c>
      <c r="D2961" t="inlineStr">
        <is>
          <t>Group</t>
        </is>
      </c>
      <c r="E2961" t="inlineStr">
        <is>
          <t>Shared Experience</t>
        </is>
      </c>
      <c r="F2961" t="inlineStr">
        <is>
          <t>Trip</t>
        </is>
      </c>
      <c r="G2961" t="inlineStr">
        <is>
          <t>Travel</t>
        </is>
      </c>
      <c r="H2961" t="inlineStr">
        <is>
          <t>Group &gt; Trip &gt; Quick Add &gt; Travel</t>
        </is>
      </c>
      <c r="I2961" s="18" t="n">
        <v>99.98999999999999</v>
      </c>
      <c r="J2961" t="inlineStr">
        <is>
          <t>Created MTR-IOS-2960 and correlation note visible in Activity/Pulse</t>
        </is>
      </c>
      <c r="K2961" t="inlineStr">
        <is>
          <t>NOT_RUN</t>
        </is>
      </c>
      <c r="P2961" t="n">
        <v>0</v>
      </c>
      <c r="Q2961" t="n">
        <v>2960</v>
      </c>
    </row>
    <row r="2962">
      <c r="A2962" t="n">
        <v>2961</v>
      </c>
      <c r="B2962" t="inlineStr">
        <is>
          <t>MTR-IOS-2961</t>
        </is>
      </c>
      <c r="C2962" t="inlineStr">
        <is>
          <t>iPhone</t>
        </is>
      </c>
      <c r="D2962" t="inlineStr">
        <is>
          <t>Business</t>
        </is>
      </c>
      <c r="E2962" t="inlineStr">
        <is>
          <t>Business</t>
        </is>
      </c>
      <c r="F2962" t="inlineStr">
        <is>
          <t>Business Operations</t>
        </is>
      </c>
      <c r="G2962" t="inlineStr">
        <is>
          <t>Tax</t>
        </is>
      </c>
      <c r="H2962" t="inlineStr">
        <is>
          <t>Business &gt; Business Operations &gt; Quick Add &gt; Tax</t>
        </is>
      </c>
      <c r="I2962" s="18" t="n">
        <v>65871.27</v>
      </c>
      <c r="J2962" t="inlineStr">
        <is>
          <t>Created MTR-IOS-2961 and correlation note visible in Activity/Pulse</t>
        </is>
      </c>
      <c r="K2962" t="inlineStr">
        <is>
          <t>NOT_RUN</t>
        </is>
      </c>
      <c r="P2962" t="n">
        <v>0</v>
      </c>
      <c r="Q2962" t="n">
        <v>2961</v>
      </c>
    </row>
    <row r="2963">
      <c r="A2963" t="n">
        <v>2962</v>
      </c>
      <c r="B2963" t="inlineStr">
        <is>
          <t>MTR-IOS-2962</t>
        </is>
      </c>
      <c r="C2963" t="inlineStr">
        <is>
          <t>iPhone</t>
        </is>
      </c>
      <c r="D2963" t="inlineStr">
        <is>
          <t>Personal</t>
        </is>
      </c>
      <c r="E2963" t="inlineStr">
        <is>
          <t>Personal</t>
        </is>
      </c>
      <c r="F2963" t="inlineStr">
        <is>
          <t>Relationships</t>
        </is>
      </c>
      <c r="G2963" t="inlineStr">
        <is>
          <t>Friends</t>
        </is>
      </c>
      <c r="H2963" t="inlineStr">
        <is>
          <t>Personal &gt; Relationships &gt; Quick Add &gt; Friends</t>
        </is>
      </c>
      <c r="I2963" s="18" t="n">
        <v>4858.2</v>
      </c>
      <c r="J2963" t="inlineStr">
        <is>
          <t>Created MTR-IOS-2962 and correlation note visible in Activity/Pulse</t>
        </is>
      </c>
      <c r="K2963" t="inlineStr">
        <is>
          <t>NOT_RUN</t>
        </is>
      </c>
      <c r="P2963" t="n">
        <v>0</v>
      </c>
      <c r="Q2963" t="n">
        <v>2962</v>
      </c>
    </row>
    <row r="2964">
      <c r="A2964" t="n">
        <v>2963</v>
      </c>
      <c r="B2964" t="inlineStr">
        <is>
          <t>MTR-IOS-2963</t>
        </is>
      </c>
      <c r="C2964" t="inlineStr">
        <is>
          <t>iPhone</t>
        </is>
      </c>
      <c r="D2964" t="inlineStr">
        <is>
          <t>Group</t>
        </is>
      </c>
      <c r="E2964" t="inlineStr">
        <is>
          <t>Shared Experience</t>
        </is>
      </c>
      <c r="F2964" t="inlineStr">
        <is>
          <t>Trip</t>
        </is>
      </c>
      <c r="G2964" t="inlineStr">
        <is>
          <t>Stay</t>
        </is>
      </c>
      <c r="H2964" t="inlineStr">
        <is>
          <t>Group &gt; Trip &gt; Quick Add &gt; Stay</t>
        </is>
      </c>
      <c r="I2964" s="18" t="n">
        <v>25559.06</v>
      </c>
      <c r="J2964" t="inlineStr">
        <is>
          <t>Created MTR-IOS-2963 and correlation note visible in Activity/Pulse</t>
        </is>
      </c>
      <c r="K2964" t="inlineStr">
        <is>
          <t>NOT_RUN</t>
        </is>
      </c>
      <c r="P2964" t="n">
        <v>0</v>
      </c>
      <c r="Q2964" t="n">
        <v>2963</v>
      </c>
    </row>
    <row r="2965">
      <c r="A2965" t="n">
        <v>2964</v>
      </c>
      <c r="B2965" t="inlineStr">
        <is>
          <t>MTR-IOS-2964</t>
        </is>
      </c>
      <c r="C2965" t="inlineStr">
        <is>
          <t>iPhone</t>
        </is>
      </c>
      <c r="D2965" t="inlineStr">
        <is>
          <t>Business</t>
        </is>
      </c>
      <c r="E2965" t="inlineStr">
        <is>
          <t>Business</t>
        </is>
      </c>
      <c r="F2965" t="inlineStr">
        <is>
          <t>Team Operations</t>
        </is>
      </c>
      <c r="G2965" t="inlineStr">
        <is>
          <t>Payroll</t>
        </is>
      </c>
      <c r="H2965" t="inlineStr">
        <is>
          <t>Business &gt; Team Operations &gt; Quick Add &gt; Payroll</t>
        </is>
      </c>
      <c r="I2965" s="18" t="n">
        <v>12558.38</v>
      </c>
      <c r="J2965" t="inlineStr">
        <is>
          <t>Created MTR-IOS-2964 and correlation note visible in Activity/Pulse</t>
        </is>
      </c>
      <c r="K2965" t="inlineStr">
        <is>
          <t>NOT_RUN</t>
        </is>
      </c>
      <c r="P2965" t="n">
        <v>0</v>
      </c>
      <c r="Q2965" t="n">
        <v>2964</v>
      </c>
    </row>
    <row r="2966">
      <c r="A2966" t="n">
        <v>2965</v>
      </c>
      <c r="B2966" t="inlineStr">
        <is>
          <t>MTR-IOS-2965</t>
        </is>
      </c>
      <c r="C2966" t="inlineStr">
        <is>
          <t>iPhone</t>
        </is>
      </c>
      <c r="D2966" t="inlineStr">
        <is>
          <t>Personal</t>
        </is>
      </c>
      <c r="E2966" t="inlineStr">
        <is>
          <t>Personal</t>
        </is>
      </c>
      <c r="F2966" t="inlineStr">
        <is>
          <t>Relationships</t>
        </is>
      </c>
      <c r="G2966" t="inlineStr">
        <is>
          <t>Celebrations</t>
        </is>
      </c>
      <c r="H2966" t="inlineStr">
        <is>
          <t>Personal &gt; Relationships &gt; Quick Add &gt; Celebrations</t>
        </is>
      </c>
      <c r="I2966" s="18" t="n">
        <v>11623.65</v>
      </c>
      <c r="J2966" t="inlineStr">
        <is>
          <t>Created MTR-IOS-2965 and correlation note visible in Activity/Pulse</t>
        </is>
      </c>
      <c r="K2966" t="inlineStr">
        <is>
          <t>NOT_RUN</t>
        </is>
      </c>
      <c r="P2966" t="n">
        <v>0</v>
      </c>
      <c r="Q2966" t="n">
        <v>2965</v>
      </c>
    </row>
    <row r="2967">
      <c r="A2967" t="n">
        <v>2966</v>
      </c>
      <c r="B2967" t="inlineStr">
        <is>
          <t>MTR-IOS-2966</t>
        </is>
      </c>
      <c r="C2967" t="inlineStr">
        <is>
          <t>iPhone</t>
        </is>
      </c>
      <c r="D2967" t="inlineStr">
        <is>
          <t>Group</t>
        </is>
      </c>
      <c r="E2967" t="inlineStr">
        <is>
          <t>Shared Experience</t>
        </is>
      </c>
      <c r="F2967" t="inlineStr">
        <is>
          <t>Trip</t>
        </is>
      </c>
      <c r="G2967" t="inlineStr">
        <is>
          <t>Food</t>
        </is>
      </c>
      <c r="H2967" t="inlineStr">
        <is>
          <t>Group &gt; Trip &gt; Quick Add &gt; Food</t>
        </is>
      </c>
      <c r="I2967" s="18" t="n">
        <v>1341.96</v>
      </c>
      <c r="J2967" t="inlineStr">
        <is>
          <t>Created MTR-IOS-2966 and correlation note visible in Activity/Pulse</t>
        </is>
      </c>
      <c r="K2967" t="inlineStr">
        <is>
          <t>NOT_RUN</t>
        </is>
      </c>
      <c r="P2967" t="n">
        <v>0</v>
      </c>
      <c r="Q2967" t="n">
        <v>2966</v>
      </c>
    </row>
    <row r="2968">
      <c r="A2968" t="n">
        <v>2967</v>
      </c>
      <c r="B2968" t="inlineStr">
        <is>
          <t>MTR-IOS-2967</t>
        </is>
      </c>
      <c r="C2968" t="inlineStr">
        <is>
          <t>iPhone</t>
        </is>
      </c>
      <c r="D2968" t="inlineStr">
        <is>
          <t>Business</t>
        </is>
      </c>
      <c r="E2968" t="inlineStr">
        <is>
          <t>Business</t>
        </is>
      </c>
      <c r="F2968" t="inlineStr">
        <is>
          <t>Team Operations</t>
        </is>
      </c>
      <c r="G2968" t="inlineStr">
        <is>
          <t>Contractor</t>
        </is>
      </c>
      <c r="H2968" t="inlineStr">
        <is>
          <t>Business &gt; Team Operations &gt; Quick Add &gt; Contractor</t>
        </is>
      </c>
      <c r="I2968" s="18" t="n">
        <v>141725.11</v>
      </c>
      <c r="J2968" t="inlineStr">
        <is>
          <t>Created MTR-IOS-2967 and correlation note visible in Activity/Pulse</t>
        </is>
      </c>
      <c r="K2968" t="inlineStr">
        <is>
          <t>NOT_RUN</t>
        </is>
      </c>
      <c r="P2968" t="n">
        <v>0</v>
      </c>
      <c r="Q2968" t="n">
        <v>2967</v>
      </c>
    </row>
    <row r="2969">
      <c r="A2969" t="n">
        <v>2968</v>
      </c>
      <c r="B2969" t="inlineStr">
        <is>
          <t>MTR-IOS-2968</t>
        </is>
      </c>
      <c r="C2969" t="inlineStr">
        <is>
          <t>iPhone</t>
        </is>
      </c>
      <c r="D2969" t="inlineStr">
        <is>
          <t>Personal</t>
        </is>
      </c>
      <c r="E2969" t="inlineStr">
        <is>
          <t>Personal</t>
        </is>
      </c>
      <c r="F2969" t="inlineStr">
        <is>
          <t>Life Operations</t>
        </is>
      </c>
      <c r="G2969" t="inlineStr">
        <is>
          <t>Groceries</t>
        </is>
      </c>
      <c r="H2969" t="inlineStr">
        <is>
          <t>Personal &gt; Life Operations &gt; Quick Add &gt; Groceries</t>
        </is>
      </c>
      <c r="I2969" s="18" t="n">
        <v>5553.61</v>
      </c>
      <c r="J2969" t="inlineStr">
        <is>
          <t>Created MTR-IOS-2968 and correlation note visible in Activity/Pulse</t>
        </is>
      </c>
      <c r="K2969" t="inlineStr">
        <is>
          <t>NOT_RUN</t>
        </is>
      </c>
      <c r="P2969" t="n">
        <v>0</v>
      </c>
      <c r="Q2969" t="n">
        <v>2968</v>
      </c>
    </row>
    <row r="2970">
      <c r="A2970" t="n">
        <v>2969</v>
      </c>
      <c r="B2970" t="inlineStr">
        <is>
          <t>MTR-IOS-2969</t>
        </is>
      </c>
      <c r="C2970" t="inlineStr">
        <is>
          <t>iPhone</t>
        </is>
      </c>
      <c r="D2970" t="inlineStr">
        <is>
          <t>Group</t>
        </is>
      </c>
      <c r="E2970" t="inlineStr">
        <is>
          <t>Shared Experience</t>
        </is>
      </c>
      <c r="F2970" t="inlineStr">
        <is>
          <t>Trip</t>
        </is>
      </c>
      <c r="G2970" t="inlineStr">
        <is>
          <t>Local Transport</t>
        </is>
      </c>
      <c r="H2970" t="inlineStr">
        <is>
          <t>Group &gt; Trip &gt; Quick Add &gt; Local Transport</t>
        </is>
      </c>
      <c r="I2970" s="18" t="n">
        <v>10808.51</v>
      </c>
      <c r="J2970" t="inlineStr">
        <is>
          <t>Created MTR-IOS-2969 and correlation note visible in Activity/Pulse</t>
        </is>
      </c>
      <c r="K2970" t="inlineStr">
        <is>
          <t>NOT_RUN</t>
        </is>
      </c>
      <c r="P2970" t="n">
        <v>0</v>
      </c>
      <c r="Q2970" t="n">
        <v>2969</v>
      </c>
    </row>
    <row r="2971">
      <c r="A2971" t="n">
        <v>2970</v>
      </c>
      <c r="B2971" t="inlineStr">
        <is>
          <t>MTR-IOS-2970</t>
        </is>
      </c>
      <c r="C2971" t="inlineStr">
        <is>
          <t>iPhone</t>
        </is>
      </c>
      <c r="D2971" t="inlineStr">
        <is>
          <t>Business</t>
        </is>
      </c>
      <c r="E2971" t="inlineStr">
        <is>
          <t>Business</t>
        </is>
      </c>
      <c r="F2971" t="inlineStr">
        <is>
          <t>Team Operations</t>
        </is>
      </c>
      <c r="G2971" t="inlineStr">
        <is>
          <t>Hiring</t>
        </is>
      </c>
      <c r="H2971" t="inlineStr">
        <is>
          <t>Business &gt; Team Operations &gt; Quick Add &gt; Hiring</t>
        </is>
      </c>
      <c r="I2971" s="18" t="n">
        <v>23327.09</v>
      </c>
      <c r="J2971" t="inlineStr">
        <is>
          <t>Created MTR-IOS-2970 and correlation note visible in Activity/Pulse</t>
        </is>
      </c>
      <c r="K2971" t="inlineStr">
        <is>
          <t>NOT_RUN</t>
        </is>
      </c>
      <c r="P2971" t="n">
        <v>0</v>
      </c>
      <c r="Q2971" t="n">
        <v>2970</v>
      </c>
    </row>
    <row r="2972">
      <c r="A2972" t="n">
        <v>2971</v>
      </c>
      <c r="B2972" t="inlineStr">
        <is>
          <t>MTR-IOS-2971</t>
        </is>
      </c>
      <c r="C2972" t="inlineStr">
        <is>
          <t>iPhone</t>
        </is>
      </c>
      <c r="D2972" t="inlineStr">
        <is>
          <t>Personal</t>
        </is>
      </c>
      <c r="E2972" t="inlineStr">
        <is>
          <t>Personal</t>
        </is>
      </c>
      <c r="F2972" t="inlineStr">
        <is>
          <t>Life Operations</t>
        </is>
      </c>
      <c r="G2972" t="inlineStr">
        <is>
          <t>Rent</t>
        </is>
      </c>
      <c r="H2972" t="inlineStr">
        <is>
          <t>Personal &gt; Life Operations &gt; Quick Add &gt; Rent</t>
        </is>
      </c>
      <c r="I2972" s="18" t="n">
        <v>1510.98</v>
      </c>
      <c r="J2972" t="inlineStr">
        <is>
          <t>Created MTR-IOS-2971 and correlation note visible in Activity/Pulse</t>
        </is>
      </c>
      <c r="K2972" t="inlineStr">
        <is>
          <t>NOT_RUN</t>
        </is>
      </c>
      <c r="P2972" t="n">
        <v>0</v>
      </c>
      <c r="Q2972" t="n">
        <v>2971</v>
      </c>
    </row>
    <row r="2973">
      <c r="A2973" t="n">
        <v>2972</v>
      </c>
      <c r="B2973" t="inlineStr">
        <is>
          <t>MTR-IOS-2972</t>
        </is>
      </c>
      <c r="C2973" t="inlineStr">
        <is>
          <t>iPhone</t>
        </is>
      </c>
      <c r="D2973" t="inlineStr">
        <is>
          <t>Group</t>
        </is>
      </c>
      <c r="E2973" t="inlineStr">
        <is>
          <t>Shared Experience</t>
        </is>
      </c>
      <c r="F2973" t="inlineStr">
        <is>
          <t>Trip</t>
        </is>
      </c>
      <c r="G2973" t="inlineStr">
        <is>
          <t>Activities</t>
        </is>
      </c>
      <c r="H2973" t="inlineStr">
        <is>
          <t>Group &gt; Trip &gt; Quick Add &gt; Activities</t>
        </is>
      </c>
      <c r="I2973" s="18" t="n">
        <v>20260.15</v>
      </c>
      <c r="J2973" t="inlineStr">
        <is>
          <t>Created MTR-IOS-2972 and correlation note visible in Activity/Pulse</t>
        </is>
      </c>
      <c r="K2973" t="inlineStr">
        <is>
          <t>NOT_RUN</t>
        </is>
      </c>
      <c r="P2973" t="n">
        <v>0</v>
      </c>
      <c r="Q2973" t="n">
        <v>2972</v>
      </c>
    </row>
    <row r="2974">
      <c r="A2974" t="n">
        <v>2973</v>
      </c>
      <c r="B2974" t="inlineStr">
        <is>
          <t>MTR-IOS-2973</t>
        </is>
      </c>
      <c r="C2974" t="inlineStr">
        <is>
          <t>iPhone</t>
        </is>
      </c>
      <c r="D2974" t="inlineStr">
        <is>
          <t>Business</t>
        </is>
      </c>
      <c r="E2974" t="inlineStr">
        <is>
          <t>Business</t>
        </is>
      </c>
      <c r="F2974" t="inlineStr">
        <is>
          <t>Team Operations</t>
        </is>
      </c>
      <c r="G2974" t="inlineStr">
        <is>
          <t>Team Meal</t>
        </is>
      </c>
      <c r="H2974" t="inlineStr">
        <is>
          <t>Business &gt; Team Operations &gt; Quick Add &gt; Team Meal</t>
        </is>
      </c>
      <c r="I2974" s="18" t="n">
        <v>34401.13</v>
      </c>
      <c r="J2974" t="inlineStr">
        <is>
          <t>Created MTR-IOS-2973 and correlation note visible in Activity/Pulse</t>
        </is>
      </c>
      <c r="K2974" t="inlineStr">
        <is>
          <t>NOT_RUN</t>
        </is>
      </c>
      <c r="P2974" t="n">
        <v>0</v>
      </c>
      <c r="Q2974" t="n">
        <v>2973</v>
      </c>
    </row>
    <row r="2975">
      <c r="A2975" t="n">
        <v>2974</v>
      </c>
      <c r="B2975" t="inlineStr">
        <is>
          <t>MTR-IOS-2974</t>
        </is>
      </c>
      <c r="C2975" t="inlineStr">
        <is>
          <t>iPhone</t>
        </is>
      </c>
      <c r="D2975" t="inlineStr">
        <is>
          <t>Personal</t>
        </is>
      </c>
      <c r="E2975" t="inlineStr">
        <is>
          <t>Personal</t>
        </is>
      </c>
      <c r="F2975" t="inlineStr">
        <is>
          <t>Life Operations</t>
        </is>
      </c>
      <c r="G2975" t="inlineStr">
        <is>
          <t>Bills</t>
        </is>
      </c>
      <c r="H2975" t="inlineStr">
        <is>
          <t>Personal &gt; Life Operations &gt; Quick Add &gt; Bills</t>
        </is>
      </c>
      <c r="I2975" s="18" t="n">
        <v>8006.46</v>
      </c>
      <c r="J2975" t="inlineStr">
        <is>
          <t>Created MTR-IOS-2974 and correlation note visible in Activity/Pulse</t>
        </is>
      </c>
      <c r="K2975" t="inlineStr">
        <is>
          <t>NOT_RUN</t>
        </is>
      </c>
      <c r="P2975" t="n">
        <v>0</v>
      </c>
      <c r="Q2975" t="n">
        <v>2974</v>
      </c>
    </row>
    <row r="2976">
      <c r="A2976" t="n">
        <v>2975</v>
      </c>
      <c r="B2976" t="inlineStr">
        <is>
          <t>MTR-IOS-2975</t>
        </is>
      </c>
      <c r="C2976" t="inlineStr">
        <is>
          <t>iPhone</t>
        </is>
      </c>
      <c r="D2976" t="inlineStr">
        <is>
          <t>Group</t>
        </is>
      </c>
      <c r="E2976" t="inlineStr">
        <is>
          <t>Shared Experience</t>
        </is>
      </c>
      <c r="F2976" t="inlineStr">
        <is>
          <t>Trip</t>
        </is>
      </c>
      <c r="G2976" t="inlineStr">
        <is>
          <t>Shopping</t>
        </is>
      </c>
      <c r="H2976" t="inlineStr">
        <is>
          <t>Group &gt; Trip &gt; Quick Add &gt; Shopping</t>
        </is>
      </c>
      <c r="I2976" s="18" t="n">
        <v>15185.74</v>
      </c>
      <c r="J2976" t="inlineStr">
        <is>
          <t>Created MTR-IOS-2975 and correlation note visible in Activity/Pulse</t>
        </is>
      </c>
      <c r="K2976" t="inlineStr">
        <is>
          <t>NOT_RUN</t>
        </is>
      </c>
      <c r="P2976" t="n">
        <v>0</v>
      </c>
      <c r="Q2976" t="n">
        <v>2975</v>
      </c>
    </row>
    <row r="2977">
      <c r="A2977" t="n">
        <v>2976</v>
      </c>
      <c r="B2977" t="inlineStr">
        <is>
          <t>MTR-IOS-2976</t>
        </is>
      </c>
      <c r="C2977" t="inlineStr">
        <is>
          <t>iPhone</t>
        </is>
      </c>
      <c r="D2977" t="inlineStr">
        <is>
          <t>Business</t>
        </is>
      </c>
      <c r="E2977" t="inlineStr">
        <is>
          <t>Business</t>
        </is>
      </c>
      <c r="F2977" t="inlineStr">
        <is>
          <t>Team Operations</t>
        </is>
      </c>
      <c r="G2977" t="inlineStr">
        <is>
          <t>Travel</t>
        </is>
      </c>
      <c r="H2977" t="inlineStr">
        <is>
          <t>Business &gt; Team Operations &gt; Quick Add &gt; Travel</t>
        </is>
      </c>
      <c r="I2977" s="18" t="n">
        <v>8573.16</v>
      </c>
      <c r="J2977" t="inlineStr">
        <is>
          <t>Created MTR-IOS-2976 and correlation note visible in Activity/Pulse</t>
        </is>
      </c>
      <c r="K2977" t="inlineStr">
        <is>
          <t>NOT_RUN</t>
        </is>
      </c>
      <c r="P2977" t="n">
        <v>0</v>
      </c>
      <c r="Q2977" t="n">
        <v>2976</v>
      </c>
    </row>
    <row r="2978">
      <c r="A2978" t="n">
        <v>2977</v>
      </c>
      <c r="B2978" t="inlineStr">
        <is>
          <t>MTR-IOS-2977</t>
        </is>
      </c>
      <c r="C2978" t="inlineStr">
        <is>
          <t>iPhone</t>
        </is>
      </c>
      <c r="D2978" t="inlineStr">
        <is>
          <t>Personal</t>
        </is>
      </c>
      <c r="E2978" t="inlineStr">
        <is>
          <t>Personal</t>
        </is>
      </c>
      <c r="F2978" t="inlineStr">
        <is>
          <t>Life Operations</t>
        </is>
      </c>
      <c r="G2978" t="inlineStr">
        <is>
          <t>Transport</t>
        </is>
      </c>
      <c r="H2978" t="inlineStr">
        <is>
          <t>Personal &gt; Life Operations &gt; Quick Add &gt; Transport</t>
        </is>
      </c>
      <c r="I2978" s="18" t="n">
        <v>2698.35</v>
      </c>
      <c r="J2978" t="inlineStr">
        <is>
          <t>Created MTR-IOS-2977 and correlation note visible in Activity/Pulse</t>
        </is>
      </c>
      <c r="K2978" t="inlineStr">
        <is>
          <t>NOT_RUN</t>
        </is>
      </c>
      <c r="P2978" t="n">
        <v>0</v>
      </c>
      <c r="Q2978" t="n">
        <v>2977</v>
      </c>
    </row>
    <row r="2979">
      <c r="A2979" t="n">
        <v>2978</v>
      </c>
      <c r="B2979" t="inlineStr">
        <is>
          <t>MTR-IOS-2978</t>
        </is>
      </c>
      <c r="C2979" t="inlineStr">
        <is>
          <t>iPhone</t>
        </is>
      </c>
      <c r="D2979" t="inlineStr">
        <is>
          <t>Group</t>
        </is>
      </c>
      <c r="E2979" t="inlineStr">
        <is>
          <t>Shared Experience</t>
        </is>
      </c>
      <c r="F2979" t="inlineStr">
        <is>
          <t>Trip</t>
        </is>
      </c>
      <c r="G2979" t="inlineStr">
        <is>
          <t>Other</t>
        </is>
      </c>
      <c r="H2979" t="inlineStr">
        <is>
          <t>Group &gt; Trip &gt; Quick Add &gt; Other</t>
        </is>
      </c>
      <c r="I2979" s="18" t="n">
        <v>18004.49</v>
      </c>
      <c r="J2979" t="inlineStr">
        <is>
          <t>Created MTR-IOS-2978 and correlation note visible in Activity/Pulse</t>
        </is>
      </c>
      <c r="K2979" t="inlineStr">
        <is>
          <t>NOT_RUN</t>
        </is>
      </c>
      <c r="P2979" t="n">
        <v>0</v>
      </c>
      <c r="Q2979" t="n">
        <v>2978</v>
      </c>
    </row>
    <row r="2980">
      <c r="A2980" t="n">
        <v>2979</v>
      </c>
      <c r="B2980" t="inlineStr">
        <is>
          <t>MTR-IOS-2979</t>
        </is>
      </c>
      <c r="C2980" t="inlineStr">
        <is>
          <t>iPhone</t>
        </is>
      </c>
      <c r="D2980" t="inlineStr">
        <is>
          <t>Business</t>
        </is>
      </c>
      <c r="E2980" t="inlineStr">
        <is>
          <t>Business</t>
        </is>
      </c>
      <c r="F2980" t="inlineStr">
        <is>
          <t>Team Operations</t>
        </is>
      </c>
      <c r="G2980" t="inlineStr">
        <is>
          <t>Training</t>
        </is>
      </c>
      <c r="H2980" t="inlineStr">
        <is>
          <t>Business &gt; Team Operations &gt; Quick Add &gt; Training</t>
        </is>
      </c>
      <c r="I2980" s="18" t="n">
        <v>15849.08</v>
      </c>
      <c r="J2980" t="inlineStr">
        <is>
          <t>Created MTR-IOS-2979 and correlation note visible in Activity/Pulse</t>
        </is>
      </c>
      <c r="K2980" t="inlineStr">
        <is>
          <t>NOT_RUN</t>
        </is>
      </c>
      <c r="P2980" t="n">
        <v>0</v>
      </c>
      <c r="Q2980" t="n">
        <v>2979</v>
      </c>
    </row>
    <row r="2981">
      <c r="A2981" t="n">
        <v>2980</v>
      </c>
      <c r="B2981" t="inlineStr">
        <is>
          <t>MTR-IOS-2980</t>
        </is>
      </c>
      <c r="C2981" t="inlineStr">
        <is>
          <t>iPhone</t>
        </is>
      </c>
      <c r="D2981" t="inlineStr">
        <is>
          <t>Personal</t>
        </is>
      </c>
      <c r="E2981" t="inlineStr">
        <is>
          <t>Personal</t>
        </is>
      </c>
      <c r="F2981" t="inlineStr">
        <is>
          <t>Life Operations</t>
        </is>
      </c>
      <c r="G2981" t="inlineStr">
        <is>
          <t>Healthcare</t>
        </is>
      </c>
      <c r="H2981" t="inlineStr">
        <is>
          <t>Personal &gt; Life Operations &gt; Quick Add &gt; Healthcare</t>
        </is>
      </c>
      <c r="I2981" s="18" t="n">
        <v>5962.19</v>
      </c>
      <c r="J2981" t="inlineStr">
        <is>
          <t>Created MTR-IOS-2980 and correlation note visible in Activity/Pulse</t>
        </is>
      </c>
      <c r="K2981" t="inlineStr">
        <is>
          <t>NOT_RUN</t>
        </is>
      </c>
      <c r="P2981" t="n">
        <v>0</v>
      </c>
      <c r="Q2981" t="n">
        <v>2980</v>
      </c>
    </row>
    <row r="2982">
      <c r="A2982" t="n">
        <v>2981</v>
      </c>
      <c r="B2982" t="inlineStr">
        <is>
          <t>MTR-IOS-2981</t>
        </is>
      </c>
      <c r="C2982" t="inlineStr">
        <is>
          <t>iPhone</t>
        </is>
      </c>
      <c r="D2982" t="inlineStr">
        <is>
          <t>Group</t>
        </is>
      </c>
      <c r="E2982" t="inlineStr">
        <is>
          <t>Shared Experience</t>
        </is>
      </c>
      <c r="F2982" t="inlineStr">
        <is>
          <t>Wedding</t>
        </is>
      </c>
      <c r="G2982" t="inlineStr">
        <is>
          <t>Venue</t>
        </is>
      </c>
      <c r="H2982" t="inlineStr">
        <is>
          <t>Group &gt; Wedding &gt; Quick Add &gt; Venue</t>
        </is>
      </c>
      <c r="I2982" s="18" t="n">
        <v>9628.24</v>
      </c>
      <c r="J2982" t="inlineStr">
        <is>
          <t>Created MTR-IOS-2981 and correlation note visible in Activity/Pulse</t>
        </is>
      </c>
      <c r="K2982" t="inlineStr">
        <is>
          <t>NOT_RUN</t>
        </is>
      </c>
      <c r="P2982" t="n">
        <v>0</v>
      </c>
      <c r="Q2982" t="n">
        <v>2981</v>
      </c>
    </row>
    <row r="2983">
      <c r="A2983" t="n">
        <v>2982</v>
      </c>
      <c r="B2983" t="inlineStr">
        <is>
          <t>MTR-IOS-2982</t>
        </is>
      </c>
      <c r="C2983" t="inlineStr">
        <is>
          <t>iPhone</t>
        </is>
      </c>
      <c r="D2983" t="inlineStr">
        <is>
          <t>Business</t>
        </is>
      </c>
      <c r="E2983" t="inlineStr">
        <is>
          <t>Business</t>
        </is>
      </c>
      <c r="F2983" t="inlineStr">
        <is>
          <t>Team Operations</t>
        </is>
      </c>
      <c r="G2983" t="inlineStr">
        <is>
          <t>Tools</t>
        </is>
      </c>
      <c r="H2983" t="inlineStr">
        <is>
          <t>Business &gt; Team Operations &gt; Quick Add &gt; Tools</t>
        </is>
      </c>
      <c r="I2983" s="18" t="n">
        <v>129648.8</v>
      </c>
      <c r="J2983" t="inlineStr">
        <is>
          <t>Created MTR-IOS-2982 and correlation note visible in Activity/Pulse</t>
        </is>
      </c>
      <c r="K2983" t="inlineStr">
        <is>
          <t>NOT_RUN</t>
        </is>
      </c>
      <c r="P2983" t="n">
        <v>0</v>
      </c>
      <c r="Q2983" t="n">
        <v>2982</v>
      </c>
    </row>
    <row r="2984">
      <c r="A2984" t="n">
        <v>2983</v>
      </c>
      <c r="B2984" t="inlineStr">
        <is>
          <t>MTR-IOS-2983</t>
        </is>
      </c>
      <c r="C2984" t="inlineStr">
        <is>
          <t>iPhone</t>
        </is>
      </c>
      <c r="D2984" t="inlineStr">
        <is>
          <t>Personal</t>
        </is>
      </c>
      <c r="E2984" t="inlineStr">
        <is>
          <t>Personal</t>
        </is>
      </c>
      <c r="F2984" t="inlineStr">
        <is>
          <t>Life Operations</t>
        </is>
      </c>
      <c r="G2984" t="inlineStr">
        <is>
          <t>Subscriptions</t>
        </is>
      </c>
      <c r="H2984" t="inlineStr">
        <is>
          <t>Personal &gt; Life Operations &gt; Quick Add &gt; Subscriptions</t>
        </is>
      </c>
      <c r="I2984" s="18" t="n">
        <v>7926.26</v>
      </c>
      <c r="J2984" t="inlineStr">
        <is>
          <t>Created MTR-IOS-2983 and correlation note visible in Activity/Pulse</t>
        </is>
      </c>
      <c r="K2984" t="inlineStr">
        <is>
          <t>NOT_RUN</t>
        </is>
      </c>
      <c r="P2984" t="n">
        <v>0</v>
      </c>
      <c r="Q2984" t="n">
        <v>2983</v>
      </c>
    </row>
    <row r="2985">
      <c r="A2985" t="n">
        <v>2984</v>
      </c>
      <c r="B2985" t="inlineStr">
        <is>
          <t>MTR-IOS-2984</t>
        </is>
      </c>
      <c r="C2985" t="inlineStr">
        <is>
          <t>iPhone</t>
        </is>
      </c>
      <c r="D2985" t="inlineStr">
        <is>
          <t>Group</t>
        </is>
      </c>
      <c r="E2985" t="inlineStr">
        <is>
          <t>Shared Experience</t>
        </is>
      </c>
      <c r="F2985" t="inlineStr">
        <is>
          <t>Wedding</t>
        </is>
      </c>
      <c r="G2985" t="inlineStr">
        <is>
          <t>Catering</t>
        </is>
      </c>
      <c r="H2985" t="inlineStr">
        <is>
          <t>Group &gt; Wedding &gt; Quick Add &gt; Catering</t>
        </is>
      </c>
      <c r="I2985" s="18" t="n">
        <v>6667.19</v>
      </c>
      <c r="J2985" t="inlineStr">
        <is>
          <t>Created MTR-IOS-2984 and correlation note visible in Activity/Pulse</t>
        </is>
      </c>
      <c r="K2985" t="inlineStr">
        <is>
          <t>NOT_RUN</t>
        </is>
      </c>
      <c r="P2985" t="n">
        <v>0</v>
      </c>
      <c r="Q2985" t="n">
        <v>2984</v>
      </c>
    </row>
    <row r="2986">
      <c r="A2986" t="n">
        <v>2985</v>
      </c>
      <c r="B2986" t="inlineStr">
        <is>
          <t>MTR-IOS-2985</t>
        </is>
      </c>
      <c r="C2986" t="inlineStr">
        <is>
          <t>iPhone</t>
        </is>
      </c>
      <c r="D2986" t="inlineStr">
        <is>
          <t>Business</t>
        </is>
      </c>
      <c r="E2986" t="inlineStr">
        <is>
          <t>Business</t>
        </is>
      </c>
      <c r="F2986" t="inlineStr">
        <is>
          <t>Business Runway</t>
        </is>
      </c>
      <c r="G2986" t="inlineStr">
        <is>
          <t>Funding</t>
        </is>
      </c>
      <c r="H2986" t="inlineStr">
        <is>
          <t>Business &gt; Business Runway &gt; Quick Add &gt; Funding</t>
        </is>
      </c>
      <c r="I2986" s="18" t="n">
        <v>39580.12</v>
      </c>
      <c r="J2986" t="inlineStr">
        <is>
          <t>Created MTR-IOS-2985 and correlation note visible in Activity/Pulse</t>
        </is>
      </c>
      <c r="K2986" t="inlineStr">
        <is>
          <t>NOT_RUN</t>
        </is>
      </c>
      <c r="P2986" t="n">
        <v>0</v>
      </c>
      <c r="Q2986" t="n">
        <v>2985</v>
      </c>
    </row>
    <row r="2987">
      <c r="A2987" t="n">
        <v>2986</v>
      </c>
      <c r="B2987" t="inlineStr">
        <is>
          <t>MTR-IOS-2986</t>
        </is>
      </c>
      <c r="C2987" t="inlineStr">
        <is>
          <t>iPhone</t>
        </is>
      </c>
      <c r="D2987" t="inlineStr">
        <is>
          <t>Personal</t>
        </is>
      </c>
      <c r="E2987" t="inlineStr">
        <is>
          <t>Personal</t>
        </is>
      </c>
      <c r="F2987" t="inlineStr">
        <is>
          <t>Life Operations</t>
        </is>
      </c>
      <c r="G2987" t="inlineStr">
        <is>
          <t>Repairs</t>
        </is>
      </c>
      <c r="H2987" t="inlineStr">
        <is>
          <t>Personal &gt; Life Operations &gt; Quick Add &gt; Repairs</t>
        </is>
      </c>
      <c r="I2987" s="18" t="n">
        <v>14052.54</v>
      </c>
      <c r="J2987" t="inlineStr">
        <is>
          <t>Created MTR-IOS-2986 and correlation note visible in Activity/Pulse</t>
        </is>
      </c>
      <c r="K2987" t="inlineStr">
        <is>
          <t>NOT_RUN</t>
        </is>
      </c>
      <c r="P2987" t="n">
        <v>0</v>
      </c>
      <c r="Q2987" t="n">
        <v>2986</v>
      </c>
    </row>
    <row r="2988">
      <c r="A2988" t="n">
        <v>2987</v>
      </c>
      <c r="B2988" t="inlineStr">
        <is>
          <t>MTR-IOS-2987</t>
        </is>
      </c>
      <c r="C2988" t="inlineStr">
        <is>
          <t>iPhone</t>
        </is>
      </c>
      <c r="D2988" t="inlineStr">
        <is>
          <t>Group</t>
        </is>
      </c>
      <c r="E2988" t="inlineStr">
        <is>
          <t>Shared Experience</t>
        </is>
      </c>
      <c r="F2988" t="inlineStr">
        <is>
          <t>Wedding</t>
        </is>
      </c>
      <c r="G2988" t="inlineStr">
        <is>
          <t>Decor</t>
        </is>
      </c>
      <c r="H2988" t="inlineStr">
        <is>
          <t>Group &gt; Wedding &gt; Quick Add &gt; Decor</t>
        </is>
      </c>
      <c r="I2988" s="18" t="n">
        <v>8143.15</v>
      </c>
      <c r="J2988" t="inlineStr">
        <is>
          <t>Created MTR-IOS-2987 and correlation note visible in Activity/Pulse</t>
        </is>
      </c>
      <c r="K2988" t="inlineStr">
        <is>
          <t>NOT_RUN</t>
        </is>
      </c>
      <c r="P2988" t="n">
        <v>0</v>
      </c>
      <c r="Q2988" t="n">
        <v>2987</v>
      </c>
    </row>
    <row r="2989">
      <c r="A2989" t="n">
        <v>2988</v>
      </c>
      <c r="B2989" t="inlineStr">
        <is>
          <t>MTR-IOS-2988</t>
        </is>
      </c>
      <c r="C2989" t="inlineStr">
        <is>
          <t>iPhone</t>
        </is>
      </c>
      <c r="D2989" t="inlineStr">
        <is>
          <t>Business</t>
        </is>
      </c>
      <c r="E2989" t="inlineStr">
        <is>
          <t>Business</t>
        </is>
      </c>
      <c r="F2989" t="inlineStr">
        <is>
          <t>Business Runway</t>
        </is>
      </c>
      <c r="G2989" t="inlineStr">
        <is>
          <t>Revenue</t>
        </is>
      </c>
      <c r="H2989" t="inlineStr">
        <is>
          <t>Business &gt; Business Runway &gt; Quick Add &gt; Revenue</t>
        </is>
      </c>
      <c r="I2989" s="18" t="n">
        <v>124082.31</v>
      </c>
      <c r="J2989" t="inlineStr">
        <is>
          <t>Created MTR-IOS-2988 and correlation note visible in Activity/Pulse</t>
        </is>
      </c>
      <c r="K2989" t="inlineStr">
        <is>
          <t>NOT_RUN</t>
        </is>
      </c>
      <c r="P2989" t="n">
        <v>0</v>
      </c>
      <c r="Q2989" t="n">
        <v>2988</v>
      </c>
    </row>
    <row r="2990">
      <c r="A2990" t="n">
        <v>2989</v>
      </c>
      <c r="B2990" t="inlineStr">
        <is>
          <t>MTR-IOS-2989</t>
        </is>
      </c>
      <c r="C2990" t="inlineStr">
        <is>
          <t>iPhone</t>
        </is>
      </c>
      <c r="D2990" t="inlineStr">
        <is>
          <t>Personal</t>
        </is>
      </c>
      <c r="E2990" t="inlineStr">
        <is>
          <t>Personal</t>
        </is>
      </c>
      <c r="F2990" t="inlineStr">
        <is>
          <t>Future Building</t>
        </is>
      </c>
      <c r="G2990" t="inlineStr">
        <is>
          <t>Savings</t>
        </is>
      </c>
      <c r="H2990" t="inlineStr">
        <is>
          <t>Personal &gt; Future Building &gt; Quick Add &gt; Savings</t>
        </is>
      </c>
      <c r="I2990" s="18" t="n">
        <v>3076.98</v>
      </c>
      <c r="J2990" t="inlineStr">
        <is>
          <t>Created MTR-IOS-2989 and correlation note visible in Activity/Pulse</t>
        </is>
      </c>
      <c r="K2990" t="inlineStr">
        <is>
          <t>NOT_RUN</t>
        </is>
      </c>
      <c r="P2990" t="n">
        <v>0</v>
      </c>
      <c r="Q2990" t="n">
        <v>2989</v>
      </c>
    </row>
    <row r="2991">
      <c r="A2991" t="n">
        <v>2990</v>
      </c>
      <c r="B2991" t="inlineStr">
        <is>
          <t>MTR-IOS-2990</t>
        </is>
      </c>
      <c r="C2991" t="inlineStr">
        <is>
          <t>iPhone</t>
        </is>
      </c>
      <c r="D2991" t="inlineStr">
        <is>
          <t>Group</t>
        </is>
      </c>
      <c r="E2991" t="inlineStr">
        <is>
          <t>Shared Experience</t>
        </is>
      </c>
      <c r="F2991" t="inlineStr">
        <is>
          <t>Wedding</t>
        </is>
      </c>
      <c r="G2991" t="inlineStr">
        <is>
          <t>Travel</t>
        </is>
      </c>
      <c r="H2991" t="inlineStr">
        <is>
          <t>Group &gt; Wedding &gt; Quick Add &gt; Travel</t>
        </is>
      </c>
      <c r="I2991" s="18" t="n">
        <v>21300.8</v>
      </c>
      <c r="J2991" t="inlineStr">
        <is>
          <t>Created MTR-IOS-2990 and correlation note visible in Activity/Pulse</t>
        </is>
      </c>
      <c r="K2991" t="inlineStr">
        <is>
          <t>NOT_RUN</t>
        </is>
      </c>
      <c r="P2991" t="n">
        <v>0</v>
      </c>
      <c r="Q2991" t="n">
        <v>2990</v>
      </c>
    </row>
    <row r="2992">
      <c r="A2992" t="n">
        <v>2991</v>
      </c>
      <c r="B2992" t="inlineStr">
        <is>
          <t>MTR-IOS-2991</t>
        </is>
      </c>
      <c r="C2992" t="inlineStr">
        <is>
          <t>iPhone</t>
        </is>
      </c>
      <c r="D2992" t="inlineStr">
        <is>
          <t>Business</t>
        </is>
      </c>
      <c r="E2992" t="inlineStr">
        <is>
          <t>Business</t>
        </is>
      </c>
      <c r="F2992" t="inlineStr">
        <is>
          <t>Business Runway</t>
        </is>
      </c>
      <c r="G2992" t="inlineStr">
        <is>
          <t>Burn</t>
        </is>
      </c>
      <c r="H2992" t="inlineStr">
        <is>
          <t>Business &gt; Business Runway &gt; Quick Add &gt; Burn</t>
        </is>
      </c>
      <c r="I2992" s="18" t="n">
        <v>36834.93</v>
      </c>
      <c r="J2992" t="inlineStr">
        <is>
          <t>Created MTR-IOS-2991 and correlation note visible in Activity/Pulse</t>
        </is>
      </c>
      <c r="K2992" t="inlineStr">
        <is>
          <t>NOT_RUN</t>
        </is>
      </c>
      <c r="P2992" t="n">
        <v>0</v>
      </c>
      <c r="Q2992" t="n">
        <v>2991</v>
      </c>
    </row>
    <row r="2993">
      <c r="A2993" t="n">
        <v>2992</v>
      </c>
      <c r="B2993" t="inlineStr">
        <is>
          <t>MTR-IOS-2992</t>
        </is>
      </c>
      <c r="C2993" t="inlineStr">
        <is>
          <t>iPhone</t>
        </is>
      </c>
      <c r="D2993" t="inlineStr">
        <is>
          <t>Personal</t>
        </is>
      </c>
      <c r="E2993" t="inlineStr">
        <is>
          <t>Personal</t>
        </is>
      </c>
      <c r="F2993" t="inlineStr">
        <is>
          <t>Future Building</t>
        </is>
      </c>
      <c r="G2993" t="inlineStr">
        <is>
          <t>Emergency Fund</t>
        </is>
      </c>
      <c r="H2993" t="inlineStr">
        <is>
          <t>Personal &gt; Future Building &gt; Quick Add &gt; Emergency Fund</t>
        </is>
      </c>
      <c r="I2993" s="18" t="n">
        <v>3449.96</v>
      </c>
      <c r="J2993" t="inlineStr">
        <is>
          <t>Created MTR-IOS-2992 and correlation note visible in Activity/Pulse</t>
        </is>
      </c>
      <c r="K2993" t="inlineStr">
        <is>
          <t>NOT_RUN</t>
        </is>
      </c>
      <c r="P2993" t="n">
        <v>0</v>
      </c>
      <c r="Q2993" t="n">
        <v>2992</v>
      </c>
    </row>
    <row r="2994">
      <c r="A2994" t="n">
        <v>2993</v>
      </c>
      <c r="B2994" t="inlineStr">
        <is>
          <t>MTR-IOS-2993</t>
        </is>
      </c>
      <c r="C2994" t="inlineStr">
        <is>
          <t>iPhone</t>
        </is>
      </c>
      <c r="D2994" t="inlineStr">
        <is>
          <t>Group</t>
        </is>
      </c>
      <c r="E2994" t="inlineStr">
        <is>
          <t>Shared Experience</t>
        </is>
      </c>
      <c r="F2994" t="inlineStr">
        <is>
          <t>Wedding</t>
        </is>
      </c>
      <c r="G2994" t="inlineStr">
        <is>
          <t>Gifts</t>
        </is>
      </c>
      <c r="H2994" t="inlineStr">
        <is>
          <t>Group &gt; Wedding &gt; Quick Add &gt; Gifts</t>
        </is>
      </c>
      <c r="I2994" s="18" t="n">
        <v>8531.379999999999</v>
      </c>
      <c r="J2994" t="inlineStr">
        <is>
          <t>Created MTR-IOS-2993 and correlation note visible in Activity/Pulse</t>
        </is>
      </c>
      <c r="K2994" t="inlineStr">
        <is>
          <t>NOT_RUN</t>
        </is>
      </c>
      <c r="P2994" t="n">
        <v>0</v>
      </c>
      <c r="Q2994" t="n">
        <v>2993</v>
      </c>
    </row>
    <row r="2995">
      <c r="A2995" t="n">
        <v>2994</v>
      </c>
      <c r="B2995" t="inlineStr">
        <is>
          <t>MTR-IOS-2994</t>
        </is>
      </c>
      <c r="C2995" t="inlineStr">
        <is>
          <t>iPhone</t>
        </is>
      </c>
      <c r="D2995" t="inlineStr">
        <is>
          <t>Business</t>
        </is>
      </c>
      <c r="E2995" t="inlineStr">
        <is>
          <t>Business</t>
        </is>
      </c>
      <c r="F2995" t="inlineStr">
        <is>
          <t>Business Runway</t>
        </is>
      </c>
      <c r="G2995" t="inlineStr">
        <is>
          <t>Reserve</t>
        </is>
      </c>
      <c r="H2995" t="inlineStr">
        <is>
          <t>Business &gt; Business Runway &gt; Quick Add &gt; Reserve</t>
        </is>
      </c>
      <c r="I2995" s="18" t="n">
        <v>3274.74</v>
      </c>
      <c r="J2995" t="inlineStr">
        <is>
          <t>Created MTR-IOS-2994 and correlation note visible in Activity/Pulse</t>
        </is>
      </c>
      <c r="K2995" t="inlineStr">
        <is>
          <t>NOT_RUN</t>
        </is>
      </c>
      <c r="P2995" t="n">
        <v>0</v>
      </c>
      <c r="Q2995" t="n">
        <v>2994</v>
      </c>
    </row>
    <row r="2996">
      <c r="A2996" t="n">
        <v>2995</v>
      </c>
      <c r="B2996" t="inlineStr">
        <is>
          <t>MTR-IOS-2995</t>
        </is>
      </c>
      <c r="C2996" t="inlineStr">
        <is>
          <t>iPhone</t>
        </is>
      </c>
      <c r="D2996" t="inlineStr">
        <is>
          <t>Personal</t>
        </is>
      </c>
      <c r="E2996" t="inlineStr">
        <is>
          <t>Personal</t>
        </is>
      </c>
      <c r="F2996" t="inlineStr">
        <is>
          <t>Future Building</t>
        </is>
      </c>
      <c r="G2996" t="inlineStr">
        <is>
          <t>Investments</t>
        </is>
      </c>
      <c r="H2996" t="inlineStr">
        <is>
          <t>Personal &gt; Future Building &gt; Quick Add &gt; Investments</t>
        </is>
      </c>
      <c r="I2996" s="18" t="n">
        <v>4860.56</v>
      </c>
      <c r="J2996" t="inlineStr">
        <is>
          <t>Created MTR-IOS-2995 and correlation note visible in Activity/Pulse</t>
        </is>
      </c>
      <c r="K2996" t="inlineStr">
        <is>
          <t>NOT_RUN</t>
        </is>
      </c>
      <c r="P2996" t="n">
        <v>0</v>
      </c>
      <c r="Q2996" t="n">
        <v>2995</v>
      </c>
    </row>
    <row r="2997">
      <c r="A2997" t="n">
        <v>2996</v>
      </c>
      <c r="B2997" t="inlineStr">
        <is>
          <t>MTR-IOS-2996</t>
        </is>
      </c>
      <c r="C2997" t="inlineStr">
        <is>
          <t>iPhone</t>
        </is>
      </c>
      <c r="D2997" t="inlineStr">
        <is>
          <t>Group</t>
        </is>
      </c>
      <c r="E2997" t="inlineStr">
        <is>
          <t>Shared Experience</t>
        </is>
      </c>
      <c r="F2997" t="inlineStr">
        <is>
          <t>Wedding</t>
        </is>
      </c>
      <c r="G2997" t="inlineStr">
        <is>
          <t>Photography</t>
        </is>
      </c>
      <c r="H2997" t="inlineStr">
        <is>
          <t>Group &gt; Wedding &gt; Quick Add &gt; Photography</t>
        </is>
      </c>
      <c r="I2997" s="18" t="n">
        <v>10015.58</v>
      </c>
      <c r="J2997" t="inlineStr">
        <is>
          <t>Created MTR-IOS-2996 and correlation note visible in Activity/Pulse</t>
        </is>
      </c>
      <c r="K2997" t="inlineStr">
        <is>
          <t>NOT_RUN</t>
        </is>
      </c>
      <c r="P2997" t="n">
        <v>0</v>
      </c>
      <c r="Q2997" t="n">
        <v>2996</v>
      </c>
    </row>
    <row r="2998">
      <c r="A2998" t="n">
        <v>2997</v>
      </c>
      <c r="B2998" t="inlineStr">
        <is>
          <t>MTR-IOS-2997</t>
        </is>
      </c>
      <c r="C2998" t="inlineStr">
        <is>
          <t>iPhone</t>
        </is>
      </c>
      <c r="D2998" t="inlineStr">
        <is>
          <t>Business</t>
        </is>
      </c>
      <c r="E2998" t="inlineStr">
        <is>
          <t>Business</t>
        </is>
      </c>
      <c r="F2998" t="inlineStr">
        <is>
          <t>Business Runway</t>
        </is>
      </c>
      <c r="G2998" t="inlineStr">
        <is>
          <t>Loan</t>
        </is>
      </c>
      <c r="H2998" t="inlineStr">
        <is>
          <t>Business &gt; Business Runway &gt; Quick Add &gt; Loan</t>
        </is>
      </c>
      <c r="I2998" s="18" t="n">
        <v>100</v>
      </c>
      <c r="J2998" t="inlineStr">
        <is>
          <t>Created MTR-IOS-2997 and correlation note visible in Activity/Pulse</t>
        </is>
      </c>
      <c r="K2998" t="inlineStr">
        <is>
          <t>NOT_RUN</t>
        </is>
      </c>
      <c r="P2998" t="n">
        <v>0</v>
      </c>
      <c r="Q2998" t="n">
        <v>2997</v>
      </c>
    </row>
    <row r="2999">
      <c r="A2999" t="n">
        <v>2998</v>
      </c>
      <c r="B2999" t="inlineStr">
        <is>
          <t>MTR-IOS-2998</t>
        </is>
      </c>
      <c r="C2999" t="inlineStr">
        <is>
          <t>iPhone</t>
        </is>
      </c>
      <c r="D2999" t="inlineStr">
        <is>
          <t>Personal</t>
        </is>
      </c>
      <c r="E2999" t="inlineStr">
        <is>
          <t>Personal</t>
        </is>
      </c>
      <c r="F2999" t="inlineStr">
        <is>
          <t>Future Building</t>
        </is>
      </c>
      <c r="G2999" t="inlineStr">
        <is>
          <t>Education</t>
        </is>
      </c>
      <c r="H2999" t="inlineStr">
        <is>
          <t>Personal &gt; Future Building &gt; Quick Add &gt; Education</t>
        </is>
      </c>
      <c r="I2999" s="18" t="n">
        <v>4984.63</v>
      </c>
      <c r="J2999" t="inlineStr">
        <is>
          <t>Created MTR-IOS-2998 and correlation note visible in Activity/Pulse</t>
        </is>
      </c>
      <c r="K2999" t="inlineStr">
        <is>
          <t>NOT_RUN</t>
        </is>
      </c>
      <c r="P2999" t="n">
        <v>0</v>
      </c>
      <c r="Q2999" t="n">
        <v>2998</v>
      </c>
    </row>
    <row r="3000">
      <c r="A3000" t="n">
        <v>2999</v>
      </c>
      <c r="B3000" t="inlineStr">
        <is>
          <t>MTR-IOS-2999</t>
        </is>
      </c>
      <c r="C3000" t="inlineStr">
        <is>
          <t>iPhone</t>
        </is>
      </c>
      <c r="D3000" t="inlineStr">
        <is>
          <t>Group</t>
        </is>
      </c>
      <c r="E3000" t="inlineStr">
        <is>
          <t>Shared Experience</t>
        </is>
      </c>
      <c r="F3000" t="inlineStr">
        <is>
          <t>Wedding</t>
        </is>
      </c>
      <c r="G3000" t="inlineStr">
        <is>
          <t>Other</t>
        </is>
      </c>
      <c r="H3000" t="inlineStr">
        <is>
          <t>Group &gt; Wedding &gt; Quick Add &gt; Other</t>
        </is>
      </c>
      <c r="I3000" s="18" t="n">
        <v>3846.99</v>
      </c>
      <c r="J3000" t="inlineStr">
        <is>
          <t>Created MTR-IOS-2999 and correlation note visible in Activity/Pulse</t>
        </is>
      </c>
      <c r="K3000" t="inlineStr">
        <is>
          <t>NOT_RUN</t>
        </is>
      </c>
      <c r="P3000" t="n">
        <v>0</v>
      </c>
      <c r="Q3000" t="n">
        <v>2999</v>
      </c>
    </row>
    <row r="3001">
      <c r="A3001" t="n">
        <v>3000</v>
      </c>
      <c r="B3001" t="inlineStr">
        <is>
          <t>MTR-IOS-3000</t>
        </is>
      </c>
      <c r="C3001" t="inlineStr">
        <is>
          <t>iPhone</t>
        </is>
      </c>
      <c r="D3001" t="inlineStr">
        <is>
          <t>Business</t>
        </is>
      </c>
      <c r="E3001" t="inlineStr">
        <is>
          <t>Business</t>
        </is>
      </c>
      <c r="F3001" t="inlineStr">
        <is>
          <t>Business Runway</t>
        </is>
      </c>
      <c r="G3001" t="inlineStr">
        <is>
          <t>Investment</t>
        </is>
      </c>
      <c r="H3001" t="inlineStr">
        <is>
          <t>Business &gt; Business Runway &gt; Quick Add &gt; Investment</t>
        </is>
      </c>
      <c r="I3001" s="18" t="n">
        <v>70692.00999999999</v>
      </c>
      <c r="J3001" t="inlineStr">
        <is>
          <t>Created MTR-IOS-3000 and correlation note visible in Activity/Pulse</t>
        </is>
      </c>
      <c r="K3001" t="inlineStr">
        <is>
          <t>NOT_RUN</t>
        </is>
      </c>
      <c r="P3001" t="n">
        <v>0</v>
      </c>
      <c r="Q3001" t="n">
        <v>3000</v>
      </c>
    </row>
    <row r="3002">
      <c r="A3002" t="n">
        <v>3001</v>
      </c>
      <c r="B3002" t="inlineStr">
        <is>
          <t>MTR-IOS-3001</t>
        </is>
      </c>
      <c r="C3002" t="inlineStr">
        <is>
          <t>iPhone</t>
        </is>
      </c>
      <c r="D3002" t="inlineStr">
        <is>
          <t>Personal</t>
        </is>
      </c>
      <c r="E3002" t="inlineStr">
        <is>
          <t>Personal</t>
        </is>
      </c>
      <c r="F3002" t="inlineStr">
        <is>
          <t>Future Building</t>
        </is>
      </c>
      <c r="G3002" t="inlineStr">
        <is>
          <t>Goal Contribution</t>
        </is>
      </c>
      <c r="H3002" t="inlineStr">
        <is>
          <t>Personal &gt; Future Building &gt; Quick Add &gt; Goal Contribution</t>
        </is>
      </c>
      <c r="I3002" s="18" t="n">
        <v>3960.24</v>
      </c>
      <c r="J3002" t="inlineStr">
        <is>
          <t>Created MTR-IOS-3001 and correlation note visible in Activity/Pulse</t>
        </is>
      </c>
      <c r="K3002" t="inlineStr">
        <is>
          <t>NOT_RUN</t>
        </is>
      </c>
      <c r="P3002" t="n">
        <v>0</v>
      </c>
      <c r="Q3002" t="n">
        <v>3001</v>
      </c>
    </row>
    <row r="3003">
      <c r="A3003" t="n">
        <v>3002</v>
      </c>
      <c r="B3003" t="inlineStr">
        <is>
          <t>MTR-IOS-3002</t>
        </is>
      </c>
      <c r="C3003" t="inlineStr">
        <is>
          <t>iPhone</t>
        </is>
      </c>
      <c r="D3003" t="inlineStr">
        <is>
          <t>Group</t>
        </is>
      </c>
      <c r="E3003" t="inlineStr">
        <is>
          <t>Shared Experience</t>
        </is>
      </c>
      <c r="F3003" t="inlineStr">
        <is>
          <t>Office Outing</t>
        </is>
      </c>
      <c r="G3003" t="inlineStr">
        <is>
          <t>Food</t>
        </is>
      </c>
      <c r="H3003" t="inlineStr">
        <is>
          <t>Group &gt; Office Outing &gt; Quick Add &gt; Food</t>
        </is>
      </c>
      <c r="I3003" s="18" t="n">
        <v>14584.62</v>
      </c>
      <c r="J3003" t="inlineStr">
        <is>
          <t>Created MTR-IOS-3002 and correlation note visible in Activity/Pulse</t>
        </is>
      </c>
      <c r="K3003" t="inlineStr">
        <is>
          <t>NOT_RUN</t>
        </is>
      </c>
      <c r="P3003" t="n">
        <v>0</v>
      </c>
      <c r="Q3003" t="n">
        <v>3002</v>
      </c>
    </row>
    <row r="3004">
      <c r="A3004" t="n">
        <v>3003</v>
      </c>
      <c r="B3004" t="inlineStr">
        <is>
          <t>MTR-IOS-3003</t>
        </is>
      </c>
      <c r="C3004" t="inlineStr">
        <is>
          <t>iPhone</t>
        </is>
      </c>
      <c r="D3004" t="inlineStr">
        <is>
          <t>Business</t>
        </is>
      </c>
      <c r="E3004" t="inlineStr">
        <is>
          <t>Business</t>
        </is>
      </c>
      <c r="F3004" t="inlineStr">
        <is>
          <t>Business Operations</t>
        </is>
      </c>
      <c r="G3004" t="inlineStr">
        <is>
          <t>Software</t>
        </is>
      </c>
      <c r="H3004" t="inlineStr">
        <is>
          <t>Business &gt; Business Operations &gt; Quick Add &gt; Software</t>
        </is>
      </c>
      <c r="I3004" s="18" t="n">
        <v>22456.06</v>
      </c>
      <c r="J3004" t="inlineStr">
        <is>
          <t>Created MTR-IOS-3003 and correlation note visible in Activity/Pulse</t>
        </is>
      </c>
      <c r="K3004" t="inlineStr">
        <is>
          <t>NOT_RUN</t>
        </is>
      </c>
      <c r="P3004" t="n">
        <v>0</v>
      </c>
      <c r="Q3004" t="n">
        <v>3003</v>
      </c>
    </row>
    <row r="3005">
      <c r="A3005" t="n">
        <v>3004</v>
      </c>
      <c r="B3005" t="inlineStr">
        <is>
          <t>MTR-IOS-3004</t>
        </is>
      </c>
      <c r="C3005" t="inlineStr">
        <is>
          <t>iPhone</t>
        </is>
      </c>
      <c r="D3005" t="inlineStr">
        <is>
          <t>Personal</t>
        </is>
      </c>
      <c r="E3005" t="inlineStr">
        <is>
          <t>Personal</t>
        </is>
      </c>
      <c r="F3005" t="inlineStr">
        <is>
          <t>Lifestyle</t>
        </is>
      </c>
      <c r="G3005" t="inlineStr">
        <is>
          <t>Dining</t>
        </is>
      </c>
      <c r="H3005" t="inlineStr">
        <is>
          <t>Personal &gt; Lifestyle &gt; Quick Add &gt; Dining</t>
        </is>
      </c>
      <c r="I3005" s="18" t="n">
        <v>4652.27</v>
      </c>
      <c r="J3005" t="inlineStr">
        <is>
          <t>Created MTR-IOS-3004 and correlation note visible in Activity/Pulse</t>
        </is>
      </c>
      <c r="K3005" t="inlineStr">
        <is>
          <t>NOT_RUN</t>
        </is>
      </c>
      <c r="P3005" t="n">
        <v>0</v>
      </c>
      <c r="Q3005" t="n">
        <v>3004</v>
      </c>
    </row>
    <row r="3006">
      <c r="A3006" t="n">
        <v>3005</v>
      </c>
      <c r="B3006" t="inlineStr">
        <is>
          <t>MTR-IOS-3005</t>
        </is>
      </c>
      <c r="C3006" t="inlineStr">
        <is>
          <t>iPhone</t>
        </is>
      </c>
      <c r="D3006" t="inlineStr">
        <is>
          <t>Group</t>
        </is>
      </c>
      <c r="E3006" t="inlineStr">
        <is>
          <t>Shared Experience</t>
        </is>
      </c>
      <c r="F3006" t="inlineStr">
        <is>
          <t>Office Outing</t>
        </is>
      </c>
      <c r="G3006" t="inlineStr">
        <is>
          <t>Travel</t>
        </is>
      </c>
      <c r="H3006" t="inlineStr">
        <is>
          <t>Group &gt; Office Outing &gt; Quick Add &gt; Travel</t>
        </is>
      </c>
      <c r="I3006" s="18" t="n">
        <v>5761.03</v>
      </c>
      <c r="J3006" t="inlineStr">
        <is>
          <t>Created MTR-IOS-3005 and correlation note visible in Activity/Pulse</t>
        </is>
      </c>
      <c r="K3006" t="inlineStr">
        <is>
          <t>NOT_RUN</t>
        </is>
      </c>
      <c r="P3006" t="n">
        <v>0</v>
      </c>
      <c r="Q3006" t="n">
        <v>3005</v>
      </c>
    </row>
    <row r="3007">
      <c r="A3007" t="n">
        <v>3006</v>
      </c>
      <c r="B3007" t="inlineStr">
        <is>
          <t>MTR-IOS-3006</t>
        </is>
      </c>
      <c r="C3007" t="inlineStr">
        <is>
          <t>iPhone</t>
        </is>
      </c>
      <c r="D3007" t="inlineStr">
        <is>
          <t>Business</t>
        </is>
      </c>
      <c r="E3007" t="inlineStr">
        <is>
          <t>Business</t>
        </is>
      </c>
      <c r="F3007" t="inlineStr">
        <is>
          <t>Business Operations</t>
        </is>
      </c>
      <c r="G3007" t="inlineStr">
        <is>
          <t>Rent</t>
        </is>
      </c>
      <c r="H3007" t="inlineStr">
        <is>
          <t>Business &gt; Business Operations &gt; Quick Add &gt; Rent</t>
        </is>
      </c>
      <c r="I3007" s="18" t="n">
        <v>87046.55</v>
      </c>
      <c r="J3007" t="inlineStr">
        <is>
          <t>Created MTR-IOS-3006 and correlation note visible in Activity/Pulse</t>
        </is>
      </c>
      <c r="K3007" t="inlineStr">
        <is>
          <t>NOT_RUN</t>
        </is>
      </c>
      <c r="P3007" t="n">
        <v>0</v>
      </c>
      <c r="Q3007" t="n">
        <v>3006</v>
      </c>
    </row>
    <row r="3008">
      <c r="A3008" t="n">
        <v>3007</v>
      </c>
      <c r="B3008" t="inlineStr">
        <is>
          <t>MTR-IOS-3007</t>
        </is>
      </c>
      <c r="C3008" t="inlineStr">
        <is>
          <t>iPhone</t>
        </is>
      </c>
      <c r="D3008" t="inlineStr">
        <is>
          <t>Personal</t>
        </is>
      </c>
      <c r="E3008" t="inlineStr">
        <is>
          <t>Personal</t>
        </is>
      </c>
      <c r="F3008" t="inlineStr">
        <is>
          <t>Lifestyle</t>
        </is>
      </c>
      <c r="G3008" t="inlineStr">
        <is>
          <t>Shopping</t>
        </is>
      </c>
      <c r="H3008" t="inlineStr">
        <is>
          <t>Personal &gt; Lifestyle &gt; Quick Add &gt; Shopping</t>
        </is>
      </c>
      <c r="I3008" s="18" t="n">
        <v>5862.35</v>
      </c>
      <c r="J3008" t="inlineStr">
        <is>
          <t>Created MTR-IOS-3007 and correlation note visible in Activity/Pulse</t>
        </is>
      </c>
      <c r="K3008" t="inlineStr">
        <is>
          <t>NOT_RUN</t>
        </is>
      </c>
      <c r="P3008" t="n">
        <v>0</v>
      </c>
      <c r="Q3008" t="n">
        <v>3007</v>
      </c>
    </row>
    <row r="3009">
      <c r="A3009" t="n">
        <v>3008</v>
      </c>
      <c r="B3009" t="inlineStr">
        <is>
          <t>MTR-IOS-3008</t>
        </is>
      </c>
      <c r="C3009" t="inlineStr">
        <is>
          <t>iPhone</t>
        </is>
      </c>
      <c r="D3009" t="inlineStr">
        <is>
          <t>Group</t>
        </is>
      </c>
      <c r="E3009" t="inlineStr">
        <is>
          <t>Shared Experience</t>
        </is>
      </c>
      <c r="F3009" t="inlineStr">
        <is>
          <t>Office Outing</t>
        </is>
      </c>
      <c r="G3009" t="inlineStr">
        <is>
          <t>Activities</t>
        </is>
      </c>
      <c r="H3009" t="inlineStr">
        <is>
          <t>Group &gt; Office Outing &gt; Quick Add &gt; Activities</t>
        </is>
      </c>
      <c r="I3009" s="18" t="n">
        <v>6972.76</v>
      </c>
      <c r="J3009" t="inlineStr">
        <is>
          <t>Created MTR-IOS-3008 and correlation note visible in Activity/Pulse</t>
        </is>
      </c>
      <c r="K3009" t="inlineStr">
        <is>
          <t>NOT_RUN</t>
        </is>
      </c>
      <c r="P3009" t="n">
        <v>0</v>
      </c>
      <c r="Q3009" t="n">
        <v>3008</v>
      </c>
    </row>
    <row r="3010">
      <c r="A3010" t="n">
        <v>3009</v>
      </c>
      <c r="B3010" t="inlineStr">
        <is>
          <t>MTR-IOS-3009</t>
        </is>
      </c>
      <c r="C3010" t="inlineStr">
        <is>
          <t>iPhone</t>
        </is>
      </c>
      <c r="D3010" t="inlineStr">
        <is>
          <t>Business</t>
        </is>
      </c>
      <c r="E3010" t="inlineStr">
        <is>
          <t>Business</t>
        </is>
      </c>
      <c r="F3010" t="inlineStr">
        <is>
          <t>Business Operations</t>
        </is>
      </c>
      <c r="G3010" t="inlineStr">
        <is>
          <t>Marketing</t>
        </is>
      </c>
      <c r="H3010" t="inlineStr">
        <is>
          <t>Business &gt; Business Operations &gt; Quick Add &gt; Marketing</t>
        </is>
      </c>
      <c r="I3010" s="18" t="n">
        <v>53560.31</v>
      </c>
      <c r="J3010" t="inlineStr">
        <is>
          <t>Created MTR-IOS-3009 and correlation note visible in Activity/Pulse</t>
        </is>
      </c>
      <c r="K3010" t="inlineStr">
        <is>
          <t>NOT_RUN</t>
        </is>
      </c>
      <c r="P3010" t="n">
        <v>0</v>
      </c>
      <c r="Q3010" t="n">
        <v>3009</v>
      </c>
    </row>
    <row r="3011">
      <c r="A3011" t="n">
        <v>3010</v>
      </c>
      <c r="B3011" t="inlineStr">
        <is>
          <t>MTR-IOS-3010</t>
        </is>
      </c>
      <c r="C3011" t="inlineStr">
        <is>
          <t>iPhone</t>
        </is>
      </c>
      <c r="D3011" t="inlineStr">
        <is>
          <t>Personal</t>
        </is>
      </c>
      <c r="E3011" t="inlineStr">
        <is>
          <t>Personal</t>
        </is>
      </c>
      <c r="F3011" t="inlineStr">
        <is>
          <t>Lifestyle</t>
        </is>
      </c>
      <c r="G3011" t="inlineStr">
        <is>
          <t>Entertainment</t>
        </is>
      </c>
      <c r="H3011" t="inlineStr">
        <is>
          <t>Personal &gt; Lifestyle &gt; Quick Add &gt; Entertainment</t>
        </is>
      </c>
      <c r="I3011" s="18" t="n">
        <v>12151.92</v>
      </c>
      <c r="J3011" t="inlineStr">
        <is>
          <t>Created MTR-IOS-3010 and correlation note visible in Activity/Pulse</t>
        </is>
      </c>
      <c r="K3011" t="inlineStr">
        <is>
          <t>NOT_RUN</t>
        </is>
      </c>
      <c r="P3011" t="n">
        <v>0</v>
      </c>
      <c r="Q3011" t="n">
        <v>3010</v>
      </c>
    </row>
    <row r="3012">
      <c r="A3012" t="n">
        <v>3011</v>
      </c>
      <c r="B3012" t="inlineStr">
        <is>
          <t>MTR-IOS-3011</t>
        </is>
      </c>
      <c r="C3012" t="inlineStr">
        <is>
          <t>iPhone</t>
        </is>
      </c>
      <c r="D3012" t="inlineStr">
        <is>
          <t>Group</t>
        </is>
      </c>
      <c r="E3012" t="inlineStr">
        <is>
          <t>Shared Experience</t>
        </is>
      </c>
      <c r="F3012" t="inlineStr">
        <is>
          <t>Office Outing</t>
        </is>
      </c>
      <c r="G3012" t="inlineStr">
        <is>
          <t>Venue</t>
        </is>
      </c>
      <c r="H3012" t="inlineStr">
        <is>
          <t>Group &gt; Office Outing &gt; Quick Add &gt; Venue</t>
        </is>
      </c>
      <c r="I3012" s="18" t="n">
        <v>3706.44</v>
      </c>
      <c r="J3012" t="inlineStr">
        <is>
          <t>Created MTR-IOS-3011 and correlation note visible in Activity/Pulse</t>
        </is>
      </c>
      <c r="K3012" t="inlineStr">
        <is>
          <t>NOT_RUN</t>
        </is>
      </c>
      <c r="P3012" t="n">
        <v>0</v>
      </c>
      <c r="Q3012" t="n">
        <v>3011</v>
      </c>
    </row>
    <row r="3013">
      <c r="A3013" t="n">
        <v>3012</v>
      </c>
      <c r="B3013" t="inlineStr">
        <is>
          <t>MTR-IOS-3012</t>
        </is>
      </c>
      <c r="C3013" t="inlineStr">
        <is>
          <t>iPhone</t>
        </is>
      </c>
      <c r="D3013" t="inlineStr">
        <is>
          <t>Business</t>
        </is>
      </c>
      <c r="E3013" t="inlineStr">
        <is>
          <t>Business</t>
        </is>
      </c>
      <c r="F3013" t="inlineStr">
        <is>
          <t>Business Operations</t>
        </is>
      </c>
      <c r="G3013" t="inlineStr">
        <is>
          <t>Legal</t>
        </is>
      </c>
      <c r="H3013" t="inlineStr">
        <is>
          <t>Business &gt; Business Operations &gt; Quick Add &gt; Legal</t>
        </is>
      </c>
      <c r="I3013" s="18" t="n">
        <v>145938.18</v>
      </c>
      <c r="J3013" t="inlineStr">
        <is>
          <t>Created MTR-IOS-3012 and correlation note visible in Activity/Pulse</t>
        </is>
      </c>
      <c r="K3013" t="inlineStr">
        <is>
          <t>NOT_RUN</t>
        </is>
      </c>
      <c r="P3013" t="n">
        <v>0</v>
      </c>
      <c r="Q3013" t="n">
        <v>3012</v>
      </c>
    </row>
    <row r="3014">
      <c r="A3014" t="n">
        <v>3013</v>
      </c>
      <c r="B3014" t="inlineStr">
        <is>
          <t>MTR-IOS-3013</t>
        </is>
      </c>
      <c r="C3014" t="inlineStr">
        <is>
          <t>iPhone</t>
        </is>
      </c>
      <c r="D3014" t="inlineStr">
        <is>
          <t>Personal</t>
        </is>
      </c>
      <c r="E3014" t="inlineStr">
        <is>
          <t>Personal</t>
        </is>
      </c>
      <c r="F3014" t="inlineStr">
        <is>
          <t>Lifestyle</t>
        </is>
      </c>
      <c r="G3014" t="inlineStr">
        <is>
          <t>Travel</t>
        </is>
      </c>
      <c r="H3014" t="inlineStr">
        <is>
          <t>Personal &gt; Lifestyle &gt; Quick Add &gt; Travel</t>
        </is>
      </c>
      <c r="I3014" s="18" t="n">
        <v>7069.2</v>
      </c>
      <c r="J3014" t="inlineStr">
        <is>
          <t>Created MTR-IOS-3013 and correlation note visible in Activity/Pulse</t>
        </is>
      </c>
      <c r="K3014" t="inlineStr">
        <is>
          <t>NOT_RUN</t>
        </is>
      </c>
      <c r="P3014" t="n">
        <v>0</v>
      </c>
      <c r="Q3014" t="n">
        <v>3013</v>
      </c>
    </row>
    <row r="3015">
      <c r="A3015" t="n">
        <v>3014</v>
      </c>
      <c r="B3015" t="inlineStr">
        <is>
          <t>MTR-IOS-3014</t>
        </is>
      </c>
      <c r="C3015" t="inlineStr">
        <is>
          <t>iPhone</t>
        </is>
      </c>
      <c r="D3015" t="inlineStr">
        <is>
          <t>Group</t>
        </is>
      </c>
      <c r="E3015" t="inlineStr">
        <is>
          <t>Shared Experience</t>
        </is>
      </c>
      <c r="F3015" t="inlineStr">
        <is>
          <t>Office Outing</t>
        </is>
      </c>
      <c r="G3015" t="inlineStr">
        <is>
          <t>Other</t>
        </is>
      </c>
      <c r="H3015" t="inlineStr">
        <is>
          <t>Group &gt; Office Outing &gt; Quick Add &gt; Other</t>
        </is>
      </c>
      <c r="I3015" s="18" t="n">
        <v>20067.63</v>
      </c>
      <c r="J3015" t="inlineStr">
        <is>
          <t>Created MTR-IOS-3014 and correlation note visible in Activity/Pulse</t>
        </is>
      </c>
      <c r="K3015" t="inlineStr">
        <is>
          <t>NOT_RUN</t>
        </is>
      </c>
      <c r="P3015" t="n">
        <v>0</v>
      </c>
      <c r="Q3015" t="n">
        <v>3014</v>
      </c>
    </row>
    <row r="3016">
      <c r="A3016" t="n">
        <v>3015</v>
      </c>
      <c r="B3016" t="inlineStr">
        <is>
          <t>MTR-IOS-3015</t>
        </is>
      </c>
      <c r="C3016" t="inlineStr">
        <is>
          <t>iPhone</t>
        </is>
      </c>
      <c r="D3016" t="inlineStr">
        <is>
          <t>Business</t>
        </is>
      </c>
      <c r="E3016" t="inlineStr">
        <is>
          <t>Business</t>
        </is>
      </c>
      <c r="F3016" t="inlineStr">
        <is>
          <t>Business Operations</t>
        </is>
      </c>
      <c r="G3016" t="inlineStr">
        <is>
          <t>Accounting</t>
        </is>
      </c>
      <c r="H3016" t="inlineStr">
        <is>
          <t>Business &gt; Business Operations &gt; Quick Add &gt; Accounting</t>
        </is>
      </c>
      <c r="I3016" s="18" t="n">
        <v>48960.24</v>
      </c>
      <c r="J3016" t="inlineStr">
        <is>
          <t>Created MTR-IOS-3015 and correlation note visible in Activity/Pulse</t>
        </is>
      </c>
      <c r="K3016" t="inlineStr">
        <is>
          <t>NOT_RUN</t>
        </is>
      </c>
      <c r="P3016" t="n">
        <v>0</v>
      </c>
      <c r="Q3016" t="n">
        <v>3015</v>
      </c>
    </row>
    <row r="3017">
      <c r="A3017" t="n">
        <v>3016</v>
      </c>
      <c r="B3017" t="inlineStr">
        <is>
          <t>MTR-IOS-3016</t>
        </is>
      </c>
      <c r="C3017" t="inlineStr">
        <is>
          <t>iPhone</t>
        </is>
      </c>
      <c r="D3017" t="inlineStr">
        <is>
          <t>Personal</t>
        </is>
      </c>
      <c r="E3017" t="inlineStr">
        <is>
          <t>Personal</t>
        </is>
      </c>
      <c r="F3017" t="inlineStr">
        <is>
          <t>Lifestyle</t>
        </is>
      </c>
      <c r="G3017" t="inlineStr">
        <is>
          <t>Fitness</t>
        </is>
      </c>
      <c r="H3017" t="inlineStr">
        <is>
          <t>Personal &gt; Lifestyle &gt; Quick Add &gt; Fitness</t>
        </is>
      </c>
      <c r="I3017" s="18" t="n">
        <v>6581.19</v>
      </c>
      <c r="J3017" t="inlineStr">
        <is>
          <t>Created MTR-IOS-3016 and correlation note visible in Activity/Pulse</t>
        </is>
      </c>
      <c r="K3017" t="inlineStr">
        <is>
          <t>NOT_RUN</t>
        </is>
      </c>
      <c r="P3017" t="n">
        <v>0</v>
      </c>
      <c r="Q3017" t="n">
        <v>3016</v>
      </c>
    </row>
    <row r="3018">
      <c r="A3018" t="n">
        <v>3017</v>
      </c>
      <c r="B3018" t="inlineStr">
        <is>
          <t>MTR-IOS-3017</t>
        </is>
      </c>
      <c r="C3018" t="inlineStr">
        <is>
          <t>iPhone</t>
        </is>
      </c>
      <c r="D3018" t="inlineStr">
        <is>
          <t>Group</t>
        </is>
      </c>
      <c r="E3018" t="inlineStr">
        <is>
          <t>Shared Experience</t>
        </is>
      </c>
      <c r="F3018" t="inlineStr">
        <is>
          <t>House Party</t>
        </is>
      </c>
      <c r="G3018" t="inlineStr">
        <is>
          <t>Food</t>
        </is>
      </c>
      <c r="H3018" t="inlineStr">
        <is>
          <t>Group &gt; House Party &gt; Quick Add &gt; Food</t>
        </is>
      </c>
      <c r="I3018" s="18" t="n">
        <v>19741.47</v>
      </c>
      <c r="J3018" t="inlineStr">
        <is>
          <t>Created MTR-IOS-3017 and correlation note visible in Activity/Pulse</t>
        </is>
      </c>
      <c r="K3018" t="inlineStr">
        <is>
          <t>NOT_RUN</t>
        </is>
      </c>
      <c r="P3018" t="n">
        <v>0</v>
      </c>
      <c r="Q3018" t="n">
        <v>3017</v>
      </c>
    </row>
    <row r="3019">
      <c r="A3019" t="n">
        <v>3018</v>
      </c>
      <c r="B3019" t="inlineStr">
        <is>
          <t>MTR-IOS-3018</t>
        </is>
      </c>
      <c r="C3019" t="inlineStr">
        <is>
          <t>iPhone</t>
        </is>
      </c>
      <c r="D3019" t="inlineStr">
        <is>
          <t>Business</t>
        </is>
      </c>
      <c r="E3019" t="inlineStr">
        <is>
          <t>Business</t>
        </is>
      </c>
      <c r="F3019" t="inlineStr">
        <is>
          <t>Business Operations</t>
        </is>
      </c>
      <c r="G3019" t="inlineStr">
        <is>
          <t>Equipment</t>
        </is>
      </c>
      <c r="H3019" t="inlineStr">
        <is>
          <t>Business &gt; Business Operations &gt; Quick Add &gt; Equipment</t>
        </is>
      </c>
      <c r="I3019" s="18" t="n">
        <v>110309.05</v>
      </c>
      <c r="J3019" t="inlineStr">
        <is>
          <t>Created MTR-IOS-3018 and correlation note visible in Activity/Pulse</t>
        </is>
      </c>
      <c r="K3019" t="inlineStr">
        <is>
          <t>NOT_RUN</t>
        </is>
      </c>
      <c r="P3019" t="n">
        <v>0</v>
      </c>
      <c r="Q3019" t="n">
        <v>3018</v>
      </c>
    </row>
    <row r="3020">
      <c r="A3020" t="n">
        <v>3019</v>
      </c>
      <c r="B3020" t="inlineStr">
        <is>
          <t>MTR-IOS-3019</t>
        </is>
      </c>
      <c r="C3020" t="inlineStr">
        <is>
          <t>iPhone</t>
        </is>
      </c>
      <c r="D3020" t="inlineStr">
        <is>
          <t>Personal</t>
        </is>
      </c>
      <c r="E3020" t="inlineStr">
        <is>
          <t>Personal</t>
        </is>
      </c>
      <c r="F3020" t="inlineStr">
        <is>
          <t>Lifestyle</t>
        </is>
      </c>
      <c r="G3020" t="inlineStr">
        <is>
          <t>Hobbies</t>
        </is>
      </c>
      <c r="H3020" t="inlineStr">
        <is>
          <t>Personal &gt; Lifestyle &gt; Quick Add &gt; Hobbies</t>
        </is>
      </c>
      <c r="I3020" s="18" t="n">
        <v>2218.85</v>
      </c>
      <c r="J3020" t="inlineStr">
        <is>
          <t>Created MTR-IOS-3019 and correlation note visible in Activity/Pulse</t>
        </is>
      </c>
      <c r="K3020" t="inlineStr">
        <is>
          <t>NOT_RUN</t>
        </is>
      </c>
      <c r="P3020" t="n">
        <v>0</v>
      </c>
      <c r="Q3020" t="n">
        <v>3019</v>
      </c>
    </row>
    <row r="3021">
      <c r="A3021" t="n">
        <v>3020</v>
      </c>
      <c r="B3021" t="inlineStr">
        <is>
          <t>MTR-IOS-3020</t>
        </is>
      </c>
      <c r="C3021" t="inlineStr">
        <is>
          <t>iPhone</t>
        </is>
      </c>
      <c r="D3021" t="inlineStr">
        <is>
          <t>Group</t>
        </is>
      </c>
      <c r="E3021" t="inlineStr">
        <is>
          <t>Shared Experience</t>
        </is>
      </c>
      <c r="F3021" t="inlineStr">
        <is>
          <t>House Party</t>
        </is>
      </c>
      <c r="G3021" t="inlineStr">
        <is>
          <t>Drinks</t>
        </is>
      </c>
      <c r="H3021" t="inlineStr">
        <is>
          <t>Group &gt; House Party &gt; Quick Add &gt; Drinks</t>
        </is>
      </c>
      <c r="I3021" s="18" t="n">
        <v>23200</v>
      </c>
      <c r="J3021" t="inlineStr">
        <is>
          <t>Created MTR-IOS-3020 and correlation note visible in Activity/Pulse</t>
        </is>
      </c>
      <c r="K3021" t="inlineStr">
        <is>
          <t>NOT_RUN</t>
        </is>
      </c>
      <c r="P3021" t="n">
        <v>0</v>
      </c>
      <c r="Q3021" t="n">
        <v>3020</v>
      </c>
    </row>
    <row r="3022">
      <c r="A3022" t="n">
        <v>3021</v>
      </c>
      <c r="B3022" t="inlineStr">
        <is>
          <t>MTR-IOS-3021</t>
        </is>
      </c>
      <c r="C3022" t="inlineStr">
        <is>
          <t>iPhone</t>
        </is>
      </c>
      <c r="D3022" t="inlineStr">
        <is>
          <t>Business</t>
        </is>
      </c>
      <c r="E3022" t="inlineStr">
        <is>
          <t>Business</t>
        </is>
      </c>
      <c r="F3022" t="inlineStr">
        <is>
          <t>Business Operations</t>
        </is>
      </c>
      <c r="G3022" t="inlineStr">
        <is>
          <t>Vendor</t>
        </is>
      </c>
      <c r="H3022" t="inlineStr">
        <is>
          <t>Business &gt; Business Operations &gt; Quick Add &gt; Vendor</t>
        </is>
      </c>
      <c r="I3022" s="18" t="n">
        <v>158228.45</v>
      </c>
      <c r="J3022" t="inlineStr">
        <is>
          <t>Created MTR-IOS-3021 and correlation note visible in Activity/Pulse</t>
        </is>
      </c>
      <c r="K3022" t="inlineStr">
        <is>
          <t>NOT_RUN</t>
        </is>
      </c>
      <c r="P3022" t="n">
        <v>0</v>
      </c>
      <c r="Q3022" t="n">
        <v>3021</v>
      </c>
    </row>
    <row r="3023">
      <c r="A3023" t="n">
        <v>3022</v>
      </c>
      <c r="B3023" t="inlineStr">
        <is>
          <t>MTR-IOS-3022</t>
        </is>
      </c>
      <c r="C3023" t="inlineStr">
        <is>
          <t>iPhone</t>
        </is>
      </c>
      <c r="D3023" t="inlineStr">
        <is>
          <t>Personal</t>
        </is>
      </c>
      <c r="E3023" t="inlineStr">
        <is>
          <t>Personal</t>
        </is>
      </c>
      <c r="F3023" t="inlineStr">
        <is>
          <t>Relationships</t>
        </is>
      </c>
      <c r="G3023" t="inlineStr">
        <is>
          <t>Gifts</t>
        </is>
      </c>
      <c r="H3023" t="inlineStr">
        <is>
          <t>Personal &gt; Relationships &gt; Quick Add &gt; Gifts</t>
        </is>
      </c>
      <c r="I3023" s="18" t="n">
        <v>6776.68</v>
      </c>
      <c r="J3023" t="inlineStr">
        <is>
          <t>Created MTR-IOS-3022 and correlation note visible in Activity/Pulse</t>
        </is>
      </c>
      <c r="K3023" t="inlineStr">
        <is>
          <t>NOT_RUN</t>
        </is>
      </c>
      <c r="P3023" t="n">
        <v>0</v>
      </c>
      <c r="Q3023" t="n">
        <v>3022</v>
      </c>
    </row>
    <row r="3024">
      <c r="A3024" t="n">
        <v>3023</v>
      </c>
      <c r="B3024" t="inlineStr">
        <is>
          <t>MTR-IOS-3023</t>
        </is>
      </c>
      <c r="C3024" t="inlineStr">
        <is>
          <t>iPhone</t>
        </is>
      </c>
      <c r="D3024" t="inlineStr">
        <is>
          <t>Group</t>
        </is>
      </c>
      <c r="E3024" t="inlineStr">
        <is>
          <t>Shared Experience</t>
        </is>
      </c>
      <c r="F3024" t="inlineStr">
        <is>
          <t>House Party</t>
        </is>
      </c>
      <c r="G3024" t="inlineStr">
        <is>
          <t>Decor</t>
        </is>
      </c>
      <c r="H3024" t="inlineStr">
        <is>
          <t>Group &gt; House Party &gt; Quick Add &gt; Decor</t>
        </is>
      </c>
      <c r="I3024" s="18" t="n">
        <v>12398.63</v>
      </c>
      <c r="J3024" t="inlineStr">
        <is>
          <t>Created MTR-IOS-3023 and correlation note visible in Activity/Pulse</t>
        </is>
      </c>
      <c r="K3024" t="inlineStr">
        <is>
          <t>NOT_RUN</t>
        </is>
      </c>
      <c r="P3024" t="n">
        <v>0</v>
      </c>
      <c r="Q3024" t="n">
        <v>3023</v>
      </c>
    </row>
    <row r="3025">
      <c r="A3025" t="n">
        <v>3024</v>
      </c>
      <c r="B3025" t="inlineStr">
        <is>
          <t>MTR-IOS-3024</t>
        </is>
      </c>
      <c r="C3025" t="inlineStr">
        <is>
          <t>iPhone</t>
        </is>
      </c>
      <c r="D3025" t="inlineStr">
        <is>
          <t>Business</t>
        </is>
      </c>
      <c r="E3025" t="inlineStr">
        <is>
          <t>Business</t>
        </is>
      </c>
      <c r="F3025" t="inlineStr">
        <is>
          <t>Business Operations</t>
        </is>
      </c>
      <c r="G3025" t="inlineStr">
        <is>
          <t>Tax</t>
        </is>
      </c>
      <c r="H3025" t="inlineStr">
        <is>
          <t>Business &gt; Business Operations &gt; Quick Add &gt; Tax</t>
        </is>
      </c>
      <c r="I3025" s="18" t="n">
        <v>92203.2</v>
      </c>
      <c r="J3025" t="inlineStr">
        <is>
          <t>Created MTR-IOS-3024 and correlation note visible in Activity/Pulse</t>
        </is>
      </c>
      <c r="K3025" t="inlineStr">
        <is>
          <t>NOT_RUN</t>
        </is>
      </c>
      <c r="P3025" t="n">
        <v>0</v>
      </c>
      <c r="Q3025" t="n">
        <v>3024</v>
      </c>
    </row>
    <row r="3026">
      <c r="A3026" t="n">
        <v>3025</v>
      </c>
      <c r="B3026" t="inlineStr">
        <is>
          <t>MTR-IOS-3025</t>
        </is>
      </c>
      <c r="C3026" t="inlineStr">
        <is>
          <t>iPhone</t>
        </is>
      </c>
      <c r="D3026" t="inlineStr">
        <is>
          <t>Personal</t>
        </is>
      </c>
      <c r="E3026" t="inlineStr">
        <is>
          <t>Personal</t>
        </is>
      </c>
      <c r="F3026" t="inlineStr">
        <is>
          <t>Relationships</t>
        </is>
      </c>
      <c r="G3026" t="inlineStr">
        <is>
          <t>Dates</t>
        </is>
      </c>
      <c r="H3026" t="inlineStr">
        <is>
          <t>Personal &gt; Relationships &gt; Quick Add &gt; Dates</t>
        </is>
      </c>
      <c r="I3026" s="18" t="n">
        <v>11967.89</v>
      </c>
      <c r="J3026" t="inlineStr">
        <is>
          <t>Created MTR-IOS-3025 and correlation note visible in Activity/Pulse</t>
        </is>
      </c>
      <c r="K3026" t="inlineStr">
        <is>
          <t>NOT_RUN</t>
        </is>
      </c>
      <c r="P3026" t="n">
        <v>0</v>
      </c>
      <c r="Q3026" t="n">
        <v>3025</v>
      </c>
    </row>
    <row r="3027">
      <c r="A3027" t="n">
        <v>3026</v>
      </c>
      <c r="B3027" t="inlineStr">
        <is>
          <t>MTR-IOS-3026</t>
        </is>
      </c>
      <c r="C3027" t="inlineStr">
        <is>
          <t>iPhone</t>
        </is>
      </c>
      <c r="D3027" t="inlineStr">
        <is>
          <t>Group</t>
        </is>
      </c>
      <c r="E3027" t="inlineStr">
        <is>
          <t>Shared Experience</t>
        </is>
      </c>
      <c r="F3027" t="inlineStr">
        <is>
          <t>House Party</t>
        </is>
      </c>
      <c r="G3027" t="inlineStr">
        <is>
          <t>Supplies</t>
        </is>
      </c>
      <c r="H3027" t="inlineStr">
        <is>
          <t>Group &gt; House Party &gt; Quick Add &gt; Supplies</t>
        </is>
      </c>
      <c r="I3027" s="18" t="n">
        <v>5125.02</v>
      </c>
      <c r="J3027" t="inlineStr">
        <is>
          <t>Created MTR-IOS-3026 and correlation note visible in Activity/Pulse</t>
        </is>
      </c>
      <c r="K3027" t="inlineStr">
        <is>
          <t>NOT_RUN</t>
        </is>
      </c>
      <c r="P3027" t="n">
        <v>0</v>
      </c>
      <c r="Q3027" t="n">
        <v>3026</v>
      </c>
    </row>
    <row r="3028">
      <c r="A3028" t="n">
        <v>3027</v>
      </c>
      <c r="B3028" t="inlineStr">
        <is>
          <t>MTR-IOS-3027</t>
        </is>
      </c>
      <c r="C3028" t="inlineStr">
        <is>
          <t>iPhone</t>
        </is>
      </c>
      <c r="D3028" t="inlineStr">
        <is>
          <t>Business</t>
        </is>
      </c>
      <c r="E3028" t="inlineStr">
        <is>
          <t>Business</t>
        </is>
      </c>
      <c r="F3028" t="inlineStr">
        <is>
          <t>Team Operations</t>
        </is>
      </c>
      <c r="G3028" t="inlineStr">
        <is>
          <t>Payroll</t>
        </is>
      </c>
      <c r="H3028" t="inlineStr">
        <is>
          <t>Business &gt; Team Operations &gt; Quick Add &gt; Payroll</t>
        </is>
      </c>
      <c r="I3028" s="18" t="n">
        <v>151618.36</v>
      </c>
      <c r="J3028" t="inlineStr">
        <is>
          <t>Created MTR-IOS-3027 and correlation note visible in Activity/Pulse</t>
        </is>
      </c>
      <c r="K3028" t="inlineStr">
        <is>
          <t>NOT_RUN</t>
        </is>
      </c>
      <c r="P3028" t="n">
        <v>0</v>
      </c>
      <c r="Q3028" t="n">
        <v>3027</v>
      </c>
    </row>
    <row r="3029">
      <c r="A3029" t="n">
        <v>3028</v>
      </c>
      <c r="B3029" t="inlineStr">
        <is>
          <t>MTR-IOS-3028</t>
        </is>
      </c>
      <c r="C3029" t="inlineStr">
        <is>
          <t>iPhone</t>
        </is>
      </c>
      <c r="D3029" t="inlineStr">
        <is>
          <t>Personal</t>
        </is>
      </c>
      <c r="E3029" t="inlineStr">
        <is>
          <t>Personal</t>
        </is>
      </c>
      <c r="F3029" t="inlineStr">
        <is>
          <t>Relationships</t>
        </is>
      </c>
      <c r="G3029" t="inlineStr">
        <is>
          <t>Family</t>
        </is>
      </c>
      <c r="H3029" t="inlineStr">
        <is>
          <t>Personal &gt; Relationships &gt; Quick Add &gt; Family</t>
        </is>
      </c>
      <c r="I3029" s="18" t="n">
        <v>2865.98</v>
      </c>
      <c r="J3029" t="inlineStr">
        <is>
          <t>Created MTR-IOS-3028 and correlation note visible in Activity/Pulse</t>
        </is>
      </c>
      <c r="K3029" t="inlineStr">
        <is>
          <t>NOT_RUN</t>
        </is>
      </c>
      <c r="P3029" t="n">
        <v>0</v>
      </c>
      <c r="Q3029" t="n">
        <v>3028</v>
      </c>
    </row>
    <row r="3030">
      <c r="A3030" t="n">
        <v>3029</v>
      </c>
      <c r="B3030" t="inlineStr">
        <is>
          <t>MTR-IOS-3029</t>
        </is>
      </c>
      <c r="C3030" t="inlineStr">
        <is>
          <t>iPhone</t>
        </is>
      </c>
      <c r="D3030" t="inlineStr">
        <is>
          <t>Group</t>
        </is>
      </c>
      <c r="E3030" t="inlineStr">
        <is>
          <t>Shared Experience</t>
        </is>
      </c>
      <c r="F3030" t="inlineStr">
        <is>
          <t>House Party</t>
        </is>
      </c>
      <c r="G3030" t="inlineStr">
        <is>
          <t>Other</t>
        </is>
      </c>
      <c r="H3030" t="inlineStr">
        <is>
          <t>Group &gt; House Party &gt; Quick Add &gt; Other</t>
        </is>
      </c>
      <c r="I3030" s="18" t="n">
        <v>26136.19</v>
      </c>
      <c r="J3030" t="inlineStr">
        <is>
          <t>Created MTR-IOS-3029 and correlation note visible in Activity/Pulse</t>
        </is>
      </c>
      <c r="K3030" t="inlineStr">
        <is>
          <t>NOT_RUN</t>
        </is>
      </c>
      <c r="P3030" t="n">
        <v>0</v>
      </c>
      <c r="Q3030" t="n">
        <v>3029</v>
      </c>
    </row>
    <row r="3031">
      <c r="A3031" t="n">
        <v>3030</v>
      </c>
      <c r="B3031" t="inlineStr">
        <is>
          <t>MTR-IOS-3030</t>
        </is>
      </c>
      <c r="C3031" t="inlineStr">
        <is>
          <t>iPhone</t>
        </is>
      </c>
      <c r="D3031" t="inlineStr">
        <is>
          <t>Business</t>
        </is>
      </c>
      <c r="E3031" t="inlineStr">
        <is>
          <t>Business</t>
        </is>
      </c>
      <c r="F3031" t="inlineStr">
        <is>
          <t>Team Operations</t>
        </is>
      </c>
      <c r="G3031" t="inlineStr">
        <is>
          <t>Contractor</t>
        </is>
      </c>
      <c r="H3031" t="inlineStr">
        <is>
          <t>Business &gt; Team Operations &gt; Quick Add &gt; Contractor</t>
        </is>
      </c>
      <c r="I3031" s="18" t="n">
        <v>18107.7</v>
      </c>
      <c r="J3031" t="inlineStr">
        <is>
          <t>Created MTR-IOS-3030 and correlation note visible in Activity/Pulse</t>
        </is>
      </c>
      <c r="K3031" t="inlineStr">
        <is>
          <t>NOT_RUN</t>
        </is>
      </c>
      <c r="P3031" t="n">
        <v>0</v>
      </c>
      <c r="Q3031" t="n">
        <v>3030</v>
      </c>
    </row>
    <row r="3032">
      <c r="A3032" t="n">
        <v>3031</v>
      </c>
      <c r="B3032" t="inlineStr">
        <is>
          <t>MTR-IOS-3031</t>
        </is>
      </c>
      <c r="C3032" t="inlineStr">
        <is>
          <t>iPhone</t>
        </is>
      </c>
      <c r="D3032" t="inlineStr">
        <is>
          <t>Personal</t>
        </is>
      </c>
      <c r="E3032" t="inlineStr">
        <is>
          <t>Personal</t>
        </is>
      </c>
      <c r="F3032" t="inlineStr">
        <is>
          <t>Relationships</t>
        </is>
      </c>
      <c r="G3032" t="inlineStr">
        <is>
          <t>Friends</t>
        </is>
      </c>
      <c r="H3032" t="inlineStr">
        <is>
          <t>Personal &gt; Relationships &gt; Quick Add &gt; Friends</t>
        </is>
      </c>
      <c r="I3032" s="18" t="n">
        <v>6464.99</v>
      </c>
      <c r="J3032" t="inlineStr">
        <is>
          <t>Created MTR-IOS-3031 and correlation note visible in Activity/Pulse</t>
        </is>
      </c>
      <c r="K3032" t="inlineStr">
        <is>
          <t>NOT_RUN</t>
        </is>
      </c>
      <c r="P3032" t="n">
        <v>0</v>
      </c>
      <c r="Q3032" t="n">
        <v>3031</v>
      </c>
    </row>
    <row r="3033">
      <c r="A3033" t="n">
        <v>3032</v>
      </c>
      <c r="B3033" t="inlineStr">
        <is>
          <t>MTR-IOS-3032</t>
        </is>
      </c>
      <c r="C3033" t="inlineStr">
        <is>
          <t>iPhone</t>
        </is>
      </c>
      <c r="D3033" t="inlineStr">
        <is>
          <t>Group</t>
        </is>
      </c>
      <c r="E3033" t="inlineStr">
        <is>
          <t>Shared Purchase</t>
        </is>
      </c>
      <c r="F3033" t="inlineStr">
        <is>
          <t>Gift Pool</t>
        </is>
      </c>
      <c r="G3033" t="inlineStr">
        <is>
          <t>Contribution</t>
        </is>
      </c>
      <c r="H3033" t="inlineStr">
        <is>
          <t>Group &gt; Gift Pool &gt; Quick Add &gt; Contribution</t>
        </is>
      </c>
      <c r="I3033" s="18" t="n">
        <v>17663.31</v>
      </c>
      <c r="J3033" t="inlineStr">
        <is>
          <t>Created MTR-IOS-3032 and correlation note visible in Activity/Pulse</t>
        </is>
      </c>
      <c r="K3033" t="inlineStr">
        <is>
          <t>NOT_RUN</t>
        </is>
      </c>
      <c r="P3033" t="n">
        <v>0</v>
      </c>
      <c r="Q3033" t="n">
        <v>3032</v>
      </c>
    </row>
    <row r="3034">
      <c r="A3034" t="n">
        <v>3033</v>
      </c>
      <c r="B3034" t="inlineStr">
        <is>
          <t>MTR-IOS-3033</t>
        </is>
      </c>
      <c r="C3034" t="inlineStr">
        <is>
          <t>iPhone</t>
        </is>
      </c>
      <c r="D3034" t="inlineStr">
        <is>
          <t>Business</t>
        </is>
      </c>
      <c r="E3034" t="inlineStr">
        <is>
          <t>Business</t>
        </is>
      </c>
      <c r="F3034" t="inlineStr">
        <is>
          <t>Team Operations</t>
        </is>
      </c>
      <c r="G3034" t="inlineStr">
        <is>
          <t>Hiring</t>
        </is>
      </c>
      <c r="H3034" t="inlineStr">
        <is>
          <t>Business &gt; Team Operations &gt; Quick Add &gt; Hiring</t>
        </is>
      </c>
      <c r="I3034" s="18" t="n">
        <v>142445.52</v>
      </c>
      <c r="J3034" t="inlineStr">
        <is>
          <t>Created MTR-IOS-3033 and correlation note visible in Activity/Pulse</t>
        </is>
      </c>
      <c r="K3034" t="inlineStr">
        <is>
          <t>NOT_RUN</t>
        </is>
      </c>
      <c r="P3034" t="n">
        <v>0</v>
      </c>
      <c r="Q3034" t="n">
        <v>3033</v>
      </c>
    </row>
    <row r="3035">
      <c r="A3035" t="n">
        <v>3034</v>
      </c>
      <c r="B3035" t="inlineStr">
        <is>
          <t>MTR-IOS-3034</t>
        </is>
      </c>
      <c r="C3035" t="inlineStr">
        <is>
          <t>iPhone</t>
        </is>
      </c>
      <c r="D3035" t="inlineStr">
        <is>
          <t>Personal</t>
        </is>
      </c>
      <c r="E3035" t="inlineStr">
        <is>
          <t>Personal</t>
        </is>
      </c>
      <c r="F3035" t="inlineStr">
        <is>
          <t>Relationships</t>
        </is>
      </c>
      <c r="G3035" t="inlineStr">
        <is>
          <t>Celebrations</t>
        </is>
      </c>
      <c r="H3035" t="inlineStr">
        <is>
          <t>Personal &gt; Relationships &gt; Quick Add &gt; Celebrations</t>
        </is>
      </c>
      <c r="I3035" s="18" t="n">
        <v>999.99</v>
      </c>
      <c r="J3035" t="inlineStr">
        <is>
          <t>Created MTR-IOS-3034 and correlation note visible in Activity/Pulse</t>
        </is>
      </c>
      <c r="K3035" t="inlineStr">
        <is>
          <t>NOT_RUN</t>
        </is>
      </c>
      <c r="P3035" t="n">
        <v>0</v>
      </c>
      <c r="Q3035" t="n">
        <v>3034</v>
      </c>
    </row>
    <row r="3036">
      <c r="A3036" t="n">
        <v>3035</v>
      </c>
      <c r="B3036" t="inlineStr">
        <is>
          <t>MTR-IOS-3035</t>
        </is>
      </c>
      <c r="C3036" t="inlineStr">
        <is>
          <t>iPhone</t>
        </is>
      </c>
      <c r="D3036" t="inlineStr">
        <is>
          <t>Group</t>
        </is>
      </c>
      <c r="E3036" t="inlineStr">
        <is>
          <t>Shared Purchase</t>
        </is>
      </c>
      <c r="F3036" t="inlineStr">
        <is>
          <t>Gift Pool</t>
        </is>
      </c>
      <c r="G3036" t="inlineStr">
        <is>
          <t>Gift Purchase</t>
        </is>
      </c>
      <c r="H3036" t="inlineStr">
        <is>
          <t>Group &gt; Gift Pool &gt; Quick Add &gt; Gift Purchase</t>
        </is>
      </c>
      <c r="I3036" s="18" t="n">
        <v>11280.85</v>
      </c>
      <c r="J3036" t="inlineStr">
        <is>
          <t>Created MTR-IOS-3035 and correlation note visible in Activity/Pulse</t>
        </is>
      </c>
      <c r="K3036" t="inlineStr">
        <is>
          <t>NOT_RUN</t>
        </is>
      </c>
      <c r="P3036" t="n">
        <v>0</v>
      </c>
      <c r="Q3036" t="n">
        <v>3035</v>
      </c>
    </row>
    <row r="3037">
      <c r="A3037" t="n">
        <v>3036</v>
      </c>
      <c r="B3037" t="inlineStr">
        <is>
          <t>MTR-IOS-3036</t>
        </is>
      </c>
      <c r="C3037" t="inlineStr">
        <is>
          <t>iPhone</t>
        </is>
      </c>
      <c r="D3037" t="inlineStr">
        <is>
          <t>Business</t>
        </is>
      </c>
      <c r="E3037" t="inlineStr">
        <is>
          <t>Business</t>
        </is>
      </c>
      <c r="F3037" t="inlineStr">
        <is>
          <t>Team Operations</t>
        </is>
      </c>
      <c r="G3037" t="inlineStr">
        <is>
          <t>Team Meal</t>
        </is>
      </c>
      <c r="H3037" t="inlineStr">
        <is>
          <t>Business &gt; Team Operations &gt; Quick Add &gt; Team Meal</t>
        </is>
      </c>
      <c r="I3037" s="18" t="n">
        <v>108481.96</v>
      </c>
      <c r="J3037" t="inlineStr">
        <is>
          <t>Created MTR-IOS-3036 and correlation note visible in Activity/Pulse</t>
        </is>
      </c>
      <c r="K3037" t="inlineStr">
        <is>
          <t>NOT_RUN</t>
        </is>
      </c>
      <c r="P3037" t="n">
        <v>0</v>
      </c>
      <c r="Q3037" t="n">
        <v>3036</v>
      </c>
    </row>
    <row r="3038">
      <c r="A3038" t="n">
        <v>3037</v>
      </c>
      <c r="B3038" t="inlineStr">
        <is>
          <t>MTR-IOS-3037</t>
        </is>
      </c>
      <c r="C3038" t="inlineStr">
        <is>
          <t>iPhone</t>
        </is>
      </c>
      <c r="D3038" t="inlineStr">
        <is>
          <t>Personal</t>
        </is>
      </c>
      <c r="E3038" t="inlineStr">
        <is>
          <t>Personal</t>
        </is>
      </c>
      <c r="F3038" t="inlineStr">
        <is>
          <t>Life Operations</t>
        </is>
      </c>
      <c r="G3038" t="inlineStr">
        <is>
          <t>Groceries</t>
        </is>
      </c>
      <c r="H3038" t="inlineStr">
        <is>
          <t>Personal &gt; Life Operations &gt; Quick Add &gt; Groceries</t>
        </is>
      </c>
      <c r="I3038" s="18" t="n">
        <v>10736.65</v>
      </c>
      <c r="J3038" t="inlineStr">
        <is>
          <t>Created MTR-IOS-3037 and correlation note visible in Activity/Pulse</t>
        </is>
      </c>
      <c r="K3038" t="inlineStr">
        <is>
          <t>NOT_RUN</t>
        </is>
      </c>
      <c r="P3038" t="n">
        <v>0</v>
      </c>
      <c r="Q3038" t="n">
        <v>3037</v>
      </c>
    </row>
    <row r="3039">
      <c r="A3039" t="n">
        <v>3038</v>
      </c>
      <c r="B3039" t="inlineStr">
        <is>
          <t>MTR-IOS-3038</t>
        </is>
      </c>
      <c r="C3039" t="inlineStr">
        <is>
          <t>iPhone</t>
        </is>
      </c>
      <c r="D3039" t="inlineStr">
        <is>
          <t>Group</t>
        </is>
      </c>
      <c r="E3039" t="inlineStr">
        <is>
          <t>Shared Purchase</t>
        </is>
      </c>
      <c r="F3039" t="inlineStr">
        <is>
          <t>Gift Pool</t>
        </is>
      </c>
      <c r="G3039" t="inlineStr">
        <is>
          <t>Delivery</t>
        </is>
      </c>
      <c r="H3039" t="inlineStr">
        <is>
          <t>Group &gt; Gift Pool &gt; Quick Add &gt; Delivery</t>
        </is>
      </c>
      <c r="I3039" s="18" t="n">
        <v>8028.92</v>
      </c>
      <c r="J3039" t="inlineStr">
        <is>
          <t>Created MTR-IOS-3038 and correlation note visible in Activity/Pulse</t>
        </is>
      </c>
      <c r="K3039" t="inlineStr">
        <is>
          <t>NOT_RUN</t>
        </is>
      </c>
      <c r="P3039" t="n">
        <v>0</v>
      </c>
      <c r="Q3039" t="n">
        <v>3038</v>
      </c>
    </row>
    <row r="3040">
      <c r="A3040" t="n">
        <v>3039</v>
      </c>
      <c r="B3040" t="inlineStr">
        <is>
          <t>MTR-IOS-3039</t>
        </is>
      </c>
      <c r="C3040" t="inlineStr">
        <is>
          <t>iPhone</t>
        </is>
      </c>
      <c r="D3040" t="inlineStr">
        <is>
          <t>Business</t>
        </is>
      </c>
      <c r="E3040" t="inlineStr">
        <is>
          <t>Business</t>
        </is>
      </c>
      <c r="F3040" t="inlineStr">
        <is>
          <t>Team Operations</t>
        </is>
      </c>
      <c r="G3040" t="inlineStr">
        <is>
          <t>Travel</t>
        </is>
      </c>
      <c r="H3040" t="inlineStr">
        <is>
          <t>Business &gt; Team Operations &gt; Quick Add &gt; Travel</t>
        </is>
      </c>
      <c r="I3040" s="18" t="n">
        <v>11921.92</v>
      </c>
      <c r="J3040" t="inlineStr">
        <is>
          <t>Created MTR-IOS-3039 and correlation note visible in Activity/Pulse</t>
        </is>
      </c>
      <c r="K3040" t="inlineStr">
        <is>
          <t>NOT_RUN</t>
        </is>
      </c>
      <c r="P3040" t="n">
        <v>0</v>
      </c>
      <c r="Q3040" t="n">
        <v>3039</v>
      </c>
    </row>
    <row r="3041">
      <c r="A3041" t="n">
        <v>3040</v>
      </c>
      <c r="B3041" t="inlineStr">
        <is>
          <t>MTR-IOS-3040</t>
        </is>
      </c>
      <c r="C3041" t="inlineStr">
        <is>
          <t>iPhone</t>
        </is>
      </c>
      <c r="D3041" t="inlineStr">
        <is>
          <t>Personal</t>
        </is>
      </c>
      <c r="E3041" t="inlineStr">
        <is>
          <t>Personal</t>
        </is>
      </c>
      <c r="F3041" t="inlineStr">
        <is>
          <t>Life Operations</t>
        </is>
      </c>
      <c r="G3041" t="inlineStr">
        <is>
          <t>Rent</t>
        </is>
      </c>
      <c r="H3041" t="inlineStr">
        <is>
          <t>Personal &gt; Life Operations &gt; Quick Add &gt; Rent</t>
        </is>
      </c>
      <c r="I3041" s="18" t="n">
        <v>11839.99</v>
      </c>
      <c r="J3041" t="inlineStr">
        <is>
          <t>Created MTR-IOS-3040 and correlation note visible in Activity/Pulse</t>
        </is>
      </c>
      <c r="K3041" t="inlineStr">
        <is>
          <t>NOT_RUN</t>
        </is>
      </c>
      <c r="P3041" t="n">
        <v>0</v>
      </c>
      <c r="Q3041" t="n">
        <v>3040</v>
      </c>
    </row>
    <row r="3042">
      <c r="A3042" t="n">
        <v>3041</v>
      </c>
      <c r="B3042" t="inlineStr">
        <is>
          <t>MTR-IOS-3041</t>
        </is>
      </c>
      <c r="C3042" t="inlineStr">
        <is>
          <t>iPhone</t>
        </is>
      </c>
      <c r="D3042" t="inlineStr">
        <is>
          <t>Group</t>
        </is>
      </c>
      <c r="E3042" t="inlineStr">
        <is>
          <t>Shared Purchase</t>
        </is>
      </c>
      <c r="F3042" t="inlineStr">
        <is>
          <t>Gift Pool</t>
        </is>
      </c>
      <c r="G3042" t="inlineStr">
        <is>
          <t>Other</t>
        </is>
      </c>
      <c r="H3042" t="inlineStr">
        <is>
          <t>Group &gt; Gift Pool &gt; Quick Add &gt; Other</t>
        </is>
      </c>
      <c r="I3042" s="18" t="n">
        <v>24835.47</v>
      </c>
      <c r="J3042" t="inlineStr">
        <is>
          <t>Created MTR-IOS-3041 and correlation note visible in Activity/Pulse</t>
        </is>
      </c>
      <c r="K3042" t="inlineStr">
        <is>
          <t>NOT_RUN</t>
        </is>
      </c>
      <c r="P3042" t="n">
        <v>0</v>
      </c>
      <c r="Q3042" t="n">
        <v>3041</v>
      </c>
    </row>
    <row r="3043">
      <c r="A3043" t="n">
        <v>3042</v>
      </c>
      <c r="B3043" t="inlineStr">
        <is>
          <t>MTR-IOS-3042</t>
        </is>
      </c>
      <c r="C3043" t="inlineStr">
        <is>
          <t>iPhone</t>
        </is>
      </c>
      <c r="D3043" t="inlineStr">
        <is>
          <t>Business</t>
        </is>
      </c>
      <c r="E3043" t="inlineStr">
        <is>
          <t>Business</t>
        </is>
      </c>
      <c r="F3043" t="inlineStr">
        <is>
          <t>Team Operations</t>
        </is>
      </c>
      <c r="G3043" t="inlineStr">
        <is>
          <t>Training</t>
        </is>
      </c>
      <c r="H3043" t="inlineStr">
        <is>
          <t>Business &gt; Team Operations &gt; Quick Add &gt; Training</t>
        </is>
      </c>
      <c r="I3043" s="18" t="n">
        <v>15230.05</v>
      </c>
      <c r="J3043" t="inlineStr">
        <is>
          <t>Created MTR-IOS-3042 and correlation note visible in Activity/Pulse</t>
        </is>
      </c>
      <c r="K3043" t="inlineStr">
        <is>
          <t>NOT_RUN</t>
        </is>
      </c>
      <c r="P3043" t="n">
        <v>0</v>
      </c>
      <c r="Q3043" t="n">
        <v>3042</v>
      </c>
    </row>
    <row r="3044">
      <c r="A3044" t="n">
        <v>3043</v>
      </c>
      <c r="B3044" t="inlineStr">
        <is>
          <t>MTR-IOS-3043</t>
        </is>
      </c>
      <c r="C3044" t="inlineStr">
        <is>
          <t>iPhone</t>
        </is>
      </c>
      <c r="D3044" t="inlineStr">
        <is>
          <t>Personal</t>
        </is>
      </c>
      <c r="E3044" t="inlineStr">
        <is>
          <t>Personal</t>
        </is>
      </c>
      <c r="F3044" t="inlineStr">
        <is>
          <t>Life Operations</t>
        </is>
      </c>
      <c r="G3044" t="inlineStr">
        <is>
          <t>Bills</t>
        </is>
      </c>
      <c r="H3044" t="inlineStr">
        <is>
          <t>Personal &gt; Life Operations &gt; Quick Add &gt; Bills</t>
        </is>
      </c>
      <c r="I3044" s="18" t="n">
        <v>9481.309999999999</v>
      </c>
      <c r="J3044" t="inlineStr">
        <is>
          <t>Created MTR-IOS-3043 and correlation note visible in Activity/Pulse</t>
        </is>
      </c>
      <c r="K3044" t="inlineStr">
        <is>
          <t>NOT_RUN</t>
        </is>
      </c>
      <c r="P3044" t="n">
        <v>0</v>
      </c>
      <c r="Q3044" t="n">
        <v>3043</v>
      </c>
    </row>
    <row r="3045">
      <c r="A3045" t="n">
        <v>3044</v>
      </c>
      <c r="B3045" t="inlineStr">
        <is>
          <t>MTR-IOS-3044</t>
        </is>
      </c>
      <c r="C3045" t="inlineStr">
        <is>
          <t>iPhone</t>
        </is>
      </c>
      <c r="D3045" t="inlineStr">
        <is>
          <t>Group</t>
        </is>
      </c>
      <c r="E3045" t="inlineStr">
        <is>
          <t>Shared Purchase</t>
        </is>
      </c>
      <c r="F3045" t="inlineStr">
        <is>
          <t>Purchase</t>
        </is>
      </c>
      <c r="G3045" t="inlineStr">
        <is>
          <t>Item</t>
        </is>
      </c>
      <c r="H3045" t="inlineStr">
        <is>
          <t>Group &gt; Purchase &gt; Quick Add &gt; Item</t>
        </is>
      </c>
      <c r="I3045" s="18" t="n">
        <v>20407.15</v>
      </c>
      <c r="J3045" t="inlineStr">
        <is>
          <t>Created MTR-IOS-3044 and correlation note visible in Activity/Pulse</t>
        </is>
      </c>
      <c r="K3045" t="inlineStr">
        <is>
          <t>NOT_RUN</t>
        </is>
      </c>
      <c r="P3045" t="n">
        <v>0</v>
      </c>
      <c r="Q3045" t="n">
        <v>3044</v>
      </c>
    </row>
    <row r="3046">
      <c r="A3046" t="n">
        <v>3045</v>
      </c>
      <c r="B3046" t="inlineStr">
        <is>
          <t>MTR-IOS-3045</t>
        </is>
      </c>
      <c r="C3046" t="inlineStr">
        <is>
          <t>iPhone</t>
        </is>
      </c>
      <c r="D3046" t="inlineStr">
        <is>
          <t>Business</t>
        </is>
      </c>
      <c r="E3046" t="inlineStr">
        <is>
          <t>Business</t>
        </is>
      </c>
      <c r="F3046" t="inlineStr">
        <is>
          <t>Team Operations</t>
        </is>
      </c>
      <c r="G3046" t="inlineStr">
        <is>
          <t>Tools</t>
        </is>
      </c>
      <c r="H3046" t="inlineStr">
        <is>
          <t>Business &gt; Team Operations &gt; Quick Add &gt; Tools</t>
        </is>
      </c>
      <c r="I3046" s="18" t="n">
        <v>90822.49000000001</v>
      </c>
      <c r="J3046" t="inlineStr">
        <is>
          <t>Created MTR-IOS-3045 and correlation note visible in Activity/Pulse</t>
        </is>
      </c>
      <c r="K3046" t="inlineStr">
        <is>
          <t>NOT_RUN</t>
        </is>
      </c>
      <c r="P3046" t="n">
        <v>0</v>
      </c>
      <c r="Q3046" t="n">
        <v>3045</v>
      </c>
    </row>
    <row r="3047">
      <c r="A3047" t="n">
        <v>3046</v>
      </c>
      <c r="B3047" t="inlineStr">
        <is>
          <t>MTR-IOS-3046</t>
        </is>
      </c>
      <c r="C3047" t="inlineStr">
        <is>
          <t>iPhone</t>
        </is>
      </c>
      <c r="D3047" t="inlineStr">
        <is>
          <t>Personal</t>
        </is>
      </c>
      <c r="E3047" t="inlineStr">
        <is>
          <t>Personal</t>
        </is>
      </c>
      <c r="F3047" t="inlineStr">
        <is>
          <t>Life Operations</t>
        </is>
      </c>
      <c r="G3047" t="inlineStr">
        <is>
          <t>Transport</t>
        </is>
      </c>
      <c r="H3047" t="inlineStr">
        <is>
          <t>Personal &gt; Life Operations &gt; Quick Add &gt; Transport</t>
        </is>
      </c>
      <c r="I3047" s="18" t="n">
        <v>7209.02</v>
      </c>
      <c r="J3047" t="inlineStr">
        <is>
          <t>Created MTR-IOS-3046 and correlation note visible in Activity/Pulse</t>
        </is>
      </c>
      <c r="K3047" t="inlineStr">
        <is>
          <t>NOT_RUN</t>
        </is>
      </c>
      <c r="P3047" t="n">
        <v>0</v>
      </c>
      <c r="Q3047" t="n">
        <v>3046</v>
      </c>
    </row>
    <row r="3048">
      <c r="A3048" t="n">
        <v>3047</v>
      </c>
      <c r="B3048" t="inlineStr">
        <is>
          <t>MTR-IOS-3047</t>
        </is>
      </c>
      <c r="C3048" t="inlineStr">
        <is>
          <t>iPhone</t>
        </is>
      </c>
      <c r="D3048" t="inlineStr">
        <is>
          <t>Group</t>
        </is>
      </c>
      <c r="E3048" t="inlineStr">
        <is>
          <t>Shared Purchase</t>
        </is>
      </c>
      <c r="F3048" t="inlineStr">
        <is>
          <t>Purchase</t>
        </is>
      </c>
      <c r="G3048" t="inlineStr">
        <is>
          <t>Shipping</t>
        </is>
      </c>
      <c r="H3048" t="inlineStr">
        <is>
          <t>Group &gt; Purchase &gt; Quick Add &gt; Shipping</t>
        </is>
      </c>
      <c r="I3048" s="18" t="n">
        <v>9106.280000000001</v>
      </c>
      <c r="J3048" t="inlineStr">
        <is>
          <t>Created MTR-IOS-3047 and correlation note visible in Activity/Pulse</t>
        </is>
      </c>
      <c r="K3048" t="inlineStr">
        <is>
          <t>NOT_RUN</t>
        </is>
      </c>
      <c r="P3048" t="n">
        <v>0</v>
      </c>
      <c r="Q3048" t="n">
        <v>3047</v>
      </c>
    </row>
    <row r="3049">
      <c r="A3049" t="n">
        <v>3048</v>
      </c>
      <c r="B3049" t="inlineStr">
        <is>
          <t>MTR-IOS-3048</t>
        </is>
      </c>
      <c r="C3049" t="inlineStr">
        <is>
          <t>iPhone</t>
        </is>
      </c>
      <c r="D3049" t="inlineStr">
        <is>
          <t>Business</t>
        </is>
      </c>
      <c r="E3049" t="inlineStr">
        <is>
          <t>Business</t>
        </is>
      </c>
      <c r="F3049" t="inlineStr">
        <is>
          <t>Business Runway</t>
        </is>
      </c>
      <c r="G3049" t="inlineStr">
        <is>
          <t>Funding</t>
        </is>
      </c>
      <c r="H3049" t="inlineStr">
        <is>
          <t>Business &gt; Business Runway &gt; Quick Add &gt; Funding</t>
        </is>
      </c>
      <c r="I3049" s="18" t="n">
        <v>32799.01</v>
      </c>
      <c r="J3049" t="inlineStr">
        <is>
          <t>Created MTR-IOS-3048 and correlation note visible in Activity/Pulse</t>
        </is>
      </c>
      <c r="K3049" t="inlineStr">
        <is>
          <t>NOT_RUN</t>
        </is>
      </c>
      <c r="P3049" t="n">
        <v>0</v>
      </c>
      <c r="Q3049" t="n">
        <v>3048</v>
      </c>
    </row>
    <row r="3050">
      <c r="A3050" t="n">
        <v>3049</v>
      </c>
      <c r="B3050" t="inlineStr">
        <is>
          <t>MTR-IOS-3049</t>
        </is>
      </c>
      <c r="C3050" t="inlineStr">
        <is>
          <t>iPhone</t>
        </is>
      </c>
      <c r="D3050" t="inlineStr">
        <is>
          <t>Personal</t>
        </is>
      </c>
      <c r="E3050" t="inlineStr">
        <is>
          <t>Personal</t>
        </is>
      </c>
      <c r="F3050" t="inlineStr">
        <is>
          <t>Life Operations</t>
        </is>
      </c>
      <c r="G3050" t="inlineStr">
        <is>
          <t>Healthcare</t>
        </is>
      </c>
      <c r="H3050" t="inlineStr">
        <is>
          <t>Personal &gt; Life Operations &gt; Quick Add &gt; Healthcare</t>
        </is>
      </c>
      <c r="I3050" s="18" t="n">
        <v>13607.44</v>
      </c>
      <c r="J3050" t="inlineStr">
        <is>
          <t>Created MTR-IOS-3049 and correlation note visible in Activity/Pulse</t>
        </is>
      </c>
      <c r="K3050" t="inlineStr">
        <is>
          <t>NOT_RUN</t>
        </is>
      </c>
      <c r="P3050" t="n">
        <v>0</v>
      </c>
      <c r="Q3050" t="n">
        <v>3049</v>
      </c>
    </row>
    <row r="3051">
      <c r="A3051" t="n">
        <v>3050</v>
      </c>
      <c r="B3051" t="inlineStr">
        <is>
          <t>MTR-IOS-3050</t>
        </is>
      </c>
      <c r="C3051" t="inlineStr">
        <is>
          <t>iPhone</t>
        </is>
      </c>
      <c r="D3051" t="inlineStr">
        <is>
          <t>Group</t>
        </is>
      </c>
      <c r="E3051" t="inlineStr">
        <is>
          <t>Shared Purchase</t>
        </is>
      </c>
      <c r="F3051" t="inlineStr">
        <is>
          <t>Purchase</t>
        </is>
      </c>
      <c r="G3051" t="inlineStr">
        <is>
          <t>Tax</t>
        </is>
      </c>
      <c r="H3051" t="inlineStr">
        <is>
          <t>Group &gt; Purchase &gt; Quick Add &gt; Tax</t>
        </is>
      </c>
      <c r="I3051" s="18" t="n">
        <v>13057.16</v>
      </c>
      <c r="J3051" t="inlineStr">
        <is>
          <t>Created MTR-IOS-3050 and correlation note visible in Activity/Pulse</t>
        </is>
      </c>
      <c r="K3051" t="inlineStr">
        <is>
          <t>NOT_RUN</t>
        </is>
      </c>
      <c r="P3051" t="n">
        <v>0</v>
      </c>
      <c r="Q3051" t="n">
        <v>3050</v>
      </c>
    </row>
    <row r="3052">
      <c r="A3052" t="n">
        <v>3051</v>
      </c>
      <c r="B3052" t="inlineStr">
        <is>
          <t>MTR-IOS-3051</t>
        </is>
      </c>
      <c r="C3052" t="inlineStr">
        <is>
          <t>iPhone</t>
        </is>
      </c>
      <c r="D3052" t="inlineStr">
        <is>
          <t>Business</t>
        </is>
      </c>
      <c r="E3052" t="inlineStr">
        <is>
          <t>Business</t>
        </is>
      </c>
      <c r="F3052" t="inlineStr">
        <is>
          <t>Business Runway</t>
        </is>
      </c>
      <c r="G3052" t="inlineStr">
        <is>
          <t>Revenue</t>
        </is>
      </c>
      <c r="H3052" t="inlineStr">
        <is>
          <t>Business &gt; Business Runway &gt; Quick Add &gt; Revenue</t>
        </is>
      </c>
      <c r="I3052" s="18" t="n">
        <v>109569.48</v>
      </c>
      <c r="J3052" t="inlineStr">
        <is>
          <t>Created MTR-IOS-3051 and correlation note visible in Activity/Pulse</t>
        </is>
      </c>
      <c r="K3052" t="inlineStr">
        <is>
          <t>NOT_RUN</t>
        </is>
      </c>
      <c r="P3052" t="n">
        <v>0</v>
      </c>
      <c r="Q3052" t="n">
        <v>3051</v>
      </c>
    </row>
    <row r="3053">
      <c r="A3053" t="n">
        <v>3052</v>
      </c>
      <c r="B3053" t="inlineStr">
        <is>
          <t>MTR-IOS-3052</t>
        </is>
      </c>
      <c r="C3053" t="inlineStr">
        <is>
          <t>iPhone</t>
        </is>
      </c>
      <c r="D3053" t="inlineStr">
        <is>
          <t>Personal</t>
        </is>
      </c>
      <c r="E3053" t="inlineStr">
        <is>
          <t>Personal</t>
        </is>
      </c>
      <c r="F3053" t="inlineStr">
        <is>
          <t>Life Operations</t>
        </is>
      </c>
      <c r="G3053" t="inlineStr">
        <is>
          <t>Subscriptions</t>
        </is>
      </c>
      <c r="H3053" t="inlineStr">
        <is>
          <t>Personal &gt; Life Operations &gt; Quick Add &gt; Subscriptions</t>
        </is>
      </c>
      <c r="I3053" s="18" t="n">
        <v>2266.64</v>
      </c>
      <c r="J3053" t="inlineStr">
        <is>
          <t>Created MTR-IOS-3052 and correlation note visible in Activity/Pulse</t>
        </is>
      </c>
      <c r="K3053" t="inlineStr">
        <is>
          <t>NOT_RUN</t>
        </is>
      </c>
      <c r="P3053" t="n">
        <v>0</v>
      </c>
      <c r="Q3053" t="n">
        <v>3052</v>
      </c>
    </row>
    <row r="3054">
      <c r="A3054" t="n">
        <v>3053</v>
      </c>
      <c r="B3054" t="inlineStr">
        <is>
          <t>MTR-IOS-3053</t>
        </is>
      </c>
      <c r="C3054" t="inlineStr">
        <is>
          <t>iPhone</t>
        </is>
      </c>
      <c r="D3054" t="inlineStr">
        <is>
          <t>Group</t>
        </is>
      </c>
      <c r="E3054" t="inlineStr">
        <is>
          <t>Shared Purchase</t>
        </is>
      </c>
      <c r="F3054" t="inlineStr">
        <is>
          <t>Purchase</t>
        </is>
      </c>
      <c r="G3054" t="inlineStr">
        <is>
          <t>Other</t>
        </is>
      </c>
      <c r="H3054" t="inlineStr">
        <is>
          <t>Group &gt; Purchase &gt; Quick Add &gt; Other</t>
        </is>
      </c>
      <c r="I3054" s="18" t="n">
        <v>5555.98</v>
      </c>
      <c r="J3054" t="inlineStr">
        <is>
          <t>Created MTR-IOS-3053 and correlation note visible in Activity/Pulse</t>
        </is>
      </c>
      <c r="K3054" t="inlineStr">
        <is>
          <t>NOT_RUN</t>
        </is>
      </c>
      <c r="P3054" t="n">
        <v>0</v>
      </c>
      <c r="Q3054" t="n">
        <v>3053</v>
      </c>
    </row>
    <row r="3055">
      <c r="A3055" t="n">
        <v>3054</v>
      </c>
      <c r="B3055" t="inlineStr">
        <is>
          <t>MTR-IOS-3054</t>
        </is>
      </c>
      <c r="C3055" t="inlineStr">
        <is>
          <t>iPhone</t>
        </is>
      </c>
      <c r="D3055" t="inlineStr">
        <is>
          <t>Business</t>
        </is>
      </c>
      <c r="E3055" t="inlineStr">
        <is>
          <t>Business</t>
        </is>
      </c>
      <c r="F3055" t="inlineStr">
        <is>
          <t>Business Runway</t>
        </is>
      </c>
      <c r="G3055" t="inlineStr">
        <is>
          <t>Burn</t>
        </is>
      </c>
      <c r="H3055" t="inlineStr">
        <is>
          <t>Business &gt; Business Runway &gt; Quick Add &gt; Burn</t>
        </is>
      </c>
      <c r="I3055" s="18" t="n">
        <v>152796.17</v>
      </c>
      <c r="J3055" t="inlineStr">
        <is>
          <t>Created MTR-IOS-3054 and correlation note visible in Activity/Pulse</t>
        </is>
      </c>
      <c r="K3055" t="inlineStr">
        <is>
          <t>NOT_RUN</t>
        </is>
      </c>
      <c r="P3055" t="n">
        <v>0</v>
      </c>
      <c r="Q3055" t="n">
        <v>3054</v>
      </c>
    </row>
    <row r="3056">
      <c r="A3056" t="n">
        <v>3055</v>
      </c>
      <c r="B3056" t="inlineStr">
        <is>
          <t>MTR-IOS-3055</t>
        </is>
      </c>
      <c r="C3056" t="inlineStr">
        <is>
          <t>iPhone</t>
        </is>
      </c>
      <c r="D3056" t="inlineStr">
        <is>
          <t>Personal</t>
        </is>
      </c>
      <c r="E3056" t="inlineStr">
        <is>
          <t>Personal</t>
        </is>
      </c>
      <c r="F3056" t="inlineStr">
        <is>
          <t>Life Operations</t>
        </is>
      </c>
      <c r="G3056" t="inlineStr">
        <is>
          <t>Repairs</t>
        </is>
      </c>
      <c r="H3056" t="inlineStr">
        <is>
          <t>Personal &gt; Life Operations &gt; Quick Add &gt; Repairs</t>
        </is>
      </c>
      <c r="I3056" s="18" t="n">
        <v>11009.36</v>
      </c>
      <c r="J3056" t="inlineStr">
        <is>
          <t>Created MTR-IOS-3055 and correlation note visible in Activity/Pulse</t>
        </is>
      </c>
      <c r="K3056" t="inlineStr">
        <is>
          <t>NOT_RUN</t>
        </is>
      </c>
      <c r="P3056" t="n">
        <v>0</v>
      </c>
      <c r="Q3056" t="n">
        <v>3055</v>
      </c>
    </row>
    <row r="3057">
      <c r="A3057" t="n">
        <v>3056</v>
      </c>
      <c r="B3057" t="inlineStr">
        <is>
          <t>MTR-IOS-3056</t>
        </is>
      </c>
      <c r="C3057" t="inlineStr">
        <is>
          <t>iPhone</t>
        </is>
      </c>
      <c r="D3057" t="inlineStr">
        <is>
          <t>Group</t>
        </is>
      </c>
      <c r="E3057" t="inlineStr">
        <is>
          <t>Shared Purchase</t>
        </is>
      </c>
      <c r="F3057" t="inlineStr">
        <is>
          <t>Assets</t>
        </is>
      </c>
      <c r="G3057" t="inlineStr">
        <is>
          <t>Purchase</t>
        </is>
      </c>
      <c r="H3057" t="inlineStr">
        <is>
          <t>Group &gt; Assets &gt; Quick Add &gt; Purchase</t>
        </is>
      </c>
      <c r="I3057" s="18" t="n">
        <v>594.76</v>
      </c>
      <c r="J3057" t="inlineStr">
        <is>
          <t>Created MTR-IOS-3056 and correlation note visible in Activity/Pulse</t>
        </is>
      </c>
      <c r="K3057" t="inlineStr">
        <is>
          <t>NOT_RUN</t>
        </is>
      </c>
      <c r="P3057" t="n">
        <v>0</v>
      </c>
      <c r="Q3057" t="n">
        <v>3056</v>
      </c>
    </row>
    <row r="3058">
      <c r="A3058" t="n">
        <v>3057</v>
      </c>
      <c r="B3058" t="inlineStr">
        <is>
          <t>MTR-IOS-3057</t>
        </is>
      </c>
      <c r="C3058" t="inlineStr">
        <is>
          <t>iPhone</t>
        </is>
      </c>
      <c r="D3058" t="inlineStr">
        <is>
          <t>Business</t>
        </is>
      </c>
      <c r="E3058" t="inlineStr">
        <is>
          <t>Business</t>
        </is>
      </c>
      <c r="F3058" t="inlineStr">
        <is>
          <t>Business Runway</t>
        </is>
      </c>
      <c r="G3058" t="inlineStr">
        <is>
          <t>Reserve</t>
        </is>
      </c>
      <c r="H3058" t="inlineStr">
        <is>
          <t>Business &gt; Business Runway &gt; Quick Add &gt; Reserve</t>
        </is>
      </c>
      <c r="I3058" s="18" t="n">
        <v>121790.71</v>
      </c>
      <c r="J3058" t="inlineStr">
        <is>
          <t>Created MTR-IOS-3057 and correlation note visible in Activity/Pulse</t>
        </is>
      </c>
      <c r="K3058" t="inlineStr">
        <is>
          <t>NOT_RUN</t>
        </is>
      </c>
      <c r="P3058" t="n">
        <v>0</v>
      </c>
      <c r="Q3058" t="n">
        <v>3057</v>
      </c>
    </row>
    <row r="3059">
      <c r="A3059" t="n">
        <v>3058</v>
      </c>
      <c r="B3059" t="inlineStr">
        <is>
          <t>MTR-IOS-3058</t>
        </is>
      </c>
      <c r="C3059" t="inlineStr">
        <is>
          <t>iPhone</t>
        </is>
      </c>
      <c r="D3059" t="inlineStr">
        <is>
          <t>Personal</t>
        </is>
      </c>
      <c r="E3059" t="inlineStr">
        <is>
          <t>Personal</t>
        </is>
      </c>
      <c r="F3059" t="inlineStr">
        <is>
          <t>Future Building</t>
        </is>
      </c>
      <c r="G3059" t="inlineStr">
        <is>
          <t>Savings</t>
        </is>
      </c>
      <c r="H3059" t="inlineStr">
        <is>
          <t>Personal &gt; Future Building &gt; Quick Add &gt; Savings</t>
        </is>
      </c>
      <c r="I3059" s="18" t="n">
        <v>4815.93</v>
      </c>
      <c r="J3059" t="inlineStr">
        <is>
          <t>Created MTR-IOS-3058 and correlation note visible in Activity/Pulse</t>
        </is>
      </c>
      <c r="K3059" t="inlineStr">
        <is>
          <t>NOT_RUN</t>
        </is>
      </c>
      <c r="P3059" t="n">
        <v>0</v>
      </c>
      <c r="Q3059" t="n">
        <v>3058</v>
      </c>
    </row>
    <row r="3060">
      <c r="A3060" t="n">
        <v>3059</v>
      </c>
      <c r="B3060" t="inlineStr">
        <is>
          <t>MTR-IOS-3059</t>
        </is>
      </c>
      <c r="C3060" t="inlineStr">
        <is>
          <t>iPhone</t>
        </is>
      </c>
      <c r="D3060" t="inlineStr">
        <is>
          <t>Group</t>
        </is>
      </c>
      <c r="E3060" t="inlineStr">
        <is>
          <t>Shared Purchase</t>
        </is>
      </c>
      <c r="F3060" t="inlineStr">
        <is>
          <t>Assets</t>
        </is>
      </c>
      <c r="G3060" t="inlineStr">
        <is>
          <t>Maintenance</t>
        </is>
      </c>
      <c r="H3060" t="inlineStr">
        <is>
          <t>Group &gt; Assets &gt; Quick Add &gt; Maintenance</t>
        </is>
      </c>
      <c r="I3060" s="18" t="n">
        <v>17963.47</v>
      </c>
      <c r="J3060" t="inlineStr">
        <is>
          <t>Created MTR-IOS-3059 and correlation note visible in Activity/Pulse</t>
        </is>
      </c>
      <c r="K3060" t="inlineStr">
        <is>
          <t>NOT_RUN</t>
        </is>
      </c>
      <c r="P3060" t="n">
        <v>0</v>
      </c>
      <c r="Q3060" t="n">
        <v>3059</v>
      </c>
    </row>
    <row r="3061">
      <c r="A3061" t="n">
        <v>3060</v>
      </c>
      <c r="B3061" t="inlineStr">
        <is>
          <t>MTR-IOS-3060</t>
        </is>
      </c>
      <c r="C3061" t="inlineStr">
        <is>
          <t>iPhone</t>
        </is>
      </c>
      <c r="D3061" t="inlineStr">
        <is>
          <t>Business</t>
        </is>
      </c>
      <c r="E3061" t="inlineStr">
        <is>
          <t>Business</t>
        </is>
      </c>
      <c r="F3061" t="inlineStr">
        <is>
          <t>Business Runway</t>
        </is>
      </c>
      <c r="G3061" t="inlineStr">
        <is>
          <t>Loan</t>
        </is>
      </c>
      <c r="H3061" t="inlineStr">
        <is>
          <t>Business &gt; Business Runway &gt; Quick Add &gt; Loan</t>
        </is>
      </c>
      <c r="I3061" s="18" t="n">
        <v>95390.77</v>
      </c>
      <c r="J3061" t="inlineStr">
        <is>
          <t>Created MTR-IOS-3060 and correlation note visible in Activity/Pulse</t>
        </is>
      </c>
      <c r="K3061" t="inlineStr">
        <is>
          <t>NOT_RUN</t>
        </is>
      </c>
      <c r="P3061" t="n">
        <v>0</v>
      </c>
      <c r="Q3061" t="n">
        <v>3060</v>
      </c>
    </row>
    <row r="3062">
      <c r="A3062" t="n">
        <v>3061</v>
      </c>
      <c r="B3062" t="inlineStr">
        <is>
          <t>MTR-IOS-3061</t>
        </is>
      </c>
      <c r="C3062" t="inlineStr">
        <is>
          <t>iPhone</t>
        </is>
      </c>
      <c r="D3062" t="inlineStr">
        <is>
          <t>Personal</t>
        </is>
      </c>
      <c r="E3062" t="inlineStr">
        <is>
          <t>Personal</t>
        </is>
      </c>
      <c r="F3062" t="inlineStr">
        <is>
          <t>Future Building</t>
        </is>
      </c>
      <c r="G3062" t="inlineStr">
        <is>
          <t>Emergency Fund</t>
        </is>
      </c>
      <c r="H3062" t="inlineStr">
        <is>
          <t>Personal &gt; Future Building &gt; Quick Add &gt; Emergency Fund</t>
        </is>
      </c>
      <c r="I3062" s="18" t="n">
        <v>4053.35</v>
      </c>
      <c r="J3062" t="inlineStr">
        <is>
          <t>Created MTR-IOS-3061 and correlation note visible in Activity/Pulse</t>
        </is>
      </c>
      <c r="K3062" t="inlineStr">
        <is>
          <t>NOT_RUN</t>
        </is>
      </c>
      <c r="P3062" t="n">
        <v>0</v>
      </c>
      <c r="Q3062" t="n">
        <v>3061</v>
      </c>
    </row>
    <row r="3063">
      <c r="A3063" t="n">
        <v>3062</v>
      </c>
      <c r="B3063" t="inlineStr">
        <is>
          <t>MTR-IOS-3062</t>
        </is>
      </c>
      <c r="C3063" t="inlineStr">
        <is>
          <t>iPhone</t>
        </is>
      </c>
      <c r="D3063" t="inlineStr">
        <is>
          <t>Group</t>
        </is>
      </c>
      <c r="E3063" t="inlineStr">
        <is>
          <t>Shared Purchase</t>
        </is>
      </c>
      <c r="F3063" t="inlineStr">
        <is>
          <t>Assets</t>
        </is>
      </c>
      <c r="G3063" t="inlineStr">
        <is>
          <t>Repair</t>
        </is>
      </c>
      <c r="H3063" t="inlineStr">
        <is>
          <t>Group &gt; Assets &gt; Quick Add &gt; Repair</t>
        </is>
      </c>
      <c r="I3063" s="18" t="n">
        <v>14999.74</v>
      </c>
      <c r="J3063" t="inlineStr">
        <is>
          <t>Created MTR-IOS-3062 and correlation note visible in Activity/Pulse</t>
        </is>
      </c>
      <c r="K3063" t="inlineStr">
        <is>
          <t>NOT_RUN</t>
        </is>
      </c>
      <c r="P3063" t="n">
        <v>0</v>
      </c>
      <c r="Q3063" t="n">
        <v>3062</v>
      </c>
    </row>
    <row r="3064">
      <c r="A3064" t="n">
        <v>3063</v>
      </c>
      <c r="B3064" t="inlineStr">
        <is>
          <t>MTR-IOS-3063</t>
        </is>
      </c>
      <c r="C3064" t="inlineStr">
        <is>
          <t>iPhone</t>
        </is>
      </c>
      <c r="D3064" t="inlineStr">
        <is>
          <t>Business</t>
        </is>
      </c>
      <c r="E3064" t="inlineStr">
        <is>
          <t>Business</t>
        </is>
      </c>
      <c r="F3064" t="inlineStr">
        <is>
          <t>Business Runway</t>
        </is>
      </c>
      <c r="G3064" t="inlineStr">
        <is>
          <t>Investment</t>
        </is>
      </c>
      <c r="H3064" t="inlineStr">
        <is>
          <t>Business &gt; Business Runway &gt; Quick Add &gt; Investment</t>
        </is>
      </c>
      <c r="I3064" s="18" t="n">
        <v>43250.48</v>
      </c>
      <c r="J3064" t="inlineStr">
        <is>
          <t>Created MTR-IOS-3063 and correlation note visible in Activity/Pulse</t>
        </is>
      </c>
      <c r="K3064" t="inlineStr">
        <is>
          <t>NOT_RUN</t>
        </is>
      </c>
      <c r="P3064" t="n">
        <v>0</v>
      </c>
      <c r="Q3064" t="n">
        <v>3063</v>
      </c>
    </row>
    <row r="3065">
      <c r="A3065" t="n">
        <v>3064</v>
      </c>
      <c r="B3065" t="inlineStr">
        <is>
          <t>MTR-IOS-3064</t>
        </is>
      </c>
      <c r="C3065" t="inlineStr">
        <is>
          <t>iPhone</t>
        </is>
      </c>
      <c r="D3065" t="inlineStr">
        <is>
          <t>Personal</t>
        </is>
      </c>
      <c r="E3065" t="inlineStr">
        <is>
          <t>Personal</t>
        </is>
      </c>
      <c r="F3065" t="inlineStr">
        <is>
          <t>Future Building</t>
        </is>
      </c>
      <c r="G3065" t="inlineStr">
        <is>
          <t>Investments</t>
        </is>
      </c>
      <c r="H3065" t="inlineStr">
        <is>
          <t>Personal &gt; Future Building &gt; Quick Add &gt; Investments</t>
        </is>
      </c>
      <c r="I3065" s="18" t="n">
        <v>6093.35</v>
      </c>
      <c r="J3065" t="inlineStr">
        <is>
          <t>Created MTR-IOS-3064 and correlation note visible in Activity/Pulse</t>
        </is>
      </c>
      <c r="K3065" t="inlineStr">
        <is>
          <t>NOT_RUN</t>
        </is>
      </c>
      <c r="P3065" t="n">
        <v>0</v>
      </c>
      <c r="Q3065" t="n">
        <v>3064</v>
      </c>
    </row>
    <row r="3066">
      <c r="A3066" t="n">
        <v>3065</v>
      </c>
      <c r="B3066" t="inlineStr">
        <is>
          <t>MTR-IOS-3065</t>
        </is>
      </c>
      <c r="C3066" t="inlineStr">
        <is>
          <t>iPhone</t>
        </is>
      </c>
      <c r="D3066" t="inlineStr">
        <is>
          <t>Group</t>
        </is>
      </c>
      <c r="E3066" t="inlineStr">
        <is>
          <t>Shared Purchase</t>
        </is>
      </c>
      <c r="F3066" t="inlineStr">
        <is>
          <t>Assets</t>
        </is>
      </c>
      <c r="G3066" t="inlineStr">
        <is>
          <t>Insurance</t>
        </is>
      </c>
      <c r="H3066" t="inlineStr">
        <is>
          <t>Group &gt; Assets &gt; Quick Add &gt; Insurance</t>
        </is>
      </c>
      <c r="I3066" s="18" t="n">
        <v>7844.71</v>
      </c>
      <c r="J3066" t="inlineStr">
        <is>
          <t>Created MTR-IOS-3065 and correlation note visible in Activity/Pulse</t>
        </is>
      </c>
      <c r="K3066" t="inlineStr">
        <is>
          <t>NOT_RUN</t>
        </is>
      </c>
      <c r="P3066" t="n">
        <v>0</v>
      </c>
      <c r="Q3066" t="n">
        <v>3065</v>
      </c>
    </row>
    <row r="3067">
      <c r="A3067" t="n">
        <v>3066</v>
      </c>
      <c r="B3067" t="inlineStr">
        <is>
          <t>MTR-IOS-3066</t>
        </is>
      </c>
      <c r="C3067" t="inlineStr">
        <is>
          <t>iPhone</t>
        </is>
      </c>
      <c r="D3067" t="inlineStr">
        <is>
          <t>Business</t>
        </is>
      </c>
      <c r="E3067" t="inlineStr">
        <is>
          <t>Business</t>
        </is>
      </c>
      <c r="F3067" t="inlineStr">
        <is>
          <t>Business Operations</t>
        </is>
      </c>
      <c r="G3067" t="inlineStr">
        <is>
          <t>Software</t>
        </is>
      </c>
      <c r="H3067" t="inlineStr">
        <is>
          <t>Business &gt; Business Operations &gt; Quick Add &gt; Software</t>
        </is>
      </c>
      <c r="I3067" s="18" t="n">
        <v>134707.22</v>
      </c>
      <c r="J3067" t="inlineStr">
        <is>
          <t>Created MTR-IOS-3066 and correlation note visible in Activity/Pulse</t>
        </is>
      </c>
      <c r="K3067" t="inlineStr">
        <is>
          <t>NOT_RUN</t>
        </is>
      </c>
      <c r="P3067" t="n">
        <v>0</v>
      </c>
      <c r="Q3067" t="n">
        <v>3066</v>
      </c>
    </row>
    <row r="3068">
      <c r="A3068" t="n">
        <v>3067</v>
      </c>
      <c r="B3068" t="inlineStr">
        <is>
          <t>MTR-IOS-3067</t>
        </is>
      </c>
      <c r="C3068" t="inlineStr">
        <is>
          <t>iPhone</t>
        </is>
      </c>
      <c r="D3068" t="inlineStr">
        <is>
          <t>Personal</t>
        </is>
      </c>
      <c r="E3068" t="inlineStr">
        <is>
          <t>Personal</t>
        </is>
      </c>
      <c r="F3068" t="inlineStr">
        <is>
          <t>Future Building</t>
        </is>
      </c>
      <c r="G3068" t="inlineStr">
        <is>
          <t>Education</t>
        </is>
      </c>
      <c r="H3068" t="inlineStr">
        <is>
          <t>Personal &gt; Future Building &gt; Quick Add &gt; Education</t>
        </is>
      </c>
      <c r="I3068" s="18" t="n">
        <v>11770.86</v>
      </c>
      <c r="J3068" t="inlineStr">
        <is>
          <t>Created MTR-IOS-3067 and correlation note visible in Activity/Pulse</t>
        </is>
      </c>
      <c r="K3068" t="inlineStr">
        <is>
          <t>NOT_RUN</t>
        </is>
      </c>
      <c r="P3068" t="n">
        <v>0</v>
      </c>
      <c r="Q3068" t="n">
        <v>3067</v>
      </c>
    </row>
    <row r="3069">
      <c r="A3069" t="n">
        <v>3068</v>
      </c>
      <c r="B3069" t="inlineStr">
        <is>
          <t>MTR-IOS-3068</t>
        </is>
      </c>
      <c r="C3069" t="inlineStr">
        <is>
          <t>iPhone</t>
        </is>
      </c>
      <c r="D3069" t="inlineStr">
        <is>
          <t>Group</t>
        </is>
      </c>
      <c r="E3069" t="inlineStr">
        <is>
          <t>Shared Purchase</t>
        </is>
      </c>
      <c r="F3069" t="inlineStr">
        <is>
          <t>Assets</t>
        </is>
      </c>
      <c r="G3069" t="inlineStr">
        <is>
          <t>Other</t>
        </is>
      </c>
      <c r="H3069" t="inlineStr">
        <is>
          <t>Group &gt; Assets &gt; Quick Add &gt; Other</t>
        </is>
      </c>
      <c r="I3069" s="18" t="n">
        <v>16885.37</v>
      </c>
      <c r="J3069" t="inlineStr">
        <is>
          <t>Created MTR-IOS-3068 and correlation note visible in Activity/Pulse</t>
        </is>
      </c>
      <c r="K3069" t="inlineStr">
        <is>
          <t>NOT_RUN</t>
        </is>
      </c>
      <c r="P3069" t="n">
        <v>0</v>
      </c>
      <c r="Q3069" t="n">
        <v>3068</v>
      </c>
    </row>
    <row r="3070">
      <c r="A3070" t="n">
        <v>3069</v>
      </c>
      <c r="B3070" t="inlineStr">
        <is>
          <t>MTR-IOS-3069</t>
        </is>
      </c>
      <c r="C3070" t="inlineStr">
        <is>
          <t>iPhone</t>
        </is>
      </c>
      <c r="D3070" t="inlineStr">
        <is>
          <t>Business</t>
        </is>
      </c>
      <c r="E3070" t="inlineStr">
        <is>
          <t>Business</t>
        </is>
      </c>
      <c r="F3070" t="inlineStr">
        <is>
          <t>Business Operations</t>
        </is>
      </c>
      <c r="G3070" t="inlineStr">
        <is>
          <t>Rent</t>
        </is>
      </c>
      <c r="H3070" t="inlineStr">
        <is>
          <t>Business &gt; Business Operations &gt; Quick Add &gt; Rent</t>
        </is>
      </c>
      <c r="I3070" s="18" t="n">
        <v>111171.99</v>
      </c>
      <c r="J3070" t="inlineStr">
        <is>
          <t>Created MTR-IOS-3069 and correlation note visible in Activity/Pulse</t>
        </is>
      </c>
      <c r="K3070" t="inlineStr">
        <is>
          <t>NOT_RUN</t>
        </is>
      </c>
      <c r="P3070" t="n">
        <v>0</v>
      </c>
      <c r="Q3070" t="n">
        <v>3069</v>
      </c>
    </row>
    <row r="3071">
      <c r="A3071" t="n">
        <v>3070</v>
      </c>
      <c r="B3071" t="inlineStr">
        <is>
          <t>MTR-IOS-3070</t>
        </is>
      </c>
      <c r="C3071" t="inlineStr">
        <is>
          <t>iPhone</t>
        </is>
      </c>
      <c r="D3071" t="inlineStr">
        <is>
          <t>Personal</t>
        </is>
      </c>
      <c r="E3071" t="inlineStr">
        <is>
          <t>Personal</t>
        </is>
      </c>
      <c r="F3071" t="inlineStr">
        <is>
          <t>Future Building</t>
        </is>
      </c>
      <c r="G3071" t="inlineStr">
        <is>
          <t>Goal Contribution</t>
        </is>
      </c>
      <c r="H3071" t="inlineStr">
        <is>
          <t>Personal &gt; Future Building &gt; Quick Add &gt; Goal Contribution</t>
        </is>
      </c>
      <c r="I3071" s="18" t="n">
        <v>12655.99</v>
      </c>
      <c r="J3071" t="inlineStr">
        <is>
          <t>Created MTR-IOS-3070 and correlation note visible in Activity/Pulse</t>
        </is>
      </c>
      <c r="K3071" t="inlineStr">
        <is>
          <t>NOT_RUN</t>
        </is>
      </c>
      <c r="P3071" t="n">
        <v>0</v>
      </c>
      <c r="Q3071" t="n">
        <v>3070</v>
      </c>
    </row>
    <row r="3072">
      <c r="A3072" t="n">
        <v>3071</v>
      </c>
      <c r="B3072" t="inlineStr">
        <is>
          <t>MTR-IOS-3071</t>
        </is>
      </c>
      <c r="C3072" t="inlineStr">
        <is>
          <t>iPhone</t>
        </is>
      </c>
      <c r="D3072" t="inlineStr">
        <is>
          <t>Group</t>
        </is>
      </c>
      <c r="E3072" t="inlineStr">
        <is>
          <t>Shared Purchase</t>
        </is>
      </c>
      <c r="F3072" t="inlineStr">
        <is>
          <t>Custom Purchase</t>
        </is>
      </c>
      <c r="G3072" t="inlineStr">
        <is>
          <t>Custom Expense</t>
        </is>
      </c>
      <c r="H3072" t="inlineStr">
        <is>
          <t>Group &gt; Custom Purchase &gt; Quick Add &gt; Custom Expense</t>
        </is>
      </c>
      <c r="I3072" s="18" t="n">
        <v>10000</v>
      </c>
      <c r="J3072" t="inlineStr">
        <is>
          <t>Created MTR-IOS-3071 and correlation note visible in Activity/Pulse</t>
        </is>
      </c>
      <c r="K3072" t="inlineStr">
        <is>
          <t>NOT_RUN</t>
        </is>
      </c>
      <c r="P3072" t="n">
        <v>0</v>
      </c>
      <c r="Q3072" t="n">
        <v>3071</v>
      </c>
    </row>
    <row r="3073">
      <c r="A3073" t="n">
        <v>3072</v>
      </c>
      <c r="B3073" t="inlineStr">
        <is>
          <t>MTR-IOS-3072</t>
        </is>
      </c>
      <c r="C3073" t="inlineStr">
        <is>
          <t>iPhone</t>
        </is>
      </c>
      <c r="D3073" t="inlineStr">
        <is>
          <t>Business</t>
        </is>
      </c>
      <c r="E3073" t="inlineStr">
        <is>
          <t>Business</t>
        </is>
      </c>
      <c r="F3073" t="inlineStr">
        <is>
          <t>Business Operations</t>
        </is>
      </c>
      <c r="G3073" t="inlineStr">
        <is>
          <t>Marketing</t>
        </is>
      </c>
      <c r="H3073" t="inlineStr">
        <is>
          <t>Business &gt; Business Operations &gt; Quick Add &gt; Marketing</t>
        </is>
      </c>
      <c r="I3073" s="18" t="n">
        <v>116339.22</v>
      </c>
      <c r="J3073" t="inlineStr">
        <is>
          <t>Created MTR-IOS-3072 and correlation note visible in Activity/Pulse</t>
        </is>
      </c>
      <c r="K3073" t="inlineStr">
        <is>
          <t>NOT_RUN</t>
        </is>
      </c>
      <c r="P3073" t="n">
        <v>0</v>
      </c>
      <c r="Q3073" t="n">
        <v>3072</v>
      </c>
    </row>
    <row r="3074">
      <c r="A3074" t="n">
        <v>3073</v>
      </c>
      <c r="B3074" t="inlineStr">
        <is>
          <t>MTR-IOS-3073</t>
        </is>
      </c>
      <c r="C3074" t="inlineStr">
        <is>
          <t>iPhone</t>
        </is>
      </c>
      <c r="D3074" t="inlineStr">
        <is>
          <t>Personal</t>
        </is>
      </c>
      <c r="E3074" t="inlineStr">
        <is>
          <t>Personal</t>
        </is>
      </c>
      <c r="F3074" t="inlineStr">
        <is>
          <t>Lifestyle</t>
        </is>
      </c>
      <c r="G3074" t="inlineStr">
        <is>
          <t>Dining</t>
        </is>
      </c>
      <c r="H3074" t="inlineStr">
        <is>
          <t>Personal &gt; Lifestyle &gt; Quick Add &gt; Dining</t>
        </is>
      </c>
      <c r="I3074" s="18" t="n">
        <v>13065.3</v>
      </c>
      <c r="J3074" t="inlineStr">
        <is>
          <t>Created MTR-IOS-3073 and correlation note visible in Activity/Pulse</t>
        </is>
      </c>
      <c r="K3074" t="inlineStr">
        <is>
          <t>NOT_RUN</t>
        </is>
      </c>
      <c r="P3074" t="n">
        <v>0</v>
      </c>
      <c r="Q3074" t="n">
        <v>3073</v>
      </c>
    </row>
    <row r="3075">
      <c r="A3075" t="n">
        <v>3074</v>
      </c>
      <c r="B3075" t="inlineStr">
        <is>
          <t>MTR-IOS-3074</t>
        </is>
      </c>
      <c r="C3075" t="inlineStr">
        <is>
          <t>iPhone</t>
        </is>
      </c>
      <c r="D3075" t="inlineStr">
        <is>
          <t>Group</t>
        </is>
      </c>
      <c r="E3075" t="inlineStr">
        <is>
          <t>Shared Purchase</t>
        </is>
      </c>
      <c r="F3075" t="inlineStr">
        <is>
          <t>Custom Purchase</t>
        </is>
      </c>
      <c r="G3075" t="inlineStr">
        <is>
          <t>Custom Contribution</t>
        </is>
      </c>
      <c r="H3075" t="inlineStr">
        <is>
          <t>Group &gt; Custom Purchase &gt; Quick Add &gt; Custom Contribution</t>
        </is>
      </c>
      <c r="I3075" s="18" t="n">
        <v>16537.47</v>
      </c>
      <c r="J3075" t="inlineStr">
        <is>
          <t>Created MTR-IOS-3074 and correlation note visible in Activity/Pulse</t>
        </is>
      </c>
      <c r="K3075" t="inlineStr">
        <is>
          <t>NOT_RUN</t>
        </is>
      </c>
      <c r="P3075" t="n">
        <v>0</v>
      </c>
      <c r="Q3075" t="n">
        <v>3074</v>
      </c>
    </row>
    <row r="3076">
      <c r="A3076" t="n">
        <v>3075</v>
      </c>
      <c r="B3076" t="inlineStr">
        <is>
          <t>MTR-IOS-3075</t>
        </is>
      </c>
      <c r="C3076" t="inlineStr">
        <is>
          <t>iPhone</t>
        </is>
      </c>
      <c r="D3076" t="inlineStr">
        <is>
          <t>Business</t>
        </is>
      </c>
      <c r="E3076" t="inlineStr">
        <is>
          <t>Business</t>
        </is>
      </c>
      <c r="F3076" t="inlineStr">
        <is>
          <t>Business Operations</t>
        </is>
      </c>
      <c r="G3076" t="inlineStr">
        <is>
          <t>Legal</t>
        </is>
      </c>
      <c r="H3076" t="inlineStr">
        <is>
          <t>Business &gt; Business Operations &gt; Quick Add &gt; Legal</t>
        </is>
      </c>
      <c r="I3076" s="18" t="n">
        <v>56144.31</v>
      </c>
      <c r="J3076" t="inlineStr">
        <is>
          <t>Created MTR-IOS-3075 and correlation note visible in Activity/Pulse</t>
        </is>
      </c>
      <c r="K3076" t="inlineStr">
        <is>
          <t>NOT_RUN</t>
        </is>
      </c>
      <c r="P3076" t="n">
        <v>0</v>
      </c>
      <c r="Q3076" t="n">
        <v>3075</v>
      </c>
    </row>
    <row r="3077">
      <c r="A3077" t="n">
        <v>3076</v>
      </c>
      <c r="B3077" t="inlineStr">
        <is>
          <t>MTR-IOS-3076</t>
        </is>
      </c>
      <c r="C3077" t="inlineStr">
        <is>
          <t>iPhone</t>
        </is>
      </c>
      <c r="D3077" t="inlineStr">
        <is>
          <t>Personal</t>
        </is>
      </c>
      <c r="E3077" t="inlineStr">
        <is>
          <t>Personal</t>
        </is>
      </c>
      <c r="F3077" t="inlineStr">
        <is>
          <t>Lifestyle</t>
        </is>
      </c>
      <c r="G3077" t="inlineStr">
        <is>
          <t>Shopping</t>
        </is>
      </c>
      <c r="H3077" t="inlineStr">
        <is>
          <t>Personal &gt; Lifestyle &gt; Quick Add &gt; Shopping</t>
        </is>
      </c>
      <c r="I3077" s="18" t="n">
        <v>2366.46</v>
      </c>
      <c r="J3077" t="inlineStr">
        <is>
          <t>Created MTR-IOS-3076 and correlation note visible in Activity/Pulse</t>
        </is>
      </c>
      <c r="K3077" t="inlineStr">
        <is>
          <t>NOT_RUN</t>
        </is>
      </c>
      <c r="P3077" t="n">
        <v>0</v>
      </c>
      <c r="Q3077" t="n">
        <v>3076</v>
      </c>
    </row>
    <row r="3078">
      <c r="A3078" t="n">
        <v>3077</v>
      </c>
      <c r="B3078" t="inlineStr">
        <is>
          <t>MTR-IOS-3077</t>
        </is>
      </c>
      <c r="C3078" t="inlineStr">
        <is>
          <t>iPhone</t>
        </is>
      </c>
      <c r="D3078" t="inlineStr">
        <is>
          <t>Group</t>
        </is>
      </c>
      <c r="E3078" t="inlineStr">
        <is>
          <t>Shared Living</t>
        </is>
      </c>
      <c r="F3078" t="inlineStr">
        <is>
          <t>Flatmates</t>
        </is>
      </c>
      <c r="G3078" t="inlineStr">
        <is>
          <t>Rent</t>
        </is>
      </c>
      <c r="H3078" t="inlineStr">
        <is>
          <t>Group &gt; Flatmates &gt; Quick Add &gt; Rent</t>
        </is>
      </c>
      <c r="I3078" s="18" t="n">
        <v>2955.88</v>
      </c>
      <c r="J3078" t="inlineStr">
        <is>
          <t>Created MTR-IOS-3077 and correlation note visible in Activity/Pulse</t>
        </is>
      </c>
      <c r="K3078" t="inlineStr">
        <is>
          <t>NOT_RUN</t>
        </is>
      </c>
      <c r="P3078" t="n">
        <v>0</v>
      </c>
      <c r="Q3078" t="n">
        <v>3077</v>
      </c>
    </row>
    <row r="3079">
      <c r="A3079" t="n">
        <v>3078</v>
      </c>
      <c r="B3079" t="inlineStr">
        <is>
          <t>MTR-IOS-3078</t>
        </is>
      </c>
      <c r="C3079" t="inlineStr">
        <is>
          <t>iPhone</t>
        </is>
      </c>
      <c r="D3079" t="inlineStr">
        <is>
          <t>Business</t>
        </is>
      </c>
      <c r="E3079" t="inlineStr">
        <is>
          <t>Business</t>
        </is>
      </c>
      <c r="F3079" t="inlineStr">
        <is>
          <t>Business Operations</t>
        </is>
      </c>
      <c r="G3079" t="inlineStr">
        <is>
          <t>Accounting</t>
        </is>
      </c>
      <c r="H3079" t="inlineStr">
        <is>
          <t>Business &gt; Business Operations &gt; Quick Add &gt; Accounting</t>
        </is>
      </c>
      <c r="I3079" s="18" t="n">
        <v>148309.27</v>
      </c>
      <c r="J3079" t="inlineStr">
        <is>
          <t>Created MTR-IOS-3078 and correlation note visible in Activity/Pulse</t>
        </is>
      </c>
      <c r="K3079" t="inlineStr">
        <is>
          <t>NOT_RUN</t>
        </is>
      </c>
      <c r="P3079" t="n">
        <v>0</v>
      </c>
      <c r="Q3079" t="n">
        <v>3078</v>
      </c>
    </row>
    <row r="3080">
      <c r="A3080" t="n">
        <v>3079</v>
      </c>
      <c r="B3080" t="inlineStr">
        <is>
          <t>MTR-IOS-3079</t>
        </is>
      </c>
      <c r="C3080" t="inlineStr">
        <is>
          <t>iPhone</t>
        </is>
      </c>
      <c r="D3080" t="inlineStr">
        <is>
          <t>Personal</t>
        </is>
      </c>
      <c r="E3080" t="inlineStr">
        <is>
          <t>Personal</t>
        </is>
      </c>
      <c r="F3080" t="inlineStr">
        <is>
          <t>Lifestyle</t>
        </is>
      </c>
      <c r="G3080" t="inlineStr">
        <is>
          <t>Entertainment</t>
        </is>
      </c>
      <c r="H3080" t="inlineStr">
        <is>
          <t>Personal &gt; Lifestyle &gt; Quick Add &gt; Entertainment</t>
        </is>
      </c>
      <c r="I3080" s="18" t="n">
        <v>866.59</v>
      </c>
      <c r="J3080" t="inlineStr">
        <is>
          <t>Created MTR-IOS-3079 and correlation note visible in Activity/Pulse</t>
        </is>
      </c>
      <c r="K3080" t="inlineStr">
        <is>
          <t>NOT_RUN</t>
        </is>
      </c>
      <c r="P3080" t="n">
        <v>0</v>
      </c>
      <c r="Q3080" t="n">
        <v>3079</v>
      </c>
    </row>
    <row r="3081">
      <c r="A3081" t="n">
        <v>3080</v>
      </c>
      <c r="B3081" t="inlineStr">
        <is>
          <t>MTR-IOS-3080</t>
        </is>
      </c>
      <c r="C3081" t="inlineStr">
        <is>
          <t>iPhone</t>
        </is>
      </c>
      <c r="D3081" t="inlineStr">
        <is>
          <t>Group</t>
        </is>
      </c>
      <c r="E3081" t="inlineStr">
        <is>
          <t>Shared Living</t>
        </is>
      </c>
      <c r="F3081" t="inlineStr">
        <is>
          <t>Flatmates</t>
        </is>
      </c>
      <c r="G3081" t="inlineStr">
        <is>
          <t>Utilities</t>
        </is>
      </c>
      <c r="H3081" t="inlineStr">
        <is>
          <t>Group &gt; Flatmates &gt; Quick Add &gt; Utilities</t>
        </is>
      </c>
      <c r="I3081" s="18" t="n">
        <v>20099.22</v>
      </c>
      <c r="J3081" t="inlineStr">
        <is>
          <t>Created MTR-IOS-3080 and correlation note visible in Activity/Pulse</t>
        </is>
      </c>
      <c r="K3081" t="inlineStr">
        <is>
          <t>NOT_RUN</t>
        </is>
      </c>
      <c r="P3081" t="n">
        <v>0</v>
      </c>
      <c r="Q3081" t="n">
        <v>3080</v>
      </c>
    </row>
    <row r="3082">
      <c r="A3082" t="n">
        <v>3081</v>
      </c>
      <c r="B3082" t="inlineStr">
        <is>
          <t>MTR-IOS-3081</t>
        </is>
      </c>
      <c r="C3082" t="inlineStr">
        <is>
          <t>iPhone</t>
        </is>
      </c>
      <c r="D3082" t="inlineStr">
        <is>
          <t>Business</t>
        </is>
      </c>
      <c r="E3082" t="inlineStr">
        <is>
          <t>Business</t>
        </is>
      </c>
      <c r="F3082" t="inlineStr">
        <is>
          <t>Business Operations</t>
        </is>
      </c>
      <c r="G3082" t="inlineStr">
        <is>
          <t>Equipment</t>
        </is>
      </c>
      <c r="H3082" t="inlineStr">
        <is>
          <t>Business &gt; Business Operations &gt; Quick Add &gt; Equipment</t>
        </is>
      </c>
      <c r="I3082" s="18" t="n">
        <v>137375.58</v>
      </c>
      <c r="J3082" t="inlineStr">
        <is>
          <t>Created MTR-IOS-3081 and correlation note visible in Activity/Pulse</t>
        </is>
      </c>
      <c r="K3082" t="inlineStr">
        <is>
          <t>NOT_RUN</t>
        </is>
      </c>
      <c r="P3082" t="n">
        <v>0</v>
      </c>
      <c r="Q3082" t="n">
        <v>3081</v>
      </c>
    </row>
    <row r="3083">
      <c r="A3083" t="n">
        <v>3082</v>
      </c>
      <c r="B3083" t="inlineStr">
        <is>
          <t>MTR-IOS-3082</t>
        </is>
      </c>
      <c r="C3083" t="inlineStr">
        <is>
          <t>iPhone</t>
        </is>
      </c>
      <c r="D3083" t="inlineStr">
        <is>
          <t>Personal</t>
        </is>
      </c>
      <c r="E3083" t="inlineStr">
        <is>
          <t>Personal</t>
        </is>
      </c>
      <c r="F3083" t="inlineStr">
        <is>
          <t>Lifestyle</t>
        </is>
      </c>
      <c r="G3083" t="inlineStr">
        <is>
          <t>Travel</t>
        </is>
      </c>
      <c r="H3083" t="inlineStr">
        <is>
          <t>Personal &gt; Lifestyle &gt; Quick Add &gt; Travel</t>
        </is>
      </c>
      <c r="I3083" s="18" t="n">
        <v>6736.33</v>
      </c>
      <c r="J3083" t="inlineStr">
        <is>
          <t>Created MTR-IOS-3082 and correlation note visible in Activity/Pulse</t>
        </is>
      </c>
      <c r="K3083" t="inlineStr">
        <is>
          <t>NOT_RUN</t>
        </is>
      </c>
      <c r="P3083" t="n">
        <v>0</v>
      </c>
      <c r="Q3083" t="n">
        <v>3082</v>
      </c>
    </row>
    <row r="3084">
      <c r="A3084" t="n">
        <v>3083</v>
      </c>
      <c r="B3084" t="inlineStr">
        <is>
          <t>MTR-IOS-3083</t>
        </is>
      </c>
      <c r="C3084" t="inlineStr">
        <is>
          <t>iPhone</t>
        </is>
      </c>
      <c r="D3084" t="inlineStr">
        <is>
          <t>Group</t>
        </is>
      </c>
      <c r="E3084" t="inlineStr">
        <is>
          <t>Shared Living</t>
        </is>
      </c>
      <c r="F3084" t="inlineStr">
        <is>
          <t>Flatmates</t>
        </is>
      </c>
      <c r="G3084" t="inlineStr">
        <is>
          <t>Groceries</t>
        </is>
      </c>
      <c r="H3084" t="inlineStr">
        <is>
          <t>Group &gt; Flatmates &gt; Quick Add &gt; Groceries</t>
        </is>
      </c>
      <c r="I3084" s="18" t="n">
        <v>18115.37</v>
      </c>
      <c r="J3084" t="inlineStr">
        <is>
          <t>Created MTR-IOS-3083 and correlation note visible in Activity/Pulse</t>
        </is>
      </c>
      <c r="K3084" t="inlineStr">
        <is>
          <t>NOT_RUN</t>
        </is>
      </c>
      <c r="P3084" t="n">
        <v>0</v>
      </c>
      <c r="Q3084" t="n">
        <v>3083</v>
      </c>
    </row>
    <row r="3085">
      <c r="A3085" t="n">
        <v>3084</v>
      </c>
      <c r="B3085" t="inlineStr">
        <is>
          <t>MTR-IOS-3084</t>
        </is>
      </c>
      <c r="C3085" t="inlineStr">
        <is>
          <t>iPhone</t>
        </is>
      </c>
      <c r="D3085" t="inlineStr">
        <is>
          <t>Business</t>
        </is>
      </c>
      <c r="E3085" t="inlineStr">
        <is>
          <t>Business</t>
        </is>
      </c>
      <c r="F3085" t="inlineStr">
        <is>
          <t>Business Operations</t>
        </is>
      </c>
      <c r="G3085" t="inlineStr">
        <is>
          <t>Vendor</t>
        </is>
      </c>
      <c r="H3085" t="inlineStr">
        <is>
          <t>Business &gt; Business Operations &gt; Quick Add &gt; Vendor</t>
        </is>
      </c>
      <c r="I3085" s="18" t="n">
        <v>38193.13</v>
      </c>
      <c r="J3085" t="inlineStr">
        <is>
          <t>Created MTR-IOS-3084 and correlation note visible in Activity/Pulse</t>
        </is>
      </c>
      <c r="K3085" t="inlineStr">
        <is>
          <t>NOT_RUN</t>
        </is>
      </c>
      <c r="P3085" t="n">
        <v>0</v>
      </c>
      <c r="Q3085" t="n">
        <v>3084</v>
      </c>
    </row>
    <row r="3086">
      <c r="A3086" t="n">
        <v>3085</v>
      </c>
      <c r="B3086" t="inlineStr">
        <is>
          <t>MTR-IOS-3085</t>
        </is>
      </c>
      <c r="C3086" t="inlineStr">
        <is>
          <t>iPhone</t>
        </is>
      </c>
      <c r="D3086" t="inlineStr">
        <is>
          <t>Personal</t>
        </is>
      </c>
      <c r="E3086" t="inlineStr">
        <is>
          <t>Personal</t>
        </is>
      </c>
      <c r="F3086" t="inlineStr">
        <is>
          <t>Lifestyle</t>
        </is>
      </c>
      <c r="G3086" t="inlineStr">
        <is>
          <t>Fitness</t>
        </is>
      </c>
      <c r="H3086" t="inlineStr">
        <is>
          <t>Personal &gt; Lifestyle &gt; Quick Add &gt; Fitness</t>
        </is>
      </c>
      <c r="I3086" s="18" t="n">
        <v>14080.42</v>
      </c>
      <c r="J3086" t="inlineStr">
        <is>
          <t>Created MTR-IOS-3085 and correlation note visible in Activity/Pulse</t>
        </is>
      </c>
      <c r="K3086" t="inlineStr">
        <is>
          <t>NOT_RUN</t>
        </is>
      </c>
      <c r="P3086" t="n">
        <v>0</v>
      </c>
      <c r="Q3086" t="n">
        <v>3085</v>
      </c>
    </row>
    <row r="3087">
      <c r="A3087" t="n">
        <v>3086</v>
      </c>
      <c r="B3087" t="inlineStr">
        <is>
          <t>MTR-IOS-3086</t>
        </is>
      </c>
      <c r="C3087" t="inlineStr">
        <is>
          <t>iPhone</t>
        </is>
      </c>
      <c r="D3087" t="inlineStr">
        <is>
          <t>Group</t>
        </is>
      </c>
      <c r="E3087" t="inlineStr">
        <is>
          <t>Shared Living</t>
        </is>
      </c>
      <c r="F3087" t="inlineStr">
        <is>
          <t>Flatmates</t>
        </is>
      </c>
      <c r="G3087" t="inlineStr">
        <is>
          <t>Internet</t>
        </is>
      </c>
      <c r="H3087" t="inlineStr">
        <is>
          <t>Group &gt; Flatmates &gt; Quick Add &gt; Internet</t>
        </is>
      </c>
      <c r="I3087" s="18" t="n">
        <v>6368.95</v>
      </c>
      <c r="J3087" t="inlineStr">
        <is>
          <t>Created MTR-IOS-3086 and correlation note visible in Activity/Pulse</t>
        </is>
      </c>
      <c r="K3087" t="inlineStr">
        <is>
          <t>NOT_RUN</t>
        </is>
      </c>
      <c r="P3087" t="n">
        <v>0</v>
      </c>
      <c r="Q3087" t="n">
        <v>3086</v>
      </c>
    </row>
    <row r="3088">
      <c r="A3088" t="n">
        <v>3087</v>
      </c>
      <c r="B3088" t="inlineStr">
        <is>
          <t>MTR-IOS-3087</t>
        </is>
      </c>
      <c r="C3088" t="inlineStr">
        <is>
          <t>iPhone</t>
        </is>
      </c>
      <c r="D3088" t="inlineStr">
        <is>
          <t>Business</t>
        </is>
      </c>
      <c r="E3088" t="inlineStr">
        <is>
          <t>Business</t>
        </is>
      </c>
      <c r="F3088" t="inlineStr">
        <is>
          <t>Business Operations</t>
        </is>
      </c>
      <c r="G3088" t="inlineStr">
        <is>
          <t>Tax</t>
        </is>
      </c>
      <c r="H3088" t="inlineStr">
        <is>
          <t>Business &gt; Business Operations &gt; Quick Add &gt; Tax</t>
        </is>
      </c>
      <c r="I3088" s="18" t="n">
        <v>48549.72</v>
      </c>
      <c r="J3088" t="inlineStr">
        <is>
          <t>Created MTR-IOS-3087 and correlation note visible in Activity/Pulse</t>
        </is>
      </c>
      <c r="K3088" t="inlineStr">
        <is>
          <t>NOT_RUN</t>
        </is>
      </c>
      <c r="P3088" t="n">
        <v>0</v>
      </c>
      <c r="Q3088" t="n">
        <v>3087</v>
      </c>
    </row>
    <row r="3089">
      <c r="A3089" t="n">
        <v>3088</v>
      </c>
      <c r="B3089" t="inlineStr">
        <is>
          <t>MTR-IOS-3088</t>
        </is>
      </c>
      <c r="C3089" t="inlineStr">
        <is>
          <t>iPhone</t>
        </is>
      </c>
      <c r="D3089" t="inlineStr">
        <is>
          <t>Personal</t>
        </is>
      </c>
      <c r="E3089" t="inlineStr">
        <is>
          <t>Personal</t>
        </is>
      </c>
      <c r="F3089" t="inlineStr">
        <is>
          <t>Lifestyle</t>
        </is>
      </c>
      <c r="G3089" t="inlineStr">
        <is>
          <t>Hobbies</t>
        </is>
      </c>
      <c r="H3089" t="inlineStr">
        <is>
          <t>Personal &gt; Lifestyle &gt; Quick Add &gt; Hobbies</t>
        </is>
      </c>
      <c r="I3089" s="18" t="n">
        <v>12583.41</v>
      </c>
      <c r="J3089" t="inlineStr">
        <is>
          <t>Created MTR-IOS-3088 and correlation note visible in Activity/Pulse</t>
        </is>
      </c>
      <c r="K3089" t="inlineStr">
        <is>
          <t>NOT_RUN</t>
        </is>
      </c>
      <c r="P3089" t="n">
        <v>0</v>
      </c>
      <c r="Q3089" t="n">
        <v>3088</v>
      </c>
    </row>
    <row r="3090">
      <c r="A3090" t="n">
        <v>3089</v>
      </c>
      <c r="B3090" t="inlineStr">
        <is>
          <t>MTR-IOS-3089</t>
        </is>
      </c>
      <c r="C3090" t="inlineStr">
        <is>
          <t>iPhone</t>
        </is>
      </c>
      <c r="D3090" t="inlineStr">
        <is>
          <t>Group</t>
        </is>
      </c>
      <c r="E3090" t="inlineStr">
        <is>
          <t>Shared Living</t>
        </is>
      </c>
      <c r="F3090" t="inlineStr">
        <is>
          <t>Flatmates</t>
        </is>
      </c>
      <c r="G3090" t="inlineStr">
        <is>
          <t>House Supplies</t>
        </is>
      </c>
      <c r="H3090" t="inlineStr">
        <is>
          <t>Group &gt; Flatmates &gt; Quick Add &gt; House Supplies</t>
        </is>
      </c>
      <c r="I3090" s="18" t="n">
        <v>26483.92</v>
      </c>
      <c r="J3090" t="inlineStr">
        <is>
          <t>Created MTR-IOS-3089 and correlation note visible in Activity/Pulse</t>
        </is>
      </c>
      <c r="K3090" t="inlineStr">
        <is>
          <t>NOT_RUN</t>
        </is>
      </c>
      <c r="P3090" t="n">
        <v>0</v>
      </c>
      <c r="Q3090" t="n">
        <v>3089</v>
      </c>
    </row>
    <row r="3091">
      <c r="A3091" t="n">
        <v>3090</v>
      </c>
      <c r="B3091" t="inlineStr">
        <is>
          <t>MTR-IOS-3090</t>
        </is>
      </c>
      <c r="C3091" t="inlineStr">
        <is>
          <t>iPhone</t>
        </is>
      </c>
      <c r="D3091" t="inlineStr">
        <is>
          <t>Business</t>
        </is>
      </c>
      <c r="E3091" t="inlineStr">
        <is>
          <t>Business</t>
        </is>
      </c>
      <c r="F3091" t="inlineStr">
        <is>
          <t>Team Operations</t>
        </is>
      </c>
      <c r="G3091" t="inlineStr">
        <is>
          <t>Payroll</t>
        </is>
      </c>
      <c r="H3091" t="inlineStr">
        <is>
          <t>Business &gt; Team Operations &gt; Quick Add &gt; Payroll</t>
        </is>
      </c>
      <c r="I3091" s="18" t="n">
        <v>16038.77</v>
      </c>
      <c r="J3091" t="inlineStr">
        <is>
          <t>Created MTR-IOS-3090 and correlation note visible in Activity/Pulse</t>
        </is>
      </c>
      <c r="K3091" t="inlineStr">
        <is>
          <t>NOT_RUN</t>
        </is>
      </c>
      <c r="P3091" t="n">
        <v>0</v>
      </c>
      <c r="Q3091" t="n">
        <v>3090</v>
      </c>
    </row>
    <row r="3092">
      <c r="A3092" t="n">
        <v>3091</v>
      </c>
      <c r="B3092" t="inlineStr">
        <is>
          <t>MTR-IOS-3091</t>
        </is>
      </c>
      <c r="C3092" t="inlineStr">
        <is>
          <t>iPhone</t>
        </is>
      </c>
      <c r="D3092" t="inlineStr">
        <is>
          <t>Personal</t>
        </is>
      </c>
      <c r="E3092" t="inlineStr">
        <is>
          <t>Personal</t>
        </is>
      </c>
      <c r="F3092" t="inlineStr">
        <is>
          <t>Relationships</t>
        </is>
      </c>
      <c r="G3092" t="inlineStr">
        <is>
          <t>Gifts</t>
        </is>
      </c>
      <c r="H3092" t="inlineStr">
        <is>
          <t>Personal &gt; Relationships &gt; Quick Add &gt; Gifts</t>
        </is>
      </c>
      <c r="I3092" s="18" t="n">
        <v>13722.18</v>
      </c>
      <c r="J3092" t="inlineStr">
        <is>
          <t>Created MTR-IOS-3091 and correlation note visible in Activity/Pulse</t>
        </is>
      </c>
      <c r="K3092" t="inlineStr">
        <is>
          <t>NOT_RUN</t>
        </is>
      </c>
      <c r="P3092" t="n">
        <v>0</v>
      </c>
      <c r="Q3092" t="n">
        <v>3091</v>
      </c>
    </row>
    <row r="3093">
      <c r="A3093" t="n">
        <v>3092</v>
      </c>
      <c r="B3093" t="inlineStr">
        <is>
          <t>MTR-IOS-3092</t>
        </is>
      </c>
      <c r="C3093" t="inlineStr">
        <is>
          <t>iPhone</t>
        </is>
      </c>
      <c r="D3093" t="inlineStr">
        <is>
          <t>Group</t>
        </is>
      </c>
      <c r="E3093" t="inlineStr">
        <is>
          <t>Shared Living</t>
        </is>
      </c>
      <c r="F3093" t="inlineStr">
        <is>
          <t>Flatmates</t>
        </is>
      </c>
      <c r="G3093" t="inlineStr">
        <is>
          <t>Repairs</t>
        </is>
      </c>
      <c r="H3093" t="inlineStr">
        <is>
          <t>Group &gt; Flatmates &gt; Quick Add &gt; Repairs</t>
        </is>
      </c>
      <c r="I3093" s="18" t="n">
        <v>1456.23</v>
      </c>
      <c r="J3093" t="inlineStr">
        <is>
          <t>Created MTR-IOS-3092 and correlation note visible in Activity/Pulse</t>
        </is>
      </c>
      <c r="K3093" t="inlineStr">
        <is>
          <t>NOT_RUN</t>
        </is>
      </c>
      <c r="P3093" t="n">
        <v>0</v>
      </c>
      <c r="Q3093" t="n">
        <v>3092</v>
      </c>
    </row>
    <row r="3094">
      <c r="A3094" t="n">
        <v>3093</v>
      </c>
      <c r="B3094" t="inlineStr">
        <is>
          <t>MTR-IOS-3093</t>
        </is>
      </c>
      <c r="C3094" t="inlineStr">
        <is>
          <t>iPhone</t>
        </is>
      </c>
      <c r="D3094" t="inlineStr">
        <is>
          <t>Business</t>
        </is>
      </c>
      <c r="E3094" t="inlineStr">
        <is>
          <t>Business</t>
        </is>
      </c>
      <c r="F3094" t="inlineStr">
        <is>
          <t>Team Operations</t>
        </is>
      </c>
      <c r="G3094" t="inlineStr">
        <is>
          <t>Contractor</t>
        </is>
      </c>
      <c r="H3094" t="inlineStr">
        <is>
          <t>Business &gt; Team Operations &gt; Quick Add &gt; Contractor</t>
        </is>
      </c>
      <c r="I3094" s="18" t="n">
        <v>48254.08</v>
      </c>
      <c r="J3094" t="inlineStr">
        <is>
          <t>Created MTR-IOS-3093 and correlation note visible in Activity/Pulse</t>
        </is>
      </c>
      <c r="K3094" t="inlineStr">
        <is>
          <t>NOT_RUN</t>
        </is>
      </c>
      <c r="P3094" t="n">
        <v>0</v>
      </c>
      <c r="Q3094" t="n">
        <v>3093</v>
      </c>
    </row>
    <row r="3095">
      <c r="A3095" t="n">
        <v>3094</v>
      </c>
      <c r="B3095" t="inlineStr">
        <is>
          <t>MTR-IOS-3094</t>
        </is>
      </c>
      <c r="C3095" t="inlineStr">
        <is>
          <t>iPhone</t>
        </is>
      </c>
      <c r="D3095" t="inlineStr">
        <is>
          <t>Personal</t>
        </is>
      </c>
      <c r="E3095" t="inlineStr">
        <is>
          <t>Personal</t>
        </is>
      </c>
      <c r="F3095" t="inlineStr">
        <is>
          <t>Relationships</t>
        </is>
      </c>
      <c r="G3095" t="inlineStr">
        <is>
          <t>Dates</t>
        </is>
      </c>
      <c r="H3095" t="inlineStr">
        <is>
          <t>Personal &gt; Relationships &gt; Quick Add &gt; Dates</t>
        </is>
      </c>
      <c r="I3095" s="18" t="n">
        <v>12786.28</v>
      </c>
      <c r="J3095" t="inlineStr">
        <is>
          <t>Created MTR-IOS-3094 and correlation note visible in Activity/Pulse</t>
        </is>
      </c>
      <c r="K3095" t="inlineStr">
        <is>
          <t>NOT_RUN</t>
        </is>
      </c>
      <c r="P3095" t="n">
        <v>0</v>
      </c>
      <c r="Q3095" t="n">
        <v>3094</v>
      </c>
    </row>
    <row r="3096">
      <c r="A3096" t="n">
        <v>3095</v>
      </c>
      <c r="B3096" t="inlineStr">
        <is>
          <t>MTR-IOS-3095</t>
        </is>
      </c>
      <c r="C3096" t="inlineStr">
        <is>
          <t>iPhone</t>
        </is>
      </c>
      <c r="D3096" t="inlineStr">
        <is>
          <t>Group</t>
        </is>
      </c>
      <c r="E3096" t="inlineStr">
        <is>
          <t>Shared Living</t>
        </is>
      </c>
      <c r="F3096" t="inlineStr">
        <is>
          <t>Shared Living</t>
        </is>
      </c>
      <c r="G3096" t="inlineStr">
        <is>
          <t>Rent</t>
        </is>
      </c>
      <c r="H3096" t="inlineStr">
        <is>
          <t>Group &gt; Shared Living &gt; Quick Add &gt; Rent</t>
        </is>
      </c>
      <c r="I3096" s="18" t="n">
        <v>7466.73</v>
      </c>
      <c r="J3096" t="inlineStr">
        <is>
          <t>Created MTR-IOS-3095 and correlation note visible in Activity/Pulse</t>
        </is>
      </c>
      <c r="K3096" t="inlineStr">
        <is>
          <t>NOT_RUN</t>
        </is>
      </c>
      <c r="P3096" t="n">
        <v>0</v>
      </c>
      <c r="Q3096" t="n">
        <v>3095</v>
      </c>
    </row>
    <row r="3097">
      <c r="A3097" t="n">
        <v>3096</v>
      </c>
      <c r="B3097" t="inlineStr">
        <is>
          <t>MTR-IOS-3096</t>
        </is>
      </c>
      <c r="C3097" t="inlineStr">
        <is>
          <t>iPhone</t>
        </is>
      </c>
      <c r="D3097" t="inlineStr">
        <is>
          <t>Business</t>
        </is>
      </c>
      <c r="E3097" t="inlineStr">
        <is>
          <t>Business</t>
        </is>
      </c>
      <c r="F3097" t="inlineStr">
        <is>
          <t>Team Operations</t>
        </is>
      </c>
      <c r="G3097" t="inlineStr">
        <is>
          <t>Hiring</t>
        </is>
      </c>
      <c r="H3097" t="inlineStr">
        <is>
          <t>Business &gt; Team Operations &gt; Quick Add &gt; Hiring</t>
        </is>
      </c>
      <c r="I3097" s="18" t="n">
        <v>96926.75</v>
      </c>
      <c r="J3097" t="inlineStr">
        <is>
          <t>Created MTR-IOS-3096 and correlation note visible in Activity/Pulse</t>
        </is>
      </c>
      <c r="K3097" t="inlineStr">
        <is>
          <t>NOT_RUN</t>
        </is>
      </c>
      <c r="P3097" t="n">
        <v>0</v>
      </c>
      <c r="Q3097" t="n">
        <v>3096</v>
      </c>
    </row>
    <row r="3098">
      <c r="A3098" t="n">
        <v>3097</v>
      </c>
      <c r="B3098" t="inlineStr">
        <is>
          <t>MTR-IOS-3097</t>
        </is>
      </c>
      <c r="C3098" t="inlineStr">
        <is>
          <t>iPhone</t>
        </is>
      </c>
      <c r="D3098" t="inlineStr">
        <is>
          <t>Personal</t>
        </is>
      </c>
      <c r="E3098" t="inlineStr">
        <is>
          <t>Personal</t>
        </is>
      </c>
      <c r="F3098" t="inlineStr">
        <is>
          <t>Relationships</t>
        </is>
      </c>
      <c r="G3098" t="inlineStr">
        <is>
          <t>Family</t>
        </is>
      </c>
      <c r="H3098" t="inlineStr">
        <is>
          <t>Personal &gt; Relationships &gt; Quick Add &gt; Family</t>
        </is>
      </c>
      <c r="I3098" s="18" t="n">
        <v>6843.77</v>
      </c>
      <c r="J3098" t="inlineStr">
        <is>
          <t>Created MTR-IOS-3097 and correlation note visible in Activity/Pulse</t>
        </is>
      </c>
      <c r="K3098" t="inlineStr">
        <is>
          <t>NOT_RUN</t>
        </is>
      </c>
      <c r="P3098" t="n">
        <v>0</v>
      </c>
      <c r="Q3098" t="n">
        <v>3097</v>
      </c>
    </row>
    <row r="3099">
      <c r="A3099" t="n">
        <v>3098</v>
      </c>
      <c r="B3099" t="inlineStr">
        <is>
          <t>MTR-IOS-3098</t>
        </is>
      </c>
      <c r="C3099" t="inlineStr">
        <is>
          <t>iPhone</t>
        </is>
      </c>
      <c r="D3099" t="inlineStr">
        <is>
          <t>Group</t>
        </is>
      </c>
      <c r="E3099" t="inlineStr">
        <is>
          <t>Shared Living</t>
        </is>
      </c>
      <c r="F3099" t="inlineStr">
        <is>
          <t>Shared Living</t>
        </is>
      </c>
      <c r="G3099" t="inlineStr">
        <is>
          <t>Utilities</t>
        </is>
      </c>
      <c r="H3099" t="inlineStr">
        <is>
          <t>Group &gt; Shared Living &gt; Quick Add &gt; Utilities</t>
        </is>
      </c>
      <c r="I3099" s="18" t="n">
        <v>17933.77</v>
      </c>
      <c r="J3099" t="inlineStr">
        <is>
          <t>Created MTR-IOS-3098 and correlation note visible in Activity/Pulse</t>
        </is>
      </c>
      <c r="K3099" t="inlineStr">
        <is>
          <t>NOT_RUN</t>
        </is>
      </c>
      <c r="P3099" t="n">
        <v>0</v>
      </c>
      <c r="Q3099" t="n">
        <v>3098</v>
      </c>
    </row>
    <row r="3100">
      <c r="A3100" t="n">
        <v>3099</v>
      </c>
      <c r="B3100" t="inlineStr">
        <is>
          <t>MTR-IOS-3099</t>
        </is>
      </c>
      <c r="C3100" t="inlineStr">
        <is>
          <t>iPhone</t>
        </is>
      </c>
      <c r="D3100" t="inlineStr">
        <is>
          <t>Business</t>
        </is>
      </c>
      <c r="E3100" t="inlineStr">
        <is>
          <t>Business</t>
        </is>
      </c>
      <c r="F3100" t="inlineStr">
        <is>
          <t>Team Operations</t>
        </is>
      </c>
      <c r="G3100" t="inlineStr">
        <is>
          <t>Team Meal</t>
        </is>
      </c>
      <c r="H3100" t="inlineStr">
        <is>
          <t>Business &gt; Team Operations &gt; Quick Add &gt; Team Meal</t>
        </is>
      </c>
      <c r="I3100" s="18" t="n">
        <v>89854.11</v>
      </c>
      <c r="J3100" t="inlineStr">
        <is>
          <t>Created MTR-IOS-3099 and correlation note visible in Activity/Pulse</t>
        </is>
      </c>
      <c r="K3100" t="inlineStr">
        <is>
          <t>NOT_RUN</t>
        </is>
      </c>
      <c r="P3100" t="n">
        <v>0</v>
      </c>
      <c r="Q3100" t="n">
        <v>3099</v>
      </c>
    </row>
    <row r="3101">
      <c r="A3101" t="n">
        <v>3100</v>
      </c>
      <c r="B3101" t="inlineStr">
        <is>
          <t>MTR-IOS-3100</t>
        </is>
      </c>
      <c r="C3101" t="inlineStr">
        <is>
          <t>iPhone</t>
        </is>
      </c>
      <c r="D3101" t="inlineStr">
        <is>
          <t>Personal</t>
        </is>
      </c>
      <c r="E3101" t="inlineStr">
        <is>
          <t>Personal</t>
        </is>
      </c>
      <c r="F3101" t="inlineStr">
        <is>
          <t>Relationships</t>
        </is>
      </c>
      <c r="G3101" t="inlineStr">
        <is>
          <t>Friends</t>
        </is>
      </c>
      <c r="H3101" t="inlineStr">
        <is>
          <t>Personal &gt; Relationships &gt; Quick Add &gt; Friends</t>
        </is>
      </c>
      <c r="I3101" s="18" t="n">
        <v>9505.969999999999</v>
      </c>
      <c r="J3101" t="inlineStr">
        <is>
          <t>Created MTR-IOS-3100 and correlation note visible in Activity/Pulse</t>
        </is>
      </c>
      <c r="K3101" t="inlineStr">
        <is>
          <t>NOT_RUN</t>
        </is>
      </c>
      <c r="P3101" t="n">
        <v>0</v>
      </c>
      <c r="Q3101" t="n">
        <v>3100</v>
      </c>
    </row>
    <row r="3102">
      <c r="A3102" t="n">
        <v>3101</v>
      </c>
      <c r="B3102" t="inlineStr">
        <is>
          <t>MTR-IOS-3101</t>
        </is>
      </c>
      <c r="C3102" t="inlineStr">
        <is>
          <t>iPhone</t>
        </is>
      </c>
      <c r="D3102" t="inlineStr">
        <is>
          <t>Group</t>
        </is>
      </c>
      <c r="E3102" t="inlineStr">
        <is>
          <t>Shared Living</t>
        </is>
      </c>
      <c r="F3102" t="inlineStr">
        <is>
          <t>Shared Living</t>
        </is>
      </c>
      <c r="G3102" t="inlineStr">
        <is>
          <t>Groceries</t>
        </is>
      </c>
      <c r="H3102" t="inlineStr">
        <is>
          <t>Group &gt; Shared Living &gt; Quick Add &gt; Groceries</t>
        </is>
      </c>
      <c r="I3102" s="18" t="n">
        <v>20018.83</v>
      </c>
      <c r="J3102" t="inlineStr">
        <is>
          <t>Created MTR-IOS-3101 and correlation note visible in Activity/Pulse</t>
        </is>
      </c>
      <c r="K3102" t="inlineStr">
        <is>
          <t>NOT_RUN</t>
        </is>
      </c>
      <c r="P3102" t="n">
        <v>0</v>
      </c>
      <c r="Q3102" t="n">
        <v>3101</v>
      </c>
    </row>
    <row r="3103">
      <c r="A3103" t="n">
        <v>3102</v>
      </c>
      <c r="B3103" t="inlineStr">
        <is>
          <t>MTR-IOS-3102</t>
        </is>
      </c>
      <c r="C3103" t="inlineStr">
        <is>
          <t>iPhone</t>
        </is>
      </c>
      <c r="D3103" t="inlineStr">
        <is>
          <t>Business</t>
        </is>
      </c>
      <c r="E3103" t="inlineStr">
        <is>
          <t>Business</t>
        </is>
      </c>
      <c r="F3103" t="inlineStr">
        <is>
          <t>Team Operations</t>
        </is>
      </c>
      <c r="G3103" t="inlineStr">
        <is>
          <t>Travel</t>
        </is>
      </c>
      <c r="H3103" t="inlineStr">
        <is>
          <t>Business &gt; Team Operations &gt; Quick Add &gt; Travel</t>
        </is>
      </c>
      <c r="I3103" s="18" t="n">
        <v>134124.94</v>
      </c>
      <c r="J3103" t="inlineStr">
        <is>
          <t>Created MTR-IOS-3102 and correlation note visible in Activity/Pulse</t>
        </is>
      </c>
      <c r="K3103" t="inlineStr">
        <is>
          <t>NOT_RUN</t>
        </is>
      </c>
      <c r="P3103" t="n">
        <v>0</v>
      </c>
      <c r="Q3103" t="n">
        <v>3102</v>
      </c>
    </row>
    <row r="3104">
      <c r="A3104" t="n">
        <v>3103</v>
      </c>
      <c r="B3104" t="inlineStr">
        <is>
          <t>MTR-IOS-3103</t>
        </is>
      </c>
      <c r="C3104" t="inlineStr">
        <is>
          <t>iPhone</t>
        </is>
      </c>
      <c r="D3104" t="inlineStr">
        <is>
          <t>Personal</t>
        </is>
      </c>
      <c r="E3104" t="inlineStr">
        <is>
          <t>Personal</t>
        </is>
      </c>
      <c r="F3104" t="inlineStr">
        <is>
          <t>Relationships</t>
        </is>
      </c>
      <c r="G3104" t="inlineStr">
        <is>
          <t>Celebrations</t>
        </is>
      </c>
      <c r="H3104" t="inlineStr">
        <is>
          <t>Personal &gt; Relationships &gt; Quick Add &gt; Celebrations</t>
        </is>
      </c>
      <c r="I3104" s="18" t="n">
        <v>8501.059999999999</v>
      </c>
      <c r="J3104" t="inlineStr">
        <is>
          <t>Created MTR-IOS-3103 and correlation note visible in Activity/Pulse</t>
        </is>
      </c>
      <c r="K3104" t="inlineStr">
        <is>
          <t>NOT_RUN</t>
        </is>
      </c>
      <c r="P3104" t="n">
        <v>0</v>
      </c>
      <c r="Q3104" t="n">
        <v>3103</v>
      </c>
    </row>
    <row r="3105">
      <c r="A3105" t="n">
        <v>3104</v>
      </c>
      <c r="B3105" t="inlineStr">
        <is>
          <t>MTR-IOS-3104</t>
        </is>
      </c>
      <c r="C3105" t="inlineStr">
        <is>
          <t>iPhone</t>
        </is>
      </c>
      <c r="D3105" t="inlineStr">
        <is>
          <t>Group</t>
        </is>
      </c>
      <c r="E3105" t="inlineStr">
        <is>
          <t>Shared Living</t>
        </is>
      </c>
      <c r="F3105" t="inlineStr">
        <is>
          <t>Shared Living</t>
        </is>
      </c>
      <c r="G3105" t="inlineStr">
        <is>
          <t>Maintenance</t>
        </is>
      </c>
      <c r="H3105" t="inlineStr">
        <is>
          <t>Group &gt; Shared Living &gt; Quick Add &gt; Maintenance</t>
        </is>
      </c>
      <c r="I3105" s="18" t="n">
        <v>13523.09</v>
      </c>
      <c r="J3105" t="inlineStr">
        <is>
          <t>Created MTR-IOS-3104 and correlation note visible in Activity/Pulse</t>
        </is>
      </c>
      <c r="K3105" t="inlineStr">
        <is>
          <t>NOT_RUN</t>
        </is>
      </c>
      <c r="P3105" t="n">
        <v>0</v>
      </c>
      <c r="Q3105" t="n">
        <v>3104</v>
      </c>
    </row>
    <row r="3106">
      <c r="A3106" t="n">
        <v>3105</v>
      </c>
      <c r="B3106" t="inlineStr">
        <is>
          <t>MTR-IOS-3105</t>
        </is>
      </c>
      <c r="C3106" t="inlineStr">
        <is>
          <t>iPhone</t>
        </is>
      </c>
      <c r="D3106" t="inlineStr">
        <is>
          <t>Business</t>
        </is>
      </c>
      <c r="E3106" t="inlineStr">
        <is>
          <t>Business</t>
        </is>
      </c>
      <c r="F3106" t="inlineStr">
        <is>
          <t>Team Operations</t>
        </is>
      </c>
      <c r="G3106" t="inlineStr">
        <is>
          <t>Training</t>
        </is>
      </c>
      <c r="H3106" t="inlineStr">
        <is>
          <t>Business &gt; Team Operations &gt; Quick Add &gt; Training</t>
        </is>
      </c>
      <c r="I3106" s="18" t="n">
        <v>84981.31</v>
      </c>
      <c r="J3106" t="inlineStr">
        <is>
          <t>Created MTR-IOS-3105 and correlation note visible in Activity/Pulse</t>
        </is>
      </c>
      <c r="K3106" t="inlineStr">
        <is>
          <t>NOT_RUN</t>
        </is>
      </c>
      <c r="P3106" t="n">
        <v>0</v>
      </c>
      <c r="Q3106" t="n">
        <v>3105</v>
      </c>
    </row>
    <row r="3107">
      <c r="A3107" t="n">
        <v>3106</v>
      </c>
      <c r="B3107" t="inlineStr">
        <is>
          <t>MTR-IOS-3106</t>
        </is>
      </c>
      <c r="C3107" t="inlineStr">
        <is>
          <t>iPhone</t>
        </is>
      </c>
      <c r="D3107" t="inlineStr">
        <is>
          <t>Personal</t>
        </is>
      </c>
      <c r="E3107" t="inlineStr">
        <is>
          <t>Personal</t>
        </is>
      </c>
      <c r="F3107" t="inlineStr">
        <is>
          <t>Life Operations</t>
        </is>
      </c>
      <c r="G3107" t="inlineStr">
        <is>
          <t>Groceries</t>
        </is>
      </c>
      <c r="H3107" t="inlineStr">
        <is>
          <t>Personal &gt; Life Operations &gt; Quick Add &gt; Groceries</t>
        </is>
      </c>
      <c r="I3107" s="18" t="n">
        <v>14963.53</v>
      </c>
      <c r="J3107" t="inlineStr">
        <is>
          <t>Created MTR-IOS-3106 and correlation note visible in Activity/Pulse</t>
        </is>
      </c>
      <c r="K3107" t="inlineStr">
        <is>
          <t>NOT_RUN</t>
        </is>
      </c>
      <c r="P3107" t="n">
        <v>0</v>
      </c>
      <c r="Q3107" t="n">
        <v>3106</v>
      </c>
    </row>
    <row r="3108">
      <c r="A3108" t="n">
        <v>3107</v>
      </c>
      <c r="B3108" t="inlineStr">
        <is>
          <t>MTR-IOS-3107</t>
        </is>
      </c>
      <c r="C3108" t="inlineStr">
        <is>
          <t>iPhone</t>
        </is>
      </c>
      <c r="D3108" t="inlineStr">
        <is>
          <t>Group</t>
        </is>
      </c>
      <c r="E3108" t="inlineStr">
        <is>
          <t>Shared Living</t>
        </is>
      </c>
      <c r="F3108" t="inlineStr">
        <is>
          <t>Shared Living</t>
        </is>
      </c>
      <c r="G3108" t="inlineStr">
        <is>
          <t>Other</t>
        </is>
      </c>
      <c r="H3108" t="inlineStr">
        <is>
          <t>Group &gt; Shared Living &gt; Quick Add &gt; Other</t>
        </is>
      </c>
      <c r="I3108" s="18" t="n">
        <v>17307.1</v>
      </c>
      <c r="J3108" t="inlineStr">
        <is>
          <t>Created MTR-IOS-3107 and correlation note visible in Activity/Pulse</t>
        </is>
      </c>
      <c r="K3108" t="inlineStr">
        <is>
          <t>NOT_RUN</t>
        </is>
      </c>
      <c r="P3108" t="n">
        <v>0</v>
      </c>
      <c r="Q3108" t="n">
        <v>3107</v>
      </c>
    </row>
    <row r="3109">
      <c r="A3109" t="n">
        <v>3108</v>
      </c>
      <c r="B3109" t="inlineStr">
        <is>
          <t>MTR-IOS-3108</t>
        </is>
      </c>
      <c r="C3109" t="inlineStr">
        <is>
          <t>iPhone</t>
        </is>
      </c>
      <c r="D3109" t="inlineStr">
        <is>
          <t>Business</t>
        </is>
      </c>
      <c r="E3109" t="inlineStr">
        <is>
          <t>Business</t>
        </is>
      </c>
      <c r="F3109" t="inlineStr">
        <is>
          <t>Team Operations</t>
        </is>
      </c>
      <c r="G3109" t="inlineStr">
        <is>
          <t>Tools</t>
        </is>
      </c>
      <c r="H3109" t="inlineStr">
        <is>
          <t>Business &gt; Team Operations &gt; Quick Add &gt; Tools</t>
        </is>
      </c>
      <c r="I3109" s="18" t="n">
        <v>0.01</v>
      </c>
      <c r="J3109" t="inlineStr">
        <is>
          <t>Created MTR-IOS-3108 and correlation note visible in Activity/Pulse</t>
        </is>
      </c>
      <c r="K3109" t="inlineStr">
        <is>
          <t>NOT_RUN</t>
        </is>
      </c>
      <c r="P3109" t="n">
        <v>0</v>
      </c>
      <c r="Q3109" t="n">
        <v>3108</v>
      </c>
    </row>
    <row r="3110">
      <c r="A3110" t="n">
        <v>3109</v>
      </c>
      <c r="B3110" t="inlineStr">
        <is>
          <t>MTR-IOS-3109</t>
        </is>
      </c>
      <c r="C3110" t="inlineStr">
        <is>
          <t>iPhone</t>
        </is>
      </c>
      <c r="D3110" t="inlineStr">
        <is>
          <t>Personal</t>
        </is>
      </c>
      <c r="E3110" t="inlineStr">
        <is>
          <t>Personal</t>
        </is>
      </c>
      <c r="F3110" t="inlineStr">
        <is>
          <t>Life Operations</t>
        </is>
      </c>
      <c r="G3110" t="inlineStr">
        <is>
          <t>Rent</t>
        </is>
      </c>
      <c r="H3110" t="inlineStr">
        <is>
          <t>Personal &gt; Life Operations &gt; Quick Add &gt; Rent</t>
        </is>
      </c>
      <c r="I3110" s="18" t="n">
        <v>6119.84</v>
      </c>
      <c r="J3110" t="inlineStr">
        <is>
          <t>Created MTR-IOS-3109 and correlation note visible in Activity/Pulse</t>
        </is>
      </c>
      <c r="K3110" t="inlineStr">
        <is>
          <t>NOT_RUN</t>
        </is>
      </c>
      <c r="P3110" t="n">
        <v>0</v>
      </c>
      <c r="Q3110" t="n">
        <v>3109</v>
      </c>
    </row>
    <row r="3111">
      <c r="A3111" t="n">
        <v>3110</v>
      </c>
      <c r="B3111" t="inlineStr">
        <is>
          <t>MTR-IOS-3110</t>
        </is>
      </c>
      <c r="C3111" t="inlineStr">
        <is>
          <t>iPhone</t>
        </is>
      </c>
      <c r="D3111" t="inlineStr">
        <is>
          <t>Group</t>
        </is>
      </c>
      <c r="E3111" t="inlineStr">
        <is>
          <t>Shared Living</t>
        </is>
      </c>
      <c r="F3111" t="inlineStr">
        <is>
          <t>Family Household</t>
        </is>
      </c>
      <c r="G3111" t="inlineStr">
        <is>
          <t>Groceries</t>
        </is>
      </c>
      <c r="H3111" t="inlineStr">
        <is>
          <t>Group &gt; Family Household &gt; Quick Add &gt; Groceries</t>
        </is>
      </c>
      <c r="I3111" s="18" t="n">
        <v>26473.19</v>
      </c>
      <c r="J3111" t="inlineStr">
        <is>
          <t>Created MTR-IOS-3110 and correlation note visible in Activity/Pulse</t>
        </is>
      </c>
      <c r="K3111" t="inlineStr">
        <is>
          <t>NOT_RUN</t>
        </is>
      </c>
      <c r="P3111" t="n">
        <v>0</v>
      </c>
      <c r="Q3111" t="n">
        <v>3110</v>
      </c>
    </row>
    <row r="3112">
      <c r="A3112" t="n">
        <v>3111</v>
      </c>
      <c r="B3112" t="inlineStr">
        <is>
          <t>MTR-IOS-3111</t>
        </is>
      </c>
      <c r="C3112" t="inlineStr">
        <is>
          <t>iPhone</t>
        </is>
      </c>
      <c r="D3112" t="inlineStr">
        <is>
          <t>Business</t>
        </is>
      </c>
      <c r="E3112" t="inlineStr">
        <is>
          <t>Business</t>
        </is>
      </c>
      <c r="F3112" t="inlineStr">
        <is>
          <t>Business Runway</t>
        </is>
      </c>
      <c r="G3112" t="inlineStr">
        <is>
          <t>Funding</t>
        </is>
      </c>
      <c r="H3112" t="inlineStr">
        <is>
          <t>Business &gt; Business Runway &gt; Quick Add &gt; Funding</t>
        </is>
      </c>
      <c r="I3112" s="18" t="n">
        <v>129496.97</v>
      </c>
      <c r="J3112" t="inlineStr">
        <is>
          <t>Created MTR-IOS-3111 and correlation note visible in Activity/Pulse</t>
        </is>
      </c>
      <c r="K3112" t="inlineStr">
        <is>
          <t>NOT_RUN</t>
        </is>
      </c>
      <c r="P3112" t="n">
        <v>0</v>
      </c>
      <c r="Q3112" t="n">
        <v>3111</v>
      </c>
    </row>
    <row r="3113">
      <c r="A3113" t="n">
        <v>3112</v>
      </c>
      <c r="B3113" t="inlineStr">
        <is>
          <t>MTR-IOS-3112</t>
        </is>
      </c>
      <c r="C3113" t="inlineStr">
        <is>
          <t>iPhone</t>
        </is>
      </c>
      <c r="D3113" t="inlineStr">
        <is>
          <t>Personal</t>
        </is>
      </c>
      <c r="E3113" t="inlineStr">
        <is>
          <t>Personal</t>
        </is>
      </c>
      <c r="F3113" t="inlineStr">
        <is>
          <t>Life Operations</t>
        </is>
      </c>
      <c r="G3113" t="inlineStr">
        <is>
          <t>Bills</t>
        </is>
      </c>
      <c r="H3113" t="inlineStr">
        <is>
          <t>Personal &gt; Life Operations &gt; Quick Add &gt; Bills</t>
        </is>
      </c>
      <c r="I3113" s="18" t="n">
        <v>9539.379999999999</v>
      </c>
      <c r="J3113" t="inlineStr">
        <is>
          <t>Created MTR-IOS-3112 and correlation note visible in Activity/Pulse</t>
        </is>
      </c>
      <c r="K3113" t="inlineStr">
        <is>
          <t>NOT_RUN</t>
        </is>
      </c>
      <c r="P3113" t="n">
        <v>0</v>
      </c>
      <c r="Q3113" t="n">
        <v>3112</v>
      </c>
    </row>
    <row r="3114">
      <c r="A3114" t="n">
        <v>3113</v>
      </c>
      <c r="B3114" t="inlineStr">
        <is>
          <t>MTR-IOS-3113</t>
        </is>
      </c>
      <c r="C3114" t="inlineStr">
        <is>
          <t>iPhone</t>
        </is>
      </c>
      <c r="D3114" t="inlineStr">
        <is>
          <t>Group</t>
        </is>
      </c>
      <c r="E3114" t="inlineStr">
        <is>
          <t>Shared Living</t>
        </is>
      </c>
      <c r="F3114" t="inlineStr">
        <is>
          <t>Family Household</t>
        </is>
      </c>
      <c r="G3114" t="inlineStr">
        <is>
          <t>Bills</t>
        </is>
      </c>
      <c r="H3114" t="inlineStr">
        <is>
          <t>Group &gt; Family Household &gt; Quick Add &gt; Bills</t>
        </is>
      </c>
      <c r="I3114" s="18" t="n">
        <v>2859.32</v>
      </c>
      <c r="J3114" t="inlineStr">
        <is>
          <t>Created MTR-IOS-3113 and correlation note visible in Activity/Pulse</t>
        </is>
      </c>
      <c r="K3114" t="inlineStr">
        <is>
          <t>NOT_RUN</t>
        </is>
      </c>
      <c r="P3114" t="n">
        <v>0</v>
      </c>
      <c r="Q3114" t="n">
        <v>3113</v>
      </c>
    </row>
    <row r="3115">
      <c r="A3115" t="n">
        <v>3114</v>
      </c>
      <c r="B3115" t="inlineStr">
        <is>
          <t>MTR-IOS-3114</t>
        </is>
      </c>
      <c r="C3115" t="inlineStr">
        <is>
          <t>iPhone</t>
        </is>
      </c>
      <c r="D3115" t="inlineStr">
        <is>
          <t>Business</t>
        </is>
      </c>
      <c r="E3115" t="inlineStr">
        <is>
          <t>Business</t>
        </is>
      </c>
      <c r="F3115" t="inlineStr">
        <is>
          <t>Business Runway</t>
        </is>
      </c>
      <c r="G3115" t="inlineStr">
        <is>
          <t>Revenue</t>
        </is>
      </c>
      <c r="H3115" t="inlineStr">
        <is>
          <t>Business &gt; Business Runway &gt; Quick Add &gt; Revenue</t>
        </is>
      </c>
      <c r="I3115" s="18" t="n">
        <v>30245.29</v>
      </c>
      <c r="J3115" t="inlineStr">
        <is>
          <t>Created MTR-IOS-3114 and correlation note visible in Activity/Pulse</t>
        </is>
      </c>
      <c r="K3115" t="inlineStr">
        <is>
          <t>NOT_RUN</t>
        </is>
      </c>
      <c r="P3115" t="n">
        <v>0</v>
      </c>
      <c r="Q3115" t="n">
        <v>3114</v>
      </c>
    </row>
    <row r="3116">
      <c r="A3116" t="n">
        <v>3115</v>
      </c>
      <c r="B3116" t="inlineStr">
        <is>
          <t>MTR-IOS-3115</t>
        </is>
      </c>
      <c r="C3116" t="inlineStr">
        <is>
          <t>iPhone</t>
        </is>
      </c>
      <c r="D3116" t="inlineStr">
        <is>
          <t>Personal</t>
        </is>
      </c>
      <c r="E3116" t="inlineStr">
        <is>
          <t>Personal</t>
        </is>
      </c>
      <c r="F3116" t="inlineStr">
        <is>
          <t>Life Operations</t>
        </is>
      </c>
      <c r="G3116" t="inlineStr">
        <is>
          <t>Transport</t>
        </is>
      </c>
      <c r="H3116" t="inlineStr">
        <is>
          <t>Personal &gt; Life Operations &gt; Quick Add &gt; Transport</t>
        </is>
      </c>
      <c r="I3116" s="18" t="n">
        <v>2952.68</v>
      </c>
      <c r="J3116" t="inlineStr">
        <is>
          <t>Created MTR-IOS-3115 and correlation note visible in Activity/Pulse</t>
        </is>
      </c>
      <c r="K3116" t="inlineStr">
        <is>
          <t>NOT_RUN</t>
        </is>
      </c>
      <c r="P3116" t="n">
        <v>0</v>
      </c>
      <c r="Q3116" t="n">
        <v>3115</v>
      </c>
    </row>
    <row r="3117">
      <c r="A3117" t="n">
        <v>3116</v>
      </c>
      <c r="B3117" t="inlineStr">
        <is>
          <t>MTR-IOS-3116</t>
        </is>
      </c>
      <c r="C3117" t="inlineStr">
        <is>
          <t>iPhone</t>
        </is>
      </c>
      <c r="D3117" t="inlineStr">
        <is>
          <t>Group</t>
        </is>
      </c>
      <c r="E3117" t="inlineStr">
        <is>
          <t>Shared Living</t>
        </is>
      </c>
      <c r="F3117" t="inlineStr">
        <is>
          <t>Family Household</t>
        </is>
      </c>
      <c r="G3117" t="inlineStr">
        <is>
          <t>School</t>
        </is>
      </c>
      <c r="H3117" t="inlineStr">
        <is>
          <t>Group &gt; Family Household &gt; Quick Add &gt; School</t>
        </is>
      </c>
      <c r="I3117" s="18" t="n">
        <v>19687.75</v>
      </c>
      <c r="J3117" t="inlineStr">
        <is>
          <t>Created MTR-IOS-3116 and correlation note visible in Activity/Pulse</t>
        </is>
      </c>
      <c r="K3117" t="inlineStr">
        <is>
          <t>NOT_RUN</t>
        </is>
      </c>
      <c r="P3117" t="n">
        <v>0</v>
      </c>
      <c r="Q3117" t="n">
        <v>3116</v>
      </c>
    </row>
    <row r="3118">
      <c r="A3118" t="n">
        <v>3117</v>
      </c>
      <c r="B3118" t="inlineStr">
        <is>
          <t>MTR-IOS-3117</t>
        </is>
      </c>
      <c r="C3118" t="inlineStr">
        <is>
          <t>iPhone</t>
        </is>
      </c>
      <c r="D3118" t="inlineStr">
        <is>
          <t>Business</t>
        </is>
      </c>
      <c r="E3118" t="inlineStr">
        <is>
          <t>Business</t>
        </is>
      </c>
      <c r="F3118" t="inlineStr">
        <is>
          <t>Business Runway</t>
        </is>
      </c>
      <c r="G3118" t="inlineStr">
        <is>
          <t>Burn</t>
        </is>
      </c>
      <c r="H3118" t="inlineStr">
        <is>
          <t>Business &gt; Business Runway &gt; Quick Add &gt; Burn</t>
        </is>
      </c>
      <c r="I3118" s="18" t="n">
        <v>28678.07</v>
      </c>
      <c r="J3118" t="inlineStr">
        <is>
          <t>Created MTR-IOS-3117 and correlation note visible in Activity/Pulse</t>
        </is>
      </c>
      <c r="K3118" t="inlineStr">
        <is>
          <t>NOT_RUN</t>
        </is>
      </c>
      <c r="P3118" t="n">
        <v>0</v>
      </c>
      <c r="Q3118" t="n">
        <v>3117</v>
      </c>
    </row>
    <row r="3119">
      <c r="A3119" t="n">
        <v>3118</v>
      </c>
      <c r="B3119" t="inlineStr">
        <is>
          <t>MTR-IOS-3118</t>
        </is>
      </c>
      <c r="C3119" t="inlineStr">
        <is>
          <t>iPhone</t>
        </is>
      </c>
      <c r="D3119" t="inlineStr">
        <is>
          <t>Personal</t>
        </is>
      </c>
      <c r="E3119" t="inlineStr">
        <is>
          <t>Personal</t>
        </is>
      </c>
      <c r="F3119" t="inlineStr">
        <is>
          <t>Life Operations</t>
        </is>
      </c>
      <c r="G3119" t="inlineStr">
        <is>
          <t>Healthcare</t>
        </is>
      </c>
      <c r="H3119" t="inlineStr">
        <is>
          <t>Personal &gt; Life Operations &gt; Quick Add &gt; Healthcare</t>
        </is>
      </c>
      <c r="I3119" s="18" t="n">
        <v>1093.71</v>
      </c>
      <c r="J3119" t="inlineStr">
        <is>
          <t>Created MTR-IOS-3118 and correlation note visible in Activity/Pulse</t>
        </is>
      </c>
      <c r="K3119" t="inlineStr">
        <is>
          <t>NOT_RUN</t>
        </is>
      </c>
      <c r="P3119" t="n">
        <v>0</v>
      </c>
      <c r="Q3119" t="n">
        <v>3118</v>
      </c>
    </row>
    <row r="3120">
      <c r="A3120" t="n">
        <v>3119</v>
      </c>
      <c r="B3120" t="inlineStr">
        <is>
          <t>MTR-IOS-3119</t>
        </is>
      </c>
      <c r="C3120" t="inlineStr">
        <is>
          <t>iPhone</t>
        </is>
      </c>
      <c r="D3120" t="inlineStr">
        <is>
          <t>Group</t>
        </is>
      </c>
      <c r="E3120" t="inlineStr">
        <is>
          <t>Shared Living</t>
        </is>
      </c>
      <c r="F3120" t="inlineStr">
        <is>
          <t>Family Household</t>
        </is>
      </c>
      <c r="G3120" t="inlineStr">
        <is>
          <t>Healthcare</t>
        </is>
      </c>
      <c r="H3120" t="inlineStr">
        <is>
          <t>Group &gt; Family Household &gt; Quick Add &gt; Healthcare</t>
        </is>
      </c>
      <c r="I3120" s="18" t="n">
        <v>14087.21</v>
      </c>
      <c r="J3120" t="inlineStr">
        <is>
          <t>Created MTR-IOS-3119 and correlation note visible in Activity/Pulse</t>
        </is>
      </c>
      <c r="K3120" t="inlineStr">
        <is>
          <t>NOT_RUN</t>
        </is>
      </c>
      <c r="P3120" t="n">
        <v>0</v>
      </c>
      <c r="Q3120" t="n">
        <v>3119</v>
      </c>
    </row>
    <row r="3121">
      <c r="A3121" t="n">
        <v>3120</v>
      </c>
      <c r="B3121" t="inlineStr">
        <is>
          <t>MTR-IOS-3120</t>
        </is>
      </c>
      <c r="C3121" t="inlineStr">
        <is>
          <t>iPhone</t>
        </is>
      </c>
      <c r="D3121" t="inlineStr">
        <is>
          <t>Business</t>
        </is>
      </c>
      <c r="E3121" t="inlineStr">
        <is>
          <t>Business</t>
        </is>
      </c>
      <c r="F3121" t="inlineStr">
        <is>
          <t>Business Runway</t>
        </is>
      </c>
      <c r="G3121" t="inlineStr">
        <is>
          <t>Reserve</t>
        </is>
      </c>
      <c r="H3121" t="inlineStr">
        <is>
          <t>Business &gt; Business Runway &gt; Quick Add &gt; Reserve</t>
        </is>
      </c>
      <c r="I3121" s="18" t="n">
        <v>25892.37</v>
      </c>
      <c r="J3121" t="inlineStr">
        <is>
          <t>Created MTR-IOS-3120 and correlation note visible in Activity/Pulse</t>
        </is>
      </c>
      <c r="K3121" t="inlineStr">
        <is>
          <t>NOT_RUN</t>
        </is>
      </c>
      <c r="P3121" t="n">
        <v>0</v>
      </c>
      <c r="Q3121" t="n">
        <v>3120</v>
      </c>
    </row>
    <row r="3122">
      <c r="A3122" t="n">
        <v>3121</v>
      </c>
      <c r="B3122" t="inlineStr">
        <is>
          <t>MTR-IOS-3121</t>
        </is>
      </c>
      <c r="C3122" t="inlineStr">
        <is>
          <t>iPhone</t>
        </is>
      </c>
      <c r="D3122" t="inlineStr">
        <is>
          <t>Personal</t>
        </is>
      </c>
      <c r="E3122" t="inlineStr">
        <is>
          <t>Personal</t>
        </is>
      </c>
      <c r="F3122" t="inlineStr">
        <is>
          <t>Life Operations</t>
        </is>
      </c>
      <c r="G3122" t="inlineStr">
        <is>
          <t>Subscriptions</t>
        </is>
      </c>
      <c r="H3122" t="inlineStr">
        <is>
          <t>Personal &gt; Life Operations &gt; Quick Add &gt; Subscriptions</t>
        </is>
      </c>
      <c r="I3122" s="18" t="n">
        <v>12158.34</v>
      </c>
      <c r="J3122" t="inlineStr">
        <is>
          <t>Created MTR-IOS-3121 and correlation note visible in Activity/Pulse</t>
        </is>
      </c>
      <c r="K3122" t="inlineStr">
        <is>
          <t>NOT_RUN</t>
        </is>
      </c>
      <c r="P3122" t="n">
        <v>0</v>
      </c>
      <c r="Q3122" t="n">
        <v>3121</v>
      </c>
    </row>
    <row r="3123">
      <c r="A3123" t="n">
        <v>3122</v>
      </c>
      <c r="B3123" t="inlineStr">
        <is>
          <t>MTR-IOS-3122</t>
        </is>
      </c>
      <c r="C3123" t="inlineStr">
        <is>
          <t>iPhone</t>
        </is>
      </c>
      <c r="D3123" t="inlineStr">
        <is>
          <t>Group</t>
        </is>
      </c>
      <c r="E3123" t="inlineStr">
        <is>
          <t>Shared Living</t>
        </is>
      </c>
      <c r="F3123" t="inlineStr">
        <is>
          <t>Family Household</t>
        </is>
      </c>
      <c r="G3123" t="inlineStr">
        <is>
          <t>Home</t>
        </is>
      </c>
      <c r="H3123" t="inlineStr">
        <is>
          <t>Group &gt; Family Household &gt; Quick Add &gt; Home</t>
        </is>
      </c>
      <c r="I3123" s="18" t="n">
        <v>8948.110000000001</v>
      </c>
      <c r="J3123" t="inlineStr">
        <is>
          <t>Created MTR-IOS-3122 and correlation note visible in Activity/Pulse</t>
        </is>
      </c>
      <c r="K3123" t="inlineStr">
        <is>
          <t>NOT_RUN</t>
        </is>
      </c>
      <c r="P3123" t="n">
        <v>0</v>
      </c>
      <c r="Q3123" t="n">
        <v>3122</v>
      </c>
    </row>
    <row r="3124">
      <c r="A3124" t="n">
        <v>3123</v>
      </c>
      <c r="B3124" t="inlineStr">
        <is>
          <t>MTR-IOS-3123</t>
        </is>
      </c>
      <c r="C3124" t="inlineStr">
        <is>
          <t>iPhone</t>
        </is>
      </c>
      <c r="D3124" t="inlineStr">
        <is>
          <t>Business</t>
        </is>
      </c>
      <c r="E3124" t="inlineStr">
        <is>
          <t>Business</t>
        </is>
      </c>
      <c r="F3124" t="inlineStr">
        <is>
          <t>Business Runway</t>
        </is>
      </c>
      <c r="G3124" t="inlineStr">
        <is>
          <t>Loan</t>
        </is>
      </c>
      <c r="H3124" t="inlineStr">
        <is>
          <t>Business &gt; Business Runway &gt; Quick Add &gt; Loan</t>
        </is>
      </c>
      <c r="I3124" s="18" t="n">
        <v>131136.76</v>
      </c>
      <c r="J3124" t="inlineStr">
        <is>
          <t>Created MTR-IOS-3123 and correlation note visible in Activity/Pulse</t>
        </is>
      </c>
      <c r="K3124" t="inlineStr">
        <is>
          <t>NOT_RUN</t>
        </is>
      </c>
      <c r="P3124" t="n">
        <v>0</v>
      </c>
      <c r="Q3124" t="n">
        <v>3123</v>
      </c>
    </row>
    <row r="3125">
      <c r="A3125" t="n">
        <v>3124</v>
      </c>
      <c r="B3125" t="inlineStr">
        <is>
          <t>MTR-IOS-3124</t>
        </is>
      </c>
      <c r="C3125" t="inlineStr">
        <is>
          <t>iPhone</t>
        </is>
      </c>
      <c r="D3125" t="inlineStr">
        <is>
          <t>Personal</t>
        </is>
      </c>
      <c r="E3125" t="inlineStr">
        <is>
          <t>Personal</t>
        </is>
      </c>
      <c r="F3125" t="inlineStr">
        <is>
          <t>Life Operations</t>
        </is>
      </c>
      <c r="G3125" t="inlineStr">
        <is>
          <t>Repairs</t>
        </is>
      </c>
      <c r="H3125" t="inlineStr">
        <is>
          <t>Personal &gt; Life Operations &gt; Quick Add &gt; Repairs</t>
        </is>
      </c>
      <c r="I3125" s="18" t="n">
        <v>8626.43</v>
      </c>
      <c r="J3125" t="inlineStr">
        <is>
          <t>Created MTR-IOS-3124 and correlation note visible in Activity/Pulse</t>
        </is>
      </c>
      <c r="K3125" t="inlineStr">
        <is>
          <t>NOT_RUN</t>
        </is>
      </c>
      <c r="P3125" t="n">
        <v>0</v>
      </c>
      <c r="Q3125" t="n">
        <v>3124</v>
      </c>
    </row>
    <row r="3126">
      <c r="A3126" t="n">
        <v>3125</v>
      </c>
      <c r="B3126" t="inlineStr">
        <is>
          <t>MTR-IOS-3125</t>
        </is>
      </c>
      <c r="C3126" t="inlineStr">
        <is>
          <t>iPhone</t>
        </is>
      </c>
      <c r="D3126" t="inlineStr">
        <is>
          <t>Group</t>
        </is>
      </c>
      <c r="E3126" t="inlineStr">
        <is>
          <t>Shared Living</t>
        </is>
      </c>
      <c r="F3126" t="inlineStr">
        <is>
          <t>Family Household</t>
        </is>
      </c>
      <c r="G3126" t="inlineStr">
        <is>
          <t>Other</t>
        </is>
      </c>
      <c r="H3126" t="inlineStr">
        <is>
          <t>Group &gt; Family Household &gt; Quick Add &gt; Other</t>
        </is>
      </c>
      <c r="I3126" s="18" t="n">
        <v>8412.700000000001</v>
      </c>
      <c r="J3126" t="inlineStr">
        <is>
          <t>Created MTR-IOS-3125 and correlation note visible in Activity/Pulse</t>
        </is>
      </c>
      <c r="K3126" t="inlineStr">
        <is>
          <t>NOT_RUN</t>
        </is>
      </c>
      <c r="P3126" t="n">
        <v>0</v>
      </c>
      <c r="Q3126" t="n">
        <v>3125</v>
      </c>
    </row>
    <row r="3127">
      <c r="A3127" t="n">
        <v>3126</v>
      </c>
      <c r="B3127" t="inlineStr">
        <is>
          <t>MTR-IOS-3126</t>
        </is>
      </c>
      <c r="C3127" t="inlineStr">
        <is>
          <t>iPhone</t>
        </is>
      </c>
      <c r="D3127" t="inlineStr">
        <is>
          <t>Business</t>
        </is>
      </c>
      <c r="E3127" t="inlineStr">
        <is>
          <t>Business</t>
        </is>
      </c>
      <c r="F3127" t="inlineStr">
        <is>
          <t>Business Runway</t>
        </is>
      </c>
      <c r="G3127" t="inlineStr">
        <is>
          <t>Investment</t>
        </is>
      </c>
      <c r="H3127" t="inlineStr">
        <is>
          <t>Business &gt; Business Runway &gt; Quick Add &gt; Investment</t>
        </is>
      </c>
      <c r="I3127" s="18" t="n">
        <v>160431.28</v>
      </c>
      <c r="J3127" t="inlineStr">
        <is>
          <t>Created MTR-IOS-3126 and correlation note visible in Activity/Pulse</t>
        </is>
      </c>
      <c r="K3127" t="inlineStr">
        <is>
          <t>NOT_RUN</t>
        </is>
      </c>
      <c r="P3127" t="n">
        <v>0</v>
      </c>
      <c r="Q3127" t="n">
        <v>3126</v>
      </c>
    </row>
    <row r="3128">
      <c r="A3128" t="n">
        <v>3127</v>
      </c>
      <c r="B3128" t="inlineStr">
        <is>
          <t>MTR-IOS-3127</t>
        </is>
      </c>
      <c r="C3128" t="inlineStr">
        <is>
          <t>iPhone</t>
        </is>
      </c>
      <c r="D3128" t="inlineStr">
        <is>
          <t>Personal</t>
        </is>
      </c>
      <c r="E3128" t="inlineStr">
        <is>
          <t>Personal</t>
        </is>
      </c>
      <c r="F3128" t="inlineStr">
        <is>
          <t>Future Building</t>
        </is>
      </c>
      <c r="G3128" t="inlineStr">
        <is>
          <t>Savings</t>
        </is>
      </c>
      <c r="H3128" t="inlineStr">
        <is>
          <t>Personal &gt; Future Building &gt; Quick Add &gt; Savings</t>
        </is>
      </c>
      <c r="I3128" s="18" t="n">
        <v>16254.08</v>
      </c>
      <c r="J3128" t="inlineStr">
        <is>
          <t>Created MTR-IOS-3127 and correlation note visible in Activity/Pulse</t>
        </is>
      </c>
      <c r="K3128" t="inlineStr">
        <is>
          <t>NOT_RUN</t>
        </is>
      </c>
      <c r="P3128" t="n">
        <v>0</v>
      </c>
      <c r="Q3128" t="n">
        <v>3127</v>
      </c>
    </row>
    <row r="3129">
      <c r="A3129" t="n">
        <v>3128</v>
      </c>
      <c r="B3129" t="inlineStr">
        <is>
          <t>MTR-IOS-3128</t>
        </is>
      </c>
      <c r="C3129" t="inlineStr">
        <is>
          <t>iPhone</t>
        </is>
      </c>
      <c r="D3129" t="inlineStr">
        <is>
          <t>Group</t>
        </is>
      </c>
      <c r="E3129" t="inlineStr">
        <is>
          <t>Shared Living</t>
        </is>
      </c>
      <c r="F3129" t="inlineStr">
        <is>
          <t>Custom Living</t>
        </is>
      </c>
      <c r="G3129" t="inlineStr">
        <is>
          <t>Custom Expense</t>
        </is>
      </c>
      <c r="H3129" t="inlineStr">
        <is>
          <t>Group &gt; Custom Living &gt; Quick Add &gt; Custom Expense</t>
        </is>
      </c>
      <c r="I3129" s="18" t="n">
        <v>9229.32</v>
      </c>
      <c r="J3129" t="inlineStr">
        <is>
          <t>Created MTR-IOS-3128 and correlation note visible in Activity/Pulse</t>
        </is>
      </c>
      <c r="K3129" t="inlineStr">
        <is>
          <t>NOT_RUN</t>
        </is>
      </c>
      <c r="P3129" t="n">
        <v>0</v>
      </c>
      <c r="Q3129" t="n">
        <v>3128</v>
      </c>
    </row>
    <row r="3130">
      <c r="A3130" t="n">
        <v>3129</v>
      </c>
      <c r="B3130" t="inlineStr">
        <is>
          <t>MTR-IOS-3129</t>
        </is>
      </c>
      <c r="C3130" t="inlineStr">
        <is>
          <t>iPhone</t>
        </is>
      </c>
      <c r="D3130" t="inlineStr">
        <is>
          <t>Business</t>
        </is>
      </c>
      <c r="E3130" t="inlineStr">
        <is>
          <t>Business</t>
        </is>
      </c>
      <c r="F3130" t="inlineStr">
        <is>
          <t>Business Operations</t>
        </is>
      </c>
      <c r="G3130" t="inlineStr">
        <is>
          <t>Software</t>
        </is>
      </c>
      <c r="H3130" t="inlineStr">
        <is>
          <t>Business &gt; Business Operations &gt; Quick Add &gt; Software</t>
        </is>
      </c>
      <c r="I3130" s="18" t="n">
        <v>158169.26</v>
      </c>
      <c r="J3130" t="inlineStr">
        <is>
          <t>Created MTR-IOS-3129 and correlation note visible in Activity/Pulse</t>
        </is>
      </c>
      <c r="K3130" t="inlineStr">
        <is>
          <t>NOT_RUN</t>
        </is>
      </c>
      <c r="P3130" t="n">
        <v>0</v>
      </c>
      <c r="Q3130" t="n">
        <v>3129</v>
      </c>
    </row>
    <row r="3131">
      <c r="A3131" t="n">
        <v>3130</v>
      </c>
      <c r="B3131" t="inlineStr">
        <is>
          <t>MTR-IOS-3130</t>
        </is>
      </c>
      <c r="C3131" t="inlineStr">
        <is>
          <t>iPhone</t>
        </is>
      </c>
      <c r="D3131" t="inlineStr">
        <is>
          <t>Personal</t>
        </is>
      </c>
      <c r="E3131" t="inlineStr">
        <is>
          <t>Personal</t>
        </is>
      </c>
      <c r="F3131" t="inlineStr">
        <is>
          <t>Future Building</t>
        </is>
      </c>
      <c r="G3131" t="inlineStr">
        <is>
          <t>Emergency Fund</t>
        </is>
      </c>
      <c r="H3131" t="inlineStr">
        <is>
          <t>Personal &gt; Future Building &gt; Quick Add &gt; Emergency Fund</t>
        </is>
      </c>
      <c r="I3131" s="18" t="n">
        <v>5157.34</v>
      </c>
      <c r="J3131" t="inlineStr">
        <is>
          <t>Created MTR-IOS-3130 and correlation note visible in Activity/Pulse</t>
        </is>
      </c>
      <c r="K3131" t="inlineStr">
        <is>
          <t>NOT_RUN</t>
        </is>
      </c>
      <c r="P3131" t="n">
        <v>0</v>
      </c>
      <c r="Q3131" t="n">
        <v>3130</v>
      </c>
    </row>
    <row r="3132">
      <c r="A3132" t="n">
        <v>3131</v>
      </c>
      <c r="B3132" t="inlineStr">
        <is>
          <t>MTR-IOS-3131</t>
        </is>
      </c>
      <c r="C3132" t="inlineStr">
        <is>
          <t>iPhone</t>
        </is>
      </c>
      <c r="D3132" t="inlineStr">
        <is>
          <t>Group</t>
        </is>
      </c>
      <c r="E3132" t="inlineStr">
        <is>
          <t>Shared Living</t>
        </is>
      </c>
      <c r="F3132" t="inlineStr">
        <is>
          <t>Custom Living</t>
        </is>
      </c>
      <c r="G3132" t="inlineStr">
        <is>
          <t>Custom Contribution</t>
        </is>
      </c>
      <c r="H3132" t="inlineStr">
        <is>
          <t>Group &gt; Custom Living &gt; Quick Add &gt; Custom Contribution</t>
        </is>
      </c>
      <c r="I3132" s="18" t="n">
        <v>24327.82</v>
      </c>
      <c r="J3132" t="inlineStr">
        <is>
          <t>Created MTR-IOS-3131 and correlation note visible in Activity/Pulse</t>
        </is>
      </c>
      <c r="K3132" t="inlineStr">
        <is>
          <t>NOT_RUN</t>
        </is>
      </c>
      <c r="P3132" t="n">
        <v>0</v>
      </c>
      <c r="Q3132" t="n">
        <v>3131</v>
      </c>
    </row>
    <row r="3133">
      <c r="A3133" t="n">
        <v>3132</v>
      </c>
      <c r="B3133" t="inlineStr">
        <is>
          <t>MTR-IOS-3132</t>
        </is>
      </c>
      <c r="C3133" t="inlineStr">
        <is>
          <t>iPhone</t>
        </is>
      </c>
      <c r="D3133" t="inlineStr">
        <is>
          <t>Business</t>
        </is>
      </c>
      <c r="E3133" t="inlineStr">
        <is>
          <t>Business</t>
        </is>
      </c>
      <c r="F3133" t="inlineStr">
        <is>
          <t>Business Operations</t>
        </is>
      </c>
      <c r="G3133" t="inlineStr">
        <is>
          <t>Rent</t>
        </is>
      </c>
      <c r="H3133" t="inlineStr">
        <is>
          <t>Business &gt; Business Operations &gt; Quick Add &gt; Rent</t>
        </is>
      </c>
      <c r="I3133" s="18" t="n">
        <v>161198.19</v>
      </c>
      <c r="J3133" t="inlineStr">
        <is>
          <t>Created MTR-IOS-3132 and correlation note visible in Activity/Pulse</t>
        </is>
      </c>
      <c r="K3133" t="inlineStr">
        <is>
          <t>NOT_RUN</t>
        </is>
      </c>
      <c r="P3133" t="n">
        <v>0</v>
      </c>
      <c r="Q3133" t="n">
        <v>3132</v>
      </c>
    </row>
    <row r="3134">
      <c r="A3134" t="n">
        <v>3133</v>
      </c>
      <c r="B3134" t="inlineStr">
        <is>
          <t>MTR-IOS-3133</t>
        </is>
      </c>
      <c r="C3134" t="inlineStr">
        <is>
          <t>iPhone</t>
        </is>
      </c>
      <c r="D3134" t="inlineStr">
        <is>
          <t>Personal</t>
        </is>
      </c>
      <c r="E3134" t="inlineStr">
        <is>
          <t>Personal</t>
        </is>
      </c>
      <c r="F3134" t="inlineStr">
        <is>
          <t>Future Building</t>
        </is>
      </c>
      <c r="G3134" t="inlineStr">
        <is>
          <t>Investments</t>
        </is>
      </c>
      <c r="H3134" t="inlineStr">
        <is>
          <t>Personal &gt; Future Building &gt; Quick Add &gt; Investments</t>
        </is>
      </c>
      <c r="I3134" s="18" t="n">
        <v>17063.19</v>
      </c>
      <c r="J3134" t="inlineStr">
        <is>
          <t>Created MTR-IOS-3133 and correlation note visible in Activity/Pulse</t>
        </is>
      </c>
      <c r="K3134" t="inlineStr">
        <is>
          <t>NOT_RUN</t>
        </is>
      </c>
      <c r="P3134" t="n">
        <v>0</v>
      </c>
      <c r="Q3134" t="n">
        <v>3133</v>
      </c>
    </row>
    <row r="3135">
      <c r="A3135" t="n">
        <v>3134</v>
      </c>
      <c r="B3135" t="inlineStr">
        <is>
          <t>MTR-IOS-3134</t>
        </is>
      </c>
      <c r="C3135" t="inlineStr">
        <is>
          <t>iPhone</t>
        </is>
      </c>
      <c r="D3135" t="inlineStr">
        <is>
          <t>Group</t>
        </is>
      </c>
      <c r="E3135" t="inlineStr">
        <is>
          <t>Shared Experience</t>
        </is>
      </c>
      <c r="F3135" t="inlineStr">
        <is>
          <t>Trip</t>
        </is>
      </c>
      <c r="G3135" t="inlineStr">
        <is>
          <t>Travel</t>
        </is>
      </c>
      <c r="H3135" t="inlineStr">
        <is>
          <t>Group &gt; Trip &gt; Quick Add &gt; Travel</t>
        </is>
      </c>
      <c r="I3135" s="18" t="n">
        <v>13916.29</v>
      </c>
      <c r="J3135" t="inlineStr">
        <is>
          <t>Created MTR-IOS-3134 and correlation note visible in Activity/Pulse</t>
        </is>
      </c>
      <c r="K3135" t="inlineStr">
        <is>
          <t>NOT_RUN</t>
        </is>
      </c>
      <c r="P3135" t="n">
        <v>0</v>
      </c>
      <c r="Q3135" t="n">
        <v>3134</v>
      </c>
    </row>
    <row r="3136">
      <c r="A3136" t="n">
        <v>3135</v>
      </c>
      <c r="B3136" t="inlineStr">
        <is>
          <t>MTR-IOS-3135</t>
        </is>
      </c>
      <c r="C3136" t="inlineStr">
        <is>
          <t>iPhone</t>
        </is>
      </c>
      <c r="D3136" t="inlineStr">
        <is>
          <t>Business</t>
        </is>
      </c>
      <c r="E3136" t="inlineStr">
        <is>
          <t>Business</t>
        </is>
      </c>
      <c r="F3136" t="inlineStr">
        <is>
          <t>Business Operations</t>
        </is>
      </c>
      <c r="G3136" t="inlineStr">
        <is>
          <t>Marketing</t>
        </is>
      </c>
      <c r="H3136" t="inlineStr">
        <is>
          <t>Business &gt; Business Operations &gt; Quick Add &gt; Marketing</t>
        </is>
      </c>
      <c r="I3136" s="18" t="n">
        <v>26003.76</v>
      </c>
      <c r="J3136" t="inlineStr">
        <is>
          <t>Created MTR-IOS-3135 and correlation note visible in Activity/Pulse</t>
        </is>
      </c>
      <c r="K3136" t="inlineStr">
        <is>
          <t>NOT_RUN</t>
        </is>
      </c>
      <c r="P3136" t="n">
        <v>0</v>
      </c>
      <c r="Q3136" t="n">
        <v>3135</v>
      </c>
    </row>
    <row r="3137">
      <c r="A3137" t="n">
        <v>3136</v>
      </c>
      <c r="B3137" t="inlineStr">
        <is>
          <t>MTR-IOS-3136</t>
        </is>
      </c>
      <c r="C3137" t="inlineStr">
        <is>
          <t>iPhone</t>
        </is>
      </c>
      <c r="D3137" t="inlineStr">
        <is>
          <t>Personal</t>
        </is>
      </c>
      <c r="E3137" t="inlineStr">
        <is>
          <t>Personal</t>
        </is>
      </c>
      <c r="F3137" t="inlineStr">
        <is>
          <t>Future Building</t>
        </is>
      </c>
      <c r="G3137" t="inlineStr">
        <is>
          <t>Education</t>
        </is>
      </c>
      <c r="H3137" t="inlineStr">
        <is>
          <t>Personal &gt; Future Building &gt; Quick Add &gt; Education</t>
        </is>
      </c>
      <c r="I3137" s="18" t="n">
        <v>9525.41</v>
      </c>
      <c r="J3137" t="inlineStr">
        <is>
          <t>Created MTR-IOS-3136 and correlation note visible in Activity/Pulse</t>
        </is>
      </c>
      <c r="K3137" t="inlineStr">
        <is>
          <t>NOT_RUN</t>
        </is>
      </c>
      <c r="P3137" t="n">
        <v>0</v>
      </c>
      <c r="Q3137" t="n">
        <v>3136</v>
      </c>
    </row>
    <row r="3138">
      <c r="A3138" t="n">
        <v>3137</v>
      </c>
      <c r="B3138" t="inlineStr">
        <is>
          <t>MTR-IOS-3137</t>
        </is>
      </c>
      <c r="C3138" t="inlineStr">
        <is>
          <t>iPhone</t>
        </is>
      </c>
      <c r="D3138" t="inlineStr">
        <is>
          <t>Group</t>
        </is>
      </c>
      <c r="E3138" t="inlineStr">
        <is>
          <t>Shared Experience</t>
        </is>
      </c>
      <c r="F3138" t="inlineStr">
        <is>
          <t>Trip</t>
        </is>
      </c>
      <c r="G3138" t="inlineStr">
        <is>
          <t>Stay</t>
        </is>
      </c>
      <c r="H3138" t="inlineStr">
        <is>
          <t>Group &gt; Trip &gt; Quick Add &gt; Stay</t>
        </is>
      </c>
      <c r="I3138" s="18" t="n">
        <v>17659.79</v>
      </c>
      <c r="J3138" t="inlineStr">
        <is>
          <t>Created MTR-IOS-3137 and correlation note visible in Activity/Pulse</t>
        </is>
      </c>
      <c r="K3138" t="inlineStr">
        <is>
          <t>NOT_RUN</t>
        </is>
      </c>
      <c r="P3138" t="n">
        <v>0</v>
      </c>
      <c r="Q3138" t="n">
        <v>3137</v>
      </c>
    </row>
    <row r="3139">
      <c r="A3139" t="n">
        <v>3138</v>
      </c>
      <c r="B3139" t="inlineStr">
        <is>
          <t>MTR-IOS-3138</t>
        </is>
      </c>
      <c r="C3139" t="inlineStr">
        <is>
          <t>iPhone</t>
        </is>
      </c>
      <c r="D3139" t="inlineStr">
        <is>
          <t>Business</t>
        </is>
      </c>
      <c r="E3139" t="inlineStr">
        <is>
          <t>Business</t>
        </is>
      </c>
      <c r="F3139" t="inlineStr">
        <is>
          <t>Business Operations</t>
        </is>
      </c>
      <c r="G3139" t="inlineStr">
        <is>
          <t>Legal</t>
        </is>
      </c>
      <c r="H3139" t="inlineStr">
        <is>
          <t>Business &gt; Business Operations &gt; Quick Add &gt; Legal</t>
        </is>
      </c>
      <c r="I3139" s="18" t="n">
        <v>145363.66</v>
      </c>
      <c r="J3139" t="inlineStr">
        <is>
          <t>Created MTR-IOS-3138 and correlation note visible in Activity/Pulse</t>
        </is>
      </c>
      <c r="K3139" t="inlineStr">
        <is>
          <t>NOT_RUN</t>
        </is>
      </c>
      <c r="P3139" t="n">
        <v>0</v>
      </c>
      <c r="Q3139" t="n">
        <v>3138</v>
      </c>
    </row>
    <row r="3140">
      <c r="A3140" t="n">
        <v>3139</v>
      </c>
      <c r="B3140" t="inlineStr">
        <is>
          <t>MTR-IOS-3139</t>
        </is>
      </c>
      <c r="C3140" t="inlineStr">
        <is>
          <t>iPhone</t>
        </is>
      </c>
      <c r="D3140" t="inlineStr">
        <is>
          <t>Personal</t>
        </is>
      </c>
      <c r="E3140" t="inlineStr">
        <is>
          <t>Personal</t>
        </is>
      </c>
      <c r="F3140" t="inlineStr">
        <is>
          <t>Future Building</t>
        </is>
      </c>
      <c r="G3140" t="inlineStr">
        <is>
          <t>Goal Contribution</t>
        </is>
      </c>
      <c r="H3140" t="inlineStr">
        <is>
          <t>Personal &gt; Future Building &gt; Quick Add &gt; Goal Contribution</t>
        </is>
      </c>
      <c r="I3140" s="18" t="n">
        <v>5006.97</v>
      </c>
      <c r="J3140" t="inlineStr">
        <is>
          <t>Created MTR-IOS-3139 and correlation note visible in Activity/Pulse</t>
        </is>
      </c>
      <c r="K3140" t="inlineStr">
        <is>
          <t>NOT_RUN</t>
        </is>
      </c>
      <c r="P3140" t="n">
        <v>0</v>
      </c>
      <c r="Q3140" t="n">
        <v>3139</v>
      </c>
    </row>
    <row r="3141">
      <c r="A3141" t="n">
        <v>3140</v>
      </c>
      <c r="B3141" t="inlineStr">
        <is>
          <t>MTR-IOS-3140</t>
        </is>
      </c>
      <c r="C3141" t="inlineStr">
        <is>
          <t>iPhone</t>
        </is>
      </c>
      <c r="D3141" t="inlineStr">
        <is>
          <t>Group</t>
        </is>
      </c>
      <c r="E3141" t="inlineStr">
        <is>
          <t>Shared Experience</t>
        </is>
      </c>
      <c r="F3141" t="inlineStr">
        <is>
          <t>Trip</t>
        </is>
      </c>
      <c r="G3141" t="inlineStr">
        <is>
          <t>Food</t>
        </is>
      </c>
      <c r="H3141" t="inlineStr">
        <is>
          <t>Group &gt; Trip &gt; Quick Add &gt; Food</t>
        </is>
      </c>
      <c r="I3141" s="18" t="n">
        <v>20944</v>
      </c>
      <c r="J3141" t="inlineStr">
        <is>
          <t>Created MTR-IOS-3140 and correlation note visible in Activity/Pulse</t>
        </is>
      </c>
      <c r="K3141" t="inlineStr">
        <is>
          <t>NOT_RUN</t>
        </is>
      </c>
      <c r="P3141" t="n">
        <v>0</v>
      </c>
      <c r="Q3141" t="n">
        <v>3140</v>
      </c>
    </row>
    <row r="3142">
      <c r="A3142" t="n">
        <v>3141</v>
      </c>
      <c r="B3142" t="inlineStr">
        <is>
          <t>MTR-IOS-3141</t>
        </is>
      </c>
      <c r="C3142" t="inlineStr">
        <is>
          <t>iPhone</t>
        </is>
      </c>
      <c r="D3142" t="inlineStr">
        <is>
          <t>Business</t>
        </is>
      </c>
      <c r="E3142" t="inlineStr">
        <is>
          <t>Business</t>
        </is>
      </c>
      <c r="F3142" t="inlineStr">
        <is>
          <t>Business Operations</t>
        </is>
      </c>
      <c r="G3142" t="inlineStr">
        <is>
          <t>Accounting</t>
        </is>
      </c>
      <c r="H3142" t="inlineStr">
        <is>
          <t>Business &gt; Business Operations &gt; Quick Add &gt; Accounting</t>
        </is>
      </c>
      <c r="I3142" s="18" t="n">
        <v>162491.2</v>
      </c>
      <c r="J3142" t="inlineStr">
        <is>
          <t>Created MTR-IOS-3141 and correlation note visible in Activity/Pulse</t>
        </is>
      </c>
      <c r="K3142" t="inlineStr">
        <is>
          <t>NOT_RUN</t>
        </is>
      </c>
      <c r="P3142" t="n">
        <v>0</v>
      </c>
      <c r="Q3142" t="n">
        <v>3141</v>
      </c>
    </row>
    <row r="3143">
      <c r="A3143" t="n">
        <v>3142</v>
      </c>
      <c r="B3143" t="inlineStr">
        <is>
          <t>MTR-IOS-3142</t>
        </is>
      </c>
      <c r="C3143" t="inlineStr">
        <is>
          <t>iPhone</t>
        </is>
      </c>
      <c r="D3143" t="inlineStr">
        <is>
          <t>Personal</t>
        </is>
      </c>
      <c r="E3143" t="inlineStr">
        <is>
          <t>Personal</t>
        </is>
      </c>
      <c r="F3143" t="inlineStr">
        <is>
          <t>Lifestyle</t>
        </is>
      </c>
      <c r="G3143" t="inlineStr">
        <is>
          <t>Dining</t>
        </is>
      </c>
      <c r="H3143" t="inlineStr">
        <is>
          <t>Personal &gt; Lifestyle &gt; Quick Add &gt; Dining</t>
        </is>
      </c>
      <c r="I3143" s="18" t="n">
        <v>1422.49</v>
      </c>
      <c r="J3143" t="inlineStr">
        <is>
          <t>Created MTR-IOS-3142 and correlation note visible in Activity/Pulse</t>
        </is>
      </c>
      <c r="K3143" t="inlineStr">
        <is>
          <t>NOT_RUN</t>
        </is>
      </c>
      <c r="P3143" t="n">
        <v>0</v>
      </c>
      <c r="Q3143" t="n">
        <v>3142</v>
      </c>
    </row>
    <row r="3144">
      <c r="A3144" t="n">
        <v>3143</v>
      </c>
      <c r="B3144" t="inlineStr">
        <is>
          <t>MTR-IOS-3143</t>
        </is>
      </c>
      <c r="C3144" t="inlineStr">
        <is>
          <t>iPhone</t>
        </is>
      </c>
      <c r="D3144" t="inlineStr">
        <is>
          <t>Group</t>
        </is>
      </c>
      <c r="E3144" t="inlineStr">
        <is>
          <t>Shared Experience</t>
        </is>
      </c>
      <c r="F3144" t="inlineStr">
        <is>
          <t>Trip</t>
        </is>
      </c>
      <c r="G3144" t="inlineStr">
        <is>
          <t>Local Transport</t>
        </is>
      </c>
      <c r="H3144" t="inlineStr">
        <is>
          <t>Group &gt; Trip &gt; Quick Add &gt; Local Transport</t>
        </is>
      </c>
      <c r="I3144" s="18" t="n">
        <v>22009.06</v>
      </c>
      <c r="J3144" t="inlineStr">
        <is>
          <t>Created MTR-IOS-3143 and correlation note visible in Activity/Pulse</t>
        </is>
      </c>
      <c r="K3144" t="inlineStr">
        <is>
          <t>NOT_RUN</t>
        </is>
      </c>
      <c r="P3144" t="n">
        <v>0</v>
      </c>
      <c r="Q3144" t="n">
        <v>3143</v>
      </c>
    </row>
    <row r="3145">
      <c r="A3145" t="n">
        <v>3144</v>
      </c>
      <c r="B3145" t="inlineStr">
        <is>
          <t>MTR-IOS-3144</t>
        </is>
      </c>
      <c r="C3145" t="inlineStr">
        <is>
          <t>iPhone</t>
        </is>
      </c>
      <c r="D3145" t="inlineStr">
        <is>
          <t>Business</t>
        </is>
      </c>
      <c r="E3145" t="inlineStr">
        <is>
          <t>Business</t>
        </is>
      </c>
      <c r="F3145" t="inlineStr">
        <is>
          <t>Business Operations</t>
        </is>
      </c>
      <c r="G3145" t="inlineStr">
        <is>
          <t>Equipment</t>
        </is>
      </c>
      <c r="H3145" t="inlineStr">
        <is>
          <t>Business &gt; Business Operations &gt; Quick Add &gt; Equipment</t>
        </is>
      </c>
      <c r="I3145" s="18" t="n">
        <v>106307.31</v>
      </c>
      <c r="J3145" t="inlineStr">
        <is>
          <t>Created MTR-IOS-3144 and correlation note visible in Activity/Pulse</t>
        </is>
      </c>
      <c r="K3145" t="inlineStr">
        <is>
          <t>NOT_RUN</t>
        </is>
      </c>
      <c r="P3145" t="n">
        <v>0</v>
      </c>
      <c r="Q3145" t="n">
        <v>3144</v>
      </c>
    </row>
    <row r="3146">
      <c r="A3146" t="n">
        <v>3145</v>
      </c>
      <c r="B3146" t="inlineStr">
        <is>
          <t>MTR-IOS-3145</t>
        </is>
      </c>
      <c r="C3146" t="inlineStr">
        <is>
          <t>iPhone</t>
        </is>
      </c>
      <c r="D3146" t="inlineStr">
        <is>
          <t>Personal</t>
        </is>
      </c>
      <c r="E3146" t="inlineStr">
        <is>
          <t>Personal</t>
        </is>
      </c>
      <c r="F3146" t="inlineStr">
        <is>
          <t>Lifestyle</t>
        </is>
      </c>
      <c r="G3146" t="inlineStr">
        <is>
          <t>Shopping</t>
        </is>
      </c>
      <c r="H3146" t="inlineStr">
        <is>
          <t>Personal &gt; Lifestyle &gt; Quick Add &gt; Shopping</t>
        </is>
      </c>
      <c r="I3146" s="18" t="n">
        <v>1</v>
      </c>
      <c r="J3146" t="inlineStr">
        <is>
          <t>Created MTR-IOS-3145 and correlation note visible in Activity/Pulse</t>
        </is>
      </c>
      <c r="K3146" t="inlineStr">
        <is>
          <t>NOT_RUN</t>
        </is>
      </c>
      <c r="P3146" t="n">
        <v>0</v>
      </c>
      <c r="Q3146" t="n">
        <v>3145</v>
      </c>
    </row>
    <row r="3147">
      <c r="A3147" t="n">
        <v>3146</v>
      </c>
      <c r="B3147" t="inlineStr">
        <is>
          <t>MTR-IOS-3146</t>
        </is>
      </c>
      <c r="C3147" t="inlineStr">
        <is>
          <t>iPhone</t>
        </is>
      </c>
      <c r="D3147" t="inlineStr">
        <is>
          <t>Group</t>
        </is>
      </c>
      <c r="E3147" t="inlineStr">
        <is>
          <t>Shared Experience</t>
        </is>
      </c>
      <c r="F3147" t="inlineStr">
        <is>
          <t>Trip</t>
        </is>
      </c>
      <c r="G3147" t="inlineStr">
        <is>
          <t>Activities</t>
        </is>
      </c>
      <c r="H3147" t="inlineStr">
        <is>
          <t>Group &gt; Trip &gt; Quick Add &gt; Activities</t>
        </is>
      </c>
      <c r="I3147" s="18" t="n">
        <v>7644.58</v>
      </c>
      <c r="J3147" t="inlineStr">
        <is>
          <t>Created MTR-IOS-3146 and correlation note visible in Activity/Pulse</t>
        </is>
      </c>
      <c r="K3147" t="inlineStr">
        <is>
          <t>NOT_RUN</t>
        </is>
      </c>
      <c r="P3147" t="n">
        <v>0</v>
      </c>
      <c r="Q3147" t="n">
        <v>3146</v>
      </c>
    </row>
    <row r="3148">
      <c r="A3148" t="n">
        <v>3147</v>
      </c>
      <c r="B3148" t="inlineStr">
        <is>
          <t>MTR-IOS-3147</t>
        </is>
      </c>
      <c r="C3148" t="inlineStr">
        <is>
          <t>iPhone</t>
        </is>
      </c>
      <c r="D3148" t="inlineStr">
        <is>
          <t>Business</t>
        </is>
      </c>
      <c r="E3148" t="inlineStr">
        <is>
          <t>Business</t>
        </is>
      </c>
      <c r="F3148" t="inlineStr">
        <is>
          <t>Business Operations</t>
        </is>
      </c>
      <c r="G3148" t="inlineStr">
        <is>
          <t>Vendor</t>
        </is>
      </c>
      <c r="H3148" t="inlineStr">
        <is>
          <t>Business &gt; Business Operations &gt; Quick Add &gt; Vendor</t>
        </is>
      </c>
      <c r="I3148" s="18" t="n">
        <v>101868.84</v>
      </c>
      <c r="J3148" t="inlineStr">
        <is>
          <t>Created MTR-IOS-3147 and correlation note visible in Activity/Pulse</t>
        </is>
      </c>
      <c r="K3148" t="inlineStr">
        <is>
          <t>NOT_RUN</t>
        </is>
      </c>
      <c r="P3148" t="n">
        <v>0</v>
      </c>
      <c r="Q3148" t="n">
        <v>3147</v>
      </c>
    </row>
    <row r="3149">
      <c r="A3149" t="n">
        <v>3148</v>
      </c>
      <c r="B3149" t="inlineStr">
        <is>
          <t>MTR-IOS-3148</t>
        </is>
      </c>
      <c r="C3149" t="inlineStr">
        <is>
          <t>iPhone</t>
        </is>
      </c>
      <c r="D3149" t="inlineStr">
        <is>
          <t>Personal</t>
        </is>
      </c>
      <c r="E3149" t="inlineStr">
        <is>
          <t>Personal</t>
        </is>
      </c>
      <c r="F3149" t="inlineStr">
        <is>
          <t>Lifestyle</t>
        </is>
      </c>
      <c r="G3149" t="inlineStr">
        <is>
          <t>Entertainment</t>
        </is>
      </c>
      <c r="H3149" t="inlineStr">
        <is>
          <t>Personal &gt; Lifestyle &gt; Quick Add &gt; Entertainment</t>
        </is>
      </c>
      <c r="I3149" s="18" t="n">
        <v>6436.56</v>
      </c>
      <c r="J3149" t="inlineStr">
        <is>
          <t>Created MTR-IOS-3148 and correlation note visible in Activity/Pulse</t>
        </is>
      </c>
      <c r="K3149" t="inlineStr">
        <is>
          <t>NOT_RUN</t>
        </is>
      </c>
      <c r="P3149" t="n">
        <v>0</v>
      </c>
      <c r="Q3149" t="n">
        <v>3148</v>
      </c>
    </row>
    <row r="3150">
      <c r="A3150" t="n">
        <v>3149</v>
      </c>
      <c r="B3150" t="inlineStr">
        <is>
          <t>MTR-IOS-3149</t>
        </is>
      </c>
      <c r="C3150" t="inlineStr">
        <is>
          <t>iPhone</t>
        </is>
      </c>
      <c r="D3150" t="inlineStr">
        <is>
          <t>Group</t>
        </is>
      </c>
      <c r="E3150" t="inlineStr">
        <is>
          <t>Shared Experience</t>
        </is>
      </c>
      <c r="F3150" t="inlineStr">
        <is>
          <t>Trip</t>
        </is>
      </c>
      <c r="G3150" t="inlineStr">
        <is>
          <t>Shopping</t>
        </is>
      </c>
      <c r="H3150" t="inlineStr">
        <is>
          <t>Group &gt; Trip &gt; Quick Add &gt; Shopping</t>
        </is>
      </c>
      <c r="I3150" s="18" t="n">
        <v>17324.05</v>
      </c>
      <c r="J3150" t="inlineStr">
        <is>
          <t>Created MTR-IOS-3149 and correlation note visible in Activity/Pulse</t>
        </is>
      </c>
      <c r="K3150" t="inlineStr">
        <is>
          <t>NOT_RUN</t>
        </is>
      </c>
      <c r="P3150" t="n">
        <v>0</v>
      </c>
      <c r="Q3150" t="n">
        <v>3149</v>
      </c>
    </row>
    <row r="3151">
      <c r="A3151" t="n">
        <v>3150</v>
      </c>
      <c r="B3151" t="inlineStr">
        <is>
          <t>MTR-IOS-3150</t>
        </is>
      </c>
      <c r="C3151" t="inlineStr">
        <is>
          <t>iPhone</t>
        </is>
      </c>
      <c r="D3151" t="inlineStr">
        <is>
          <t>Business</t>
        </is>
      </c>
      <c r="E3151" t="inlineStr">
        <is>
          <t>Business</t>
        </is>
      </c>
      <c r="F3151" t="inlineStr">
        <is>
          <t>Business Operations</t>
        </is>
      </c>
      <c r="G3151" t="inlineStr">
        <is>
          <t>Tax</t>
        </is>
      </c>
      <c r="H3151" t="inlineStr">
        <is>
          <t>Business &gt; Business Operations &gt; Quick Add &gt; Tax</t>
        </is>
      </c>
      <c r="I3151" s="18" t="n">
        <v>155410.28</v>
      </c>
      <c r="J3151" t="inlineStr">
        <is>
          <t>Created MTR-IOS-3150 and correlation note visible in Activity/Pulse</t>
        </is>
      </c>
      <c r="K3151" t="inlineStr">
        <is>
          <t>NOT_RUN</t>
        </is>
      </c>
      <c r="P3151" t="n">
        <v>0</v>
      </c>
      <c r="Q3151" t="n">
        <v>3150</v>
      </c>
    </row>
    <row r="3152">
      <c r="A3152" t="n">
        <v>3151</v>
      </c>
      <c r="B3152" t="inlineStr">
        <is>
          <t>MTR-IOS-3151</t>
        </is>
      </c>
      <c r="C3152" t="inlineStr">
        <is>
          <t>iPhone</t>
        </is>
      </c>
      <c r="D3152" t="inlineStr">
        <is>
          <t>Personal</t>
        </is>
      </c>
      <c r="E3152" t="inlineStr">
        <is>
          <t>Personal</t>
        </is>
      </c>
      <c r="F3152" t="inlineStr">
        <is>
          <t>Lifestyle</t>
        </is>
      </c>
      <c r="G3152" t="inlineStr">
        <is>
          <t>Travel</t>
        </is>
      </c>
      <c r="H3152" t="inlineStr">
        <is>
          <t>Personal &gt; Lifestyle &gt; Quick Add &gt; Travel</t>
        </is>
      </c>
      <c r="I3152" s="18" t="n">
        <v>1423.38</v>
      </c>
      <c r="J3152" t="inlineStr">
        <is>
          <t>Created MTR-IOS-3151 and correlation note visible in Activity/Pulse</t>
        </is>
      </c>
      <c r="K3152" t="inlineStr">
        <is>
          <t>NOT_RUN</t>
        </is>
      </c>
      <c r="P3152" t="n">
        <v>0</v>
      </c>
      <c r="Q3152" t="n">
        <v>3151</v>
      </c>
    </row>
    <row r="3153">
      <c r="A3153" t="n">
        <v>3152</v>
      </c>
      <c r="B3153" t="inlineStr">
        <is>
          <t>MTR-IOS-3152</t>
        </is>
      </c>
      <c r="C3153" t="inlineStr">
        <is>
          <t>iPhone</t>
        </is>
      </c>
      <c r="D3153" t="inlineStr">
        <is>
          <t>Group</t>
        </is>
      </c>
      <c r="E3153" t="inlineStr">
        <is>
          <t>Shared Experience</t>
        </is>
      </c>
      <c r="F3153" t="inlineStr">
        <is>
          <t>Trip</t>
        </is>
      </c>
      <c r="G3153" t="inlineStr">
        <is>
          <t>Other</t>
        </is>
      </c>
      <c r="H3153" t="inlineStr">
        <is>
          <t>Group &gt; Trip &gt; Quick Add &gt; Other</t>
        </is>
      </c>
      <c r="I3153" s="18" t="n">
        <v>18992.33</v>
      </c>
      <c r="J3153" t="inlineStr">
        <is>
          <t>Created MTR-IOS-3152 and correlation note visible in Activity/Pulse</t>
        </is>
      </c>
      <c r="K3153" t="inlineStr">
        <is>
          <t>NOT_RUN</t>
        </is>
      </c>
      <c r="P3153" t="n">
        <v>0</v>
      </c>
      <c r="Q3153" t="n">
        <v>3152</v>
      </c>
    </row>
    <row r="3154">
      <c r="A3154" t="n">
        <v>3153</v>
      </c>
      <c r="B3154" t="inlineStr">
        <is>
          <t>MTR-IOS-3153</t>
        </is>
      </c>
      <c r="C3154" t="inlineStr">
        <is>
          <t>iPhone</t>
        </is>
      </c>
      <c r="D3154" t="inlineStr">
        <is>
          <t>Business</t>
        </is>
      </c>
      <c r="E3154" t="inlineStr">
        <is>
          <t>Business</t>
        </is>
      </c>
      <c r="F3154" t="inlineStr">
        <is>
          <t>Team Operations</t>
        </is>
      </c>
      <c r="G3154" t="inlineStr">
        <is>
          <t>Payroll</t>
        </is>
      </c>
      <c r="H3154" t="inlineStr">
        <is>
          <t>Business &gt; Team Operations &gt; Quick Add &gt; Payroll</t>
        </is>
      </c>
      <c r="I3154" s="18" t="n">
        <v>142576.12</v>
      </c>
      <c r="J3154" t="inlineStr">
        <is>
          <t>Created MTR-IOS-3153 and correlation note visible in Activity/Pulse</t>
        </is>
      </c>
      <c r="K3154" t="inlineStr">
        <is>
          <t>NOT_RUN</t>
        </is>
      </c>
      <c r="P3154" t="n">
        <v>0</v>
      </c>
      <c r="Q3154" t="n">
        <v>3153</v>
      </c>
    </row>
    <row r="3155">
      <c r="A3155" t="n">
        <v>3154</v>
      </c>
      <c r="B3155" t="inlineStr">
        <is>
          <t>MTR-IOS-3154</t>
        </is>
      </c>
      <c r="C3155" t="inlineStr">
        <is>
          <t>iPhone</t>
        </is>
      </c>
      <c r="D3155" t="inlineStr">
        <is>
          <t>Personal</t>
        </is>
      </c>
      <c r="E3155" t="inlineStr">
        <is>
          <t>Personal</t>
        </is>
      </c>
      <c r="F3155" t="inlineStr">
        <is>
          <t>Lifestyle</t>
        </is>
      </c>
      <c r="G3155" t="inlineStr">
        <is>
          <t>Fitness</t>
        </is>
      </c>
      <c r="H3155" t="inlineStr">
        <is>
          <t>Personal &gt; Lifestyle &gt; Quick Add &gt; Fitness</t>
        </is>
      </c>
      <c r="I3155" s="18" t="n">
        <v>9265.66</v>
      </c>
      <c r="J3155" t="inlineStr">
        <is>
          <t>Created MTR-IOS-3154 and correlation note visible in Activity/Pulse</t>
        </is>
      </c>
      <c r="K3155" t="inlineStr">
        <is>
          <t>NOT_RUN</t>
        </is>
      </c>
      <c r="P3155" t="n">
        <v>0</v>
      </c>
      <c r="Q3155" t="n">
        <v>3154</v>
      </c>
    </row>
    <row r="3156">
      <c r="A3156" t="n">
        <v>3155</v>
      </c>
      <c r="B3156" t="inlineStr">
        <is>
          <t>MTR-IOS-3155</t>
        </is>
      </c>
      <c r="C3156" t="inlineStr">
        <is>
          <t>iPhone</t>
        </is>
      </c>
      <c r="D3156" t="inlineStr">
        <is>
          <t>Group</t>
        </is>
      </c>
      <c r="E3156" t="inlineStr">
        <is>
          <t>Shared Experience</t>
        </is>
      </c>
      <c r="F3156" t="inlineStr">
        <is>
          <t>Wedding</t>
        </is>
      </c>
      <c r="G3156" t="inlineStr">
        <is>
          <t>Venue</t>
        </is>
      </c>
      <c r="H3156" t="inlineStr">
        <is>
          <t>Group &gt; Wedding &gt; Quick Add &gt; Venue</t>
        </is>
      </c>
      <c r="I3156" s="18" t="n">
        <v>15786.43</v>
      </c>
      <c r="J3156" t="inlineStr">
        <is>
          <t>Created MTR-IOS-3155 and correlation note visible in Activity/Pulse</t>
        </is>
      </c>
      <c r="K3156" t="inlineStr">
        <is>
          <t>NOT_RUN</t>
        </is>
      </c>
      <c r="P3156" t="n">
        <v>0</v>
      </c>
      <c r="Q3156" t="n">
        <v>3155</v>
      </c>
    </row>
    <row r="3157">
      <c r="A3157" t="n">
        <v>3156</v>
      </c>
      <c r="B3157" t="inlineStr">
        <is>
          <t>MTR-IOS-3156</t>
        </is>
      </c>
      <c r="C3157" t="inlineStr">
        <is>
          <t>iPhone</t>
        </is>
      </c>
      <c r="D3157" t="inlineStr">
        <is>
          <t>Business</t>
        </is>
      </c>
      <c r="E3157" t="inlineStr">
        <is>
          <t>Business</t>
        </is>
      </c>
      <c r="F3157" t="inlineStr">
        <is>
          <t>Team Operations</t>
        </is>
      </c>
      <c r="G3157" t="inlineStr">
        <is>
          <t>Contractor</t>
        </is>
      </c>
      <c r="H3157" t="inlineStr">
        <is>
          <t>Business &gt; Team Operations &gt; Quick Add &gt; Contractor</t>
        </is>
      </c>
      <c r="I3157" s="18" t="n">
        <v>125748.06</v>
      </c>
      <c r="J3157" t="inlineStr">
        <is>
          <t>Created MTR-IOS-3156 and correlation note visible in Activity/Pulse</t>
        </is>
      </c>
      <c r="K3157" t="inlineStr">
        <is>
          <t>NOT_RUN</t>
        </is>
      </c>
      <c r="P3157" t="n">
        <v>0</v>
      </c>
      <c r="Q3157" t="n">
        <v>3156</v>
      </c>
    </row>
    <row r="3158">
      <c r="A3158" t="n">
        <v>3157</v>
      </c>
      <c r="B3158" t="inlineStr">
        <is>
          <t>MTR-IOS-3157</t>
        </is>
      </c>
      <c r="C3158" t="inlineStr">
        <is>
          <t>iPhone</t>
        </is>
      </c>
      <c r="D3158" t="inlineStr">
        <is>
          <t>Personal</t>
        </is>
      </c>
      <c r="E3158" t="inlineStr">
        <is>
          <t>Personal</t>
        </is>
      </c>
      <c r="F3158" t="inlineStr">
        <is>
          <t>Lifestyle</t>
        </is>
      </c>
      <c r="G3158" t="inlineStr">
        <is>
          <t>Hobbies</t>
        </is>
      </c>
      <c r="H3158" t="inlineStr">
        <is>
          <t>Personal &gt; Lifestyle &gt; Quick Add &gt; Hobbies</t>
        </is>
      </c>
      <c r="I3158" s="18" t="n">
        <v>2092.89</v>
      </c>
      <c r="J3158" t="inlineStr">
        <is>
          <t>Created MTR-IOS-3157 and correlation note visible in Activity/Pulse</t>
        </is>
      </c>
      <c r="K3158" t="inlineStr">
        <is>
          <t>NOT_RUN</t>
        </is>
      </c>
      <c r="P3158" t="n">
        <v>0</v>
      </c>
      <c r="Q3158" t="n">
        <v>3157</v>
      </c>
    </row>
    <row r="3159">
      <c r="A3159" t="n">
        <v>3158</v>
      </c>
      <c r="B3159" t="inlineStr">
        <is>
          <t>MTR-IOS-3158</t>
        </is>
      </c>
      <c r="C3159" t="inlineStr">
        <is>
          <t>iPhone</t>
        </is>
      </c>
      <c r="D3159" t="inlineStr">
        <is>
          <t>Group</t>
        </is>
      </c>
      <c r="E3159" t="inlineStr">
        <is>
          <t>Shared Experience</t>
        </is>
      </c>
      <c r="F3159" t="inlineStr">
        <is>
          <t>Wedding</t>
        </is>
      </c>
      <c r="G3159" t="inlineStr">
        <is>
          <t>Catering</t>
        </is>
      </c>
      <c r="H3159" t="inlineStr">
        <is>
          <t>Group &gt; Wedding &gt; Quick Add &gt; Catering</t>
        </is>
      </c>
      <c r="I3159" s="18" t="n">
        <v>26298.11</v>
      </c>
      <c r="J3159" t="inlineStr">
        <is>
          <t>Created MTR-IOS-3158 and correlation note visible in Activity/Pulse</t>
        </is>
      </c>
      <c r="K3159" t="inlineStr">
        <is>
          <t>NOT_RUN</t>
        </is>
      </c>
      <c r="P3159" t="n">
        <v>0</v>
      </c>
      <c r="Q3159" t="n">
        <v>3158</v>
      </c>
    </row>
    <row r="3160">
      <c r="A3160" t="n">
        <v>3159</v>
      </c>
      <c r="B3160" t="inlineStr">
        <is>
          <t>MTR-IOS-3159</t>
        </is>
      </c>
      <c r="C3160" t="inlineStr">
        <is>
          <t>iPhone</t>
        </is>
      </c>
      <c r="D3160" t="inlineStr">
        <is>
          <t>Business</t>
        </is>
      </c>
      <c r="E3160" t="inlineStr">
        <is>
          <t>Business</t>
        </is>
      </c>
      <c r="F3160" t="inlineStr">
        <is>
          <t>Team Operations</t>
        </is>
      </c>
      <c r="G3160" t="inlineStr">
        <is>
          <t>Hiring</t>
        </is>
      </c>
      <c r="H3160" t="inlineStr">
        <is>
          <t>Business &gt; Team Operations &gt; Quick Add &gt; Hiring</t>
        </is>
      </c>
      <c r="I3160" s="18" t="n">
        <v>54672.61</v>
      </c>
      <c r="J3160" t="inlineStr">
        <is>
          <t>Created MTR-IOS-3159 and correlation note visible in Activity/Pulse</t>
        </is>
      </c>
      <c r="K3160" t="inlineStr">
        <is>
          <t>NOT_RUN</t>
        </is>
      </c>
      <c r="P3160" t="n">
        <v>0</v>
      </c>
      <c r="Q3160" t="n">
        <v>3159</v>
      </c>
    </row>
    <row r="3161">
      <c r="A3161" t="n">
        <v>3160</v>
      </c>
      <c r="B3161" t="inlineStr">
        <is>
          <t>MTR-IOS-3160</t>
        </is>
      </c>
      <c r="C3161" t="inlineStr">
        <is>
          <t>iPhone</t>
        </is>
      </c>
      <c r="D3161" t="inlineStr">
        <is>
          <t>Personal</t>
        </is>
      </c>
      <c r="E3161" t="inlineStr">
        <is>
          <t>Personal</t>
        </is>
      </c>
      <c r="F3161" t="inlineStr">
        <is>
          <t>Relationships</t>
        </is>
      </c>
      <c r="G3161" t="inlineStr">
        <is>
          <t>Gifts</t>
        </is>
      </c>
      <c r="H3161" t="inlineStr">
        <is>
          <t>Personal &gt; Relationships &gt; Quick Add &gt; Gifts</t>
        </is>
      </c>
      <c r="I3161" s="18" t="n">
        <v>2124.02</v>
      </c>
      <c r="J3161" t="inlineStr">
        <is>
          <t>Created MTR-IOS-3160 and correlation note visible in Activity/Pulse</t>
        </is>
      </c>
      <c r="K3161" t="inlineStr">
        <is>
          <t>NOT_RUN</t>
        </is>
      </c>
      <c r="P3161" t="n">
        <v>0</v>
      </c>
      <c r="Q3161" t="n">
        <v>3160</v>
      </c>
    </row>
    <row r="3162">
      <c r="A3162" t="n">
        <v>3161</v>
      </c>
      <c r="B3162" t="inlineStr">
        <is>
          <t>MTR-IOS-3161</t>
        </is>
      </c>
      <c r="C3162" t="inlineStr">
        <is>
          <t>iPhone</t>
        </is>
      </c>
      <c r="D3162" t="inlineStr">
        <is>
          <t>Group</t>
        </is>
      </c>
      <c r="E3162" t="inlineStr">
        <is>
          <t>Shared Experience</t>
        </is>
      </c>
      <c r="F3162" t="inlineStr">
        <is>
          <t>Wedding</t>
        </is>
      </c>
      <c r="G3162" t="inlineStr">
        <is>
          <t>Decor</t>
        </is>
      </c>
      <c r="H3162" t="inlineStr">
        <is>
          <t>Group &gt; Wedding &gt; Quick Add &gt; Decor</t>
        </is>
      </c>
      <c r="I3162" s="18" t="n">
        <v>7155.03</v>
      </c>
      <c r="J3162" t="inlineStr">
        <is>
          <t>Created MTR-IOS-3161 and correlation note visible in Activity/Pulse</t>
        </is>
      </c>
      <c r="K3162" t="inlineStr">
        <is>
          <t>NOT_RUN</t>
        </is>
      </c>
      <c r="P3162" t="n">
        <v>0</v>
      </c>
      <c r="Q3162" t="n">
        <v>3161</v>
      </c>
    </row>
    <row r="3163">
      <c r="A3163" t="n">
        <v>3162</v>
      </c>
      <c r="B3163" t="inlineStr">
        <is>
          <t>MTR-IOS-3162</t>
        </is>
      </c>
      <c r="C3163" t="inlineStr">
        <is>
          <t>iPhone</t>
        </is>
      </c>
      <c r="D3163" t="inlineStr">
        <is>
          <t>Business</t>
        </is>
      </c>
      <c r="E3163" t="inlineStr">
        <is>
          <t>Business</t>
        </is>
      </c>
      <c r="F3163" t="inlineStr">
        <is>
          <t>Team Operations</t>
        </is>
      </c>
      <c r="G3163" t="inlineStr">
        <is>
          <t>Team Meal</t>
        </is>
      </c>
      <c r="H3163" t="inlineStr">
        <is>
          <t>Business &gt; Team Operations &gt; Quick Add &gt; Team Meal</t>
        </is>
      </c>
      <c r="I3163" s="18" t="n">
        <v>62905.17</v>
      </c>
      <c r="J3163" t="inlineStr">
        <is>
          <t>Created MTR-IOS-3162 and correlation note visible in Activity/Pulse</t>
        </is>
      </c>
      <c r="K3163" t="inlineStr">
        <is>
          <t>NOT_RUN</t>
        </is>
      </c>
      <c r="P3163" t="n">
        <v>0</v>
      </c>
      <c r="Q3163" t="n">
        <v>3162</v>
      </c>
    </row>
    <row r="3164">
      <c r="A3164" t="n">
        <v>3163</v>
      </c>
      <c r="B3164" t="inlineStr">
        <is>
          <t>MTR-IOS-3163</t>
        </is>
      </c>
      <c r="C3164" t="inlineStr">
        <is>
          <t>iPhone</t>
        </is>
      </c>
      <c r="D3164" t="inlineStr">
        <is>
          <t>Personal</t>
        </is>
      </c>
      <c r="E3164" t="inlineStr">
        <is>
          <t>Personal</t>
        </is>
      </c>
      <c r="F3164" t="inlineStr">
        <is>
          <t>Relationships</t>
        </is>
      </c>
      <c r="G3164" t="inlineStr">
        <is>
          <t>Dates</t>
        </is>
      </c>
      <c r="H3164" t="inlineStr">
        <is>
          <t>Personal &gt; Relationships &gt; Quick Add &gt; Dates</t>
        </is>
      </c>
      <c r="I3164" s="18" t="n">
        <v>16446.84</v>
      </c>
      <c r="J3164" t="inlineStr">
        <is>
          <t>Created MTR-IOS-3163 and correlation note visible in Activity/Pulse</t>
        </is>
      </c>
      <c r="K3164" t="inlineStr">
        <is>
          <t>NOT_RUN</t>
        </is>
      </c>
      <c r="P3164" t="n">
        <v>0</v>
      </c>
      <c r="Q3164" t="n">
        <v>3163</v>
      </c>
    </row>
    <row r="3165">
      <c r="A3165" t="n">
        <v>3164</v>
      </c>
      <c r="B3165" t="inlineStr">
        <is>
          <t>MTR-IOS-3164</t>
        </is>
      </c>
      <c r="C3165" t="inlineStr">
        <is>
          <t>iPhone</t>
        </is>
      </c>
      <c r="D3165" t="inlineStr">
        <is>
          <t>Group</t>
        </is>
      </c>
      <c r="E3165" t="inlineStr">
        <is>
          <t>Shared Experience</t>
        </is>
      </c>
      <c r="F3165" t="inlineStr">
        <is>
          <t>Wedding</t>
        </is>
      </c>
      <c r="G3165" t="inlineStr">
        <is>
          <t>Travel</t>
        </is>
      </c>
      <c r="H3165" t="inlineStr">
        <is>
          <t>Group &gt; Wedding &gt; Quick Add &gt; Travel</t>
        </is>
      </c>
      <c r="I3165" s="18" t="n">
        <v>22488.78</v>
      </c>
      <c r="J3165" t="inlineStr">
        <is>
          <t>Created MTR-IOS-3164 and correlation note visible in Activity/Pulse</t>
        </is>
      </c>
      <c r="K3165" t="inlineStr">
        <is>
          <t>NOT_RUN</t>
        </is>
      </c>
      <c r="P3165" t="n">
        <v>0</v>
      </c>
      <c r="Q3165" t="n">
        <v>3164</v>
      </c>
    </row>
    <row r="3166">
      <c r="A3166" t="n">
        <v>3165</v>
      </c>
      <c r="B3166" t="inlineStr">
        <is>
          <t>MTR-IOS-3165</t>
        </is>
      </c>
      <c r="C3166" t="inlineStr">
        <is>
          <t>iPhone</t>
        </is>
      </c>
      <c r="D3166" t="inlineStr">
        <is>
          <t>Business</t>
        </is>
      </c>
      <c r="E3166" t="inlineStr">
        <is>
          <t>Business</t>
        </is>
      </c>
      <c r="F3166" t="inlineStr">
        <is>
          <t>Team Operations</t>
        </is>
      </c>
      <c r="G3166" t="inlineStr">
        <is>
          <t>Travel</t>
        </is>
      </c>
      <c r="H3166" t="inlineStr">
        <is>
          <t>Business &gt; Team Operations &gt; Quick Add &gt; Travel</t>
        </is>
      </c>
      <c r="I3166" s="18" t="n">
        <v>29247.48</v>
      </c>
      <c r="J3166" t="inlineStr">
        <is>
          <t>Created MTR-IOS-3165 and correlation note visible in Activity/Pulse</t>
        </is>
      </c>
      <c r="K3166" t="inlineStr">
        <is>
          <t>NOT_RUN</t>
        </is>
      </c>
      <c r="P3166" t="n">
        <v>0</v>
      </c>
      <c r="Q3166" t="n">
        <v>3165</v>
      </c>
    </row>
    <row r="3167">
      <c r="A3167" t="n">
        <v>3166</v>
      </c>
      <c r="B3167" t="inlineStr">
        <is>
          <t>MTR-IOS-3166</t>
        </is>
      </c>
      <c r="C3167" t="inlineStr">
        <is>
          <t>iPhone</t>
        </is>
      </c>
      <c r="D3167" t="inlineStr">
        <is>
          <t>Personal</t>
        </is>
      </c>
      <c r="E3167" t="inlineStr">
        <is>
          <t>Personal</t>
        </is>
      </c>
      <c r="F3167" t="inlineStr">
        <is>
          <t>Relationships</t>
        </is>
      </c>
      <c r="G3167" t="inlineStr">
        <is>
          <t>Family</t>
        </is>
      </c>
      <c r="H3167" t="inlineStr">
        <is>
          <t>Personal &gt; Relationships &gt; Quick Add &gt; Family</t>
        </is>
      </c>
      <c r="I3167" s="18" t="n">
        <v>17833.6</v>
      </c>
      <c r="J3167" t="inlineStr">
        <is>
          <t>Created MTR-IOS-3166 and correlation note visible in Activity/Pulse</t>
        </is>
      </c>
      <c r="K3167" t="inlineStr">
        <is>
          <t>NOT_RUN</t>
        </is>
      </c>
      <c r="P3167" t="n">
        <v>0</v>
      </c>
      <c r="Q3167" t="n">
        <v>3166</v>
      </c>
    </row>
    <row r="3168">
      <c r="A3168" t="n">
        <v>3167</v>
      </c>
      <c r="B3168" t="inlineStr">
        <is>
          <t>MTR-IOS-3167</t>
        </is>
      </c>
      <c r="C3168" t="inlineStr">
        <is>
          <t>iPhone</t>
        </is>
      </c>
      <c r="D3168" t="inlineStr">
        <is>
          <t>Group</t>
        </is>
      </c>
      <c r="E3168" t="inlineStr">
        <is>
          <t>Shared Experience</t>
        </is>
      </c>
      <c r="F3168" t="inlineStr">
        <is>
          <t>Wedding</t>
        </is>
      </c>
      <c r="G3168" t="inlineStr">
        <is>
          <t>Gifts</t>
        </is>
      </c>
      <c r="H3168" t="inlineStr">
        <is>
          <t>Group &gt; Wedding &gt; Quick Add &gt; Gifts</t>
        </is>
      </c>
      <c r="I3168" s="18" t="n">
        <v>11617.56</v>
      </c>
      <c r="J3168" t="inlineStr">
        <is>
          <t>Created MTR-IOS-3167 and correlation note visible in Activity/Pulse</t>
        </is>
      </c>
      <c r="K3168" t="inlineStr">
        <is>
          <t>NOT_RUN</t>
        </is>
      </c>
      <c r="P3168" t="n">
        <v>0</v>
      </c>
      <c r="Q3168" t="n">
        <v>3167</v>
      </c>
    </row>
    <row r="3169">
      <c r="A3169" t="n">
        <v>3168</v>
      </c>
      <c r="B3169" t="inlineStr">
        <is>
          <t>MTR-IOS-3168</t>
        </is>
      </c>
      <c r="C3169" t="inlineStr">
        <is>
          <t>iPhone</t>
        </is>
      </c>
      <c r="D3169" t="inlineStr">
        <is>
          <t>Business</t>
        </is>
      </c>
      <c r="E3169" t="inlineStr">
        <is>
          <t>Business</t>
        </is>
      </c>
      <c r="F3169" t="inlineStr">
        <is>
          <t>Team Operations</t>
        </is>
      </c>
      <c r="G3169" t="inlineStr">
        <is>
          <t>Training</t>
        </is>
      </c>
      <c r="H3169" t="inlineStr">
        <is>
          <t>Business &gt; Team Operations &gt; Quick Add &gt; Training</t>
        </is>
      </c>
      <c r="I3169" s="18" t="n">
        <v>54594.23</v>
      </c>
      <c r="J3169" t="inlineStr">
        <is>
          <t>Created MTR-IOS-3168 and correlation note visible in Activity/Pulse</t>
        </is>
      </c>
      <c r="K3169" t="inlineStr">
        <is>
          <t>NOT_RUN</t>
        </is>
      </c>
      <c r="P3169" t="n">
        <v>0</v>
      </c>
      <c r="Q3169" t="n">
        <v>3168</v>
      </c>
    </row>
    <row r="3170">
      <c r="A3170" t="n">
        <v>3169</v>
      </c>
      <c r="B3170" t="inlineStr">
        <is>
          <t>MTR-IOS-3169</t>
        </is>
      </c>
      <c r="C3170" t="inlineStr">
        <is>
          <t>iPhone</t>
        </is>
      </c>
      <c r="D3170" t="inlineStr">
        <is>
          <t>Personal</t>
        </is>
      </c>
      <c r="E3170" t="inlineStr">
        <is>
          <t>Personal</t>
        </is>
      </c>
      <c r="F3170" t="inlineStr">
        <is>
          <t>Relationships</t>
        </is>
      </c>
      <c r="G3170" t="inlineStr">
        <is>
          <t>Friends</t>
        </is>
      </c>
      <c r="H3170" t="inlineStr">
        <is>
          <t>Personal &gt; Relationships &gt; Quick Add &gt; Friends</t>
        </is>
      </c>
      <c r="I3170" s="18" t="n">
        <v>17160.38</v>
      </c>
      <c r="J3170" t="inlineStr">
        <is>
          <t>Created MTR-IOS-3169 and correlation note visible in Activity/Pulse</t>
        </is>
      </c>
      <c r="K3170" t="inlineStr">
        <is>
          <t>NOT_RUN</t>
        </is>
      </c>
      <c r="P3170" t="n">
        <v>0</v>
      </c>
      <c r="Q3170" t="n">
        <v>3169</v>
      </c>
    </row>
    <row r="3171">
      <c r="A3171" t="n">
        <v>3170</v>
      </c>
      <c r="B3171" t="inlineStr">
        <is>
          <t>MTR-IOS-3170</t>
        </is>
      </c>
      <c r="C3171" t="inlineStr">
        <is>
          <t>iPhone</t>
        </is>
      </c>
      <c r="D3171" t="inlineStr">
        <is>
          <t>Group</t>
        </is>
      </c>
      <c r="E3171" t="inlineStr">
        <is>
          <t>Shared Experience</t>
        </is>
      </c>
      <c r="F3171" t="inlineStr">
        <is>
          <t>Wedding</t>
        </is>
      </c>
      <c r="G3171" t="inlineStr">
        <is>
          <t>Photography</t>
        </is>
      </c>
      <c r="H3171" t="inlineStr">
        <is>
          <t>Group &gt; Wedding &gt; Quick Add &gt; Photography</t>
        </is>
      </c>
      <c r="I3171" s="18" t="n">
        <v>296.62</v>
      </c>
      <c r="J3171" t="inlineStr">
        <is>
          <t>Created MTR-IOS-3170 and correlation note visible in Activity/Pulse</t>
        </is>
      </c>
      <c r="K3171" t="inlineStr">
        <is>
          <t>NOT_RUN</t>
        </is>
      </c>
      <c r="P3171" t="n">
        <v>0</v>
      </c>
      <c r="Q3171" t="n">
        <v>3170</v>
      </c>
    </row>
    <row r="3172">
      <c r="A3172" t="n">
        <v>3171</v>
      </c>
      <c r="B3172" t="inlineStr">
        <is>
          <t>MTR-IOS-3171</t>
        </is>
      </c>
      <c r="C3172" t="inlineStr">
        <is>
          <t>iPhone</t>
        </is>
      </c>
      <c r="D3172" t="inlineStr">
        <is>
          <t>Business</t>
        </is>
      </c>
      <c r="E3172" t="inlineStr">
        <is>
          <t>Business</t>
        </is>
      </c>
      <c r="F3172" t="inlineStr">
        <is>
          <t>Team Operations</t>
        </is>
      </c>
      <c r="G3172" t="inlineStr">
        <is>
          <t>Tools</t>
        </is>
      </c>
      <c r="H3172" t="inlineStr">
        <is>
          <t>Business &gt; Team Operations &gt; Quick Add &gt; Tools</t>
        </is>
      </c>
      <c r="I3172" s="18" t="n">
        <v>73497.91</v>
      </c>
      <c r="J3172" t="inlineStr">
        <is>
          <t>Created MTR-IOS-3171 and correlation note visible in Activity/Pulse</t>
        </is>
      </c>
      <c r="K3172" t="inlineStr">
        <is>
          <t>NOT_RUN</t>
        </is>
      </c>
      <c r="P3172" t="n">
        <v>0</v>
      </c>
      <c r="Q3172" t="n">
        <v>3171</v>
      </c>
    </row>
    <row r="3173">
      <c r="A3173" t="n">
        <v>3172</v>
      </c>
      <c r="B3173" t="inlineStr">
        <is>
          <t>MTR-IOS-3172</t>
        </is>
      </c>
      <c r="C3173" t="inlineStr">
        <is>
          <t>iPhone</t>
        </is>
      </c>
      <c r="D3173" t="inlineStr">
        <is>
          <t>Personal</t>
        </is>
      </c>
      <c r="E3173" t="inlineStr">
        <is>
          <t>Personal</t>
        </is>
      </c>
      <c r="F3173" t="inlineStr">
        <is>
          <t>Relationships</t>
        </is>
      </c>
      <c r="G3173" t="inlineStr">
        <is>
          <t>Celebrations</t>
        </is>
      </c>
      <c r="H3173" t="inlineStr">
        <is>
          <t>Personal &gt; Relationships &gt; Quick Add &gt; Celebrations</t>
        </is>
      </c>
      <c r="I3173" s="18" t="n">
        <v>5097.93</v>
      </c>
      <c r="J3173" t="inlineStr">
        <is>
          <t>Created MTR-IOS-3172 and correlation note visible in Activity/Pulse</t>
        </is>
      </c>
      <c r="K3173" t="inlineStr">
        <is>
          <t>NOT_RUN</t>
        </is>
      </c>
      <c r="P3173" t="n">
        <v>0</v>
      </c>
      <c r="Q3173" t="n">
        <v>3172</v>
      </c>
    </row>
    <row r="3174">
      <c r="A3174" t="n">
        <v>3173</v>
      </c>
      <c r="B3174" t="inlineStr">
        <is>
          <t>MTR-IOS-3173</t>
        </is>
      </c>
      <c r="C3174" t="inlineStr">
        <is>
          <t>iPhone</t>
        </is>
      </c>
      <c r="D3174" t="inlineStr">
        <is>
          <t>Group</t>
        </is>
      </c>
      <c r="E3174" t="inlineStr">
        <is>
          <t>Shared Experience</t>
        </is>
      </c>
      <c r="F3174" t="inlineStr">
        <is>
          <t>Wedding</t>
        </is>
      </c>
      <c r="G3174" t="inlineStr">
        <is>
          <t>Other</t>
        </is>
      </c>
      <c r="H3174" t="inlineStr">
        <is>
          <t>Group &gt; Wedding &gt; Quick Add &gt; Other</t>
        </is>
      </c>
      <c r="I3174" s="18" t="n">
        <v>18264.78</v>
      </c>
      <c r="J3174" t="inlineStr">
        <is>
          <t>Created MTR-IOS-3173 and correlation note visible in Activity/Pulse</t>
        </is>
      </c>
      <c r="K3174" t="inlineStr">
        <is>
          <t>NOT_RUN</t>
        </is>
      </c>
      <c r="P3174" t="n">
        <v>0</v>
      </c>
      <c r="Q3174" t="n">
        <v>3173</v>
      </c>
    </row>
    <row r="3175">
      <c r="A3175" t="n">
        <v>3174</v>
      </c>
      <c r="B3175" t="inlineStr">
        <is>
          <t>MTR-IOS-3174</t>
        </is>
      </c>
      <c r="C3175" t="inlineStr">
        <is>
          <t>iPhone</t>
        </is>
      </c>
      <c r="D3175" t="inlineStr">
        <is>
          <t>Business</t>
        </is>
      </c>
      <c r="E3175" t="inlineStr">
        <is>
          <t>Business</t>
        </is>
      </c>
      <c r="F3175" t="inlineStr">
        <is>
          <t>Business Runway</t>
        </is>
      </c>
      <c r="G3175" t="inlineStr">
        <is>
          <t>Funding</t>
        </is>
      </c>
      <c r="H3175" t="inlineStr">
        <is>
          <t>Business &gt; Business Runway &gt; Quick Add &gt; Funding</t>
        </is>
      </c>
      <c r="I3175" s="18" t="n">
        <v>96925.39999999999</v>
      </c>
      <c r="J3175" t="inlineStr">
        <is>
          <t>Created MTR-IOS-3174 and correlation note visible in Activity/Pulse</t>
        </is>
      </c>
      <c r="K3175" t="inlineStr">
        <is>
          <t>NOT_RUN</t>
        </is>
      </c>
      <c r="P3175" t="n">
        <v>0</v>
      </c>
      <c r="Q3175" t="n">
        <v>3174</v>
      </c>
    </row>
    <row r="3176">
      <c r="A3176" t="n">
        <v>3175</v>
      </c>
      <c r="B3176" t="inlineStr">
        <is>
          <t>MTR-IOS-3175</t>
        </is>
      </c>
      <c r="C3176" t="inlineStr">
        <is>
          <t>iPhone</t>
        </is>
      </c>
      <c r="D3176" t="inlineStr">
        <is>
          <t>Personal</t>
        </is>
      </c>
      <c r="E3176" t="inlineStr">
        <is>
          <t>Personal</t>
        </is>
      </c>
      <c r="F3176" t="inlineStr">
        <is>
          <t>Life Operations</t>
        </is>
      </c>
      <c r="G3176" t="inlineStr">
        <is>
          <t>Groceries</t>
        </is>
      </c>
      <c r="H3176" t="inlineStr">
        <is>
          <t>Personal &gt; Life Operations &gt; Quick Add &gt; Groceries</t>
        </is>
      </c>
      <c r="I3176" s="18" t="n">
        <v>3630.11</v>
      </c>
      <c r="J3176" t="inlineStr">
        <is>
          <t>Created MTR-IOS-3175 and correlation note visible in Activity/Pulse</t>
        </is>
      </c>
      <c r="K3176" t="inlineStr">
        <is>
          <t>NOT_RUN</t>
        </is>
      </c>
      <c r="P3176" t="n">
        <v>0</v>
      </c>
      <c r="Q3176" t="n">
        <v>3175</v>
      </c>
    </row>
    <row r="3177">
      <c r="A3177" t="n">
        <v>3176</v>
      </c>
      <c r="B3177" t="inlineStr">
        <is>
          <t>MTR-IOS-3176</t>
        </is>
      </c>
      <c r="C3177" t="inlineStr">
        <is>
          <t>iPhone</t>
        </is>
      </c>
      <c r="D3177" t="inlineStr">
        <is>
          <t>Group</t>
        </is>
      </c>
      <c r="E3177" t="inlineStr">
        <is>
          <t>Shared Experience</t>
        </is>
      </c>
      <c r="F3177" t="inlineStr">
        <is>
          <t>Office Outing</t>
        </is>
      </c>
      <c r="G3177" t="inlineStr">
        <is>
          <t>Food</t>
        </is>
      </c>
      <c r="H3177" t="inlineStr">
        <is>
          <t>Group &gt; Office Outing &gt; Quick Add &gt; Food</t>
        </is>
      </c>
      <c r="I3177" s="18" t="n">
        <v>21141.64</v>
      </c>
      <c r="J3177" t="inlineStr">
        <is>
          <t>Created MTR-IOS-3176 and correlation note visible in Activity/Pulse</t>
        </is>
      </c>
      <c r="K3177" t="inlineStr">
        <is>
          <t>NOT_RUN</t>
        </is>
      </c>
      <c r="P3177" t="n">
        <v>0</v>
      </c>
      <c r="Q3177" t="n">
        <v>3176</v>
      </c>
    </row>
    <row r="3178">
      <c r="A3178" t="n">
        <v>3177</v>
      </c>
      <c r="B3178" t="inlineStr">
        <is>
          <t>MTR-IOS-3177</t>
        </is>
      </c>
      <c r="C3178" t="inlineStr">
        <is>
          <t>iPhone</t>
        </is>
      </c>
      <c r="D3178" t="inlineStr">
        <is>
          <t>Business</t>
        </is>
      </c>
      <c r="E3178" t="inlineStr">
        <is>
          <t>Business</t>
        </is>
      </c>
      <c r="F3178" t="inlineStr">
        <is>
          <t>Business Runway</t>
        </is>
      </c>
      <c r="G3178" t="inlineStr">
        <is>
          <t>Revenue</t>
        </is>
      </c>
      <c r="H3178" t="inlineStr">
        <is>
          <t>Business &gt; Business Runway &gt; Quick Add &gt; Revenue</t>
        </is>
      </c>
      <c r="I3178" s="18" t="n">
        <v>66906.55</v>
      </c>
      <c r="J3178" t="inlineStr">
        <is>
          <t>Created MTR-IOS-3177 and correlation note visible in Activity/Pulse</t>
        </is>
      </c>
      <c r="K3178" t="inlineStr">
        <is>
          <t>NOT_RUN</t>
        </is>
      </c>
      <c r="P3178" t="n">
        <v>0</v>
      </c>
      <c r="Q3178" t="n">
        <v>3177</v>
      </c>
    </row>
    <row r="3179">
      <c r="A3179" t="n">
        <v>3178</v>
      </c>
      <c r="B3179" t="inlineStr">
        <is>
          <t>MTR-IOS-3178</t>
        </is>
      </c>
      <c r="C3179" t="inlineStr">
        <is>
          <t>iPhone</t>
        </is>
      </c>
      <c r="D3179" t="inlineStr">
        <is>
          <t>Personal</t>
        </is>
      </c>
      <c r="E3179" t="inlineStr">
        <is>
          <t>Personal</t>
        </is>
      </c>
      <c r="F3179" t="inlineStr">
        <is>
          <t>Life Operations</t>
        </is>
      </c>
      <c r="G3179" t="inlineStr">
        <is>
          <t>Rent</t>
        </is>
      </c>
      <c r="H3179" t="inlineStr">
        <is>
          <t>Personal &gt; Life Operations &gt; Quick Add &gt; Rent</t>
        </is>
      </c>
      <c r="I3179" s="18" t="n">
        <v>13627.45</v>
      </c>
      <c r="J3179" t="inlineStr">
        <is>
          <t>Created MTR-IOS-3178 and correlation note visible in Activity/Pulse</t>
        </is>
      </c>
      <c r="K3179" t="inlineStr">
        <is>
          <t>NOT_RUN</t>
        </is>
      </c>
      <c r="P3179" t="n">
        <v>0</v>
      </c>
      <c r="Q3179" t="n">
        <v>3178</v>
      </c>
    </row>
    <row r="3180">
      <c r="A3180" t="n">
        <v>3179</v>
      </c>
      <c r="B3180" t="inlineStr">
        <is>
          <t>MTR-IOS-3179</t>
        </is>
      </c>
      <c r="C3180" t="inlineStr">
        <is>
          <t>iPhone</t>
        </is>
      </c>
      <c r="D3180" t="inlineStr">
        <is>
          <t>Group</t>
        </is>
      </c>
      <c r="E3180" t="inlineStr">
        <is>
          <t>Shared Experience</t>
        </is>
      </c>
      <c r="F3180" t="inlineStr">
        <is>
          <t>Office Outing</t>
        </is>
      </c>
      <c r="G3180" t="inlineStr">
        <is>
          <t>Travel</t>
        </is>
      </c>
      <c r="H3180" t="inlineStr">
        <is>
          <t>Group &gt; Office Outing &gt; Quick Add &gt; Travel</t>
        </is>
      </c>
      <c r="I3180" s="18" t="n">
        <v>13956.68</v>
      </c>
      <c r="J3180" t="inlineStr">
        <is>
          <t>Created MTR-IOS-3179 and correlation note visible in Activity/Pulse</t>
        </is>
      </c>
      <c r="K3180" t="inlineStr">
        <is>
          <t>NOT_RUN</t>
        </is>
      </c>
      <c r="P3180" t="n">
        <v>0</v>
      </c>
      <c r="Q3180" t="n">
        <v>3179</v>
      </c>
    </row>
    <row r="3181">
      <c r="A3181" t="n">
        <v>3180</v>
      </c>
      <c r="B3181" t="inlineStr">
        <is>
          <t>MTR-IOS-3180</t>
        </is>
      </c>
      <c r="C3181" t="inlineStr">
        <is>
          <t>iPhone</t>
        </is>
      </c>
      <c r="D3181" t="inlineStr">
        <is>
          <t>Business</t>
        </is>
      </c>
      <c r="E3181" t="inlineStr">
        <is>
          <t>Business</t>
        </is>
      </c>
      <c r="F3181" t="inlineStr">
        <is>
          <t>Business Runway</t>
        </is>
      </c>
      <c r="G3181" t="inlineStr">
        <is>
          <t>Burn</t>
        </is>
      </c>
      <c r="H3181" t="inlineStr">
        <is>
          <t>Business &gt; Business Runway &gt; Quick Add &gt; Burn</t>
        </is>
      </c>
      <c r="I3181" s="18" t="n">
        <v>133820.51</v>
      </c>
      <c r="J3181" t="inlineStr">
        <is>
          <t>Created MTR-IOS-3180 and correlation note visible in Activity/Pulse</t>
        </is>
      </c>
      <c r="K3181" t="inlineStr">
        <is>
          <t>NOT_RUN</t>
        </is>
      </c>
      <c r="P3181" t="n">
        <v>0</v>
      </c>
      <c r="Q3181" t="n">
        <v>3180</v>
      </c>
    </row>
    <row r="3182">
      <c r="A3182" t="n">
        <v>3181</v>
      </c>
      <c r="B3182" t="inlineStr">
        <is>
          <t>MTR-IOS-3181</t>
        </is>
      </c>
      <c r="C3182" t="inlineStr">
        <is>
          <t>iPhone</t>
        </is>
      </c>
      <c r="D3182" t="inlineStr">
        <is>
          <t>Personal</t>
        </is>
      </c>
      <c r="E3182" t="inlineStr">
        <is>
          <t>Personal</t>
        </is>
      </c>
      <c r="F3182" t="inlineStr">
        <is>
          <t>Life Operations</t>
        </is>
      </c>
      <c r="G3182" t="inlineStr">
        <is>
          <t>Bills</t>
        </is>
      </c>
      <c r="H3182" t="inlineStr">
        <is>
          <t>Personal &gt; Life Operations &gt; Quick Add &gt; Bills</t>
        </is>
      </c>
      <c r="I3182" s="18" t="n">
        <v>15319.75</v>
      </c>
      <c r="J3182" t="inlineStr">
        <is>
          <t>Created MTR-IOS-3181 and correlation note visible in Activity/Pulse</t>
        </is>
      </c>
      <c r="K3182" t="inlineStr">
        <is>
          <t>NOT_RUN</t>
        </is>
      </c>
      <c r="P3182" t="n">
        <v>0</v>
      </c>
      <c r="Q3182" t="n">
        <v>3181</v>
      </c>
    </row>
    <row r="3183">
      <c r="A3183" t="n">
        <v>3182</v>
      </c>
      <c r="B3183" t="inlineStr">
        <is>
          <t>MTR-IOS-3182</t>
        </is>
      </c>
      <c r="C3183" t="inlineStr">
        <is>
          <t>iPhone</t>
        </is>
      </c>
      <c r="D3183" t="inlineStr">
        <is>
          <t>Group</t>
        </is>
      </c>
      <c r="E3183" t="inlineStr">
        <is>
          <t>Shared Experience</t>
        </is>
      </c>
      <c r="F3183" t="inlineStr">
        <is>
          <t>Office Outing</t>
        </is>
      </c>
      <c r="G3183" t="inlineStr">
        <is>
          <t>Activities</t>
        </is>
      </c>
      <c r="H3183" t="inlineStr">
        <is>
          <t>Group &gt; Office Outing &gt; Quick Add &gt; Activities</t>
        </is>
      </c>
      <c r="I3183" s="18" t="n">
        <v>99.98999999999999</v>
      </c>
      <c r="J3183" t="inlineStr">
        <is>
          <t>Created MTR-IOS-3182 and correlation note visible in Activity/Pulse</t>
        </is>
      </c>
      <c r="K3183" t="inlineStr">
        <is>
          <t>NOT_RUN</t>
        </is>
      </c>
      <c r="P3183" t="n">
        <v>0</v>
      </c>
      <c r="Q3183" t="n">
        <v>3182</v>
      </c>
    </row>
    <row r="3184">
      <c r="A3184" t="n">
        <v>3183</v>
      </c>
      <c r="B3184" t="inlineStr">
        <is>
          <t>MTR-IOS-3183</t>
        </is>
      </c>
      <c r="C3184" t="inlineStr">
        <is>
          <t>iPhone</t>
        </is>
      </c>
      <c r="D3184" t="inlineStr">
        <is>
          <t>Business</t>
        </is>
      </c>
      <c r="E3184" t="inlineStr">
        <is>
          <t>Business</t>
        </is>
      </c>
      <c r="F3184" t="inlineStr">
        <is>
          <t>Business Runway</t>
        </is>
      </c>
      <c r="G3184" t="inlineStr">
        <is>
          <t>Reserve</t>
        </is>
      </c>
      <c r="H3184" t="inlineStr">
        <is>
          <t>Business &gt; Business Runway &gt; Quick Add &gt; Reserve</t>
        </is>
      </c>
      <c r="I3184" s="18" t="n">
        <v>26428.1</v>
      </c>
      <c r="J3184" t="inlineStr">
        <is>
          <t>Created MTR-IOS-3183 and correlation note visible in Activity/Pulse</t>
        </is>
      </c>
      <c r="K3184" t="inlineStr">
        <is>
          <t>NOT_RUN</t>
        </is>
      </c>
      <c r="P3184" t="n">
        <v>0</v>
      </c>
      <c r="Q3184" t="n">
        <v>3183</v>
      </c>
    </row>
    <row r="3185">
      <c r="A3185" t="n">
        <v>3184</v>
      </c>
      <c r="B3185" t="inlineStr">
        <is>
          <t>MTR-IOS-3184</t>
        </is>
      </c>
      <c r="C3185" t="inlineStr">
        <is>
          <t>iPhone</t>
        </is>
      </c>
      <c r="D3185" t="inlineStr">
        <is>
          <t>Personal</t>
        </is>
      </c>
      <c r="E3185" t="inlineStr">
        <is>
          <t>Personal</t>
        </is>
      </c>
      <c r="F3185" t="inlineStr">
        <is>
          <t>Life Operations</t>
        </is>
      </c>
      <c r="G3185" t="inlineStr">
        <is>
          <t>Transport</t>
        </is>
      </c>
      <c r="H3185" t="inlineStr">
        <is>
          <t>Personal &gt; Life Operations &gt; Quick Add &gt; Transport</t>
        </is>
      </c>
      <c r="I3185" s="18" t="n">
        <v>14557.69</v>
      </c>
      <c r="J3185" t="inlineStr">
        <is>
          <t>Created MTR-IOS-3184 and correlation note visible in Activity/Pulse</t>
        </is>
      </c>
      <c r="K3185" t="inlineStr">
        <is>
          <t>NOT_RUN</t>
        </is>
      </c>
      <c r="P3185" t="n">
        <v>0</v>
      </c>
      <c r="Q3185" t="n">
        <v>3184</v>
      </c>
    </row>
    <row r="3186">
      <c r="A3186" t="n">
        <v>3185</v>
      </c>
      <c r="B3186" t="inlineStr">
        <is>
          <t>MTR-IOS-3185</t>
        </is>
      </c>
      <c r="C3186" t="inlineStr">
        <is>
          <t>iPhone</t>
        </is>
      </c>
      <c r="D3186" t="inlineStr">
        <is>
          <t>Group</t>
        </is>
      </c>
      <c r="E3186" t="inlineStr">
        <is>
          <t>Shared Experience</t>
        </is>
      </c>
      <c r="F3186" t="inlineStr">
        <is>
          <t>Office Outing</t>
        </is>
      </c>
      <c r="G3186" t="inlineStr">
        <is>
          <t>Venue</t>
        </is>
      </c>
      <c r="H3186" t="inlineStr">
        <is>
          <t>Group &gt; Office Outing &gt; Quick Add &gt; Venue</t>
        </is>
      </c>
      <c r="I3186" s="18" t="n">
        <v>1903.31</v>
      </c>
      <c r="J3186" t="inlineStr">
        <is>
          <t>Created MTR-IOS-3185 and correlation note visible in Activity/Pulse</t>
        </is>
      </c>
      <c r="K3186" t="inlineStr">
        <is>
          <t>NOT_RUN</t>
        </is>
      </c>
      <c r="P3186" t="n">
        <v>0</v>
      </c>
      <c r="Q3186" t="n">
        <v>3185</v>
      </c>
    </row>
    <row r="3187">
      <c r="A3187" t="n">
        <v>3186</v>
      </c>
      <c r="B3187" t="inlineStr">
        <is>
          <t>MTR-IOS-3186</t>
        </is>
      </c>
      <c r="C3187" t="inlineStr">
        <is>
          <t>iPhone</t>
        </is>
      </c>
      <c r="D3187" t="inlineStr">
        <is>
          <t>Business</t>
        </is>
      </c>
      <c r="E3187" t="inlineStr">
        <is>
          <t>Business</t>
        </is>
      </c>
      <c r="F3187" t="inlineStr">
        <is>
          <t>Business Runway</t>
        </is>
      </c>
      <c r="G3187" t="inlineStr">
        <is>
          <t>Loan</t>
        </is>
      </c>
      <c r="H3187" t="inlineStr">
        <is>
          <t>Business &gt; Business Runway &gt; Quick Add &gt; Loan</t>
        </is>
      </c>
      <c r="I3187" s="18" t="n">
        <v>22323.11</v>
      </c>
      <c r="J3187" t="inlineStr">
        <is>
          <t>Created MTR-IOS-3186 and correlation note visible in Activity/Pulse</t>
        </is>
      </c>
      <c r="K3187" t="inlineStr">
        <is>
          <t>NOT_RUN</t>
        </is>
      </c>
      <c r="P3187" t="n">
        <v>0</v>
      </c>
      <c r="Q3187" t="n">
        <v>3186</v>
      </c>
    </row>
    <row r="3188">
      <c r="A3188" t="n">
        <v>3187</v>
      </c>
      <c r="B3188" t="inlineStr">
        <is>
          <t>MTR-IOS-3187</t>
        </is>
      </c>
      <c r="C3188" t="inlineStr">
        <is>
          <t>iPhone</t>
        </is>
      </c>
      <c r="D3188" t="inlineStr">
        <is>
          <t>Personal</t>
        </is>
      </c>
      <c r="E3188" t="inlineStr">
        <is>
          <t>Personal</t>
        </is>
      </c>
      <c r="F3188" t="inlineStr">
        <is>
          <t>Life Operations</t>
        </is>
      </c>
      <c r="G3188" t="inlineStr">
        <is>
          <t>Healthcare</t>
        </is>
      </c>
      <c r="H3188" t="inlineStr">
        <is>
          <t>Personal &gt; Life Operations &gt; Quick Add &gt; Healthcare</t>
        </is>
      </c>
      <c r="I3188" s="18" t="n">
        <v>1212.03</v>
      </c>
      <c r="J3188" t="inlineStr">
        <is>
          <t>Created MTR-IOS-3187 and correlation note visible in Activity/Pulse</t>
        </is>
      </c>
      <c r="K3188" t="inlineStr">
        <is>
          <t>NOT_RUN</t>
        </is>
      </c>
      <c r="P3188" t="n">
        <v>0</v>
      </c>
      <c r="Q3188" t="n">
        <v>3187</v>
      </c>
    </row>
    <row r="3189">
      <c r="A3189" t="n">
        <v>3188</v>
      </c>
      <c r="B3189" t="inlineStr">
        <is>
          <t>MTR-IOS-3188</t>
        </is>
      </c>
      <c r="C3189" t="inlineStr">
        <is>
          <t>iPhone</t>
        </is>
      </c>
      <c r="D3189" t="inlineStr">
        <is>
          <t>Group</t>
        </is>
      </c>
      <c r="E3189" t="inlineStr">
        <is>
          <t>Shared Experience</t>
        </is>
      </c>
      <c r="F3189" t="inlineStr">
        <is>
          <t>Office Outing</t>
        </is>
      </c>
      <c r="G3189" t="inlineStr">
        <is>
          <t>Other</t>
        </is>
      </c>
      <c r="H3189" t="inlineStr">
        <is>
          <t>Group &gt; Office Outing &gt; Quick Add &gt; Other</t>
        </is>
      </c>
      <c r="I3189" s="18" t="n">
        <v>11598.29</v>
      </c>
      <c r="J3189" t="inlineStr">
        <is>
          <t>Created MTR-IOS-3188 and correlation note visible in Activity/Pulse</t>
        </is>
      </c>
      <c r="K3189" t="inlineStr">
        <is>
          <t>NOT_RUN</t>
        </is>
      </c>
      <c r="P3189" t="n">
        <v>0</v>
      </c>
      <c r="Q3189" t="n">
        <v>3188</v>
      </c>
    </row>
    <row r="3190">
      <c r="A3190" t="n">
        <v>3189</v>
      </c>
      <c r="B3190" t="inlineStr">
        <is>
          <t>MTR-IOS-3189</t>
        </is>
      </c>
      <c r="C3190" t="inlineStr">
        <is>
          <t>iPhone</t>
        </is>
      </c>
      <c r="D3190" t="inlineStr">
        <is>
          <t>Business</t>
        </is>
      </c>
      <c r="E3190" t="inlineStr">
        <is>
          <t>Business</t>
        </is>
      </c>
      <c r="F3190" t="inlineStr">
        <is>
          <t>Business Runway</t>
        </is>
      </c>
      <c r="G3190" t="inlineStr">
        <is>
          <t>Investment</t>
        </is>
      </c>
      <c r="H3190" t="inlineStr">
        <is>
          <t>Business &gt; Business Runway &gt; Quick Add &gt; Investment</t>
        </is>
      </c>
      <c r="I3190" s="18" t="n">
        <v>81533.57000000001</v>
      </c>
      <c r="J3190" t="inlineStr">
        <is>
          <t>Created MTR-IOS-3189 and correlation note visible in Activity/Pulse</t>
        </is>
      </c>
      <c r="K3190" t="inlineStr">
        <is>
          <t>NOT_RUN</t>
        </is>
      </c>
      <c r="P3190" t="n">
        <v>0</v>
      </c>
      <c r="Q3190" t="n">
        <v>3189</v>
      </c>
    </row>
    <row r="3191">
      <c r="A3191" t="n">
        <v>3190</v>
      </c>
      <c r="B3191" t="inlineStr">
        <is>
          <t>MTR-IOS-3190</t>
        </is>
      </c>
      <c r="C3191" t="inlineStr">
        <is>
          <t>iPhone</t>
        </is>
      </c>
      <c r="D3191" t="inlineStr">
        <is>
          <t>Personal</t>
        </is>
      </c>
      <c r="E3191" t="inlineStr">
        <is>
          <t>Personal</t>
        </is>
      </c>
      <c r="F3191" t="inlineStr">
        <is>
          <t>Life Operations</t>
        </is>
      </c>
      <c r="G3191" t="inlineStr">
        <is>
          <t>Subscriptions</t>
        </is>
      </c>
      <c r="H3191" t="inlineStr">
        <is>
          <t>Personal &gt; Life Operations &gt; Quick Add &gt; Subscriptions</t>
        </is>
      </c>
      <c r="I3191" s="18" t="n">
        <v>14577.25</v>
      </c>
      <c r="J3191" t="inlineStr">
        <is>
          <t>Created MTR-IOS-3190 and correlation note visible in Activity/Pulse</t>
        </is>
      </c>
      <c r="K3191" t="inlineStr">
        <is>
          <t>NOT_RUN</t>
        </is>
      </c>
      <c r="P3191" t="n">
        <v>0</v>
      </c>
      <c r="Q3191" t="n">
        <v>3190</v>
      </c>
    </row>
    <row r="3192">
      <c r="A3192" t="n">
        <v>3191</v>
      </c>
      <c r="B3192" t="inlineStr">
        <is>
          <t>MTR-IOS-3191</t>
        </is>
      </c>
      <c r="C3192" t="inlineStr">
        <is>
          <t>iPhone</t>
        </is>
      </c>
      <c r="D3192" t="inlineStr">
        <is>
          <t>Group</t>
        </is>
      </c>
      <c r="E3192" t="inlineStr">
        <is>
          <t>Shared Experience</t>
        </is>
      </c>
      <c r="F3192" t="inlineStr">
        <is>
          <t>House Party</t>
        </is>
      </c>
      <c r="G3192" t="inlineStr">
        <is>
          <t>Food</t>
        </is>
      </c>
      <c r="H3192" t="inlineStr">
        <is>
          <t>Group &gt; House Party &gt; Quick Add &gt; Food</t>
        </is>
      </c>
      <c r="I3192" s="18" t="n">
        <v>18927.75</v>
      </c>
      <c r="J3192" t="inlineStr">
        <is>
          <t>Created MTR-IOS-3191 and correlation note visible in Activity/Pulse</t>
        </is>
      </c>
      <c r="K3192" t="inlineStr">
        <is>
          <t>NOT_RUN</t>
        </is>
      </c>
      <c r="P3192" t="n">
        <v>0</v>
      </c>
      <c r="Q3192" t="n">
        <v>3191</v>
      </c>
    </row>
    <row r="3193">
      <c r="A3193" t="n">
        <v>3192</v>
      </c>
      <c r="B3193" t="inlineStr">
        <is>
          <t>MTR-IOS-3192</t>
        </is>
      </c>
      <c r="C3193" t="inlineStr">
        <is>
          <t>iPhone</t>
        </is>
      </c>
      <c r="D3193" t="inlineStr">
        <is>
          <t>Business</t>
        </is>
      </c>
      <c r="E3193" t="inlineStr">
        <is>
          <t>Business</t>
        </is>
      </c>
      <c r="F3193" t="inlineStr">
        <is>
          <t>Business Operations</t>
        </is>
      </c>
      <c r="G3193" t="inlineStr">
        <is>
          <t>Software</t>
        </is>
      </c>
      <c r="H3193" t="inlineStr">
        <is>
          <t>Business &gt; Business Operations &gt; Quick Add &gt; Software</t>
        </is>
      </c>
      <c r="I3193" s="18" t="n">
        <v>127337.57</v>
      </c>
      <c r="J3193" t="inlineStr">
        <is>
          <t>Created MTR-IOS-3192 and correlation note visible in Activity/Pulse</t>
        </is>
      </c>
      <c r="K3193" t="inlineStr">
        <is>
          <t>NOT_RUN</t>
        </is>
      </c>
      <c r="P3193" t="n">
        <v>0</v>
      </c>
      <c r="Q3193" t="n">
        <v>3192</v>
      </c>
    </row>
    <row r="3194">
      <c r="A3194" t="n">
        <v>3193</v>
      </c>
      <c r="B3194" t="inlineStr">
        <is>
          <t>MTR-IOS-3193</t>
        </is>
      </c>
      <c r="C3194" t="inlineStr">
        <is>
          <t>iPhone</t>
        </is>
      </c>
      <c r="D3194" t="inlineStr">
        <is>
          <t>Personal</t>
        </is>
      </c>
      <c r="E3194" t="inlineStr">
        <is>
          <t>Personal</t>
        </is>
      </c>
      <c r="F3194" t="inlineStr">
        <is>
          <t>Life Operations</t>
        </is>
      </c>
      <c r="G3194" t="inlineStr">
        <is>
          <t>Repairs</t>
        </is>
      </c>
      <c r="H3194" t="inlineStr">
        <is>
          <t>Personal &gt; Life Operations &gt; Quick Add &gt; Repairs</t>
        </is>
      </c>
      <c r="I3194" s="18" t="n">
        <v>5280.67</v>
      </c>
      <c r="J3194" t="inlineStr">
        <is>
          <t>Created MTR-IOS-3193 and correlation note visible in Activity/Pulse</t>
        </is>
      </c>
      <c r="K3194" t="inlineStr">
        <is>
          <t>NOT_RUN</t>
        </is>
      </c>
      <c r="P3194" t="n">
        <v>0</v>
      </c>
      <c r="Q3194" t="n">
        <v>3193</v>
      </c>
    </row>
    <row r="3195">
      <c r="A3195" t="n">
        <v>3194</v>
      </c>
      <c r="B3195" t="inlineStr">
        <is>
          <t>MTR-IOS-3194</t>
        </is>
      </c>
      <c r="C3195" t="inlineStr">
        <is>
          <t>iPhone</t>
        </is>
      </c>
      <c r="D3195" t="inlineStr">
        <is>
          <t>Group</t>
        </is>
      </c>
      <c r="E3195" t="inlineStr">
        <is>
          <t>Shared Experience</t>
        </is>
      </c>
      <c r="F3195" t="inlineStr">
        <is>
          <t>House Party</t>
        </is>
      </c>
      <c r="G3195" t="inlineStr">
        <is>
          <t>Drinks</t>
        </is>
      </c>
      <c r="H3195" t="inlineStr">
        <is>
          <t>Group &gt; House Party &gt; Quick Add &gt; Drinks</t>
        </is>
      </c>
      <c r="I3195" s="18" t="n">
        <v>10473.87</v>
      </c>
      <c r="J3195" t="inlineStr">
        <is>
          <t>Created MTR-IOS-3194 and correlation note visible in Activity/Pulse</t>
        </is>
      </c>
      <c r="K3195" t="inlineStr">
        <is>
          <t>NOT_RUN</t>
        </is>
      </c>
      <c r="P3195" t="n">
        <v>0</v>
      </c>
      <c r="Q3195" t="n">
        <v>3194</v>
      </c>
    </row>
    <row r="3196">
      <c r="A3196" t="n">
        <v>3195</v>
      </c>
      <c r="B3196" t="inlineStr">
        <is>
          <t>MTR-IOS-3195</t>
        </is>
      </c>
      <c r="C3196" t="inlineStr">
        <is>
          <t>iPhone</t>
        </is>
      </c>
      <c r="D3196" t="inlineStr">
        <is>
          <t>Business</t>
        </is>
      </c>
      <c r="E3196" t="inlineStr">
        <is>
          <t>Business</t>
        </is>
      </c>
      <c r="F3196" t="inlineStr">
        <is>
          <t>Business Operations</t>
        </is>
      </c>
      <c r="G3196" t="inlineStr">
        <is>
          <t>Rent</t>
        </is>
      </c>
      <c r="H3196" t="inlineStr">
        <is>
          <t>Business &gt; Business Operations &gt; Quick Add &gt; Rent</t>
        </is>
      </c>
      <c r="I3196" s="18" t="n">
        <v>108037.35</v>
      </c>
      <c r="J3196" t="inlineStr">
        <is>
          <t>Created MTR-IOS-3195 and correlation note visible in Activity/Pulse</t>
        </is>
      </c>
      <c r="K3196" t="inlineStr">
        <is>
          <t>NOT_RUN</t>
        </is>
      </c>
      <c r="P3196" t="n">
        <v>0</v>
      </c>
      <c r="Q3196" t="n">
        <v>3195</v>
      </c>
    </row>
    <row r="3197">
      <c r="A3197" t="n">
        <v>3196</v>
      </c>
      <c r="B3197" t="inlineStr">
        <is>
          <t>MTR-IOS-3196</t>
        </is>
      </c>
      <c r="C3197" t="inlineStr">
        <is>
          <t>iPhone</t>
        </is>
      </c>
      <c r="D3197" t="inlineStr">
        <is>
          <t>Personal</t>
        </is>
      </c>
      <c r="E3197" t="inlineStr">
        <is>
          <t>Personal</t>
        </is>
      </c>
      <c r="F3197" t="inlineStr">
        <is>
          <t>Future Building</t>
        </is>
      </c>
      <c r="G3197" t="inlineStr">
        <is>
          <t>Savings</t>
        </is>
      </c>
      <c r="H3197" t="inlineStr">
        <is>
          <t>Personal &gt; Future Building &gt; Quick Add &gt; Savings</t>
        </is>
      </c>
      <c r="I3197" s="18" t="n">
        <v>8953.07</v>
      </c>
      <c r="J3197" t="inlineStr">
        <is>
          <t>Created MTR-IOS-3196 and correlation note visible in Activity/Pulse</t>
        </is>
      </c>
      <c r="K3197" t="inlineStr">
        <is>
          <t>NOT_RUN</t>
        </is>
      </c>
      <c r="P3197" t="n">
        <v>0</v>
      </c>
      <c r="Q3197" t="n">
        <v>3196</v>
      </c>
    </row>
    <row r="3198">
      <c r="A3198" t="n">
        <v>3197</v>
      </c>
      <c r="B3198" t="inlineStr">
        <is>
          <t>MTR-IOS-3197</t>
        </is>
      </c>
      <c r="C3198" t="inlineStr">
        <is>
          <t>iPhone</t>
        </is>
      </c>
      <c r="D3198" t="inlineStr">
        <is>
          <t>Group</t>
        </is>
      </c>
      <c r="E3198" t="inlineStr">
        <is>
          <t>Shared Experience</t>
        </is>
      </c>
      <c r="F3198" t="inlineStr">
        <is>
          <t>House Party</t>
        </is>
      </c>
      <c r="G3198" t="inlineStr">
        <is>
          <t>Decor</t>
        </is>
      </c>
      <c r="H3198" t="inlineStr">
        <is>
          <t>Group &gt; House Party &gt; Quick Add &gt; Decor</t>
        </is>
      </c>
      <c r="I3198" s="18" t="n">
        <v>20535.35</v>
      </c>
      <c r="J3198" t="inlineStr">
        <is>
          <t>Created MTR-IOS-3197 and correlation note visible in Activity/Pulse</t>
        </is>
      </c>
      <c r="K3198" t="inlineStr">
        <is>
          <t>NOT_RUN</t>
        </is>
      </c>
      <c r="P3198" t="n">
        <v>0</v>
      </c>
      <c r="Q3198" t="n">
        <v>3197</v>
      </c>
    </row>
    <row r="3199">
      <c r="A3199" t="n">
        <v>3198</v>
      </c>
      <c r="B3199" t="inlineStr">
        <is>
          <t>MTR-IOS-3198</t>
        </is>
      </c>
      <c r="C3199" t="inlineStr">
        <is>
          <t>iPhone</t>
        </is>
      </c>
      <c r="D3199" t="inlineStr">
        <is>
          <t>Business</t>
        </is>
      </c>
      <c r="E3199" t="inlineStr">
        <is>
          <t>Business</t>
        </is>
      </c>
      <c r="F3199" t="inlineStr">
        <is>
          <t>Business Operations</t>
        </is>
      </c>
      <c r="G3199" t="inlineStr">
        <is>
          <t>Marketing</t>
        </is>
      </c>
      <c r="H3199" t="inlineStr">
        <is>
          <t>Business &gt; Business Operations &gt; Quick Add &gt; Marketing</t>
        </is>
      </c>
      <c r="I3199" s="18" t="n">
        <v>119236.68</v>
      </c>
      <c r="J3199" t="inlineStr">
        <is>
          <t>Created MTR-IOS-3198 and correlation note visible in Activity/Pulse</t>
        </is>
      </c>
      <c r="K3199" t="inlineStr">
        <is>
          <t>NOT_RUN</t>
        </is>
      </c>
      <c r="P3199" t="n">
        <v>0</v>
      </c>
      <c r="Q3199" t="n">
        <v>3198</v>
      </c>
    </row>
    <row r="3200">
      <c r="A3200" t="n">
        <v>3199</v>
      </c>
      <c r="B3200" t="inlineStr">
        <is>
          <t>MTR-IOS-3199</t>
        </is>
      </c>
      <c r="C3200" t="inlineStr">
        <is>
          <t>iPhone</t>
        </is>
      </c>
      <c r="D3200" t="inlineStr">
        <is>
          <t>Personal</t>
        </is>
      </c>
      <c r="E3200" t="inlineStr">
        <is>
          <t>Personal</t>
        </is>
      </c>
      <c r="F3200" t="inlineStr">
        <is>
          <t>Future Building</t>
        </is>
      </c>
      <c r="G3200" t="inlineStr">
        <is>
          <t>Emergency Fund</t>
        </is>
      </c>
      <c r="H3200" t="inlineStr">
        <is>
          <t>Personal &gt; Future Building &gt; Quick Add &gt; Emergency Fund</t>
        </is>
      </c>
      <c r="I3200" s="18" t="n">
        <v>16784.31</v>
      </c>
      <c r="J3200" t="inlineStr">
        <is>
          <t>Created MTR-IOS-3199 and correlation note visible in Activity/Pulse</t>
        </is>
      </c>
      <c r="K3200" t="inlineStr">
        <is>
          <t>NOT_RUN</t>
        </is>
      </c>
      <c r="P3200" t="n">
        <v>0</v>
      </c>
      <c r="Q3200" t="n">
        <v>3199</v>
      </c>
    </row>
    <row r="3201">
      <c r="A3201" t="n">
        <v>3200</v>
      </c>
      <c r="B3201" t="inlineStr">
        <is>
          <t>MTR-IOS-3200</t>
        </is>
      </c>
      <c r="C3201" t="inlineStr">
        <is>
          <t>iPhone</t>
        </is>
      </c>
      <c r="D3201" t="inlineStr">
        <is>
          <t>Group</t>
        </is>
      </c>
      <c r="E3201" t="inlineStr">
        <is>
          <t>Shared Experience</t>
        </is>
      </c>
      <c r="F3201" t="inlineStr">
        <is>
          <t>House Party</t>
        </is>
      </c>
      <c r="G3201" t="inlineStr">
        <is>
          <t>Supplies</t>
        </is>
      </c>
      <c r="H3201" t="inlineStr">
        <is>
          <t>Group &gt; House Party &gt; Quick Add &gt; Supplies</t>
        </is>
      </c>
      <c r="I3201" s="18" t="n">
        <v>24317.49</v>
      </c>
      <c r="J3201" t="inlineStr">
        <is>
          <t>Created MTR-IOS-3200 and correlation note visible in Activity/Pulse</t>
        </is>
      </c>
      <c r="K3201" t="inlineStr">
        <is>
          <t>NOT_RUN</t>
        </is>
      </c>
      <c r="P3201" t="n">
        <v>0</v>
      </c>
      <c r="Q3201" t="n">
        <v>3200</v>
      </c>
    </row>
    <row r="3202">
      <c r="A3202" t="n">
        <v>3201</v>
      </c>
      <c r="B3202" t="inlineStr">
        <is>
          <t>MTR-IOS-3201</t>
        </is>
      </c>
      <c r="C3202" t="inlineStr">
        <is>
          <t>iPhone</t>
        </is>
      </c>
      <c r="D3202" t="inlineStr">
        <is>
          <t>Business</t>
        </is>
      </c>
      <c r="E3202" t="inlineStr">
        <is>
          <t>Business</t>
        </is>
      </c>
      <c r="F3202" t="inlineStr">
        <is>
          <t>Business Operations</t>
        </is>
      </c>
      <c r="G3202" t="inlineStr">
        <is>
          <t>Legal</t>
        </is>
      </c>
      <c r="H3202" t="inlineStr">
        <is>
          <t>Business &gt; Business Operations &gt; Quick Add &gt; Legal</t>
        </is>
      </c>
      <c r="I3202" s="18" t="n">
        <v>114592.74</v>
      </c>
      <c r="J3202" t="inlineStr">
        <is>
          <t>Created MTR-IOS-3201 and correlation note visible in Activity/Pulse</t>
        </is>
      </c>
      <c r="K3202" t="inlineStr">
        <is>
          <t>NOT_RUN</t>
        </is>
      </c>
      <c r="P3202" t="n">
        <v>0</v>
      </c>
      <c r="Q3202" t="n">
        <v>3201</v>
      </c>
    </row>
    <row r="3203">
      <c r="A3203" t="n">
        <v>3202</v>
      </c>
      <c r="B3203" t="inlineStr">
        <is>
          <t>MTR-IOS-3202</t>
        </is>
      </c>
      <c r="C3203" t="inlineStr">
        <is>
          <t>iPhone</t>
        </is>
      </c>
      <c r="D3203" t="inlineStr">
        <is>
          <t>Personal</t>
        </is>
      </c>
      <c r="E3203" t="inlineStr">
        <is>
          <t>Personal</t>
        </is>
      </c>
      <c r="F3203" t="inlineStr">
        <is>
          <t>Future Building</t>
        </is>
      </c>
      <c r="G3203" t="inlineStr">
        <is>
          <t>Investments</t>
        </is>
      </c>
      <c r="H3203" t="inlineStr">
        <is>
          <t>Personal &gt; Future Building &gt; Quick Add &gt; Investments</t>
        </is>
      </c>
      <c r="I3203" s="18" t="n">
        <v>14389.91</v>
      </c>
      <c r="J3203" t="inlineStr">
        <is>
          <t>Created MTR-IOS-3202 and correlation note visible in Activity/Pulse</t>
        </is>
      </c>
      <c r="K3203" t="inlineStr">
        <is>
          <t>NOT_RUN</t>
        </is>
      </c>
      <c r="P3203" t="n">
        <v>0</v>
      </c>
      <c r="Q3203" t="n">
        <v>3202</v>
      </c>
    </row>
    <row r="3204">
      <c r="A3204" t="n">
        <v>3203</v>
      </c>
      <c r="B3204" t="inlineStr">
        <is>
          <t>MTR-IOS-3203</t>
        </is>
      </c>
      <c r="C3204" t="inlineStr">
        <is>
          <t>iPhone</t>
        </is>
      </c>
      <c r="D3204" t="inlineStr">
        <is>
          <t>Group</t>
        </is>
      </c>
      <c r="E3204" t="inlineStr">
        <is>
          <t>Shared Experience</t>
        </is>
      </c>
      <c r="F3204" t="inlineStr">
        <is>
          <t>House Party</t>
        </is>
      </c>
      <c r="G3204" t="inlineStr">
        <is>
          <t>Other</t>
        </is>
      </c>
      <c r="H3204" t="inlineStr">
        <is>
          <t>Group &gt; House Party &gt; Quick Add &gt; Other</t>
        </is>
      </c>
      <c r="I3204" s="18" t="n">
        <v>23843.6</v>
      </c>
      <c r="J3204" t="inlineStr">
        <is>
          <t>Created MTR-IOS-3203 and correlation note visible in Activity/Pulse</t>
        </is>
      </c>
      <c r="K3204" t="inlineStr">
        <is>
          <t>NOT_RUN</t>
        </is>
      </c>
      <c r="P3204" t="n">
        <v>0</v>
      </c>
      <c r="Q3204" t="n">
        <v>3203</v>
      </c>
    </row>
    <row r="3205">
      <c r="A3205" t="n">
        <v>3204</v>
      </c>
      <c r="B3205" t="inlineStr">
        <is>
          <t>MTR-IOS-3204</t>
        </is>
      </c>
      <c r="C3205" t="inlineStr">
        <is>
          <t>iPhone</t>
        </is>
      </c>
      <c r="D3205" t="inlineStr">
        <is>
          <t>Business</t>
        </is>
      </c>
      <c r="E3205" t="inlineStr">
        <is>
          <t>Business</t>
        </is>
      </c>
      <c r="F3205" t="inlineStr">
        <is>
          <t>Business Operations</t>
        </is>
      </c>
      <c r="G3205" t="inlineStr">
        <is>
          <t>Accounting</t>
        </is>
      </c>
      <c r="H3205" t="inlineStr">
        <is>
          <t>Business &gt; Business Operations &gt; Quick Add &gt; Accounting</t>
        </is>
      </c>
      <c r="I3205" s="18" t="n">
        <v>146195.66</v>
      </c>
      <c r="J3205" t="inlineStr">
        <is>
          <t>Created MTR-IOS-3204 and correlation note visible in Activity/Pulse</t>
        </is>
      </c>
      <c r="K3205" t="inlineStr">
        <is>
          <t>NOT_RUN</t>
        </is>
      </c>
      <c r="P3205" t="n">
        <v>0</v>
      </c>
      <c r="Q3205" t="n">
        <v>3204</v>
      </c>
    </row>
    <row r="3206">
      <c r="A3206" t="n">
        <v>3205</v>
      </c>
      <c r="B3206" t="inlineStr">
        <is>
          <t>MTR-IOS-3205</t>
        </is>
      </c>
      <c r="C3206" t="inlineStr">
        <is>
          <t>iPhone</t>
        </is>
      </c>
      <c r="D3206" t="inlineStr">
        <is>
          <t>Personal</t>
        </is>
      </c>
      <c r="E3206" t="inlineStr">
        <is>
          <t>Personal</t>
        </is>
      </c>
      <c r="F3206" t="inlineStr">
        <is>
          <t>Future Building</t>
        </is>
      </c>
      <c r="G3206" t="inlineStr">
        <is>
          <t>Education</t>
        </is>
      </c>
      <c r="H3206" t="inlineStr">
        <is>
          <t>Personal &gt; Future Building &gt; Quick Add &gt; Education</t>
        </is>
      </c>
      <c r="I3206" s="18" t="n">
        <v>3681.56</v>
      </c>
      <c r="J3206" t="inlineStr">
        <is>
          <t>Created MTR-IOS-3205 and correlation note visible in Activity/Pulse</t>
        </is>
      </c>
      <c r="K3206" t="inlineStr">
        <is>
          <t>NOT_RUN</t>
        </is>
      </c>
      <c r="P3206" t="n">
        <v>0</v>
      </c>
      <c r="Q3206" t="n">
        <v>3205</v>
      </c>
    </row>
    <row r="3207">
      <c r="A3207" t="n">
        <v>3206</v>
      </c>
      <c r="B3207" t="inlineStr">
        <is>
          <t>MTR-IOS-3206</t>
        </is>
      </c>
      <c r="C3207" t="inlineStr">
        <is>
          <t>iPhone</t>
        </is>
      </c>
      <c r="D3207" t="inlineStr">
        <is>
          <t>Group</t>
        </is>
      </c>
      <c r="E3207" t="inlineStr">
        <is>
          <t>Shared Purchase</t>
        </is>
      </c>
      <c r="F3207" t="inlineStr">
        <is>
          <t>Gift Pool</t>
        </is>
      </c>
      <c r="G3207" t="inlineStr">
        <is>
          <t>Contribution</t>
        </is>
      </c>
      <c r="H3207" t="inlineStr">
        <is>
          <t>Group &gt; Gift Pool &gt; Quick Add &gt; Contribution</t>
        </is>
      </c>
      <c r="I3207" s="18" t="n">
        <v>4792.7</v>
      </c>
      <c r="J3207" t="inlineStr">
        <is>
          <t>Created MTR-IOS-3206 and correlation note visible in Activity/Pulse</t>
        </is>
      </c>
      <c r="K3207" t="inlineStr">
        <is>
          <t>NOT_RUN</t>
        </is>
      </c>
      <c r="P3207" t="n">
        <v>0</v>
      </c>
      <c r="Q3207" t="n">
        <v>3206</v>
      </c>
    </row>
    <row r="3208">
      <c r="A3208" t="n">
        <v>3207</v>
      </c>
      <c r="B3208" t="inlineStr">
        <is>
          <t>MTR-IOS-3207</t>
        </is>
      </c>
      <c r="C3208" t="inlineStr">
        <is>
          <t>iPhone</t>
        </is>
      </c>
      <c r="D3208" t="inlineStr">
        <is>
          <t>Business</t>
        </is>
      </c>
      <c r="E3208" t="inlineStr">
        <is>
          <t>Business</t>
        </is>
      </c>
      <c r="F3208" t="inlineStr">
        <is>
          <t>Business Operations</t>
        </is>
      </c>
      <c r="G3208" t="inlineStr">
        <is>
          <t>Equipment</t>
        </is>
      </c>
      <c r="H3208" t="inlineStr">
        <is>
          <t>Business &gt; Business Operations &gt; Quick Add &gt; Equipment</t>
        </is>
      </c>
      <c r="I3208" s="18" t="n">
        <v>148837.8</v>
      </c>
      <c r="J3208" t="inlineStr">
        <is>
          <t>Created MTR-IOS-3207 and correlation note visible in Activity/Pulse</t>
        </is>
      </c>
      <c r="K3208" t="inlineStr">
        <is>
          <t>NOT_RUN</t>
        </is>
      </c>
      <c r="P3208" t="n">
        <v>0</v>
      </c>
      <c r="Q3208" t="n">
        <v>3207</v>
      </c>
    </row>
    <row r="3209">
      <c r="A3209" t="n">
        <v>3208</v>
      </c>
      <c r="B3209" t="inlineStr">
        <is>
          <t>MTR-IOS-3208</t>
        </is>
      </c>
      <c r="C3209" t="inlineStr">
        <is>
          <t>iPhone</t>
        </is>
      </c>
      <c r="D3209" t="inlineStr">
        <is>
          <t>Personal</t>
        </is>
      </c>
      <c r="E3209" t="inlineStr">
        <is>
          <t>Personal</t>
        </is>
      </c>
      <c r="F3209" t="inlineStr">
        <is>
          <t>Future Building</t>
        </is>
      </c>
      <c r="G3209" t="inlineStr">
        <is>
          <t>Goal Contribution</t>
        </is>
      </c>
      <c r="H3209" t="inlineStr">
        <is>
          <t>Personal &gt; Future Building &gt; Quick Add &gt; Goal Contribution</t>
        </is>
      </c>
      <c r="I3209" s="18" t="n">
        <v>16001.35</v>
      </c>
      <c r="J3209" t="inlineStr">
        <is>
          <t>Created MTR-IOS-3208 and correlation note visible in Activity/Pulse</t>
        </is>
      </c>
      <c r="K3209" t="inlineStr">
        <is>
          <t>NOT_RUN</t>
        </is>
      </c>
      <c r="P3209" t="n">
        <v>0</v>
      </c>
      <c r="Q3209" t="n">
        <v>3208</v>
      </c>
    </row>
    <row r="3210">
      <c r="A3210" t="n">
        <v>3209</v>
      </c>
      <c r="B3210" t="inlineStr">
        <is>
          <t>MTR-IOS-3209</t>
        </is>
      </c>
      <c r="C3210" t="inlineStr">
        <is>
          <t>iPhone</t>
        </is>
      </c>
      <c r="D3210" t="inlineStr">
        <is>
          <t>Group</t>
        </is>
      </c>
      <c r="E3210" t="inlineStr">
        <is>
          <t>Shared Purchase</t>
        </is>
      </c>
      <c r="F3210" t="inlineStr">
        <is>
          <t>Gift Pool</t>
        </is>
      </c>
      <c r="G3210" t="inlineStr">
        <is>
          <t>Gift Purchase</t>
        </is>
      </c>
      <c r="H3210" t="inlineStr">
        <is>
          <t>Group &gt; Gift Pool &gt; Quick Add &gt; Gift Purchase</t>
        </is>
      </c>
      <c r="I3210" s="18" t="n">
        <v>16626.89</v>
      </c>
      <c r="J3210" t="inlineStr">
        <is>
          <t>Created MTR-IOS-3209 and correlation note visible in Activity/Pulse</t>
        </is>
      </c>
      <c r="K3210" t="inlineStr">
        <is>
          <t>NOT_RUN</t>
        </is>
      </c>
      <c r="P3210" t="n">
        <v>0</v>
      </c>
      <c r="Q3210" t="n">
        <v>3209</v>
      </c>
    </row>
    <row r="3211">
      <c r="A3211" t="n">
        <v>3210</v>
      </c>
      <c r="B3211" t="inlineStr">
        <is>
          <t>MTR-IOS-3210</t>
        </is>
      </c>
      <c r="C3211" t="inlineStr">
        <is>
          <t>iPhone</t>
        </is>
      </c>
      <c r="D3211" t="inlineStr">
        <is>
          <t>Business</t>
        </is>
      </c>
      <c r="E3211" t="inlineStr">
        <is>
          <t>Business</t>
        </is>
      </c>
      <c r="F3211" t="inlineStr">
        <is>
          <t>Business Operations</t>
        </is>
      </c>
      <c r="G3211" t="inlineStr">
        <is>
          <t>Vendor</t>
        </is>
      </c>
      <c r="H3211" t="inlineStr">
        <is>
          <t>Business &gt; Business Operations &gt; Quick Add &gt; Vendor</t>
        </is>
      </c>
      <c r="I3211" s="18" t="n">
        <v>113648.05</v>
      </c>
      <c r="J3211" t="inlineStr">
        <is>
          <t>Created MTR-IOS-3210 and correlation note visible in Activity/Pulse</t>
        </is>
      </c>
      <c r="K3211" t="inlineStr">
        <is>
          <t>NOT_RUN</t>
        </is>
      </c>
      <c r="P3211" t="n">
        <v>0</v>
      </c>
      <c r="Q3211" t="n">
        <v>3210</v>
      </c>
    </row>
    <row r="3212">
      <c r="A3212" t="n">
        <v>3211</v>
      </c>
      <c r="B3212" t="inlineStr">
        <is>
          <t>MTR-IOS-3211</t>
        </is>
      </c>
      <c r="C3212" t="inlineStr">
        <is>
          <t>iPhone</t>
        </is>
      </c>
      <c r="D3212" t="inlineStr">
        <is>
          <t>Personal</t>
        </is>
      </c>
      <c r="E3212" t="inlineStr">
        <is>
          <t>Personal</t>
        </is>
      </c>
      <c r="F3212" t="inlineStr">
        <is>
          <t>Lifestyle</t>
        </is>
      </c>
      <c r="G3212" t="inlineStr">
        <is>
          <t>Dining</t>
        </is>
      </c>
      <c r="H3212" t="inlineStr">
        <is>
          <t>Personal &gt; Lifestyle &gt; Quick Add &gt; Dining</t>
        </is>
      </c>
      <c r="I3212" s="18" t="n">
        <v>16244.42</v>
      </c>
      <c r="J3212" t="inlineStr">
        <is>
          <t>Created MTR-IOS-3211 and correlation note visible in Activity/Pulse</t>
        </is>
      </c>
      <c r="K3212" t="inlineStr">
        <is>
          <t>NOT_RUN</t>
        </is>
      </c>
      <c r="P3212" t="n">
        <v>0</v>
      </c>
      <c r="Q3212" t="n">
        <v>3211</v>
      </c>
    </row>
    <row r="3213">
      <c r="A3213" t="n">
        <v>3212</v>
      </c>
      <c r="B3213" t="inlineStr">
        <is>
          <t>MTR-IOS-3212</t>
        </is>
      </c>
      <c r="C3213" t="inlineStr">
        <is>
          <t>iPhone</t>
        </is>
      </c>
      <c r="D3213" t="inlineStr">
        <is>
          <t>Group</t>
        </is>
      </c>
      <c r="E3213" t="inlineStr">
        <is>
          <t>Shared Purchase</t>
        </is>
      </c>
      <c r="F3213" t="inlineStr">
        <is>
          <t>Gift Pool</t>
        </is>
      </c>
      <c r="G3213" t="inlineStr">
        <is>
          <t>Delivery</t>
        </is>
      </c>
      <c r="H3213" t="inlineStr">
        <is>
          <t>Group &gt; Gift Pool &gt; Quick Add &gt; Delivery</t>
        </is>
      </c>
      <c r="I3213" s="18" t="n">
        <v>22590.41</v>
      </c>
      <c r="J3213" t="inlineStr">
        <is>
          <t>Created MTR-IOS-3212 and correlation note visible in Activity/Pulse</t>
        </is>
      </c>
      <c r="K3213" t="inlineStr">
        <is>
          <t>NOT_RUN</t>
        </is>
      </c>
      <c r="P3213" t="n">
        <v>0</v>
      </c>
      <c r="Q3213" t="n">
        <v>3212</v>
      </c>
    </row>
    <row r="3214">
      <c r="A3214" t="n">
        <v>3213</v>
      </c>
      <c r="B3214" t="inlineStr">
        <is>
          <t>MTR-IOS-3213</t>
        </is>
      </c>
      <c r="C3214" t="inlineStr">
        <is>
          <t>iPhone</t>
        </is>
      </c>
      <c r="D3214" t="inlineStr">
        <is>
          <t>Business</t>
        </is>
      </c>
      <c r="E3214" t="inlineStr">
        <is>
          <t>Business</t>
        </is>
      </c>
      <c r="F3214" t="inlineStr">
        <is>
          <t>Business Operations</t>
        </is>
      </c>
      <c r="G3214" t="inlineStr">
        <is>
          <t>Tax</t>
        </is>
      </c>
      <c r="H3214" t="inlineStr">
        <is>
          <t>Business &gt; Business Operations &gt; Quick Add &gt; Tax</t>
        </is>
      </c>
      <c r="I3214" s="18" t="n">
        <v>48400.19</v>
      </c>
      <c r="J3214" t="inlineStr">
        <is>
          <t>Created MTR-IOS-3213 and correlation note visible in Activity/Pulse</t>
        </is>
      </c>
      <c r="K3214" t="inlineStr">
        <is>
          <t>NOT_RUN</t>
        </is>
      </c>
      <c r="P3214" t="n">
        <v>0</v>
      </c>
      <c r="Q3214" t="n">
        <v>3213</v>
      </c>
    </row>
    <row r="3215">
      <c r="A3215" t="n">
        <v>3214</v>
      </c>
      <c r="B3215" t="inlineStr">
        <is>
          <t>MTR-IOS-3214</t>
        </is>
      </c>
      <c r="C3215" t="inlineStr">
        <is>
          <t>iPhone</t>
        </is>
      </c>
      <c r="D3215" t="inlineStr">
        <is>
          <t>Personal</t>
        </is>
      </c>
      <c r="E3215" t="inlineStr">
        <is>
          <t>Personal</t>
        </is>
      </c>
      <c r="F3215" t="inlineStr">
        <is>
          <t>Lifestyle</t>
        </is>
      </c>
      <c r="G3215" t="inlineStr">
        <is>
          <t>Shopping</t>
        </is>
      </c>
      <c r="H3215" t="inlineStr">
        <is>
          <t>Personal &gt; Lifestyle &gt; Quick Add &gt; Shopping</t>
        </is>
      </c>
      <c r="I3215" s="18" t="n">
        <v>675.4400000000001</v>
      </c>
      <c r="J3215" t="inlineStr">
        <is>
          <t>Created MTR-IOS-3214 and correlation note visible in Activity/Pulse</t>
        </is>
      </c>
      <c r="K3215" t="inlineStr">
        <is>
          <t>NOT_RUN</t>
        </is>
      </c>
      <c r="P3215" t="n">
        <v>0</v>
      </c>
      <c r="Q3215" t="n">
        <v>3214</v>
      </c>
    </row>
    <row r="3216">
      <c r="A3216" t="n">
        <v>3215</v>
      </c>
      <c r="B3216" t="inlineStr">
        <is>
          <t>MTR-IOS-3215</t>
        </is>
      </c>
      <c r="C3216" t="inlineStr">
        <is>
          <t>iPhone</t>
        </is>
      </c>
      <c r="D3216" t="inlineStr">
        <is>
          <t>Group</t>
        </is>
      </c>
      <c r="E3216" t="inlineStr">
        <is>
          <t>Shared Purchase</t>
        </is>
      </c>
      <c r="F3216" t="inlineStr">
        <is>
          <t>Gift Pool</t>
        </is>
      </c>
      <c r="G3216" t="inlineStr">
        <is>
          <t>Other</t>
        </is>
      </c>
      <c r="H3216" t="inlineStr">
        <is>
          <t>Group &gt; Gift Pool &gt; Quick Add &gt; Other</t>
        </is>
      </c>
      <c r="I3216" s="18" t="n">
        <v>20957.05</v>
      </c>
      <c r="J3216" t="inlineStr">
        <is>
          <t>Created MTR-IOS-3215 and correlation note visible in Activity/Pulse</t>
        </is>
      </c>
      <c r="K3216" t="inlineStr">
        <is>
          <t>NOT_RUN</t>
        </is>
      </c>
      <c r="P3216" t="n">
        <v>0</v>
      </c>
      <c r="Q3216" t="n">
        <v>3215</v>
      </c>
    </row>
    <row r="3217">
      <c r="A3217" t="n">
        <v>3216</v>
      </c>
      <c r="B3217" t="inlineStr">
        <is>
          <t>MTR-IOS-3216</t>
        </is>
      </c>
      <c r="C3217" t="inlineStr">
        <is>
          <t>iPhone</t>
        </is>
      </c>
      <c r="D3217" t="inlineStr">
        <is>
          <t>Business</t>
        </is>
      </c>
      <c r="E3217" t="inlineStr">
        <is>
          <t>Business</t>
        </is>
      </c>
      <c r="F3217" t="inlineStr">
        <is>
          <t>Team Operations</t>
        </is>
      </c>
      <c r="G3217" t="inlineStr">
        <is>
          <t>Payroll</t>
        </is>
      </c>
      <c r="H3217" t="inlineStr">
        <is>
          <t>Business &gt; Team Operations &gt; Quick Add &gt; Payroll</t>
        </is>
      </c>
      <c r="I3217" s="18" t="n">
        <v>78921.63</v>
      </c>
      <c r="J3217" t="inlineStr">
        <is>
          <t>Created MTR-IOS-3216 and correlation note visible in Activity/Pulse</t>
        </is>
      </c>
      <c r="K3217" t="inlineStr">
        <is>
          <t>NOT_RUN</t>
        </is>
      </c>
      <c r="P3217" t="n">
        <v>0</v>
      </c>
      <c r="Q3217" t="n">
        <v>3216</v>
      </c>
    </row>
    <row r="3218">
      <c r="A3218" t="n">
        <v>3217</v>
      </c>
      <c r="B3218" t="inlineStr">
        <is>
          <t>MTR-IOS-3217</t>
        </is>
      </c>
      <c r="C3218" t="inlineStr">
        <is>
          <t>iPhone</t>
        </is>
      </c>
      <c r="D3218" t="inlineStr">
        <is>
          <t>Personal</t>
        </is>
      </c>
      <c r="E3218" t="inlineStr">
        <is>
          <t>Personal</t>
        </is>
      </c>
      <c r="F3218" t="inlineStr">
        <is>
          <t>Lifestyle</t>
        </is>
      </c>
      <c r="G3218" t="inlineStr">
        <is>
          <t>Entertainment</t>
        </is>
      </c>
      <c r="H3218" t="inlineStr">
        <is>
          <t>Personal &gt; Lifestyle &gt; Quick Add &gt; Entertainment</t>
        </is>
      </c>
      <c r="I3218" s="18" t="n">
        <v>9227.540000000001</v>
      </c>
      <c r="J3218" t="inlineStr">
        <is>
          <t>Created MTR-IOS-3217 and correlation note visible in Activity/Pulse</t>
        </is>
      </c>
      <c r="K3218" t="inlineStr">
        <is>
          <t>NOT_RUN</t>
        </is>
      </c>
      <c r="P3218" t="n">
        <v>0</v>
      </c>
      <c r="Q3218" t="n">
        <v>3217</v>
      </c>
    </row>
    <row r="3219">
      <c r="A3219" t="n">
        <v>3218</v>
      </c>
      <c r="B3219" t="inlineStr">
        <is>
          <t>MTR-IOS-3218</t>
        </is>
      </c>
      <c r="C3219" t="inlineStr">
        <is>
          <t>iPhone</t>
        </is>
      </c>
      <c r="D3219" t="inlineStr">
        <is>
          <t>Group</t>
        </is>
      </c>
      <c r="E3219" t="inlineStr">
        <is>
          <t>Shared Purchase</t>
        </is>
      </c>
      <c r="F3219" t="inlineStr">
        <is>
          <t>Purchase</t>
        </is>
      </c>
      <c r="G3219" t="inlineStr">
        <is>
          <t>Item</t>
        </is>
      </c>
      <c r="H3219" t="inlineStr">
        <is>
          <t>Group &gt; Purchase &gt; Quick Add &gt; Item</t>
        </is>
      </c>
      <c r="I3219" s="18" t="n">
        <v>17280.4</v>
      </c>
      <c r="J3219" t="inlineStr">
        <is>
          <t>Created MTR-IOS-3218 and correlation note visible in Activity/Pulse</t>
        </is>
      </c>
      <c r="K3219" t="inlineStr">
        <is>
          <t>NOT_RUN</t>
        </is>
      </c>
      <c r="P3219" t="n">
        <v>0</v>
      </c>
      <c r="Q3219" t="n">
        <v>3218</v>
      </c>
    </row>
    <row r="3220">
      <c r="A3220" t="n">
        <v>3219</v>
      </c>
      <c r="B3220" t="inlineStr">
        <is>
          <t>MTR-IOS-3219</t>
        </is>
      </c>
      <c r="C3220" t="inlineStr">
        <is>
          <t>iPhone</t>
        </is>
      </c>
      <c r="D3220" t="inlineStr">
        <is>
          <t>Business</t>
        </is>
      </c>
      <c r="E3220" t="inlineStr">
        <is>
          <t>Business</t>
        </is>
      </c>
      <c r="F3220" t="inlineStr">
        <is>
          <t>Team Operations</t>
        </is>
      </c>
      <c r="G3220" t="inlineStr">
        <is>
          <t>Contractor</t>
        </is>
      </c>
      <c r="H3220" t="inlineStr">
        <is>
          <t>Business &gt; Team Operations &gt; Quick Add &gt; Contractor</t>
        </is>
      </c>
      <c r="I3220" s="18" t="n">
        <v>100</v>
      </c>
      <c r="J3220" t="inlineStr">
        <is>
          <t>Created MTR-IOS-3219 and correlation note visible in Activity/Pulse</t>
        </is>
      </c>
      <c r="K3220" t="inlineStr">
        <is>
          <t>NOT_RUN</t>
        </is>
      </c>
      <c r="P3220" t="n">
        <v>0</v>
      </c>
      <c r="Q3220" t="n">
        <v>3219</v>
      </c>
    </row>
    <row r="3221">
      <c r="A3221" t="n">
        <v>3220</v>
      </c>
      <c r="B3221" t="inlineStr">
        <is>
          <t>MTR-IOS-3220</t>
        </is>
      </c>
      <c r="C3221" t="inlineStr">
        <is>
          <t>iPhone</t>
        </is>
      </c>
      <c r="D3221" t="inlineStr">
        <is>
          <t>Personal</t>
        </is>
      </c>
      <c r="E3221" t="inlineStr">
        <is>
          <t>Personal</t>
        </is>
      </c>
      <c r="F3221" t="inlineStr">
        <is>
          <t>Lifestyle</t>
        </is>
      </c>
      <c r="G3221" t="inlineStr">
        <is>
          <t>Travel</t>
        </is>
      </c>
      <c r="H3221" t="inlineStr">
        <is>
          <t>Personal &gt; Lifestyle &gt; Quick Add &gt; Travel</t>
        </is>
      </c>
      <c r="I3221" s="18" t="n">
        <v>10537.51</v>
      </c>
      <c r="J3221" t="inlineStr">
        <is>
          <t>Created MTR-IOS-3220 and correlation note visible in Activity/Pulse</t>
        </is>
      </c>
      <c r="K3221" t="inlineStr">
        <is>
          <t>NOT_RUN</t>
        </is>
      </c>
      <c r="P3221" t="n">
        <v>0</v>
      </c>
      <c r="Q3221" t="n">
        <v>3220</v>
      </c>
    </row>
    <row r="3222">
      <c r="A3222" t="n">
        <v>3221</v>
      </c>
      <c r="B3222" t="inlineStr">
        <is>
          <t>MTR-IOS-3221</t>
        </is>
      </c>
      <c r="C3222" t="inlineStr">
        <is>
          <t>iPhone</t>
        </is>
      </c>
      <c r="D3222" t="inlineStr">
        <is>
          <t>Group</t>
        </is>
      </c>
      <c r="E3222" t="inlineStr">
        <is>
          <t>Shared Purchase</t>
        </is>
      </c>
      <c r="F3222" t="inlineStr">
        <is>
          <t>Purchase</t>
        </is>
      </c>
      <c r="G3222" t="inlineStr">
        <is>
          <t>Shipping</t>
        </is>
      </c>
      <c r="H3222" t="inlineStr">
        <is>
          <t>Group &gt; Purchase &gt; Quick Add &gt; Shipping</t>
        </is>
      </c>
      <c r="I3222" s="18" t="n">
        <v>16239.46</v>
      </c>
      <c r="J3222" t="inlineStr">
        <is>
          <t>Created MTR-IOS-3221 and correlation note visible in Activity/Pulse</t>
        </is>
      </c>
      <c r="K3222" t="inlineStr">
        <is>
          <t>NOT_RUN</t>
        </is>
      </c>
      <c r="P3222" t="n">
        <v>0</v>
      </c>
      <c r="Q3222" t="n">
        <v>3221</v>
      </c>
    </row>
    <row r="3223">
      <c r="A3223" t="n">
        <v>3222</v>
      </c>
      <c r="B3223" t="inlineStr">
        <is>
          <t>MTR-IOS-3222</t>
        </is>
      </c>
      <c r="C3223" t="inlineStr">
        <is>
          <t>iPhone</t>
        </is>
      </c>
      <c r="D3223" t="inlineStr">
        <is>
          <t>Business</t>
        </is>
      </c>
      <c r="E3223" t="inlineStr">
        <is>
          <t>Business</t>
        </is>
      </c>
      <c r="F3223" t="inlineStr">
        <is>
          <t>Team Operations</t>
        </is>
      </c>
      <c r="G3223" t="inlineStr">
        <is>
          <t>Hiring</t>
        </is>
      </c>
      <c r="H3223" t="inlineStr">
        <is>
          <t>Business &gt; Team Operations &gt; Quick Add &gt; Hiring</t>
        </is>
      </c>
      <c r="I3223" s="18" t="n">
        <v>149167.98</v>
      </c>
      <c r="J3223" t="inlineStr">
        <is>
          <t>Created MTR-IOS-3222 and correlation note visible in Activity/Pulse</t>
        </is>
      </c>
      <c r="K3223" t="inlineStr">
        <is>
          <t>NOT_RUN</t>
        </is>
      </c>
      <c r="P3223" t="n">
        <v>0</v>
      </c>
      <c r="Q3223" t="n">
        <v>3222</v>
      </c>
    </row>
    <row r="3224">
      <c r="A3224" t="n">
        <v>3223</v>
      </c>
      <c r="B3224" t="inlineStr">
        <is>
          <t>MTR-IOS-3223</t>
        </is>
      </c>
      <c r="C3224" t="inlineStr">
        <is>
          <t>iPhone</t>
        </is>
      </c>
      <c r="D3224" t="inlineStr">
        <is>
          <t>Personal</t>
        </is>
      </c>
      <c r="E3224" t="inlineStr">
        <is>
          <t>Personal</t>
        </is>
      </c>
      <c r="F3224" t="inlineStr">
        <is>
          <t>Lifestyle</t>
        </is>
      </c>
      <c r="G3224" t="inlineStr">
        <is>
          <t>Fitness</t>
        </is>
      </c>
      <c r="H3224" t="inlineStr">
        <is>
          <t>Personal &gt; Lifestyle &gt; Quick Add &gt; Fitness</t>
        </is>
      </c>
      <c r="I3224" s="18" t="n">
        <v>9796.030000000001</v>
      </c>
      <c r="J3224" t="inlineStr">
        <is>
          <t>Created MTR-IOS-3223 and correlation note visible in Activity/Pulse</t>
        </is>
      </c>
      <c r="K3224" t="inlineStr">
        <is>
          <t>NOT_RUN</t>
        </is>
      </c>
      <c r="P3224" t="n">
        <v>0</v>
      </c>
      <c r="Q3224" t="n">
        <v>3223</v>
      </c>
    </row>
    <row r="3225">
      <c r="A3225" t="n">
        <v>3224</v>
      </c>
      <c r="B3225" t="inlineStr">
        <is>
          <t>MTR-IOS-3224</t>
        </is>
      </c>
      <c r="C3225" t="inlineStr">
        <is>
          <t>iPhone</t>
        </is>
      </c>
      <c r="D3225" t="inlineStr">
        <is>
          <t>Group</t>
        </is>
      </c>
      <c r="E3225" t="inlineStr">
        <is>
          <t>Shared Purchase</t>
        </is>
      </c>
      <c r="F3225" t="inlineStr">
        <is>
          <t>Purchase</t>
        </is>
      </c>
      <c r="G3225" t="inlineStr">
        <is>
          <t>Tax</t>
        </is>
      </c>
      <c r="H3225" t="inlineStr">
        <is>
          <t>Group &gt; Purchase &gt; Quick Add &gt; Tax</t>
        </is>
      </c>
      <c r="I3225" s="18" t="n">
        <v>23040.55</v>
      </c>
      <c r="J3225" t="inlineStr">
        <is>
          <t>Created MTR-IOS-3224 and correlation note visible in Activity/Pulse</t>
        </is>
      </c>
      <c r="K3225" t="inlineStr">
        <is>
          <t>NOT_RUN</t>
        </is>
      </c>
      <c r="P3225" t="n">
        <v>0</v>
      </c>
      <c r="Q3225" t="n">
        <v>3224</v>
      </c>
    </row>
    <row r="3226">
      <c r="A3226" t="n">
        <v>3225</v>
      </c>
      <c r="B3226" t="inlineStr">
        <is>
          <t>MTR-IOS-3225</t>
        </is>
      </c>
      <c r="C3226" t="inlineStr">
        <is>
          <t>iPhone</t>
        </is>
      </c>
      <c r="D3226" t="inlineStr">
        <is>
          <t>Business</t>
        </is>
      </c>
      <c r="E3226" t="inlineStr">
        <is>
          <t>Business</t>
        </is>
      </c>
      <c r="F3226" t="inlineStr">
        <is>
          <t>Team Operations</t>
        </is>
      </c>
      <c r="G3226" t="inlineStr">
        <is>
          <t>Team Meal</t>
        </is>
      </c>
      <c r="H3226" t="inlineStr">
        <is>
          <t>Business &gt; Team Operations &gt; Quick Add &gt; Team Meal</t>
        </is>
      </c>
      <c r="I3226" s="18" t="n">
        <v>122658.25</v>
      </c>
      <c r="J3226" t="inlineStr">
        <is>
          <t>Created MTR-IOS-3225 and correlation note visible in Activity/Pulse</t>
        </is>
      </c>
      <c r="K3226" t="inlineStr">
        <is>
          <t>NOT_RUN</t>
        </is>
      </c>
      <c r="P3226" t="n">
        <v>0</v>
      </c>
      <c r="Q3226" t="n">
        <v>3225</v>
      </c>
    </row>
    <row r="3227">
      <c r="A3227" t="n">
        <v>3226</v>
      </c>
      <c r="B3227" t="inlineStr">
        <is>
          <t>MTR-IOS-3226</t>
        </is>
      </c>
      <c r="C3227" t="inlineStr">
        <is>
          <t>iPhone</t>
        </is>
      </c>
      <c r="D3227" t="inlineStr">
        <is>
          <t>Personal</t>
        </is>
      </c>
      <c r="E3227" t="inlineStr">
        <is>
          <t>Personal</t>
        </is>
      </c>
      <c r="F3227" t="inlineStr">
        <is>
          <t>Lifestyle</t>
        </is>
      </c>
      <c r="G3227" t="inlineStr">
        <is>
          <t>Hobbies</t>
        </is>
      </c>
      <c r="H3227" t="inlineStr">
        <is>
          <t>Personal &gt; Lifestyle &gt; Quick Add &gt; Hobbies</t>
        </is>
      </c>
      <c r="I3227" s="18" t="n">
        <v>16897.95</v>
      </c>
      <c r="J3227" t="inlineStr">
        <is>
          <t>Created MTR-IOS-3226 and correlation note visible in Activity/Pulse</t>
        </is>
      </c>
      <c r="K3227" t="inlineStr">
        <is>
          <t>NOT_RUN</t>
        </is>
      </c>
      <c r="P3227" t="n">
        <v>0</v>
      </c>
      <c r="Q3227" t="n">
        <v>3226</v>
      </c>
    </row>
    <row r="3228">
      <c r="A3228" t="n">
        <v>3227</v>
      </c>
      <c r="B3228" t="inlineStr">
        <is>
          <t>MTR-IOS-3227</t>
        </is>
      </c>
      <c r="C3228" t="inlineStr">
        <is>
          <t>iPhone</t>
        </is>
      </c>
      <c r="D3228" t="inlineStr">
        <is>
          <t>Group</t>
        </is>
      </c>
      <c r="E3228" t="inlineStr">
        <is>
          <t>Shared Purchase</t>
        </is>
      </c>
      <c r="F3228" t="inlineStr">
        <is>
          <t>Purchase</t>
        </is>
      </c>
      <c r="G3228" t="inlineStr">
        <is>
          <t>Other</t>
        </is>
      </c>
      <c r="H3228" t="inlineStr">
        <is>
          <t>Group &gt; Purchase &gt; Quick Add &gt; Other</t>
        </is>
      </c>
      <c r="I3228" s="18" t="n">
        <v>14066.58</v>
      </c>
      <c r="J3228" t="inlineStr">
        <is>
          <t>Created MTR-IOS-3227 and correlation note visible in Activity/Pulse</t>
        </is>
      </c>
      <c r="K3228" t="inlineStr">
        <is>
          <t>NOT_RUN</t>
        </is>
      </c>
      <c r="P3228" t="n">
        <v>0</v>
      </c>
      <c r="Q3228" t="n">
        <v>3227</v>
      </c>
    </row>
    <row r="3229">
      <c r="A3229" t="n">
        <v>3228</v>
      </c>
      <c r="B3229" t="inlineStr">
        <is>
          <t>MTR-IOS-3228</t>
        </is>
      </c>
      <c r="C3229" t="inlineStr">
        <is>
          <t>iPhone</t>
        </is>
      </c>
      <c r="D3229" t="inlineStr">
        <is>
          <t>Business</t>
        </is>
      </c>
      <c r="E3229" t="inlineStr">
        <is>
          <t>Business</t>
        </is>
      </c>
      <c r="F3229" t="inlineStr">
        <is>
          <t>Team Operations</t>
        </is>
      </c>
      <c r="G3229" t="inlineStr">
        <is>
          <t>Travel</t>
        </is>
      </c>
      <c r="H3229" t="inlineStr">
        <is>
          <t>Business &gt; Team Operations &gt; Quick Add &gt; Travel</t>
        </is>
      </c>
      <c r="I3229" s="18" t="n">
        <v>10175.42</v>
      </c>
      <c r="J3229" t="inlineStr">
        <is>
          <t>Created MTR-IOS-3228 and correlation note visible in Activity/Pulse</t>
        </is>
      </c>
      <c r="K3229" t="inlineStr">
        <is>
          <t>NOT_RUN</t>
        </is>
      </c>
      <c r="P3229" t="n">
        <v>0</v>
      </c>
      <c r="Q3229" t="n">
        <v>3228</v>
      </c>
    </row>
    <row r="3230">
      <c r="A3230" t="n">
        <v>3229</v>
      </c>
      <c r="B3230" t="inlineStr">
        <is>
          <t>MTR-IOS-3229</t>
        </is>
      </c>
      <c r="C3230" t="inlineStr">
        <is>
          <t>iPhone</t>
        </is>
      </c>
      <c r="D3230" t="inlineStr">
        <is>
          <t>Personal</t>
        </is>
      </c>
      <c r="E3230" t="inlineStr">
        <is>
          <t>Personal</t>
        </is>
      </c>
      <c r="F3230" t="inlineStr">
        <is>
          <t>Relationships</t>
        </is>
      </c>
      <c r="G3230" t="inlineStr">
        <is>
          <t>Gifts</t>
        </is>
      </c>
      <c r="H3230" t="inlineStr">
        <is>
          <t>Personal &gt; Relationships &gt; Quick Add &gt; Gifts</t>
        </is>
      </c>
      <c r="I3230" s="18" t="n">
        <v>2665.72</v>
      </c>
      <c r="J3230" t="inlineStr">
        <is>
          <t>Created MTR-IOS-3229 and correlation note visible in Activity/Pulse</t>
        </is>
      </c>
      <c r="K3230" t="inlineStr">
        <is>
          <t>NOT_RUN</t>
        </is>
      </c>
      <c r="P3230" t="n">
        <v>0</v>
      </c>
      <c r="Q3230" t="n">
        <v>3229</v>
      </c>
    </row>
    <row r="3231">
      <c r="A3231" t="n">
        <v>3230</v>
      </c>
      <c r="B3231" t="inlineStr">
        <is>
          <t>MTR-IOS-3230</t>
        </is>
      </c>
      <c r="C3231" t="inlineStr">
        <is>
          <t>iPhone</t>
        </is>
      </c>
      <c r="D3231" t="inlineStr">
        <is>
          <t>Group</t>
        </is>
      </c>
      <c r="E3231" t="inlineStr">
        <is>
          <t>Shared Purchase</t>
        </is>
      </c>
      <c r="F3231" t="inlineStr">
        <is>
          <t>Assets</t>
        </is>
      </c>
      <c r="G3231" t="inlineStr">
        <is>
          <t>Purchase</t>
        </is>
      </c>
      <c r="H3231" t="inlineStr">
        <is>
          <t>Group &gt; Assets &gt; Quick Add &gt; Purchase</t>
        </is>
      </c>
      <c r="I3231" s="18" t="n">
        <v>7870.56</v>
      </c>
      <c r="J3231" t="inlineStr">
        <is>
          <t>Created MTR-IOS-3230 and correlation note visible in Activity/Pulse</t>
        </is>
      </c>
      <c r="K3231" t="inlineStr">
        <is>
          <t>NOT_RUN</t>
        </is>
      </c>
      <c r="P3231" t="n">
        <v>0</v>
      </c>
      <c r="Q3231" t="n">
        <v>3230</v>
      </c>
    </row>
    <row r="3232">
      <c r="A3232" t="n">
        <v>3231</v>
      </c>
      <c r="B3232" t="inlineStr">
        <is>
          <t>MTR-IOS-3231</t>
        </is>
      </c>
      <c r="C3232" t="inlineStr">
        <is>
          <t>iPhone</t>
        </is>
      </c>
      <c r="D3232" t="inlineStr">
        <is>
          <t>Business</t>
        </is>
      </c>
      <c r="E3232" t="inlineStr">
        <is>
          <t>Business</t>
        </is>
      </c>
      <c r="F3232" t="inlineStr">
        <is>
          <t>Team Operations</t>
        </is>
      </c>
      <c r="G3232" t="inlineStr">
        <is>
          <t>Training</t>
        </is>
      </c>
      <c r="H3232" t="inlineStr">
        <is>
          <t>Business &gt; Team Operations &gt; Quick Add &gt; Training</t>
        </is>
      </c>
      <c r="I3232" s="18" t="n">
        <v>103587.52</v>
      </c>
      <c r="J3232" t="inlineStr">
        <is>
          <t>Created MTR-IOS-3231 and correlation note visible in Activity/Pulse</t>
        </is>
      </c>
      <c r="K3232" t="inlineStr">
        <is>
          <t>NOT_RUN</t>
        </is>
      </c>
      <c r="P3232" t="n">
        <v>0</v>
      </c>
      <c r="Q3232" t="n">
        <v>3231</v>
      </c>
    </row>
    <row r="3233">
      <c r="A3233" t="n">
        <v>3232</v>
      </c>
      <c r="B3233" t="inlineStr">
        <is>
          <t>MTR-IOS-3232</t>
        </is>
      </c>
      <c r="C3233" t="inlineStr">
        <is>
          <t>iPhone</t>
        </is>
      </c>
      <c r="D3233" t="inlineStr">
        <is>
          <t>Personal</t>
        </is>
      </c>
      <c r="E3233" t="inlineStr">
        <is>
          <t>Personal</t>
        </is>
      </c>
      <c r="F3233" t="inlineStr">
        <is>
          <t>Relationships</t>
        </is>
      </c>
      <c r="G3233" t="inlineStr">
        <is>
          <t>Dates</t>
        </is>
      </c>
      <c r="H3233" t="inlineStr">
        <is>
          <t>Personal &gt; Relationships &gt; Quick Add &gt; Dates</t>
        </is>
      </c>
      <c r="I3233" s="18" t="n">
        <v>14275.98</v>
      </c>
      <c r="J3233" t="inlineStr">
        <is>
          <t>Created MTR-IOS-3232 and correlation note visible in Activity/Pulse</t>
        </is>
      </c>
      <c r="K3233" t="inlineStr">
        <is>
          <t>NOT_RUN</t>
        </is>
      </c>
      <c r="P3233" t="n">
        <v>0</v>
      </c>
      <c r="Q3233" t="n">
        <v>3232</v>
      </c>
    </row>
    <row r="3234">
      <c r="A3234" t="n">
        <v>3233</v>
      </c>
      <c r="B3234" t="inlineStr">
        <is>
          <t>MTR-IOS-3233</t>
        </is>
      </c>
      <c r="C3234" t="inlineStr">
        <is>
          <t>iPhone</t>
        </is>
      </c>
      <c r="D3234" t="inlineStr">
        <is>
          <t>Group</t>
        </is>
      </c>
      <c r="E3234" t="inlineStr">
        <is>
          <t>Shared Purchase</t>
        </is>
      </c>
      <c r="F3234" t="inlineStr">
        <is>
          <t>Assets</t>
        </is>
      </c>
      <c r="G3234" t="inlineStr">
        <is>
          <t>Maintenance</t>
        </is>
      </c>
      <c r="H3234" t="inlineStr">
        <is>
          <t>Group &gt; Assets &gt; Quick Add &gt; Maintenance</t>
        </is>
      </c>
      <c r="I3234" s="18" t="n">
        <v>25660.35</v>
      </c>
      <c r="J3234" t="inlineStr">
        <is>
          <t>Created MTR-IOS-3233 and correlation note visible in Activity/Pulse</t>
        </is>
      </c>
      <c r="K3234" t="inlineStr">
        <is>
          <t>NOT_RUN</t>
        </is>
      </c>
      <c r="P3234" t="n">
        <v>0</v>
      </c>
      <c r="Q3234" t="n">
        <v>3233</v>
      </c>
    </row>
    <row r="3235">
      <c r="A3235" t="n">
        <v>3234</v>
      </c>
      <c r="B3235" t="inlineStr">
        <is>
          <t>MTR-IOS-3234</t>
        </is>
      </c>
      <c r="C3235" t="inlineStr">
        <is>
          <t>iPhone</t>
        </is>
      </c>
      <c r="D3235" t="inlineStr">
        <is>
          <t>Business</t>
        </is>
      </c>
      <c r="E3235" t="inlineStr">
        <is>
          <t>Business</t>
        </is>
      </c>
      <c r="F3235" t="inlineStr">
        <is>
          <t>Team Operations</t>
        </is>
      </c>
      <c r="G3235" t="inlineStr">
        <is>
          <t>Tools</t>
        </is>
      </c>
      <c r="H3235" t="inlineStr">
        <is>
          <t>Business &gt; Team Operations &gt; Quick Add &gt; Tools</t>
        </is>
      </c>
      <c r="I3235" s="18" t="n">
        <v>89356.53999999999</v>
      </c>
      <c r="J3235" t="inlineStr">
        <is>
          <t>Created MTR-IOS-3234 and correlation note visible in Activity/Pulse</t>
        </is>
      </c>
      <c r="K3235" t="inlineStr">
        <is>
          <t>NOT_RUN</t>
        </is>
      </c>
      <c r="P3235" t="n">
        <v>0</v>
      </c>
      <c r="Q3235" t="n">
        <v>3234</v>
      </c>
    </row>
    <row r="3236">
      <c r="A3236" t="n">
        <v>3235</v>
      </c>
      <c r="B3236" t="inlineStr">
        <is>
          <t>MTR-IOS-3235</t>
        </is>
      </c>
      <c r="C3236" t="inlineStr">
        <is>
          <t>iPhone</t>
        </is>
      </c>
      <c r="D3236" t="inlineStr">
        <is>
          <t>Personal</t>
        </is>
      </c>
      <c r="E3236" t="inlineStr">
        <is>
          <t>Personal</t>
        </is>
      </c>
      <c r="F3236" t="inlineStr">
        <is>
          <t>Relationships</t>
        </is>
      </c>
      <c r="G3236" t="inlineStr">
        <is>
          <t>Family</t>
        </is>
      </c>
      <c r="H3236" t="inlineStr">
        <is>
          <t>Personal &gt; Relationships &gt; Quick Add &gt; Family</t>
        </is>
      </c>
      <c r="I3236" s="18" t="n">
        <v>7787.95</v>
      </c>
      <c r="J3236" t="inlineStr">
        <is>
          <t>Created MTR-IOS-3235 and correlation note visible in Activity/Pulse</t>
        </is>
      </c>
      <c r="K3236" t="inlineStr">
        <is>
          <t>NOT_RUN</t>
        </is>
      </c>
      <c r="P3236" t="n">
        <v>0</v>
      </c>
      <c r="Q3236" t="n">
        <v>3235</v>
      </c>
    </row>
    <row r="3237">
      <c r="A3237" t="n">
        <v>3236</v>
      </c>
      <c r="B3237" t="inlineStr">
        <is>
          <t>MTR-IOS-3236</t>
        </is>
      </c>
      <c r="C3237" t="inlineStr">
        <is>
          <t>iPhone</t>
        </is>
      </c>
      <c r="D3237" t="inlineStr">
        <is>
          <t>Group</t>
        </is>
      </c>
      <c r="E3237" t="inlineStr">
        <is>
          <t>Shared Purchase</t>
        </is>
      </c>
      <c r="F3237" t="inlineStr">
        <is>
          <t>Assets</t>
        </is>
      </c>
      <c r="G3237" t="inlineStr">
        <is>
          <t>Repair</t>
        </is>
      </c>
      <c r="H3237" t="inlineStr">
        <is>
          <t>Group &gt; Assets &gt; Quick Add &gt; Repair</t>
        </is>
      </c>
      <c r="I3237" s="18" t="n">
        <v>12474.01</v>
      </c>
      <c r="J3237" t="inlineStr">
        <is>
          <t>Created MTR-IOS-3236 and correlation note visible in Activity/Pulse</t>
        </is>
      </c>
      <c r="K3237" t="inlineStr">
        <is>
          <t>NOT_RUN</t>
        </is>
      </c>
      <c r="P3237" t="n">
        <v>0</v>
      </c>
      <c r="Q3237" t="n">
        <v>3236</v>
      </c>
    </row>
    <row r="3238">
      <c r="A3238" t="n">
        <v>3237</v>
      </c>
      <c r="B3238" t="inlineStr">
        <is>
          <t>MTR-IOS-3237</t>
        </is>
      </c>
      <c r="C3238" t="inlineStr">
        <is>
          <t>iPhone</t>
        </is>
      </c>
      <c r="D3238" t="inlineStr">
        <is>
          <t>Business</t>
        </is>
      </c>
      <c r="E3238" t="inlineStr">
        <is>
          <t>Business</t>
        </is>
      </c>
      <c r="F3238" t="inlineStr">
        <is>
          <t>Business Runway</t>
        </is>
      </c>
      <c r="G3238" t="inlineStr">
        <is>
          <t>Funding</t>
        </is>
      </c>
      <c r="H3238" t="inlineStr">
        <is>
          <t>Business &gt; Business Runway &gt; Quick Add &gt; Funding</t>
        </is>
      </c>
      <c r="I3238" s="18" t="n">
        <v>18512.87</v>
      </c>
      <c r="J3238" t="inlineStr">
        <is>
          <t>Created MTR-IOS-3237 and correlation note visible in Activity/Pulse</t>
        </is>
      </c>
      <c r="K3238" t="inlineStr">
        <is>
          <t>NOT_RUN</t>
        </is>
      </c>
      <c r="P3238" t="n">
        <v>0</v>
      </c>
      <c r="Q3238" t="n">
        <v>3237</v>
      </c>
    </row>
    <row r="3239">
      <c r="A3239" t="n">
        <v>3238</v>
      </c>
      <c r="B3239" t="inlineStr">
        <is>
          <t>MTR-IOS-3238</t>
        </is>
      </c>
      <c r="C3239" t="inlineStr">
        <is>
          <t>iPhone</t>
        </is>
      </c>
      <c r="D3239" t="inlineStr">
        <is>
          <t>Personal</t>
        </is>
      </c>
      <c r="E3239" t="inlineStr">
        <is>
          <t>Personal</t>
        </is>
      </c>
      <c r="F3239" t="inlineStr">
        <is>
          <t>Relationships</t>
        </is>
      </c>
      <c r="G3239" t="inlineStr">
        <is>
          <t>Friends</t>
        </is>
      </c>
      <c r="H3239" t="inlineStr">
        <is>
          <t>Personal &gt; Relationships &gt; Quick Add &gt; Friends</t>
        </is>
      </c>
      <c r="I3239" s="18" t="n">
        <v>15144.44</v>
      </c>
      <c r="J3239" t="inlineStr">
        <is>
          <t>Created MTR-IOS-3238 and correlation note visible in Activity/Pulse</t>
        </is>
      </c>
      <c r="K3239" t="inlineStr">
        <is>
          <t>NOT_RUN</t>
        </is>
      </c>
      <c r="P3239" t="n">
        <v>0</v>
      </c>
      <c r="Q3239" t="n">
        <v>3238</v>
      </c>
    </row>
    <row r="3240">
      <c r="A3240" t="n">
        <v>3239</v>
      </c>
      <c r="B3240" t="inlineStr">
        <is>
          <t>MTR-IOS-3239</t>
        </is>
      </c>
      <c r="C3240" t="inlineStr">
        <is>
          <t>iPhone</t>
        </is>
      </c>
      <c r="D3240" t="inlineStr">
        <is>
          <t>Group</t>
        </is>
      </c>
      <c r="E3240" t="inlineStr">
        <is>
          <t>Shared Purchase</t>
        </is>
      </c>
      <c r="F3240" t="inlineStr">
        <is>
          <t>Assets</t>
        </is>
      </c>
      <c r="G3240" t="inlineStr">
        <is>
          <t>Insurance</t>
        </is>
      </c>
      <c r="H3240" t="inlineStr">
        <is>
          <t>Group &gt; Assets &gt; Quick Add &gt; Insurance</t>
        </is>
      </c>
      <c r="I3240" s="18" t="n">
        <v>6951.05</v>
      </c>
      <c r="J3240" t="inlineStr">
        <is>
          <t>Created MTR-IOS-3239 and correlation note visible in Activity/Pulse</t>
        </is>
      </c>
      <c r="K3240" t="inlineStr">
        <is>
          <t>NOT_RUN</t>
        </is>
      </c>
      <c r="P3240" t="n">
        <v>0</v>
      </c>
      <c r="Q3240" t="n">
        <v>3239</v>
      </c>
    </row>
    <row r="3241">
      <c r="A3241" t="n">
        <v>3240</v>
      </c>
      <c r="B3241" t="inlineStr">
        <is>
          <t>MTR-IOS-3240</t>
        </is>
      </c>
      <c r="C3241" t="inlineStr">
        <is>
          <t>iPhone</t>
        </is>
      </c>
      <c r="D3241" t="inlineStr">
        <is>
          <t>Business</t>
        </is>
      </c>
      <c r="E3241" t="inlineStr">
        <is>
          <t>Business</t>
        </is>
      </c>
      <c r="F3241" t="inlineStr">
        <is>
          <t>Business Runway</t>
        </is>
      </c>
      <c r="G3241" t="inlineStr">
        <is>
          <t>Revenue</t>
        </is>
      </c>
      <c r="H3241" t="inlineStr">
        <is>
          <t>Business &gt; Business Runway &gt; Quick Add &gt; Revenue</t>
        </is>
      </c>
      <c r="I3241" s="18" t="n">
        <v>65605.12</v>
      </c>
      <c r="J3241" t="inlineStr">
        <is>
          <t>Created MTR-IOS-3240 and correlation note visible in Activity/Pulse</t>
        </is>
      </c>
      <c r="K3241" t="inlineStr">
        <is>
          <t>NOT_RUN</t>
        </is>
      </c>
      <c r="P3241" t="n">
        <v>0</v>
      </c>
      <c r="Q3241" t="n">
        <v>3240</v>
      </c>
    </row>
    <row r="3242">
      <c r="A3242" t="n">
        <v>3241</v>
      </c>
      <c r="B3242" t="inlineStr">
        <is>
          <t>MTR-IOS-3241</t>
        </is>
      </c>
      <c r="C3242" t="inlineStr">
        <is>
          <t>iPhone</t>
        </is>
      </c>
      <c r="D3242" t="inlineStr">
        <is>
          <t>Personal</t>
        </is>
      </c>
      <c r="E3242" t="inlineStr">
        <is>
          <t>Personal</t>
        </is>
      </c>
      <c r="F3242" t="inlineStr">
        <is>
          <t>Relationships</t>
        </is>
      </c>
      <c r="G3242" t="inlineStr">
        <is>
          <t>Celebrations</t>
        </is>
      </c>
      <c r="H3242" t="inlineStr">
        <is>
          <t>Personal &gt; Relationships &gt; Quick Add &gt; Celebrations</t>
        </is>
      </c>
      <c r="I3242" s="18" t="n">
        <v>11576.92</v>
      </c>
      <c r="J3242" t="inlineStr">
        <is>
          <t>Created MTR-IOS-3241 and correlation note visible in Activity/Pulse</t>
        </is>
      </c>
      <c r="K3242" t="inlineStr">
        <is>
          <t>NOT_RUN</t>
        </is>
      </c>
      <c r="P3242" t="n">
        <v>0</v>
      </c>
      <c r="Q3242" t="n">
        <v>3241</v>
      </c>
    </row>
    <row r="3243">
      <c r="A3243" t="n">
        <v>3242</v>
      </c>
      <c r="B3243" t="inlineStr">
        <is>
          <t>MTR-IOS-3242</t>
        </is>
      </c>
      <c r="C3243" t="inlineStr">
        <is>
          <t>iPhone</t>
        </is>
      </c>
      <c r="D3243" t="inlineStr">
        <is>
          <t>Group</t>
        </is>
      </c>
      <c r="E3243" t="inlineStr">
        <is>
          <t>Shared Purchase</t>
        </is>
      </c>
      <c r="F3243" t="inlineStr">
        <is>
          <t>Assets</t>
        </is>
      </c>
      <c r="G3243" t="inlineStr">
        <is>
          <t>Other</t>
        </is>
      </c>
      <c r="H3243" t="inlineStr">
        <is>
          <t>Group &gt; Assets &gt; Quick Add &gt; Other</t>
        </is>
      </c>
      <c r="I3243" s="18" t="n">
        <v>3861.79</v>
      </c>
      <c r="J3243" t="inlineStr">
        <is>
          <t>Created MTR-IOS-3242 and correlation note visible in Activity/Pulse</t>
        </is>
      </c>
      <c r="K3243" t="inlineStr">
        <is>
          <t>NOT_RUN</t>
        </is>
      </c>
      <c r="P3243" t="n">
        <v>0</v>
      </c>
      <c r="Q3243" t="n">
        <v>3242</v>
      </c>
    </row>
    <row r="3244">
      <c r="A3244" t="n">
        <v>3243</v>
      </c>
      <c r="B3244" t="inlineStr">
        <is>
          <t>MTR-IOS-3243</t>
        </is>
      </c>
      <c r="C3244" t="inlineStr">
        <is>
          <t>iPhone</t>
        </is>
      </c>
      <c r="D3244" t="inlineStr">
        <is>
          <t>Business</t>
        </is>
      </c>
      <c r="E3244" t="inlineStr">
        <is>
          <t>Business</t>
        </is>
      </c>
      <c r="F3244" t="inlineStr">
        <is>
          <t>Business Runway</t>
        </is>
      </c>
      <c r="G3244" t="inlineStr">
        <is>
          <t>Burn</t>
        </is>
      </c>
      <c r="H3244" t="inlineStr">
        <is>
          <t>Business &gt; Business Runway &gt; Quick Add &gt; Burn</t>
        </is>
      </c>
      <c r="I3244" s="18" t="n">
        <v>68664.14</v>
      </c>
      <c r="J3244" t="inlineStr">
        <is>
          <t>Created MTR-IOS-3243 and correlation note visible in Activity/Pulse</t>
        </is>
      </c>
      <c r="K3244" t="inlineStr">
        <is>
          <t>NOT_RUN</t>
        </is>
      </c>
      <c r="P3244" t="n">
        <v>0</v>
      </c>
      <c r="Q3244" t="n">
        <v>3243</v>
      </c>
    </row>
    <row r="3245">
      <c r="A3245" t="n">
        <v>3244</v>
      </c>
      <c r="B3245" t="inlineStr">
        <is>
          <t>MTR-IOS-3244</t>
        </is>
      </c>
      <c r="C3245" t="inlineStr">
        <is>
          <t>iPhone</t>
        </is>
      </c>
      <c r="D3245" t="inlineStr">
        <is>
          <t>Personal</t>
        </is>
      </c>
      <c r="E3245" t="inlineStr">
        <is>
          <t>Personal</t>
        </is>
      </c>
      <c r="F3245" t="inlineStr">
        <is>
          <t>Life Operations</t>
        </is>
      </c>
      <c r="G3245" t="inlineStr">
        <is>
          <t>Groceries</t>
        </is>
      </c>
      <c r="H3245" t="inlineStr">
        <is>
          <t>Personal &gt; Life Operations &gt; Quick Add &gt; Groceries</t>
        </is>
      </c>
      <c r="I3245" s="18" t="n">
        <v>8905.25</v>
      </c>
      <c r="J3245" t="inlineStr">
        <is>
          <t>Created MTR-IOS-3244 and correlation note visible in Activity/Pulse</t>
        </is>
      </c>
      <c r="K3245" t="inlineStr">
        <is>
          <t>NOT_RUN</t>
        </is>
      </c>
      <c r="P3245" t="n">
        <v>0</v>
      </c>
      <c r="Q3245" t="n">
        <v>3244</v>
      </c>
    </row>
    <row r="3246">
      <c r="A3246" t="n">
        <v>3245</v>
      </c>
      <c r="B3246" t="inlineStr">
        <is>
          <t>MTR-IOS-3245</t>
        </is>
      </c>
      <c r="C3246" t="inlineStr">
        <is>
          <t>iPhone</t>
        </is>
      </c>
      <c r="D3246" t="inlineStr">
        <is>
          <t>Group</t>
        </is>
      </c>
      <c r="E3246" t="inlineStr">
        <is>
          <t>Shared Purchase</t>
        </is>
      </c>
      <c r="F3246" t="inlineStr">
        <is>
          <t>Custom Purchase</t>
        </is>
      </c>
      <c r="G3246" t="inlineStr">
        <is>
          <t>Custom Expense</t>
        </is>
      </c>
      <c r="H3246" t="inlineStr">
        <is>
          <t>Group &gt; Custom Purchase &gt; Quick Add &gt; Custom Expense</t>
        </is>
      </c>
      <c r="I3246" s="18" t="n">
        <v>8183.63</v>
      </c>
      <c r="J3246" t="inlineStr">
        <is>
          <t>Created MTR-IOS-3245 and correlation note visible in Activity/Pulse</t>
        </is>
      </c>
      <c r="K3246" t="inlineStr">
        <is>
          <t>NOT_RUN</t>
        </is>
      </c>
      <c r="P3246" t="n">
        <v>0</v>
      </c>
      <c r="Q3246" t="n">
        <v>3245</v>
      </c>
    </row>
    <row r="3247">
      <c r="A3247" t="n">
        <v>3246</v>
      </c>
      <c r="B3247" t="inlineStr">
        <is>
          <t>MTR-IOS-3246</t>
        </is>
      </c>
      <c r="C3247" t="inlineStr">
        <is>
          <t>iPhone</t>
        </is>
      </c>
      <c r="D3247" t="inlineStr">
        <is>
          <t>Business</t>
        </is>
      </c>
      <c r="E3247" t="inlineStr">
        <is>
          <t>Business</t>
        </is>
      </c>
      <c r="F3247" t="inlineStr">
        <is>
          <t>Business Runway</t>
        </is>
      </c>
      <c r="G3247" t="inlineStr">
        <is>
          <t>Reserve</t>
        </is>
      </c>
      <c r="H3247" t="inlineStr">
        <is>
          <t>Business &gt; Business Runway &gt; Quick Add &gt; Reserve</t>
        </is>
      </c>
      <c r="I3247" s="18" t="n">
        <v>55908.61</v>
      </c>
      <c r="J3247" t="inlineStr">
        <is>
          <t>Created MTR-IOS-3246 and correlation note visible in Activity/Pulse</t>
        </is>
      </c>
      <c r="K3247" t="inlineStr">
        <is>
          <t>NOT_RUN</t>
        </is>
      </c>
      <c r="P3247" t="n">
        <v>0</v>
      </c>
      <c r="Q3247" t="n">
        <v>3246</v>
      </c>
    </row>
    <row r="3248">
      <c r="A3248" t="n">
        <v>3247</v>
      </c>
      <c r="B3248" t="inlineStr">
        <is>
          <t>MTR-IOS-3247</t>
        </is>
      </c>
      <c r="C3248" t="inlineStr">
        <is>
          <t>iPhone</t>
        </is>
      </c>
      <c r="D3248" t="inlineStr">
        <is>
          <t>Personal</t>
        </is>
      </c>
      <c r="E3248" t="inlineStr">
        <is>
          <t>Personal</t>
        </is>
      </c>
      <c r="F3248" t="inlineStr">
        <is>
          <t>Life Operations</t>
        </is>
      </c>
      <c r="G3248" t="inlineStr">
        <is>
          <t>Rent</t>
        </is>
      </c>
      <c r="H3248" t="inlineStr">
        <is>
          <t>Personal &gt; Life Operations &gt; Quick Add &gt; Rent</t>
        </is>
      </c>
      <c r="I3248" s="18" t="n">
        <v>4970.23</v>
      </c>
      <c r="J3248" t="inlineStr">
        <is>
          <t>Created MTR-IOS-3247 and correlation note visible in Activity/Pulse</t>
        </is>
      </c>
      <c r="K3248" t="inlineStr">
        <is>
          <t>NOT_RUN</t>
        </is>
      </c>
      <c r="P3248" t="n">
        <v>0</v>
      </c>
      <c r="Q3248" t="n">
        <v>3247</v>
      </c>
    </row>
    <row r="3249">
      <c r="A3249" t="n">
        <v>3248</v>
      </c>
      <c r="B3249" t="inlineStr">
        <is>
          <t>MTR-IOS-3248</t>
        </is>
      </c>
      <c r="C3249" t="inlineStr">
        <is>
          <t>iPhone</t>
        </is>
      </c>
      <c r="D3249" t="inlineStr">
        <is>
          <t>Group</t>
        </is>
      </c>
      <c r="E3249" t="inlineStr">
        <is>
          <t>Shared Purchase</t>
        </is>
      </c>
      <c r="F3249" t="inlineStr">
        <is>
          <t>Custom Purchase</t>
        </is>
      </c>
      <c r="G3249" t="inlineStr">
        <is>
          <t>Custom Contribution</t>
        </is>
      </c>
      <c r="H3249" t="inlineStr">
        <is>
          <t>Group &gt; Custom Purchase &gt; Quick Add &gt; Custom Contribution</t>
        </is>
      </c>
      <c r="I3249" s="18" t="n">
        <v>18379.16</v>
      </c>
      <c r="J3249" t="inlineStr">
        <is>
          <t>Created MTR-IOS-3248 and correlation note visible in Activity/Pulse</t>
        </is>
      </c>
      <c r="K3249" t="inlineStr">
        <is>
          <t>NOT_RUN</t>
        </is>
      </c>
      <c r="P3249" t="n">
        <v>0</v>
      </c>
      <c r="Q3249" t="n">
        <v>3248</v>
      </c>
    </row>
    <row r="3250">
      <c r="A3250" t="n">
        <v>3249</v>
      </c>
      <c r="B3250" t="inlineStr">
        <is>
          <t>MTR-IOS-3249</t>
        </is>
      </c>
      <c r="C3250" t="inlineStr">
        <is>
          <t>iPhone</t>
        </is>
      </c>
      <c r="D3250" t="inlineStr">
        <is>
          <t>Business</t>
        </is>
      </c>
      <c r="E3250" t="inlineStr">
        <is>
          <t>Business</t>
        </is>
      </c>
      <c r="F3250" t="inlineStr">
        <is>
          <t>Business Runway</t>
        </is>
      </c>
      <c r="G3250" t="inlineStr">
        <is>
          <t>Loan</t>
        </is>
      </c>
      <c r="H3250" t="inlineStr">
        <is>
          <t>Business &gt; Business Runway &gt; Quick Add &gt; Loan</t>
        </is>
      </c>
      <c r="I3250" s="18" t="n">
        <v>67670.58</v>
      </c>
      <c r="J3250" t="inlineStr">
        <is>
          <t>Created MTR-IOS-3249 and correlation note visible in Activity/Pulse</t>
        </is>
      </c>
      <c r="K3250" t="inlineStr">
        <is>
          <t>NOT_RUN</t>
        </is>
      </c>
      <c r="P3250" t="n">
        <v>0</v>
      </c>
      <c r="Q3250" t="n">
        <v>3249</v>
      </c>
    </row>
    <row r="3251">
      <c r="A3251" t="n">
        <v>3250</v>
      </c>
      <c r="B3251" t="inlineStr">
        <is>
          <t>MTR-IOS-3250</t>
        </is>
      </c>
      <c r="C3251" t="inlineStr">
        <is>
          <t>iPhone</t>
        </is>
      </c>
      <c r="D3251" t="inlineStr">
        <is>
          <t>Personal</t>
        </is>
      </c>
      <c r="E3251" t="inlineStr">
        <is>
          <t>Personal</t>
        </is>
      </c>
      <c r="F3251" t="inlineStr">
        <is>
          <t>Life Operations</t>
        </is>
      </c>
      <c r="G3251" t="inlineStr">
        <is>
          <t>Bills</t>
        </is>
      </c>
      <c r="H3251" t="inlineStr">
        <is>
          <t>Personal &gt; Life Operations &gt; Quick Add &gt; Bills</t>
        </is>
      </c>
      <c r="I3251" s="18" t="n">
        <v>16537.54</v>
      </c>
      <c r="J3251" t="inlineStr">
        <is>
          <t>Created MTR-IOS-3250 and correlation note visible in Activity/Pulse</t>
        </is>
      </c>
      <c r="K3251" t="inlineStr">
        <is>
          <t>NOT_RUN</t>
        </is>
      </c>
      <c r="P3251" t="n">
        <v>0</v>
      </c>
      <c r="Q3251" t="n">
        <v>3250</v>
      </c>
    </row>
    <row r="3252">
      <c r="A3252" t="n">
        <v>3251</v>
      </c>
      <c r="B3252" t="inlineStr">
        <is>
          <t>MTR-IOS-3251</t>
        </is>
      </c>
      <c r="C3252" t="inlineStr">
        <is>
          <t>iPhone</t>
        </is>
      </c>
      <c r="D3252" t="inlineStr">
        <is>
          <t>Group</t>
        </is>
      </c>
      <c r="E3252" t="inlineStr">
        <is>
          <t>Shared Living</t>
        </is>
      </c>
      <c r="F3252" t="inlineStr">
        <is>
          <t>Flatmates</t>
        </is>
      </c>
      <c r="G3252" t="inlineStr">
        <is>
          <t>Rent</t>
        </is>
      </c>
      <c r="H3252" t="inlineStr">
        <is>
          <t>Group &gt; Flatmates &gt; Quick Add &gt; Rent</t>
        </is>
      </c>
      <c r="I3252" s="18" t="n">
        <v>6311.45</v>
      </c>
      <c r="J3252" t="inlineStr">
        <is>
          <t>Created MTR-IOS-3251 and correlation note visible in Activity/Pulse</t>
        </is>
      </c>
      <c r="K3252" t="inlineStr">
        <is>
          <t>NOT_RUN</t>
        </is>
      </c>
      <c r="P3252" t="n">
        <v>0</v>
      </c>
      <c r="Q3252" t="n">
        <v>3251</v>
      </c>
    </row>
    <row r="3253">
      <c r="A3253" t="n">
        <v>3252</v>
      </c>
      <c r="B3253" t="inlineStr">
        <is>
          <t>MTR-IOS-3252</t>
        </is>
      </c>
      <c r="C3253" t="inlineStr">
        <is>
          <t>iPhone</t>
        </is>
      </c>
      <c r="D3253" t="inlineStr">
        <is>
          <t>Business</t>
        </is>
      </c>
      <c r="E3253" t="inlineStr">
        <is>
          <t>Business</t>
        </is>
      </c>
      <c r="F3253" t="inlineStr">
        <is>
          <t>Business Runway</t>
        </is>
      </c>
      <c r="G3253" t="inlineStr">
        <is>
          <t>Investment</t>
        </is>
      </c>
      <c r="H3253" t="inlineStr">
        <is>
          <t>Business &gt; Business Runway &gt; Quick Add &gt; Investment</t>
        </is>
      </c>
      <c r="I3253" s="18" t="n">
        <v>92887.24000000001</v>
      </c>
      <c r="J3253" t="inlineStr">
        <is>
          <t>Created MTR-IOS-3252 and correlation note visible in Activity/Pulse</t>
        </is>
      </c>
      <c r="K3253" t="inlineStr">
        <is>
          <t>NOT_RUN</t>
        </is>
      </c>
      <c r="P3253" t="n">
        <v>0</v>
      </c>
      <c r="Q3253" t="n">
        <v>3252</v>
      </c>
    </row>
    <row r="3254">
      <c r="A3254" t="n">
        <v>3253</v>
      </c>
      <c r="B3254" t="inlineStr">
        <is>
          <t>MTR-IOS-3253</t>
        </is>
      </c>
      <c r="C3254" t="inlineStr">
        <is>
          <t>iPhone</t>
        </is>
      </c>
      <c r="D3254" t="inlineStr">
        <is>
          <t>Personal</t>
        </is>
      </c>
      <c r="E3254" t="inlineStr">
        <is>
          <t>Personal</t>
        </is>
      </c>
      <c r="F3254" t="inlineStr">
        <is>
          <t>Life Operations</t>
        </is>
      </c>
      <c r="G3254" t="inlineStr">
        <is>
          <t>Transport</t>
        </is>
      </c>
      <c r="H3254" t="inlineStr">
        <is>
          <t>Personal &gt; Life Operations &gt; Quick Add &gt; Transport</t>
        </is>
      </c>
      <c r="I3254" s="18" t="n">
        <v>4505.99</v>
      </c>
      <c r="J3254" t="inlineStr">
        <is>
          <t>Created MTR-IOS-3253 and correlation note visible in Activity/Pulse</t>
        </is>
      </c>
      <c r="K3254" t="inlineStr">
        <is>
          <t>NOT_RUN</t>
        </is>
      </c>
      <c r="P3254" t="n">
        <v>0</v>
      </c>
      <c r="Q3254" t="n">
        <v>3253</v>
      </c>
    </row>
    <row r="3255">
      <c r="A3255" t="n">
        <v>3254</v>
      </c>
      <c r="B3255" t="inlineStr">
        <is>
          <t>MTR-IOS-3254</t>
        </is>
      </c>
      <c r="C3255" t="inlineStr">
        <is>
          <t>iPhone</t>
        </is>
      </c>
      <c r="D3255" t="inlineStr">
        <is>
          <t>Group</t>
        </is>
      </c>
      <c r="E3255" t="inlineStr">
        <is>
          <t>Shared Living</t>
        </is>
      </c>
      <c r="F3255" t="inlineStr">
        <is>
          <t>Flatmates</t>
        </is>
      </c>
      <c r="G3255" t="inlineStr">
        <is>
          <t>Utilities</t>
        </is>
      </c>
      <c r="H3255" t="inlineStr">
        <is>
          <t>Group &gt; Flatmates &gt; Quick Add &gt; Utilities</t>
        </is>
      </c>
      <c r="I3255" s="18" t="n">
        <v>13150.58</v>
      </c>
      <c r="J3255" t="inlineStr">
        <is>
          <t>Created MTR-IOS-3254 and correlation note visible in Activity/Pulse</t>
        </is>
      </c>
      <c r="K3255" t="inlineStr">
        <is>
          <t>NOT_RUN</t>
        </is>
      </c>
      <c r="P3255" t="n">
        <v>0</v>
      </c>
      <c r="Q3255" t="n">
        <v>3254</v>
      </c>
    </row>
    <row r="3256">
      <c r="A3256" t="n">
        <v>3255</v>
      </c>
      <c r="B3256" t="inlineStr">
        <is>
          <t>MTR-IOS-3255</t>
        </is>
      </c>
      <c r="C3256" t="inlineStr">
        <is>
          <t>iPhone</t>
        </is>
      </c>
      <c r="D3256" t="inlineStr">
        <is>
          <t>Business</t>
        </is>
      </c>
      <c r="E3256" t="inlineStr">
        <is>
          <t>Business</t>
        </is>
      </c>
      <c r="F3256" t="inlineStr">
        <is>
          <t>Business Operations</t>
        </is>
      </c>
      <c r="G3256" t="inlineStr">
        <is>
          <t>Software</t>
        </is>
      </c>
      <c r="H3256" t="inlineStr">
        <is>
          <t>Business &gt; Business Operations &gt; Quick Add &gt; Software</t>
        </is>
      </c>
      <c r="I3256" s="18" t="n">
        <v>55263.01</v>
      </c>
      <c r="J3256" t="inlineStr">
        <is>
          <t>Created MTR-IOS-3255 and correlation note visible in Activity/Pulse</t>
        </is>
      </c>
      <c r="K3256" t="inlineStr">
        <is>
          <t>NOT_RUN</t>
        </is>
      </c>
      <c r="P3256" t="n">
        <v>0</v>
      </c>
      <c r="Q3256" t="n">
        <v>3255</v>
      </c>
    </row>
    <row r="3257">
      <c r="A3257" t="n">
        <v>3256</v>
      </c>
      <c r="B3257" t="inlineStr">
        <is>
          <t>MTR-IOS-3256</t>
        </is>
      </c>
      <c r="C3257" t="inlineStr">
        <is>
          <t>iPhone</t>
        </is>
      </c>
      <c r="D3257" t="inlineStr">
        <is>
          <t>Personal</t>
        </is>
      </c>
      <c r="E3257" t="inlineStr">
        <is>
          <t>Personal</t>
        </is>
      </c>
      <c r="F3257" t="inlineStr">
        <is>
          <t>Life Operations</t>
        </is>
      </c>
      <c r="G3257" t="inlineStr">
        <is>
          <t>Healthcare</t>
        </is>
      </c>
      <c r="H3257" t="inlineStr">
        <is>
          <t>Personal &gt; Life Operations &gt; Quick Add &gt; Healthcare</t>
        </is>
      </c>
      <c r="I3257" s="18" t="n">
        <v>999.99</v>
      </c>
      <c r="J3257" t="inlineStr">
        <is>
          <t>Created MTR-IOS-3256 and correlation note visible in Activity/Pulse</t>
        </is>
      </c>
      <c r="K3257" t="inlineStr">
        <is>
          <t>NOT_RUN</t>
        </is>
      </c>
      <c r="P3257" t="n">
        <v>0</v>
      </c>
      <c r="Q3257" t="n">
        <v>3256</v>
      </c>
    </row>
    <row r="3258">
      <c r="A3258" t="n">
        <v>3257</v>
      </c>
      <c r="B3258" t="inlineStr">
        <is>
          <t>MTR-IOS-3257</t>
        </is>
      </c>
      <c r="C3258" t="inlineStr">
        <is>
          <t>iPhone</t>
        </is>
      </c>
      <c r="D3258" t="inlineStr">
        <is>
          <t>Group</t>
        </is>
      </c>
      <c r="E3258" t="inlineStr">
        <is>
          <t>Shared Living</t>
        </is>
      </c>
      <c r="F3258" t="inlineStr">
        <is>
          <t>Flatmates</t>
        </is>
      </c>
      <c r="G3258" t="inlineStr">
        <is>
          <t>Groceries</t>
        </is>
      </c>
      <c r="H3258" t="inlineStr">
        <is>
          <t>Group &gt; Flatmates &gt; Quick Add &gt; Groceries</t>
        </is>
      </c>
      <c r="I3258" s="18" t="n">
        <v>22654.07</v>
      </c>
      <c r="J3258" t="inlineStr">
        <is>
          <t>Created MTR-IOS-3257 and correlation note visible in Activity/Pulse</t>
        </is>
      </c>
      <c r="K3258" t="inlineStr">
        <is>
          <t>NOT_RUN</t>
        </is>
      </c>
      <c r="P3258" t="n">
        <v>0</v>
      </c>
      <c r="Q3258" t="n">
        <v>3257</v>
      </c>
    </row>
    <row r="3259">
      <c r="A3259" t="n">
        <v>3258</v>
      </c>
      <c r="B3259" t="inlineStr">
        <is>
          <t>MTR-IOS-3258</t>
        </is>
      </c>
      <c r="C3259" t="inlineStr">
        <is>
          <t>iPhone</t>
        </is>
      </c>
      <c r="D3259" t="inlineStr">
        <is>
          <t>Business</t>
        </is>
      </c>
      <c r="E3259" t="inlineStr">
        <is>
          <t>Business</t>
        </is>
      </c>
      <c r="F3259" t="inlineStr">
        <is>
          <t>Business Operations</t>
        </is>
      </c>
      <c r="G3259" t="inlineStr">
        <is>
          <t>Rent</t>
        </is>
      </c>
      <c r="H3259" t="inlineStr">
        <is>
          <t>Business &gt; Business Operations &gt; Quick Add &gt; Rent</t>
        </is>
      </c>
      <c r="I3259" s="18" t="n">
        <v>64855.95</v>
      </c>
      <c r="J3259" t="inlineStr">
        <is>
          <t>Created MTR-IOS-3258 and correlation note visible in Activity/Pulse</t>
        </is>
      </c>
      <c r="K3259" t="inlineStr">
        <is>
          <t>NOT_RUN</t>
        </is>
      </c>
      <c r="P3259" t="n">
        <v>0</v>
      </c>
      <c r="Q3259" t="n">
        <v>3258</v>
      </c>
    </row>
    <row r="3260">
      <c r="A3260" t="n">
        <v>3259</v>
      </c>
      <c r="B3260" t="inlineStr">
        <is>
          <t>MTR-IOS-3259</t>
        </is>
      </c>
      <c r="C3260" t="inlineStr">
        <is>
          <t>iPhone</t>
        </is>
      </c>
      <c r="D3260" t="inlineStr">
        <is>
          <t>Personal</t>
        </is>
      </c>
      <c r="E3260" t="inlineStr">
        <is>
          <t>Personal</t>
        </is>
      </c>
      <c r="F3260" t="inlineStr">
        <is>
          <t>Life Operations</t>
        </is>
      </c>
      <c r="G3260" t="inlineStr">
        <is>
          <t>Subscriptions</t>
        </is>
      </c>
      <c r="H3260" t="inlineStr">
        <is>
          <t>Personal &gt; Life Operations &gt; Quick Add &gt; Subscriptions</t>
        </is>
      </c>
      <c r="I3260" s="18" t="n">
        <v>11866.41</v>
      </c>
      <c r="J3260" t="inlineStr">
        <is>
          <t>Created MTR-IOS-3259 and correlation note visible in Activity/Pulse</t>
        </is>
      </c>
      <c r="K3260" t="inlineStr">
        <is>
          <t>NOT_RUN</t>
        </is>
      </c>
      <c r="P3260" t="n">
        <v>0</v>
      </c>
      <c r="Q3260" t="n">
        <v>3259</v>
      </c>
    </row>
    <row r="3261">
      <c r="A3261" t="n">
        <v>3260</v>
      </c>
      <c r="B3261" t="inlineStr">
        <is>
          <t>MTR-IOS-3260</t>
        </is>
      </c>
      <c r="C3261" t="inlineStr">
        <is>
          <t>iPhone</t>
        </is>
      </c>
      <c r="D3261" t="inlineStr">
        <is>
          <t>Group</t>
        </is>
      </c>
      <c r="E3261" t="inlineStr">
        <is>
          <t>Shared Living</t>
        </is>
      </c>
      <c r="F3261" t="inlineStr">
        <is>
          <t>Flatmates</t>
        </is>
      </c>
      <c r="G3261" t="inlineStr">
        <is>
          <t>Internet</t>
        </is>
      </c>
      <c r="H3261" t="inlineStr">
        <is>
          <t>Group &gt; Flatmates &gt; Quick Add &gt; Internet</t>
        </is>
      </c>
      <c r="I3261" s="18" t="n">
        <v>18442.98</v>
      </c>
      <c r="J3261" t="inlineStr">
        <is>
          <t>Created MTR-IOS-3260 and correlation note visible in Activity/Pulse</t>
        </is>
      </c>
      <c r="K3261" t="inlineStr">
        <is>
          <t>NOT_RUN</t>
        </is>
      </c>
      <c r="P3261" t="n">
        <v>0</v>
      </c>
      <c r="Q3261" t="n">
        <v>3260</v>
      </c>
    </row>
    <row r="3262">
      <c r="A3262" t="n">
        <v>3261</v>
      </c>
      <c r="B3262" t="inlineStr">
        <is>
          <t>MTR-IOS-3261</t>
        </is>
      </c>
      <c r="C3262" t="inlineStr">
        <is>
          <t>iPhone</t>
        </is>
      </c>
      <c r="D3262" t="inlineStr">
        <is>
          <t>Business</t>
        </is>
      </c>
      <c r="E3262" t="inlineStr">
        <is>
          <t>Business</t>
        </is>
      </c>
      <c r="F3262" t="inlineStr">
        <is>
          <t>Business Operations</t>
        </is>
      </c>
      <c r="G3262" t="inlineStr">
        <is>
          <t>Marketing</t>
        </is>
      </c>
      <c r="H3262" t="inlineStr">
        <is>
          <t>Business &gt; Business Operations &gt; Quick Add &gt; Marketing</t>
        </is>
      </c>
      <c r="I3262" s="18" t="n">
        <v>38132.29</v>
      </c>
      <c r="J3262" t="inlineStr">
        <is>
          <t>Created MTR-IOS-3261 and correlation note visible in Activity/Pulse</t>
        </is>
      </c>
      <c r="K3262" t="inlineStr">
        <is>
          <t>NOT_RUN</t>
        </is>
      </c>
      <c r="P3262" t="n">
        <v>0</v>
      </c>
      <c r="Q3262" t="n">
        <v>3261</v>
      </c>
    </row>
    <row r="3263">
      <c r="A3263" t="n">
        <v>3262</v>
      </c>
      <c r="B3263" t="inlineStr">
        <is>
          <t>MTR-IOS-3262</t>
        </is>
      </c>
      <c r="C3263" t="inlineStr">
        <is>
          <t>iPhone</t>
        </is>
      </c>
      <c r="D3263" t="inlineStr">
        <is>
          <t>Personal</t>
        </is>
      </c>
      <c r="E3263" t="inlineStr">
        <is>
          <t>Personal</t>
        </is>
      </c>
      <c r="F3263" t="inlineStr">
        <is>
          <t>Life Operations</t>
        </is>
      </c>
      <c r="G3263" t="inlineStr">
        <is>
          <t>Repairs</t>
        </is>
      </c>
      <c r="H3263" t="inlineStr">
        <is>
          <t>Personal &gt; Life Operations &gt; Quick Add &gt; Repairs</t>
        </is>
      </c>
      <c r="I3263" s="18" t="n">
        <v>9533.709999999999</v>
      </c>
      <c r="J3263" t="inlineStr">
        <is>
          <t>Created MTR-IOS-3262 and correlation note visible in Activity/Pulse</t>
        </is>
      </c>
      <c r="K3263" t="inlineStr">
        <is>
          <t>NOT_RUN</t>
        </is>
      </c>
      <c r="P3263" t="n">
        <v>0</v>
      </c>
      <c r="Q3263" t="n">
        <v>3262</v>
      </c>
    </row>
    <row r="3264">
      <c r="A3264" t="n">
        <v>3263</v>
      </c>
      <c r="B3264" t="inlineStr">
        <is>
          <t>MTR-IOS-3263</t>
        </is>
      </c>
      <c r="C3264" t="inlineStr">
        <is>
          <t>iPhone</t>
        </is>
      </c>
      <c r="D3264" t="inlineStr">
        <is>
          <t>Group</t>
        </is>
      </c>
      <c r="E3264" t="inlineStr">
        <is>
          <t>Shared Living</t>
        </is>
      </c>
      <c r="F3264" t="inlineStr">
        <is>
          <t>Flatmates</t>
        </is>
      </c>
      <c r="G3264" t="inlineStr">
        <is>
          <t>House Supplies</t>
        </is>
      </c>
      <c r="H3264" t="inlineStr">
        <is>
          <t>Group &gt; Flatmates &gt; Quick Add &gt; House Supplies</t>
        </is>
      </c>
      <c r="I3264" s="18" t="n">
        <v>24687.29</v>
      </c>
      <c r="J3264" t="inlineStr">
        <is>
          <t>Created MTR-IOS-3263 and correlation note visible in Activity/Pulse</t>
        </is>
      </c>
      <c r="K3264" t="inlineStr">
        <is>
          <t>NOT_RUN</t>
        </is>
      </c>
      <c r="P3264" t="n">
        <v>0</v>
      </c>
      <c r="Q3264" t="n">
        <v>3263</v>
      </c>
    </row>
    <row r="3265">
      <c r="A3265" t="n">
        <v>3264</v>
      </c>
      <c r="B3265" t="inlineStr">
        <is>
          <t>MTR-IOS-3264</t>
        </is>
      </c>
      <c r="C3265" t="inlineStr">
        <is>
          <t>iPhone</t>
        </is>
      </c>
      <c r="D3265" t="inlineStr">
        <is>
          <t>Business</t>
        </is>
      </c>
      <c r="E3265" t="inlineStr">
        <is>
          <t>Business</t>
        </is>
      </c>
      <c r="F3265" t="inlineStr">
        <is>
          <t>Business Operations</t>
        </is>
      </c>
      <c r="G3265" t="inlineStr">
        <is>
          <t>Legal</t>
        </is>
      </c>
      <c r="H3265" t="inlineStr">
        <is>
          <t>Business &gt; Business Operations &gt; Quick Add &gt; Legal</t>
        </is>
      </c>
      <c r="I3265" s="18" t="n">
        <v>86479.91</v>
      </c>
      <c r="J3265" t="inlineStr">
        <is>
          <t>Created MTR-IOS-3264 and correlation note visible in Activity/Pulse</t>
        </is>
      </c>
      <c r="K3265" t="inlineStr">
        <is>
          <t>NOT_RUN</t>
        </is>
      </c>
      <c r="P3265" t="n">
        <v>0</v>
      </c>
      <c r="Q3265" t="n">
        <v>3264</v>
      </c>
    </row>
    <row r="3266">
      <c r="A3266" t="n">
        <v>3265</v>
      </c>
      <c r="B3266" t="inlineStr">
        <is>
          <t>MTR-IOS-3265</t>
        </is>
      </c>
      <c r="C3266" t="inlineStr">
        <is>
          <t>iPhone</t>
        </is>
      </c>
      <c r="D3266" t="inlineStr">
        <is>
          <t>Personal</t>
        </is>
      </c>
      <c r="E3266" t="inlineStr">
        <is>
          <t>Personal</t>
        </is>
      </c>
      <c r="F3266" t="inlineStr">
        <is>
          <t>Future Building</t>
        </is>
      </c>
      <c r="G3266" t="inlineStr">
        <is>
          <t>Savings</t>
        </is>
      </c>
      <c r="H3266" t="inlineStr">
        <is>
          <t>Personal &gt; Future Building &gt; Quick Add &gt; Savings</t>
        </is>
      </c>
      <c r="I3266" s="18" t="n">
        <v>17223.94</v>
      </c>
      <c r="J3266" t="inlineStr">
        <is>
          <t>Created MTR-IOS-3265 and correlation note visible in Activity/Pulse</t>
        </is>
      </c>
      <c r="K3266" t="inlineStr">
        <is>
          <t>NOT_RUN</t>
        </is>
      </c>
      <c r="P3266" t="n">
        <v>0</v>
      </c>
      <c r="Q3266" t="n">
        <v>3265</v>
      </c>
    </row>
    <row r="3267">
      <c r="A3267" t="n">
        <v>3266</v>
      </c>
      <c r="B3267" t="inlineStr">
        <is>
          <t>MTR-IOS-3266</t>
        </is>
      </c>
      <c r="C3267" t="inlineStr">
        <is>
          <t>iPhone</t>
        </is>
      </c>
      <c r="D3267" t="inlineStr">
        <is>
          <t>Group</t>
        </is>
      </c>
      <c r="E3267" t="inlineStr">
        <is>
          <t>Shared Living</t>
        </is>
      </c>
      <c r="F3267" t="inlineStr">
        <is>
          <t>Flatmates</t>
        </is>
      </c>
      <c r="G3267" t="inlineStr">
        <is>
          <t>Repairs</t>
        </is>
      </c>
      <c r="H3267" t="inlineStr">
        <is>
          <t>Group &gt; Flatmates &gt; Quick Add &gt; Repairs</t>
        </is>
      </c>
      <c r="I3267" s="18" t="n">
        <v>24639.83</v>
      </c>
      <c r="J3267" t="inlineStr">
        <is>
          <t>Created MTR-IOS-3266 and correlation note visible in Activity/Pulse</t>
        </is>
      </c>
      <c r="K3267" t="inlineStr">
        <is>
          <t>NOT_RUN</t>
        </is>
      </c>
      <c r="P3267" t="n">
        <v>0</v>
      </c>
      <c r="Q3267" t="n">
        <v>3266</v>
      </c>
    </row>
    <row r="3268">
      <c r="A3268" t="n">
        <v>3267</v>
      </c>
      <c r="B3268" t="inlineStr">
        <is>
          <t>MTR-IOS-3267</t>
        </is>
      </c>
      <c r="C3268" t="inlineStr">
        <is>
          <t>iPhone</t>
        </is>
      </c>
      <c r="D3268" t="inlineStr">
        <is>
          <t>Business</t>
        </is>
      </c>
      <c r="E3268" t="inlineStr">
        <is>
          <t>Business</t>
        </is>
      </c>
      <c r="F3268" t="inlineStr">
        <is>
          <t>Business Operations</t>
        </is>
      </c>
      <c r="G3268" t="inlineStr">
        <is>
          <t>Accounting</t>
        </is>
      </c>
      <c r="H3268" t="inlineStr">
        <is>
          <t>Business &gt; Business Operations &gt; Quick Add &gt; Accounting</t>
        </is>
      </c>
      <c r="I3268" s="18" t="n">
        <v>71064.37</v>
      </c>
      <c r="J3268" t="inlineStr">
        <is>
          <t>Created MTR-IOS-3267 and correlation note visible in Activity/Pulse</t>
        </is>
      </c>
      <c r="K3268" t="inlineStr">
        <is>
          <t>NOT_RUN</t>
        </is>
      </c>
      <c r="P3268" t="n">
        <v>0</v>
      </c>
      <c r="Q3268" t="n">
        <v>3267</v>
      </c>
    </row>
    <row r="3269">
      <c r="A3269" t="n">
        <v>3268</v>
      </c>
      <c r="B3269" t="inlineStr">
        <is>
          <t>MTR-IOS-3268</t>
        </is>
      </c>
      <c r="C3269" t="inlineStr">
        <is>
          <t>iPhone</t>
        </is>
      </c>
      <c r="D3269" t="inlineStr">
        <is>
          <t>Personal</t>
        </is>
      </c>
      <c r="E3269" t="inlineStr">
        <is>
          <t>Personal</t>
        </is>
      </c>
      <c r="F3269" t="inlineStr">
        <is>
          <t>Future Building</t>
        </is>
      </c>
      <c r="G3269" t="inlineStr">
        <is>
          <t>Emergency Fund</t>
        </is>
      </c>
      <c r="H3269" t="inlineStr">
        <is>
          <t>Personal &gt; Future Building &gt; Quick Add &gt; Emergency Fund</t>
        </is>
      </c>
      <c r="I3269" s="18" t="n">
        <v>14859.56</v>
      </c>
      <c r="J3269" t="inlineStr">
        <is>
          <t>Created MTR-IOS-3268 and correlation note visible in Activity/Pulse</t>
        </is>
      </c>
      <c r="K3269" t="inlineStr">
        <is>
          <t>NOT_RUN</t>
        </is>
      </c>
      <c r="P3269" t="n">
        <v>0</v>
      </c>
      <c r="Q3269" t="n">
        <v>3268</v>
      </c>
    </row>
    <row r="3270">
      <c r="A3270" t="n">
        <v>3269</v>
      </c>
      <c r="B3270" t="inlineStr">
        <is>
          <t>MTR-IOS-3269</t>
        </is>
      </c>
      <c r="C3270" t="inlineStr">
        <is>
          <t>iPhone</t>
        </is>
      </c>
      <c r="D3270" t="inlineStr">
        <is>
          <t>Group</t>
        </is>
      </c>
      <c r="E3270" t="inlineStr">
        <is>
          <t>Shared Living</t>
        </is>
      </c>
      <c r="F3270" t="inlineStr">
        <is>
          <t>Shared Living</t>
        </is>
      </c>
      <c r="G3270" t="inlineStr">
        <is>
          <t>Rent</t>
        </is>
      </c>
      <c r="H3270" t="inlineStr">
        <is>
          <t>Group &gt; Shared Living &gt; Quick Add &gt; Rent</t>
        </is>
      </c>
      <c r="I3270" s="18" t="n">
        <v>12304.03</v>
      </c>
      <c r="J3270" t="inlineStr">
        <is>
          <t>Created MTR-IOS-3269 and correlation note visible in Activity/Pulse</t>
        </is>
      </c>
      <c r="K3270" t="inlineStr">
        <is>
          <t>NOT_RUN</t>
        </is>
      </c>
      <c r="P3270" t="n">
        <v>0</v>
      </c>
      <c r="Q3270" t="n">
        <v>3269</v>
      </c>
    </row>
    <row r="3271">
      <c r="A3271" t="n">
        <v>3270</v>
      </c>
      <c r="B3271" t="inlineStr">
        <is>
          <t>MTR-IOS-3270</t>
        </is>
      </c>
      <c r="C3271" t="inlineStr">
        <is>
          <t>iPhone</t>
        </is>
      </c>
      <c r="D3271" t="inlineStr">
        <is>
          <t>Business</t>
        </is>
      </c>
      <c r="E3271" t="inlineStr">
        <is>
          <t>Business</t>
        </is>
      </c>
      <c r="F3271" t="inlineStr">
        <is>
          <t>Business Operations</t>
        </is>
      </c>
      <c r="G3271" t="inlineStr">
        <is>
          <t>Equipment</t>
        </is>
      </c>
      <c r="H3271" t="inlineStr">
        <is>
          <t>Business &gt; Business Operations &gt; Quick Add &gt; Equipment</t>
        </is>
      </c>
      <c r="I3271" s="18" t="n">
        <v>80111.42</v>
      </c>
      <c r="J3271" t="inlineStr">
        <is>
          <t>Created MTR-IOS-3270 and correlation note visible in Activity/Pulse</t>
        </is>
      </c>
      <c r="K3271" t="inlineStr">
        <is>
          <t>NOT_RUN</t>
        </is>
      </c>
      <c r="P3271" t="n">
        <v>0</v>
      </c>
      <c r="Q3271" t="n">
        <v>3270</v>
      </c>
    </row>
    <row r="3272">
      <c r="A3272" t="n">
        <v>3271</v>
      </c>
      <c r="B3272" t="inlineStr">
        <is>
          <t>MTR-IOS-3271</t>
        </is>
      </c>
      <c r="C3272" t="inlineStr">
        <is>
          <t>iPhone</t>
        </is>
      </c>
      <c r="D3272" t="inlineStr">
        <is>
          <t>Personal</t>
        </is>
      </c>
      <c r="E3272" t="inlineStr">
        <is>
          <t>Personal</t>
        </is>
      </c>
      <c r="F3272" t="inlineStr">
        <is>
          <t>Future Building</t>
        </is>
      </c>
      <c r="G3272" t="inlineStr">
        <is>
          <t>Investments</t>
        </is>
      </c>
      <c r="H3272" t="inlineStr">
        <is>
          <t>Personal &gt; Future Building &gt; Quick Add &gt; Investments</t>
        </is>
      </c>
      <c r="I3272" s="18" t="n">
        <v>17665.86</v>
      </c>
      <c r="J3272" t="inlineStr">
        <is>
          <t>Created MTR-IOS-3271 and correlation note visible in Activity/Pulse</t>
        </is>
      </c>
      <c r="K3272" t="inlineStr">
        <is>
          <t>NOT_RUN</t>
        </is>
      </c>
      <c r="P3272" t="n">
        <v>0</v>
      </c>
      <c r="Q3272" t="n">
        <v>3271</v>
      </c>
    </row>
    <row r="3273">
      <c r="A3273" t="n">
        <v>3272</v>
      </c>
      <c r="B3273" t="inlineStr">
        <is>
          <t>MTR-IOS-3272</t>
        </is>
      </c>
      <c r="C3273" t="inlineStr">
        <is>
          <t>iPhone</t>
        </is>
      </c>
      <c r="D3273" t="inlineStr">
        <is>
          <t>Group</t>
        </is>
      </c>
      <c r="E3273" t="inlineStr">
        <is>
          <t>Shared Living</t>
        </is>
      </c>
      <c r="F3273" t="inlineStr">
        <is>
          <t>Shared Living</t>
        </is>
      </c>
      <c r="G3273" t="inlineStr">
        <is>
          <t>Utilities</t>
        </is>
      </c>
      <c r="H3273" t="inlineStr">
        <is>
          <t>Group &gt; Shared Living &gt; Quick Add &gt; Utilities</t>
        </is>
      </c>
      <c r="I3273" s="18" t="n">
        <v>14471.12</v>
      </c>
      <c r="J3273" t="inlineStr">
        <is>
          <t>Created MTR-IOS-3272 and correlation note visible in Activity/Pulse</t>
        </is>
      </c>
      <c r="K3273" t="inlineStr">
        <is>
          <t>NOT_RUN</t>
        </is>
      </c>
      <c r="P3273" t="n">
        <v>0</v>
      </c>
      <c r="Q3273" t="n">
        <v>3272</v>
      </c>
    </row>
    <row r="3274">
      <c r="A3274" t="n">
        <v>3273</v>
      </c>
      <c r="B3274" t="inlineStr">
        <is>
          <t>MTR-IOS-3273</t>
        </is>
      </c>
      <c r="C3274" t="inlineStr">
        <is>
          <t>iPhone</t>
        </is>
      </c>
      <c r="D3274" t="inlineStr">
        <is>
          <t>Business</t>
        </is>
      </c>
      <c r="E3274" t="inlineStr">
        <is>
          <t>Business</t>
        </is>
      </c>
      <c r="F3274" t="inlineStr">
        <is>
          <t>Business Operations</t>
        </is>
      </c>
      <c r="G3274" t="inlineStr">
        <is>
          <t>Vendor</t>
        </is>
      </c>
      <c r="H3274" t="inlineStr">
        <is>
          <t>Business &gt; Business Operations &gt; Quick Add &gt; Vendor</t>
        </is>
      </c>
      <c r="I3274" s="18" t="n">
        <v>9026.110000000001</v>
      </c>
      <c r="J3274" t="inlineStr">
        <is>
          <t>Created MTR-IOS-3273 and correlation note visible in Activity/Pulse</t>
        </is>
      </c>
      <c r="K3274" t="inlineStr">
        <is>
          <t>NOT_RUN</t>
        </is>
      </c>
      <c r="P3274" t="n">
        <v>0</v>
      </c>
      <c r="Q3274" t="n">
        <v>3273</v>
      </c>
    </row>
    <row r="3275">
      <c r="A3275" t="n">
        <v>3274</v>
      </c>
      <c r="B3275" t="inlineStr">
        <is>
          <t>MTR-IOS-3274</t>
        </is>
      </c>
      <c r="C3275" t="inlineStr">
        <is>
          <t>iPhone</t>
        </is>
      </c>
      <c r="D3275" t="inlineStr">
        <is>
          <t>Personal</t>
        </is>
      </c>
      <c r="E3275" t="inlineStr">
        <is>
          <t>Personal</t>
        </is>
      </c>
      <c r="F3275" t="inlineStr">
        <is>
          <t>Future Building</t>
        </is>
      </c>
      <c r="G3275" t="inlineStr">
        <is>
          <t>Education</t>
        </is>
      </c>
      <c r="H3275" t="inlineStr">
        <is>
          <t>Personal &gt; Future Building &gt; Quick Add &gt; Education</t>
        </is>
      </c>
      <c r="I3275" s="18" t="n">
        <v>15817.43</v>
      </c>
      <c r="J3275" t="inlineStr">
        <is>
          <t>Created MTR-IOS-3274 and correlation note visible in Activity/Pulse</t>
        </is>
      </c>
      <c r="K3275" t="inlineStr">
        <is>
          <t>NOT_RUN</t>
        </is>
      </c>
      <c r="P3275" t="n">
        <v>0</v>
      </c>
      <c r="Q3275" t="n">
        <v>3274</v>
      </c>
    </row>
    <row r="3276">
      <c r="A3276" t="n">
        <v>3275</v>
      </c>
      <c r="B3276" t="inlineStr">
        <is>
          <t>MTR-IOS-3275</t>
        </is>
      </c>
      <c r="C3276" t="inlineStr">
        <is>
          <t>iPhone</t>
        </is>
      </c>
      <c r="D3276" t="inlineStr">
        <is>
          <t>Group</t>
        </is>
      </c>
      <c r="E3276" t="inlineStr">
        <is>
          <t>Shared Living</t>
        </is>
      </c>
      <c r="F3276" t="inlineStr">
        <is>
          <t>Shared Living</t>
        </is>
      </c>
      <c r="G3276" t="inlineStr">
        <is>
          <t>Groceries</t>
        </is>
      </c>
      <c r="H3276" t="inlineStr">
        <is>
          <t>Group &gt; Shared Living &gt; Quick Add &gt; Groceries</t>
        </is>
      </c>
      <c r="I3276" s="18" t="n">
        <v>24554.47</v>
      </c>
      <c r="J3276" t="inlineStr">
        <is>
          <t>Created MTR-IOS-3275 and correlation note visible in Activity/Pulse</t>
        </is>
      </c>
      <c r="K3276" t="inlineStr">
        <is>
          <t>NOT_RUN</t>
        </is>
      </c>
      <c r="P3276" t="n">
        <v>0</v>
      </c>
      <c r="Q3276" t="n">
        <v>3275</v>
      </c>
    </row>
    <row r="3277">
      <c r="A3277" t="n">
        <v>3276</v>
      </c>
      <c r="B3277" t="inlineStr">
        <is>
          <t>MTR-IOS-3276</t>
        </is>
      </c>
      <c r="C3277" t="inlineStr">
        <is>
          <t>iPhone</t>
        </is>
      </c>
      <c r="D3277" t="inlineStr">
        <is>
          <t>Business</t>
        </is>
      </c>
      <c r="E3277" t="inlineStr">
        <is>
          <t>Business</t>
        </is>
      </c>
      <c r="F3277" t="inlineStr">
        <is>
          <t>Business Operations</t>
        </is>
      </c>
      <c r="G3277" t="inlineStr">
        <is>
          <t>Tax</t>
        </is>
      </c>
      <c r="H3277" t="inlineStr">
        <is>
          <t>Business &gt; Business Operations &gt; Quick Add &gt; Tax</t>
        </is>
      </c>
      <c r="I3277" s="18" t="n">
        <v>120961.99</v>
      </c>
      <c r="J3277" t="inlineStr">
        <is>
          <t>Created MTR-IOS-3276 and correlation note visible in Activity/Pulse</t>
        </is>
      </c>
      <c r="K3277" t="inlineStr">
        <is>
          <t>NOT_RUN</t>
        </is>
      </c>
      <c r="P3277" t="n">
        <v>0</v>
      </c>
      <c r="Q3277" t="n">
        <v>3276</v>
      </c>
    </row>
    <row r="3278">
      <c r="A3278" t="n">
        <v>3277</v>
      </c>
      <c r="B3278" t="inlineStr">
        <is>
          <t>MTR-IOS-3277</t>
        </is>
      </c>
      <c r="C3278" t="inlineStr">
        <is>
          <t>iPhone</t>
        </is>
      </c>
      <c r="D3278" t="inlineStr">
        <is>
          <t>Personal</t>
        </is>
      </c>
      <c r="E3278" t="inlineStr">
        <is>
          <t>Personal</t>
        </is>
      </c>
      <c r="F3278" t="inlineStr">
        <is>
          <t>Future Building</t>
        </is>
      </c>
      <c r="G3278" t="inlineStr">
        <is>
          <t>Goal Contribution</t>
        </is>
      </c>
      <c r="H3278" t="inlineStr">
        <is>
          <t>Personal &gt; Future Building &gt; Quick Add &gt; Goal Contribution</t>
        </is>
      </c>
      <c r="I3278" s="18" t="n">
        <v>324.81</v>
      </c>
      <c r="J3278" t="inlineStr">
        <is>
          <t>Created MTR-IOS-3277 and correlation note visible in Activity/Pulse</t>
        </is>
      </c>
      <c r="K3278" t="inlineStr">
        <is>
          <t>NOT_RUN</t>
        </is>
      </c>
      <c r="P3278" t="n">
        <v>0</v>
      </c>
      <c r="Q3278" t="n">
        <v>3277</v>
      </c>
    </row>
    <row r="3279">
      <c r="A3279" t="n">
        <v>3278</v>
      </c>
      <c r="B3279" t="inlineStr">
        <is>
          <t>MTR-IOS-3278</t>
        </is>
      </c>
      <c r="C3279" t="inlineStr">
        <is>
          <t>iPhone</t>
        </is>
      </c>
      <c r="D3279" t="inlineStr">
        <is>
          <t>Group</t>
        </is>
      </c>
      <c r="E3279" t="inlineStr">
        <is>
          <t>Shared Living</t>
        </is>
      </c>
      <c r="F3279" t="inlineStr">
        <is>
          <t>Shared Living</t>
        </is>
      </c>
      <c r="G3279" t="inlineStr">
        <is>
          <t>Maintenance</t>
        </is>
      </c>
      <c r="H3279" t="inlineStr">
        <is>
          <t>Group &gt; Shared Living &gt; Quick Add &gt; Maintenance</t>
        </is>
      </c>
      <c r="I3279" s="18" t="n">
        <v>5425.95</v>
      </c>
      <c r="J3279" t="inlineStr">
        <is>
          <t>Created MTR-IOS-3278 and correlation note visible in Activity/Pulse</t>
        </is>
      </c>
      <c r="K3279" t="inlineStr">
        <is>
          <t>NOT_RUN</t>
        </is>
      </c>
      <c r="P3279" t="n">
        <v>0</v>
      </c>
      <c r="Q3279" t="n">
        <v>3278</v>
      </c>
    </row>
    <row r="3280">
      <c r="A3280" t="n">
        <v>3279</v>
      </c>
      <c r="B3280" t="inlineStr">
        <is>
          <t>MTR-IOS-3279</t>
        </is>
      </c>
      <c r="C3280" t="inlineStr">
        <is>
          <t>iPhone</t>
        </is>
      </c>
      <c r="D3280" t="inlineStr">
        <is>
          <t>Business</t>
        </is>
      </c>
      <c r="E3280" t="inlineStr">
        <is>
          <t>Business</t>
        </is>
      </c>
      <c r="F3280" t="inlineStr">
        <is>
          <t>Team Operations</t>
        </is>
      </c>
      <c r="G3280" t="inlineStr">
        <is>
          <t>Payroll</t>
        </is>
      </c>
      <c r="H3280" t="inlineStr">
        <is>
          <t>Business &gt; Team Operations &gt; Quick Add &gt; Payroll</t>
        </is>
      </c>
      <c r="I3280" s="18" t="n">
        <v>50324.11</v>
      </c>
      <c r="J3280" t="inlineStr">
        <is>
          <t>Created MTR-IOS-3279 and correlation note visible in Activity/Pulse</t>
        </is>
      </c>
      <c r="K3280" t="inlineStr">
        <is>
          <t>NOT_RUN</t>
        </is>
      </c>
      <c r="P3280" t="n">
        <v>0</v>
      </c>
      <c r="Q3280" t="n">
        <v>3279</v>
      </c>
    </row>
    <row r="3281">
      <c r="A3281" t="n">
        <v>3280</v>
      </c>
      <c r="B3281" t="inlineStr">
        <is>
          <t>MTR-IOS-3280</t>
        </is>
      </c>
      <c r="C3281" t="inlineStr">
        <is>
          <t>iPhone</t>
        </is>
      </c>
      <c r="D3281" t="inlineStr">
        <is>
          <t>Personal</t>
        </is>
      </c>
      <c r="E3281" t="inlineStr">
        <is>
          <t>Personal</t>
        </is>
      </c>
      <c r="F3281" t="inlineStr">
        <is>
          <t>Lifestyle</t>
        </is>
      </c>
      <c r="G3281" t="inlineStr">
        <is>
          <t>Dining</t>
        </is>
      </c>
      <c r="H3281" t="inlineStr">
        <is>
          <t>Personal &gt; Lifestyle &gt; Quick Add &gt; Dining</t>
        </is>
      </c>
      <c r="I3281" s="18" t="n">
        <v>3242.27</v>
      </c>
      <c r="J3281" t="inlineStr">
        <is>
          <t>Created MTR-IOS-3280 and correlation note visible in Activity/Pulse</t>
        </is>
      </c>
      <c r="K3281" t="inlineStr">
        <is>
          <t>NOT_RUN</t>
        </is>
      </c>
      <c r="P3281" t="n">
        <v>0</v>
      </c>
      <c r="Q3281" t="n">
        <v>3280</v>
      </c>
    </row>
    <row r="3282">
      <c r="A3282" t="n">
        <v>3281</v>
      </c>
      <c r="B3282" t="inlineStr">
        <is>
          <t>MTR-IOS-3281</t>
        </is>
      </c>
      <c r="C3282" t="inlineStr">
        <is>
          <t>iPhone</t>
        </is>
      </c>
      <c r="D3282" t="inlineStr">
        <is>
          <t>Group</t>
        </is>
      </c>
      <c r="E3282" t="inlineStr">
        <is>
          <t>Shared Living</t>
        </is>
      </c>
      <c r="F3282" t="inlineStr">
        <is>
          <t>Shared Living</t>
        </is>
      </c>
      <c r="G3282" t="inlineStr">
        <is>
          <t>Other</t>
        </is>
      </c>
      <c r="H3282" t="inlineStr">
        <is>
          <t>Group &gt; Shared Living &gt; Quick Add &gt; Other</t>
        </is>
      </c>
      <c r="I3282" s="18" t="n">
        <v>15292.58</v>
      </c>
      <c r="J3282" t="inlineStr">
        <is>
          <t>Created MTR-IOS-3281 and correlation note visible in Activity/Pulse</t>
        </is>
      </c>
      <c r="K3282" t="inlineStr">
        <is>
          <t>NOT_RUN</t>
        </is>
      </c>
      <c r="P3282" t="n">
        <v>0</v>
      </c>
      <c r="Q3282" t="n">
        <v>3281</v>
      </c>
    </row>
    <row r="3283">
      <c r="A3283" t="n">
        <v>3282</v>
      </c>
      <c r="B3283" t="inlineStr">
        <is>
          <t>MTR-IOS-3282</t>
        </is>
      </c>
      <c r="C3283" t="inlineStr">
        <is>
          <t>iPhone</t>
        </is>
      </c>
      <c r="D3283" t="inlineStr">
        <is>
          <t>Business</t>
        </is>
      </c>
      <c r="E3283" t="inlineStr">
        <is>
          <t>Business</t>
        </is>
      </c>
      <c r="F3283" t="inlineStr">
        <is>
          <t>Team Operations</t>
        </is>
      </c>
      <c r="G3283" t="inlineStr">
        <is>
          <t>Contractor</t>
        </is>
      </c>
      <c r="H3283" t="inlineStr">
        <is>
          <t>Business &gt; Team Operations &gt; Quick Add &gt; Contractor</t>
        </is>
      </c>
      <c r="I3283" s="18" t="n">
        <v>23884.3</v>
      </c>
      <c r="J3283" t="inlineStr">
        <is>
          <t>Created MTR-IOS-3282 and correlation note visible in Activity/Pulse</t>
        </is>
      </c>
      <c r="K3283" t="inlineStr">
        <is>
          <t>NOT_RUN</t>
        </is>
      </c>
      <c r="P3283" t="n">
        <v>0</v>
      </c>
      <c r="Q3283" t="n">
        <v>3282</v>
      </c>
    </row>
    <row r="3284">
      <c r="A3284" t="n">
        <v>3283</v>
      </c>
      <c r="B3284" t="inlineStr">
        <is>
          <t>MTR-IOS-3283</t>
        </is>
      </c>
      <c r="C3284" t="inlineStr">
        <is>
          <t>iPhone</t>
        </is>
      </c>
      <c r="D3284" t="inlineStr">
        <is>
          <t>Personal</t>
        </is>
      </c>
      <c r="E3284" t="inlineStr">
        <is>
          <t>Personal</t>
        </is>
      </c>
      <c r="F3284" t="inlineStr">
        <is>
          <t>Lifestyle</t>
        </is>
      </c>
      <c r="G3284" t="inlineStr">
        <is>
          <t>Shopping</t>
        </is>
      </c>
      <c r="H3284" t="inlineStr">
        <is>
          <t>Personal &gt; Lifestyle &gt; Quick Add &gt; Shopping</t>
        </is>
      </c>
      <c r="I3284" s="18" t="n">
        <v>14232.16</v>
      </c>
      <c r="J3284" t="inlineStr">
        <is>
          <t>Created MTR-IOS-3283 and correlation note visible in Activity/Pulse</t>
        </is>
      </c>
      <c r="K3284" t="inlineStr">
        <is>
          <t>NOT_RUN</t>
        </is>
      </c>
      <c r="P3284" t="n">
        <v>0</v>
      </c>
      <c r="Q3284" t="n">
        <v>3283</v>
      </c>
    </row>
    <row r="3285">
      <c r="A3285" t="n">
        <v>3284</v>
      </c>
      <c r="B3285" t="inlineStr">
        <is>
          <t>MTR-IOS-3284</t>
        </is>
      </c>
      <c r="C3285" t="inlineStr">
        <is>
          <t>iPhone</t>
        </is>
      </c>
      <c r="D3285" t="inlineStr">
        <is>
          <t>Group</t>
        </is>
      </c>
      <c r="E3285" t="inlineStr">
        <is>
          <t>Shared Living</t>
        </is>
      </c>
      <c r="F3285" t="inlineStr">
        <is>
          <t>Family Household</t>
        </is>
      </c>
      <c r="G3285" t="inlineStr">
        <is>
          <t>Groceries</t>
        </is>
      </c>
      <c r="H3285" t="inlineStr">
        <is>
          <t>Group &gt; Family Household &gt; Quick Add &gt; Groceries</t>
        </is>
      </c>
      <c r="I3285" s="18" t="n">
        <v>19395.02</v>
      </c>
      <c r="J3285" t="inlineStr">
        <is>
          <t>Created MTR-IOS-3284 and correlation note visible in Activity/Pulse</t>
        </is>
      </c>
      <c r="K3285" t="inlineStr">
        <is>
          <t>NOT_RUN</t>
        </is>
      </c>
      <c r="P3285" t="n">
        <v>0</v>
      </c>
      <c r="Q3285" t="n">
        <v>3284</v>
      </c>
    </row>
    <row r="3286">
      <c r="A3286" t="n">
        <v>3285</v>
      </c>
      <c r="B3286" t="inlineStr">
        <is>
          <t>MTR-IOS-3285</t>
        </is>
      </c>
      <c r="C3286" t="inlineStr">
        <is>
          <t>iPhone</t>
        </is>
      </c>
      <c r="D3286" t="inlineStr">
        <is>
          <t>Business</t>
        </is>
      </c>
      <c r="E3286" t="inlineStr">
        <is>
          <t>Business</t>
        </is>
      </c>
      <c r="F3286" t="inlineStr">
        <is>
          <t>Team Operations</t>
        </is>
      </c>
      <c r="G3286" t="inlineStr">
        <is>
          <t>Hiring</t>
        </is>
      </c>
      <c r="H3286" t="inlineStr">
        <is>
          <t>Business &gt; Team Operations &gt; Quick Add &gt; Hiring</t>
        </is>
      </c>
      <c r="I3286" s="18" t="n">
        <v>106765.48</v>
      </c>
      <c r="J3286" t="inlineStr">
        <is>
          <t>Created MTR-IOS-3285 and correlation note visible in Activity/Pulse</t>
        </is>
      </c>
      <c r="K3286" t="inlineStr">
        <is>
          <t>NOT_RUN</t>
        </is>
      </c>
      <c r="P3286" t="n">
        <v>0</v>
      </c>
      <c r="Q3286" t="n">
        <v>3285</v>
      </c>
    </row>
    <row r="3287">
      <c r="A3287" t="n">
        <v>3286</v>
      </c>
      <c r="B3287" t="inlineStr">
        <is>
          <t>MTR-IOS-3286</t>
        </is>
      </c>
      <c r="C3287" t="inlineStr">
        <is>
          <t>iPhone</t>
        </is>
      </c>
      <c r="D3287" t="inlineStr">
        <is>
          <t>Personal</t>
        </is>
      </c>
      <c r="E3287" t="inlineStr">
        <is>
          <t>Personal</t>
        </is>
      </c>
      <c r="F3287" t="inlineStr">
        <is>
          <t>Lifestyle</t>
        </is>
      </c>
      <c r="G3287" t="inlineStr">
        <is>
          <t>Entertainment</t>
        </is>
      </c>
      <c r="H3287" t="inlineStr">
        <is>
          <t>Personal &gt; Lifestyle &gt; Quick Add &gt; Entertainment</t>
        </is>
      </c>
      <c r="I3287" s="18" t="n">
        <v>7431.27</v>
      </c>
      <c r="J3287" t="inlineStr">
        <is>
          <t>Created MTR-IOS-3286 and correlation note visible in Activity/Pulse</t>
        </is>
      </c>
      <c r="K3287" t="inlineStr">
        <is>
          <t>NOT_RUN</t>
        </is>
      </c>
      <c r="P3287" t="n">
        <v>0</v>
      </c>
      <c r="Q3287" t="n">
        <v>3286</v>
      </c>
    </row>
    <row r="3288">
      <c r="A3288" t="n">
        <v>3287</v>
      </c>
      <c r="B3288" t="inlineStr">
        <is>
          <t>MTR-IOS-3287</t>
        </is>
      </c>
      <c r="C3288" t="inlineStr">
        <is>
          <t>iPhone</t>
        </is>
      </c>
      <c r="D3288" t="inlineStr">
        <is>
          <t>Group</t>
        </is>
      </c>
      <c r="E3288" t="inlineStr">
        <is>
          <t>Shared Living</t>
        </is>
      </c>
      <c r="F3288" t="inlineStr">
        <is>
          <t>Family Household</t>
        </is>
      </c>
      <c r="G3288" t="inlineStr">
        <is>
          <t>Bills</t>
        </is>
      </c>
      <c r="H3288" t="inlineStr">
        <is>
          <t>Group &gt; Family Household &gt; Quick Add &gt; Bills</t>
        </is>
      </c>
      <c r="I3288" s="18" t="n">
        <v>17910.75</v>
      </c>
      <c r="J3288" t="inlineStr">
        <is>
          <t>Created MTR-IOS-3287 and correlation note visible in Activity/Pulse</t>
        </is>
      </c>
      <c r="K3288" t="inlineStr">
        <is>
          <t>NOT_RUN</t>
        </is>
      </c>
      <c r="P3288" t="n">
        <v>0</v>
      </c>
      <c r="Q3288" t="n">
        <v>3287</v>
      </c>
    </row>
    <row r="3289">
      <c r="A3289" t="n">
        <v>3288</v>
      </c>
      <c r="B3289" t="inlineStr">
        <is>
          <t>MTR-IOS-3288</t>
        </is>
      </c>
      <c r="C3289" t="inlineStr">
        <is>
          <t>iPhone</t>
        </is>
      </c>
      <c r="D3289" t="inlineStr">
        <is>
          <t>Business</t>
        </is>
      </c>
      <c r="E3289" t="inlineStr">
        <is>
          <t>Business</t>
        </is>
      </c>
      <c r="F3289" t="inlineStr">
        <is>
          <t>Team Operations</t>
        </is>
      </c>
      <c r="G3289" t="inlineStr">
        <is>
          <t>Team Meal</t>
        </is>
      </c>
      <c r="H3289" t="inlineStr">
        <is>
          <t>Business &gt; Team Operations &gt; Quick Add &gt; Team Meal</t>
        </is>
      </c>
      <c r="I3289" s="18" t="n">
        <v>35409.12</v>
      </c>
      <c r="J3289" t="inlineStr">
        <is>
          <t>Created MTR-IOS-3288 and correlation note visible in Activity/Pulse</t>
        </is>
      </c>
      <c r="K3289" t="inlineStr">
        <is>
          <t>NOT_RUN</t>
        </is>
      </c>
      <c r="P3289" t="n">
        <v>0</v>
      </c>
      <c r="Q3289" t="n">
        <v>3288</v>
      </c>
    </row>
    <row r="3290">
      <c r="A3290" t="n">
        <v>3289</v>
      </c>
      <c r="B3290" t="inlineStr">
        <is>
          <t>MTR-IOS-3289</t>
        </is>
      </c>
      <c r="C3290" t="inlineStr">
        <is>
          <t>iPhone</t>
        </is>
      </c>
      <c r="D3290" t="inlineStr">
        <is>
          <t>Personal</t>
        </is>
      </c>
      <c r="E3290" t="inlineStr">
        <is>
          <t>Personal</t>
        </is>
      </c>
      <c r="F3290" t="inlineStr">
        <is>
          <t>Lifestyle</t>
        </is>
      </c>
      <c r="G3290" t="inlineStr">
        <is>
          <t>Travel</t>
        </is>
      </c>
      <c r="H3290" t="inlineStr">
        <is>
          <t>Personal &gt; Lifestyle &gt; Quick Add &gt; Travel</t>
        </is>
      </c>
      <c r="I3290" s="18" t="n">
        <v>2750.38</v>
      </c>
      <c r="J3290" t="inlineStr">
        <is>
          <t>Created MTR-IOS-3289 and correlation note visible in Activity/Pulse</t>
        </is>
      </c>
      <c r="K3290" t="inlineStr">
        <is>
          <t>NOT_RUN</t>
        </is>
      </c>
      <c r="P3290" t="n">
        <v>0</v>
      </c>
      <c r="Q3290" t="n">
        <v>3289</v>
      </c>
    </row>
    <row r="3291">
      <c r="A3291" t="n">
        <v>3290</v>
      </c>
      <c r="B3291" t="inlineStr">
        <is>
          <t>MTR-IOS-3290</t>
        </is>
      </c>
      <c r="C3291" t="inlineStr">
        <is>
          <t>iPhone</t>
        </is>
      </c>
      <c r="D3291" t="inlineStr">
        <is>
          <t>Group</t>
        </is>
      </c>
      <c r="E3291" t="inlineStr">
        <is>
          <t>Shared Living</t>
        </is>
      </c>
      <c r="F3291" t="inlineStr">
        <is>
          <t>Family Household</t>
        </is>
      </c>
      <c r="G3291" t="inlineStr">
        <is>
          <t>School</t>
        </is>
      </c>
      <c r="H3291" t="inlineStr">
        <is>
          <t>Group &gt; Family Household &gt; Quick Add &gt; School</t>
        </is>
      </c>
      <c r="I3291" s="18" t="n">
        <v>20868.58</v>
      </c>
      <c r="J3291" t="inlineStr">
        <is>
          <t>Created MTR-IOS-3290 and correlation note visible in Activity/Pulse</t>
        </is>
      </c>
      <c r="K3291" t="inlineStr">
        <is>
          <t>NOT_RUN</t>
        </is>
      </c>
      <c r="P3291" t="n">
        <v>0</v>
      </c>
      <c r="Q3291" t="n">
        <v>3290</v>
      </c>
    </row>
    <row r="3292">
      <c r="A3292" t="n">
        <v>3291</v>
      </c>
      <c r="B3292" t="inlineStr">
        <is>
          <t>MTR-IOS-3291</t>
        </is>
      </c>
      <c r="C3292" t="inlineStr">
        <is>
          <t>iPhone</t>
        </is>
      </c>
      <c r="D3292" t="inlineStr">
        <is>
          <t>Business</t>
        </is>
      </c>
      <c r="E3292" t="inlineStr">
        <is>
          <t>Business</t>
        </is>
      </c>
      <c r="F3292" t="inlineStr">
        <is>
          <t>Team Operations</t>
        </is>
      </c>
      <c r="G3292" t="inlineStr">
        <is>
          <t>Travel</t>
        </is>
      </c>
      <c r="H3292" t="inlineStr">
        <is>
          <t>Business &gt; Team Operations &gt; Quick Add &gt; Travel</t>
        </is>
      </c>
      <c r="I3292" s="18" t="n">
        <v>137626.29</v>
      </c>
      <c r="J3292" t="inlineStr">
        <is>
          <t>Created MTR-IOS-3291 and correlation note visible in Activity/Pulse</t>
        </is>
      </c>
      <c r="K3292" t="inlineStr">
        <is>
          <t>NOT_RUN</t>
        </is>
      </c>
      <c r="P3292" t="n">
        <v>0</v>
      </c>
      <c r="Q3292" t="n">
        <v>3291</v>
      </c>
    </row>
    <row r="3293">
      <c r="A3293" t="n">
        <v>3292</v>
      </c>
      <c r="B3293" t="inlineStr">
        <is>
          <t>MTR-IOS-3292</t>
        </is>
      </c>
      <c r="C3293" t="inlineStr">
        <is>
          <t>iPhone</t>
        </is>
      </c>
      <c r="D3293" t="inlineStr">
        <is>
          <t>Personal</t>
        </is>
      </c>
      <c r="E3293" t="inlineStr">
        <is>
          <t>Personal</t>
        </is>
      </c>
      <c r="F3293" t="inlineStr">
        <is>
          <t>Lifestyle</t>
        </is>
      </c>
      <c r="G3293" t="inlineStr">
        <is>
          <t>Fitness</t>
        </is>
      </c>
      <c r="H3293" t="inlineStr">
        <is>
          <t>Personal &gt; Lifestyle &gt; Quick Add &gt; Fitness</t>
        </is>
      </c>
      <c r="I3293" s="18" t="n">
        <v>6546.08</v>
      </c>
      <c r="J3293" t="inlineStr">
        <is>
          <t>Created MTR-IOS-3292 and correlation note visible in Activity/Pulse</t>
        </is>
      </c>
      <c r="K3293" t="inlineStr">
        <is>
          <t>NOT_RUN</t>
        </is>
      </c>
      <c r="P3293" t="n">
        <v>0</v>
      </c>
      <c r="Q3293" t="n">
        <v>3292</v>
      </c>
    </row>
    <row r="3294">
      <c r="A3294" t="n">
        <v>3293</v>
      </c>
      <c r="B3294" t="inlineStr">
        <is>
          <t>MTR-IOS-3293</t>
        </is>
      </c>
      <c r="C3294" t="inlineStr">
        <is>
          <t>iPhone</t>
        </is>
      </c>
      <c r="D3294" t="inlineStr">
        <is>
          <t>Group</t>
        </is>
      </c>
      <c r="E3294" t="inlineStr">
        <is>
          <t>Shared Living</t>
        </is>
      </c>
      <c r="F3294" t="inlineStr">
        <is>
          <t>Family Household</t>
        </is>
      </c>
      <c r="G3294" t="inlineStr">
        <is>
          <t>Healthcare</t>
        </is>
      </c>
      <c r="H3294" t="inlineStr">
        <is>
          <t>Group &gt; Family Household &gt; Quick Add &gt; Healthcare</t>
        </is>
      </c>
      <c r="I3294" s="18" t="n">
        <v>10000</v>
      </c>
      <c r="J3294" t="inlineStr">
        <is>
          <t>Created MTR-IOS-3293 and correlation note visible in Activity/Pulse</t>
        </is>
      </c>
      <c r="K3294" t="inlineStr">
        <is>
          <t>NOT_RUN</t>
        </is>
      </c>
      <c r="P3294" t="n">
        <v>0</v>
      </c>
      <c r="Q3294" t="n">
        <v>3293</v>
      </c>
    </row>
    <row r="3295">
      <c r="A3295" t="n">
        <v>3294</v>
      </c>
      <c r="B3295" t="inlineStr">
        <is>
          <t>MTR-IOS-3294</t>
        </is>
      </c>
      <c r="C3295" t="inlineStr">
        <is>
          <t>iPhone</t>
        </is>
      </c>
      <c r="D3295" t="inlineStr">
        <is>
          <t>Business</t>
        </is>
      </c>
      <c r="E3295" t="inlineStr">
        <is>
          <t>Business</t>
        </is>
      </c>
      <c r="F3295" t="inlineStr">
        <is>
          <t>Team Operations</t>
        </is>
      </c>
      <c r="G3295" t="inlineStr">
        <is>
          <t>Training</t>
        </is>
      </c>
      <c r="H3295" t="inlineStr">
        <is>
          <t>Business &gt; Team Operations &gt; Quick Add &gt; Training</t>
        </is>
      </c>
      <c r="I3295" s="18" t="n">
        <v>132056.99</v>
      </c>
      <c r="J3295" t="inlineStr">
        <is>
          <t>Created MTR-IOS-3294 and correlation note visible in Activity/Pulse</t>
        </is>
      </c>
      <c r="K3295" t="inlineStr">
        <is>
          <t>NOT_RUN</t>
        </is>
      </c>
      <c r="P3295" t="n">
        <v>0</v>
      </c>
      <c r="Q3295" t="n">
        <v>3294</v>
      </c>
    </row>
    <row r="3296">
      <c r="A3296" t="n">
        <v>3295</v>
      </c>
      <c r="B3296" t="inlineStr">
        <is>
          <t>MTR-IOS-3295</t>
        </is>
      </c>
      <c r="C3296" t="inlineStr">
        <is>
          <t>iPhone</t>
        </is>
      </c>
      <c r="D3296" t="inlineStr">
        <is>
          <t>Personal</t>
        </is>
      </c>
      <c r="E3296" t="inlineStr">
        <is>
          <t>Personal</t>
        </is>
      </c>
      <c r="F3296" t="inlineStr">
        <is>
          <t>Lifestyle</t>
        </is>
      </c>
      <c r="G3296" t="inlineStr">
        <is>
          <t>Hobbies</t>
        </is>
      </c>
      <c r="H3296" t="inlineStr">
        <is>
          <t>Personal &gt; Lifestyle &gt; Quick Add &gt; Hobbies</t>
        </is>
      </c>
      <c r="I3296" s="18" t="n">
        <v>702.16</v>
      </c>
      <c r="J3296" t="inlineStr">
        <is>
          <t>Created MTR-IOS-3295 and correlation note visible in Activity/Pulse</t>
        </is>
      </c>
      <c r="K3296" t="inlineStr">
        <is>
          <t>NOT_RUN</t>
        </is>
      </c>
      <c r="P3296" t="n">
        <v>0</v>
      </c>
      <c r="Q3296" t="n">
        <v>3295</v>
      </c>
    </row>
    <row r="3297">
      <c r="A3297" t="n">
        <v>3296</v>
      </c>
      <c r="B3297" t="inlineStr">
        <is>
          <t>MTR-IOS-3296</t>
        </is>
      </c>
      <c r="C3297" t="inlineStr">
        <is>
          <t>iPhone</t>
        </is>
      </c>
      <c r="D3297" t="inlineStr">
        <is>
          <t>Group</t>
        </is>
      </c>
      <c r="E3297" t="inlineStr">
        <is>
          <t>Shared Living</t>
        </is>
      </c>
      <c r="F3297" t="inlineStr">
        <is>
          <t>Family Household</t>
        </is>
      </c>
      <c r="G3297" t="inlineStr">
        <is>
          <t>Home</t>
        </is>
      </c>
      <c r="H3297" t="inlineStr">
        <is>
          <t>Group &gt; Family Household &gt; Quick Add &gt; Home</t>
        </is>
      </c>
      <c r="I3297" s="18" t="n">
        <v>3562.26</v>
      </c>
      <c r="J3297" t="inlineStr">
        <is>
          <t>Created MTR-IOS-3296 and correlation note visible in Activity/Pulse</t>
        </is>
      </c>
      <c r="K3297" t="inlineStr">
        <is>
          <t>NOT_RUN</t>
        </is>
      </c>
      <c r="P3297" t="n">
        <v>0</v>
      </c>
      <c r="Q3297" t="n">
        <v>3296</v>
      </c>
    </row>
    <row r="3298">
      <c r="A3298" t="n">
        <v>3297</v>
      </c>
      <c r="B3298" t="inlineStr">
        <is>
          <t>MTR-IOS-3297</t>
        </is>
      </c>
      <c r="C3298" t="inlineStr">
        <is>
          <t>iPhone</t>
        </is>
      </c>
      <c r="D3298" t="inlineStr">
        <is>
          <t>Business</t>
        </is>
      </c>
      <c r="E3298" t="inlineStr">
        <is>
          <t>Business</t>
        </is>
      </c>
      <c r="F3298" t="inlineStr">
        <is>
          <t>Team Operations</t>
        </is>
      </c>
      <c r="G3298" t="inlineStr">
        <is>
          <t>Tools</t>
        </is>
      </c>
      <c r="H3298" t="inlineStr">
        <is>
          <t>Business &gt; Team Operations &gt; Quick Add &gt; Tools</t>
        </is>
      </c>
      <c r="I3298" s="18" t="n">
        <v>93317.32000000001</v>
      </c>
      <c r="J3298" t="inlineStr">
        <is>
          <t>Created MTR-IOS-3297 and correlation note visible in Activity/Pulse</t>
        </is>
      </c>
      <c r="K3298" t="inlineStr">
        <is>
          <t>NOT_RUN</t>
        </is>
      </c>
      <c r="P3298" t="n">
        <v>0</v>
      </c>
      <c r="Q3298" t="n">
        <v>3297</v>
      </c>
    </row>
    <row r="3299">
      <c r="A3299" t="n">
        <v>3298</v>
      </c>
      <c r="B3299" t="inlineStr">
        <is>
          <t>MTR-IOS-3298</t>
        </is>
      </c>
      <c r="C3299" t="inlineStr">
        <is>
          <t>iPhone</t>
        </is>
      </c>
      <c r="D3299" t="inlineStr">
        <is>
          <t>Personal</t>
        </is>
      </c>
      <c r="E3299" t="inlineStr">
        <is>
          <t>Personal</t>
        </is>
      </c>
      <c r="F3299" t="inlineStr">
        <is>
          <t>Relationships</t>
        </is>
      </c>
      <c r="G3299" t="inlineStr">
        <is>
          <t>Gifts</t>
        </is>
      </c>
      <c r="H3299" t="inlineStr">
        <is>
          <t>Personal &gt; Relationships &gt; Quick Add &gt; Gifts</t>
        </is>
      </c>
      <c r="I3299" s="18" t="n">
        <v>15665.98</v>
      </c>
      <c r="J3299" t="inlineStr">
        <is>
          <t>Created MTR-IOS-3298 and correlation note visible in Activity/Pulse</t>
        </is>
      </c>
      <c r="K3299" t="inlineStr">
        <is>
          <t>NOT_RUN</t>
        </is>
      </c>
      <c r="P3299" t="n">
        <v>0</v>
      </c>
      <c r="Q3299" t="n">
        <v>3298</v>
      </c>
    </row>
    <row r="3300">
      <c r="A3300" t="n">
        <v>3299</v>
      </c>
      <c r="B3300" t="inlineStr">
        <is>
          <t>MTR-IOS-3299</t>
        </is>
      </c>
      <c r="C3300" t="inlineStr">
        <is>
          <t>iPhone</t>
        </is>
      </c>
      <c r="D3300" t="inlineStr">
        <is>
          <t>Group</t>
        </is>
      </c>
      <c r="E3300" t="inlineStr">
        <is>
          <t>Shared Living</t>
        </is>
      </c>
      <c r="F3300" t="inlineStr">
        <is>
          <t>Family Household</t>
        </is>
      </c>
      <c r="G3300" t="inlineStr">
        <is>
          <t>Other</t>
        </is>
      </c>
      <c r="H3300" t="inlineStr">
        <is>
          <t>Group &gt; Family Household &gt; Quick Add &gt; Other</t>
        </is>
      </c>
      <c r="I3300" s="18" t="n">
        <v>5750.63</v>
      </c>
      <c r="J3300" t="inlineStr">
        <is>
          <t>Created MTR-IOS-3299 and correlation note visible in Activity/Pulse</t>
        </is>
      </c>
      <c r="K3300" t="inlineStr">
        <is>
          <t>NOT_RUN</t>
        </is>
      </c>
      <c r="P3300" t="n">
        <v>0</v>
      </c>
      <c r="Q3300" t="n">
        <v>3299</v>
      </c>
    </row>
    <row r="3301">
      <c r="A3301" t="n">
        <v>3300</v>
      </c>
      <c r="B3301" t="inlineStr">
        <is>
          <t>MTR-IOS-3300</t>
        </is>
      </c>
      <c r="C3301" t="inlineStr">
        <is>
          <t>iPhone</t>
        </is>
      </c>
      <c r="D3301" t="inlineStr">
        <is>
          <t>Business</t>
        </is>
      </c>
      <c r="E3301" t="inlineStr">
        <is>
          <t>Business</t>
        </is>
      </c>
      <c r="F3301" t="inlineStr">
        <is>
          <t>Business Runway</t>
        </is>
      </c>
      <c r="G3301" t="inlineStr">
        <is>
          <t>Funding</t>
        </is>
      </c>
      <c r="H3301" t="inlineStr">
        <is>
          <t>Business &gt; Business Runway &gt; Quick Add &gt; Funding</t>
        </is>
      </c>
      <c r="I3301" s="18" t="n">
        <v>51674.77</v>
      </c>
      <c r="J3301" t="inlineStr">
        <is>
          <t>Created MTR-IOS-3300 and correlation note visible in Activity/Pulse</t>
        </is>
      </c>
      <c r="K3301" t="inlineStr">
        <is>
          <t>NOT_RUN</t>
        </is>
      </c>
      <c r="P3301" t="n">
        <v>0</v>
      </c>
      <c r="Q3301" t="n">
        <v>3300</v>
      </c>
    </row>
    <row r="3302">
      <c r="A3302" t="n">
        <v>3301</v>
      </c>
      <c r="B3302" t="inlineStr">
        <is>
          <t>MTR-IOS-3301</t>
        </is>
      </c>
      <c r="C3302" t="inlineStr">
        <is>
          <t>iPhone</t>
        </is>
      </c>
      <c r="D3302" t="inlineStr">
        <is>
          <t>Personal</t>
        </is>
      </c>
      <c r="E3302" t="inlineStr">
        <is>
          <t>Personal</t>
        </is>
      </c>
      <c r="F3302" t="inlineStr">
        <is>
          <t>Relationships</t>
        </is>
      </c>
      <c r="G3302" t="inlineStr">
        <is>
          <t>Dates</t>
        </is>
      </c>
      <c r="H3302" t="inlineStr">
        <is>
          <t>Personal &gt; Relationships &gt; Quick Add &gt; Dates</t>
        </is>
      </c>
      <c r="I3302" s="18" t="n">
        <v>2019.01</v>
      </c>
      <c r="J3302" t="inlineStr">
        <is>
          <t>Created MTR-IOS-3301 and correlation note visible in Activity/Pulse</t>
        </is>
      </c>
      <c r="K3302" t="inlineStr">
        <is>
          <t>NOT_RUN</t>
        </is>
      </c>
      <c r="P3302" t="n">
        <v>0</v>
      </c>
      <c r="Q3302" t="n">
        <v>3301</v>
      </c>
    </row>
    <row r="3303">
      <c r="A3303" t="n">
        <v>3302</v>
      </c>
      <c r="B3303" t="inlineStr">
        <is>
          <t>MTR-IOS-3302</t>
        </is>
      </c>
      <c r="C3303" t="inlineStr">
        <is>
          <t>iPhone</t>
        </is>
      </c>
      <c r="D3303" t="inlineStr">
        <is>
          <t>Group</t>
        </is>
      </c>
      <c r="E3303" t="inlineStr">
        <is>
          <t>Shared Living</t>
        </is>
      </c>
      <c r="F3303" t="inlineStr">
        <is>
          <t>Custom Living</t>
        </is>
      </c>
      <c r="G3303" t="inlineStr">
        <is>
          <t>Custom Expense</t>
        </is>
      </c>
      <c r="H3303" t="inlineStr">
        <is>
          <t>Group &gt; Custom Living &gt; Quick Add &gt; Custom Expense</t>
        </is>
      </c>
      <c r="I3303" s="18" t="n">
        <v>8584.709999999999</v>
      </c>
      <c r="J3303" t="inlineStr">
        <is>
          <t>Created MTR-IOS-3302 and correlation note visible in Activity/Pulse</t>
        </is>
      </c>
      <c r="K3303" t="inlineStr">
        <is>
          <t>NOT_RUN</t>
        </is>
      </c>
      <c r="P3303" t="n">
        <v>0</v>
      </c>
      <c r="Q3303" t="n">
        <v>3302</v>
      </c>
    </row>
    <row r="3304">
      <c r="A3304" t="n">
        <v>3303</v>
      </c>
      <c r="B3304" t="inlineStr">
        <is>
          <t>MTR-IOS-3303</t>
        </is>
      </c>
      <c r="C3304" t="inlineStr">
        <is>
          <t>iPhone</t>
        </is>
      </c>
      <c r="D3304" t="inlineStr">
        <is>
          <t>Business</t>
        </is>
      </c>
      <c r="E3304" t="inlineStr">
        <is>
          <t>Business</t>
        </is>
      </c>
      <c r="F3304" t="inlineStr">
        <is>
          <t>Business Runway</t>
        </is>
      </c>
      <c r="G3304" t="inlineStr">
        <is>
          <t>Revenue</t>
        </is>
      </c>
      <c r="H3304" t="inlineStr">
        <is>
          <t>Business &gt; Business Runway &gt; Quick Add &gt; Revenue</t>
        </is>
      </c>
      <c r="I3304" s="18" t="n">
        <v>96948.85000000001</v>
      </c>
      <c r="J3304" t="inlineStr">
        <is>
          <t>Created MTR-IOS-3303 and correlation note visible in Activity/Pulse</t>
        </is>
      </c>
      <c r="K3304" t="inlineStr">
        <is>
          <t>NOT_RUN</t>
        </is>
      </c>
      <c r="P3304" t="n">
        <v>0</v>
      </c>
      <c r="Q3304" t="n">
        <v>3303</v>
      </c>
    </row>
    <row r="3305">
      <c r="A3305" t="n">
        <v>3304</v>
      </c>
      <c r="B3305" t="inlineStr">
        <is>
          <t>MTR-IOS-3304</t>
        </is>
      </c>
      <c r="C3305" t="inlineStr">
        <is>
          <t>iPhone</t>
        </is>
      </c>
      <c r="D3305" t="inlineStr">
        <is>
          <t>Personal</t>
        </is>
      </c>
      <c r="E3305" t="inlineStr">
        <is>
          <t>Personal</t>
        </is>
      </c>
      <c r="F3305" t="inlineStr">
        <is>
          <t>Relationships</t>
        </is>
      </c>
      <c r="G3305" t="inlineStr">
        <is>
          <t>Family</t>
        </is>
      </c>
      <c r="H3305" t="inlineStr">
        <is>
          <t>Personal &gt; Relationships &gt; Quick Add &gt; Family</t>
        </is>
      </c>
      <c r="I3305" s="18" t="n">
        <v>6009.66</v>
      </c>
      <c r="J3305" t="inlineStr">
        <is>
          <t>Created MTR-IOS-3304 and correlation note visible in Activity/Pulse</t>
        </is>
      </c>
      <c r="K3305" t="inlineStr">
        <is>
          <t>NOT_RUN</t>
        </is>
      </c>
      <c r="P3305" t="n">
        <v>0</v>
      </c>
      <c r="Q3305" t="n">
        <v>3304</v>
      </c>
    </row>
    <row r="3306">
      <c r="A3306" t="n">
        <v>3305</v>
      </c>
      <c r="B3306" t="inlineStr">
        <is>
          <t>MTR-IOS-3305</t>
        </is>
      </c>
      <c r="C3306" t="inlineStr">
        <is>
          <t>iPhone</t>
        </is>
      </c>
      <c r="D3306" t="inlineStr">
        <is>
          <t>Group</t>
        </is>
      </c>
      <c r="E3306" t="inlineStr">
        <is>
          <t>Shared Living</t>
        </is>
      </c>
      <c r="F3306" t="inlineStr">
        <is>
          <t>Custom Living</t>
        </is>
      </c>
      <c r="G3306" t="inlineStr">
        <is>
          <t>Custom Contribution</t>
        </is>
      </c>
      <c r="H3306" t="inlineStr">
        <is>
          <t>Group &gt; Custom Living &gt; Quick Add &gt; Custom Contribution</t>
        </is>
      </c>
      <c r="I3306" s="18" t="n">
        <v>7655.86</v>
      </c>
      <c r="J3306" t="inlineStr">
        <is>
          <t>Created MTR-IOS-3305 and correlation note visible in Activity/Pulse</t>
        </is>
      </c>
      <c r="K3306" t="inlineStr">
        <is>
          <t>NOT_RUN</t>
        </is>
      </c>
      <c r="P3306" t="n">
        <v>0</v>
      </c>
      <c r="Q3306" t="n">
        <v>3305</v>
      </c>
    </row>
    <row r="3307">
      <c r="A3307" t="n">
        <v>3306</v>
      </c>
      <c r="B3307" t="inlineStr">
        <is>
          <t>MTR-IOS-3306</t>
        </is>
      </c>
      <c r="C3307" t="inlineStr">
        <is>
          <t>iPhone</t>
        </is>
      </c>
      <c r="D3307" t="inlineStr">
        <is>
          <t>Business</t>
        </is>
      </c>
      <c r="E3307" t="inlineStr">
        <is>
          <t>Business</t>
        </is>
      </c>
      <c r="F3307" t="inlineStr">
        <is>
          <t>Business Runway</t>
        </is>
      </c>
      <c r="G3307" t="inlineStr">
        <is>
          <t>Burn</t>
        </is>
      </c>
      <c r="H3307" t="inlineStr">
        <is>
          <t>Business &gt; Business Runway &gt; Quick Add &gt; Burn</t>
        </is>
      </c>
      <c r="I3307" s="18" t="n">
        <v>153777.97</v>
      </c>
      <c r="J3307" t="inlineStr">
        <is>
          <t>Created MTR-IOS-3306 and correlation note visible in Activity/Pulse</t>
        </is>
      </c>
      <c r="K3307" t="inlineStr">
        <is>
          <t>NOT_RUN</t>
        </is>
      </c>
      <c r="P3307" t="n">
        <v>0</v>
      </c>
      <c r="Q3307" t="n">
        <v>3306</v>
      </c>
    </row>
    <row r="3308">
      <c r="A3308" t="n">
        <v>3307</v>
      </c>
      <c r="B3308" t="inlineStr">
        <is>
          <t>MTR-IOS-3307</t>
        </is>
      </c>
      <c r="C3308" t="inlineStr">
        <is>
          <t>iPhone</t>
        </is>
      </c>
      <c r="D3308" t="inlineStr">
        <is>
          <t>Personal</t>
        </is>
      </c>
      <c r="E3308" t="inlineStr">
        <is>
          <t>Personal</t>
        </is>
      </c>
      <c r="F3308" t="inlineStr">
        <is>
          <t>Relationships</t>
        </is>
      </c>
      <c r="G3308" t="inlineStr">
        <is>
          <t>Friends</t>
        </is>
      </c>
      <c r="H3308" t="inlineStr">
        <is>
          <t>Personal &gt; Relationships &gt; Quick Add &gt; Friends</t>
        </is>
      </c>
      <c r="I3308" s="18" t="n">
        <v>14279.91</v>
      </c>
      <c r="J3308" t="inlineStr">
        <is>
          <t>Created MTR-IOS-3307 and correlation note visible in Activity/Pulse</t>
        </is>
      </c>
      <c r="K3308" t="inlineStr">
        <is>
          <t>NOT_RUN</t>
        </is>
      </c>
      <c r="P3308" t="n">
        <v>0</v>
      </c>
      <c r="Q3308" t="n">
        <v>3307</v>
      </c>
    </row>
    <row r="3309">
      <c r="A3309" t="n">
        <v>3308</v>
      </c>
      <c r="B3309" t="inlineStr">
        <is>
          <t>MTR-IOS-3308</t>
        </is>
      </c>
      <c r="C3309" t="inlineStr">
        <is>
          <t>iPhone</t>
        </is>
      </c>
      <c r="D3309" t="inlineStr">
        <is>
          <t>Group</t>
        </is>
      </c>
      <c r="E3309" t="inlineStr">
        <is>
          <t>Shared Experience</t>
        </is>
      </c>
      <c r="F3309" t="inlineStr">
        <is>
          <t>Trip</t>
        </is>
      </c>
      <c r="G3309" t="inlineStr">
        <is>
          <t>Travel</t>
        </is>
      </c>
      <c r="H3309" t="inlineStr">
        <is>
          <t>Group &gt; Trip &gt; Quick Add &gt; Travel</t>
        </is>
      </c>
      <c r="I3309" s="18" t="n">
        <v>18952.46</v>
      </c>
      <c r="J3309" t="inlineStr">
        <is>
          <t>Created MTR-IOS-3308 and correlation note visible in Activity/Pulse</t>
        </is>
      </c>
      <c r="K3309" t="inlineStr">
        <is>
          <t>NOT_RUN</t>
        </is>
      </c>
      <c r="P3309" t="n">
        <v>0</v>
      </c>
      <c r="Q3309" t="n">
        <v>3308</v>
      </c>
    </row>
    <row r="3310">
      <c r="A3310" t="n">
        <v>3309</v>
      </c>
      <c r="B3310" t="inlineStr">
        <is>
          <t>MTR-IOS-3309</t>
        </is>
      </c>
      <c r="C3310" t="inlineStr">
        <is>
          <t>iPhone</t>
        </is>
      </c>
      <c r="D3310" t="inlineStr">
        <is>
          <t>Business</t>
        </is>
      </c>
      <c r="E3310" t="inlineStr">
        <is>
          <t>Business</t>
        </is>
      </c>
      <c r="F3310" t="inlineStr">
        <is>
          <t>Business Runway</t>
        </is>
      </c>
      <c r="G3310" t="inlineStr">
        <is>
          <t>Reserve</t>
        </is>
      </c>
      <c r="H3310" t="inlineStr">
        <is>
          <t>Business &gt; Business Runway &gt; Quick Add &gt; Reserve</t>
        </is>
      </c>
      <c r="I3310" s="18" t="n">
        <v>158182.89</v>
      </c>
      <c r="J3310" t="inlineStr">
        <is>
          <t>Created MTR-IOS-3309 and correlation note visible in Activity/Pulse</t>
        </is>
      </c>
      <c r="K3310" t="inlineStr">
        <is>
          <t>NOT_RUN</t>
        </is>
      </c>
      <c r="P3310" t="n">
        <v>0</v>
      </c>
      <c r="Q3310" t="n">
        <v>3309</v>
      </c>
    </row>
    <row r="3311">
      <c r="A3311" t="n">
        <v>3310</v>
      </c>
      <c r="B3311" t="inlineStr">
        <is>
          <t>MTR-IOS-3310</t>
        </is>
      </c>
      <c r="C3311" t="inlineStr">
        <is>
          <t>iPhone</t>
        </is>
      </c>
      <c r="D3311" t="inlineStr">
        <is>
          <t>Personal</t>
        </is>
      </c>
      <c r="E3311" t="inlineStr">
        <is>
          <t>Personal</t>
        </is>
      </c>
      <c r="F3311" t="inlineStr">
        <is>
          <t>Relationships</t>
        </is>
      </c>
      <c r="G3311" t="inlineStr">
        <is>
          <t>Celebrations</t>
        </is>
      </c>
      <c r="H3311" t="inlineStr">
        <is>
          <t>Personal &gt; Relationships &gt; Quick Add &gt; Celebrations</t>
        </is>
      </c>
      <c r="I3311" s="18" t="n">
        <v>15323.51</v>
      </c>
      <c r="J3311" t="inlineStr">
        <is>
          <t>Created MTR-IOS-3310 and correlation note visible in Activity/Pulse</t>
        </is>
      </c>
      <c r="K3311" t="inlineStr">
        <is>
          <t>NOT_RUN</t>
        </is>
      </c>
      <c r="P3311" t="n">
        <v>0</v>
      </c>
      <c r="Q3311" t="n">
        <v>3310</v>
      </c>
    </row>
    <row r="3312">
      <c r="A3312" t="n">
        <v>3311</v>
      </c>
      <c r="B3312" t="inlineStr">
        <is>
          <t>MTR-IOS-3311</t>
        </is>
      </c>
      <c r="C3312" t="inlineStr">
        <is>
          <t>iPhone</t>
        </is>
      </c>
      <c r="D3312" t="inlineStr">
        <is>
          <t>Group</t>
        </is>
      </c>
      <c r="E3312" t="inlineStr">
        <is>
          <t>Shared Experience</t>
        </is>
      </c>
      <c r="F3312" t="inlineStr">
        <is>
          <t>Trip</t>
        </is>
      </c>
      <c r="G3312" t="inlineStr">
        <is>
          <t>Stay</t>
        </is>
      </c>
      <c r="H3312" t="inlineStr">
        <is>
          <t>Group &gt; Trip &gt; Quick Add &gt; Stay</t>
        </is>
      </c>
      <c r="I3312" s="18" t="n">
        <v>25790.95</v>
      </c>
      <c r="J3312" t="inlineStr">
        <is>
          <t>Created MTR-IOS-3311 and correlation note visible in Activity/Pulse</t>
        </is>
      </c>
      <c r="K3312" t="inlineStr">
        <is>
          <t>NOT_RUN</t>
        </is>
      </c>
      <c r="P3312" t="n">
        <v>0</v>
      </c>
      <c r="Q3312" t="n">
        <v>3311</v>
      </c>
    </row>
    <row r="3313">
      <c r="A3313" t="n">
        <v>3312</v>
      </c>
      <c r="B3313" t="inlineStr">
        <is>
          <t>MTR-IOS-3312</t>
        </is>
      </c>
      <c r="C3313" t="inlineStr">
        <is>
          <t>iPhone</t>
        </is>
      </c>
      <c r="D3313" t="inlineStr">
        <is>
          <t>Business</t>
        </is>
      </c>
      <c r="E3313" t="inlineStr">
        <is>
          <t>Business</t>
        </is>
      </c>
      <c r="F3313" t="inlineStr">
        <is>
          <t>Business Runway</t>
        </is>
      </c>
      <c r="G3313" t="inlineStr">
        <is>
          <t>Loan</t>
        </is>
      </c>
      <c r="H3313" t="inlineStr">
        <is>
          <t>Business &gt; Business Runway &gt; Quick Add &gt; Loan</t>
        </is>
      </c>
      <c r="I3313" s="18" t="n">
        <v>158772.92</v>
      </c>
      <c r="J3313" t="inlineStr">
        <is>
          <t>Created MTR-IOS-3312 and correlation note visible in Activity/Pulse</t>
        </is>
      </c>
      <c r="K3313" t="inlineStr">
        <is>
          <t>NOT_RUN</t>
        </is>
      </c>
      <c r="P3313" t="n">
        <v>0</v>
      </c>
      <c r="Q3313" t="n">
        <v>3312</v>
      </c>
    </row>
    <row r="3314">
      <c r="A3314" t="n">
        <v>3313</v>
      </c>
      <c r="B3314" t="inlineStr">
        <is>
          <t>MTR-IOS-3313</t>
        </is>
      </c>
      <c r="C3314" t="inlineStr">
        <is>
          <t>iPhone</t>
        </is>
      </c>
      <c r="D3314" t="inlineStr">
        <is>
          <t>Personal</t>
        </is>
      </c>
      <c r="E3314" t="inlineStr">
        <is>
          <t>Personal</t>
        </is>
      </c>
      <c r="F3314" t="inlineStr">
        <is>
          <t>Life Operations</t>
        </is>
      </c>
      <c r="G3314" t="inlineStr">
        <is>
          <t>Groceries</t>
        </is>
      </c>
      <c r="H3314" t="inlineStr">
        <is>
          <t>Personal &gt; Life Operations &gt; Quick Add &gt; Groceries</t>
        </is>
      </c>
      <c r="I3314" s="18" t="n">
        <v>6850.45</v>
      </c>
      <c r="J3314" t="inlineStr">
        <is>
          <t>Created MTR-IOS-3313 and correlation note visible in Activity/Pulse</t>
        </is>
      </c>
      <c r="K3314" t="inlineStr">
        <is>
          <t>NOT_RUN</t>
        </is>
      </c>
      <c r="P3314" t="n">
        <v>0</v>
      </c>
      <c r="Q3314" t="n">
        <v>3313</v>
      </c>
    </row>
    <row r="3315">
      <c r="A3315" t="n">
        <v>3314</v>
      </c>
      <c r="B3315" t="inlineStr">
        <is>
          <t>MTR-IOS-3314</t>
        </is>
      </c>
      <c r="C3315" t="inlineStr">
        <is>
          <t>iPhone</t>
        </is>
      </c>
      <c r="D3315" t="inlineStr">
        <is>
          <t>Group</t>
        </is>
      </c>
      <c r="E3315" t="inlineStr">
        <is>
          <t>Shared Experience</t>
        </is>
      </c>
      <c r="F3315" t="inlineStr">
        <is>
          <t>Trip</t>
        </is>
      </c>
      <c r="G3315" t="inlineStr">
        <is>
          <t>Food</t>
        </is>
      </c>
      <c r="H3315" t="inlineStr">
        <is>
          <t>Group &gt; Trip &gt; Quick Add &gt; Food</t>
        </is>
      </c>
      <c r="I3315" s="18" t="n">
        <v>6806.4</v>
      </c>
      <c r="J3315" t="inlineStr">
        <is>
          <t>Created MTR-IOS-3314 and correlation note visible in Activity/Pulse</t>
        </is>
      </c>
      <c r="K3315" t="inlineStr">
        <is>
          <t>NOT_RUN</t>
        </is>
      </c>
      <c r="P3315" t="n">
        <v>0</v>
      </c>
      <c r="Q3315" t="n">
        <v>3314</v>
      </c>
    </row>
    <row r="3316">
      <c r="A3316" t="n">
        <v>3315</v>
      </c>
      <c r="B3316" t="inlineStr">
        <is>
          <t>MTR-IOS-3315</t>
        </is>
      </c>
      <c r="C3316" t="inlineStr">
        <is>
          <t>iPhone</t>
        </is>
      </c>
      <c r="D3316" t="inlineStr">
        <is>
          <t>Business</t>
        </is>
      </c>
      <c r="E3316" t="inlineStr">
        <is>
          <t>Business</t>
        </is>
      </c>
      <c r="F3316" t="inlineStr">
        <is>
          <t>Business Runway</t>
        </is>
      </c>
      <c r="G3316" t="inlineStr">
        <is>
          <t>Investment</t>
        </is>
      </c>
      <c r="H3316" t="inlineStr">
        <is>
          <t>Business &gt; Business Runway &gt; Quick Add &gt; Investment</t>
        </is>
      </c>
      <c r="I3316" s="18" t="n">
        <v>51633.91</v>
      </c>
      <c r="J3316" t="inlineStr">
        <is>
          <t>Created MTR-IOS-3315 and correlation note visible in Activity/Pulse</t>
        </is>
      </c>
      <c r="K3316" t="inlineStr">
        <is>
          <t>NOT_RUN</t>
        </is>
      </c>
      <c r="P3316" t="n">
        <v>0</v>
      </c>
      <c r="Q3316" t="n">
        <v>3315</v>
      </c>
    </row>
    <row r="3317">
      <c r="A3317" t="n">
        <v>3316</v>
      </c>
      <c r="B3317" t="inlineStr">
        <is>
          <t>MTR-IOS-3316</t>
        </is>
      </c>
      <c r="C3317" t="inlineStr">
        <is>
          <t>iPhone</t>
        </is>
      </c>
      <c r="D3317" t="inlineStr">
        <is>
          <t>Personal</t>
        </is>
      </c>
      <c r="E3317" t="inlineStr">
        <is>
          <t>Personal</t>
        </is>
      </c>
      <c r="F3317" t="inlineStr">
        <is>
          <t>Life Operations</t>
        </is>
      </c>
      <c r="G3317" t="inlineStr">
        <is>
          <t>Rent</t>
        </is>
      </c>
      <c r="H3317" t="inlineStr">
        <is>
          <t>Personal &gt; Life Operations &gt; Quick Add &gt; Rent</t>
        </is>
      </c>
      <c r="I3317" s="18" t="n">
        <v>12811.04</v>
      </c>
      <c r="J3317" t="inlineStr">
        <is>
          <t>Created MTR-IOS-3316 and correlation note visible in Activity/Pulse</t>
        </is>
      </c>
      <c r="K3317" t="inlineStr">
        <is>
          <t>NOT_RUN</t>
        </is>
      </c>
      <c r="P3317" t="n">
        <v>0</v>
      </c>
      <c r="Q3317" t="n">
        <v>3316</v>
      </c>
    </row>
    <row r="3318">
      <c r="A3318" t="n">
        <v>3317</v>
      </c>
      <c r="B3318" t="inlineStr">
        <is>
          <t>MTR-IOS-3317</t>
        </is>
      </c>
      <c r="C3318" t="inlineStr">
        <is>
          <t>iPhone</t>
        </is>
      </c>
      <c r="D3318" t="inlineStr">
        <is>
          <t>Group</t>
        </is>
      </c>
      <c r="E3318" t="inlineStr">
        <is>
          <t>Shared Experience</t>
        </is>
      </c>
      <c r="F3318" t="inlineStr">
        <is>
          <t>Trip</t>
        </is>
      </c>
      <c r="G3318" t="inlineStr">
        <is>
          <t>Local Transport</t>
        </is>
      </c>
      <c r="H3318" t="inlineStr">
        <is>
          <t>Group &gt; Trip &gt; Quick Add &gt; Local Transport</t>
        </is>
      </c>
      <c r="I3318" s="18" t="n">
        <v>193.04</v>
      </c>
      <c r="J3318" t="inlineStr">
        <is>
          <t>Created MTR-IOS-3317 and correlation note visible in Activity/Pulse</t>
        </is>
      </c>
      <c r="K3318" t="inlineStr">
        <is>
          <t>NOT_RUN</t>
        </is>
      </c>
      <c r="P3318" t="n">
        <v>0</v>
      </c>
      <c r="Q3318" t="n">
        <v>3317</v>
      </c>
    </row>
    <row r="3319">
      <c r="A3319" t="n">
        <v>3318</v>
      </c>
      <c r="B3319" t="inlineStr">
        <is>
          <t>MTR-IOS-3318</t>
        </is>
      </c>
      <c r="C3319" t="inlineStr">
        <is>
          <t>iPhone</t>
        </is>
      </c>
      <c r="D3319" t="inlineStr">
        <is>
          <t>Business</t>
        </is>
      </c>
      <c r="E3319" t="inlineStr">
        <is>
          <t>Business</t>
        </is>
      </c>
      <c r="F3319" t="inlineStr">
        <is>
          <t>Business Operations</t>
        </is>
      </c>
      <c r="G3319" t="inlineStr">
        <is>
          <t>Software</t>
        </is>
      </c>
      <c r="H3319" t="inlineStr">
        <is>
          <t>Business &gt; Business Operations &gt; Quick Add &gt; Software</t>
        </is>
      </c>
      <c r="I3319" s="18" t="n">
        <v>11357.65</v>
      </c>
      <c r="J3319" t="inlineStr">
        <is>
          <t>Created MTR-IOS-3318 and correlation note visible in Activity/Pulse</t>
        </is>
      </c>
      <c r="K3319" t="inlineStr">
        <is>
          <t>NOT_RUN</t>
        </is>
      </c>
      <c r="P3319" t="n">
        <v>0</v>
      </c>
      <c r="Q3319" t="n">
        <v>3318</v>
      </c>
    </row>
    <row r="3320">
      <c r="A3320" t="n">
        <v>3319</v>
      </c>
      <c r="B3320" t="inlineStr">
        <is>
          <t>MTR-IOS-3319</t>
        </is>
      </c>
      <c r="C3320" t="inlineStr">
        <is>
          <t>iPhone</t>
        </is>
      </c>
      <c r="D3320" t="inlineStr">
        <is>
          <t>Personal</t>
        </is>
      </c>
      <c r="E3320" t="inlineStr">
        <is>
          <t>Personal</t>
        </is>
      </c>
      <c r="F3320" t="inlineStr">
        <is>
          <t>Life Operations</t>
        </is>
      </c>
      <c r="G3320" t="inlineStr">
        <is>
          <t>Bills</t>
        </is>
      </c>
      <c r="H3320" t="inlineStr">
        <is>
          <t>Personal &gt; Life Operations &gt; Quick Add &gt; Bills</t>
        </is>
      </c>
      <c r="I3320" s="18" t="n">
        <v>6914.39</v>
      </c>
      <c r="J3320" t="inlineStr">
        <is>
          <t>Created MTR-IOS-3319 and correlation note visible in Activity/Pulse</t>
        </is>
      </c>
      <c r="K3320" t="inlineStr">
        <is>
          <t>NOT_RUN</t>
        </is>
      </c>
      <c r="P3320" t="n">
        <v>0</v>
      </c>
      <c r="Q3320" t="n">
        <v>3319</v>
      </c>
    </row>
    <row r="3321">
      <c r="A3321" t="n">
        <v>3320</v>
      </c>
      <c r="B3321" t="inlineStr">
        <is>
          <t>MTR-IOS-3320</t>
        </is>
      </c>
      <c r="C3321" t="inlineStr">
        <is>
          <t>iPhone</t>
        </is>
      </c>
      <c r="D3321" t="inlineStr">
        <is>
          <t>Group</t>
        </is>
      </c>
      <c r="E3321" t="inlineStr">
        <is>
          <t>Shared Experience</t>
        </is>
      </c>
      <c r="F3321" t="inlineStr">
        <is>
          <t>Trip</t>
        </is>
      </c>
      <c r="G3321" t="inlineStr">
        <is>
          <t>Activities</t>
        </is>
      </c>
      <c r="H3321" t="inlineStr">
        <is>
          <t>Group &gt; Trip &gt; Quick Add &gt; Activities</t>
        </is>
      </c>
      <c r="I3321" s="18" t="n">
        <v>16892.57</v>
      </c>
      <c r="J3321" t="inlineStr">
        <is>
          <t>Created MTR-IOS-3320 and correlation note visible in Activity/Pulse</t>
        </is>
      </c>
      <c r="K3321" t="inlineStr">
        <is>
          <t>NOT_RUN</t>
        </is>
      </c>
      <c r="P3321" t="n">
        <v>0</v>
      </c>
      <c r="Q3321" t="n">
        <v>3320</v>
      </c>
    </row>
    <row r="3322">
      <c r="A3322" t="n">
        <v>3321</v>
      </c>
      <c r="B3322" t="inlineStr">
        <is>
          <t>MTR-IOS-3321</t>
        </is>
      </c>
      <c r="C3322" t="inlineStr">
        <is>
          <t>iPhone</t>
        </is>
      </c>
      <c r="D3322" t="inlineStr">
        <is>
          <t>Business</t>
        </is>
      </c>
      <c r="E3322" t="inlineStr">
        <is>
          <t>Business</t>
        </is>
      </c>
      <c r="F3322" t="inlineStr">
        <is>
          <t>Business Operations</t>
        </is>
      </c>
      <c r="G3322" t="inlineStr">
        <is>
          <t>Rent</t>
        </is>
      </c>
      <c r="H3322" t="inlineStr">
        <is>
          <t>Business &gt; Business Operations &gt; Quick Add &gt; Rent</t>
        </is>
      </c>
      <c r="I3322" s="18" t="n">
        <v>135213.23</v>
      </c>
      <c r="J3322" t="inlineStr">
        <is>
          <t>Created MTR-IOS-3321 and correlation note visible in Activity/Pulse</t>
        </is>
      </c>
      <c r="K3322" t="inlineStr">
        <is>
          <t>NOT_RUN</t>
        </is>
      </c>
      <c r="P3322" t="n">
        <v>0</v>
      </c>
      <c r="Q3322" t="n">
        <v>3321</v>
      </c>
    </row>
    <row r="3323">
      <c r="A3323" t="n">
        <v>3322</v>
      </c>
      <c r="B3323" t="inlineStr">
        <is>
          <t>MTR-IOS-3322</t>
        </is>
      </c>
      <c r="C3323" t="inlineStr">
        <is>
          <t>iPhone</t>
        </is>
      </c>
      <c r="D3323" t="inlineStr">
        <is>
          <t>Personal</t>
        </is>
      </c>
      <c r="E3323" t="inlineStr">
        <is>
          <t>Personal</t>
        </is>
      </c>
      <c r="F3323" t="inlineStr">
        <is>
          <t>Life Operations</t>
        </is>
      </c>
      <c r="G3323" t="inlineStr">
        <is>
          <t>Transport</t>
        </is>
      </c>
      <c r="H3323" t="inlineStr">
        <is>
          <t>Personal &gt; Life Operations &gt; Quick Add &gt; Transport</t>
        </is>
      </c>
      <c r="I3323" s="18" t="n">
        <v>1322.95</v>
      </c>
      <c r="J3323" t="inlineStr">
        <is>
          <t>Created MTR-IOS-3322 and correlation note visible in Activity/Pulse</t>
        </is>
      </c>
      <c r="K3323" t="inlineStr">
        <is>
          <t>NOT_RUN</t>
        </is>
      </c>
      <c r="P3323" t="n">
        <v>0</v>
      </c>
      <c r="Q3323" t="n">
        <v>3322</v>
      </c>
    </row>
    <row r="3324">
      <c r="A3324" t="n">
        <v>3323</v>
      </c>
      <c r="B3324" t="inlineStr">
        <is>
          <t>MTR-IOS-3323</t>
        </is>
      </c>
      <c r="C3324" t="inlineStr">
        <is>
          <t>iPhone</t>
        </is>
      </c>
      <c r="D3324" t="inlineStr">
        <is>
          <t>Group</t>
        </is>
      </c>
      <c r="E3324" t="inlineStr">
        <is>
          <t>Shared Experience</t>
        </is>
      </c>
      <c r="F3324" t="inlineStr">
        <is>
          <t>Trip</t>
        </is>
      </c>
      <c r="G3324" t="inlineStr">
        <is>
          <t>Shopping</t>
        </is>
      </c>
      <c r="H3324" t="inlineStr">
        <is>
          <t>Group &gt; Trip &gt; Quick Add &gt; Shopping</t>
        </is>
      </c>
      <c r="I3324" s="18" t="n">
        <v>12860.28</v>
      </c>
      <c r="J3324" t="inlineStr">
        <is>
          <t>Created MTR-IOS-3323 and correlation note visible in Activity/Pulse</t>
        </is>
      </c>
      <c r="K3324" t="inlineStr">
        <is>
          <t>NOT_RUN</t>
        </is>
      </c>
      <c r="P3324" t="n">
        <v>0</v>
      </c>
      <c r="Q3324" t="n">
        <v>3323</v>
      </c>
    </row>
    <row r="3325">
      <c r="A3325" t="n">
        <v>3324</v>
      </c>
      <c r="B3325" t="inlineStr">
        <is>
          <t>MTR-IOS-3324</t>
        </is>
      </c>
      <c r="C3325" t="inlineStr">
        <is>
          <t>iPhone</t>
        </is>
      </c>
      <c r="D3325" t="inlineStr">
        <is>
          <t>Business</t>
        </is>
      </c>
      <c r="E3325" t="inlineStr">
        <is>
          <t>Business</t>
        </is>
      </c>
      <c r="F3325" t="inlineStr">
        <is>
          <t>Business Operations</t>
        </is>
      </c>
      <c r="G3325" t="inlineStr">
        <is>
          <t>Marketing</t>
        </is>
      </c>
      <c r="H3325" t="inlineStr">
        <is>
          <t>Business &gt; Business Operations &gt; Quick Add &gt; Marketing</t>
        </is>
      </c>
      <c r="I3325" s="18" t="n">
        <v>56718.37</v>
      </c>
      <c r="J3325" t="inlineStr">
        <is>
          <t>Created MTR-IOS-3324 and correlation note visible in Activity/Pulse</t>
        </is>
      </c>
      <c r="K3325" t="inlineStr">
        <is>
          <t>NOT_RUN</t>
        </is>
      </c>
      <c r="P3325" t="n">
        <v>0</v>
      </c>
      <c r="Q3325" t="n">
        <v>3324</v>
      </c>
    </row>
    <row r="3326">
      <c r="A3326" t="n">
        <v>3325</v>
      </c>
      <c r="B3326" t="inlineStr">
        <is>
          <t>MTR-IOS-3325</t>
        </is>
      </c>
      <c r="C3326" t="inlineStr">
        <is>
          <t>iPhone</t>
        </is>
      </c>
      <c r="D3326" t="inlineStr">
        <is>
          <t>Personal</t>
        </is>
      </c>
      <c r="E3326" t="inlineStr">
        <is>
          <t>Personal</t>
        </is>
      </c>
      <c r="F3326" t="inlineStr">
        <is>
          <t>Life Operations</t>
        </is>
      </c>
      <c r="G3326" t="inlineStr">
        <is>
          <t>Healthcare</t>
        </is>
      </c>
      <c r="H3326" t="inlineStr">
        <is>
          <t>Personal &gt; Life Operations &gt; Quick Add &gt; Healthcare</t>
        </is>
      </c>
      <c r="I3326" s="18" t="n">
        <v>13152.48</v>
      </c>
      <c r="J3326" t="inlineStr">
        <is>
          <t>Created MTR-IOS-3325 and correlation note visible in Activity/Pulse</t>
        </is>
      </c>
      <c r="K3326" t="inlineStr">
        <is>
          <t>NOT_RUN</t>
        </is>
      </c>
      <c r="P3326" t="n">
        <v>0</v>
      </c>
      <c r="Q3326" t="n">
        <v>3325</v>
      </c>
    </row>
    <row r="3327">
      <c r="A3327" t="n">
        <v>3326</v>
      </c>
      <c r="B3327" t="inlineStr">
        <is>
          <t>MTR-IOS-3326</t>
        </is>
      </c>
      <c r="C3327" t="inlineStr">
        <is>
          <t>iPhone</t>
        </is>
      </c>
      <c r="D3327" t="inlineStr">
        <is>
          <t>Group</t>
        </is>
      </c>
      <c r="E3327" t="inlineStr">
        <is>
          <t>Shared Experience</t>
        </is>
      </c>
      <c r="F3327" t="inlineStr">
        <is>
          <t>Trip</t>
        </is>
      </c>
      <c r="G3327" t="inlineStr">
        <is>
          <t>Other</t>
        </is>
      </c>
      <c r="H3327" t="inlineStr">
        <is>
          <t>Group &gt; Trip &gt; Quick Add &gt; Other</t>
        </is>
      </c>
      <c r="I3327" s="18" t="n">
        <v>20539.94</v>
      </c>
      <c r="J3327" t="inlineStr">
        <is>
          <t>Created MTR-IOS-3326 and correlation note visible in Activity/Pulse</t>
        </is>
      </c>
      <c r="K3327" t="inlineStr">
        <is>
          <t>NOT_RUN</t>
        </is>
      </c>
      <c r="P3327" t="n">
        <v>0</v>
      </c>
      <c r="Q3327" t="n">
        <v>3326</v>
      </c>
    </row>
    <row r="3328">
      <c r="A3328" t="n">
        <v>3327</v>
      </c>
      <c r="B3328" t="inlineStr">
        <is>
          <t>MTR-IOS-3327</t>
        </is>
      </c>
      <c r="C3328" t="inlineStr">
        <is>
          <t>iPhone</t>
        </is>
      </c>
      <c r="D3328" t="inlineStr">
        <is>
          <t>Business</t>
        </is>
      </c>
      <c r="E3328" t="inlineStr">
        <is>
          <t>Business</t>
        </is>
      </c>
      <c r="F3328" t="inlineStr">
        <is>
          <t>Business Operations</t>
        </is>
      </c>
      <c r="G3328" t="inlineStr">
        <is>
          <t>Legal</t>
        </is>
      </c>
      <c r="H3328" t="inlineStr">
        <is>
          <t>Business &gt; Business Operations &gt; Quick Add &gt; Legal</t>
        </is>
      </c>
      <c r="I3328" s="18" t="n">
        <v>148678.69</v>
      </c>
      <c r="J3328" t="inlineStr">
        <is>
          <t>Created MTR-IOS-3327 and correlation note visible in Activity/Pulse</t>
        </is>
      </c>
      <c r="K3328" t="inlineStr">
        <is>
          <t>NOT_RUN</t>
        </is>
      </c>
      <c r="P3328" t="n">
        <v>0</v>
      </c>
      <c r="Q3328" t="n">
        <v>3327</v>
      </c>
    </row>
    <row r="3329">
      <c r="A3329" t="n">
        <v>3328</v>
      </c>
      <c r="B3329" t="inlineStr">
        <is>
          <t>MTR-IOS-3328</t>
        </is>
      </c>
      <c r="C3329" t="inlineStr">
        <is>
          <t>iPhone</t>
        </is>
      </c>
      <c r="D3329" t="inlineStr">
        <is>
          <t>Personal</t>
        </is>
      </c>
      <c r="E3329" t="inlineStr">
        <is>
          <t>Personal</t>
        </is>
      </c>
      <c r="F3329" t="inlineStr">
        <is>
          <t>Life Operations</t>
        </is>
      </c>
      <c r="G3329" t="inlineStr">
        <is>
          <t>Subscriptions</t>
        </is>
      </c>
      <c r="H3329" t="inlineStr">
        <is>
          <t>Personal &gt; Life Operations &gt; Quick Add &gt; Subscriptions</t>
        </is>
      </c>
      <c r="I3329" s="18" t="n">
        <v>10971.71</v>
      </c>
      <c r="J3329" t="inlineStr">
        <is>
          <t>Created MTR-IOS-3328 and correlation note visible in Activity/Pulse</t>
        </is>
      </c>
      <c r="K3329" t="inlineStr">
        <is>
          <t>NOT_RUN</t>
        </is>
      </c>
      <c r="P3329" t="n">
        <v>0</v>
      </c>
      <c r="Q3329" t="n">
        <v>3328</v>
      </c>
    </row>
    <row r="3330">
      <c r="A3330" t="n">
        <v>3329</v>
      </c>
      <c r="B3330" t="inlineStr">
        <is>
          <t>MTR-IOS-3329</t>
        </is>
      </c>
      <c r="C3330" t="inlineStr">
        <is>
          <t>iPhone</t>
        </is>
      </c>
      <c r="D3330" t="inlineStr">
        <is>
          <t>Group</t>
        </is>
      </c>
      <c r="E3330" t="inlineStr">
        <is>
          <t>Shared Experience</t>
        </is>
      </c>
      <c r="F3330" t="inlineStr">
        <is>
          <t>Wedding</t>
        </is>
      </c>
      <c r="G3330" t="inlineStr">
        <is>
          <t>Venue</t>
        </is>
      </c>
      <c r="H3330" t="inlineStr">
        <is>
          <t>Group &gt; Wedding &gt; Quick Add &gt; Venue</t>
        </is>
      </c>
      <c r="I3330" s="18" t="n">
        <v>7572.49</v>
      </c>
      <c r="J3330" t="inlineStr">
        <is>
          <t>Created MTR-IOS-3329 and correlation note visible in Activity/Pulse</t>
        </is>
      </c>
      <c r="K3330" t="inlineStr">
        <is>
          <t>NOT_RUN</t>
        </is>
      </c>
      <c r="P3330" t="n">
        <v>0</v>
      </c>
      <c r="Q3330" t="n">
        <v>3329</v>
      </c>
    </row>
    <row r="3331">
      <c r="A3331" t="n">
        <v>3330</v>
      </c>
      <c r="B3331" t="inlineStr">
        <is>
          <t>MTR-IOS-3330</t>
        </is>
      </c>
      <c r="C3331" t="inlineStr">
        <is>
          <t>iPhone</t>
        </is>
      </c>
      <c r="D3331" t="inlineStr">
        <is>
          <t>Business</t>
        </is>
      </c>
      <c r="E3331" t="inlineStr">
        <is>
          <t>Business</t>
        </is>
      </c>
      <c r="F3331" t="inlineStr">
        <is>
          <t>Business Operations</t>
        </is>
      </c>
      <c r="G3331" t="inlineStr">
        <is>
          <t>Accounting</t>
        </is>
      </c>
      <c r="H3331" t="inlineStr">
        <is>
          <t>Business &gt; Business Operations &gt; Quick Add &gt; Accounting</t>
        </is>
      </c>
      <c r="I3331" s="18" t="n">
        <v>0.01</v>
      </c>
      <c r="J3331" t="inlineStr">
        <is>
          <t>Created MTR-IOS-3330 and correlation note visible in Activity/Pulse</t>
        </is>
      </c>
      <c r="K3331" t="inlineStr">
        <is>
          <t>NOT_RUN</t>
        </is>
      </c>
      <c r="P3331" t="n">
        <v>0</v>
      </c>
      <c r="Q3331" t="n">
        <v>3330</v>
      </c>
    </row>
    <row r="3332">
      <c r="A3332" t="n">
        <v>3331</v>
      </c>
      <c r="B3332" t="inlineStr">
        <is>
          <t>MTR-IOS-3331</t>
        </is>
      </c>
      <c r="C3332" t="inlineStr">
        <is>
          <t>iPhone</t>
        </is>
      </c>
      <c r="D3332" t="inlineStr">
        <is>
          <t>Personal</t>
        </is>
      </c>
      <c r="E3332" t="inlineStr">
        <is>
          <t>Personal</t>
        </is>
      </c>
      <c r="F3332" t="inlineStr">
        <is>
          <t>Life Operations</t>
        </is>
      </c>
      <c r="G3332" t="inlineStr">
        <is>
          <t>Repairs</t>
        </is>
      </c>
      <c r="H3332" t="inlineStr">
        <is>
          <t>Personal &gt; Life Operations &gt; Quick Add &gt; Repairs</t>
        </is>
      </c>
      <c r="I3332" s="18" t="n">
        <v>1979.29</v>
      </c>
      <c r="J3332" t="inlineStr">
        <is>
          <t>Created MTR-IOS-3331 and correlation note visible in Activity/Pulse</t>
        </is>
      </c>
      <c r="K3332" t="inlineStr">
        <is>
          <t>NOT_RUN</t>
        </is>
      </c>
      <c r="P3332" t="n">
        <v>0</v>
      </c>
      <c r="Q3332" t="n">
        <v>3331</v>
      </c>
    </row>
    <row r="3333">
      <c r="A3333" t="n">
        <v>3332</v>
      </c>
      <c r="B3333" t="inlineStr">
        <is>
          <t>MTR-IOS-3332</t>
        </is>
      </c>
      <c r="C3333" t="inlineStr">
        <is>
          <t>iPhone</t>
        </is>
      </c>
      <c r="D3333" t="inlineStr">
        <is>
          <t>Group</t>
        </is>
      </c>
      <c r="E3333" t="inlineStr">
        <is>
          <t>Shared Experience</t>
        </is>
      </c>
      <c r="F3333" t="inlineStr">
        <is>
          <t>Wedding</t>
        </is>
      </c>
      <c r="G3333" t="inlineStr">
        <is>
          <t>Catering</t>
        </is>
      </c>
      <c r="H3333" t="inlineStr">
        <is>
          <t>Group &gt; Wedding &gt; Quick Add &gt; Catering</t>
        </is>
      </c>
      <c r="I3333" s="18" t="n">
        <v>12417.84</v>
      </c>
      <c r="J3333" t="inlineStr">
        <is>
          <t>Created MTR-IOS-3332 and correlation note visible in Activity/Pulse</t>
        </is>
      </c>
      <c r="K3333" t="inlineStr">
        <is>
          <t>NOT_RUN</t>
        </is>
      </c>
      <c r="P3333" t="n">
        <v>0</v>
      </c>
      <c r="Q3333" t="n">
        <v>3332</v>
      </c>
    </row>
    <row r="3334">
      <c r="A3334" t="n">
        <v>3333</v>
      </c>
      <c r="B3334" t="inlineStr">
        <is>
          <t>MTR-IOS-3333</t>
        </is>
      </c>
      <c r="C3334" t="inlineStr">
        <is>
          <t>iPhone</t>
        </is>
      </c>
      <c r="D3334" t="inlineStr">
        <is>
          <t>Business</t>
        </is>
      </c>
      <c r="E3334" t="inlineStr">
        <is>
          <t>Business</t>
        </is>
      </c>
      <c r="F3334" t="inlineStr">
        <is>
          <t>Business Operations</t>
        </is>
      </c>
      <c r="G3334" t="inlineStr">
        <is>
          <t>Equipment</t>
        </is>
      </c>
      <c r="H3334" t="inlineStr">
        <is>
          <t>Business &gt; Business Operations &gt; Quick Add &gt; Equipment</t>
        </is>
      </c>
      <c r="I3334" s="18" t="n">
        <v>103102.33</v>
      </c>
      <c r="J3334" t="inlineStr">
        <is>
          <t>Created MTR-IOS-3333 and correlation note visible in Activity/Pulse</t>
        </is>
      </c>
      <c r="K3334" t="inlineStr">
        <is>
          <t>NOT_RUN</t>
        </is>
      </c>
      <c r="P3334" t="n">
        <v>0</v>
      </c>
      <c r="Q3334" t="n">
        <v>3333</v>
      </c>
    </row>
    <row r="3335">
      <c r="A3335" t="n">
        <v>3334</v>
      </c>
      <c r="B3335" t="inlineStr">
        <is>
          <t>MTR-IOS-3334</t>
        </is>
      </c>
      <c r="C3335" t="inlineStr">
        <is>
          <t>iPhone</t>
        </is>
      </c>
      <c r="D3335" t="inlineStr">
        <is>
          <t>Personal</t>
        </is>
      </c>
      <c r="E3335" t="inlineStr">
        <is>
          <t>Personal</t>
        </is>
      </c>
      <c r="F3335" t="inlineStr">
        <is>
          <t>Future Building</t>
        </is>
      </c>
      <c r="G3335" t="inlineStr">
        <is>
          <t>Savings</t>
        </is>
      </c>
      <c r="H3335" t="inlineStr">
        <is>
          <t>Personal &gt; Future Building &gt; Quick Add &gt; Savings</t>
        </is>
      </c>
      <c r="I3335" s="18" t="n">
        <v>11250.94</v>
      </c>
      <c r="J3335" t="inlineStr">
        <is>
          <t>Created MTR-IOS-3334 and correlation note visible in Activity/Pulse</t>
        </is>
      </c>
      <c r="K3335" t="inlineStr">
        <is>
          <t>NOT_RUN</t>
        </is>
      </c>
      <c r="P3335" t="n">
        <v>0</v>
      </c>
      <c r="Q3335" t="n">
        <v>3334</v>
      </c>
    </row>
    <row r="3336">
      <c r="A3336" t="n">
        <v>3335</v>
      </c>
      <c r="B3336" t="inlineStr">
        <is>
          <t>MTR-IOS-3335</t>
        </is>
      </c>
      <c r="C3336" t="inlineStr">
        <is>
          <t>iPhone</t>
        </is>
      </c>
      <c r="D3336" t="inlineStr">
        <is>
          <t>Group</t>
        </is>
      </c>
      <c r="E3336" t="inlineStr">
        <is>
          <t>Shared Experience</t>
        </is>
      </c>
      <c r="F3336" t="inlineStr">
        <is>
          <t>Wedding</t>
        </is>
      </c>
      <c r="G3336" t="inlineStr">
        <is>
          <t>Decor</t>
        </is>
      </c>
      <c r="H3336" t="inlineStr">
        <is>
          <t>Group &gt; Wedding &gt; Quick Add &gt; Decor</t>
        </is>
      </c>
      <c r="I3336" s="18" t="n">
        <v>12560.52</v>
      </c>
      <c r="J3336" t="inlineStr">
        <is>
          <t>Created MTR-IOS-3335 and correlation note visible in Activity/Pulse</t>
        </is>
      </c>
      <c r="K3336" t="inlineStr">
        <is>
          <t>NOT_RUN</t>
        </is>
      </c>
      <c r="P3336" t="n">
        <v>0</v>
      </c>
      <c r="Q3336" t="n">
        <v>3335</v>
      </c>
    </row>
    <row r="3337">
      <c r="A3337" t="n">
        <v>3336</v>
      </c>
      <c r="B3337" t="inlineStr">
        <is>
          <t>MTR-IOS-3336</t>
        </is>
      </c>
      <c r="C3337" t="inlineStr">
        <is>
          <t>iPhone</t>
        </is>
      </c>
      <c r="D3337" t="inlineStr">
        <is>
          <t>Business</t>
        </is>
      </c>
      <c r="E3337" t="inlineStr">
        <is>
          <t>Business</t>
        </is>
      </c>
      <c r="F3337" t="inlineStr">
        <is>
          <t>Business Operations</t>
        </is>
      </c>
      <c r="G3337" t="inlineStr">
        <is>
          <t>Vendor</t>
        </is>
      </c>
      <c r="H3337" t="inlineStr">
        <is>
          <t>Business &gt; Business Operations &gt; Quick Add &gt; Vendor</t>
        </is>
      </c>
      <c r="I3337" s="18" t="n">
        <v>131920.33</v>
      </c>
      <c r="J3337" t="inlineStr">
        <is>
          <t>Created MTR-IOS-3336 and correlation note visible in Activity/Pulse</t>
        </is>
      </c>
      <c r="K3337" t="inlineStr">
        <is>
          <t>NOT_RUN</t>
        </is>
      </c>
      <c r="P3337" t="n">
        <v>0</v>
      </c>
      <c r="Q3337" t="n">
        <v>3336</v>
      </c>
    </row>
    <row r="3338">
      <c r="A3338" t="n">
        <v>3337</v>
      </c>
      <c r="B3338" t="inlineStr">
        <is>
          <t>MTR-IOS-3337</t>
        </is>
      </c>
      <c r="C3338" t="inlineStr">
        <is>
          <t>iPhone</t>
        </is>
      </c>
      <c r="D3338" t="inlineStr">
        <is>
          <t>Personal</t>
        </is>
      </c>
      <c r="E3338" t="inlineStr">
        <is>
          <t>Personal</t>
        </is>
      </c>
      <c r="F3338" t="inlineStr">
        <is>
          <t>Future Building</t>
        </is>
      </c>
      <c r="G3338" t="inlineStr">
        <is>
          <t>Emergency Fund</t>
        </is>
      </c>
      <c r="H3338" t="inlineStr">
        <is>
          <t>Personal &gt; Future Building &gt; Quick Add &gt; Emergency Fund</t>
        </is>
      </c>
      <c r="I3338" s="18" t="n">
        <v>11242.07</v>
      </c>
      <c r="J3338" t="inlineStr">
        <is>
          <t>Created MTR-IOS-3337 and correlation note visible in Activity/Pulse</t>
        </is>
      </c>
      <c r="K3338" t="inlineStr">
        <is>
          <t>NOT_RUN</t>
        </is>
      </c>
      <c r="P3338" t="n">
        <v>0</v>
      </c>
      <c r="Q3338" t="n">
        <v>3337</v>
      </c>
    </row>
    <row r="3339">
      <c r="A3339" t="n">
        <v>3338</v>
      </c>
      <c r="B3339" t="inlineStr">
        <is>
          <t>MTR-IOS-3338</t>
        </is>
      </c>
      <c r="C3339" t="inlineStr">
        <is>
          <t>iPhone</t>
        </is>
      </c>
      <c r="D3339" t="inlineStr">
        <is>
          <t>Group</t>
        </is>
      </c>
      <c r="E3339" t="inlineStr">
        <is>
          <t>Shared Experience</t>
        </is>
      </c>
      <c r="F3339" t="inlineStr">
        <is>
          <t>Wedding</t>
        </is>
      </c>
      <c r="G3339" t="inlineStr">
        <is>
          <t>Travel</t>
        </is>
      </c>
      <c r="H3339" t="inlineStr">
        <is>
          <t>Group &gt; Wedding &gt; Quick Add &gt; Travel</t>
        </is>
      </c>
      <c r="I3339" s="18" t="n">
        <v>7045.22</v>
      </c>
      <c r="J3339" t="inlineStr">
        <is>
          <t>Created MTR-IOS-3338 and correlation note visible in Activity/Pulse</t>
        </is>
      </c>
      <c r="K3339" t="inlineStr">
        <is>
          <t>NOT_RUN</t>
        </is>
      </c>
      <c r="P3339" t="n">
        <v>0</v>
      </c>
      <c r="Q3339" t="n">
        <v>3338</v>
      </c>
    </row>
    <row r="3340">
      <c r="A3340" t="n">
        <v>3339</v>
      </c>
      <c r="B3340" t="inlineStr">
        <is>
          <t>MTR-IOS-3339</t>
        </is>
      </c>
      <c r="C3340" t="inlineStr">
        <is>
          <t>iPhone</t>
        </is>
      </c>
      <c r="D3340" t="inlineStr">
        <is>
          <t>Business</t>
        </is>
      </c>
      <c r="E3340" t="inlineStr">
        <is>
          <t>Business</t>
        </is>
      </c>
      <c r="F3340" t="inlineStr">
        <is>
          <t>Business Operations</t>
        </is>
      </c>
      <c r="G3340" t="inlineStr">
        <is>
          <t>Tax</t>
        </is>
      </c>
      <c r="H3340" t="inlineStr">
        <is>
          <t>Business &gt; Business Operations &gt; Quick Add &gt; Tax</t>
        </is>
      </c>
      <c r="I3340" s="18" t="n">
        <v>7680.94</v>
      </c>
      <c r="J3340" t="inlineStr">
        <is>
          <t>Created MTR-IOS-3339 and correlation note visible in Activity/Pulse</t>
        </is>
      </c>
      <c r="K3340" t="inlineStr">
        <is>
          <t>NOT_RUN</t>
        </is>
      </c>
      <c r="P3340" t="n">
        <v>0</v>
      </c>
      <c r="Q3340" t="n">
        <v>3339</v>
      </c>
    </row>
    <row r="3341">
      <c r="A3341" t="n">
        <v>3340</v>
      </c>
      <c r="B3341" t="inlineStr">
        <is>
          <t>MTR-IOS-3340</t>
        </is>
      </c>
      <c r="C3341" t="inlineStr">
        <is>
          <t>iPhone</t>
        </is>
      </c>
      <c r="D3341" t="inlineStr">
        <is>
          <t>Personal</t>
        </is>
      </c>
      <c r="E3341" t="inlineStr">
        <is>
          <t>Personal</t>
        </is>
      </c>
      <c r="F3341" t="inlineStr">
        <is>
          <t>Future Building</t>
        </is>
      </c>
      <c r="G3341" t="inlineStr">
        <is>
          <t>Investments</t>
        </is>
      </c>
      <c r="H3341" t="inlineStr">
        <is>
          <t>Personal &gt; Future Building &gt; Quick Add &gt; Investments</t>
        </is>
      </c>
      <c r="I3341" s="18" t="n">
        <v>16002.2</v>
      </c>
      <c r="J3341" t="inlineStr">
        <is>
          <t>Created MTR-IOS-3340 and correlation note visible in Activity/Pulse</t>
        </is>
      </c>
      <c r="K3341" t="inlineStr">
        <is>
          <t>NOT_RUN</t>
        </is>
      </c>
      <c r="P3341" t="n">
        <v>0</v>
      </c>
      <c r="Q3341" t="n">
        <v>3340</v>
      </c>
    </row>
    <row r="3342">
      <c r="A3342" t="n">
        <v>3341</v>
      </c>
      <c r="B3342" t="inlineStr">
        <is>
          <t>MTR-IOS-3341</t>
        </is>
      </c>
      <c r="C3342" t="inlineStr">
        <is>
          <t>iPhone</t>
        </is>
      </c>
      <c r="D3342" t="inlineStr">
        <is>
          <t>Group</t>
        </is>
      </c>
      <c r="E3342" t="inlineStr">
        <is>
          <t>Shared Experience</t>
        </is>
      </c>
      <c r="F3342" t="inlineStr">
        <is>
          <t>Wedding</t>
        </is>
      </c>
      <c r="G3342" t="inlineStr">
        <is>
          <t>Gifts</t>
        </is>
      </c>
      <c r="H3342" t="inlineStr">
        <is>
          <t>Group &gt; Wedding &gt; Quick Add &gt; Gifts</t>
        </is>
      </c>
      <c r="I3342" s="18" t="n">
        <v>23950.51</v>
      </c>
      <c r="J3342" t="inlineStr">
        <is>
          <t>Created MTR-IOS-3341 and correlation note visible in Activity/Pulse</t>
        </is>
      </c>
      <c r="K3342" t="inlineStr">
        <is>
          <t>NOT_RUN</t>
        </is>
      </c>
      <c r="P3342" t="n">
        <v>0</v>
      </c>
      <c r="Q3342" t="n">
        <v>3341</v>
      </c>
    </row>
    <row r="3343">
      <c r="A3343" t="n">
        <v>3342</v>
      </c>
      <c r="B3343" t="inlineStr">
        <is>
          <t>MTR-IOS-3342</t>
        </is>
      </c>
      <c r="C3343" t="inlineStr">
        <is>
          <t>iPhone</t>
        </is>
      </c>
      <c r="D3343" t="inlineStr">
        <is>
          <t>Business</t>
        </is>
      </c>
      <c r="E3343" t="inlineStr">
        <is>
          <t>Business</t>
        </is>
      </c>
      <c r="F3343" t="inlineStr">
        <is>
          <t>Team Operations</t>
        </is>
      </c>
      <c r="G3343" t="inlineStr">
        <is>
          <t>Payroll</t>
        </is>
      </c>
      <c r="H3343" t="inlineStr">
        <is>
          <t>Business &gt; Team Operations &gt; Quick Add &gt; Payroll</t>
        </is>
      </c>
      <c r="I3343" s="18" t="n">
        <v>140697.58</v>
      </c>
      <c r="J3343" t="inlineStr">
        <is>
          <t>Created MTR-IOS-3342 and correlation note visible in Activity/Pulse</t>
        </is>
      </c>
      <c r="K3343" t="inlineStr">
        <is>
          <t>NOT_RUN</t>
        </is>
      </c>
      <c r="P3343" t="n">
        <v>0</v>
      </c>
      <c r="Q3343" t="n">
        <v>3342</v>
      </c>
    </row>
    <row r="3344">
      <c r="A3344" t="n">
        <v>3343</v>
      </c>
      <c r="B3344" t="inlineStr">
        <is>
          <t>MTR-IOS-3343</t>
        </is>
      </c>
      <c r="C3344" t="inlineStr">
        <is>
          <t>iPhone</t>
        </is>
      </c>
      <c r="D3344" t="inlineStr">
        <is>
          <t>Personal</t>
        </is>
      </c>
      <c r="E3344" t="inlineStr">
        <is>
          <t>Personal</t>
        </is>
      </c>
      <c r="F3344" t="inlineStr">
        <is>
          <t>Future Building</t>
        </is>
      </c>
      <c r="G3344" t="inlineStr">
        <is>
          <t>Education</t>
        </is>
      </c>
      <c r="H3344" t="inlineStr">
        <is>
          <t>Personal &gt; Future Building &gt; Quick Add &gt; Education</t>
        </is>
      </c>
      <c r="I3344" s="18" t="n">
        <v>6637.95</v>
      </c>
      <c r="J3344" t="inlineStr">
        <is>
          <t>Created MTR-IOS-3343 and correlation note visible in Activity/Pulse</t>
        </is>
      </c>
      <c r="K3344" t="inlineStr">
        <is>
          <t>NOT_RUN</t>
        </is>
      </c>
      <c r="P3344" t="n">
        <v>0</v>
      </c>
      <c r="Q3344" t="n">
        <v>3343</v>
      </c>
    </row>
    <row r="3345">
      <c r="A3345" t="n">
        <v>3344</v>
      </c>
      <c r="B3345" t="inlineStr">
        <is>
          <t>MTR-IOS-3344</t>
        </is>
      </c>
      <c r="C3345" t="inlineStr">
        <is>
          <t>iPhone</t>
        </is>
      </c>
      <c r="D3345" t="inlineStr">
        <is>
          <t>Group</t>
        </is>
      </c>
      <c r="E3345" t="inlineStr">
        <is>
          <t>Shared Experience</t>
        </is>
      </c>
      <c r="F3345" t="inlineStr">
        <is>
          <t>Wedding</t>
        </is>
      </c>
      <c r="G3345" t="inlineStr">
        <is>
          <t>Photography</t>
        </is>
      </c>
      <c r="H3345" t="inlineStr">
        <is>
          <t>Group &gt; Wedding &gt; Quick Add &gt; Photography</t>
        </is>
      </c>
      <c r="I3345" s="18" t="n">
        <v>22669.57</v>
      </c>
      <c r="J3345" t="inlineStr">
        <is>
          <t>Created MTR-IOS-3344 and correlation note visible in Activity/Pulse</t>
        </is>
      </c>
      <c r="K3345" t="inlineStr">
        <is>
          <t>NOT_RUN</t>
        </is>
      </c>
      <c r="P3345" t="n">
        <v>0</v>
      </c>
      <c r="Q3345" t="n">
        <v>3344</v>
      </c>
    </row>
    <row r="3346">
      <c r="A3346" t="n">
        <v>3345</v>
      </c>
      <c r="B3346" t="inlineStr">
        <is>
          <t>MTR-IOS-3345</t>
        </is>
      </c>
      <c r="C3346" t="inlineStr">
        <is>
          <t>iPhone</t>
        </is>
      </c>
      <c r="D3346" t="inlineStr">
        <is>
          <t>Business</t>
        </is>
      </c>
      <c r="E3346" t="inlineStr">
        <is>
          <t>Business</t>
        </is>
      </c>
      <c r="F3346" t="inlineStr">
        <is>
          <t>Team Operations</t>
        </is>
      </c>
      <c r="G3346" t="inlineStr">
        <is>
          <t>Contractor</t>
        </is>
      </c>
      <c r="H3346" t="inlineStr">
        <is>
          <t>Business &gt; Team Operations &gt; Quick Add &gt; Contractor</t>
        </is>
      </c>
      <c r="I3346" s="18" t="n">
        <v>30932.62</v>
      </c>
      <c r="J3346" t="inlineStr">
        <is>
          <t>Created MTR-IOS-3345 and correlation note visible in Activity/Pulse</t>
        </is>
      </c>
      <c r="K3346" t="inlineStr">
        <is>
          <t>NOT_RUN</t>
        </is>
      </c>
      <c r="P3346" t="n">
        <v>0</v>
      </c>
      <c r="Q3346" t="n">
        <v>3345</v>
      </c>
    </row>
    <row r="3347">
      <c r="A3347" t="n">
        <v>3346</v>
      </c>
      <c r="B3347" t="inlineStr">
        <is>
          <t>MTR-IOS-3346</t>
        </is>
      </c>
      <c r="C3347" t="inlineStr">
        <is>
          <t>iPhone</t>
        </is>
      </c>
      <c r="D3347" t="inlineStr">
        <is>
          <t>Personal</t>
        </is>
      </c>
      <c r="E3347" t="inlineStr">
        <is>
          <t>Personal</t>
        </is>
      </c>
      <c r="F3347" t="inlineStr">
        <is>
          <t>Future Building</t>
        </is>
      </c>
      <c r="G3347" t="inlineStr">
        <is>
          <t>Goal Contribution</t>
        </is>
      </c>
      <c r="H3347" t="inlineStr">
        <is>
          <t>Personal &gt; Future Building &gt; Quick Add &gt; Goal Contribution</t>
        </is>
      </c>
      <c r="I3347" s="18" t="n">
        <v>6583.36</v>
      </c>
      <c r="J3347" t="inlineStr">
        <is>
          <t>Created MTR-IOS-3346 and correlation note visible in Activity/Pulse</t>
        </is>
      </c>
      <c r="K3347" t="inlineStr">
        <is>
          <t>NOT_RUN</t>
        </is>
      </c>
      <c r="P3347" t="n">
        <v>0</v>
      </c>
      <c r="Q3347" t="n">
        <v>3346</v>
      </c>
    </row>
    <row r="3348">
      <c r="A3348" t="n">
        <v>3347</v>
      </c>
      <c r="B3348" t="inlineStr">
        <is>
          <t>MTR-IOS-3347</t>
        </is>
      </c>
      <c r="C3348" t="inlineStr">
        <is>
          <t>iPhone</t>
        </is>
      </c>
      <c r="D3348" t="inlineStr">
        <is>
          <t>Group</t>
        </is>
      </c>
      <c r="E3348" t="inlineStr">
        <is>
          <t>Shared Experience</t>
        </is>
      </c>
      <c r="F3348" t="inlineStr">
        <is>
          <t>Wedding</t>
        </is>
      </c>
      <c r="G3348" t="inlineStr">
        <is>
          <t>Other</t>
        </is>
      </c>
      <c r="H3348" t="inlineStr">
        <is>
          <t>Group &gt; Wedding &gt; Quick Add &gt; Other</t>
        </is>
      </c>
      <c r="I3348" s="18" t="n">
        <v>12151.84</v>
      </c>
      <c r="J3348" t="inlineStr">
        <is>
          <t>Created MTR-IOS-3347 and correlation note visible in Activity/Pulse</t>
        </is>
      </c>
      <c r="K3348" t="inlineStr">
        <is>
          <t>NOT_RUN</t>
        </is>
      </c>
      <c r="P3348" t="n">
        <v>0</v>
      </c>
      <c r="Q3348" t="n">
        <v>3347</v>
      </c>
    </row>
    <row r="3349">
      <c r="A3349" t="n">
        <v>3348</v>
      </c>
      <c r="B3349" t="inlineStr">
        <is>
          <t>MTR-IOS-3348</t>
        </is>
      </c>
      <c r="C3349" t="inlineStr">
        <is>
          <t>iPhone</t>
        </is>
      </c>
      <c r="D3349" t="inlineStr">
        <is>
          <t>Business</t>
        </is>
      </c>
      <c r="E3349" t="inlineStr">
        <is>
          <t>Business</t>
        </is>
      </c>
      <c r="F3349" t="inlineStr">
        <is>
          <t>Team Operations</t>
        </is>
      </c>
      <c r="G3349" t="inlineStr">
        <is>
          <t>Hiring</t>
        </is>
      </c>
      <c r="H3349" t="inlineStr">
        <is>
          <t>Business &gt; Team Operations &gt; Quick Add &gt; Hiring</t>
        </is>
      </c>
      <c r="I3349" s="18" t="n">
        <v>80666.45</v>
      </c>
      <c r="J3349" t="inlineStr">
        <is>
          <t>Created MTR-IOS-3348 and correlation note visible in Activity/Pulse</t>
        </is>
      </c>
      <c r="K3349" t="inlineStr">
        <is>
          <t>NOT_RUN</t>
        </is>
      </c>
      <c r="P3349" t="n">
        <v>0</v>
      </c>
      <c r="Q3349" t="n">
        <v>3348</v>
      </c>
    </row>
    <row r="3350">
      <c r="A3350" t="n">
        <v>3349</v>
      </c>
      <c r="B3350" t="inlineStr">
        <is>
          <t>MTR-IOS-3349</t>
        </is>
      </c>
      <c r="C3350" t="inlineStr">
        <is>
          <t>iPhone</t>
        </is>
      </c>
      <c r="D3350" t="inlineStr">
        <is>
          <t>Personal</t>
        </is>
      </c>
      <c r="E3350" t="inlineStr">
        <is>
          <t>Personal</t>
        </is>
      </c>
      <c r="F3350" t="inlineStr">
        <is>
          <t>Lifestyle</t>
        </is>
      </c>
      <c r="G3350" t="inlineStr">
        <is>
          <t>Dining</t>
        </is>
      </c>
      <c r="H3350" t="inlineStr">
        <is>
          <t>Personal &gt; Lifestyle &gt; Quick Add &gt; Dining</t>
        </is>
      </c>
      <c r="I3350" s="18" t="n">
        <v>14961.57</v>
      </c>
      <c r="J3350" t="inlineStr">
        <is>
          <t>Created MTR-IOS-3349 and correlation note visible in Activity/Pulse</t>
        </is>
      </c>
      <c r="K3350" t="inlineStr">
        <is>
          <t>NOT_RUN</t>
        </is>
      </c>
      <c r="P3350" t="n">
        <v>0</v>
      </c>
      <c r="Q3350" t="n">
        <v>3349</v>
      </c>
    </row>
    <row r="3351">
      <c r="A3351" t="n">
        <v>3350</v>
      </c>
      <c r="B3351" t="inlineStr">
        <is>
          <t>MTR-IOS-3350</t>
        </is>
      </c>
      <c r="C3351" t="inlineStr">
        <is>
          <t>iPhone</t>
        </is>
      </c>
      <c r="D3351" t="inlineStr">
        <is>
          <t>Group</t>
        </is>
      </c>
      <c r="E3351" t="inlineStr">
        <is>
          <t>Shared Experience</t>
        </is>
      </c>
      <c r="F3351" t="inlineStr">
        <is>
          <t>Office Outing</t>
        </is>
      </c>
      <c r="G3351" t="inlineStr">
        <is>
          <t>Food</t>
        </is>
      </c>
      <c r="H3351" t="inlineStr">
        <is>
          <t>Group &gt; Office Outing &gt; Quick Add &gt; Food</t>
        </is>
      </c>
      <c r="I3351" s="18" t="n">
        <v>20681.09</v>
      </c>
      <c r="J3351" t="inlineStr">
        <is>
          <t>Created MTR-IOS-3350 and correlation note visible in Activity/Pulse</t>
        </is>
      </c>
      <c r="K3351" t="inlineStr">
        <is>
          <t>NOT_RUN</t>
        </is>
      </c>
      <c r="P3351" t="n">
        <v>0</v>
      </c>
      <c r="Q3351" t="n">
        <v>3350</v>
      </c>
    </row>
    <row r="3352">
      <c r="A3352" t="n">
        <v>3351</v>
      </c>
      <c r="B3352" t="inlineStr">
        <is>
          <t>MTR-IOS-3351</t>
        </is>
      </c>
      <c r="C3352" t="inlineStr">
        <is>
          <t>iPhone</t>
        </is>
      </c>
      <c r="D3352" t="inlineStr">
        <is>
          <t>Business</t>
        </is>
      </c>
      <c r="E3352" t="inlineStr">
        <is>
          <t>Business</t>
        </is>
      </c>
      <c r="F3352" t="inlineStr">
        <is>
          <t>Team Operations</t>
        </is>
      </c>
      <c r="G3352" t="inlineStr">
        <is>
          <t>Team Meal</t>
        </is>
      </c>
      <c r="H3352" t="inlineStr">
        <is>
          <t>Business &gt; Team Operations &gt; Quick Add &gt; Team Meal</t>
        </is>
      </c>
      <c r="I3352" s="18" t="n">
        <v>106442.77</v>
      </c>
      <c r="J3352" t="inlineStr">
        <is>
          <t>Created MTR-IOS-3351 and correlation note visible in Activity/Pulse</t>
        </is>
      </c>
      <c r="K3352" t="inlineStr">
        <is>
          <t>NOT_RUN</t>
        </is>
      </c>
      <c r="P3352" t="n">
        <v>0</v>
      </c>
      <c r="Q3352" t="n">
        <v>3351</v>
      </c>
    </row>
    <row r="3353">
      <c r="A3353" t="n">
        <v>3352</v>
      </c>
      <c r="B3353" t="inlineStr">
        <is>
          <t>MTR-IOS-3352</t>
        </is>
      </c>
      <c r="C3353" t="inlineStr">
        <is>
          <t>iPhone</t>
        </is>
      </c>
      <c r="D3353" t="inlineStr">
        <is>
          <t>Personal</t>
        </is>
      </c>
      <c r="E3353" t="inlineStr">
        <is>
          <t>Personal</t>
        </is>
      </c>
      <c r="F3353" t="inlineStr">
        <is>
          <t>Lifestyle</t>
        </is>
      </c>
      <c r="G3353" t="inlineStr">
        <is>
          <t>Shopping</t>
        </is>
      </c>
      <c r="H3353" t="inlineStr">
        <is>
          <t>Personal &gt; Lifestyle &gt; Quick Add &gt; Shopping</t>
        </is>
      </c>
      <c r="I3353" s="18" t="n">
        <v>16592.75</v>
      </c>
      <c r="J3353" t="inlineStr">
        <is>
          <t>Created MTR-IOS-3352 and correlation note visible in Activity/Pulse</t>
        </is>
      </c>
      <c r="K3353" t="inlineStr">
        <is>
          <t>NOT_RUN</t>
        </is>
      </c>
      <c r="P3353" t="n">
        <v>0</v>
      </c>
      <c r="Q3353" t="n">
        <v>3352</v>
      </c>
    </row>
    <row r="3354">
      <c r="A3354" t="n">
        <v>3353</v>
      </c>
      <c r="B3354" t="inlineStr">
        <is>
          <t>MTR-IOS-3353</t>
        </is>
      </c>
      <c r="C3354" t="inlineStr">
        <is>
          <t>iPhone</t>
        </is>
      </c>
      <c r="D3354" t="inlineStr">
        <is>
          <t>Group</t>
        </is>
      </c>
      <c r="E3354" t="inlineStr">
        <is>
          <t>Shared Experience</t>
        </is>
      </c>
      <c r="F3354" t="inlineStr">
        <is>
          <t>Office Outing</t>
        </is>
      </c>
      <c r="G3354" t="inlineStr">
        <is>
          <t>Travel</t>
        </is>
      </c>
      <c r="H3354" t="inlineStr">
        <is>
          <t>Group &gt; Office Outing &gt; Quick Add &gt; Travel</t>
        </is>
      </c>
      <c r="I3354" s="18" t="n">
        <v>18132.72</v>
      </c>
      <c r="J3354" t="inlineStr">
        <is>
          <t>Created MTR-IOS-3353 and correlation note visible in Activity/Pulse</t>
        </is>
      </c>
      <c r="K3354" t="inlineStr">
        <is>
          <t>NOT_RUN</t>
        </is>
      </c>
      <c r="P3354" t="n">
        <v>0</v>
      </c>
      <c r="Q3354" t="n">
        <v>3353</v>
      </c>
    </row>
    <row r="3355">
      <c r="A3355" t="n">
        <v>3354</v>
      </c>
      <c r="B3355" t="inlineStr">
        <is>
          <t>MTR-IOS-3354</t>
        </is>
      </c>
      <c r="C3355" t="inlineStr">
        <is>
          <t>iPhone</t>
        </is>
      </c>
      <c r="D3355" t="inlineStr">
        <is>
          <t>Business</t>
        </is>
      </c>
      <c r="E3355" t="inlineStr">
        <is>
          <t>Business</t>
        </is>
      </c>
      <c r="F3355" t="inlineStr">
        <is>
          <t>Team Operations</t>
        </is>
      </c>
      <c r="G3355" t="inlineStr">
        <is>
          <t>Travel</t>
        </is>
      </c>
      <c r="H3355" t="inlineStr">
        <is>
          <t>Business &gt; Team Operations &gt; Quick Add &gt; Travel</t>
        </is>
      </c>
      <c r="I3355" s="18" t="n">
        <v>3868.97</v>
      </c>
      <c r="J3355" t="inlineStr">
        <is>
          <t>Created MTR-IOS-3354 and correlation note visible in Activity/Pulse</t>
        </is>
      </c>
      <c r="K3355" t="inlineStr">
        <is>
          <t>NOT_RUN</t>
        </is>
      </c>
      <c r="P3355" t="n">
        <v>0</v>
      </c>
      <c r="Q3355" t="n">
        <v>3354</v>
      </c>
    </row>
    <row r="3356">
      <c r="A3356" t="n">
        <v>3355</v>
      </c>
      <c r="B3356" t="inlineStr">
        <is>
          <t>MTR-IOS-3355</t>
        </is>
      </c>
      <c r="C3356" t="inlineStr">
        <is>
          <t>iPhone</t>
        </is>
      </c>
      <c r="D3356" t="inlineStr">
        <is>
          <t>Personal</t>
        </is>
      </c>
      <c r="E3356" t="inlineStr">
        <is>
          <t>Personal</t>
        </is>
      </c>
      <c r="F3356" t="inlineStr">
        <is>
          <t>Lifestyle</t>
        </is>
      </c>
      <c r="G3356" t="inlineStr">
        <is>
          <t>Entertainment</t>
        </is>
      </c>
      <c r="H3356" t="inlineStr">
        <is>
          <t>Personal &gt; Lifestyle &gt; Quick Add &gt; Entertainment</t>
        </is>
      </c>
      <c r="I3356" s="18" t="n">
        <v>12415.53</v>
      </c>
      <c r="J3356" t="inlineStr">
        <is>
          <t>Created MTR-IOS-3355 and correlation note visible in Activity/Pulse</t>
        </is>
      </c>
      <c r="K3356" t="inlineStr">
        <is>
          <t>NOT_RUN</t>
        </is>
      </c>
      <c r="P3356" t="n">
        <v>0</v>
      </c>
      <c r="Q3356" t="n">
        <v>3355</v>
      </c>
    </row>
    <row r="3357">
      <c r="A3357" t="n">
        <v>3356</v>
      </c>
      <c r="B3357" t="inlineStr">
        <is>
          <t>MTR-IOS-3356</t>
        </is>
      </c>
      <c r="C3357" t="inlineStr">
        <is>
          <t>iPhone</t>
        </is>
      </c>
      <c r="D3357" t="inlineStr">
        <is>
          <t>Group</t>
        </is>
      </c>
      <c r="E3357" t="inlineStr">
        <is>
          <t>Shared Experience</t>
        </is>
      </c>
      <c r="F3357" t="inlineStr">
        <is>
          <t>Office Outing</t>
        </is>
      </c>
      <c r="G3357" t="inlineStr">
        <is>
          <t>Activities</t>
        </is>
      </c>
      <c r="H3357" t="inlineStr">
        <is>
          <t>Group &gt; Office Outing &gt; Quick Add &gt; Activities</t>
        </is>
      </c>
      <c r="I3357" s="18" t="n">
        <v>16129.08</v>
      </c>
      <c r="J3357" t="inlineStr">
        <is>
          <t>Created MTR-IOS-3356 and correlation note visible in Activity/Pulse</t>
        </is>
      </c>
      <c r="K3357" t="inlineStr">
        <is>
          <t>NOT_RUN</t>
        </is>
      </c>
      <c r="P3357" t="n">
        <v>0</v>
      </c>
      <c r="Q3357" t="n">
        <v>3356</v>
      </c>
    </row>
    <row r="3358">
      <c r="A3358" t="n">
        <v>3357</v>
      </c>
      <c r="B3358" t="inlineStr">
        <is>
          <t>MTR-IOS-3357</t>
        </is>
      </c>
      <c r="C3358" t="inlineStr">
        <is>
          <t>iPhone</t>
        </is>
      </c>
      <c r="D3358" t="inlineStr">
        <is>
          <t>Business</t>
        </is>
      </c>
      <c r="E3358" t="inlineStr">
        <is>
          <t>Business</t>
        </is>
      </c>
      <c r="F3358" t="inlineStr">
        <is>
          <t>Team Operations</t>
        </is>
      </c>
      <c r="G3358" t="inlineStr">
        <is>
          <t>Training</t>
        </is>
      </c>
      <c r="H3358" t="inlineStr">
        <is>
          <t>Business &gt; Team Operations &gt; Quick Add &gt; Training</t>
        </is>
      </c>
      <c r="I3358" s="18" t="n">
        <v>84291.28999999999</v>
      </c>
      <c r="J3358" t="inlineStr">
        <is>
          <t>Created MTR-IOS-3357 and correlation note visible in Activity/Pulse</t>
        </is>
      </c>
      <c r="K3358" t="inlineStr">
        <is>
          <t>NOT_RUN</t>
        </is>
      </c>
      <c r="P3358" t="n">
        <v>0</v>
      </c>
      <c r="Q3358" t="n">
        <v>3357</v>
      </c>
    </row>
    <row r="3359">
      <c r="A3359" t="n">
        <v>3358</v>
      </c>
      <c r="B3359" t="inlineStr">
        <is>
          <t>MTR-IOS-3358</t>
        </is>
      </c>
      <c r="C3359" t="inlineStr">
        <is>
          <t>iPhone</t>
        </is>
      </c>
      <c r="D3359" t="inlineStr">
        <is>
          <t>Personal</t>
        </is>
      </c>
      <c r="E3359" t="inlineStr">
        <is>
          <t>Personal</t>
        </is>
      </c>
      <c r="F3359" t="inlineStr">
        <is>
          <t>Lifestyle</t>
        </is>
      </c>
      <c r="G3359" t="inlineStr">
        <is>
          <t>Travel</t>
        </is>
      </c>
      <c r="H3359" t="inlineStr">
        <is>
          <t>Personal &gt; Lifestyle &gt; Quick Add &gt; Travel</t>
        </is>
      </c>
      <c r="I3359" s="18" t="n">
        <v>334.79</v>
      </c>
      <c r="J3359" t="inlineStr">
        <is>
          <t>Created MTR-IOS-3358 and correlation note visible in Activity/Pulse</t>
        </is>
      </c>
      <c r="K3359" t="inlineStr">
        <is>
          <t>NOT_RUN</t>
        </is>
      </c>
      <c r="P3359" t="n">
        <v>0</v>
      </c>
      <c r="Q3359" t="n">
        <v>3358</v>
      </c>
    </row>
    <row r="3360">
      <c r="A3360" t="n">
        <v>3359</v>
      </c>
      <c r="B3360" t="inlineStr">
        <is>
          <t>MTR-IOS-3359</t>
        </is>
      </c>
      <c r="C3360" t="inlineStr">
        <is>
          <t>iPhone</t>
        </is>
      </c>
      <c r="D3360" t="inlineStr">
        <is>
          <t>Group</t>
        </is>
      </c>
      <c r="E3360" t="inlineStr">
        <is>
          <t>Shared Experience</t>
        </is>
      </c>
      <c r="F3360" t="inlineStr">
        <is>
          <t>Office Outing</t>
        </is>
      </c>
      <c r="G3360" t="inlineStr">
        <is>
          <t>Venue</t>
        </is>
      </c>
      <c r="H3360" t="inlineStr">
        <is>
          <t>Group &gt; Office Outing &gt; Quick Add &gt; Venue</t>
        </is>
      </c>
      <c r="I3360" s="18" t="n">
        <v>17110</v>
      </c>
      <c r="J3360" t="inlineStr">
        <is>
          <t>Created MTR-IOS-3359 and correlation note visible in Activity/Pulse</t>
        </is>
      </c>
      <c r="K3360" t="inlineStr">
        <is>
          <t>NOT_RUN</t>
        </is>
      </c>
      <c r="P3360" t="n">
        <v>0</v>
      </c>
      <c r="Q3360" t="n">
        <v>3359</v>
      </c>
    </row>
    <row r="3361">
      <c r="A3361" t="n">
        <v>3360</v>
      </c>
      <c r="B3361" t="inlineStr">
        <is>
          <t>MTR-IOS-3360</t>
        </is>
      </c>
      <c r="C3361" t="inlineStr">
        <is>
          <t>iPhone</t>
        </is>
      </c>
      <c r="D3361" t="inlineStr">
        <is>
          <t>Business</t>
        </is>
      </c>
      <c r="E3361" t="inlineStr">
        <is>
          <t>Business</t>
        </is>
      </c>
      <c r="F3361" t="inlineStr">
        <is>
          <t>Team Operations</t>
        </is>
      </c>
      <c r="G3361" t="inlineStr">
        <is>
          <t>Tools</t>
        </is>
      </c>
      <c r="H3361" t="inlineStr">
        <is>
          <t>Business &gt; Team Operations &gt; Quick Add &gt; Tools</t>
        </is>
      </c>
      <c r="I3361" s="18" t="n">
        <v>24419.88</v>
      </c>
      <c r="J3361" t="inlineStr">
        <is>
          <t>Created MTR-IOS-3360 and correlation note visible in Activity/Pulse</t>
        </is>
      </c>
      <c r="K3361" t="inlineStr">
        <is>
          <t>NOT_RUN</t>
        </is>
      </c>
      <c r="P3361" t="n">
        <v>0</v>
      </c>
      <c r="Q3361" t="n">
        <v>3360</v>
      </c>
    </row>
    <row r="3362">
      <c r="A3362" t="n">
        <v>3361</v>
      </c>
      <c r="B3362" t="inlineStr">
        <is>
          <t>MTR-IOS-3361</t>
        </is>
      </c>
      <c r="C3362" t="inlineStr">
        <is>
          <t>iPhone</t>
        </is>
      </c>
      <c r="D3362" t="inlineStr">
        <is>
          <t>Personal</t>
        </is>
      </c>
      <c r="E3362" t="inlineStr">
        <is>
          <t>Personal</t>
        </is>
      </c>
      <c r="F3362" t="inlineStr">
        <is>
          <t>Lifestyle</t>
        </is>
      </c>
      <c r="G3362" t="inlineStr">
        <is>
          <t>Fitness</t>
        </is>
      </c>
      <c r="H3362" t="inlineStr">
        <is>
          <t>Personal &gt; Lifestyle &gt; Quick Add &gt; Fitness</t>
        </is>
      </c>
      <c r="I3362" s="18" t="n">
        <v>10356.26</v>
      </c>
      <c r="J3362" t="inlineStr">
        <is>
          <t>Created MTR-IOS-3361 and correlation note visible in Activity/Pulse</t>
        </is>
      </c>
      <c r="K3362" t="inlineStr">
        <is>
          <t>NOT_RUN</t>
        </is>
      </c>
      <c r="P3362" t="n">
        <v>0</v>
      </c>
      <c r="Q3362" t="n">
        <v>3361</v>
      </c>
    </row>
    <row r="3363">
      <c r="A3363" t="n">
        <v>3362</v>
      </c>
      <c r="B3363" t="inlineStr">
        <is>
          <t>MTR-IOS-3362</t>
        </is>
      </c>
      <c r="C3363" t="inlineStr">
        <is>
          <t>iPhone</t>
        </is>
      </c>
      <c r="D3363" t="inlineStr">
        <is>
          <t>Group</t>
        </is>
      </c>
      <c r="E3363" t="inlineStr">
        <is>
          <t>Shared Experience</t>
        </is>
      </c>
      <c r="F3363" t="inlineStr">
        <is>
          <t>Office Outing</t>
        </is>
      </c>
      <c r="G3363" t="inlineStr">
        <is>
          <t>Other</t>
        </is>
      </c>
      <c r="H3363" t="inlineStr">
        <is>
          <t>Group &gt; Office Outing &gt; Quick Add &gt; Other</t>
        </is>
      </c>
      <c r="I3363" s="18" t="n">
        <v>16237.25</v>
      </c>
      <c r="J3363" t="inlineStr">
        <is>
          <t>Created MTR-IOS-3362 and correlation note visible in Activity/Pulse</t>
        </is>
      </c>
      <c r="K3363" t="inlineStr">
        <is>
          <t>NOT_RUN</t>
        </is>
      </c>
      <c r="P3363" t="n">
        <v>0</v>
      </c>
      <c r="Q3363" t="n">
        <v>3362</v>
      </c>
    </row>
    <row r="3364">
      <c r="A3364" t="n">
        <v>3363</v>
      </c>
      <c r="B3364" t="inlineStr">
        <is>
          <t>MTR-IOS-3363</t>
        </is>
      </c>
      <c r="C3364" t="inlineStr">
        <is>
          <t>iPhone</t>
        </is>
      </c>
      <c r="D3364" t="inlineStr">
        <is>
          <t>Business</t>
        </is>
      </c>
      <c r="E3364" t="inlineStr">
        <is>
          <t>Business</t>
        </is>
      </c>
      <c r="F3364" t="inlineStr">
        <is>
          <t>Business Runway</t>
        </is>
      </c>
      <c r="G3364" t="inlineStr">
        <is>
          <t>Funding</t>
        </is>
      </c>
      <c r="H3364" t="inlineStr">
        <is>
          <t>Business &gt; Business Runway &gt; Quick Add &gt; Funding</t>
        </is>
      </c>
      <c r="I3364" s="18" t="n">
        <v>15056.58</v>
      </c>
      <c r="J3364" t="inlineStr">
        <is>
          <t>Created MTR-IOS-3363 and correlation note visible in Activity/Pulse</t>
        </is>
      </c>
      <c r="K3364" t="inlineStr">
        <is>
          <t>NOT_RUN</t>
        </is>
      </c>
      <c r="P3364" t="n">
        <v>0</v>
      </c>
      <c r="Q3364" t="n">
        <v>3363</v>
      </c>
    </row>
    <row r="3365">
      <c r="A3365" t="n">
        <v>3364</v>
      </c>
      <c r="B3365" t="inlineStr">
        <is>
          <t>MTR-IOS-3364</t>
        </is>
      </c>
      <c r="C3365" t="inlineStr">
        <is>
          <t>iPhone</t>
        </is>
      </c>
      <c r="D3365" t="inlineStr">
        <is>
          <t>Personal</t>
        </is>
      </c>
      <c r="E3365" t="inlineStr">
        <is>
          <t>Personal</t>
        </is>
      </c>
      <c r="F3365" t="inlineStr">
        <is>
          <t>Lifestyle</t>
        </is>
      </c>
      <c r="G3365" t="inlineStr">
        <is>
          <t>Hobbies</t>
        </is>
      </c>
      <c r="H3365" t="inlineStr">
        <is>
          <t>Personal &gt; Lifestyle &gt; Quick Add &gt; Hobbies</t>
        </is>
      </c>
      <c r="I3365" s="18" t="n">
        <v>15006.24</v>
      </c>
      <c r="J3365" t="inlineStr">
        <is>
          <t>Created MTR-IOS-3364 and correlation note visible in Activity/Pulse</t>
        </is>
      </c>
      <c r="K3365" t="inlineStr">
        <is>
          <t>NOT_RUN</t>
        </is>
      </c>
      <c r="P3365" t="n">
        <v>0</v>
      </c>
      <c r="Q3365" t="n">
        <v>3364</v>
      </c>
    </row>
    <row r="3366">
      <c r="A3366" t="n">
        <v>3365</v>
      </c>
      <c r="B3366" t="inlineStr">
        <is>
          <t>MTR-IOS-3365</t>
        </is>
      </c>
      <c r="C3366" t="inlineStr">
        <is>
          <t>iPhone</t>
        </is>
      </c>
      <c r="D3366" t="inlineStr">
        <is>
          <t>Group</t>
        </is>
      </c>
      <c r="E3366" t="inlineStr">
        <is>
          <t>Shared Experience</t>
        </is>
      </c>
      <c r="F3366" t="inlineStr">
        <is>
          <t>House Party</t>
        </is>
      </c>
      <c r="G3366" t="inlineStr">
        <is>
          <t>Food</t>
        </is>
      </c>
      <c r="H3366" t="inlineStr">
        <is>
          <t>Group &gt; House Party &gt; Quick Add &gt; Food</t>
        </is>
      </c>
      <c r="I3366" s="18" t="n">
        <v>23931.95</v>
      </c>
      <c r="J3366" t="inlineStr">
        <is>
          <t>Created MTR-IOS-3365 and correlation note visible in Activity/Pulse</t>
        </is>
      </c>
      <c r="K3366" t="inlineStr">
        <is>
          <t>NOT_RUN</t>
        </is>
      </c>
      <c r="P3366" t="n">
        <v>0</v>
      </c>
      <c r="Q3366" t="n">
        <v>3365</v>
      </c>
    </row>
    <row r="3367">
      <c r="A3367" t="n">
        <v>3366</v>
      </c>
      <c r="B3367" t="inlineStr">
        <is>
          <t>MTR-IOS-3366</t>
        </is>
      </c>
      <c r="C3367" t="inlineStr">
        <is>
          <t>iPhone</t>
        </is>
      </c>
      <c r="D3367" t="inlineStr">
        <is>
          <t>Business</t>
        </is>
      </c>
      <c r="E3367" t="inlineStr">
        <is>
          <t>Business</t>
        </is>
      </c>
      <c r="F3367" t="inlineStr">
        <is>
          <t>Business Runway</t>
        </is>
      </c>
      <c r="G3367" t="inlineStr">
        <is>
          <t>Revenue</t>
        </is>
      </c>
      <c r="H3367" t="inlineStr">
        <is>
          <t>Business &gt; Business Runway &gt; Quick Add &gt; Revenue</t>
        </is>
      </c>
      <c r="I3367" s="18" t="n">
        <v>56441.94</v>
      </c>
      <c r="J3367" t="inlineStr">
        <is>
          <t>Created MTR-IOS-3366 and correlation note visible in Activity/Pulse</t>
        </is>
      </c>
      <c r="K3367" t="inlineStr">
        <is>
          <t>NOT_RUN</t>
        </is>
      </c>
      <c r="P3367" t="n">
        <v>0</v>
      </c>
      <c r="Q3367" t="n">
        <v>3366</v>
      </c>
    </row>
    <row r="3368">
      <c r="A3368" t="n">
        <v>3367</v>
      </c>
      <c r="B3368" t="inlineStr">
        <is>
          <t>MTR-IOS-3367</t>
        </is>
      </c>
      <c r="C3368" t="inlineStr">
        <is>
          <t>iPhone</t>
        </is>
      </c>
      <c r="D3368" t="inlineStr">
        <is>
          <t>Personal</t>
        </is>
      </c>
      <c r="E3368" t="inlineStr">
        <is>
          <t>Personal</t>
        </is>
      </c>
      <c r="F3368" t="inlineStr">
        <is>
          <t>Relationships</t>
        </is>
      </c>
      <c r="G3368" t="inlineStr">
        <is>
          <t>Gifts</t>
        </is>
      </c>
      <c r="H3368" t="inlineStr">
        <is>
          <t>Personal &gt; Relationships &gt; Quick Add &gt; Gifts</t>
        </is>
      </c>
      <c r="I3368" s="18" t="n">
        <v>1</v>
      </c>
      <c r="J3368" t="inlineStr">
        <is>
          <t>Created MTR-IOS-3367 and correlation note visible in Activity/Pulse</t>
        </is>
      </c>
      <c r="K3368" t="inlineStr">
        <is>
          <t>NOT_RUN</t>
        </is>
      </c>
      <c r="P3368" t="n">
        <v>0</v>
      </c>
      <c r="Q3368" t="n">
        <v>3367</v>
      </c>
    </row>
    <row r="3369">
      <c r="A3369" t="n">
        <v>3368</v>
      </c>
      <c r="B3369" t="inlineStr">
        <is>
          <t>MTR-IOS-3368</t>
        </is>
      </c>
      <c r="C3369" t="inlineStr">
        <is>
          <t>iPhone</t>
        </is>
      </c>
      <c r="D3369" t="inlineStr">
        <is>
          <t>Group</t>
        </is>
      </c>
      <c r="E3369" t="inlineStr">
        <is>
          <t>Shared Experience</t>
        </is>
      </c>
      <c r="F3369" t="inlineStr">
        <is>
          <t>House Party</t>
        </is>
      </c>
      <c r="G3369" t="inlineStr">
        <is>
          <t>Drinks</t>
        </is>
      </c>
      <c r="H3369" t="inlineStr">
        <is>
          <t>Group &gt; House Party &gt; Quick Add &gt; Drinks</t>
        </is>
      </c>
      <c r="I3369" s="18" t="n">
        <v>18062.79</v>
      </c>
      <c r="J3369" t="inlineStr">
        <is>
          <t>Created MTR-IOS-3368 and correlation note visible in Activity/Pulse</t>
        </is>
      </c>
      <c r="K3369" t="inlineStr">
        <is>
          <t>NOT_RUN</t>
        </is>
      </c>
      <c r="P3369" t="n">
        <v>0</v>
      </c>
      <c r="Q3369" t="n">
        <v>3368</v>
      </c>
    </row>
    <row r="3370">
      <c r="A3370" t="n">
        <v>3369</v>
      </c>
      <c r="B3370" t="inlineStr">
        <is>
          <t>MTR-IOS-3369</t>
        </is>
      </c>
      <c r="C3370" t="inlineStr">
        <is>
          <t>iPhone</t>
        </is>
      </c>
      <c r="D3370" t="inlineStr">
        <is>
          <t>Business</t>
        </is>
      </c>
      <c r="E3370" t="inlineStr">
        <is>
          <t>Business</t>
        </is>
      </c>
      <c r="F3370" t="inlineStr">
        <is>
          <t>Business Runway</t>
        </is>
      </c>
      <c r="G3370" t="inlineStr">
        <is>
          <t>Burn</t>
        </is>
      </c>
      <c r="H3370" t="inlineStr">
        <is>
          <t>Business &gt; Business Runway &gt; Quick Add &gt; Burn</t>
        </is>
      </c>
      <c r="I3370" s="18" t="n">
        <v>6809.12</v>
      </c>
      <c r="J3370" t="inlineStr">
        <is>
          <t>Created MTR-IOS-3369 and correlation note visible in Activity/Pulse</t>
        </is>
      </c>
      <c r="K3370" t="inlineStr">
        <is>
          <t>NOT_RUN</t>
        </is>
      </c>
      <c r="P3370" t="n">
        <v>0</v>
      </c>
      <c r="Q3370" t="n">
        <v>3369</v>
      </c>
    </row>
    <row r="3371">
      <c r="A3371" t="n">
        <v>3370</v>
      </c>
      <c r="B3371" t="inlineStr">
        <is>
          <t>MTR-IOS-3370</t>
        </is>
      </c>
      <c r="C3371" t="inlineStr">
        <is>
          <t>iPhone</t>
        </is>
      </c>
      <c r="D3371" t="inlineStr">
        <is>
          <t>Personal</t>
        </is>
      </c>
      <c r="E3371" t="inlineStr">
        <is>
          <t>Personal</t>
        </is>
      </c>
      <c r="F3371" t="inlineStr">
        <is>
          <t>Relationships</t>
        </is>
      </c>
      <c r="G3371" t="inlineStr">
        <is>
          <t>Dates</t>
        </is>
      </c>
      <c r="H3371" t="inlineStr">
        <is>
          <t>Personal &gt; Relationships &gt; Quick Add &gt; Dates</t>
        </is>
      </c>
      <c r="I3371" s="18" t="n">
        <v>15849.24</v>
      </c>
      <c r="J3371" t="inlineStr">
        <is>
          <t>Created MTR-IOS-3370 and correlation note visible in Activity/Pulse</t>
        </is>
      </c>
      <c r="K3371" t="inlineStr">
        <is>
          <t>NOT_RUN</t>
        </is>
      </c>
      <c r="P3371" t="n">
        <v>0</v>
      </c>
      <c r="Q3371" t="n">
        <v>3370</v>
      </c>
    </row>
    <row r="3372">
      <c r="A3372" t="n">
        <v>3371</v>
      </c>
      <c r="B3372" t="inlineStr">
        <is>
          <t>MTR-IOS-3371</t>
        </is>
      </c>
      <c r="C3372" t="inlineStr">
        <is>
          <t>iPhone</t>
        </is>
      </c>
      <c r="D3372" t="inlineStr">
        <is>
          <t>Group</t>
        </is>
      </c>
      <c r="E3372" t="inlineStr">
        <is>
          <t>Shared Experience</t>
        </is>
      </c>
      <c r="F3372" t="inlineStr">
        <is>
          <t>House Party</t>
        </is>
      </c>
      <c r="G3372" t="inlineStr">
        <is>
          <t>Decor</t>
        </is>
      </c>
      <c r="H3372" t="inlineStr">
        <is>
          <t>Group &gt; House Party &gt; Quick Add &gt; Decor</t>
        </is>
      </c>
      <c r="I3372" s="18" t="n">
        <v>5969.74</v>
      </c>
      <c r="J3372" t="inlineStr">
        <is>
          <t>Created MTR-IOS-3371 and correlation note visible in Activity/Pulse</t>
        </is>
      </c>
      <c r="K3372" t="inlineStr">
        <is>
          <t>NOT_RUN</t>
        </is>
      </c>
      <c r="P3372" t="n">
        <v>0</v>
      </c>
      <c r="Q3372" t="n">
        <v>3371</v>
      </c>
    </row>
    <row r="3373">
      <c r="A3373" t="n">
        <v>3372</v>
      </c>
      <c r="B3373" t="inlineStr">
        <is>
          <t>MTR-IOS-3372</t>
        </is>
      </c>
      <c r="C3373" t="inlineStr">
        <is>
          <t>iPhone</t>
        </is>
      </c>
      <c r="D3373" t="inlineStr">
        <is>
          <t>Business</t>
        </is>
      </c>
      <c r="E3373" t="inlineStr">
        <is>
          <t>Business</t>
        </is>
      </c>
      <c r="F3373" t="inlineStr">
        <is>
          <t>Business Runway</t>
        </is>
      </c>
      <c r="G3373" t="inlineStr">
        <is>
          <t>Reserve</t>
        </is>
      </c>
      <c r="H3373" t="inlineStr">
        <is>
          <t>Business &gt; Business Runway &gt; Quick Add &gt; Reserve</t>
        </is>
      </c>
      <c r="I3373" s="18" t="n">
        <v>67192.06</v>
      </c>
      <c r="J3373" t="inlineStr">
        <is>
          <t>Created MTR-IOS-3372 and correlation note visible in Activity/Pulse</t>
        </is>
      </c>
      <c r="K3373" t="inlineStr">
        <is>
          <t>NOT_RUN</t>
        </is>
      </c>
      <c r="P3373" t="n">
        <v>0</v>
      </c>
      <c r="Q3373" t="n">
        <v>3372</v>
      </c>
    </row>
    <row r="3374">
      <c r="A3374" t="n">
        <v>3373</v>
      </c>
      <c r="B3374" t="inlineStr">
        <is>
          <t>MTR-IOS-3373</t>
        </is>
      </c>
      <c r="C3374" t="inlineStr">
        <is>
          <t>iPhone</t>
        </is>
      </c>
      <c r="D3374" t="inlineStr">
        <is>
          <t>Personal</t>
        </is>
      </c>
      <c r="E3374" t="inlineStr">
        <is>
          <t>Personal</t>
        </is>
      </c>
      <c r="F3374" t="inlineStr">
        <is>
          <t>Relationships</t>
        </is>
      </c>
      <c r="G3374" t="inlineStr">
        <is>
          <t>Family</t>
        </is>
      </c>
      <c r="H3374" t="inlineStr">
        <is>
          <t>Personal &gt; Relationships &gt; Quick Add &gt; Family</t>
        </is>
      </c>
      <c r="I3374" s="18" t="n">
        <v>13620.91</v>
      </c>
      <c r="J3374" t="inlineStr">
        <is>
          <t>Created MTR-IOS-3373 and correlation note visible in Activity/Pulse</t>
        </is>
      </c>
      <c r="K3374" t="inlineStr">
        <is>
          <t>NOT_RUN</t>
        </is>
      </c>
      <c r="P3374" t="n">
        <v>0</v>
      </c>
      <c r="Q3374" t="n">
        <v>3373</v>
      </c>
    </row>
    <row r="3375">
      <c r="A3375" t="n">
        <v>3374</v>
      </c>
      <c r="B3375" t="inlineStr">
        <is>
          <t>MTR-IOS-3374</t>
        </is>
      </c>
      <c r="C3375" t="inlineStr">
        <is>
          <t>iPhone</t>
        </is>
      </c>
      <c r="D3375" t="inlineStr">
        <is>
          <t>Group</t>
        </is>
      </c>
      <c r="E3375" t="inlineStr">
        <is>
          <t>Shared Experience</t>
        </is>
      </c>
      <c r="F3375" t="inlineStr">
        <is>
          <t>House Party</t>
        </is>
      </c>
      <c r="G3375" t="inlineStr">
        <is>
          <t>Supplies</t>
        </is>
      </c>
      <c r="H3375" t="inlineStr">
        <is>
          <t>Group &gt; House Party &gt; Quick Add &gt; Supplies</t>
        </is>
      </c>
      <c r="I3375" s="18" t="n">
        <v>15517.37</v>
      </c>
      <c r="J3375" t="inlineStr">
        <is>
          <t>Created MTR-IOS-3374 and correlation note visible in Activity/Pulse</t>
        </is>
      </c>
      <c r="K3375" t="inlineStr">
        <is>
          <t>NOT_RUN</t>
        </is>
      </c>
      <c r="P3375" t="n">
        <v>0</v>
      </c>
      <c r="Q3375" t="n">
        <v>3374</v>
      </c>
    </row>
    <row r="3376">
      <c r="A3376" t="n">
        <v>3375</v>
      </c>
      <c r="B3376" t="inlineStr">
        <is>
          <t>MTR-IOS-3375</t>
        </is>
      </c>
      <c r="C3376" t="inlineStr">
        <is>
          <t>iPhone</t>
        </is>
      </c>
      <c r="D3376" t="inlineStr">
        <is>
          <t>Business</t>
        </is>
      </c>
      <c r="E3376" t="inlineStr">
        <is>
          <t>Business</t>
        </is>
      </c>
      <c r="F3376" t="inlineStr">
        <is>
          <t>Business Runway</t>
        </is>
      </c>
      <c r="G3376" t="inlineStr">
        <is>
          <t>Loan</t>
        </is>
      </c>
      <c r="H3376" t="inlineStr">
        <is>
          <t>Business &gt; Business Runway &gt; Quick Add &gt; Loan</t>
        </is>
      </c>
      <c r="I3376" s="18" t="n">
        <v>19724.61</v>
      </c>
      <c r="J3376" t="inlineStr">
        <is>
          <t>Created MTR-IOS-3375 and correlation note visible in Activity/Pulse</t>
        </is>
      </c>
      <c r="K3376" t="inlineStr">
        <is>
          <t>NOT_RUN</t>
        </is>
      </c>
      <c r="P3376" t="n">
        <v>0</v>
      </c>
      <c r="Q3376" t="n">
        <v>3375</v>
      </c>
    </row>
    <row r="3377">
      <c r="A3377" t="n">
        <v>3376</v>
      </c>
      <c r="B3377" t="inlineStr">
        <is>
          <t>MTR-IOS-3376</t>
        </is>
      </c>
      <c r="C3377" t="inlineStr">
        <is>
          <t>iPhone</t>
        </is>
      </c>
      <c r="D3377" t="inlineStr">
        <is>
          <t>Personal</t>
        </is>
      </c>
      <c r="E3377" t="inlineStr">
        <is>
          <t>Personal</t>
        </is>
      </c>
      <c r="F3377" t="inlineStr">
        <is>
          <t>Relationships</t>
        </is>
      </c>
      <c r="G3377" t="inlineStr">
        <is>
          <t>Friends</t>
        </is>
      </c>
      <c r="H3377" t="inlineStr">
        <is>
          <t>Personal &gt; Relationships &gt; Quick Add &gt; Friends</t>
        </is>
      </c>
      <c r="I3377" s="18" t="n">
        <v>8736.91</v>
      </c>
      <c r="J3377" t="inlineStr">
        <is>
          <t>Created MTR-IOS-3376 and correlation note visible in Activity/Pulse</t>
        </is>
      </c>
      <c r="K3377" t="inlineStr">
        <is>
          <t>NOT_RUN</t>
        </is>
      </c>
      <c r="P3377" t="n">
        <v>0</v>
      </c>
      <c r="Q3377" t="n">
        <v>3376</v>
      </c>
    </row>
    <row r="3378">
      <c r="A3378" t="n">
        <v>3377</v>
      </c>
      <c r="B3378" t="inlineStr">
        <is>
          <t>MTR-IOS-3377</t>
        </is>
      </c>
      <c r="C3378" t="inlineStr">
        <is>
          <t>iPhone</t>
        </is>
      </c>
      <c r="D3378" t="inlineStr">
        <is>
          <t>Group</t>
        </is>
      </c>
      <c r="E3378" t="inlineStr">
        <is>
          <t>Shared Experience</t>
        </is>
      </c>
      <c r="F3378" t="inlineStr">
        <is>
          <t>House Party</t>
        </is>
      </c>
      <c r="G3378" t="inlineStr">
        <is>
          <t>Other</t>
        </is>
      </c>
      <c r="H3378" t="inlineStr">
        <is>
          <t>Group &gt; House Party &gt; Quick Add &gt; Other</t>
        </is>
      </c>
      <c r="I3378" s="18" t="n">
        <v>835.61</v>
      </c>
      <c r="J3378" t="inlineStr">
        <is>
          <t>Created MTR-IOS-3377 and correlation note visible in Activity/Pulse</t>
        </is>
      </c>
      <c r="K3378" t="inlineStr">
        <is>
          <t>NOT_RUN</t>
        </is>
      </c>
      <c r="P3378" t="n">
        <v>0</v>
      </c>
      <c r="Q3378" t="n">
        <v>3377</v>
      </c>
    </row>
    <row r="3379">
      <c r="A3379" t="n">
        <v>3378</v>
      </c>
      <c r="B3379" t="inlineStr">
        <is>
          <t>MTR-IOS-3378</t>
        </is>
      </c>
      <c r="C3379" t="inlineStr">
        <is>
          <t>iPhone</t>
        </is>
      </c>
      <c r="D3379" t="inlineStr">
        <is>
          <t>Business</t>
        </is>
      </c>
      <c r="E3379" t="inlineStr">
        <is>
          <t>Business</t>
        </is>
      </c>
      <c r="F3379" t="inlineStr">
        <is>
          <t>Business Runway</t>
        </is>
      </c>
      <c r="G3379" t="inlineStr">
        <is>
          <t>Investment</t>
        </is>
      </c>
      <c r="H3379" t="inlineStr">
        <is>
          <t>Business &gt; Business Runway &gt; Quick Add &gt; Investment</t>
        </is>
      </c>
      <c r="I3379" s="18" t="n">
        <v>69707.86</v>
      </c>
      <c r="J3379" t="inlineStr">
        <is>
          <t>Created MTR-IOS-3378 and correlation note visible in Activity/Pulse</t>
        </is>
      </c>
      <c r="K3379" t="inlineStr">
        <is>
          <t>NOT_RUN</t>
        </is>
      </c>
      <c r="P3379" t="n">
        <v>0</v>
      </c>
      <c r="Q3379" t="n">
        <v>3378</v>
      </c>
    </row>
    <row r="3380">
      <c r="A3380" t="n">
        <v>3379</v>
      </c>
      <c r="B3380" t="inlineStr">
        <is>
          <t>MTR-IOS-3379</t>
        </is>
      </c>
      <c r="C3380" t="inlineStr">
        <is>
          <t>iPhone</t>
        </is>
      </c>
      <c r="D3380" t="inlineStr">
        <is>
          <t>Personal</t>
        </is>
      </c>
      <c r="E3380" t="inlineStr">
        <is>
          <t>Personal</t>
        </is>
      </c>
      <c r="F3380" t="inlineStr">
        <is>
          <t>Relationships</t>
        </is>
      </c>
      <c r="G3380" t="inlineStr">
        <is>
          <t>Celebrations</t>
        </is>
      </c>
      <c r="H3380" t="inlineStr">
        <is>
          <t>Personal &gt; Relationships &gt; Quick Add &gt; Celebrations</t>
        </is>
      </c>
      <c r="I3380" s="18" t="n">
        <v>13344.4</v>
      </c>
      <c r="J3380" t="inlineStr">
        <is>
          <t>Created MTR-IOS-3379 and correlation note visible in Activity/Pulse</t>
        </is>
      </c>
      <c r="K3380" t="inlineStr">
        <is>
          <t>NOT_RUN</t>
        </is>
      </c>
      <c r="P3380" t="n">
        <v>0</v>
      </c>
      <c r="Q3380" t="n">
        <v>3379</v>
      </c>
    </row>
    <row r="3381">
      <c r="A3381" t="n">
        <v>3380</v>
      </c>
      <c r="B3381" t="inlineStr">
        <is>
          <t>MTR-IOS-3380</t>
        </is>
      </c>
      <c r="C3381" t="inlineStr">
        <is>
          <t>iPhone</t>
        </is>
      </c>
      <c r="D3381" t="inlineStr">
        <is>
          <t>Group</t>
        </is>
      </c>
      <c r="E3381" t="inlineStr">
        <is>
          <t>Shared Purchase</t>
        </is>
      </c>
      <c r="F3381" t="inlineStr">
        <is>
          <t>Gift Pool</t>
        </is>
      </c>
      <c r="G3381" t="inlineStr">
        <is>
          <t>Contribution</t>
        </is>
      </c>
      <c r="H3381" t="inlineStr">
        <is>
          <t>Group &gt; Gift Pool &gt; Quick Add &gt; Contribution</t>
        </is>
      </c>
      <c r="I3381" s="18" t="n">
        <v>22761.31</v>
      </c>
      <c r="J3381" t="inlineStr">
        <is>
          <t>Created MTR-IOS-3380 and correlation note visible in Activity/Pulse</t>
        </is>
      </c>
      <c r="K3381" t="inlineStr">
        <is>
          <t>NOT_RUN</t>
        </is>
      </c>
      <c r="P3381" t="n">
        <v>0</v>
      </c>
      <c r="Q3381" t="n">
        <v>3380</v>
      </c>
    </row>
    <row r="3382">
      <c r="A3382" t="n">
        <v>3381</v>
      </c>
      <c r="B3382" t="inlineStr">
        <is>
          <t>MTR-IOS-3381</t>
        </is>
      </c>
      <c r="C3382" t="inlineStr">
        <is>
          <t>iPhone</t>
        </is>
      </c>
      <c r="D3382" t="inlineStr">
        <is>
          <t>Business</t>
        </is>
      </c>
      <c r="E3382" t="inlineStr">
        <is>
          <t>Business</t>
        </is>
      </c>
      <c r="F3382" t="inlineStr">
        <is>
          <t>Business Operations</t>
        </is>
      </c>
      <c r="G3382" t="inlineStr">
        <is>
          <t>Software</t>
        </is>
      </c>
      <c r="H3382" t="inlineStr">
        <is>
          <t>Business &gt; Business Operations &gt; Quick Add &gt; Software</t>
        </is>
      </c>
      <c r="I3382" s="18" t="n">
        <v>58793.03</v>
      </c>
      <c r="J3382" t="inlineStr">
        <is>
          <t>Created MTR-IOS-3381 and correlation note visible in Activity/Pulse</t>
        </is>
      </c>
      <c r="K3382" t="inlineStr">
        <is>
          <t>NOT_RUN</t>
        </is>
      </c>
      <c r="P3382" t="n">
        <v>0</v>
      </c>
      <c r="Q3382" t="n">
        <v>3381</v>
      </c>
    </row>
    <row r="3383">
      <c r="A3383" t="n">
        <v>3382</v>
      </c>
      <c r="B3383" t="inlineStr">
        <is>
          <t>MTR-IOS-3382</t>
        </is>
      </c>
      <c r="C3383" t="inlineStr">
        <is>
          <t>iPhone</t>
        </is>
      </c>
      <c r="D3383" t="inlineStr">
        <is>
          <t>Personal</t>
        </is>
      </c>
      <c r="E3383" t="inlineStr">
        <is>
          <t>Personal</t>
        </is>
      </c>
      <c r="F3383" t="inlineStr">
        <is>
          <t>Life Operations</t>
        </is>
      </c>
      <c r="G3383" t="inlineStr">
        <is>
          <t>Groceries</t>
        </is>
      </c>
      <c r="H3383" t="inlineStr">
        <is>
          <t>Personal &gt; Life Operations &gt; Quick Add &gt; Groceries</t>
        </is>
      </c>
      <c r="I3383" s="18" t="n">
        <v>8150.77</v>
      </c>
      <c r="J3383" t="inlineStr">
        <is>
          <t>Created MTR-IOS-3382 and correlation note visible in Activity/Pulse</t>
        </is>
      </c>
      <c r="K3383" t="inlineStr">
        <is>
          <t>NOT_RUN</t>
        </is>
      </c>
      <c r="P3383" t="n">
        <v>0</v>
      </c>
      <c r="Q3383" t="n">
        <v>3382</v>
      </c>
    </row>
    <row r="3384">
      <c r="A3384" t="n">
        <v>3383</v>
      </c>
      <c r="B3384" t="inlineStr">
        <is>
          <t>MTR-IOS-3383</t>
        </is>
      </c>
      <c r="C3384" t="inlineStr">
        <is>
          <t>iPhone</t>
        </is>
      </c>
      <c r="D3384" t="inlineStr">
        <is>
          <t>Group</t>
        </is>
      </c>
      <c r="E3384" t="inlineStr">
        <is>
          <t>Shared Purchase</t>
        </is>
      </c>
      <c r="F3384" t="inlineStr">
        <is>
          <t>Gift Pool</t>
        </is>
      </c>
      <c r="G3384" t="inlineStr">
        <is>
          <t>Gift Purchase</t>
        </is>
      </c>
      <c r="H3384" t="inlineStr">
        <is>
          <t>Group &gt; Gift Pool &gt; Quick Add &gt; Gift Purchase</t>
        </is>
      </c>
      <c r="I3384" s="18" t="n">
        <v>424.3</v>
      </c>
      <c r="J3384" t="inlineStr">
        <is>
          <t>Created MTR-IOS-3383 and correlation note visible in Activity/Pulse</t>
        </is>
      </c>
      <c r="K3384" t="inlineStr">
        <is>
          <t>NOT_RUN</t>
        </is>
      </c>
      <c r="P3384" t="n">
        <v>0</v>
      </c>
      <c r="Q3384" t="n">
        <v>3383</v>
      </c>
    </row>
    <row r="3385">
      <c r="A3385" t="n">
        <v>3384</v>
      </c>
      <c r="B3385" t="inlineStr">
        <is>
          <t>MTR-IOS-3384</t>
        </is>
      </c>
      <c r="C3385" t="inlineStr">
        <is>
          <t>iPhone</t>
        </is>
      </c>
      <c r="D3385" t="inlineStr">
        <is>
          <t>Business</t>
        </is>
      </c>
      <c r="E3385" t="inlineStr">
        <is>
          <t>Business</t>
        </is>
      </c>
      <c r="F3385" t="inlineStr">
        <is>
          <t>Business Operations</t>
        </is>
      </c>
      <c r="G3385" t="inlineStr">
        <is>
          <t>Rent</t>
        </is>
      </c>
      <c r="H3385" t="inlineStr">
        <is>
          <t>Business &gt; Business Operations &gt; Quick Add &gt; Rent</t>
        </is>
      </c>
      <c r="I3385" s="18" t="n">
        <v>956.67</v>
      </c>
      <c r="J3385" t="inlineStr">
        <is>
          <t>Created MTR-IOS-3384 and correlation note visible in Activity/Pulse</t>
        </is>
      </c>
      <c r="K3385" t="inlineStr">
        <is>
          <t>NOT_RUN</t>
        </is>
      </c>
      <c r="P3385" t="n">
        <v>0</v>
      </c>
      <c r="Q3385" t="n">
        <v>3384</v>
      </c>
    </row>
    <row r="3386">
      <c r="A3386" t="n">
        <v>3385</v>
      </c>
      <c r="B3386" t="inlineStr">
        <is>
          <t>MTR-IOS-3385</t>
        </is>
      </c>
      <c r="C3386" t="inlineStr">
        <is>
          <t>iPhone</t>
        </is>
      </c>
      <c r="D3386" t="inlineStr">
        <is>
          <t>Personal</t>
        </is>
      </c>
      <c r="E3386" t="inlineStr">
        <is>
          <t>Personal</t>
        </is>
      </c>
      <c r="F3386" t="inlineStr">
        <is>
          <t>Life Operations</t>
        </is>
      </c>
      <c r="G3386" t="inlineStr">
        <is>
          <t>Rent</t>
        </is>
      </c>
      <c r="H3386" t="inlineStr">
        <is>
          <t>Personal &gt; Life Operations &gt; Quick Add &gt; Rent</t>
        </is>
      </c>
      <c r="I3386" s="18" t="n">
        <v>16420.22</v>
      </c>
      <c r="J3386" t="inlineStr">
        <is>
          <t>Created MTR-IOS-3385 and correlation note visible in Activity/Pulse</t>
        </is>
      </c>
      <c r="K3386" t="inlineStr">
        <is>
          <t>NOT_RUN</t>
        </is>
      </c>
      <c r="P3386" t="n">
        <v>0</v>
      </c>
      <c r="Q3386" t="n">
        <v>3385</v>
      </c>
    </row>
    <row r="3387">
      <c r="A3387" t="n">
        <v>3386</v>
      </c>
      <c r="B3387" t="inlineStr">
        <is>
          <t>MTR-IOS-3386</t>
        </is>
      </c>
      <c r="C3387" t="inlineStr">
        <is>
          <t>iPhone</t>
        </is>
      </c>
      <c r="D3387" t="inlineStr">
        <is>
          <t>Group</t>
        </is>
      </c>
      <c r="E3387" t="inlineStr">
        <is>
          <t>Shared Purchase</t>
        </is>
      </c>
      <c r="F3387" t="inlineStr">
        <is>
          <t>Gift Pool</t>
        </is>
      </c>
      <c r="G3387" t="inlineStr">
        <is>
          <t>Delivery</t>
        </is>
      </c>
      <c r="H3387" t="inlineStr">
        <is>
          <t>Group &gt; Gift Pool &gt; Quick Add &gt; Delivery</t>
        </is>
      </c>
      <c r="I3387" s="18" t="n">
        <v>4952.77</v>
      </c>
      <c r="J3387" t="inlineStr">
        <is>
          <t>Created MTR-IOS-3386 and correlation note visible in Activity/Pulse</t>
        </is>
      </c>
      <c r="K3387" t="inlineStr">
        <is>
          <t>NOT_RUN</t>
        </is>
      </c>
      <c r="P3387" t="n">
        <v>0</v>
      </c>
      <c r="Q3387" t="n">
        <v>3386</v>
      </c>
    </row>
    <row r="3388">
      <c r="A3388" t="n">
        <v>3387</v>
      </c>
      <c r="B3388" t="inlineStr">
        <is>
          <t>MTR-IOS-3387</t>
        </is>
      </c>
      <c r="C3388" t="inlineStr">
        <is>
          <t>iPhone</t>
        </is>
      </c>
      <c r="D3388" t="inlineStr">
        <is>
          <t>Business</t>
        </is>
      </c>
      <c r="E3388" t="inlineStr">
        <is>
          <t>Business</t>
        </is>
      </c>
      <c r="F3388" t="inlineStr">
        <is>
          <t>Business Operations</t>
        </is>
      </c>
      <c r="G3388" t="inlineStr">
        <is>
          <t>Marketing</t>
        </is>
      </c>
      <c r="H3388" t="inlineStr">
        <is>
          <t>Business &gt; Business Operations &gt; Quick Add &gt; Marketing</t>
        </is>
      </c>
      <c r="I3388" s="18" t="n">
        <v>117109.23</v>
      </c>
      <c r="J3388" t="inlineStr">
        <is>
          <t>Created MTR-IOS-3387 and correlation note visible in Activity/Pulse</t>
        </is>
      </c>
      <c r="K3388" t="inlineStr">
        <is>
          <t>NOT_RUN</t>
        </is>
      </c>
      <c r="P3388" t="n">
        <v>0</v>
      </c>
      <c r="Q3388" t="n">
        <v>3387</v>
      </c>
    </row>
    <row r="3389">
      <c r="A3389" t="n">
        <v>3388</v>
      </c>
      <c r="B3389" t="inlineStr">
        <is>
          <t>MTR-IOS-3388</t>
        </is>
      </c>
      <c r="C3389" t="inlineStr">
        <is>
          <t>iPhone</t>
        </is>
      </c>
      <c r="D3389" t="inlineStr">
        <is>
          <t>Personal</t>
        </is>
      </c>
      <c r="E3389" t="inlineStr">
        <is>
          <t>Personal</t>
        </is>
      </c>
      <c r="F3389" t="inlineStr">
        <is>
          <t>Life Operations</t>
        </is>
      </c>
      <c r="G3389" t="inlineStr">
        <is>
          <t>Bills</t>
        </is>
      </c>
      <c r="H3389" t="inlineStr">
        <is>
          <t>Personal &gt; Life Operations &gt; Quick Add &gt; Bills</t>
        </is>
      </c>
      <c r="I3389" s="18" t="n">
        <v>7380.04</v>
      </c>
      <c r="J3389" t="inlineStr">
        <is>
          <t>Created MTR-IOS-3388 and correlation note visible in Activity/Pulse</t>
        </is>
      </c>
      <c r="K3389" t="inlineStr">
        <is>
          <t>NOT_RUN</t>
        </is>
      </c>
      <c r="P3389" t="n">
        <v>0</v>
      </c>
      <c r="Q3389" t="n">
        <v>3388</v>
      </c>
    </row>
    <row r="3390">
      <c r="A3390" t="n">
        <v>3389</v>
      </c>
      <c r="B3390" t="inlineStr">
        <is>
          <t>MTR-IOS-3389</t>
        </is>
      </c>
      <c r="C3390" t="inlineStr">
        <is>
          <t>iPhone</t>
        </is>
      </c>
      <c r="D3390" t="inlineStr">
        <is>
          <t>Group</t>
        </is>
      </c>
      <c r="E3390" t="inlineStr">
        <is>
          <t>Shared Purchase</t>
        </is>
      </c>
      <c r="F3390" t="inlineStr">
        <is>
          <t>Gift Pool</t>
        </is>
      </c>
      <c r="G3390" t="inlineStr">
        <is>
          <t>Other</t>
        </is>
      </c>
      <c r="H3390" t="inlineStr">
        <is>
          <t>Group &gt; Gift Pool &gt; Quick Add &gt; Other</t>
        </is>
      </c>
      <c r="I3390" s="18" t="n">
        <v>14751.47</v>
      </c>
      <c r="J3390" t="inlineStr">
        <is>
          <t>Created MTR-IOS-3389 and correlation note visible in Activity/Pulse</t>
        </is>
      </c>
      <c r="K3390" t="inlineStr">
        <is>
          <t>NOT_RUN</t>
        </is>
      </c>
      <c r="P3390" t="n">
        <v>0</v>
      </c>
      <c r="Q3390" t="n">
        <v>3389</v>
      </c>
    </row>
    <row r="3391">
      <c r="A3391" t="n">
        <v>3390</v>
      </c>
      <c r="B3391" t="inlineStr">
        <is>
          <t>MTR-IOS-3390</t>
        </is>
      </c>
      <c r="C3391" t="inlineStr">
        <is>
          <t>iPhone</t>
        </is>
      </c>
      <c r="D3391" t="inlineStr">
        <is>
          <t>Business</t>
        </is>
      </c>
      <c r="E3391" t="inlineStr">
        <is>
          <t>Business</t>
        </is>
      </c>
      <c r="F3391" t="inlineStr">
        <is>
          <t>Business Operations</t>
        </is>
      </c>
      <c r="G3391" t="inlineStr">
        <is>
          <t>Legal</t>
        </is>
      </c>
      <c r="H3391" t="inlineStr">
        <is>
          <t>Business &gt; Business Operations &gt; Quick Add &gt; Legal</t>
        </is>
      </c>
      <c r="I3391" s="18" t="n">
        <v>89564.66</v>
      </c>
      <c r="J3391" t="inlineStr">
        <is>
          <t>Created MTR-IOS-3390 and correlation note visible in Activity/Pulse</t>
        </is>
      </c>
      <c r="K3391" t="inlineStr">
        <is>
          <t>NOT_RUN</t>
        </is>
      </c>
      <c r="P3391" t="n">
        <v>0</v>
      </c>
      <c r="Q3391" t="n">
        <v>3390</v>
      </c>
    </row>
    <row r="3392">
      <c r="A3392" t="n">
        <v>3391</v>
      </c>
      <c r="B3392" t="inlineStr">
        <is>
          <t>MTR-IOS-3391</t>
        </is>
      </c>
      <c r="C3392" t="inlineStr">
        <is>
          <t>iPhone</t>
        </is>
      </c>
      <c r="D3392" t="inlineStr">
        <is>
          <t>Personal</t>
        </is>
      </c>
      <c r="E3392" t="inlineStr">
        <is>
          <t>Personal</t>
        </is>
      </c>
      <c r="F3392" t="inlineStr">
        <is>
          <t>Life Operations</t>
        </is>
      </c>
      <c r="G3392" t="inlineStr">
        <is>
          <t>Transport</t>
        </is>
      </c>
      <c r="H3392" t="inlineStr">
        <is>
          <t>Personal &gt; Life Operations &gt; Quick Add &gt; Transport</t>
        </is>
      </c>
      <c r="I3392" s="18" t="n">
        <v>14086.94</v>
      </c>
      <c r="J3392" t="inlineStr">
        <is>
          <t>Created MTR-IOS-3391 and correlation note visible in Activity/Pulse</t>
        </is>
      </c>
      <c r="K3392" t="inlineStr">
        <is>
          <t>NOT_RUN</t>
        </is>
      </c>
      <c r="P3392" t="n">
        <v>0</v>
      </c>
      <c r="Q3392" t="n">
        <v>3391</v>
      </c>
    </row>
    <row r="3393">
      <c r="A3393" t="n">
        <v>3392</v>
      </c>
      <c r="B3393" t="inlineStr">
        <is>
          <t>MTR-IOS-3392</t>
        </is>
      </c>
      <c r="C3393" t="inlineStr">
        <is>
          <t>iPhone</t>
        </is>
      </c>
      <c r="D3393" t="inlineStr">
        <is>
          <t>Group</t>
        </is>
      </c>
      <c r="E3393" t="inlineStr">
        <is>
          <t>Shared Purchase</t>
        </is>
      </c>
      <c r="F3393" t="inlineStr">
        <is>
          <t>Purchase</t>
        </is>
      </c>
      <c r="G3393" t="inlineStr">
        <is>
          <t>Item</t>
        </is>
      </c>
      <c r="H3393" t="inlineStr">
        <is>
          <t>Group &gt; Purchase &gt; Quick Add &gt; Item</t>
        </is>
      </c>
      <c r="I3393" s="18" t="n">
        <v>4108.7</v>
      </c>
      <c r="J3393" t="inlineStr">
        <is>
          <t>Created MTR-IOS-3392 and correlation note visible in Activity/Pulse</t>
        </is>
      </c>
      <c r="K3393" t="inlineStr">
        <is>
          <t>NOT_RUN</t>
        </is>
      </c>
      <c r="P3393" t="n">
        <v>0</v>
      </c>
      <c r="Q3393" t="n">
        <v>3392</v>
      </c>
    </row>
    <row r="3394">
      <c r="A3394" t="n">
        <v>3393</v>
      </c>
      <c r="B3394" t="inlineStr">
        <is>
          <t>MTR-IOS-3393</t>
        </is>
      </c>
      <c r="C3394" t="inlineStr">
        <is>
          <t>iPhone</t>
        </is>
      </c>
      <c r="D3394" t="inlineStr">
        <is>
          <t>Business</t>
        </is>
      </c>
      <c r="E3394" t="inlineStr">
        <is>
          <t>Business</t>
        </is>
      </c>
      <c r="F3394" t="inlineStr">
        <is>
          <t>Business Operations</t>
        </is>
      </c>
      <c r="G3394" t="inlineStr">
        <is>
          <t>Accounting</t>
        </is>
      </c>
      <c r="H3394" t="inlineStr">
        <is>
          <t>Business &gt; Business Operations &gt; Quick Add &gt; Accounting</t>
        </is>
      </c>
      <c r="I3394" s="18" t="n">
        <v>46312.97</v>
      </c>
      <c r="J3394" t="inlineStr">
        <is>
          <t>Created MTR-IOS-3393 and correlation note visible in Activity/Pulse</t>
        </is>
      </c>
      <c r="K3394" t="inlineStr">
        <is>
          <t>NOT_RUN</t>
        </is>
      </c>
      <c r="P3394" t="n">
        <v>0</v>
      </c>
      <c r="Q3394" t="n">
        <v>3393</v>
      </c>
    </row>
    <row r="3395">
      <c r="A3395" t="n">
        <v>3394</v>
      </c>
      <c r="B3395" t="inlineStr">
        <is>
          <t>MTR-IOS-3394</t>
        </is>
      </c>
      <c r="C3395" t="inlineStr">
        <is>
          <t>iPhone</t>
        </is>
      </c>
      <c r="D3395" t="inlineStr">
        <is>
          <t>Personal</t>
        </is>
      </c>
      <c r="E3395" t="inlineStr">
        <is>
          <t>Personal</t>
        </is>
      </c>
      <c r="F3395" t="inlineStr">
        <is>
          <t>Life Operations</t>
        </is>
      </c>
      <c r="G3395" t="inlineStr">
        <is>
          <t>Healthcare</t>
        </is>
      </c>
      <c r="H3395" t="inlineStr">
        <is>
          <t>Personal &gt; Life Operations &gt; Quick Add &gt; Healthcare</t>
        </is>
      </c>
      <c r="I3395" s="18" t="n">
        <v>8937.51</v>
      </c>
      <c r="J3395" t="inlineStr">
        <is>
          <t>Created MTR-IOS-3394 and correlation note visible in Activity/Pulse</t>
        </is>
      </c>
      <c r="K3395" t="inlineStr">
        <is>
          <t>NOT_RUN</t>
        </is>
      </c>
      <c r="P3395" t="n">
        <v>0</v>
      </c>
      <c r="Q3395" t="n">
        <v>3394</v>
      </c>
    </row>
    <row r="3396">
      <c r="A3396" t="n">
        <v>3395</v>
      </c>
      <c r="B3396" t="inlineStr">
        <is>
          <t>MTR-IOS-3395</t>
        </is>
      </c>
      <c r="C3396" t="inlineStr">
        <is>
          <t>iPhone</t>
        </is>
      </c>
      <c r="D3396" t="inlineStr">
        <is>
          <t>Group</t>
        </is>
      </c>
      <c r="E3396" t="inlineStr">
        <is>
          <t>Shared Purchase</t>
        </is>
      </c>
      <c r="F3396" t="inlineStr">
        <is>
          <t>Purchase</t>
        </is>
      </c>
      <c r="G3396" t="inlineStr">
        <is>
          <t>Shipping</t>
        </is>
      </c>
      <c r="H3396" t="inlineStr">
        <is>
          <t>Group &gt; Purchase &gt; Quick Add &gt; Shipping</t>
        </is>
      </c>
      <c r="I3396" s="18" t="n">
        <v>516.4400000000001</v>
      </c>
      <c r="J3396" t="inlineStr">
        <is>
          <t>Created MTR-IOS-3395 and correlation note visible in Activity/Pulse</t>
        </is>
      </c>
      <c r="K3396" t="inlineStr">
        <is>
          <t>NOT_RUN</t>
        </is>
      </c>
      <c r="P3396" t="n">
        <v>0</v>
      </c>
      <c r="Q3396" t="n">
        <v>3395</v>
      </c>
    </row>
    <row r="3397">
      <c r="A3397" t="n">
        <v>3396</v>
      </c>
      <c r="B3397" t="inlineStr">
        <is>
          <t>MTR-IOS-3396</t>
        </is>
      </c>
      <c r="C3397" t="inlineStr">
        <is>
          <t>iPhone</t>
        </is>
      </c>
      <c r="D3397" t="inlineStr">
        <is>
          <t>Business</t>
        </is>
      </c>
      <c r="E3397" t="inlineStr">
        <is>
          <t>Business</t>
        </is>
      </c>
      <c r="F3397" t="inlineStr">
        <is>
          <t>Business Operations</t>
        </is>
      </c>
      <c r="G3397" t="inlineStr">
        <is>
          <t>Equipment</t>
        </is>
      </c>
      <c r="H3397" t="inlineStr">
        <is>
          <t>Business &gt; Business Operations &gt; Quick Add &gt; Equipment</t>
        </is>
      </c>
      <c r="I3397" s="18" t="n">
        <v>154661.52</v>
      </c>
      <c r="J3397" t="inlineStr">
        <is>
          <t>Created MTR-IOS-3396 and correlation note visible in Activity/Pulse</t>
        </is>
      </c>
      <c r="K3397" t="inlineStr">
        <is>
          <t>NOT_RUN</t>
        </is>
      </c>
      <c r="P3397" t="n">
        <v>0</v>
      </c>
      <c r="Q3397" t="n">
        <v>3396</v>
      </c>
    </row>
    <row r="3398">
      <c r="A3398" t="n">
        <v>3397</v>
      </c>
      <c r="B3398" t="inlineStr">
        <is>
          <t>MTR-IOS-3397</t>
        </is>
      </c>
      <c r="C3398" t="inlineStr">
        <is>
          <t>iPhone</t>
        </is>
      </c>
      <c r="D3398" t="inlineStr">
        <is>
          <t>Personal</t>
        </is>
      </c>
      <c r="E3398" t="inlineStr">
        <is>
          <t>Personal</t>
        </is>
      </c>
      <c r="F3398" t="inlineStr">
        <is>
          <t>Life Operations</t>
        </is>
      </c>
      <c r="G3398" t="inlineStr">
        <is>
          <t>Subscriptions</t>
        </is>
      </c>
      <c r="H3398" t="inlineStr">
        <is>
          <t>Personal &gt; Life Operations &gt; Quick Add &gt; Subscriptions</t>
        </is>
      </c>
      <c r="I3398" s="18" t="n">
        <v>11388.31</v>
      </c>
      <c r="J3398" t="inlineStr">
        <is>
          <t>Created MTR-IOS-3397 and correlation note visible in Activity/Pulse</t>
        </is>
      </c>
      <c r="K3398" t="inlineStr">
        <is>
          <t>NOT_RUN</t>
        </is>
      </c>
      <c r="P3398" t="n">
        <v>0</v>
      </c>
      <c r="Q3398" t="n">
        <v>3397</v>
      </c>
    </row>
    <row r="3399">
      <c r="A3399" t="n">
        <v>3398</v>
      </c>
      <c r="B3399" t="inlineStr">
        <is>
          <t>MTR-IOS-3398</t>
        </is>
      </c>
      <c r="C3399" t="inlineStr">
        <is>
          <t>iPhone</t>
        </is>
      </c>
      <c r="D3399" t="inlineStr">
        <is>
          <t>Group</t>
        </is>
      </c>
      <c r="E3399" t="inlineStr">
        <is>
          <t>Shared Purchase</t>
        </is>
      </c>
      <c r="F3399" t="inlineStr">
        <is>
          <t>Purchase</t>
        </is>
      </c>
      <c r="G3399" t="inlineStr">
        <is>
          <t>Tax</t>
        </is>
      </c>
      <c r="H3399" t="inlineStr">
        <is>
          <t>Group &gt; Purchase &gt; Quick Add &gt; Tax</t>
        </is>
      </c>
      <c r="I3399" s="18" t="n">
        <v>16918.22</v>
      </c>
      <c r="J3399" t="inlineStr">
        <is>
          <t>Created MTR-IOS-3398 and correlation note visible in Activity/Pulse</t>
        </is>
      </c>
      <c r="K3399" t="inlineStr">
        <is>
          <t>NOT_RUN</t>
        </is>
      </c>
      <c r="P3399" t="n">
        <v>0</v>
      </c>
      <c r="Q3399" t="n">
        <v>3398</v>
      </c>
    </row>
    <row r="3400">
      <c r="A3400" t="n">
        <v>3399</v>
      </c>
      <c r="B3400" t="inlineStr">
        <is>
          <t>MTR-IOS-3399</t>
        </is>
      </c>
      <c r="C3400" t="inlineStr">
        <is>
          <t>iPhone</t>
        </is>
      </c>
      <c r="D3400" t="inlineStr">
        <is>
          <t>Business</t>
        </is>
      </c>
      <c r="E3400" t="inlineStr">
        <is>
          <t>Business</t>
        </is>
      </c>
      <c r="F3400" t="inlineStr">
        <is>
          <t>Business Operations</t>
        </is>
      </c>
      <c r="G3400" t="inlineStr">
        <is>
          <t>Vendor</t>
        </is>
      </c>
      <c r="H3400" t="inlineStr">
        <is>
          <t>Business &gt; Business Operations &gt; Quick Add &gt; Vendor</t>
        </is>
      </c>
      <c r="I3400" s="18" t="n">
        <v>125938.47</v>
      </c>
      <c r="J3400" t="inlineStr">
        <is>
          <t>Created MTR-IOS-3399 and correlation note visible in Activity/Pulse</t>
        </is>
      </c>
      <c r="K3400" t="inlineStr">
        <is>
          <t>NOT_RUN</t>
        </is>
      </c>
      <c r="P3400" t="n">
        <v>0</v>
      </c>
      <c r="Q3400" t="n">
        <v>3399</v>
      </c>
    </row>
    <row r="3401">
      <c r="A3401" t="n">
        <v>3400</v>
      </c>
      <c r="B3401" t="inlineStr">
        <is>
          <t>MTR-IOS-3400</t>
        </is>
      </c>
      <c r="C3401" t="inlineStr">
        <is>
          <t>iPhone</t>
        </is>
      </c>
      <c r="D3401" t="inlineStr">
        <is>
          <t>Personal</t>
        </is>
      </c>
      <c r="E3401" t="inlineStr">
        <is>
          <t>Personal</t>
        </is>
      </c>
      <c r="F3401" t="inlineStr">
        <is>
          <t>Life Operations</t>
        </is>
      </c>
      <c r="G3401" t="inlineStr">
        <is>
          <t>Repairs</t>
        </is>
      </c>
      <c r="H3401" t="inlineStr">
        <is>
          <t>Personal &gt; Life Operations &gt; Quick Add &gt; Repairs</t>
        </is>
      </c>
      <c r="I3401" s="18" t="n">
        <v>17745.36</v>
      </c>
      <c r="J3401" t="inlineStr">
        <is>
          <t>Created MTR-IOS-3400 and correlation note visible in Activity/Pulse</t>
        </is>
      </c>
      <c r="K3401" t="inlineStr">
        <is>
          <t>NOT_RUN</t>
        </is>
      </c>
      <c r="P3401" t="n">
        <v>0</v>
      </c>
      <c r="Q3401" t="n">
        <v>3400</v>
      </c>
    </row>
    <row r="3402">
      <c r="A3402" t="n">
        <v>3401</v>
      </c>
      <c r="B3402" t="inlineStr">
        <is>
          <t>MTR-IOS-3401</t>
        </is>
      </c>
      <c r="C3402" t="inlineStr">
        <is>
          <t>iPhone</t>
        </is>
      </c>
      <c r="D3402" t="inlineStr">
        <is>
          <t>Group</t>
        </is>
      </c>
      <c r="E3402" t="inlineStr">
        <is>
          <t>Shared Purchase</t>
        </is>
      </c>
      <c r="F3402" t="inlineStr">
        <is>
          <t>Purchase</t>
        </is>
      </c>
      <c r="G3402" t="inlineStr">
        <is>
          <t>Other</t>
        </is>
      </c>
      <c r="H3402" t="inlineStr">
        <is>
          <t>Group &gt; Purchase &gt; Quick Add &gt; Other</t>
        </is>
      </c>
      <c r="I3402" s="18" t="n">
        <v>1560.93</v>
      </c>
      <c r="J3402" t="inlineStr">
        <is>
          <t>Created MTR-IOS-3401 and correlation note visible in Activity/Pulse</t>
        </is>
      </c>
      <c r="K3402" t="inlineStr">
        <is>
          <t>NOT_RUN</t>
        </is>
      </c>
      <c r="P3402" t="n">
        <v>0</v>
      </c>
      <c r="Q3402" t="n">
        <v>3401</v>
      </c>
    </row>
    <row r="3403">
      <c r="A3403" t="n">
        <v>3402</v>
      </c>
      <c r="B3403" t="inlineStr">
        <is>
          <t>MTR-IOS-3402</t>
        </is>
      </c>
      <c r="C3403" t="inlineStr">
        <is>
          <t>iPhone</t>
        </is>
      </c>
      <c r="D3403" t="inlineStr">
        <is>
          <t>Business</t>
        </is>
      </c>
      <c r="E3403" t="inlineStr">
        <is>
          <t>Business</t>
        </is>
      </c>
      <c r="F3403" t="inlineStr">
        <is>
          <t>Business Operations</t>
        </is>
      </c>
      <c r="G3403" t="inlineStr">
        <is>
          <t>Tax</t>
        </is>
      </c>
      <c r="H3403" t="inlineStr">
        <is>
          <t>Business &gt; Business Operations &gt; Quick Add &gt; Tax</t>
        </is>
      </c>
      <c r="I3403" s="18" t="n">
        <v>82047.58</v>
      </c>
      <c r="J3403" t="inlineStr">
        <is>
          <t>Created MTR-IOS-3402 and correlation note visible in Activity/Pulse</t>
        </is>
      </c>
      <c r="K3403" t="inlineStr">
        <is>
          <t>NOT_RUN</t>
        </is>
      </c>
      <c r="P3403" t="n">
        <v>0</v>
      </c>
      <c r="Q3403" t="n">
        <v>3402</v>
      </c>
    </row>
    <row r="3404">
      <c r="A3404" t="n">
        <v>3403</v>
      </c>
      <c r="B3404" t="inlineStr">
        <is>
          <t>MTR-IOS-3403</t>
        </is>
      </c>
      <c r="C3404" t="inlineStr">
        <is>
          <t>iPhone</t>
        </is>
      </c>
      <c r="D3404" t="inlineStr">
        <is>
          <t>Personal</t>
        </is>
      </c>
      <c r="E3404" t="inlineStr">
        <is>
          <t>Personal</t>
        </is>
      </c>
      <c r="F3404" t="inlineStr">
        <is>
          <t>Future Building</t>
        </is>
      </c>
      <c r="G3404" t="inlineStr">
        <is>
          <t>Savings</t>
        </is>
      </c>
      <c r="H3404" t="inlineStr">
        <is>
          <t>Personal &gt; Future Building &gt; Quick Add &gt; Savings</t>
        </is>
      </c>
      <c r="I3404" s="18" t="n">
        <v>16074.82</v>
      </c>
      <c r="J3404" t="inlineStr">
        <is>
          <t>Created MTR-IOS-3403 and correlation note visible in Activity/Pulse</t>
        </is>
      </c>
      <c r="K3404" t="inlineStr">
        <is>
          <t>NOT_RUN</t>
        </is>
      </c>
      <c r="P3404" t="n">
        <v>0</v>
      </c>
      <c r="Q3404" t="n">
        <v>3403</v>
      </c>
    </row>
    <row r="3405">
      <c r="A3405" t="n">
        <v>3404</v>
      </c>
      <c r="B3405" t="inlineStr">
        <is>
          <t>MTR-IOS-3404</t>
        </is>
      </c>
      <c r="C3405" t="inlineStr">
        <is>
          <t>iPhone</t>
        </is>
      </c>
      <c r="D3405" t="inlineStr">
        <is>
          <t>Group</t>
        </is>
      </c>
      <c r="E3405" t="inlineStr">
        <is>
          <t>Shared Purchase</t>
        </is>
      </c>
      <c r="F3405" t="inlineStr">
        <is>
          <t>Assets</t>
        </is>
      </c>
      <c r="G3405" t="inlineStr">
        <is>
          <t>Purchase</t>
        </is>
      </c>
      <c r="H3405" t="inlineStr">
        <is>
          <t>Group &gt; Assets &gt; Quick Add &gt; Purchase</t>
        </is>
      </c>
      <c r="I3405" s="18" t="n">
        <v>99.98999999999999</v>
      </c>
      <c r="J3405" t="inlineStr">
        <is>
          <t>Created MTR-IOS-3404 and correlation note visible in Activity/Pulse</t>
        </is>
      </c>
      <c r="K3405" t="inlineStr">
        <is>
          <t>NOT_RUN</t>
        </is>
      </c>
      <c r="P3405" t="n">
        <v>0</v>
      </c>
      <c r="Q3405" t="n">
        <v>3404</v>
      </c>
    </row>
    <row r="3406">
      <c r="A3406" t="n">
        <v>3405</v>
      </c>
      <c r="B3406" t="inlineStr">
        <is>
          <t>MTR-IOS-3405</t>
        </is>
      </c>
      <c r="C3406" t="inlineStr">
        <is>
          <t>iPhone</t>
        </is>
      </c>
      <c r="D3406" t="inlineStr">
        <is>
          <t>Business</t>
        </is>
      </c>
      <c r="E3406" t="inlineStr">
        <is>
          <t>Business</t>
        </is>
      </c>
      <c r="F3406" t="inlineStr">
        <is>
          <t>Team Operations</t>
        </is>
      </c>
      <c r="G3406" t="inlineStr">
        <is>
          <t>Payroll</t>
        </is>
      </c>
      <c r="H3406" t="inlineStr">
        <is>
          <t>Business &gt; Team Operations &gt; Quick Add &gt; Payroll</t>
        </is>
      </c>
      <c r="I3406" s="18" t="n">
        <v>152062.46</v>
      </c>
      <c r="J3406" t="inlineStr">
        <is>
          <t>Created MTR-IOS-3405 and correlation note visible in Activity/Pulse</t>
        </is>
      </c>
      <c r="K3406" t="inlineStr">
        <is>
          <t>NOT_RUN</t>
        </is>
      </c>
      <c r="P3406" t="n">
        <v>0</v>
      </c>
      <c r="Q3406" t="n">
        <v>3405</v>
      </c>
    </row>
    <row r="3407">
      <c r="A3407" t="n">
        <v>3406</v>
      </c>
      <c r="B3407" t="inlineStr">
        <is>
          <t>MTR-IOS-3406</t>
        </is>
      </c>
      <c r="C3407" t="inlineStr">
        <is>
          <t>iPhone</t>
        </is>
      </c>
      <c r="D3407" t="inlineStr">
        <is>
          <t>Personal</t>
        </is>
      </c>
      <c r="E3407" t="inlineStr">
        <is>
          <t>Personal</t>
        </is>
      </c>
      <c r="F3407" t="inlineStr">
        <is>
          <t>Future Building</t>
        </is>
      </c>
      <c r="G3407" t="inlineStr">
        <is>
          <t>Emergency Fund</t>
        </is>
      </c>
      <c r="H3407" t="inlineStr">
        <is>
          <t>Personal &gt; Future Building &gt; Quick Add &gt; Emergency Fund</t>
        </is>
      </c>
      <c r="I3407" s="18" t="n">
        <v>12452.84</v>
      </c>
      <c r="J3407" t="inlineStr">
        <is>
          <t>Created MTR-IOS-3406 and correlation note visible in Activity/Pulse</t>
        </is>
      </c>
      <c r="K3407" t="inlineStr">
        <is>
          <t>NOT_RUN</t>
        </is>
      </c>
      <c r="P3407" t="n">
        <v>0</v>
      </c>
      <c r="Q3407" t="n">
        <v>3406</v>
      </c>
    </row>
    <row r="3408">
      <c r="A3408" t="n">
        <v>3407</v>
      </c>
      <c r="B3408" t="inlineStr">
        <is>
          <t>MTR-IOS-3407</t>
        </is>
      </c>
      <c r="C3408" t="inlineStr">
        <is>
          <t>iPhone</t>
        </is>
      </c>
      <c r="D3408" t="inlineStr">
        <is>
          <t>Group</t>
        </is>
      </c>
      <c r="E3408" t="inlineStr">
        <is>
          <t>Shared Purchase</t>
        </is>
      </c>
      <c r="F3408" t="inlineStr">
        <is>
          <t>Assets</t>
        </is>
      </c>
      <c r="G3408" t="inlineStr">
        <is>
          <t>Maintenance</t>
        </is>
      </c>
      <c r="H3408" t="inlineStr">
        <is>
          <t>Group &gt; Assets &gt; Quick Add &gt; Maintenance</t>
        </is>
      </c>
      <c r="I3408" s="18" t="n">
        <v>23171.42</v>
      </c>
      <c r="J3408" t="inlineStr">
        <is>
          <t>Created MTR-IOS-3407 and correlation note visible in Activity/Pulse</t>
        </is>
      </c>
      <c r="K3408" t="inlineStr">
        <is>
          <t>NOT_RUN</t>
        </is>
      </c>
      <c r="P3408" t="n">
        <v>0</v>
      </c>
      <c r="Q3408" t="n">
        <v>3407</v>
      </c>
    </row>
    <row r="3409">
      <c r="A3409" t="n">
        <v>3408</v>
      </c>
      <c r="B3409" t="inlineStr">
        <is>
          <t>MTR-IOS-3408</t>
        </is>
      </c>
      <c r="C3409" t="inlineStr">
        <is>
          <t>iPhone</t>
        </is>
      </c>
      <c r="D3409" t="inlineStr">
        <is>
          <t>Business</t>
        </is>
      </c>
      <c r="E3409" t="inlineStr">
        <is>
          <t>Business</t>
        </is>
      </c>
      <c r="F3409" t="inlineStr">
        <is>
          <t>Team Operations</t>
        </is>
      </c>
      <c r="G3409" t="inlineStr">
        <is>
          <t>Contractor</t>
        </is>
      </c>
      <c r="H3409" t="inlineStr">
        <is>
          <t>Business &gt; Team Operations &gt; Quick Add &gt; Contractor</t>
        </is>
      </c>
      <c r="I3409" s="18" t="n">
        <v>77484.41</v>
      </c>
      <c r="J3409" t="inlineStr">
        <is>
          <t>Created MTR-IOS-3408 and correlation note visible in Activity/Pulse</t>
        </is>
      </c>
      <c r="K3409" t="inlineStr">
        <is>
          <t>NOT_RUN</t>
        </is>
      </c>
      <c r="P3409" t="n">
        <v>0</v>
      </c>
      <c r="Q3409" t="n">
        <v>3408</v>
      </c>
    </row>
    <row r="3410">
      <c r="A3410" t="n">
        <v>3409</v>
      </c>
      <c r="B3410" t="inlineStr">
        <is>
          <t>MTR-IOS-3409</t>
        </is>
      </c>
      <c r="C3410" t="inlineStr">
        <is>
          <t>iPhone</t>
        </is>
      </c>
      <c r="D3410" t="inlineStr">
        <is>
          <t>Personal</t>
        </is>
      </c>
      <c r="E3410" t="inlineStr">
        <is>
          <t>Personal</t>
        </is>
      </c>
      <c r="F3410" t="inlineStr">
        <is>
          <t>Future Building</t>
        </is>
      </c>
      <c r="G3410" t="inlineStr">
        <is>
          <t>Investments</t>
        </is>
      </c>
      <c r="H3410" t="inlineStr">
        <is>
          <t>Personal &gt; Future Building &gt; Quick Add &gt; Investments</t>
        </is>
      </c>
      <c r="I3410" s="18" t="n">
        <v>5848.21</v>
      </c>
      <c r="J3410" t="inlineStr">
        <is>
          <t>Created MTR-IOS-3409 and correlation note visible in Activity/Pulse</t>
        </is>
      </c>
      <c r="K3410" t="inlineStr">
        <is>
          <t>NOT_RUN</t>
        </is>
      </c>
      <c r="P3410" t="n">
        <v>0</v>
      </c>
      <c r="Q3410" t="n">
        <v>3409</v>
      </c>
    </row>
    <row r="3411">
      <c r="A3411" t="n">
        <v>3410</v>
      </c>
      <c r="B3411" t="inlineStr">
        <is>
          <t>MTR-IOS-3410</t>
        </is>
      </c>
      <c r="C3411" t="inlineStr">
        <is>
          <t>iPhone</t>
        </is>
      </c>
      <c r="D3411" t="inlineStr">
        <is>
          <t>Group</t>
        </is>
      </c>
      <c r="E3411" t="inlineStr">
        <is>
          <t>Shared Purchase</t>
        </is>
      </c>
      <c r="F3411" t="inlineStr">
        <is>
          <t>Assets</t>
        </is>
      </c>
      <c r="G3411" t="inlineStr">
        <is>
          <t>Repair</t>
        </is>
      </c>
      <c r="H3411" t="inlineStr">
        <is>
          <t>Group &gt; Assets &gt; Quick Add &gt; Repair</t>
        </is>
      </c>
      <c r="I3411" s="18" t="n">
        <v>7277.45</v>
      </c>
      <c r="J3411" t="inlineStr">
        <is>
          <t>Created MTR-IOS-3410 and correlation note visible in Activity/Pulse</t>
        </is>
      </c>
      <c r="K3411" t="inlineStr">
        <is>
          <t>NOT_RUN</t>
        </is>
      </c>
      <c r="P3411" t="n">
        <v>0</v>
      </c>
      <c r="Q3411" t="n">
        <v>3410</v>
      </c>
    </row>
    <row r="3412">
      <c r="A3412" t="n">
        <v>3411</v>
      </c>
      <c r="B3412" t="inlineStr">
        <is>
          <t>MTR-IOS-3411</t>
        </is>
      </c>
      <c r="C3412" t="inlineStr">
        <is>
          <t>iPhone</t>
        </is>
      </c>
      <c r="D3412" t="inlineStr">
        <is>
          <t>Business</t>
        </is>
      </c>
      <c r="E3412" t="inlineStr">
        <is>
          <t>Business</t>
        </is>
      </c>
      <c r="F3412" t="inlineStr">
        <is>
          <t>Team Operations</t>
        </is>
      </c>
      <c r="G3412" t="inlineStr">
        <is>
          <t>Hiring</t>
        </is>
      </c>
      <c r="H3412" t="inlineStr">
        <is>
          <t>Business &gt; Team Operations &gt; Quick Add &gt; Hiring</t>
        </is>
      </c>
      <c r="I3412" s="18" t="n">
        <v>12966.72</v>
      </c>
      <c r="J3412" t="inlineStr">
        <is>
          <t>Created MTR-IOS-3411 and correlation note visible in Activity/Pulse</t>
        </is>
      </c>
      <c r="K3412" t="inlineStr">
        <is>
          <t>NOT_RUN</t>
        </is>
      </c>
      <c r="P3412" t="n">
        <v>0</v>
      </c>
      <c r="Q3412" t="n">
        <v>3411</v>
      </c>
    </row>
    <row r="3413">
      <c r="A3413" t="n">
        <v>3412</v>
      </c>
      <c r="B3413" t="inlineStr">
        <is>
          <t>MTR-IOS-3412</t>
        </is>
      </c>
      <c r="C3413" t="inlineStr">
        <is>
          <t>iPhone</t>
        </is>
      </c>
      <c r="D3413" t="inlineStr">
        <is>
          <t>Personal</t>
        </is>
      </c>
      <c r="E3413" t="inlineStr">
        <is>
          <t>Personal</t>
        </is>
      </c>
      <c r="F3413" t="inlineStr">
        <is>
          <t>Future Building</t>
        </is>
      </c>
      <c r="G3413" t="inlineStr">
        <is>
          <t>Education</t>
        </is>
      </c>
      <c r="H3413" t="inlineStr">
        <is>
          <t>Personal &gt; Future Building &gt; Quick Add &gt; Education</t>
        </is>
      </c>
      <c r="I3413" s="18" t="n">
        <v>14032.11</v>
      </c>
      <c r="J3413" t="inlineStr">
        <is>
          <t>Created MTR-IOS-3412 and correlation note visible in Activity/Pulse</t>
        </is>
      </c>
      <c r="K3413" t="inlineStr">
        <is>
          <t>NOT_RUN</t>
        </is>
      </c>
      <c r="P3413" t="n">
        <v>0</v>
      </c>
      <c r="Q3413" t="n">
        <v>3412</v>
      </c>
    </row>
    <row r="3414">
      <c r="A3414" t="n">
        <v>3413</v>
      </c>
      <c r="B3414" t="inlineStr">
        <is>
          <t>MTR-IOS-3413</t>
        </is>
      </c>
      <c r="C3414" t="inlineStr">
        <is>
          <t>iPhone</t>
        </is>
      </c>
      <c r="D3414" t="inlineStr">
        <is>
          <t>Group</t>
        </is>
      </c>
      <c r="E3414" t="inlineStr">
        <is>
          <t>Shared Purchase</t>
        </is>
      </c>
      <c r="F3414" t="inlineStr">
        <is>
          <t>Assets</t>
        </is>
      </c>
      <c r="G3414" t="inlineStr">
        <is>
          <t>Insurance</t>
        </is>
      </c>
      <c r="H3414" t="inlineStr">
        <is>
          <t>Group &gt; Assets &gt; Quick Add &gt; Insurance</t>
        </is>
      </c>
      <c r="I3414" s="18" t="n">
        <v>19750.05</v>
      </c>
      <c r="J3414" t="inlineStr">
        <is>
          <t>Created MTR-IOS-3413 and correlation note visible in Activity/Pulse</t>
        </is>
      </c>
      <c r="K3414" t="inlineStr">
        <is>
          <t>NOT_RUN</t>
        </is>
      </c>
      <c r="P3414" t="n">
        <v>0</v>
      </c>
      <c r="Q3414" t="n">
        <v>3413</v>
      </c>
    </row>
    <row r="3415">
      <c r="A3415" t="n">
        <v>3414</v>
      </c>
      <c r="B3415" t="inlineStr">
        <is>
          <t>MTR-IOS-3414</t>
        </is>
      </c>
      <c r="C3415" t="inlineStr">
        <is>
          <t>iPhone</t>
        </is>
      </c>
      <c r="D3415" t="inlineStr">
        <is>
          <t>Business</t>
        </is>
      </c>
      <c r="E3415" t="inlineStr">
        <is>
          <t>Business</t>
        </is>
      </c>
      <c r="F3415" t="inlineStr">
        <is>
          <t>Team Operations</t>
        </is>
      </c>
      <c r="G3415" t="inlineStr">
        <is>
          <t>Team Meal</t>
        </is>
      </c>
      <c r="H3415" t="inlineStr">
        <is>
          <t>Business &gt; Team Operations &gt; Quick Add &gt; Team Meal</t>
        </is>
      </c>
      <c r="I3415" s="18" t="n">
        <v>163004.56</v>
      </c>
      <c r="J3415" t="inlineStr">
        <is>
          <t>Created MTR-IOS-3414 and correlation note visible in Activity/Pulse</t>
        </is>
      </c>
      <c r="K3415" t="inlineStr">
        <is>
          <t>NOT_RUN</t>
        </is>
      </c>
      <c r="P3415" t="n">
        <v>0</v>
      </c>
      <c r="Q3415" t="n">
        <v>3414</v>
      </c>
    </row>
    <row r="3416">
      <c r="A3416" t="n">
        <v>3415</v>
      </c>
      <c r="B3416" t="inlineStr">
        <is>
          <t>MTR-IOS-3415</t>
        </is>
      </c>
      <c r="C3416" t="inlineStr">
        <is>
          <t>iPhone</t>
        </is>
      </c>
      <c r="D3416" t="inlineStr">
        <is>
          <t>Personal</t>
        </is>
      </c>
      <c r="E3416" t="inlineStr">
        <is>
          <t>Personal</t>
        </is>
      </c>
      <c r="F3416" t="inlineStr">
        <is>
          <t>Future Building</t>
        </is>
      </c>
      <c r="G3416" t="inlineStr">
        <is>
          <t>Goal Contribution</t>
        </is>
      </c>
      <c r="H3416" t="inlineStr">
        <is>
          <t>Personal &gt; Future Building &gt; Quick Add &gt; Goal Contribution</t>
        </is>
      </c>
      <c r="I3416" s="18" t="n">
        <v>9129.299999999999</v>
      </c>
      <c r="J3416" t="inlineStr">
        <is>
          <t>Created MTR-IOS-3415 and correlation note visible in Activity/Pulse</t>
        </is>
      </c>
      <c r="K3416" t="inlineStr">
        <is>
          <t>NOT_RUN</t>
        </is>
      </c>
      <c r="P3416" t="n">
        <v>0</v>
      </c>
      <c r="Q3416" t="n">
        <v>3415</v>
      </c>
    </row>
    <row r="3417">
      <c r="A3417" t="n">
        <v>3416</v>
      </c>
      <c r="B3417" t="inlineStr">
        <is>
          <t>MTR-IOS-3416</t>
        </is>
      </c>
      <c r="C3417" t="inlineStr">
        <is>
          <t>iPhone</t>
        </is>
      </c>
      <c r="D3417" t="inlineStr">
        <is>
          <t>Group</t>
        </is>
      </c>
      <c r="E3417" t="inlineStr">
        <is>
          <t>Shared Purchase</t>
        </is>
      </c>
      <c r="F3417" t="inlineStr">
        <is>
          <t>Assets</t>
        </is>
      </c>
      <c r="G3417" t="inlineStr">
        <is>
          <t>Other</t>
        </is>
      </c>
      <c r="H3417" t="inlineStr">
        <is>
          <t>Group &gt; Assets &gt; Quick Add &gt; Other</t>
        </is>
      </c>
      <c r="I3417" s="18" t="n">
        <v>5504.28</v>
      </c>
      <c r="J3417" t="inlineStr">
        <is>
          <t>Created MTR-IOS-3416 and correlation note visible in Activity/Pulse</t>
        </is>
      </c>
      <c r="K3417" t="inlineStr">
        <is>
          <t>NOT_RUN</t>
        </is>
      </c>
      <c r="P3417" t="n">
        <v>0</v>
      </c>
      <c r="Q3417" t="n">
        <v>3416</v>
      </c>
    </row>
    <row r="3418">
      <c r="A3418" t="n">
        <v>3417</v>
      </c>
      <c r="B3418" t="inlineStr">
        <is>
          <t>MTR-IOS-3417</t>
        </is>
      </c>
      <c r="C3418" t="inlineStr">
        <is>
          <t>iPhone</t>
        </is>
      </c>
      <c r="D3418" t="inlineStr">
        <is>
          <t>Business</t>
        </is>
      </c>
      <c r="E3418" t="inlineStr">
        <is>
          <t>Business</t>
        </is>
      </c>
      <c r="F3418" t="inlineStr">
        <is>
          <t>Team Operations</t>
        </is>
      </c>
      <c r="G3418" t="inlineStr">
        <is>
          <t>Travel</t>
        </is>
      </c>
      <c r="H3418" t="inlineStr">
        <is>
          <t>Business &gt; Team Operations &gt; Quick Add &gt; Travel</t>
        </is>
      </c>
      <c r="I3418" s="18" t="n">
        <v>91324.3</v>
      </c>
      <c r="J3418" t="inlineStr">
        <is>
          <t>Created MTR-IOS-3417 and correlation note visible in Activity/Pulse</t>
        </is>
      </c>
      <c r="K3418" t="inlineStr">
        <is>
          <t>NOT_RUN</t>
        </is>
      </c>
      <c r="P3418" t="n">
        <v>0</v>
      </c>
      <c r="Q3418" t="n">
        <v>3417</v>
      </c>
    </row>
    <row r="3419">
      <c r="A3419" t="n">
        <v>3418</v>
      </c>
      <c r="B3419" t="inlineStr">
        <is>
          <t>MTR-IOS-3418</t>
        </is>
      </c>
      <c r="C3419" t="inlineStr">
        <is>
          <t>iPhone</t>
        </is>
      </c>
      <c r="D3419" t="inlineStr">
        <is>
          <t>Personal</t>
        </is>
      </c>
      <c r="E3419" t="inlineStr">
        <is>
          <t>Personal</t>
        </is>
      </c>
      <c r="F3419" t="inlineStr">
        <is>
          <t>Lifestyle</t>
        </is>
      </c>
      <c r="G3419" t="inlineStr">
        <is>
          <t>Dining</t>
        </is>
      </c>
      <c r="H3419" t="inlineStr">
        <is>
          <t>Personal &gt; Lifestyle &gt; Quick Add &gt; Dining</t>
        </is>
      </c>
      <c r="I3419" s="18" t="n">
        <v>17715.66</v>
      </c>
      <c r="J3419" t="inlineStr">
        <is>
          <t>Created MTR-IOS-3418 and correlation note visible in Activity/Pulse</t>
        </is>
      </c>
      <c r="K3419" t="inlineStr">
        <is>
          <t>NOT_RUN</t>
        </is>
      </c>
      <c r="P3419" t="n">
        <v>0</v>
      </c>
      <c r="Q3419" t="n">
        <v>3418</v>
      </c>
    </row>
    <row r="3420">
      <c r="A3420" t="n">
        <v>3419</v>
      </c>
      <c r="B3420" t="inlineStr">
        <is>
          <t>MTR-IOS-3419</t>
        </is>
      </c>
      <c r="C3420" t="inlineStr">
        <is>
          <t>iPhone</t>
        </is>
      </c>
      <c r="D3420" t="inlineStr">
        <is>
          <t>Group</t>
        </is>
      </c>
      <c r="E3420" t="inlineStr">
        <is>
          <t>Shared Purchase</t>
        </is>
      </c>
      <c r="F3420" t="inlineStr">
        <is>
          <t>Custom Purchase</t>
        </is>
      </c>
      <c r="G3420" t="inlineStr">
        <is>
          <t>Custom Expense</t>
        </is>
      </c>
      <c r="H3420" t="inlineStr">
        <is>
          <t>Group &gt; Custom Purchase &gt; Quick Add &gt; Custom Expense</t>
        </is>
      </c>
      <c r="I3420" s="18" t="n">
        <v>707.22</v>
      </c>
      <c r="J3420" t="inlineStr">
        <is>
          <t>Created MTR-IOS-3419 and correlation note visible in Activity/Pulse</t>
        </is>
      </c>
      <c r="K3420" t="inlineStr">
        <is>
          <t>NOT_RUN</t>
        </is>
      </c>
      <c r="P3420" t="n">
        <v>0</v>
      </c>
      <c r="Q3420" t="n">
        <v>3419</v>
      </c>
    </row>
    <row r="3421">
      <c r="A3421" t="n">
        <v>3420</v>
      </c>
      <c r="B3421" t="inlineStr">
        <is>
          <t>MTR-IOS-3420</t>
        </is>
      </c>
      <c r="C3421" t="inlineStr">
        <is>
          <t>iPhone</t>
        </is>
      </c>
      <c r="D3421" t="inlineStr">
        <is>
          <t>Business</t>
        </is>
      </c>
      <c r="E3421" t="inlineStr">
        <is>
          <t>Business</t>
        </is>
      </c>
      <c r="F3421" t="inlineStr">
        <is>
          <t>Team Operations</t>
        </is>
      </c>
      <c r="G3421" t="inlineStr">
        <is>
          <t>Training</t>
        </is>
      </c>
      <c r="H3421" t="inlineStr">
        <is>
          <t>Business &gt; Team Operations &gt; Quick Add &gt; Training</t>
        </is>
      </c>
      <c r="I3421" s="18" t="n">
        <v>5232.02</v>
      </c>
      <c r="J3421" t="inlineStr">
        <is>
          <t>Created MTR-IOS-3420 and correlation note visible in Activity/Pulse</t>
        </is>
      </c>
      <c r="K3421" t="inlineStr">
        <is>
          <t>NOT_RUN</t>
        </is>
      </c>
      <c r="P3421" t="n">
        <v>0</v>
      </c>
      <c r="Q3421" t="n">
        <v>3420</v>
      </c>
    </row>
    <row r="3422">
      <c r="A3422" t="n">
        <v>3421</v>
      </c>
      <c r="B3422" t="inlineStr">
        <is>
          <t>MTR-IOS-3421</t>
        </is>
      </c>
      <c r="C3422" t="inlineStr">
        <is>
          <t>iPhone</t>
        </is>
      </c>
      <c r="D3422" t="inlineStr">
        <is>
          <t>Personal</t>
        </is>
      </c>
      <c r="E3422" t="inlineStr">
        <is>
          <t>Personal</t>
        </is>
      </c>
      <c r="F3422" t="inlineStr">
        <is>
          <t>Lifestyle</t>
        </is>
      </c>
      <c r="G3422" t="inlineStr">
        <is>
          <t>Shopping</t>
        </is>
      </c>
      <c r="H3422" t="inlineStr">
        <is>
          <t>Personal &gt; Lifestyle &gt; Quick Add &gt; Shopping</t>
        </is>
      </c>
      <c r="I3422" s="18" t="n">
        <v>268.67</v>
      </c>
      <c r="J3422" t="inlineStr">
        <is>
          <t>Created MTR-IOS-3421 and correlation note visible in Activity/Pulse</t>
        </is>
      </c>
      <c r="K3422" t="inlineStr">
        <is>
          <t>NOT_RUN</t>
        </is>
      </c>
      <c r="P3422" t="n">
        <v>0</v>
      </c>
      <c r="Q3422" t="n">
        <v>3421</v>
      </c>
    </row>
    <row r="3423">
      <c r="A3423" t="n">
        <v>3422</v>
      </c>
      <c r="B3423" t="inlineStr">
        <is>
          <t>MTR-IOS-3422</t>
        </is>
      </c>
      <c r="C3423" t="inlineStr">
        <is>
          <t>iPhone</t>
        </is>
      </c>
      <c r="D3423" t="inlineStr">
        <is>
          <t>Group</t>
        </is>
      </c>
      <c r="E3423" t="inlineStr">
        <is>
          <t>Shared Purchase</t>
        </is>
      </c>
      <c r="F3423" t="inlineStr">
        <is>
          <t>Custom Purchase</t>
        </is>
      </c>
      <c r="G3423" t="inlineStr">
        <is>
          <t>Custom Contribution</t>
        </is>
      </c>
      <c r="H3423" t="inlineStr">
        <is>
          <t>Group &gt; Custom Purchase &gt; Quick Add &gt; Custom Contribution</t>
        </is>
      </c>
      <c r="I3423" s="18" t="n">
        <v>11791.72</v>
      </c>
      <c r="J3423" t="inlineStr">
        <is>
          <t>Created MTR-IOS-3422 and correlation note visible in Activity/Pulse</t>
        </is>
      </c>
      <c r="K3423" t="inlineStr">
        <is>
          <t>NOT_RUN</t>
        </is>
      </c>
      <c r="P3423" t="n">
        <v>0</v>
      </c>
      <c r="Q3423" t="n">
        <v>3422</v>
      </c>
    </row>
    <row r="3424">
      <c r="A3424" t="n">
        <v>3423</v>
      </c>
      <c r="B3424" t="inlineStr">
        <is>
          <t>MTR-IOS-3423</t>
        </is>
      </c>
      <c r="C3424" t="inlineStr">
        <is>
          <t>iPhone</t>
        </is>
      </c>
      <c r="D3424" t="inlineStr">
        <is>
          <t>Business</t>
        </is>
      </c>
      <c r="E3424" t="inlineStr">
        <is>
          <t>Business</t>
        </is>
      </c>
      <c r="F3424" t="inlineStr">
        <is>
          <t>Team Operations</t>
        </is>
      </c>
      <c r="G3424" t="inlineStr">
        <is>
          <t>Tools</t>
        </is>
      </c>
      <c r="H3424" t="inlineStr">
        <is>
          <t>Business &gt; Team Operations &gt; Quick Add &gt; Tools</t>
        </is>
      </c>
      <c r="I3424" s="18" t="n">
        <v>6795.92</v>
      </c>
      <c r="J3424" t="inlineStr">
        <is>
          <t>Created MTR-IOS-3423 and correlation note visible in Activity/Pulse</t>
        </is>
      </c>
      <c r="K3424" t="inlineStr">
        <is>
          <t>NOT_RUN</t>
        </is>
      </c>
      <c r="P3424" t="n">
        <v>0</v>
      </c>
      <c r="Q3424" t="n">
        <v>3423</v>
      </c>
    </row>
    <row r="3425">
      <c r="A3425" t="n">
        <v>3424</v>
      </c>
      <c r="B3425" t="inlineStr">
        <is>
          <t>MTR-IOS-3424</t>
        </is>
      </c>
      <c r="C3425" t="inlineStr">
        <is>
          <t>iPhone</t>
        </is>
      </c>
      <c r="D3425" t="inlineStr">
        <is>
          <t>Personal</t>
        </is>
      </c>
      <c r="E3425" t="inlineStr">
        <is>
          <t>Personal</t>
        </is>
      </c>
      <c r="F3425" t="inlineStr">
        <is>
          <t>Lifestyle</t>
        </is>
      </c>
      <c r="G3425" t="inlineStr">
        <is>
          <t>Entertainment</t>
        </is>
      </c>
      <c r="H3425" t="inlineStr">
        <is>
          <t>Personal &gt; Lifestyle &gt; Quick Add &gt; Entertainment</t>
        </is>
      </c>
      <c r="I3425" s="18" t="n">
        <v>13639.1</v>
      </c>
      <c r="J3425" t="inlineStr">
        <is>
          <t>Created MTR-IOS-3424 and correlation note visible in Activity/Pulse</t>
        </is>
      </c>
      <c r="K3425" t="inlineStr">
        <is>
          <t>NOT_RUN</t>
        </is>
      </c>
      <c r="P3425" t="n">
        <v>0</v>
      </c>
      <c r="Q3425" t="n">
        <v>3424</v>
      </c>
    </row>
    <row r="3426">
      <c r="A3426" t="n">
        <v>3425</v>
      </c>
      <c r="B3426" t="inlineStr">
        <is>
          <t>MTR-IOS-3425</t>
        </is>
      </c>
      <c r="C3426" t="inlineStr">
        <is>
          <t>iPhone</t>
        </is>
      </c>
      <c r="D3426" t="inlineStr">
        <is>
          <t>Group</t>
        </is>
      </c>
      <c r="E3426" t="inlineStr">
        <is>
          <t>Shared Living</t>
        </is>
      </c>
      <c r="F3426" t="inlineStr">
        <is>
          <t>Flatmates</t>
        </is>
      </c>
      <c r="G3426" t="inlineStr">
        <is>
          <t>Rent</t>
        </is>
      </c>
      <c r="H3426" t="inlineStr">
        <is>
          <t>Group &gt; Flatmates &gt; Quick Add &gt; Rent</t>
        </is>
      </c>
      <c r="I3426" s="18" t="n">
        <v>25545.49</v>
      </c>
      <c r="J3426" t="inlineStr">
        <is>
          <t>Created MTR-IOS-3425 and correlation note visible in Activity/Pulse</t>
        </is>
      </c>
      <c r="K3426" t="inlineStr">
        <is>
          <t>NOT_RUN</t>
        </is>
      </c>
      <c r="P3426" t="n">
        <v>0</v>
      </c>
      <c r="Q3426" t="n">
        <v>3425</v>
      </c>
    </row>
    <row r="3427">
      <c r="A3427" t="n">
        <v>3426</v>
      </c>
      <c r="B3427" t="inlineStr">
        <is>
          <t>MTR-IOS-3426</t>
        </is>
      </c>
      <c r="C3427" t="inlineStr">
        <is>
          <t>iPhone</t>
        </is>
      </c>
      <c r="D3427" t="inlineStr">
        <is>
          <t>Business</t>
        </is>
      </c>
      <c r="E3427" t="inlineStr">
        <is>
          <t>Business</t>
        </is>
      </c>
      <c r="F3427" t="inlineStr">
        <is>
          <t>Business Runway</t>
        </is>
      </c>
      <c r="G3427" t="inlineStr">
        <is>
          <t>Funding</t>
        </is>
      </c>
      <c r="H3427" t="inlineStr">
        <is>
          <t>Business &gt; Business Runway &gt; Quick Add &gt; Funding</t>
        </is>
      </c>
      <c r="I3427" s="18" t="n">
        <v>40336.78</v>
      </c>
      <c r="J3427" t="inlineStr">
        <is>
          <t>Created MTR-IOS-3426 and correlation note visible in Activity/Pulse</t>
        </is>
      </c>
      <c r="K3427" t="inlineStr">
        <is>
          <t>NOT_RUN</t>
        </is>
      </c>
      <c r="P3427" t="n">
        <v>0</v>
      </c>
      <c r="Q3427" t="n">
        <v>3426</v>
      </c>
    </row>
    <row r="3428">
      <c r="A3428" t="n">
        <v>3427</v>
      </c>
      <c r="B3428" t="inlineStr">
        <is>
          <t>MTR-IOS-3427</t>
        </is>
      </c>
      <c r="C3428" t="inlineStr">
        <is>
          <t>iPhone</t>
        </is>
      </c>
      <c r="D3428" t="inlineStr">
        <is>
          <t>Personal</t>
        </is>
      </c>
      <c r="E3428" t="inlineStr">
        <is>
          <t>Personal</t>
        </is>
      </c>
      <c r="F3428" t="inlineStr">
        <is>
          <t>Lifestyle</t>
        </is>
      </c>
      <c r="G3428" t="inlineStr">
        <is>
          <t>Travel</t>
        </is>
      </c>
      <c r="H3428" t="inlineStr">
        <is>
          <t>Personal &gt; Lifestyle &gt; Quick Add &gt; Travel</t>
        </is>
      </c>
      <c r="I3428" s="18" t="n">
        <v>15974.24</v>
      </c>
      <c r="J3428" t="inlineStr">
        <is>
          <t>Created MTR-IOS-3427 and correlation note visible in Activity/Pulse</t>
        </is>
      </c>
      <c r="K3428" t="inlineStr">
        <is>
          <t>NOT_RUN</t>
        </is>
      </c>
      <c r="P3428" t="n">
        <v>0</v>
      </c>
      <c r="Q3428" t="n">
        <v>3427</v>
      </c>
    </row>
    <row r="3429">
      <c r="A3429" t="n">
        <v>3428</v>
      </c>
      <c r="B3429" t="inlineStr">
        <is>
          <t>MTR-IOS-3428</t>
        </is>
      </c>
      <c r="C3429" t="inlineStr">
        <is>
          <t>iPhone</t>
        </is>
      </c>
      <c r="D3429" t="inlineStr">
        <is>
          <t>Group</t>
        </is>
      </c>
      <c r="E3429" t="inlineStr">
        <is>
          <t>Shared Living</t>
        </is>
      </c>
      <c r="F3429" t="inlineStr">
        <is>
          <t>Flatmates</t>
        </is>
      </c>
      <c r="G3429" t="inlineStr">
        <is>
          <t>Utilities</t>
        </is>
      </c>
      <c r="H3429" t="inlineStr">
        <is>
          <t>Group &gt; Flatmates &gt; Quick Add &gt; Utilities</t>
        </is>
      </c>
      <c r="I3429" s="18" t="n">
        <v>18750.95</v>
      </c>
      <c r="J3429" t="inlineStr">
        <is>
          <t>Created MTR-IOS-3428 and correlation note visible in Activity/Pulse</t>
        </is>
      </c>
      <c r="K3429" t="inlineStr">
        <is>
          <t>NOT_RUN</t>
        </is>
      </c>
      <c r="P3429" t="n">
        <v>0</v>
      </c>
      <c r="Q3429" t="n">
        <v>3428</v>
      </c>
    </row>
    <row r="3430">
      <c r="A3430" t="n">
        <v>3429</v>
      </c>
      <c r="B3430" t="inlineStr">
        <is>
          <t>MTR-IOS-3429</t>
        </is>
      </c>
      <c r="C3430" t="inlineStr">
        <is>
          <t>iPhone</t>
        </is>
      </c>
      <c r="D3430" t="inlineStr">
        <is>
          <t>Business</t>
        </is>
      </c>
      <c r="E3430" t="inlineStr">
        <is>
          <t>Business</t>
        </is>
      </c>
      <c r="F3430" t="inlineStr">
        <is>
          <t>Business Runway</t>
        </is>
      </c>
      <c r="G3430" t="inlineStr">
        <is>
          <t>Revenue</t>
        </is>
      </c>
      <c r="H3430" t="inlineStr">
        <is>
          <t>Business &gt; Business Runway &gt; Quick Add &gt; Revenue</t>
        </is>
      </c>
      <c r="I3430" s="18" t="n">
        <v>164771.99</v>
      </c>
      <c r="J3430" t="inlineStr">
        <is>
          <t>Created MTR-IOS-3429 and correlation note visible in Activity/Pulse</t>
        </is>
      </c>
      <c r="K3430" t="inlineStr">
        <is>
          <t>NOT_RUN</t>
        </is>
      </c>
      <c r="P3430" t="n">
        <v>0</v>
      </c>
      <c r="Q3430" t="n">
        <v>3429</v>
      </c>
    </row>
    <row r="3431">
      <c r="A3431" t="n">
        <v>3430</v>
      </c>
      <c r="B3431" t="inlineStr">
        <is>
          <t>MTR-IOS-3430</t>
        </is>
      </c>
      <c r="C3431" t="inlineStr">
        <is>
          <t>iPhone</t>
        </is>
      </c>
      <c r="D3431" t="inlineStr">
        <is>
          <t>Personal</t>
        </is>
      </c>
      <c r="E3431" t="inlineStr">
        <is>
          <t>Personal</t>
        </is>
      </c>
      <c r="F3431" t="inlineStr">
        <is>
          <t>Lifestyle</t>
        </is>
      </c>
      <c r="G3431" t="inlineStr">
        <is>
          <t>Fitness</t>
        </is>
      </c>
      <c r="H3431" t="inlineStr">
        <is>
          <t>Personal &gt; Lifestyle &gt; Quick Add &gt; Fitness</t>
        </is>
      </c>
      <c r="I3431" s="18" t="n">
        <v>11781.13</v>
      </c>
      <c r="J3431" t="inlineStr">
        <is>
          <t>Created MTR-IOS-3430 and correlation note visible in Activity/Pulse</t>
        </is>
      </c>
      <c r="K3431" t="inlineStr">
        <is>
          <t>NOT_RUN</t>
        </is>
      </c>
      <c r="P3431" t="n">
        <v>0</v>
      </c>
      <c r="Q3431" t="n">
        <v>3430</v>
      </c>
    </row>
    <row r="3432">
      <c r="A3432" t="n">
        <v>3431</v>
      </c>
      <c r="B3432" t="inlineStr">
        <is>
          <t>MTR-IOS-3431</t>
        </is>
      </c>
      <c r="C3432" t="inlineStr">
        <is>
          <t>iPhone</t>
        </is>
      </c>
      <c r="D3432" t="inlineStr">
        <is>
          <t>Group</t>
        </is>
      </c>
      <c r="E3432" t="inlineStr">
        <is>
          <t>Shared Living</t>
        </is>
      </c>
      <c r="F3432" t="inlineStr">
        <is>
          <t>Flatmates</t>
        </is>
      </c>
      <c r="G3432" t="inlineStr">
        <is>
          <t>Groceries</t>
        </is>
      </c>
      <c r="H3432" t="inlineStr">
        <is>
          <t>Group &gt; Flatmates &gt; Quick Add &gt; Groceries</t>
        </is>
      </c>
      <c r="I3432" s="18" t="n">
        <v>6456.44</v>
      </c>
      <c r="J3432" t="inlineStr">
        <is>
          <t>Created MTR-IOS-3431 and correlation note visible in Activity/Pulse</t>
        </is>
      </c>
      <c r="K3432" t="inlineStr">
        <is>
          <t>NOT_RUN</t>
        </is>
      </c>
      <c r="P3432" t="n">
        <v>0</v>
      </c>
      <c r="Q3432" t="n">
        <v>3431</v>
      </c>
    </row>
    <row r="3433">
      <c r="A3433" t="n">
        <v>3432</v>
      </c>
      <c r="B3433" t="inlineStr">
        <is>
          <t>MTR-IOS-3432</t>
        </is>
      </c>
      <c r="C3433" t="inlineStr">
        <is>
          <t>iPhone</t>
        </is>
      </c>
      <c r="D3433" t="inlineStr">
        <is>
          <t>Business</t>
        </is>
      </c>
      <c r="E3433" t="inlineStr">
        <is>
          <t>Business</t>
        </is>
      </c>
      <c r="F3433" t="inlineStr">
        <is>
          <t>Business Runway</t>
        </is>
      </c>
      <c r="G3433" t="inlineStr">
        <is>
          <t>Burn</t>
        </is>
      </c>
      <c r="H3433" t="inlineStr">
        <is>
          <t>Business &gt; Business Runway &gt; Quick Add &gt; Burn</t>
        </is>
      </c>
      <c r="I3433" s="18" t="n">
        <v>66805.64</v>
      </c>
      <c r="J3433" t="inlineStr">
        <is>
          <t>Created MTR-IOS-3432 and correlation note visible in Activity/Pulse</t>
        </is>
      </c>
      <c r="K3433" t="inlineStr">
        <is>
          <t>NOT_RUN</t>
        </is>
      </c>
      <c r="P3433" t="n">
        <v>0</v>
      </c>
      <c r="Q3433" t="n">
        <v>3432</v>
      </c>
    </row>
    <row r="3434">
      <c r="A3434" t="n">
        <v>3433</v>
      </c>
      <c r="B3434" t="inlineStr">
        <is>
          <t>MTR-IOS-3433</t>
        </is>
      </c>
      <c r="C3434" t="inlineStr">
        <is>
          <t>iPhone</t>
        </is>
      </c>
      <c r="D3434" t="inlineStr">
        <is>
          <t>Personal</t>
        </is>
      </c>
      <c r="E3434" t="inlineStr">
        <is>
          <t>Personal</t>
        </is>
      </c>
      <c r="F3434" t="inlineStr">
        <is>
          <t>Lifestyle</t>
        </is>
      </c>
      <c r="G3434" t="inlineStr">
        <is>
          <t>Hobbies</t>
        </is>
      </c>
      <c r="H3434" t="inlineStr">
        <is>
          <t>Personal &gt; Lifestyle &gt; Quick Add &gt; Hobbies</t>
        </is>
      </c>
      <c r="I3434" s="18" t="n">
        <v>4558.77</v>
      </c>
      <c r="J3434" t="inlineStr">
        <is>
          <t>Created MTR-IOS-3433 and correlation note visible in Activity/Pulse</t>
        </is>
      </c>
      <c r="K3434" t="inlineStr">
        <is>
          <t>NOT_RUN</t>
        </is>
      </c>
      <c r="P3434" t="n">
        <v>0</v>
      </c>
      <c r="Q3434" t="n">
        <v>3433</v>
      </c>
    </row>
    <row r="3435">
      <c r="A3435" t="n">
        <v>3434</v>
      </c>
      <c r="B3435" t="inlineStr">
        <is>
          <t>MTR-IOS-3434</t>
        </is>
      </c>
      <c r="C3435" t="inlineStr">
        <is>
          <t>iPhone</t>
        </is>
      </c>
      <c r="D3435" t="inlineStr">
        <is>
          <t>Group</t>
        </is>
      </c>
      <c r="E3435" t="inlineStr">
        <is>
          <t>Shared Living</t>
        </is>
      </c>
      <c r="F3435" t="inlineStr">
        <is>
          <t>Flatmates</t>
        </is>
      </c>
      <c r="G3435" t="inlineStr">
        <is>
          <t>Internet</t>
        </is>
      </c>
      <c r="H3435" t="inlineStr">
        <is>
          <t>Group &gt; Flatmates &gt; Quick Add &gt; Internet</t>
        </is>
      </c>
      <c r="I3435" s="18" t="n">
        <v>6478</v>
      </c>
      <c r="J3435" t="inlineStr">
        <is>
          <t>Created MTR-IOS-3434 and correlation note visible in Activity/Pulse</t>
        </is>
      </c>
      <c r="K3435" t="inlineStr">
        <is>
          <t>NOT_RUN</t>
        </is>
      </c>
      <c r="P3435" t="n">
        <v>0</v>
      </c>
      <c r="Q3435" t="n">
        <v>3434</v>
      </c>
    </row>
    <row r="3436">
      <c r="A3436" t="n">
        <v>3435</v>
      </c>
      <c r="B3436" t="inlineStr">
        <is>
          <t>MTR-IOS-3435</t>
        </is>
      </c>
      <c r="C3436" t="inlineStr">
        <is>
          <t>iPhone</t>
        </is>
      </c>
      <c r="D3436" t="inlineStr">
        <is>
          <t>Business</t>
        </is>
      </c>
      <c r="E3436" t="inlineStr">
        <is>
          <t>Business</t>
        </is>
      </c>
      <c r="F3436" t="inlineStr">
        <is>
          <t>Business Runway</t>
        </is>
      </c>
      <c r="G3436" t="inlineStr">
        <is>
          <t>Reserve</t>
        </is>
      </c>
      <c r="H3436" t="inlineStr">
        <is>
          <t>Business &gt; Business Runway &gt; Quick Add &gt; Reserve</t>
        </is>
      </c>
      <c r="I3436" s="18" t="n">
        <v>130064.96</v>
      </c>
      <c r="J3436" t="inlineStr">
        <is>
          <t>Created MTR-IOS-3435 and correlation note visible in Activity/Pulse</t>
        </is>
      </c>
      <c r="K3436" t="inlineStr">
        <is>
          <t>NOT_RUN</t>
        </is>
      </c>
      <c r="P3436" t="n">
        <v>0</v>
      </c>
      <c r="Q3436" t="n">
        <v>3435</v>
      </c>
    </row>
    <row r="3437">
      <c r="A3437" t="n">
        <v>3436</v>
      </c>
      <c r="B3437" t="inlineStr">
        <is>
          <t>MTR-IOS-3436</t>
        </is>
      </c>
      <c r="C3437" t="inlineStr">
        <is>
          <t>iPhone</t>
        </is>
      </c>
      <c r="D3437" t="inlineStr">
        <is>
          <t>Personal</t>
        </is>
      </c>
      <c r="E3437" t="inlineStr">
        <is>
          <t>Personal</t>
        </is>
      </c>
      <c r="F3437" t="inlineStr">
        <is>
          <t>Relationships</t>
        </is>
      </c>
      <c r="G3437" t="inlineStr">
        <is>
          <t>Gifts</t>
        </is>
      </c>
      <c r="H3437" t="inlineStr">
        <is>
          <t>Personal &gt; Relationships &gt; Quick Add &gt; Gifts</t>
        </is>
      </c>
      <c r="I3437" s="18" t="n">
        <v>2428.11</v>
      </c>
      <c r="J3437" t="inlineStr">
        <is>
          <t>Created MTR-IOS-3436 and correlation note visible in Activity/Pulse</t>
        </is>
      </c>
      <c r="K3437" t="inlineStr">
        <is>
          <t>NOT_RUN</t>
        </is>
      </c>
      <c r="P3437" t="n">
        <v>0</v>
      </c>
      <c r="Q3437" t="n">
        <v>3436</v>
      </c>
    </row>
    <row r="3438">
      <c r="A3438" t="n">
        <v>3437</v>
      </c>
      <c r="B3438" t="inlineStr">
        <is>
          <t>MTR-IOS-3437</t>
        </is>
      </c>
      <c r="C3438" t="inlineStr">
        <is>
          <t>iPhone</t>
        </is>
      </c>
      <c r="D3438" t="inlineStr">
        <is>
          <t>Group</t>
        </is>
      </c>
      <c r="E3438" t="inlineStr">
        <is>
          <t>Shared Living</t>
        </is>
      </c>
      <c r="F3438" t="inlineStr">
        <is>
          <t>Flatmates</t>
        </is>
      </c>
      <c r="G3438" t="inlineStr">
        <is>
          <t>House Supplies</t>
        </is>
      </c>
      <c r="H3438" t="inlineStr">
        <is>
          <t>Group &gt; Flatmates &gt; Quick Add &gt; House Supplies</t>
        </is>
      </c>
      <c r="I3438" s="18" t="n">
        <v>17459.25</v>
      </c>
      <c r="J3438" t="inlineStr">
        <is>
          <t>Created MTR-IOS-3437 and correlation note visible in Activity/Pulse</t>
        </is>
      </c>
      <c r="K3438" t="inlineStr">
        <is>
          <t>NOT_RUN</t>
        </is>
      </c>
      <c r="P3438" t="n">
        <v>0</v>
      </c>
      <c r="Q3438" t="n">
        <v>3437</v>
      </c>
    </row>
    <row r="3439">
      <c r="A3439" t="n">
        <v>3438</v>
      </c>
      <c r="B3439" t="inlineStr">
        <is>
          <t>MTR-IOS-3438</t>
        </is>
      </c>
      <c r="C3439" t="inlineStr">
        <is>
          <t>iPhone</t>
        </is>
      </c>
      <c r="D3439" t="inlineStr">
        <is>
          <t>Business</t>
        </is>
      </c>
      <c r="E3439" t="inlineStr">
        <is>
          <t>Business</t>
        </is>
      </c>
      <c r="F3439" t="inlineStr">
        <is>
          <t>Business Runway</t>
        </is>
      </c>
      <c r="G3439" t="inlineStr">
        <is>
          <t>Loan</t>
        </is>
      </c>
      <c r="H3439" t="inlineStr">
        <is>
          <t>Business &gt; Business Runway &gt; Quick Add &gt; Loan</t>
        </is>
      </c>
      <c r="I3439" s="18" t="n">
        <v>143497.98</v>
      </c>
      <c r="J3439" t="inlineStr">
        <is>
          <t>Created MTR-IOS-3438 and correlation note visible in Activity/Pulse</t>
        </is>
      </c>
      <c r="K3439" t="inlineStr">
        <is>
          <t>NOT_RUN</t>
        </is>
      </c>
      <c r="P3439" t="n">
        <v>0</v>
      </c>
      <c r="Q3439" t="n">
        <v>3438</v>
      </c>
    </row>
    <row r="3440">
      <c r="A3440" t="n">
        <v>3439</v>
      </c>
      <c r="B3440" t="inlineStr">
        <is>
          <t>MTR-IOS-3439</t>
        </is>
      </c>
      <c r="C3440" t="inlineStr">
        <is>
          <t>iPhone</t>
        </is>
      </c>
      <c r="D3440" t="inlineStr">
        <is>
          <t>Personal</t>
        </is>
      </c>
      <c r="E3440" t="inlineStr">
        <is>
          <t>Personal</t>
        </is>
      </c>
      <c r="F3440" t="inlineStr">
        <is>
          <t>Relationships</t>
        </is>
      </c>
      <c r="G3440" t="inlineStr">
        <is>
          <t>Dates</t>
        </is>
      </c>
      <c r="H3440" t="inlineStr">
        <is>
          <t>Personal &gt; Relationships &gt; Quick Add &gt; Dates</t>
        </is>
      </c>
      <c r="I3440" s="18" t="n">
        <v>11435.34</v>
      </c>
      <c r="J3440" t="inlineStr">
        <is>
          <t>Created MTR-IOS-3439 and correlation note visible in Activity/Pulse</t>
        </is>
      </c>
      <c r="K3440" t="inlineStr">
        <is>
          <t>NOT_RUN</t>
        </is>
      </c>
      <c r="P3440" t="n">
        <v>0</v>
      </c>
      <c r="Q3440" t="n">
        <v>3439</v>
      </c>
    </row>
    <row r="3441">
      <c r="A3441" t="n">
        <v>3440</v>
      </c>
      <c r="B3441" t="inlineStr">
        <is>
          <t>MTR-IOS-3440</t>
        </is>
      </c>
      <c r="C3441" t="inlineStr">
        <is>
          <t>iPhone</t>
        </is>
      </c>
      <c r="D3441" t="inlineStr">
        <is>
          <t>Group</t>
        </is>
      </c>
      <c r="E3441" t="inlineStr">
        <is>
          <t>Shared Living</t>
        </is>
      </c>
      <c r="F3441" t="inlineStr">
        <is>
          <t>Flatmates</t>
        </is>
      </c>
      <c r="G3441" t="inlineStr">
        <is>
          <t>Repairs</t>
        </is>
      </c>
      <c r="H3441" t="inlineStr">
        <is>
          <t>Group &gt; Flatmates &gt; Quick Add &gt; Repairs</t>
        </is>
      </c>
      <c r="I3441" s="18" t="n">
        <v>4303.07</v>
      </c>
      <c r="J3441" t="inlineStr">
        <is>
          <t>Created MTR-IOS-3440 and correlation note visible in Activity/Pulse</t>
        </is>
      </c>
      <c r="K3441" t="inlineStr">
        <is>
          <t>NOT_RUN</t>
        </is>
      </c>
      <c r="P3441" t="n">
        <v>0</v>
      </c>
      <c r="Q3441" t="n">
        <v>3440</v>
      </c>
    </row>
    <row r="3442">
      <c r="A3442" t="n">
        <v>3441</v>
      </c>
      <c r="B3442" t="inlineStr">
        <is>
          <t>MTR-IOS-3441</t>
        </is>
      </c>
      <c r="C3442" t="inlineStr">
        <is>
          <t>iPhone</t>
        </is>
      </c>
      <c r="D3442" t="inlineStr">
        <is>
          <t>Business</t>
        </is>
      </c>
      <c r="E3442" t="inlineStr">
        <is>
          <t>Business</t>
        </is>
      </c>
      <c r="F3442" t="inlineStr">
        <is>
          <t>Business Runway</t>
        </is>
      </c>
      <c r="G3442" t="inlineStr">
        <is>
          <t>Investment</t>
        </is>
      </c>
      <c r="H3442" t="inlineStr">
        <is>
          <t>Business &gt; Business Runway &gt; Quick Add &gt; Investment</t>
        </is>
      </c>
      <c r="I3442" s="18" t="n">
        <v>100</v>
      </c>
      <c r="J3442" t="inlineStr">
        <is>
          <t>Created MTR-IOS-3441 and correlation note visible in Activity/Pulse</t>
        </is>
      </c>
      <c r="K3442" t="inlineStr">
        <is>
          <t>NOT_RUN</t>
        </is>
      </c>
      <c r="P3442" t="n">
        <v>0</v>
      </c>
      <c r="Q3442" t="n">
        <v>3441</v>
      </c>
    </row>
    <row r="3443">
      <c r="A3443" t="n">
        <v>3442</v>
      </c>
      <c r="B3443" t="inlineStr">
        <is>
          <t>MTR-IOS-3442</t>
        </is>
      </c>
      <c r="C3443" t="inlineStr">
        <is>
          <t>iPhone</t>
        </is>
      </c>
      <c r="D3443" t="inlineStr">
        <is>
          <t>Personal</t>
        </is>
      </c>
      <c r="E3443" t="inlineStr">
        <is>
          <t>Personal</t>
        </is>
      </c>
      <c r="F3443" t="inlineStr">
        <is>
          <t>Relationships</t>
        </is>
      </c>
      <c r="G3443" t="inlineStr">
        <is>
          <t>Family</t>
        </is>
      </c>
      <c r="H3443" t="inlineStr">
        <is>
          <t>Personal &gt; Relationships &gt; Quick Add &gt; Family</t>
        </is>
      </c>
      <c r="I3443" s="18" t="n">
        <v>16058.75</v>
      </c>
      <c r="J3443" t="inlineStr">
        <is>
          <t>Created MTR-IOS-3442 and correlation note visible in Activity/Pulse</t>
        </is>
      </c>
      <c r="K3443" t="inlineStr">
        <is>
          <t>NOT_RUN</t>
        </is>
      </c>
      <c r="P3443" t="n">
        <v>0</v>
      </c>
      <c r="Q3443" t="n">
        <v>3442</v>
      </c>
    </row>
    <row r="3444">
      <c r="A3444" t="n">
        <v>3443</v>
      </c>
      <c r="B3444" t="inlineStr">
        <is>
          <t>MTR-IOS-3443</t>
        </is>
      </c>
      <c r="C3444" t="inlineStr">
        <is>
          <t>iPhone</t>
        </is>
      </c>
      <c r="D3444" t="inlineStr">
        <is>
          <t>Group</t>
        </is>
      </c>
      <c r="E3444" t="inlineStr">
        <is>
          <t>Shared Living</t>
        </is>
      </c>
      <c r="F3444" t="inlineStr">
        <is>
          <t>Shared Living</t>
        </is>
      </c>
      <c r="G3444" t="inlineStr">
        <is>
          <t>Rent</t>
        </is>
      </c>
      <c r="H3444" t="inlineStr">
        <is>
          <t>Group &gt; Shared Living &gt; Quick Add &gt; Rent</t>
        </is>
      </c>
      <c r="I3444" s="18" t="n">
        <v>26413.55</v>
      </c>
      <c r="J3444" t="inlineStr">
        <is>
          <t>Created MTR-IOS-3443 and correlation note visible in Activity/Pulse</t>
        </is>
      </c>
      <c r="K3444" t="inlineStr">
        <is>
          <t>NOT_RUN</t>
        </is>
      </c>
      <c r="P3444" t="n">
        <v>0</v>
      </c>
      <c r="Q3444" t="n">
        <v>3443</v>
      </c>
    </row>
    <row r="3445">
      <c r="A3445" t="n">
        <v>3444</v>
      </c>
      <c r="B3445" t="inlineStr">
        <is>
          <t>MTR-IOS-3444</t>
        </is>
      </c>
      <c r="C3445" t="inlineStr">
        <is>
          <t>iPhone</t>
        </is>
      </c>
      <c r="D3445" t="inlineStr">
        <is>
          <t>Business</t>
        </is>
      </c>
      <c r="E3445" t="inlineStr">
        <is>
          <t>Business</t>
        </is>
      </c>
      <c r="F3445" t="inlineStr">
        <is>
          <t>Business Operations</t>
        </is>
      </c>
      <c r="G3445" t="inlineStr">
        <is>
          <t>Software</t>
        </is>
      </c>
      <c r="H3445" t="inlineStr">
        <is>
          <t>Business &gt; Business Operations &gt; Quick Add &gt; Software</t>
        </is>
      </c>
      <c r="I3445" s="18" t="n">
        <v>67679.98</v>
      </c>
      <c r="J3445" t="inlineStr">
        <is>
          <t>Created MTR-IOS-3444 and correlation note visible in Activity/Pulse</t>
        </is>
      </c>
      <c r="K3445" t="inlineStr">
        <is>
          <t>NOT_RUN</t>
        </is>
      </c>
      <c r="P3445" t="n">
        <v>0</v>
      </c>
      <c r="Q3445" t="n">
        <v>3444</v>
      </c>
    </row>
    <row r="3446">
      <c r="A3446" t="n">
        <v>3445</v>
      </c>
      <c r="B3446" t="inlineStr">
        <is>
          <t>MTR-IOS-3445</t>
        </is>
      </c>
      <c r="C3446" t="inlineStr">
        <is>
          <t>iPhone</t>
        </is>
      </c>
      <c r="D3446" t="inlineStr">
        <is>
          <t>Personal</t>
        </is>
      </c>
      <c r="E3446" t="inlineStr">
        <is>
          <t>Personal</t>
        </is>
      </c>
      <c r="F3446" t="inlineStr">
        <is>
          <t>Relationships</t>
        </is>
      </c>
      <c r="G3446" t="inlineStr">
        <is>
          <t>Friends</t>
        </is>
      </c>
      <c r="H3446" t="inlineStr">
        <is>
          <t>Personal &gt; Relationships &gt; Quick Add &gt; Friends</t>
        </is>
      </c>
      <c r="I3446" s="18" t="n">
        <v>1981.15</v>
      </c>
      <c r="J3446" t="inlineStr">
        <is>
          <t>Created MTR-IOS-3445 and correlation note visible in Activity/Pulse</t>
        </is>
      </c>
      <c r="K3446" t="inlineStr">
        <is>
          <t>NOT_RUN</t>
        </is>
      </c>
      <c r="P3446" t="n">
        <v>0</v>
      </c>
      <c r="Q3446" t="n">
        <v>3445</v>
      </c>
    </row>
    <row r="3447">
      <c r="A3447" t="n">
        <v>3446</v>
      </c>
      <c r="B3447" t="inlineStr">
        <is>
          <t>MTR-IOS-3446</t>
        </is>
      </c>
      <c r="C3447" t="inlineStr">
        <is>
          <t>iPhone</t>
        </is>
      </c>
      <c r="D3447" t="inlineStr">
        <is>
          <t>Group</t>
        </is>
      </c>
      <c r="E3447" t="inlineStr">
        <is>
          <t>Shared Living</t>
        </is>
      </c>
      <c r="F3447" t="inlineStr">
        <is>
          <t>Shared Living</t>
        </is>
      </c>
      <c r="G3447" t="inlineStr">
        <is>
          <t>Utilities</t>
        </is>
      </c>
      <c r="H3447" t="inlineStr">
        <is>
          <t>Group &gt; Shared Living &gt; Quick Add &gt; Utilities</t>
        </is>
      </c>
      <c r="I3447" s="18" t="n">
        <v>11172.82</v>
      </c>
      <c r="J3447" t="inlineStr">
        <is>
          <t>Created MTR-IOS-3446 and correlation note visible in Activity/Pulse</t>
        </is>
      </c>
      <c r="K3447" t="inlineStr">
        <is>
          <t>NOT_RUN</t>
        </is>
      </c>
      <c r="P3447" t="n">
        <v>0</v>
      </c>
      <c r="Q3447" t="n">
        <v>3446</v>
      </c>
    </row>
    <row r="3448">
      <c r="A3448" t="n">
        <v>3447</v>
      </c>
      <c r="B3448" t="inlineStr">
        <is>
          <t>MTR-IOS-3447</t>
        </is>
      </c>
      <c r="C3448" t="inlineStr">
        <is>
          <t>iPhone</t>
        </is>
      </c>
      <c r="D3448" t="inlineStr">
        <is>
          <t>Business</t>
        </is>
      </c>
      <c r="E3448" t="inlineStr">
        <is>
          <t>Business</t>
        </is>
      </c>
      <c r="F3448" t="inlineStr">
        <is>
          <t>Business Operations</t>
        </is>
      </c>
      <c r="G3448" t="inlineStr">
        <is>
          <t>Rent</t>
        </is>
      </c>
      <c r="H3448" t="inlineStr">
        <is>
          <t>Business &gt; Business Operations &gt; Quick Add &gt; Rent</t>
        </is>
      </c>
      <c r="I3448" s="18" t="n">
        <v>152223.38</v>
      </c>
      <c r="J3448" t="inlineStr">
        <is>
          <t>Created MTR-IOS-3447 and correlation note visible in Activity/Pulse</t>
        </is>
      </c>
      <c r="K3448" t="inlineStr">
        <is>
          <t>NOT_RUN</t>
        </is>
      </c>
      <c r="P3448" t="n">
        <v>0</v>
      </c>
      <c r="Q3448" t="n">
        <v>3447</v>
      </c>
    </row>
    <row r="3449">
      <c r="A3449" t="n">
        <v>3448</v>
      </c>
      <c r="B3449" t="inlineStr">
        <is>
          <t>MTR-IOS-3448</t>
        </is>
      </c>
      <c r="C3449" t="inlineStr">
        <is>
          <t>iPhone</t>
        </is>
      </c>
      <c r="D3449" t="inlineStr">
        <is>
          <t>Personal</t>
        </is>
      </c>
      <c r="E3449" t="inlineStr">
        <is>
          <t>Personal</t>
        </is>
      </c>
      <c r="F3449" t="inlineStr">
        <is>
          <t>Relationships</t>
        </is>
      </c>
      <c r="G3449" t="inlineStr">
        <is>
          <t>Celebrations</t>
        </is>
      </c>
      <c r="H3449" t="inlineStr">
        <is>
          <t>Personal &gt; Relationships &gt; Quick Add &gt; Celebrations</t>
        </is>
      </c>
      <c r="I3449" s="18" t="n">
        <v>3208.76</v>
      </c>
      <c r="J3449" t="inlineStr">
        <is>
          <t>Created MTR-IOS-3448 and correlation note visible in Activity/Pulse</t>
        </is>
      </c>
      <c r="K3449" t="inlineStr">
        <is>
          <t>NOT_RUN</t>
        </is>
      </c>
      <c r="P3449" t="n">
        <v>0</v>
      </c>
      <c r="Q3449" t="n">
        <v>3448</v>
      </c>
    </row>
    <row r="3450">
      <c r="A3450" t="n">
        <v>3449</v>
      </c>
      <c r="B3450" t="inlineStr">
        <is>
          <t>MTR-IOS-3449</t>
        </is>
      </c>
      <c r="C3450" t="inlineStr">
        <is>
          <t>iPhone</t>
        </is>
      </c>
      <c r="D3450" t="inlineStr">
        <is>
          <t>Group</t>
        </is>
      </c>
      <c r="E3450" t="inlineStr">
        <is>
          <t>Shared Living</t>
        </is>
      </c>
      <c r="F3450" t="inlineStr">
        <is>
          <t>Shared Living</t>
        </is>
      </c>
      <c r="G3450" t="inlineStr">
        <is>
          <t>Groceries</t>
        </is>
      </c>
      <c r="H3450" t="inlineStr">
        <is>
          <t>Group &gt; Shared Living &gt; Quick Add &gt; Groceries</t>
        </is>
      </c>
      <c r="I3450" s="18" t="n">
        <v>1319.78</v>
      </c>
      <c r="J3450" t="inlineStr">
        <is>
          <t>Created MTR-IOS-3449 and correlation note visible in Activity/Pulse</t>
        </is>
      </c>
      <c r="K3450" t="inlineStr">
        <is>
          <t>NOT_RUN</t>
        </is>
      </c>
      <c r="P3450" t="n">
        <v>0</v>
      </c>
      <c r="Q3450" t="n">
        <v>3449</v>
      </c>
    </row>
    <row r="3451">
      <c r="A3451" t="n">
        <v>3450</v>
      </c>
      <c r="B3451" t="inlineStr">
        <is>
          <t>MTR-IOS-3450</t>
        </is>
      </c>
      <c r="C3451" t="inlineStr">
        <is>
          <t>iPhone</t>
        </is>
      </c>
      <c r="D3451" t="inlineStr">
        <is>
          <t>Business</t>
        </is>
      </c>
      <c r="E3451" t="inlineStr">
        <is>
          <t>Business</t>
        </is>
      </c>
      <c r="F3451" t="inlineStr">
        <is>
          <t>Business Operations</t>
        </is>
      </c>
      <c r="G3451" t="inlineStr">
        <is>
          <t>Marketing</t>
        </is>
      </c>
      <c r="H3451" t="inlineStr">
        <is>
          <t>Business &gt; Business Operations &gt; Quick Add &gt; Marketing</t>
        </is>
      </c>
      <c r="I3451" s="18" t="n">
        <v>116959.72</v>
      </c>
      <c r="J3451" t="inlineStr">
        <is>
          <t>Created MTR-IOS-3450 and correlation note visible in Activity/Pulse</t>
        </is>
      </c>
      <c r="K3451" t="inlineStr">
        <is>
          <t>NOT_RUN</t>
        </is>
      </c>
      <c r="P3451" t="n">
        <v>0</v>
      </c>
      <c r="Q3451" t="n">
        <v>3450</v>
      </c>
    </row>
    <row r="3452">
      <c r="A3452" t="n">
        <v>3451</v>
      </c>
      <c r="B3452" t="inlineStr">
        <is>
          <t>MTR-IOS-3451</t>
        </is>
      </c>
      <c r="C3452" t="inlineStr">
        <is>
          <t>iPhone</t>
        </is>
      </c>
      <c r="D3452" t="inlineStr">
        <is>
          <t>Personal</t>
        </is>
      </c>
      <c r="E3452" t="inlineStr">
        <is>
          <t>Personal</t>
        </is>
      </c>
      <c r="F3452" t="inlineStr">
        <is>
          <t>Life Operations</t>
        </is>
      </c>
      <c r="G3452" t="inlineStr">
        <is>
          <t>Groceries</t>
        </is>
      </c>
      <c r="H3452" t="inlineStr">
        <is>
          <t>Personal &gt; Life Operations &gt; Quick Add &gt; Groceries</t>
        </is>
      </c>
      <c r="I3452" s="18" t="n">
        <v>14818.97</v>
      </c>
      <c r="J3452" t="inlineStr">
        <is>
          <t>Created MTR-IOS-3451 and correlation note visible in Activity/Pulse</t>
        </is>
      </c>
      <c r="K3452" t="inlineStr">
        <is>
          <t>NOT_RUN</t>
        </is>
      </c>
      <c r="P3452" t="n">
        <v>0</v>
      </c>
      <c r="Q3452" t="n">
        <v>3451</v>
      </c>
    </row>
    <row r="3453">
      <c r="A3453" t="n">
        <v>3452</v>
      </c>
      <c r="B3453" t="inlineStr">
        <is>
          <t>MTR-IOS-3452</t>
        </is>
      </c>
      <c r="C3453" t="inlineStr">
        <is>
          <t>iPhone</t>
        </is>
      </c>
      <c r="D3453" t="inlineStr">
        <is>
          <t>Group</t>
        </is>
      </c>
      <c r="E3453" t="inlineStr">
        <is>
          <t>Shared Living</t>
        </is>
      </c>
      <c r="F3453" t="inlineStr">
        <is>
          <t>Shared Living</t>
        </is>
      </c>
      <c r="G3453" t="inlineStr">
        <is>
          <t>Maintenance</t>
        </is>
      </c>
      <c r="H3453" t="inlineStr">
        <is>
          <t>Group &gt; Shared Living &gt; Quick Add &gt; Maintenance</t>
        </is>
      </c>
      <c r="I3453" s="18" t="n">
        <v>5762.07</v>
      </c>
      <c r="J3453" t="inlineStr">
        <is>
          <t>Created MTR-IOS-3452 and correlation note visible in Activity/Pulse</t>
        </is>
      </c>
      <c r="K3453" t="inlineStr">
        <is>
          <t>NOT_RUN</t>
        </is>
      </c>
      <c r="P3453" t="n">
        <v>0</v>
      </c>
      <c r="Q3453" t="n">
        <v>3452</v>
      </c>
    </row>
    <row r="3454">
      <c r="A3454" t="n">
        <v>3453</v>
      </c>
      <c r="B3454" t="inlineStr">
        <is>
          <t>MTR-IOS-3453</t>
        </is>
      </c>
      <c r="C3454" t="inlineStr">
        <is>
          <t>iPhone</t>
        </is>
      </c>
      <c r="D3454" t="inlineStr">
        <is>
          <t>Business</t>
        </is>
      </c>
      <c r="E3454" t="inlineStr">
        <is>
          <t>Business</t>
        </is>
      </c>
      <c r="F3454" t="inlineStr">
        <is>
          <t>Business Operations</t>
        </is>
      </c>
      <c r="G3454" t="inlineStr">
        <is>
          <t>Legal</t>
        </is>
      </c>
      <c r="H3454" t="inlineStr">
        <is>
          <t>Business &gt; Business Operations &gt; Quick Add &gt; Legal</t>
        </is>
      </c>
      <c r="I3454" s="18" t="n">
        <v>145330.02</v>
      </c>
      <c r="J3454" t="inlineStr">
        <is>
          <t>Created MTR-IOS-3453 and correlation note visible in Activity/Pulse</t>
        </is>
      </c>
      <c r="K3454" t="inlineStr">
        <is>
          <t>NOT_RUN</t>
        </is>
      </c>
      <c r="P3454" t="n">
        <v>0</v>
      </c>
      <c r="Q3454" t="n">
        <v>3453</v>
      </c>
    </row>
    <row r="3455">
      <c r="A3455" t="n">
        <v>3454</v>
      </c>
      <c r="B3455" t="inlineStr">
        <is>
          <t>MTR-IOS-3454</t>
        </is>
      </c>
      <c r="C3455" t="inlineStr">
        <is>
          <t>iPhone</t>
        </is>
      </c>
      <c r="D3455" t="inlineStr">
        <is>
          <t>Personal</t>
        </is>
      </c>
      <c r="E3455" t="inlineStr">
        <is>
          <t>Personal</t>
        </is>
      </c>
      <c r="F3455" t="inlineStr">
        <is>
          <t>Life Operations</t>
        </is>
      </c>
      <c r="G3455" t="inlineStr">
        <is>
          <t>Rent</t>
        </is>
      </c>
      <c r="H3455" t="inlineStr">
        <is>
          <t>Personal &gt; Life Operations &gt; Quick Add &gt; Rent</t>
        </is>
      </c>
      <c r="I3455" s="18" t="n">
        <v>16492.44</v>
      </c>
      <c r="J3455" t="inlineStr">
        <is>
          <t>Created MTR-IOS-3454 and correlation note visible in Activity/Pulse</t>
        </is>
      </c>
      <c r="K3455" t="inlineStr">
        <is>
          <t>NOT_RUN</t>
        </is>
      </c>
      <c r="P3455" t="n">
        <v>0</v>
      </c>
      <c r="Q3455" t="n">
        <v>3454</v>
      </c>
    </row>
    <row r="3456">
      <c r="A3456" t="n">
        <v>3455</v>
      </c>
      <c r="B3456" t="inlineStr">
        <is>
          <t>MTR-IOS-3455</t>
        </is>
      </c>
      <c r="C3456" t="inlineStr">
        <is>
          <t>iPhone</t>
        </is>
      </c>
      <c r="D3456" t="inlineStr">
        <is>
          <t>Group</t>
        </is>
      </c>
      <c r="E3456" t="inlineStr">
        <is>
          <t>Shared Living</t>
        </is>
      </c>
      <c r="F3456" t="inlineStr">
        <is>
          <t>Shared Living</t>
        </is>
      </c>
      <c r="G3456" t="inlineStr">
        <is>
          <t>Other</t>
        </is>
      </c>
      <c r="H3456" t="inlineStr">
        <is>
          <t>Group &gt; Shared Living &gt; Quick Add &gt; Other</t>
        </is>
      </c>
      <c r="I3456" s="18" t="n">
        <v>4246.04</v>
      </c>
      <c r="J3456" t="inlineStr">
        <is>
          <t>Created MTR-IOS-3455 and correlation note visible in Activity/Pulse</t>
        </is>
      </c>
      <c r="K3456" t="inlineStr">
        <is>
          <t>NOT_RUN</t>
        </is>
      </c>
      <c r="P3456" t="n">
        <v>0</v>
      </c>
      <c r="Q3456" t="n">
        <v>3455</v>
      </c>
    </row>
    <row r="3457">
      <c r="A3457" t="n">
        <v>3456</v>
      </c>
      <c r="B3457" t="inlineStr">
        <is>
          <t>MTR-IOS-3456</t>
        </is>
      </c>
      <c r="C3457" t="inlineStr">
        <is>
          <t>iPhone</t>
        </is>
      </c>
      <c r="D3457" t="inlineStr">
        <is>
          <t>Business</t>
        </is>
      </c>
      <c r="E3457" t="inlineStr">
        <is>
          <t>Business</t>
        </is>
      </c>
      <c r="F3457" t="inlineStr">
        <is>
          <t>Business Operations</t>
        </is>
      </c>
      <c r="G3457" t="inlineStr">
        <is>
          <t>Accounting</t>
        </is>
      </c>
      <c r="H3457" t="inlineStr">
        <is>
          <t>Business &gt; Business Operations &gt; Quick Add &gt; Accounting</t>
        </is>
      </c>
      <c r="I3457" s="18" t="n">
        <v>31220.9</v>
      </c>
      <c r="J3457" t="inlineStr">
        <is>
          <t>Created MTR-IOS-3456 and correlation note visible in Activity/Pulse</t>
        </is>
      </c>
      <c r="K3457" t="inlineStr">
        <is>
          <t>NOT_RUN</t>
        </is>
      </c>
      <c r="P3457" t="n">
        <v>0</v>
      </c>
      <c r="Q3457" t="n">
        <v>3456</v>
      </c>
    </row>
    <row r="3458">
      <c r="A3458" t="n">
        <v>3457</v>
      </c>
      <c r="B3458" t="inlineStr">
        <is>
          <t>MTR-IOS-3457</t>
        </is>
      </c>
      <c r="C3458" t="inlineStr">
        <is>
          <t>iPhone</t>
        </is>
      </c>
      <c r="D3458" t="inlineStr">
        <is>
          <t>Personal</t>
        </is>
      </c>
      <c r="E3458" t="inlineStr">
        <is>
          <t>Personal</t>
        </is>
      </c>
      <c r="F3458" t="inlineStr">
        <is>
          <t>Life Operations</t>
        </is>
      </c>
      <c r="G3458" t="inlineStr">
        <is>
          <t>Bills</t>
        </is>
      </c>
      <c r="H3458" t="inlineStr">
        <is>
          <t>Personal &gt; Life Operations &gt; Quick Add &gt; Bills</t>
        </is>
      </c>
      <c r="I3458" s="18" t="n">
        <v>1475.78</v>
      </c>
      <c r="J3458" t="inlineStr">
        <is>
          <t>Created MTR-IOS-3457 and correlation note visible in Activity/Pulse</t>
        </is>
      </c>
      <c r="K3458" t="inlineStr">
        <is>
          <t>NOT_RUN</t>
        </is>
      </c>
      <c r="P3458" t="n">
        <v>0</v>
      </c>
      <c r="Q3458" t="n">
        <v>3457</v>
      </c>
    </row>
    <row r="3459">
      <c r="A3459" t="n">
        <v>3458</v>
      </c>
      <c r="B3459" t="inlineStr">
        <is>
          <t>MTR-IOS-3458</t>
        </is>
      </c>
      <c r="C3459" t="inlineStr">
        <is>
          <t>iPhone</t>
        </is>
      </c>
      <c r="D3459" t="inlineStr">
        <is>
          <t>Group</t>
        </is>
      </c>
      <c r="E3459" t="inlineStr">
        <is>
          <t>Shared Living</t>
        </is>
      </c>
      <c r="F3459" t="inlineStr">
        <is>
          <t>Family Household</t>
        </is>
      </c>
      <c r="G3459" t="inlineStr">
        <is>
          <t>Groceries</t>
        </is>
      </c>
      <c r="H3459" t="inlineStr">
        <is>
          <t>Group &gt; Family Household &gt; Quick Add &gt; Groceries</t>
        </is>
      </c>
      <c r="I3459" s="18" t="n">
        <v>22984.5</v>
      </c>
      <c r="J3459" t="inlineStr">
        <is>
          <t>Created MTR-IOS-3458 and correlation note visible in Activity/Pulse</t>
        </is>
      </c>
      <c r="K3459" t="inlineStr">
        <is>
          <t>NOT_RUN</t>
        </is>
      </c>
      <c r="P3459" t="n">
        <v>0</v>
      </c>
      <c r="Q3459" t="n">
        <v>3458</v>
      </c>
    </row>
    <row r="3460">
      <c r="A3460" t="n">
        <v>3459</v>
      </c>
      <c r="B3460" t="inlineStr">
        <is>
          <t>MTR-IOS-3459</t>
        </is>
      </c>
      <c r="C3460" t="inlineStr">
        <is>
          <t>iPhone</t>
        </is>
      </c>
      <c r="D3460" t="inlineStr">
        <is>
          <t>Business</t>
        </is>
      </c>
      <c r="E3460" t="inlineStr">
        <is>
          <t>Business</t>
        </is>
      </c>
      <c r="F3460" t="inlineStr">
        <is>
          <t>Business Operations</t>
        </is>
      </c>
      <c r="G3460" t="inlineStr">
        <is>
          <t>Equipment</t>
        </is>
      </c>
      <c r="H3460" t="inlineStr">
        <is>
          <t>Business &gt; Business Operations &gt; Quick Add &gt; Equipment</t>
        </is>
      </c>
      <c r="I3460" s="18" t="n">
        <v>36627.08</v>
      </c>
      <c r="J3460" t="inlineStr">
        <is>
          <t>Created MTR-IOS-3459 and correlation note visible in Activity/Pulse</t>
        </is>
      </c>
      <c r="K3460" t="inlineStr">
        <is>
          <t>NOT_RUN</t>
        </is>
      </c>
      <c r="P3460" t="n">
        <v>0</v>
      </c>
      <c r="Q3460" t="n">
        <v>3459</v>
      </c>
    </row>
    <row r="3461">
      <c r="A3461" t="n">
        <v>3460</v>
      </c>
      <c r="B3461" t="inlineStr">
        <is>
          <t>MTR-IOS-3460</t>
        </is>
      </c>
      <c r="C3461" t="inlineStr">
        <is>
          <t>iPhone</t>
        </is>
      </c>
      <c r="D3461" t="inlineStr">
        <is>
          <t>Personal</t>
        </is>
      </c>
      <c r="E3461" t="inlineStr">
        <is>
          <t>Personal</t>
        </is>
      </c>
      <c r="F3461" t="inlineStr">
        <is>
          <t>Life Operations</t>
        </is>
      </c>
      <c r="G3461" t="inlineStr">
        <is>
          <t>Transport</t>
        </is>
      </c>
      <c r="H3461" t="inlineStr">
        <is>
          <t>Personal &gt; Life Operations &gt; Quick Add &gt; Transport</t>
        </is>
      </c>
      <c r="I3461" s="18" t="n">
        <v>14867.36</v>
      </c>
      <c r="J3461" t="inlineStr">
        <is>
          <t>Created MTR-IOS-3460 and correlation note visible in Activity/Pulse</t>
        </is>
      </c>
      <c r="K3461" t="inlineStr">
        <is>
          <t>NOT_RUN</t>
        </is>
      </c>
      <c r="P3461" t="n">
        <v>0</v>
      </c>
      <c r="Q3461" t="n">
        <v>3460</v>
      </c>
    </row>
    <row r="3462">
      <c r="A3462" t="n">
        <v>3461</v>
      </c>
      <c r="B3462" t="inlineStr">
        <is>
          <t>MTR-IOS-3461</t>
        </is>
      </c>
      <c r="C3462" t="inlineStr">
        <is>
          <t>iPhone</t>
        </is>
      </c>
      <c r="D3462" t="inlineStr">
        <is>
          <t>Group</t>
        </is>
      </c>
      <c r="E3462" t="inlineStr">
        <is>
          <t>Shared Living</t>
        </is>
      </c>
      <c r="F3462" t="inlineStr">
        <is>
          <t>Family Household</t>
        </is>
      </c>
      <c r="G3462" t="inlineStr">
        <is>
          <t>Bills</t>
        </is>
      </c>
      <c r="H3462" t="inlineStr">
        <is>
          <t>Group &gt; Family Household &gt; Quick Add &gt; Bills</t>
        </is>
      </c>
      <c r="I3462" s="18" t="n">
        <v>9380.559999999999</v>
      </c>
      <c r="J3462" t="inlineStr">
        <is>
          <t>Created MTR-IOS-3461 and correlation note visible in Activity/Pulse</t>
        </is>
      </c>
      <c r="K3462" t="inlineStr">
        <is>
          <t>NOT_RUN</t>
        </is>
      </c>
      <c r="P3462" t="n">
        <v>0</v>
      </c>
      <c r="Q3462" t="n">
        <v>3461</v>
      </c>
    </row>
    <row r="3463">
      <c r="A3463" t="n">
        <v>3462</v>
      </c>
      <c r="B3463" t="inlineStr">
        <is>
          <t>MTR-IOS-3462</t>
        </is>
      </c>
      <c r="C3463" t="inlineStr">
        <is>
          <t>iPhone</t>
        </is>
      </c>
      <c r="D3463" t="inlineStr">
        <is>
          <t>Business</t>
        </is>
      </c>
      <c r="E3463" t="inlineStr">
        <is>
          <t>Business</t>
        </is>
      </c>
      <c r="F3463" t="inlineStr">
        <is>
          <t>Business Operations</t>
        </is>
      </c>
      <c r="G3463" t="inlineStr">
        <is>
          <t>Vendor</t>
        </is>
      </c>
      <c r="H3463" t="inlineStr">
        <is>
          <t>Business &gt; Business Operations &gt; Quick Add &gt; Vendor</t>
        </is>
      </c>
      <c r="I3463" s="18" t="n">
        <v>69729.42999999999</v>
      </c>
      <c r="J3463" t="inlineStr">
        <is>
          <t>Created MTR-IOS-3462 and correlation note visible in Activity/Pulse</t>
        </is>
      </c>
      <c r="K3463" t="inlineStr">
        <is>
          <t>NOT_RUN</t>
        </is>
      </c>
      <c r="P3463" t="n">
        <v>0</v>
      </c>
      <c r="Q3463" t="n">
        <v>3462</v>
      </c>
    </row>
    <row r="3464">
      <c r="A3464" t="n">
        <v>3463</v>
      </c>
      <c r="B3464" t="inlineStr">
        <is>
          <t>MTR-IOS-3463</t>
        </is>
      </c>
      <c r="C3464" t="inlineStr">
        <is>
          <t>iPhone</t>
        </is>
      </c>
      <c r="D3464" t="inlineStr">
        <is>
          <t>Personal</t>
        </is>
      </c>
      <c r="E3464" t="inlineStr">
        <is>
          <t>Personal</t>
        </is>
      </c>
      <c r="F3464" t="inlineStr">
        <is>
          <t>Life Operations</t>
        </is>
      </c>
      <c r="G3464" t="inlineStr">
        <is>
          <t>Healthcare</t>
        </is>
      </c>
      <c r="H3464" t="inlineStr">
        <is>
          <t>Personal &gt; Life Operations &gt; Quick Add &gt; Healthcare</t>
        </is>
      </c>
      <c r="I3464" s="18" t="n">
        <v>7783.6</v>
      </c>
      <c r="J3464" t="inlineStr">
        <is>
          <t>Created MTR-IOS-3463 and correlation note visible in Activity/Pulse</t>
        </is>
      </c>
      <c r="K3464" t="inlineStr">
        <is>
          <t>NOT_RUN</t>
        </is>
      </c>
      <c r="P3464" t="n">
        <v>0</v>
      </c>
      <c r="Q3464" t="n">
        <v>3463</v>
      </c>
    </row>
    <row r="3465">
      <c r="A3465" t="n">
        <v>3464</v>
      </c>
      <c r="B3465" t="inlineStr">
        <is>
          <t>MTR-IOS-3464</t>
        </is>
      </c>
      <c r="C3465" t="inlineStr">
        <is>
          <t>iPhone</t>
        </is>
      </c>
      <c r="D3465" t="inlineStr">
        <is>
          <t>Group</t>
        </is>
      </c>
      <c r="E3465" t="inlineStr">
        <is>
          <t>Shared Living</t>
        </is>
      </c>
      <c r="F3465" t="inlineStr">
        <is>
          <t>Family Household</t>
        </is>
      </c>
      <c r="G3465" t="inlineStr">
        <is>
          <t>School</t>
        </is>
      </c>
      <c r="H3465" t="inlineStr">
        <is>
          <t>Group &gt; Family Household &gt; Quick Add &gt; School</t>
        </is>
      </c>
      <c r="I3465" s="18" t="n">
        <v>20052.1</v>
      </c>
      <c r="J3465" t="inlineStr">
        <is>
          <t>Created MTR-IOS-3464 and correlation note visible in Activity/Pulse</t>
        </is>
      </c>
      <c r="K3465" t="inlineStr">
        <is>
          <t>NOT_RUN</t>
        </is>
      </c>
      <c r="P3465" t="n">
        <v>0</v>
      </c>
      <c r="Q3465" t="n">
        <v>3464</v>
      </c>
    </row>
    <row r="3466">
      <c r="A3466" t="n">
        <v>3465</v>
      </c>
      <c r="B3466" t="inlineStr">
        <is>
          <t>MTR-IOS-3465</t>
        </is>
      </c>
      <c r="C3466" t="inlineStr">
        <is>
          <t>iPhone</t>
        </is>
      </c>
      <c r="D3466" t="inlineStr">
        <is>
          <t>Business</t>
        </is>
      </c>
      <c r="E3466" t="inlineStr">
        <is>
          <t>Business</t>
        </is>
      </c>
      <c r="F3466" t="inlineStr">
        <is>
          <t>Business Operations</t>
        </is>
      </c>
      <c r="G3466" t="inlineStr">
        <is>
          <t>Tax</t>
        </is>
      </c>
      <c r="H3466" t="inlineStr">
        <is>
          <t>Business &gt; Business Operations &gt; Quick Add &gt; Tax</t>
        </is>
      </c>
      <c r="I3466" s="18" t="n">
        <v>26131.05</v>
      </c>
      <c r="J3466" t="inlineStr">
        <is>
          <t>Created MTR-IOS-3465 and correlation note visible in Activity/Pulse</t>
        </is>
      </c>
      <c r="K3466" t="inlineStr">
        <is>
          <t>NOT_RUN</t>
        </is>
      </c>
      <c r="P3466" t="n">
        <v>0</v>
      </c>
      <c r="Q3466" t="n">
        <v>3465</v>
      </c>
    </row>
    <row r="3467">
      <c r="A3467" t="n">
        <v>3466</v>
      </c>
      <c r="B3467" t="inlineStr">
        <is>
          <t>MTR-IOS-3466</t>
        </is>
      </c>
      <c r="C3467" t="inlineStr">
        <is>
          <t>iPhone</t>
        </is>
      </c>
      <c r="D3467" t="inlineStr">
        <is>
          <t>Personal</t>
        </is>
      </c>
      <c r="E3467" t="inlineStr">
        <is>
          <t>Personal</t>
        </is>
      </c>
      <c r="F3467" t="inlineStr">
        <is>
          <t>Life Operations</t>
        </is>
      </c>
      <c r="G3467" t="inlineStr">
        <is>
          <t>Subscriptions</t>
        </is>
      </c>
      <c r="H3467" t="inlineStr">
        <is>
          <t>Personal &gt; Life Operations &gt; Quick Add &gt; Subscriptions</t>
        </is>
      </c>
      <c r="I3467" s="18" t="n">
        <v>17530.28</v>
      </c>
      <c r="J3467" t="inlineStr">
        <is>
          <t>Created MTR-IOS-3466 and correlation note visible in Activity/Pulse</t>
        </is>
      </c>
      <c r="K3467" t="inlineStr">
        <is>
          <t>NOT_RUN</t>
        </is>
      </c>
      <c r="P3467" t="n">
        <v>0</v>
      </c>
      <c r="Q3467" t="n">
        <v>3466</v>
      </c>
    </row>
    <row r="3468">
      <c r="A3468" t="n">
        <v>3467</v>
      </c>
      <c r="B3468" t="inlineStr">
        <is>
          <t>MTR-IOS-3467</t>
        </is>
      </c>
      <c r="C3468" t="inlineStr">
        <is>
          <t>iPhone</t>
        </is>
      </c>
      <c r="D3468" t="inlineStr">
        <is>
          <t>Group</t>
        </is>
      </c>
      <c r="E3468" t="inlineStr">
        <is>
          <t>Shared Living</t>
        </is>
      </c>
      <c r="F3468" t="inlineStr">
        <is>
          <t>Family Household</t>
        </is>
      </c>
      <c r="G3468" t="inlineStr">
        <is>
          <t>Healthcare</t>
        </is>
      </c>
      <c r="H3468" t="inlineStr">
        <is>
          <t>Group &gt; Family Household &gt; Quick Add &gt; Healthcare</t>
        </is>
      </c>
      <c r="I3468" s="18" t="n">
        <v>9702.92</v>
      </c>
      <c r="J3468" t="inlineStr">
        <is>
          <t>Created MTR-IOS-3467 and correlation note visible in Activity/Pulse</t>
        </is>
      </c>
      <c r="K3468" t="inlineStr">
        <is>
          <t>NOT_RUN</t>
        </is>
      </c>
      <c r="P3468" t="n">
        <v>0</v>
      </c>
      <c r="Q3468" t="n">
        <v>3467</v>
      </c>
    </row>
    <row r="3469">
      <c r="A3469" t="n">
        <v>3468</v>
      </c>
      <c r="B3469" t="inlineStr">
        <is>
          <t>MTR-IOS-3468</t>
        </is>
      </c>
      <c r="C3469" t="inlineStr">
        <is>
          <t>iPhone</t>
        </is>
      </c>
      <c r="D3469" t="inlineStr">
        <is>
          <t>Business</t>
        </is>
      </c>
      <c r="E3469" t="inlineStr">
        <is>
          <t>Business</t>
        </is>
      </c>
      <c r="F3469" t="inlineStr">
        <is>
          <t>Team Operations</t>
        </is>
      </c>
      <c r="G3469" t="inlineStr">
        <is>
          <t>Payroll</t>
        </is>
      </c>
      <c r="H3469" t="inlineStr">
        <is>
          <t>Business &gt; Team Operations &gt; Quick Add &gt; Payroll</t>
        </is>
      </c>
      <c r="I3469" s="18" t="n">
        <v>457.12</v>
      </c>
      <c r="J3469" t="inlineStr">
        <is>
          <t>Created MTR-IOS-3468 and correlation note visible in Activity/Pulse</t>
        </is>
      </c>
      <c r="K3469" t="inlineStr">
        <is>
          <t>NOT_RUN</t>
        </is>
      </c>
      <c r="P3469" t="n">
        <v>0</v>
      </c>
      <c r="Q3469" t="n">
        <v>3468</v>
      </c>
    </row>
    <row r="3470">
      <c r="A3470" t="n">
        <v>3469</v>
      </c>
      <c r="B3470" t="inlineStr">
        <is>
          <t>MTR-IOS-3469</t>
        </is>
      </c>
      <c r="C3470" t="inlineStr">
        <is>
          <t>iPhone</t>
        </is>
      </c>
      <c r="D3470" t="inlineStr">
        <is>
          <t>Personal</t>
        </is>
      </c>
      <c r="E3470" t="inlineStr">
        <is>
          <t>Personal</t>
        </is>
      </c>
      <c r="F3470" t="inlineStr">
        <is>
          <t>Life Operations</t>
        </is>
      </c>
      <c r="G3470" t="inlineStr">
        <is>
          <t>Repairs</t>
        </is>
      </c>
      <c r="H3470" t="inlineStr">
        <is>
          <t>Personal &gt; Life Operations &gt; Quick Add &gt; Repairs</t>
        </is>
      </c>
      <c r="I3470" s="18" t="n">
        <v>13581.23</v>
      </c>
      <c r="J3470" t="inlineStr">
        <is>
          <t>Created MTR-IOS-3469 and correlation note visible in Activity/Pulse</t>
        </is>
      </c>
      <c r="K3470" t="inlineStr">
        <is>
          <t>NOT_RUN</t>
        </is>
      </c>
      <c r="P3470" t="n">
        <v>0</v>
      </c>
      <c r="Q3470" t="n">
        <v>3469</v>
      </c>
    </row>
    <row r="3471">
      <c r="A3471" t="n">
        <v>3470</v>
      </c>
      <c r="B3471" t="inlineStr">
        <is>
          <t>MTR-IOS-3470</t>
        </is>
      </c>
      <c r="C3471" t="inlineStr">
        <is>
          <t>iPhone</t>
        </is>
      </c>
      <c r="D3471" t="inlineStr">
        <is>
          <t>Group</t>
        </is>
      </c>
      <c r="E3471" t="inlineStr">
        <is>
          <t>Shared Living</t>
        </is>
      </c>
      <c r="F3471" t="inlineStr">
        <is>
          <t>Family Household</t>
        </is>
      </c>
      <c r="G3471" t="inlineStr">
        <is>
          <t>Home</t>
        </is>
      </c>
      <c r="H3471" t="inlineStr">
        <is>
          <t>Group &gt; Family Household &gt; Quick Add &gt; Home</t>
        </is>
      </c>
      <c r="I3471" s="18" t="n">
        <v>18566.61</v>
      </c>
      <c r="J3471" t="inlineStr">
        <is>
          <t>Created MTR-IOS-3470 and correlation note visible in Activity/Pulse</t>
        </is>
      </c>
      <c r="K3471" t="inlineStr">
        <is>
          <t>NOT_RUN</t>
        </is>
      </c>
      <c r="P3471" t="n">
        <v>0</v>
      </c>
      <c r="Q3471" t="n">
        <v>3470</v>
      </c>
    </row>
    <row r="3472">
      <c r="A3472" t="n">
        <v>3471</v>
      </c>
      <c r="B3472" t="inlineStr">
        <is>
          <t>MTR-IOS-3471</t>
        </is>
      </c>
      <c r="C3472" t="inlineStr">
        <is>
          <t>iPhone</t>
        </is>
      </c>
      <c r="D3472" t="inlineStr">
        <is>
          <t>Business</t>
        </is>
      </c>
      <c r="E3472" t="inlineStr">
        <is>
          <t>Business</t>
        </is>
      </c>
      <c r="F3472" t="inlineStr">
        <is>
          <t>Team Operations</t>
        </is>
      </c>
      <c r="G3472" t="inlineStr">
        <is>
          <t>Contractor</t>
        </is>
      </c>
      <c r="H3472" t="inlineStr">
        <is>
          <t>Business &gt; Team Operations &gt; Quick Add &gt; Contractor</t>
        </is>
      </c>
      <c r="I3472" s="18" t="n">
        <v>175.19</v>
      </c>
      <c r="J3472" t="inlineStr">
        <is>
          <t>Created MTR-IOS-3471 and correlation note visible in Activity/Pulse</t>
        </is>
      </c>
      <c r="K3472" t="inlineStr">
        <is>
          <t>NOT_RUN</t>
        </is>
      </c>
      <c r="P3472" t="n">
        <v>0</v>
      </c>
      <c r="Q3472" t="n">
        <v>3471</v>
      </c>
    </row>
    <row r="3473">
      <c r="A3473" t="n">
        <v>3472</v>
      </c>
      <c r="B3473" t="inlineStr">
        <is>
          <t>MTR-IOS-3472</t>
        </is>
      </c>
      <c r="C3473" t="inlineStr">
        <is>
          <t>iPhone</t>
        </is>
      </c>
      <c r="D3473" t="inlineStr">
        <is>
          <t>Personal</t>
        </is>
      </c>
      <c r="E3473" t="inlineStr">
        <is>
          <t>Personal</t>
        </is>
      </c>
      <c r="F3473" t="inlineStr">
        <is>
          <t>Future Building</t>
        </is>
      </c>
      <c r="G3473" t="inlineStr">
        <is>
          <t>Savings</t>
        </is>
      </c>
      <c r="H3473" t="inlineStr">
        <is>
          <t>Personal &gt; Future Building &gt; Quick Add &gt; Savings</t>
        </is>
      </c>
      <c r="I3473" s="18" t="n">
        <v>13018</v>
      </c>
      <c r="J3473" t="inlineStr">
        <is>
          <t>Created MTR-IOS-3472 and correlation note visible in Activity/Pulse</t>
        </is>
      </c>
      <c r="K3473" t="inlineStr">
        <is>
          <t>NOT_RUN</t>
        </is>
      </c>
      <c r="P3473" t="n">
        <v>0</v>
      </c>
      <c r="Q3473" t="n">
        <v>3472</v>
      </c>
    </row>
    <row r="3474">
      <c r="A3474" t="n">
        <v>3473</v>
      </c>
      <c r="B3474" t="inlineStr">
        <is>
          <t>MTR-IOS-3473</t>
        </is>
      </c>
      <c r="C3474" t="inlineStr">
        <is>
          <t>iPhone</t>
        </is>
      </c>
      <c r="D3474" t="inlineStr">
        <is>
          <t>Group</t>
        </is>
      </c>
      <c r="E3474" t="inlineStr">
        <is>
          <t>Shared Living</t>
        </is>
      </c>
      <c r="F3474" t="inlineStr">
        <is>
          <t>Family Household</t>
        </is>
      </c>
      <c r="G3474" t="inlineStr">
        <is>
          <t>Other</t>
        </is>
      </c>
      <c r="H3474" t="inlineStr">
        <is>
          <t>Group &gt; Family Household &gt; Quick Add &gt; Other</t>
        </is>
      </c>
      <c r="I3474" s="18" t="n">
        <v>21578.91</v>
      </c>
      <c r="J3474" t="inlineStr">
        <is>
          <t>Created MTR-IOS-3473 and correlation note visible in Activity/Pulse</t>
        </is>
      </c>
      <c r="K3474" t="inlineStr">
        <is>
          <t>NOT_RUN</t>
        </is>
      </c>
      <c r="P3474" t="n">
        <v>0</v>
      </c>
      <c r="Q3474" t="n">
        <v>3473</v>
      </c>
    </row>
    <row r="3475">
      <c r="A3475" t="n">
        <v>3474</v>
      </c>
      <c r="B3475" t="inlineStr">
        <is>
          <t>MTR-IOS-3474</t>
        </is>
      </c>
      <c r="C3475" t="inlineStr">
        <is>
          <t>iPhone</t>
        </is>
      </c>
      <c r="D3475" t="inlineStr">
        <is>
          <t>Business</t>
        </is>
      </c>
      <c r="E3475" t="inlineStr">
        <is>
          <t>Business</t>
        </is>
      </c>
      <c r="F3475" t="inlineStr">
        <is>
          <t>Team Operations</t>
        </is>
      </c>
      <c r="G3475" t="inlineStr">
        <is>
          <t>Hiring</t>
        </is>
      </c>
      <c r="H3475" t="inlineStr">
        <is>
          <t>Business &gt; Team Operations &gt; Quick Add &gt; Hiring</t>
        </is>
      </c>
      <c r="I3475" s="18" t="n">
        <v>67719.67999999999</v>
      </c>
      <c r="J3475" t="inlineStr">
        <is>
          <t>Created MTR-IOS-3474 and correlation note visible in Activity/Pulse</t>
        </is>
      </c>
      <c r="K3475" t="inlineStr">
        <is>
          <t>NOT_RUN</t>
        </is>
      </c>
      <c r="P3475" t="n">
        <v>0</v>
      </c>
      <c r="Q3475" t="n">
        <v>3474</v>
      </c>
    </row>
    <row r="3476">
      <c r="A3476" t="n">
        <v>3475</v>
      </c>
      <c r="B3476" t="inlineStr">
        <is>
          <t>MTR-IOS-3475</t>
        </is>
      </c>
      <c r="C3476" t="inlineStr">
        <is>
          <t>iPhone</t>
        </is>
      </c>
      <c r="D3476" t="inlineStr">
        <is>
          <t>Personal</t>
        </is>
      </c>
      <c r="E3476" t="inlineStr">
        <is>
          <t>Personal</t>
        </is>
      </c>
      <c r="F3476" t="inlineStr">
        <is>
          <t>Future Building</t>
        </is>
      </c>
      <c r="G3476" t="inlineStr">
        <is>
          <t>Emergency Fund</t>
        </is>
      </c>
      <c r="H3476" t="inlineStr">
        <is>
          <t>Personal &gt; Future Building &gt; Quick Add &gt; Emergency Fund</t>
        </is>
      </c>
      <c r="I3476" s="18" t="n">
        <v>5143.06</v>
      </c>
      <c r="J3476" t="inlineStr">
        <is>
          <t>Created MTR-IOS-3475 and correlation note visible in Activity/Pulse</t>
        </is>
      </c>
      <c r="K3476" t="inlineStr">
        <is>
          <t>NOT_RUN</t>
        </is>
      </c>
      <c r="P3476" t="n">
        <v>0</v>
      </c>
      <c r="Q3476" t="n">
        <v>3475</v>
      </c>
    </row>
    <row r="3477">
      <c r="A3477" t="n">
        <v>3476</v>
      </c>
      <c r="B3477" t="inlineStr">
        <is>
          <t>MTR-IOS-3476</t>
        </is>
      </c>
      <c r="C3477" t="inlineStr">
        <is>
          <t>iPhone</t>
        </is>
      </c>
      <c r="D3477" t="inlineStr">
        <is>
          <t>Group</t>
        </is>
      </c>
      <c r="E3477" t="inlineStr">
        <is>
          <t>Shared Living</t>
        </is>
      </c>
      <c r="F3477" t="inlineStr">
        <is>
          <t>Custom Living</t>
        </is>
      </c>
      <c r="G3477" t="inlineStr">
        <is>
          <t>Custom Expense</t>
        </is>
      </c>
      <c r="H3477" t="inlineStr">
        <is>
          <t>Group &gt; Custom Living &gt; Quick Add &gt; Custom Expense</t>
        </is>
      </c>
      <c r="I3477" s="18" t="n">
        <v>26647.12</v>
      </c>
      <c r="J3477" t="inlineStr">
        <is>
          <t>Created MTR-IOS-3476 and correlation note visible in Activity/Pulse</t>
        </is>
      </c>
      <c r="K3477" t="inlineStr">
        <is>
          <t>NOT_RUN</t>
        </is>
      </c>
      <c r="P3477" t="n">
        <v>0</v>
      </c>
      <c r="Q3477" t="n">
        <v>3476</v>
      </c>
    </row>
    <row r="3478">
      <c r="A3478" t="n">
        <v>3477</v>
      </c>
      <c r="B3478" t="inlineStr">
        <is>
          <t>MTR-IOS-3477</t>
        </is>
      </c>
      <c r="C3478" t="inlineStr">
        <is>
          <t>iPhone</t>
        </is>
      </c>
      <c r="D3478" t="inlineStr">
        <is>
          <t>Business</t>
        </is>
      </c>
      <c r="E3478" t="inlineStr">
        <is>
          <t>Business</t>
        </is>
      </c>
      <c r="F3478" t="inlineStr">
        <is>
          <t>Team Operations</t>
        </is>
      </c>
      <c r="G3478" t="inlineStr">
        <is>
          <t>Team Meal</t>
        </is>
      </c>
      <c r="H3478" t="inlineStr">
        <is>
          <t>Business &gt; Team Operations &gt; Quick Add &gt; Team Meal</t>
        </is>
      </c>
      <c r="I3478" s="18" t="n">
        <v>10147.39</v>
      </c>
      <c r="J3478" t="inlineStr">
        <is>
          <t>Created MTR-IOS-3477 and correlation note visible in Activity/Pulse</t>
        </is>
      </c>
      <c r="K3478" t="inlineStr">
        <is>
          <t>NOT_RUN</t>
        </is>
      </c>
      <c r="P3478" t="n">
        <v>0</v>
      </c>
      <c r="Q3478" t="n">
        <v>3477</v>
      </c>
    </row>
    <row r="3479">
      <c r="A3479" t="n">
        <v>3478</v>
      </c>
      <c r="B3479" t="inlineStr">
        <is>
          <t>MTR-IOS-3478</t>
        </is>
      </c>
      <c r="C3479" t="inlineStr">
        <is>
          <t>iPhone</t>
        </is>
      </c>
      <c r="D3479" t="inlineStr">
        <is>
          <t>Personal</t>
        </is>
      </c>
      <c r="E3479" t="inlineStr">
        <is>
          <t>Personal</t>
        </is>
      </c>
      <c r="F3479" t="inlineStr">
        <is>
          <t>Future Building</t>
        </is>
      </c>
      <c r="G3479" t="inlineStr">
        <is>
          <t>Investments</t>
        </is>
      </c>
      <c r="H3479" t="inlineStr">
        <is>
          <t>Personal &gt; Future Building &gt; Quick Add &gt; Investments</t>
        </is>
      </c>
      <c r="I3479" s="18" t="n">
        <v>999.99</v>
      </c>
      <c r="J3479" t="inlineStr">
        <is>
          <t>Created MTR-IOS-3478 and correlation note visible in Activity/Pulse</t>
        </is>
      </c>
      <c r="K3479" t="inlineStr">
        <is>
          <t>NOT_RUN</t>
        </is>
      </c>
      <c r="P3479" t="n">
        <v>0</v>
      </c>
      <c r="Q3479" t="n">
        <v>3478</v>
      </c>
    </row>
    <row r="3480">
      <c r="A3480" t="n">
        <v>3479</v>
      </c>
      <c r="B3480" t="inlineStr">
        <is>
          <t>MTR-IOS-3479</t>
        </is>
      </c>
      <c r="C3480" t="inlineStr">
        <is>
          <t>iPhone</t>
        </is>
      </c>
      <c r="D3480" t="inlineStr">
        <is>
          <t>Group</t>
        </is>
      </c>
      <c r="E3480" t="inlineStr">
        <is>
          <t>Shared Living</t>
        </is>
      </c>
      <c r="F3480" t="inlineStr">
        <is>
          <t>Custom Living</t>
        </is>
      </c>
      <c r="G3480" t="inlineStr">
        <is>
          <t>Custom Contribution</t>
        </is>
      </c>
      <c r="H3480" t="inlineStr">
        <is>
          <t>Group &gt; Custom Living &gt; Quick Add &gt; Custom Contribution</t>
        </is>
      </c>
      <c r="I3480" s="18" t="n">
        <v>15722.32</v>
      </c>
      <c r="J3480" t="inlineStr">
        <is>
          <t>Created MTR-IOS-3479 and correlation note visible in Activity/Pulse</t>
        </is>
      </c>
      <c r="K3480" t="inlineStr">
        <is>
          <t>NOT_RUN</t>
        </is>
      </c>
      <c r="P3480" t="n">
        <v>0</v>
      </c>
      <c r="Q3480" t="n">
        <v>3479</v>
      </c>
    </row>
    <row r="3481">
      <c r="A3481" t="n">
        <v>3480</v>
      </c>
      <c r="B3481" t="inlineStr">
        <is>
          <t>MTR-IOS-3480</t>
        </is>
      </c>
      <c r="C3481" t="inlineStr">
        <is>
          <t>iPhone</t>
        </is>
      </c>
      <c r="D3481" t="inlineStr">
        <is>
          <t>Business</t>
        </is>
      </c>
      <c r="E3481" t="inlineStr">
        <is>
          <t>Business</t>
        </is>
      </c>
      <c r="F3481" t="inlineStr">
        <is>
          <t>Team Operations</t>
        </is>
      </c>
      <c r="G3481" t="inlineStr">
        <is>
          <t>Travel</t>
        </is>
      </c>
      <c r="H3481" t="inlineStr">
        <is>
          <t>Business &gt; Team Operations &gt; Quick Add &gt; Travel</t>
        </is>
      </c>
      <c r="I3481" s="18" t="n">
        <v>95304.75</v>
      </c>
      <c r="J3481" t="inlineStr">
        <is>
          <t>Created MTR-IOS-3480 and correlation note visible in Activity/Pulse</t>
        </is>
      </c>
      <c r="K3481" t="inlineStr">
        <is>
          <t>NOT_RUN</t>
        </is>
      </c>
      <c r="P3481" t="n">
        <v>0</v>
      </c>
      <c r="Q3481" t="n">
        <v>3480</v>
      </c>
    </row>
    <row r="3482">
      <c r="A3482" t="n">
        <v>3481</v>
      </c>
      <c r="B3482" t="inlineStr">
        <is>
          <t>MTR-IOS-3481</t>
        </is>
      </c>
      <c r="C3482" t="inlineStr">
        <is>
          <t>iPhone</t>
        </is>
      </c>
      <c r="D3482" t="inlineStr">
        <is>
          <t>Personal</t>
        </is>
      </c>
      <c r="E3482" t="inlineStr">
        <is>
          <t>Personal</t>
        </is>
      </c>
      <c r="F3482" t="inlineStr">
        <is>
          <t>Future Building</t>
        </is>
      </c>
      <c r="G3482" t="inlineStr">
        <is>
          <t>Education</t>
        </is>
      </c>
      <c r="H3482" t="inlineStr">
        <is>
          <t>Personal &gt; Future Building &gt; Quick Add &gt; Education</t>
        </is>
      </c>
      <c r="I3482" s="18" t="n">
        <v>12129.91</v>
      </c>
      <c r="J3482" t="inlineStr">
        <is>
          <t>Created MTR-IOS-3481 and correlation note visible in Activity/Pulse</t>
        </is>
      </c>
      <c r="K3482" t="inlineStr">
        <is>
          <t>NOT_RUN</t>
        </is>
      </c>
      <c r="P3482" t="n">
        <v>0</v>
      </c>
      <c r="Q3482" t="n">
        <v>3481</v>
      </c>
    </row>
    <row r="3483">
      <c r="A3483" t="n">
        <v>3482</v>
      </c>
      <c r="B3483" t="inlineStr">
        <is>
          <t>MTR-IOS-3482</t>
        </is>
      </c>
      <c r="C3483" t="inlineStr">
        <is>
          <t>iPhone</t>
        </is>
      </c>
      <c r="D3483" t="inlineStr">
        <is>
          <t>Group</t>
        </is>
      </c>
      <c r="E3483" t="inlineStr">
        <is>
          <t>Shared Experience</t>
        </is>
      </c>
      <c r="F3483" t="inlineStr">
        <is>
          <t>Trip</t>
        </is>
      </c>
      <c r="G3483" t="inlineStr">
        <is>
          <t>Travel</t>
        </is>
      </c>
      <c r="H3483" t="inlineStr">
        <is>
          <t>Group &gt; Trip &gt; Quick Add &gt; Travel</t>
        </is>
      </c>
      <c r="I3483" s="18" t="n">
        <v>3176.09</v>
      </c>
      <c r="J3483" t="inlineStr">
        <is>
          <t>Created MTR-IOS-3482 and correlation note visible in Activity/Pulse</t>
        </is>
      </c>
      <c r="K3483" t="inlineStr">
        <is>
          <t>NOT_RUN</t>
        </is>
      </c>
      <c r="P3483" t="n">
        <v>0</v>
      </c>
      <c r="Q3483" t="n">
        <v>3482</v>
      </c>
    </row>
    <row r="3484">
      <c r="A3484" t="n">
        <v>3483</v>
      </c>
      <c r="B3484" t="inlineStr">
        <is>
          <t>MTR-IOS-3483</t>
        </is>
      </c>
      <c r="C3484" t="inlineStr">
        <is>
          <t>iPhone</t>
        </is>
      </c>
      <c r="D3484" t="inlineStr">
        <is>
          <t>Business</t>
        </is>
      </c>
      <c r="E3484" t="inlineStr">
        <is>
          <t>Business</t>
        </is>
      </c>
      <c r="F3484" t="inlineStr">
        <is>
          <t>Team Operations</t>
        </is>
      </c>
      <c r="G3484" t="inlineStr">
        <is>
          <t>Training</t>
        </is>
      </c>
      <c r="H3484" t="inlineStr">
        <is>
          <t>Business &gt; Team Operations &gt; Quick Add &gt; Training</t>
        </is>
      </c>
      <c r="I3484" s="18" t="n">
        <v>69731.03</v>
      </c>
      <c r="J3484" t="inlineStr">
        <is>
          <t>Created MTR-IOS-3483 and correlation note visible in Activity/Pulse</t>
        </is>
      </c>
      <c r="K3484" t="inlineStr">
        <is>
          <t>NOT_RUN</t>
        </is>
      </c>
      <c r="P3484" t="n">
        <v>0</v>
      </c>
      <c r="Q3484" t="n">
        <v>3483</v>
      </c>
    </row>
    <row r="3485">
      <c r="A3485" t="n">
        <v>3484</v>
      </c>
      <c r="B3485" t="inlineStr">
        <is>
          <t>MTR-IOS-3484</t>
        </is>
      </c>
      <c r="C3485" t="inlineStr">
        <is>
          <t>iPhone</t>
        </is>
      </c>
      <c r="D3485" t="inlineStr">
        <is>
          <t>Personal</t>
        </is>
      </c>
      <c r="E3485" t="inlineStr">
        <is>
          <t>Personal</t>
        </is>
      </c>
      <c r="F3485" t="inlineStr">
        <is>
          <t>Future Building</t>
        </is>
      </c>
      <c r="G3485" t="inlineStr">
        <is>
          <t>Goal Contribution</t>
        </is>
      </c>
      <c r="H3485" t="inlineStr">
        <is>
          <t>Personal &gt; Future Building &gt; Quick Add &gt; Goal Contribution</t>
        </is>
      </c>
      <c r="I3485" s="18" t="n">
        <v>4893.78</v>
      </c>
      <c r="J3485" t="inlineStr">
        <is>
          <t>Created MTR-IOS-3484 and correlation note visible in Activity/Pulse</t>
        </is>
      </c>
      <c r="K3485" t="inlineStr">
        <is>
          <t>NOT_RUN</t>
        </is>
      </c>
      <c r="P3485" t="n">
        <v>0</v>
      </c>
      <c r="Q3485" t="n">
        <v>3484</v>
      </c>
    </row>
    <row r="3486">
      <c r="A3486" t="n">
        <v>3485</v>
      </c>
      <c r="B3486" t="inlineStr">
        <is>
          <t>MTR-IOS-3485</t>
        </is>
      </c>
      <c r="C3486" t="inlineStr">
        <is>
          <t>iPhone</t>
        </is>
      </c>
      <c r="D3486" t="inlineStr">
        <is>
          <t>Group</t>
        </is>
      </c>
      <c r="E3486" t="inlineStr">
        <is>
          <t>Shared Experience</t>
        </is>
      </c>
      <c r="F3486" t="inlineStr">
        <is>
          <t>Trip</t>
        </is>
      </c>
      <c r="G3486" t="inlineStr">
        <is>
          <t>Stay</t>
        </is>
      </c>
      <c r="H3486" t="inlineStr">
        <is>
          <t>Group &gt; Trip &gt; Quick Add &gt; Stay</t>
        </is>
      </c>
      <c r="I3486" s="18" t="n">
        <v>24752.73</v>
      </c>
      <c r="J3486" t="inlineStr">
        <is>
          <t>Created MTR-IOS-3485 and correlation note visible in Activity/Pulse</t>
        </is>
      </c>
      <c r="K3486" t="inlineStr">
        <is>
          <t>NOT_RUN</t>
        </is>
      </c>
      <c r="P3486" t="n">
        <v>0</v>
      </c>
      <c r="Q3486" t="n">
        <v>3485</v>
      </c>
    </row>
    <row r="3487">
      <c r="A3487" t="n">
        <v>3486</v>
      </c>
      <c r="B3487" t="inlineStr">
        <is>
          <t>MTR-IOS-3486</t>
        </is>
      </c>
      <c r="C3487" t="inlineStr">
        <is>
          <t>iPhone</t>
        </is>
      </c>
      <c r="D3487" t="inlineStr">
        <is>
          <t>Business</t>
        </is>
      </c>
      <c r="E3487" t="inlineStr">
        <is>
          <t>Business</t>
        </is>
      </c>
      <c r="F3487" t="inlineStr">
        <is>
          <t>Team Operations</t>
        </is>
      </c>
      <c r="G3487" t="inlineStr">
        <is>
          <t>Tools</t>
        </is>
      </c>
      <c r="H3487" t="inlineStr">
        <is>
          <t>Business &gt; Team Operations &gt; Quick Add &gt; Tools</t>
        </is>
      </c>
      <c r="I3487" s="18" t="n">
        <v>99439.38</v>
      </c>
      <c r="J3487" t="inlineStr">
        <is>
          <t>Created MTR-IOS-3486 and correlation note visible in Activity/Pulse</t>
        </is>
      </c>
      <c r="K3487" t="inlineStr">
        <is>
          <t>NOT_RUN</t>
        </is>
      </c>
      <c r="P3487" t="n">
        <v>0</v>
      </c>
      <c r="Q3487" t="n">
        <v>3486</v>
      </c>
    </row>
    <row r="3488">
      <c r="A3488" t="n">
        <v>3487</v>
      </c>
      <c r="B3488" t="inlineStr">
        <is>
          <t>MTR-IOS-3487</t>
        </is>
      </c>
      <c r="C3488" t="inlineStr">
        <is>
          <t>iPhone</t>
        </is>
      </c>
      <c r="D3488" t="inlineStr">
        <is>
          <t>Personal</t>
        </is>
      </c>
      <c r="E3488" t="inlineStr">
        <is>
          <t>Personal</t>
        </is>
      </c>
      <c r="F3488" t="inlineStr">
        <is>
          <t>Lifestyle</t>
        </is>
      </c>
      <c r="G3488" t="inlineStr">
        <is>
          <t>Dining</t>
        </is>
      </c>
      <c r="H3488" t="inlineStr">
        <is>
          <t>Personal &gt; Lifestyle &gt; Quick Add &gt; Dining</t>
        </is>
      </c>
      <c r="I3488" s="18" t="n">
        <v>5327.25</v>
      </c>
      <c r="J3488" t="inlineStr">
        <is>
          <t>Created MTR-IOS-3487 and correlation note visible in Activity/Pulse</t>
        </is>
      </c>
      <c r="K3488" t="inlineStr">
        <is>
          <t>NOT_RUN</t>
        </is>
      </c>
      <c r="P3488" t="n">
        <v>0</v>
      </c>
      <c r="Q3488" t="n">
        <v>3487</v>
      </c>
    </row>
    <row r="3489">
      <c r="A3489" t="n">
        <v>3488</v>
      </c>
      <c r="B3489" t="inlineStr">
        <is>
          <t>MTR-IOS-3488</t>
        </is>
      </c>
      <c r="C3489" t="inlineStr">
        <is>
          <t>iPhone</t>
        </is>
      </c>
      <c r="D3489" t="inlineStr">
        <is>
          <t>Group</t>
        </is>
      </c>
      <c r="E3489" t="inlineStr">
        <is>
          <t>Shared Experience</t>
        </is>
      </c>
      <c r="F3489" t="inlineStr">
        <is>
          <t>Trip</t>
        </is>
      </c>
      <c r="G3489" t="inlineStr">
        <is>
          <t>Food</t>
        </is>
      </c>
      <c r="H3489" t="inlineStr">
        <is>
          <t>Group &gt; Trip &gt; Quick Add &gt; Food</t>
        </is>
      </c>
      <c r="I3489" s="18" t="n">
        <v>7373.69</v>
      </c>
      <c r="J3489" t="inlineStr">
        <is>
          <t>Created MTR-IOS-3488 and correlation note visible in Activity/Pulse</t>
        </is>
      </c>
      <c r="K3489" t="inlineStr">
        <is>
          <t>NOT_RUN</t>
        </is>
      </c>
      <c r="P3489" t="n">
        <v>0</v>
      </c>
      <c r="Q3489" t="n">
        <v>3488</v>
      </c>
    </row>
    <row r="3490">
      <c r="A3490" t="n">
        <v>3489</v>
      </c>
      <c r="B3490" t="inlineStr">
        <is>
          <t>MTR-IOS-3489</t>
        </is>
      </c>
      <c r="C3490" t="inlineStr">
        <is>
          <t>iPhone</t>
        </is>
      </c>
      <c r="D3490" t="inlineStr">
        <is>
          <t>Business</t>
        </is>
      </c>
      <c r="E3490" t="inlineStr">
        <is>
          <t>Business</t>
        </is>
      </c>
      <c r="F3490" t="inlineStr">
        <is>
          <t>Business Runway</t>
        </is>
      </c>
      <c r="G3490" t="inlineStr">
        <is>
          <t>Funding</t>
        </is>
      </c>
      <c r="H3490" t="inlineStr">
        <is>
          <t>Business &gt; Business Runway &gt; Quick Add &gt; Funding</t>
        </is>
      </c>
      <c r="I3490" s="18" t="n">
        <v>146456.46</v>
      </c>
      <c r="J3490" t="inlineStr">
        <is>
          <t>Created MTR-IOS-3489 and correlation note visible in Activity/Pulse</t>
        </is>
      </c>
      <c r="K3490" t="inlineStr">
        <is>
          <t>NOT_RUN</t>
        </is>
      </c>
      <c r="P3490" t="n">
        <v>0</v>
      </c>
      <c r="Q3490" t="n">
        <v>3489</v>
      </c>
    </row>
    <row r="3491">
      <c r="A3491" t="n">
        <v>3490</v>
      </c>
      <c r="B3491" t="inlineStr">
        <is>
          <t>MTR-IOS-3490</t>
        </is>
      </c>
      <c r="C3491" t="inlineStr">
        <is>
          <t>iPhone</t>
        </is>
      </c>
      <c r="D3491" t="inlineStr">
        <is>
          <t>Personal</t>
        </is>
      </c>
      <c r="E3491" t="inlineStr">
        <is>
          <t>Personal</t>
        </is>
      </c>
      <c r="F3491" t="inlineStr">
        <is>
          <t>Lifestyle</t>
        </is>
      </c>
      <c r="G3491" t="inlineStr">
        <is>
          <t>Shopping</t>
        </is>
      </c>
      <c r="H3491" t="inlineStr">
        <is>
          <t>Personal &gt; Lifestyle &gt; Quick Add &gt; Shopping</t>
        </is>
      </c>
      <c r="I3491" s="18" t="n">
        <v>5930.56</v>
      </c>
      <c r="J3491" t="inlineStr">
        <is>
          <t>Created MTR-IOS-3490 and correlation note visible in Activity/Pulse</t>
        </is>
      </c>
      <c r="K3491" t="inlineStr">
        <is>
          <t>NOT_RUN</t>
        </is>
      </c>
      <c r="P3491" t="n">
        <v>0</v>
      </c>
      <c r="Q3491" t="n">
        <v>3490</v>
      </c>
    </row>
    <row r="3492">
      <c r="A3492" t="n">
        <v>3491</v>
      </c>
      <c r="B3492" t="inlineStr">
        <is>
          <t>MTR-IOS-3491</t>
        </is>
      </c>
      <c r="C3492" t="inlineStr">
        <is>
          <t>iPhone</t>
        </is>
      </c>
      <c r="D3492" t="inlineStr">
        <is>
          <t>Group</t>
        </is>
      </c>
      <c r="E3492" t="inlineStr">
        <is>
          <t>Shared Experience</t>
        </is>
      </c>
      <c r="F3492" t="inlineStr">
        <is>
          <t>Trip</t>
        </is>
      </c>
      <c r="G3492" t="inlineStr">
        <is>
          <t>Local Transport</t>
        </is>
      </c>
      <c r="H3492" t="inlineStr">
        <is>
          <t>Group &gt; Trip &gt; Quick Add &gt; Local Transport</t>
        </is>
      </c>
      <c r="I3492" s="18" t="n">
        <v>16237.35</v>
      </c>
      <c r="J3492" t="inlineStr">
        <is>
          <t>Created MTR-IOS-3491 and correlation note visible in Activity/Pulse</t>
        </is>
      </c>
      <c r="K3492" t="inlineStr">
        <is>
          <t>NOT_RUN</t>
        </is>
      </c>
      <c r="P3492" t="n">
        <v>0</v>
      </c>
      <c r="Q3492" t="n">
        <v>3491</v>
      </c>
    </row>
    <row r="3493">
      <c r="A3493" t="n">
        <v>3492</v>
      </c>
      <c r="B3493" t="inlineStr">
        <is>
          <t>MTR-IOS-3492</t>
        </is>
      </c>
      <c r="C3493" t="inlineStr">
        <is>
          <t>iPhone</t>
        </is>
      </c>
      <c r="D3493" t="inlineStr">
        <is>
          <t>Business</t>
        </is>
      </c>
      <c r="E3493" t="inlineStr">
        <is>
          <t>Business</t>
        </is>
      </c>
      <c r="F3493" t="inlineStr">
        <is>
          <t>Business Runway</t>
        </is>
      </c>
      <c r="G3493" t="inlineStr">
        <is>
          <t>Revenue</t>
        </is>
      </c>
      <c r="H3493" t="inlineStr">
        <is>
          <t>Business &gt; Business Runway &gt; Quick Add &gt; Revenue</t>
        </is>
      </c>
      <c r="I3493" s="18" t="n">
        <v>12511.5</v>
      </c>
      <c r="J3493" t="inlineStr">
        <is>
          <t>Created MTR-IOS-3492 and correlation note visible in Activity/Pulse</t>
        </is>
      </c>
      <c r="K3493" t="inlineStr">
        <is>
          <t>NOT_RUN</t>
        </is>
      </c>
      <c r="P3493" t="n">
        <v>0</v>
      </c>
      <c r="Q3493" t="n">
        <v>3492</v>
      </c>
    </row>
    <row r="3494">
      <c r="A3494" t="n">
        <v>3493</v>
      </c>
      <c r="B3494" t="inlineStr">
        <is>
          <t>MTR-IOS-3493</t>
        </is>
      </c>
      <c r="C3494" t="inlineStr">
        <is>
          <t>iPhone</t>
        </is>
      </c>
      <c r="D3494" t="inlineStr">
        <is>
          <t>Personal</t>
        </is>
      </c>
      <c r="E3494" t="inlineStr">
        <is>
          <t>Personal</t>
        </is>
      </c>
      <c r="F3494" t="inlineStr">
        <is>
          <t>Lifestyle</t>
        </is>
      </c>
      <c r="G3494" t="inlineStr">
        <is>
          <t>Entertainment</t>
        </is>
      </c>
      <c r="H3494" t="inlineStr">
        <is>
          <t>Personal &gt; Lifestyle &gt; Quick Add &gt; Entertainment</t>
        </is>
      </c>
      <c r="I3494" s="18" t="n">
        <v>4050.29</v>
      </c>
      <c r="J3494" t="inlineStr">
        <is>
          <t>Created MTR-IOS-3493 and correlation note visible in Activity/Pulse</t>
        </is>
      </c>
      <c r="K3494" t="inlineStr">
        <is>
          <t>NOT_RUN</t>
        </is>
      </c>
      <c r="P3494" t="n">
        <v>0</v>
      </c>
      <c r="Q3494" t="n">
        <v>3493</v>
      </c>
    </row>
    <row r="3495">
      <c r="A3495" t="n">
        <v>3494</v>
      </c>
      <c r="B3495" t="inlineStr">
        <is>
          <t>MTR-IOS-3494</t>
        </is>
      </c>
      <c r="C3495" t="inlineStr">
        <is>
          <t>iPhone</t>
        </is>
      </c>
      <c r="D3495" t="inlineStr">
        <is>
          <t>Group</t>
        </is>
      </c>
      <c r="E3495" t="inlineStr">
        <is>
          <t>Shared Experience</t>
        </is>
      </c>
      <c r="F3495" t="inlineStr">
        <is>
          <t>Trip</t>
        </is>
      </c>
      <c r="G3495" t="inlineStr">
        <is>
          <t>Activities</t>
        </is>
      </c>
      <c r="H3495" t="inlineStr">
        <is>
          <t>Group &gt; Trip &gt; Quick Add &gt; Activities</t>
        </is>
      </c>
      <c r="I3495" s="18" t="n">
        <v>7757.42</v>
      </c>
      <c r="J3495" t="inlineStr">
        <is>
          <t>Created MTR-IOS-3494 and correlation note visible in Activity/Pulse</t>
        </is>
      </c>
      <c r="K3495" t="inlineStr">
        <is>
          <t>NOT_RUN</t>
        </is>
      </c>
      <c r="P3495" t="n">
        <v>0</v>
      </c>
      <c r="Q3495" t="n">
        <v>3494</v>
      </c>
    </row>
    <row r="3496">
      <c r="A3496" t="n">
        <v>3495</v>
      </c>
      <c r="B3496" t="inlineStr">
        <is>
          <t>MTR-IOS-3495</t>
        </is>
      </c>
      <c r="C3496" t="inlineStr">
        <is>
          <t>iPhone</t>
        </is>
      </c>
      <c r="D3496" t="inlineStr">
        <is>
          <t>Business</t>
        </is>
      </c>
      <c r="E3496" t="inlineStr">
        <is>
          <t>Business</t>
        </is>
      </c>
      <c r="F3496" t="inlineStr">
        <is>
          <t>Business Runway</t>
        </is>
      </c>
      <c r="G3496" t="inlineStr">
        <is>
          <t>Burn</t>
        </is>
      </c>
      <c r="H3496" t="inlineStr">
        <is>
          <t>Business &gt; Business Runway &gt; Quick Add &gt; Burn</t>
        </is>
      </c>
      <c r="I3496" s="18" t="n">
        <v>124971.43</v>
      </c>
      <c r="J3496" t="inlineStr">
        <is>
          <t>Created MTR-IOS-3495 and correlation note visible in Activity/Pulse</t>
        </is>
      </c>
      <c r="K3496" t="inlineStr">
        <is>
          <t>NOT_RUN</t>
        </is>
      </c>
      <c r="P3496" t="n">
        <v>0</v>
      </c>
      <c r="Q3496" t="n">
        <v>3495</v>
      </c>
    </row>
    <row r="3497">
      <c r="A3497" t="n">
        <v>3496</v>
      </c>
      <c r="B3497" t="inlineStr">
        <is>
          <t>MTR-IOS-3496</t>
        </is>
      </c>
      <c r="C3497" t="inlineStr">
        <is>
          <t>iPhone</t>
        </is>
      </c>
      <c r="D3497" t="inlineStr">
        <is>
          <t>Personal</t>
        </is>
      </c>
      <c r="E3497" t="inlineStr">
        <is>
          <t>Personal</t>
        </is>
      </c>
      <c r="F3497" t="inlineStr">
        <is>
          <t>Lifestyle</t>
        </is>
      </c>
      <c r="G3497" t="inlineStr">
        <is>
          <t>Travel</t>
        </is>
      </c>
      <c r="H3497" t="inlineStr">
        <is>
          <t>Personal &gt; Lifestyle &gt; Quick Add &gt; Travel</t>
        </is>
      </c>
      <c r="I3497" s="18" t="n">
        <v>9277.889999999999</v>
      </c>
      <c r="J3497" t="inlineStr">
        <is>
          <t>Created MTR-IOS-3496 and correlation note visible in Activity/Pulse</t>
        </is>
      </c>
      <c r="K3497" t="inlineStr">
        <is>
          <t>NOT_RUN</t>
        </is>
      </c>
      <c r="P3497" t="n">
        <v>0</v>
      </c>
      <c r="Q3497" t="n">
        <v>3496</v>
      </c>
    </row>
    <row r="3498">
      <c r="A3498" t="n">
        <v>3497</v>
      </c>
      <c r="B3498" t="inlineStr">
        <is>
          <t>MTR-IOS-3497</t>
        </is>
      </c>
      <c r="C3498" t="inlineStr">
        <is>
          <t>iPhone</t>
        </is>
      </c>
      <c r="D3498" t="inlineStr">
        <is>
          <t>Group</t>
        </is>
      </c>
      <c r="E3498" t="inlineStr">
        <is>
          <t>Shared Experience</t>
        </is>
      </c>
      <c r="F3498" t="inlineStr">
        <is>
          <t>Trip</t>
        </is>
      </c>
      <c r="G3498" t="inlineStr">
        <is>
          <t>Shopping</t>
        </is>
      </c>
      <c r="H3498" t="inlineStr">
        <is>
          <t>Group &gt; Trip &gt; Quick Add &gt; Shopping</t>
        </is>
      </c>
      <c r="I3498" s="18" t="n">
        <v>10742.68</v>
      </c>
      <c r="J3498" t="inlineStr">
        <is>
          <t>Created MTR-IOS-3497 and correlation note visible in Activity/Pulse</t>
        </is>
      </c>
      <c r="K3498" t="inlineStr">
        <is>
          <t>NOT_RUN</t>
        </is>
      </c>
      <c r="P3498" t="n">
        <v>0</v>
      </c>
      <c r="Q3498" t="n">
        <v>3497</v>
      </c>
    </row>
    <row r="3499">
      <c r="A3499" t="n">
        <v>3498</v>
      </c>
      <c r="B3499" t="inlineStr">
        <is>
          <t>MTR-IOS-3498</t>
        </is>
      </c>
      <c r="C3499" t="inlineStr">
        <is>
          <t>iPhone</t>
        </is>
      </c>
      <c r="D3499" t="inlineStr">
        <is>
          <t>Business</t>
        </is>
      </c>
      <c r="E3499" t="inlineStr">
        <is>
          <t>Business</t>
        </is>
      </c>
      <c r="F3499" t="inlineStr">
        <is>
          <t>Business Runway</t>
        </is>
      </c>
      <c r="G3499" t="inlineStr">
        <is>
          <t>Reserve</t>
        </is>
      </c>
      <c r="H3499" t="inlineStr">
        <is>
          <t>Business &gt; Business Runway &gt; Quick Add &gt; Reserve</t>
        </is>
      </c>
      <c r="I3499" s="18" t="n">
        <v>44037.85</v>
      </c>
      <c r="J3499" t="inlineStr">
        <is>
          <t>Created MTR-IOS-3498 and correlation note visible in Activity/Pulse</t>
        </is>
      </c>
      <c r="K3499" t="inlineStr">
        <is>
          <t>NOT_RUN</t>
        </is>
      </c>
      <c r="P3499" t="n">
        <v>0</v>
      </c>
      <c r="Q3499" t="n">
        <v>3498</v>
      </c>
    </row>
    <row r="3500">
      <c r="A3500" t="n">
        <v>3499</v>
      </c>
      <c r="B3500" t="inlineStr">
        <is>
          <t>MTR-IOS-3499</t>
        </is>
      </c>
      <c r="C3500" t="inlineStr">
        <is>
          <t>iPhone</t>
        </is>
      </c>
      <c r="D3500" t="inlineStr">
        <is>
          <t>Personal</t>
        </is>
      </c>
      <c r="E3500" t="inlineStr">
        <is>
          <t>Personal</t>
        </is>
      </c>
      <c r="F3500" t="inlineStr">
        <is>
          <t>Lifestyle</t>
        </is>
      </c>
      <c r="G3500" t="inlineStr">
        <is>
          <t>Fitness</t>
        </is>
      </c>
      <c r="H3500" t="inlineStr">
        <is>
          <t>Personal &gt; Lifestyle &gt; Quick Add &gt; Fitness</t>
        </is>
      </c>
      <c r="I3500" s="18" t="n">
        <v>10501.42</v>
      </c>
      <c r="J3500" t="inlineStr">
        <is>
          <t>Created MTR-IOS-3499 and correlation note visible in Activity/Pulse</t>
        </is>
      </c>
      <c r="K3500" t="inlineStr">
        <is>
          <t>NOT_RUN</t>
        </is>
      </c>
      <c r="P3500" t="n">
        <v>0</v>
      </c>
      <c r="Q3500" t="n">
        <v>3499</v>
      </c>
    </row>
    <row r="3501">
      <c r="A3501" t="n">
        <v>3500</v>
      </c>
      <c r="B3501" t="inlineStr">
        <is>
          <t>MTR-IOS-3500</t>
        </is>
      </c>
      <c r="C3501" t="inlineStr">
        <is>
          <t>iPhone</t>
        </is>
      </c>
      <c r="D3501" t="inlineStr">
        <is>
          <t>Group</t>
        </is>
      </c>
      <c r="E3501" t="inlineStr">
        <is>
          <t>Shared Experience</t>
        </is>
      </c>
      <c r="F3501" t="inlineStr">
        <is>
          <t>Trip</t>
        </is>
      </c>
      <c r="G3501" t="inlineStr">
        <is>
          <t>Other</t>
        </is>
      </c>
      <c r="H3501" t="inlineStr">
        <is>
          <t>Group &gt; Trip &gt; Quick Add &gt; Other</t>
        </is>
      </c>
      <c r="I3501" s="18" t="n">
        <v>21962.77</v>
      </c>
      <c r="J3501" t="inlineStr">
        <is>
          <t>Created MTR-IOS-3500 and correlation note visible in Activity/Pulse</t>
        </is>
      </c>
      <c r="K3501" t="inlineStr">
        <is>
          <t>NOT_RUN</t>
        </is>
      </c>
      <c r="P3501" t="n">
        <v>0</v>
      </c>
      <c r="Q3501" t="n">
        <v>3500</v>
      </c>
    </row>
  </sheetData>
  <autoFilter ref="A1:R3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4" customWidth="1" min="9" max="9"/>
    <col width="14" customWidth="1" min="10" max="10"/>
    <col width="28" customWidth="1" min="11" max="11"/>
    <col width="16" customWidth="1" min="12" max="12"/>
    <col width="14" customWidth="1" min="13" max="13"/>
    <col width="16" customWidth="1" min="14" max="14"/>
    <col width="38" customWidth="1" min="15" max="15"/>
  </cols>
  <sheetData>
    <row r="1" ht="30" customHeight="1">
      <c r="A1" s="4" t="inlineStr">
        <is>
          <t>Checkpoint_Txns</t>
        </is>
      </c>
      <c r="B1" s="4" t="inlineStr">
        <is>
          <t>Load_Band</t>
        </is>
      </c>
      <c r="C1" s="4" t="inlineStr">
        <is>
          <t>Create_p50_ms</t>
        </is>
      </c>
      <c r="D1" s="4" t="inlineStr">
        <is>
          <t>Create_p95_ms</t>
        </is>
      </c>
      <c r="E1" s="4" t="inlineStr">
        <is>
          <t>Create_p99_ms</t>
        </is>
      </c>
      <c r="F1" s="4" t="inlineStr">
        <is>
          <t>Activity_Read_p95_ms</t>
        </is>
      </c>
      <c r="G1" s="4" t="inlineStr">
        <is>
          <t>Pulse_Refresh_p95_ms</t>
        </is>
      </c>
      <c r="H1" s="4" t="inlineStr">
        <is>
          <t>DB_Query_p95_ms</t>
        </is>
      </c>
      <c r="I1" s="4" t="inlineStr">
        <is>
          <t>Error_Count</t>
        </is>
      </c>
      <c r="J1" s="4" t="inlineStr">
        <is>
          <t>Error_Rate</t>
        </is>
      </c>
      <c r="K1" s="4" t="inlineStr">
        <is>
          <t>Create_p95_Degradation_vs_Baseline</t>
        </is>
      </c>
      <c r="L1" s="4" t="inlineStr">
        <is>
          <t>Latency_Result</t>
        </is>
      </c>
      <c r="M1" s="4" t="inlineStr">
        <is>
          <t>Error_Result</t>
        </is>
      </c>
      <c r="N1" s="4" t="inlineStr">
        <is>
          <t>Overall_Result</t>
        </is>
      </c>
      <c r="O1" s="4" t="inlineStr">
        <is>
          <t>Notes</t>
        </is>
      </c>
    </row>
    <row r="2">
      <c r="A2" t="n">
        <v>100</v>
      </c>
      <c r="B2" t="inlineStr">
        <is>
          <t>BASELINE_1_500</t>
        </is>
      </c>
      <c r="J2">
        <f>IF(I2="","",I2/A2)</f>
        <v/>
      </c>
      <c r="K2">
        <f>IF(OR(D2="",$D$2=""),"",D2/$D$2-1)</f>
        <v/>
      </c>
      <c r="L2">
        <f>IF(D2="","PENDING",IF(D2&lt;=Config!$B$9,"PASS","FAIL"))</f>
        <v/>
      </c>
      <c r="M2">
        <f>IF(J2="","PENDING",IF(J2&lt;=Config!$B$12,"PASS","FAIL"))</f>
        <v/>
      </c>
      <c r="N2">
        <f>IF(OR(L2="PENDING",M2="PENDING"),"PENDING",IF(AND(L2="PASS",M2="PASS",OR(K2="",K2&lt;=Config!$B$11)),"PASS","FAIL"))</f>
        <v/>
      </c>
    </row>
    <row r="3">
      <c r="A3" t="n">
        <v>250</v>
      </c>
      <c r="B3" t="inlineStr">
        <is>
          <t>BASELINE_1_500</t>
        </is>
      </c>
      <c r="J3">
        <f>IF(I3="","",I3/A3)</f>
        <v/>
      </c>
      <c r="K3">
        <f>IF(OR(D3="",$D$2=""),"",D3/$D$2-1)</f>
        <v/>
      </c>
      <c r="L3">
        <f>IF(D3="","PENDING",IF(D3&lt;=Config!$B$9,"PASS","FAIL"))</f>
        <v/>
      </c>
      <c r="M3">
        <f>IF(J3="","PENDING",IF(J3&lt;=Config!$B$12,"PASS","FAIL"))</f>
        <v/>
      </c>
      <c r="N3">
        <f>IF(OR(L3="PENDING",M3="PENDING"),"PENDING",IF(AND(L3="PASS",M3="PASS",OR(K3="",K3&lt;=Config!$B$11)),"PASS","FAIL"))</f>
        <v/>
      </c>
    </row>
    <row r="4">
      <c r="A4" t="n">
        <v>500</v>
      </c>
      <c r="B4" t="inlineStr">
        <is>
          <t>BASELINE_1_500</t>
        </is>
      </c>
      <c r="J4">
        <f>IF(I4="","",I4/A4)</f>
        <v/>
      </c>
      <c r="K4">
        <f>IF(OR(D4="",$D$2=""),"",D4/$D$2-1)</f>
        <v/>
      </c>
      <c r="L4">
        <f>IF(D4="","PENDING",IF(D4&lt;=Config!$B$9,"PASS","FAIL"))</f>
        <v/>
      </c>
      <c r="M4">
        <f>IF(J4="","PENDING",IF(J4&lt;=Config!$B$12,"PASS","FAIL"))</f>
        <v/>
      </c>
      <c r="N4">
        <f>IF(OR(L4="PENDING",M4="PENDING"),"PENDING",IF(AND(L4="PASS",M4="PASS",OR(K4="",K4&lt;=Config!$B$11)),"PASS","FAIL"))</f>
        <v/>
      </c>
    </row>
    <row r="5">
      <c r="A5" t="n">
        <v>1000</v>
      </c>
      <c r="B5" t="inlineStr">
        <is>
          <t>RAMP_501_1500</t>
        </is>
      </c>
      <c r="J5">
        <f>IF(I5="","",I5/A5)</f>
        <v/>
      </c>
      <c r="K5">
        <f>IF(OR(D5="",$D$2=""),"",D5/$D$2-1)</f>
        <v/>
      </c>
      <c r="L5">
        <f>IF(D5="","PENDING",IF(D5&lt;=Config!$B$9,"PASS","FAIL"))</f>
        <v/>
      </c>
      <c r="M5">
        <f>IF(J5="","PENDING",IF(J5&lt;=Config!$B$12,"PASS","FAIL"))</f>
        <v/>
      </c>
      <c r="N5">
        <f>IF(OR(L5="PENDING",M5="PENDING"),"PENDING",IF(AND(L5="PASS",M5="PASS",OR(K5="",K5&lt;=Config!$B$11)),"PASS","FAIL"))</f>
        <v/>
      </c>
    </row>
    <row r="6">
      <c r="A6" t="n">
        <v>1500</v>
      </c>
      <c r="B6" t="inlineStr">
        <is>
          <t>RAMP_501_1500</t>
        </is>
      </c>
      <c r="J6">
        <f>IF(I6="","",I6/A6)</f>
        <v/>
      </c>
      <c r="K6">
        <f>IF(OR(D6="",$D$2=""),"",D6/$D$2-1)</f>
        <v/>
      </c>
      <c r="L6">
        <f>IF(D6="","PENDING",IF(D6&lt;=Config!$B$9,"PASS","FAIL"))</f>
        <v/>
      </c>
      <c r="M6">
        <f>IF(J6="","PENDING",IF(J6&lt;=Config!$B$12,"PASS","FAIL"))</f>
        <v/>
      </c>
      <c r="N6">
        <f>IF(OR(L6="PENDING",M6="PENDING"),"PENDING",IF(AND(L6="PASS",M6="PASS",OR(K6="",K6&lt;=Config!$B$11)),"PASS","FAIL"))</f>
        <v/>
      </c>
    </row>
    <row r="7">
      <c r="A7" t="n">
        <v>2000</v>
      </c>
      <c r="B7" t="inlineStr">
        <is>
          <t>RAMP_1501_2500</t>
        </is>
      </c>
      <c r="J7">
        <f>IF(I7="","",I7/A7)</f>
        <v/>
      </c>
      <c r="K7">
        <f>IF(OR(D7="",$D$2=""),"",D7/$D$2-1)</f>
        <v/>
      </c>
      <c r="L7">
        <f>IF(D7="","PENDING",IF(D7&lt;=Config!$B$9,"PASS","FAIL"))</f>
        <v/>
      </c>
      <c r="M7">
        <f>IF(J7="","PENDING",IF(J7&lt;=Config!$B$12,"PASS","FAIL"))</f>
        <v/>
      </c>
      <c r="N7">
        <f>IF(OR(L7="PENDING",M7="PENDING"),"PENDING",IF(AND(L7="PASS",M7="PASS",OR(K7="",K7&lt;=Config!$B$11)),"PASS","FAIL"))</f>
        <v/>
      </c>
    </row>
    <row r="8">
      <c r="A8" t="n">
        <v>2500</v>
      </c>
      <c r="B8" t="inlineStr">
        <is>
          <t>RAMP_1501_2500</t>
        </is>
      </c>
      <c r="J8">
        <f>IF(I8="","",I8/A8)</f>
        <v/>
      </c>
      <c r="K8">
        <f>IF(OR(D8="",$D$2=""),"",D8/$D$2-1)</f>
        <v/>
      </c>
      <c r="L8">
        <f>IF(D8="","PENDING",IF(D8&lt;=Config!$B$9,"PASS","FAIL"))</f>
        <v/>
      </c>
      <c r="M8">
        <f>IF(J8="","PENDING",IF(J8&lt;=Config!$B$12,"PASS","FAIL"))</f>
        <v/>
      </c>
      <c r="N8">
        <f>IF(OR(L8="PENDING",M8="PENDING"),"PENDING",IF(AND(L8="PASS",M8="PASS",OR(K8="",K8&lt;=Config!$B$11)),"PASS","FAIL"))</f>
        <v/>
      </c>
    </row>
    <row r="9">
      <c r="A9" t="n">
        <v>3000</v>
      </c>
      <c r="B9" t="inlineStr">
        <is>
          <t>HIGH_2501_3000</t>
        </is>
      </c>
      <c r="J9">
        <f>IF(I9="","",I9/A9)</f>
        <v/>
      </c>
      <c r="K9">
        <f>IF(OR(D9="",$D$2=""),"",D9/$D$2-1)</f>
        <v/>
      </c>
      <c r="L9">
        <f>IF(D9="","PENDING",IF(D9&lt;=Config!$B$9,"PASS","FAIL"))</f>
        <v/>
      </c>
      <c r="M9">
        <f>IF(J9="","PENDING",IF(J9&lt;=Config!$B$12,"PASS","FAIL"))</f>
        <v/>
      </c>
      <c r="N9">
        <f>IF(OR(L9="PENDING",M9="PENDING"),"PENDING",IF(AND(L9="PASS",M9="PASS",OR(K9="",K9&lt;=Config!$B$11)),"PASS","FAIL"))</f>
        <v/>
      </c>
    </row>
    <row r="10">
      <c r="A10" t="n">
        <v>3100</v>
      </c>
      <c r="B10" t="inlineStr">
        <is>
          <t>STRESS_3001_3500</t>
        </is>
      </c>
      <c r="J10">
        <f>IF(I10="","",I10/A10)</f>
        <v/>
      </c>
      <c r="K10">
        <f>IF(OR(D10="",$D$2=""),"",D10/$D$2-1)</f>
        <v/>
      </c>
      <c r="L10">
        <f>IF(D10="","PENDING",IF(D10&lt;=Config!$B$9,"PASS","FAIL"))</f>
        <v/>
      </c>
      <c r="M10">
        <f>IF(J10="","PENDING",IF(J10&lt;=Config!$B$12,"PASS","FAIL"))</f>
        <v/>
      </c>
      <c r="N10">
        <f>IF(OR(L10="PENDING",M10="PENDING"),"PENDING",IF(AND(L10="PASS",M10="PASS",OR(K10="",K10&lt;=Config!$B$11)),"PASS","FAIL"))</f>
        <v/>
      </c>
    </row>
    <row r="11">
      <c r="A11" t="n">
        <v>3200</v>
      </c>
      <c r="B11" t="inlineStr">
        <is>
          <t>STRESS_3001_3500</t>
        </is>
      </c>
      <c r="J11">
        <f>IF(I11="","",I11/A11)</f>
        <v/>
      </c>
      <c r="K11">
        <f>IF(OR(D11="",$D$2=""),"",D11/$D$2-1)</f>
        <v/>
      </c>
      <c r="L11">
        <f>IF(D11="","PENDING",IF(D11&lt;=Config!$B$9,"PASS","FAIL"))</f>
        <v/>
      </c>
      <c r="M11">
        <f>IF(J11="","PENDING",IF(J11&lt;=Config!$B$12,"PASS","FAIL"))</f>
        <v/>
      </c>
      <c r="N11">
        <f>IF(OR(L11="PENDING",M11="PENDING"),"PENDING",IF(AND(L11="PASS",M11="PASS",OR(K11="",K11&lt;=Config!$B$11)),"PASS","FAIL"))</f>
        <v/>
      </c>
    </row>
    <row r="12">
      <c r="A12" t="n">
        <v>3300</v>
      </c>
      <c r="B12" t="inlineStr">
        <is>
          <t>STRESS_3001_3500</t>
        </is>
      </c>
      <c r="J12">
        <f>IF(I12="","",I12/A12)</f>
        <v/>
      </c>
      <c r="K12">
        <f>IF(OR(D12="",$D$2=""),"",D12/$D$2-1)</f>
        <v/>
      </c>
      <c r="L12">
        <f>IF(D12="","PENDING",IF(D12&lt;=Config!$B$9,"PASS","FAIL"))</f>
        <v/>
      </c>
      <c r="M12">
        <f>IF(J12="","PENDING",IF(J12&lt;=Config!$B$12,"PASS","FAIL"))</f>
        <v/>
      </c>
      <c r="N12">
        <f>IF(OR(L12="PENDING",M12="PENDING"),"PENDING",IF(AND(L12="PASS",M12="PASS",OR(K12="",K12&lt;=Config!$B$11)),"PASS","FAIL"))</f>
        <v/>
      </c>
    </row>
    <row r="13">
      <c r="A13" t="n">
        <v>3400</v>
      </c>
      <c r="B13" t="inlineStr">
        <is>
          <t>STRESS_3001_3500</t>
        </is>
      </c>
      <c r="J13">
        <f>IF(I13="","",I13/A13)</f>
        <v/>
      </c>
      <c r="K13">
        <f>IF(OR(D13="",$D$2=""),"",D13/$D$2-1)</f>
        <v/>
      </c>
      <c r="L13">
        <f>IF(D13="","PENDING",IF(D13&lt;=Config!$B$9,"PASS","FAIL"))</f>
        <v/>
      </c>
      <c r="M13">
        <f>IF(J13="","PENDING",IF(J13&lt;=Config!$B$12,"PASS","FAIL"))</f>
        <v/>
      </c>
      <c r="N13">
        <f>IF(OR(L13="PENDING",M13="PENDING"),"PENDING",IF(AND(L13="PASS",M13="PASS",OR(K13="",K13&lt;=Config!$B$11)),"PASS","FAIL"))</f>
        <v/>
      </c>
    </row>
    <row r="14">
      <c r="A14" t="n">
        <v>3500</v>
      </c>
      <c r="B14" t="inlineStr">
        <is>
          <t>STRESS_3001_3500</t>
        </is>
      </c>
      <c r="J14">
        <f>IF(I14="","",I14/A14)</f>
        <v/>
      </c>
      <c r="K14">
        <f>IF(OR(D14="",$D$2=""),"",D14/$D$2-1)</f>
        <v/>
      </c>
      <c r="L14">
        <f>IF(D14="","PENDING",IF(D14&lt;=Config!$B$9,"PASS","FAIL"))</f>
        <v/>
      </c>
      <c r="M14">
        <f>IF(J14="","PENDING",IF(J14&lt;=Config!$B$12,"PASS","FAIL"))</f>
        <v/>
      </c>
      <c r="N14">
        <f>IF(OR(L14="PENDING",M14="PENDING"),"PENDING",IF(AND(L14="PASS",M14="PASS",OR(K14="",K14&lt;=Config!$B$11)),"PASS","FAIL"))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0" customWidth="1" min="4" max="4"/>
    <col width="54" customWidth="1" min="5" max="5"/>
    <col width="58" customWidth="1" min="6" max="6"/>
    <col width="10" customWidth="1" min="7" max="7"/>
    <col width="20" customWidth="1" min="8" max="8"/>
    <col width="26" customWidth="1" min="9" max="9"/>
    <col width="14" customWidth="1" min="10" max="10"/>
  </cols>
  <sheetData>
    <row r="1" ht="30" customHeight="1">
      <c r="A1" s="4" t="inlineStr">
        <is>
          <t>Test_ID</t>
        </is>
      </c>
      <c r="B1" s="4" t="inlineStr">
        <is>
          <t>Area</t>
        </is>
      </c>
      <c r="C1" s="4" t="inlineStr">
        <is>
          <t>Context</t>
        </is>
      </c>
      <c r="D1" s="4" t="inlineStr">
        <is>
          <t>Scenario</t>
        </is>
      </c>
      <c r="E1" s="4" t="inlineStr">
        <is>
          <t>Steps_Summary</t>
        </is>
      </c>
      <c r="F1" s="4" t="inlineStr">
        <is>
          <t>Expected_Result</t>
        </is>
      </c>
      <c r="G1" s="4" t="inlineStr">
        <is>
          <t>Priority</t>
        </is>
      </c>
      <c r="H1" s="4" t="inlineStr">
        <is>
          <t>Device_Coverage</t>
        </is>
      </c>
      <c r="I1" s="4" t="inlineStr">
        <is>
          <t>Data_Reference</t>
        </is>
      </c>
      <c r="J1" s="4" t="inlineStr">
        <is>
          <t>Status</t>
        </is>
      </c>
    </row>
    <row r="2">
      <c r="A2" t="inlineStr">
        <is>
          <t>TC-001</t>
        </is>
      </c>
      <c r="B2" t="inlineStr">
        <is>
          <t>Quick Add</t>
        </is>
      </c>
      <c r="C2" t="inlineStr">
        <is>
          <t>All</t>
        </is>
      </c>
      <c r="D2" t="inlineStr">
        <is>
          <t>Create one record for every QuickAdd</t>
        </is>
      </c>
      <c r="E2" t="inlineStr">
        <is>
          <t>Execute one row from every QuickAdd catalog entry</t>
        </is>
      </c>
      <c r="F2" t="inlineStr">
        <is>
          <t>Record created once; Activity/Pulse reflect expected amount</t>
        </is>
      </c>
      <c r="G2" t="inlineStr">
        <is>
          <t>P0</t>
        </is>
      </c>
      <c r="H2" t="inlineStr">
        <is>
          <t>Android+iPhone</t>
        </is>
      </c>
      <c r="I2" t="inlineStr">
        <is>
          <t>QuickAdd_Catalog</t>
        </is>
      </c>
      <c r="J2" t="inlineStr">
        <is>
          <t>NOT_RUN</t>
        </is>
      </c>
    </row>
    <row r="3">
      <c r="A3" t="inlineStr">
        <is>
          <t>TC-002</t>
        </is>
      </c>
      <c r="B3" t="inlineStr">
        <is>
          <t>Load</t>
        </is>
      </c>
      <c r="C3" t="inlineStr">
        <is>
          <t>All</t>
        </is>
      </c>
      <c r="D3" t="inlineStr">
        <is>
          <t>3,300 interleaved creates</t>
        </is>
      </c>
      <c r="E3" t="inlineStr">
        <is>
          <t>Run Maestro_Run in sequence</t>
        </is>
      </c>
      <c r="F3" t="inlineStr">
        <is>
          <t>No missing/duplicate records; backend remains responsive</t>
        </is>
      </c>
      <c r="G3" t="inlineStr">
        <is>
          <t>P0</t>
        </is>
      </c>
      <c r="H3" t="inlineStr">
        <is>
          <t>Android+iPhone</t>
        </is>
      </c>
      <c r="I3" t="inlineStr">
        <is>
          <t>Transactions</t>
        </is>
      </c>
      <c r="J3" t="inlineStr">
        <is>
          <t>NOT_RUN</t>
        </is>
      </c>
    </row>
    <row r="4">
      <c r="A4" t="inlineStr">
        <is>
          <t>TC-003</t>
        </is>
      </c>
      <c r="B4" t="inlineStr">
        <is>
          <t>Performance</t>
        </is>
      </c>
      <c r="C4" t="inlineStr">
        <is>
          <t>All</t>
        </is>
      </c>
      <c r="D4" t="inlineStr">
        <is>
          <t>Compare p95 at 250 vs 3,000+</t>
        </is>
      </c>
      <c r="E4" t="inlineStr">
        <is>
          <t>Capture metrics at each checkpoint</t>
        </is>
      </c>
      <c r="F4" t="inlineStr">
        <is>
          <t>Degradation within configured threshold</t>
        </is>
      </c>
      <c r="G4" t="inlineStr">
        <is>
          <t>P0</t>
        </is>
      </c>
      <c r="H4" t="inlineStr">
        <is>
          <t>Android+iPhone</t>
        </is>
      </c>
      <c r="I4" t="inlineStr">
        <is>
          <t>Performance_Log</t>
        </is>
      </c>
      <c r="J4" t="inlineStr">
        <is>
          <t>NOT_RUN</t>
        </is>
      </c>
    </row>
    <row r="5">
      <c r="A5" t="inlineStr">
        <is>
          <t>TC-004</t>
        </is>
      </c>
      <c r="B5" t="inlineStr">
        <is>
          <t>Idempotency</t>
        </is>
      </c>
      <c r="C5" t="inlineStr">
        <is>
          <t>All</t>
        </is>
      </c>
      <c r="D5" t="inlineStr">
        <is>
          <t>Double tap/retry same create</t>
        </is>
      </c>
      <c r="E5" t="inlineStr">
        <is>
          <t>Submit same idempotency key twice</t>
        </is>
      </c>
      <c r="F5" t="inlineStr">
        <is>
          <t>Exactly one committed transaction</t>
        </is>
      </c>
      <c r="G5" t="inlineStr">
        <is>
          <t>P0</t>
        </is>
      </c>
      <c r="H5" t="inlineStr">
        <is>
          <t>Android+iPhone</t>
        </is>
      </c>
      <c r="I5" t="inlineStr">
        <is>
          <t>Transactions.Idempotency_Key</t>
        </is>
      </c>
      <c r="J5" t="inlineStr">
        <is>
          <t>NOT_RUN</t>
        </is>
      </c>
    </row>
    <row r="6">
      <c r="A6" t="inlineStr">
        <is>
          <t>TC-005</t>
        </is>
      </c>
      <c r="B6" t="inlineStr">
        <is>
          <t>Offline Retry</t>
        </is>
      </c>
      <c r="C6" t="inlineStr">
        <is>
          <t>All</t>
        </is>
      </c>
      <c r="D6" t="inlineStr">
        <is>
          <t>Lose network during create</t>
        </is>
      </c>
      <c r="E6" t="inlineStr">
        <is>
          <t>Create offline/weak network then restore</t>
        </is>
      </c>
      <c r="F6" t="inlineStr">
        <is>
          <t>No duplicate; clear retry/error state</t>
        </is>
      </c>
      <c r="G6" t="inlineStr">
        <is>
          <t>P1</t>
        </is>
      </c>
      <c r="H6" t="inlineStr">
        <is>
          <t>Android+iPhone</t>
        </is>
      </c>
      <c r="I6" t="inlineStr">
        <is>
          <t>Sample 20 rows</t>
        </is>
      </c>
      <c r="J6" t="inlineStr">
        <is>
          <t>NOT_RUN</t>
        </is>
      </c>
    </row>
    <row r="7">
      <c r="A7" t="inlineStr">
        <is>
          <t>TC-006</t>
        </is>
      </c>
      <c r="B7" t="inlineStr">
        <is>
          <t>Persistence</t>
        </is>
      </c>
      <c r="C7" t="inlineStr">
        <is>
          <t>All</t>
        </is>
      </c>
      <c r="D7" t="inlineStr">
        <is>
          <t>Kill/relaunch after batches</t>
        </is>
      </c>
      <c r="E7" t="inlineStr">
        <is>
          <t>Force stop and reopen</t>
        </is>
      </c>
      <c r="F7" t="inlineStr">
        <is>
          <t>Counts/totals persist and reload correctly</t>
        </is>
      </c>
      <c r="G7" t="inlineStr">
        <is>
          <t>P0</t>
        </is>
      </c>
      <c r="H7" t="inlineStr">
        <is>
          <t>Android+iPhone</t>
        </is>
      </c>
      <c r="I7" t="inlineStr">
        <is>
          <t>Every 500 rows</t>
        </is>
      </c>
      <c r="J7" t="inlineStr">
        <is>
          <t>NOT_RUN</t>
        </is>
      </c>
    </row>
    <row r="8">
      <c r="A8" t="inlineStr">
        <is>
          <t>TC-007</t>
        </is>
      </c>
      <c r="B8" t="inlineStr">
        <is>
          <t>Money</t>
        </is>
      </c>
      <c r="C8" t="inlineStr">
        <is>
          <t>All</t>
        </is>
      </c>
      <c r="D8" t="inlineStr">
        <is>
          <t>Decimal rounding</t>
        </is>
      </c>
      <c r="E8" t="inlineStr">
        <is>
          <t>Use 0.01, 0.99, 10.01, 99.99 amounts</t>
        </is>
      </c>
      <c r="F8" t="inlineStr">
        <is>
          <t>No floating point drift &gt; tolerance</t>
        </is>
      </c>
      <c r="G8" t="inlineStr">
        <is>
          <t>P0</t>
        </is>
      </c>
      <c r="H8" t="inlineStr">
        <is>
          <t>Android+iPhone</t>
        </is>
      </c>
      <c r="I8" t="inlineStr">
        <is>
          <t>Edge rows in Transactions</t>
        </is>
      </c>
      <c r="J8" t="inlineStr">
        <is>
          <t>NOT_RUN</t>
        </is>
      </c>
    </row>
    <row r="9">
      <c r="A9" t="inlineStr">
        <is>
          <t>TC-008</t>
        </is>
      </c>
      <c r="B9" t="inlineStr">
        <is>
          <t>Money</t>
        </is>
      </c>
      <c r="C9" t="inlineStr">
        <is>
          <t>All</t>
        </is>
      </c>
      <c r="D9" t="inlineStr">
        <is>
          <t>Large amount</t>
        </is>
      </c>
      <c r="E9" t="inlineStr">
        <is>
          <t>Use 100000.00+ values</t>
        </is>
      </c>
      <c r="F9" t="inlineStr">
        <is>
          <t>No overflow/truncation/formatting error</t>
        </is>
      </c>
      <c r="G9" t="inlineStr">
        <is>
          <t>P1</t>
        </is>
      </c>
      <c r="H9" t="inlineStr">
        <is>
          <t>Android+iPhone</t>
        </is>
      </c>
      <c r="I9" t="inlineStr">
        <is>
          <t>Edge rows in Transactions</t>
        </is>
      </c>
      <c r="J9" t="inlineStr">
        <is>
          <t>NOT_RUN</t>
        </is>
      </c>
    </row>
    <row r="10">
      <c r="A10" t="inlineStr">
        <is>
          <t>TC-009</t>
        </is>
      </c>
      <c r="B10" t="inlineStr">
        <is>
          <t>Validation</t>
        </is>
      </c>
      <c r="C10" t="inlineStr">
        <is>
          <t>All</t>
        </is>
      </c>
      <c r="D10" t="inlineStr">
        <is>
          <t>Zero/negative invalid input</t>
        </is>
      </c>
      <c r="E10" t="inlineStr">
        <is>
          <t>Try zero/negative where UI forbids it</t>
        </is>
      </c>
      <c r="F10" t="inlineStr">
        <is>
          <t>Validation shown; no backend record</t>
        </is>
      </c>
      <c r="G10" t="inlineStr">
        <is>
          <t>P1</t>
        </is>
      </c>
      <c r="H10" t="inlineStr">
        <is>
          <t>Android+iPhone</t>
        </is>
      </c>
      <c r="I10" t="inlineStr">
        <is>
          <t>Manual edge case</t>
        </is>
      </c>
      <c r="J10" t="inlineStr">
        <is>
          <t>NOT_RUN</t>
        </is>
      </c>
    </row>
    <row r="11">
      <c r="A11" t="inlineStr">
        <is>
          <t>TC-010</t>
        </is>
      </c>
      <c r="B11" t="inlineStr">
        <is>
          <t>Group Split</t>
        </is>
      </c>
      <c r="C11" t="inlineStr">
        <is>
          <t>Group</t>
        </is>
      </c>
      <c r="D11" t="inlineStr">
        <is>
          <t>Equal split</t>
        </is>
      </c>
      <c r="E11" t="inlineStr">
        <is>
          <t>Create EQUAL split records</t>
        </is>
      </c>
      <c r="F11" t="inlineStr">
        <is>
          <t>Participant shares sum to amount within 0.01</t>
        </is>
      </c>
      <c r="G11" t="inlineStr">
        <is>
          <t>P0</t>
        </is>
      </c>
      <c r="H11" t="inlineStr">
        <is>
          <t>Android+iPhone</t>
        </is>
      </c>
      <c r="I11" t="inlineStr">
        <is>
          <t>Group_Splits</t>
        </is>
      </c>
      <c r="J11" t="inlineStr">
        <is>
          <t>NOT_RUN</t>
        </is>
      </c>
    </row>
    <row r="12">
      <c r="A12" t="inlineStr">
        <is>
          <t>TC-011</t>
        </is>
      </c>
      <c r="B12" t="inlineStr">
        <is>
          <t>Group Split</t>
        </is>
      </c>
      <c r="C12" t="inlineStr">
        <is>
          <t>Group</t>
        </is>
      </c>
      <c r="D12" t="inlineStr">
        <is>
          <t>Exact split</t>
        </is>
      </c>
      <c r="E12" t="inlineStr">
        <is>
          <t>Create EXACT split records</t>
        </is>
      </c>
      <c r="F12" t="inlineStr">
        <is>
          <t>Exact shares sum to amount within 0.01</t>
        </is>
      </c>
      <c r="G12" t="inlineStr">
        <is>
          <t>P0</t>
        </is>
      </c>
      <c r="H12" t="inlineStr">
        <is>
          <t>Android+iPhone</t>
        </is>
      </c>
      <c r="I12" t="inlineStr">
        <is>
          <t>Group_Splits</t>
        </is>
      </c>
      <c r="J12" t="inlineStr">
        <is>
          <t>NOT_RUN</t>
        </is>
      </c>
    </row>
    <row r="13">
      <c r="A13" t="inlineStr">
        <is>
          <t>TC-012</t>
        </is>
      </c>
      <c r="B13" t="inlineStr">
        <is>
          <t>Group Split</t>
        </is>
      </c>
      <c r="C13" t="inlineStr">
        <is>
          <t>Group</t>
        </is>
      </c>
      <c r="D13" t="inlineStr">
        <is>
          <t>Percentage split</t>
        </is>
      </c>
      <c r="E13" t="inlineStr">
        <is>
          <t>Create PERCENTAGE split records</t>
        </is>
      </c>
      <c r="F13" t="inlineStr">
        <is>
          <t>Percent-derived shares sum to amount within 0.01</t>
        </is>
      </c>
      <c r="G13" t="inlineStr">
        <is>
          <t>P0</t>
        </is>
      </c>
      <c r="H13" t="inlineStr">
        <is>
          <t>Android+iPhone</t>
        </is>
      </c>
      <c r="I13" t="inlineStr">
        <is>
          <t>Group_Splits</t>
        </is>
      </c>
      <c r="J13" t="inlineStr">
        <is>
          <t>NOT_RUN</t>
        </is>
      </c>
    </row>
    <row r="14">
      <c r="A14" t="inlineStr">
        <is>
          <t>TC-013</t>
        </is>
      </c>
      <c r="B14" t="inlineStr">
        <is>
          <t>Group Split</t>
        </is>
      </c>
      <c r="C14" t="inlineStr">
        <is>
          <t>Group</t>
        </is>
      </c>
      <c r="D14" t="inlineStr">
        <is>
          <t>Shares split</t>
        </is>
      </c>
      <c r="E14" t="inlineStr">
        <is>
          <t>Create SHARES split records</t>
        </is>
      </c>
      <c r="F14" t="inlineStr">
        <is>
          <t>Weighted shares sum to amount within 0.01</t>
        </is>
      </c>
      <c r="G14" t="inlineStr">
        <is>
          <t>P0</t>
        </is>
      </c>
      <c r="H14" t="inlineStr">
        <is>
          <t>Android+iPhone</t>
        </is>
      </c>
      <c r="I14" t="inlineStr">
        <is>
          <t>Group_Splits</t>
        </is>
      </c>
      <c r="J14" t="inlineStr">
        <is>
          <t>NOT_RUN</t>
        </is>
      </c>
    </row>
    <row r="15">
      <c r="A15" t="inlineStr">
        <is>
          <t>TC-014</t>
        </is>
      </c>
      <c r="B15" t="inlineStr">
        <is>
          <t>Group Balance</t>
        </is>
      </c>
      <c r="C15" t="inlineStr">
        <is>
          <t>Group</t>
        </is>
      </c>
      <c r="D15" t="inlineStr">
        <is>
          <t>Net balance conservation</t>
        </is>
      </c>
      <c r="E15" t="inlineStr">
        <is>
          <t>Aggregate Expected_Net by transaction/member</t>
        </is>
      </c>
      <c r="F15" t="inlineStr">
        <is>
          <t>Each transaction net sums to zero</t>
        </is>
      </c>
      <c r="G15" t="inlineStr">
        <is>
          <t>P0</t>
        </is>
      </c>
      <c r="H15" t="inlineStr">
        <is>
          <t>Backend</t>
        </is>
      </c>
      <c r="I15" t="inlineStr">
        <is>
          <t>Group_Splits</t>
        </is>
      </c>
      <c r="J15" t="inlineStr">
        <is>
          <t>NOT_RUN</t>
        </is>
      </c>
    </row>
    <row r="16">
      <c r="A16" t="inlineStr">
        <is>
          <t>TC-015</t>
        </is>
      </c>
      <c r="B16" t="inlineStr">
        <is>
          <t>Sync</t>
        </is>
      </c>
      <c r="C16" t="inlineStr">
        <is>
          <t>All</t>
        </is>
      </c>
      <c r="D16" t="inlineStr">
        <is>
          <t>Cross-device visibility</t>
        </is>
      </c>
      <c r="E16" t="inlineStr">
        <is>
          <t>Create on Android then verify iPhone, and reverse</t>
        </is>
      </c>
      <c r="F16" t="inlineStr">
        <is>
          <t>Same backend record/totals appear without duplication</t>
        </is>
      </c>
      <c r="G16" t="inlineStr">
        <is>
          <t>P0</t>
        </is>
      </c>
      <c r="H16" t="inlineStr">
        <is>
          <t>Android+iPhone</t>
        </is>
      </c>
      <c r="I16" t="inlineStr">
        <is>
          <t>Paired sample rows</t>
        </is>
      </c>
      <c r="J16" t="inlineStr">
        <is>
          <t>NOT_RUN</t>
        </is>
      </c>
    </row>
    <row r="17">
      <c r="A17" t="inlineStr">
        <is>
          <t>TC-016</t>
        </is>
      </c>
      <c r="B17" t="inlineStr">
        <is>
          <t>Concurrency</t>
        </is>
      </c>
      <c r="C17" t="inlineStr">
        <is>
          <t>All</t>
        </is>
      </c>
      <c r="D17" t="inlineStr">
        <is>
          <t>Simultaneous Android+iPhone creates</t>
        </is>
      </c>
      <c r="E17" t="inlineStr">
        <is>
          <t>Run paired writes at same time</t>
        </is>
      </c>
      <c r="F17" t="inlineStr">
        <is>
          <t>Both persist; no race/lost update</t>
        </is>
      </c>
      <c r="G17" t="inlineStr">
        <is>
          <t>P0</t>
        </is>
      </c>
      <c r="H17" t="inlineStr">
        <is>
          <t>Android+iPhone</t>
        </is>
      </c>
      <c r="I17" t="inlineStr">
        <is>
          <t>20 paired samples</t>
        </is>
      </c>
      <c r="J17" t="inlineStr">
        <is>
          <t>NOT_RUN</t>
        </is>
      </c>
    </row>
    <row r="18">
      <c r="A18" t="inlineStr">
        <is>
          <t>TC-017</t>
        </is>
      </c>
      <c r="B18" t="inlineStr">
        <is>
          <t>Pagination</t>
        </is>
      </c>
      <c r="C18" t="inlineStr">
        <is>
          <t>All</t>
        </is>
      </c>
      <c r="D18" t="inlineStr">
        <is>
          <t>Activity beyond 1k/2k/3k</t>
        </is>
      </c>
      <c r="E18" t="inlineStr">
        <is>
          <t>Scroll/query older pages</t>
        </is>
      </c>
      <c r="F18" t="inlineStr">
        <is>
          <t>No skipped/duplicated pages; ordering stable</t>
        </is>
      </c>
      <c r="G18" t="inlineStr">
        <is>
          <t>P0</t>
        </is>
      </c>
      <c r="H18" t="inlineStr">
        <is>
          <t>Android+iPhone</t>
        </is>
      </c>
      <c r="I18" t="inlineStr">
        <is>
          <t>Checkpoint batches</t>
        </is>
      </c>
      <c r="J18" t="inlineStr">
        <is>
          <t>NOT_RUN</t>
        </is>
      </c>
    </row>
    <row r="19">
      <c r="A19" t="inlineStr">
        <is>
          <t>TC-018</t>
        </is>
      </c>
      <c r="B19" t="inlineStr">
        <is>
          <t>Reconciliation</t>
        </is>
      </c>
      <c r="C19" t="inlineStr">
        <is>
          <t>Personal</t>
        </is>
      </c>
      <c r="D19" t="inlineStr">
        <is>
          <t>Personal moment totals</t>
        </is>
      </c>
      <c r="E19" t="inlineStr">
        <is>
          <t>Paste actual counts/gross/net</t>
        </is>
      </c>
      <c r="F19" t="inlineStr">
        <is>
          <t>Every moment PASS</t>
        </is>
      </c>
      <c r="G19" t="inlineStr">
        <is>
          <t>P0</t>
        </is>
      </c>
      <c r="H19" t="inlineStr">
        <is>
          <t>Backend+UI</t>
        </is>
      </c>
      <c r="I19" t="inlineStr">
        <is>
          <t>Reconciliation</t>
        </is>
      </c>
      <c r="J19" t="inlineStr">
        <is>
          <t>NOT_RUN</t>
        </is>
      </c>
    </row>
    <row r="20">
      <c r="A20" t="inlineStr">
        <is>
          <t>TC-019</t>
        </is>
      </c>
      <c r="B20" t="inlineStr">
        <is>
          <t>Reconciliation</t>
        </is>
      </c>
      <c r="C20" t="inlineStr">
        <is>
          <t>Group</t>
        </is>
      </c>
      <c r="D20" t="inlineStr">
        <is>
          <t>Group moment totals</t>
        </is>
      </c>
      <c r="E20" t="inlineStr">
        <is>
          <t>Paste actual counts/gross/net</t>
        </is>
      </c>
      <c r="F20" t="inlineStr">
        <is>
          <t>Every moment PASS</t>
        </is>
      </c>
      <c r="G20" t="inlineStr">
        <is>
          <t>P0</t>
        </is>
      </c>
      <c r="H20" t="inlineStr">
        <is>
          <t>Backend+UI</t>
        </is>
      </c>
      <c r="I20" t="inlineStr">
        <is>
          <t>Reconciliation</t>
        </is>
      </c>
      <c r="J20" t="inlineStr">
        <is>
          <t>NOT_RUN</t>
        </is>
      </c>
    </row>
    <row r="21">
      <c r="A21" t="inlineStr">
        <is>
          <t>TC-020</t>
        </is>
      </c>
      <c r="B21" t="inlineStr">
        <is>
          <t>Reconciliation</t>
        </is>
      </c>
      <c r="C21" t="inlineStr">
        <is>
          <t>Business</t>
        </is>
      </c>
      <c r="D21" t="inlineStr">
        <is>
          <t>Business moment totals</t>
        </is>
      </c>
      <c r="E21" t="inlineStr">
        <is>
          <t>Paste actual counts/gross/net</t>
        </is>
      </c>
      <c r="F21" t="inlineStr">
        <is>
          <t>Every moment PASS</t>
        </is>
      </c>
      <c r="G21" t="inlineStr">
        <is>
          <t>P0</t>
        </is>
      </c>
      <c r="H21" t="inlineStr">
        <is>
          <t>Backend+UI</t>
        </is>
      </c>
      <c r="I21" t="inlineStr">
        <is>
          <t>Reconciliation</t>
        </is>
      </c>
      <c r="J21" t="inlineStr">
        <is>
          <t>NOT_RUN</t>
        </is>
      </c>
    </row>
    <row r="22">
      <c r="A22" t="inlineStr">
        <is>
          <t>TC-021</t>
        </is>
      </c>
      <c r="B22" t="inlineStr">
        <is>
          <t>Edit/Delete</t>
        </is>
      </c>
      <c r="C22" t="inlineStr">
        <is>
          <t>All</t>
        </is>
      </c>
      <c r="D22" t="inlineStr">
        <is>
          <t>Edit then delete sampled records</t>
        </is>
      </c>
      <c r="E22" t="inlineStr">
        <is>
          <t>Edit 10/context; delete 5/context</t>
        </is>
      </c>
      <c r="F22" t="inlineStr">
        <is>
          <t>Projections/totals adjust exactly once</t>
        </is>
      </c>
      <c r="G22" t="inlineStr">
        <is>
          <t>P1</t>
        </is>
      </c>
      <c r="H22" t="inlineStr">
        <is>
          <t>Android+iPhone</t>
        </is>
      </c>
      <c r="I22" t="inlineStr">
        <is>
          <t>Sample post-load</t>
        </is>
      </c>
      <c r="J22" t="inlineStr">
        <is>
          <t>NOT_RUN</t>
        </is>
      </c>
    </row>
    <row r="23">
      <c r="A23" t="inlineStr">
        <is>
          <t>TC-022</t>
        </is>
      </c>
      <c r="B23" t="inlineStr">
        <is>
          <t>Auth Isolation</t>
        </is>
      </c>
      <c r="C23" t="inlineStr">
        <is>
          <t>All</t>
        </is>
      </c>
      <c r="D23" t="inlineStr">
        <is>
          <t>Logout/login after 3k+ data</t>
        </is>
      </c>
      <c r="E23" t="inlineStr">
        <is>
          <t>Logout and login same/other user</t>
        </is>
      </c>
      <c r="F23" t="inlineStr">
        <is>
          <t>Correct user/company/group isolation; state restored</t>
        </is>
      </c>
      <c r="G23" t="inlineStr">
        <is>
          <t>P0</t>
        </is>
      </c>
      <c r="H23" t="inlineStr">
        <is>
          <t>Android+iPhone</t>
        </is>
      </c>
      <c r="I23" t="inlineStr">
        <is>
          <t>Post-load</t>
        </is>
      </c>
      <c r="J23" t="inlineStr">
        <is>
          <t>NOT_RUN</t>
        </is>
      </c>
    </row>
    <row r="24">
      <c r="A24" t="inlineStr">
        <is>
          <t>TC-023</t>
        </is>
      </c>
      <c r="B24" t="inlineStr">
        <is>
          <t>Backend</t>
        </is>
      </c>
      <c r="C24" t="inlineStr">
        <is>
          <t>All</t>
        </is>
      </c>
      <c r="D24" t="inlineStr">
        <is>
          <t>Read-after-write under stress</t>
        </is>
      </c>
      <c r="E24" t="inlineStr">
        <is>
          <t>After 3,000+, create then immediately read</t>
        </is>
      </c>
      <c r="F24" t="inlineStr">
        <is>
          <t>New item visible per contract; no stale incorrect total</t>
        </is>
      </c>
      <c r="G24" t="inlineStr">
        <is>
          <t>P0</t>
        </is>
      </c>
      <c r="H24" t="inlineStr">
        <is>
          <t>Backend</t>
        </is>
      </c>
      <c r="I24" t="inlineStr">
        <is>
          <t>Stress rows</t>
        </is>
      </c>
      <c r="J24" t="inlineStr">
        <is>
          <t>NOT_RUN</t>
        </is>
      </c>
    </row>
    <row r="25">
      <c r="A25" t="inlineStr">
        <is>
          <t>TC-024</t>
        </is>
      </c>
      <c r="B25" t="inlineStr">
        <is>
          <t>Backend</t>
        </is>
      </c>
      <c r="C25" t="inlineStr">
        <is>
          <t>All</t>
        </is>
      </c>
      <c r="D25" t="inlineStr">
        <is>
          <t>Error/retry observation</t>
        </is>
      </c>
      <c r="E25" t="inlineStr">
        <is>
          <t>Record 4xx/5xx/timeouts and retries</t>
        </is>
      </c>
      <c r="F25" t="inlineStr">
        <is>
          <t>Error rate &lt;= configured threshold; failures explainable</t>
        </is>
      </c>
      <c r="G25" t="inlineStr">
        <is>
          <t>P0</t>
        </is>
      </c>
      <c r="H25" t="inlineStr">
        <is>
          <t>Backend</t>
        </is>
      </c>
      <c r="I25" t="inlineStr">
        <is>
          <t>Performance_Log</t>
        </is>
      </c>
      <c r="J25" t="inlineStr">
        <is>
          <t>NOT_RUN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30" customHeight="1">
      <c r="A1" s="4" t="inlineStr">
        <is>
          <t>Momentra Load Test Dashboard</t>
        </is>
      </c>
      <c r="B1" s="4" t="inlineStr">
        <is>
          <t>Value</t>
        </is>
      </c>
      <c r="D1" t="inlineStr">
        <is>
          <t>Context</t>
        </is>
      </c>
      <c r="E1" t="inlineStr">
        <is>
          <t>Count</t>
        </is>
      </c>
    </row>
    <row r="2">
      <c r="A2" s="11" t="inlineStr">
        <is>
          <t>Planned Transactions</t>
        </is>
      </c>
      <c r="B2">
        <f>Config!B3</f>
        <v/>
      </c>
      <c r="D2" t="inlineStr">
        <is>
          <t>Personal</t>
        </is>
      </c>
      <c r="E2" t="n">
        <v>1167</v>
      </c>
    </row>
    <row r="3">
      <c r="A3" s="11" t="inlineStr">
        <is>
          <t>Personal Planned</t>
        </is>
      </c>
      <c r="B3">
        <f>COUNTIF(Transactions!C:C,"Personal")</f>
        <v/>
      </c>
      <c r="D3" t="inlineStr">
        <is>
          <t>Group</t>
        </is>
      </c>
      <c r="E3" t="n">
        <v>1167</v>
      </c>
    </row>
    <row r="4">
      <c r="A4" s="11" t="inlineStr">
        <is>
          <t>Group Planned</t>
        </is>
      </c>
      <c r="B4">
        <f>COUNTIF(Transactions!C:C,"Group")</f>
        <v/>
      </c>
      <c r="D4" t="inlineStr">
        <is>
          <t>Business</t>
        </is>
      </c>
      <c r="E4" t="n">
        <v>1166</v>
      </c>
    </row>
    <row r="5">
      <c r="A5" s="11" t="inlineStr">
        <is>
          <t>Business Planned</t>
        </is>
      </c>
      <c r="B5">
        <f>COUNTIF(Transactions!C:C,"Business")</f>
        <v/>
      </c>
    </row>
    <row r="6">
      <c r="A6" s="11" t="inlineStr">
        <is>
          <t>iPhone Rows</t>
        </is>
      </c>
      <c r="B6">
        <f>COUNTIF(Transactions!R:R,"iPhone")</f>
        <v/>
      </c>
    </row>
    <row r="7">
      <c r="A7" s="11" t="inlineStr">
        <is>
          <t>Other Platform Rows</t>
        </is>
      </c>
      <c r="B7">
        <f>3500-B6</f>
        <v/>
      </c>
    </row>
    <row r="8">
      <c r="A8" s="11" t="inlineStr">
        <is>
          <t>Stress 3k+ Rows</t>
        </is>
      </c>
      <c r="B8">
        <f>COUNTIF(Transactions!T:T,"STRESS_3001_3500")</f>
        <v/>
      </c>
    </row>
    <row r="9">
      <c r="A9" s="11" t="inlineStr">
        <is>
          <t>Reconciliation PASS</t>
        </is>
      </c>
      <c r="B9">
        <f>COUNTIF(Reconciliation!N:N,"PASS")</f>
        <v/>
      </c>
    </row>
    <row r="10">
      <c r="A10" s="11" t="inlineStr">
        <is>
          <t>Reconciliation FAIL</t>
        </is>
      </c>
      <c r="B10">
        <f>COUNTIF(Reconciliation!N:N,"FAIL")</f>
        <v/>
      </c>
    </row>
    <row r="11">
      <c r="A11" s="11" t="inlineStr">
        <is>
          <t>Performance PASS</t>
        </is>
      </c>
      <c r="B11">
        <f>COUNTIF(Performance_Log!N:N,"PASS")</f>
        <v/>
      </c>
    </row>
    <row r="12">
      <c r="A12" s="11" t="inlineStr">
        <is>
          <t>Performance FAIL</t>
        </is>
      </c>
      <c r="B12">
        <f>COUNTIF(Performance_Log!N:N,"FAIL")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2026-08-31T14:00:04Z</dcterms:created>
  <dcterms:modified xmlns:dcterms="http://purl.org/dc/terms/" xmlns:xsi="http://www.w3.org/2001/XMLSchema-instance" xsi:type="dcterms:W3CDTF">2026-09-02T07:35:24Z</dcterms:modified>
</cp:coreProperties>
</file>